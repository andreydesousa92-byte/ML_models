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ooveeurope.sharepoint.com/sites/BusinessImprovement/Project Library/Data Management &amp; BI/4. Business Databases Management/5. Calendar/"/>
    </mc:Choice>
  </mc:AlternateContent>
  <xr:revisionPtr revIDLastSave="308" documentId="11_39F5BD44172C057C839FFDFF311651EA0130871B" xr6:coauthVersionLast="47" xr6:coauthVersionMax="47" xr10:uidLastSave="{65F8AECE-046A-4CBE-BE8D-DC143FF028DD}"/>
  <bookViews>
    <workbookView xWindow="10490" yWindow="10710" windowWidth="19420" windowHeight="10300" xr2:uid="{00000000-000D-0000-FFFF-FFFF00000000}"/>
  </bookViews>
  <sheets>
    <sheet name="Tabelle1" sheetId="1" r:id="rId1"/>
    <sheet name="BH" sheetId="2" r:id="rId2"/>
  </sheets>
  <definedNames>
    <definedName name="_xlnm._FilterDatabase" localSheetId="1" hidden="1">BH!$E$1:$E$77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84" i="1" l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P1011" i="1" s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P1040" i="1" s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1163" i="1" s="1"/>
  <c r="P1164" i="1" s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P1253" i="1" s="1"/>
  <c r="P1254" i="1" s="1"/>
  <c r="P1255" i="1" s="1"/>
  <c r="P1256" i="1" s="1"/>
  <c r="P1257" i="1" s="1"/>
  <c r="P1258" i="1" s="1"/>
  <c r="P1259" i="1" s="1"/>
  <c r="P1260" i="1" s="1"/>
  <c r="P1261" i="1" s="1"/>
  <c r="P1262" i="1" s="1"/>
  <c r="P1263" i="1" s="1"/>
  <c r="P1264" i="1" s="1"/>
  <c r="P1265" i="1" s="1"/>
  <c r="P1266" i="1" s="1"/>
  <c r="P1267" i="1" s="1"/>
  <c r="P1268" i="1" s="1"/>
  <c r="P1269" i="1" s="1"/>
  <c r="P1270" i="1" s="1"/>
  <c r="P1271" i="1" s="1"/>
  <c r="P1272" i="1" s="1"/>
  <c r="P1273" i="1" s="1"/>
  <c r="P1274" i="1" s="1"/>
  <c r="P1275" i="1" s="1"/>
  <c r="P1276" i="1" s="1"/>
  <c r="P1277" i="1" s="1"/>
  <c r="P1278" i="1" s="1"/>
  <c r="P1279" i="1" s="1"/>
  <c r="P1280" i="1" s="1"/>
  <c r="P1281" i="1" s="1"/>
  <c r="P1282" i="1" s="1"/>
  <c r="P1283" i="1" s="1"/>
  <c r="P1284" i="1" s="1"/>
  <c r="P1285" i="1" s="1"/>
  <c r="P1286" i="1" s="1"/>
  <c r="P1287" i="1" s="1"/>
  <c r="P1288" i="1" s="1"/>
  <c r="P1289" i="1" s="1"/>
  <c r="P1290" i="1" s="1"/>
  <c r="P1291" i="1" s="1"/>
  <c r="P1292" i="1" s="1"/>
  <c r="P1293" i="1" s="1"/>
  <c r="P1294" i="1" s="1"/>
  <c r="P1295" i="1" s="1"/>
  <c r="P1296" i="1" s="1"/>
  <c r="P1297" i="1" s="1"/>
  <c r="P1298" i="1" s="1"/>
  <c r="P1299" i="1" s="1"/>
  <c r="P1300" i="1" s="1"/>
  <c r="P1301" i="1" s="1"/>
  <c r="P1302" i="1" s="1"/>
  <c r="P1303" i="1" s="1"/>
  <c r="P1304" i="1" s="1"/>
  <c r="P1305" i="1" s="1"/>
  <c r="P1306" i="1" s="1"/>
  <c r="P1307" i="1" s="1"/>
  <c r="P1308" i="1" s="1"/>
  <c r="P1309" i="1" s="1"/>
  <c r="P1310" i="1" s="1"/>
  <c r="P1311" i="1" s="1"/>
  <c r="P1312" i="1" s="1"/>
  <c r="P1313" i="1" s="1"/>
  <c r="P1314" i="1" s="1"/>
  <c r="P1315" i="1" s="1"/>
  <c r="P1316" i="1" s="1"/>
  <c r="P1317" i="1" s="1"/>
  <c r="P1318" i="1" s="1"/>
  <c r="P1319" i="1" s="1"/>
  <c r="P1320" i="1" s="1"/>
  <c r="P1321" i="1" s="1"/>
  <c r="P1322" i="1" s="1"/>
  <c r="P1323" i="1" s="1"/>
  <c r="P1324" i="1" s="1"/>
  <c r="P1325" i="1" s="1"/>
  <c r="P1326" i="1" s="1"/>
  <c r="P1327" i="1" s="1"/>
  <c r="P1328" i="1" s="1"/>
  <c r="P1329" i="1" s="1"/>
  <c r="P1330" i="1" s="1"/>
  <c r="P1331" i="1" s="1"/>
  <c r="P1332" i="1" s="1"/>
  <c r="P1333" i="1" s="1"/>
  <c r="P1334" i="1" s="1"/>
  <c r="P1335" i="1" s="1"/>
  <c r="P1336" i="1" s="1"/>
  <c r="P1337" i="1" s="1"/>
  <c r="P1338" i="1" s="1"/>
  <c r="P1339" i="1" s="1"/>
  <c r="P1340" i="1" s="1"/>
  <c r="P1341" i="1" s="1"/>
  <c r="P1342" i="1" s="1"/>
  <c r="P1343" i="1" s="1"/>
  <c r="P1344" i="1" s="1"/>
  <c r="P1345" i="1" s="1"/>
  <c r="P1346" i="1" s="1"/>
  <c r="P1347" i="1" s="1"/>
  <c r="P1348" i="1" s="1"/>
  <c r="P1349" i="1" s="1"/>
  <c r="P1350" i="1" s="1"/>
  <c r="P1351" i="1" s="1"/>
  <c r="P1352" i="1" s="1"/>
  <c r="P1353" i="1" s="1"/>
  <c r="P1354" i="1" s="1"/>
  <c r="P1355" i="1" s="1"/>
  <c r="P1356" i="1" s="1"/>
  <c r="P1357" i="1" s="1"/>
  <c r="P1358" i="1" s="1"/>
  <c r="P1359" i="1" s="1"/>
  <c r="P1360" i="1" s="1"/>
  <c r="P1361" i="1" s="1"/>
  <c r="P1362" i="1" s="1"/>
  <c r="P1363" i="1" s="1"/>
  <c r="P1364" i="1" s="1"/>
  <c r="P1365" i="1" s="1"/>
  <c r="P1366" i="1" s="1"/>
  <c r="P1367" i="1" s="1"/>
  <c r="P1368" i="1" s="1"/>
  <c r="P1369" i="1" s="1"/>
  <c r="P1370" i="1" s="1"/>
  <c r="P1371" i="1" s="1"/>
  <c r="P1372" i="1" s="1"/>
  <c r="P1373" i="1" s="1"/>
  <c r="P1374" i="1" s="1"/>
  <c r="P1375" i="1" s="1"/>
  <c r="P1376" i="1" s="1"/>
  <c r="P1377" i="1" s="1"/>
  <c r="P1378" i="1" s="1"/>
  <c r="P1379" i="1" s="1"/>
  <c r="P1380" i="1" s="1"/>
  <c r="P1381" i="1" s="1"/>
  <c r="P1382" i="1" s="1"/>
  <c r="P1383" i="1" s="1"/>
  <c r="P1384" i="1" s="1"/>
  <c r="P1385" i="1" s="1"/>
  <c r="P1386" i="1" s="1"/>
  <c r="P1387" i="1" s="1"/>
  <c r="P1388" i="1" s="1"/>
  <c r="P1389" i="1" s="1"/>
  <c r="P1390" i="1" s="1"/>
  <c r="P1391" i="1" s="1"/>
  <c r="P1392" i="1" s="1"/>
  <c r="P1393" i="1" s="1"/>
  <c r="P1394" i="1" s="1"/>
  <c r="P1395" i="1" s="1"/>
  <c r="P1396" i="1" s="1"/>
  <c r="P1397" i="1" s="1"/>
  <c r="P1398" i="1" s="1"/>
  <c r="P1399" i="1" s="1"/>
  <c r="P1400" i="1" s="1"/>
  <c r="P1401" i="1" s="1"/>
  <c r="P1402" i="1" s="1"/>
  <c r="P1403" i="1" s="1"/>
  <c r="P1404" i="1" s="1"/>
  <c r="P1405" i="1" s="1"/>
  <c r="P1406" i="1" s="1"/>
  <c r="P1407" i="1" s="1"/>
  <c r="P1408" i="1" s="1"/>
  <c r="P1409" i="1" s="1"/>
  <c r="P1410" i="1" s="1"/>
  <c r="P1411" i="1" s="1"/>
  <c r="P1412" i="1" s="1"/>
  <c r="P1413" i="1" s="1"/>
  <c r="P1414" i="1" s="1"/>
  <c r="P1415" i="1" s="1"/>
  <c r="P1416" i="1" s="1"/>
  <c r="P1417" i="1" s="1"/>
  <c r="P1418" i="1" s="1"/>
  <c r="P1419" i="1" s="1"/>
  <c r="P1420" i="1" s="1"/>
  <c r="P1421" i="1" s="1"/>
  <c r="P1422" i="1" s="1"/>
  <c r="P1423" i="1" s="1"/>
  <c r="P1424" i="1" s="1"/>
  <c r="P1425" i="1" s="1"/>
  <c r="P1426" i="1" s="1"/>
  <c r="P1427" i="1" s="1"/>
  <c r="P1428" i="1" s="1"/>
  <c r="P1429" i="1" s="1"/>
  <c r="P1430" i="1" s="1"/>
  <c r="P1431" i="1" s="1"/>
  <c r="P1432" i="1" s="1"/>
  <c r="P1433" i="1" s="1"/>
  <c r="P1434" i="1" s="1"/>
  <c r="P1435" i="1" s="1"/>
  <c r="P1436" i="1" s="1"/>
  <c r="P1437" i="1" s="1"/>
  <c r="P1438" i="1" s="1"/>
  <c r="P1439" i="1" s="1"/>
  <c r="P1440" i="1" s="1"/>
  <c r="P1441" i="1" s="1"/>
  <c r="P1442" i="1" s="1"/>
  <c r="P1443" i="1" s="1"/>
  <c r="P1444" i="1" s="1"/>
  <c r="P1445" i="1" s="1"/>
  <c r="P1446" i="1" s="1"/>
  <c r="P1447" i="1" s="1"/>
  <c r="P1448" i="1" s="1"/>
  <c r="P1449" i="1" s="1"/>
  <c r="P1450" i="1" s="1"/>
  <c r="P1451" i="1" s="1"/>
  <c r="P1452" i="1" s="1"/>
  <c r="P1453" i="1" s="1"/>
  <c r="P1454" i="1" s="1"/>
  <c r="P1455" i="1" s="1"/>
  <c r="P1456" i="1" s="1"/>
  <c r="P1457" i="1" s="1"/>
  <c r="P1458" i="1" s="1"/>
  <c r="P1459" i="1" s="1"/>
  <c r="P1460" i="1" s="1"/>
  <c r="P1461" i="1" s="1"/>
  <c r="P1462" i="1" s="1"/>
  <c r="P1463" i="1" s="1"/>
  <c r="P1464" i="1" s="1"/>
  <c r="P1465" i="1" s="1"/>
  <c r="P1466" i="1" s="1"/>
  <c r="P1467" i="1" s="1"/>
  <c r="P1468" i="1" s="1"/>
  <c r="P1469" i="1" s="1"/>
  <c r="P1470" i="1" s="1"/>
  <c r="P1471" i="1" s="1"/>
  <c r="P1472" i="1" s="1"/>
  <c r="P1473" i="1" s="1"/>
  <c r="P1474" i="1" s="1"/>
  <c r="P1475" i="1" s="1"/>
  <c r="P1476" i="1" s="1"/>
  <c r="P1477" i="1" s="1"/>
  <c r="P1478" i="1" s="1"/>
  <c r="P1479" i="1" s="1"/>
  <c r="P1480" i="1" s="1"/>
  <c r="P1481" i="1" s="1"/>
  <c r="P1482" i="1" s="1"/>
  <c r="P1483" i="1" s="1"/>
  <c r="P1484" i="1" s="1"/>
  <c r="P1485" i="1" s="1"/>
  <c r="P1486" i="1" s="1"/>
  <c r="P1487" i="1" s="1"/>
  <c r="P1488" i="1" s="1"/>
  <c r="P1489" i="1" s="1"/>
  <c r="P1490" i="1" s="1"/>
  <c r="P1491" i="1" s="1"/>
  <c r="P1492" i="1" s="1"/>
  <c r="P1493" i="1" s="1"/>
  <c r="P1494" i="1" s="1"/>
  <c r="P1495" i="1" s="1"/>
  <c r="P1496" i="1" s="1"/>
  <c r="P1497" i="1" s="1"/>
  <c r="P1498" i="1" s="1"/>
  <c r="P1499" i="1" s="1"/>
  <c r="P1500" i="1" s="1"/>
  <c r="P1501" i="1" s="1"/>
  <c r="P1502" i="1" s="1"/>
  <c r="P1503" i="1" s="1"/>
  <c r="P1504" i="1" s="1"/>
  <c r="P1505" i="1" s="1"/>
  <c r="P1506" i="1" s="1"/>
  <c r="P1507" i="1" s="1"/>
  <c r="P1508" i="1" s="1"/>
  <c r="P1509" i="1" s="1"/>
  <c r="P1510" i="1" s="1"/>
  <c r="P1511" i="1" s="1"/>
  <c r="P1512" i="1" s="1"/>
  <c r="P1513" i="1" s="1"/>
  <c r="P1514" i="1" s="1"/>
  <c r="P1515" i="1" s="1"/>
  <c r="P1516" i="1" s="1"/>
  <c r="P1517" i="1" s="1"/>
  <c r="P1518" i="1" s="1"/>
  <c r="P1519" i="1" s="1"/>
  <c r="P1520" i="1" s="1"/>
  <c r="P1521" i="1" s="1"/>
  <c r="P1522" i="1" s="1"/>
  <c r="P1523" i="1" s="1"/>
  <c r="P1524" i="1" s="1"/>
  <c r="P1525" i="1" s="1"/>
  <c r="P1526" i="1" s="1"/>
  <c r="P1527" i="1" s="1"/>
  <c r="P1528" i="1" s="1"/>
  <c r="P1529" i="1" s="1"/>
  <c r="P1530" i="1" s="1"/>
  <c r="P1531" i="1" s="1"/>
  <c r="P1532" i="1" s="1"/>
  <c r="P1533" i="1" s="1"/>
  <c r="P1534" i="1" s="1"/>
  <c r="P1535" i="1" s="1"/>
  <c r="P1536" i="1" s="1"/>
  <c r="P1537" i="1" s="1"/>
  <c r="P1538" i="1" s="1"/>
  <c r="P1539" i="1" s="1"/>
  <c r="P1540" i="1" s="1"/>
  <c r="P1541" i="1" s="1"/>
  <c r="P1542" i="1" s="1"/>
  <c r="P1543" i="1" s="1"/>
  <c r="P1544" i="1" s="1"/>
  <c r="P1545" i="1" s="1"/>
  <c r="P1546" i="1" s="1"/>
  <c r="P1547" i="1" s="1"/>
  <c r="P1548" i="1" s="1"/>
  <c r="P1549" i="1" s="1"/>
  <c r="P1550" i="1" s="1"/>
  <c r="P1551" i="1" s="1"/>
  <c r="P1552" i="1" s="1"/>
  <c r="P1553" i="1" s="1"/>
  <c r="P1554" i="1" s="1"/>
  <c r="P1555" i="1" s="1"/>
  <c r="P1556" i="1" s="1"/>
  <c r="P1557" i="1" s="1"/>
  <c r="P1558" i="1" s="1"/>
  <c r="P1559" i="1" s="1"/>
  <c r="P1560" i="1" s="1"/>
  <c r="P1561" i="1" s="1"/>
  <c r="P1562" i="1" s="1"/>
  <c r="P1563" i="1" s="1"/>
  <c r="P1564" i="1" s="1"/>
  <c r="P1565" i="1" s="1"/>
  <c r="P1566" i="1" s="1"/>
  <c r="P1567" i="1" s="1"/>
  <c r="P1568" i="1" s="1"/>
  <c r="P1569" i="1" s="1"/>
  <c r="P1570" i="1" s="1"/>
  <c r="P1571" i="1" s="1"/>
  <c r="P1572" i="1" s="1"/>
  <c r="P1573" i="1" s="1"/>
  <c r="P1574" i="1" s="1"/>
  <c r="P1575" i="1" s="1"/>
  <c r="P1576" i="1" s="1"/>
  <c r="P1577" i="1" s="1"/>
  <c r="P1578" i="1" s="1"/>
  <c r="P1579" i="1" s="1"/>
  <c r="P1580" i="1" s="1"/>
  <c r="P1581" i="1" s="1"/>
  <c r="P1582" i="1" s="1"/>
  <c r="P1583" i="1" s="1"/>
  <c r="P1584" i="1" s="1"/>
  <c r="P1585" i="1" s="1"/>
  <c r="P1586" i="1" s="1"/>
  <c r="P1587" i="1" s="1"/>
  <c r="P1588" i="1" s="1"/>
  <c r="P1589" i="1" s="1"/>
  <c r="P1590" i="1" s="1"/>
  <c r="P1591" i="1" s="1"/>
  <c r="P1592" i="1" s="1"/>
  <c r="P1593" i="1" s="1"/>
  <c r="P1594" i="1" s="1"/>
  <c r="P1595" i="1" s="1"/>
  <c r="P1596" i="1" s="1"/>
  <c r="P1597" i="1" s="1"/>
  <c r="P1598" i="1" s="1"/>
  <c r="P1599" i="1" s="1"/>
  <c r="P1600" i="1" s="1"/>
  <c r="P1601" i="1" s="1"/>
  <c r="P1602" i="1" s="1"/>
  <c r="P1603" i="1" s="1"/>
  <c r="P1604" i="1" s="1"/>
  <c r="P1605" i="1" s="1"/>
  <c r="P1606" i="1" s="1"/>
  <c r="P1607" i="1" s="1"/>
  <c r="P1608" i="1" s="1"/>
  <c r="P1609" i="1" s="1"/>
  <c r="P1610" i="1" s="1"/>
  <c r="P1611" i="1" s="1"/>
  <c r="P1612" i="1" s="1"/>
  <c r="P1613" i="1" s="1"/>
  <c r="P1614" i="1" s="1"/>
  <c r="P1615" i="1" s="1"/>
  <c r="P1616" i="1" s="1"/>
  <c r="P1617" i="1" s="1"/>
  <c r="P1618" i="1" s="1"/>
  <c r="P1619" i="1" s="1"/>
  <c r="P1620" i="1" s="1"/>
  <c r="P1621" i="1" s="1"/>
  <c r="P1622" i="1" s="1"/>
  <c r="P1623" i="1" s="1"/>
  <c r="P1624" i="1" s="1"/>
  <c r="P1625" i="1" s="1"/>
  <c r="P1626" i="1" s="1"/>
  <c r="P1627" i="1" s="1"/>
  <c r="P1628" i="1" s="1"/>
  <c r="P1629" i="1" s="1"/>
  <c r="P1630" i="1" s="1"/>
  <c r="P1631" i="1" s="1"/>
  <c r="P1632" i="1" s="1"/>
  <c r="P1633" i="1" s="1"/>
  <c r="P1634" i="1" s="1"/>
  <c r="P1635" i="1" s="1"/>
  <c r="P1636" i="1" s="1"/>
  <c r="P1637" i="1" s="1"/>
  <c r="P1638" i="1" s="1"/>
  <c r="P1639" i="1" s="1"/>
  <c r="P1640" i="1" s="1"/>
  <c r="P1641" i="1" s="1"/>
  <c r="P1642" i="1" s="1"/>
  <c r="P1643" i="1" s="1"/>
  <c r="P1644" i="1" s="1"/>
  <c r="P1645" i="1" s="1"/>
  <c r="P1646" i="1" s="1"/>
  <c r="P1647" i="1" s="1"/>
  <c r="P1648" i="1" s="1"/>
  <c r="P1649" i="1" s="1"/>
  <c r="P1650" i="1" s="1"/>
  <c r="P1651" i="1" s="1"/>
  <c r="P1652" i="1" s="1"/>
  <c r="P1653" i="1" s="1"/>
  <c r="P1654" i="1" s="1"/>
  <c r="P1655" i="1" s="1"/>
  <c r="P1656" i="1" s="1"/>
  <c r="P1657" i="1" s="1"/>
  <c r="P1658" i="1" s="1"/>
  <c r="P1659" i="1" s="1"/>
  <c r="P1660" i="1" s="1"/>
  <c r="P1661" i="1" s="1"/>
  <c r="P1662" i="1" s="1"/>
  <c r="P1663" i="1" s="1"/>
  <c r="P1664" i="1" s="1"/>
  <c r="P1665" i="1" s="1"/>
  <c r="P1666" i="1" s="1"/>
  <c r="P1667" i="1" s="1"/>
  <c r="P1668" i="1" s="1"/>
  <c r="P1669" i="1" s="1"/>
  <c r="P1670" i="1" s="1"/>
  <c r="P1671" i="1" s="1"/>
  <c r="P1672" i="1" s="1"/>
  <c r="P1673" i="1" s="1"/>
  <c r="P1674" i="1" s="1"/>
  <c r="P1675" i="1" s="1"/>
  <c r="P1676" i="1" s="1"/>
  <c r="P1677" i="1" s="1"/>
  <c r="P1678" i="1" s="1"/>
  <c r="P1679" i="1" s="1"/>
  <c r="P1680" i="1" s="1"/>
  <c r="P1681" i="1" s="1"/>
  <c r="P1682" i="1" s="1"/>
  <c r="P1683" i="1" s="1"/>
  <c r="P1684" i="1" s="1"/>
  <c r="P1685" i="1" s="1"/>
  <c r="P1686" i="1" s="1"/>
  <c r="P1687" i="1" s="1"/>
  <c r="P1688" i="1" s="1"/>
  <c r="P1689" i="1" s="1"/>
  <c r="P1690" i="1" s="1"/>
  <c r="P1691" i="1" s="1"/>
  <c r="P1692" i="1" s="1"/>
  <c r="P1693" i="1" s="1"/>
  <c r="P1694" i="1" s="1"/>
  <c r="P1695" i="1" s="1"/>
  <c r="P1696" i="1" s="1"/>
  <c r="P1697" i="1" s="1"/>
  <c r="P1698" i="1" s="1"/>
  <c r="P1699" i="1" s="1"/>
  <c r="P1700" i="1" s="1"/>
  <c r="P1701" i="1" s="1"/>
  <c r="P1702" i="1" s="1"/>
  <c r="P1703" i="1" s="1"/>
  <c r="P1704" i="1" s="1"/>
  <c r="P1705" i="1" s="1"/>
  <c r="P1706" i="1" s="1"/>
  <c r="P1707" i="1" s="1"/>
  <c r="P1708" i="1" s="1"/>
  <c r="P1709" i="1" s="1"/>
  <c r="P1710" i="1" s="1"/>
  <c r="P1711" i="1" s="1"/>
  <c r="P1712" i="1" s="1"/>
  <c r="P1713" i="1" s="1"/>
  <c r="P1714" i="1" s="1"/>
  <c r="P1715" i="1" s="1"/>
  <c r="P1716" i="1" s="1"/>
  <c r="P1717" i="1" s="1"/>
  <c r="P1718" i="1" s="1"/>
  <c r="P1719" i="1" s="1"/>
  <c r="P1720" i="1" s="1"/>
  <c r="P1721" i="1" s="1"/>
  <c r="P1722" i="1" s="1"/>
  <c r="P1723" i="1" s="1"/>
  <c r="P1724" i="1" s="1"/>
  <c r="P1725" i="1" s="1"/>
  <c r="P1726" i="1" s="1"/>
  <c r="P1727" i="1" s="1"/>
  <c r="P1728" i="1" s="1"/>
  <c r="P1729" i="1" s="1"/>
  <c r="P1730" i="1" s="1"/>
  <c r="P1731" i="1" s="1"/>
  <c r="P1732" i="1" s="1"/>
  <c r="P1733" i="1" s="1"/>
  <c r="P1734" i="1" s="1"/>
  <c r="P1735" i="1" s="1"/>
  <c r="P1736" i="1" s="1"/>
  <c r="P1737" i="1" s="1"/>
  <c r="P1738" i="1" s="1"/>
  <c r="P1739" i="1" s="1"/>
  <c r="P1740" i="1" s="1"/>
  <c r="P1741" i="1" s="1"/>
  <c r="P1742" i="1" s="1"/>
  <c r="P1743" i="1" s="1"/>
  <c r="P1744" i="1" s="1"/>
  <c r="P1745" i="1" s="1"/>
  <c r="P1746" i="1" s="1"/>
  <c r="P1747" i="1" s="1"/>
  <c r="P1748" i="1" s="1"/>
  <c r="P1749" i="1" s="1"/>
  <c r="P1750" i="1" s="1"/>
  <c r="P1751" i="1" s="1"/>
  <c r="P1752" i="1" s="1"/>
  <c r="P1753" i="1" s="1"/>
  <c r="P1754" i="1" s="1"/>
  <c r="P1755" i="1" s="1"/>
  <c r="P1756" i="1" s="1"/>
  <c r="P1757" i="1" s="1"/>
  <c r="P1758" i="1" s="1"/>
  <c r="P1759" i="1" s="1"/>
  <c r="P1760" i="1" s="1"/>
  <c r="P1761" i="1" s="1"/>
  <c r="P1762" i="1" s="1"/>
  <c r="P1763" i="1" s="1"/>
  <c r="P1764" i="1" s="1"/>
  <c r="P1765" i="1" s="1"/>
  <c r="P1766" i="1" s="1"/>
  <c r="P1767" i="1" s="1"/>
  <c r="P1768" i="1" s="1"/>
  <c r="P1769" i="1" s="1"/>
  <c r="P1770" i="1" s="1"/>
  <c r="P1771" i="1" s="1"/>
  <c r="P1772" i="1" s="1"/>
  <c r="P1773" i="1" s="1"/>
  <c r="P1774" i="1" s="1"/>
  <c r="P1775" i="1" s="1"/>
  <c r="P1776" i="1" s="1"/>
  <c r="P1777" i="1" s="1"/>
  <c r="P1778" i="1" s="1"/>
  <c r="P1779" i="1" s="1"/>
  <c r="P1780" i="1" s="1"/>
  <c r="P1781" i="1" s="1"/>
  <c r="P1782" i="1" s="1"/>
  <c r="P1783" i="1" s="1"/>
  <c r="P1784" i="1" s="1"/>
  <c r="P1785" i="1" s="1"/>
  <c r="P1786" i="1" s="1"/>
  <c r="P1787" i="1" s="1"/>
  <c r="P1788" i="1" s="1"/>
  <c r="P1789" i="1" s="1"/>
  <c r="P1790" i="1" s="1"/>
  <c r="P1791" i="1" s="1"/>
  <c r="P1792" i="1" s="1"/>
  <c r="P1793" i="1" s="1"/>
  <c r="P1794" i="1" s="1"/>
  <c r="P1795" i="1" s="1"/>
  <c r="P1796" i="1" s="1"/>
  <c r="P1797" i="1" s="1"/>
  <c r="P1798" i="1" s="1"/>
  <c r="P1799" i="1" s="1"/>
  <c r="P1800" i="1" s="1"/>
  <c r="P1801" i="1" s="1"/>
  <c r="P1802" i="1" s="1"/>
  <c r="P1803" i="1" s="1"/>
  <c r="P1804" i="1" s="1"/>
  <c r="P1805" i="1" s="1"/>
  <c r="P1806" i="1" s="1"/>
  <c r="P1807" i="1" s="1"/>
  <c r="P1808" i="1" s="1"/>
  <c r="P1809" i="1" s="1"/>
  <c r="P1810" i="1" s="1"/>
  <c r="P1811" i="1" s="1"/>
  <c r="P1812" i="1" s="1"/>
  <c r="P1813" i="1" s="1"/>
  <c r="P1814" i="1" s="1"/>
  <c r="P1815" i="1" s="1"/>
  <c r="P1816" i="1" s="1"/>
  <c r="P1817" i="1" s="1"/>
  <c r="P1818" i="1" s="1"/>
  <c r="P1819" i="1" s="1"/>
  <c r="P1820" i="1" s="1"/>
  <c r="P1821" i="1" s="1"/>
  <c r="P1822" i="1" s="1"/>
  <c r="P1823" i="1" s="1"/>
  <c r="P1824" i="1" s="1"/>
  <c r="P1825" i="1" s="1"/>
  <c r="P1826" i="1" s="1"/>
  <c r="P1827" i="1" s="1"/>
  <c r="P1828" i="1" s="1"/>
  <c r="P1829" i="1" s="1"/>
  <c r="P1830" i="1" s="1"/>
  <c r="P1831" i="1" s="1"/>
  <c r="P1832" i="1" s="1"/>
  <c r="P1833" i="1" s="1"/>
  <c r="P1834" i="1" s="1"/>
  <c r="P1835" i="1" s="1"/>
  <c r="P1836" i="1" s="1"/>
  <c r="P1837" i="1" s="1"/>
  <c r="P1838" i="1" s="1"/>
  <c r="P1839" i="1" s="1"/>
  <c r="P1840" i="1" s="1"/>
  <c r="P1841" i="1" s="1"/>
  <c r="P1842" i="1" s="1"/>
  <c r="P1843" i="1" s="1"/>
  <c r="P1844" i="1" s="1"/>
  <c r="P1845" i="1" s="1"/>
  <c r="P1846" i="1" s="1"/>
  <c r="P1847" i="1" s="1"/>
  <c r="P1848" i="1" s="1"/>
  <c r="P1849" i="1" s="1"/>
  <c r="P1850" i="1" s="1"/>
  <c r="P1851" i="1" s="1"/>
  <c r="P1852" i="1" s="1"/>
  <c r="P1853" i="1" s="1"/>
  <c r="P1854" i="1" s="1"/>
  <c r="P1855" i="1" s="1"/>
  <c r="P1856" i="1" s="1"/>
  <c r="P1857" i="1" s="1"/>
  <c r="P1858" i="1" s="1"/>
  <c r="P1859" i="1" s="1"/>
  <c r="P1860" i="1" s="1"/>
  <c r="P1861" i="1" s="1"/>
  <c r="P1862" i="1" s="1"/>
  <c r="P1863" i="1" s="1"/>
  <c r="P1864" i="1" s="1"/>
  <c r="P1865" i="1" s="1"/>
  <c r="P1866" i="1" s="1"/>
  <c r="P1867" i="1" s="1"/>
  <c r="P1868" i="1" s="1"/>
  <c r="P1869" i="1" s="1"/>
  <c r="P1870" i="1" s="1"/>
  <c r="P1871" i="1" s="1"/>
  <c r="P1872" i="1" s="1"/>
  <c r="P1873" i="1" s="1"/>
  <c r="P1874" i="1" s="1"/>
  <c r="P1875" i="1" s="1"/>
  <c r="P1876" i="1" s="1"/>
  <c r="P1877" i="1" s="1"/>
  <c r="P1878" i="1" s="1"/>
  <c r="P1879" i="1" s="1"/>
  <c r="P1880" i="1" s="1"/>
  <c r="P1881" i="1" s="1"/>
  <c r="P1882" i="1" s="1"/>
  <c r="P1883" i="1" s="1"/>
  <c r="P1884" i="1" s="1"/>
  <c r="P1885" i="1" s="1"/>
  <c r="P1886" i="1" s="1"/>
  <c r="P1887" i="1" s="1"/>
  <c r="P1888" i="1" s="1"/>
  <c r="P1889" i="1" s="1"/>
  <c r="P1890" i="1" s="1"/>
  <c r="P1891" i="1" s="1"/>
  <c r="P1892" i="1" s="1"/>
  <c r="P1893" i="1" s="1"/>
  <c r="P1894" i="1" s="1"/>
  <c r="P1895" i="1" s="1"/>
  <c r="P1896" i="1" s="1"/>
  <c r="P1897" i="1" s="1"/>
  <c r="P1898" i="1" s="1"/>
  <c r="P1899" i="1" s="1"/>
  <c r="P1900" i="1" s="1"/>
  <c r="P1901" i="1" s="1"/>
  <c r="P1902" i="1" s="1"/>
  <c r="P1903" i="1" s="1"/>
  <c r="P1904" i="1" s="1"/>
  <c r="P1905" i="1" s="1"/>
  <c r="P1906" i="1" s="1"/>
  <c r="P1907" i="1" s="1"/>
  <c r="P1908" i="1" s="1"/>
  <c r="P1909" i="1" s="1"/>
  <c r="P1910" i="1" s="1"/>
  <c r="P1911" i="1" s="1"/>
  <c r="P1912" i="1" s="1"/>
  <c r="P1913" i="1" s="1"/>
  <c r="P1914" i="1" s="1"/>
  <c r="P1915" i="1" s="1"/>
  <c r="P1916" i="1" s="1"/>
  <c r="P1917" i="1" s="1"/>
  <c r="P1918" i="1" s="1"/>
  <c r="P1919" i="1" s="1"/>
  <c r="P1920" i="1" s="1"/>
  <c r="P1921" i="1" s="1"/>
  <c r="P1922" i="1" s="1"/>
  <c r="P1923" i="1" s="1"/>
  <c r="P1924" i="1" s="1"/>
  <c r="P1925" i="1" s="1"/>
  <c r="P1926" i="1" s="1"/>
  <c r="P1927" i="1" s="1"/>
  <c r="P1928" i="1" s="1"/>
  <c r="P1929" i="1" s="1"/>
  <c r="P1930" i="1" s="1"/>
  <c r="P1931" i="1" s="1"/>
  <c r="P1932" i="1" s="1"/>
  <c r="P1933" i="1" s="1"/>
  <c r="P1934" i="1" s="1"/>
  <c r="P1935" i="1" s="1"/>
  <c r="P1936" i="1" s="1"/>
  <c r="P1937" i="1" s="1"/>
  <c r="P1938" i="1" s="1"/>
  <c r="P1939" i="1" s="1"/>
  <c r="P1940" i="1" s="1"/>
  <c r="P1941" i="1" s="1"/>
  <c r="P1942" i="1" s="1"/>
  <c r="P1943" i="1" s="1"/>
  <c r="P1944" i="1" s="1"/>
  <c r="P1945" i="1" s="1"/>
  <c r="P1946" i="1" s="1"/>
  <c r="P1947" i="1" s="1"/>
  <c r="P1948" i="1" s="1"/>
  <c r="P1949" i="1" s="1"/>
  <c r="P1950" i="1" s="1"/>
  <c r="P1951" i="1" s="1"/>
  <c r="P1952" i="1" s="1"/>
  <c r="P1953" i="1" s="1"/>
  <c r="P1954" i="1" s="1"/>
  <c r="P1955" i="1" s="1"/>
  <c r="P1956" i="1" s="1"/>
  <c r="P1957" i="1" s="1"/>
  <c r="P1958" i="1" s="1"/>
  <c r="P1959" i="1" s="1"/>
  <c r="P1960" i="1" s="1"/>
  <c r="P1961" i="1" s="1"/>
  <c r="P1962" i="1" s="1"/>
  <c r="P1963" i="1" s="1"/>
  <c r="P1964" i="1" s="1"/>
  <c r="P1965" i="1" s="1"/>
  <c r="P1966" i="1" s="1"/>
  <c r="P1967" i="1" s="1"/>
  <c r="P1968" i="1" s="1"/>
  <c r="P1969" i="1" s="1"/>
  <c r="P1970" i="1" s="1"/>
  <c r="P1971" i="1" s="1"/>
  <c r="P1972" i="1" s="1"/>
  <c r="P1973" i="1" s="1"/>
  <c r="P1974" i="1" s="1"/>
  <c r="P1975" i="1" s="1"/>
  <c r="P1976" i="1" s="1"/>
  <c r="P1977" i="1" s="1"/>
  <c r="P1978" i="1" s="1"/>
  <c r="P1979" i="1" s="1"/>
  <c r="P1980" i="1" s="1"/>
  <c r="P1981" i="1" s="1"/>
  <c r="P1982" i="1" s="1"/>
  <c r="P1983" i="1" s="1"/>
  <c r="P1984" i="1" s="1"/>
  <c r="P1985" i="1" s="1"/>
  <c r="P1986" i="1" s="1"/>
  <c r="P1987" i="1" s="1"/>
  <c r="P1988" i="1" s="1"/>
  <c r="P1989" i="1" s="1"/>
  <c r="P1990" i="1" s="1"/>
  <c r="P1991" i="1" s="1"/>
  <c r="P1992" i="1" s="1"/>
  <c r="P1993" i="1" s="1"/>
  <c r="P1994" i="1" s="1"/>
  <c r="P1995" i="1" s="1"/>
  <c r="P1996" i="1" s="1"/>
  <c r="P1997" i="1" s="1"/>
  <c r="P1998" i="1" s="1"/>
  <c r="P1999" i="1" s="1"/>
  <c r="P2000" i="1" s="1"/>
  <c r="P2001" i="1" s="1"/>
  <c r="P2002" i="1" s="1"/>
  <c r="P2003" i="1" s="1"/>
  <c r="P2004" i="1" s="1"/>
  <c r="P2005" i="1" s="1"/>
  <c r="P2006" i="1" s="1"/>
  <c r="P2007" i="1" s="1"/>
  <c r="P2008" i="1" s="1"/>
  <c r="P2009" i="1" s="1"/>
  <c r="P2010" i="1" s="1"/>
  <c r="P2011" i="1" s="1"/>
  <c r="P2012" i="1" s="1"/>
  <c r="P2013" i="1" s="1"/>
  <c r="P2014" i="1" s="1"/>
  <c r="P2015" i="1" s="1"/>
  <c r="P2016" i="1" s="1"/>
  <c r="P2017" i="1" s="1"/>
  <c r="P2018" i="1" s="1"/>
  <c r="P2019" i="1" s="1"/>
  <c r="P2020" i="1" s="1"/>
  <c r="P2021" i="1" s="1"/>
  <c r="P2022" i="1" s="1"/>
  <c r="P2023" i="1" s="1"/>
  <c r="P2024" i="1" s="1"/>
  <c r="P2025" i="1" s="1"/>
  <c r="P2026" i="1" s="1"/>
  <c r="P2027" i="1" s="1"/>
  <c r="P2028" i="1" s="1"/>
  <c r="P2029" i="1" s="1"/>
  <c r="P2030" i="1" s="1"/>
  <c r="P2031" i="1" s="1"/>
  <c r="P2032" i="1" s="1"/>
  <c r="P2033" i="1" s="1"/>
  <c r="P2034" i="1" s="1"/>
  <c r="P2035" i="1" s="1"/>
  <c r="P2036" i="1" s="1"/>
  <c r="P2037" i="1" s="1"/>
  <c r="P2038" i="1" s="1"/>
  <c r="P2039" i="1" s="1"/>
  <c r="P2040" i="1" s="1"/>
  <c r="P2041" i="1" s="1"/>
  <c r="P2042" i="1" s="1"/>
  <c r="P2043" i="1" s="1"/>
  <c r="P2044" i="1" s="1"/>
  <c r="P2045" i="1" s="1"/>
  <c r="P2046" i="1" s="1"/>
  <c r="P2047" i="1" s="1"/>
  <c r="P2048" i="1" s="1"/>
  <c r="P2049" i="1" s="1"/>
  <c r="P2050" i="1" s="1"/>
  <c r="P2051" i="1" s="1"/>
  <c r="P2052" i="1" s="1"/>
  <c r="P2053" i="1" s="1"/>
  <c r="P2054" i="1" s="1"/>
  <c r="P2055" i="1" s="1"/>
  <c r="P2056" i="1" s="1"/>
  <c r="P2057" i="1" s="1"/>
  <c r="P2058" i="1" s="1"/>
  <c r="P2059" i="1" s="1"/>
  <c r="P2060" i="1" s="1"/>
  <c r="P2061" i="1" s="1"/>
  <c r="P2062" i="1" s="1"/>
  <c r="P2063" i="1" s="1"/>
  <c r="P2064" i="1" s="1"/>
  <c r="P2065" i="1" s="1"/>
  <c r="P2066" i="1" s="1"/>
  <c r="P2067" i="1" s="1"/>
  <c r="P2068" i="1" s="1"/>
  <c r="P2069" i="1" s="1"/>
  <c r="P2070" i="1" s="1"/>
  <c r="P2071" i="1" s="1"/>
  <c r="P2072" i="1" s="1"/>
  <c r="P2073" i="1" s="1"/>
  <c r="P2074" i="1" s="1"/>
  <c r="P2075" i="1" s="1"/>
  <c r="P2076" i="1" s="1"/>
  <c r="P2077" i="1" s="1"/>
  <c r="P2078" i="1" s="1"/>
  <c r="P2079" i="1" s="1"/>
  <c r="P2080" i="1" s="1"/>
  <c r="P2081" i="1" s="1"/>
  <c r="P2082" i="1" s="1"/>
  <c r="P2083" i="1" s="1"/>
  <c r="P2084" i="1" s="1"/>
  <c r="P2085" i="1" s="1"/>
  <c r="P2086" i="1" s="1"/>
  <c r="P2087" i="1" s="1"/>
  <c r="P2088" i="1" s="1"/>
  <c r="P2089" i="1" s="1"/>
  <c r="P2090" i="1" s="1"/>
  <c r="P2091" i="1" s="1"/>
  <c r="P2092" i="1" s="1"/>
  <c r="P2093" i="1" s="1"/>
  <c r="P2094" i="1" s="1"/>
  <c r="P2095" i="1" s="1"/>
  <c r="P2096" i="1" s="1"/>
  <c r="P2097" i="1" s="1"/>
  <c r="P2098" i="1" s="1"/>
  <c r="P2099" i="1" s="1"/>
  <c r="P2100" i="1" s="1"/>
  <c r="P2101" i="1" s="1"/>
  <c r="P2102" i="1" s="1"/>
  <c r="P2103" i="1" s="1"/>
  <c r="P2104" i="1" s="1"/>
  <c r="P2105" i="1" s="1"/>
  <c r="P2106" i="1" s="1"/>
  <c r="P2107" i="1" s="1"/>
  <c r="P2108" i="1" s="1"/>
  <c r="P2109" i="1" s="1"/>
  <c r="P2110" i="1" s="1"/>
  <c r="P2111" i="1" s="1"/>
  <c r="P2112" i="1" s="1"/>
  <c r="P2113" i="1" s="1"/>
  <c r="P2114" i="1" s="1"/>
  <c r="P2115" i="1" s="1"/>
  <c r="P2116" i="1" s="1"/>
  <c r="P2117" i="1" s="1"/>
  <c r="P2118" i="1" s="1"/>
  <c r="P2119" i="1" s="1"/>
  <c r="P2120" i="1" s="1"/>
  <c r="P2121" i="1" s="1"/>
  <c r="P2122" i="1" s="1"/>
  <c r="P2123" i="1" s="1"/>
  <c r="P2124" i="1" s="1"/>
  <c r="P2125" i="1" s="1"/>
  <c r="P2126" i="1" s="1"/>
  <c r="P2127" i="1" s="1"/>
  <c r="P2128" i="1" s="1"/>
  <c r="P2129" i="1" s="1"/>
  <c r="P2130" i="1" s="1"/>
  <c r="P2131" i="1" s="1"/>
  <c r="P2132" i="1" s="1"/>
  <c r="P2133" i="1" s="1"/>
  <c r="P2134" i="1" s="1"/>
  <c r="P2135" i="1" s="1"/>
  <c r="P2136" i="1" s="1"/>
  <c r="P2137" i="1" s="1"/>
  <c r="P2138" i="1" s="1"/>
  <c r="P2139" i="1" s="1"/>
  <c r="P2140" i="1" s="1"/>
  <c r="P2141" i="1" s="1"/>
  <c r="P2142" i="1" s="1"/>
  <c r="P2143" i="1" s="1"/>
  <c r="P2144" i="1" s="1"/>
  <c r="P2145" i="1" s="1"/>
  <c r="P2146" i="1" s="1"/>
  <c r="P2147" i="1" s="1"/>
  <c r="P2148" i="1" s="1"/>
  <c r="P2149" i="1" s="1"/>
  <c r="P2150" i="1" s="1"/>
  <c r="P2151" i="1" s="1"/>
  <c r="P2152" i="1" s="1"/>
  <c r="P2153" i="1" s="1"/>
  <c r="P2154" i="1" s="1"/>
  <c r="P2155" i="1" s="1"/>
  <c r="P2156" i="1" s="1"/>
  <c r="P2157" i="1" s="1"/>
  <c r="P2158" i="1" s="1"/>
  <c r="P2159" i="1" s="1"/>
  <c r="P2160" i="1" s="1"/>
  <c r="P2161" i="1" s="1"/>
  <c r="P2162" i="1" s="1"/>
  <c r="P2163" i="1" s="1"/>
  <c r="P2164" i="1" s="1"/>
  <c r="P2165" i="1" s="1"/>
  <c r="P2166" i="1" s="1"/>
  <c r="P2167" i="1" s="1"/>
  <c r="P2168" i="1" s="1"/>
  <c r="P2169" i="1" s="1"/>
  <c r="P2170" i="1" s="1"/>
  <c r="P2171" i="1" s="1"/>
  <c r="P2172" i="1" s="1"/>
  <c r="P2173" i="1" s="1"/>
  <c r="P2174" i="1" s="1"/>
  <c r="P2175" i="1" s="1"/>
  <c r="P2176" i="1" s="1"/>
  <c r="P2177" i="1" s="1"/>
  <c r="P2178" i="1" s="1"/>
  <c r="P2179" i="1" s="1"/>
  <c r="P2180" i="1" s="1"/>
  <c r="P2181" i="1" s="1"/>
  <c r="P2182" i="1" s="1"/>
  <c r="P2183" i="1" s="1"/>
  <c r="P2184" i="1" s="1"/>
  <c r="P2185" i="1" s="1"/>
  <c r="P2186" i="1" s="1"/>
  <c r="P2187" i="1" s="1"/>
  <c r="P2188" i="1" s="1"/>
  <c r="P2189" i="1" s="1"/>
  <c r="P2190" i="1" s="1"/>
  <c r="P2191" i="1" s="1"/>
  <c r="P2192" i="1" s="1"/>
  <c r="P2193" i="1" s="1"/>
  <c r="P2194" i="1" s="1"/>
  <c r="P2195" i="1" s="1"/>
  <c r="P2196" i="1" s="1"/>
  <c r="P2197" i="1" s="1"/>
  <c r="P2198" i="1" s="1"/>
  <c r="P2199" i="1" s="1"/>
  <c r="P2200" i="1" s="1"/>
  <c r="P2201" i="1" s="1"/>
  <c r="P2202" i="1" s="1"/>
  <c r="P2203" i="1" s="1"/>
  <c r="P2204" i="1" s="1"/>
  <c r="P2205" i="1" s="1"/>
  <c r="P2206" i="1" s="1"/>
  <c r="P2207" i="1" s="1"/>
  <c r="P2208" i="1" s="1"/>
  <c r="P2209" i="1" s="1"/>
  <c r="P2210" i="1" s="1"/>
  <c r="P2211" i="1" s="1"/>
  <c r="P2212" i="1" s="1"/>
  <c r="P2213" i="1" s="1"/>
  <c r="P2214" i="1" s="1"/>
  <c r="P2215" i="1" s="1"/>
  <c r="P2216" i="1" s="1"/>
  <c r="P2217" i="1" s="1"/>
  <c r="P2218" i="1" s="1"/>
  <c r="P2219" i="1" s="1"/>
  <c r="P2220" i="1" s="1"/>
  <c r="P2221" i="1" s="1"/>
  <c r="P2222" i="1" s="1"/>
  <c r="P2223" i="1" s="1"/>
  <c r="P2224" i="1" s="1"/>
  <c r="P2225" i="1" s="1"/>
  <c r="P2226" i="1" s="1"/>
  <c r="P2227" i="1" s="1"/>
  <c r="P2228" i="1" s="1"/>
  <c r="P2229" i="1" s="1"/>
  <c r="P2230" i="1" s="1"/>
  <c r="P2231" i="1" s="1"/>
  <c r="P2232" i="1" s="1"/>
  <c r="P2233" i="1" s="1"/>
  <c r="P2234" i="1" s="1"/>
  <c r="P2235" i="1" s="1"/>
  <c r="P2236" i="1" s="1"/>
  <c r="P2237" i="1" s="1"/>
  <c r="P2238" i="1" s="1"/>
  <c r="P2239" i="1" s="1"/>
  <c r="P2240" i="1" s="1"/>
  <c r="P2241" i="1" s="1"/>
  <c r="P2242" i="1" s="1"/>
  <c r="P2243" i="1" s="1"/>
  <c r="P2244" i="1" s="1"/>
  <c r="P2245" i="1" s="1"/>
  <c r="P2246" i="1" s="1"/>
  <c r="P2247" i="1" s="1"/>
  <c r="P2248" i="1" s="1"/>
  <c r="P2249" i="1" s="1"/>
  <c r="P2250" i="1" s="1"/>
  <c r="P2251" i="1" s="1"/>
  <c r="P2252" i="1" s="1"/>
  <c r="P2253" i="1" s="1"/>
  <c r="P2254" i="1" s="1"/>
  <c r="P2255" i="1" s="1"/>
  <c r="P2256" i="1" s="1"/>
  <c r="P2257" i="1" s="1"/>
  <c r="P2258" i="1" s="1"/>
  <c r="P2259" i="1" s="1"/>
  <c r="P2260" i="1" s="1"/>
  <c r="P2261" i="1" s="1"/>
  <c r="P2262" i="1" s="1"/>
  <c r="P2263" i="1" s="1"/>
  <c r="P2264" i="1" s="1"/>
  <c r="P2265" i="1" s="1"/>
  <c r="P2266" i="1" s="1"/>
  <c r="P2267" i="1" s="1"/>
  <c r="P2268" i="1" s="1"/>
  <c r="P2269" i="1" s="1"/>
  <c r="P2270" i="1" s="1"/>
  <c r="P2271" i="1" s="1"/>
  <c r="P2272" i="1" s="1"/>
  <c r="P2273" i="1" s="1"/>
  <c r="P2274" i="1" s="1"/>
  <c r="P2275" i="1" s="1"/>
  <c r="P2276" i="1" s="1"/>
  <c r="P2277" i="1" s="1"/>
  <c r="P2278" i="1" s="1"/>
  <c r="P2279" i="1" s="1"/>
  <c r="P2280" i="1" s="1"/>
  <c r="P2281" i="1" s="1"/>
  <c r="P2282" i="1" s="1"/>
  <c r="P2283" i="1" s="1"/>
  <c r="P2284" i="1" s="1"/>
  <c r="P2285" i="1" s="1"/>
  <c r="P2286" i="1" s="1"/>
  <c r="P2287" i="1" s="1"/>
  <c r="P2288" i="1" s="1"/>
  <c r="P2289" i="1" s="1"/>
  <c r="P2290" i="1" s="1"/>
  <c r="P2291" i="1" s="1"/>
  <c r="P2292" i="1" s="1"/>
  <c r="P2293" i="1" s="1"/>
  <c r="P2294" i="1" s="1"/>
  <c r="P2295" i="1" s="1"/>
  <c r="P2296" i="1" s="1"/>
  <c r="P2297" i="1" s="1"/>
  <c r="P2298" i="1" s="1"/>
  <c r="P2299" i="1" s="1"/>
  <c r="P2300" i="1" s="1"/>
  <c r="P2301" i="1" s="1"/>
  <c r="P2302" i="1" s="1"/>
  <c r="P2303" i="1" s="1"/>
  <c r="P2304" i="1" s="1"/>
  <c r="P2305" i="1" s="1"/>
  <c r="P2306" i="1" s="1"/>
  <c r="P2307" i="1" s="1"/>
  <c r="P2308" i="1" s="1"/>
  <c r="P2309" i="1" s="1"/>
  <c r="P2310" i="1" s="1"/>
  <c r="P2311" i="1" s="1"/>
  <c r="P2312" i="1" s="1"/>
  <c r="P2313" i="1" s="1"/>
  <c r="P2314" i="1" s="1"/>
  <c r="P2315" i="1" s="1"/>
  <c r="P2316" i="1" s="1"/>
  <c r="P2317" i="1" s="1"/>
  <c r="P2318" i="1" s="1"/>
  <c r="P2319" i="1" s="1"/>
  <c r="P2320" i="1" s="1"/>
  <c r="P2321" i="1" s="1"/>
  <c r="P2322" i="1" s="1"/>
  <c r="P2323" i="1" s="1"/>
  <c r="P2324" i="1" s="1"/>
  <c r="P2325" i="1" s="1"/>
  <c r="P2326" i="1" s="1"/>
  <c r="P2327" i="1" s="1"/>
  <c r="P2328" i="1" s="1"/>
  <c r="P2329" i="1" s="1"/>
  <c r="P2330" i="1" s="1"/>
  <c r="P2331" i="1" s="1"/>
  <c r="P2332" i="1" s="1"/>
  <c r="P2333" i="1" s="1"/>
  <c r="P2334" i="1" s="1"/>
  <c r="P2335" i="1" s="1"/>
  <c r="P2336" i="1" s="1"/>
  <c r="P2337" i="1" s="1"/>
  <c r="P2338" i="1" s="1"/>
  <c r="P2339" i="1" s="1"/>
  <c r="P2340" i="1" s="1"/>
  <c r="P2341" i="1" s="1"/>
  <c r="P2342" i="1" s="1"/>
  <c r="P2343" i="1" s="1"/>
  <c r="P2344" i="1" s="1"/>
  <c r="P2345" i="1" s="1"/>
  <c r="P2346" i="1" s="1"/>
  <c r="P2347" i="1" s="1"/>
  <c r="P2348" i="1" s="1"/>
  <c r="P2349" i="1" s="1"/>
  <c r="P2350" i="1" s="1"/>
  <c r="P2351" i="1" s="1"/>
  <c r="P2352" i="1" s="1"/>
  <c r="P2353" i="1" s="1"/>
  <c r="P2354" i="1" s="1"/>
  <c r="P2355" i="1" s="1"/>
  <c r="P2356" i="1" s="1"/>
  <c r="P2357" i="1" s="1"/>
  <c r="P2358" i="1" s="1"/>
  <c r="P2359" i="1" s="1"/>
  <c r="P2360" i="1" s="1"/>
  <c r="P2361" i="1" s="1"/>
  <c r="P2362" i="1" s="1"/>
  <c r="P2363" i="1" s="1"/>
  <c r="P2364" i="1" s="1"/>
  <c r="P2365" i="1" s="1"/>
  <c r="P2366" i="1" s="1"/>
  <c r="P2367" i="1" s="1"/>
  <c r="P2368" i="1" s="1"/>
  <c r="P2369" i="1" s="1"/>
  <c r="P2370" i="1" s="1"/>
  <c r="P2371" i="1" s="1"/>
  <c r="P2372" i="1" s="1"/>
  <c r="P2373" i="1" s="1"/>
  <c r="P2374" i="1" s="1"/>
  <c r="P2375" i="1" s="1"/>
  <c r="P2376" i="1" s="1"/>
  <c r="P2377" i="1" s="1"/>
  <c r="P2378" i="1" s="1"/>
  <c r="P2379" i="1" s="1"/>
  <c r="P2380" i="1" s="1"/>
  <c r="P2381" i="1" s="1"/>
  <c r="P2382" i="1" s="1"/>
  <c r="P2383" i="1" s="1"/>
  <c r="P2384" i="1" s="1"/>
  <c r="P2385" i="1" s="1"/>
  <c r="P2386" i="1" s="1"/>
  <c r="P2387" i="1" s="1"/>
  <c r="P2388" i="1" s="1"/>
  <c r="P2389" i="1" s="1"/>
  <c r="P2390" i="1" s="1"/>
  <c r="P2391" i="1" s="1"/>
  <c r="P2392" i="1" s="1"/>
  <c r="P2393" i="1" s="1"/>
  <c r="P2394" i="1" s="1"/>
  <c r="P2395" i="1" s="1"/>
  <c r="P2396" i="1" s="1"/>
  <c r="P2397" i="1" s="1"/>
  <c r="P2398" i="1" s="1"/>
  <c r="P2399" i="1" s="1"/>
  <c r="P2400" i="1" s="1"/>
  <c r="P2401" i="1" s="1"/>
  <c r="P2402" i="1" s="1"/>
  <c r="P2403" i="1" s="1"/>
  <c r="P2404" i="1" s="1"/>
  <c r="P2405" i="1" s="1"/>
  <c r="P2406" i="1" s="1"/>
  <c r="P2407" i="1" s="1"/>
  <c r="P2408" i="1" s="1"/>
  <c r="P2409" i="1" s="1"/>
  <c r="P2410" i="1" s="1"/>
  <c r="P2411" i="1" s="1"/>
  <c r="P2412" i="1" s="1"/>
  <c r="P2413" i="1" s="1"/>
  <c r="P2414" i="1" s="1"/>
  <c r="P2415" i="1" s="1"/>
  <c r="P2416" i="1" s="1"/>
  <c r="P2417" i="1" s="1"/>
  <c r="P2418" i="1" s="1"/>
  <c r="P2419" i="1" s="1"/>
  <c r="P2420" i="1" s="1"/>
  <c r="P2421" i="1" s="1"/>
  <c r="P2422" i="1" s="1"/>
  <c r="P2423" i="1" s="1"/>
  <c r="P2424" i="1" s="1"/>
  <c r="P2425" i="1" s="1"/>
  <c r="P2426" i="1" s="1"/>
  <c r="P2427" i="1" s="1"/>
  <c r="P2428" i="1" s="1"/>
  <c r="P2429" i="1" s="1"/>
  <c r="P2430" i="1" s="1"/>
  <c r="P2431" i="1" s="1"/>
  <c r="P2432" i="1" s="1"/>
  <c r="P2433" i="1" s="1"/>
  <c r="P2434" i="1" s="1"/>
  <c r="P2435" i="1" s="1"/>
  <c r="P2436" i="1" s="1"/>
  <c r="P2437" i="1" s="1"/>
  <c r="P2438" i="1" s="1"/>
  <c r="P2439" i="1" s="1"/>
  <c r="P2440" i="1" s="1"/>
  <c r="P2441" i="1" s="1"/>
  <c r="P2442" i="1" s="1"/>
  <c r="P2443" i="1" s="1"/>
  <c r="P2444" i="1" s="1"/>
  <c r="P2445" i="1" s="1"/>
  <c r="P2446" i="1" s="1"/>
  <c r="P2447" i="1" s="1"/>
  <c r="P2448" i="1" s="1"/>
  <c r="P2449" i="1" s="1"/>
  <c r="P2450" i="1" s="1"/>
  <c r="P2451" i="1" s="1"/>
  <c r="P2452" i="1" s="1"/>
  <c r="P2453" i="1" s="1"/>
  <c r="P2454" i="1" s="1"/>
  <c r="P2455" i="1" s="1"/>
  <c r="P2456" i="1" s="1"/>
  <c r="P2457" i="1" s="1"/>
  <c r="P2458" i="1" s="1"/>
  <c r="P2459" i="1" s="1"/>
  <c r="P2460" i="1" s="1"/>
  <c r="P2461" i="1" s="1"/>
  <c r="P2462" i="1" s="1"/>
  <c r="P2463" i="1" s="1"/>
  <c r="P2464" i="1" s="1"/>
  <c r="P2465" i="1" s="1"/>
  <c r="P2466" i="1" s="1"/>
  <c r="P2467" i="1" s="1"/>
  <c r="P2468" i="1" s="1"/>
  <c r="P2469" i="1" s="1"/>
  <c r="P2470" i="1" s="1"/>
  <c r="P2471" i="1" s="1"/>
  <c r="P2472" i="1" s="1"/>
  <c r="P2473" i="1" s="1"/>
  <c r="P2474" i="1" s="1"/>
  <c r="P2475" i="1" s="1"/>
  <c r="P2476" i="1" s="1"/>
  <c r="P2477" i="1" s="1"/>
  <c r="P2478" i="1" s="1"/>
  <c r="P2479" i="1" s="1"/>
  <c r="P2480" i="1" s="1"/>
  <c r="P2481" i="1" s="1"/>
  <c r="P2482" i="1" s="1"/>
  <c r="P2483" i="1" s="1"/>
  <c r="P2484" i="1" s="1"/>
  <c r="P2485" i="1" s="1"/>
  <c r="P2486" i="1" s="1"/>
  <c r="P2487" i="1" s="1"/>
  <c r="P2488" i="1" s="1"/>
  <c r="P2489" i="1" s="1"/>
  <c r="P2490" i="1" s="1"/>
  <c r="P2491" i="1" s="1"/>
  <c r="P2492" i="1" s="1"/>
  <c r="P2493" i="1" s="1"/>
  <c r="P2494" i="1" s="1"/>
  <c r="P2495" i="1" s="1"/>
  <c r="P2496" i="1" s="1"/>
  <c r="P2497" i="1" s="1"/>
  <c r="P2498" i="1" s="1"/>
  <c r="P2499" i="1" s="1"/>
  <c r="P2500" i="1" s="1"/>
  <c r="P2501" i="1" s="1"/>
  <c r="P2502" i="1" s="1"/>
  <c r="P2503" i="1" s="1"/>
  <c r="P2504" i="1" s="1"/>
  <c r="P2505" i="1" s="1"/>
  <c r="P2506" i="1" s="1"/>
  <c r="P2507" i="1" s="1"/>
  <c r="P2508" i="1" s="1"/>
  <c r="P2509" i="1" s="1"/>
  <c r="P2510" i="1" s="1"/>
  <c r="P2511" i="1" s="1"/>
  <c r="P2512" i="1" s="1"/>
  <c r="P2513" i="1" s="1"/>
  <c r="P2514" i="1" s="1"/>
  <c r="P2515" i="1" s="1"/>
  <c r="P2516" i="1" s="1"/>
  <c r="P2517" i="1" s="1"/>
  <c r="P2518" i="1" s="1"/>
  <c r="P2519" i="1" s="1"/>
  <c r="P2520" i="1" s="1"/>
  <c r="P2521" i="1" s="1"/>
  <c r="P2522" i="1" s="1"/>
  <c r="P2523" i="1" s="1"/>
  <c r="P2524" i="1" s="1"/>
  <c r="P2525" i="1" s="1"/>
  <c r="P2526" i="1" s="1"/>
  <c r="P2527" i="1" s="1"/>
  <c r="P2528" i="1" s="1"/>
  <c r="P2529" i="1" s="1"/>
  <c r="P2530" i="1" s="1"/>
  <c r="P2531" i="1" s="1"/>
  <c r="P2532" i="1" s="1"/>
  <c r="P2533" i="1" s="1"/>
  <c r="P2534" i="1" s="1"/>
  <c r="P2535" i="1" s="1"/>
  <c r="P2536" i="1" s="1"/>
  <c r="P2537" i="1" s="1"/>
  <c r="P2538" i="1" s="1"/>
  <c r="P2539" i="1" s="1"/>
  <c r="P2540" i="1" s="1"/>
  <c r="P2541" i="1" s="1"/>
  <c r="P2542" i="1" s="1"/>
  <c r="P2543" i="1" s="1"/>
  <c r="P2544" i="1" s="1"/>
  <c r="P2545" i="1" s="1"/>
  <c r="P2546" i="1" s="1"/>
  <c r="P2547" i="1" s="1"/>
  <c r="P2548" i="1" s="1"/>
  <c r="P2549" i="1" s="1"/>
  <c r="P2550" i="1" s="1"/>
  <c r="P2551" i="1" s="1"/>
  <c r="P2552" i="1" s="1"/>
  <c r="P2553" i="1" s="1"/>
  <c r="P2554" i="1" s="1"/>
  <c r="P2555" i="1" s="1"/>
  <c r="P2556" i="1" s="1"/>
  <c r="P2557" i="1" s="1"/>
  <c r="P2558" i="1" s="1"/>
  <c r="P2559" i="1" s="1"/>
  <c r="P2560" i="1" s="1"/>
  <c r="P2561" i="1" s="1"/>
  <c r="P2562" i="1" s="1"/>
  <c r="P2563" i="1" s="1"/>
  <c r="P2564" i="1" s="1"/>
  <c r="P2565" i="1" s="1"/>
  <c r="P2566" i="1" s="1"/>
  <c r="P2567" i="1" s="1"/>
  <c r="P2568" i="1" s="1"/>
  <c r="P2569" i="1" s="1"/>
  <c r="P2570" i="1" s="1"/>
  <c r="P2571" i="1" s="1"/>
  <c r="P2572" i="1" s="1"/>
  <c r="P2573" i="1" s="1"/>
  <c r="P2574" i="1" s="1"/>
  <c r="P2575" i="1" s="1"/>
  <c r="P2576" i="1" s="1"/>
  <c r="P2577" i="1" s="1"/>
  <c r="P2578" i="1" s="1"/>
  <c r="P2579" i="1" s="1"/>
  <c r="P2580" i="1" s="1"/>
  <c r="P2581" i="1" s="1"/>
  <c r="P2582" i="1" s="1"/>
  <c r="P2583" i="1" s="1"/>
  <c r="P2584" i="1" s="1"/>
  <c r="P2585" i="1" s="1"/>
  <c r="P2586" i="1" s="1"/>
  <c r="P2587" i="1" s="1"/>
  <c r="P2588" i="1" s="1"/>
  <c r="P2589" i="1" s="1"/>
  <c r="P2590" i="1" s="1"/>
  <c r="P2591" i="1" s="1"/>
  <c r="P2592" i="1" s="1"/>
  <c r="P2593" i="1" s="1"/>
  <c r="P2594" i="1" s="1"/>
  <c r="P2595" i="1" s="1"/>
  <c r="P2596" i="1" s="1"/>
  <c r="P2597" i="1" s="1"/>
  <c r="P2598" i="1" s="1"/>
  <c r="P2599" i="1" s="1"/>
  <c r="P2600" i="1" s="1"/>
  <c r="P2601" i="1" s="1"/>
  <c r="P2602" i="1" s="1"/>
  <c r="P2603" i="1" s="1"/>
  <c r="P2604" i="1" s="1"/>
  <c r="P2605" i="1" s="1"/>
  <c r="P2606" i="1" s="1"/>
  <c r="P2607" i="1" s="1"/>
  <c r="P2608" i="1" s="1"/>
  <c r="P2609" i="1" s="1"/>
  <c r="P2610" i="1" s="1"/>
  <c r="P2611" i="1" s="1"/>
  <c r="P2612" i="1" s="1"/>
  <c r="P2613" i="1" s="1"/>
  <c r="P2614" i="1" s="1"/>
  <c r="P2615" i="1" s="1"/>
  <c r="P2616" i="1" s="1"/>
  <c r="P2617" i="1" s="1"/>
  <c r="P2618" i="1" s="1"/>
  <c r="P2619" i="1" s="1"/>
  <c r="P2620" i="1" s="1"/>
  <c r="P2621" i="1" s="1"/>
  <c r="P2622" i="1" s="1"/>
  <c r="P2623" i="1" s="1"/>
  <c r="P2624" i="1" s="1"/>
  <c r="P2625" i="1" s="1"/>
  <c r="P2626" i="1" s="1"/>
  <c r="P2627" i="1" s="1"/>
  <c r="P2628" i="1" s="1"/>
  <c r="P2629" i="1" s="1"/>
  <c r="P2630" i="1" s="1"/>
  <c r="P2631" i="1" s="1"/>
  <c r="P2632" i="1" s="1"/>
  <c r="P2633" i="1" s="1"/>
  <c r="P2634" i="1" s="1"/>
  <c r="P2635" i="1" s="1"/>
  <c r="P2636" i="1" s="1"/>
  <c r="P2637" i="1" s="1"/>
  <c r="P2638" i="1" s="1"/>
  <c r="P2639" i="1" s="1"/>
  <c r="P2640" i="1" s="1"/>
  <c r="P2641" i="1" s="1"/>
  <c r="P2642" i="1" s="1"/>
  <c r="P2643" i="1" s="1"/>
  <c r="P2644" i="1" s="1"/>
  <c r="P2645" i="1" s="1"/>
  <c r="P2646" i="1" s="1"/>
  <c r="P2647" i="1" s="1"/>
  <c r="P2648" i="1" s="1"/>
  <c r="P2649" i="1" s="1"/>
  <c r="P2650" i="1" s="1"/>
  <c r="P2651" i="1" s="1"/>
  <c r="P2652" i="1" s="1"/>
  <c r="P2653" i="1" s="1"/>
  <c r="P2654" i="1" s="1"/>
  <c r="P2655" i="1" s="1"/>
  <c r="P2656" i="1" s="1"/>
  <c r="P2657" i="1" s="1"/>
  <c r="P2658" i="1" s="1"/>
  <c r="P2659" i="1" s="1"/>
  <c r="P2660" i="1" s="1"/>
  <c r="P2661" i="1" s="1"/>
  <c r="P2662" i="1" s="1"/>
  <c r="P2663" i="1" s="1"/>
  <c r="P2664" i="1" s="1"/>
  <c r="P2665" i="1" s="1"/>
  <c r="P2666" i="1" s="1"/>
  <c r="P2667" i="1" s="1"/>
  <c r="P2668" i="1" s="1"/>
  <c r="P2669" i="1" s="1"/>
  <c r="P2670" i="1" s="1"/>
  <c r="P2671" i="1" s="1"/>
  <c r="P2672" i="1" s="1"/>
  <c r="P2673" i="1" s="1"/>
  <c r="P2674" i="1" s="1"/>
  <c r="P2675" i="1" s="1"/>
  <c r="P2676" i="1" s="1"/>
  <c r="P2677" i="1" s="1"/>
  <c r="P2678" i="1" s="1"/>
  <c r="P2679" i="1" s="1"/>
  <c r="P2680" i="1" s="1"/>
  <c r="P2681" i="1" s="1"/>
  <c r="P2682" i="1" s="1"/>
  <c r="P2683" i="1" s="1"/>
  <c r="P2684" i="1" s="1"/>
  <c r="P2685" i="1" s="1"/>
  <c r="P2686" i="1" s="1"/>
  <c r="P2687" i="1" s="1"/>
  <c r="P2688" i="1" s="1"/>
  <c r="P2689" i="1" s="1"/>
  <c r="P2690" i="1" s="1"/>
  <c r="P2691" i="1" s="1"/>
  <c r="P2692" i="1" s="1"/>
  <c r="P2693" i="1" s="1"/>
  <c r="P2694" i="1" s="1"/>
  <c r="P2695" i="1" s="1"/>
  <c r="P2696" i="1" s="1"/>
  <c r="P2697" i="1" s="1"/>
  <c r="P2698" i="1" s="1"/>
  <c r="P2699" i="1" s="1"/>
  <c r="P2700" i="1" s="1"/>
  <c r="P2701" i="1" s="1"/>
  <c r="P2702" i="1" s="1"/>
  <c r="P2703" i="1" s="1"/>
  <c r="P2704" i="1" s="1"/>
  <c r="P2705" i="1" s="1"/>
  <c r="P2706" i="1" s="1"/>
  <c r="P2707" i="1" s="1"/>
  <c r="P2708" i="1" s="1"/>
  <c r="P2709" i="1" s="1"/>
  <c r="P2710" i="1" s="1"/>
  <c r="P2711" i="1" s="1"/>
  <c r="P2712" i="1" s="1"/>
  <c r="P2713" i="1" s="1"/>
  <c r="P2714" i="1" s="1"/>
  <c r="P2715" i="1" s="1"/>
  <c r="P2716" i="1" s="1"/>
  <c r="P2717" i="1" s="1"/>
  <c r="P2718" i="1" s="1"/>
  <c r="P2719" i="1" s="1"/>
  <c r="P2720" i="1" s="1"/>
  <c r="P2721" i="1" s="1"/>
  <c r="P2722" i="1" s="1"/>
  <c r="P2723" i="1" s="1"/>
  <c r="P2724" i="1" s="1"/>
  <c r="P2725" i="1" s="1"/>
  <c r="P2726" i="1" s="1"/>
  <c r="P2727" i="1" s="1"/>
  <c r="P2728" i="1" s="1"/>
  <c r="P2729" i="1" s="1"/>
  <c r="P2730" i="1" s="1"/>
  <c r="P2731" i="1" s="1"/>
  <c r="P2732" i="1" s="1"/>
  <c r="P2733" i="1" s="1"/>
  <c r="P2734" i="1" s="1"/>
  <c r="P2735" i="1" s="1"/>
  <c r="P2736" i="1" s="1"/>
  <c r="P2737" i="1" s="1"/>
  <c r="P2738" i="1" s="1"/>
  <c r="P2739" i="1" s="1"/>
  <c r="P2740" i="1" s="1"/>
  <c r="P2741" i="1" s="1"/>
  <c r="P2742" i="1" s="1"/>
  <c r="P2743" i="1" s="1"/>
  <c r="P2744" i="1" s="1"/>
  <c r="P2745" i="1" s="1"/>
  <c r="P2746" i="1" s="1"/>
  <c r="P2747" i="1" s="1"/>
  <c r="P2748" i="1" s="1"/>
  <c r="P2749" i="1" s="1"/>
  <c r="P2750" i="1" s="1"/>
  <c r="P2751" i="1" s="1"/>
  <c r="P2752" i="1" s="1"/>
  <c r="P2753" i="1" s="1"/>
  <c r="P2754" i="1" s="1"/>
  <c r="P2755" i="1" s="1"/>
  <c r="P2756" i="1" s="1"/>
  <c r="P2757" i="1" s="1"/>
  <c r="P2758" i="1" s="1"/>
  <c r="P2759" i="1" s="1"/>
  <c r="P2760" i="1" s="1"/>
  <c r="P2761" i="1" s="1"/>
  <c r="P2762" i="1" s="1"/>
  <c r="P2763" i="1" s="1"/>
  <c r="P2764" i="1" s="1"/>
  <c r="P2765" i="1" s="1"/>
  <c r="P2766" i="1" s="1"/>
  <c r="P2767" i="1" s="1"/>
  <c r="P2768" i="1" s="1"/>
  <c r="P2769" i="1" s="1"/>
  <c r="P2770" i="1" s="1"/>
  <c r="P2771" i="1" s="1"/>
  <c r="P2772" i="1" s="1"/>
  <c r="P2773" i="1" s="1"/>
  <c r="P2774" i="1" s="1"/>
  <c r="P2775" i="1" s="1"/>
  <c r="P2776" i="1" s="1"/>
  <c r="P2777" i="1" s="1"/>
  <c r="P2778" i="1" s="1"/>
  <c r="P2779" i="1" s="1"/>
  <c r="P2780" i="1" s="1"/>
  <c r="P2781" i="1" s="1"/>
  <c r="P2782" i="1" s="1"/>
  <c r="P2783" i="1" s="1"/>
  <c r="P2784" i="1" s="1"/>
  <c r="P2785" i="1" s="1"/>
  <c r="P2786" i="1" s="1"/>
  <c r="P2787" i="1" s="1"/>
  <c r="P2788" i="1" s="1"/>
  <c r="P2789" i="1" s="1"/>
  <c r="P2790" i="1" s="1"/>
  <c r="P2791" i="1" s="1"/>
  <c r="P2792" i="1" s="1"/>
  <c r="P2793" i="1" s="1"/>
  <c r="P2794" i="1" s="1"/>
  <c r="P2795" i="1" s="1"/>
  <c r="P2796" i="1" s="1"/>
  <c r="P2797" i="1" s="1"/>
  <c r="P2798" i="1" s="1"/>
  <c r="P2799" i="1" s="1"/>
  <c r="P2800" i="1" s="1"/>
  <c r="P2801" i="1" s="1"/>
  <c r="P2802" i="1" s="1"/>
  <c r="P2803" i="1" s="1"/>
  <c r="P2804" i="1" s="1"/>
  <c r="P2805" i="1" s="1"/>
  <c r="P2806" i="1" s="1"/>
  <c r="P2807" i="1" s="1"/>
  <c r="P2808" i="1" s="1"/>
  <c r="P2809" i="1" s="1"/>
  <c r="P2810" i="1" s="1"/>
  <c r="P2811" i="1" s="1"/>
  <c r="P2812" i="1" s="1"/>
  <c r="P2813" i="1" s="1"/>
  <c r="P2814" i="1" s="1"/>
  <c r="P2815" i="1" s="1"/>
  <c r="P2816" i="1" s="1"/>
  <c r="P2817" i="1" s="1"/>
  <c r="P2818" i="1" s="1"/>
  <c r="P2819" i="1" s="1"/>
  <c r="P2820" i="1" s="1"/>
  <c r="P2821" i="1" s="1"/>
  <c r="P2822" i="1" s="1"/>
  <c r="P2823" i="1" s="1"/>
  <c r="P2824" i="1" s="1"/>
  <c r="P2825" i="1" s="1"/>
  <c r="P2826" i="1" s="1"/>
  <c r="P2827" i="1" s="1"/>
  <c r="P2828" i="1" s="1"/>
  <c r="P2829" i="1" s="1"/>
  <c r="P2830" i="1" s="1"/>
  <c r="P2831" i="1" s="1"/>
  <c r="P2832" i="1" s="1"/>
  <c r="P2833" i="1" s="1"/>
  <c r="P2834" i="1" s="1"/>
  <c r="P2835" i="1" s="1"/>
  <c r="P2836" i="1" s="1"/>
  <c r="P2837" i="1" s="1"/>
  <c r="P2838" i="1" s="1"/>
  <c r="P2839" i="1" s="1"/>
  <c r="P2840" i="1" s="1"/>
  <c r="P2841" i="1" s="1"/>
  <c r="P2842" i="1" s="1"/>
  <c r="P2843" i="1" s="1"/>
  <c r="P2844" i="1" s="1"/>
  <c r="P2845" i="1" s="1"/>
  <c r="P2846" i="1" s="1"/>
  <c r="P2847" i="1" s="1"/>
  <c r="P2848" i="1" s="1"/>
  <c r="P2849" i="1" s="1"/>
  <c r="P2850" i="1" s="1"/>
  <c r="P2851" i="1" s="1"/>
  <c r="P2852" i="1" s="1"/>
  <c r="P2853" i="1" s="1"/>
  <c r="P2854" i="1" s="1"/>
  <c r="P2855" i="1" s="1"/>
  <c r="P2856" i="1" s="1"/>
  <c r="P2857" i="1" s="1"/>
  <c r="P2858" i="1" s="1"/>
  <c r="P2859" i="1" s="1"/>
  <c r="P2860" i="1" s="1"/>
  <c r="P2861" i="1" s="1"/>
  <c r="P2862" i="1" s="1"/>
  <c r="P2863" i="1" s="1"/>
  <c r="P2864" i="1" s="1"/>
  <c r="P2865" i="1" s="1"/>
  <c r="P2866" i="1" s="1"/>
  <c r="P2867" i="1" s="1"/>
  <c r="P2868" i="1" s="1"/>
  <c r="P2869" i="1" s="1"/>
  <c r="P2870" i="1" s="1"/>
  <c r="P2871" i="1" s="1"/>
  <c r="P2872" i="1" s="1"/>
  <c r="P2873" i="1" s="1"/>
  <c r="P2874" i="1" s="1"/>
  <c r="P2875" i="1" s="1"/>
  <c r="P2876" i="1" s="1"/>
  <c r="P2877" i="1" s="1"/>
  <c r="P2878" i="1" s="1"/>
  <c r="P2879" i="1" s="1"/>
  <c r="P2880" i="1" s="1"/>
  <c r="P2881" i="1" s="1"/>
  <c r="P2882" i="1" s="1"/>
  <c r="P2883" i="1" s="1"/>
  <c r="P2884" i="1" s="1"/>
  <c r="P2885" i="1" s="1"/>
  <c r="P2886" i="1" s="1"/>
  <c r="P2887" i="1" s="1"/>
  <c r="P2888" i="1" s="1"/>
  <c r="P2889" i="1" s="1"/>
  <c r="P2890" i="1" s="1"/>
  <c r="P2891" i="1" s="1"/>
  <c r="P2892" i="1" s="1"/>
  <c r="P2893" i="1" s="1"/>
  <c r="P2894" i="1" s="1"/>
  <c r="P2895" i="1" s="1"/>
  <c r="P2896" i="1" s="1"/>
  <c r="P2897" i="1" s="1"/>
  <c r="P2898" i="1" s="1"/>
  <c r="P2899" i="1" s="1"/>
  <c r="P2900" i="1" s="1"/>
  <c r="P2901" i="1" s="1"/>
  <c r="P2902" i="1" s="1"/>
  <c r="P2903" i="1" s="1"/>
  <c r="P2904" i="1" s="1"/>
  <c r="P2905" i="1" s="1"/>
  <c r="P2906" i="1" s="1"/>
  <c r="P2907" i="1" s="1"/>
  <c r="P2908" i="1" s="1"/>
  <c r="P2909" i="1" s="1"/>
  <c r="P2910" i="1" s="1"/>
  <c r="P2911" i="1" s="1"/>
  <c r="P2912" i="1" s="1"/>
  <c r="P2913" i="1" s="1"/>
  <c r="P2914" i="1" s="1"/>
  <c r="P2915" i="1" s="1"/>
  <c r="P2916" i="1" s="1"/>
  <c r="P2917" i="1" s="1"/>
  <c r="P2918" i="1" s="1"/>
  <c r="P2919" i="1" s="1"/>
  <c r="P2920" i="1" s="1"/>
  <c r="P2921" i="1" s="1"/>
  <c r="P2922" i="1" s="1"/>
  <c r="P2923" i="1" s="1"/>
  <c r="P2924" i="1" s="1"/>
  <c r="P2925" i="1" s="1"/>
  <c r="P2926" i="1" s="1"/>
  <c r="P2927" i="1" s="1"/>
  <c r="P2928" i="1" s="1"/>
  <c r="P2929" i="1" s="1"/>
  <c r="P2930" i="1" s="1"/>
  <c r="P2931" i="1" s="1"/>
  <c r="P2932" i="1" s="1"/>
  <c r="P2933" i="1" s="1"/>
  <c r="P2934" i="1" s="1"/>
  <c r="P2935" i="1" s="1"/>
  <c r="P2936" i="1" s="1"/>
  <c r="P2937" i="1" s="1"/>
  <c r="P2938" i="1" s="1"/>
  <c r="P2939" i="1" s="1"/>
  <c r="P2940" i="1" s="1"/>
  <c r="P2941" i="1" s="1"/>
  <c r="P2942" i="1" s="1"/>
  <c r="P2943" i="1" s="1"/>
  <c r="P2944" i="1" s="1"/>
  <c r="P2945" i="1" s="1"/>
  <c r="P2946" i="1" s="1"/>
  <c r="P2947" i="1" s="1"/>
  <c r="P2948" i="1" s="1"/>
  <c r="P2949" i="1" s="1"/>
  <c r="P2950" i="1" s="1"/>
  <c r="P2951" i="1" s="1"/>
  <c r="P2952" i="1" s="1"/>
  <c r="P2953" i="1" s="1"/>
  <c r="P2954" i="1" s="1"/>
  <c r="P2955" i="1" s="1"/>
  <c r="P2956" i="1" s="1"/>
  <c r="P2957" i="1" s="1"/>
  <c r="P2958" i="1" s="1"/>
  <c r="P2959" i="1" s="1"/>
  <c r="P2960" i="1" s="1"/>
  <c r="P2961" i="1" s="1"/>
  <c r="P2962" i="1" s="1"/>
  <c r="P2963" i="1" s="1"/>
  <c r="P2964" i="1" s="1"/>
  <c r="P2965" i="1" s="1"/>
  <c r="P2966" i="1" s="1"/>
  <c r="P2967" i="1" s="1"/>
  <c r="P2968" i="1" s="1"/>
  <c r="P2969" i="1" s="1"/>
  <c r="P2970" i="1" s="1"/>
  <c r="P2971" i="1" s="1"/>
  <c r="P2972" i="1" s="1"/>
  <c r="P2973" i="1" s="1"/>
  <c r="P2974" i="1" s="1"/>
  <c r="P2975" i="1" s="1"/>
  <c r="P2976" i="1" s="1"/>
  <c r="P2977" i="1" s="1"/>
  <c r="P2978" i="1" s="1"/>
  <c r="P2979" i="1" s="1"/>
  <c r="P2980" i="1" s="1"/>
  <c r="P2981" i="1" s="1"/>
  <c r="P2982" i="1" s="1"/>
  <c r="P2983" i="1" s="1"/>
  <c r="P2984" i="1" s="1"/>
  <c r="P2985" i="1" s="1"/>
  <c r="P2986" i="1" s="1"/>
  <c r="P2987" i="1" s="1"/>
  <c r="P2988" i="1" s="1"/>
  <c r="P2989" i="1" s="1"/>
  <c r="P2990" i="1" s="1"/>
  <c r="P2991" i="1" s="1"/>
  <c r="P2992" i="1" s="1"/>
  <c r="P2993" i="1" s="1"/>
  <c r="P2994" i="1" s="1"/>
  <c r="P2995" i="1" s="1"/>
  <c r="P2996" i="1" s="1"/>
  <c r="P2997" i="1" s="1"/>
  <c r="P2998" i="1" s="1"/>
  <c r="P2999" i="1" s="1"/>
  <c r="P3000" i="1" s="1"/>
  <c r="P3001" i="1" s="1"/>
  <c r="P3002" i="1" s="1"/>
  <c r="P3003" i="1" s="1"/>
  <c r="P3004" i="1" s="1"/>
  <c r="P3005" i="1" s="1"/>
  <c r="P3006" i="1" s="1"/>
  <c r="P3007" i="1" s="1"/>
  <c r="P3008" i="1" s="1"/>
  <c r="P3009" i="1" s="1"/>
  <c r="P3010" i="1" s="1"/>
  <c r="P3011" i="1" s="1"/>
  <c r="P3012" i="1" s="1"/>
  <c r="P3013" i="1" s="1"/>
  <c r="P3014" i="1" s="1"/>
  <c r="P3015" i="1" s="1"/>
  <c r="P3016" i="1" s="1"/>
  <c r="P3017" i="1" s="1"/>
  <c r="P3018" i="1" s="1"/>
  <c r="P3019" i="1" s="1"/>
  <c r="P3020" i="1" s="1"/>
  <c r="P3021" i="1" s="1"/>
  <c r="P3022" i="1" s="1"/>
  <c r="P3023" i="1" s="1"/>
  <c r="P3024" i="1" s="1"/>
  <c r="P3025" i="1" s="1"/>
  <c r="P3026" i="1" s="1"/>
  <c r="P3027" i="1" s="1"/>
  <c r="P3028" i="1" s="1"/>
  <c r="P3029" i="1" s="1"/>
  <c r="P3030" i="1" s="1"/>
  <c r="P3031" i="1" s="1"/>
  <c r="P3032" i="1" s="1"/>
  <c r="P3033" i="1" s="1"/>
  <c r="P3034" i="1" s="1"/>
  <c r="P3035" i="1" s="1"/>
  <c r="P3036" i="1" s="1"/>
  <c r="P3037" i="1" s="1"/>
  <c r="P3038" i="1" s="1"/>
  <c r="P3039" i="1" s="1"/>
  <c r="P3040" i="1" s="1"/>
  <c r="P3041" i="1" s="1"/>
  <c r="P3042" i="1" s="1"/>
  <c r="P3043" i="1" s="1"/>
  <c r="P3044" i="1" s="1"/>
  <c r="P3045" i="1" s="1"/>
  <c r="P3046" i="1" s="1"/>
  <c r="P3047" i="1" s="1"/>
  <c r="P3048" i="1" s="1"/>
  <c r="P3049" i="1" s="1"/>
  <c r="P3050" i="1" s="1"/>
  <c r="P3051" i="1" s="1"/>
  <c r="P3052" i="1" s="1"/>
  <c r="P3053" i="1" s="1"/>
  <c r="P3054" i="1" s="1"/>
  <c r="P3055" i="1" s="1"/>
  <c r="P3056" i="1" s="1"/>
  <c r="P3057" i="1" s="1"/>
  <c r="P3058" i="1" s="1"/>
  <c r="P3059" i="1" s="1"/>
  <c r="P3060" i="1" s="1"/>
  <c r="P3061" i="1" s="1"/>
  <c r="P3062" i="1" s="1"/>
  <c r="P3063" i="1" s="1"/>
  <c r="P3064" i="1" s="1"/>
  <c r="P3065" i="1" s="1"/>
  <c r="P3066" i="1" s="1"/>
  <c r="P3067" i="1" s="1"/>
  <c r="P3068" i="1" s="1"/>
  <c r="P3069" i="1" s="1"/>
  <c r="P3070" i="1" s="1"/>
  <c r="P3071" i="1" s="1"/>
  <c r="P3072" i="1" s="1"/>
  <c r="P3073" i="1" s="1"/>
  <c r="P3074" i="1" s="1"/>
  <c r="P3075" i="1" s="1"/>
  <c r="P3076" i="1" s="1"/>
  <c r="P3077" i="1" s="1"/>
  <c r="P3078" i="1" s="1"/>
  <c r="P3079" i="1" s="1"/>
  <c r="P3080" i="1" s="1"/>
  <c r="P3081" i="1" s="1"/>
  <c r="P3082" i="1" s="1"/>
  <c r="P3083" i="1" s="1"/>
  <c r="P3084" i="1" s="1"/>
  <c r="P3085" i="1" s="1"/>
  <c r="P3086" i="1" s="1"/>
  <c r="P3087" i="1" s="1"/>
  <c r="P3088" i="1" s="1"/>
  <c r="P3089" i="1" s="1"/>
  <c r="P3090" i="1" s="1"/>
  <c r="P3091" i="1" s="1"/>
  <c r="P3092" i="1" s="1"/>
  <c r="P3093" i="1" s="1"/>
  <c r="P3094" i="1" s="1"/>
  <c r="P3095" i="1" s="1"/>
  <c r="P3096" i="1" s="1"/>
  <c r="P3097" i="1" s="1"/>
  <c r="P3098" i="1" s="1"/>
  <c r="P3099" i="1" s="1"/>
  <c r="P3100" i="1" s="1"/>
  <c r="P3101" i="1" s="1"/>
  <c r="P3102" i="1" s="1"/>
  <c r="P3103" i="1" s="1"/>
  <c r="P3104" i="1" s="1"/>
  <c r="P3105" i="1" s="1"/>
  <c r="P3106" i="1" s="1"/>
  <c r="P3107" i="1" s="1"/>
  <c r="P3108" i="1" s="1"/>
  <c r="P3109" i="1" s="1"/>
  <c r="P3110" i="1" s="1"/>
  <c r="P3111" i="1" s="1"/>
  <c r="P3112" i="1" s="1"/>
  <c r="P3113" i="1" s="1"/>
  <c r="P3114" i="1" s="1"/>
  <c r="P3115" i="1" s="1"/>
  <c r="P3116" i="1" s="1"/>
  <c r="P3117" i="1" s="1"/>
  <c r="P3118" i="1" s="1"/>
  <c r="P3119" i="1" s="1"/>
  <c r="P3120" i="1" s="1"/>
  <c r="P3121" i="1" s="1"/>
  <c r="P3122" i="1" s="1"/>
  <c r="P3123" i="1" s="1"/>
  <c r="P3124" i="1" s="1"/>
  <c r="P3125" i="1" s="1"/>
  <c r="P3126" i="1" s="1"/>
  <c r="P3127" i="1" s="1"/>
  <c r="P3128" i="1" s="1"/>
  <c r="P3129" i="1" s="1"/>
  <c r="P3130" i="1" s="1"/>
  <c r="P3131" i="1" s="1"/>
  <c r="P3132" i="1" s="1"/>
  <c r="P3133" i="1" s="1"/>
  <c r="P3134" i="1" s="1"/>
  <c r="P3135" i="1" s="1"/>
  <c r="P3136" i="1" s="1"/>
  <c r="P3137" i="1" s="1"/>
  <c r="P3138" i="1" s="1"/>
  <c r="P3139" i="1" s="1"/>
  <c r="P3140" i="1" s="1"/>
  <c r="P3141" i="1" s="1"/>
  <c r="P3142" i="1" s="1"/>
  <c r="P3143" i="1" s="1"/>
  <c r="P3144" i="1" s="1"/>
  <c r="P3145" i="1" s="1"/>
  <c r="P3146" i="1" s="1"/>
  <c r="P3147" i="1" s="1"/>
  <c r="P3148" i="1" s="1"/>
  <c r="P3149" i="1" s="1"/>
  <c r="P3150" i="1" s="1"/>
  <c r="P3151" i="1" s="1"/>
  <c r="P3152" i="1" s="1"/>
  <c r="P3153" i="1" s="1"/>
  <c r="P3154" i="1" s="1"/>
  <c r="P3155" i="1" s="1"/>
  <c r="P3156" i="1" s="1"/>
  <c r="P3157" i="1" s="1"/>
  <c r="P3158" i="1" s="1"/>
  <c r="P3159" i="1" s="1"/>
  <c r="P3160" i="1" s="1"/>
  <c r="P3161" i="1" s="1"/>
  <c r="P3162" i="1" s="1"/>
  <c r="P3163" i="1" s="1"/>
  <c r="P3164" i="1" s="1"/>
  <c r="P3165" i="1" s="1"/>
  <c r="P3166" i="1" s="1"/>
  <c r="P3167" i="1" s="1"/>
  <c r="P3168" i="1" s="1"/>
  <c r="P3169" i="1" s="1"/>
  <c r="P3170" i="1" s="1"/>
  <c r="P3171" i="1" s="1"/>
  <c r="P3172" i="1" s="1"/>
  <c r="P3173" i="1" s="1"/>
  <c r="P3174" i="1" s="1"/>
  <c r="P3175" i="1" s="1"/>
  <c r="P3176" i="1" s="1"/>
  <c r="P3177" i="1" s="1"/>
  <c r="P3178" i="1" s="1"/>
  <c r="P3179" i="1" s="1"/>
  <c r="P3180" i="1" s="1"/>
  <c r="P3181" i="1" s="1"/>
  <c r="P3182" i="1" s="1"/>
  <c r="P3183" i="1" s="1"/>
  <c r="P3184" i="1" s="1"/>
  <c r="P3185" i="1" s="1"/>
  <c r="P3186" i="1" s="1"/>
  <c r="P3187" i="1" s="1"/>
  <c r="P3188" i="1" s="1"/>
  <c r="P3189" i="1" s="1"/>
  <c r="P3190" i="1" s="1"/>
  <c r="P3191" i="1" s="1"/>
  <c r="P3192" i="1" s="1"/>
  <c r="P3193" i="1" s="1"/>
  <c r="P3194" i="1" s="1"/>
  <c r="P3195" i="1" s="1"/>
  <c r="P3196" i="1" s="1"/>
  <c r="P3197" i="1" s="1"/>
  <c r="P3198" i="1" s="1"/>
  <c r="P3199" i="1" s="1"/>
  <c r="P3200" i="1" s="1"/>
  <c r="P3201" i="1" s="1"/>
  <c r="P3202" i="1" s="1"/>
  <c r="P3203" i="1" s="1"/>
  <c r="P3204" i="1" s="1"/>
  <c r="P3205" i="1" s="1"/>
  <c r="P3206" i="1" s="1"/>
  <c r="P3207" i="1" s="1"/>
  <c r="P3208" i="1" s="1"/>
  <c r="P3209" i="1" s="1"/>
  <c r="P3210" i="1" s="1"/>
  <c r="P3211" i="1" s="1"/>
  <c r="P3212" i="1" s="1"/>
  <c r="P3213" i="1" s="1"/>
  <c r="P3214" i="1" s="1"/>
  <c r="P3215" i="1" s="1"/>
  <c r="P3216" i="1" s="1"/>
  <c r="P3217" i="1" s="1"/>
  <c r="P3218" i="1" s="1"/>
  <c r="P3219" i="1" s="1"/>
  <c r="P3220" i="1" s="1"/>
  <c r="P3221" i="1" s="1"/>
  <c r="P3222" i="1" s="1"/>
  <c r="P3223" i="1" s="1"/>
  <c r="P3224" i="1" s="1"/>
  <c r="P3225" i="1" s="1"/>
  <c r="P3226" i="1" s="1"/>
  <c r="P3227" i="1" s="1"/>
  <c r="P3228" i="1" s="1"/>
  <c r="P3229" i="1" s="1"/>
  <c r="P3230" i="1" s="1"/>
  <c r="P3231" i="1" s="1"/>
  <c r="P3232" i="1" s="1"/>
  <c r="P3233" i="1" s="1"/>
  <c r="P3234" i="1" s="1"/>
  <c r="P3235" i="1" s="1"/>
  <c r="P3236" i="1" s="1"/>
  <c r="P3237" i="1" s="1"/>
  <c r="P3238" i="1" s="1"/>
  <c r="P3239" i="1" s="1"/>
  <c r="P3240" i="1" s="1"/>
  <c r="P3241" i="1" s="1"/>
  <c r="P3242" i="1" s="1"/>
  <c r="P3243" i="1" s="1"/>
  <c r="P3244" i="1" s="1"/>
  <c r="P3245" i="1" s="1"/>
  <c r="P3246" i="1" s="1"/>
  <c r="P3247" i="1" s="1"/>
  <c r="P3248" i="1" s="1"/>
  <c r="P3249" i="1" s="1"/>
  <c r="P3250" i="1" s="1"/>
  <c r="P3251" i="1" s="1"/>
  <c r="P3252" i="1" s="1"/>
  <c r="P3253" i="1" s="1"/>
  <c r="P3254" i="1" s="1"/>
  <c r="P3255" i="1" s="1"/>
  <c r="P3256" i="1" s="1"/>
  <c r="P3257" i="1" s="1"/>
  <c r="P3258" i="1" s="1"/>
  <c r="P3259" i="1" s="1"/>
  <c r="P3260" i="1" s="1"/>
  <c r="P3261" i="1" s="1"/>
  <c r="P3262" i="1" s="1"/>
  <c r="P3263" i="1" s="1"/>
  <c r="P3264" i="1" s="1"/>
  <c r="P3265" i="1" s="1"/>
  <c r="P3266" i="1" s="1"/>
  <c r="P3267" i="1" s="1"/>
  <c r="P3268" i="1" s="1"/>
  <c r="P3269" i="1" s="1"/>
  <c r="P3270" i="1" s="1"/>
  <c r="P3271" i="1" s="1"/>
  <c r="P3272" i="1" s="1"/>
  <c r="P3273" i="1" s="1"/>
  <c r="P3274" i="1" s="1"/>
  <c r="P3275" i="1" s="1"/>
  <c r="P3276" i="1" s="1"/>
  <c r="P3277" i="1" s="1"/>
  <c r="P3278" i="1" s="1"/>
  <c r="P3279" i="1" s="1"/>
  <c r="P3280" i="1" s="1"/>
  <c r="P3281" i="1" s="1"/>
  <c r="P3282" i="1" s="1"/>
  <c r="P3283" i="1" s="1"/>
  <c r="P3284" i="1" s="1"/>
  <c r="P3285" i="1" s="1"/>
  <c r="P3286" i="1" s="1"/>
  <c r="P3287" i="1" s="1"/>
  <c r="P3288" i="1" s="1"/>
  <c r="P3289" i="1" s="1"/>
  <c r="P3290" i="1" s="1"/>
  <c r="P3291" i="1" s="1"/>
  <c r="P3292" i="1" s="1"/>
  <c r="P3293" i="1" s="1"/>
  <c r="P3294" i="1" s="1"/>
  <c r="P3295" i="1" s="1"/>
  <c r="P3296" i="1" s="1"/>
  <c r="P3297" i="1" s="1"/>
  <c r="P3298" i="1" s="1"/>
  <c r="P3299" i="1" s="1"/>
  <c r="P3300" i="1" s="1"/>
  <c r="P3301" i="1" s="1"/>
  <c r="P3302" i="1" s="1"/>
  <c r="P3303" i="1" s="1"/>
  <c r="P3304" i="1" s="1"/>
  <c r="P3305" i="1" s="1"/>
  <c r="P3306" i="1" s="1"/>
  <c r="P3307" i="1" s="1"/>
  <c r="P3308" i="1" s="1"/>
  <c r="P3309" i="1" s="1"/>
  <c r="P3310" i="1" s="1"/>
  <c r="P3311" i="1" s="1"/>
  <c r="P3312" i="1" s="1"/>
  <c r="P3313" i="1" s="1"/>
  <c r="P3314" i="1" s="1"/>
  <c r="P3315" i="1" s="1"/>
  <c r="P3316" i="1" s="1"/>
  <c r="P3317" i="1" s="1"/>
  <c r="P3318" i="1" s="1"/>
  <c r="P3319" i="1" s="1"/>
  <c r="P3320" i="1" s="1"/>
  <c r="P3321" i="1" s="1"/>
  <c r="P3322" i="1" s="1"/>
  <c r="P3323" i="1" s="1"/>
  <c r="P3324" i="1" s="1"/>
  <c r="P3325" i="1" s="1"/>
  <c r="P3326" i="1" s="1"/>
  <c r="P3327" i="1" s="1"/>
  <c r="P3328" i="1" s="1"/>
  <c r="P3329" i="1" s="1"/>
  <c r="P3330" i="1" s="1"/>
  <c r="P3331" i="1" s="1"/>
  <c r="P3332" i="1" s="1"/>
  <c r="P3333" i="1" s="1"/>
  <c r="P3334" i="1" s="1"/>
  <c r="P3335" i="1" s="1"/>
  <c r="P3336" i="1" s="1"/>
  <c r="P3337" i="1" s="1"/>
  <c r="P3338" i="1" s="1"/>
  <c r="P3339" i="1" s="1"/>
  <c r="P3340" i="1" s="1"/>
  <c r="P3341" i="1" s="1"/>
  <c r="P3342" i="1" s="1"/>
  <c r="P3343" i="1" s="1"/>
  <c r="P3344" i="1" s="1"/>
  <c r="P3345" i="1" s="1"/>
  <c r="P3346" i="1" s="1"/>
  <c r="P3347" i="1" s="1"/>
  <c r="P3348" i="1" s="1"/>
  <c r="P3349" i="1" s="1"/>
  <c r="P3350" i="1" s="1"/>
  <c r="P3351" i="1" s="1"/>
  <c r="P3352" i="1" s="1"/>
  <c r="P3353" i="1" s="1"/>
  <c r="P3354" i="1" s="1"/>
  <c r="P3355" i="1" s="1"/>
  <c r="P3356" i="1" s="1"/>
  <c r="P3357" i="1" s="1"/>
  <c r="P3358" i="1" s="1"/>
  <c r="P3359" i="1" s="1"/>
  <c r="P3360" i="1" s="1"/>
  <c r="P3361" i="1" s="1"/>
  <c r="P3362" i="1" s="1"/>
  <c r="P3363" i="1" s="1"/>
  <c r="P3364" i="1" s="1"/>
  <c r="P3365" i="1" s="1"/>
  <c r="P3366" i="1" s="1"/>
  <c r="P3367" i="1" s="1"/>
  <c r="P3368" i="1" s="1"/>
  <c r="P3369" i="1" s="1"/>
  <c r="P3370" i="1" s="1"/>
  <c r="P3371" i="1" s="1"/>
  <c r="P3372" i="1" s="1"/>
  <c r="P3373" i="1" s="1"/>
  <c r="P3374" i="1" s="1"/>
  <c r="P3375" i="1" s="1"/>
  <c r="P3376" i="1" s="1"/>
  <c r="P3377" i="1" s="1"/>
  <c r="P3378" i="1" s="1"/>
  <c r="P3379" i="1" s="1"/>
  <c r="P3380" i="1" s="1"/>
  <c r="P3381" i="1" s="1"/>
  <c r="P3382" i="1" s="1"/>
  <c r="P3383" i="1" s="1"/>
  <c r="P3384" i="1" s="1"/>
  <c r="P3385" i="1" s="1"/>
  <c r="P3386" i="1" s="1"/>
  <c r="P3387" i="1" s="1"/>
  <c r="P3388" i="1" s="1"/>
  <c r="P3389" i="1" s="1"/>
  <c r="P3390" i="1" s="1"/>
  <c r="P3391" i="1" s="1"/>
  <c r="P3392" i="1" s="1"/>
  <c r="P3393" i="1" s="1"/>
  <c r="P3394" i="1" s="1"/>
  <c r="P3395" i="1" s="1"/>
  <c r="P3396" i="1" s="1"/>
  <c r="P3397" i="1" s="1"/>
  <c r="P3398" i="1" s="1"/>
  <c r="P3399" i="1" s="1"/>
  <c r="P3400" i="1" s="1"/>
  <c r="P3401" i="1" s="1"/>
  <c r="P3402" i="1" s="1"/>
  <c r="P3403" i="1" s="1"/>
  <c r="P3404" i="1" s="1"/>
  <c r="P3405" i="1" s="1"/>
  <c r="P3406" i="1" s="1"/>
  <c r="P3407" i="1" s="1"/>
  <c r="P3408" i="1" s="1"/>
  <c r="P3409" i="1" s="1"/>
  <c r="P3410" i="1" s="1"/>
  <c r="P3411" i="1" s="1"/>
  <c r="P3412" i="1" s="1"/>
  <c r="P3413" i="1" s="1"/>
  <c r="P3414" i="1" s="1"/>
  <c r="P3415" i="1" s="1"/>
  <c r="P3416" i="1" s="1"/>
  <c r="P3417" i="1" s="1"/>
  <c r="P3418" i="1" s="1"/>
  <c r="P3419" i="1" s="1"/>
  <c r="P3420" i="1" s="1"/>
  <c r="P3421" i="1" s="1"/>
  <c r="P3422" i="1" s="1"/>
  <c r="P3423" i="1" s="1"/>
  <c r="P3424" i="1" s="1"/>
  <c r="P3425" i="1" s="1"/>
  <c r="P3426" i="1" s="1"/>
  <c r="P3427" i="1" s="1"/>
  <c r="P3428" i="1" s="1"/>
  <c r="P3429" i="1" s="1"/>
  <c r="P3430" i="1" s="1"/>
  <c r="P3431" i="1" s="1"/>
  <c r="P3432" i="1" s="1"/>
  <c r="P3433" i="1" s="1"/>
  <c r="P3434" i="1" s="1"/>
  <c r="P3435" i="1" s="1"/>
  <c r="P3436" i="1" s="1"/>
  <c r="P3437" i="1" s="1"/>
  <c r="P3438" i="1" s="1"/>
  <c r="P3439" i="1" s="1"/>
  <c r="P3440" i="1" s="1"/>
  <c r="P3441" i="1" s="1"/>
  <c r="P3442" i="1" s="1"/>
  <c r="P3443" i="1" s="1"/>
  <c r="P3444" i="1" s="1"/>
  <c r="P3445" i="1" s="1"/>
  <c r="P3446" i="1" s="1"/>
  <c r="P3447" i="1" s="1"/>
  <c r="P3448" i="1" s="1"/>
  <c r="P3449" i="1" s="1"/>
  <c r="P3450" i="1" s="1"/>
  <c r="P3451" i="1" s="1"/>
  <c r="P3452" i="1" s="1"/>
  <c r="P3453" i="1" s="1"/>
  <c r="P3454" i="1" s="1"/>
  <c r="P3455" i="1" s="1"/>
  <c r="P3456" i="1" s="1"/>
  <c r="P3457" i="1" s="1"/>
  <c r="P3458" i="1" s="1"/>
  <c r="P3459" i="1" s="1"/>
  <c r="P3460" i="1" s="1"/>
  <c r="P3461" i="1" s="1"/>
  <c r="P3462" i="1" s="1"/>
  <c r="P3463" i="1" s="1"/>
  <c r="P3464" i="1" s="1"/>
  <c r="P3465" i="1" s="1"/>
  <c r="P3466" i="1" s="1"/>
  <c r="P3467" i="1" s="1"/>
  <c r="P3468" i="1" s="1"/>
  <c r="P3469" i="1" s="1"/>
  <c r="P3470" i="1" s="1"/>
  <c r="P3471" i="1" s="1"/>
  <c r="P3472" i="1" s="1"/>
  <c r="P3473" i="1" s="1"/>
  <c r="P3474" i="1" s="1"/>
  <c r="P3475" i="1" s="1"/>
  <c r="P3476" i="1" s="1"/>
  <c r="P3477" i="1" s="1"/>
  <c r="P3478" i="1" s="1"/>
  <c r="P3479" i="1" s="1"/>
  <c r="P3480" i="1" s="1"/>
  <c r="P3481" i="1" s="1"/>
  <c r="P3482" i="1" s="1"/>
  <c r="P3483" i="1" s="1"/>
  <c r="P3484" i="1" s="1"/>
  <c r="P3485" i="1" s="1"/>
  <c r="P3486" i="1" s="1"/>
  <c r="P3487" i="1" s="1"/>
  <c r="P3488" i="1" s="1"/>
  <c r="P3489" i="1" s="1"/>
  <c r="P3490" i="1" s="1"/>
  <c r="P3491" i="1" s="1"/>
  <c r="P3492" i="1" s="1"/>
  <c r="P3493" i="1" s="1"/>
  <c r="P3494" i="1" s="1"/>
  <c r="P3495" i="1" s="1"/>
  <c r="P3496" i="1" s="1"/>
  <c r="P3497" i="1" s="1"/>
  <c r="P3498" i="1" s="1"/>
  <c r="P3499" i="1" s="1"/>
  <c r="P3500" i="1" s="1"/>
  <c r="P3501" i="1" s="1"/>
  <c r="P3502" i="1" s="1"/>
  <c r="P3503" i="1" s="1"/>
  <c r="P3504" i="1" s="1"/>
  <c r="P3505" i="1" s="1"/>
  <c r="P3506" i="1" s="1"/>
  <c r="P3507" i="1" s="1"/>
  <c r="P3508" i="1" s="1"/>
  <c r="P3509" i="1" s="1"/>
  <c r="P3510" i="1" s="1"/>
  <c r="P3511" i="1" s="1"/>
  <c r="P3512" i="1" s="1"/>
  <c r="P3513" i="1" s="1"/>
  <c r="P3514" i="1" s="1"/>
  <c r="P3515" i="1" s="1"/>
  <c r="P3516" i="1" s="1"/>
  <c r="P3517" i="1" s="1"/>
  <c r="P3518" i="1" s="1"/>
  <c r="P3519" i="1" s="1"/>
  <c r="P3520" i="1" s="1"/>
  <c r="P3521" i="1" s="1"/>
  <c r="P3522" i="1" s="1"/>
  <c r="P3523" i="1" s="1"/>
  <c r="P3524" i="1" s="1"/>
  <c r="P3525" i="1" s="1"/>
  <c r="P3526" i="1" s="1"/>
  <c r="P3527" i="1" s="1"/>
  <c r="P3528" i="1" s="1"/>
  <c r="P3529" i="1" s="1"/>
  <c r="P3530" i="1" s="1"/>
  <c r="P3531" i="1" s="1"/>
  <c r="P3532" i="1" s="1"/>
  <c r="P3533" i="1" s="1"/>
  <c r="P3534" i="1" s="1"/>
  <c r="P3535" i="1" s="1"/>
  <c r="P3536" i="1" s="1"/>
  <c r="P3537" i="1" s="1"/>
  <c r="P3538" i="1" s="1"/>
  <c r="P3539" i="1" s="1"/>
  <c r="P3540" i="1" s="1"/>
  <c r="P3541" i="1" s="1"/>
  <c r="P3542" i="1" s="1"/>
  <c r="P3543" i="1" s="1"/>
  <c r="P3544" i="1" s="1"/>
  <c r="P3545" i="1" s="1"/>
  <c r="P3546" i="1" s="1"/>
  <c r="P3547" i="1" s="1"/>
  <c r="P3548" i="1" s="1"/>
  <c r="P3549" i="1" s="1"/>
  <c r="P3550" i="1" s="1"/>
  <c r="P3551" i="1" s="1"/>
  <c r="P3552" i="1" s="1"/>
  <c r="P3553" i="1" s="1"/>
  <c r="P3554" i="1" s="1"/>
  <c r="P3555" i="1" s="1"/>
  <c r="P3556" i="1" s="1"/>
  <c r="P3557" i="1" s="1"/>
  <c r="P3558" i="1" s="1"/>
  <c r="P3559" i="1" s="1"/>
  <c r="P3560" i="1" s="1"/>
  <c r="P3561" i="1" s="1"/>
  <c r="P3562" i="1" s="1"/>
  <c r="P3563" i="1" s="1"/>
  <c r="P3564" i="1" s="1"/>
  <c r="P3565" i="1" s="1"/>
  <c r="P3566" i="1" s="1"/>
  <c r="P3567" i="1" s="1"/>
  <c r="P3568" i="1" s="1"/>
  <c r="P3569" i="1" s="1"/>
  <c r="P3570" i="1" s="1"/>
  <c r="P3571" i="1" s="1"/>
  <c r="P3572" i="1" s="1"/>
  <c r="P3573" i="1" s="1"/>
  <c r="P3574" i="1" s="1"/>
  <c r="P3575" i="1" s="1"/>
  <c r="P3576" i="1" s="1"/>
  <c r="P3577" i="1" s="1"/>
  <c r="P3578" i="1" s="1"/>
  <c r="P3579" i="1" s="1"/>
  <c r="P3580" i="1" s="1"/>
  <c r="P3581" i="1" s="1"/>
  <c r="P3582" i="1" s="1"/>
  <c r="P3583" i="1" s="1"/>
  <c r="P3584" i="1" s="1"/>
  <c r="P3585" i="1" s="1"/>
  <c r="P3586" i="1" s="1"/>
  <c r="P3587" i="1" s="1"/>
  <c r="P3588" i="1" s="1"/>
  <c r="P3589" i="1" s="1"/>
  <c r="P3590" i="1" s="1"/>
  <c r="P3591" i="1" s="1"/>
  <c r="P3592" i="1" s="1"/>
  <c r="P3593" i="1" s="1"/>
  <c r="P3594" i="1" s="1"/>
  <c r="P3595" i="1" s="1"/>
  <c r="P3596" i="1" s="1"/>
  <c r="P3597" i="1" s="1"/>
  <c r="P3598" i="1" s="1"/>
  <c r="P3599" i="1" s="1"/>
  <c r="P3600" i="1" s="1"/>
  <c r="P3601" i="1" s="1"/>
  <c r="P3602" i="1" s="1"/>
  <c r="P3603" i="1" s="1"/>
  <c r="P3604" i="1" s="1"/>
  <c r="P3605" i="1" s="1"/>
  <c r="P3606" i="1" s="1"/>
  <c r="P3607" i="1" s="1"/>
  <c r="P3608" i="1" s="1"/>
  <c r="P3609" i="1" s="1"/>
  <c r="P3610" i="1" s="1"/>
  <c r="P3611" i="1" s="1"/>
  <c r="P3612" i="1" s="1"/>
  <c r="P3613" i="1" s="1"/>
  <c r="P3614" i="1" s="1"/>
  <c r="P3615" i="1" s="1"/>
  <c r="P3616" i="1" s="1"/>
  <c r="P3617" i="1" s="1"/>
  <c r="P3618" i="1" s="1"/>
  <c r="P3619" i="1" s="1"/>
  <c r="P3620" i="1" s="1"/>
  <c r="P3621" i="1" s="1"/>
  <c r="P3622" i="1" s="1"/>
  <c r="P3623" i="1" s="1"/>
  <c r="P3624" i="1" s="1"/>
  <c r="P3625" i="1" s="1"/>
  <c r="P3626" i="1" s="1"/>
  <c r="P3627" i="1" s="1"/>
  <c r="P3628" i="1" s="1"/>
  <c r="P3629" i="1" s="1"/>
  <c r="P3630" i="1" s="1"/>
  <c r="P3631" i="1" s="1"/>
  <c r="P3632" i="1" s="1"/>
  <c r="P3633" i="1" s="1"/>
  <c r="P3634" i="1" s="1"/>
  <c r="P3635" i="1" s="1"/>
  <c r="P3636" i="1" s="1"/>
  <c r="P3637" i="1" s="1"/>
  <c r="P3638" i="1" s="1"/>
  <c r="P3639" i="1" s="1"/>
  <c r="P3640" i="1" s="1"/>
  <c r="P3641" i="1" s="1"/>
  <c r="P3642" i="1" s="1"/>
  <c r="P3643" i="1" s="1"/>
  <c r="P3644" i="1" s="1"/>
  <c r="P3645" i="1" s="1"/>
  <c r="P3646" i="1" s="1"/>
  <c r="P3647" i="1" s="1"/>
  <c r="P3648" i="1" s="1"/>
  <c r="P3649" i="1" s="1"/>
  <c r="P3650" i="1" s="1"/>
  <c r="P3651" i="1" s="1"/>
  <c r="P3652" i="1" s="1"/>
  <c r="P3653" i="1" s="1"/>
  <c r="P3654" i="1" s="1"/>
  <c r="P3655" i="1" s="1"/>
  <c r="P3656" i="1" s="1"/>
  <c r="P3657" i="1" s="1"/>
  <c r="P3658" i="1" s="1"/>
  <c r="P3659" i="1" s="1"/>
  <c r="P3660" i="1" s="1"/>
  <c r="P3661" i="1" s="1"/>
  <c r="P3662" i="1" s="1"/>
  <c r="P3663" i="1" s="1"/>
  <c r="P3664" i="1" s="1"/>
  <c r="P3665" i="1" s="1"/>
  <c r="P3666" i="1" s="1"/>
  <c r="P3667" i="1" s="1"/>
  <c r="P3668" i="1" s="1"/>
  <c r="P3669" i="1" s="1"/>
  <c r="P3670" i="1" s="1"/>
  <c r="P3671" i="1" s="1"/>
  <c r="P3672" i="1" s="1"/>
  <c r="P3673" i="1" s="1"/>
  <c r="P3674" i="1" s="1"/>
  <c r="P3675" i="1" s="1"/>
  <c r="P3676" i="1" s="1"/>
  <c r="P3677" i="1" s="1"/>
  <c r="P3678" i="1" s="1"/>
  <c r="P3679" i="1" s="1"/>
  <c r="P3680" i="1" s="1"/>
  <c r="P3681" i="1" s="1"/>
  <c r="P3682" i="1" s="1"/>
  <c r="P3683" i="1" s="1"/>
  <c r="P3684" i="1" s="1"/>
  <c r="P3685" i="1" s="1"/>
  <c r="P3686" i="1" s="1"/>
  <c r="P3687" i="1" s="1"/>
  <c r="P3688" i="1" s="1"/>
  <c r="P3689" i="1" s="1"/>
  <c r="P3690" i="1" s="1"/>
  <c r="P3691" i="1" s="1"/>
  <c r="P3692" i="1" s="1"/>
  <c r="P3693" i="1" s="1"/>
  <c r="P3694" i="1" s="1"/>
  <c r="P3695" i="1" s="1"/>
  <c r="P3696" i="1" s="1"/>
  <c r="P3697" i="1" s="1"/>
  <c r="P3698" i="1" s="1"/>
  <c r="P3699" i="1" s="1"/>
  <c r="P3700" i="1" s="1"/>
  <c r="P3701" i="1" s="1"/>
  <c r="P3702" i="1" s="1"/>
  <c r="P3703" i="1" s="1"/>
  <c r="P3704" i="1" s="1"/>
  <c r="P3705" i="1" s="1"/>
  <c r="P3706" i="1" s="1"/>
  <c r="P3707" i="1" s="1"/>
  <c r="P3708" i="1" s="1"/>
  <c r="P3709" i="1" s="1"/>
  <c r="P3710" i="1" s="1"/>
  <c r="P3711" i="1" s="1"/>
  <c r="P3712" i="1" s="1"/>
  <c r="P3713" i="1" s="1"/>
  <c r="P3714" i="1" s="1"/>
  <c r="P3715" i="1" s="1"/>
  <c r="P3716" i="1" s="1"/>
  <c r="P3717" i="1" s="1"/>
  <c r="P3718" i="1" s="1"/>
  <c r="P3719" i="1" s="1"/>
  <c r="P3720" i="1" s="1"/>
  <c r="P3721" i="1" s="1"/>
  <c r="P3722" i="1" s="1"/>
  <c r="P3723" i="1" s="1"/>
  <c r="P3724" i="1" s="1"/>
  <c r="P3725" i="1" s="1"/>
  <c r="P3726" i="1" s="1"/>
  <c r="P3727" i="1" s="1"/>
  <c r="P3728" i="1" s="1"/>
  <c r="P3729" i="1" s="1"/>
  <c r="P3730" i="1" s="1"/>
  <c r="P3731" i="1" s="1"/>
  <c r="P3732" i="1" s="1"/>
  <c r="P3733" i="1" s="1"/>
  <c r="P3734" i="1" s="1"/>
  <c r="P3735" i="1" s="1"/>
  <c r="P3736" i="1" s="1"/>
  <c r="P3737" i="1" s="1"/>
  <c r="P3738" i="1" s="1"/>
  <c r="P3739" i="1" s="1"/>
  <c r="P3740" i="1" s="1"/>
  <c r="P3741" i="1" s="1"/>
  <c r="P3742" i="1" s="1"/>
  <c r="P3743" i="1" s="1"/>
  <c r="P3744" i="1" s="1"/>
  <c r="P3745" i="1" s="1"/>
  <c r="P3746" i="1" s="1"/>
  <c r="P3747" i="1" s="1"/>
  <c r="P3748" i="1" s="1"/>
  <c r="P3749" i="1" s="1"/>
  <c r="P3750" i="1" s="1"/>
  <c r="P3751" i="1" s="1"/>
  <c r="P3752" i="1" s="1"/>
  <c r="P3753" i="1" s="1"/>
  <c r="P3754" i="1" s="1"/>
  <c r="P3755" i="1" s="1"/>
  <c r="P3756" i="1" s="1"/>
  <c r="P3757" i="1" s="1"/>
  <c r="P3758" i="1" s="1"/>
  <c r="P3759" i="1" s="1"/>
  <c r="P3760" i="1" s="1"/>
  <c r="P3761" i="1" s="1"/>
  <c r="P3762" i="1" s="1"/>
  <c r="P3763" i="1" s="1"/>
  <c r="P3764" i="1" s="1"/>
  <c r="P3765" i="1" s="1"/>
  <c r="P3766" i="1" s="1"/>
  <c r="P3767" i="1" s="1"/>
  <c r="P3768" i="1" s="1"/>
  <c r="P3769" i="1" s="1"/>
  <c r="P3770" i="1" s="1"/>
  <c r="P3771" i="1" s="1"/>
  <c r="P3772" i="1" s="1"/>
  <c r="P3773" i="1" s="1"/>
  <c r="P3774" i="1" s="1"/>
  <c r="P3775" i="1" s="1"/>
  <c r="P3776" i="1" s="1"/>
  <c r="P3777" i="1" s="1"/>
  <c r="P3778" i="1" s="1"/>
  <c r="P3779" i="1" s="1"/>
  <c r="P3780" i="1" s="1"/>
  <c r="P3781" i="1" s="1"/>
  <c r="P3782" i="1" s="1"/>
  <c r="P3783" i="1" s="1"/>
  <c r="P3784" i="1" s="1"/>
  <c r="P3785" i="1" s="1"/>
  <c r="P3786" i="1" s="1"/>
  <c r="P3787" i="1" s="1"/>
  <c r="P3788" i="1" s="1"/>
  <c r="P3789" i="1" s="1"/>
  <c r="P3790" i="1" s="1"/>
  <c r="P3791" i="1" s="1"/>
  <c r="P3792" i="1" s="1"/>
  <c r="P3793" i="1" s="1"/>
  <c r="P3794" i="1" s="1"/>
  <c r="P3795" i="1" s="1"/>
  <c r="P3796" i="1" s="1"/>
  <c r="P3797" i="1" s="1"/>
  <c r="P3798" i="1" s="1"/>
  <c r="P3799" i="1" s="1"/>
  <c r="P3800" i="1" s="1"/>
  <c r="P3801" i="1" s="1"/>
  <c r="P3802" i="1" s="1"/>
  <c r="P3803" i="1" s="1"/>
  <c r="P3804" i="1" s="1"/>
  <c r="P3805" i="1" s="1"/>
  <c r="P3806" i="1" s="1"/>
  <c r="P3807" i="1" s="1"/>
  <c r="P3808" i="1" s="1"/>
  <c r="P3809" i="1" s="1"/>
  <c r="P3810" i="1" s="1"/>
  <c r="P3811" i="1" s="1"/>
  <c r="P3812" i="1" s="1"/>
  <c r="P3813" i="1" s="1"/>
  <c r="P3814" i="1" s="1"/>
  <c r="P3815" i="1" s="1"/>
  <c r="P3816" i="1" s="1"/>
  <c r="P3817" i="1" s="1"/>
  <c r="P3818" i="1" s="1"/>
  <c r="P3819" i="1" s="1"/>
  <c r="P3820" i="1" s="1"/>
  <c r="P3821" i="1" s="1"/>
  <c r="P3822" i="1" s="1"/>
  <c r="P3823" i="1" s="1"/>
  <c r="P3824" i="1" s="1"/>
  <c r="P3825" i="1" s="1"/>
  <c r="P3826" i="1" s="1"/>
  <c r="P3827" i="1" s="1"/>
  <c r="P3828" i="1" s="1"/>
  <c r="P3829" i="1" s="1"/>
  <c r="P3830" i="1" s="1"/>
  <c r="P3831" i="1" s="1"/>
  <c r="P3832" i="1" s="1"/>
  <c r="P3833" i="1" s="1"/>
  <c r="P3834" i="1" s="1"/>
  <c r="P3835" i="1" s="1"/>
  <c r="P3836" i="1" s="1"/>
  <c r="P3837" i="1" s="1"/>
  <c r="P3838" i="1" s="1"/>
  <c r="P3839" i="1" s="1"/>
  <c r="P3840" i="1" s="1"/>
  <c r="P3841" i="1" s="1"/>
  <c r="P3842" i="1" s="1"/>
  <c r="P3843" i="1" s="1"/>
  <c r="P3844" i="1" s="1"/>
  <c r="P3845" i="1" s="1"/>
  <c r="P3846" i="1" s="1"/>
  <c r="P3847" i="1" s="1"/>
  <c r="P3848" i="1" s="1"/>
  <c r="P3849" i="1" s="1"/>
  <c r="P3850" i="1" s="1"/>
  <c r="P3851" i="1" s="1"/>
  <c r="P3852" i="1" s="1"/>
  <c r="P3853" i="1" s="1"/>
  <c r="P3854" i="1" s="1"/>
  <c r="P3855" i="1" s="1"/>
  <c r="P3856" i="1" s="1"/>
  <c r="P3857" i="1" s="1"/>
  <c r="P3858" i="1" s="1"/>
  <c r="P3859" i="1" s="1"/>
  <c r="P3860" i="1" s="1"/>
  <c r="P3861" i="1" s="1"/>
  <c r="P3862" i="1" s="1"/>
  <c r="P3863" i="1" s="1"/>
  <c r="P3864" i="1" s="1"/>
  <c r="P3865" i="1" s="1"/>
  <c r="P3866" i="1" s="1"/>
  <c r="P3867" i="1" s="1"/>
  <c r="P3868" i="1" s="1"/>
  <c r="P3869" i="1" s="1"/>
  <c r="P3870" i="1" s="1"/>
  <c r="P3871" i="1" s="1"/>
  <c r="P3872" i="1" s="1"/>
  <c r="P3873" i="1" s="1"/>
  <c r="P3874" i="1" s="1"/>
  <c r="P3875" i="1" s="1"/>
  <c r="P3876" i="1" s="1"/>
  <c r="P3877" i="1" s="1"/>
  <c r="P3878" i="1" s="1"/>
  <c r="P3879" i="1" s="1"/>
  <c r="P3880" i="1" s="1"/>
  <c r="P3881" i="1" s="1"/>
  <c r="P3882" i="1" s="1"/>
  <c r="P3883" i="1" s="1"/>
  <c r="P3884" i="1" s="1"/>
  <c r="P3885" i="1" s="1"/>
  <c r="P3886" i="1" s="1"/>
  <c r="P3887" i="1" s="1"/>
  <c r="P3888" i="1" s="1"/>
  <c r="P3889" i="1" s="1"/>
  <c r="P3890" i="1" s="1"/>
  <c r="P3891" i="1" s="1"/>
  <c r="P3892" i="1" s="1"/>
  <c r="P3893" i="1" s="1"/>
  <c r="P3894" i="1" s="1"/>
  <c r="P3895" i="1" s="1"/>
  <c r="P3896" i="1" s="1"/>
  <c r="P3897" i="1" s="1"/>
  <c r="P3898" i="1" s="1"/>
  <c r="P3899" i="1" s="1"/>
  <c r="P3900" i="1" s="1"/>
  <c r="P3901" i="1" s="1"/>
  <c r="P3902" i="1" s="1"/>
  <c r="P3903" i="1" s="1"/>
  <c r="P3904" i="1" s="1"/>
  <c r="P3905" i="1" s="1"/>
  <c r="P3906" i="1" s="1"/>
  <c r="P3907" i="1" s="1"/>
  <c r="P3908" i="1" s="1"/>
  <c r="P3909" i="1" s="1"/>
  <c r="P3910" i="1" s="1"/>
  <c r="P3911" i="1" s="1"/>
  <c r="P3912" i="1" s="1"/>
  <c r="P3913" i="1" s="1"/>
  <c r="P3914" i="1" s="1"/>
  <c r="P3915" i="1" s="1"/>
  <c r="P3916" i="1" s="1"/>
  <c r="P3917" i="1" s="1"/>
  <c r="P3918" i="1" s="1"/>
  <c r="P3919" i="1" s="1"/>
  <c r="P3920" i="1" s="1"/>
  <c r="P3921" i="1" s="1"/>
  <c r="P3922" i="1" s="1"/>
  <c r="P3923" i="1" s="1"/>
  <c r="P3924" i="1" s="1"/>
  <c r="P3925" i="1" s="1"/>
  <c r="P3926" i="1" s="1"/>
  <c r="P3927" i="1" s="1"/>
  <c r="P3928" i="1" s="1"/>
  <c r="P3929" i="1" s="1"/>
  <c r="P3930" i="1" s="1"/>
  <c r="P3931" i="1" s="1"/>
  <c r="P3932" i="1" s="1"/>
  <c r="P3933" i="1" s="1"/>
  <c r="P3934" i="1" s="1"/>
  <c r="P3935" i="1" s="1"/>
  <c r="P3936" i="1" s="1"/>
  <c r="P3937" i="1" s="1"/>
  <c r="P3938" i="1" s="1"/>
  <c r="P3939" i="1" s="1"/>
  <c r="P3940" i="1" s="1"/>
  <c r="P3941" i="1" s="1"/>
  <c r="P3942" i="1" s="1"/>
  <c r="P3943" i="1" s="1"/>
  <c r="P3944" i="1" s="1"/>
  <c r="P3945" i="1" s="1"/>
  <c r="P3946" i="1" s="1"/>
  <c r="P3947" i="1" s="1"/>
  <c r="P3948" i="1" s="1"/>
  <c r="P3949" i="1" s="1"/>
  <c r="P3950" i="1" s="1"/>
  <c r="P3951" i="1" s="1"/>
  <c r="P3952" i="1" s="1"/>
  <c r="P3953" i="1" s="1"/>
  <c r="P3954" i="1" s="1"/>
  <c r="P3955" i="1" s="1"/>
  <c r="P3956" i="1" s="1"/>
  <c r="P3957" i="1" s="1"/>
  <c r="P3958" i="1" s="1"/>
  <c r="P3959" i="1" s="1"/>
  <c r="P3960" i="1" s="1"/>
  <c r="P3961" i="1" s="1"/>
  <c r="P3962" i="1" s="1"/>
  <c r="P3963" i="1" s="1"/>
  <c r="P3964" i="1" s="1"/>
  <c r="P3965" i="1" s="1"/>
  <c r="P3966" i="1" s="1"/>
  <c r="P3967" i="1" s="1"/>
  <c r="P3968" i="1" s="1"/>
  <c r="P3969" i="1" s="1"/>
  <c r="P3970" i="1" s="1"/>
  <c r="P3971" i="1" s="1"/>
  <c r="P3972" i="1" s="1"/>
  <c r="P3973" i="1" s="1"/>
  <c r="P3974" i="1" s="1"/>
  <c r="P3975" i="1" s="1"/>
  <c r="P3976" i="1" s="1"/>
  <c r="P3977" i="1" s="1"/>
  <c r="P3978" i="1" s="1"/>
  <c r="P3979" i="1" s="1"/>
  <c r="P3980" i="1" s="1"/>
  <c r="P3981" i="1" s="1"/>
  <c r="P3982" i="1" s="1"/>
  <c r="P3983" i="1" s="1"/>
  <c r="P3984" i="1" s="1"/>
  <c r="P3985" i="1" s="1"/>
  <c r="P3986" i="1" s="1"/>
  <c r="P3987" i="1" s="1"/>
  <c r="P3988" i="1" s="1"/>
  <c r="P3989" i="1" s="1"/>
  <c r="P3990" i="1" s="1"/>
  <c r="P3991" i="1" s="1"/>
  <c r="P3992" i="1" s="1"/>
  <c r="P3993" i="1" s="1"/>
  <c r="P3994" i="1" s="1"/>
  <c r="P3995" i="1" s="1"/>
  <c r="P3996" i="1" s="1"/>
  <c r="P3997" i="1" s="1"/>
  <c r="P3998" i="1" s="1"/>
  <c r="P3999" i="1" s="1"/>
  <c r="P4000" i="1" s="1"/>
  <c r="P4001" i="1" s="1"/>
  <c r="P4002" i="1" s="1"/>
  <c r="P4003" i="1" s="1"/>
  <c r="P4004" i="1" s="1"/>
  <c r="P4005" i="1" s="1"/>
  <c r="P4006" i="1" s="1"/>
  <c r="P4007" i="1" s="1"/>
  <c r="P4008" i="1" s="1"/>
  <c r="P4009" i="1" s="1"/>
  <c r="P4010" i="1" s="1"/>
  <c r="P4011" i="1" s="1"/>
  <c r="P4012" i="1" s="1"/>
  <c r="P4013" i="1" s="1"/>
  <c r="P4014" i="1" s="1"/>
  <c r="P4015" i="1" s="1"/>
  <c r="P4016" i="1" s="1"/>
  <c r="P4017" i="1" s="1"/>
  <c r="P4018" i="1" s="1"/>
  <c r="P4019" i="1" s="1"/>
  <c r="P4020" i="1" s="1"/>
  <c r="P4021" i="1" s="1"/>
  <c r="P4022" i="1" s="1"/>
  <c r="P4023" i="1" s="1"/>
  <c r="P4024" i="1" s="1"/>
  <c r="P4025" i="1" s="1"/>
  <c r="P4026" i="1" s="1"/>
  <c r="P4027" i="1" s="1"/>
  <c r="P4028" i="1" s="1"/>
  <c r="P4029" i="1" s="1"/>
  <c r="P4030" i="1" s="1"/>
  <c r="P4031" i="1" s="1"/>
  <c r="P4032" i="1" s="1"/>
  <c r="P4033" i="1" s="1"/>
  <c r="P4034" i="1" s="1"/>
  <c r="P4035" i="1" s="1"/>
  <c r="P4036" i="1" s="1"/>
  <c r="P4037" i="1" s="1"/>
  <c r="P4038" i="1" s="1"/>
  <c r="P4039" i="1" s="1"/>
  <c r="P4040" i="1" s="1"/>
  <c r="P4041" i="1" s="1"/>
  <c r="P4042" i="1" s="1"/>
  <c r="P4043" i="1" s="1"/>
  <c r="P4044" i="1" s="1"/>
  <c r="P4045" i="1" s="1"/>
  <c r="P4046" i="1" s="1"/>
  <c r="P4047" i="1" s="1"/>
  <c r="P4048" i="1" s="1"/>
  <c r="P4049" i="1" s="1"/>
  <c r="P4050" i="1" s="1"/>
  <c r="P4051" i="1" s="1"/>
  <c r="P4052" i="1" s="1"/>
  <c r="P4053" i="1" s="1"/>
  <c r="P4054" i="1" s="1"/>
  <c r="P4055" i="1" s="1"/>
  <c r="P4056" i="1" s="1"/>
  <c r="P4057" i="1" s="1"/>
  <c r="P4058" i="1" s="1"/>
  <c r="P4059" i="1" s="1"/>
  <c r="P4060" i="1" s="1"/>
  <c r="P4061" i="1" s="1"/>
  <c r="P4062" i="1" s="1"/>
  <c r="P4063" i="1" s="1"/>
  <c r="P4064" i="1" s="1"/>
  <c r="P4065" i="1" s="1"/>
  <c r="P4066" i="1" s="1"/>
  <c r="P4067" i="1" s="1"/>
  <c r="P4068" i="1" s="1"/>
  <c r="P4069" i="1" s="1"/>
  <c r="P4070" i="1" s="1"/>
  <c r="P4071" i="1" s="1"/>
  <c r="P4072" i="1" s="1"/>
  <c r="P4073" i="1" s="1"/>
  <c r="P4074" i="1" s="1"/>
  <c r="P4075" i="1" s="1"/>
  <c r="P4076" i="1" s="1"/>
  <c r="P4077" i="1" s="1"/>
  <c r="P4078" i="1" s="1"/>
  <c r="P4079" i="1" s="1"/>
  <c r="P4080" i="1" s="1"/>
  <c r="P4081" i="1" s="1"/>
  <c r="P4082" i="1" s="1"/>
  <c r="P4083" i="1" s="1"/>
  <c r="P4084" i="1" s="1"/>
  <c r="P4085" i="1" s="1"/>
  <c r="P4086" i="1" s="1"/>
  <c r="P4087" i="1" s="1"/>
  <c r="P4088" i="1" s="1"/>
  <c r="P4089" i="1" s="1"/>
  <c r="P4090" i="1" s="1"/>
  <c r="P4091" i="1" s="1"/>
  <c r="P4092" i="1" s="1"/>
  <c r="P4093" i="1" s="1"/>
  <c r="P4094" i="1" s="1"/>
  <c r="P4095" i="1" s="1"/>
  <c r="P4096" i="1" s="1"/>
  <c r="P4097" i="1" s="1"/>
  <c r="P4098" i="1" s="1"/>
  <c r="P4099" i="1" s="1"/>
  <c r="P4100" i="1" s="1"/>
  <c r="P4101" i="1" s="1"/>
  <c r="P4102" i="1" s="1"/>
  <c r="P4103" i="1" s="1"/>
  <c r="P4104" i="1" s="1"/>
  <c r="P4105" i="1" s="1"/>
  <c r="P4106" i="1" s="1"/>
  <c r="P4107" i="1" s="1"/>
  <c r="P4108" i="1" s="1"/>
  <c r="P4109" i="1" s="1"/>
  <c r="P4110" i="1" s="1"/>
  <c r="P4111" i="1" s="1"/>
  <c r="P4112" i="1" s="1"/>
  <c r="P4113" i="1" s="1"/>
  <c r="P4114" i="1" s="1"/>
  <c r="P4115" i="1" s="1"/>
  <c r="P4116" i="1" s="1"/>
  <c r="P4117" i="1" s="1"/>
  <c r="P4118" i="1" s="1"/>
  <c r="P4119" i="1" s="1"/>
  <c r="P4120" i="1" s="1"/>
  <c r="P4121" i="1" s="1"/>
  <c r="P4122" i="1" s="1"/>
  <c r="P4123" i="1" s="1"/>
  <c r="P4124" i="1" s="1"/>
  <c r="P4125" i="1" s="1"/>
  <c r="P4126" i="1" s="1"/>
  <c r="P4127" i="1" s="1"/>
  <c r="P4128" i="1" s="1"/>
  <c r="P4129" i="1" s="1"/>
  <c r="P4130" i="1" s="1"/>
  <c r="P4131" i="1" s="1"/>
  <c r="P4132" i="1" s="1"/>
  <c r="P4133" i="1" s="1"/>
  <c r="P4134" i="1" s="1"/>
  <c r="P4135" i="1" s="1"/>
  <c r="P4136" i="1" s="1"/>
  <c r="P4137" i="1" s="1"/>
  <c r="P4138" i="1" s="1"/>
  <c r="P4139" i="1" s="1"/>
  <c r="P4140" i="1" s="1"/>
  <c r="P4141" i="1" s="1"/>
  <c r="P4142" i="1" s="1"/>
  <c r="P4143" i="1" s="1"/>
  <c r="P4144" i="1" s="1"/>
  <c r="P4145" i="1" s="1"/>
  <c r="P4146" i="1" s="1"/>
  <c r="P4147" i="1" s="1"/>
  <c r="P4148" i="1" s="1"/>
  <c r="P4149" i="1" s="1"/>
  <c r="P4150" i="1" s="1"/>
  <c r="P4151" i="1" s="1"/>
  <c r="P4152" i="1" s="1"/>
  <c r="P4153" i="1" s="1"/>
  <c r="P4154" i="1" s="1"/>
  <c r="P4155" i="1" s="1"/>
  <c r="P4156" i="1" s="1"/>
  <c r="P4157" i="1" s="1"/>
  <c r="P4158" i="1" s="1"/>
  <c r="P4159" i="1" s="1"/>
  <c r="P4160" i="1" s="1"/>
  <c r="P4161" i="1" s="1"/>
  <c r="P4162" i="1" s="1"/>
  <c r="P4163" i="1" s="1"/>
  <c r="P4164" i="1" s="1"/>
  <c r="P4165" i="1" s="1"/>
  <c r="P4166" i="1" s="1"/>
  <c r="P4167" i="1" s="1"/>
  <c r="P4168" i="1" s="1"/>
  <c r="P4169" i="1" s="1"/>
  <c r="P4170" i="1" s="1"/>
  <c r="P4171" i="1" s="1"/>
  <c r="P4172" i="1" s="1"/>
  <c r="P4173" i="1" s="1"/>
  <c r="P4174" i="1" s="1"/>
  <c r="P4175" i="1" s="1"/>
  <c r="P4176" i="1" s="1"/>
  <c r="P4177" i="1" s="1"/>
  <c r="P4178" i="1" s="1"/>
  <c r="P4179" i="1" s="1"/>
  <c r="P4180" i="1" s="1"/>
  <c r="P4181" i="1" s="1"/>
  <c r="P4182" i="1" s="1"/>
  <c r="P4183" i="1" s="1"/>
  <c r="P4184" i="1" s="1"/>
  <c r="P4185" i="1" s="1"/>
  <c r="P4186" i="1" s="1"/>
  <c r="P4187" i="1" s="1"/>
  <c r="P4188" i="1" s="1"/>
  <c r="P4189" i="1" s="1"/>
  <c r="P4190" i="1" s="1"/>
  <c r="P4191" i="1" s="1"/>
  <c r="P4192" i="1" s="1"/>
  <c r="P4193" i="1" s="1"/>
  <c r="P4194" i="1" s="1"/>
  <c r="P4195" i="1" s="1"/>
  <c r="P4196" i="1" s="1"/>
  <c r="P4197" i="1" s="1"/>
  <c r="P4198" i="1" s="1"/>
  <c r="P4199" i="1" s="1"/>
  <c r="P4200" i="1" s="1"/>
  <c r="P4201" i="1" s="1"/>
  <c r="P4202" i="1" s="1"/>
  <c r="P4203" i="1" s="1"/>
  <c r="P4204" i="1" s="1"/>
  <c r="P4205" i="1" s="1"/>
  <c r="P4206" i="1" s="1"/>
  <c r="P4207" i="1" s="1"/>
  <c r="P4208" i="1" s="1"/>
  <c r="P4209" i="1" s="1"/>
  <c r="P4210" i="1" s="1"/>
  <c r="P4211" i="1" s="1"/>
  <c r="P4212" i="1" s="1"/>
  <c r="P4213" i="1" s="1"/>
  <c r="P4214" i="1" s="1"/>
  <c r="P4215" i="1" s="1"/>
  <c r="P4216" i="1" s="1"/>
  <c r="P4217" i="1" s="1"/>
  <c r="P4218" i="1" s="1"/>
  <c r="P4219" i="1" s="1"/>
  <c r="P4220" i="1" s="1"/>
  <c r="P4221" i="1" s="1"/>
  <c r="P4222" i="1" s="1"/>
  <c r="P4223" i="1" s="1"/>
  <c r="P4224" i="1" s="1"/>
  <c r="P4225" i="1" s="1"/>
  <c r="P4226" i="1" s="1"/>
  <c r="P4227" i="1" s="1"/>
  <c r="P4228" i="1" s="1"/>
  <c r="P4229" i="1" s="1"/>
  <c r="P4230" i="1" s="1"/>
  <c r="P4231" i="1" s="1"/>
  <c r="P4232" i="1" s="1"/>
  <c r="P4233" i="1" s="1"/>
  <c r="P4234" i="1" s="1"/>
  <c r="P4235" i="1" s="1"/>
  <c r="P4236" i="1" s="1"/>
  <c r="P4237" i="1" s="1"/>
  <c r="P4238" i="1" s="1"/>
  <c r="P4239" i="1" s="1"/>
  <c r="P4240" i="1" s="1"/>
  <c r="P4241" i="1" s="1"/>
  <c r="P4242" i="1" s="1"/>
  <c r="P4243" i="1" s="1"/>
  <c r="P4244" i="1" s="1"/>
  <c r="P4245" i="1" s="1"/>
  <c r="P4246" i="1" s="1"/>
  <c r="P4247" i="1" s="1"/>
  <c r="P4248" i="1" s="1"/>
  <c r="P4249" i="1" s="1"/>
  <c r="P4250" i="1" s="1"/>
  <c r="P4251" i="1" s="1"/>
  <c r="P4252" i="1" s="1"/>
  <c r="P4253" i="1" s="1"/>
  <c r="P4254" i="1" s="1"/>
  <c r="P4255" i="1" s="1"/>
  <c r="P4256" i="1" s="1"/>
  <c r="P4257" i="1" s="1"/>
  <c r="P4258" i="1" s="1"/>
  <c r="P4259" i="1" s="1"/>
  <c r="P4260" i="1" s="1"/>
  <c r="P4261" i="1" s="1"/>
  <c r="P4262" i="1" s="1"/>
  <c r="P4263" i="1" s="1"/>
  <c r="P4264" i="1" s="1"/>
  <c r="P4265" i="1" s="1"/>
  <c r="P4266" i="1" s="1"/>
  <c r="P4267" i="1" s="1"/>
  <c r="P4268" i="1" s="1"/>
  <c r="P4269" i="1" s="1"/>
  <c r="P4270" i="1" s="1"/>
  <c r="P4271" i="1" s="1"/>
  <c r="P4272" i="1" s="1"/>
  <c r="P4273" i="1" s="1"/>
  <c r="P4274" i="1" s="1"/>
  <c r="P4275" i="1" s="1"/>
  <c r="P4276" i="1" s="1"/>
  <c r="P4277" i="1" s="1"/>
  <c r="P4278" i="1" s="1"/>
  <c r="P4279" i="1" s="1"/>
  <c r="P4280" i="1" s="1"/>
  <c r="P4281" i="1" s="1"/>
  <c r="P4282" i="1" s="1"/>
  <c r="P4283" i="1" s="1"/>
  <c r="P4284" i="1" s="1"/>
  <c r="P4285" i="1" s="1"/>
  <c r="P4286" i="1" s="1"/>
  <c r="P4287" i="1" s="1"/>
  <c r="P4288" i="1" s="1"/>
  <c r="P4289" i="1" s="1"/>
  <c r="P4290" i="1" s="1"/>
  <c r="P4291" i="1" s="1"/>
  <c r="P4292" i="1" s="1"/>
  <c r="P4293" i="1" s="1"/>
  <c r="P4294" i="1" s="1"/>
  <c r="P4295" i="1" s="1"/>
  <c r="P4296" i="1" s="1"/>
  <c r="P4297" i="1" s="1"/>
  <c r="P4298" i="1" s="1"/>
  <c r="P4299" i="1" s="1"/>
  <c r="P4300" i="1" s="1"/>
  <c r="P4301" i="1" s="1"/>
  <c r="P4302" i="1" s="1"/>
  <c r="P4303" i="1" s="1"/>
  <c r="P4304" i="1" s="1"/>
  <c r="P4305" i="1" s="1"/>
  <c r="P4306" i="1" s="1"/>
  <c r="P4307" i="1" s="1"/>
  <c r="P4308" i="1" s="1"/>
  <c r="P4309" i="1" s="1"/>
  <c r="P4310" i="1" s="1"/>
  <c r="P4311" i="1" s="1"/>
  <c r="P4312" i="1" s="1"/>
  <c r="P4313" i="1" s="1"/>
  <c r="P4314" i="1" s="1"/>
  <c r="P4315" i="1" s="1"/>
  <c r="P4316" i="1" s="1"/>
  <c r="P4317" i="1" s="1"/>
  <c r="P4318" i="1" s="1"/>
  <c r="P4319" i="1" s="1"/>
  <c r="P4320" i="1" s="1"/>
  <c r="P4321" i="1" s="1"/>
  <c r="P4322" i="1" s="1"/>
  <c r="P4323" i="1" s="1"/>
  <c r="P4324" i="1" s="1"/>
  <c r="P4325" i="1" s="1"/>
  <c r="P4326" i="1" s="1"/>
  <c r="P4327" i="1" s="1"/>
  <c r="P4328" i="1" s="1"/>
  <c r="P4329" i="1" s="1"/>
  <c r="P4330" i="1" s="1"/>
  <c r="P4331" i="1" s="1"/>
  <c r="P4332" i="1" s="1"/>
  <c r="P4333" i="1" s="1"/>
  <c r="P4334" i="1" s="1"/>
  <c r="P4335" i="1" s="1"/>
  <c r="P4336" i="1" s="1"/>
  <c r="P4337" i="1" s="1"/>
  <c r="P4338" i="1" s="1"/>
  <c r="P4339" i="1" s="1"/>
  <c r="P4340" i="1" s="1"/>
  <c r="P4341" i="1" s="1"/>
  <c r="P4342" i="1" s="1"/>
  <c r="P4343" i="1" s="1"/>
  <c r="P4344" i="1" s="1"/>
  <c r="P4345" i="1" s="1"/>
  <c r="P4346" i="1" s="1"/>
  <c r="P4347" i="1" s="1"/>
  <c r="P4348" i="1" s="1"/>
  <c r="P4349" i="1" s="1"/>
  <c r="P4350" i="1" s="1"/>
  <c r="P4351" i="1" s="1"/>
  <c r="P4352" i="1" s="1"/>
  <c r="P4353" i="1" s="1"/>
  <c r="P4354" i="1" s="1"/>
  <c r="P4355" i="1" s="1"/>
  <c r="P4356" i="1" s="1"/>
  <c r="P4357" i="1" s="1"/>
  <c r="P4358" i="1" s="1"/>
  <c r="P4359" i="1" s="1"/>
  <c r="P4360" i="1" s="1"/>
  <c r="P4361" i="1" s="1"/>
  <c r="P4362" i="1" s="1"/>
  <c r="P4363" i="1" s="1"/>
  <c r="P4364" i="1" s="1"/>
  <c r="P4365" i="1" s="1"/>
  <c r="P4366" i="1" s="1"/>
  <c r="P4367" i="1" s="1"/>
  <c r="P4368" i="1" s="1"/>
  <c r="P4369" i="1" s="1"/>
  <c r="P4370" i="1" s="1"/>
  <c r="P4371" i="1" s="1"/>
  <c r="P4372" i="1" s="1"/>
  <c r="P4373" i="1" s="1"/>
  <c r="P4374" i="1" s="1"/>
  <c r="P4375" i="1" s="1"/>
  <c r="P4376" i="1" s="1"/>
  <c r="P4377" i="1" s="1"/>
  <c r="P4378" i="1" s="1"/>
  <c r="P4379" i="1" s="1"/>
  <c r="P4380" i="1" s="1"/>
  <c r="P4381" i="1" s="1"/>
  <c r="P4382" i="1" s="1"/>
  <c r="P4383" i="1" s="1"/>
  <c r="P4384" i="1" s="1"/>
  <c r="P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3843" i="1"/>
  <c r="K3843" i="1" s="1"/>
  <c r="D3843" i="1"/>
  <c r="E3843" i="1"/>
  <c r="G3843" i="1"/>
  <c r="H3843" i="1" s="1"/>
  <c r="C3844" i="1"/>
  <c r="K3844" i="1" s="1"/>
  <c r="D3844" i="1"/>
  <c r="E3844" i="1"/>
  <c r="G3844" i="1"/>
  <c r="H3844" i="1" s="1"/>
  <c r="C3845" i="1"/>
  <c r="K3845" i="1" s="1"/>
  <c r="D3845" i="1"/>
  <c r="E3845" i="1"/>
  <c r="G3845" i="1"/>
  <c r="H3845" i="1" s="1"/>
  <c r="C3846" i="1"/>
  <c r="K3846" i="1" s="1"/>
  <c r="D3846" i="1"/>
  <c r="E3846" i="1"/>
  <c r="G3846" i="1"/>
  <c r="H3846" i="1" s="1"/>
  <c r="C3847" i="1"/>
  <c r="K3847" i="1" s="1"/>
  <c r="D3847" i="1"/>
  <c r="E3847" i="1"/>
  <c r="G3847" i="1"/>
  <c r="H3847" i="1" s="1"/>
  <c r="C3848" i="1"/>
  <c r="K3848" i="1" s="1"/>
  <c r="D3848" i="1"/>
  <c r="E3848" i="1"/>
  <c r="G3848" i="1"/>
  <c r="H3848" i="1" s="1"/>
  <c r="C3849" i="1"/>
  <c r="K3849" i="1" s="1"/>
  <c r="D3849" i="1"/>
  <c r="E3849" i="1"/>
  <c r="G3849" i="1"/>
  <c r="H3849" i="1" s="1"/>
  <c r="C3850" i="1"/>
  <c r="K3850" i="1" s="1"/>
  <c r="D3850" i="1"/>
  <c r="E3850" i="1"/>
  <c r="G3850" i="1"/>
  <c r="H3850" i="1" s="1"/>
  <c r="C3851" i="1"/>
  <c r="K3851" i="1" s="1"/>
  <c r="D3851" i="1"/>
  <c r="E3851" i="1"/>
  <c r="G3851" i="1"/>
  <c r="H3851" i="1" s="1"/>
  <c r="C3852" i="1"/>
  <c r="K3852" i="1" s="1"/>
  <c r="D3852" i="1"/>
  <c r="E3852" i="1"/>
  <c r="G3852" i="1"/>
  <c r="H3852" i="1" s="1"/>
  <c r="C3853" i="1"/>
  <c r="K3853" i="1" s="1"/>
  <c r="D3853" i="1"/>
  <c r="E3853" i="1"/>
  <c r="G3853" i="1"/>
  <c r="H3853" i="1" s="1"/>
  <c r="C3854" i="1"/>
  <c r="D3854" i="1"/>
  <c r="E3854" i="1"/>
  <c r="G3854" i="1"/>
  <c r="H3854" i="1" s="1"/>
  <c r="C3855" i="1"/>
  <c r="K3855" i="1" s="1"/>
  <c r="D3855" i="1"/>
  <c r="E3855" i="1"/>
  <c r="G3855" i="1"/>
  <c r="H3855" i="1" s="1"/>
  <c r="C3856" i="1"/>
  <c r="K3856" i="1" s="1"/>
  <c r="D3856" i="1"/>
  <c r="E3856" i="1"/>
  <c r="G3856" i="1"/>
  <c r="H3856" i="1" s="1"/>
  <c r="C3857" i="1"/>
  <c r="K3857" i="1" s="1"/>
  <c r="D3857" i="1"/>
  <c r="E3857" i="1"/>
  <c r="G3857" i="1"/>
  <c r="H3857" i="1" s="1"/>
  <c r="C3858" i="1"/>
  <c r="K3858" i="1" s="1"/>
  <c r="D3858" i="1"/>
  <c r="E3858" i="1"/>
  <c r="G3858" i="1"/>
  <c r="H3858" i="1" s="1"/>
  <c r="C3859" i="1"/>
  <c r="K3859" i="1" s="1"/>
  <c r="D3859" i="1"/>
  <c r="E3859" i="1"/>
  <c r="G3859" i="1"/>
  <c r="H3859" i="1" s="1"/>
  <c r="C3860" i="1"/>
  <c r="K3860" i="1" s="1"/>
  <c r="D3860" i="1"/>
  <c r="E3860" i="1"/>
  <c r="G3860" i="1"/>
  <c r="H3860" i="1" s="1"/>
  <c r="C3861" i="1"/>
  <c r="K3861" i="1" s="1"/>
  <c r="D3861" i="1"/>
  <c r="E3861" i="1"/>
  <c r="G3861" i="1"/>
  <c r="H3861" i="1" s="1"/>
  <c r="C3862" i="1"/>
  <c r="K3862" i="1" s="1"/>
  <c r="D3862" i="1"/>
  <c r="E3862" i="1"/>
  <c r="G3862" i="1"/>
  <c r="H3862" i="1" s="1"/>
  <c r="C3863" i="1"/>
  <c r="K3863" i="1" s="1"/>
  <c r="D3863" i="1"/>
  <c r="E3863" i="1"/>
  <c r="G3863" i="1"/>
  <c r="H3863" i="1" s="1"/>
  <c r="C3864" i="1"/>
  <c r="K3864" i="1" s="1"/>
  <c r="D3864" i="1"/>
  <c r="E3864" i="1"/>
  <c r="G3864" i="1"/>
  <c r="H3864" i="1" s="1"/>
  <c r="C3865" i="1"/>
  <c r="K3865" i="1" s="1"/>
  <c r="D3865" i="1"/>
  <c r="E3865" i="1"/>
  <c r="G3865" i="1"/>
  <c r="H3865" i="1" s="1"/>
  <c r="C3866" i="1"/>
  <c r="K3866" i="1" s="1"/>
  <c r="D3866" i="1"/>
  <c r="E3866" i="1"/>
  <c r="G3866" i="1"/>
  <c r="H3866" i="1" s="1"/>
  <c r="C3867" i="1"/>
  <c r="K3867" i="1" s="1"/>
  <c r="D3867" i="1"/>
  <c r="E3867" i="1"/>
  <c r="G3867" i="1"/>
  <c r="H3867" i="1" s="1"/>
  <c r="C3868" i="1"/>
  <c r="K3868" i="1" s="1"/>
  <c r="D3868" i="1"/>
  <c r="E3868" i="1"/>
  <c r="G3868" i="1"/>
  <c r="H3868" i="1" s="1"/>
  <c r="C3869" i="1"/>
  <c r="K3869" i="1" s="1"/>
  <c r="D3869" i="1"/>
  <c r="E3869" i="1"/>
  <c r="G3869" i="1"/>
  <c r="H3869" i="1" s="1"/>
  <c r="C3870" i="1"/>
  <c r="K3870" i="1" s="1"/>
  <c r="D3870" i="1"/>
  <c r="E3870" i="1"/>
  <c r="G3870" i="1"/>
  <c r="H3870" i="1" s="1"/>
  <c r="C3871" i="1"/>
  <c r="K3871" i="1" s="1"/>
  <c r="D3871" i="1"/>
  <c r="E3871" i="1"/>
  <c r="G3871" i="1"/>
  <c r="H3871" i="1" s="1"/>
  <c r="C3872" i="1"/>
  <c r="K3872" i="1" s="1"/>
  <c r="D3872" i="1"/>
  <c r="E3872" i="1"/>
  <c r="G3872" i="1"/>
  <c r="H3872" i="1" s="1"/>
  <c r="C3873" i="1"/>
  <c r="K3873" i="1" s="1"/>
  <c r="D3873" i="1"/>
  <c r="E3873" i="1"/>
  <c r="G3873" i="1"/>
  <c r="H3873" i="1" s="1"/>
  <c r="C3874" i="1"/>
  <c r="K3874" i="1" s="1"/>
  <c r="D3874" i="1"/>
  <c r="E3874" i="1"/>
  <c r="G3874" i="1"/>
  <c r="H3874" i="1" s="1"/>
  <c r="C3875" i="1"/>
  <c r="K3875" i="1" s="1"/>
  <c r="D3875" i="1"/>
  <c r="E3875" i="1"/>
  <c r="G3875" i="1"/>
  <c r="H3875" i="1" s="1"/>
  <c r="C3876" i="1"/>
  <c r="K3876" i="1" s="1"/>
  <c r="D3876" i="1"/>
  <c r="E3876" i="1"/>
  <c r="G3876" i="1"/>
  <c r="H3876" i="1" s="1"/>
  <c r="C3877" i="1"/>
  <c r="K3877" i="1" s="1"/>
  <c r="D3877" i="1"/>
  <c r="E3877" i="1"/>
  <c r="G3877" i="1"/>
  <c r="H3877" i="1" s="1"/>
  <c r="C3878" i="1"/>
  <c r="K3878" i="1" s="1"/>
  <c r="D3878" i="1"/>
  <c r="E3878" i="1"/>
  <c r="G3878" i="1"/>
  <c r="H3878" i="1" s="1"/>
  <c r="C3879" i="1"/>
  <c r="K3879" i="1" s="1"/>
  <c r="D3879" i="1"/>
  <c r="E3879" i="1"/>
  <c r="G3879" i="1"/>
  <c r="H3879" i="1" s="1"/>
  <c r="C3880" i="1"/>
  <c r="K3880" i="1" s="1"/>
  <c r="D3880" i="1"/>
  <c r="E3880" i="1"/>
  <c r="G3880" i="1"/>
  <c r="H3880" i="1" s="1"/>
  <c r="C3881" i="1"/>
  <c r="K3881" i="1" s="1"/>
  <c r="D3881" i="1"/>
  <c r="E3881" i="1"/>
  <c r="G3881" i="1"/>
  <c r="H3881" i="1" s="1"/>
  <c r="C3882" i="1"/>
  <c r="K3882" i="1" s="1"/>
  <c r="D3882" i="1"/>
  <c r="E3882" i="1"/>
  <c r="G3882" i="1"/>
  <c r="H3882" i="1" s="1"/>
  <c r="C3883" i="1"/>
  <c r="K3883" i="1" s="1"/>
  <c r="D3883" i="1"/>
  <c r="E3883" i="1"/>
  <c r="G3883" i="1"/>
  <c r="H3883" i="1" s="1"/>
  <c r="C3884" i="1"/>
  <c r="K3884" i="1" s="1"/>
  <c r="D3884" i="1"/>
  <c r="E3884" i="1"/>
  <c r="G3884" i="1"/>
  <c r="H3884" i="1" s="1"/>
  <c r="C3885" i="1"/>
  <c r="K3885" i="1" s="1"/>
  <c r="D3885" i="1"/>
  <c r="E3885" i="1"/>
  <c r="G3885" i="1"/>
  <c r="H3885" i="1" s="1"/>
  <c r="C3886" i="1"/>
  <c r="K3886" i="1" s="1"/>
  <c r="D3886" i="1"/>
  <c r="E3886" i="1"/>
  <c r="G3886" i="1"/>
  <c r="H3886" i="1" s="1"/>
  <c r="C3887" i="1"/>
  <c r="D3887" i="1"/>
  <c r="E3887" i="1"/>
  <c r="G3887" i="1"/>
  <c r="H3887" i="1" s="1"/>
  <c r="C3888" i="1"/>
  <c r="D3888" i="1"/>
  <c r="E3888" i="1"/>
  <c r="G3888" i="1"/>
  <c r="H3888" i="1" s="1"/>
  <c r="C3889" i="1"/>
  <c r="K3889" i="1" s="1"/>
  <c r="D3889" i="1"/>
  <c r="E3889" i="1"/>
  <c r="G3889" i="1"/>
  <c r="H3889" i="1" s="1"/>
  <c r="C3890" i="1"/>
  <c r="D3890" i="1"/>
  <c r="E3890" i="1"/>
  <c r="G3890" i="1"/>
  <c r="H3890" i="1" s="1"/>
  <c r="C3891" i="1"/>
  <c r="K3891" i="1" s="1"/>
  <c r="D3891" i="1"/>
  <c r="E3891" i="1"/>
  <c r="G3891" i="1"/>
  <c r="H3891" i="1" s="1"/>
  <c r="C3892" i="1"/>
  <c r="K3892" i="1" s="1"/>
  <c r="D3892" i="1"/>
  <c r="E3892" i="1"/>
  <c r="G3892" i="1"/>
  <c r="H3892" i="1" s="1"/>
  <c r="C3893" i="1"/>
  <c r="K3893" i="1" s="1"/>
  <c r="D3893" i="1"/>
  <c r="E3893" i="1"/>
  <c r="G3893" i="1"/>
  <c r="H3893" i="1" s="1"/>
  <c r="C3894" i="1"/>
  <c r="K3894" i="1" s="1"/>
  <c r="D3894" i="1"/>
  <c r="E3894" i="1"/>
  <c r="G3894" i="1"/>
  <c r="H3894" i="1" s="1"/>
  <c r="C3895" i="1"/>
  <c r="K3895" i="1" s="1"/>
  <c r="D3895" i="1"/>
  <c r="E3895" i="1"/>
  <c r="G3895" i="1"/>
  <c r="H3895" i="1" s="1"/>
  <c r="C3896" i="1"/>
  <c r="K3896" i="1" s="1"/>
  <c r="D3896" i="1"/>
  <c r="E3896" i="1"/>
  <c r="G3896" i="1"/>
  <c r="H3896" i="1" s="1"/>
  <c r="C3897" i="1"/>
  <c r="K3897" i="1" s="1"/>
  <c r="D3897" i="1"/>
  <c r="E3897" i="1"/>
  <c r="G3897" i="1"/>
  <c r="H3897" i="1" s="1"/>
  <c r="C3898" i="1"/>
  <c r="K3898" i="1" s="1"/>
  <c r="D3898" i="1"/>
  <c r="E3898" i="1"/>
  <c r="G3898" i="1"/>
  <c r="H3898" i="1" s="1"/>
  <c r="C3899" i="1"/>
  <c r="K3899" i="1" s="1"/>
  <c r="D3899" i="1"/>
  <c r="E3899" i="1"/>
  <c r="G3899" i="1"/>
  <c r="H3899" i="1" s="1"/>
  <c r="C3900" i="1"/>
  <c r="K3900" i="1" s="1"/>
  <c r="D3900" i="1"/>
  <c r="E3900" i="1"/>
  <c r="G3900" i="1"/>
  <c r="H3900" i="1" s="1"/>
  <c r="C3901" i="1"/>
  <c r="K3901" i="1" s="1"/>
  <c r="D3901" i="1"/>
  <c r="E3901" i="1"/>
  <c r="G3901" i="1"/>
  <c r="H3901" i="1" s="1"/>
  <c r="C3902" i="1"/>
  <c r="K3902" i="1" s="1"/>
  <c r="D3902" i="1"/>
  <c r="E3902" i="1"/>
  <c r="G3902" i="1"/>
  <c r="H3902" i="1" s="1"/>
  <c r="C3903" i="1"/>
  <c r="K3903" i="1" s="1"/>
  <c r="D3903" i="1"/>
  <c r="E3903" i="1"/>
  <c r="G3903" i="1"/>
  <c r="H3903" i="1" s="1"/>
  <c r="C3904" i="1"/>
  <c r="K3904" i="1" s="1"/>
  <c r="D3904" i="1"/>
  <c r="E3904" i="1"/>
  <c r="G3904" i="1"/>
  <c r="H3904" i="1" s="1"/>
  <c r="C3905" i="1"/>
  <c r="K3905" i="1" s="1"/>
  <c r="D3905" i="1"/>
  <c r="E3905" i="1"/>
  <c r="G3905" i="1"/>
  <c r="H3905" i="1" s="1"/>
  <c r="C3906" i="1"/>
  <c r="D3906" i="1"/>
  <c r="E3906" i="1"/>
  <c r="G3906" i="1"/>
  <c r="H3906" i="1" s="1"/>
  <c r="C3907" i="1"/>
  <c r="K3907" i="1" s="1"/>
  <c r="D3907" i="1"/>
  <c r="E3907" i="1"/>
  <c r="G3907" i="1"/>
  <c r="H3907" i="1" s="1"/>
  <c r="C3908" i="1"/>
  <c r="D3908" i="1"/>
  <c r="E3908" i="1"/>
  <c r="G3908" i="1"/>
  <c r="H3908" i="1" s="1"/>
  <c r="C3909" i="1"/>
  <c r="K3909" i="1" s="1"/>
  <c r="D3909" i="1"/>
  <c r="E3909" i="1"/>
  <c r="G3909" i="1"/>
  <c r="H3909" i="1" s="1"/>
  <c r="C3910" i="1"/>
  <c r="K3910" i="1" s="1"/>
  <c r="D3910" i="1"/>
  <c r="E3910" i="1"/>
  <c r="G3910" i="1"/>
  <c r="H3910" i="1" s="1"/>
  <c r="C3911" i="1"/>
  <c r="D3911" i="1"/>
  <c r="E3911" i="1"/>
  <c r="G3911" i="1"/>
  <c r="H3911" i="1" s="1"/>
  <c r="C3912" i="1"/>
  <c r="K3912" i="1" s="1"/>
  <c r="D3912" i="1"/>
  <c r="E3912" i="1"/>
  <c r="G3912" i="1"/>
  <c r="H3912" i="1" s="1"/>
  <c r="C3913" i="1"/>
  <c r="K3913" i="1" s="1"/>
  <c r="D3913" i="1"/>
  <c r="E3913" i="1"/>
  <c r="G3913" i="1"/>
  <c r="H3913" i="1" s="1"/>
  <c r="C3914" i="1"/>
  <c r="K3914" i="1" s="1"/>
  <c r="D3914" i="1"/>
  <c r="E3914" i="1"/>
  <c r="G3914" i="1"/>
  <c r="H3914" i="1" s="1"/>
  <c r="C3915" i="1"/>
  <c r="K3915" i="1" s="1"/>
  <c r="D3915" i="1"/>
  <c r="E3915" i="1"/>
  <c r="G3915" i="1"/>
  <c r="H3915" i="1" s="1"/>
  <c r="C3916" i="1"/>
  <c r="K3916" i="1" s="1"/>
  <c r="D3916" i="1"/>
  <c r="E3916" i="1"/>
  <c r="G3916" i="1"/>
  <c r="H3916" i="1" s="1"/>
  <c r="C3917" i="1"/>
  <c r="K3917" i="1" s="1"/>
  <c r="D3917" i="1"/>
  <c r="E3917" i="1"/>
  <c r="G3917" i="1"/>
  <c r="H3917" i="1" s="1"/>
  <c r="C3918" i="1"/>
  <c r="K3918" i="1" s="1"/>
  <c r="D3918" i="1"/>
  <c r="E3918" i="1"/>
  <c r="G3918" i="1"/>
  <c r="H3918" i="1" s="1"/>
  <c r="C3919" i="1"/>
  <c r="K3919" i="1" s="1"/>
  <c r="D3919" i="1"/>
  <c r="E3919" i="1"/>
  <c r="G3919" i="1"/>
  <c r="H3919" i="1" s="1"/>
  <c r="C3920" i="1"/>
  <c r="K3920" i="1" s="1"/>
  <c r="D3920" i="1"/>
  <c r="E3920" i="1"/>
  <c r="G3920" i="1"/>
  <c r="H3920" i="1" s="1"/>
  <c r="C3921" i="1"/>
  <c r="K3921" i="1" s="1"/>
  <c r="D3921" i="1"/>
  <c r="E3921" i="1"/>
  <c r="G3921" i="1"/>
  <c r="H3921" i="1" s="1"/>
  <c r="C3922" i="1"/>
  <c r="K3922" i="1" s="1"/>
  <c r="D3922" i="1"/>
  <c r="E3922" i="1"/>
  <c r="G3922" i="1"/>
  <c r="H3922" i="1" s="1"/>
  <c r="C3923" i="1"/>
  <c r="K3923" i="1" s="1"/>
  <c r="D3923" i="1"/>
  <c r="E3923" i="1"/>
  <c r="G3923" i="1"/>
  <c r="H3923" i="1" s="1"/>
  <c r="C3924" i="1"/>
  <c r="K3924" i="1" s="1"/>
  <c r="D3924" i="1"/>
  <c r="E3924" i="1"/>
  <c r="G3924" i="1"/>
  <c r="H3924" i="1" s="1"/>
  <c r="C3925" i="1"/>
  <c r="K3925" i="1" s="1"/>
  <c r="D3925" i="1"/>
  <c r="E3925" i="1"/>
  <c r="G3925" i="1"/>
  <c r="H3925" i="1" s="1"/>
  <c r="C3926" i="1"/>
  <c r="D3926" i="1"/>
  <c r="E3926" i="1"/>
  <c r="G3926" i="1"/>
  <c r="H3926" i="1" s="1"/>
  <c r="C3927" i="1"/>
  <c r="K3927" i="1" s="1"/>
  <c r="D3927" i="1"/>
  <c r="E3927" i="1"/>
  <c r="G3927" i="1"/>
  <c r="H3927" i="1" s="1"/>
  <c r="C3928" i="1"/>
  <c r="K3928" i="1" s="1"/>
  <c r="D3928" i="1"/>
  <c r="E3928" i="1"/>
  <c r="G3928" i="1"/>
  <c r="H3928" i="1" s="1"/>
  <c r="C3929" i="1"/>
  <c r="K3929" i="1" s="1"/>
  <c r="D3929" i="1"/>
  <c r="E3929" i="1"/>
  <c r="G3929" i="1"/>
  <c r="H3929" i="1" s="1"/>
  <c r="C3930" i="1"/>
  <c r="K3930" i="1" s="1"/>
  <c r="D3930" i="1"/>
  <c r="E3930" i="1"/>
  <c r="G3930" i="1"/>
  <c r="H3930" i="1" s="1"/>
  <c r="C3931" i="1"/>
  <c r="K3931" i="1" s="1"/>
  <c r="D3931" i="1"/>
  <c r="E3931" i="1"/>
  <c r="G3931" i="1"/>
  <c r="H3931" i="1" s="1"/>
  <c r="C3932" i="1"/>
  <c r="D3932" i="1"/>
  <c r="E3932" i="1"/>
  <c r="G3932" i="1"/>
  <c r="H3932" i="1" s="1"/>
  <c r="C3933" i="1"/>
  <c r="K3933" i="1" s="1"/>
  <c r="D3933" i="1"/>
  <c r="E3933" i="1"/>
  <c r="G3933" i="1"/>
  <c r="H3933" i="1" s="1"/>
  <c r="C3934" i="1"/>
  <c r="K3934" i="1" s="1"/>
  <c r="D3934" i="1"/>
  <c r="E3934" i="1"/>
  <c r="G3934" i="1"/>
  <c r="H3934" i="1" s="1"/>
  <c r="C3935" i="1"/>
  <c r="K3935" i="1" s="1"/>
  <c r="D3935" i="1"/>
  <c r="E3935" i="1"/>
  <c r="G3935" i="1"/>
  <c r="H3935" i="1" s="1"/>
  <c r="C3936" i="1"/>
  <c r="K3936" i="1" s="1"/>
  <c r="D3936" i="1"/>
  <c r="E3936" i="1"/>
  <c r="G3936" i="1"/>
  <c r="H3936" i="1" s="1"/>
  <c r="C3937" i="1"/>
  <c r="K3937" i="1" s="1"/>
  <c r="D3937" i="1"/>
  <c r="E3937" i="1"/>
  <c r="G3937" i="1"/>
  <c r="H3937" i="1" s="1"/>
  <c r="C3938" i="1"/>
  <c r="K3938" i="1" s="1"/>
  <c r="D3938" i="1"/>
  <c r="E3938" i="1"/>
  <c r="G3938" i="1"/>
  <c r="H3938" i="1" s="1"/>
  <c r="C3939" i="1"/>
  <c r="K3939" i="1" s="1"/>
  <c r="D3939" i="1"/>
  <c r="E3939" i="1"/>
  <c r="G3939" i="1"/>
  <c r="H3939" i="1" s="1"/>
  <c r="C3940" i="1"/>
  <c r="K3940" i="1" s="1"/>
  <c r="D3940" i="1"/>
  <c r="E3940" i="1"/>
  <c r="G3940" i="1"/>
  <c r="H3940" i="1" s="1"/>
  <c r="C3941" i="1"/>
  <c r="K3941" i="1" s="1"/>
  <c r="D3941" i="1"/>
  <c r="E3941" i="1"/>
  <c r="G3941" i="1"/>
  <c r="H3941" i="1" s="1"/>
  <c r="C3942" i="1"/>
  <c r="K3942" i="1" s="1"/>
  <c r="D3942" i="1"/>
  <c r="E3942" i="1"/>
  <c r="G3942" i="1"/>
  <c r="H3942" i="1" s="1"/>
  <c r="C3943" i="1"/>
  <c r="K3943" i="1" s="1"/>
  <c r="D3943" i="1"/>
  <c r="E3943" i="1"/>
  <c r="G3943" i="1"/>
  <c r="H3943" i="1" s="1"/>
  <c r="C3944" i="1"/>
  <c r="K3944" i="1" s="1"/>
  <c r="D3944" i="1"/>
  <c r="E3944" i="1"/>
  <c r="G3944" i="1"/>
  <c r="H3944" i="1" s="1"/>
  <c r="C3945" i="1"/>
  <c r="K3945" i="1" s="1"/>
  <c r="D3945" i="1"/>
  <c r="E3945" i="1"/>
  <c r="G3945" i="1"/>
  <c r="H3945" i="1" s="1"/>
  <c r="C3946" i="1"/>
  <c r="K3946" i="1" s="1"/>
  <c r="D3946" i="1"/>
  <c r="E3946" i="1"/>
  <c r="G3946" i="1"/>
  <c r="H3946" i="1" s="1"/>
  <c r="C3947" i="1"/>
  <c r="K3947" i="1" s="1"/>
  <c r="D3947" i="1"/>
  <c r="E3947" i="1"/>
  <c r="G3947" i="1"/>
  <c r="H3947" i="1" s="1"/>
  <c r="C3948" i="1"/>
  <c r="K3948" i="1" s="1"/>
  <c r="D3948" i="1"/>
  <c r="E3948" i="1"/>
  <c r="G3948" i="1"/>
  <c r="H3948" i="1" s="1"/>
  <c r="C3949" i="1"/>
  <c r="K3949" i="1" s="1"/>
  <c r="D3949" i="1"/>
  <c r="E3949" i="1"/>
  <c r="G3949" i="1"/>
  <c r="H3949" i="1" s="1"/>
  <c r="C3950" i="1"/>
  <c r="K3950" i="1" s="1"/>
  <c r="D3950" i="1"/>
  <c r="E3950" i="1"/>
  <c r="G3950" i="1"/>
  <c r="H3950" i="1" s="1"/>
  <c r="C3951" i="1"/>
  <c r="K3951" i="1" s="1"/>
  <c r="D3951" i="1"/>
  <c r="E3951" i="1"/>
  <c r="G3951" i="1"/>
  <c r="H3951" i="1" s="1"/>
  <c r="C3952" i="1"/>
  <c r="K3952" i="1" s="1"/>
  <c r="D3952" i="1"/>
  <c r="E3952" i="1"/>
  <c r="G3952" i="1"/>
  <c r="H3952" i="1" s="1"/>
  <c r="C3953" i="1"/>
  <c r="K3953" i="1" s="1"/>
  <c r="D3953" i="1"/>
  <c r="E3953" i="1"/>
  <c r="G3953" i="1"/>
  <c r="H3953" i="1" s="1"/>
  <c r="C3954" i="1"/>
  <c r="K3954" i="1" s="1"/>
  <c r="D3954" i="1"/>
  <c r="E3954" i="1"/>
  <c r="G3954" i="1"/>
  <c r="H3954" i="1" s="1"/>
  <c r="C3955" i="1"/>
  <c r="K3955" i="1" s="1"/>
  <c r="D3955" i="1"/>
  <c r="E3955" i="1"/>
  <c r="G3955" i="1"/>
  <c r="H3955" i="1" s="1"/>
  <c r="C3956" i="1"/>
  <c r="K3956" i="1" s="1"/>
  <c r="D3956" i="1"/>
  <c r="E3956" i="1"/>
  <c r="G3956" i="1"/>
  <c r="H3956" i="1" s="1"/>
  <c r="C3957" i="1"/>
  <c r="K3957" i="1" s="1"/>
  <c r="D3957" i="1"/>
  <c r="E3957" i="1"/>
  <c r="G3957" i="1"/>
  <c r="H3957" i="1" s="1"/>
  <c r="C3958" i="1"/>
  <c r="K3958" i="1" s="1"/>
  <c r="D3958" i="1"/>
  <c r="E3958" i="1"/>
  <c r="G3958" i="1"/>
  <c r="H3958" i="1" s="1"/>
  <c r="C3959" i="1"/>
  <c r="K3959" i="1" s="1"/>
  <c r="D3959" i="1"/>
  <c r="E3959" i="1"/>
  <c r="G3959" i="1"/>
  <c r="H3959" i="1" s="1"/>
  <c r="C3960" i="1"/>
  <c r="K3960" i="1" s="1"/>
  <c r="D3960" i="1"/>
  <c r="E3960" i="1"/>
  <c r="G3960" i="1"/>
  <c r="H3960" i="1" s="1"/>
  <c r="C3961" i="1"/>
  <c r="K3961" i="1" s="1"/>
  <c r="D3961" i="1"/>
  <c r="E3961" i="1"/>
  <c r="G3961" i="1"/>
  <c r="H3961" i="1" s="1"/>
  <c r="C3962" i="1"/>
  <c r="K3962" i="1" s="1"/>
  <c r="D3962" i="1"/>
  <c r="E3962" i="1"/>
  <c r="G3962" i="1"/>
  <c r="H3962" i="1" s="1"/>
  <c r="C3963" i="1"/>
  <c r="K3963" i="1" s="1"/>
  <c r="D3963" i="1"/>
  <c r="E3963" i="1"/>
  <c r="G3963" i="1"/>
  <c r="H3963" i="1" s="1"/>
  <c r="C3964" i="1"/>
  <c r="K3964" i="1" s="1"/>
  <c r="D3964" i="1"/>
  <c r="E3964" i="1"/>
  <c r="G3964" i="1"/>
  <c r="H3964" i="1" s="1"/>
  <c r="C3965" i="1"/>
  <c r="K3965" i="1" s="1"/>
  <c r="D3965" i="1"/>
  <c r="E3965" i="1"/>
  <c r="G3965" i="1"/>
  <c r="H3965" i="1" s="1"/>
  <c r="C3966" i="1"/>
  <c r="D3966" i="1"/>
  <c r="E3966" i="1"/>
  <c r="G3966" i="1"/>
  <c r="H3966" i="1" s="1"/>
  <c r="C3967" i="1"/>
  <c r="K3967" i="1" s="1"/>
  <c r="D3967" i="1"/>
  <c r="E3967" i="1"/>
  <c r="G3967" i="1"/>
  <c r="H3967" i="1" s="1"/>
  <c r="C3968" i="1"/>
  <c r="K3968" i="1" s="1"/>
  <c r="D3968" i="1"/>
  <c r="E3968" i="1"/>
  <c r="G3968" i="1"/>
  <c r="H3968" i="1" s="1"/>
  <c r="C3969" i="1"/>
  <c r="K3969" i="1" s="1"/>
  <c r="D3969" i="1"/>
  <c r="E3969" i="1"/>
  <c r="G3969" i="1"/>
  <c r="H3969" i="1" s="1"/>
  <c r="C3970" i="1"/>
  <c r="K3970" i="1" s="1"/>
  <c r="D3970" i="1"/>
  <c r="E3970" i="1"/>
  <c r="G3970" i="1"/>
  <c r="H3970" i="1" s="1"/>
  <c r="C3971" i="1"/>
  <c r="K3971" i="1" s="1"/>
  <c r="D3971" i="1"/>
  <c r="E3971" i="1"/>
  <c r="G3971" i="1"/>
  <c r="H3971" i="1" s="1"/>
  <c r="C3972" i="1"/>
  <c r="K3972" i="1" s="1"/>
  <c r="D3972" i="1"/>
  <c r="E3972" i="1"/>
  <c r="G3972" i="1"/>
  <c r="H3972" i="1" s="1"/>
  <c r="C3973" i="1"/>
  <c r="K3973" i="1" s="1"/>
  <c r="D3973" i="1"/>
  <c r="E3973" i="1"/>
  <c r="G3973" i="1"/>
  <c r="H3973" i="1" s="1"/>
  <c r="C3974" i="1"/>
  <c r="K3974" i="1" s="1"/>
  <c r="D3974" i="1"/>
  <c r="E3974" i="1"/>
  <c r="G3974" i="1"/>
  <c r="H3974" i="1" s="1"/>
  <c r="C3975" i="1"/>
  <c r="K3975" i="1" s="1"/>
  <c r="D3975" i="1"/>
  <c r="E3975" i="1"/>
  <c r="G3975" i="1"/>
  <c r="H3975" i="1" s="1"/>
  <c r="C3976" i="1"/>
  <c r="K3976" i="1" s="1"/>
  <c r="D3976" i="1"/>
  <c r="E3976" i="1"/>
  <c r="G3976" i="1"/>
  <c r="H3976" i="1" s="1"/>
  <c r="C3977" i="1"/>
  <c r="D3977" i="1"/>
  <c r="E3977" i="1"/>
  <c r="G3977" i="1"/>
  <c r="H3977" i="1" s="1"/>
  <c r="C3978" i="1"/>
  <c r="K3978" i="1" s="1"/>
  <c r="D3978" i="1"/>
  <c r="E3978" i="1"/>
  <c r="G3978" i="1"/>
  <c r="H3978" i="1" s="1"/>
  <c r="C3979" i="1"/>
  <c r="K3979" i="1" s="1"/>
  <c r="D3979" i="1"/>
  <c r="E3979" i="1"/>
  <c r="G3979" i="1"/>
  <c r="H3979" i="1" s="1"/>
  <c r="C3980" i="1"/>
  <c r="K3980" i="1" s="1"/>
  <c r="D3980" i="1"/>
  <c r="E3980" i="1"/>
  <c r="G3980" i="1"/>
  <c r="H3980" i="1" s="1"/>
  <c r="C3981" i="1"/>
  <c r="K3981" i="1" s="1"/>
  <c r="D3981" i="1"/>
  <c r="E3981" i="1"/>
  <c r="G3981" i="1"/>
  <c r="H3981" i="1" s="1"/>
  <c r="C3982" i="1"/>
  <c r="K3982" i="1" s="1"/>
  <c r="D3982" i="1"/>
  <c r="E3982" i="1"/>
  <c r="G3982" i="1"/>
  <c r="H3982" i="1" s="1"/>
  <c r="C3983" i="1"/>
  <c r="K3983" i="1" s="1"/>
  <c r="D3983" i="1"/>
  <c r="E3983" i="1"/>
  <c r="G3983" i="1"/>
  <c r="H3983" i="1" s="1"/>
  <c r="C3984" i="1"/>
  <c r="K3984" i="1" s="1"/>
  <c r="D3984" i="1"/>
  <c r="E3984" i="1"/>
  <c r="G3984" i="1"/>
  <c r="H3984" i="1" s="1"/>
  <c r="C3985" i="1"/>
  <c r="K3985" i="1" s="1"/>
  <c r="D3985" i="1"/>
  <c r="E3985" i="1"/>
  <c r="G3985" i="1"/>
  <c r="H3985" i="1" s="1"/>
  <c r="C3986" i="1"/>
  <c r="K3986" i="1" s="1"/>
  <c r="D3986" i="1"/>
  <c r="E3986" i="1"/>
  <c r="G3986" i="1"/>
  <c r="H3986" i="1" s="1"/>
  <c r="C3987" i="1"/>
  <c r="K3987" i="1" s="1"/>
  <c r="D3987" i="1"/>
  <c r="E3987" i="1"/>
  <c r="G3987" i="1"/>
  <c r="H3987" i="1" s="1"/>
  <c r="C3988" i="1"/>
  <c r="K3988" i="1" s="1"/>
  <c r="D3988" i="1"/>
  <c r="E3988" i="1"/>
  <c r="G3988" i="1"/>
  <c r="H3988" i="1" s="1"/>
  <c r="C3989" i="1"/>
  <c r="K3989" i="1" s="1"/>
  <c r="D3989" i="1"/>
  <c r="E3989" i="1"/>
  <c r="G3989" i="1"/>
  <c r="H3989" i="1" s="1"/>
  <c r="C3990" i="1"/>
  <c r="K3990" i="1" s="1"/>
  <c r="D3990" i="1"/>
  <c r="E3990" i="1"/>
  <c r="G3990" i="1"/>
  <c r="H3990" i="1" s="1"/>
  <c r="C3991" i="1"/>
  <c r="K3991" i="1" s="1"/>
  <c r="D3991" i="1"/>
  <c r="E3991" i="1"/>
  <c r="G3991" i="1"/>
  <c r="H3991" i="1" s="1"/>
  <c r="C3992" i="1"/>
  <c r="K3992" i="1" s="1"/>
  <c r="D3992" i="1"/>
  <c r="E3992" i="1"/>
  <c r="G3992" i="1"/>
  <c r="H3992" i="1" s="1"/>
  <c r="C3993" i="1"/>
  <c r="K3993" i="1" s="1"/>
  <c r="D3993" i="1"/>
  <c r="E3993" i="1"/>
  <c r="G3993" i="1"/>
  <c r="H3993" i="1" s="1"/>
  <c r="C3994" i="1"/>
  <c r="K3994" i="1" s="1"/>
  <c r="D3994" i="1"/>
  <c r="E3994" i="1"/>
  <c r="G3994" i="1"/>
  <c r="H3994" i="1" s="1"/>
  <c r="C3995" i="1"/>
  <c r="K3995" i="1" s="1"/>
  <c r="D3995" i="1"/>
  <c r="E3995" i="1"/>
  <c r="G3995" i="1"/>
  <c r="H3995" i="1" s="1"/>
  <c r="C3996" i="1"/>
  <c r="K3996" i="1" s="1"/>
  <c r="D3996" i="1"/>
  <c r="E3996" i="1"/>
  <c r="G3996" i="1"/>
  <c r="H3996" i="1" s="1"/>
  <c r="C3997" i="1"/>
  <c r="K3997" i="1" s="1"/>
  <c r="D3997" i="1"/>
  <c r="E3997" i="1"/>
  <c r="G3997" i="1"/>
  <c r="H3997" i="1" s="1"/>
  <c r="C3998" i="1"/>
  <c r="K3998" i="1" s="1"/>
  <c r="D3998" i="1"/>
  <c r="E3998" i="1"/>
  <c r="G3998" i="1"/>
  <c r="H3998" i="1" s="1"/>
  <c r="C3999" i="1"/>
  <c r="K3999" i="1" s="1"/>
  <c r="D3999" i="1"/>
  <c r="E3999" i="1"/>
  <c r="G3999" i="1"/>
  <c r="H3999" i="1" s="1"/>
  <c r="C4000" i="1"/>
  <c r="K4000" i="1" s="1"/>
  <c r="D4000" i="1"/>
  <c r="E4000" i="1"/>
  <c r="G4000" i="1"/>
  <c r="H4000" i="1" s="1"/>
  <c r="C4001" i="1"/>
  <c r="K4001" i="1" s="1"/>
  <c r="D4001" i="1"/>
  <c r="E4001" i="1"/>
  <c r="G4001" i="1"/>
  <c r="H4001" i="1" s="1"/>
  <c r="C4002" i="1"/>
  <c r="K4002" i="1" s="1"/>
  <c r="D4002" i="1"/>
  <c r="E4002" i="1"/>
  <c r="G4002" i="1"/>
  <c r="H4002" i="1" s="1"/>
  <c r="C4003" i="1"/>
  <c r="K4003" i="1" s="1"/>
  <c r="D4003" i="1"/>
  <c r="E4003" i="1"/>
  <c r="G4003" i="1"/>
  <c r="H4003" i="1" s="1"/>
  <c r="C4004" i="1"/>
  <c r="K4004" i="1" s="1"/>
  <c r="D4004" i="1"/>
  <c r="E4004" i="1"/>
  <c r="G4004" i="1"/>
  <c r="H4004" i="1" s="1"/>
  <c r="C4005" i="1"/>
  <c r="K4005" i="1" s="1"/>
  <c r="D4005" i="1"/>
  <c r="E4005" i="1"/>
  <c r="G4005" i="1"/>
  <c r="H4005" i="1" s="1"/>
  <c r="C4006" i="1"/>
  <c r="K4006" i="1" s="1"/>
  <c r="D4006" i="1"/>
  <c r="E4006" i="1"/>
  <c r="G4006" i="1"/>
  <c r="H4006" i="1" s="1"/>
  <c r="C4007" i="1"/>
  <c r="K4007" i="1" s="1"/>
  <c r="D4007" i="1"/>
  <c r="E4007" i="1"/>
  <c r="G4007" i="1"/>
  <c r="H4007" i="1" s="1"/>
  <c r="C4008" i="1"/>
  <c r="K4008" i="1" s="1"/>
  <c r="D4008" i="1"/>
  <c r="E4008" i="1"/>
  <c r="G4008" i="1"/>
  <c r="H4008" i="1" s="1"/>
  <c r="C4009" i="1"/>
  <c r="K4009" i="1" s="1"/>
  <c r="D4009" i="1"/>
  <c r="E4009" i="1"/>
  <c r="G4009" i="1"/>
  <c r="H4009" i="1" s="1"/>
  <c r="C4010" i="1"/>
  <c r="K4010" i="1" s="1"/>
  <c r="D4010" i="1"/>
  <c r="E4010" i="1"/>
  <c r="G4010" i="1"/>
  <c r="H4010" i="1" s="1"/>
  <c r="C4011" i="1"/>
  <c r="K4011" i="1" s="1"/>
  <c r="D4011" i="1"/>
  <c r="E4011" i="1"/>
  <c r="G4011" i="1"/>
  <c r="H4011" i="1" s="1"/>
  <c r="C4012" i="1"/>
  <c r="K4012" i="1" s="1"/>
  <c r="D4012" i="1"/>
  <c r="E4012" i="1"/>
  <c r="G4012" i="1"/>
  <c r="H4012" i="1" s="1"/>
  <c r="C4013" i="1"/>
  <c r="K4013" i="1" s="1"/>
  <c r="D4013" i="1"/>
  <c r="E4013" i="1"/>
  <c r="G4013" i="1"/>
  <c r="H4013" i="1" s="1"/>
  <c r="C4014" i="1"/>
  <c r="K4014" i="1" s="1"/>
  <c r="D4014" i="1"/>
  <c r="E4014" i="1"/>
  <c r="G4014" i="1"/>
  <c r="H4014" i="1" s="1"/>
  <c r="C4015" i="1"/>
  <c r="K4015" i="1" s="1"/>
  <c r="D4015" i="1"/>
  <c r="E4015" i="1"/>
  <c r="G4015" i="1"/>
  <c r="H4015" i="1" s="1"/>
  <c r="C4016" i="1"/>
  <c r="K4016" i="1" s="1"/>
  <c r="D4016" i="1"/>
  <c r="E4016" i="1"/>
  <c r="G4016" i="1"/>
  <c r="H4016" i="1" s="1"/>
  <c r="C4017" i="1"/>
  <c r="K4017" i="1" s="1"/>
  <c r="D4017" i="1"/>
  <c r="E4017" i="1"/>
  <c r="G4017" i="1"/>
  <c r="H4017" i="1" s="1"/>
  <c r="C4018" i="1"/>
  <c r="K4018" i="1" s="1"/>
  <c r="D4018" i="1"/>
  <c r="E4018" i="1"/>
  <c r="G4018" i="1"/>
  <c r="H4018" i="1" s="1"/>
  <c r="C4019" i="1"/>
  <c r="K4019" i="1" s="1"/>
  <c r="D4019" i="1"/>
  <c r="E4019" i="1"/>
  <c r="G4019" i="1"/>
  <c r="H4019" i="1" s="1"/>
  <c r="C4020" i="1"/>
  <c r="K4020" i="1" s="1"/>
  <c r="D4020" i="1"/>
  <c r="E4020" i="1"/>
  <c r="G4020" i="1"/>
  <c r="H4020" i="1" s="1"/>
  <c r="C4021" i="1"/>
  <c r="K4021" i="1" s="1"/>
  <c r="D4021" i="1"/>
  <c r="E4021" i="1"/>
  <c r="G4021" i="1"/>
  <c r="H4021" i="1" s="1"/>
  <c r="C4022" i="1"/>
  <c r="K4022" i="1" s="1"/>
  <c r="D4022" i="1"/>
  <c r="E4022" i="1"/>
  <c r="G4022" i="1"/>
  <c r="H4022" i="1" s="1"/>
  <c r="C4023" i="1"/>
  <c r="K4023" i="1" s="1"/>
  <c r="D4023" i="1"/>
  <c r="E4023" i="1"/>
  <c r="G4023" i="1"/>
  <c r="H4023" i="1" s="1"/>
  <c r="C4024" i="1"/>
  <c r="K4024" i="1" s="1"/>
  <c r="D4024" i="1"/>
  <c r="E4024" i="1"/>
  <c r="G4024" i="1"/>
  <c r="H4024" i="1" s="1"/>
  <c r="C4025" i="1"/>
  <c r="K4025" i="1" s="1"/>
  <c r="D4025" i="1"/>
  <c r="E4025" i="1"/>
  <c r="G4025" i="1"/>
  <c r="H4025" i="1" s="1"/>
  <c r="C4026" i="1"/>
  <c r="K4026" i="1" s="1"/>
  <c r="D4026" i="1"/>
  <c r="E4026" i="1"/>
  <c r="G4026" i="1"/>
  <c r="H4026" i="1" s="1"/>
  <c r="C4027" i="1"/>
  <c r="K4027" i="1" s="1"/>
  <c r="D4027" i="1"/>
  <c r="E4027" i="1"/>
  <c r="G4027" i="1"/>
  <c r="H4027" i="1" s="1"/>
  <c r="C4028" i="1"/>
  <c r="K4028" i="1" s="1"/>
  <c r="D4028" i="1"/>
  <c r="E4028" i="1"/>
  <c r="G4028" i="1"/>
  <c r="H4028" i="1" s="1"/>
  <c r="C4029" i="1"/>
  <c r="K4029" i="1" s="1"/>
  <c r="D4029" i="1"/>
  <c r="E4029" i="1"/>
  <c r="G4029" i="1"/>
  <c r="H4029" i="1" s="1"/>
  <c r="C4030" i="1"/>
  <c r="K4030" i="1" s="1"/>
  <c r="D4030" i="1"/>
  <c r="E4030" i="1"/>
  <c r="G4030" i="1"/>
  <c r="H4030" i="1" s="1"/>
  <c r="C4031" i="1"/>
  <c r="K4031" i="1" s="1"/>
  <c r="D4031" i="1"/>
  <c r="E4031" i="1"/>
  <c r="G4031" i="1"/>
  <c r="H4031" i="1" s="1"/>
  <c r="C4032" i="1"/>
  <c r="K4032" i="1" s="1"/>
  <c r="D4032" i="1"/>
  <c r="E4032" i="1"/>
  <c r="G4032" i="1"/>
  <c r="H4032" i="1" s="1"/>
  <c r="C4033" i="1"/>
  <c r="K4033" i="1" s="1"/>
  <c r="D4033" i="1"/>
  <c r="E4033" i="1"/>
  <c r="G4033" i="1"/>
  <c r="H4033" i="1" s="1"/>
  <c r="C4034" i="1"/>
  <c r="D4034" i="1"/>
  <c r="E4034" i="1"/>
  <c r="G4034" i="1"/>
  <c r="H4034" i="1" s="1"/>
  <c r="C4035" i="1"/>
  <c r="K4035" i="1" s="1"/>
  <c r="D4035" i="1"/>
  <c r="E4035" i="1"/>
  <c r="G4035" i="1"/>
  <c r="H4035" i="1" s="1"/>
  <c r="C4036" i="1"/>
  <c r="K4036" i="1" s="1"/>
  <c r="D4036" i="1"/>
  <c r="E4036" i="1"/>
  <c r="G4036" i="1"/>
  <c r="H4036" i="1" s="1"/>
  <c r="C4037" i="1"/>
  <c r="K4037" i="1" s="1"/>
  <c r="D4037" i="1"/>
  <c r="E4037" i="1"/>
  <c r="G4037" i="1"/>
  <c r="H4037" i="1" s="1"/>
  <c r="C4038" i="1"/>
  <c r="K4038" i="1" s="1"/>
  <c r="D4038" i="1"/>
  <c r="E4038" i="1"/>
  <c r="G4038" i="1"/>
  <c r="H4038" i="1" s="1"/>
  <c r="C4039" i="1"/>
  <c r="K4039" i="1" s="1"/>
  <c r="D4039" i="1"/>
  <c r="E4039" i="1"/>
  <c r="G4039" i="1"/>
  <c r="H4039" i="1" s="1"/>
  <c r="C4040" i="1"/>
  <c r="K4040" i="1" s="1"/>
  <c r="D4040" i="1"/>
  <c r="E4040" i="1"/>
  <c r="G4040" i="1"/>
  <c r="H4040" i="1" s="1"/>
  <c r="C4041" i="1"/>
  <c r="K4041" i="1" s="1"/>
  <c r="D4041" i="1"/>
  <c r="E4041" i="1"/>
  <c r="G4041" i="1"/>
  <c r="H4041" i="1" s="1"/>
  <c r="C4042" i="1"/>
  <c r="K4042" i="1" s="1"/>
  <c r="D4042" i="1"/>
  <c r="E4042" i="1"/>
  <c r="G4042" i="1"/>
  <c r="H4042" i="1" s="1"/>
  <c r="C4043" i="1"/>
  <c r="K4043" i="1" s="1"/>
  <c r="D4043" i="1"/>
  <c r="E4043" i="1"/>
  <c r="G4043" i="1"/>
  <c r="H4043" i="1" s="1"/>
  <c r="C4044" i="1"/>
  <c r="K4044" i="1" s="1"/>
  <c r="D4044" i="1"/>
  <c r="E4044" i="1"/>
  <c r="G4044" i="1"/>
  <c r="H4044" i="1" s="1"/>
  <c r="C4045" i="1"/>
  <c r="K4045" i="1" s="1"/>
  <c r="D4045" i="1"/>
  <c r="E4045" i="1"/>
  <c r="G4045" i="1"/>
  <c r="H4045" i="1" s="1"/>
  <c r="C4046" i="1"/>
  <c r="K4046" i="1" s="1"/>
  <c r="D4046" i="1"/>
  <c r="E4046" i="1"/>
  <c r="G4046" i="1"/>
  <c r="H4046" i="1" s="1"/>
  <c r="C4047" i="1"/>
  <c r="K4047" i="1" s="1"/>
  <c r="D4047" i="1"/>
  <c r="E4047" i="1"/>
  <c r="G4047" i="1"/>
  <c r="H4047" i="1" s="1"/>
  <c r="C4048" i="1"/>
  <c r="K4048" i="1" s="1"/>
  <c r="D4048" i="1"/>
  <c r="E4048" i="1"/>
  <c r="G4048" i="1"/>
  <c r="H4048" i="1" s="1"/>
  <c r="C4049" i="1"/>
  <c r="K4049" i="1" s="1"/>
  <c r="D4049" i="1"/>
  <c r="E4049" i="1"/>
  <c r="G4049" i="1"/>
  <c r="H4049" i="1" s="1"/>
  <c r="C4050" i="1"/>
  <c r="K4050" i="1" s="1"/>
  <c r="D4050" i="1"/>
  <c r="E4050" i="1"/>
  <c r="G4050" i="1"/>
  <c r="H4050" i="1" s="1"/>
  <c r="C4051" i="1"/>
  <c r="K4051" i="1" s="1"/>
  <c r="D4051" i="1"/>
  <c r="E4051" i="1"/>
  <c r="G4051" i="1"/>
  <c r="H4051" i="1" s="1"/>
  <c r="C4052" i="1"/>
  <c r="K4052" i="1" s="1"/>
  <c r="D4052" i="1"/>
  <c r="E4052" i="1"/>
  <c r="G4052" i="1"/>
  <c r="H4052" i="1" s="1"/>
  <c r="C4053" i="1"/>
  <c r="K4053" i="1" s="1"/>
  <c r="D4053" i="1"/>
  <c r="E4053" i="1"/>
  <c r="G4053" i="1"/>
  <c r="H4053" i="1" s="1"/>
  <c r="C4054" i="1"/>
  <c r="K4054" i="1" s="1"/>
  <c r="D4054" i="1"/>
  <c r="E4054" i="1"/>
  <c r="G4054" i="1"/>
  <c r="H4054" i="1" s="1"/>
  <c r="C4055" i="1"/>
  <c r="K4055" i="1" s="1"/>
  <c r="D4055" i="1"/>
  <c r="E4055" i="1"/>
  <c r="G4055" i="1"/>
  <c r="H4055" i="1" s="1"/>
  <c r="C4056" i="1"/>
  <c r="K4056" i="1" s="1"/>
  <c r="D4056" i="1"/>
  <c r="E4056" i="1"/>
  <c r="G4056" i="1"/>
  <c r="H4056" i="1" s="1"/>
  <c r="C4057" i="1"/>
  <c r="K4057" i="1" s="1"/>
  <c r="D4057" i="1"/>
  <c r="E4057" i="1"/>
  <c r="G4057" i="1"/>
  <c r="H4057" i="1" s="1"/>
  <c r="C4058" i="1"/>
  <c r="K4058" i="1" s="1"/>
  <c r="D4058" i="1"/>
  <c r="E4058" i="1"/>
  <c r="G4058" i="1"/>
  <c r="H4058" i="1" s="1"/>
  <c r="C4059" i="1"/>
  <c r="K4059" i="1" s="1"/>
  <c r="D4059" i="1"/>
  <c r="E4059" i="1"/>
  <c r="G4059" i="1"/>
  <c r="H4059" i="1" s="1"/>
  <c r="C4060" i="1"/>
  <c r="K4060" i="1" s="1"/>
  <c r="D4060" i="1"/>
  <c r="E4060" i="1"/>
  <c r="G4060" i="1"/>
  <c r="H4060" i="1" s="1"/>
  <c r="C4061" i="1"/>
  <c r="K4061" i="1" s="1"/>
  <c r="D4061" i="1"/>
  <c r="E4061" i="1"/>
  <c r="G4061" i="1"/>
  <c r="H4061" i="1" s="1"/>
  <c r="C4062" i="1"/>
  <c r="K4062" i="1" s="1"/>
  <c r="D4062" i="1"/>
  <c r="E4062" i="1"/>
  <c r="G4062" i="1"/>
  <c r="H4062" i="1" s="1"/>
  <c r="C4063" i="1"/>
  <c r="K4063" i="1" s="1"/>
  <c r="D4063" i="1"/>
  <c r="E4063" i="1"/>
  <c r="G4063" i="1"/>
  <c r="H4063" i="1" s="1"/>
  <c r="C4064" i="1"/>
  <c r="K4064" i="1" s="1"/>
  <c r="D4064" i="1"/>
  <c r="E4064" i="1"/>
  <c r="G4064" i="1"/>
  <c r="H4064" i="1" s="1"/>
  <c r="C4065" i="1"/>
  <c r="K4065" i="1" s="1"/>
  <c r="D4065" i="1"/>
  <c r="E4065" i="1"/>
  <c r="G4065" i="1"/>
  <c r="H4065" i="1" s="1"/>
  <c r="C4066" i="1"/>
  <c r="K4066" i="1" s="1"/>
  <c r="D4066" i="1"/>
  <c r="E4066" i="1"/>
  <c r="G4066" i="1"/>
  <c r="H4066" i="1" s="1"/>
  <c r="C4067" i="1"/>
  <c r="K4067" i="1" s="1"/>
  <c r="D4067" i="1"/>
  <c r="E4067" i="1"/>
  <c r="G4067" i="1"/>
  <c r="H4067" i="1" s="1"/>
  <c r="C4068" i="1"/>
  <c r="K4068" i="1" s="1"/>
  <c r="D4068" i="1"/>
  <c r="E4068" i="1"/>
  <c r="G4068" i="1"/>
  <c r="H4068" i="1" s="1"/>
  <c r="C4069" i="1"/>
  <c r="K4069" i="1" s="1"/>
  <c r="D4069" i="1"/>
  <c r="E4069" i="1"/>
  <c r="G4069" i="1"/>
  <c r="H4069" i="1" s="1"/>
  <c r="C4070" i="1"/>
  <c r="K4070" i="1" s="1"/>
  <c r="D4070" i="1"/>
  <c r="E4070" i="1"/>
  <c r="G4070" i="1"/>
  <c r="H4070" i="1" s="1"/>
  <c r="C4071" i="1"/>
  <c r="K4071" i="1" s="1"/>
  <c r="D4071" i="1"/>
  <c r="E4071" i="1"/>
  <c r="G4071" i="1"/>
  <c r="H4071" i="1" s="1"/>
  <c r="C4072" i="1"/>
  <c r="K4072" i="1" s="1"/>
  <c r="D4072" i="1"/>
  <c r="E4072" i="1"/>
  <c r="G4072" i="1"/>
  <c r="H4072" i="1" s="1"/>
  <c r="C4073" i="1"/>
  <c r="K4073" i="1" s="1"/>
  <c r="D4073" i="1"/>
  <c r="E4073" i="1"/>
  <c r="G4073" i="1"/>
  <c r="H4073" i="1" s="1"/>
  <c r="C4074" i="1"/>
  <c r="K4074" i="1" s="1"/>
  <c r="D4074" i="1"/>
  <c r="E4074" i="1"/>
  <c r="G4074" i="1"/>
  <c r="H4074" i="1" s="1"/>
  <c r="C4075" i="1"/>
  <c r="K4075" i="1" s="1"/>
  <c r="D4075" i="1"/>
  <c r="E4075" i="1"/>
  <c r="G4075" i="1"/>
  <c r="H4075" i="1" s="1"/>
  <c r="C4076" i="1"/>
  <c r="K4076" i="1" s="1"/>
  <c r="D4076" i="1"/>
  <c r="E4076" i="1"/>
  <c r="G4076" i="1"/>
  <c r="H4076" i="1" s="1"/>
  <c r="C4077" i="1"/>
  <c r="K4077" i="1" s="1"/>
  <c r="D4077" i="1"/>
  <c r="E4077" i="1"/>
  <c r="G4077" i="1"/>
  <c r="H4077" i="1" s="1"/>
  <c r="C4078" i="1"/>
  <c r="K4078" i="1" s="1"/>
  <c r="D4078" i="1"/>
  <c r="E4078" i="1"/>
  <c r="G4078" i="1"/>
  <c r="H4078" i="1" s="1"/>
  <c r="C4079" i="1"/>
  <c r="K4079" i="1" s="1"/>
  <c r="D4079" i="1"/>
  <c r="E4079" i="1"/>
  <c r="G4079" i="1"/>
  <c r="H4079" i="1" s="1"/>
  <c r="C4080" i="1"/>
  <c r="K4080" i="1" s="1"/>
  <c r="D4080" i="1"/>
  <c r="E4080" i="1"/>
  <c r="G4080" i="1"/>
  <c r="H4080" i="1" s="1"/>
  <c r="C4081" i="1"/>
  <c r="K4081" i="1" s="1"/>
  <c r="D4081" i="1"/>
  <c r="E4081" i="1"/>
  <c r="G4081" i="1"/>
  <c r="H4081" i="1" s="1"/>
  <c r="C4082" i="1"/>
  <c r="K4082" i="1" s="1"/>
  <c r="D4082" i="1"/>
  <c r="E4082" i="1"/>
  <c r="G4082" i="1"/>
  <c r="H4082" i="1" s="1"/>
  <c r="C4083" i="1"/>
  <c r="K4083" i="1" s="1"/>
  <c r="D4083" i="1"/>
  <c r="E4083" i="1"/>
  <c r="G4083" i="1"/>
  <c r="H4083" i="1" s="1"/>
  <c r="C4084" i="1"/>
  <c r="K4084" i="1" s="1"/>
  <c r="D4084" i="1"/>
  <c r="E4084" i="1"/>
  <c r="G4084" i="1"/>
  <c r="H4084" i="1" s="1"/>
  <c r="C4085" i="1"/>
  <c r="K4085" i="1" s="1"/>
  <c r="D4085" i="1"/>
  <c r="E4085" i="1"/>
  <c r="G4085" i="1"/>
  <c r="H4085" i="1" s="1"/>
  <c r="C4086" i="1"/>
  <c r="K4086" i="1" s="1"/>
  <c r="D4086" i="1"/>
  <c r="E4086" i="1"/>
  <c r="G4086" i="1"/>
  <c r="H4086" i="1" s="1"/>
  <c r="C4087" i="1"/>
  <c r="K4087" i="1" s="1"/>
  <c r="D4087" i="1"/>
  <c r="E4087" i="1"/>
  <c r="G4087" i="1"/>
  <c r="H4087" i="1" s="1"/>
  <c r="C4088" i="1"/>
  <c r="K4088" i="1" s="1"/>
  <c r="D4088" i="1"/>
  <c r="E4088" i="1"/>
  <c r="G4088" i="1"/>
  <c r="H4088" i="1" s="1"/>
  <c r="C4089" i="1"/>
  <c r="K4089" i="1" s="1"/>
  <c r="D4089" i="1"/>
  <c r="E4089" i="1"/>
  <c r="G4089" i="1"/>
  <c r="H4089" i="1" s="1"/>
  <c r="C4090" i="1"/>
  <c r="K4090" i="1" s="1"/>
  <c r="D4090" i="1"/>
  <c r="E4090" i="1"/>
  <c r="G4090" i="1"/>
  <c r="H4090" i="1" s="1"/>
  <c r="C4091" i="1"/>
  <c r="K4091" i="1" s="1"/>
  <c r="D4091" i="1"/>
  <c r="E4091" i="1"/>
  <c r="G4091" i="1"/>
  <c r="H4091" i="1" s="1"/>
  <c r="C4092" i="1"/>
  <c r="K4092" i="1" s="1"/>
  <c r="D4092" i="1"/>
  <c r="E4092" i="1"/>
  <c r="G4092" i="1"/>
  <c r="H4092" i="1" s="1"/>
  <c r="C4093" i="1"/>
  <c r="K4093" i="1" s="1"/>
  <c r="D4093" i="1"/>
  <c r="E4093" i="1"/>
  <c r="G4093" i="1"/>
  <c r="H4093" i="1" s="1"/>
  <c r="C4094" i="1"/>
  <c r="K4094" i="1" s="1"/>
  <c r="D4094" i="1"/>
  <c r="E4094" i="1"/>
  <c r="G4094" i="1"/>
  <c r="H4094" i="1" s="1"/>
  <c r="C4095" i="1"/>
  <c r="K4095" i="1" s="1"/>
  <c r="D4095" i="1"/>
  <c r="E4095" i="1"/>
  <c r="G4095" i="1"/>
  <c r="H4095" i="1" s="1"/>
  <c r="C4096" i="1"/>
  <c r="K4096" i="1" s="1"/>
  <c r="D4096" i="1"/>
  <c r="E4096" i="1"/>
  <c r="G4096" i="1"/>
  <c r="H4096" i="1" s="1"/>
  <c r="C4097" i="1"/>
  <c r="K4097" i="1" s="1"/>
  <c r="D4097" i="1"/>
  <c r="E4097" i="1"/>
  <c r="G4097" i="1"/>
  <c r="H4097" i="1" s="1"/>
  <c r="C4098" i="1"/>
  <c r="K4098" i="1" s="1"/>
  <c r="D4098" i="1"/>
  <c r="E4098" i="1"/>
  <c r="G4098" i="1"/>
  <c r="H4098" i="1" s="1"/>
  <c r="C4099" i="1"/>
  <c r="K4099" i="1" s="1"/>
  <c r="D4099" i="1"/>
  <c r="E4099" i="1"/>
  <c r="G4099" i="1"/>
  <c r="H4099" i="1" s="1"/>
  <c r="C4100" i="1"/>
  <c r="K4100" i="1" s="1"/>
  <c r="D4100" i="1"/>
  <c r="E4100" i="1"/>
  <c r="G4100" i="1"/>
  <c r="H4100" i="1" s="1"/>
  <c r="C4101" i="1"/>
  <c r="K4101" i="1" s="1"/>
  <c r="D4101" i="1"/>
  <c r="E4101" i="1"/>
  <c r="G4101" i="1"/>
  <c r="H4101" i="1" s="1"/>
  <c r="C4102" i="1"/>
  <c r="K4102" i="1" s="1"/>
  <c r="D4102" i="1"/>
  <c r="E4102" i="1"/>
  <c r="G4102" i="1"/>
  <c r="H4102" i="1" s="1"/>
  <c r="C4103" i="1"/>
  <c r="K4103" i="1" s="1"/>
  <c r="D4103" i="1"/>
  <c r="E4103" i="1"/>
  <c r="G4103" i="1"/>
  <c r="H4103" i="1" s="1"/>
  <c r="C4104" i="1"/>
  <c r="K4104" i="1" s="1"/>
  <c r="D4104" i="1"/>
  <c r="E4104" i="1"/>
  <c r="G4104" i="1"/>
  <c r="H4104" i="1" s="1"/>
  <c r="C4105" i="1"/>
  <c r="K4105" i="1" s="1"/>
  <c r="D4105" i="1"/>
  <c r="E4105" i="1"/>
  <c r="G4105" i="1"/>
  <c r="H4105" i="1" s="1"/>
  <c r="C4106" i="1"/>
  <c r="K4106" i="1" s="1"/>
  <c r="D4106" i="1"/>
  <c r="E4106" i="1"/>
  <c r="G4106" i="1"/>
  <c r="H4106" i="1" s="1"/>
  <c r="C4107" i="1"/>
  <c r="K4107" i="1" s="1"/>
  <c r="D4107" i="1"/>
  <c r="E4107" i="1"/>
  <c r="G4107" i="1"/>
  <c r="H4107" i="1" s="1"/>
  <c r="C4108" i="1"/>
  <c r="K4108" i="1" s="1"/>
  <c r="D4108" i="1"/>
  <c r="E4108" i="1"/>
  <c r="G4108" i="1"/>
  <c r="H4108" i="1" s="1"/>
  <c r="C4109" i="1"/>
  <c r="K4109" i="1" s="1"/>
  <c r="D4109" i="1"/>
  <c r="E4109" i="1"/>
  <c r="G4109" i="1"/>
  <c r="H4109" i="1" s="1"/>
  <c r="C4110" i="1"/>
  <c r="K4110" i="1" s="1"/>
  <c r="D4110" i="1"/>
  <c r="E4110" i="1"/>
  <c r="G4110" i="1"/>
  <c r="H4110" i="1" s="1"/>
  <c r="C4111" i="1"/>
  <c r="K4111" i="1" s="1"/>
  <c r="D4111" i="1"/>
  <c r="E4111" i="1"/>
  <c r="G4111" i="1"/>
  <c r="H4111" i="1" s="1"/>
  <c r="C4112" i="1"/>
  <c r="K4112" i="1" s="1"/>
  <c r="D4112" i="1"/>
  <c r="E4112" i="1"/>
  <c r="G4112" i="1"/>
  <c r="H4112" i="1" s="1"/>
  <c r="C4113" i="1"/>
  <c r="K4113" i="1" s="1"/>
  <c r="D4113" i="1"/>
  <c r="E4113" i="1"/>
  <c r="G4113" i="1"/>
  <c r="H4113" i="1" s="1"/>
  <c r="C4114" i="1"/>
  <c r="K4114" i="1" s="1"/>
  <c r="D4114" i="1"/>
  <c r="E4114" i="1"/>
  <c r="G4114" i="1"/>
  <c r="H4114" i="1" s="1"/>
  <c r="C4115" i="1"/>
  <c r="K4115" i="1" s="1"/>
  <c r="D4115" i="1"/>
  <c r="E4115" i="1"/>
  <c r="G4115" i="1"/>
  <c r="H4115" i="1" s="1"/>
  <c r="C4116" i="1"/>
  <c r="K4116" i="1" s="1"/>
  <c r="D4116" i="1"/>
  <c r="E4116" i="1"/>
  <c r="G4116" i="1"/>
  <c r="H4116" i="1" s="1"/>
  <c r="C4117" i="1"/>
  <c r="K4117" i="1" s="1"/>
  <c r="D4117" i="1"/>
  <c r="E4117" i="1"/>
  <c r="G4117" i="1"/>
  <c r="H4117" i="1" s="1"/>
  <c r="C4118" i="1"/>
  <c r="K4118" i="1" s="1"/>
  <c r="D4118" i="1"/>
  <c r="E4118" i="1"/>
  <c r="G4118" i="1"/>
  <c r="H4118" i="1" s="1"/>
  <c r="C4119" i="1"/>
  <c r="K4119" i="1" s="1"/>
  <c r="D4119" i="1"/>
  <c r="E4119" i="1"/>
  <c r="G4119" i="1"/>
  <c r="H4119" i="1" s="1"/>
  <c r="C4120" i="1"/>
  <c r="K4120" i="1" s="1"/>
  <c r="D4120" i="1"/>
  <c r="E4120" i="1"/>
  <c r="G4120" i="1"/>
  <c r="H4120" i="1" s="1"/>
  <c r="C4121" i="1"/>
  <c r="K4121" i="1" s="1"/>
  <c r="D4121" i="1"/>
  <c r="E4121" i="1"/>
  <c r="G4121" i="1"/>
  <c r="H4121" i="1" s="1"/>
  <c r="C4122" i="1"/>
  <c r="K4122" i="1" s="1"/>
  <c r="D4122" i="1"/>
  <c r="E4122" i="1"/>
  <c r="G4122" i="1"/>
  <c r="H4122" i="1" s="1"/>
  <c r="C4123" i="1"/>
  <c r="K4123" i="1" s="1"/>
  <c r="D4123" i="1"/>
  <c r="E4123" i="1"/>
  <c r="G4123" i="1"/>
  <c r="H4123" i="1" s="1"/>
  <c r="C4124" i="1"/>
  <c r="K4124" i="1" s="1"/>
  <c r="D4124" i="1"/>
  <c r="E4124" i="1"/>
  <c r="G4124" i="1"/>
  <c r="H4124" i="1" s="1"/>
  <c r="C4125" i="1"/>
  <c r="K4125" i="1" s="1"/>
  <c r="D4125" i="1"/>
  <c r="E4125" i="1"/>
  <c r="G4125" i="1"/>
  <c r="H4125" i="1" s="1"/>
  <c r="C4126" i="1"/>
  <c r="K4126" i="1" s="1"/>
  <c r="D4126" i="1"/>
  <c r="E4126" i="1"/>
  <c r="G4126" i="1"/>
  <c r="H4126" i="1" s="1"/>
  <c r="C4127" i="1"/>
  <c r="K4127" i="1" s="1"/>
  <c r="D4127" i="1"/>
  <c r="E4127" i="1"/>
  <c r="G4127" i="1"/>
  <c r="H4127" i="1" s="1"/>
  <c r="C4128" i="1"/>
  <c r="K4128" i="1" s="1"/>
  <c r="D4128" i="1"/>
  <c r="E4128" i="1"/>
  <c r="G4128" i="1"/>
  <c r="H4128" i="1" s="1"/>
  <c r="C4129" i="1"/>
  <c r="K4129" i="1" s="1"/>
  <c r="D4129" i="1"/>
  <c r="E4129" i="1"/>
  <c r="G4129" i="1"/>
  <c r="H4129" i="1" s="1"/>
  <c r="C4130" i="1"/>
  <c r="K4130" i="1" s="1"/>
  <c r="D4130" i="1"/>
  <c r="E4130" i="1"/>
  <c r="G4130" i="1"/>
  <c r="H4130" i="1" s="1"/>
  <c r="C4131" i="1"/>
  <c r="K4131" i="1" s="1"/>
  <c r="D4131" i="1"/>
  <c r="E4131" i="1"/>
  <c r="G4131" i="1"/>
  <c r="H4131" i="1" s="1"/>
  <c r="C4132" i="1"/>
  <c r="K4132" i="1" s="1"/>
  <c r="D4132" i="1"/>
  <c r="E4132" i="1"/>
  <c r="G4132" i="1"/>
  <c r="H4132" i="1" s="1"/>
  <c r="C4133" i="1"/>
  <c r="K4133" i="1" s="1"/>
  <c r="D4133" i="1"/>
  <c r="E4133" i="1"/>
  <c r="G4133" i="1"/>
  <c r="H4133" i="1" s="1"/>
  <c r="C4134" i="1"/>
  <c r="K4134" i="1" s="1"/>
  <c r="D4134" i="1"/>
  <c r="E4134" i="1"/>
  <c r="G4134" i="1"/>
  <c r="H4134" i="1" s="1"/>
  <c r="C4135" i="1"/>
  <c r="K4135" i="1" s="1"/>
  <c r="D4135" i="1"/>
  <c r="E4135" i="1"/>
  <c r="G4135" i="1"/>
  <c r="H4135" i="1" s="1"/>
  <c r="C4136" i="1"/>
  <c r="K4136" i="1" s="1"/>
  <c r="D4136" i="1"/>
  <c r="E4136" i="1"/>
  <c r="G4136" i="1"/>
  <c r="H4136" i="1" s="1"/>
  <c r="C4137" i="1"/>
  <c r="K4137" i="1" s="1"/>
  <c r="D4137" i="1"/>
  <c r="E4137" i="1"/>
  <c r="G4137" i="1"/>
  <c r="H4137" i="1" s="1"/>
  <c r="C4138" i="1"/>
  <c r="K4138" i="1" s="1"/>
  <c r="D4138" i="1"/>
  <c r="E4138" i="1"/>
  <c r="G4138" i="1"/>
  <c r="H4138" i="1" s="1"/>
  <c r="C4139" i="1"/>
  <c r="K4139" i="1" s="1"/>
  <c r="D4139" i="1"/>
  <c r="E4139" i="1"/>
  <c r="G4139" i="1"/>
  <c r="H4139" i="1" s="1"/>
  <c r="C4140" i="1"/>
  <c r="K4140" i="1" s="1"/>
  <c r="D4140" i="1"/>
  <c r="E4140" i="1"/>
  <c r="G4140" i="1"/>
  <c r="H4140" i="1" s="1"/>
  <c r="C4141" i="1"/>
  <c r="K4141" i="1" s="1"/>
  <c r="D4141" i="1"/>
  <c r="E4141" i="1"/>
  <c r="G4141" i="1"/>
  <c r="H4141" i="1" s="1"/>
  <c r="C4142" i="1"/>
  <c r="K4142" i="1" s="1"/>
  <c r="D4142" i="1"/>
  <c r="E4142" i="1"/>
  <c r="G4142" i="1"/>
  <c r="H4142" i="1" s="1"/>
  <c r="C4143" i="1"/>
  <c r="K4143" i="1" s="1"/>
  <c r="D4143" i="1"/>
  <c r="E4143" i="1"/>
  <c r="G4143" i="1"/>
  <c r="H4143" i="1" s="1"/>
  <c r="C4144" i="1"/>
  <c r="K4144" i="1" s="1"/>
  <c r="D4144" i="1"/>
  <c r="E4144" i="1"/>
  <c r="G4144" i="1"/>
  <c r="H4144" i="1" s="1"/>
  <c r="C4145" i="1"/>
  <c r="K4145" i="1" s="1"/>
  <c r="D4145" i="1"/>
  <c r="E4145" i="1"/>
  <c r="G4145" i="1"/>
  <c r="H4145" i="1" s="1"/>
  <c r="C4146" i="1"/>
  <c r="K4146" i="1" s="1"/>
  <c r="D4146" i="1"/>
  <c r="E4146" i="1"/>
  <c r="G4146" i="1"/>
  <c r="H4146" i="1" s="1"/>
  <c r="C4147" i="1"/>
  <c r="K4147" i="1" s="1"/>
  <c r="D4147" i="1"/>
  <c r="E4147" i="1"/>
  <c r="G4147" i="1"/>
  <c r="H4147" i="1" s="1"/>
  <c r="C4148" i="1"/>
  <c r="K4148" i="1" s="1"/>
  <c r="D4148" i="1"/>
  <c r="E4148" i="1"/>
  <c r="G4148" i="1"/>
  <c r="H4148" i="1" s="1"/>
  <c r="C4149" i="1"/>
  <c r="K4149" i="1" s="1"/>
  <c r="D4149" i="1"/>
  <c r="E4149" i="1"/>
  <c r="G4149" i="1"/>
  <c r="H4149" i="1" s="1"/>
  <c r="C4150" i="1"/>
  <c r="K4150" i="1" s="1"/>
  <c r="D4150" i="1"/>
  <c r="E4150" i="1"/>
  <c r="G4150" i="1"/>
  <c r="H4150" i="1" s="1"/>
  <c r="C4151" i="1"/>
  <c r="K4151" i="1" s="1"/>
  <c r="D4151" i="1"/>
  <c r="E4151" i="1"/>
  <c r="G4151" i="1"/>
  <c r="H4151" i="1" s="1"/>
  <c r="C4152" i="1"/>
  <c r="K4152" i="1" s="1"/>
  <c r="D4152" i="1"/>
  <c r="E4152" i="1"/>
  <c r="G4152" i="1"/>
  <c r="H4152" i="1" s="1"/>
  <c r="C4153" i="1"/>
  <c r="K4153" i="1" s="1"/>
  <c r="D4153" i="1"/>
  <c r="E4153" i="1"/>
  <c r="G4153" i="1"/>
  <c r="H4153" i="1" s="1"/>
  <c r="C4154" i="1"/>
  <c r="K4154" i="1" s="1"/>
  <c r="D4154" i="1"/>
  <c r="E4154" i="1"/>
  <c r="G4154" i="1"/>
  <c r="H4154" i="1" s="1"/>
  <c r="C4155" i="1"/>
  <c r="K4155" i="1" s="1"/>
  <c r="D4155" i="1"/>
  <c r="E4155" i="1"/>
  <c r="G4155" i="1"/>
  <c r="H4155" i="1" s="1"/>
  <c r="C4156" i="1"/>
  <c r="K4156" i="1" s="1"/>
  <c r="D4156" i="1"/>
  <c r="E4156" i="1"/>
  <c r="G4156" i="1"/>
  <c r="H4156" i="1" s="1"/>
  <c r="C4157" i="1"/>
  <c r="K4157" i="1" s="1"/>
  <c r="D4157" i="1"/>
  <c r="E4157" i="1"/>
  <c r="G4157" i="1"/>
  <c r="H4157" i="1" s="1"/>
  <c r="C4158" i="1"/>
  <c r="K4158" i="1" s="1"/>
  <c r="D4158" i="1"/>
  <c r="E4158" i="1"/>
  <c r="G4158" i="1"/>
  <c r="H4158" i="1" s="1"/>
  <c r="C4159" i="1"/>
  <c r="K4159" i="1" s="1"/>
  <c r="D4159" i="1"/>
  <c r="E4159" i="1"/>
  <c r="G4159" i="1"/>
  <c r="H4159" i="1" s="1"/>
  <c r="C4160" i="1"/>
  <c r="K4160" i="1" s="1"/>
  <c r="D4160" i="1"/>
  <c r="E4160" i="1"/>
  <c r="G4160" i="1"/>
  <c r="H4160" i="1" s="1"/>
  <c r="C4161" i="1"/>
  <c r="K4161" i="1" s="1"/>
  <c r="D4161" i="1"/>
  <c r="E4161" i="1"/>
  <c r="G4161" i="1"/>
  <c r="H4161" i="1" s="1"/>
  <c r="C4162" i="1"/>
  <c r="K4162" i="1" s="1"/>
  <c r="D4162" i="1"/>
  <c r="E4162" i="1"/>
  <c r="G4162" i="1"/>
  <c r="H4162" i="1" s="1"/>
  <c r="C4163" i="1"/>
  <c r="K4163" i="1" s="1"/>
  <c r="D4163" i="1"/>
  <c r="E4163" i="1"/>
  <c r="G4163" i="1"/>
  <c r="H4163" i="1" s="1"/>
  <c r="C4164" i="1"/>
  <c r="K4164" i="1" s="1"/>
  <c r="D4164" i="1"/>
  <c r="E4164" i="1"/>
  <c r="G4164" i="1"/>
  <c r="H4164" i="1" s="1"/>
  <c r="C4165" i="1"/>
  <c r="K4165" i="1" s="1"/>
  <c r="D4165" i="1"/>
  <c r="E4165" i="1"/>
  <c r="G4165" i="1"/>
  <c r="H4165" i="1" s="1"/>
  <c r="C4166" i="1"/>
  <c r="K4166" i="1" s="1"/>
  <c r="D4166" i="1"/>
  <c r="E4166" i="1"/>
  <c r="G4166" i="1"/>
  <c r="H4166" i="1" s="1"/>
  <c r="C4167" i="1"/>
  <c r="K4167" i="1" s="1"/>
  <c r="D4167" i="1"/>
  <c r="E4167" i="1"/>
  <c r="G4167" i="1"/>
  <c r="H4167" i="1" s="1"/>
  <c r="C4168" i="1"/>
  <c r="K4168" i="1" s="1"/>
  <c r="D4168" i="1"/>
  <c r="E4168" i="1"/>
  <c r="G4168" i="1"/>
  <c r="H4168" i="1" s="1"/>
  <c r="C4169" i="1"/>
  <c r="D4169" i="1"/>
  <c r="E4169" i="1"/>
  <c r="G4169" i="1"/>
  <c r="H4169" i="1" s="1"/>
  <c r="C4170" i="1"/>
  <c r="K4170" i="1" s="1"/>
  <c r="D4170" i="1"/>
  <c r="E4170" i="1"/>
  <c r="G4170" i="1"/>
  <c r="H4170" i="1" s="1"/>
  <c r="C4171" i="1"/>
  <c r="K4171" i="1" s="1"/>
  <c r="D4171" i="1"/>
  <c r="E4171" i="1"/>
  <c r="G4171" i="1"/>
  <c r="H4171" i="1" s="1"/>
  <c r="C4172" i="1"/>
  <c r="K4172" i="1" s="1"/>
  <c r="D4172" i="1"/>
  <c r="E4172" i="1"/>
  <c r="G4172" i="1"/>
  <c r="H4172" i="1" s="1"/>
  <c r="C4173" i="1"/>
  <c r="K4173" i="1" s="1"/>
  <c r="D4173" i="1"/>
  <c r="E4173" i="1"/>
  <c r="G4173" i="1"/>
  <c r="H4173" i="1" s="1"/>
  <c r="C4174" i="1"/>
  <c r="K4174" i="1" s="1"/>
  <c r="D4174" i="1"/>
  <c r="E4174" i="1"/>
  <c r="G4174" i="1"/>
  <c r="H4174" i="1" s="1"/>
  <c r="C4175" i="1"/>
  <c r="K4175" i="1" s="1"/>
  <c r="D4175" i="1"/>
  <c r="E4175" i="1"/>
  <c r="G4175" i="1"/>
  <c r="H4175" i="1" s="1"/>
  <c r="C4176" i="1"/>
  <c r="K4176" i="1" s="1"/>
  <c r="D4176" i="1"/>
  <c r="E4176" i="1"/>
  <c r="G4176" i="1"/>
  <c r="H4176" i="1" s="1"/>
  <c r="C4177" i="1"/>
  <c r="K4177" i="1" s="1"/>
  <c r="D4177" i="1"/>
  <c r="E4177" i="1"/>
  <c r="G4177" i="1"/>
  <c r="H4177" i="1" s="1"/>
  <c r="C4178" i="1"/>
  <c r="K4178" i="1" s="1"/>
  <c r="D4178" i="1"/>
  <c r="E4178" i="1"/>
  <c r="G4178" i="1"/>
  <c r="H4178" i="1" s="1"/>
  <c r="C4179" i="1"/>
  <c r="K4179" i="1" s="1"/>
  <c r="D4179" i="1"/>
  <c r="E4179" i="1"/>
  <c r="G4179" i="1"/>
  <c r="H4179" i="1" s="1"/>
  <c r="C4180" i="1"/>
  <c r="K4180" i="1" s="1"/>
  <c r="D4180" i="1"/>
  <c r="E4180" i="1"/>
  <c r="G4180" i="1"/>
  <c r="H4180" i="1" s="1"/>
  <c r="C4181" i="1"/>
  <c r="K4181" i="1" s="1"/>
  <c r="D4181" i="1"/>
  <c r="E4181" i="1"/>
  <c r="G4181" i="1"/>
  <c r="H4181" i="1" s="1"/>
  <c r="C4182" i="1"/>
  <c r="K4182" i="1" s="1"/>
  <c r="D4182" i="1"/>
  <c r="E4182" i="1"/>
  <c r="G4182" i="1"/>
  <c r="H4182" i="1" s="1"/>
  <c r="C4183" i="1"/>
  <c r="K4183" i="1" s="1"/>
  <c r="D4183" i="1"/>
  <c r="E4183" i="1"/>
  <c r="G4183" i="1"/>
  <c r="H4183" i="1" s="1"/>
  <c r="C4184" i="1"/>
  <c r="K4184" i="1" s="1"/>
  <c r="D4184" i="1"/>
  <c r="E4184" i="1"/>
  <c r="G4184" i="1"/>
  <c r="H4184" i="1" s="1"/>
  <c r="C4185" i="1"/>
  <c r="K4185" i="1" s="1"/>
  <c r="D4185" i="1"/>
  <c r="E4185" i="1"/>
  <c r="G4185" i="1"/>
  <c r="H4185" i="1" s="1"/>
  <c r="C4186" i="1"/>
  <c r="K4186" i="1" s="1"/>
  <c r="D4186" i="1"/>
  <c r="E4186" i="1"/>
  <c r="G4186" i="1"/>
  <c r="H4186" i="1" s="1"/>
  <c r="C4187" i="1"/>
  <c r="K4187" i="1" s="1"/>
  <c r="D4187" i="1"/>
  <c r="E4187" i="1"/>
  <c r="G4187" i="1"/>
  <c r="H4187" i="1" s="1"/>
  <c r="C4188" i="1"/>
  <c r="K4188" i="1" s="1"/>
  <c r="D4188" i="1"/>
  <c r="E4188" i="1"/>
  <c r="G4188" i="1"/>
  <c r="H4188" i="1" s="1"/>
  <c r="C4189" i="1"/>
  <c r="K4189" i="1" s="1"/>
  <c r="D4189" i="1"/>
  <c r="E4189" i="1"/>
  <c r="G4189" i="1"/>
  <c r="H4189" i="1" s="1"/>
  <c r="C4190" i="1"/>
  <c r="K4190" i="1" s="1"/>
  <c r="D4190" i="1"/>
  <c r="E4190" i="1"/>
  <c r="G4190" i="1"/>
  <c r="H4190" i="1" s="1"/>
  <c r="C4191" i="1"/>
  <c r="K4191" i="1" s="1"/>
  <c r="D4191" i="1"/>
  <c r="E4191" i="1"/>
  <c r="G4191" i="1"/>
  <c r="H4191" i="1" s="1"/>
  <c r="C4192" i="1"/>
  <c r="K4192" i="1" s="1"/>
  <c r="D4192" i="1"/>
  <c r="E4192" i="1"/>
  <c r="G4192" i="1"/>
  <c r="H4192" i="1" s="1"/>
  <c r="C4193" i="1"/>
  <c r="K4193" i="1" s="1"/>
  <c r="D4193" i="1"/>
  <c r="E4193" i="1"/>
  <c r="G4193" i="1"/>
  <c r="H4193" i="1" s="1"/>
  <c r="C4194" i="1"/>
  <c r="K4194" i="1" s="1"/>
  <c r="D4194" i="1"/>
  <c r="E4194" i="1"/>
  <c r="G4194" i="1"/>
  <c r="H4194" i="1" s="1"/>
  <c r="C4195" i="1"/>
  <c r="K4195" i="1" s="1"/>
  <c r="D4195" i="1"/>
  <c r="E4195" i="1"/>
  <c r="G4195" i="1"/>
  <c r="H4195" i="1" s="1"/>
  <c r="C4196" i="1"/>
  <c r="K4196" i="1" s="1"/>
  <c r="D4196" i="1"/>
  <c r="E4196" i="1"/>
  <c r="G4196" i="1"/>
  <c r="H4196" i="1" s="1"/>
  <c r="C4197" i="1"/>
  <c r="K4197" i="1" s="1"/>
  <c r="D4197" i="1"/>
  <c r="E4197" i="1"/>
  <c r="G4197" i="1"/>
  <c r="H4197" i="1" s="1"/>
  <c r="C4198" i="1"/>
  <c r="K4198" i="1" s="1"/>
  <c r="D4198" i="1"/>
  <c r="E4198" i="1"/>
  <c r="G4198" i="1"/>
  <c r="H4198" i="1" s="1"/>
  <c r="C4199" i="1"/>
  <c r="K4199" i="1" s="1"/>
  <c r="D4199" i="1"/>
  <c r="E4199" i="1"/>
  <c r="G4199" i="1"/>
  <c r="H4199" i="1" s="1"/>
  <c r="C4200" i="1"/>
  <c r="K4200" i="1" s="1"/>
  <c r="D4200" i="1"/>
  <c r="E4200" i="1"/>
  <c r="G4200" i="1"/>
  <c r="H4200" i="1" s="1"/>
  <c r="C4201" i="1"/>
  <c r="K4201" i="1" s="1"/>
  <c r="D4201" i="1"/>
  <c r="E4201" i="1"/>
  <c r="G4201" i="1"/>
  <c r="H4201" i="1" s="1"/>
  <c r="C4202" i="1"/>
  <c r="K4202" i="1" s="1"/>
  <c r="D4202" i="1"/>
  <c r="E4202" i="1"/>
  <c r="G4202" i="1"/>
  <c r="H4202" i="1" s="1"/>
  <c r="C4203" i="1"/>
  <c r="K4203" i="1" s="1"/>
  <c r="D4203" i="1"/>
  <c r="E4203" i="1"/>
  <c r="G4203" i="1"/>
  <c r="H4203" i="1" s="1"/>
  <c r="C4204" i="1"/>
  <c r="K4204" i="1" s="1"/>
  <c r="D4204" i="1"/>
  <c r="E4204" i="1"/>
  <c r="G4204" i="1"/>
  <c r="H4204" i="1" s="1"/>
  <c r="C4205" i="1"/>
  <c r="K4205" i="1" s="1"/>
  <c r="D4205" i="1"/>
  <c r="E4205" i="1"/>
  <c r="G4205" i="1"/>
  <c r="H4205" i="1" s="1"/>
  <c r="C4206" i="1"/>
  <c r="K4206" i="1" s="1"/>
  <c r="D4206" i="1"/>
  <c r="E4206" i="1"/>
  <c r="G4206" i="1"/>
  <c r="H4206" i="1" s="1"/>
  <c r="C4207" i="1"/>
  <c r="K4207" i="1" s="1"/>
  <c r="D4207" i="1"/>
  <c r="E4207" i="1"/>
  <c r="G4207" i="1"/>
  <c r="H4207" i="1" s="1"/>
  <c r="C4208" i="1"/>
  <c r="K4208" i="1" s="1"/>
  <c r="D4208" i="1"/>
  <c r="E4208" i="1"/>
  <c r="G4208" i="1"/>
  <c r="H4208" i="1" s="1"/>
  <c r="C4209" i="1"/>
  <c r="K4209" i="1" s="1"/>
  <c r="D4209" i="1"/>
  <c r="E4209" i="1"/>
  <c r="G4209" i="1"/>
  <c r="H4209" i="1" s="1"/>
  <c r="C4210" i="1"/>
  <c r="D4210" i="1"/>
  <c r="E4210" i="1"/>
  <c r="G4210" i="1"/>
  <c r="H4210" i="1" s="1"/>
  <c r="C4211" i="1"/>
  <c r="K4211" i="1" s="1"/>
  <c r="D4211" i="1"/>
  <c r="E4211" i="1"/>
  <c r="G4211" i="1"/>
  <c r="H4211" i="1" s="1"/>
  <c r="C4212" i="1"/>
  <c r="K4212" i="1" s="1"/>
  <c r="D4212" i="1"/>
  <c r="E4212" i="1"/>
  <c r="G4212" i="1"/>
  <c r="H4212" i="1" s="1"/>
  <c r="C4213" i="1"/>
  <c r="K4213" i="1" s="1"/>
  <c r="D4213" i="1"/>
  <c r="E4213" i="1"/>
  <c r="G4213" i="1"/>
  <c r="H4213" i="1" s="1"/>
  <c r="C4214" i="1"/>
  <c r="K4214" i="1" s="1"/>
  <c r="D4214" i="1"/>
  <c r="E4214" i="1"/>
  <c r="G4214" i="1"/>
  <c r="H4214" i="1" s="1"/>
  <c r="C4215" i="1"/>
  <c r="K4215" i="1" s="1"/>
  <c r="D4215" i="1"/>
  <c r="E4215" i="1"/>
  <c r="G4215" i="1"/>
  <c r="H4215" i="1" s="1"/>
  <c r="C4216" i="1"/>
  <c r="K4216" i="1" s="1"/>
  <c r="D4216" i="1"/>
  <c r="E4216" i="1"/>
  <c r="G4216" i="1"/>
  <c r="H4216" i="1" s="1"/>
  <c r="C4217" i="1"/>
  <c r="K4217" i="1" s="1"/>
  <c r="D4217" i="1"/>
  <c r="E4217" i="1"/>
  <c r="G4217" i="1"/>
  <c r="H4217" i="1" s="1"/>
  <c r="C4218" i="1"/>
  <c r="K4218" i="1" s="1"/>
  <c r="D4218" i="1"/>
  <c r="E4218" i="1"/>
  <c r="G4218" i="1"/>
  <c r="H4218" i="1" s="1"/>
  <c r="C4219" i="1"/>
  <c r="K4219" i="1" s="1"/>
  <c r="D4219" i="1"/>
  <c r="E4219" i="1"/>
  <c r="G4219" i="1"/>
  <c r="H4219" i="1" s="1"/>
  <c r="C4220" i="1"/>
  <c r="K4220" i="1" s="1"/>
  <c r="D4220" i="1"/>
  <c r="E4220" i="1"/>
  <c r="G4220" i="1"/>
  <c r="H4220" i="1" s="1"/>
  <c r="C4221" i="1"/>
  <c r="K4221" i="1" s="1"/>
  <c r="D4221" i="1"/>
  <c r="E4221" i="1"/>
  <c r="G4221" i="1"/>
  <c r="H4221" i="1" s="1"/>
  <c r="C4222" i="1"/>
  <c r="K4222" i="1" s="1"/>
  <c r="D4222" i="1"/>
  <c r="E4222" i="1"/>
  <c r="G4222" i="1"/>
  <c r="H4222" i="1" s="1"/>
  <c r="C4223" i="1"/>
  <c r="K4223" i="1" s="1"/>
  <c r="D4223" i="1"/>
  <c r="E4223" i="1"/>
  <c r="G4223" i="1"/>
  <c r="H4223" i="1" s="1"/>
  <c r="C4224" i="1"/>
  <c r="K4224" i="1" s="1"/>
  <c r="D4224" i="1"/>
  <c r="E4224" i="1"/>
  <c r="G4224" i="1"/>
  <c r="H4224" i="1" s="1"/>
  <c r="C4225" i="1"/>
  <c r="K4225" i="1" s="1"/>
  <c r="D4225" i="1"/>
  <c r="E4225" i="1"/>
  <c r="G4225" i="1"/>
  <c r="H4225" i="1" s="1"/>
  <c r="C4226" i="1"/>
  <c r="K4226" i="1" s="1"/>
  <c r="D4226" i="1"/>
  <c r="E4226" i="1"/>
  <c r="G4226" i="1"/>
  <c r="H4226" i="1" s="1"/>
  <c r="C4227" i="1"/>
  <c r="K4227" i="1" s="1"/>
  <c r="D4227" i="1"/>
  <c r="E4227" i="1"/>
  <c r="G4227" i="1"/>
  <c r="H4227" i="1" s="1"/>
  <c r="C4228" i="1"/>
  <c r="K4228" i="1" s="1"/>
  <c r="D4228" i="1"/>
  <c r="E4228" i="1"/>
  <c r="G4228" i="1"/>
  <c r="H4228" i="1" s="1"/>
  <c r="C4229" i="1"/>
  <c r="K4229" i="1" s="1"/>
  <c r="D4229" i="1"/>
  <c r="E4229" i="1"/>
  <c r="G4229" i="1"/>
  <c r="H4229" i="1" s="1"/>
  <c r="C4230" i="1"/>
  <c r="K4230" i="1" s="1"/>
  <c r="D4230" i="1"/>
  <c r="E4230" i="1"/>
  <c r="G4230" i="1"/>
  <c r="H4230" i="1" s="1"/>
  <c r="C4231" i="1"/>
  <c r="K4231" i="1" s="1"/>
  <c r="D4231" i="1"/>
  <c r="E4231" i="1"/>
  <c r="G4231" i="1"/>
  <c r="H4231" i="1" s="1"/>
  <c r="C4232" i="1"/>
  <c r="K4232" i="1" s="1"/>
  <c r="D4232" i="1"/>
  <c r="E4232" i="1"/>
  <c r="G4232" i="1"/>
  <c r="H4232" i="1" s="1"/>
  <c r="C4233" i="1"/>
  <c r="K4233" i="1" s="1"/>
  <c r="D4233" i="1"/>
  <c r="E4233" i="1"/>
  <c r="G4233" i="1"/>
  <c r="H4233" i="1" s="1"/>
  <c r="C4234" i="1"/>
  <c r="K4234" i="1" s="1"/>
  <c r="D4234" i="1"/>
  <c r="E4234" i="1"/>
  <c r="G4234" i="1"/>
  <c r="H4234" i="1" s="1"/>
  <c r="C4235" i="1"/>
  <c r="K4235" i="1" s="1"/>
  <c r="D4235" i="1"/>
  <c r="E4235" i="1"/>
  <c r="G4235" i="1"/>
  <c r="H4235" i="1" s="1"/>
  <c r="C4236" i="1"/>
  <c r="K4236" i="1" s="1"/>
  <c r="D4236" i="1"/>
  <c r="E4236" i="1"/>
  <c r="G4236" i="1"/>
  <c r="H4236" i="1" s="1"/>
  <c r="C4237" i="1"/>
  <c r="K4237" i="1" s="1"/>
  <c r="D4237" i="1"/>
  <c r="E4237" i="1"/>
  <c r="G4237" i="1"/>
  <c r="H4237" i="1" s="1"/>
  <c r="C4238" i="1"/>
  <c r="K4238" i="1" s="1"/>
  <c r="D4238" i="1"/>
  <c r="E4238" i="1"/>
  <c r="G4238" i="1"/>
  <c r="H4238" i="1" s="1"/>
  <c r="C4239" i="1"/>
  <c r="K4239" i="1" s="1"/>
  <c r="D4239" i="1"/>
  <c r="E4239" i="1"/>
  <c r="G4239" i="1"/>
  <c r="H4239" i="1" s="1"/>
  <c r="C4240" i="1"/>
  <c r="D4240" i="1"/>
  <c r="E4240" i="1"/>
  <c r="G4240" i="1"/>
  <c r="H4240" i="1" s="1"/>
  <c r="C4241" i="1"/>
  <c r="K4241" i="1" s="1"/>
  <c r="D4241" i="1"/>
  <c r="E4241" i="1"/>
  <c r="G4241" i="1"/>
  <c r="H4241" i="1" s="1"/>
  <c r="C4242" i="1"/>
  <c r="K4242" i="1" s="1"/>
  <c r="D4242" i="1"/>
  <c r="E4242" i="1"/>
  <c r="G4242" i="1"/>
  <c r="H4242" i="1" s="1"/>
  <c r="C4243" i="1"/>
  <c r="K4243" i="1" s="1"/>
  <c r="D4243" i="1"/>
  <c r="E4243" i="1"/>
  <c r="G4243" i="1"/>
  <c r="H4243" i="1" s="1"/>
  <c r="C4244" i="1"/>
  <c r="K4244" i="1" s="1"/>
  <c r="D4244" i="1"/>
  <c r="E4244" i="1"/>
  <c r="G4244" i="1"/>
  <c r="H4244" i="1" s="1"/>
  <c r="C4245" i="1"/>
  <c r="K4245" i="1" s="1"/>
  <c r="D4245" i="1"/>
  <c r="E4245" i="1"/>
  <c r="G4245" i="1"/>
  <c r="H4245" i="1" s="1"/>
  <c r="C4246" i="1"/>
  <c r="K4246" i="1" s="1"/>
  <c r="D4246" i="1"/>
  <c r="E4246" i="1"/>
  <c r="G4246" i="1"/>
  <c r="H4246" i="1" s="1"/>
  <c r="C4247" i="1"/>
  <c r="K4247" i="1" s="1"/>
  <c r="D4247" i="1"/>
  <c r="E4247" i="1"/>
  <c r="G4247" i="1"/>
  <c r="H4247" i="1" s="1"/>
  <c r="C4248" i="1"/>
  <c r="K4248" i="1" s="1"/>
  <c r="D4248" i="1"/>
  <c r="E4248" i="1"/>
  <c r="G4248" i="1"/>
  <c r="H4248" i="1" s="1"/>
  <c r="C4249" i="1"/>
  <c r="K4249" i="1" s="1"/>
  <c r="D4249" i="1"/>
  <c r="E4249" i="1"/>
  <c r="G4249" i="1"/>
  <c r="H4249" i="1" s="1"/>
  <c r="C4250" i="1"/>
  <c r="K4250" i="1" s="1"/>
  <c r="D4250" i="1"/>
  <c r="E4250" i="1"/>
  <c r="G4250" i="1"/>
  <c r="H4250" i="1" s="1"/>
  <c r="C4251" i="1"/>
  <c r="K4251" i="1" s="1"/>
  <c r="D4251" i="1"/>
  <c r="E4251" i="1"/>
  <c r="G4251" i="1"/>
  <c r="H4251" i="1" s="1"/>
  <c r="C4252" i="1"/>
  <c r="K4252" i="1" s="1"/>
  <c r="D4252" i="1"/>
  <c r="E4252" i="1"/>
  <c r="G4252" i="1"/>
  <c r="H4252" i="1" s="1"/>
  <c r="C4253" i="1"/>
  <c r="K4253" i="1" s="1"/>
  <c r="D4253" i="1"/>
  <c r="E4253" i="1"/>
  <c r="G4253" i="1"/>
  <c r="H4253" i="1" s="1"/>
  <c r="C4254" i="1"/>
  <c r="K4254" i="1" s="1"/>
  <c r="D4254" i="1"/>
  <c r="E4254" i="1"/>
  <c r="G4254" i="1"/>
  <c r="H4254" i="1" s="1"/>
  <c r="C4255" i="1"/>
  <c r="K4255" i="1" s="1"/>
  <c r="D4255" i="1"/>
  <c r="E4255" i="1"/>
  <c r="G4255" i="1"/>
  <c r="H4255" i="1" s="1"/>
  <c r="C4256" i="1"/>
  <c r="K4256" i="1" s="1"/>
  <c r="D4256" i="1"/>
  <c r="E4256" i="1"/>
  <c r="G4256" i="1"/>
  <c r="H4256" i="1" s="1"/>
  <c r="C4257" i="1"/>
  <c r="K4257" i="1" s="1"/>
  <c r="D4257" i="1"/>
  <c r="E4257" i="1"/>
  <c r="G4257" i="1"/>
  <c r="H4257" i="1" s="1"/>
  <c r="C4258" i="1"/>
  <c r="K4258" i="1" s="1"/>
  <c r="D4258" i="1"/>
  <c r="E4258" i="1"/>
  <c r="G4258" i="1"/>
  <c r="H4258" i="1" s="1"/>
  <c r="C4259" i="1"/>
  <c r="K4259" i="1" s="1"/>
  <c r="D4259" i="1"/>
  <c r="E4259" i="1"/>
  <c r="G4259" i="1"/>
  <c r="H4259" i="1" s="1"/>
  <c r="C4260" i="1"/>
  <c r="K4260" i="1" s="1"/>
  <c r="D4260" i="1"/>
  <c r="E4260" i="1"/>
  <c r="G4260" i="1"/>
  <c r="H4260" i="1" s="1"/>
  <c r="C4261" i="1"/>
  <c r="K4261" i="1" s="1"/>
  <c r="D4261" i="1"/>
  <c r="E4261" i="1"/>
  <c r="G4261" i="1"/>
  <c r="H4261" i="1" s="1"/>
  <c r="C4262" i="1"/>
  <c r="K4262" i="1" s="1"/>
  <c r="D4262" i="1"/>
  <c r="E4262" i="1"/>
  <c r="G4262" i="1"/>
  <c r="H4262" i="1" s="1"/>
  <c r="C4263" i="1"/>
  <c r="K4263" i="1" s="1"/>
  <c r="D4263" i="1"/>
  <c r="E4263" i="1"/>
  <c r="G4263" i="1"/>
  <c r="H4263" i="1" s="1"/>
  <c r="C4264" i="1"/>
  <c r="K4264" i="1" s="1"/>
  <c r="D4264" i="1"/>
  <c r="E4264" i="1"/>
  <c r="G4264" i="1"/>
  <c r="H4264" i="1" s="1"/>
  <c r="C4265" i="1"/>
  <c r="K4265" i="1" s="1"/>
  <c r="D4265" i="1"/>
  <c r="E4265" i="1"/>
  <c r="G4265" i="1"/>
  <c r="H4265" i="1" s="1"/>
  <c r="C4266" i="1"/>
  <c r="K4266" i="1" s="1"/>
  <c r="D4266" i="1"/>
  <c r="E4266" i="1"/>
  <c r="G4266" i="1"/>
  <c r="H4266" i="1"/>
  <c r="C4267" i="1"/>
  <c r="K4267" i="1" s="1"/>
  <c r="D4267" i="1"/>
  <c r="E4267" i="1"/>
  <c r="G4267" i="1"/>
  <c r="H4267" i="1" s="1"/>
  <c r="C4268" i="1"/>
  <c r="K4268" i="1" s="1"/>
  <c r="D4268" i="1"/>
  <c r="E4268" i="1"/>
  <c r="G4268" i="1"/>
  <c r="H4268" i="1" s="1"/>
  <c r="C4269" i="1"/>
  <c r="K4269" i="1" s="1"/>
  <c r="D4269" i="1"/>
  <c r="E4269" i="1"/>
  <c r="G4269" i="1"/>
  <c r="H4269" i="1" s="1"/>
  <c r="C4270" i="1"/>
  <c r="K4270" i="1" s="1"/>
  <c r="D4270" i="1"/>
  <c r="E4270" i="1"/>
  <c r="G4270" i="1"/>
  <c r="H4270" i="1" s="1"/>
  <c r="C4271" i="1"/>
  <c r="K4271" i="1" s="1"/>
  <c r="D4271" i="1"/>
  <c r="E4271" i="1"/>
  <c r="G4271" i="1"/>
  <c r="H4271" i="1" s="1"/>
  <c r="C4272" i="1"/>
  <c r="K4272" i="1" s="1"/>
  <c r="D4272" i="1"/>
  <c r="E4272" i="1"/>
  <c r="G4272" i="1"/>
  <c r="H4272" i="1" s="1"/>
  <c r="C4273" i="1"/>
  <c r="K4273" i="1" s="1"/>
  <c r="D4273" i="1"/>
  <c r="E4273" i="1"/>
  <c r="G4273" i="1"/>
  <c r="H4273" i="1" s="1"/>
  <c r="C4274" i="1"/>
  <c r="K4274" i="1" s="1"/>
  <c r="D4274" i="1"/>
  <c r="E4274" i="1"/>
  <c r="G4274" i="1"/>
  <c r="H4274" i="1" s="1"/>
  <c r="C4275" i="1"/>
  <c r="K4275" i="1" s="1"/>
  <c r="D4275" i="1"/>
  <c r="E4275" i="1"/>
  <c r="G4275" i="1"/>
  <c r="H4275" i="1" s="1"/>
  <c r="C4276" i="1"/>
  <c r="K4276" i="1" s="1"/>
  <c r="D4276" i="1"/>
  <c r="E4276" i="1"/>
  <c r="G4276" i="1"/>
  <c r="H4276" i="1" s="1"/>
  <c r="C4277" i="1"/>
  <c r="K4277" i="1" s="1"/>
  <c r="D4277" i="1"/>
  <c r="E4277" i="1"/>
  <c r="G4277" i="1"/>
  <c r="H4277" i="1" s="1"/>
  <c r="C4278" i="1"/>
  <c r="K4278" i="1" s="1"/>
  <c r="D4278" i="1"/>
  <c r="E4278" i="1"/>
  <c r="G4278" i="1"/>
  <c r="H4278" i="1" s="1"/>
  <c r="C4279" i="1"/>
  <c r="K4279" i="1" s="1"/>
  <c r="D4279" i="1"/>
  <c r="E4279" i="1"/>
  <c r="G4279" i="1"/>
  <c r="H4279" i="1" s="1"/>
  <c r="C4280" i="1"/>
  <c r="K4280" i="1" s="1"/>
  <c r="D4280" i="1"/>
  <c r="E4280" i="1"/>
  <c r="G4280" i="1"/>
  <c r="H4280" i="1" s="1"/>
  <c r="C4281" i="1"/>
  <c r="K4281" i="1" s="1"/>
  <c r="D4281" i="1"/>
  <c r="E4281" i="1"/>
  <c r="G4281" i="1"/>
  <c r="H4281" i="1" s="1"/>
  <c r="C4282" i="1"/>
  <c r="K4282" i="1" s="1"/>
  <c r="D4282" i="1"/>
  <c r="E4282" i="1"/>
  <c r="G4282" i="1"/>
  <c r="H4282" i="1" s="1"/>
  <c r="C4283" i="1"/>
  <c r="K4283" i="1" s="1"/>
  <c r="D4283" i="1"/>
  <c r="E4283" i="1"/>
  <c r="G4283" i="1"/>
  <c r="H4283" i="1" s="1"/>
  <c r="C4284" i="1"/>
  <c r="K4284" i="1" s="1"/>
  <c r="D4284" i="1"/>
  <c r="E4284" i="1"/>
  <c r="G4284" i="1"/>
  <c r="H4284" i="1" s="1"/>
  <c r="C4285" i="1"/>
  <c r="K4285" i="1" s="1"/>
  <c r="D4285" i="1"/>
  <c r="E4285" i="1"/>
  <c r="G4285" i="1"/>
  <c r="H4285" i="1" s="1"/>
  <c r="C4286" i="1"/>
  <c r="K4286" i="1" s="1"/>
  <c r="D4286" i="1"/>
  <c r="E4286" i="1"/>
  <c r="G4286" i="1"/>
  <c r="H4286" i="1" s="1"/>
  <c r="C4287" i="1"/>
  <c r="K4287" i="1" s="1"/>
  <c r="D4287" i="1"/>
  <c r="E4287" i="1"/>
  <c r="G4287" i="1"/>
  <c r="H4287" i="1" s="1"/>
  <c r="C4288" i="1"/>
  <c r="K4288" i="1" s="1"/>
  <c r="D4288" i="1"/>
  <c r="E4288" i="1"/>
  <c r="G4288" i="1"/>
  <c r="H4288" i="1" s="1"/>
  <c r="C4289" i="1"/>
  <c r="K4289" i="1" s="1"/>
  <c r="D4289" i="1"/>
  <c r="E4289" i="1"/>
  <c r="G4289" i="1"/>
  <c r="H4289" i="1" s="1"/>
  <c r="C4290" i="1"/>
  <c r="K4290" i="1" s="1"/>
  <c r="D4290" i="1"/>
  <c r="E4290" i="1"/>
  <c r="G4290" i="1"/>
  <c r="H4290" i="1" s="1"/>
  <c r="C4291" i="1"/>
  <c r="K4291" i="1" s="1"/>
  <c r="D4291" i="1"/>
  <c r="E4291" i="1"/>
  <c r="G4291" i="1"/>
  <c r="H4291" i="1" s="1"/>
  <c r="C4292" i="1"/>
  <c r="K4292" i="1" s="1"/>
  <c r="D4292" i="1"/>
  <c r="E4292" i="1"/>
  <c r="G4292" i="1"/>
  <c r="H4292" i="1" s="1"/>
  <c r="C4293" i="1"/>
  <c r="K4293" i="1" s="1"/>
  <c r="D4293" i="1"/>
  <c r="E4293" i="1"/>
  <c r="G4293" i="1"/>
  <c r="H4293" i="1" s="1"/>
  <c r="C4294" i="1"/>
  <c r="K4294" i="1" s="1"/>
  <c r="D4294" i="1"/>
  <c r="E4294" i="1"/>
  <c r="G4294" i="1"/>
  <c r="H4294" i="1" s="1"/>
  <c r="C4295" i="1"/>
  <c r="K4295" i="1" s="1"/>
  <c r="D4295" i="1"/>
  <c r="E4295" i="1"/>
  <c r="G4295" i="1"/>
  <c r="H4295" i="1" s="1"/>
  <c r="C4296" i="1"/>
  <c r="K4296" i="1" s="1"/>
  <c r="D4296" i="1"/>
  <c r="E4296" i="1"/>
  <c r="G4296" i="1"/>
  <c r="H4296" i="1" s="1"/>
  <c r="C4297" i="1"/>
  <c r="K4297" i="1" s="1"/>
  <c r="D4297" i="1"/>
  <c r="E4297" i="1"/>
  <c r="G4297" i="1"/>
  <c r="H4297" i="1" s="1"/>
  <c r="C4298" i="1"/>
  <c r="K4298" i="1" s="1"/>
  <c r="D4298" i="1"/>
  <c r="E4298" i="1"/>
  <c r="G4298" i="1"/>
  <c r="H4298" i="1" s="1"/>
  <c r="C4299" i="1"/>
  <c r="K4299" i="1" s="1"/>
  <c r="D4299" i="1"/>
  <c r="E4299" i="1"/>
  <c r="G4299" i="1"/>
  <c r="H4299" i="1" s="1"/>
  <c r="C4300" i="1"/>
  <c r="K4300" i="1" s="1"/>
  <c r="D4300" i="1"/>
  <c r="E4300" i="1"/>
  <c r="G4300" i="1"/>
  <c r="H4300" i="1" s="1"/>
  <c r="C4301" i="1"/>
  <c r="K4301" i="1" s="1"/>
  <c r="D4301" i="1"/>
  <c r="E4301" i="1"/>
  <c r="G4301" i="1"/>
  <c r="H4301" i="1" s="1"/>
  <c r="C4302" i="1"/>
  <c r="D4302" i="1"/>
  <c r="E4302" i="1"/>
  <c r="G4302" i="1"/>
  <c r="H4302" i="1" s="1"/>
  <c r="C4303" i="1"/>
  <c r="K4303" i="1" s="1"/>
  <c r="D4303" i="1"/>
  <c r="E4303" i="1"/>
  <c r="G4303" i="1"/>
  <c r="H4303" i="1" s="1"/>
  <c r="C4304" i="1"/>
  <c r="K4304" i="1" s="1"/>
  <c r="D4304" i="1"/>
  <c r="E4304" i="1"/>
  <c r="G4304" i="1"/>
  <c r="H4304" i="1" s="1"/>
  <c r="C4305" i="1"/>
  <c r="K4305" i="1" s="1"/>
  <c r="D4305" i="1"/>
  <c r="E4305" i="1"/>
  <c r="G4305" i="1"/>
  <c r="H4305" i="1" s="1"/>
  <c r="C4306" i="1"/>
  <c r="D4306" i="1"/>
  <c r="E4306" i="1"/>
  <c r="G4306" i="1"/>
  <c r="H4306" i="1" s="1"/>
  <c r="C4307" i="1"/>
  <c r="K4307" i="1" s="1"/>
  <c r="D4307" i="1"/>
  <c r="E4307" i="1"/>
  <c r="G4307" i="1"/>
  <c r="H4307" i="1" s="1"/>
  <c r="C4308" i="1"/>
  <c r="K4308" i="1" s="1"/>
  <c r="D4308" i="1"/>
  <c r="E4308" i="1"/>
  <c r="G4308" i="1"/>
  <c r="H4308" i="1" s="1"/>
  <c r="C4309" i="1"/>
  <c r="D4309" i="1"/>
  <c r="E4309" i="1"/>
  <c r="G4309" i="1"/>
  <c r="H4309" i="1" s="1"/>
  <c r="C4310" i="1"/>
  <c r="K4310" i="1" s="1"/>
  <c r="D4310" i="1"/>
  <c r="E4310" i="1"/>
  <c r="G4310" i="1"/>
  <c r="H4310" i="1" s="1"/>
  <c r="C4311" i="1"/>
  <c r="K4311" i="1" s="1"/>
  <c r="D4311" i="1"/>
  <c r="E4311" i="1"/>
  <c r="G4311" i="1"/>
  <c r="H4311" i="1" s="1"/>
  <c r="C4312" i="1"/>
  <c r="K4312" i="1" s="1"/>
  <c r="D4312" i="1"/>
  <c r="E4312" i="1"/>
  <c r="G4312" i="1"/>
  <c r="H4312" i="1" s="1"/>
  <c r="C4313" i="1"/>
  <c r="K4313" i="1" s="1"/>
  <c r="D4313" i="1"/>
  <c r="E4313" i="1"/>
  <c r="G4313" i="1"/>
  <c r="H4313" i="1" s="1"/>
  <c r="C4314" i="1"/>
  <c r="K4314" i="1" s="1"/>
  <c r="D4314" i="1"/>
  <c r="E4314" i="1"/>
  <c r="G4314" i="1"/>
  <c r="H4314" i="1" s="1"/>
  <c r="C4315" i="1"/>
  <c r="K4315" i="1" s="1"/>
  <c r="D4315" i="1"/>
  <c r="E4315" i="1"/>
  <c r="G4315" i="1"/>
  <c r="H4315" i="1" s="1"/>
  <c r="C4316" i="1"/>
  <c r="K4316" i="1" s="1"/>
  <c r="D4316" i="1"/>
  <c r="E4316" i="1"/>
  <c r="G4316" i="1"/>
  <c r="H4316" i="1" s="1"/>
  <c r="C4317" i="1"/>
  <c r="K4317" i="1" s="1"/>
  <c r="D4317" i="1"/>
  <c r="E4317" i="1"/>
  <c r="G4317" i="1"/>
  <c r="H4317" i="1" s="1"/>
  <c r="C4318" i="1"/>
  <c r="K4318" i="1" s="1"/>
  <c r="D4318" i="1"/>
  <c r="E4318" i="1"/>
  <c r="G4318" i="1"/>
  <c r="H4318" i="1" s="1"/>
  <c r="C4319" i="1"/>
  <c r="K4319" i="1" s="1"/>
  <c r="D4319" i="1"/>
  <c r="E4319" i="1"/>
  <c r="G4319" i="1"/>
  <c r="H4319" i="1" s="1"/>
  <c r="C4320" i="1"/>
  <c r="K4320" i="1" s="1"/>
  <c r="D4320" i="1"/>
  <c r="E4320" i="1"/>
  <c r="G4320" i="1"/>
  <c r="H4320" i="1" s="1"/>
  <c r="C4321" i="1"/>
  <c r="K4321" i="1" s="1"/>
  <c r="D4321" i="1"/>
  <c r="E4321" i="1"/>
  <c r="G4321" i="1"/>
  <c r="H4321" i="1" s="1"/>
  <c r="C4322" i="1"/>
  <c r="K4322" i="1" s="1"/>
  <c r="D4322" i="1"/>
  <c r="E4322" i="1"/>
  <c r="G4322" i="1"/>
  <c r="H4322" i="1" s="1"/>
  <c r="C4323" i="1"/>
  <c r="K4323" i="1" s="1"/>
  <c r="D4323" i="1"/>
  <c r="E4323" i="1"/>
  <c r="G4323" i="1"/>
  <c r="H4323" i="1" s="1"/>
  <c r="C4324" i="1"/>
  <c r="K4324" i="1" s="1"/>
  <c r="D4324" i="1"/>
  <c r="E4324" i="1"/>
  <c r="G4324" i="1"/>
  <c r="H4324" i="1" s="1"/>
  <c r="C4325" i="1"/>
  <c r="K4325" i="1" s="1"/>
  <c r="D4325" i="1"/>
  <c r="E4325" i="1"/>
  <c r="G4325" i="1"/>
  <c r="H4325" i="1" s="1"/>
  <c r="C4326" i="1"/>
  <c r="K4326" i="1" s="1"/>
  <c r="D4326" i="1"/>
  <c r="E4326" i="1"/>
  <c r="G4326" i="1"/>
  <c r="H4326" i="1" s="1"/>
  <c r="C4327" i="1"/>
  <c r="K4327" i="1" s="1"/>
  <c r="D4327" i="1"/>
  <c r="E4327" i="1"/>
  <c r="G4327" i="1"/>
  <c r="H4327" i="1" s="1"/>
  <c r="C4328" i="1"/>
  <c r="K4328" i="1" s="1"/>
  <c r="D4328" i="1"/>
  <c r="E4328" i="1"/>
  <c r="G4328" i="1"/>
  <c r="H4328" i="1" s="1"/>
  <c r="C4329" i="1"/>
  <c r="K4329" i="1" s="1"/>
  <c r="D4329" i="1"/>
  <c r="E4329" i="1"/>
  <c r="G4329" i="1"/>
  <c r="H4329" i="1" s="1"/>
  <c r="C4330" i="1"/>
  <c r="K4330" i="1" s="1"/>
  <c r="D4330" i="1"/>
  <c r="E4330" i="1"/>
  <c r="G4330" i="1"/>
  <c r="H4330" i="1" s="1"/>
  <c r="C4331" i="1"/>
  <c r="K4331" i="1" s="1"/>
  <c r="D4331" i="1"/>
  <c r="E4331" i="1"/>
  <c r="G4331" i="1"/>
  <c r="H4331" i="1" s="1"/>
  <c r="C4332" i="1"/>
  <c r="K4332" i="1" s="1"/>
  <c r="D4332" i="1"/>
  <c r="E4332" i="1"/>
  <c r="G4332" i="1"/>
  <c r="H4332" i="1" s="1"/>
  <c r="C4333" i="1"/>
  <c r="K4333" i="1" s="1"/>
  <c r="D4333" i="1"/>
  <c r="E4333" i="1"/>
  <c r="G4333" i="1"/>
  <c r="H4333" i="1" s="1"/>
  <c r="C4334" i="1"/>
  <c r="K4334" i="1" s="1"/>
  <c r="D4334" i="1"/>
  <c r="E4334" i="1"/>
  <c r="G4334" i="1"/>
  <c r="H4334" i="1" s="1"/>
  <c r="C4335" i="1"/>
  <c r="K4335" i="1" s="1"/>
  <c r="D4335" i="1"/>
  <c r="E4335" i="1"/>
  <c r="G4335" i="1"/>
  <c r="H4335" i="1" s="1"/>
  <c r="C4336" i="1"/>
  <c r="K4336" i="1" s="1"/>
  <c r="D4336" i="1"/>
  <c r="E4336" i="1"/>
  <c r="G4336" i="1"/>
  <c r="H4336" i="1" s="1"/>
  <c r="C4337" i="1"/>
  <c r="K4337" i="1" s="1"/>
  <c r="D4337" i="1"/>
  <c r="E4337" i="1"/>
  <c r="G4337" i="1"/>
  <c r="H4337" i="1" s="1"/>
  <c r="C4338" i="1"/>
  <c r="K4338" i="1" s="1"/>
  <c r="D4338" i="1"/>
  <c r="E4338" i="1"/>
  <c r="G4338" i="1"/>
  <c r="H4338" i="1" s="1"/>
  <c r="C4339" i="1"/>
  <c r="K4339" i="1" s="1"/>
  <c r="D4339" i="1"/>
  <c r="E4339" i="1"/>
  <c r="G4339" i="1"/>
  <c r="H4339" i="1" s="1"/>
  <c r="C4340" i="1"/>
  <c r="K4340" i="1" s="1"/>
  <c r="D4340" i="1"/>
  <c r="E4340" i="1"/>
  <c r="G4340" i="1"/>
  <c r="H4340" i="1" s="1"/>
  <c r="C4341" i="1"/>
  <c r="K4341" i="1" s="1"/>
  <c r="D4341" i="1"/>
  <c r="E4341" i="1"/>
  <c r="G4341" i="1"/>
  <c r="H4341" i="1" s="1"/>
  <c r="C4342" i="1"/>
  <c r="K4342" i="1" s="1"/>
  <c r="D4342" i="1"/>
  <c r="E4342" i="1"/>
  <c r="G4342" i="1"/>
  <c r="H4342" i="1" s="1"/>
  <c r="C4343" i="1"/>
  <c r="K4343" i="1" s="1"/>
  <c r="D4343" i="1"/>
  <c r="E4343" i="1"/>
  <c r="G4343" i="1"/>
  <c r="H4343" i="1" s="1"/>
  <c r="C4344" i="1"/>
  <c r="K4344" i="1" s="1"/>
  <c r="D4344" i="1"/>
  <c r="E4344" i="1"/>
  <c r="G4344" i="1"/>
  <c r="H4344" i="1" s="1"/>
  <c r="C4345" i="1"/>
  <c r="K4345" i="1" s="1"/>
  <c r="D4345" i="1"/>
  <c r="E4345" i="1"/>
  <c r="G4345" i="1"/>
  <c r="H4345" i="1" s="1"/>
  <c r="C4346" i="1"/>
  <c r="K4346" i="1" s="1"/>
  <c r="D4346" i="1"/>
  <c r="E4346" i="1"/>
  <c r="G4346" i="1"/>
  <c r="H4346" i="1" s="1"/>
  <c r="C4347" i="1"/>
  <c r="K4347" i="1" s="1"/>
  <c r="D4347" i="1"/>
  <c r="E4347" i="1"/>
  <c r="G4347" i="1"/>
  <c r="H4347" i="1" s="1"/>
  <c r="C4348" i="1"/>
  <c r="K4348" i="1" s="1"/>
  <c r="D4348" i="1"/>
  <c r="E4348" i="1"/>
  <c r="G4348" i="1"/>
  <c r="H4348" i="1" s="1"/>
  <c r="C4349" i="1"/>
  <c r="K4349" i="1" s="1"/>
  <c r="D4349" i="1"/>
  <c r="E4349" i="1"/>
  <c r="G4349" i="1"/>
  <c r="H4349" i="1" s="1"/>
  <c r="C4350" i="1"/>
  <c r="K4350" i="1" s="1"/>
  <c r="D4350" i="1"/>
  <c r="E4350" i="1"/>
  <c r="G4350" i="1"/>
  <c r="H4350" i="1" s="1"/>
  <c r="C4351" i="1"/>
  <c r="K4351" i="1" s="1"/>
  <c r="D4351" i="1"/>
  <c r="E4351" i="1"/>
  <c r="G4351" i="1"/>
  <c r="H4351" i="1" s="1"/>
  <c r="C4352" i="1"/>
  <c r="K4352" i="1" s="1"/>
  <c r="D4352" i="1"/>
  <c r="E4352" i="1"/>
  <c r="G4352" i="1"/>
  <c r="H4352" i="1" s="1"/>
  <c r="C4353" i="1"/>
  <c r="K4353" i="1" s="1"/>
  <c r="D4353" i="1"/>
  <c r="E4353" i="1"/>
  <c r="G4353" i="1"/>
  <c r="H4353" i="1" s="1"/>
  <c r="C4354" i="1"/>
  <c r="K4354" i="1" s="1"/>
  <c r="D4354" i="1"/>
  <c r="E4354" i="1"/>
  <c r="G4354" i="1"/>
  <c r="H4354" i="1" s="1"/>
  <c r="C4355" i="1"/>
  <c r="K4355" i="1" s="1"/>
  <c r="D4355" i="1"/>
  <c r="E4355" i="1"/>
  <c r="G4355" i="1"/>
  <c r="H4355" i="1" s="1"/>
  <c r="C4356" i="1"/>
  <c r="K4356" i="1" s="1"/>
  <c r="D4356" i="1"/>
  <c r="E4356" i="1"/>
  <c r="G4356" i="1"/>
  <c r="H4356" i="1" s="1"/>
  <c r="C4357" i="1"/>
  <c r="K4357" i="1" s="1"/>
  <c r="D4357" i="1"/>
  <c r="E4357" i="1"/>
  <c r="G4357" i="1"/>
  <c r="H4357" i="1" s="1"/>
  <c r="C4358" i="1"/>
  <c r="K4358" i="1" s="1"/>
  <c r="D4358" i="1"/>
  <c r="E4358" i="1"/>
  <c r="G4358" i="1"/>
  <c r="H4358" i="1" s="1"/>
  <c r="C4359" i="1"/>
  <c r="K4359" i="1" s="1"/>
  <c r="D4359" i="1"/>
  <c r="E4359" i="1"/>
  <c r="G4359" i="1"/>
  <c r="H4359" i="1" s="1"/>
  <c r="C4360" i="1"/>
  <c r="K4360" i="1" s="1"/>
  <c r="D4360" i="1"/>
  <c r="E4360" i="1"/>
  <c r="G4360" i="1"/>
  <c r="H4360" i="1" s="1"/>
  <c r="C4361" i="1"/>
  <c r="K4361" i="1" s="1"/>
  <c r="D4361" i="1"/>
  <c r="E4361" i="1"/>
  <c r="G4361" i="1"/>
  <c r="H4361" i="1" s="1"/>
  <c r="C4362" i="1"/>
  <c r="K4362" i="1" s="1"/>
  <c r="D4362" i="1"/>
  <c r="E4362" i="1"/>
  <c r="G4362" i="1"/>
  <c r="H4362" i="1" s="1"/>
  <c r="C4363" i="1"/>
  <c r="K4363" i="1" s="1"/>
  <c r="D4363" i="1"/>
  <c r="E4363" i="1"/>
  <c r="G4363" i="1"/>
  <c r="H4363" i="1" s="1"/>
  <c r="C4364" i="1"/>
  <c r="K4364" i="1" s="1"/>
  <c r="D4364" i="1"/>
  <c r="E4364" i="1"/>
  <c r="G4364" i="1"/>
  <c r="H4364" i="1" s="1"/>
  <c r="C4365" i="1"/>
  <c r="K4365" i="1" s="1"/>
  <c r="D4365" i="1"/>
  <c r="E4365" i="1"/>
  <c r="G4365" i="1"/>
  <c r="H4365" i="1" s="1"/>
  <c r="C4366" i="1"/>
  <c r="D4366" i="1"/>
  <c r="E4366" i="1"/>
  <c r="G4366" i="1"/>
  <c r="H4366" i="1" s="1"/>
  <c r="C4367" i="1"/>
  <c r="K4367" i="1" s="1"/>
  <c r="D4367" i="1"/>
  <c r="E4367" i="1"/>
  <c r="G4367" i="1"/>
  <c r="H4367" i="1" s="1"/>
  <c r="C4368" i="1"/>
  <c r="K4368" i="1" s="1"/>
  <c r="D4368" i="1"/>
  <c r="E4368" i="1"/>
  <c r="G4368" i="1"/>
  <c r="H4368" i="1" s="1"/>
  <c r="C4369" i="1"/>
  <c r="K4369" i="1" s="1"/>
  <c r="D4369" i="1"/>
  <c r="E4369" i="1"/>
  <c r="G4369" i="1"/>
  <c r="H4369" i="1" s="1"/>
  <c r="C4370" i="1"/>
  <c r="K4370" i="1" s="1"/>
  <c r="D4370" i="1"/>
  <c r="E4370" i="1"/>
  <c r="G4370" i="1"/>
  <c r="H4370" i="1" s="1"/>
  <c r="C4371" i="1"/>
  <c r="D4371" i="1"/>
  <c r="E4371" i="1"/>
  <c r="G4371" i="1"/>
  <c r="H4371" i="1" s="1"/>
  <c r="C4372" i="1"/>
  <c r="K4372" i="1" s="1"/>
  <c r="D4372" i="1"/>
  <c r="E4372" i="1"/>
  <c r="G4372" i="1"/>
  <c r="H4372" i="1" s="1"/>
  <c r="C4373" i="1"/>
  <c r="D4373" i="1"/>
  <c r="E4373" i="1"/>
  <c r="G4373" i="1"/>
  <c r="H4373" i="1" s="1"/>
  <c r="C4374" i="1"/>
  <c r="K4374" i="1" s="1"/>
  <c r="D4374" i="1"/>
  <c r="E4374" i="1"/>
  <c r="G4374" i="1"/>
  <c r="H4374" i="1" s="1"/>
  <c r="C4375" i="1"/>
  <c r="K4375" i="1" s="1"/>
  <c r="D4375" i="1"/>
  <c r="E4375" i="1"/>
  <c r="G4375" i="1"/>
  <c r="H4375" i="1" s="1"/>
  <c r="C4376" i="1"/>
  <c r="K4376" i="1" s="1"/>
  <c r="D4376" i="1"/>
  <c r="E4376" i="1"/>
  <c r="G4376" i="1"/>
  <c r="H4376" i="1" s="1"/>
  <c r="C4377" i="1"/>
  <c r="K4377" i="1" s="1"/>
  <c r="D4377" i="1"/>
  <c r="E4377" i="1"/>
  <c r="G4377" i="1"/>
  <c r="H4377" i="1" s="1"/>
  <c r="C4378" i="1"/>
  <c r="K4378" i="1" s="1"/>
  <c r="D4378" i="1"/>
  <c r="E4378" i="1"/>
  <c r="G4378" i="1"/>
  <c r="H4378" i="1" s="1"/>
  <c r="C4379" i="1"/>
  <c r="K4379" i="1" s="1"/>
  <c r="D4379" i="1"/>
  <c r="E4379" i="1"/>
  <c r="G4379" i="1"/>
  <c r="H4379" i="1" s="1"/>
  <c r="C4380" i="1"/>
  <c r="K4380" i="1" s="1"/>
  <c r="D4380" i="1"/>
  <c r="E4380" i="1"/>
  <c r="G4380" i="1"/>
  <c r="H4380" i="1" s="1"/>
  <c r="C4381" i="1"/>
  <c r="K4381" i="1" s="1"/>
  <c r="D4381" i="1"/>
  <c r="E4381" i="1"/>
  <c r="G4381" i="1"/>
  <c r="H4381" i="1" s="1"/>
  <c r="C4382" i="1"/>
  <c r="K4382" i="1" s="1"/>
  <c r="D4382" i="1"/>
  <c r="E4382" i="1"/>
  <c r="G4382" i="1"/>
  <c r="H4382" i="1" s="1"/>
  <c r="C4383" i="1"/>
  <c r="K4383" i="1" s="1"/>
  <c r="D4383" i="1"/>
  <c r="E4383" i="1"/>
  <c r="G4383" i="1"/>
  <c r="H4383" i="1" s="1"/>
  <c r="C4384" i="1"/>
  <c r="K4384" i="1" s="1"/>
  <c r="D4384" i="1"/>
  <c r="E4384" i="1"/>
  <c r="G4384" i="1"/>
  <c r="H4384" i="1" s="1"/>
  <c r="C3292" i="1"/>
  <c r="D3292" i="1"/>
  <c r="E3292" i="1"/>
  <c r="G3292" i="1"/>
  <c r="H3292" i="1" s="1"/>
  <c r="C3293" i="1"/>
  <c r="K3293" i="1" s="1"/>
  <c r="D3293" i="1"/>
  <c r="E3293" i="1"/>
  <c r="G3293" i="1"/>
  <c r="H3293" i="1" s="1"/>
  <c r="C3294" i="1"/>
  <c r="K3294" i="1" s="1"/>
  <c r="D3294" i="1"/>
  <c r="E3294" i="1"/>
  <c r="G3294" i="1"/>
  <c r="H3294" i="1" s="1"/>
  <c r="C3295" i="1"/>
  <c r="K3295" i="1" s="1"/>
  <c r="D3295" i="1"/>
  <c r="E3295" i="1"/>
  <c r="G3295" i="1"/>
  <c r="H3295" i="1" s="1"/>
  <c r="C3296" i="1"/>
  <c r="K3296" i="1" s="1"/>
  <c r="D3296" i="1"/>
  <c r="E3296" i="1"/>
  <c r="G3296" i="1"/>
  <c r="H3296" i="1" s="1"/>
  <c r="C3297" i="1"/>
  <c r="K3297" i="1" s="1"/>
  <c r="D3297" i="1"/>
  <c r="E3297" i="1"/>
  <c r="G3297" i="1"/>
  <c r="H3297" i="1" s="1"/>
  <c r="C3298" i="1"/>
  <c r="K3298" i="1" s="1"/>
  <c r="D3298" i="1"/>
  <c r="E3298" i="1"/>
  <c r="G3298" i="1"/>
  <c r="H3298" i="1" s="1"/>
  <c r="C3299" i="1"/>
  <c r="K3299" i="1" s="1"/>
  <c r="D3299" i="1"/>
  <c r="E3299" i="1"/>
  <c r="G3299" i="1"/>
  <c r="H3299" i="1" s="1"/>
  <c r="C3300" i="1"/>
  <c r="K3300" i="1" s="1"/>
  <c r="D3300" i="1"/>
  <c r="E3300" i="1"/>
  <c r="G3300" i="1"/>
  <c r="H3300" i="1" s="1"/>
  <c r="C3301" i="1"/>
  <c r="K3301" i="1" s="1"/>
  <c r="D3301" i="1"/>
  <c r="E3301" i="1"/>
  <c r="G3301" i="1"/>
  <c r="H3301" i="1" s="1"/>
  <c r="C3302" i="1"/>
  <c r="K3302" i="1" s="1"/>
  <c r="D3302" i="1"/>
  <c r="E3302" i="1"/>
  <c r="G3302" i="1"/>
  <c r="H3302" i="1" s="1"/>
  <c r="C3303" i="1"/>
  <c r="K3303" i="1" s="1"/>
  <c r="D3303" i="1"/>
  <c r="E3303" i="1"/>
  <c r="G3303" i="1"/>
  <c r="H3303" i="1" s="1"/>
  <c r="C3304" i="1"/>
  <c r="K3304" i="1" s="1"/>
  <c r="D3304" i="1"/>
  <c r="E3304" i="1"/>
  <c r="G3304" i="1"/>
  <c r="H3304" i="1" s="1"/>
  <c r="C3305" i="1"/>
  <c r="K3305" i="1" s="1"/>
  <c r="D3305" i="1"/>
  <c r="E3305" i="1"/>
  <c r="G3305" i="1"/>
  <c r="H3305" i="1" s="1"/>
  <c r="C3306" i="1"/>
  <c r="K3306" i="1" s="1"/>
  <c r="D3306" i="1"/>
  <c r="E3306" i="1"/>
  <c r="G3306" i="1"/>
  <c r="H3306" i="1" s="1"/>
  <c r="C3307" i="1"/>
  <c r="K3307" i="1" s="1"/>
  <c r="D3307" i="1"/>
  <c r="E3307" i="1"/>
  <c r="G3307" i="1"/>
  <c r="H3307" i="1" s="1"/>
  <c r="C3308" i="1"/>
  <c r="K3308" i="1" s="1"/>
  <c r="D3308" i="1"/>
  <c r="E3308" i="1"/>
  <c r="G3308" i="1"/>
  <c r="H3308" i="1" s="1"/>
  <c r="C3309" i="1"/>
  <c r="K3309" i="1" s="1"/>
  <c r="D3309" i="1"/>
  <c r="E3309" i="1"/>
  <c r="G3309" i="1"/>
  <c r="H3309" i="1" s="1"/>
  <c r="C3310" i="1"/>
  <c r="K3310" i="1" s="1"/>
  <c r="D3310" i="1"/>
  <c r="E3310" i="1"/>
  <c r="G3310" i="1"/>
  <c r="H3310" i="1" s="1"/>
  <c r="C3311" i="1"/>
  <c r="K3311" i="1" s="1"/>
  <c r="D3311" i="1"/>
  <c r="E3311" i="1"/>
  <c r="G3311" i="1"/>
  <c r="H3311" i="1" s="1"/>
  <c r="C3312" i="1"/>
  <c r="K3312" i="1" s="1"/>
  <c r="D3312" i="1"/>
  <c r="E3312" i="1"/>
  <c r="G3312" i="1"/>
  <c r="H3312" i="1" s="1"/>
  <c r="C3313" i="1"/>
  <c r="K3313" i="1" s="1"/>
  <c r="D3313" i="1"/>
  <c r="E3313" i="1"/>
  <c r="G3313" i="1"/>
  <c r="H3313" i="1" s="1"/>
  <c r="C3314" i="1"/>
  <c r="K3314" i="1" s="1"/>
  <c r="D3314" i="1"/>
  <c r="E3314" i="1"/>
  <c r="G3314" i="1"/>
  <c r="H3314" i="1" s="1"/>
  <c r="C3315" i="1"/>
  <c r="K3315" i="1" s="1"/>
  <c r="D3315" i="1"/>
  <c r="E3315" i="1"/>
  <c r="G3315" i="1"/>
  <c r="H3315" i="1" s="1"/>
  <c r="C3316" i="1"/>
  <c r="K3316" i="1" s="1"/>
  <c r="D3316" i="1"/>
  <c r="E3316" i="1"/>
  <c r="G3316" i="1"/>
  <c r="H3316" i="1" s="1"/>
  <c r="C3317" i="1"/>
  <c r="K3317" i="1" s="1"/>
  <c r="D3317" i="1"/>
  <c r="E3317" i="1"/>
  <c r="G3317" i="1"/>
  <c r="H3317" i="1" s="1"/>
  <c r="C3318" i="1"/>
  <c r="K3318" i="1" s="1"/>
  <c r="D3318" i="1"/>
  <c r="E3318" i="1"/>
  <c r="G3318" i="1"/>
  <c r="H3318" i="1" s="1"/>
  <c r="C3319" i="1"/>
  <c r="K3319" i="1" s="1"/>
  <c r="D3319" i="1"/>
  <c r="E3319" i="1"/>
  <c r="G3319" i="1"/>
  <c r="H3319" i="1" s="1"/>
  <c r="C3320" i="1"/>
  <c r="K3320" i="1" s="1"/>
  <c r="D3320" i="1"/>
  <c r="E3320" i="1"/>
  <c r="G3320" i="1"/>
  <c r="H3320" i="1" s="1"/>
  <c r="C3321" i="1"/>
  <c r="K3321" i="1" s="1"/>
  <c r="D3321" i="1"/>
  <c r="E3321" i="1"/>
  <c r="G3321" i="1"/>
  <c r="H3321" i="1" s="1"/>
  <c r="C3322" i="1"/>
  <c r="K3322" i="1" s="1"/>
  <c r="D3322" i="1"/>
  <c r="E3322" i="1"/>
  <c r="G3322" i="1"/>
  <c r="H3322" i="1" s="1"/>
  <c r="C3323" i="1"/>
  <c r="K3323" i="1" s="1"/>
  <c r="D3323" i="1"/>
  <c r="E3323" i="1"/>
  <c r="G3323" i="1"/>
  <c r="H3323" i="1" s="1"/>
  <c r="C3324" i="1"/>
  <c r="K3324" i="1" s="1"/>
  <c r="D3324" i="1"/>
  <c r="E3324" i="1"/>
  <c r="G3324" i="1"/>
  <c r="H3324" i="1" s="1"/>
  <c r="C3325" i="1"/>
  <c r="K3325" i="1" s="1"/>
  <c r="D3325" i="1"/>
  <c r="E3325" i="1"/>
  <c r="G3325" i="1"/>
  <c r="H3325" i="1" s="1"/>
  <c r="C3326" i="1"/>
  <c r="K3326" i="1" s="1"/>
  <c r="D3326" i="1"/>
  <c r="E3326" i="1"/>
  <c r="G3326" i="1"/>
  <c r="H3326" i="1" s="1"/>
  <c r="C3327" i="1"/>
  <c r="K3327" i="1" s="1"/>
  <c r="D3327" i="1"/>
  <c r="E3327" i="1"/>
  <c r="G3327" i="1"/>
  <c r="H3327" i="1" s="1"/>
  <c r="C3328" i="1"/>
  <c r="K3328" i="1" s="1"/>
  <c r="D3328" i="1"/>
  <c r="E3328" i="1"/>
  <c r="G3328" i="1"/>
  <c r="H3328" i="1" s="1"/>
  <c r="C3329" i="1"/>
  <c r="K3329" i="1" s="1"/>
  <c r="D3329" i="1"/>
  <c r="E3329" i="1"/>
  <c r="G3329" i="1"/>
  <c r="H3329" i="1" s="1"/>
  <c r="C3330" i="1"/>
  <c r="K3330" i="1" s="1"/>
  <c r="D3330" i="1"/>
  <c r="E3330" i="1"/>
  <c r="G3330" i="1"/>
  <c r="H3330" i="1" s="1"/>
  <c r="C3331" i="1"/>
  <c r="K3331" i="1" s="1"/>
  <c r="D3331" i="1"/>
  <c r="E3331" i="1"/>
  <c r="G3331" i="1"/>
  <c r="H3331" i="1" s="1"/>
  <c r="C3332" i="1"/>
  <c r="K3332" i="1" s="1"/>
  <c r="D3332" i="1"/>
  <c r="E3332" i="1"/>
  <c r="G3332" i="1"/>
  <c r="H3332" i="1" s="1"/>
  <c r="C3333" i="1"/>
  <c r="K3333" i="1" s="1"/>
  <c r="D3333" i="1"/>
  <c r="E3333" i="1"/>
  <c r="G3333" i="1"/>
  <c r="H3333" i="1" s="1"/>
  <c r="C3334" i="1"/>
  <c r="K3334" i="1" s="1"/>
  <c r="D3334" i="1"/>
  <c r="E3334" i="1"/>
  <c r="G3334" i="1"/>
  <c r="H3334" i="1" s="1"/>
  <c r="C3335" i="1"/>
  <c r="K3335" i="1" s="1"/>
  <c r="D3335" i="1"/>
  <c r="E3335" i="1"/>
  <c r="G3335" i="1"/>
  <c r="H3335" i="1" s="1"/>
  <c r="C3336" i="1"/>
  <c r="K3336" i="1" s="1"/>
  <c r="D3336" i="1"/>
  <c r="E3336" i="1"/>
  <c r="G3336" i="1"/>
  <c r="H3336" i="1" s="1"/>
  <c r="C3337" i="1"/>
  <c r="K3337" i="1" s="1"/>
  <c r="D3337" i="1"/>
  <c r="E3337" i="1"/>
  <c r="G3337" i="1"/>
  <c r="H3337" i="1" s="1"/>
  <c r="C3338" i="1"/>
  <c r="D3338" i="1"/>
  <c r="E3338" i="1"/>
  <c r="G3338" i="1"/>
  <c r="H3338" i="1" s="1"/>
  <c r="C3339" i="1"/>
  <c r="K3339" i="1" s="1"/>
  <c r="D3339" i="1"/>
  <c r="E3339" i="1"/>
  <c r="G3339" i="1"/>
  <c r="H3339" i="1" s="1"/>
  <c r="C3340" i="1"/>
  <c r="K3340" i="1" s="1"/>
  <c r="D3340" i="1"/>
  <c r="E3340" i="1"/>
  <c r="G3340" i="1"/>
  <c r="H3340" i="1" s="1"/>
  <c r="C3341" i="1"/>
  <c r="K3341" i="1" s="1"/>
  <c r="D3341" i="1"/>
  <c r="E3341" i="1"/>
  <c r="G3341" i="1"/>
  <c r="H3341" i="1" s="1"/>
  <c r="C3342" i="1"/>
  <c r="K3342" i="1" s="1"/>
  <c r="D3342" i="1"/>
  <c r="E3342" i="1"/>
  <c r="G3342" i="1"/>
  <c r="H3342" i="1" s="1"/>
  <c r="C3343" i="1"/>
  <c r="K3343" i="1" s="1"/>
  <c r="D3343" i="1"/>
  <c r="E3343" i="1"/>
  <c r="G3343" i="1"/>
  <c r="H3343" i="1" s="1"/>
  <c r="C3344" i="1"/>
  <c r="K3344" i="1" s="1"/>
  <c r="D3344" i="1"/>
  <c r="E3344" i="1"/>
  <c r="G3344" i="1"/>
  <c r="H3344" i="1" s="1"/>
  <c r="C3345" i="1"/>
  <c r="K3345" i="1" s="1"/>
  <c r="D3345" i="1"/>
  <c r="E3345" i="1"/>
  <c r="G3345" i="1"/>
  <c r="H3345" i="1" s="1"/>
  <c r="C3346" i="1"/>
  <c r="K3346" i="1" s="1"/>
  <c r="D3346" i="1"/>
  <c r="E3346" i="1"/>
  <c r="G3346" i="1"/>
  <c r="H3346" i="1" s="1"/>
  <c r="C3347" i="1"/>
  <c r="K3347" i="1" s="1"/>
  <c r="D3347" i="1"/>
  <c r="E3347" i="1"/>
  <c r="G3347" i="1"/>
  <c r="H3347" i="1" s="1"/>
  <c r="C3348" i="1"/>
  <c r="K3348" i="1" s="1"/>
  <c r="D3348" i="1"/>
  <c r="E3348" i="1"/>
  <c r="G3348" i="1"/>
  <c r="H3348" i="1" s="1"/>
  <c r="C3349" i="1"/>
  <c r="K3349" i="1" s="1"/>
  <c r="D3349" i="1"/>
  <c r="E3349" i="1"/>
  <c r="G3349" i="1"/>
  <c r="H3349" i="1" s="1"/>
  <c r="C3350" i="1"/>
  <c r="K3350" i="1" s="1"/>
  <c r="D3350" i="1"/>
  <c r="E3350" i="1"/>
  <c r="G3350" i="1"/>
  <c r="H3350" i="1" s="1"/>
  <c r="C3351" i="1"/>
  <c r="K3351" i="1" s="1"/>
  <c r="D3351" i="1"/>
  <c r="E3351" i="1"/>
  <c r="G3351" i="1"/>
  <c r="H3351" i="1" s="1"/>
  <c r="C3352" i="1"/>
  <c r="K3352" i="1" s="1"/>
  <c r="D3352" i="1"/>
  <c r="E3352" i="1"/>
  <c r="G3352" i="1"/>
  <c r="H3352" i="1" s="1"/>
  <c r="C3353" i="1"/>
  <c r="K3353" i="1" s="1"/>
  <c r="D3353" i="1"/>
  <c r="E3353" i="1"/>
  <c r="G3353" i="1"/>
  <c r="H3353" i="1" s="1"/>
  <c r="C3354" i="1"/>
  <c r="K3354" i="1" s="1"/>
  <c r="D3354" i="1"/>
  <c r="E3354" i="1"/>
  <c r="G3354" i="1"/>
  <c r="H3354" i="1" s="1"/>
  <c r="C3355" i="1"/>
  <c r="K3355" i="1" s="1"/>
  <c r="D3355" i="1"/>
  <c r="E3355" i="1"/>
  <c r="G3355" i="1"/>
  <c r="H3355" i="1" s="1"/>
  <c r="C3356" i="1"/>
  <c r="K3356" i="1" s="1"/>
  <c r="D3356" i="1"/>
  <c r="E3356" i="1"/>
  <c r="G3356" i="1"/>
  <c r="H3356" i="1" s="1"/>
  <c r="C3357" i="1"/>
  <c r="K3357" i="1" s="1"/>
  <c r="D3357" i="1"/>
  <c r="E3357" i="1"/>
  <c r="G3357" i="1"/>
  <c r="H3357" i="1" s="1"/>
  <c r="C3358" i="1"/>
  <c r="K3358" i="1" s="1"/>
  <c r="D3358" i="1"/>
  <c r="E3358" i="1"/>
  <c r="G3358" i="1"/>
  <c r="H3358" i="1" s="1"/>
  <c r="C3359" i="1"/>
  <c r="K3359" i="1" s="1"/>
  <c r="D3359" i="1"/>
  <c r="E3359" i="1"/>
  <c r="G3359" i="1"/>
  <c r="H3359" i="1" s="1"/>
  <c r="C3360" i="1"/>
  <c r="K3360" i="1" s="1"/>
  <c r="D3360" i="1"/>
  <c r="E3360" i="1"/>
  <c r="G3360" i="1"/>
  <c r="H3360" i="1" s="1"/>
  <c r="C3361" i="1"/>
  <c r="K3361" i="1" s="1"/>
  <c r="D3361" i="1"/>
  <c r="E3361" i="1"/>
  <c r="G3361" i="1"/>
  <c r="H3361" i="1" s="1"/>
  <c r="C3362" i="1"/>
  <c r="K3362" i="1" s="1"/>
  <c r="D3362" i="1"/>
  <c r="E3362" i="1"/>
  <c r="G3362" i="1"/>
  <c r="H3362" i="1" s="1"/>
  <c r="C3363" i="1"/>
  <c r="K3363" i="1" s="1"/>
  <c r="D3363" i="1"/>
  <c r="E3363" i="1"/>
  <c r="G3363" i="1"/>
  <c r="H3363" i="1" s="1"/>
  <c r="C3364" i="1"/>
  <c r="K3364" i="1" s="1"/>
  <c r="D3364" i="1"/>
  <c r="E3364" i="1"/>
  <c r="G3364" i="1"/>
  <c r="H3364" i="1" s="1"/>
  <c r="C3365" i="1"/>
  <c r="K3365" i="1" s="1"/>
  <c r="D3365" i="1"/>
  <c r="E3365" i="1"/>
  <c r="G3365" i="1"/>
  <c r="H3365" i="1" s="1"/>
  <c r="C3366" i="1"/>
  <c r="K3366" i="1" s="1"/>
  <c r="D3366" i="1"/>
  <c r="E3366" i="1"/>
  <c r="G3366" i="1"/>
  <c r="H3366" i="1" s="1"/>
  <c r="C3367" i="1"/>
  <c r="K3367" i="1" s="1"/>
  <c r="D3367" i="1"/>
  <c r="E3367" i="1"/>
  <c r="G3367" i="1"/>
  <c r="H3367" i="1" s="1"/>
  <c r="C3368" i="1"/>
  <c r="K3368" i="1" s="1"/>
  <c r="D3368" i="1"/>
  <c r="E3368" i="1"/>
  <c r="G3368" i="1"/>
  <c r="H3368" i="1" s="1"/>
  <c r="C3369" i="1"/>
  <c r="K3369" i="1" s="1"/>
  <c r="D3369" i="1"/>
  <c r="E3369" i="1"/>
  <c r="G3369" i="1"/>
  <c r="H3369" i="1" s="1"/>
  <c r="C3370" i="1"/>
  <c r="K3370" i="1" s="1"/>
  <c r="D3370" i="1"/>
  <c r="E3370" i="1"/>
  <c r="G3370" i="1"/>
  <c r="H3370" i="1" s="1"/>
  <c r="C3371" i="1"/>
  <c r="K3371" i="1" s="1"/>
  <c r="D3371" i="1"/>
  <c r="E3371" i="1"/>
  <c r="G3371" i="1"/>
  <c r="H3371" i="1" s="1"/>
  <c r="C3372" i="1"/>
  <c r="K3372" i="1" s="1"/>
  <c r="D3372" i="1"/>
  <c r="E3372" i="1"/>
  <c r="G3372" i="1"/>
  <c r="H3372" i="1" s="1"/>
  <c r="C3373" i="1"/>
  <c r="K3373" i="1" s="1"/>
  <c r="D3373" i="1"/>
  <c r="E3373" i="1"/>
  <c r="G3373" i="1"/>
  <c r="H3373" i="1" s="1"/>
  <c r="C3374" i="1"/>
  <c r="K3374" i="1" s="1"/>
  <c r="D3374" i="1"/>
  <c r="E3374" i="1"/>
  <c r="G3374" i="1"/>
  <c r="H3374" i="1" s="1"/>
  <c r="C3375" i="1"/>
  <c r="K3375" i="1" s="1"/>
  <c r="D3375" i="1"/>
  <c r="E3375" i="1"/>
  <c r="G3375" i="1"/>
  <c r="H3375" i="1" s="1"/>
  <c r="C3376" i="1"/>
  <c r="K3376" i="1" s="1"/>
  <c r="D3376" i="1"/>
  <c r="E3376" i="1"/>
  <c r="G3376" i="1"/>
  <c r="H3376" i="1" s="1"/>
  <c r="C3377" i="1"/>
  <c r="K3377" i="1" s="1"/>
  <c r="D3377" i="1"/>
  <c r="E3377" i="1"/>
  <c r="G3377" i="1"/>
  <c r="H3377" i="1" s="1"/>
  <c r="C3378" i="1"/>
  <c r="K3378" i="1" s="1"/>
  <c r="D3378" i="1"/>
  <c r="E3378" i="1"/>
  <c r="G3378" i="1"/>
  <c r="H3378" i="1" s="1"/>
  <c r="C3379" i="1"/>
  <c r="K3379" i="1" s="1"/>
  <c r="D3379" i="1"/>
  <c r="E3379" i="1"/>
  <c r="G3379" i="1"/>
  <c r="H3379" i="1" s="1"/>
  <c r="C3380" i="1"/>
  <c r="K3380" i="1" s="1"/>
  <c r="D3380" i="1"/>
  <c r="E3380" i="1"/>
  <c r="G3380" i="1"/>
  <c r="H3380" i="1" s="1"/>
  <c r="C3381" i="1"/>
  <c r="K3381" i="1" s="1"/>
  <c r="D3381" i="1"/>
  <c r="E3381" i="1"/>
  <c r="G3381" i="1"/>
  <c r="H3381" i="1" s="1"/>
  <c r="C3382" i="1"/>
  <c r="K3382" i="1" s="1"/>
  <c r="D3382" i="1"/>
  <c r="E3382" i="1"/>
  <c r="G3382" i="1"/>
  <c r="H3382" i="1" s="1"/>
  <c r="C3383" i="1"/>
  <c r="K3383" i="1" s="1"/>
  <c r="D3383" i="1"/>
  <c r="E3383" i="1"/>
  <c r="G3383" i="1"/>
  <c r="H3383" i="1" s="1"/>
  <c r="C3384" i="1"/>
  <c r="K3384" i="1" s="1"/>
  <c r="D3384" i="1"/>
  <c r="E3384" i="1"/>
  <c r="G3384" i="1"/>
  <c r="H3384" i="1" s="1"/>
  <c r="C3385" i="1"/>
  <c r="K3385" i="1" s="1"/>
  <c r="D3385" i="1"/>
  <c r="E3385" i="1"/>
  <c r="G3385" i="1"/>
  <c r="H3385" i="1" s="1"/>
  <c r="C3386" i="1"/>
  <c r="K3386" i="1" s="1"/>
  <c r="D3386" i="1"/>
  <c r="E3386" i="1"/>
  <c r="G3386" i="1"/>
  <c r="H3386" i="1" s="1"/>
  <c r="C3387" i="1"/>
  <c r="K3387" i="1" s="1"/>
  <c r="D3387" i="1"/>
  <c r="E3387" i="1"/>
  <c r="G3387" i="1"/>
  <c r="H3387" i="1" s="1"/>
  <c r="C3388" i="1"/>
  <c r="K3388" i="1" s="1"/>
  <c r="D3388" i="1"/>
  <c r="E3388" i="1"/>
  <c r="G3388" i="1"/>
  <c r="H3388" i="1" s="1"/>
  <c r="C3389" i="1"/>
  <c r="K3389" i="1" s="1"/>
  <c r="D3389" i="1"/>
  <c r="E3389" i="1"/>
  <c r="G3389" i="1"/>
  <c r="H3389" i="1" s="1"/>
  <c r="C3390" i="1"/>
  <c r="K3390" i="1" s="1"/>
  <c r="D3390" i="1"/>
  <c r="E3390" i="1"/>
  <c r="G3390" i="1"/>
  <c r="H3390" i="1" s="1"/>
  <c r="C3391" i="1"/>
  <c r="K3391" i="1" s="1"/>
  <c r="D3391" i="1"/>
  <c r="E3391" i="1"/>
  <c r="G3391" i="1"/>
  <c r="H3391" i="1" s="1"/>
  <c r="C3392" i="1"/>
  <c r="K3392" i="1" s="1"/>
  <c r="D3392" i="1"/>
  <c r="E3392" i="1"/>
  <c r="G3392" i="1"/>
  <c r="H3392" i="1" s="1"/>
  <c r="C3393" i="1"/>
  <c r="K3393" i="1" s="1"/>
  <c r="D3393" i="1"/>
  <c r="E3393" i="1"/>
  <c r="G3393" i="1"/>
  <c r="H3393" i="1" s="1"/>
  <c r="C3394" i="1"/>
  <c r="K3394" i="1" s="1"/>
  <c r="D3394" i="1"/>
  <c r="E3394" i="1"/>
  <c r="G3394" i="1"/>
  <c r="H3394" i="1" s="1"/>
  <c r="C3395" i="1"/>
  <c r="K3395" i="1" s="1"/>
  <c r="D3395" i="1"/>
  <c r="E3395" i="1"/>
  <c r="G3395" i="1"/>
  <c r="H3395" i="1" s="1"/>
  <c r="C3396" i="1"/>
  <c r="K3396" i="1" s="1"/>
  <c r="D3396" i="1"/>
  <c r="E3396" i="1"/>
  <c r="G3396" i="1"/>
  <c r="H3396" i="1" s="1"/>
  <c r="C3397" i="1"/>
  <c r="K3397" i="1" s="1"/>
  <c r="D3397" i="1"/>
  <c r="E3397" i="1"/>
  <c r="G3397" i="1"/>
  <c r="H3397" i="1" s="1"/>
  <c r="C3398" i="1"/>
  <c r="K3398" i="1" s="1"/>
  <c r="D3398" i="1"/>
  <c r="E3398" i="1"/>
  <c r="G3398" i="1"/>
  <c r="H3398" i="1" s="1"/>
  <c r="C3399" i="1"/>
  <c r="K3399" i="1" s="1"/>
  <c r="D3399" i="1"/>
  <c r="E3399" i="1"/>
  <c r="G3399" i="1"/>
  <c r="H3399" i="1" s="1"/>
  <c r="C3400" i="1"/>
  <c r="K3400" i="1" s="1"/>
  <c r="D3400" i="1"/>
  <c r="E3400" i="1"/>
  <c r="G3400" i="1"/>
  <c r="H3400" i="1" s="1"/>
  <c r="C3401" i="1"/>
  <c r="K3401" i="1" s="1"/>
  <c r="D3401" i="1"/>
  <c r="E3401" i="1"/>
  <c r="G3401" i="1"/>
  <c r="H3401" i="1" s="1"/>
  <c r="C3402" i="1"/>
  <c r="K3402" i="1" s="1"/>
  <c r="D3402" i="1"/>
  <c r="E3402" i="1"/>
  <c r="G3402" i="1"/>
  <c r="H3402" i="1" s="1"/>
  <c r="C3403" i="1"/>
  <c r="K3403" i="1" s="1"/>
  <c r="D3403" i="1"/>
  <c r="E3403" i="1"/>
  <c r="G3403" i="1"/>
  <c r="H3403" i="1" s="1"/>
  <c r="C3404" i="1"/>
  <c r="K3404" i="1" s="1"/>
  <c r="D3404" i="1"/>
  <c r="E3404" i="1"/>
  <c r="G3404" i="1"/>
  <c r="H3404" i="1" s="1"/>
  <c r="C3405" i="1"/>
  <c r="K3405" i="1" s="1"/>
  <c r="D3405" i="1"/>
  <c r="E3405" i="1"/>
  <c r="G3405" i="1"/>
  <c r="H3405" i="1" s="1"/>
  <c r="C3406" i="1"/>
  <c r="K3406" i="1" s="1"/>
  <c r="D3406" i="1"/>
  <c r="E3406" i="1"/>
  <c r="G3406" i="1"/>
  <c r="H3406" i="1" s="1"/>
  <c r="C3407" i="1"/>
  <c r="K3407" i="1" s="1"/>
  <c r="D3407" i="1"/>
  <c r="E3407" i="1"/>
  <c r="G3407" i="1"/>
  <c r="H3407" i="1" s="1"/>
  <c r="C3408" i="1"/>
  <c r="K3408" i="1" s="1"/>
  <c r="D3408" i="1"/>
  <c r="E3408" i="1"/>
  <c r="G3408" i="1"/>
  <c r="H3408" i="1" s="1"/>
  <c r="C3409" i="1"/>
  <c r="K3409" i="1" s="1"/>
  <c r="D3409" i="1"/>
  <c r="E3409" i="1"/>
  <c r="G3409" i="1"/>
  <c r="H3409" i="1" s="1"/>
  <c r="C3410" i="1"/>
  <c r="K3410" i="1" s="1"/>
  <c r="D3410" i="1"/>
  <c r="E3410" i="1"/>
  <c r="G3410" i="1"/>
  <c r="H3410" i="1" s="1"/>
  <c r="C3411" i="1"/>
  <c r="K3411" i="1" s="1"/>
  <c r="D3411" i="1"/>
  <c r="E3411" i="1"/>
  <c r="G3411" i="1"/>
  <c r="H3411" i="1" s="1"/>
  <c r="C3412" i="1"/>
  <c r="K3412" i="1" s="1"/>
  <c r="D3412" i="1"/>
  <c r="E3412" i="1"/>
  <c r="G3412" i="1"/>
  <c r="H3412" i="1" s="1"/>
  <c r="C3413" i="1"/>
  <c r="K3413" i="1" s="1"/>
  <c r="D3413" i="1"/>
  <c r="E3413" i="1"/>
  <c r="G3413" i="1"/>
  <c r="H3413" i="1" s="1"/>
  <c r="C3414" i="1"/>
  <c r="K3414" i="1" s="1"/>
  <c r="D3414" i="1"/>
  <c r="E3414" i="1"/>
  <c r="G3414" i="1"/>
  <c r="H3414" i="1" s="1"/>
  <c r="C3415" i="1"/>
  <c r="K3415" i="1" s="1"/>
  <c r="D3415" i="1"/>
  <c r="E3415" i="1"/>
  <c r="G3415" i="1"/>
  <c r="H3415" i="1" s="1"/>
  <c r="C3416" i="1"/>
  <c r="K3416" i="1" s="1"/>
  <c r="D3416" i="1"/>
  <c r="E3416" i="1"/>
  <c r="G3416" i="1"/>
  <c r="H3416" i="1" s="1"/>
  <c r="C3417" i="1"/>
  <c r="K3417" i="1" s="1"/>
  <c r="D3417" i="1"/>
  <c r="E3417" i="1"/>
  <c r="G3417" i="1"/>
  <c r="H3417" i="1" s="1"/>
  <c r="C3418" i="1"/>
  <c r="K3418" i="1" s="1"/>
  <c r="D3418" i="1"/>
  <c r="E3418" i="1"/>
  <c r="G3418" i="1"/>
  <c r="H3418" i="1" s="1"/>
  <c r="C3419" i="1"/>
  <c r="K3419" i="1" s="1"/>
  <c r="D3419" i="1"/>
  <c r="E3419" i="1"/>
  <c r="G3419" i="1"/>
  <c r="H3419" i="1" s="1"/>
  <c r="C3420" i="1"/>
  <c r="K3420" i="1" s="1"/>
  <c r="D3420" i="1"/>
  <c r="E3420" i="1"/>
  <c r="G3420" i="1"/>
  <c r="H3420" i="1" s="1"/>
  <c r="C3421" i="1"/>
  <c r="K3421" i="1" s="1"/>
  <c r="D3421" i="1"/>
  <c r="E3421" i="1"/>
  <c r="G3421" i="1"/>
  <c r="H3421" i="1" s="1"/>
  <c r="C3422" i="1"/>
  <c r="K3422" i="1" s="1"/>
  <c r="D3422" i="1"/>
  <c r="E3422" i="1"/>
  <c r="G3422" i="1"/>
  <c r="H3422" i="1" s="1"/>
  <c r="C3423" i="1"/>
  <c r="K3423" i="1" s="1"/>
  <c r="D3423" i="1"/>
  <c r="E3423" i="1"/>
  <c r="G3423" i="1"/>
  <c r="H3423" i="1" s="1"/>
  <c r="C3424" i="1"/>
  <c r="K3424" i="1" s="1"/>
  <c r="D3424" i="1"/>
  <c r="E3424" i="1"/>
  <c r="G3424" i="1"/>
  <c r="H3424" i="1" s="1"/>
  <c r="C3425" i="1"/>
  <c r="K3425" i="1" s="1"/>
  <c r="D3425" i="1"/>
  <c r="E3425" i="1"/>
  <c r="G3425" i="1"/>
  <c r="H3425" i="1" s="1"/>
  <c r="C3426" i="1"/>
  <c r="K3426" i="1" s="1"/>
  <c r="D3426" i="1"/>
  <c r="E3426" i="1"/>
  <c r="G3426" i="1"/>
  <c r="H3426" i="1" s="1"/>
  <c r="C3427" i="1"/>
  <c r="K3427" i="1" s="1"/>
  <c r="D3427" i="1"/>
  <c r="E3427" i="1"/>
  <c r="G3427" i="1"/>
  <c r="H3427" i="1" s="1"/>
  <c r="C3428" i="1"/>
  <c r="K3428" i="1" s="1"/>
  <c r="D3428" i="1"/>
  <c r="E3428" i="1"/>
  <c r="G3428" i="1"/>
  <c r="H3428" i="1" s="1"/>
  <c r="C3429" i="1"/>
  <c r="K3429" i="1" s="1"/>
  <c r="D3429" i="1"/>
  <c r="E3429" i="1"/>
  <c r="G3429" i="1"/>
  <c r="H3429" i="1" s="1"/>
  <c r="C3430" i="1"/>
  <c r="K3430" i="1" s="1"/>
  <c r="D3430" i="1"/>
  <c r="E3430" i="1"/>
  <c r="G3430" i="1"/>
  <c r="H3430" i="1" s="1"/>
  <c r="C3431" i="1"/>
  <c r="K3431" i="1" s="1"/>
  <c r="D3431" i="1"/>
  <c r="E3431" i="1"/>
  <c r="G3431" i="1"/>
  <c r="H3431" i="1" s="1"/>
  <c r="C3432" i="1"/>
  <c r="K3432" i="1" s="1"/>
  <c r="D3432" i="1"/>
  <c r="E3432" i="1"/>
  <c r="G3432" i="1"/>
  <c r="H3432" i="1" s="1"/>
  <c r="C3433" i="1"/>
  <c r="K3433" i="1" s="1"/>
  <c r="D3433" i="1"/>
  <c r="E3433" i="1"/>
  <c r="G3433" i="1"/>
  <c r="H3433" i="1" s="1"/>
  <c r="C3434" i="1"/>
  <c r="K3434" i="1" s="1"/>
  <c r="D3434" i="1"/>
  <c r="E3434" i="1"/>
  <c r="G3434" i="1"/>
  <c r="H3434" i="1" s="1"/>
  <c r="C3435" i="1"/>
  <c r="K3435" i="1" s="1"/>
  <c r="D3435" i="1"/>
  <c r="E3435" i="1"/>
  <c r="G3435" i="1"/>
  <c r="H3435" i="1" s="1"/>
  <c r="C3436" i="1"/>
  <c r="K3436" i="1" s="1"/>
  <c r="D3436" i="1"/>
  <c r="E3436" i="1"/>
  <c r="G3436" i="1"/>
  <c r="H3436" i="1" s="1"/>
  <c r="C3437" i="1"/>
  <c r="K3437" i="1" s="1"/>
  <c r="D3437" i="1"/>
  <c r="E3437" i="1"/>
  <c r="G3437" i="1"/>
  <c r="H3437" i="1" s="1"/>
  <c r="C3438" i="1"/>
  <c r="K3438" i="1" s="1"/>
  <c r="D3438" i="1"/>
  <c r="E3438" i="1"/>
  <c r="G3438" i="1"/>
  <c r="H3438" i="1" s="1"/>
  <c r="C3439" i="1"/>
  <c r="K3439" i="1" s="1"/>
  <c r="D3439" i="1"/>
  <c r="E3439" i="1"/>
  <c r="G3439" i="1"/>
  <c r="H3439" i="1" s="1"/>
  <c r="C3440" i="1"/>
  <c r="K3440" i="1" s="1"/>
  <c r="D3440" i="1"/>
  <c r="E3440" i="1"/>
  <c r="G3440" i="1"/>
  <c r="H3440" i="1" s="1"/>
  <c r="C3441" i="1"/>
  <c r="K3441" i="1" s="1"/>
  <c r="D3441" i="1"/>
  <c r="E3441" i="1"/>
  <c r="G3441" i="1"/>
  <c r="H3441" i="1" s="1"/>
  <c r="C3442" i="1"/>
  <c r="K3442" i="1" s="1"/>
  <c r="D3442" i="1"/>
  <c r="E3442" i="1"/>
  <c r="G3442" i="1"/>
  <c r="H3442" i="1" s="1"/>
  <c r="C3443" i="1"/>
  <c r="K3443" i="1" s="1"/>
  <c r="D3443" i="1"/>
  <c r="E3443" i="1"/>
  <c r="G3443" i="1"/>
  <c r="H3443" i="1" s="1"/>
  <c r="C3444" i="1"/>
  <c r="K3444" i="1" s="1"/>
  <c r="D3444" i="1"/>
  <c r="E3444" i="1"/>
  <c r="G3444" i="1"/>
  <c r="H3444" i="1" s="1"/>
  <c r="C3445" i="1"/>
  <c r="K3445" i="1" s="1"/>
  <c r="D3445" i="1"/>
  <c r="E3445" i="1"/>
  <c r="G3445" i="1"/>
  <c r="H3445" i="1" s="1"/>
  <c r="C3446" i="1"/>
  <c r="K3446" i="1" s="1"/>
  <c r="D3446" i="1"/>
  <c r="E3446" i="1"/>
  <c r="G3446" i="1"/>
  <c r="H3446" i="1" s="1"/>
  <c r="C3447" i="1"/>
  <c r="K3447" i="1" s="1"/>
  <c r="D3447" i="1"/>
  <c r="E3447" i="1"/>
  <c r="G3447" i="1"/>
  <c r="H3447" i="1" s="1"/>
  <c r="C3448" i="1"/>
  <c r="K3448" i="1" s="1"/>
  <c r="D3448" i="1"/>
  <c r="E3448" i="1"/>
  <c r="G3448" i="1"/>
  <c r="H3448" i="1" s="1"/>
  <c r="C3449" i="1"/>
  <c r="K3449" i="1" s="1"/>
  <c r="D3449" i="1"/>
  <c r="E3449" i="1"/>
  <c r="G3449" i="1"/>
  <c r="H3449" i="1" s="1"/>
  <c r="C3450" i="1"/>
  <c r="K3450" i="1" s="1"/>
  <c r="D3450" i="1"/>
  <c r="E3450" i="1"/>
  <c r="G3450" i="1"/>
  <c r="H3450" i="1" s="1"/>
  <c r="C3451" i="1"/>
  <c r="K3451" i="1" s="1"/>
  <c r="D3451" i="1"/>
  <c r="E3451" i="1"/>
  <c r="G3451" i="1"/>
  <c r="H3451" i="1" s="1"/>
  <c r="C3452" i="1"/>
  <c r="K3452" i="1" s="1"/>
  <c r="D3452" i="1"/>
  <c r="E3452" i="1"/>
  <c r="G3452" i="1"/>
  <c r="H3452" i="1" s="1"/>
  <c r="C3453" i="1"/>
  <c r="K3453" i="1" s="1"/>
  <c r="D3453" i="1"/>
  <c r="E3453" i="1"/>
  <c r="G3453" i="1"/>
  <c r="H3453" i="1" s="1"/>
  <c r="C3454" i="1"/>
  <c r="K3454" i="1" s="1"/>
  <c r="D3454" i="1"/>
  <c r="E3454" i="1"/>
  <c r="G3454" i="1"/>
  <c r="H3454" i="1" s="1"/>
  <c r="C3455" i="1"/>
  <c r="K3455" i="1" s="1"/>
  <c r="D3455" i="1"/>
  <c r="E3455" i="1"/>
  <c r="G3455" i="1"/>
  <c r="H3455" i="1" s="1"/>
  <c r="C3456" i="1"/>
  <c r="K3456" i="1" s="1"/>
  <c r="D3456" i="1"/>
  <c r="E3456" i="1"/>
  <c r="G3456" i="1"/>
  <c r="H3456" i="1" s="1"/>
  <c r="C3457" i="1"/>
  <c r="K3457" i="1" s="1"/>
  <c r="D3457" i="1"/>
  <c r="E3457" i="1"/>
  <c r="G3457" i="1"/>
  <c r="H3457" i="1" s="1"/>
  <c r="C3458" i="1"/>
  <c r="K3458" i="1" s="1"/>
  <c r="D3458" i="1"/>
  <c r="E3458" i="1"/>
  <c r="G3458" i="1"/>
  <c r="H3458" i="1" s="1"/>
  <c r="C3459" i="1"/>
  <c r="K3459" i="1" s="1"/>
  <c r="D3459" i="1"/>
  <c r="E3459" i="1"/>
  <c r="G3459" i="1"/>
  <c r="H3459" i="1" s="1"/>
  <c r="C3460" i="1"/>
  <c r="K3460" i="1" s="1"/>
  <c r="D3460" i="1"/>
  <c r="E3460" i="1"/>
  <c r="G3460" i="1"/>
  <c r="H3460" i="1" s="1"/>
  <c r="C3461" i="1"/>
  <c r="K3461" i="1" s="1"/>
  <c r="D3461" i="1"/>
  <c r="E3461" i="1"/>
  <c r="G3461" i="1"/>
  <c r="H3461" i="1" s="1"/>
  <c r="C3462" i="1"/>
  <c r="K3462" i="1" s="1"/>
  <c r="D3462" i="1"/>
  <c r="E3462" i="1"/>
  <c r="G3462" i="1"/>
  <c r="H3462" i="1" s="1"/>
  <c r="C3463" i="1"/>
  <c r="K3463" i="1" s="1"/>
  <c r="D3463" i="1"/>
  <c r="E3463" i="1"/>
  <c r="G3463" i="1"/>
  <c r="H3463" i="1" s="1"/>
  <c r="C3464" i="1"/>
  <c r="K3464" i="1" s="1"/>
  <c r="D3464" i="1"/>
  <c r="E3464" i="1"/>
  <c r="G3464" i="1"/>
  <c r="H3464" i="1" s="1"/>
  <c r="C3465" i="1"/>
  <c r="K3465" i="1" s="1"/>
  <c r="D3465" i="1"/>
  <c r="E3465" i="1"/>
  <c r="G3465" i="1"/>
  <c r="H3465" i="1" s="1"/>
  <c r="C3466" i="1"/>
  <c r="K3466" i="1" s="1"/>
  <c r="D3466" i="1"/>
  <c r="E3466" i="1"/>
  <c r="G3466" i="1"/>
  <c r="H3466" i="1" s="1"/>
  <c r="C3467" i="1"/>
  <c r="K3467" i="1" s="1"/>
  <c r="D3467" i="1"/>
  <c r="E3467" i="1"/>
  <c r="G3467" i="1"/>
  <c r="H3467" i="1" s="1"/>
  <c r="C3468" i="1"/>
  <c r="K3468" i="1" s="1"/>
  <c r="D3468" i="1"/>
  <c r="E3468" i="1"/>
  <c r="G3468" i="1"/>
  <c r="H3468" i="1" s="1"/>
  <c r="C3469" i="1"/>
  <c r="K3469" i="1" s="1"/>
  <c r="D3469" i="1"/>
  <c r="E3469" i="1"/>
  <c r="G3469" i="1"/>
  <c r="H3469" i="1" s="1"/>
  <c r="C3470" i="1"/>
  <c r="K3470" i="1" s="1"/>
  <c r="D3470" i="1"/>
  <c r="E3470" i="1"/>
  <c r="G3470" i="1"/>
  <c r="H3470" i="1" s="1"/>
  <c r="C3471" i="1"/>
  <c r="K3471" i="1" s="1"/>
  <c r="D3471" i="1"/>
  <c r="E3471" i="1"/>
  <c r="G3471" i="1"/>
  <c r="H3471" i="1" s="1"/>
  <c r="C3472" i="1"/>
  <c r="K3472" i="1" s="1"/>
  <c r="D3472" i="1"/>
  <c r="E3472" i="1"/>
  <c r="G3472" i="1"/>
  <c r="H3472" i="1" s="1"/>
  <c r="C3473" i="1"/>
  <c r="K3473" i="1" s="1"/>
  <c r="D3473" i="1"/>
  <c r="E3473" i="1"/>
  <c r="G3473" i="1"/>
  <c r="H3473" i="1" s="1"/>
  <c r="C3474" i="1"/>
  <c r="K3474" i="1" s="1"/>
  <c r="D3474" i="1"/>
  <c r="E3474" i="1"/>
  <c r="G3474" i="1"/>
  <c r="H3474" i="1" s="1"/>
  <c r="C3475" i="1"/>
  <c r="K3475" i="1" s="1"/>
  <c r="D3475" i="1"/>
  <c r="E3475" i="1"/>
  <c r="G3475" i="1"/>
  <c r="H3475" i="1" s="1"/>
  <c r="C3476" i="1"/>
  <c r="K3476" i="1" s="1"/>
  <c r="D3476" i="1"/>
  <c r="E3476" i="1"/>
  <c r="G3476" i="1"/>
  <c r="H3476" i="1" s="1"/>
  <c r="C3477" i="1"/>
  <c r="K3477" i="1" s="1"/>
  <c r="D3477" i="1"/>
  <c r="E3477" i="1"/>
  <c r="G3477" i="1"/>
  <c r="H3477" i="1" s="1"/>
  <c r="C3478" i="1"/>
  <c r="K3478" i="1" s="1"/>
  <c r="D3478" i="1"/>
  <c r="E3478" i="1"/>
  <c r="G3478" i="1"/>
  <c r="H3478" i="1" s="1"/>
  <c r="C3479" i="1"/>
  <c r="K3479" i="1" s="1"/>
  <c r="D3479" i="1"/>
  <c r="E3479" i="1"/>
  <c r="G3479" i="1"/>
  <c r="H3479" i="1" s="1"/>
  <c r="C3480" i="1"/>
  <c r="K3480" i="1" s="1"/>
  <c r="D3480" i="1"/>
  <c r="E3480" i="1"/>
  <c r="G3480" i="1"/>
  <c r="H3480" i="1" s="1"/>
  <c r="C3481" i="1"/>
  <c r="K3481" i="1" s="1"/>
  <c r="D3481" i="1"/>
  <c r="E3481" i="1"/>
  <c r="G3481" i="1"/>
  <c r="H3481" i="1" s="1"/>
  <c r="C3482" i="1"/>
  <c r="K3482" i="1" s="1"/>
  <c r="D3482" i="1"/>
  <c r="E3482" i="1"/>
  <c r="G3482" i="1"/>
  <c r="H3482" i="1" s="1"/>
  <c r="C3483" i="1"/>
  <c r="K3483" i="1" s="1"/>
  <c r="D3483" i="1"/>
  <c r="E3483" i="1"/>
  <c r="G3483" i="1"/>
  <c r="H3483" i="1" s="1"/>
  <c r="C3484" i="1"/>
  <c r="K3484" i="1" s="1"/>
  <c r="D3484" i="1"/>
  <c r="E3484" i="1"/>
  <c r="G3484" i="1"/>
  <c r="H3484" i="1" s="1"/>
  <c r="C3485" i="1"/>
  <c r="K3485" i="1" s="1"/>
  <c r="D3485" i="1"/>
  <c r="E3485" i="1"/>
  <c r="G3485" i="1"/>
  <c r="H3485" i="1" s="1"/>
  <c r="C3486" i="1"/>
  <c r="K3486" i="1" s="1"/>
  <c r="D3486" i="1"/>
  <c r="E3486" i="1"/>
  <c r="G3486" i="1"/>
  <c r="H3486" i="1" s="1"/>
  <c r="C3487" i="1"/>
  <c r="K3487" i="1" s="1"/>
  <c r="D3487" i="1"/>
  <c r="E3487" i="1"/>
  <c r="G3487" i="1"/>
  <c r="H3487" i="1" s="1"/>
  <c r="C3488" i="1"/>
  <c r="K3488" i="1" s="1"/>
  <c r="D3488" i="1"/>
  <c r="E3488" i="1"/>
  <c r="G3488" i="1"/>
  <c r="H3488" i="1" s="1"/>
  <c r="C3489" i="1"/>
  <c r="K3489" i="1" s="1"/>
  <c r="D3489" i="1"/>
  <c r="E3489" i="1"/>
  <c r="G3489" i="1"/>
  <c r="H3489" i="1" s="1"/>
  <c r="C3490" i="1"/>
  <c r="K3490" i="1" s="1"/>
  <c r="D3490" i="1"/>
  <c r="E3490" i="1"/>
  <c r="G3490" i="1"/>
  <c r="H3490" i="1" s="1"/>
  <c r="C3491" i="1"/>
  <c r="K3491" i="1" s="1"/>
  <c r="D3491" i="1"/>
  <c r="E3491" i="1"/>
  <c r="G3491" i="1"/>
  <c r="H3491" i="1" s="1"/>
  <c r="C3492" i="1"/>
  <c r="K3492" i="1" s="1"/>
  <c r="D3492" i="1"/>
  <c r="E3492" i="1"/>
  <c r="G3492" i="1"/>
  <c r="H3492" i="1" s="1"/>
  <c r="C3493" i="1"/>
  <c r="K3493" i="1" s="1"/>
  <c r="D3493" i="1"/>
  <c r="E3493" i="1"/>
  <c r="G3493" i="1"/>
  <c r="H3493" i="1" s="1"/>
  <c r="C3494" i="1"/>
  <c r="K3494" i="1" s="1"/>
  <c r="D3494" i="1"/>
  <c r="E3494" i="1"/>
  <c r="G3494" i="1"/>
  <c r="H3494" i="1" s="1"/>
  <c r="C3495" i="1"/>
  <c r="K3495" i="1" s="1"/>
  <c r="D3495" i="1"/>
  <c r="E3495" i="1"/>
  <c r="G3495" i="1"/>
  <c r="H3495" i="1" s="1"/>
  <c r="C3496" i="1"/>
  <c r="K3496" i="1" s="1"/>
  <c r="D3496" i="1"/>
  <c r="E3496" i="1"/>
  <c r="G3496" i="1"/>
  <c r="H3496" i="1" s="1"/>
  <c r="C3497" i="1"/>
  <c r="K3497" i="1" s="1"/>
  <c r="D3497" i="1"/>
  <c r="E3497" i="1"/>
  <c r="G3497" i="1"/>
  <c r="H3497" i="1" s="1"/>
  <c r="C3498" i="1"/>
  <c r="K3498" i="1" s="1"/>
  <c r="D3498" i="1"/>
  <c r="E3498" i="1"/>
  <c r="G3498" i="1"/>
  <c r="H3498" i="1" s="1"/>
  <c r="C3499" i="1"/>
  <c r="K3499" i="1" s="1"/>
  <c r="D3499" i="1"/>
  <c r="E3499" i="1"/>
  <c r="G3499" i="1"/>
  <c r="H3499" i="1" s="1"/>
  <c r="C3500" i="1"/>
  <c r="K3500" i="1" s="1"/>
  <c r="D3500" i="1"/>
  <c r="E3500" i="1"/>
  <c r="G3500" i="1"/>
  <c r="H3500" i="1" s="1"/>
  <c r="C3501" i="1"/>
  <c r="K3501" i="1" s="1"/>
  <c r="D3501" i="1"/>
  <c r="E3501" i="1"/>
  <c r="G3501" i="1"/>
  <c r="H3501" i="1" s="1"/>
  <c r="C3502" i="1"/>
  <c r="K3502" i="1" s="1"/>
  <c r="D3502" i="1"/>
  <c r="E3502" i="1"/>
  <c r="G3502" i="1"/>
  <c r="H3502" i="1" s="1"/>
  <c r="C3503" i="1"/>
  <c r="K3503" i="1" s="1"/>
  <c r="D3503" i="1"/>
  <c r="E3503" i="1"/>
  <c r="G3503" i="1"/>
  <c r="H3503" i="1" s="1"/>
  <c r="C3504" i="1"/>
  <c r="K3504" i="1" s="1"/>
  <c r="D3504" i="1"/>
  <c r="E3504" i="1"/>
  <c r="G3504" i="1"/>
  <c r="H3504" i="1" s="1"/>
  <c r="C3505" i="1"/>
  <c r="K3505" i="1" s="1"/>
  <c r="D3505" i="1"/>
  <c r="E3505" i="1"/>
  <c r="G3505" i="1"/>
  <c r="H3505" i="1" s="1"/>
  <c r="C3506" i="1"/>
  <c r="K3506" i="1" s="1"/>
  <c r="D3506" i="1"/>
  <c r="E3506" i="1"/>
  <c r="G3506" i="1"/>
  <c r="H3506" i="1" s="1"/>
  <c r="C3507" i="1"/>
  <c r="K3507" i="1" s="1"/>
  <c r="D3507" i="1"/>
  <c r="E3507" i="1"/>
  <c r="G3507" i="1"/>
  <c r="H3507" i="1" s="1"/>
  <c r="C3508" i="1"/>
  <c r="K3508" i="1" s="1"/>
  <c r="D3508" i="1"/>
  <c r="E3508" i="1"/>
  <c r="G3508" i="1"/>
  <c r="H3508" i="1" s="1"/>
  <c r="C3509" i="1"/>
  <c r="K3509" i="1" s="1"/>
  <c r="D3509" i="1"/>
  <c r="E3509" i="1"/>
  <c r="G3509" i="1"/>
  <c r="H3509" i="1" s="1"/>
  <c r="C3510" i="1"/>
  <c r="K3510" i="1" s="1"/>
  <c r="D3510" i="1"/>
  <c r="E3510" i="1"/>
  <c r="G3510" i="1"/>
  <c r="H3510" i="1" s="1"/>
  <c r="C3511" i="1"/>
  <c r="K3511" i="1" s="1"/>
  <c r="D3511" i="1"/>
  <c r="E3511" i="1"/>
  <c r="G3511" i="1"/>
  <c r="H3511" i="1" s="1"/>
  <c r="C3512" i="1"/>
  <c r="K3512" i="1" s="1"/>
  <c r="D3512" i="1"/>
  <c r="E3512" i="1"/>
  <c r="G3512" i="1"/>
  <c r="H3512" i="1" s="1"/>
  <c r="C3513" i="1"/>
  <c r="K3513" i="1" s="1"/>
  <c r="D3513" i="1"/>
  <c r="E3513" i="1"/>
  <c r="G3513" i="1"/>
  <c r="H3513" i="1" s="1"/>
  <c r="C3514" i="1"/>
  <c r="K3514" i="1" s="1"/>
  <c r="D3514" i="1"/>
  <c r="E3514" i="1"/>
  <c r="G3514" i="1"/>
  <c r="H3514" i="1" s="1"/>
  <c r="C3515" i="1"/>
  <c r="K3515" i="1" s="1"/>
  <c r="D3515" i="1"/>
  <c r="E3515" i="1"/>
  <c r="G3515" i="1"/>
  <c r="H3515" i="1" s="1"/>
  <c r="C3516" i="1"/>
  <c r="K3516" i="1" s="1"/>
  <c r="D3516" i="1"/>
  <c r="E3516" i="1"/>
  <c r="G3516" i="1"/>
  <c r="H3516" i="1" s="1"/>
  <c r="C3517" i="1"/>
  <c r="K3517" i="1" s="1"/>
  <c r="D3517" i="1"/>
  <c r="E3517" i="1"/>
  <c r="G3517" i="1"/>
  <c r="H3517" i="1" s="1"/>
  <c r="C3518" i="1"/>
  <c r="K3518" i="1" s="1"/>
  <c r="D3518" i="1"/>
  <c r="E3518" i="1"/>
  <c r="G3518" i="1"/>
  <c r="H3518" i="1" s="1"/>
  <c r="C3519" i="1"/>
  <c r="K3519" i="1" s="1"/>
  <c r="D3519" i="1"/>
  <c r="E3519" i="1"/>
  <c r="G3519" i="1"/>
  <c r="H3519" i="1" s="1"/>
  <c r="C3520" i="1"/>
  <c r="K3520" i="1" s="1"/>
  <c r="D3520" i="1"/>
  <c r="E3520" i="1"/>
  <c r="G3520" i="1"/>
  <c r="H3520" i="1" s="1"/>
  <c r="C3521" i="1"/>
  <c r="K3521" i="1" s="1"/>
  <c r="D3521" i="1"/>
  <c r="E3521" i="1"/>
  <c r="G3521" i="1"/>
  <c r="H3521" i="1" s="1"/>
  <c r="C3522" i="1"/>
  <c r="K3522" i="1" s="1"/>
  <c r="D3522" i="1"/>
  <c r="E3522" i="1"/>
  <c r="G3522" i="1"/>
  <c r="H3522" i="1" s="1"/>
  <c r="C3523" i="1"/>
  <c r="K3523" i="1" s="1"/>
  <c r="D3523" i="1"/>
  <c r="E3523" i="1"/>
  <c r="G3523" i="1"/>
  <c r="H3523" i="1" s="1"/>
  <c r="C3524" i="1"/>
  <c r="K3524" i="1" s="1"/>
  <c r="D3524" i="1"/>
  <c r="E3524" i="1"/>
  <c r="G3524" i="1"/>
  <c r="H3524" i="1" s="1"/>
  <c r="C3525" i="1"/>
  <c r="K3525" i="1" s="1"/>
  <c r="D3525" i="1"/>
  <c r="E3525" i="1"/>
  <c r="G3525" i="1"/>
  <c r="H3525" i="1" s="1"/>
  <c r="C3526" i="1"/>
  <c r="K3526" i="1" s="1"/>
  <c r="D3526" i="1"/>
  <c r="E3526" i="1"/>
  <c r="G3526" i="1"/>
  <c r="H3526" i="1" s="1"/>
  <c r="C3527" i="1"/>
  <c r="K3527" i="1" s="1"/>
  <c r="D3527" i="1"/>
  <c r="E3527" i="1"/>
  <c r="G3527" i="1"/>
  <c r="H3527" i="1" s="1"/>
  <c r="C3528" i="1"/>
  <c r="K3528" i="1" s="1"/>
  <c r="D3528" i="1"/>
  <c r="E3528" i="1"/>
  <c r="G3528" i="1"/>
  <c r="H3528" i="1" s="1"/>
  <c r="C3529" i="1"/>
  <c r="K3529" i="1" s="1"/>
  <c r="D3529" i="1"/>
  <c r="E3529" i="1"/>
  <c r="G3529" i="1"/>
  <c r="H3529" i="1" s="1"/>
  <c r="C3530" i="1"/>
  <c r="K3530" i="1" s="1"/>
  <c r="D3530" i="1"/>
  <c r="E3530" i="1"/>
  <c r="G3530" i="1"/>
  <c r="H3530" i="1" s="1"/>
  <c r="C3531" i="1"/>
  <c r="K3531" i="1" s="1"/>
  <c r="D3531" i="1"/>
  <c r="E3531" i="1"/>
  <c r="G3531" i="1"/>
  <c r="H3531" i="1" s="1"/>
  <c r="C3532" i="1"/>
  <c r="K3532" i="1" s="1"/>
  <c r="D3532" i="1"/>
  <c r="E3532" i="1"/>
  <c r="G3532" i="1"/>
  <c r="H3532" i="1" s="1"/>
  <c r="C3533" i="1"/>
  <c r="K3533" i="1" s="1"/>
  <c r="D3533" i="1"/>
  <c r="E3533" i="1"/>
  <c r="G3533" i="1"/>
  <c r="H3533" i="1" s="1"/>
  <c r="C3534" i="1"/>
  <c r="K3534" i="1" s="1"/>
  <c r="D3534" i="1"/>
  <c r="E3534" i="1"/>
  <c r="G3534" i="1"/>
  <c r="H3534" i="1" s="1"/>
  <c r="C3535" i="1"/>
  <c r="K3535" i="1" s="1"/>
  <c r="D3535" i="1"/>
  <c r="E3535" i="1"/>
  <c r="G3535" i="1"/>
  <c r="H3535" i="1" s="1"/>
  <c r="C3536" i="1"/>
  <c r="K3536" i="1" s="1"/>
  <c r="D3536" i="1"/>
  <c r="E3536" i="1"/>
  <c r="G3536" i="1"/>
  <c r="H3536" i="1" s="1"/>
  <c r="C3537" i="1"/>
  <c r="K3537" i="1" s="1"/>
  <c r="D3537" i="1"/>
  <c r="E3537" i="1"/>
  <c r="G3537" i="1"/>
  <c r="H3537" i="1" s="1"/>
  <c r="C3538" i="1"/>
  <c r="K3538" i="1" s="1"/>
  <c r="D3538" i="1"/>
  <c r="E3538" i="1"/>
  <c r="G3538" i="1"/>
  <c r="H3538" i="1" s="1"/>
  <c r="C3539" i="1"/>
  <c r="K3539" i="1" s="1"/>
  <c r="D3539" i="1"/>
  <c r="E3539" i="1"/>
  <c r="G3539" i="1"/>
  <c r="H3539" i="1" s="1"/>
  <c r="C3540" i="1"/>
  <c r="K3540" i="1" s="1"/>
  <c r="D3540" i="1"/>
  <c r="E3540" i="1"/>
  <c r="G3540" i="1"/>
  <c r="H3540" i="1" s="1"/>
  <c r="C3541" i="1"/>
  <c r="K3541" i="1" s="1"/>
  <c r="D3541" i="1"/>
  <c r="E3541" i="1"/>
  <c r="G3541" i="1"/>
  <c r="H3541" i="1" s="1"/>
  <c r="C3542" i="1"/>
  <c r="K3542" i="1" s="1"/>
  <c r="D3542" i="1"/>
  <c r="E3542" i="1"/>
  <c r="G3542" i="1"/>
  <c r="H3542" i="1" s="1"/>
  <c r="C3543" i="1"/>
  <c r="K3543" i="1" s="1"/>
  <c r="D3543" i="1"/>
  <c r="E3543" i="1"/>
  <c r="G3543" i="1"/>
  <c r="H3543" i="1" s="1"/>
  <c r="C3544" i="1"/>
  <c r="K3544" i="1" s="1"/>
  <c r="D3544" i="1"/>
  <c r="E3544" i="1"/>
  <c r="G3544" i="1"/>
  <c r="H3544" i="1" s="1"/>
  <c r="C3545" i="1"/>
  <c r="K3545" i="1" s="1"/>
  <c r="D3545" i="1"/>
  <c r="E3545" i="1"/>
  <c r="G3545" i="1"/>
  <c r="H3545" i="1" s="1"/>
  <c r="C3546" i="1"/>
  <c r="K3546" i="1" s="1"/>
  <c r="D3546" i="1"/>
  <c r="E3546" i="1"/>
  <c r="G3546" i="1"/>
  <c r="H3546" i="1" s="1"/>
  <c r="C3547" i="1"/>
  <c r="K3547" i="1" s="1"/>
  <c r="D3547" i="1"/>
  <c r="E3547" i="1"/>
  <c r="G3547" i="1"/>
  <c r="H3547" i="1" s="1"/>
  <c r="C3548" i="1"/>
  <c r="K3548" i="1" s="1"/>
  <c r="D3548" i="1"/>
  <c r="E3548" i="1"/>
  <c r="G3548" i="1"/>
  <c r="H3548" i="1" s="1"/>
  <c r="C3549" i="1"/>
  <c r="K3549" i="1" s="1"/>
  <c r="D3549" i="1"/>
  <c r="E3549" i="1"/>
  <c r="G3549" i="1"/>
  <c r="H3549" i="1" s="1"/>
  <c r="C3550" i="1"/>
  <c r="K3550" i="1" s="1"/>
  <c r="D3550" i="1"/>
  <c r="E3550" i="1"/>
  <c r="G3550" i="1"/>
  <c r="H3550" i="1" s="1"/>
  <c r="C3551" i="1"/>
  <c r="K3551" i="1" s="1"/>
  <c r="D3551" i="1"/>
  <c r="E3551" i="1"/>
  <c r="G3551" i="1"/>
  <c r="H3551" i="1" s="1"/>
  <c r="C3552" i="1"/>
  <c r="K3552" i="1" s="1"/>
  <c r="D3552" i="1"/>
  <c r="E3552" i="1"/>
  <c r="G3552" i="1"/>
  <c r="H3552" i="1" s="1"/>
  <c r="C3553" i="1"/>
  <c r="K3553" i="1" s="1"/>
  <c r="D3553" i="1"/>
  <c r="E3553" i="1"/>
  <c r="G3553" i="1"/>
  <c r="H3553" i="1" s="1"/>
  <c r="C3554" i="1"/>
  <c r="K3554" i="1" s="1"/>
  <c r="D3554" i="1"/>
  <c r="E3554" i="1"/>
  <c r="G3554" i="1"/>
  <c r="H3554" i="1" s="1"/>
  <c r="C3555" i="1"/>
  <c r="K3555" i="1" s="1"/>
  <c r="D3555" i="1"/>
  <c r="E3555" i="1"/>
  <c r="G3555" i="1"/>
  <c r="H3555" i="1" s="1"/>
  <c r="C3556" i="1"/>
  <c r="K3556" i="1" s="1"/>
  <c r="D3556" i="1"/>
  <c r="E3556" i="1"/>
  <c r="G3556" i="1"/>
  <c r="H3556" i="1" s="1"/>
  <c r="C3557" i="1"/>
  <c r="K3557" i="1" s="1"/>
  <c r="D3557" i="1"/>
  <c r="E3557" i="1"/>
  <c r="G3557" i="1"/>
  <c r="H3557" i="1" s="1"/>
  <c r="C3558" i="1"/>
  <c r="K3558" i="1" s="1"/>
  <c r="D3558" i="1"/>
  <c r="E3558" i="1"/>
  <c r="G3558" i="1"/>
  <c r="H3558" i="1" s="1"/>
  <c r="C3559" i="1"/>
  <c r="K3559" i="1" s="1"/>
  <c r="D3559" i="1"/>
  <c r="E3559" i="1"/>
  <c r="G3559" i="1"/>
  <c r="H3559" i="1" s="1"/>
  <c r="C3560" i="1"/>
  <c r="K3560" i="1" s="1"/>
  <c r="D3560" i="1"/>
  <c r="E3560" i="1"/>
  <c r="G3560" i="1"/>
  <c r="H3560" i="1" s="1"/>
  <c r="C3561" i="1"/>
  <c r="K3561" i="1" s="1"/>
  <c r="D3561" i="1"/>
  <c r="E3561" i="1"/>
  <c r="G3561" i="1"/>
  <c r="H3561" i="1" s="1"/>
  <c r="C3562" i="1"/>
  <c r="K3562" i="1" s="1"/>
  <c r="D3562" i="1"/>
  <c r="E3562" i="1"/>
  <c r="G3562" i="1"/>
  <c r="H3562" i="1" s="1"/>
  <c r="C3563" i="1"/>
  <c r="K3563" i="1" s="1"/>
  <c r="D3563" i="1"/>
  <c r="E3563" i="1"/>
  <c r="G3563" i="1"/>
  <c r="H3563" i="1" s="1"/>
  <c r="C3564" i="1"/>
  <c r="K3564" i="1" s="1"/>
  <c r="D3564" i="1"/>
  <c r="E3564" i="1"/>
  <c r="G3564" i="1"/>
  <c r="H3564" i="1" s="1"/>
  <c r="C3565" i="1"/>
  <c r="K3565" i="1" s="1"/>
  <c r="D3565" i="1"/>
  <c r="E3565" i="1"/>
  <c r="G3565" i="1"/>
  <c r="H3565" i="1" s="1"/>
  <c r="C3566" i="1"/>
  <c r="K3566" i="1" s="1"/>
  <c r="D3566" i="1"/>
  <c r="E3566" i="1"/>
  <c r="G3566" i="1"/>
  <c r="H3566" i="1" s="1"/>
  <c r="C3567" i="1"/>
  <c r="K3567" i="1" s="1"/>
  <c r="D3567" i="1"/>
  <c r="E3567" i="1"/>
  <c r="G3567" i="1"/>
  <c r="H3567" i="1" s="1"/>
  <c r="C3568" i="1"/>
  <c r="K3568" i="1" s="1"/>
  <c r="D3568" i="1"/>
  <c r="E3568" i="1"/>
  <c r="G3568" i="1"/>
  <c r="H3568" i="1" s="1"/>
  <c r="C3569" i="1"/>
  <c r="K3569" i="1" s="1"/>
  <c r="D3569" i="1"/>
  <c r="E3569" i="1"/>
  <c r="G3569" i="1"/>
  <c r="H3569" i="1" s="1"/>
  <c r="C3570" i="1"/>
  <c r="K3570" i="1" s="1"/>
  <c r="D3570" i="1"/>
  <c r="E3570" i="1"/>
  <c r="G3570" i="1"/>
  <c r="H3570" i="1" s="1"/>
  <c r="C3571" i="1"/>
  <c r="K3571" i="1" s="1"/>
  <c r="D3571" i="1"/>
  <c r="E3571" i="1"/>
  <c r="G3571" i="1"/>
  <c r="H3571" i="1" s="1"/>
  <c r="C3572" i="1"/>
  <c r="K3572" i="1" s="1"/>
  <c r="D3572" i="1"/>
  <c r="E3572" i="1"/>
  <c r="G3572" i="1"/>
  <c r="H3572" i="1" s="1"/>
  <c r="C3573" i="1"/>
  <c r="K3573" i="1" s="1"/>
  <c r="D3573" i="1"/>
  <c r="E3573" i="1"/>
  <c r="G3573" i="1"/>
  <c r="H3573" i="1" s="1"/>
  <c r="C3574" i="1"/>
  <c r="K3574" i="1" s="1"/>
  <c r="D3574" i="1"/>
  <c r="E3574" i="1"/>
  <c r="G3574" i="1"/>
  <c r="H3574" i="1" s="1"/>
  <c r="C3575" i="1"/>
  <c r="K3575" i="1" s="1"/>
  <c r="D3575" i="1"/>
  <c r="E3575" i="1"/>
  <c r="G3575" i="1"/>
  <c r="H3575" i="1" s="1"/>
  <c r="C3576" i="1"/>
  <c r="K3576" i="1" s="1"/>
  <c r="D3576" i="1"/>
  <c r="E3576" i="1"/>
  <c r="G3576" i="1"/>
  <c r="H3576" i="1" s="1"/>
  <c r="C3577" i="1"/>
  <c r="K3577" i="1" s="1"/>
  <c r="D3577" i="1"/>
  <c r="E3577" i="1"/>
  <c r="G3577" i="1"/>
  <c r="H3577" i="1" s="1"/>
  <c r="C3578" i="1"/>
  <c r="K3578" i="1" s="1"/>
  <c r="D3578" i="1"/>
  <c r="E3578" i="1"/>
  <c r="G3578" i="1"/>
  <c r="H3578" i="1" s="1"/>
  <c r="C3579" i="1"/>
  <c r="K3579" i="1" s="1"/>
  <c r="D3579" i="1"/>
  <c r="E3579" i="1"/>
  <c r="G3579" i="1"/>
  <c r="H3579" i="1" s="1"/>
  <c r="C3580" i="1"/>
  <c r="K3580" i="1" s="1"/>
  <c r="D3580" i="1"/>
  <c r="E3580" i="1"/>
  <c r="G3580" i="1"/>
  <c r="H3580" i="1" s="1"/>
  <c r="C3581" i="1"/>
  <c r="K3581" i="1" s="1"/>
  <c r="D3581" i="1"/>
  <c r="E3581" i="1"/>
  <c r="G3581" i="1"/>
  <c r="H3581" i="1" s="1"/>
  <c r="C3582" i="1"/>
  <c r="K3582" i="1" s="1"/>
  <c r="D3582" i="1"/>
  <c r="E3582" i="1"/>
  <c r="G3582" i="1"/>
  <c r="H3582" i="1" s="1"/>
  <c r="C3583" i="1"/>
  <c r="K3583" i="1" s="1"/>
  <c r="D3583" i="1"/>
  <c r="E3583" i="1"/>
  <c r="G3583" i="1"/>
  <c r="H3583" i="1" s="1"/>
  <c r="C3584" i="1"/>
  <c r="K3584" i="1" s="1"/>
  <c r="D3584" i="1"/>
  <c r="E3584" i="1"/>
  <c r="G3584" i="1"/>
  <c r="H3584" i="1" s="1"/>
  <c r="C3585" i="1"/>
  <c r="K3585" i="1" s="1"/>
  <c r="D3585" i="1"/>
  <c r="E3585" i="1"/>
  <c r="G3585" i="1"/>
  <c r="H3585" i="1" s="1"/>
  <c r="C3586" i="1"/>
  <c r="K3586" i="1" s="1"/>
  <c r="D3586" i="1"/>
  <c r="E3586" i="1"/>
  <c r="G3586" i="1"/>
  <c r="H3586" i="1" s="1"/>
  <c r="C3587" i="1"/>
  <c r="K3587" i="1" s="1"/>
  <c r="D3587" i="1"/>
  <c r="E3587" i="1"/>
  <c r="G3587" i="1"/>
  <c r="H3587" i="1" s="1"/>
  <c r="C3588" i="1"/>
  <c r="K3588" i="1" s="1"/>
  <c r="D3588" i="1"/>
  <c r="E3588" i="1"/>
  <c r="G3588" i="1"/>
  <c r="H3588" i="1" s="1"/>
  <c r="C3589" i="1"/>
  <c r="K3589" i="1" s="1"/>
  <c r="D3589" i="1"/>
  <c r="E3589" i="1"/>
  <c r="G3589" i="1"/>
  <c r="H3589" i="1" s="1"/>
  <c r="C3590" i="1"/>
  <c r="K3590" i="1" s="1"/>
  <c r="D3590" i="1"/>
  <c r="E3590" i="1"/>
  <c r="G3590" i="1"/>
  <c r="H3590" i="1" s="1"/>
  <c r="C3591" i="1"/>
  <c r="K3591" i="1" s="1"/>
  <c r="D3591" i="1"/>
  <c r="E3591" i="1"/>
  <c r="G3591" i="1"/>
  <c r="H3591" i="1" s="1"/>
  <c r="C3592" i="1"/>
  <c r="K3592" i="1" s="1"/>
  <c r="D3592" i="1"/>
  <c r="E3592" i="1"/>
  <c r="G3592" i="1"/>
  <c r="H3592" i="1" s="1"/>
  <c r="C3593" i="1"/>
  <c r="K3593" i="1" s="1"/>
  <c r="D3593" i="1"/>
  <c r="E3593" i="1"/>
  <c r="G3593" i="1"/>
  <c r="H3593" i="1" s="1"/>
  <c r="C3594" i="1"/>
  <c r="K3594" i="1" s="1"/>
  <c r="D3594" i="1"/>
  <c r="E3594" i="1"/>
  <c r="G3594" i="1"/>
  <c r="H3594" i="1" s="1"/>
  <c r="C3595" i="1"/>
  <c r="K3595" i="1" s="1"/>
  <c r="D3595" i="1"/>
  <c r="E3595" i="1"/>
  <c r="G3595" i="1"/>
  <c r="H3595" i="1" s="1"/>
  <c r="C3596" i="1"/>
  <c r="K3596" i="1" s="1"/>
  <c r="D3596" i="1"/>
  <c r="E3596" i="1"/>
  <c r="G3596" i="1"/>
  <c r="H3596" i="1" s="1"/>
  <c r="C3597" i="1"/>
  <c r="K3597" i="1" s="1"/>
  <c r="D3597" i="1"/>
  <c r="E3597" i="1"/>
  <c r="G3597" i="1"/>
  <c r="H3597" i="1" s="1"/>
  <c r="C3598" i="1"/>
  <c r="K3598" i="1" s="1"/>
  <c r="D3598" i="1"/>
  <c r="E3598" i="1"/>
  <c r="G3598" i="1"/>
  <c r="H3598" i="1" s="1"/>
  <c r="C3599" i="1"/>
  <c r="K3599" i="1" s="1"/>
  <c r="D3599" i="1"/>
  <c r="E3599" i="1"/>
  <c r="G3599" i="1"/>
  <c r="H3599" i="1" s="1"/>
  <c r="C3600" i="1"/>
  <c r="K3600" i="1" s="1"/>
  <c r="D3600" i="1"/>
  <c r="E3600" i="1"/>
  <c r="G3600" i="1"/>
  <c r="H3600" i="1" s="1"/>
  <c r="C3601" i="1"/>
  <c r="K3601" i="1" s="1"/>
  <c r="D3601" i="1"/>
  <c r="E3601" i="1"/>
  <c r="G3601" i="1"/>
  <c r="H3601" i="1" s="1"/>
  <c r="C3602" i="1"/>
  <c r="D3602" i="1"/>
  <c r="E3602" i="1"/>
  <c r="G3602" i="1"/>
  <c r="H3602" i="1" s="1"/>
  <c r="C3603" i="1"/>
  <c r="K3603" i="1" s="1"/>
  <c r="D3603" i="1"/>
  <c r="E3603" i="1"/>
  <c r="G3603" i="1"/>
  <c r="H3603" i="1" s="1"/>
  <c r="C3604" i="1"/>
  <c r="K3604" i="1" s="1"/>
  <c r="D3604" i="1"/>
  <c r="E3604" i="1"/>
  <c r="G3604" i="1"/>
  <c r="H3604" i="1" s="1"/>
  <c r="C3605" i="1"/>
  <c r="K3605" i="1" s="1"/>
  <c r="D3605" i="1"/>
  <c r="E3605" i="1"/>
  <c r="G3605" i="1"/>
  <c r="H3605" i="1" s="1"/>
  <c r="C3606" i="1"/>
  <c r="K3606" i="1" s="1"/>
  <c r="D3606" i="1"/>
  <c r="E3606" i="1"/>
  <c r="G3606" i="1"/>
  <c r="H3606" i="1" s="1"/>
  <c r="C3607" i="1"/>
  <c r="K3607" i="1" s="1"/>
  <c r="D3607" i="1"/>
  <c r="E3607" i="1"/>
  <c r="G3607" i="1"/>
  <c r="H3607" i="1" s="1"/>
  <c r="C3608" i="1"/>
  <c r="K3608" i="1" s="1"/>
  <c r="D3608" i="1"/>
  <c r="E3608" i="1"/>
  <c r="G3608" i="1"/>
  <c r="H3608" i="1" s="1"/>
  <c r="C3609" i="1"/>
  <c r="K3609" i="1" s="1"/>
  <c r="D3609" i="1"/>
  <c r="E3609" i="1"/>
  <c r="G3609" i="1"/>
  <c r="H3609" i="1" s="1"/>
  <c r="C3610" i="1"/>
  <c r="K3610" i="1" s="1"/>
  <c r="D3610" i="1"/>
  <c r="E3610" i="1"/>
  <c r="G3610" i="1"/>
  <c r="H3610" i="1" s="1"/>
  <c r="C3611" i="1"/>
  <c r="K3611" i="1" s="1"/>
  <c r="D3611" i="1"/>
  <c r="E3611" i="1"/>
  <c r="G3611" i="1"/>
  <c r="H3611" i="1" s="1"/>
  <c r="C3612" i="1"/>
  <c r="K3612" i="1" s="1"/>
  <c r="D3612" i="1"/>
  <c r="E3612" i="1"/>
  <c r="G3612" i="1"/>
  <c r="H3612" i="1" s="1"/>
  <c r="C3613" i="1"/>
  <c r="K3613" i="1" s="1"/>
  <c r="D3613" i="1"/>
  <c r="E3613" i="1"/>
  <c r="G3613" i="1"/>
  <c r="H3613" i="1" s="1"/>
  <c r="C3614" i="1"/>
  <c r="K3614" i="1" s="1"/>
  <c r="D3614" i="1"/>
  <c r="E3614" i="1"/>
  <c r="G3614" i="1"/>
  <c r="H3614" i="1" s="1"/>
  <c r="C3615" i="1"/>
  <c r="K3615" i="1" s="1"/>
  <c r="D3615" i="1"/>
  <c r="E3615" i="1"/>
  <c r="G3615" i="1"/>
  <c r="H3615" i="1" s="1"/>
  <c r="C3616" i="1"/>
  <c r="K3616" i="1" s="1"/>
  <c r="D3616" i="1"/>
  <c r="E3616" i="1"/>
  <c r="G3616" i="1"/>
  <c r="H3616" i="1" s="1"/>
  <c r="C3617" i="1"/>
  <c r="K3617" i="1" s="1"/>
  <c r="D3617" i="1"/>
  <c r="E3617" i="1"/>
  <c r="G3617" i="1"/>
  <c r="H3617" i="1" s="1"/>
  <c r="C3618" i="1"/>
  <c r="K3618" i="1" s="1"/>
  <c r="D3618" i="1"/>
  <c r="E3618" i="1"/>
  <c r="G3618" i="1"/>
  <c r="H3618" i="1" s="1"/>
  <c r="C3619" i="1"/>
  <c r="K3619" i="1" s="1"/>
  <c r="D3619" i="1"/>
  <c r="E3619" i="1"/>
  <c r="G3619" i="1"/>
  <c r="H3619" i="1" s="1"/>
  <c r="C3620" i="1"/>
  <c r="K3620" i="1" s="1"/>
  <c r="D3620" i="1"/>
  <c r="E3620" i="1"/>
  <c r="G3620" i="1"/>
  <c r="H3620" i="1" s="1"/>
  <c r="C3621" i="1"/>
  <c r="K3621" i="1" s="1"/>
  <c r="D3621" i="1"/>
  <c r="E3621" i="1"/>
  <c r="G3621" i="1"/>
  <c r="H3621" i="1" s="1"/>
  <c r="C3622" i="1"/>
  <c r="K3622" i="1" s="1"/>
  <c r="D3622" i="1"/>
  <c r="E3622" i="1"/>
  <c r="G3622" i="1"/>
  <c r="H3622" i="1" s="1"/>
  <c r="C3623" i="1"/>
  <c r="K3623" i="1" s="1"/>
  <c r="D3623" i="1"/>
  <c r="E3623" i="1"/>
  <c r="G3623" i="1"/>
  <c r="H3623" i="1" s="1"/>
  <c r="C3624" i="1"/>
  <c r="K3624" i="1" s="1"/>
  <c r="D3624" i="1"/>
  <c r="E3624" i="1"/>
  <c r="G3624" i="1"/>
  <c r="H3624" i="1" s="1"/>
  <c r="C3625" i="1"/>
  <c r="K3625" i="1" s="1"/>
  <c r="D3625" i="1"/>
  <c r="E3625" i="1"/>
  <c r="G3625" i="1"/>
  <c r="H3625" i="1" s="1"/>
  <c r="C3626" i="1"/>
  <c r="K3626" i="1" s="1"/>
  <c r="D3626" i="1"/>
  <c r="E3626" i="1"/>
  <c r="G3626" i="1"/>
  <c r="H3626" i="1" s="1"/>
  <c r="C3627" i="1"/>
  <c r="K3627" i="1" s="1"/>
  <c r="D3627" i="1"/>
  <c r="E3627" i="1"/>
  <c r="G3627" i="1"/>
  <c r="H3627" i="1" s="1"/>
  <c r="C3628" i="1"/>
  <c r="K3628" i="1" s="1"/>
  <c r="D3628" i="1"/>
  <c r="E3628" i="1"/>
  <c r="G3628" i="1"/>
  <c r="H3628" i="1" s="1"/>
  <c r="C3629" i="1"/>
  <c r="K3629" i="1" s="1"/>
  <c r="D3629" i="1"/>
  <c r="E3629" i="1"/>
  <c r="G3629" i="1"/>
  <c r="H3629" i="1" s="1"/>
  <c r="C3630" i="1"/>
  <c r="K3630" i="1" s="1"/>
  <c r="D3630" i="1"/>
  <c r="E3630" i="1"/>
  <c r="G3630" i="1"/>
  <c r="H3630" i="1" s="1"/>
  <c r="C3631" i="1"/>
  <c r="K3631" i="1" s="1"/>
  <c r="D3631" i="1"/>
  <c r="E3631" i="1"/>
  <c r="G3631" i="1"/>
  <c r="H3631" i="1" s="1"/>
  <c r="C3632" i="1"/>
  <c r="K3632" i="1" s="1"/>
  <c r="D3632" i="1"/>
  <c r="E3632" i="1"/>
  <c r="G3632" i="1"/>
  <c r="H3632" i="1" s="1"/>
  <c r="C3633" i="1"/>
  <c r="K3633" i="1" s="1"/>
  <c r="D3633" i="1"/>
  <c r="E3633" i="1"/>
  <c r="G3633" i="1"/>
  <c r="H3633" i="1" s="1"/>
  <c r="C3634" i="1"/>
  <c r="D3634" i="1"/>
  <c r="E3634" i="1"/>
  <c r="G3634" i="1"/>
  <c r="H3634" i="1" s="1"/>
  <c r="C3635" i="1"/>
  <c r="K3635" i="1" s="1"/>
  <c r="D3635" i="1"/>
  <c r="E3635" i="1"/>
  <c r="G3635" i="1"/>
  <c r="H3635" i="1" s="1"/>
  <c r="C3636" i="1"/>
  <c r="K3636" i="1" s="1"/>
  <c r="D3636" i="1"/>
  <c r="E3636" i="1"/>
  <c r="G3636" i="1"/>
  <c r="H3636" i="1" s="1"/>
  <c r="C3637" i="1"/>
  <c r="K3637" i="1" s="1"/>
  <c r="D3637" i="1"/>
  <c r="E3637" i="1"/>
  <c r="G3637" i="1"/>
  <c r="H3637" i="1" s="1"/>
  <c r="C3638" i="1"/>
  <c r="K3638" i="1" s="1"/>
  <c r="D3638" i="1"/>
  <c r="E3638" i="1"/>
  <c r="G3638" i="1"/>
  <c r="H3638" i="1" s="1"/>
  <c r="C3639" i="1"/>
  <c r="K3639" i="1" s="1"/>
  <c r="D3639" i="1"/>
  <c r="E3639" i="1"/>
  <c r="G3639" i="1"/>
  <c r="H3639" i="1" s="1"/>
  <c r="C3640" i="1"/>
  <c r="K3640" i="1" s="1"/>
  <c r="D3640" i="1"/>
  <c r="E3640" i="1"/>
  <c r="G3640" i="1"/>
  <c r="H3640" i="1" s="1"/>
  <c r="C3641" i="1"/>
  <c r="K3641" i="1" s="1"/>
  <c r="D3641" i="1"/>
  <c r="E3641" i="1"/>
  <c r="G3641" i="1"/>
  <c r="H3641" i="1" s="1"/>
  <c r="C3642" i="1"/>
  <c r="K3642" i="1" s="1"/>
  <c r="D3642" i="1"/>
  <c r="E3642" i="1"/>
  <c r="G3642" i="1"/>
  <c r="H3642" i="1" s="1"/>
  <c r="C3643" i="1"/>
  <c r="K3643" i="1" s="1"/>
  <c r="D3643" i="1"/>
  <c r="E3643" i="1"/>
  <c r="G3643" i="1"/>
  <c r="H3643" i="1" s="1"/>
  <c r="C3644" i="1"/>
  <c r="K3644" i="1" s="1"/>
  <c r="D3644" i="1"/>
  <c r="E3644" i="1"/>
  <c r="G3644" i="1"/>
  <c r="H3644" i="1" s="1"/>
  <c r="C3645" i="1"/>
  <c r="K3645" i="1" s="1"/>
  <c r="D3645" i="1"/>
  <c r="E3645" i="1"/>
  <c r="G3645" i="1"/>
  <c r="H3645" i="1" s="1"/>
  <c r="C3646" i="1"/>
  <c r="K3646" i="1" s="1"/>
  <c r="D3646" i="1"/>
  <c r="E3646" i="1"/>
  <c r="G3646" i="1"/>
  <c r="H3646" i="1" s="1"/>
  <c r="C3647" i="1"/>
  <c r="K3647" i="1" s="1"/>
  <c r="D3647" i="1"/>
  <c r="E3647" i="1"/>
  <c r="G3647" i="1"/>
  <c r="H3647" i="1" s="1"/>
  <c r="C3648" i="1"/>
  <c r="K3648" i="1" s="1"/>
  <c r="D3648" i="1"/>
  <c r="E3648" i="1"/>
  <c r="G3648" i="1"/>
  <c r="H3648" i="1" s="1"/>
  <c r="C3649" i="1"/>
  <c r="K3649" i="1" s="1"/>
  <c r="D3649" i="1"/>
  <c r="E3649" i="1"/>
  <c r="G3649" i="1"/>
  <c r="H3649" i="1" s="1"/>
  <c r="C3650" i="1"/>
  <c r="K3650" i="1" s="1"/>
  <c r="D3650" i="1"/>
  <c r="E3650" i="1"/>
  <c r="G3650" i="1"/>
  <c r="H3650" i="1" s="1"/>
  <c r="C3651" i="1"/>
  <c r="K3651" i="1" s="1"/>
  <c r="D3651" i="1"/>
  <c r="E3651" i="1"/>
  <c r="G3651" i="1"/>
  <c r="H3651" i="1" s="1"/>
  <c r="C3652" i="1"/>
  <c r="K3652" i="1" s="1"/>
  <c r="D3652" i="1"/>
  <c r="E3652" i="1"/>
  <c r="G3652" i="1"/>
  <c r="H3652" i="1" s="1"/>
  <c r="C3653" i="1"/>
  <c r="K3653" i="1" s="1"/>
  <c r="D3653" i="1"/>
  <c r="E3653" i="1"/>
  <c r="G3653" i="1"/>
  <c r="H3653" i="1" s="1"/>
  <c r="C3654" i="1"/>
  <c r="K3654" i="1" s="1"/>
  <c r="D3654" i="1"/>
  <c r="E3654" i="1"/>
  <c r="G3654" i="1"/>
  <c r="H3654" i="1" s="1"/>
  <c r="C3655" i="1"/>
  <c r="K3655" i="1" s="1"/>
  <c r="D3655" i="1"/>
  <c r="E3655" i="1"/>
  <c r="G3655" i="1"/>
  <c r="H3655" i="1" s="1"/>
  <c r="C3656" i="1"/>
  <c r="K3656" i="1" s="1"/>
  <c r="D3656" i="1"/>
  <c r="E3656" i="1"/>
  <c r="G3656" i="1"/>
  <c r="H3656" i="1" s="1"/>
  <c r="C3657" i="1"/>
  <c r="K3657" i="1" s="1"/>
  <c r="D3657" i="1"/>
  <c r="E3657" i="1"/>
  <c r="G3657" i="1"/>
  <c r="H3657" i="1" s="1"/>
  <c r="C3658" i="1"/>
  <c r="K3658" i="1" s="1"/>
  <c r="D3658" i="1"/>
  <c r="E3658" i="1"/>
  <c r="G3658" i="1"/>
  <c r="H3658" i="1" s="1"/>
  <c r="C3659" i="1"/>
  <c r="K3659" i="1" s="1"/>
  <c r="D3659" i="1"/>
  <c r="E3659" i="1"/>
  <c r="G3659" i="1"/>
  <c r="H3659" i="1" s="1"/>
  <c r="C3660" i="1"/>
  <c r="K3660" i="1" s="1"/>
  <c r="D3660" i="1"/>
  <c r="E3660" i="1"/>
  <c r="G3660" i="1"/>
  <c r="H3660" i="1" s="1"/>
  <c r="C3661" i="1"/>
  <c r="K3661" i="1" s="1"/>
  <c r="D3661" i="1"/>
  <c r="E3661" i="1"/>
  <c r="G3661" i="1"/>
  <c r="H3661" i="1" s="1"/>
  <c r="C3662" i="1"/>
  <c r="K3662" i="1" s="1"/>
  <c r="D3662" i="1"/>
  <c r="E3662" i="1"/>
  <c r="G3662" i="1"/>
  <c r="H3662" i="1" s="1"/>
  <c r="C3663" i="1"/>
  <c r="K3663" i="1" s="1"/>
  <c r="D3663" i="1"/>
  <c r="E3663" i="1"/>
  <c r="G3663" i="1"/>
  <c r="H3663" i="1" s="1"/>
  <c r="C3664" i="1"/>
  <c r="K3664" i="1" s="1"/>
  <c r="D3664" i="1"/>
  <c r="E3664" i="1"/>
  <c r="G3664" i="1"/>
  <c r="H3664" i="1" s="1"/>
  <c r="C3665" i="1"/>
  <c r="K3665" i="1" s="1"/>
  <c r="D3665" i="1"/>
  <c r="E3665" i="1"/>
  <c r="G3665" i="1"/>
  <c r="H3665" i="1" s="1"/>
  <c r="C3666" i="1"/>
  <c r="K3666" i="1" s="1"/>
  <c r="D3666" i="1"/>
  <c r="E3666" i="1"/>
  <c r="G3666" i="1"/>
  <c r="H3666" i="1" s="1"/>
  <c r="C3667" i="1"/>
  <c r="K3667" i="1" s="1"/>
  <c r="D3667" i="1"/>
  <c r="E3667" i="1"/>
  <c r="G3667" i="1"/>
  <c r="H3667" i="1" s="1"/>
  <c r="C3668" i="1"/>
  <c r="K3668" i="1" s="1"/>
  <c r="D3668" i="1"/>
  <c r="E3668" i="1"/>
  <c r="G3668" i="1"/>
  <c r="H3668" i="1" s="1"/>
  <c r="C3669" i="1"/>
  <c r="K3669" i="1" s="1"/>
  <c r="D3669" i="1"/>
  <c r="E3669" i="1"/>
  <c r="G3669" i="1"/>
  <c r="H3669" i="1" s="1"/>
  <c r="C3670" i="1"/>
  <c r="K3670" i="1" s="1"/>
  <c r="D3670" i="1"/>
  <c r="E3670" i="1"/>
  <c r="G3670" i="1"/>
  <c r="H3670" i="1" s="1"/>
  <c r="C3671" i="1"/>
  <c r="K3671" i="1" s="1"/>
  <c r="D3671" i="1"/>
  <c r="E3671" i="1"/>
  <c r="G3671" i="1"/>
  <c r="H3671" i="1" s="1"/>
  <c r="C3672" i="1"/>
  <c r="K3672" i="1" s="1"/>
  <c r="D3672" i="1"/>
  <c r="E3672" i="1"/>
  <c r="G3672" i="1"/>
  <c r="H3672" i="1" s="1"/>
  <c r="C3673" i="1"/>
  <c r="K3673" i="1" s="1"/>
  <c r="D3673" i="1"/>
  <c r="E3673" i="1"/>
  <c r="G3673" i="1"/>
  <c r="H3673" i="1" s="1"/>
  <c r="C3674" i="1"/>
  <c r="K3674" i="1" s="1"/>
  <c r="D3674" i="1"/>
  <c r="E3674" i="1"/>
  <c r="G3674" i="1"/>
  <c r="H3674" i="1" s="1"/>
  <c r="C3675" i="1"/>
  <c r="K3675" i="1" s="1"/>
  <c r="D3675" i="1"/>
  <c r="E3675" i="1"/>
  <c r="G3675" i="1"/>
  <c r="H3675" i="1" s="1"/>
  <c r="C3676" i="1"/>
  <c r="K3676" i="1" s="1"/>
  <c r="D3676" i="1"/>
  <c r="E3676" i="1"/>
  <c r="G3676" i="1"/>
  <c r="H3676" i="1" s="1"/>
  <c r="C3677" i="1"/>
  <c r="K3677" i="1" s="1"/>
  <c r="D3677" i="1"/>
  <c r="E3677" i="1"/>
  <c r="G3677" i="1"/>
  <c r="H3677" i="1" s="1"/>
  <c r="C3678" i="1"/>
  <c r="K3678" i="1" s="1"/>
  <c r="D3678" i="1"/>
  <c r="E3678" i="1"/>
  <c r="G3678" i="1"/>
  <c r="H3678" i="1" s="1"/>
  <c r="C3679" i="1"/>
  <c r="K3679" i="1" s="1"/>
  <c r="D3679" i="1"/>
  <c r="E3679" i="1"/>
  <c r="G3679" i="1"/>
  <c r="H3679" i="1" s="1"/>
  <c r="C3680" i="1"/>
  <c r="K3680" i="1" s="1"/>
  <c r="D3680" i="1"/>
  <c r="E3680" i="1"/>
  <c r="G3680" i="1"/>
  <c r="H3680" i="1" s="1"/>
  <c r="C3681" i="1"/>
  <c r="K3681" i="1" s="1"/>
  <c r="D3681" i="1"/>
  <c r="E3681" i="1"/>
  <c r="G3681" i="1"/>
  <c r="H3681" i="1" s="1"/>
  <c r="C3682" i="1"/>
  <c r="K3682" i="1" s="1"/>
  <c r="D3682" i="1"/>
  <c r="E3682" i="1"/>
  <c r="G3682" i="1"/>
  <c r="H3682" i="1" s="1"/>
  <c r="C3683" i="1"/>
  <c r="K3683" i="1" s="1"/>
  <c r="D3683" i="1"/>
  <c r="E3683" i="1"/>
  <c r="G3683" i="1"/>
  <c r="H3683" i="1" s="1"/>
  <c r="C3684" i="1"/>
  <c r="K3684" i="1" s="1"/>
  <c r="D3684" i="1"/>
  <c r="E3684" i="1"/>
  <c r="G3684" i="1"/>
  <c r="H3684" i="1" s="1"/>
  <c r="C3685" i="1"/>
  <c r="K3685" i="1" s="1"/>
  <c r="D3685" i="1"/>
  <c r="E3685" i="1"/>
  <c r="G3685" i="1"/>
  <c r="H3685" i="1" s="1"/>
  <c r="C3686" i="1"/>
  <c r="K3686" i="1" s="1"/>
  <c r="D3686" i="1"/>
  <c r="E3686" i="1"/>
  <c r="G3686" i="1"/>
  <c r="H3686" i="1" s="1"/>
  <c r="C3687" i="1"/>
  <c r="K3687" i="1" s="1"/>
  <c r="D3687" i="1"/>
  <c r="E3687" i="1"/>
  <c r="G3687" i="1"/>
  <c r="H3687" i="1" s="1"/>
  <c r="C3688" i="1"/>
  <c r="K3688" i="1" s="1"/>
  <c r="D3688" i="1"/>
  <c r="E3688" i="1"/>
  <c r="G3688" i="1"/>
  <c r="H3688" i="1" s="1"/>
  <c r="C3689" i="1"/>
  <c r="K3689" i="1" s="1"/>
  <c r="D3689" i="1"/>
  <c r="E3689" i="1"/>
  <c r="G3689" i="1"/>
  <c r="H3689" i="1" s="1"/>
  <c r="C3690" i="1"/>
  <c r="K3690" i="1" s="1"/>
  <c r="D3690" i="1"/>
  <c r="E3690" i="1"/>
  <c r="G3690" i="1"/>
  <c r="H3690" i="1" s="1"/>
  <c r="C3691" i="1"/>
  <c r="K3691" i="1" s="1"/>
  <c r="D3691" i="1"/>
  <c r="E3691" i="1"/>
  <c r="G3691" i="1"/>
  <c r="H3691" i="1" s="1"/>
  <c r="C3692" i="1"/>
  <c r="K3692" i="1" s="1"/>
  <c r="D3692" i="1"/>
  <c r="E3692" i="1"/>
  <c r="G3692" i="1"/>
  <c r="H3692" i="1" s="1"/>
  <c r="C3693" i="1"/>
  <c r="K3693" i="1" s="1"/>
  <c r="D3693" i="1"/>
  <c r="E3693" i="1"/>
  <c r="G3693" i="1"/>
  <c r="H3693" i="1" s="1"/>
  <c r="C3694" i="1"/>
  <c r="K3694" i="1" s="1"/>
  <c r="D3694" i="1"/>
  <c r="E3694" i="1"/>
  <c r="G3694" i="1"/>
  <c r="H3694" i="1" s="1"/>
  <c r="C3695" i="1"/>
  <c r="K3695" i="1" s="1"/>
  <c r="D3695" i="1"/>
  <c r="E3695" i="1"/>
  <c r="G3695" i="1"/>
  <c r="H3695" i="1" s="1"/>
  <c r="C3696" i="1"/>
  <c r="K3696" i="1" s="1"/>
  <c r="D3696" i="1"/>
  <c r="E3696" i="1"/>
  <c r="G3696" i="1"/>
  <c r="H3696" i="1" s="1"/>
  <c r="C3697" i="1"/>
  <c r="K3697" i="1" s="1"/>
  <c r="D3697" i="1"/>
  <c r="E3697" i="1"/>
  <c r="G3697" i="1"/>
  <c r="H3697" i="1" s="1"/>
  <c r="C3698" i="1"/>
  <c r="K3698" i="1" s="1"/>
  <c r="D3698" i="1"/>
  <c r="E3698" i="1"/>
  <c r="G3698" i="1"/>
  <c r="H3698" i="1" s="1"/>
  <c r="C3699" i="1"/>
  <c r="K3699" i="1" s="1"/>
  <c r="D3699" i="1"/>
  <c r="E3699" i="1"/>
  <c r="G3699" i="1"/>
  <c r="H3699" i="1" s="1"/>
  <c r="C3700" i="1"/>
  <c r="K3700" i="1" s="1"/>
  <c r="D3700" i="1"/>
  <c r="E3700" i="1"/>
  <c r="G3700" i="1"/>
  <c r="H3700" i="1" s="1"/>
  <c r="C3701" i="1"/>
  <c r="K3701" i="1" s="1"/>
  <c r="D3701" i="1"/>
  <c r="E3701" i="1"/>
  <c r="G3701" i="1"/>
  <c r="H3701" i="1" s="1"/>
  <c r="C3702" i="1"/>
  <c r="K3702" i="1" s="1"/>
  <c r="D3702" i="1"/>
  <c r="E3702" i="1"/>
  <c r="G3702" i="1"/>
  <c r="H3702" i="1" s="1"/>
  <c r="C3703" i="1"/>
  <c r="K3703" i="1" s="1"/>
  <c r="D3703" i="1"/>
  <c r="E3703" i="1"/>
  <c r="G3703" i="1"/>
  <c r="H3703" i="1" s="1"/>
  <c r="C3704" i="1"/>
  <c r="K3704" i="1" s="1"/>
  <c r="D3704" i="1"/>
  <c r="E3704" i="1"/>
  <c r="G3704" i="1"/>
  <c r="H3704" i="1" s="1"/>
  <c r="C3705" i="1"/>
  <c r="K3705" i="1" s="1"/>
  <c r="D3705" i="1"/>
  <c r="E3705" i="1"/>
  <c r="G3705" i="1"/>
  <c r="H3705" i="1" s="1"/>
  <c r="C3706" i="1"/>
  <c r="K3706" i="1" s="1"/>
  <c r="D3706" i="1"/>
  <c r="E3706" i="1"/>
  <c r="G3706" i="1"/>
  <c r="H3706" i="1" s="1"/>
  <c r="C3707" i="1"/>
  <c r="K3707" i="1" s="1"/>
  <c r="D3707" i="1"/>
  <c r="E3707" i="1"/>
  <c r="G3707" i="1"/>
  <c r="H3707" i="1" s="1"/>
  <c r="C3708" i="1"/>
  <c r="K3708" i="1" s="1"/>
  <c r="D3708" i="1"/>
  <c r="E3708" i="1"/>
  <c r="G3708" i="1"/>
  <c r="H3708" i="1" s="1"/>
  <c r="C3709" i="1"/>
  <c r="K3709" i="1" s="1"/>
  <c r="D3709" i="1"/>
  <c r="E3709" i="1"/>
  <c r="G3709" i="1"/>
  <c r="H3709" i="1" s="1"/>
  <c r="C3710" i="1"/>
  <c r="K3710" i="1" s="1"/>
  <c r="D3710" i="1"/>
  <c r="E3710" i="1"/>
  <c r="G3710" i="1"/>
  <c r="H3710" i="1" s="1"/>
  <c r="C3711" i="1"/>
  <c r="K3711" i="1" s="1"/>
  <c r="D3711" i="1"/>
  <c r="E3711" i="1"/>
  <c r="G3711" i="1"/>
  <c r="H3711" i="1" s="1"/>
  <c r="C3712" i="1"/>
  <c r="K3712" i="1" s="1"/>
  <c r="D3712" i="1"/>
  <c r="E3712" i="1"/>
  <c r="G3712" i="1"/>
  <c r="H3712" i="1" s="1"/>
  <c r="C3713" i="1"/>
  <c r="K3713" i="1" s="1"/>
  <c r="D3713" i="1"/>
  <c r="E3713" i="1"/>
  <c r="G3713" i="1"/>
  <c r="H3713" i="1" s="1"/>
  <c r="C3714" i="1"/>
  <c r="K3714" i="1" s="1"/>
  <c r="D3714" i="1"/>
  <c r="E3714" i="1"/>
  <c r="G3714" i="1"/>
  <c r="H3714" i="1" s="1"/>
  <c r="C3715" i="1"/>
  <c r="K3715" i="1" s="1"/>
  <c r="D3715" i="1"/>
  <c r="E3715" i="1"/>
  <c r="G3715" i="1"/>
  <c r="H3715" i="1" s="1"/>
  <c r="C3716" i="1"/>
  <c r="K3716" i="1" s="1"/>
  <c r="D3716" i="1"/>
  <c r="E3716" i="1"/>
  <c r="G3716" i="1"/>
  <c r="H3716" i="1" s="1"/>
  <c r="C3717" i="1"/>
  <c r="K3717" i="1" s="1"/>
  <c r="D3717" i="1"/>
  <c r="E3717" i="1"/>
  <c r="G3717" i="1"/>
  <c r="H3717" i="1" s="1"/>
  <c r="C3718" i="1"/>
  <c r="K3718" i="1" s="1"/>
  <c r="D3718" i="1"/>
  <c r="E3718" i="1"/>
  <c r="G3718" i="1"/>
  <c r="H3718" i="1" s="1"/>
  <c r="C3719" i="1"/>
  <c r="K3719" i="1" s="1"/>
  <c r="D3719" i="1"/>
  <c r="E3719" i="1"/>
  <c r="G3719" i="1"/>
  <c r="H3719" i="1" s="1"/>
  <c r="C3720" i="1"/>
  <c r="K3720" i="1" s="1"/>
  <c r="D3720" i="1"/>
  <c r="E3720" i="1"/>
  <c r="G3720" i="1"/>
  <c r="H3720" i="1" s="1"/>
  <c r="C3721" i="1"/>
  <c r="K3721" i="1" s="1"/>
  <c r="D3721" i="1"/>
  <c r="E3721" i="1"/>
  <c r="G3721" i="1"/>
  <c r="H3721" i="1" s="1"/>
  <c r="C3722" i="1"/>
  <c r="K3722" i="1" s="1"/>
  <c r="D3722" i="1"/>
  <c r="E3722" i="1"/>
  <c r="G3722" i="1"/>
  <c r="H3722" i="1" s="1"/>
  <c r="C3723" i="1"/>
  <c r="K3723" i="1" s="1"/>
  <c r="D3723" i="1"/>
  <c r="E3723" i="1"/>
  <c r="G3723" i="1"/>
  <c r="H3723" i="1" s="1"/>
  <c r="C3724" i="1"/>
  <c r="K3724" i="1" s="1"/>
  <c r="D3724" i="1"/>
  <c r="E3724" i="1"/>
  <c r="G3724" i="1"/>
  <c r="H3724" i="1" s="1"/>
  <c r="C3725" i="1"/>
  <c r="K3725" i="1" s="1"/>
  <c r="D3725" i="1"/>
  <c r="E3725" i="1"/>
  <c r="G3725" i="1"/>
  <c r="H3725" i="1" s="1"/>
  <c r="C3726" i="1"/>
  <c r="K3726" i="1" s="1"/>
  <c r="D3726" i="1"/>
  <c r="E3726" i="1"/>
  <c r="G3726" i="1"/>
  <c r="H3726" i="1" s="1"/>
  <c r="C3727" i="1"/>
  <c r="K3727" i="1" s="1"/>
  <c r="D3727" i="1"/>
  <c r="E3727" i="1"/>
  <c r="G3727" i="1"/>
  <c r="H3727" i="1" s="1"/>
  <c r="C3728" i="1"/>
  <c r="K3728" i="1" s="1"/>
  <c r="D3728" i="1"/>
  <c r="E3728" i="1"/>
  <c r="G3728" i="1"/>
  <c r="H3728" i="1" s="1"/>
  <c r="C3729" i="1"/>
  <c r="K3729" i="1" s="1"/>
  <c r="D3729" i="1"/>
  <c r="E3729" i="1"/>
  <c r="G3729" i="1"/>
  <c r="H3729" i="1" s="1"/>
  <c r="C3730" i="1"/>
  <c r="K3730" i="1" s="1"/>
  <c r="D3730" i="1"/>
  <c r="E3730" i="1"/>
  <c r="G3730" i="1"/>
  <c r="H3730" i="1" s="1"/>
  <c r="C3731" i="1"/>
  <c r="K3731" i="1" s="1"/>
  <c r="D3731" i="1"/>
  <c r="E3731" i="1"/>
  <c r="G3731" i="1"/>
  <c r="H3731" i="1" s="1"/>
  <c r="C3732" i="1"/>
  <c r="K3732" i="1" s="1"/>
  <c r="D3732" i="1"/>
  <c r="E3732" i="1"/>
  <c r="G3732" i="1"/>
  <c r="H3732" i="1" s="1"/>
  <c r="C3733" i="1"/>
  <c r="K3733" i="1" s="1"/>
  <c r="D3733" i="1"/>
  <c r="E3733" i="1"/>
  <c r="G3733" i="1"/>
  <c r="H3733" i="1" s="1"/>
  <c r="C3734" i="1"/>
  <c r="K3734" i="1" s="1"/>
  <c r="D3734" i="1"/>
  <c r="E3734" i="1"/>
  <c r="G3734" i="1"/>
  <c r="H3734" i="1" s="1"/>
  <c r="C3735" i="1"/>
  <c r="K3735" i="1" s="1"/>
  <c r="D3735" i="1"/>
  <c r="E3735" i="1"/>
  <c r="G3735" i="1"/>
  <c r="H3735" i="1" s="1"/>
  <c r="C3736" i="1"/>
  <c r="K3736" i="1" s="1"/>
  <c r="D3736" i="1"/>
  <c r="E3736" i="1"/>
  <c r="G3736" i="1"/>
  <c r="H3736" i="1" s="1"/>
  <c r="C3737" i="1"/>
  <c r="K3737" i="1" s="1"/>
  <c r="D3737" i="1"/>
  <c r="E3737" i="1"/>
  <c r="G3737" i="1"/>
  <c r="H3737" i="1" s="1"/>
  <c r="C3738" i="1"/>
  <c r="K3738" i="1" s="1"/>
  <c r="D3738" i="1"/>
  <c r="E3738" i="1"/>
  <c r="G3738" i="1"/>
  <c r="H3738" i="1" s="1"/>
  <c r="C3739" i="1"/>
  <c r="K3739" i="1" s="1"/>
  <c r="D3739" i="1"/>
  <c r="E3739" i="1"/>
  <c r="G3739" i="1"/>
  <c r="H3739" i="1" s="1"/>
  <c r="C3740" i="1"/>
  <c r="K3740" i="1" s="1"/>
  <c r="D3740" i="1"/>
  <c r="E3740" i="1"/>
  <c r="G3740" i="1"/>
  <c r="H3740" i="1" s="1"/>
  <c r="C3741" i="1"/>
  <c r="K3741" i="1" s="1"/>
  <c r="D3741" i="1"/>
  <c r="E3741" i="1"/>
  <c r="G3741" i="1"/>
  <c r="H3741" i="1" s="1"/>
  <c r="C3742" i="1"/>
  <c r="K3742" i="1" s="1"/>
  <c r="D3742" i="1"/>
  <c r="E3742" i="1"/>
  <c r="G3742" i="1"/>
  <c r="H3742" i="1" s="1"/>
  <c r="C3743" i="1"/>
  <c r="K3743" i="1" s="1"/>
  <c r="D3743" i="1"/>
  <c r="E3743" i="1"/>
  <c r="G3743" i="1"/>
  <c r="H3743" i="1" s="1"/>
  <c r="C3744" i="1"/>
  <c r="K3744" i="1" s="1"/>
  <c r="D3744" i="1"/>
  <c r="E3744" i="1"/>
  <c r="G3744" i="1"/>
  <c r="H3744" i="1" s="1"/>
  <c r="C3745" i="1"/>
  <c r="K3745" i="1" s="1"/>
  <c r="D3745" i="1"/>
  <c r="E3745" i="1"/>
  <c r="G3745" i="1"/>
  <c r="H3745" i="1" s="1"/>
  <c r="C3746" i="1"/>
  <c r="K3746" i="1" s="1"/>
  <c r="D3746" i="1"/>
  <c r="E3746" i="1"/>
  <c r="G3746" i="1"/>
  <c r="H3746" i="1" s="1"/>
  <c r="C3747" i="1"/>
  <c r="K3747" i="1" s="1"/>
  <c r="D3747" i="1"/>
  <c r="E3747" i="1"/>
  <c r="G3747" i="1"/>
  <c r="H3747" i="1" s="1"/>
  <c r="C3748" i="1"/>
  <c r="K3748" i="1" s="1"/>
  <c r="D3748" i="1"/>
  <c r="E3748" i="1"/>
  <c r="G3748" i="1"/>
  <c r="H3748" i="1" s="1"/>
  <c r="C3749" i="1"/>
  <c r="K3749" i="1" s="1"/>
  <c r="D3749" i="1"/>
  <c r="E3749" i="1"/>
  <c r="G3749" i="1"/>
  <c r="H3749" i="1" s="1"/>
  <c r="C3750" i="1"/>
  <c r="K3750" i="1" s="1"/>
  <c r="D3750" i="1"/>
  <c r="E3750" i="1"/>
  <c r="G3750" i="1"/>
  <c r="H3750" i="1" s="1"/>
  <c r="C3751" i="1"/>
  <c r="K3751" i="1" s="1"/>
  <c r="D3751" i="1"/>
  <c r="E3751" i="1"/>
  <c r="G3751" i="1"/>
  <c r="H3751" i="1" s="1"/>
  <c r="C3752" i="1"/>
  <c r="K3752" i="1" s="1"/>
  <c r="D3752" i="1"/>
  <c r="E3752" i="1"/>
  <c r="G3752" i="1"/>
  <c r="H3752" i="1" s="1"/>
  <c r="C3753" i="1"/>
  <c r="K3753" i="1" s="1"/>
  <c r="D3753" i="1"/>
  <c r="E3753" i="1"/>
  <c r="G3753" i="1"/>
  <c r="H3753" i="1" s="1"/>
  <c r="C3754" i="1"/>
  <c r="K3754" i="1" s="1"/>
  <c r="D3754" i="1"/>
  <c r="E3754" i="1"/>
  <c r="G3754" i="1"/>
  <c r="H3754" i="1" s="1"/>
  <c r="C3755" i="1"/>
  <c r="K3755" i="1" s="1"/>
  <c r="D3755" i="1"/>
  <c r="E3755" i="1"/>
  <c r="G3755" i="1"/>
  <c r="H3755" i="1" s="1"/>
  <c r="C3756" i="1"/>
  <c r="K3756" i="1" s="1"/>
  <c r="D3756" i="1"/>
  <c r="E3756" i="1"/>
  <c r="G3756" i="1"/>
  <c r="H3756" i="1" s="1"/>
  <c r="C3757" i="1"/>
  <c r="D3757" i="1"/>
  <c r="E3757" i="1"/>
  <c r="G3757" i="1"/>
  <c r="H3757" i="1" s="1"/>
  <c r="C3758" i="1"/>
  <c r="K3758" i="1" s="1"/>
  <c r="D3758" i="1"/>
  <c r="E3758" i="1"/>
  <c r="G3758" i="1"/>
  <c r="H3758" i="1" s="1"/>
  <c r="C3759" i="1"/>
  <c r="K3759" i="1" s="1"/>
  <c r="D3759" i="1"/>
  <c r="E3759" i="1"/>
  <c r="G3759" i="1"/>
  <c r="H3759" i="1" s="1"/>
  <c r="C3760" i="1"/>
  <c r="K3760" i="1" s="1"/>
  <c r="D3760" i="1"/>
  <c r="E3760" i="1"/>
  <c r="G3760" i="1"/>
  <c r="H3760" i="1" s="1"/>
  <c r="C3761" i="1"/>
  <c r="K3761" i="1" s="1"/>
  <c r="D3761" i="1"/>
  <c r="E3761" i="1"/>
  <c r="G3761" i="1"/>
  <c r="H3761" i="1" s="1"/>
  <c r="C3762" i="1"/>
  <c r="K3762" i="1" s="1"/>
  <c r="D3762" i="1"/>
  <c r="E3762" i="1"/>
  <c r="G3762" i="1"/>
  <c r="H3762" i="1" s="1"/>
  <c r="C3763" i="1"/>
  <c r="K3763" i="1" s="1"/>
  <c r="D3763" i="1"/>
  <c r="E3763" i="1"/>
  <c r="G3763" i="1"/>
  <c r="H3763" i="1" s="1"/>
  <c r="C3764" i="1"/>
  <c r="K3764" i="1" s="1"/>
  <c r="D3764" i="1"/>
  <c r="E3764" i="1"/>
  <c r="G3764" i="1"/>
  <c r="H3764" i="1" s="1"/>
  <c r="C3765" i="1"/>
  <c r="D3765" i="1"/>
  <c r="E3765" i="1"/>
  <c r="G3765" i="1"/>
  <c r="H3765" i="1" s="1"/>
  <c r="C3766" i="1"/>
  <c r="K3766" i="1" s="1"/>
  <c r="D3766" i="1"/>
  <c r="E3766" i="1"/>
  <c r="G3766" i="1"/>
  <c r="H3766" i="1" s="1"/>
  <c r="C3767" i="1"/>
  <c r="K3767" i="1" s="1"/>
  <c r="D3767" i="1"/>
  <c r="E3767" i="1"/>
  <c r="G3767" i="1"/>
  <c r="H3767" i="1" s="1"/>
  <c r="C3768" i="1"/>
  <c r="K3768" i="1" s="1"/>
  <c r="D3768" i="1"/>
  <c r="E3768" i="1"/>
  <c r="G3768" i="1"/>
  <c r="H3768" i="1" s="1"/>
  <c r="C3769" i="1"/>
  <c r="K3769" i="1" s="1"/>
  <c r="D3769" i="1"/>
  <c r="E3769" i="1"/>
  <c r="G3769" i="1"/>
  <c r="H3769" i="1" s="1"/>
  <c r="C3770" i="1"/>
  <c r="K3770" i="1" s="1"/>
  <c r="D3770" i="1"/>
  <c r="E3770" i="1"/>
  <c r="G3770" i="1"/>
  <c r="H3770" i="1" s="1"/>
  <c r="C3771" i="1"/>
  <c r="D3771" i="1"/>
  <c r="E3771" i="1"/>
  <c r="G3771" i="1"/>
  <c r="H3771" i="1" s="1"/>
  <c r="C3772" i="1"/>
  <c r="K3772" i="1" s="1"/>
  <c r="D3772" i="1"/>
  <c r="E3772" i="1"/>
  <c r="G3772" i="1"/>
  <c r="H3772" i="1" s="1"/>
  <c r="C3773" i="1"/>
  <c r="K3773" i="1" s="1"/>
  <c r="D3773" i="1"/>
  <c r="E3773" i="1"/>
  <c r="G3773" i="1"/>
  <c r="H3773" i="1" s="1"/>
  <c r="C3774" i="1"/>
  <c r="K3774" i="1" s="1"/>
  <c r="D3774" i="1"/>
  <c r="E3774" i="1"/>
  <c r="G3774" i="1"/>
  <c r="H3774" i="1" s="1"/>
  <c r="C3775" i="1"/>
  <c r="K3775" i="1" s="1"/>
  <c r="D3775" i="1"/>
  <c r="E3775" i="1"/>
  <c r="G3775" i="1"/>
  <c r="H3775" i="1" s="1"/>
  <c r="C3776" i="1"/>
  <c r="K3776" i="1" s="1"/>
  <c r="D3776" i="1"/>
  <c r="E3776" i="1"/>
  <c r="G3776" i="1"/>
  <c r="H3776" i="1" s="1"/>
  <c r="C3777" i="1"/>
  <c r="K3777" i="1" s="1"/>
  <c r="D3777" i="1"/>
  <c r="E3777" i="1"/>
  <c r="G3777" i="1"/>
  <c r="H3777" i="1" s="1"/>
  <c r="C3778" i="1"/>
  <c r="K3778" i="1" s="1"/>
  <c r="D3778" i="1"/>
  <c r="E3778" i="1"/>
  <c r="G3778" i="1"/>
  <c r="H3778" i="1" s="1"/>
  <c r="C3779" i="1"/>
  <c r="K3779" i="1" s="1"/>
  <c r="D3779" i="1"/>
  <c r="E3779" i="1"/>
  <c r="G3779" i="1"/>
  <c r="H3779" i="1" s="1"/>
  <c r="C3780" i="1"/>
  <c r="K3780" i="1" s="1"/>
  <c r="D3780" i="1"/>
  <c r="E3780" i="1"/>
  <c r="G3780" i="1"/>
  <c r="H3780" i="1" s="1"/>
  <c r="C3781" i="1"/>
  <c r="K3781" i="1" s="1"/>
  <c r="D3781" i="1"/>
  <c r="E3781" i="1"/>
  <c r="G3781" i="1"/>
  <c r="H3781" i="1" s="1"/>
  <c r="C3782" i="1"/>
  <c r="K3782" i="1" s="1"/>
  <c r="D3782" i="1"/>
  <c r="E3782" i="1"/>
  <c r="G3782" i="1"/>
  <c r="H3782" i="1" s="1"/>
  <c r="C3783" i="1"/>
  <c r="K3783" i="1" s="1"/>
  <c r="D3783" i="1"/>
  <c r="E3783" i="1"/>
  <c r="G3783" i="1"/>
  <c r="H3783" i="1" s="1"/>
  <c r="C3784" i="1"/>
  <c r="K3784" i="1" s="1"/>
  <c r="D3784" i="1"/>
  <c r="E3784" i="1"/>
  <c r="G3784" i="1"/>
  <c r="H3784" i="1" s="1"/>
  <c r="C3785" i="1"/>
  <c r="K3785" i="1" s="1"/>
  <c r="D3785" i="1"/>
  <c r="E3785" i="1"/>
  <c r="G3785" i="1"/>
  <c r="H3785" i="1" s="1"/>
  <c r="C3786" i="1"/>
  <c r="K3786" i="1" s="1"/>
  <c r="D3786" i="1"/>
  <c r="E3786" i="1"/>
  <c r="G3786" i="1"/>
  <c r="H3786" i="1" s="1"/>
  <c r="C3787" i="1"/>
  <c r="K3787" i="1" s="1"/>
  <c r="D3787" i="1"/>
  <c r="E3787" i="1"/>
  <c r="G3787" i="1"/>
  <c r="H3787" i="1" s="1"/>
  <c r="C3788" i="1"/>
  <c r="K3788" i="1" s="1"/>
  <c r="D3788" i="1"/>
  <c r="E3788" i="1"/>
  <c r="G3788" i="1"/>
  <c r="H3788" i="1" s="1"/>
  <c r="C3789" i="1"/>
  <c r="K3789" i="1" s="1"/>
  <c r="D3789" i="1"/>
  <c r="E3789" i="1"/>
  <c r="G3789" i="1"/>
  <c r="H3789" i="1" s="1"/>
  <c r="C3790" i="1"/>
  <c r="K3790" i="1" s="1"/>
  <c r="D3790" i="1"/>
  <c r="E3790" i="1"/>
  <c r="G3790" i="1"/>
  <c r="H3790" i="1" s="1"/>
  <c r="C3791" i="1"/>
  <c r="K3791" i="1" s="1"/>
  <c r="D3791" i="1"/>
  <c r="E3791" i="1"/>
  <c r="G3791" i="1"/>
  <c r="H3791" i="1" s="1"/>
  <c r="C3792" i="1"/>
  <c r="K3792" i="1" s="1"/>
  <c r="D3792" i="1"/>
  <c r="E3792" i="1"/>
  <c r="G3792" i="1"/>
  <c r="H3792" i="1" s="1"/>
  <c r="C3793" i="1"/>
  <c r="K3793" i="1" s="1"/>
  <c r="D3793" i="1"/>
  <c r="E3793" i="1"/>
  <c r="G3793" i="1"/>
  <c r="H3793" i="1" s="1"/>
  <c r="C3794" i="1"/>
  <c r="K3794" i="1" s="1"/>
  <c r="D3794" i="1"/>
  <c r="E3794" i="1"/>
  <c r="G3794" i="1"/>
  <c r="H3794" i="1" s="1"/>
  <c r="C3795" i="1"/>
  <c r="K3795" i="1" s="1"/>
  <c r="D3795" i="1"/>
  <c r="E3795" i="1"/>
  <c r="G3795" i="1"/>
  <c r="H3795" i="1" s="1"/>
  <c r="C3796" i="1"/>
  <c r="K3796" i="1" s="1"/>
  <c r="D3796" i="1"/>
  <c r="E3796" i="1"/>
  <c r="G3796" i="1"/>
  <c r="H3796" i="1" s="1"/>
  <c r="C3797" i="1"/>
  <c r="K3797" i="1" s="1"/>
  <c r="D3797" i="1"/>
  <c r="E3797" i="1"/>
  <c r="G3797" i="1"/>
  <c r="H3797" i="1" s="1"/>
  <c r="C3798" i="1"/>
  <c r="K3798" i="1" s="1"/>
  <c r="D3798" i="1"/>
  <c r="E3798" i="1"/>
  <c r="G3798" i="1"/>
  <c r="H3798" i="1" s="1"/>
  <c r="C3799" i="1"/>
  <c r="K3799" i="1" s="1"/>
  <c r="D3799" i="1"/>
  <c r="E3799" i="1"/>
  <c r="G3799" i="1"/>
  <c r="H3799" i="1" s="1"/>
  <c r="C3800" i="1"/>
  <c r="K3800" i="1" s="1"/>
  <c r="D3800" i="1"/>
  <c r="E3800" i="1"/>
  <c r="G3800" i="1"/>
  <c r="H3800" i="1" s="1"/>
  <c r="C3801" i="1"/>
  <c r="K3801" i="1" s="1"/>
  <c r="D3801" i="1"/>
  <c r="E3801" i="1"/>
  <c r="G3801" i="1"/>
  <c r="H3801" i="1" s="1"/>
  <c r="C3802" i="1"/>
  <c r="K3802" i="1" s="1"/>
  <c r="D3802" i="1"/>
  <c r="E3802" i="1"/>
  <c r="G3802" i="1"/>
  <c r="H3802" i="1" s="1"/>
  <c r="C3803" i="1"/>
  <c r="K3803" i="1" s="1"/>
  <c r="D3803" i="1"/>
  <c r="E3803" i="1"/>
  <c r="G3803" i="1"/>
  <c r="H3803" i="1" s="1"/>
  <c r="C3804" i="1"/>
  <c r="K3804" i="1" s="1"/>
  <c r="D3804" i="1"/>
  <c r="E3804" i="1"/>
  <c r="G3804" i="1"/>
  <c r="H3804" i="1" s="1"/>
  <c r="C3805" i="1"/>
  <c r="K3805" i="1" s="1"/>
  <c r="D3805" i="1"/>
  <c r="E3805" i="1"/>
  <c r="G3805" i="1"/>
  <c r="H3805" i="1" s="1"/>
  <c r="C3806" i="1"/>
  <c r="K3806" i="1" s="1"/>
  <c r="D3806" i="1"/>
  <c r="E3806" i="1"/>
  <c r="G3806" i="1"/>
  <c r="H3806" i="1" s="1"/>
  <c r="C3807" i="1"/>
  <c r="K3807" i="1" s="1"/>
  <c r="D3807" i="1"/>
  <c r="E3807" i="1"/>
  <c r="G3807" i="1"/>
  <c r="H3807" i="1" s="1"/>
  <c r="C3808" i="1"/>
  <c r="K3808" i="1" s="1"/>
  <c r="D3808" i="1"/>
  <c r="E3808" i="1"/>
  <c r="G3808" i="1"/>
  <c r="H3808" i="1" s="1"/>
  <c r="C3809" i="1"/>
  <c r="K3809" i="1" s="1"/>
  <c r="D3809" i="1"/>
  <c r="E3809" i="1"/>
  <c r="G3809" i="1"/>
  <c r="H3809" i="1" s="1"/>
  <c r="C3810" i="1"/>
  <c r="K3810" i="1" s="1"/>
  <c r="D3810" i="1"/>
  <c r="E3810" i="1"/>
  <c r="G3810" i="1"/>
  <c r="H3810" i="1" s="1"/>
  <c r="C3811" i="1"/>
  <c r="K3811" i="1" s="1"/>
  <c r="D3811" i="1"/>
  <c r="E3811" i="1"/>
  <c r="G3811" i="1"/>
  <c r="H3811" i="1" s="1"/>
  <c r="C3812" i="1"/>
  <c r="K3812" i="1" s="1"/>
  <c r="D3812" i="1"/>
  <c r="E3812" i="1"/>
  <c r="G3812" i="1"/>
  <c r="H3812" i="1" s="1"/>
  <c r="C3813" i="1"/>
  <c r="K3813" i="1" s="1"/>
  <c r="D3813" i="1"/>
  <c r="E3813" i="1"/>
  <c r="G3813" i="1"/>
  <c r="H3813" i="1" s="1"/>
  <c r="C3814" i="1"/>
  <c r="K3814" i="1" s="1"/>
  <c r="D3814" i="1"/>
  <c r="E3814" i="1"/>
  <c r="G3814" i="1"/>
  <c r="H3814" i="1" s="1"/>
  <c r="C3815" i="1"/>
  <c r="K3815" i="1" s="1"/>
  <c r="D3815" i="1"/>
  <c r="E3815" i="1"/>
  <c r="G3815" i="1"/>
  <c r="H3815" i="1" s="1"/>
  <c r="C3816" i="1"/>
  <c r="K3816" i="1" s="1"/>
  <c r="D3816" i="1"/>
  <c r="E3816" i="1"/>
  <c r="G3816" i="1"/>
  <c r="H3816" i="1" s="1"/>
  <c r="C3817" i="1"/>
  <c r="K3817" i="1" s="1"/>
  <c r="D3817" i="1"/>
  <c r="E3817" i="1"/>
  <c r="G3817" i="1"/>
  <c r="H3817" i="1" s="1"/>
  <c r="C3818" i="1"/>
  <c r="K3818" i="1" s="1"/>
  <c r="D3818" i="1"/>
  <c r="E3818" i="1"/>
  <c r="G3818" i="1"/>
  <c r="H3818" i="1" s="1"/>
  <c r="C3819" i="1"/>
  <c r="K3819" i="1" s="1"/>
  <c r="D3819" i="1"/>
  <c r="E3819" i="1"/>
  <c r="G3819" i="1"/>
  <c r="H3819" i="1" s="1"/>
  <c r="C3820" i="1"/>
  <c r="K3820" i="1" s="1"/>
  <c r="D3820" i="1"/>
  <c r="E3820" i="1"/>
  <c r="G3820" i="1"/>
  <c r="H3820" i="1" s="1"/>
  <c r="C3821" i="1"/>
  <c r="K3821" i="1" s="1"/>
  <c r="D3821" i="1"/>
  <c r="E3821" i="1"/>
  <c r="G3821" i="1"/>
  <c r="H3821" i="1" s="1"/>
  <c r="C3822" i="1"/>
  <c r="D3822" i="1"/>
  <c r="E3822" i="1"/>
  <c r="G3822" i="1"/>
  <c r="H3822" i="1" s="1"/>
  <c r="C3823" i="1"/>
  <c r="K3823" i="1" s="1"/>
  <c r="D3823" i="1"/>
  <c r="E3823" i="1"/>
  <c r="G3823" i="1"/>
  <c r="H3823" i="1" s="1"/>
  <c r="C3824" i="1"/>
  <c r="K3824" i="1" s="1"/>
  <c r="D3824" i="1"/>
  <c r="E3824" i="1"/>
  <c r="G3824" i="1"/>
  <c r="H3824" i="1" s="1"/>
  <c r="C3825" i="1"/>
  <c r="K3825" i="1" s="1"/>
  <c r="D3825" i="1"/>
  <c r="E3825" i="1"/>
  <c r="G3825" i="1"/>
  <c r="H3825" i="1" s="1"/>
  <c r="C3826" i="1"/>
  <c r="K3826" i="1" s="1"/>
  <c r="D3826" i="1"/>
  <c r="E3826" i="1"/>
  <c r="G3826" i="1"/>
  <c r="H3826" i="1" s="1"/>
  <c r="C3827" i="1"/>
  <c r="K3827" i="1" s="1"/>
  <c r="D3827" i="1"/>
  <c r="E3827" i="1"/>
  <c r="G3827" i="1"/>
  <c r="H3827" i="1" s="1"/>
  <c r="C3828" i="1"/>
  <c r="K3828" i="1" s="1"/>
  <c r="D3828" i="1"/>
  <c r="E3828" i="1"/>
  <c r="G3828" i="1"/>
  <c r="H3828" i="1" s="1"/>
  <c r="C3829" i="1"/>
  <c r="K3829" i="1" s="1"/>
  <c r="D3829" i="1"/>
  <c r="E3829" i="1"/>
  <c r="G3829" i="1"/>
  <c r="H3829" i="1" s="1"/>
  <c r="C3830" i="1"/>
  <c r="K3830" i="1" s="1"/>
  <c r="D3830" i="1"/>
  <c r="E3830" i="1"/>
  <c r="G3830" i="1"/>
  <c r="H3830" i="1" s="1"/>
  <c r="C3831" i="1"/>
  <c r="K3831" i="1" s="1"/>
  <c r="D3831" i="1"/>
  <c r="E3831" i="1"/>
  <c r="G3831" i="1"/>
  <c r="H3831" i="1" s="1"/>
  <c r="C3832" i="1"/>
  <c r="K3832" i="1" s="1"/>
  <c r="D3832" i="1"/>
  <c r="E3832" i="1"/>
  <c r="G3832" i="1"/>
  <c r="H3832" i="1" s="1"/>
  <c r="C3833" i="1"/>
  <c r="K3833" i="1" s="1"/>
  <c r="D3833" i="1"/>
  <c r="E3833" i="1"/>
  <c r="G3833" i="1"/>
  <c r="H3833" i="1" s="1"/>
  <c r="C3834" i="1"/>
  <c r="K3834" i="1" s="1"/>
  <c r="D3834" i="1"/>
  <c r="E3834" i="1"/>
  <c r="G3834" i="1"/>
  <c r="H3834" i="1" s="1"/>
  <c r="C3835" i="1"/>
  <c r="K3835" i="1" s="1"/>
  <c r="D3835" i="1"/>
  <c r="E3835" i="1"/>
  <c r="G3835" i="1"/>
  <c r="H3835" i="1" s="1"/>
  <c r="C3836" i="1"/>
  <c r="K3836" i="1" s="1"/>
  <c r="D3836" i="1"/>
  <c r="E3836" i="1"/>
  <c r="G3836" i="1"/>
  <c r="H3836" i="1" s="1"/>
  <c r="C3837" i="1"/>
  <c r="K3837" i="1" s="1"/>
  <c r="D3837" i="1"/>
  <c r="E3837" i="1"/>
  <c r="G3837" i="1"/>
  <c r="H3837" i="1" s="1"/>
  <c r="C3838" i="1"/>
  <c r="K3838" i="1" s="1"/>
  <c r="D3838" i="1"/>
  <c r="E3838" i="1"/>
  <c r="G3838" i="1"/>
  <c r="H3838" i="1" s="1"/>
  <c r="C3839" i="1"/>
  <c r="K3839" i="1" s="1"/>
  <c r="D3839" i="1"/>
  <c r="E3839" i="1"/>
  <c r="G3839" i="1"/>
  <c r="H3839" i="1" s="1"/>
  <c r="C3840" i="1"/>
  <c r="K3840" i="1" s="1"/>
  <c r="D3840" i="1"/>
  <c r="E3840" i="1"/>
  <c r="G3840" i="1"/>
  <c r="H3840" i="1" s="1"/>
  <c r="C3841" i="1"/>
  <c r="K3841" i="1" s="1"/>
  <c r="D3841" i="1"/>
  <c r="E3841" i="1"/>
  <c r="G3841" i="1"/>
  <c r="H3841" i="1" s="1"/>
  <c r="C3842" i="1"/>
  <c r="K3842" i="1" s="1"/>
  <c r="D3842" i="1"/>
  <c r="E3842" i="1"/>
  <c r="G3842" i="1"/>
  <c r="H3842" i="1" s="1"/>
  <c r="G3291" i="1"/>
  <c r="H3291" i="1" s="1"/>
  <c r="E3291" i="1"/>
  <c r="D3291" i="1"/>
  <c r="C3291" i="1"/>
  <c r="K3291" i="1" s="1"/>
  <c r="G3290" i="1"/>
  <c r="H3290" i="1" s="1"/>
  <c r="E3290" i="1"/>
  <c r="D3290" i="1"/>
  <c r="C3290" i="1"/>
  <c r="K3290" i="1" s="1"/>
  <c r="G3289" i="1"/>
  <c r="H3289" i="1" s="1"/>
  <c r="E3289" i="1"/>
  <c r="D3289" i="1"/>
  <c r="C3289" i="1"/>
  <c r="K3289" i="1" s="1"/>
  <c r="G3288" i="1"/>
  <c r="H3288" i="1" s="1"/>
  <c r="E3288" i="1"/>
  <c r="D3288" i="1"/>
  <c r="C3288" i="1"/>
  <c r="K3288" i="1" s="1"/>
  <c r="G3287" i="1"/>
  <c r="H3287" i="1" s="1"/>
  <c r="E3287" i="1"/>
  <c r="D3287" i="1"/>
  <c r="C3287" i="1"/>
  <c r="K3287" i="1" s="1"/>
  <c r="G3286" i="1"/>
  <c r="H3286" i="1" s="1"/>
  <c r="E3286" i="1"/>
  <c r="D3286" i="1"/>
  <c r="C3286" i="1"/>
  <c r="K3286" i="1" s="1"/>
  <c r="G3285" i="1"/>
  <c r="H3285" i="1" s="1"/>
  <c r="E3285" i="1"/>
  <c r="D3285" i="1"/>
  <c r="C3285" i="1"/>
  <c r="K3285" i="1" s="1"/>
  <c r="G3284" i="1"/>
  <c r="H3284" i="1" s="1"/>
  <c r="E3284" i="1"/>
  <c r="D3284" i="1"/>
  <c r="C3284" i="1"/>
  <c r="K3284" i="1" s="1"/>
  <c r="G3283" i="1"/>
  <c r="H3283" i="1" s="1"/>
  <c r="E3283" i="1"/>
  <c r="D3283" i="1"/>
  <c r="C3283" i="1"/>
  <c r="K3283" i="1" s="1"/>
  <c r="G3282" i="1"/>
  <c r="H3282" i="1" s="1"/>
  <c r="E3282" i="1"/>
  <c r="D3282" i="1"/>
  <c r="C3282" i="1"/>
  <c r="K3282" i="1" s="1"/>
  <c r="G3281" i="1"/>
  <c r="H3281" i="1" s="1"/>
  <c r="E3281" i="1"/>
  <c r="D3281" i="1"/>
  <c r="C3281" i="1"/>
  <c r="K3281" i="1" s="1"/>
  <c r="G3280" i="1"/>
  <c r="H3280" i="1" s="1"/>
  <c r="E3280" i="1"/>
  <c r="D3280" i="1"/>
  <c r="C3280" i="1"/>
  <c r="K3280" i="1" s="1"/>
  <c r="G3279" i="1"/>
  <c r="H3279" i="1" s="1"/>
  <c r="E3279" i="1"/>
  <c r="D3279" i="1"/>
  <c r="C3279" i="1"/>
  <c r="K3279" i="1" s="1"/>
  <c r="G3278" i="1"/>
  <c r="H3278" i="1" s="1"/>
  <c r="E3278" i="1"/>
  <c r="D3278" i="1"/>
  <c r="C3278" i="1"/>
  <c r="K3278" i="1" s="1"/>
  <c r="G3277" i="1"/>
  <c r="H3277" i="1" s="1"/>
  <c r="E3277" i="1"/>
  <c r="D3277" i="1"/>
  <c r="C3277" i="1"/>
  <c r="K3277" i="1" s="1"/>
  <c r="G3276" i="1"/>
  <c r="H3276" i="1" s="1"/>
  <c r="E3276" i="1"/>
  <c r="D3276" i="1"/>
  <c r="C3276" i="1"/>
  <c r="K3276" i="1" s="1"/>
  <c r="G3275" i="1"/>
  <c r="H3275" i="1" s="1"/>
  <c r="E3275" i="1"/>
  <c r="D3275" i="1"/>
  <c r="C3275" i="1"/>
  <c r="K3275" i="1" s="1"/>
  <c r="G3274" i="1"/>
  <c r="H3274" i="1" s="1"/>
  <c r="E3274" i="1"/>
  <c r="D3274" i="1"/>
  <c r="C3274" i="1"/>
  <c r="K3274" i="1" s="1"/>
  <c r="G3273" i="1"/>
  <c r="H3273" i="1" s="1"/>
  <c r="E3273" i="1"/>
  <c r="D3273" i="1"/>
  <c r="C3273" i="1"/>
  <c r="K3273" i="1" s="1"/>
  <c r="G3272" i="1"/>
  <c r="H3272" i="1" s="1"/>
  <c r="E3272" i="1"/>
  <c r="D3272" i="1"/>
  <c r="C3272" i="1"/>
  <c r="K3272" i="1" s="1"/>
  <c r="G3271" i="1"/>
  <c r="H3271" i="1" s="1"/>
  <c r="E3271" i="1"/>
  <c r="D3271" i="1"/>
  <c r="C3271" i="1"/>
  <c r="K3271" i="1" s="1"/>
  <c r="G3270" i="1"/>
  <c r="H3270" i="1" s="1"/>
  <c r="E3270" i="1"/>
  <c r="D3270" i="1"/>
  <c r="C3270" i="1"/>
  <c r="K3270" i="1" s="1"/>
  <c r="G3269" i="1"/>
  <c r="H3269" i="1" s="1"/>
  <c r="E3269" i="1"/>
  <c r="D3269" i="1"/>
  <c r="C3269" i="1"/>
  <c r="K3269" i="1" s="1"/>
  <c r="G3268" i="1"/>
  <c r="H3268" i="1" s="1"/>
  <c r="E3268" i="1"/>
  <c r="D3268" i="1"/>
  <c r="C3268" i="1"/>
  <c r="K3268" i="1" s="1"/>
  <c r="G3267" i="1"/>
  <c r="H3267" i="1" s="1"/>
  <c r="E3267" i="1"/>
  <c r="D3267" i="1"/>
  <c r="C3267" i="1"/>
  <c r="K3267" i="1" s="1"/>
  <c r="G3266" i="1"/>
  <c r="H3266" i="1" s="1"/>
  <c r="E3266" i="1"/>
  <c r="D3266" i="1"/>
  <c r="C3266" i="1"/>
  <c r="K3266" i="1" s="1"/>
  <c r="G3265" i="1"/>
  <c r="H3265" i="1" s="1"/>
  <c r="E3265" i="1"/>
  <c r="D3265" i="1"/>
  <c r="C3265" i="1"/>
  <c r="K3265" i="1" s="1"/>
  <c r="G3264" i="1"/>
  <c r="H3264" i="1" s="1"/>
  <c r="E3264" i="1"/>
  <c r="D3264" i="1"/>
  <c r="C3264" i="1"/>
  <c r="K3264" i="1" s="1"/>
  <c r="G3263" i="1"/>
  <c r="H3263" i="1" s="1"/>
  <c r="E3263" i="1"/>
  <c r="D3263" i="1"/>
  <c r="C3263" i="1"/>
  <c r="K3263" i="1" s="1"/>
  <c r="G3262" i="1"/>
  <c r="H3262" i="1" s="1"/>
  <c r="E3262" i="1"/>
  <c r="D3262" i="1"/>
  <c r="C3262" i="1"/>
  <c r="K3262" i="1" s="1"/>
  <c r="G3261" i="1"/>
  <c r="H3261" i="1" s="1"/>
  <c r="E3261" i="1"/>
  <c r="D3261" i="1"/>
  <c r="C3261" i="1"/>
  <c r="K3261" i="1" s="1"/>
  <c r="G3260" i="1"/>
  <c r="H3260" i="1" s="1"/>
  <c r="E3260" i="1"/>
  <c r="D3260" i="1"/>
  <c r="C3260" i="1"/>
  <c r="K3260" i="1" s="1"/>
  <c r="G3259" i="1"/>
  <c r="H3259" i="1" s="1"/>
  <c r="E3259" i="1"/>
  <c r="D3259" i="1"/>
  <c r="C3259" i="1"/>
  <c r="K3259" i="1" s="1"/>
  <c r="G3258" i="1"/>
  <c r="H3258" i="1" s="1"/>
  <c r="E3258" i="1"/>
  <c r="D3258" i="1"/>
  <c r="C3258" i="1"/>
  <c r="K3258" i="1" s="1"/>
  <c r="G3257" i="1"/>
  <c r="H3257" i="1" s="1"/>
  <c r="E3257" i="1"/>
  <c r="D3257" i="1"/>
  <c r="C3257" i="1"/>
  <c r="K3257" i="1" s="1"/>
  <c r="G3256" i="1"/>
  <c r="H3256" i="1" s="1"/>
  <c r="E3256" i="1"/>
  <c r="D3256" i="1"/>
  <c r="C3256" i="1"/>
  <c r="K3256" i="1" s="1"/>
  <c r="G3255" i="1"/>
  <c r="H3255" i="1" s="1"/>
  <c r="E3255" i="1"/>
  <c r="D3255" i="1"/>
  <c r="C3255" i="1"/>
  <c r="K3255" i="1" s="1"/>
  <c r="G3254" i="1"/>
  <c r="H3254" i="1" s="1"/>
  <c r="E3254" i="1"/>
  <c r="D3254" i="1"/>
  <c r="C3254" i="1"/>
  <c r="K3254" i="1" s="1"/>
  <c r="G3253" i="1"/>
  <c r="H3253" i="1" s="1"/>
  <c r="E3253" i="1"/>
  <c r="D3253" i="1"/>
  <c r="C3253" i="1"/>
  <c r="K3253" i="1" s="1"/>
  <c r="G3252" i="1"/>
  <c r="H3252" i="1" s="1"/>
  <c r="E3252" i="1"/>
  <c r="D3252" i="1"/>
  <c r="C3252" i="1"/>
  <c r="K3252" i="1" s="1"/>
  <c r="G3251" i="1"/>
  <c r="H3251" i="1" s="1"/>
  <c r="E3251" i="1"/>
  <c r="D3251" i="1"/>
  <c r="C3251" i="1"/>
  <c r="K3251" i="1" s="1"/>
  <c r="G3250" i="1"/>
  <c r="H3250" i="1" s="1"/>
  <c r="E3250" i="1"/>
  <c r="D3250" i="1"/>
  <c r="C3250" i="1"/>
  <c r="K3250" i="1" s="1"/>
  <c r="G3249" i="1"/>
  <c r="H3249" i="1" s="1"/>
  <c r="E3249" i="1"/>
  <c r="D3249" i="1"/>
  <c r="C3249" i="1"/>
  <c r="K3249" i="1" s="1"/>
  <c r="G3248" i="1"/>
  <c r="H3248" i="1" s="1"/>
  <c r="E3248" i="1"/>
  <c r="D3248" i="1"/>
  <c r="C3248" i="1"/>
  <c r="K3248" i="1" s="1"/>
  <c r="G3247" i="1"/>
  <c r="H3247" i="1" s="1"/>
  <c r="E3247" i="1"/>
  <c r="D3247" i="1"/>
  <c r="C3247" i="1"/>
  <c r="K3247" i="1" s="1"/>
  <c r="G3246" i="1"/>
  <c r="H3246" i="1" s="1"/>
  <c r="E3246" i="1"/>
  <c r="D3246" i="1"/>
  <c r="C3246" i="1"/>
  <c r="K3246" i="1" s="1"/>
  <c r="G3245" i="1"/>
  <c r="H3245" i="1" s="1"/>
  <c r="E3245" i="1"/>
  <c r="D3245" i="1"/>
  <c r="C3245" i="1"/>
  <c r="K3245" i="1" s="1"/>
  <c r="G3244" i="1"/>
  <c r="H3244" i="1" s="1"/>
  <c r="E3244" i="1"/>
  <c r="D3244" i="1"/>
  <c r="C3244" i="1"/>
  <c r="K3244" i="1" s="1"/>
  <c r="G3243" i="1"/>
  <c r="H3243" i="1" s="1"/>
  <c r="E3243" i="1"/>
  <c r="D3243" i="1"/>
  <c r="C3243" i="1"/>
  <c r="K3243" i="1" s="1"/>
  <c r="G3242" i="1"/>
  <c r="H3242" i="1" s="1"/>
  <c r="E3242" i="1"/>
  <c r="D3242" i="1"/>
  <c r="C3242" i="1"/>
  <c r="K3242" i="1" s="1"/>
  <c r="G3241" i="1"/>
  <c r="H3241" i="1" s="1"/>
  <c r="E3241" i="1"/>
  <c r="D3241" i="1"/>
  <c r="C3241" i="1"/>
  <c r="K3241" i="1" s="1"/>
  <c r="G3240" i="1"/>
  <c r="H3240" i="1" s="1"/>
  <c r="E3240" i="1"/>
  <c r="D3240" i="1"/>
  <c r="C3240" i="1"/>
  <c r="K3240" i="1" s="1"/>
  <c r="G3239" i="1"/>
  <c r="H3239" i="1" s="1"/>
  <c r="E3239" i="1"/>
  <c r="D3239" i="1"/>
  <c r="C3239" i="1"/>
  <c r="K3239" i="1" s="1"/>
  <c r="G3238" i="1"/>
  <c r="H3238" i="1" s="1"/>
  <c r="E3238" i="1"/>
  <c r="D3238" i="1"/>
  <c r="C3238" i="1"/>
  <c r="K3238" i="1" s="1"/>
  <c r="G3237" i="1"/>
  <c r="H3237" i="1" s="1"/>
  <c r="E3237" i="1"/>
  <c r="D3237" i="1"/>
  <c r="C3237" i="1"/>
  <c r="K3237" i="1" s="1"/>
  <c r="G3236" i="1"/>
  <c r="H3236" i="1" s="1"/>
  <c r="E3236" i="1"/>
  <c r="D3236" i="1"/>
  <c r="C3236" i="1"/>
  <c r="K3236" i="1" s="1"/>
  <c r="G3235" i="1"/>
  <c r="H3235" i="1" s="1"/>
  <c r="E3235" i="1"/>
  <c r="D3235" i="1"/>
  <c r="C3235" i="1"/>
  <c r="K3235" i="1" s="1"/>
  <c r="G3234" i="1"/>
  <c r="H3234" i="1" s="1"/>
  <c r="E3234" i="1"/>
  <c r="D3234" i="1"/>
  <c r="C3234" i="1"/>
  <c r="K3234" i="1" s="1"/>
  <c r="G3233" i="1"/>
  <c r="H3233" i="1" s="1"/>
  <c r="E3233" i="1"/>
  <c r="D3233" i="1"/>
  <c r="C3233" i="1"/>
  <c r="K3233" i="1" s="1"/>
  <c r="G3232" i="1"/>
  <c r="H3232" i="1" s="1"/>
  <c r="E3232" i="1"/>
  <c r="D3232" i="1"/>
  <c r="C3232" i="1"/>
  <c r="K3232" i="1" s="1"/>
  <c r="G3231" i="1"/>
  <c r="H3231" i="1" s="1"/>
  <c r="E3231" i="1"/>
  <c r="D3231" i="1"/>
  <c r="C3231" i="1"/>
  <c r="K3231" i="1" s="1"/>
  <c r="G3230" i="1"/>
  <c r="H3230" i="1" s="1"/>
  <c r="E3230" i="1"/>
  <c r="D3230" i="1"/>
  <c r="C3230" i="1"/>
  <c r="K3230" i="1" s="1"/>
  <c r="G3229" i="1"/>
  <c r="H3229" i="1" s="1"/>
  <c r="E3229" i="1"/>
  <c r="D3229" i="1"/>
  <c r="C3229" i="1"/>
  <c r="K3229" i="1" s="1"/>
  <c r="G3228" i="1"/>
  <c r="H3228" i="1" s="1"/>
  <c r="E3228" i="1"/>
  <c r="D3228" i="1"/>
  <c r="C3228" i="1"/>
  <c r="K3228" i="1" s="1"/>
  <c r="G3227" i="1"/>
  <c r="H3227" i="1" s="1"/>
  <c r="E3227" i="1"/>
  <c r="D3227" i="1"/>
  <c r="C3227" i="1"/>
  <c r="K3227" i="1" s="1"/>
  <c r="G3226" i="1"/>
  <c r="H3226" i="1" s="1"/>
  <c r="E3226" i="1"/>
  <c r="D3226" i="1"/>
  <c r="C3226" i="1"/>
  <c r="K3226" i="1" s="1"/>
  <c r="G3225" i="1"/>
  <c r="H3225" i="1" s="1"/>
  <c r="E3225" i="1"/>
  <c r="D3225" i="1"/>
  <c r="C3225" i="1"/>
  <c r="K3225" i="1" s="1"/>
  <c r="G3224" i="1"/>
  <c r="H3224" i="1" s="1"/>
  <c r="E3224" i="1"/>
  <c r="D3224" i="1"/>
  <c r="C3224" i="1"/>
  <c r="K3224" i="1" s="1"/>
  <c r="G3223" i="1"/>
  <c r="H3223" i="1" s="1"/>
  <c r="E3223" i="1"/>
  <c r="D3223" i="1"/>
  <c r="C3223" i="1"/>
  <c r="K3223" i="1" s="1"/>
  <c r="G3222" i="1"/>
  <c r="H3222" i="1" s="1"/>
  <c r="E3222" i="1"/>
  <c r="D3222" i="1"/>
  <c r="C3222" i="1"/>
  <c r="K3222" i="1" s="1"/>
  <c r="G3221" i="1"/>
  <c r="H3221" i="1" s="1"/>
  <c r="E3221" i="1"/>
  <c r="D3221" i="1"/>
  <c r="C3221" i="1"/>
  <c r="K3221" i="1" s="1"/>
  <c r="G3220" i="1"/>
  <c r="H3220" i="1" s="1"/>
  <c r="E3220" i="1"/>
  <c r="D3220" i="1"/>
  <c r="C3220" i="1"/>
  <c r="K3220" i="1" s="1"/>
  <c r="G3219" i="1"/>
  <c r="H3219" i="1" s="1"/>
  <c r="E3219" i="1"/>
  <c r="D3219" i="1"/>
  <c r="C3219" i="1"/>
  <c r="K3219" i="1" s="1"/>
  <c r="G3218" i="1"/>
  <c r="H3218" i="1" s="1"/>
  <c r="E3218" i="1"/>
  <c r="D3218" i="1"/>
  <c r="C3218" i="1"/>
  <c r="K3218" i="1" s="1"/>
  <c r="G3217" i="1"/>
  <c r="H3217" i="1" s="1"/>
  <c r="E3217" i="1"/>
  <c r="D3217" i="1"/>
  <c r="C3217" i="1"/>
  <c r="G3216" i="1"/>
  <c r="H3216" i="1" s="1"/>
  <c r="E3216" i="1"/>
  <c r="D3216" i="1"/>
  <c r="C3216" i="1"/>
  <c r="K3216" i="1" s="1"/>
  <c r="G3215" i="1"/>
  <c r="H3215" i="1" s="1"/>
  <c r="E3215" i="1"/>
  <c r="D3215" i="1"/>
  <c r="C3215" i="1"/>
  <c r="K3215" i="1" s="1"/>
  <c r="G3214" i="1"/>
  <c r="H3214" i="1" s="1"/>
  <c r="E3214" i="1"/>
  <c r="D3214" i="1"/>
  <c r="C3214" i="1"/>
  <c r="K3214" i="1" s="1"/>
  <c r="G3213" i="1"/>
  <c r="H3213" i="1" s="1"/>
  <c r="E3213" i="1"/>
  <c r="D3213" i="1"/>
  <c r="C3213" i="1"/>
  <c r="K3213" i="1" s="1"/>
  <c r="G3212" i="1"/>
  <c r="H3212" i="1" s="1"/>
  <c r="E3212" i="1"/>
  <c r="D3212" i="1"/>
  <c r="C3212" i="1"/>
  <c r="K3212" i="1" s="1"/>
  <c r="G3211" i="1"/>
  <c r="H3211" i="1" s="1"/>
  <c r="E3211" i="1"/>
  <c r="D3211" i="1"/>
  <c r="C3211" i="1"/>
  <c r="K3211" i="1" s="1"/>
  <c r="G3210" i="1"/>
  <c r="H3210" i="1" s="1"/>
  <c r="E3210" i="1"/>
  <c r="D3210" i="1"/>
  <c r="C3210" i="1"/>
  <c r="K3210" i="1" s="1"/>
  <c r="G3209" i="1"/>
  <c r="H3209" i="1" s="1"/>
  <c r="E3209" i="1"/>
  <c r="D3209" i="1"/>
  <c r="C3209" i="1"/>
  <c r="K3209" i="1" s="1"/>
  <c r="G3208" i="1"/>
  <c r="H3208" i="1" s="1"/>
  <c r="E3208" i="1"/>
  <c r="D3208" i="1"/>
  <c r="C3208" i="1"/>
  <c r="K3208" i="1" s="1"/>
  <c r="G3207" i="1"/>
  <c r="H3207" i="1" s="1"/>
  <c r="E3207" i="1"/>
  <c r="D3207" i="1"/>
  <c r="C3207" i="1"/>
  <c r="K3207" i="1" s="1"/>
  <c r="G3206" i="1"/>
  <c r="H3206" i="1" s="1"/>
  <c r="E3206" i="1"/>
  <c r="D3206" i="1"/>
  <c r="C3206" i="1"/>
  <c r="K3206" i="1" s="1"/>
  <c r="G3205" i="1"/>
  <c r="H3205" i="1" s="1"/>
  <c r="E3205" i="1"/>
  <c r="D3205" i="1"/>
  <c r="C3205" i="1"/>
  <c r="K3205" i="1" s="1"/>
  <c r="G3204" i="1"/>
  <c r="H3204" i="1" s="1"/>
  <c r="E3204" i="1"/>
  <c r="D3204" i="1"/>
  <c r="C3204" i="1"/>
  <c r="K3204" i="1" s="1"/>
  <c r="G3203" i="1"/>
  <c r="H3203" i="1" s="1"/>
  <c r="E3203" i="1"/>
  <c r="D3203" i="1"/>
  <c r="C3203" i="1"/>
  <c r="K3203" i="1" s="1"/>
  <c r="G3202" i="1"/>
  <c r="H3202" i="1" s="1"/>
  <c r="E3202" i="1"/>
  <c r="D3202" i="1"/>
  <c r="C3202" i="1"/>
  <c r="K3202" i="1" s="1"/>
  <c r="G3201" i="1"/>
  <c r="H3201" i="1" s="1"/>
  <c r="E3201" i="1"/>
  <c r="D3201" i="1"/>
  <c r="C3201" i="1"/>
  <c r="K3201" i="1" s="1"/>
  <c r="G3200" i="1"/>
  <c r="H3200" i="1" s="1"/>
  <c r="E3200" i="1"/>
  <c r="D3200" i="1"/>
  <c r="C3200" i="1"/>
  <c r="K3200" i="1" s="1"/>
  <c r="G3199" i="1"/>
  <c r="H3199" i="1" s="1"/>
  <c r="E3199" i="1"/>
  <c r="D3199" i="1"/>
  <c r="C3199" i="1"/>
  <c r="K3199" i="1" s="1"/>
  <c r="G3198" i="1"/>
  <c r="H3198" i="1" s="1"/>
  <c r="E3198" i="1"/>
  <c r="D3198" i="1"/>
  <c r="C3198" i="1"/>
  <c r="K3198" i="1" s="1"/>
  <c r="G3197" i="1"/>
  <c r="H3197" i="1" s="1"/>
  <c r="E3197" i="1"/>
  <c r="D3197" i="1"/>
  <c r="C3197" i="1"/>
  <c r="K3197" i="1" s="1"/>
  <c r="G3196" i="1"/>
  <c r="H3196" i="1" s="1"/>
  <c r="E3196" i="1"/>
  <c r="D3196" i="1"/>
  <c r="C3196" i="1"/>
  <c r="K3196" i="1" s="1"/>
  <c r="G3195" i="1"/>
  <c r="H3195" i="1" s="1"/>
  <c r="E3195" i="1"/>
  <c r="D3195" i="1"/>
  <c r="C3195" i="1"/>
  <c r="K3195" i="1" s="1"/>
  <c r="G3194" i="1"/>
  <c r="H3194" i="1" s="1"/>
  <c r="E3194" i="1"/>
  <c r="D3194" i="1"/>
  <c r="C3194" i="1"/>
  <c r="K3194" i="1" s="1"/>
  <c r="G3193" i="1"/>
  <c r="H3193" i="1" s="1"/>
  <c r="E3193" i="1"/>
  <c r="D3193" i="1"/>
  <c r="C3193" i="1"/>
  <c r="K3193" i="1" s="1"/>
  <c r="G3192" i="1"/>
  <c r="H3192" i="1" s="1"/>
  <c r="E3192" i="1"/>
  <c r="D3192" i="1"/>
  <c r="C3192" i="1"/>
  <c r="K3192" i="1" s="1"/>
  <c r="G3191" i="1"/>
  <c r="H3191" i="1" s="1"/>
  <c r="E3191" i="1"/>
  <c r="D3191" i="1"/>
  <c r="C3191" i="1"/>
  <c r="K3191" i="1" s="1"/>
  <c r="G3190" i="1"/>
  <c r="H3190" i="1" s="1"/>
  <c r="E3190" i="1"/>
  <c r="D3190" i="1"/>
  <c r="C3190" i="1"/>
  <c r="K3190" i="1" s="1"/>
  <c r="G3189" i="1"/>
  <c r="H3189" i="1" s="1"/>
  <c r="E3189" i="1"/>
  <c r="D3189" i="1"/>
  <c r="C3189" i="1"/>
  <c r="K3189" i="1" s="1"/>
  <c r="G3188" i="1"/>
  <c r="H3188" i="1" s="1"/>
  <c r="E3188" i="1"/>
  <c r="D3188" i="1"/>
  <c r="C3188" i="1"/>
  <c r="K3188" i="1" s="1"/>
  <c r="G3187" i="1"/>
  <c r="H3187" i="1" s="1"/>
  <c r="E3187" i="1"/>
  <c r="D3187" i="1"/>
  <c r="C3187" i="1"/>
  <c r="G3186" i="1"/>
  <c r="H3186" i="1" s="1"/>
  <c r="E3186" i="1"/>
  <c r="D3186" i="1"/>
  <c r="C3186" i="1"/>
  <c r="K3186" i="1" s="1"/>
  <c r="G3185" i="1"/>
  <c r="H3185" i="1" s="1"/>
  <c r="E3185" i="1"/>
  <c r="D3185" i="1"/>
  <c r="C3185" i="1"/>
  <c r="K3185" i="1" s="1"/>
  <c r="G3184" i="1"/>
  <c r="H3184" i="1" s="1"/>
  <c r="E3184" i="1"/>
  <c r="D3184" i="1"/>
  <c r="C3184" i="1"/>
  <c r="K3184" i="1" s="1"/>
  <c r="G3183" i="1"/>
  <c r="H3183" i="1" s="1"/>
  <c r="E3183" i="1"/>
  <c r="D3183" i="1"/>
  <c r="C3183" i="1"/>
  <c r="K3183" i="1" s="1"/>
  <c r="G3182" i="1"/>
  <c r="H3182" i="1" s="1"/>
  <c r="E3182" i="1"/>
  <c r="D3182" i="1"/>
  <c r="C3182" i="1"/>
  <c r="K3182" i="1" s="1"/>
  <c r="G3181" i="1"/>
  <c r="H3181" i="1" s="1"/>
  <c r="E3181" i="1"/>
  <c r="D3181" i="1"/>
  <c r="C3181" i="1"/>
  <c r="K3181" i="1" s="1"/>
  <c r="G3180" i="1"/>
  <c r="H3180" i="1" s="1"/>
  <c r="E3180" i="1"/>
  <c r="D3180" i="1"/>
  <c r="C3180" i="1"/>
  <c r="K3180" i="1" s="1"/>
  <c r="G3179" i="1"/>
  <c r="H3179" i="1" s="1"/>
  <c r="E3179" i="1"/>
  <c r="D3179" i="1"/>
  <c r="C3179" i="1"/>
  <c r="K3179" i="1" s="1"/>
  <c r="G3178" i="1"/>
  <c r="H3178" i="1" s="1"/>
  <c r="E3178" i="1"/>
  <c r="D3178" i="1"/>
  <c r="C3178" i="1"/>
  <c r="K3178" i="1" s="1"/>
  <c r="G3177" i="1"/>
  <c r="H3177" i="1" s="1"/>
  <c r="E3177" i="1"/>
  <c r="D3177" i="1"/>
  <c r="C3177" i="1"/>
  <c r="K3177" i="1" s="1"/>
  <c r="G3176" i="1"/>
  <c r="H3176" i="1" s="1"/>
  <c r="E3176" i="1"/>
  <c r="D3176" i="1"/>
  <c r="C3176" i="1"/>
  <c r="G3175" i="1"/>
  <c r="H3175" i="1" s="1"/>
  <c r="E3175" i="1"/>
  <c r="D3175" i="1"/>
  <c r="C3175" i="1"/>
  <c r="K3175" i="1" s="1"/>
  <c r="G3174" i="1"/>
  <c r="H3174" i="1" s="1"/>
  <c r="E3174" i="1"/>
  <c r="D3174" i="1"/>
  <c r="C3174" i="1"/>
  <c r="K3174" i="1" s="1"/>
  <c r="G3173" i="1"/>
  <c r="H3173" i="1" s="1"/>
  <c r="E3173" i="1"/>
  <c r="D3173" i="1"/>
  <c r="C3173" i="1"/>
  <c r="G3172" i="1"/>
  <c r="H3172" i="1" s="1"/>
  <c r="E3172" i="1"/>
  <c r="D3172" i="1"/>
  <c r="C3172" i="1"/>
  <c r="K3172" i="1" s="1"/>
  <c r="G3171" i="1"/>
  <c r="H3171" i="1" s="1"/>
  <c r="E3171" i="1"/>
  <c r="D3171" i="1"/>
  <c r="C3171" i="1"/>
  <c r="K3171" i="1" s="1"/>
  <c r="G3170" i="1"/>
  <c r="H3170" i="1" s="1"/>
  <c r="E3170" i="1"/>
  <c r="D3170" i="1"/>
  <c r="C3170" i="1"/>
  <c r="K3170" i="1" s="1"/>
  <c r="G3169" i="1"/>
  <c r="H3169" i="1" s="1"/>
  <c r="E3169" i="1"/>
  <c r="D3169" i="1"/>
  <c r="C3169" i="1"/>
  <c r="K3169" i="1" s="1"/>
  <c r="G3168" i="1"/>
  <c r="H3168" i="1" s="1"/>
  <c r="E3168" i="1"/>
  <c r="D3168" i="1"/>
  <c r="C3168" i="1"/>
  <c r="K3168" i="1" s="1"/>
  <c r="G3167" i="1"/>
  <c r="H3167" i="1" s="1"/>
  <c r="E3167" i="1"/>
  <c r="D3167" i="1"/>
  <c r="C3167" i="1"/>
  <c r="K3167" i="1" s="1"/>
  <c r="G3166" i="1"/>
  <c r="H3166" i="1" s="1"/>
  <c r="E3166" i="1"/>
  <c r="D3166" i="1"/>
  <c r="C3166" i="1"/>
  <c r="K3166" i="1" s="1"/>
  <c r="G3165" i="1"/>
  <c r="H3165" i="1" s="1"/>
  <c r="E3165" i="1"/>
  <c r="D3165" i="1"/>
  <c r="C3165" i="1"/>
  <c r="K3165" i="1" s="1"/>
  <c r="G3164" i="1"/>
  <c r="H3164" i="1" s="1"/>
  <c r="E3164" i="1"/>
  <c r="D3164" i="1"/>
  <c r="C3164" i="1"/>
  <c r="K3164" i="1" s="1"/>
  <c r="G3163" i="1"/>
  <c r="H3163" i="1" s="1"/>
  <c r="E3163" i="1"/>
  <c r="D3163" i="1"/>
  <c r="C3163" i="1"/>
  <c r="K3163" i="1" s="1"/>
  <c r="G3162" i="1"/>
  <c r="H3162" i="1" s="1"/>
  <c r="E3162" i="1"/>
  <c r="D3162" i="1"/>
  <c r="C3162" i="1"/>
  <c r="K3162" i="1" s="1"/>
  <c r="G3161" i="1"/>
  <c r="H3161" i="1" s="1"/>
  <c r="E3161" i="1"/>
  <c r="D3161" i="1"/>
  <c r="C3161" i="1"/>
  <c r="K3161" i="1" s="1"/>
  <c r="G3160" i="1"/>
  <c r="H3160" i="1" s="1"/>
  <c r="E3160" i="1"/>
  <c r="D3160" i="1"/>
  <c r="C3160" i="1"/>
  <c r="K3160" i="1" s="1"/>
  <c r="G3159" i="1"/>
  <c r="H3159" i="1" s="1"/>
  <c r="E3159" i="1"/>
  <c r="D3159" i="1"/>
  <c r="C3159" i="1"/>
  <c r="K3159" i="1" s="1"/>
  <c r="G3158" i="1"/>
  <c r="H3158" i="1" s="1"/>
  <c r="E3158" i="1"/>
  <c r="D3158" i="1"/>
  <c r="C3158" i="1"/>
  <c r="K3158" i="1" s="1"/>
  <c r="G3157" i="1"/>
  <c r="H3157" i="1" s="1"/>
  <c r="E3157" i="1"/>
  <c r="D3157" i="1"/>
  <c r="C3157" i="1"/>
  <c r="K3157" i="1" s="1"/>
  <c r="G3156" i="1"/>
  <c r="H3156" i="1" s="1"/>
  <c r="E3156" i="1"/>
  <c r="D3156" i="1"/>
  <c r="C3156" i="1"/>
  <c r="K3156" i="1" s="1"/>
  <c r="G3155" i="1"/>
  <c r="H3155" i="1" s="1"/>
  <c r="E3155" i="1"/>
  <c r="D3155" i="1"/>
  <c r="C3155" i="1"/>
  <c r="K3155" i="1" s="1"/>
  <c r="G3154" i="1"/>
  <c r="H3154" i="1" s="1"/>
  <c r="E3154" i="1"/>
  <c r="D3154" i="1"/>
  <c r="C3154" i="1"/>
  <c r="K3154" i="1" s="1"/>
  <c r="G3153" i="1"/>
  <c r="H3153" i="1" s="1"/>
  <c r="E3153" i="1"/>
  <c r="D3153" i="1"/>
  <c r="C3153" i="1"/>
  <c r="K3153" i="1" s="1"/>
  <c r="G3152" i="1"/>
  <c r="H3152" i="1" s="1"/>
  <c r="E3152" i="1"/>
  <c r="D3152" i="1"/>
  <c r="C3152" i="1"/>
  <c r="G3151" i="1"/>
  <c r="H3151" i="1" s="1"/>
  <c r="E3151" i="1"/>
  <c r="D3151" i="1"/>
  <c r="C3151" i="1"/>
  <c r="K3151" i="1" s="1"/>
  <c r="G3150" i="1"/>
  <c r="H3150" i="1" s="1"/>
  <c r="E3150" i="1"/>
  <c r="D3150" i="1"/>
  <c r="C3150" i="1"/>
  <c r="G3149" i="1"/>
  <c r="H3149" i="1" s="1"/>
  <c r="E3149" i="1"/>
  <c r="D3149" i="1"/>
  <c r="C3149" i="1"/>
  <c r="K3149" i="1" s="1"/>
  <c r="G3148" i="1"/>
  <c r="H3148" i="1" s="1"/>
  <c r="E3148" i="1"/>
  <c r="D3148" i="1"/>
  <c r="C3148" i="1"/>
  <c r="K3148" i="1" s="1"/>
  <c r="G3147" i="1"/>
  <c r="H3147" i="1" s="1"/>
  <c r="E3147" i="1"/>
  <c r="D3147" i="1"/>
  <c r="C3147" i="1"/>
  <c r="K3147" i="1" s="1"/>
  <c r="G3146" i="1"/>
  <c r="H3146" i="1" s="1"/>
  <c r="E3146" i="1"/>
  <c r="D3146" i="1"/>
  <c r="C3146" i="1"/>
  <c r="K3146" i="1" s="1"/>
  <c r="G3145" i="1"/>
  <c r="H3145" i="1" s="1"/>
  <c r="E3145" i="1"/>
  <c r="D3145" i="1"/>
  <c r="C3145" i="1"/>
  <c r="K3145" i="1" s="1"/>
  <c r="G3144" i="1"/>
  <c r="H3144" i="1" s="1"/>
  <c r="E3144" i="1"/>
  <c r="D3144" i="1"/>
  <c r="C3144" i="1"/>
  <c r="K3144" i="1" s="1"/>
  <c r="G3143" i="1"/>
  <c r="H3143" i="1" s="1"/>
  <c r="E3143" i="1"/>
  <c r="D3143" i="1"/>
  <c r="C3143" i="1"/>
  <c r="K3143" i="1" s="1"/>
  <c r="G3142" i="1"/>
  <c r="H3142" i="1" s="1"/>
  <c r="E3142" i="1"/>
  <c r="D3142" i="1"/>
  <c r="C3142" i="1"/>
  <c r="K3142" i="1" s="1"/>
  <c r="G3141" i="1"/>
  <c r="H3141" i="1" s="1"/>
  <c r="E3141" i="1"/>
  <c r="D3141" i="1"/>
  <c r="C3141" i="1"/>
  <c r="K3141" i="1" s="1"/>
  <c r="G3140" i="1"/>
  <c r="H3140" i="1" s="1"/>
  <c r="E3140" i="1"/>
  <c r="D3140" i="1"/>
  <c r="C3140" i="1"/>
  <c r="K3140" i="1" s="1"/>
  <c r="G3139" i="1"/>
  <c r="H3139" i="1" s="1"/>
  <c r="E3139" i="1"/>
  <c r="D3139" i="1"/>
  <c r="C3139" i="1"/>
  <c r="K3139" i="1" s="1"/>
  <c r="G3138" i="1"/>
  <c r="H3138" i="1" s="1"/>
  <c r="E3138" i="1"/>
  <c r="D3138" i="1"/>
  <c r="C3138" i="1"/>
  <c r="K3138" i="1" s="1"/>
  <c r="G3137" i="1"/>
  <c r="H3137" i="1" s="1"/>
  <c r="E3137" i="1"/>
  <c r="D3137" i="1"/>
  <c r="C3137" i="1"/>
  <c r="K3137" i="1" s="1"/>
  <c r="G3136" i="1"/>
  <c r="H3136" i="1" s="1"/>
  <c r="E3136" i="1"/>
  <c r="D3136" i="1"/>
  <c r="C3136" i="1"/>
  <c r="K3136" i="1" s="1"/>
  <c r="G3135" i="1"/>
  <c r="H3135" i="1" s="1"/>
  <c r="E3135" i="1"/>
  <c r="D3135" i="1"/>
  <c r="C3135" i="1"/>
  <c r="K3135" i="1" s="1"/>
  <c r="G3134" i="1"/>
  <c r="H3134" i="1" s="1"/>
  <c r="E3134" i="1"/>
  <c r="D3134" i="1"/>
  <c r="C3134" i="1"/>
  <c r="K3134" i="1" s="1"/>
  <c r="G3133" i="1"/>
  <c r="H3133" i="1" s="1"/>
  <c r="E3133" i="1"/>
  <c r="D3133" i="1"/>
  <c r="C3133" i="1"/>
  <c r="K3133" i="1" s="1"/>
  <c r="G3132" i="1"/>
  <c r="H3132" i="1" s="1"/>
  <c r="E3132" i="1"/>
  <c r="D3132" i="1"/>
  <c r="C3132" i="1"/>
  <c r="K3132" i="1" s="1"/>
  <c r="G3131" i="1"/>
  <c r="H3131" i="1" s="1"/>
  <c r="E3131" i="1"/>
  <c r="D3131" i="1"/>
  <c r="C3131" i="1"/>
  <c r="K3131" i="1" s="1"/>
  <c r="G3130" i="1"/>
  <c r="H3130" i="1" s="1"/>
  <c r="E3130" i="1"/>
  <c r="D3130" i="1"/>
  <c r="C3130" i="1"/>
  <c r="K3130" i="1" s="1"/>
  <c r="G3129" i="1"/>
  <c r="H3129" i="1" s="1"/>
  <c r="E3129" i="1"/>
  <c r="D3129" i="1"/>
  <c r="C3129" i="1"/>
  <c r="K3129" i="1" s="1"/>
  <c r="G3128" i="1"/>
  <c r="H3128" i="1" s="1"/>
  <c r="E3128" i="1"/>
  <c r="D3128" i="1"/>
  <c r="C3128" i="1"/>
  <c r="K3128" i="1" s="1"/>
  <c r="G3127" i="1"/>
  <c r="H3127" i="1" s="1"/>
  <c r="E3127" i="1"/>
  <c r="D3127" i="1"/>
  <c r="C3127" i="1"/>
  <c r="K3127" i="1" s="1"/>
  <c r="G3126" i="1"/>
  <c r="H3126" i="1" s="1"/>
  <c r="E3126" i="1"/>
  <c r="D3126" i="1"/>
  <c r="C3126" i="1"/>
  <c r="G3125" i="1"/>
  <c r="H3125" i="1" s="1"/>
  <c r="E3125" i="1"/>
  <c r="D3125" i="1"/>
  <c r="C3125" i="1"/>
  <c r="K3125" i="1" s="1"/>
  <c r="G3124" i="1"/>
  <c r="H3124" i="1" s="1"/>
  <c r="E3124" i="1"/>
  <c r="D3124" i="1"/>
  <c r="C3124" i="1"/>
  <c r="K3124" i="1" s="1"/>
  <c r="G3123" i="1"/>
  <c r="H3123" i="1" s="1"/>
  <c r="E3123" i="1"/>
  <c r="D3123" i="1"/>
  <c r="C3123" i="1"/>
  <c r="K3123" i="1" s="1"/>
  <c r="G3122" i="1"/>
  <c r="H3122" i="1" s="1"/>
  <c r="E3122" i="1"/>
  <c r="D3122" i="1"/>
  <c r="C3122" i="1"/>
  <c r="K3122" i="1" s="1"/>
  <c r="G3121" i="1"/>
  <c r="H3121" i="1" s="1"/>
  <c r="E3121" i="1"/>
  <c r="D3121" i="1"/>
  <c r="C3121" i="1"/>
  <c r="K3121" i="1" s="1"/>
  <c r="G3120" i="1"/>
  <c r="H3120" i="1" s="1"/>
  <c r="E3120" i="1"/>
  <c r="D3120" i="1"/>
  <c r="C3120" i="1"/>
  <c r="G3119" i="1"/>
  <c r="H3119" i="1" s="1"/>
  <c r="E3119" i="1"/>
  <c r="D3119" i="1"/>
  <c r="C3119" i="1"/>
  <c r="K3119" i="1" s="1"/>
  <c r="G3118" i="1"/>
  <c r="H3118" i="1" s="1"/>
  <c r="E3118" i="1"/>
  <c r="D3118" i="1"/>
  <c r="C3118" i="1"/>
  <c r="K3118" i="1" s="1"/>
  <c r="G3117" i="1"/>
  <c r="H3117" i="1" s="1"/>
  <c r="E3117" i="1"/>
  <c r="D3117" i="1"/>
  <c r="C3117" i="1"/>
  <c r="K3117" i="1" s="1"/>
  <c r="G3116" i="1"/>
  <c r="H3116" i="1" s="1"/>
  <c r="E3116" i="1"/>
  <c r="D3116" i="1"/>
  <c r="C3116" i="1"/>
  <c r="K3116" i="1" s="1"/>
  <c r="G3115" i="1"/>
  <c r="H3115" i="1" s="1"/>
  <c r="E3115" i="1"/>
  <c r="D3115" i="1"/>
  <c r="C3115" i="1"/>
  <c r="K3115" i="1" s="1"/>
  <c r="G3114" i="1"/>
  <c r="H3114" i="1" s="1"/>
  <c r="E3114" i="1"/>
  <c r="D3114" i="1"/>
  <c r="C3114" i="1"/>
  <c r="G3113" i="1"/>
  <c r="H3113" i="1" s="1"/>
  <c r="E3113" i="1"/>
  <c r="D3113" i="1"/>
  <c r="C3113" i="1"/>
  <c r="K3113" i="1" s="1"/>
  <c r="G3112" i="1"/>
  <c r="H3112" i="1" s="1"/>
  <c r="E3112" i="1"/>
  <c r="D3112" i="1"/>
  <c r="C3112" i="1"/>
  <c r="K3112" i="1" s="1"/>
  <c r="G3111" i="1"/>
  <c r="H3111" i="1" s="1"/>
  <c r="E3111" i="1"/>
  <c r="D3111" i="1"/>
  <c r="C3111" i="1"/>
  <c r="K3111" i="1" s="1"/>
  <c r="G3110" i="1"/>
  <c r="H3110" i="1" s="1"/>
  <c r="E3110" i="1"/>
  <c r="D3110" i="1"/>
  <c r="C3110" i="1"/>
  <c r="K3110" i="1" s="1"/>
  <c r="G3109" i="1"/>
  <c r="H3109" i="1" s="1"/>
  <c r="E3109" i="1"/>
  <c r="D3109" i="1"/>
  <c r="C3109" i="1"/>
  <c r="K3109" i="1" s="1"/>
  <c r="G3108" i="1"/>
  <c r="H3108" i="1" s="1"/>
  <c r="E3108" i="1"/>
  <c r="D3108" i="1"/>
  <c r="C3108" i="1"/>
  <c r="K3108" i="1" s="1"/>
  <c r="G3107" i="1"/>
  <c r="H3107" i="1" s="1"/>
  <c r="E3107" i="1"/>
  <c r="D3107" i="1"/>
  <c r="C3107" i="1"/>
  <c r="K3107" i="1" s="1"/>
  <c r="G3106" i="1"/>
  <c r="H3106" i="1" s="1"/>
  <c r="E3106" i="1"/>
  <c r="D3106" i="1"/>
  <c r="C3106" i="1"/>
  <c r="K3106" i="1" s="1"/>
  <c r="G3105" i="1"/>
  <c r="H3105" i="1" s="1"/>
  <c r="E3105" i="1"/>
  <c r="D3105" i="1"/>
  <c r="C3105" i="1"/>
  <c r="K3105" i="1" s="1"/>
  <c r="G3104" i="1"/>
  <c r="H3104" i="1" s="1"/>
  <c r="E3104" i="1"/>
  <c r="D3104" i="1"/>
  <c r="C3104" i="1"/>
  <c r="K3104" i="1" s="1"/>
  <c r="G3103" i="1"/>
  <c r="H3103" i="1" s="1"/>
  <c r="E3103" i="1"/>
  <c r="D3103" i="1"/>
  <c r="C3103" i="1"/>
  <c r="K3103" i="1" s="1"/>
  <c r="G3102" i="1"/>
  <c r="H3102" i="1" s="1"/>
  <c r="E3102" i="1"/>
  <c r="D3102" i="1"/>
  <c r="C3102" i="1"/>
  <c r="K3102" i="1" s="1"/>
  <c r="G3101" i="1"/>
  <c r="H3101" i="1" s="1"/>
  <c r="E3101" i="1"/>
  <c r="D3101" i="1"/>
  <c r="C3101" i="1"/>
  <c r="K3101" i="1" s="1"/>
  <c r="G3100" i="1"/>
  <c r="H3100" i="1" s="1"/>
  <c r="E3100" i="1"/>
  <c r="D3100" i="1"/>
  <c r="C3100" i="1"/>
  <c r="K3100" i="1" s="1"/>
  <c r="G3099" i="1"/>
  <c r="H3099" i="1" s="1"/>
  <c r="E3099" i="1"/>
  <c r="D3099" i="1"/>
  <c r="C3099" i="1"/>
  <c r="K3099" i="1" s="1"/>
  <c r="G3098" i="1"/>
  <c r="H3098" i="1" s="1"/>
  <c r="E3098" i="1"/>
  <c r="D3098" i="1"/>
  <c r="C3098" i="1"/>
  <c r="K3098" i="1" s="1"/>
  <c r="G3097" i="1"/>
  <c r="H3097" i="1" s="1"/>
  <c r="E3097" i="1"/>
  <c r="D3097" i="1"/>
  <c r="C3097" i="1"/>
  <c r="K3097" i="1" s="1"/>
  <c r="G3096" i="1"/>
  <c r="H3096" i="1" s="1"/>
  <c r="E3096" i="1"/>
  <c r="D3096" i="1"/>
  <c r="C3096" i="1"/>
  <c r="G3095" i="1"/>
  <c r="H3095" i="1" s="1"/>
  <c r="E3095" i="1"/>
  <c r="D3095" i="1"/>
  <c r="C3095" i="1"/>
  <c r="K3095" i="1" s="1"/>
  <c r="G3094" i="1"/>
  <c r="H3094" i="1" s="1"/>
  <c r="E3094" i="1"/>
  <c r="D3094" i="1"/>
  <c r="C3094" i="1"/>
  <c r="K3094" i="1" s="1"/>
  <c r="G3093" i="1"/>
  <c r="H3093" i="1" s="1"/>
  <c r="E3093" i="1"/>
  <c r="D3093" i="1"/>
  <c r="C3093" i="1"/>
  <c r="K3093" i="1" s="1"/>
  <c r="G3092" i="1"/>
  <c r="H3092" i="1" s="1"/>
  <c r="E3092" i="1"/>
  <c r="D3092" i="1"/>
  <c r="C3092" i="1"/>
  <c r="K3092" i="1" s="1"/>
  <c r="G3091" i="1"/>
  <c r="H3091" i="1" s="1"/>
  <c r="E3091" i="1"/>
  <c r="D3091" i="1"/>
  <c r="C3091" i="1"/>
  <c r="K3091" i="1" s="1"/>
  <c r="G3090" i="1"/>
  <c r="H3090" i="1" s="1"/>
  <c r="E3090" i="1"/>
  <c r="D3090" i="1"/>
  <c r="C3090" i="1"/>
  <c r="K3090" i="1" s="1"/>
  <c r="G3089" i="1"/>
  <c r="H3089" i="1" s="1"/>
  <c r="E3089" i="1"/>
  <c r="D3089" i="1"/>
  <c r="C3089" i="1"/>
  <c r="K3089" i="1" s="1"/>
  <c r="G3088" i="1"/>
  <c r="H3088" i="1" s="1"/>
  <c r="E3088" i="1"/>
  <c r="D3088" i="1"/>
  <c r="C3088" i="1"/>
  <c r="K3088" i="1" s="1"/>
  <c r="G3087" i="1"/>
  <c r="H3087" i="1" s="1"/>
  <c r="E3087" i="1"/>
  <c r="D3087" i="1"/>
  <c r="C3087" i="1"/>
  <c r="K3087" i="1" s="1"/>
  <c r="G3086" i="1"/>
  <c r="H3086" i="1" s="1"/>
  <c r="E3086" i="1"/>
  <c r="D3086" i="1"/>
  <c r="C3086" i="1"/>
  <c r="G3085" i="1"/>
  <c r="H3085" i="1" s="1"/>
  <c r="E3085" i="1"/>
  <c r="D3085" i="1"/>
  <c r="C3085" i="1"/>
  <c r="K3085" i="1" s="1"/>
  <c r="G3084" i="1"/>
  <c r="H3084" i="1" s="1"/>
  <c r="E3084" i="1"/>
  <c r="D3084" i="1"/>
  <c r="C3084" i="1"/>
  <c r="K3084" i="1" s="1"/>
  <c r="G3083" i="1"/>
  <c r="H3083" i="1" s="1"/>
  <c r="E3083" i="1"/>
  <c r="D3083" i="1"/>
  <c r="C3083" i="1"/>
  <c r="K3083" i="1" s="1"/>
  <c r="G3082" i="1"/>
  <c r="H3082" i="1" s="1"/>
  <c r="E3082" i="1"/>
  <c r="D3082" i="1"/>
  <c r="C3082" i="1"/>
  <c r="K3082" i="1" s="1"/>
  <c r="G3081" i="1"/>
  <c r="H3081" i="1" s="1"/>
  <c r="E3081" i="1"/>
  <c r="D3081" i="1"/>
  <c r="C3081" i="1"/>
  <c r="K3081" i="1" s="1"/>
  <c r="G3080" i="1"/>
  <c r="H3080" i="1" s="1"/>
  <c r="E3080" i="1"/>
  <c r="D3080" i="1"/>
  <c r="C3080" i="1"/>
  <c r="K3080" i="1" s="1"/>
  <c r="G3079" i="1"/>
  <c r="H3079" i="1" s="1"/>
  <c r="E3079" i="1"/>
  <c r="D3079" i="1"/>
  <c r="C3079" i="1"/>
  <c r="K3079" i="1" s="1"/>
  <c r="G3078" i="1"/>
  <c r="H3078" i="1" s="1"/>
  <c r="E3078" i="1"/>
  <c r="D3078" i="1"/>
  <c r="C3078" i="1"/>
  <c r="K3078" i="1" s="1"/>
  <c r="G3077" i="1"/>
  <c r="H3077" i="1" s="1"/>
  <c r="E3077" i="1"/>
  <c r="D3077" i="1"/>
  <c r="C3077" i="1"/>
  <c r="K3077" i="1" s="1"/>
  <c r="G3076" i="1"/>
  <c r="H3076" i="1" s="1"/>
  <c r="E3076" i="1"/>
  <c r="D3076" i="1"/>
  <c r="C3076" i="1"/>
  <c r="K3076" i="1" s="1"/>
  <c r="G3075" i="1"/>
  <c r="H3075" i="1" s="1"/>
  <c r="E3075" i="1"/>
  <c r="D3075" i="1"/>
  <c r="C3075" i="1"/>
  <c r="K3075" i="1" s="1"/>
  <c r="G3074" i="1"/>
  <c r="H3074" i="1" s="1"/>
  <c r="E3074" i="1"/>
  <c r="D3074" i="1"/>
  <c r="C3074" i="1"/>
  <c r="K3074" i="1" s="1"/>
  <c r="G3073" i="1"/>
  <c r="H3073" i="1" s="1"/>
  <c r="E3073" i="1"/>
  <c r="D3073" i="1"/>
  <c r="C3073" i="1"/>
  <c r="K3073" i="1" s="1"/>
  <c r="G3072" i="1"/>
  <c r="H3072" i="1" s="1"/>
  <c r="E3072" i="1"/>
  <c r="D3072" i="1"/>
  <c r="C3072" i="1"/>
  <c r="K3072" i="1" s="1"/>
  <c r="G3071" i="1"/>
  <c r="H3071" i="1" s="1"/>
  <c r="E3071" i="1"/>
  <c r="D3071" i="1"/>
  <c r="C3071" i="1"/>
  <c r="K3071" i="1" s="1"/>
  <c r="G3070" i="1"/>
  <c r="H3070" i="1" s="1"/>
  <c r="E3070" i="1"/>
  <c r="D3070" i="1"/>
  <c r="C3070" i="1"/>
  <c r="K3070" i="1" s="1"/>
  <c r="G3069" i="1"/>
  <c r="H3069" i="1" s="1"/>
  <c r="E3069" i="1"/>
  <c r="D3069" i="1"/>
  <c r="C3069" i="1"/>
  <c r="K3069" i="1" s="1"/>
  <c r="G3068" i="1"/>
  <c r="H3068" i="1" s="1"/>
  <c r="E3068" i="1"/>
  <c r="D3068" i="1"/>
  <c r="C3068" i="1"/>
  <c r="K3068" i="1" s="1"/>
  <c r="G3067" i="1"/>
  <c r="H3067" i="1" s="1"/>
  <c r="E3067" i="1"/>
  <c r="D3067" i="1"/>
  <c r="C3067" i="1"/>
  <c r="K3067" i="1" s="1"/>
  <c r="G3066" i="1"/>
  <c r="H3066" i="1" s="1"/>
  <c r="E3066" i="1"/>
  <c r="D3066" i="1"/>
  <c r="C3066" i="1"/>
  <c r="K3066" i="1" s="1"/>
  <c r="G3065" i="1"/>
  <c r="H3065" i="1" s="1"/>
  <c r="E3065" i="1"/>
  <c r="D3065" i="1"/>
  <c r="C3065" i="1"/>
  <c r="K3065" i="1" s="1"/>
  <c r="G3064" i="1"/>
  <c r="H3064" i="1" s="1"/>
  <c r="E3064" i="1"/>
  <c r="D3064" i="1"/>
  <c r="C3064" i="1"/>
  <c r="K3064" i="1" s="1"/>
  <c r="G3063" i="1"/>
  <c r="H3063" i="1" s="1"/>
  <c r="E3063" i="1"/>
  <c r="D3063" i="1"/>
  <c r="C3063" i="1"/>
  <c r="K3063" i="1" s="1"/>
  <c r="G3062" i="1"/>
  <c r="H3062" i="1" s="1"/>
  <c r="E3062" i="1"/>
  <c r="D3062" i="1"/>
  <c r="C3062" i="1"/>
  <c r="K3062" i="1" s="1"/>
  <c r="G3061" i="1"/>
  <c r="H3061" i="1" s="1"/>
  <c r="E3061" i="1"/>
  <c r="D3061" i="1"/>
  <c r="C3061" i="1"/>
  <c r="K3061" i="1" s="1"/>
  <c r="G3060" i="1"/>
  <c r="H3060" i="1" s="1"/>
  <c r="E3060" i="1"/>
  <c r="D3060" i="1"/>
  <c r="C3060" i="1"/>
  <c r="K3060" i="1" s="1"/>
  <c r="G3059" i="1"/>
  <c r="H3059" i="1" s="1"/>
  <c r="E3059" i="1"/>
  <c r="D3059" i="1"/>
  <c r="C3059" i="1"/>
  <c r="K3059" i="1" s="1"/>
  <c r="G3058" i="1"/>
  <c r="H3058" i="1" s="1"/>
  <c r="E3058" i="1"/>
  <c r="D3058" i="1"/>
  <c r="C3058" i="1"/>
  <c r="K3058" i="1" s="1"/>
  <c r="G3057" i="1"/>
  <c r="H3057" i="1" s="1"/>
  <c r="E3057" i="1"/>
  <c r="D3057" i="1"/>
  <c r="C3057" i="1"/>
  <c r="K3057" i="1" s="1"/>
  <c r="G3056" i="1"/>
  <c r="H3056" i="1" s="1"/>
  <c r="E3056" i="1"/>
  <c r="D3056" i="1"/>
  <c r="C3056" i="1"/>
  <c r="K3056" i="1" s="1"/>
  <c r="G3055" i="1"/>
  <c r="H3055" i="1" s="1"/>
  <c r="E3055" i="1"/>
  <c r="D3055" i="1"/>
  <c r="C3055" i="1"/>
  <c r="K3055" i="1" s="1"/>
  <c r="G3054" i="1"/>
  <c r="H3054" i="1" s="1"/>
  <c r="E3054" i="1"/>
  <c r="D3054" i="1"/>
  <c r="C3054" i="1"/>
  <c r="K3054" i="1" s="1"/>
  <c r="G3053" i="1"/>
  <c r="H3053" i="1" s="1"/>
  <c r="E3053" i="1"/>
  <c r="D3053" i="1"/>
  <c r="C3053" i="1"/>
  <c r="G3052" i="1"/>
  <c r="H3052" i="1" s="1"/>
  <c r="E3052" i="1"/>
  <c r="D3052" i="1"/>
  <c r="C3052" i="1"/>
  <c r="K3052" i="1" s="1"/>
  <c r="G3051" i="1"/>
  <c r="H3051" i="1" s="1"/>
  <c r="E3051" i="1"/>
  <c r="D3051" i="1"/>
  <c r="C3051" i="1"/>
  <c r="K3051" i="1" s="1"/>
  <c r="G3050" i="1"/>
  <c r="H3050" i="1" s="1"/>
  <c r="E3050" i="1"/>
  <c r="D3050" i="1"/>
  <c r="C3050" i="1"/>
  <c r="K3050" i="1" s="1"/>
  <c r="G3049" i="1"/>
  <c r="H3049" i="1" s="1"/>
  <c r="E3049" i="1"/>
  <c r="D3049" i="1"/>
  <c r="C3049" i="1"/>
  <c r="K3049" i="1" s="1"/>
  <c r="G3048" i="1"/>
  <c r="H3048" i="1" s="1"/>
  <c r="E3048" i="1"/>
  <c r="D3048" i="1"/>
  <c r="C3048" i="1"/>
  <c r="K3048" i="1" s="1"/>
  <c r="G3047" i="1"/>
  <c r="H3047" i="1" s="1"/>
  <c r="E3047" i="1"/>
  <c r="D3047" i="1"/>
  <c r="C3047" i="1"/>
  <c r="K3047" i="1" s="1"/>
  <c r="G3046" i="1"/>
  <c r="H3046" i="1" s="1"/>
  <c r="E3046" i="1"/>
  <c r="D3046" i="1"/>
  <c r="C3046" i="1"/>
  <c r="K3046" i="1" s="1"/>
  <c r="G3045" i="1"/>
  <c r="H3045" i="1" s="1"/>
  <c r="E3045" i="1"/>
  <c r="D3045" i="1"/>
  <c r="C3045" i="1"/>
  <c r="K3045" i="1" s="1"/>
  <c r="G3044" i="1"/>
  <c r="H3044" i="1" s="1"/>
  <c r="E3044" i="1"/>
  <c r="D3044" i="1"/>
  <c r="C3044" i="1"/>
  <c r="K3044" i="1" s="1"/>
  <c r="G3043" i="1"/>
  <c r="H3043" i="1" s="1"/>
  <c r="E3043" i="1"/>
  <c r="D3043" i="1"/>
  <c r="C3043" i="1"/>
  <c r="K3043" i="1" s="1"/>
  <c r="G3042" i="1"/>
  <c r="H3042" i="1" s="1"/>
  <c r="E3042" i="1"/>
  <c r="D3042" i="1"/>
  <c r="C3042" i="1"/>
  <c r="K3042" i="1" s="1"/>
  <c r="G3041" i="1"/>
  <c r="H3041" i="1" s="1"/>
  <c r="E3041" i="1"/>
  <c r="D3041" i="1"/>
  <c r="C3041" i="1"/>
  <c r="K3041" i="1" s="1"/>
  <c r="G3040" i="1"/>
  <c r="H3040" i="1" s="1"/>
  <c r="E3040" i="1"/>
  <c r="D3040" i="1"/>
  <c r="C3040" i="1"/>
  <c r="K3040" i="1" s="1"/>
  <c r="G3039" i="1"/>
  <c r="H3039" i="1" s="1"/>
  <c r="E3039" i="1"/>
  <c r="D3039" i="1"/>
  <c r="C3039" i="1"/>
  <c r="K3039" i="1" s="1"/>
  <c r="G3038" i="1"/>
  <c r="H3038" i="1" s="1"/>
  <c r="E3038" i="1"/>
  <c r="D3038" i="1"/>
  <c r="C3038" i="1"/>
  <c r="K3038" i="1" s="1"/>
  <c r="G3037" i="1"/>
  <c r="H3037" i="1" s="1"/>
  <c r="E3037" i="1"/>
  <c r="D3037" i="1"/>
  <c r="C3037" i="1"/>
  <c r="K3037" i="1" s="1"/>
  <c r="G3036" i="1"/>
  <c r="H3036" i="1" s="1"/>
  <c r="E3036" i="1"/>
  <c r="D3036" i="1"/>
  <c r="C3036" i="1"/>
  <c r="K3036" i="1" s="1"/>
  <c r="G3035" i="1"/>
  <c r="H3035" i="1" s="1"/>
  <c r="E3035" i="1"/>
  <c r="D3035" i="1"/>
  <c r="C3035" i="1"/>
  <c r="K3035" i="1" s="1"/>
  <c r="G3034" i="1"/>
  <c r="H3034" i="1" s="1"/>
  <c r="E3034" i="1"/>
  <c r="D3034" i="1"/>
  <c r="C3034" i="1"/>
  <c r="K3034" i="1" s="1"/>
  <c r="G3033" i="1"/>
  <c r="H3033" i="1" s="1"/>
  <c r="E3033" i="1"/>
  <c r="D3033" i="1"/>
  <c r="C3033" i="1"/>
  <c r="K3033" i="1" s="1"/>
  <c r="G3032" i="1"/>
  <c r="H3032" i="1" s="1"/>
  <c r="E3032" i="1"/>
  <c r="D3032" i="1"/>
  <c r="C3032" i="1"/>
  <c r="K3032" i="1" s="1"/>
  <c r="G3031" i="1"/>
  <c r="H3031" i="1" s="1"/>
  <c r="E3031" i="1"/>
  <c r="D3031" i="1"/>
  <c r="C3031" i="1"/>
  <c r="K3031" i="1" s="1"/>
  <c r="G3030" i="1"/>
  <c r="H3030" i="1" s="1"/>
  <c r="E3030" i="1"/>
  <c r="D3030" i="1"/>
  <c r="C3030" i="1"/>
  <c r="K3030" i="1" s="1"/>
  <c r="G3029" i="1"/>
  <c r="H3029" i="1" s="1"/>
  <c r="E3029" i="1"/>
  <c r="D3029" i="1"/>
  <c r="C3029" i="1"/>
  <c r="K3029" i="1" s="1"/>
  <c r="G3028" i="1"/>
  <c r="H3028" i="1" s="1"/>
  <c r="E3028" i="1"/>
  <c r="D3028" i="1"/>
  <c r="C3028" i="1"/>
  <c r="K3028" i="1" s="1"/>
  <c r="G3027" i="1"/>
  <c r="H3027" i="1" s="1"/>
  <c r="E3027" i="1"/>
  <c r="D3027" i="1"/>
  <c r="C3027" i="1"/>
  <c r="K3027" i="1" s="1"/>
  <c r="G3026" i="1"/>
  <c r="H3026" i="1" s="1"/>
  <c r="E3026" i="1"/>
  <c r="D3026" i="1"/>
  <c r="C3026" i="1"/>
  <c r="K3026" i="1" s="1"/>
  <c r="G3025" i="1"/>
  <c r="H3025" i="1" s="1"/>
  <c r="E3025" i="1"/>
  <c r="D3025" i="1"/>
  <c r="C3025" i="1"/>
  <c r="K3025" i="1" s="1"/>
  <c r="G3024" i="1"/>
  <c r="H3024" i="1" s="1"/>
  <c r="E3024" i="1"/>
  <c r="D3024" i="1"/>
  <c r="C3024" i="1"/>
  <c r="K3024" i="1" s="1"/>
  <c r="G3023" i="1"/>
  <c r="H3023" i="1" s="1"/>
  <c r="E3023" i="1"/>
  <c r="D3023" i="1"/>
  <c r="C3023" i="1"/>
  <c r="K3023" i="1" s="1"/>
  <c r="G3022" i="1"/>
  <c r="H3022" i="1" s="1"/>
  <c r="E3022" i="1"/>
  <c r="D3022" i="1"/>
  <c r="C3022" i="1"/>
  <c r="K3022" i="1" s="1"/>
  <c r="G3021" i="1"/>
  <c r="H3021" i="1" s="1"/>
  <c r="E3021" i="1"/>
  <c r="D3021" i="1"/>
  <c r="C3021" i="1"/>
  <c r="K3021" i="1" s="1"/>
  <c r="G3020" i="1"/>
  <c r="H3020" i="1" s="1"/>
  <c r="E3020" i="1"/>
  <c r="D3020" i="1"/>
  <c r="C3020" i="1"/>
  <c r="K3020" i="1" s="1"/>
  <c r="G3019" i="1"/>
  <c r="H3019" i="1" s="1"/>
  <c r="E3019" i="1"/>
  <c r="D3019" i="1"/>
  <c r="C3019" i="1"/>
  <c r="K3019" i="1" s="1"/>
  <c r="G3018" i="1"/>
  <c r="H3018" i="1" s="1"/>
  <c r="E3018" i="1"/>
  <c r="D3018" i="1"/>
  <c r="C3018" i="1"/>
  <c r="K3018" i="1" s="1"/>
  <c r="G3017" i="1"/>
  <c r="H3017" i="1" s="1"/>
  <c r="E3017" i="1"/>
  <c r="D3017" i="1"/>
  <c r="C3017" i="1"/>
  <c r="K3017" i="1" s="1"/>
  <c r="G3016" i="1"/>
  <c r="H3016" i="1" s="1"/>
  <c r="E3016" i="1"/>
  <c r="D3016" i="1"/>
  <c r="C3016" i="1"/>
  <c r="K3016" i="1" s="1"/>
  <c r="G3015" i="1"/>
  <c r="H3015" i="1" s="1"/>
  <c r="E3015" i="1"/>
  <c r="D3015" i="1"/>
  <c r="C3015" i="1"/>
  <c r="K3015" i="1" s="1"/>
  <c r="G3014" i="1"/>
  <c r="H3014" i="1" s="1"/>
  <c r="E3014" i="1"/>
  <c r="D3014" i="1"/>
  <c r="C3014" i="1"/>
  <c r="K3014" i="1" s="1"/>
  <c r="G3013" i="1"/>
  <c r="H3013" i="1" s="1"/>
  <c r="E3013" i="1"/>
  <c r="D3013" i="1"/>
  <c r="C3013" i="1"/>
  <c r="K3013" i="1" s="1"/>
  <c r="G3012" i="1"/>
  <c r="H3012" i="1" s="1"/>
  <c r="E3012" i="1"/>
  <c r="D3012" i="1"/>
  <c r="C3012" i="1"/>
  <c r="K3012" i="1" s="1"/>
  <c r="G3011" i="1"/>
  <c r="H3011" i="1" s="1"/>
  <c r="E3011" i="1"/>
  <c r="D3011" i="1"/>
  <c r="C3011" i="1"/>
  <c r="K3011" i="1" s="1"/>
  <c r="G3010" i="1"/>
  <c r="H3010" i="1" s="1"/>
  <c r="E3010" i="1"/>
  <c r="D3010" i="1"/>
  <c r="C3010" i="1"/>
  <c r="K3010" i="1" s="1"/>
  <c r="G3009" i="1"/>
  <c r="H3009" i="1" s="1"/>
  <c r="E3009" i="1"/>
  <c r="D3009" i="1"/>
  <c r="C3009" i="1"/>
  <c r="K3009" i="1" s="1"/>
  <c r="G3008" i="1"/>
  <c r="H3008" i="1" s="1"/>
  <c r="E3008" i="1"/>
  <c r="D3008" i="1"/>
  <c r="C3008" i="1"/>
  <c r="K3008" i="1" s="1"/>
  <c r="G3007" i="1"/>
  <c r="H3007" i="1" s="1"/>
  <c r="E3007" i="1"/>
  <c r="D3007" i="1"/>
  <c r="C3007" i="1"/>
  <c r="K3007" i="1" s="1"/>
  <c r="G3006" i="1"/>
  <c r="H3006" i="1" s="1"/>
  <c r="E3006" i="1"/>
  <c r="D3006" i="1"/>
  <c r="C3006" i="1"/>
  <c r="K3006" i="1" s="1"/>
  <c r="G3005" i="1"/>
  <c r="H3005" i="1" s="1"/>
  <c r="E3005" i="1"/>
  <c r="D3005" i="1"/>
  <c r="C3005" i="1"/>
  <c r="K3005" i="1" s="1"/>
  <c r="G3004" i="1"/>
  <c r="H3004" i="1" s="1"/>
  <c r="E3004" i="1"/>
  <c r="D3004" i="1"/>
  <c r="C3004" i="1"/>
  <c r="K3004" i="1" s="1"/>
  <c r="G3003" i="1"/>
  <c r="H3003" i="1" s="1"/>
  <c r="E3003" i="1"/>
  <c r="D3003" i="1"/>
  <c r="C3003" i="1"/>
  <c r="K3003" i="1" s="1"/>
  <c r="G3002" i="1"/>
  <c r="H3002" i="1" s="1"/>
  <c r="E3002" i="1"/>
  <c r="D3002" i="1"/>
  <c r="C3002" i="1"/>
  <c r="K3002" i="1" s="1"/>
  <c r="G3001" i="1"/>
  <c r="H3001" i="1" s="1"/>
  <c r="E3001" i="1"/>
  <c r="D3001" i="1"/>
  <c r="C3001" i="1"/>
  <c r="K3001" i="1" s="1"/>
  <c r="G3000" i="1"/>
  <c r="H3000" i="1" s="1"/>
  <c r="E3000" i="1"/>
  <c r="D3000" i="1"/>
  <c r="C3000" i="1"/>
  <c r="K3000" i="1" s="1"/>
  <c r="G2999" i="1"/>
  <c r="H2999" i="1" s="1"/>
  <c r="E2999" i="1"/>
  <c r="D2999" i="1"/>
  <c r="C2999" i="1"/>
  <c r="K2999" i="1" s="1"/>
  <c r="G2998" i="1"/>
  <c r="H2998" i="1" s="1"/>
  <c r="E2998" i="1"/>
  <c r="D2998" i="1"/>
  <c r="C2998" i="1"/>
  <c r="K2998" i="1" s="1"/>
  <c r="G2997" i="1"/>
  <c r="H2997" i="1" s="1"/>
  <c r="E2997" i="1"/>
  <c r="D2997" i="1"/>
  <c r="C2997" i="1"/>
  <c r="K2997" i="1" s="1"/>
  <c r="G2996" i="1"/>
  <c r="H2996" i="1" s="1"/>
  <c r="E2996" i="1"/>
  <c r="D2996" i="1"/>
  <c r="C2996" i="1"/>
  <c r="K2996" i="1" s="1"/>
  <c r="G2995" i="1"/>
  <c r="H2995" i="1" s="1"/>
  <c r="E2995" i="1"/>
  <c r="D2995" i="1"/>
  <c r="C2995" i="1"/>
  <c r="K2995" i="1" s="1"/>
  <c r="G2994" i="1"/>
  <c r="H2994" i="1" s="1"/>
  <c r="E2994" i="1"/>
  <c r="D2994" i="1"/>
  <c r="C2994" i="1"/>
  <c r="K2994" i="1" s="1"/>
  <c r="G2993" i="1"/>
  <c r="H2993" i="1" s="1"/>
  <c r="E2993" i="1"/>
  <c r="D2993" i="1"/>
  <c r="C2993" i="1"/>
  <c r="K2993" i="1" s="1"/>
  <c r="G2992" i="1"/>
  <c r="H2992" i="1" s="1"/>
  <c r="E2992" i="1"/>
  <c r="D2992" i="1"/>
  <c r="C2992" i="1"/>
  <c r="K2992" i="1" s="1"/>
  <c r="G2991" i="1"/>
  <c r="H2991" i="1" s="1"/>
  <c r="E2991" i="1"/>
  <c r="D2991" i="1"/>
  <c r="C2991" i="1"/>
  <c r="K2991" i="1" s="1"/>
  <c r="G2990" i="1"/>
  <c r="H2990" i="1" s="1"/>
  <c r="E2990" i="1"/>
  <c r="D2990" i="1"/>
  <c r="C2990" i="1"/>
  <c r="K2990" i="1" s="1"/>
  <c r="G2989" i="1"/>
  <c r="H2989" i="1" s="1"/>
  <c r="E2989" i="1"/>
  <c r="D2989" i="1"/>
  <c r="C2989" i="1"/>
  <c r="K2989" i="1" s="1"/>
  <c r="G2988" i="1"/>
  <c r="H2988" i="1" s="1"/>
  <c r="E2988" i="1"/>
  <c r="D2988" i="1"/>
  <c r="C2988" i="1"/>
  <c r="K2988" i="1" s="1"/>
  <c r="G2987" i="1"/>
  <c r="H2987" i="1" s="1"/>
  <c r="E2987" i="1"/>
  <c r="D2987" i="1"/>
  <c r="C2987" i="1"/>
  <c r="K2987" i="1" s="1"/>
  <c r="G2986" i="1"/>
  <c r="H2986" i="1" s="1"/>
  <c r="E2986" i="1"/>
  <c r="D2986" i="1"/>
  <c r="C2986" i="1"/>
  <c r="K2986" i="1" s="1"/>
  <c r="G2985" i="1"/>
  <c r="H2985" i="1" s="1"/>
  <c r="E2985" i="1"/>
  <c r="D2985" i="1"/>
  <c r="C2985" i="1"/>
  <c r="K2985" i="1" s="1"/>
  <c r="G2984" i="1"/>
  <c r="H2984" i="1" s="1"/>
  <c r="E2984" i="1"/>
  <c r="D2984" i="1"/>
  <c r="C2984" i="1"/>
  <c r="K2984" i="1" s="1"/>
  <c r="G2983" i="1"/>
  <c r="H2983" i="1" s="1"/>
  <c r="E2983" i="1"/>
  <c r="D2983" i="1"/>
  <c r="C2983" i="1"/>
  <c r="K2983" i="1" s="1"/>
  <c r="G2982" i="1"/>
  <c r="H2982" i="1" s="1"/>
  <c r="E2982" i="1"/>
  <c r="D2982" i="1"/>
  <c r="C2982" i="1"/>
  <c r="K2982" i="1" s="1"/>
  <c r="G2981" i="1"/>
  <c r="H2981" i="1" s="1"/>
  <c r="E2981" i="1"/>
  <c r="D2981" i="1"/>
  <c r="C2981" i="1"/>
  <c r="K2981" i="1" s="1"/>
  <c r="G2980" i="1"/>
  <c r="H2980" i="1" s="1"/>
  <c r="E2980" i="1"/>
  <c r="D2980" i="1"/>
  <c r="C2980" i="1"/>
  <c r="K2980" i="1" s="1"/>
  <c r="G2979" i="1"/>
  <c r="H2979" i="1" s="1"/>
  <c r="E2979" i="1"/>
  <c r="D2979" i="1"/>
  <c r="C2979" i="1"/>
  <c r="K2979" i="1" s="1"/>
  <c r="G2978" i="1"/>
  <c r="H2978" i="1" s="1"/>
  <c r="E2978" i="1"/>
  <c r="D2978" i="1"/>
  <c r="C2978" i="1"/>
  <c r="K2978" i="1" s="1"/>
  <c r="G2977" i="1"/>
  <c r="H2977" i="1" s="1"/>
  <c r="E2977" i="1"/>
  <c r="D2977" i="1"/>
  <c r="C2977" i="1"/>
  <c r="K2977" i="1" s="1"/>
  <c r="G2976" i="1"/>
  <c r="H2976" i="1" s="1"/>
  <c r="E2976" i="1"/>
  <c r="D2976" i="1"/>
  <c r="C2976" i="1"/>
  <c r="K2976" i="1" s="1"/>
  <c r="G2975" i="1"/>
  <c r="H2975" i="1" s="1"/>
  <c r="E2975" i="1"/>
  <c r="D2975" i="1"/>
  <c r="C2975" i="1"/>
  <c r="K2975" i="1" s="1"/>
  <c r="G2974" i="1"/>
  <c r="H2974" i="1" s="1"/>
  <c r="E2974" i="1"/>
  <c r="D2974" i="1"/>
  <c r="C2974" i="1"/>
  <c r="K2974" i="1" s="1"/>
  <c r="G2973" i="1"/>
  <c r="H2973" i="1" s="1"/>
  <c r="E2973" i="1"/>
  <c r="D2973" i="1"/>
  <c r="C2973" i="1"/>
  <c r="K2973" i="1" s="1"/>
  <c r="G2972" i="1"/>
  <c r="H2972" i="1" s="1"/>
  <c r="E2972" i="1"/>
  <c r="D2972" i="1"/>
  <c r="C2972" i="1"/>
  <c r="K2972" i="1" s="1"/>
  <c r="G2971" i="1"/>
  <c r="H2971" i="1" s="1"/>
  <c r="E2971" i="1"/>
  <c r="D2971" i="1"/>
  <c r="C2971" i="1"/>
  <c r="K2971" i="1" s="1"/>
  <c r="G2970" i="1"/>
  <c r="H2970" i="1" s="1"/>
  <c r="E2970" i="1"/>
  <c r="D2970" i="1"/>
  <c r="C2970" i="1"/>
  <c r="K2970" i="1" s="1"/>
  <c r="G2969" i="1"/>
  <c r="H2969" i="1" s="1"/>
  <c r="E2969" i="1"/>
  <c r="D2969" i="1"/>
  <c r="C2969" i="1"/>
  <c r="K2969" i="1" s="1"/>
  <c r="G2968" i="1"/>
  <c r="H2968" i="1" s="1"/>
  <c r="E2968" i="1"/>
  <c r="D2968" i="1"/>
  <c r="C2968" i="1"/>
  <c r="K2968" i="1" s="1"/>
  <c r="G2967" i="1"/>
  <c r="H2967" i="1" s="1"/>
  <c r="E2967" i="1"/>
  <c r="D2967" i="1"/>
  <c r="C2967" i="1"/>
  <c r="K2967" i="1" s="1"/>
  <c r="G2966" i="1"/>
  <c r="H2966" i="1" s="1"/>
  <c r="E2966" i="1"/>
  <c r="D2966" i="1"/>
  <c r="C2966" i="1"/>
  <c r="K2966" i="1" s="1"/>
  <c r="G2965" i="1"/>
  <c r="H2965" i="1" s="1"/>
  <c r="E2965" i="1"/>
  <c r="D2965" i="1"/>
  <c r="C2965" i="1"/>
  <c r="K2965" i="1" s="1"/>
  <c r="G2964" i="1"/>
  <c r="H2964" i="1" s="1"/>
  <c r="E2964" i="1"/>
  <c r="D2964" i="1"/>
  <c r="C2964" i="1"/>
  <c r="K2964" i="1" s="1"/>
  <c r="G2963" i="1"/>
  <c r="H2963" i="1" s="1"/>
  <c r="E2963" i="1"/>
  <c r="D2963" i="1"/>
  <c r="C2963" i="1"/>
  <c r="K2963" i="1" s="1"/>
  <c r="G2962" i="1"/>
  <c r="H2962" i="1" s="1"/>
  <c r="E2962" i="1"/>
  <c r="D2962" i="1"/>
  <c r="C2962" i="1"/>
  <c r="K2962" i="1" s="1"/>
  <c r="G2961" i="1"/>
  <c r="H2961" i="1" s="1"/>
  <c r="E2961" i="1"/>
  <c r="D2961" i="1"/>
  <c r="C2961" i="1"/>
  <c r="K2961" i="1" s="1"/>
  <c r="G2960" i="1"/>
  <c r="H2960" i="1" s="1"/>
  <c r="E2960" i="1"/>
  <c r="D2960" i="1"/>
  <c r="C2960" i="1"/>
  <c r="K2960" i="1" s="1"/>
  <c r="G2959" i="1"/>
  <c r="H2959" i="1" s="1"/>
  <c r="E2959" i="1"/>
  <c r="D2959" i="1"/>
  <c r="C2959" i="1"/>
  <c r="K2959" i="1" s="1"/>
  <c r="G2958" i="1"/>
  <c r="H2958" i="1" s="1"/>
  <c r="E2958" i="1"/>
  <c r="D2958" i="1"/>
  <c r="C2958" i="1"/>
  <c r="K2958" i="1" s="1"/>
  <c r="G2957" i="1"/>
  <c r="H2957" i="1" s="1"/>
  <c r="E2957" i="1"/>
  <c r="D2957" i="1"/>
  <c r="C2957" i="1"/>
  <c r="K2957" i="1" s="1"/>
  <c r="G2956" i="1"/>
  <c r="H2956" i="1" s="1"/>
  <c r="E2956" i="1"/>
  <c r="D2956" i="1"/>
  <c r="C2956" i="1"/>
  <c r="K2956" i="1" s="1"/>
  <c r="G2955" i="1"/>
  <c r="H2955" i="1" s="1"/>
  <c r="E2955" i="1"/>
  <c r="D2955" i="1"/>
  <c r="C2955" i="1"/>
  <c r="K2955" i="1" s="1"/>
  <c r="G2954" i="1"/>
  <c r="H2954" i="1" s="1"/>
  <c r="E2954" i="1"/>
  <c r="D2954" i="1"/>
  <c r="C2954" i="1"/>
  <c r="K2954" i="1" s="1"/>
  <c r="G2953" i="1"/>
  <c r="H2953" i="1" s="1"/>
  <c r="E2953" i="1"/>
  <c r="D2953" i="1"/>
  <c r="C2953" i="1"/>
  <c r="K2953" i="1" s="1"/>
  <c r="G2952" i="1"/>
  <c r="H2952" i="1" s="1"/>
  <c r="E2952" i="1"/>
  <c r="D2952" i="1"/>
  <c r="C2952" i="1"/>
  <c r="K2952" i="1" s="1"/>
  <c r="G2951" i="1"/>
  <c r="H2951" i="1" s="1"/>
  <c r="E2951" i="1"/>
  <c r="D2951" i="1"/>
  <c r="C2951" i="1"/>
  <c r="K2951" i="1" s="1"/>
  <c r="G2950" i="1"/>
  <c r="H2950" i="1" s="1"/>
  <c r="E2950" i="1"/>
  <c r="D2950" i="1"/>
  <c r="C2950" i="1"/>
  <c r="K2950" i="1" s="1"/>
  <c r="G2949" i="1"/>
  <c r="H2949" i="1" s="1"/>
  <c r="E2949" i="1"/>
  <c r="D2949" i="1"/>
  <c r="C2949" i="1"/>
  <c r="K2949" i="1" s="1"/>
  <c r="G2948" i="1"/>
  <c r="H2948" i="1" s="1"/>
  <c r="E2948" i="1"/>
  <c r="D2948" i="1"/>
  <c r="C2948" i="1"/>
  <c r="K2948" i="1" s="1"/>
  <c r="G2947" i="1"/>
  <c r="H2947" i="1" s="1"/>
  <c r="E2947" i="1"/>
  <c r="D2947" i="1"/>
  <c r="C2947" i="1"/>
  <c r="K2947" i="1" s="1"/>
  <c r="G2946" i="1"/>
  <c r="H2946" i="1" s="1"/>
  <c r="E2946" i="1"/>
  <c r="D2946" i="1"/>
  <c r="C2946" i="1"/>
  <c r="K2946" i="1" s="1"/>
  <c r="G2945" i="1"/>
  <c r="H2945" i="1" s="1"/>
  <c r="E2945" i="1"/>
  <c r="D2945" i="1"/>
  <c r="C2945" i="1"/>
  <c r="K2945" i="1" s="1"/>
  <c r="G2944" i="1"/>
  <c r="H2944" i="1" s="1"/>
  <c r="E2944" i="1"/>
  <c r="D2944" i="1"/>
  <c r="C2944" i="1"/>
  <c r="K2944" i="1" s="1"/>
  <c r="G2943" i="1"/>
  <c r="H2943" i="1" s="1"/>
  <c r="E2943" i="1"/>
  <c r="D2943" i="1"/>
  <c r="C2943" i="1"/>
  <c r="K2943" i="1" s="1"/>
  <c r="G2942" i="1"/>
  <c r="H2942" i="1" s="1"/>
  <c r="E2942" i="1"/>
  <c r="D2942" i="1"/>
  <c r="C2942" i="1"/>
  <c r="K2942" i="1" s="1"/>
  <c r="G2941" i="1"/>
  <c r="H2941" i="1" s="1"/>
  <c r="E2941" i="1"/>
  <c r="D2941" i="1"/>
  <c r="C2941" i="1"/>
  <c r="K2941" i="1" s="1"/>
  <c r="G2940" i="1"/>
  <c r="H2940" i="1" s="1"/>
  <c r="E2940" i="1"/>
  <c r="D2940" i="1"/>
  <c r="C2940" i="1"/>
  <c r="K2940" i="1" s="1"/>
  <c r="G2939" i="1"/>
  <c r="H2939" i="1" s="1"/>
  <c r="E2939" i="1"/>
  <c r="D2939" i="1"/>
  <c r="C2939" i="1"/>
  <c r="K2939" i="1" s="1"/>
  <c r="G2938" i="1"/>
  <c r="H2938" i="1" s="1"/>
  <c r="E2938" i="1"/>
  <c r="D2938" i="1"/>
  <c r="C2938" i="1"/>
  <c r="K2938" i="1" s="1"/>
  <c r="G2937" i="1"/>
  <c r="H2937" i="1" s="1"/>
  <c r="E2937" i="1"/>
  <c r="D2937" i="1"/>
  <c r="C2937" i="1"/>
  <c r="G2936" i="1"/>
  <c r="H2936" i="1" s="1"/>
  <c r="E2936" i="1"/>
  <c r="D2936" i="1"/>
  <c r="C2936" i="1"/>
  <c r="K2936" i="1" s="1"/>
  <c r="G2935" i="1"/>
  <c r="H2935" i="1" s="1"/>
  <c r="E2935" i="1"/>
  <c r="D2935" i="1"/>
  <c r="C2935" i="1"/>
  <c r="K2935" i="1" s="1"/>
  <c r="G2934" i="1"/>
  <c r="H2934" i="1" s="1"/>
  <c r="E2934" i="1"/>
  <c r="D2934" i="1"/>
  <c r="C2934" i="1"/>
  <c r="K2934" i="1" s="1"/>
  <c r="G2933" i="1"/>
  <c r="H2933" i="1" s="1"/>
  <c r="E2933" i="1"/>
  <c r="D2933" i="1"/>
  <c r="C2933" i="1"/>
  <c r="K2933" i="1" s="1"/>
  <c r="G2932" i="1"/>
  <c r="H2932" i="1" s="1"/>
  <c r="E2932" i="1"/>
  <c r="D2932" i="1"/>
  <c r="C2932" i="1"/>
  <c r="K2932" i="1" s="1"/>
  <c r="G2931" i="1"/>
  <c r="H2931" i="1" s="1"/>
  <c r="E2931" i="1"/>
  <c r="D2931" i="1"/>
  <c r="C2931" i="1"/>
  <c r="G2930" i="1"/>
  <c r="H2930" i="1" s="1"/>
  <c r="E2930" i="1"/>
  <c r="D2930" i="1"/>
  <c r="C2930" i="1"/>
  <c r="K2930" i="1" s="1"/>
  <c r="G2929" i="1"/>
  <c r="H2929" i="1" s="1"/>
  <c r="E2929" i="1"/>
  <c r="D2929" i="1"/>
  <c r="C2929" i="1"/>
  <c r="G2928" i="1"/>
  <c r="H2928" i="1" s="1"/>
  <c r="E2928" i="1"/>
  <c r="D2928" i="1"/>
  <c r="C2928" i="1"/>
  <c r="K2928" i="1" s="1"/>
  <c r="G2927" i="1"/>
  <c r="H2927" i="1" s="1"/>
  <c r="E2927" i="1"/>
  <c r="D2927" i="1"/>
  <c r="C2927" i="1"/>
  <c r="K2927" i="1" s="1"/>
  <c r="G2926" i="1"/>
  <c r="H2926" i="1" s="1"/>
  <c r="E2926" i="1"/>
  <c r="D2926" i="1"/>
  <c r="C2926" i="1"/>
  <c r="K2926" i="1" s="1"/>
  <c r="G2925" i="1"/>
  <c r="H2925" i="1" s="1"/>
  <c r="E2925" i="1"/>
  <c r="D2925" i="1"/>
  <c r="C2925" i="1"/>
  <c r="K2925" i="1" s="1"/>
  <c r="G2924" i="1"/>
  <c r="H2924" i="1" s="1"/>
  <c r="E2924" i="1"/>
  <c r="D2924" i="1"/>
  <c r="C2924" i="1"/>
  <c r="K2924" i="1" s="1"/>
  <c r="G2923" i="1"/>
  <c r="H2923" i="1" s="1"/>
  <c r="E2923" i="1"/>
  <c r="D2923" i="1"/>
  <c r="C2923" i="1"/>
  <c r="K2923" i="1" s="1"/>
  <c r="G2922" i="1"/>
  <c r="H2922" i="1" s="1"/>
  <c r="E2922" i="1"/>
  <c r="D2922" i="1"/>
  <c r="C2922" i="1"/>
  <c r="K2922" i="1" s="1"/>
  <c r="G2921" i="1"/>
  <c r="H2921" i="1" s="1"/>
  <c r="E2921" i="1"/>
  <c r="D2921" i="1"/>
  <c r="C2921" i="1"/>
  <c r="K2921" i="1" s="1"/>
  <c r="G2920" i="1"/>
  <c r="H2920" i="1" s="1"/>
  <c r="E2920" i="1"/>
  <c r="D2920" i="1"/>
  <c r="C2920" i="1"/>
  <c r="K2920" i="1" s="1"/>
  <c r="G2919" i="1"/>
  <c r="H2919" i="1" s="1"/>
  <c r="E2919" i="1"/>
  <c r="D2919" i="1"/>
  <c r="C2919" i="1"/>
  <c r="K2919" i="1" s="1"/>
  <c r="G2918" i="1"/>
  <c r="H2918" i="1" s="1"/>
  <c r="E2918" i="1"/>
  <c r="D2918" i="1"/>
  <c r="C2918" i="1"/>
  <c r="K2918" i="1" s="1"/>
  <c r="G2917" i="1"/>
  <c r="H2917" i="1" s="1"/>
  <c r="E2917" i="1"/>
  <c r="D2917" i="1"/>
  <c r="C2917" i="1"/>
  <c r="K2917" i="1" s="1"/>
  <c r="G2916" i="1"/>
  <c r="H2916" i="1" s="1"/>
  <c r="E2916" i="1"/>
  <c r="D2916" i="1"/>
  <c r="C2916" i="1"/>
  <c r="K2916" i="1" s="1"/>
  <c r="G2915" i="1"/>
  <c r="H2915" i="1" s="1"/>
  <c r="E2915" i="1"/>
  <c r="D2915" i="1"/>
  <c r="C2915" i="1"/>
  <c r="K2915" i="1" s="1"/>
  <c r="G2914" i="1"/>
  <c r="H2914" i="1" s="1"/>
  <c r="E2914" i="1"/>
  <c r="D2914" i="1"/>
  <c r="C2914" i="1"/>
  <c r="K2914" i="1" s="1"/>
  <c r="G2913" i="1"/>
  <c r="H2913" i="1" s="1"/>
  <c r="E2913" i="1"/>
  <c r="D2913" i="1"/>
  <c r="C2913" i="1"/>
  <c r="K2913" i="1" s="1"/>
  <c r="G2912" i="1"/>
  <c r="H2912" i="1" s="1"/>
  <c r="E2912" i="1"/>
  <c r="D2912" i="1"/>
  <c r="C2912" i="1"/>
  <c r="K2912" i="1" s="1"/>
  <c r="G2911" i="1"/>
  <c r="H2911" i="1" s="1"/>
  <c r="E2911" i="1"/>
  <c r="D2911" i="1"/>
  <c r="C2911" i="1"/>
  <c r="K2911" i="1" s="1"/>
  <c r="G2910" i="1"/>
  <c r="H2910" i="1" s="1"/>
  <c r="E2910" i="1"/>
  <c r="D2910" i="1"/>
  <c r="C2910" i="1"/>
  <c r="K2910" i="1" s="1"/>
  <c r="G2909" i="1"/>
  <c r="H2909" i="1" s="1"/>
  <c r="E2909" i="1"/>
  <c r="D2909" i="1"/>
  <c r="C2909" i="1"/>
  <c r="K2909" i="1" s="1"/>
  <c r="G2908" i="1"/>
  <c r="H2908" i="1" s="1"/>
  <c r="E2908" i="1"/>
  <c r="D2908" i="1"/>
  <c r="C2908" i="1"/>
  <c r="K2908" i="1" s="1"/>
  <c r="G2907" i="1"/>
  <c r="H2907" i="1" s="1"/>
  <c r="E2907" i="1"/>
  <c r="D2907" i="1"/>
  <c r="C2907" i="1"/>
  <c r="K2907" i="1" s="1"/>
  <c r="G2906" i="1"/>
  <c r="H2906" i="1" s="1"/>
  <c r="E2906" i="1"/>
  <c r="D2906" i="1"/>
  <c r="C2906" i="1"/>
  <c r="K2906" i="1" s="1"/>
  <c r="G2905" i="1"/>
  <c r="H2905" i="1" s="1"/>
  <c r="E2905" i="1"/>
  <c r="D2905" i="1"/>
  <c r="C2905" i="1"/>
  <c r="K2905" i="1" s="1"/>
  <c r="G2904" i="1"/>
  <c r="H2904" i="1" s="1"/>
  <c r="E2904" i="1"/>
  <c r="D2904" i="1"/>
  <c r="C2904" i="1"/>
  <c r="K2904" i="1" s="1"/>
  <c r="G2903" i="1"/>
  <c r="H2903" i="1" s="1"/>
  <c r="E2903" i="1"/>
  <c r="D2903" i="1"/>
  <c r="C2903" i="1"/>
  <c r="K2903" i="1" s="1"/>
  <c r="G2902" i="1"/>
  <c r="H2902" i="1" s="1"/>
  <c r="E2902" i="1"/>
  <c r="D2902" i="1"/>
  <c r="C2902" i="1"/>
  <c r="K2902" i="1" s="1"/>
  <c r="G2901" i="1"/>
  <c r="H2901" i="1" s="1"/>
  <c r="E2901" i="1"/>
  <c r="D2901" i="1"/>
  <c r="C2901" i="1"/>
  <c r="G2900" i="1"/>
  <c r="H2900" i="1" s="1"/>
  <c r="E2900" i="1"/>
  <c r="D2900" i="1"/>
  <c r="C2900" i="1"/>
  <c r="K2900" i="1" s="1"/>
  <c r="G2899" i="1"/>
  <c r="H2899" i="1" s="1"/>
  <c r="E2899" i="1"/>
  <c r="D2899" i="1"/>
  <c r="C2899" i="1"/>
  <c r="K2899" i="1" s="1"/>
  <c r="G2898" i="1"/>
  <c r="H2898" i="1" s="1"/>
  <c r="E2898" i="1"/>
  <c r="D2898" i="1"/>
  <c r="C2898" i="1"/>
  <c r="K2898" i="1" s="1"/>
  <c r="G2897" i="1"/>
  <c r="H2897" i="1" s="1"/>
  <c r="E2897" i="1"/>
  <c r="D2897" i="1"/>
  <c r="C2897" i="1"/>
  <c r="K2897" i="1" s="1"/>
  <c r="G2896" i="1"/>
  <c r="H2896" i="1" s="1"/>
  <c r="E2896" i="1"/>
  <c r="D2896" i="1"/>
  <c r="C2896" i="1"/>
  <c r="K2896" i="1" s="1"/>
  <c r="G2895" i="1"/>
  <c r="H2895" i="1" s="1"/>
  <c r="E2895" i="1"/>
  <c r="D2895" i="1"/>
  <c r="C2895" i="1"/>
  <c r="K2895" i="1" s="1"/>
  <c r="G2894" i="1"/>
  <c r="H2894" i="1" s="1"/>
  <c r="E2894" i="1"/>
  <c r="D2894" i="1"/>
  <c r="C2894" i="1"/>
  <c r="K2894" i="1" s="1"/>
  <c r="G2893" i="1"/>
  <c r="H2893" i="1" s="1"/>
  <c r="E2893" i="1"/>
  <c r="D2893" i="1"/>
  <c r="C2893" i="1"/>
  <c r="K2893" i="1" s="1"/>
  <c r="G2892" i="1"/>
  <c r="H2892" i="1" s="1"/>
  <c r="E2892" i="1"/>
  <c r="D2892" i="1"/>
  <c r="C2892" i="1"/>
  <c r="K2892" i="1" s="1"/>
  <c r="G2891" i="1"/>
  <c r="H2891" i="1" s="1"/>
  <c r="E2891" i="1"/>
  <c r="D2891" i="1"/>
  <c r="C2891" i="1"/>
  <c r="K2891" i="1" s="1"/>
  <c r="G2890" i="1"/>
  <c r="H2890" i="1" s="1"/>
  <c r="E2890" i="1"/>
  <c r="D2890" i="1"/>
  <c r="C2890" i="1"/>
  <c r="K2890" i="1" s="1"/>
  <c r="G2889" i="1"/>
  <c r="H2889" i="1" s="1"/>
  <c r="E2889" i="1"/>
  <c r="D2889" i="1"/>
  <c r="C2889" i="1"/>
  <c r="K2889" i="1" s="1"/>
  <c r="G2888" i="1"/>
  <c r="H2888" i="1" s="1"/>
  <c r="E2888" i="1"/>
  <c r="D2888" i="1"/>
  <c r="C2888" i="1"/>
  <c r="K2888" i="1" s="1"/>
  <c r="G2887" i="1"/>
  <c r="H2887" i="1" s="1"/>
  <c r="E2887" i="1"/>
  <c r="D2887" i="1"/>
  <c r="C2887" i="1"/>
  <c r="K2887" i="1" s="1"/>
  <c r="G2886" i="1"/>
  <c r="H2886" i="1" s="1"/>
  <c r="E2886" i="1"/>
  <c r="D2886" i="1"/>
  <c r="C2886" i="1"/>
  <c r="K2886" i="1" s="1"/>
  <c r="G2885" i="1"/>
  <c r="H2885" i="1" s="1"/>
  <c r="E2885" i="1"/>
  <c r="D2885" i="1"/>
  <c r="C2885" i="1"/>
  <c r="K2885" i="1" s="1"/>
  <c r="G2884" i="1"/>
  <c r="H2884" i="1" s="1"/>
  <c r="E2884" i="1"/>
  <c r="D2884" i="1"/>
  <c r="C2884" i="1"/>
  <c r="K2884" i="1" s="1"/>
  <c r="G2883" i="1"/>
  <c r="H2883" i="1" s="1"/>
  <c r="E2883" i="1"/>
  <c r="D2883" i="1"/>
  <c r="C2883" i="1"/>
  <c r="K2883" i="1" s="1"/>
  <c r="G2882" i="1"/>
  <c r="H2882" i="1" s="1"/>
  <c r="E2882" i="1"/>
  <c r="D2882" i="1"/>
  <c r="C2882" i="1"/>
  <c r="K2882" i="1" s="1"/>
  <c r="G2881" i="1"/>
  <c r="H2881" i="1" s="1"/>
  <c r="E2881" i="1"/>
  <c r="D2881" i="1"/>
  <c r="C2881" i="1"/>
  <c r="K2881" i="1" s="1"/>
  <c r="G2880" i="1"/>
  <c r="H2880" i="1" s="1"/>
  <c r="E2880" i="1"/>
  <c r="D2880" i="1"/>
  <c r="C2880" i="1"/>
  <c r="K2880" i="1" s="1"/>
  <c r="G2879" i="1"/>
  <c r="H2879" i="1" s="1"/>
  <c r="E2879" i="1"/>
  <c r="D2879" i="1"/>
  <c r="C2879" i="1"/>
  <c r="K2879" i="1" s="1"/>
  <c r="G2878" i="1"/>
  <c r="H2878" i="1" s="1"/>
  <c r="E2878" i="1"/>
  <c r="D2878" i="1"/>
  <c r="C2878" i="1"/>
  <c r="K2878" i="1" s="1"/>
  <c r="G2877" i="1"/>
  <c r="H2877" i="1" s="1"/>
  <c r="E2877" i="1"/>
  <c r="D2877" i="1"/>
  <c r="C2877" i="1"/>
  <c r="K2877" i="1" s="1"/>
  <c r="G2876" i="1"/>
  <c r="H2876" i="1" s="1"/>
  <c r="E2876" i="1"/>
  <c r="D2876" i="1"/>
  <c r="C2876" i="1"/>
  <c r="G2875" i="1"/>
  <c r="H2875" i="1" s="1"/>
  <c r="E2875" i="1"/>
  <c r="D2875" i="1"/>
  <c r="C2875" i="1"/>
  <c r="K2875" i="1" s="1"/>
  <c r="G2874" i="1"/>
  <c r="H2874" i="1" s="1"/>
  <c r="E2874" i="1"/>
  <c r="D2874" i="1"/>
  <c r="C2874" i="1"/>
  <c r="K2874" i="1" s="1"/>
  <c r="G2873" i="1"/>
  <c r="H2873" i="1" s="1"/>
  <c r="E2873" i="1"/>
  <c r="D2873" i="1"/>
  <c r="C2873" i="1"/>
  <c r="K2873" i="1" s="1"/>
  <c r="G2872" i="1"/>
  <c r="H2872" i="1" s="1"/>
  <c r="E2872" i="1"/>
  <c r="D2872" i="1"/>
  <c r="C2872" i="1"/>
  <c r="K2872" i="1" s="1"/>
  <c r="G2871" i="1"/>
  <c r="H2871" i="1" s="1"/>
  <c r="E2871" i="1"/>
  <c r="D2871" i="1"/>
  <c r="C2871" i="1"/>
  <c r="K2871" i="1" s="1"/>
  <c r="G2870" i="1"/>
  <c r="H2870" i="1" s="1"/>
  <c r="E2870" i="1"/>
  <c r="D2870" i="1"/>
  <c r="C2870" i="1"/>
  <c r="K2870" i="1" s="1"/>
  <c r="G2869" i="1"/>
  <c r="H2869" i="1" s="1"/>
  <c r="E2869" i="1"/>
  <c r="D2869" i="1"/>
  <c r="C2869" i="1"/>
  <c r="K2869" i="1" s="1"/>
  <c r="G2868" i="1"/>
  <c r="H2868" i="1" s="1"/>
  <c r="E2868" i="1"/>
  <c r="D2868" i="1"/>
  <c r="C2868" i="1"/>
  <c r="K2868" i="1" s="1"/>
  <c r="G2867" i="1"/>
  <c r="H2867" i="1" s="1"/>
  <c r="E2867" i="1"/>
  <c r="D2867" i="1"/>
  <c r="C2867" i="1"/>
  <c r="K2867" i="1" s="1"/>
  <c r="G2866" i="1"/>
  <c r="H2866" i="1" s="1"/>
  <c r="E2866" i="1"/>
  <c r="D2866" i="1"/>
  <c r="C2866" i="1"/>
  <c r="K2866" i="1" s="1"/>
  <c r="G2865" i="1"/>
  <c r="H2865" i="1" s="1"/>
  <c r="E2865" i="1"/>
  <c r="D2865" i="1"/>
  <c r="C2865" i="1"/>
  <c r="K2865" i="1" s="1"/>
  <c r="G2864" i="1"/>
  <c r="H2864" i="1" s="1"/>
  <c r="E2864" i="1"/>
  <c r="D2864" i="1"/>
  <c r="C2864" i="1"/>
  <c r="K2864" i="1" s="1"/>
  <c r="G2863" i="1"/>
  <c r="H2863" i="1" s="1"/>
  <c r="E2863" i="1"/>
  <c r="D2863" i="1"/>
  <c r="C2863" i="1"/>
  <c r="K2863" i="1" s="1"/>
  <c r="G2862" i="1"/>
  <c r="H2862" i="1" s="1"/>
  <c r="E2862" i="1"/>
  <c r="D2862" i="1"/>
  <c r="C2862" i="1"/>
  <c r="K2862" i="1" s="1"/>
  <c r="G2861" i="1"/>
  <c r="H2861" i="1" s="1"/>
  <c r="E2861" i="1"/>
  <c r="D2861" i="1"/>
  <c r="C2861" i="1"/>
  <c r="K2861" i="1" s="1"/>
  <c r="G2860" i="1"/>
  <c r="H2860" i="1" s="1"/>
  <c r="E2860" i="1"/>
  <c r="D2860" i="1"/>
  <c r="C2860" i="1"/>
  <c r="K2860" i="1" s="1"/>
  <c r="G2859" i="1"/>
  <c r="H2859" i="1" s="1"/>
  <c r="E2859" i="1"/>
  <c r="D2859" i="1"/>
  <c r="C2859" i="1"/>
  <c r="K2859" i="1" s="1"/>
  <c r="G2858" i="1"/>
  <c r="H2858" i="1" s="1"/>
  <c r="E2858" i="1"/>
  <c r="D2858" i="1"/>
  <c r="C2858" i="1"/>
  <c r="K2858" i="1" s="1"/>
  <c r="G2857" i="1"/>
  <c r="H2857" i="1" s="1"/>
  <c r="E2857" i="1"/>
  <c r="D2857" i="1"/>
  <c r="C2857" i="1"/>
  <c r="K2857" i="1" s="1"/>
  <c r="G2856" i="1"/>
  <c r="H2856" i="1" s="1"/>
  <c r="E2856" i="1"/>
  <c r="D2856" i="1"/>
  <c r="C2856" i="1"/>
  <c r="K2856" i="1" s="1"/>
  <c r="G2855" i="1"/>
  <c r="H2855" i="1" s="1"/>
  <c r="E2855" i="1"/>
  <c r="D2855" i="1"/>
  <c r="C2855" i="1"/>
  <c r="K2855" i="1" s="1"/>
  <c r="G2854" i="1"/>
  <c r="H2854" i="1" s="1"/>
  <c r="E2854" i="1"/>
  <c r="D2854" i="1"/>
  <c r="C2854" i="1"/>
  <c r="K2854" i="1" s="1"/>
  <c r="G2853" i="1"/>
  <c r="H2853" i="1" s="1"/>
  <c r="E2853" i="1"/>
  <c r="D2853" i="1"/>
  <c r="C2853" i="1"/>
  <c r="K2853" i="1" s="1"/>
  <c r="G2852" i="1"/>
  <c r="H2852" i="1" s="1"/>
  <c r="E2852" i="1"/>
  <c r="D2852" i="1"/>
  <c r="C2852" i="1"/>
  <c r="K2852" i="1" s="1"/>
  <c r="G2851" i="1"/>
  <c r="H2851" i="1" s="1"/>
  <c r="E2851" i="1"/>
  <c r="D2851" i="1"/>
  <c r="C2851" i="1"/>
  <c r="K2851" i="1" s="1"/>
  <c r="G2850" i="1"/>
  <c r="H2850" i="1" s="1"/>
  <c r="E2850" i="1"/>
  <c r="D2850" i="1"/>
  <c r="C2850" i="1"/>
  <c r="K2850" i="1" s="1"/>
  <c r="G2849" i="1"/>
  <c r="H2849" i="1" s="1"/>
  <c r="E2849" i="1"/>
  <c r="D2849" i="1"/>
  <c r="C2849" i="1"/>
  <c r="K2849" i="1" s="1"/>
  <c r="G2848" i="1"/>
  <c r="H2848" i="1" s="1"/>
  <c r="E2848" i="1"/>
  <c r="D2848" i="1"/>
  <c r="C2848" i="1"/>
  <c r="K2848" i="1" s="1"/>
  <c r="G2847" i="1"/>
  <c r="H2847" i="1" s="1"/>
  <c r="E2847" i="1"/>
  <c r="D2847" i="1"/>
  <c r="C2847" i="1"/>
  <c r="K2847" i="1" s="1"/>
  <c r="G2846" i="1"/>
  <c r="H2846" i="1" s="1"/>
  <c r="E2846" i="1"/>
  <c r="D2846" i="1"/>
  <c r="C2846" i="1"/>
  <c r="K2846" i="1" s="1"/>
  <c r="G2845" i="1"/>
  <c r="H2845" i="1" s="1"/>
  <c r="E2845" i="1"/>
  <c r="D2845" i="1"/>
  <c r="C2845" i="1"/>
  <c r="K2845" i="1" s="1"/>
  <c r="G2844" i="1"/>
  <c r="H2844" i="1" s="1"/>
  <c r="E2844" i="1"/>
  <c r="D2844" i="1"/>
  <c r="C2844" i="1"/>
  <c r="K2844" i="1" s="1"/>
  <c r="G2843" i="1"/>
  <c r="H2843" i="1" s="1"/>
  <c r="E2843" i="1"/>
  <c r="D2843" i="1"/>
  <c r="C2843" i="1"/>
  <c r="K2843" i="1" s="1"/>
  <c r="G2842" i="1"/>
  <c r="H2842" i="1" s="1"/>
  <c r="E2842" i="1"/>
  <c r="D2842" i="1"/>
  <c r="C2842" i="1"/>
  <c r="K2842" i="1" s="1"/>
  <c r="G2841" i="1"/>
  <c r="H2841" i="1" s="1"/>
  <c r="E2841" i="1"/>
  <c r="D2841" i="1"/>
  <c r="C2841" i="1"/>
  <c r="K2841" i="1" s="1"/>
  <c r="G2840" i="1"/>
  <c r="H2840" i="1" s="1"/>
  <c r="E2840" i="1"/>
  <c r="D2840" i="1"/>
  <c r="C2840" i="1"/>
  <c r="K2840" i="1" s="1"/>
  <c r="G2839" i="1"/>
  <c r="H2839" i="1" s="1"/>
  <c r="E2839" i="1"/>
  <c r="D2839" i="1"/>
  <c r="C2839" i="1"/>
  <c r="K2839" i="1" s="1"/>
  <c r="G2838" i="1"/>
  <c r="H2838" i="1" s="1"/>
  <c r="E2838" i="1"/>
  <c r="D2838" i="1"/>
  <c r="C2838" i="1"/>
  <c r="K2838" i="1" s="1"/>
  <c r="G2837" i="1"/>
  <c r="H2837" i="1" s="1"/>
  <c r="E2837" i="1"/>
  <c r="D2837" i="1"/>
  <c r="C2837" i="1"/>
  <c r="K2837" i="1" s="1"/>
  <c r="G2836" i="1"/>
  <c r="H2836" i="1" s="1"/>
  <c r="E2836" i="1"/>
  <c r="D2836" i="1"/>
  <c r="C2836" i="1"/>
  <c r="K2836" i="1" s="1"/>
  <c r="G2835" i="1"/>
  <c r="H2835" i="1" s="1"/>
  <c r="E2835" i="1"/>
  <c r="D2835" i="1"/>
  <c r="C2835" i="1"/>
  <c r="K2835" i="1" s="1"/>
  <c r="G2834" i="1"/>
  <c r="H2834" i="1" s="1"/>
  <c r="E2834" i="1"/>
  <c r="D2834" i="1"/>
  <c r="C2834" i="1"/>
  <c r="K2834" i="1" s="1"/>
  <c r="G2833" i="1"/>
  <c r="H2833" i="1" s="1"/>
  <c r="E2833" i="1"/>
  <c r="D2833" i="1"/>
  <c r="C2833" i="1"/>
  <c r="K2833" i="1" s="1"/>
  <c r="G2832" i="1"/>
  <c r="H2832" i="1" s="1"/>
  <c r="E2832" i="1"/>
  <c r="D2832" i="1"/>
  <c r="C2832" i="1"/>
  <c r="K2832" i="1" s="1"/>
  <c r="G2831" i="1"/>
  <c r="H2831" i="1" s="1"/>
  <c r="E2831" i="1"/>
  <c r="D2831" i="1"/>
  <c r="C2831" i="1"/>
  <c r="K2831" i="1" s="1"/>
  <c r="G2830" i="1"/>
  <c r="H2830" i="1" s="1"/>
  <c r="E2830" i="1"/>
  <c r="D2830" i="1"/>
  <c r="C2830" i="1"/>
  <c r="K2830" i="1" s="1"/>
  <c r="G2829" i="1"/>
  <c r="H2829" i="1" s="1"/>
  <c r="E2829" i="1"/>
  <c r="D2829" i="1"/>
  <c r="C2829" i="1"/>
  <c r="K2829" i="1" s="1"/>
  <c r="G2828" i="1"/>
  <c r="H2828" i="1" s="1"/>
  <c r="E2828" i="1"/>
  <c r="D2828" i="1"/>
  <c r="C2828" i="1"/>
  <c r="K2828" i="1" s="1"/>
  <c r="G2827" i="1"/>
  <c r="H2827" i="1" s="1"/>
  <c r="E2827" i="1"/>
  <c r="D2827" i="1"/>
  <c r="C2827" i="1"/>
  <c r="K2827" i="1" s="1"/>
  <c r="G2826" i="1"/>
  <c r="H2826" i="1" s="1"/>
  <c r="E2826" i="1"/>
  <c r="D2826" i="1"/>
  <c r="C2826" i="1"/>
  <c r="K2826" i="1" s="1"/>
  <c r="G2825" i="1"/>
  <c r="H2825" i="1" s="1"/>
  <c r="E2825" i="1"/>
  <c r="D2825" i="1"/>
  <c r="C2825" i="1"/>
  <c r="K2825" i="1" s="1"/>
  <c r="G2824" i="1"/>
  <c r="H2824" i="1" s="1"/>
  <c r="E2824" i="1"/>
  <c r="D2824" i="1"/>
  <c r="C2824" i="1"/>
  <c r="K2824" i="1" s="1"/>
  <c r="G2823" i="1"/>
  <c r="H2823" i="1" s="1"/>
  <c r="E2823" i="1"/>
  <c r="D2823" i="1"/>
  <c r="C2823" i="1"/>
  <c r="K2823" i="1" s="1"/>
  <c r="G2822" i="1"/>
  <c r="H2822" i="1" s="1"/>
  <c r="E2822" i="1"/>
  <c r="D2822" i="1"/>
  <c r="C2822" i="1"/>
  <c r="K2822" i="1" s="1"/>
  <c r="G2821" i="1"/>
  <c r="H2821" i="1" s="1"/>
  <c r="E2821" i="1"/>
  <c r="D2821" i="1"/>
  <c r="C2821" i="1"/>
  <c r="K2821" i="1" s="1"/>
  <c r="G2820" i="1"/>
  <c r="H2820" i="1" s="1"/>
  <c r="E2820" i="1"/>
  <c r="D2820" i="1"/>
  <c r="C2820" i="1"/>
  <c r="K2820" i="1" s="1"/>
  <c r="G2819" i="1"/>
  <c r="H2819" i="1" s="1"/>
  <c r="E2819" i="1"/>
  <c r="D2819" i="1"/>
  <c r="C2819" i="1"/>
  <c r="K2819" i="1" s="1"/>
  <c r="G2818" i="1"/>
  <c r="H2818" i="1" s="1"/>
  <c r="E2818" i="1"/>
  <c r="D2818" i="1"/>
  <c r="C2818" i="1"/>
  <c r="K2818" i="1" s="1"/>
  <c r="G2817" i="1"/>
  <c r="H2817" i="1" s="1"/>
  <c r="E2817" i="1"/>
  <c r="D2817" i="1"/>
  <c r="C2817" i="1"/>
  <c r="K2817" i="1" s="1"/>
  <c r="G2816" i="1"/>
  <c r="H2816" i="1" s="1"/>
  <c r="E2816" i="1"/>
  <c r="D2816" i="1"/>
  <c r="C2816" i="1"/>
  <c r="K2816" i="1" s="1"/>
  <c r="G2815" i="1"/>
  <c r="H2815" i="1" s="1"/>
  <c r="E2815" i="1"/>
  <c r="D2815" i="1"/>
  <c r="C2815" i="1"/>
  <c r="K2815" i="1" s="1"/>
  <c r="G2814" i="1"/>
  <c r="H2814" i="1" s="1"/>
  <c r="E2814" i="1"/>
  <c r="D2814" i="1"/>
  <c r="C2814" i="1"/>
  <c r="K2814" i="1" s="1"/>
  <c r="G2813" i="1"/>
  <c r="H2813" i="1" s="1"/>
  <c r="E2813" i="1"/>
  <c r="D2813" i="1"/>
  <c r="C2813" i="1"/>
  <c r="K2813" i="1" s="1"/>
  <c r="G2812" i="1"/>
  <c r="H2812" i="1" s="1"/>
  <c r="E2812" i="1"/>
  <c r="D2812" i="1"/>
  <c r="C2812" i="1"/>
  <c r="K2812" i="1" s="1"/>
  <c r="G2811" i="1"/>
  <c r="H2811" i="1" s="1"/>
  <c r="E2811" i="1"/>
  <c r="D2811" i="1"/>
  <c r="C2811" i="1"/>
  <c r="K2811" i="1" s="1"/>
  <c r="G2810" i="1"/>
  <c r="H2810" i="1" s="1"/>
  <c r="E2810" i="1"/>
  <c r="D2810" i="1"/>
  <c r="C2810" i="1"/>
  <c r="K2810" i="1" s="1"/>
  <c r="G2809" i="1"/>
  <c r="H2809" i="1" s="1"/>
  <c r="E2809" i="1"/>
  <c r="D2809" i="1"/>
  <c r="C2809" i="1"/>
  <c r="K2809" i="1" s="1"/>
  <c r="G2808" i="1"/>
  <c r="H2808" i="1" s="1"/>
  <c r="E2808" i="1"/>
  <c r="D2808" i="1"/>
  <c r="C2808" i="1"/>
  <c r="K2808" i="1" s="1"/>
  <c r="G2807" i="1"/>
  <c r="H2807" i="1" s="1"/>
  <c r="E2807" i="1"/>
  <c r="D2807" i="1"/>
  <c r="C2807" i="1"/>
  <c r="K2807" i="1" s="1"/>
  <c r="G2806" i="1"/>
  <c r="H2806" i="1" s="1"/>
  <c r="E2806" i="1"/>
  <c r="D2806" i="1"/>
  <c r="C2806" i="1"/>
  <c r="K2806" i="1" s="1"/>
  <c r="G2805" i="1"/>
  <c r="H2805" i="1" s="1"/>
  <c r="E2805" i="1"/>
  <c r="D2805" i="1"/>
  <c r="C2805" i="1"/>
  <c r="K2805" i="1" s="1"/>
  <c r="G2804" i="1"/>
  <c r="H2804" i="1" s="1"/>
  <c r="E2804" i="1"/>
  <c r="D2804" i="1"/>
  <c r="C2804" i="1"/>
  <c r="K2804" i="1" s="1"/>
  <c r="G2803" i="1"/>
  <c r="H2803" i="1" s="1"/>
  <c r="E2803" i="1"/>
  <c r="D2803" i="1"/>
  <c r="C2803" i="1"/>
  <c r="K2803" i="1" s="1"/>
  <c r="G2802" i="1"/>
  <c r="H2802" i="1" s="1"/>
  <c r="E2802" i="1"/>
  <c r="D2802" i="1"/>
  <c r="C2802" i="1"/>
  <c r="K2802" i="1" s="1"/>
  <c r="G2801" i="1"/>
  <c r="H2801" i="1" s="1"/>
  <c r="E2801" i="1"/>
  <c r="D2801" i="1"/>
  <c r="C2801" i="1"/>
  <c r="K2801" i="1" s="1"/>
  <c r="G2800" i="1"/>
  <c r="H2800" i="1" s="1"/>
  <c r="E2800" i="1"/>
  <c r="D2800" i="1"/>
  <c r="C2800" i="1"/>
  <c r="K2800" i="1" s="1"/>
  <c r="G2799" i="1"/>
  <c r="H2799" i="1" s="1"/>
  <c r="E2799" i="1"/>
  <c r="D2799" i="1"/>
  <c r="C2799" i="1"/>
  <c r="K2799" i="1" s="1"/>
  <c r="G2798" i="1"/>
  <c r="H2798" i="1" s="1"/>
  <c r="E2798" i="1"/>
  <c r="D2798" i="1"/>
  <c r="C2798" i="1"/>
  <c r="K2798" i="1" s="1"/>
  <c r="G2797" i="1"/>
  <c r="H2797" i="1" s="1"/>
  <c r="E2797" i="1"/>
  <c r="D2797" i="1"/>
  <c r="C2797" i="1"/>
  <c r="K2797" i="1" s="1"/>
  <c r="G2796" i="1"/>
  <c r="H2796" i="1" s="1"/>
  <c r="E2796" i="1"/>
  <c r="D2796" i="1"/>
  <c r="C2796" i="1"/>
  <c r="K2796" i="1" s="1"/>
  <c r="G2795" i="1"/>
  <c r="H2795" i="1" s="1"/>
  <c r="E2795" i="1"/>
  <c r="D2795" i="1"/>
  <c r="C2795" i="1"/>
  <c r="K2795" i="1" s="1"/>
  <c r="G2794" i="1"/>
  <c r="H2794" i="1" s="1"/>
  <c r="E2794" i="1"/>
  <c r="D2794" i="1"/>
  <c r="C2794" i="1"/>
  <c r="K2794" i="1" s="1"/>
  <c r="G2793" i="1"/>
  <c r="H2793" i="1" s="1"/>
  <c r="E2793" i="1"/>
  <c r="D2793" i="1"/>
  <c r="C2793" i="1"/>
  <c r="K2793" i="1" s="1"/>
  <c r="G2792" i="1"/>
  <c r="H2792" i="1" s="1"/>
  <c r="E2792" i="1"/>
  <c r="D2792" i="1"/>
  <c r="C2792" i="1"/>
  <c r="K2792" i="1" s="1"/>
  <c r="G2791" i="1"/>
  <c r="H2791" i="1" s="1"/>
  <c r="E2791" i="1"/>
  <c r="D2791" i="1"/>
  <c r="C2791" i="1"/>
  <c r="K2791" i="1" s="1"/>
  <c r="G2790" i="1"/>
  <c r="H2790" i="1" s="1"/>
  <c r="E2790" i="1"/>
  <c r="D2790" i="1"/>
  <c r="C2790" i="1"/>
  <c r="K2790" i="1" s="1"/>
  <c r="G2789" i="1"/>
  <c r="H2789" i="1" s="1"/>
  <c r="E2789" i="1"/>
  <c r="D2789" i="1"/>
  <c r="C2789" i="1"/>
  <c r="K2789" i="1" s="1"/>
  <c r="G2788" i="1"/>
  <c r="H2788" i="1" s="1"/>
  <c r="E2788" i="1"/>
  <c r="D2788" i="1"/>
  <c r="C2788" i="1"/>
  <c r="K2788" i="1" s="1"/>
  <c r="G2787" i="1"/>
  <c r="H2787" i="1" s="1"/>
  <c r="E2787" i="1"/>
  <c r="D2787" i="1"/>
  <c r="C2787" i="1"/>
  <c r="K2787" i="1" s="1"/>
  <c r="G2786" i="1"/>
  <c r="H2786" i="1" s="1"/>
  <c r="E2786" i="1"/>
  <c r="D2786" i="1"/>
  <c r="C2786" i="1"/>
  <c r="K2786" i="1" s="1"/>
  <c r="G2785" i="1"/>
  <c r="H2785" i="1" s="1"/>
  <c r="E2785" i="1"/>
  <c r="D2785" i="1"/>
  <c r="C2785" i="1"/>
  <c r="K2785" i="1" s="1"/>
  <c r="G2784" i="1"/>
  <c r="H2784" i="1" s="1"/>
  <c r="E2784" i="1"/>
  <c r="D2784" i="1"/>
  <c r="C2784" i="1"/>
  <c r="K2784" i="1" s="1"/>
  <c r="G2783" i="1"/>
  <c r="H2783" i="1" s="1"/>
  <c r="E2783" i="1"/>
  <c r="D2783" i="1"/>
  <c r="C2783" i="1"/>
  <c r="K2783" i="1" s="1"/>
  <c r="G2782" i="1"/>
  <c r="H2782" i="1" s="1"/>
  <c r="E2782" i="1"/>
  <c r="D2782" i="1"/>
  <c r="C2782" i="1"/>
  <c r="K2782" i="1" s="1"/>
  <c r="G2781" i="1"/>
  <c r="H2781" i="1" s="1"/>
  <c r="E2781" i="1"/>
  <c r="D2781" i="1"/>
  <c r="C2781" i="1"/>
  <c r="K2781" i="1" s="1"/>
  <c r="G2780" i="1"/>
  <c r="H2780" i="1" s="1"/>
  <c r="E2780" i="1"/>
  <c r="D2780" i="1"/>
  <c r="C2780" i="1"/>
  <c r="K2780" i="1" s="1"/>
  <c r="G2779" i="1"/>
  <c r="H2779" i="1" s="1"/>
  <c r="E2779" i="1"/>
  <c r="D2779" i="1"/>
  <c r="C2779" i="1"/>
  <c r="K2779" i="1" s="1"/>
  <c r="G2778" i="1"/>
  <c r="H2778" i="1" s="1"/>
  <c r="E2778" i="1"/>
  <c r="D2778" i="1"/>
  <c r="C2778" i="1"/>
  <c r="K2778" i="1" s="1"/>
  <c r="G2777" i="1"/>
  <c r="H2777" i="1" s="1"/>
  <c r="E2777" i="1"/>
  <c r="D2777" i="1"/>
  <c r="C2777" i="1"/>
  <c r="K2777" i="1" s="1"/>
  <c r="G2776" i="1"/>
  <c r="H2776" i="1" s="1"/>
  <c r="E2776" i="1"/>
  <c r="D2776" i="1"/>
  <c r="C2776" i="1"/>
  <c r="K2776" i="1" s="1"/>
  <c r="G2775" i="1"/>
  <c r="H2775" i="1" s="1"/>
  <c r="E2775" i="1"/>
  <c r="D2775" i="1"/>
  <c r="C2775" i="1"/>
  <c r="K2775" i="1" s="1"/>
  <c r="G2774" i="1"/>
  <c r="H2774" i="1" s="1"/>
  <c r="E2774" i="1"/>
  <c r="D2774" i="1"/>
  <c r="C2774" i="1"/>
  <c r="K2774" i="1" s="1"/>
  <c r="G2773" i="1"/>
  <c r="H2773" i="1" s="1"/>
  <c r="E2773" i="1"/>
  <c r="D2773" i="1"/>
  <c r="C2773" i="1"/>
  <c r="K2773" i="1" s="1"/>
  <c r="G2772" i="1"/>
  <c r="H2772" i="1" s="1"/>
  <c r="E2772" i="1"/>
  <c r="D2772" i="1"/>
  <c r="C2772" i="1"/>
  <c r="K2772" i="1" s="1"/>
  <c r="G2771" i="1"/>
  <c r="H2771" i="1" s="1"/>
  <c r="E2771" i="1"/>
  <c r="D2771" i="1"/>
  <c r="C2771" i="1"/>
  <c r="K2771" i="1" s="1"/>
  <c r="G2770" i="1"/>
  <c r="H2770" i="1" s="1"/>
  <c r="E2770" i="1"/>
  <c r="D2770" i="1"/>
  <c r="C2770" i="1"/>
  <c r="K2770" i="1" s="1"/>
  <c r="G2769" i="1"/>
  <c r="H2769" i="1" s="1"/>
  <c r="E2769" i="1"/>
  <c r="D2769" i="1"/>
  <c r="C2769" i="1"/>
  <c r="K2769" i="1" s="1"/>
  <c r="G2768" i="1"/>
  <c r="H2768" i="1" s="1"/>
  <c r="E2768" i="1"/>
  <c r="D2768" i="1"/>
  <c r="C2768" i="1"/>
  <c r="K2768" i="1" s="1"/>
  <c r="G2767" i="1"/>
  <c r="H2767" i="1" s="1"/>
  <c r="E2767" i="1"/>
  <c r="D2767" i="1"/>
  <c r="C2767" i="1"/>
  <c r="K2767" i="1" s="1"/>
  <c r="G2766" i="1"/>
  <c r="H2766" i="1" s="1"/>
  <c r="E2766" i="1"/>
  <c r="D2766" i="1"/>
  <c r="C2766" i="1"/>
  <c r="K2766" i="1" s="1"/>
  <c r="G2765" i="1"/>
  <c r="H2765" i="1" s="1"/>
  <c r="E2765" i="1"/>
  <c r="D2765" i="1"/>
  <c r="C2765" i="1"/>
  <c r="K2765" i="1" s="1"/>
  <c r="G2764" i="1"/>
  <c r="H2764" i="1" s="1"/>
  <c r="E2764" i="1"/>
  <c r="D2764" i="1"/>
  <c r="C2764" i="1"/>
  <c r="K2764" i="1" s="1"/>
  <c r="G2763" i="1"/>
  <c r="H2763" i="1" s="1"/>
  <c r="E2763" i="1"/>
  <c r="D2763" i="1"/>
  <c r="C2763" i="1"/>
  <c r="K2763" i="1" s="1"/>
  <c r="G2762" i="1"/>
  <c r="H2762" i="1" s="1"/>
  <c r="E2762" i="1"/>
  <c r="D2762" i="1"/>
  <c r="C2762" i="1"/>
  <c r="K2762" i="1" s="1"/>
  <c r="G2761" i="1"/>
  <c r="H2761" i="1" s="1"/>
  <c r="E2761" i="1"/>
  <c r="D2761" i="1"/>
  <c r="C2761" i="1"/>
  <c r="K2761" i="1" s="1"/>
  <c r="G2760" i="1"/>
  <c r="H2760" i="1" s="1"/>
  <c r="E2760" i="1"/>
  <c r="D2760" i="1"/>
  <c r="C2760" i="1"/>
  <c r="K2760" i="1" s="1"/>
  <c r="G2759" i="1"/>
  <c r="H2759" i="1" s="1"/>
  <c r="E2759" i="1"/>
  <c r="D2759" i="1"/>
  <c r="C2759" i="1"/>
  <c r="K2759" i="1" s="1"/>
  <c r="G2758" i="1"/>
  <c r="H2758" i="1" s="1"/>
  <c r="E2758" i="1"/>
  <c r="D2758" i="1"/>
  <c r="C2758" i="1"/>
  <c r="K2758" i="1" s="1"/>
  <c r="G2757" i="1"/>
  <c r="H2757" i="1" s="1"/>
  <c r="E2757" i="1"/>
  <c r="D2757" i="1"/>
  <c r="C2757" i="1"/>
  <c r="K2757" i="1" s="1"/>
  <c r="G2756" i="1"/>
  <c r="H2756" i="1" s="1"/>
  <c r="E2756" i="1"/>
  <c r="D2756" i="1"/>
  <c r="C2756" i="1"/>
  <c r="K2756" i="1" s="1"/>
  <c r="G2755" i="1"/>
  <c r="H2755" i="1" s="1"/>
  <c r="E2755" i="1"/>
  <c r="D2755" i="1"/>
  <c r="C2755" i="1"/>
  <c r="K2755" i="1" s="1"/>
  <c r="G2754" i="1"/>
  <c r="H2754" i="1" s="1"/>
  <c r="E2754" i="1"/>
  <c r="D2754" i="1"/>
  <c r="C2754" i="1"/>
  <c r="K2754" i="1" s="1"/>
  <c r="G2753" i="1"/>
  <c r="H2753" i="1" s="1"/>
  <c r="E2753" i="1"/>
  <c r="D2753" i="1"/>
  <c r="C2753" i="1"/>
  <c r="K2753" i="1" s="1"/>
  <c r="G2752" i="1"/>
  <c r="H2752" i="1" s="1"/>
  <c r="E2752" i="1"/>
  <c r="D2752" i="1"/>
  <c r="C2752" i="1"/>
  <c r="K2752" i="1" s="1"/>
  <c r="G2751" i="1"/>
  <c r="H2751" i="1" s="1"/>
  <c r="E2751" i="1"/>
  <c r="D2751" i="1"/>
  <c r="C2751" i="1"/>
  <c r="K2751" i="1" s="1"/>
  <c r="G2750" i="1"/>
  <c r="H2750" i="1" s="1"/>
  <c r="E2750" i="1"/>
  <c r="D2750" i="1"/>
  <c r="C2750" i="1"/>
  <c r="K2750" i="1" s="1"/>
  <c r="G2749" i="1"/>
  <c r="H2749" i="1" s="1"/>
  <c r="E2749" i="1"/>
  <c r="D2749" i="1"/>
  <c r="C2749" i="1"/>
  <c r="K2749" i="1" s="1"/>
  <c r="G2748" i="1"/>
  <c r="H2748" i="1" s="1"/>
  <c r="E2748" i="1"/>
  <c r="D2748" i="1"/>
  <c r="C2748" i="1"/>
  <c r="K2748" i="1" s="1"/>
  <c r="G2747" i="1"/>
  <c r="H2747" i="1" s="1"/>
  <c r="E2747" i="1"/>
  <c r="D2747" i="1"/>
  <c r="C2747" i="1"/>
  <c r="K2747" i="1" s="1"/>
  <c r="G2746" i="1"/>
  <c r="H2746" i="1" s="1"/>
  <c r="E2746" i="1"/>
  <c r="D2746" i="1"/>
  <c r="C2746" i="1"/>
  <c r="K2746" i="1" s="1"/>
  <c r="G2745" i="1"/>
  <c r="H2745" i="1" s="1"/>
  <c r="E2745" i="1"/>
  <c r="D2745" i="1"/>
  <c r="C2745" i="1"/>
  <c r="K2745" i="1" s="1"/>
  <c r="G2744" i="1"/>
  <c r="H2744" i="1" s="1"/>
  <c r="E2744" i="1"/>
  <c r="D2744" i="1"/>
  <c r="C2744" i="1"/>
  <c r="K2744" i="1" s="1"/>
  <c r="G2743" i="1"/>
  <c r="H2743" i="1" s="1"/>
  <c r="E2743" i="1"/>
  <c r="D2743" i="1"/>
  <c r="C2743" i="1"/>
  <c r="K2743" i="1" s="1"/>
  <c r="G2742" i="1"/>
  <c r="H2742" i="1" s="1"/>
  <c r="E2742" i="1"/>
  <c r="D2742" i="1"/>
  <c r="C2742" i="1"/>
  <c r="K2742" i="1" s="1"/>
  <c r="G2741" i="1"/>
  <c r="H2741" i="1" s="1"/>
  <c r="E2741" i="1"/>
  <c r="D2741" i="1"/>
  <c r="C2741" i="1"/>
  <c r="K2741" i="1" s="1"/>
  <c r="G2740" i="1"/>
  <c r="H2740" i="1" s="1"/>
  <c r="E2740" i="1"/>
  <c r="D2740" i="1"/>
  <c r="C2740" i="1"/>
  <c r="K2740" i="1" s="1"/>
  <c r="G2739" i="1"/>
  <c r="H2739" i="1" s="1"/>
  <c r="E2739" i="1"/>
  <c r="D2739" i="1"/>
  <c r="C2739" i="1"/>
  <c r="K2739" i="1" s="1"/>
  <c r="G2738" i="1"/>
  <c r="H2738" i="1" s="1"/>
  <c r="E2738" i="1"/>
  <c r="D2738" i="1"/>
  <c r="C2738" i="1"/>
  <c r="K2738" i="1" s="1"/>
  <c r="G2737" i="1"/>
  <c r="H2737" i="1" s="1"/>
  <c r="E2737" i="1"/>
  <c r="D2737" i="1"/>
  <c r="C2737" i="1"/>
  <c r="K2737" i="1" s="1"/>
  <c r="G2736" i="1"/>
  <c r="H2736" i="1" s="1"/>
  <c r="E2736" i="1"/>
  <c r="D2736" i="1"/>
  <c r="C2736" i="1"/>
  <c r="K2736" i="1" s="1"/>
  <c r="G2735" i="1"/>
  <c r="H2735" i="1" s="1"/>
  <c r="E2735" i="1"/>
  <c r="D2735" i="1"/>
  <c r="C2735" i="1"/>
  <c r="K2735" i="1" s="1"/>
  <c r="G2734" i="1"/>
  <c r="H2734" i="1" s="1"/>
  <c r="E2734" i="1"/>
  <c r="D2734" i="1"/>
  <c r="C2734" i="1"/>
  <c r="K2734" i="1" s="1"/>
  <c r="G2733" i="1"/>
  <c r="H2733" i="1" s="1"/>
  <c r="E2733" i="1"/>
  <c r="D2733" i="1"/>
  <c r="C2733" i="1"/>
  <c r="K2733" i="1" s="1"/>
  <c r="G2732" i="1"/>
  <c r="H2732" i="1" s="1"/>
  <c r="E2732" i="1"/>
  <c r="D2732" i="1"/>
  <c r="C2732" i="1"/>
  <c r="K2732" i="1" s="1"/>
  <c r="G2731" i="1"/>
  <c r="H2731" i="1" s="1"/>
  <c r="E2731" i="1"/>
  <c r="D2731" i="1"/>
  <c r="C2731" i="1"/>
  <c r="K2731" i="1" s="1"/>
  <c r="G2730" i="1"/>
  <c r="H2730" i="1" s="1"/>
  <c r="E2730" i="1"/>
  <c r="D2730" i="1"/>
  <c r="C2730" i="1"/>
  <c r="K2730" i="1" s="1"/>
  <c r="G2729" i="1"/>
  <c r="H2729" i="1" s="1"/>
  <c r="E2729" i="1"/>
  <c r="D2729" i="1"/>
  <c r="C2729" i="1"/>
  <c r="K2729" i="1" s="1"/>
  <c r="G2728" i="1"/>
  <c r="H2728" i="1" s="1"/>
  <c r="E2728" i="1"/>
  <c r="D2728" i="1"/>
  <c r="C2728" i="1"/>
  <c r="K2728" i="1" s="1"/>
  <c r="G2727" i="1"/>
  <c r="H2727" i="1" s="1"/>
  <c r="E2727" i="1"/>
  <c r="D2727" i="1"/>
  <c r="C2727" i="1"/>
  <c r="K2727" i="1" s="1"/>
  <c r="G2726" i="1"/>
  <c r="H2726" i="1" s="1"/>
  <c r="E2726" i="1"/>
  <c r="D2726" i="1"/>
  <c r="C2726" i="1"/>
  <c r="K2726" i="1" s="1"/>
  <c r="G2725" i="1"/>
  <c r="H2725" i="1" s="1"/>
  <c r="E2725" i="1"/>
  <c r="D2725" i="1"/>
  <c r="C2725" i="1"/>
  <c r="K2725" i="1" s="1"/>
  <c r="G2724" i="1"/>
  <c r="H2724" i="1" s="1"/>
  <c r="E2724" i="1"/>
  <c r="D2724" i="1"/>
  <c r="C2724" i="1"/>
  <c r="K2724" i="1" s="1"/>
  <c r="G2723" i="1"/>
  <c r="H2723" i="1" s="1"/>
  <c r="E2723" i="1"/>
  <c r="D2723" i="1"/>
  <c r="C2723" i="1"/>
  <c r="K2723" i="1" s="1"/>
  <c r="G2722" i="1"/>
  <c r="H2722" i="1" s="1"/>
  <c r="E2722" i="1"/>
  <c r="D2722" i="1"/>
  <c r="C2722" i="1"/>
  <c r="K2722" i="1" s="1"/>
  <c r="G2721" i="1"/>
  <c r="H2721" i="1" s="1"/>
  <c r="E2721" i="1"/>
  <c r="D2721" i="1"/>
  <c r="C2721" i="1"/>
  <c r="K2721" i="1" s="1"/>
  <c r="G2720" i="1"/>
  <c r="H2720" i="1" s="1"/>
  <c r="E2720" i="1"/>
  <c r="D2720" i="1"/>
  <c r="C2720" i="1"/>
  <c r="K2720" i="1" s="1"/>
  <c r="G2719" i="1"/>
  <c r="H2719" i="1" s="1"/>
  <c r="E2719" i="1"/>
  <c r="D2719" i="1"/>
  <c r="C2719" i="1"/>
  <c r="K2719" i="1" s="1"/>
  <c r="G2718" i="1"/>
  <c r="H2718" i="1" s="1"/>
  <c r="E2718" i="1"/>
  <c r="D2718" i="1"/>
  <c r="C2718" i="1"/>
  <c r="K2718" i="1" s="1"/>
  <c r="G2717" i="1"/>
  <c r="H2717" i="1" s="1"/>
  <c r="E2717" i="1"/>
  <c r="D2717" i="1"/>
  <c r="C2717" i="1"/>
  <c r="K2717" i="1" s="1"/>
  <c r="G2716" i="1"/>
  <c r="H2716" i="1" s="1"/>
  <c r="E2716" i="1"/>
  <c r="D2716" i="1"/>
  <c r="C2716" i="1"/>
  <c r="K2716" i="1" s="1"/>
  <c r="G2715" i="1"/>
  <c r="H2715" i="1" s="1"/>
  <c r="E2715" i="1"/>
  <c r="D2715" i="1"/>
  <c r="C2715" i="1"/>
  <c r="K2715" i="1" s="1"/>
  <c r="G2714" i="1"/>
  <c r="H2714" i="1" s="1"/>
  <c r="E2714" i="1"/>
  <c r="D2714" i="1"/>
  <c r="C2714" i="1"/>
  <c r="K2714" i="1" s="1"/>
  <c r="G2713" i="1"/>
  <c r="H2713" i="1" s="1"/>
  <c r="E2713" i="1"/>
  <c r="D2713" i="1"/>
  <c r="C2713" i="1"/>
  <c r="K2713" i="1" s="1"/>
  <c r="G2712" i="1"/>
  <c r="H2712" i="1" s="1"/>
  <c r="E2712" i="1"/>
  <c r="D2712" i="1"/>
  <c r="C2712" i="1"/>
  <c r="K2712" i="1" s="1"/>
  <c r="G2711" i="1"/>
  <c r="H2711" i="1" s="1"/>
  <c r="E2711" i="1"/>
  <c r="D2711" i="1"/>
  <c r="C2711" i="1"/>
  <c r="K2711" i="1" s="1"/>
  <c r="G2710" i="1"/>
  <c r="H2710" i="1" s="1"/>
  <c r="E2710" i="1"/>
  <c r="D2710" i="1"/>
  <c r="C2710" i="1"/>
  <c r="K2710" i="1" s="1"/>
  <c r="G2709" i="1"/>
  <c r="H2709" i="1" s="1"/>
  <c r="E2709" i="1"/>
  <c r="D2709" i="1"/>
  <c r="C2709" i="1"/>
  <c r="K2709" i="1" s="1"/>
  <c r="G2708" i="1"/>
  <c r="H2708" i="1" s="1"/>
  <c r="E2708" i="1"/>
  <c r="D2708" i="1"/>
  <c r="C2708" i="1"/>
  <c r="K2708" i="1" s="1"/>
  <c r="G2707" i="1"/>
  <c r="H2707" i="1" s="1"/>
  <c r="E2707" i="1"/>
  <c r="D2707" i="1"/>
  <c r="C2707" i="1"/>
  <c r="K2707" i="1" s="1"/>
  <c r="G2706" i="1"/>
  <c r="H2706" i="1" s="1"/>
  <c r="E2706" i="1"/>
  <c r="D2706" i="1"/>
  <c r="C2706" i="1"/>
  <c r="K2706" i="1" s="1"/>
  <c r="G2705" i="1"/>
  <c r="H2705" i="1" s="1"/>
  <c r="E2705" i="1"/>
  <c r="D2705" i="1"/>
  <c r="C2705" i="1"/>
  <c r="K2705" i="1" s="1"/>
  <c r="G2704" i="1"/>
  <c r="H2704" i="1" s="1"/>
  <c r="E2704" i="1"/>
  <c r="D2704" i="1"/>
  <c r="C2704" i="1"/>
  <c r="K2704" i="1" s="1"/>
  <c r="G2703" i="1"/>
  <c r="H2703" i="1" s="1"/>
  <c r="E2703" i="1"/>
  <c r="D2703" i="1"/>
  <c r="C2703" i="1"/>
  <c r="K2703" i="1" s="1"/>
  <c r="G2702" i="1"/>
  <c r="H2702" i="1" s="1"/>
  <c r="E2702" i="1"/>
  <c r="D2702" i="1"/>
  <c r="C2702" i="1"/>
  <c r="K2702" i="1" s="1"/>
  <c r="G2701" i="1"/>
  <c r="H2701" i="1" s="1"/>
  <c r="E2701" i="1"/>
  <c r="D2701" i="1"/>
  <c r="C2701" i="1"/>
  <c r="K2701" i="1" s="1"/>
  <c r="G2700" i="1"/>
  <c r="H2700" i="1" s="1"/>
  <c r="E2700" i="1"/>
  <c r="D2700" i="1"/>
  <c r="C2700" i="1"/>
  <c r="K2700" i="1" s="1"/>
  <c r="G2699" i="1"/>
  <c r="H2699" i="1" s="1"/>
  <c r="E2699" i="1"/>
  <c r="D2699" i="1"/>
  <c r="C2699" i="1"/>
  <c r="K2699" i="1" s="1"/>
  <c r="G2698" i="1"/>
  <c r="H2698" i="1" s="1"/>
  <c r="E2698" i="1"/>
  <c r="D2698" i="1"/>
  <c r="C2698" i="1"/>
  <c r="K2698" i="1" s="1"/>
  <c r="G2697" i="1"/>
  <c r="H2697" i="1" s="1"/>
  <c r="E2697" i="1"/>
  <c r="D2697" i="1"/>
  <c r="C2697" i="1"/>
  <c r="K2697" i="1" s="1"/>
  <c r="G2696" i="1"/>
  <c r="H2696" i="1" s="1"/>
  <c r="E2696" i="1"/>
  <c r="D2696" i="1"/>
  <c r="C2696" i="1"/>
  <c r="K2696" i="1" s="1"/>
  <c r="G2695" i="1"/>
  <c r="H2695" i="1" s="1"/>
  <c r="E2695" i="1"/>
  <c r="D2695" i="1"/>
  <c r="C2695" i="1"/>
  <c r="K2695" i="1" s="1"/>
  <c r="G2694" i="1"/>
  <c r="H2694" i="1" s="1"/>
  <c r="E2694" i="1"/>
  <c r="D2694" i="1"/>
  <c r="C2694" i="1"/>
  <c r="K2694" i="1" s="1"/>
  <c r="G2693" i="1"/>
  <c r="H2693" i="1" s="1"/>
  <c r="E2693" i="1"/>
  <c r="D2693" i="1"/>
  <c r="C2693" i="1"/>
  <c r="K2693" i="1" s="1"/>
  <c r="G2692" i="1"/>
  <c r="H2692" i="1" s="1"/>
  <c r="E2692" i="1"/>
  <c r="D2692" i="1"/>
  <c r="C2692" i="1"/>
  <c r="K2692" i="1" s="1"/>
  <c r="G2691" i="1"/>
  <c r="H2691" i="1" s="1"/>
  <c r="E2691" i="1"/>
  <c r="D2691" i="1"/>
  <c r="C2691" i="1"/>
  <c r="K2691" i="1" s="1"/>
  <c r="G2690" i="1"/>
  <c r="H2690" i="1" s="1"/>
  <c r="E2690" i="1"/>
  <c r="D2690" i="1"/>
  <c r="C2690" i="1"/>
  <c r="K2690" i="1" s="1"/>
  <c r="G2689" i="1"/>
  <c r="H2689" i="1" s="1"/>
  <c r="E2689" i="1"/>
  <c r="D2689" i="1"/>
  <c r="C2689" i="1"/>
  <c r="K2689" i="1" s="1"/>
  <c r="G2688" i="1"/>
  <c r="H2688" i="1" s="1"/>
  <c r="E2688" i="1"/>
  <c r="D2688" i="1"/>
  <c r="C2688" i="1"/>
  <c r="K2688" i="1" s="1"/>
  <c r="G2687" i="1"/>
  <c r="H2687" i="1" s="1"/>
  <c r="E2687" i="1"/>
  <c r="D2687" i="1"/>
  <c r="C2687" i="1"/>
  <c r="K2687" i="1" s="1"/>
  <c r="G2686" i="1"/>
  <c r="H2686" i="1" s="1"/>
  <c r="E2686" i="1"/>
  <c r="D2686" i="1"/>
  <c r="C2686" i="1"/>
  <c r="K2686" i="1" s="1"/>
  <c r="G2685" i="1"/>
  <c r="H2685" i="1" s="1"/>
  <c r="E2685" i="1"/>
  <c r="D2685" i="1"/>
  <c r="C2685" i="1"/>
  <c r="K2685" i="1" s="1"/>
  <c r="G2684" i="1"/>
  <c r="H2684" i="1" s="1"/>
  <c r="E2684" i="1"/>
  <c r="D2684" i="1"/>
  <c r="C2684" i="1"/>
  <c r="K2684" i="1" s="1"/>
  <c r="G2683" i="1"/>
  <c r="H2683" i="1" s="1"/>
  <c r="E2683" i="1"/>
  <c r="D2683" i="1"/>
  <c r="C2683" i="1"/>
  <c r="K2683" i="1" s="1"/>
  <c r="G2682" i="1"/>
  <c r="H2682" i="1" s="1"/>
  <c r="E2682" i="1"/>
  <c r="D2682" i="1"/>
  <c r="C2682" i="1"/>
  <c r="K2682" i="1" s="1"/>
  <c r="G2681" i="1"/>
  <c r="H2681" i="1" s="1"/>
  <c r="E2681" i="1"/>
  <c r="D2681" i="1"/>
  <c r="C2681" i="1"/>
  <c r="K2681" i="1" s="1"/>
  <c r="G2680" i="1"/>
  <c r="H2680" i="1" s="1"/>
  <c r="E2680" i="1"/>
  <c r="D2680" i="1"/>
  <c r="C2680" i="1"/>
  <c r="K2680" i="1" s="1"/>
  <c r="G2679" i="1"/>
  <c r="H2679" i="1" s="1"/>
  <c r="E2679" i="1"/>
  <c r="D2679" i="1"/>
  <c r="C2679" i="1"/>
  <c r="K2679" i="1" s="1"/>
  <c r="G2678" i="1"/>
  <c r="H2678" i="1" s="1"/>
  <c r="E2678" i="1"/>
  <c r="D2678" i="1"/>
  <c r="C2678" i="1"/>
  <c r="K2678" i="1" s="1"/>
  <c r="G2677" i="1"/>
  <c r="H2677" i="1" s="1"/>
  <c r="E2677" i="1"/>
  <c r="D2677" i="1"/>
  <c r="C2677" i="1"/>
  <c r="K2677" i="1" s="1"/>
  <c r="G2676" i="1"/>
  <c r="H2676" i="1" s="1"/>
  <c r="E2676" i="1"/>
  <c r="D2676" i="1"/>
  <c r="C2676" i="1"/>
  <c r="K2676" i="1" s="1"/>
  <c r="G2675" i="1"/>
  <c r="H2675" i="1" s="1"/>
  <c r="E2675" i="1"/>
  <c r="D2675" i="1"/>
  <c r="C2675" i="1"/>
  <c r="K2675" i="1" s="1"/>
  <c r="G2674" i="1"/>
  <c r="H2674" i="1" s="1"/>
  <c r="E2674" i="1"/>
  <c r="D2674" i="1"/>
  <c r="C2674" i="1"/>
  <c r="K2674" i="1" s="1"/>
  <c r="G2673" i="1"/>
  <c r="H2673" i="1" s="1"/>
  <c r="E2673" i="1"/>
  <c r="D2673" i="1"/>
  <c r="C2673" i="1"/>
  <c r="K2673" i="1" s="1"/>
  <c r="G2672" i="1"/>
  <c r="H2672" i="1" s="1"/>
  <c r="E2672" i="1"/>
  <c r="D2672" i="1"/>
  <c r="C2672" i="1"/>
  <c r="K2672" i="1" s="1"/>
  <c r="G2671" i="1"/>
  <c r="H2671" i="1" s="1"/>
  <c r="E2671" i="1"/>
  <c r="D2671" i="1"/>
  <c r="C2671" i="1"/>
  <c r="K2671" i="1" s="1"/>
  <c r="G2670" i="1"/>
  <c r="H2670" i="1" s="1"/>
  <c r="E2670" i="1"/>
  <c r="D2670" i="1"/>
  <c r="C2670" i="1"/>
  <c r="K2670" i="1" s="1"/>
  <c r="G2669" i="1"/>
  <c r="H2669" i="1" s="1"/>
  <c r="E2669" i="1"/>
  <c r="D2669" i="1"/>
  <c r="C2669" i="1"/>
  <c r="K2669" i="1" s="1"/>
  <c r="G2668" i="1"/>
  <c r="H2668" i="1" s="1"/>
  <c r="E2668" i="1"/>
  <c r="D2668" i="1"/>
  <c r="C2668" i="1"/>
  <c r="K2668" i="1" s="1"/>
  <c r="G2667" i="1"/>
  <c r="H2667" i="1" s="1"/>
  <c r="E2667" i="1"/>
  <c r="D2667" i="1"/>
  <c r="C2667" i="1"/>
  <c r="K2667" i="1" s="1"/>
  <c r="G2666" i="1"/>
  <c r="H2666" i="1" s="1"/>
  <c r="E2666" i="1"/>
  <c r="D2666" i="1"/>
  <c r="C2666" i="1"/>
  <c r="K2666" i="1" s="1"/>
  <c r="G2665" i="1"/>
  <c r="H2665" i="1" s="1"/>
  <c r="E2665" i="1"/>
  <c r="D2665" i="1"/>
  <c r="C2665" i="1"/>
  <c r="K2665" i="1" s="1"/>
  <c r="G2664" i="1"/>
  <c r="H2664" i="1" s="1"/>
  <c r="E2664" i="1"/>
  <c r="D2664" i="1"/>
  <c r="C2664" i="1"/>
  <c r="K2664" i="1" s="1"/>
  <c r="G2663" i="1"/>
  <c r="H2663" i="1" s="1"/>
  <c r="E2663" i="1"/>
  <c r="D2663" i="1"/>
  <c r="C2663" i="1"/>
  <c r="K2663" i="1" s="1"/>
  <c r="G2662" i="1"/>
  <c r="H2662" i="1" s="1"/>
  <c r="E2662" i="1"/>
  <c r="D2662" i="1"/>
  <c r="C2662" i="1"/>
  <c r="K2662" i="1" s="1"/>
  <c r="G2661" i="1"/>
  <c r="H2661" i="1" s="1"/>
  <c r="E2661" i="1"/>
  <c r="D2661" i="1"/>
  <c r="C2661" i="1"/>
  <c r="K2661" i="1" s="1"/>
  <c r="G2660" i="1"/>
  <c r="H2660" i="1" s="1"/>
  <c r="E2660" i="1"/>
  <c r="D2660" i="1"/>
  <c r="C2660" i="1"/>
  <c r="K2660" i="1" s="1"/>
  <c r="G2659" i="1"/>
  <c r="H2659" i="1" s="1"/>
  <c r="E2659" i="1"/>
  <c r="D2659" i="1"/>
  <c r="C2659" i="1"/>
  <c r="K2659" i="1" s="1"/>
  <c r="G2658" i="1"/>
  <c r="H2658" i="1" s="1"/>
  <c r="E2658" i="1"/>
  <c r="D2658" i="1"/>
  <c r="C2658" i="1"/>
  <c r="K2658" i="1" s="1"/>
  <c r="G2657" i="1"/>
  <c r="H2657" i="1" s="1"/>
  <c r="E2657" i="1"/>
  <c r="D2657" i="1"/>
  <c r="C2657" i="1"/>
  <c r="K2657" i="1" s="1"/>
  <c r="G2656" i="1"/>
  <c r="H2656" i="1" s="1"/>
  <c r="E2656" i="1"/>
  <c r="D2656" i="1"/>
  <c r="C2656" i="1"/>
  <c r="K2656" i="1" s="1"/>
  <c r="G2655" i="1"/>
  <c r="H2655" i="1" s="1"/>
  <c r="E2655" i="1"/>
  <c r="D2655" i="1"/>
  <c r="C2655" i="1"/>
  <c r="K2655" i="1" s="1"/>
  <c r="G2654" i="1"/>
  <c r="H2654" i="1" s="1"/>
  <c r="E2654" i="1"/>
  <c r="D2654" i="1"/>
  <c r="C2654" i="1"/>
  <c r="K2654" i="1" s="1"/>
  <c r="G2653" i="1"/>
  <c r="H2653" i="1" s="1"/>
  <c r="E2653" i="1"/>
  <c r="D2653" i="1"/>
  <c r="C2653" i="1"/>
  <c r="K2653" i="1" s="1"/>
  <c r="G2652" i="1"/>
  <c r="H2652" i="1" s="1"/>
  <c r="E2652" i="1"/>
  <c r="D2652" i="1"/>
  <c r="C2652" i="1"/>
  <c r="K2652" i="1" s="1"/>
  <c r="G2651" i="1"/>
  <c r="H2651" i="1" s="1"/>
  <c r="E2651" i="1"/>
  <c r="D2651" i="1"/>
  <c r="C2651" i="1"/>
  <c r="K2651" i="1" s="1"/>
  <c r="G2650" i="1"/>
  <c r="H2650" i="1" s="1"/>
  <c r="E2650" i="1"/>
  <c r="D2650" i="1"/>
  <c r="C2650" i="1"/>
  <c r="K2650" i="1" s="1"/>
  <c r="G2649" i="1"/>
  <c r="H2649" i="1" s="1"/>
  <c r="E2649" i="1"/>
  <c r="D2649" i="1"/>
  <c r="C2649" i="1"/>
  <c r="K2649" i="1" s="1"/>
  <c r="G2648" i="1"/>
  <c r="H2648" i="1" s="1"/>
  <c r="E2648" i="1"/>
  <c r="D2648" i="1"/>
  <c r="C2648" i="1"/>
  <c r="K2648" i="1" s="1"/>
  <c r="G2647" i="1"/>
  <c r="H2647" i="1" s="1"/>
  <c r="E2647" i="1"/>
  <c r="D2647" i="1"/>
  <c r="C2647" i="1"/>
  <c r="K2647" i="1" s="1"/>
  <c r="G2646" i="1"/>
  <c r="H2646" i="1" s="1"/>
  <c r="E2646" i="1"/>
  <c r="D2646" i="1"/>
  <c r="C2646" i="1"/>
  <c r="K2646" i="1" s="1"/>
  <c r="G2645" i="1"/>
  <c r="H2645" i="1" s="1"/>
  <c r="E2645" i="1"/>
  <c r="D2645" i="1"/>
  <c r="C2645" i="1"/>
  <c r="K2645" i="1" s="1"/>
  <c r="G2644" i="1"/>
  <c r="H2644" i="1" s="1"/>
  <c r="E2644" i="1"/>
  <c r="D2644" i="1"/>
  <c r="C2644" i="1"/>
  <c r="K2644" i="1" s="1"/>
  <c r="G2643" i="1"/>
  <c r="H2643" i="1" s="1"/>
  <c r="E2643" i="1"/>
  <c r="D2643" i="1"/>
  <c r="C2643" i="1"/>
  <c r="K2643" i="1" s="1"/>
  <c r="G2642" i="1"/>
  <c r="H2642" i="1" s="1"/>
  <c r="E2642" i="1"/>
  <c r="D2642" i="1"/>
  <c r="C2642" i="1"/>
  <c r="K2642" i="1" s="1"/>
  <c r="G2641" i="1"/>
  <c r="H2641" i="1" s="1"/>
  <c r="E2641" i="1"/>
  <c r="D2641" i="1"/>
  <c r="C2641" i="1"/>
  <c r="K2641" i="1" s="1"/>
  <c r="G2640" i="1"/>
  <c r="H2640" i="1" s="1"/>
  <c r="E2640" i="1"/>
  <c r="D2640" i="1"/>
  <c r="C2640" i="1"/>
  <c r="K2640" i="1" s="1"/>
  <c r="G2639" i="1"/>
  <c r="H2639" i="1" s="1"/>
  <c r="E2639" i="1"/>
  <c r="D2639" i="1"/>
  <c r="C2639" i="1"/>
  <c r="K2639" i="1" s="1"/>
  <c r="G2638" i="1"/>
  <c r="H2638" i="1" s="1"/>
  <c r="E2638" i="1"/>
  <c r="D2638" i="1"/>
  <c r="C2638" i="1"/>
  <c r="K2638" i="1" s="1"/>
  <c r="G2637" i="1"/>
  <c r="H2637" i="1" s="1"/>
  <c r="E2637" i="1"/>
  <c r="D2637" i="1"/>
  <c r="C2637" i="1"/>
  <c r="K2637" i="1" s="1"/>
  <c r="G2636" i="1"/>
  <c r="H2636" i="1" s="1"/>
  <c r="E2636" i="1"/>
  <c r="D2636" i="1"/>
  <c r="C2636" i="1"/>
  <c r="K2636" i="1" s="1"/>
  <c r="G2635" i="1"/>
  <c r="H2635" i="1" s="1"/>
  <c r="E2635" i="1"/>
  <c r="D2635" i="1"/>
  <c r="C2635" i="1"/>
  <c r="K2635" i="1" s="1"/>
  <c r="G2634" i="1"/>
  <c r="H2634" i="1" s="1"/>
  <c r="E2634" i="1"/>
  <c r="D2634" i="1"/>
  <c r="C2634" i="1"/>
  <c r="K2634" i="1" s="1"/>
  <c r="G2633" i="1"/>
  <c r="H2633" i="1" s="1"/>
  <c r="E2633" i="1"/>
  <c r="D2633" i="1"/>
  <c r="C2633" i="1"/>
  <c r="K2633" i="1" s="1"/>
  <c r="G2632" i="1"/>
  <c r="H2632" i="1" s="1"/>
  <c r="E2632" i="1"/>
  <c r="D2632" i="1"/>
  <c r="C2632" i="1"/>
  <c r="K2632" i="1" s="1"/>
  <c r="G2631" i="1"/>
  <c r="H2631" i="1" s="1"/>
  <c r="E2631" i="1"/>
  <c r="D2631" i="1"/>
  <c r="C2631" i="1"/>
  <c r="K2631" i="1" s="1"/>
  <c r="G2630" i="1"/>
  <c r="H2630" i="1" s="1"/>
  <c r="E2630" i="1"/>
  <c r="D2630" i="1"/>
  <c r="C2630" i="1"/>
  <c r="K2630" i="1" s="1"/>
  <c r="G2629" i="1"/>
  <c r="H2629" i="1" s="1"/>
  <c r="E2629" i="1"/>
  <c r="D2629" i="1"/>
  <c r="C2629" i="1"/>
  <c r="K2629" i="1" s="1"/>
  <c r="G2628" i="1"/>
  <c r="H2628" i="1" s="1"/>
  <c r="E2628" i="1"/>
  <c r="D2628" i="1"/>
  <c r="C2628" i="1"/>
  <c r="K2628" i="1" s="1"/>
  <c r="G2627" i="1"/>
  <c r="H2627" i="1" s="1"/>
  <c r="E2627" i="1"/>
  <c r="D2627" i="1"/>
  <c r="C2627" i="1"/>
  <c r="K2627" i="1" s="1"/>
  <c r="G2626" i="1"/>
  <c r="H2626" i="1" s="1"/>
  <c r="E2626" i="1"/>
  <c r="D2626" i="1"/>
  <c r="C2626" i="1"/>
  <c r="K2626" i="1" s="1"/>
  <c r="G2625" i="1"/>
  <c r="H2625" i="1" s="1"/>
  <c r="E2625" i="1"/>
  <c r="D2625" i="1"/>
  <c r="C2625" i="1"/>
  <c r="K2625" i="1" s="1"/>
  <c r="G2624" i="1"/>
  <c r="H2624" i="1" s="1"/>
  <c r="E2624" i="1"/>
  <c r="D2624" i="1"/>
  <c r="C2624" i="1"/>
  <c r="K2624" i="1" s="1"/>
  <c r="G2623" i="1"/>
  <c r="H2623" i="1" s="1"/>
  <c r="E2623" i="1"/>
  <c r="D2623" i="1"/>
  <c r="C2623" i="1"/>
  <c r="K2623" i="1" s="1"/>
  <c r="G2622" i="1"/>
  <c r="H2622" i="1" s="1"/>
  <c r="E2622" i="1"/>
  <c r="D2622" i="1"/>
  <c r="C2622" i="1"/>
  <c r="K2622" i="1" s="1"/>
  <c r="G2621" i="1"/>
  <c r="H2621" i="1" s="1"/>
  <c r="E2621" i="1"/>
  <c r="D2621" i="1"/>
  <c r="C2621" i="1"/>
  <c r="K2621" i="1" s="1"/>
  <c r="G2620" i="1"/>
  <c r="H2620" i="1" s="1"/>
  <c r="E2620" i="1"/>
  <c r="D2620" i="1"/>
  <c r="C2620" i="1"/>
  <c r="K2620" i="1" s="1"/>
  <c r="G2619" i="1"/>
  <c r="H2619" i="1" s="1"/>
  <c r="E2619" i="1"/>
  <c r="D2619" i="1"/>
  <c r="C2619" i="1"/>
  <c r="K2619" i="1" s="1"/>
  <c r="G2618" i="1"/>
  <c r="H2618" i="1" s="1"/>
  <c r="E2618" i="1"/>
  <c r="D2618" i="1"/>
  <c r="C2618" i="1"/>
  <c r="K2618" i="1" s="1"/>
  <c r="G2617" i="1"/>
  <c r="H2617" i="1" s="1"/>
  <c r="E2617" i="1"/>
  <c r="D2617" i="1"/>
  <c r="C2617" i="1"/>
  <c r="K2617" i="1" s="1"/>
  <c r="G2616" i="1"/>
  <c r="H2616" i="1" s="1"/>
  <c r="E2616" i="1"/>
  <c r="D2616" i="1"/>
  <c r="C2616" i="1"/>
  <c r="K2616" i="1" s="1"/>
  <c r="G2615" i="1"/>
  <c r="H2615" i="1" s="1"/>
  <c r="E2615" i="1"/>
  <c r="D2615" i="1"/>
  <c r="C2615" i="1"/>
  <c r="K2615" i="1" s="1"/>
  <c r="G2614" i="1"/>
  <c r="H2614" i="1" s="1"/>
  <c r="E2614" i="1"/>
  <c r="D2614" i="1"/>
  <c r="C2614" i="1"/>
  <c r="K2614" i="1" s="1"/>
  <c r="G2613" i="1"/>
  <c r="H2613" i="1" s="1"/>
  <c r="E2613" i="1"/>
  <c r="D2613" i="1"/>
  <c r="C2613" i="1"/>
  <c r="K2613" i="1" s="1"/>
  <c r="G2612" i="1"/>
  <c r="H2612" i="1" s="1"/>
  <c r="E2612" i="1"/>
  <c r="D2612" i="1"/>
  <c r="C2612" i="1"/>
  <c r="K2612" i="1" s="1"/>
  <c r="G2611" i="1"/>
  <c r="H2611" i="1" s="1"/>
  <c r="E2611" i="1"/>
  <c r="D2611" i="1"/>
  <c r="C2611" i="1"/>
  <c r="K2611" i="1" s="1"/>
  <c r="G2610" i="1"/>
  <c r="H2610" i="1" s="1"/>
  <c r="E2610" i="1"/>
  <c r="D2610" i="1"/>
  <c r="C2610" i="1"/>
  <c r="K2610" i="1" s="1"/>
  <c r="G2609" i="1"/>
  <c r="H2609" i="1" s="1"/>
  <c r="E2609" i="1"/>
  <c r="D2609" i="1"/>
  <c r="C2609" i="1"/>
  <c r="K2609" i="1" s="1"/>
  <c r="G2608" i="1"/>
  <c r="H2608" i="1" s="1"/>
  <c r="E2608" i="1"/>
  <c r="D2608" i="1"/>
  <c r="C2608" i="1"/>
  <c r="K2608" i="1" s="1"/>
  <c r="G2607" i="1"/>
  <c r="H2607" i="1" s="1"/>
  <c r="E2607" i="1"/>
  <c r="D2607" i="1"/>
  <c r="C2607" i="1"/>
  <c r="K2607" i="1" s="1"/>
  <c r="G2606" i="1"/>
  <c r="H2606" i="1" s="1"/>
  <c r="E2606" i="1"/>
  <c r="D2606" i="1"/>
  <c r="C2606" i="1"/>
  <c r="K2606" i="1" s="1"/>
  <c r="G2605" i="1"/>
  <c r="H2605" i="1" s="1"/>
  <c r="E2605" i="1"/>
  <c r="D2605" i="1"/>
  <c r="C2605" i="1"/>
  <c r="K2605" i="1" s="1"/>
  <c r="G2604" i="1"/>
  <c r="H2604" i="1" s="1"/>
  <c r="E2604" i="1"/>
  <c r="D2604" i="1"/>
  <c r="C2604" i="1"/>
  <c r="K2604" i="1" s="1"/>
  <c r="G2603" i="1"/>
  <c r="H2603" i="1" s="1"/>
  <c r="E2603" i="1"/>
  <c r="D2603" i="1"/>
  <c r="C2603" i="1"/>
  <c r="K2603" i="1" s="1"/>
  <c r="G2602" i="1"/>
  <c r="H2602" i="1" s="1"/>
  <c r="E2602" i="1"/>
  <c r="D2602" i="1"/>
  <c r="C2602" i="1"/>
  <c r="K2602" i="1" s="1"/>
  <c r="G2601" i="1"/>
  <c r="H2601" i="1" s="1"/>
  <c r="E2601" i="1"/>
  <c r="D2601" i="1"/>
  <c r="C2601" i="1"/>
  <c r="K2601" i="1" s="1"/>
  <c r="G2600" i="1"/>
  <c r="H2600" i="1" s="1"/>
  <c r="E2600" i="1"/>
  <c r="D2600" i="1"/>
  <c r="C2600" i="1"/>
  <c r="K2600" i="1" s="1"/>
  <c r="G2599" i="1"/>
  <c r="H2599" i="1" s="1"/>
  <c r="E2599" i="1"/>
  <c r="D2599" i="1"/>
  <c r="C2599" i="1"/>
  <c r="K2599" i="1" s="1"/>
  <c r="G2598" i="1"/>
  <c r="H2598" i="1" s="1"/>
  <c r="E2598" i="1"/>
  <c r="D2598" i="1"/>
  <c r="C2598" i="1"/>
  <c r="K2598" i="1" s="1"/>
  <c r="G2597" i="1"/>
  <c r="H2597" i="1" s="1"/>
  <c r="E2597" i="1"/>
  <c r="D2597" i="1"/>
  <c r="C2597" i="1"/>
  <c r="K2597" i="1" s="1"/>
  <c r="G2596" i="1"/>
  <c r="H2596" i="1" s="1"/>
  <c r="E2596" i="1"/>
  <c r="D2596" i="1"/>
  <c r="C2596" i="1"/>
  <c r="K2596" i="1" s="1"/>
  <c r="G2595" i="1"/>
  <c r="H2595" i="1" s="1"/>
  <c r="E2595" i="1"/>
  <c r="D2595" i="1"/>
  <c r="C2595" i="1"/>
  <c r="K2595" i="1" s="1"/>
  <c r="G2594" i="1"/>
  <c r="H2594" i="1" s="1"/>
  <c r="E2594" i="1"/>
  <c r="D2594" i="1"/>
  <c r="C2594" i="1"/>
  <c r="K2594" i="1" s="1"/>
  <c r="G2593" i="1"/>
  <c r="H2593" i="1" s="1"/>
  <c r="E2593" i="1"/>
  <c r="D2593" i="1"/>
  <c r="C2593" i="1"/>
  <c r="K2593" i="1" s="1"/>
  <c r="G2592" i="1"/>
  <c r="H2592" i="1" s="1"/>
  <c r="E2592" i="1"/>
  <c r="D2592" i="1"/>
  <c r="C2592" i="1"/>
  <c r="K2592" i="1" s="1"/>
  <c r="G2591" i="1"/>
  <c r="H2591" i="1" s="1"/>
  <c r="E2591" i="1"/>
  <c r="D2591" i="1"/>
  <c r="C2591" i="1"/>
  <c r="K2591" i="1" s="1"/>
  <c r="G2590" i="1"/>
  <c r="H2590" i="1" s="1"/>
  <c r="E2590" i="1"/>
  <c r="D2590" i="1"/>
  <c r="C2590" i="1"/>
  <c r="K2590" i="1" s="1"/>
  <c r="G2589" i="1"/>
  <c r="H2589" i="1" s="1"/>
  <c r="E2589" i="1"/>
  <c r="D2589" i="1"/>
  <c r="C2589" i="1"/>
  <c r="K2589" i="1" s="1"/>
  <c r="G2588" i="1"/>
  <c r="H2588" i="1" s="1"/>
  <c r="E2588" i="1"/>
  <c r="D2588" i="1"/>
  <c r="C2588" i="1"/>
  <c r="K2588" i="1" s="1"/>
  <c r="G2587" i="1"/>
  <c r="H2587" i="1" s="1"/>
  <c r="E2587" i="1"/>
  <c r="D2587" i="1"/>
  <c r="C2587" i="1"/>
  <c r="K2587" i="1" s="1"/>
  <c r="G2586" i="1"/>
  <c r="H2586" i="1" s="1"/>
  <c r="E2586" i="1"/>
  <c r="D2586" i="1"/>
  <c r="C2586" i="1"/>
  <c r="K2586" i="1" s="1"/>
  <c r="G2585" i="1"/>
  <c r="H2585" i="1" s="1"/>
  <c r="E2585" i="1"/>
  <c r="D2585" i="1"/>
  <c r="C2585" i="1"/>
  <c r="K2585" i="1" s="1"/>
  <c r="G2584" i="1"/>
  <c r="H2584" i="1" s="1"/>
  <c r="E2584" i="1"/>
  <c r="D2584" i="1"/>
  <c r="C2584" i="1"/>
  <c r="K2584" i="1" s="1"/>
  <c r="G2583" i="1"/>
  <c r="H2583" i="1" s="1"/>
  <c r="E2583" i="1"/>
  <c r="D2583" i="1"/>
  <c r="C2583" i="1"/>
  <c r="K2583" i="1" s="1"/>
  <c r="G2582" i="1"/>
  <c r="H2582" i="1" s="1"/>
  <c r="E2582" i="1"/>
  <c r="D2582" i="1"/>
  <c r="C2582" i="1"/>
  <c r="K2582" i="1" s="1"/>
  <c r="G2581" i="1"/>
  <c r="H2581" i="1" s="1"/>
  <c r="E2581" i="1"/>
  <c r="D2581" i="1"/>
  <c r="C2581" i="1"/>
  <c r="K2581" i="1" s="1"/>
  <c r="G2580" i="1"/>
  <c r="H2580" i="1" s="1"/>
  <c r="E2580" i="1"/>
  <c r="D2580" i="1"/>
  <c r="C2580" i="1"/>
  <c r="K2580" i="1" s="1"/>
  <c r="G2579" i="1"/>
  <c r="H2579" i="1" s="1"/>
  <c r="E2579" i="1"/>
  <c r="D2579" i="1"/>
  <c r="C2579" i="1"/>
  <c r="K2579" i="1" s="1"/>
  <c r="G2578" i="1"/>
  <c r="H2578" i="1" s="1"/>
  <c r="E2578" i="1"/>
  <c r="D2578" i="1"/>
  <c r="C2578" i="1"/>
  <c r="K2578" i="1" s="1"/>
  <c r="G2577" i="1"/>
  <c r="H2577" i="1" s="1"/>
  <c r="E2577" i="1"/>
  <c r="D2577" i="1"/>
  <c r="C2577" i="1"/>
  <c r="K2577" i="1" s="1"/>
  <c r="G2576" i="1"/>
  <c r="H2576" i="1" s="1"/>
  <c r="E2576" i="1"/>
  <c r="D2576" i="1"/>
  <c r="C2576" i="1"/>
  <c r="K2576" i="1" s="1"/>
  <c r="G2575" i="1"/>
  <c r="H2575" i="1" s="1"/>
  <c r="E2575" i="1"/>
  <c r="D2575" i="1"/>
  <c r="C2575" i="1"/>
  <c r="K2575" i="1" s="1"/>
  <c r="G2574" i="1"/>
  <c r="H2574" i="1" s="1"/>
  <c r="E2574" i="1"/>
  <c r="D2574" i="1"/>
  <c r="C2574" i="1"/>
  <c r="K2574" i="1" s="1"/>
  <c r="G2573" i="1"/>
  <c r="H2573" i="1" s="1"/>
  <c r="E2573" i="1"/>
  <c r="D2573" i="1"/>
  <c r="C2573" i="1"/>
  <c r="K2573" i="1" s="1"/>
  <c r="G2572" i="1"/>
  <c r="H2572" i="1" s="1"/>
  <c r="E2572" i="1"/>
  <c r="D2572" i="1"/>
  <c r="C2572" i="1"/>
  <c r="K2572" i="1" s="1"/>
  <c r="G2571" i="1"/>
  <c r="H2571" i="1" s="1"/>
  <c r="E2571" i="1"/>
  <c r="D2571" i="1"/>
  <c r="C2571" i="1"/>
  <c r="K2571" i="1" s="1"/>
  <c r="G2570" i="1"/>
  <c r="H2570" i="1" s="1"/>
  <c r="E2570" i="1"/>
  <c r="D2570" i="1"/>
  <c r="C2570" i="1"/>
  <c r="K2570" i="1" s="1"/>
  <c r="G2569" i="1"/>
  <c r="H2569" i="1" s="1"/>
  <c r="E2569" i="1"/>
  <c r="D2569" i="1"/>
  <c r="C2569" i="1"/>
  <c r="K2569" i="1" s="1"/>
  <c r="G2568" i="1"/>
  <c r="H2568" i="1" s="1"/>
  <c r="E2568" i="1"/>
  <c r="D2568" i="1"/>
  <c r="C2568" i="1"/>
  <c r="K2568" i="1" s="1"/>
  <c r="G2567" i="1"/>
  <c r="H2567" i="1" s="1"/>
  <c r="E2567" i="1"/>
  <c r="D2567" i="1"/>
  <c r="C2567" i="1"/>
  <c r="K2567" i="1" s="1"/>
  <c r="G2566" i="1"/>
  <c r="H2566" i="1" s="1"/>
  <c r="E2566" i="1"/>
  <c r="D2566" i="1"/>
  <c r="C2566" i="1"/>
  <c r="K2566" i="1" s="1"/>
  <c r="G2565" i="1"/>
  <c r="H2565" i="1" s="1"/>
  <c r="E2565" i="1"/>
  <c r="D2565" i="1"/>
  <c r="C2565" i="1"/>
  <c r="K2565" i="1" s="1"/>
  <c r="G2564" i="1"/>
  <c r="H2564" i="1" s="1"/>
  <c r="E2564" i="1"/>
  <c r="D2564" i="1"/>
  <c r="C2564" i="1"/>
  <c r="K2564" i="1" s="1"/>
  <c r="G2563" i="1"/>
  <c r="H2563" i="1" s="1"/>
  <c r="E2563" i="1"/>
  <c r="D2563" i="1"/>
  <c r="C2563" i="1"/>
  <c r="K2563" i="1" s="1"/>
  <c r="G2562" i="1"/>
  <c r="H2562" i="1" s="1"/>
  <c r="E2562" i="1"/>
  <c r="D2562" i="1"/>
  <c r="C2562" i="1"/>
  <c r="K2562" i="1" s="1"/>
  <c r="G2561" i="1"/>
  <c r="H2561" i="1" s="1"/>
  <c r="E2561" i="1"/>
  <c r="D2561" i="1"/>
  <c r="C2561" i="1"/>
  <c r="K2561" i="1" s="1"/>
  <c r="G2560" i="1"/>
  <c r="H2560" i="1" s="1"/>
  <c r="E2560" i="1"/>
  <c r="D2560" i="1"/>
  <c r="C2560" i="1"/>
  <c r="K2560" i="1" s="1"/>
  <c r="G2559" i="1"/>
  <c r="H2559" i="1" s="1"/>
  <c r="E2559" i="1"/>
  <c r="D2559" i="1"/>
  <c r="C2559" i="1"/>
  <c r="K2559" i="1" s="1"/>
  <c r="G2558" i="1"/>
  <c r="H2558" i="1" s="1"/>
  <c r="E2558" i="1"/>
  <c r="D2558" i="1"/>
  <c r="C2558" i="1"/>
  <c r="K2558" i="1" s="1"/>
  <c r="G2557" i="1"/>
  <c r="H2557" i="1" s="1"/>
  <c r="E2557" i="1"/>
  <c r="D2557" i="1"/>
  <c r="C2557" i="1"/>
  <c r="K2557" i="1" s="1"/>
  <c r="G2556" i="1"/>
  <c r="H2556" i="1" s="1"/>
  <c r="E2556" i="1"/>
  <c r="D2556" i="1"/>
  <c r="C2556" i="1"/>
  <c r="K2556" i="1" s="1"/>
  <c r="G2555" i="1"/>
  <c r="H2555" i="1" s="1"/>
  <c r="E2555" i="1"/>
  <c r="D2555" i="1"/>
  <c r="C2555" i="1"/>
  <c r="K2555" i="1" s="1"/>
  <c r="G2554" i="1"/>
  <c r="H2554" i="1" s="1"/>
  <c r="E2554" i="1"/>
  <c r="D2554" i="1"/>
  <c r="C2554" i="1"/>
  <c r="K2554" i="1" s="1"/>
  <c r="G2553" i="1"/>
  <c r="H2553" i="1" s="1"/>
  <c r="E2553" i="1"/>
  <c r="D2553" i="1"/>
  <c r="C2553" i="1"/>
  <c r="K2553" i="1" s="1"/>
  <c r="G2552" i="1"/>
  <c r="H2552" i="1" s="1"/>
  <c r="E2552" i="1"/>
  <c r="D2552" i="1"/>
  <c r="C2552" i="1"/>
  <c r="K2552" i="1" s="1"/>
  <c r="G2551" i="1"/>
  <c r="H2551" i="1" s="1"/>
  <c r="E2551" i="1"/>
  <c r="D2551" i="1"/>
  <c r="C2551" i="1"/>
  <c r="K2551" i="1" s="1"/>
  <c r="G2550" i="1"/>
  <c r="H2550" i="1" s="1"/>
  <c r="E2550" i="1"/>
  <c r="D2550" i="1"/>
  <c r="C2550" i="1"/>
  <c r="K2550" i="1" s="1"/>
  <c r="G2549" i="1"/>
  <c r="H2549" i="1" s="1"/>
  <c r="E2549" i="1"/>
  <c r="D2549" i="1"/>
  <c r="C2549" i="1"/>
  <c r="K2549" i="1" s="1"/>
  <c r="G2548" i="1"/>
  <c r="H2548" i="1" s="1"/>
  <c r="E2548" i="1"/>
  <c r="D2548" i="1"/>
  <c r="C2548" i="1"/>
  <c r="K2548" i="1" s="1"/>
  <c r="G2547" i="1"/>
  <c r="H2547" i="1" s="1"/>
  <c r="E2547" i="1"/>
  <c r="D2547" i="1"/>
  <c r="C2547" i="1"/>
  <c r="K2547" i="1" s="1"/>
  <c r="G2546" i="1"/>
  <c r="H2546" i="1" s="1"/>
  <c r="E2546" i="1"/>
  <c r="D2546" i="1"/>
  <c r="C2546" i="1"/>
  <c r="K2546" i="1" s="1"/>
  <c r="G2545" i="1"/>
  <c r="H2545" i="1" s="1"/>
  <c r="E2545" i="1"/>
  <c r="D2545" i="1"/>
  <c r="C2545" i="1"/>
  <c r="K2545" i="1" s="1"/>
  <c r="G2544" i="1"/>
  <c r="H2544" i="1" s="1"/>
  <c r="E2544" i="1"/>
  <c r="D2544" i="1"/>
  <c r="C2544" i="1"/>
  <c r="K2544" i="1" s="1"/>
  <c r="G2543" i="1"/>
  <c r="H2543" i="1" s="1"/>
  <c r="E2543" i="1"/>
  <c r="D2543" i="1"/>
  <c r="C2543" i="1"/>
  <c r="K2543" i="1" s="1"/>
  <c r="G2542" i="1"/>
  <c r="H2542" i="1" s="1"/>
  <c r="E2542" i="1"/>
  <c r="D2542" i="1"/>
  <c r="C2542" i="1"/>
  <c r="K2542" i="1" s="1"/>
  <c r="G2541" i="1"/>
  <c r="H2541" i="1" s="1"/>
  <c r="E2541" i="1"/>
  <c r="D2541" i="1"/>
  <c r="C2541" i="1"/>
  <c r="K2541" i="1" s="1"/>
  <c r="G2540" i="1"/>
  <c r="H2540" i="1" s="1"/>
  <c r="E2540" i="1"/>
  <c r="D2540" i="1"/>
  <c r="C2540" i="1"/>
  <c r="K2540" i="1" s="1"/>
  <c r="G2539" i="1"/>
  <c r="H2539" i="1" s="1"/>
  <c r="E2539" i="1"/>
  <c r="D2539" i="1"/>
  <c r="C2539" i="1"/>
  <c r="K2539" i="1" s="1"/>
  <c r="G2538" i="1"/>
  <c r="H2538" i="1" s="1"/>
  <c r="E2538" i="1"/>
  <c r="D2538" i="1"/>
  <c r="C2538" i="1"/>
  <c r="K2538" i="1" s="1"/>
  <c r="G2537" i="1"/>
  <c r="H2537" i="1" s="1"/>
  <c r="E2537" i="1"/>
  <c r="D2537" i="1"/>
  <c r="C2537" i="1"/>
  <c r="K2537" i="1" s="1"/>
  <c r="G2536" i="1"/>
  <c r="H2536" i="1" s="1"/>
  <c r="E2536" i="1"/>
  <c r="D2536" i="1"/>
  <c r="C2536" i="1"/>
  <c r="K2536" i="1" s="1"/>
  <c r="G2535" i="1"/>
  <c r="H2535" i="1" s="1"/>
  <c r="E2535" i="1"/>
  <c r="D2535" i="1"/>
  <c r="C2535" i="1"/>
  <c r="K2535" i="1" s="1"/>
  <c r="G2534" i="1"/>
  <c r="H2534" i="1" s="1"/>
  <c r="E2534" i="1"/>
  <c r="D2534" i="1"/>
  <c r="C2534" i="1"/>
  <c r="K2534" i="1" s="1"/>
  <c r="G2533" i="1"/>
  <c r="H2533" i="1" s="1"/>
  <c r="E2533" i="1"/>
  <c r="D2533" i="1"/>
  <c r="C2533" i="1"/>
  <c r="K2533" i="1" s="1"/>
  <c r="G2532" i="1"/>
  <c r="H2532" i="1" s="1"/>
  <c r="E2532" i="1"/>
  <c r="D2532" i="1"/>
  <c r="C2532" i="1"/>
  <c r="K2532" i="1" s="1"/>
  <c r="G2531" i="1"/>
  <c r="H2531" i="1" s="1"/>
  <c r="E2531" i="1"/>
  <c r="D2531" i="1"/>
  <c r="C2531" i="1"/>
  <c r="K2531" i="1" s="1"/>
  <c r="G2530" i="1"/>
  <c r="H2530" i="1" s="1"/>
  <c r="E2530" i="1"/>
  <c r="D2530" i="1"/>
  <c r="C2530" i="1"/>
  <c r="K2530" i="1" s="1"/>
  <c r="G2529" i="1"/>
  <c r="H2529" i="1" s="1"/>
  <c r="E2529" i="1"/>
  <c r="D2529" i="1"/>
  <c r="C2529" i="1"/>
  <c r="K2529" i="1" s="1"/>
  <c r="G2528" i="1"/>
  <c r="H2528" i="1" s="1"/>
  <c r="E2528" i="1"/>
  <c r="D2528" i="1"/>
  <c r="C2528" i="1"/>
  <c r="K2528" i="1" s="1"/>
  <c r="G2527" i="1"/>
  <c r="H2527" i="1" s="1"/>
  <c r="E2527" i="1"/>
  <c r="D2527" i="1"/>
  <c r="C2527" i="1"/>
  <c r="K2527" i="1" s="1"/>
  <c r="G2526" i="1"/>
  <c r="H2526" i="1" s="1"/>
  <c r="E2526" i="1"/>
  <c r="D2526" i="1"/>
  <c r="C2526" i="1"/>
  <c r="K2526" i="1" s="1"/>
  <c r="G2525" i="1"/>
  <c r="H2525" i="1" s="1"/>
  <c r="E2525" i="1"/>
  <c r="D2525" i="1"/>
  <c r="C2525" i="1"/>
  <c r="K2525" i="1" s="1"/>
  <c r="G2524" i="1"/>
  <c r="H2524" i="1" s="1"/>
  <c r="E2524" i="1"/>
  <c r="D2524" i="1"/>
  <c r="C2524" i="1"/>
  <c r="K2524" i="1" s="1"/>
  <c r="G2523" i="1"/>
  <c r="H2523" i="1" s="1"/>
  <c r="E2523" i="1"/>
  <c r="D2523" i="1"/>
  <c r="C2523" i="1"/>
  <c r="K2523" i="1" s="1"/>
  <c r="G2522" i="1"/>
  <c r="H2522" i="1" s="1"/>
  <c r="E2522" i="1"/>
  <c r="D2522" i="1"/>
  <c r="C2522" i="1"/>
  <c r="K2522" i="1" s="1"/>
  <c r="G2521" i="1"/>
  <c r="H2521" i="1" s="1"/>
  <c r="E2521" i="1"/>
  <c r="D2521" i="1"/>
  <c r="C2521" i="1"/>
  <c r="K2521" i="1" s="1"/>
  <c r="G2520" i="1"/>
  <c r="H2520" i="1" s="1"/>
  <c r="E2520" i="1"/>
  <c r="D2520" i="1"/>
  <c r="C2520" i="1"/>
  <c r="K2520" i="1" s="1"/>
  <c r="G2519" i="1"/>
  <c r="H2519" i="1" s="1"/>
  <c r="E2519" i="1"/>
  <c r="D2519" i="1"/>
  <c r="C2519" i="1"/>
  <c r="K2519" i="1" s="1"/>
  <c r="G2518" i="1"/>
  <c r="H2518" i="1" s="1"/>
  <c r="E2518" i="1"/>
  <c r="D2518" i="1"/>
  <c r="C2518" i="1"/>
  <c r="K2518" i="1" s="1"/>
  <c r="G2517" i="1"/>
  <c r="H2517" i="1" s="1"/>
  <c r="E2517" i="1"/>
  <c r="D2517" i="1"/>
  <c r="C2517" i="1"/>
  <c r="K2517" i="1" s="1"/>
  <c r="G2516" i="1"/>
  <c r="H2516" i="1" s="1"/>
  <c r="E2516" i="1"/>
  <c r="D2516" i="1"/>
  <c r="C2516" i="1"/>
  <c r="K2516" i="1" s="1"/>
  <c r="G2515" i="1"/>
  <c r="H2515" i="1" s="1"/>
  <c r="E2515" i="1"/>
  <c r="D2515" i="1"/>
  <c r="C2515" i="1"/>
  <c r="K2515" i="1" s="1"/>
  <c r="G2514" i="1"/>
  <c r="H2514" i="1" s="1"/>
  <c r="E2514" i="1"/>
  <c r="D2514" i="1"/>
  <c r="C2514" i="1"/>
  <c r="K2514" i="1" s="1"/>
  <c r="G2513" i="1"/>
  <c r="H2513" i="1" s="1"/>
  <c r="E2513" i="1"/>
  <c r="D2513" i="1"/>
  <c r="C2513" i="1"/>
  <c r="K2513" i="1" s="1"/>
  <c r="G2512" i="1"/>
  <c r="H2512" i="1" s="1"/>
  <c r="E2512" i="1"/>
  <c r="D2512" i="1"/>
  <c r="C2512" i="1"/>
  <c r="K2512" i="1" s="1"/>
  <c r="G2511" i="1"/>
  <c r="H2511" i="1" s="1"/>
  <c r="E2511" i="1"/>
  <c r="D2511" i="1"/>
  <c r="C2511" i="1"/>
  <c r="K2511" i="1" s="1"/>
  <c r="G2510" i="1"/>
  <c r="H2510" i="1" s="1"/>
  <c r="E2510" i="1"/>
  <c r="D2510" i="1"/>
  <c r="C2510" i="1"/>
  <c r="K2510" i="1" s="1"/>
  <c r="G2509" i="1"/>
  <c r="H2509" i="1" s="1"/>
  <c r="E2509" i="1"/>
  <c r="D2509" i="1"/>
  <c r="C2509" i="1"/>
  <c r="K2509" i="1" s="1"/>
  <c r="G2508" i="1"/>
  <c r="H2508" i="1" s="1"/>
  <c r="E2508" i="1"/>
  <c r="D2508" i="1"/>
  <c r="C2508" i="1"/>
  <c r="K2508" i="1" s="1"/>
  <c r="G2507" i="1"/>
  <c r="H2507" i="1" s="1"/>
  <c r="E2507" i="1"/>
  <c r="D2507" i="1"/>
  <c r="C2507" i="1"/>
  <c r="K2507" i="1" s="1"/>
  <c r="G2506" i="1"/>
  <c r="H2506" i="1" s="1"/>
  <c r="E2506" i="1"/>
  <c r="D2506" i="1"/>
  <c r="C2506" i="1"/>
  <c r="K2506" i="1" s="1"/>
  <c r="G2505" i="1"/>
  <c r="H2505" i="1" s="1"/>
  <c r="E2505" i="1"/>
  <c r="D2505" i="1"/>
  <c r="C2505" i="1"/>
  <c r="K2505" i="1" s="1"/>
  <c r="G2504" i="1"/>
  <c r="H2504" i="1" s="1"/>
  <c r="E2504" i="1"/>
  <c r="D2504" i="1"/>
  <c r="C2504" i="1"/>
  <c r="K2504" i="1" s="1"/>
  <c r="G2503" i="1"/>
  <c r="H2503" i="1" s="1"/>
  <c r="E2503" i="1"/>
  <c r="D2503" i="1"/>
  <c r="C2503" i="1"/>
  <c r="K2503" i="1" s="1"/>
  <c r="G2502" i="1"/>
  <c r="H2502" i="1" s="1"/>
  <c r="E2502" i="1"/>
  <c r="D2502" i="1"/>
  <c r="C2502" i="1"/>
  <c r="K2502" i="1" s="1"/>
  <c r="G2501" i="1"/>
  <c r="H2501" i="1" s="1"/>
  <c r="E2501" i="1"/>
  <c r="D2501" i="1"/>
  <c r="C2501" i="1"/>
  <c r="K2501" i="1" s="1"/>
  <c r="G2500" i="1"/>
  <c r="H2500" i="1" s="1"/>
  <c r="E2500" i="1"/>
  <c r="D2500" i="1"/>
  <c r="C2500" i="1"/>
  <c r="K2500" i="1" s="1"/>
  <c r="G2499" i="1"/>
  <c r="H2499" i="1" s="1"/>
  <c r="E2499" i="1"/>
  <c r="D2499" i="1"/>
  <c r="C2499" i="1"/>
  <c r="K2499" i="1" s="1"/>
  <c r="G2498" i="1"/>
  <c r="H2498" i="1" s="1"/>
  <c r="E2498" i="1"/>
  <c r="D2498" i="1"/>
  <c r="C2498" i="1"/>
  <c r="K2498" i="1" s="1"/>
  <c r="G2497" i="1"/>
  <c r="H2497" i="1" s="1"/>
  <c r="E2497" i="1"/>
  <c r="D2497" i="1"/>
  <c r="C2497" i="1"/>
  <c r="K2497" i="1" s="1"/>
  <c r="G2496" i="1"/>
  <c r="H2496" i="1" s="1"/>
  <c r="E2496" i="1"/>
  <c r="D2496" i="1"/>
  <c r="C2496" i="1"/>
  <c r="K2496" i="1" s="1"/>
  <c r="G2495" i="1"/>
  <c r="H2495" i="1" s="1"/>
  <c r="E2495" i="1"/>
  <c r="D2495" i="1"/>
  <c r="C2495" i="1"/>
  <c r="K2495" i="1" s="1"/>
  <c r="G2494" i="1"/>
  <c r="H2494" i="1" s="1"/>
  <c r="E2494" i="1"/>
  <c r="D2494" i="1"/>
  <c r="C2494" i="1"/>
  <c r="K2494" i="1" s="1"/>
  <c r="G2493" i="1"/>
  <c r="H2493" i="1" s="1"/>
  <c r="E2493" i="1"/>
  <c r="D2493" i="1"/>
  <c r="C2493" i="1"/>
  <c r="K2493" i="1" s="1"/>
  <c r="G2492" i="1"/>
  <c r="H2492" i="1" s="1"/>
  <c r="E2492" i="1"/>
  <c r="D2492" i="1"/>
  <c r="C2492" i="1"/>
  <c r="G2491" i="1"/>
  <c r="H2491" i="1" s="1"/>
  <c r="E2491" i="1"/>
  <c r="D2491" i="1"/>
  <c r="C2491" i="1"/>
  <c r="K2491" i="1" s="1"/>
  <c r="G2490" i="1"/>
  <c r="H2490" i="1" s="1"/>
  <c r="E2490" i="1"/>
  <c r="D2490" i="1"/>
  <c r="C2490" i="1"/>
  <c r="K2490" i="1" s="1"/>
  <c r="G2489" i="1"/>
  <c r="H2489" i="1" s="1"/>
  <c r="E2489" i="1"/>
  <c r="D2489" i="1"/>
  <c r="C2489" i="1"/>
  <c r="K2489" i="1" s="1"/>
  <c r="G2488" i="1"/>
  <c r="H2488" i="1" s="1"/>
  <c r="E2488" i="1"/>
  <c r="D2488" i="1"/>
  <c r="C2488" i="1"/>
  <c r="K2488" i="1" s="1"/>
  <c r="G2487" i="1"/>
  <c r="H2487" i="1" s="1"/>
  <c r="E2487" i="1"/>
  <c r="D2487" i="1"/>
  <c r="C2487" i="1"/>
  <c r="K2487" i="1" s="1"/>
  <c r="G2486" i="1"/>
  <c r="H2486" i="1" s="1"/>
  <c r="E2486" i="1"/>
  <c r="D2486" i="1"/>
  <c r="C2486" i="1"/>
  <c r="G2485" i="1"/>
  <c r="H2485" i="1" s="1"/>
  <c r="E2485" i="1"/>
  <c r="D2485" i="1"/>
  <c r="C2485" i="1"/>
  <c r="K2485" i="1" s="1"/>
  <c r="G2484" i="1"/>
  <c r="H2484" i="1" s="1"/>
  <c r="E2484" i="1"/>
  <c r="D2484" i="1"/>
  <c r="C2484" i="1"/>
  <c r="K2484" i="1" s="1"/>
  <c r="G2483" i="1"/>
  <c r="H2483" i="1" s="1"/>
  <c r="E2483" i="1"/>
  <c r="D2483" i="1"/>
  <c r="C2483" i="1"/>
  <c r="K2483" i="1" s="1"/>
  <c r="G2482" i="1"/>
  <c r="H2482" i="1" s="1"/>
  <c r="E2482" i="1"/>
  <c r="D2482" i="1"/>
  <c r="C2482" i="1"/>
  <c r="K2482" i="1" s="1"/>
  <c r="G2481" i="1"/>
  <c r="H2481" i="1" s="1"/>
  <c r="E2481" i="1"/>
  <c r="D2481" i="1"/>
  <c r="C2481" i="1"/>
  <c r="K2481" i="1" s="1"/>
  <c r="G2480" i="1"/>
  <c r="H2480" i="1" s="1"/>
  <c r="E2480" i="1"/>
  <c r="D2480" i="1"/>
  <c r="C2480" i="1"/>
  <c r="K2480" i="1" s="1"/>
  <c r="G2479" i="1"/>
  <c r="H2479" i="1" s="1"/>
  <c r="E2479" i="1"/>
  <c r="D2479" i="1"/>
  <c r="C2479" i="1"/>
  <c r="K2479" i="1" s="1"/>
  <c r="G2478" i="1"/>
  <c r="H2478" i="1" s="1"/>
  <c r="E2478" i="1"/>
  <c r="D2478" i="1"/>
  <c r="C2478" i="1"/>
  <c r="K2478" i="1" s="1"/>
  <c r="G2477" i="1"/>
  <c r="H2477" i="1" s="1"/>
  <c r="E2477" i="1"/>
  <c r="D2477" i="1"/>
  <c r="C2477" i="1"/>
  <c r="K2477" i="1" s="1"/>
  <c r="G2476" i="1"/>
  <c r="H2476" i="1" s="1"/>
  <c r="E2476" i="1"/>
  <c r="D2476" i="1"/>
  <c r="C2476" i="1"/>
  <c r="K2476" i="1" s="1"/>
  <c r="G2475" i="1"/>
  <c r="H2475" i="1" s="1"/>
  <c r="E2475" i="1"/>
  <c r="D2475" i="1"/>
  <c r="C2475" i="1"/>
  <c r="K2475" i="1" s="1"/>
  <c r="G2474" i="1"/>
  <c r="H2474" i="1" s="1"/>
  <c r="E2474" i="1"/>
  <c r="D2474" i="1"/>
  <c r="C2474" i="1"/>
  <c r="K2474" i="1" s="1"/>
  <c r="G2473" i="1"/>
  <c r="H2473" i="1" s="1"/>
  <c r="E2473" i="1"/>
  <c r="D2473" i="1"/>
  <c r="C2473" i="1"/>
  <c r="K2473" i="1" s="1"/>
  <c r="G2472" i="1"/>
  <c r="H2472" i="1" s="1"/>
  <c r="E2472" i="1"/>
  <c r="D2472" i="1"/>
  <c r="C2472" i="1"/>
  <c r="K2472" i="1" s="1"/>
  <c r="G2471" i="1"/>
  <c r="H2471" i="1" s="1"/>
  <c r="E2471" i="1"/>
  <c r="D2471" i="1"/>
  <c r="C2471" i="1"/>
  <c r="K2471" i="1" s="1"/>
  <c r="G2470" i="1"/>
  <c r="H2470" i="1" s="1"/>
  <c r="E2470" i="1"/>
  <c r="D2470" i="1"/>
  <c r="C2470" i="1"/>
  <c r="G2469" i="1"/>
  <c r="H2469" i="1" s="1"/>
  <c r="E2469" i="1"/>
  <c r="D2469" i="1"/>
  <c r="C2469" i="1"/>
  <c r="K2469" i="1" s="1"/>
  <c r="G2468" i="1"/>
  <c r="H2468" i="1" s="1"/>
  <c r="E2468" i="1"/>
  <c r="D2468" i="1"/>
  <c r="C2468" i="1"/>
  <c r="K2468" i="1" s="1"/>
  <c r="G2467" i="1"/>
  <c r="H2467" i="1" s="1"/>
  <c r="E2467" i="1"/>
  <c r="D2467" i="1"/>
  <c r="C2467" i="1"/>
  <c r="K2467" i="1" s="1"/>
  <c r="G2466" i="1"/>
  <c r="H2466" i="1" s="1"/>
  <c r="E2466" i="1"/>
  <c r="D2466" i="1"/>
  <c r="C2466" i="1"/>
  <c r="K2466" i="1" s="1"/>
  <c r="G2465" i="1"/>
  <c r="H2465" i="1" s="1"/>
  <c r="E2465" i="1"/>
  <c r="D2465" i="1"/>
  <c r="C2465" i="1"/>
  <c r="K2465" i="1" s="1"/>
  <c r="G2464" i="1"/>
  <c r="H2464" i="1" s="1"/>
  <c r="E2464" i="1"/>
  <c r="D2464" i="1"/>
  <c r="C2464" i="1"/>
  <c r="K2464" i="1" s="1"/>
  <c r="G2463" i="1"/>
  <c r="H2463" i="1" s="1"/>
  <c r="E2463" i="1"/>
  <c r="D2463" i="1"/>
  <c r="C2463" i="1"/>
  <c r="K2463" i="1" s="1"/>
  <c r="G2462" i="1"/>
  <c r="H2462" i="1" s="1"/>
  <c r="E2462" i="1"/>
  <c r="D2462" i="1"/>
  <c r="C2462" i="1"/>
  <c r="K2462" i="1" s="1"/>
  <c r="G2461" i="1"/>
  <c r="H2461" i="1" s="1"/>
  <c r="E2461" i="1"/>
  <c r="D2461" i="1"/>
  <c r="C2461" i="1"/>
  <c r="K2461" i="1" s="1"/>
  <c r="G2460" i="1"/>
  <c r="H2460" i="1" s="1"/>
  <c r="E2460" i="1"/>
  <c r="D2460" i="1"/>
  <c r="C2460" i="1"/>
  <c r="K2460" i="1" s="1"/>
  <c r="G2459" i="1"/>
  <c r="H2459" i="1" s="1"/>
  <c r="E2459" i="1"/>
  <c r="D2459" i="1"/>
  <c r="C2459" i="1"/>
  <c r="K2459" i="1" s="1"/>
  <c r="G2458" i="1"/>
  <c r="H2458" i="1" s="1"/>
  <c r="E2458" i="1"/>
  <c r="D2458" i="1"/>
  <c r="C2458" i="1"/>
  <c r="K2458" i="1" s="1"/>
  <c r="G2457" i="1"/>
  <c r="H2457" i="1" s="1"/>
  <c r="E2457" i="1"/>
  <c r="D2457" i="1"/>
  <c r="C2457" i="1"/>
  <c r="K2457" i="1" s="1"/>
  <c r="G2456" i="1"/>
  <c r="H2456" i="1" s="1"/>
  <c r="E2456" i="1"/>
  <c r="D2456" i="1"/>
  <c r="C2456" i="1"/>
  <c r="K2456" i="1" s="1"/>
  <c r="G2455" i="1"/>
  <c r="H2455" i="1" s="1"/>
  <c r="E2455" i="1"/>
  <c r="D2455" i="1"/>
  <c r="C2455" i="1"/>
  <c r="K2455" i="1" s="1"/>
  <c r="G2454" i="1"/>
  <c r="H2454" i="1" s="1"/>
  <c r="E2454" i="1"/>
  <c r="D2454" i="1"/>
  <c r="C2454" i="1"/>
  <c r="K2454" i="1" s="1"/>
  <c r="G2453" i="1"/>
  <c r="H2453" i="1" s="1"/>
  <c r="E2453" i="1"/>
  <c r="D2453" i="1"/>
  <c r="C2453" i="1"/>
  <c r="K2453" i="1" s="1"/>
  <c r="G2452" i="1"/>
  <c r="H2452" i="1" s="1"/>
  <c r="E2452" i="1"/>
  <c r="D2452" i="1"/>
  <c r="C2452" i="1"/>
  <c r="K2452" i="1" s="1"/>
  <c r="G2451" i="1"/>
  <c r="H2451" i="1" s="1"/>
  <c r="E2451" i="1"/>
  <c r="D2451" i="1"/>
  <c r="C2451" i="1"/>
  <c r="K2451" i="1" s="1"/>
  <c r="G2450" i="1"/>
  <c r="H2450" i="1" s="1"/>
  <c r="E2450" i="1"/>
  <c r="D2450" i="1"/>
  <c r="C2450" i="1"/>
  <c r="K2450" i="1" s="1"/>
  <c r="G2449" i="1"/>
  <c r="H2449" i="1" s="1"/>
  <c r="E2449" i="1"/>
  <c r="D2449" i="1"/>
  <c r="C2449" i="1"/>
  <c r="K2449" i="1" s="1"/>
  <c r="G2448" i="1"/>
  <c r="H2448" i="1" s="1"/>
  <c r="E2448" i="1"/>
  <c r="D2448" i="1"/>
  <c r="C2448" i="1"/>
  <c r="K2448" i="1" s="1"/>
  <c r="G2447" i="1"/>
  <c r="H2447" i="1" s="1"/>
  <c r="E2447" i="1"/>
  <c r="D2447" i="1"/>
  <c r="C2447" i="1"/>
  <c r="K2447" i="1" s="1"/>
  <c r="G2446" i="1"/>
  <c r="H2446" i="1" s="1"/>
  <c r="E2446" i="1"/>
  <c r="D2446" i="1"/>
  <c r="C2446" i="1"/>
  <c r="G2445" i="1"/>
  <c r="H2445" i="1" s="1"/>
  <c r="E2445" i="1"/>
  <c r="D2445" i="1"/>
  <c r="C2445" i="1"/>
  <c r="K2445" i="1" s="1"/>
  <c r="G2444" i="1"/>
  <c r="H2444" i="1" s="1"/>
  <c r="E2444" i="1"/>
  <c r="D2444" i="1"/>
  <c r="C2444" i="1"/>
  <c r="K2444" i="1" s="1"/>
  <c r="G2443" i="1"/>
  <c r="H2443" i="1" s="1"/>
  <c r="E2443" i="1"/>
  <c r="D2443" i="1"/>
  <c r="C2443" i="1"/>
  <c r="K2443" i="1" s="1"/>
  <c r="G2442" i="1"/>
  <c r="H2442" i="1" s="1"/>
  <c r="E2442" i="1"/>
  <c r="D2442" i="1"/>
  <c r="C2442" i="1"/>
  <c r="K2442" i="1" s="1"/>
  <c r="G2441" i="1"/>
  <c r="H2441" i="1" s="1"/>
  <c r="E2441" i="1"/>
  <c r="D2441" i="1"/>
  <c r="C2441" i="1"/>
  <c r="K2441" i="1" s="1"/>
  <c r="G2440" i="1"/>
  <c r="H2440" i="1" s="1"/>
  <c r="E2440" i="1"/>
  <c r="D2440" i="1"/>
  <c r="C2440" i="1"/>
  <c r="K2440" i="1" s="1"/>
  <c r="G2439" i="1"/>
  <c r="H2439" i="1" s="1"/>
  <c r="E2439" i="1"/>
  <c r="D2439" i="1"/>
  <c r="C2439" i="1"/>
  <c r="K2439" i="1" s="1"/>
  <c r="G2438" i="1"/>
  <c r="H2438" i="1" s="1"/>
  <c r="E2438" i="1"/>
  <c r="D2438" i="1"/>
  <c r="C2438" i="1"/>
  <c r="K2438" i="1" s="1"/>
  <c r="G2437" i="1"/>
  <c r="H2437" i="1" s="1"/>
  <c r="E2437" i="1"/>
  <c r="D2437" i="1"/>
  <c r="C2437" i="1"/>
  <c r="K2437" i="1" s="1"/>
  <c r="G2436" i="1"/>
  <c r="H2436" i="1" s="1"/>
  <c r="E2436" i="1"/>
  <c r="D2436" i="1"/>
  <c r="C2436" i="1"/>
  <c r="K2436" i="1" s="1"/>
  <c r="G2435" i="1"/>
  <c r="H2435" i="1" s="1"/>
  <c r="E2435" i="1"/>
  <c r="D2435" i="1"/>
  <c r="C2435" i="1"/>
  <c r="K2435" i="1" s="1"/>
  <c r="G2434" i="1"/>
  <c r="H2434" i="1" s="1"/>
  <c r="E2434" i="1"/>
  <c r="D2434" i="1"/>
  <c r="C2434" i="1"/>
  <c r="K2434" i="1" s="1"/>
  <c r="G2433" i="1"/>
  <c r="H2433" i="1" s="1"/>
  <c r="E2433" i="1"/>
  <c r="D2433" i="1"/>
  <c r="C2433" i="1"/>
  <c r="K2433" i="1" s="1"/>
  <c r="G2432" i="1"/>
  <c r="H2432" i="1" s="1"/>
  <c r="E2432" i="1"/>
  <c r="D2432" i="1"/>
  <c r="C2432" i="1"/>
  <c r="K2432" i="1" s="1"/>
  <c r="G2431" i="1"/>
  <c r="H2431" i="1" s="1"/>
  <c r="E2431" i="1"/>
  <c r="D2431" i="1"/>
  <c r="C2431" i="1"/>
  <c r="K2431" i="1" s="1"/>
  <c r="G2430" i="1"/>
  <c r="H2430" i="1" s="1"/>
  <c r="E2430" i="1"/>
  <c r="D2430" i="1"/>
  <c r="C2430" i="1"/>
  <c r="K2430" i="1" s="1"/>
  <c r="G2429" i="1"/>
  <c r="H2429" i="1" s="1"/>
  <c r="E2429" i="1"/>
  <c r="D2429" i="1"/>
  <c r="C2429" i="1"/>
  <c r="K2429" i="1" s="1"/>
  <c r="G2428" i="1"/>
  <c r="H2428" i="1" s="1"/>
  <c r="E2428" i="1"/>
  <c r="D2428" i="1"/>
  <c r="C2428" i="1"/>
  <c r="K2428" i="1" s="1"/>
  <c r="G2427" i="1"/>
  <c r="H2427" i="1" s="1"/>
  <c r="E2427" i="1"/>
  <c r="D2427" i="1"/>
  <c r="C2427" i="1"/>
  <c r="K2427" i="1" s="1"/>
  <c r="G2426" i="1"/>
  <c r="H2426" i="1" s="1"/>
  <c r="E2426" i="1"/>
  <c r="D2426" i="1"/>
  <c r="C2426" i="1"/>
  <c r="K2426" i="1" s="1"/>
  <c r="G2425" i="1"/>
  <c r="H2425" i="1" s="1"/>
  <c r="E2425" i="1"/>
  <c r="D2425" i="1"/>
  <c r="C2425" i="1"/>
  <c r="K2425" i="1" s="1"/>
  <c r="G2424" i="1"/>
  <c r="H2424" i="1" s="1"/>
  <c r="E2424" i="1"/>
  <c r="D2424" i="1"/>
  <c r="C2424" i="1"/>
  <c r="K2424" i="1" s="1"/>
  <c r="G2423" i="1"/>
  <c r="H2423" i="1" s="1"/>
  <c r="E2423" i="1"/>
  <c r="D2423" i="1"/>
  <c r="C2423" i="1"/>
  <c r="K2423" i="1" s="1"/>
  <c r="G2422" i="1"/>
  <c r="H2422" i="1" s="1"/>
  <c r="E2422" i="1"/>
  <c r="D2422" i="1"/>
  <c r="C2422" i="1"/>
  <c r="K2422" i="1" s="1"/>
  <c r="G2421" i="1"/>
  <c r="H2421" i="1" s="1"/>
  <c r="E2421" i="1"/>
  <c r="D2421" i="1"/>
  <c r="C2421" i="1"/>
  <c r="K2421" i="1" s="1"/>
  <c r="G2420" i="1"/>
  <c r="H2420" i="1" s="1"/>
  <c r="E2420" i="1"/>
  <c r="D2420" i="1"/>
  <c r="C2420" i="1"/>
  <c r="K2420" i="1" s="1"/>
  <c r="G2419" i="1"/>
  <c r="H2419" i="1" s="1"/>
  <c r="E2419" i="1"/>
  <c r="D2419" i="1"/>
  <c r="C2419" i="1"/>
  <c r="K2419" i="1" s="1"/>
  <c r="G2418" i="1"/>
  <c r="H2418" i="1" s="1"/>
  <c r="E2418" i="1"/>
  <c r="D2418" i="1"/>
  <c r="C2418" i="1"/>
  <c r="K2418" i="1" s="1"/>
  <c r="G2417" i="1"/>
  <c r="H2417" i="1" s="1"/>
  <c r="E2417" i="1"/>
  <c r="D2417" i="1"/>
  <c r="C2417" i="1"/>
  <c r="K2417" i="1" s="1"/>
  <c r="G2416" i="1"/>
  <c r="H2416" i="1" s="1"/>
  <c r="E2416" i="1"/>
  <c r="D2416" i="1"/>
  <c r="C2416" i="1"/>
  <c r="K2416" i="1" s="1"/>
  <c r="G2415" i="1"/>
  <c r="H2415" i="1" s="1"/>
  <c r="E2415" i="1"/>
  <c r="D2415" i="1"/>
  <c r="C2415" i="1"/>
  <c r="K2415" i="1" s="1"/>
  <c r="G2414" i="1"/>
  <c r="H2414" i="1" s="1"/>
  <c r="E2414" i="1"/>
  <c r="D2414" i="1"/>
  <c r="C2414" i="1"/>
  <c r="K2414" i="1" s="1"/>
  <c r="G2413" i="1"/>
  <c r="H2413" i="1" s="1"/>
  <c r="E2413" i="1"/>
  <c r="D2413" i="1"/>
  <c r="C2413" i="1"/>
  <c r="K2413" i="1" s="1"/>
  <c r="G2412" i="1"/>
  <c r="H2412" i="1" s="1"/>
  <c r="E2412" i="1"/>
  <c r="D2412" i="1"/>
  <c r="C2412" i="1"/>
  <c r="K2412" i="1" s="1"/>
  <c r="G2411" i="1"/>
  <c r="H2411" i="1" s="1"/>
  <c r="E2411" i="1"/>
  <c r="D2411" i="1"/>
  <c r="C2411" i="1"/>
  <c r="K2411" i="1" s="1"/>
  <c r="G2410" i="1"/>
  <c r="H2410" i="1" s="1"/>
  <c r="E2410" i="1"/>
  <c r="D2410" i="1"/>
  <c r="C2410" i="1"/>
  <c r="K2410" i="1" s="1"/>
  <c r="G2409" i="1"/>
  <c r="H2409" i="1" s="1"/>
  <c r="E2409" i="1"/>
  <c r="D2409" i="1"/>
  <c r="C2409" i="1"/>
  <c r="K2409" i="1" s="1"/>
  <c r="G2408" i="1"/>
  <c r="H2408" i="1" s="1"/>
  <c r="E2408" i="1"/>
  <c r="D2408" i="1"/>
  <c r="C2408" i="1"/>
  <c r="K2408" i="1" s="1"/>
  <c r="G2407" i="1"/>
  <c r="H2407" i="1" s="1"/>
  <c r="E2407" i="1"/>
  <c r="D2407" i="1"/>
  <c r="C2407" i="1"/>
  <c r="K2407" i="1" s="1"/>
  <c r="G2406" i="1"/>
  <c r="H2406" i="1" s="1"/>
  <c r="E2406" i="1"/>
  <c r="D2406" i="1"/>
  <c r="C2406" i="1"/>
  <c r="K2406" i="1" s="1"/>
  <c r="G2405" i="1"/>
  <c r="H2405" i="1" s="1"/>
  <c r="E2405" i="1"/>
  <c r="D2405" i="1"/>
  <c r="C2405" i="1"/>
  <c r="K2405" i="1" s="1"/>
  <c r="G2404" i="1"/>
  <c r="H2404" i="1" s="1"/>
  <c r="E2404" i="1"/>
  <c r="D2404" i="1"/>
  <c r="C2404" i="1"/>
  <c r="K2404" i="1" s="1"/>
  <c r="G2403" i="1"/>
  <c r="H2403" i="1" s="1"/>
  <c r="E2403" i="1"/>
  <c r="D2403" i="1"/>
  <c r="C2403" i="1"/>
  <c r="K2403" i="1" s="1"/>
  <c r="G2402" i="1"/>
  <c r="H2402" i="1" s="1"/>
  <c r="E2402" i="1"/>
  <c r="D2402" i="1"/>
  <c r="C2402" i="1"/>
  <c r="K2402" i="1" s="1"/>
  <c r="G2401" i="1"/>
  <c r="H2401" i="1" s="1"/>
  <c r="E2401" i="1"/>
  <c r="D2401" i="1"/>
  <c r="C2401" i="1"/>
  <c r="K2401" i="1" s="1"/>
  <c r="G2400" i="1"/>
  <c r="H2400" i="1" s="1"/>
  <c r="E2400" i="1"/>
  <c r="D2400" i="1"/>
  <c r="C2400" i="1"/>
  <c r="K2400" i="1" s="1"/>
  <c r="G2399" i="1"/>
  <c r="H2399" i="1" s="1"/>
  <c r="E2399" i="1"/>
  <c r="D2399" i="1"/>
  <c r="C2399" i="1"/>
  <c r="K2399" i="1" s="1"/>
  <c r="G2398" i="1"/>
  <c r="H2398" i="1" s="1"/>
  <c r="E2398" i="1"/>
  <c r="D2398" i="1"/>
  <c r="C2398" i="1"/>
  <c r="K2398" i="1" s="1"/>
  <c r="G2397" i="1"/>
  <c r="H2397" i="1" s="1"/>
  <c r="E2397" i="1"/>
  <c r="D2397" i="1"/>
  <c r="C2397" i="1"/>
  <c r="K2397" i="1" s="1"/>
  <c r="G2396" i="1"/>
  <c r="H2396" i="1" s="1"/>
  <c r="E2396" i="1"/>
  <c r="D2396" i="1"/>
  <c r="C2396" i="1"/>
  <c r="K2396" i="1" s="1"/>
  <c r="G2395" i="1"/>
  <c r="H2395" i="1" s="1"/>
  <c r="E2395" i="1"/>
  <c r="D2395" i="1"/>
  <c r="C2395" i="1"/>
  <c r="K2395" i="1" s="1"/>
  <c r="G2394" i="1"/>
  <c r="H2394" i="1" s="1"/>
  <c r="E2394" i="1"/>
  <c r="D2394" i="1"/>
  <c r="C2394" i="1"/>
  <c r="K2394" i="1" s="1"/>
  <c r="G2393" i="1"/>
  <c r="H2393" i="1" s="1"/>
  <c r="E2393" i="1"/>
  <c r="D2393" i="1"/>
  <c r="C2393" i="1"/>
  <c r="K2393" i="1" s="1"/>
  <c r="G2392" i="1"/>
  <c r="H2392" i="1" s="1"/>
  <c r="E2392" i="1"/>
  <c r="D2392" i="1"/>
  <c r="C2392" i="1"/>
  <c r="K2392" i="1" s="1"/>
  <c r="G2391" i="1"/>
  <c r="H2391" i="1" s="1"/>
  <c r="E2391" i="1"/>
  <c r="D2391" i="1"/>
  <c r="C2391" i="1"/>
  <c r="K2391" i="1" s="1"/>
  <c r="G2390" i="1"/>
  <c r="H2390" i="1" s="1"/>
  <c r="E2390" i="1"/>
  <c r="D2390" i="1"/>
  <c r="C2390" i="1"/>
  <c r="K2390" i="1" s="1"/>
  <c r="G2389" i="1"/>
  <c r="H2389" i="1" s="1"/>
  <c r="E2389" i="1"/>
  <c r="D2389" i="1"/>
  <c r="C2389" i="1"/>
  <c r="K2389" i="1" s="1"/>
  <c r="G2388" i="1"/>
  <c r="H2388" i="1" s="1"/>
  <c r="E2388" i="1"/>
  <c r="D2388" i="1"/>
  <c r="C2388" i="1"/>
  <c r="K2388" i="1" s="1"/>
  <c r="G2387" i="1"/>
  <c r="H2387" i="1" s="1"/>
  <c r="E2387" i="1"/>
  <c r="D2387" i="1"/>
  <c r="C2387" i="1"/>
  <c r="K2387" i="1" s="1"/>
  <c r="G2386" i="1"/>
  <c r="H2386" i="1" s="1"/>
  <c r="E2386" i="1"/>
  <c r="D2386" i="1"/>
  <c r="C2386" i="1"/>
  <c r="K2386" i="1" s="1"/>
  <c r="G2385" i="1"/>
  <c r="H2385" i="1" s="1"/>
  <c r="E2385" i="1"/>
  <c r="D2385" i="1"/>
  <c r="C2385" i="1"/>
  <c r="K2385" i="1" s="1"/>
  <c r="G2384" i="1"/>
  <c r="H2384" i="1" s="1"/>
  <c r="E2384" i="1"/>
  <c r="D2384" i="1"/>
  <c r="C2384" i="1"/>
  <c r="K2384" i="1" s="1"/>
  <c r="G2383" i="1"/>
  <c r="H2383" i="1" s="1"/>
  <c r="E2383" i="1"/>
  <c r="D2383" i="1"/>
  <c r="C2383" i="1"/>
  <c r="K2383" i="1" s="1"/>
  <c r="G2382" i="1"/>
  <c r="H2382" i="1" s="1"/>
  <c r="E2382" i="1"/>
  <c r="D2382" i="1"/>
  <c r="C2382" i="1"/>
  <c r="K2382" i="1" s="1"/>
  <c r="G2381" i="1"/>
  <c r="H2381" i="1" s="1"/>
  <c r="E2381" i="1"/>
  <c r="D2381" i="1"/>
  <c r="C2381" i="1"/>
  <c r="K2381" i="1" s="1"/>
  <c r="G2380" i="1"/>
  <c r="H2380" i="1" s="1"/>
  <c r="E2380" i="1"/>
  <c r="D2380" i="1"/>
  <c r="C2380" i="1"/>
  <c r="K2380" i="1" s="1"/>
  <c r="G2379" i="1"/>
  <c r="H2379" i="1" s="1"/>
  <c r="E2379" i="1"/>
  <c r="D2379" i="1"/>
  <c r="C2379" i="1"/>
  <c r="K2379" i="1" s="1"/>
  <c r="G2378" i="1"/>
  <c r="H2378" i="1" s="1"/>
  <c r="E2378" i="1"/>
  <c r="D2378" i="1"/>
  <c r="C2378" i="1"/>
  <c r="K2378" i="1" s="1"/>
  <c r="G2377" i="1"/>
  <c r="H2377" i="1" s="1"/>
  <c r="E2377" i="1"/>
  <c r="D2377" i="1"/>
  <c r="C2377" i="1"/>
  <c r="K2377" i="1" s="1"/>
  <c r="G2376" i="1"/>
  <c r="H2376" i="1" s="1"/>
  <c r="E2376" i="1"/>
  <c r="D2376" i="1"/>
  <c r="C2376" i="1"/>
  <c r="K2376" i="1" s="1"/>
  <c r="G2375" i="1"/>
  <c r="H2375" i="1" s="1"/>
  <c r="E2375" i="1"/>
  <c r="D2375" i="1"/>
  <c r="C2375" i="1"/>
  <c r="K2375" i="1" s="1"/>
  <c r="G2374" i="1"/>
  <c r="H2374" i="1" s="1"/>
  <c r="E2374" i="1"/>
  <c r="D2374" i="1"/>
  <c r="C2374" i="1"/>
  <c r="K2374" i="1" s="1"/>
  <c r="G2373" i="1"/>
  <c r="H2373" i="1" s="1"/>
  <c r="E2373" i="1"/>
  <c r="D2373" i="1"/>
  <c r="C2373" i="1"/>
  <c r="K2373" i="1" s="1"/>
  <c r="G2372" i="1"/>
  <c r="H2372" i="1" s="1"/>
  <c r="E2372" i="1"/>
  <c r="D2372" i="1"/>
  <c r="C2372" i="1"/>
  <c r="K2372" i="1" s="1"/>
  <c r="G2371" i="1"/>
  <c r="H2371" i="1" s="1"/>
  <c r="E2371" i="1"/>
  <c r="D2371" i="1"/>
  <c r="C2371" i="1"/>
  <c r="K2371" i="1" s="1"/>
  <c r="G2370" i="1"/>
  <c r="H2370" i="1" s="1"/>
  <c r="E2370" i="1"/>
  <c r="D2370" i="1"/>
  <c r="C2370" i="1"/>
  <c r="K2370" i="1" s="1"/>
  <c r="G2369" i="1"/>
  <c r="H2369" i="1" s="1"/>
  <c r="E2369" i="1"/>
  <c r="D2369" i="1"/>
  <c r="C2369" i="1"/>
  <c r="K2369" i="1" s="1"/>
  <c r="G2368" i="1"/>
  <c r="H2368" i="1" s="1"/>
  <c r="E2368" i="1"/>
  <c r="D2368" i="1"/>
  <c r="C2368" i="1"/>
  <c r="K2368" i="1" s="1"/>
  <c r="G2367" i="1"/>
  <c r="H2367" i="1" s="1"/>
  <c r="E2367" i="1"/>
  <c r="D2367" i="1"/>
  <c r="C2367" i="1"/>
  <c r="K2367" i="1" s="1"/>
  <c r="G2366" i="1"/>
  <c r="H2366" i="1" s="1"/>
  <c r="E2366" i="1"/>
  <c r="D2366" i="1"/>
  <c r="C2366" i="1"/>
  <c r="K2366" i="1" s="1"/>
  <c r="G2365" i="1"/>
  <c r="H2365" i="1" s="1"/>
  <c r="E2365" i="1"/>
  <c r="D2365" i="1"/>
  <c r="C2365" i="1"/>
  <c r="K2365" i="1" s="1"/>
  <c r="G2364" i="1"/>
  <c r="H2364" i="1" s="1"/>
  <c r="E2364" i="1"/>
  <c r="D2364" i="1"/>
  <c r="C2364" i="1"/>
  <c r="K2364" i="1" s="1"/>
  <c r="G2363" i="1"/>
  <c r="H2363" i="1" s="1"/>
  <c r="E2363" i="1"/>
  <c r="D2363" i="1"/>
  <c r="C2363" i="1"/>
  <c r="K2363" i="1" s="1"/>
  <c r="G2362" i="1"/>
  <c r="H2362" i="1" s="1"/>
  <c r="E2362" i="1"/>
  <c r="D2362" i="1"/>
  <c r="C2362" i="1"/>
  <c r="K2362" i="1" s="1"/>
  <c r="G2361" i="1"/>
  <c r="H2361" i="1" s="1"/>
  <c r="E2361" i="1"/>
  <c r="D2361" i="1"/>
  <c r="C2361" i="1"/>
  <c r="K2361" i="1" s="1"/>
  <c r="G2360" i="1"/>
  <c r="H2360" i="1" s="1"/>
  <c r="E2360" i="1"/>
  <c r="D2360" i="1"/>
  <c r="C2360" i="1"/>
  <c r="K2360" i="1" s="1"/>
  <c r="G2359" i="1"/>
  <c r="H2359" i="1" s="1"/>
  <c r="E2359" i="1"/>
  <c r="D2359" i="1"/>
  <c r="C2359" i="1"/>
  <c r="K2359" i="1" s="1"/>
  <c r="G2358" i="1"/>
  <c r="H2358" i="1" s="1"/>
  <c r="E2358" i="1"/>
  <c r="D2358" i="1"/>
  <c r="C2358" i="1"/>
  <c r="K2358" i="1" s="1"/>
  <c r="G2357" i="1"/>
  <c r="H2357" i="1" s="1"/>
  <c r="E2357" i="1"/>
  <c r="D2357" i="1"/>
  <c r="C2357" i="1"/>
  <c r="K2357" i="1" s="1"/>
  <c r="G2356" i="1"/>
  <c r="H2356" i="1" s="1"/>
  <c r="E2356" i="1"/>
  <c r="D2356" i="1"/>
  <c r="C2356" i="1"/>
  <c r="K2356" i="1" s="1"/>
  <c r="G2355" i="1"/>
  <c r="H2355" i="1" s="1"/>
  <c r="E2355" i="1"/>
  <c r="D2355" i="1"/>
  <c r="C2355" i="1"/>
  <c r="K2355" i="1" s="1"/>
  <c r="G2354" i="1"/>
  <c r="H2354" i="1" s="1"/>
  <c r="E2354" i="1"/>
  <c r="D2354" i="1"/>
  <c r="C2354" i="1"/>
  <c r="K2354" i="1" s="1"/>
  <c r="G2353" i="1"/>
  <c r="H2353" i="1" s="1"/>
  <c r="E2353" i="1"/>
  <c r="D2353" i="1"/>
  <c r="C2353" i="1"/>
  <c r="K2353" i="1" s="1"/>
  <c r="G2352" i="1"/>
  <c r="H2352" i="1" s="1"/>
  <c r="E2352" i="1"/>
  <c r="D2352" i="1"/>
  <c r="C2352" i="1"/>
  <c r="K2352" i="1" s="1"/>
  <c r="G2351" i="1"/>
  <c r="H2351" i="1" s="1"/>
  <c r="E2351" i="1"/>
  <c r="D2351" i="1"/>
  <c r="C2351" i="1"/>
  <c r="K2351" i="1" s="1"/>
  <c r="G2350" i="1"/>
  <c r="H2350" i="1" s="1"/>
  <c r="E2350" i="1"/>
  <c r="D2350" i="1"/>
  <c r="C2350" i="1"/>
  <c r="K2350" i="1" s="1"/>
  <c r="G2349" i="1"/>
  <c r="H2349" i="1" s="1"/>
  <c r="E2349" i="1"/>
  <c r="D2349" i="1"/>
  <c r="C2349" i="1"/>
  <c r="K2349" i="1" s="1"/>
  <c r="G2348" i="1"/>
  <c r="H2348" i="1" s="1"/>
  <c r="E2348" i="1"/>
  <c r="D2348" i="1"/>
  <c r="C2348" i="1"/>
  <c r="K2348" i="1" s="1"/>
  <c r="G2347" i="1"/>
  <c r="H2347" i="1" s="1"/>
  <c r="E2347" i="1"/>
  <c r="D2347" i="1"/>
  <c r="C2347" i="1"/>
  <c r="K2347" i="1" s="1"/>
  <c r="G2346" i="1"/>
  <c r="H2346" i="1" s="1"/>
  <c r="E2346" i="1"/>
  <c r="D2346" i="1"/>
  <c r="C2346" i="1"/>
  <c r="K2346" i="1" s="1"/>
  <c r="G2345" i="1"/>
  <c r="H2345" i="1" s="1"/>
  <c r="E2345" i="1"/>
  <c r="D2345" i="1"/>
  <c r="C2345" i="1"/>
  <c r="K2345" i="1" s="1"/>
  <c r="G2344" i="1"/>
  <c r="H2344" i="1" s="1"/>
  <c r="E2344" i="1"/>
  <c r="D2344" i="1"/>
  <c r="C2344" i="1"/>
  <c r="K2344" i="1" s="1"/>
  <c r="G2343" i="1"/>
  <c r="H2343" i="1" s="1"/>
  <c r="E2343" i="1"/>
  <c r="D2343" i="1"/>
  <c r="C2343" i="1"/>
  <c r="K2343" i="1" s="1"/>
  <c r="G2342" i="1"/>
  <c r="H2342" i="1" s="1"/>
  <c r="E2342" i="1"/>
  <c r="D2342" i="1"/>
  <c r="C2342" i="1"/>
  <c r="K2342" i="1" s="1"/>
  <c r="G2341" i="1"/>
  <c r="H2341" i="1" s="1"/>
  <c r="E2341" i="1"/>
  <c r="D2341" i="1"/>
  <c r="C2341" i="1"/>
  <c r="K2341" i="1" s="1"/>
  <c r="G2340" i="1"/>
  <c r="H2340" i="1" s="1"/>
  <c r="E2340" i="1"/>
  <c r="D2340" i="1"/>
  <c r="C2340" i="1"/>
  <c r="K2340" i="1" s="1"/>
  <c r="G2339" i="1"/>
  <c r="H2339" i="1" s="1"/>
  <c r="E2339" i="1"/>
  <c r="D2339" i="1"/>
  <c r="C2339" i="1"/>
  <c r="K2339" i="1" s="1"/>
  <c r="G2338" i="1"/>
  <c r="H2338" i="1" s="1"/>
  <c r="E2338" i="1"/>
  <c r="D2338" i="1"/>
  <c r="C2338" i="1"/>
  <c r="K2338" i="1" s="1"/>
  <c r="G2337" i="1"/>
  <c r="H2337" i="1" s="1"/>
  <c r="E2337" i="1"/>
  <c r="D2337" i="1"/>
  <c r="C2337" i="1"/>
  <c r="K2337" i="1" s="1"/>
  <c r="G2336" i="1"/>
  <c r="H2336" i="1" s="1"/>
  <c r="E2336" i="1"/>
  <c r="D2336" i="1"/>
  <c r="C2336" i="1"/>
  <c r="K2336" i="1" s="1"/>
  <c r="G2335" i="1"/>
  <c r="H2335" i="1" s="1"/>
  <c r="E2335" i="1"/>
  <c r="D2335" i="1"/>
  <c r="C2335" i="1"/>
  <c r="K2335" i="1" s="1"/>
  <c r="G2334" i="1"/>
  <c r="H2334" i="1" s="1"/>
  <c r="E2334" i="1"/>
  <c r="D2334" i="1"/>
  <c r="C2334" i="1"/>
  <c r="K2334" i="1" s="1"/>
  <c r="G2333" i="1"/>
  <c r="H2333" i="1" s="1"/>
  <c r="E2333" i="1"/>
  <c r="D2333" i="1"/>
  <c r="C2333" i="1"/>
  <c r="K2333" i="1" s="1"/>
  <c r="G2332" i="1"/>
  <c r="H2332" i="1" s="1"/>
  <c r="E2332" i="1"/>
  <c r="D2332" i="1"/>
  <c r="C2332" i="1"/>
  <c r="K2332" i="1" s="1"/>
  <c r="G2331" i="1"/>
  <c r="H2331" i="1" s="1"/>
  <c r="E2331" i="1"/>
  <c r="D2331" i="1"/>
  <c r="C2331" i="1"/>
  <c r="K2331" i="1" s="1"/>
  <c r="G2330" i="1"/>
  <c r="H2330" i="1" s="1"/>
  <c r="E2330" i="1"/>
  <c r="D2330" i="1"/>
  <c r="C2330" i="1"/>
  <c r="K2330" i="1" s="1"/>
  <c r="G2329" i="1"/>
  <c r="H2329" i="1" s="1"/>
  <c r="E2329" i="1"/>
  <c r="D2329" i="1"/>
  <c r="C2329" i="1"/>
  <c r="K2329" i="1" s="1"/>
  <c r="G2328" i="1"/>
  <c r="H2328" i="1" s="1"/>
  <c r="E2328" i="1"/>
  <c r="D2328" i="1"/>
  <c r="C2328" i="1"/>
  <c r="K2328" i="1" s="1"/>
  <c r="G2327" i="1"/>
  <c r="H2327" i="1" s="1"/>
  <c r="E2327" i="1"/>
  <c r="D2327" i="1"/>
  <c r="C2327" i="1"/>
  <c r="K2327" i="1" s="1"/>
  <c r="G2326" i="1"/>
  <c r="H2326" i="1" s="1"/>
  <c r="E2326" i="1"/>
  <c r="D2326" i="1"/>
  <c r="C2326" i="1"/>
  <c r="K2326" i="1" s="1"/>
  <c r="G2325" i="1"/>
  <c r="H2325" i="1" s="1"/>
  <c r="E2325" i="1"/>
  <c r="D2325" i="1"/>
  <c r="C2325" i="1"/>
  <c r="K2325" i="1" s="1"/>
  <c r="G2324" i="1"/>
  <c r="H2324" i="1" s="1"/>
  <c r="E2324" i="1"/>
  <c r="D2324" i="1"/>
  <c r="C2324" i="1"/>
  <c r="K2324" i="1" s="1"/>
  <c r="G2323" i="1"/>
  <c r="H2323" i="1" s="1"/>
  <c r="E2323" i="1"/>
  <c r="D2323" i="1"/>
  <c r="C2323" i="1"/>
  <c r="K2323" i="1" s="1"/>
  <c r="G2322" i="1"/>
  <c r="H2322" i="1" s="1"/>
  <c r="E2322" i="1"/>
  <c r="D2322" i="1"/>
  <c r="C2322" i="1"/>
  <c r="K2322" i="1" s="1"/>
  <c r="G2321" i="1"/>
  <c r="H2321" i="1" s="1"/>
  <c r="E2321" i="1"/>
  <c r="D2321" i="1"/>
  <c r="C2321" i="1"/>
  <c r="K2321" i="1" s="1"/>
  <c r="G2320" i="1"/>
  <c r="H2320" i="1" s="1"/>
  <c r="E2320" i="1"/>
  <c r="D2320" i="1"/>
  <c r="C2320" i="1"/>
  <c r="K2320" i="1" s="1"/>
  <c r="G2319" i="1"/>
  <c r="H2319" i="1" s="1"/>
  <c r="E2319" i="1"/>
  <c r="D2319" i="1"/>
  <c r="C2319" i="1"/>
  <c r="K2319" i="1" s="1"/>
  <c r="G2318" i="1"/>
  <c r="H2318" i="1" s="1"/>
  <c r="E2318" i="1"/>
  <c r="D2318" i="1"/>
  <c r="C2318" i="1"/>
  <c r="K2318" i="1" s="1"/>
  <c r="G2317" i="1"/>
  <c r="H2317" i="1" s="1"/>
  <c r="E2317" i="1"/>
  <c r="D2317" i="1"/>
  <c r="C2317" i="1"/>
  <c r="K2317" i="1" s="1"/>
  <c r="G2316" i="1"/>
  <c r="H2316" i="1" s="1"/>
  <c r="E2316" i="1"/>
  <c r="D2316" i="1"/>
  <c r="C2316" i="1"/>
  <c r="K2316" i="1" s="1"/>
  <c r="G2315" i="1"/>
  <c r="H2315" i="1" s="1"/>
  <c r="E2315" i="1"/>
  <c r="D2315" i="1"/>
  <c r="C2315" i="1"/>
  <c r="K2315" i="1" s="1"/>
  <c r="G2314" i="1"/>
  <c r="H2314" i="1" s="1"/>
  <c r="E2314" i="1"/>
  <c r="D2314" i="1"/>
  <c r="C2314" i="1"/>
  <c r="K2314" i="1" s="1"/>
  <c r="G2313" i="1"/>
  <c r="H2313" i="1" s="1"/>
  <c r="E2313" i="1"/>
  <c r="D2313" i="1"/>
  <c r="C2313" i="1"/>
  <c r="K2313" i="1" s="1"/>
  <c r="G2312" i="1"/>
  <c r="H2312" i="1" s="1"/>
  <c r="E2312" i="1"/>
  <c r="D2312" i="1"/>
  <c r="C2312" i="1"/>
  <c r="K2312" i="1" s="1"/>
  <c r="G2311" i="1"/>
  <c r="H2311" i="1" s="1"/>
  <c r="E2311" i="1"/>
  <c r="D2311" i="1"/>
  <c r="C2311" i="1"/>
  <c r="K2311" i="1" s="1"/>
  <c r="G2310" i="1"/>
  <c r="H2310" i="1" s="1"/>
  <c r="E2310" i="1"/>
  <c r="D2310" i="1"/>
  <c r="C2310" i="1"/>
  <c r="K2310" i="1" s="1"/>
  <c r="G2309" i="1"/>
  <c r="H2309" i="1" s="1"/>
  <c r="E2309" i="1"/>
  <c r="D2309" i="1"/>
  <c r="C2309" i="1"/>
  <c r="K2309" i="1" s="1"/>
  <c r="G2308" i="1"/>
  <c r="H2308" i="1" s="1"/>
  <c r="E2308" i="1"/>
  <c r="D2308" i="1"/>
  <c r="C2308" i="1"/>
  <c r="K2308" i="1" s="1"/>
  <c r="G2307" i="1"/>
  <c r="H2307" i="1" s="1"/>
  <c r="E2307" i="1"/>
  <c r="D2307" i="1"/>
  <c r="C2307" i="1"/>
  <c r="K2307" i="1" s="1"/>
  <c r="G2306" i="1"/>
  <c r="H2306" i="1" s="1"/>
  <c r="E2306" i="1"/>
  <c r="D2306" i="1"/>
  <c r="C2306" i="1"/>
  <c r="K2306" i="1" s="1"/>
  <c r="G2305" i="1"/>
  <c r="H2305" i="1" s="1"/>
  <c r="E2305" i="1"/>
  <c r="D2305" i="1"/>
  <c r="C2305" i="1"/>
  <c r="K2305" i="1" s="1"/>
  <c r="G2304" i="1"/>
  <c r="H2304" i="1" s="1"/>
  <c r="E2304" i="1"/>
  <c r="D2304" i="1"/>
  <c r="C2304" i="1"/>
  <c r="K2304" i="1" s="1"/>
  <c r="G2303" i="1"/>
  <c r="H2303" i="1" s="1"/>
  <c r="E2303" i="1"/>
  <c r="D2303" i="1"/>
  <c r="C2303" i="1"/>
  <c r="K2303" i="1" s="1"/>
  <c r="G2302" i="1"/>
  <c r="H2302" i="1" s="1"/>
  <c r="E2302" i="1"/>
  <c r="D2302" i="1"/>
  <c r="C2302" i="1"/>
  <c r="K2302" i="1" s="1"/>
  <c r="G2301" i="1"/>
  <c r="H2301" i="1" s="1"/>
  <c r="E2301" i="1"/>
  <c r="D2301" i="1"/>
  <c r="C2301" i="1"/>
  <c r="K2301" i="1" s="1"/>
  <c r="G2300" i="1"/>
  <c r="H2300" i="1" s="1"/>
  <c r="E2300" i="1"/>
  <c r="D2300" i="1"/>
  <c r="C2300" i="1"/>
  <c r="K2300" i="1" s="1"/>
  <c r="G2299" i="1"/>
  <c r="H2299" i="1" s="1"/>
  <c r="E2299" i="1"/>
  <c r="D2299" i="1"/>
  <c r="C2299" i="1"/>
  <c r="K2299" i="1" s="1"/>
  <c r="G2298" i="1"/>
  <c r="H2298" i="1" s="1"/>
  <c r="E2298" i="1"/>
  <c r="D2298" i="1"/>
  <c r="C2298" i="1"/>
  <c r="K2298" i="1" s="1"/>
  <c r="G2297" i="1"/>
  <c r="H2297" i="1" s="1"/>
  <c r="E2297" i="1"/>
  <c r="D2297" i="1"/>
  <c r="C2297" i="1"/>
  <c r="K2297" i="1" s="1"/>
  <c r="G2296" i="1"/>
  <c r="H2296" i="1" s="1"/>
  <c r="E2296" i="1"/>
  <c r="D2296" i="1"/>
  <c r="C2296" i="1"/>
  <c r="K2296" i="1" s="1"/>
  <c r="G2295" i="1"/>
  <c r="H2295" i="1" s="1"/>
  <c r="E2295" i="1"/>
  <c r="D2295" i="1"/>
  <c r="C2295" i="1"/>
  <c r="K2295" i="1" s="1"/>
  <c r="G2294" i="1"/>
  <c r="H2294" i="1" s="1"/>
  <c r="E2294" i="1"/>
  <c r="D2294" i="1"/>
  <c r="C2294" i="1"/>
  <c r="K2294" i="1" s="1"/>
  <c r="G2293" i="1"/>
  <c r="H2293" i="1" s="1"/>
  <c r="E2293" i="1"/>
  <c r="D2293" i="1"/>
  <c r="C2293" i="1"/>
  <c r="K2293" i="1" s="1"/>
  <c r="G2292" i="1"/>
  <c r="H2292" i="1" s="1"/>
  <c r="E2292" i="1"/>
  <c r="D2292" i="1"/>
  <c r="C2292" i="1"/>
  <c r="K2292" i="1" s="1"/>
  <c r="G2291" i="1"/>
  <c r="H2291" i="1" s="1"/>
  <c r="E2291" i="1"/>
  <c r="D2291" i="1"/>
  <c r="C2291" i="1"/>
  <c r="K2291" i="1" s="1"/>
  <c r="G2290" i="1"/>
  <c r="H2290" i="1" s="1"/>
  <c r="E2290" i="1"/>
  <c r="D2290" i="1"/>
  <c r="C2290" i="1"/>
  <c r="K2290" i="1" s="1"/>
  <c r="G2289" i="1"/>
  <c r="H2289" i="1" s="1"/>
  <c r="E2289" i="1"/>
  <c r="D2289" i="1"/>
  <c r="C2289" i="1"/>
  <c r="K2289" i="1" s="1"/>
  <c r="G2288" i="1"/>
  <c r="H2288" i="1" s="1"/>
  <c r="E2288" i="1"/>
  <c r="D2288" i="1"/>
  <c r="C2288" i="1"/>
  <c r="K2288" i="1" s="1"/>
  <c r="G2287" i="1"/>
  <c r="H2287" i="1" s="1"/>
  <c r="E2287" i="1"/>
  <c r="D2287" i="1"/>
  <c r="C2287" i="1"/>
  <c r="K2287" i="1" s="1"/>
  <c r="G2286" i="1"/>
  <c r="H2286" i="1" s="1"/>
  <c r="E2286" i="1"/>
  <c r="D2286" i="1"/>
  <c r="C2286" i="1"/>
  <c r="K2286" i="1" s="1"/>
  <c r="G2285" i="1"/>
  <c r="H2285" i="1" s="1"/>
  <c r="E2285" i="1"/>
  <c r="D2285" i="1"/>
  <c r="C2285" i="1"/>
  <c r="K2285" i="1" s="1"/>
  <c r="G2284" i="1"/>
  <c r="H2284" i="1" s="1"/>
  <c r="E2284" i="1"/>
  <c r="D2284" i="1"/>
  <c r="C2284" i="1"/>
  <c r="K2284" i="1" s="1"/>
  <c r="G2283" i="1"/>
  <c r="H2283" i="1" s="1"/>
  <c r="E2283" i="1"/>
  <c r="D2283" i="1"/>
  <c r="C2283" i="1"/>
  <c r="K2283" i="1" s="1"/>
  <c r="G2282" i="1"/>
  <c r="H2282" i="1" s="1"/>
  <c r="E2282" i="1"/>
  <c r="D2282" i="1"/>
  <c r="C2282" i="1"/>
  <c r="K2282" i="1" s="1"/>
  <c r="G2281" i="1"/>
  <c r="H2281" i="1" s="1"/>
  <c r="E2281" i="1"/>
  <c r="D2281" i="1"/>
  <c r="C2281" i="1"/>
  <c r="K2281" i="1" s="1"/>
  <c r="G2280" i="1"/>
  <c r="H2280" i="1" s="1"/>
  <c r="E2280" i="1"/>
  <c r="D2280" i="1"/>
  <c r="C2280" i="1"/>
  <c r="K2280" i="1" s="1"/>
  <c r="G2279" i="1"/>
  <c r="H2279" i="1" s="1"/>
  <c r="E2279" i="1"/>
  <c r="D2279" i="1"/>
  <c r="C2279" i="1"/>
  <c r="K2279" i="1" s="1"/>
  <c r="G2278" i="1"/>
  <c r="H2278" i="1" s="1"/>
  <c r="E2278" i="1"/>
  <c r="D2278" i="1"/>
  <c r="C2278" i="1"/>
  <c r="K2278" i="1" s="1"/>
  <c r="G2277" i="1"/>
  <c r="H2277" i="1" s="1"/>
  <c r="E2277" i="1"/>
  <c r="D2277" i="1"/>
  <c r="C2277" i="1"/>
  <c r="K2277" i="1" s="1"/>
  <c r="G2276" i="1"/>
  <c r="H2276" i="1" s="1"/>
  <c r="E2276" i="1"/>
  <c r="D2276" i="1"/>
  <c r="C2276" i="1"/>
  <c r="K2276" i="1" s="1"/>
  <c r="G2275" i="1"/>
  <c r="H2275" i="1" s="1"/>
  <c r="E2275" i="1"/>
  <c r="D2275" i="1"/>
  <c r="C2275" i="1"/>
  <c r="K2275" i="1" s="1"/>
  <c r="G2274" i="1"/>
  <c r="H2274" i="1" s="1"/>
  <c r="E2274" i="1"/>
  <c r="D2274" i="1"/>
  <c r="C2274" i="1"/>
  <c r="K2274" i="1" s="1"/>
  <c r="G2273" i="1"/>
  <c r="H2273" i="1" s="1"/>
  <c r="E2273" i="1"/>
  <c r="D2273" i="1"/>
  <c r="C2273" i="1"/>
  <c r="K2273" i="1" s="1"/>
  <c r="G2272" i="1"/>
  <c r="H2272" i="1" s="1"/>
  <c r="E2272" i="1"/>
  <c r="D2272" i="1"/>
  <c r="C2272" i="1"/>
  <c r="K2272" i="1" s="1"/>
  <c r="G2271" i="1"/>
  <c r="H2271" i="1" s="1"/>
  <c r="E2271" i="1"/>
  <c r="D2271" i="1"/>
  <c r="C2271" i="1"/>
  <c r="K2271" i="1" s="1"/>
  <c r="G2270" i="1"/>
  <c r="H2270" i="1" s="1"/>
  <c r="E2270" i="1"/>
  <c r="D2270" i="1"/>
  <c r="C2270" i="1"/>
  <c r="K2270" i="1" s="1"/>
  <c r="G2269" i="1"/>
  <c r="H2269" i="1" s="1"/>
  <c r="E2269" i="1"/>
  <c r="D2269" i="1"/>
  <c r="C2269" i="1"/>
  <c r="K2269" i="1" s="1"/>
  <c r="G2268" i="1"/>
  <c r="H2268" i="1" s="1"/>
  <c r="E2268" i="1"/>
  <c r="D2268" i="1"/>
  <c r="C2268" i="1"/>
  <c r="K2268" i="1" s="1"/>
  <c r="G2267" i="1"/>
  <c r="H2267" i="1" s="1"/>
  <c r="E2267" i="1"/>
  <c r="D2267" i="1"/>
  <c r="C2267" i="1"/>
  <c r="K2267" i="1" s="1"/>
  <c r="G2266" i="1"/>
  <c r="H2266" i="1" s="1"/>
  <c r="E2266" i="1"/>
  <c r="D2266" i="1"/>
  <c r="C2266" i="1"/>
  <c r="K2266" i="1" s="1"/>
  <c r="G2265" i="1"/>
  <c r="H2265" i="1" s="1"/>
  <c r="E2265" i="1"/>
  <c r="D2265" i="1"/>
  <c r="C2265" i="1"/>
  <c r="K2265" i="1" s="1"/>
  <c r="G2264" i="1"/>
  <c r="H2264" i="1" s="1"/>
  <c r="E2264" i="1"/>
  <c r="D2264" i="1"/>
  <c r="C2264" i="1"/>
  <c r="K2264" i="1" s="1"/>
  <c r="G2263" i="1"/>
  <c r="H2263" i="1" s="1"/>
  <c r="E2263" i="1"/>
  <c r="D2263" i="1"/>
  <c r="C2263" i="1"/>
  <c r="K2263" i="1" s="1"/>
  <c r="G2262" i="1"/>
  <c r="H2262" i="1" s="1"/>
  <c r="E2262" i="1"/>
  <c r="D2262" i="1"/>
  <c r="C2262" i="1"/>
  <c r="K2262" i="1" s="1"/>
  <c r="G2261" i="1"/>
  <c r="H2261" i="1" s="1"/>
  <c r="E2261" i="1"/>
  <c r="D2261" i="1"/>
  <c r="C2261" i="1"/>
  <c r="K2261" i="1" s="1"/>
  <c r="G2260" i="1"/>
  <c r="H2260" i="1" s="1"/>
  <c r="E2260" i="1"/>
  <c r="D2260" i="1"/>
  <c r="C2260" i="1"/>
  <c r="K2260" i="1" s="1"/>
  <c r="G2259" i="1"/>
  <c r="H2259" i="1" s="1"/>
  <c r="E2259" i="1"/>
  <c r="D2259" i="1"/>
  <c r="C2259" i="1"/>
  <c r="K2259" i="1" s="1"/>
  <c r="G2258" i="1"/>
  <c r="H2258" i="1" s="1"/>
  <c r="E2258" i="1"/>
  <c r="D2258" i="1"/>
  <c r="C2258" i="1"/>
  <c r="K2258" i="1" s="1"/>
  <c r="G2257" i="1"/>
  <c r="H2257" i="1" s="1"/>
  <c r="E2257" i="1"/>
  <c r="D2257" i="1"/>
  <c r="C2257" i="1"/>
  <c r="K2257" i="1" s="1"/>
  <c r="G2256" i="1"/>
  <c r="H2256" i="1" s="1"/>
  <c r="E2256" i="1"/>
  <c r="D2256" i="1"/>
  <c r="C2256" i="1"/>
  <c r="K2256" i="1" s="1"/>
  <c r="G2255" i="1"/>
  <c r="H2255" i="1" s="1"/>
  <c r="E2255" i="1"/>
  <c r="D2255" i="1"/>
  <c r="C2255" i="1"/>
  <c r="K2255" i="1" s="1"/>
  <c r="G2254" i="1"/>
  <c r="H2254" i="1" s="1"/>
  <c r="E2254" i="1"/>
  <c r="D2254" i="1"/>
  <c r="C2254" i="1"/>
  <c r="K2254" i="1" s="1"/>
  <c r="G2253" i="1"/>
  <c r="H2253" i="1" s="1"/>
  <c r="E2253" i="1"/>
  <c r="D2253" i="1"/>
  <c r="C2253" i="1"/>
  <c r="K2253" i="1" s="1"/>
  <c r="G2252" i="1"/>
  <c r="H2252" i="1" s="1"/>
  <c r="E2252" i="1"/>
  <c r="D2252" i="1"/>
  <c r="C2252" i="1"/>
  <c r="K2252" i="1" s="1"/>
  <c r="G2251" i="1"/>
  <c r="H2251" i="1" s="1"/>
  <c r="E2251" i="1"/>
  <c r="D2251" i="1"/>
  <c r="C2251" i="1"/>
  <c r="K2251" i="1" s="1"/>
  <c r="G2250" i="1"/>
  <c r="H2250" i="1" s="1"/>
  <c r="E2250" i="1"/>
  <c r="D2250" i="1"/>
  <c r="C2250" i="1"/>
  <c r="K2250" i="1" s="1"/>
  <c r="G2249" i="1"/>
  <c r="H2249" i="1" s="1"/>
  <c r="E2249" i="1"/>
  <c r="D2249" i="1"/>
  <c r="C2249" i="1"/>
  <c r="K2249" i="1" s="1"/>
  <c r="G2248" i="1"/>
  <c r="H2248" i="1" s="1"/>
  <c r="E2248" i="1"/>
  <c r="D2248" i="1"/>
  <c r="C2248" i="1"/>
  <c r="K2248" i="1" s="1"/>
  <c r="G2247" i="1"/>
  <c r="H2247" i="1" s="1"/>
  <c r="E2247" i="1"/>
  <c r="D2247" i="1"/>
  <c r="C2247" i="1"/>
  <c r="K2247" i="1" s="1"/>
  <c r="G2246" i="1"/>
  <c r="H2246" i="1" s="1"/>
  <c r="E2246" i="1"/>
  <c r="D2246" i="1"/>
  <c r="C2246" i="1"/>
  <c r="K2246" i="1" s="1"/>
  <c r="G2245" i="1"/>
  <c r="H2245" i="1" s="1"/>
  <c r="E2245" i="1"/>
  <c r="D2245" i="1"/>
  <c r="C2245" i="1"/>
  <c r="K2245" i="1" s="1"/>
  <c r="G2244" i="1"/>
  <c r="H2244" i="1" s="1"/>
  <c r="E2244" i="1"/>
  <c r="D2244" i="1"/>
  <c r="C2244" i="1"/>
  <c r="K2244" i="1" s="1"/>
  <c r="G2243" i="1"/>
  <c r="H2243" i="1" s="1"/>
  <c r="E2243" i="1"/>
  <c r="D2243" i="1"/>
  <c r="C2243" i="1"/>
  <c r="K2243" i="1" s="1"/>
  <c r="G2242" i="1"/>
  <c r="H2242" i="1" s="1"/>
  <c r="E2242" i="1"/>
  <c r="D2242" i="1"/>
  <c r="C2242" i="1"/>
  <c r="K2242" i="1" s="1"/>
  <c r="G2241" i="1"/>
  <c r="H2241" i="1" s="1"/>
  <c r="E2241" i="1"/>
  <c r="D2241" i="1"/>
  <c r="C2241" i="1"/>
  <c r="K2241" i="1" s="1"/>
  <c r="G2240" i="1"/>
  <c r="H2240" i="1" s="1"/>
  <c r="E2240" i="1"/>
  <c r="D2240" i="1"/>
  <c r="C2240" i="1"/>
  <c r="K2240" i="1" s="1"/>
  <c r="G2239" i="1"/>
  <c r="H2239" i="1" s="1"/>
  <c r="E2239" i="1"/>
  <c r="D2239" i="1"/>
  <c r="C2239" i="1"/>
  <c r="K2239" i="1" s="1"/>
  <c r="G2238" i="1"/>
  <c r="H2238" i="1" s="1"/>
  <c r="E2238" i="1"/>
  <c r="D2238" i="1"/>
  <c r="C2238" i="1"/>
  <c r="K2238" i="1" s="1"/>
  <c r="G2237" i="1"/>
  <c r="H2237" i="1" s="1"/>
  <c r="E2237" i="1"/>
  <c r="D2237" i="1"/>
  <c r="C2237" i="1"/>
  <c r="K2237" i="1" s="1"/>
  <c r="G2236" i="1"/>
  <c r="H2236" i="1" s="1"/>
  <c r="E2236" i="1"/>
  <c r="D2236" i="1"/>
  <c r="C2236" i="1"/>
  <c r="K2236" i="1" s="1"/>
  <c r="G2235" i="1"/>
  <c r="H2235" i="1" s="1"/>
  <c r="E2235" i="1"/>
  <c r="D2235" i="1"/>
  <c r="C2235" i="1"/>
  <c r="K2235" i="1" s="1"/>
  <c r="G2234" i="1"/>
  <c r="H2234" i="1" s="1"/>
  <c r="E2234" i="1"/>
  <c r="D2234" i="1"/>
  <c r="C2234" i="1"/>
  <c r="K2234" i="1" s="1"/>
  <c r="G2233" i="1"/>
  <c r="H2233" i="1" s="1"/>
  <c r="E2233" i="1"/>
  <c r="D2233" i="1"/>
  <c r="C2233" i="1"/>
  <c r="K2233" i="1" s="1"/>
  <c r="G2232" i="1"/>
  <c r="H2232" i="1" s="1"/>
  <c r="E2232" i="1"/>
  <c r="D2232" i="1"/>
  <c r="C2232" i="1"/>
  <c r="K2232" i="1" s="1"/>
  <c r="G2231" i="1"/>
  <c r="H2231" i="1" s="1"/>
  <c r="E2231" i="1"/>
  <c r="D2231" i="1"/>
  <c r="C2231" i="1"/>
  <c r="K2231" i="1" s="1"/>
  <c r="G2230" i="1"/>
  <c r="H2230" i="1" s="1"/>
  <c r="E2230" i="1"/>
  <c r="D2230" i="1"/>
  <c r="C2230" i="1"/>
  <c r="K2230" i="1" s="1"/>
  <c r="G2229" i="1"/>
  <c r="H2229" i="1" s="1"/>
  <c r="E2229" i="1"/>
  <c r="D2229" i="1"/>
  <c r="C2229" i="1"/>
  <c r="K2229" i="1" s="1"/>
  <c r="G2228" i="1"/>
  <c r="H2228" i="1" s="1"/>
  <c r="E2228" i="1"/>
  <c r="D2228" i="1"/>
  <c r="C2228" i="1"/>
  <c r="K2228" i="1" s="1"/>
  <c r="G2227" i="1"/>
  <c r="H2227" i="1" s="1"/>
  <c r="E2227" i="1"/>
  <c r="D2227" i="1"/>
  <c r="C2227" i="1"/>
  <c r="K2227" i="1" s="1"/>
  <c r="G2226" i="1"/>
  <c r="H2226" i="1" s="1"/>
  <c r="E2226" i="1"/>
  <c r="D2226" i="1"/>
  <c r="C2226" i="1"/>
  <c r="K2226" i="1" s="1"/>
  <c r="G2225" i="1"/>
  <c r="H2225" i="1" s="1"/>
  <c r="E2225" i="1"/>
  <c r="D2225" i="1"/>
  <c r="C2225" i="1"/>
  <c r="K2225" i="1" s="1"/>
  <c r="G2224" i="1"/>
  <c r="H2224" i="1" s="1"/>
  <c r="E2224" i="1"/>
  <c r="D2224" i="1"/>
  <c r="C2224" i="1"/>
  <c r="K2224" i="1" s="1"/>
  <c r="G2223" i="1"/>
  <c r="H2223" i="1" s="1"/>
  <c r="E2223" i="1"/>
  <c r="D2223" i="1"/>
  <c r="C2223" i="1"/>
  <c r="K2223" i="1" s="1"/>
  <c r="G2222" i="1"/>
  <c r="H2222" i="1" s="1"/>
  <c r="E2222" i="1"/>
  <c r="D2222" i="1"/>
  <c r="C2222" i="1"/>
  <c r="K2222" i="1" s="1"/>
  <c r="G2221" i="1"/>
  <c r="H2221" i="1" s="1"/>
  <c r="E2221" i="1"/>
  <c r="D2221" i="1"/>
  <c r="C2221" i="1"/>
  <c r="K2221" i="1" s="1"/>
  <c r="G2220" i="1"/>
  <c r="H2220" i="1" s="1"/>
  <c r="E2220" i="1"/>
  <c r="D2220" i="1"/>
  <c r="C2220" i="1"/>
  <c r="K2220" i="1" s="1"/>
  <c r="G2219" i="1"/>
  <c r="H2219" i="1" s="1"/>
  <c r="E2219" i="1"/>
  <c r="D2219" i="1"/>
  <c r="C2219" i="1"/>
  <c r="K2219" i="1" s="1"/>
  <c r="G2218" i="1"/>
  <c r="H2218" i="1" s="1"/>
  <c r="E2218" i="1"/>
  <c r="D2218" i="1"/>
  <c r="C2218" i="1"/>
  <c r="K2218" i="1" s="1"/>
  <c r="G2217" i="1"/>
  <c r="H2217" i="1" s="1"/>
  <c r="E2217" i="1"/>
  <c r="D2217" i="1"/>
  <c r="C2217" i="1"/>
  <c r="K2217" i="1" s="1"/>
  <c r="G2216" i="1"/>
  <c r="H2216" i="1" s="1"/>
  <c r="E2216" i="1"/>
  <c r="D2216" i="1"/>
  <c r="C2216" i="1"/>
  <c r="K2216" i="1" s="1"/>
  <c r="G2215" i="1"/>
  <c r="H2215" i="1" s="1"/>
  <c r="E2215" i="1"/>
  <c r="D2215" i="1"/>
  <c r="C2215" i="1"/>
  <c r="K2215" i="1" s="1"/>
  <c r="G2214" i="1"/>
  <c r="H2214" i="1" s="1"/>
  <c r="E2214" i="1"/>
  <c r="D2214" i="1"/>
  <c r="C2214" i="1"/>
  <c r="K2214" i="1" s="1"/>
  <c r="G2213" i="1"/>
  <c r="H2213" i="1" s="1"/>
  <c r="E2213" i="1"/>
  <c r="D2213" i="1"/>
  <c r="C2213" i="1"/>
  <c r="K2213" i="1" s="1"/>
  <c r="G2212" i="1"/>
  <c r="H2212" i="1" s="1"/>
  <c r="E2212" i="1"/>
  <c r="D2212" i="1"/>
  <c r="C2212" i="1"/>
  <c r="K2212" i="1" s="1"/>
  <c r="G2211" i="1"/>
  <c r="H2211" i="1" s="1"/>
  <c r="E2211" i="1"/>
  <c r="D2211" i="1"/>
  <c r="C2211" i="1"/>
  <c r="K2211" i="1" s="1"/>
  <c r="G2210" i="1"/>
  <c r="H2210" i="1" s="1"/>
  <c r="E2210" i="1"/>
  <c r="D2210" i="1"/>
  <c r="C2210" i="1"/>
  <c r="K2210" i="1" s="1"/>
  <c r="G2209" i="1"/>
  <c r="H2209" i="1" s="1"/>
  <c r="E2209" i="1"/>
  <c r="D2209" i="1"/>
  <c r="C2209" i="1"/>
  <c r="K2209" i="1" s="1"/>
  <c r="G2208" i="1"/>
  <c r="H2208" i="1" s="1"/>
  <c r="E2208" i="1"/>
  <c r="D2208" i="1"/>
  <c r="C2208" i="1"/>
  <c r="K2208" i="1" s="1"/>
  <c r="G2207" i="1"/>
  <c r="H2207" i="1" s="1"/>
  <c r="E2207" i="1"/>
  <c r="D2207" i="1"/>
  <c r="C2207" i="1"/>
  <c r="K2207" i="1" s="1"/>
  <c r="G2206" i="1"/>
  <c r="H2206" i="1" s="1"/>
  <c r="E2206" i="1"/>
  <c r="D2206" i="1"/>
  <c r="C2206" i="1"/>
  <c r="K2206" i="1" s="1"/>
  <c r="G2205" i="1"/>
  <c r="H2205" i="1" s="1"/>
  <c r="E2205" i="1"/>
  <c r="D2205" i="1"/>
  <c r="C2205" i="1"/>
  <c r="K2205" i="1" s="1"/>
  <c r="G2204" i="1"/>
  <c r="H2204" i="1" s="1"/>
  <c r="E2204" i="1"/>
  <c r="D2204" i="1"/>
  <c r="C2204" i="1"/>
  <c r="K2204" i="1" s="1"/>
  <c r="G2203" i="1"/>
  <c r="H2203" i="1" s="1"/>
  <c r="E2203" i="1"/>
  <c r="D2203" i="1"/>
  <c r="C2203" i="1"/>
  <c r="K2203" i="1" s="1"/>
  <c r="G2202" i="1"/>
  <c r="H2202" i="1" s="1"/>
  <c r="E2202" i="1"/>
  <c r="D2202" i="1"/>
  <c r="C2202" i="1"/>
  <c r="K2202" i="1" s="1"/>
  <c r="G2201" i="1"/>
  <c r="H2201" i="1" s="1"/>
  <c r="E2201" i="1"/>
  <c r="D2201" i="1"/>
  <c r="C2201" i="1"/>
  <c r="K2201" i="1" s="1"/>
  <c r="G2200" i="1"/>
  <c r="H2200" i="1" s="1"/>
  <c r="E2200" i="1"/>
  <c r="D2200" i="1"/>
  <c r="C2200" i="1"/>
  <c r="K2200" i="1" s="1"/>
  <c r="G2199" i="1"/>
  <c r="H2199" i="1" s="1"/>
  <c r="E2199" i="1"/>
  <c r="D2199" i="1"/>
  <c r="C2199" i="1"/>
  <c r="K2199" i="1" s="1"/>
  <c r="G2198" i="1"/>
  <c r="H2198" i="1" s="1"/>
  <c r="E2198" i="1"/>
  <c r="D2198" i="1"/>
  <c r="C2198" i="1"/>
  <c r="K2198" i="1" s="1"/>
  <c r="G2197" i="1"/>
  <c r="H2197" i="1" s="1"/>
  <c r="E2197" i="1"/>
  <c r="D2197" i="1"/>
  <c r="C2197" i="1"/>
  <c r="K2197" i="1" s="1"/>
  <c r="G2196" i="1"/>
  <c r="H2196" i="1" s="1"/>
  <c r="E2196" i="1"/>
  <c r="D2196" i="1"/>
  <c r="C2196" i="1"/>
  <c r="K2196" i="1" s="1"/>
  <c r="G2195" i="1"/>
  <c r="H2195" i="1" s="1"/>
  <c r="E2195" i="1"/>
  <c r="D2195" i="1"/>
  <c r="C2195" i="1"/>
  <c r="K2195" i="1" s="1"/>
  <c r="G2194" i="1"/>
  <c r="H2194" i="1" s="1"/>
  <c r="E2194" i="1"/>
  <c r="D2194" i="1"/>
  <c r="C2194" i="1"/>
  <c r="K2194" i="1" s="1"/>
  <c r="G2193" i="1"/>
  <c r="H2193" i="1" s="1"/>
  <c r="E2193" i="1"/>
  <c r="D2193" i="1"/>
  <c r="C2193" i="1"/>
  <c r="K2193" i="1" s="1"/>
  <c r="G2192" i="1"/>
  <c r="H2192" i="1" s="1"/>
  <c r="E2192" i="1"/>
  <c r="D2192" i="1"/>
  <c r="C2192" i="1"/>
  <c r="K2192" i="1" s="1"/>
  <c r="G2191" i="1"/>
  <c r="H2191" i="1" s="1"/>
  <c r="E2191" i="1"/>
  <c r="D2191" i="1"/>
  <c r="C2191" i="1"/>
  <c r="K2191" i="1" s="1"/>
  <c r="G2190" i="1"/>
  <c r="H2190" i="1" s="1"/>
  <c r="E2190" i="1"/>
  <c r="D2190" i="1"/>
  <c r="C2190" i="1"/>
  <c r="K2190" i="1" s="1"/>
  <c r="G2189" i="1"/>
  <c r="H2189" i="1" s="1"/>
  <c r="E2189" i="1"/>
  <c r="D2189" i="1"/>
  <c r="C2189" i="1"/>
  <c r="K2189" i="1" s="1"/>
  <c r="G2188" i="1"/>
  <c r="H2188" i="1" s="1"/>
  <c r="E2188" i="1"/>
  <c r="D2188" i="1"/>
  <c r="C2188" i="1"/>
  <c r="K2188" i="1" s="1"/>
  <c r="G2187" i="1"/>
  <c r="H2187" i="1" s="1"/>
  <c r="E2187" i="1"/>
  <c r="D2187" i="1"/>
  <c r="C2187" i="1"/>
  <c r="K2187" i="1" s="1"/>
  <c r="G2186" i="1"/>
  <c r="H2186" i="1" s="1"/>
  <c r="E2186" i="1"/>
  <c r="D2186" i="1"/>
  <c r="C2186" i="1"/>
  <c r="K2186" i="1" s="1"/>
  <c r="G2185" i="1"/>
  <c r="H2185" i="1" s="1"/>
  <c r="E2185" i="1"/>
  <c r="D2185" i="1"/>
  <c r="C2185" i="1"/>
  <c r="K2185" i="1" s="1"/>
  <c r="G2184" i="1"/>
  <c r="H2184" i="1" s="1"/>
  <c r="E2184" i="1"/>
  <c r="D2184" i="1"/>
  <c r="C2184" i="1"/>
  <c r="K2184" i="1" s="1"/>
  <c r="G2183" i="1"/>
  <c r="H2183" i="1" s="1"/>
  <c r="E2183" i="1"/>
  <c r="D2183" i="1"/>
  <c r="C2183" i="1"/>
  <c r="K2183" i="1" s="1"/>
  <c r="G2182" i="1"/>
  <c r="H2182" i="1" s="1"/>
  <c r="E2182" i="1"/>
  <c r="D2182" i="1"/>
  <c r="C2182" i="1"/>
  <c r="K2182" i="1" s="1"/>
  <c r="G2181" i="1"/>
  <c r="H2181" i="1" s="1"/>
  <c r="E2181" i="1"/>
  <c r="D2181" i="1"/>
  <c r="C2181" i="1"/>
  <c r="K2181" i="1" s="1"/>
  <c r="G2180" i="1"/>
  <c r="H2180" i="1" s="1"/>
  <c r="E2180" i="1"/>
  <c r="D2180" i="1"/>
  <c r="C2180" i="1"/>
  <c r="K2180" i="1" s="1"/>
  <c r="G2179" i="1"/>
  <c r="H2179" i="1" s="1"/>
  <c r="E2179" i="1"/>
  <c r="D2179" i="1"/>
  <c r="C2179" i="1"/>
  <c r="K2179" i="1" s="1"/>
  <c r="G2178" i="1"/>
  <c r="H2178" i="1" s="1"/>
  <c r="E2178" i="1"/>
  <c r="D2178" i="1"/>
  <c r="C2178" i="1"/>
  <c r="K2178" i="1" s="1"/>
  <c r="G2177" i="1"/>
  <c r="H2177" i="1" s="1"/>
  <c r="E2177" i="1"/>
  <c r="D2177" i="1"/>
  <c r="C2177" i="1"/>
  <c r="K2177" i="1" s="1"/>
  <c r="G2176" i="1"/>
  <c r="H2176" i="1" s="1"/>
  <c r="E2176" i="1"/>
  <c r="D2176" i="1"/>
  <c r="C2176" i="1"/>
  <c r="K2176" i="1" s="1"/>
  <c r="G2175" i="1"/>
  <c r="H2175" i="1" s="1"/>
  <c r="E2175" i="1"/>
  <c r="D2175" i="1"/>
  <c r="C2175" i="1"/>
  <c r="K2175" i="1" s="1"/>
  <c r="G2174" i="1"/>
  <c r="H2174" i="1" s="1"/>
  <c r="E2174" i="1"/>
  <c r="D2174" i="1"/>
  <c r="C2174" i="1"/>
  <c r="K2174" i="1" s="1"/>
  <c r="G2173" i="1"/>
  <c r="H2173" i="1" s="1"/>
  <c r="E2173" i="1"/>
  <c r="D2173" i="1"/>
  <c r="C2173" i="1"/>
  <c r="K2173" i="1" s="1"/>
  <c r="G2172" i="1"/>
  <c r="H2172" i="1" s="1"/>
  <c r="E2172" i="1"/>
  <c r="D2172" i="1"/>
  <c r="C2172" i="1"/>
  <c r="K2172" i="1" s="1"/>
  <c r="G2171" i="1"/>
  <c r="H2171" i="1" s="1"/>
  <c r="E2171" i="1"/>
  <c r="D2171" i="1"/>
  <c r="C2171" i="1"/>
  <c r="K2171" i="1" s="1"/>
  <c r="G2170" i="1"/>
  <c r="H2170" i="1" s="1"/>
  <c r="E2170" i="1"/>
  <c r="D2170" i="1"/>
  <c r="C2170" i="1"/>
  <c r="K2170" i="1" s="1"/>
  <c r="G2169" i="1"/>
  <c r="H2169" i="1" s="1"/>
  <c r="E2169" i="1"/>
  <c r="D2169" i="1"/>
  <c r="C2169" i="1"/>
  <c r="K2169" i="1" s="1"/>
  <c r="G2168" i="1"/>
  <c r="H2168" i="1" s="1"/>
  <c r="E2168" i="1"/>
  <c r="D2168" i="1"/>
  <c r="C2168" i="1"/>
  <c r="K2168" i="1" s="1"/>
  <c r="G2167" i="1"/>
  <c r="H2167" i="1" s="1"/>
  <c r="E2167" i="1"/>
  <c r="D2167" i="1"/>
  <c r="C2167" i="1"/>
  <c r="K2167" i="1" s="1"/>
  <c r="G2166" i="1"/>
  <c r="H2166" i="1" s="1"/>
  <c r="E2166" i="1"/>
  <c r="D2166" i="1"/>
  <c r="C2166" i="1"/>
  <c r="K2166" i="1" s="1"/>
  <c r="G2165" i="1"/>
  <c r="H2165" i="1" s="1"/>
  <c r="E2165" i="1"/>
  <c r="D2165" i="1"/>
  <c r="C2165" i="1"/>
  <c r="K2165" i="1" s="1"/>
  <c r="G2164" i="1"/>
  <c r="H2164" i="1" s="1"/>
  <c r="E2164" i="1"/>
  <c r="D2164" i="1"/>
  <c r="C2164" i="1"/>
  <c r="K2164" i="1" s="1"/>
  <c r="G2163" i="1"/>
  <c r="H2163" i="1" s="1"/>
  <c r="E2163" i="1"/>
  <c r="D2163" i="1"/>
  <c r="C2163" i="1"/>
  <c r="K2163" i="1" s="1"/>
  <c r="G2162" i="1"/>
  <c r="H2162" i="1" s="1"/>
  <c r="E2162" i="1"/>
  <c r="D2162" i="1"/>
  <c r="C2162" i="1"/>
  <c r="K2162" i="1" s="1"/>
  <c r="G2161" i="1"/>
  <c r="H2161" i="1" s="1"/>
  <c r="E2161" i="1"/>
  <c r="D2161" i="1"/>
  <c r="C2161" i="1"/>
  <c r="K2161" i="1" s="1"/>
  <c r="G2160" i="1"/>
  <c r="H2160" i="1" s="1"/>
  <c r="E2160" i="1"/>
  <c r="D2160" i="1"/>
  <c r="C2160" i="1"/>
  <c r="K2160" i="1" s="1"/>
  <c r="G2159" i="1"/>
  <c r="H2159" i="1" s="1"/>
  <c r="E2159" i="1"/>
  <c r="D2159" i="1"/>
  <c r="C2159" i="1"/>
  <c r="K2159" i="1" s="1"/>
  <c r="G2158" i="1"/>
  <c r="H2158" i="1" s="1"/>
  <c r="E2158" i="1"/>
  <c r="D2158" i="1"/>
  <c r="C2158" i="1"/>
  <c r="K2158" i="1" s="1"/>
  <c r="G2157" i="1"/>
  <c r="H2157" i="1" s="1"/>
  <c r="E2157" i="1"/>
  <c r="D2157" i="1"/>
  <c r="C2157" i="1"/>
  <c r="K2157" i="1" s="1"/>
  <c r="G2156" i="1"/>
  <c r="H2156" i="1" s="1"/>
  <c r="E2156" i="1"/>
  <c r="D2156" i="1"/>
  <c r="C2156" i="1"/>
  <c r="K2156" i="1" s="1"/>
  <c r="G2155" i="1"/>
  <c r="H2155" i="1" s="1"/>
  <c r="E2155" i="1"/>
  <c r="D2155" i="1"/>
  <c r="C2155" i="1"/>
  <c r="K2155" i="1" s="1"/>
  <c r="G2154" i="1"/>
  <c r="H2154" i="1" s="1"/>
  <c r="E2154" i="1"/>
  <c r="D2154" i="1"/>
  <c r="C2154" i="1"/>
  <c r="K2154" i="1" s="1"/>
  <c r="G2153" i="1"/>
  <c r="H2153" i="1" s="1"/>
  <c r="E2153" i="1"/>
  <c r="D2153" i="1"/>
  <c r="C2153" i="1"/>
  <c r="K2153" i="1" s="1"/>
  <c r="G2152" i="1"/>
  <c r="H2152" i="1" s="1"/>
  <c r="E2152" i="1"/>
  <c r="D2152" i="1"/>
  <c r="C2152" i="1"/>
  <c r="K2152" i="1" s="1"/>
  <c r="G2151" i="1"/>
  <c r="H2151" i="1" s="1"/>
  <c r="E2151" i="1"/>
  <c r="D2151" i="1"/>
  <c r="C2151" i="1"/>
  <c r="K2151" i="1" s="1"/>
  <c r="G2150" i="1"/>
  <c r="H2150" i="1" s="1"/>
  <c r="E2150" i="1"/>
  <c r="D2150" i="1"/>
  <c r="C2150" i="1"/>
  <c r="K2150" i="1" s="1"/>
  <c r="G2149" i="1"/>
  <c r="H2149" i="1" s="1"/>
  <c r="E2149" i="1"/>
  <c r="D2149" i="1"/>
  <c r="C2149" i="1"/>
  <c r="K2149" i="1" s="1"/>
  <c r="G2148" i="1"/>
  <c r="H2148" i="1" s="1"/>
  <c r="E2148" i="1"/>
  <c r="D2148" i="1"/>
  <c r="C2148" i="1"/>
  <c r="K2148" i="1" s="1"/>
  <c r="G2147" i="1"/>
  <c r="H2147" i="1" s="1"/>
  <c r="E2147" i="1"/>
  <c r="D2147" i="1"/>
  <c r="C2147" i="1"/>
  <c r="K2147" i="1" s="1"/>
  <c r="G2146" i="1"/>
  <c r="H2146" i="1" s="1"/>
  <c r="E2146" i="1"/>
  <c r="D2146" i="1"/>
  <c r="C2146" i="1"/>
  <c r="K2146" i="1" s="1"/>
  <c r="G2145" i="1"/>
  <c r="H2145" i="1" s="1"/>
  <c r="E2145" i="1"/>
  <c r="D2145" i="1"/>
  <c r="C2145" i="1"/>
  <c r="K2145" i="1" s="1"/>
  <c r="G2144" i="1"/>
  <c r="H2144" i="1" s="1"/>
  <c r="E2144" i="1"/>
  <c r="D2144" i="1"/>
  <c r="C2144" i="1"/>
  <c r="K2144" i="1" s="1"/>
  <c r="G2143" i="1"/>
  <c r="H2143" i="1" s="1"/>
  <c r="E2143" i="1"/>
  <c r="D2143" i="1"/>
  <c r="C2143" i="1"/>
  <c r="K2143" i="1" s="1"/>
  <c r="G2142" i="1"/>
  <c r="H2142" i="1" s="1"/>
  <c r="E2142" i="1"/>
  <c r="D2142" i="1"/>
  <c r="C2142" i="1"/>
  <c r="K2142" i="1" s="1"/>
  <c r="G2141" i="1"/>
  <c r="H2141" i="1" s="1"/>
  <c r="E2141" i="1"/>
  <c r="D2141" i="1"/>
  <c r="C2141" i="1"/>
  <c r="K2141" i="1" s="1"/>
  <c r="G2140" i="1"/>
  <c r="H2140" i="1" s="1"/>
  <c r="E2140" i="1"/>
  <c r="D2140" i="1"/>
  <c r="C2140" i="1"/>
  <c r="K2140" i="1" s="1"/>
  <c r="G2139" i="1"/>
  <c r="H2139" i="1" s="1"/>
  <c r="E2139" i="1"/>
  <c r="D2139" i="1"/>
  <c r="C2139" i="1"/>
  <c r="K2139" i="1" s="1"/>
  <c r="G2138" i="1"/>
  <c r="H2138" i="1" s="1"/>
  <c r="E2138" i="1"/>
  <c r="D2138" i="1"/>
  <c r="C2138" i="1"/>
  <c r="K2138" i="1" s="1"/>
  <c r="G2137" i="1"/>
  <c r="H2137" i="1" s="1"/>
  <c r="E2137" i="1"/>
  <c r="D2137" i="1"/>
  <c r="C2137" i="1"/>
  <c r="K2137" i="1" s="1"/>
  <c r="G2136" i="1"/>
  <c r="H2136" i="1" s="1"/>
  <c r="E2136" i="1"/>
  <c r="D2136" i="1"/>
  <c r="C2136" i="1"/>
  <c r="K2136" i="1" s="1"/>
  <c r="G2135" i="1"/>
  <c r="H2135" i="1" s="1"/>
  <c r="E2135" i="1"/>
  <c r="D2135" i="1"/>
  <c r="C2135" i="1"/>
  <c r="K2135" i="1" s="1"/>
  <c r="G2134" i="1"/>
  <c r="H2134" i="1" s="1"/>
  <c r="E2134" i="1"/>
  <c r="D2134" i="1"/>
  <c r="C2134" i="1"/>
  <c r="K2134" i="1" s="1"/>
  <c r="G2133" i="1"/>
  <c r="H2133" i="1" s="1"/>
  <c r="E2133" i="1"/>
  <c r="D2133" i="1"/>
  <c r="C2133" i="1"/>
  <c r="K2133" i="1" s="1"/>
  <c r="G2132" i="1"/>
  <c r="H2132" i="1" s="1"/>
  <c r="E2132" i="1"/>
  <c r="D2132" i="1"/>
  <c r="C2132" i="1"/>
  <c r="K2132" i="1" s="1"/>
  <c r="G2131" i="1"/>
  <c r="H2131" i="1" s="1"/>
  <c r="E2131" i="1"/>
  <c r="D2131" i="1"/>
  <c r="C2131" i="1"/>
  <c r="K2131" i="1" s="1"/>
  <c r="G2130" i="1"/>
  <c r="H2130" i="1" s="1"/>
  <c r="E2130" i="1"/>
  <c r="D2130" i="1"/>
  <c r="C2130" i="1"/>
  <c r="K2130" i="1" s="1"/>
  <c r="G2129" i="1"/>
  <c r="H2129" i="1" s="1"/>
  <c r="E2129" i="1"/>
  <c r="D2129" i="1"/>
  <c r="C2129" i="1"/>
  <c r="K2129" i="1" s="1"/>
  <c r="G2128" i="1"/>
  <c r="H2128" i="1" s="1"/>
  <c r="E2128" i="1"/>
  <c r="D2128" i="1"/>
  <c r="C2128" i="1"/>
  <c r="K2128" i="1" s="1"/>
  <c r="G2127" i="1"/>
  <c r="H2127" i="1" s="1"/>
  <c r="E2127" i="1"/>
  <c r="D2127" i="1"/>
  <c r="C2127" i="1"/>
  <c r="K2127" i="1" s="1"/>
  <c r="G2126" i="1"/>
  <c r="H2126" i="1" s="1"/>
  <c r="E2126" i="1"/>
  <c r="D2126" i="1"/>
  <c r="C2126" i="1"/>
  <c r="K2126" i="1" s="1"/>
  <c r="G2125" i="1"/>
  <c r="H2125" i="1" s="1"/>
  <c r="E2125" i="1"/>
  <c r="D2125" i="1"/>
  <c r="C2125" i="1"/>
  <c r="K2125" i="1" s="1"/>
  <c r="G2124" i="1"/>
  <c r="H2124" i="1" s="1"/>
  <c r="E2124" i="1"/>
  <c r="D2124" i="1"/>
  <c r="C2124" i="1"/>
  <c r="K2124" i="1" s="1"/>
  <c r="G2123" i="1"/>
  <c r="H2123" i="1" s="1"/>
  <c r="E2123" i="1"/>
  <c r="D2123" i="1"/>
  <c r="C2123" i="1"/>
  <c r="K2123" i="1" s="1"/>
  <c r="G2122" i="1"/>
  <c r="H2122" i="1" s="1"/>
  <c r="E2122" i="1"/>
  <c r="D2122" i="1"/>
  <c r="C2122" i="1"/>
  <c r="K2122" i="1" s="1"/>
  <c r="G2121" i="1"/>
  <c r="H2121" i="1" s="1"/>
  <c r="E2121" i="1"/>
  <c r="D2121" i="1"/>
  <c r="C2121" i="1"/>
  <c r="K2121" i="1" s="1"/>
  <c r="G2120" i="1"/>
  <c r="H2120" i="1" s="1"/>
  <c r="E2120" i="1"/>
  <c r="D2120" i="1"/>
  <c r="C2120" i="1"/>
  <c r="K2120" i="1" s="1"/>
  <c r="G2119" i="1"/>
  <c r="H2119" i="1" s="1"/>
  <c r="E2119" i="1"/>
  <c r="D2119" i="1"/>
  <c r="C2119" i="1"/>
  <c r="K2119" i="1" s="1"/>
  <c r="G2118" i="1"/>
  <c r="H2118" i="1" s="1"/>
  <c r="E2118" i="1"/>
  <c r="D2118" i="1"/>
  <c r="C2118" i="1"/>
  <c r="K2118" i="1" s="1"/>
  <c r="G2117" i="1"/>
  <c r="H2117" i="1" s="1"/>
  <c r="E2117" i="1"/>
  <c r="D2117" i="1"/>
  <c r="C2117" i="1"/>
  <c r="K2117" i="1" s="1"/>
  <c r="G2116" i="1"/>
  <c r="H2116" i="1" s="1"/>
  <c r="E2116" i="1"/>
  <c r="D2116" i="1"/>
  <c r="C2116" i="1"/>
  <c r="K2116" i="1" s="1"/>
  <c r="G2115" i="1"/>
  <c r="H2115" i="1" s="1"/>
  <c r="E2115" i="1"/>
  <c r="D2115" i="1"/>
  <c r="C2115" i="1"/>
  <c r="K2115" i="1" s="1"/>
  <c r="G2114" i="1"/>
  <c r="H2114" i="1" s="1"/>
  <c r="E2114" i="1"/>
  <c r="D2114" i="1"/>
  <c r="C2114" i="1"/>
  <c r="K2114" i="1" s="1"/>
  <c r="G2113" i="1"/>
  <c r="H2113" i="1" s="1"/>
  <c r="E2113" i="1"/>
  <c r="D2113" i="1"/>
  <c r="C2113" i="1"/>
  <c r="K2113" i="1" s="1"/>
  <c r="G2112" i="1"/>
  <c r="H2112" i="1" s="1"/>
  <c r="E2112" i="1"/>
  <c r="D2112" i="1"/>
  <c r="C2112" i="1"/>
  <c r="K2112" i="1" s="1"/>
  <c r="G2111" i="1"/>
  <c r="H2111" i="1" s="1"/>
  <c r="E2111" i="1"/>
  <c r="D2111" i="1"/>
  <c r="C2111" i="1"/>
  <c r="K2111" i="1" s="1"/>
  <c r="G2110" i="1"/>
  <c r="H2110" i="1" s="1"/>
  <c r="E2110" i="1"/>
  <c r="D2110" i="1"/>
  <c r="C2110" i="1"/>
  <c r="K2110" i="1" s="1"/>
  <c r="G2109" i="1"/>
  <c r="H2109" i="1" s="1"/>
  <c r="E2109" i="1"/>
  <c r="D2109" i="1"/>
  <c r="C2109" i="1"/>
  <c r="K2109" i="1" s="1"/>
  <c r="G2108" i="1"/>
  <c r="H2108" i="1" s="1"/>
  <c r="E2108" i="1"/>
  <c r="D2108" i="1"/>
  <c r="C2108" i="1"/>
  <c r="K2108" i="1" s="1"/>
  <c r="G2107" i="1"/>
  <c r="H2107" i="1" s="1"/>
  <c r="E2107" i="1"/>
  <c r="D2107" i="1"/>
  <c r="C2107" i="1"/>
  <c r="K2107" i="1" s="1"/>
  <c r="G2106" i="1"/>
  <c r="H2106" i="1" s="1"/>
  <c r="E2106" i="1"/>
  <c r="D2106" i="1"/>
  <c r="C2106" i="1"/>
  <c r="K2106" i="1" s="1"/>
  <c r="G2105" i="1"/>
  <c r="H2105" i="1" s="1"/>
  <c r="E2105" i="1"/>
  <c r="D2105" i="1"/>
  <c r="C2105" i="1"/>
  <c r="K2105" i="1" s="1"/>
  <c r="G2104" i="1"/>
  <c r="H2104" i="1" s="1"/>
  <c r="E2104" i="1"/>
  <c r="D2104" i="1"/>
  <c r="C2104" i="1"/>
  <c r="K2104" i="1" s="1"/>
  <c r="G2103" i="1"/>
  <c r="H2103" i="1" s="1"/>
  <c r="E2103" i="1"/>
  <c r="D2103" i="1"/>
  <c r="C2103" i="1"/>
  <c r="K2103" i="1" s="1"/>
  <c r="G2102" i="1"/>
  <c r="H2102" i="1" s="1"/>
  <c r="E2102" i="1"/>
  <c r="D2102" i="1"/>
  <c r="C2102" i="1"/>
  <c r="K2102" i="1" s="1"/>
  <c r="G2101" i="1"/>
  <c r="H2101" i="1" s="1"/>
  <c r="E2101" i="1"/>
  <c r="D2101" i="1"/>
  <c r="C2101" i="1"/>
  <c r="K2101" i="1" s="1"/>
  <c r="G2100" i="1"/>
  <c r="H2100" i="1" s="1"/>
  <c r="E2100" i="1"/>
  <c r="D2100" i="1"/>
  <c r="C2100" i="1"/>
  <c r="K2100" i="1" s="1"/>
  <c r="G2099" i="1"/>
  <c r="H2099" i="1" s="1"/>
  <c r="E2099" i="1"/>
  <c r="D2099" i="1"/>
  <c r="C2099" i="1"/>
  <c r="K2099" i="1" s="1"/>
  <c r="G2098" i="1"/>
  <c r="H2098" i="1" s="1"/>
  <c r="E2098" i="1"/>
  <c r="D2098" i="1"/>
  <c r="C2098" i="1"/>
  <c r="K2098" i="1" s="1"/>
  <c r="G2097" i="1"/>
  <c r="H2097" i="1" s="1"/>
  <c r="E2097" i="1"/>
  <c r="D2097" i="1"/>
  <c r="C2097" i="1"/>
  <c r="K2097" i="1" s="1"/>
  <c r="G2096" i="1"/>
  <c r="H2096" i="1" s="1"/>
  <c r="E2096" i="1"/>
  <c r="D2096" i="1"/>
  <c r="C2096" i="1"/>
  <c r="K2096" i="1" s="1"/>
  <c r="G2095" i="1"/>
  <c r="H2095" i="1" s="1"/>
  <c r="E2095" i="1"/>
  <c r="D2095" i="1"/>
  <c r="C2095" i="1"/>
  <c r="K2095" i="1" s="1"/>
  <c r="G2094" i="1"/>
  <c r="H2094" i="1" s="1"/>
  <c r="E2094" i="1"/>
  <c r="D2094" i="1"/>
  <c r="C2094" i="1"/>
  <c r="K2094" i="1" s="1"/>
  <c r="G2093" i="1"/>
  <c r="H2093" i="1" s="1"/>
  <c r="E2093" i="1"/>
  <c r="D2093" i="1"/>
  <c r="C2093" i="1"/>
  <c r="K2093" i="1" s="1"/>
  <c r="G2092" i="1"/>
  <c r="H2092" i="1" s="1"/>
  <c r="E2092" i="1"/>
  <c r="D2092" i="1"/>
  <c r="C2092" i="1"/>
  <c r="K2092" i="1" s="1"/>
  <c r="G2091" i="1"/>
  <c r="H2091" i="1" s="1"/>
  <c r="E2091" i="1"/>
  <c r="D2091" i="1"/>
  <c r="C2091" i="1"/>
  <c r="K2091" i="1" s="1"/>
  <c r="G2090" i="1"/>
  <c r="H2090" i="1" s="1"/>
  <c r="E2090" i="1"/>
  <c r="D2090" i="1"/>
  <c r="C2090" i="1"/>
  <c r="K2090" i="1" s="1"/>
  <c r="G2089" i="1"/>
  <c r="H2089" i="1" s="1"/>
  <c r="E2089" i="1"/>
  <c r="D2089" i="1"/>
  <c r="C2089" i="1"/>
  <c r="K2089" i="1" s="1"/>
  <c r="G2088" i="1"/>
  <c r="H2088" i="1" s="1"/>
  <c r="E2088" i="1"/>
  <c r="D2088" i="1"/>
  <c r="C2088" i="1"/>
  <c r="K2088" i="1" s="1"/>
  <c r="G2087" i="1"/>
  <c r="H2087" i="1" s="1"/>
  <c r="E2087" i="1"/>
  <c r="D2087" i="1"/>
  <c r="C2087" i="1"/>
  <c r="K2087" i="1" s="1"/>
  <c r="G2086" i="1"/>
  <c r="H2086" i="1" s="1"/>
  <c r="E2086" i="1"/>
  <c r="D2086" i="1"/>
  <c r="C2086" i="1"/>
  <c r="K2086" i="1" s="1"/>
  <c r="G2085" i="1"/>
  <c r="H2085" i="1" s="1"/>
  <c r="E2085" i="1"/>
  <c r="D2085" i="1"/>
  <c r="C2085" i="1"/>
  <c r="K2085" i="1" s="1"/>
  <c r="G2084" i="1"/>
  <c r="H2084" i="1" s="1"/>
  <c r="E2084" i="1"/>
  <c r="D2084" i="1"/>
  <c r="C2084" i="1"/>
  <c r="K2084" i="1" s="1"/>
  <c r="G2083" i="1"/>
  <c r="H2083" i="1" s="1"/>
  <c r="E2083" i="1"/>
  <c r="D2083" i="1"/>
  <c r="C2083" i="1"/>
  <c r="K2083" i="1" s="1"/>
  <c r="G2082" i="1"/>
  <c r="H2082" i="1" s="1"/>
  <c r="E2082" i="1"/>
  <c r="D2082" i="1"/>
  <c r="C2082" i="1"/>
  <c r="K2082" i="1" s="1"/>
  <c r="G2081" i="1"/>
  <c r="H2081" i="1" s="1"/>
  <c r="E2081" i="1"/>
  <c r="D2081" i="1"/>
  <c r="C2081" i="1"/>
  <c r="K2081" i="1" s="1"/>
  <c r="G2080" i="1"/>
  <c r="H2080" i="1" s="1"/>
  <c r="E2080" i="1"/>
  <c r="D2080" i="1"/>
  <c r="C2080" i="1"/>
  <c r="K2080" i="1" s="1"/>
  <c r="G2079" i="1"/>
  <c r="H2079" i="1" s="1"/>
  <c r="E2079" i="1"/>
  <c r="D2079" i="1"/>
  <c r="C2079" i="1"/>
  <c r="K2079" i="1" s="1"/>
  <c r="G2078" i="1"/>
  <c r="H2078" i="1" s="1"/>
  <c r="E2078" i="1"/>
  <c r="D2078" i="1"/>
  <c r="C2078" i="1"/>
  <c r="K2078" i="1" s="1"/>
  <c r="G2077" i="1"/>
  <c r="H2077" i="1" s="1"/>
  <c r="E2077" i="1"/>
  <c r="D2077" i="1"/>
  <c r="C2077" i="1"/>
  <c r="K2077" i="1" s="1"/>
  <c r="G2076" i="1"/>
  <c r="H2076" i="1" s="1"/>
  <c r="E2076" i="1"/>
  <c r="D2076" i="1"/>
  <c r="C2076" i="1"/>
  <c r="K2076" i="1" s="1"/>
  <c r="G2075" i="1"/>
  <c r="H2075" i="1" s="1"/>
  <c r="E2075" i="1"/>
  <c r="D2075" i="1"/>
  <c r="C2075" i="1"/>
  <c r="K2075" i="1" s="1"/>
  <c r="G2074" i="1"/>
  <c r="H2074" i="1" s="1"/>
  <c r="E2074" i="1"/>
  <c r="D2074" i="1"/>
  <c r="C2074" i="1"/>
  <c r="K2074" i="1" s="1"/>
  <c r="G2073" i="1"/>
  <c r="H2073" i="1" s="1"/>
  <c r="E2073" i="1"/>
  <c r="D2073" i="1"/>
  <c r="C2073" i="1"/>
  <c r="K2073" i="1" s="1"/>
  <c r="G2072" i="1"/>
  <c r="H2072" i="1" s="1"/>
  <c r="E2072" i="1"/>
  <c r="D2072" i="1"/>
  <c r="C2072" i="1"/>
  <c r="K2072" i="1" s="1"/>
  <c r="G2071" i="1"/>
  <c r="H2071" i="1" s="1"/>
  <c r="E2071" i="1"/>
  <c r="D2071" i="1"/>
  <c r="C2071" i="1"/>
  <c r="K2071" i="1" s="1"/>
  <c r="G2070" i="1"/>
  <c r="H2070" i="1" s="1"/>
  <c r="E2070" i="1"/>
  <c r="D2070" i="1"/>
  <c r="C2070" i="1"/>
  <c r="K2070" i="1" s="1"/>
  <c r="G2069" i="1"/>
  <c r="H2069" i="1" s="1"/>
  <c r="E2069" i="1"/>
  <c r="D2069" i="1"/>
  <c r="C2069" i="1"/>
  <c r="K2069" i="1" s="1"/>
  <c r="G2068" i="1"/>
  <c r="H2068" i="1" s="1"/>
  <c r="E2068" i="1"/>
  <c r="D2068" i="1"/>
  <c r="C2068" i="1"/>
  <c r="K2068" i="1" s="1"/>
  <c r="G2067" i="1"/>
  <c r="H2067" i="1" s="1"/>
  <c r="E2067" i="1"/>
  <c r="D2067" i="1"/>
  <c r="C2067" i="1"/>
  <c r="K2067" i="1" s="1"/>
  <c r="G2066" i="1"/>
  <c r="H2066" i="1" s="1"/>
  <c r="E2066" i="1"/>
  <c r="D2066" i="1"/>
  <c r="C2066" i="1"/>
  <c r="K2066" i="1" s="1"/>
  <c r="G2065" i="1"/>
  <c r="H2065" i="1" s="1"/>
  <c r="E2065" i="1"/>
  <c r="D2065" i="1"/>
  <c r="C2065" i="1"/>
  <c r="K2065" i="1" s="1"/>
  <c r="G2064" i="1"/>
  <c r="H2064" i="1" s="1"/>
  <c r="E2064" i="1"/>
  <c r="D2064" i="1"/>
  <c r="C2064" i="1"/>
  <c r="K2064" i="1" s="1"/>
  <c r="G2063" i="1"/>
  <c r="H2063" i="1" s="1"/>
  <c r="E2063" i="1"/>
  <c r="D2063" i="1"/>
  <c r="C2063" i="1"/>
  <c r="K2063" i="1" s="1"/>
  <c r="G2062" i="1"/>
  <c r="H2062" i="1" s="1"/>
  <c r="E2062" i="1"/>
  <c r="D2062" i="1"/>
  <c r="C2062" i="1"/>
  <c r="K2062" i="1" s="1"/>
  <c r="G2061" i="1"/>
  <c r="H2061" i="1" s="1"/>
  <c r="E2061" i="1"/>
  <c r="D2061" i="1"/>
  <c r="C2061" i="1"/>
  <c r="K2061" i="1" s="1"/>
  <c r="G2060" i="1"/>
  <c r="H2060" i="1" s="1"/>
  <c r="E2060" i="1"/>
  <c r="D2060" i="1"/>
  <c r="C2060" i="1"/>
  <c r="K2060" i="1" s="1"/>
  <c r="G2059" i="1"/>
  <c r="H2059" i="1" s="1"/>
  <c r="E2059" i="1"/>
  <c r="D2059" i="1"/>
  <c r="C2059" i="1"/>
  <c r="K2059" i="1" s="1"/>
  <c r="G2058" i="1"/>
  <c r="H2058" i="1" s="1"/>
  <c r="E2058" i="1"/>
  <c r="D2058" i="1"/>
  <c r="C2058" i="1"/>
  <c r="K2058" i="1" s="1"/>
  <c r="G2057" i="1"/>
  <c r="H2057" i="1" s="1"/>
  <c r="E2057" i="1"/>
  <c r="D2057" i="1"/>
  <c r="C2057" i="1"/>
  <c r="K2057" i="1" s="1"/>
  <c r="G2056" i="1"/>
  <c r="H2056" i="1" s="1"/>
  <c r="E2056" i="1"/>
  <c r="D2056" i="1"/>
  <c r="C2056" i="1"/>
  <c r="K2056" i="1" s="1"/>
  <c r="G2055" i="1"/>
  <c r="H2055" i="1" s="1"/>
  <c r="E2055" i="1"/>
  <c r="D2055" i="1"/>
  <c r="C2055" i="1"/>
  <c r="K2055" i="1" s="1"/>
  <c r="G2054" i="1"/>
  <c r="H2054" i="1" s="1"/>
  <c r="E2054" i="1"/>
  <c r="D2054" i="1"/>
  <c r="C2054" i="1"/>
  <c r="K2054" i="1" s="1"/>
  <c r="G2053" i="1"/>
  <c r="H2053" i="1" s="1"/>
  <c r="E2053" i="1"/>
  <c r="D2053" i="1"/>
  <c r="C2053" i="1"/>
  <c r="K2053" i="1" s="1"/>
  <c r="G2052" i="1"/>
  <c r="H2052" i="1" s="1"/>
  <c r="E2052" i="1"/>
  <c r="D2052" i="1"/>
  <c r="C2052" i="1"/>
  <c r="K2052" i="1" s="1"/>
  <c r="G2051" i="1"/>
  <c r="H2051" i="1" s="1"/>
  <c r="E2051" i="1"/>
  <c r="D2051" i="1"/>
  <c r="C2051" i="1"/>
  <c r="K2051" i="1" s="1"/>
  <c r="G2050" i="1"/>
  <c r="H2050" i="1" s="1"/>
  <c r="E2050" i="1"/>
  <c r="D2050" i="1"/>
  <c r="C2050" i="1"/>
  <c r="K2050" i="1" s="1"/>
  <c r="G2049" i="1"/>
  <c r="H2049" i="1" s="1"/>
  <c r="E2049" i="1"/>
  <c r="D2049" i="1"/>
  <c r="C2049" i="1"/>
  <c r="K2049" i="1" s="1"/>
  <c r="G2048" i="1"/>
  <c r="H2048" i="1" s="1"/>
  <c r="E2048" i="1"/>
  <c r="D2048" i="1"/>
  <c r="C2048" i="1"/>
  <c r="K2048" i="1" s="1"/>
  <c r="G2047" i="1"/>
  <c r="H2047" i="1" s="1"/>
  <c r="E2047" i="1"/>
  <c r="D2047" i="1"/>
  <c r="C2047" i="1"/>
  <c r="K2047" i="1" s="1"/>
  <c r="G2046" i="1"/>
  <c r="H2046" i="1" s="1"/>
  <c r="E2046" i="1"/>
  <c r="D2046" i="1"/>
  <c r="C2046" i="1"/>
  <c r="K2046" i="1" s="1"/>
  <c r="G2045" i="1"/>
  <c r="H2045" i="1" s="1"/>
  <c r="E2045" i="1"/>
  <c r="D2045" i="1"/>
  <c r="C2045" i="1"/>
  <c r="K2045" i="1" s="1"/>
  <c r="G2044" i="1"/>
  <c r="H2044" i="1" s="1"/>
  <c r="E2044" i="1"/>
  <c r="D2044" i="1"/>
  <c r="C2044" i="1"/>
  <c r="K2044" i="1" s="1"/>
  <c r="G2043" i="1"/>
  <c r="H2043" i="1" s="1"/>
  <c r="E2043" i="1"/>
  <c r="D2043" i="1"/>
  <c r="C2043" i="1"/>
  <c r="K2043" i="1" s="1"/>
  <c r="G2042" i="1"/>
  <c r="H2042" i="1" s="1"/>
  <c r="E2042" i="1"/>
  <c r="D2042" i="1"/>
  <c r="C2042" i="1"/>
  <c r="K2042" i="1" s="1"/>
  <c r="G2041" i="1"/>
  <c r="H2041" i="1" s="1"/>
  <c r="E2041" i="1"/>
  <c r="D2041" i="1"/>
  <c r="C2041" i="1"/>
  <c r="K2041" i="1" s="1"/>
  <c r="G2040" i="1"/>
  <c r="H2040" i="1" s="1"/>
  <c r="E2040" i="1"/>
  <c r="D2040" i="1"/>
  <c r="C2040" i="1"/>
  <c r="K2040" i="1" s="1"/>
  <c r="G2039" i="1"/>
  <c r="H2039" i="1" s="1"/>
  <c r="E2039" i="1"/>
  <c r="D2039" i="1"/>
  <c r="C2039" i="1"/>
  <c r="K2039" i="1" s="1"/>
  <c r="G2038" i="1"/>
  <c r="H2038" i="1" s="1"/>
  <c r="E2038" i="1"/>
  <c r="D2038" i="1"/>
  <c r="C2038" i="1"/>
  <c r="K2038" i="1" s="1"/>
  <c r="G2037" i="1"/>
  <c r="H2037" i="1" s="1"/>
  <c r="E2037" i="1"/>
  <c r="D2037" i="1"/>
  <c r="C2037" i="1"/>
  <c r="K2037" i="1" s="1"/>
  <c r="G2036" i="1"/>
  <c r="H2036" i="1" s="1"/>
  <c r="E2036" i="1"/>
  <c r="D2036" i="1"/>
  <c r="C2036" i="1"/>
  <c r="K2036" i="1" s="1"/>
  <c r="G2035" i="1"/>
  <c r="H2035" i="1" s="1"/>
  <c r="E2035" i="1"/>
  <c r="D2035" i="1"/>
  <c r="C2035" i="1"/>
  <c r="K2035" i="1" s="1"/>
  <c r="G2034" i="1"/>
  <c r="H2034" i="1" s="1"/>
  <c r="E2034" i="1"/>
  <c r="D2034" i="1"/>
  <c r="C2034" i="1"/>
  <c r="K2034" i="1" s="1"/>
  <c r="G2033" i="1"/>
  <c r="H2033" i="1" s="1"/>
  <c r="E2033" i="1"/>
  <c r="D2033" i="1"/>
  <c r="C2033" i="1"/>
  <c r="K2033" i="1" s="1"/>
  <c r="G2032" i="1"/>
  <c r="H2032" i="1" s="1"/>
  <c r="E2032" i="1"/>
  <c r="D2032" i="1"/>
  <c r="C2032" i="1"/>
  <c r="K2032" i="1" s="1"/>
  <c r="G2031" i="1"/>
  <c r="H2031" i="1" s="1"/>
  <c r="E2031" i="1"/>
  <c r="D2031" i="1"/>
  <c r="C2031" i="1"/>
  <c r="K2031" i="1" s="1"/>
  <c r="G2030" i="1"/>
  <c r="H2030" i="1" s="1"/>
  <c r="E2030" i="1"/>
  <c r="D2030" i="1"/>
  <c r="C2030" i="1"/>
  <c r="K2030" i="1" s="1"/>
  <c r="G2029" i="1"/>
  <c r="H2029" i="1" s="1"/>
  <c r="E2029" i="1"/>
  <c r="D2029" i="1"/>
  <c r="C2029" i="1"/>
  <c r="K2029" i="1" s="1"/>
  <c r="G2028" i="1"/>
  <c r="H2028" i="1" s="1"/>
  <c r="E2028" i="1"/>
  <c r="D2028" i="1"/>
  <c r="C2028" i="1"/>
  <c r="K2028" i="1" s="1"/>
  <c r="G2027" i="1"/>
  <c r="H2027" i="1" s="1"/>
  <c r="E2027" i="1"/>
  <c r="D2027" i="1"/>
  <c r="C2027" i="1"/>
  <c r="K2027" i="1" s="1"/>
  <c r="G2026" i="1"/>
  <c r="H2026" i="1" s="1"/>
  <c r="E2026" i="1"/>
  <c r="D2026" i="1"/>
  <c r="C2026" i="1"/>
  <c r="K2026" i="1" s="1"/>
  <c r="G2025" i="1"/>
  <c r="H2025" i="1" s="1"/>
  <c r="E2025" i="1"/>
  <c r="D2025" i="1"/>
  <c r="C2025" i="1"/>
  <c r="K2025" i="1" s="1"/>
  <c r="G2024" i="1"/>
  <c r="H2024" i="1" s="1"/>
  <c r="E2024" i="1"/>
  <c r="D2024" i="1"/>
  <c r="C2024" i="1"/>
  <c r="K2024" i="1" s="1"/>
  <c r="G2023" i="1"/>
  <c r="H2023" i="1" s="1"/>
  <c r="E2023" i="1"/>
  <c r="D2023" i="1"/>
  <c r="C2023" i="1"/>
  <c r="K2023" i="1" s="1"/>
  <c r="G2022" i="1"/>
  <c r="H2022" i="1" s="1"/>
  <c r="E2022" i="1"/>
  <c r="D2022" i="1"/>
  <c r="C2022" i="1"/>
  <c r="K2022" i="1" s="1"/>
  <c r="G2021" i="1"/>
  <c r="H2021" i="1" s="1"/>
  <c r="E2021" i="1"/>
  <c r="D2021" i="1"/>
  <c r="C2021" i="1"/>
  <c r="K2021" i="1" s="1"/>
  <c r="G2020" i="1"/>
  <c r="H2020" i="1" s="1"/>
  <c r="E2020" i="1"/>
  <c r="D2020" i="1"/>
  <c r="C2020" i="1"/>
  <c r="K2020" i="1" s="1"/>
  <c r="G2019" i="1"/>
  <c r="H2019" i="1" s="1"/>
  <c r="E2019" i="1"/>
  <c r="D2019" i="1"/>
  <c r="C2019" i="1"/>
  <c r="K2019" i="1" s="1"/>
  <c r="G2018" i="1"/>
  <c r="H2018" i="1" s="1"/>
  <c r="E2018" i="1"/>
  <c r="D2018" i="1"/>
  <c r="C2018" i="1"/>
  <c r="K2018" i="1" s="1"/>
  <c r="G2017" i="1"/>
  <c r="H2017" i="1" s="1"/>
  <c r="E2017" i="1"/>
  <c r="D2017" i="1"/>
  <c r="C2017" i="1"/>
  <c r="K2017" i="1" s="1"/>
  <c r="G2016" i="1"/>
  <c r="H2016" i="1" s="1"/>
  <c r="E2016" i="1"/>
  <c r="D2016" i="1"/>
  <c r="C2016" i="1"/>
  <c r="K2016" i="1" s="1"/>
  <c r="G2015" i="1"/>
  <c r="H2015" i="1" s="1"/>
  <c r="E2015" i="1"/>
  <c r="D2015" i="1"/>
  <c r="C2015" i="1"/>
  <c r="K2015" i="1" s="1"/>
  <c r="G2014" i="1"/>
  <c r="H2014" i="1" s="1"/>
  <c r="E2014" i="1"/>
  <c r="D2014" i="1"/>
  <c r="C2014" i="1"/>
  <c r="K2014" i="1" s="1"/>
  <c r="G2013" i="1"/>
  <c r="H2013" i="1" s="1"/>
  <c r="E2013" i="1"/>
  <c r="D2013" i="1"/>
  <c r="C2013" i="1"/>
  <c r="K2013" i="1" s="1"/>
  <c r="G2012" i="1"/>
  <c r="H2012" i="1" s="1"/>
  <c r="E2012" i="1"/>
  <c r="D2012" i="1"/>
  <c r="C2012" i="1"/>
  <c r="K2012" i="1" s="1"/>
  <c r="G2011" i="1"/>
  <c r="H2011" i="1" s="1"/>
  <c r="E2011" i="1"/>
  <c r="D2011" i="1"/>
  <c r="C2011" i="1"/>
  <c r="K2011" i="1" s="1"/>
  <c r="G2010" i="1"/>
  <c r="H2010" i="1" s="1"/>
  <c r="E2010" i="1"/>
  <c r="D2010" i="1"/>
  <c r="C2010" i="1"/>
  <c r="K2010" i="1" s="1"/>
  <c r="G2009" i="1"/>
  <c r="H2009" i="1" s="1"/>
  <c r="E2009" i="1"/>
  <c r="D2009" i="1"/>
  <c r="C2009" i="1"/>
  <c r="K2009" i="1" s="1"/>
  <c r="G2008" i="1"/>
  <c r="H2008" i="1" s="1"/>
  <c r="E2008" i="1"/>
  <c r="D2008" i="1"/>
  <c r="C2008" i="1"/>
  <c r="K2008" i="1" s="1"/>
  <c r="G2007" i="1"/>
  <c r="H2007" i="1" s="1"/>
  <c r="E2007" i="1"/>
  <c r="D2007" i="1"/>
  <c r="C2007" i="1"/>
  <c r="K2007" i="1" s="1"/>
  <c r="G2006" i="1"/>
  <c r="H2006" i="1" s="1"/>
  <c r="E2006" i="1"/>
  <c r="D2006" i="1"/>
  <c r="C2006" i="1"/>
  <c r="K2006" i="1" s="1"/>
  <c r="G2005" i="1"/>
  <c r="H2005" i="1" s="1"/>
  <c r="E2005" i="1"/>
  <c r="D2005" i="1"/>
  <c r="C2005" i="1"/>
  <c r="K2005" i="1" s="1"/>
  <c r="G2004" i="1"/>
  <c r="H2004" i="1" s="1"/>
  <c r="E2004" i="1"/>
  <c r="D2004" i="1"/>
  <c r="C2004" i="1"/>
  <c r="K2004" i="1" s="1"/>
  <c r="G2003" i="1"/>
  <c r="H2003" i="1" s="1"/>
  <c r="E2003" i="1"/>
  <c r="D2003" i="1"/>
  <c r="C2003" i="1"/>
  <c r="K2003" i="1" s="1"/>
  <c r="G2002" i="1"/>
  <c r="H2002" i="1" s="1"/>
  <c r="E2002" i="1"/>
  <c r="D2002" i="1"/>
  <c r="C2002" i="1"/>
  <c r="K2002" i="1" s="1"/>
  <c r="G2001" i="1"/>
  <c r="H2001" i="1" s="1"/>
  <c r="E2001" i="1"/>
  <c r="D2001" i="1"/>
  <c r="C2001" i="1"/>
  <c r="K2001" i="1" s="1"/>
  <c r="G2000" i="1"/>
  <c r="H2000" i="1" s="1"/>
  <c r="E2000" i="1"/>
  <c r="D2000" i="1"/>
  <c r="C2000" i="1"/>
  <c r="K2000" i="1" s="1"/>
  <c r="G1999" i="1"/>
  <c r="H1999" i="1" s="1"/>
  <c r="E1999" i="1"/>
  <c r="D1999" i="1"/>
  <c r="C1999" i="1"/>
  <c r="K1999" i="1" s="1"/>
  <c r="G1998" i="1"/>
  <c r="H1998" i="1" s="1"/>
  <c r="E1998" i="1"/>
  <c r="D1998" i="1"/>
  <c r="C1998" i="1"/>
  <c r="K1998" i="1" s="1"/>
  <c r="G1997" i="1"/>
  <c r="H1997" i="1" s="1"/>
  <c r="E1997" i="1"/>
  <c r="D1997" i="1"/>
  <c r="C1997" i="1"/>
  <c r="K1997" i="1" s="1"/>
  <c r="G1996" i="1"/>
  <c r="H1996" i="1" s="1"/>
  <c r="E1996" i="1"/>
  <c r="D1996" i="1"/>
  <c r="C1996" i="1"/>
  <c r="K1996" i="1" s="1"/>
  <c r="G1995" i="1"/>
  <c r="H1995" i="1" s="1"/>
  <c r="E1995" i="1"/>
  <c r="D1995" i="1"/>
  <c r="C1995" i="1"/>
  <c r="K1995" i="1" s="1"/>
  <c r="G1994" i="1"/>
  <c r="H1994" i="1" s="1"/>
  <c r="E1994" i="1"/>
  <c r="D1994" i="1"/>
  <c r="C1994" i="1"/>
  <c r="K1994" i="1" s="1"/>
  <c r="G1993" i="1"/>
  <c r="H1993" i="1" s="1"/>
  <c r="E1993" i="1"/>
  <c r="D1993" i="1"/>
  <c r="C1993" i="1"/>
  <c r="K1993" i="1" s="1"/>
  <c r="G1992" i="1"/>
  <c r="H1992" i="1" s="1"/>
  <c r="E1992" i="1"/>
  <c r="D1992" i="1"/>
  <c r="C1992" i="1"/>
  <c r="K1992" i="1" s="1"/>
  <c r="G1991" i="1"/>
  <c r="H1991" i="1" s="1"/>
  <c r="E1991" i="1"/>
  <c r="D1991" i="1"/>
  <c r="C1991" i="1"/>
  <c r="K1991" i="1" s="1"/>
  <c r="G1990" i="1"/>
  <c r="H1990" i="1" s="1"/>
  <c r="E1990" i="1"/>
  <c r="D1990" i="1"/>
  <c r="C1990" i="1"/>
  <c r="K1990" i="1" s="1"/>
  <c r="G1989" i="1"/>
  <c r="H1989" i="1" s="1"/>
  <c r="E1989" i="1"/>
  <c r="D1989" i="1"/>
  <c r="C1989" i="1"/>
  <c r="K1989" i="1" s="1"/>
  <c r="G1988" i="1"/>
  <c r="H1988" i="1" s="1"/>
  <c r="E1988" i="1"/>
  <c r="D1988" i="1"/>
  <c r="C1988" i="1"/>
  <c r="K1988" i="1" s="1"/>
  <c r="G1987" i="1"/>
  <c r="H1987" i="1" s="1"/>
  <c r="E1987" i="1"/>
  <c r="D1987" i="1"/>
  <c r="C1987" i="1"/>
  <c r="K1987" i="1" s="1"/>
  <c r="G1986" i="1"/>
  <c r="H1986" i="1" s="1"/>
  <c r="E1986" i="1"/>
  <c r="D1986" i="1"/>
  <c r="C1986" i="1"/>
  <c r="K1986" i="1" s="1"/>
  <c r="G1985" i="1"/>
  <c r="H1985" i="1" s="1"/>
  <c r="E1985" i="1"/>
  <c r="D1985" i="1"/>
  <c r="C1985" i="1"/>
  <c r="K1985" i="1" s="1"/>
  <c r="G1984" i="1"/>
  <c r="H1984" i="1" s="1"/>
  <c r="E1984" i="1"/>
  <c r="D1984" i="1"/>
  <c r="C1984" i="1"/>
  <c r="K1984" i="1" s="1"/>
  <c r="G1983" i="1"/>
  <c r="H1983" i="1" s="1"/>
  <c r="E1983" i="1"/>
  <c r="D1983" i="1"/>
  <c r="C1983" i="1"/>
  <c r="K1983" i="1" s="1"/>
  <c r="G1982" i="1"/>
  <c r="H1982" i="1" s="1"/>
  <c r="E1982" i="1"/>
  <c r="D1982" i="1"/>
  <c r="C1982" i="1"/>
  <c r="K1982" i="1" s="1"/>
  <c r="G1981" i="1"/>
  <c r="H1981" i="1" s="1"/>
  <c r="E1981" i="1"/>
  <c r="D1981" i="1"/>
  <c r="C1981" i="1"/>
  <c r="K1981" i="1" s="1"/>
  <c r="G1980" i="1"/>
  <c r="H1980" i="1" s="1"/>
  <c r="E1980" i="1"/>
  <c r="D1980" i="1"/>
  <c r="C1980" i="1"/>
  <c r="K1980" i="1" s="1"/>
  <c r="G1979" i="1"/>
  <c r="H1979" i="1" s="1"/>
  <c r="E1979" i="1"/>
  <c r="D1979" i="1"/>
  <c r="C1979" i="1"/>
  <c r="K1979" i="1" s="1"/>
  <c r="G1978" i="1"/>
  <c r="H1978" i="1" s="1"/>
  <c r="E1978" i="1"/>
  <c r="D1978" i="1"/>
  <c r="C1978" i="1"/>
  <c r="K1978" i="1" s="1"/>
  <c r="G1977" i="1"/>
  <c r="H1977" i="1" s="1"/>
  <c r="E1977" i="1"/>
  <c r="D1977" i="1"/>
  <c r="C1977" i="1"/>
  <c r="K1977" i="1" s="1"/>
  <c r="G1976" i="1"/>
  <c r="H1976" i="1" s="1"/>
  <c r="E1976" i="1"/>
  <c r="D1976" i="1"/>
  <c r="C1976" i="1"/>
  <c r="K1976" i="1" s="1"/>
  <c r="G1975" i="1"/>
  <c r="H1975" i="1" s="1"/>
  <c r="E1975" i="1"/>
  <c r="D1975" i="1"/>
  <c r="C1975" i="1"/>
  <c r="K1975" i="1" s="1"/>
  <c r="G1974" i="1"/>
  <c r="H1974" i="1" s="1"/>
  <c r="E1974" i="1"/>
  <c r="D1974" i="1"/>
  <c r="C1974" i="1"/>
  <c r="K1974" i="1" s="1"/>
  <c r="G1973" i="1"/>
  <c r="H1973" i="1" s="1"/>
  <c r="E1973" i="1"/>
  <c r="D1973" i="1"/>
  <c r="C1973" i="1"/>
  <c r="K1973" i="1" s="1"/>
  <c r="G1972" i="1"/>
  <c r="H1972" i="1" s="1"/>
  <c r="E1972" i="1"/>
  <c r="D1972" i="1"/>
  <c r="C1972" i="1"/>
  <c r="K1972" i="1" s="1"/>
  <c r="G1971" i="1"/>
  <c r="H1971" i="1" s="1"/>
  <c r="E1971" i="1"/>
  <c r="D1971" i="1"/>
  <c r="C1971" i="1"/>
  <c r="K1971" i="1" s="1"/>
  <c r="G1970" i="1"/>
  <c r="H1970" i="1" s="1"/>
  <c r="E1970" i="1"/>
  <c r="D1970" i="1"/>
  <c r="C1970" i="1"/>
  <c r="K1970" i="1" s="1"/>
  <c r="G1969" i="1"/>
  <c r="H1969" i="1" s="1"/>
  <c r="E1969" i="1"/>
  <c r="D1969" i="1"/>
  <c r="C1969" i="1"/>
  <c r="K1969" i="1" s="1"/>
  <c r="G1968" i="1"/>
  <c r="H1968" i="1" s="1"/>
  <c r="E1968" i="1"/>
  <c r="D1968" i="1"/>
  <c r="C1968" i="1"/>
  <c r="K1968" i="1" s="1"/>
  <c r="G1967" i="1"/>
  <c r="H1967" i="1" s="1"/>
  <c r="E1967" i="1"/>
  <c r="D1967" i="1"/>
  <c r="C1967" i="1"/>
  <c r="K1967" i="1" s="1"/>
  <c r="G1966" i="1"/>
  <c r="H1966" i="1" s="1"/>
  <c r="E1966" i="1"/>
  <c r="D1966" i="1"/>
  <c r="C1966" i="1"/>
  <c r="K1966" i="1" s="1"/>
  <c r="G1965" i="1"/>
  <c r="H1965" i="1" s="1"/>
  <c r="E1965" i="1"/>
  <c r="D1965" i="1"/>
  <c r="C1965" i="1"/>
  <c r="K1965" i="1" s="1"/>
  <c r="G1964" i="1"/>
  <c r="H1964" i="1" s="1"/>
  <c r="E1964" i="1"/>
  <c r="D1964" i="1"/>
  <c r="C1964" i="1"/>
  <c r="K1964" i="1" s="1"/>
  <c r="G1963" i="1"/>
  <c r="H1963" i="1" s="1"/>
  <c r="E1963" i="1"/>
  <c r="D1963" i="1"/>
  <c r="C1963" i="1"/>
  <c r="K1963" i="1" s="1"/>
  <c r="G1962" i="1"/>
  <c r="H1962" i="1" s="1"/>
  <c r="E1962" i="1"/>
  <c r="D1962" i="1"/>
  <c r="C1962" i="1"/>
  <c r="K1962" i="1" s="1"/>
  <c r="G1961" i="1"/>
  <c r="H1961" i="1" s="1"/>
  <c r="E1961" i="1"/>
  <c r="D1961" i="1"/>
  <c r="C1961" i="1"/>
  <c r="K1961" i="1" s="1"/>
  <c r="G1960" i="1"/>
  <c r="H1960" i="1" s="1"/>
  <c r="E1960" i="1"/>
  <c r="D1960" i="1"/>
  <c r="C1960" i="1"/>
  <c r="K1960" i="1" s="1"/>
  <c r="G1959" i="1"/>
  <c r="H1959" i="1" s="1"/>
  <c r="E1959" i="1"/>
  <c r="D1959" i="1"/>
  <c r="C1959" i="1"/>
  <c r="K1959" i="1" s="1"/>
  <c r="G1958" i="1"/>
  <c r="H1958" i="1" s="1"/>
  <c r="E1958" i="1"/>
  <c r="D1958" i="1"/>
  <c r="C1958" i="1"/>
  <c r="K1958" i="1" s="1"/>
  <c r="G1957" i="1"/>
  <c r="H1957" i="1" s="1"/>
  <c r="E1957" i="1"/>
  <c r="D1957" i="1"/>
  <c r="C1957" i="1"/>
  <c r="K1957" i="1" s="1"/>
  <c r="G1956" i="1"/>
  <c r="H1956" i="1" s="1"/>
  <c r="E1956" i="1"/>
  <c r="D1956" i="1"/>
  <c r="C1956" i="1"/>
  <c r="K1956" i="1" s="1"/>
  <c r="G1955" i="1"/>
  <c r="H1955" i="1" s="1"/>
  <c r="E1955" i="1"/>
  <c r="D1955" i="1"/>
  <c r="C1955" i="1"/>
  <c r="K1955" i="1" s="1"/>
  <c r="G1954" i="1"/>
  <c r="H1954" i="1" s="1"/>
  <c r="E1954" i="1"/>
  <c r="D1954" i="1"/>
  <c r="C1954" i="1"/>
  <c r="K1954" i="1" s="1"/>
  <c r="G1953" i="1"/>
  <c r="H1953" i="1" s="1"/>
  <c r="E1953" i="1"/>
  <c r="D1953" i="1"/>
  <c r="C1953" i="1"/>
  <c r="K1953" i="1" s="1"/>
  <c r="G1952" i="1"/>
  <c r="H1952" i="1" s="1"/>
  <c r="E1952" i="1"/>
  <c r="D1952" i="1"/>
  <c r="C1952" i="1"/>
  <c r="K1952" i="1" s="1"/>
  <c r="G1951" i="1"/>
  <c r="H1951" i="1" s="1"/>
  <c r="E1951" i="1"/>
  <c r="D1951" i="1"/>
  <c r="C1951" i="1"/>
  <c r="K1951" i="1" s="1"/>
  <c r="G1950" i="1"/>
  <c r="H1950" i="1" s="1"/>
  <c r="E1950" i="1"/>
  <c r="D1950" i="1"/>
  <c r="C1950" i="1"/>
  <c r="K1950" i="1" s="1"/>
  <c r="G1949" i="1"/>
  <c r="H1949" i="1" s="1"/>
  <c r="E1949" i="1"/>
  <c r="D1949" i="1"/>
  <c r="C1949" i="1"/>
  <c r="K1949" i="1" s="1"/>
  <c r="G1948" i="1"/>
  <c r="H1948" i="1" s="1"/>
  <c r="E1948" i="1"/>
  <c r="D1948" i="1"/>
  <c r="C1948" i="1"/>
  <c r="K1948" i="1" s="1"/>
  <c r="G1947" i="1"/>
  <c r="H1947" i="1" s="1"/>
  <c r="E1947" i="1"/>
  <c r="D1947" i="1"/>
  <c r="C1947" i="1"/>
  <c r="K1947" i="1" s="1"/>
  <c r="G1946" i="1"/>
  <c r="H1946" i="1" s="1"/>
  <c r="E1946" i="1"/>
  <c r="D1946" i="1"/>
  <c r="C1946" i="1"/>
  <c r="K1946" i="1" s="1"/>
  <c r="G1945" i="1"/>
  <c r="H1945" i="1" s="1"/>
  <c r="E1945" i="1"/>
  <c r="D1945" i="1"/>
  <c r="C1945" i="1"/>
  <c r="K1945" i="1" s="1"/>
  <c r="G1944" i="1"/>
  <c r="H1944" i="1" s="1"/>
  <c r="E1944" i="1"/>
  <c r="D1944" i="1"/>
  <c r="C1944" i="1"/>
  <c r="K1944" i="1" s="1"/>
  <c r="G1943" i="1"/>
  <c r="H1943" i="1" s="1"/>
  <c r="E1943" i="1"/>
  <c r="D1943" i="1"/>
  <c r="C1943" i="1"/>
  <c r="K1943" i="1" s="1"/>
  <c r="G1942" i="1"/>
  <c r="H1942" i="1" s="1"/>
  <c r="E1942" i="1"/>
  <c r="D1942" i="1"/>
  <c r="C1942" i="1"/>
  <c r="K1942" i="1" s="1"/>
  <c r="G1941" i="1"/>
  <c r="H1941" i="1" s="1"/>
  <c r="E1941" i="1"/>
  <c r="D1941" i="1"/>
  <c r="C1941" i="1"/>
  <c r="K1941" i="1" s="1"/>
  <c r="G1940" i="1"/>
  <c r="H1940" i="1" s="1"/>
  <c r="E1940" i="1"/>
  <c r="D1940" i="1"/>
  <c r="C1940" i="1"/>
  <c r="K1940" i="1" s="1"/>
  <c r="G1939" i="1"/>
  <c r="H1939" i="1" s="1"/>
  <c r="E1939" i="1"/>
  <c r="D1939" i="1"/>
  <c r="C1939" i="1"/>
  <c r="K1939" i="1" s="1"/>
  <c r="G1938" i="1"/>
  <c r="H1938" i="1" s="1"/>
  <c r="E1938" i="1"/>
  <c r="D1938" i="1"/>
  <c r="C1938" i="1"/>
  <c r="K1938" i="1" s="1"/>
  <c r="G1937" i="1"/>
  <c r="H1937" i="1" s="1"/>
  <c r="E1937" i="1"/>
  <c r="D1937" i="1"/>
  <c r="C1937" i="1"/>
  <c r="K1937" i="1" s="1"/>
  <c r="G1936" i="1"/>
  <c r="H1936" i="1" s="1"/>
  <c r="E1936" i="1"/>
  <c r="D1936" i="1"/>
  <c r="C1936" i="1"/>
  <c r="K1936" i="1" s="1"/>
  <c r="G1935" i="1"/>
  <c r="H1935" i="1" s="1"/>
  <c r="E1935" i="1"/>
  <c r="D1935" i="1"/>
  <c r="C1935" i="1"/>
  <c r="K1935" i="1" s="1"/>
  <c r="G1934" i="1"/>
  <c r="H1934" i="1" s="1"/>
  <c r="E1934" i="1"/>
  <c r="D1934" i="1"/>
  <c r="C1934" i="1"/>
  <c r="K1934" i="1" s="1"/>
  <c r="G1933" i="1"/>
  <c r="H1933" i="1" s="1"/>
  <c r="E1933" i="1"/>
  <c r="D1933" i="1"/>
  <c r="C1933" i="1"/>
  <c r="K1933" i="1" s="1"/>
  <c r="G1932" i="1"/>
  <c r="H1932" i="1" s="1"/>
  <c r="E1932" i="1"/>
  <c r="D1932" i="1"/>
  <c r="C1932" i="1"/>
  <c r="K1932" i="1" s="1"/>
  <c r="G1931" i="1"/>
  <c r="H1931" i="1" s="1"/>
  <c r="E1931" i="1"/>
  <c r="D1931" i="1"/>
  <c r="C1931" i="1"/>
  <c r="K1931" i="1" s="1"/>
  <c r="G1930" i="1"/>
  <c r="H1930" i="1" s="1"/>
  <c r="E1930" i="1"/>
  <c r="D1930" i="1"/>
  <c r="C1930" i="1"/>
  <c r="K1930" i="1" s="1"/>
  <c r="G1929" i="1"/>
  <c r="H1929" i="1" s="1"/>
  <c r="E1929" i="1"/>
  <c r="D1929" i="1"/>
  <c r="C1929" i="1"/>
  <c r="K1929" i="1" s="1"/>
  <c r="G1928" i="1"/>
  <c r="H1928" i="1" s="1"/>
  <c r="E1928" i="1"/>
  <c r="D1928" i="1"/>
  <c r="C1928" i="1"/>
  <c r="K1928" i="1" s="1"/>
  <c r="G1927" i="1"/>
  <c r="H1927" i="1" s="1"/>
  <c r="E1927" i="1"/>
  <c r="D1927" i="1"/>
  <c r="C1927" i="1"/>
  <c r="K1927" i="1" s="1"/>
  <c r="G1926" i="1"/>
  <c r="H1926" i="1" s="1"/>
  <c r="E1926" i="1"/>
  <c r="D1926" i="1"/>
  <c r="C1926" i="1"/>
  <c r="K1926" i="1" s="1"/>
  <c r="G1925" i="1"/>
  <c r="H1925" i="1" s="1"/>
  <c r="E1925" i="1"/>
  <c r="D1925" i="1"/>
  <c r="C1925" i="1"/>
  <c r="K1925" i="1" s="1"/>
  <c r="G1924" i="1"/>
  <c r="H1924" i="1" s="1"/>
  <c r="E1924" i="1"/>
  <c r="D1924" i="1"/>
  <c r="C1924" i="1"/>
  <c r="K1924" i="1" s="1"/>
  <c r="G1923" i="1"/>
  <c r="H1923" i="1" s="1"/>
  <c r="E1923" i="1"/>
  <c r="D1923" i="1"/>
  <c r="C1923" i="1"/>
  <c r="K1923" i="1" s="1"/>
  <c r="G1922" i="1"/>
  <c r="H1922" i="1" s="1"/>
  <c r="E1922" i="1"/>
  <c r="D1922" i="1"/>
  <c r="C1922" i="1"/>
  <c r="K1922" i="1" s="1"/>
  <c r="G1921" i="1"/>
  <c r="H1921" i="1" s="1"/>
  <c r="E1921" i="1"/>
  <c r="D1921" i="1"/>
  <c r="C1921" i="1"/>
  <c r="K1921" i="1" s="1"/>
  <c r="G1920" i="1"/>
  <c r="H1920" i="1" s="1"/>
  <c r="E1920" i="1"/>
  <c r="D1920" i="1"/>
  <c r="C1920" i="1"/>
  <c r="K1920" i="1" s="1"/>
  <c r="G1919" i="1"/>
  <c r="H1919" i="1" s="1"/>
  <c r="E1919" i="1"/>
  <c r="D1919" i="1"/>
  <c r="C1919" i="1"/>
  <c r="K1919" i="1" s="1"/>
  <c r="G1918" i="1"/>
  <c r="H1918" i="1" s="1"/>
  <c r="E1918" i="1"/>
  <c r="D1918" i="1"/>
  <c r="C1918" i="1"/>
  <c r="K1918" i="1" s="1"/>
  <c r="G1917" i="1"/>
  <c r="H1917" i="1" s="1"/>
  <c r="E1917" i="1"/>
  <c r="D1917" i="1"/>
  <c r="C1917" i="1"/>
  <c r="K1917" i="1" s="1"/>
  <c r="G1916" i="1"/>
  <c r="H1916" i="1" s="1"/>
  <c r="E1916" i="1"/>
  <c r="D1916" i="1"/>
  <c r="C1916" i="1"/>
  <c r="K1916" i="1" s="1"/>
  <c r="G1915" i="1"/>
  <c r="H1915" i="1" s="1"/>
  <c r="E1915" i="1"/>
  <c r="D1915" i="1"/>
  <c r="C1915" i="1"/>
  <c r="K1915" i="1" s="1"/>
  <c r="G1914" i="1"/>
  <c r="H1914" i="1" s="1"/>
  <c r="E1914" i="1"/>
  <c r="D1914" i="1"/>
  <c r="C1914" i="1"/>
  <c r="K1914" i="1" s="1"/>
  <c r="G1913" i="1"/>
  <c r="H1913" i="1" s="1"/>
  <c r="E1913" i="1"/>
  <c r="D1913" i="1"/>
  <c r="C1913" i="1"/>
  <c r="K1913" i="1" s="1"/>
  <c r="G1912" i="1"/>
  <c r="H1912" i="1" s="1"/>
  <c r="E1912" i="1"/>
  <c r="D1912" i="1"/>
  <c r="C1912" i="1"/>
  <c r="K1912" i="1" s="1"/>
  <c r="G1911" i="1"/>
  <c r="H1911" i="1" s="1"/>
  <c r="E1911" i="1"/>
  <c r="D1911" i="1"/>
  <c r="C1911" i="1"/>
  <c r="K1911" i="1" s="1"/>
  <c r="G1910" i="1"/>
  <c r="H1910" i="1" s="1"/>
  <c r="E1910" i="1"/>
  <c r="D1910" i="1"/>
  <c r="C1910" i="1"/>
  <c r="K1910" i="1" s="1"/>
  <c r="G1909" i="1"/>
  <c r="H1909" i="1" s="1"/>
  <c r="E1909" i="1"/>
  <c r="D1909" i="1"/>
  <c r="C1909" i="1"/>
  <c r="K1909" i="1" s="1"/>
  <c r="G1908" i="1"/>
  <c r="H1908" i="1" s="1"/>
  <c r="E1908" i="1"/>
  <c r="D1908" i="1"/>
  <c r="C1908" i="1"/>
  <c r="K1908" i="1" s="1"/>
  <c r="G1907" i="1"/>
  <c r="H1907" i="1" s="1"/>
  <c r="E1907" i="1"/>
  <c r="D1907" i="1"/>
  <c r="C1907" i="1"/>
  <c r="K1907" i="1" s="1"/>
  <c r="G1906" i="1"/>
  <c r="H1906" i="1" s="1"/>
  <c r="E1906" i="1"/>
  <c r="D1906" i="1"/>
  <c r="C1906" i="1"/>
  <c r="K1906" i="1" s="1"/>
  <c r="G1905" i="1"/>
  <c r="H1905" i="1" s="1"/>
  <c r="E1905" i="1"/>
  <c r="D1905" i="1"/>
  <c r="C1905" i="1"/>
  <c r="K1905" i="1" s="1"/>
  <c r="G1904" i="1"/>
  <c r="H1904" i="1" s="1"/>
  <c r="E1904" i="1"/>
  <c r="D1904" i="1"/>
  <c r="C1904" i="1"/>
  <c r="K1904" i="1" s="1"/>
  <c r="G1903" i="1"/>
  <c r="H1903" i="1" s="1"/>
  <c r="E1903" i="1"/>
  <c r="D1903" i="1"/>
  <c r="C1903" i="1"/>
  <c r="K1903" i="1" s="1"/>
  <c r="G1902" i="1"/>
  <c r="H1902" i="1" s="1"/>
  <c r="E1902" i="1"/>
  <c r="D1902" i="1"/>
  <c r="C1902" i="1"/>
  <c r="K1902" i="1" s="1"/>
  <c r="G1901" i="1"/>
  <c r="H1901" i="1" s="1"/>
  <c r="E1901" i="1"/>
  <c r="D1901" i="1"/>
  <c r="C1901" i="1"/>
  <c r="K1901" i="1" s="1"/>
  <c r="G1900" i="1"/>
  <c r="H1900" i="1" s="1"/>
  <c r="E1900" i="1"/>
  <c r="D1900" i="1"/>
  <c r="C1900" i="1"/>
  <c r="K1900" i="1" s="1"/>
  <c r="G1899" i="1"/>
  <c r="H1899" i="1" s="1"/>
  <c r="E1899" i="1"/>
  <c r="D1899" i="1"/>
  <c r="C1899" i="1"/>
  <c r="K1899" i="1" s="1"/>
  <c r="G1898" i="1"/>
  <c r="H1898" i="1" s="1"/>
  <c r="E1898" i="1"/>
  <c r="D1898" i="1"/>
  <c r="C1898" i="1"/>
  <c r="K1898" i="1" s="1"/>
  <c r="G1897" i="1"/>
  <c r="H1897" i="1" s="1"/>
  <c r="E1897" i="1"/>
  <c r="D1897" i="1"/>
  <c r="C1897" i="1"/>
  <c r="K1897" i="1" s="1"/>
  <c r="G1896" i="1"/>
  <c r="H1896" i="1" s="1"/>
  <c r="E1896" i="1"/>
  <c r="D1896" i="1"/>
  <c r="C1896" i="1"/>
  <c r="K1896" i="1" s="1"/>
  <c r="G1895" i="1"/>
  <c r="H1895" i="1" s="1"/>
  <c r="E1895" i="1"/>
  <c r="D1895" i="1"/>
  <c r="C1895" i="1"/>
  <c r="K1895" i="1" s="1"/>
  <c r="G1894" i="1"/>
  <c r="H1894" i="1" s="1"/>
  <c r="E1894" i="1"/>
  <c r="D1894" i="1"/>
  <c r="C1894" i="1"/>
  <c r="K1894" i="1" s="1"/>
  <c r="G1893" i="1"/>
  <c r="H1893" i="1" s="1"/>
  <c r="E1893" i="1"/>
  <c r="D1893" i="1"/>
  <c r="C1893" i="1"/>
  <c r="K1893" i="1" s="1"/>
  <c r="G1892" i="1"/>
  <c r="H1892" i="1" s="1"/>
  <c r="E1892" i="1"/>
  <c r="D1892" i="1"/>
  <c r="C1892" i="1"/>
  <c r="K1892" i="1" s="1"/>
  <c r="G1891" i="1"/>
  <c r="H1891" i="1" s="1"/>
  <c r="E1891" i="1"/>
  <c r="D1891" i="1"/>
  <c r="C1891" i="1"/>
  <c r="K1891" i="1" s="1"/>
  <c r="G1890" i="1"/>
  <c r="H1890" i="1" s="1"/>
  <c r="E1890" i="1"/>
  <c r="D1890" i="1"/>
  <c r="C1890" i="1"/>
  <c r="K1890" i="1" s="1"/>
  <c r="G1889" i="1"/>
  <c r="H1889" i="1" s="1"/>
  <c r="E1889" i="1"/>
  <c r="D1889" i="1"/>
  <c r="C1889" i="1"/>
  <c r="K1889" i="1" s="1"/>
  <c r="G1888" i="1"/>
  <c r="H1888" i="1" s="1"/>
  <c r="E1888" i="1"/>
  <c r="D1888" i="1"/>
  <c r="C1888" i="1"/>
  <c r="K1888" i="1" s="1"/>
  <c r="G1887" i="1"/>
  <c r="H1887" i="1" s="1"/>
  <c r="E1887" i="1"/>
  <c r="D1887" i="1"/>
  <c r="C1887" i="1"/>
  <c r="K1887" i="1" s="1"/>
  <c r="G1886" i="1"/>
  <c r="H1886" i="1" s="1"/>
  <c r="E1886" i="1"/>
  <c r="D1886" i="1"/>
  <c r="C1886" i="1"/>
  <c r="K1886" i="1" s="1"/>
  <c r="G1885" i="1"/>
  <c r="H1885" i="1" s="1"/>
  <c r="E1885" i="1"/>
  <c r="D1885" i="1"/>
  <c r="C1885" i="1"/>
  <c r="K1885" i="1" s="1"/>
  <c r="G1884" i="1"/>
  <c r="H1884" i="1" s="1"/>
  <c r="E1884" i="1"/>
  <c r="D1884" i="1"/>
  <c r="C1884" i="1"/>
  <c r="K1884" i="1" s="1"/>
  <c r="G1883" i="1"/>
  <c r="H1883" i="1" s="1"/>
  <c r="E1883" i="1"/>
  <c r="D1883" i="1"/>
  <c r="C1883" i="1"/>
  <c r="K1883" i="1" s="1"/>
  <c r="G1882" i="1"/>
  <c r="H1882" i="1" s="1"/>
  <c r="E1882" i="1"/>
  <c r="D1882" i="1"/>
  <c r="C1882" i="1"/>
  <c r="K1882" i="1" s="1"/>
  <c r="G1881" i="1"/>
  <c r="H1881" i="1" s="1"/>
  <c r="E1881" i="1"/>
  <c r="D1881" i="1"/>
  <c r="C1881" i="1"/>
  <c r="K1881" i="1" s="1"/>
  <c r="G1880" i="1"/>
  <c r="H1880" i="1" s="1"/>
  <c r="E1880" i="1"/>
  <c r="D1880" i="1"/>
  <c r="C1880" i="1"/>
  <c r="K1880" i="1" s="1"/>
  <c r="G1879" i="1"/>
  <c r="H1879" i="1" s="1"/>
  <c r="E1879" i="1"/>
  <c r="D1879" i="1"/>
  <c r="C1879" i="1"/>
  <c r="K1879" i="1" s="1"/>
  <c r="G1878" i="1"/>
  <c r="H1878" i="1" s="1"/>
  <c r="E1878" i="1"/>
  <c r="D1878" i="1"/>
  <c r="C1878" i="1"/>
  <c r="K1878" i="1" s="1"/>
  <c r="G1877" i="1"/>
  <c r="H1877" i="1" s="1"/>
  <c r="E1877" i="1"/>
  <c r="D1877" i="1"/>
  <c r="C1877" i="1"/>
  <c r="K1877" i="1" s="1"/>
  <c r="G1876" i="1"/>
  <c r="H1876" i="1" s="1"/>
  <c r="E1876" i="1"/>
  <c r="D1876" i="1"/>
  <c r="C1876" i="1"/>
  <c r="K1876" i="1" s="1"/>
  <c r="G1875" i="1"/>
  <c r="H1875" i="1" s="1"/>
  <c r="E1875" i="1"/>
  <c r="D1875" i="1"/>
  <c r="C1875" i="1"/>
  <c r="K1875" i="1" s="1"/>
  <c r="G1874" i="1"/>
  <c r="H1874" i="1" s="1"/>
  <c r="E1874" i="1"/>
  <c r="D1874" i="1"/>
  <c r="C1874" i="1"/>
  <c r="K1874" i="1" s="1"/>
  <c r="G1873" i="1"/>
  <c r="H1873" i="1" s="1"/>
  <c r="E1873" i="1"/>
  <c r="D1873" i="1"/>
  <c r="C1873" i="1"/>
  <c r="K1873" i="1" s="1"/>
  <c r="G1872" i="1"/>
  <c r="H1872" i="1" s="1"/>
  <c r="E1872" i="1"/>
  <c r="D1872" i="1"/>
  <c r="C1872" i="1"/>
  <c r="K1872" i="1" s="1"/>
  <c r="G1871" i="1"/>
  <c r="H1871" i="1" s="1"/>
  <c r="E1871" i="1"/>
  <c r="D1871" i="1"/>
  <c r="C1871" i="1"/>
  <c r="K1871" i="1" s="1"/>
  <c r="G1870" i="1"/>
  <c r="H1870" i="1" s="1"/>
  <c r="E1870" i="1"/>
  <c r="D1870" i="1"/>
  <c r="C1870" i="1"/>
  <c r="K1870" i="1" s="1"/>
  <c r="G1869" i="1"/>
  <c r="H1869" i="1" s="1"/>
  <c r="E1869" i="1"/>
  <c r="D1869" i="1"/>
  <c r="C1869" i="1"/>
  <c r="K1869" i="1" s="1"/>
  <c r="G1868" i="1"/>
  <c r="H1868" i="1" s="1"/>
  <c r="E1868" i="1"/>
  <c r="D1868" i="1"/>
  <c r="C1868" i="1"/>
  <c r="K1868" i="1" s="1"/>
  <c r="G1867" i="1"/>
  <c r="H1867" i="1" s="1"/>
  <c r="E1867" i="1"/>
  <c r="D1867" i="1"/>
  <c r="C1867" i="1"/>
  <c r="K1867" i="1" s="1"/>
  <c r="G1866" i="1"/>
  <c r="H1866" i="1" s="1"/>
  <c r="E1866" i="1"/>
  <c r="D1866" i="1"/>
  <c r="C1866" i="1"/>
  <c r="K1866" i="1" s="1"/>
  <c r="G1865" i="1"/>
  <c r="H1865" i="1" s="1"/>
  <c r="E1865" i="1"/>
  <c r="D1865" i="1"/>
  <c r="C1865" i="1"/>
  <c r="K1865" i="1" s="1"/>
  <c r="G1864" i="1"/>
  <c r="H1864" i="1" s="1"/>
  <c r="E1864" i="1"/>
  <c r="D1864" i="1"/>
  <c r="C1864" i="1"/>
  <c r="K1864" i="1" s="1"/>
  <c r="G1863" i="1"/>
  <c r="H1863" i="1" s="1"/>
  <c r="E1863" i="1"/>
  <c r="D1863" i="1"/>
  <c r="C1863" i="1"/>
  <c r="K1863" i="1" s="1"/>
  <c r="G1862" i="1"/>
  <c r="H1862" i="1" s="1"/>
  <c r="E1862" i="1"/>
  <c r="D1862" i="1"/>
  <c r="C1862" i="1"/>
  <c r="K1862" i="1" s="1"/>
  <c r="G1861" i="1"/>
  <c r="H1861" i="1" s="1"/>
  <c r="E1861" i="1"/>
  <c r="D1861" i="1"/>
  <c r="C1861" i="1"/>
  <c r="G1860" i="1"/>
  <c r="H1860" i="1" s="1"/>
  <c r="E1860" i="1"/>
  <c r="D1860" i="1"/>
  <c r="C1860" i="1"/>
  <c r="K1860" i="1" s="1"/>
  <c r="G1859" i="1"/>
  <c r="H1859" i="1" s="1"/>
  <c r="E1859" i="1"/>
  <c r="D1859" i="1"/>
  <c r="C1859" i="1"/>
  <c r="K1859" i="1" s="1"/>
  <c r="G1858" i="1"/>
  <c r="H1858" i="1" s="1"/>
  <c r="E1858" i="1"/>
  <c r="D1858" i="1"/>
  <c r="C1858" i="1"/>
  <c r="K1858" i="1" s="1"/>
  <c r="G1857" i="1"/>
  <c r="H1857" i="1" s="1"/>
  <c r="E1857" i="1"/>
  <c r="D1857" i="1"/>
  <c r="C1857" i="1"/>
  <c r="K1857" i="1" s="1"/>
  <c r="G1856" i="1"/>
  <c r="H1856" i="1" s="1"/>
  <c r="E1856" i="1"/>
  <c r="D1856" i="1"/>
  <c r="C1856" i="1"/>
  <c r="K1856" i="1" s="1"/>
  <c r="G1855" i="1"/>
  <c r="H1855" i="1" s="1"/>
  <c r="E1855" i="1"/>
  <c r="D1855" i="1"/>
  <c r="C1855" i="1"/>
  <c r="K1855" i="1" s="1"/>
  <c r="G1854" i="1"/>
  <c r="H1854" i="1" s="1"/>
  <c r="E1854" i="1"/>
  <c r="D1854" i="1"/>
  <c r="C1854" i="1"/>
  <c r="K1854" i="1" s="1"/>
  <c r="G1853" i="1"/>
  <c r="H1853" i="1" s="1"/>
  <c r="E1853" i="1"/>
  <c r="D1853" i="1"/>
  <c r="C1853" i="1"/>
  <c r="K1853" i="1" s="1"/>
  <c r="G1852" i="1"/>
  <c r="H1852" i="1" s="1"/>
  <c r="E1852" i="1"/>
  <c r="D1852" i="1"/>
  <c r="C1852" i="1"/>
  <c r="K1852" i="1" s="1"/>
  <c r="G1851" i="1"/>
  <c r="H1851" i="1" s="1"/>
  <c r="E1851" i="1"/>
  <c r="D1851" i="1"/>
  <c r="C1851" i="1"/>
  <c r="K1851" i="1" s="1"/>
  <c r="G1850" i="1"/>
  <c r="H1850" i="1" s="1"/>
  <c r="E1850" i="1"/>
  <c r="D1850" i="1"/>
  <c r="C1850" i="1"/>
  <c r="K1850" i="1" s="1"/>
  <c r="G1849" i="1"/>
  <c r="H1849" i="1" s="1"/>
  <c r="E1849" i="1"/>
  <c r="D1849" i="1"/>
  <c r="C1849" i="1"/>
  <c r="K1849" i="1" s="1"/>
  <c r="G1848" i="1"/>
  <c r="H1848" i="1" s="1"/>
  <c r="E1848" i="1"/>
  <c r="D1848" i="1"/>
  <c r="C1848" i="1"/>
  <c r="K1848" i="1" s="1"/>
  <c r="G1847" i="1"/>
  <c r="H1847" i="1" s="1"/>
  <c r="E1847" i="1"/>
  <c r="D1847" i="1"/>
  <c r="C1847" i="1"/>
  <c r="K1847" i="1" s="1"/>
  <c r="G1846" i="1"/>
  <c r="H1846" i="1" s="1"/>
  <c r="E1846" i="1"/>
  <c r="D1846" i="1"/>
  <c r="C1846" i="1"/>
  <c r="K1846" i="1" s="1"/>
  <c r="G1845" i="1"/>
  <c r="H1845" i="1" s="1"/>
  <c r="E1845" i="1"/>
  <c r="D1845" i="1"/>
  <c r="C1845" i="1"/>
  <c r="K1845" i="1" s="1"/>
  <c r="G1844" i="1"/>
  <c r="H1844" i="1" s="1"/>
  <c r="E1844" i="1"/>
  <c r="D1844" i="1"/>
  <c r="C1844" i="1"/>
  <c r="K1844" i="1" s="1"/>
  <c r="G1843" i="1"/>
  <c r="H1843" i="1" s="1"/>
  <c r="E1843" i="1"/>
  <c r="D1843" i="1"/>
  <c r="C1843" i="1"/>
  <c r="K1843" i="1" s="1"/>
  <c r="G1842" i="1"/>
  <c r="H1842" i="1" s="1"/>
  <c r="E1842" i="1"/>
  <c r="D1842" i="1"/>
  <c r="C1842" i="1"/>
  <c r="K1842" i="1" s="1"/>
  <c r="G1841" i="1"/>
  <c r="H1841" i="1" s="1"/>
  <c r="E1841" i="1"/>
  <c r="D1841" i="1"/>
  <c r="C1841" i="1"/>
  <c r="K1841" i="1" s="1"/>
  <c r="G1840" i="1"/>
  <c r="H1840" i="1" s="1"/>
  <c r="E1840" i="1"/>
  <c r="D1840" i="1"/>
  <c r="C1840" i="1"/>
  <c r="K1840" i="1" s="1"/>
  <c r="G1839" i="1"/>
  <c r="H1839" i="1" s="1"/>
  <c r="E1839" i="1"/>
  <c r="D1839" i="1"/>
  <c r="C1839" i="1"/>
  <c r="K1839" i="1" s="1"/>
  <c r="G1838" i="1"/>
  <c r="H1838" i="1" s="1"/>
  <c r="E1838" i="1"/>
  <c r="D1838" i="1"/>
  <c r="C1838" i="1"/>
  <c r="K1838" i="1" s="1"/>
  <c r="G1837" i="1"/>
  <c r="H1837" i="1" s="1"/>
  <c r="E1837" i="1"/>
  <c r="D1837" i="1"/>
  <c r="C1837" i="1"/>
  <c r="K1837" i="1" s="1"/>
  <c r="G1836" i="1"/>
  <c r="H1836" i="1" s="1"/>
  <c r="E1836" i="1"/>
  <c r="D1836" i="1"/>
  <c r="C1836" i="1"/>
  <c r="K1836" i="1" s="1"/>
  <c r="G1835" i="1"/>
  <c r="H1835" i="1" s="1"/>
  <c r="E1835" i="1"/>
  <c r="D1835" i="1"/>
  <c r="C1835" i="1"/>
  <c r="K1835" i="1" s="1"/>
  <c r="G1834" i="1"/>
  <c r="H1834" i="1" s="1"/>
  <c r="E1834" i="1"/>
  <c r="D1834" i="1"/>
  <c r="C1834" i="1"/>
  <c r="K1834" i="1" s="1"/>
  <c r="G1833" i="1"/>
  <c r="H1833" i="1" s="1"/>
  <c r="E1833" i="1"/>
  <c r="D1833" i="1"/>
  <c r="C1833" i="1"/>
  <c r="K1833" i="1" s="1"/>
  <c r="G1832" i="1"/>
  <c r="H1832" i="1" s="1"/>
  <c r="E1832" i="1"/>
  <c r="D1832" i="1"/>
  <c r="C1832" i="1"/>
  <c r="K1832" i="1" s="1"/>
  <c r="G1831" i="1"/>
  <c r="H1831" i="1" s="1"/>
  <c r="E1831" i="1"/>
  <c r="D1831" i="1"/>
  <c r="C1831" i="1"/>
  <c r="G1830" i="1"/>
  <c r="H1830" i="1" s="1"/>
  <c r="E1830" i="1"/>
  <c r="D1830" i="1"/>
  <c r="C1830" i="1"/>
  <c r="K1830" i="1" s="1"/>
  <c r="G1829" i="1"/>
  <c r="H1829" i="1" s="1"/>
  <c r="E1829" i="1"/>
  <c r="D1829" i="1"/>
  <c r="C1829" i="1"/>
  <c r="K1829" i="1" s="1"/>
  <c r="G1828" i="1"/>
  <c r="H1828" i="1" s="1"/>
  <c r="E1828" i="1"/>
  <c r="D1828" i="1"/>
  <c r="C1828" i="1"/>
  <c r="K1828" i="1" s="1"/>
  <c r="G1827" i="1"/>
  <c r="H1827" i="1" s="1"/>
  <c r="E1827" i="1"/>
  <c r="D1827" i="1"/>
  <c r="C1827" i="1"/>
  <c r="K1827" i="1" s="1"/>
  <c r="G1826" i="1"/>
  <c r="H1826" i="1" s="1"/>
  <c r="E1826" i="1"/>
  <c r="D1826" i="1"/>
  <c r="C1826" i="1"/>
  <c r="K1826" i="1" s="1"/>
  <c r="G1825" i="1"/>
  <c r="H1825" i="1" s="1"/>
  <c r="E1825" i="1"/>
  <c r="D1825" i="1"/>
  <c r="C1825" i="1"/>
  <c r="K1825" i="1" s="1"/>
  <c r="G1824" i="1"/>
  <c r="H1824" i="1" s="1"/>
  <c r="E1824" i="1"/>
  <c r="D1824" i="1"/>
  <c r="C1824" i="1"/>
  <c r="K1824" i="1" s="1"/>
  <c r="G1823" i="1"/>
  <c r="H1823" i="1" s="1"/>
  <c r="E1823" i="1"/>
  <c r="D1823" i="1"/>
  <c r="C1823" i="1"/>
  <c r="K1823" i="1" s="1"/>
  <c r="G1822" i="1"/>
  <c r="H1822" i="1" s="1"/>
  <c r="E1822" i="1"/>
  <c r="D1822" i="1"/>
  <c r="C1822" i="1"/>
  <c r="K1822" i="1" s="1"/>
  <c r="G1821" i="1"/>
  <c r="H1821" i="1" s="1"/>
  <c r="E1821" i="1"/>
  <c r="D1821" i="1"/>
  <c r="C1821" i="1"/>
  <c r="K1821" i="1" s="1"/>
  <c r="G1820" i="1"/>
  <c r="H1820" i="1" s="1"/>
  <c r="E1820" i="1"/>
  <c r="D1820" i="1"/>
  <c r="C1820" i="1"/>
  <c r="K1820" i="1" s="1"/>
  <c r="G1819" i="1"/>
  <c r="H1819" i="1" s="1"/>
  <c r="E1819" i="1"/>
  <c r="D1819" i="1"/>
  <c r="C1819" i="1"/>
  <c r="K1819" i="1" s="1"/>
  <c r="G1818" i="1"/>
  <c r="H1818" i="1" s="1"/>
  <c r="E1818" i="1"/>
  <c r="D1818" i="1"/>
  <c r="C1818" i="1"/>
  <c r="K1818" i="1" s="1"/>
  <c r="G1817" i="1"/>
  <c r="H1817" i="1" s="1"/>
  <c r="E1817" i="1"/>
  <c r="D1817" i="1"/>
  <c r="C1817" i="1"/>
  <c r="G1816" i="1"/>
  <c r="H1816" i="1" s="1"/>
  <c r="E1816" i="1"/>
  <c r="D1816" i="1"/>
  <c r="C1816" i="1"/>
  <c r="K1816" i="1" s="1"/>
  <c r="G1815" i="1"/>
  <c r="H1815" i="1" s="1"/>
  <c r="E1815" i="1"/>
  <c r="D1815" i="1"/>
  <c r="C1815" i="1"/>
  <c r="K1815" i="1" s="1"/>
  <c r="G1814" i="1"/>
  <c r="H1814" i="1" s="1"/>
  <c r="E1814" i="1"/>
  <c r="D1814" i="1"/>
  <c r="C1814" i="1"/>
  <c r="K1814" i="1" s="1"/>
  <c r="G1813" i="1"/>
  <c r="H1813" i="1" s="1"/>
  <c r="E1813" i="1"/>
  <c r="D1813" i="1"/>
  <c r="C1813" i="1"/>
  <c r="K1813" i="1" s="1"/>
  <c r="G1812" i="1"/>
  <c r="H1812" i="1" s="1"/>
  <c r="E1812" i="1"/>
  <c r="D1812" i="1"/>
  <c r="C1812" i="1"/>
  <c r="K1812" i="1" s="1"/>
  <c r="G1811" i="1"/>
  <c r="H1811" i="1" s="1"/>
  <c r="E1811" i="1"/>
  <c r="D1811" i="1"/>
  <c r="C1811" i="1"/>
  <c r="K1811" i="1" s="1"/>
  <c r="G1810" i="1"/>
  <c r="H1810" i="1" s="1"/>
  <c r="E1810" i="1"/>
  <c r="D1810" i="1"/>
  <c r="C1810" i="1"/>
  <c r="K1810" i="1" s="1"/>
  <c r="G1809" i="1"/>
  <c r="H1809" i="1" s="1"/>
  <c r="E1809" i="1"/>
  <c r="D1809" i="1"/>
  <c r="C1809" i="1"/>
  <c r="K1809" i="1" s="1"/>
  <c r="G1808" i="1"/>
  <c r="H1808" i="1" s="1"/>
  <c r="E1808" i="1"/>
  <c r="D1808" i="1"/>
  <c r="C1808" i="1"/>
  <c r="K1808" i="1" s="1"/>
  <c r="G1807" i="1"/>
  <c r="H1807" i="1" s="1"/>
  <c r="E1807" i="1"/>
  <c r="D1807" i="1"/>
  <c r="C1807" i="1"/>
  <c r="G1806" i="1"/>
  <c r="H1806" i="1" s="1"/>
  <c r="E1806" i="1"/>
  <c r="D1806" i="1"/>
  <c r="C1806" i="1"/>
  <c r="K1806" i="1" s="1"/>
  <c r="G1805" i="1"/>
  <c r="H1805" i="1" s="1"/>
  <c r="E1805" i="1"/>
  <c r="D1805" i="1"/>
  <c r="C1805" i="1"/>
  <c r="K1805" i="1" s="1"/>
  <c r="G1804" i="1"/>
  <c r="H1804" i="1" s="1"/>
  <c r="E1804" i="1"/>
  <c r="D1804" i="1"/>
  <c r="C1804" i="1"/>
  <c r="K1804" i="1" s="1"/>
  <c r="G1803" i="1"/>
  <c r="H1803" i="1" s="1"/>
  <c r="E1803" i="1"/>
  <c r="D1803" i="1"/>
  <c r="C1803" i="1"/>
  <c r="K1803" i="1" s="1"/>
  <c r="G1802" i="1"/>
  <c r="H1802" i="1" s="1"/>
  <c r="E1802" i="1"/>
  <c r="D1802" i="1"/>
  <c r="C1802" i="1"/>
  <c r="K1802" i="1" s="1"/>
  <c r="G1801" i="1"/>
  <c r="H1801" i="1" s="1"/>
  <c r="E1801" i="1"/>
  <c r="D1801" i="1"/>
  <c r="C1801" i="1"/>
  <c r="K1801" i="1" s="1"/>
  <c r="G1800" i="1"/>
  <c r="H1800" i="1" s="1"/>
  <c r="E1800" i="1"/>
  <c r="D1800" i="1"/>
  <c r="C1800" i="1"/>
  <c r="K1800" i="1" s="1"/>
  <c r="G1799" i="1"/>
  <c r="H1799" i="1" s="1"/>
  <c r="E1799" i="1"/>
  <c r="D1799" i="1"/>
  <c r="C1799" i="1"/>
  <c r="K1799" i="1" s="1"/>
  <c r="G1798" i="1"/>
  <c r="H1798" i="1" s="1"/>
  <c r="E1798" i="1"/>
  <c r="D1798" i="1"/>
  <c r="C1798" i="1"/>
  <c r="K1798" i="1" s="1"/>
  <c r="G1797" i="1"/>
  <c r="H1797" i="1" s="1"/>
  <c r="E1797" i="1"/>
  <c r="D1797" i="1"/>
  <c r="C1797" i="1"/>
  <c r="K1797" i="1" s="1"/>
  <c r="G1796" i="1"/>
  <c r="H1796" i="1" s="1"/>
  <c r="E1796" i="1"/>
  <c r="D1796" i="1"/>
  <c r="C1796" i="1"/>
  <c r="K1796" i="1" s="1"/>
  <c r="G1795" i="1"/>
  <c r="H1795" i="1" s="1"/>
  <c r="E1795" i="1"/>
  <c r="D1795" i="1"/>
  <c r="C1795" i="1"/>
  <c r="K1795" i="1" s="1"/>
  <c r="G1794" i="1"/>
  <c r="H1794" i="1" s="1"/>
  <c r="E1794" i="1"/>
  <c r="D1794" i="1"/>
  <c r="C1794" i="1"/>
  <c r="K1794" i="1" s="1"/>
  <c r="G1793" i="1"/>
  <c r="H1793" i="1" s="1"/>
  <c r="E1793" i="1"/>
  <c r="D1793" i="1"/>
  <c r="C1793" i="1"/>
  <c r="K1793" i="1" s="1"/>
  <c r="G1792" i="1"/>
  <c r="H1792" i="1" s="1"/>
  <c r="E1792" i="1"/>
  <c r="D1792" i="1"/>
  <c r="C1792" i="1"/>
  <c r="K1792" i="1" s="1"/>
  <c r="G1791" i="1"/>
  <c r="H1791" i="1" s="1"/>
  <c r="E1791" i="1"/>
  <c r="D1791" i="1"/>
  <c r="C1791" i="1"/>
  <c r="K1791" i="1" s="1"/>
  <c r="G1790" i="1"/>
  <c r="H1790" i="1" s="1"/>
  <c r="E1790" i="1"/>
  <c r="D1790" i="1"/>
  <c r="C1790" i="1"/>
  <c r="K1790" i="1" s="1"/>
  <c r="G1789" i="1"/>
  <c r="H1789" i="1" s="1"/>
  <c r="E1789" i="1"/>
  <c r="D1789" i="1"/>
  <c r="C1789" i="1"/>
  <c r="K1789" i="1" s="1"/>
  <c r="G1788" i="1"/>
  <c r="H1788" i="1" s="1"/>
  <c r="E1788" i="1"/>
  <c r="D1788" i="1"/>
  <c r="C1788" i="1"/>
  <c r="K1788" i="1" s="1"/>
  <c r="G1787" i="1"/>
  <c r="H1787" i="1" s="1"/>
  <c r="E1787" i="1"/>
  <c r="D1787" i="1"/>
  <c r="C1787" i="1"/>
  <c r="G1786" i="1"/>
  <c r="H1786" i="1" s="1"/>
  <c r="E1786" i="1"/>
  <c r="D1786" i="1"/>
  <c r="C1786" i="1"/>
  <c r="K1786" i="1" s="1"/>
  <c r="G1785" i="1"/>
  <c r="H1785" i="1" s="1"/>
  <c r="E1785" i="1"/>
  <c r="D1785" i="1"/>
  <c r="C1785" i="1"/>
  <c r="K1785" i="1" s="1"/>
  <c r="G1784" i="1"/>
  <c r="H1784" i="1" s="1"/>
  <c r="E1784" i="1"/>
  <c r="D1784" i="1"/>
  <c r="C1784" i="1"/>
  <c r="K1784" i="1" s="1"/>
  <c r="G1783" i="1"/>
  <c r="H1783" i="1" s="1"/>
  <c r="E1783" i="1"/>
  <c r="D1783" i="1"/>
  <c r="C1783" i="1"/>
  <c r="K1783" i="1" s="1"/>
  <c r="G1782" i="1"/>
  <c r="H1782" i="1" s="1"/>
  <c r="E1782" i="1"/>
  <c r="D1782" i="1"/>
  <c r="C1782" i="1"/>
  <c r="K1782" i="1" s="1"/>
  <c r="G1781" i="1"/>
  <c r="H1781" i="1" s="1"/>
  <c r="E1781" i="1"/>
  <c r="D1781" i="1"/>
  <c r="C1781" i="1"/>
  <c r="K1781" i="1" s="1"/>
  <c r="G1780" i="1"/>
  <c r="H1780" i="1" s="1"/>
  <c r="E1780" i="1"/>
  <c r="D1780" i="1"/>
  <c r="C1780" i="1"/>
  <c r="K1780" i="1" s="1"/>
  <c r="G1779" i="1"/>
  <c r="H1779" i="1" s="1"/>
  <c r="E1779" i="1"/>
  <c r="D1779" i="1"/>
  <c r="C1779" i="1"/>
  <c r="K1779" i="1" s="1"/>
  <c r="G1778" i="1"/>
  <c r="H1778" i="1" s="1"/>
  <c r="E1778" i="1"/>
  <c r="D1778" i="1"/>
  <c r="C1778" i="1"/>
  <c r="K1778" i="1" s="1"/>
  <c r="G1777" i="1"/>
  <c r="H1777" i="1" s="1"/>
  <c r="E1777" i="1"/>
  <c r="D1777" i="1"/>
  <c r="C1777" i="1"/>
  <c r="K1777" i="1" s="1"/>
  <c r="G1776" i="1"/>
  <c r="H1776" i="1" s="1"/>
  <c r="E1776" i="1"/>
  <c r="D1776" i="1"/>
  <c r="C1776" i="1"/>
  <c r="K1776" i="1" s="1"/>
  <c r="G1775" i="1"/>
  <c r="H1775" i="1" s="1"/>
  <c r="E1775" i="1"/>
  <c r="D1775" i="1"/>
  <c r="C1775" i="1"/>
  <c r="K1775" i="1" s="1"/>
  <c r="G1774" i="1"/>
  <c r="H1774" i="1" s="1"/>
  <c r="E1774" i="1"/>
  <c r="D1774" i="1"/>
  <c r="C1774" i="1"/>
  <c r="K1774" i="1" s="1"/>
  <c r="G1773" i="1"/>
  <c r="H1773" i="1" s="1"/>
  <c r="E1773" i="1"/>
  <c r="D1773" i="1"/>
  <c r="C1773" i="1"/>
  <c r="K1773" i="1" s="1"/>
  <c r="G1772" i="1"/>
  <c r="H1772" i="1" s="1"/>
  <c r="E1772" i="1"/>
  <c r="D1772" i="1"/>
  <c r="C1772" i="1"/>
  <c r="K1772" i="1" s="1"/>
  <c r="G1771" i="1"/>
  <c r="H1771" i="1" s="1"/>
  <c r="E1771" i="1"/>
  <c r="D1771" i="1"/>
  <c r="C1771" i="1"/>
  <c r="G1770" i="1"/>
  <c r="H1770" i="1" s="1"/>
  <c r="E1770" i="1"/>
  <c r="D1770" i="1"/>
  <c r="C1770" i="1"/>
  <c r="K1770" i="1" s="1"/>
  <c r="G1769" i="1"/>
  <c r="H1769" i="1" s="1"/>
  <c r="E1769" i="1"/>
  <c r="D1769" i="1"/>
  <c r="C1769" i="1"/>
  <c r="K1769" i="1" s="1"/>
  <c r="G1768" i="1"/>
  <c r="H1768" i="1" s="1"/>
  <c r="E1768" i="1"/>
  <c r="D1768" i="1"/>
  <c r="C1768" i="1"/>
  <c r="K1768" i="1" s="1"/>
  <c r="G1767" i="1"/>
  <c r="H1767" i="1" s="1"/>
  <c r="E1767" i="1"/>
  <c r="D1767" i="1"/>
  <c r="C1767" i="1"/>
  <c r="K1767" i="1" s="1"/>
  <c r="G1766" i="1"/>
  <c r="H1766" i="1" s="1"/>
  <c r="E1766" i="1"/>
  <c r="D1766" i="1"/>
  <c r="C1766" i="1"/>
  <c r="K1766" i="1" s="1"/>
  <c r="G1765" i="1"/>
  <c r="H1765" i="1" s="1"/>
  <c r="E1765" i="1"/>
  <c r="D1765" i="1"/>
  <c r="C1765" i="1"/>
  <c r="K1765" i="1" s="1"/>
  <c r="G1764" i="1"/>
  <c r="H1764" i="1" s="1"/>
  <c r="E1764" i="1"/>
  <c r="D1764" i="1"/>
  <c r="C1764" i="1"/>
  <c r="K1764" i="1" s="1"/>
  <c r="G1763" i="1"/>
  <c r="H1763" i="1" s="1"/>
  <c r="E1763" i="1"/>
  <c r="D1763" i="1"/>
  <c r="C1763" i="1"/>
  <c r="G1762" i="1"/>
  <c r="H1762" i="1" s="1"/>
  <c r="E1762" i="1"/>
  <c r="D1762" i="1"/>
  <c r="C1762" i="1"/>
  <c r="K1762" i="1" s="1"/>
  <c r="G1761" i="1"/>
  <c r="H1761" i="1" s="1"/>
  <c r="E1761" i="1"/>
  <c r="D1761" i="1"/>
  <c r="C1761" i="1"/>
  <c r="K1761" i="1" s="1"/>
  <c r="G1760" i="1"/>
  <c r="H1760" i="1" s="1"/>
  <c r="E1760" i="1"/>
  <c r="D1760" i="1"/>
  <c r="C1760" i="1"/>
  <c r="K1760" i="1" s="1"/>
  <c r="G1759" i="1"/>
  <c r="H1759" i="1" s="1"/>
  <c r="E1759" i="1"/>
  <c r="D1759" i="1"/>
  <c r="C1759" i="1"/>
  <c r="K1759" i="1" s="1"/>
  <c r="G1758" i="1"/>
  <c r="H1758" i="1" s="1"/>
  <c r="E1758" i="1"/>
  <c r="D1758" i="1"/>
  <c r="C1758" i="1"/>
  <c r="K1758" i="1" s="1"/>
  <c r="G1757" i="1"/>
  <c r="H1757" i="1" s="1"/>
  <c r="E1757" i="1"/>
  <c r="D1757" i="1"/>
  <c r="C1757" i="1"/>
  <c r="G1756" i="1"/>
  <c r="H1756" i="1" s="1"/>
  <c r="E1756" i="1"/>
  <c r="D1756" i="1"/>
  <c r="C1756" i="1"/>
  <c r="K1756" i="1" s="1"/>
  <c r="G1755" i="1"/>
  <c r="H1755" i="1" s="1"/>
  <c r="E1755" i="1"/>
  <c r="D1755" i="1"/>
  <c r="C1755" i="1"/>
  <c r="K1755" i="1" s="1"/>
  <c r="G1754" i="1"/>
  <c r="H1754" i="1" s="1"/>
  <c r="E1754" i="1"/>
  <c r="D1754" i="1"/>
  <c r="C1754" i="1"/>
  <c r="K1754" i="1" s="1"/>
  <c r="G1753" i="1"/>
  <c r="H1753" i="1" s="1"/>
  <c r="E1753" i="1"/>
  <c r="D1753" i="1"/>
  <c r="C1753" i="1"/>
  <c r="K1753" i="1" s="1"/>
  <c r="G1752" i="1"/>
  <c r="H1752" i="1" s="1"/>
  <c r="E1752" i="1"/>
  <c r="D1752" i="1"/>
  <c r="C1752" i="1"/>
  <c r="K1752" i="1" s="1"/>
  <c r="G1751" i="1"/>
  <c r="H1751" i="1" s="1"/>
  <c r="E1751" i="1"/>
  <c r="D1751" i="1"/>
  <c r="C1751" i="1"/>
  <c r="K1751" i="1" s="1"/>
  <c r="G1750" i="1"/>
  <c r="H1750" i="1" s="1"/>
  <c r="E1750" i="1"/>
  <c r="D1750" i="1"/>
  <c r="C1750" i="1"/>
  <c r="K1750" i="1" s="1"/>
  <c r="G1749" i="1"/>
  <c r="H1749" i="1" s="1"/>
  <c r="E1749" i="1"/>
  <c r="D1749" i="1"/>
  <c r="C1749" i="1"/>
  <c r="K1749" i="1" s="1"/>
  <c r="G1748" i="1"/>
  <c r="H1748" i="1" s="1"/>
  <c r="E1748" i="1"/>
  <c r="D1748" i="1"/>
  <c r="C1748" i="1"/>
  <c r="K1748" i="1" s="1"/>
  <c r="G1747" i="1"/>
  <c r="H1747" i="1" s="1"/>
  <c r="E1747" i="1"/>
  <c r="D1747" i="1"/>
  <c r="C1747" i="1"/>
  <c r="K1747" i="1" s="1"/>
  <c r="G1746" i="1"/>
  <c r="H1746" i="1" s="1"/>
  <c r="E1746" i="1"/>
  <c r="D1746" i="1"/>
  <c r="C1746" i="1"/>
  <c r="K1746" i="1" s="1"/>
  <c r="G1745" i="1"/>
  <c r="H1745" i="1" s="1"/>
  <c r="E1745" i="1"/>
  <c r="D1745" i="1"/>
  <c r="C1745" i="1"/>
  <c r="G1744" i="1"/>
  <c r="H1744" i="1" s="1"/>
  <c r="E1744" i="1"/>
  <c r="D1744" i="1"/>
  <c r="C1744" i="1"/>
  <c r="K1744" i="1" s="1"/>
  <c r="G1743" i="1"/>
  <c r="H1743" i="1" s="1"/>
  <c r="E1743" i="1"/>
  <c r="D1743" i="1"/>
  <c r="C1743" i="1"/>
  <c r="K1743" i="1" s="1"/>
  <c r="G1742" i="1"/>
  <c r="H1742" i="1" s="1"/>
  <c r="E1742" i="1"/>
  <c r="D1742" i="1"/>
  <c r="C1742" i="1"/>
  <c r="K1742" i="1" s="1"/>
  <c r="G1741" i="1"/>
  <c r="H1741" i="1" s="1"/>
  <c r="E1741" i="1"/>
  <c r="D1741" i="1"/>
  <c r="C1741" i="1"/>
  <c r="K1741" i="1" s="1"/>
  <c r="G1740" i="1"/>
  <c r="H1740" i="1" s="1"/>
  <c r="E1740" i="1"/>
  <c r="D1740" i="1"/>
  <c r="C1740" i="1"/>
  <c r="K1740" i="1" s="1"/>
  <c r="G1739" i="1"/>
  <c r="H1739" i="1" s="1"/>
  <c r="E1739" i="1"/>
  <c r="D1739" i="1"/>
  <c r="C1739" i="1"/>
  <c r="K1739" i="1" s="1"/>
  <c r="G1738" i="1"/>
  <c r="H1738" i="1" s="1"/>
  <c r="E1738" i="1"/>
  <c r="D1738" i="1"/>
  <c r="C1738" i="1"/>
  <c r="K1738" i="1" s="1"/>
  <c r="G1737" i="1"/>
  <c r="H1737" i="1" s="1"/>
  <c r="E1737" i="1"/>
  <c r="D1737" i="1"/>
  <c r="C1737" i="1"/>
  <c r="K1737" i="1" s="1"/>
  <c r="G1736" i="1"/>
  <c r="H1736" i="1" s="1"/>
  <c r="E1736" i="1"/>
  <c r="D1736" i="1"/>
  <c r="C1736" i="1"/>
  <c r="K1736" i="1" s="1"/>
  <c r="G1735" i="1"/>
  <c r="H1735" i="1" s="1"/>
  <c r="E1735" i="1"/>
  <c r="D1735" i="1"/>
  <c r="C1735" i="1"/>
  <c r="K1735" i="1" s="1"/>
  <c r="G1734" i="1"/>
  <c r="H1734" i="1" s="1"/>
  <c r="E1734" i="1"/>
  <c r="D1734" i="1"/>
  <c r="C1734" i="1"/>
  <c r="K1734" i="1" s="1"/>
  <c r="G1733" i="1"/>
  <c r="H1733" i="1" s="1"/>
  <c r="E1733" i="1"/>
  <c r="D1733" i="1"/>
  <c r="C1733" i="1"/>
  <c r="K1733" i="1" s="1"/>
  <c r="G1732" i="1"/>
  <c r="H1732" i="1" s="1"/>
  <c r="E1732" i="1"/>
  <c r="D1732" i="1"/>
  <c r="C1732" i="1"/>
  <c r="K1732" i="1" s="1"/>
  <c r="G1731" i="1"/>
  <c r="H1731" i="1" s="1"/>
  <c r="E1731" i="1"/>
  <c r="D1731" i="1"/>
  <c r="C1731" i="1"/>
  <c r="K1731" i="1" s="1"/>
  <c r="G1730" i="1"/>
  <c r="H1730" i="1" s="1"/>
  <c r="E1730" i="1"/>
  <c r="D1730" i="1"/>
  <c r="C1730" i="1"/>
  <c r="K1730" i="1" s="1"/>
  <c r="G1729" i="1"/>
  <c r="H1729" i="1" s="1"/>
  <c r="E1729" i="1"/>
  <c r="D1729" i="1"/>
  <c r="C1729" i="1"/>
  <c r="K1729" i="1" s="1"/>
  <c r="G1728" i="1"/>
  <c r="H1728" i="1" s="1"/>
  <c r="E1728" i="1"/>
  <c r="D1728" i="1"/>
  <c r="C1728" i="1"/>
  <c r="K1728" i="1" s="1"/>
  <c r="G1727" i="1"/>
  <c r="H1727" i="1" s="1"/>
  <c r="E1727" i="1"/>
  <c r="D1727" i="1"/>
  <c r="C1727" i="1"/>
  <c r="K1727" i="1" s="1"/>
  <c r="G1726" i="1"/>
  <c r="H1726" i="1" s="1"/>
  <c r="E1726" i="1"/>
  <c r="D1726" i="1"/>
  <c r="C1726" i="1"/>
  <c r="K1726" i="1" s="1"/>
  <c r="G1725" i="1"/>
  <c r="H1725" i="1" s="1"/>
  <c r="E1725" i="1"/>
  <c r="D1725" i="1"/>
  <c r="C1725" i="1"/>
  <c r="K1725" i="1" s="1"/>
  <c r="G1724" i="1"/>
  <c r="H1724" i="1" s="1"/>
  <c r="E1724" i="1"/>
  <c r="D1724" i="1"/>
  <c r="C1724" i="1"/>
  <c r="K1724" i="1" s="1"/>
  <c r="G1723" i="1"/>
  <c r="H1723" i="1" s="1"/>
  <c r="E1723" i="1"/>
  <c r="D1723" i="1"/>
  <c r="C1723" i="1"/>
  <c r="K1723" i="1" s="1"/>
  <c r="G1722" i="1"/>
  <c r="H1722" i="1" s="1"/>
  <c r="E1722" i="1"/>
  <c r="D1722" i="1"/>
  <c r="C1722" i="1"/>
  <c r="K1722" i="1" s="1"/>
  <c r="G1721" i="1"/>
  <c r="H1721" i="1" s="1"/>
  <c r="E1721" i="1"/>
  <c r="D1721" i="1"/>
  <c r="C1721" i="1"/>
  <c r="K1721" i="1" s="1"/>
  <c r="G1720" i="1"/>
  <c r="H1720" i="1" s="1"/>
  <c r="E1720" i="1"/>
  <c r="D1720" i="1"/>
  <c r="C1720" i="1"/>
  <c r="K1720" i="1" s="1"/>
  <c r="G1719" i="1"/>
  <c r="H1719" i="1" s="1"/>
  <c r="E1719" i="1"/>
  <c r="D1719" i="1"/>
  <c r="C1719" i="1"/>
  <c r="K1719" i="1" s="1"/>
  <c r="G1718" i="1"/>
  <c r="H1718" i="1" s="1"/>
  <c r="E1718" i="1"/>
  <c r="D1718" i="1"/>
  <c r="C1718" i="1"/>
  <c r="K1718" i="1" s="1"/>
  <c r="G1717" i="1"/>
  <c r="H1717" i="1" s="1"/>
  <c r="E1717" i="1"/>
  <c r="D1717" i="1"/>
  <c r="C1717" i="1"/>
  <c r="K1717" i="1" s="1"/>
  <c r="G1716" i="1"/>
  <c r="H1716" i="1" s="1"/>
  <c r="E1716" i="1"/>
  <c r="D1716" i="1"/>
  <c r="C1716" i="1"/>
  <c r="K1716" i="1" s="1"/>
  <c r="G1715" i="1"/>
  <c r="H1715" i="1" s="1"/>
  <c r="E1715" i="1"/>
  <c r="D1715" i="1"/>
  <c r="C1715" i="1"/>
  <c r="K1715" i="1" s="1"/>
  <c r="G1714" i="1"/>
  <c r="H1714" i="1" s="1"/>
  <c r="E1714" i="1"/>
  <c r="D1714" i="1"/>
  <c r="C1714" i="1"/>
  <c r="K1714" i="1" s="1"/>
  <c r="G1713" i="1"/>
  <c r="H1713" i="1" s="1"/>
  <c r="E1713" i="1"/>
  <c r="D1713" i="1"/>
  <c r="C1713" i="1"/>
  <c r="K1713" i="1" s="1"/>
  <c r="G1712" i="1"/>
  <c r="H1712" i="1" s="1"/>
  <c r="E1712" i="1"/>
  <c r="D1712" i="1"/>
  <c r="C1712" i="1"/>
  <c r="K1712" i="1" s="1"/>
  <c r="G1711" i="1"/>
  <c r="H1711" i="1" s="1"/>
  <c r="E1711" i="1"/>
  <c r="D1711" i="1"/>
  <c r="C1711" i="1"/>
  <c r="K1711" i="1" s="1"/>
  <c r="G1710" i="1"/>
  <c r="H1710" i="1" s="1"/>
  <c r="E1710" i="1"/>
  <c r="D1710" i="1"/>
  <c r="C1710" i="1"/>
  <c r="K1710" i="1" s="1"/>
  <c r="G1709" i="1"/>
  <c r="H1709" i="1" s="1"/>
  <c r="E1709" i="1"/>
  <c r="D1709" i="1"/>
  <c r="C1709" i="1"/>
  <c r="K1709" i="1" s="1"/>
  <c r="G1708" i="1"/>
  <c r="H1708" i="1" s="1"/>
  <c r="E1708" i="1"/>
  <c r="D1708" i="1"/>
  <c r="C1708" i="1"/>
  <c r="K1708" i="1" s="1"/>
  <c r="G1707" i="1"/>
  <c r="H1707" i="1" s="1"/>
  <c r="E1707" i="1"/>
  <c r="D1707" i="1"/>
  <c r="C1707" i="1"/>
  <c r="K1707" i="1" s="1"/>
  <c r="G1706" i="1"/>
  <c r="H1706" i="1" s="1"/>
  <c r="E1706" i="1"/>
  <c r="D1706" i="1"/>
  <c r="C1706" i="1"/>
  <c r="K1706" i="1" s="1"/>
  <c r="G1705" i="1"/>
  <c r="H1705" i="1" s="1"/>
  <c r="E1705" i="1"/>
  <c r="D1705" i="1"/>
  <c r="C1705" i="1"/>
  <c r="K1705" i="1" s="1"/>
  <c r="G1704" i="1"/>
  <c r="H1704" i="1" s="1"/>
  <c r="E1704" i="1"/>
  <c r="D1704" i="1"/>
  <c r="C1704" i="1"/>
  <c r="K1704" i="1" s="1"/>
  <c r="G1703" i="1"/>
  <c r="H1703" i="1" s="1"/>
  <c r="E1703" i="1"/>
  <c r="D1703" i="1"/>
  <c r="C1703" i="1"/>
  <c r="K1703" i="1" s="1"/>
  <c r="G1702" i="1"/>
  <c r="H1702" i="1" s="1"/>
  <c r="E1702" i="1"/>
  <c r="D1702" i="1"/>
  <c r="C1702" i="1"/>
  <c r="K1702" i="1" s="1"/>
  <c r="G1701" i="1"/>
  <c r="H1701" i="1" s="1"/>
  <c r="E1701" i="1"/>
  <c r="D1701" i="1"/>
  <c r="C1701" i="1"/>
  <c r="K1701" i="1" s="1"/>
  <c r="G1700" i="1"/>
  <c r="H1700" i="1" s="1"/>
  <c r="E1700" i="1"/>
  <c r="D1700" i="1"/>
  <c r="C1700" i="1"/>
  <c r="K1700" i="1" s="1"/>
  <c r="G1699" i="1"/>
  <c r="H1699" i="1" s="1"/>
  <c r="E1699" i="1"/>
  <c r="D1699" i="1"/>
  <c r="C1699" i="1"/>
  <c r="K1699" i="1" s="1"/>
  <c r="G1698" i="1"/>
  <c r="H1698" i="1" s="1"/>
  <c r="E1698" i="1"/>
  <c r="D1698" i="1"/>
  <c r="C1698" i="1"/>
  <c r="K1698" i="1" s="1"/>
  <c r="G1697" i="1"/>
  <c r="H1697" i="1" s="1"/>
  <c r="E1697" i="1"/>
  <c r="D1697" i="1"/>
  <c r="C1697" i="1"/>
  <c r="K1697" i="1" s="1"/>
  <c r="G1696" i="1"/>
  <c r="H1696" i="1" s="1"/>
  <c r="E1696" i="1"/>
  <c r="D1696" i="1"/>
  <c r="C1696" i="1"/>
  <c r="K1696" i="1" s="1"/>
  <c r="G1695" i="1"/>
  <c r="H1695" i="1" s="1"/>
  <c r="E1695" i="1"/>
  <c r="D1695" i="1"/>
  <c r="C1695" i="1"/>
  <c r="K1695" i="1" s="1"/>
  <c r="G1694" i="1"/>
  <c r="H1694" i="1" s="1"/>
  <c r="E1694" i="1"/>
  <c r="D1694" i="1"/>
  <c r="C1694" i="1"/>
  <c r="K1694" i="1" s="1"/>
  <c r="G1693" i="1"/>
  <c r="H1693" i="1" s="1"/>
  <c r="E1693" i="1"/>
  <c r="D1693" i="1"/>
  <c r="C1693" i="1"/>
  <c r="K1693" i="1" s="1"/>
  <c r="G1692" i="1"/>
  <c r="H1692" i="1" s="1"/>
  <c r="E1692" i="1"/>
  <c r="D1692" i="1"/>
  <c r="C1692" i="1"/>
  <c r="K1692" i="1" s="1"/>
  <c r="G1691" i="1"/>
  <c r="H1691" i="1" s="1"/>
  <c r="E1691" i="1"/>
  <c r="D1691" i="1"/>
  <c r="C1691" i="1"/>
  <c r="K1691" i="1" s="1"/>
  <c r="G1690" i="1"/>
  <c r="H1690" i="1" s="1"/>
  <c r="E1690" i="1"/>
  <c r="D1690" i="1"/>
  <c r="C1690" i="1"/>
  <c r="K1690" i="1" s="1"/>
  <c r="G1689" i="1"/>
  <c r="H1689" i="1" s="1"/>
  <c r="E1689" i="1"/>
  <c r="D1689" i="1"/>
  <c r="C1689" i="1"/>
  <c r="K1689" i="1" s="1"/>
  <c r="G1688" i="1"/>
  <c r="H1688" i="1" s="1"/>
  <c r="E1688" i="1"/>
  <c r="D1688" i="1"/>
  <c r="C1688" i="1"/>
  <c r="K1688" i="1" s="1"/>
  <c r="G1687" i="1"/>
  <c r="H1687" i="1" s="1"/>
  <c r="E1687" i="1"/>
  <c r="D1687" i="1"/>
  <c r="C1687" i="1"/>
  <c r="K1687" i="1" s="1"/>
  <c r="G1686" i="1"/>
  <c r="H1686" i="1" s="1"/>
  <c r="E1686" i="1"/>
  <c r="D1686" i="1"/>
  <c r="C1686" i="1"/>
  <c r="K1686" i="1" s="1"/>
  <c r="G1685" i="1"/>
  <c r="H1685" i="1" s="1"/>
  <c r="E1685" i="1"/>
  <c r="D1685" i="1"/>
  <c r="C1685" i="1"/>
  <c r="K1685" i="1" s="1"/>
  <c r="G1684" i="1"/>
  <c r="H1684" i="1" s="1"/>
  <c r="E1684" i="1"/>
  <c r="D1684" i="1"/>
  <c r="C1684" i="1"/>
  <c r="K1684" i="1" s="1"/>
  <c r="G1683" i="1"/>
  <c r="H1683" i="1" s="1"/>
  <c r="E1683" i="1"/>
  <c r="D1683" i="1"/>
  <c r="C1683" i="1"/>
  <c r="K1683" i="1" s="1"/>
  <c r="G1682" i="1"/>
  <c r="H1682" i="1" s="1"/>
  <c r="E1682" i="1"/>
  <c r="D1682" i="1"/>
  <c r="C1682" i="1"/>
  <c r="K1682" i="1" s="1"/>
  <c r="G1681" i="1"/>
  <c r="H1681" i="1" s="1"/>
  <c r="E1681" i="1"/>
  <c r="D1681" i="1"/>
  <c r="C1681" i="1"/>
  <c r="K1681" i="1" s="1"/>
  <c r="G1680" i="1"/>
  <c r="H1680" i="1" s="1"/>
  <c r="E1680" i="1"/>
  <c r="D1680" i="1"/>
  <c r="C1680" i="1"/>
  <c r="K1680" i="1" s="1"/>
  <c r="G1679" i="1"/>
  <c r="H1679" i="1" s="1"/>
  <c r="E1679" i="1"/>
  <c r="D1679" i="1"/>
  <c r="C1679" i="1"/>
  <c r="K1679" i="1" s="1"/>
  <c r="G1678" i="1"/>
  <c r="H1678" i="1" s="1"/>
  <c r="E1678" i="1"/>
  <c r="D1678" i="1"/>
  <c r="C1678" i="1"/>
  <c r="K1678" i="1" s="1"/>
  <c r="G1677" i="1"/>
  <c r="H1677" i="1" s="1"/>
  <c r="E1677" i="1"/>
  <c r="D1677" i="1"/>
  <c r="C1677" i="1"/>
  <c r="K1677" i="1" s="1"/>
  <c r="G1676" i="1"/>
  <c r="H1676" i="1" s="1"/>
  <c r="E1676" i="1"/>
  <c r="D1676" i="1"/>
  <c r="C1676" i="1"/>
  <c r="K1676" i="1" s="1"/>
  <c r="G1675" i="1"/>
  <c r="H1675" i="1" s="1"/>
  <c r="E1675" i="1"/>
  <c r="D1675" i="1"/>
  <c r="C1675" i="1"/>
  <c r="K1675" i="1" s="1"/>
  <c r="G1674" i="1"/>
  <c r="H1674" i="1" s="1"/>
  <c r="E1674" i="1"/>
  <c r="D1674" i="1"/>
  <c r="C1674" i="1"/>
  <c r="K1674" i="1" s="1"/>
  <c r="G1673" i="1"/>
  <c r="H1673" i="1" s="1"/>
  <c r="E1673" i="1"/>
  <c r="D1673" i="1"/>
  <c r="C1673" i="1"/>
  <c r="K1673" i="1" s="1"/>
  <c r="G1672" i="1"/>
  <c r="H1672" i="1" s="1"/>
  <c r="E1672" i="1"/>
  <c r="D1672" i="1"/>
  <c r="C1672" i="1"/>
  <c r="K1672" i="1" s="1"/>
  <c r="G1671" i="1"/>
  <c r="H1671" i="1" s="1"/>
  <c r="E1671" i="1"/>
  <c r="D1671" i="1"/>
  <c r="C1671" i="1"/>
  <c r="K1671" i="1" s="1"/>
  <c r="G1670" i="1"/>
  <c r="H1670" i="1" s="1"/>
  <c r="E1670" i="1"/>
  <c r="D1670" i="1"/>
  <c r="C1670" i="1"/>
  <c r="K1670" i="1" s="1"/>
  <c r="G1669" i="1"/>
  <c r="H1669" i="1" s="1"/>
  <c r="E1669" i="1"/>
  <c r="D1669" i="1"/>
  <c r="C1669" i="1"/>
  <c r="K1669" i="1" s="1"/>
  <c r="G1668" i="1"/>
  <c r="H1668" i="1" s="1"/>
  <c r="E1668" i="1"/>
  <c r="D1668" i="1"/>
  <c r="C1668" i="1"/>
  <c r="K1668" i="1" s="1"/>
  <c r="G1667" i="1"/>
  <c r="H1667" i="1" s="1"/>
  <c r="E1667" i="1"/>
  <c r="D1667" i="1"/>
  <c r="C1667" i="1"/>
  <c r="K1667" i="1" s="1"/>
  <c r="G1666" i="1"/>
  <c r="H1666" i="1" s="1"/>
  <c r="E1666" i="1"/>
  <c r="D1666" i="1"/>
  <c r="C1666" i="1"/>
  <c r="K1666" i="1" s="1"/>
  <c r="G1665" i="1"/>
  <c r="H1665" i="1" s="1"/>
  <c r="E1665" i="1"/>
  <c r="D1665" i="1"/>
  <c r="C1665" i="1"/>
  <c r="K1665" i="1" s="1"/>
  <c r="G1664" i="1"/>
  <c r="H1664" i="1" s="1"/>
  <c r="E1664" i="1"/>
  <c r="D1664" i="1"/>
  <c r="C1664" i="1"/>
  <c r="K1664" i="1" s="1"/>
  <c r="G1663" i="1"/>
  <c r="H1663" i="1" s="1"/>
  <c r="E1663" i="1"/>
  <c r="D1663" i="1"/>
  <c r="C1663" i="1"/>
  <c r="K1663" i="1" s="1"/>
  <c r="G1662" i="1"/>
  <c r="H1662" i="1" s="1"/>
  <c r="E1662" i="1"/>
  <c r="D1662" i="1"/>
  <c r="C1662" i="1"/>
  <c r="K1662" i="1" s="1"/>
  <c r="G1661" i="1"/>
  <c r="H1661" i="1" s="1"/>
  <c r="E1661" i="1"/>
  <c r="D1661" i="1"/>
  <c r="C1661" i="1"/>
  <c r="K1661" i="1" s="1"/>
  <c r="G1660" i="1"/>
  <c r="H1660" i="1" s="1"/>
  <c r="E1660" i="1"/>
  <c r="D1660" i="1"/>
  <c r="C1660" i="1"/>
  <c r="K1660" i="1" s="1"/>
  <c r="G1659" i="1"/>
  <c r="H1659" i="1" s="1"/>
  <c r="E1659" i="1"/>
  <c r="D1659" i="1"/>
  <c r="C1659" i="1"/>
  <c r="K1659" i="1" s="1"/>
  <c r="G1658" i="1"/>
  <c r="H1658" i="1" s="1"/>
  <c r="E1658" i="1"/>
  <c r="D1658" i="1"/>
  <c r="C1658" i="1"/>
  <c r="K1658" i="1" s="1"/>
  <c r="G1657" i="1"/>
  <c r="H1657" i="1" s="1"/>
  <c r="E1657" i="1"/>
  <c r="D1657" i="1"/>
  <c r="C1657" i="1"/>
  <c r="K1657" i="1" s="1"/>
  <c r="G1656" i="1"/>
  <c r="H1656" i="1" s="1"/>
  <c r="E1656" i="1"/>
  <c r="D1656" i="1"/>
  <c r="C1656" i="1"/>
  <c r="K1656" i="1" s="1"/>
  <c r="G1655" i="1"/>
  <c r="H1655" i="1" s="1"/>
  <c r="E1655" i="1"/>
  <c r="D1655" i="1"/>
  <c r="C1655" i="1"/>
  <c r="K1655" i="1" s="1"/>
  <c r="G1654" i="1"/>
  <c r="H1654" i="1" s="1"/>
  <c r="E1654" i="1"/>
  <c r="D1654" i="1"/>
  <c r="C1654" i="1"/>
  <c r="K1654" i="1" s="1"/>
  <c r="G1653" i="1"/>
  <c r="H1653" i="1" s="1"/>
  <c r="E1653" i="1"/>
  <c r="D1653" i="1"/>
  <c r="C1653" i="1"/>
  <c r="K1653" i="1" s="1"/>
  <c r="G1652" i="1"/>
  <c r="H1652" i="1" s="1"/>
  <c r="E1652" i="1"/>
  <c r="D1652" i="1"/>
  <c r="C1652" i="1"/>
  <c r="K1652" i="1" s="1"/>
  <c r="G1651" i="1"/>
  <c r="H1651" i="1" s="1"/>
  <c r="E1651" i="1"/>
  <c r="D1651" i="1"/>
  <c r="C1651" i="1"/>
  <c r="K1651" i="1" s="1"/>
  <c r="G1650" i="1"/>
  <c r="H1650" i="1" s="1"/>
  <c r="E1650" i="1"/>
  <c r="D1650" i="1"/>
  <c r="C1650" i="1"/>
  <c r="K1650" i="1" s="1"/>
  <c r="G1649" i="1"/>
  <c r="H1649" i="1" s="1"/>
  <c r="E1649" i="1"/>
  <c r="D1649" i="1"/>
  <c r="C1649" i="1"/>
  <c r="K1649" i="1" s="1"/>
  <c r="G1648" i="1"/>
  <c r="H1648" i="1" s="1"/>
  <c r="E1648" i="1"/>
  <c r="D1648" i="1"/>
  <c r="C1648" i="1"/>
  <c r="K1648" i="1" s="1"/>
  <c r="G1647" i="1"/>
  <c r="H1647" i="1" s="1"/>
  <c r="E1647" i="1"/>
  <c r="D1647" i="1"/>
  <c r="C1647" i="1"/>
  <c r="K1647" i="1" s="1"/>
  <c r="G1646" i="1"/>
  <c r="H1646" i="1" s="1"/>
  <c r="E1646" i="1"/>
  <c r="D1646" i="1"/>
  <c r="C1646" i="1"/>
  <c r="K1646" i="1" s="1"/>
  <c r="G1645" i="1"/>
  <c r="H1645" i="1" s="1"/>
  <c r="E1645" i="1"/>
  <c r="D1645" i="1"/>
  <c r="C1645" i="1"/>
  <c r="K1645" i="1" s="1"/>
  <c r="G1644" i="1"/>
  <c r="H1644" i="1" s="1"/>
  <c r="E1644" i="1"/>
  <c r="D1644" i="1"/>
  <c r="C1644" i="1"/>
  <c r="K1644" i="1" s="1"/>
  <c r="G1643" i="1"/>
  <c r="H1643" i="1" s="1"/>
  <c r="E1643" i="1"/>
  <c r="D1643" i="1"/>
  <c r="C1643" i="1"/>
  <c r="K1643" i="1" s="1"/>
  <c r="G1642" i="1"/>
  <c r="H1642" i="1" s="1"/>
  <c r="E1642" i="1"/>
  <c r="D1642" i="1"/>
  <c r="C1642" i="1"/>
  <c r="K1642" i="1" s="1"/>
  <c r="G1641" i="1"/>
  <c r="H1641" i="1" s="1"/>
  <c r="E1641" i="1"/>
  <c r="D1641" i="1"/>
  <c r="C1641" i="1"/>
  <c r="K1641" i="1" s="1"/>
  <c r="G1640" i="1"/>
  <c r="H1640" i="1" s="1"/>
  <c r="E1640" i="1"/>
  <c r="D1640" i="1"/>
  <c r="C1640" i="1"/>
  <c r="K1640" i="1" s="1"/>
  <c r="G1639" i="1"/>
  <c r="H1639" i="1" s="1"/>
  <c r="E1639" i="1"/>
  <c r="D1639" i="1"/>
  <c r="C1639" i="1"/>
  <c r="K1639" i="1" s="1"/>
  <c r="G1638" i="1"/>
  <c r="H1638" i="1" s="1"/>
  <c r="E1638" i="1"/>
  <c r="D1638" i="1"/>
  <c r="C1638" i="1"/>
  <c r="K1638" i="1" s="1"/>
  <c r="G1637" i="1"/>
  <c r="H1637" i="1" s="1"/>
  <c r="E1637" i="1"/>
  <c r="D1637" i="1"/>
  <c r="C1637" i="1"/>
  <c r="K1637" i="1" s="1"/>
  <c r="G1636" i="1"/>
  <c r="H1636" i="1" s="1"/>
  <c r="E1636" i="1"/>
  <c r="D1636" i="1"/>
  <c r="C1636" i="1"/>
  <c r="K1636" i="1" s="1"/>
  <c r="G1635" i="1"/>
  <c r="H1635" i="1" s="1"/>
  <c r="E1635" i="1"/>
  <c r="D1635" i="1"/>
  <c r="C1635" i="1"/>
  <c r="K1635" i="1" s="1"/>
  <c r="G1634" i="1"/>
  <c r="H1634" i="1" s="1"/>
  <c r="E1634" i="1"/>
  <c r="D1634" i="1"/>
  <c r="C1634" i="1"/>
  <c r="K1634" i="1" s="1"/>
  <c r="G1633" i="1"/>
  <c r="H1633" i="1" s="1"/>
  <c r="E1633" i="1"/>
  <c r="D1633" i="1"/>
  <c r="C1633" i="1"/>
  <c r="K1633" i="1" s="1"/>
  <c r="G1632" i="1"/>
  <c r="H1632" i="1" s="1"/>
  <c r="E1632" i="1"/>
  <c r="D1632" i="1"/>
  <c r="C1632" i="1"/>
  <c r="K1632" i="1" s="1"/>
  <c r="G1631" i="1"/>
  <c r="H1631" i="1" s="1"/>
  <c r="E1631" i="1"/>
  <c r="D1631" i="1"/>
  <c r="C1631" i="1"/>
  <c r="K1631" i="1" s="1"/>
  <c r="G1630" i="1"/>
  <c r="H1630" i="1" s="1"/>
  <c r="E1630" i="1"/>
  <c r="D1630" i="1"/>
  <c r="C1630" i="1"/>
  <c r="K1630" i="1" s="1"/>
  <c r="G1629" i="1"/>
  <c r="H1629" i="1" s="1"/>
  <c r="E1629" i="1"/>
  <c r="D1629" i="1"/>
  <c r="C1629" i="1"/>
  <c r="K1629" i="1" s="1"/>
  <c r="G1628" i="1"/>
  <c r="H1628" i="1" s="1"/>
  <c r="E1628" i="1"/>
  <c r="D1628" i="1"/>
  <c r="C1628" i="1"/>
  <c r="K1628" i="1" s="1"/>
  <c r="G1627" i="1"/>
  <c r="H1627" i="1" s="1"/>
  <c r="E1627" i="1"/>
  <c r="D1627" i="1"/>
  <c r="C1627" i="1"/>
  <c r="K1627" i="1" s="1"/>
  <c r="G1626" i="1"/>
  <c r="H1626" i="1" s="1"/>
  <c r="E1626" i="1"/>
  <c r="D1626" i="1"/>
  <c r="C1626" i="1"/>
  <c r="K1626" i="1" s="1"/>
  <c r="G1625" i="1"/>
  <c r="H1625" i="1" s="1"/>
  <c r="E1625" i="1"/>
  <c r="D1625" i="1"/>
  <c r="C1625" i="1"/>
  <c r="K1625" i="1" s="1"/>
  <c r="G1624" i="1"/>
  <c r="H1624" i="1" s="1"/>
  <c r="E1624" i="1"/>
  <c r="D1624" i="1"/>
  <c r="C1624" i="1"/>
  <c r="K1624" i="1" s="1"/>
  <c r="G1623" i="1"/>
  <c r="H1623" i="1" s="1"/>
  <c r="E1623" i="1"/>
  <c r="D1623" i="1"/>
  <c r="C1623" i="1"/>
  <c r="K1623" i="1" s="1"/>
  <c r="G1622" i="1"/>
  <c r="H1622" i="1" s="1"/>
  <c r="E1622" i="1"/>
  <c r="D1622" i="1"/>
  <c r="C1622" i="1"/>
  <c r="K1622" i="1" s="1"/>
  <c r="G1621" i="1"/>
  <c r="H1621" i="1" s="1"/>
  <c r="E1621" i="1"/>
  <c r="D1621" i="1"/>
  <c r="C1621" i="1"/>
  <c r="K1621" i="1" s="1"/>
  <c r="G1620" i="1"/>
  <c r="H1620" i="1" s="1"/>
  <c r="E1620" i="1"/>
  <c r="D1620" i="1"/>
  <c r="C1620" i="1"/>
  <c r="K1620" i="1" s="1"/>
  <c r="G1619" i="1"/>
  <c r="H1619" i="1" s="1"/>
  <c r="E1619" i="1"/>
  <c r="D1619" i="1"/>
  <c r="C1619" i="1"/>
  <c r="K1619" i="1" s="1"/>
  <c r="G1618" i="1"/>
  <c r="H1618" i="1" s="1"/>
  <c r="E1618" i="1"/>
  <c r="D1618" i="1"/>
  <c r="C1618" i="1"/>
  <c r="K1618" i="1" s="1"/>
  <c r="G1617" i="1"/>
  <c r="H1617" i="1" s="1"/>
  <c r="E1617" i="1"/>
  <c r="D1617" i="1"/>
  <c r="C1617" i="1"/>
  <c r="K1617" i="1" s="1"/>
  <c r="G1616" i="1"/>
  <c r="H1616" i="1" s="1"/>
  <c r="E1616" i="1"/>
  <c r="D1616" i="1"/>
  <c r="C1616" i="1"/>
  <c r="K1616" i="1" s="1"/>
  <c r="G1615" i="1"/>
  <c r="H1615" i="1" s="1"/>
  <c r="E1615" i="1"/>
  <c r="D1615" i="1"/>
  <c r="C1615" i="1"/>
  <c r="K1615" i="1" s="1"/>
  <c r="G1614" i="1"/>
  <c r="H1614" i="1" s="1"/>
  <c r="E1614" i="1"/>
  <c r="D1614" i="1"/>
  <c r="C1614" i="1"/>
  <c r="K1614" i="1" s="1"/>
  <c r="G1613" i="1"/>
  <c r="H1613" i="1" s="1"/>
  <c r="E1613" i="1"/>
  <c r="D1613" i="1"/>
  <c r="C1613" i="1"/>
  <c r="K1613" i="1" s="1"/>
  <c r="G1612" i="1"/>
  <c r="H1612" i="1" s="1"/>
  <c r="E1612" i="1"/>
  <c r="D1612" i="1"/>
  <c r="C1612" i="1"/>
  <c r="K1612" i="1" s="1"/>
  <c r="G1611" i="1"/>
  <c r="H1611" i="1" s="1"/>
  <c r="E1611" i="1"/>
  <c r="D1611" i="1"/>
  <c r="C1611" i="1"/>
  <c r="K1611" i="1" s="1"/>
  <c r="G1610" i="1"/>
  <c r="H1610" i="1" s="1"/>
  <c r="E1610" i="1"/>
  <c r="D1610" i="1"/>
  <c r="C1610" i="1"/>
  <c r="K1610" i="1" s="1"/>
  <c r="G1609" i="1"/>
  <c r="H1609" i="1" s="1"/>
  <c r="E1609" i="1"/>
  <c r="D1609" i="1"/>
  <c r="C1609" i="1"/>
  <c r="K1609" i="1" s="1"/>
  <c r="G1608" i="1"/>
  <c r="H1608" i="1" s="1"/>
  <c r="E1608" i="1"/>
  <c r="D1608" i="1"/>
  <c r="C1608" i="1"/>
  <c r="K1608" i="1" s="1"/>
  <c r="G1607" i="1"/>
  <c r="H1607" i="1" s="1"/>
  <c r="E1607" i="1"/>
  <c r="D1607" i="1"/>
  <c r="C1607" i="1"/>
  <c r="K1607" i="1" s="1"/>
  <c r="G1606" i="1"/>
  <c r="H1606" i="1" s="1"/>
  <c r="E1606" i="1"/>
  <c r="D1606" i="1"/>
  <c r="C1606" i="1"/>
  <c r="K1606" i="1" s="1"/>
  <c r="G1605" i="1"/>
  <c r="H1605" i="1" s="1"/>
  <c r="E1605" i="1"/>
  <c r="D1605" i="1"/>
  <c r="C1605" i="1"/>
  <c r="K1605" i="1" s="1"/>
  <c r="G1604" i="1"/>
  <c r="H1604" i="1" s="1"/>
  <c r="E1604" i="1"/>
  <c r="D1604" i="1"/>
  <c r="C1604" i="1"/>
  <c r="K1604" i="1" s="1"/>
  <c r="G1603" i="1"/>
  <c r="H1603" i="1" s="1"/>
  <c r="E1603" i="1"/>
  <c r="D1603" i="1"/>
  <c r="C1603" i="1"/>
  <c r="K1603" i="1" s="1"/>
  <c r="G1602" i="1"/>
  <c r="H1602" i="1" s="1"/>
  <c r="E1602" i="1"/>
  <c r="D1602" i="1"/>
  <c r="C1602" i="1"/>
  <c r="K1602" i="1" s="1"/>
  <c r="G1601" i="1"/>
  <c r="H1601" i="1" s="1"/>
  <c r="E1601" i="1"/>
  <c r="D1601" i="1"/>
  <c r="C1601" i="1"/>
  <c r="K1601" i="1" s="1"/>
  <c r="G1600" i="1"/>
  <c r="H1600" i="1" s="1"/>
  <c r="E1600" i="1"/>
  <c r="D1600" i="1"/>
  <c r="C1600" i="1"/>
  <c r="G1599" i="1"/>
  <c r="H1599" i="1" s="1"/>
  <c r="E1599" i="1"/>
  <c r="D1599" i="1"/>
  <c r="C1599" i="1"/>
  <c r="K1599" i="1" s="1"/>
  <c r="G1598" i="1"/>
  <c r="H1598" i="1" s="1"/>
  <c r="E1598" i="1"/>
  <c r="D1598" i="1"/>
  <c r="C1598" i="1"/>
  <c r="K1598" i="1" s="1"/>
  <c r="G1597" i="1"/>
  <c r="H1597" i="1" s="1"/>
  <c r="E1597" i="1"/>
  <c r="D1597" i="1"/>
  <c r="C1597" i="1"/>
  <c r="K1597" i="1" s="1"/>
  <c r="G1596" i="1"/>
  <c r="H1596" i="1" s="1"/>
  <c r="E1596" i="1"/>
  <c r="D1596" i="1"/>
  <c r="C1596" i="1"/>
  <c r="K1596" i="1" s="1"/>
  <c r="G1595" i="1"/>
  <c r="H1595" i="1" s="1"/>
  <c r="E1595" i="1"/>
  <c r="D1595" i="1"/>
  <c r="C1595" i="1"/>
  <c r="K1595" i="1" s="1"/>
  <c r="G1594" i="1"/>
  <c r="H1594" i="1" s="1"/>
  <c r="E1594" i="1"/>
  <c r="D1594" i="1"/>
  <c r="C1594" i="1"/>
  <c r="K1594" i="1" s="1"/>
  <c r="G1593" i="1"/>
  <c r="H1593" i="1" s="1"/>
  <c r="E1593" i="1"/>
  <c r="D1593" i="1"/>
  <c r="C1593" i="1"/>
  <c r="K1593" i="1" s="1"/>
  <c r="G1592" i="1"/>
  <c r="H1592" i="1" s="1"/>
  <c r="E1592" i="1"/>
  <c r="D1592" i="1"/>
  <c r="C1592" i="1"/>
  <c r="G1591" i="1"/>
  <c r="H1591" i="1" s="1"/>
  <c r="E1591" i="1"/>
  <c r="D1591" i="1"/>
  <c r="C1591" i="1"/>
  <c r="K1591" i="1" s="1"/>
  <c r="G1590" i="1"/>
  <c r="H1590" i="1" s="1"/>
  <c r="E1590" i="1"/>
  <c r="D1590" i="1"/>
  <c r="C1590" i="1"/>
  <c r="K1590" i="1" s="1"/>
  <c r="G1589" i="1"/>
  <c r="H1589" i="1" s="1"/>
  <c r="E1589" i="1"/>
  <c r="D1589" i="1"/>
  <c r="C1589" i="1"/>
  <c r="K1589" i="1" s="1"/>
  <c r="G1588" i="1"/>
  <c r="H1588" i="1" s="1"/>
  <c r="E1588" i="1"/>
  <c r="D1588" i="1"/>
  <c r="C1588" i="1"/>
  <c r="K1588" i="1" s="1"/>
  <c r="G1587" i="1"/>
  <c r="H1587" i="1" s="1"/>
  <c r="E1587" i="1"/>
  <c r="D1587" i="1"/>
  <c r="C1587" i="1"/>
  <c r="K1587" i="1" s="1"/>
  <c r="G1586" i="1"/>
  <c r="H1586" i="1" s="1"/>
  <c r="E1586" i="1"/>
  <c r="D1586" i="1"/>
  <c r="C1586" i="1"/>
  <c r="G1585" i="1"/>
  <c r="H1585" i="1" s="1"/>
  <c r="E1585" i="1"/>
  <c r="D1585" i="1"/>
  <c r="C1585" i="1"/>
  <c r="K1585" i="1" s="1"/>
  <c r="G1584" i="1"/>
  <c r="H1584" i="1" s="1"/>
  <c r="E1584" i="1"/>
  <c r="D1584" i="1"/>
  <c r="C1584" i="1"/>
  <c r="K1584" i="1" s="1"/>
  <c r="G1583" i="1"/>
  <c r="H1583" i="1" s="1"/>
  <c r="E1583" i="1"/>
  <c r="D1583" i="1"/>
  <c r="C1583" i="1"/>
  <c r="K1583" i="1" s="1"/>
  <c r="G1582" i="1"/>
  <c r="H1582" i="1" s="1"/>
  <c r="E1582" i="1"/>
  <c r="D1582" i="1"/>
  <c r="C1582" i="1"/>
  <c r="K1582" i="1" s="1"/>
  <c r="G1581" i="1"/>
  <c r="H1581" i="1" s="1"/>
  <c r="E1581" i="1"/>
  <c r="D1581" i="1"/>
  <c r="C1581" i="1"/>
  <c r="K1581" i="1" s="1"/>
  <c r="G1580" i="1"/>
  <c r="H1580" i="1" s="1"/>
  <c r="E1580" i="1"/>
  <c r="D1580" i="1"/>
  <c r="C1580" i="1"/>
  <c r="K1580" i="1" s="1"/>
  <c r="G1579" i="1"/>
  <c r="H1579" i="1" s="1"/>
  <c r="E1579" i="1"/>
  <c r="D1579" i="1"/>
  <c r="C1579" i="1"/>
  <c r="G1578" i="1"/>
  <c r="H1578" i="1" s="1"/>
  <c r="E1578" i="1"/>
  <c r="D1578" i="1"/>
  <c r="C1578" i="1"/>
  <c r="K1578" i="1" s="1"/>
  <c r="G1577" i="1"/>
  <c r="H1577" i="1" s="1"/>
  <c r="E1577" i="1"/>
  <c r="D1577" i="1"/>
  <c r="C1577" i="1"/>
  <c r="K1577" i="1" s="1"/>
  <c r="G1576" i="1"/>
  <c r="H1576" i="1" s="1"/>
  <c r="E1576" i="1"/>
  <c r="D1576" i="1"/>
  <c r="C1576" i="1"/>
  <c r="K1576" i="1" s="1"/>
  <c r="G1575" i="1"/>
  <c r="H1575" i="1" s="1"/>
  <c r="E1575" i="1"/>
  <c r="D1575" i="1"/>
  <c r="C1575" i="1"/>
  <c r="K1575" i="1" s="1"/>
  <c r="G1574" i="1"/>
  <c r="H1574" i="1" s="1"/>
  <c r="E1574" i="1"/>
  <c r="D1574" i="1"/>
  <c r="C1574" i="1"/>
  <c r="K1574" i="1" s="1"/>
  <c r="G1573" i="1"/>
  <c r="H1573" i="1" s="1"/>
  <c r="E1573" i="1"/>
  <c r="D1573" i="1"/>
  <c r="C1573" i="1"/>
  <c r="K1573" i="1" s="1"/>
  <c r="G1572" i="1"/>
  <c r="H1572" i="1" s="1"/>
  <c r="E1572" i="1"/>
  <c r="D1572" i="1"/>
  <c r="C1572" i="1"/>
  <c r="K1572" i="1" s="1"/>
  <c r="G1571" i="1"/>
  <c r="H1571" i="1" s="1"/>
  <c r="E1571" i="1"/>
  <c r="D1571" i="1"/>
  <c r="C1571" i="1"/>
  <c r="K1571" i="1" s="1"/>
  <c r="G1570" i="1"/>
  <c r="H1570" i="1" s="1"/>
  <c r="E1570" i="1"/>
  <c r="D1570" i="1"/>
  <c r="C1570" i="1"/>
  <c r="K1570" i="1" s="1"/>
  <c r="G1569" i="1"/>
  <c r="H1569" i="1" s="1"/>
  <c r="E1569" i="1"/>
  <c r="D1569" i="1"/>
  <c r="C1569" i="1"/>
  <c r="K1569" i="1" s="1"/>
  <c r="G1568" i="1"/>
  <c r="H1568" i="1" s="1"/>
  <c r="E1568" i="1"/>
  <c r="D1568" i="1"/>
  <c r="C1568" i="1"/>
  <c r="K1568" i="1" s="1"/>
  <c r="G1567" i="1"/>
  <c r="H1567" i="1" s="1"/>
  <c r="E1567" i="1"/>
  <c r="D1567" i="1"/>
  <c r="C1567" i="1"/>
  <c r="K1567" i="1" s="1"/>
  <c r="G1566" i="1"/>
  <c r="H1566" i="1" s="1"/>
  <c r="E1566" i="1"/>
  <c r="D1566" i="1"/>
  <c r="C1566" i="1"/>
  <c r="K1566" i="1" s="1"/>
  <c r="G1565" i="1"/>
  <c r="H1565" i="1" s="1"/>
  <c r="E1565" i="1"/>
  <c r="D1565" i="1"/>
  <c r="C1565" i="1"/>
  <c r="K1565" i="1" s="1"/>
  <c r="G1564" i="1"/>
  <c r="H1564" i="1" s="1"/>
  <c r="E1564" i="1"/>
  <c r="D1564" i="1"/>
  <c r="C1564" i="1"/>
  <c r="K1564" i="1" s="1"/>
  <c r="G1563" i="1"/>
  <c r="H1563" i="1" s="1"/>
  <c r="E1563" i="1"/>
  <c r="D1563" i="1"/>
  <c r="C1563" i="1"/>
  <c r="K1563" i="1" s="1"/>
  <c r="G1562" i="1"/>
  <c r="H1562" i="1" s="1"/>
  <c r="E1562" i="1"/>
  <c r="D1562" i="1"/>
  <c r="C1562" i="1"/>
  <c r="K1562" i="1" s="1"/>
  <c r="G1561" i="1"/>
  <c r="H1561" i="1" s="1"/>
  <c r="E1561" i="1"/>
  <c r="D1561" i="1"/>
  <c r="C1561" i="1"/>
  <c r="K1561" i="1" s="1"/>
  <c r="G1560" i="1"/>
  <c r="H1560" i="1" s="1"/>
  <c r="E1560" i="1"/>
  <c r="D1560" i="1"/>
  <c r="C1560" i="1"/>
  <c r="K1560" i="1" s="1"/>
  <c r="G1559" i="1"/>
  <c r="H1559" i="1" s="1"/>
  <c r="E1559" i="1"/>
  <c r="D1559" i="1"/>
  <c r="C1559" i="1"/>
  <c r="K1559" i="1" s="1"/>
  <c r="G1558" i="1"/>
  <c r="H1558" i="1" s="1"/>
  <c r="E1558" i="1"/>
  <c r="D1558" i="1"/>
  <c r="C1558" i="1"/>
  <c r="K1558" i="1" s="1"/>
  <c r="G1557" i="1"/>
  <c r="H1557" i="1" s="1"/>
  <c r="E1557" i="1"/>
  <c r="D1557" i="1"/>
  <c r="C1557" i="1"/>
  <c r="K1557" i="1" s="1"/>
  <c r="G1556" i="1"/>
  <c r="H1556" i="1" s="1"/>
  <c r="E1556" i="1"/>
  <c r="D1556" i="1"/>
  <c r="C1556" i="1"/>
  <c r="K1556" i="1" s="1"/>
  <c r="G1555" i="1"/>
  <c r="H1555" i="1" s="1"/>
  <c r="E1555" i="1"/>
  <c r="D1555" i="1"/>
  <c r="C1555" i="1"/>
  <c r="K1555" i="1" s="1"/>
  <c r="G1554" i="1"/>
  <c r="H1554" i="1" s="1"/>
  <c r="E1554" i="1"/>
  <c r="D1554" i="1"/>
  <c r="C1554" i="1"/>
  <c r="K1554" i="1" s="1"/>
  <c r="G1553" i="1"/>
  <c r="H1553" i="1" s="1"/>
  <c r="E1553" i="1"/>
  <c r="D1553" i="1"/>
  <c r="C1553" i="1"/>
  <c r="K1553" i="1" s="1"/>
  <c r="G1552" i="1"/>
  <c r="H1552" i="1" s="1"/>
  <c r="E1552" i="1"/>
  <c r="D1552" i="1"/>
  <c r="C1552" i="1"/>
  <c r="K1552" i="1" s="1"/>
  <c r="G1551" i="1"/>
  <c r="H1551" i="1" s="1"/>
  <c r="E1551" i="1"/>
  <c r="D1551" i="1"/>
  <c r="C1551" i="1"/>
  <c r="K1551" i="1" s="1"/>
  <c r="G1550" i="1"/>
  <c r="H1550" i="1" s="1"/>
  <c r="E1550" i="1"/>
  <c r="D1550" i="1"/>
  <c r="C1550" i="1"/>
  <c r="K1550" i="1" s="1"/>
  <c r="G1549" i="1"/>
  <c r="H1549" i="1" s="1"/>
  <c r="E1549" i="1"/>
  <c r="D1549" i="1"/>
  <c r="C1549" i="1"/>
  <c r="K1549" i="1" s="1"/>
  <c r="G1548" i="1"/>
  <c r="H1548" i="1" s="1"/>
  <c r="E1548" i="1"/>
  <c r="D1548" i="1"/>
  <c r="C1548" i="1"/>
  <c r="K1548" i="1" s="1"/>
  <c r="G1547" i="1"/>
  <c r="H1547" i="1" s="1"/>
  <c r="E1547" i="1"/>
  <c r="D1547" i="1"/>
  <c r="C1547" i="1"/>
  <c r="K1547" i="1" s="1"/>
  <c r="G1546" i="1"/>
  <c r="H1546" i="1" s="1"/>
  <c r="E1546" i="1"/>
  <c r="D1546" i="1"/>
  <c r="C1546" i="1"/>
  <c r="K1546" i="1" s="1"/>
  <c r="G1545" i="1"/>
  <c r="H1545" i="1" s="1"/>
  <c r="E1545" i="1"/>
  <c r="D1545" i="1"/>
  <c r="C1545" i="1"/>
  <c r="K1545" i="1" s="1"/>
  <c r="G1544" i="1"/>
  <c r="H1544" i="1" s="1"/>
  <c r="E1544" i="1"/>
  <c r="D1544" i="1"/>
  <c r="C1544" i="1"/>
  <c r="K1544" i="1" s="1"/>
  <c r="G1543" i="1"/>
  <c r="H1543" i="1" s="1"/>
  <c r="E1543" i="1"/>
  <c r="D1543" i="1"/>
  <c r="C1543" i="1"/>
  <c r="K1543" i="1" s="1"/>
  <c r="G1542" i="1"/>
  <c r="H1542" i="1" s="1"/>
  <c r="E1542" i="1"/>
  <c r="D1542" i="1"/>
  <c r="C1542" i="1"/>
  <c r="K1542" i="1" s="1"/>
  <c r="G1541" i="1"/>
  <c r="H1541" i="1" s="1"/>
  <c r="E1541" i="1"/>
  <c r="D1541" i="1"/>
  <c r="C1541" i="1"/>
  <c r="K1541" i="1" s="1"/>
  <c r="G1540" i="1"/>
  <c r="H1540" i="1" s="1"/>
  <c r="E1540" i="1"/>
  <c r="D1540" i="1"/>
  <c r="C1540" i="1"/>
  <c r="K1540" i="1" s="1"/>
  <c r="G1539" i="1"/>
  <c r="H1539" i="1" s="1"/>
  <c r="E1539" i="1"/>
  <c r="D1539" i="1"/>
  <c r="C1539" i="1"/>
  <c r="K1539" i="1" s="1"/>
  <c r="G1538" i="1"/>
  <c r="H1538" i="1" s="1"/>
  <c r="E1538" i="1"/>
  <c r="D1538" i="1"/>
  <c r="C1538" i="1"/>
  <c r="K1538" i="1" s="1"/>
  <c r="G1537" i="1"/>
  <c r="H1537" i="1" s="1"/>
  <c r="E1537" i="1"/>
  <c r="D1537" i="1"/>
  <c r="C1537" i="1"/>
  <c r="K1537" i="1" s="1"/>
  <c r="G1536" i="1"/>
  <c r="H1536" i="1" s="1"/>
  <c r="E1536" i="1"/>
  <c r="D1536" i="1"/>
  <c r="C1536" i="1"/>
  <c r="K1536" i="1" s="1"/>
  <c r="G1535" i="1"/>
  <c r="H1535" i="1" s="1"/>
  <c r="E1535" i="1"/>
  <c r="D1535" i="1"/>
  <c r="C1535" i="1"/>
  <c r="K1535" i="1" s="1"/>
  <c r="G1534" i="1"/>
  <c r="H1534" i="1" s="1"/>
  <c r="E1534" i="1"/>
  <c r="D1534" i="1"/>
  <c r="C1534" i="1"/>
  <c r="K1534" i="1" s="1"/>
  <c r="G1533" i="1"/>
  <c r="H1533" i="1" s="1"/>
  <c r="E1533" i="1"/>
  <c r="D1533" i="1"/>
  <c r="C1533" i="1"/>
  <c r="K1533" i="1" s="1"/>
  <c r="G1532" i="1"/>
  <c r="H1532" i="1" s="1"/>
  <c r="E1532" i="1"/>
  <c r="D1532" i="1"/>
  <c r="C1532" i="1"/>
  <c r="K1532" i="1" s="1"/>
  <c r="G1531" i="1"/>
  <c r="H1531" i="1" s="1"/>
  <c r="E1531" i="1"/>
  <c r="D1531" i="1"/>
  <c r="C1531" i="1"/>
  <c r="K1531" i="1" s="1"/>
  <c r="G1530" i="1"/>
  <c r="H1530" i="1" s="1"/>
  <c r="E1530" i="1"/>
  <c r="D1530" i="1"/>
  <c r="C1530" i="1"/>
  <c r="K1530" i="1" s="1"/>
  <c r="G1529" i="1"/>
  <c r="H1529" i="1" s="1"/>
  <c r="E1529" i="1"/>
  <c r="D1529" i="1"/>
  <c r="C1529" i="1"/>
  <c r="K1529" i="1" s="1"/>
  <c r="G1528" i="1"/>
  <c r="H1528" i="1" s="1"/>
  <c r="E1528" i="1"/>
  <c r="D1528" i="1"/>
  <c r="C1528" i="1"/>
  <c r="K1528" i="1" s="1"/>
  <c r="G1527" i="1"/>
  <c r="H1527" i="1" s="1"/>
  <c r="E1527" i="1"/>
  <c r="D1527" i="1"/>
  <c r="C1527" i="1"/>
  <c r="K1527" i="1" s="1"/>
  <c r="G1526" i="1"/>
  <c r="H1526" i="1" s="1"/>
  <c r="E1526" i="1"/>
  <c r="D1526" i="1"/>
  <c r="C1526" i="1"/>
  <c r="K1526" i="1" s="1"/>
  <c r="G1525" i="1"/>
  <c r="H1525" i="1" s="1"/>
  <c r="E1525" i="1"/>
  <c r="D1525" i="1"/>
  <c r="C1525" i="1"/>
  <c r="K1525" i="1" s="1"/>
  <c r="G1524" i="1"/>
  <c r="H1524" i="1" s="1"/>
  <c r="E1524" i="1"/>
  <c r="D1524" i="1"/>
  <c r="C1524" i="1"/>
  <c r="K1524" i="1" s="1"/>
  <c r="G1523" i="1"/>
  <c r="H1523" i="1" s="1"/>
  <c r="E1523" i="1"/>
  <c r="D1523" i="1"/>
  <c r="C1523" i="1"/>
  <c r="K1523" i="1" s="1"/>
  <c r="G1522" i="1"/>
  <c r="H1522" i="1" s="1"/>
  <c r="E1522" i="1"/>
  <c r="D1522" i="1"/>
  <c r="C1522" i="1"/>
  <c r="K1522" i="1" s="1"/>
  <c r="G1521" i="1"/>
  <c r="H1521" i="1" s="1"/>
  <c r="E1521" i="1"/>
  <c r="D1521" i="1"/>
  <c r="C1521" i="1"/>
  <c r="K1521" i="1" s="1"/>
  <c r="G1520" i="1"/>
  <c r="H1520" i="1" s="1"/>
  <c r="E1520" i="1"/>
  <c r="D1520" i="1"/>
  <c r="C1520" i="1"/>
  <c r="K1520" i="1" s="1"/>
  <c r="G1519" i="1"/>
  <c r="H1519" i="1" s="1"/>
  <c r="E1519" i="1"/>
  <c r="D1519" i="1"/>
  <c r="C1519" i="1"/>
  <c r="K1519" i="1" s="1"/>
  <c r="G1518" i="1"/>
  <c r="H1518" i="1" s="1"/>
  <c r="E1518" i="1"/>
  <c r="D1518" i="1"/>
  <c r="C1518" i="1"/>
  <c r="K1518" i="1" s="1"/>
  <c r="G1517" i="1"/>
  <c r="H1517" i="1" s="1"/>
  <c r="E1517" i="1"/>
  <c r="D1517" i="1"/>
  <c r="C1517" i="1"/>
  <c r="K1517" i="1" s="1"/>
  <c r="G1516" i="1"/>
  <c r="H1516" i="1" s="1"/>
  <c r="E1516" i="1"/>
  <c r="D1516" i="1"/>
  <c r="C1516" i="1"/>
  <c r="K1516" i="1" s="1"/>
  <c r="G1515" i="1"/>
  <c r="H1515" i="1" s="1"/>
  <c r="E1515" i="1"/>
  <c r="D1515" i="1"/>
  <c r="C1515" i="1"/>
  <c r="K1515" i="1" s="1"/>
  <c r="G1514" i="1"/>
  <c r="H1514" i="1" s="1"/>
  <c r="E1514" i="1"/>
  <c r="D1514" i="1"/>
  <c r="C1514" i="1"/>
  <c r="K1514" i="1" s="1"/>
  <c r="G1513" i="1"/>
  <c r="H1513" i="1" s="1"/>
  <c r="E1513" i="1"/>
  <c r="D1513" i="1"/>
  <c r="C1513" i="1"/>
  <c r="K1513" i="1" s="1"/>
  <c r="G1512" i="1"/>
  <c r="H1512" i="1" s="1"/>
  <c r="E1512" i="1"/>
  <c r="D1512" i="1"/>
  <c r="C1512" i="1"/>
  <c r="K1512" i="1" s="1"/>
  <c r="G1511" i="1"/>
  <c r="H1511" i="1" s="1"/>
  <c r="E1511" i="1"/>
  <c r="D1511" i="1"/>
  <c r="C1511" i="1"/>
  <c r="K1511" i="1" s="1"/>
  <c r="G1510" i="1"/>
  <c r="H1510" i="1" s="1"/>
  <c r="E1510" i="1"/>
  <c r="D1510" i="1"/>
  <c r="C1510" i="1"/>
  <c r="K1510" i="1" s="1"/>
  <c r="G1509" i="1"/>
  <c r="H1509" i="1" s="1"/>
  <c r="E1509" i="1"/>
  <c r="D1509" i="1"/>
  <c r="C1509" i="1"/>
  <c r="K1509" i="1" s="1"/>
  <c r="G1508" i="1"/>
  <c r="H1508" i="1" s="1"/>
  <c r="E1508" i="1"/>
  <c r="D1508" i="1"/>
  <c r="C1508" i="1"/>
  <c r="K1508" i="1" s="1"/>
  <c r="G1507" i="1"/>
  <c r="H1507" i="1" s="1"/>
  <c r="E1507" i="1"/>
  <c r="D1507" i="1"/>
  <c r="C1507" i="1"/>
  <c r="K1507" i="1" s="1"/>
  <c r="G1506" i="1"/>
  <c r="H1506" i="1" s="1"/>
  <c r="E1506" i="1"/>
  <c r="D1506" i="1"/>
  <c r="C1506" i="1"/>
  <c r="K1506" i="1" s="1"/>
  <c r="G1505" i="1"/>
  <c r="H1505" i="1" s="1"/>
  <c r="E1505" i="1"/>
  <c r="D1505" i="1"/>
  <c r="C1505" i="1"/>
  <c r="K1505" i="1" s="1"/>
  <c r="G1504" i="1"/>
  <c r="H1504" i="1" s="1"/>
  <c r="E1504" i="1"/>
  <c r="D1504" i="1"/>
  <c r="C1504" i="1"/>
  <c r="K1504" i="1" s="1"/>
  <c r="G1503" i="1"/>
  <c r="H1503" i="1" s="1"/>
  <c r="E1503" i="1"/>
  <c r="D1503" i="1"/>
  <c r="C1503" i="1"/>
  <c r="K1503" i="1" s="1"/>
  <c r="G1502" i="1"/>
  <c r="H1502" i="1" s="1"/>
  <c r="E1502" i="1"/>
  <c r="D1502" i="1"/>
  <c r="C1502" i="1"/>
  <c r="K1502" i="1" s="1"/>
  <c r="G1501" i="1"/>
  <c r="H1501" i="1" s="1"/>
  <c r="E1501" i="1"/>
  <c r="D1501" i="1"/>
  <c r="C1501" i="1"/>
  <c r="K1501" i="1" s="1"/>
  <c r="G1500" i="1"/>
  <c r="H1500" i="1" s="1"/>
  <c r="E1500" i="1"/>
  <c r="D1500" i="1"/>
  <c r="C1500" i="1"/>
  <c r="K1500" i="1" s="1"/>
  <c r="G1499" i="1"/>
  <c r="H1499" i="1" s="1"/>
  <c r="E1499" i="1"/>
  <c r="D1499" i="1"/>
  <c r="C1499" i="1"/>
  <c r="K1499" i="1" s="1"/>
  <c r="G1498" i="1"/>
  <c r="H1498" i="1" s="1"/>
  <c r="E1498" i="1"/>
  <c r="D1498" i="1"/>
  <c r="C1498" i="1"/>
  <c r="K1498" i="1" s="1"/>
  <c r="G1497" i="1"/>
  <c r="H1497" i="1" s="1"/>
  <c r="E1497" i="1"/>
  <c r="D1497" i="1"/>
  <c r="C1497" i="1"/>
  <c r="K1497" i="1" s="1"/>
  <c r="G1496" i="1"/>
  <c r="H1496" i="1" s="1"/>
  <c r="E1496" i="1"/>
  <c r="D1496" i="1"/>
  <c r="C1496" i="1"/>
  <c r="K1496" i="1" s="1"/>
  <c r="G1495" i="1"/>
  <c r="H1495" i="1" s="1"/>
  <c r="E1495" i="1"/>
  <c r="D1495" i="1"/>
  <c r="C1495" i="1"/>
  <c r="K1495" i="1" s="1"/>
  <c r="G1494" i="1"/>
  <c r="H1494" i="1" s="1"/>
  <c r="E1494" i="1"/>
  <c r="D1494" i="1"/>
  <c r="C1494" i="1"/>
  <c r="K1494" i="1" s="1"/>
  <c r="G1493" i="1"/>
  <c r="H1493" i="1" s="1"/>
  <c r="E1493" i="1"/>
  <c r="D1493" i="1"/>
  <c r="C1493" i="1"/>
  <c r="G1492" i="1"/>
  <c r="H1492" i="1" s="1"/>
  <c r="E1492" i="1"/>
  <c r="D1492" i="1"/>
  <c r="C1492" i="1"/>
  <c r="K1492" i="1" s="1"/>
  <c r="G1491" i="1"/>
  <c r="H1491" i="1" s="1"/>
  <c r="E1491" i="1"/>
  <c r="D1491" i="1"/>
  <c r="C1491" i="1"/>
  <c r="K1491" i="1" s="1"/>
  <c r="G1490" i="1"/>
  <c r="H1490" i="1" s="1"/>
  <c r="E1490" i="1"/>
  <c r="D1490" i="1"/>
  <c r="C1490" i="1"/>
  <c r="K1490" i="1" s="1"/>
  <c r="G1489" i="1"/>
  <c r="H1489" i="1" s="1"/>
  <c r="E1489" i="1"/>
  <c r="D1489" i="1"/>
  <c r="C1489" i="1"/>
  <c r="K1489" i="1" s="1"/>
  <c r="G1488" i="1"/>
  <c r="H1488" i="1" s="1"/>
  <c r="E1488" i="1"/>
  <c r="D1488" i="1"/>
  <c r="C1488" i="1"/>
  <c r="K1488" i="1" s="1"/>
  <c r="G1487" i="1"/>
  <c r="H1487" i="1" s="1"/>
  <c r="E1487" i="1"/>
  <c r="D1487" i="1"/>
  <c r="C1487" i="1"/>
  <c r="K1487" i="1" s="1"/>
  <c r="G1486" i="1"/>
  <c r="H1486" i="1" s="1"/>
  <c r="E1486" i="1"/>
  <c r="D1486" i="1"/>
  <c r="C1486" i="1"/>
  <c r="K1486" i="1" s="1"/>
  <c r="G1485" i="1"/>
  <c r="H1485" i="1" s="1"/>
  <c r="E1485" i="1"/>
  <c r="D1485" i="1"/>
  <c r="C1485" i="1"/>
  <c r="K1485" i="1" s="1"/>
  <c r="G1484" i="1"/>
  <c r="H1484" i="1" s="1"/>
  <c r="E1484" i="1"/>
  <c r="D1484" i="1"/>
  <c r="C1484" i="1"/>
  <c r="K1484" i="1" s="1"/>
  <c r="G1483" i="1"/>
  <c r="H1483" i="1" s="1"/>
  <c r="E1483" i="1"/>
  <c r="D1483" i="1"/>
  <c r="C1483" i="1"/>
  <c r="K1483" i="1" s="1"/>
  <c r="G1482" i="1"/>
  <c r="H1482" i="1" s="1"/>
  <c r="E1482" i="1"/>
  <c r="D1482" i="1"/>
  <c r="C1482" i="1"/>
  <c r="K1482" i="1" s="1"/>
  <c r="G1481" i="1"/>
  <c r="H1481" i="1" s="1"/>
  <c r="E1481" i="1"/>
  <c r="D1481" i="1"/>
  <c r="C1481" i="1"/>
  <c r="K1481" i="1" s="1"/>
  <c r="G1480" i="1"/>
  <c r="H1480" i="1" s="1"/>
  <c r="E1480" i="1"/>
  <c r="D1480" i="1"/>
  <c r="C1480" i="1"/>
  <c r="K1480" i="1" s="1"/>
  <c r="G1479" i="1"/>
  <c r="H1479" i="1" s="1"/>
  <c r="E1479" i="1"/>
  <c r="D1479" i="1"/>
  <c r="C1479" i="1"/>
  <c r="K1479" i="1" s="1"/>
  <c r="G1478" i="1"/>
  <c r="H1478" i="1" s="1"/>
  <c r="E1478" i="1"/>
  <c r="D1478" i="1"/>
  <c r="C1478" i="1"/>
  <c r="K1478" i="1" s="1"/>
  <c r="G1477" i="1"/>
  <c r="H1477" i="1" s="1"/>
  <c r="E1477" i="1"/>
  <c r="D1477" i="1"/>
  <c r="C1477" i="1"/>
  <c r="K1477" i="1" s="1"/>
  <c r="G1476" i="1"/>
  <c r="H1476" i="1" s="1"/>
  <c r="E1476" i="1"/>
  <c r="D1476" i="1"/>
  <c r="C1476" i="1"/>
  <c r="K1476" i="1" s="1"/>
  <c r="G1475" i="1"/>
  <c r="H1475" i="1" s="1"/>
  <c r="E1475" i="1"/>
  <c r="D1475" i="1"/>
  <c r="C1475" i="1"/>
  <c r="K1475" i="1" s="1"/>
  <c r="G1474" i="1"/>
  <c r="H1474" i="1" s="1"/>
  <c r="E1474" i="1"/>
  <c r="D1474" i="1"/>
  <c r="C1474" i="1"/>
  <c r="K1474" i="1" s="1"/>
  <c r="G1473" i="1"/>
  <c r="H1473" i="1" s="1"/>
  <c r="E1473" i="1"/>
  <c r="D1473" i="1"/>
  <c r="C1473" i="1"/>
  <c r="K1473" i="1" s="1"/>
  <c r="G1472" i="1"/>
  <c r="H1472" i="1" s="1"/>
  <c r="E1472" i="1"/>
  <c r="D1472" i="1"/>
  <c r="C1472" i="1"/>
  <c r="K1472" i="1" s="1"/>
  <c r="G1471" i="1"/>
  <c r="H1471" i="1" s="1"/>
  <c r="E1471" i="1"/>
  <c r="D1471" i="1"/>
  <c r="C1471" i="1"/>
  <c r="K1471" i="1" s="1"/>
  <c r="G1470" i="1"/>
  <c r="H1470" i="1" s="1"/>
  <c r="E1470" i="1"/>
  <c r="D1470" i="1"/>
  <c r="C1470" i="1"/>
  <c r="K1470" i="1" s="1"/>
  <c r="G1469" i="1"/>
  <c r="H1469" i="1" s="1"/>
  <c r="E1469" i="1"/>
  <c r="D1469" i="1"/>
  <c r="C1469" i="1"/>
  <c r="K1469" i="1" s="1"/>
  <c r="G1468" i="1"/>
  <c r="H1468" i="1" s="1"/>
  <c r="E1468" i="1"/>
  <c r="D1468" i="1"/>
  <c r="C1468" i="1"/>
  <c r="K1468" i="1" s="1"/>
  <c r="G1467" i="1"/>
  <c r="H1467" i="1" s="1"/>
  <c r="E1467" i="1"/>
  <c r="D1467" i="1"/>
  <c r="C1467" i="1"/>
  <c r="K1467" i="1" s="1"/>
  <c r="G1466" i="1"/>
  <c r="H1466" i="1" s="1"/>
  <c r="E1466" i="1"/>
  <c r="D1466" i="1"/>
  <c r="C1466" i="1"/>
  <c r="K1466" i="1" s="1"/>
  <c r="G1465" i="1"/>
  <c r="H1465" i="1" s="1"/>
  <c r="E1465" i="1"/>
  <c r="D1465" i="1"/>
  <c r="C1465" i="1"/>
  <c r="K1465" i="1" s="1"/>
  <c r="G1464" i="1"/>
  <c r="H1464" i="1" s="1"/>
  <c r="E1464" i="1"/>
  <c r="D1464" i="1"/>
  <c r="C1464" i="1"/>
  <c r="K1464" i="1" s="1"/>
  <c r="G1463" i="1"/>
  <c r="H1463" i="1" s="1"/>
  <c r="E1463" i="1"/>
  <c r="D1463" i="1"/>
  <c r="C1463" i="1"/>
  <c r="K1463" i="1" s="1"/>
  <c r="G1462" i="1"/>
  <c r="H1462" i="1" s="1"/>
  <c r="E1462" i="1"/>
  <c r="D1462" i="1"/>
  <c r="C1462" i="1"/>
  <c r="K1462" i="1" s="1"/>
  <c r="G1461" i="1"/>
  <c r="H1461" i="1" s="1"/>
  <c r="E1461" i="1"/>
  <c r="D1461" i="1"/>
  <c r="C1461" i="1"/>
  <c r="K1461" i="1" s="1"/>
  <c r="G1460" i="1"/>
  <c r="H1460" i="1" s="1"/>
  <c r="E1460" i="1"/>
  <c r="D1460" i="1"/>
  <c r="C1460" i="1"/>
  <c r="K1460" i="1" s="1"/>
  <c r="G1459" i="1"/>
  <c r="H1459" i="1" s="1"/>
  <c r="E1459" i="1"/>
  <c r="D1459" i="1"/>
  <c r="C1459" i="1"/>
  <c r="K1459" i="1" s="1"/>
  <c r="G1458" i="1"/>
  <c r="H1458" i="1" s="1"/>
  <c r="E1458" i="1"/>
  <c r="D1458" i="1"/>
  <c r="C1458" i="1"/>
  <c r="K1458" i="1" s="1"/>
  <c r="G1457" i="1"/>
  <c r="H1457" i="1" s="1"/>
  <c r="E1457" i="1"/>
  <c r="D1457" i="1"/>
  <c r="C1457" i="1"/>
  <c r="K1457" i="1" s="1"/>
  <c r="G1456" i="1"/>
  <c r="H1456" i="1" s="1"/>
  <c r="E1456" i="1"/>
  <c r="D1456" i="1"/>
  <c r="C1456" i="1"/>
  <c r="K1456" i="1" s="1"/>
  <c r="G1455" i="1"/>
  <c r="H1455" i="1" s="1"/>
  <c r="E1455" i="1"/>
  <c r="D1455" i="1"/>
  <c r="C1455" i="1"/>
  <c r="K1455" i="1" s="1"/>
  <c r="G1454" i="1"/>
  <c r="H1454" i="1" s="1"/>
  <c r="E1454" i="1"/>
  <c r="D1454" i="1"/>
  <c r="C1454" i="1"/>
  <c r="K1454" i="1" s="1"/>
  <c r="G1453" i="1"/>
  <c r="H1453" i="1" s="1"/>
  <c r="E1453" i="1"/>
  <c r="D1453" i="1"/>
  <c r="C1453" i="1"/>
  <c r="K1453" i="1" s="1"/>
  <c r="G1452" i="1"/>
  <c r="H1452" i="1" s="1"/>
  <c r="E1452" i="1"/>
  <c r="D1452" i="1"/>
  <c r="C1452" i="1"/>
  <c r="K1452" i="1" s="1"/>
  <c r="G1451" i="1"/>
  <c r="H1451" i="1" s="1"/>
  <c r="E1451" i="1"/>
  <c r="D1451" i="1"/>
  <c r="C1451" i="1"/>
  <c r="K1451" i="1" s="1"/>
  <c r="G1450" i="1"/>
  <c r="H1450" i="1" s="1"/>
  <c r="E1450" i="1"/>
  <c r="D1450" i="1"/>
  <c r="C1450" i="1"/>
  <c r="K1450" i="1" s="1"/>
  <c r="G1449" i="1"/>
  <c r="H1449" i="1" s="1"/>
  <c r="E1449" i="1"/>
  <c r="D1449" i="1"/>
  <c r="C1449" i="1"/>
  <c r="K1449" i="1" s="1"/>
  <c r="G1448" i="1"/>
  <c r="H1448" i="1" s="1"/>
  <c r="E1448" i="1"/>
  <c r="D1448" i="1"/>
  <c r="C1448" i="1"/>
  <c r="K1448" i="1" s="1"/>
  <c r="G1447" i="1"/>
  <c r="H1447" i="1" s="1"/>
  <c r="E1447" i="1"/>
  <c r="D1447" i="1"/>
  <c r="C1447" i="1"/>
  <c r="K1447" i="1" s="1"/>
  <c r="G1446" i="1"/>
  <c r="H1446" i="1" s="1"/>
  <c r="E1446" i="1"/>
  <c r="D1446" i="1"/>
  <c r="C1446" i="1"/>
  <c r="K1446" i="1" s="1"/>
  <c r="G1445" i="1"/>
  <c r="H1445" i="1" s="1"/>
  <c r="E1445" i="1"/>
  <c r="D1445" i="1"/>
  <c r="C1445" i="1"/>
  <c r="K1445" i="1" s="1"/>
  <c r="G1444" i="1"/>
  <c r="H1444" i="1" s="1"/>
  <c r="E1444" i="1"/>
  <c r="D1444" i="1"/>
  <c r="C1444" i="1"/>
  <c r="K1444" i="1" s="1"/>
  <c r="G1443" i="1"/>
  <c r="H1443" i="1" s="1"/>
  <c r="E1443" i="1"/>
  <c r="D1443" i="1"/>
  <c r="C1443" i="1"/>
  <c r="K1443" i="1" s="1"/>
  <c r="G1442" i="1"/>
  <c r="H1442" i="1" s="1"/>
  <c r="E1442" i="1"/>
  <c r="D1442" i="1"/>
  <c r="C1442" i="1"/>
  <c r="G1441" i="1"/>
  <c r="H1441" i="1" s="1"/>
  <c r="E1441" i="1"/>
  <c r="D1441" i="1"/>
  <c r="C1441" i="1"/>
  <c r="K1441" i="1" s="1"/>
  <c r="G1440" i="1"/>
  <c r="H1440" i="1" s="1"/>
  <c r="E1440" i="1"/>
  <c r="D1440" i="1"/>
  <c r="C1440" i="1"/>
  <c r="K1440" i="1" s="1"/>
  <c r="G1439" i="1"/>
  <c r="H1439" i="1" s="1"/>
  <c r="E1439" i="1"/>
  <c r="D1439" i="1"/>
  <c r="C1439" i="1"/>
  <c r="K1439" i="1" s="1"/>
  <c r="G1438" i="1"/>
  <c r="H1438" i="1" s="1"/>
  <c r="E1438" i="1"/>
  <c r="D1438" i="1"/>
  <c r="C1438" i="1"/>
  <c r="K1438" i="1" s="1"/>
  <c r="G1437" i="1"/>
  <c r="H1437" i="1" s="1"/>
  <c r="E1437" i="1"/>
  <c r="D1437" i="1"/>
  <c r="C1437" i="1"/>
  <c r="K1437" i="1" s="1"/>
  <c r="G1436" i="1"/>
  <c r="H1436" i="1" s="1"/>
  <c r="E1436" i="1"/>
  <c r="D1436" i="1"/>
  <c r="C1436" i="1"/>
  <c r="K1436" i="1" s="1"/>
  <c r="G1435" i="1"/>
  <c r="H1435" i="1" s="1"/>
  <c r="E1435" i="1"/>
  <c r="D1435" i="1"/>
  <c r="C1435" i="1"/>
  <c r="K1435" i="1" s="1"/>
  <c r="G1434" i="1"/>
  <c r="H1434" i="1" s="1"/>
  <c r="E1434" i="1"/>
  <c r="D1434" i="1"/>
  <c r="C1434" i="1"/>
  <c r="K1434" i="1" s="1"/>
  <c r="G1433" i="1"/>
  <c r="H1433" i="1" s="1"/>
  <c r="E1433" i="1"/>
  <c r="D1433" i="1"/>
  <c r="C1433" i="1"/>
  <c r="K1433" i="1" s="1"/>
  <c r="G1432" i="1"/>
  <c r="H1432" i="1" s="1"/>
  <c r="E1432" i="1"/>
  <c r="D1432" i="1"/>
  <c r="C1432" i="1"/>
  <c r="K1432" i="1" s="1"/>
  <c r="G1431" i="1"/>
  <c r="H1431" i="1" s="1"/>
  <c r="E1431" i="1"/>
  <c r="D1431" i="1"/>
  <c r="C1431" i="1"/>
  <c r="K1431" i="1" s="1"/>
  <c r="G1430" i="1"/>
  <c r="H1430" i="1" s="1"/>
  <c r="E1430" i="1"/>
  <c r="D1430" i="1"/>
  <c r="C1430" i="1"/>
  <c r="K1430" i="1" s="1"/>
  <c r="G1429" i="1"/>
  <c r="H1429" i="1" s="1"/>
  <c r="E1429" i="1"/>
  <c r="D1429" i="1"/>
  <c r="C1429" i="1"/>
  <c r="K1429" i="1" s="1"/>
  <c r="G1428" i="1"/>
  <c r="H1428" i="1" s="1"/>
  <c r="E1428" i="1"/>
  <c r="D1428" i="1"/>
  <c r="C1428" i="1"/>
  <c r="K1428" i="1" s="1"/>
  <c r="G1427" i="1"/>
  <c r="H1427" i="1" s="1"/>
  <c r="E1427" i="1"/>
  <c r="D1427" i="1"/>
  <c r="C1427" i="1"/>
  <c r="K1427" i="1" s="1"/>
  <c r="G1426" i="1"/>
  <c r="H1426" i="1" s="1"/>
  <c r="E1426" i="1"/>
  <c r="D1426" i="1"/>
  <c r="C1426" i="1"/>
  <c r="K1426" i="1" s="1"/>
  <c r="G1425" i="1"/>
  <c r="H1425" i="1" s="1"/>
  <c r="E1425" i="1"/>
  <c r="D1425" i="1"/>
  <c r="C1425" i="1"/>
  <c r="K1425" i="1" s="1"/>
  <c r="G1424" i="1"/>
  <c r="H1424" i="1" s="1"/>
  <c r="E1424" i="1"/>
  <c r="D1424" i="1"/>
  <c r="C1424" i="1"/>
  <c r="K1424" i="1" s="1"/>
  <c r="G1423" i="1"/>
  <c r="H1423" i="1" s="1"/>
  <c r="E1423" i="1"/>
  <c r="D1423" i="1"/>
  <c r="C1423" i="1"/>
  <c r="K1423" i="1" s="1"/>
  <c r="G1422" i="1"/>
  <c r="H1422" i="1" s="1"/>
  <c r="E1422" i="1"/>
  <c r="D1422" i="1"/>
  <c r="C1422" i="1"/>
  <c r="K1422" i="1" s="1"/>
  <c r="G1421" i="1"/>
  <c r="H1421" i="1" s="1"/>
  <c r="E1421" i="1"/>
  <c r="D1421" i="1"/>
  <c r="C1421" i="1"/>
  <c r="K1421" i="1" s="1"/>
  <c r="G1420" i="1"/>
  <c r="H1420" i="1" s="1"/>
  <c r="E1420" i="1"/>
  <c r="D1420" i="1"/>
  <c r="C1420" i="1"/>
  <c r="K1420" i="1" s="1"/>
  <c r="G1419" i="1"/>
  <c r="H1419" i="1" s="1"/>
  <c r="E1419" i="1"/>
  <c r="D1419" i="1"/>
  <c r="C1419" i="1"/>
  <c r="K1419" i="1" s="1"/>
  <c r="G1418" i="1"/>
  <c r="H1418" i="1" s="1"/>
  <c r="E1418" i="1"/>
  <c r="D1418" i="1"/>
  <c r="C1418" i="1"/>
  <c r="K1418" i="1" s="1"/>
  <c r="G1417" i="1"/>
  <c r="H1417" i="1" s="1"/>
  <c r="E1417" i="1"/>
  <c r="D1417" i="1"/>
  <c r="C1417" i="1"/>
  <c r="K1417" i="1" s="1"/>
  <c r="G1416" i="1"/>
  <c r="H1416" i="1" s="1"/>
  <c r="E1416" i="1"/>
  <c r="D1416" i="1"/>
  <c r="C1416" i="1"/>
  <c r="K1416" i="1" s="1"/>
  <c r="G1415" i="1"/>
  <c r="H1415" i="1" s="1"/>
  <c r="E1415" i="1"/>
  <c r="D1415" i="1"/>
  <c r="C1415" i="1"/>
  <c r="K1415" i="1" s="1"/>
  <c r="G1414" i="1"/>
  <c r="H1414" i="1" s="1"/>
  <c r="E1414" i="1"/>
  <c r="D1414" i="1"/>
  <c r="C1414" i="1"/>
  <c r="K1414" i="1" s="1"/>
  <c r="G1413" i="1"/>
  <c r="H1413" i="1" s="1"/>
  <c r="E1413" i="1"/>
  <c r="D1413" i="1"/>
  <c r="C1413" i="1"/>
  <c r="K1413" i="1" s="1"/>
  <c r="G1412" i="1"/>
  <c r="H1412" i="1" s="1"/>
  <c r="E1412" i="1"/>
  <c r="D1412" i="1"/>
  <c r="C1412" i="1"/>
  <c r="K1412" i="1" s="1"/>
  <c r="G1411" i="1"/>
  <c r="H1411" i="1" s="1"/>
  <c r="E1411" i="1"/>
  <c r="D1411" i="1"/>
  <c r="C1411" i="1"/>
  <c r="K1411" i="1" s="1"/>
  <c r="G1410" i="1"/>
  <c r="H1410" i="1" s="1"/>
  <c r="E1410" i="1"/>
  <c r="D1410" i="1"/>
  <c r="C1410" i="1"/>
  <c r="K1410" i="1" s="1"/>
  <c r="G1409" i="1"/>
  <c r="H1409" i="1" s="1"/>
  <c r="E1409" i="1"/>
  <c r="D1409" i="1"/>
  <c r="C1409" i="1"/>
  <c r="K1409" i="1" s="1"/>
  <c r="G1408" i="1"/>
  <c r="H1408" i="1" s="1"/>
  <c r="E1408" i="1"/>
  <c r="D1408" i="1"/>
  <c r="C1408" i="1"/>
  <c r="K1408" i="1" s="1"/>
  <c r="G1407" i="1"/>
  <c r="H1407" i="1" s="1"/>
  <c r="E1407" i="1"/>
  <c r="D1407" i="1"/>
  <c r="C1407" i="1"/>
  <c r="K1407" i="1" s="1"/>
  <c r="G1406" i="1"/>
  <c r="H1406" i="1" s="1"/>
  <c r="E1406" i="1"/>
  <c r="D1406" i="1"/>
  <c r="C1406" i="1"/>
  <c r="K1406" i="1" s="1"/>
  <c r="G1405" i="1"/>
  <c r="H1405" i="1" s="1"/>
  <c r="E1405" i="1"/>
  <c r="D1405" i="1"/>
  <c r="C1405" i="1"/>
  <c r="K1405" i="1" s="1"/>
  <c r="G1404" i="1"/>
  <c r="H1404" i="1" s="1"/>
  <c r="E1404" i="1"/>
  <c r="D1404" i="1"/>
  <c r="C1404" i="1"/>
  <c r="K1404" i="1" s="1"/>
  <c r="G1403" i="1"/>
  <c r="H1403" i="1" s="1"/>
  <c r="E1403" i="1"/>
  <c r="D1403" i="1"/>
  <c r="C1403" i="1"/>
  <c r="K1403" i="1" s="1"/>
  <c r="G1402" i="1"/>
  <c r="H1402" i="1" s="1"/>
  <c r="E1402" i="1"/>
  <c r="D1402" i="1"/>
  <c r="C1402" i="1"/>
  <c r="K1402" i="1" s="1"/>
  <c r="G1401" i="1"/>
  <c r="H1401" i="1" s="1"/>
  <c r="E1401" i="1"/>
  <c r="D1401" i="1"/>
  <c r="C1401" i="1"/>
  <c r="K1401" i="1" s="1"/>
  <c r="G1400" i="1"/>
  <c r="H1400" i="1" s="1"/>
  <c r="E1400" i="1"/>
  <c r="D1400" i="1"/>
  <c r="C1400" i="1"/>
  <c r="K1400" i="1" s="1"/>
  <c r="G1399" i="1"/>
  <c r="H1399" i="1" s="1"/>
  <c r="E1399" i="1"/>
  <c r="D1399" i="1"/>
  <c r="C1399" i="1"/>
  <c r="K1399" i="1" s="1"/>
  <c r="G1398" i="1"/>
  <c r="H1398" i="1" s="1"/>
  <c r="E1398" i="1"/>
  <c r="D1398" i="1"/>
  <c r="C1398" i="1"/>
  <c r="K1398" i="1" s="1"/>
  <c r="G1397" i="1"/>
  <c r="H1397" i="1" s="1"/>
  <c r="E1397" i="1"/>
  <c r="D1397" i="1"/>
  <c r="C1397" i="1"/>
  <c r="K1397" i="1" s="1"/>
  <c r="G1396" i="1"/>
  <c r="H1396" i="1" s="1"/>
  <c r="E1396" i="1"/>
  <c r="D1396" i="1"/>
  <c r="C1396" i="1"/>
  <c r="K1396" i="1" s="1"/>
  <c r="G1395" i="1"/>
  <c r="H1395" i="1" s="1"/>
  <c r="E1395" i="1"/>
  <c r="D1395" i="1"/>
  <c r="C1395" i="1"/>
  <c r="K1395" i="1" s="1"/>
  <c r="G1394" i="1"/>
  <c r="H1394" i="1" s="1"/>
  <c r="E1394" i="1"/>
  <c r="D1394" i="1"/>
  <c r="C1394" i="1"/>
  <c r="K1394" i="1" s="1"/>
  <c r="G1393" i="1"/>
  <c r="H1393" i="1" s="1"/>
  <c r="E1393" i="1"/>
  <c r="D1393" i="1"/>
  <c r="C1393" i="1"/>
  <c r="K1393" i="1" s="1"/>
  <c r="G1392" i="1"/>
  <c r="H1392" i="1" s="1"/>
  <c r="E1392" i="1"/>
  <c r="D1392" i="1"/>
  <c r="C1392" i="1"/>
  <c r="K1392" i="1" s="1"/>
  <c r="G1391" i="1"/>
  <c r="H1391" i="1" s="1"/>
  <c r="E1391" i="1"/>
  <c r="D1391" i="1"/>
  <c r="C1391" i="1"/>
  <c r="K1391" i="1" s="1"/>
  <c r="G1390" i="1"/>
  <c r="H1390" i="1" s="1"/>
  <c r="E1390" i="1"/>
  <c r="D1390" i="1"/>
  <c r="C1390" i="1"/>
  <c r="K1390" i="1" s="1"/>
  <c r="G1389" i="1"/>
  <c r="H1389" i="1" s="1"/>
  <c r="E1389" i="1"/>
  <c r="D1389" i="1"/>
  <c r="C1389" i="1"/>
  <c r="K1389" i="1" s="1"/>
  <c r="G1388" i="1"/>
  <c r="H1388" i="1" s="1"/>
  <c r="E1388" i="1"/>
  <c r="D1388" i="1"/>
  <c r="C1388" i="1"/>
  <c r="K1388" i="1" s="1"/>
  <c r="G1387" i="1"/>
  <c r="H1387" i="1" s="1"/>
  <c r="E1387" i="1"/>
  <c r="D1387" i="1"/>
  <c r="C1387" i="1"/>
  <c r="K1387" i="1" s="1"/>
  <c r="G1386" i="1"/>
  <c r="H1386" i="1" s="1"/>
  <c r="E1386" i="1"/>
  <c r="D1386" i="1"/>
  <c r="C1386" i="1"/>
  <c r="K1386" i="1" s="1"/>
  <c r="G1385" i="1"/>
  <c r="H1385" i="1" s="1"/>
  <c r="E1385" i="1"/>
  <c r="D1385" i="1"/>
  <c r="C1385" i="1"/>
  <c r="K1385" i="1" s="1"/>
  <c r="G1384" i="1"/>
  <c r="H1384" i="1" s="1"/>
  <c r="E1384" i="1"/>
  <c r="D1384" i="1"/>
  <c r="C1384" i="1"/>
  <c r="K1384" i="1" s="1"/>
  <c r="G1383" i="1"/>
  <c r="H1383" i="1" s="1"/>
  <c r="E1383" i="1"/>
  <c r="D1383" i="1"/>
  <c r="C1383" i="1"/>
  <c r="K1383" i="1" s="1"/>
  <c r="G1382" i="1"/>
  <c r="H1382" i="1" s="1"/>
  <c r="E1382" i="1"/>
  <c r="D1382" i="1"/>
  <c r="C1382" i="1"/>
  <c r="K1382" i="1" s="1"/>
  <c r="G1381" i="1"/>
  <c r="H1381" i="1" s="1"/>
  <c r="E1381" i="1"/>
  <c r="D1381" i="1"/>
  <c r="C1381" i="1"/>
  <c r="K1381" i="1" s="1"/>
  <c r="G1380" i="1"/>
  <c r="H1380" i="1" s="1"/>
  <c r="E1380" i="1"/>
  <c r="D1380" i="1"/>
  <c r="C1380" i="1"/>
  <c r="K1380" i="1" s="1"/>
  <c r="G1379" i="1"/>
  <c r="H1379" i="1" s="1"/>
  <c r="E1379" i="1"/>
  <c r="D1379" i="1"/>
  <c r="C1379" i="1"/>
  <c r="K1379" i="1" s="1"/>
  <c r="G1378" i="1"/>
  <c r="H1378" i="1" s="1"/>
  <c r="E1378" i="1"/>
  <c r="D1378" i="1"/>
  <c r="C1378" i="1"/>
  <c r="K1378" i="1" s="1"/>
  <c r="G1377" i="1"/>
  <c r="H1377" i="1" s="1"/>
  <c r="E1377" i="1"/>
  <c r="D1377" i="1"/>
  <c r="C1377" i="1"/>
  <c r="K1377" i="1" s="1"/>
  <c r="G1376" i="1"/>
  <c r="H1376" i="1" s="1"/>
  <c r="E1376" i="1"/>
  <c r="D1376" i="1"/>
  <c r="C1376" i="1"/>
  <c r="K1376" i="1" s="1"/>
  <c r="G1375" i="1"/>
  <c r="H1375" i="1" s="1"/>
  <c r="E1375" i="1"/>
  <c r="D1375" i="1"/>
  <c r="C1375" i="1"/>
  <c r="K1375" i="1" s="1"/>
  <c r="G1374" i="1"/>
  <c r="H1374" i="1" s="1"/>
  <c r="E1374" i="1"/>
  <c r="D1374" i="1"/>
  <c r="C1374" i="1"/>
  <c r="K1374" i="1" s="1"/>
  <c r="G1373" i="1"/>
  <c r="H1373" i="1" s="1"/>
  <c r="E1373" i="1"/>
  <c r="D1373" i="1"/>
  <c r="C1373" i="1"/>
  <c r="K1373" i="1" s="1"/>
  <c r="G1372" i="1"/>
  <c r="H1372" i="1" s="1"/>
  <c r="E1372" i="1"/>
  <c r="D1372" i="1"/>
  <c r="C1372" i="1"/>
  <c r="K1372" i="1" s="1"/>
  <c r="G1371" i="1"/>
  <c r="H1371" i="1" s="1"/>
  <c r="E1371" i="1"/>
  <c r="D1371" i="1"/>
  <c r="C1371" i="1"/>
  <c r="K1371" i="1" s="1"/>
  <c r="G1370" i="1"/>
  <c r="H1370" i="1" s="1"/>
  <c r="E1370" i="1"/>
  <c r="D1370" i="1"/>
  <c r="C1370" i="1"/>
  <c r="K1370" i="1" s="1"/>
  <c r="G1369" i="1"/>
  <c r="H1369" i="1" s="1"/>
  <c r="E1369" i="1"/>
  <c r="D1369" i="1"/>
  <c r="C1369" i="1"/>
  <c r="K1369" i="1" s="1"/>
  <c r="G1368" i="1"/>
  <c r="H1368" i="1" s="1"/>
  <c r="E1368" i="1"/>
  <c r="D1368" i="1"/>
  <c r="C1368" i="1"/>
  <c r="K1368" i="1" s="1"/>
  <c r="G1367" i="1"/>
  <c r="H1367" i="1" s="1"/>
  <c r="E1367" i="1"/>
  <c r="D1367" i="1"/>
  <c r="C1367" i="1"/>
  <c r="K1367" i="1" s="1"/>
  <c r="G1366" i="1"/>
  <c r="H1366" i="1" s="1"/>
  <c r="E1366" i="1"/>
  <c r="D1366" i="1"/>
  <c r="C1366" i="1"/>
  <c r="K1366" i="1" s="1"/>
  <c r="G1365" i="1"/>
  <c r="H1365" i="1" s="1"/>
  <c r="E1365" i="1"/>
  <c r="D1365" i="1"/>
  <c r="C1365" i="1"/>
  <c r="K1365" i="1" s="1"/>
  <c r="G1364" i="1"/>
  <c r="H1364" i="1" s="1"/>
  <c r="E1364" i="1"/>
  <c r="D1364" i="1"/>
  <c r="C1364" i="1"/>
  <c r="G1363" i="1"/>
  <c r="H1363" i="1" s="1"/>
  <c r="E1363" i="1"/>
  <c r="D1363" i="1"/>
  <c r="C1363" i="1"/>
  <c r="K1363" i="1" s="1"/>
  <c r="G1362" i="1"/>
  <c r="H1362" i="1" s="1"/>
  <c r="E1362" i="1"/>
  <c r="D1362" i="1"/>
  <c r="C1362" i="1"/>
  <c r="K1362" i="1" s="1"/>
  <c r="G1361" i="1"/>
  <c r="H1361" i="1" s="1"/>
  <c r="E1361" i="1"/>
  <c r="D1361" i="1"/>
  <c r="C1361" i="1"/>
  <c r="K1361" i="1" s="1"/>
  <c r="G1360" i="1"/>
  <c r="H1360" i="1" s="1"/>
  <c r="E1360" i="1"/>
  <c r="D1360" i="1"/>
  <c r="C1360" i="1"/>
  <c r="K1360" i="1" s="1"/>
  <c r="G1359" i="1"/>
  <c r="H1359" i="1" s="1"/>
  <c r="E1359" i="1"/>
  <c r="D1359" i="1"/>
  <c r="C1359" i="1"/>
  <c r="K1359" i="1" s="1"/>
  <c r="G1358" i="1"/>
  <c r="H1358" i="1" s="1"/>
  <c r="E1358" i="1"/>
  <c r="D1358" i="1"/>
  <c r="C1358" i="1"/>
  <c r="K1358" i="1" s="1"/>
  <c r="G1357" i="1"/>
  <c r="H1357" i="1" s="1"/>
  <c r="E1357" i="1"/>
  <c r="D1357" i="1"/>
  <c r="C1357" i="1"/>
  <c r="K1357" i="1" s="1"/>
  <c r="G1356" i="1"/>
  <c r="H1356" i="1" s="1"/>
  <c r="E1356" i="1"/>
  <c r="D1356" i="1"/>
  <c r="C1356" i="1"/>
  <c r="K1356" i="1" s="1"/>
  <c r="G1355" i="1"/>
  <c r="H1355" i="1" s="1"/>
  <c r="E1355" i="1"/>
  <c r="D1355" i="1"/>
  <c r="C1355" i="1"/>
  <c r="K1355" i="1" s="1"/>
  <c r="G1354" i="1"/>
  <c r="H1354" i="1" s="1"/>
  <c r="E1354" i="1"/>
  <c r="D1354" i="1"/>
  <c r="C1354" i="1"/>
  <c r="K1354" i="1" s="1"/>
  <c r="G1353" i="1"/>
  <c r="H1353" i="1" s="1"/>
  <c r="E1353" i="1"/>
  <c r="D1353" i="1"/>
  <c r="C1353" i="1"/>
  <c r="K1353" i="1" s="1"/>
  <c r="G1352" i="1"/>
  <c r="H1352" i="1" s="1"/>
  <c r="E1352" i="1"/>
  <c r="D1352" i="1"/>
  <c r="C1352" i="1"/>
  <c r="K1352" i="1" s="1"/>
  <c r="G1351" i="1"/>
  <c r="H1351" i="1" s="1"/>
  <c r="E1351" i="1"/>
  <c r="D1351" i="1"/>
  <c r="C1351" i="1"/>
  <c r="K1351" i="1" s="1"/>
  <c r="G1350" i="1"/>
  <c r="H1350" i="1" s="1"/>
  <c r="E1350" i="1"/>
  <c r="D1350" i="1"/>
  <c r="C1350" i="1"/>
  <c r="K1350" i="1" s="1"/>
  <c r="G1349" i="1"/>
  <c r="H1349" i="1" s="1"/>
  <c r="E1349" i="1"/>
  <c r="D1349" i="1"/>
  <c r="C1349" i="1"/>
  <c r="K1349" i="1" s="1"/>
  <c r="G1348" i="1"/>
  <c r="H1348" i="1" s="1"/>
  <c r="E1348" i="1"/>
  <c r="D1348" i="1"/>
  <c r="C1348" i="1"/>
  <c r="K1348" i="1" s="1"/>
  <c r="G1347" i="1"/>
  <c r="H1347" i="1" s="1"/>
  <c r="E1347" i="1"/>
  <c r="D1347" i="1"/>
  <c r="C1347" i="1"/>
  <c r="K1347" i="1" s="1"/>
  <c r="G1346" i="1"/>
  <c r="H1346" i="1" s="1"/>
  <c r="E1346" i="1"/>
  <c r="D1346" i="1"/>
  <c r="C1346" i="1"/>
  <c r="G1345" i="1"/>
  <c r="H1345" i="1" s="1"/>
  <c r="E1345" i="1"/>
  <c r="D1345" i="1"/>
  <c r="C1345" i="1"/>
  <c r="K1345" i="1" s="1"/>
  <c r="G1344" i="1"/>
  <c r="H1344" i="1" s="1"/>
  <c r="E1344" i="1"/>
  <c r="D1344" i="1"/>
  <c r="C1344" i="1"/>
  <c r="K1344" i="1" s="1"/>
  <c r="G1343" i="1"/>
  <c r="H1343" i="1" s="1"/>
  <c r="E1343" i="1"/>
  <c r="D1343" i="1"/>
  <c r="C1343" i="1"/>
  <c r="K1343" i="1" s="1"/>
  <c r="G1342" i="1"/>
  <c r="H1342" i="1" s="1"/>
  <c r="E1342" i="1"/>
  <c r="D1342" i="1"/>
  <c r="C1342" i="1"/>
  <c r="K1342" i="1" s="1"/>
  <c r="G1341" i="1"/>
  <c r="H1341" i="1" s="1"/>
  <c r="E1341" i="1"/>
  <c r="D1341" i="1"/>
  <c r="C1341" i="1"/>
  <c r="K1341" i="1" s="1"/>
  <c r="G1340" i="1"/>
  <c r="H1340" i="1" s="1"/>
  <c r="E1340" i="1"/>
  <c r="D1340" i="1"/>
  <c r="C1340" i="1"/>
  <c r="K1340" i="1" s="1"/>
  <c r="G1339" i="1"/>
  <c r="H1339" i="1" s="1"/>
  <c r="E1339" i="1"/>
  <c r="D1339" i="1"/>
  <c r="C1339" i="1"/>
  <c r="K1339" i="1" s="1"/>
  <c r="G1338" i="1"/>
  <c r="H1338" i="1" s="1"/>
  <c r="E1338" i="1"/>
  <c r="D1338" i="1"/>
  <c r="C1338" i="1"/>
  <c r="K1338" i="1" s="1"/>
  <c r="G1337" i="1"/>
  <c r="H1337" i="1" s="1"/>
  <c r="E1337" i="1"/>
  <c r="D1337" i="1"/>
  <c r="C1337" i="1"/>
  <c r="K1337" i="1" s="1"/>
  <c r="G1336" i="1"/>
  <c r="H1336" i="1" s="1"/>
  <c r="E1336" i="1"/>
  <c r="D1336" i="1"/>
  <c r="C1336" i="1"/>
  <c r="K1336" i="1" s="1"/>
  <c r="G1335" i="1"/>
  <c r="H1335" i="1" s="1"/>
  <c r="E1335" i="1"/>
  <c r="D1335" i="1"/>
  <c r="C1335" i="1"/>
  <c r="K1335" i="1" s="1"/>
  <c r="G1334" i="1"/>
  <c r="H1334" i="1" s="1"/>
  <c r="E1334" i="1"/>
  <c r="D1334" i="1"/>
  <c r="C1334" i="1"/>
  <c r="K1334" i="1" s="1"/>
  <c r="G1333" i="1"/>
  <c r="H1333" i="1" s="1"/>
  <c r="E1333" i="1"/>
  <c r="D1333" i="1"/>
  <c r="C1333" i="1"/>
  <c r="K1333" i="1" s="1"/>
  <c r="G1332" i="1"/>
  <c r="H1332" i="1" s="1"/>
  <c r="E1332" i="1"/>
  <c r="D1332" i="1"/>
  <c r="C1332" i="1"/>
  <c r="K1332" i="1" s="1"/>
  <c r="G1331" i="1"/>
  <c r="H1331" i="1" s="1"/>
  <c r="E1331" i="1"/>
  <c r="D1331" i="1"/>
  <c r="C1331" i="1"/>
  <c r="K1331" i="1" s="1"/>
  <c r="G1330" i="1"/>
  <c r="H1330" i="1" s="1"/>
  <c r="E1330" i="1"/>
  <c r="D1330" i="1"/>
  <c r="C1330" i="1"/>
  <c r="K1330" i="1" s="1"/>
  <c r="G1329" i="1"/>
  <c r="H1329" i="1" s="1"/>
  <c r="E1329" i="1"/>
  <c r="D1329" i="1"/>
  <c r="C1329" i="1"/>
  <c r="K1329" i="1" s="1"/>
  <c r="G1328" i="1"/>
  <c r="H1328" i="1" s="1"/>
  <c r="E1328" i="1"/>
  <c r="D1328" i="1"/>
  <c r="C1328" i="1"/>
  <c r="K1328" i="1" s="1"/>
  <c r="G1327" i="1"/>
  <c r="H1327" i="1" s="1"/>
  <c r="E1327" i="1"/>
  <c r="D1327" i="1"/>
  <c r="C1327" i="1"/>
  <c r="K1327" i="1" s="1"/>
  <c r="G1326" i="1"/>
  <c r="H1326" i="1" s="1"/>
  <c r="E1326" i="1"/>
  <c r="D1326" i="1"/>
  <c r="C1326" i="1"/>
  <c r="K1326" i="1" s="1"/>
  <c r="G1325" i="1"/>
  <c r="H1325" i="1" s="1"/>
  <c r="E1325" i="1"/>
  <c r="D1325" i="1"/>
  <c r="C1325" i="1"/>
  <c r="K1325" i="1" s="1"/>
  <c r="G1324" i="1"/>
  <c r="H1324" i="1" s="1"/>
  <c r="E1324" i="1"/>
  <c r="D1324" i="1"/>
  <c r="C1324" i="1"/>
  <c r="K1324" i="1" s="1"/>
  <c r="G1323" i="1"/>
  <c r="H1323" i="1" s="1"/>
  <c r="E1323" i="1"/>
  <c r="D1323" i="1"/>
  <c r="C1323" i="1"/>
  <c r="K1323" i="1" s="1"/>
  <c r="G1322" i="1"/>
  <c r="H1322" i="1" s="1"/>
  <c r="E1322" i="1"/>
  <c r="D1322" i="1"/>
  <c r="C1322" i="1"/>
  <c r="K1322" i="1" s="1"/>
  <c r="G1321" i="1"/>
  <c r="H1321" i="1" s="1"/>
  <c r="E1321" i="1"/>
  <c r="D1321" i="1"/>
  <c r="C1321" i="1"/>
  <c r="K1321" i="1" s="1"/>
  <c r="G1320" i="1"/>
  <c r="H1320" i="1" s="1"/>
  <c r="E1320" i="1"/>
  <c r="D1320" i="1"/>
  <c r="C1320" i="1"/>
  <c r="K1320" i="1" s="1"/>
  <c r="G1319" i="1"/>
  <c r="H1319" i="1" s="1"/>
  <c r="E1319" i="1"/>
  <c r="D1319" i="1"/>
  <c r="C1319" i="1"/>
  <c r="K1319" i="1" s="1"/>
  <c r="G1318" i="1"/>
  <c r="H1318" i="1" s="1"/>
  <c r="E1318" i="1"/>
  <c r="D1318" i="1"/>
  <c r="C1318" i="1"/>
  <c r="K1318" i="1" s="1"/>
  <c r="G1317" i="1"/>
  <c r="H1317" i="1" s="1"/>
  <c r="E1317" i="1"/>
  <c r="D1317" i="1"/>
  <c r="C1317" i="1"/>
  <c r="K1317" i="1" s="1"/>
  <c r="G1316" i="1"/>
  <c r="H1316" i="1" s="1"/>
  <c r="E1316" i="1"/>
  <c r="D1316" i="1"/>
  <c r="C1316" i="1"/>
  <c r="K1316" i="1" s="1"/>
  <c r="G1315" i="1"/>
  <c r="H1315" i="1" s="1"/>
  <c r="E1315" i="1"/>
  <c r="D1315" i="1"/>
  <c r="C1315" i="1"/>
  <c r="K1315" i="1" s="1"/>
  <c r="G1314" i="1"/>
  <c r="H1314" i="1" s="1"/>
  <c r="E1314" i="1"/>
  <c r="D1314" i="1"/>
  <c r="C1314" i="1"/>
  <c r="K1314" i="1" s="1"/>
  <c r="G1313" i="1"/>
  <c r="H1313" i="1" s="1"/>
  <c r="E1313" i="1"/>
  <c r="D1313" i="1"/>
  <c r="C1313" i="1"/>
  <c r="K1313" i="1" s="1"/>
  <c r="G1312" i="1"/>
  <c r="H1312" i="1" s="1"/>
  <c r="E1312" i="1"/>
  <c r="D1312" i="1"/>
  <c r="C1312" i="1"/>
  <c r="K1312" i="1" s="1"/>
  <c r="G1311" i="1"/>
  <c r="H1311" i="1" s="1"/>
  <c r="E1311" i="1"/>
  <c r="D1311" i="1"/>
  <c r="C1311" i="1"/>
  <c r="K1311" i="1" s="1"/>
  <c r="G1310" i="1"/>
  <c r="H1310" i="1" s="1"/>
  <c r="E1310" i="1"/>
  <c r="D1310" i="1"/>
  <c r="C1310" i="1"/>
  <c r="G1309" i="1"/>
  <c r="H1309" i="1" s="1"/>
  <c r="E1309" i="1"/>
  <c r="D1309" i="1"/>
  <c r="C1309" i="1"/>
  <c r="K1309" i="1" s="1"/>
  <c r="G1308" i="1"/>
  <c r="H1308" i="1" s="1"/>
  <c r="E1308" i="1"/>
  <c r="D1308" i="1"/>
  <c r="C1308" i="1"/>
  <c r="K1308" i="1" s="1"/>
  <c r="G1307" i="1"/>
  <c r="H1307" i="1" s="1"/>
  <c r="E1307" i="1"/>
  <c r="D1307" i="1"/>
  <c r="C1307" i="1"/>
  <c r="K1307" i="1" s="1"/>
  <c r="G1306" i="1"/>
  <c r="H1306" i="1" s="1"/>
  <c r="E1306" i="1"/>
  <c r="D1306" i="1"/>
  <c r="C1306" i="1"/>
  <c r="K1306" i="1" s="1"/>
  <c r="G1305" i="1"/>
  <c r="H1305" i="1" s="1"/>
  <c r="E1305" i="1"/>
  <c r="D1305" i="1"/>
  <c r="C1305" i="1"/>
  <c r="K1305" i="1" s="1"/>
  <c r="G1304" i="1"/>
  <c r="H1304" i="1" s="1"/>
  <c r="E1304" i="1"/>
  <c r="D1304" i="1"/>
  <c r="C1304" i="1"/>
  <c r="K1304" i="1" s="1"/>
  <c r="G1303" i="1"/>
  <c r="H1303" i="1" s="1"/>
  <c r="E1303" i="1"/>
  <c r="D1303" i="1"/>
  <c r="C1303" i="1"/>
  <c r="K1303" i="1" s="1"/>
  <c r="G1302" i="1"/>
  <c r="H1302" i="1" s="1"/>
  <c r="E1302" i="1"/>
  <c r="D1302" i="1"/>
  <c r="C1302" i="1"/>
  <c r="K1302" i="1" s="1"/>
  <c r="G1301" i="1"/>
  <c r="H1301" i="1" s="1"/>
  <c r="E1301" i="1"/>
  <c r="D1301" i="1"/>
  <c r="C1301" i="1"/>
  <c r="K1301" i="1" s="1"/>
  <c r="G1300" i="1"/>
  <c r="H1300" i="1" s="1"/>
  <c r="E1300" i="1"/>
  <c r="D1300" i="1"/>
  <c r="C1300" i="1"/>
  <c r="K1300" i="1" s="1"/>
  <c r="G1299" i="1"/>
  <c r="H1299" i="1" s="1"/>
  <c r="E1299" i="1"/>
  <c r="D1299" i="1"/>
  <c r="C1299" i="1"/>
  <c r="K1299" i="1" s="1"/>
  <c r="G1298" i="1"/>
  <c r="H1298" i="1" s="1"/>
  <c r="E1298" i="1"/>
  <c r="D1298" i="1"/>
  <c r="C1298" i="1"/>
  <c r="K1298" i="1" s="1"/>
  <c r="G1297" i="1"/>
  <c r="H1297" i="1" s="1"/>
  <c r="E1297" i="1"/>
  <c r="D1297" i="1"/>
  <c r="C1297" i="1"/>
  <c r="K1297" i="1" s="1"/>
  <c r="G1296" i="1"/>
  <c r="H1296" i="1" s="1"/>
  <c r="E1296" i="1"/>
  <c r="D1296" i="1"/>
  <c r="C1296" i="1"/>
  <c r="K1296" i="1" s="1"/>
  <c r="G1295" i="1"/>
  <c r="H1295" i="1" s="1"/>
  <c r="E1295" i="1"/>
  <c r="D1295" i="1"/>
  <c r="C1295" i="1"/>
  <c r="K1295" i="1" s="1"/>
  <c r="G1294" i="1"/>
  <c r="H1294" i="1" s="1"/>
  <c r="E1294" i="1"/>
  <c r="D1294" i="1"/>
  <c r="C1294" i="1"/>
  <c r="K1294" i="1" s="1"/>
  <c r="G1293" i="1"/>
  <c r="H1293" i="1" s="1"/>
  <c r="E1293" i="1"/>
  <c r="D1293" i="1"/>
  <c r="C1293" i="1"/>
  <c r="K1293" i="1" s="1"/>
  <c r="G1292" i="1"/>
  <c r="H1292" i="1" s="1"/>
  <c r="E1292" i="1"/>
  <c r="D1292" i="1"/>
  <c r="C1292" i="1"/>
  <c r="K1292" i="1" s="1"/>
  <c r="G1291" i="1"/>
  <c r="H1291" i="1" s="1"/>
  <c r="E1291" i="1"/>
  <c r="D1291" i="1"/>
  <c r="C1291" i="1"/>
  <c r="K1291" i="1" s="1"/>
  <c r="G1290" i="1"/>
  <c r="H1290" i="1" s="1"/>
  <c r="E1290" i="1"/>
  <c r="D1290" i="1"/>
  <c r="C1290" i="1"/>
  <c r="K1290" i="1" s="1"/>
  <c r="G1289" i="1"/>
  <c r="H1289" i="1" s="1"/>
  <c r="E1289" i="1"/>
  <c r="D1289" i="1"/>
  <c r="C1289" i="1"/>
  <c r="K1289" i="1" s="1"/>
  <c r="G1288" i="1"/>
  <c r="H1288" i="1" s="1"/>
  <c r="E1288" i="1"/>
  <c r="D1288" i="1"/>
  <c r="C1288" i="1"/>
  <c r="K1288" i="1" s="1"/>
  <c r="G1287" i="1"/>
  <c r="H1287" i="1" s="1"/>
  <c r="E1287" i="1"/>
  <c r="D1287" i="1"/>
  <c r="C1287" i="1"/>
  <c r="K1287" i="1" s="1"/>
  <c r="G1286" i="1"/>
  <c r="H1286" i="1" s="1"/>
  <c r="E1286" i="1"/>
  <c r="D1286" i="1"/>
  <c r="C1286" i="1"/>
  <c r="K1286" i="1" s="1"/>
  <c r="G1285" i="1"/>
  <c r="H1285" i="1" s="1"/>
  <c r="E1285" i="1"/>
  <c r="D1285" i="1"/>
  <c r="C1285" i="1"/>
  <c r="K1285" i="1" s="1"/>
  <c r="G1284" i="1"/>
  <c r="H1284" i="1" s="1"/>
  <c r="E1284" i="1"/>
  <c r="D1284" i="1"/>
  <c r="C1284" i="1"/>
  <c r="K1284" i="1" s="1"/>
  <c r="G1283" i="1"/>
  <c r="H1283" i="1" s="1"/>
  <c r="E1283" i="1"/>
  <c r="D1283" i="1"/>
  <c r="C1283" i="1"/>
  <c r="K1283" i="1" s="1"/>
  <c r="G1282" i="1"/>
  <c r="H1282" i="1" s="1"/>
  <c r="E1282" i="1"/>
  <c r="D1282" i="1"/>
  <c r="C1282" i="1"/>
  <c r="K1282" i="1" s="1"/>
  <c r="G1281" i="1"/>
  <c r="H1281" i="1" s="1"/>
  <c r="E1281" i="1"/>
  <c r="D1281" i="1"/>
  <c r="C1281" i="1"/>
  <c r="K1281" i="1" s="1"/>
  <c r="G1280" i="1"/>
  <c r="H1280" i="1" s="1"/>
  <c r="E1280" i="1"/>
  <c r="D1280" i="1"/>
  <c r="C1280" i="1"/>
  <c r="K1280" i="1" s="1"/>
  <c r="G1279" i="1"/>
  <c r="H1279" i="1" s="1"/>
  <c r="E1279" i="1"/>
  <c r="D1279" i="1"/>
  <c r="C1279" i="1"/>
  <c r="K1279" i="1" s="1"/>
  <c r="G1278" i="1"/>
  <c r="H1278" i="1" s="1"/>
  <c r="E1278" i="1"/>
  <c r="D1278" i="1"/>
  <c r="C1278" i="1"/>
  <c r="K1278" i="1" s="1"/>
  <c r="G1277" i="1"/>
  <c r="H1277" i="1" s="1"/>
  <c r="E1277" i="1"/>
  <c r="D1277" i="1"/>
  <c r="C1277" i="1"/>
  <c r="K1277" i="1" s="1"/>
  <c r="G1276" i="1"/>
  <c r="H1276" i="1" s="1"/>
  <c r="E1276" i="1"/>
  <c r="D1276" i="1"/>
  <c r="C1276" i="1"/>
  <c r="K1276" i="1" s="1"/>
  <c r="G1275" i="1"/>
  <c r="H1275" i="1" s="1"/>
  <c r="E1275" i="1"/>
  <c r="D1275" i="1"/>
  <c r="C1275" i="1"/>
  <c r="K1275" i="1" s="1"/>
  <c r="G1274" i="1"/>
  <c r="H1274" i="1" s="1"/>
  <c r="E1274" i="1"/>
  <c r="D1274" i="1"/>
  <c r="C1274" i="1"/>
  <c r="K1274" i="1" s="1"/>
  <c r="G1273" i="1"/>
  <c r="H1273" i="1" s="1"/>
  <c r="E1273" i="1"/>
  <c r="D1273" i="1"/>
  <c r="C1273" i="1"/>
  <c r="K1273" i="1" s="1"/>
  <c r="G1272" i="1"/>
  <c r="H1272" i="1" s="1"/>
  <c r="E1272" i="1"/>
  <c r="D1272" i="1"/>
  <c r="C1272" i="1"/>
  <c r="K1272" i="1" s="1"/>
  <c r="G1271" i="1"/>
  <c r="H1271" i="1" s="1"/>
  <c r="E1271" i="1"/>
  <c r="D1271" i="1"/>
  <c r="C1271" i="1"/>
  <c r="K1271" i="1" s="1"/>
  <c r="G1270" i="1"/>
  <c r="H1270" i="1" s="1"/>
  <c r="E1270" i="1"/>
  <c r="D1270" i="1"/>
  <c r="C1270" i="1"/>
  <c r="K1270" i="1" s="1"/>
  <c r="G1269" i="1"/>
  <c r="H1269" i="1" s="1"/>
  <c r="E1269" i="1"/>
  <c r="D1269" i="1"/>
  <c r="C1269" i="1"/>
  <c r="K1269" i="1" s="1"/>
  <c r="G1268" i="1"/>
  <c r="H1268" i="1" s="1"/>
  <c r="E1268" i="1"/>
  <c r="D1268" i="1"/>
  <c r="C1268" i="1"/>
  <c r="K1268" i="1" s="1"/>
  <c r="G1267" i="1"/>
  <c r="H1267" i="1" s="1"/>
  <c r="E1267" i="1"/>
  <c r="D1267" i="1"/>
  <c r="C1267" i="1"/>
  <c r="K1267" i="1" s="1"/>
  <c r="G1266" i="1"/>
  <c r="H1266" i="1" s="1"/>
  <c r="E1266" i="1"/>
  <c r="D1266" i="1"/>
  <c r="C1266" i="1"/>
  <c r="K1266" i="1" s="1"/>
  <c r="G1265" i="1"/>
  <c r="H1265" i="1" s="1"/>
  <c r="E1265" i="1"/>
  <c r="D1265" i="1"/>
  <c r="C1265" i="1"/>
  <c r="K1265" i="1" s="1"/>
  <c r="G1264" i="1"/>
  <c r="H1264" i="1" s="1"/>
  <c r="E1264" i="1"/>
  <c r="D1264" i="1"/>
  <c r="C1264" i="1"/>
  <c r="K1264" i="1" s="1"/>
  <c r="G1263" i="1"/>
  <c r="H1263" i="1" s="1"/>
  <c r="E1263" i="1"/>
  <c r="D1263" i="1"/>
  <c r="C1263" i="1"/>
  <c r="K1263" i="1" s="1"/>
  <c r="G1262" i="1"/>
  <c r="H1262" i="1" s="1"/>
  <c r="E1262" i="1"/>
  <c r="D1262" i="1"/>
  <c r="C1262" i="1"/>
  <c r="K1262" i="1" s="1"/>
  <c r="G1261" i="1"/>
  <c r="H1261" i="1" s="1"/>
  <c r="E1261" i="1"/>
  <c r="D1261" i="1"/>
  <c r="C1261" i="1"/>
  <c r="K1261" i="1" s="1"/>
  <c r="G1260" i="1"/>
  <c r="H1260" i="1" s="1"/>
  <c r="E1260" i="1"/>
  <c r="D1260" i="1"/>
  <c r="C1260" i="1"/>
  <c r="K1260" i="1" s="1"/>
  <c r="G1259" i="1"/>
  <c r="H1259" i="1" s="1"/>
  <c r="E1259" i="1"/>
  <c r="D1259" i="1"/>
  <c r="C1259" i="1"/>
  <c r="K1259" i="1" s="1"/>
  <c r="G1258" i="1"/>
  <c r="H1258" i="1" s="1"/>
  <c r="E1258" i="1"/>
  <c r="D1258" i="1"/>
  <c r="C1258" i="1"/>
  <c r="K1258" i="1" s="1"/>
  <c r="G1257" i="1"/>
  <c r="H1257" i="1" s="1"/>
  <c r="E1257" i="1"/>
  <c r="D1257" i="1"/>
  <c r="C1257" i="1"/>
  <c r="K1257" i="1" s="1"/>
  <c r="G1256" i="1"/>
  <c r="H1256" i="1" s="1"/>
  <c r="E1256" i="1"/>
  <c r="D1256" i="1"/>
  <c r="C1256" i="1"/>
  <c r="K1256" i="1" s="1"/>
  <c r="G1255" i="1"/>
  <c r="H1255" i="1" s="1"/>
  <c r="E1255" i="1"/>
  <c r="D1255" i="1"/>
  <c r="C1255" i="1"/>
  <c r="K1255" i="1" s="1"/>
  <c r="G1254" i="1"/>
  <c r="H1254" i="1" s="1"/>
  <c r="E1254" i="1"/>
  <c r="D1254" i="1"/>
  <c r="C1254" i="1"/>
  <c r="K1254" i="1" s="1"/>
  <c r="G1253" i="1"/>
  <c r="H1253" i="1" s="1"/>
  <c r="E1253" i="1"/>
  <c r="D1253" i="1"/>
  <c r="C1253" i="1"/>
  <c r="K1253" i="1" s="1"/>
  <c r="G1252" i="1"/>
  <c r="H1252" i="1" s="1"/>
  <c r="E1252" i="1"/>
  <c r="D1252" i="1"/>
  <c r="C1252" i="1"/>
  <c r="K1252" i="1" s="1"/>
  <c r="G1251" i="1"/>
  <c r="H1251" i="1" s="1"/>
  <c r="E1251" i="1"/>
  <c r="D1251" i="1"/>
  <c r="C1251" i="1"/>
  <c r="K1251" i="1" s="1"/>
  <c r="G1250" i="1"/>
  <c r="H1250" i="1" s="1"/>
  <c r="E1250" i="1"/>
  <c r="D1250" i="1"/>
  <c r="C1250" i="1"/>
  <c r="K1250" i="1" s="1"/>
  <c r="G1249" i="1"/>
  <c r="H1249" i="1" s="1"/>
  <c r="E1249" i="1"/>
  <c r="D1249" i="1"/>
  <c r="C1249" i="1"/>
  <c r="K1249" i="1" s="1"/>
  <c r="G1248" i="1"/>
  <c r="H1248" i="1" s="1"/>
  <c r="E1248" i="1"/>
  <c r="D1248" i="1"/>
  <c r="C1248" i="1"/>
  <c r="K1248" i="1" s="1"/>
  <c r="G1247" i="1"/>
  <c r="H1247" i="1" s="1"/>
  <c r="E1247" i="1"/>
  <c r="D1247" i="1"/>
  <c r="C1247" i="1"/>
  <c r="K1247" i="1" s="1"/>
  <c r="G1246" i="1"/>
  <c r="H1246" i="1" s="1"/>
  <c r="E1246" i="1"/>
  <c r="D1246" i="1"/>
  <c r="C1246" i="1"/>
  <c r="K1246" i="1" s="1"/>
  <c r="G1245" i="1"/>
  <c r="H1245" i="1" s="1"/>
  <c r="E1245" i="1"/>
  <c r="D1245" i="1"/>
  <c r="C1245" i="1"/>
  <c r="K1245" i="1" s="1"/>
  <c r="G1244" i="1"/>
  <c r="H1244" i="1" s="1"/>
  <c r="E1244" i="1"/>
  <c r="D1244" i="1"/>
  <c r="C1244" i="1"/>
  <c r="K1244" i="1" s="1"/>
  <c r="G1243" i="1"/>
  <c r="H1243" i="1" s="1"/>
  <c r="E1243" i="1"/>
  <c r="D1243" i="1"/>
  <c r="C1243" i="1"/>
  <c r="K1243" i="1" s="1"/>
  <c r="G1242" i="1"/>
  <c r="H1242" i="1" s="1"/>
  <c r="E1242" i="1"/>
  <c r="D1242" i="1"/>
  <c r="C1242" i="1"/>
  <c r="K1242" i="1" s="1"/>
  <c r="G1241" i="1"/>
  <c r="H1241" i="1" s="1"/>
  <c r="E1241" i="1"/>
  <c r="D1241" i="1"/>
  <c r="C1241" i="1"/>
  <c r="K1241" i="1" s="1"/>
  <c r="G1240" i="1"/>
  <c r="H1240" i="1" s="1"/>
  <c r="E1240" i="1"/>
  <c r="D1240" i="1"/>
  <c r="C1240" i="1"/>
  <c r="K1240" i="1" s="1"/>
  <c r="G1239" i="1"/>
  <c r="H1239" i="1" s="1"/>
  <c r="E1239" i="1"/>
  <c r="D1239" i="1"/>
  <c r="C1239" i="1"/>
  <c r="K1239" i="1" s="1"/>
  <c r="G1238" i="1"/>
  <c r="H1238" i="1" s="1"/>
  <c r="E1238" i="1"/>
  <c r="D1238" i="1"/>
  <c r="C1238" i="1"/>
  <c r="K1238" i="1" s="1"/>
  <c r="G1237" i="1"/>
  <c r="H1237" i="1" s="1"/>
  <c r="E1237" i="1"/>
  <c r="D1237" i="1"/>
  <c r="C1237" i="1"/>
  <c r="K1237" i="1" s="1"/>
  <c r="G1236" i="1"/>
  <c r="H1236" i="1" s="1"/>
  <c r="E1236" i="1"/>
  <c r="D1236" i="1"/>
  <c r="C1236" i="1"/>
  <c r="K1236" i="1" s="1"/>
  <c r="G1235" i="1"/>
  <c r="H1235" i="1" s="1"/>
  <c r="E1235" i="1"/>
  <c r="D1235" i="1"/>
  <c r="C1235" i="1"/>
  <c r="K1235" i="1" s="1"/>
  <c r="G1234" i="1"/>
  <c r="H1234" i="1" s="1"/>
  <c r="E1234" i="1"/>
  <c r="D1234" i="1"/>
  <c r="C1234" i="1"/>
  <c r="K1234" i="1" s="1"/>
  <c r="G1233" i="1"/>
  <c r="H1233" i="1" s="1"/>
  <c r="E1233" i="1"/>
  <c r="D1233" i="1"/>
  <c r="C1233" i="1"/>
  <c r="K1233" i="1" s="1"/>
  <c r="G1232" i="1"/>
  <c r="H1232" i="1" s="1"/>
  <c r="E1232" i="1"/>
  <c r="D1232" i="1"/>
  <c r="C1232" i="1"/>
  <c r="K1232" i="1" s="1"/>
  <c r="G1231" i="1"/>
  <c r="H1231" i="1" s="1"/>
  <c r="E1231" i="1"/>
  <c r="D1231" i="1"/>
  <c r="C1231" i="1"/>
  <c r="K1231" i="1" s="1"/>
  <c r="G1230" i="1"/>
  <c r="H1230" i="1" s="1"/>
  <c r="E1230" i="1"/>
  <c r="D1230" i="1"/>
  <c r="C1230" i="1"/>
  <c r="K1230" i="1" s="1"/>
  <c r="G1229" i="1"/>
  <c r="H1229" i="1" s="1"/>
  <c r="E1229" i="1"/>
  <c r="D1229" i="1"/>
  <c r="C1229" i="1"/>
  <c r="K1229" i="1" s="1"/>
  <c r="G1228" i="1"/>
  <c r="H1228" i="1" s="1"/>
  <c r="E1228" i="1"/>
  <c r="D1228" i="1"/>
  <c r="C1228" i="1"/>
  <c r="K1228" i="1" s="1"/>
  <c r="G1227" i="1"/>
  <c r="H1227" i="1" s="1"/>
  <c r="E1227" i="1"/>
  <c r="D1227" i="1"/>
  <c r="C1227" i="1"/>
  <c r="K1227" i="1" s="1"/>
  <c r="G1226" i="1"/>
  <c r="H1226" i="1" s="1"/>
  <c r="E1226" i="1"/>
  <c r="D1226" i="1"/>
  <c r="C1226" i="1"/>
  <c r="K1226" i="1" s="1"/>
  <c r="G1225" i="1"/>
  <c r="H1225" i="1" s="1"/>
  <c r="E1225" i="1"/>
  <c r="D1225" i="1"/>
  <c r="C1225" i="1"/>
  <c r="K1225" i="1" s="1"/>
  <c r="G1224" i="1"/>
  <c r="H1224" i="1" s="1"/>
  <c r="E1224" i="1"/>
  <c r="D1224" i="1"/>
  <c r="C1224" i="1"/>
  <c r="K1224" i="1" s="1"/>
  <c r="G1223" i="1"/>
  <c r="H1223" i="1" s="1"/>
  <c r="E1223" i="1"/>
  <c r="D1223" i="1"/>
  <c r="C1223" i="1"/>
  <c r="K1223" i="1" s="1"/>
  <c r="G1222" i="1"/>
  <c r="H1222" i="1" s="1"/>
  <c r="E1222" i="1"/>
  <c r="D1222" i="1"/>
  <c r="C1222" i="1"/>
  <c r="K1222" i="1" s="1"/>
  <c r="G1221" i="1"/>
  <c r="H1221" i="1" s="1"/>
  <c r="E1221" i="1"/>
  <c r="D1221" i="1"/>
  <c r="C1221" i="1"/>
  <c r="K1221" i="1" s="1"/>
  <c r="G1220" i="1"/>
  <c r="H1220" i="1" s="1"/>
  <c r="E1220" i="1"/>
  <c r="D1220" i="1"/>
  <c r="C1220" i="1"/>
  <c r="G1219" i="1"/>
  <c r="H1219" i="1" s="1"/>
  <c r="E1219" i="1"/>
  <c r="D1219" i="1"/>
  <c r="C1219" i="1"/>
  <c r="K1219" i="1" s="1"/>
  <c r="G1218" i="1"/>
  <c r="H1218" i="1" s="1"/>
  <c r="E1218" i="1"/>
  <c r="D1218" i="1"/>
  <c r="C1218" i="1"/>
  <c r="K1218" i="1" s="1"/>
  <c r="G1217" i="1"/>
  <c r="H1217" i="1" s="1"/>
  <c r="E1217" i="1"/>
  <c r="D1217" i="1"/>
  <c r="C1217" i="1"/>
  <c r="K1217" i="1" s="1"/>
  <c r="G1216" i="1"/>
  <c r="H1216" i="1" s="1"/>
  <c r="E1216" i="1"/>
  <c r="D1216" i="1"/>
  <c r="C1216" i="1"/>
  <c r="K1216" i="1" s="1"/>
  <c r="G1215" i="1"/>
  <c r="H1215" i="1" s="1"/>
  <c r="E1215" i="1"/>
  <c r="D1215" i="1"/>
  <c r="C1215" i="1"/>
  <c r="K1215" i="1" s="1"/>
  <c r="G1214" i="1"/>
  <c r="H1214" i="1" s="1"/>
  <c r="E1214" i="1"/>
  <c r="D1214" i="1"/>
  <c r="C1214" i="1"/>
  <c r="K1214" i="1" s="1"/>
  <c r="G1213" i="1"/>
  <c r="H1213" i="1" s="1"/>
  <c r="E1213" i="1"/>
  <c r="D1213" i="1"/>
  <c r="C1213" i="1"/>
  <c r="K1213" i="1" s="1"/>
  <c r="G1212" i="1"/>
  <c r="H1212" i="1" s="1"/>
  <c r="E1212" i="1"/>
  <c r="D1212" i="1"/>
  <c r="C1212" i="1"/>
  <c r="K1212" i="1" s="1"/>
  <c r="G1211" i="1"/>
  <c r="H1211" i="1" s="1"/>
  <c r="E1211" i="1"/>
  <c r="D1211" i="1"/>
  <c r="C1211" i="1"/>
  <c r="K1211" i="1" s="1"/>
  <c r="G1210" i="1"/>
  <c r="H1210" i="1" s="1"/>
  <c r="E1210" i="1"/>
  <c r="D1210" i="1"/>
  <c r="C1210" i="1"/>
  <c r="K1210" i="1" s="1"/>
  <c r="G1209" i="1"/>
  <c r="H1209" i="1" s="1"/>
  <c r="E1209" i="1"/>
  <c r="D1209" i="1"/>
  <c r="C1209" i="1"/>
  <c r="K1209" i="1" s="1"/>
  <c r="G1208" i="1"/>
  <c r="H1208" i="1" s="1"/>
  <c r="E1208" i="1"/>
  <c r="D1208" i="1"/>
  <c r="C1208" i="1"/>
  <c r="K1208" i="1" s="1"/>
  <c r="G1207" i="1"/>
  <c r="H1207" i="1" s="1"/>
  <c r="E1207" i="1"/>
  <c r="D1207" i="1"/>
  <c r="C1207" i="1"/>
  <c r="K1207" i="1" s="1"/>
  <c r="G1206" i="1"/>
  <c r="H1206" i="1" s="1"/>
  <c r="E1206" i="1"/>
  <c r="D1206" i="1"/>
  <c r="C1206" i="1"/>
  <c r="K1206" i="1" s="1"/>
  <c r="G1205" i="1"/>
  <c r="H1205" i="1" s="1"/>
  <c r="E1205" i="1"/>
  <c r="D1205" i="1"/>
  <c r="C1205" i="1"/>
  <c r="K1205" i="1" s="1"/>
  <c r="G1204" i="1"/>
  <c r="H1204" i="1" s="1"/>
  <c r="E1204" i="1"/>
  <c r="D1204" i="1"/>
  <c r="C1204" i="1"/>
  <c r="K1204" i="1" s="1"/>
  <c r="G1203" i="1"/>
  <c r="H1203" i="1" s="1"/>
  <c r="E1203" i="1"/>
  <c r="D1203" i="1"/>
  <c r="C1203" i="1"/>
  <c r="K1203" i="1" s="1"/>
  <c r="G1202" i="1"/>
  <c r="H1202" i="1" s="1"/>
  <c r="E1202" i="1"/>
  <c r="D1202" i="1"/>
  <c r="C1202" i="1"/>
  <c r="K1202" i="1" s="1"/>
  <c r="G1201" i="1"/>
  <c r="H1201" i="1" s="1"/>
  <c r="E1201" i="1"/>
  <c r="D1201" i="1"/>
  <c r="C1201" i="1"/>
  <c r="K1201" i="1" s="1"/>
  <c r="G1200" i="1"/>
  <c r="H1200" i="1" s="1"/>
  <c r="E1200" i="1"/>
  <c r="D1200" i="1"/>
  <c r="C1200" i="1"/>
  <c r="K1200" i="1" s="1"/>
  <c r="G1199" i="1"/>
  <c r="H1199" i="1" s="1"/>
  <c r="E1199" i="1"/>
  <c r="D1199" i="1"/>
  <c r="C1199" i="1"/>
  <c r="K1199" i="1" s="1"/>
  <c r="G1198" i="1"/>
  <c r="H1198" i="1" s="1"/>
  <c r="E1198" i="1"/>
  <c r="D1198" i="1"/>
  <c r="C1198" i="1"/>
  <c r="K1198" i="1" s="1"/>
  <c r="G1197" i="1"/>
  <c r="H1197" i="1" s="1"/>
  <c r="E1197" i="1"/>
  <c r="D1197" i="1"/>
  <c r="C1197" i="1"/>
  <c r="K1197" i="1" s="1"/>
  <c r="G1196" i="1"/>
  <c r="H1196" i="1" s="1"/>
  <c r="E1196" i="1"/>
  <c r="D1196" i="1"/>
  <c r="C1196" i="1"/>
  <c r="K1196" i="1" s="1"/>
  <c r="G1195" i="1"/>
  <c r="H1195" i="1" s="1"/>
  <c r="E1195" i="1"/>
  <c r="D1195" i="1"/>
  <c r="C1195" i="1"/>
  <c r="K1195" i="1" s="1"/>
  <c r="G1194" i="1"/>
  <c r="H1194" i="1" s="1"/>
  <c r="E1194" i="1"/>
  <c r="D1194" i="1"/>
  <c r="C1194" i="1"/>
  <c r="K1194" i="1" s="1"/>
  <c r="G1193" i="1"/>
  <c r="H1193" i="1" s="1"/>
  <c r="E1193" i="1"/>
  <c r="D1193" i="1"/>
  <c r="C1193" i="1"/>
  <c r="K1193" i="1" s="1"/>
  <c r="G1192" i="1"/>
  <c r="H1192" i="1" s="1"/>
  <c r="E1192" i="1"/>
  <c r="D1192" i="1"/>
  <c r="C1192" i="1"/>
  <c r="K1192" i="1" s="1"/>
  <c r="G1191" i="1"/>
  <c r="H1191" i="1" s="1"/>
  <c r="E1191" i="1"/>
  <c r="D1191" i="1"/>
  <c r="C1191" i="1"/>
  <c r="K1191" i="1" s="1"/>
  <c r="G1190" i="1"/>
  <c r="H1190" i="1" s="1"/>
  <c r="E1190" i="1"/>
  <c r="D1190" i="1"/>
  <c r="C1190" i="1"/>
  <c r="G1189" i="1"/>
  <c r="H1189" i="1" s="1"/>
  <c r="E1189" i="1"/>
  <c r="D1189" i="1"/>
  <c r="C1189" i="1"/>
  <c r="K1189" i="1" s="1"/>
  <c r="G1188" i="1"/>
  <c r="H1188" i="1" s="1"/>
  <c r="E1188" i="1"/>
  <c r="D1188" i="1"/>
  <c r="C1188" i="1"/>
  <c r="K1188" i="1" s="1"/>
  <c r="G1187" i="1"/>
  <c r="H1187" i="1" s="1"/>
  <c r="E1187" i="1"/>
  <c r="D1187" i="1"/>
  <c r="C1187" i="1"/>
  <c r="K1187" i="1" s="1"/>
  <c r="G1186" i="1"/>
  <c r="H1186" i="1" s="1"/>
  <c r="E1186" i="1"/>
  <c r="D1186" i="1"/>
  <c r="C1186" i="1"/>
  <c r="K1186" i="1" s="1"/>
  <c r="G1185" i="1"/>
  <c r="H1185" i="1" s="1"/>
  <c r="E1185" i="1"/>
  <c r="D1185" i="1"/>
  <c r="C1185" i="1"/>
  <c r="K1185" i="1" s="1"/>
  <c r="G1184" i="1"/>
  <c r="H1184" i="1" s="1"/>
  <c r="E1184" i="1"/>
  <c r="D1184" i="1"/>
  <c r="C1184" i="1"/>
  <c r="K1184" i="1" s="1"/>
  <c r="G1183" i="1"/>
  <c r="H1183" i="1" s="1"/>
  <c r="E1183" i="1"/>
  <c r="D1183" i="1"/>
  <c r="C1183" i="1"/>
  <c r="K1183" i="1" s="1"/>
  <c r="G1182" i="1"/>
  <c r="H1182" i="1" s="1"/>
  <c r="E1182" i="1"/>
  <c r="D1182" i="1"/>
  <c r="C1182" i="1"/>
  <c r="K1182" i="1" s="1"/>
  <c r="G1181" i="1"/>
  <c r="H1181" i="1" s="1"/>
  <c r="E1181" i="1"/>
  <c r="D1181" i="1"/>
  <c r="C1181" i="1"/>
  <c r="K1181" i="1" s="1"/>
  <c r="G1180" i="1"/>
  <c r="H1180" i="1" s="1"/>
  <c r="E1180" i="1"/>
  <c r="D1180" i="1"/>
  <c r="C1180" i="1"/>
  <c r="K1180" i="1" s="1"/>
  <c r="G1179" i="1"/>
  <c r="H1179" i="1" s="1"/>
  <c r="E1179" i="1"/>
  <c r="D1179" i="1"/>
  <c r="C1179" i="1"/>
  <c r="K1179" i="1" s="1"/>
  <c r="G1178" i="1"/>
  <c r="H1178" i="1" s="1"/>
  <c r="E1178" i="1"/>
  <c r="D1178" i="1"/>
  <c r="C1178" i="1"/>
  <c r="K1178" i="1" s="1"/>
  <c r="G1177" i="1"/>
  <c r="H1177" i="1" s="1"/>
  <c r="E1177" i="1"/>
  <c r="D1177" i="1"/>
  <c r="C1177" i="1"/>
  <c r="K1177" i="1" s="1"/>
  <c r="G1176" i="1"/>
  <c r="H1176" i="1" s="1"/>
  <c r="E1176" i="1"/>
  <c r="D1176" i="1"/>
  <c r="C1176" i="1"/>
  <c r="K1176" i="1" s="1"/>
  <c r="G1175" i="1"/>
  <c r="H1175" i="1" s="1"/>
  <c r="E1175" i="1"/>
  <c r="D1175" i="1"/>
  <c r="C1175" i="1"/>
  <c r="K1175" i="1" s="1"/>
  <c r="G1174" i="1"/>
  <c r="H1174" i="1" s="1"/>
  <c r="E1174" i="1"/>
  <c r="D1174" i="1"/>
  <c r="C1174" i="1"/>
  <c r="K1174" i="1" s="1"/>
  <c r="G1173" i="1"/>
  <c r="H1173" i="1" s="1"/>
  <c r="E1173" i="1"/>
  <c r="D1173" i="1"/>
  <c r="C1173" i="1"/>
  <c r="K1173" i="1" s="1"/>
  <c r="G1172" i="1"/>
  <c r="H1172" i="1" s="1"/>
  <c r="E1172" i="1"/>
  <c r="D1172" i="1"/>
  <c r="C1172" i="1"/>
  <c r="K1172" i="1" s="1"/>
  <c r="G1171" i="1"/>
  <c r="H1171" i="1" s="1"/>
  <c r="E1171" i="1"/>
  <c r="D1171" i="1"/>
  <c r="C1171" i="1"/>
  <c r="K1171" i="1" s="1"/>
  <c r="G1170" i="1"/>
  <c r="H1170" i="1" s="1"/>
  <c r="E1170" i="1"/>
  <c r="D1170" i="1"/>
  <c r="C1170" i="1"/>
  <c r="K1170" i="1" s="1"/>
  <c r="G1169" i="1"/>
  <c r="H1169" i="1" s="1"/>
  <c r="E1169" i="1"/>
  <c r="D1169" i="1"/>
  <c r="C1169" i="1"/>
  <c r="K1169" i="1" s="1"/>
  <c r="G1168" i="1"/>
  <c r="H1168" i="1" s="1"/>
  <c r="E1168" i="1"/>
  <c r="D1168" i="1"/>
  <c r="C1168" i="1"/>
  <c r="K1168" i="1" s="1"/>
  <c r="G1167" i="1"/>
  <c r="H1167" i="1" s="1"/>
  <c r="E1167" i="1"/>
  <c r="D1167" i="1"/>
  <c r="C1167" i="1"/>
  <c r="K1167" i="1" s="1"/>
  <c r="G1166" i="1"/>
  <c r="H1166" i="1" s="1"/>
  <c r="E1166" i="1"/>
  <c r="D1166" i="1"/>
  <c r="C1166" i="1"/>
  <c r="K1166" i="1" s="1"/>
  <c r="G1165" i="1"/>
  <c r="H1165" i="1" s="1"/>
  <c r="E1165" i="1"/>
  <c r="D1165" i="1"/>
  <c r="C1165" i="1"/>
  <c r="K1165" i="1" s="1"/>
  <c r="G1164" i="1"/>
  <c r="H1164" i="1" s="1"/>
  <c r="E1164" i="1"/>
  <c r="D1164" i="1"/>
  <c r="C1164" i="1"/>
  <c r="K1164" i="1" s="1"/>
  <c r="G1163" i="1"/>
  <c r="H1163" i="1" s="1"/>
  <c r="E1163" i="1"/>
  <c r="D1163" i="1"/>
  <c r="C1163" i="1"/>
  <c r="K1163" i="1" s="1"/>
  <c r="G1162" i="1"/>
  <c r="H1162" i="1" s="1"/>
  <c r="E1162" i="1"/>
  <c r="D1162" i="1"/>
  <c r="C1162" i="1"/>
  <c r="K1162" i="1" s="1"/>
  <c r="G1161" i="1"/>
  <c r="H1161" i="1" s="1"/>
  <c r="E1161" i="1"/>
  <c r="D1161" i="1"/>
  <c r="C1161" i="1"/>
  <c r="K1161" i="1" s="1"/>
  <c r="G1160" i="1"/>
  <c r="H1160" i="1" s="1"/>
  <c r="E1160" i="1"/>
  <c r="D1160" i="1"/>
  <c r="C1160" i="1"/>
  <c r="K1160" i="1" s="1"/>
  <c r="G1159" i="1"/>
  <c r="H1159" i="1" s="1"/>
  <c r="E1159" i="1"/>
  <c r="D1159" i="1"/>
  <c r="C1159" i="1"/>
  <c r="K1159" i="1" s="1"/>
  <c r="G1158" i="1"/>
  <c r="H1158" i="1" s="1"/>
  <c r="E1158" i="1"/>
  <c r="D1158" i="1"/>
  <c r="C1158" i="1"/>
  <c r="K1158" i="1" s="1"/>
  <c r="G1157" i="1"/>
  <c r="H1157" i="1" s="1"/>
  <c r="E1157" i="1"/>
  <c r="D1157" i="1"/>
  <c r="C1157" i="1"/>
  <c r="K1157" i="1" s="1"/>
  <c r="G1156" i="1"/>
  <c r="H1156" i="1" s="1"/>
  <c r="E1156" i="1"/>
  <c r="D1156" i="1"/>
  <c r="C1156" i="1"/>
  <c r="K1156" i="1" s="1"/>
  <c r="G1155" i="1"/>
  <c r="H1155" i="1" s="1"/>
  <c r="E1155" i="1"/>
  <c r="D1155" i="1"/>
  <c r="C1155" i="1"/>
  <c r="K1155" i="1" s="1"/>
  <c r="G1154" i="1"/>
  <c r="H1154" i="1" s="1"/>
  <c r="E1154" i="1"/>
  <c r="D1154" i="1"/>
  <c r="C1154" i="1"/>
  <c r="K1154" i="1" s="1"/>
  <c r="G1153" i="1"/>
  <c r="H1153" i="1" s="1"/>
  <c r="E1153" i="1"/>
  <c r="D1153" i="1"/>
  <c r="C1153" i="1"/>
  <c r="K1153" i="1" s="1"/>
  <c r="G1152" i="1"/>
  <c r="H1152" i="1" s="1"/>
  <c r="E1152" i="1"/>
  <c r="D1152" i="1"/>
  <c r="C1152" i="1"/>
  <c r="K1152" i="1" s="1"/>
  <c r="G1151" i="1"/>
  <c r="H1151" i="1" s="1"/>
  <c r="E1151" i="1"/>
  <c r="D1151" i="1"/>
  <c r="C1151" i="1"/>
  <c r="K1151" i="1" s="1"/>
  <c r="G1150" i="1"/>
  <c r="H1150" i="1" s="1"/>
  <c r="E1150" i="1"/>
  <c r="D1150" i="1"/>
  <c r="C1150" i="1"/>
  <c r="K1150" i="1" s="1"/>
  <c r="G1149" i="1"/>
  <c r="H1149" i="1" s="1"/>
  <c r="E1149" i="1"/>
  <c r="D1149" i="1"/>
  <c r="C1149" i="1"/>
  <c r="K1149" i="1" s="1"/>
  <c r="G1148" i="1"/>
  <c r="H1148" i="1" s="1"/>
  <c r="E1148" i="1"/>
  <c r="D1148" i="1"/>
  <c r="C1148" i="1"/>
  <c r="K1148" i="1" s="1"/>
  <c r="G1147" i="1"/>
  <c r="H1147" i="1" s="1"/>
  <c r="E1147" i="1"/>
  <c r="D1147" i="1"/>
  <c r="C1147" i="1"/>
  <c r="K1147" i="1" s="1"/>
  <c r="G1146" i="1"/>
  <c r="H1146" i="1" s="1"/>
  <c r="E1146" i="1"/>
  <c r="D1146" i="1"/>
  <c r="C1146" i="1"/>
  <c r="K1146" i="1" s="1"/>
  <c r="G1145" i="1"/>
  <c r="H1145" i="1" s="1"/>
  <c r="E1145" i="1"/>
  <c r="D1145" i="1"/>
  <c r="C1145" i="1"/>
  <c r="K1145" i="1" s="1"/>
  <c r="G1144" i="1"/>
  <c r="H1144" i="1" s="1"/>
  <c r="E1144" i="1"/>
  <c r="D1144" i="1"/>
  <c r="C1144" i="1"/>
  <c r="K1144" i="1" s="1"/>
  <c r="G1143" i="1"/>
  <c r="H1143" i="1" s="1"/>
  <c r="E1143" i="1"/>
  <c r="D1143" i="1"/>
  <c r="C1143" i="1"/>
  <c r="K1143" i="1" s="1"/>
  <c r="G1142" i="1"/>
  <c r="H1142" i="1" s="1"/>
  <c r="E1142" i="1"/>
  <c r="D1142" i="1"/>
  <c r="C1142" i="1"/>
  <c r="K1142" i="1" s="1"/>
  <c r="G1141" i="1"/>
  <c r="H1141" i="1" s="1"/>
  <c r="E1141" i="1"/>
  <c r="D1141" i="1"/>
  <c r="C1141" i="1"/>
  <c r="K1141" i="1" s="1"/>
  <c r="G1140" i="1"/>
  <c r="H1140" i="1" s="1"/>
  <c r="E1140" i="1"/>
  <c r="D1140" i="1"/>
  <c r="C1140" i="1"/>
  <c r="K1140" i="1" s="1"/>
  <c r="G1139" i="1"/>
  <c r="H1139" i="1" s="1"/>
  <c r="E1139" i="1"/>
  <c r="D1139" i="1"/>
  <c r="C1139" i="1"/>
  <c r="K1139" i="1" s="1"/>
  <c r="G1138" i="1"/>
  <c r="H1138" i="1" s="1"/>
  <c r="E1138" i="1"/>
  <c r="D1138" i="1"/>
  <c r="C1138" i="1"/>
  <c r="K1138" i="1" s="1"/>
  <c r="G1137" i="1"/>
  <c r="H1137" i="1" s="1"/>
  <c r="E1137" i="1"/>
  <c r="D1137" i="1"/>
  <c r="C1137" i="1"/>
  <c r="K1137" i="1" s="1"/>
  <c r="G1136" i="1"/>
  <c r="H1136" i="1" s="1"/>
  <c r="E1136" i="1"/>
  <c r="D1136" i="1"/>
  <c r="C1136" i="1"/>
  <c r="K1136" i="1" s="1"/>
  <c r="G1135" i="1"/>
  <c r="H1135" i="1" s="1"/>
  <c r="E1135" i="1"/>
  <c r="D1135" i="1"/>
  <c r="C1135" i="1"/>
  <c r="K1135" i="1" s="1"/>
  <c r="G1134" i="1"/>
  <c r="H1134" i="1" s="1"/>
  <c r="E1134" i="1"/>
  <c r="D1134" i="1"/>
  <c r="C1134" i="1"/>
  <c r="K1134" i="1" s="1"/>
  <c r="G1133" i="1"/>
  <c r="H1133" i="1" s="1"/>
  <c r="E1133" i="1"/>
  <c r="D1133" i="1"/>
  <c r="C1133" i="1"/>
  <c r="K1133" i="1" s="1"/>
  <c r="G1132" i="1"/>
  <c r="H1132" i="1" s="1"/>
  <c r="E1132" i="1"/>
  <c r="D1132" i="1"/>
  <c r="C1132" i="1"/>
  <c r="K1132" i="1" s="1"/>
  <c r="G1131" i="1"/>
  <c r="H1131" i="1" s="1"/>
  <c r="E1131" i="1"/>
  <c r="D1131" i="1"/>
  <c r="C1131" i="1"/>
  <c r="K1131" i="1" s="1"/>
  <c r="G1130" i="1"/>
  <c r="H1130" i="1" s="1"/>
  <c r="E1130" i="1"/>
  <c r="D1130" i="1"/>
  <c r="C1130" i="1"/>
  <c r="K1130" i="1" s="1"/>
  <c r="G1129" i="1"/>
  <c r="H1129" i="1" s="1"/>
  <c r="E1129" i="1"/>
  <c r="D1129" i="1"/>
  <c r="C1129" i="1"/>
  <c r="K1129" i="1" s="1"/>
  <c r="G1128" i="1"/>
  <c r="H1128" i="1" s="1"/>
  <c r="E1128" i="1"/>
  <c r="D1128" i="1"/>
  <c r="C1128" i="1"/>
  <c r="K1128" i="1" s="1"/>
  <c r="G1127" i="1"/>
  <c r="H1127" i="1" s="1"/>
  <c r="E1127" i="1"/>
  <c r="D1127" i="1"/>
  <c r="C1127" i="1"/>
  <c r="K1127" i="1" s="1"/>
  <c r="G1126" i="1"/>
  <c r="H1126" i="1" s="1"/>
  <c r="E1126" i="1"/>
  <c r="D1126" i="1"/>
  <c r="C1126" i="1"/>
  <c r="K1126" i="1" s="1"/>
  <c r="G1125" i="1"/>
  <c r="H1125" i="1" s="1"/>
  <c r="E1125" i="1"/>
  <c r="D1125" i="1"/>
  <c r="C1125" i="1"/>
  <c r="K1125" i="1" s="1"/>
  <c r="G1124" i="1"/>
  <c r="H1124" i="1" s="1"/>
  <c r="E1124" i="1"/>
  <c r="D1124" i="1"/>
  <c r="C1124" i="1"/>
  <c r="K1124" i="1" s="1"/>
  <c r="G1123" i="1"/>
  <c r="H1123" i="1" s="1"/>
  <c r="E1123" i="1"/>
  <c r="D1123" i="1"/>
  <c r="C1123" i="1"/>
  <c r="K1123" i="1" s="1"/>
  <c r="G1122" i="1"/>
  <c r="H1122" i="1" s="1"/>
  <c r="E1122" i="1"/>
  <c r="D1122" i="1"/>
  <c r="C1122" i="1"/>
  <c r="K1122" i="1" s="1"/>
  <c r="G1121" i="1"/>
  <c r="H1121" i="1" s="1"/>
  <c r="E1121" i="1"/>
  <c r="D1121" i="1"/>
  <c r="C1121" i="1"/>
  <c r="K1121" i="1" s="1"/>
  <c r="G1120" i="1"/>
  <c r="H1120" i="1" s="1"/>
  <c r="E1120" i="1"/>
  <c r="D1120" i="1"/>
  <c r="C1120" i="1"/>
  <c r="K1120" i="1" s="1"/>
  <c r="G1119" i="1"/>
  <c r="H1119" i="1" s="1"/>
  <c r="E1119" i="1"/>
  <c r="D1119" i="1"/>
  <c r="C1119" i="1"/>
  <c r="K1119" i="1" s="1"/>
  <c r="G1118" i="1"/>
  <c r="H1118" i="1" s="1"/>
  <c r="E1118" i="1"/>
  <c r="D1118" i="1"/>
  <c r="C1118" i="1"/>
  <c r="K1118" i="1" s="1"/>
  <c r="G1117" i="1"/>
  <c r="H1117" i="1" s="1"/>
  <c r="E1117" i="1"/>
  <c r="D1117" i="1"/>
  <c r="C1117" i="1"/>
  <c r="K1117" i="1" s="1"/>
  <c r="G1116" i="1"/>
  <c r="H1116" i="1" s="1"/>
  <c r="E1116" i="1"/>
  <c r="D1116" i="1"/>
  <c r="C1116" i="1"/>
  <c r="K1116" i="1" s="1"/>
  <c r="G1115" i="1"/>
  <c r="H1115" i="1" s="1"/>
  <c r="E1115" i="1"/>
  <c r="D1115" i="1"/>
  <c r="C1115" i="1"/>
  <c r="K1115" i="1" s="1"/>
  <c r="G1114" i="1"/>
  <c r="H1114" i="1" s="1"/>
  <c r="E1114" i="1"/>
  <c r="D1114" i="1"/>
  <c r="C1114" i="1"/>
  <c r="K1114" i="1" s="1"/>
  <c r="G1113" i="1"/>
  <c r="H1113" i="1" s="1"/>
  <c r="E1113" i="1"/>
  <c r="D1113" i="1"/>
  <c r="C1113" i="1"/>
  <c r="K1113" i="1" s="1"/>
  <c r="G1112" i="1"/>
  <c r="H1112" i="1" s="1"/>
  <c r="E1112" i="1"/>
  <c r="D1112" i="1"/>
  <c r="C1112" i="1"/>
  <c r="K1112" i="1" s="1"/>
  <c r="G1111" i="1"/>
  <c r="H1111" i="1" s="1"/>
  <c r="E1111" i="1"/>
  <c r="D1111" i="1"/>
  <c r="C1111" i="1"/>
  <c r="K1111" i="1" s="1"/>
  <c r="G1110" i="1"/>
  <c r="H1110" i="1" s="1"/>
  <c r="E1110" i="1"/>
  <c r="D1110" i="1"/>
  <c r="C1110" i="1"/>
  <c r="K1110" i="1" s="1"/>
  <c r="G1109" i="1"/>
  <c r="H1109" i="1" s="1"/>
  <c r="E1109" i="1"/>
  <c r="D1109" i="1"/>
  <c r="C1109" i="1"/>
  <c r="K1109" i="1" s="1"/>
  <c r="G1108" i="1"/>
  <c r="H1108" i="1" s="1"/>
  <c r="E1108" i="1"/>
  <c r="D1108" i="1"/>
  <c r="C1108" i="1"/>
  <c r="K1108" i="1" s="1"/>
  <c r="G1107" i="1"/>
  <c r="H1107" i="1" s="1"/>
  <c r="E1107" i="1"/>
  <c r="D1107" i="1"/>
  <c r="C1107" i="1"/>
  <c r="K1107" i="1" s="1"/>
  <c r="G1106" i="1"/>
  <c r="H1106" i="1" s="1"/>
  <c r="E1106" i="1"/>
  <c r="D1106" i="1"/>
  <c r="C1106" i="1"/>
  <c r="K1106" i="1" s="1"/>
  <c r="G1105" i="1"/>
  <c r="H1105" i="1" s="1"/>
  <c r="E1105" i="1"/>
  <c r="D1105" i="1"/>
  <c r="C1105" i="1"/>
  <c r="K1105" i="1" s="1"/>
  <c r="G1104" i="1"/>
  <c r="H1104" i="1" s="1"/>
  <c r="E1104" i="1"/>
  <c r="D1104" i="1"/>
  <c r="C1104" i="1"/>
  <c r="K1104" i="1" s="1"/>
  <c r="G1103" i="1"/>
  <c r="H1103" i="1" s="1"/>
  <c r="E1103" i="1"/>
  <c r="D1103" i="1"/>
  <c r="C1103" i="1"/>
  <c r="K1103" i="1" s="1"/>
  <c r="G1102" i="1"/>
  <c r="H1102" i="1" s="1"/>
  <c r="E1102" i="1"/>
  <c r="D1102" i="1"/>
  <c r="C1102" i="1"/>
  <c r="K1102" i="1" s="1"/>
  <c r="G1101" i="1"/>
  <c r="H1101" i="1" s="1"/>
  <c r="E1101" i="1"/>
  <c r="D1101" i="1"/>
  <c r="C1101" i="1"/>
  <c r="K1101" i="1" s="1"/>
  <c r="G1100" i="1"/>
  <c r="H1100" i="1" s="1"/>
  <c r="E1100" i="1"/>
  <c r="D1100" i="1"/>
  <c r="C1100" i="1"/>
  <c r="K1100" i="1" s="1"/>
  <c r="G1099" i="1"/>
  <c r="H1099" i="1" s="1"/>
  <c r="E1099" i="1"/>
  <c r="D1099" i="1"/>
  <c r="C1099" i="1"/>
  <c r="K1099" i="1" s="1"/>
  <c r="G1098" i="1"/>
  <c r="H1098" i="1" s="1"/>
  <c r="E1098" i="1"/>
  <c r="D1098" i="1"/>
  <c r="C1098" i="1"/>
  <c r="K1098" i="1" s="1"/>
  <c r="G1097" i="1"/>
  <c r="H1097" i="1" s="1"/>
  <c r="E1097" i="1"/>
  <c r="D1097" i="1"/>
  <c r="C1097" i="1"/>
  <c r="K1097" i="1" s="1"/>
  <c r="G1096" i="1"/>
  <c r="H1096" i="1" s="1"/>
  <c r="E1096" i="1"/>
  <c r="D1096" i="1"/>
  <c r="C1096" i="1"/>
  <c r="K1096" i="1" s="1"/>
  <c r="G1095" i="1"/>
  <c r="H1095" i="1" s="1"/>
  <c r="E1095" i="1"/>
  <c r="D1095" i="1"/>
  <c r="C1095" i="1"/>
  <c r="K1095" i="1" s="1"/>
  <c r="G1094" i="1"/>
  <c r="H1094" i="1" s="1"/>
  <c r="E1094" i="1"/>
  <c r="D1094" i="1"/>
  <c r="C1094" i="1"/>
  <c r="K1094" i="1" s="1"/>
  <c r="G1093" i="1"/>
  <c r="H1093" i="1" s="1"/>
  <c r="E1093" i="1"/>
  <c r="D1093" i="1"/>
  <c r="C1093" i="1"/>
  <c r="K1093" i="1" s="1"/>
  <c r="G1092" i="1"/>
  <c r="H1092" i="1" s="1"/>
  <c r="E1092" i="1"/>
  <c r="D1092" i="1"/>
  <c r="C1092" i="1"/>
  <c r="K1092" i="1" s="1"/>
  <c r="G1091" i="1"/>
  <c r="H1091" i="1" s="1"/>
  <c r="E1091" i="1"/>
  <c r="D1091" i="1"/>
  <c r="C1091" i="1"/>
  <c r="K1091" i="1" s="1"/>
  <c r="G1090" i="1"/>
  <c r="H1090" i="1" s="1"/>
  <c r="E1090" i="1"/>
  <c r="D1090" i="1"/>
  <c r="C1090" i="1"/>
  <c r="K1090" i="1" s="1"/>
  <c r="G1089" i="1"/>
  <c r="H1089" i="1" s="1"/>
  <c r="E1089" i="1"/>
  <c r="D1089" i="1"/>
  <c r="C1089" i="1"/>
  <c r="K1089" i="1" s="1"/>
  <c r="G1088" i="1"/>
  <c r="H1088" i="1" s="1"/>
  <c r="E1088" i="1"/>
  <c r="D1088" i="1"/>
  <c r="C1088" i="1"/>
  <c r="K1088" i="1" s="1"/>
  <c r="G1087" i="1"/>
  <c r="H1087" i="1" s="1"/>
  <c r="E1087" i="1"/>
  <c r="D1087" i="1"/>
  <c r="C1087" i="1"/>
  <c r="K1087" i="1" s="1"/>
  <c r="G1086" i="1"/>
  <c r="H1086" i="1" s="1"/>
  <c r="E1086" i="1"/>
  <c r="D1086" i="1"/>
  <c r="C1086" i="1"/>
  <c r="K1086" i="1" s="1"/>
  <c r="G1085" i="1"/>
  <c r="H1085" i="1" s="1"/>
  <c r="E1085" i="1"/>
  <c r="D1085" i="1"/>
  <c r="C1085" i="1"/>
  <c r="K1085" i="1" s="1"/>
  <c r="G1084" i="1"/>
  <c r="H1084" i="1" s="1"/>
  <c r="E1084" i="1"/>
  <c r="D1084" i="1"/>
  <c r="C1084" i="1"/>
  <c r="K1084" i="1" s="1"/>
  <c r="G1083" i="1"/>
  <c r="H1083" i="1" s="1"/>
  <c r="E1083" i="1"/>
  <c r="D1083" i="1"/>
  <c r="C1083" i="1"/>
  <c r="K1083" i="1" s="1"/>
  <c r="G1082" i="1"/>
  <c r="H1082" i="1" s="1"/>
  <c r="E1082" i="1"/>
  <c r="D1082" i="1"/>
  <c r="C1082" i="1"/>
  <c r="K1082" i="1" s="1"/>
  <c r="G1081" i="1"/>
  <c r="H1081" i="1" s="1"/>
  <c r="E1081" i="1"/>
  <c r="D1081" i="1"/>
  <c r="C1081" i="1"/>
  <c r="K1081" i="1" s="1"/>
  <c r="G1080" i="1"/>
  <c r="H1080" i="1" s="1"/>
  <c r="E1080" i="1"/>
  <c r="D1080" i="1"/>
  <c r="C1080" i="1"/>
  <c r="K1080" i="1" s="1"/>
  <c r="G1079" i="1"/>
  <c r="H1079" i="1" s="1"/>
  <c r="E1079" i="1"/>
  <c r="D1079" i="1"/>
  <c r="C1079" i="1"/>
  <c r="K1079" i="1" s="1"/>
  <c r="G1078" i="1"/>
  <c r="H1078" i="1" s="1"/>
  <c r="E1078" i="1"/>
  <c r="D1078" i="1"/>
  <c r="C1078" i="1"/>
  <c r="K1078" i="1" s="1"/>
  <c r="G1077" i="1"/>
  <c r="H1077" i="1" s="1"/>
  <c r="E1077" i="1"/>
  <c r="D1077" i="1"/>
  <c r="C1077" i="1"/>
  <c r="K1077" i="1" s="1"/>
  <c r="G1076" i="1"/>
  <c r="H1076" i="1" s="1"/>
  <c r="E1076" i="1"/>
  <c r="D1076" i="1"/>
  <c r="C1076" i="1"/>
  <c r="K1076" i="1" s="1"/>
  <c r="G1075" i="1"/>
  <c r="H1075" i="1" s="1"/>
  <c r="E1075" i="1"/>
  <c r="D1075" i="1"/>
  <c r="C1075" i="1"/>
  <c r="K1075" i="1" s="1"/>
  <c r="G1074" i="1"/>
  <c r="H1074" i="1" s="1"/>
  <c r="E1074" i="1"/>
  <c r="D1074" i="1"/>
  <c r="C1074" i="1"/>
  <c r="K1074" i="1" s="1"/>
  <c r="G1073" i="1"/>
  <c r="H1073" i="1" s="1"/>
  <c r="E1073" i="1"/>
  <c r="D1073" i="1"/>
  <c r="C1073" i="1"/>
  <c r="K1073" i="1" s="1"/>
  <c r="G1072" i="1"/>
  <c r="H1072" i="1" s="1"/>
  <c r="E1072" i="1"/>
  <c r="D1072" i="1"/>
  <c r="C1072" i="1"/>
  <c r="K1072" i="1" s="1"/>
  <c r="G1071" i="1"/>
  <c r="H1071" i="1" s="1"/>
  <c r="E1071" i="1"/>
  <c r="D1071" i="1"/>
  <c r="C1071" i="1"/>
  <c r="K1071" i="1" s="1"/>
  <c r="G1070" i="1"/>
  <c r="H1070" i="1" s="1"/>
  <c r="E1070" i="1"/>
  <c r="D1070" i="1"/>
  <c r="C1070" i="1"/>
  <c r="K1070" i="1" s="1"/>
  <c r="G1069" i="1"/>
  <c r="H1069" i="1" s="1"/>
  <c r="E1069" i="1"/>
  <c r="D1069" i="1"/>
  <c r="C1069" i="1"/>
  <c r="K1069" i="1" s="1"/>
  <c r="G1068" i="1"/>
  <c r="H1068" i="1" s="1"/>
  <c r="E1068" i="1"/>
  <c r="D1068" i="1"/>
  <c r="C1068" i="1"/>
  <c r="K1068" i="1" s="1"/>
  <c r="G1067" i="1"/>
  <c r="H1067" i="1" s="1"/>
  <c r="E1067" i="1"/>
  <c r="D1067" i="1"/>
  <c r="C1067" i="1"/>
  <c r="K1067" i="1" s="1"/>
  <c r="G1066" i="1"/>
  <c r="H1066" i="1" s="1"/>
  <c r="E1066" i="1"/>
  <c r="D1066" i="1"/>
  <c r="C1066" i="1"/>
  <c r="K1066" i="1" s="1"/>
  <c r="G1065" i="1"/>
  <c r="H1065" i="1" s="1"/>
  <c r="E1065" i="1"/>
  <c r="D1065" i="1"/>
  <c r="C1065" i="1"/>
  <c r="K1065" i="1" s="1"/>
  <c r="G1064" i="1"/>
  <c r="H1064" i="1" s="1"/>
  <c r="E1064" i="1"/>
  <c r="D1064" i="1"/>
  <c r="C1064" i="1"/>
  <c r="K1064" i="1" s="1"/>
  <c r="G1063" i="1"/>
  <c r="H1063" i="1" s="1"/>
  <c r="E1063" i="1"/>
  <c r="D1063" i="1"/>
  <c r="C1063" i="1"/>
  <c r="K1063" i="1" s="1"/>
  <c r="G1062" i="1"/>
  <c r="H1062" i="1" s="1"/>
  <c r="E1062" i="1"/>
  <c r="D1062" i="1"/>
  <c r="C1062" i="1"/>
  <c r="K1062" i="1" s="1"/>
  <c r="G1061" i="1"/>
  <c r="H1061" i="1" s="1"/>
  <c r="E1061" i="1"/>
  <c r="D1061" i="1"/>
  <c r="C1061" i="1"/>
  <c r="K1061" i="1" s="1"/>
  <c r="G1060" i="1"/>
  <c r="H1060" i="1" s="1"/>
  <c r="E1060" i="1"/>
  <c r="D1060" i="1"/>
  <c r="C1060" i="1"/>
  <c r="K1060" i="1" s="1"/>
  <c r="G1059" i="1"/>
  <c r="H1059" i="1" s="1"/>
  <c r="E1059" i="1"/>
  <c r="D1059" i="1"/>
  <c r="C1059" i="1"/>
  <c r="K1059" i="1" s="1"/>
  <c r="G1058" i="1"/>
  <c r="H1058" i="1" s="1"/>
  <c r="E1058" i="1"/>
  <c r="D1058" i="1"/>
  <c r="C1058" i="1"/>
  <c r="K1058" i="1" s="1"/>
  <c r="G1057" i="1"/>
  <c r="H1057" i="1" s="1"/>
  <c r="E1057" i="1"/>
  <c r="D1057" i="1"/>
  <c r="C1057" i="1"/>
  <c r="K1057" i="1" s="1"/>
  <c r="G1056" i="1"/>
  <c r="H1056" i="1" s="1"/>
  <c r="E1056" i="1"/>
  <c r="D1056" i="1"/>
  <c r="C1056" i="1"/>
  <c r="K1056" i="1" s="1"/>
  <c r="G1055" i="1"/>
  <c r="H1055" i="1" s="1"/>
  <c r="E1055" i="1"/>
  <c r="D1055" i="1"/>
  <c r="C1055" i="1"/>
  <c r="K1055" i="1" s="1"/>
  <c r="G1054" i="1"/>
  <c r="H1054" i="1" s="1"/>
  <c r="E1054" i="1"/>
  <c r="D1054" i="1"/>
  <c r="C1054" i="1"/>
  <c r="K1054" i="1" s="1"/>
  <c r="G1053" i="1"/>
  <c r="H1053" i="1" s="1"/>
  <c r="E1053" i="1"/>
  <c r="D1053" i="1"/>
  <c r="C1053" i="1"/>
  <c r="K1053" i="1" s="1"/>
  <c r="G1052" i="1"/>
  <c r="H1052" i="1" s="1"/>
  <c r="E1052" i="1"/>
  <c r="D1052" i="1"/>
  <c r="C1052" i="1"/>
  <c r="K1052" i="1" s="1"/>
  <c r="G1051" i="1"/>
  <c r="H1051" i="1" s="1"/>
  <c r="E1051" i="1"/>
  <c r="D1051" i="1"/>
  <c r="C1051" i="1"/>
  <c r="K1051" i="1" s="1"/>
  <c r="G1050" i="1"/>
  <c r="H1050" i="1" s="1"/>
  <c r="E1050" i="1"/>
  <c r="D1050" i="1"/>
  <c r="C1050" i="1"/>
  <c r="K1050" i="1" s="1"/>
  <c r="G1049" i="1"/>
  <c r="H1049" i="1" s="1"/>
  <c r="E1049" i="1"/>
  <c r="D1049" i="1"/>
  <c r="C1049" i="1"/>
  <c r="K1049" i="1" s="1"/>
  <c r="G1048" i="1"/>
  <c r="H1048" i="1" s="1"/>
  <c r="E1048" i="1"/>
  <c r="D1048" i="1"/>
  <c r="C1048" i="1"/>
  <c r="K1048" i="1" s="1"/>
  <c r="G1047" i="1"/>
  <c r="H1047" i="1" s="1"/>
  <c r="E1047" i="1"/>
  <c r="D1047" i="1"/>
  <c r="C1047" i="1"/>
  <c r="K1047" i="1" s="1"/>
  <c r="G1046" i="1"/>
  <c r="H1046" i="1" s="1"/>
  <c r="E1046" i="1"/>
  <c r="D1046" i="1"/>
  <c r="C1046" i="1"/>
  <c r="K1046" i="1" s="1"/>
  <c r="G1045" i="1"/>
  <c r="H1045" i="1" s="1"/>
  <c r="E1045" i="1"/>
  <c r="D1045" i="1"/>
  <c r="C1045" i="1"/>
  <c r="K1045" i="1" s="1"/>
  <c r="G1044" i="1"/>
  <c r="H1044" i="1" s="1"/>
  <c r="E1044" i="1"/>
  <c r="D1044" i="1"/>
  <c r="C1044" i="1"/>
  <c r="K1044" i="1" s="1"/>
  <c r="G1043" i="1"/>
  <c r="H1043" i="1" s="1"/>
  <c r="E1043" i="1"/>
  <c r="D1043" i="1"/>
  <c r="C1043" i="1"/>
  <c r="K1043" i="1" s="1"/>
  <c r="G1042" i="1"/>
  <c r="H1042" i="1" s="1"/>
  <c r="E1042" i="1"/>
  <c r="D1042" i="1"/>
  <c r="C1042" i="1"/>
  <c r="K1042" i="1" s="1"/>
  <c r="G1041" i="1"/>
  <c r="H1041" i="1" s="1"/>
  <c r="E1041" i="1"/>
  <c r="D1041" i="1"/>
  <c r="C1041" i="1"/>
  <c r="K1041" i="1" s="1"/>
  <c r="G1040" i="1"/>
  <c r="H1040" i="1" s="1"/>
  <c r="E1040" i="1"/>
  <c r="D1040" i="1"/>
  <c r="C1040" i="1"/>
  <c r="K1040" i="1" s="1"/>
  <c r="G1039" i="1"/>
  <c r="H1039" i="1" s="1"/>
  <c r="E1039" i="1"/>
  <c r="D1039" i="1"/>
  <c r="C1039" i="1"/>
  <c r="K1039" i="1" s="1"/>
  <c r="G1038" i="1"/>
  <c r="H1038" i="1" s="1"/>
  <c r="E1038" i="1"/>
  <c r="D1038" i="1"/>
  <c r="C1038" i="1"/>
  <c r="K1038" i="1" s="1"/>
  <c r="G1037" i="1"/>
  <c r="H1037" i="1" s="1"/>
  <c r="E1037" i="1"/>
  <c r="D1037" i="1"/>
  <c r="C1037" i="1"/>
  <c r="K1037" i="1" s="1"/>
  <c r="G1036" i="1"/>
  <c r="H1036" i="1" s="1"/>
  <c r="E1036" i="1"/>
  <c r="D1036" i="1"/>
  <c r="C1036" i="1"/>
  <c r="K1036" i="1" s="1"/>
  <c r="G1035" i="1"/>
  <c r="H1035" i="1" s="1"/>
  <c r="E1035" i="1"/>
  <c r="D1035" i="1"/>
  <c r="C1035" i="1"/>
  <c r="K1035" i="1" s="1"/>
  <c r="G1034" i="1"/>
  <c r="H1034" i="1" s="1"/>
  <c r="E1034" i="1"/>
  <c r="D1034" i="1"/>
  <c r="C1034" i="1"/>
  <c r="K1034" i="1" s="1"/>
  <c r="G1033" i="1"/>
  <c r="H1033" i="1" s="1"/>
  <c r="E1033" i="1"/>
  <c r="D1033" i="1"/>
  <c r="C1033" i="1"/>
  <c r="K1033" i="1" s="1"/>
  <c r="G1032" i="1"/>
  <c r="H1032" i="1" s="1"/>
  <c r="E1032" i="1"/>
  <c r="D1032" i="1"/>
  <c r="C1032" i="1"/>
  <c r="K1032" i="1" s="1"/>
  <c r="G1031" i="1"/>
  <c r="H1031" i="1" s="1"/>
  <c r="E1031" i="1"/>
  <c r="D1031" i="1"/>
  <c r="C1031" i="1"/>
  <c r="K1031" i="1" s="1"/>
  <c r="G1030" i="1"/>
  <c r="H1030" i="1" s="1"/>
  <c r="E1030" i="1"/>
  <c r="D1030" i="1"/>
  <c r="C1030" i="1"/>
  <c r="K1030" i="1" s="1"/>
  <c r="G1029" i="1"/>
  <c r="H1029" i="1" s="1"/>
  <c r="E1029" i="1"/>
  <c r="D1029" i="1"/>
  <c r="C1029" i="1"/>
  <c r="K1029" i="1" s="1"/>
  <c r="G1028" i="1"/>
  <c r="H1028" i="1" s="1"/>
  <c r="E1028" i="1"/>
  <c r="D1028" i="1"/>
  <c r="C1028" i="1"/>
  <c r="K1028" i="1" s="1"/>
  <c r="G1027" i="1"/>
  <c r="H1027" i="1" s="1"/>
  <c r="E1027" i="1"/>
  <c r="D1027" i="1"/>
  <c r="C1027" i="1"/>
  <c r="K1027" i="1" s="1"/>
  <c r="G1026" i="1"/>
  <c r="H1026" i="1" s="1"/>
  <c r="E1026" i="1"/>
  <c r="D1026" i="1"/>
  <c r="C1026" i="1"/>
  <c r="K1026" i="1" s="1"/>
  <c r="G1025" i="1"/>
  <c r="H1025" i="1" s="1"/>
  <c r="E1025" i="1"/>
  <c r="D1025" i="1"/>
  <c r="C1025" i="1"/>
  <c r="K1025" i="1" s="1"/>
  <c r="G1024" i="1"/>
  <c r="H1024" i="1" s="1"/>
  <c r="E1024" i="1"/>
  <c r="D1024" i="1"/>
  <c r="C1024" i="1"/>
  <c r="K1024" i="1" s="1"/>
  <c r="G1023" i="1"/>
  <c r="H1023" i="1" s="1"/>
  <c r="E1023" i="1"/>
  <c r="D1023" i="1"/>
  <c r="C1023" i="1"/>
  <c r="K1023" i="1" s="1"/>
  <c r="G1022" i="1"/>
  <c r="H1022" i="1" s="1"/>
  <c r="E1022" i="1"/>
  <c r="D1022" i="1"/>
  <c r="C1022" i="1"/>
  <c r="K1022" i="1" s="1"/>
  <c r="G1021" i="1"/>
  <c r="H1021" i="1" s="1"/>
  <c r="E1021" i="1"/>
  <c r="D1021" i="1"/>
  <c r="C1021" i="1"/>
  <c r="K1021" i="1" s="1"/>
  <c r="G1020" i="1"/>
  <c r="H1020" i="1" s="1"/>
  <c r="E1020" i="1"/>
  <c r="D1020" i="1"/>
  <c r="C1020" i="1"/>
  <c r="K1020" i="1" s="1"/>
  <c r="G1019" i="1"/>
  <c r="H1019" i="1" s="1"/>
  <c r="E1019" i="1"/>
  <c r="D1019" i="1"/>
  <c r="C1019" i="1"/>
  <c r="K1019" i="1" s="1"/>
  <c r="G1018" i="1"/>
  <c r="H1018" i="1" s="1"/>
  <c r="E1018" i="1"/>
  <c r="D1018" i="1"/>
  <c r="C1018" i="1"/>
  <c r="K1018" i="1" s="1"/>
  <c r="G1017" i="1"/>
  <c r="H1017" i="1" s="1"/>
  <c r="E1017" i="1"/>
  <c r="D1017" i="1"/>
  <c r="C1017" i="1"/>
  <c r="K1017" i="1" s="1"/>
  <c r="G1016" i="1"/>
  <c r="H1016" i="1" s="1"/>
  <c r="E1016" i="1"/>
  <c r="D1016" i="1"/>
  <c r="C1016" i="1"/>
  <c r="K1016" i="1" s="1"/>
  <c r="G1015" i="1"/>
  <c r="H1015" i="1" s="1"/>
  <c r="E1015" i="1"/>
  <c r="D1015" i="1"/>
  <c r="C1015" i="1"/>
  <c r="K1015" i="1" s="1"/>
  <c r="G1014" i="1"/>
  <c r="H1014" i="1" s="1"/>
  <c r="E1014" i="1"/>
  <c r="D1014" i="1"/>
  <c r="C1014" i="1"/>
  <c r="K1014" i="1" s="1"/>
  <c r="G1013" i="1"/>
  <c r="H1013" i="1" s="1"/>
  <c r="E1013" i="1"/>
  <c r="D1013" i="1"/>
  <c r="C1013" i="1"/>
  <c r="K1013" i="1" s="1"/>
  <c r="G1012" i="1"/>
  <c r="H1012" i="1" s="1"/>
  <c r="E1012" i="1"/>
  <c r="D1012" i="1"/>
  <c r="C1012" i="1"/>
  <c r="K1012" i="1" s="1"/>
  <c r="G1011" i="1"/>
  <c r="H1011" i="1" s="1"/>
  <c r="E1011" i="1"/>
  <c r="D1011" i="1"/>
  <c r="C1011" i="1"/>
  <c r="K1011" i="1" s="1"/>
  <c r="G1010" i="1"/>
  <c r="H1010" i="1" s="1"/>
  <c r="E1010" i="1"/>
  <c r="D1010" i="1"/>
  <c r="C1010" i="1"/>
  <c r="K1010" i="1" s="1"/>
  <c r="G1009" i="1"/>
  <c r="H1009" i="1" s="1"/>
  <c r="E1009" i="1"/>
  <c r="D1009" i="1"/>
  <c r="C1009" i="1"/>
  <c r="K1009" i="1" s="1"/>
  <c r="G1008" i="1"/>
  <c r="H1008" i="1" s="1"/>
  <c r="E1008" i="1"/>
  <c r="D1008" i="1"/>
  <c r="C1008" i="1"/>
  <c r="K1008" i="1" s="1"/>
  <c r="G1007" i="1"/>
  <c r="H1007" i="1" s="1"/>
  <c r="E1007" i="1"/>
  <c r="D1007" i="1"/>
  <c r="C1007" i="1"/>
  <c r="K1007" i="1" s="1"/>
  <c r="G1006" i="1"/>
  <c r="H1006" i="1" s="1"/>
  <c r="E1006" i="1"/>
  <c r="D1006" i="1"/>
  <c r="C1006" i="1"/>
  <c r="K1006" i="1" s="1"/>
  <c r="G1005" i="1"/>
  <c r="H1005" i="1" s="1"/>
  <c r="E1005" i="1"/>
  <c r="D1005" i="1"/>
  <c r="C1005" i="1"/>
  <c r="K1005" i="1" s="1"/>
  <c r="G1004" i="1"/>
  <c r="H1004" i="1" s="1"/>
  <c r="E1004" i="1"/>
  <c r="D1004" i="1"/>
  <c r="C1004" i="1"/>
  <c r="K1004" i="1" s="1"/>
  <c r="G1003" i="1"/>
  <c r="H1003" i="1" s="1"/>
  <c r="E1003" i="1"/>
  <c r="D1003" i="1"/>
  <c r="C1003" i="1"/>
  <c r="K1003" i="1" s="1"/>
  <c r="G1002" i="1"/>
  <c r="H1002" i="1" s="1"/>
  <c r="E1002" i="1"/>
  <c r="D1002" i="1"/>
  <c r="C1002" i="1"/>
  <c r="K1002" i="1" s="1"/>
  <c r="G1001" i="1"/>
  <c r="H1001" i="1" s="1"/>
  <c r="E1001" i="1"/>
  <c r="D1001" i="1"/>
  <c r="C1001" i="1"/>
  <c r="K1001" i="1" s="1"/>
  <c r="G1000" i="1"/>
  <c r="H1000" i="1" s="1"/>
  <c r="E1000" i="1"/>
  <c r="D1000" i="1"/>
  <c r="C1000" i="1"/>
  <c r="K1000" i="1" s="1"/>
  <c r="G999" i="1"/>
  <c r="H999" i="1" s="1"/>
  <c r="E999" i="1"/>
  <c r="D999" i="1"/>
  <c r="C999" i="1"/>
  <c r="K999" i="1" s="1"/>
  <c r="G998" i="1"/>
  <c r="H998" i="1" s="1"/>
  <c r="E998" i="1"/>
  <c r="D998" i="1"/>
  <c r="C998" i="1"/>
  <c r="K998" i="1" s="1"/>
  <c r="G997" i="1"/>
  <c r="H997" i="1" s="1"/>
  <c r="E997" i="1"/>
  <c r="D997" i="1"/>
  <c r="C997" i="1"/>
  <c r="K997" i="1" s="1"/>
  <c r="G996" i="1"/>
  <c r="H996" i="1" s="1"/>
  <c r="E996" i="1"/>
  <c r="D996" i="1"/>
  <c r="C996" i="1"/>
  <c r="K996" i="1" s="1"/>
  <c r="G995" i="1"/>
  <c r="H995" i="1" s="1"/>
  <c r="E995" i="1"/>
  <c r="D995" i="1"/>
  <c r="C995" i="1"/>
  <c r="K995" i="1" s="1"/>
  <c r="G994" i="1"/>
  <c r="H994" i="1" s="1"/>
  <c r="E994" i="1"/>
  <c r="D994" i="1"/>
  <c r="C994" i="1"/>
  <c r="K994" i="1" s="1"/>
  <c r="G993" i="1"/>
  <c r="H993" i="1" s="1"/>
  <c r="E993" i="1"/>
  <c r="D993" i="1"/>
  <c r="C993" i="1"/>
  <c r="K993" i="1" s="1"/>
  <c r="G992" i="1"/>
  <c r="H992" i="1" s="1"/>
  <c r="E992" i="1"/>
  <c r="D992" i="1"/>
  <c r="C992" i="1"/>
  <c r="K992" i="1" s="1"/>
  <c r="G991" i="1"/>
  <c r="H991" i="1" s="1"/>
  <c r="E991" i="1"/>
  <c r="D991" i="1"/>
  <c r="C991" i="1"/>
  <c r="K991" i="1" s="1"/>
  <c r="G990" i="1"/>
  <c r="H990" i="1" s="1"/>
  <c r="E990" i="1"/>
  <c r="D990" i="1"/>
  <c r="C990" i="1"/>
  <c r="K990" i="1" s="1"/>
  <c r="G989" i="1"/>
  <c r="H989" i="1" s="1"/>
  <c r="E989" i="1"/>
  <c r="D989" i="1"/>
  <c r="C989" i="1"/>
  <c r="K989" i="1" s="1"/>
  <c r="G988" i="1"/>
  <c r="H988" i="1" s="1"/>
  <c r="E988" i="1"/>
  <c r="D988" i="1"/>
  <c r="C988" i="1"/>
  <c r="K988" i="1" s="1"/>
  <c r="G987" i="1"/>
  <c r="H987" i="1" s="1"/>
  <c r="E987" i="1"/>
  <c r="D987" i="1"/>
  <c r="C987" i="1"/>
  <c r="K987" i="1" s="1"/>
  <c r="G986" i="1"/>
  <c r="H986" i="1" s="1"/>
  <c r="E986" i="1"/>
  <c r="D986" i="1"/>
  <c r="C986" i="1"/>
  <c r="K986" i="1" s="1"/>
  <c r="G985" i="1"/>
  <c r="H985" i="1" s="1"/>
  <c r="E985" i="1"/>
  <c r="D985" i="1"/>
  <c r="C985" i="1"/>
  <c r="K985" i="1" s="1"/>
  <c r="G984" i="1"/>
  <c r="H984" i="1" s="1"/>
  <c r="E984" i="1"/>
  <c r="D984" i="1"/>
  <c r="C984" i="1"/>
  <c r="K984" i="1" s="1"/>
  <c r="G983" i="1"/>
  <c r="H983" i="1" s="1"/>
  <c r="E983" i="1"/>
  <c r="D983" i="1"/>
  <c r="C983" i="1"/>
  <c r="K983" i="1" s="1"/>
  <c r="G982" i="1"/>
  <c r="H982" i="1" s="1"/>
  <c r="E982" i="1"/>
  <c r="D982" i="1"/>
  <c r="C982" i="1"/>
  <c r="K982" i="1" s="1"/>
  <c r="G981" i="1"/>
  <c r="H981" i="1" s="1"/>
  <c r="E981" i="1"/>
  <c r="D981" i="1"/>
  <c r="C981" i="1"/>
  <c r="K981" i="1" s="1"/>
  <c r="G980" i="1"/>
  <c r="H980" i="1" s="1"/>
  <c r="E980" i="1"/>
  <c r="D980" i="1"/>
  <c r="C980" i="1"/>
  <c r="G979" i="1"/>
  <c r="H979" i="1" s="1"/>
  <c r="E979" i="1"/>
  <c r="D979" i="1"/>
  <c r="C979" i="1"/>
  <c r="K979" i="1" s="1"/>
  <c r="G978" i="1"/>
  <c r="H978" i="1" s="1"/>
  <c r="E978" i="1"/>
  <c r="D978" i="1"/>
  <c r="C978" i="1"/>
  <c r="K978" i="1" s="1"/>
  <c r="G977" i="1"/>
  <c r="H977" i="1" s="1"/>
  <c r="E977" i="1"/>
  <c r="D977" i="1"/>
  <c r="C977" i="1"/>
  <c r="K977" i="1" s="1"/>
  <c r="G976" i="1"/>
  <c r="H976" i="1" s="1"/>
  <c r="E976" i="1"/>
  <c r="D976" i="1"/>
  <c r="C976" i="1"/>
  <c r="K976" i="1" s="1"/>
  <c r="G975" i="1"/>
  <c r="H975" i="1" s="1"/>
  <c r="E975" i="1"/>
  <c r="D975" i="1"/>
  <c r="C975" i="1"/>
  <c r="K975" i="1" s="1"/>
  <c r="G974" i="1"/>
  <c r="H974" i="1" s="1"/>
  <c r="E974" i="1"/>
  <c r="D974" i="1"/>
  <c r="C974" i="1"/>
  <c r="K974" i="1" s="1"/>
  <c r="G973" i="1"/>
  <c r="H973" i="1" s="1"/>
  <c r="E973" i="1"/>
  <c r="D973" i="1"/>
  <c r="C973" i="1"/>
  <c r="K973" i="1" s="1"/>
  <c r="G972" i="1"/>
  <c r="H972" i="1" s="1"/>
  <c r="E972" i="1"/>
  <c r="D972" i="1"/>
  <c r="C972" i="1"/>
  <c r="K972" i="1" s="1"/>
  <c r="G971" i="1"/>
  <c r="H971" i="1" s="1"/>
  <c r="E971" i="1"/>
  <c r="D971" i="1"/>
  <c r="C971" i="1"/>
  <c r="K971" i="1" s="1"/>
  <c r="G970" i="1"/>
  <c r="H970" i="1" s="1"/>
  <c r="E970" i="1"/>
  <c r="D970" i="1"/>
  <c r="C970" i="1"/>
  <c r="K970" i="1" s="1"/>
  <c r="G969" i="1"/>
  <c r="H969" i="1" s="1"/>
  <c r="E969" i="1"/>
  <c r="D969" i="1"/>
  <c r="C969" i="1"/>
  <c r="K969" i="1" s="1"/>
  <c r="G968" i="1"/>
  <c r="H968" i="1" s="1"/>
  <c r="E968" i="1"/>
  <c r="D968" i="1"/>
  <c r="C968" i="1"/>
  <c r="K968" i="1" s="1"/>
  <c r="G967" i="1"/>
  <c r="H967" i="1" s="1"/>
  <c r="E967" i="1"/>
  <c r="D967" i="1"/>
  <c r="C967" i="1"/>
  <c r="K967" i="1" s="1"/>
  <c r="G966" i="1"/>
  <c r="H966" i="1" s="1"/>
  <c r="E966" i="1"/>
  <c r="D966" i="1"/>
  <c r="C966" i="1"/>
  <c r="K966" i="1" s="1"/>
  <c r="G965" i="1"/>
  <c r="H965" i="1" s="1"/>
  <c r="E965" i="1"/>
  <c r="D965" i="1"/>
  <c r="C965" i="1"/>
  <c r="K965" i="1" s="1"/>
  <c r="G964" i="1"/>
  <c r="H964" i="1" s="1"/>
  <c r="E964" i="1"/>
  <c r="D964" i="1"/>
  <c r="C964" i="1"/>
  <c r="K964" i="1" s="1"/>
  <c r="G963" i="1"/>
  <c r="H963" i="1" s="1"/>
  <c r="E963" i="1"/>
  <c r="D963" i="1"/>
  <c r="C963" i="1"/>
  <c r="K963" i="1" s="1"/>
  <c r="G962" i="1"/>
  <c r="H962" i="1" s="1"/>
  <c r="E962" i="1"/>
  <c r="D962" i="1"/>
  <c r="C962" i="1"/>
  <c r="K962" i="1" s="1"/>
  <c r="G961" i="1"/>
  <c r="H961" i="1" s="1"/>
  <c r="E961" i="1"/>
  <c r="D961" i="1"/>
  <c r="C961" i="1"/>
  <c r="K961" i="1" s="1"/>
  <c r="G960" i="1"/>
  <c r="H960" i="1" s="1"/>
  <c r="E960" i="1"/>
  <c r="D960" i="1"/>
  <c r="C960" i="1"/>
  <c r="K960" i="1" s="1"/>
  <c r="G959" i="1"/>
  <c r="H959" i="1" s="1"/>
  <c r="E959" i="1"/>
  <c r="D959" i="1"/>
  <c r="C959" i="1"/>
  <c r="K959" i="1" s="1"/>
  <c r="G958" i="1"/>
  <c r="H958" i="1" s="1"/>
  <c r="E958" i="1"/>
  <c r="D958" i="1"/>
  <c r="C958" i="1"/>
  <c r="K958" i="1" s="1"/>
  <c r="G957" i="1"/>
  <c r="H957" i="1" s="1"/>
  <c r="E957" i="1"/>
  <c r="D957" i="1"/>
  <c r="C957" i="1"/>
  <c r="K957" i="1" s="1"/>
  <c r="G956" i="1"/>
  <c r="H956" i="1" s="1"/>
  <c r="E956" i="1"/>
  <c r="D956" i="1"/>
  <c r="C956" i="1"/>
  <c r="K956" i="1" s="1"/>
  <c r="G955" i="1"/>
  <c r="H955" i="1" s="1"/>
  <c r="E955" i="1"/>
  <c r="D955" i="1"/>
  <c r="C955" i="1"/>
  <c r="K955" i="1" s="1"/>
  <c r="G954" i="1"/>
  <c r="H954" i="1" s="1"/>
  <c r="E954" i="1"/>
  <c r="D954" i="1"/>
  <c r="C954" i="1"/>
  <c r="K954" i="1" s="1"/>
  <c r="G953" i="1"/>
  <c r="H953" i="1" s="1"/>
  <c r="E953" i="1"/>
  <c r="D953" i="1"/>
  <c r="C953" i="1"/>
  <c r="K953" i="1" s="1"/>
  <c r="G952" i="1"/>
  <c r="H952" i="1" s="1"/>
  <c r="E952" i="1"/>
  <c r="D952" i="1"/>
  <c r="C952" i="1"/>
  <c r="K952" i="1" s="1"/>
  <c r="G951" i="1"/>
  <c r="H951" i="1" s="1"/>
  <c r="E951" i="1"/>
  <c r="D951" i="1"/>
  <c r="C951" i="1"/>
  <c r="K951" i="1" s="1"/>
  <c r="G950" i="1"/>
  <c r="H950" i="1" s="1"/>
  <c r="E950" i="1"/>
  <c r="D950" i="1"/>
  <c r="C950" i="1"/>
  <c r="K950" i="1" s="1"/>
  <c r="G949" i="1"/>
  <c r="H949" i="1" s="1"/>
  <c r="E949" i="1"/>
  <c r="D949" i="1"/>
  <c r="C949" i="1"/>
  <c r="K949" i="1" s="1"/>
  <c r="G948" i="1"/>
  <c r="H948" i="1" s="1"/>
  <c r="E948" i="1"/>
  <c r="D948" i="1"/>
  <c r="C948" i="1"/>
  <c r="K948" i="1" s="1"/>
  <c r="G947" i="1"/>
  <c r="H947" i="1" s="1"/>
  <c r="E947" i="1"/>
  <c r="D947" i="1"/>
  <c r="C947" i="1"/>
  <c r="K947" i="1" s="1"/>
  <c r="G946" i="1"/>
  <c r="H946" i="1" s="1"/>
  <c r="E946" i="1"/>
  <c r="D946" i="1"/>
  <c r="C946" i="1"/>
  <c r="K946" i="1" s="1"/>
  <c r="G945" i="1"/>
  <c r="H945" i="1" s="1"/>
  <c r="E945" i="1"/>
  <c r="D945" i="1"/>
  <c r="C945" i="1"/>
  <c r="K945" i="1" s="1"/>
  <c r="G944" i="1"/>
  <c r="H944" i="1" s="1"/>
  <c r="E944" i="1"/>
  <c r="D944" i="1"/>
  <c r="C944" i="1"/>
  <c r="K944" i="1" s="1"/>
  <c r="G943" i="1"/>
  <c r="H943" i="1" s="1"/>
  <c r="E943" i="1"/>
  <c r="D943" i="1"/>
  <c r="C943" i="1"/>
  <c r="K943" i="1" s="1"/>
  <c r="G942" i="1"/>
  <c r="H942" i="1" s="1"/>
  <c r="E942" i="1"/>
  <c r="D942" i="1"/>
  <c r="C942" i="1"/>
  <c r="K942" i="1" s="1"/>
  <c r="G941" i="1"/>
  <c r="H941" i="1" s="1"/>
  <c r="E941" i="1"/>
  <c r="D941" i="1"/>
  <c r="C941" i="1"/>
  <c r="K941" i="1" s="1"/>
  <c r="G940" i="1"/>
  <c r="H940" i="1" s="1"/>
  <c r="E940" i="1"/>
  <c r="D940" i="1"/>
  <c r="C940" i="1"/>
  <c r="K940" i="1" s="1"/>
  <c r="G939" i="1"/>
  <c r="H939" i="1" s="1"/>
  <c r="E939" i="1"/>
  <c r="D939" i="1"/>
  <c r="C939" i="1"/>
  <c r="K939" i="1" s="1"/>
  <c r="G938" i="1"/>
  <c r="H938" i="1" s="1"/>
  <c r="E938" i="1"/>
  <c r="D938" i="1"/>
  <c r="C938" i="1"/>
  <c r="K938" i="1" s="1"/>
  <c r="G937" i="1"/>
  <c r="H937" i="1" s="1"/>
  <c r="E937" i="1"/>
  <c r="D937" i="1"/>
  <c r="C937" i="1"/>
  <c r="K937" i="1" s="1"/>
  <c r="G936" i="1"/>
  <c r="H936" i="1" s="1"/>
  <c r="E936" i="1"/>
  <c r="D936" i="1"/>
  <c r="C936" i="1"/>
  <c r="K936" i="1" s="1"/>
  <c r="G935" i="1"/>
  <c r="H935" i="1" s="1"/>
  <c r="E935" i="1"/>
  <c r="D935" i="1"/>
  <c r="C935" i="1"/>
  <c r="G934" i="1"/>
  <c r="H934" i="1" s="1"/>
  <c r="E934" i="1"/>
  <c r="D934" i="1"/>
  <c r="C934" i="1"/>
  <c r="K934" i="1" s="1"/>
  <c r="G933" i="1"/>
  <c r="H933" i="1" s="1"/>
  <c r="E933" i="1"/>
  <c r="D933" i="1"/>
  <c r="C933" i="1"/>
  <c r="K933" i="1" s="1"/>
  <c r="G932" i="1"/>
  <c r="H932" i="1" s="1"/>
  <c r="E932" i="1"/>
  <c r="D932" i="1"/>
  <c r="C932" i="1"/>
  <c r="K932" i="1" s="1"/>
  <c r="G931" i="1"/>
  <c r="H931" i="1" s="1"/>
  <c r="E931" i="1"/>
  <c r="D931" i="1"/>
  <c r="C931" i="1"/>
  <c r="K931" i="1" s="1"/>
  <c r="G930" i="1"/>
  <c r="H930" i="1" s="1"/>
  <c r="E930" i="1"/>
  <c r="D930" i="1"/>
  <c r="C930" i="1"/>
  <c r="K930" i="1" s="1"/>
  <c r="G929" i="1"/>
  <c r="H929" i="1" s="1"/>
  <c r="E929" i="1"/>
  <c r="D929" i="1"/>
  <c r="C929" i="1"/>
  <c r="K929" i="1" s="1"/>
  <c r="G928" i="1"/>
  <c r="H928" i="1" s="1"/>
  <c r="E928" i="1"/>
  <c r="D928" i="1"/>
  <c r="C928" i="1"/>
  <c r="K928" i="1" s="1"/>
  <c r="G927" i="1"/>
  <c r="H927" i="1" s="1"/>
  <c r="E927" i="1"/>
  <c r="D927" i="1"/>
  <c r="C927" i="1"/>
  <c r="K927" i="1" s="1"/>
  <c r="G926" i="1"/>
  <c r="H926" i="1" s="1"/>
  <c r="E926" i="1"/>
  <c r="D926" i="1"/>
  <c r="C926" i="1"/>
  <c r="K926" i="1" s="1"/>
  <c r="G925" i="1"/>
  <c r="H925" i="1" s="1"/>
  <c r="E925" i="1"/>
  <c r="D925" i="1"/>
  <c r="C925" i="1"/>
  <c r="K925" i="1" s="1"/>
  <c r="G924" i="1"/>
  <c r="H924" i="1" s="1"/>
  <c r="E924" i="1"/>
  <c r="D924" i="1"/>
  <c r="C924" i="1"/>
  <c r="K924" i="1" s="1"/>
  <c r="G923" i="1"/>
  <c r="H923" i="1" s="1"/>
  <c r="E923" i="1"/>
  <c r="D923" i="1"/>
  <c r="C923" i="1"/>
  <c r="K923" i="1" s="1"/>
  <c r="G922" i="1"/>
  <c r="H922" i="1" s="1"/>
  <c r="E922" i="1"/>
  <c r="D922" i="1"/>
  <c r="C922" i="1"/>
  <c r="K922" i="1" s="1"/>
  <c r="G921" i="1"/>
  <c r="H921" i="1" s="1"/>
  <c r="E921" i="1"/>
  <c r="D921" i="1"/>
  <c r="C921" i="1"/>
  <c r="K921" i="1" s="1"/>
  <c r="G920" i="1"/>
  <c r="H920" i="1" s="1"/>
  <c r="E920" i="1"/>
  <c r="D920" i="1"/>
  <c r="C920" i="1"/>
  <c r="K920" i="1" s="1"/>
  <c r="G919" i="1"/>
  <c r="H919" i="1" s="1"/>
  <c r="E919" i="1"/>
  <c r="D919" i="1"/>
  <c r="C919" i="1"/>
  <c r="K919" i="1" s="1"/>
  <c r="G918" i="1"/>
  <c r="H918" i="1" s="1"/>
  <c r="E918" i="1"/>
  <c r="D918" i="1"/>
  <c r="C918" i="1"/>
  <c r="K918" i="1" s="1"/>
  <c r="G917" i="1"/>
  <c r="H917" i="1" s="1"/>
  <c r="E917" i="1"/>
  <c r="D917" i="1"/>
  <c r="C917" i="1"/>
  <c r="K917" i="1" s="1"/>
  <c r="G916" i="1"/>
  <c r="H916" i="1" s="1"/>
  <c r="E916" i="1"/>
  <c r="D916" i="1"/>
  <c r="C916" i="1"/>
  <c r="K916" i="1" s="1"/>
  <c r="G915" i="1"/>
  <c r="H915" i="1" s="1"/>
  <c r="E915" i="1"/>
  <c r="D915" i="1"/>
  <c r="C915" i="1"/>
  <c r="K915" i="1" s="1"/>
  <c r="G914" i="1"/>
  <c r="H914" i="1" s="1"/>
  <c r="E914" i="1"/>
  <c r="D914" i="1"/>
  <c r="C914" i="1"/>
  <c r="K914" i="1" s="1"/>
  <c r="G913" i="1"/>
  <c r="H913" i="1" s="1"/>
  <c r="E913" i="1"/>
  <c r="D913" i="1"/>
  <c r="C913" i="1"/>
  <c r="K913" i="1" s="1"/>
  <c r="G912" i="1"/>
  <c r="H912" i="1" s="1"/>
  <c r="E912" i="1"/>
  <c r="D912" i="1"/>
  <c r="C912" i="1"/>
  <c r="K912" i="1" s="1"/>
  <c r="G911" i="1"/>
  <c r="H911" i="1" s="1"/>
  <c r="E911" i="1"/>
  <c r="D911" i="1"/>
  <c r="C911" i="1"/>
  <c r="K911" i="1" s="1"/>
  <c r="G910" i="1"/>
  <c r="H910" i="1" s="1"/>
  <c r="E910" i="1"/>
  <c r="D910" i="1"/>
  <c r="C910" i="1"/>
  <c r="K910" i="1" s="1"/>
  <c r="G909" i="1"/>
  <c r="H909" i="1" s="1"/>
  <c r="E909" i="1"/>
  <c r="D909" i="1"/>
  <c r="C909" i="1"/>
  <c r="K909" i="1" s="1"/>
  <c r="G908" i="1"/>
  <c r="H908" i="1" s="1"/>
  <c r="E908" i="1"/>
  <c r="D908" i="1"/>
  <c r="C908" i="1"/>
  <c r="K908" i="1" s="1"/>
  <c r="G907" i="1"/>
  <c r="H907" i="1" s="1"/>
  <c r="E907" i="1"/>
  <c r="D907" i="1"/>
  <c r="C907" i="1"/>
  <c r="K907" i="1" s="1"/>
  <c r="G906" i="1"/>
  <c r="H906" i="1" s="1"/>
  <c r="E906" i="1"/>
  <c r="D906" i="1"/>
  <c r="C906" i="1"/>
  <c r="K906" i="1" s="1"/>
  <c r="G905" i="1"/>
  <c r="H905" i="1" s="1"/>
  <c r="E905" i="1"/>
  <c r="D905" i="1"/>
  <c r="C905" i="1"/>
  <c r="K905" i="1" s="1"/>
  <c r="G904" i="1"/>
  <c r="H904" i="1" s="1"/>
  <c r="E904" i="1"/>
  <c r="D904" i="1"/>
  <c r="C904" i="1"/>
  <c r="K904" i="1" s="1"/>
  <c r="G903" i="1"/>
  <c r="H903" i="1" s="1"/>
  <c r="E903" i="1"/>
  <c r="D903" i="1"/>
  <c r="C903" i="1"/>
  <c r="K903" i="1" s="1"/>
  <c r="G902" i="1"/>
  <c r="H902" i="1" s="1"/>
  <c r="E902" i="1"/>
  <c r="D902" i="1"/>
  <c r="C902" i="1"/>
  <c r="G901" i="1"/>
  <c r="H901" i="1" s="1"/>
  <c r="E901" i="1"/>
  <c r="D901" i="1"/>
  <c r="C901" i="1"/>
  <c r="K901" i="1" s="1"/>
  <c r="G900" i="1"/>
  <c r="H900" i="1" s="1"/>
  <c r="E900" i="1"/>
  <c r="D900" i="1"/>
  <c r="C900" i="1"/>
  <c r="K900" i="1" s="1"/>
  <c r="G899" i="1"/>
  <c r="H899" i="1" s="1"/>
  <c r="E899" i="1"/>
  <c r="D899" i="1"/>
  <c r="C899" i="1"/>
  <c r="K899" i="1" s="1"/>
  <c r="G898" i="1"/>
  <c r="H898" i="1" s="1"/>
  <c r="E898" i="1"/>
  <c r="D898" i="1"/>
  <c r="C898" i="1"/>
  <c r="K898" i="1" s="1"/>
  <c r="G897" i="1"/>
  <c r="H897" i="1" s="1"/>
  <c r="E897" i="1"/>
  <c r="D897" i="1"/>
  <c r="C897" i="1"/>
  <c r="K897" i="1" s="1"/>
  <c r="G896" i="1"/>
  <c r="H896" i="1" s="1"/>
  <c r="E896" i="1"/>
  <c r="D896" i="1"/>
  <c r="C896" i="1"/>
  <c r="K896" i="1" s="1"/>
  <c r="G895" i="1"/>
  <c r="H895" i="1" s="1"/>
  <c r="E895" i="1"/>
  <c r="D895" i="1"/>
  <c r="C895" i="1"/>
  <c r="K895" i="1" s="1"/>
  <c r="G894" i="1"/>
  <c r="H894" i="1" s="1"/>
  <c r="E894" i="1"/>
  <c r="D894" i="1"/>
  <c r="C894" i="1"/>
  <c r="K894" i="1" s="1"/>
  <c r="G893" i="1"/>
  <c r="H893" i="1" s="1"/>
  <c r="E893" i="1"/>
  <c r="D893" i="1"/>
  <c r="C893" i="1"/>
  <c r="K893" i="1" s="1"/>
  <c r="G892" i="1"/>
  <c r="H892" i="1" s="1"/>
  <c r="E892" i="1"/>
  <c r="D892" i="1"/>
  <c r="C892" i="1"/>
  <c r="K892" i="1" s="1"/>
  <c r="G891" i="1"/>
  <c r="H891" i="1" s="1"/>
  <c r="E891" i="1"/>
  <c r="D891" i="1"/>
  <c r="C891" i="1"/>
  <c r="K891" i="1" s="1"/>
  <c r="G890" i="1"/>
  <c r="H890" i="1" s="1"/>
  <c r="E890" i="1"/>
  <c r="D890" i="1"/>
  <c r="C890" i="1"/>
  <c r="G889" i="1"/>
  <c r="H889" i="1" s="1"/>
  <c r="E889" i="1"/>
  <c r="D889" i="1"/>
  <c r="C889" i="1"/>
  <c r="K889" i="1" s="1"/>
  <c r="G888" i="1"/>
  <c r="H888" i="1" s="1"/>
  <c r="E888" i="1"/>
  <c r="D888" i="1"/>
  <c r="C888" i="1"/>
  <c r="K888" i="1" s="1"/>
  <c r="G887" i="1"/>
  <c r="H887" i="1" s="1"/>
  <c r="E887" i="1"/>
  <c r="D887" i="1"/>
  <c r="C887" i="1"/>
  <c r="K887" i="1" s="1"/>
  <c r="G886" i="1"/>
  <c r="H886" i="1" s="1"/>
  <c r="E886" i="1"/>
  <c r="D886" i="1"/>
  <c r="C886" i="1"/>
  <c r="K886" i="1" s="1"/>
  <c r="G885" i="1"/>
  <c r="H885" i="1" s="1"/>
  <c r="E885" i="1"/>
  <c r="D885" i="1"/>
  <c r="C885" i="1"/>
  <c r="K885" i="1" s="1"/>
  <c r="G884" i="1"/>
  <c r="H884" i="1" s="1"/>
  <c r="E884" i="1"/>
  <c r="D884" i="1"/>
  <c r="C884" i="1"/>
  <c r="K884" i="1" s="1"/>
  <c r="G883" i="1"/>
  <c r="H883" i="1" s="1"/>
  <c r="E883" i="1"/>
  <c r="D883" i="1"/>
  <c r="C883" i="1"/>
  <c r="K883" i="1" s="1"/>
  <c r="G882" i="1"/>
  <c r="H882" i="1" s="1"/>
  <c r="E882" i="1"/>
  <c r="D882" i="1"/>
  <c r="C882" i="1"/>
  <c r="K882" i="1" s="1"/>
  <c r="G881" i="1"/>
  <c r="H881" i="1" s="1"/>
  <c r="E881" i="1"/>
  <c r="D881" i="1"/>
  <c r="C881" i="1"/>
  <c r="K881" i="1" s="1"/>
  <c r="G880" i="1"/>
  <c r="H880" i="1" s="1"/>
  <c r="E880" i="1"/>
  <c r="D880" i="1"/>
  <c r="C880" i="1"/>
  <c r="K880" i="1" s="1"/>
  <c r="G879" i="1"/>
  <c r="H879" i="1" s="1"/>
  <c r="E879" i="1"/>
  <c r="D879" i="1"/>
  <c r="C879" i="1"/>
  <c r="K879" i="1" s="1"/>
  <c r="G878" i="1"/>
  <c r="H878" i="1" s="1"/>
  <c r="E878" i="1"/>
  <c r="D878" i="1"/>
  <c r="C878" i="1"/>
  <c r="K878" i="1" s="1"/>
  <c r="G877" i="1"/>
  <c r="H877" i="1" s="1"/>
  <c r="E877" i="1"/>
  <c r="D877" i="1"/>
  <c r="C877" i="1"/>
  <c r="K877" i="1" s="1"/>
  <c r="G876" i="1"/>
  <c r="H876" i="1" s="1"/>
  <c r="E876" i="1"/>
  <c r="D876" i="1"/>
  <c r="C876" i="1"/>
  <c r="K876" i="1" s="1"/>
  <c r="G875" i="1"/>
  <c r="H875" i="1" s="1"/>
  <c r="E875" i="1"/>
  <c r="D875" i="1"/>
  <c r="C875" i="1"/>
  <c r="K875" i="1" s="1"/>
  <c r="G874" i="1"/>
  <c r="H874" i="1" s="1"/>
  <c r="E874" i="1"/>
  <c r="D874" i="1"/>
  <c r="C874" i="1"/>
  <c r="K874" i="1" s="1"/>
  <c r="G873" i="1"/>
  <c r="H873" i="1" s="1"/>
  <c r="E873" i="1"/>
  <c r="D873" i="1"/>
  <c r="C873" i="1"/>
  <c r="K873" i="1" s="1"/>
  <c r="G872" i="1"/>
  <c r="H872" i="1" s="1"/>
  <c r="E872" i="1"/>
  <c r="D872" i="1"/>
  <c r="C872" i="1"/>
  <c r="K872" i="1" s="1"/>
  <c r="G871" i="1"/>
  <c r="H871" i="1" s="1"/>
  <c r="E871" i="1"/>
  <c r="D871" i="1"/>
  <c r="C871" i="1"/>
  <c r="K871" i="1" s="1"/>
  <c r="G870" i="1"/>
  <c r="H870" i="1" s="1"/>
  <c r="E870" i="1"/>
  <c r="D870" i="1"/>
  <c r="C870" i="1"/>
  <c r="K870" i="1" s="1"/>
  <c r="G869" i="1"/>
  <c r="H869" i="1" s="1"/>
  <c r="E869" i="1"/>
  <c r="D869" i="1"/>
  <c r="C869" i="1"/>
  <c r="K869" i="1" s="1"/>
  <c r="G868" i="1"/>
  <c r="H868" i="1" s="1"/>
  <c r="E868" i="1"/>
  <c r="D868" i="1"/>
  <c r="C868" i="1"/>
  <c r="K868" i="1" s="1"/>
  <c r="G867" i="1"/>
  <c r="H867" i="1" s="1"/>
  <c r="E867" i="1"/>
  <c r="D867" i="1"/>
  <c r="C867" i="1"/>
  <c r="K867" i="1" s="1"/>
  <c r="G866" i="1"/>
  <c r="H866" i="1" s="1"/>
  <c r="E866" i="1"/>
  <c r="D866" i="1"/>
  <c r="C866" i="1"/>
  <c r="G865" i="1"/>
  <c r="H865" i="1" s="1"/>
  <c r="E865" i="1"/>
  <c r="D865" i="1"/>
  <c r="C865" i="1"/>
  <c r="K865" i="1" s="1"/>
  <c r="G864" i="1"/>
  <c r="H864" i="1" s="1"/>
  <c r="E864" i="1"/>
  <c r="D864" i="1"/>
  <c r="C864" i="1"/>
  <c r="K864" i="1" s="1"/>
  <c r="G863" i="1"/>
  <c r="H863" i="1" s="1"/>
  <c r="E863" i="1"/>
  <c r="D863" i="1"/>
  <c r="C863" i="1"/>
  <c r="K863" i="1" s="1"/>
  <c r="G862" i="1"/>
  <c r="H862" i="1" s="1"/>
  <c r="E862" i="1"/>
  <c r="D862" i="1"/>
  <c r="C862" i="1"/>
  <c r="K862" i="1" s="1"/>
  <c r="G861" i="1"/>
  <c r="H861" i="1" s="1"/>
  <c r="E861" i="1"/>
  <c r="D861" i="1"/>
  <c r="C861" i="1"/>
  <c r="K861" i="1" s="1"/>
  <c r="G860" i="1"/>
  <c r="H860" i="1" s="1"/>
  <c r="E860" i="1"/>
  <c r="D860" i="1"/>
  <c r="C860" i="1"/>
  <c r="G859" i="1"/>
  <c r="H859" i="1" s="1"/>
  <c r="E859" i="1"/>
  <c r="D859" i="1"/>
  <c r="C859" i="1"/>
  <c r="K859" i="1" s="1"/>
  <c r="G858" i="1"/>
  <c r="H858" i="1" s="1"/>
  <c r="E858" i="1"/>
  <c r="D858" i="1"/>
  <c r="C858" i="1"/>
  <c r="K858" i="1" s="1"/>
  <c r="G857" i="1"/>
  <c r="H857" i="1" s="1"/>
  <c r="E857" i="1"/>
  <c r="D857" i="1"/>
  <c r="C857" i="1"/>
  <c r="K857" i="1" s="1"/>
  <c r="G856" i="1"/>
  <c r="H856" i="1" s="1"/>
  <c r="E856" i="1"/>
  <c r="D856" i="1"/>
  <c r="C856" i="1"/>
  <c r="K856" i="1" s="1"/>
  <c r="G855" i="1"/>
  <c r="H855" i="1" s="1"/>
  <c r="E855" i="1"/>
  <c r="D855" i="1"/>
  <c r="C855" i="1"/>
  <c r="K855" i="1" s="1"/>
  <c r="G854" i="1"/>
  <c r="H854" i="1" s="1"/>
  <c r="E854" i="1"/>
  <c r="D854" i="1"/>
  <c r="C854" i="1"/>
  <c r="G853" i="1"/>
  <c r="H853" i="1" s="1"/>
  <c r="E853" i="1"/>
  <c r="D853" i="1"/>
  <c r="C853" i="1"/>
  <c r="K853" i="1" s="1"/>
  <c r="G852" i="1"/>
  <c r="H852" i="1" s="1"/>
  <c r="E852" i="1"/>
  <c r="D852" i="1"/>
  <c r="C852" i="1"/>
  <c r="K852" i="1" s="1"/>
  <c r="G851" i="1"/>
  <c r="H851" i="1" s="1"/>
  <c r="E851" i="1"/>
  <c r="D851" i="1"/>
  <c r="C851" i="1"/>
  <c r="K851" i="1" s="1"/>
  <c r="G850" i="1"/>
  <c r="H850" i="1" s="1"/>
  <c r="E850" i="1"/>
  <c r="D850" i="1"/>
  <c r="C850" i="1"/>
  <c r="K850" i="1" s="1"/>
  <c r="G849" i="1"/>
  <c r="H849" i="1" s="1"/>
  <c r="E849" i="1"/>
  <c r="D849" i="1"/>
  <c r="C849" i="1"/>
  <c r="K849" i="1" s="1"/>
  <c r="G848" i="1"/>
  <c r="H848" i="1" s="1"/>
  <c r="E848" i="1"/>
  <c r="D848" i="1"/>
  <c r="C848" i="1"/>
  <c r="K848" i="1" s="1"/>
  <c r="G847" i="1"/>
  <c r="H847" i="1" s="1"/>
  <c r="E847" i="1"/>
  <c r="D847" i="1"/>
  <c r="C847" i="1"/>
  <c r="K847" i="1" s="1"/>
  <c r="G846" i="1"/>
  <c r="H846" i="1" s="1"/>
  <c r="E846" i="1"/>
  <c r="D846" i="1"/>
  <c r="C846" i="1"/>
  <c r="K846" i="1" s="1"/>
  <c r="G845" i="1"/>
  <c r="H845" i="1" s="1"/>
  <c r="E845" i="1"/>
  <c r="D845" i="1"/>
  <c r="C845" i="1"/>
  <c r="K845" i="1" s="1"/>
  <c r="G844" i="1"/>
  <c r="H844" i="1" s="1"/>
  <c r="E844" i="1"/>
  <c r="D844" i="1"/>
  <c r="C844" i="1"/>
  <c r="K844" i="1" s="1"/>
  <c r="G843" i="1"/>
  <c r="H843" i="1" s="1"/>
  <c r="E843" i="1"/>
  <c r="D843" i="1"/>
  <c r="C843" i="1"/>
  <c r="K843" i="1" s="1"/>
  <c r="G842" i="1"/>
  <c r="H842" i="1" s="1"/>
  <c r="E842" i="1"/>
  <c r="D842" i="1"/>
  <c r="C842" i="1"/>
  <c r="K842" i="1" s="1"/>
  <c r="G841" i="1"/>
  <c r="H841" i="1" s="1"/>
  <c r="E841" i="1"/>
  <c r="D841" i="1"/>
  <c r="C841" i="1"/>
  <c r="K841" i="1" s="1"/>
  <c r="G840" i="1"/>
  <c r="H840" i="1" s="1"/>
  <c r="E840" i="1"/>
  <c r="D840" i="1"/>
  <c r="C840" i="1"/>
  <c r="K840" i="1" s="1"/>
  <c r="G839" i="1"/>
  <c r="H839" i="1" s="1"/>
  <c r="E839" i="1"/>
  <c r="D839" i="1"/>
  <c r="C839" i="1"/>
  <c r="K839" i="1" s="1"/>
  <c r="G838" i="1"/>
  <c r="H838" i="1" s="1"/>
  <c r="E838" i="1"/>
  <c r="D838" i="1"/>
  <c r="C838" i="1"/>
  <c r="K838" i="1" s="1"/>
  <c r="G837" i="1"/>
  <c r="H837" i="1" s="1"/>
  <c r="E837" i="1"/>
  <c r="D837" i="1"/>
  <c r="C837" i="1"/>
  <c r="K837" i="1" s="1"/>
  <c r="G836" i="1"/>
  <c r="H836" i="1" s="1"/>
  <c r="E836" i="1"/>
  <c r="D836" i="1"/>
  <c r="C836" i="1"/>
  <c r="K836" i="1" s="1"/>
  <c r="G835" i="1"/>
  <c r="H835" i="1" s="1"/>
  <c r="E835" i="1"/>
  <c r="D835" i="1"/>
  <c r="C835" i="1"/>
  <c r="K835" i="1" s="1"/>
  <c r="G834" i="1"/>
  <c r="H834" i="1" s="1"/>
  <c r="E834" i="1"/>
  <c r="D834" i="1"/>
  <c r="C834" i="1"/>
  <c r="K834" i="1" s="1"/>
  <c r="G833" i="1"/>
  <c r="H833" i="1" s="1"/>
  <c r="E833" i="1"/>
  <c r="D833" i="1"/>
  <c r="C833" i="1"/>
  <c r="K833" i="1" s="1"/>
  <c r="G832" i="1"/>
  <c r="H832" i="1" s="1"/>
  <c r="E832" i="1"/>
  <c r="D832" i="1"/>
  <c r="C832" i="1"/>
  <c r="K832" i="1" s="1"/>
  <c r="G831" i="1"/>
  <c r="H831" i="1" s="1"/>
  <c r="E831" i="1"/>
  <c r="D831" i="1"/>
  <c r="C831" i="1"/>
  <c r="K831" i="1" s="1"/>
  <c r="G830" i="1"/>
  <c r="H830" i="1" s="1"/>
  <c r="E830" i="1"/>
  <c r="D830" i="1"/>
  <c r="C830" i="1"/>
  <c r="K830" i="1" s="1"/>
  <c r="G829" i="1"/>
  <c r="H829" i="1" s="1"/>
  <c r="E829" i="1"/>
  <c r="D829" i="1"/>
  <c r="C829" i="1"/>
  <c r="K829" i="1" s="1"/>
  <c r="G828" i="1"/>
  <c r="H828" i="1" s="1"/>
  <c r="E828" i="1"/>
  <c r="D828" i="1"/>
  <c r="C828" i="1"/>
  <c r="K828" i="1" s="1"/>
  <c r="G827" i="1"/>
  <c r="H827" i="1" s="1"/>
  <c r="E827" i="1"/>
  <c r="D827" i="1"/>
  <c r="C827" i="1"/>
  <c r="K827" i="1" s="1"/>
  <c r="G826" i="1"/>
  <c r="H826" i="1" s="1"/>
  <c r="E826" i="1"/>
  <c r="D826" i="1"/>
  <c r="C826" i="1"/>
  <c r="K826" i="1" s="1"/>
  <c r="G825" i="1"/>
  <c r="H825" i="1" s="1"/>
  <c r="E825" i="1"/>
  <c r="D825" i="1"/>
  <c r="C825" i="1"/>
  <c r="K825" i="1" s="1"/>
  <c r="G824" i="1"/>
  <c r="H824" i="1" s="1"/>
  <c r="E824" i="1"/>
  <c r="D824" i="1"/>
  <c r="C824" i="1"/>
  <c r="G823" i="1"/>
  <c r="H823" i="1" s="1"/>
  <c r="E823" i="1"/>
  <c r="D823" i="1"/>
  <c r="C823" i="1"/>
  <c r="K823" i="1" s="1"/>
  <c r="G822" i="1"/>
  <c r="H822" i="1" s="1"/>
  <c r="E822" i="1"/>
  <c r="D822" i="1"/>
  <c r="C822" i="1"/>
  <c r="K822" i="1" s="1"/>
  <c r="G821" i="1"/>
  <c r="H821" i="1" s="1"/>
  <c r="E821" i="1"/>
  <c r="D821" i="1"/>
  <c r="C821" i="1"/>
  <c r="K821" i="1" s="1"/>
  <c r="G820" i="1"/>
  <c r="H820" i="1" s="1"/>
  <c r="E820" i="1"/>
  <c r="D820" i="1"/>
  <c r="C820" i="1"/>
  <c r="K820" i="1" s="1"/>
  <c r="G819" i="1"/>
  <c r="H819" i="1" s="1"/>
  <c r="E819" i="1"/>
  <c r="D819" i="1"/>
  <c r="C819" i="1"/>
  <c r="K819" i="1" s="1"/>
  <c r="G818" i="1"/>
  <c r="H818" i="1" s="1"/>
  <c r="E818" i="1"/>
  <c r="D818" i="1"/>
  <c r="C818" i="1"/>
  <c r="K818" i="1" s="1"/>
  <c r="G817" i="1"/>
  <c r="H817" i="1" s="1"/>
  <c r="E817" i="1"/>
  <c r="D817" i="1"/>
  <c r="C817" i="1"/>
  <c r="K817" i="1" s="1"/>
  <c r="G816" i="1"/>
  <c r="H816" i="1" s="1"/>
  <c r="E816" i="1"/>
  <c r="D816" i="1"/>
  <c r="C816" i="1"/>
  <c r="K816" i="1" s="1"/>
  <c r="G815" i="1"/>
  <c r="H815" i="1" s="1"/>
  <c r="E815" i="1"/>
  <c r="D815" i="1"/>
  <c r="C815" i="1"/>
  <c r="K815" i="1" s="1"/>
  <c r="G814" i="1"/>
  <c r="H814" i="1" s="1"/>
  <c r="E814" i="1"/>
  <c r="D814" i="1"/>
  <c r="C814" i="1"/>
  <c r="K814" i="1" s="1"/>
  <c r="G813" i="1"/>
  <c r="H813" i="1" s="1"/>
  <c r="E813" i="1"/>
  <c r="D813" i="1"/>
  <c r="C813" i="1"/>
  <c r="K813" i="1" s="1"/>
  <c r="G812" i="1"/>
  <c r="H812" i="1" s="1"/>
  <c r="E812" i="1"/>
  <c r="D812" i="1"/>
  <c r="C812" i="1"/>
  <c r="K812" i="1" s="1"/>
  <c r="G811" i="1"/>
  <c r="H811" i="1" s="1"/>
  <c r="E811" i="1"/>
  <c r="D811" i="1"/>
  <c r="C811" i="1"/>
  <c r="K811" i="1" s="1"/>
  <c r="G810" i="1"/>
  <c r="H810" i="1" s="1"/>
  <c r="E810" i="1"/>
  <c r="D810" i="1"/>
  <c r="C810" i="1"/>
  <c r="K810" i="1" s="1"/>
  <c r="G809" i="1"/>
  <c r="H809" i="1" s="1"/>
  <c r="E809" i="1"/>
  <c r="D809" i="1"/>
  <c r="C809" i="1"/>
  <c r="K809" i="1" s="1"/>
  <c r="G808" i="1"/>
  <c r="H808" i="1" s="1"/>
  <c r="E808" i="1"/>
  <c r="D808" i="1"/>
  <c r="C808" i="1"/>
  <c r="K808" i="1" s="1"/>
  <c r="G807" i="1"/>
  <c r="H807" i="1" s="1"/>
  <c r="E807" i="1"/>
  <c r="D807" i="1"/>
  <c r="C807" i="1"/>
  <c r="K807" i="1" s="1"/>
  <c r="G806" i="1"/>
  <c r="H806" i="1" s="1"/>
  <c r="E806" i="1"/>
  <c r="D806" i="1"/>
  <c r="C806" i="1"/>
  <c r="K806" i="1" s="1"/>
  <c r="G805" i="1"/>
  <c r="H805" i="1" s="1"/>
  <c r="E805" i="1"/>
  <c r="D805" i="1"/>
  <c r="C805" i="1"/>
  <c r="K805" i="1" s="1"/>
  <c r="G804" i="1"/>
  <c r="H804" i="1" s="1"/>
  <c r="E804" i="1"/>
  <c r="D804" i="1"/>
  <c r="C804" i="1"/>
  <c r="K804" i="1" s="1"/>
  <c r="G803" i="1"/>
  <c r="H803" i="1" s="1"/>
  <c r="E803" i="1"/>
  <c r="D803" i="1"/>
  <c r="C803" i="1"/>
  <c r="K803" i="1" s="1"/>
  <c r="G802" i="1"/>
  <c r="H802" i="1" s="1"/>
  <c r="E802" i="1"/>
  <c r="D802" i="1"/>
  <c r="C802" i="1"/>
  <c r="K802" i="1" s="1"/>
  <c r="G801" i="1"/>
  <c r="H801" i="1" s="1"/>
  <c r="E801" i="1"/>
  <c r="D801" i="1"/>
  <c r="C801" i="1"/>
  <c r="K801" i="1" s="1"/>
  <c r="G800" i="1"/>
  <c r="H800" i="1" s="1"/>
  <c r="E800" i="1"/>
  <c r="D800" i="1"/>
  <c r="C800" i="1"/>
  <c r="K800" i="1" s="1"/>
  <c r="G799" i="1"/>
  <c r="H799" i="1" s="1"/>
  <c r="E799" i="1"/>
  <c r="D799" i="1"/>
  <c r="C799" i="1"/>
  <c r="K799" i="1" s="1"/>
  <c r="G798" i="1"/>
  <c r="H798" i="1" s="1"/>
  <c r="E798" i="1"/>
  <c r="D798" i="1"/>
  <c r="C798" i="1"/>
  <c r="K798" i="1" s="1"/>
  <c r="G797" i="1"/>
  <c r="H797" i="1" s="1"/>
  <c r="E797" i="1"/>
  <c r="D797" i="1"/>
  <c r="C797" i="1"/>
  <c r="K797" i="1" s="1"/>
  <c r="G796" i="1"/>
  <c r="H796" i="1" s="1"/>
  <c r="E796" i="1"/>
  <c r="D796" i="1"/>
  <c r="C796" i="1"/>
  <c r="K796" i="1" s="1"/>
  <c r="G795" i="1"/>
  <c r="H795" i="1" s="1"/>
  <c r="E795" i="1"/>
  <c r="D795" i="1"/>
  <c r="C795" i="1"/>
  <c r="K795" i="1" s="1"/>
  <c r="G794" i="1"/>
  <c r="H794" i="1" s="1"/>
  <c r="E794" i="1"/>
  <c r="D794" i="1"/>
  <c r="C794" i="1"/>
  <c r="K794" i="1" s="1"/>
  <c r="G793" i="1"/>
  <c r="H793" i="1" s="1"/>
  <c r="E793" i="1"/>
  <c r="D793" i="1"/>
  <c r="C793" i="1"/>
  <c r="K793" i="1" s="1"/>
  <c r="G792" i="1"/>
  <c r="H792" i="1" s="1"/>
  <c r="E792" i="1"/>
  <c r="D792" i="1"/>
  <c r="C792" i="1"/>
  <c r="K792" i="1" s="1"/>
  <c r="G791" i="1"/>
  <c r="H791" i="1" s="1"/>
  <c r="E791" i="1"/>
  <c r="D791" i="1"/>
  <c r="C791" i="1"/>
  <c r="K791" i="1" s="1"/>
  <c r="G790" i="1"/>
  <c r="H790" i="1" s="1"/>
  <c r="E790" i="1"/>
  <c r="D790" i="1"/>
  <c r="C790" i="1"/>
  <c r="K790" i="1" s="1"/>
  <c r="G789" i="1"/>
  <c r="H789" i="1" s="1"/>
  <c r="E789" i="1"/>
  <c r="D789" i="1"/>
  <c r="C789" i="1"/>
  <c r="K789" i="1" s="1"/>
  <c r="G788" i="1"/>
  <c r="H788" i="1" s="1"/>
  <c r="E788" i="1"/>
  <c r="D788" i="1"/>
  <c r="C788" i="1"/>
  <c r="G787" i="1"/>
  <c r="H787" i="1" s="1"/>
  <c r="E787" i="1"/>
  <c r="D787" i="1"/>
  <c r="C787" i="1"/>
  <c r="K787" i="1" s="1"/>
  <c r="G786" i="1"/>
  <c r="H786" i="1" s="1"/>
  <c r="E786" i="1"/>
  <c r="D786" i="1"/>
  <c r="C786" i="1"/>
  <c r="K786" i="1" s="1"/>
  <c r="G785" i="1"/>
  <c r="H785" i="1" s="1"/>
  <c r="E785" i="1"/>
  <c r="D785" i="1"/>
  <c r="C785" i="1"/>
  <c r="K785" i="1" s="1"/>
  <c r="G784" i="1"/>
  <c r="H784" i="1" s="1"/>
  <c r="E784" i="1"/>
  <c r="D784" i="1"/>
  <c r="C784" i="1"/>
  <c r="G783" i="1"/>
  <c r="H783" i="1" s="1"/>
  <c r="E783" i="1"/>
  <c r="D783" i="1"/>
  <c r="C783" i="1"/>
  <c r="K783" i="1" s="1"/>
  <c r="G782" i="1"/>
  <c r="H782" i="1" s="1"/>
  <c r="E782" i="1"/>
  <c r="D782" i="1"/>
  <c r="C782" i="1"/>
  <c r="K782" i="1" s="1"/>
  <c r="G781" i="1"/>
  <c r="H781" i="1" s="1"/>
  <c r="E781" i="1"/>
  <c r="D781" i="1"/>
  <c r="C781" i="1"/>
  <c r="K781" i="1" s="1"/>
  <c r="G780" i="1"/>
  <c r="H780" i="1" s="1"/>
  <c r="E780" i="1"/>
  <c r="D780" i="1"/>
  <c r="C780" i="1"/>
  <c r="K780" i="1" s="1"/>
  <c r="G779" i="1"/>
  <c r="H779" i="1" s="1"/>
  <c r="E779" i="1"/>
  <c r="D779" i="1"/>
  <c r="C779" i="1"/>
  <c r="K779" i="1" s="1"/>
  <c r="G778" i="1"/>
  <c r="H778" i="1" s="1"/>
  <c r="E778" i="1"/>
  <c r="D778" i="1"/>
  <c r="C778" i="1"/>
  <c r="K778" i="1" s="1"/>
  <c r="G777" i="1"/>
  <c r="H777" i="1" s="1"/>
  <c r="E777" i="1"/>
  <c r="D777" i="1"/>
  <c r="C777" i="1"/>
  <c r="K777" i="1" s="1"/>
  <c r="G776" i="1"/>
  <c r="H776" i="1" s="1"/>
  <c r="E776" i="1"/>
  <c r="D776" i="1"/>
  <c r="C776" i="1"/>
  <c r="K776" i="1" s="1"/>
  <c r="G775" i="1"/>
  <c r="H775" i="1" s="1"/>
  <c r="E775" i="1"/>
  <c r="D775" i="1"/>
  <c r="C775" i="1"/>
  <c r="K775" i="1" s="1"/>
  <c r="G774" i="1"/>
  <c r="H774" i="1" s="1"/>
  <c r="E774" i="1"/>
  <c r="D774" i="1"/>
  <c r="C774" i="1"/>
  <c r="K774" i="1" s="1"/>
  <c r="G773" i="1"/>
  <c r="H773" i="1" s="1"/>
  <c r="E773" i="1"/>
  <c r="D773" i="1"/>
  <c r="C773" i="1"/>
  <c r="K773" i="1" s="1"/>
  <c r="G772" i="1"/>
  <c r="H772" i="1" s="1"/>
  <c r="E772" i="1"/>
  <c r="D772" i="1"/>
  <c r="C772" i="1"/>
  <c r="K772" i="1" s="1"/>
  <c r="G771" i="1"/>
  <c r="H771" i="1" s="1"/>
  <c r="E771" i="1"/>
  <c r="D771" i="1"/>
  <c r="C771" i="1"/>
  <c r="K771" i="1" s="1"/>
  <c r="G770" i="1"/>
  <c r="H770" i="1" s="1"/>
  <c r="E770" i="1"/>
  <c r="D770" i="1"/>
  <c r="C770" i="1"/>
  <c r="K770" i="1" s="1"/>
  <c r="G769" i="1"/>
  <c r="H769" i="1" s="1"/>
  <c r="E769" i="1"/>
  <c r="D769" i="1"/>
  <c r="C769" i="1"/>
  <c r="K769" i="1" s="1"/>
  <c r="G768" i="1"/>
  <c r="H768" i="1" s="1"/>
  <c r="E768" i="1"/>
  <c r="D768" i="1"/>
  <c r="C768" i="1"/>
  <c r="K768" i="1" s="1"/>
  <c r="G767" i="1"/>
  <c r="H767" i="1" s="1"/>
  <c r="E767" i="1"/>
  <c r="D767" i="1"/>
  <c r="C767" i="1"/>
  <c r="K767" i="1" s="1"/>
  <c r="G766" i="1"/>
  <c r="H766" i="1" s="1"/>
  <c r="E766" i="1"/>
  <c r="D766" i="1"/>
  <c r="C766" i="1"/>
  <c r="K766" i="1" s="1"/>
  <c r="G765" i="1"/>
  <c r="H765" i="1" s="1"/>
  <c r="E765" i="1"/>
  <c r="D765" i="1"/>
  <c r="C765" i="1"/>
  <c r="K765" i="1" s="1"/>
  <c r="G764" i="1"/>
  <c r="H764" i="1" s="1"/>
  <c r="E764" i="1"/>
  <c r="D764" i="1"/>
  <c r="C764" i="1"/>
  <c r="G763" i="1"/>
  <c r="H763" i="1" s="1"/>
  <c r="E763" i="1"/>
  <c r="D763" i="1"/>
  <c r="C763" i="1"/>
  <c r="K763" i="1" s="1"/>
  <c r="G762" i="1"/>
  <c r="H762" i="1" s="1"/>
  <c r="E762" i="1"/>
  <c r="D762" i="1"/>
  <c r="C762" i="1"/>
  <c r="K762" i="1" s="1"/>
  <c r="G761" i="1"/>
  <c r="H761" i="1" s="1"/>
  <c r="E761" i="1"/>
  <c r="D761" i="1"/>
  <c r="C761" i="1"/>
  <c r="K761" i="1" s="1"/>
  <c r="G760" i="1"/>
  <c r="H760" i="1" s="1"/>
  <c r="E760" i="1"/>
  <c r="D760" i="1"/>
  <c r="C760" i="1"/>
  <c r="K760" i="1" s="1"/>
  <c r="G759" i="1"/>
  <c r="H759" i="1" s="1"/>
  <c r="E759" i="1"/>
  <c r="D759" i="1"/>
  <c r="C759" i="1"/>
  <c r="K759" i="1" s="1"/>
  <c r="G758" i="1"/>
  <c r="H758" i="1" s="1"/>
  <c r="E758" i="1"/>
  <c r="D758" i="1"/>
  <c r="C758" i="1"/>
  <c r="K758" i="1" s="1"/>
  <c r="G757" i="1"/>
  <c r="H757" i="1" s="1"/>
  <c r="E757" i="1"/>
  <c r="D757" i="1"/>
  <c r="C757" i="1"/>
  <c r="K757" i="1" s="1"/>
  <c r="G756" i="1"/>
  <c r="H756" i="1" s="1"/>
  <c r="E756" i="1"/>
  <c r="D756" i="1"/>
  <c r="C756" i="1"/>
  <c r="G755" i="1"/>
  <c r="H755" i="1" s="1"/>
  <c r="E755" i="1"/>
  <c r="D755" i="1"/>
  <c r="C755" i="1"/>
  <c r="K755" i="1" s="1"/>
  <c r="G754" i="1"/>
  <c r="H754" i="1" s="1"/>
  <c r="E754" i="1"/>
  <c r="D754" i="1"/>
  <c r="C754" i="1"/>
  <c r="K754" i="1" s="1"/>
  <c r="G753" i="1"/>
  <c r="H753" i="1" s="1"/>
  <c r="E753" i="1"/>
  <c r="D753" i="1"/>
  <c r="C753" i="1"/>
  <c r="K753" i="1" s="1"/>
  <c r="G752" i="1"/>
  <c r="H752" i="1" s="1"/>
  <c r="E752" i="1"/>
  <c r="D752" i="1"/>
  <c r="C752" i="1"/>
  <c r="K752" i="1" s="1"/>
  <c r="G751" i="1"/>
  <c r="H751" i="1" s="1"/>
  <c r="E751" i="1"/>
  <c r="D751" i="1"/>
  <c r="C751" i="1"/>
  <c r="K751" i="1" s="1"/>
  <c r="G750" i="1"/>
  <c r="H750" i="1" s="1"/>
  <c r="E750" i="1"/>
  <c r="D750" i="1"/>
  <c r="C750" i="1"/>
  <c r="K750" i="1" s="1"/>
  <c r="G749" i="1"/>
  <c r="H749" i="1" s="1"/>
  <c r="E749" i="1"/>
  <c r="D749" i="1"/>
  <c r="C749" i="1"/>
  <c r="K749" i="1" s="1"/>
  <c r="G748" i="1"/>
  <c r="H748" i="1" s="1"/>
  <c r="E748" i="1"/>
  <c r="D748" i="1"/>
  <c r="C748" i="1"/>
  <c r="K748" i="1" s="1"/>
  <c r="G747" i="1"/>
  <c r="H747" i="1" s="1"/>
  <c r="E747" i="1"/>
  <c r="D747" i="1"/>
  <c r="C747" i="1"/>
  <c r="K747" i="1" s="1"/>
  <c r="G746" i="1"/>
  <c r="H746" i="1" s="1"/>
  <c r="E746" i="1"/>
  <c r="D746" i="1"/>
  <c r="C746" i="1"/>
  <c r="K746" i="1" s="1"/>
  <c r="G745" i="1"/>
  <c r="H745" i="1" s="1"/>
  <c r="E745" i="1"/>
  <c r="D745" i="1"/>
  <c r="C745" i="1"/>
  <c r="K745" i="1" s="1"/>
  <c r="G744" i="1"/>
  <c r="H744" i="1" s="1"/>
  <c r="E744" i="1"/>
  <c r="D744" i="1"/>
  <c r="C744" i="1"/>
  <c r="K744" i="1" s="1"/>
  <c r="G743" i="1"/>
  <c r="H743" i="1" s="1"/>
  <c r="E743" i="1"/>
  <c r="D743" i="1"/>
  <c r="C743" i="1"/>
  <c r="K743" i="1" s="1"/>
  <c r="G742" i="1"/>
  <c r="H742" i="1" s="1"/>
  <c r="E742" i="1"/>
  <c r="D742" i="1"/>
  <c r="C742" i="1"/>
  <c r="K742" i="1" s="1"/>
  <c r="G741" i="1"/>
  <c r="H741" i="1" s="1"/>
  <c r="E741" i="1"/>
  <c r="D741" i="1"/>
  <c r="C741" i="1"/>
  <c r="K741" i="1" s="1"/>
  <c r="G740" i="1"/>
  <c r="H740" i="1" s="1"/>
  <c r="E740" i="1"/>
  <c r="D740" i="1"/>
  <c r="C740" i="1"/>
  <c r="K740" i="1" s="1"/>
  <c r="G739" i="1"/>
  <c r="H739" i="1" s="1"/>
  <c r="E739" i="1"/>
  <c r="D739" i="1"/>
  <c r="C739" i="1"/>
  <c r="K739" i="1" s="1"/>
  <c r="G738" i="1"/>
  <c r="H738" i="1" s="1"/>
  <c r="E738" i="1"/>
  <c r="D738" i="1"/>
  <c r="C738" i="1"/>
  <c r="K738" i="1" s="1"/>
  <c r="G737" i="1"/>
  <c r="H737" i="1" s="1"/>
  <c r="E737" i="1"/>
  <c r="D737" i="1"/>
  <c r="C737" i="1"/>
  <c r="K737" i="1" s="1"/>
  <c r="G736" i="1"/>
  <c r="H736" i="1" s="1"/>
  <c r="E736" i="1"/>
  <c r="D736" i="1"/>
  <c r="C736" i="1"/>
  <c r="K736" i="1" s="1"/>
  <c r="G735" i="1"/>
  <c r="H735" i="1" s="1"/>
  <c r="E735" i="1"/>
  <c r="D735" i="1"/>
  <c r="C735" i="1"/>
  <c r="K735" i="1" s="1"/>
  <c r="G734" i="1"/>
  <c r="H734" i="1" s="1"/>
  <c r="E734" i="1"/>
  <c r="D734" i="1"/>
  <c r="C734" i="1"/>
  <c r="K734" i="1" s="1"/>
  <c r="G733" i="1"/>
  <c r="H733" i="1" s="1"/>
  <c r="E733" i="1"/>
  <c r="D733" i="1"/>
  <c r="C733" i="1"/>
  <c r="K733" i="1" s="1"/>
  <c r="G732" i="1"/>
  <c r="H732" i="1" s="1"/>
  <c r="E732" i="1"/>
  <c r="D732" i="1"/>
  <c r="C732" i="1"/>
  <c r="K732" i="1" s="1"/>
  <c r="G731" i="1"/>
  <c r="H731" i="1" s="1"/>
  <c r="E731" i="1"/>
  <c r="D731" i="1"/>
  <c r="C731" i="1"/>
  <c r="K731" i="1" s="1"/>
  <c r="G730" i="1"/>
  <c r="H730" i="1" s="1"/>
  <c r="E730" i="1"/>
  <c r="D730" i="1"/>
  <c r="C730" i="1"/>
  <c r="K730" i="1" s="1"/>
  <c r="G729" i="1"/>
  <c r="H729" i="1" s="1"/>
  <c r="E729" i="1"/>
  <c r="D729" i="1"/>
  <c r="C729" i="1"/>
  <c r="K729" i="1" s="1"/>
  <c r="G728" i="1"/>
  <c r="H728" i="1" s="1"/>
  <c r="E728" i="1"/>
  <c r="D728" i="1"/>
  <c r="C728" i="1"/>
  <c r="K728" i="1" s="1"/>
  <c r="G727" i="1"/>
  <c r="H727" i="1" s="1"/>
  <c r="E727" i="1"/>
  <c r="D727" i="1"/>
  <c r="C727" i="1"/>
  <c r="K727" i="1" s="1"/>
  <c r="G726" i="1"/>
  <c r="H726" i="1" s="1"/>
  <c r="E726" i="1"/>
  <c r="D726" i="1"/>
  <c r="C726" i="1"/>
  <c r="K726" i="1" s="1"/>
  <c r="G725" i="1"/>
  <c r="H725" i="1" s="1"/>
  <c r="E725" i="1"/>
  <c r="D725" i="1"/>
  <c r="C725" i="1"/>
  <c r="K725" i="1" s="1"/>
  <c r="G724" i="1"/>
  <c r="H724" i="1" s="1"/>
  <c r="E724" i="1"/>
  <c r="D724" i="1"/>
  <c r="C724" i="1"/>
  <c r="K724" i="1" s="1"/>
  <c r="G723" i="1"/>
  <c r="H723" i="1" s="1"/>
  <c r="E723" i="1"/>
  <c r="D723" i="1"/>
  <c r="C723" i="1"/>
  <c r="K723" i="1" s="1"/>
  <c r="G722" i="1"/>
  <c r="H722" i="1" s="1"/>
  <c r="E722" i="1"/>
  <c r="D722" i="1"/>
  <c r="C722" i="1"/>
  <c r="K722" i="1" s="1"/>
  <c r="G721" i="1"/>
  <c r="H721" i="1" s="1"/>
  <c r="E721" i="1"/>
  <c r="D721" i="1"/>
  <c r="C721" i="1"/>
  <c r="K721" i="1" s="1"/>
  <c r="G720" i="1"/>
  <c r="H720" i="1" s="1"/>
  <c r="E720" i="1"/>
  <c r="D720" i="1"/>
  <c r="C720" i="1"/>
  <c r="K720" i="1" s="1"/>
  <c r="G719" i="1"/>
  <c r="H719" i="1" s="1"/>
  <c r="E719" i="1"/>
  <c r="D719" i="1"/>
  <c r="C719" i="1"/>
  <c r="K719" i="1" s="1"/>
  <c r="G718" i="1"/>
  <c r="H718" i="1" s="1"/>
  <c r="E718" i="1"/>
  <c r="D718" i="1"/>
  <c r="C718" i="1"/>
  <c r="K718" i="1" s="1"/>
  <c r="G717" i="1"/>
  <c r="H717" i="1" s="1"/>
  <c r="E717" i="1"/>
  <c r="D717" i="1"/>
  <c r="C717" i="1"/>
  <c r="K717" i="1" s="1"/>
  <c r="G716" i="1"/>
  <c r="H716" i="1" s="1"/>
  <c r="E716" i="1"/>
  <c r="D716" i="1"/>
  <c r="C716" i="1"/>
  <c r="K716" i="1" s="1"/>
  <c r="G715" i="1"/>
  <c r="H715" i="1" s="1"/>
  <c r="E715" i="1"/>
  <c r="D715" i="1"/>
  <c r="C715" i="1"/>
  <c r="K715" i="1" s="1"/>
  <c r="G714" i="1"/>
  <c r="H714" i="1" s="1"/>
  <c r="E714" i="1"/>
  <c r="D714" i="1"/>
  <c r="C714" i="1"/>
  <c r="K714" i="1" s="1"/>
  <c r="G713" i="1"/>
  <c r="H713" i="1" s="1"/>
  <c r="E713" i="1"/>
  <c r="D713" i="1"/>
  <c r="C713" i="1"/>
  <c r="K713" i="1" s="1"/>
  <c r="G712" i="1"/>
  <c r="H712" i="1" s="1"/>
  <c r="E712" i="1"/>
  <c r="D712" i="1"/>
  <c r="C712" i="1"/>
  <c r="K712" i="1" s="1"/>
  <c r="G711" i="1"/>
  <c r="H711" i="1" s="1"/>
  <c r="E711" i="1"/>
  <c r="D711" i="1"/>
  <c r="C711" i="1"/>
  <c r="K711" i="1" s="1"/>
  <c r="G710" i="1"/>
  <c r="H710" i="1" s="1"/>
  <c r="E710" i="1"/>
  <c r="D710" i="1"/>
  <c r="C710" i="1"/>
  <c r="K710" i="1" s="1"/>
  <c r="G709" i="1"/>
  <c r="H709" i="1" s="1"/>
  <c r="E709" i="1"/>
  <c r="D709" i="1"/>
  <c r="C709" i="1"/>
  <c r="K709" i="1" s="1"/>
  <c r="G708" i="1"/>
  <c r="H708" i="1" s="1"/>
  <c r="E708" i="1"/>
  <c r="D708" i="1"/>
  <c r="C708" i="1"/>
  <c r="K708" i="1" s="1"/>
  <c r="G707" i="1"/>
  <c r="H707" i="1" s="1"/>
  <c r="E707" i="1"/>
  <c r="D707" i="1"/>
  <c r="C707" i="1"/>
  <c r="K707" i="1" s="1"/>
  <c r="G706" i="1"/>
  <c r="H706" i="1" s="1"/>
  <c r="E706" i="1"/>
  <c r="D706" i="1"/>
  <c r="C706" i="1"/>
  <c r="K706" i="1" s="1"/>
  <c r="G705" i="1"/>
  <c r="H705" i="1" s="1"/>
  <c r="E705" i="1"/>
  <c r="D705" i="1"/>
  <c r="C705" i="1"/>
  <c r="K705" i="1" s="1"/>
  <c r="G704" i="1"/>
  <c r="H704" i="1" s="1"/>
  <c r="E704" i="1"/>
  <c r="D704" i="1"/>
  <c r="C704" i="1"/>
  <c r="K704" i="1" s="1"/>
  <c r="G703" i="1"/>
  <c r="H703" i="1" s="1"/>
  <c r="E703" i="1"/>
  <c r="D703" i="1"/>
  <c r="C703" i="1"/>
  <c r="K703" i="1" s="1"/>
  <c r="G702" i="1"/>
  <c r="H702" i="1" s="1"/>
  <c r="E702" i="1"/>
  <c r="D702" i="1"/>
  <c r="C702" i="1"/>
  <c r="K702" i="1" s="1"/>
  <c r="G701" i="1"/>
  <c r="H701" i="1" s="1"/>
  <c r="E701" i="1"/>
  <c r="D701" i="1"/>
  <c r="C701" i="1"/>
  <c r="K701" i="1" s="1"/>
  <c r="G700" i="1"/>
  <c r="H700" i="1" s="1"/>
  <c r="E700" i="1"/>
  <c r="D700" i="1"/>
  <c r="C700" i="1"/>
  <c r="K700" i="1" s="1"/>
  <c r="G699" i="1"/>
  <c r="H699" i="1" s="1"/>
  <c r="E699" i="1"/>
  <c r="D699" i="1"/>
  <c r="C699" i="1"/>
  <c r="K699" i="1" s="1"/>
  <c r="G698" i="1"/>
  <c r="H698" i="1" s="1"/>
  <c r="E698" i="1"/>
  <c r="D698" i="1"/>
  <c r="C698" i="1"/>
  <c r="K698" i="1" s="1"/>
  <c r="G697" i="1"/>
  <c r="H697" i="1" s="1"/>
  <c r="E697" i="1"/>
  <c r="D697" i="1"/>
  <c r="C697" i="1"/>
  <c r="K697" i="1" s="1"/>
  <c r="G696" i="1"/>
  <c r="H696" i="1" s="1"/>
  <c r="E696" i="1"/>
  <c r="D696" i="1"/>
  <c r="C696" i="1"/>
  <c r="K696" i="1" s="1"/>
  <c r="G695" i="1"/>
  <c r="H695" i="1" s="1"/>
  <c r="E695" i="1"/>
  <c r="D695" i="1"/>
  <c r="C695" i="1"/>
  <c r="K695" i="1" s="1"/>
  <c r="G694" i="1"/>
  <c r="H694" i="1" s="1"/>
  <c r="E694" i="1"/>
  <c r="D694" i="1"/>
  <c r="C694" i="1"/>
  <c r="K694" i="1" s="1"/>
  <c r="G693" i="1"/>
  <c r="H693" i="1" s="1"/>
  <c r="E693" i="1"/>
  <c r="D693" i="1"/>
  <c r="C693" i="1"/>
  <c r="K693" i="1" s="1"/>
  <c r="G692" i="1"/>
  <c r="H692" i="1" s="1"/>
  <c r="E692" i="1"/>
  <c r="D692" i="1"/>
  <c r="C692" i="1"/>
  <c r="K692" i="1" s="1"/>
  <c r="G691" i="1"/>
  <c r="H691" i="1" s="1"/>
  <c r="E691" i="1"/>
  <c r="D691" i="1"/>
  <c r="C691" i="1"/>
  <c r="K691" i="1" s="1"/>
  <c r="G690" i="1"/>
  <c r="H690" i="1" s="1"/>
  <c r="E690" i="1"/>
  <c r="D690" i="1"/>
  <c r="C690" i="1"/>
  <c r="K690" i="1" s="1"/>
  <c r="G689" i="1"/>
  <c r="H689" i="1" s="1"/>
  <c r="E689" i="1"/>
  <c r="D689" i="1"/>
  <c r="C689" i="1"/>
  <c r="K689" i="1" s="1"/>
  <c r="G688" i="1"/>
  <c r="H688" i="1" s="1"/>
  <c r="E688" i="1"/>
  <c r="D688" i="1"/>
  <c r="C688" i="1"/>
  <c r="K688" i="1" s="1"/>
  <c r="G687" i="1"/>
  <c r="H687" i="1" s="1"/>
  <c r="E687" i="1"/>
  <c r="D687" i="1"/>
  <c r="C687" i="1"/>
  <c r="K687" i="1" s="1"/>
  <c r="G686" i="1"/>
  <c r="H686" i="1" s="1"/>
  <c r="E686" i="1"/>
  <c r="D686" i="1"/>
  <c r="C686" i="1"/>
  <c r="K686" i="1" s="1"/>
  <c r="G685" i="1"/>
  <c r="H685" i="1" s="1"/>
  <c r="E685" i="1"/>
  <c r="D685" i="1"/>
  <c r="C685" i="1"/>
  <c r="K685" i="1" s="1"/>
  <c r="G684" i="1"/>
  <c r="H684" i="1" s="1"/>
  <c r="E684" i="1"/>
  <c r="D684" i="1"/>
  <c r="C684" i="1"/>
  <c r="K684" i="1" s="1"/>
  <c r="G683" i="1"/>
  <c r="H683" i="1" s="1"/>
  <c r="E683" i="1"/>
  <c r="D683" i="1"/>
  <c r="C683" i="1"/>
  <c r="K683" i="1" s="1"/>
  <c r="G682" i="1"/>
  <c r="H682" i="1" s="1"/>
  <c r="E682" i="1"/>
  <c r="D682" i="1"/>
  <c r="C682" i="1"/>
  <c r="K682" i="1" s="1"/>
  <c r="G681" i="1"/>
  <c r="H681" i="1" s="1"/>
  <c r="E681" i="1"/>
  <c r="D681" i="1"/>
  <c r="C681" i="1"/>
  <c r="K681" i="1" s="1"/>
  <c r="G680" i="1"/>
  <c r="H680" i="1" s="1"/>
  <c r="E680" i="1"/>
  <c r="D680" i="1"/>
  <c r="C680" i="1"/>
  <c r="K680" i="1" s="1"/>
  <c r="G679" i="1"/>
  <c r="H679" i="1" s="1"/>
  <c r="E679" i="1"/>
  <c r="D679" i="1"/>
  <c r="C679" i="1"/>
  <c r="K679" i="1" s="1"/>
  <c r="G678" i="1"/>
  <c r="H678" i="1" s="1"/>
  <c r="E678" i="1"/>
  <c r="D678" i="1"/>
  <c r="C678" i="1"/>
  <c r="K678" i="1" s="1"/>
  <c r="G677" i="1"/>
  <c r="H677" i="1" s="1"/>
  <c r="E677" i="1"/>
  <c r="D677" i="1"/>
  <c r="C677" i="1"/>
  <c r="K677" i="1" s="1"/>
  <c r="G676" i="1"/>
  <c r="H676" i="1" s="1"/>
  <c r="E676" i="1"/>
  <c r="D676" i="1"/>
  <c r="C676" i="1"/>
  <c r="K676" i="1" s="1"/>
  <c r="G675" i="1"/>
  <c r="H675" i="1" s="1"/>
  <c r="E675" i="1"/>
  <c r="D675" i="1"/>
  <c r="C675" i="1"/>
  <c r="K675" i="1" s="1"/>
  <c r="G674" i="1"/>
  <c r="H674" i="1" s="1"/>
  <c r="E674" i="1"/>
  <c r="D674" i="1"/>
  <c r="C674" i="1"/>
  <c r="K674" i="1" s="1"/>
  <c r="G673" i="1"/>
  <c r="H673" i="1" s="1"/>
  <c r="E673" i="1"/>
  <c r="D673" i="1"/>
  <c r="C673" i="1"/>
  <c r="K673" i="1" s="1"/>
  <c r="G672" i="1"/>
  <c r="H672" i="1" s="1"/>
  <c r="E672" i="1"/>
  <c r="D672" i="1"/>
  <c r="C672" i="1"/>
  <c r="K672" i="1" s="1"/>
  <c r="G671" i="1"/>
  <c r="H671" i="1" s="1"/>
  <c r="E671" i="1"/>
  <c r="D671" i="1"/>
  <c r="C671" i="1"/>
  <c r="K671" i="1" s="1"/>
  <c r="G670" i="1"/>
  <c r="H670" i="1" s="1"/>
  <c r="E670" i="1"/>
  <c r="D670" i="1"/>
  <c r="C670" i="1"/>
  <c r="K670" i="1" s="1"/>
  <c r="G669" i="1"/>
  <c r="H669" i="1" s="1"/>
  <c r="E669" i="1"/>
  <c r="D669" i="1"/>
  <c r="C669" i="1"/>
  <c r="K669" i="1" s="1"/>
  <c r="G668" i="1"/>
  <c r="H668" i="1" s="1"/>
  <c r="E668" i="1"/>
  <c r="D668" i="1"/>
  <c r="C668" i="1"/>
  <c r="K668" i="1" s="1"/>
  <c r="G667" i="1"/>
  <c r="H667" i="1" s="1"/>
  <c r="E667" i="1"/>
  <c r="D667" i="1"/>
  <c r="C667" i="1"/>
  <c r="K667" i="1" s="1"/>
  <c r="G666" i="1"/>
  <c r="H666" i="1" s="1"/>
  <c r="E666" i="1"/>
  <c r="D666" i="1"/>
  <c r="C666" i="1"/>
  <c r="K666" i="1" s="1"/>
  <c r="G665" i="1"/>
  <c r="H665" i="1" s="1"/>
  <c r="E665" i="1"/>
  <c r="D665" i="1"/>
  <c r="C665" i="1"/>
  <c r="K665" i="1" s="1"/>
  <c r="G664" i="1"/>
  <c r="H664" i="1" s="1"/>
  <c r="E664" i="1"/>
  <c r="D664" i="1"/>
  <c r="C664" i="1"/>
  <c r="K664" i="1" s="1"/>
  <c r="G663" i="1"/>
  <c r="H663" i="1" s="1"/>
  <c r="E663" i="1"/>
  <c r="D663" i="1"/>
  <c r="C663" i="1"/>
  <c r="K663" i="1" s="1"/>
  <c r="G662" i="1"/>
  <c r="H662" i="1" s="1"/>
  <c r="E662" i="1"/>
  <c r="D662" i="1"/>
  <c r="C662" i="1"/>
  <c r="K662" i="1" s="1"/>
  <c r="G661" i="1"/>
  <c r="H661" i="1" s="1"/>
  <c r="E661" i="1"/>
  <c r="D661" i="1"/>
  <c r="C661" i="1"/>
  <c r="K661" i="1" s="1"/>
  <c r="G660" i="1"/>
  <c r="H660" i="1" s="1"/>
  <c r="E660" i="1"/>
  <c r="D660" i="1"/>
  <c r="C660" i="1"/>
  <c r="K660" i="1" s="1"/>
  <c r="G659" i="1"/>
  <c r="H659" i="1" s="1"/>
  <c r="E659" i="1"/>
  <c r="D659" i="1"/>
  <c r="C659" i="1"/>
  <c r="K659" i="1" s="1"/>
  <c r="G658" i="1"/>
  <c r="H658" i="1" s="1"/>
  <c r="E658" i="1"/>
  <c r="D658" i="1"/>
  <c r="C658" i="1"/>
  <c r="K658" i="1" s="1"/>
  <c r="G657" i="1"/>
  <c r="H657" i="1" s="1"/>
  <c r="E657" i="1"/>
  <c r="D657" i="1"/>
  <c r="C657" i="1"/>
  <c r="K657" i="1" s="1"/>
  <c r="G656" i="1"/>
  <c r="H656" i="1" s="1"/>
  <c r="E656" i="1"/>
  <c r="D656" i="1"/>
  <c r="C656" i="1"/>
  <c r="K656" i="1" s="1"/>
  <c r="G655" i="1"/>
  <c r="H655" i="1" s="1"/>
  <c r="E655" i="1"/>
  <c r="D655" i="1"/>
  <c r="C655" i="1"/>
  <c r="K655" i="1" s="1"/>
  <c r="G654" i="1"/>
  <c r="H654" i="1" s="1"/>
  <c r="E654" i="1"/>
  <c r="D654" i="1"/>
  <c r="C654" i="1"/>
  <c r="K654" i="1" s="1"/>
  <c r="G653" i="1"/>
  <c r="H653" i="1" s="1"/>
  <c r="E653" i="1"/>
  <c r="D653" i="1"/>
  <c r="C653" i="1"/>
  <c r="K653" i="1" s="1"/>
  <c r="G652" i="1"/>
  <c r="H652" i="1" s="1"/>
  <c r="E652" i="1"/>
  <c r="D652" i="1"/>
  <c r="C652" i="1"/>
  <c r="K652" i="1" s="1"/>
  <c r="G651" i="1"/>
  <c r="H651" i="1" s="1"/>
  <c r="E651" i="1"/>
  <c r="D651" i="1"/>
  <c r="C651" i="1"/>
  <c r="K651" i="1" s="1"/>
  <c r="G650" i="1"/>
  <c r="H650" i="1" s="1"/>
  <c r="E650" i="1"/>
  <c r="D650" i="1"/>
  <c r="C650" i="1"/>
  <c r="K650" i="1" s="1"/>
  <c r="G649" i="1"/>
  <c r="H649" i="1" s="1"/>
  <c r="E649" i="1"/>
  <c r="D649" i="1"/>
  <c r="C649" i="1"/>
  <c r="K649" i="1" s="1"/>
  <c r="G648" i="1"/>
  <c r="H648" i="1" s="1"/>
  <c r="E648" i="1"/>
  <c r="D648" i="1"/>
  <c r="C648" i="1"/>
  <c r="K648" i="1" s="1"/>
  <c r="G647" i="1"/>
  <c r="H647" i="1" s="1"/>
  <c r="E647" i="1"/>
  <c r="D647" i="1"/>
  <c r="C647" i="1"/>
  <c r="K647" i="1" s="1"/>
  <c r="G646" i="1"/>
  <c r="H646" i="1" s="1"/>
  <c r="E646" i="1"/>
  <c r="D646" i="1"/>
  <c r="C646" i="1"/>
  <c r="K646" i="1" s="1"/>
  <c r="G645" i="1"/>
  <c r="H645" i="1" s="1"/>
  <c r="E645" i="1"/>
  <c r="D645" i="1"/>
  <c r="C645" i="1"/>
  <c r="K645" i="1" s="1"/>
  <c r="G644" i="1"/>
  <c r="H644" i="1" s="1"/>
  <c r="E644" i="1"/>
  <c r="D644" i="1"/>
  <c r="C644" i="1"/>
  <c r="K644" i="1" s="1"/>
  <c r="G643" i="1"/>
  <c r="H643" i="1" s="1"/>
  <c r="E643" i="1"/>
  <c r="D643" i="1"/>
  <c r="C643" i="1"/>
  <c r="K643" i="1" s="1"/>
  <c r="G642" i="1"/>
  <c r="H642" i="1" s="1"/>
  <c r="E642" i="1"/>
  <c r="D642" i="1"/>
  <c r="C642" i="1"/>
  <c r="K642" i="1" s="1"/>
  <c r="G641" i="1"/>
  <c r="H641" i="1" s="1"/>
  <c r="E641" i="1"/>
  <c r="D641" i="1"/>
  <c r="C641" i="1"/>
  <c r="K641" i="1" s="1"/>
  <c r="G640" i="1"/>
  <c r="H640" i="1" s="1"/>
  <c r="E640" i="1"/>
  <c r="D640" i="1"/>
  <c r="C640" i="1"/>
  <c r="K640" i="1" s="1"/>
  <c r="G639" i="1"/>
  <c r="H639" i="1" s="1"/>
  <c r="E639" i="1"/>
  <c r="D639" i="1"/>
  <c r="C639" i="1"/>
  <c r="K639" i="1" s="1"/>
  <c r="G638" i="1"/>
  <c r="H638" i="1" s="1"/>
  <c r="E638" i="1"/>
  <c r="D638" i="1"/>
  <c r="C638" i="1"/>
  <c r="K638" i="1" s="1"/>
  <c r="G637" i="1"/>
  <c r="H637" i="1" s="1"/>
  <c r="E637" i="1"/>
  <c r="D637" i="1"/>
  <c r="C637" i="1"/>
  <c r="K637" i="1" s="1"/>
  <c r="G636" i="1"/>
  <c r="H636" i="1" s="1"/>
  <c r="E636" i="1"/>
  <c r="D636" i="1"/>
  <c r="C636" i="1"/>
  <c r="K636" i="1" s="1"/>
  <c r="G635" i="1"/>
  <c r="H635" i="1" s="1"/>
  <c r="E635" i="1"/>
  <c r="D635" i="1"/>
  <c r="C635" i="1"/>
  <c r="K635" i="1" s="1"/>
  <c r="G634" i="1"/>
  <c r="H634" i="1" s="1"/>
  <c r="E634" i="1"/>
  <c r="D634" i="1"/>
  <c r="C634" i="1"/>
  <c r="K634" i="1" s="1"/>
  <c r="G633" i="1"/>
  <c r="H633" i="1" s="1"/>
  <c r="E633" i="1"/>
  <c r="D633" i="1"/>
  <c r="C633" i="1"/>
  <c r="K633" i="1" s="1"/>
  <c r="G632" i="1"/>
  <c r="H632" i="1" s="1"/>
  <c r="E632" i="1"/>
  <c r="D632" i="1"/>
  <c r="C632" i="1"/>
  <c r="K632" i="1" s="1"/>
  <c r="G631" i="1"/>
  <c r="H631" i="1" s="1"/>
  <c r="E631" i="1"/>
  <c r="D631" i="1"/>
  <c r="C631" i="1"/>
  <c r="K631" i="1" s="1"/>
  <c r="G630" i="1"/>
  <c r="H630" i="1" s="1"/>
  <c r="E630" i="1"/>
  <c r="D630" i="1"/>
  <c r="C630" i="1"/>
  <c r="K630" i="1" s="1"/>
  <c r="G629" i="1"/>
  <c r="H629" i="1" s="1"/>
  <c r="E629" i="1"/>
  <c r="D629" i="1"/>
  <c r="C629" i="1"/>
  <c r="K629" i="1" s="1"/>
  <c r="G628" i="1"/>
  <c r="H628" i="1" s="1"/>
  <c r="E628" i="1"/>
  <c r="D628" i="1"/>
  <c r="C628" i="1"/>
  <c r="G627" i="1"/>
  <c r="H627" i="1" s="1"/>
  <c r="E627" i="1"/>
  <c r="D627" i="1"/>
  <c r="C627" i="1"/>
  <c r="K627" i="1" s="1"/>
  <c r="G626" i="1"/>
  <c r="H626" i="1" s="1"/>
  <c r="E626" i="1"/>
  <c r="D626" i="1"/>
  <c r="C626" i="1"/>
  <c r="K626" i="1" s="1"/>
  <c r="G625" i="1"/>
  <c r="H625" i="1" s="1"/>
  <c r="E625" i="1"/>
  <c r="D625" i="1"/>
  <c r="C625" i="1"/>
  <c r="K625" i="1" s="1"/>
  <c r="G624" i="1"/>
  <c r="H624" i="1" s="1"/>
  <c r="E624" i="1"/>
  <c r="D624" i="1"/>
  <c r="C624" i="1"/>
  <c r="K624" i="1" s="1"/>
  <c r="G623" i="1"/>
  <c r="H623" i="1" s="1"/>
  <c r="E623" i="1"/>
  <c r="D623" i="1"/>
  <c r="C623" i="1"/>
  <c r="K623" i="1" s="1"/>
  <c r="G622" i="1"/>
  <c r="H622" i="1" s="1"/>
  <c r="E622" i="1"/>
  <c r="D622" i="1"/>
  <c r="C622" i="1"/>
  <c r="K622" i="1" s="1"/>
  <c r="G621" i="1"/>
  <c r="H621" i="1" s="1"/>
  <c r="E621" i="1"/>
  <c r="D621" i="1"/>
  <c r="C621" i="1"/>
  <c r="K621" i="1" s="1"/>
  <c r="G620" i="1"/>
  <c r="H620" i="1" s="1"/>
  <c r="E620" i="1"/>
  <c r="D620" i="1"/>
  <c r="C620" i="1"/>
  <c r="K620" i="1" s="1"/>
  <c r="G619" i="1"/>
  <c r="H619" i="1" s="1"/>
  <c r="E619" i="1"/>
  <c r="D619" i="1"/>
  <c r="C619" i="1"/>
  <c r="K619" i="1" s="1"/>
  <c r="G618" i="1"/>
  <c r="H618" i="1" s="1"/>
  <c r="E618" i="1"/>
  <c r="D618" i="1"/>
  <c r="C618" i="1"/>
  <c r="G617" i="1"/>
  <c r="H617" i="1" s="1"/>
  <c r="E617" i="1"/>
  <c r="D617" i="1"/>
  <c r="C617" i="1"/>
  <c r="K617" i="1" s="1"/>
  <c r="G616" i="1"/>
  <c r="H616" i="1" s="1"/>
  <c r="E616" i="1"/>
  <c r="D616" i="1"/>
  <c r="C616" i="1"/>
  <c r="K616" i="1" s="1"/>
  <c r="G615" i="1"/>
  <c r="H615" i="1" s="1"/>
  <c r="E615" i="1"/>
  <c r="D615" i="1"/>
  <c r="C615" i="1"/>
  <c r="K615" i="1" s="1"/>
  <c r="G614" i="1"/>
  <c r="H614" i="1" s="1"/>
  <c r="E614" i="1"/>
  <c r="D614" i="1"/>
  <c r="C614" i="1"/>
  <c r="K614" i="1" s="1"/>
  <c r="G613" i="1"/>
  <c r="H613" i="1" s="1"/>
  <c r="E613" i="1"/>
  <c r="D613" i="1"/>
  <c r="C613" i="1"/>
  <c r="K613" i="1" s="1"/>
  <c r="G612" i="1"/>
  <c r="H612" i="1" s="1"/>
  <c r="E612" i="1"/>
  <c r="D612" i="1"/>
  <c r="C612" i="1"/>
  <c r="K612" i="1" s="1"/>
  <c r="G611" i="1"/>
  <c r="H611" i="1" s="1"/>
  <c r="E611" i="1"/>
  <c r="D611" i="1"/>
  <c r="C611" i="1"/>
  <c r="K611" i="1" s="1"/>
  <c r="G610" i="1"/>
  <c r="H610" i="1" s="1"/>
  <c r="E610" i="1"/>
  <c r="D610" i="1"/>
  <c r="C610" i="1"/>
  <c r="K610" i="1" s="1"/>
  <c r="G609" i="1"/>
  <c r="H609" i="1" s="1"/>
  <c r="E609" i="1"/>
  <c r="D609" i="1"/>
  <c r="C609" i="1"/>
  <c r="K609" i="1" s="1"/>
  <c r="G608" i="1"/>
  <c r="H608" i="1" s="1"/>
  <c r="E608" i="1"/>
  <c r="D608" i="1"/>
  <c r="C608" i="1"/>
  <c r="K608" i="1" s="1"/>
  <c r="G607" i="1"/>
  <c r="H607" i="1" s="1"/>
  <c r="E607" i="1"/>
  <c r="D607" i="1"/>
  <c r="C607" i="1"/>
  <c r="K607" i="1" s="1"/>
  <c r="G606" i="1"/>
  <c r="H606" i="1" s="1"/>
  <c r="E606" i="1"/>
  <c r="D606" i="1"/>
  <c r="C606" i="1"/>
  <c r="K606" i="1" s="1"/>
  <c r="G605" i="1"/>
  <c r="H605" i="1" s="1"/>
  <c r="E605" i="1"/>
  <c r="D605" i="1"/>
  <c r="C605" i="1"/>
  <c r="K605" i="1" s="1"/>
  <c r="G604" i="1"/>
  <c r="H604" i="1" s="1"/>
  <c r="E604" i="1"/>
  <c r="D604" i="1"/>
  <c r="C604" i="1"/>
  <c r="K604" i="1" s="1"/>
  <c r="G603" i="1"/>
  <c r="H603" i="1" s="1"/>
  <c r="E603" i="1"/>
  <c r="D603" i="1"/>
  <c r="C603" i="1"/>
  <c r="K603" i="1" s="1"/>
  <c r="G602" i="1"/>
  <c r="H602" i="1" s="1"/>
  <c r="E602" i="1"/>
  <c r="D602" i="1"/>
  <c r="C602" i="1"/>
  <c r="K602" i="1" s="1"/>
  <c r="G601" i="1"/>
  <c r="H601" i="1" s="1"/>
  <c r="E601" i="1"/>
  <c r="D601" i="1"/>
  <c r="C601" i="1"/>
  <c r="K601" i="1" s="1"/>
  <c r="G600" i="1"/>
  <c r="H600" i="1" s="1"/>
  <c r="E600" i="1"/>
  <c r="D600" i="1"/>
  <c r="C600" i="1"/>
  <c r="K600" i="1" s="1"/>
  <c r="G599" i="1"/>
  <c r="H599" i="1" s="1"/>
  <c r="E599" i="1"/>
  <c r="D599" i="1"/>
  <c r="C599" i="1"/>
  <c r="K599" i="1" s="1"/>
  <c r="G598" i="1"/>
  <c r="H598" i="1" s="1"/>
  <c r="E598" i="1"/>
  <c r="D598" i="1"/>
  <c r="C598" i="1"/>
  <c r="K598" i="1" s="1"/>
  <c r="G597" i="1"/>
  <c r="H597" i="1" s="1"/>
  <c r="E597" i="1"/>
  <c r="D597" i="1"/>
  <c r="C597" i="1"/>
  <c r="K597" i="1" s="1"/>
  <c r="G596" i="1"/>
  <c r="H596" i="1" s="1"/>
  <c r="E596" i="1"/>
  <c r="D596" i="1"/>
  <c r="C596" i="1"/>
  <c r="K596" i="1" s="1"/>
  <c r="G595" i="1"/>
  <c r="H595" i="1" s="1"/>
  <c r="E595" i="1"/>
  <c r="D595" i="1"/>
  <c r="C595" i="1"/>
  <c r="K595" i="1" s="1"/>
  <c r="G594" i="1"/>
  <c r="H594" i="1" s="1"/>
  <c r="E594" i="1"/>
  <c r="D594" i="1"/>
  <c r="C594" i="1"/>
  <c r="K594" i="1" s="1"/>
  <c r="G593" i="1"/>
  <c r="H593" i="1" s="1"/>
  <c r="E593" i="1"/>
  <c r="D593" i="1"/>
  <c r="C593" i="1"/>
  <c r="K593" i="1" s="1"/>
  <c r="G592" i="1"/>
  <c r="H592" i="1" s="1"/>
  <c r="E592" i="1"/>
  <c r="D592" i="1"/>
  <c r="C592" i="1"/>
  <c r="K592" i="1" s="1"/>
  <c r="G591" i="1"/>
  <c r="H591" i="1" s="1"/>
  <c r="E591" i="1"/>
  <c r="D591" i="1"/>
  <c r="C591" i="1"/>
  <c r="K591" i="1" s="1"/>
  <c r="G590" i="1"/>
  <c r="H590" i="1" s="1"/>
  <c r="E590" i="1"/>
  <c r="D590" i="1"/>
  <c r="C590" i="1"/>
  <c r="K590" i="1" s="1"/>
  <c r="G589" i="1"/>
  <c r="H589" i="1" s="1"/>
  <c r="E589" i="1"/>
  <c r="D589" i="1"/>
  <c r="C589" i="1"/>
  <c r="K589" i="1" s="1"/>
  <c r="G588" i="1"/>
  <c r="H588" i="1" s="1"/>
  <c r="E588" i="1"/>
  <c r="D588" i="1"/>
  <c r="C588" i="1"/>
  <c r="G587" i="1"/>
  <c r="H587" i="1" s="1"/>
  <c r="E587" i="1"/>
  <c r="D587" i="1"/>
  <c r="C587" i="1"/>
  <c r="K587" i="1" s="1"/>
  <c r="G586" i="1"/>
  <c r="H586" i="1" s="1"/>
  <c r="E586" i="1"/>
  <c r="D586" i="1"/>
  <c r="C586" i="1"/>
  <c r="K586" i="1" s="1"/>
  <c r="G585" i="1"/>
  <c r="H585" i="1" s="1"/>
  <c r="E585" i="1"/>
  <c r="D585" i="1"/>
  <c r="C585" i="1"/>
  <c r="K585" i="1" s="1"/>
  <c r="G584" i="1"/>
  <c r="H584" i="1" s="1"/>
  <c r="E584" i="1"/>
  <c r="D584" i="1"/>
  <c r="C584" i="1"/>
  <c r="K584" i="1" s="1"/>
  <c r="G583" i="1"/>
  <c r="H583" i="1" s="1"/>
  <c r="E583" i="1"/>
  <c r="D583" i="1"/>
  <c r="C583" i="1"/>
  <c r="K583" i="1" s="1"/>
  <c r="G582" i="1"/>
  <c r="H582" i="1" s="1"/>
  <c r="E582" i="1"/>
  <c r="D582" i="1"/>
  <c r="C582" i="1"/>
  <c r="K582" i="1" s="1"/>
  <c r="G581" i="1"/>
  <c r="H581" i="1" s="1"/>
  <c r="E581" i="1"/>
  <c r="D581" i="1"/>
  <c r="C581" i="1"/>
  <c r="K581" i="1" s="1"/>
  <c r="G580" i="1"/>
  <c r="H580" i="1" s="1"/>
  <c r="E580" i="1"/>
  <c r="D580" i="1"/>
  <c r="C580" i="1"/>
  <c r="K580" i="1" s="1"/>
  <c r="G579" i="1"/>
  <c r="H579" i="1" s="1"/>
  <c r="E579" i="1"/>
  <c r="D579" i="1"/>
  <c r="C579" i="1"/>
  <c r="K579" i="1" s="1"/>
  <c r="G578" i="1"/>
  <c r="H578" i="1" s="1"/>
  <c r="E578" i="1"/>
  <c r="D578" i="1"/>
  <c r="C578" i="1"/>
  <c r="K578" i="1" s="1"/>
  <c r="G577" i="1"/>
  <c r="H577" i="1" s="1"/>
  <c r="E577" i="1"/>
  <c r="D577" i="1"/>
  <c r="C577" i="1"/>
  <c r="K577" i="1" s="1"/>
  <c r="G576" i="1"/>
  <c r="H576" i="1" s="1"/>
  <c r="E576" i="1"/>
  <c r="D576" i="1"/>
  <c r="C576" i="1"/>
  <c r="K576" i="1" s="1"/>
  <c r="G575" i="1"/>
  <c r="H575" i="1" s="1"/>
  <c r="E575" i="1"/>
  <c r="D575" i="1"/>
  <c r="C575" i="1"/>
  <c r="K575" i="1" s="1"/>
  <c r="G574" i="1"/>
  <c r="H574" i="1" s="1"/>
  <c r="E574" i="1"/>
  <c r="D574" i="1"/>
  <c r="C574" i="1"/>
  <c r="K574" i="1" s="1"/>
  <c r="G573" i="1"/>
  <c r="H573" i="1" s="1"/>
  <c r="E573" i="1"/>
  <c r="D573" i="1"/>
  <c r="C573" i="1"/>
  <c r="K573" i="1" s="1"/>
  <c r="G572" i="1"/>
  <c r="H572" i="1" s="1"/>
  <c r="E572" i="1"/>
  <c r="D572" i="1"/>
  <c r="C572" i="1"/>
  <c r="K572" i="1" s="1"/>
  <c r="G571" i="1"/>
  <c r="H571" i="1" s="1"/>
  <c r="E571" i="1"/>
  <c r="D571" i="1"/>
  <c r="C571" i="1"/>
  <c r="K571" i="1" s="1"/>
  <c r="G570" i="1"/>
  <c r="H570" i="1" s="1"/>
  <c r="E570" i="1"/>
  <c r="D570" i="1"/>
  <c r="C570" i="1"/>
  <c r="K570" i="1" s="1"/>
  <c r="G569" i="1"/>
  <c r="H569" i="1" s="1"/>
  <c r="E569" i="1"/>
  <c r="D569" i="1"/>
  <c r="C569" i="1"/>
  <c r="K569" i="1" s="1"/>
  <c r="G568" i="1"/>
  <c r="H568" i="1" s="1"/>
  <c r="E568" i="1"/>
  <c r="D568" i="1"/>
  <c r="C568" i="1"/>
  <c r="K568" i="1" s="1"/>
  <c r="G567" i="1"/>
  <c r="H567" i="1" s="1"/>
  <c r="E567" i="1"/>
  <c r="D567" i="1"/>
  <c r="C567" i="1"/>
  <c r="K567" i="1" s="1"/>
  <c r="G566" i="1"/>
  <c r="H566" i="1" s="1"/>
  <c r="E566" i="1"/>
  <c r="D566" i="1"/>
  <c r="C566" i="1"/>
  <c r="K566" i="1" s="1"/>
  <c r="G565" i="1"/>
  <c r="H565" i="1" s="1"/>
  <c r="E565" i="1"/>
  <c r="D565" i="1"/>
  <c r="C565" i="1"/>
  <c r="K565" i="1" s="1"/>
  <c r="G564" i="1"/>
  <c r="H564" i="1" s="1"/>
  <c r="E564" i="1"/>
  <c r="D564" i="1"/>
  <c r="C564" i="1"/>
  <c r="K564" i="1" s="1"/>
  <c r="G563" i="1"/>
  <c r="H563" i="1" s="1"/>
  <c r="E563" i="1"/>
  <c r="D563" i="1"/>
  <c r="C563" i="1"/>
  <c r="K563" i="1" s="1"/>
  <c r="G562" i="1"/>
  <c r="H562" i="1" s="1"/>
  <c r="E562" i="1"/>
  <c r="D562" i="1"/>
  <c r="C562" i="1"/>
  <c r="K562" i="1" s="1"/>
  <c r="G561" i="1"/>
  <c r="H561" i="1" s="1"/>
  <c r="E561" i="1"/>
  <c r="D561" i="1"/>
  <c r="C561" i="1"/>
  <c r="K561" i="1" s="1"/>
  <c r="G560" i="1"/>
  <c r="H560" i="1" s="1"/>
  <c r="E560" i="1"/>
  <c r="D560" i="1"/>
  <c r="C560" i="1"/>
  <c r="K560" i="1" s="1"/>
  <c r="G559" i="1"/>
  <c r="H559" i="1" s="1"/>
  <c r="E559" i="1"/>
  <c r="D559" i="1"/>
  <c r="C559" i="1"/>
  <c r="K559" i="1" s="1"/>
  <c r="G558" i="1"/>
  <c r="H558" i="1" s="1"/>
  <c r="E558" i="1"/>
  <c r="D558" i="1"/>
  <c r="C558" i="1"/>
  <c r="K558" i="1" s="1"/>
  <c r="G557" i="1"/>
  <c r="H557" i="1" s="1"/>
  <c r="E557" i="1"/>
  <c r="D557" i="1"/>
  <c r="C557" i="1"/>
  <c r="K557" i="1" s="1"/>
  <c r="G556" i="1"/>
  <c r="H556" i="1" s="1"/>
  <c r="E556" i="1"/>
  <c r="D556" i="1"/>
  <c r="C556" i="1"/>
  <c r="K556" i="1" s="1"/>
  <c r="G555" i="1"/>
  <c r="H555" i="1" s="1"/>
  <c r="E555" i="1"/>
  <c r="D555" i="1"/>
  <c r="C555" i="1"/>
  <c r="K555" i="1" s="1"/>
  <c r="G554" i="1"/>
  <c r="H554" i="1" s="1"/>
  <c r="E554" i="1"/>
  <c r="D554" i="1"/>
  <c r="C554" i="1"/>
  <c r="K554" i="1" s="1"/>
  <c r="G553" i="1"/>
  <c r="H553" i="1" s="1"/>
  <c r="E553" i="1"/>
  <c r="D553" i="1"/>
  <c r="C553" i="1"/>
  <c r="K553" i="1" s="1"/>
  <c r="G552" i="1"/>
  <c r="H552" i="1" s="1"/>
  <c r="E552" i="1"/>
  <c r="D552" i="1"/>
  <c r="C552" i="1"/>
  <c r="K552" i="1" s="1"/>
  <c r="G551" i="1"/>
  <c r="H551" i="1" s="1"/>
  <c r="E551" i="1"/>
  <c r="D551" i="1"/>
  <c r="C551" i="1"/>
  <c r="K551" i="1" s="1"/>
  <c r="G550" i="1"/>
  <c r="H550" i="1" s="1"/>
  <c r="E550" i="1"/>
  <c r="D550" i="1"/>
  <c r="C550" i="1"/>
  <c r="K550" i="1" s="1"/>
  <c r="G549" i="1"/>
  <c r="H549" i="1" s="1"/>
  <c r="E549" i="1"/>
  <c r="D549" i="1"/>
  <c r="C549" i="1"/>
  <c r="K549" i="1" s="1"/>
  <c r="G548" i="1"/>
  <c r="H548" i="1" s="1"/>
  <c r="E548" i="1"/>
  <c r="D548" i="1"/>
  <c r="C548" i="1"/>
  <c r="K548" i="1" s="1"/>
  <c r="G547" i="1"/>
  <c r="H547" i="1" s="1"/>
  <c r="E547" i="1"/>
  <c r="D547" i="1"/>
  <c r="C547" i="1"/>
  <c r="K547" i="1" s="1"/>
  <c r="G546" i="1"/>
  <c r="H546" i="1" s="1"/>
  <c r="E546" i="1"/>
  <c r="D546" i="1"/>
  <c r="C546" i="1"/>
  <c r="K546" i="1" s="1"/>
  <c r="G545" i="1"/>
  <c r="H545" i="1" s="1"/>
  <c r="E545" i="1"/>
  <c r="D545" i="1"/>
  <c r="C545" i="1"/>
  <c r="K545" i="1" s="1"/>
  <c r="G544" i="1"/>
  <c r="H544" i="1" s="1"/>
  <c r="E544" i="1"/>
  <c r="D544" i="1"/>
  <c r="C544" i="1"/>
  <c r="K544" i="1" s="1"/>
  <c r="G543" i="1"/>
  <c r="H543" i="1" s="1"/>
  <c r="E543" i="1"/>
  <c r="D543" i="1"/>
  <c r="C543" i="1"/>
  <c r="K543" i="1" s="1"/>
  <c r="G542" i="1"/>
  <c r="H542" i="1" s="1"/>
  <c r="E542" i="1"/>
  <c r="D542" i="1"/>
  <c r="C542" i="1"/>
  <c r="K542" i="1" s="1"/>
  <c r="G541" i="1"/>
  <c r="H541" i="1" s="1"/>
  <c r="E541" i="1"/>
  <c r="D541" i="1"/>
  <c r="C541" i="1"/>
  <c r="K541" i="1" s="1"/>
  <c r="G540" i="1"/>
  <c r="H540" i="1" s="1"/>
  <c r="E540" i="1"/>
  <c r="D540" i="1"/>
  <c r="C540" i="1"/>
  <c r="K540" i="1" s="1"/>
  <c r="G539" i="1"/>
  <c r="H539" i="1" s="1"/>
  <c r="E539" i="1"/>
  <c r="D539" i="1"/>
  <c r="C539" i="1"/>
  <c r="K539" i="1" s="1"/>
  <c r="G538" i="1"/>
  <c r="H538" i="1" s="1"/>
  <c r="E538" i="1"/>
  <c r="D538" i="1"/>
  <c r="C538" i="1"/>
  <c r="K538" i="1" s="1"/>
  <c r="G537" i="1"/>
  <c r="H537" i="1" s="1"/>
  <c r="E537" i="1"/>
  <c r="D537" i="1"/>
  <c r="C537" i="1"/>
  <c r="K537" i="1" s="1"/>
  <c r="G536" i="1"/>
  <c r="H536" i="1" s="1"/>
  <c r="E536" i="1"/>
  <c r="D536" i="1"/>
  <c r="C536" i="1"/>
  <c r="K536" i="1" s="1"/>
  <c r="G535" i="1"/>
  <c r="H535" i="1" s="1"/>
  <c r="E535" i="1"/>
  <c r="D535" i="1"/>
  <c r="C535" i="1"/>
  <c r="K535" i="1" s="1"/>
  <c r="G534" i="1"/>
  <c r="H534" i="1" s="1"/>
  <c r="E534" i="1"/>
  <c r="D534" i="1"/>
  <c r="C534" i="1"/>
  <c r="K534" i="1" s="1"/>
  <c r="G533" i="1"/>
  <c r="H533" i="1" s="1"/>
  <c r="E533" i="1"/>
  <c r="D533" i="1"/>
  <c r="C533" i="1"/>
  <c r="K533" i="1" s="1"/>
  <c r="G532" i="1"/>
  <c r="H532" i="1" s="1"/>
  <c r="E532" i="1"/>
  <c r="D532" i="1"/>
  <c r="C532" i="1"/>
  <c r="K532" i="1" s="1"/>
  <c r="G531" i="1"/>
  <c r="H531" i="1" s="1"/>
  <c r="E531" i="1"/>
  <c r="D531" i="1"/>
  <c r="C531" i="1"/>
  <c r="K531" i="1" s="1"/>
  <c r="G530" i="1"/>
  <c r="H530" i="1" s="1"/>
  <c r="E530" i="1"/>
  <c r="D530" i="1"/>
  <c r="C530" i="1"/>
  <c r="K530" i="1" s="1"/>
  <c r="G529" i="1"/>
  <c r="H529" i="1" s="1"/>
  <c r="E529" i="1"/>
  <c r="D529" i="1"/>
  <c r="C529" i="1"/>
  <c r="K529" i="1" s="1"/>
  <c r="G528" i="1"/>
  <c r="H528" i="1" s="1"/>
  <c r="E528" i="1"/>
  <c r="D528" i="1"/>
  <c r="C528" i="1"/>
  <c r="K528" i="1" s="1"/>
  <c r="G527" i="1"/>
  <c r="H527" i="1" s="1"/>
  <c r="E527" i="1"/>
  <c r="D527" i="1"/>
  <c r="C527" i="1"/>
  <c r="K527" i="1" s="1"/>
  <c r="G526" i="1"/>
  <c r="H526" i="1" s="1"/>
  <c r="E526" i="1"/>
  <c r="D526" i="1"/>
  <c r="C526" i="1"/>
  <c r="K526" i="1" s="1"/>
  <c r="G525" i="1"/>
  <c r="H525" i="1" s="1"/>
  <c r="E525" i="1"/>
  <c r="D525" i="1"/>
  <c r="C525" i="1"/>
  <c r="K525" i="1" s="1"/>
  <c r="G524" i="1"/>
  <c r="H524" i="1" s="1"/>
  <c r="E524" i="1"/>
  <c r="D524" i="1"/>
  <c r="C524" i="1"/>
  <c r="K524" i="1" s="1"/>
  <c r="G523" i="1"/>
  <c r="H523" i="1" s="1"/>
  <c r="E523" i="1"/>
  <c r="D523" i="1"/>
  <c r="C523" i="1"/>
  <c r="K523" i="1" s="1"/>
  <c r="G522" i="1"/>
  <c r="H522" i="1" s="1"/>
  <c r="E522" i="1"/>
  <c r="D522" i="1"/>
  <c r="C522" i="1"/>
  <c r="K522" i="1" s="1"/>
  <c r="G521" i="1"/>
  <c r="H521" i="1" s="1"/>
  <c r="E521" i="1"/>
  <c r="D521" i="1"/>
  <c r="C521" i="1"/>
  <c r="K521" i="1" s="1"/>
  <c r="G520" i="1"/>
  <c r="H520" i="1" s="1"/>
  <c r="E520" i="1"/>
  <c r="D520" i="1"/>
  <c r="C520" i="1"/>
  <c r="K520" i="1" s="1"/>
  <c r="G519" i="1"/>
  <c r="H519" i="1" s="1"/>
  <c r="E519" i="1"/>
  <c r="D519" i="1"/>
  <c r="C519" i="1"/>
  <c r="K519" i="1" s="1"/>
  <c r="G518" i="1"/>
  <c r="H518" i="1" s="1"/>
  <c r="E518" i="1"/>
  <c r="D518" i="1"/>
  <c r="C518" i="1"/>
  <c r="K518" i="1" s="1"/>
  <c r="G517" i="1"/>
  <c r="H517" i="1" s="1"/>
  <c r="E517" i="1"/>
  <c r="D517" i="1"/>
  <c r="C517" i="1"/>
  <c r="K517" i="1" s="1"/>
  <c r="G516" i="1"/>
  <c r="H516" i="1" s="1"/>
  <c r="E516" i="1"/>
  <c r="D516" i="1"/>
  <c r="C516" i="1"/>
  <c r="K516" i="1" s="1"/>
  <c r="G515" i="1"/>
  <c r="H515" i="1" s="1"/>
  <c r="E515" i="1"/>
  <c r="D515" i="1"/>
  <c r="C515" i="1"/>
  <c r="K515" i="1" s="1"/>
  <c r="G514" i="1"/>
  <c r="H514" i="1" s="1"/>
  <c r="E514" i="1"/>
  <c r="D514" i="1"/>
  <c r="C514" i="1"/>
  <c r="K514" i="1" s="1"/>
  <c r="G513" i="1"/>
  <c r="H513" i="1" s="1"/>
  <c r="E513" i="1"/>
  <c r="D513" i="1"/>
  <c r="C513" i="1"/>
  <c r="K513" i="1" s="1"/>
  <c r="G512" i="1"/>
  <c r="H512" i="1" s="1"/>
  <c r="E512" i="1"/>
  <c r="D512" i="1"/>
  <c r="C512" i="1"/>
  <c r="K512" i="1" s="1"/>
  <c r="G511" i="1"/>
  <c r="H511" i="1" s="1"/>
  <c r="E511" i="1"/>
  <c r="D511" i="1"/>
  <c r="C511" i="1"/>
  <c r="K511" i="1" s="1"/>
  <c r="G510" i="1"/>
  <c r="H510" i="1" s="1"/>
  <c r="E510" i="1"/>
  <c r="D510" i="1"/>
  <c r="C510" i="1"/>
  <c r="K510" i="1" s="1"/>
  <c r="G509" i="1"/>
  <c r="H509" i="1" s="1"/>
  <c r="E509" i="1"/>
  <c r="D509" i="1"/>
  <c r="C509" i="1"/>
  <c r="K509" i="1" s="1"/>
  <c r="G508" i="1"/>
  <c r="H508" i="1" s="1"/>
  <c r="E508" i="1"/>
  <c r="D508" i="1"/>
  <c r="C508" i="1"/>
  <c r="K508" i="1" s="1"/>
  <c r="G507" i="1"/>
  <c r="H507" i="1" s="1"/>
  <c r="E507" i="1"/>
  <c r="D507" i="1"/>
  <c r="C507" i="1"/>
  <c r="K507" i="1" s="1"/>
  <c r="G506" i="1"/>
  <c r="H506" i="1" s="1"/>
  <c r="E506" i="1"/>
  <c r="D506" i="1"/>
  <c r="C506" i="1"/>
  <c r="K506" i="1" s="1"/>
  <c r="G505" i="1"/>
  <c r="H505" i="1" s="1"/>
  <c r="E505" i="1"/>
  <c r="D505" i="1"/>
  <c r="C505" i="1"/>
  <c r="K505" i="1" s="1"/>
  <c r="G504" i="1"/>
  <c r="H504" i="1" s="1"/>
  <c r="E504" i="1"/>
  <c r="D504" i="1"/>
  <c r="C504" i="1"/>
  <c r="K504" i="1" s="1"/>
  <c r="G503" i="1"/>
  <c r="H503" i="1" s="1"/>
  <c r="E503" i="1"/>
  <c r="D503" i="1"/>
  <c r="C503" i="1"/>
  <c r="K503" i="1" s="1"/>
  <c r="G502" i="1"/>
  <c r="H502" i="1" s="1"/>
  <c r="E502" i="1"/>
  <c r="D502" i="1"/>
  <c r="C502" i="1"/>
  <c r="K502" i="1" s="1"/>
  <c r="G501" i="1"/>
  <c r="H501" i="1" s="1"/>
  <c r="E501" i="1"/>
  <c r="D501" i="1"/>
  <c r="C501" i="1"/>
  <c r="K501" i="1" s="1"/>
  <c r="G500" i="1"/>
  <c r="H500" i="1" s="1"/>
  <c r="E500" i="1"/>
  <c r="D500" i="1"/>
  <c r="C500" i="1"/>
  <c r="K500" i="1" s="1"/>
  <c r="G499" i="1"/>
  <c r="H499" i="1" s="1"/>
  <c r="E499" i="1"/>
  <c r="D499" i="1"/>
  <c r="C499" i="1"/>
  <c r="K499" i="1" s="1"/>
  <c r="G498" i="1"/>
  <c r="H498" i="1" s="1"/>
  <c r="E498" i="1"/>
  <c r="D498" i="1"/>
  <c r="C498" i="1"/>
  <c r="K498" i="1" s="1"/>
  <c r="G497" i="1"/>
  <c r="H497" i="1" s="1"/>
  <c r="E497" i="1"/>
  <c r="D497" i="1"/>
  <c r="C497" i="1"/>
  <c r="K497" i="1" s="1"/>
  <c r="G496" i="1"/>
  <c r="H496" i="1" s="1"/>
  <c r="E496" i="1"/>
  <c r="D496" i="1"/>
  <c r="C496" i="1"/>
  <c r="K496" i="1" s="1"/>
  <c r="G495" i="1"/>
  <c r="H495" i="1" s="1"/>
  <c r="E495" i="1"/>
  <c r="D495" i="1"/>
  <c r="C495" i="1"/>
  <c r="K495" i="1" s="1"/>
  <c r="G494" i="1"/>
  <c r="H494" i="1" s="1"/>
  <c r="E494" i="1"/>
  <c r="D494" i="1"/>
  <c r="C494" i="1"/>
  <c r="K494" i="1" s="1"/>
  <c r="G493" i="1"/>
  <c r="H493" i="1" s="1"/>
  <c r="E493" i="1"/>
  <c r="D493" i="1"/>
  <c r="C493" i="1"/>
  <c r="K493" i="1" s="1"/>
  <c r="G492" i="1"/>
  <c r="H492" i="1" s="1"/>
  <c r="E492" i="1"/>
  <c r="D492" i="1"/>
  <c r="C492" i="1"/>
  <c r="K492" i="1" s="1"/>
  <c r="G491" i="1"/>
  <c r="H491" i="1" s="1"/>
  <c r="E491" i="1"/>
  <c r="D491" i="1"/>
  <c r="C491" i="1"/>
  <c r="K491" i="1" s="1"/>
  <c r="G490" i="1"/>
  <c r="H490" i="1" s="1"/>
  <c r="E490" i="1"/>
  <c r="D490" i="1"/>
  <c r="C490" i="1"/>
  <c r="G489" i="1"/>
  <c r="H489" i="1" s="1"/>
  <c r="E489" i="1"/>
  <c r="D489" i="1"/>
  <c r="C489" i="1"/>
  <c r="K489" i="1" s="1"/>
  <c r="G488" i="1"/>
  <c r="H488" i="1" s="1"/>
  <c r="E488" i="1"/>
  <c r="D488" i="1"/>
  <c r="C488" i="1"/>
  <c r="K488" i="1" s="1"/>
  <c r="G487" i="1"/>
  <c r="H487" i="1" s="1"/>
  <c r="E487" i="1"/>
  <c r="D487" i="1"/>
  <c r="C487" i="1"/>
  <c r="K487" i="1" s="1"/>
  <c r="G486" i="1"/>
  <c r="H486" i="1" s="1"/>
  <c r="E486" i="1"/>
  <c r="D486" i="1"/>
  <c r="C486" i="1"/>
  <c r="K486" i="1" s="1"/>
  <c r="G485" i="1"/>
  <c r="H485" i="1" s="1"/>
  <c r="E485" i="1"/>
  <c r="D485" i="1"/>
  <c r="C485" i="1"/>
  <c r="K485" i="1" s="1"/>
  <c r="G484" i="1"/>
  <c r="H484" i="1" s="1"/>
  <c r="E484" i="1"/>
  <c r="D484" i="1"/>
  <c r="C484" i="1"/>
  <c r="K484" i="1" s="1"/>
  <c r="G483" i="1"/>
  <c r="H483" i="1" s="1"/>
  <c r="E483" i="1"/>
  <c r="D483" i="1"/>
  <c r="C483" i="1"/>
  <c r="K483" i="1" s="1"/>
  <c r="G482" i="1"/>
  <c r="H482" i="1" s="1"/>
  <c r="E482" i="1"/>
  <c r="D482" i="1"/>
  <c r="C482" i="1"/>
  <c r="K482" i="1" s="1"/>
  <c r="G481" i="1"/>
  <c r="H481" i="1" s="1"/>
  <c r="E481" i="1"/>
  <c r="D481" i="1"/>
  <c r="C481" i="1"/>
  <c r="K481" i="1" s="1"/>
  <c r="G480" i="1"/>
  <c r="H480" i="1" s="1"/>
  <c r="E480" i="1"/>
  <c r="D480" i="1"/>
  <c r="C480" i="1"/>
  <c r="K480" i="1" s="1"/>
  <c r="G479" i="1"/>
  <c r="H479" i="1" s="1"/>
  <c r="E479" i="1"/>
  <c r="D479" i="1"/>
  <c r="C479" i="1"/>
  <c r="K479" i="1" s="1"/>
  <c r="G478" i="1"/>
  <c r="H478" i="1" s="1"/>
  <c r="E478" i="1"/>
  <c r="D478" i="1"/>
  <c r="C478" i="1"/>
  <c r="G477" i="1"/>
  <c r="H477" i="1" s="1"/>
  <c r="E477" i="1"/>
  <c r="D477" i="1"/>
  <c r="C477" i="1"/>
  <c r="K477" i="1" s="1"/>
  <c r="G476" i="1"/>
  <c r="H476" i="1" s="1"/>
  <c r="E476" i="1"/>
  <c r="D476" i="1"/>
  <c r="C476" i="1"/>
  <c r="K476" i="1" s="1"/>
  <c r="G475" i="1"/>
  <c r="H475" i="1" s="1"/>
  <c r="E475" i="1"/>
  <c r="D475" i="1"/>
  <c r="C475" i="1"/>
  <c r="K475" i="1" s="1"/>
  <c r="G474" i="1"/>
  <c r="H474" i="1" s="1"/>
  <c r="E474" i="1"/>
  <c r="D474" i="1"/>
  <c r="C474" i="1"/>
  <c r="K474" i="1" s="1"/>
  <c r="G473" i="1"/>
  <c r="H473" i="1" s="1"/>
  <c r="E473" i="1"/>
  <c r="D473" i="1"/>
  <c r="C473" i="1"/>
  <c r="K473" i="1" s="1"/>
  <c r="G472" i="1"/>
  <c r="H472" i="1" s="1"/>
  <c r="E472" i="1"/>
  <c r="D472" i="1"/>
  <c r="C472" i="1"/>
  <c r="K472" i="1" s="1"/>
  <c r="G471" i="1"/>
  <c r="H471" i="1" s="1"/>
  <c r="E471" i="1"/>
  <c r="D471" i="1"/>
  <c r="C471" i="1"/>
  <c r="K471" i="1" s="1"/>
  <c r="G470" i="1"/>
  <c r="H470" i="1" s="1"/>
  <c r="E470" i="1"/>
  <c r="D470" i="1"/>
  <c r="C470" i="1"/>
  <c r="K470" i="1" s="1"/>
  <c r="G469" i="1"/>
  <c r="H469" i="1" s="1"/>
  <c r="E469" i="1"/>
  <c r="D469" i="1"/>
  <c r="C469" i="1"/>
  <c r="K469" i="1" s="1"/>
  <c r="G468" i="1"/>
  <c r="H468" i="1" s="1"/>
  <c r="E468" i="1"/>
  <c r="D468" i="1"/>
  <c r="C468" i="1"/>
  <c r="G467" i="1"/>
  <c r="H467" i="1" s="1"/>
  <c r="E467" i="1"/>
  <c r="D467" i="1"/>
  <c r="C467" i="1"/>
  <c r="K467" i="1" s="1"/>
  <c r="G466" i="1"/>
  <c r="H466" i="1" s="1"/>
  <c r="E466" i="1"/>
  <c r="D466" i="1"/>
  <c r="C466" i="1"/>
  <c r="K466" i="1" s="1"/>
  <c r="G465" i="1"/>
  <c r="H465" i="1" s="1"/>
  <c r="E465" i="1"/>
  <c r="D465" i="1"/>
  <c r="C465" i="1"/>
  <c r="K465" i="1" s="1"/>
  <c r="G464" i="1"/>
  <c r="H464" i="1" s="1"/>
  <c r="E464" i="1"/>
  <c r="D464" i="1"/>
  <c r="C464" i="1"/>
  <c r="K464" i="1" s="1"/>
  <c r="G463" i="1"/>
  <c r="H463" i="1" s="1"/>
  <c r="E463" i="1"/>
  <c r="D463" i="1"/>
  <c r="C463" i="1"/>
  <c r="K463" i="1" s="1"/>
  <c r="G462" i="1"/>
  <c r="H462" i="1" s="1"/>
  <c r="E462" i="1"/>
  <c r="D462" i="1"/>
  <c r="C462" i="1"/>
  <c r="K462" i="1" s="1"/>
  <c r="G461" i="1"/>
  <c r="H461" i="1" s="1"/>
  <c r="E461" i="1"/>
  <c r="D461" i="1"/>
  <c r="C461" i="1"/>
  <c r="K461" i="1" s="1"/>
  <c r="G460" i="1"/>
  <c r="H460" i="1" s="1"/>
  <c r="E460" i="1"/>
  <c r="D460" i="1"/>
  <c r="C460" i="1"/>
  <c r="K460" i="1" s="1"/>
  <c r="G459" i="1"/>
  <c r="H459" i="1" s="1"/>
  <c r="E459" i="1"/>
  <c r="D459" i="1"/>
  <c r="C459" i="1"/>
  <c r="K459" i="1" s="1"/>
  <c r="G458" i="1"/>
  <c r="H458" i="1" s="1"/>
  <c r="E458" i="1"/>
  <c r="D458" i="1"/>
  <c r="C458" i="1"/>
  <c r="K458" i="1" s="1"/>
  <c r="G457" i="1"/>
  <c r="H457" i="1" s="1"/>
  <c r="E457" i="1"/>
  <c r="D457" i="1"/>
  <c r="C457" i="1"/>
  <c r="K457" i="1" s="1"/>
  <c r="G456" i="1"/>
  <c r="H456" i="1" s="1"/>
  <c r="E456" i="1"/>
  <c r="D456" i="1"/>
  <c r="C456" i="1"/>
  <c r="K456" i="1" s="1"/>
  <c r="G455" i="1"/>
  <c r="H455" i="1" s="1"/>
  <c r="E455" i="1"/>
  <c r="D455" i="1"/>
  <c r="C455" i="1"/>
  <c r="K455" i="1" s="1"/>
  <c r="G454" i="1"/>
  <c r="H454" i="1" s="1"/>
  <c r="E454" i="1"/>
  <c r="D454" i="1"/>
  <c r="C454" i="1"/>
  <c r="K454" i="1" s="1"/>
  <c r="G453" i="1"/>
  <c r="H453" i="1" s="1"/>
  <c r="E453" i="1"/>
  <c r="D453" i="1"/>
  <c r="C453" i="1"/>
  <c r="K453" i="1" s="1"/>
  <c r="G452" i="1"/>
  <c r="H452" i="1" s="1"/>
  <c r="E452" i="1"/>
  <c r="D452" i="1"/>
  <c r="C452" i="1"/>
  <c r="K452" i="1" s="1"/>
  <c r="G451" i="1"/>
  <c r="H451" i="1" s="1"/>
  <c r="E451" i="1"/>
  <c r="D451" i="1"/>
  <c r="C451" i="1"/>
  <c r="K451" i="1" s="1"/>
  <c r="G450" i="1"/>
  <c r="H450" i="1" s="1"/>
  <c r="E450" i="1"/>
  <c r="D450" i="1"/>
  <c r="C450" i="1"/>
  <c r="K450" i="1" s="1"/>
  <c r="G449" i="1"/>
  <c r="H449" i="1" s="1"/>
  <c r="E449" i="1"/>
  <c r="D449" i="1"/>
  <c r="C449" i="1"/>
  <c r="K449" i="1" s="1"/>
  <c r="G448" i="1"/>
  <c r="H448" i="1" s="1"/>
  <c r="E448" i="1"/>
  <c r="D448" i="1"/>
  <c r="C448" i="1"/>
  <c r="K448" i="1" s="1"/>
  <c r="G447" i="1"/>
  <c r="H447" i="1" s="1"/>
  <c r="E447" i="1"/>
  <c r="D447" i="1"/>
  <c r="C447" i="1"/>
  <c r="K447" i="1" s="1"/>
  <c r="G446" i="1"/>
  <c r="H446" i="1" s="1"/>
  <c r="E446" i="1"/>
  <c r="D446" i="1"/>
  <c r="C446" i="1"/>
  <c r="K446" i="1" s="1"/>
  <c r="G445" i="1"/>
  <c r="H445" i="1" s="1"/>
  <c r="E445" i="1"/>
  <c r="D445" i="1"/>
  <c r="C445" i="1"/>
  <c r="K445" i="1" s="1"/>
  <c r="G444" i="1"/>
  <c r="H444" i="1" s="1"/>
  <c r="E444" i="1"/>
  <c r="D444" i="1"/>
  <c r="C444" i="1"/>
  <c r="K444" i="1" s="1"/>
  <c r="G443" i="1"/>
  <c r="H443" i="1" s="1"/>
  <c r="E443" i="1"/>
  <c r="D443" i="1"/>
  <c r="C443" i="1"/>
  <c r="K443" i="1" s="1"/>
  <c r="G442" i="1"/>
  <c r="H442" i="1" s="1"/>
  <c r="E442" i="1"/>
  <c r="D442" i="1"/>
  <c r="C442" i="1"/>
  <c r="K442" i="1" s="1"/>
  <c r="G441" i="1"/>
  <c r="H441" i="1" s="1"/>
  <c r="E441" i="1"/>
  <c r="D441" i="1"/>
  <c r="C441" i="1"/>
  <c r="K441" i="1" s="1"/>
  <c r="G440" i="1"/>
  <c r="H440" i="1" s="1"/>
  <c r="E440" i="1"/>
  <c r="D440" i="1"/>
  <c r="C440" i="1"/>
  <c r="K440" i="1" s="1"/>
  <c r="G439" i="1"/>
  <c r="H439" i="1" s="1"/>
  <c r="E439" i="1"/>
  <c r="D439" i="1"/>
  <c r="C439" i="1"/>
  <c r="K439" i="1" s="1"/>
  <c r="G438" i="1"/>
  <c r="H438" i="1" s="1"/>
  <c r="E438" i="1"/>
  <c r="D438" i="1"/>
  <c r="C438" i="1"/>
  <c r="K438" i="1" s="1"/>
  <c r="G437" i="1"/>
  <c r="H437" i="1" s="1"/>
  <c r="E437" i="1"/>
  <c r="D437" i="1"/>
  <c r="C437" i="1"/>
  <c r="K437" i="1" s="1"/>
  <c r="G436" i="1"/>
  <c r="H436" i="1" s="1"/>
  <c r="E436" i="1"/>
  <c r="D436" i="1"/>
  <c r="C436" i="1"/>
  <c r="K436" i="1" s="1"/>
  <c r="G435" i="1"/>
  <c r="H435" i="1" s="1"/>
  <c r="E435" i="1"/>
  <c r="D435" i="1"/>
  <c r="C435" i="1"/>
  <c r="K435" i="1" s="1"/>
  <c r="G434" i="1"/>
  <c r="H434" i="1" s="1"/>
  <c r="E434" i="1"/>
  <c r="D434" i="1"/>
  <c r="C434" i="1"/>
  <c r="K434" i="1" s="1"/>
  <c r="G433" i="1"/>
  <c r="H433" i="1" s="1"/>
  <c r="E433" i="1"/>
  <c r="D433" i="1"/>
  <c r="C433" i="1"/>
  <c r="K433" i="1" s="1"/>
  <c r="G432" i="1"/>
  <c r="H432" i="1" s="1"/>
  <c r="E432" i="1"/>
  <c r="D432" i="1"/>
  <c r="C432" i="1"/>
  <c r="K432" i="1" s="1"/>
  <c r="G431" i="1"/>
  <c r="H431" i="1" s="1"/>
  <c r="E431" i="1"/>
  <c r="D431" i="1"/>
  <c r="C431" i="1"/>
  <c r="K431" i="1" s="1"/>
  <c r="G430" i="1"/>
  <c r="H430" i="1" s="1"/>
  <c r="E430" i="1"/>
  <c r="D430" i="1"/>
  <c r="C430" i="1"/>
  <c r="K430" i="1" s="1"/>
  <c r="G429" i="1"/>
  <c r="H429" i="1" s="1"/>
  <c r="E429" i="1"/>
  <c r="D429" i="1"/>
  <c r="C429" i="1"/>
  <c r="K429" i="1" s="1"/>
  <c r="G428" i="1"/>
  <c r="H428" i="1" s="1"/>
  <c r="E428" i="1"/>
  <c r="D428" i="1"/>
  <c r="C428" i="1"/>
  <c r="K428" i="1" s="1"/>
  <c r="G427" i="1"/>
  <c r="H427" i="1" s="1"/>
  <c r="E427" i="1"/>
  <c r="D427" i="1"/>
  <c r="C427" i="1"/>
  <c r="K427" i="1" s="1"/>
  <c r="G426" i="1"/>
  <c r="H426" i="1" s="1"/>
  <c r="E426" i="1"/>
  <c r="D426" i="1"/>
  <c r="C426" i="1"/>
  <c r="K426" i="1" s="1"/>
  <c r="G425" i="1"/>
  <c r="H425" i="1" s="1"/>
  <c r="E425" i="1"/>
  <c r="D425" i="1"/>
  <c r="C425" i="1"/>
  <c r="K425" i="1" s="1"/>
  <c r="G424" i="1"/>
  <c r="H424" i="1" s="1"/>
  <c r="E424" i="1"/>
  <c r="D424" i="1"/>
  <c r="C424" i="1"/>
  <c r="K424" i="1" s="1"/>
  <c r="G423" i="1"/>
  <c r="H423" i="1" s="1"/>
  <c r="E423" i="1"/>
  <c r="D423" i="1"/>
  <c r="C423" i="1"/>
  <c r="K423" i="1" s="1"/>
  <c r="G422" i="1"/>
  <c r="H422" i="1" s="1"/>
  <c r="E422" i="1"/>
  <c r="D422" i="1"/>
  <c r="C422" i="1"/>
  <c r="K422" i="1" s="1"/>
  <c r="G421" i="1"/>
  <c r="H421" i="1" s="1"/>
  <c r="E421" i="1"/>
  <c r="D421" i="1"/>
  <c r="C421" i="1"/>
  <c r="K421" i="1" s="1"/>
  <c r="G420" i="1"/>
  <c r="H420" i="1" s="1"/>
  <c r="E420" i="1"/>
  <c r="D420" i="1"/>
  <c r="C420" i="1"/>
  <c r="K420" i="1" s="1"/>
  <c r="G419" i="1"/>
  <c r="H419" i="1" s="1"/>
  <c r="E419" i="1"/>
  <c r="D419" i="1"/>
  <c r="C419" i="1"/>
  <c r="K419" i="1" s="1"/>
  <c r="G418" i="1"/>
  <c r="H418" i="1" s="1"/>
  <c r="E418" i="1"/>
  <c r="D418" i="1"/>
  <c r="C418" i="1"/>
  <c r="K418" i="1" s="1"/>
  <c r="G417" i="1"/>
  <c r="H417" i="1" s="1"/>
  <c r="E417" i="1"/>
  <c r="D417" i="1"/>
  <c r="C417" i="1"/>
  <c r="K417" i="1" s="1"/>
  <c r="G416" i="1"/>
  <c r="H416" i="1" s="1"/>
  <c r="E416" i="1"/>
  <c r="D416" i="1"/>
  <c r="C416" i="1"/>
  <c r="K416" i="1" s="1"/>
  <c r="G415" i="1"/>
  <c r="H415" i="1" s="1"/>
  <c r="E415" i="1"/>
  <c r="D415" i="1"/>
  <c r="C415" i="1"/>
  <c r="K415" i="1" s="1"/>
  <c r="G414" i="1"/>
  <c r="H414" i="1" s="1"/>
  <c r="E414" i="1"/>
  <c r="D414" i="1"/>
  <c r="C414" i="1"/>
  <c r="K414" i="1" s="1"/>
  <c r="G413" i="1"/>
  <c r="H413" i="1" s="1"/>
  <c r="E413" i="1"/>
  <c r="D413" i="1"/>
  <c r="C413" i="1"/>
  <c r="K413" i="1" s="1"/>
  <c r="G412" i="1"/>
  <c r="H412" i="1" s="1"/>
  <c r="E412" i="1"/>
  <c r="D412" i="1"/>
  <c r="C412" i="1"/>
  <c r="K412" i="1" s="1"/>
  <c r="G411" i="1"/>
  <c r="H411" i="1" s="1"/>
  <c r="E411" i="1"/>
  <c r="D411" i="1"/>
  <c r="C411" i="1"/>
  <c r="K411" i="1" s="1"/>
  <c r="G410" i="1"/>
  <c r="H410" i="1" s="1"/>
  <c r="E410" i="1"/>
  <c r="D410" i="1"/>
  <c r="C410" i="1"/>
  <c r="K410" i="1" s="1"/>
  <c r="G409" i="1"/>
  <c r="H409" i="1" s="1"/>
  <c r="E409" i="1"/>
  <c r="D409" i="1"/>
  <c r="C409" i="1"/>
  <c r="K409" i="1" s="1"/>
  <c r="G408" i="1"/>
  <c r="H408" i="1" s="1"/>
  <c r="E408" i="1"/>
  <c r="D408" i="1"/>
  <c r="C408" i="1"/>
  <c r="K408" i="1" s="1"/>
  <c r="G407" i="1"/>
  <c r="H407" i="1" s="1"/>
  <c r="E407" i="1"/>
  <c r="D407" i="1"/>
  <c r="C407" i="1"/>
  <c r="K407" i="1" s="1"/>
  <c r="G406" i="1"/>
  <c r="H406" i="1" s="1"/>
  <c r="E406" i="1"/>
  <c r="D406" i="1"/>
  <c r="C406" i="1"/>
  <c r="K406" i="1" s="1"/>
  <c r="G405" i="1"/>
  <c r="H405" i="1" s="1"/>
  <c r="E405" i="1"/>
  <c r="D405" i="1"/>
  <c r="C405" i="1"/>
  <c r="K405" i="1" s="1"/>
  <c r="G404" i="1"/>
  <c r="H404" i="1" s="1"/>
  <c r="E404" i="1"/>
  <c r="D404" i="1"/>
  <c r="C404" i="1"/>
  <c r="K404" i="1" s="1"/>
  <c r="G403" i="1"/>
  <c r="H403" i="1" s="1"/>
  <c r="E403" i="1"/>
  <c r="D403" i="1"/>
  <c r="C403" i="1"/>
  <c r="K403" i="1" s="1"/>
  <c r="G402" i="1"/>
  <c r="H402" i="1" s="1"/>
  <c r="E402" i="1"/>
  <c r="D402" i="1"/>
  <c r="C402" i="1"/>
  <c r="K402" i="1" s="1"/>
  <c r="G401" i="1"/>
  <c r="H401" i="1" s="1"/>
  <c r="E401" i="1"/>
  <c r="D401" i="1"/>
  <c r="C401" i="1"/>
  <c r="K401" i="1" s="1"/>
  <c r="G400" i="1"/>
  <c r="H400" i="1" s="1"/>
  <c r="E400" i="1"/>
  <c r="D400" i="1"/>
  <c r="C400" i="1"/>
  <c r="K400" i="1" s="1"/>
  <c r="G399" i="1"/>
  <c r="H399" i="1" s="1"/>
  <c r="E399" i="1"/>
  <c r="D399" i="1"/>
  <c r="C399" i="1"/>
  <c r="K399" i="1" s="1"/>
  <c r="G398" i="1"/>
  <c r="H398" i="1" s="1"/>
  <c r="E398" i="1"/>
  <c r="D398" i="1"/>
  <c r="C398" i="1"/>
  <c r="K398" i="1" s="1"/>
  <c r="G397" i="1"/>
  <c r="H397" i="1" s="1"/>
  <c r="E397" i="1"/>
  <c r="D397" i="1"/>
  <c r="C397" i="1"/>
  <c r="K397" i="1" s="1"/>
  <c r="G396" i="1"/>
  <c r="H396" i="1" s="1"/>
  <c r="E396" i="1"/>
  <c r="D396" i="1"/>
  <c r="C396" i="1"/>
  <c r="K396" i="1" s="1"/>
  <c r="G395" i="1"/>
  <c r="H395" i="1" s="1"/>
  <c r="E395" i="1"/>
  <c r="D395" i="1"/>
  <c r="C395" i="1"/>
  <c r="K395" i="1" s="1"/>
  <c r="G394" i="1"/>
  <c r="H394" i="1" s="1"/>
  <c r="E394" i="1"/>
  <c r="D394" i="1"/>
  <c r="C394" i="1"/>
  <c r="K394" i="1" s="1"/>
  <c r="G393" i="1"/>
  <c r="H393" i="1" s="1"/>
  <c r="E393" i="1"/>
  <c r="D393" i="1"/>
  <c r="C393" i="1"/>
  <c r="K393" i="1" s="1"/>
  <c r="G392" i="1"/>
  <c r="H392" i="1" s="1"/>
  <c r="E392" i="1"/>
  <c r="D392" i="1"/>
  <c r="C392" i="1"/>
  <c r="K392" i="1" s="1"/>
  <c r="G391" i="1"/>
  <c r="H391" i="1" s="1"/>
  <c r="E391" i="1"/>
  <c r="D391" i="1"/>
  <c r="C391" i="1"/>
  <c r="K391" i="1" s="1"/>
  <c r="G390" i="1"/>
  <c r="H390" i="1" s="1"/>
  <c r="E390" i="1"/>
  <c r="D390" i="1"/>
  <c r="C390" i="1"/>
  <c r="K390" i="1" s="1"/>
  <c r="G389" i="1"/>
  <c r="H389" i="1" s="1"/>
  <c r="E389" i="1"/>
  <c r="D389" i="1"/>
  <c r="C389" i="1"/>
  <c r="K389" i="1" s="1"/>
  <c r="G388" i="1"/>
  <c r="H388" i="1" s="1"/>
  <c r="E388" i="1"/>
  <c r="D388" i="1"/>
  <c r="C388" i="1"/>
  <c r="K388" i="1" s="1"/>
  <c r="G387" i="1"/>
  <c r="H387" i="1" s="1"/>
  <c r="E387" i="1"/>
  <c r="D387" i="1"/>
  <c r="C387" i="1"/>
  <c r="K387" i="1" s="1"/>
  <c r="G386" i="1"/>
  <c r="H386" i="1" s="1"/>
  <c r="E386" i="1"/>
  <c r="D386" i="1"/>
  <c r="C386" i="1"/>
  <c r="K386" i="1" s="1"/>
  <c r="G385" i="1"/>
  <c r="H385" i="1" s="1"/>
  <c r="E385" i="1"/>
  <c r="D385" i="1"/>
  <c r="C385" i="1"/>
  <c r="K385" i="1" s="1"/>
  <c r="G384" i="1"/>
  <c r="H384" i="1" s="1"/>
  <c r="E384" i="1"/>
  <c r="D384" i="1"/>
  <c r="C384" i="1"/>
  <c r="K384" i="1" s="1"/>
  <c r="G383" i="1"/>
  <c r="H383" i="1" s="1"/>
  <c r="E383" i="1"/>
  <c r="D383" i="1"/>
  <c r="C383" i="1"/>
  <c r="K383" i="1" s="1"/>
  <c r="G382" i="1"/>
  <c r="H382" i="1" s="1"/>
  <c r="E382" i="1"/>
  <c r="D382" i="1"/>
  <c r="C382" i="1"/>
  <c r="K382" i="1" s="1"/>
  <c r="G381" i="1"/>
  <c r="H381" i="1" s="1"/>
  <c r="E381" i="1"/>
  <c r="D381" i="1"/>
  <c r="C381" i="1"/>
  <c r="K381" i="1" s="1"/>
  <c r="G380" i="1"/>
  <c r="H380" i="1" s="1"/>
  <c r="E380" i="1"/>
  <c r="D380" i="1"/>
  <c r="C380" i="1"/>
  <c r="K380" i="1" s="1"/>
  <c r="G379" i="1"/>
  <c r="H379" i="1" s="1"/>
  <c r="E379" i="1"/>
  <c r="D379" i="1"/>
  <c r="C379" i="1"/>
  <c r="K379" i="1" s="1"/>
  <c r="G378" i="1"/>
  <c r="H378" i="1" s="1"/>
  <c r="E378" i="1"/>
  <c r="D378" i="1"/>
  <c r="C378" i="1"/>
  <c r="K378" i="1" s="1"/>
  <c r="G377" i="1"/>
  <c r="H377" i="1" s="1"/>
  <c r="E377" i="1"/>
  <c r="D377" i="1"/>
  <c r="C377" i="1"/>
  <c r="K377" i="1" s="1"/>
  <c r="G376" i="1"/>
  <c r="H376" i="1" s="1"/>
  <c r="E376" i="1"/>
  <c r="D376" i="1"/>
  <c r="C376" i="1"/>
  <c r="K376" i="1" s="1"/>
  <c r="G375" i="1"/>
  <c r="H375" i="1" s="1"/>
  <c r="E375" i="1"/>
  <c r="D375" i="1"/>
  <c r="C375" i="1"/>
  <c r="K375" i="1" s="1"/>
  <c r="G374" i="1"/>
  <c r="H374" i="1" s="1"/>
  <c r="E374" i="1"/>
  <c r="D374" i="1"/>
  <c r="C374" i="1"/>
  <c r="K374" i="1" s="1"/>
  <c r="G373" i="1"/>
  <c r="H373" i="1" s="1"/>
  <c r="E373" i="1"/>
  <c r="D373" i="1"/>
  <c r="C373" i="1"/>
  <c r="K373" i="1" s="1"/>
  <c r="G372" i="1"/>
  <c r="H372" i="1" s="1"/>
  <c r="E372" i="1"/>
  <c r="D372" i="1"/>
  <c r="C372" i="1"/>
  <c r="K372" i="1" s="1"/>
  <c r="G371" i="1"/>
  <c r="H371" i="1" s="1"/>
  <c r="E371" i="1"/>
  <c r="D371" i="1"/>
  <c r="C371" i="1"/>
  <c r="K371" i="1" s="1"/>
  <c r="G370" i="1"/>
  <c r="H370" i="1" s="1"/>
  <c r="E370" i="1"/>
  <c r="D370" i="1"/>
  <c r="C370" i="1"/>
  <c r="K370" i="1" s="1"/>
  <c r="G369" i="1"/>
  <c r="H369" i="1" s="1"/>
  <c r="E369" i="1"/>
  <c r="D369" i="1"/>
  <c r="C369" i="1"/>
  <c r="K369" i="1" s="1"/>
  <c r="G368" i="1"/>
  <c r="H368" i="1" s="1"/>
  <c r="E368" i="1"/>
  <c r="D368" i="1"/>
  <c r="C368" i="1"/>
  <c r="K368" i="1" s="1"/>
  <c r="G367" i="1"/>
  <c r="H367" i="1" s="1"/>
  <c r="E367" i="1"/>
  <c r="D367" i="1"/>
  <c r="C367" i="1"/>
  <c r="K367" i="1" s="1"/>
  <c r="G366" i="1"/>
  <c r="H366" i="1" s="1"/>
  <c r="E366" i="1"/>
  <c r="D366" i="1"/>
  <c r="C366" i="1"/>
  <c r="K366" i="1" s="1"/>
  <c r="G365" i="1"/>
  <c r="H365" i="1" s="1"/>
  <c r="E365" i="1"/>
  <c r="D365" i="1"/>
  <c r="C365" i="1"/>
  <c r="K365" i="1" s="1"/>
  <c r="G364" i="1"/>
  <c r="H364" i="1" s="1"/>
  <c r="E364" i="1"/>
  <c r="D364" i="1"/>
  <c r="C364" i="1"/>
  <c r="K364" i="1" s="1"/>
  <c r="G363" i="1"/>
  <c r="H363" i="1" s="1"/>
  <c r="E363" i="1"/>
  <c r="D363" i="1"/>
  <c r="C363" i="1"/>
  <c r="K363" i="1" s="1"/>
  <c r="G362" i="1"/>
  <c r="H362" i="1" s="1"/>
  <c r="E362" i="1"/>
  <c r="D362" i="1"/>
  <c r="C362" i="1"/>
  <c r="K362" i="1" s="1"/>
  <c r="G361" i="1"/>
  <c r="H361" i="1" s="1"/>
  <c r="E361" i="1"/>
  <c r="D361" i="1"/>
  <c r="C361" i="1"/>
  <c r="K361" i="1" s="1"/>
  <c r="G360" i="1"/>
  <c r="H360" i="1" s="1"/>
  <c r="E360" i="1"/>
  <c r="D360" i="1"/>
  <c r="C360" i="1"/>
  <c r="K360" i="1" s="1"/>
  <c r="G359" i="1"/>
  <c r="H359" i="1" s="1"/>
  <c r="E359" i="1"/>
  <c r="D359" i="1"/>
  <c r="C359" i="1"/>
  <c r="K359" i="1" s="1"/>
  <c r="G358" i="1"/>
  <c r="H358" i="1" s="1"/>
  <c r="E358" i="1"/>
  <c r="D358" i="1"/>
  <c r="C358" i="1"/>
  <c r="K358" i="1" s="1"/>
  <c r="G357" i="1"/>
  <c r="H357" i="1" s="1"/>
  <c r="E357" i="1"/>
  <c r="D357" i="1"/>
  <c r="C357" i="1"/>
  <c r="K357" i="1" s="1"/>
  <c r="G356" i="1"/>
  <c r="H356" i="1" s="1"/>
  <c r="E356" i="1"/>
  <c r="D356" i="1"/>
  <c r="C356" i="1"/>
  <c r="K356" i="1" s="1"/>
  <c r="G355" i="1"/>
  <c r="H355" i="1" s="1"/>
  <c r="E355" i="1"/>
  <c r="D355" i="1"/>
  <c r="C355" i="1"/>
  <c r="K355" i="1" s="1"/>
  <c r="G354" i="1"/>
  <c r="H354" i="1" s="1"/>
  <c r="E354" i="1"/>
  <c r="D354" i="1"/>
  <c r="C354" i="1"/>
  <c r="K354" i="1" s="1"/>
  <c r="G353" i="1"/>
  <c r="H353" i="1" s="1"/>
  <c r="E353" i="1"/>
  <c r="D353" i="1"/>
  <c r="C353" i="1"/>
  <c r="K353" i="1" s="1"/>
  <c r="G352" i="1"/>
  <c r="H352" i="1" s="1"/>
  <c r="E352" i="1"/>
  <c r="D352" i="1"/>
  <c r="C352" i="1"/>
  <c r="K352" i="1" s="1"/>
  <c r="G351" i="1"/>
  <c r="H351" i="1" s="1"/>
  <c r="E351" i="1"/>
  <c r="D351" i="1"/>
  <c r="C351" i="1"/>
  <c r="K351" i="1" s="1"/>
  <c r="G350" i="1"/>
  <c r="H350" i="1" s="1"/>
  <c r="E350" i="1"/>
  <c r="D350" i="1"/>
  <c r="C350" i="1"/>
  <c r="K350" i="1" s="1"/>
  <c r="G349" i="1"/>
  <c r="H349" i="1" s="1"/>
  <c r="E349" i="1"/>
  <c r="D349" i="1"/>
  <c r="C349" i="1"/>
  <c r="K349" i="1" s="1"/>
  <c r="G348" i="1"/>
  <c r="H348" i="1" s="1"/>
  <c r="E348" i="1"/>
  <c r="D348" i="1"/>
  <c r="C348" i="1"/>
  <c r="K348" i="1" s="1"/>
  <c r="G347" i="1"/>
  <c r="H347" i="1" s="1"/>
  <c r="E347" i="1"/>
  <c r="D347" i="1"/>
  <c r="C347" i="1"/>
  <c r="K347" i="1" s="1"/>
  <c r="G346" i="1"/>
  <c r="H346" i="1" s="1"/>
  <c r="E346" i="1"/>
  <c r="D346" i="1"/>
  <c r="C346" i="1"/>
  <c r="K346" i="1" s="1"/>
  <c r="G345" i="1"/>
  <c r="H345" i="1" s="1"/>
  <c r="E345" i="1"/>
  <c r="D345" i="1"/>
  <c r="C345" i="1"/>
  <c r="K345" i="1" s="1"/>
  <c r="G344" i="1"/>
  <c r="H344" i="1" s="1"/>
  <c r="E344" i="1"/>
  <c r="D344" i="1"/>
  <c r="C344" i="1"/>
  <c r="K344" i="1" s="1"/>
  <c r="G343" i="1"/>
  <c r="H343" i="1" s="1"/>
  <c r="E343" i="1"/>
  <c r="D343" i="1"/>
  <c r="C343" i="1"/>
  <c r="K343" i="1" s="1"/>
  <c r="G342" i="1"/>
  <c r="H342" i="1" s="1"/>
  <c r="E342" i="1"/>
  <c r="D342" i="1"/>
  <c r="C342" i="1"/>
  <c r="K342" i="1" s="1"/>
  <c r="G341" i="1"/>
  <c r="H341" i="1" s="1"/>
  <c r="E341" i="1"/>
  <c r="D341" i="1"/>
  <c r="C341" i="1"/>
  <c r="K341" i="1" s="1"/>
  <c r="G340" i="1"/>
  <c r="H340" i="1" s="1"/>
  <c r="E340" i="1"/>
  <c r="D340" i="1"/>
  <c r="C340" i="1"/>
  <c r="K340" i="1" s="1"/>
  <c r="G339" i="1"/>
  <c r="H339" i="1" s="1"/>
  <c r="E339" i="1"/>
  <c r="D339" i="1"/>
  <c r="C339" i="1"/>
  <c r="K339" i="1" s="1"/>
  <c r="G338" i="1"/>
  <c r="H338" i="1" s="1"/>
  <c r="E338" i="1"/>
  <c r="D338" i="1"/>
  <c r="C338" i="1"/>
  <c r="K338" i="1" s="1"/>
  <c r="G337" i="1"/>
  <c r="H337" i="1" s="1"/>
  <c r="E337" i="1"/>
  <c r="D337" i="1"/>
  <c r="C337" i="1"/>
  <c r="K337" i="1" s="1"/>
  <c r="G336" i="1"/>
  <c r="H336" i="1" s="1"/>
  <c r="E336" i="1"/>
  <c r="D336" i="1"/>
  <c r="C336" i="1"/>
  <c r="K336" i="1" s="1"/>
  <c r="G335" i="1"/>
  <c r="H335" i="1" s="1"/>
  <c r="E335" i="1"/>
  <c r="D335" i="1"/>
  <c r="C335" i="1"/>
  <c r="K335" i="1" s="1"/>
  <c r="G334" i="1"/>
  <c r="H334" i="1" s="1"/>
  <c r="E334" i="1"/>
  <c r="D334" i="1"/>
  <c r="C334" i="1"/>
  <c r="K334" i="1" s="1"/>
  <c r="G333" i="1"/>
  <c r="H333" i="1" s="1"/>
  <c r="E333" i="1"/>
  <c r="D333" i="1"/>
  <c r="C333" i="1"/>
  <c r="K333" i="1" s="1"/>
  <c r="G332" i="1"/>
  <c r="H332" i="1" s="1"/>
  <c r="E332" i="1"/>
  <c r="D332" i="1"/>
  <c r="C332" i="1"/>
  <c r="K332" i="1" s="1"/>
  <c r="G331" i="1"/>
  <c r="H331" i="1" s="1"/>
  <c r="E331" i="1"/>
  <c r="D331" i="1"/>
  <c r="C331" i="1"/>
  <c r="K331" i="1" s="1"/>
  <c r="G330" i="1"/>
  <c r="H330" i="1" s="1"/>
  <c r="E330" i="1"/>
  <c r="D330" i="1"/>
  <c r="C330" i="1"/>
  <c r="K330" i="1" s="1"/>
  <c r="G329" i="1"/>
  <c r="H329" i="1" s="1"/>
  <c r="E329" i="1"/>
  <c r="D329" i="1"/>
  <c r="C329" i="1"/>
  <c r="K329" i="1" s="1"/>
  <c r="G328" i="1"/>
  <c r="H328" i="1" s="1"/>
  <c r="E328" i="1"/>
  <c r="D328" i="1"/>
  <c r="C328" i="1"/>
  <c r="K328" i="1" s="1"/>
  <c r="G327" i="1"/>
  <c r="H327" i="1" s="1"/>
  <c r="E327" i="1"/>
  <c r="D327" i="1"/>
  <c r="C327" i="1"/>
  <c r="K327" i="1" s="1"/>
  <c r="G326" i="1"/>
  <c r="H326" i="1" s="1"/>
  <c r="E326" i="1"/>
  <c r="D326" i="1"/>
  <c r="C326" i="1"/>
  <c r="K326" i="1" s="1"/>
  <c r="G325" i="1"/>
  <c r="H325" i="1" s="1"/>
  <c r="E325" i="1"/>
  <c r="D325" i="1"/>
  <c r="C325" i="1"/>
  <c r="K325" i="1" s="1"/>
  <c r="G324" i="1"/>
  <c r="H324" i="1" s="1"/>
  <c r="E324" i="1"/>
  <c r="D324" i="1"/>
  <c r="C324" i="1"/>
  <c r="K324" i="1" s="1"/>
  <c r="G323" i="1"/>
  <c r="H323" i="1" s="1"/>
  <c r="E323" i="1"/>
  <c r="D323" i="1"/>
  <c r="C323" i="1"/>
  <c r="K323" i="1" s="1"/>
  <c r="G322" i="1"/>
  <c r="H322" i="1" s="1"/>
  <c r="E322" i="1"/>
  <c r="D322" i="1"/>
  <c r="C322" i="1"/>
  <c r="K322" i="1" s="1"/>
  <c r="G321" i="1"/>
  <c r="H321" i="1" s="1"/>
  <c r="E321" i="1"/>
  <c r="D321" i="1"/>
  <c r="C321" i="1"/>
  <c r="K321" i="1" s="1"/>
  <c r="G320" i="1"/>
  <c r="H320" i="1" s="1"/>
  <c r="E320" i="1"/>
  <c r="D320" i="1"/>
  <c r="C320" i="1"/>
  <c r="K320" i="1" s="1"/>
  <c r="G319" i="1"/>
  <c r="H319" i="1" s="1"/>
  <c r="E319" i="1"/>
  <c r="D319" i="1"/>
  <c r="C319" i="1"/>
  <c r="K319" i="1" s="1"/>
  <c r="G318" i="1"/>
  <c r="H318" i="1" s="1"/>
  <c r="E318" i="1"/>
  <c r="D318" i="1"/>
  <c r="C318" i="1"/>
  <c r="K318" i="1" s="1"/>
  <c r="G317" i="1"/>
  <c r="H317" i="1" s="1"/>
  <c r="E317" i="1"/>
  <c r="D317" i="1"/>
  <c r="C317" i="1"/>
  <c r="K317" i="1" s="1"/>
  <c r="G316" i="1"/>
  <c r="H316" i="1" s="1"/>
  <c r="E316" i="1"/>
  <c r="D316" i="1"/>
  <c r="C316" i="1"/>
  <c r="K316" i="1" s="1"/>
  <c r="G315" i="1"/>
  <c r="H315" i="1" s="1"/>
  <c r="E315" i="1"/>
  <c r="D315" i="1"/>
  <c r="C315" i="1"/>
  <c r="K315" i="1" s="1"/>
  <c r="G314" i="1"/>
  <c r="H314" i="1" s="1"/>
  <c r="E314" i="1"/>
  <c r="D314" i="1"/>
  <c r="C314" i="1"/>
  <c r="K314" i="1" s="1"/>
  <c r="G313" i="1"/>
  <c r="H313" i="1" s="1"/>
  <c r="E313" i="1"/>
  <c r="D313" i="1"/>
  <c r="C313" i="1"/>
  <c r="K313" i="1" s="1"/>
  <c r="G312" i="1"/>
  <c r="H312" i="1" s="1"/>
  <c r="E312" i="1"/>
  <c r="D312" i="1"/>
  <c r="C312" i="1"/>
  <c r="K312" i="1" s="1"/>
  <c r="G311" i="1"/>
  <c r="H311" i="1" s="1"/>
  <c r="E311" i="1"/>
  <c r="D311" i="1"/>
  <c r="C311" i="1"/>
  <c r="K311" i="1" s="1"/>
  <c r="G310" i="1"/>
  <c r="H310" i="1" s="1"/>
  <c r="E310" i="1"/>
  <c r="D310" i="1"/>
  <c r="C310" i="1"/>
  <c r="K310" i="1" s="1"/>
  <c r="G309" i="1"/>
  <c r="H309" i="1" s="1"/>
  <c r="E309" i="1"/>
  <c r="D309" i="1"/>
  <c r="C309" i="1"/>
  <c r="K309" i="1" s="1"/>
  <c r="G308" i="1"/>
  <c r="H308" i="1" s="1"/>
  <c r="E308" i="1"/>
  <c r="D308" i="1"/>
  <c r="C308" i="1"/>
  <c r="K308" i="1" s="1"/>
  <c r="G307" i="1"/>
  <c r="H307" i="1" s="1"/>
  <c r="E307" i="1"/>
  <c r="D307" i="1"/>
  <c r="C307" i="1"/>
  <c r="K307" i="1" s="1"/>
  <c r="G306" i="1"/>
  <c r="H306" i="1" s="1"/>
  <c r="E306" i="1"/>
  <c r="D306" i="1"/>
  <c r="C306" i="1"/>
  <c r="K306" i="1" s="1"/>
  <c r="G305" i="1"/>
  <c r="H305" i="1" s="1"/>
  <c r="E305" i="1"/>
  <c r="D305" i="1"/>
  <c r="C305" i="1"/>
  <c r="K305" i="1" s="1"/>
  <c r="G304" i="1"/>
  <c r="H304" i="1" s="1"/>
  <c r="E304" i="1"/>
  <c r="D304" i="1"/>
  <c r="C304" i="1"/>
  <c r="K304" i="1" s="1"/>
  <c r="G303" i="1"/>
  <c r="H303" i="1" s="1"/>
  <c r="E303" i="1"/>
  <c r="D303" i="1"/>
  <c r="C303" i="1"/>
  <c r="K303" i="1" s="1"/>
  <c r="G302" i="1"/>
  <c r="H302" i="1" s="1"/>
  <c r="E302" i="1"/>
  <c r="D302" i="1"/>
  <c r="C302" i="1"/>
  <c r="K302" i="1" s="1"/>
  <c r="G301" i="1"/>
  <c r="H301" i="1" s="1"/>
  <c r="E301" i="1"/>
  <c r="D301" i="1"/>
  <c r="C301" i="1"/>
  <c r="K301" i="1" s="1"/>
  <c r="G300" i="1"/>
  <c r="H300" i="1" s="1"/>
  <c r="E300" i="1"/>
  <c r="D300" i="1"/>
  <c r="C300" i="1"/>
  <c r="K300" i="1" s="1"/>
  <c r="G299" i="1"/>
  <c r="H299" i="1" s="1"/>
  <c r="E299" i="1"/>
  <c r="D299" i="1"/>
  <c r="C299" i="1"/>
  <c r="K299" i="1" s="1"/>
  <c r="G298" i="1"/>
  <c r="H298" i="1" s="1"/>
  <c r="E298" i="1"/>
  <c r="D298" i="1"/>
  <c r="C298" i="1"/>
  <c r="K298" i="1" s="1"/>
  <c r="G297" i="1"/>
  <c r="H297" i="1" s="1"/>
  <c r="E297" i="1"/>
  <c r="D297" i="1"/>
  <c r="C297" i="1"/>
  <c r="K297" i="1" s="1"/>
  <c r="G296" i="1"/>
  <c r="H296" i="1" s="1"/>
  <c r="E296" i="1"/>
  <c r="D296" i="1"/>
  <c r="C296" i="1"/>
  <c r="K296" i="1" s="1"/>
  <c r="G295" i="1"/>
  <c r="H295" i="1" s="1"/>
  <c r="E295" i="1"/>
  <c r="D295" i="1"/>
  <c r="C295" i="1"/>
  <c r="K295" i="1" s="1"/>
  <c r="G294" i="1"/>
  <c r="H294" i="1" s="1"/>
  <c r="E294" i="1"/>
  <c r="D294" i="1"/>
  <c r="C294" i="1"/>
  <c r="K294" i="1" s="1"/>
  <c r="G293" i="1"/>
  <c r="H293" i="1" s="1"/>
  <c r="E293" i="1"/>
  <c r="D293" i="1"/>
  <c r="C293" i="1"/>
  <c r="K293" i="1" s="1"/>
  <c r="G292" i="1"/>
  <c r="H292" i="1" s="1"/>
  <c r="E292" i="1"/>
  <c r="D292" i="1"/>
  <c r="C292" i="1"/>
  <c r="K292" i="1" s="1"/>
  <c r="G291" i="1"/>
  <c r="H291" i="1" s="1"/>
  <c r="E291" i="1"/>
  <c r="D291" i="1"/>
  <c r="C291" i="1"/>
  <c r="K291" i="1" s="1"/>
  <c r="G290" i="1"/>
  <c r="H290" i="1" s="1"/>
  <c r="E290" i="1"/>
  <c r="D290" i="1"/>
  <c r="C290" i="1"/>
  <c r="K290" i="1" s="1"/>
  <c r="G289" i="1"/>
  <c r="H289" i="1" s="1"/>
  <c r="E289" i="1"/>
  <c r="D289" i="1"/>
  <c r="C289" i="1"/>
  <c r="K289" i="1" s="1"/>
  <c r="G288" i="1"/>
  <c r="H288" i="1" s="1"/>
  <c r="E288" i="1"/>
  <c r="D288" i="1"/>
  <c r="C288" i="1"/>
  <c r="K288" i="1" s="1"/>
  <c r="G287" i="1"/>
  <c r="H287" i="1" s="1"/>
  <c r="E287" i="1"/>
  <c r="D287" i="1"/>
  <c r="C287" i="1"/>
  <c r="K287" i="1" s="1"/>
  <c r="G286" i="1"/>
  <c r="H286" i="1" s="1"/>
  <c r="E286" i="1"/>
  <c r="D286" i="1"/>
  <c r="C286" i="1"/>
  <c r="K286" i="1" s="1"/>
  <c r="G285" i="1"/>
  <c r="H285" i="1" s="1"/>
  <c r="E285" i="1"/>
  <c r="D285" i="1"/>
  <c r="C285" i="1"/>
  <c r="K285" i="1" s="1"/>
  <c r="G284" i="1"/>
  <c r="H284" i="1" s="1"/>
  <c r="E284" i="1"/>
  <c r="D284" i="1"/>
  <c r="C284" i="1"/>
  <c r="K284" i="1" s="1"/>
  <c r="G283" i="1"/>
  <c r="H283" i="1" s="1"/>
  <c r="E283" i="1"/>
  <c r="D283" i="1"/>
  <c r="C283" i="1"/>
  <c r="K283" i="1" s="1"/>
  <c r="G282" i="1"/>
  <c r="H282" i="1" s="1"/>
  <c r="E282" i="1"/>
  <c r="D282" i="1"/>
  <c r="C282" i="1"/>
  <c r="K282" i="1" s="1"/>
  <c r="G281" i="1"/>
  <c r="H281" i="1" s="1"/>
  <c r="E281" i="1"/>
  <c r="D281" i="1"/>
  <c r="C281" i="1"/>
  <c r="K281" i="1" s="1"/>
  <c r="G280" i="1"/>
  <c r="H280" i="1" s="1"/>
  <c r="E280" i="1"/>
  <c r="D280" i="1"/>
  <c r="C280" i="1"/>
  <c r="K280" i="1" s="1"/>
  <c r="G279" i="1"/>
  <c r="H279" i="1" s="1"/>
  <c r="E279" i="1"/>
  <c r="D279" i="1"/>
  <c r="C279" i="1"/>
  <c r="K279" i="1" s="1"/>
  <c r="G278" i="1"/>
  <c r="H278" i="1" s="1"/>
  <c r="E278" i="1"/>
  <c r="D278" i="1"/>
  <c r="C278" i="1"/>
  <c r="K278" i="1" s="1"/>
  <c r="G277" i="1"/>
  <c r="H277" i="1" s="1"/>
  <c r="E277" i="1"/>
  <c r="D277" i="1"/>
  <c r="C277" i="1"/>
  <c r="K277" i="1" s="1"/>
  <c r="G276" i="1"/>
  <c r="H276" i="1" s="1"/>
  <c r="E276" i="1"/>
  <c r="D276" i="1"/>
  <c r="C276" i="1"/>
  <c r="K276" i="1" s="1"/>
  <c r="G275" i="1"/>
  <c r="H275" i="1" s="1"/>
  <c r="E275" i="1"/>
  <c r="D275" i="1"/>
  <c r="C275" i="1"/>
  <c r="K275" i="1" s="1"/>
  <c r="G274" i="1"/>
  <c r="H274" i="1" s="1"/>
  <c r="E274" i="1"/>
  <c r="D274" i="1"/>
  <c r="C274" i="1"/>
  <c r="K274" i="1" s="1"/>
  <c r="G273" i="1"/>
  <c r="H273" i="1" s="1"/>
  <c r="E273" i="1"/>
  <c r="D273" i="1"/>
  <c r="C273" i="1"/>
  <c r="K273" i="1" s="1"/>
  <c r="G272" i="1"/>
  <c r="H272" i="1" s="1"/>
  <c r="E272" i="1"/>
  <c r="D272" i="1"/>
  <c r="C272" i="1"/>
  <c r="K272" i="1" s="1"/>
  <c r="G271" i="1"/>
  <c r="H271" i="1" s="1"/>
  <c r="E271" i="1"/>
  <c r="D271" i="1"/>
  <c r="C271" i="1"/>
  <c r="K271" i="1" s="1"/>
  <c r="G270" i="1"/>
  <c r="H270" i="1" s="1"/>
  <c r="E270" i="1"/>
  <c r="D270" i="1"/>
  <c r="C270" i="1"/>
  <c r="K270" i="1" s="1"/>
  <c r="G269" i="1"/>
  <c r="H269" i="1" s="1"/>
  <c r="E269" i="1"/>
  <c r="D269" i="1"/>
  <c r="C269" i="1"/>
  <c r="K269" i="1" s="1"/>
  <c r="G268" i="1"/>
  <c r="H268" i="1" s="1"/>
  <c r="E268" i="1"/>
  <c r="D268" i="1"/>
  <c r="C268" i="1"/>
  <c r="K268" i="1" s="1"/>
  <c r="G267" i="1"/>
  <c r="H267" i="1" s="1"/>
  <c r="E267" i="1"/>
  <c r="D267" i="1"/>
  <c r="C267" i="1"/>
  <c r="K267" i="1" s="1"/>
  <c r="G266" i="1"/>
  <c r="H266" i="1" s="1"/>
  <c r="E266" i="1"/>
  <c r="D266" i="1"/>
  <c r="C266" i="1"/>
  <c r="K266" i="1" s="1"/>
  <c r="G265" i="1"/>
  <c r="H265" i="1" s="1"/>
  <c r="E265" i="1"/>
  <c r="D265" i="1"/>
  <c r="C265" i="1"/>
  <c r="K265" i="1" s="1"/>
  <c r="G264" i="1"/>
  <c r="H264" i="1" s="1"/>
  <c r="E264" i="1"/>
  <c r="D264" i="1"/>
  <c r="C264" i="1"/>
  <c r="K264" i="1" s="1"/>
  <c r="G263" i="1"/>
  <c r="H263" i="1" s="1"/>
  <c r="E263" i="1"/>
  <c r="D263" i="1"/>
  <c r="C263" i="1"/>
  <c r="K263" i="1" s="1"/>
  <c r="G262" i="1"/>
  <c r="H262" i="1" s="1"/>
  <c r="E262" i="1"/>
  <c r="D262" i="1"/>
  <c r="C262" i="1"/>
  <c r="K262" i="1" s="1"/>
  <c r="G261" i="1"/>
  <c r="H261" i="1" s="1"/>
  <c r="E261" i="1"/>
  <c r="D261" i="1"/>
  <c r="C261" i="1"/>
  <c r="K261" i="1" s="1"/>
  <c r="G260" i="1"/>
  <c r="H260" i="1" s="1"/>
  <c r="E260" i="1"/>
  <c r="D260" i="1"/>
  <c r="C260" i="1"/>
  <c r="K260" i="1" s="1"/>
  <c r="G259" i="1"/>
  <c r="H259" i="1" s="1"/>
  <c r="E259" i="1"/>
  <c r="D259" i="1"/>
  <c r="C259" i="1"/>
  <c r="K259" i="1" s="1"/>
  <c r="G258" i="1"/>
  <c r="H258" i="1" s="1"/>
  <c r="E258" i="1"/>
  <c r="D258" i="1"/>
  <c r="C258" i="1"/>
  <c r="K258" i="1" s="1"/>
  <c r="G257" i="1"/>
  <c r="H257" i="1" s="1"/>
  <c r="E257" i="1"/>
  <c r="D257" i="1"/>
  <c r="C257" i="1"/>
  <c r="K257" i="1" s="1"/>
  <c r="G256" i="1"/>
  <c r="H256" i="1" s="1"/>
  <c r="E256" i="1"/>
  <c r="D256" i="1"/>
  <c r="C256" i="1"/>
  <c r="K256" i="1" s="1"/>
  <c r="G255" i="1"/>
  <c r="H255" i="1" s="1"/>
  <c r="E255" i="1"/>
  <c r="D255" i="1"/>
  <c r="C255" i="1"/>
  <c r="K255" i="1" s="1"/>
  <c r="G254" i="1"/>
  <c r="H254" i="1" s="1"/>
  <c r="E254" i="1"/>
  <c r="D254" i="1"/>
  <c r="C254" i="1"/>
  <c r="K254" i="1" s="1"/>
  <c r="G253" i="1"/>
  <c r="H253" i="1" s="1"/>
  <c r="E253" i="1"/>
  <c r="D253" i="1"/>
  <c r="C253" i="1"/>
  <c r="K253" i="1" s="1"/>
  <c r="G252" i="1"/>
  <c r="H252" i="1" s="1"/>
  <c r="E252" i="1"/>
  <c r="D252" i="1"/>
  <c r="C252" i="1"/>
  <c r="K252" i="1" s="1"/>
  <c r="G251" i="1"/>
  <c r="H251" i="1" s="1"/>
  <c r="E251" i="1"/>
  <c r="D251" i="1"/>
  <c r="C251" i="1"/>
  <c r="K251" i="1" s="1"/>
  <c r="G250" i="1"/>
  <c r="H250" i="1" s="1"/>
  <c r="E250" i="1"/>
  <c r="D250" i="1"/>
  <c r="C250" i="1"/>
  <c r="K250" i="1" s="1"/>
  <c r="G249" i="1"/>
  <c r="H249" i="1" s="1"/>
  <c r="E249" i="1"/>
  <c r="D249" i="1"/>
  <c r="C249" i="1"/>
  <c r="K249" i="1" s="1"/>
  <c r="G248" i="1"/>
  <c r="H248" i="1" s="1"/>
  <c r="E248" i="1"/>
  <c r="D248" i="1"/>
  <c r="C248" i="1"/>
  <c r="K248" i="1" s="1"/>
  <c r="G247" i="1"/>
  <c r="H247" i="1" s="1"/>
  <c r="E247" i="1"/>
  <c r="D247" i="1"/>
  <c r="C247" i="1"/>
  <c r="K247" i="1" s="1"/>
  <c r="G246" i="1"/>
  <c r="H246" i="1" s="1"/>
  <c r="E246" i="1"/>
  <c r="D246" i="1"/>
  <c r="C246" i="1"/>
  <c r="K246" i="1" s="1"/>
  <c r="G245" i="1"/>
  <c r="H245" i="1" s="1"/>
  <c r="E245" i="1"/>
  <c r="D245" i="1"/>
  <c r="C245" i="1"/>
  <c r="K245" i="1" s="1"/>
  <c r="G244" i="1"/>
  <c r="H244" i="1" s="1"/>
  <c r="E244" i="1"/>
  <c r="D244" i="1"/>
  <c r="C244" i="1"/>
  <c r="K244" i="1" s="1"/>
  <c r="G243" i="1"/>
  <c r="H243" i="1" s="1"/>
  <c r="E243" i="1"/>
  <c r="D243" i="1"/>
  <c r="C243" i="1"/>
  <c r="K243" i="1" s="1"/>
  <c r="G242" i="1"/>
  <c r="H242" i="1" s="1"/>
  <c r="E242" i="1"/>
  <c r="D242" i="1"/>
  <c r="C242" i="1"/>
  <c r="K242" i="1" s="1"/>
  <c r="G241" i="1"/>
  <c r="H241" i="1" s="1"/>
  <c r="E241" i="1"/>
  <c r="D241" i="1"/>
  <c r="C241" i="1"/>
  <c r="K241" i="1" s="1"/>
  <c r="G240" i="1"/>
  <c r="H240" i="1" s="1"/>
  <c r="E240" i="1"/>
  <c r="D240" i="1"/>
  <c r="C240" i="1"/>
  <c r="K240" i="1" s="1"/>
  <c r="G239" i="1"/>
  <c r="H239" i="1" s="1"/>
  <c r="E239" i="1"/>
  <c r="D239" i="1"/>
  <c r="C239" i="1"/>
  <c r="K239" i="1" s="1"/>
  <c r="G238" i="1"/>
  <c r="H238" i="1" s="1"/>
  <c r="E238" i="1"/>
  <c r="D238" i="1"/>
  <c r="C238" i="1"/>
  <c r="K238" i="1" s="1"/>
  <c r="G237" i="1"/>
  <c r="H237" i="1" s="1"/>
  <c r="E237" i="1"/>
  <c r="D237" i="1"/>
  <c r="C237" i="1"/>
  <c r="K237" i="1" s="1"/>
  <c r="G236" i="1"/>
  <c r="H236" i="1" s="1"/>
  <c r="E236" i="1"/>
  <c r="D236" i="1"/>
  <c r="C236" i="1"/>
  <c r="K236" i="1" s="1"/>
  <c r="G235" i="1"/>
  <c r="H235" i="1" s="1"/>
  <c r="E235" i="1"/>
  <c r="D235" i="1"/>
  <c r="C235" i="1"/>
  <c r="K235" i="1" s="1"/>
  <c r="G234" i="1"/>
  <c r="H234" i="1" s="1"/>
  <c r="E234" i="1"/>
  <c r="D234" i="1"/>
  <c r="C234" i="1"/>
  <c r="K234" i="1" s="1"/>
  <c r="G233" i="1"/>
  <c r="H233" i="1" s="1"/>
  <c r="E233" i="1"/>
  <c r="D233" i="1"/>
  <c r="C233" i="1"/>
  <c r="K233" i="1" s="1"/>
  <c r="G232" i="1"/>
  <c r="H232" i="1" s="1"/>
  <c r="E232" i="1"/>
  <c r="D232" i="1"/>
  <c r="C232" i="1"/>
  <c r="K232" i="1" s="1"/>
  <c r="G231" i="1"/>
  <c r="H231" i="1" s="1"/>
  <c r="E231" i="1"/>
  <c r="D231" i="1"/>
  <c r="C231" i="1"/>
  <c r="K231" i="1" s="1"/>
  <c r="G230" i="1"/>
  <c r="H230" i="1" s="1"/>
  <c r="E230" i="1"/>
  <c r="D230" i="1"/>
  <c r="C230" i="1"/>
  <c r="K230" i="1" s="1"/>
  <c r="G229" i="1"/>
  <c r="H229" i="1" s="1"/>
  <c r="E229" i="1"/>
  <c r="D229" i="1"/>
  <c r="C229" i="1"/>
  <c r="K229" i="1" s="1"/>
  <c r="G228" i="1"/>
  <c r="H228" i="1" s="1"/>
  <c r="E228" i="1"/>
  <c r="D228" i="1"/>
  <c r="C228" i="1"/>
  <c r="K228" i="1" s="1"/>
  <c r="G227" i="1"/>
  <c r="H227" i="1" s="1"/>
  <c r="E227" i="1"/>
  <c r="D227" i="1"/>
  <c r="C227" i="1"/>
  <c r="K227" i="1" s="1"/>
  <c r="G226" i="1"/>
  <c r="H226" i="1" s="1"/>
  <c r="E226" i="1"/>
  <c r="D226" i="1"/>
  <c r="C226" i="1"/>
  <c r="K226" i="1" s="1"/>
  <c r="G225" i="1"/>
  <c r="H225" i="1" s="1"/>
  <c r="E225" i="1"/>
  <c r="D225" i="1"/>
  <c r="C225" i="1"/>
  <c r="K225" i="1" s="1"/>
  <c r="G224" i="1"/>
  <c r="H224" i="1" s="1"/>
  <c r="E224" i="1"/>
  <c r="D224" i="1"/>
  <c r="C224" i="1"/>
  <c r="K224" i="1" s="1"/>
  <c r="G223" i="1"/>
  <c r="H223" i="1" s="1"/>
  <c r="E223" i="1"/>
  <c r="D223" i="1"/>
  <c r="C223" i="1"/>
  <c r="K223" i="1" s="1"/>
  <c r="G222" i="1"/>
  <c r="H222" i="1" s="1"/>
  <c r="E222" i="1"/>
  <c r="D222" i="1"/>
  <c r="C222" i="1"/>
  <c r="K222" i="1" s="1"/>
  <c r="G221" i="1"/>
  <c r="H221" i="1" s="1"/>
  <c r="E221" i="1"/>
  <c r="D221" i="1"/>
  <c r="C221" i="1"/>
  <c r="K221" i="1" s="1"/>
  <c r="G220" i="1"/>
  <c r="H220" i="1" s="1"/>
  <c r="E220" i="1"/>
  <c r="D220" i="1"/>
  <c r="C220" i="1"/>
  <c r="K220" i="1" s="1"/>
  <c r="G219" i="1"/>
  <c r="H219" i="1" s="1"/>
  <c r="E219" i="1"/>
  <c r="D219" i="1"/>
  <c r="C219" i="1"/>
  <c r="K219" i="1" s="1"/>
  <c r="G218" i="1"/>
  <c r="H218" i="1" s="1"/>
  <c r="E218" i="1"/>
  <c r="D218" i="1"/>
  <c r="C218" i="1"/>
  <c r="K218" i="1" s="1"/>
  <c r="G217" i="1"/>
  <c r="H217" i="1" s="1"/>
  <c r="E217" i="1"/>
  <c r="D217" i="1"/>
  <c r="C217" i="1"/>
  <c r="K217" i="1" s="1"/>
  <c r="G216" i="1"/>
  <c r="H216" i="1" s="1"/>
  <c r="E216" i="1"/>
  <c r="D216" i="1"/>
  <c r="C216" i="1"/>
  <c r="K216" i="1" s="1"/>
  <c r="G215" i="1"/>
  <c r="H215" i="1" s="1"/>
  <c r="E215" i="1"/>
  <c r="D215" i="1"/>
  <c r="C215" i="1"/>
  <c r="K215" i="1" s="1"/>
  <c r="G214" i="1"/>
  <c r="H214" i="1" s="1"/>
  <c r="E214" i="1"/>
  <c r="D214" i="1"/>
  <c r="C214" i="1"/>
  <c r="K214" i="1" s="1"/>
  <c r="G213" i="1"/>
  <c r="H213" i="1" s="1"/>
  <c r="E213" i="1"/>
  <c r="D213" i="1"/>
  <c r="C213" i="1"/>
  <c r="K213" i="1" s="1"/>
  <c r="G212" i="1"/>
  <c r="H212" i="1" s="1"/>
  <c r="E212" i="1"/>
  <c r="D212" i="1"/>
  <c r="C212" i="1"/>
  <c r="K212" i="1" s="1"/>
  <c r="G211" i="1"/>
  <c r="H211" i="1" s="1"/>
  <c r="E211" i="1"/>
  <c r="D211" i="1"/>
  <c r="C211" i="1"/>
  <c r="K211" i="1" s="1"/>
  <c r="G210" i="1"/>
  <c r="H210" i="1" s="1"/>
  <c r="E210" i="1"/>
  <c r="D210" i="1"/>
  <c r="C210" i="1"/>
  <c r="K210" i="1" s="1"/>
  <c r="G209" i="1"/>
  <c r="H209" i="1" s="1"/>
  <c r="E209" i="1"/>
  <c r="D209" i="1"/>
  <c r="C209" i="1"/>
  <c r="K209" i="1" s="1"/>
  <c r="G208" i="1"/>
  <c r="H208" i="1" s="1"/>
  <c r="E208" i="1"/>
  <c r="D208" i="1"/>
  <c r="C208" i="1"/>
  <c r="K208" i="1" s="1"/>
  <c r="G207" i="1"/>
  <c r="H207" i="1" s="1"/>
  <c r="E207" i="1"/>
  <c r="D207" i="1"/>
  <c r="C207" i="1"/>
  <c r="K207" i="1" s="1"/>
  <c r="G206" i="1"/>
  <c r="H206" i="1" s="1"/>
  <c r="E206" i="1"/>
  <c r="D206" i="1"/>
  <c r="C206" i="1"/>
  <c r="K206" i="1" s="1"/>
  <c r="G205" i="1"/>
  <c r="H205" i="1" s="1"/>
  <c r="E205" i="1"/>
  <c r="D205" i="1"/>
  <c r="C205" i="1"/>
  <c r="K205" i="1" s="1"/>
  <c r="G204" i="1"/>
  <c r="H204" i="1" s="1"/>
  <c r="E204" i="1"/>
  <c r="D204" i="1"/>
  <c r="C204" i="1"/>
  <c r="K204" i="1" s="1"/>
  <c r="G203" i="1"/>
  <c r="H203" i="1" s="1"/>
  <c r="E203" i="1"/>
  <c r="D203" i="1"/>
  <c r="C203" i="1"/>
  <c r="K203" i="1" s="1"/>
  <c r="G202" i="1"/>
  <c r="H202" i="1" s="1"/>
  <c r="E202" i="1"/>
  <c r="D202" i="1"/>
  <c r="C202" i="1"/>
  <c r="K202" i="1" s="1"/>
  <c r="G201" i="1"/>
  <c r="H201" i="1" s="1"/>
  <c r="E201" i="1"/>
  <c r="D201" i="1"/>
  <c r="C201" i="1"/>
  <c r="K201" i="1" s="1"/>
  <c r="G200" i="1"/>
  <c r="H200" i="1" s="1"/>
  <c r="E200" i="1"/>
  <c r="D200" i="1"/>
  <c r="C200" i="1"/>
  <c r="K200" i="1" s="1"/>
  <c r="G199" i="1"/>
  <c r="H199" i="1" s="1"/>
  <c r="E199" i="1"/>
  <c r="D199" i="1"/>
  <c r="C199" i="1"/>
  <c r="K199" i="1" s="1"/>
  <c r="G198" i="1"/>
  <c r="H198" i="1" s="1"/>
  <c r="E198" i="1"/>
  <c r="D198" i="1"/>
  <c r="C198" i="1"/>
  <c r="K198" i="1" s="1"/>
  <c r="G197" i="1"/>
  <c r="H197" i="1" s="1"/>
  <c r="E197" i="1"/>
  <c r="D197" i="1"/>
  <c r="C197" i="1"/>
  <c r="K197" i="1" s="1"/>
  <c r="G196" i="1"/>
  <c r="H196" i="1" s="1"/>
  <c r="E196" i="1"/>
  <c r="D196" i="1"/>
  <c r="C196" i="1"/>
  <c r="K196" i="1" s="1"/>
  <c r="G195" i="1"/>
  <c r="H195" i="1" s="1"/>
  <c r="E195" i="1"/>
  <c r="D195" i="1"/>
  <c r="C195" i="1"/>
  <c r="G194" i="1"/>
  <c r="H194" i="1" s="1"/>
  <c r="E194" i="1"/>
  <c r="D194" i="1"/>
  <c r="C194" i="1"/>
  <c r="K194" i="1" s="1"/>
  <c r="G193" i="1"/>
  <c r="H193" i="1" s="1"/>
  <c r="E193" i="1"/>
  <c r="D193" i="1"/>
  <c r="C193" i="1"/>
  <c r="K193" i="1" s="1"/>
  <c r="G192" i="1"/>
  <c r="H192" i="1" s="1"/>
  <c r="E192" i="1"/>
  <c r="D192" i="1"/>
  <c r="C192" i="1"/>
  <c r="K192" i="1" s="1"/>
  <c r="G191" i="1"/>
  <c r="H191" i="1" s="1"/>
  <c r="E191" i="1"/>
  <c r="D191" i="1"/>
  <c r="C191" i="1"/>
  <c r="K191" i="1" s="1"/>
  <c r="G190" i="1"/>
  <c r="H190" i="1" s="1"/>
  <c r="E190" i="1"/>
  <c r="D190" i="1"/>
  <c r="C190" i="1"/>
  <c r="K190" i="1" s="1"/>
  <c r="G189" i="1"/>
  <c r="H189" i="1" s="1"/>
  <c r="E189" i="1"/>
  <c r="D189" i="1"/>
  <c r="C189" i="1"/>
  <c r="K189" i="1" s="1"/>
  <c r="G188" i="1"/>
  <c r="H188" i="1" s="1"/>
  <c r="E188" i="1"/>
  <c r="D188" i="1"/>
  <c r="C188" i="1"/>
  <c r="K188" i="1" s="1"/>
  <c r="G187" i="1"/>
  <c r="H187" i="1" s="1"/>
  <c r="E187" i="1"/>
  <c r="D187" i="1"/>
  <c r="C187" i="1"/>
  <c r="K187" i="1" s="1"/>
  <c r="G186" i="1"/>
  <c r="H186" i="1" s="1"/>
  <c r="E186" i="1"/>
  <c r="D186" i="1"/>
  <c r="C186" i="1"/>
  <c r="K186" i="1" s="1"/>
  <c r="G185" i="1"/>
  <c r="H185" i="1" s="1"/>
  <c r="E185" i="1"/>
  <c r="D185" i="1"/>
  <c r="C185" i="1"/>
  <c r="K185" i="1" s="1"/>
  <c r="G184" i="1"/>
  <c r="H184" i="1" s="1"/>
  <c r="E184" i="1"/>
  <c r="D184" i="1"/>
  <c r="C184" i="1"/>
  <c r="K184" i="1" s="1"/>
  <c r="G183" i="1"/>
  <c r="H183" i="1" s="1"/>
  <c r="E183" i="1"/>
  <c r="D183" i="1"/>
  <c r="C183" i="1"/>
  <c r="K183" i="1" s="1"/>
  <c r="G182" i="1"/>
  <c r="H182" i="1" s="1"/>
  <c r="E182" i="1"/>
  <c r="D182" i="1"/>
  <c r="C182" i="1"/>
  <c r="K182" i="1" s="1"/>
  <c r="G181" i="1"/>
  <c r="H181" i="1" s="1"/>
  <c r="E181" i="1"/>
  <c r="D181" i="1"/>
  <c r="C181" i="1"/>
  <c r="K181" i="1" s="1"/>
  <c r="G180" i="1"/>
  <c r="H180" i="1" s="1"/>
  <c r="E180" i="1"/>
  <c r="D180" i="1"/>
  <c r="C180" i="1"/>
  <c r="K180" i="1" s="1"/>
  <c r="G179" i="1"/>
  <c r="H179" i="1" s="1"/>
  <c r="E179" i="1"/>
  <c r="D179" i="1"/>
  <c r="C179" i="1"/>
  <c r="K179" i="1" s="1"/>
  <c r="G178" i="1"/>
  <c r="H178" i="1" s="1"/>
  <c r="E178" i="1"/>
  <c r="D178" i="1"/>
  <c r="C178" i="1"/>
  <c r="K178" i="1" s="1"/>
  <c r="G177" i="1"/>
  <c r="H177" i="1" s="1"/>
  <c r="E177" i="1"/>
  <c r="D177" i="1"/>
  <c r="C177" i="1"/>
  <c r="K177" i="1" s="1"/>
  <c r="G176" i="1"/>
  <c r="H176" i="1" s="1"/>
  <c r="E176" i="1"/>
  <c r="D176" i="1"/>
  <c r="C176" i="1"/>
  <c r="K176" i="1" s="1"/>
  <c r="G175" i="1"/>
  <c r="H175" i="1" s="1"/>
  <c r="E175" i="1"/>
  <c r="D175" i="1"/>
  <c r="C175" i="1"/>
  <c r="K175" i="1" s="1"/>
  <c r="G174" i="1"/>
  <c r="H174" i="1" s="1"/>
  <c r="E174" i="1"/>
  <c r="D174" i="1"/>
  <c r="C174" i="1"/>
  <c r="K174" i="1" s="1"/>
  <c r="G173" i="1"/>
  <c r="H173" i="1" s="1"/>
  <c r="E173" i="1"/>
  <c r="D173" i="1"/>
  <c r="C173" i="1"/>
  <c r="K173" i="1" s="1"/>
  <c r="G172" i="1"/>
  <c r="H172" i="1" s="1"/>
  <c r="E172" i="1"/>
  <c r="D172" i="1"/>
  <c r="C172" i="1"/>
  <c r="K172" i="1" s="1"/>
  <c r="G171" i="1"/>
  <c r="H171" i="1" s="1"/>
  <c r="E171" i="1"/>
  <c r="D171" i="1"/>
  <c r="C171" i="1"/>
  <c r="K171" i="1" s="1"/>
  <c r="G170" i="1"/>
  <c r="H170" i="1" s="1"/>
  <c r="E170" i="1"/>
  <c r="D170" i="1"/>
  <c r="C170" i="1"/>
  <c r="K170" i="1" s="1"/>
  <c r="G169" i="1"/>
  <c r="H169" i="1" s="1"/>
  <c r="E169" i="1"/>
  <c r="D169" i="1"/>
  <c r="C169" i="1"/>
  <c r="K169" i="1" s="1"/>
  <c r="G168" i="1"/>
  <c r="H168" i="1" s="1"/>
  <c r="E168" i="1"/>
  <c r="D168" i="1"/>
  <c r="C168" i="1"/>
  <c r="K168" i="1" s="1"/>
  <c r="G167" i="1"/>
  <c r="H167" i="1" s="1"/>
  <c r="E167" i="1"/>
  <c r="D167" i="1"/>
  <c r="C167" i="1"/>
  <c r="K167" i="1" s="1"/>
  <c r="G166" i="1"/>
  <c r="H166" i="1" s="1"/>
  <c r="E166" i="1"/>
  <c r="D166" i="1"/>
  <c r="C166" i="1"/>
  <c r="K166" i="1" s="1"/>
  <c r="G165" i="1"/>
  <c r="H165" i="1" s="1"/>
  <c r="E165" i="1"/>
  <c r="D165" i="1"/>
  <c r="C165" i="1"/>
  <c r="K165" i="1" s="1"/>
  <c r="G164" i="1"/>
  <c r="H164" i="1" s="1"/>
  <c r="E164" i="1"/>
  <c r="D164" i="1"/>
  <c r="C164" i="1"/>
  <c r="K164" i="1" s="1"/>
  <c r="G163" i="1"/>
  <c r="H163" i="1" s="1"/>
  <c r="E163" i="1"/>
  <c r="D163" i="1"/>
  <c r="C163" i="1"/>
  <c r="K163" i="1" s="1"/>
  <c r="G162" i="1"/>
  <c r="H162" i="1" s="1"/>
  <c r="E162" i="1"/>
  <c r="D162" i="1"/>
  <c r="C162" i="1"/>
  <c r="K162" i="1" s="1"/>
  <c r="G161" i="1"/>
  <c r="H161" i="1" s="1"/>
  <c r="E161" i="1"/>
  <c r="D161" i="1"/>
  <c r="C161" i="1"/>
  <c r="K161" i="1" s="1"/>
  <c r="G160" i="1"/>
  <c r="H160" i="1" s="1"/>
  <c r="E160" i="1"/>
  <c r="D160" i="1"/>
  <c r="C160" i="1"/>
  <c r="K160" i="1" s="1"/>
  <c r="G159" i="1"/>
  <c r="H159" i="1" s="1"/>
  <c r="E159" i="1"/>
  <c r="D159" i="1"/>
  <c r="C159" i="1"/>
  <c r="K159" i="1" s="1"/>
  <c r="G158" i="1"/>
  <c r="H158" i="1" s="1"/>
  <c r="E158" i="1"/>
  <c r="D158" i="1"/>
  <c r="C158" i="1"/>
  <c r="K158" i="1" s="1"/>
  <c r="G157" i="1"/>
  <c r="H157" i="1" s="1"/>
  <c r="E157" i="1"/>
  <c r="D157" i="1"/>
  <c r="C157" i="1"/>
  <c r="K157" i="1" s="1"/>
  <c r="G156" i="1"/>
  <c r="H156" i="1" s="1"/>
  <c r="E156" i="1"/>
  <c r="D156" i="1"/>
  <c r="C156" i="1"/>
  <c r="K156" i="1" s="1"/>
  <c r="G155" i="1"/>
  <c r="H155" i="1" s="1"/>
  <c r="E155" i="1"/>
  <c r="D155" i="1"/>
  <c r="C155" i="1"/>
  <c r="K155" i="1" s="1"/>
  <c r="G154" i="1"/>
  <c r="H154" i="1" s="1"/>
  <c r="E154" i="1"/>
  <c r="D154" i="1"/>
  <c r="C154" i="1"/>
  <c r="K154" i="1" s="1"/>
  <c r="G153" i="1"/>
  <c r="H153" i="1" s="1"/>
  <c r="E153" i="1"/>
  <c r="D153" i="1"/>
  <c r="C153" i="1"/>
  <c r="G152" i="1"/>
  <c r="H152" i="1" s="1"/>
  <c r="E152" i="1"/>
  <c r="D152" i="1"/>
  <c r="C152" i="1"/>
  <c r="K152" i="1" s="1"/>
  <c r="G151" i="1"/>
  <c r="H151" i="1" s="1"/>
  <c r="E151" i="1"/>
  <c r="D151" i="1"/>
  <c r="C151" i="1"/>
  <c r="K151" i="1" s="1"/>
  <c r="G150" i="1"/>
  <c r="H150" i="1" s="1"/>
  <c r="E150" i="1"/>
  <c r="D150" i="1"/>
  <c r="C150" i="1"/>
  <c r="K150" i="1" s="1"/>
  <c r="G149" i="1"/>
  <c r="H149" i="1" s="1"/>
  <c r="E149" i="1"/>
  <c r="D149" i="1"/>
  <c r="C149" i="1"/>
  <c r="K149" i="1" s="1"/>
  <c r="G148" i="1"/>
  <c r="H148" i="1" s="1"/>
  <c r="E148" i="1"/>
  <c r="D148" i="1"/>
  <c r="C148" i="1"/>
  <c r="K148" i="1" s="1"/>
  <c r="G147" i="1"/>
  <c r="H147" i="1" s="1"/>
  <c r="E147" i="1"/>
  <c r="D147" i="1"/>
  <c r="C147" i="1"/>
  <c r="K147" i="1" s="1"/>
  <c r="G146" i="1"/>
  <c r="H146" i="1" s="1"/>
  <c r="E146" i="1"/>
  <c r="D146" i="1"/>
  <c r="C146" i="1"/>
  <c r="K146" i="1" s="1"/>
  <c r="G145" i="1"/>
  <c r="H145" i="1" s="1"/>
  <c r="E145" i="1"/>
  <c r="D145" i="1"/>
  <c r="C145" i="1"/>
  <c r="K145" i="1" s="1"/>
  <c r="G144" i="1"/>
  <c r="H144" i="1" s="1"/>
  <c r="E144" i="1"/>
  <c r="D144" i="1"/>
  <c r="C144" i="1"/>
  <c r="K144" i="1" s="1"/>
  <c r="G143" i="1"/>
  <c r="H143" i="1" s="1"/>
  <c r="E143" i="1"/>
  <c r="D143" i="1"/>
  <c r="C143" i="1"/>
  <c r="K143" i="1" s="1"/>
  <c r="G142" i="1"/>
  <c r="H142" i="1" s="1"/>
  <c r="E142" i="1"/>
  <c r="D142" i="1"/>
  <c r="C142" i="1"/>
  <c r="K142" i="1" s="1"/>
  <c r="G141" i="1"/>
  <c r="H141" i="1" s="1"/>
  <c r="E141" i="1"/>
  <c r="D141" i="1"/>
  <c r="C141" i="1"/>
  <c r="K141" i="1" s="1"/>
  <c r="G140" i="1"/>
  <c r="H140" i="1" s="1"/>
  <c r="E140" i="1"/>
  <c r="D140" i="1"/>
  <c r="C140" i="1"/>
  <c r="K140" i="1" s="1"/>
  <c r="G139" i="1"/>
  <c r="H139" i="1" s="1"/>
  <c r="E139" i="1"/>
  <c r="D139" i="1"/>
  <c r="C139" i="1"/>
  <c r="K139" i="1" s="1"/>
  <c r="G138" i="1"/>
  <c r="H138" i="1" s="1"/>
  <c r="E138" i="1"/>
  <c r="D138" i="1"/>
  <c r="C138" i="1"/>
  <c r="K138" i="1" s="1"/>
  <c r="G137" i="1"/>
  <c r="H137" i="1" s="1"/>
  <c r="E137" i="1"/>
  <c r="D137" i="1"/>
  <c r="C137" i="1"/>
  <c r="K137" i="1" s="1"/>
  <c r="G136" i="1"/>
  <c r="H136" i="1" s="1"/>
  <c r="E136" i="1"/>
  <c r="D136" i="1"/>
  <c r="C136" i="1"/>
  <c r="K136" i="1" s="1"/>
  <c r="G135" i="1"/>
  <c r="H135" i="1" s="1"/>
  <c r="E135" i="1"/>
  <c r="D135" i="1"/>
  <c r="C135" i="1"/>
  <c r="K135" i="1" s="1"/>
  <c r="G134" i="1"/>
  <c r="H134" i="1" s="1"/>
  <c r="E134" i="1"/>
  <c r="D134" i="1"/>
  <c r="C134" i="1"/>
  <c r="K134" i="1" s="1"/>
  <c r="G133" i="1"/>
  <c r="H133" i="1" s="1"/>
  <c r="E133" i="1"/>
  <c r="D133" i="1"/>
  <c r="C133" i="1"/>
  <c r="K133" i="1" s="1"/>
  <c r="G132" i="1"/>
  <c r="H132" i="1" s="1"/>
  <c r="E132" i="1"/>
  <c r="D132" i="1"/>
  <c r="C132" i="1"/>
  <c r="K132" i="1" s="1"/>
  <c r="G131" i="1"/>
  <c r="H131" i="1" s="1"/>
  <c r="E131" i="1"/>
  <c r="D131" i="1"/>
  <c r="C131" i="1"/>
  <c r="K131" i="1" s="1"/>
  <c r="G130" i="1"/>
  <c r="H130" i="1" s="1"/>
  <c r="E130" i="1"/>
  <c r="D130" i="1"/>
  <c r="C130" i="1"/>
  <c r="K130" i="1" s="1"/>
  <c r="G129" i="1"/>
  <c r="H129" i="1" s="1"/>
  <c r="E129" i="1"/>
  <c r="D129" i="1"/>
  <c r="C129" i="1"/>
  <c r="K129" i="1" s="1"/>
  <c r="G128" i="1"/>
  <c r="H128" i="1" s="1"/>
  <c r="E128" i="1"/>
  <c r="D128" i="1"/>
  <c r="C128" i="1"/>
  <c r="K128" i="1" s="1"/>
  <c r="G127" i="1"/>
  <c r="H127" i="1" s="1"/>
  <c r="E127" i="1"/>
  <c r="D127" i="1"/>
  <c r="C127" i="1"/>
  <c r="K127" i="1" s="1"/>
  <c r="G126" i="1"/>
  <c r="H126" i="1" s="1"/>
  <c r="E126" i="1"/>
  <c r="D126" i="1"/>
  <c r="C126" i="1"/>
  <c r="K126" i="1" s="1"/>
  <c r="G125" i="1"/>
  <c r="H125" i="1" s="1"/>
  <c r="E125" i="1"/>
  <c r="D125" i="1"/>
  <c r="C125" i="1"/>
  <c r="K125" i="1" s="1"/>
  <c r="G124" i="1"/>
  <c r="H124" i="1" s="1"/>
  <c r="E124" i="1"/>
  <c r="D124" i="1"/>
  <c r="C124" i="1"/>
  <c r="K124" i="1" s="1"/>
  <c r="G123" i="1"/>
  <c r="H123" i="1" s="1"/>
  <c r="E123" i="1"/>
  <c r="D123" i="1"/>
  <c r="C123" i="1"/>
  <c r="K123" i="1" s="1"/>
  <c r="G122" i="1"/>
  <c r="H122" i="1" s="1"/>
  <c r="E122" i="1"/>
  <c r="D122" i="1"/>
  <c r="C122" i="1"/>
  <c r="K122" i="1" s="1"/>
  <c r="G121" i="1"/>
  <c r="H121" i="1" s="1"/>
  <c r="E121" i="1"/>
  <c r="D121" i="1"/>
  <c r="C121" i="1"/>
  <c r="K121" i="1" s="1"/>
  <c r="G120" i="1"/>
  <c r="H120" i="1" s="1"/>
  <c r="E120" i="1"/>
  <c r="D120" i="1"/>
  <c r="C120" i="1"/>
  <c r="K120" i="1" s="1"/>
  <c r="G119" i="1"/>
  <c r="H119" i="1" s="1"/>
  <c r="E119" i="1"/>
  <c r="D119" i="1"/>
  <c r="C119" i="1"/>
  <c r="K119" i="1" s="1"/>
  <c r="G118" i="1"/>
  <c r="H118" i="1" s="1"/>
  <c r="E118" i="1"/>
  <c r="D118" i="1"/>
  <c r="C118" i="1"/>
  <c r="K118" i="1" s="1"/>
  <c r="G117" i="1"/>
  <c r="H117" i="1" s="1"/>
  <c r="E117" i="1"/>
  <c r="D117" i="1"/>
  <c r="C117" i="1"/>
  <c r="K117" i="1" s="1"/>
  <c r="G116" i="1"/>
  <c r="H116" i="1" s="1"/>
  <c r="E116" i="1"/>
  <c r="D116" i="1"/>
  <c r="C116" i="1"/>
  <c r="K116" i="1" s="1"/>
  <c r="G115" i="1"/>
  <c r="H115" i="1" s="1"/>
  <c r="E115" i="1"/>
  <c r="D115" i="1"/>
  <c r="C115" i="1"/>
  <c r="K115" i="1" s="1"/>
  <c r="G114" i="1"/>
  <c r="H114" i="1" s="1"/>
  <c r="E114" i="1"/>
  <c r="D114" i="1"/>
  <c r="C114" i="1"/>
  <c r="K114" i="1" s="1"/>
  <c r="G113" i="1"/>
  <c r="H113" i="1" s="1"/>
  <c r="E113" i="1"/>
  <c r="D113" i="1"/>
  <c r="C113" i="1"/>
  <c r="K113" i="1" s="1"/>
  <c r="G112" i="1"/>
  <c r="H112" i="1" s="1"/>
  <c r="E112" i="1"/>
  <c r="D112" i="1"/>
  <c r="C112" i="1"/>
  <c r="K112" i="1" s="1"/>
  <c r="G111" i="1"/>
  <c r="H111" i="1" s="1"/>
  <c r="E111" i="1"/>
  <c r="D111" i="1"/>
  <c r="C111" i="1"/>
  <c r="K111" i="1" s="1"/>
  <c r="G110" i="1"/>
  <c r="H110" i="1" s="1"/>
  <c r="E110" i="1"/>
  <c r="D110" i="1"/>
  <c r="C110" i="1"/>
  <c r="K110" i="1" s="1"/>
  <c r="G109" i="1"/>
  <c r="H109" i="1" s="1"/>
  <c r="E109" i="1"/>
  <c r="D109" i="1"/>
  <c r="C109" i="1"/>
  <c r="K109" i="1" s="1"/>
  <c r="G108" i="1"/>
  <c r="H108" i="1" s="1"/>
  <c r="E108" i="1"/>
  <c r="D108" i="1"/>
  <c r="C108" i="1"/>
  <c r="K108" i="1" s="1"/>
  <c r="G107" i="1"/>
  <c r="H107" i="1" s="1"/>
  <c r="E107" i="1"/>
  <c r="D107" i="1"/>
  <c r="C107" i="1"/>
  <c r="K107" i="1" s="1"/>
  <c r="G106" i="1"/>
  <c r="H106" i="1" s="1"/>
  <c r="E106" i="1"/>
  <c r="D106" i="1"/>
  <c r="C106" i="1"/>
  <c r="K106" i="1" s="1"/>
  <c r="G105" i="1"/>
  <c r="H105" i="1" s="1"/>
  <c r="E105" i="1"/>
  <c r="D105" i="1"/>
  <c r="C105" i="1"/>
  <c r="K105" i="1" s="1"/>
  <c r="G104" i="1"/>
  <c r="H104" i="1" s="1"/>
  <c r="E104" i="1"/>
  <c r="D104" i="1"/>
  <c r="C104" i="1"/>
  <c r="K104" i="1" s="1"/>
  <c r="G103" i="1"/>
  <c r="H103" i="1" s="1"/>
  <c r="E103" i="1"/>
  <c r="D103" i="1"/>
  <c r="C103" i="1"/>
  <c r="K103" i="1" s="1"/>
  <c r="G102" i="1"/>
  <c r="H102" i="1" s="1"/>
  <c r="E102" i="1"/>
  <c r="D102" i="1"/>
  <c r="C102" i="1"/>
  <c r="K102" i="1" s="1"/>
  <c r="G101" i="1"/>
  <c r="H101" i="1" s="1"/>
  <c r="E101" i="1"/>
  <c r="D101" i="1"/>
  <c r="C101" i="1"/>
  <c r="K101" i="1" s="1"/>
  <c r="G100" i="1"/>
  <c r="H100" i="1" s="1"/>
  <c r="E100" i="1"/>
  <c r="D100" i="1"/>
  <c r="C100" i="1"/>
  <c r="K100" i="1" s="1"/>
  <c r="G99" i="1"/>
  <c r="H99" i="1" s="1"/>
  <c r="E99" i="1"/>
  <c r="D99" i="1"/>
  <c r="C99" i="1"/>
  <c r="K99" i="1" s="1"/>
  <c r="G98" i="1"/>
  <c r="H98" i="1" s="1"/>
  <c r="E98" i="1"/>
  <c r="D98" i="1"/>
  <c r="C98" i="1"/>
  <c r="K98" i="1" s="1"/>
  <c r="G97" i="1"/>
  <c r="H97" i="1" s="1"/>
  <c r="E97" i="1"/>
  <c r="D97" i="1"/>
  <c r="C97" i="1"/>
  <c r="K97" i="1" s="1"/>
  <c r="G96" i="1"/>
  <c r="H96" i="1" s="1"/>
  <c r="E96" i="1"/>
  <c r="D96" i="1"/>
  <c r="C96" i="1"/>
  <c r="G95" i="1"/>
  <c r="H95" i="1" s="1"/>
  <c r="E95" i="1"/>
  <c r="D95" i="1"/>
  <c r="C95" i="1"/>
  <c r="K95" i="1" s="1"/>
  <c r="G94" i="1"/>
  <c r="H94" i="1" s="1"/>
  <c r="E94" i="1"/>
  <c r="D94" i="1"/>
  <c r="C94" i="1"/>
  <c r="K94" i="1" s="1"/>
  <c r="G93" i="1"/>
  <c r="H93" i="1" s="1"/>
  <c r="E93" i="1"/>
  <c r="D93" i="1"/>
  <c r="C93" i="1"/>
  <c r="K93" i="1" s="1"/>
  <c r="G92" i="1"/>
  <c r="H92" i="1" s="1"/>
  <c r="E92" i="1"/>
  <c r="D92" i="1"/>
  <c r="C92" i="1"/>
  <c r="K92" i="1" s="1"/>
  <c r="G91" i="1"/>
  <c r="H91" i="1" s="1"/>
  <c r="E91" i="1"/>
  <c r="D91" i="1"/>
  <c r="C91" i="1"/>
  <c r="K91" i="1" s="1"/>
  <c r="G90" i="1"/>
  <c r="H90" i="1" s="1"/>
  <c r="E90" i="1"/>
  <c r="D90" i="1"/>
  <c r="C90" i="1"/>
  <c r="K90" i="1" s="1"/>
  <c r="G89" i="1"/>
  <c r="H89" i="1" s="1"/>
  <c r="E89" i="1"/>
  <c r="D89" i="1"/>
  <c r="C89" i="1"/>
  <c r="K89" i="1" s="1"/>
  <c r="G88" i="1"/>
  <c r="H88" i="1" s="1"/>
  <c r="E88" i="1"/>
  <c r="D88" i="1"/>
  <c r="C88" i="1"/>
  <c r="K88" i="1" s="1"/>
  <c r="G87" i="1"/>
  <c r="H87" i="1" s="1"/>
  <c r="E87" i="1"/>
  <c r="D87" i="1"/>
  <c r="C87" i="1"/>
  <c r="K87" i="1" s="1"/>
  <c r="G86" i="1"/>
  <c r="H86" i="1" s="1"/>
  <c r="E86" i="1"/>
  <c r="D86" i="1"/>
  <c r="C86" i="1"/>
  <c r="K86" i="1" s="1"/>
  <c r="G85" i="1"/>
  <c r="H85" i="1" s="1"/>
  <c r="E85" i="1"/>
  <c r="D85" i="1"/>
  <c r="C85" i="1"/>
  <c r="K85" i="1" s="1"/>
  <c r="G84" i="1"/>
  <c r="H84" i="1" s="1"/>
  <c r="E84" i="1"/>
  <c r="D84" i="1"/>
  <c r="C84" i="1"/>
  <c r="K84" i="1" s="1"/>
  <c r="G83" i="1"/>
  <c r="H83" i="1" s="1"/>
  <c r="E83" i="1"/>
  <c r="D83" i="1"/>
  <c r="C83" i="1"/>
  <c r="K83" i="1" s="1"/>
  <c r="G82" i="1"/>
  <c r="H82" i="1" s="1"/>
  <c r="E82" i="1"/>
  <c r="D82" i="1"/>
  <c r="C82" i="1"/>
  <c r="K82" i="1" s="1"/>
  <c r="G81" i="1"/>
  <c r="H81" i="1" s="1"/>
  <c r="E81" i="1"/>
  <c r="D81" i="1"/>
  <c r="C81" i="1"/>
  <c r="K81" i="1" s="1"/>
  <c r="G80" i="1"/>
  <c r="H80" i="1" s="1"/>
  <c r="E80" i="1"/>
  <c r="D80" i="1"/>
  <c r="C80" i="1"/>
  <c r="K80" i="1" s="1"/>
  <c r="G79" i="1"/>
  <c r="H79" i="1" s="1"/>
  <c r="E79" i="1"/>
  <c r="D79" i="1"/>
  <c r="C79" i="1"/>
  <c r="K79" i="1" s="1"/>
  <c r="G78" i="1"/>
  <c r="H78" i="1" s="1"/>
  <c r="E78" i="1"/>
  <c r="D78" i="1"/>
  <c r="C78" i="1"/>
  <c r="K78" i="1" s="1"/>
  <c r="G77" i="1"/>
  <c r="H77" i="1" s="1"/>
  <c r="E77" i="1"/>
  <c r="D77" i="1"/>
  <c r="C77" i="1"/>
  <c r="K77" i="1" s="1"/>
  <c r="G76" i="1"/>
  <c r="H76" i="1" s="1"/>
  <c r="E76" i="1"/>
  <c r="D76" i="1"/>
  <c r="C76" i="1"/>
  <c r="K76" i="1" s="1"/>
  <c r="G75" i="1"/>
  <c r="H75" i="1" s="1"/>
  <c r="E75" i="1"/>
  <c r="D75" i="1"/>
  <c r="C75" i="1"/>
  <c r="K75" i="1" s="1"/>
  <c r="G74" i="1"/>
  <c r="H74" i="1" s="1"/>
  <c r="E74" i="1"/>
  <c r="D74" i="1"/>
  <c r="C74" i="1"/>
  <c r="K74" i="1" s="1"/>
  <c r="G73" i="1"/>
  <c r="H73" i="1" s="1"/>
  <c r="E73" i="1"/>
  <c r="D73" i="1"/>
  <c r="C73" i="1"/>
  <c r="K73" i="1" s="1"/>
  <c r="G72" i="1"/>
  <c r="H72" i="1" s="1"/>
  <c r="E72" i="1"/>
  <c r="D72" i="1"/>
  <c r="C72" i="1"/>
  <c r="K72" i="1" s="1"/>
  <c r="G71" i="1"/>
  <c r="H71" i="1" s="1"/>
  <c r="E71" i="1"/>
  <c r="D71" i="1"/>
  <c r="C71" i="1"/>
  <c r="K71" i="1" s="1"/>
  <c r="G70" i="1"/>
  <c r="H70" i="1" s="1"/>
  <c r="E70" i="1"/>
  <c r="D70" i="1"/>
  <c r="C70" i="1"/>
  <c r="K70" i="1" s="1"/>
  <c r="G69" i="1"/>
  <c r="H69" i="1" s="1"/>
  <c r="E69" i="1"/>
  <c r="D69" i="1"/>
  <c r="C69" i="1"/>
  <c r="K69" i="1" s="1"/>
  <c r="G68" i="1"/>
  <c r="H68" i="1" s="1"/>
  <c r="E68" i="1"/>
  <c r="D68" i="1"/>
  <c r="C68" i="1"/>
  <c r="K68" i="1" s="1"/>
  <c r="G67" i="1"/>
  <c r="H67" i="1" s="1"/>
  <c r="E67" i="1"/>
  <c r="D67" i="1"/>
  <c r="C67" i="1"/>
  <c r="K67" i="1" s="1"/>
  <c r="G66" i="1"/>
  <c r="H66" i="1" s="1"/>
  <c r="E66" i="1"/>
  <c r="D66" i="1"/>
  <c r="C66" i="1"/>
  <c r="K66" i="1" s="1"/>
  <c r="G65" i="1"/>
  <c r="H65" i="1" s="1"/>
  <c r="E65" i="1"/>
  <c r="D65" i="1"/>
  <c r="C65" i="1"/>
  <c r="K65" i="1" s="1"/>
  <c r="G64" i="1"/>
  <c r="H64" i="1" s="1"/>
  <c r="E64" i="1"/>
  <c r="D64" i="1"/>
  <c r="C64" i="1"/>
  <c r="K64" i="1" s="1"/>
  <c r="G63" i="1"/>
  <c r="H63" i="1" s="1"/>
  <c r="E63" i="1"/>
  <c r="D63" i="1"/>
  <c r="C63" i="1"/>
  <c r="K63" i="1" s="1"/>
  <c r="G62" i="1"/>
  <c r="H62" i="1" s="1"/>
  <c r="E62" i="1"/>
  <c r="D62" i="1"/>
  <c r="C62" i="1"/>
  <c r="K62" i="1" s="1"/>
  <c r="G61" i="1"/>
  <c r="H61" i="1" s="1"/>
  <c r="E61" i="1"/>
  <c r="D61" i="1"/>
  <c r="C61" i="1"/>
  <c r="K61" i="1" s="1"/>
  <c r="G60" i="1"/>
  <c r="H60" i="1" s="1"/>
  <c r="E60" i="1"/>
  <c r="D60" i="1"/>
  <c r="C60" i="1"/>
  <c r="K60" i="1" s="1"/>
  <c r="G59" i="1"/>
  <c r="H59" i="1" s="1"/>
  <c r="E59" i="1"/>
  <c r="D59" i="1"/>
  <c r="C59" i="1"/>
  <c r="K59" i="1" s="1"/>
  <c r="G58" i="1"/>
  <c r="H58" i="1" s="1"/>
  <c r="E58" i="1"/>
  <c r="D58" i="1"/>
  <c r="C58" i="1"/>
  <c r="K58" i="1" s="1"/>
  <c r="G57" i="1"/>
  <c r="H57" i="1" s="1"/>
  <c r="E57" i="1"/>
  <c r="D57" i="1"/>
  <c r="C57" i="1"/>
  <c r="K57" i="1" s="1"/>
  <c r="G56" i="1"/>
  <c r="H56" i="1" s="1"/>
  <c r="E56" i="1"/>
  <c r="D56" i="1"/>
  <c r="C56" i="1"/>
  <c r="K56" i="1" s="1"/>
  <c r="G55" i="1"/>
  <c r="H55" i="1" s="1"/>
  <c r="E55" i="1"/>
  <c r="D55" i="1"/>
  <c r="C55" i="1"/>
  <c r="K55" i="1" s="1"/>
  <c r="G54" i="1"/>
  <c r="H54" i="1" s="1"/>
  <c r="E54" i="1"/>
  <c r="D54" i="1"/>
  <c r="C54" i="1"/>
  <c r="K54" i="1" s="1"/>
  <c r="G53" i="1"/>
  <c r="H53" i="1" s="1"/>
  <c r="E53" i="1"/>
  <c r="D53" i="1"/>
  <c r="C53" i="1"/>
  <c r="K53" i="1" s="1"/>
  <c r="G52" i="1"/>
  <c r="H52" i="1" s="1"/>
  <c r="E52" i="1"/>
  <c r="D52" i="1"/>
  <c r="C52" i="1"/>
  <c r="K52" i="1" s="1"/>
  <c r="G51" i="1"/>
  <c r="H51" i="1" s="1"/>
  <c r="E51" i="1"/>
  <c r="D51" i="1"/>
  <c r="C51" i="1"/>
  <c r="G50" i="1"/>
  <c r="H50" i="1" s="1"/>
  <c r="E50" i="1"/>
  <c r="D50" i="1"/>
  <c r="C50" i="1"/>
  <c r="K50" i="1" s="1"/>
  <c r="G49" i="1"/>
  <c r="H49" i="1" s="1"/>
  <c r="E49" i="1"/>
  <c r="D49" i="1"/>
  <c r="C49" i="1"/>
  <c r="K49" i="1" s="1"/>
  <c r="G48" i="1"/>
  <c r="H48" i="1" s="1"/>
  <c r="E48" i="1"/>
  <c r="D48" i="1"/>
  <c r="C48" i="1"/>
  <c r="K48" i="1" s="1"/>
  <c r="G47" i="1"/>
  <c r="H47" i="1" s="1"/>
  <c r="E47" i="1"/>
  <c r="D47" i="1"/>
  <c r="C47" i="1"/>
  <c r="K47" i="1" s="1"/>
  <c r="G46" i="1"/>
  <c r="H46" i="1" s="1"/>
  <c r="E46" i="1"/>
  <c r="D46" i="1"/>
  <c r="C46" i="1"/>
  <c r="K46" i="1" s="1"/>
  <c r="G45" i="1"/>
  <c r="H45" i="1" s="1"/>
  <c r="E45" i="1"/>
  <c r="D45" i="1"/>
  <c r="C45" i="1"/>
  <c r="K45" i="1" s="1"/>
  <c r="G44" i="1"/>
  <c r="H44" i="1" s="1"/>
  <c r="E44" i="1"/>
  <c r="D44" i="1"/>
  <c r="C44" i="1"/>
  <c r="K44" i="1" s="1"/>
  <c r="G43" i="1"/>
  <c r="H43" i="1" s="1"/>
  <c r="E43" i="1"/>
  <c r="D43" i="1"/>
  <c r="C43" i="1"/>
  <c r="K43" i="1" s="1"/>
  <c r="G42" i="1"/>
  <c r="H42" i="1" s="1"/>
  <c r="E42" i="1"/>
  <c r="D42" i="1"/>
  <c r="C42" i="1"/>
  <c r="K42" i="1" s="1"/>
  <c r="G41" i="1"/>
  <c r="H41" i="1" s="1"/>
  <c r="E41" i="1"/>
  <c r="D41" i="1"/>
  <c r="C41" i="1"/>
  <c r="K41" i="1" s="1"/>
  <c r="G40" i="1"/>
  <c r="H40" i="1" s="1"/>
  <c r="E40" i="1"/>
  <c r="D40" i="1"/>
  <c r="C40" i="1"/>
  <c r="K40" i="1" s="1"/>
  <c r="G39" i="1"/>
  <c r="H39" i="1" s="1"/>
  <c r="E39" i="1"/>
  <c r="D39" i="1"/>
  <c r="C39" i="1"/>
  <c r="K39" i="1" s="1"/>
  <c r="G38" i="1"/>
  <c r="H38" i="1" s="1"/>
  <c r="E38" i="1"/>
  <c r="D38" i="1"/>
  <c r="C38" i="1"/>
  <c r="K38" i="1" s="1"/>
  <c r="G37" i="1"/>
  <c r="H37" i="1" s="1"/>
  <c r="E37" i="1"/>
  <c r="D37" i="1"/>
  <c r="C37" i="1"/>
  <c r="K37" i="1" s="1"/>
  <c r="G36" i="1"/>
  <c r="H36" i="1" s="1"/>
  <c r="E36" i="1"/>
  <c r="D36" i="1"/>
  <c r="C36" i="1"/>
  <c r="K36" i="1" s="1"/>
  <c r="G35" i="1"/>
  <c r="H35" i="1" s="1"/>
  <c r="E35" i="1"/>
  <c r="D35" i="1"/>
  <c r="C35" i="1"/>
  <c r="K35" i="1" s="1"/>
  <c r="G34" i="1"/>
  <c r="H34" i="1" s="1"/>
  <c r="E34" i="1"/>
  <c r="D34" i="1"/>
  <c r="C34" i="1"/>
  <c r="K34" i="1" s="1"/>
  <c r="G33" i="1"/>
  <c r="H33" i="1" s="1"/>
  <c r="E33" i="1"/>
  <c r="D33" i="1"/>
  <c r="C33" i="1"/>
  <c r="K33" i="1" s="1"/>
  <c r="G32" i="1"/>
  <c r="H32" i="1" s="1"/>
  <c r="E32" i="1"/>
  <c r="D32" i="1"/>
  <c r="C32" i="1"/>
  <c r="K32" i="1" s="1"/>
  <c r="G31" i="1"/>
  <c r="H31" i="1" s="1"/>
  <c r="E31" i="1"/>
  <c r="D31" i="1"/>
  <c r="C31" i="1"/>
  <c r="K31" i="1" s="1"/>
  <c r="G30" i="1"/>
  <c r="H30" i="1" s="1"/>
  <c r="E30" i="1"/>
  <c r="D30" i="1"/>
  <c r="C30" i="1"/>
  <c r="G29" i="1"/>
  <c r="H29" i="1" s="1"/>
  <c r="E29" i="1"/>
  <c r="D29" i="1"/>
  <c r="C29" i="1"/>
  <c r="K29" i="1" s="1"/>
  <c r="G28" i="1"/>
  <c r="H28" i="1" s="1"/>
  <c r="E28" i="1"/>
  <c r="D28" i="1"/>
  <c r="C28" i="1"/>
  <c r="K28" i="1" s="1"/>
  <c r="G27" i="1"/>
  <c r="H27" i="1" s="1"/>
  <c r="E27" i="1"/>
  <c r="D27" i="1"/>
  <c r="C27" i="1"/>
  <c r="K27" i="1" s="1"/>
  <c r="G26" i="1"/>
  <c r="H26" i="1" s="1"/>
  <c r="E26" i="1"/>
  <c r="D26" i="1"/>
  <c r="C26" i="1"/>
  <c r="K26" i="1" s="1"/>
  <c r="G25" i="1"/>
  <c r="H25" i="1" s="1"/>
  <c r="E25" i="1"/>
  <c r="D25" i="1"/>
  <c r="C25" i="1"/>
  <c r="K25" i="1" s="1"/>
  <c r="G24" i="1"/>
  <c r="H24" i="1" s="1"/>
  <c r="E24" i="1"/>
  <c r="D24" i="1"/>
  <c r="C24" i="1"/>
  <c r="G23" i="1"/>
  <c r="H23" i="1" s="1"/>
  <c r="E23" i="1"/>
  <c r="D23" i="1"/>
  <c r="C23" i="1"/>
  <c r="K23" i="1" s="1"/>
  <c r="G22" i="1"/>
  <c r="H22" i="1" s="1"/>
  <c r="E22" i="1"/>
  <c r="D22" i="1"/>
  <c r="C22" i="1"/>
  <c r="K22" i="1" s="1"/>
  <c r="G21" i="1"/>
  <c r="H21" i="1" s="1"/>
  <c r="E21" i="1"/>
  <c r="D21" i="1"/>
  <c r="C21" i="1"/>
  <c r="G20" i="1"/>
  <c r="H20" i="1" s="1"/>
  <c r="E20" i="1"/>
  <c r="D20" i="1"/>
  <c r="C20" i="1"/>
  <c r="K20" i="1" s="1"/>
  <c r="G19" i="1"/>
  <c r="H19" i="1" s="1"/>
  <c r="E19" i="1"/>
  <c r="D19" i="1"/>
  <c r="C19" i="1"/>
  <c r="K19" i="1" s="1"/>
  <c r="G18" i="1"/>
  <c r="H18" i="1" s="1"/>
  <c r="E18" i="1"/>
  <c r="D18" i="1"/>
  <c r="C18" i="1"/>
  <c r="K18" i="1" s="1"/>
  <c r="G17" i="1"/>
  <c r="H17" i="1" s="1"/>
  <c r="E17" i="1"/>
  <c r="D17" i="1"/>
  <c r="C17" i="1"/>
  <c r="K17" i="1" s="1"/>
  <c r="G16" i="1"/>
  <c r="H16" i="1" s="1"/>
  <c r="E16" i="1"/>
  <c r="D16" i="1"/>
  <c r="C16" i="1"/>
  <c r="K16" i="1" s="1"/>
  <c r="G15" i="1"/>
  <c r="H15" i="1" s="1"/>
  <c r="E15" i="1"/>
  <c r="D15" i="1"/>
  <c r="C15" i="1"/>
  <c r="K15" i="1" s="1"/>
  <c r="G14" i="1"/>
  <c r="H14" i="1" s="1"/>
  <c r="E14" i="1"/>
  <c r="D14" i="1"/>
  <c r="C14" i="1"/>
  <c r="K14" i="1" s="1"/>
  <c r="G13" i="1"/>
  <c r="H13" i="1" s="1"/>
  <c r="E13" i="1"/>
  <c r="D13" i="1"/>
  <c r="C13" i="1"/>
  <c r="K13" i="1" s="1"/>
  <c r="G12" i="1"/>
  <c r="H12" i="1" s="1"/>
  <c r="E12" i="1"/>
  <c r="D12" i="1"/>
  <c r="C12" i="1"/>
  <c r="K12" i="1" s="1"/>
  <c r="G11" i="1"/>
  <c r="H11" i="1" s="1"/>
  <c r="E11" i="1"/>
  <c r="D11" i="1"/>
  <c r="C11" i="1"/>
  <c r="K11" i="1" s="1"/>
  <c r="G10" i="1"/>
  <c r="H10" i="1" s="1"/>
  <c r="E10" i="1"/>
  <c r="D10" i="1"/>
  <c r="C10" i="1"/>
  <c r="K10" i="1" s="1"/>
  <c r="G9" i="1"/>
  <c r="H9" i="1" s="1"/>
  <c r="E9" i="1"/>
  <c r="D9" i="1"/>
  <c r="C9" i="1"/>
  <c r="K9" i="1" s="1"/>
  <c r="G8" i="1"/>
  <c r="H8" i="1" s="1"/>
  <c r="E8" i="1"/>
  <c r="D8" i="1"/>
  <c r="C8" i="1"/>
  <c r="K8" i="1" s="1"/>
  <c r="G7" i="1"/>
  <c r="H7" i="1" s="1"/>
  <c r="E7" i="1"/>
  <c r="D7" i="1"/>
  <c r="C7" i="1"/>
  <c r="K7" i="1" s="1"/>
  <c r="G6" i="1"/>
  <c r="H6" i="1" s="1"/>
  <c r="E6" i="1"/>
  <c r="D6" i="1"/>
  <c r="C6" i="1"/>
  <c r="K6" i="1" s="1"/>
  <c r="G5" i="1"/>
  <c r="H5" i="1" s="1"/>
  <c r="E5" i="1"/>
  <c r="D5" i="1"/>
  <c r="C5" i="1"/>
  <c r="K5" i="1" s="1"/>
  <c r="G4" i="1"/>
  <c r="H4" i="1" s="1"/>
  <c r="E4" i="1"/>
  <c r="D4" i="1"/>
  <c r="C4" i="1"/>
  <c r="K4" i="1" s="1"/>
  <c r="G3" i="1"/>
  <c r="H3" i="1" s="1"/>
  <c r="E3" i="1"/>
  <c r="D3" i="1"/>
  <c r="C3" i="1"/>
  <c r="K3" i="1" s="1"/>
  <c r="G2" i="1"/>
  <c r="H2" i="1" s="1"/>
  <c r="E2" i="1"/>
  <c r="D2" i="1"/>
  <c r="C2" i="1"/>
  <c r="K2" i="1" s="1"/>
  <c r="B2" i="1"/>
  <c r="F4362" i="1" l="1"/>
  <c r="F3618" i="1"/>
  <c r="F3612" i="1"/>
  <c r="F3537" i="1"/>
  <c r="F3489" i="1"/>
  <c r="F4173" i="1"/>
  <c r="F4117" i="1"/>
  <c r="F4114" i="1"/>
  <c r="F4111" i="1"/>
  <c r="F4045" i="1"/>
  <c r="F4146" i="1"/>
  <c r="F4283" i="1"/>
  <c r="F4134" i="1"/>
  <c r="F4116" i="1"/>
  <c r="F4047" i="1"/>
  <c r="F4169" i="1"/>
  <c r="K4169" i="1"/>
  <c r="F824" i="1"/>
  <c r="K824" i="1"/>
  <c r="F860" i="1"/>
  <c r="K860" i="1"/>
  <c r="F1346" i="1"/>
  <c r="K1346" i="1"/>
  <c r="F1586" i="1"/>
  <c r="K1586" i="1"/>
  <c r="F1763" i="1"/>
  <c r="K1763" i="1"/>
  <c r="F4309" i="1"/>
  <c r="K4309" i="1"/>
  <c r="F1220" i="1"/>
  <c r="K1220" i="1"/>
  <c r="F1310" i="1"/>
  <c r="K1310" i="1"/>
  <c r="F1442" i="1"/>
  <c r="K1442" i="1"/>
  <c r="F1493" i="1"/>
  <c r="K1493" i="1"/>
  <c r="F1745" i="1"/>
  <c r="K1745" i="1"/>
  <c r="F1757" i="1"/>
  <c r="K1757" i="1"/>
  <c r="F1787" i="1"/>
  <c r="K1787" i="1"/>
  <c r="F1817" i="1"/>
  <c r="K1817" i="1"/>
  <c r="F4366" i="1"/>
  <c r="K4366" i="1"/>
  <c r="F4306" i="1"/>
  <c r="K4306" i="1"/>
  <c r="F2486" i="1"/>
  <c r="K2486" i="1"/>
  <c r="F2492" i="1"/>
  <c r="K2492" i="1"/>
  <c r="F2876" i="1"/>
  <c r="K2876" i="1"/>
  <c r="F3053" i="1"/>
  <c r="K3053" i="1"/>
  <c r="F3086" i="1"/>
  <c r="K3086" i="1"/>
  <c r="F764" i="1"/>
  <c r="K764" i="1"/>
  <c r="F866" i="1"/>
  <c r="K866" i="1"/>
  <c r="F902" i="1"/>
  <c r="K902" i="1"/>
  <c r="F788" i="1"/>
  <c r="K788" i="1"/>
  <c r="F854" i="1"/>
  <c r="K854" i="1"/>
  <c r="F1364" i="1"/>
  <c r="K1364" i="1"/>
  <c r="F890" i="1"/>
  <c r="K890" i="1"/>
  <c r="F935" i="1"/>
  <c r="K935" i="1"/>
  <c r="F980" i="1"/>
  <c r="K980" i="1"/>
  <c r="F1190" i="1"/>
  <c r="K1190" i="1"/>
  <c r="F1592" i="1"/>
  <c r="K1592" i="1"/>
  <c r="F2901" i="1"/>
  <c r="K2901" i="1"/>
  <c r="F2931" i="1"/>
  <c r="K2931" i="1"/>
  <c r="F2937" i="1"/>
  <c r="K2937" i="1"/>
  <c r="F3152" i="1"/>
  <c r="K3152" i="1"/>
  <c r="F3173" i="1"/>
  <c r="K3173" i="1"/>
  <c r="F3176" i="1"/>
  <c r="K3176" i="1"/>
  <c r="F3602" i="1"/>
  <c r="F3338" i="1"/>
  <c r="K3338" i="1"/>
  <c r="F4371" i="1"/>
  <c r="F4034" i="1"/>
  <c r="K4034" i="1"/>
  <c r="F3977" i="1"/>
  <c r="F3932" i="1"/>
  <c r="F3926" i="1"/>
  <c r="K3926" i="1"/>
  <c r="F3911" i="1"/>
  <c r="F3908" i="1"/>
  <c r="K3908" i="1"/>
  <c r="F3890" i="1"/>
  <c r="K3890" i="1"/>
  <c r="F3887" i="1"/>
  <c r="F3854" i="1"/>
  <c r="K3932" i="1"/>
  <c r="F4240" i="1"/>
  <c r="K4240" i="1"/>
  <c r="F21" i="1"/>
  <c r="K21" i="1"/>
  <c r="F24" i="1"/>
  <c r="K24" i="1"/>
  <c r="F30" i="1"/>
  <c r="F51" i="1"/>
  <c r="K51" i="1"/>
  <c r="F96" i="1"/>
  <c r="K96" i="1"/>
  <c r="F153" i="1"/>
  <c r="K153" i="1"/>
  <c r="F195" i="1"/>
  <c r="K195" i="1"/>
  <c r="F4210" i="1"/>
  <c r="F468" i="1"/>
  <c r="K468" i="1"/>
  <c r="F588" i="1"/>
  <c r="K588" i="1"/>
  <c r="F618" i="1"/>
  <c r="K618" i="1"/>
  <c r="F756" i="1"/>
  <c r="K756" i="1"/>
  <c r="F3763" i="1"/>
  <c r="F3757" i="1"/>
  <c r="K3757" i="1"/>
  <c r="F4302" i="1"/>
  <c r="K4302" i="1"/>
  <c r="K4210" i="1"/>
  <c r="K3602" i="1"/>
  <c r="K3977" i="1"/>
  <c r="F3096" i="1"/>
  <c r="K3096" i="1"/>
  <c r="F3126" i="1"/>
  <c r="K3126" i="1"/>
  <c r="F3150" i="1"/>
  <c r="K3150" i="1"/>
  <c r="F3292" i="1"/>
  <c r="K3292" i="1"/>
  <c r="F2040" i="1"/>
  <c r="F2361" i="1"/>
  <c r="F2397" i="1"/>
  <c r="F3822" i="1"/>
  <c r="K3822" i="1"/>
  <c r="F3819" i="1"/>
  <c r="F3771" i="1"/>
  <c r="K3771" i="1"/>
  <c r="F3765" i="1"/>
  <c r="K3765" i="1"/>
  <c r="F3759" i="1"/>
  <c r="K4371" i="1"/>
  <c r="K3887" i="1"/>
  <c r="F3966" i="1"/>
  <c r="K3966" i="1"/>
  <c r="F3924" i="1"/>
  <c r="F3906" i="1"/>
  <c r="K3906" i="1"/>
  <c r="F3888" i="1"/>
  <c r="K3888" i="1"/>
  <c r="K3911" i="1"/>
  <c r="K3854" i="1"/>
  <c r="F3114" i="1"/>
  <c r="K3114" i="1"/>
  <c r="F3120" i="1"/>
  <c r="K3120" i="1"/>
  <c r="F3634" i="1"/>
  <c r="K3634" i="1"/>
  <c r="F4373" i="1"/>
  <c r="K4373" i="1"/>
  <c r="F810" i="1"/>
  <c r="F1059" i="1"/>
  <c r="F2016" i="1"/>
  <c r="F2199" i="1"/>
  <c r="F478" i="1"/>
  <c r="K478" i="1"/>
  <c r="F490" i="1"/>
  <c r="K490" i="1"/>
  <c r="F628" i="1"/>
  <c r="K628" i="1"/>
  <c r="F784" i="1"/>
  <c r="K784" i="1"/>
  <c r="F280" i="1"/>
  <c r="F1579" i="1"/>
  <c r="K1579" i="1"/>
  <c r="F1600" i="1"/>
  <c r="K1600" i="1"/>
  <c r="F1771" i="1"/>
  <c r="K1771" i="1"/>
  <c r="F1795" i="1"/>
  <c r="F1807" i="1"/>
  <c r="K1807" i="1"/>
  <c r="F1831" i="1"/>
  <c r="K1831" i="1"/>
  <c r="F1861" i="1"/>
  <c r="K1861" i="1"/>
  <c r="F2446" i="1"/>
  <c r="K2446" i="1"/>
  <c r="F2470" i="1"/>
  <c r="K2470" i="1"/>
  <c r="F2917" i="1"/>
  <c r="F2929" i="1"/>
  <c r="K2929" i="1"/>
  <c r="F3046" i="1"/>
  <c r="F3064" i="1"/>
  <c r="F3163" i="1"/>
  <c r="F3187" i="1"/>
  <c r="K3187" i="1"/>
  <c r="F3217" i="1"/>
  <c r="K3217" i="1"/>
  <c r="K30" i="1"/>
  <c r="F1882" i="1"/>
  <c r="F2008" i="1"/>
  <c r="F2221" i="1"/>
  <c r="F2389" i="1"/>
  <c r="F2437" i="1"/>
  <c r="F3672" i="1"/>
  <c r="F3642" i="1"/>
  <c r="F4242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F4105" i="1"/>
  <c r="F4322" i="1"/>
  <c r="F3809" i="1"/>
  <c r="F3755" i="1"/>
  <c r="F4372" i="1"/>
  <c r="F4369" i="1"/>
  <c r="F3949" i="1"/>
  <c r="F3946" i="1"/>
  <c r="F3940" i="1"/>
  <c r="F3922" i="1"/>
  <c r="F3913" i="1"/>
  <c r="F798" i="1"/>
  <c r="F1874" i="1"/>
  <c r="F2648" i="1"/>
  <c r="F2654" i="1"/>
  <c r="F2789" i="1"/>
  <c r="F3838" i="1"/>
  <c r="F3656" i="1"/>
  <c r="F3581" i="1"/>
  <c r="F3485" i="1"/>
  <c r="F3386" i="1"/>
  <c r="F4265" i="1"/>
  <c r="F4205" i="1"/>
  <c r="F4196" i="1"/>
  <c r="F834" i="1"/>
  <c r="F846" i="1"/>
  <c r="F852" i="1"/>
  <c r="F882" i="1"/>
  <c r="F930" i="1"/>
  <c r="F933" i="1"/>
  <c r="F936" i="1"/>
  <c r="F1020" i="1"/>
  <c r="F1284" i="1"/>
  <c r="F1302" i="1"/>
  <c r="F1320" i="1"/>
  <c r="F1326" i="1"/>
  <c r="F1458" i="1"/>
  <c r="F1476" i="1"/>
  <c r="F1488" i="1"/>
  <c r="F1491" i="1"/>
  <c r="F254" i="1"/>
  <c r="F1602" i="1"/>
  <c r="F1755" i="1"/>
  <c r="F1761" i="1"/>
  <c r="F1863" i="1"/>
  <c r="F2451" i="1"/>
  <c r="F2454" i="1"/>
  <c r="F3586" i="1"/>
  <c r="F3493" i="1"/>
  <c r="F3352" i="1"/>
  <c r="F3346" i="1"/>
  <c r="F3340" i="1"/>
  <c r="F4207" i="1"/>
  <c r="F4201" i="1"/>
  <c r="F4198" i="1"/>
  <c r="F4186" i="1"/>
  <c r="F4013" i="1"/>
  <c r="F796" i="1"/>
  <c r="F826" i="1"/>
  <c r="F838" i="1"/>
  <c r="F844" i="1"/>
  <c r="F850" i="1"/>
  <c r="F862" i="1"/>
  <c r="F874" i="1"/>
  <c r="F982" i="1"/>
  <c r="F1009" i="1"/>
  <c r="F1156" i="1"/>
  <c r="F1162" i="1"/>
  <c r="F1213" i="1"/>
  <c r="F1258" i="1"/>
  <c r="F1318" i="1"/>
  <c r="F1384" i="1"/>
  <c r="F1444" i="1"/>
  <c r="F1456" i="1"/>
  <c r="F3006" i="1"/>
  <c r="F4287" i="1"/>
  <c r="F4106" i="1"/>
  <c r="F4082" i="1"/>
  <c r="F3956" i="1"/>
  <c r="F1241" i="1"/>
  <c r="F1271" i="1"/>
  <c r="F1325" i="1"/>
  <c r="F1337" i="1"/>
  <c r="F1943" i="1"/>
  <c r="F2009" i="1"/>
  <c r="F2069" i="1"/>
  <c r="F2135" i="1"/>
  <c r="F2141" i="1"/>
  <c r="F2171" i="1"/>
  <c r="F2177" i="1"/>
  <c r="F2530" i="1"/>
  <c r="F2587" i="1"/>
  <c r="F2877" i="1"/>
  <c r="F2883" i="1"/>
  <c r="F3814" i="1"/>
  <c r="F3736" i="1"/>
  <c r="F3724" i="1"/>
  <c r="F3721" i="1"/>
  <c r="F3703" i="1"/>
  <c r="F3611" i="1"/>
  <c r="F3293" i="1"/>
  <c r="F4298" i="1"/>
  <c r="F4076" i="1"/>
  <c r="F4052" i="1"/>
  <c r="F3963" i="1"/>
  <c r="F3957" i="1"/>
  <c r="F3951" i="1"/>
  <c r="F3871" i="1"/>
  <c r="F3868" i="1"/>
  <c r="F3865" i="1"/>
  <c r="F3862" i="1"/>
  <c r="F288" i="1"/>
  <c r="F342" i="1"/>
  <c r="F348" i="1"/>
  <c r="F366" i="1"/>
  <c r="F707" i="1"/>
  <c r="F1014" i="1"/>
  <c r="F1038" i="1"/>
  <c r="F1068" i="1"/>
  <c r="F1074" i="1"/>
  <c r="F1110" i="1"/>
  <c r="F1116" i="1"/>
  <c r="F2261" i="1"/>
  <c r="F2402" i="1"/>
  <c r="F2668" i="1"/>
  <c r="F2674" i="1"/>
  <c r="F2683" i="1"/>
  <c r="F2704" i="1"/>
  <c r="F2713" i="1"/>
  <c r="F2758" i="1"/>
  <c r="F2788" i="1"/>
  <c r="F2818" i="1"/>
  <c r="F2997" i="1"/>
  <c r="F3829" i="1"/>
  <c r="F3823" i="1"/>
  <c r="F3655" i="1"/>
  <c r="F3649" i="1"/>
  <c r="F3593" i="1"/>
  <c r="F3542" i="1"/>
  <c r="F3494" i="1"/>
  <c r="F3488" i="1"/>
  <c r="F3440" i="1"/>
  <c r="F3434" i="1"/>
  <c r="F3410" i="1"/>
  <c r="F4354" i="1"/>
  <c r="F4318" i="1"/>
  <c r="F4194" i="1"/>
  <c r="F4164" i="1"/>
  <c r="F4010" i="1"/>
  <c r="F4007" i="1"/>
  <c r="F4004" i="1"/>
  <c r="F4001" i="1"/>
  <c r="F3965" i="1"/>
  <c r="F3885" i="1"/>
  <c r="F3853" i="1"/>
  <c r="F3847" i="1"/>
  <c r="F246" i="1"/>
  <c r="F40" i="1"/>
  <c r="F809" i="1"/>
  <c r="F1227" i="1"/>
  <c r="F1317" i="1"/>
  <c r="F1359" i="1"/>
  <c r="F2001" i="1"/>
  <c r="F2109" i="1"/>
  <c r="F2540" i="1"/>
  <c r="F2579" i="1"/>
  <c r="F2863" i="1"/>
  <c r="F3810" i="1"/>
  <c r="F3732" i="1"/>
  <c r="F3613" i="1"/>
  <c r="F4382" i="1"/>
  <c r="F4152" i="1"/>
  <c r="F4078" i="1"/>
  <c r="F3917" i="1"/>
  <c r="F3882" i="1"/>
  <c r="F3879" i="1"/>
  <c r="F3876" i="1"/>
  <c r="F3873" i="1"/>
  <c r="F3867" i="1"/>
  <c r="F3861" i="1"/>
  <c r="F240" i="1"/>
  <c r="F121" i="1"/>
  <c r="F193" i="1"/>
  <c r="F1015" i="1"/>
  <c r="F1311" i="1"/>
  <c r="F1371" i="1"/>
  <c r="F304" i="1"/>
  <c r="F328" i="1"/>
  <c r="F334" i="1"/>
  <c r="F358" i="1"/>
  <c r="F364" i="1"/>
  <c r="F394" i="1"/>
  <c r="F1066" i="1"/>
  <c r="F1078" i="1"/>
  <c r="F2265" i="1"/>
  <c r="F2418" i="1"/>
  <c r="F2690" i="1"/>
  <c r="F2702" i="1"/>
  <c r="F2705" i="1"/>
  <c r="F2780" i="1"/>
  <c r="F3837" i="1"/>
  <c r="F3831" i="1"/>
  <c r="F3526" i="1"/>
  <c r="F3520" i="1"/>
  <c r="F3514" i="1"/>
  <c r="F3448" i="1"/>
  <c r="F3394" i="1"/>
  <c r="F3373" i="1"/>
  <c r="F4356" i="1"/>
  <c r="F4350" i="1"/>
  <c r="F4314" i="1"/>
  <c r="F4255" i="1"/>
  <c r="F4166" i="1"/>
  <c r="F4125" i="1"/>
  <c r="F4122" i="1"/>
  <c r="F3849" i="1"/>
  <c r="F3846" i="1"/>
  <c r="F3843" i="1"/>
  <c r="F5" i="1"/>
  <c r="F4234" i="1"/>
  <c r="F4216" i="1"/>
  <c r="F4080" i="1"/>
  <c r="F4074" i="1"/>
  <c r="F4068" i="1"/>
  <c r="F3961" i="1"/>
  <c r="F3919" i="1"/>
  <c r="F3869" i="1"/>
  <c r="F3857" i="1"/>
  <c r="F69" i="1"/>
  <c r="F8" i="1"/>
  <c r="F11" i="1"/>
  <c r="F29" i="1"/>
  <c r="F32" i="1"/>
  <c r="F56" i="1"/>
  <c r="F59" i="1"/>
  <c r="F62" i="1"/>
  <c r="F98" i="1"/>
  <c r="F116" i="1"/>
  <c r="F122" i="1"/>
  <c r="F134" i="1"/>
  <c r="F155" i="1"/>
  <c r="F158" i="1"/>
  <c r="F1019" i="1"/>
  <c r="F1279" i="1"/>
  <c r="F1309" i="1"/>
  <c r="F1381" i="1"/>
  <c r="F1405" i="1"/>
  <c r="F1993" i="1"/>
  <c r="F2077" i="1"/>
  <c r="F2089" i="1"/>
  <c r="F2520" i="1"/>
  <c r="F2843" i="1"/>
  <c r="F296" i="1"/>
  <c r="F314" i="1"/>
  <c r="F317" i="1"/>
  <c r="F320" i="1"/>
  <c r="F344" i="1"/>
  <c r="F350" i="1"/>
  <c r="F356" i="1"/>
  <c r="F380" i="1"/>
  <c r="F386" i="1"/>
  <c r="F1064" i="1"/>
  <c r="F1088" i="1"/>
  <c r="F2272" i="1"/>
  <c r="F2350" i="1"/>
  <c r="F2410" i="1"/>
  <c r="F2496" i="1"/>
  <c r="F2682" i="1"/>
  <c r="F2694" i="1"/>
  <c r="F2718" i="1"/>
  <c r="F2724" i="1"/>
  <c r="F2748" i="1"/>
  <c r="F2981" i="1"/>
  <c r="F3011" i="1"/>
  <c r="F3827" i="1"/>
  <c r="F3671" i="1"/>
  <c r="F3665" i="1"/>
  <c r="F3522" i="1"/>
  <c r="F3498" i="1"/>
  <c r="F3450" i="1"/>
  <c r="F3402" i="1"/>
  <c r="F3396" i="1"/>
  <c r="F3381" i="1"/>
  <c r="F4358" i="1"/>
  <c r="F4352" i="1"/>
  <c r="F4334" i="1"/>
  <c r="F4301" i="1"/>
  <c r="F4245" i="1"/>
  <c r="F4189" i="1"/>
  <c r="F4174" i="1"/>
  <c r="F4014" i="1"/>
  <c r="F3984" i="1"/>
  <c r="F3978" i="1"/>
  <c r="F221" i="1"/>
  <c r="F229" i="1"/>
  <c r="F813" i="1"/>
  <c r="F836" i="1"/>
  <c r="F1062" i="1"/>
  <c r="F1134" i="1"/>
  <c r="F1701" i="1"/>
  <c r="F1709" i="1"/>
  <c r="F1717" i="1"/>
  <c r="F2635" i="1"/>
  <c r="F3158" i="1"/>
  <c r="F3196" i="1"/>
  <c r="F3212" i="1"/>
  <c r="F3228" i="1"/>
  <c r="F3250" i="1"/>
  <c r="F3274" i="1"/>
  <c r="F3701" i="1"/>
  <c r="F3624" i="1"/>
  <c r="F3573" i="1"/>
  <c r="F3565" i="1"/>
  <c r="F3305" i="1"/>
  <c r="F3297" i="1"/>
  <c r="F4365" i="1"/>
  <c r="F4363" i="1"/>
  <c r="F4237" i="1"/>
  <c r="F4141" i="1"/>
  <c r="F4137" i="1"/>
  <c r="F4127" i="1"/>
  <c r="F4103" i="1"/>
  <c r="F4101" i="1"/>
  <c r="F916" i="1"/>
  <c r="F924" i="1"/>
  <c r="F3691" i="1"/>
  <c r="F3525" i="1"/>
  <c r="F3477" i="1"/>
  <c r="F4374" i="1"/>
  <c r="F4357" i="1"/>
  <c r="F4353" i="1"/>
  <c r="F4347" i="1"/>
  <c r="F4345" i="1"/>
  <c r="F4241" i="1"/>
  <c r="F4190" i="1"/>
  <c r="F4176" i="1"/>
  <c r="F4153" i="1"/>
  <c r="F4149" i="1"/>
  <c r="F4108" i="1"/>
  <c r="F4081" i="1"/>
  <c r="F4075" i="1"/>
  <c r="F4071" i="1"/>
  <c r="F4065" i="1"/>
  <c r="F4063" i="1"/>
  <c r="F4061" i="1"/>
  <c r="F4059" i="1"/>
  <c r="F4057" i="1"/>
  <c r="F4053" i="1"/>
  <c r="F4041" i="1"/>
  <c r="F4039" i="1"/>
  <c r="F3972" i="1"/>
  <c r="F3970" i="1"/>
  <c r="F1005" i="1"/>
  <c r="F190" i="1"/>
  <c r="F572" i="1"/>
  <c r="F580" i="1"/>
  <c r="F794" i="1"/>
  <c r="F835" i="1"/>
  <c r="F1041" i="1"/>
  <c r="F1051" i="1"/>
  <c r="F1055" i="1"/>
  <c r="F1063" i="1"/>
  <c r="F1065" i="1"/>
  <c r="F1077" i="1"/>
  <c r="F1127" i="1"/>
  <c r="F1131" i="1"/>
  <c r="F1135" i="1"/>
  <c r="F1141" i="1"/>
  <c r="F1893" i="1"/>
  <c r="F1911" i="1"/>
  <c r="F1939" i="1"/>
  <c r="F1959" i="1"/>
  <c r="F1977" i="1"/>
  <c r="F2027" i="1"/>
  <c r="F2043" i="1"/>
  <c r="F2049" i="1"/>
  <c r="F2292" i="1"/>
  <c r="F3794" i="1"/>
  <c r="F3790" i="1"/>
  <c r="F3788" i="1"/>
  <c r="F3786" i="1"/>
  <c r="F3776" i="1"/>
  <c r="F3610" i="1"/>
  <c r="F3608" i="1"/>
  <c r="F3417" i="1"/>
  <c r="F3409" i="1"/>
  <c r="F3401" i="1"/>
  <c r="F4102" i="1"/>
  <c r="F4100" i="1"/>
  <c r="F4090" i="1"/>
  <c r="F4033" i="1"/>
  <c r="F4031" i="1"/>
  <c r="F4025" i="1"/>
  <c r="F4015" i="1"/>
  <c r="F3983" i="1"/>
  <c r="F3981" i="1"/>
  <c r="F3891" i="1"/>
  <c r="F3886" i="1"/>
  <c r="F678" i="1"/>
  <c r="F692" i="1"/>
  <c r="F901" i="1"/>
  <c r="F909" i="1"/>
  <c r="F948" i="1"/>
  <c r="F1027" i="1"/>
  <c r="F1211" i="1"/>
  <c r="F1524" i="1"/>
  <c r="F2183" i="1"/>
  <c r="F2193" i="1"/>
  <c r="F2386" i="1"/>
  <c r="F2938" i="1"/>
  <c r="F3770" i="1"/>
  <c r="F3768" i="1"/>
  <c r="F3760" i="1"/>
  <c r="F3758" i="1"/>
  <c r="F3750" i="1"/>
  <c r="F3690" i="1"/>
  <c r="F3629" i="1"/>
  <c r="F3592" i="1"/>
  <c r="F3588" i="1"/>
  <c r="F3550" i="1"/>
  <c r="F3546" i="1"/>
  <c r="F3445" i="1"/>
  <c r="F3437" i="1"/>
  <c r="F3429" i="1"/>
  <c r="F3421" i="1"/>
  <c r="F3376" i="1"/>
  <c r="F3370" i="1"/>
  <c r="F4331" i="1"/>
  <c r="F4308" i="1"/>
  <c r="F4297" i="1"/>
  <c r="F4271" i="1"/>
  <c r="F4233" i="1"/>
  <c r="F4231" i="1"/>
  <c r="F4229" i="1"/>
  <c r="F4217" i="1"/>
  <c r="F4213" i="1"/>
  <c r="F4181" i="1"/>
  <c r="F4175" i="1"/>
  <c r="F4170" i="1"/>
  <c r="F4121" i="1"/>
  <c r="F4046" i="1"/>
  <c r="F3943" i="1"/>
  <c r="F3937" i="1"/>
  <c r="F3935" i="1"/>
  <c r="F3933" i="1"/>
  <c r="F3931" i="1"/>
  <c r="F3929" i="1"/>
  <c r="F3925" i="1"/>
  <c r="F3858" i="1"/>
  <c r="F648" i="1"/>
  <c r="F672" i="1"/>
  <c r="F680" i="1"/>
  <c r="F684" i="1"/>
  <c r="F690" i="1"/>
  <c r="F696" i="1"/>
  <c r="F704" i="1"/>
  <c r="F887" i="1"/>
  <c r="F998" i="1"/>
  <c r="F660" i="1"/>
  <c r="F710" i="1"/>
  <c r="F712" i="1"/>
  <c r="F716" i="1"/>
  <c r="F1916" i="1"/>
  <c r="F1932" i="1"/>
  <c r="F1938" i="1"/>
  <c r="F1972" i="1"/>
  <c r="F1976" i="1"/>
  <c r="F1984" i="1"/>
  <c r="F1990" i="1"/>
  <c r="F1992" i="1"/>
  <c r="F2548" i="1"/>
  <c r="F2576" i="1"/>
  <c r="F2584" i="1"/>
  <c r="F2586" i="1"/>
  <c r="F2829" i="1"/>
  <c r="F2986" i="1"/>
  <c r="F3012" i="1"/>
  <c r="F3077" i="1"/>
  <c r="F3781" i="1"/>
  <c r="F3720" i="1"/>
  <c r="F3627" i="1"/>
  <c r="F3562" i="1"/>
  <c r="F3336" i="1"/>
  <c r="F3322" i="1"/>
  <c r="F3308" i="1"/>
  <c r="F3296" i="1"/>
  <c r="F4258" i="1"/>
  <c r="F4197" i="1"/>
  <c r="F615" i="1"/>
  <c r="F979" i="1"/>
  <c r="F1022" i="1"/>
  <c r="F1030" i="1"/>
  <c r="F1036" i="1"/>
  <c r="F1537" i="1"/>
  <c r="F1539" i="1"/>
  <c r="F2184" i="1"/>
  <c r="F2857" i="1"/>
  <c r="F2889" i="1"/>
  <c r="F2893" i="1"/>
  <c r="F3020" i="1"/>
  <c r="F3022" i="1"/>
  <c r="F3028" i="1"/>
  <c r="F3030" i="1"/>
  <c r="F3361" i="1"/>
  <c r="F3345" i="1"/>
  <c r="F4290" i="1"/>
  <c r="F4230" i="1"/>
  <c r="F4228" i="1"/>
  <c r="F4222" i="1"/>
  <c r="F3975" i="1"/>
  <c r="F643" i="1"/>
  <c r="F820" i="1"/>
  <c r="F1032" i="1"/>
  <c r="F1034" i="1"/>
  <c r="F1409" i="1"/>
  <c r="F1433" i="1"/>
  <c r="F1473" i="1"/>
  <c r="F1489" i="1"/>
  <c r="F2198" i="1"/>
  <c r="F2204" i="1"/>
  <c r="F2212" i="1"/>
  <c r="F2214" i="1"/>
  <c r="F2218" i="1"/>
  <c r="F2222" i="1"/>
  <c r="F2226" i="1"/>
  <c r="F2242" i="1"/>
  <c r="F2250" i="1"/>
  <c r="F2254" i="1"/>
  <c r="F2281" i="1"/>
  <c r="F4336" i="1"/>
  <c r="F4330" i="1"/>
  <c r="F4326" i="1"/>
  <c r="F4305" i="1"/>
  <c r="F4030" i="1"/>
  <c r="F4018" i="1"/>
  <c r="F4016" i="1"/>
  <c r="F3998" i="1"/>
  <c r="F3992" i="1"/>
  <c r="F3988" i="1"/>
  <c r="F3986" i="1"/>
  <c r="F3902" i="1"/>
  <c r="F68" i="1"/>
  <c r="F86" i="1"/>
  <c r="F92" i="1"/>
  <c r="F94" i="1"/>
  <c r="F129" i="1"/>
  <c r="F199" i="1"/>
  <c r="F241" i="1"/>
  <c r="F839" i="1"/>
  <c r="F843" i="1"/>
  <c r="F853" i="1"/>
  <c r="F865" i="1"/>
  <c r="F942" i="1"/>
  <c r="F944" i="1"/>
  <c r="F950" i="1"/>
  <c r="F958" i="1"/>
  <c r="F966" i="1"/>
  <c r="F974" i="1"/>
  <c r="F1164" i="1"/>
  <c r="F1204" i="1"/>
  <c r="F492" i="1"/>
  <c r="F500" i="1"/>
  <c r="F510" i="1"/>
  <c r="F816" i="1"/>
  <c r="F818" i="1"/>
  <c r="F1006" i="1"/>
  <c r="F1008" i="1"/>
  <c r="F112" i="1"/>
  <c r="F120" i="1"/>
  <c r="F214" i="1"/>
  <c r="F7" i="1"/>
  <c r="F1117" i="1"/>
  <c r="F1231" i="1"/>
  <c r="F1243" i="1"/>
  <c r="F1261" i="1"/>
  <c r="F1277" i="1"/>
  <c r="F1285" i="1"/>
  <c r="F1291" i="1"/>
  <c r="F1305" i="1"/>
  <c r="F1419" i="1"/>
  <c r="F658" i="1"/>
  <c r="F664" i="1"/>
  <c r="F790" i="1"/>
  <c r="F987" i="1"/>
  <c r="F989" i="1"/>
  <c r="F587" i="1"/>
  <c r="F830" i="1"/>
  <c r="F55" i="1"/>
  <c r="F65" i="1"/>
  <c r="F71" i="1"/>
  <c r="F244" i="1"/>
  <c r="F252" i="1"/>
  <c r="F258" i="1"/>
  <c r="F266" i="1"/>
  <c r="F274" i="1"/>
  <c r="F452" i="1"/>
  <c r="F524" i="1"/>
  <c r="F530" i="1"/>
  <c r="F532" i="1"/>
  <c r="F536" i="1"/>
  <c r="F540" i="1"/>
  <c r="F544" i="1"/>
  <c r="F552" i="1"/>
  <c r="F556" i="1"/>
  <c r="F562" i="1"/>
  <c r="F568" i="1"/>
  <c r="F770" i="1"/>
  <c r="F776" i="1"/>
  <c r="F802" i="1"/>
  <c r="F804" i="1"/>
  <c r="F881" i="1"/>
  <c r="F921" i="1"/>
  <c r="F927" i="1"/>
  <c r="F995" i="1"/>
  <c r="F1003" i="1"/>
  <c r="F1040" i="1"/>
  <c r="F1046" i="1"/>
  <c r="F1052" i="1"/>
  <c r="F1054" i="1"/>
  <c r="F1212" i="1"/>
  <c r="F1429" i="1"/>
  <c r="F1437" i="1"/>
  <c r="F1459" i="1"/>
  <c r="F1461" i="1"/>
  <c r="F1477" i="1"/>
  <c r="F1485" i="1"/>
  <c r="F1697" i="1"/>
  <c r="F1699" i="1"/>
  <c r="F1707" i="1"/>
  <c r="F1713" i="1"/>
  <c r="F1721" i="1"/>
  <c r="F1872" i="1"/>
  <c r="F1886" i="1"/>
  <c r="F1902" i="1"/>
  <c r="F2017" i="1"/>
  <c r="F2025" i="1"/>
  <c r="F2279" i="1"/>
  <c r="F2306" i="1"/>
  <c r="F2312" i="1"/>
  <c r="F2354" i="1"/>
  <c r="F2362" i="1"/>
  <c r="F2487" i="1"/>
  <c r="F2536" i="1"/>
  <c r="F2845" i="1"/>
  <c r="F2847" i="1"/>
  <c r="F3059" i="1"/>
  <c r="F3075" i="1"/>
  <c r="F3083" i="1"/>
  <c r="F3085" i="1"/>
  <c r="F3181" i="1"/>
  <c r="F3555" i="1"/>
  <c r="F3412" i="1"/>
  <c r="F3406" i="1"/>
  <c r="F4050" i="1"/>
  <c r="F1999" i="1"/>
  <c r="F2526" i="1"/>
  <c r="F3365" i="1"/>
  <c r="F3363" i="1"/>
  <c r="F3359" i="1"/>
  <c r="F3357" i="1"/>
  <c r="F4321" i="1"/>
  <c r="F4319" i="1"/>
  <c r="F4238" i="1"/>
  <c r="F4115" i="1"/>
  <c r="F4109" i="1"/>
  <c r="F209" i="1"/>
  <c r="F217" i="1"/>
  <c r="F292" i="1"/>
  <c r="F434" i="1"/>
  <c r="F630" i="1"/>
  <c r="F632" i="1"/>
  <c r="F636" i="1"/>
  <c r="F640" i="1"/>
  <c r="F644" i="1"/>
  <c r="F646" i="1"/>
  <c r="F652" i="1"/>
  <c r="F675" i="1"/>
  <c r="F679" i="1"/>
  <c r="F722" i="1"/>
  <c r="F724" i="1"/>
  <c r="F732" i="1"/>
  <c r="F736" i="1"/>
  <c r="F738" i="1"/>
  <c r="F744" i="1"/>
  <c r="F786" i="1"/>
  <c r="F823" i="1"/>
  <c r="F870" i="1"/>
  <c r="F906" i="1"/>
  <c r="F912" i="1"/>
  <c r="F941" i="1"/>
  <c r="F963" i="1"/>
  <c r="F971" i="1"/>
  <c r="F984" i="1"/>
  <c r="F990" i="1"/>
  <c r="F992" i="1"/>
  <c r="F1011" i="1"/>
  <c r="F1029" i="1"/>
  <c r="F1033" i="1"/>
  <c r="F1035" i="1"/>
  <c r="F1118" i="1"/>
  <c r="F1165" i="1"/>
  <c r="F1173" i="1"/>
  <c r="F1187" i="1"/>
  <c r="F1191" i="1"/>
  <c r="F1193" i="1"/>
  <c r="F1240" i="1"/>
  <c r="F1412" i="1"/>
  <c r="F1739" i="1"/>
  <c r="F1869" i="1"/>
  <c r="F1920" i="1"/>
  <c r="F2004" i="1"/>
  <c r="F2063" i="1"/>
  <c r="F2073" i="1"/>
  <c r="F2079" i="1"/>
  <c r="F2087" i="1"/>
  <c r="F2189" i="1"/>
  <c r="F2216" i="1"/>
  <c r="F2396" i="1"/>
  <c r="F2430" i="1"/>
  <c r="F2484" i="1"/>
  <c r="F2513" i="1"/>
  <c r="F3742" i="1"/>
  <c r="F3722" i="1"/>
  <c r="F3702" i="1"/>
  <c r="F4328" i="1"/>
  <c r="F4261" i="1"/>
  <c r="F4126" i="1"/>
  <c r="F3999" i="1"/>
  <c r="F3997" i="1"/>
  <c r="F3995" i="1"/>
  <c r="F3993" i="1"/>
  <c r="F3989" i="1"/>
  <c r="F620" i="1"/>
  <c r="F896" i="1"/>
  <c r="F918" i="1"/>
  <c r="F920" i="1"/>
  <c r="F928" i="1"/>
  <c r="F977" i="1"/>
  <c r="F1084" i="1"/>
  <c r="F1102" i="1"/>
  <c r="F1543" i="1"/>
  <c r="F1588" i="1"/>
  <c r="F1596" i="1"/>
  <c r="F1628" i="1"/>
  <c r="F1644" i="1"/>
  <c r="F1692" i="1"/>
  <c r="F1696" i="1"/>
  <c r="F1726" i="1"/>
  <c r="F1734" i="1"/>
  <c r="F1851" i="1"/>
  <c r="F1881" i="1"/>
  <c r="F1887" i="1"/>
  <c r="F1889" i="1"/>
  <c r="F1903" i="1"/>
  <c r="F1905" i="1"/>
  <c r="F1913" i="1"/>
  <c r="F2010" i="1"/>
  <c r="F2026" i="1"/>
  <c r="F2028" i="1"/>
  <c r="F2056" i="1"/>
  <c r="F2058" i="1"/>
  <c r="F2282" i="1"/>
  <c r="F2309" i="1"/>
  <c r="F2365" i="1"/>
  <c r="F2440" i="1"/>
  <c r="F2448" i="1"/>
  <c r="F2943" i="1"/>
  <c r="F2953" i="1"/>
  <c r="F3054" i="1"/>
  <c r="F3174" i="1"/>
  <c r="F3194" i="1"/>
  <c r="F3218" i="1"/>
  <c r="F3226" i="1"/>
  <c r="F3232" i="1"/>
  <c r="F3234" i="1"/>
  <c r="F4272" i="1"/>
  <c r="F4225" i="1"/>
  <c r="F3905" i="1"/>
  <c r="F3903" i="1"/>
  <c r="F1510" i="1"/>
  <c r="F1565" i="1"/>
  <c r="F1760" i="1"/>
  <c r="F1790" i="1"/>
  <c r="F1792" i="1"/>
  <c r="F1796" i="1"/>
  <c r="F1830" i="1"/>
  <c r="F1834" i="1"/>
  <c r="F1842" i="1"/>
  <c r="F1844" i="1"/>
  <c r="F1925" i="1"/>
  <c r="F1927" i="1"/>
  <c r="F1935" i="1"/>
  <c r="F2072" i="1"/>
  <c r="F2080" i="1"/>
  <c r="F2086" i="1"/>
  <c r="F2201" i="1"/>
  <c r="F2211" i="1"/>
  <c r="F2251" i="1"/>
  <c r="F3490" i="1"/>
  <c r="F4341" i="1"/>
  <c r="F4337" i="1"/>
  <c r="F4093" i="1"/>
  <c r="F4091" i="1"/>
  <c r="F4085" i="1"/>
  <c r="F1045" i="1"/>
  <c r="F1085" i="1"/>
  <c r="F1101" i="1"/>
  <c r="F1109" i="1"/>
  <c r="F1148" i="1"/>
  <c r="F1154" i="1"/>
  <c r="F1307" i="1"/>
  <c r="F1323" i="1"/>
  <c r="F1357" i="1"/>
  <c r="F1361" i="1"/>
  <c r="F1365" i="1"/>
  <c r="F1373" i="1"/>
  <c r="F1385" i="1"/>
  <c r="F1581" i="1"/>
  <c r="F1583" i="1"/>
  <c r="F1605" i="1"/>
  <c r="F1611" i="1"/>
  <c r="F1633" i="1"/>
  <c r="F1643" i="1"/>
  <c r="F1649" i="1"/>
  <c r="F1653" i="1"/>
  <c r="F1673" i="1"/>
  <c r="F1681" i="1"/>
  <c r="F1691" i="1"/>
  <c r="F1850" i="1"/>
  <c r="F1858" i="1"/>
  <c r="F1866" i="1"/>
  <c r="F1961" i="1"/>
  <c r="F1969" i="1"/>
  <c r="F1973" i="1"/>
  <c r="F1985" i="1"/>
  <c r="F2104" i="1"/>
  <c r="F2108" i="1"/>
  <c r="F2112" i="1"/>
  <c r="F2118" i="1"/>
  <c r="F2128" i="1"/>
  <c r="F2138" i="1"/>
  <c r="F2144" i="1"/>
  <c r="F2150" i="1"/>
  <c r="F3294" i="1"/>
  <c r="F4293" i="1"/>
  <c r="F4029" i="1"/>
  <c r="F2556" i="1"/>
  <c r="F2572" i="1"/>
  <c r="F2588" i="1"/>
  <c r="F2596" i="1"/>
  <c r="F3019" i="1"/>
  <c r="F3027" i="1"/>
  <c r="F3094" i="1"/>
  <c r="F3108" i="1"/>
  <c r="F3122" i="1"/>
  <c r="F3124" i="1"/>
  <c r="F3277" i="1"/>
  <c r="F3285" i="1"/>
  <c r="F3821" i="1"/>
  <c r="F3806" i="1"/>
  <c r="F3798" i="1"/>
  <c r="F3796" i="1"/>
  <c r="F3766" i="1"/>
  <c r="F3719" i="1"/>
  <c r="F3705" i="1"/>
  <c r="F3699" i="1"/>
  <c r="F3688" i="1"/>
  <c r="F3579" i="1"/>
  <c r="F3561" i="1"/>
  <c r="F3483" i="1"/>
  <c r="F3444" i="1"/>
  <c r="F3344" i="1"/>
  <c r="F3304" i="1"/>
  <c r="F4384" i="1"/>
  <c r="F4380" i="1"/>
  <c r="F4378" i="1"/>
  <c r="F4338" i="1"/>
  <c r="F4325" i="1"/>
  <c r="F4299" i="1"/>
  <c r="F4288" i="1"/>
  <c r="F4284" i="1"/>
  <c r="F4276" i="1"/>
  <c r="F4274" i="1"/>
  <c r="F4203" i="1"/>
  <c r="F4199" i="1"/>
  <c r="F4193" i="1"/>
  <c r="F4191" i="1"/>
  <c r="F4168" i="1"/>
  <c r="F4162" i="1"/>
  <c r="F4154" i="1"/>
  <c r="F4145" i="1"/>
  <c r="F4139" i="1"/>
  <c r="F4135" i="1"/>
  <c r="F4133" i="1"/>
  <c r="F4129" i="1"/>
  <c r="F4110" i="1"/>
  <c r="F4088" i="1"/>
  <c r="F4072" i="1"/>
  <c r="F4070" i="1"/>
  <c r="F4066" i="1"/>
  <c r="F4062" i="1"/>
  <c r="F4009" i="1"/>
  <c r="F3944" i="1"/>
  <c r="F3938" i="1"/>
  <c r="F3934" i="1"/>
  <c r="F3928" i="1"/>
  <c r="F3881" i="1"/>
  <c r="F3875" i="1"/>
  <c r="F3859" i="1"/>
  <c r="F3855" i="1"/>
  <c r="F2925" i="1"/>
  <c r="F2933" i="1"/>
  <c r="F3099" i="1"/>
  <c r="F3242" i="1"/>
  <c r="F3258" i="1"/>
  <c r="F3805" i="1"/>
  <c r="F3714" i="1"/>
  <c r="F3706" i="1"/>
  <c r="F3677" i="1"/>
  <c r="F3578" i="1"/>
  <c r="F3543" i="1"/>
  <c r="F2714" i="1"/>
  <c r="F2865" i="1"/>
  <c r="F2867" i="1"/>
  <c r="F2873" i="1"/>
  <c r="F2879" i="1"/>
  <c r="F2887" i="1"/>
  <c r="F3175" i="1"/>
  <c r="F3597" i="1"/>
  <c r="F3566" i="1"/>
  <c r="F3482" i="1"/>
  <c r="F3447" i="1"/>
  <c r="F3441" i="1"/>
  <c r="F3433" i="1"/>
  <c r="F3372" i="1"/>
  <c r="F3347" i="1"/>
  <c r="F3341" i="1"/>
  <c r="F4377" i="1"/>
  <c r="F4346" i="1"/>
  <c r="F4333" i="1"/>
  <c r="F4324" i="1"/>
  <c r="F4313" i="1"/>
  <c r="F4294" i="1"/>
  <c r="F4289" i="1"/>
  <c r="F4285" i="1"/>
  <c r="F4281" i="1"/>
  <c r="F4239" i="1"/>
  <c r="F4221" i="1"/>
  <c r="F4219" i="1"/>
  <c r="F4208" i="1"/>
  <c r="F4206" i="1"/>
  <c r="F4204" i="1"/>
  <c r="F4202" i="1"/>
  <c r="F4185" i="1"/>
  <c r="F4167" i="1"/>
  <c r="F4165" i="1"/>
  <c r="F4144" i="1"/>
  <c r="F4142" i="1"/>
  <c r="F4140" i="1"/>
  <c r="F4138" i="1"/>
  <c r="F4130" i="1"/>
  <c r="F4094" i="1"/>
  <c r="F4089" i="1"/>
  <c r="F4077" i="1"/>
  <c r="F4073" i="1"/>
  <c r="F4048" i="1"/>
  <c r="F4042" i="1"/>
  <c r="F4027" i="1"/>
  <c r="F4008" i="1"/>
  <c r="F4006" i="1"/>
  <c r="F4002" i="1"/>
  <c r="F3945" i="1"/>
  <c r="F3939" i="1"/>
  <c r="F3920" i="1"/>
  <c r="F3918" i="1"/>
  <c r="F3914" i="1"/>
  <c r="F3901" i="1"/>
  <c r="F3880" i="1"/>
  <c r="F3874" i="1"/>
  <c r="F3870" i="1"/>
  <c r="F3864" i="1"/>
  <c r="F2734" i="1"/>
  <c r="F2742" i="1"/>
  <c r="F2762" i="1"/>
  <c r="F2784" i="1"/>
  <c r="F3003" i="1"/>
  <c r="F3044" i="1"/>
  <c r="F3842" i="1"/>
  <c r="F3834" i="1"/>
  <c r="F3826" i="1"/>
  <c r="F3789" i="1"/>
  <c r="F3779" i="1"/>
  <c r="F3775" i="1"/>
  <c r="F3773" i="1"/>
  <c r="F3669" i="1"/>
  <c r="F3659" i="1"/>
  <c r="F3653" i="1"/>
  <c r="F3643" i="1"/>
  <c r="F3605" i="1"/>
  <c r="F3533" i="1"/>
  <c r="F3384" i="1"/>
  <c r="F3382" i="1"/>
  <c r="F3325" i="1"/>
  <c r="F3321" i="1"/>
  <c r="F3317" i="1"/>
  <c r="F3309" i="1"/>
  <c r="F4364" i="1"/>
  <c r="F4360" i="1"/>
  <c r="F4335" i="1"/>
  <c r="F4257" i="1"/>
  <c r="F4251" i="1"/>
  <c r="F4243" i="1"/>
  <c r="F4236" i="1"/>
  <c r="F4179" i="1"/>
  <c r="F4172" i="1"/>
  <c r="F4157" i="1"/>
  <c r="F4155" i="1"/>
  <c r="F4104" i="1"/>
  <c r="F4098" i="1"/>
  <c r="F4083" i="1"/>
  <c r="F4040" i="1"/>
  <c r="F4036" i="1"/>
  <c r="F4021" i="1"/>
  <c r="F3954" i="1"/>
  <c r="F3952" i="1"/>
  <c r="F3910" i="1"/>
  <c r="F3899" i="1"/>
  <c r="F3897" i="1"/>
  <c r="F3893" i="1"/>
  <c r="F2652" i="1"/>
  <c r="F2809" i="1"/>
  <c r="F2817" i="1"/>
  <c r="F2899" i="1"/>
  <c r="F2909" i="1"/>
  <c r="F3070" i="1"/>
  <c r="F3076" i="1"/>
  <c r="F3205" i="1"/>
  <c r="F3778" i="1"/>
  <c r="F3745" i="1"/>
  <c r="F3737" i="1"/>
  <c r="F3735" i="1"/>
  <c r="F3733" i="1"/>
  <c r="F3727" i="1"/>
  <c r="F3725" i="1"/>
  <c r="F3723" i="1"/>
  <c r="F3658" i="1"/>
  <c r="F3616" i="1"/>
  <c r="F3575" i="1"/>
  <c r="F3554" i="1"/>
  <c r="F3509" i="1"/>
  <c r="F3481" i="1"/>
  <c r="F3474" i="1"/>
  <c r="F3472" i="1"/>
  <c r="F3466" i="1"/>
  <c r="F3458" i="1"/>
  <c r="F3413" i="1"/>
  <c r="F3405" i="1"/>
  <c r="F3397" i="1"/>
  <c r="F3368" i="1"/>
  <c r="F3366" i="1"/>
  <c r="F3362" i="1"/>
  <c r="F3360" i="1"/>
  <c r="F3324" i="1"/>
  <c r="F3316" i="1"/>
  <c r="F4340" i="1"/>
  <c r="F4329" i="1"/>
  <c r="F4320" i="1"/>
  <c r="F4303" i="1"/>
  <c r="F4292" i="1"/>
  <c r="F4266" i="1"/>
  <c r="F4260" i="1"/>
  <c r="F4254" i="1"/>
  <c r="F4246" i="1"/>
  <c r="F4232" i="1"/>
  <c r="F4226" i="1"/>
  <c r="F4218" i="1"/>
  <c r="F4211" i="1"/>
  <c r="F4180" i="1"/>
  <c r="F4178" i="1"/>
  <c r="F4158" i="1"/>
  <c r="F4147" i="1"/>
  <c r="F4112" i="1"/>
  <c r="F4051" i="1"/>
  <c r="F4022" i="1"/>
  <c r="F4020" i="1"/>
  <c r="F3996" i="1"/>
  <c r="F3990" i="1"/>
  <c r="F3982" i="1"/>
  <c r="F3969" i="1"/>
  <c r="F3967" i="1"/>
  <c r="F3955" i="1"/>
  <c r="F3950" i="1"/>
  <c r="F3892" i="1"/>
  <c r="F164" i="1"/>
  <c r="F172" i="1"/>
  <c r="F180" i="1"/>
  <c r="F555" i="1"/>
  <c r="F558" i="1"/>
  <c r="F797" i="1"/>
  <c r="F806" i="1"/>
  <c r="F414" i="1"/>
  <c r="F422" i="1"/>
  <c r="F430" i="1"/>
  <c r="F444" i="1"/>
  <c r="F85" i="1"/>
  <c r="F228" i="1"/>
  <c r="F370" i="1"/>
  <c r="F622" i="1"/>
  <c r="F708" i="1"/>
  <c r="F829" i="1"/>
  <c r="F535" i="1"/>
  <c r="F560" i="1"/>
  <c r="F694" i="1"/>
  <c r="F817" i="1"/>
  <c r="F905" i="1"/>
  <c r="F9" i="1"/>
  <c r="F133" i="1"/>
  <c r="F402" i="1"/>
  <c r="F688" i="1"/>
  <c r="F760" i="1"/>
  <c r="F774" i="1"/>
  <c r="F780" i="1"/>
  <c r="F792" i="1"/>
  <c r="F814" i="1"/>
  <c r="F87" i="1"/>
  <c r="F215" i="1"/>
  <c r="F484" i="1"/>
  <c r="F608" i="1"/>
  <c r="F782" i="1"/>
  <c r="F832" i="1"/>
  <c r="F885" i="1"/>
  <c r="F1083" i="1"/>
  <c r="F1133" i="1"/>
  <c r="F1149" i="1"/>
  <c r="F1171" i="1"/>
  <c r="F1251" i="1"/>
  <c r="F1297" i="1"/>
  <c r="F1351" i="1"/>
  <c r="F1435" i="1"/>
  <c r="F1475" i="1"/>
  <c r="F1523" i="1"/>
  <c r="F1597" i="1"/>
  <c r="F1733" i="1"/>
  <c r="F2210" i="1"/>
  <c r="F1107" i="1"/>
  <c r="F13" i="1"/>
  <c r="F15" i="1"/>
  <c r="F35" i="1"/>
  <c r="F53" i="1"/>
  <c r="F64" i="1"/>
  <c r="F168" i="1"/>
  <c r="F176" i="1"/>
  <c r="F186" i="1"/>
  <c r="F201" i="1"/>
  <c r="F203" i="1"/>
  <c r="F227" i="1"/>
  <c r="F233" i="1"/>
  <c r="F249" i="1"/>
  <c r="F271" i="1"/>
  <c r="F279" i="1"/>
  <c r="F298" i="1"/>
  <c r="F300" i="1"/>
  <c r="F322" i="1"/>
  <c r="F330" i="1"/>
  <c r="F412" i="1"/>
  <c r="F496" i="1"/>
  <c r="F526" i="1"/>
  <c r="F548" i="1"/>
  <c r="F700" i="1"/>
  <c r="F706" i="1"/>
  <c r="F752" i="1"/>
  <c r="F758" i="1"/>
  <c r="F772" i="1"/>
  <c r="F805" i="1"/>
  <c r="F812" i="1"/>
  <c r="F889" i="1"/>
  <c r="F923" i="1"/>
  <c r="F925" i="1"/>
  <c r="F934" i="1"/>
  <c r="F968" i="1"/>
  <c r="F1048" i="1"/>
  <c r="F1095" i="1"/>
  <c r="F1103" i="1"/>
  <c r="F1124" i="1"/>
  <c r="F1153" i="1"/>
  <c r="F1189" i="1"/>
  <c r="F1203" i="1"/>
  <c r="F1205" i="1"/>
  <c r="F1290" i="1"/>
  <c r="F1293" i="1"/>
  <c r="F1301" i="1"/>
  <c r="F1345" i="1"/>
  <c r="F1390" i="1"/>
  <c r="F1401" i="1"/>
  <c r="F1923" i="1"/>
  <c r="F1931" i="1"/>
  <c r="F2098" i="1"/>
  <c r="F1215" i="1"/>
  <c r="F1239" i="1"/>
  <c r="F1245" i="1"/>
  <c r="F1772" i="1"/>
  <c r="F1953" i="1"/>
  <c r="F12" i="1"/>
  <c r="F50" i="1"/>
  <c r="F78" i="1"/>
  <c r="F80" i="1"/>
  <c r="F127" i="1"/>
  <c r="F137" i="1"/>
  <c r="F145" i="1"/>
  <c r="F151" i="1"/>
  <c r="F157" i="1"/>
  <c r="F165" i="1"/>
  <c r="F181" i="1"/>
  <c r="F262" i="1"/>
  <c r="F270" i="1"/>
  <c r="F295" i="1"/>
  <c r="F303" i="1"/>
  <c r="F311" i="1"/>
  <c r="F398" i="1"/>
  <c r="F512" i="1"/>
  <c r="F515" i="1"/>
  <c r="F523" i="1"/>
  <c r="F564" i="1"/>
  <c r="F567" i="1"/>
  <c r="F596" i="1"/>
  <c r="F606" i="1"/>
  <c r="F668" i="1"/>
  <c r="F674" i="1"/>
  <c r="F711" i="1"/>
  <c r="F720" i="1"/>
  <c r="F726" i="1"/>
  <c r="F740" i="1"/>
  <c r="F801" i="1"/>
  <c r="F808" i="1"/>
  <c r="F825" i="1"/>
  <c r="F856" i="1"/>
  <c r="F873" i="1"/>
  <c r="F919" i="1"/>
  <c r="F922" i="1"/>
  <c r="F985" i="1"/>
  <c r="F988" i="1"/>
  <c r="F1067" i="1"/>
  <c r="F1100" i="1"/>
  <c r="F1140" i="1"/>
  <c r="F1142" i="1"/>
  <c r="F1150" i="1"/>
  <c r="F1161" i="1"/>
  <c r="F1172" i="1"/>
  <c r="F1181" i="1"/>
  <c r="F1219" i="1"/>
  <c r="F1233" i="1"/>
  <c r="F1298" i="1"/>
  <c r="F1315" i="1"/>
  <c r="F1331" i="1"/>
  <c r="F1355" i="1"/>
  <c r="F1369" i="1"/>
  <c r="F1538" i="1"/>
  <c r="F1552" i="1"/>
  <c r="F1630" i="1"/>
  <c r="F2090" i="1"/>
  <c r="F2322" i="1"/>
  <c r="F2349" i="1"/>
  <c r="F2393" i="1"/>
  <c r="F1441" i="1"/>
  <c r="F1449" i="1"/>
  <c r="F1457" i="1"/>
  <c r="F1465" i="1"/>
  <c r="F1603" i="1"/>
  <c r="F1609" i="1"/>
  <c r="F1665" i="1"/>
  <c r="F1843" i="1"/>
  <c r="F6" i="1"/>
  <c r="F14" i="1"/>
  <c r="F74" i="1"/>
  <c r="F131" i="1"/>
  <c r="F161" i="1"/>
  <c r="F169" i="1"/>
  <c r="F177" i="1"/>
  <c r="F185" i="1"/>
  <c r="F299" i="1"/>
  <c r="F307" i="1"/>
  <c r="F408" i="1"/>
  <c r="F600" i="1"/>
  <c r="F619" i="1"/>
  <c r="F647" i="1"/>
  <c r="F656" i="1"/>
  <c r="F662" i="1"/>
  <c r="F676" i="1"/>
  <c r="F742" i="1"/>
  <c r="F748" i="1"/>
  <c r="F754" i="1"/>
  <c r="F768" i="1"/>
  <c r="F800" i="1"/>
  <c r="F827" i="1"/>
  <c r="F880" i="1"/>
  <c r="F888" i="1"/>
  <c r="F910" i="1"/>
  <c r="F939" i="1"/>
  <c r="F955" i="1"/>
  <c r="F964" i="1"/>
  <c r="F1013" i="1"/>
  <c r="F1016" i="1"/>
  <c r="F1047" i="1"/>
  <c r="F1094" i="1"/>
  <c r="F1125" i="1"/>
  <c r="F1152" i="1"/>
  <c r="F1188" i="1"/>
  <c r="F1196" i="1"/>
  <c r="F1246" i="1"/>
  <c r="F1281" i="1"/>
  <c r="F1289" i="1"/>
  <c r="F1505" i="1"/>
  <c r="F1513" i="1"/>
  <c r="F1640" i="1"/>
  <c r="F1810" i="1"/>
  <c r="F1818" i="1"/>
  <c r="F2552" i="1"/>
  <c r="F3118" i="1"/>
  <c r="F1061" i="1"/>
  <c r="F1108" i="1"/>
  <c r="F1158" i="1"/>
  <c r="F1180" i="1"/>
  <c r="F1257" i="1"/>
  <c r="F1295" i="1"/>
  <c r="F2417" i="1"/>
  <c r="F2460" i="1"/>
  <c r="F2502" i="1"/>
  <c r="F2656" i="1"/>
  <c r="F2664" i="1"/>
  <c r="F2678" i="1"/>
  <c r="F2722" i="1"/>
  <c r="F2738" i="1"/>
  <c r="F2835" i="1"/>
  <c r="F2846" i="1"/>
  <c r="F2849" i="1"/>
  <c r="F2888" i="1"/>
  <c r="F2891" i="1"/>
  <c r="F2916" i="1"/>
  <c r="F2919" i="1"/>
  <c r="F2960" i="1"/>
  <c r="F2968" i="1"/>
  <c r="F2979" i="1"/>
  <c r="F2987" i="1"/>
  <c r="F2998" i="1"/>
  <c r="F3029" i="1"/>
  <c r="F3062" i="1"/>
  <c r="F3078" i="1"/>
  <c r="F1662" i="1"/>
  <c r="F1670" i="1"/>
  <c r="F1686" i="1"/>
  <c r="F1741" i="1"/>
  <c r="F1777" i="1"/>
  <c r="F1785" i="1"/>
  <c r="F1801" i="1"/>
  <c r="F1815" i="1"/>
  <c r="F1876" i="1"/>
  <c r="F2007" i="1"/>
  <c r="F2131" i="1"/>
  <c r="F2155" i="1"/>
  <c r="F2174" i="1"/>
  <c r="F2207" i="1"/>
  <c r="F2215" i="1"/>
  <c r="F2231" i="1"/>
  <c r="F2302" i="1"/>
  <c r="F2305" i="1"/>
  <c r="F2311" i="1"/>
  <c r="F2330" i="1"/>
  <c r="F2338" i="1"/>
  <c r="F2346" i="1"/>
  <c r="F2390" i="1"/>
  <c r="F2398" i="1"/>
  <c r="F2527" i="1"/>
  <c r="F2590" i="1"/>
  <c r="F2614" i="1"/>
  <c r="F2686" i="1"/>
  <c r="F2716" i="1"/>
  <c r="F2719" i="1"/>
  <c r="F2743" i="1"/>
  <c r="F2754" i="1"/>
  <c r="F2778" i="1"/>
  <c r="F2885" i="1"/>
  <c r="F2905" i="1"/>
  <c r="F2913" i="1"/>
  <c r="F2941" i="1"/>
  <c r="F2949" i="1"/>
  <c r="F2957" i="1"/>
  <c r="F2973" i="1"/>
  <c r="F3048" i="1"/>
  <c r="F3102" i="1"/>
  <c r="F3707" i="1"/>
  <c r="F4381" i="1"/>
  <c r="F1347" i="1"/>
  <c r="F1349" i="1"/>
  <c r="F1387" i="1"/>
  <c r="F1395" i="1"/>
  <c r="F1406" i="1"/>
  <c r="F1423" i="1"/>
  <c r="F1428" i="1"/>
  <c r="F1667" i="1"/>
  <c r="F1675" i="1"/>
  <c r="F1708" i="1"/>
  <c r="F1749" i="1"/>
  <c r="F1897" i="1"/>
  <c r="F1936" i="1"/>
  <c r="F1963" i="1"/>
  <c r="F2059" i="1"/>
  <c r="F2095" i="1"/>
  <c r="F2136" i="1"/>
  <c r="F2244" i="1"/>
  <c r="F2252" i="1"/>
  <c r="F2337" i="1"/>
  <c r="F2345" i="1"/>
  <c r="F2524" i="1"/>
  <c r="F2554" i="1"/>
  <c r="F2632" i="1"/>
  <c r="F2658" i="1"/>
  <c r="F2660" i="1"/>
  <c r="F2812" i="1"/>
  <c r="F2820" i="1"/>
  <c r="F2839" i="1"/>
  <c r="F2851" i="1"/>
  <c r="F2859" i="1"/>
  <c r="F2862" i="1"/>
  <c r="F2884" i="1"/>
  <c r="F3074" i="1"/>
  <c r="F3082" i="1"/>
  <c r="F3117" i="1"/>
  <c r="F3147" i="1"/>
  <c r="F3835" i="1"/>
  <c r="F3816" i="1"/>
  <c r="F3813" i="1"/>
  <c r="F3802" i="1"/>
  <c r="F3754" i="1"/>
  <c r="F3718" i="1"/>
  <c r="F4361" i="1"/>
  <c r="F1960" i="1"/>
  <c r="F1979" i="1"/>
  <c r="F2075" i="1"/>
  <c r="F2249" i="1"/>
  <c r="F2260" i="1"/>
  <c r="F2304" i="1"/>
  <c r="F2392" i="1"/>
  <c r="F2504" i="1"/>
  <c r="F2546" i="1"/>
  <c r="F2592" i="1"/>
  <c r="F2688" i="1"/>
  <c r="F2807" i="1"/>
  <c r="F2915" i="1"/>
  <c r="F3740" i="1"/>
  <c r="F1517" i="1"/>
  <c r="F1525" i="1"/>
  <c r="F1548" i="1"/>
  <c r="F1550" i="1"/>
  <c r="F1556" i="1"/>
  <c r="F1561" i="1"/>
  <c r="F1569" i="1"/>
  <c r="F1637" i="1"/>
  <c r="F1645" i="1"/>
  <c r="F1720" i="1"/>
  <c r="F1723" i="1"/>
  <c r="F1753" i="1"/>
  <c r="F1808" i="1"/>
  <c r="F1885" i="1"/>
  <c r="F1901" i="1"/>
  <c r="F1912" i="1"/>
  <c r="F1921" i="1"/>
  <c r="F1970" i="1"/>
  <c r="F1978" i="1"/>
  <c r="F2014" i="1"/>
  <c r="F2039" i="1"/>
  <c r="F2041" i="1"/>
  <c r="F2047" i="1"/>
  <c r="F2074" i="1"/>
  <c r="F2122" i="1"/>
  <c r="F2140" i="1"/>
  <c r="F2156" i="1"/>
  <c r="F2159" i="1"/>
  <c r="F2175" i="1"/>
  <c r="F2197" i="1"/>
  <c r="F2200" i="1"/>
  <c r="F2238" i="1"/>
  <c r="F2240" i="1"/>
  <c r="F2290" i="1"/>
  <c r="F2380" i="1"/>
  <c r="F2391" i="1"/>
  <c r="F2399" i="1"/>
  <c r="F2423" i="1"/>
  <c r="F2431" i="1"/>
  <c r="F2442" i="1"/>
  <c r="F2517" i="1"/>
  <c r="F2528" i="1"/>
  <c r="F2534" i="1"/>
  <c r="F2583" i="1"/>
  <c r="F2615" i="1"/>
  <c r="F2626" i="1"/>
  <c r="F2634" i="1"/>
  <c r="F2687" i="1"/>
  <c r="F2698" i="1"/>
  <c r="F2728" i="1"/>
  <c r="F2736" i="1"/>
  <c r="F2806" i="1"/>
  <c r="F2861" i="1"/>
  <c r="F2864" i="1"/>
  <c r="F2872" i="1"/>
  <c r="F2875" i="1"/>
  <c r="F2897" i="1"/>
  <c r="F2928" i="1"/>
  <c r="F3103" i="1"/>
  <c r="F3130" i="1"/>
  <c r="F3138" i="1"/>
  <c r="F3149" i="1"/>
  <c r="F3675" i="1"/>
  <c r="F3667" i="1"/>
  <c r="F3651" i="1"/>
  <c r="F1313" i="1"/>
  <c r="F1321" i="1"/>
  <c r="F1329" i="1"/>
  <c r="F1411" i="1"/>
  <c r="F1421" i="1"/>
  <c r="F1438" i="1"/>
  <c r="F1462" i="1"/>
  <c r="F1470" i="1"/>
  <c r="F1478" i="1"/>
  <c r="F1500" i="1"/>
  <c r="F1508" i="1"/>
  <c r="F1533" i="1"/>
  <c r="F1555" i="1"/>
  <c r="F1564" i="1"/>
  <c r="F1585" i="1"/>
  <c r="F1601" i="1"/>
  <c r="F1748" i="1"/>
  <c r="F1765" i="1"/>
  <c r="F1773" i="1"/>
  <c r="F1781" i="1"/>
  <c r="F1880" i="1"/>
  <c r="F1898" i="1"/>
  <c r="F1909" i="1"/>
  <c r="F1937" i="1"/>
  <c r="F1948" i="1"/>
  <c r="F1975" i="1"/>
  <c r="F1983" i="1"/>
  <c r="F2033" i="1"/>
  <c r="F2038" i="1"/>
  <c r="F2071" i="1"/>
  <c r="F2088" i="1"/>
  <c r="F2111" i="1"/>
  <c r="F2119" i="1"/>
  <c r="F2137" i="1"/>
  <c r="F2151" i="1"/>
  <c r="F2164" i="1"/>
  <c r="F2172" i="1"/>
  <c r="F2191" i="1"/>
  <c r="F2229" i="1"/>
  <c r="F2237" i="1"/>
  <c r="F2245" i="1"/>
  <c r="F2267" i="1"/>
  <c r="F2353" i="1"/>
  <c r="F2356" i="1"/>
  <c r="F2358" i="1"/>
  <c r="F2385" i="1"/>
  <c r="F2388" i="1"/>
  <c r="F2412" i="1"/>
  <c r="F2420" i="1"/>
  <c r="F2428" i="1"/>
  <c r="F2434" i="1"/>
  <c r="F2461" i="1"/>
  <c r="F2466" i="1"/>
  <c r="F2491" i="1"/>
  <c r="F2494" i="1"/>
  <c r="F2497" i="1"/>
  <c r="F2578" i="1"/>
  <c r="F2604" i="1"/>
  <c r="F2612" i="1"/>
  <c r="F2684" i="1"/>
  <c r="F2760" i="1"/>
  <c r="F2768" i="1"/>
  <c r="F2774" i="1"/>
  <c r="F2782" i="1"/>
  <c r="F2795" i="1"/>
  <c r="F2838" i="1"/>
  <c r="F2841" i="1"/>
  <c r="F2855" i="1"/>
  <c r="F2900" i="1"/>
  <c r="F2903" i="1"/>
  <c r="F2947" i="1"/>
  <c r="F2971" i="1"/>
  <c r="F2982" i="1"/>
  <c r="F2990" i="1"/>
  <c r="F3024" i="1"/>
  <c r="F3035" i="1"/>
  <c r="F3043" i="1"/>
  <c r="F3052" i="1"/>
  <c r="F3254" i="1"/>
  <c r="F3828" i="1"/>
  <c r="F3749" i="1"/>
  <c r="F3426" i="1"/>
  <c r="F3333" i="1"/>
  <c r="F3787" i="1"/>
  <c r="F3726" i="1"/>
  <c r="F3663" i="1"/>
  <c r="F3661" i="1"/>
  <c r="F3645" i="1"/>
  <c r="F3639" i="1"/>
  <c r="F3638" i="1"/>
  <c r="F3626" i="1"/>
  <c r="F3607" i="1"/>
  <c r="F3595" i="1"/>
  <c r="F3558" i="1"/>
  <c r="F3501" i="1"/>
  <c r="F3473" i="1"/>
  <c r="F3461" i="1"/>
  <c r="F3430" i="1"/>
  <c r="F3424" i="1"/>
  <c r="F3418" i="1"/>
  <c r="F3343" i="1"/>
  <c r="F3337" i="1"/>
  <c r="F3328" i="1"/>
  <c r="F3320" i="1"/>
  <c r="F4379" i="1"/>
  <c r="F4317" i="1"/>
  <c r="F2921" i="1"/>
  <c r="F2956" i="1"/>
  <c r="F2972" i="1"/>
  <c r="F3014" i="1"/>
  <c r="F3036" i="1"/>
  <c r="F3061" i="1"/>
  <c r="F3067" i="1"/>
  <c r="F3088" i="1"/>
  <c r="F3106" i="1"/>
  <c r="F3133" i="1"/>
  <c r="F3142" i="1"/>
  <c r="F3166" i="1"/>
  <c r="F3172" i="1"/>
  <c r="F3223" i="1"/>
  <c r="F3262" i="1"/>
  <c r="F3268" i="1"/>
  <c r="F3289" i="1"/>
  <c r="F3839" i="1"/>
  <c r="F3801" i="1"/>
  <c r="F3782" i="1"/>
  <c r="F3767" i="1"/>
  <c r="F3762" i="1"/>
  <c r="F3753" i="1"/>
  <c r="F3747" i="1"/>
  <c r="F3739" i="1"/>
  <c r="F3731" i="1"/>
  <c r="F3685" i="1"/>
  <c r="F3683" i="1"/>
  <c r="F3674" i="1"/>
  <c r="F3650" i="1"/>
  <c r="F3621" i="1"/>
  <c r="F3604" i="1"/>
  <c r="F3596" i="1"/>
  <c r="F3590" i="1"/>
  <c r="F3567" i="1"/>
  <c r="F3559" i="1"/>
  <c r="F3548" i="1"/>
  <c r="F3547" i="1"/>
  <c r="F3541" i="1"/>
  <c r="F3538" i="1"/>
  <c r="F3530" i="1"/>
  <c r="F3510" i="1"/>
  <c r="F3504" i="1"/>
  <c r="F3502" i="1"/>
  <c r="F3465" i="1"/>
  <c r="F3425" i="1"/>
  <c r="F3392" i="1"/>
  <c r="F3389" i="1"/>
  <c r="F3349" i="1"/>
  <c r="F3335" i="1"/>
  <c r="F3331" i="1"/>
  <c r="F3323" i="1"/>
  <c r="F3307" i="1"/>
  <c r="F4383" i="1"/>
  <c r="F4349" i="1"/>
  <c r="F4286" i="1"/>
  <c r="F4262" i="1"/>
  <c r="F4253" i="1"/>
  <c r="F3591" i="1"/>
  <c r="F3551" i="1"/>
  <c r="F3539" i="1"/>
  <c r="F3519" i="1"/>
  <c r="F3511" i="1"/>
  <c r="F3505" i="1"/>
  <c r="F3497" i="1"/>
  <c r="F3456" i="1"/>
  <c r="F3453" i="1"/>
  <c r="F3393" i="1"/>
  <c r="F3378" i="1"/>
  <c r="F3356" i="1"/>
  <c r="F3326" i="1"/>
  <c r="F4370" i="1"/>
  <c r="F4367" i="1"/>
  <c r="F4315" i="1"/>
  <c r="F4296" i="1"/>
  <c r="F4256" i="1"/>
  <c r="F2958" i="1"/>
  <c r="F2966" i="1"/>
  <c r="F2974" i="1"/>
  <c r="F2996" i="1"/>
  <c r="F3004" i="1"/>
  <c r="F3038" i="1"/>
  <c r="F3071" i="1"/>
  <c r="F3110" i="1"/>
  <c r="F3146" i="1"/>
  <c r="F3179" i="1"/>
  <c r="F3182" i="1"/>
  <c r="F3190" i="1"/>
  <c r="F3198" i="1"/>
  <c r="F3206" i="1"/>
  <c r="F3214" i="1"/>
  <c r="F3239" i="1"/>
  <c r="F3291" i="1"/>
  <c r="F3811" i="1"/>
  <c r="F3797" i="1"/>
  <c r="F3774" i="1"/>
  <c r="F3692" i="1"/>
  <c r="F3681" i="1"/>
  <c r="F3637" i="1"/>
  <c r="F3628" i="1"/>
  <c r="F3614" i="1"/>
  <c r="F3594" i="1"/>
  <c r="F3580" i="1"/>
  <c r="F3557" i="1"/>
  <c r="F3534" i="1"/>
  <c r="F3508" i="1"/>
  <c r="F3486" i="1"/>
  <c r="F3457" i="1"/>
  <c r="F3454" i="1"/>
  <c r="F3051" i="1"/>
  <c r="F3081" i="1"/>
  <c r="F3101" i="1"/>
  <c r="F3137" i="1"/>
  <c r="F3200" i="1"/>
  <c r="F3230" i="1"/>
  <c r="F3266" i="1"/>
  <c r="F3795" i="1"/>
  <c r="F3741" i="1"/>
  <c r="F3708" i="1"/>
  <c r="F3687" i="1"/>
  <c r="F3644" i="1"/>
  <c r="F3623" i="1"/>
  <c r="F3603" i="1"/>
  <c r="F3569" i="1"/>
  <c r="F3438" i="1"/>
  <c r="F3377" i="1"/>
  <c r="F3319" i="1"/>
  <c r="F3300" i="1"/>
  <c r="F4375" i="1"/>
  <c r="F4368" i="1"/>
  <c r="F4310" i="1"/>
  <c r="F4307" i="1"/>
  <c r="F4244" i="1"/>
  <c r="F3132" i="1"/>
  <c r="F3165" i="1"/>
  <c r="F3222" i="1"/>
  <c r="F3224" i="1"/>
  <c r="F3238" i="1"/>
  <c r="F3263" i="1"/>
  <c r="F3282" i="1"/>
  <c r="F3832" i="1"/>
  <c r="F3830" i="1"/>
  <c r="F3818" i="1"/>
  <c r="F3803" i="1"/>
  <c r="F3780" i="1"/>
  <c r="F3752" i="1"/>
  <c r="F3746" i="1"/>
  <c r="F3716" i="1"/>
  <c r="F3713" i="1"/>
  <c r="F3657" i="1"/>
  <c r="F3589" i="1"/>
  <c r="F3549" i="1"/>
  <c r="F3517" i="1"/>
  <c r="F3469" i="1"/>
  <c r="F3446" i="1"/>
  <c r="F3408" i="1"/>
  <c r="F3391" i="1"/>
  <c r="F3385" i="1"/>
  <c r="F3354" i="1"/>
  <c r="F3348" i="1"/>
  <c r="F3330" i="1"/>
  <c r="F3314" i="1"/>
  <c r="F3306" i="1"/>
  <c r="F4351" i="1"/>
  <c r="F4342" i="1"/>
  <c r="F4339" i="1"/>
  <c r="F4304" i="1"/>
  <c r="F4252" i="1"/>
  <c r="F4249" i="1"/>
  <c r="F3850" i="1"/>
  <c r="F4343" i="1"/>
  <c r="F4332" i="1"/>
  <c r="F4311" i="1"/>
  <c r="F4300" i="1"/>
  <c r="F4282" i="1"/>
  <c r="F4279" i="1"/>
  <c r="F4269" i="1"/>
  <c r="F4250" i="1"/>
  <c r="F4224" i="1"/>
  <c r="F4214" i="1"/>
  <c r="F4160" i="1"/>
  <c r="F4150" i="1"/>
  <c r="F4096" i="1"/>
  <c r="F4086" i="1"/>
  <c r="F4069" i="1"/>
  <c r="F4058" i="1"/>
  <c r="F4049" i="1"/>
  <c r="F4032" i="1"/>
  <c r="F4011" i="1"/>
  <c r="F4005" i="1"/>
  <c r="F3994" i="1"/>
  <c r="F3985" i="1"/>
  <c r="F3968" i="1"/>
  <c r="F3947" i="1"/>
  <c r="F3941" i="1"/>
  <c r="F3930" i="1"/>
  <c r="F3921" i="1"/>
  <c r="F3904" i="1"/>
  <c r="F3883" i="1"/>
  <c r="F3877" i="1"/>
  <c r="F3866" i="1"/>
  <c r="F3848" i="1"/>
  <c r="F3844" i="1"/>
  <c r="F4200" i="1"/>
  <c r="F4187" i="1"/>
  <c r="F4177" i="1"/>
  <c r="F4136" i="1"/>
  <c r="F4123" i="1"/>
  <c r="F4113" i="1"/>
  <c r="F4019" i="1"/>
  <c r="F3958" i="1"/>
  <c r="F3894" i="1"/>
  <c r="F3851" i="1"/>
  <c r="F3313" i="1"/>
  <c r="F3302" i="1"/>
  <c r="F3299" i="1"/>
  <c r="F4376" i="1"/>
  <c r="F4355" i="1"/>
  <c r="F4344" i="1"/>
  <c r="F4323" i="1"/>
  <c r="F4312" i="1"/>
  <c r="F4277" i="1"/>
  <c r="F4270" i="1"/>
  <c r="F4267" i="1"/>
  <c r="F4235" i="1"/>
  <c r="F4223" i="1"/>
  <c r="F4212" i="1"/>
  <c r="F4209" i="1"/>
  <c r="F4184" i="1"/>
  <c r="F4171" i="1"/>
  <c r="F4161" i="1"/>
  <c r="F4159" i="1"/>
  <c r="F4148" i="1"/>
  <c r="F4120" i="1"/>
  <c r="F4107" i="1"/>
  <c r="F4097" i="1"/>
  <c r="F4095" i="1"/>
  <c r="F4084" i="1"/>
  <c r="F4054" i="1"/>
  <c r="F3987" i="1"/>
  <c r="F3976" i="1"/>
  <c r="F3942" i="1"/>
  <c r="F3923" i="1"/>
  <c r="F3912" i="1"/>
  <c r="F3884" i="1"/>
  <c r="F3878" i="1"/>
  <c r="F3845" i="1"/>
  <c r="F4359" i="1"/>
  <c r="F4348" i="1"/>
  <c r="F4327" i="1"/>
  <c r="F4316" i="1"/>
  <c r="F4295" i="1"/>
  <c r="F4278" i="1"/>
  <c r="F4248" i="1"/>
  <c r="F4192" i="1"/>
  <c r="F4182" i="1"/>
  <c r="F4128" i="1"/>
  <c r="F4118" i="1"/>
  <c r="F4064" i="1"/>
  <c r="F4043" i="1"/>
  <c r="F4037" i="1"/>
  <c r="F4026" i="1"/>
  <c r="F4017" i="1"/>
  <c r="F4000" i="1"/>
  <c r="F3979" i="1"/>
  <c r="F3973" i="1"/>
  <c r="F3962" i="1"/>
  <c r="F3953" i="1"/>
  <c r="F3936" i="1"/>
  <c r="F3915" i="1"/>
  <c r="F3909" i="1"/>
  <c r="F3898" i="1"/>
  <c r="F3889" i="1"/>
  <c r="F3872" i="1"/>
  <c r="F3856" i="1"/>
  <c r="F3852" i="1"/>
  <c r="F4143" i="1"/>
  <c r="F4132" i="1"/>
  <c r="F4079" i="1"/>
  <c r="F4038" i="1"/>
  <c r="F4024" i="1"/>
  <c r="F3974" i="1"/>
  <c r="F3971" i="1"/>
  <c r="F3960" i="1"/>
  <c r="F3907" i="1"/>
  <c r="F3896" i="1"/>
  <c r="F3860" i="1"/>
  <c r="F460" i="1"/>
  <c r="F471" i="1"/>
  <c r="F487" i="1"/>
  <c r="F728" i="1"/>
  <c r="F1069" i="1"/>
  <c r="F54" i="1"/>
  <c r="F72" i="1"/>
  <c r="F109" i="1"/>
  <c r="F117" i="1"/>
  <c r="F159" i="1"/>
  <c r="F48" i="1"/>
  <c r="F47" i="1"/>
  <c r="F76" i="1"/>
  <c r="F97" i="1"/>
  <c r="F103" i="1"/>
  <c r="F105" i="1"/>
  <c r="F111" i="1"/>
  <c r="F113" i="1"/>
  <c r="F141" i="1"/>
  <c r="F163" i="1"/>
  <c r="F174" i="1"/>
  <c r="F263" i="1"/>
  <c r="F448" i="1"/>
  <c r="F451" i="1"/>
  <c r="F33" i="1"/>
  <c r="F39" i="1"/>
  <c r="F44" i="1"/>
  <c r="F70" i="1"/>
  <c r="F84" i="1"/>
  <c r="F110" i="1"/>
  <c r="F144" i="1"/>
  <c r="F146" i="1"/>
  <c r="F171" i="1"/>
  <c r="F191" i="1"/>
  <c r="F196" i="1"/>
  <c r="F202" i="1"/>
  <c r="F305" i="1"/>
  <c r="F19" i="1"/>
  <c r="F27" i="1"/>
  <c r="F38" i="1"/>
  <c r="F49" i="1"/>
  <c r="F81" i="1"/>
  <c r="F107" i="1"/>
  <c r="F132" i="1"/>
  <c r="F210" i="1"/>
  <c r="F316" i="1"/>
  <c r="F406" i="1"/>
  <c r="F420" i="1"/>
  <c r="F428" i="1"/>
  <c r="F43" i="1"/>
  <c r="F46" i="1"/>
  <c r="F60" i="1"/>
  <c r="F66" i="1"/>
  <c r="F162" i="1"/>
  <c r="F173" i="1"/>
  <c r="F204" i="1"/>
  <c r="F291" i="1"/>
  <c r="F384" i="1"/>
  <c r="F392" i="1"/>
  <c r="F206" i="1"/>
  <c r="F224" i="1"/>
  <c r="F226" i="1"/>
  <c r="F232" i="1"/>
  <c r="F243" i="1"/>
  <c r="F257" i="1"/>
  <c r="F277" i="1"/>
  <c r="F282" i="1"/>
  <c r="F319" i="1"/>
  <c r="F336" i="1"/>
  <c r="F372" i="1"/>
  <c r="F378" i="1"/>
  <c r="F400" i="1"/>
  <c r="F436" i="1"/>
  <c r="F442" i="1"/>
  <c r="F459" i="1"/>
  <c r="F462" i="1"/>
  <c r="F476" i="1"/>
  <c r="F498" i="1"/>
  <c r="F504" i="1"/>
  <c r="F516" i="1"/>
  <c r="F547" i="1"/>
  <c r="F579" i="1"/>
  <c r="F592" i="1"/>
  <c r="F594" i="1"/>
  <c r="F631" i="1"/>
  <c r="F634" i="1"/>
  <c r="F650" i="1"/>
  <c r="F663" i="1"/>
  <c r="F666" i="1"/>
  <c r="F682" i="1"/>
  <c r="F695" i="1"/>
  <c r="F698" i="1"/>
  <c r="F714" i="1"/>
  <c r="F730" i="1"/>
  <c r="F746" i="1"/>
  <c r="F762" i="1"/>
  <c r="F778" i="1"/>
  <c r="F857" i="1"/>
  <c r="F878" i="1"/>
  <c r="F953" i="1"/>
  <c r="F956" i="1"/>
  <c r="F1071" i="1"/>
  <c r="F1089" i="1"/>
  <c r="F1206" i="1"/>
  <c r="F1223" i="1"/>
  <c r="F1259" i="1"/>
  <c r="F1483" i="1"/>
  <c r="F1625" i="1"/>
  <c r="F576" i="1"/>
  <c r="F604" i="1"/>
  <c r="F616" i="1"/>
  <c r="F898" i="1"/>
  <c r="F907" i="1"/>
  <c r="F926" i="1"/>
  <c r="F932" i="1"/>
  <c r="F1053" i="1"/>
  <c r="F1092" i="1"/>
  <c r="F1126" i="1"/>
  <c r="F223" i="1"/>
  <c r="F225" i="1"/>
  <c r="F231" i="1"/>
  <c r="F237" i="1"/>
  <c r="F265" i="1"/>
  <c r="F267" i="1"/>
  <c r="F278" i="1"/>
  <c r="F281" i="1"/>
  <c r="F287" i="1"/>
  <c r="F289" i="1"/>
  <c r="F315" i="1"/>
  <c r="F318" i="1"/>
  <c r="F324" i="1"/>
  <c r="F332" i="1"/>
  <c r="F352" i="1"/>
  <c r="F360" i="1"/>
  <c r="F374" i="1"/>
  <c r="F388" i="1"/>
  <c r="F396" i="1"/>
  <c r="F416" i="1"/>
  <c r="F424" i="1"/>
  <c r="F438" i="1"/>
  <c r="F458" i="1"/>
  <c r="F464" i="1"/>
  <c r="F483" i="1"/>
  <c r="F503" i="1"/>
  <c r="F554" i="1"/>
  <c r="F590" i="1"/>
  <c r="F624" i="1"/>
  <c r="F819" i="1"/>
  <c r="F822" i="1"/>
  <c r="F831" i="1"/>
  <c r="F892" i="1"/>
  <c r="F894" i="1"/>
  <c r="F915" i="1"/>
  <c r="F938" i="1"/>
  <c r="F952" i="1"/>
  <c r="F961" i="1"/>
  <c r="F973" i="1"/>
  <c r="F976" i="1"/>
  <c r="F1004" i="1"/>
  <c r="F1018" i="1"/>
  <c r="F1037" i="1"/>
  <c r="F1070" i="1"/>
  <c r="F1086" i="1"/>
  <c r="F1130" i="1"/>
  <c r="F1186" i="1"/>
  <c r="F1299" i="1"/>
  <c r="F1425" i="1"/>
  <c r="F1529" i="1"/>
  <c r="F219" i="1"/>
  <c r="F222" i="1"/>
  <c r="F250" i="1"/>
  <c r="F273" i="1"/>
  <c r="F275" i="1"/>
  <c r="F340" i="1"/>
  <c r="F346" i="1"/>
  <c r="F368" i="1"/>
  <c r="F404" i="1"/>
  <c r="F410" i="1"/>
  <c r="F432" i="1"/>
  <c r="F455" i="1"/>
  <c r="F472" i="1"/>
  <c r="F480" i="1"/>
  <c r="F488" i="1"/>
  <c r="F491" i="1"/>
  <c r="F494" i="1"/>
  <c r="F508" i="1"/>
  <c r="F522" i="1"/>
  <c r="F551" i="1"/>
  <c r="F584" i="1"/>
  <c r="F612" i="1"/>
  <c r="F626" i="1"/>
  <c r="F642" i="1"/>
  <c r="F886" i="1"/>
  <c r="F1139" i="1"/>
  <c r="F1147" i="1"/>
  <c r="F1469" i="1"/>
  <c r="F1677" i="1"/>
  <c r="F283" i="1"/>
  <c r="F354" i="1"/>
  <c r="F362" i="1"/>
  <c r="F376" i="1"/>
  <c r="F382" i="1"/>
  <c r="F390" i="1"/>
  <c r="F418" i="1"/>
  <c r="F426" i="1"/>
  <c r="F440" i="1"/>
  <c r="F446" i="1"/>
  <c r="F466" i="1"/>
  <c r="F519" i="1"/>
  <c r="F528" i="1"/>
  <c r="F542" i="1"/>
  <c r="F574" i="1"/>
  <c r="F583" i="1"/>
  <c r="F586" i="1"/>
  <c r="F611" i="1"/>
  <c r="F638" i="1"/>
  <c r="F651" i="1"/>
  <c r="F654" i="1"/>
  <c r="F670" i="1"/>
  <c r="F683" i="1"/>
  <c r="F686" i="1"/>
  <c r="F702" i="1"/>
  <c r="F715" i="1"/>
  <c r="F718" i="1"/>
  <c r="F734" i="1"/>
  <c r="F750" i="1"/>
  <c r="F766" i="1"/>
  <c r="F849" i="1"/>
  <c r="F876" i="1"/>
  <c r="F917" i="1"/>
  <c r="F957" i="1"/>
  <c r="F960" i="1"/>
  <c r="F1160" i="1"/>
  <c r="F1342" i="1"/>
  <c r="F1413" i="1"/>
  <c r="F1498" i="1"/>
  <c r="F1545" i="1"/>
  <c r="F828" i="1"/>
  <c r="F840" i="1"/>
  <c r="F842" i="1"/>
  <c r="F864" i="1"/>
  <c r="F891" i="1"/>
  <c r="F893" i="1"/>
  <c r="F908" i="1"/>
  <c r="F911" i="1"/>
  <c r="F914" i="1"/>
  <c r="F969" i="1"/>
  <c r="F972" i="1"/>
  <c r="F993" i="1"/>
  <c r="F1021" i="1"/>
  <c r="F1081" i="1"/>
  <c r="F1087" i="1"/>
  <c r="F1093" i="1"/>
  <c r="F1098" i="1"/>
  <c r="F1099" i="1"/>
  <c r="F1120" i="1"/>
  <c r="F1129" i="1"/>
  <c r="F1132" i="1"/>
  <c r="F1157" i="1"/>
  <c r="F1339" i="1"/>
  <c r="F1377" i="1"/>
  <c r="F1183" i="1"/>
  <c r="F1229" i="1"/>
  <c r="F1232" i="1"/>
  <c r="F1250" i="1"/>
  <c r="F1253" i="1"/>
  <c r="F1256" i="1"/>
  <c r="F1270" i="1"/>
  <c r="F1296" i="1"/>
  <c r="F1316" i="1"/>
  <c r="F1330" i="1"/>
  <c r="F1333" i="1"/>
  <c r="F1350" i="1"/>
  <c r="F1353" i="1"/>
  <c r="F1379" i="1"/>
  <c r="F1382" i="1"/>
  <c r="F1393" i="1"/>
  <c r="F1410" i="1"/>
  <c r="F1416" i="1"/>
  <c r="F1448" i="1"/>
  <c r="F1451" i="1"/>
  <c r="F1454" i="1"/>
  <c r="F1474" i="1"/>
  <c r="F1506" i="1"/>
  <c r="F1520" i="1"/>
  <c r="F1535" i="1"/>
  <c r="F1541" i="1"/>
  <c r="F1544" i="1"/>
  <c r="F1547" i="1"/>
  <c r="F1589" i="1"/>
  <c r="F1608" i="1"/>
  <c r="F1624" i="1"/>
  <c r="F1627" i="1"/>
  <c r="F1646" i="1"/>
  <c r="F1657" i="1"/>
  <c r="F1679" i="1"/>
  <c r="F1702" i="1"/>
  <c r="F1710" i="1"/>
  <c r="F1718" i="1"/>
  <c r="F1729" i="1"/>
  <c r="F1737" i="1"/>
  <c r="F1743" i="1"/>
  <c r="F1766" i="1"/>
  <c r="F1774" i="1"/>
  <c r="F1782" i="1"/>
  <c r="F1822" i="1"/>
  <c r="F1853" i="1"/>
  <c r="F1879" i="1"/>
  <c r="F1922" i="1"/>
  <c r="F1965" i="1"/>
  <c r="F2032" i="1"/>
  <c r="F2100" i="1"/>
  <c r="F2506" i="1"/>
  <c r="F2618" i="1"/>
  <c r="F1509" i="1"/>
  <c r="F1619" i="1"/>
  <c r="F1641" i="1"/>
  <c r="F1660" i="1"/>
  <c r="F1685" i="1"/>
  <c r="F1705" i="1"/>
  <c r="F1724" i="1"/>
  <c r="F1769" i="1"/>
  <c r="F1788" i="1"/>
  <c r="F1825" i="1"/>
  <c r="F1848" i="1"/>
  <c r="F1856" i="1"/>
  <c r="F1859" i="1"/>
  <c r="F1865" i="1"/>
  <c r="F1928" i="1"/>
  <c r="F1991" i="1"/>
  <c r="F2021" i="1"/>
  <c r="F1174" i="1"/>
  <c r="F1176" i="1"/>
  <c r="F1182" i="1"/>
  <c r="F1197" i="1"/>
  <c r="F1199" i="1"/>
  <c r="F1208" i="1"/>
  <c r="F1225" i="1"/>
  <c r="F1235" i="1"/>
  <c r="F1249" i="1"/>
  <c r="F1266" i="1"/>
  <c r="F1267" i="1"/>
  <c r="F1269" i="1"/>
  <c r="F1275" i="1"/>
  <c r="F1352" i="1"/>
  <c r="F1378" i="1"/>
  <c r="F1392" i="1"/>
  <c r="F1398" i="1"/>
  <c r="F1424" i="1"/>
  <c r="F1427" i="1"/>
  <c r="F1445" i="1"/>
  <c r="F1479" i="1"/>
  <c r="F1481" i="1"/>
  <c r="F1484" i="1"/>
  <c r="F1502" i="1"/>
  <c r="F1528" i="1"/>
  <c r="F1531" i="1"/>
  <c r="F1557" i="1"/>
  <c r="F1560" i="1"/>
  <c r="F1563" i="1"/>
  <c r="F1566" i="1"/>
  <c r="F1572" i="1"/>
  <c r="F1613" i="1"/>
  <c r="F1621" i="1"/>
  <c r="F1623" i="1"/>
  <c r="F1635" i="1"/>
  <c r="F1651" i="1"/>
  <c r="F1664" i="1"/>
  <c r="F1678" i="1"/>
  <c r="F1689" i="1"/>
  <c r="F1715" i="1"/>
  <c r="F1728" i="1"/>
  <c r="F1742" i="1"/>
  <c r="F1779" i="1"/>
  <c r="F1793" i="1"/>
  <c r="F1819" i="1"/>
  <c r="F1867" i="1"/>
  <c r="F1873" i="1"/>
  <c r="F1217" i="1"/>
  <c r="F1255" i="1"/>
  <c r="F1341" i="1"/>
  <c r="F1415" i="1"/>
  <c r="F1453" i="1"/>
  <c r="F1497" i="1"/>
  <c r="F1549" i="1"/>
  <c r="F1577" i="1"/>
  <c r="F1629" i="1"/>
  <c r="F1684" i="1"/>
  <c r="F1731" i="1"/>
  <c r="F1816" i="1"/>
  <c r="F1841" i="1"/>
  <c r="F1855" i="1"/>
  <c r="F1864" i="1"/>
  <c r="F1944" i="1"/>
  <c r="F1947" i="1"/>
  <c r="F1967" i="1"/>
  <c r="F1987" i="1"/>
  <c r="F2644" i="1"/>
  <c r="F2708" i="1"/>
  <c r="F1128" i="1"/>
  <c r="F1159" i="1"/>
  <c r="F1184" i="1"/>
  <c r="F1216" i="1"/>
  <c r="F1242" i="1"/>
  <c r="F1283" i="1"/>
  <c r="F1334" i="1"/>
  <c r="F1348" i="1"/>
  <c r="F1360" i="1"/>
  <c r="F1363" i="1"/>
  <c r="F1394" i="1"/>
  <c r="F1397" i="1"/>
  <c r="F1403" i="1"/>
  <c r="F1414" i="1"/>
  <c r="F1417" i="1"/>
  <c r="F1464" i="1"/>
  <c r="F1467" i="1"/>
  <c r="F1504" i="1"/>
  <c r="F1507" i="1"/>
  <c r="F1521" i="1"/>
  <c r="F1527" i="1"/>
  <c r="F1542" i="1"/>
  <c r="F1576" i="1"/>
  <c r="F1598" i="1"/>
  <c r="F1617" i="1"/>
  <c r="F1669" i="1"/>
  <c r="F1680" i="1"/>
  <c r="F1683" i="1"/>
  <c r="F1703" i="1"/>
  <c r="F1719" i="1"/>
  <c r="F1750" i="1"/>
  <c r="F1767" i="1"/>
  <c r="F1783" i="1"/>
  <c r="F1800" i="1"/>
  <c r="F1823" i="1"/>
  <c r="F1840" i="1"/>
  <c r="F1915" i="1"/>
  <c r="F1940" i="1"/>
  <c r="F1952" i="1"/>
  <c r="F1955" i="1"/>
  <c r="F1980" i="1"/>
  <c r="F1989" i="1"/>
  <c r="F2015" i="1"/>
  <c r="F2023" i="1"/>
  <c r="F2568" i="1"/>
  <c r="F2638" i="1"/>
  <c r="F1072" i="1"/>
  <c r="F1090" i="1"/>
  <c r="F1115" i="1"/>
  <c r="F1121" i="1"/>
  <c r="F1167" i="1"/>
  <c r="F1175" i="1"/>
  <c r="F1195" i="1"/>
  <c r="F1207" i="1"/>
  <c r="F1248" i="1"/>
  <c r="F1263" i="1"/>
  <c r="F1265" i="1"/>
  <c r="F1268" i="1"/>
  <c r="F1276" i="1"/>
  <c r="F1328" i="1"/>
  <c r="F1374" i="1"/>
  <c r="F1380" i="1"/>
  <c r="F1389" i="1"/>
  <c r="F1440" i="1"/>
  <c r="F1443" i="1"/>
  <c r="F1446" i="1"/>
  <c r="F1480" i="1"/>
  <c r="F1487" i="1"/>
  <c r="F1499" i="1"/>
  <c r="F1501" i="1"/>
  <c r="F1512" i="1"/>
  <c r="F1515" i="1"/>
  <c r="F1518" i="1"/>
  <c r="F1553" i="1"/>
  <c r="F1571" i="1"/>
  <c r="F1584" i="1"/>
  <c r="F1587" i="1"/>
  <c r="F1593" i="1"/>
  <c r="F1595" i="1"/>
  <c r="F1604" i="1"/>
  <c r="F1612" i="1"/>
  <c r="F1614" i="1"/>
  <c r="F1622" i="1"/>
  <c r="F1661" i="1"/>
  <c r="F1666" i="1"/>
  <c r="F1725" i="1"/>
  <c r="F1756" i="1"/>
  <c r="F1789" i="1"/>
  <c r="F1797" i="1"/>
  <c r="F1803" i="1"/>
  <c r="F1829" i="1"/>
  <c r="F1835" i="1"/>
  <c r="F1837" i="1"/>
  <c r="F1849" i="1"/>
  <c r="F1857" i="1"/>
  <c r="F1875" i="1"/>
  <c r="F1908" i="1"/>
  <c r="F1951" i="1"/>
  <c r="F1954" i="1"/>
  <c r="F1957" i="1"/>
  <c r="F2050" i="1"/>
  <c r="F2162" i="1"/>
  <c r="F2170" i="1"/>
  <c r="F2024" i="1"/>
  <c r="F2048" i="1"/>
  <c r="F2053" i="1"/>
  <c r="F2070" i="1"/>
  <c r="F2113" i="1"/>
  <c r="F2133" i="1"/>
  <c r="F2139" i="1"/>
  <c r="F2143" i="1"/>
  <c r="F2148" i="1"/>
  <c r="F2152" i="1"/>
  <c r="F2165" i="1"/>
  <c r="F2241" i="1"/>
  <c r="F2264" i="1"/>
  <c r="F2266" i="1"/>
  <c r="F2277" i="1"/>
  <c r="F2286" i="1"/>
  <c r="F2297" i="1"/>
  <c r="F2317" i="1"/>
  <c r="F2329" i="1"/>
  <c r="F2348" i="1"/>
  <c r="F2375" i="1"/>
  <c r="F2409" i="1"/>
  <c r="F2422" i="1"/>
  <c r="F2444" i="1"/>
  <c r="F2450" i="1"/>
  <c r="F2452" i="1"/>
  <c r="F2476" i="1"/>
  <c r="F2478" i="1"/>
  <c r="F2516" i="1"/>
  <c r="F2518" i="1"/>
  <c r="F2521" i="1"/>
  <c r="F2529" i="1"/>
  <c r="F2538" i="1"/>
  <c r="F2599" i="1"/>
  <c r="F2608" i="1"/>
  <c r="F2610" i="1"/>
  <c r="F2619" i="1"/>
  <c r="F2628" i="1"/>
  <c r="F2630" i="1"/>
  <c r="F2639" i="1"/>
  <c r="F2662" i="1"/>
  <c r="F2665" i="1"/>
  <c r="F2712" i="1"/>
  <c r="F2720" i="1"/>
  <c r="F2732" i="1"/>
  <c r="F2745" i="1"/>
  <c r="F2263" i="1"/>
  <c r="F2274" i="1"/>
  <c r="F2294" i="1"/>
  <c r="F2314" i="1"/>
  <c r="F2372" i="1"/>
  <c r="F2438" i="1"/>
  <c r="F2475" i="1"/>
  <c r="F2500" i="1"/>
  <c r="F2532" i="1"/>
  <c r="F2560" i="1"/>
  <c r="F2582" i="1"/>
  <c r="F2607" i="1"/>
  <c r="F2627" i="1"/>
  <c r="F2659" i="1"/>
  <c r="F2673" i="1"/>
  <c r="F2676" i="1"/>
  <c r="F2696" i="1"/>
  <c r="F2753" i="1"/>
  <c r="F2756" i="1"/>
  <c r="F2775" i="1"/>
  <c r="F2783" i="1"/>
  <c r="F2786" i="1"/>
  <c r="F2803" i="1"/>
  <c r="F1995" i="1"/>
  <c r="F1997" i="1"/>
  <c r="F2000" i="1"/>
  <c r="F2031" i="1"/>
  <c r="F2055" i="1"/>
  <c r="F2060" i="1"/>
  <c r="F2064" i="1"/>
  <c r="F2096" i="1"/>
  <c r="F2099" i="1"/>
  <c r="F2102" i="1"/>
  <c r="F2158" i="1"/>
  <c r="F2161" i="1"/>
  <c r="F2167" i="1"/>
  <c r="F2169" i="1"/>
  <c r="F2178" i="1"/>
  <c r="F2268" i="1"/>
  <c r="F2270" i="1"/>
  <c r="F2293" i="1"/>
  <c r="F2301" i="1"/>
  <c r="F2313" i="1"/>
  <c r="F2321" i="1"/>
  <c r="F2327" i="1"/>
  <c r="F2333" i="1"/>
  <c r="F2341" i="1"/>
  <c r="F2377" i="1"/>
  <c r="F2382" i="1"/>
  <c r="F2394" i="1"/>
  <c r="F2405" i="1"/>
  <c r="F2407" i="1"/>
  <c r="F2413" i="1"/>
  <c r="F2415" i="1"/>
  <c r="F2424" i="1"/>
  <c r="F2465" i="1"/>
  <c r="F2468" i="1"/>
  <c r="F2474" i="1"/>
  <c r="F2509" i="1"/>
  <c r="F2511" i="1"/>
  <c r="F2514" i="1"/>
  <c r="F2525" i="1"/>
  <c r="F2531" i="1"/>
  <c r="F2567" i="1"/>
  <c r="F2570" i="1"/>
  <c r="F2603" i="1"/>
  <c r="F2606" i="1"/>
  <c r="F2643" i="1"/>
  <c r="F2646" i="1"/>
  <c r="F2672" i="1"/>
  <c r="F2675" i="1"/>
  <c r="F2692" i="1"/>
  <c r="F2695" i="1"/>
  <c r="F2707" i="1"/>
  <c r="F2710" i="1"/>
  <c r="F2727" i="1"/>
  <c r="F2730" i="1"/>
  <c r="F2752" i="1"/>
  <c r="F2755" i="1"/>
  <c r="F2764" i="1"/>
  <c r="F2766" i="1"/>
  <c r="F2808" i="1"/>
  <c r="F2827" i="1"/>
  <c r="F2132" i="1"/>
  <c r="F2276" i="1"/>
  <c r="F2285" i="1"/>
  <c r="F2310" i="1"/>
  <c r="F2318" i="1"/>
  <c r="F2352" i="1"/>
  <c r="F2366" i="1"/>
  <c r="F2421" i="1"/>
  <c r="F2471" i="1"/>
  <c r="F2479" i="1"/>
  <c r="F2490" i="1"/>
  <c r="F2522" i="1"/>
  <c r="F2542" i="1"/>
  <c r="F2550" i="1"/>
  <c r="F2562" i="1"/>
  <c r="F2564" i="1"/>
  <c r="F2598" i="1"/>
  <c r="F2600" i="1"/>
  <c r="F2620" i="1"/>
  <c r="F2640" i="1"/>
  <c r="F2663" i="1"/>
  <c r="F2666" i="1"/>
  <c r="F2689" i="1"/>
  <c r="F2715" i="1"/>
  <c r="F2735" i="1"/>
  <c r="F2744" i="1"/>
  <c r="F2746" i="1"/>
  <c r="F2763" i="1"/>
  <c r="F2772" i="1"/>
  <c r="F2791" i="1"/>
  <c r="F2799" i="1"/>
  <c r="F1996" i="1"/>
  <c r="F2042" i="1"/>
  <c r="F2057" i="1"/>
  <c r="F2062" i="1"/>
  <c r="F2065" i="1"/>
  <c r="F2092" i="1"/>
  <c r="F2101" i="1"/>
  <c r="F2114" i="1"/>
  <c r="F2116" i="1"/>
  <c r="F2182" i="1"/>
  <c r="F2185" i="1"/>
  <c r="F2194" i="1"/>
  <c r="F2203" i="1"/>
  <c r="F2205" i="1"/>
  <c r="F2217" i="1"/>
  <c r="F2233" i="1"/>
  <c r="F2247" i="1"/>
  <c r="F2253" i="1"/>
  <c r="F2258" i="1"/>
  <c r="F2269" i="1"/>
  <c r="F2320" i="1"/>
  <c r="F2334" i="1"/>
  <c r="F2342" i="1"/>
  <c r="F2357" i="1"/>
  <c r="F2368" i="1"/>
  <c r="F2370" i="1"/>
  <c r="F2378" i="1"/>
  <c r="F2395" i="1"/>
  <c r="F2401" i="1"/>
  <c r="F2414" i="1"/>
  <c r="F2433" i="1"/>
  <c r="F2436" i="1"/>
  <c r="F2439" i="1"/>
  <c r="F2445" i="1"/>
  <c r="F2453" i="1"/>
  <c r="F2456" i="1"/>
  <c r="F2458" i="1"/>
  <c r="F2467" i="1"/>
  <c r="F2495" i="1"/>
  <c r="F2498" i="1"/>
  <c r="F2510" i="1"/>
  <c r="F2544" i="1"/>
  <c r="F2558" i="1"/>
  <c r="F2566" i="1"/>
  <c r="F2580" i="1"/>
  <c r="F2591" i="1"/>
  <c r="F2594" i="1"/>
  <c r="F2602" i="1"/>
  <c r="F2616" i="1"/>
  <c r="F2622" i="1"/>
  <c r="F2636" i="1"/>
  <c r="F2642" i="1"/>
  <c r="F2703" i="1"/>
  <c r="F2706" i="1"/>
  <c r="F2723" i="1"/>
  <c r="F2726" i="1"/>
  <c r="F2737" i="1"/>
  <c r="F2740" i="1"/>
  <c r="F2776" i="1"/>
  <c r="F2787" i="1"/>
  <c r="F2815" i="1"/>
  <c r="F2823" i="1"/>
  <c r="F3092" i="1"/>
  <c r="F3156" i="1"/>
  <c r="F3800" i="1"/>
  <c r="F3764" i="1"/>
  <c r="F3744" i="1"/>
  <c r="F3730" i="1"/>
  <c r="F3704" i="1"/>
  <c r="F3700" i="1"/>
  <c r="F3652" i="1"/>
  <c r="F3640" i="1"/>
  <c r="F3615" i="1"/>
  <c r="F3583" i="1"/>
  <c r="F3576" i="1"/>
  <c r="F3570" i="1"/>
  <c r="F3552" i="1"/>
  <c r="F3536" i="1"/>
  <c r="F2785" i="1"/>
  <c r="F2797" i="1"/>
  <c r="F2831" i="1"/>
  <c r="F2833" i="1"/>
  <c r="F2844" i="1"/>
  <c r="F2896" i="1"/>
  <c r="F2946" i="1"/>
  <c r="F2955" i="1"/>
  <c r="F2963" i="1"/>
  <c r="F2984" i="1"/>
  <c r="F2995" i="1"/>
  <c r="F3013" i="1"/>
  <c r="F3041" i="1"/>
  <c r="F3057" i="1"/>
  <c r="F3091" i="1"/>
  <c r="F3135" i="1"/>
  <c r="F3184" i="1"/>
  <c r="F3203" i="1"/>
  <c r="F3236" i="1"/>
  <c r="F3245" i="1"/>
  <c r="F3247" i="1"/>
  <c r="F3256" i="1"/>
  <c r="F3260" i="1"/>
  <c r="F3269" i="1"/>
  <c r="F3271" i="1"/>
  <c r="F3833" i="1"/>
  <c r="F3820" i="1"/>
  <c r="F3807" i="1"/>
  <c r="F3791" i="1"/>
  <c r="F3784" i="1"/>
  <c r="F3777" i="1"/>
  <c r="F3748" i="1"/>
  <c r="F3738" i="1"/>
  <c r="F3734" i="1"/>
  <c r="F3717" i="1"/>
  <c r="F3695" i="1"/>
  <c r="F3686" i="1"/>
  <c r="F3680" i="1"/>
  <c r="F3678" i="1"/>
  <c r="F3673" i="1"/>
  <c r="F3670" i="1"/>
  <c r="F3664" i="1"/>
  <c r="F3662" i="1"/>
  <c r="F3622" i="1"/>
  <c r="F3619" i="1"/>
  <c r="F3599" i="1"/>
  <c r="F3587" i="1"/>
  <c r="F3571" i="1"/>
  <c r="F3556" i="1"/>
  <c r="F3553" i="1"/>
  <c r="F3540" i="1"/>
  <c r="F3531" i="1"/>
  <c r="F3442" i="1"/>
  <c r="F3109" i="1"/>
  <c r="F3141" i="1"/>
  <c r="F3840" i="1"/>
  <c r="F3824" i="1"/>
  <c r="F3817" i="1"/>
  <c r="F3715" i="1"/>
  <c r="F3711" i="1"/>
  <c r="F3698" i="1"/>
  <c r="F3689" i="1"/>
  <c r="F3635" i="1"/>
  <c r="F3609" i="1"/>
  <c r="F3606" i="1"/>
  <c r="F3574" i="1"/>
  <c r="F3568" i="1"/>
  <c r="F3529" i="1"/>
  <c r="F3584" i="1"/>
  <c r="F3577" i="1"/>
  <c r="F2790" i="1"/>
  <c r="F2811" i="1"/>
  <c r="F2819" i="1"/>
  <c r="F2821" i="1"/>
  <c r="F2824" i="1"/>
  <c r="F2860" i="1"/>
  <c r="F2869" i="1"/>
  <c r="F2892" i="1"/>
  <c r="F2895" i="1"/>
  <c r="F2904" i="1"/>
  <c r="F2907" i="1"/>
  <c r="F2948" i="1"/>
  <c r="F2951" i="1"/>
  <c r="F2983" i="1"/>
  <c r="F3002" i="1"/>
  <c r="F3018" i="1"/>
  <c r="F3079" i="1"/>
  <c r="F3093" i="1"/>
  <c r="F3100" i="1"/>
  <c r="F3111" i="1"/>
  <c r="F3123" i="1"/>
  <c r="F3131" i="1"/>
  <c r="F3134" i="1"/>
  <c r="F3154" i="1"/>
  <c r="F3157" i="1"/>
  <c r="F3171" i="1"/>
  <c r="F3189" i="1"/>
  <c r="F3191" i="1"/>
  <c r="F3211" i="1"/>
  <c r="F3220" i="1"/>
  <c r="F3246" i="1"/>
  <c r="F3255" i="1"/>
  <c r="F3264" i="1"/>
  <c r="F3270" i="1"/>
  <c r="F3287" i="1"/>
  <c r="F3808" i="1"/>
  <c r="F3792" i="1"/>
  <c r="F3785" i="1"/>
  <c r="F3693" i="1"/>
  <c r="F3676" i="1"/>
  <c r="F3660" i="1"/>
  <c r="F3632" i="1"/>
  <c r="F3630" i="1"/>
  <c r="F3617" i="1"/>
  <c r="F3600" i="1"/>
  <c r="F3598" i="1"/>
  <c r="F3585" i="1"/>
  <c r="F3582" i="1"/>
  <c r="F3527" i="1"/>
  <c r="F3518" i="1"/>
  <c r="F3487" i="1"/>
  <c r="F3484" i="1"/>
  <c r="F2837" i="1"/>
  <c r="F2840" i="1"/>
  <c r="F2854" i="1"/>
  <c r="F2924" i="1"/>
  <c r="F2927" i="1"/>
  <c r="F2936" i="1"/>
  <c r="F2939" i="1"/>
  <c r="F2980" i="1"/>
  <c r="F2988" i="1"/>
  <c r="F2999" i="1"/>
  <c r="F3008" i="1"/>
  <c r="F3015" i="1"/>
  <c r="F3031" i="1"/>
  <c r="F3037" i="1"/>
  <c r="F3068" i="1"/>
  <c r="F3128" i="1"/>
  <c r="F3139" i="1"/>
  <c r="F3145" i="1"/>
  <c r="F3168" i="1"/>
  <c r="F3231" i="1"/>
  <c r="F3841" i="1"/>
  <c r="F3812" i="1"/>
  <c r="F3799" i="1"/>
  <c r="F3769" i="1"/>
  <c r="F3756" i="1"/>
  <c r="F3743" i="1"/>
  <c r="F3729" i="1"/>
  <c r="F3712" i="1"/>
  <c r="F3710" i="1"/>
  <c r="F3697" i="1"/>
  <c r="F3694" i="1"/>
  <c r="F3682" i="1"/>
  <c r="F3666" i="1"/>
  <c r="F3654" i="1"/>
  <c r="F3648" i="1"/>
  <c r="F3646" i="1"/>
  <c r="F3633" i="1"/>
  <c r="F3620" i="1"/>
  <c r="F3601" i="1"/>
  <c r="F3545" i="1"/>
  <c r="F3524" i="1"/>
  <c r="F3521" i="1"/>
  <c r="F3512" i="1"/>
  <c r="F3506" i="1"/>
  <c r="F3470" i="1"/>
  <c r="F3476" i="1"/>
  <c r="F3329" i="1"/>
  <c r="F3310" i="1"/>
  <c r="F4291" i="1"/>
  <c r="F4044" i="1"/>
  <c r="F4035" i="1"/>
  <c r="F3980" i="1"/>
  <c r="F3916" i="1"/>
  <c r="F3467" i="1"/>
  <c r="F3455" i="1"/>
  <c r="F3423" i="1"/>
  <c r="F3420" i="1"/>
  <c r="F3419" i="1"/>
  <c r="F3403" i="1"/>
  <c r="F3390" i="1"/>
  <c r="F3374" i="1"/>
  <c r="F3364" i="1"/>
  <c r="F3358" i="1"/>
  <c r="F3355" i="1"/>
  <c r="F3342" i="1"/>
  <c r="F3332" i="1"/>
  <c r="F3303" i="1"/>
  <c r="F4259" i="1"/>
  <c r="F4247" i="1"/>
  <c r="F4227" i="1"/>
  <c r="F4220" i="1"/>
  <c r="F4183" i="1"/>
  <c r="F4163" i="1"/>
  <c r="F4156" i="1"/>
  <c r="F4119" i="1"/>
  <c r="F4099" i="1"/>
  <c r="F4092" i="1"/>
  <c r="F4055" i="1"/>
  <c r="F3991" i="1"/>
  <c r="F3927" i="1"/>
  <c r="F3863" i="1"/>
  <c r="F3572" i="1"/>
  <c r="F3564" i="1"/>
  <c r="F3563" i="1"/>
  <c r="F3560" i="1"/>
  <c r="F3544" i="1"/>
  <c r="F3535" i="1"/>
  <c r="F3532" i="1"/>
  <c r="F3528" i="1"/>
  <c r="F3516" i="1"/>
  <c r="F3515" i="1"/>
  <c r="F3503" i="1"/>
  <c r="F3500" i="1"/>
  <c r="F3499" i="1"/>
  <c r="F3496" i="1"/>
  <c r="F3480" i="1"/>
  <c r="F3471" i="1"/>
  <c r="F3468" i="1"/>
  <c r="F3464" i="1"/>
  <c r="F3452" i="1"/>
  <c r="F3451" i="1"/>
  <c r="F3439" i="1"/>
  <c r="F3436" i="1"/>
  <c r="F3435" i="1"/>
  <c r="F3432" i="1"/>
  <c r="F3416" i="1"/>
  <c r="F3407" i="1"/>
  <c r="F3404" i="1"/>
  <c r="F3400" i="1"/>
  <c r="F3388" i="1"/>
  <c r="F3387" i="1"/>
  <c r="F3380" i="1"/>
  <c r="F3371" i="1"/>
  <c r="F3339" i="1"/>
  <c r="F4275" i="1"/>
  <c r="F4263" i="1"/>
  <c r="F4028" i="1"/>
  <c r="F3964" i="1"/>
  <c r="F3900" i="1"/>
  <c r="F3523" i="1"/>
  <c r="F3513" i="1"/>
  <c r="F3491" i="1"/>
  <c r="F3459" i="1"/>
  <c r="F3449" i="1"/>
  <c r="F3427" i="1"/>
  <c r="F3395" i="1"/>
  <c r="F3375" i="1"/>
  <c r="F3353" i="1"/>
  <c r="F3327" i="1"/>
  <c r="F3318" i="1"/>
  <c r="F3298" i="1"/>
  <c r="F4067" i="1"/>
  <c r="F4056" i="1"/>
  <c r="F4012" i="1"/>
  <c r="F4003" i="1"/>
  <c r="F3948" i="1"/>
  <c r="F3507" i="1"/>
  <c r="F3495" i="1"/>
  <c r="F3479" i="1"/>
  <c r="F3478" i="1"/>
  <c r="F3475" i="1"/>
  <c r="F3463" i="1"/>
  <c r="F3462" i="1"/>
  <c r="F3443" i="1"/>
  <c r="F3431" i="1"/>
  <c r="F3415" i="1"/>
  <c r="F3414" i="1"/>
  <c r="F3411" i="1"/>
  <c r="F3399" i="1"/>
  <c r="F3398" i="1"/>
  <c r="F3379" i="1"/>
  <c r="F3369" i="1"/>
  <c r="F3351" i="1"/>
  <c r="F3350" i="1"/>
  <c r="F3311" i="1"/>
  <c r="F4280" i="1"/>
  <c r="F4273" i="1"/>
  <c r="F4268" i="1"/>
  <c r="F4264" i="1"/>
  <c r="F4215" i="1"/>
  <c r="F4195" i="1"/>
  <c r="F4188" i="1"/>
  <c r="F4151" i="1"/>
  <c r="F4131" i="1"/>
  <c r="F4124" i="1"/>
  <c r="F4087" i="1"/>
  <c r="F4023" i="1"/>
  <c r="F3959" i="1"/>
  <c r="F3895" i="1"/>
  <c r="F3492" i="1"/>
  <c r="F3460" i="1"/>
  <c r="F3428" i="1"/>
  <c r="F3422" i="1"/>
  <c r="F3383" i="1"/>
  <c r="F3367" i="1"/>
  <c r="F3334" i="1"/>
  <c r="F3315" i="1"/>
  <c r="F4060" i="1"/>
  <c r="F260" i="1"/>
  <c r="F312" i="1"/>
  <c r="F456" i="1"/>
  <c r="F20" i="1"/>
  <c r="F23" i="1"/>
  <c r="F63" i="1"/>
  <c r="F95" i="1"/>
  <c r="F104" i="1"/>
  <c r="F119" i="1"/>
  <c r="F128" i="1"/>
  <c r="F152" i="1"/>
  <c r="F183" i="1"/>
  <c r="F189" i="1"/>
  <c r="F192" i="1"/>
  <c r="F207" i="1"/>
  <c r="F213" i="1"/>
  <c r="F216" i="1"/>
  <c r="F4" i="1"/>
  <c r="F88" i="1"/>
  <c r="F101" i="1"/>
  <c r="F115" i="1"/>
  <c r="F118" i="1"/>
  <c r="F125" i="1"/>
  <c r="F130" i="1"/>
  <c r="F139" i="1"/>
  <c r="F143" i="1"/>
  <c r="F149" i="1"/>
  <c r="F167" i="1"/>
  <c r="F170" i="1"/>
  <c r="F179" i="1"/>
  <c r="F182" i="1"/>
  <c r="F188" i="1"/>
  <c r="F194" i="1"/>
  <c r="F18" i="1"/>
  <c r="F22" i="1"/>
  <c r="F25" i="1"/>
  <c r="F28" i="1"/>
  <c r="F73" i="1"/>
  <c r="F77" i="1"/>
  <c r="F90" i="1"/>
  <c r="F100" i="1"/>
  <c r="F106" i="1"/>
  <c r="F124" i="1"/>
  <c r="F136" i="1"/>
  <c r="F142" i="1"/>
  <c r="F154" i="1"/>
  <c r="F166" i="1"/>
  <c r="F197" i="1"/>
  <c r="F218" i="1"/>
  <c r="F230" i="1"/>
  <c r="F236" i="1"/>
  <c r="F245" i="1"/>
  <c r="F248" i="1"/>
  <c r="F308" i="1"/>
  <c r="F16" i="1"/>
  <c r="F239" i="1"/>
  <c r="F338" i="1"/>
  <c r="F520" i="1"/>
  <c r="F41" i="1"/>
  <c r="F82" i="1"/>
  <c r="F89" i="1"/>
  <c r="F102" i="1"/>
  <c r="F114" i="1"/>
  <c r="F123" i="1"/>
  <c r="F126" i="1"/>
  <c r="F138" i="1"/>
  <c r="F150" i="1"/>
  <c r="F178" i="1"/>
  <c r="F187" i="1"/>
  <c r="F211" i="1"/>
  <c r="F235" i="1"/>
  <c r="F238" i="1"/>
  <c r="F326" i="1"/>
  <c r="F17" i="1"/>
  <c r="F3" i="1"/>
  <c r="F31" i="1"/>
  <c r="F45" i="1"/>
  <c r="F52" i="1"/>
  <c r="F57" i="1"/>
  <c r="F79" i="1"/>
  <c r="F93" i="1"/>
  <c r="F99" i="1"/>
  <c r="F108" i="1"/>
  <c r="F135" i="1"/>
  <c r="F147" i="1"/>
  <c r="F160" i="1"/>
  <c r="F175" i="1"/>
  <c r="F200" i="1"/>
  <c r="F212" i="1"/>
  <c r="F234" i="1"/>
  <c r="F247" i="1"/>
  <c r="F259" i="1"/>
  <c r="F269" i="1"/>
  <c r="F272" i="1"/>
  <c r="F284" i="1"/>
  <c r="F294" i="1"/>
  <c r="F310" i="1"/>
  <c r="F435" i="1"/>
  <c r="F439" i="1"/>
  <c r="F443" i="1"/>
  <c r="F447" i="1"/>
  <c r="F454" i="1"/>
  <c r="F479" i="1"/>
  <c r="F486" i="1"/>
  <c r="F511" i="1"/>
  <c r="F518" i="1"/>
  <c r="F543" i="1"/>
  <c r="F550" i="1"/>
  <c r="F575" i="1"/>
  <c r="F582" i="1"/>
  <c r="F607" i="1"/>
  <c r="F614" i="1"/>
  <c r="F639" i="1"/>
  <c r="F671" i="1"/>
  <c r="F703" i="1"/>
  <c r="F253" i="1"/>
  <c r="F256" i="1"/>
  <c r="F268" i="1"/>
  <c r="F290" i="1"/>
  <c r="F293" i="1"/>
  <c r="F306" i="1"/>
  <c r="F309" i="1"/>
  <c r="F450" i="1"/>
  <c r="F475" i="1"/>
  <c r="F482" i="1"/>
  <c r="F507" i="1"/>
  <c r="F514" i="1"/>
  <c r="F539" i="1"/>
  <c r="F546" i="1"/>
  <c r="F571" i="1"/>
  <c r="F578" i="1"/>
  <c r="F603" i="1"/>
  <c r="F610" i="1"/>
  <c r="F635" i="1"/>
  <c r="F667" i="1"/>
  <c r="F699" i="1"/>
  <c r="F599" i="1"/>
  <c r="F467" i="1"/>
  <c r="F474" i="1"/>
  <c r="F499" i="1"/>
  <c r="F506" i="1"/>
  <c r="F531" i="1"/>
  <c r="F538" i="1"/>
  <c r="F563" i="1"/>
  <c r="F570" i="1"/>
  <c r="F595" i="1"/>
  <c r="F602" i="1"/>
  <c r="F627" i="1"/>
  <c r="F659" i="1"/>
  <c r="F691" i="1"/>
  <c r="F184" i="1"/>
  <c r="F198" i="1"/>
  <c r="F205" i="1"/>
  <c r="F208" i="1"/>
  <c r="F220" i="1"/>
  <c r="F242" i="1"/>
  <c r="F251" i="1"/>
  <c r="F255" i="1"/>
  <c r="F261" i="1"/>
  <c r="F264" i="1"/>
  <c r="F276" i="1"/>
  <c r="F286" i="1"/>
  <c r="F302" i="1"/>
  <c r="F417" i="1"/>
  <c r="F421" i="1"/>
  <c r="F425" i="1"/>
  <c r="F429" i="1"/>
  <c r="F433" i="1"/>
  <c r="F437" i="1"/>
  <c r="F441" i="1"/>
  <c r="F445" i="1"/>
  <c r="F449" i="1"/>
  <c r="F463" i="1"/>
  <c r="F470" i="1"/>
  <c r="F495" i="1"/>
  <c r="F502" i="1"/>
  <c r="F527" i="1"/>
  <c r="F534" i="1"/>
  <c r="F559" i="1"/>
  <c r="F566" i="1"/>
  <c r="F591" i="1"/>
  <c r="F598" i="1"/>
  <c r="F623" i="1"/>
  <c r="F655" i="1"/>
  <c r="F687" i="1"/>
  <c r="F719" i="1"/>
  <c r="F821" i="1"/>
  <c r="F1170" i="1"/>
  <c r="F453" i="1"/>
  <c r="F457" i="1"/>
  <c r="F461" i="1"/>
  <c r="F465" i="1"/>
  <c r="F469" i="1"/>
  <c r="F473" i="1"/>
  <c r="F477" i="1"/>
  <c r="F481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565" i="1"/>
  <c r="F569" i="1"/>
  <c r="F573" i="1"/>
  <c r="F577" i="1"/>
  <c r="F581" i="1"/>
  <c r="F585" i="1"/>
  <c r="F589" i="1"/>
  <c r="F593" i="1"/>
  <c r="F597" i="1"/>
  <c r="F601" i="1"/>
  <c r="F605" i="1"/>
  <c r="F609" i="1"/>
  <c r="F613" i="1"/>
  <c r="F617" i="1"/>
  <c r="F621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713" i="1"/>
  <c r="F717" i="1"/>
  <c r="F721" i="1"/>
  <c r="F725" i="1"/>
  <c r="F729" i="1"/>
  <c r="F733" i="1"/>
  <c r="F737" i="1"/>
  <c r="F741" i="1"/>
  <c r="F745" i="1"/>
  <c r="F749" i="1"/>
  <c r="F753" i="1"/>
  <c r="F757" i="1"/>
  <c r="F761" i="1"/>
  <c r="F765" i="1"/>
  <c r="F769" i="1"/>
  <c r="F773" i="1"/>
  <c r="F777" i="1"/>
  <c r="F781" i="1"/>
  <c r="F785" i="1"/>
  <c r="F789" i="1"/>
  <c r="F793" i="1"/>
  <c r="F845" i="1"/>
  <c r="F859" i="1"/>
  <c r="F869" i="1"/>
  <c r="F872" i="1"/>
  <c r="F949" i="1"/>
  <c r="F965" i="1"/>
  <c r="F981" i="1"/>
  <c r="F1012" i="1"/>
  <c r="F1145" i="1"/>
  <c r="F1260" i="1"/>
  <c r="F841" i="1"/>
  <c r="F875" i="1"/>
  <c r="F943" i="1"/>
  <c r="F946" i="1"/>
  <c r="F999" i="1"/>
  <c r="F1002" i="1"/>
  <c r="F1026" i="1"/>
  <c r="F1113" i="1"/>
  <c r="F1138" i="1"/>
  <c r="F1280" i="1"/>
  <c r="F1287" i="1"/>
  <c r="F837" i="1"/>
  <c r="F855" i="1"/>
  <c r="F1023" i="1"/>
  <c r="F1166" i="1"/>
  <c r="F1209" i="1"/>
  <c r="F1300" i="1"/>
  <c r="F723" i="1"/>
  <c r="F727" i="1"/>
  <c r="F731" i="1"/>
  <c r="F735" i="1"/>
  <c r="F739" i="1"/>
  <c r="F743" i="1"/>
  <c r="F747" i="1"/>
  <c r="F751" i="1"/>
  <c r="F755" i="1"/>
  <c r="F759" i="1"/>
  <c r="F763" i="1"/>
  <c r="F767" i="1"/>
  <c r="F771" i="1"/>
  <c r="F775" i="1"/>
  <c r="F779" i="1"/>
  <c r="F783" i="1"/>
  <c r="F787" i="1"/>
  <c r="F791" i="1"/>
  <c r="F795" i="1"/>
  <c r="F799" i="1"/>
  <c r="F803" i="1"/>
  <c r="F807" i="1"/>
  <c r="F811" i="1"/>
  <c r="F815" i="1"/>
  <c r="F833" i="1"/>
  <c r="F851" i="1"/>
  <c r="F858" i="1"/>
  <c r="F861" i="1"/>
  <c r="F868" i="1"/>
  <c r="F884" i="1"/>
  <c r="F904" i="1"/>
  <c r="F1200" i="1"/>
  <c r="F1273" i="1"/>
  <c r="F1367" i="1"/>
  <c r="F1431" i="1"/>
  <c r="F1495" i="1"/>
  <c r="F1532" i="1"/>
  <c r="F883" i="1"/>
  <c r="F903" i="1"/>
  <c r="F931" i="1"/>
  <c r="F1001" i="1"/>
  <c r="F1025" i="1"/>
  <c r="F1031" i="1"/>
  <c r="F1039" i="1"/>
  <c r="F1057" i="1"/>
  <c r="F1080" i="1"/>
  <c r="F1091" i="1"/>
  <c r="F1097" i="1"/>
  <c r="F1105" i="1"/>
  <c r="F1112" i="1"/>
  <c r="F1119" i="1"/>
  <c r="F1137" i="1"/>
  <c r="F1144" i="1"/>
  <c r="F1151" i="1"/>
  <c r="F1169" i="1"/>
  <c r="F1178" i="1"/>
  <c r="F1179" i="1"/>
  <c r="F1185" i="1"/>
  <c r="F1228" i="1"/>
  <c r="F1238" i="1"/>
  <c r="F1252" i="1"/>
  <c r="F1262" i="1"/>
  <c r="F1272" i="1"/>
  <c r="F1282" i="1"/>
  <c r="F1286" i="1"/>
  <c r="F1292" i="1"/>
  <c r="F1303" i="1"/>
  <c r="F1332" i="1"/>
  <c r="F1343" i="1"/>
  <c r="F1362" i="1"/>
  <c r="F1366" i="1"/>
  <c r="F1396" i="1"/>
  <c r="F1407" i="1"/>
  <c r="F1426" i="1"/>
  <c r="F1430" i="1"/>
  <c r="F1460" i="1"/>
  <c r="F1471" i="1"/>
  <c r="F1490" i="1"/>
  <c r="F1494" i="1"/>
  <c r="F1534" i="1"/>
  <c r="F1568" i="1"/>
  <c r="F1929" i="1"/>
  <c r="F900" i="1"/>
  <c r="F1028" i="1"/>
  <c r="F1043" i="1"/>
  <c r="F1060" i="1"/>
  <c r="F1123" i="1"/>
  <c r="F1155" i="1"/>
  <c r="F1192" i="1"/>
  <c r="F1319" i="1"/>
  <c r="F1383" i="1"/>
  <c r="F1447" i="1"/>
  <c r="F1511" i="1"/>
  <c r="F1656" i="1"/>
  <c r="F1659" i="1"/>
  <c r="F1730" i="1"/>
  <c r="F1744" i="1"/>
  <c r="F1747" i="1"/>
  <c r="F1804" i="1"/>
  <c r="F1847" i="1"/>
  <c r="F2106" i="1"/>
  <c r="F867" i="1"/>
  <c r="F899" i="1"/>
  <c r="F951" i="1"/>
  <c r="F967" i="1"/>
  <c r="F983" i="1"/>
  <c r="F991" i="1"/>
  <c r="F1017" i="1"/>
  <c r="F1024" i="1"/>
  <c r="F1049" i="1"/>
  <c r="F1056" i="1"/>
  <c r="F1073" i="1"/>
  <c r="F1096" i="1"/>
  <c r="F1104" i="1"/>
  <c r="F1136" i="1"/>
  <c r="F1146" i="1"/>
  <c r="F1168" i="1"/>
  <c r="F1194" i="1"/>
  <c r="F1201" i="1"/>
  <c r="F1221" i="1"/>
  <c r="F1224" i="1"/>
  <c r="F1230" i="1"/>
  <c r="F1264" i="1"/>
  <c r="F1288" i="1"/>
  <c r="F1536" i="1"/>
  <c r="F848" i="1"/>
  <c r="F863" i="1"/>
  <c r="F877" i="1"/>
  <c r="F895" i="1"/>
  <c r="F937" i="1"/>
  <c r="F947" i="1"/>
  <c r="F962" i="1"/>
  <c r="F978" i="1"/>
  <c r="F997" i="1"/>
  <c r="F1000" i="1"/>
  <c r="F1007" i="1"/>
  <c r="F1010" i="1"/>
  <c r="F1076" i="1"/>
  <c r="F1079" i="1"/>
  <c r="F1082" i="1"/>
  <c r="F1111" i="1"/>
  <c r="F1143" i="1"/>
  <c r="F1177" i="1"/>
  <c r="F1210" i="1"/>
  <c r="F1214" i="1"/>
  <c r="F1234" i="1"/>
  <c r="F1237" i="1"/>
  <c r="F1244" i="1"/>
  <c r="F1254" i="1"/>
  <c r="F1274" i="1"/>
  <c r="F1278" i="1"/>
  <c r="F1294" i="1"/>
  <c r="F1314" i="1"/>
  <c r="F1335" i="1"/>
  <c r="F1358" i="1"/>
  <c r="F1399" i="1"/>
  <c r="F1422" i="1"/>
  <c r="F1432" i="1"/>
  <c r="F1463" i="1"/>
  <c r="F1472" i="1"/>
  <c r="F1486" i="1"/>
  <c r="F1496" i="1"/>
  <c r="F1516" i="1"/>
  <c r="F1567" i="1"/>
  <c r="F1570" i="1"/>
  <c r="F1573" i="1"/>
  <c r="F1580" i="1"/>
  <c r="F1693" i="1"/>
  <c r="F1896" i="1"/>
  <c r="F1375" i="1"/>
  <c r="F1439" i="1"/>
  <c r="F1492" i="1"/>
  <c r="F1503" i="1"/>
  <c r="F1519" i="1"/>
  <c r="F1522" i="1"/>
  <c r="F1554" i="1"/>
  <c r="F1945" i="1"/>
  <c r="F2124" i="1"/>
  <c r="F940" i="1"/>
  <c r="F996" i="1"/>
  <c r="F1044" i="1"/>
  <c r="F1075" i="1"/>
  <c r="F1163" i="1"/>
  <c r="F1247" i="1"/>
  <c r="F1327" i="1"/>
  <c r="F1391" i="1"/>
  <c r="F1455" i="1"/>
  <c r="F1582" i="1"/>
  <c r="F1591" i="1"/>
  <c r="F1607" i="1"/>
  <c r="F1639" i="1"/>
  <c r="F1655" i="1"/>
  <c r="F1658" i="1"/>
  <c r="F1672" i="1"/>
  <c r="F1682" i="1"/>
  <c r="F1700" i="1"/>
  <c r="F1712" i="1"/>
  <c r="F1716" i="1"/>
  <c r="F1722" i="1"/>
  <c r="F1736" i="1"/>
  <c r="F1746" i="1"/>
  <c r="F1764" i="1"/>
  <c r="F1776" i="1"/>
  <c r="F1780" i="1"/>
  <c r="F1786" i="1"/>
  <c r="F1811" i="1"/>
  <c r="F1813" i="1"/>
  <c r="F1824" i="1"/>
  <c r="F1826" i="1"/>
  <c r="F1827" i="1"/>
  <c r="F1836" i="1"/>
  <c r="F1839" i="1"/>
  <c r="F1862" i="1"/>
  <c r="F1883" i="1"/>
  <c r="F1919" i="1"/>
  <c r="F1941" i="1"/>
  <c r="F1986" i="1"/>
  <c r="F2011" i="1"/>
  <c r="F2044" i="1"/>
  <c r="F2054" i="1"/>
  <c r="F2068" i="1"/>
  <c r="F2078" i="1"/>
  <c r="F2082" i="1"/>
  <c r="F2105" i="1"/>
  <c r="F2146" i="1"/>
  <c r="F2228" i="1"/>
  <c r="F2256" i="1"/>
  <c r="F2315" i="1"/>
  <c r="F2680" i="1"/>
  <c r="F1526" i="1"/>
  <c r="F1540" i="1"/>
  <c r="F1559" i="1"/>
  <c r="F1575" i="1"/>
  <c r="F1616" i="1"/>
  <c r="F1620" i="1"/>
  <c r="F1632" i="1"/>
  <c r="F1636" i="1"/>
  <c r="F1648" i="1"/>
  <c r="F1652" i="1"/>
  <c r="F1676" i="1"/>
  <c r="F1688" i="1"/>
  <c r="F1695" i="1"/>
  <c r="F1740" i="1"/>
  <c r="F1752" i="1"/>
  <c r="F1759" i="1"/>
  <c r="F1794" i="1"/>
  <c r="F1833" i="1"/>
  <c r="F1868" i="1"/>
  <c r="F1871" i="1"/>
  <c r="F1895" i="1"/>
  <c r="F1899" i="1"/>
  <c r="F1924" i="1"/>
  <c r="F1934" i="1"/>
  <c r="F1956" i="1"/>
  <c r="F1982" i="1"/>
  <c r="F2006" i="1"/>
  <c r="F2030" i="1"/>
  <c r="F2037" i="1"/>
  <c r="F2051" i="1"/>
  <c r="F2061" i="1"/>
  <c r="F2081" i="1"/>
  <c r="F2084" i="1"/>
  <c r="F2192" i="1"/>
  <c r="F2195" i="1"/>
  <c r="F2224" i="1"/>
  <c r="F2288" i="1"/>
  <c r="F2332" i="1"/>
  <c r="F2364" i="1"/>
  <c r="F2697" i="1"/>
  <c r="F2700" i="1"/>
  <c r="F1590" i="1"/>
  <c r="F1606" i="1"/>
  <c r="F1631" i="1"/>
  <c r="F1638" i="1"/>
  <c r="F1654" i="1"/>
  <c r="F1671" i="1"/>
  <c r="F1711" i="1"/>
  <c r="F1714" i="1"/>
  <c r="F1735" i="1"/>
  <c r="F1775" i="1"/>
  <c r="F1778" i="1"/>
  <c r="F1802" i="1"/>
  <c r="F1812" i="1"/>
  <c r="F1845" i="1"/>
  <c r="F1910" i="1"/>
  <c r="F1914" i="1"/>
  <c r="F1930" i="1"/>
  <c r="F1962" i="1"/>
  <c r="F2012" i="1"/>
  <c r="F2022" i="1"/>
  <c r="F2046" i="1"/>
  <c r="F2094" i="1"/>
  <c r="F2097" i="1"/>
  <c r="F2107" i="1"/>
  <c r="F2163" i="1"/>
  <c r="F2209" i="1"/>
  <c r="F2325" i="1"/>
  <c r="F2571" i="1"/>
  <c r="F2574" i="1"/>
  <c r="F2624" i="1"/>
  <c r="F2647" i="1"/>
  <c r="F2650" i="1"/>
  <c r="F1551" i="1"/>
  <c r="F1558" i="1"/>
  <c r="F1574" i="1"/>
  <c r="F1599" i="1"/>
  <c r="F1615" i="1"/>
  <c r="F1618" i="1"/>
  <c r="F1634" i="1"/>
  <c r="F1647" i="1"/>
  <c r="F1650" i="1"/>
  <c r="F1663" i="1"/>
  <c r="F1668" i="1"/>
  <c r="F1687" i="1"/>
  <c r="F1690" i="1"/>
  <c r="F1694" i="1"/>
  <c r="F1704" i="1"/>
  <c r="F1727" i="1"/>
  <c r="F1732" i="1"/>
  <c r="F1751" i="1"/>
  <c r="F1754" i="1"/>
  <c r="F1758" i="1"/>
  <c r="F1768" i="1"/>
  <c r="F1791" i="1"/>
  <c r="F1798" i="1"/>
  <c r="F1805" i="1"/>
  <c r="F1809" i="1"/>
  <c r="F1832" i="1"/>
  <c r="F1854" i="1"/>
  <c r="F1877" i="1"/>
  <c r="F1888" i="1"/>
  <c r="F1891" i="1"/>
  <c r="F1904" i="1"/>
  <c r="F1907" i="1"/>
  <c r="F1917" i="1"/>
  <c r="F1933" i="1"/>
  <c r="F1946" i="1"/>
  <c r="F1949" i="1"/>
  <c r="F1974" i="1"/>
  <c r="F1998" i="1"/>
  <c r="F2005" i="1"/>
  <c r="F2019" i="1"/>
  <c r="F2029" i="1"/>
  <c r="F2036" i="1"/>
  <c r="F2110" i="1"/>
  <c r="F2166" i="1"/>
  <c r="F2360" i="1"/>
  <c r="F2426" i="1"/>
  <c r="F2459" i="1"/>
  <c r="F2462" i="1"/>
  <c r="F2469" i="1"/>
  <c r="F2667" i="1"/>
  <c r="F2670" i="1"/>
  <c r="F2767" i="1"/>
  <c r="F2770" i="1"/>
  <c r="F1784" i="1"/>
  <c r="F1821" i="1"/>
  <c r="F1890" i="1"/>
  <c r="F1906" i="1"/>
  <c r="F1942" i="1"/>
  <c r="F1994" i="1"/>
  <c r="F2018" i="1"/>
  <c r="F2103" i="1"/>
  <c r="F2121" i="1"/>
  <c r="F2130" i="1"/>
  <c r="F2153" i="1"/>
  <c r="F2179" i="1"/>
  <c r="F2234" i="1"/>
  <c r="F2298" i="1"/>
  <c r="F2404" i="1"/>
  <c r="F2482" i="1"/>
  <c r="F2747" i="1"/>
  <c r="F2750" i="1"/>
  <c r="F2284" i="1"/>
  <c r="F2336" i="1"/>
  <c r="F2505" i="1"/>
  <c r="F2508" i="1"/>
  <c r="F2856" i="1"/>
  <c r="F2134" i="1"/>
  <c r="F2145" i="1"/>
  <c r="F2186" i="1"/>
  <c r="F2188" i="1"/>
  <c r="F2202" i="1"/>
  <c r="F2219" i="1"/>
  <c r="F2220" i="1"/>
  <c r="F2230" i="1"/>
  <c r="F2248" i="1"/>
  <c r="F2262" i="1"/>
  <c r="F2273" i="1"/>
  <c r="F2280" i="1"/>
  <c r="F2283" i="1"/>
  <c r="F2328" i="1"/>
  <c r="F2331" i="1"/>
  <c r="F2359" i="1"/>
  <c r="F2363" i="1"/>
  <c r="F2376" i="1"/>
  <c r="F2406" i="1"/>
  <c r="F2419" i="1"/>
  <c r="F2425" i="1"/>
  <c r="F2429" i="1"/>
  <c r="F2455" i="1"/>
  <c r="F2472" i="1"/>
  <c r="F2481" i="1"/>
  <c r="F2507" i="1"/>
  <c r="F2515" i="1"/>
  <c r="F2623" i="1"/>
  <c r="F2679" i="1"/>
  <c r="F2699" i="1"/>
  <c r="F2729" i="1"/>
  <c r="F2739" i="1"/>
  <c r="F2759" i="1"/>
  <c r="F2769" i="1"/>
  <c r="F2779" i="1"/>
  <c r="F2793" i="1"/>
  <c r="F2796" i="1"/>
  <c r="F2802" i="1"/>
  <c r="F2805" i="1"/>
  <c r="F2836" i="1"/>
  <c r="F2868" i="1"/>
  <c r="F2871" i="1"/>
  <c r="F2930" i="1"/>
  <c r="F2945" i="1"/>
  <c r="F2308" i="1"/>
  <c r="F2324" i="1"/>
  <c r="F2373" i="1"/>
  <c r="F2400" i="1"/>
  <c r="F2416" i="1"/>
  <c r="F2432" i="1"/>
  <c r="F2485" i="1"/>
  <c r="F2488" i="1"/>
  <c r="F2501" i="1"/>
  <c r="F3836" i="1"/>
  <c r="F3825" i="1"/>
  <c r="F3815" i="1"/>
  <c r="F3804" i="1"/>
  <c r="F3793" i="1"/>
  <c r="F3783" i="1"/>
  <c r="F3772" i="1"/>
  <c r="F3761" i="1"/>
  <c r="F3751" i="1"/>
  <c r="F2120" i="1"/>
  <c r="F2126" i="1"/>
  <c r="F2127" i="1"/>
  <c r="F2147" i="1"/>
  <c r="F2187" i="1"/>
  <c r="F2235" i="1"/>
  <c r="F2236" i="1"/>
  <c r="F2289" i="1"/>
  <c r="F2296" i="1"/>
  <c r="F2299" i="1"/>
  <c r="F2300" i="1"/>
  <c r="F2326" i="1"/>
  <c r="F2344" i="1"/>
  <c r="F2347" i="1"/>
  <c r="F2369" i="1"/>
  <c r="F2384" i="1"/>
  <c r="F2427" i="1"/>
  <c r="F2447" i="1"/>
  <c r="F2464" i="1"/>
  <c r="F2473" i="1"/>
  <c r="F2483" i="1"/>
  <c r="F2503" i="1"/>
  <c r="F2523" i="1"/>
  <c r="F2575" i="1"/>
  <c r="F2595" i="1"/>
  <c r="F2655" i="1"/>
  <c r="F2681" i="1"/>
  <c r="F2711" i="1"/>
  <c r="F2731" i="1"/>
  <c r="F2761" i="1"/>
  <c r="F2771" i="1"/>
  <c r="F2792" i="1"/>
  <c r="F2801" i="1"/>
  <c r="F2804" i="1"/>
  <c r="F2813" i="1"/>
  <c r="F2822" i="1"/>
  <c r="F2853" i="1"/>
  <c r="F2914" i="1"/>
  <c r="F3115" i="1"/>
  <c r="F1964" i="1"/>
  <c r="F1968" i="1"/>
  <c r="F1971" i="1"/>
  <c r="F1981" i="1"/>
  <c r="F1988" i="1"/>
  <c r="F2002" i="1"/>
  <c r="F2003" i="1"/>
  <c r="F2013" i="1"/>
  <c r="F2020" i="1"/>
  <c r="F2034" i="1"/>
  <c r="F2035" i="1"/>
  <c r="F2045" i="1"/>
  <c r="F2052" i="1"/>
  <c r="F2066" i="1"/>
  <c r="F2067" i="1"/>
  <c r="F2076" i="1"/>
  <c r="F2083" i="1"/>
  <c r="F2115" i="1"/>
  <c r="F2154" i="1"/>
  <c r="F2157" i="1"/>
  <c r="F2176" i="1"/>
  <c r="F2180" i="1"/>
  <c r="F2196" i="1"/>
  <c r="F2206" i="1"/>
  <c r="F2213" i="1"/>
  <c r="F2225" i="1"/>
  <c r="F2232" i="1"/>
  <c r="F2246" i="1"/>
  <c r="F2257" i="1"/>
  <c r="F2278" i="1"/>
  <c r="F2295" i="1"/>
  <c r="F2316" i="1"/>
  <c r="F2340" i="1"/>
  <c r="F2343" i="1"/>
  <c r="F2374" i="1"/>
  <c r="F2381" i="1"/>
  <c r="F2383" i="1"/>
  <c r="F2408" i="1"/>
  <c r="F2463" i="1"/>
  <c r="F2477" i="1"/>
  <c r="F2480" i="1"/>
  <c r="F2489" i="1"/>
  <c r="F2493" i="1"/>
  <c r="F2499" i="1"/>
  <c r="F2512" i="1"/>
  <c r="F2533" i="1"/>
  <c r="F2611" i="1"/>
  <c r="F2631" i="1"/>
  <c r="F2651" i="1"/>
  <c r="F2671" i="1"/>
  <c r="F2691" i="1"/>
  <c r="F2721" i="1"/>
  <c r="F2751" i="1"/>
  <c r="F2777" i="1"/>
  <c r="F2825" i="1"/>
  <c r="F2828" i="1"/>
  <c r="F2834" i="1"/>
  <c r="F2866" i="1"/>
  <c r="F2881" i="1"/>
  <c r="F2908" i="1"/>
  <c r="F2911" i="1"/>
  <c r="F2920" i="1"/>
  <c r="F2923" i="1"/>
  <c r="F2935" i="1"/>
  <c r="F2964" i="1"/>
  <c r="F3709" i="1"/>
  <c r="F3069" i="1"/>
  <c r="F3278" i="1"/>
  <c r="F2848" i="1"/>
  <c r="F2912" i="1"/>
  <c r="F2922" i="1"/>
  <c r="F2967" i="1"/>
  <c r="F2989" i="1"/>
  <c r="F3000" i="1"/>
  <c r="F3040" i="1"/>
  <c r="F3065" i="1"/>
  <c r="F3072" i="1"/>
  <c r="F3089" i="1"/>
  <c r="F3104" i="1"/>
  <c r="F3107" i="1"/>
  <c r="F3125" i="1"/>
  <c r="F3148" i="1"/>
  <c r="F3155" i="1"/>
  <c r="F3159" i="1"/>
  <c r="F3162" i="1"/>
  <c r="F3197" i="1"/>
  <c r="F3209" i="1"/>
  <c r="F3213" i="1"/>
  <c r="F3216" i="1"/>
  <c r="F3219" i="1"/>
  <c r="F3229" i="1"/>
  <c r="F3235" i="1"/>
  <c r="F3248" i="1"/>
  <c r="F3252" i="1"/>
  <c r="F3261" i="1"/>
  <c r="F3267" i="1"/>
  <c r="F3280" i="1"/>
  <c r="F3284" i="1"/>
  <c r="F3625" i="1"/>
  <c r="F2932" i="1"/>
  <c r="F2952" i="1"/>
  <c r="F2970" i="1"/>
  <c r="F2992" i="1"/>
  <c r="F3021" i="1"/>
  <c r="F3032" i="1"/>
  <c r="F3047" i="1"/>
  <c r="F3050" i="1"/>
  <c r="F3127" i="1"/>
  <c r="F3144" i="1"/>
  <c r="F3151" i="1"/>
  <c r="F3178" i="1"/>
  <c r="F3188" i="1"/>
  <c r="F3202" i="1"/>
  <c r="F3225" i="1"/>
  <c r="F3251" i="1"/>
  <c r="F3257" i="1"/>
  <c r="F3283" i="1"/>
  <c r="F3286" i="1"/>
  <c r="F3696" i="1"/>
  <c r="F3684" i="1"/>
  <c r="F3199" i="1"/>
  <c r="F3208" i="1"/>
  <c r="F3215" i="1"/>
  <c r="F3636" i="1"/>
  <c r="F3301" i="1"/>
  <c r="F3279" i="1"/>
  <c r="F3288" i="1"/>
  <c r="F3647" i="1"/>
  <c r="F2880" i="1"/>
  <c r="F2944" i="1"/>
  <c r="F2954" i="1"/>
  <c r="F2965" i="1"/>
  <c r="F3016" i="1"/>
  <c r="F3034" i="1"/>
  <c r="F3056" i="1"/>
  <c r="F3060" i="1"/>
  <c r="F3112" i="1"/>
  <c r="F3119" i="1"/>
  <c r="F3129" i="1"/>
  <c r="F3136" i="1"/>
  <c r="F3143" i="1"/>
  <c r="F3153" i="1"/>
  <c r="F3183" i="1"/>
  <c r="F3195" i="1"/>
  <c r="F3201" i="1"/>
  <c r="F3227" i="1"/>
  <c r="F3240" i="1"/>
  <c r="F3244" i="1"/>
  <c r="F3259" i="1"/>
  <c r="F3272" i="1"/>
  <c r="F3276" i="1"/>
  <c r="F3728" i="1"/>
  <c r="F3679" i="1"/>
  <c r="F3295" i="1"/>
  <c r="F2940" i="1"/>
  <c r="F2976" i="1"/>
  <c r="F3005" i="1"/>
  <c r="F3045" i="1"/>
  <c r="F3066" i="1"/>
  <c r="F3080" i="1"/>
  <c r="F3084" i="1"/>
  <c r="F3090" i="1"/>
  <c r="F3098" i="1"/>
  <c r="F3116" i="1"/>
  <c r="F3140" i="1"/>
  <c r="F3160" i="1"/>
  <c r="F3164" i="1"/>
  <c r="F3167" i="1"/>
  <c r="F3170" i="1"/>
  <c r="F3180" i="1"/>
  <c r="F3186" i="1"/>
  <c r="F3192" i="1"/>
  <c r="F3204" i="1"/>
  <c r="F3207" i="1"/>
  <c r="F3210" i="1"/>
  <c r="F3221" i="1"/>
  <c r="F3237" i="1"/>
  <c r="F3243" i="1"/>
  <c r="F3249" i="1"/>
  <c r="F3253" i="1"/>
  <c r="F3275" i="1"/>
  <c r="F3281" i="1"/>
  <c r="F3290" i="1"/>
  <c r="F3668" i="1"/>
  <c r="F3631" i="1"/>
  <c r="F3312" i="1"/>
  <c r="F3641" i="1"/>
  <c r="F37" i="1"/>
  <c r="F36" i="1"/>
  <c r="F61" i="1"/>
  <c r="F2" i="1"/>
  <c r="F34" i="1"/>
  <c r="F148" i="1"/>
  <c r="F26" i="1"/>
  <c r="F58" i="1"/>
  <c r="F75" i="1"/>
  <c r="F91" i="1"/>
  <c r="F140" i="1"/>
  <c r="F10" i="1"/>
  <c r="F42" i="1"/>
  <c r="F67" i="1"/>
  <c r="F83" i="1"/>
  <c r="F156" i="1"/>
  <c r="F323" i="1"/>
  <c r="F327" i="1"/>
  <c r="F331" i="1"/>
  <c r="F335" i="1"/>
  <c r="F339" i="1"/>
  <c r="F343" i="1"/>
  <c r="F347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F431" i="1"/>
  <c r="F297" i="1"/>
  <c r="F313" i="1"/>
  <c r="F285" i="1"/>
  <c r="F301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970" i="1"/>
  <c r="F975" i="1"/>
  <c r="F847" i="1"/>
  <c r="F879" i="1"/>
  <c r="F897" i="1"/>
  <c r="F913" i="1"/>
  <c r="F929" i="1"/>
  <c r="F945" i="1"/>
  <c r="F1042" i="1"/>
  <c r="F1106" i="1"/>
  <c r="F954" i="1"/>
  <c r="F959" i="1"/>
  <c r="F986" i="1"/>
  <c r="F1050" i="1"/>
  <c r="F1114" i="1"/>
  <c r="F871" i="1"/>
  <c r="F994" i="1"/>
  <c r="F1058" i="1"/>
  <c r="F1122" i="1"/>
  <c r="F1674" i="1"/>
  <c r="F1738" i="1"/>
  <c r="F1799" i="1"/>
  <c r="F1306" i="1"/>
  <c r="F1324" i="1"/>
  <c r="F1338" i="1"/>
  <c r="F1356" i="1"/>
  <c r="F1370" i="1"/>
  <c r="F1388" i="1"/>
  <c r="F1402" i="1"/>
  <c r="F1420" i="1"/>
  <c r="F1434" i="1"/>
  <c r="F1452" i="1"/>
  <c r="F1466" i="1"/>
  <c r="F1530" i="1"/>
  <c r="F1562" i="1"/>
  <c r="F1594" i="1"/>
  <c r="F1626" i="1"/>
  <c r="F1198" i="1"/>
  <c r="F1218" i="1"/>
  <c r="F1312" i="1"/>
  <c r="F1344" i="1"/>
  <c r="F1376" i="1"/>
  <c r="F1408" i="1"/>
  <c r="F1706" i="1"/>
  <c r="F1770" i="1"/>
  <c r="F1222" i="1"/>
  <c r="F1236" i="1"/>
  <c r="F1308" i="1"/>
  <c r="F1322" i="1"/>
  <c r="F1340" i="1"/>
  <c r="F1354" i="1"/>
  <c r="F1372" i="1"/>
  <c r="F1386" i="1"/>
  <c r="F1404" i="1"/>
  <c r="F1418" i="1"/>
  <c r="F1436" i="1"/>
  <c r="F1450" i="1"/>
  <c r="F1468" i="1"/>
  <c r="F1482" i="1"/>
  <c r="F1514" i="1"/>
  <c r="F1546" i="1"/>
  <c r="F1578" i="1"/>
  <c r="F1610" i="1"/>
  <c r="F1642" i="1"/>
  <c r="F1698" i="1"/>
  <c r="F1762" i="1"/>
  <c r="F1202" i="1"/>
  <c r="F1226" i="1"/>
  <c r="F1304" i="1"/>
  <c r="F1336" i="1"/>
  <c r="F1368" i="1"/>
  <c r="F1400" i="1"/>
  <c r="F1894" i="1"/>
  <c r="F2129" i="1"/>
  <c r="F2142" i="1"/>
  <c r="F1966" i="1"/>
  <c r="F1806" i="1"/>
  <c r="F1820" i="1"/>
  <c r="F1838" i="1"/>
  <c r="F1852" i="1"/>
  <c r="F1870" i="1"/>
  <c r="F1884" i="1"/>
  <c r="F1918" i="1"/>
  <c r="F1926" i="1"/>
  <c r="F1958" i="1"/>
  <c r="F1892" i="1"/>
  <c r="F1814" i="1"/>
  <c r="F1828" i="1"/>
  <c r="F1846" i="1"/>
  <c r="F1860" i="1"/>
  <c r="F1878" i="1"/>
  <c r="F1900" i="1"/>
  <c r="F1950" i="1"/>
  <c r="F2091" i="1"/>
  <c r="F2123" i="1"/>
  <c r="F2227" i="1"/>
  <c r="F2093" i="1"/>
  <c r="F2125" i="1"/>
  <c r="F2173" i="1"/>
  <c r="F2190" i="1"/>
  <c r="F2160" i="1"/>
  <c r="F2181" i="1"/>
  <c r="F2085" i="1"/>
  <c r="F2117" i="1"/>
  <c r="F2149" i="1"/>
  <c r="F2168" i="1"/>
  <c r="F2208" i="1"/>
  <c r="F2387" i="1"/>
  <c r="F2441" i="1"/>
  <c r="F2223" i="1"/>
  <c r="F2239" i="1"/>
  <c r="F2255" i="1"/>
  <c r="F2271" i="1"/>
  <c r="F2287" i="1"/>
  <c r="F2303" i="1"/>
  <c r="F2319" i="1"/>
  <c r="F2335" i="1"/>
  <c r="F2351" i="1"/>
  <c r="F2367" i="1"/>
  <c r="F2443" i="1"/>
  <c r="F2371" i="1"/>
  <c r="F2403" i="1"/>
  <c r="F2457" i="1"/>
  <c r="F2243" i="1"/>
  <c r="F2259" i="1"/>
  <c r="F2275" i="1"/>
  <c r="F2291" i="1"/>
  <c r="F2307" i="1"/>
  <c r="F2323" i="1"/>
  <c r="F2339" i="1"/>
  <c r="F2355" i="1"/>
  <c r="F2435" i="1"/>
  <c r="F2379" i="1"/>
  <c r="F2411" i="1"/>
  <c r="F2449" i="1"/>
  <c r="F2519" i="1"/>
  <c r="F2535" i="1"/>
  <c r="F2539" i="1"/>
  <c r="F2543" i="1"/>
  <c r="F2547" i="1"/>
  <c r="F2551" i="1"/>
  <c r="F2555" i="1"/>
  <c r="F2559" i="1"/>
  <c r="F2563" i="1"/>
  <c r="F2800" i="1"/>
  <c r="F2816" i="1"/>
  <c r="F2832" i="1"/>
  <c r="F2537" i="1"/>
  <c r="F2541" i="1"/>
  <c r="F2545" i="1"/>
  <c r="F2549" i="1"/>
  <c r="F2553" i="1"/>
  <c r="F2557" i="1"/>
  <c r="F2561" i="1"/>
  <c r="F2565" i="1"/>
  <c r="F2569" i="1"/>
  <c r="F2573" i="1"/>
  <c r="F2577" i="1"/>
  <c r="F2581" i="1"/>
  <c r="F2585" i="1"/>
  <c r="F2589" i="1"/>
  <c r="F2593" i="1"/>
  <c r="F2597" i="1"/>
  <c r="F2601" i="1"/>
  <c r="F2605" i="1"/>
  <c r="F2609" i="1"/>
  <c r="F2613" i="1"/>
  <c r="F2617" i="1"/>
  <c r="F2621" i="1"/>
  <c r="F2625" i="1"/>
  <c r="F2629" i="1"/>
  <c r="F2633" i="1"/>
  <c r="F2637" i="1"/>
  <c r="F2641" i="1"/>
  <c r="F2645" i="1"/>
  <c r="F2649" i="1"/>
  <c r="F2653" i="1"/>
  <c r="F2657" i="1"/>
  <c r="F2661" i="1"/>
  <c r="F2669" i="1"/>
  <c r="F2677" i="1"/>
  <c r="F2685" i="1"/>
  <c r="F2693" i="1"/>
  <c r="F2701" i="1"/>
  <c r="F2709" i="1"/>
  <c r="F2717" i="1"/>
  <c r="F2725" i="1"/>
  <c r="F2733" i="1"/>
  <c r="F2741" i="1"/>
  <c r="F2749" i="1"/>
  <c r="F2757" i="1"/>
  <c r="F2765" i="1"/>
  <c r="F2773" i="1"/>
  <c r="F2781" i="1"/>
  <c r="F2798" i="1"/>
  <c r="F2814" i="1"/>
  <c r="F2830" i="1"/>
  <c r="F2850" i="1"/>
  <c r="F2858" i="1"/>
  <c r="F2962" i="1"/>
  <c r="F2978" i="1"/>
  <c r="F2994" i="1"/>
  <c r="F3010" i="1"/>
  <c r="F3026" i="1"/>
  <c r="F3042" i="1"/>
  <c r="F3058" i="1"/>
  <c r="F2852" i="1"/>
  <c r="F2870" i="1"/>
  <c r="F2874" i="1"/>
  <c r="F2878" i="1"/>
  <c r="F2882" i="1"/>
  <c r="F2886" i="1"/>
  <c r="F2890" i="1"/>
  <c r="F2894" i="1"/>
  <c r="F2898" i="1"/>
  <c r="F2902" i="1"/>
  <c r="F2906" i="1"/>
  <c r="F2910" i="1"/>
  <c r="F2918" i="1"/>
  <c r="F2926" i="1"/>
  <c r="F2934" i="1"/>
  <c r="F2942" i="1"/>
  <c r="F2950" i="1"/>
  <c r="F2794" i="1"/>
  <c r="F2810" i="1"/>
  <c r="F2826" i="1"/>
  <c r="F2842" i="1"/>
  <c r="F2961" i="1"/>
  <c r="F2977" i="1"/>
  <c r="F2993" i="1"/>
  <c r="F3009" i="1"/>
  <c r="F3025" i="1"/>
  <c r="F3233" i="1"/>
  <c r="F3265" i="1"/>
  <c r="F3097" i="1"/>
  <c r="F3161" i="1"/>
  <c r="F2959" i="1"/>
  <c r="F2975" i="1"/>
  <c r="F2991" i="1"/>
  <c r="F3007" i="1"/>
  <c r="F3023" i="1"/>
  <c r="F3039" i="1"/>
  <c r="F3055" i="1"/>
  <c r="F3087" i="1"/>
  <c r="F3105" i="1"/>
  <c r="F3169" i="1"/>
  <c r="F2969" i="1"/>
  <c r="F2985" i="1"/>
  <c r="F3001" i="1"/>
  <c r="F3017" i="1"/>
  <c r="F3033" i="1"/>
  <c r="F3049" i="1"/>
  <c r="F3073" i="1"/>
  <c r="F3113" i="1"/>
  <c r="F3177" i="1"/>
  <c r="F3185" i="1"/>
  <c r="F3193" i="1"/>
  <c r="F3063" i="1"/>
  <c r="F3095" i="1"/>
  <c r="F3121" i="1"/>
  <c r="F3241" i="1"/>
  <c r="F3273" i="1"/>
</calcChain>
</file>

<file path=xl/sharedStrings.xml><?xml version="1.0" encoding="utf-8"?>
<sst xmlns="http://schemas.openxmlformats.org/spreadsheetml/2006/main" count="23" uniqueCount="23">
  <si>
    <t>Date</t>
  </si>
  <si>
    <t>Week</t>
  </si>
  <si>
    <t>Month</t>
  </si>
  <si>
    <t>Year</t>
  </si>
  <si>
    <t>WeekDay</t>
  </si>
  <si>
    <t>WeekRunning</t>
  </si>
  <si>
    <t>Count</t>
  </si>
  <si>
    <t>Month_text</t>
  </si>
  <si>
    <t>Month_Year</t>
  </si>
  <si>
    <t>Day_text</t>
  </si>
  <si>
    <t>UK_BH</t>
  </si>
  <si>
    <t>Quarter</t>
  </si>
  <si>
    <t>UK</t>
  </si>
  <si>
    <t>FRA</t>
  </si>
  <si>
    <t>ES</t>
  </si>
  <si>
    <t>PT</t>
  </si>
  <si>
    <t>FR_BH</t>
  </si>
  <si>
    <t>SP_BH</t>
  </si>
  <si>
    <t>PT_BH</t>
  </si>
  <si>
    <t>WD_UK_Count</t>
  </si>
  <si>
    <t>WD_FR_Count</t>
  </si>
  <si>
    <t>WD_SP_Count</t>
  </si>
  <si>
    <t>WD_PT_Count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</si>
</sst>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1" applyNumberFormat="1" applyFont="1"/>
    <xf numFmtId="1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226A0-9A48-4D28-B26D-1425CABB5AE9}" name="calendar" displayName="calendar" ref="A1:S4384" totalsRowShown="0">
  <autoFilter ref="A1:S4384" xr:uid="{C87226A0-9A48-4D28-B26D-1425CABB5AE9}"/>
  <tableColumns count="19">
    <tableColumn id="1" xr3:uid="{1E6A07C1-1967-4B33-8662-AE8CBEE35130}" name="Date" dataDxfId="17" dataCellStyle="Comma"/>
    <tableColumn id="2" xr3:uid="{3A96C7D7-86C5-4097-8902-25427D71D82C}" name="Week" dataDxfId="16" dataCellStyle="Comma">
      <calculatedColumnFormula>WEEKNUM(A2)</calculatedColumnFormula>
    </tableColumn>
    <tableColumn id="3" xr3:uid="{371CAD06-6FCF-40F1-86F2-79E81473EB4D}" name="Month" dataDxfId="15">
      <calculatedColumnFormula>MONTH(A2)</calculatedColumnFormula>
    </tableColumn>
    <tableColumn id="4" xr3:uid="{73ED2C7D-2BAF-4078-BF75-6A13CFC19EFC}" name="Month_text">
      <calculatedColumnFormula>TEXT(A2,"mmmm")</calculatedColumnFormula>
    </tableColumn>
    <tableColumn id="5" xr3:uid="{1EAB6B6B-B1FB-4DD8-AA9E-61D55A89EA0A}" name="Year" dataDxfId="14">
      <calculatedColumnFormula>YEAR(A2)</calculatedColumnFormula>
    </tableColumn>
    <tableColumn id="6" xr3:uid="{14857516-BDE4-462C-A0C0-F379E3F442E5}" name="Month_Year" dataDxfId="13">
      <calculatedColumnFormula>CONCATENATE(calendar[[#This Row],[Month]],"/",calendar[[#This Row],[Year]])</calculatedColumnFormula>
    </tableColumn>
    <tableColumn id="7" xr3:uid="{A4928B7B-F3F2-4B29-9736-3DDD3BD19CB8}" name="WeekDay" dataDxfId="12">
      <calculatedColumnFormula>WEEKDAY(calendar[[#This Row],[Date]],1)</calculatedColumnFormula>
    </tableColumn>
    <tableColumn id="8" xr3:uid="{7C8BC73C-9BDA-4415-B0C5-0349B9FF4744}" name="Day_text" dataDxfId="11">
      <calculatedColumnFormula>TEXT(calendar[[#This Row],[WeekDay]],"dddd")</calculatedColumnFormula>
    </tableColumn>
    <tableColumn id="9" xr3:uid="{EAFEF7BA-AAD9-4B48-B95D-59A1AB3B27A5}" name="WeekRunning" dataDxfId="10"/>
    <tableColumn id="10" xr3:uid="{5802D783-BEAA-492C-BED1-98981AB51A9B}" name="Count" dataDxfId="9"/>
    <tableColumn id="12" xr3:uid="{9BD80075-4E30-4B04-B427-4E549B20BA2E}" name="Quarter" dataDxfId="8">
      <calculatedColumnFormula>IF(calendar[[#This Row],[Month]]&lt;4,1,IF(calendar[[#This Row],[Month]]&lt;7,2,IF(calendar[[#This Row],[Month]]&lt;10,3,4)))</calculatedColumnFormula>
    </tableColumn>
    <tableColumn id="11" xr3:uid="{4F433348-2C7A-4FA0-A4D7-967A2AC6AC90}" name="UK_BH" dataDxfId="7">
      <calculatedColumnFormula>IFERROR(IF(VLOOKUP(calendar[[#This Row],[Date]],BH!A:A,1,)&lt;&gt;"",1,0),0)</calculatedColumnFormula>
    </tableColumn>
    <tableColumn id="13" xr3:uid="{F292C07E-8563-4565-A070-A6C2AF80A44B}" name="FR_BH" dataDxfId="6">
      <calculatedColumnFormula>IFERROR(IF(VLOOKUP(calendar[[#This Row],[Date]],BH!C:C,1,)&lt;&gt;"",1,0),0)</calculatedColumnFormula>
    </tableColumn>
    <tableColumn id="14" xr3:uid="{32FC6E66-5267-4E9C-B5F9-A711CA7DDCCB}" name="SP_BH" dataDxfId="5">
      <calculatedColumnFormula>IFERROR(IF(VLOOKUP(calendar[[#This Row],[Date]],BH!E:E,1,)&lt;&gt;"",1,0),0)</calculatedColumnFormula>
    </tableColumn>
    <tableColumn id="15" xr3:uid="{AA5BF621-E42B-4C27-AE0A-EB2FD6BC133A}" name="PT_BH" dataDxfId="4">
      <calculatedColumnFormula>IFERROR(IF(VLOOKUP(calendar[[#This Row],[Date]],BH!G:G,1,)&lt;&gt;"",1,0),0)</calculatedColumnFormula>
    </tableColumn>
    <tableColumn id="16" xr3:uid="{A86C4E3A-110C-4643-989D-1C21F87B021C}" name="WD_UK_Count" dataDxfId="3"/>
    <tableColumn id="17" xr3:uid="{AE2D6C5D-9881-4C08-96AF-D635C7DE0ABD}" name="WD_FR_Count" dataDxfId="2"/>
    <tableColumn id="18" xr3:uid="{19848C45-842B-4274-AE70-62E245487F4D}" name="WD_SP_Count" dataDxfId="1"/>
    <tableColumn id="19" xr3:uid="{726C6136-444C-4482-8AA1-FE2DB1C3724B}" name="WD_PT_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84"/>
  <sheetViews>
    <sheetView tabSelected="1" workbookViewId="0"/>
  </sheetViews>
  <sheetFormatPr defaultRowHeight="15" x14ac:dyDescent="0.25"/>
  <cols>
    <col min="1" max="1" width="13.5703125" style="3" customWidth="1"/>
    <col min="8" max="8" width="10.5703125" bestFit="1" customWidth="1"/>
    <col min="9" max="11" width="14.140625" customWidth="1"/>
    <col min="12" max="19" width="15" customWidth="1"/>
  </cols>
  <sheetData>
    <row r="1" spans="1:19" x14ac:dyDescent="0.25">
      <c r="A1" s="2" t="s">
        <v>0</v>
      </c>
      <c r="B1" s="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6</v>
      </c>
      <c r="K1" t="s">
        <v>11</v>
      </c>
      <c r="L1" t="s">
        <v>10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25">
      <c r="A2" s="2">
        <v>42736</v>
      </c>
      <c r="B2" s="1">
        <f t="shared" ref="B2:B65" si="0">WEEKNUM(A2)</f>
        <v>1</v>
      </c>
      <c r="C2">
        <f t="shared" ref="C2:C15" si="1">MONTH(A2)</f>
        <v>1</v>
      </c>
      <c r="D2" t="str">
        <f t="shared" ref="D2:D15" si="2">TEXT(A2,"mmmm")</f>
        <v>January</v>
      </c>
      <c r="E2">
        <f t="shared" ref="E2:E15" si="3">YEAR(A2)</f>
        <v>2017</v>
      </c>
      <c r="F2" t="str">
        <f>CONCATENATE(calendar[[#This Row],[Month]],"/",calendar[[#This Row],[Year]])</f>
        <v>1/2017</v>
      </c>
      <c r="G2">
        <f>WEEKDAY(calendar[[#This Row],[Date]],1)</f>
        <v>1</v>
      </c>
      <c r="H2" t="str">
        <f>TEXT(calendar[[#This Row],[WeekDay]],"dddd")</f>
        <v>Sunday</v>
      </c>
      <c r="I2">
        <v>1</v>
      </c>
      <c r="J2">
        <v>0</v>
      </c>
      <c r="K2">
        <f>IF(calendar[[#This Row],[Month]]&lt;4,1,IF(calendar[[#This Row],[Month]]&lt;7,2,IF(calendar[[#This Row],[Month]]&lt;10,3,4)))</f>
        <v>1</v>
      </c>
      <c r="L2">
        <f>IFERROR(IF(VLOOKUP(calendar[[#This Row],[Date]],BH!A:A,1,)&lt;&gt;"",1,0),0)</f>
        <v>0</v>
      </c>
      <c r="M2">
        <f>IFERROR(IF(VLOOKUP(calendar[[#This Row],[Date]],BH!C:C,1,)&lt;&gt;"",1,0),0)</f>
        <v>0</v>
      </c>
      <c r="N2">
        <f>IFERROR(IF(VLOOKUP(calendar[[#This Row],[Date]],BH!E:E,1,)&lt;&gt;"",1,0),0)</f>
        <v>0</v>
      </c>
      <c r="O2">
        <f>IFERROR(IF(VLOOKUP(calendar[[#This Row],[Date]],BH!G:G,1,)&lt;&gt;"",1,0),0)</f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42737</v>
      </c>
      <c r="B3" s="1">
        <f t="shared" si="0"/>
        <v>1</v>
      </c>
      <c r="C3">
        <f t="shared" si="1"/>
        <v>1</v>
      </c>
      <c r="D3" t="str">
        <f t="shared" si="2"/>
        <v>January</v>
      </c>
      <c r="E3">
        <f t="shared" si="3"/>
        <v>2017</v>
      </c>
      <c r="F3" t="str">
        <f>CONCATENATE(calendar[[#This Row],[Month]],"/",calendar[[#This Row],[Year]])</f>
        <v>1/2017</v>
      </c>
      <c r="G3">
        <f>WEEKDAY(calendar[[#This Row],[Date]],1)</f>
        <v>2</v>
      </c>
      <c r="H3" t="str">
        <f>TEXT(calendar[[#This Row],[WeekDay]],"dddd")</f>
        <v>Monday</v>
      </c>
      <c r="I3">
        <f>IF((INT(calendar[[#This Row],[Count]]/7)-calendar[[#This Row],[Count]]/7)&lt;0,I2,I2+1)</f>
        <v>1</v>
      </c>
      <c r="J3">
        <f t="shared" ref="J3:J66" si="4">J2+1</f>
        <v>1</v>
      </c>
      <c r="K3">
        <f>IF(calendar[[#This Row],[Month]]&lt;4,1,IF(calendar[[#This Row],[Month]]&lt;7,2,IF(calendar[[#This Row],[Month]]&lt;10,3,4)))</f>
        <v>1</v>
      </c>
      <c r="L3">
        <f>IFERROR(IF(VLOOKUP(calendar[[#This Row],[Date]],BH!A:A,1,)&lt;&gt;"",1,0),0)</f>
        <v>0</v>
      </c>
      <c r="M3">
        <f>IFERROR(IF(VLOOKUP(calendar[[#This Row],[Date]],BH!C:C,1,)&lt;&gt;"",1,0),0)</f>
        <v>0</v>
      </c>
      <c r="N3">
        <f>IFERROR(IF(VLOOKUP(calendar[[#This Row],[Date]],BH!E:E,1,)&lt;&gt;"",1,0),0)</f>
        <v>0</v>
      </c>
      <c r="O3">
        <f>IFERROR(IF(VLOOKUP(calendar[[#This Row],[Date]],BH!G:G,1,)&lt;&gt;"",1,0),0)</f>
        <v>0</v>
      </c>
      <c r="P3">
        <f>IF(OR(calendar[[#This Row],[UK_BH]]=1,calendar[[#This Row],[WeekDay]]=1, calendar[[#This Row],[WeekDay]]=7),P2,P2+1)</f>
        <v>1</v>
      </c>
      <c r="Q3">
        <f>IF(OR(calendar[[#This Row],[FR_BH]]=1,calendar[[#This Row],[WeekDay]]=1, calendar[[#This Row],[WeekDay]]=7),P2,P2+1)</f>
        <v>1</v>
      </c>
      <c r="R3">
        <f>IF(OR(calendar[[#This Row],[SP_BH]]=1,calendar[[#This Row],[WeekDay]]=1, calendar[[#This Row],[WeekDay]]=7),P2,P2+1)</f>
        <v>1</v>
      </c>
      <c r="S3">
        <f>IF(OR(calendar[[#This Row],[PT_BH]]=1,calendar[[#This Row],[WeekDay]]=1, calendar[[#This Row],[WeekDay]]=7),P2,P2+1)</f>
        <v>1</v>
      </c>
    </row>
    <row r="4" spans="1:19" x14ac:dyDescent="0.25">
      <c r="A4" s="2">
        <v>42738</v>
      </c>
      <c r="B4" s="1">
        <f t="shared" si="0"/>
        <v>1</v>
      </c>
      <c r="C4">
        <f t="shared" si="1"/>
        <v>1</v>
      </c>
      <c r="D4" t="str">
        <f t="shared" si="2"/>
        <v>January</v>
      </c>
      <c r="E4">
        <f t="shared" si="3"/>
        <v>2017</v>
      </c>
      <c r="F4" t="str">
        <f>CONCATENATE(calendar[[#This Row],[Month]],"/",calendar[[#This Row],[Year]])</f>
        <v>1/2017</v>
      </c>
      <c r="G4">
        <f>WEEKDAY(calendar[[#This Row],[Date]],1)</f>
        <v>3</v>
      </c>
      <c r="H4" t="str">
        <f>TEXT(calendar[[#This Row],[WeekDay]],"dddd")</f>
        <v>Tuesday</v>
      </c>
      <c r="I4">
        <f>IF((INT(calendar[[#This Row],[Count]]/7)-calendar[[#This Row],[Count]]/7)&lt;0,I3,I3+1)</f>
        <v>1</v>
      </c>
      <c r="J4">
        <f t="shared" si="4"/>
        <v>2</v>
      </c>
      <c r="K4">
        <f>IF(calendar[[#This Row],[Month]]&lt;4,1,IF(calendar[[#This Row],[Month]]&lt;7,2,IF(calendar[[#This Row],[Month]]&lt;10,3,4)))</f>
        <v>1</v>
      </c>
      <c r="L4">
        <f>IFERROR(IF(VLOOKUP(calendar[[#This Row],[Date]],BH!A:A,1,)&lt;&gt;"",1,0),0)</f>
        <v>0</v>
      </c>
      <c r="M4">
        <f>IFERROR(IF(VLOOKUP(calendar[[#This Row],[Date]],BH!C:C,1,)&lt;&gt;"",1,0),0)</f>
        <v>0</v>
      </c>
      <c r="N4">
        <f>IFERROR(IF(VLOOKUP(calendar[[#This Row],[Date]],BH!E:E,1,)&lt;&gt;"",1,0),0)</f>
        <v>0</v>
      </c>
      <c r="O4">
        <f>IFERROR(IF(VLOOKUP(calendar[[#This Row],[Date]],BH!G:G,1,)&lt;&gt;"",1,0),0)</f>
        <v>0</v>
      </c>
      <c r="P4">
        <f>IF(OR(calendar[[#This Row],[UK_BH]]=1,calendar[[#This Row],[WeekDay]]=1, calendar[[#This Row],[WeekDay]]=7),P3,P3+1)</f>
        <v>2</v>
      </c>
      <c r="Q4">
        <f>IF(OR(calendar[[#This Row],[FR_BH]]=1,calendar[[#This Row],[WeekDay]]=1, calendar[[#This Row],[WeekDay]]=7),P3,P3+1)</f>
        <v>2</v>
      </c>
      <c r="R4">
        <f>IF(OR(calendar[[#This Row],[SP_BH]]=1,calendar[[#This Row],[WeekDay]]=1, calendar[[#This Row],[WeekDay]]=7),P3,P3+1)</f>
        <v>2</v>
      </c>
      <c r="S4">
        <f>IF(OR(calendar[[#This Row],[PT_BH]]=1,calendar[[#This Row],[WeekDay]]=1, calendar[[#This Row],[WeekDay]]=7),P3,P3+1)</f>
        <v>2</v>
      </c>
    </row>
    <row r="5" spans="1:19" x14ac:dyDescent="0.25">
      <c r="A5" s="2">
        <v>42739</v>
      </c>
      <c r="B5" s="1">
        <f t="shared" si="0"/>
        <v>1</v>
      </c>
      <c r="C5">
        <f t="shared" si="1"/>
        <v>1</v>
      </c>
      <c r="D5" t="str">
        <f t="shared" si="2"/>
        <v>January</v>
      </c>
      <c r="E5">
        <f t="shared" si="3"/>
        <v>2017</v>
      </c>
      <c r="F5" t="str">
        <f>CONCATENATE(calendar[[#This Row],[Month]],"/",calendar[[#This Row],[Year]])</f>
        <v>1/2017</v>
      </c>
      <c r="G5">
        <f>WEEKDAY(calendar[[#This Row],[Date]],1)</f>
        <v>4</v>
      </c>
      <c r="H5" t="str">
        <f>TEXT(calendar[[#This Row],[WeekDay]],"dddd")</f>
        <v>Wednesday</v>
      </c>
      <c r="I5">
        <f>IF((INT(calendar[[#This Row],[Count]]/7)-calendar[[#This Row],[Count]]/7)&lt;0,I4,I4+1)</f>
        <v>1</v>
      </c>
      <c r="J5">
        <f t="shared" si="4"/>
        <v>3</v>
      </c>
      <c r="K5">
        <f>IF(calendar[[#This Row],[Month]]&lt;4,1,IF(calendar[[#This Row],[Month]]&lt;7,2,IF(calendar[[#This Row],[Month]]&lt;10,3,4)))</f>
        <v>1</v>
      </c>
      <c r="L5">
        <f>IFERROR(IF(VLOOKUP(calendar[[#This Row],[Date]],BH!A:A,1,)&lt;&gt;"",1,0),0)</f>
        <v>0</v>
      </c>
      <c r="M5">
        <f>IFERROR(IF(VLOOKUP(calendar[[#This Row],[Date]],BH!C:C,1,)&lt;&gt;"",1,0),0)</f>
        <v>0</v>
      </c>
      <c r="N5">
        <f>IFERROR(IF(VLOOKUP(calendar[[#This Row],[Date]],BH!E:E,1,)&lt;&gt;"",1,0),0)</f>
        <v>0</v>
      </c>
      <c r="O5">
        <f>IFERROR(IF(VLOOKUP(calendar[[#This Row],[Date]],BH!G:G,1,)&lt;&gt;"",1,0),0)</f>
        <v>0</v>
      </c>
      <c r="P5">
        <f>IF(OR(calendar[[#This Row],[UK_BH]]=1,calendar[[#This Row],[WeekDay]]=1, calendar[[#This Row],[WeekDay]]=7),P4,P4+1)</f>
        <v>3</v>
      </c>
      <c r="Q5">
        <f>IF(OR(calendar[[#This Row],[FR_BH]]=1,calendar[[#This Row],[WeekDay]]=1, calendar[[#This Row],[WeekDay]]=7),P4,P4+1)</f>
        <v>3</v>
      </c>
      <c r="R5">
        <f>IF(OR(calendar[[#This Row],[SP_BH]]=1,calendar[[#This Row],[WeekDay]]=1, calendar[[#This Row],[WeekDay]]=7),P4,P4+1)</f>
        <v>3</v>
      </c>
      <c r="S5">
        <f>IF(OR(calendar[[#This Row],[PT_BH]]=1,calendar[[#This Row],[WeekDay]]=1, calendar[[#This Row],[WeekDay]]=7),P4,P4+1)</f>
        <v>3</v>
      </c>
    </row>
    <row r="6" spans="1:19" x14ac:dyDescent="0.25">
      <c r="A6" s="2">
        <v>42740</v>
      </c>
      <c r="B6" s="1">
        <f t="shared" si="0"/>
        <v>1</v>
      </c>
      <c r="C6">
        <f t="shared" si="1"/>
        <v>1</v>
      </c>
      <c r="D6" t="str">
        <f t="shared" si="2"/>
        <v>January</v>
      </c>
      <c r="E6">
        <f t="shared" si="3"/>
        <v>2017</v>
      </c>
      <c r="F6" t="str">
        <f>CONCATENATE(calendar[[#This Row],[Month]],"/",calendar[[#This Row],[Year]])</f>
        <v>1/2017</v>
      </c>
      <c r="G6">
        <f>WEEKDAY(calendar[[#This Row],[Date]],1)</f>
        <v>5</v>
      </c>
      <c r="H6" t="str">
        <f>TEXT(calendar[[#This Row],[WeekDay]],"dddd")</f>
        <v>Thursday</v>
      </c>
      <c r="I6">
        <f>IF((INT(calendar[[#This Row],[Count]]/7)-calendar[[#This Row],[Count]]/7)&lt;0,I5,I5+1)</f>
        <v>1</v>
      </c>
      <c r="J6">
        <f t="shared" si="4"/>
        <v>4</v>
      </c>
      <c r="K6">
        <f>IF(calendar[[#This Row],[Month]]&lt;4,1,IF(calendar[[#This Row],[Month]]&lt;7,2,IF(calendar[[#This Row],[Month]]&lt;10,3,4)))</f>
        <v>1</v>
      </c>
      <c r="L6">
        <f>IFERROR(IF(VLOOKUP(calendar[[#This Row],[Date]],BH!A:A,1,)&lt;&gt;"",1,0),0)</f>
        <v>0</v>
      </c>
      <c r="M6">
        <f>IFERROR(IF(VLOOKUP(calendar[[#This Row],[Date]],BH!C:C,1,)&lt;&gt;"",1,0),0)</f>
        <v>0</v>
      </c>
      <c r="N6">
        <f>IFERROR(IF(VLOOKUP(calendar[[#This Row],[Date]],BH!E:E,1,)&lt;&gt;"",1,0),0)</f>
        <v>0</v>
      </c>
      <c r="O6">
        <f>IFERROR(IF(VLOOKUP(calendar[[#This Row],[Date]],BH!G:G,1,)&lt;&gt;"",1,0),0)</f>
        <v>0</v>
      </c>
      <c r="P6">
        <f>IF(OR(calendar[[#This Row],[UK_BH]]=1,calendar[[#This Row],[WeekDay]]=1, calendar[[#This Row],[WeekDay]]=7),P5,P5+1)</f>
        <v>4</v>
      </c>
      <c r="Q6">
        <f>IF(OR(calendar[[#This Row],[FR_BH]]=1,calendar[[#This Row],[WeekDay]]=1, calendar[[#This Row],[WeekDay]]=7),P5,P5+1)</f>
        <v>4</v>
      </c>
      <c r="R6">
        <f>IF(OR(calendar[[#This Row],[SP_BH]]=1,calendar[[#This Row],[WeekDay]]=1, calendar[[#This Row],[WeekDay]]=7),P5,P5+1)</f>
        <v>4</v>
      </c>
      <c r="S6">
        <f>IF(OR(calendar[[#This Row],[PT_BH]]=1,calendar[[#This Row],[WeekDay]]=1, calendar[[#This Row],[WeekDay]]=7),P5,P5+1)</f>
        <v>4</v>
      </c>
    </row>
    <row r="7" spans="1:19" x14ac:dyDescent="0.25">
      <c r="A7" s="2">
        <v>42741</v>
      </c>
      <c r="B7" s="1">
        <f t="shared" si="0"/>
        <v>1</v>
      </c>
      <c r="C7">
        <f t="shared" si="1"/>
        <v>1</v>
      </c>
      <c r="D7" t="str">
        <f t="shared" si="2"/>
        <v>January</v>
      </c>
      <c r="E7">
        <f t="shared" si="3"/>
        <v>2017</v>
      </c>
      <c r="F7" t="str">
        <f>CONCATENATE(calendar[[#This Row],[Month]],"/",calendar[[#This Row],[Year]])</f>
        <v>1/2017</v>
      </c>
      <c r="G7">
        <f>WEEKDAY(calendar[[#This Row],[Date]],1)</f>
        <v>6</v>
      </c>
      <c r="H7" t="str">
        <f>TEXT(calendar[[#This Row],[WeekDay]],"dddd")</f>
        <v>Friday</v>
      </c>
      <c r="I7">
        <f>IF((INT(calendar[[#This Row],[Count]]/7)-calendar[[#This Row],[Count]]/7)&lt;0,I6,I6+1)</f>
        <v>1</v>
      </c>
      <c r="J7">
        <f t="shared" si="4"/>
        <v>5</v>
      </c>
      <c r="K7">
        <f>IF(calendar[[#This Row],[Month]]&lt;4,1,IF(calendar[[#This Row],[Month]]&lt;7,2,IF(calendar[[#This Row],[Month]]&lt;10,3,4)))</f>
        <v>1</v>
      </c>
      <c r="L7">
        <f>IFERROR(IF(VLOOKUP(calendar[[#This Row],[Date]],BH!A:A,1,)&lt;&gt;"",1,0),0)</f>
        <v>0</v>
      </c>
      <c r="M7">
        <f>IFERROR(IF(VLOOKUP(calendar[[#This Row],[Date]],BH!C:C,1,)&lt;&gt;"",1,0),0)</f>
        <v>0</v>
      </c>
      <c r="N7">
        <f>IFERROR(IF(VLOOKUP(calendar[[#This Row],[Date]],BH!E:E,1,)&lt;&gt;"",1,0),0)</f>
        <v>0</v>
      </c>
      <c r="O7">
        <f>IFERROR(IF(VLOOKUP(calendar[[#This Row],[Date]],BH!G:G,1,)&lt;&gt;"",1,0),0)</f>
        <v>0</v>
      </c>
      <c r="P7">
        <f>IF(OR(calendar[[#This Row],[UK_BH]]=1,calendar[[#This Row],[WeekDay]]=1, calendar[[#This Row],[WeekDay]]=7),P6,P6+1)</f>
        <v>5</v>
      </c>
      <c r="Q7">
        <f>IF(OR(calendar[[#This Row],[FR_BH]]=1,calendar[[#This Row],[WeekDay]]=1, calendar[[#This Row],[WeekDay]]=7),P6,P6+1)</f>
        <v>5</v>
      </c>
      <c r="R7">
        <f>IF(OR(calendar[[#This Row],[SP_BH]]=1,calendar[[#This Row],[WeekDay]]=1, calendar[[#This Row],[WeekDay]]=7),P6,P6+1)</f>
        <v>5</v>
      </c>
      <c r="S7">
        <f>IF(OR(calendar[[#This Row],[PT_BH]]=1,calendar[[#This Row],[WeekDay]]=1, calendar[[#This Row],[WeekDay]]=7),P6,P6+1)</f>
        <v>5</v>
      </c>
    </row>
    <row r="8" spans="1:19" x14ac:dyDescent="0.25">
      <c r="A8" s="2">
        <v>42742</v>
      </c>
      <c r="B8" s="1">
        <f t="shared" si="0"/>
        <v>1</v>
      </c>
      <c r="C8">
        <f t="shared" si="1"/>
        <v>1</v>
      </c>
      <c r="D8" t="str">
        <f t="shared" si="2"/>
        <v>January</v>
      </c>
      <c r="E8">
        <f t="shared" si="3"/>
        <v>2017</v>
      </c>
      <c r="F8" t="str">
        <f>CONCATENATE(calendar[[#This Row],[Month]],"/",calendar[[#This Row],[Year]])</f>
        <v>1/2017</v>
      </c>
      <c r="G8">
        <f>WEEKDAY(calendar[[#This Row],[Date]],1)</f>
        <v>7</v>
      </c>
      <c r="H8" t="str">
        <f>TEXT(calendar[[#This Row],[WeekDay]],"dddd")</f>
        <v>Saturday</v>
      </c>
      <c r="I8">
        <f>IF((INT(calendar[[#This Row],[Count]]/7)-calendar[[#This Row],[Count]]/7)&lt;0,I7,I7+1)</f>
        <v>1</v>
      </c>
      <c r="J8">
        <f t="shared" si="4"/>
        <v>6</v>
      </c>
      <c r="K8">
        <f>IF(calendar[[#This Row],[Month]]&lt;4,1,IF(calendar[[#This Row],[Month]]&lt;7,2,IF(calendar[[#This Row],[Month]]&lt;10,3,4)))</f>
        <v>1</v>
      </c>
      <c r="L8">
        <f>IFERROR(IF(VLOOKUP(calendar[[#This Row],[Date]],BH!A:A,1,)&lt;&gt;"",1,0),0)</f>
        <v>0</v>
      </c>
      <c r="M8">
        <f>IFERROR(IF(VLOOKUP(calendar[[#This Row],[Date]],BH!C:C,1,)&lt;&gt;"",1,0),0)</f>
        <v>0</v>
      </c>
      <c r="N8">
        <f>IFERROR(IF(VLOOKUP(calendar[[#This Row],[Date]],BH!E:E,1,)&lt;&gt;"",1,0),0)</f>
        <v>0</v>
      </c>
      <c r="O8">
        <f>IFERROR(IF(VLOOKUP(calendar[[#This Row],[Date]],BH!G:G,1,)&lt;&gt;"",1,0),0)</f>
        <v>0</v>
      </c>
      <c r="P8">
        <f>IF(OR(calendar[[#This Row],[UK_BH]]=1,calendar[[#This Row],[WeekDay]]=1, calendar[[#This Row],[WeekDay]]=7),P7,P7+1)</f>
        <v>5</v>
      </c>
      <c r="Q8">
        <f>IF(OR(calendar[[#This Row],[FR_BH]]=1,calendar[[#This Row],[WeekDay]]=1, calendar[[#This Row],[WeekDay]]=7),P7,P7+1)</f>
        <v>5</v>
      </c>
      <c r="R8">
        <f>IF(OR(calendar[[#This Row],[SP_BH]]=1,calendar[[#This Row],[WeekDay]]=1, calendar[[#This Row],[WeekDay]]=7),P7,P7+1)</f>
        <v>5</v>
      </c>
      <c r="S8">
        <f>IF(OR(calendar[[#This Row],[PT_BH]]=1,calendar[[#This Row],[WeekDay]]=1, calendar[[#This Row],[WeekDay]]=7),P7,P7+1)</f>
        <v>5</v>
      </c>
    </row>
    <row r="9" spans="1:19" x14ac:dyDescent="0.25">
      <c r="A9" s="2">
        <v>42743</v>
      </c>
      <c r="B9" s="1">
        <f t="shared" si="0"/>
        <v>2</v>
      </c>
      <c r="C9">
        <f t="shared" si="1"/>
        <v>1</v>
      </c>
      <c r="D9" t="str">
        <f t="shared" si="2"/>
        <v>January</v>
      </c>
      <c r="E9">
        <f t="shared" si="3"/>
        <v>2017</v>
      </c>
      <c r="F9" t="str">
        <f>CONCATENATE(calendar[[#This Row],[Month]],"/",calendar[[#This Row],[Year]])</f>
        <v>1/2017</v>
      </c>
      <c r="G9">
        <f>WEEKDAY(calendar[[#This Row],[Date]],1)</f>
        <v>1</v>
      </c>
      <c r="H9" t="str">
        <f>TEXT(calendar[[#This Row],[WeekDay]],"dddd")</f>
        <v>Sunday</v>
      </c>
      <c r="I9">
        <f>IF((INT(calendar[[#This Row],[Count]]/7)-calendar[[#This Row],[Count]]/7)&lt;0,I8,I8+1)</f>
        <v>2</v>
      </c>
      <c r="J9">
        <f t="shared" si="4"/>
        <v>7</v>
      </c>
      <c r="K9">
        <f>IF(calendar[[#This Row],[Month]]&lt;4,1,IF(calendar[[#This Row],[Month]]&lt;7,2,IF(calendar[[#This Row],[Month]]&lt;10,3,4)))</f>
        <v>1</v>
      </c>
      <c r="L9">
        <f>IFERROR(IF(VLOOKUP(calendar[[#This Row],[Date]],BH!A:A,1,)&lt;&gt;"",1,0),0)</f>
        <v>0</v>
      </c>
      <c r="M9">
        <f>IFERROR(IF(VLOOKUP(calendar[[#This Row],[Date]],BH!C:C,1,)&lt;&gt;"",1,0),0)</f>
        <v>0</v>
      </c>
      <c r="N9">
        <f>IFERROR(IF(VLOOKUP(calendar[[#This Row],[Date]],BH!E:E,1,)&lt;&gt;"",1,0),0)</f>
        <v>0</v>
      </c>
      <c r="O9">
        <f>IFERROR(IF(VLOOKUP(calendar[[#This Row],[Date]],BH!G:G,1,)&lt;&gt;"",1,0),0)</f>
        <v>0</v>
      </c>
      <c r="P9">
        <f>IF(OR(calendar[[#This Row],[UK_BH]]=1,calendar[[#This Row],[WeekDay]]=1, calendar[[#This Row],[WeekDay]]=7),P8,P8+1)</f>
        <v>5</v>
      </c>
      <c r="Q9">
        <f>IF(OR(calendar[[#This Row],[FR_BH]]=1,calendar[[#This Row],[WeekDay]]=1, calendar[[#This Row],[WeekDay]]=7),P8,P8+1)</f>
        <v>5</v>
      </c>
      <c r="R9">
        <f>IF(OR(calendar[[#This Row],[SP_BH]]=1,calendar[[#This Row],[WeekDay]]=1, calendar[[#This Row],[WeekDay]]=7),P8,P8+1)</f>
        <v>5</v>
      </c>
      <c r="S9">
        <f>IF(OR(calendar[[#This Row],[PT_BH]]=1,calendar[[#This Row],[WeekDay]]=1, calendar[[#This Row],[WeekDay]]=7),P8,P8+1)</f>
        <v>5</v>
      </c>
    </row>
    <row r="10" spans="1:19" x14ac:dyDescent="0.25">
      <c r="A10" s="2">
        <v>42744</v>
      </c>
      <c r="B10" s="1">
        <f t="shared" si="0"/>
        <v>2</v>
      </c>
      <c r="C10">
        <f t="shared" si="1"/>
        <v>1</v>
      </c>
      <c r="D10" t="str">
        <f t="shared" si="2"/>
        <v>January</v>
      </c>
      <c r="E10">
        <f t="shared" si="3"/>
        <v>2017</v>
      </c>
      <c r="F10" t="str">
        <f>CONCATENATE(calendar[[#This Row],[Month]],"/",calendar[[#This Row],[Year]])</f>
        <v>1/2017</v>
      </c>
      <c r="G10">
        <f>WEEKDAY(calendar[[#This Row],[Date]],1)</f>
        <v>2</v>
      </c>
      <c r="H10" t="str">
        <f>TEXT(calendar[[#This Row],[WeekDay]],"dddd")</f>
        <v>Monday</v>
      </c>
      <c r="I10">
        <f>IF((INT(calendar[[#This Row],[Count]]/7)-calendar[[#This Row],[Count]]/7)&lt;0,I9,I9+1)</f>
        <v>2</v>
      </c>
      <c r="J10">
        <f t="shared" si="4"/>
        <v>8</v>
      </c>
      <c r="K10">
        <f>IF(calendar[[#This Row],[Month]]&lt;4,1,IF(calendar[[#This Row],[Month]]&lt;7,2,IF(calendar[[#This Row],[Month]]&lt;10,3,4)))</f>
        <v>1</v>
      </c>
      <c r="L10">
        <f>IFERROR(IF(VLOOKUP(calendar[[#This Row],[Date]],BH!A:A,1,)&lt;&gt;"",1,0),0)</f>
        <v>0</v>
      </c>
      <c r="M10">
        <f>IFERROR(IF(VLOOKUP(calendar[[#This Row],[Date]],BH!C:C,1,)&lt;&gt;"",1,0),0)</f>
        <v>0</v>
      </c>
      <c r="N10">
        <f>IFERROR(IF(VLOOKUP(calendar[[#This Row],[Date]],BH!E:E,1,)&lt;&gt;"",1,0),0)</f>
        <v>0</v>
      </c>
      <c r="O10">
        <f>IFERROR(IF(VLOOKUP(calendar[[#This Row],[Date]],BH!G:G,1,)&lt;&gt;"",1,0),0)</f>
        <v>0</v>
      </c>
      <c r="P10">
        <f>IF(OR(calendar[[#This Row],[UK_BH]]=1,calendar[[#This Row],[WeekDay]]=1, calendar[[#This Row],[WeekDay]]=7),P9,P9+1)</f>
        <v>6</v>
      </c>
      <c r="Q10">
        <f>IF(OR(calendar[[#This Row],[FR_BH]]=1,calendar[[#This Row],[WeekDay]]=1, calendar[[#This Row],[WeekDay]]=7),P9,P9+1)</f>
        <v>6</v>
      </c>
      <c r="R10">
        <f>IF(OR(calendar[[#This Row],[SP_BH]]=1,calendar[[#This Row],[WeekDay]]=1, calendar[[#This Row],[WeekDay]]=7),P9,P9+1)</f>
        <v>6</v>
      </c>
      <c r="S10">
        <f>IF(OR(calendar[[#This Row],[PT_BH]]=1,calendar[[#This Row],[WeekDay]]=1, calendar[[#This Row],[WeekDay]]=7),P9,P9+1)</f>
        <v>6</v>
      </c>
    </row>
    <row r="11" spans="1:19" x14ac:dyDescent="0.25">
      <c r="A11" s="2">
        <v>42745</v>
      </c>
      <c r="B11" s="1">
        <f t="shared" si="0"/>
        <v>2</v>
      </c>
      <c r="C11">
        <f t="shared" si="1"/>
        <v>1</v>
      </c>
      <c r="D11" t="str">
        <f t="shared" si="2"/>
        <v>January</v>
      </c>
      <c r="E11">
        <f t="shared" si="3"/>
        <v>2017</v>
      </c>
      <c r="F11" t="str">
        <f>CONCATENATE(calendar[[#This Row],[Month]],"/",calendar[[#This Row],[Year]])</f>
        <v>1/2017</v>
      </c>
      <c r="G11">
        <f>WEEKDAY(calendar[[#This Row],[Date]],1)</f>
        <v>3</v>
      </c>
      <c r="H11" t="str">
        <f>TEXT(calendar[[#This Row],[WeekDay]],"dddd")</f>
        <v>Tuesday</v>
      </c>
      <c r="I11">
        <f>IF((INT(calendar[[#This Row],[Count]]/7)-calendar[[#This Row],[Count]]/7)&lt;0,I10,I10+1)</f>
        <v>2</v>
      </c>
      <c r="J11">
        <f t="shared" si="4"/>
        <v>9</v>
      </c>
      <c r="K11">
        <f>IF(calendar[[#This Row],[Month]]&lt;4,1,IF(calendar[[#This Row],[Month]]&lt;7,2,IF(calendar[[#This Row],[Month]]&lt;10,3,4)))</f>
        <v>1</v>
      </c>
      <c r="L11">
        <f>IFERROR(IF(VLOOKUP(calendar[[#This Row],[Date]],BH!A:A,1,)&lt;&gt;"",1,0),0)</f>
        <v>0</v>
      </c>
      <c r="M11">
        <f>IFERROR(IF(VLOOKUP(calendar[[#This Row],[Date]],BH!C:C,1,)&lt;&gt;"",1,0),0)</f>
        <v>0</v>
      </c>
      <c r="N11">
        <f>IFERROR(IF(VLOOKUP(calendar[[#This Row],[Date]],BH!E:E,1,)&lt;&gt;"",1,0),0)</f>
        <v>0</v>
      </c>
      <c r="O11">
        <f>IFERROR(IF(VLOOKUP(calendar[[#This Row],[Date]],BH!G:G,1,)&lt;&gt;"",1,0),0)</f>
        <v>0</v>
      </c>
      <c r="P11">
        <f>IF(OR(calendar[[#This Row],[UK_BH]]=1,calendar[[#This Row],[WeekDay]]=1, calendar[[#This Row],[WeekDay]]=7),P10,P10+1)</f>
        <v>7</v>
      </c>
      <c r="Q11">
        <f>IF(OR(calendar[[#This Row],[FR_BH]]=1,calendar[[#This Row],[WeekDay]]=1, calendar[[#This Row],[WeekDay]]=7),P10,P10+1)</f>
        <v>7</v>
      </c>
      <c r="R11">
        <f>IF(OR(calendar[[#This Row],[SP_BH]]=1,calendar[[#This Row],[WeekDay]]=1, calendar[[#This Row],[WeekDay]]=7),P10,P10+1)</f>
        <v>7</v>
      </c>
      <c r="S11">
        <f>IF(OR(calendar[[#This Row],[PT_BH]]=1,calendar[[#This Row],[WeekDay]]=1, calendar[[#This Row],[WeekDay]]=7),P10,P10+1)</f>
        <v>7</v>
      </c>
    </row>
    <row r="12" spans="1:19" x14ac:dyDescent="0.25">
      <c r="A12" s="2">
        <v>42746</v>
      </c>
      <c r="B12" s="1">
        <f t="shared" si="0"/>
        <v>2</v>
      </c>
      <c r="C12">
        <f t="shared" si="1"/>
        <v>1</v>
      </c>
      <c r="D12" t="str">
        <f t="shared" si="2"/>
        <v>January</v>
      </c>
      <c r="E12">
        <f t="shared" si="3"/>
        <v>2017</v>
      </c>
      <c r="F12" t="str">
        <f>CONCATENATE(calendar[[#This Row],[Month]],"/",calendar[[#This Row],[Year]])</f>
        <v>1/2017</v>
      </c>
      <c r="G12">
        <f>WEEKDAY(calendar[[#This Row],[Date]],1)</f>
        <v>4</v>
      </c>
      <c r="H12" t="str">
        <f>TEXT(calendar[[#This Row],[WeekDay]],"dddd")</f>
        <v>Wednesday</v>
      </c>
      <c r="I12">
        <f>IF((INT(calendar[[#This Row],[Count]]/7)-calendar[[#This Row],[Count]]/7)&lt;0,I11,I11+1)</f>
        <v>2</v>
      </c>
      <c r="J12">
        <f t="shared" si="4"/>
        <v>10</v>
      </c>
      <c r="K12">
        <f>IF(calendar[[#This Row],[Month]]&lt;4,1,IF(calendar[[#This Row],[Month]]&lt;7,2,IF(calendar[[#This Row],[Month]]&lt;10,3,4)))</f>
        <v>1</v>
      </c>
      <c r="L12">
        <f>IFERROR(IF(VLOOKUP(calendar[[#This Row],[Date]],BH!A:A,1,)&lt;&gt;"",1,0),0)</f>
        <v>0</v>
      </c>
      <c r="M12">
        <f>IFERROR(IF(VLOOKUP(calendar[[#This Row],[Date]],BH!C:C,1,)&lt;&gt;"",1,0),0)</f>
        <v>0</v>
      </c>
      <c r="N12">
        <f>IFERROR(IF(VLOOKUP(calendar[[#This Row],[Date]],BH!E:E,1,)&lt;&gt;"",1,0),0)</f>
        <v>0</v>
      </c>
      <c r="O12">
        <f>IFERROR(IF(VLOOKUP(calendar[[#This Row],[Date]],BH!G:G,1,)&lt;&gt;"",1,0),0)</f>
        <v>0</v>
      </c>
      <c r="P12">
        <f>IF(OR(calendar[[#This Row],[UK_BH]]=1,calendar[[#This Row],[WeekDay]]=1, calendar[[#This Row],[WeekDay]]=7),P11,P11+1)</f>
        <v>8</v>
      </c>
      <c r="Q12">
        <f>IF(OR(calendar[[#This Row],[FR_BH]]=1,calendar[[#This Row],[WeekDay]]=1, calendar[[#This Row],[WeekDay]]=7),P11,P11+1)</f>
        <v>8</v>
      </c>
      <c r="R12">
        <f>IF(OR(calendar[[#This Row],[SP_BH]]=1,calendar[[#This Row],[WeekDay]]=1, calendar[[#This Row],[WeekDay]]=7),P11,P11+1)</f>
        <v>8</v>
      </c>
      <c r="S12">
        <f>IF(OR(calendar[[#This Row],[PT_BH]]=1,calendar[[#This Row],[WeekDay]]=1, calendar[[#This Row],[WeekDay]]=7),P11,P11+1)</f>
        <v>8</v>
      </c>
    </row>
    <row r="13" spans="1:19" x14ac:dyDescent="0.25">
      <c r="A13" s="2">
        <v>42747</v>
      </c>
      <c r="B13" s="1">
        <f t="shared" si="0"/>
        <v>2</v>
      </c>
      <c r="C13">
        <f t="shared" si="1"/>
        <v>1</v>
      </c>
      <c r="D13" t="str">
        <f t="shared" si="2"/>
        <v>January</v>
      </c>
      <c r="E13">
        <f t="shared" si="3"/>
        <v>2017</v>
      </c>
      <c r="F13" t="str">
        <f>CONCATENATE(calendar[[#This Row],[Month]],"/",calendar[[#This Row],[Year]])</f>
        <v>1/2017</v>
      </c>
      <c r="G13">
        <f>WEEKDAY(calendar[[#This Row],[Date]],1)</f>
        <v>5</v>
      </c>
      <c r="H13" t="str">
        <f>TEXT(calendar[[#This Row],[WeekDay]],"dddd")</f>
        <v>Thursday</v>
      </c>
      <c r="I13">
        <f>IF((INT(calendar[[#This Row],[Count]]/7)-calendar[[#This Row],[Count]]/7)&lt;0,I12,I12+1)</f>
        <v>2</v>
      </c>
      <c r="J13">
        <f t="shared" si="4"/>
        <v>11</v>
      </c>
      <c r="K13">
        <f>IF(calendar[[#This Row],[Month]]&lt;4,1,IF(calendar[[#This Row],[Month]]&lt;7,2,IF(calendar[[#This Row],[Month]]&lt;10,3,4)))</f>
        <v>1</v>
      </c>
      <c r="L13">
        <f>IFERROR(IF(VLOOKUP(calendar[[#This Row],[Date]],BH!A:A,1,)&lt;&gt;"",1,0),0)</f>
        <v>0</v>
      </c>
      <c r="M13">
        <f>IFERROR(IF(VLOOKUP(calendar[[#This Row],[Date]],BH!C:C,1,)&lt;&gt;"",1,0),0)</f>
        <v>0</v>
      </c>
      <c r="N13">
        <f>IFERROR(IF(VLOOKUP(calendar[[#This Row],[Date]],BH!E:E,1,)&lt;&gt;"",1,0),0)</f>
        <v>0</v>
      </c>
      <c r="O13">
        <f>IFERROR(IF(VLOOKUP(calendar[[#This Row],[Date]],BH!G:G,1,)&lt;&gt;"",1,0),0)</f>
        <v>0</v>
      </c>
      <c r="P13">
        <f>IF(OR(calendar[[#This Row],[UK_BH]]=1,calendar[[#This Row],[WeekDay]]=1, calendar[[#This Row],[WeekDay]]=7),P12,P12+1)</f>
        <v>9</v>
      </c>
      <c r="Q13">
        <f>IF(OR(calendar[[#This Row],[FR_BH]]=1,calendar[[#This Row],[WeekDay]]=1, calendar[[#This Row],[WeekDay]]=7),P12,P12+1)</f>
        <v>9</v>
      </c>
      <c r="R13">
        <f>IF(OR(calendar[[#This Row],[SP_BH]]=1,calendar[[#This Row],[WeekDay]]=1, calendar[[#This Row],[WeekDay]]=7),P12,P12+1)</f>
        <v>9</v>
      </c>
      <c r="S13">
        <f>IF(OR(calendar[[#This Row],[PT_BH]]=1,calendar[[#This Row],[WeekDay]]=1, calendar[[#This Row],[WeekDay]]=7),P12,P12+1)</f>
        <v>9</v>
      </c>
    </row>
    <row r="14" spans="1:19" x14ac:dyDescent="0.25">
      <c r="A14" s="2">
        <v>42748</v>
      </c>
      <c r="B14" s="1">
        <f t="shared" si="0"/>
        <v>2</v>
      </c>
      <c r="C14">
        <f t="shared" si="1"/>
        <v>1</v>
      </c>
      <c r="D14" t="str">
        <f t="shared" si="2"/>
        <v>January</v>
      </c>
      <c r="E14">
        <f t="shared" si="3"/>
        <v>2017</v>
      </c>
      <c r="F14" t="str">
        <f>CONCATENATE(calendar[[#This Row],[Month]],"/",calendar[[#This Row],[Year]])</f>
        <v>1/2017</v>
      </c>
      <c r="G14">
        <f>WEEKDAY(calendar[[#This Row],[Date]],1)</f>
        <v>6</v>
      </c>
      <c r="H14" t="str">
        <f>TEXT(calendar[[#This Row],[WeekDay]],"dddd")</f>
        <v>Friday</v>
      </c>
      <c r="I14">
        <f>IF((INT(calendar[[#This Row],[Count]]/7)-calendar[[#This Row],[Count]]/7)&lt;0,I13,I13+1)</f>
        <v>2</v>
      </c>
      <c r="J14">
        <f t="shared" si="4"/>
        <v>12</v>
      </c>
      <c r="K14">
        <f>IF(calendar[[#This Row],[Month]]&lt;4,1,IF(calendar[[#This Row],[Month]]&lt;7,2,IF(calendar[[#This Row],[Month]]&lt;10,3,4)))</f>
        <v>1</v>
      </c>
      <c r="L14">
        <f>IFERROR(IF(VLOOKUP(calendar[[#This Row],[Date]],BH!A:A,1,)&lt;&gt;"",1,0),0)</f>
        <v>0</v>
      </c>
      <c r="M14">
        <f>IFERROR(IF(VLOOKUP(calendar[[#This Row],[Date]],BH!C:C,1,)&lt;&gt;"",1,0),0)</f>
        <v>0</v>
      </c>
      <c r="N14">
        <f>IFERROR(IF(VLOOKUP(calendar[[#This Row],[Date]],BH!E:E,1,)&lt;&gt;"",1,0),0)</f>
        <v>0</v>
      </c>
      <c r="O14">
        <f>IFERROR(IF(VLOOKUP(calendar[[#This Row],[Date]],BH!G:G,1,)&lt;&gt;"",1,0),0)</f>
        <v>0</v>
      </c>
      <c r="P14">
        <f>IF(OR(calendar[[#This Row],[UK_BH]]=1,calendar[[#This Row],[WeekDay]]=1, calendar[[#This Row],[WeekDay]]=7),P13,P13+1)</f>
        <v>10</v>
      </c>
      <c r="Q14">
        <f>IF(OR(calendar[[#This Row],[FR_BH]]=1,calendar[[#This Row],[WeekDay]]=1, calendar[[#This Row],[WeekDay]]=7),P13,P13+1)</f>
        <v>10</v>
      </c>
      <c r="R14">
        <f>IF(OR(calendar[[#This Row],[SP_BH]]=1,calendar[[#This Row],[WeekDay]]=1, calendar[[#This Row],[WeekDay]]=7),P13,P13+1)</f>
        <v>10</v>
      </c>
      <c r="S14">
        <f>IF(OR(calendar[[#This Row],[PT_BH]]=1,calendar[[#This Row],[WeekDay]]=1, calendar[[#This Row],[WeekDay]]=7),P13,P13+1)</f>
        <v>10</v>
      </c>
    </row>
    <row r="15" spans="1:19" x14ac:dyDescent="0.25">
      <c r="A15" s="2">
        <v>42749</v>
      </c>
      <c r="B15" s="1">
        <f t="shared" si="0"/>
        <v>2</v>
      </c>
      <c r="C15">
        <f t="shared" si="1"/>
        <v>1</v>
      </c>
      <c r="D15" t="str">
        <f t="shared" si="2"/>
        <v>January</v>
      </c>
      <c r="E15">
        <f t="shared" si="3"/>
        <v>2017</v>
      </c>
      <c r="F15" t="str">
        <f>CONCATENATE(calendar[[#This Row],[Month]],"/",calendar[[#This Row],[Year]])</f>
        <v>1/2017</v>
      </c>
      <c r="G15">
        <f>WEEKDAY(calendar[[#This Row],[Date]],1)</f>
        <v>7</v>
      </c>
      <c r="H15" t="str">
        <f>TEXT(calendar[[#This Row],[WeekDay]],"dddd")</f>
        <v>Saturday</v>
      </c>
      <c r="I15">
        <f>IF((INT(calendar[[#This Row],[Count]]/7)-calendar[[#This Row],[Count]]/7)&lt;0,I14,I14+1)</f>
        <v>2</v>
      </c>
      <c r="J15">
        <f t="shared" si="4"/>
        <v>13</v>
      </c>
      <c r="K15">
        <f>IF(calendar[[#This Row],[Month]]&lt;4,1,IF(calendar[[#This Row],[Month]]&lt;7,2,IF(calendar[[#This Row],[Month]]&lt;10,3,4)))</f>
        <v>1</v>
      </c>
      <c r="L15">
        <f>IFERROR(IF(VLOOKUP(calendar[[#This Row],[Date]],BH!A:A,1,)&lt;&gt;"",1,0),0)</f>
        <v>0</v>
      </c>
      <c r="M15">
        <f>IFERROR(IF(VLOOKUP(calendar[[#This Row],[Date]],BH!C:C,1,)&lt;&gt;"",1,0),0)</f>
        <v>0</v>
      </c>
      <c r="N15">
        <f>IFERROR(IF(VLOOKUP(calendar[[#This Row],[Date]],BH!E:E,1,)&lt;&gt;"",1,0),0)</f>
        <v>0</v>
      </c>
      <c r="O15">
        <f>IFERROR(IF(VLOOKUP(calendar[[#This Row],[Date]],BH!G:G,1,)&lt;&gt;"",1,0),0)</f>
        <v>0</v>
      </c>
      <c r="P15">
        <f>IF(OR(calendar[[#This Row],[UK_BH]]=1,calendar[[#This Row],[WeekDay]]=1, calendar[[#This Row],[WeekDay]]=7),P14,P14+1)</f>
        <v>10</v>
      </c>
      <c r="Q15">
        <f>IF(OR(calendar[[#This Row],[FR_BH]]=1,calendar[[#This Row],[WeekDay]]=1, calendar[[#This Row],[WeekDay]]=7),P14,P14+1)</f>
        <v>10</v>
      </c>
      <c r="R15">
        <f>IF(OR(calendar[[#This Row],[SP_BH]]=1,calendar[[#This Row],[WeekDay]]=1, calendar[[#This Row],[WeekDay]]=7),P14,P14+1)</f>
        <v>10</v>
      </c>
      <c r="S15">
        <f>IF(OR(calendar[[#This Row],[PT_BH]]=1,calendar[[#This Row],[WeekDay]]=1, calendar[[#This Row],[WeekDay]]=7),P14,P14+1)</f>
        <v>10</v>
      </c>
    </row>
    <row r="16" spans="1:19" x14ac:dyDescent="0.25">
      <c r="A16" s="2">
        <v>42750</v>
      </c>
      <c r="B16" s="1">
        <f t="shared" si="0"/>
        <v>3</v>
      </c>
      <c r="C16">
        <f t="shared" ref="C16:C79" si="5">MONTH(A16)</f>
        <v>1</v>
      </c>
      <c r="D16" t="str">
        <f t="shared" ref="D16:D79" si="6">TEXT(A16,"mmmm")</f>
        <v>January</v>
      </c>
      <c r="E16">
        <f t="shared" ref="E16:E79" si="7">YEAR(A16)</f>
        <v>2017</v>
      </c>
      <c r="F16" t="str">
        <f>CONCATENATE(calendar[[#This Row],[Month]],"/",calendar[[#This Row],[Year]])</f>
        <v>1/2017</v>
      </c>
      <c r="G16">
        <f>WEEKDAY(calendar[[#This Row],[Date]],1)</f>
        <v>1</v>
      </c>
      <c r="H16" t="str">
        <f>TEXT(calendar[[#This Row],[WeekDay]],"dddd")</f>
        <v>Sunday</v>
      </c>
      <c r="I16">
        <f>IF((INT(calendar[[#This Row],[Count]]/7)-calendar[[#This Row],[Count]]/7)&lt;0,I15,I15+1)</f>
        <v>3</v>
      </c>
      <c r="J16">
        <f t="shared" si="4"/>
        <v>14</v>
      </c>
      <c r="K16">
        <f>IF(calendar[[#This Row],[Month]]&lt;4,1,IF(calendar[[#This Row],[Month]]&lt;7,2,IF(calendar[[#This Row],[Month]]&lt;10,3,4)))</f>
        <v>1</v>
      </c>
      <c r="L16">
        <f>IFERROR(IF(VLOOKUP(calendar[[#This Row],[Date]],BH!A:A,1,)&lt;&gt;"",1,0),0)</f>
        <v>0</v>
      </c>
      <c r="M16">
        <f>IFERROR(IF(VLOOKUP(calendar[[#This Row],[Date]],BH!C:C,1,)&lt;&gt;"",1,0),0)</f>
        <v>0</v>
      </c>
      <c r="N16">
        <f>IFERROR(IF(VLOOKUP(calendar[[#This Row],[Date]],BH!E:E,1,)&lt;&gt;"",1,0),0)</f>
        <v>0</v>
      </c>
      <c r="O16">
        <f>IFERROR(IF(VLOOKUP(calendar[[#This Row],[Date]],BH!G:G,1,)&lt;&gt;"",1,0),0)</f>
        <v>0</v>
      </c>
      <c r="P16">
        <f>IF(OR(calendar[[#This Row],[UK_BH]]=1,calendar[[#This Row],[WeekDay]]=1, calendar[[#This Row],[WeekDay]]=7),P15,P15+1)</f>
        <v>10</v>
      </c>
      <c r="Q16">
        <f>IF(OR(calendar[[#This Row],[FR_BH]]=1,calendar[[#This Row],[WeekDay]]=1, calendar[[#This Row],[WeekDay]]=7),P15,P15+1)</f>
        <v>10</v>
      </c>
      <c r="R16">
        <f>IF(OR(calendar[[#This Row],[SP_BH]]=1,calendar[[#This Row],[WeekDay]]=1, calendar[[#This Row],[WeekDay]]=7),P15,P15+1)</f>
        <v>10</v>
      </c>
      <c r="S16">
        <f>IF(OR(calendar[[#This Row],[PT_BH]]=1,calendar[[#This Row],[WeekDay]]=1, calendar[[#This Row],[WeekDay]]=7),P15,P15+1)</f>
        <v>10</v>
      </c>
    </row>
    <row r="17" spans="1:19" x14ac:dyDescent="0.25">
      <c r="A17" s="2">
        <v>42751</v>
      </c>
      <c r="B17" s="1">
        <f t="shared" si="0"/>
        <v>3</v>
      </c>
      <c r="C17">
        <f t="shared" si="5"/>
        <v>1</v>
      </c>
      <c r="D17" t="str">
        <f t="shared" si="6"/>
        <v>January</v>
      </c>
      <c r="E17">
        <f t="shared" si="7"/>
        <v>2017</v>
      </c>
      <c r="F17" t="str">
        <f>CONCATENATE(calendar[[#This Row],[Month]],"/",calendar[[#This Row],[Year]])</f>
        <v>1/2017</v>
      </c>
      <c r="G17">
        <f>WEEKDAY(calendar[[#This Row],[Date]],1)</f>
        <v>2</v>
      </c>
      <c r="H17" t="str">
        <f>TEXT(calendar[[#This Row],[WeekDay]],"dddd")</f>
        <v>Monday</v>
      </c>
      <c r="I17">
        <f>IF((INT(calendar[[#This Row],[Count]]/7)-calendar[[#This Row],[Count]]/7)&lt;0,I16,I16+1)</f>
        <v>3</v>
      </c>
      <c r="J17">
        <f t="shared" si="4"/>
        <v>15</v>
      </c>
      <c r="K17">
        <f>IF(calendar[[#This Row],[Month]]&lt;4,1,IF(calendar[[#This Row],[Month]]&lt;7,2,IF(calendar[[#This Row],[Month]]&lt;10,3,4)))</f>
        <v>1</v>
      </c>
      <c r="L17">
        <f>IFERROR(IF(VLOOKUP(calendar[[#This Row],[Date]],BH!A:A,1,)&lt;&gt;"",1,0),0)</f>
        <v>0</v>
      </c>
      <c r="M17">
        <f>IFERROR(IF(VLOOKUP(calendar[[#This Row],[Date]],BH!C:C,1,)&lt;&gt;"",1,0),0)</f>
        <v>0</v>
      </c>
      <c r="N17">
        <f>IFERROR(IF(VLOOKUP(calendar[[#This Row],[Date]],BH!E:E,1,)&lt;&gt;"",1,0),0)</f>
        <v>0</v>
      </c>
      <c r="O17">
        <f>IFERROR(IF(VLOOKUP(calendar[[#This Row],[Date]],BH!G:G,1,)&lt;&gt;"",1,0),0)</f>
        <v>0</v>
      </c>
      <c r="P17">
        <f>IF(OR(calendar[[#This Row],[UK_BH]]=1,calendar[[#This Row],[WeekDay]]=1, calendar[[#This Row],[WeekDay]]=7),P16,P16+1)</f>
        <v>11</v>
      </c>
      <c r="Q17">
        <f>IF(OR(calendar[[#This Row],[FR_BH]]=1,calendar[[#This Row],[WeekDay]]=1, calendar[[#This Row],[WeekDay]]=7),P16,P16+1)</f>
        <v>11</v>
      </c>
      <c r="R17">
        <f>IF(OR(calendar[[#This Row],[SP_BH]]=1,calendar[[#This Row],[WeekDay]]=1, calendar[[#This Row],[WeekDay]]=7),P16,P16+1)</f>
        <v>11</v>
      </c>
      <c r="S17">
        <f>IF(OR(calendar[[#This Row],[PT_BH]]=1,calendar[[#This Row],[WeekDay]]=1, calendar[[#This Row],[WeekDay]]=7),P16,P16+1)</f>
        <v>11</v>
      </c>
    </row>
    <row r="18" spans="1:19" x14ac:dyDescent="0.25">
      <c r="A18" s="2">
        <v>42752</v>
      </c>
      <c r="B18" s="1">
        <f t="shared" si="0"/>
        <v>3</v>
      </c>
      <c r="C18">
        <f t="shared" si="5"/>
        <v>1</v>
      </c>
      <c r="D18" t="str">
        <f t="shared" si="6"/>
        <v>January</v>
      </c>
      <c r="E18">
        <f t="shared" si="7"/>
        <v>2017</v>
      </c>
      <c r="F18" t="str">
        <f>CONCATENATE(calendar[[#This Row],[Month]],"/",calendar[[#This Row],[Year]])</f>
        <v>1/2017</v>
      </c>
      <c r="G18">
        <f>WEEKDAY(calendar[[#This Row],[Date]],1)</f>
        <v>3</v>
      </c>
      <c r="H18" t="str">
        <f>TEXT(calendar[[#This Row],[WeekDay]],"dddd")</f>
        <v>Tuesday</v>
      </c>
      <c r="I18">
        <f>IF((INT(calendar[[#This Row],[Count]]/7)-calendar[[#This Row],[Count]]/7)&lt;0,I17,I17+1)</f>
        <v>3</v>
      </c>
      <c r="J18">
        <f t="shared" si="4"/>
        <v>16</v>
      </c>
      <c r="K18">
        <f>IF(calendar[[#This Row],[Month]]&lt;4,1,IF(calendar[[#This Row],[Month]]&lt;7,2,IF(calendar[[#This Row],[Month]]&lt;10,3,4)))</f>
        <v>1</v>
      </c>
      <c r="L18">
        <f>IFERROR(IF(VLOOKUP(calendar[[#This Row],[Date]],BH!A:A,1,)&lt;&gt;"",1,0),0)</f>
        <v>0</v>
      </c>
      <c r="M18">
        <f>IFERROR(IF(VLOOKUP(calendar[[#This Row],[Date]],BH!C:C,1,)&lt;&gt;"",1,0),0)</f>
        <v>0</v>
      </c>
      <c r="N18">
        <f>IFERROR(IF(VLOOKUP(calendar[[#This Row],[Date]],BH!E:E,1,)&lt;&gt;"",1,0),0)</f>
        <v>0</v>
      </c>
      <c r="O18">
        <f>IFERROR(IF(VLOOKUP(calendar[[#This Row],[Date]],BH!G:G,1,)&lt;&gt;"",1,0),0)</f>
        <v>0</v>
      </c>
      <c r="P18">
        <f>IF(OR(calendar[[#This Row],[UK_BH]]=1,calendar[[#This Row],[WeekDay]]=1, calendar[[#This Row],[WeekDay]]=7),P17,P17+1)</f>
        <v>12</v>
      </c>
      <c r="Q18">
        <f>IF(OR(calendar[[#This Row],[FR_BH]]=1,calendar[[#This Row],[WeekDay]]=1, calendar[[#This Row],[WeekDay]]=7),P17,P17+1)</f>
        <v>12</v>
      </c>
      <c r="R18">
        <f>IF(OR(calendar[[#This Row],[SP_BH]]=1,calendar[[#This Row],[WeekDay]]=1, calendar[[#This Row],[WeekDay]]=7),P17,P17+1)</f>
        <v>12</v>
      </c>
      <c r="S18">
        <f>IF(OR(calendar[[#This Row],[PT_BH]]=1,calendar[[#This Row],[WeekDay]]=1, calendar[[#This Row],[WeekDay]]=7),P17,P17+1)</f>
        <v>12</v>
      </c>
    </row>
    <row r="19" spans="1:19" x14ac:dyDescent="0.25">
      <c r="A19" s="2">
        <v>42753</v>
      </c>
      <c r="B19" s="1">
        <f t="shared" si="0"/>
        <v>3</v>
      </c>
      <c r="C19">
        <f t="shared" si="5"/>
        <v>1</v>
      </c>
      <c r="D19" t="str">
        <f t="shared" si="6"/>
        <v>January</v>
      </c>
      <c r="E19">
        <f t="shared" si="7"/>
        <v>2017</v>
      </c>
      <c r="F19" t="str">
        <f>CONCATENATE(calendar[[#This Row],[Month]],"/",calendar[[#This Row],[Year]])</f>
        <v>1/2017</v>
      </c>
      <c r="G19">
        <f>WEEKDAY(calendar[[#This Row],[Date]],1)</f>
        <v>4</v>
      </c>
      <c r="H19" t="str">
        <f>TEXT(calendar[[#This Row],[WeekDay]],"dddd")</f>
        <v>Wednesday</v>
      </c>
      <c r="I19">
        <f>IF((INT(calendar[[#This Row],[Count]]/7)-calendar[[#This Row],[Count]]/7)&lt;0,I18,I18+1)</f>
        <v>3</v>
      </c>
      <c r="J19">
        <f t="shared" si="4"/>
        <v>17</v>
      </c>
      <c r="K19">
        <f>IF(calendar[[#This Row],[Month]]&lt;4,1,IF(calendar[[#This Row],[Month]]&lt;7,2,IF(calendar[[#This Row],[Month]]&lt;10,3,4)))</f>
        <v>1</v>
      </c>
      <c r="L19">
        <f>IFERROR(IF(VLOOKUP(calendar[[#This Row],[Date]],BH!A:A,1,)&lt;&gt;"",1,0),0)</f>
        <v>0</v>
      </c>
      <c r="M19">
        <f>IFERROR(IF(VLOOKUP(calendar[[#This Row],[Date]],BH!C:C,1,)&lt;&gt;"",1,0),0)</f>
        <v>0</v>
      </c>
      <c r="N19">
        <f>IFERROR(IF(VLOOKUP(calendar[[#This Row],[Date]],BH!E:E,1,)&lt;&gt;"",1,0),0)</f>
        <v>0</v>
      </c>
      <c r="O19">
        <f>IFERROR(IF(VLOOKUP(calendar[[#This Row],[Date]],BH!G:G,1,)&lt;&gt;"",1,0),0)</f>
        <v>0</v>
      </c>
      <c r="P19">
        <f>IF(OR(calendar[[#This Row],[UK_BH]]=1,calendar[[#This Row],[WeekDay]]=1, calendar[[#This Row],[WeekDay]]=7),P18,P18+1)</f>
        <v>13</v>
      </c>
      <c r="Q19">
        <f>IF(OR(calendar[[#This Row],[FR_BH]]=1,calendar[[#This Row],[WeekDay]]=1, calendar[[#This Row],[WeekDay]]=7),P18,P18+1)</f>
        <v>13</v>
      </c>
      <c r="R19">
        <f>IF(OR(calendar[[#This Row],[SP_BH]]=1,calendar[[#This Row],[WeekDay]]=1, calendar[[#This Row],[WeekDay]]=7),P18,P18+1)</f>
        <v>13</v>
      </c>
      <c r="S19">
        <f>IF(OR(calendar[[#This Row],[PT_BH]]=1,calendar[[#This Row],[WeekDay]]=1, calendar[[#This Row],[WeekDay]]=7),P18,P18+1)</f>
        <v>13</v>
      </c>
    </row>
    <row r="20" spans="1:19" x14ac:dyDescent="0.25">
      <c r="A20" s="2">
        <v>42754</v>
      </c>
      <c r="B20" s="1">
        <f t="shared" si="0"/>
        <v>3</v>
      </c>
      <c r="C20">
        <f t="shared" si="5"/>
        <v>1</v>
      </c>
      <c r="D20" t="str">
        <f t="shared" si="6"/>
        <v>January</v>
      </c>
      <c r="E20">
        <f t="shared" si="7"/>
        <v>2017</v>
      </c>
      <c r="F20" t="str">
        <f>CONCATENATE(calendar[[#This Row],[Month]],"/",calendar[[#This Row],[Year]])</f>
        <v>1/2017</v>
      </c>
      <c r="G20">
        <f>WEEKDAY(calendar[[#This Row],[Date]],1)</f>
        <v>5</v>
      </c>
      <c r="H20" t="str">
        <f>TEXT(calendar[[#This Row],[WeekDay]],"dddd")</f>
        <v>Thursday</v>
      </c>
      <c r="I20">
        <f>IF((INT(calendar[[#This Row],[Count]]/7)-calendar[[#This Row],[Count]]/7)&lt;0,I19,I19+1)</f>
        <v>3</v>
      </c>
      <c r="J20">
        <f t="shared" si="4"/>
        <v>18</v>
      </c>
      <c r="K20">
        <f>IF(calendar[[#This Row],[Month]]&lt;4,1,IF(calendar[[#This Row],[Month]]&lt;7,2,IF(calendar[[#This Row],[Month]]&lt;10,3,4)))</f>
        <v>1</v>
      </c>
      <c r="L20">
        <f>IFERROR(IF(VLOOKUP(calendar[[#This Row],[Date]],BH!A:A,1,)&lt;&gt;"",1,0),0)</f>
        <v>0</v>
      </c>
      <c r="M20">
        <f>IFERROR(IF(VLOOKUP(calendar[[#This Row],[Date]],BH!C:C,1,)&lt;&gt;"",1,0),0)</f>
        <v>0</v>
      </c>
      <c r="N20">
        <f>IFERROR(IF(VLOOKUP(calendar[[#This Row],[Date]],BH!E:E,1,)&lt;&gt;"",1,0),0)</f>
        <v>0</v>
      </c>
      <c r="O20">
        <f>IFERROR(IF(VLOOKUP(calendar[[#This Row],[Date]],BH!G:G,1,)&lt;&gt;"",1,0),0)</f>
        <v>0</v>
      </c>
      <c r="P20">
        <f>IF(OR(calendar[[#This Row],[UK_BH]]=1,calendar[[#This Row],[WeekDay]]=1, calendar[[#This Row],[WeekDay]]=7),P19,P19+1)</f>
        <v>14</v>
      </c>
      <c r="Q20">
        <f>IF(OR(calendar[[#This Row],[FR_BH]]=1,calendar[[#This Row],[WeekDay]]=1, calendar[[#This Row],[WeekDay]]=7),P19,P19+1)</f>
        <v>14</v>
      </c>
      <c r="R20">
        <f>IF(OR(calendar[[#This Row],[SP_BH]]=1,calendar[[#This Row],[WeekDay]]=1, calendar[[#This Row],[WeekDay]]=7),P19,P19+1)</f>
        <v>14</v>
      </c>
      <c r="S20">
        <f>IF(OR(calendar[[#This Row],[PT_BH]]=1,calendar[[#This Row],[WeekDay]]=1, calendar[[#This Row],[WeekDay]]=7),P19,P19+1)</f>
        <v>14</v>
      </c>
    </row>
    <row r="21" spans="1:19" x14ac:dyDescent="0.25">
      <c r="A21" s="2">
        <v>42755</v>
      </c>
      <c r="B21" s="1">
        <f t="shared" si="0"/>
        <v>3</v>
      </c>
      <c r="C21">
        <f t="shared" si="5"/>
        <v>1</v>
      </c>
      <c r="D21" t="str">
        <f t="shared" si="6"/>
        <v>January</v>
      </c>
      <c r="E21">
        <f t="shared" si="7"/>
        <v>2017</v>
      </c>
      <c r="F21" t="str">
        <f>CONCATENATE(calendar[[#This Row],[Month]],"/",calendar[[#This Row],[Year]])</f>
        <v>1/2017</v>
      </c>
      <c r="G21">
        <f>WEEKDAY(calendar[[#This Row],[Date]],1)</f>
        <v>6</v>
      </c>
      <c r="H21" t="str">
        <f>TEXT(calendar[[#This Row],[WeekDay]],"dddd")</f>
        <v>Friday</v>
      </c>
      <c r="I21">
        <f>IF((INT(calendar[[#This Row],[Count]]/7)-calendar[[#This Row],[Count]]/7)&lt;0,I20,I20+1)</f>
        <v>3</v>
      </c>
      <c r="J21">
        <f t="shared" si="4"/>
        <v>19</v>
      </c>
      <c r="K21">
        <f>IF(calendar[[#This Row],[Month]]&lt;4,1,IF(calendar[[#This Row],[Month]]&lt;7,2,IF(calendar[[#This Row],[Month]]&lt;10,3,4)))</f>
        <v>1</v>
      </c>
      <c r="L21">
        <f>IFERROR(IF(VLOOKUP(calendar[[#This Row],[Date]],BH!A:A,1,)&lt;&gt;"",1,0),0)</f>
        <v>0</v>
      </c>
      <c r="M21">
        <f>IFERROR(IF(VLOOKUP(calendar[[#This Row],[Date]],BH!C:C,1,)&lt;&gt;"",1,0),0)</f>
        <v>0</v>
      </c>
      <c r="N21">
        <f>IFERROR(IF(VLOOKUP(calendar[[#This Row],[Date]],BH!E:E,1,)&lt;&gt;"",1,0),0)</f>
        <v>0</v>
      </c>
      <c r="O21">
        <f>IFERROR(IF(VLOOKUP(calendar[[#This Row],[Date]],BH!G:G,1,)&lt;&gt;"",1,0),0)</f>
        <v>0</v>
      </c>
      <c r="P21">
        <f>IF(OR(calendar[[#This Row],[UK_BH]]=1,calendar[[#This Row],[WeekDay]]=1, calendar[[#This Row],[WeekDay]]=7),P20,P20+1)</f>
        <v>15</v>
      </c>
      <c r="Q21">
        <f>IF(OR(calendar[[#This Row],[FR_BH]]=1,calendar[[#This Row],[WeekDay]]=1, calendar[[#This Row],[WeekDay]]=7),P20,P20+1)</f>
        <v>15</v>
      </c>
      <c r="R21">
        <f>IF(OR(calendar[[#This Row],[SP_BH]]=1,calendar[[#This Row],[WeekDay]]=1, calendar[[#This Row],[WeekDay]]=7),P20,P20+1)</f>
        <v>15</v>
      </c>
      <c r="S21">
        <f>IF(OR(calendar[[#This Row],[PT_BH]]=1,calendar[[#This Row],[WeekDay]]=1, calendar[[#This Row],[WeekDay]]=7),P20,P20+1)</f>
        <v>15</v>
      </c>
    </row>
    <row r="22" spans="1:19" x14ac:dyDescent="0.25">
      <c r="A22" s="2">
        <v>42756</v>
      </c>
      <c r="B22" s="1">
        <f t="shared" si="0"/>
        <v>3</v>
      </c>
      <c r="C22">
        <f t="shared" si="5"/>
        <v>1</v>
      </c>
      <c r="D22" t="str">
        <f t="shared" si="6"/>
        <v>January</v>
      </c>
      <c r="E22">
        <f t="shared" si="7"/>
        <v>2017</v>
      </c>
      <c r="F22" t="str">
        <f>CONCATENATE(calendar[[#This Row],[Month]],"/",calendar[[#This Row],[Year]])</f>
        <v>1/2017</v>
      </c>
      <c r="G22">
        <f>WEEKDAY(calendar[[#This Row],[Date]],1)</f>
        <v>7</v>
      </c>
      <c r="H22" t="str">
        <f>TEXT(calendar[[#This Row],[WeekDay]],"dddd")</f>
        <v>Saturday</v>
      </c>
      <c r="I22">
        <f>IF((INT(calendar[[#This Row],[Count]]/7)-calendar[[#This Row],[Count]]/7)&lt;0,I21,I21+1)</f>
        <v>3</v>
      </c>
      <c r="J22">
        <f t="shared" si="4"/>
        <v>20</v>
      </c>
      <c r="K22">
        <f>IF(calendar[[#This Row],[Month]]&lt;4,1,IF(calendar[[#This Row],[Month]]&lt;7,2,IF(calendar[[#This Row],[Month]]&lt;10,3,4)))</f>
        <v>1</v>
      </c>
      <c r="L22">
        <f>IFERROR(IF(VLOOKUP(calendar[[#This Row],[Date]],BH!A:A,1,)&lt;&gt;"",1,0),0)</f>
        <v>0</v>
      </c>
      <c r="M22">
        <f>IFERROR(IF(VLOOKUP(calendar[[#This Row],[Date]],BH!C:C,1,)&lt;&gt;"",1,0),0)</f>
        <v>0</v>
      </c>
      <c r="N22">
        <f>IFERROR(IF(VLOOKUP(calendar[[#This Row],[Date]],BH!E:E,1,)&lt;&gt;"",1,0),0)</f>
        <v>0</v>
      </c>
      <c r="O22">
        <f>IFERROR(IF(VLOOKUP(calendar[[#This Row],[Date]],BH!G:G,1,)&lt;&gt;"",1,0),0)</f>
        <v>0</v>
      </c>
      <c r="P22">
        <f>IF(OR(calendar[[#This Row],[UK_BH]]=1,calendar[[#This Row],[WeekDay]]=1, calendar[[#This Row],[WeekDay]]=7),P21,P21+1)</f>
        <v>15</v>
      </c>
      <c r="Q22">
        <f>IF(OR(calendar[[#This Row],[FR_BH]]=1,calendar[[#This Row],[WeekDay]]=1, calendar[[#This Row],[WeekDay]]=7),P21,P21+1)</f>
        <v>15</v>
      </c>
      <c r="R22">
        <f>IF(OR(calendar[[#This Row],[SP_BH]]=1,calendar[[#This Row],[WeekDay]]=1, calendar[[#This Row],[WeekDay]]=7),P21,P21+1)</f>
        <v>15</v>
      </c>
      <c r="S22">
        <f>IF(OR(calendar[[#This Row],[PT_BH]]=1,calendar[[#This Row],[WeekDay]]=1, calendar[[#This Row],[WeekDay]]=7),P21,P21+1)</f>
        <v>15</v>
      </c>
    </row>
    <row r="23" spans="1:19" x14ac:dyDescent="0.25">
      <c r="A23" s="2">
        <v>42757</v>
      </c>
      <c r="B23" s="1">
        <f t="shared" si="0"/>
        <v>4</v>
      </c>
      <c r="C23">
        <f t="shared" si="5"/>
        <v>1</v>
      </c>
      <c r="D23" t="str">
        <f t="shared" si="6"/>
        <v>January</v>
      </c>
      <c r="E23">
        <f t="shared" si="7"/>
        <v>2017</v>
      </c>
      <c r="F23" t="str">
        <f>CONCATENATE(calendar[[#This Row],[Month]],"/",calendar[[#This Row],[Year]])</f>
        <v>1/2017</v>
      </c>
      <c r="G23">
        <f>WEEKDAY(calendar[[#This Row],[Date]],1)</f>
        <v>1</v>
      </c>
      <c r="H23" t="str">
        <f>TEXT(calendar[[#This Row],[WeekDay]],"dddd")</f>
        <v>Sunday</v>
      </c>
      <c r="I23">
        <f>IF((INT(calendar[[#This Row],[Count]]/7)-calendar[[#This Row],[Count]]/7)&lt;0,I22,I22+1)</f>
        <v>4</v>
      </c>
      <c r="J23">
        <f t="shared" si="4"/>
        <v>21</v>
      </c>
      <c r="K23">
        <f>IF(calendar[[#This Row],[Month]]&lt;4,1,IF(calendar[[#This Row],[Month]]&lt;7,2,IF(calendar[[#This Row],[Month]]&lt;10,3,4)))</f>
        <v>1</v>
      </c>
      <c r="L23">
        <f>IFERROR(IF(VLOOKUP(calendar[[#This Row],[Date]],BH!A:A,1,)&lt;&gt;"",1,0),0)</f>
        <v>0</v>
      </c>
      <c r="M23">
        <f>IFERROR(IF(VLOOKUP(calendar[[#This Row],[Date]],BH!C:C,1,)&lt;&gt;"",1,0),0)</f>
        <v>0</v>
      </c>
      <c r="N23">
        <f>IFERROR(IF(VLOOKUP(calendar[[#This Row],[Date]],BH!E:E,1,)&lt;&gt;"",1,0),0)</f>
        <v>0</v>
      </c>
      <c r="O23">
        <f>IFERROR(IF(VLOOKUP(calendar[[#This Row],[Date]],BH!G:G,1,)&lt;&gt;"",1,0),0)</f>
        <v>0</v>
      </c>
      <c r="P23">
        <f>IF(OR(calendar[[#This Row],[UK_BH]]=1,calendar[[#This Row],[WeekDay]]=1, calendar[[#This Row],[WeekDay]]=7),P22,P22+1)</f>
        <v>15</v>
      </c>
      <c r="Q23">
        <f>IF(OR(calendar[[#This Row],[FR_BH]]=1,calendar[[#This Row],[WeekDay]]=1, calendar[[#This Row],[WeekDay]]=7),P22,P22+1)</f>
        <v>15</v>
      </c>
      <c r="R23">
        <f>IF(OR(calendar[[#This Row],[SP_BH]]=1,calendar[[#This Row],[WeekDay]]=1, calendar[[#This Row],[WeekDay]]=7),P22,P22+1)</f>
        <v>15</v>
      </c>
      <c r="S23">
        <f>IF(OR(calendar[[#This Row],[PT_BH]]=1,calendar[[#This Row],[WeekDay]]=1, calendar[[#This Row],[WeekDay]]=7),P22,P22+1)</f>
        <v>15</v>
      </c>
    </row>
    <row r="24" spans="1:19" x14ac:dyDescent="0.25">
      <c r="A24" s="2">
        <v>42758</v>
      </c>
      <c r="B24" s="1">
        <f t="shared" si="0"/>
        <v>4</v>
      </c>
      <c r="C24">
        <f t="shared" si="5"/>
        <v>1</v>
      </c>
      <c r="D24" t="str">
        <f t="shared" si="6"/>
        <v>January</v>
      </c>
      <c r="E24">
        <f t="shared" si="7"/>
        <v>2017</v>
      </c>
      <c r="F24" t="str">
        <f>CONCATENATE(calendar[[#This Row],[Month]],"/",calendar[[#This Row],[Year]])</f>
        <v>1/2017</v>
      </c>
      <c r="G24">
        <f>WEEKDAY(calendar[[#This Row],[Date]],1)</f>
        <v>2</v>
      </c>
      <c r="H24" t="str">
        <f>TEXT(calendar[[#This Row],[WeekDay]],"dddd")</f>
        <v>Monday</v>
      </c>
      <c r="I24">
        <f>IF((INT(calendar[[#This Row],[Count]]/7)-calendar[[#This Row],[Count]]/7)&lt;0,I23,I23+1)</f>
        <v>4</v>
      </c>
      <c r="J24">
        <f t="shared" si="4"/>
        <v>22</v>
      </c>
      <c r="K24">
        <f>IF(calendar[[#This Row],[Month]]&lt;4,1,IF(calendar[[#This Row],[Month]]&lt;7,2,IF(calendar[[#This Row],[Month]]&lt;10,3,4)))</f>
        <v>1</v>
      </c>
      <c r="L24">
        <f>IFERROR(IF(VLOOKUP(calendar[[#This Row],[Date]],BH!A:A,1,)&lt;&gt;"",1,0),0)</f>
        <v>0</v>
      </c>
      <c r="M24">
        <f>IFERROR(IF(VLOOKUP(calendar[[#This Row],[Date]],BH!C:C,1,)&lt;&gt;"",1,0),0)</f>
        <v>0</v>
      </c>
      <c r="N24">
        <f>IFERROR(IF(VLOOKUP(calendar[[#This Row],[Date]],BH!E:E,1,)&lt;&gt;"",1,0),0)</f>
        <v>0</v>
      </c>
      <c r="O24">
        <f>IFERROR(IF(VLOOKUP(calendar[[#This Row],[Date]],BH!G:G,1,)&lt;&gt;"",1,0),0)</f>
        <v>0</v>
      </c>
      <c r="P24">
        <f>IF(OR(calendar[[#This Row],[UK_BH]]=1,calendar[[#This Row],[WeekDay]]=1, calendar[[#This Row],[WeekDay]]=7),P23,P23+1)</f>
        <v>16</v>
      </c>
      <c r="Q24">
        <f>IF(OR(calendar[[#This Row],[FR_BH]]=1,calendar[[#This Row],[WeekDay]]=1, calendar[[#This Row],[WeekDay]]=7),P23,P23+1)</f>
        <v>16</v>
      </c>
      <c r="R24">
        <f>IF(OR(calendar[[#This Row],[SP_BH]]=1,calendar[[#This Row],[WeekDay]]=1, calendar[[#This Row],[WeekDay]]=7),P23,P23+1)</f>
        <v>16</v>
      </c>
      <c r="S24">
        <f>IF(OR(calendar[[#This Row],[PT_BH]]=1,calendar[[#This Row],[WeekDay]]=1, calendar[[#This Row],[WeekDay]]=7),P23,P23+1)</f>
        <v>16</v>
      </c>
    </row>
    <row r="25" spans="1:19" x14ac:dyDescent="0.25">
      <c r="A25" s="2">
        <v>42759</v>
      </c>
      <c r="B25" s="1">
        <f t="shared" si="0"/>
        <v>4</v>
      </c>
      <c r="C25">
        <f t="shared" si="5"/>
        <v>1</v>
      </c>
      <c r="D25" t="str">
        <f t="shared" si="6"/>
        <v>January</v>
      </c>
      <c r="E25">
        <f t="shared" si="7"/>
        <v>2017</v>
      </c>
      <c r="F25" t="str">
        <f>CONCATENATE(calendar[[#This Row],[Month]],"/",calendar[[#This Row],[Year]])</f>
        <v>1/2017</v>
      </c>
      <c r="G25">
        <f>WEEKDAY(calendar[[#This Row],[Date]],1)</f>
        <v>3</v>
      </c>
      <c r="H25" t="str">
        <f>TEXT(calendar[[#This Row],[WeekDay]],"dddd")</f>
        <v>Tuesday</v>
      </c>
      <c r="I25">
        <f>IF((INT(calendar[[#This Row],[Count]]/7)-calendar[[#This Row],[Count]]/7)&lt;0,I24,I24+1)</f>
        <v>4</v>
      </c>
      <c r="J25">
        <f t="shared" si="4"/>
        <v>23</v>
      </c>
      <c r="K25">
        <f>IF(calendar[[#This Row],[Month]]&lt;4,1,IF(calendar[[#This Row],[Month]]&lt;7,2,IF(calendar[[#This Row],[Month]]&lt;10,3,4)))</f>
        <v>1</v>
      </c>
      <c r="L25">
        <f>IFERROR(IF(VLOOKUP(calendar[[#This Row],[Date]],BH!A:A,1,)&lt;&gt;"",1,0),0)</f>
        <v>0</v>
      </c>
      <c r="M25">
        <f>IFERROR(IF(VLOOKUP(calendar[[#This Row],[Date]],BH!C:C,1,)&lt;&gt;"",1,0),0)</f>
        <v>0</v>
      </c>
      <c r="N25">
        <f>IFERROR(IF(VLOOKUP(calendar[[#This Row],[Date]],BH!E:E,1,)&lt;&gt;"",1,0),0)</f>
        <v>0</v>
      </c>
      <c r="O25">
        <f>IFERROR(IF(VLOOKUP(calendar[[#This Row],[Date]],BH!G:G,1,)&lt;&gt;"",1,0),0)</f>
        <v>0</v>
      </c>
      <c r="P25">
        <f>IF(OR(calendar[[#This Row],[UK_BH]]=1,calendar[[#This Row],[WeekDay]]=1, calendar[[#This Row],[WeekDay]]=7),P24,P24+1)</f>
        <v>17</v>
      </c>
      <c r="Q25">
        <f>IF(OR(calendar[[#This Row],[FR_BH]]=1,calendar[[#This Row],[WeekDay]]=1, calendar[[#This Row],[WeekDay]]=7),P24,P24+1)</f>
        <v>17</v>
      </c>
      <c r="R25">
        <f>IF(OR(calendar[[#This Row],[SP_BH]]=1,calendar[[#This Row],[WeekDay]]=1, calendar[[#This Row],[WeekDay]]=7),P24,P24+1)</f>
        <v>17</v>
      </c>
      <c r="S25">
        <f>IF(OR(calendar[[#This Row],[PT_BH]]=1,calendar[[#This Row],[WeekDay]]=1, calendar[[#This Row],[WeekDay]]=7),P24,P24+1)</f>
        <v>17</v>
      </c>
    </row>
    <row r="26" spans="1:19" x14ac:dyDescent="0.25">
      <c r="A26" s="2">
        <v>42760</v>
      </c>
      <c r="B26" s="1">
        <f t="shared" si="0"/>
        <v>4</v>
      </c>
      <c r="C26">
        <f t="shared" si="5"/>
        <v>1</v>
      </c>
      <c r="D26" t="str">
        <f t="shared" si="6"/>
        <v>January</v>
      </c>
      <c r="E26">
        <f t="shared" si="7"/>
        <v>2017</v>
      </c>
      <c r="F26" t="str">
        <f>CONCATENATE(calendar[[#This Row],[Month]],"/",calendar[[#This Row],[Year]])</f>
        <v>1/2017</v>
      </c>
      <c r="G26">
        <f>WEEKDAY(calendar[[#This Row],[Date]],1)</f>
        <v>4</v>
      </c>
      <c r="H26" t="str">
        <f>TEXT(calendar[[#This Row],[WeekDay]],"dddd")</f>
        <v>Wednesday</v>
      </c>
      <c r="I26">
        <f>IF((INT(calendar[[#This Row],[Count]]/7)-calendar[[#This Row],[Count]]/7)&lt;0,I25,I25+1)</f>
        <v>4</v>
      </c>
      <c r="J26">
        <f t="shared" si="4"/>
        <v>24</v>
      </c>
      <c r="K26">
        <f>IF(calendar[[#This Row],[Month]]&lt;4,1,IF(calendar[[#This Row],[Month]]&lt;7,2,IF(calendar[[#This Row],[Month]]&lt;10,3,4)))</f>
        <v>1</v>
      </c>
      <c r="L26">
        <f>IFERROR(IF(VLOOKUP(calendar[[#This Row],[Date]],BH!A:A,1,)&lt;&gt;"",1,0),0)</f>
        <v>0</v>
      </c>
      <c r="M26">
        <f>IFERROR(IF(VLOOKUP(calendar[[#This Row],[Date]],BH!C:C,1,)&lt;&gt;"",1,0),0)</f>
        <v>0</v>
      </c>
      <c r="N26">
        <f>IFERROR(IF(VLOOKUP(calendar[[#This Row],[Date]],BH!E:E,1,)&lt;&gt;"",1,0),0)</f>
        <v>0</v>
      </c>
      <c r="O26">
        <f>IFERROR(IF(VLOOKUP(calendar[[#This Row],[Date]],BH!G:G,1,)&lt;&gt;"",1,0),0)</f>
        <v>0</v>
      </c>
      <c r="P26">
        <f>IF(OR(calendar[[#This Row],[UK_BH]]=1,calendar[[#This Row],[WeekDay]]=1, calendar[[#This Row],[WeekDay]]=7),P25,P25+1)</f>
        <v>18</v>
      </c>
      <c r="Q26">
        <f>IF(OR(calendar[[#This Row],[FR_BH]]=1,calendar[[#This Row],[WeekDay]]=1, calendar[[#This Row],[WeekDay]]=7),P25,P25+1)</f>
        <v>18</v>
      </c>
      <c r="R26">
        <f>IF(OR(calendar[[#This Row],[SP_BH]]=1,calendar[[#This Row],[WeekDay]]=1, calendar[[#This Row],[WeekDay]]=7),P25,P25+1)</f>
        <v>18</v>
      </c>
      <c r="S26">
        <f>IF(OR(calendar[[#This Row],[PT_BH]]=1,calendar[[#This Row],[WeekDay]]=1, calendar[[#This Row],[WeekDay]]=7),P25,P25+1)</f>
        <v>18</v>
      </c>
    </row>
    <row r="27" spans="1:19" x14ac:dyDescent="0.25">
      <c r="A27" s="2">
        <v>42761</v>
      </c>
      <c r="B27" s="1">
        <f t="shared" si="0"/>
        <v>4</v>
      </c>
      <c r="C27">
        <f t="shared" si="5"/>
        <v>1</v>
      </c>
      <c r="D27" t="str">
        <f t="shared" si="6"/>
        <v>January</v>
      </c>
      <c r="E27">
        <f t="shared" si="7"/>
        <v>2017</v>
      </c>
      <c r="F27" t="str">
        <f>CONCATENATE(calendar[[#This Row],[Month]],"/",calendar[[#This Row],[Year]])</f>
        <v>1/2017</v>
      </c>
      <c r="G27">
        <f>WEEKDAY(calendar[[#This Row],[Date]],1)</f>
        <v>5</v>
      </c>
      <c r="H27" t="str">
        <f>TEXT(calendar[[#This Row],[WeekDay]],"dddd")</f>
        <v>Thursday</v>
      </c>
      <c r="I27">
        <f>IF((INT(calendar[[#This Row],[Count]]/7)-calendar[[#This Row],[Count]]/7)&lt;0,I26,I26+1)</f>
        <v>4</v>
      </c>
      <c r="J27">
        <f t="shared" si="4"/>
        <v>25</v>
      </c>
      <c r="K27">
        <f>IF(calendar[[#This Row],[Month]]&lt;4,1,IF(calendar[[#This Row],[Month]]&lt;7,2,IF(calendar[[#This Row],[Month]]&lt;10,3,4)))</f>
        <v>1</v>
      </c>
      <c r="L27">
        <f>IFERROR(IF(VLOOKUP(calendar[[#This Row],[Date]],BH!A:A,1,)&lt;&gt;"",1,0),0)</f>
        <v>0</v>
      </c>
      <c r="M27">
        <f>IFERROR(IF(VLOOKUP(calendar[[#This Row],[Date]],BH!C:C,1,)&lt;&gt;"",1,0),0)</f>
        <v>0</v>
      </c>
      <c r="N27">
        <f>IFERROR(IF(VLOOKUP(calendar[[#This Row],[Date]],BH!E:E,1,)&lt;&gt;"",1,0),0)</f>
        <v>0</v>
      </c>
      <c r="O27">
        <f>IFERROR(IF(VLOOKUP(calendar[[#This Row],[Date]],BH!G:G,1,)&lt;&gt;"",1,0),0)</f>
        <v>0</v>
      </c>
      <c r="P27">
        <f>IF(OR(calendar[[#This Row],[UK_BH]]=1,calendar[[#This Row],[WeekDay]]=1, calendar[[#This Row],[WeekDay]]=7),P26,P26+1)</f>
        <v>19</v>
      </c>
      <c r="Q27">
        <f>IF(OR(calendar[[#This Row],[FR_BH]]=1,calendar[[#This Row],[WeekDay]]=1, calendar[[#This Row],[WeekDay]]=7),P26,P26+1)</f>
        <v>19</v>
      </c>
      <c r="R27">
        <f>IF(OR(calendar[[#This Row],[SP_BH]]=1,calendar[[#This Row],[WeekDay]]=1, calendar[[#This Row],[WeekDay]]=7),P26,P26+1)</f>
        <v>19</v>
      </c>
      <c r="S27">
        <f>IF(OR(calendar[[#This Row],[PT_BH]]=1,calendar[[#This Row],[WeekDay]]=1, calendar[[#This Row],[WeekDay]]=7),P26,P26+1)</f>
        <v>19</v>
      </c>
    </row>
    <row r="28" spans="1:19" x14ac:dyDescent="0.25">
      <c r="A28" s="2">
        <v>42762</v>
      </c>
      <c r="B28" s="1">
        <f t="shared" si="0"/>
        <v>4</v>
      </c>
      <c r="C28">
        <f t="shared" si="5"/>
        <v>1</v>
      </c>
      <c r="D28" t="str">
        <f t="shared" si="6"/>
        <v>January</v>
      </c>
      <c r="E28">
        <f t="shared" si="7"/>
        <v>2017</v>
      </c>
      <c r="F28" t="str">
        <f>CONCATENATE(calendar[[#This Row],[Month]],"/",calendar[[#This Row],[Year]])</f>
        <v>1/2017</v>
      </c>
      <c r="G28">
        <f>WEEKDAY(calendar[[#This Row],[Date]],1)</f>
        <v>6</v>
      </c>
      <c r="H28" t="str">
        <f>TEXT(calendar[[#This Row],[WeekDay]],"dddd")</f>
        <v>Friday</v>
      </c>
      <c r="I28">
        <f>IF((INT(calendar[[#This Row],[Count]]/7)-calendar[[#This Row],[Count]]/7)&lt;0,I27,I27+1)</f>
        <v>4</v>
      </c>
      <c r="J28">
        <f t="shared" si="4"/>
        <v>26</v>
      </c>
      <c r="K28">
        <f>IF(calendar[[#This Row],[Month]]&lt;4,1,IF(calendar[[#This Row],[Month]]&lt;7,2,IF(calendar[[#This Row],[Month]]&lt;10,3,4)))</f>
        <v>1</v>
      </c>
      <c r="L28">
        <f>IFERROR(IF(VLOOKUP(calendar[[#This Row],[Date]],BH!A:A,1,)&lt;&gt;"",1,0),0)</f>
        <v>0</v>
      </c>
      <c r="M28">
        <f>IFERROR(IF(VLOOKUP(calendar[[#This Row],[Date]],BH!C:C,1,)&lt;&gt;"",1,0),0)</f>
        <v>0</v>
      </c>
      <c r="N28">
        <f>IFERROR(IF(VLOOKUP(calendar[[#This Row],[Date]],BH!E:E,1,)&lt;&gt;"",1,0),0)</f>
        <v>0</v>
      </c>
      <c r="O28">
        <f>IFERROR(IF(VLOOKUP(calendar[[#This Row],[Date]],BH!G:G,1,)&lt;&gt;"",1,0),0)</f>
        <v>0</v>
      </c>
      <c r="P28">
        <f>IF(OR(calendar[[#This Row],[UK_BH]]=1,calendar[[#This Row],[WeekDay]]=1, calendar[[#This Row],[WeekDay]]=7),P27,P27+1)</f>
        <v>20</v>
      </c>
      <c r="Q28">
        <f>IF(OR(calendar[[#This Row],[FR_BH]]=1,calendar[[#This Row],[WeekDay]]=1, calendar[[#This Row],[WeekDay]]=7),P27,P27+1)</f>
        <v>20</v>
      </c>
      <c r="R28">
        <f>IF(OR(calendar[[#This Row],[SP_BH]]=1,calendar[[#This Row],[WeekDay]]=1, calendar[[#This Row],[WeekDay]]=7),P27,P27+1)</f>
        <v>20</v>
      </c>
      <c r="S28">
        <f>IF(OR(calendar[[#This Row],[PT_BH]]=1,calendar[[#This Row],[WeekDay]]=1, calendar[[#This Row],[WeekDay]]=7),P27,P27+1)</f>
        <v>20</v>
      </c>
    </row>
    <row r="29" spans="1:19" x14ac:dyDescent="0.25">
      <c r="A29" s="2">
        <v>42763</v>
      </c>
      <c r="B29" s="1">
        <f t="shared" si="0"/>
        <v>4</v>
      </c>
      <c r="C29">
        <f t="shared" si="5"/>
        <v>1</v>
      </c>
      <c r="D29" t="str">
        <f t="shared" si="6"/>
        <v>January</v>
      </c>
      <c r="E29">
        <f t="shared" si="7"/>
        <v>2017</v>
      </c>
      <c r="F29" t="str">
        <f>CONCATENATE(calendar[[#This Row],[Month]],"/",calendar[[#This Row],[Year]])</f>
        <v>1/2017</v>
      </c>
      <c r="G29">
        <f>WEEKDAY(calendar[[#This Row],[Date]],1)</f>
        <v>7</v>
      </c>
      <c r="H29" t="str">
        <f>TEXT(calendar[[#This Row],[WeekDay]],"dddd")</f>
        <v>Saturday</v>
      </c>
      <c r="I29">
        <f>IF((INT(calendar[[#This Row],[Count]]/7)-calendar[[#This Row],[Count]]/7)&lt;0,I28,I28+1)</f>
        <v>4</v>
      </c>
      <c r="J29">
        <f t="shared" si="4"/>
        <v>27</v>
      </c>
      <c r="K29">
        <f>IF(calendar[[#This Row],[Month]]&lt;4,1,IF(calendar[[#This Row],[Month]]&lt;7,2,IF(calendar[[#This Row],[Month]]&lt;10,3,4)))</f>
        <v>1</v>
      </c>
      <c r="L29">
        <f>IFERROR(IF(VLOOKUP(calendar[[#This Row],[Date]],BH!A:A,1,)&lt;&gt;"",1,0),0)</f>
        <v>0</v>
      </c>
      <c r="M29">
        <f>IFERROR(IF(VLOOKUP(calendar[[#This Row],[Date]],BH!C:C,1,)&lt;&gt;"",1,0),0)</f>
        <v>0</v>
      </c>
      <c r="N29">
        <f>IFERROR(IF(VLOOKUP(calendar[[#This Row],[Date]],BH!E:E,1,)&lt;&gt;"",1,0),0)</f>
        <v>0</v>
      </c>
      <c r="O29">
        <f>IFERROR(IF(VLOOKUP(calendar[[#This Row],[Date]],BH!G:G,1,)&lt;&gt;"",1,0),0)</f>
        <v>0</v>
      </c>
      <c r="P29">
        <f>IF(OR(calendar[[#This Row],[UK_BH]]=1,calendar[[#This Row],[WeekDay]]=1, calendar[[#This Row],[WeekDay]]=7),P28,P28+1)</f>
        <v>20</v>
      </c>
      <c r="Q29">
        <f>IF(OR(calendar[[#This Row],[FR_BH]]=1,calendar[[#This Row],[WeekDay]]=1, calendar[[#This Row],[WeekDay]]=7),P28,P28+1)</f>
        <v>20</v>
      </c>
      <c r="R29">
        <f>IF(OR(calendar[[#This Row],[SP_BH]]=1,calendar[[#This Row],[WeekDay]]=1, calendar[[#This Row],[WeekDay]]=7),P28,P28+1)</f>
        <v>20</v>
      </c>
      <c r="S29">
        <f>IF(OR(calendar[[#This Row],[PT_BH]]=1,calendar[[#This Row],[WeekDay]]=1, calendar[[#This Row],[WeekDay]]=7),P28,P28+1)</f>
        <v>20</v>
      </c>
    </row>
    <row r="30" spans="1:19" x14ac:dyDescent="0.25">
      <c r="A30" s="2">
        <v>42764</v>
      </c>
      <c r="B30" s="1">
        <f t="shared" si="0"/>
        <v>5</v>
      </c>
      <c r="C30">
        <f t="shared" si="5"/>
        <v>1</v>
      </c>
      <c r="D30" t="str">
        <f t="shared" si="6"/>
        <v>January</v>
      </c>
      <c r="E30">
        <f t="shared" si="7"/>
        <v>2017</v>
      </c>
      <c r="F30" t="str">
        <f>CONCATENATE(calendar[[#This Row],[Month]],"/",calendar[[#This Row],[Year]])</f>
        <v>1/2017</v>
      </c>
      <c r="G30">
        <f>WEEKDAY(calendar[[#This Row],[Date]],1)</f>
        <v>1</v>
      </c>
      <c r="H30" t="str">
        <f>TEXT(calendar[[#This Row],[WeekDay]],"dddd")</f>
        <v>Sunday</v>
      </c>
      <c r="I30">
        <f>IF((INT(calendar[[#This Row],[Count]]/7)-calendar[[#This Row],[Count]]/7)&lt;0,I29,I29+1)</f>
        <v>5</v>
      </c>
      <c r="J30">
        <f t="shared" si="4"/>
        <v>28</v>
      </c>
      <c r="K30">
        <f>IF(calendar[[#This Row],[Month]]&lt;4,1,IF(calendar[[#This Row],[Month]]&lt;7,2,IF(calendar[[#This Row],[Month]]&lt;10,3,4)))</f>
        <v>1</v>
      </c>
      <c r="L30">
        <f>IFERROR(IF(VLOOKUP(calendar[[#This Row],[Date]],BH!A:A,1,)&lt;&gt;"",1,0),0)</f>
        <v>0</v>
      </c>
      <c r="M30">
        <f>IFERROR(IF(VLOOKUP(calendar[[#This Row],[Date]],BH!C:C,1,)&lt;&gt;"",1,0),0)</f>
        <v>0</v>
      </c>
      <c r="N30">
        <f>IFERROR(IF(VLOOKUP(calendar[[#This Row],[Date]],BH!E:E,1,)&lt;&gt;"",1,0),0)</f>
        <v>0</v>
      </c>
      <c r="O30">
        <f>IFERROR(IF(VLOOKUP(calendar[[#This Row],[Date]],BH!G:G,1,)&lt;&gt;"",1,0),0)</f>
        <v>0</v>
      </c>
      <c r="P30">
        <f>IF(OR(calendar[[#This Row],[UK_BH]]=1,calendar[[#This Row],[WeekDay]]=1, calendar[[#This Row],[WeekDay]]=7),P29,P29+1)</f>
        <v>20</v>
      </c>
      <c r="Q30">
        <f>IF(OR(calendar[[#This Row],[FR_BH]]=1,calendar[[#This Row],[WeekDay]]=1, calendar[[#This Row],[WeekDay]]=7),P29,P29+1)</f>
        <v>20</v>
      </c>
      <c r="R30">
        <f>IF(OR(calendar[[#This Row],[SP_BH]]=1,calendar[[#This Row],[WeekDay]]=1, calendar[[#This Row],[WeekDay]]=7),P29,P29+1)</f>
        <v>20</v>
      </c>
      <c r="S30">
        <f>IF(OR(calendar[[#This Row],[PT_BH]]=1,calendar[[#This Row],[WeekDay]]=1, calendar[[#This Row],[WeekDay]]=7),P29,P29+1)</f>
        <v>20</v>
      </c>
    </row>
    <row r="31" spans="1:19" x14ac:dyDescent="0.25">
      <c r="A31" s="2">
        <v>42765</v>
      </c>
      <c r="B31" s="1">
        <f t="shared" si="0"/>
        <v>5</v>
      </c>
      <c r="C31">
        <f t="shared" si="5"/>
        <v>1</v>
      </c>
      <c r="D31" t="str">
        <f t="shared" si="6"/>
        <v>January</v>
      </c>
      <c r="E31">
        <f t="shared" si="7"/>
        <v>2017</v>
      </c>
      <c r="F31" t="str">
        <f>CONCATENATE(calendar[[#This Row],[Month]],"/",calendar[[#This Row],[Year]])</f>
        <v>1/2017</v>
      </c>
      <c r="G31">
        <f>WEEKDAY(calendar[[#This Row],[Date]],1)</f>
        <v>2</v>
      </c>
      <c r="H31" t="str">
        <f>TEXT(calendar[[#This Row],[WeekDay]],"dddd")</f>
        <v>Monday</v>
      </c>
      <c r="I31">
        <f>IF((INT(calendar[[#This Row],[Count]]/7)-calendar[[#This Row],[Count]]/7)&lt;0,I30,I30+1)</f>
        <v>5</v>
      </c>
      <c r="J31">
        <f t="shared" si="4"/>
        <v>29</v>
      </c>
      <c r="K31">
        <f>IF(calendar[[#This Row],[Month]]&lt;4,1,IF(calendar[[#This Row],[Month]]&lt;7,2,IF(calendar[[#This Row],[Month]]&lt;10,3,4)))</f>
        <v>1</v>
      </c>
      <c r="L31">
        <f>IFERROR(IF(VLOOKUP(calendar[[#This Row],[Date]],BH!A:A,1,)&lt;&gt;"",1,0),0)</f>
        <v>0</v>
      </c>
      <c r="M31">
        <f>IFERROR(IF(VLOOKUP(calendar[[#This Row],[Date]],BH!C:C,1,)&lt;&gt;"",1,0),0)</f>
        <v>0</v>
      </c>
      <c r="N31">
        <f>IFERROR(IF(VLOOKUP(calendar[[#This Row],[Date]],BH!E:E,1,)&lt;&gt;"",1,0),0)</f>
        <v>0</v>
      </c>
      <c r="O31">
        <f>IFERROR(IF(VLOOKUP(calendar[[#This Row],[Date]],BH!G:G,1,)&lt;&gt;"",1,0),0)</f>
        <v>0</v>
      </c>
      <c r="P31">
        <f>IF(OR(calendar[[#This Row],[UK_BH]]=1,calendar[[#This Row],[WeekDay]]=1, calendar[[#This Row],[WeekDay]]=7),P30,P30+1)</f>
        <v>21</v>
      </c>
      <c r="Q31">
        <f>IF(OR(calendar[[#This Row],[FR_BH]]=1,calendar[[#This Row],[WeekDay]]=1, calendar[[#This Row],[WeekDay]]=7),P30,P30+1)</f>
        <v>21</v>
      </c>
      <c r="R31">
        <f>IF(OR(calendar[[#This Row],[SP_BH]]=1,calendar[[#This Row],[WeekDay]]=1, calendar[[#This Row],[WeekDay]]=7),P30,P30+1)</f>
        <v>21</v>
      </c>
      <c r="S31">
        <f>IF(OR(calendar[[#This Row],[PT_BH]]=1,calendar[[#This Row],[WeekDay]]=1, calendar[[#This Row],[WeekDay]]=7),P30,P30+1)</f>
        <v>21</v>
      </c>
    </row>
    <row r="32" spans="1:19" x14ac:dyDescent="0.25">
      <c r="A32" s="2">
        <v>42766</v>
      </c>
      <c r="B32" s="1">
        <f t="shared" si="0"/>
        <v>5</v>
      </c>
      <c r="C32">
        <f t="shared" si="5"/>
        <v>1</v>
      </c>
      <c r="D32" t="str">
        <f t="shared" si="6"/>
        <v>January</v>
      </c>
      <c r="E32">
        <f t="shared" si="7"/>
        <v>2017</v>
      </c>
      <c r="F32" t="str">
        <f>CONCATENATE(calendar[[#This Row],[Month]],"/",calendar[[#This Row],[Year]])</f>
        <v>1/2017</v>
      </c>
      <c r="G32">
        <f>WEEKDAY(calendar[[#This Row],[Date]],1)</f>
        <v>3</v>
      </c>
      <c r="H32" t="str">
        <f>TEXT(calendar[[#This Row],[WeekDay]],"dddd")</f>
        <v>Tuesday</v>
      </c>
      <c r="I32">
        <f>IF((INT(calendar[[#This Row],[Count]]/7)-calendar[[#This Row],[Count]]/7)&lt;0,I31,I31+1)</f>
        <v>5</v>
      </c>
      <c r="J32">
        <f t="shared" si="4"/>
        <v>30</v>
      </c>
      <c r="K32">
        <f>IF(calendar[[#This Row],[Month]]&lt;4,1,IF(calendar[[#This Row],[Month]]&lt;7,2,IF(calendar[[#This Row],[Month]]&lt;10,3,4)))</f>
        <v>1</v>
      </c>
      <c r="L32">
        <f>IFERROR(IF(VLOOKUP(calendar[[#This Row],[Date]],BH!A:A,1,)&lt;&gt;"",1,0),0)</f>
        <v>0</v>
      </c>
      <c r="M32">
        <f>IFERROR(IF(VLOOKUP(calendar[[#This Row],[Date]],BH!C:C,1,)&lt;&gt;"",1,0),0)</f>
        <v>0</v>
      </c>
      <c r="N32">
        <f>IFERROR(IF(VLOOKUP(calendar[[#This Row],[Date]],BH!E:E,1,)&lt;&gt;"",1,0),0)</f>
        <v>0</v>
      </c>
      <c r="O32">
        <f>IFERROR(IF(VLOOKUP(calendar[[#This Row],[Date]],BH!G:G,1,)&lt;&gt;"",1,0),0)</f>
        <v>0</v>
      </c>
      <c r="P32">
        <f>IF(OR(calendar[[#This Row],[UK_BH]]=1,calendar[[#This Row],[WeekDay]]=1, calendar[[#This Row],[WeekDay]]=7),P31,P31+1)</f>
        <v>22</v>
      </c>
      <c r="Q32">
        <f>IF(OR(calendar[[#This Row],[FR_BH]]=1,calendar[[#This Row],[WeekDay]]=1, calendar[[#This Row],[WeekDay]]=7),P31,P31+1)</f>
        <v>22</v>
      </c>
      <c r="R32">
        <f>IF(OR(calendar[[#This Row],[SP_BH]]=1,calendar[[#This Row],[WeekDay]]=1, calendar[[#This Row],[WeekDay]]=7),P31,P31+1)</f>
        <v>22</v>
      </c>
      <c r="S32">
        <f>IF(OR(calendar[[#This Row],[PT_BH]]=1,calendar[[#This Row],[WeekDay]]=1, calendar[[#This Row],[WeekDay]]=7),P31,P31+1)</f>
        <v>22</v>
      </c>
    </row>
    <row r="33" spans="1:19" x14ac:dyDescent="0.25">
      <c r="A33" s="2">
        <v>42767</v>
      </c>
      <c r="B33" s="1">
        <f t="shared" si="0"/>
        <v>5</v>
      </c>
      <c r="C33">
        <f t="shared" si="5"/>
        <v>2</v>
      </c>
      <c r="D33" t="str">
        <f t="shared" si="6"/>
        <v>February</v>
      </c>
      <c r="E33">
        <f t="shared" si="7"/>
        <v>2017</v>
      </c>
      <c r="F33" t="str">
        <f>CONCATENATE(calendar[[#This Row],[Month]],"/",calendar[[#This Row],[Year]])</f>
        <v>2/2017</v>
      </c>
      <c r="G33">
        <f>WEEKDAY(calendar[[#This Row],[Date]],1)</f>
        <v>4</v>
      </c>
      <c r="H33" t="str">
        <f>TEXT(calendar[[#This Row],[WeekDay]],"dddd")</f>
        <v>Wednesday</v>
      </c>
      <c r="I33">
        <f>IF((INT(calendar[[#This Row],[Count]]/7)-calendar[[#This Row],[Count]]/7)&lt;0,I32,I32+1)</f>
        <v>5</v>
      </c>
      <c r="J33">
        <f t="shared" si="4"/>
        <v>31</v>
      </c>
      <c r="K33">
        <f>IF(calendar[[#This Row],[Month]]&lt;4,1,IF(calendar[[#This Row],[Month]]&lt;7,2,IF(calendar[[#This Row],[Month]]&lt;10,3,4)))</f>
        <v>1</v>
      </c>
      <c r="L33">
        <f>IFERROR(IF(VLOOKUP(calendar[[#This Row],[Date]],BH!A:A,1,)&lt;&gt;"",1,0),0)</f>
        <v>0</v>
      </c>
      <c r="M33">
        <f>IFERROR(IF(VLOOKUP(calendar[[#This Row],[Date]],BH!C:C,1,)&lt;&gt;"",1,0),0)</f>
        <v>0</v>
      </c>
      <c r="N33">
        <f>IFERROR(IF(VLOOKUP(calendar[[#This Row],[Date]],BH!E:E,1,)&lt;&gt;"",1,0),0)</f>
        <v>0</v>
      </c>
      <c r="O33">
        <f>IFERROR(IF(VLOOKUP(calendar[[#This Row],[Date]],BH!G:G,1,)&lt;&gt;"",1,0),0)</f>
        <v>0</v>
      </c>
      <c r="P33">
        <f>IF(OR(calendar[[#This Row],[UK_BH]]=1,calendar[[#This Row],[WeekDay]]=1, calendar[[#This Row],[WeekDay]]=7),P32,P32+1)</f>
        <v>23</v>
      </c>
      <c r="Q33">
        <f>IF(OR(calendar[[#This Row],[FR_BH]]=1,calendar[[#This Row],[WeekDay]]=1, calendar[[#This Row],[WeekDay]]=7),P32,P32+1)</f>
        <v>23</v>
      </c>
      <c r="R33">
        <f>IF(OR(calendar[[#This Row],[SP_BH]]=1,calendar[[#This Row],[WeekDay]]=1, calendar[[#This Row],[WeekDay]]=7),P32,P32+1)</f>
        <v>23</v>
      </c>
      <c r="S33">
        <f>IF(OR(calendar[[#This Row],[PT_BH]]=1,calendar[[#This Row],[WeekDay]]=1, calendar[[#This Row],[WeekDay]]=7),P32,P32+1)</f>
        <v>23</v>
      </c>
    </row>
    <row r="34" spans="1:19" x14ac:dyDescent="0.25">
      <c r="A34" s="2">
        <v>42768</v>
      </c>
      <c r="B34" s="1">
        <f t="shared" si="0"/>
        <v>5</v>
      </c>
      <c r="C34">
        <f t="shared" si="5"/>
        <v>2</v>
      </c>
      <c r="D34" t="str">
        <f t="shared" si="6"/>
        <v>February</v>
      </c>
      <c r="E34">
        <f t="shared" si="7"/>
        <v>2017</v>
      </c>
      <c r="F34" t="str">
        <f>CONCATENATE(calendar[[#This Row],[Month]],"/",calendar[[#This Row],[Year]])</f>
        <v>2/2017</v>
      </c>
      <c r="G34">
        <f>WEEKDAY(calendar[[#This Row],[Date]],1)</f>
        <v>5</v>
      </c>
      <c r="H34" t="str">
        <f>TEXT(calendar[[#This Row],[WeekDay]],"dddd")</f>
        <v>Thursday</v>
      </c>
      <c r="I34">
        <f>IF((INT(calendar[[#This Row],[Count]]/7)-calendar[[#This Row],[Count]]/7)&lt;0,I33,I33+1)</f>
        <v>5</v>
      </c>
      <c r="J34">
        <f t="shared" si="4"/>
        <v>32</v>
      </c>
      <c r="K34">
        <f>IF(calendar[[#This Row],[Month]]&lt;4,1,IF(calendar[[#This Row],[Month]]&lt;7,2,IF(calendar[[#This Row],[Month]]&lt;10,3,4)))</f>
        <v>1</v>
      </c>
      <c r="L34">
        <f>IFERROR(IF(VLOOKUP(calendar[[#This Row],[Date]],BH!A:A,1,)&lt;&gt;"",1,0),0)</f>
        <v>0</v>
      </c>
      <c r="M34">
        <f>IFERROR(IF(VLOOKUP(calendar[[#This Row],[Date]],BH!C:C,1,)&lt;&gt;"",1,0),0)</f>
        <v>0</v>
      </c>
      <c r="N34">
        <f>IFERROR(IF(VLOOKUP(calendar[[#This Row],[Date]],BH!E:E,1,)&lt;&gt;"",1,0),0)</f>
        <v>0</v>
      </c>
      <c r="O34">
        <f>IFERROR(IF(VLOOKUP(calendar[[#This Row],[Date]],BH!G:G,1,)&lt;&gt;"",1,0),0)</f>
        <v>0</v>
      </c>
      <c r="P34">
        <f>IF(OR(calendar[[#This Row],[UK_BH]]=1,calendar[[#This Row],[WeekDay]]=1, calendar[[#This Row],[WeekDay]]=7),P33,P33+1)</f>
        <v>24</v>
      </c>
      <c r="Q34">
        <f>IF(OR(calendar[[#This Row],[FR_BH]]=1,calendar[[#This Row],[WeekDay]]=1, calendar[[#This Row],[WeekDay]]=7),P33,P33+1)</f>
        <v>24</v>
      </c>
      <c r="R34">
        <f>IF(OR(calendar[[#This Row],[SP_BH]]=1,calendar[[#This Row],[WeekDay]]=1, calendar[[#This Row],[WeekDay]]=7),P33,P33+1)</f>
        <v>24</v>
      </c>
      <c r="S34">
        <f>IF(OR(calendar[[#This Row],[PT_BH]]=1,calendar[[#This Row],[WeekDay]]=1, calendar[[#This Row],[WeekDay]]=7),P33,P33+1)</f>
        <v>24</v>
      </c>
    </row>
    <row r="35" spans="1:19" x14ac:dyDescent="0.25">
      <c r="A35" s="2">
        <v>42769</v>
      </c>
      <c r="B35" s="1">
        <f t="shared" si="0"/>
        <v>5</v>
      </c>
      <c r="C35">
        <f t="shared" si="5"/>
        <v>2</v>
      </c>
      <c r="D35" t="str">
        <f t="shared" si="6"/>
        <v>February</v>
      </c>
      <c r="E35">
        <f t="shared" si="7"/>
        <v>2017</v>
      </c>
      <c r="F35" t="str">
        <f>CONCATENATE(calendar[[#This Row],[Month]],"/",calendar[[#This Row],[Year]])</f>
        <v>2/2017</v>
      </c>
      <c r="G35">
        <f>WEEKDAY(calendar[[#This Row],[Date]],1)</f>
        <v>6</v>
      </c>
      <c r="H35" t="str">
        <f>TEXT(calendar[[#This Row],[WeekDay]],"dddd")</f>
        <v>Friday</v>
      </c>
      <c r="I35">
        <f>IF((INT(calendar[[#This Row],[Count]]/7)-calendar[[#This Row],[Count]]/7)&lt;0,I34,I34+1)</f>
        <v>5</v>
      </c>
      <c r="J35">
        <f t="shared" si="4"/>
        <v>33</v>
      </c>
      <c r="K35">
        <f>IF(calendar[[#This Row],[Month]]&lt;4,1,IF(calendar[[#This Row],[Month]]&lt;7,2,IF(calendar[[#This Row],[Month]]&lt;10,3,4)))</f>
        <v>1</v>
      </c>
      <c r="L35">
        <f>IFERROR(IF(VLOOKUP(calendar[[#This Row],[Date]],BH!A:A,1,)&lt;&gt;"",1,0),0)</f>
        <v>0</v>
      </c>
      <c r="M35">
        <f>IFERROR(IF(VLOOKUP(calendar[[#This Row],[Date]],BH!C:C,1,)&lt;&gt;"",1,0),0)</f>
        <v>0</v>
      </c>
      <c r="N35">
        <f>IFERROR(IF(VLOOKUP(calendar[[#This Row],[Date]],BH!E:E,1,)&lt;&gt;"",1,0),0)</f>
        <v>0</v>
      </c>
      <c r="O35">
        <f>IFERROR(IF(VLOOKUP(calendar[[#This Row],[Date]],BH!G:G,1,)&lt;&gt;"",1,0),0)</f>
        <v>0</v>
      </c>
      <c r="P35">
        <f>IF(OR(calendar[[#This Row],[UK_BH]]=1,calendar[[#This Row],[WeekDay]]=1, calendar[[#This Row],[WeekDay]]=7),P34,P34+1)</f>
        <v>25</v>
      </c>
      <c r="Q35">
        <f>IF(OR(calendar[[#This Row],[FR_BH]]=1,calendar[[#This Row],[WeekDay]]=1, calendar[[#This Row],[WeekDay]]=7),P34,P34+1)</f>
        <v>25</v>
      </c>
      <c r="R35">
        <f>IF(OR(calendar[[#This Row],[SP_BH]]=1,calendar[[#This Row],[WeekDay]]=1, calendar[[#This Row],[WeekDay]]=7),P34,P34+1)</f>
        <v>25</v>
      </c>
      <c r="S35">
        <f>IF(OR(calendar[[#This Row],[PT_BH]]=1,calendar[[#This Row],[WeekDay]]=1, calendar[[#This Row],[WeekDay]]=7),P34,P34+1)</f>
        <v>25</v>
      </c>
    </row>
    <row r="36" spans="1:19" x14ac:dyDescent="0.25">
      <c r="A36" s="2">
        <v>42770</v>
      </c>
      <c r="B36" s="1">
        <f t="shared" si="0"/>
        <v>5</v>
      </c>
      <c r="C36">
        <f t="shared" si="5"/>
        <v>2</v>
      </c>
      <c r="D36" t="str">
        <f t="shared" si="6"/>
        <v>February</v>
      </c>
      <c r="E36">
        <f t="shared" si="7"/>
        <v>2017</v>
      </c>
      <c r="F36" t="str">
        <f>CONCATENATE(calendar[[#This Row],[Month]],"/",calendar[[#This Row],[Year]])</f>
        <v>2/2017</v>
      </c>
      <c r="G36">
        <f>WEEKDAY(calendar[[#This Row],[Date]],1)</f>
        <v>7</v>
      </c>
      <c r="H36" t="str">
        <f>TEXT(calendar[[#This Row],[WeekDay]],"dddd")</f>
        <v>Saturday</v>
      </c>
      <c r="I36">
        <f>IF((INT(calendar[[#This Row],[Count]]/7)-calendar[[#This Row],[Count]]/7)&lt;0,I35,I35+1)</f>
        <v>5</v>
      </c>
      <c r="J36">
        <f t="shared" si="4"/>
        <v>34</v>
      </c>
      <c r="K36">
        <f>IF(calendar[[#This Row],[Month]]&lt;4,1,IF(calendar[[#This Row],[Month]]&lt;7,2,IF(calendar[[#This Row],[Month]]&lt;10,3,4)))</f>
        <v>1</v>
      </c>
      <c r="L36">
        <f>IFERROR(IF(VLOOKUP(calendar[[#This Row],[Date]],BH!A:A,1,)&lt;&gt;"",1,0),0)</f>
        <v>0</v>
      </c>
      <c r="M36">
        <f>IFERROR(IF(VLOOKUP(calendar[[#This Row],[Date]],BH!C:C,1,)&lt;&gt;"",1,0),0)</f>
        <v>0</v>
      </c>
      <c r="N36">
        <f>IFERROR(IF(VLOOKUP(calendar[[#This Row],[Date]],BH!E:E,1,)&lt;&gt;"",1,0),0)</f>
        <v>0</v>
      </c>
      <c r="O36">
        <f>IFERROR(IF(VLOOKUP(calendar[[#This Row],[Date]],BH!G:G,1,)&lt;&gt;"",1,0),0)</f>
        <v>0</v>
      </c>
      <c r="P36">
        <f>IF(OR(calendar[[#This Row],[UK_BH]]=1,calendar[[#This Row],[WeekDay]]=1, calendar[[#This Row],[WeekDay]]=7),P35,P35+1)</f>
        <v>25</v>
      </c>
      <c r="Q36">
        <f>IF(OR(calendar[[#This Row],[FR_BH]]=1,calendar[[#This Row],[WeekDay]]=1, calendar[[#This Row],[WeekDay]]=7),P35,P35+1)</f>
        <v>25</v>
      </c>
      <c r="R36">
        <f>IF(OR(calendar[[#This Row],[SP_BH]]=1,calendar[[#This Row],[WeekDay]]=1, calendar[[#This Row],[WeekDay]]=7),P35,P35+1)</f>
        <v>25</v>
      </c>
      <c r="S36">
        <f>IF(OR(calendar[[#This Row],[PT_BH]]=1,calendar[[#This Row],[WeekDay]]=1, calendar[[#This Row],[WeekDay]]=7),P35,P35+1)</f>
        <v>25</v>
      </c>
    </row>
    <row r="37" spans="1:19" x14ac:dyDescent="0.25">
      <c r="A37" s="2">
        <v>42771</v>
      </c>
      <c r="B37" s="1">
        <f t="shared" si="0"/>
        <v>6</v>
      </c>
      <c r="C37">
        <f t="shared" si="5"/>
        <v>2</v>
      </c>
      <c r="D37" t="str">
        <f t="shared" si="6"/>
        <v>February</v>
      </c>
      <c r="E37">
        <f t="shared" si="7"/>
        <v>2017</v>
      </c>
      <c r="F37" t="str">
        <f>CONCATENATE(calendar[[#This Row],[Month]],"/",calendar[[#This Row],[Year]])</f>
        <v>2/2017</v>
      </c>
      <c r="G37">
        <f>WEEKDAY(calendar[[#This Row],[Date]],1)</f>
        <v>1</v>
      </c>
      <c r="H37" t="str">
        <f>TEXT(calendar[[#This Row],[WeekDay]],"dddd")</f>
        <v>Sunday</v>
      </c>
      <c r="I37">
        <f>IF((INT(calendar[[#This Row],[Count]]/7)-calendar[[#This Row],[Count]]/7)&lt;0,I36,I36+1)</f>
        <v>6</v>
      </c>
      <c r="J37">
        <f t="shared" si="4"/>
        <v>35</v>
      </c>
      <c r="K37">
        <f>IF(calendar[[#This Row],[Month]]&lt;4,1,IF(calendar[[#This Row],[Month]]&lt;7,2,IF(calendar[[#This Row],[Month]]&lt;10,3,4)))</f>
        <v>1</v>
      </c>
      <c r="L37">
        <f>IFERROR(IF(VLOOKUP(calendar[[#This Row],[Date]],BH!A:A,1,)&lt;&gt;"",1,0),0)</f>
        <v>0</v>
      </c>
      <c r="M37">
        <f>IFERROR(IF(VLOOKUP(calendar[[#This Row],[Date]],BH!C:C,1,)&lt;&gt;"",1,0),0)</f>
        <v>0</v>
      </c>
      <c r="N37">
        <f>IFERROR(IF(VLOOKUP(calendar[[#This Row],[Date]],BH!E:E,1,)&lt;&gt;"",1,0),0)</f>
        <v>0</v>
      </c>
      <c r="O37">
        <f>IFERROR(IF(VLOOKUP(calendar[[#This Row],[Date]],BH!G:G,1,)&lt;&gt;"",1,0),0)</f>
        <v>0</v>
      </c>
      <c r="P37">
        <f>IF(OR(calendar[[#This Row],[UK_BH]]=1,calendar[[#This Row],[WeekDay]]=1, calendar[[#This Row],[WeekDay]]=7),P36,P36+1)</f>
        <v>25</v>
      </c>
      <c r="Q37">
        <f>IF(OR(calendar[[#This Row],[FR_BH]]=1,calendar[[#This Row],[WeekDay]]=1, calendar[[#This Row],[WeekDay]]=7),P36,P36+1)</f>
        <v>25</v>
      </c>
      <c r="R37">
        <f>IF(OR(calendar[[#This Row],[SP_BH]]=1,calendar[[#This Row],[WeekDay]]=1, calendar[[#This Row],[WeekDay]]=7),P36,P36+1)</f>
        <v>25</v>
      </c>
      <c r="S37">
        <f>IF(OR(calendar[[#This Row],[PT_BH]]=1,calendar[[#This Row],[WeekDay]]=1, calendar[[#This Row],[WeekDay]]=7),P36,P36+1)</f>
        <v>25</v>
      </c>
    </row>
    <row r="38" spans="1:19" x14ac:dyDescent="0.25">
      <c r="A38" s="2">
        <v>42772</v>
      </c>
      <c r="B38" s="1">
        <f t="shared" si="0"/>
        <v>6</v>
      </c>
      <c r="C38">
        <f t="shared" si="5"/>
        <v>2</v>
      </c>
      <c r="D38" t="str">
        <f t="shared" si="6"/>
        <v>February</v>
      </c>
      <c r="E38">
        <f t="shared" si="7"/>
        <v>2017</v>
      </c>
      <c r="F38" t="str">
        <f>CONCATENATE(calendar[[#This Row],[Month]],"/",calendar[[#This Row],[Year]])</f>
        <v>2/2017</v>
      </c>
      <c r="G38">
        <f>WEEKDAY(calendar[[#This Row],[Date]],1)</f>
        <v>2</v>
      </c>
      <c r="H38" t="str">
        <f>TEXT(calendar[[#This Row],[WeekDay]],"dddd")</f>
        <v>Monday</v>
      </c>
      <c r="I38">
        <f>IF((INT(calendar[[#This Row],[Count]]/7)-calendar[[#This Row],[Count]]/7)&lt;0,I37,I37+1)</f>
        <v>6</v>
      </c>
      <c r="J38">
        <f t="shared" si="4"/>
        <v>36</v>
      </c>
      <c r="K38">
        <f>IF(calendar[[#This Row],[Month]]&lt;4,1,IF(calendar[[#This Row],[Month]]&lt;7,2,IF(calendar[[#This Row],[Month]]&lt;10,3,4)))</f>
        <v>1</v>
      </c>
      <c r="L38">
        <f>IFERROR(IF(VLOOKUP(calendar[[#This Row],[Date]],BH!A:A,1,)&lt;&gt;"",1,0),0)</f>
        <v>0</v>
      </c>
      <c r="M38">
        <f>IFERROR(IF(VLOOKUP(calendar[[#This Row],[Date]],BH!C:C,1,)&lt;&gt;"",1,0),0)</f>
        <v>0</v>
      </c>
      <c r="N38">
        <f>IFERROR(IF(VLOOKUP(calendar[[#This Row],[Date]],BH!E:E,1,)&lt;&gt;"",1,0),0)</f>
        <v>0</v>
      </c>
      <c r="O38">
        <f>IFERROR(IF(VLOOKUP(calendar[[#This Row],[Date]],BH!G:G,1,)&lt;&gt;"",1,0),0)</f>
        <v>0</v>
      </c>
      <c r="P38">
        <f>IF(OR(calendar[[#This Row],[UK_BH]]=1,calendar[[#This Row],[WeekDay]]=1, calendar[[#This Row],[WeekDay]]=7),P37,P37+1)</f>
        <v>26</v>
      </c>
      <c r="Q38">
        <f>IF(OR(calendar[[#This Row],[FR_BH]]=1,calendar[[#This Row],[WeekDay]]=1, calendar[[#This Row],[WeekDay]]=7),P37,P37+1)</f>
        <v>26</v>
      </c>
      <c r="R38">
        <f>IF(OR(calendar[[#This Row],[SP_BH]]=1,calendar[[#This Row],[WeekDay]]=1, calendar[[#This Row],[WeekDay]]=7),P37,P37+1)</f>
        <v>26</v>
      </c>
      <c r="S38">
        <f>IF(OR(calendar[[#This Row],[PT_BH]]=1,calendar[[#This Row],[WeekDay]]=1, calendar[[#This Row],[WeekDay]]=7),P37,P37+1)</f>
        <v>26</v>
      </c>
    </row>
    <row r="39" spans="1:19" x14ac:dyDescent="0.25">
      <c r="A39" s="2">
        <v>42773</v>
      </c>
      <c r="B39" s="1">
        <f t="shared" si="0"/>
        <v>6</v>
      </c>
      <c r="C39">
        <f t="shared" si="5"/>
        <v>2</v>
      </c>
      <c r="D39" t="str">
        <f t="shared" si="6"/>
        <v>February</v>
      </c>
      <c r="E39">
        <f t="shared" si="7"/>
        <v>2017</v>
      </c>
      <c r="F39" t="str">
        <f>CONCATENATE(calendar[[#This Row],[Month]],"/",calendar[[#This Row],[Year]])</f>
        <v>2/2017</v>
      </c>
      <c r="G39">
        <f>WEEKDAY(calendar[[#This Row],[Date]],1)</f>
        <v>3</v>
      </c>
      <c r="H39" t="str">
        <f>TEXT(calendar[[#This Row],[WeekDay]],"dddd")</f>
        <v>Tuesday</v>
      </c>
      <c r="I39">
        <f>IF((INT(calendar[[#This Row],[Count]]/7)-calendar[[#This Row],[Count]]/7)&lt;0,I38,I38+1)</f>
        <v>6</v>
      </c>
      <c r="J39">
        <f t="shared" si="4"/>
        <v>37</v>
      </c>
      <c r="K39">
        <f>IF(calendar[[#This Row],[Month]]&lt;4,1,IF(calendar[[#This Row],[Month]]&lt;7,2,IF(calendar[[#This Row],[Month]]&lt;10,3,4)))</f>
        <v>1</v>
      </c>
      <c r="L39">
        <f>IFERROR(IF(VLOOKUP(calendar[[#This Row],[Date]],BH!A:A,1,)&lt;&gt;"",1,0),0)</f>
        <v>0</v>
      </c>
      <c r="M39">
        <f>IFERROR(IF(VLOOKUP(calendar[[#This Row],[Date]],BH!C:C,1,)&lt;&gt;"",1,0),0)</f>
        <v>0</v>
      </c>
      <c r="N39">
        <f>IFERROR(IF(VLOOKUP(calendar[[#This Row],[Date]],BH!E:E,1,)&lt;&gt;"",1,0),0)</f>
        <v>0</v>
      </c>
      <c r="O39">
        <f>IFERROR(IF(VLOOKUP(calendar[[#This Row],[Date]],BH!G:G,1,)&lt;&gt;"",1,0),0)</f>
        <v>0</v>
      </c>
      <c r="P39">
        <f>IF(OR(calendar[[#This Row],[UK_BH]]=1,calendar[[#This Row],[WeekDay]]=1, calendar[[#This Row],[WeekDay]]=7),P38,P38+1)</f>
        <v>27</v>
      </c>
      <c r="Q39">
        <f>IF(OR(calendar[[#This Row],[FR_BH]]=1,calendar[[#This Row],[WeekDay]]=1, calendar[[#This Row],[WeekDay]]=7),P38,P38+1)</f>
        <v>27</v>
      </c>
      <c r="R39">
        <f>IF(OR(calendar[[#This Row],[SP_BH]]=1,calendar[[#This Row],[WeekDay]]=1, calendar[[#This Row],[WeekDay]]=7),P38,P38+1)</f>
        <v>27</v>
      </c>
      <c r="S39">
        <f>IF(OR(calendar[[#This Row],[PT_BH]]=1,calendar[[#This Row],[WeekDay]]=1, calendar[[#This Row],[WeekDay]]=7),P38,P38+1)</f>
        <v>27</v>
      </c>
    </row>
    <row r="40" spans="1:19" x14ac:dyDescent="0.25">
      <c r="A40" s="2">
        <v>42774</v>
      </c>
      <c r="B40" s="1">
        <f t="shared" si="0"/>
        <v>6</v>
      </c>
      <c r="C40">
        <f t="shared" si="5"/>
        <v>2</v>
      </c>
      <c r="D40" t="str">
        <f t="shared" si="6"/>
        <v>February</v>
      </c>
      <c r="E40">
        <f t="shared" si="7"/>
        <v>2017</v>
      </c>
      <c r="F40" t="str">
        <f>CONCATENATE(calendar[[#This Row],[Month]],"/",calendar[[#This Row],[Year]])</f>
        <v>2/2017</v>
      </c>
      <c r="G40">
        <f>WEEKDAY(calendar[[#This Row],[Date]],1)</f>
        <v>4</v>
      </c>
      <c r="H40" t="str">
        <f>TEXT(calendar[[#This Row],[WeekDay]],"dddd")</f>
        <v>Wednesday</v>
      </c>
      <c r="I40">
        <f>IF((INT(calendar[[#This Row],[Count]]/7)-calendar[[#This Row],[Count]]/7)&lt;0,I39,I39+1)</f>
        <v>6</v>
      </c>
      <c r="J40">
        <f t="shared" si="4"/>
        <v>38</v>
      </c>
      <c r="K40">
        <f>IF(calendar[[#This Row],[Month]]&lt;4,1,IF(calendar[[#This Row],[Month]]&lt;7,2,IF(calendar[[#This Row],[Month]]&lt;10,3,4)))</f>
        <v>1</v>
      </c>
      <c r="L40">
        <f>IFERROR(IF(VLOOKUP(calendar[[#This Row],[Date]],BH!A:A,1,)&lt;&gt;"",1,0),0)</f>
        <v>0</v>
      </c>
      <c r="M40">
        <f>IFERROR(IF(VLOOKUP(calendar[[#This Row],[Date]],BH!C:C,1,)&lt;&gt;"",1,0),0)</f>
        <v>0</v>
      </c>
      <c r="N40">
        <f>IFERROR(IF(VLOOKUP(calendar[[#This Row],[Date]],BH!E:E,1,)&lt;&gt;"",1,0),0)</f>
        <v>0</v>
      </c>
      <c r="O40">
        <f>IFERROR(IF(VLOOKUP(calendar[[#This Row],[Date]],BH!G:G,1,)&lt;&gt;"",1,0),0)</f>
        <v>0</v>
      </c>
      <c r="P40">
        <f>IF(OR(calendar[[#This Row],[UK_BH]]=1,calendar[[#This Row],[WeekDay]]=1, calendar[[#This Row],[WeekDay]]=7),P39,P39+1)</f>
        <v>28</v>
      </c>
      <c r="Q40">
        <f>IF(OR(calendar[[#This Row],[FR_BH]]=1,calendar[[#This Row],[WeekDay]]=1, calendar[[#This Row],[WeekDay]]=7),P39,P39+1)</f>
        <v>28</v>
      </c>
      <c r="R40">
        <f>IF(OR(calendar[[#This Row],[SP_BH]]=1,calendar[[#This Row],[WeekDay]]=1, calendar[[#This Row],[WeekDay]]=7),P39,P39+1)</f>
        <v>28</v>
      </c>
      <c r="S40">
        <f>IF(OR(calendar[[#This Row],[PT_BH]]=1,calendar[[#This Row],[WeekDay]]=1, calendar[[#This Row],[WeekDay]]=7),P39,P39+1)</f>
        <v>28</v>
      </c>
    </row>
    <row r="41" spans="1:19" x14ac:dyDescent="0.25">
      <c r="A41" s="2">
        <v>42775</v>
      </c>
      <c r="B41" s="1">
        <f t="shared" si="0"/>
        <v>6</v>
      </c>
      <c r="C41">
        <f t="shared" si="5"/>
        <v>2</v>
      </c>
      <c r="D41" t="str">
        <f t="shared" si="6"/>
        <v>February</v>
      </c>
      <c r="E41">
        <f t="shared" si="7"/>
        <v>2017</v>
      </c>
      <c r="F41" t="str">
        <f>CONCATENATE(calendar[[#This Row],[Month]],"/",calendar[[#This Row],[Year]])</f>
        <v>2/2017</v>
      </c>
      <c r="G41">
        <f>WEEKDAY(calendar[[#This Row],[Date]],1)</f>
        <v>5</v>
      </c>
      <c r="H41" t="str">
        <f>TEXT(calendar[[#This Row],[WeekDay]],"dddd")</f>
        <v>Thursday</v>
      </c>
      <c r="I41">
        <f>IF((INT(calendar[[#This Row],[Count]]/7)-calendar[[#This Row],[Count]]/7)&lt;0,I40,I40+1)</f>
        <v>6</v>
      </c>
      <c r="J41">
        <f t="shared" si="4"/>
        <v>39</v>
      </c>
      <c r="K41">
        <f>IF(calendar[[#This Row],[Month]]&lt;4,1,IF(calendar[[#This Row],[Month]]&lt;7,2,IF(calendar[[#This Row],[Month]]&lt;10,3,4)))</f>
        <v>1</v>
      </c>
      <c r="L41">
        <f>IFERROR(IF(VLOOKUP(calendar[[#This Row],[Date]],BH!A:A,1,)&lt;&gt;"",1,0),0)</f>
        <v>0</v>
      </c>
      <c r="M41">
        <f>IFERROR(IF(VLOOKUP(calendar[[#This Row],[Date]],BH!C:C,1,)&lt;&gt;"",1,0),0)</f>
        <v>0</v>
      </c>
      <c r="N41">
        <f>IFERROR(IF(VLOOKUP(calendar[[#This Row],[Date]],BH!E:E,1,)&lt;&gt;"",1,0),0)</f>
        <v>0</v>
      </c>
      <c r="O41">
        <f>IFERROR(IF(VLOOKUP(calendar[[#This Row],[Date]],BH!G:G,1,)&lt;&gt;"",1,0),0)</f>
        <v>0</v>
      </c>
      <c r="P41">
        <f>IF(OR(calendar[[#This Row],[UK_BH]]=1,calendar[[#This Row],[WeekDay]]=1, calendar[[#This Row],[WeekDay]]=7),P40,P40+1)</f>
        <v>29</v>
      </c>
      <c r="Q41">
        <f>IF(OR(calendar[[#This Row],[FR_BH]]=1,calendar[[#This Row],[WeekDay]]=1, calendar[[#This Row],[WeekDay]]=7),P40,P40+1)</f>
        <v>29</v>
      </c>
      <c r="R41">
        <f>IF(OR(calendar[[#This Row],[SP_BH]]=1,calendar[[#This Row],[WeekDay]]=1, calendar[[#This Row],[WeekDay]]=7),P40,P40+1)</f>
        <v>29</v>
      </c>
      <c r="S41">
        <f>IF(OR(calendar[[#This Row],[PT_BH]]=1,calendar[[#This Row],[WeekDay]]=1, calendar[[#This Row],[WeekDay]]=7),P40,P40+1)</f>
        <v>29</v>
      </c>
    </row>
    <row r="42" spans="1:19" x14ac:dyDescent="0.25">
      <c r="A42" s="2">
        <v>42776</v>
      </c>
      <c r="B42" s="1">
        <f t="shared" si="0"/>
        <v>6</v>
      </c>
      <c r="C42">
        <f t="shared" si="5"/>
        <v>2</v>
      </c>
      <c r="D42" t="str">
        <f t="shared" si="6"/>
        <v>February</v>
      </c>
      <c r="E42">
        <f t="shared" si="7"/>
        <v>2017</v>
      </c>
      <c r="F42" t="str">
        <f>CONCATENATE(calendar[[#This Row],[Month]],"/",calendar[[#This Row],[Year]])</f>
        <v>2/2017</v>
      </c>
      <c r="G42">
        <f>WEEKDAY(calendar[[#This Row],[Date]],1)</f>
        <v>6</v>
      </c>
      <c r="H42" t="str">
        <f>TEXT(calendar[[#This Row],[WeekDay]],"dddd")</f>
        <v>Friday</v>
      </c>
      <c r="I42">
        <f>IF((INT(calendar[[#This Row],[Count]]/7)-calendar[[#This Row],[Count]]/7)&lt;0,I41,I41+1)</f>
        <v>6</v>
      </c>
      <c r="J42">
        <f t="shared" si="4"/>
        <v>40</v>
      </c>
      <c r="K42">
        <f>IF(calendar[[#This Row],[Month]]&lt;4,1,IF(calendar[[#This Row],[Month]]&lt;7,2,IF(calendar[[#This Row],[Month]]&lt;10,3,4)))</f>
        <v>1</v>
      </c>
      <c r="L42">
        <f>IFERROR(IF(VLOOKUP(calendar[[#This Row],[Date]],BH!A:A,1,)&lt;&gt;"",1,0),0)</f>
        <v>0</v>
      </c>
      <c r="M42">
        <f>IFERROR(IF(VLOOKUP(calendar[[#This Row],[Date]],BH!C:C,1,)&lt;&gt;"",1,0),0)</f>
        <v>0</v>
      </c>
      <c r="N42">
        <f>IFERROR(IF(VLOOKUP(calendar[[#This Row],[Date]],BH!E:E,1,)&lt;&gt;"",1,0),0)</f>
        <v>0</v>
      </c>
      <c r="O42">
        <f>IFERROR(IF(VLOOKUP(calendar[[#This Row],[Date]],BH!G:G,1,)&lt;&gt;"",1,0),0)</f>
        <v>0</v>
      </c>
      <c r="P42">
        <f>IF(OR(calendar[[#This Row],[UK_BH]]=1,calendar[[#This Row],[WeekDay]]=1, calendar[[#This Row],[WeekDay]]=7),P41,P41+1)</f>
        <v>30</v>
      </c>
      <c r="Q42">
        <f>IF(OR(calendar[[#This Row],[FR_BH]]=1,calendar[[#This Row],[WeekDay]]=1, calendar[[#This Row],[WeekDay]]=7),P41,P41+1)</f>
        <v>30</v>
      </c>
      <c r="R42">
        <f>IF(OR(calendar[[#This Row],[SP_BH]]=1,calendar[[#This Row],[WeekDay]]=1, calendar[[#This Row],[WeekDay]]=7),P41,P41+1)</f>
        <v>30</v>
      </c>
      <c r="S42">
        <f>IF(OR(calendar[[#This Row],[PT_BH]]=1,calendar[[#This Row],[WeekDay]]=1, calendar[[#This Row],[WeekDay]]=7),P41,P41+1)</f>
        <v>30</v>
      </c>
    </row>
    <row r="43" spans="1:19" x14ac:dyDescent="0.25">
      <c r="A43" s="2">
        <v>42777</v>
      </c>
      <c r="B43" s="1">
        <f t="shared" si="0"/>
        <v>6</v>
      </c>
      <c r="C43">
        <f t="shared" si="5"/>
        <v>2</v>
      </c>
      <c r="D43" t="str">
        <f t="shared" si="6"/>
        <v>February</v>
      </c>
      <c r="E43">
        <f t="shared" si="7"/>
        <v>2017</v>
      </c>
      <c r="F43" t="str">
        <f>CONCATENATE(calendar[[#This Row],[Month]],"/",calendar[[#This Row],[Year]])</f>
        <v>2/2017</v>
      </c>
      <c r="G43">
        <f>WEEKDAY(calendar[[#This Row],[Date]],1)</f>
        <v>7</v>
      </c>
      <c r="H43" t="str">
        <f>TEXT(calendar[[#This Row],[WeekDay]],"dddd")</f>
        <v>Saturday</v>
      </c>
      <c r="I43">
        <f>IF((INT(calendar[[#This Row],[Count]]/7)-calendar[[#This Row],[Count]]/7)&lt;0,I42,I42+1)</f>
        <v>6</v>
      </c>
      <c r="J43">
        <f t="shared" si="4"/>
        <v>41</v>
      </c>
      <c r="K43">
        <f>IF(calendar[[#This Row],[Month]]&lt;4,1,IF(calendar[[#This Row],[Month]]&lt;7,2,IF(calendar[[#This Row],[Month]]&lt;10,3,4)))</f>
        <v>1</v>
      </c>
      <c r="L43">
        <f>IFERROR(IF(VLOOKUP(calendar[[#This Row],[Date]],BH!A:A,1,)&lt;&gt;"",1,0),0)</f>
        <v>0</v>
      </c>
      <c r="M43">
        <f>IFERROR(IF(VLOOKUP(calendar[[#This Row],[Date]],BH!C:C,1,)&lt;&gt;"",1,0),0)</f>
        <v>0</v>
      </c>
      <c r="N43">
        <f>IFERROR(IF(VLOOKUP(calendar[[#This Row],[Date]],BH!E:E,1,)&lt;&gt;"",1,0),0)</f>
        <v>0</v>
      </c>
      <c r="O43">
        <f>IFERROR(IF(VLOOKUP(calendar[[#This Row],[Date]],BH!G:G,1,)&lt;&gt;"",1,0),0)</f>
        <v>0</v>
      </c>
      <c r="P43">
        <f>IF(OR(calendar[[#This Row],[UK_BH]]=1,calendar[[#This Row],[WeekDay]]=1, calendar[[#This Row],[WeekDay]]=7),P42,P42+1)</f>
        <v>30</v>
      </c>
      <c r="Q43">
        <f>IF(OR(calendar[[#This Row],[FR_BH]]=1,calendar[[#This Row],[WeekDay]]=1, calendar[[#This Row],[WeekDay]]=7),P42,P42+1)</f>
        <v>30</v>
      </c>
      <c r="R43">
        <f>IF(OR(calendar[[#This Row],[SP_BH]]=1,calendar[[#This Row],[WeekDay]]=1, calendar[[#This Row],[WeekDay]]=7),P42,P42+1)</f>
        <v>30</v>
      </c>
      <c r="S43">
        <f>IF(OR(calendar[[#This Row],[PT_BH]]=1,calendar[[#This Row],[WeekDay]]=1, calendar[[#This Row],[WeekDay]]=7),P42,P42+1)</f>
        <v>30</v>
      </c>
    </row>
    <row r="44" spans="1:19" x14ac:dyDescent="0.25">
      <c r="A44" s="2">
        <v>42778</v>
      </c>
      <c r="B44" s="1">
        <f t="shared" si="0"/>
        <v>7</v>
      </c>
      <c r="C44">
        <f t="shared" si="5"/>
        <v>2</v>
      </c>
      <c r="D44" t="str">
        <f t="shared" si="6"/>
        <v>February</v>
      </c>
      <c r="E44">
        <f t="shared" si="7"/>
        <v>2017</v>
      </c>
      <c r="F44" t="str">
        <f>CONCATENATE(calendar[[#This Row],[Month]],"/",calendar[[#This Row],[Year]])</f>
        <v>2/2017</v>
      </c>
      <c r="G44">
        <f>WEEKDAY(calendar[[#This Row],[Date]],1)</f>
        <v>1</v>
      </c>
      <c r="H44" t="str">
        <f>TEXT(calendar[[#This Row],[WeekDay]],"dddd")</f>
        <v>Sunday</v>
      </c>
      <c r="I44">
        <f>IF((INT(calendar[[#This Row],[Count]]/7)-calendar[[#This Row],[Count]]/7)&lt;0,I43,I43+1)</f>
        <v>7</v>
      </c>
      <c r="J44">
        <f t="shared" si="4"/>
        <v>42</v>
      </c>
      <c r="K44">
        <f>IF(calendar[[#This Row],[Month]]&lt;4,1,IF(calendar[[#This Row],[Month]]&lt;7,2,IF(calendar[[#This Row],[Month]]&lt;10,3,4)))</f>
        <v>1</v>
      </c>
      <c r="L44">
        <f>IFERROR(IF(VLOOKUP(calendar[[#This Row],[Date]],BH!A:A,1,)&lt;&gt;"",1,0),0)</f>
        <v>0</v>
      </c>
      <c r="M44">
        <f>IFERROR(IF(VLOOKUP(calendar[[#This Row],[Date]],BH!C:C,1,)&lt;&gt;"",1,0),0)</f>
        <v>0</v>
      </c>
      <c r="N44">
        <f>IFERROR(IF(VLOOKUP(calendar[[#This Row],[Date]],BH!E:E,1,)&lt;&gt;"",1,0),0)</f>
        <v>0</v>
      </c>
      <c r="O44">
        <f>IFERROR(IF(VLOOKUP(calendar[[#This Row],[Date]],BH!G:G,1,)&lt;&gt;"",1,0),0)</f>
        <v>0</v>
      </c>
      <c r="P44">
        <f>IF(OR(calendar[[#This Row],[UK_BH]]=1,calendar[[#This Row],[WeekDay]]=1, calendar[[#This Row],[WeekDay]]=7),P43,P43+1)</f>
        <v>30</v>
      </c>
      <c r="Q44">
        <f>IF(OR(calendar[[#This Row],[FR_BH]]=1,calendar[[#This Row],[WeekDay]]=1, calendar[[#This Row],[WeekDay]]=7),P43,P43+1)</f>
        <v>30</v>
      </c>
      <c r="R44">
        <f>IF(OR(calendar[[#This Row],[SP_BH]]=1,calendar[[#This Row],[WeekDay]]=1, calendar[[#This Row],[WeekDay]]=7),P43,P43+1)</f>
        <v>30</v>
      </c>
      <c r="S44">
        <f>IF(OR(calendar[[#This Row],[PT_BH]]=1,calendar[[#This Row],[WeekDay]]=1, calendar[[#This Row],[WeekDay]]=7),P43,P43+1)</f>
        <v>30</v>
      </c>
    </row>
    <row r="45" spans="1:19" x14ac:dyDescent="0.25">
      <c r="A45" s="2">
        <v>42779</v>
      </c>
      <c r="B45" s="1">
        <f t="shared" si="0"/>
        <v>7</v>
      </c>
      <c r="C45">
        <f t="shared" si="5"/>
        <v>2</v>
      </c>
      <c r="D45" t="str">
        <f t="shared" si="6"/>
        <v>February</v>
      </c>
      <c r="E45">
        <f t="shared" si="7"/>
        <v>2017</v>
      </c>
      <c r="F45" t="str">
        <f>CONCATENATE(calendar[[#This Row],[Month]],"/",calendar[[#This Row],[Year]])</f>
        <v>2/2017</v>
      </c>
      <c r="G45">
        <f>WEEKDAY(calendar[[#This Row],[Date]],1)</f>
        <v>2</v>
      </c>
      <c r="H45" t="str">
        <f>TEXT(calendar[[#This Row],[WeekDay]],"dddd")</f>
        <v>Monday</v>
      </c>
      <c r="I45">
        <f>IF((INT(calendar[[#This Row],[Count]]/7)-calendar[[#This Row],[Count]]/7)&lt;0,I44,I44+1)</f>
        <v>7</v>
      </c>
      <c r="J45">
        <f t="shared" si="4"/>
        <v>43</v>
      </c>
      <c r="K45">
        <f>IF(calendar[[#This Row],[Month]]&lt;4,1,IF(calendar[[#This Row],[Month]]&lt;7,2,IF(calendar[[#This Row],[Month]]&lt;10,3,4)))</f>
        <v>1</v>
      </c>
      <c r="L45">
        <f>IFERROR(IF(VLOOKUP(calendar[[#This Row],[Date]],BH!A:A,1,)&lt;&gt;"",1,0),0)</f>
        <v>0</v>
      </c>
      <c r="M45">
        <f>IFERROR(IF(VLOOKUP(calendar[[#This Row],[Date]],BH!C:C,1,)&lt;&gt;"",1,0),0)</f>
        <v>0</v>
      </c>
      <c r="N45">
        <f>IFERROR(IF(VLOOKUP(calendar[[#This Row],[Date]],BH!E:E,1,)&lt;&gt;"",1,0),0)</f>
        <v>0</v>
      </c>
      <c r="O45">
        <f>IFERROR(IF(VLOOKUP(calendar[[#This Row],[Date]],BH!G:G,1,)&lt;&gt;"",1,0),0)</f>
        <v>0</v>
      </c>
      <c r="P45">
        <f>IF(OR(calendar[[#This Row],[UK_BH]]=1,calendar[[#This Row],[WeekDay]]=1, calendar[[#This Row],[WeekDay]]=7),P44,P44+1)</f>
        <v>31</v>
      </c>
      <c r="Q45">
        <f>IF(OR(calendar[[#This Row],[FR_BH]]=1,calendar[[#This Row],[WeekDay]]=1, calendar[[#This Row],[WeekDay]]=7),P44,P44+1)</f>
        <v>31</v>
      </c>
      <c r="R45">
        <f>IF(OR(calendar[[#This Row],[SP_BH]]=1,calendar[[#This Row],[WeekDay]]=1, calendar[[#This Row],[WeekDay]]=7),P44,P44+1)</f>
        <v>31</v>
      </c>
      <c r="S45">
        <f>IF(OR(calendar[[#This Row],[PT_BH]]=1,calendar[[#This Row],[WeekDay]]=1, calendar[[#This Row],[WeekDay]]=7),P44,P44+1)</f>
        <v>31</v>
      </c>
    </row>
    <row r="46" spans="1:19" x14ac:dyDescent="0.25">
      <c r="A46" s="2">
        <v>42780</v>
      </c>
      <c r="B46" s="1">
        <f t="shared" si="0"/>
        <v>7</v>
      </c>
      <c r="C46">
        <f t="shared" si="5"/>
        <v>2</v>
      </c>
      <c r="D46" t="str">
        <f t="shared" si="6"/>
        <v>February</v>
      </c>
      <c r="E46">
        <f t="shared" si="7"/>
        <v>2017</v>
      </c>
      <c r="F46" t="str">
        <f>CONCATENATE(calendar[[#This Row],[Month]],"/",calendar[[#This Row],[Year]])</f>
        <v>2/2017</v>
      </c>
      <c r="G46">
        <f>WEEKDAY(calendar[[#This Row],[Date]],1)</f>
        <v>3</v>
      </c>
      <c r="H46" t="str">
        <f>TEXT(calendar[[#This Row],[WeekDay]],"dddd")</f>
        <v>Tuesday</v>
      </c>
      <c r="I46">
        <f>IF((INT(calendar[[#This Row],[Count]]/7)-calendar[[#This Row],[Count]]/7)&lt;0,I45,I45+1)</f>
        <v>7</v>
      </c>
      <c r="J46">
        <f t="shared" si="4"/>
        <v>44</v>
      </c>
      <c r="K46">
        <f>IF(calendar[[#This Row],[Month]]&lt;4,1,IF(calendar[[#This Row],[Month]]&lt;7,2,IF(calendar[[#This Row],[Month]]&lt;10,3,4)))</f>
        <v>1</v>
      </c>
      <c r="L46">
        <f>IFERROR(IF(VLOOKUP(calendar[[#This Row],[Date]],BH!A:A,1,)&lt;&gt;"",1,0),0)</f>
        <v>0</v>
      </c>
      <c r="M46">
        <f>IFERROR(IF(VLOOKUP(calendar[[#This Row],[Date]],BH!C:C,1,)&lt;&gt;"",1,0),0)</f>
        <v>0</v>
      </c>
      <c r="N46">
        <f>IFERROR(IF(VLOOKUP(calendar[[#This Row],[Date]],BH!E:E,1,)&lt;&gt;"",1,0),0)</f>
        <v>0</v>
      </c>
      <c r="O46">
        <f>IFERROR(IF(VLOOKUP(calendar[[#This Row],[Date]],BH!G:G,1,)&lt;&gt;"",1,0),0)</f>
        <v>0</v>
      </c>
      <c r="P46">
        <f>IF(OR(calendar[[#This Row],[UK_BH]]=1,calendar[[#This Row],[WeekDay]]=1, calendar[[#This Row],[WeekDay]]=7),P45,P45+1)</f>
        <v>32</v>
      </c>
      <c r="Q46">
        <f>IF(OR(calendar[[#This Row],[FR_BH]]=1,calendar[[#This Row],[WeekDay]]=1, calendar[[#This Row],[WeekDay]]=7),P45,P45+1)</f>
        <v>32</v>
      </c>
      <c r="R46">
        <f>IF(OR(calendar[[#This Row],[SP_BH]]=1,calendar[[#This Row],[WeekDay]]=1, calendar[[#This Row],[WeekDay]]=7),P45,P45+1)</f>
        <v>32</v>
      </c>
      <c r="S46">
        <f>IF(OR(calendar[[#This Row],[PT_BH]]=1,calendar[[#This Row],[WeekDay]]=1, calendar[[#This Row],[WeekDay]]=7),P45,P45+1)</f>
        <v>32</v>
      </c>
    </row>
    <row r="47" spans="1:19" x14ac:dyDescent="0.25">
      <c r="A47" s="2">
        <v>42781</v>
      </c>
      <c r="B47" s="1">
        <f t="shared" si="0"/>
        <v>7</v>
      </c>
      <c r="C47">
        <f t="shared" si="5"/>
        <v>2</v>
      </c>
      <c r="D47" t="str">
        <f t="shared" si="6"/>
        <v>February</v>
      </c>
      <c r="E47">
        <f t="shared" si="7"/>
        <v>2017</v>
      </c>
      <c r="F47" t="str">
        <f>CONCATENATE(calendar[[#This Row],[Month]],"/",calendar[[#This Row],[Year]])</f>
        <v>2/2017</v>
      </c>
      <c r="G47">
        <f>WEEKDAY(calendar[[#This Row],[Date]],1)</f>
        <v>4</v>
      </c>
      <c r="H47" t="str">
        <f>TEXT(calendar[[#This Row],[WeekDay]],"dddd")</f>
        <v>Wednesday</v>
      </c>
      <c r="I47">
        <f>IF((INT(calendar[[#This Row],[Count]]/7)-calendar[[#This Row],[Count]]/7)&lt;0,I46,I46+1)</f>
        <v>7</v>
      </c>
      <c r="J47">
        <f t="shared" si="4"/>
        <v>45</v>
      </c>
      <c r="K47">
        <f>IF(calendar[[#This Row],[Month]]&lt;4,1,IF(calendar[[#This Row],[Month]]&lt;7,2,IF(calendar[[#This Row],[Month]]&lt;10,3,4)))</f>
        <v>1</v>
      </c>
      <c r="L47">
        <f>IFERROR(IF(VLOOKUP(calendar[[#This Row],[Date]],BH!A:A,1,)&lt;&gt;"",1,0),0)</f>
        <v>0</v>
      </c>
      <c r="M47">
        <f>IFERROR(IF(VLOOKUP(calendar[[#This Row],[Date]],BH!C:C,1,)&lt;&gt;"",1,0),0)</f>
        <v>0</v>
      </c>
      <c r="N47">
        <f>IFERROR(IF(VLOOKUP(calendar[[#This Row],[Date]],BH!E:E,1,)&lt;&gt;"",1,0),0)</f>
        <v>0</v>
      </c>
      <c r="O47">
        <f>IFERROR(IF(VLOOKUP(calendar[[#This Row],[Date]],BH!G:G,1,)&lt;&gt;"",1,0),0)</f>
        <v>0</v>
      </c>
      <c r="P47">
        <f>IF(OR(calendar[[#This Row],[UK_BH]]=1,calendar[[#This Row],[WeekDay]]=1, calendar[[#This Row],[WeekDay]]=7),P46,P46+1)</f>
        <v>33</v>
      </c>
      <c r="Q47">
        <f>IF(OR(calendar[[#This Row],[FR_BH]]=1,calendar[[#This Row],[WeekDay]]=1, calendar[[#This Row],[WeekDay]]=7),P46,P46+1)</f>
        <v>33</v>
      </c>
      <c r="R47">
        <f>IF(OR(calendar[[#This Row],[SP_BH]]=1,calendar[[#This Row],[WeekDay]]=1, calendar[[#This Row],[WeekDay]]=7),P46,P46+1)</f>
        <v>33</v>
      </c>
      <c r="S47">
        <f>IF(OR(calendar[[#This Row],[PT_BH]]=1,calendar[[#This Row],[WeekDay]]=1, calendar[[#This Row],[WeekDay]]=7),P46,P46+1)</f>
        <v>33</v>
      </c>
    </row>
    <row r="48" spans="1:19" x14ac:dyDescent="0.25">
      <c r="A48" s="2">
        <v>42782</v>
      </c>
      <c r="B48" s="1">
        <f t="shared" si="0"/>
        <v>7</v>
      </c>
      <c r="C48">
        <f t="shared" si="5"/>
        <v>2</v>
      </c>
      <c r="D48" t="str">
        <f t="shared" si="6"/>
        <v>February</v>
      </c>
      <c r="E48">
        <f t="shared" si="7"/>
        <v>2017</v>
      </c>
      <c r="F48" t="str">
        <f>CONCATENATE(calendar[[#This Row],[Month]],"/",calendar[[#This Row],[Year]])</f>
        <v>2/2017</v>
      </c>
      <c r="G48">
        <f>WEEKDAY(calendar[[#This Row],[Date]],1)</f>
        <v>5</v>
      </c>
      <c r="H48" t="str">
        <f>TEXT(calendar[[#This Row],[WeekDay]],"dddd")</f>
        <v>Thursday</v>
      </c>
      <c r="I48">
        <f>IF((INT(calendar[[#This Row],[Count]]/7)-calendar[[#This Row],[Count]]/7)&lt;0,I47,I47+1)</f>
        <v>7</v>
      </c>
      <c r="J48">
        <f t="shared" si="4"/>
        <v>46</v>
      </c>
      <c r="K48">
        <f>IF(calendar[[#This Row],[Month]]&lt;4,1,IF(calendar[[#This Row],[Month]]&lt;7,2,IF(calendar[[#This Row],[Month]]&lt;10,3,4)))</f>
        <v>1</v>
      </c>
      <c r="L48">
        <f>IFERROR(IF(VLOOKUP(calendar[[#This Row],[Date]],BH!A:A,1,)&lt;&gt;"",1,0),0)</f>
        <v>0</v>
      </c>
      <c r="M48">
        <f>IFERROR(IF(VLOOKUP(calendar[[#This Row],[Date]],BH!C:C,1,)&lt;&gt;"",1,0),0)</f>
        <v>0</v>
      </c>
      <c r="N48">
        <f>IFERROR(IF(VLOOKUP(calendar[[#This Row],[Date]],BH!E:E,1,)&lt;&gt;"",1,0),0)</f>
        <v>0</v>
      </c>
      <c r="O48">
        <f>IFERROR(IF(VLOOKUP(calendar[[#This Row],[Date]],BH!G:G,1,)&lt;&gt;"",1,0),0)</f>
        <v>0</v>
      </c>
      <c r="P48">
        <f>IF(OR(calendar[[#This Row],[UK_BH]]=1,calendar[[#This Row],[WeekDay]]=1, calendar[[#This Row],[WeekDay]]=7),P47,P47+1)</f>
        <v>34</v>
      </c>
      <c r="Q48">
        <f>IF(OR(calendar[[#This Row],[FR_BH]]=1,calendar[[#This Row],[WeekDay]]=1, calendar[[#This Row],[WeekDay]]=7),P47,P47+1)</f>
        <v>34</v>
      </c>
      <c r="R48">
        <f>IF(OR(calendar[[#This Row],[SP_BH]]=1,calendar[[#This Row],[WeekDay]]=1, calendar[[#This Row],[WeekDay]]=7),P47,P47+1)</f>
        <v>34</v>
      </c>
      <c r="S48">
        <f>IF(OR(calendar[[#This Row],[PT_BH]]=1,calendar[[#This Row],[WeekDay]]=1, calendar[[#This Row],[WeekDay]]=7),P47,P47+1)</f>
        <v>34</v>
      </c>
    </row>
    <row r="49" spans="1:19" x14ac:dyDescent="0.25">
      <c r="A49" s="2">
        <v>42783</v>
      </c>
      <c r="B49" s="1">
        <f t="shared" si="0"/>
        <v>7</v>
      </c>
      <c r="C49">
        <f t="shared" si="5"/>
        <v>2</v>
      </c>
      <c r="D49" t="str">
        <f t="shared" si="6"/>
        <v>February</v>
      </c>
      <c r="E49">
        <f t="shared" si="7"/>
        <v>2017</v>
      </c>
      <c r="F49" t="str">
        <f>CONCATENATE(calendar[[#This Row],[Month]],"/",calendar[[#This Row],[Year]])</f>
        <v>2/2017</v>
      </c>
      <c r="G49">
        <f>WEEKDAY(calendar[[#This Row],[Date]],1)</f>
        <v>6</v>
      </c>
      <c r="H49" t="str">
        <f>TEXT(calendar[[#This Row],[WeekDay]],"dddd")</f>
        <v>Friday</v>
      </c>
      <c r="I49">
        <f>IF((INT(calendar[[#This Row],[Count]]/7)-calendar[[#This Row],[Count]]/7)&lt;0,I48,I48+1)</f>
        <v>7</v>
      </c>
      <c r="J49">
        <f t="shared" si="4"/>
        <v>47</v>
      </c>
      <c r="K49">
        <f>IF(calendar[[#This Row],[Month]]&lt;4,1,IF(calendar[[#This Row],[Month]]&lt;7,2,IF(calendar[[#This Row],[Month]]&lt;10,3,4)))</f>
        <v>1</v>
      </c>
      <c r="L49">
        <f>IFERROR(IF(VLOOKUP(calendar[[#This Row],[Date]],BH!A:A,1,)&lt;&gt;"",1,0),0)</f>
        <v>0</v>
      </c>
      <c r="M49">
        <f>IFERROR(IF(VLOOKUP(calendar[[#This Row],[Date]],BH!C:C,1,)&lt;&gt;"",1,0),0)</f>
        <v>0</v>
      </c>
      <c r="N49">
        <f>IFERROR(IF(VLOOKUP(calendar[[#This Row],[Date]],BH!E:E,1,)&lt;&gt;"",1,0),0)</f>
        <v>0</v>
      </c>
      <c r="O49">
        <f>IFERROR(IF(VLOOKUP(calendar[[#This Row],[Date]],BH!G:G,1,)&lt;&gt;"",1,0),0)</f>
        <v>0</v>
      </c>
      <c r="P49">
        <f>IF(OR(calendar[[#This Row],[UK_BH]]=1,calendar[[#This Row],[WeekDay]]=1, calendar[[#This Row],[WeekDay]]=7),P48,P48+1)</f>
        <v>35</v>
      </c>
      <c r="Q49">
        <f>IF(OR(calendar[[#This Row],[FR_BH]]=1,calendar[[#This Row],[WeekDay]]=1, calendar[[#This Row],[WeekDay]]=7),P48,P48+1)</f>
        <v>35</v>
      </c>
      <c r="R49">
        <f>IF(OR(calendar[[#This Row],[SP_BH]]=1,calendar[[#This Row],[WeekDay]]=1, calendar[[#This Row],[WeekDay]]=7),P48,P48+1)</f>
        <v>35</v>
      </c>
      <c r="S49">
        <f>IF(OR(calendar[[#This Row],[PT_BH]]=1,calendar[[#This Row],[WeekDay]]=1, calendar[[#This Row],[WeekDay]]=7),P48,P48+1)</f>
        <v>35</v>
      </c>
    </row>
    <row r="50" spans="1:19" x14ac:dyDescent="0.25">
      <c r="A50" s="2">
        <v>42784</v>
      </c>
      <c r="B50" s="1">
        <f t="shared" si="0"/>
        <v>7</v>
      </c>
      <c r="C50">
        <f t="shared" si="5"/>
        <v>2</v>
      </c>
      <c r="D50" t="str">
        <f t="shared" si="6"/>
        <v>February</v>
      </c>
      <c r="E50">
        <f t="shared" si="7"/>
        <v>2017</v>
      </c>
      <c r="F50" t="str">
        <f>CONCATENATE(calendar[[#This Row],[Month]],"/",calendar[[#This Row],[Year]])</f>
        <v>2/2017</v>
      </c>
      <c r="G50">
        <f>WEEKDAY(calendar[[#This Row],[Date]],1)</f>
        <v>7</v>
      </c>
      <c r="H50" t="str">
        <f>TEXT(calendar[[#This Row],[WeekDay]],"dddd")</f>
        <v>Saturday</v>
      </c>
      <c r="I50">
        <f>IF((INT(calendar[[#This Row],[Count]]/7)-calendar[[#This Row],[Count]]/7)&lt;0,I49,I49+1)</f>
        <v>7</v>
      </c>
      <c r="J50">
        <f t="shared" si="4"/>
        <v>48</v>
      </c>
      <c r="K50">
        <f>IF(calendar[[#This Row],[Month]]&lt;4,1,IF(calendar[[#This Row],[Month]]&lt;7,2,IF(calendar[[#This Row],[Month]]&lt;10,3,4)))</f>
        <v>1</v>
      </c>
      <c r="L50">
        <f>IFERROR(IF(VLOOKUP(calendar[[#This Row],[Date]],BH!A:A,1,)&lt;&gt;"",1,0),0)</f>
        <v>0</v>
      </c>
      <c r="M50">
        <f>IFERROR(IF(VLOOKUP(calendar[[#This Row],[Date]],BH!C:C,1,)&lt;&gt;"",1,0),0)</f>
        <v>0</v>
      </c>
      <c r="N50">
        <f>IFERROR(IF(VLOOKUP(calendar[[#This Row],[Date]],BH!E:E,1,)&lt;&gt;"",1,0),0)</f>
        <v>0</v>
      </c>
      <c r="O50">
        <f>IFERROR(IF(VLOOKUP(calendar[[#This Row],[Date]],BH!G:G,1,)&lt;&gt;"",1,0),0)</f>
        <v>0</v>
      </c>
      <c r="P50">
        <f>IF(OR(calendar[[#This Row],[UK_BH]]=1,calendar[[#This Row],[WeekDay]]=1, calendar[[#This Row],[WeekDay]]=7),P49,P49+1)</f>
        <v>35</v>
      </c>
      <c r="Q50">
        <f>IF(OR(calendar[[#This Row],[FR_BH]]=1,calendar[[#This Row],[WeekDay]]=1, calendar[[#This Row],[WeekDay]]=7),P49,P49+1)</f>
        <v>35</v>
      </c>
      <c r="R50">
        <f>IF(OR(calendar[[#This Row],[SP_BH]]=1,calendar[[#This Row],[WeekDay]]=1, calendar[[#This Row],[WeekDay]]=7),P49,P49+1)</f>
        <v>35</v>
      </c>
      <c r="S50">
        <f>IF(OR(calendar[[#This Row],[PT_BH]]=1,calendar[[#This Row],[WeekDay]]=1, calendar[[#This Row],[WeekDay]]=7),P49,P49+1)</f>
        <v>35</v>
      </c>
    </row>
    <row r="51" spans="1:19" x14ac:dyDescent="0.25">
      <c r="A51" s="2">
        <v>42785</v>
      </c>
      <c r="B51" s="1">
        <f t="shared" si="0"/>
        <v>8</v>
      </c>
      <c r="C51">
        <f t="shared" si="5"/>
        <v>2</v>
      </c>
      <c r="D51" t="str">
        <f t="shared" si="6"/>
        <v>February</v>
      </c>
      <c r="E51">
        <f t="shared" si="7"/>
        <v>2017</v>
      </c>
      <c r="F51" t="str">
        <f>CONCATENATE(calendar[[#This Row],[Month]],"/",calendar[[#This Row],[Year]])</f>
        <v>2/2017</v>
      </c>
      <c r="G51">
        <f>WEEKDAY(calendar[[#This Row],[Date]],1)</f>
        <v>1</v>
      </c>
      <c r="H51" t="str">
        <f>TEXT(calendar[[#This Row],[WeekDay]],"dddd")</f>
        <v>Sunday</v>
      </c>
      <c r="I51">
        <f>IF((INT(calendar[[#This Row],[Count]]/7)-calendar[[#This Row],[Count]]/7)&lt;0,I50,I50+1)</f>
        <v>8</v>
      </c>
      <c r="J51">
        <f t="shared" si="4"/>
        <v>49</v>
      </c>
      <c r="K51">
        <f>IF(calendar[[#This Row],[Month]]&lt;4,1,IF(calendar[[#This Row],[Month]]&lt;7,2,IF(calendar[[#This Row],[Month]]&lt;10,3,4)))</f>
        <v>1</v>
      </c>
      <c r="L51">
        <f>IFERROR(IF(VLOOKUP(calendar[[#This Row],[Date]],BH!A:A,1,)&lt;&gt;"",1,0),0)</f>
        <v>0</v>
      </c>
      <c r="M51">
        <f>IFERROR(IF(VLOOKUP(calendar[[#This Row],[Date]],BH!C:C,1,)&lt;&gt;"",1,0),0)</f>
        <v>0</v>
      </c>
      <c r="N51">
        <f>IFERROR(IF(VLOOKUP(calendar[[#This Row],[Date]],BH!E:E,1,)&lt;&gt;"",1,0),0)</f>
        <v>0</v>
      </c>
      <c r="O51">
        <f>IFERROR(IF(VLOOKUP(calendar[[#This Row],[Date]],BH!G:G,1,)&lt;&gt;"",1,0),0)</f>
        <v>0</v>
      </c>
      <c r="P51">
        <f>IF(OR(calendar[[#This Row],[UK_BH]]=1,calendar[[#This Row],[WeekDay]]=1, calendar[[#This Row],[WeekDay]]=7),P50,P50+1)</f>
        <v>35</v>
      </c>
      <c r="Q51">
        <f>IF(OR(calendar[[#This Row],[FR_BH]]=1,calendar[[#This Row],[WeekDay]]=1, calendar[[#This Row],[WeekDay]]=7),P50,P50+1)</f>
        <v>35</v>
      </c>
      <c r="R51">
        <f>IF(OR(calendar[[#This Row],[SP_BH]]=1,calendar[[#This Row],[WeekDay]]=1, calendar[[#This Row],[WeekDay]]=7),P50,P50+1)</f>
        <v>35</v>
      </c>
      <c r="S51">
        <f>IF(OR(calendar[[#This Row],[PT_BH]]=1,calendar[[#This Row],[WeekDay]]=1, calendar[[#This Row],[WeekDay]]=7),P50,P50+1)</f>
        <v>35</v>
      </c>
    </row>
    <row r="52" spans="1:19" x14ac:dyDescent="0.25">
      <c r="A52" s="2">
        <v>42786</v>
      </c>
      <c r="B52" s="1">
        <f t="shared" si="0"/>
        <v>8</v>
      </c>
      <c r="C52">
        <f t="shared" si="5"/>
        <v>2</v>
      </c>
      <c r="D52" t="str">
        <f t="shared" si="6"/>
        <v>February</v>
      </c>
      <c r="E52">
        <f t="shared" si="7"/>
        <v>2017</v>
      </c>
      <c r="F52" t="str">
        <f>CONCATENATE(calendar[[#This Row],[Month]],"/",calendar[[#This Row],[Year]])</f>
        <v>2/2017</v>
      </c>
      <c r="G52">
        <f>WEEKDAY(calendar[[#This Row],[Date]],1)</f>
        <v>2</v>
      </c>
      <c r="H52" t="str">
        <f>TEXT(calendar[[#This Row],[WeekDay]],"dddd")</f>
        <v>Monday</v>
      </c>
      <c r="I52">
        <f>IF((INT(calendar[[#This Row],[Count]]/7)-calendar[[#This Row],[Count]]/7)&lt;0,I51,I51+1)</f>
        <v>8</v>
      </c>
      <c r="J52">
        <f t="shared" si="4"/>
        <v>50</v>
      </c>
      <c r="K52">
        <f>IF(calendar[[#This Row],[Month]]&lt;4,1,IF(calendar[[#This Row],[Month]]&lt;7,2,IF(calendar[[#This Row],[Month]]&lt;10,3,4)))</f>
        <v>1</v>
      </c>
      <c r="L52">
        <f>IFERROR(IF(VLOOKUP(calendar[[#This Row],[Date]],BH!A:A,1,)&lt;&gt;"",1,0),0)</f>
        <v>0</v>
      </c>
      <c r="M52">
        <f>IFERROR(IF(VLOOKUP(calendar[[#This Row],[Date]],BH!C:C,1,)&lt;&gt;"",1,0),0)</f>
        <v>0</v>
      </c>
      <c r="N52">
        <f>IFERROR(IF(VLOOKUP(calendar[[#This Row],[Date]],BH!E:E,1,)&lt;&gt;"",1,0),0)</f>
        <v>0</v>
      </c>
      <c r="O52">
        <f>IFERROR(IF(VLOOKUP(calendar[[#This Row],[Date]],BH!G:G,1,)&lt;&gt;"",1,0),0)</f>
        <v>0</v>
      </c>
      <c r="P52">
        <f>IF(OR(calendar[[#This Row],[UK_BH]]=1,calendar[[#This Row],[WeekDay]]=1, calendar[[#This Row],[WeekDay]]=7),P51,P51+1)</f>
        <v>36</v>
      </c>
      <c r="Q52">
        <f>IF(OR(calendar[[#This Row],[FR_BH]]=1,calendar[[#This Row],[WeekDay]]=1, calendar[[#This Row],[WeekDay]]=7),P51,P51+1)</f>
        <v>36</v>
      </c>
      <c r="R52">
        <f>IF(OR(calendar[[#This Row],[SP_BH]]=1,calendar[[#This Row],[WeekDay]]=1, calendar[[#This Row],[WeekDay]]=7),P51,P51+1)</f>
        <v>36</v>
      </c>
      <c r="S52">
        <f>IF(OR(calendar[[#This Row],[PT_BH]]=1,calendar[[#This Row],[WeekDay]]=1, calendar[[#This Row],[WeekDay]]=7),P51,P51+1)</f>
        <v>36</v>
      </c>
    </row>
    <row r="53" spans="1:19" x14ac:dyDescent="0.25">
      <c r="A53" s="2">
        <v>42787</v>
      </c>
      <c r="B53" s="1">
        <f t="shared" si="0"/>
        <v>8</v>
      </c>
      <c r="C53">
        <f t="shared" si="5"/>
        <v>2</v>
      </c>
      <c r="D53" t="str">
        <f t="shared" si="6"/>
        <v>February</v>
      </c>
      <c r="E53">
        <f t="shared" si="7"/>
        <v>2017</v>
      </c>
      <c r="F53" t="str">
        <f>CONCATENATE(calendar[[#This Row],[Month]],"/",calendar[[#This Row],[Year]])</f>
        <v>2/2017</v>
      </c>
      <c r="G53">
        <f>WEEKDAY(calendar[[#This Row],[Date]],1)</f>
        <v>3</v>
      </c>
      <c r="H53" t="str">
        <f>TEXT(calendar[[#This Row],[WeekDay]],"dddd")</f>
        <v>Tuesday</v>
      </c>
      <c r="I53">
        <f>IF((INT(calendar[[#This Row],[Count]]/7)-calendar[[#This Row],[Count]]/7)&lt;0,I52,I52+1)</f>
        <v>8</v>
      </c>
      <c r="J53">
        <f t="shared" si="4"/>
        <v>51</v>
      </c>
      <c r="K53">
        <f>IF(calendar[[#This Row],[Month]]&lt;4,1,IF(calendar[[#This Row],[Month]]&lt;7,2,IF(calendar[[#This Row],[Month]]&lt;10,3,4)))</f>
        <v>1</v>
      </c>
      <c r="L53">
        <f>IFERROR(IF(VLOOKUP(calendar[[#This Row],[Date]],BH!A:A,1,)&lt;&gt;"",1,0),0)</f>
        <v>0</v>
      </c>
      <c r="M53">
        <f>IFERROR(IF(VLOOKUP(calendar[[#This Row],[Date]],BH!C:C,1,)&lt;&gt;"",1,0),0)</f>
        <v>0</v>
      </c>
      <c r="N53">
        <f>IFERROR(IF(VLOOKUP(calendar[[#This Row],[Date]],BH!E:E,1,)&lt;&gt;"",1,0),0)</f>
        <v>0</v>
      </c>
      <c r="O53">
        <f>IFERROR(IF(VLOOKUP(calendar[[#This Row],[Date]],BH!G:G,1,)&lt;&gt;"",1,0),0)</f>
        <v>0</v>
      </c>
      <c r="P53">
        <f>IF(OR(calendar[[#This Row],[UK_BH]]=1,calendar[[#This Row],[WeekDay]]=1, calendar[[#This Row],[WeekDay]]=7),P52,P52+1)</f>
        <v>37</v>
      </c>
      <c r="Q53">
        <f>IF(OR(calendar[[#This Row],[FR_BH]]=1,calendar[[#This Row],[WeekDay]]=1, calendar[[#This Row],[WeekDay]]=7),P52,P52+1)</f>
        <v>37</v>
      </c>
      <c r="R53">
        <f>IF(OR(calendar[[#This Row],[SP_BH]]=1,calendar[[#This Row],[WeekDay]]=1, calendar[[#This Row],[WeekDay]]=7),P52,P52+1)</f>
        <v>37</v>
      </c>
      <c r="S53">
        <f>IF(OR(calendar[[#This Row],[PT_BH]]=1,calendar[[#This Row],[WeekDay]]=1, calendar[[#This Row],[WeekDay]]=7),P52,P52+1)</f>
        <v>37</v>
      </c>
    </row>
    <row r="54" spans="1:19" x14ac:dyDescent="0.25">
      <c r="A54" s="2">
        <v>42788</v>
      </c>
      <c r="B54" s="1">
        <f t="shared" si="0"/>
        <v>8</v>
      </c>
      <c r="C54">
        <f t="shared" si="5"/>
        <v>2</v>
      </c>
      <c r="D54" t="str">
        <f t="shared" si="6"/>
        <v>February</v>
      </c>
      <c r="E54">
        <f t="shared" si="7"/>
        <v>2017</v>
      </c>
      <c r="F54" t="str">
        <f>CONCATENATE(calendar[[#This Row],[Month]],"/",calendar[[#This Row],[Year]])</f>
        <v>2/2017</v>
      </c>
      <c r="G54">
        <f>WEEKDAY(calendar[[#This Row],[Date]],1)</f>
        <v>4</v>
      </c>
      <c r="H54" t="str">
        <f>TEXT(calendar[[#This Row],[WeekDay]],"dddd")</f>
        <v>Wednesday</v>
      </c>
      <c r="I54">
        <f>IF((INT(calendar[[#This Row],[Count]]/7)-calendar[[#This Row],[Count]]/7)&lt;0,I53,I53+1)</f>
        <v>8</v>
      </c>
      <c r="J54">
        <f t="shared" si="4"/>
        <v>52</v>
      </c>
      <c r="K54">
        <f>IF(calendar[[#This Row],[Month]]&lt;4,1,IF(calendar[[#This Row],[Month]]&lt;7,2,IF(calendar[[#This Row],[Month]]&lt;10,3,4)))</f>
        <v>1</v>
      </c>
      <c r="L54">
        <f>IFERROR(IF(VLOOKUP(calendar[[#This Row],[Date]],BH!A:A,1,)&lt;&gt;"",1,0),0)</f>
        <v>0</v>
      </c>
      <c r="M54">
        <f>IFERROR(IF(VLOOKUP(calendar[[#This Row],[Date]],BH!C:C,1,)&lt;&gt;"",1,0),0)</f>
        <v>0</v>
      </c>
      <c r="N54">
        <f>IFERROR(IF(VLOOKUP(calendar[[#This Row],[Date]],BH!E:E,1,)&lt;&gt;"",1,0),0)</f>
        <v>0</v>
      </c>
      <c r="O54">
        <f>IFERROR(IF(VLOOKUP(calendar[[#This Row],[Date]],BH!G:G,1,)&lt;&gt;"",1,0),0)</f>
        <v>0</v>
      </c>
      <c r="P54">
        <f>IF(OR(calendar[[#This Row],[UK_BH]]=1,calendar[[#This Row],[WeekDay]]=1, calendar[[#This Row],[WeekDay]]=7),P53,P53+1)</f>
        <v>38</v>
      </c>
      <c r="Q54">
        <f>IF(OR(calendar[[#This Row],[FR_BH]]=1,calendar[[#This Row],[WeekDay]]=1, calendar[[#This Row],[WeekDay]]=7),P53,P53+1)</f>
        <v>38</v>
      </c>
      <c r="R54">
        <f>IF(OR(calendar[[#This Row],[SP_BH]]=1,calendar[[#This Row],[WeekDay]]=1, calendar[[#This Row],[WeekDay]]=7),P53,P53+1)</f>
        <v>38</v>
      </c>
      <c r="S54">
        <f>IF(OR(calendar[[#This Row],[PT_BH]]=1,calendar[[#This Row],[WeekDay]]=1, calendar[[#This Row],[WeekDay]]=7),P53,P53+1)</f>
        <v>38</v>
      </c>
    </row>
    <row r="55" spans="1:19" x14ac:dyDescent="0.25">
      <c r="A55" s="2">
        <v>42789</v>
      </c>
      <c r="B55" s="1">
        <f t="shared" si="0"/>
        <v>8</v>
      </c>
      <c r="C55">
        <f t="shared" si="5"/>
        <v>2</v>
      </c>
      <c r="D55" t="str">
        <f t="shared" si="6"/>
        <v>February</v>
      </c>
      <c r="E55">
        <f t="shared" si="7"/>
        <v>2017</v>
      </c>
      <c r="F55" t="str">
        <f>CONCATENATE(calendar[[#This Row],[Month]],"/",calendar[[#This Row],[Year]])</f>
        <v>2/2017</v>
      </c>
      <c r="G55">
        <f>WEEKDAY(calendar[[#This Row],[Date]],1)</f>
        <v>5</v>
      </c>
      <c r="H55" t="str">
        <f>TEXT(calendar[[#This Row],[WeekDay]],"dddd")</f>
        <v>Thursday</v>
      </c>
      <c r="I55">
        <f>IF((INT(calendar[[#This Row],[Count]]/7)-calendar[[#This Row],[Count]]/7)&lt;0,I54,I54+1)</f>
        <v>8</v>
      </c>
      <c r="J55">
        <f t="shared" si="4"/>
        <v>53</v>
      </c>
      <c r="K55">
        <f>IF(calendar[[#This Row],[Month]]&lt;4,1,IF(calendar[[#This Row],[Month]]&lt;7,2,IF(calendar[[#This Row],[Month]]&lt;10,3,4)))</f>
        <v>1</v>
      </c>
      <c r="L55">
        <f>IFERROR(IF(VLOOKUP(calendar[[#This Row],[Date]],BH!A:A,1,)&lt;&gt;"",1,0),0)</f>
        <v>0</v>
      </c>
      <c r="M55">
        <f>IFERROR(IF(VLOOKUP(calendar[[#This Row],[Date]],BH!C:C,1,)&lt;&gt;"",1,0),0)</f>
        <v>0</v>
      </c>
      <c r="N55">
        <f>IFERROR(IF(VLOOKUP(calendar[[#This Row],[Date]],BH!E:E,1,)&lt;&gt;"",1,0),0)</f>
        <v>0</v>
      </c>
      <c r="O55">
        <f>IFERROR(IF(VLOOKUP(calendar[[#This Row],[Date]],BH!G:G,1,)&lt;&gt;"",1,0),0)</f>
        <v>0</v>
      </c>
      <c r="P55">
        <f>IF(OR(calendar[[#This Row],[UK_BH]]=1,calendar[[#This Row],[WeekDay]]=1, calendar[[#This Row],[WeekDay]]=7),P54,P54+1)</f>
        <v>39</v>
      </c>
      <c r="Q55">
        <f>IF(OR(calendar[[#This Row],[FR_BH]]=1,calendar[[#This Row],[WeekDay]]=1, calendar[[#This Row],[WeekDay]]=7),P54,P54+1)</f>
        <v>39</v>
      </c>
      <c r="R55">
        <f>IF(OR(calendar[[#This Row],[SP_BH]]=1,calendar[[#This Row],[WeekDay]]=1, calendar[[#This Row],[WeekDay]]=7),P54,P54+1)</f>
        <v>39</v>
      </c>
      <c r="S55">
        <f>IF(OR(calendar[[#This Row],[PT_BH]]=1,calendar[[#This Row],[WeekDay]]=1, calendar[[#This Row],[WeekDay]]=7),P54,P54+1)</f>
        <v>39</v>
      </c>
    </row>
    <row r="56" spans="1:19" x14ac:dyDescent="0.25">
      <c r="A56" s="2">
        <v>42790</v>
      </c>
      <c r="B56" s="1">
        <f t="shared" si="0"/>
        <v>8</v>
      </c>
      <c r="C56">
        <f t="shared" si="5"/>
        <v>2</v>
      </c>
      <c r="D56" t="str">
        <f t="shared" si="6"/>
        <v>February</v>
      </c>
      <c r="E56">
        <f t="shared" si="7"/>
        <v>2017</v>
      </c>
      <c r="F56" t="str">
        <f>CONCATENATE(calendar[[#This Row],[Month]],"/",calendar[[#This Row],[Year]])</f>
        <v>2/2017</v>
      </c>
      <c r="G56">
        <f>WEEKDAY(calendar[[#This Row],[Date]],1)</f>
        <v>6</v>
      </c>
      <c r="H56" t="str">
        <f>TEXT(calendar[[#This Row],[WeekDay]],"dddd")</f>
        <v>Friday</v>
      </c>
      <c r="I56">
        <f>IF((INT(calendar[[#This Row],[Count]]/7)-calendar[[#This Row],[Count]]/7)&lt;0,I55,I55+1)</f>
        <v>8</v>
      </c>
      <c r="J56">
        <f t="shared" si="4"/>
        <v>54</v>
      </c>
      <c r="K56">
        <f>IF(calendar[[#This Row],[Month]]&lt;4,1,IF(calendar[[#This Row],[Month]]&lt;7,2,IF(calendar[[#This Row],[Month]]&lt;10,3,4)))</f>
        <v>1</v>
      </c>
      <c r="L56">
        <f>IFERROR(IF(VLOOKUP(calendar[[#This Row],[Date]],BH!A:A,1,)&lt;&gt;"",1,0),0)</f>
        <v>0</v>
      </c>
      <c r="M56">
        <f>IFERROR(IF(VLOOKUP(calendar[[#This Row],[Date]],BH!C:C,1,)&lt;&gt;"",1,0),0)</f>
        <v>0</v>
      </c>
      <c r="N56">
        <f>IFERROR(IF(VLOOKUP(calendar[[#This Row],[Date]],BH!E:E,1,)&lt;&gt;"",1,0),0)</f>
        <v>0</v>
      </c>
      <c r="O56">
        <f>IFERROR(IF(VLOOKUP(calendar[[#This Row],[Date]],BH!G:G,1,)&lt;&gt;"",1,0),0)</f>
        <v>0</v>
      </c>
      <c r="P56">
        <f>IF(OR(calendar[[#This Row],[UK_BH]]=1,calendar[[#This Row],[WeekDay]]=1, calendar[[#This Row],[WeekDay]]=7),P55,P55+1)</f>
        <v>40</v>
      </c>
      <c r="Q56">
        <f>IF(OR(calendar[[#This Row],[FR_BH]]=1,calendar[[#This Row],[WeekDay]]=1, calendar[[#This Row],[WeekDay]]=7),P55,P55+1)</f>
        <v>40</v>
      </c>
      <c r="R56">
        <f>IF(OR(calendar[[#This Row],[SP_BH]]=1,calendar[[#This Row],[WeekDay]]=1, calendar[[#This Row],[WeekDay]]=7),P55,P55+1)</f>
        <v>40</v>
      </c>
      <c r="S56">
        <f>IF(OR(calendar[[#This Row],[PT_BH]]=1,calendar[[#This Row],[WeekDay]]=1, calendar[[#This Row],[WeekDay]]=7),P55,P55+1)</f>
        <v>40</v>
      </c>
    </row>
    <row r="57" spans="1:19" x14ac:dyDescent="0.25">
      <c r="A57" s="2">
        <v>42791</v>
      </c>
      <c r="B57" s="1">
        <f t="shared" si="0"/>
        <v>8</v>
      </c>
      <c r="C57">
        <f t="shared" si="5"/>
        <v>2</v>
      </c>
      <c r="D57" t="str">
        <f t="shared" si="6"/>
        <v>February</v>
      </c>
      <c r="E57">
        <f t="shared" si="7"/>
        <v>2017</v>
      </c>
      <c r="F57" t="str">
        <f>CONCATENATE(calendar[[#This Row],[Month]],"/",calendar[[#This Row],[Year]])</f>
        <v>2/2017</v>
      </c>
      <c r="G57">
        <f>WEEKDAY(calendar[[#This Row],[Date]],1)</f>
        <v>7</v>
      </c>
      <c r="H57" t="str">
        <f>TEXT(calendar[[#This Row],[WeekDay]],"dddd")</f>
        <v>Saturday</v>
      </c>
      <c r="I57">
        <f>IF((INT(calendar[[#This Row],[Count]]/7)-calendar[[#This Row],[Count]]/7)&lt;0,I56,I56+1)</f>
        <v>8</v>
      </c>
      <c r="J57">
        <f t="shared" si="4"/>
        <v>55</v>
      </c>
      <c r="K57">
        <f>IF(calendar[[#This Row],[Month]]&lt;4,1,IF(calendar[[#This Row],[Month]]&lt;7,2,IF(calendar[[#This Row],[Month]]&lt;10,3,4)))</f>
        <v>1</v>
      </c>
      <c r="L57">
        <f>IFERROR(IF(VLOOKUP(calendar[[#This Row],[Date]],BH!A:A,1,)&lt;&gt;"",1,0),0)</f>
        <v>0</v>
      </c>
      <c r="M57">
        <f>IFERROR(IF(VLOOKUP(calendar[[#This Row],[Date]],BH!C:C,1,)&lt;&gt;"",1,0),0)</f>
        <v>0</v>
      </c>
      <c r="N57">
        <f>IFERROR(IF(VLOOKUP(calendar[[#This Row],[Date]],BH!E:E,1,)&lt;&gt;"",1,0),0)</f>
        <v>0</v>
      </c>
      <c r="O57">
        <f>IFERROR(IF(VLOOKUP(calendar[[#This Row],[Date]],BH!G:G,1,)&lt;&gt;"",1,0),0)</f>
        <v>0</v>
      </c>
      <c r="P57">
        <f>IF(OR(calendar[[#This Row],[UK_BH]]=1,calendar[[#This Row],[WeekDay]]=1, calendar[[#This Row],[WeekDay]]=7),P56,P56+1)</f>
        <v>40</v>
      </c>
      <c r="Q57">
        <f>IF(OR(calendar[[#This Row],[FR_BH]]=1,calendar[[#This Row],[WeekDay]]=1, calendar[[#This Row],[WeekDay]]=7),P56,P56+1)</f>
        <v>40</v>
      </c>
      <c r="R57">
        <f>IF(OR(calendar[[#This Row],[SP_BH]]=1,calendar[[#This Row],[WeekDay]]=1, calendar[[#This Row],[WeekDay]]=7),P56,P56+1)</f>
        <v>40</v>
      </c>
      <c r="S57">
        <f>IF(OR(calendar[[#This Row],[PT_BH]]=1,calendar[[#This Row],[WeekDay]]=1, calendar[[#This Row],[WeekDay]]=7),P56,P56+1)</f>
        <v>40</v>
      </c>
    </row>
    <row r="58" spans="1:19" x14ac:dyDescent="0.25">
      <c r="A58" s="2">
        <v>42792</v>
      </c>
      <c r="B58" s="1">
        <f t="shared" si="0"/>
        <v>9</v>
      </c>
      <c r="C58">
        <f t="shared" si="5"/>
        <v>2</v>
      </c>
      <c r="D58" t="str">
        <f t="shared" si="6"/>
        <v>February</v>
      </c>
      <c r="E58">
        <f t="shared" si="7"/>
        <v>2017</v>
      </c>
      <c r="F58" t="str">
        <f>CONCATENATE(calendar[[#This Row],[Month]],"/",calendar[[#This Row],[Year]])</f>
        <v>2/2017</v>
      </c>
      <c r="G58">
        <f>WEEKDAY(calendar[[#This Row],[Date]],1)</f>
        <v>1</v>
      </c>
      <c r="H58" t="str">
        <f>TEXT(calendar[[#This Row],[WeekDay]],"dddd")</f>
        <v>Sunday</v>
      </c>
      <c r="I58">
        <f>IF((INT(calendar[[#This Row],[Count]]/7)-calendar[[#This Row],[Count]]/7)&lt;0,I57,I57+1)</f>
        <v>9</v>
      </c>
      <c r="J58">
        <f t="shared" si="4"/>
        <v>56</v>
      </c>
      <c r="K58">
        <f>IF(calendar[[#This Row],[Month]]&lt;4,1,IF(calendar[[#This Row],[Month]]&lt;7,2,IF(calendar[[#This Row],[Month]]&lt;10,3,4)))</f>
        <v>1</v>
      </c>
      <c r="L58">
        <f>IFERROR(IF(VLOOKUP(calendar[[#This Row],[Date]],BH!A:A,1,)&lt;&gt;"",1,0),0)</f>
        <v>0</v>
      </c>
      <c r="M58">
        <f>IFERROR(IF(VLOOKUP(calendar[[#This Row],[Date]],BH!C:C,1,)&lt;&gt;"",1,0),0)</f>
        <v>0</v>
      </c>
      <c r="N58">
        <f>IFERROR(IF(VLOOKUP(calendar[[#This Row],[Date]],BH!E:E,1,)&lt;&gt;"",1,0),0)</f>
        <v>0</v>
      </c>
      <c r="O58">
        <f>IFERROR(IF(VLOOKUP(calendar[[#This Row],[Date]],BH!G:G,1,)&lt;&gt;"",1,0),0)</f>
        <v>0</v>
      </c>
      <c r="P58">
        <f>IF(OR(calendar[[#This Row],[UK_BH]]=1,calendar[[#This Row],[WeekDay]]=1, calendar[[#This Row],[WeekDay]]=7),P57,P57+1)</f>
        <v>40</v>
      </c>
      <c r="Q58">
        <f>IF(OR(calendar[[#This Row],[FR_BH]]=1,calendar[[#This Row],[WeekDay]]=1, calendar[[#This Row],[WeekDay]]=7),P57,P57+1)</f>
        <v>40</v>
      </c>
      <c r="R58">
        <f>IF(OR(calendar[[#This Row],[SP_BH]]=1,calendar[[#This Row],[WeekDay]]=1, calendar[[#This Row],[WeekDay]]=7),P57,P57+1)</f>
        <v>40</v>
      </c>
      <c r="S58">
        <f>IF(OR(calendar[[#This Row],[PT_BH]]=1,calendar[[#This Row],[WeekDay]]=1, calendar[[#This Row],[WeekDay]]=7),P57,P57+1)</f>
        <v>40</v>
      </c>
    </row>
    <row r="59" spans="1:19" x14ac:dyDescent="0.25">
      <c r="A59" s="2">
        <v>42793</v>
      </c>
      <c r="B59" s="1">
        <f t="shared" si="0"/>
        <v>9</v>
      </c>
      <c r="C59">
        <f t="shared" si="5"/>
        <v>2</v>
      </c>
      <c r="D59" t="str">
        <f t="shared" si="6"/>
        <v>February</v>
      </c>
      <c r="E59">
        <f t="shared" si="7"/>
        <v>2017</v>
      </c>
      <c r="F59" t="str">
        <f>CONCATENATE(calendar[[#This Row],[Month]],"/",calendar[[#This Row],[Year]])</f>
        <v>2/2017</v>
      </c>
      <c r="G59">
        <f>WEEKDAY(calendar[[#This Row],[Date]],1)</f>
        <v>2</v>
      </c>
      <c r="H59" t="str">
        <f>TEXT(calendar[[#This Row],[WeekDay]],"dddd")</f>
        <v>Monday</v>
      </c>
      <c r="I59">
        <f>IF((INT(calendar[[#This Row],[Count]]/7)-calendar[[#This Row],[Count]]/7)&lt;0,I58,I58+1)</f>
        <v>9</v>
      </c>
      <c r="J59">
        <f t="shared" si="4"/>
        <v>57</v>
      </c>
      <c r="K59">
        <f>IF(calendar[[#This Row],[Month]]&lt;4,1,IF(calendar[[#This Row],[Month]]&lt;7,2,IF(calendar[[#This Row],[Month]]&lt;10,3,4)))</f>
        <v>1</v>
      </c>
      <c r="L59">
        <f>IFERROR(IF(VLOOKUP(calendar[[#This Row],[Date]],BH!A:A,1,)&lt;&gt;"",1,0),0)</f>
        <v>0</v>
      </c>
      <c r="M59">
        <f>IFERROR(IF(VLOOKUP(calendar[[#This Row],[Date]],BH!C:C,1,)&lt;&gt;"",1,0),0)</f>
        <v>0</v>
      </c>
      <c r="N59">
        <f>IFERROR(IF(VLOOKUP(calendar[[#This Row],[Date]],BH!E:E,1,)&lt;&gt;"",1,0),0)</f>
        <v>0</v>
      </c>
      <c r="O59">
        <f>IFERROR(IF(VLOOKUP(calendar[[#This Row],[Date]],BH!G:G,1,)&lt;&gt;"",1,0),0)</f>
        <v>0</v>
      </c>
      <c r="P59">
        <f>IF(OR(calendar[[#This Row],[UK_BH]]=1,calendar[[#This Row],[WeekDay]]=1, calendar[[#This Row],[WeekDay]]=7),P58,P58+1)</f>
        <v>41</v>
      </c>
      <c r="Q59">
        <f>IF(OR(calendar[[#This Row],[FR_BH]]=1,calendar[[#This Row],[WeekDay]]=1, calendar[[#This Row],[WeekDay]]=7),P58,P58+1)</f>
        <v>41</v>
      </c>
      <c r="R59">
        <f>IF(OR(calendar[[#This Row],[SP_BH]]=1,calendar[[#This Row],[WeekDay]]=1, calendar[[#This Row],[WeekDay]]=7),P58,P58+1)</f>
        <v>41</v>
      </c>
      <c r="S59">
        <f>IF(OR(calendar[[#This Row],[PT_BH]]=1,calendar[[#This Row],[WeekDay]]=1, calendar[[#This Row],[WeekDay]]=7),P58,P58+1)</f>
        <v>41</v>
      </c>
    </row>
    <row r="60" spans="1:19" x14ac:dyDescent="0.25">
      <c r="A60" s="2">
        <v>42794</v>
      </c>
      <c r="B60" s="1">
        <f t="shared" si="0"/>
        <v>9</v>
      </c>
      <c r="C60">
        <f t="shared" si="5"/>
        <v>2</v>
      </c>
      <c r="D60" t="str">
        <f t="shared" si="6"/>
        <v>February</v>
      </c>
      <c r="E60">
        <f t="shared" si="7"/>
        <v>2017</v>
      </c>
      <c r="F60" t="str">
        <f>CONCATENATE(calendar[[#This Row],[Month]],"/",calendar[[#This Row],[Year]])</f>
        <v>2/2017</v>
      </c>
      <c r="G60">
        <f>WEEKDAY(calendar[[#This Row],[Date]],1)</f>
        <v>3</v>
      </c>
      <c r="H60" t="str">
        <f>TEXT(calendar[[#This Row],[WeekDay]],"dddd")</f>
        <v>Tuesday</v>
      </c>
      <c r="I60">
        <f>IF((INT(calendar[[#This Row],[Count]]/7)-calendar[[#This Row],[Count]]/7)&lt;0,I59,I59+1)</f>
        <v>9</v>
      </c>
      <c r="J60">
        <f t="shared" si="4"/>
        <v>58</v>
      </c>
      <c r="K60">
        <f>IF(calendar[[#This Row],[Month]]&lt;4,1,IF(calendar[[#This Row],[Month]]&lt;7,2,IF(calendar[[#This Row],[Month]]&lt;10,3,4)))</f>
        <v>1</v>
      </c>
      <c r="L60">
        <f>IFERROR(IF(VLOOKUP(calendar[[#This Row],[Date]],BH!A:A,1,)&lt;&gt;"",1,0),0)</f>
        <v>0</v>
      </c>
      <c r="M60">
        <f>IFERROR(IF(VLOOKUP(calendar[[#This Row],[Date]],BH!C:C,1,)&lt;&gt;"",1,0),0)</f>
        <v>0</v>
      </c>
      <c r="N60">
        <f>IFERROR(IF(VLOOKUP(calendar[[#This Row],[Date]],BH!E:E,1,)&lt;&gt;"",1,0),0)</f>
        <v>0</v>
      </c>
      <c r="O60">
        <f>IFERROR(IF(VLOOKUP(calendar[[#This Row],[Date]],BH!G:G,1,)&lt;&gt;"",1,0),0)</f>
        <v>0</v>
      </c>
      <c r="P60">
        <f>IF(OR(calendar[[#This Row],[UK_BH]]=1,calendar[[#This Row],[WeekDay]]=1, calendar[[#This Row],[WeekDay]]=7),P59,P59+1)</f>
        <v>42</v>
      </c>
      <c r="Q60">
        <f>IF(OR(calendar[[#This Row],[FR_BH]]=1,calendar[[#This Row],[WeekDay]]=1, calendar[[#This Row],[WeekDay]]=7),P59,P59+1)</f>
        <v>42</v>
      </c>
      <c r="R60">
        <f>IF(OR(calendar[[#This Row],[SP_BH]]=1,calendar[[#This Row],[WeekDay]]=1, calendar[[#This Row],[WeekDay]]=7),P59,P59+1)</f>
        <v>42</v>
      </c>
      <c r="S60">
        <f>IF(OR(calendar[[#This Row],[PT_BH]]=1,calendar[[#This Row],[WeekDay]]=1, calendar[[#This Row],[WeekDay]]=7),P59,P59+1)</f>
        <v>42</v>
      </c>
    </row>
    <row r="61" spans="1:19" x14ac:dyDescent="0.25">
      <c r="A61" s="2">
        <v>42795</v>
      </c>
      <c r="B61" s="1">
        <f t="shared" si="0"/>
        <v>9</v>
      </c>
      <c r="C61">
        <f t="shared" si="5"/>
        <v>3</v>
      </c>
      <c r="D61" t="str">
        <f t="shared" si="6"/>
        <v>March</v>
      </c>
      <c r="E61">
        <f t="shared" si="7"/>
        <v>2017</v>
      </c>
      <c r="F61" t="str">
        <f>CONCATENATE(calendar[[#This Row],[Month]],"/",calendar[[#This Row],[Year]])</f>
        <v>3/2017</v>
      </c>
      <c r="G61">
        <f>WEEKDAY(calendar[[#This Row],[Date]],1)</f>
        <v>4</v>
      </c>
      <c r="H61" t="str">
        <f>TEXT(calendar[[#This Row],[WeekDay]],"dddd")</f>
        <v>Wednesday</v>
      </c>
      <c r="I61">
        <f>IF((INT(calendar[[#This Row],[Count]]/7)-calendar[[#This Row],[Count]]/7)&lt;0,I60,I60+1)</f>
        <v>9</v>
      </c>
      <c r="J61">
        <f t="shared" si="4"/>
        <v>59</v>
      </c>
      <c r="K61">
        <f>IF(calendar[[#This Row],[Month]]&lt;4,1,IF(calendar[[#This Row],[Month]]&lt;7,2,IF(calendar[[#This Row],[Month]]&lt;10,3,4)))</f>
        <v>1</v>
      </c>
      <c r="L61">
        <f>IFERROR(IF(VLOOKUP(calendar[[#This Row],[Date]],BH!A:A,1,)&lt;&gt;"",1,0),0)</f>
        <v>0</v>
      </c>
      <c r="M61">
        <f>IFERROR(IF(VLOOKUP(calendar[[#This Row],[Date]],BH!C:C,1,)&lt;&gt;"",1,0),0)</f>
        <v>0</v>
      </c>
      <c r="N61">
        <f>IFERROR(IF(VLOOKUP(calendar[[#This Row],[Date]],BH!E:E,1,)&lt;&gt;"",1,0),0)</f>
        <v>0</v>
      </c>
      <c r="O61">
        <f>IFERROR(IF(VLOOKUP(calendar[[#This Row],[Date]],BH!G:G,1,)&lt;&gt;"",1,0),0)</f>
        <v>0</v>
      </c>
      <c r="P61">
        <f>IF(OR(calendar[[#This Row],[UK_BH]]=1,calendar[[#This Row],[WeekDay]]=1, calendar[[#This Row],[WeekDay]]=7),P60,P60+1)</f>
        <v>43</v>
      </c>
      <c r="Q61">
        <f>IF(OR(calendar[[#This Row],[FR_BH]]=1,calendar[[#This Row],[WeekDay]]=1, calendar[[#This Row],[WeekDay]]=7),P60,P60+1)</f>
        <v>43</v>
      </c>
      <c r="R61">
        <f>IF(OR(calendar[[#This Row],[SP_BH]]=1,calendar[[#This Row],[WeekDay]]=1, calendar[[#This Row],[WeekDay]]=7),P60,P60+1)</f>
        <v>43</v>
      </c>
      <c r="S61">
        <f>IF(OR(calendar[[#This Row],[PT_BH]]=1,calendar[[#This Row],[WeekDay]]=1, calendar[[#This Row],[WeekDay]]=7),P60,P60+1)</f>
        <v>43</v>
      </c>
    </row>
    <row r="62" spans="1:19" x14ac:dyDescent="0.25">
      <c r="A62" s="2">
        <v>42796</v>
      </c>
      <c r="B62" s="1">
        <f t="shared" si="0"/>
        <v>9</v>
      </c>
      <c r="C62">
        <f t="shared" si="5"/>
        <v>3</v>
      </c>
      <c r="D62" t="str">
        <f t="shared" si="6"/>
        <v>March</v>
      </c>
      <c r="E62">
        <f t="shared" si="7"/>
        <v>2017</v>
      </c>
      <c r="F62" t="str">
        <f>CONCATENATE(calendar[[#This Row],[Month]],"/",calendar[[#This Row],[Year]])</f>
        <v>3/2017</v>
      </c>
      <c r="G62">
        <f>WEEKDAY(calendar[[#This Row],[Date]],1)</f>
        <v>5</v>
      </c>
      <c r="H62" t="str">
        <f>TEXT(calendar[[#This Row],[WeekDay]],"dddd")</f>
        <v>Thursday</v>
      </c>
      <c r="I62">
        <f>IF((INT(calendar[[#This Row],[Count]]/7)-calendar[[#This Row],[Count]]/7)&lt;0,I61,I61+1)</f>
        <v>9</v>
      </c>
      <c r="J62">
        <f t="shared" si="4"/>
        <v>60</v>
      </c>
      <c r="K62">
        <f>IF(calendar[[#This Row],[Month]]&lt;4,1,IF(calendar[[#This Row],[Month]]&lt;7,2,IF(calendar[[#This Row],[Month]]&lt;10,3,4)))</f>
        <v>1</v>
      </c>
      <c r="L62">
        <f>IFERROR(IF(VLOOKUP(calendar[[#This Row],[Date]],BH!A:A,1,)&lt;&gt;"",1,0),0)</f>
        <v>0</v>
      </c>
      <c r="M62">
        <f>IFERROR(IF(VLOOKUP(calendar[[#This Row],[Date]],BH!C:C,1,)&lt;&gt;"",1,0),0)</f>
        <v>0</v>
      </c>
      <c r="N62">
        <f>IFERROR(IF(VLOOKUP(calendar[[#This Row],[Date]],BH!E:E,1,)&lt;&gt;"",1,0),0)</f>
        <v>0</v>
      </c>
      <c r="O62">
        <f>IFERROR(IF(VLOOKUP(calendar[[#This Row],[Date]],BH!G:G,1,)&lt;&gt;"",1,0),0)</f>
        <v>0</v>
      </c>
      <c r="P62">
        <f>IF(OR(calendar[[#This Row],[UK_BH]]=1,calendar[[#This Row],[WeekDay]]=1, calendar[[#This Row],[WeekDay]]=7),P61,P61+1)</f>
        <v>44</v>
      </c>
      <c r="Q62">
        <f>IF(OR(calendar[[#This Row],[FR_BH]]=1,calendar[[#This Row],[WeekDay]]=1, calendar[[#This Row],[WeekDay]]=7),P61,P61+1)</f>
        <v>44</v>
      </c>
      <c r="R62">
        <f>IF(OR(calendar[[#This Row],[SP_BH]]=1,calendar[[#This Row],[WeekDay]]=1, calendar[[#This Row],[WeekDay]]=7),P61,P61+1)</f>
        <v>44</v>
      </c>
      <c r="S62">
        <f>IF(OR(calendar[[#This Row],[PT_BH]]=1,calendar[[#This Row],[WeekDay]]=1, calendar[[#This Row],[WeekDay]]=7),P61,P61+1)</f>
        <v>44</v>
      </c>
    </row>
    <row r="63" spans="1:19" x14ac:dyDescent="0.25">
      <c r="A63" s="2">
        <v>42797</v>
      </c>
      <c r="B63" s="1">
        <f t="shared" si="0"/>
        <v>9</v>
      </c>
      <c r="C63">
        <f t="shared" si="5"/>
        <v>3</v>
      </c>
      <c r="D63" t="str">
        <f t="shared" si="6"/>
        <v>March</v>
      </c>
      <c r="E63">
        <f t="shared" si="7"/>
        <v>2017</v>
      </c>
      <c r="F63" t="str">
        <f>CONCATENATE(calendar[[#This Row],[Month]],"/",calendar[[#This Row],[Year]])</f>
        <v>3/2017</v>
      </c>
      <c r="G63">
        <f>WEEKDAY(calendar[[#This Row],[Date]],1)</f>
        <v>6</v>
      </c>
      <c r="H63" t="str">
        <f>TEXT(calendar[[#This Row],[WeekDay]],"dddd")</f>
        <v>Friday</v>
      </c>
      <c r="I63">
        <f>IF((INT(calendar[[#This Row],[Count]]/7)-calendar[[#This Row],[Count]]/7)&lt;0,I62,I62+1)</f>
        <v>9</v>
      </c>
      <c r="J63">
        <f t="shared" si="4"/>
        <v>61</v>
      </c>
      <c r="K63">
        <f>IF(calendar[[#This Row],[Month]]&lt;4,1,IF(calendar[[#This Row],[Month]]&lt;7,2,IF(calendar[[#This Row],[Month]]&lt;10,3,4)))</f>
        <v>1</v>
      </c>
      <c r="L63">
        <f>IFERROR(IF(VLOOKUP(calendar[[#This Row],[Date]],BH!A:A,1,)&lt;&gt;"",1,0),0)</f>
        <v>0</v>
      </c>
      <c r="M63">
        <f>IFERROR(IF(VLOOKUP(calendar[[#This Row],[Date]],BH!C:C,1,)&lt;&gt;"",1,0),0)</f>
        <v>0</v>
      </c>
      <c r="N63">
        <f>IFERROR(IF(VLOOKUP(calendar[[#This Row],[Date]],BH!E:E,1,)&lt;&gt;"",1,0),0)</f>
        <v>0</v>
      </c>
      <c r="O63">
        <f>IFERROR(IF(VLOOKUP(calendar[[#This Row],[Date]],BH!G:G,1,)&lt;&gt;"",1,0),0)</f>
        <v>0</v>
      </c>
      <c r="P63">
        <f>IF(OR(calendar[[#This Row],[UK_BH]]=1,calendar[[#This Row],[WeekDay]]=1, calendar[[#This Row],[WeekDay]]=7),P62,P62+1)</f>
        <v>45</v>
      </c>
      <c r="Q63">
        <f>IF(OR(calendar[[#This Row],[FR_BH]]=1,calendar[[#This Row],[WeekDay]]=1, calendar[[#This Row],[WeekDay]]=7),P62,P62+1)</f>
        <v>45</v>
      </c>
      <c r="R63">
        <f>IF(OR(calendar[[#This Row],[SP_BH]]=1,calendar[[#This Row],[WeekDay]]=1, calendar[[#This Row],[WeekDay]]=7),P62,P62+1)</f>
        <v>45</v>
      </c>
      <c r="S63">
        <f>IF(OR(calendar[[#This Row],[PT_BH]]=1,calendar[[#This Row],[WeekDay]]=1, calendar[[#This Row],[WeekDay]]=7),P62,P62+1)</f>
        <v>45</v>
      </c>
    </row>
    <row r="64" spans="1:19" x14ac:dyDescent="0.25">
      <c r="A64" s="2">
        <v>42798</v>
      </c>
      <c r="B64" s="1">
        <f t="shared" si="0"/>
        <v>9</v>
      </c>
      <c r="C64">
        <f t="shared" si="5"/>
        <v>3</v>
      </c>
      <c r="D64" t="str">
        <f t="shared" si="6"/>
        <v>March</v>
      </c>
      <c r="E64">
        <f t="shared" si="7"/>
        <v>2017</v>
      </c>
      <c r="F64" t="str">
        <f>CONCATENATE(calendar[[#This Row],[Month]],"/",calendar[[#This Row],[Year]])</f>
        <v>3/2017</v>
      </c>
      <c r="G64">
        <f>WEEKDAY(calendar[[#This Row],[Date]],1)</f>
        <v>7</v>
      </c>
      <c r="H64" t="str">
        <f>TEXT(calendar[[#This Row],[WeekDay]],"dddd")</f>
        <v>Saturday</v>
      </c>
      <c r="I64">
        <f>IF((INT(calendar[[#This Row],[Count]]/7)-calendar[[#This Row],[Count]]/7)&lt;0,I63,I63+1)</f>
        <v>9</v>
      </c>
      <c r="J64">
        <f t="shared" si="4"/>
        <v>62</v>
      </c>
      <c r="K64">
        <f>IF(calendar[[#This Row],[Month]]&lt;4,1,IF(calendar[[#This Row],[Month]]&lt;7,2,IF(calendar[[#This Row],[Month]]&lt;10,3,4)))</f>
        <v>1</v>
      </c>
      <c r="L64">
        <f>IFERROR(IF(VLOOKUP(calendar[[#This Row],[Date]],BH!A:A,1,)&lt;&gt;"",1,0),0)</f>
        <v>0</v>
      </c>
      <c r="M64">
        <f>IFERROR(IF(VLOOKUP(calendar[[#This Row],[Date]],BH!C:C,1,)&lt;&gt;"",1,0),0)</f>
        <v>0</v>
      </c>
      <c r="N64">
        <f>IFERROR(IF(VLOOKUP(calendar[[#This Row],[Date]],BH!E:E,1,)&lt;&gt;"",1,0),0)</f>
        <v>0</v>
      </c>
      <c r="O64">
        <f>IFERROR(IF(VLOOKUP(calendar[[#This Row],[Date]],BH!G:G,1,)&lt;&gt;"",1,0),0)</f>
        <v>0</v>
      </c>
      <c r="P64">
        <f>IF(OR(calendar[[#This Row],[UK_BH]]=1,calendar[[#This Row],[WeekDay]]=1, calendar[[#This Row],[WeekDay]]=7),P63,P63+1)</f>
        <v>45</v>
      </c>
      <c r="Q64">
        <f>IF(OR(calendar[[#This Row],[FR_BH]]=1,calendar[[#This Row],[WeekDay]]=1, calendar[[#This Row],[WeekDay]]=7),P63,P63+1)</f>
        <v>45</v>
      </c>
      <c r="R64">
        <f>IF(OR(calendar[[#This Row],[SP_BH]]=1,calendar[[#This Row],[WeekDay]]=1, calendar[[#This Row],[WeekDay]]=7),P63,P63+1)</f>
        <v>45</v>
      </c>
      <c r="S64">
        <f>IF(OR(calendar[[#This Row],[PT_BH]]=1,calendar[[#This Row],[WeekDay]]=1, calendar[[#This Row],[WeekDay]]=7),P63,P63+1)</f>
        <v>45</v>
      </c>
    </row>
    <row r="65" spans="1:19" x14ac:dyDescent="0.25">
      <c r="A65" s="2">
        <v>42799</v>
      </c>
      <c r="B65" s="1">
        <f t="shared" si="0"/>
        <v>10</v>
      </c>
      <c r="C65">
        <f t="shared" si="5"/>
        <v>3</v>
      </c>
      <c r="D65" t="str">
        <f t="shared" si="6"/>
        <v>March</v>
      </c>
      <c r="E65">
        <f t="shared" si="7"/>
        <v>2017</v>
      </c>
      <c r="F65" t="str">
        <f>CONCATENATE(calendar[[#This Row],[Month]],"/",calendar[[#This Row],[Year]])</f>
        <v>3/2017</v>
      </c>
      <c r="G65">
        <f>WEEKDAY(calendar[[#This Row],[Date]],1)</f>
        <v>1</v>
      </c>
      <c r="H65" t="str">
        <f>TEXT(calendar[[#This Row],[WeekDay]],"dddd")</f>
        <v>Sunday</v>
      </c>
      <c r="I65">
        <f>IF((INT(calendar[[#This Row],[Count]]/7)-calendar[[#This Row],[Count]]/7)&lt;0,I64,I64+1)</f>
        <v>10</v>
      </c>
      <c r="J65">
        <f t="shared" si="4"/>
        <v>63</v>
      </c>
      <c r="K65">
        <f>IF(calendar[[#This Row],[Month]]&lt;4,1,IF(calendar[[#This Row],[Month]]&lt;7,2,IF(calendar[[#This Row],[Month]]&lt;10,3,4)))</f>
        <v>1</v>
      </c>
      <c r="L65">
        <f>IFERROR(IF(VLOOKUP(calendar[[#This Row],[Date]],BH!A:A,1,)&lt;&gt;"",1,0),0)</f>
        <v>0</v>
      </c>
      <c r="M65">
        <f>IFERROR(IF(VLOOKUP(calendar[[#This Row],[Date]],BH!C:C,1,)&lt;&gt;"",1,0),0)</f>
        <v>0</v>
      </c>
      <c r="N65">
        <f>IFERROR(IF(VLOOKUP(calendar[[#This Row],[Date]],BH!E:E,1,)&lt;&gt;"",1,0),0)</f>
        <v>0</v>
      </c>
      <c r="O65">
        <f>IFERROR(IF(VLOOKUP(calendar[[#This Row],[Date]],BH!G:G,1,)&lt;&gt;"",1,0),0)</f>
        <v>0</v>
      </c>
      <c r="P65">
        <f>IF(OR(calendar[[#This Row],[UK_BH]]=1,calendar[[#This Row],[WeekDay]]=1, calendar[[#This Row],[WeekDay]]=7),P64,P64+1)</f>
        <v>45</v>
      </c>
      <c r="Q65">
        <f>IF(OR(calendar[[#This Row],[FR_BH]]=1,calendar[[#This Row],[WeekDay]]=1, calendar[[#This Row],[WeekDay]]=7),P64,P64+1)</f>
        <v>45</v>
      </c>
      <c r="R65">
        <f>IF(OR(calendar[[#This Row],[SP_BH]]=1,calendar[[#This Row],[WeekDay]]=1, calendar[[#This Row],[WeekDay]]=7),P64,P64+1)</f>
        <v>45</v>
      </c>
      <c r="S65">
        <f>IF(OR(calendar[[#This Row],[PT_BH]]=1,calendar[[#This Row],[WeekDay]]=1, calendar[[#This Row],[WeekDay]]=7),P64,P64+1)</f>
        <v>45</v>
      </c>
    </row>
    <row r="66" spans="1:19" x14ac:dyDescent="0.25">
      <c r="A66" s="2">
        <v>42800</v>
      </c>
      <c r="B66" s="1">
        <f t="shared" ref="B66:B129" si="8">WEEKNUM(A66)</f>
        <v>10</v>
      </c>
      <c r="C66">
        <f t="shared" si="5"/>
        <v>3</v>
      </c>
      <c r="D66" t="str">
        <f t="shared" si="6"/>
        <v>March</v>
      </c>
      <c r="E66">
        <f t="shared" si="7"/>
        <v>2017</v>
      </c>
      <c r="F66" t="str">
        <f>CONCATENATE(calendar[[#This Row],[Month]],"/",calendar[[#This Row],[Year]])</f>
        <v>3/2017</v>
      </c>
      <c r="G66">
        <f>WEEKDAY(calendar[[#This Row],[Date]],1)</f>
        <v>2</v>
      </c>
      <c r="H66" t="str">
        <f>TEXT(calendar[[#This Row],[WeekDay]],"dddd")</f>
        <v>Monday</v>
      </c>
      <c r="I66">
        <f>IF((INT(calendar[[#This Row],[Count]]/7)-calendar[[#This Row],[Count]]/7)&lt;0,I65,I65+1)</f>
        <v>10</v>
      </c>
      <c r="J66">
        <f t="shared" si="4"/>
        <v>64</v>
      </c>
      <c r="K66">
        <f>IF(calendar[[#This Row],[Month]]&lt;4,1,IF(calendar[[#This Row],[Month]]&lt;7,2,IF(calendar[[#This Row],[Month]]&lt;10,3,4)))</f>
        <v>1</v>
      </c>
      <c r="L66">
        <f>IFERROR(IF(VLOOKUP(calendar[[#This Row],[Date]],BH!A:A,1,)&lt;&gt;"",1,0),0)</f>
        <v>0</v>
      </c>
      <c r="M66">
        <f>IFERROR(IF(VLOOKUP(calendar[[#This Row],[Date]],BH!C:C,1,)&lt;&gt;"",1,0),0)</f>
        <v>0</v>
      </c>
      <c r="N66">
        <f>IFERROR(IF(VLOOKUP(calendar[[#This Row],[Date]],BH!E:E,1,)&lt;&gt;"",1,0),0)</f>
        <v>0</v>
      </c>
      <c r="O66">
        <f>IFERROR(IF(VLOOKUP(calendar[[#This Row],[Date]],BH!G:G,1,)&lt;&gt;"",1,0),0)</f>
        <v>0</v>
      </c>
      <c r="P66">
        <f>IF(OR(calendar[[#This Row],[UK_BH]]=1,calendar[[#This Row],[WeekDay]]=1, calendar[[#This Row],[WeekDay]]=7),P65,P65+1)</f>
        <v>46</v>
      </c>
      <c r="Q66">
        <f>IF(OR(calendar[[#This Row],[FR_BH]]=1,calendar[[#This Row],[WeekDay]]=1, calendar[[#This Row],[WeekDay]]=7),P65,P65+1)</f>
        <v>46</v>
      </c>
      <c r="R66">
        <f>IF(OR(calendar[[#This Row],[SP_BH]]=1,calendar[[#This Row],[WeekDay]]=1, calendar[[#This Row],[WeekDay]]=7),P65,P65+1)</f>
        <v>46</v>
      </c>
      <c r="S66">
        <f>IF(OR(calendar[[#This Row],[PT_BH]]=1,calendar[[#This Row],[WeekDay]]=1, calendar[[#This Row],[WeekDay]]=7),P65,P65+1)</f>
        <v>46</v>
      </c>
    </row>
    <row r="67" spans="1:19" x14ac:dyDescent="0.25">
      <c r="A67" s="2">
        <v>42801</v>
      </c>
      <c r="B67" s="1">
        <f t="shared" si="8"/>
        <v>10</v>
      </c>
      <c r="C67">
        <f t="shared" si="5"/>
        <v>3</v>
      </c>
      <c r="D67" t="str">
        <f t="shared" si="6"/>
        <v>March</v>
      </c>
      <c r="E67">
        <f t="shared" si="7"/>
        <v>2017</v>
      </c>
      <c r="F67" t="str">
        <f>CONCATENATE(calendar[[#This Row],[Month]],"/",calendar[[#This Row],[Year]])</f>
        <v>3/2017</v>
      </c>
      <c r="G67">
        <f>WEEKDAY(calendar[[#This Row],[Date]],1)</f>
        <v>3</v>
      </c>
      <c r="H67" t="str">
        <f>TEXT(calendar[[#This Row],[WeekDay]],"dddd")</f>
        <v>Tuesday</v>
      </c>
      <c r="I67">
        <f>IF((INT(calendar[[#This Row],[Count]]/7)-calendar[[#This Row],[Count]]/7)&lt;0,I66,I66+1)</f>
        <v>10</v>
      </c>
      <c r="J67">
        <f t="shared" ref="J67:J130" si="9">J66+1</f>
        <v>65</v>
      </c>
      <c r="K67">
        <f>IF(calendar[[#This Row],[Month]]&lt;4,1,IF(calendar[[#This Row],[Month]]&lt;7,2,IF(calendar[[#This Row],[Month]]&lt;10,3,4)))</f>
        <v>1</v>
      </c>
      <c r="L67">
        <f>IFERROR(IF(VLOOKUP(calendar[[#This Row],[Date]],BH!A:A,1,)&lt;&gt;"",1,0),0)</f>
        <v>0</v>
      </c>
      <c r="M67">
        <f>IFERROR(IF(VLOOKUP(calendar[[#This Row],[Date]],BH!C:C,1,)&lt;&gt;"",1,0),0)</f>
        <v>0</v>
      </c>
      <c r="N67">
        <f>IFERROR(IF(VLOOKUP(calendar[[#This Row],[Date]],BH!E:E,1,)&lt;&gt;"",1,0),0)</f>
        <v>0</v>
      </c>
      <c r="O67">
        <f>IFERROR(IF(VLOOKUP(calendar[[#This Row],[Date]],BH!G:G,1,)&lt;&gt;"",1,0),0)</f>
        <v>0</v>
      </c>
      <c r="P67">
        <f>IF(OR(calendar[[#This Row],[UK_BH]]=1,calendar[[#This Row],[WeekDay]]=1, calendar[[#This Row],[WeekDay]]=7),P66,P66+1)</f>
        <v>47</v>
      </c>
      <c r="Q67">
        <f>IF(OR(calendar[[#This Row],[FR_BH]]=1,calendar[[#This Row],[WeekDay]]=1, calendar[[#This Row],[WeekDay]]=7),P66,P66+1)</f>
        <v>47</v>
      </c>
      <c r="R67">
        <f>IF(OR(calendar[[#This Row],[SP_BH]]=1,calendar[[#This Row],[WeekDay]]=1, calendar[[#This Row],[WeekDay]]=7),P66,P66+1)</f>
        <v>47</v>
      </c>
      <c r="S67">
        <f>IF(OR(calendar[[#This Row],[PT_BH]]=1,calendar[[#This Row],[WeekDay]]=1, calendar[[#This Row],[WeekDay]]=7),P66,P66+1)</f>
        <v>47</v>
      </c>
    </row>
    <row r="68" spans="1:19" x14ac:dyDescent="0.25">
      <c r="A68" s="2">
        <v>42802</v>
      </c>
      <c r="B68" s="1">
        <f t="shared" si="8"/>
        <v>10</v>
      </c>
      <c r="C68">
        <f t="shared" si="5"/>
        <v>3</v>
      </c>
      <c r="D68" t="str">
        <f t="shared" si="6"/>
        <v>March</v>
      </c>
      <c r="E68">
        <f t="shared" si="7"/>
        <v>2017</v>
      </c>
      <c r="F68" t="str">
        <f>CONCATENATE(calendar[[#This Row],[Month]],"/",calendar[[#This Row],[Year]])</f>
        <v>3/2017</v>
      </c>
      <c r="G68">
        <f>WEEKDAY(calendar[[#This Row],[Date]],1)</f>
        <v>4</v>
      </c>
      <c r="H68" t="str">
        <f>TEXT(calendar[[#This Row],[WeekDay]],"dddd")</f>
        <v>Wednesday</v>
      </c>
      <c r="I68">
        <f>IF((INT(calendar[[#This Row],[Count]]/7)-calendar[[#This Row],[Count]]/7)&lt;0,I67,I67+1)</f>
        <v>10</v>
      </c>
      <c r="J68">
        <f t="shared" si="9"/>
        <v>66</v>
      </c>
      <c r="K68">
        <f>IF(calendar[[#This Row],[Month]]&lt;4,1,IF(calendar[[#This Row],[Month]]&lt;7,2,IF(calendar[[#This Row],[Month]]&lt;10,3,4)))</f>
        <v>1</v>
      </c>
      <c r="L68">
        <f>IFERROR(IF(VLOOKUP(calendar[[#This Row],[Date]],BH!A:A,1,)&lt;&gt;"",1,0),0)</f>
        <v>0</v>
      </c>
      <c r="M68">
        <f>IFERROR(IF(VLOOKUP(calendar[[#This Row],[Date]],BH!C:C,1,)&lt;&gt;"",1,0),0)</f>
        <v>0</v>
      </c>
      <c r="N68">
        <f>IFERROR(IF(VLOOKUP(calendar[[#This Row],[Date]],BH!E:E,1,)&lt;&gt;"",1,0),0)</f>
        <v>0</v>
      </c>
      <c r="O68">
        <f>IFERROR(IF(VLOOKUP(calendar[[#This Row],[Date]],BH!G:G,1,)&lt;&gt;"",1,0),0)</f>
        <v>0</v>
      </c>
      <c r="P68">
        <f>IF(OR(calendar[[#This Row],[UK_BH]]=1,calendar[[#This Row],[WeekDay]]=1, calendar[[#This Row],[WeekDay]]=7),P67,P67+1)</f>
        <v>48</v>
      </c>
      <c r="Q68">
        <f>IF(OR(calendar[[#This Row],[FR_BH]]=1,calendar[[#This Row],[WeekDay]]=1, calendar[[#This Row],[WeekDay]]=7),P67,P67+1)</f>
        <v>48</v>
      </c>
      <c r="R68">
        <f>IF(OR(calendar[[#This Row],[SP_BH]]=1,calendar[[#This Row],[WeekDay]]=1, calendar[[#This Row],[WeekDay]]=7),P67,P67+1)</f>
        <v>48</v>
      </c>
      <c r="S68">
        <f>IF(OR(calendar[[#This Row],[PT_BH]]=1,calendar[[#This Row],[WeekDay]]=1, calendar[[#This Row],[WeekDay]]=7),P67,P67+1)</f>
        <v>48</v>
      </c>
    </row>
    <row r="69" spans="1:19" x14ac:dyDescent="0.25">
      <c r="A69" s="2">
        <v>42803</v>
      </c>
      <c r="B69" s="1">
        <f t="shared" si="8"/>
        <v>10</v>
      </c>
      <c r="C69">
        <f t="shared" si="5"/>
        <v>3</v>
      </c>
      <c r="D69" t="str">
        <f t="shared" si="6"/>
        <v>March</v>
      </c>
      <c r="E69">
        <f t="shared" si="7"/>
        <v>2017</v>
      </c>
      <c r="F69" t="str">
        <f>CONCATENATE(calendar[[#This Row],[Month]],"/",calendar[[#This Row],[Year]])</f>
        <v>3/2017</v>
      </c>
      <c r="G69">
        <f>WEEKDAY(calendar[[#This Row],[Date]],1)</f>
        <v>5</v>
      </c>
      <c r="H69" t="str">
        <f>TEXT(calendar[[#This Row],[WeekDay]],"dddd")</f>
        <v>Thursday</v>
      </c>
      <c r="I69">
        <f>IF((INT(calendar[[#This Row],[Count]]/7)-calendar[[#This Row],[Count]]/7)&lt;0,I68,I68+1)</f>
        <v>10</v>
      </c>
      <c r="J69">
        <f t="shared" si="9"/>
        <v>67</v>
      </c>
      <c r="K69">
        <f>IF(calendar[[#This Row],[Month]]&lt;4,1,IF(calendar[[#This Row],[Month]]&lt;7,2,IF(calendar[[#This Row],[Month]]&lt;10,3,4)))</f>
        <v>1</v>
      </c>
      <c r="L69">
        <f>IFERROR(IF(VLOOKUP(calendar[[#This Row],[Date]],BH!A:A,1,)&lt;&gt;"",1,0),0)</f>
        <v>0</v>
      </c>
      <c r="M69">
        <f>IFERROR(IF(VLOOKUP(calendar[[#This Row],[Date]],BH!C:C,1,)&lt;&gt;"",1,0),0)</f>
        <v>0</v>
      </c>
      <c r="N69">
        <f>IFERROR(IF(VLOOKUP(calendar[[#This Row],[Date]],BH!E:E,1,)&lt;&gt;"",1,0),0)</f>
        <v>0</v>
      </c>
      <c r="O69">
        <f>IFERROR(IF(VLOOKUP(calendar[[#This Row],[Date]],BH!G:G,1,)&lt;&gt;"",1,0),0)</f>
        <v>0</v>
      </c>
      <c r="P69">
        <f>IF(OR(calendar[[#This Row],[UK_BH]]=1,calendar[[#This Row],[WeekDay]]=1, calendar[[#This Row],[WeekDay]]=7),P68,P68+1)</f>
        <v>49</v>
      </c>
      <c r="Q69">
        <f>IF(OR(calendar[[#This Row],[FR_BH]]=1,calendar[[#This Row],[WeekDay]]=1, calendar[[#This Row],[WeekDay]]=7),P68,P68+1)</f>
        <v>49</v>
      </c>
      <c r="R69">
        <f>IF(OR(calendar[[#This Row],[SP_BH]]=1,calendar[[#This Row],[WeekDay]]=1, calendar[[#This Row],[WeekDay]]=7),P68,P68+1)</f>
        <v>49</v>
      </c>
      <c r="S69">
        <f>IF(OR(calendar[[#This Row],[PT_BH]]=1,calendar[[#This Row],[WeekDay]]=1, calendar[[#This Row],[WeekDay]]=7),P68,P68+1)</f>
        <v>49</v>
      </c>
    </row>
    <row r="70" spans="1:19" x14ac:dyDescent="0.25">
      <c r="A70" s="2">
        <v>42804</v>
      </c>
      <c r="B70" s="1">
        <f t="shared" si="8"/>
        <v>10</v>
      </c>
      <c r="C70">
        <f t="shared" si="5"/>
        <v>3</v>
      </c>
      <c r="D70" t="str">
        <f t="shared" si="6"/>
        <v>March</v>
      </c>
      <c r="E70">
        <f t="shared" si="7"/>
        <v>2017</v>
      </c>
      <c r="F70" t="str">
        <f>CONCATENATE(calendar[[#This Row],[Month]],"/",calendar[[#This Row],[Year]])</f>
        <v>3/2017</v>
      </c>
      <c r="G70">
        <f>WEEKDAY(calendar[[#This Row],[Date]],1)</f>
        <v>6</v>
      </c>
      <c r="H70" t="str">
        <f>TEXT(calendar[[#This Row],[WeekDay]],"dddd")</f>
        <v>Friday</v>
      </c>
      <c r="I70">
        <f>IF((INT(calendar[[#This Row],[Count]]/7)-calendar[[#This Row],[Count]]/7)&lt;0,I69,I69+1)</f>
        <v>10</v>
      </c>
      <c r="J70">
        <f t="shared" si="9"/>
        <v>68</v>
      </c>
      <c r="K70">
        <f>IF(calendar[[#This Row],[Month]]&lt;4,1,IF(calendar[[#This Row],[Month]]&lt;7,2,IF(calendar[[#This Row],[Month]]&lt;10,3,4)))</f>
        <v>1</v>
      </c>
      <c r="L70">
        <f>IFERROR(IF(VLOOKUP(calendar[[#This Row],[Date]],BH!A:A,1,)&lt;&gt;"",1,0),0)</f>
        <v>0</v>
      </c>
      <c r="M70">
        <f>IFERROR(IF(VLOOKUP(calendar[[#This Row],[Date]],BH!C:C,1,)&lt;&gt;"",1,0),0)</f>
        <v>0</v>
      </c>
      <c r="N70">
        <f>IFERROR(IF(VLOOKUP(calendar[[#This Row],[Date]],BH!E:E,1,)&lt;&gt;"",1,0),0)</f>
        <v>0</v>
      </c>
      <c r="O70">
        <f>IFERROR(IF(VLOOKUP(calendar[[#This Row],[Date]],BH!G:G,1,)&lt;&gt;"",1,0),0)</f>
        <v>0</v>
      </c>
      <c r="P70">
        <f>IF(OR(calendar[[#This Row],[UK_BH]]=1,calendar[[#This Row],[WeekDay]]=1, calendar[[#This Row],[WeekDay]]=7),P69,P69+1)</f>
        <v>50</v>
      </c>
      <c r="Q70">
        <f>IF(OR(calendar[[#This Row],[FR_BH]]=1,calendar[[#This Row],[WeekDay]]=1, calendar[[#This Row],[WeekDay]]=7),P69,P69+1)</f>
        <v>50</v>
      </c>
      <c r="R70">
        <f>IF(OR(calendar[[#This Row],[SP_BH]]=1,calendar[[#This Row],[WeekDay]]=1, calendar[[#This Row],[WeekDay]]=7),P69,P69+1)</f>
        <v>50</v>
      </c>
      <c r="S70">
        <f>IF(OR(calendar[[#This Row],[PT_BH]]=1,calendar[[#This Row],[WeekDay]]=1, calendar[[#This Row],[WeekDay]]=7),P69,P69+1)</f>
        <v>50</v>
      </c>
    </row>
    <row r="71" spans="1:19" x14ac:dyDescent="0.25">
      <c r="A71" s="2">
        <v>42805</v>
      </c>
      <c r="B71" s="1">
        <f t="shared" si="8"/>
        <v>10</v>
      </c>
      <c r="C71">
        <f t="shared" si="5"/>
        <v>3</v>
      </c>
      <c r="D71" t="str">
        <f t="shared" si="6"/>
        <v>March</v>
      </c>
      <c r="E71">
        <f t="shared" si="7"/>
        <v>2017</v>
      </c>
      <c r="F71" t="str">
        <f>CONCATENATE(calendar[[#This Row],[Month]],"/",calendar[[#This Row],[Year]])</f>
        <v>3/2017</v>
      </c>
      <c r="G71">
        <f>WEEKDAY(calendar[[#This Row],[Date]],1)</f>
        <v>7</v>
      </c>
      <c r="H71" t="str">
        <f>TEXT(calendar[[#This Row],[WeekDay]],"dddd")</f>
        <v>Saturday</v>
      </c>
      <c r="I71">
        <f>IF((INT(calendar[[#This Row],[Count]]/7)-calendar[[#This Row],[Count]]/7)&lt;0,I70,I70+1)</f>
        <v>10</v>
      </c>
      <c r="J71">
        <f t="shared" si="9"/>
        <v>69</v>
      </c>
      <c r="K71">
        <f>IF(calendar[[#This Row],[Month]]&lt;4,1,IF(calendar[[#This Row],[Month]]&lt;7,2,IF(calendar[[#This Row],[Month]]&lt;10,3,4)))</f>
        <v>1</v>
      </c>
      <c r="L71">
        <f>IFERROR(IF(VLOOKUP(calendar[[#This Row],[Date]],BH!A:A,1,)&lt;&gt;"",1,0),0)</f>
        <v>0</v>
      </c>
      <c r="M71">
        <f>IFERROR(IF(VLOOKUP(calendar[[#This Row],[Date]],BH!C:C,1,)&lt;&gt;"",1,0),0)</f>
        <v>0</v>
      </c>
      <c r="N71">
        <f>IFERROR(IF(VLOOKUP(calendar[[#This Row],[Date]],BH!E:E,1,)&lt;&gt;"",1,0),0)</f>
        <v>0</v>
      </c>
      <c r="O71">
        <f>IFERROR(IF(VLOOKUP(calendar[[#This Row],[Date]],BH!G:G,1,)&lt;&gt;"",1,0),0)</f>
        <v>0</v>
      </c>
      <c r="P71">
        <f>IF(OR(calendar[[#This Row],[UK_BH]]=1,calendar[[#This Row],[WeekDay]]=1, calendar[[#This Row],[WeekDay]]=7),P70,P70+1)</f>
        <v>50</v>
      </c>
      <c r="Q71">
        <f>IF(OR(calendar[[#This Row],[FR_BH]]=1,calendar[[#This Row],[WeekDay]]=1, calendar[[#This Row],[WeekDay]]=7),P70,P70+1)</f>
        <v>50</v>
      </c>
      <c r="R71">
        <f>IF(OR(calendar[[#This Row],[SP_BH]]=1,calendar[[#This Row],[WeekDay]]=1, calendar[[#This Row],[WeekDay]]=7),P70,P70+1)</f>
        <v>50</v>
      </c>
      <c r="S71">
        <f>IF(OR(calendar[[#This Row],[PT_BH]]=1,calendar[[#This Row],[WeekDay]]=1, calendar[[#This Row],[WeekDay]]=7),P70,P70+1)</f>
        <v>50</v>
      </c>
    </row>
    <row r="72" spans="1:19" x14ac:dyDescent="0.25">
      <c r="A72" s="2">
        <v>42806</v>
      </c>
      <c r="B72" s="1">
        <f t="shared" si="8"/>
        <v>11</v>
      </c>
      <c r="C72">
        <f t="shared" si="5"/>
        <v>3</v>
      </c>
      <c r="D72" t="str">
        <f t="shared" si="6"/>
        <v>March</v>
      </c>
      <c r="E72">
        <f t="shared" si="7"/>
        <v>2017</v>
      </c>
      <c r="F72" t="str">
        <f>CONCATENATE(calendar[[#This Row],[Month]],"/",calendar[[#This Row],[Year]])</f>
        <v>3/2017</v>
      </c>
      <c r="G72">
        <f>WEEKDAY(calendar[[#This Row],[Date]],1)</f>
        <v>1</v>
      </c>
      <c r="H72" t="str">
        <f>TEXT(calendar[[#This Row],[WeekDay]],"dddd")</f>
        <v>Sunday</v>
      </c>
      <c r="I72">
        <f>IF((INT(calendar[[#This Row],[Count]]/7)-calendar[[#This Row],[Count]]/7)&lt;0,I71,I71+1)</f>
        <v>11</v>
      </c>
      <c r="J72">
        <f t="shared" si="9"/>
        <v>70</v>
      </c>
      <c r="K72">
        <f>IF(calendar[[#This Row],[Month]]&lt;4,1,IF(calendar[[#This Row],[Month]]&lt;7,2,IF(calendar[[#This Row],[Month]]&lt;10,3,4)))</f>
        <v>1</v>
      </c>
      <c r="L72">
        <f>IFERROR(IF(VLOOKUP(calendar[[#This Row],[Date]],BH!A:A,1,)&lt;&gt;"",1,0),0)</f>
        <v>0</v>
      </c>
      <c r="M72">
        <f>IFERROR(IF(VLOOKUP(calendar[[#This Row],[Date]],BH!C:C,1,)&lt;&gt;"",1,0),0)</f>
        <v>0</v>
      </c>
      <c r="N72">
        <f>IFERROR(IF(VLOOKUP(calendar[[#This Row],[Date]],BH!E:E,1,)&lt;&gt;"",1,0),0)</f>
        <v>0</v>
      </c>
      <c r="O72">
        <f>IFERROR(IF(VLOOKUP(calendar[[#This Row],[Date]],BH!G:G,1,)&lt;&gt;"",1,0),0)</f>
        <v>0</v>
      </c>
      <c r="P72">
        <f>IF(OR(calendar[[#This Row],[UK_BH]]=1,calendar[[#This Row],[WeekDay]]=1, calendar[[#This Row],[WeekDay]]=7),P71,P71+1)</f>
        <v>50</v>
      </c>
      <c r="Q72">
        <f>IF(OR(calendar[[#This Row],[FR_BH]]=1,calendar[[#This Row],[WeekDay]]=1, calendar[[#This Row],[WeekDay]]=7),P71,P71+1)</f>
        <v>50</v>
      </c>
      <c r="R72">
        <f>IF(OR(calendar[[#This Row],[SP_BH]]=1,calendar[[#This Row],[WeekDay]]=1, calendar[[#This Row],[WeekDay]]=7),P71,P71+1)</f>
        <v>50</v>
      </c>
      <c r="S72">
        <f>IF(OR(calendar[[#This Row],[PT_BH]]=1,calendar[[#This Row],[WeekDay]]=1, calendar[[#This Row],[WeekDay]]=7),P71,P71+1)</f>
        <v>50</v>
      </c>
    </row>
    <row r="73" spans="1:19" x14ac:dyDescent="0.25">
      <c r="A73" s="2">
        <v>42807</v>
      </c>
      <c r="B73" s="1">
        <f t="shared" si="8"/>
        <v>11</v>
      </c>
      <c r="C73">
        <f t="shared" si="5"/>
        <v>3</v>
      </c>
      <c r="D73" t="str">
        <f t="shared" si="6"/>
        <v>March</v>
      </c>
      <c r="E73">
        <f t="shared" si="7"/>
        <v>2017</v>
      </c>
      <c r="F73" t="str">
        <f>CONCATENATE(calendar[[#This Row],[Month]],"/",calendar[[#This Row],[Year]])</f>
        <v>3/2017</v>
      </c>
      <c r="G73">
        <f>WEEKDAY(calendar[[#This Row],[Date]],1)</f>
        <v>2</v>
      </c>
      <c r="H73" t="str">
        <f>TEXT(calendar[[#This Row],[WeekDay]],"dddd")</f>
        <v>Monday</v>
      </c>
      <c r="I73">
        <f>IF((INT(calendar[[#This Row],[Count]]/7)-calendar[[#This Row],[Count]]/7)&lt;0,I72,I72+1)</f>
        <v>11</v>
      </c>
      <c r="J73">
        <f t="shared" si="9"/>
        <v>71</v>
      </c>
      <c r="K73">
        <f>IF(calendar[[#This Row],[Month]]&lt;4,1,IF(calendar[[#This Row],[Month]]&lt;7,2,IF(calendar[[#This Row],[Month]]&lt;10,3,4)))</f>
        <v>1</v>
      </c>
      <c r="L73">
        <f>IFERROR(IF(VLOOKUP(calendar[[#This Row],[Date]],BH!A:A,1,)&lt;&gt;"",1,0),0)</f>
        <v>0</v>
      </c>
      <c r="M73">
        <f>IFERROR(IF(VLOOKUP(calendar[[#This Row],[Date]],BH!C:C,1,)&lt;&gt;"",1,0),0)</f>
        <v>0</v>
      </c>
      <c r="N73">
        <f>IFERROR(IF(VLOOKUP(calendar[[#This Row],[Date]],BH!E:E,1,)&lt;&gt;"",1,0),0)</f>
        <v>0</v>
      </c>
      <c r="O73">
        <f>IFERROR(IF(VLOOKUP(calendar[[#This Row],[Date]],BH!G:G,1,)&lt;&gt;"",1,0),0)</f>
        <v>0</v>
      </c>
      <c r="P73">
        <f>IF(OR(calendar[[#This Row],[UK_BH]]=1,calendar[[#This Row],[WeekDay]]=1, calendar[[#This Row],[WeekDay]]=7),P72,P72+1)</f>
        <v>51</v>
      </c>
      <c r="Q73">
        <f>IF(OR(calendar[[#This Row],[FR_BH]]=1,calendar[[#This Row],[WeekDay]]=1, calendar[[#This Row],[WeekDay]]=7),P72,P72+1)</f>
        <v>51</v>
      </c>
      <c r="R73">
        <f>IF(OR(calendar[[#This Row],[SP_BH]]=1,calendar[[#This Row],[WeekDay]]=1, calendar[[#This Row],[WeekDay]]=7),P72,P72+1)</f>
        <v>51</v>
      </c>
      <c r="S73">
        <f>IF(OR(calendar[[#This Row],[PT_BH]]=1,calendar[[#This Row],[WeekDay]]=1, calendar[[#This Row],[WeekDay]]=7),P72,P72+1)</f>
        <v>51</v>
      </c>
    </row>
    <row r="74" spans="1:19" x14ac:dyDescent="0.25">
      <c r="A74" s="2">
        <v>42808</v>
      </c>
      <c r="B74" s="1">
        <f t="shared" si="8"/>
        <v>11</v>
      </c>
      <c r="C74">
        <f t="shared" si="5"/>
        <v>3</v>
      </c>
      <c r="D74" t="str">
        <f t="shared" si="6"/>
        <v>March</v>
      </c>
      <c r="E74">
        <f t="shared" si="7"/>
        <v>2017</v>
      </c>
      <c r="F74" t="str">
        <f>CONCATENATE(calendar[[#This Row],[Month]],"/",calendar[[#This Row],[Year]])</f>
        <v>3/2017</v>
      </c>
      <c r="G74">
        <f>WEEKDAY(calendar[[#This Row],[Date]],1)</f>
        <v>3</v>
      </c>
      <c r="H74" t="str">
        <f>TEXT(calendar[[#This Row],[WeekDay]],"dddd")</f>
        <v>Tuesday</v>
      </c>
      <c r="I74">
        <f>IF((INT(calendar[[#This Row],[Count]]/7)-calendar[[#This Row],[Count]]/7)&lt;0,I73,I73+1)</f>
        <v>11</v>
      </c>
      <c r="J74">
        <f t="shared" si="9"/>
        <v>72</v>
      </c>
      <c r="K74">
        <f>IF(calendar[[#This Row],[Month]]&lt;4,1,IF(calendar[[#This Row],[Month]]&lt;7,2,IF(calendar[[#This Row],[Month]]&lt;10,3,4)))</f>
        <v>1</v>
      </c>
      <c r="L74">
        <f>IFERROR(IF(VLOOKUP(calendar[[#This Row],[Date]],BH!A:A,1,)&lt;&gt;"",1,0),0)</f>
        <v>0</v>
      </c>
      <c r="M74">
        <f>IFERROR(IF(VLOOKUP(calendar[[#This Row],[Date]],BH!C:C,1,)&lt;&gt;"",1,0),0)</f>
        <v>0</v>
      </c>
      <c r="N74">
        <f>IFERROR(IF(VLOOKUP(calendar[[#This Row],[Date]],BH!E:E,1,)&lt;&gt;"",1,0),0)</f>
        <v>0</v>
      </c>
      <c r="O74">
        <f>IFERROR(IF(VLOOKUP(calendar[[#This Row],[Date]],BH!G:G,1,)&lt;&gt;"",1,0),0)</f>
        <v>0</v>
      </c>
      <c r="P74">
        <f>IF(OR(calendar[[#This Row],[UK_BH]]=1,calendar[[#This Row],[WeekDay]]=1, calendar[[#This Row],[WeekDay]]=7),P73,P73+1)</f>
        <v>52</v>
      </c>
      <c r="Q74">
        <f>IF(OR(calendar[[#This Row],[FR_BH]]=1,calendar[[#This Row],[WeekDay]]=1, calendar[[#This Row],[WeekDay]]=7),P73,P73+1)</f>
        <v>52</v>
      </c>
      <c r="R74">
        <f>IF(OR(calendar[[#This Row],[SP_BH]]=1,calendar[[#This Row],[WeekDay]]=1, calendar[[#This Row],[WeekDay]]=7),P73,P73+1)</f>
        <v>52</v>
      </c>
      <c r="S74">
        <f>IF(OR(calendar[[#This Row],[PT_BH]]=1,calendar[[#This Row],[WeekDay]]=1, calendar[[#This Row],[WeekDay]]=7),P73,P73+1)</f>
        <v>52</v>
      </c>
    </row>
    <row r="75" spans="1:19" x14ac:dyDescent="0.25">
      <c r="A75" s="2">
        <v>42809</v>
      </c>
      <c r="B75" s="1">
        <f t="shared" si="8"/>
        <v>11</v>
      </c>
      <c r="C75">
        <f t="shared" si="5"/>
        <v>3</v>
      </c>
      <c r="D75" t="str">
        <f t="shared" si="6"/>
        <v>March</v>
      </c>
      <c r="E75">
        <f t="shared" si="7"/>
        <v>2017</v>
      </c>
      <c r="F75" t="str">
        <f>CONCATENATE(calendar[[#This Row],[Month]],"/",calendar[[#This Row],[Year]])</f>
        <v>3/2017</v>
      </c>
      <c r="G75">
        <f>WEEKDAY(calendar[[#This Row],[Date]],1)</f>
        <v>4</v>
      </c>
      <c r="H75" t="str">
        <f>TEXT(calendar[[#This Row],[WeekDay]],"dddd")</f>
        <v>Wednesday</v>
      </c>
      <c r="I75">
        <f>IF((INT(calendar[[#This Row],[Count]]/7)-calendar[[#This Row],[Count]]/7)&lt;0,I74,I74+1)</f>
        <v>11</v>
      </c>
      <c r="J75">
        <f t="shared" si="9"/>
        <v>73</v>
      </c>
      <c r="K75">
        <f>IF(calendar[[#This Row],[Month]]&lt;4,1,IF(calendar[[#This Row],[Month]]&lt;7,2,IF(calendar[[#This Row],[Month]]&lt;10,3,4)))</f>
        <v>1</v>
      </c>
      <c r="L75">
        <f>IFERROR(IF(VLOOKUP(calendar[[#This Row],[Date]],BH!A:A,1,)&lt;&gt;"",1,0),0)</f>
        <v>0</v>
      </c>
      <c r="M75">
        <f>IFERROR(IF(VLOOKUP(calendar[[#This Row],[Date]],BH!C:C,1,)&lt;&gt;"",1,0),0)</f>
        <v>0</v>
      </c>
      <c r="N75">
        <f>IFERROR(IF(VLOOKUP(calendar[[#This Row],[Date]],BH!E:E,1,)&lt;&gt;"",1,0),0)</f>
        <v>0</v>
      </c>
      <c r="O75">
        <f>IFERROR(IF(VLOOKUP(calendar[[#This Row],[Date]],BH!G:G,1,)&lt;&gt;"",1,0),0)</f>
        <v>0</v>
      </c>
      <c r="P75">
        <f>IF(OR(calendar[[#This Row],[UK_BH]]=1,calendar[[#This Row],[WeekDay]]=1, calendar[[#This Row],[WeekDay]]=7),P74,P74+1)</f>
        <v>53</v>
      </c>
      <c r="Q75">
        <f>IF(OR(calendar[[#This Row],[FR_BH]]=1,calendar[[#This Row],[WeekDay]]=1, calendar[[#This Row],[WeekDay]]=7),P74,P74+1)</f>
        <v>53</v>
      </c>
      <c r="R75">
        <f>IF(OR(calendar[[#This Row],[SP_BH]]=1,calendar[[#This Row],[WeekDay]]=1, calendar[[#This Row],[WeekDay]]=7),P74,P74+1)</f>
        <v>53</v>
      </c>
      <c r="S75">
        <f>IF(OR(calendar[[#This Row],[PT_BH]]=1,calendar[[#This Row],[WeekDay]]=1, calendar[[#This Row],[WeekDay]]=7),P74,P74+1)</f>
        <v>53</v>
      </c>
    </row>
    <row r="76" spans="1:19" x14ac:dyDescent="0.25">
      <c r="A76" s="2">
        <v>42810</v>
      </c>
      <c r="B76" s="1">
        <f t="shared" si="8"/>
        <v>11</v>
      </c>
      <c r="C76">
        <f t="shared" si="5"/>
        <v>3</v>
      </c>
      <c r="D76" t="str">
        <f t="shared" si="6"/>
        <v>March</v>
      </c>
      <c r="E76">
        <f t="shared" si="7"/>
        <v>2017</v>
      </c>
      <c r="F76" t="str">
        <f>CONCATENATE(calendar[[#This Row],[Month]],"/",calendar[[#This Row],[Year]])</f>
        <v>3/2017</v>
      </c>
      <c r="G76">
        <f>WEEKDAY(calendar[[#This Row],[Date]],1)</f>
        <v>5</v>
      </c>
      <c r="H76" t="str">
        <f>TEXT(calendar[[#This Row],[WeekDay]],"dddd")</f>
        <v>Thursday</v>
      </c>
      <c r="I76">
        <f>IF((INT(calendar[[#This Row],[Count]]/7)-calendar[[#This Row],[Count]]/7)&lt;0,I75,I75+1)</f>
        <v>11</v>
      </c>
      <c r="J76">
        <f t="shared" si="9"/>
        <v>74</v>
      </c>
      <c r="K76">
        <f>IF(calendar[[#This Row],[Month]]&lt;4,1,IF(calendar[[#This Row],[Month]]&lt;7,2,IF(calendar[[#This Row],[Month]]&lt;10,3,4)))</f>
        <v>1</v>
      </c>
      <c r="L76">
        <f>IFERROR(IF(VLOOKUP(calendar[[#This Row],[Date]],BH!A:A,1,)&lt;&gt;"",1,0),0)</f>
        <v>0</v>
      </c>
      <c r="M76">
        <f>IFERROR(IF(VLOOKUP(calendar[[#This Row],[Date]],BH!C:C,1,)&lt;&gt;"",1,0),0)</f>
        <v>0</v>
      </c>
      <c r="N76">
        <f>IFERROR(IF(VLOOKUP(calendar[[#This Row],[Date]],BH!E:E,1,)&lt;&gt;"",1,0),0)</f>
        <v>0</v>
      </c>
      <c r="O76">
        <f>IFERROR(IF(VLOOKUP(calendar[[#This Row],[Date]],BH!G:G,1,)&lt;&gt;"",1,0),0)</f>
        <v>0</v>
      </c>
      <c r="P76">
        <f>IF(OR(calendar[[#This Row],[UK_BH]]=1,calendar[[#This Row],[WeekDay]]=1, calendar[[#This Row],[WeekDay]]=7),P75,P75+1)</f>
        <v>54</v>
      </c>
      <c r="Q76">
        <f>IF(OR(calendar[[#This Row],[FR_BH]]=1,calendar[[#This Row],[WeekDay]]=1, calendar[[#This Row],[WeekDay]]=7),P75,P75+1)</f>
        <v>54</v>
      </c>
      <c r="R76">
        <f>IF(OR(calendar[[#This Row],[SP_BH]]=1,calendar[[#This Row],[WeekDay]]=1, calendar[[#This Row],[WeekDay]]=7),P75,P75+1)</f>
        <v>54</v>
      </c>
      <c r="S76">
        <f>IF(OR(calendar[[#This Row],[PT_BH]]=1,calendar[[#This Row],[WeekDay]]=1, calendar[[#This Row],[WeekDay]]=7),P75,P75+1)</f>
        <v>54</v>
      </c>
    </row>
    <row r="77" spans="1:19" x14ac:dyDescent="0.25">
      <c r="A77" s="2">
        <v>42811</v>
      </c>
      <c r="B77" s="1">
        <f t="shared" si="8"/>
        <v>11</v>
      </c>
      <c r="C77">
        <f t="shared" si="5"/>
        <v>3</v>
      </c>
      <c r="D77" t="str">
        <f t="shared" si="6"/>
        <v>March</v>
      </c>
      <c r="E77">
        <f t="shared" si="7"/>
        <v>2017</v>
      </c>
      <c r="F77" t="str">
        <f>CONCATENATE(calendar[[#This Row],[Month]],"/",calendar[[#This Row],[Year]])</f>
        <v>3/2017</v>
      </c>
      <c r="G77">
        <f>WEEKDAY(calendar[[#This Row],[Date]],1)</f>
        <v>6</v>
      </c>
      <c r="H77" t="str">
        <f>TEXT(calendar[[#This Row],[WeekDay]],"dddd")</f>
        <v>Friday</v>
      </c>
      <c r="I77">
        <f>IF((INT(calendar[[#This Row],[Count]]/7)-calendar[[#This Row],[Count]]/7)&lt;0,I76,I76+1)</f>
        <v>11</v>
      </c>
      <c r="J77">
        <f t="shared" si="9"/>
        <v>75</v>
      </c>
      <c r="K77">
        <f>IF(calendar[[#This Row],[Month]]&lt;4,1,IF(calendar[[#This Row],[Month]]&lt;7,2,IF(calendar[[#This Row],[Month]]&lt;10,3,4)))</f>
        <v>1</v>
      </c>
      <c r="L77">
        <f>IFERROR(IF(VLOOKUP(calendar[[#This Row],[Date]],BH!A:A,1,)&lt;&gt;"",1,0),0)</f>
        <v>0</v>
      </c>
      <c r="M77">
        <f>IFERROR(IF(VLOOKUP(calendar[[#This Row],[Date]],BH!C:C,1,)&lt;&gt;"",1,0),0)</f>
        <v>0</v>
      </c>
      <c r="N77">
        <f>IFERROR(IF(VLOOKUP(calendar[[#This Row],[Date]],BH!E:E,1,)&lt;&gt;"",1,0),0)</f>
        <v>0</v>
      </c>
      <c r="O77">
        <f>IFERROR(IF(VLOOKUP(calendar[[#This Row],[Date]],BH!G:G,1,)&lt;&gt;"",1,0),0)</f>
        <v>0</v>
      </c>
      <c r="P77">
        <f>IF(OR(calendar[[#This Row],[UK_BH]]=1,calendar[[#This Row],[WeekDay]]=1, calendar[[#This Row],[WeekDay]]=7),P76,P76+1)</f>
        <v>55</v>
      </c>
      <c r="Q77">
        <f>IF(OR(calendar[[#This Row],[FR_BH]]=1,calendar[[#This Row],[WeekDay]]=1, calendar[[#This Row],[WeekDay]]=7),P76,P76+1)</f>
        <v>55</v>
      </c>
      <c r="R77">
        <f>IF(OR(calendar[[#This Row],[SP_BH]]=1,calendar[[#This Row],[WeekDay]]=1, calendar[[#This Row],[WeekDay]]=7),P76,P76+1)</f>
        <v>55</v>
      </c>
      <c r="S77">
        <f>IF(OR(calendar[[#This Row],[PT_BH]]=1,calendar[[#This Row],[WeekDay]]=1, calendar[[#This Row],[WeekDay]]=7),P76,P76+1)</f>
        <v>55</v>
      </c>
    </row>
    <row r="78" spans="1:19" x14ac:dyDescent="0.25">
      <c r="A78" s="2">
        <v>42812</v>
      </c>
      <c r="B78" s="1">
        <f t="shared" si="8"/>
        <v>11</v>
      </c>
      <c r="C78">
        <f t="shared" si="5"/>
        <v>3</v>
      </c>
      <c r="D78" t="str">
        <f t="shared" si="6"/>
        <v>March</v>
      </c>
      <c r="E78">
        <f t="shared" si="7"/>
        <v>2017</v>
      </c>
      <c r="F78" t="str">
        <f>CONCATENATE(calendar[[#This Row],[Month]],"/",calendar[[#This Row],[Year]])</f>
        <v>3/2017</v>
      </c>
      <c r="G78">
        <f>WEEKDAY(calendar[[#This Row],[Date]],1)</f>
        <v>7</v>
      </c>
      <c r="H78" t="str">
        <f>TEXT(calendar[[#This Row],[WeekDay]],"dddd")</f>
        <v>Saturday</v>
      </c>
      <c r="I78">
        <f>IF((INT(calendar[[#This Row],[Count]]/7)-calendar[[#This Row],[Count]]/7)&lt;0,I77,I77+1)</f>
        <v>11</v>
      </c>
      <c r="J78">
        <f t="shared" si="9"/>
        <v>76</v>
      </c>
      <c r="K78">
        <f>IF(calendar[[#This Row],[Month]]&lt;4,1,IF(calendar[[#This Row],[Month]]&lt;7,2,IF(calendar[[#This Row],[Month]]&lt;10,3,4)))</f>
        <v>1</v>
      </c>
      <c r="L78">
        <f>IFERROR(IF(VLOOKUP(calendar[[#This Row],[Date]],BH!A:A,1,)&lt;&gt;"",1,0),0)</f>
        <v>0</v>
      </c>
      <c r="M78">
        <f>IFERROR(IF(VLOOKUP(calendar[[#This Row],[Date]],BH!C:C,1,)&lt;&gt;"",1,0),0)</f>
        <v>0</v>
      </c>
      <c r="N78">
        <f>IFERROR(IF(VLOOKUP(calendar[[#This Row],[Date]],BH!E:E,1,)&lt;&gt;"",1,0),0)</f>
        <v>0</v>
      </c>
      <c r="O78">
        <f>IFERROR(IF(VLOOKUP(calendar[[#This Row],[Date]],BH!G:G,1,)&lt;&gt;"",1,0),0)</f>
        <v>0</v>
      </c>
      <c r="P78">
        <f>IF(OR(calendar[[#This Row],[UK_BH]]=1,calendar[[#This Row],[WeekDay]]=1, calendar[[#This Row],[WeekDay]]=7),P77,P77+1)</f>
        <v>55</v>
      </c>
      <c r="Q78">
        <f>IF(OR(calendar[[#This Row],[FR_BH]]=1,calendar[[#This Row],[WeekDay]]=1, calendar[[#This Row],[WeekDay]]=7),P77,P77+1)</f>
        <v>55</v>
      </c>
      <c r="R78">
        <f>IF(OR(calendar[[#This Row],[SP_BH]]=1,calendar[[#This Row],[WeekDay]]=1, calendar[[#This Row],[WeekDay]]=7),P77,P77+1)</f>
        <v>55</v>
      </c>
      <c r="S78">
        <f>IF(OR(calendar[[#This Row],[PT_BH]]=1,calendar[[#This Row],[WeekDay]]=1, calendar[[#This Row],[WeekDay]]=7),P77,P77+1)</f>
        <v>55</v>
      </c>
    </row>
    <row r="79" spans="1:19" x14ac:dyDescent="0.25">
      <c r="A79" s="2">
        <v>42813</v>
      </c>
      <c r="B79" s="1">
        <f t="shared" si="8"/>
        <v>12</v>
      </c>
      <c r="C79">
        <f t="shared" si="5"/>
        <v>3</v>
      </c>
      <c r="D79" t="str">
        <f t="shared" si="6"/>
        <v>March</v>
      </c>
      <c r="E79">
        <f t="shared" si="7"/>
        <v>2017</v>
      </c>
      <c r="F79" t="str">
        <f>CONCATENATE(calendar[[#This Row],[Month]],"/",calendar[[#This Row],[Year]])</f>
        <v>3/2017</v>
      </c>
      <c r="G79">
        <f>WEEKDAY(calendar[[#This Row],[Date]],1)</f>
        <v>1</v>
      </c>
      <c r="H79" t="str">
        <f>TEXT(calendar[[#This Row],[WeekDay]],"dddd")</f>
        <v>Sunday</v>
      </c>
      <c r="I79">
        <f>IF((INT(calendar[[#This Row],[Count]]/7)-calendar[[#This Row],[Count]]/7)&lt;0,I78,I78+1)</f>
        <v>12</v>
      </c>
      <c r="J79">
        <f t="shared" si="9"/>
        <v>77</v>
      </c>
      <c r="K79">
        <f>IF(calendar[[#This Row],[Month]]&lt;4,1,IF(calendar[[#This Row],[Month]]&lt;7,2,IF(calendar[[#This Row],[Month]]&lt;10,3,4)))</f>
        <v>1</v>
      </c>
      <c r="L79">
        <f>IFERROR(IF(VLOOKUP(calendar[[#This Row],[Date]],BH!A:A,1,)&lt;&gt;"",1,0),0)</f>
        <v>0</v>
      </c>
      <c r="M79">
        <f>IFERROR(IF(VLOOKUP(calendar[[#This Row],[Date]],BH!C:C,1,)&lt;&gt;"",1,0),0)</f>
        <v>0</v>
      </c>
      <c r="N79">
        <f>IFERROR(IF(VLOOKUP(calendar[[#This Row],[Date]],BH!E:E,1,)&lt;&gt;"",1,0),0)</f>
        <v>0</v>
      </c>
      <c r="O79">
        <f>IFERROR(IF(VLOOKUP(calendar[[#This Row],[Date]],BH!G:G,1,)&lt;&gt;"",1,0),0)</f>
        <v>0</v>
      </c>
      <c r="P79">
        <f>IF(OR(calendar[[#This Row],[UK_BH]]=1,calendar[[#This Row],[WeekDay]]=1, calendar[[#This Row],[WeekDay]]=7),P78,P78+1)</f>
        <v>55</v>
      </c>
      <c r="Q79">
        <f>IF(OR(calendar[[#This Row],[FR_BH]]=1,calendar[[#This Row],[WeekDay]]=1, calendar[[#This Row],[WeekDay]]=7),P78,P78+1)</f>
        <v>55</v>
      </c>
      <c r="R79">
        <f>IF(OR(calendar[[#This Row],[SP_BH]]=1,calendar[[#This Row],[WeekDay]]=1, calendar[[#This Row],[WeekDay]]=7),P78,P78+1)</f>
        <v>55</v>
      </c>
      <c r="S79">
        <f>IF(OR(calendar[[#This Row],[PT_BH]]=1,calendar[[#This Row],[WeekDay]]=1, calendar[[#This Row],[WeekDay]]=7),P78,P78+1)</f>
        <v>55</v>
      </c>
    </row>
    <row r="80" spans="1:19" x14ac:dyDescent="0.25">
      <c r="A80" s="2">
        <v>42814</v>
      </c>
      <c r="B80" s="1">
        <f t="shared" si="8"/>
        <v>12</v>
      </c>
      <c r="C80">
        <f t="shared" ref="C80:C143" si="10">MONTH(A80)</f>
        <v>3</v>
      </c>
      <c r="D80" t="str">
        <f t="shared" ref="D80:D143" si="11">TEXT(A80,"mmmm")</f>
        <v>March</v>
      </c>
      <c r="E80">
        <f t="shared" ref="E80:E143" si="12">YEAR(A80)</f>
        <v>2017</v>
      </c>
      <c r="F80" t="str">
        <f>CONCATENATE(calendar[[#This Row],[Month]],"/",calendar[[#This Row],[Year]])</f>
        <v>3/2017</v>
      </c>
      <c r="G80">
        <f>WEEKDAY(calendar[[#This Row],[Date]],1)</f>
        <v>2</v>
      </c>
      <c r="H80" t="str">
        <f>TEXT(calendar[[#This Row],[WeekDay]],"dddd")</f>
        <v>Monday</v>
      </c>
      <c r="I80">
        <f>IF((INT(calendar[[#This Row],[Count]]/7)-calendar[[#This Row],[Count]]/7)&lt;0,I79,I79+1)</f>
        <v>12</v>
      </c>
      <c r="J80">
        <f t="shared" si="9"/>
        <v>78</v>
      </c>
      <c r="K80">
        <f>IF(calendar[[#This Row],[Month]]&lt;4,1,IF(calendar[[#This Row],[Month]]&lt;7,2,IF(calendar[[#This Row],[Month]]&lt;10,3,4)))</f>
        <v>1</v>
      </c>
      <c r="L80">
        <f>IFERROR(IF(VLOOKUP(calendar[[#This Row],[Date]],BH!A:A,1,)&lt;&gt;"",1,0),0)</f>
        <v>0</v>
      </c>
      <c r="M80">
        <f>IFERROR(IF(VLOOKUP(calendar[[#This Row],[Date]],BH!C:C,1,)&lt;&gt;"",1,0),0)</f>
        <v>0</v>
      </c>
      <c r="N80">
        <f>IFERROR(IF(VLOOKUP(calendar[[#This Row],[Date]],BH!E:E,1,)&lt;&gt;"",1,0),0)</f>
        <v>0</v>
      </c>
      <c r="O80">
        <f>IFERROR(IF(VLOOKUP(calendar[[#This Row],[Date]],BH!G:G,1,)&lt;&gt;"",1,0),0)</f>
        <v>0</v>
      </c>
      <c r="P80">
        <f>IF(OR(calendar[[#This Row],[UK_BH]]=1,calendar[[#This Row],[WeekDay]]=1, calendar[[#This Row],[WeekDay]]=7),P79,P79+1)</f>
        <v>56</v>
      </c>
      <c r="Q80">
        <f>IF(OR(calendar[[#This Row],[FR_BH]]=1,calendar[[#This Row],[WeekDay]]=1, calendar[[#This Row],[WeekDay]]=7),P79,P79+1)</f>
        <v>56</v>
      </c>
      <c r="R80">
        <f>IF(OR(calendar[[#This Row],[SP_BH]]=1,calendar[[#This Row],[WeekDay]]=1, calendar[[#This Row],[WeekDay]]=7),P79,P79+1)</f>
        <v>56</v>
      </c>
      <c r="S80">
        <f>IF(OR(calendar[[#This Row],[PT_BH]]=1,calendar[[#This Row],[WeekDay]]=1, calendar[[#This Row],[WeekDay]]=7),P79,P79+1)</f>
        <v>56</v>
      </c>
    </row>
    <row r="81" spans="1:19" x14ac:dyDescent="0.25">
      <c r="A81" s="2">
        <v>42815</v>
      </c>
      <c r="B81" s="1">
        <f t="shared" si="8"/>
        <v>12</v>
      </c>
      <c r="C81">
        <f t="shared" si="10"/>
        <v>3</v>
      </c>
      <c r="D81" t="str">
        <f t="shared" si="11"/>
        <v>March</v>
      </c>
      <c r="E81">
        <f t="shared" si="12"/>
        <v>2017</v>
      </c>
      <c r="F81" t="str">
        <f>CONCATENATE(calendar[[#This Row],[Month]],"/",calendar[[#This Row],[Year]])</f>
        <v>3/2017</v>
      </c>
      <c r="G81">
        <f>WEEKDAY(calendar[[#This Row],[Date]],1)</f>
        <v>3</v>
      </c>
      <c r="H81" t="str">
        <f>TEXT(calendar[[#This Row],[WeekDay]],"dddd")</f>
        <v>Tuesday</v>
      </c>
      <c r="I81">
        <f>IF((INT(calendar[[#This Row],[Count]]/7)-calendar[[#This Row],[Count]]/7)&lt;0,I80,I80+1)</f>
        <v>12</v>
      </c>
      <c r="J81">
        <f t="shared" si="9"/>
        <v>79</v>
      </c>
      <c r="K81">
        <f>IF(calendar[[#This Row],[Month]]&lt;4,1,IF(calendar[[#This Row],[Month]]&lt;7,2,IF(calendar[[#This Row],[Month]]&lt;10,3,4)))</f>
        <v>1</v>
      </c>
      <c r="L81">
        <f>IFERROR(IF(VLOOKUP(calendar[[#This Row],[Date]],BH!A:A,1,)&lt;&gt;"",1,0),0)</f>
        <v>0</v>
      </c>
      <c r="M81">
        <f>IFERROR(IF(VLOOKUP(calendar[[#This Row],[Date]],BH!C:C,1,)&lt;&gt;"",1,0),0)</f>
        <v>0</v>
      </c>
      <c r="N81">
        <f>IFERROR(IF(VLOOKUP(calendar[[#This Row],[Date]],BH!E:E,1,)&lt;&gt;"",1,0),0)</f>
        <v>0</v>
      </c>
      <c r="O81">
        <f>IFERROR(IF(VLOOKUP(calendar[[#This Row],[Date]],BH!G:G,1,)&lt;&gt;"",1,0),0)</f>
        <v>0</v>
      </c>
      <c r="P81">
        <f>IF(OR(calendar[[#This Row],[UK_BH]]=1,calendar[[#This Row],[WeekDay]]=1, calendar[[#This Row],[WeekDay]]=7),P80,P80+1)</f>
        <v>57</v>
      </c>
      <c r="Q81">
        <f>IF(OR(calendar[[#This Row],[FR_BH]]=1,calendar[[#This Row],[WeekDay]]=1, calendar[[#This Row],[WeekDay]]=7),P80,P80+1)</f>
        <v>57</v>
      </c>
      <c r="R81">
        <f>IF(OR(calendar[[#This Row],[SP_BH]]=1,calendar[[#This Row],[WeekDay]]=1, calendar[[#This Row],[WeekDay]]=7),P80,P80+1)</f>
        <v>57</v>
      </c>
      <c r="S81">
        <f>IF(OR(calendar[[#This Row],[PT_BH]]=1,calendar[[#This Row],[WeekDay]]=1, calendar[[#This Row],[WeekDay]]=7),P80,P80+1)</f>
        <v>57</v>
      </c>
    </row>
    <row r="82" spans="1:19" x14ac:dyDescent="0.25">
      <c r="A82" s="2">
        <v>42816</v>
      </c>
      <c r="B82" s="1">
        <f t="shared" si="8"/>
        <v>12</v>
      </c>
      <c r="C82">
        <f t="shared" si="10"/>
        <v>3</v>
      </c>
      <c r="D82" t="str">
        <f t="shared" si="11"/>
        <v>March</v>
      </c>
      <c r="E82">
        <f t="shared" si="12"/>
        <v>2017</v>
      </c>
      <c r="F82" t="str">
        <f>CONCATENATE(calendar[[#This Row],[Month]],"/",calendar[[#This Row],[Year]])</f>
        <v>3/2017</v>
      </c>
      <c r="G82">
        <f>WEEKDAY(calendar[[#This Row],[Date]],1)</f>
        <v>4</v>
      </c>
      <c r="H82" t="str">
        <f>TEXT(calendar[[#This Row],[WeekDay]],"dddd")</f>
        <v>Wednesday</v>
      </c>
      <c r="I82">
        <f>IF((INT(calendar[[#This Row],[Count]]/7)-calendar[[#This Row],[Count]]/7)&lt;0,I81,I81+1)</f>
        <v>12</v>
      </c>
      <c r="J82">
        <f t="shared" si="9"/>
        <v>80</v>
      </c>
      <c r="K82">
        <f>IF(calendar[[#This Row],[Month]]&lt;4,1,IF(calendar[[#This Row],[Month]]&lt;7,2,IF(calendar[[#This Row],[Month]]&lt;10,3,4)))</f>
        <v>1</v>
      </c>
      <c r="L82">
        <f>IFERROR(IF(VLOOKUP(calendar[[#This Row],[Date]],BH!A:A,1,)&lt;&gt;"",1,0),0)</f>
        <v>0</v>
      </c>
      <c r="M82">
        <f>IFERROR(IF(VLOOKUP(calendar[[#This Row],[Date]],BH!C:C,1,)&lt;&gt;"",1,0),0)</f>
        <v>0</v>
      </c>
      <c r="N82">
        <f>IFERROR(IF(VLOOKUP(calendar[[#This Row],[Date]],BH!E:E,1,)&lt;&gt;"",1,0),0)</f>
        <v>0</v>
      </c>
      <c r="O82">
        <f>IFERROR(IF(VLOOKUP(calendar[[#This Row],[Date]],BH!G:G,1,)&lt;&gt;"",1,0),0)</f>
        <v>0</v>
      </c>
      <c r="P82">
        <f>IF(OR(calendar[[#This Row],[UK_BH]]=1,calendar[[#This Row],[WeekDay]]=1, calendar[[#This Row],[WeekDay]]=7),P81,P81+1)</f>
        <v>58</v>
      </c>
      <c r="Q82">
        <f>IF(OR(calendar[[#This Row],[FR_BH]]=1,calendar[[#This Row],[WeekDay]]=1, calendar[[#This Row],[WeekDay]]=7),P81,P81+1)</f>
        <v>58</v>
      </c>
      <c r="R82">
        <f>IF(OR(calendar[[#This Row],[SP_BH]]=1,calendar[[#This Row],[WeekDay]]=1, calendar[[#This Row],[WeekDay]]=7),P81,P81+1)</f>
        <v>58</v>
      </c>
      <c r="S82">
        <f>IF(OR(calendar[[#This Row],[PT_BH]]=1,calendar[[#This Row],[WeekDay]]=1, calendar[[#This Row],[WeekDay]]=7),P81,P81+1)</f>
        <v>58</v>
      </c>
    </row>
    <row r="83" spans="1:19" x14ac:dyDescent="0.25">
      <c r="A83" s="2">
        <v>42817</v>
      </c>
      <c r="B83" s="1">
        <f t="shared" si="8"/>
        <v>12</v>
      </c>
      <c r="C83">
        <f t="shared" si="10"/>
        <v>3</v>
      </c>
      <c r="D83" t="str">
        <f t="shared" si="11"/>
        <v>March</v>
      </c>
      <c r="E83">
        <f t="shared" si="12"/>
        <v>2017</v>
      </c>
      <c r="F83" t="str">
        <f>CONCATENATE(calendar[[#This Row],[Month]],"/",calendar[[#This Row],[Year]])</f>
        <v>3/2017</v>
      </c>
      <c r="G83">
        <f>WEEKDAY(calendar[[#This Row],[Date]],1)</f>
        <v>5</v>
      </c>
      <c r="H83" t="str">
        <f>TEXT(calendar[[#This Row],[WeekDay]],"dddd")</f>
        <v>Thursday</v>
      </c>
      <c r="I83">
        <f>IF((INT(calendar[[#This Row],[Count]]/7)-calendar[[#This Row],[Count]]/7)&lt;0,I82,I82+1)</f>
        <v>12</v>
      </c>
      <c r="J83">
        <f t="shared" si="9"/>
        <v>81</v>
      </c>
      <c r="K83">
        <f>IF(calendar[[#This Row],[Month]]&lt;4,1,IF(calendar[[#This Row],[Month]]&lt;7,2,IF(calendar[[#This Row],[Month]]&lt;10,3,4)))</f>
        <v>1</v>
      </c>
      <c r="L83">
        <f>IFERROR(IF(VLOOKUP(calendar[[#This Row],[Date]],BH!A:A,1,)&lt;&gt;"",1,0),0)</f>
        <v>0</v>
      </c>
      <c r="M83">
        <f>IFERROR(IF(VLOOKUP(calendar[[#This Row],[Date]],BH!C:C,1,)&lt;&gt;"",1,0),0)</f>
        <v>0</v>
      </c>
      <c r="N83">
        <f>IFERROR(IF(VLOOKUP(calendar[[#This Row],[Date]],BH!E:E,1,)&lt;&gt;"",1,0),0)</f>
        <v>0</v>
      </c>
      <c r="O83">
        <f>IFERROR(IF(VLOOKUP(calendar[[#This Row],[Date]],BH!G:G,1,)&lt;&gt;"",1,0),0)</f>
        <v>0</v>
      </c>
      <c r="P83">
        <f>IF(OR(calendar[[#This Row],[UK_BH]]=1,calendar[[#This Row],[WeekDay]]=1, calendar[[#This Row],[WeekDay]]=7),P82,P82+1)</f>
        <v>59</v>
      </c>
      <c r="Q83">
        <f>IF(OR(calendar[[#This Row],[FR_BH]]=1,calendar[[#This Row],[WeekDay]]=1, calendar[[#This Row],[WeekDay]]=7),P82,P82+1)</f>
        <v>59</v>
      </c>
      <c r="R83">
        <f>IF(OR(calendar[[#This Row],[SP_BH]]=1,calendar[[#This Row],[WeekDay]]=1, calendar[[#This Row],[WeekDay]]=7),P82,P82+1)</f>
        <v>59</v>
      </c>
      <c r="S83">
        <f>IF(OR(calendar[[#This Row],[PT_BH]]=1,calendar[[#This Row],[WeekDay]]=1, calendar[[#This Row],[WeekDay]]=7),P82,P82+1)</f>
        <v>59</v>
      </c>
    </row>
    <row r="84" spans="1:19" x14ac:dyDescent="0.25">
      <c r="A84" s="2">
        <v>42818</v>
      </c>
      <c r="B84" s="1">
        <f t="shared" si="8"/>
        <v>12</v>
      </c>
      <c r="C84">
        <f t="shared" si="10"/>
        <v>3</v>
      </c>
      <c r="D84" t="str">
        <f t="shared" si="11"/>
        <v>March</v>
      </c>
      <c r="E84">
        <f t="shared" si="12"/>
        <v>2017</v>
      </c>
      <c r="F84" t="str">
        <f>CONCATENATE(calendar[[#This Row],[Month]],"/",calendar[[#This Row],[Year]])</f>
        <v>3/2017</v>
      </c>
      <c r="G84">
        <f>WEEKDAY(calendar[[#This Row],[Date]],1)</f>
        <v>6</v>
      </c>
      <c r="H84" t="str">
        <f>TEXT(calendar[[#This Row],[WeekDay]],"dddd")</f>
        <v>Friday</v>
      </c>
      <c r="I84">
        <f>IF((INT(calendar[[#This Row],[Count]]/7)-calendar[[#This Row],[Count]]/7)&lt;0,I83,I83+1)</f>
        <v>12</v>
      </c>
      <c r="J84">
        <f t="shared" si="9"/>
        <v>82</v>
      </c>
      <c r="K84">
        <f>IF(calendar[[#This Row],[Month]]&lt;4,1,IF(calendar[[#This Row],[Month]]&lt;7,2,IF(calendar[[#This Row],[Month]]&lt;10,3,4)))</f>
        <v>1</v>
      </c>
      <c r="L84">
        <f>IFERROR(IF(VLOOKUP(calendar[[#This Row],[Date]],BH!A:A,1,)&lt;&gt;"",1,0),0)</f>
        <v>0</v>
      </c>
      <c r="M84">
        <f>IFERROR(IF(VLOOKUP(calendar[[#This Row],[Date]],BH!C:C,1,)&lt;&gt;"",1,0),0)</f>
        <v>0</v>
      </c>
      <c r="N84">
        <f>IFERROR(IF(VLOOKUP(calendar[[#This Row],[Date]],BH!E:E,1,)&lt;&gt;"",1,0),0)</f>
        <v>0</v>
      </c>
      <c r="O84">
        <f>IFERROR(IF(VLOOKUP(calendar[[#This Row],[Date]],BH!G:G,1,)&lt;&gt;"",1,0),0)</f>
        <v>0</v>
      </c>
      <c r="P84">
        <f>IF(OR(calendar[[#This Row],[UK_BH]]=1,calendar[[#This Row],[WeekDay]]=1, calendar[[#This Row],[WeekDay]]=7),P83,P83+1)</f>
        <v>60</v>
      </c>
      <c r="Q84">
        <f>IF(OR(calendar[[#This Row],[FR_BH]]=1,calendar[[#This Row],[WeekDay]]=1, calendar[[#This Row],[WeekDay]]=7),P83,P83+1)</f>
        <v>60</v>
      </c>
      <c r="R84">
        <f>IF(OR(calendar[[#This Row],[SP_BH]]=1,calendar[[#This Row],[WeekDay]]=1, calendar[[#This Row],[WeekDay]]=7),P83,P83+1)</f>
        <v>60</v>
      </c>
      <c r="S84">
        <f>IF(OR(calendar[[#This Row],[PT_BH]]=1,calendar[[#This Row],[WeekDay]]=1, calendar[[#This Row],[WeekDay]]=7),P83,P83+1)</f>
        <v>60</v>
      </c>
    </row>
    <row r="85" spans="1:19" x14ac:dyDescent="0.25">
      <c r="A85" s="2">
        <v>42819</v>
      </c>
      <c r="B85" s="1">
        <f t="shared" si="8"/>
        <v>12</v>
      </c>
      <c r="C85">
        <f t="shared" si="10"/>
        <v>3</v>
      </c>
      <c r="D85" t="str">
        <f t="shared" si="11"/>
        <v>March</v>
      </c>
      <c r="E85">
        <f t="shared" si="12"/>
        <v>2017</v>
      </c>
      <c r="F85" t="str">
        <f>CONCATENATE(calendar[[#This Row],[Month]],"/",calendar[[#This Row],[Year]])</f>
        <v>3/2017</v>
      </c>
      <c r="G85">
        <f>WEEKDAY(calendar[[#This Row],[Date]],1)</f>
        <v>7</v>
      </c>
      <c r="H85" t="str">
        <f>TEXT(calendar[[#This Row],[WeekDay]],"dddd")</f>
        <v>Saturday</v>
      </c>
      <c r="I85">
        <f>IF((INT(calendar[[#This Row],[Count]]/7)-calendar[[#This Row],[Count]]/7)&lt;0,I84,I84+1)</f>
        <v>12</v>
      </c>
      <c r="J85">
        <f t="shared" si="9"/>
        <v>83</v>
      </c>
      <c r="K85">
        <f>IF(calendar[[#This Row],[Month]]&lt;4,1,IF(calendar[[#This Row],[Month]]&lt;7,2,IF(calendar[[#This Row],[Month]]&lt;10,3,4)))</f>
        <v>1</v>
      </c>
      <c r="L85">
        <f>IFERROR(IF(VLOOKUP(calendar[[#This Row],[Date]],BH!A:A,1,)&lt;&gt;"",1,0),0)</f>
        <v>0</v>
      </c>
      <c r="M85">
        <f>IFERROR(IF(VLOOKUP(calendar[[#This Row],[Date]],BH!C:C,1,)&lt;&gt;"",1,0),0)</f>
        <v>0</v>
      </c>
      <c r="N85">
        <f>IFERROR(IF(VLOOKUP(calendar[[#This Row],[Date]],BH!E:E,1,)&lt;&gt;"",1,0),0)</f>
        <v>0</v>
      </c>
      <c r="O85">
        <f>IFERROR(IF(VLOOKUP(calendar[[#This Row],[Date]],BH!G:G,1,)&lt;&gt;"",1,0),0)</f>
        <v>0</v>
      </c>
      <c r="P85">
        <f>IF(OR(calendar[[#This Row],[UK_BH]]=1,calendar[[#This Row],[WeekDay]]=1, calendar[[#This Row],[WeekDay]]=7),P84,P84+1)</f>
        <v>60</v>
      </c>
      <c r="Q85">
        <f>IF(OR(calendar[[#This Row],[FR_BH]]=1,calendar[[#This Row],[WeekDay]]=1, calendar[[#This Row],[WeekDay]]=7),P84,P84+1)</f>
        <v>60</v>
      </c>
      <c r="R85">
        <f>IF(OR(calendar[[#This Row],[SP_BH]]=1,calendar[[#This Row],[WeekDay]]=1, calendar[[#This Row],[WeekDay]]=7),P84,P84+1)</f>
        <v>60</v>
      </c>
      <c r="S85">
        <f>IF(OR(calendar[[#This Row],[PT_BH]]=1,calendar[[#This Row],[WeekDay]]=1, calendar[[#This Row],[WeekDay]]=7),P84,P84+1)</f>
        <v>60</v>
      </c>
    </row>
    <row r="86" spans="1:19" x14ac:dyDescent="0.25">
      <c r="A86" s="2">
        <v>42820</v>
      </c>
      <c r="B86" s="1">
        <f t="shared" si="8"/>
        <v>13</v>
      </c>
      <c r="C86">
        <f t="shared" si="10"/>
        <v>3</v>
      </c>
      <c r="D86" t="str">
        <f t="shared" si="11"/>
        <v>March</v>
      </c>
      <c r="E86">
        <f t="shared" si="12"/>
        <v>2017</v>
      </c>
      <c r="F86" t="str">
        <f>CONCATENATE(calendar[[#This Row],[Month]],"/",calendar[[#This Row],[Year]])</f>
        <v>3/2017</v>
      </c>
      <c r="G86">
        <f>WEEKDAY(calendar[[#This Row],[Date]],1)</f>
        <v>1</v>
      </c>
      <c r="H86" t="str">
        <f>TEXT(calendar[[#This Row],[WeekDay]],"dddd")</f>
        <v>Sunday</v>
      </c>
      <c r="I86">
        <f>IF((INT(calendar[[#This Row],[Count]]/7)-calendar[[#This Row],[Count]]/7)&lt;0,I85,I85+1)</f>
        <v>13</v>
      </c>
      <c r="J86">
        <f t="shared" si="9"/>
        <v>84</v>
      </c>
      <c r="K86">
        <f>IF(calendar[[#This Row],[Month]]&lt;4,1,IF(calendar[[#This Row],[Month]]&lt;7,2,IF(calendar[[#This Row],[Month]]&lt;10,3,4)))</f>
        <v>1</v>
      </c>
      <c r="L86">
        <f>IFERROR(IF(VLOOKUP(calendar[[#This Row],[Date]],BH!A:A,1,)&lt;&gt;"",1,0),0)</f>
        <v>0</v>
      </c>
      <c r="M86">
        <f>IFERROR(IF(VLOOKUP(calendar[[#This Row],[Date]],BH!C:C,1,)&lt;&gt;"",1,0),0)</f>
        <v>0</v>
      </c>
      <c r="N86">
        <f>IFERROR(IF(VLOOKUP(calendar[[#This Row],[Date]],BH!E:E,1,)&lt;&gt;"",1,0),0)</f>
        <v>0</v>
      </c>
      <c r="O86">
        <f>IFERROR(IF(VLOOKUP(calendar[[#This Row],[Date]],BH!G:G,1,)&lt;&gt;"",1,0),0)</f>
        <v>0</v>
      </c>
      <c r="P86">
        <f>IF(OR(calendar[[#This Row],[UK_BH]]=1,calendar[[#This Row],[WeekDay]]=1, calendar[[#This Row],[WeekDay]]=7),P85,P85+1)</f>
        <v>60</v>
      </c>
      <c r="Q86">
        <f>IF(OR(calendar[[#This Row],[FR_BH]]=1,calendar[[#This Row],[WeekDay]]=1, calendar[[#This Row],[WeekDay]]=7),P85,P85+1)</f>
        <v>60</v>
      </c>
      <c r="R86">
        <f>IF(OR(calendar[[#This Row],[SP_BH]]=1,calendar[[#This Row],[WeekDay]]=1, calendar[[#This Row],[WeekDay]]=7),P85,P85+1)</f>
        <v>60</v>
      </c>
      <c r="S86">
        <f>IF(OR(calendar[[#This Row],[PT_BH]]=1,calendar[[#This Row],[WeekDay]]=1, calendar[[#This Row],[WeekDay]]=7),P85,P85+1)</f>
        <v>60</v>
      </c>
    </row>
    <row r="87" spans="1:19" x14ac:dyDescent="0.25">
      <c r="A87" s="2">
        <v>42821</v>
      </c>
      <c r="B87" s="1">
        <f t="shared" si="8"/>
        <v>13</v>
      </c>
      <c r="C87">
        <f t="shared" si="10"/>
        <v>3</v>
      </c>
      <c r="D87" t="str">
        <f t="shared" si="11"/>
        <v>March</v>
      </c>
      <c r="E87">
        <f t="shared" si="12"/>
        <v>2017</v>
      </c>
      <c r="F87" t="str">
        <f>CONCATENATE(calendar[[#This Row],[Month]],"/",calendar[[#This Row],[Year]])</f>
        <v>3/2017</v>
      </c>
      <c r="G87">
        <f>WEEKDAY(calendar[[#This Row],[Date]],1)</f>
        <v>2</v>
      </c>
      <c r="H87" t="str">
        <f>TEXT(calendar[[#This Row],[WeekDay]],"dddd")</f>
        <v>Monday</v>
      </c>
      <c r="I87">
        <f>IF((INT(calendar[[#This Row],[Count]]/7)-calendar[[#This Row],[Count]]/7)&lt;0,I86,I86+1)</f>
        <v>13</v>
      </c>
      <c r="J87">
        <f t="shared" si="9"/>
        <v>85</v>
      </c>
      <c r="K87">
        <f>IF(calendar[[#This Row],[Month]]&lt;4,1,IF(calendar[[#This Row],[Month]]&lt;7,2,IF(calendar[[#This Row],[Month]]&lt;10,3,4)))</f>
        <v>1</v>
      </c>
      <c r="L87">
        <f>IFERROR(IF(VLOOKUP(calendar[[#This Row],[Date]],BH!A:A,1,)&lt;&gt;"",1,0),0)</f>
        <v>0</v>
      </c>
      <c r="M87">
        <f>IFERROR(IF(VLOOKUP(calendar[[#This Row],[Date]],BH!C:C,1,)&lt;&gt;"",1,0),0)</f>
        <v>0</v>
      </c>
      <c r="N87">
        <f>IFERROR(IF(VLOOKUP(calendar[[#This Row],[Date]],BH!E:E,1,)&lt;&gt;"",1,0),0)</f>
        <v>0</v>
      </c>
      <c r="O87">
        <f>IFERROR(IF(VLOOKUP(calendar[[#This Row],[Date]],BH!G:G,1,)&lt;&gt;"",1,0),0)</f>
        <v>0</v>
      </c>
      <c r="P87">
        <f>IF(OR(calendar[[#This Row],[UK_BH]]=1,calendar[[#This Row],[WeekDay]]=1, calendar[[#This Row],[WeekDay]]=7),P86,P86+1)</f>
        <v>61</v>
      </c>
      <c r="Q87">
        <f>IF(OR(calendar[[#This Row],[FR_BH]]=1,calendar[[#This Row],[WeekDay]]=1, calendar[[#This Row],[WeekDay]]=7),P86,P86+1)</f>
        <v>61</v>
      </c>
      <c r="R87">
        <f>IF(OR(calendar[[#This Row],[SP_BH]]=1,calendar[[#This Row],[WeekDay]]=1, calendar[[#This Row],[WeekDay]]=7),P86,P86+1)</f>
        <v>61</v>
      </c>
      <c r="S87">
        <f>IF(OR(calendar[[#This Row],[PT_BH]]=1,calendar[[#This Row],[WeekDay]]=1, calendar[[#This Row],[WeekDay]]=7),P86,P86+1)</f>
        <v>61</v>
      </c>
    </row>
    <row r="88" spans="1:19" x14ac:dyDescent="0.25">
      <c r="A88" s="2">
        <v>42822</v>
      </c>
      <c r="B88" s="1">
        <f t="shared" si="8"/>
        <v>13</v>
      </c>
      <c r="C88">
        <f t="shared" si="10"/>
        <v>3</v>
      </c>
      <c r="D88" t="str">
        <f t="shared" si="11"/>
        <v>March</v>
      </c>
      <c r="E88">
        <f t="shared" si="12"/>
        <v>2017</v>
      </c>
      <c r="F88" t="str">
        <f>CONCATENATE(calendar[[#This Row],[Month]],"/",calendar[[#This Row],[Year]])</f>
        <v>3/2017</v>
      </c>
      <c r="G88">
        <f>WEEKDAY(calendar[[#This Row],[Date]],1)</f>
        <v>3</v>
      </c>
      <c r="H88" t="str">
        <f>TEXT(calendar[[#This Row],[WeekDay]],"dddd")</f>
        <v>Tuesday</v>
      </c>
      <c r="I88">
        <f>IF((INT(calendar[[#This Row],[Count]]/7)-calendar[[#This Row],[Count]]/7)&lt;0,I87,I87+1)</f>
        <v>13</v>
      </c>
      <c r="J88">
        <f t="shared" si="9"/>
        <v>86</v>
      </c>
      <c r="K88">
        <f>IF(calendar[[#This Row],[Month]]&lt;4,1,IF(calendar[[#This Row],[Month]]&lt;7,2,IF(calendar[[#This Row],[Month]]&lt;10,3,4)))</f>
        <v>1</v>
      </c>
      <c r="L88">
        <f>IFERROR(IF(VLOOKUP(calendar[[#This Row],[Date]],BH!A:A,1,)&lt;&gt;"",1,0),0)</f>
        <v>0</v>
      </c>
      <c r="M88">
        <f>IFERROR(IF(VLOOKUP(calendar[[#This Row],[Date]],BH!C:C,1,)&lt;&gt;"",1,0),0)</f>
        <v>0</v>
      </c>
      <c r="N88">
        <f>IFERROR(IF(VLOOKUP(calendar[[#This Row],[Date]],BH!E:E,1,)&lt;&gt;"",1,0),0)</f>
        <v>0</v>
      </c>
      <c r="O88">
        <f>IFERROR(IF(VLOOKUP(calendar[[#This Row],[Date]],BH!G:G,1,)&lt;&gt;"",1,0),0)</f>
        <v>0</v>
      </c>
      <c r="P88">
        <f>IF(OR(calendar[[#This Row],[UK_BH]]=1,calendar[[#This Row],[WeekDay]]=1, calendar[[#This Row],[WeekDay]]=7),P87,P87+1)</f>
        <v>62</v>
      </c>
      <c r="Q88">
        <f>IF(OR(calendar[[#This Row],[FR_BH]]=1,calendar[[#This Row],[WeekDay]]=1, calendar[[#This Row],[WeekDay]]=7),P87,P87+1)</f>
        <v>62</v>
      </c>
      <c r="R88">
        <f>IF(OR(calendar[[#This Row],[SP_BH]]=1,calendar[[#This Row],[WeekDay]]=1, calendar[[#This Row],[WeekDay]]=7),P87,P87+1)</f>
        <v>62</v>
      </c>
      <c r="S88">
        <f>IF(OR(calendar[[#This Row],[PT_BH]]=1,calendar[[#This Row],[WeekDay]]=1, calendar[[#This Row],[WeekDay]]=7),P87,P87+1)</f>
        <v>62</v>
      </c>
    </row>
    <row r="89" spans="1:19" x14ac:dyDescent="0.25">
      <c r="A89" s="2">
        <v>42823</v>
      </c>
      <c r="B89" s="1">
        <f t="shared" si="8"/>
        <v>13</v>
      </c>
      <c r="C89">
        <f t="shared" si="10"/>
        <v>3</v>
      </c>
      <c r="D89" t="str">
        <f t="shared" si="11"/>
        <v>March</v>
      </c>
      <c r="E89">
        <f t="shared" si="12"/>
        <v>2017</v>
      </c>
      <c r="F89" t="str">
        <f>CONCATENATE(calendar[[#This Row],[Month]],"/",calendar[[#This Row],[Year]])</f>
        <v>3/2017</v>
      </c>
      <c r="G89">
        <f>WEEKDAY(calendar[[#This Row],[Date]],1)</f>
        <v>4</v>
      </c>
      <c r="H89" t="str">
        <f>TEXT(calendar[[#This Row],[WeekDay]],"dddd")</f>
        <v>Wednesday</v>
      </c>
      <c r="I89">
        <f>IF((INT(calendar[[#This Row],[Count]]/7)-calendar[[#This Row],[Count]]/7)&lt;0,I88,I88+1)</f>
        <v>13</v>
      </c>
      <c r="J89">
        <f t="shared" si="9"/>
        <v>87</v>
      </c>
      <c r="K89">
        <f>IF(calendar[[#This Row],[Month]]&lt;4,1,IF(calendar[[#This Row],[Month]]&lt;7,2,IF(calendar[[#This Row],[Month]]&lt;10,3,4)))</f>
        <v>1</v>
      </c>
      <c r="L89">
        <f>IFERROR(IF(VLOOKUP(calendar[[#This Row],[Date]],BH!A:A,1,)&lt;&gt;"",1,0),0)</f>
        <v>0</v>
      </c>
      <c r="M89">
        <f>IFERROR(IF(VLOOKUP(calendar[[#This Row],[Date]],BH!C:C,1,)&lt;&gt;"",1,0),0)</f>
        <v>0</v>
      </c>
      <c r="N89">
        <f>IFERROR(IF(VLOOKUP(calendar[[#This Row],[Date]],BH!E:E,1,)&lt;&gt;"",1,0),0)</f>
        <v>0</v>
      </c>
      <c r="O89">
        <f>IFERROR(IF(VLOOKUP(calendar[[#This Row],[Date]],BH!G:G,1,)&lt;&gt;"",1,0),0)</f>
        <v>0</v>
      </c>
      <c r="P89">
        <f>IF(OR(calendar[[#This Row],[UK_BH]]=1,calendar[[#This Row],[WeekDay]]=1, calendar[[#This Row],[WeekDay]]=7),P88,P88+1)</f>
        <v>63</v>
      </c>
      <c r="Q89">
        <f>IF(OR(calendar[[#This Row],[FR_BH]]=1,calendar[[#This Row],[WeekDay]]=1, calendar[[#This Row],[WeekDay]]=7),P88,P88+1)</f>
        <v>63</v>
      </c>
      <c r="R89">
        <f>IF(OR(calendar[[#This Row],[SP_BH]]=1,calendar[[#This Row],[WeekDay]]=1, calendar[[#This Row],[WeekDay]]=7),P88,P88+1)</f>
        <v>63</v>
      </c>
      <c r="S89">
        <f>IF(OR(calendar[[#This Row],[PT_BH]]=1,calendar[[#This Row],[WeekDay]]=1, calendar[[#This Row],[WeekDay]]=7),P88,P88+1)</f>
        <v>63</v>
      </c>
    </row>
    <row r="90" spans="1:19" x14ac:dyDescent="0.25">
      <c r="A90" s="2">
        <v>42824</v>
      </c>
      <c r="B90" s="1">
        <f t="shared" si="8"/>
        <v>13</v>
      </c>
      <c r="C90">
        <f t="shared" si="10"/>
        <v>3</v>
      </c>
      <c r="D90" t="str">
        <f t="shared" si="11"/>
        <v>March</v>
      </c>
      <c r="E90">
        <f t="shared" si="12"/>
        <v>2017</v>
      </c>
      <c r="F90" t="str">
        <f>CONCATENATE(calendar[[#This Row],[Month]],"/",calendar[[#This Row],[Year]])</f>
        <v>3/2017</v>
      </c>
      <c r="G90">
        <f>WEEKDAY(calendar[[#This Row],[Date]],1)</f>
        <v>5</v>
      </c>
      <c r="H90" t="str">
        <f>TEXT(calendar[[#This Row],[WeekDay]],"dddd")</f>
        <v>Thursday</v>
      </c>
      <c r="I90">
        <f>IF((INT(calendar[[#This Row],[Count]]/7)-calendar[[#This Row],[Count]]/7)&lt;0,I89,I89+1)</f>
        <v>13</v>
      </c>
      <c r="J90">
        <f t="shared" si="9"/>
        <v>88</v>
      </c>
      <c r="K90">
        <f>IF(calendar[[#This Row],[Month]]&lt;4,1,IF(calendar[[#This Row],[Month]]&lt;7,2,IF(calendar[[#This Row],[Month]]&lt;10,3,4)))</f>
        <v>1</v>
      </c>
      <c r="L90">
        <f>IFERROR(IF(VLOOKUP(calendar[[#This Row],[Date]],BH!A:A,1,)&lt;&gt;"",1,0),0)</f>
        <v>0</v>
      </c>
      <c r="M90">
        <f>IFERROR(IF(VLOOKUP(calendar[[#This Row],[Date]],BH!C:C,1,)&lt;&gt;"",1,0),0)</f>
        <v>0</v>
      </c>
      <c r="N90">
        <f>IFERROR(IF(VLOOKUP(calendar[[#This Row],[Date]],BH!E:E,1,)&lt;&gt;"",1,0),0)</f>
        <v>0</v>
      </c>
      <c r="O90">
        <f>IFERROR(IF(VLOOKUP(calendar[[#This Row],[Date]],BH!G:G,1,)&lt;&gt;"",1,0),0)</f>
        <v>0</v>
      </c>
      <c r="P90">
        <f>IF(OR(calendar[[#This Row],[UK_BH]]=1,calendar[[#This Row],[WeekDay]]=1, calendar[[#This Row],[WeekDay]]=7),P89,P89+1)</f>
        <v>64</v>
      </c>
      <c r="Q90">
        <f>IF(OR(calendar[[#This Row],[FR_BH]]=1,calendar[[#This Row],[WeekDay]]=1, calendar[[#This Row],[WeekDay]]=7),P89,P89+1)</f>
        <v>64</v>
      </c>
      <c r="R90">
        <f>IF(OR(calendar[[#This Row],[SP_BH]]=1,calendar[[#This Row],[WeekDay]]=1, calendar[[#This Row],[WeekDay]]=7),P89,P89+1)</f>
        <v>64</v>
      </c>
      <c r="S90">
        <f>IF(OR(calendar[[#This Row],[PT_BH]]=1,calendar[[#This Row],[WeekDay]]=1, calendar[[#This Row],[WeekDay]]=7),P89,P89+1)</f>
        <v>64</v>
      </c>
    </row>
    <row r="91" spans="1:19" x14ac:dyDescent="0.25">
      <c r="A91" s="2">
        <v>42825</v>
      </c>
      <c r="B91" s="1">
        <f t="shared" si="8"/>
        <v>13</v>
      </c>
      <c r="C91">
        <f t="shared" si="10"/>
        <v>3</v>
      </c>
      <c r="D91" t="str">
        <f t="shared" si="11"/>
        <v>March</v>
      </c>
      <c r="E91">
        <f t="shared" si="12"/>
        <v>2017</v>
      </c>
      <c r="F91" t="str">
        <f>CONCATENATE(calendar[[#This Row],[Month]],"/",calendar[[#This Row],[Year]])</f>
        <v>3/2017</v>
      </c>
      <c r="G91">
        <f>WEEKDAY(calendar[[#This Row],[Date]],1)</f>
        <v>6</v>
      </c>
      <c r="H91" t="str">
        <f>TEXT(calendar[[#This Row],[WeekDay]],"dddd")</f>
        <v>Friday</v>
      </c>
      <c r="I91">
        <f>IF((INT(calendar[[#This Row],[Count]]/7)-calendar[[#This Row],[Count]]/7)&lt;0,I90,I90+1)</f>
        <v>13</v>
      </c>
      <c r="J91">
        <f t="shared" si="9"/>
        <v>89</v>
      </c>
      <c r="K91">
        <f>IF(calendar[[#This Row],[Month]]&lt;4,1,IF(calendar[[#This Row],[Month]]&lt;7,2,IF(calendar[[#This Row],[Month]]&lt;10,3,4)))</f>
        <v>1</v>
      </c>
      <c r="L91">
        <f>IFERROR(IF(VLOOKUP(calendar[[#This Row],[Date]],BH!A:A,1,)&lt;&gt;"",1,0),0)</f>
        <v>0</v>
      </c>
      <c r="M91">
        <f>IFERROR(IF(VLOOKUP(calendar[[#This Row],[Date]],BH!C:C,1,)&lt;&gt;"",1,0),0)</f>
        <v>0</v>
      </c>
      <c r="N91">
        <f>IFERROR(IF(VLOOKUP(calendar[[#This Row],[Date]],BH!E:E,1,)&lt;&gt;"",1,0),0)</f>
        <v>0</v>
      </c>
      <c r="O91">
        <f>IFERROR(IF(VLOOKUP(calendar[[#This Row],[Date]],BH!G:G,1,)&lt;&gt;"",1,0),0)</f>
        <v>0</v>
      </c>
      <c r="P91">
        <f>IF(OR(calendar[[#This Row],[UK_BH]]=1,calendar[[#This Row],[WeekDay]]=1, calendar[[#This Row],[WeekDay]]=7),P90,P90+1)</f>
        <v>65</v>
      </c>
      <c r="Q91">
        <f>IF(OR(calendar[[#This Row],[FR_BH]]=1,calendar[[#This Row],[WeekDay]]=1, calendar[[#This Row],[WeekDay]]=7),P90,P90+1)</f>
        <v>65</v>
      </c>
      <c r="R91">
        <f>IF(OR(calendar[[#This Row],[SP_BH]]=1,calendar[[#This Row],[WeekDay]]=1, calendar[[#This Row],[WeekDay]]=7),P90,P90+1)</f>
        <v>65</v>
      </c>
      <c r="S91">
        <f>IF(OR(calendar[[#This Row],[PT_BH]]=1,calendar[[#This Row],[WeekDay]]=1, calendar[[#This Row],[WeekDay]]=7),P90,P90+1)</f>
        <v>65</v>
      </c>
    </row>
    <row r="92" spans="1:19" x14ac:dyDescent="0.25">
      <c r="A92" s="2">
        <v>42826</v>
      </c>
      <c r="B92" s="1">
        <f t="shared" si="8"/>
        <v>13</v>
      </c>
      <c r="C92">
        <f t="shared" si="10"/>
        <v>4</v>
      </c>
      <c r="D92" t="str">
        <f t="shared" si="11"/>
        <v>April</v>
      </c>
      <c r="E92">
        <f t="shared" si="12"/>
        <v>2017</v>
      </c>
      <c r="F92" t="str">
        <f>CONCATENATE(calendar[[#This Row],[Month]],"/",calendar[[#This Row],[Year]])</f>
        <v>4/2017</v>
      </c>
      <c r="G92">
        <f>WEEKDAY(calendar[[#This Row],[Date]],1)</f>
        <v>7</v>
      </c>
      <c r="H92" t="str">
        <f>TEXT(calendar[[#This Row],[WeekDay]],"dddd")</f>
        <v>Saturday</v>
      </c>
      <c r="I92">
        <f>IF((INT(calendar[[#This Row],[Count]]/7)-calendar[[#This Row],[Count]]/7)&lt;0,I91,I91+1)</f>
        <v>13</v>
      </c>
      <c r="J92">
        <f t="shared" si="9"/>
        <v>90</v>
      </c>
      <c r="K92">
        <f>IF(calendar[[#This Row],[Month]]&lt;4,1,IF(calendar[[#This Row],[Month]]&lt;7,2,IF(calendar[[#This Row],[Month]]&lt;10,3,4)))</f>
        <v>2</v>
      </c>
      <c r="L92">
        <f>IFERROR(IF(VLOOKUP(calendar[[#This Row],[Date]],BH!A:A,1,)&lt;&gt;"",1,0),0)</f>
        <v>0</v>
      </c>
      <c r="M92">
        <f>IFERROR(IF(VLOOKUP(calendar[[#This Row],[Date]],BH!C:C,1,)&lt;&gt;"",1,0),0)</f>
        <v>0</v>
      </c>
      <c r="N92">
        <f>IFERROR(IF(VLOOKUP(calendar[[#This Row],[Date]],BH!E:E,1,)&lt;&gt;"",1,0),0)</f>
        <v>0</v>
      </c>
      <c r="O92">
        <f>IFERROR(IF(VLOOKUP(calendar[[#This Row],[Date]],BH!G:G,1,)&lt;&gt;"",1,0),0)</f>
        <v>0</v>
      </c>
      <c r="P92">
        <f>IF(OR(calendar[[#This Row],[UK_BH]]=1,calendar[[#This Row],[WeekDay]]=1, calendar[[#This Row],[WeekDay]]=7),P91,P91+1)</f>
        <v>65</v>
      </c>
      <c r="Q92">
        <f>IF(OR(calendar[[#This Row],[FR_BH]]=1,calendar[[#This Row],[WeekDay]]=1, calendar[[#This Row],[WeekDay]]=7),P91,P91+1)</f>
        <v>65</v>
      </c>
      <c r="R92">
        <f>IF(OR(calendar[[#This Row],[SP_BH]]=1,calendar[[#This Row],[WeekDay]]=1, calendar[[#This Row],[WeekDay]]=7),P91,P91+1)</f>
        <v>65</v>
      </c>
      <c r="S92">
        <f>IF(OR(calendar[[#This Row],[PT_BH]]=1,calendar[[#This Row],[WeekDay]]=1, calendar[[#This Row],[WeekDay]]=7),P91,P91+1)</f>
        <v>65</v>
      </c>
    </row>
    <row r="93" spans="1:19" x14ac:dyDescent="0.25">
      <c r="A93" s="2">
        <v>42827</v>
      </c>
      <c r="B93" s="1">
        <f t="shared" si="8"/>
        <v>14</v>
      </c>
      <c r="C93">
        <f t="shared" si="10"/>
        <v>4</v>
      </c>
      <c r="D93" t="str">
        <f t="shared" si="11"/>
        <v>April</v>
      </c>
      <c r="E93">
        <f t="shared" si="12"/>
        <v>2017</v>
      </c>
      <c r="F93" t="str">
        <f>CONCATENATE(calendar[[#This Row],[Month]],"/",calendar[[#This Row],[Year]])</f>
        <v>4/2017</v>
      </c>
      <c r="G93">
        <f>WEEKDAY(calendar[[#This Row],[Date]],1)</f>
        <v>1</v>
      </c>
      <c r="H93" t="str">
        <f>TEXT(calendar[[#This Row],[WeekDay]],"dddd")</f>
        <v>Sunday</v>
      </c>
      <c r="I93">
        <f>IF((INT(calendar[[#This Row],[Count]]/7)-calendar[[#This Row],[Count]]/7)&lt;0,I92,I92+1)</f>
        <v>14</v>
      </c>
      <c r="J93">
        <f t="shared" si="9"/>
        <v>91</v>
      </c>
      <c r="K93">
        <f>IF(calendar[[#This Row],[Month]]&lt;4,1,IF(calendar[[#This Row],[Month]]&lt;7,2,IF(calendar[[#This Row],[Month]]&lt;10,3,4)))</f>
        <v>2</v>
      </c>
      <c r="L93">
        <f>IFERROR(IF(VLOOKUP(calendar[[#This Row],[Date]],BH!A:A,1,)&lt;&gt;"",1,0),0)</f>
        <v>0</v>
      </c>
      <c r="M93">
        <f>IFERROR(IF(VLOOKUP(calendar[[#This Row],[Date]],BH!C:C,1,)&lt;&gt;"",1,0),0)</f>
        <v>0</v>
      </c>
      <c r="N93">
        <f>IFERROR(IF(VLOOKUP(calendar[[#This Row],[Date]],BH!E:E,1,)&lt;&gt;"",1,0),0)</f>
        <v>0</v>
      </c>
      <c r="O93">
        <f>IFERROR(IF(VLOOKUP(calendar[[#This Row],[Date]],BH!G:G,1,)&lt;&gt;"",1,0),0)</f>
        <v>0</v>
      </c>
      <c r="P93">
        <f>IF(OR(calendar[[#This Row],[UK_BH]]=1,calendar[[#This Row],[WeekDay]]=1, calendar[[#This Row],[WeekDay]]=7),P92,P92+1)</f>
        <v>65</v>
      </c>
      <c r="Q93">
        <f>IF(OR(calendar[[#This Row],[FR_BH]]=1,calendar[[#This Row],[WeekDay]]=1, calendar[[#This Row],[WeekDay]]=7),P92,P92+1)</f>
        <v>65</v>
      </c>
      <c r="R93">
        <f>IF(OR(calendar[[#This Row],[SP_BH]]=1,calendar[[#This Row],[WeekDay]]=1, calendar[[#This Row],[WeekDay]]=7),P92,P92+1)</f>
        <v>65</v>
      </c>
      <c r="S93">
        <f>IF(OR(calendar[[#This Row],[PT_BH]]=1,calendar[[#This Row],[WeekDay]]=1, calendar[[#This Row],[WeekDay]]=7),P92,P92+1)</f>
        <v>65</v>
      </c>
    </row>
    <row r="94" spans="1:19" x14ac:dyDescent="0.25">
      <c r="A94" s="2">
        <v>42828</v>
      </c>
      <c r="B94" s="1">
        <f t="shared" si="8"/>
        <v>14</v>
      </c>
      <c r="C94">
        <f t="shared" si="10"/>
        <v>4</v>
      </c>
      <c r="D94" t="str">
        <f t="shared" si="11"/>
        <v>April</v>
      </c>
      <c r="E94">
        <f t="shared" si="12"/>
        <v>2017</v>
      </c>
      <c r="F94" t="str">
        <f>CONCATENATE(calendar[[#This Row],[Month]],"/",calendar[[#This Row],[Year]])</f>
        <v>4/2017</v>
      </c>
      <c r="G94">
        <f>WEEKDAY(calendar[[#This Row],[Date]],1)</f>
        <v>2</v>
      </c>
      <c r="H94" t="str">
        <f>TEXT(calendar[[#This Row],[WeekDay]],"dddd")</f>
        <v>Monday</v>
      </c>
      <c r="I94">
        <f>IF((INT(calendar[[#This Row],[Count]]/7)-calendar[[#This Row],[Count]]/7)&lt;0,I93,I93+1)</f>
        <v>14</v>
      </c>
      <c r="J94">
        <f t="shared" si="9"/>
        <v>92</v>
      </c>
      <c r="K94">
        <f>IF(calendar[[#This Row],[Month]]&lt;4,1,IF(calendar[[#This Row],[Month]]&lt;7,2,IF(calendar[[#This Row],[Month]]&lt;10,3,4)))</f>
        <v>2</v>
      </c>
      <c r="L94">
        <f>IFERROR(IF(VLOOKUP(calendar[[#This Row],[Date]],BH!A:A,1,)&lt;&gt;"",1,0),0)</f>
        <v>0</v>
      </c>
      <c r="M94">
        <f>IFERROR(IF(VLOOKUP(calendar[[#This Row],[Date]],BH!C:C,1,)&lt;&gt;"",1,0),0)</f>
        <v>0</v>
      </c>
      <c r="N94">
        <f>IFERROR(IF(VLOOKUP(calendar[[#This Row],[Date]],BH!E:E,1,)&lt;&gt;"",1,0),0)</f>
        <v>0</v>
      </c>
      <c r="O94">
        <f>IFERROR(IF(VLOOKUP(calendar[[#This Row],[Date]],BH!G:G,1,)&lt;&gt;"",1,0),0)</f>
        <v>0</v>
      </c>
      <c r="P94">
        <f>IF(OR(calendar[[#This Row],[UK_BH]]=1,calendar[[#This Row],[WeekDay]]=1, calendar[[#This Row],[WeekDay]]=7),P93,P93+1)</f>
        <v>66</v>
      </c>
      <c r="Q94">
        <f>IF(OR(calendar[[#This Row],[FR_BH]]=1,calendar[[#This Row],[WeekDay]]=1, calendar[[#This Row],[WeekDay]]=7),P93,P93+1)</f>
        <v>66</v>
      </c>
      <c r="R94">
        <f>IF(OR(calendar[[#This Row],[SP_BH]]=1,calendar[[#This Row],[WeekDay]]=1, calendar[[#This Row],[WeekDay]]=7),P93,P93+1)</f>
        <v>66</v>
      </c>
      <c r="S94">
        <f>IF(OR(calendar[[#This Row],[PT_BH]]=1,calendar[[#This Row],[WeekDay]]=1, calendar[[#This Row],[WeekDay]]=7),P93,P93+1)</f>
        <v>66</v>
      </c>
    </row>
    <row r="95" spans="1:19" x14ac:dyDescent="0.25">
      <c r="A95" s="2">
        <v>42829</v>
      </c>
      <c r="B95" s="1">
        <f t="shared" si="8"/>
        <v>14</v>
      </c>
      <c r="C95">
        <f t="shared" si="10"/>
        <v>4</v>
      </c>
      <c r="D95" t="str">
        <f t="shared" si="11"/>
        <v>April</v>
      </c>
      <c r="E95">
        <f t="shared" si="12"/>
        <v>2017</v>
      </c>
      <c r="F95" t="str">
        <f>CONCATENATE(calendar[[#This Row],[Month]],"/",calendar[[#This Row],[Year]])</f>
        <v>4/2017</v>
      </c>
      <c r="G95">
        <f>WEEKDAY(calendar[[#This Row],[Date]],1)</f>
        <v>3</v>
      </c>
      <c r="H95" t="str">
        <f>TEXT(calendar[[#This Row],[WeekDay]],"dddd")</f>
        <v>Tuesday</v>
      </c>
      <c r="I95">
        <f>IF((INT(calendar[[#This Row],[Count]]/7)-calendar[[#This Row],[Count]]/7)&lt;0,I94,I94+1)</f>
        <v>14</v>
      </c>
      <c r="J95">
        <f t="shared" si="9"/>
        <v>93</v>
      </c>
      <c r="K95">
        <f>IF(calendar[[#This Row],[Month]]&lt;4,1,IF(calendar[[#This Row],[Month]]&lt;7,2,IF(calendar[[#This Row],[Month]]&lt;10,3,4)))</f>
        <v>2</v>
      </c>
      <c r="L95">
        <f>IFERROR(IF(VLOOKUP(calendar[[#This Row],[Date]],BH!A:A,1,)&lt;&gt;"",1,0),0)</f>
        <v>0</v>
      </c>
      <c r="M95">
        <f>IFERROR(IF(VLOOKUP(calendar[[#This Row],[Date]],BH!C:C,1,)&lt;&gt;"",1,0),0)</f>
        <v>0</v>
      </c>
      <c r="N95">
        <f>IFERROR(IF(VLOOKUP(calendar[[#This Row],[Date]],BH!E:E,1,)&lt;&gt;"",1,0),0)</f>
        <v>0</v>
      </c>
      <c r="O95">
        <f>IFERROR(IF(VLOOKUP(calendar[[#This Row],[Date]],BH!G:G,1,)&lt;&gt;"",1,0),0)</f>
        <v>0</v>
      </c>
      <c r="P95">
        <f>IF(OR(calendar[[#This Row],[UK_BH]]=1,calendar[[#This Row],[WeekDay]]=1, calendar[[#This Row],[WeekDay]]=7),P94,P94+1)</f>
        <v>67</v>
      </c>
      <c r="Q95">
        <f>IF(OR(calendar[[#This Row],[FR_BH]]=1,calendar[[#This Row],[WeekDay]]=1, calendar[[#This Row],[WeekDay]]=7),P94,P94+1)</f>
        <v>67</v>
      </c>
      <c r="R95">
        <f>IF(OR(calendar[[#This Row],[SP_BH]]=1,calendar[[#This Row],[WeekDay]]=1, calendar[[#This Row],[WeekDay]]=7),P94,P94+1)</f>
        <v>67</v>
      </c>
      <c r="S95">
        <f>IF(OR(calendar[[#This Row],[PT_BH]]=1,calendar[[#This Row],[WeekDay]]=1, calendar[[#This Row],[WeekDay]]=7),P94,P94+1)</f>
        <v>67</v>
      </c>
    </row>
    <row r="96" spans="1:19" x14ac:dyDescent="0.25">
      <c r="A96" s="2">
        <v>42830</v>
      </c>
      <c r="B96" s="1">
        <f t="shared" si="8"/>
        <v>14</v>
      </c>
      <c r="C96">
        <f t="shared" si="10"/>
        <v>4</v>
      </c>
      <c r="D96" t="str">
        <f t="shared" si="11"/>
        <v>April</v>
      </c>
      <c r="E96">
        <f t="shared" si="12"/>
        <v>2017</v>
      </c>
      <c r="F96" t="str">
        <f>CONCATENATE(calendar[[#This Row],[Month]],"/",calendar[[#This Row],[Year]])</f>
        <v>4/2017</v>
      </c>
      <c r="G96">
        <f>WEEKDAY(calendar[[#This Row],[Date]],1)</f>
        <v>4</v>
      </c>
      <c r="H96" t="str">
        <f>TEXT(calendar[[#This Row],[WeekDay]],"dddd")</f>
        <v>Wednesday</v>
      </c>
      <c r="I96">
        <f>IF((INT(calendar[[#This Row],[Count]]/7)-calendar[[#This Row],[Count]]/7)&lt;0,I95,I95+1)</f>
        <v>14</v>
      </c>
      <c r="J96">
        <f t="shared" si="9"/>
        <v>94</v>
      </c>
      <c r="K96">
        <f>IF(calendar[[#This Row],[Month]]&lt;4,1,IF(calendar[[#This Row],[Month]]&lt;7,2,IF(calendar[[#This Row],[Month]]&lt;10,3,4)))</f>
        <v>2</v>
      </c>
      <c r="L96">
        <f>IFERROR(IF(VLOOKUP(calendar[[#This Row],[Date]],BH!A:A,1,)&lt;&gt;"",1,0),0)</f>
        <v>0</v>
      </c>
      <c r="M96">
        <f>IFERROR(IF(VLOOKUP(calendar[[#This Row],[Date]],BH!C:C,1,)&lt;&gt;"",1,0),0)</f>
        <v>0</v>
      </c>
      <c r="N96">
        <f>IFERROR(IF(VLOOKUP(calendar[[#This Row],[Date]],BH!E:E,1,)&lt;&gt;"",1,0),0)</f>
        <v>0</v>
      </c>
      <c r="O96">
        <f>IFERROR(IF(VLOOKUP(calendar[[#This Row],[Date]],BH!G:G,1,)&lt;&gt;"",1,0),0)</f>
        <v>0</v>
      </c>
      <c r="P96">
        <f>IF(OR(calendar[[#This Row],[UK_BH]]=1,calendar[[#This Row],[WeekDay]]=1, calendar[[#This Row],[WeekDay]]=7),P95,P95+1)</f>
        <v>68</v>
      </c>
      <c r="Q96">
        <f>IF(OR(calendar[[#This Row],[FR_BH]]=1,calendar[[#This Row],[WeekDay]]=1, calendar[[#This Row],[WeekDay]]=7),P95,P95+1)</f>
        <v>68</v>
      </c>
      <c r="R96">
        <f>IF(OR(calendar[[#This Row],[SP_BH]]=1,calendar[[#This Row],[WeekDay]]=1, calendar[[#This Row],[WeekDay]]=7),P95,P95+1)</f>
        <v>68</v>
      </c>
      <c r="S96">
        <f>IF(OR(calendar[[#This Row],[PT_BH]]=1,calendar[[#This Row],[WeekDay]]=1, calendar[[#This Row],[WeekDay]]=7),P95,P95+1)</f>
        <v>68</v>
      </c>
    </row>
    <row r="97" spans="1:19" x14ac:dyDescent="0.25">
      <c r="A97" s="2">
        <v>42831</v>
      </c>
      <c r="B97" s="1">
        <f t="shared" si="8"/>
        <v>14</v>
      </c>
      <c r="C97">
        <f t="shared" si="10"/>
        <v>4</v>
      </c>
      <c r="D97" t="str">
        <f t="shared" si="11"/>
        <v>April</v>
      </c>
      <c r="E97">
        <f t="shared" si="12"/>
        <v>2017</v>
      </c>
      <c r="F97" t="str">
        <f>CONCATENATE(calendar[[#This Row],[Month]],"/",calendar[[#This Row],[Year]])</f>
        <v>4/2017</v>
      </c>
      <c r="G97">
        <f>WEEKDAY(calendar[[#This Row],[Date]],1)</f>
        <v>5</v>
      </c>
      <c r="H97" t="str">
        <f>TEXT(calendar[[#This Row],[WeekDay]],"dddd")</f>
        <v>Thursday</v>
      </c>
      <c r="I97">
        <f>IF((INT(calendar[[#This Row],[Count]]/7)-calendar[[#This Row],[Count]]/7)&lt;0,I96,I96+1)</f>
        <v>14</v>
      </c>
      <c r="J97">
        <f t="shared" si="9"/>
        <v>95</v>
      </c>
      <c r="K97">
        <f>IF(calendar[[#This Row],[Month]]&lt;4,1,IF(calendar[[#This Row],[Month]]&lt;7,2,IF(calendar[[#This Row],[Month]]&lt;10,3,4)))</f>
        <v>2</v>
      </c>
      <c r="L97">
        <f>IFERROR(IF(VLOOKUP(calendar[[#This Row],[Date]],BH!A:A,1,)&lt;&gt;"",1,0),0)</f>
        <v>0</v>
      </c>
      <c r="M97">
        <f>IFERROR(IF(VLOOKUP(calendar[[#This Row],[Date]],BH!C:C,1,)&lt;&gt;"",1,0),0)</f>
        <v>0</v>
      </c>
      <c r="N97">
        <f>IFERROR(IF(VLOOKUP(calendar[[#This Row],[Date]],BH!E:E,1,)&lt;&gt;"",1,0),0)</f>
        <v>0</v>
      </c>
      <c r="O97">
        <f>IFERROR(IF(VLOOKUP(calendar[[#This Row],[Date]],BH!G:G,1,)&lt;&gt;"",1,0),0)</f>
        <v>0</v>
      </c>
      <c r="P97">
        <f>IF(OR(calendar[[#This Row],[UK_BH]]=1,calendar[[#This Row],[WeekDay]]=1, calendar[[#This Row],[WeekDay]]=7),P96,P96+1)</f>
        <v>69</v>
      </c>
      <c r="Q97">
        <f>IF(OR(calendar[[#This Row],[FR_BH]]=1,calendar[[#This Row],[WeekDay]]=1, calendar[[#This Row],[WeekDay]]=7),P96,P96+1)</f>
        <v>69</v>
      </c>
      <c r="R97">
        <f>IF(OR(calendar[[#This Row],[SP_BH]]=1,calendar[[#This Row],[WeekDay]]=1, calendar[[#This Row],[WeekDay]]=7),P96,P96+1)</f>
        <v>69</v>
      </c>
      <c r="S97">
        <f>IF(OR(calendar[[#This Row],[PT_BH]]=1,calendar[[#This Row],[WeekDay]]=1, calendar[[#This Row],[WeekDay]]=7),P96,P96+1)</f>
        <v>69</v>
      </c>
    </row>
    <row r="98" spans="1:19" x14ac:dyDescent="0.25">
      <c r="A98" s="2">
        <v>42832</v>
      </c>
      <c r="B98" s="1">
        <f t="shared" si="8"/>
        <v>14</v>
      </c>
      <c r="C98">
        <f t="shared" si="10"/>
        <v>4</v>
      </c>
      <c r="D98" t="str">
        <f t="shared" si="11"/>
        <v>April</v>
      </c>
      <c r="E98">
        <f t="shared" si="12"/>
        <v>2017</v>
      </c>
      <c r="F98" t="str">
        <f>CONCATENATE(calendar[[#This Row],[Month]],"/",calendar[[#This Row],[Year]])</f>
        <v>4/2017</v>
      </c>
      <c r="G98">
        <f>WEEKDAY(calendar[[#This Row],[Date]],1)</f>
        <v>6</v>
      </c>
      <c r="H98" t="str">
        <f>TEXT(calendar[[#This Row],[WeekDay]],"dddd")</f>
        <v>Friday</v>
      </c>
      <c r="I98">
        <f>IF((INT(calendar[[#This Row],[Count]]/7)-calendar[[#This Row],[Count]]/7)&lt;0,I97,I97+1)</f>
        <v>14</v>
      </c>
      <c r="J98">
        <f t="shared" si="9"/>
        <v>96</v>
      </c>
      <c r="K98">
        <f>IF(calendar[[#This Row],[Month]]&lt;4,1,IF(calendar[[#This Row],[Month]]&lt;7,2,IF(calendar[[#This Row],[Month]]&lt;10,3,4)))</f>
        <v>2</v>
      </c>
      <c r="L98">
        <f>IFERROR(IF(VLOOKUP(calendar[[#This Row],[Date]],BH!A:A,1,)&lt;&gt;"",1,0),0)</f>
        <v>0</v>
      </c>
      <c r="M98">
        <f>IFERROR(IF(VLOOKUP(calendar[[#This Row],[Date]],BH!C:C,1,)&lt;&gt;"",1,0),0)</f>
        <v>0</v>
      </c>
      <c r="N98">
        <f>IFERROR(IF(VLOOKUP(calendar[[#This Row],[Date]],BH!E:E,1,)&lt;&gt;"",1,0),0)</f>
        <v>0</v>
      </c>
      <c r="O98">
        <f>IFERROR(IF(VLOOKUP(calendar[[#This Row],[Date]],BH!G:G,1,)&lt;&gt;"",1,0),0)</f>
        <v>0</v>
      </c>
      <c r="P98">
        <f>IF(OR(calendar[[#This Row],[UK_BH]]=1,calendar[[#This Row],[WeekDay]]=1, calendar[[#This Row],[WeekDay]]=7),P97,P97+1)</f>
        <v>70</v>
      </c>
      <c r="Q98">
        <f>IF(OR(calendar[[#This Row],[FR_BH]]=1,calendar[[#This Row],[WeekDay]]=1, calendar[[#This Row],[WeekDay]]=7),P97,P97+1)</f>
        <v>70</v>
      </c>
      <c r="R98">
        <f>IF(OR(calendar[[#This Row],[SP_BH]]=1,calendar[[#This Row],[WeekDay]]=1, calendar[[#This Row],[WeekDay]]=7),P97,P97+1)</f>
        <v>70</v>
      </c>
      <c r="S98">
        <f>IF(OR(calendar[[#This Row],[PT_BH]]=1,calendar[[#This Row],[WeekDay]]=1, calendar[[#This Row],[WeekDay]]=7),P97,P97+1)</f>
        <v>70</v>
      </c>
    </row>
    <row r="99" spans="1:19" x14ac:dyDescent="0.25">
      <c r="A99" s="2">
        <v>42833</v>
      </c>
      <c r="B99" s="1">
        <f t="shared" si="8"/>
        <v>14</v>
      </c>
      <c r="C99">
        <f t="shared" si="10"/>
        <v>4</v>
      </c>
      <c r="D99" t="str">
        <f t="shared" si="11"/>
        <v>April</v>
      </c>
      <c r="E99">
        <f t="shared" si="12"/>
        <v>2017</v>
      </c>
      <c r="F99" t="str">
        <f>CONCATENATE(calendar[[#This Row],[Month]],"/",calendar[[#This Row],[Year]])</f>
        <v>4/2017</v>
      </c>
      <c r="G99">
        <f>WEEKDAY(calendar[[#This Row],[Date]],1)</f>
        <v>7</v>
      </c>
      <c r="H99" t="str">
        <f>TEXT(calendar[[#This Row],[WeekDay]],"dddd")</f>
        <v>Saturday</v>
      </c>
      <c r="I99">
        <f>IF((INT(calendar[[#This Row],[Count]]/7)-calendar[[#This Row],[Count]]/7)&lt;0,I98,I98+1)</f>
        <v>14</v>
      </c>
      <c r="J99">
        <f t="shared" si="9"/>
        <v>97</v>
      </c>
      <c r="K99">
        <f>IF(calendar[[#This Row],[Month]]&lt;4,1,IF(calendar[[#This Row],[Month]]&lt;7,2,IF(calendar[[#This Row],[Month]]&lt;10,3,4)))</f>
        <v>2</v>
      </c>
      <c r="L99">
        <f>IFERROR(IF(VLOOKUP(calendar[[#This Row],[Date]],BH!A:A,1,)&lt;&gt;"",1,0),0)</f>
        <v>0</v>
      </c>
      <c r="M99">
        <f>IFERROR(IF(VLOOKUP(calendar[[#This Row],[Date]],BH!C:C,1,)&lt;&gt;"",1,0),0)</f>
        <v>0</v>
      </c>
      <c r="N99">
        <f>IFERROR(IF(VLOOKUP(calendar[[#This Row],[Date]],BH!E:E,1,)&lt;&gt;"",1,0),0)</f>
        <v>0</v>
      </c>
      <c r="O99">
        <f>IFERROR(IF(VLOOKUP(calendar[[#This Row],[Date]],BH!G:G,1,)&lt;&gt;"",1,0),0)</f>
        <v>0</v>
      </c>
      <c r="P99">
        <f>IF(OR(calendar[[#This Row],[UK_BH]]=1,calendar[[#This Row],[WeekDay]]=1, calendar[[#This Row],[WeekDay]]=7),P98,P98+1)</f>
        <v>70</v>
      </c>
      <c r="Q99">
        <f>IF(OR(calendar[[#This Row],[FR_BH]]=1,calendar[[#This Row],[WeekDay]]=1, calendar[[#This Row],[WeekDay]]=7),P98,P98+1)</f>
        <v>70</v>
      </c>
      <c r="R99">
        <f>IF(OR(calendar[[#This Row],[SP_BH]]=1,calendar[[#This Row],[WeekDay]]=1, calendar[[#This Row],[WeekDay]]=7),P98,P98+1)</f>
        <v>70</v>
      </c>
      <c r="S99">
        <f>IF(OR(calendar[[#This Row],[PT_BH]]=1,calendar[[#This Row],[WeekDay]]=1, calendar[[#This Row],[WeekDay]]=7),P98,P98+1)</f>
        <v>70</v>
      </c>
    </row>
    <row r="100" spans="1:19" x14ac:dyDescent="0.25">
      <c r="A100" s="2">
        <v>42834</v>
      </c>
      <c r="B100" s="1">
        <f t="shared" si="8"/>
        <v>15</v>
      </c>
      <c r="C100">
        <f t="shared" si="10"/>
        <v>4</v>
      </c>
      <c r="D100" t="str">
        <f t="shared" si="11"/>
        <v>April</v>
      </c>
      <c r="E100">
        <f t="shared" si="12"/>
        <v>2017</v>
      </c>
      <c r="F100" t="str">
        <f>CONCATENATE(calendar[[#This Row],[Month]],"/",calendar[[#This Row],[Year]])</f>
        <v>4/2017</v>
      </c>
      <c r="G100">
        <f>WEEKDAY(calendar[[#This Row],[Date]],1)</f>
        <v>1</v>
      </c>
      <c r="H100" t="str">
        <f>TEXT(calendar[[#This Row],[WeekDay]],"dddd")</f>
        <v>Sunday</v>
      </c>
      <c r="I100">
        <f>IF((INT(calendar[[#This Row],[Count]]/7)-calendar[[#This Row],[Count]]/7)&lt;0,I99,I99+1)</f>
        <v>15</v>
      </c>
      <c r="J100">
        <f t="shared" si="9"/>
        <v>98</v>
      </c>
      <c r="K100">
        <f>IF(calendar[[#This Row],[Month]]&lt;4,1,IF(calendar[[#This Row],[Month]]&lt;7,2,IF(calendar[[#This Row],[Month]]&lt;10,3,4)))</f>
        <v>2</v>
      </c>
      <c r="L100">
        <f>IFERROR(IF(VLOOKUP(calendar[[#This Row],[Date]],BH!A:A,1,)&lt;&gt;"",1,0),0)</f>
        <v>0</v>
      </c>
      <c r="M100">
        <f>IFERROR(IF(VLOOKUP(calendar[[#This Row],[Date]],BH!C:C,1,)&lt;&gt;"",1,0),0)</f>
        <v>0</v>
      </c>
      <c r="N100">
        <f>IFERROR(IF(VLOOKUP(calendar[[#This Row],[Date]],BH!E:E,1,)&lt;&gt;"",1,0),0)</f>
        <v>0</v>
      </c>
      <c r="O100">
        <f>IFERROR(IF(VLOOKUP(calendar[[#This Row],[Date]],BH!G:G,1,)&lt;&gt;"",1,0),0)</f>
        <v>0</v>
      </c>
      <c r="P100">
        <f>IF(OR(calendar[[#This Row],[UK_BH]]=1,calendar[[#This Row],[WeekDay]]=1, calendar[[#This Row],[WeekDay]]=7),P99,P99+1)</f>
        <v>70</v>
      </c>
      <c r="Q100">
        <f>IF(OR(calendar[[#This Row],[FR_BH]]=1,calendar[[#This Row],[WeekDay]]=1, calendar[[#This Row],[WeekDay]]=7),P99,P99+1)</f>
        <v>70</v>
      </c>
      <c r="R100">
        <f>IF(OR(calendar[[#This Row],[SP_BH]]=1,calendar[[#This Row],[WeekDay]]=1, calendar[[#This Row],[WeekDay]]=7),P99,P99+1)</f>
        <v>70</v>
      </c>
      <c r="S100">
        <f>IF(OR(calendar[[#This Row],[PT_BH]]=1,calendar[[#This Row],[WeekDay]]=1, calendar[[#This Row],[WeekDay]]=7),P99,P99+1)</f>
        <v>70</v>
      </c>
    </row>
    <row r="101" spans="1:19" x14ac:dyDescent="0.25">
      <c r="A101" s="2">
        <v>42835</v>
      </c>
      <c r="B101" s="1">
        <f t="shared" si="8"/>
        <v>15</v>
      </c>
      <c r="C101">
        <f t="shared" si="10"/>
        <v>4</v>
      </c>
      <c r="D101" t="str">
        <f t="shared" si="11"/>
        <v>April</v>
      </c>
      <c r="E101">
        <f t="shared" si="12"/>
        <v>2017</v>
      </c>
      <c r="F101" t="str">
        <f>CONCATENATE(calendar[[#This Row],[Month]],"/",calendar[[#This Row],[Year]])</f>
        <v>4/2017</v>
      </c>
      <c r="G101">
        <f>WEEKDAY(calendar[[#This Row],[Date]],1)</f>
        <v>2</v>
      </c>
      <c r="H101" t="str">
        <f>TEXT(calendar[[#This Row],[WeekDay]],"dddd")</f>
        <v>Monday</v>
      </c>
      <c r="I101">
        <f>IF((INT(calendar[[#This Row],[Count]]/7)-calendar[[#This Row],[Count]]/7)&lt;0,I100,I100+1)</f>
        <v>15</v>
      </c>
      <c r="J101">
        <f t="shared" si="9"/>
        <v>99</v>
      </c>
      <c r="K101">
        <f>IF(calendar[[#This Row],[Month]]&lt;4,1,IF(calendar[[#This Row],[Month]]&lt;7,2,IF(calendar[[#This Row],[Month]]&lt;10,3,4)))</f>
        <v>2</v>
      </c>
      <c r="L101">
        <f>IFERROR(IF(VLOOKUP(calendar[[#This Row],[Date]],BH!A:A,1,)&lt;&gt;"",1,0),0)</f>
        <v>0</v>
      </c>
      <c r="M101">
        <f>IFERROR(IF(VLOOKUP(calendar[[#This Row],[Date]],BH!C:C,1,)&lt;&gt;"",1,0),0)</f>
        <v>0</v>
      </c>
      <c r="N101">
        <f>IFERROR(IF(VLOOKUP(calendar[[#This Row],[Date]],BH!E:E,1,)&lt;&gt;"",1,0),0)</f>
        <v>0</v>
      </c>
      <c r="O101">
        <f>IFERROR(IF(VLOOKUP(calendar[[#This Row],[Date]],BH!G:G,1,)&lt;&gt;"",1,0),0)</f>
        <v>0</v>
      </c>
      <c r="P101">
        <f>IF(OR(calendar[[#This Row],[UK_BH]]=1,calendar[[#This Row],[WeekDay]]=1, calendar[[#This Row],[WeekDay]]=7),P100,P100+1)</f>
        <v>71</v>
      </c>
      <c r="Q101">
        <f>IF(OR(calendar[[#This Row],[FR_BH]]=1,calendar[[#This Row],[WeekDay]]=1, calendar[[#This Row],[WeekDay]]=7),P100,P100+1)</f>
        <v>71</v>
      </c>
      <c r="R101">
        <f>IF(OR(calendar[[#This Row],[SP_BH]]=1,calendar[[#This Row],[WeekDay]]=1, calendar[[#This Row],[WeekDay]]=7),P100,P100+1)</f>
        <v>71</v>
      </c>
      <c r="S101">
        <f>IF(OR(calendar[[#This Row],[PT_BH]]=1,calendar[[#This Row],[WeekDay]]=1, calendar[[#This Row],[WeekDay]]=7),P100,P100+1)</f>
        <v>71</v>
      </c>
    </row>
    <row r="102" spans="1:19" x14ac:dyDescent="0.25">
      <c r="A102" s="2">
        <v>42836</v>
      </c>
      <c r="B102" s="1">
        <f t="shared" si="8"/>
        <v>15</v>
      </c>
      <c r="C102">
        <f t="shared" si="10"/>
        <v>4</v>
      </c>
      <c r="D102" t="str">
        <f t="shared" si="11"/>
        <v>April</v>
      </c>
      <c r="E102">
        <f t="shared" si="12"/>
        <v>2017</v>
      </c>
      <c r="F102" t="str">
        <f>CONCATENATE(calendar[[#This Row],[Month]],"/",calendar[[#This Row],[Year]])</f>
        <v>4/2017</v>
      </c>
      <c r="G102">
        <f>WEEKDAY(calendar[[#This Row],[Date]],1)</f>
        <v>3</v>
      </c>
      <c r="H102" t="str">
        <f>TEXT(calendar[[#This Row],[WeekDay]],"dddd")</f>
        <v>Tuesday</v>
      </c>
      <c r="I102">
        <f>IF((INT(calendar[[#This Row],[Count]]/7)-calendar[[#This Row],[Count]]/7)&lt;0,I101,I101+1)</f>
        <v>15</v>
      </c>
      <c r="J102">
        <f t="shared" si="9"/>
        <v>100</v>
      </c>
      <c r="K102">
        <f>IF(calendar[[#This Row],[Month]]&lt;4,1,IF(calendar[[#This Row],[Month]]&lt;7,2,IF(calendar[[#This Row],[Month]]&lt;10,3,4)))</f>
        <v>2</v>
      </c>
      <c r="L102">
        <f>IFERROR(IF(VLOOKUP(calendar[[#This Row],[Date]],BH!A:A,1,)&lt;&gt;"",1,0),0)</f>
        <v>0</v>
      </c>
      <c r="M102">
        <f>IFERROR(IF(VLOOKUP(calendar[[#This Row],[Date]],BH!C:C,1,)&lt;&gt;"",1,0),0)</f>
        <v>0</v>
      </c>
      <c r="N102">
        <f>IFERROR(IF(VLOOKUP(calendar[[#This Row],[Date]],BH!E:E,1,)&lt;&gt;"",1,0),0)</f>
        <v>0</v>
      </c>
      <c r="O102">
        <f>IFERROR(IF(VLOOKUP(calendar[[#This Row],[Date]],BH!G:G,1,)&lt;&gt;"",1,0),0)</f>
        <v>0</v>
      </c>
      <c r="P102">
        <f>IF(OR(calendar[[#This Row],[UK_BH]]=1,calendar[[#This Row],[WeekDay]]=1, calendar[[#This Row],[WeekDay]]=7),P101,P101+1)</f>
        <v>72</v>
      </c>
      <c r="Q102">
        <f>IF(OR(calendar[[#This Row],[FR_BH]]=1,calendar[[#This Row],[WeekDay]]=1, calendar[[#This Row],[WeekDay]]=7),P101,P101+1)</f>
        <v>72</v>
      </c>
      <c r="R102">
        <f>IF(OR(calendar[[#This Row],[SP_BH]]=1,calendar[[#This Row],[WeekDay]]=1, calendar[[#This Row],[WeekDay]]=7),P101,P101+1)</f>
        <v>72</v>
      </c>
      <c r="S102">
        <f>IF(OR(calendar[[#This Row],[PT_BH]]=1,calendar[[#This Row],[WeekDay]]=1, calendar[[#This Row],[WeekDay]]=7),P101,P101+1)</f>
        <v>72</v>
      </c>
    </row>
    <row r="103" spans="1:19" x14ac:dyDescent="0.25">
      <c r="A103" s="2">
        <v>42837</v>
      </c>
      <c r="B103" s="1">
        <f t="shared" si="8"/>
        <v>15</v>
      </c>
      <c r="C103">
        <f t="shared" si="10"/>
        <v>4</v>
      </c>
      <c r="D103" t="str">
        <f t="shared" si="11"/>
        <v>April</v>
      </c>
      <c r="E103">
        <f t="shared" si="12"/>
        <v>2017</v>
      </c>
      <c r="F103" t="str">
        <f>CONCATENATE(calendar[[#This Row],[Month]],"/",calendar[[#This Row],[Year]])</f>
        <v>4/2017</v>
      </c>
      <c r="G103">
        <f>WEEKDAY(calendar[[#This Row],[Date]],1)</f>
        <v>4</v>
      </c>
      <c r="H103" t="str">
        <f>TEXT(calendar[[#This Row],[WeekDay]],"dddd")</f>
        <v>Wednesday</v>
      </c>
      <c r="I103">
        <f>IF((INT(calendar[[#This Row],[Count]]/7)-calendar[[#This Row],[Count]]/7)&lt;0,I102,I102+1)</f>
        <v>15</v>
      </c>
      <c r="J103">
        <f t="shared" si="9"/>
        <v>101</v>
      </c>
      <c r="K103">
        <f>IF(calendar[[#This Row],[Month]]&lt;4,1,IF(calendar[[#This Row],[Month]]&lt;7,2,IF(calendar[[#This Row],[Month]]&lt;10,3,4)))</f>
        <v>2</v>
      </c>
      <c r="L103">
        <f>IFERROR(IF(VLOOKUP(calendar[[#This Row],[Date]],BH!A:A,1,)&lt;&gt;"",1,0),0)</f>
        <v>0</v>
      </c>
      <c r="M103">
        <f>IFERROR(IF(VLOOKUP(calendar[[#This Row],[Date]],BH!C:C,1,)&lt;&gt;"",1,0),0)</f>
        <v>0</v>
      </c>
      <c r="N103">
        <f>IFERROR(IF(VLOOKUP(calendar[[#This Row],[Date]],BH!E:E,1,)&lt;&gt;"",1,0),0)</f>
        <v>0</v>
      </c>
      <c r="O103">
        <f>IFERROR(IF(VLOOKUP(calendar[[#This Row],[Date]],BH!G:G,1,)&lt;&gt;"",1,0),0)</f>
        <v>0</v>
      </c>
      <c r="P103">
        <f>IF(OR(calendar[[#This Row],[UK_BH]]=1,calendar[[#This Row],[WeekDay]]=1, calendar[[#This Row],[WeekDay]]=7),P102,P102+1)</f>
        <v>73</v>
      </c>
      <c r="Q103">
        <f>IF(OR(calendar[[#This Row],[FR_BH]]=1,calendar[[#This Row],[WeekDay]]=1, calendar[[#This Row],[WeekDay]]=7),P102,P102+1)</f>
        <v>73</v>
      </c>
      <c r="R103">
        <f>IF(OR(calendar[[#This Row],[SP_BH]]=1,calendar[[#This Row],[WeekDay]]=1, calendar[[#This Row],[WeekDay]]=7),P102,P102+1)</f>
        <v>73</v>
      </c>
      <c r="S103">
        <f>IF(OR(calendar[[#This Row],[PT_BH]]=1,calendar[[#This Row],[WeekDay]]=1, calendar[[#This Row],[WeekDay]]=7),P102,P102+1)</f>
        <v>73</v>
      </c>
    </row>
    <row r="104" spans="1:19" x14ac:dyDescent="0.25">
      <c r="A104" s="2">
        <v>42838</v>
      </c>
      <c r="B104" s="1">
        <f t="shared" si="8"/>
        <v>15</v>
      </c>
      <c r="C104">
        <f t="shared" si="10"/>
        <v>4</v>
      </c>
      <c r="D104" t="str">
        <f t="shared" si="11"/>
        <v>April</v>
      </c>
      <c r="E104">
        <f t="shared" si="12"/>
        <v>2017</v>
      </c>
      <c r="F104" t="str">
        <f>CONCATENATE(calendar[[#This Row],[Month]],"/",calendar[[#This Row],[Year]])</f>
        <v>4/2017</v>
      </c>
      <c r="G104">
        <f>WEEKDAY(calendar[[#This Row],[Date]],1)</f>
        <v>5</v>
      </c>
      <c r="H104" t="str">
        <f>TEXT(calendar[[#This Row],[WeekDay]],"dddd")</f>
        <v>Thursday</v>
      </c>
      <c r="I104">
        <f>IF((INT(calendar[[#This Row],[Count]]/7)-calendar[[#This Row],[Count]]/7)&lt;0,I103,I103+1)</f>
        <v>15</v>
      </c>
      <c r="J104">
        <f t="shared" si="9"/>
        <v>102</v>
      </c>
      <c r="K104">
        <f>IF(calendar[[#This Row],[Month]]&lt;4,1,IF(calendar[[#This Row],[Month]]&lt;7,2,IF(calendar[[#This Row],[Month]]&lt;10,3,4)))</f>
        <v>2</v>
      </c>
      <c r="L104">
        <f>IFERROR(IF(VLOOKUP(calendar[[#This Row],[Date]],BH!A:A,1,)&lt;&gt;"",1,0),0)</f>
        <v>0</v>
      </c>
      <c r="M104">
        <f>IFERROR(IF(VLOOKUP(calendar[[#This Row],[Date]],BH!C:C,1,)&lt;&gt;"",1,0),0)</f>
        <v>0</v>
      </c>
      <c r="N104">
        <f>IFERROR(IF(VLOOKUP(calendar[[#This Row],[Date]],BH!E:E,1,)&lt;&gt;"",1,0),0)</f>
        <v>0</v>
      </c>
      <c r="O104">
        <f>IFERROR(IF(VLOOKUP(calendar[[#This Row],[Date]],BH!G:G,1,)&lt;&gt;"",1,0),0)</f>
        <v>0</v>
      </c>
      <c r="P104">
        <f>IF(OR(calendar[[#This Row],[UK_BH]]=1,calendar[[#This Row],[WeekDay]]=1, calendar[[#This Row],[WeekDay]]=7),P103,P103+1)</f>
        <v>74</v>
      </c>
      <c r="Q104">
        <f>IF(OR(calendar[[#This Row],[FR_BH]]=1,calendar[[#This Row],[WeekDay]]=1, calendar[[#This Row],[WeekDay]]=7),P103,P103+1)</f>
        <v>74</v>
      </c>
      <c r="R104">
        <f>IF(OR(calendar[[#This Row],[SP_BH]]=1,calendar[[#This Row],[WeekDay]]=1, calendar[[#This Row],[WeekDay]]=7),P103,P103+1)</f>
        <v>74</v>
      </c>
      <c r="S104">
        <f>IF(OR(calendar[[#This Row],[PT_BH]]=1,calendar[[#This Row],[WeekDay]]=1, calendar[[#This Row],[WeekDay]]=7),P103,P103+1)</f>
        <v>74</v>
      </c>
    </row>
    <row r="105" spans="1:19" x14ac:dyDescent="0.25">
      <c r="A105" s="2">
        <v>42839</v>
      </c>
      <c r="B105" s="1">
        <f t="shared" si="8"/>
        <v>15</v>
      </c>
      <c r="C105">
        <f t="shared" si="10"/>
        <v>4</v>
      </c>
      <c r="D105" t="str">
        <f t="shared" si="11"/>
        <v>April</v>
      </c>
      <c r="E105">
        <f t="shared" si="12"/>
        <v>2017</v>
      </c>
      <c r="F105" t="str">
        <f>CONCATENATE(calendar[[#This Row],[Month]],"/",calendar[[#This Row],[Year]])</f>
        <v>4/2017</v>
      </c>
      <c r="G105">
        <f>WEEKDAY(calendar[[#This Row],[Date]],1)</f>
        <v>6</v>
      </c>
      <c r="H105" t="str">
        <f>TEXT(calendar[[#This Row],[WeekDay]],"dddd")</f>
        <v>Friday</v>
      </c>
      <c r="I105">
        <f>IF((INT(calendar[[#This Row],[Count]]/7)-calendar[[#This Row],[Count]]/7)&lt;0,I104,I104+1)</f>
        <v>15</v>
      </c>
      <c r="J105">
        <f t="shared" si="9"/>
        <v>103</v>
      </c>
      <c r="K105">
        <f>IF(calendar[[#This Row],[Month]]&lt;4,1,IF(calendar[[#This Row],[Month]]&lt;7,2,IF(calendar[[#This Row],[Month]]&lt;10,3,4)))</f>
        <v>2</v>
      </c>
      <c r="L105">
        <f>IFERROR(IF(VLOOKUP(calendar[[#This Row],[Date]],BH!A:A,1,)&lt;&gt;"",1,0),0)</f>
        <v>0</v>
      </c>
      <c r="M105">
        <f>IFERROR(IF(VLOOKUP(calendar[[#This Row],[Date]],BH!C:C,1,)&lt;&gt;"",1,0),0)</f>
        <v>0</v>
      </c>
      <c r="N105">
        <f>IFERROR(IF(VLOOKUP(calendar[[#This Row],[Date]],BH!E:E,1,)&lt;&gt;"",1,0),0)</f>
        <v>0</v>
      </c>
      <c r="O105">
        <f>IFERROR(IF(VLOOKUP(calendar[[#This Row],[Date]],BH!G:G,1,)&lt;&gt;"",1,0),0)</f>
        <v>0</v>
      </c>
      <c r="P105">
        <f>IF(OR(calendar[[#This Row],[UK_BH]]=1,calendar[[#This Row],[WeekDay]]=1, calendar[[#This Row],[WeekDay]]=7),P104,P104+1)</f>
        <v>75</v>
      </c>
      <c r="Q105">
        <f>IF(OR(calendar[[#This Row],[FR_BH]]=1,calendar[[#This Row],[WeekDay]]=1, calendar[[#This Row],[WeekDay]]=7),P104,P104+1)</f>
        <v>75</v>
      </c>
      <c r="R105">
        <f>IF(OR(calendar[[#This Row],[SP_BH]]=1,calendar[[#This Row],[WeekDay]]=1, calendar[[#This Row],[WeekDay]]=7),P104,P104+1)</f>
        <v>75</v>
      </c>
      <c r="S105">
        <f>IF(OR(calendar[[#This Row],[PT_BH]]=1,calendar[[#This Row],[WeekDay]]=1, calendar[[#This Row],[WeekDay]]=7),P104,P104+1)</f>
        <v>75</v>
      </c>
    </row>
    <row r="106" spans="1:19" x14ac:dyDescent="0.25">
      <c r="A106" s="2">
        <v>42840</v>
      </c>
      <c r="B106" s="1">
        <f t="shared" si="8"/>
        <v>15</v>
      </c>
      <c r="C106">
        <f t="shared" si="10"/>
        <v>4</v>
      </c>
      <c r="D106" t="str">
        <f t="shared" si="11"/>
        <v>April</v>
      </c>
      <c r="E106">
        <f t="shared" si="12"/>
        <v>2017</v>
      </c>
      <c r="F106" t="str">
        <f>CONCATENATE(calendar[[#This Row],[Month]],"/",calendar[[#This Row],[Year]])</f>
        <v>4/2017</v>
      </c>
      <c r="G106">
        <f>WEEKDAY(calendar[[#This Row],[Date]],1)</f>
        <v>7</v>
      </c>
      <c r="H106" t="str">
        <f>TEXT(calendar[[#This Row],[WeekDay]],"dddd")</f>
        <v>Saturday</v>
      </c>
      <c r="I106">
        <f>IF((INT(calendar[[#This Row],[Count]]/7)-calendar[[#This Row],[Count]]/7)&lt;0,I105,I105+1)</f>
        <v>15</v>
      </c>
      <c r="J106">
        <f t="shared" si="9"/>
        <v>104</v>
      </c>
      <c r="K106">
        <f>IF(calendar[[#This Row],[Month]]&lt;4,1,IF(calendar[[#This Row],[Month]]&lt;7,2,IF(calendar[[#This Row],[Month]]&lt;10,3,4)))</f>
        <v>2</v>
      </c>
      <c r="L106">
        <f>IFERROR(IF(VLOOKUP(calendar[[#This Row],[Date]],BH!A:A,1,)&lt;&gt;"",1,0),0)</f>
        <v>0</v>
      </c>
      <c r="M106">
        <f>IFERROR(IF(VLOOKUP(calendar[[#This Row],[Date]],BH!C:C,1,)&lt;&gt;"",1,0),0)</f>
        <v>0</v>
      </c>
      <c r="N106">
        <f>IFERROR(IF(VLOOKUP(calendar[[#This Row],[Date]],BH!E:E,1,)&lt;&gt;"",1,0),0)</f>
        <v>0</v>
      </c>
      <c r="O106">
        <f>IFERROR(IF(VLOOKUP(calendar[[#This Row],[Date]],BH!G:G,1,)&lt;&gt;"",1,0),0)</f>
        <v>0</v>
      </c>
      <c r="P106">
        <f>IF(OR(calendar[[#This Row],[UK_BH]]=1,calendar[[#This Row],[WeekDay]]=1, calendar[[#This Row],[WeekDay]]=7),P105,P105+1)</f>
        <v>75</v>
      </c>
      <c r="Q106">
        <f>IF(OR(calendar[[#This Row],[FR_BH]]=1,calendar[[#This Row],[WeekDay]]=1, calendar[[#This Row],[WeekDay]]=7),P105,P105+1)</f>
        <v>75</v>
      </c>
      <c r="R106">
        <f>IF(OR(calendar[[#This Row],[SP_BH]]=1,calendar[[#This Row],[WeekDay]]=1, calendar[[#This Row],[WeekDay]]=7),P105,P105+1)</f>
        <v>75</v>
      </c>
      <c r="S106">
        <f>IF(OR(calendar[[#This Row],[PT_BH]]=1,calendar[[#This Row],[WeekDay]]=1, calendar[[#This Row],[WeekDay]]=7),P105,P105+1)</f>
        <v>75</v>
      </c>
    </row>
    <row r="107" spans="1:19" x14ac:dyDescent="0.25">
      <c r="A107" s="2">
        <v>42841</v>
      </c>
      <c r="B107" s="1">
        <f t="shared" si="8"/>
        <v>16</v>
      </c>
      <c r="C107">
        <f t="shared" si="10"/>
        <v>4</v>
      </c>
      <c r="D107" t="str">
        <f t="shared" si="11"/>
        <v>April</v>
      </c>
      <c r="E107">
        <f t="shared" si="12"/>
        <v>2017</v>
      </c>
      <c r="F107" t="str">
        <f>CONCATENATE(calendar[[#This Row],[Month]],"/",calendar[[#This Row],[Year]])</f>
        <v>4/2017</v>
      </c>
      <c r="G107">
        <f>WEEKDAY(calendar[[#This Row],[Date]],1)</f>
        <v>1</v>
      </c>
      <c r="H107" t="str">
        <f>TEXT(calendar[[#This Row],[WeekDay]],"dddd")</f>
        <v>Sunday</v>
      </c>
      <c r="I107">
        <f>IF((INT(calendar[[#This Row],[Count]]/7)-calendar[[#This Row],[Count]]/7)&lt;0,I106,I106+1)</f>
        <v>16</v>
      </c>
      <c r="J107">
        <f t="shared" si="9"/>
        <v>105</v>
      </c>
      <c r="K107">
        <f>IF(calendar[[#This Row],[Month]]&lt;4,1,IF(calendar[[#This Row],[Month]]&lt;7,2,IF(calendar[[#This Row],[Month]]&lt;10,3,4)))</f>
        <v>2</v>
      </c>
      <c r="L107">
        <f>IFERROR(IF(VLOOKUP(calendar[[#This Row],[Date]],BH!A:A,1,)&lt;&gt;"",1,0),0)</f>
        <v>0</v>
      </c>
      <c r="M107">
        <f>IFERROR(IF(VLOOKUP(calendar[[#This Row],[Date]],BH!C:C,1,)&lt;&gt;"",1,0),0)</f>
        <v>0</v>
      </c>
      <c r="N107">
        <f>IFERROR(IF(VLOOKUP(calendar[[#This Row],[Date]],BH!E:E,1,)&lt;&gt;"",1,0),0)</f>
        <v>0</v>
      </c>
      <c r="O107">
        <f>IFERROR(IF(VLOOKUP(calendar[[#This Row],[Date]],BH!G:G,1,)&lt;&gt;"",1,0),0)</f>
        <v>0</v>
      </c>
      <c r="P107">
        <f>IF(OR(calendar[[#This Row],[UK_BH]]=1,calendar[[#This Row],[WeekDay]]=1, calendar[[#This Row],[WeekDay]]=7),P106,P106+1)</f>
        <v>75</v>
      </c>
      <c r="Q107">
        <f>IF(OR(calendar[[#This Row],[FR_BH]]=1,calendar[[#This Row],[WeekDay]]=1, calendar[[#This Row],[WeekDay]]=7),P106,P106+1)</f>
        <v>75</v>
      </c>
      <c r="R107">
        <f>IF(OR(calendar[[#This Row],[SP_BH]]=1,calendar[[#This Row],[WeekDay]]=1, calendar[[#This Row],[WeekDay]]=7),P106,P106+1)</f>
        <v>75</v>
      </c>
      <c r="S107">
        <f>IF(OR(calendar[[#This Row],[PT_BH]]=1,calendar[[#This Row],[WeekDay]]=1, calendar[[#This Row],[WeekDay]]=7),P106,P106+1)</f>
        <v>75</v>
      </c>
    </row>
    <row r="108" spans="1:19" x14ac:dyDescent="0.25">
      <c r="A108" s="2">
        <v>42842</v>
      </c>
      <c r="B108" s="1">
        <f t="shared" si="8"/>
        <v>16</v>
      </c>
      <c r="C108">
        <f t="shared" si="10"/>
        <v>4</v>
      </c>
      <c r="D108" t="str">
        <f t="shared" si="11"/>
        <v>April</v>
      </c>
      <c r="E108">
        <f t="shared" si="12"/>
        <v>2017</v>
      </c>
      <c r="F108" t="str">
        <f>CONCATENATE(calendar[[#This Row],[Month]],"/",calendar[[#This Row],[Year]])</f>
        <v>4/2017</v>
      </c>
      <c r="G108">
        <f>WEEKDAY(calendar[[#This Row],[Date]],1)</f>
        <v>2</v>
      </c>
      <c r="H108" t="str">
        <f>TEXT(calendar[[#This Row],[WeekDay]],"dddd")</f>
        <v>Monday</v>
      </c>
      <c r="I108">
        <f>IF((INT(calendar[[#This Row],[Count]]/7)-calendar[[#This Row],[Count]]/7)&lt;0,I107,I107+1)</f>
        <v>16</v>
      </c>
      <c r="J108">
        <f t="shared" si="9"/>
        <v>106</v>
      </c>
      <c r="K108">
        <f>IF(calendar[[#This Row],[Month]]&lt;4,1,IF(calendar[[#This Row],[Month]]&lt;7,2,IF(calendar[[#This Row],[Month]]&lt;10,3,4)))</f>
        <v>2</v>
      </c>
      <c r="L108">
        <f>IFERROR(IF(VLOOKUP(calendar[[#This Row],[Date]],BH!A:A,1,)&lt;&gt;"",1,0),0)</f>
        <v>0</v>
      </c>
      <c r="M108">
        <f>IFERROR(IF(VLOOKUP(calendar[[#This Row],[Date]],BH!C:C,1,)&lt;&gt;"",1,0),0)</f>
        <v>0</v>
      </c>
      <c r="N108">
        <f>IFERROR(IF(VLOOKUP(calendar[[#This Row],[Date]],BH!E:E,1,)&lt;&gt;"",1,0),0)</f>
        <v>0</v>
      </c>
      <c r="O108">
        <f>IFERROR(IF(VLOOKUP(calendar[[#This Row],[Date]],BH!G:G,1,)&lt;&gt;"",1,0),0)</f>
        <v>0</v>
      </c>
      <c r="P108">
        <f>IF(OR(calendar[[#This Row],[UK_BH]]=1,calendar[[#This Row],[WeekDay]]=1, calendar[[#This Row],[WeekDay]]=7),P107,P107+1)</f>
        <v>76</v>
      </c>
      <c r="Q108">
        <f>IF(OR(calendar[[#This Row],[FR_BH]]=1,calendar[[#This Row],[WeekDay]]=1, calendar[[#This Row],[WeekDay]]=7),P107,P107+1)</f>
        <v>76</v>
      </c>
      <c r="R108">
        <f>IF(OR(calendar[[#This Row],[SP_BH]]=1,calendar[[#This Row],[WeekDay]]=1, calendar[[#This Row],[WeekDay]]=7),P107,P107+1)</f>
        <v>76</v>
      </c>
      <c r="S108">
        <f>IF(OR(calendar[[#This Row],[PT_BH]]=1,calendar[[#This Row],[WeekDay]]=1, calendar[[#This Row],[WeekDay]]=7),P107,P107+1)</f>
        <v>76</v>
      </c>
    </row>
    <row r="109" spans="1:19" x14ac:dyDescent="0.25">
      <c r="A109" s="2">
        <v>42843</v>
      </c>
      <c r="B109" s="1">
        <f t="shared" si="8"/>
        <v>16</v>
      </c>
      <c r="C109">
        <f t="shared" si="10"/>
        <v>4</v>
      </c>
      <c r="D109" t="str">
        <f t="shared" si="11"/>
        <v>April</v>
      </c>
      <c r="E109">
        <f t="shared" si="12"/>
        <v>2017</v>
      </c>
      <c r="F109" t="str">
        <f>CONCATENATE(calendar[[#This Row],[Month]],"/",calendar[[#This Row],[Year]])</f>
        <v>4/2017</v>
      </c>
      <c r="G109">
        <f>WEEKDAY(calendar[[#This Row],[Date]],1)</f>
        <v>3</v>
      </c>
      <c r="H109" t="str">
        <f>TEXT(calendar[[#This Row],[WeekDay]],"dddd")</f>
        <v>Tuesday</v>
      </c>
      <c r="I109">
        <f>IF((INT(calendar[[#This Row],[Count]]/7)-calendar[[#This Row],[Count]]/7)&lt;0,I108,I108+1)</f>
        <v>16</v>
      </c>
      <c r="J109">
        <f t="shared" si="9"/>
        <v>107</v>
      </c>
      <c r="K109">
        <f>IF(calendar[[#This Row],[Month]]&lt;4,1,IF(calendar[[#This Row],[Month]]&lt;7,2,IF(calendar[[#This Row],[Month]]&lt;10,3,4)))</f>
        <v>2</v>
      </c>
      <c r="L109">
        <f>IFERROR(IF(VLOOKUP(calendar[[#This Row],[Date]],BH!A:A,1,)&lt;&gt;"",1,0),0)</f>
        <v>0</v>
      </c>
      <c r="M109">
        <f>IFERROR(IF(VLOOKUP(calendar[[#This Row],[Date]],BH!C:C,1,)&lt;&gt;"",1,0),0)</f>
        <v>0</v>
      </c>
      <c r="N109">
        <f>IFERROR(IF(VLOOKUP(calendar[[#This Row],[Date]],BH!E:E,1,)&lt;&gt;"",1,0),0)</f>
        <v>0</v>
      </c>
      <c r="O109">
        <f>IFERROR(IF(VLOOKUP(calendar[[#This Row],[Date]],BH!G:G,1,)&lt;&gt;"",1,0),0)</f>
        <v>0</v>
      </c>
      <c r="P109">
        <f>IF(OR(calendar[[#This Row],[UK_BH]]=1,calendar[[#This Row],[WeekDay]]=1, calendar[[#This Row],[WeekDay]]=7),P108,P108+1)</f>
        <v>77</v>
      </c>
      <c r="Q109">
        <f>IF(OR(calendar[[#This Row],[FR_BH]]=1,calendar[[#This Row],[WeekDay]]=1, calendar[[#This Row],[WeekDay]]=7),P108,P108+1)</f>
        <v>77</v>
      </c>
      <c r="R109">
        <f>IF(OR(calendar[[#This Row],[SP_BH]]=1,calendar[[#This Row],[WeekDay]]=1, calendar[[#This Row],[WeekDay]]=7),P108,P108+1)</f>
        <v>77</v>
      </c>
      <c r="S109">
        <f>IF(OR(calendar[[#This Row],[PT_BH]]=1,calendar[[#This Row],[WeekDay]]=1, calendar[[#This Row],[WeekDay]]=7),P108,P108+1)</f>
        <v>77</v>
      </c>
    </row>
    <row r="110" spans="1:19" x14ac:dyDescent="0.25">
      <c r="A110" s="2">
        <v>42844</v>
      </c>
      <c r="B110" s="1">
        <f t="shared" si="8"/>
        <v>16</v>
      </c>
      <c r="C110">
        <f t="shared" si="10"/>
        <v>4</v>
      </c>
      <c r="D110" t="str">
        <f t="shared" si="11"/>
        <v>April</v>
      </c>
      <c r="E110">
        <f t="shared" si="12"/>
        <v>2017</v>
      </c>
      <c r="F110" t="str">
        <f>CONCATENATE(calendar[[#This Row],[Month]],"/",calendar[[#This Row],[Year]])</f>
        <v>4/2017</v>
      </c>
      <c r="G110">
        <f>WEEKDAY(calendar[[#This Row],[Date]],1)</f>
        <v>4</v>
      </c>
      <c r="H110" t="str">
        <f>TEXT(calendar[[#This Row],[WeekDay]],"dddd")</f>
        <v>Wednesday</v>
      </c>
      <c r="I110">
        <f>IF((INT(calendar[[#This Row],[Count]]/7)-calendar[[#This Row],[Count]]/7)&lt;0,I109,I109+1)</f>
        <v>16</v>
      </c>
      <c r="J110">
        <f t="shared" si="9"/>
        <v>108</v>
      </c>
      <c r="K110">
        <f>IF(calendar[[#This Row],[Month]]&lt;4,1,IF(calendar[[#This Row],[Month]]&lt;7,2,IF(calendar[[#This Row],[Month]]&lt;10,3,4)))</f>
        <v>2</v>
      </c>
      <c r="L110">
        <f>IFERROR(IF(VLOOKUP(calendar[[#This Row],[Date]],BH!A:A,1,)&lt;&gt;"",1,0),0)</f>
        <v>0</v>
      </c>
      <c r="M110">
        <f>IFERROR(IF(VLOOKUP(calendar[[#This Row],[Date]],BH!C:C,1,)&lt;&gt;"",1,0),0)</f>
        <v>0</v>
      </c>
      <c r="N110">
        <f>IFERROR(IF(VLOOKUP(calendar[[#This Row],[Date]],BH!E:E,1,)&lt;&gt;"",1,0),0)</f>
        <v>0</v>
      </c>
      <c r="O110">
        <f>IFERROR(IF(VLOOKUP(calendar[[#This Row],[Date]],BH!G:G,1,)&lt;&gt;"",1,0),0)</f>
        <v>0</v>
      </c>
      <c r="P110">
        <f>IF(OR(calendar[[#This Row],[UK_BH]]=1,calendar[[#This Row],[WeekDay]]=1, calendar[[#This Row],[WeekDay]]=7),P109,P109+1)</f>
        <v>78</v>
      </c>
      <c r="Q110">
        <f>IF(OR(calendar[[#This Row],[FR_BH]]=1,calendar[[#This Row],[WeekDay]]=1, calendar[[#This Row],[WeekDay]]=7),P109,P109+1)</f>
        <v>78</v>
      </c>
      <c r="R110">
        <f>IF(OR(calendar[[#This Row],[SP_BH]]=1,calendar[[#This Row],[WeekDay]]=1, calendar[[#This Row],[WeekDay]]=7),P109,P109+1)</f>
        <v>78</v>
      </c>
      <c r="S110">
        <f>IF(OR(calendar[[#This Row],[PT_BH]]=1,calendar[[#This Row],[WeekDay]]=1, calendar[[#This Row],[WeekDay]]=7),P109,P109+1)</f>
        <v>78</v>
      </c>
    </row>
    <row r="111" spans="1:19" x14ac:dyDescent="0.25">
      <c r="A111" s="2">
        <v>42845</v>
      </c>
      <c r="B111" s="1">
        <f t="shared" si="8"/>
        <v>16</v>
      </c>
      <c r="C111">
        <f t="shared" si="10"/>
        <v>4</v>
      </c>
      <c r="D111" t="str">
        <f t="shared" si="11"/>
        <v>April</v>
      </c>
      <c r="E111">
        <f t="shared" si="12"/>
        <v>2017</v>
      </c>
      <c r="F111" t="str">
        <f>CONCATENATE(calendar[[#This Row],[Month]],"/",calendar[[#This Row],[Year]])</f>
        <v>4/2017</v>
      </c>
      <c r="G111">
        <f>WEEKDAY(calendar[[#This Row],[Date]],1)</f>
        <v>5</v>
      </c>
      <c r="H111" t="str">
        <f>TEXT(calendar[[#This Row],[WeekDay]],"dddd")</f>
        <v>Thursday</v>
      </c>
      <c r="I111">
        <f>IF((INT(calendar[[#This Row],[Count]]/7)-calendar[[#This Row],[Count]]/7)&lt;0,I110,I110+1)</f>
        <v>16</v>
      </c>
      <c r="J111">
        <f t="shared" si="9"/>
        <v>109</v>
      </c>
      <c r="K111">
        <f>IF(calendar[[#This Row],[Month]]&lt;4,1,IF(calendar[[#This Row],[Month]]&lt;7,2,IF(calendar[[#This Row],[Month]]&lt;10,3,4)))</f>
        <v>2</v>
      </c>
      <c r="L111">
        <f>IFERROR(IF(VLOOKUP(calendar[[#This Row],[Date]],BH!A:A,1,)&lt;&gt;"",1,0),0)</f>
        <v>0</v>
      </c>
      <c r="M111">
        <f>IFERROR(IF(VLOOKUP(calendar[[#This Row],[Date]],BH!C:C,1,)&lt;&gt;"",1,0),0)</f>
        <v>0</v>
      </c>
      <c r="N111">
        <f>IFERROR(IF(VLOOKUP(calendar[[#This Row],[Date]],BH!E:E,1,)&lt;&gt;"",1,0),0)</f>
        <v>0</v>
      </c>
      <c r="O111">
        <f>IFERROR(IF(VLOOKUP(calendar[[#This Row],[Date]],BH!G:G,1,)&lt;&gt;"",1,0),0)</f>
        <v>0</v>
      </c>
      <c r="P111">
        <f>IF(OR(calendar[[#This Row],[UK_BH]]=1,calendar[[#This Row],[WeekDay]]=1, calendar[[#This Row],[WeekDay]]=7),P110,P110+1)</f>
        <v>79</v>
      </c>
      <c r="Q111">
        <f>IF(OR(calendar[[#This Row],[FR_BH]]=1,calendar[[#This Row],[WeekDay]]=1, calendar[[#This Row],[WeekDay]]=7),P110,P110+1)</f>
        <v>79</v>
      </c>
      <c r="R111">
        <f>IF(OR(calendar[[#This Row],[SP_BH]]=1,calendar[[#This Row],[WeekDay]]=1, calendar[[#This Row],[WeekDay]]=7),P110,P110+1)</f>
        <v>79</v>
      </c>
      <c r="S111">
        <f>IF(OR(calendar[[#This Row],[PT_BH]]=1,calendar[[#This Row],[WeekDay]]=1, calendar[[#This Row],[WeekDay]]=7),P110,P110+1)</f>
        <v>79</v>
      </c>
    </row>
    <row r="112" spans="1:19" x14ac:dyDescent="0.25">
      <c r="A112" s="2">
        <v>42846</v>
      </c>
      <c r="B112" s="1">
        <f t="shared" si="8"/>
        <v>16</v>
      </c>
      <c r="C112">
        <f t="shared" si="10"/>
        <v>4</v>
      </c>
      <c r="D112" t="str">
        <f t="shared" si="11"/>
        <v>April</v>
      </c>
      <c r="E112">
        <f t="shared" si="12"/>
        <v>2017</v>
      </c>
      <c r="F112" t="str">
        <f>CONCATENATE(calendar[[#This Row],[Month]],"/",calendar[[#This Row],[Year]])</f>
        <v>4/2017</v>
      </c>
      <c r="G112">
        <f>WEEKDAY(calendar[[#This Row],[Date]],1)</f>
        <v>6</v>
      </c>
      <c r="H112" t="str">
        <f>TEXT(calendar[[#This Row],[WeekDay]],"dddd")</f>
        <v>Friday</v>
      </c>
      <c r="I112">
        <f>IF((INT(calendar[[#This Row],[Count]]/7)-calendar[[#This Row],[Count]]/7)&lt;0,I111,I111+1)</f>
        <v>16</v>
      </c>
      <c r="J112">
        <f t="shared" si="9"/>
        <v>110</v>
      </c>
      <c r="K112">
        <f>IF(calendar[[#This Row],[Month]]&lt;4,1,IF(calendar[[#This Row],[Month]]&lt;7,2,IF(calendar[[#This Row],[Month]]&lt;10,3,4)))</f>
        <v>2</v>
      </c>
      <c r="L112">
        <f>IFERROR(IF(VLOOKUP(calendar[[#This Row],[Date]],BH!A:A,1,)&lt;&gt;"",1,0),0)</f>
        <v>0</v>
      </c>
      <c r="M112">
        <f>IFERROR(IF(VLOOKUP(calendar[[#This Row],[Date]],BH!C:C,1,)&lt;&gt;"",1,0),0)</f>
        <v>0</v>
      </c>
      <c r="N112">
        <f>IFERROR(IF(VLOOKUP(calendar[[#This Row],[Date]],BH!E:E,1,)&lt;&gt;"",1,0),0)</f>
        <v>0</v>
      </c>
      <c r="O112">
        <f>IFERROR(IF(VLOOKUP(calendar[[#This Row],[Date]],BH!G:G,1,)&lt;&gt;"",1,0),0)</f>
        <v>0</v>
      </c>
      <c r="P112">
        <f>IF(OR(calendar[[#This Row],[UK_BH]]=1,calendar[[#This Row],[WeekDay]]=1, calendar[[#This Row],[WeekDay]]=7),P111,P111+1)</f>
        <v>80</v>
      </c>
      <c r="Q112">
        <f>IF(OR(calendar[[#This Row],[FR_BH]]=1,calendar[[#This Row],[WeekDay]]=1, calendar[[#This Row],[WeekDay]]=7),P111,P111+1)</f>
        <v>80</v>
      </c>
      <c r="R112">
        <f>IF(OR(calendar[[#This Row],[SP_BH]]=1,calendar[[#This Row],[WeekDay]]=1, calendar[[#This Row],[WeekDay]]=7),P111,P111+1)</f>
        <v>80</v>
      </c>
      <c r="S112">
        <f>IF(OR(calendar[[#This Row],[PT_BH]]=1,calendar[[#This Row],[WeekDay]]=1, calendar[[#This Row],[WeekDay]]=7),P111,P111+1)</f>
        <v>80</v>
      </c>
    </row>
    <row r="113" spans="1:19" x14ac:dyDescent="0.25">
      <c r="A113" s="2">
        <v>42847</v>
      </c>
      <c r="B113" s="1">
        <f t="shared" si="8"/>
        <v>16</v>
      </c>
      <c r="C113">
        <f t="shared" si="10"/>
        <v>4</v>
      </c>
      <c r="D113" t="str">
        <f t="shared" si="11"/>
        <v>April</v>
      </c>
      <c r="E113">
        <f t="shared" si="12"/>
        <v>2017</v>
      </c>
      <c r="F113" t="str">
        <f>CONCATENATE(calendar[[#This Row],[Month]],"/",calendar[[#This Row],[Year]])</f>
        <v>4/2017</v>
      </c>
      <c r="G113">
        <f>WEEKDAY(calendar[[#This Row],[Date]],1)</f>
        <v>7</v>
      </c>
      <c r="H113" t="str">
        <f>TEXT(calendar[[#This Row],[WeekDay]],"dddd")</f>
        <v>Saturday</v>
      </c>
      <c r="I113">
        <f>IF((INT(calendar[[#This Row],[Count]]/7)-calendar[[#This Row],[Count]]/7)&lt;0,I112,I112+1)</f>
        <v>16</v>
      </c>
      <c r="J113">
        <f t="shared" si="9"/>
        <v>111</v>
      </c>
      <c r="K113">
        <f>IF(calendar[[#This Row],[Month]]&lt;4,1,IF(calendar[[#This Row],[Month]]&lt;7,2,IF(calendar[[#This Row],[Month]]&lt;10,3,4)))</f>
        <v>2</v>
      </c>
      <c r="L113">
        <f>IFERROR(IF(VLOOKUP(calendar[[#This Row],[Date]],BH!A:A,1,)&lt;&gt;"",1,0),0)</f>
        <v>0</v>
      </c>
      <c r="M113">
        <f>IFERROR(IF(VLOOKUP(calendar[[#This Row],[Date]],BH!C:C,1,)&lt;&gt;"",1,0),0)</f>
        <v>0</v>
      </c>
      <c r="N113">
        <f>IFERROR(IF(VLOOKUP(calendar[[#This Row],[Date]],BH!E:E,1,)&lt;&gt;"",1,0),0)</f>
        <v>0</v>
      </c>
      <c r="O113">
        <f>IFERROR(IF(VLOOKUP(calendar[[#This Row],[Date]],BH!G:G,1,)&lt;&gt;"",1,0),0)</f>
        <v>0</v>
      </c>
      <c r="P113">
        <f>IF(OR(calendar[[#This Row],[UK_BH]]=1,calendar[[#This Row],[WeekDay]]=1, calendar[[#This Row],[WeekDay]]=7),P112,P112+1)</f>
        <v>80</v>
      </c>
      <c r="Q113">
        <f>IF(OR(calendar[[#This Row],[FR_BH]]=1,calendar[[#This Row],[WeekDay]]=1, calendar[[#This Row],[WeekDay]]=7),P112,P112+1)</f>
        <v>80</v>
      </c>
      <c r="R113">
        <f>IF(OR(calendar[[#This Row],[SP_BH]]=1,calendar[[#This Row],[WeekDay]]=1, calendar[[#This Row],[WeekDay]]=7),P112,P112+1)</f>
        <v>80</v>
      </c>
      <c r="S113">
        <f>IF(OR(calendar[[#This Row],[PT_BH]]=1,calendar[[#This Row],[WeekDay]]=1, calendar[[#This Row],[WeekDay]]=7),P112,P112+1)</f>
        <v>80</v>
      </c>
    </row>
    <row r="114" spans="1:19" x14ac:dyDescent="0.25">
      <c r="A114" s="2">
        <v>42848</v>
      </c>
      <c r="B114" s="1">
        <f t="shared" si="8"/>
        <v>17</v>
      </c>
      <c r="C114">
        <f t="shared" si="10"/>
        <v>4</v>
      </c>
      <c r="D114" t="str">
        <f t="shared" si="11"/>
        <v>April</v>
      </c>
      <c r="E114">
        <f t="shared" si="12"/>
        <v>2017</v>
      </c>
      <c r="F114" t="str">
        <f>CONCATENATE(calendar[[#This Row],[Month]],"/",calendar[[#This Row],[Year]])</f>
        <v>4/2017</v>
      </c>
      <c r="G114">
        <f>WEEKDAY(calendar[[#This Row],[Date]],1)</f>
        <v>1</v>
      </c>
      <c r="H114" t="str">
        <f>TEXT(calendar[[#This Row],[WeekDay]],"dddd")</f>
        <v>Sunday</v>
      </c>
      <c r="I114">
        <f>IF((INT(calendar[[#This Row],[Count]]/7)-calendar[[#This Row],[Count]]/7)&lt;0,I113,I113+1)</f>
        <v>17</v>
      </c>
      <c r="J114">
        <f t="shared" si="9"/>
        <v>112</v>
      </c>
      <c r="K114">
        <f>IF(calendar[[#This Row],[Month]]&lt;4,1,IF(calendar[[#This Row],[Month]]&lt;7,2,IF(calendar[[#This Row],[Month]]&lt;10,3,4)))</f>
        <v>2</v>
      </c>
      <c r="L114">
        <f>IFERROR(IF(VLOOKUP(calendar[[#This Row],[Date]],BH!A:A,1,)&lt;&gt;"",1,0),0)</f>
        <v>0</v>
      </c>
      <c r="M114">
        <f>IFERROR(IF(VLOOKUP(calendar[[#This Row],[Date]],BH!C:C,1,)&lt;&gt;"",1,0),0)</f>
        <v>0</v>
      </c>
      <c r="N114">
        <f>IFERROR(IF(VLOOKUP(calendar[[#This Row],[Date]],BH!E:E,1,)&lt;&gt;"",1,0),0)</f>
        <v>0</v>
      </c>
      <c r="O114">
        <f>IFERROR(IF(VLOOKUP(calendar[[#This Row],[Date]],BH!G:G,1,)&lt;&gt;"",1,0),0)</f>
        <v>0</v>
      </c>
      <c r="P114">
        <f>IF(OR(calendar[[#This Row],[UK_BH]]=1,calendar[[#This Row],[WeekDay]]=1, calendar[[#This Row],[WeekDay]]=7),P113,P113+1)</f>
        <v>80</v>
      </c>
      <c r="Q114">
        <f>IF(OR(calendar[[#This Row],[FR_BH]]=1,calendar[[#This Row],[WeekDay]]=1, calendar[[#This Row],[WeekDay]]=7),P113,P113+1)</f>
        <v>80</v>
      </c>
      <c r="R114">
        <f>IF(OR(calendar[[#This Row],[SP_BH]]=1,calendar[[#This Row],[WeekDay]]=1, calendar[[#This Row],[WeekDay]]=7),P113,P113+1)</f>
        <v>80</v>
      </c>
      <c r="S114">
        <f>IF(OR(calendar[[#This Row],[PT_BH]]=1,calendar[[#This Row],[WeekDay]]=1, calendar[[#This Row],[WeekDay]]=7),P113,P113+1)</f>
        <v>80</v>
      </c>
    </row>
    <row r="115" spans="1:19" x14ac:dyDescent="0.25">
      <c r="A115" s="2">
        <v>42849</v>
      </c>
      <c r="B115" s="1">
        <f t="shared" si="8"/>
        <v>17</v>
      </c>
      <c r="C115">
        <f t="shared" si="10"/>
        <v>4</v>
      </c>
      <c r="D115" t="str">
        <f t="shared" si="11"/>
        <v>April</v>
      </c>
      <c r="E115">
        <f t="shared" si="12"/>
        <v>2017</v>
      </c>
      <c r="F115" t="str">
        <f>CONCATENATE(calendar[[#This Row],[Month]],"/",calendar[[#This Row],[Year]])</f>
        <v>4/2017</v>
      </c>
      <c r="G115">
        <f>WEEKDAY(calendar[[#This Row],[Date]],1)</f>
        <v>2</v>
      </c>
      <c r="H115" t="str">
        <f>TEXT(calendar[[#This Row],[WeekDay]],"dddd")</f>
        <v>Monday</v>
      </c>
      <c r="I115">
        <f>IF((INT(calendar[[#This Row],[Count]]/7)-calendar[[#This Row],[Count]]/7)&lt;0,I114,I114+1)</f>
        <v>17</v>
      </c>
      <c r="J115">
        <f t="shared" si="9"/>
        <v>113</v>
      </c>
      <c r="K115">
        <f>IF(calendar[[#This Row],[Month]]&lt;4,1,IF(calendar[[#This Row],[Month]]&lt;7,2,IF(calendar[[#This Row],[Month]]&lt;10,3,4)))</f>
        <v>2</v>
      </c>
      <c r="L115">
        <f>IFERROR(IF(VLOOKUP(calendar[[#This Row],[Date]],BH!A:A,1,)&lt;&gt;"",1,0),0)</f>
        <v>0</v>
      </c>
      <c r="M115">
        <f>IFERROR(IF(VLOOKUP(calendar[[#This Row],[Date]],BH!C:C,1,)&lt;&gt;"",1,0),0)</f>
        <v>0</v>
      </c>
      <c r="N115">
        <f>IFERROR(IF(VLOOKUP(calendar[[#This Row],[Date]],BH!E:E,1,)&lt;&gt;"",1,0),0)</f>
        <v>0</v>
      </c>
      <c r="O115">
        <f>IFERROR(IF(VLOOKUP(calendar[[#This Row],[Date]],BH!G:G,1,)&lt;&gt;"",1,0),0)</f>
        <v>0</v>
      </c>
      <c r="P115">
        <f>IF(OR(calendar[[#This Row],[UK_BH]]=1,calendar[[#This Row],[WeekDay]]=1, calendar[[#This Row],[WeekDay]]=7),P114,P114+1)</f>
        <v>81</v>
      </c>
      <c r="Q115">
        <f>IF(OR(calendar[[#This Row],[FR_BH]]=1,calendar[[#This Row],[WeekDay]]=1, calendar[[#This Row],[WeekDay]]=7),P114,P114+1)</f>
        <v>81</v>
      </c>
      <c r="R115">
        <f>IF(OR(calendar[[#This Row],[SP_BH]]=1,calendar[[#This Row],[WeekDay]]=1, calendar[[#This Row],[WeekDay]]=7),P114,P114+1)</f>
        <v>81</v>
      </c>
      <c r="S115">
        <f>IF(OR(calendar[[#This Row],[PT_BH]]=1,calendar[[#This Row],[WeekDay]]=1, calendar[[#This Row],[WeekDay]]=7),P114,P114+1)</f>
        <v>81</v>
      </c>
    </row>
    <row r="116" spans="1:19" x14ac:dyDescent="0.25">
      <c r="A116" s="2">
        <v>42850</v>
      </c>
      <c r="B116" s="1">
        <f t="shared" si="8"/>
        <v>17</v>
      </c>
      <c r="C116">
        <f t="shared" si="10"/>
        <v>4</v>
      </c>
      <c r="D116" t="str">
        <f t="shared" si="11"/>
        <v>April</v>
      </c>
      <c r="E116">
        <f t="shared" si="12"/>
        <v>2017</v>
      </c>
      <c r="F116" t="str">
        <f>CONCATENATE(calendar[[#This Row],[Month]],"/",calendar[[#This Row],[Year]])</f>
        <v>4/2017</v>
      </c>
      <c r="G116">
        <f>WEEKDAY(calendar[[#This Row],[Date]],1)</f>
        <v>3</v>
      </c>
      <c r="H116" t="str">
        <f>TEXT(calendar[[#This Row],[WeekDay]],"dddd")</f>
        <v>Tuesday</v>
      </c>
      <c r="I116">
        <f>IF((INT(calendar[[#This Row],[Count]]/7)-calendar[[#This Row],[Count]]/7)&lt;0,I115,I115+1)</f>
        <v>17</v>
      </c>
      <c r="J116">
        <f t="shared" si="9"/>
        <v>114</v>
      </c>
      <c r="K116">
        <f>IF(calendar[[#This Row],[Month]]&lt;4,1,IF(calendar[[#This Row],[Month]]&lt;7,2,IF(calendar[[#This Row],[Month]]&lt;10,3,4)))</f>
        <v>2</v>
      </c>
      <c r="L116">
        <f>IFERROR(IF(VLOOKUP(calendar[[#This Row],[Date]],BH!A:A,1,)&lt;&gt;"",1,0),0)</f>
        <v>0</v>
      </c>
      <c r="M116">
        <f>IFERROR(IF(VLOOKUP(calendar[[#This Row],[Date]],BH!C:C,1,)&lt;&gt;"",1,0),0)</f>
        <v>0</v>
      </c>
      <c r="N116">
        <f>IFERROR(IF(VLOOKUP(calendar[[#This Row],[Date]],BH!E:E,1,)&lt;&gt;"",1,0),0)</f>
        <v>0</v>
      </c>
      <c r="O116">
        <f>IFERROR(IF(VLOOKUP(calendar[[#This Row],[Date]],BH!G:G,1,)&lt;&gt;"",1,0),0)</f>
        <v>0</v>
      </c>
      <c r="P116">
        <f>IF(OR(calendar[[#This Row],[UK_BH]]=1,calendar[[#This Row],[WeekDay]]=1, calendar[[#This Row],[WeekDay]]=7),P115,P115+1)</f>
        <v>82</v>
      </c>
      <c r="Q116">
        <f>IF(OR(calendar[[#This Row],[FR_BH]]=1,calendar[[#This Row],[WeekDay]]=1, calendar[[#This Row],[WeekDay]]=7),P115,P115+1)</f>
        <v>82</v>
      </c>
      <c r="R116">
        <f>IF(OR(calendar[[#This Row],[SP_BH]]=1,calendar[[#This Row],[WeekDay]]=1, calendar[[#This Row],[WeekDay]]=7),P115,P115+1)</f>
        <v>82</v>
      </c>
      <c r="S116">
        <f>IF(OR(calendar[[#This Row],[PT_BH]]=1,calendar[[#This Row],[WeekDay]]=1, calendar[[#This Row],[WeekDay]]=7),P115,P115+1)</f>
        <v>82</v>
      </c>
    </row>
    <row r="117" spans="1:19" x14ac:dyDescent="0.25">
      <c r="A117" s="2">
        <v>42851</v>
      </c>
      <c r="B117" s="1">
        <f t="shared" si="8"/>
        <v>17</v>
      </c>
      <c r="C117">
        <f t="shared" si="10"/>
        <v>4</v>
      </c>
      <c r="D117" t="str">
        <f t="shared" si="11"/>
        <v>April</v>
      </c>
      <c r="E117">
        <f t="shared" si="12"/>
        <v>2017</v>
      </c>
      <c r="F117" t="str">
        <f>CONCATENATE(calendar[[#This Row],[Month]],"/",calendar[[#This Row],[Year]])</f>
        <v>4/2017</v>
      </c>
      <c r="G117">
        <f>WEEKDAY(calendar[[#This Row],[Date]],1)</f>
        <v>4</v>
      </c>
      <c r="H117" t="str">
        <f>TEXT(calendar[[#This Row],[WeekDay]],"dddd")</f>
        <v>Wednesday</v>
      </c>
      <c r="I117">
        <f>IF((INT(calendar[[#This Row],[Count]]/7)-calendar[[#This Row],[Count]]/7)&lt;0,I116,I116+1)</f>
        <v>17</v>
      </c>
      <c r="J117">
        <f t="shared" si="9"/>
        <v>115</v>
      </c>
      <c r="K117">
        <f>IF(calendar[[#This Row],[Month]]&lt;4,1,IF(calendar[[#This Row],[Month]]&lt;7,2,IF(calendar[[#This Row],[Month]]&lt;10,3,4)))</f>
        <v>2</v>
      </c>
      <c r="L117">
        <f>IFERROR(IF(VLOOKUP(calendar[[#This Row],[Date]],BH!A:A,1,)&lt;&gt;"",1,0),0)</f>
        <v>0</v>
      </c>
      <c r="M117">
        <f>IFERROR(IF(VLOOKUP(calendar[[#This Row],[Date]],BH!C:C,1,)&lt;&gt;"",1,0),0)</f>
        <v>0</v>
      </c>
      <c r="N117">
        <f>IFERROR(IF(VLOOKUP(calendar[[#This Row],[Date]],BH!E:E,1,)&lt;&gt;"",1,0),0)</f>
        <v>0</v>
      </c>
      <c r="O117">
        <f>IFERROR(IF(VLOOKUP(calendar[[#This Row],[Date]],BH!G:G,1,)&lt;&gt;"",1,0),0)</f>
        <v>0</v>
      </c>
      <c r="P117">
        <f>IF(OR(calendar[[#This Row],[UK_BH]]=1,calendar[[#This Row],[WeekDay]]=1, calendar[[#This Row],[WeekDay]]=7),P116,P116+1)</f>
        <v>83</v>
      </c>
      <c r="Q117">
        <f>IF(OR(calendar[[#This Row],[FR_BH]]=1,calendar[[#This Row],[WeekDay]]=1, calendar[[#This Row],[WeekDay]]=7),P116,P116+1)</f>
        <v>83</v>
      </c>
      <c r="R117">
        <f>IF(OR(calendar[[#This Row],[SP_BH]]=1,calendar[[#This Row],[WeekDay]]=1, calendar[[#This Row],[WeekDay]]=7),P116,P116+1)</f>
        <v>83</v>
      </c>
      <c r="S117">
        <f>IF(OR(calendar[[#This Row],[PT_BH]]=1,calendar[[#This Row],[WeekDay]]=1, calendar[[#This Row],[WeekDay]]=7),P116,P116+1)</f>
        <v>83</v>
      </c>
    </row>
    <row r="118" spans="1:19" x14ac:dyDescent="0.25">
      <c r="A118" s="2">
        <v>42852</v>
      </c>
      <c r="B118" s="1">
        <f t="shared" si="8"/>
        <v>17</v>
      </c>
      <c r="C118">
        <f t="shared" si="10"/>
        <v>4</v>
      </c>
      <c r="D118" t="str">
        <f t="shared" si="11"/>
        <v>April</v>
      </c>
      <c r="E118">
        <f t="shared" si="12"/>
        <v>2017</v>
      </c>
      <c r="F118" t="str">
        <f>CONCATENATE(calendar[[#This Row],[Month]],"/",calendar[[#This Row],[Year]])</f>
        <v>4/2017</v>
      </c>
      <c r="G118">
        <f>WEEKDAY(calendar[[#This Row],[Date]],1)</f>
        <v>5</v>
      </c>
      <c r="H118" t="str">
        <f>TEXT(calendar[[#This Row],[WeekDay]],"dddd")</f>
        <v>Thursday</v>
      </c>
      <c r="I118">
        <f>IF((INT(calendar[[#This Row],[Count]]/7)-calendar[[#This Row],[Count]]/7)&lt;0,I117,I117+1)</f>
        <v>17</v>
      </c>
      <c r="J118">
        <f t="shared" si="9"/>
        <v>116</v>
      </c>
      <c r="K118">
        <f>IF(calendar[[#This Row],[Month]]&lt;4,1,IF(calendar[[#This Row],[Month]]&lt;7,2,IF(calendar[[#This Row],[Month]]&lt;10,3,4)))</f>
        <v>2</v>
      </c>
      <c r="L118">
        <f>IFERROR(IF(VLOOKUP(calendar[[#This Row],[Date]],BH!A:A,1,)&lt;&gt;"",1,0),0)</f>
        <v>0</v>
      </c>
      <c r="M118">
        <f>IFERROR(IF(VLOOKUP(calendar[[#This Row],[Date]],BH!C:C,1,)&lt;&gt;"",1,0),0)</f>
        <v>0</v>
      </c>
      <c r="N118">
        <f>IFERROR(IF(VLOOKUP(calendar[[#This Row],[Date]],BH!E:E,1,)&lt;&gt;"",1,0),0)</f>
        <v>0</v>
      </c>
      <c r="O118">
        <f>IFERROR(IF(VLOOKUP(calendar[[#This Row],[Date]],BH!G:G,1,)&lt;&gt;"",1,0),0)</f>
        <v>0</v>
      </c>
      <c r="P118">
        <f>IF(OR(calendar[[#This Row],[UK_BH]]=1,calendar[[#This Row],[WeekDay]]=1, calendar[[#This Row],[WeekDay]]=7),P117,P117+1)</f>
        <v>84</v>
      </c>
      <c r="Q118">
        <f>IF(OR(calendar[[#This Row],[FR_BH]]=1,calendar[[#This Row],[WeekDay]]=1, calendar[[#This Row],[WeekDay]]=7),P117,P117+1)</f>
        <v>84</v>
      </c>
      <c r="R118">
        <f>IF(OR(calendar[[#This Row],[SP_BH]]=1,calendar[[#This Row],[WeekDay]]=1, calendar[[#This Row],[WeekDay]]=7),P117,P117+1)</f>
        <v>84</v>
      </c>
      <c r="S118">
        <f>IF(OR(calendar[[#This Row],[PT_BH]]=1,calendar[[#This Row],[WeekDay]]=1, calendar[[#This Row],[WeekDay]]=7),P117,P117+1)</f>
        <v>84</v>
      </c>
    </row>
    <row r="119" spans="1:19" x14ac:dyDescent="0.25">
      <c r="A119" s="2">
        <v>42853</v>
      </c>
      <c r="B119" s="1">
        <f t="shared" si="8"/>
        <v>17</v>
      </c>
      <c r="C119">
        <f t="shared" si="10"/>
        <v>4</v>
      </c>
      <c r="D119" t="str">
        <f t="shared" si="11"/>
        <v>April</v>
      </c>
      <c r="E119">
        <f t="shared" si="12"/>
        <v>2017</v>
      </c>
      <c r="F119" t="str">
        <f>CONCATENATE(calendar[[#This Row],[Month]],"/",calendar[[#This Row],[Year]])</f>
        <v>4/2017</v>
      </c>
      <c r="G119">
        <f>WEEKDAY(calendar[[#This Row],[Date]],1)</f>
        <v>6</v>
      </c>
      <c r="H119" t="str">
        <f>TEXT(calendar[[#This Row],[WeekDay]],"dddd")</f>
        <v>Friday</v>
      </c>
      <c r="I119">
        <f>IF((INT(calendar[[#This Row],[Count]]/7)-calendar[[#This Row],[Count]]/7)&lt;0,I118,I118+1)</f>
        <v>17</v>
      </c>
      <c r="J119">
        <f t="shared" si="9"/>
        <v>117</v>
      </c>
      <c r="K119">
        <f>IF(calendar[[#This Row],[Month]]&lt;4,1,IF(calendar[[#This Row],[Month]]&lt;7,2,IF(calendar[[#This Row],[Month]]&lt;10,3,4)))</f>
        <v>2</v>
      </c>
      <c r="L119">
        <f>IFERROR(IF(VLOOKUP(calendar[[#This Row],[Date]],BH!A:A,1,)&lt;&gt;"",1,0),0)</f>
        <v>0</v>
      </c>
      <c r="M119">
        <f>IFERROR(IF(VLOOKUP(calendar[[#This Row],[Date]],BH!C:C,1,)&lt;&gt;"",1,0),0)</f>
        <v>0</v>
      </c>
      <c r="N119">
        <f>IFERROR(IF(VLOOKUP(calendar[[#This Row],[Date]],BH!E:E,1,)&lt;&gt;"",1,0),0)</f>
        <v>0</v>
      </c>
      <c r="O119">
        <f>IFERROR(IF(VLOOKUP(calendar[[#This Row],[Date]],BH!G:G,1,)&lt;&gt;"",1,0),0)</f>
        <v>0</v>
      </c>
      <c r="P119">
        <f>IF(OR(calendar[[#This Row],[UK_BH]]=1,calendar[[#This Row],[WeekDay]]=1, calendar[[#This Row],[WeekDay]]=7),P118,P118+1)</f>
        <v>85</v>
      </c>
      <c r="Q119">
        <f>IF(OR(calendar[[#This Row],[FR_BH]]=1,calendar[[#This Row],[WeekDay]]=1, calendar[[#This Row],[WeekDay]]=7),P118,P118+1)</f>
        <v>85</v>
      </c>
      <c r="R119">
        <f>IF(OR(calendar[[#This Row],[SP_BH]]=1,calendar[[#This Row],[WeekDay]]=1, calendar[[#This Row],[WeekDay]]=7),P118,P118+1)</f>
        <v>85</v>
      </c>
      <c r="S119">
        <f>IF(OR(calendar[[#This Row],[PT_BH]]=1,calendar[[#This Row],[WeekDay]]=1, calendar[[#This Row],[WeekDay]]=7),P118,P118+1)</f>
        <v>85</v>
      </c>
    </row>
    <row r="120" spans="1:19" x14ac:dyDescent="0.25">
      <c r="A120" s="2">
        <v>42854</v>
      </c>
      <c r="B120" s="1">
        <f t="shared" si="8"/>
        <v>17</v>
      </c>
      <c r="C120">
        <f t="shared" si="10"/>
        <v>4</v>
      </c>
      <c r="D120" t="str">
        <f t="shared" si="11"/>
        <v>April</v>
      </c>
      <c r="E120">
        <f t="shared" si="12"/>
        <v>2017</v>
      </c>
      <c r="F120" t="str">
        <f>CONCATENATE(calendar[[#This Row],[Month]],"/",calendar[[#This Row],[Year]])</f>
        <v>4/2017</v>
      </c>
      <c r="G120">
        <f>WEEKDAY(calendar[[#This Row],[Date]],1)</f>
        <v>7</v>
      </c>
      <c r="H120" t="str">
        <f>TEXT(calendar[[#This Row],[WeekDay]],"dddd")</f>
        <v>Saturday</v>
      </c>
      <c r="I120">
        <f>IF((INT(calendar[[#This Row],[Count]]/7)-calendar[[#This Row],[Count]]/7)&lt;0,I119,I119+1)</f>
        <v>17</v>
      </c>
      <c r="J120">
        <f t="shared" si="9"/>
        <v>118</v>
      </c>
      <c r="K120">
        <f>IF(calendar[[#This Row],[Month]]&lt;4,1,IF(calendar[[#This Row],[Month]]&lt;7,2,IF(calendar[[#This Row],[Month]]&lt;10,3,4)))</f>
        <v>2</v>
      </c>
      <c r="L120">
        <f>IFERROR(IF(VLOOKUP(calendar[[#This Row],[Date]],BH!A:A,1,)&lt;&gt;"",1,0),0)</f>
        <v>0</v>
      </c>
      <c r="M120">
        <f>IFERROR(IF(VLOOKUP(calendar[[#This Row],[Date]],BH!C:C,1,)&lt;&gt;"",1,0),0)</f>
        <v>0</v>
      </c>
      <c r="N120">
        <f>IFERROR(IF(VLOOKUP(calendar[[#This Row],[Date]],BH!E:E,1,)&lt;&gt;"",1,0),0)</f>
        <v>0</v>
      </c>
      <c r="O120">
        <f>IFERROR(IF(VLOOKUP(calendar[[#This Row],[Date]],BH!G:G,1,)&lt;&gt;"",1,0),0)</f>
        <v>0</v>
      </c>
      <c r="P120">
        <f>IF(OR(calendar[[#This Row],[UK_BH]]=1,calendar[[#This Row],[WeekDay]]=1, calendar[[#This Row],[WeekDay]]=7),P119,P119+1)</f>
        <v>85</v>
      </c>
      <c r="Q120">
        <f>IF(OR(calendar[[#This Row],[FR_BH]]=1,calendar[[#This Row],[WeekDay]]=1, calendar[[#This Row],[WeekDay]]=7),P119,P119+1)</f>
        <v>85</v>
      </c>
      <c r="R120">
        <f>IF(OR(calendar[[#This Row],[SP_BH]]=1,calendar[[#This Row],[WeekDay]]=1, calendar[[#This Row],[WeekDay]]=7),P119,P119+1)</f>
        <v>85</v>
      </c>
      <c r="S120">
        <f>IF(OR(calendar[[#This Row],[PT_BH]]=1,calendar[[#This Row],[WeekDay]]=1, calendar[[#This Row],[WeekDay]]=7),P119,P119+1)</f>
        <v>85</v>
      </c>
    </row>
    <row r="121" spans="1:19" x14ac:dyDescent="0.25">
      <c r="A121" s="2">
        <v>42855</v>
      </c>
      <c r="B121" s="1">
        <f t="shared" si="8"/>
        <v>18</v>
      </c>
      <c r="C121">
        <f t="shared" si="10"/>
        <v>4</v>
      </c>
      <c r="D121" t="str">
        <f t="shared" si="11"/>
        <v>April</v>
      </c>
      <c r="E121">
        <f t="shared" si="12"/>
        <v>2017</v>
      </c>
      <c r="F121" t="str">
        <f>CONCATENATE(calendar[[#This Row],[Month]],"/",calendar[[#This Row],[Year]])</f>
        <v>4/2017</v>
      </c>
      <c r="G121">
        <f>WEEKDAY(calendar[[#This Row],[Date]],1)</f>
        <v>1</v>
      </c>
      <c r="H121" t="str">
        <f>TEXT(calendar[[#This Row],[WeekDay]],"dddd")</f>
        <v>Sunday</v>
      </c>
      <c r="I121">
        <f>IF((INT(calendar[[#This Row],[Count]]/7)-calendar[[#This Row],[Count]]/7)&lt;0,I120,I120+1)</f>
        <v>18</v>
      </c>
      <c r="J121">
        <f t="shared" si="9"/>
        <v>119</v>
      </c>
      <c r="K121">
        <f>IF(calendar[[#This Row],[Month]]&lt;4,1,IF(calendar[[#This Row],[Month]]&lt;7,2,IF(calendar[[#This Row],[Month]]&lt;10,3,4)))</f>
        <v>2</v>
      </c>
      <c r="L121">
        <f>IFERROR(IF(VLOOKUP(calendar[[#This Row],[Date]],BH!A:A,1,)&lt;&gt;"",1,0),0)</f>
        <v>0</v>
      </c>
      <c r="M121">
        <f>IFERROR(IF(VLOOKUP(calendar[[#This Row],[Date]],BH!C:C,1,)&lt;&gt;"",1,0),0)</f>
        <v>0</v>
      </c>
      <c r="N121">
        <f>IFERROR(IF(VLOOKUP(calendar[[#This Row],[Date]],BH!E:E,1,)&lt;&gt;"",1,0),0)</f>
        <v>0</v>
      </c>
      <c r="O121">
        <f>IFERROR(IF(VLOOKUP(calendar[[#This Row],[Date]],BH!G:G,1,)&lt;&gt;"",1,0),0)</f>
        <v>0</v>
      </c>
      <c r="P121">
        <f>IF(OR(calendar[[#This Row],[UK_BH]]=1,calendar[[#This Row],[WeekDay]]=1, calendar[[#This Row],[WeekDay]]=7),P120,P120+1)</f>
        <v>85</v>
      </c>
      <c r="Q121">
        <f>IF(OR(calendar[[#This Row],[FR_BH]]=1,calendar[[#This Row],[WeekDay]]=1, calendar[[#This Row],[WeekDay]]=7),P120,P120+1)</f>
        <v>85</v>
      </c>
      <c r="R121">
        <f>IF(OR(calendar[[#This Row],[SP_BH]]=1,calendar[[#This Row],[WeekDay]]=1, calendar[[#This Row],[WeekDay]]=7),P120,P120+1)</f>
        <v>85</v>
      </c>
      <c r="S121">
        <f>IF(OR(calendar[[#This Row],[PT_BH]]=1,calendar[[#This Row],[WeekDay]]=1, calendar[[#This Row],[WeekDay]]=7),P120,P120+1)</f>
        <v>85</v>
      </c>
    </row>
    <row r="122" spans="1:19" x14ac:dyDescent="0.25">
      <c r="A122" s="2">
        <v>42856</v>
      </c>
      <c r="B122" s="1">
        <f t="shared" si="8"/>
        <v>18</v>
      </c>
      <c r="C122">
        <f t="shared" si="10"/>
        <v>5</v>
      </c>
      <c r="D122" t="str">
        <f t="shared" si="11"/>
        <v>May</v>
      </c>
      <c r="E122">
        <f t="shared" si="12"/>
        <v>2017</v>
      </c>
      <c r="F122" t="str">
        <f>CONCATENATE(calendar[[#This Row],[Month]],"/",calendar[[#This Row],[Year]])</f>
        <v>5/2017</v>
      </c>
      <c r="G122">
        <f>WEEKDAY(calendar[[#This Row],[Date]],1)</f>
        <v>2</v>
      </c>
      <c r="H122" t="str">
        <f>TEXT(calendar[[#This Row],[WeekDay]],"dddd")</f>
        <v>Monday</v>
      </c>
      <c r="I122">
        <f>IF((INT(calendar[[#This Row],[Count]]/7)-calendar[[#This Row],[Count]]/7)&lt;0,I121,I121+1)</f>
        <v>18</v>
      </c>
      <c r="J122">
        <f t="shared" si="9"/>
        <v>120</v>
      </c>
      <c r="K122">
        <f>IF(calendar[[#This Row],[Month]]&lt;4,1,IF(calendar[[#This Row],[Month]]&lt;7,2,IF(calendar[[#This Row],[Month]]&lt;10,3,4)))</f>
        <v>2</v>
      </c>
      <c r="L122">
        <f>IFERROR(IF(VLOOKUP(calendar[[#This Row],[Date]],BH!A:A,1,)&lt;&gt;"",1,0),0)</f>
        <v>0</v>
      </c>
      <c r="M122">
        <f>IFERROR(IF(VLOOKUP(calendar[[#This Row],[Date]],BH!C:C,1,)&lt;&gt;"",1,0),0)</f>
        <v>0</v>
      </c>
      <c r="N122">
        <f>IFERROR(IF(VLOOKUP(calendar[[#This Row],[Date]],BH!E:E,1,)&lt;&gt;"",1,0),0)</f>
        <v>0</v>
      </c>
      <c r="O122">
        <f>IFERROR(IF(VLOOKUP(calendar[[#This Row],[Date]],BH!G:G,1,)&lt;&gt;"",1,0),0)</f>
        <v>0</v>
      </c>
      <c r="P122">
        <f>IF(OR(calendar[[#This Row],[UK_BH]]=1,calendar[[#This Row],[WeekDay]]=1, calendar[[#This Row],[WeekDay]]=7),P121,P121+1)</f>
        <v>86</v>
      </c>
      <c r="Q122">
        <f>IF(OR(calendar[[#This Row],[FR_BH]]=1,calendar[[#This Row],[WeekDay]]=1, calendar[[#This Row],[WeekDay]]=7),P121,P121+1)</f>
        <v>86</v>
      </c>
      <c r="R122">
        <f>IF(OR(calendar[[#This Row],[SP_BH]]=1,calendar[[#This Row],[WeekDay]]=1, calendar[[#This Row],[WeekDay]]=7),P121,P121+1)</f>
        <v>86</v>
      </c>
      <c r="S122">
        <f>IF(OR(calendar[[#This Row],[PT_BH]]=1,calendar[[#This Row],[WeekDay]]=1, calendar[[#This Row],[WeekDay]]=7),P121,P121+1)</f>
        <v>86</v>
      </c>
    </row>
    <row r="123" spans="1:19" x14ac:dyDescent="0.25">
      <c r="A123" s="2">
        <v>42857</v>
      </c>
      <c r="B123" s="1">
        <f t="shared" si="8"/>
        <v>18</v>
      </c>
      <c r="C123">
        <f t="shared" si="10"/>
        <v>5</v>
      </c>
      <c r="D123" t="str">
        <f t="shared" si="11"/>
        <v>May</v>
      </c>
      <c r="E123">
        <f t="shared" si="12"/>
        <v>2017</v>
      </c>
      <c r="F123" t="str">
        <f>CONCATENATE(calendar[[#This Row],[Month]],"/",calendar[[#This Row],[Year]])</f>
        <v>5/2017</v>
      </c>
      <c r="G123">
        <f>WEEKDAY(calendar[[#This Row],[Date]],1)</f>
        <v>3</v>
      </c>
      <c r="H123" t="str">
        <f>TEXT(calendar[[#This Row],[WeekDay]],"dddd")</f>
        <v>Tuesday</v>
      </c>
      <c r="I123">
        <f>IF((INT(calendar[[#This Row],[Count]]/7)-calendar[[#This Row],[Count]]/7)&lt;0,I122,I122+1)</f>
        <v>18</v>
      </c>
      <c r="J123">
        <f t="shared" si="9"/>
        <v>121</v>
      </c>
      <c r="K123">
        <f>IF(calendar[[#This Row],[Month]]&lt;4,1,IF(calendar[[#This Row],[Month]]&lt;7,2,IF(calendar[[#This Row],[Month]]&lt;10,3,4)))</f>
        <v>2</v>
      </c>
      <c r="L123">
        <f>IFERROR(IF(VLOOKUP(calendar[[#This Row],[Date]],BH!A:A,1,)&lt;&gt;"",1,0),0)</f>
        <v>0</v>
      </c>
      <c r="M123">
        <f>IFERROR(IF(VLOOKUP(calendar[[#This Row],[Date]],BH!C:C,1,)&lt;&gt;"",1,0),0)</f>
        <v>0</v>
      </c>
      <c r="N123">
        <f>IFERROR(IF(VLOOKUP(calendar[[#This Row],[Date]],BH!E:E,1,)&lt;&gt;"",1,0),0)</f>
        <v>0</v>
      </c>
      <c r="O123">
        <f>IFERROR(IF(VLOOKUP(calendar[[#This Row],[Date]],BH!G:G,1,)&lt;&gt;"",1,0),0)</f>
        <v>0</v>
      </c>
      <c r="P123">
        <f>IF(OR(calendar[[#This Row],[UK_BH]]=1,calendar[[#This Row],[WeekDay]]=1, calendar[[#This Row],[WeekDay]]=7),P122,P122+1)</f>
        <v>87</v>
      </c>
      <c r="Q123">
        <f>IF(OR(calendar[[#This Row],[FR_BH]]=1,calendar[[#This Row],[WeekDay]]=1, calendar[[#This Row],[WeekDay]]=7),P122,P122+1)</f>
        <v>87</v>
      </c>
      <c r="R123">
        <f>IF(OR(calendar[[#This Row],[SP_BH]]=1,calendar[[#This Row],[WeekDay]]=1, calendar[[#This Row],[WeekDay]]=7),P122,P122+1)</f>
        <v>87</v>
      </c>
      <c r="S123">
        <f>IF(OR(calendar[[#This Row],[PT_BH]]=1,calendar[[#This Row],[WeekDay]]=1, calendar[[#This Row],[WeekDay]]=7),P122,P122+1)</f>
        <v>87</v>
      </c>
    </row>
    <row r="124" spans="1:19" x14ac:dyDescent="0.25">
      <c r="A124" s="2">
        <v>42858</v>
      </c>
      <c r="B124" s="1">
        <f t="shared" si="8"/>
        <v>18</v>
      </c>
      <c r="C124">
        <f t="shared" si="10"/>
        <v>5</v>
      </c>
      <c r="D124" t="str">
        <f t="shared" si="11"/>
        <v>May</v>
      </c>
      <c r="E124">
        <f t="shared" si="12"/>
        <v>2017</v>
      </c>
      <c r="F124" t="str">
        <f>CONCATENATE(calendar[[#This Row],[Month]],"/",calendar[[#This Row],[Year]])</f>
        <v>5/2017</v>
      </c>
      <c r="G124">
        <f>WEEKDAY(calendar[[#This Row],[Date]],1)</f>
        <v>4</v>
      </c>
      <c r="H124" t="str">
        <f>TEXT(calendar[[#This Row],[WeekDay]],"dddd")</f>
        <v>Wednesday</v>
      </c>
      <c r="I124">
        <f>IF((INT(calendar[[#This Row],[Count]]/7)-calendar[[#This Row],[Count]]/7)&lt;0,I123,I123+1)</f>
        <v>18</v>
      </c>
      <c r="J124">
        <f t="shared" si="9"/>
        <v>122</v>
      </c>
      <c r="K124">
        <f>IF(calendar[[#This Row],[Month]]&lt;4,1,IF(calendar[[#This Row],[Month]]&lt;7,2,IF(calendar[[#This Row],[Month]]&lt;10,3,4)))</f>
        <v>2</v>
      </c>
      <c r="L124">
        <f>IFERROR(IF(VLOOKUP(calendar[[#This Row],[Date]],BH!A:A,1,)&lt;&gt;"",1,0),0)</f>
        <v>0</v>
      </c>
      <c r="M124">
        <f>IFERROR(IF(VLOOKUP(calendar[[#This Row],[Date]],BH!C:C,1,)&lt;&gt;"",1,0),0)</f>
        <v>0</v>
      </c>
      <c r="N124">
        <f>IFERROR(IF(VLOOKUP(calendar[[#This Row],[Date]],BH!E:E,1,)&lt;&gt;"",1,0),0)</f>
        <v>0</v>
      </c>
      <c r="O124">
        <f>IFERROR(IF(VLOOKUP(calendar[[#This Row],[Date]],BH!G:G,1,)&lt;&gt;"",1,0),0)</f>
        <v>0</v>
      </c>
      <c r="P124">
        <f>IF(OR(calendar[[#This Row],[UK_BH]]=1,calendar[[#This Row],[WeekDay]]=1, calendar[[#This Row],[WeekDay]]=7),P123,P123+1)</f>
        <v>88</v>
      </c>
      <c r="Q124">
        <f>IF(OR(calendar[[#This Row],[FR_BH]]=1,calendar[[#This Row],[WeekDay]]=1, calendar[[#This Row],[WeekDay]]=7),P123,P123+1)</f>
        <v>88</v>
      </c>
      <c r="R124">
        <f>IF(OR(calendar[[#This Row],[SP_BH]]=1,calendar[[#This Row],[WeekDay]]=1, calendar[[#This Row],[WeekDay]]=7),P123,P123+1)</f>
        <v>88</v>
      </c>
      <c r="S124">
        <f>IF(OR(calendar[[#This Row],[PT_BH]]=1,calendar[[#This Row],[WeekDay]]=1, calendar[[#This Row],[WeekDay]]=7),P123,P123+1)</f>
        <v>88</v>
      </c>
    </row>
    <row r="125" spans="1:19" x14ac:dyDescent="0.25">
      <c r="A125" s="2">
        <v>42859</v>
      </c>
      <c r="B125" s="1">
        <f t="shared" si="8"/>
        <v>18</v>
      </c>
      <c r="C125">
        <f t="shared" si="10"/>
        <v>5</v>
      </c>
      <c r="D125" t="str">
        <f t="shared" si="11"/>
        <v>May</v>
      </c>
      <c r="E125">
        <f t="shared" si="12"/>
        <v>2017</v>
      </c>
      <c r="F125" t="str">
        <f>CONCATENATE(calendar[[#This Row],[Month]],"/",calendar[[#This Row],[Year]])</f>
        <v>5/2017</v>
      </c>
      <c r="G125">
        <f>WEEKDAY(calendar[[#This Row],[Date]],1)</f>
        <v>5</v>
      </c>
      <c r="H125" t="str">
        <f>TEXT(calendar[[#This Row],[WeekDay]],"dddd")</f>
        <v>Thursday</v>
      </c>
      <c r="I125">
        <f>IF((INT(calendar[[#This Row],[Count]]/7)-calendar[[#This Row],[Count]]/7)&lt;0,I124,I124+1)</f>
        <v>18</v>
      </c>
      <c r="J125">
        <f t="shared" si="9"/>
        <v>123</v>
      </c>
      <c r="K125">
        <f>IF(calendar[[#This Row],[Month]]&lt;4,1,IF(calendar[[#This Row],[Month]]&lt;7,2,IF(calendar[[#This Row],[Month]]&lt;10,3,4)))</f>
        <v>2</v>
      </c>
      <c r="L125">
        <f>IFERROR(IF(VLOOKUP(calendar[[#This Row],[Date]],BH!A:A,1,)&lt;&gt;"",1,0),0)</f>
        <v>0</v>
      </c>
      <c r="M125">
        <f>IFERROR(IF(VLOOKUP(calendar[[#This Row],[Date]],BH!C:C,1,)&lt;&gt;"",1,0),0)</f>
        <v>0</v>
      </c>
      <c r="N125">
        <f>IFERROR(IF(VLOOKUP(calendar[[#This Row],[Date]],BH!E:E,1,)&lt;&gt;"",1,0),0)</f>
        <v>0</v>
      </c>
      <c r="O125">
        <f>IFERROR(IF(VLOOKUP(calendar[[#This Row],[Date]],BH!G:G,1,)&lt;&gt;"",1,0),0)</f>
        <v>0</v>
      </c>
      <c r="P125">
        <f>IF(OR(calendar[[#This Row],[UK_BH]]=1,calendar[[#This Row],[WeekDay]]=1, calendar[[#This Row],[WeekDay]]=7),P124,P124+1)</f>
        <v>89</v>
      </c>
      <c r="Q125">
        <f>IF(OR(calendar[[#This Row],[FR_BH]]=1,calendar[[#This Row],[WeekDay]]=1, calendar[[#This Row],[WeekDay]]=7),P124,P124+1)</f>
        <v>89</v>
      </c>
      <c r="R125">
        <f>IF(OR(calendar[[#This Row],[SP_BH]]=1,calendar[[#This Row],[WeekDay]]=1, calendar[[#This Row],[WeekDay]]=7),P124,P124+1)</f>
        <v>89</v>
      </c>
      <c r="S125">
        <f>IF(OR(calendar[[#This Row],[PT_BH]]=1,calendar[[#This Row],[WeekDay]]=1, calendar[[#This Row],[WeekDay]]=7),P124,P124+1)</f>
        <v>89</v>
      </c>
    </row>
    <row r="126" spans="1:19" x14ac:dyDescent="0.25">
      <c r="A126" s="2">
        <v>42860</v>
      </c>
      <c r="B126" s="1">
        <f t="shared" si="8"/>
        <v>18</v>
      </c>
      <c r="C126">
        <f t="shared" si="10"/>
        <v>5</v>
      </c>
      <c r="D126" t="str">
        <f t="shared" si="11"/>
        <v>May</v>
      </c>
      <c r="E126">
        <f t="shared" si="12"/>
        <v>2017</v>
      </c>
      <c r="F126" t="str">
        <f>CONCATENATE(calendar[[#This Row],[Month]],"/",calendar[[#This Row],[Year]])</f>
        <v>5/2017</v>
      </c>
      <c r="G126">
        <f>WEEKDAY(calendar[[#This Row],[Date]],1)</f>
        <v>6</v>
      </c>
      <c r="H126" t="str">
        <f>TEXT(calendar[[#This Row],[WeekDay]],"dddd")</f>
        <v>Friday</v>
      </c>
      <c r="I126">
        <f>IF((INT(calendar[[#This Row],[Count]]/7)-calendar[[#This Row],[Count]]/7)&lt;0,I125,I125+1)</f>
        <v>18</v>
      </c>
      <c r="J126">
        <f t="shared" si="9"/>
        <v>124</v>
      </c>
      <c r="K126">
        <f>IF(calendar[[#This Row],[Month]]&lt;4,1,IF(calendar[[#This Row],[Month]]&lt;7,2,IF(calendar[[#This Row],[Month]]&lt;10,3,4)))</f>
        <v>2</v>
      </c>
      <c r="L126">
        <f>IFERROR(IF(VLOOKUP(calendar[[#This Row],[Date]],BH!A:A,1,)&lt;&gt;"",1,0),0)</f>
        <v>0</v>
      </c>
      <c r="M126">
        <f>IFERROR(IF(VLOOKUP(calendar[[#This Row],[Date]],BH!C:C,1,)&lt;&gt;"",1,0),0)</f>
        <v>0</v>
      </c>
      <c r="N126">
        <f>IFERROR(IF(VLOOKUP(calendar[[#This Row],[Date]],BH!E:E,1,)&lt;&gt;"",1,0),0)</f>
        <v>0</v>
      </c>
      <c r="O126">
        <f>IFERROR(IF(VLOOKUP(calendar[[#This Row],[Date]],BH!G:G,1,)&lt;&gt;"",1,0),0)</f>
        <v>0</v>
      </c>
      <c r="P126">
        <f>IF(OR(calendar[[#This Row],[UK_BH]]=1,calendar[[#This Row],[WeekDay]]=1, calendar[[#This Row],[WeekDay]]=7),P125,P125+1)</f>
        <v>90</v>
      </c>
      <c r="Q126">
        <f>IF(OR(calendar[[#This Row],[FR_BH]]=1,calendar[[#This Row],[WeekDay]]=1, calendar[[#This Row],[WeekDay]]=7),P125,P125+1)</f>
        <v>90</v>
      </c>
      <c r="R126">
        <f>IF(OR(calendar[[#This Row],[SP_BH]]=1,calendar[[#This Row],[WeekDay]]=1, calendar[[#This Row],[WeekDay]]=7),P125,P125+1)</f>
        <v>90</v>
      </c>
      <c r="S126">
        <f>IF(OR(calendar[[#This Row],[PT_BH]]=1,calendar[[#This Row],[WeekDay]]=1, calendar[[#This Row],[WeekDay]]=7),P125,P125+1)</f>
        <v>90</v>
      </c>
    </row>
    <row r="127" spans="1:19" x14ac:dyDescent="0.25">
      <c r="A127" s="2">
        <v>42861</v>
      </c>
      <c r="B127" s="1">
        <f t="shared" si="8"/>
        <v>18</v>
      </c>
      <c r="C127">
        <f t="shared" si="10"/>
        <v>5</v>
      </c>
      <c r="D127" t="str">
        <f t="shared" si="11"/>
        <v>May</v>
      </c>
      <c r="E127">
        <f t="shared" si="12"/>
        <v>2017</v>
      </c>
      <c r="F127" t="str">
        <f>CONCATENATE(calendar[[#This Row],[Month]],"/",calendar[[#This Row],[Year]])</f>
        <v>5/2017</v>
      </c>
      <c r="G127">
        <f>WEEKDAY(calendar[[#This Row],[Date]],1)</f>
        <v>7</v>
      </c>
      <c r="H127" t="str">
        <f>TEXT(calendar[[#This Row],[WeekDay]],"dddd")</f>
        <v>Saturday</v>
      </c>
      <c r="I127">
        <f>IF((INT(calendar[[#This Row],[Count]]/7)-calendar[[#This Row],[Count]]/7)&lt;0,I126,I126+1)</f>
        <v>18</v>
      </c>
      <c r="J127">
        <f t="shared" si="9"/>
        <v>125</v>
      </c>
      <c r="K127">
        <f>IF(calendar[[#This Row],[Month]]&lt;4,1,IF(calendar[[#This Row],[Month]]&lt;7,2,IF(calendar[[#This Row],[Month]]&lt;10,3,4)))</f>
        <v>2</v>
      </c>
      <c r="L127">
        <f>IFERROR(IF(VLOOKUP(calendar[[#This Row],[Date]],BH!A:A,1,)&lt;&gt;"",1,0),0)</f>
        <v>0</v>
      </c>
      <c r="M127">
        <f>IFERROR(IF(VLOOKUP(calendar[[#This Row],[Date]],BH!C:C,1,)&lt;&gt;"",1,0),0)</f>
        <v>0</v>
      </c>
      <c r="N127">
        <f>IFERROR(IF(VLOOKUP(calendar[[#This Row],[Date]],BH!E:E,1,)&lt;&gt;"",1,0),0)</f>
        <v>0</v>
      </c>
      <c r="O127">
        <f>IFERROR(IF(VLOOKUP(calendar[[#This Row],[Date]],BH!G:G,1,)&lt;&gt;"",1,0),0)</f>
        <v>0</v>
      </c>
      <c r="P127">
        <f>IF(OR(calendar[[#This Row],[UK_BH]]=1,calendar[[#This Row],[WeekDay]]=1, calendar[[#This Row],[WeekDay]]=7),P126,P126+1)</f>
        <v>90</v>
      </c>
      <c r="Q127">
        <f>IF(OR(calendar[[#This Row],[FR_BH]]=1,calendar[[#This Row],[WeekDay]]=1, calendar[[#This Row],[WeekDay]]=7),P126,P126+1)</f>
        <v>90</v>
      </c>
      <c r="R127">
        <f>IF(OR(calendar[[#This Row],[SP_BH]]=1,calendar[[#This Row],[WeekDay]]=1, calendar[[#This Row],[WeekDay]]=7),P126,P126+1)</f>
        <v>90</v>
      </c>
      <c r="S127">
        <f>IF(OR(calendar[[#This Row],[PT_BH]]=1,calendar[[#This Row],[WeekDay]]=1, calendar[[#This Row],[WeekDay]]=7),P126,P126+1)</f>
        <v>90</v>
      </c>
    </row>
    <row r="128" spans="1:19" x14ac:dyDescent="0.25">
      <c r="A128" s="2">
        <v>42862</v>
      </c>
      <c r="B128" s="1">
        <f t="shared" si="8"/>
        <v>19</v>
      </c>
      <c r="C128">
        <f t="shared" si="10"/>
        <v>5</v>
      </c>
      <c r="D128" t="str">
        <f t="shared" si="11"/>
        <v>May</v>
      </c>
      <c r="E128">
        <f t="shared" si="12"/>
        <v>2017</v>
      </c>
      <c r="F128" t="str">
        <f>CONCATENATE(calendar[[#This Row],[Month]],"/",calendar[[#This Row],[Year]])</f>
        <v>5/2017</v>
      </c>
      <c r="G128">
        <f>WEEKDAY(calendar[[#This Row],[Date]],1)</f>
        <v>1</v>
      </c>
      <c r="H128" t="str">
        <f>TEXT(calendar[[#This Row],[WeekDay]],"dddd")</f>
        <v>Sunday</v>
      </c>
      <c r="I128">
        <f>IF((INT(calendar[[#This Row],[Count]]/7)-calendar[[#This Row],[Count]]/7)&lt;0,I127,I127+1)</f>
        <v>19</v>
      </c>
      <c r="J128">
        <f t="shared" si="9"/>
        <v>126</v>
      </c>
      <c r="K128">
        <f>IF(calendar[[#This Row],[Month]]&lt;4,1,IF(calendar[[#This Row],[Month]]&lt;7,2,IF(calendar[[#This Row],[Month]]&lt;10,3,4)))</f>
        <v>2</v>
      </c>
      <c r="L128">
        <f>IFERROR(IF(VLOOKUP(calendar[[#This Row],[Date]],BH!A:A,1,)&lt;&gt;"",1,0),0)</f>
        <v>0</v>
      </c>
      <c r="M128">
        <f>IFERROR(IF(VLOOKUP(calendar[[#This Row],[Date]],BH!C:C,1,)&lt;&gt;"",1,0),0)</f>
        <v>0</v>
      </c>
      <c r="N128">
        <f>IFERROR(IF(VLOOKUP(calendar[[#This Row],[Date]],BH!E:E,1,)&lt;&gt;"",1,0),0)</f>
        <v>0</v>
      </c>
      <c r="O128">
        <f>IFERROR(IF(VLOOKUP(calendar[[#This Row],[Date]],BH!G:G,1,)&lt;&gt;"",1,0),0)</f>
        <v>0</v>
      </c>
      <c r="P128">
        <f>IF(OR(calendar[[#This Row],[UK_BH]]=1,calendar[[#This Row],[WeekDay]]=1, calendar[[#This Row],[WeekDay]]=7),P127,P127+1)</f>
        <v>90</v>
      </c>
      <c r="Q128">
        <f>IF(OR(calendar[[#This Row],[FR_BH]]=1,calendar[[#This Row],[WeekDay]]=1, calendar[[#This Row],[WeekDay]]=7),P127,P127+1)</f>
        <v>90</v>
      </c>
      <c r="R128">
        <f>IF(OR(calendar[[#This Row],[SP_BH]]=1,calendar[[#This Row],[WeekDay]]=1, calendar[[#This Row],[WeekDay]]=7),P127,P127+1)</f>
        <v>90</v>
      </c>
      <c r="S128">
        <f>IF(OR(calendar[[#This Row],[PT_BH]]=1,calendar[[#This Row],[WeekDay]]=1, calendar[[#This Row],[WeekDay]]=7),P127,P127+1)</f>
        <v>90</v>
      </c>
    </row>
    <row r="129" spans="1:19" x14ac:dyDescent="0.25">
      <c r="A129" s="2">
        <v>42863</v>
      </c>
      <c r="B129" s="1">
        <f t="shared" si="8"/>
        <v>19</v>
      </c>
      <c r="C129">
        <f t="shared" si="10"/>
        <v>5</v>
      </c>
      <c r="D129" t="str">
        <f t="shared" si="11"/>
        <v>May</v>
      </c>
      <c r="E129">
        <f t="shared" si="12"/>
        <v>2017</v>
      </c>
      <c r="F129" t="str">
        <f>CONCATENATE(calendar[[#This Row],[Month]],"/",calendar[[#This Row],[Year]])</f>
        <v>5/2017</v>
      </c>
      <c r="G129">
        <f>WEEKDAY(calendar[[#This Row],[Date]],1)</f>
        <v>2</v>
      </c>
      <c r="H129" t="str">
        <f>TEXT(calendar[[#This Row],[WeekDay]],"dddd")</f>
        <v>Monday</v>
      </c>
      <c r="I129">
        <f>IF((INT(calendar[[#This Row],[Count]]/7)-calendar[[#This Row],[Count]]/7)&lt;0,I128,I128+1)</f>
        <v>19</v>
      </c>
      <c r="J129">
        <f t="shared" si="9"/>
        <v>127</v>
      </c>
      <c r="K129">
        <f>IF(calendar[[#This Row],[Month]]&lt;4,1,IF(calendar[[#This Row],[Month]]&lt;7,2,IF(calendar[[#This Row],[Month]]&lt;10,3,4)))</f>
        <v>2</v>
      </c>
      <c r="L129">
        <f>IFERROR(IF(VLOOKUP(calendar[[#This Row],[Date]],BH!A:A,1,)&lt;&gt;"",1,0),0)</f>
        <v>0</v>
      </c>
      <c r="M129">
        <f>IFERROR(IF(VLOOKUP(calendar[[#This Row],[Date]],BH!C:C,1,)&lt;&gt;"",1,0),0)</f>
        <v>0</v>
      </c>
      <c r="N129">
        <f>IFERROR(IF(VLOOKUP(calendar[[#This Row],[Date]],BH!E:E,1,)&lt;&gt;"",1,0),0)</f>
        <v>0</v>
      </c>
      <c r="O129">
        <f>IFERROR(IF(VLOOKUP(calendar[[#This Row],[Date]],BH!G:G,1,)&lt;&gt;"",1,0),0)</f>
        <v>0</v>
      </c>
      <c r="P129">
        <f>IF(OR(calendar[[#This Row],[UK_BH]]=1,calendar[[#This Row],[WeekDay]]=1, calendar[[#This Row],[WeekDay]]=7),P128,P128+1)</f>
        <v>91</v>
      </c>
      <c r="Q129">
        <f>IF(OR(calendar[[#This Row],[FR_BH]]=1,calendar[[#This Row],[WeekDay]]=1, calendar[[#This Row],[WeekDay]]=7),P128,P128+1)</f>
        <v>91</v>
      </c>
      <c r="R129">
        <f>IF(OR(calendar[[#This Row],[SP_BH]]=1,calendar[[#This Row],[WeekDay]]=1, calendar[[#This Row],[WeekDay]]=7),P128,P128+1)</f>
        <v>91</v>
      </c>
      <c r="S129">
        <f>IF(OR(calendar[[#This Row],[PT_BH]]=1,calendar[[#This Row],[WeekDay]]=1, calendar[[#This Row],[WeekDay]]=7),P128,P128+1)</f>
        <v>91</v>
      </c>
    </row>
    <row r="130" spans="1:19" x14ac:dyDescent="0.25">
      <c r="A130" s="2">
        <v>42864</v>
      </c>
      <c r="B130" s="1">
        <f t="shared" ref="B130:B193" si="13">WEEKNUM(A130)</f>
        <v>19</v>
      </c>
      <c r="C130">
        <f t="shared" si="10"/>
        <v>5</v>
      </c>
      <c r="D130" t="str">
        <f t="shared" si="11"/>
        <v>May</v>
      </c>
      <c r="E130">
        <f t="shared" si="12"/>
        <v>2017</v>
      </c>
      <c r="F130" t="str">
        <f>CONCATENATE(calendar[[#This Row],[Month]],"/",calendar[[#This Row],[Year]])</f>
        <v>5/2017</v>
      </c>
      <c r="G130">
        <f>WEEKDAY(calendar[[#This Row],[Date]],1)</f>
        <v>3</v>
      </c>
      <c r="H130" t="str">
        <f>TEXT(calendar[[#This Row],[WeekDay]],"dddd")</f>
        <v>Tuesday</v>
      </c>
      <c r="I130">
        <f>IF((INT(calendar[[#This Row],[Count]]/7)-calendar[[#This Row],[Count]]/7)&lt;0,I129,I129+1)</f>
        <v>19</v>
      </c>
      <c r="J130">
        <f t="shared" si="9"/>
        <v>128</v>
      </c>
      <c r="K130">
        <f>IF(calendar[[#This Row],[Month]]&lt;4,1,IF(calendar[[#This Row],[Month]]&lt;7,2,IF(calendar[[#This Row],[Month]]&lt;10,3,4)))</f>
        <v>2</v>
      </c>
      <c r="L130">
        <f>IFERROR(IF(VLOOKUP(calendar[[#This Row],[Date]],BH!A:A,1,)&lt;&gt;"",1,0),0)</f>
        <v>0</v>
      </c>
      <c r="M130">
        <f>IFERROR(IF(VLOOKUP(calendar[[#This Row],[Date]],BH!C:C,1,)&lt;&gt;"",1,0),0)</f>
        <v>0</v>
      </c>
      <c r="N130">
        <f>IFERROR(IF(VLOOKUP(calendar[[#This Row],[Date]],BH!E:E,1,)&lt;&gt;"",1,0),0)</f>
        <v>0</v>
      </c>
      <c r="O130">
        <f>IFERROR(IF(VLOOKUP(calendar[[#This Row],[Date]],BH!G:G,1,)&lt;&gt;"",1,0),0)</f>
        <v>0</v>
      </c>
      <c r="P130">
        <f>IF(OR(calendar[[#This Row],[UK_BH]]=1,calendar[[#This Row],[WeekDay]]=1, calendar[[#This Row],[WeekDay]]=7),P129,P129+1)</f>
        <v>92</v>
      </c>
      <c r="Q130">
        <f>IF(OR(calendar[[#This Row],[FR_BH]]=1,calendar[[#This Row],[WeekDay]]=1, calendar[[#This Row],[WeekDay]]=7),P129,P129+1)</f>
        <v>92</v>
      </c>
      <c r="R130">
        <f>IF(OR(calendar[[#This Row],[SP_BH]]=1,calendar[[#This Row],[WeekDay]]=1, calendar[[#This Row],[WeekDay]]=7),P129,P129+1)</f>
        <v>92</v>
      </c>
      <c r="S130">
        <f>IF(OR(calendar[[#This Row],[PT_BH]]=1,calendar[[#This Row],[WeekDay]]=1, calendar[[#This Row],[WeekDay]]=7),P129,P129+1)</f>
        <v>92</v>
      </c>
    </row>
    <row r="131" spans="1:19" x14ac:dyDescent="0.25">
      <c r="A131" s="2">
        <v>42865</v>
      </c>
      <c r="B131" s="1">
        <f t="shared" si="13"/>
        <v>19</v>
      </c>
      <c r="C131">
        <f t="shared" si="10"/>
        <v>5</v>
      </c>
      <c r="D131" t="str">
        <f t="shared" si="11"/>
        <v>May</v>
      </c>
      <c r="E131">
        <f t="shared" si="12"/>
        <v>2017</v>
      </c>
      <c r="F131" t="str">
        <f>CONCATENATE(calendar[[#This Row],[Month]],"/",calendar[[#This Row],[Year]])</f>
        <v>5/2017</v>
      </c>
      <c r="G131">
        <f>WEEKDAY(calendar[[#This Row],[Date]],1)</f>
        <v>4</v>
      </c>
      <c r="H131" t="str">
        <f>TEXT(calendar[[#This Row],[WeekDay]],"dddd")</f>
        <v>Wednesday</v>
      </c>
      <c r="I131">
        <f>IF((INT(calendar[[#This Row],[Count]]/7)-calendar[[#This Row],[Count]]/7)&lt;0,I130,I130+1)</f>
        <v>19</v>
      </c>
      <c r="J131">
        <f t="shared" ref="J131:J194" si="14">J130+1</f>
        <v>129</v>
      </c>
      <c r="K131">
        <f>IF(calendar[[#This Row],[Month]]&lt;4,1,IF(calendar[[#This Row],[Month]]&lt;7,2,IF(calendar[[#This Row],[Month]]&lt;10,3,4)))</f>
        <v>2</v>
      </c>
      <c r="L131">
        <f>IFERROR(IF(VLOOKUP(calendar[[#This Row],[Date]],BH!A:A,1,)&lt;&gt;"",1,0),0)</f>
        <v>0</v>
      </c>
      <c r="M131">
        <f>IFERROR(IF(VLOOKUP(calendar[[#This Row],[Date]],BH!C:C,1,)&lt;&gt;"",1,0),0)</f>
        <v>0</v>
      </c>
      <c r="N131">
        <f>IFERROR(IF(VLOOKUP(calendar[[#This Row],[Date]],BH!E:E,1,)&lt;&gt;"",1,0),0)</f>
        <v>0</v>
      </c>
      <c r="O131">
        <f>IFERROR(IF(VLOOKUP(calendar[[#This Row],[Date]],BH!G:G,1,)&lt;&gt;"",1,0),0)</f>
        <v>0</v>
      </c>
      <c r="P131">
        <f>IF(OR(calendar[[#This Row],[UK_BH]]=1,calendar[[#This Row],[WeekDay]]=1, calendar[[#This Row],[WeekDay]]=7),P130,P130+1)</f>
        <v>93</v>
      </c>
      <c r="Q131">
        <f>IF(OR(calendar[[#This Row],[FR_BH]]=1,calendar[[#This Row],[WeekDay]]=1, calendar[[#This Row],[WeekDay]]=7),P130,P130+1)</f>
        <v>93</v>
      </c>
      <c r="R131">
        <f>IF(OR(calendar[[#This Row],[SP_BH]]=1,calendar[[#This Row],[WeekDay]]=1, calendar[[#This Row],[WeekDay]]=7),P130,P130+1)</f>
        <v>93</v>
      </c>
      <c r="S131">
        <f>IF(OR(calendar[[#This Row],[PT_BH]]=1,calendar[[#This Row],[WeekDay]]=1, calendar[[#This Row],[WeekDay]]=7),P130,P130+1)</f>
        <v>93</v>
      </c>
    </row>
    <row r="132" spans="1:19" x14ac:dyDescent="0.25">
      <c r="A132" s="2">
        <v>42866</v>
      </c>
      <c r="B132" s="1">
        <f t="shared" si="13"/>
        <v>19</v>
      </c>
      <c r="C132">
        <f t="shared" si="10"/>
        <v>5</v>
      </c>
      <c r="D132" t="str">
        <f t="shared" si="11"/>
        <v>May</v>
      </c>
      <c r="E132">
        <f t="shared" si="12"/>
        <v>2017</v>
      </c>
      <c r="F132" t="str">
        <f>CONCATENATE(calendar[[#This Row],[Month]],"/",calendar[[#This Row],[Year]])</f>
        <v>5/2017</v>
      </c>
      <c r="G132">
        <f>WEEKDAY(calendar[[#This Row],[Date]],1)</f>
        <v>5</v>
      </c>
      <c r="H132" t="str">
        <f>TEXT(calendar[[#This Row],[WeekDay]],"dddd")</f>
        <v>Thursday</v>
      </c>
      <c r="I132">
        <f>IF((INT(calendar[[#This Row],[Count]]/7)-calendar[[#This Row],[Count]]/7)&lt;0,I131,I131+1)</f>
        <v>19</v>
      </c>
      <c r="J132">
        <f t="shared" si="14"/>
        <v>130</v>
      </c>
      <c r="K132">
        <f>IF(calendar[[#This Row],[Month]]&lt;4,1,IF(calendar[[#This Row],[Month]]&lt;7,2,IF(calendar[[#This Row],[Month]]&lt;10,3,4)))</f>
        <v>2</v>
      </c>
      <c r="L132">
        <f>IFERROR(IF(VLOOKUP(calendar[[#This Row],[Date]],BH!A:A,1,)&lt;&gt;"",1,0),0)</f>
        <v>0</v>
      </c>
      <c r="M132">
        <f>IFERROR(IF(VLOOKUP(calendar[[#This Row],[Date]],BH!C:C,1,)&lt;&gt;"",1,0),0)</f>
        <v>0</v>
      </c>
      <c r="N132">
        <f>IFERROR(IF(VLOOKUP(calendar[[#This Row],[Date]],BH!E:E,1,)&lt;&gt;"",1,0),0)</f>
        <v>0</v>
      </c>
      <c r="O132">
        <f>IFERROR(IF(VLOOKUP(calendar[[#This Row],[Date]],BH!G:G,1,)&lt;&gt;"",1,0),0)</f>
        <v>0</v>
      </c>
      <c r="P132">
        <f>IF(OR(calendar[[#This Row],[UK_BH]]=1,calendar[[#This Row],[WeekDay]]=1, calendar[[#This Row],[WeekDay]]=7),P131,P131+1)</f>
        <v>94</v>
      </c>
      <c r="Q132">
        <f>IF(OR(calendar[[#This Row],[FR_BH]]=1,calendar[[#This Row],[WeekDay]]=1, calendar[[#This Row],[WeekDay]]=7),P131,P131+1)</f>
        <v>94</v>
      </c>
      <c r="R132">
        <f>IF(OR(calendar[[#This Row],[SP_BH]]=1,calendar[[#This Row],[WeekDay]]=1, calendar[[#This Row],[WeekDay]]=7),P131,P131+1)</f>
        <v>94</v>
      </c>
      <c r="S132">
        <f>IF(OR(calendar[[#This Row],[PT_BH]]=1,calendar[[#This Row],[WeekDay]]=1, calendar[[#This Row],[WeekDay]]=7),P131,P131+1)</f>
        <v>94</v>
      </c>
    </row>
    <row r="133" spans="1:19" x14ac:dyDescent="0.25">
      <c r="A133" s="2">
        <v>42867</v>
      </c>
      <c r="B133" s="1">
        <f t="shared" si="13"/>
        <v>19</v>
      </c>
      <c r="C133">
        <f t="shared" si="10"/>
        <v>5</v>
      </c>
      <c r="D133" t="str">
        <f t="shared" si="11"/>
        <v>May</v>
      </c>
      <c r="E133">
        <f t="shared" si="12"/>
        <v>2017</v>
      </c>
      <c r="F133" t="str">
        <f>CONCATENATE(calendar[[#This Row],[Month]],"/",calendar[[#This Row],[Year]])</f>
        <v>5/2017</v>
      </c>
      <c r="G133">
        <f>WEEKDAY(calendar[[#This Row],[Date]],1)</f>
        <v>6</v>
      </c>
      <c r="H133" t="str">
        <f>TEXT(calendar[[#This Row],[WeekDay]],"dddd")</f>
        <v>Friday</v>
      </c>
      <c r="I133">
        <f>IF((INT(calendar[[#This Row],[Count]]/7)-calendar[[#This Row],[Count]]/7)&lt;0,I132,I132+1)</f>
        <v>19</v>
      </c>
      <c r="J133">
        <f t="shared" si="14"/>
        <v>131</v>
      </c>
      <c r="K133">
        <f>IF(calendar[[#This Row],[Month]]&lt;4,1,IF(calendar[[#This Row],[Month]]&lt;7,2,IF(calendar[[#This Row],[Month]]&lt;10,3,4)))</f>
        <v>2</v>
      </c>
      <c r="L133">
        <f>IFERROR(IF(VLOOKUP(calendar[[#This Row],[Date]],BH!A:A,1,)&lt;&gt;"",1,0),0)</f>
        <v>0</v>
      </c>
      <c r="M133">
        <f>IFERROR(IF(VLOOKUP(calendar[[#This Row],[Date]],BH!C:C,1,)&lt;&gt;"",1,0),0)</f>
        <v>0</v>
      </c>
      <c r="N133">
        <f>IFERROR(IF(VLOOKUP(calendar[[#This Row],[Date]],BH!E:E,1,)&lt;&gt;"",1,0),0)</f>
        <v>0</v>
      </c>
      <c r="O133">
        <f>IFERROR(IF(VLOOKUP(calendar[[#This Row],[Date]],BH!G:G,1,)&lt;&gt;"",1,0),0)</f>
        <v>0</v>
      </c>
      <c r="P133">
        <f>IF(OR(calendar[[#This Row],[UK_BH]]=1,calendar[[#This Row],[WeekDay]]=1, calendar[[#This Row],[WeekDay]]=7),P132,P132+1)</f>
        <v>95</v>
      </c>
      <c r="Q133">
        <f>IF(OR(calendar[[#This Row],[FR_BH]]=1,calendar[[#This Row],[WeekDay]]=1, calendar[[#This Row],[WeekDay]]=7),P132,P132+1)</f>
        <v>95</v>
      </c>
      <c r="R133">
        <f>IF(OR(calendar[[#This Row],[SP_BH]]=1,calendar[[#This Row],[WeekDay]]=1, calendar[[#This Row],[WeekDay]]=7),P132,P132+1)</f>
        <v>95</v>
      </c>
      <c r="S133">
        <f>IF(OR(calendar[[#This Row],[PT_BH]]=1,calendar[[#This Row],[WeekDay]]=1, calendar[[#This Row],[WeekDay]]=7),P132,P132+1)</f>
        <v>95</v>
      </c>
    </row>
    <row r="134" spans="1:19" x14ac:dyDescent="0.25">
      <c r="A134" s="2">
        <v>42868</v>
      </c>
      <c r="B134" s="1">
        <f t="shared" si="13"/>
        <v>19</v>
      </c>
      <c r="C134">
        <f t="shared" si="10"/>
        <v>5</v>
      </c>
      <c r="D134" t="str">
        <f t="shared" si="11"/>
        <v>May</v>
      </c>
      <c r="E134">
        <f t="shared" si="12"/>
        <v>2017</v>
      </c>
      <c r="F134" t="str">
        <f>CONCATENATE(calendar[[#This Row],[Month]],"/",calendar[[#This Row],[Year]])</f>
        <v>5/2017</v>
      </c>
      <c r="G134">
        <f>WEEKDAY(calendar[[#This Row],[Date]],1)</f>
        <v>7</v>
      </c>
      <c r="H134" t="str">
        <f>TEXT(calendar[[#This Row],[WeekDay]],"dddd")</f>
        <v>Saturday</v>
      </c>
      <c r="I134">
        <f>IF((INT(calendar[[#This Row],[Count]]/7)-calendar[[#This Row],[Count]]/7)&lt;0,I133,I133+1)</f>
        <v>19</v>
      </c>
      <c r="J134">
        <f t="shared" si="14"/>
        <v>132</v>
      </c>
      <c r="K134">
        <f>IF(calendar[[#This Row],[Month]]&lt;4,1,IF(calendar[[#This Row],[Month]]&lt;7,2,IF(calendar[[#This Row],[Month]]&lt;10,3,4)))</f>
        <v>2</v>
      </c>
      <c r="L134">
        <f>IFERROR(IF(VLOOKUP(calendar[[#This Row],[Date]],BH!A:A,1,)&lt;&gt;"",1,0),0)</f>
        <v>0</v>
      </c>
      <c r="M134">
        <f>IFERROR(IF(VLOOKUP(calendar[[#This Row],[Date]],BH!C:C,1,)&lt;&gt;"",1,0),0)</f>
        <v>0</v>
      </c>
      <c r="N134">
        <f>IFERROR(IF(VLOOKUP(calendar[[#This Row],[Date]],BH!E:E,1,)&lt;&gt;"",1,0),0)</f>
        <v>0</v>
      </c>
      <c r="O134">
        <f>IFERROR(IF(VLOOKUP(calendar[[#This Row],[Date]],BH!G:G,1,)&lt;&gt;"",1,0),0)</f>
        <v>0</v>
      </c>
      <c r="P134">
        <f>IF(OR(calendar[[#This Row],[UK_BH]]=1,calendar[[#This Row],[WeekDay]]=1, calendar[[#This Row],[WeekDay]]=7),P133,P133+1)</f>
        <v>95</v>
      </c>
      <c r="Q134">
        <f>IF(OR(calendar[[#This Row],[FR_BH]]=1,calendar[[#This Row],[WeekDay]]=1, calendar[[#This Row],[WeekDay]]=7),P133,P133+1)</f>
        <v>95</v>
      </c>
      <c r="R134">
        <f>IF(OR(calendar[[#This Row],[SP_BH]]=1,calendar[[#This Row],[WeekDay]]=1, calendar[[#This Row],[WeekDay]]=7),P133,P133+1)</f>
        <v>95</v>
      </c>
      <c r="S134">
        <f>IF(OR(calendar[[#This Row],[PT_BH]]=1,calendar[[#This Row],[WeekDay]]=1, calendar[[#This Row],[WeekDay]]=7),P133,P133+1)</f>
        <v>95</v>
      </c>
    </row>
    <row r="135" spans="1:19" x14ac:dyDescent="0.25">
      <c r="A135" s="2">
        <v>42869</v>
      </c>
      <c r="B135" s="1">
        <f t="shared" si="13"/>
        <v>20</v>
      </c>
      <c r="C135">
        <f t="shared" si="10"/>
        <v>5</v>
      </c>
      <c r="D135" t="str">
        <f t="shared" si="11"/>
        <v>May</v>
      </c>
      <c r="E135">
        <f t="shared" si="12"/>
        <v>2017</v>
      </c>
      <c r="F135" t="str">
        <f>CONCATENATE(calendar[[#This Row],[Month]],"/",calendar[[#This Row],[Year]])</f>
        <v>5/2017</v>
      </c>
      <c r="G135">
        <f>WEEKDAY(calendar[[#This Row],[Date]],1)</f>
        <v>1</v>
      </c>
      <c r="H135" t="str">
        <f>TEXT(calendar[[#This Row],[WeekDay]],"dddd")</f>
        <v>Sunday</v>
      </c>
      <c r="I135">
        <f>IF((INT(calendar[[#This Row],[Count]]/7)-calendar[[#This Row],[Count]]/7)&lt;0,I134,I134+1)</f>
        <v>20</v>
      </c>
      <c r="J135">
        <f t="shared" si="14"/>
        <v>133</v>
      </c>
      <c r="K135">
        <f>IF(calendar[[#This Row],[Month]]&lt;4,1,IF(calendar[[#This Row],[Month]]&lt;7,2,IF(calendar[[#This Row],[Month]]&lt;10,3,4)))</f>
        <v>2</v>
      </c>
      <c r="L135">
        <f>IFERROR(IF(VLOOKUP(calendar[[#This Row],[Date]],BH!A:A,1,)&lt;&gt;"",1,0),0)</f>
        <v>0</v>
      </c>
      <c r="M135">
        <f>IFERROR(IF(VLOOKUP(calendar[[#This Row],[Date]],BH!C:C,1,)&lt;&gt;"",1,0),0)</f>
        <v>0</v>
      </c>
      <c r="N135">
        <f>IFERROR(IF(VLOOKUP(calendar[[#This Row],[Date]],BH!E:E,1,)&lt;&gt;"",1,0),0)</f>
        <v>0</v>
      </c>
      <c r="O135">
        <f>IFERROR(IF(VLOOKUP(calendar[[#This Row],[Date]],BH!G:G,1,)&lt;&gt;"",1,0),0)</f>
        <v>0</v>
      </c>
      <c r="P135">
        <f>IF(OR(calendar[[#This Row],[UK_BH]]=1,calendar[[#This Row],[WeekDay]]=1, calendar[[#This Row],[WeekDay]]=7),P134,P134+1)</f>
        <v>95</v>
      </c>
      <c r="Q135">
        <f>IF(OR(calendar[[#This Row],[FR_BH]]=1,calendar[[#This Row],[WeekDay]]=1, calendar[[#This Row],[WeekDay]]=7),P134,P134+1)</f>
        <v>95</v>
      </c>
      <c r="R135">
        <f>IF(OR(calendar[[#This Row],[SP_BH]]=1,calendar[[#This Row],[WeekDay]]=1, calendar[[#This Row],[WeekDay]]=7),P134,P134+1)</f>
        <v>95</v>
      </c>
      <c r="S135">
        <f>IF(OR(calendar[[#This Row],[PT_BH]]=1,calendar[[#This Row],[WeekDay]]=1, calendar[[#This Row],[WeekDay]]=7),P134,P134+1)</f>
        <v>95</v>
      </c>
    </row>
    <row r="136" spans="1:19" x14ac:dyDescent="0.25">
      <c r="A136" s="2">
        <v>42870</v>
      </c>
      <c r="B136" s="1">
        <f t="shared" si="13"/>
        <v>20</v>
      </c>
      <c r="C136">
        <f t="shared" si="10"/>
        <v>5</v>
      </c>
      <c r="D136" t="str">
        <f t="shared" si="11"/>
        <v>May</v>
      </c>
      <c r="E136">
        <f t="shared" si="12"/>
        <v>2017</v>
      </c>
      <c r="F136" t="str">
        <f>CONCATENATE(calendar[[#This Row],[Month]],"/",calendar[[#This Row],[Year]])</f>
        <v>5/2017</v>
      </c>
      <c r="G136">
        <f>WEEKDAY(calendar[[#This Row],[Date]],1)</f>
        <v>2</v>
      </c>
      <c r="H136" t="str">
        <f>TEXT(calendar[[#This Row],[WeekDay]],"dddd")</f>
        <v>Monday</v>
      </c>
      <c r="I136">
        <f>IF((INT(calendar[[#This Row],[Count]]/7)-calendar[[#This Row],[Count]]/7)&lt;0,I135,I135+1)</f>
        <v>20</v>
      </c>
      <c r="J136">
        <f t="shared" si="14"/>
        <v>134</v>
      </c>
      <c r="K136">
        <f>IF(calendar[[#This Row],[Month]]&lt;4,1,IF(calendar[[#This Row],[Month]]&lt;7,2,IF(calendar[[#This Row],[Month]]&lt;10,3,4)))</f>
        <v>2</v>
      </c>
      <c r="L136">
        <f>IFERROR(IF(VLOOKUP(calendar[[#This Row],[Date]],BH!A:A,1,)&lt;&gt;"",1,0),0)</f>
        <v>0</v>
      </c>
      <c r="M136">
        <f>IFERROR(IF(VLOOKUP(calendar[[#This Row],[Date]],BH!C:C,1,)&lt;&gt;"",1,0),0)</f>
        <v>0</v>
      </c>
      <c r="N136">
        <f>IFERROR(IF(VLOOKUP(calendar[[#This Row],[Date]],BH!E:E,1,)&lt;&gt;"",1,0),0)</f>
        <v>0</v>
      </c>
      <c r="O136">
        <f>IFERROR(IF(VLOOKUP(calendar[[#This Row],[Date]],BH!G:G,1,)&lt;&gt;"",1,0),0)</f>
        <v>0</v>
      </c>
      <c r="P136">
        <f>IF(OR(calendar[[#This Row],[UK_BH]]=1,calendar[[#This Row],[WeekDay]]=1, calendar[[#This Row],[WeekDay]]=7),P135,P135+1)</f>
        <v>96</v>
      </c>
      <c r="Q136">
        <f>IF(OR(calendar[[#This Row],[FR_BH]]=1,calendar[[#This Row],[WeekDay]]=1, calendar[[#This Row],[WeekDay]]=7),P135,P135+1)</f>
        <v>96</v>
      </c>
      <c r="R136">
        <f>IF(OR(calendar[[#This Row],[SP_BH]]=1,calendar[[#This Row],[WeekDay]]=1, calendar[[#This Row],[WeekDay]]=7),P135,P135+1)</f>
        <v>96</v>
      </c>
      <c r="S136">
        <f>IF(OR(calendar[[#This Row],[PT_BH]]=1,calendar[[#This Row],[WeekDay]]=1, calendar[[#This Row],[WeekDay]]=7),P135,P135+1)</f>
        <v>96</v>
      </c>
    </row>
    <row r="137" spans="1:19" x14ac:dyDescent="0.25">
      <c r="A137" s="2">
        <v>42871</v>
      </c>
      <c r="B137" s="1">
        <f t="shared" si="13"/>
        <v>20</v>
      </c>
      <c r="C137">
        <f t="shared" si="10"/>
        <v>5</v>
      </c>
      <c r="D137" t="str">
        <f t="shared" si="11"/>
        <v>May</v>
      </c>
      <c r="E137">
        <f t="shared" si="12"/>
        <v>2017</v>
      </c>
      <c r="F137" t="str">
        <f>CONCATENATE(calendar[[#This Row],[Month]],"/",calendar[[#This Row],[Year]])</f>
        <v>5/2017</v>
      </c>
      <c r="G137">
        <f>WEEKDAY(calendar[[#This Row],[Date]],1)</f>
        <v>3</v>
      </c>
      <c r="H137" t="str">
        <f>TEXT(calendar[[#This Row],[WeekDay]],"dddd")</f>
        <v>Tuesday</v>
      </c>
      <c r="I137">
        <f>IF((INT(calendar[[#This Row],[Count]]/7)-calendar[[#This Row],[Count]]/7)&lt;0,I136,I136+1)</f>
        <v>20</v>
      </c>
      <c r="J137">
        <f t="shared" si="14"/>
        <v>135</v>
      </c>
      <c r="K137">
        <f>IF(calendar[[#This Row],[Month]]&lt;4,1,IF(calendar[[#This Row],[Month]]&lt;7,2,IF(calendar[[#This Row],[Month]]&lt;10,3,4)))</f>
        <v>2</v>
      </c>
      <c r="L137">
        <f>IFERROR(IF(VLOOKUP(calendar[[#This Row],[Date]],BH!A:A,1,)&lt;&gt;"",1,0),0)</f>
        <v>0</v>
      </c>
      <c r="M137">
        <f>IFERROR(IF(VLOOKUP(calendar[[#This Row],[Date]],BH!C:C,1,)&lt;&gt;"",1,0),0)</f>
        <v>0</v>
      </c>
      <c r="N137">
        <f>IFERROR(IF(VLOOKUP(calendar[[#This Row],[Date]],BH!E:E,1,)&lt;&gt;"",1,0),0)</f>
        <v>0</v>
      </c>
      <c r="O137">
        <f>IFERROR(IF(VLOOKUP(calendar[[#This Row],[Date]],BH!G:G,1,)&lt;&gt;"",1,0),0)</f>
        <v>0</v>
      </c>
      <c r="P137">
        <f>IF(OR(calendar[[#This Row],[UK_BH]]=1,calendar[[#This Row],[WeekDay]]=1, calendar[[#This Row],[WeekDay]]=7),P136,P136+1)</f>
        <v>97</v>
      </c>
      <c r="Q137">
        <f>IF(OR(calendar[[#This Row],[FR_BH]]=1,calendar[[#This Row],[WeekDay]]=1, calendar[[#This Row],[WeekDay]]=7),P136,P136+1)</f>
        <v>97</v>
      </c>
      <c r="R137">
        <f>IF(OR(calendar[[#This Row],[SP_BH]]=1,calendar[[#This Row],[WeekDay]]=1, calendar[[#This Row],[WeekDay]]=7),P136,P136+1)</f>
        <v>97</v>
      </c>
      <c r="S137">
        <f>IF(OR(calendar[[#This Row],[PT_BH]]=1,calendar[[#This Row],[WeekDay]]=1, calendar[[#This Row],[WeekDay]]=7),P136,P136+1)</f>
        <v>97</v>
      </c>
    </row>
    <row r="138" spans="1:19" x14ac:dyDescent="0.25">
      <c r="A138" s="2">
        <v>42872</v>
      </c>
      <c r="B138" s="1">
        <f t="shared" si="13"/>
        <v>20</v>
      </c>
      <c r="C138">
        <f t="shared" si="10"/>
        <v>5</v>
      </c>
      <c r="D138" t="str">
        <f t="shared" si="11"/>
        <v>May</v>
      </c>
      <c r="E138">
        <f t="shared" si="12"/>
        <v>2017</v>
      </c>
      <c r="F138" t="str">
        <f>CONCATENATE(calendar[[#This Row],[Month]],"/",calendar[[#This Row],[Year]])</f>
        <v>5/2017</v>
      </c>
      <c r="G138">
        <f>WEEKDAY(calendar[[#This Row],[Date]],1)</f>
        <v>4</v>
      </c>
      <c r="H138" t="str">
        <f>TEXT(calendar[[#This Row],[WeekDay]],"dddd")</f>
        <v>Wednesday</v>
      </c>
      <c r="I138">
        <f>IF((INT(calendar[[#This Row],[Count]]/7)-calendar[[#This Row],[Count]]/7)&lt;0,I137,I137+1)</f>
        <v>20</v>
      </c>
      <c r="J138">
        <f t="shared" si="14"/>
        <v>136</v>
      </c>
      <c r="K138">
        <f>IF(calendar[[#This Row],[Month]]&lt;4,1,IF(calendar[[#This Row],[Month]]&lt;7,2,IF(calendar[[#This Row],[Month]]&lt;10,3,4)))</f>
        <v>2</v>
      </c>
      <c r="L138">
        <f>IFERROR(IF(VLOOKUP(calendar[[#This Row],[Date]],BH!A:A,1,)&lt;&gt;"",1,0),0)</f>
        <v>0</v>
      </c>
      <c r="M138">
        <f>IFERROR(IF(VLOOKUP(calendar[[#This Row],[Date]],BH!C:C,1,)&lt;&gt;"",1,0),0)</f>
        <v>0</v>
      </c>
      <c r="N138">
        <f>IFERROR(IF(VLOOKUP(calendar[[#This Row],[Date]],BH!E:E,1,)&lt;&gt;"",1,0),0)</f>
        <v>0</v>
      </c>
      <c r="O138">
        <f>IFERROR(IF(VLOOKUP(calendar[[#This Row],[Date]],BH!G:G,1,)&lt;&gt;"",1,0),0)</f>
        <v>0</v>
      </c>
      <c r="P138">
        <f>IF(OR(calendar[[#This Row],[UK_BH]]=1,calendar[[#This Row],[WeekDay]]=1, calendar[[#This Row],[WeekDay]]=7),P137,P137+1)</f>
        <v>98</v>
      </c>
      <c r="Q138">
        <f>IF(OR(calendar[[#This Row],[FR_BH]]=1,calendar[[#This Row],[WeekDay]]=1, calendar[[#This Row],[WeekDay]]=7),P137,P137+1)</f>
        <v>98</v>
      </c>
      <c r="R138">
        <f>IF(OR(calendar[[#This Row],[SP_BH]]=1,calendar[[#This Row],[WeekDay]]=1, calendar[[#This Row],[WeekDay]]=7),P137,P137+1)</f>
        <v>98</v>
      </c>
      <c r="S138">
        <f>IF(OR(calendar[[#This Row],[PT_BH]]=1,calendar[[#This Row],[WeekDay]]=1, calendar[[#This Row],[WeekDay]]=7),P137,P137+1)</f>
        <v>98</v>
      </c>
    </row>
    <row r="139" spans="1:19" x14ac:dyDescent="0.25">
      <c r="A139" s="2">
        <v>42873</v>
      </c>
      <c r="B139" s="1">
        <f t="shared" si="13"/>
        <v>20</v>
      </c>
      <c r="C139">
        <f t="shared" si="10"/>
        <v>5</v>
      </c>
      <c r="D139" t="str">
        <f t="shared" si="11"/>
        <v>May</v>
      </c>
      <c r="E139">
        <f t="shared" si="12"/>
        <v>2017</v>
      </c>
      <c r="F139" t="str">
        <f>CONCATENATE(calendar[[#This Row],[Month]],"/",calendar[[#This Row],[Year]])</f>
        <v>5/2017</v>
      </c>
      <c r="G139">
        <f>WEEKDAY(calendar[[#This Row],[Date]],1)</f>
        <v>5</v>
      </c>
      <c r="H139" t="str">
        <f>TEXT(calendar[[#This Row],[WeekDay]],"dddd")</f>
        <v>Thursday</v>
      </c>
      <c r="I139">
        <f>IF((INT(calendar[[#This Row],[Count]]/7)-calendar[[#This Row],[Count]]/7)&lt;0,I138,I138+1)</f>
        <v>20</v>
      </c>
      <c r="J139">
        <f t="shared" si="14"/>
        <v>137</v>
      </c>
      <c r="K139">
        <f>IF(calendar[[#This Row],[Month]]&lt;4,1,IF(calendar[[#This Row],[Month]]&lt;7,2,IF(calendar[[#This Row],[Month]]&lt;10,3,4)))</f>
        <v>2</v>
      </c>
      <c r="L139">
        <f>IFERROR(IF(VLOOKUP(calendar[[#This Row],[Date]],BH!A:A,1,)&lt;&gt;"",1,0),0)</f>
        <v>0</v>
      </c>
      <c r="M139">
        <f>IFERROR(IF(VLOOKUP(calendar[[#This Row],[Date]],BH!C:C,1,)&lt;&gt;"",1,0),0)</f>
        <v>0</v>
      </c>
      <c r="N139">
        <f>IFERROR(IF(VLOOKUP(calendar[[#This Row],[Date]],BH!E:E,1,)&lt;&gt;"",1,0),0)</f>
        <v>0</v>
      </c>
      <c r="O139">
        <f>IFERROR(IF(VLOOKUP(calendar[[#This Row],[Date]],BH!G:G,1,)&lt;&gt;"",1,0),0)</f>
        <v>0</v>
      </c>
      <c r="P139">
        <f>IF(OR(calendar[[#This Row],[UK_BH]]=1,calendar[[#This Row],[WeekDay]]=1, calendar[[#This Row],[WeekDay]]=7),P138,P138+1)</f>
        <v>99</v>
      </c>
      <c r="Q139">
        <f>IF(OR(calendar[[#This Row],[FR_BH]]=1,calendar[[#This Row],[WeekDay]]=1, calendar[[#This Row],[WeekDay]]=7),P138,P138+1)</f>
        <v>99</v>
      </c>
      <c r="R139">
        <f>IF(OR(calendar[[#This Row],[SP_BH]]=1,calendar[[#This Row],[WeekDay]]=1, calendar[[#This Row],[WeekDay]]=7),P138,P138+1)</f>
        <v>99</v>
      </c>
      <c r="S139">
        <f>IF(OR(calendar[[#This Row],[PT_BH]]=1,calendar[[#This Row],[WeekDay]]=1, calendar[[#This Row],[WeekDay]]=7),P138,P138+1)</f>
        <v>99</v>
      </c>
    </row>
    <row r="140" spans="1:19" x14ac:dyDescent="0.25">
      <c r="A140" s="2">
        <v>42874</v>
      </c>
      <c r="B140" s="1">
        <f t="shared" si="13"/>
        <v>20</v>
      </c>
      <c r="C140">
        <f t="shared" si="10"/>
        <v>5</v>
      </c>
      <c r="D140" t="str">
        <f t="shared" si="11"/>
        <v>May</v>
      </c>
      <c r="E140">
        <f t="shared" si="12"/>
        <v>2017</v>
      </c>
      <c r="F140" t="str">
        <f>CONCATENATE(calendar[[#This Row],[Month]],"/",calendar[[#This Row],[Year]])</f>
        <v>5/2017</v>
      </c>
      <c r="G140">
        <f>WEEKDAY(calendar[[#This Row],[Date]],1)</f>
        <v>6</v>
      </c>
      <c r="H140" t="str">
        <f>TEXT(calendar[[#This Row],[WeekDay]],"dddd")</f>
        <v>Friday</v>
      </c>
      <c r="I140">
        <f>IF((INT(calendar[[#This Row],[Count]]/7)-calendar[[#This Row],[Count]]/7)&lt;0,I139,I139+1)</f>
        <v>20</v>
      </c>
      <c r="J140">
        <f t="shared" si="14"/>
        <v>138</v>
      </c>
      <c r="K140">
        <f>IF(calendar[[#This Row],[Month]]&lt;4,1,IF(calendar[[#This Row],[Month]]&lt;7,2,IF(calendar[[#This Row],[Month]]&lt;10,3,4)))</f>
        <v>2</v>
      </c>
      <c r="L140">
        <f>IFERROR(IF(VLOOKUP(calendar[[#This Row],[Date]],BH!A:A,1,)&lt;&gt;"",1,0),0)</f>
        <v>0</v>
      </c>
      <c r="M140">
        <f>IFERROR(IF(VLOOKUP(calendar[[#This Row],[Date]],BH!C:C,1,)&lt;&gt;"",1,0),0)</f>
        <v>0</v>
      </c>
      <c r="N140">
        <f>IFERROR(IF(VLOOKUP(calendar[[#This Row],[Date]],BH!E:E,1,)&lt;&gt;"",1,0),0)</f>
        <v>0</v>
      </c>
      <c r="O140">
        <f>IFERROR(IF(VLOOKUP(calendar[[#This Row],[Date]],BH!G:G,1,)&lt;&gt;"",1,0),0)</f>
        <v>0</v>
      </c>
      <c r="P140">
        <f>IF(OR(calendar[[#This Row],[UK_BH]]=1,calendar[[#This Row],[WeekDay]]=1, calendar[[#This Row],[WeekDay]]=7),P139,P139+1)</f>
        <v>100</v>
      </c>
      <c r="Q140">
        <f>IF(OR(calendar[[#This Row],[FR_BH]]=1,calendar[[#This Row],[WeekDay]]=1, calendar[[#This Row],[WeekDay]]=7),P139,P139+1)</f>
        <v>100</v>
      </c>
      <c r="R140">
        <f>IF(OR(calendar[[#This Row],[SP_BH]]=1,calendar[[#This Row],[WeekDay]]=1, calendar[[#This Row],[WeekDay]]=7),P139,P139+1)</f>
        <v>100</v>
      </c>
      <c r="S140">
        <f>IF(OR(calendar[[#This Row],[PT_BH]]=1,calendar[[#This Row],[WeekDay]]=1, calendar[[#This Row],[WeekDay]]=7),P139,P139+1)</f>
        <v>100</v>
      </c>
    </row>
    <row r="141" spans="1:19" x14ac:dyDescent="0.25">
      <c r="A141" s="2">
        <v>42875</v>
      </c>
      <c r="B141" s="1">
        <f t="shared" si="13"/>
        <v>20</v>
      </c>
      <c r="C141">
        <f t="shared" si="10"/>
        <v>5</v>
      </c>
      <c r="D141" t="str">
        <f t="shared" si="11"/>
        <v>May</v>
      </c>
      <c r="E141">
        <f t="shared" si="12"/>
        <v>2017</v>
      </c>
      <c r="F141" t="str">
        <f>CONCATENATE(calendar[[#This Row],[Month]],"/",calendar[[#This Row],[Year]])</f>
        <v>5/2017</v>
      </c>
      <c r="G141">
        <f>WEEKDAY(calendar[[#This Row],[Date]],1)</f>
        <v>7</v>
      </c>
      <c r="H141" t="str">
        <f>TEXT(calendar[[#This Row],[WeekDay]],"dddd")</f>
        <v>Saturday</v>
      </c>
      <c r="I141">
        <f>IF((INT(calendar[[#This Row],[Count]]/7)-calendar[[#This Row],[Count]]/7)&lt;0,I140,I140+1)</f>
        <v>20</v>
      </c>
      <c r="J141">
        <f t="shared" si="14"/>
        <v>139</v>
      </c>
      <c r="K141">
        <f>IF(calendar[[#This Row],[Month]]&lt;4,1,IF(calendar[[#This Row],[Month]]&lt;7,2,IF(calendar[[#This Row],[Month]]&lt;10,3,4)))</f>
        <v>2</v>
      </c>
      <c r="L141">
        <f>IFERROR(IF(VLOOKUP(calendar[[#This Row],[Date]],BH!A:A,1,)&lt;&gt;"",1,0),0)</f>
        <v>0</v>
      </c>
      <c r="M141">
        <f>IFERROR(IF(VLOOKUP(calendar[[#This Row],[Date]],BH!C:C,1,)&lt;&gt;"",1,0),0)</f>
        <v>0</v>
      </c>
      <c r="N141">
        <f>IFERROR(IF(VLOOKUP(calendar[[#This Row],[Date]],BH!E:E,1,)&lt;&gt;"",1,0),0)</f>
        <v>0</v>
      </c>
      <c r="O141">
        <f>IFERROR(IF(VLOOKUP(calendar[[#This Row],[Date]],BH!G:G,1,)&lt;&gt;"",1,0),0)</f>
        <v>0</v>
      </c>
      <c r="P141">
        <f>IF(OR(calendar[[#This Row],[UK_BH]]=1,calendar[[#This Row],[WeekDay]]=1, calendar[[#This Row],[WeekDay]]=7),P140,P140+1)</f>
        <v>100</v>
      </c>
      <c r="Q141">
        <f>IF(OR(calendar[[#This Row],[FR_BH]]=1,calendar[[#This Row],[WeekDay]]=1, calendar[[#This Row],[WeekDay]]=7),P140,P140+1)</f>
        <v>100</v>
      </c>
      <c r="R141">
        <f>IF(OR(calendar[[#This Row],[SP_BH]]=1,calendar[[#This Row],[WeekDay]]=1, calendar[[#This Row],[WeekDay]]=7),P140,P140+1)</f>
        <v>100</v>
      </c>
      <c r="S141">
        <f>IF(OR(calendar[[#This Row],[PT_BH]]=1,calendar[[#This Row],[WeekDay]]=1, calendar[[#This Row],[WeekDay]]=7),P140,P140+1)</f>
        <v>100</v>
      </c>
    </row>
    <row r="142" spans="1:19" x14ac:dyDescent="0.25">
      <c r="A142" s="2">
        <v>42876</v>
      </c>
      <c r="B142" s="1">
        <f t="shared" si="13"/>
        <v>21</v>
      </c>
      <c r="C142">
        <f t="shared" si="10"/>
        <v>5</v>
      </c>
      <c r="D142" t="str">
        <f t="shared" si="11"/>
        <v>May</v>
      </c>
      <c r="E142">
        <f t="shared" si="12"/>
        <v>2017</v>
      </c>
      <c r="F142" t="str">
        <f>CONCATENATE(calendar[[#This Row],[Month]],"/",calendar[[#This Row],[Year]])</f>
        <v>5/2017</v>
      </c>
      <c r="G142">
        <f>WEEKDAY(calendar[[#This Row],[Date]],1)</f>
        <v>1</v>
      </c>
      <c r="H142" t="str">
        <f>TEXT(calendar[[#This Row],[WeekDay]],"dddd")</f>
        <v>Sunday</v>
      </c>
      <c r="I142">
        <f>IF((INT(calendar[[#This Row],[Count]]/7)-calendar[[#This Row],[Count]]/7)&lt;0,I141,I141+1)</f>
        <v>21</v>
      </c>
      <c r="J142">
        <f t="shared" si="14"/>
        <v>140</v>
      </c>
      <c r="K142">
        <f>IF(calendar[[#This Row],[Month]]&lt;4,1,IF(calendar[[#This Row],[Month]]&lt;7,2,IF(calendar[[#This Row],[Month]]&lt;10,3,4)))</f>
        <v>2</v>
      </c>
      <c r="L142">
        <f>IFERROR(IF(VLOOKUP(calendar[[#This Row],[Date]],BH!A:A,1,)&lt;&gt;"",1,0),0)</f>
        <v>0</v>
      </c>
      <c r="M142">
        <f>IFERROR(IF(VLOOKUP(calendar[[#This Row],[Date]],BH!C:C,1,)&lt;&gt;"",1,0),0)</f>
        <v>0</v>
      </c>
      <c r="N142">
        <f>IFERROR(IF(VLOOKUP(calendar[[#This Row],[Date]],BH!E:E,1,)&lt;&gt;"",1,0),0)</f>
        <v>0</v>
      </c>
      <c r="O142">
        <f>IFERROR(IF(VLOOKUP(calendar[[#This Row],[Date]],BH!G:G,1,)&lt;&gt;"",1,0),0)</f>
        <v>0</v>
      </c>
      <c r="P142">
        <f>IF(OR(calendar[[#This Row],[UK_BH]]=1,calendar[[#This Row],[WeekDay]]=1, calendar[[#This Row],[WeekDay]]=7),P141,P141+1)</f>
        <v>100</v>
      </c>
      <c r="Q142">
        <f>IF(OR(calendar[[#This Row],[FR_BH]]=1,calendar[[#This Row],[WeekDay]]=1, calendar[[#This Row],[WeekDay]]=7),P141,P141+1)</f>
        <v>100</v>
      </c>
      <c r="R142">
        <f>IF(OR(calendar[[#This Row],[SP_BH]]=1,calendar[[#This Row],[WeekDay]]=1, calendar[[#This Row],[WeekDay]]=7),P141,P141+1)</f>
        <v>100</v>
      </c>
      <c r="S142">
        <f>IF(OR(calendar[[#This Row],[PT_BH]]=1,calendar[[#This Row],[WeekDay]]=1, calendar[[#This Row],[WeekDay]]=7),P141,P141+1)</f>
        <v>100</v>
      </c>
    </row>
    <row r="143" spans="1:19" x14ac:dyDescent="0.25">
      <c r="A143" s="2">
        <v>42877</v>
      </c>
      <c r="B143" s="1">
        <f t="shared" si="13"/>
        <v>21</v>
      </c>
      <c r="C143">
        <f t="shared" si="10"/>
        <v>5</v>
      </c>
      <c r="D143" t="str">
        <f t="shared" si="11"/>
        <v>May</v>
      </c>
      <c r="E143">
        <f t="shared" si="12"/>
        <v>2017</v>
      </c>
      <c r="F143" t="str">
        <f>CONCATENATE(calendar[[#This Row],[Month]],"/",calendar[[#This Row],[Year]])</f>
        <v>5/2017</v>
      </c>
      <c r="G143">
        <f>WEEKDAY(calendar[[#This Row],[Date]],1)</f>
        <v>2</v>
      </c>
      <c r="H143" t="str">
        <f>TEXT(calendar[[#This Row],[WeekDay]],"dddd")</f>
        <v>Monday</v>
      </c>
      <c r="I143">
        <f>IF((INT(calendar[[#This Row],[Count]]/7)-calendar[[#This Row],[Count]]/7)&lt;0,I142,I142+1)</f>
        <v>21</v>
      </c>
      <c r="J143">
        <f t="shared" si="14"/>
        <v>141</v>
      </c>
      <c r="K143">
        <f>IF(calendar[[#This Row],[Month]]&lt;4,1,IF(calendar[[#This Row],[Month]]&lt;7,2,IF(calendar[[#This Row],[Month]]&lt;10,3,4)))</f>
        <v>2</v>
      </c>
      <c r="L143">
        <f>IFERROR(IF(VLOOKUP(calendar[[#This Row],[Date]],BH!A:A,1,)&lt;&gt;"",1,0),0)</f>
        <v>0</v>
      </c>
      <c r="M143">
        <f>IFERROR(IF(VLOOKUP(calendar[[#This Row],[Date]],BH!C:C,1,)&lt;&gt;"",1,0),0)</f>
        <v>0</v>
      </c>
      <c r="N143">
        <f>IFERROR(IF(VLOOKUP(calendar[[#This Row],[Date]],BH!E:E,1,)&lt;&gt;"",1,0),0)</f>
        <v>0</v>
      </c>
      <c r="O143">
        <f>IFERROR(IF(VLOOKUP(calendar[[#This Row],[Date]],BH!G:G,1,)&lt;&gt;"",1,0),0)</f>
        <v>0</v>
      </c>
      <c r="P143">
        <f>IF(OR(calendar[[#This Row],[UK_BH]]=1,calendar[[#This Row],[WeekDay]]=1, calendar[[#This Row],[WeekDay]]=7),P142,P142+1)</f>
        <v>101</v>
      </c>
      <c r="Q143">
        <f>IF(OR(calendar[[#This Row],[FR_BH]]=1,calendar[[#This Row],[WeekDay]]=1, calendar[[#This Row],[WeekDay]]=7),P142,P142+1)</f>
        <v>101</v>
      </c>
      <c r="R143">
        <f>IF(OR(calendar[[#This Row],[SP_BH]]=1,calendar[[#This Row],[WeekDay]]=1, calendar[[#This Row],[WeekDay]]=7),P142,P142+1)</f>
        <v>101</v>
      </c>
      <c r="S143">
        <f>IF(OR(calendar[[#This Row],[PT_BH]]=1,calendar[[#This Row],[WeekDay]]=1, calendar[[#This Row],[WeekDay]]=7),P142,P142+1)</f>
        <v>101</v>
      </c>
    </row>
    <row r="144" spans="1:19" x14ac:dyDescent="0.25">
      <c r="A144" s="2">
        <v>42878</v>
      </c>
      <c r="B144" s="1">
        <f t="shared" si="13"/>
        <v>21</v>
      </c>
      <c r="C144">
        <f t="shared" ref="C144:C207" si="15">MONTH(A144)</f>
        <v>5</v>
      </c>
      <c r="D144" t="str">
        <f t="shared" ref="D144:D207" si="16">TEXT(A144,"mmmm")</f>
        <v>May</v>
      </c>
      <c r="E144">
        <f t="shared" ref="E144:E207" si="17">YEAR(A144)</f>
        <v>2017</v>
      </c>
      <c r="F144" t="str">
        <f>CONCATENATE(calendar[[#This Row],[Month]],"/",calendar[[#This Row],[Year]])</f>
        <v>5/2017</v>
      </c>
      <c r="G144">
        <f>WEEKDAY(calendar[[#This Row],[Date]],1)</f>
        <v>3</v>
      </c>
      <c r="H144" t="str">
        <f>TEXT(calendar[[#This Row],[WeekDay]],"dddd")</f>
        <v>Tuesday</v>
      </c>
      <c r="I144">
        <f>IF((INT(calendar[[#This Row],[Count]]/7)-calendar[[#This Row],[Count]]/7)&lt;0,I143,I143+1)</f>
        <v>21</v>
      </c>
      <c r="J144">
        <f t="shared" si="14"/>
        <v>142</v>
      </c>
      <c r="K144">
        <f>IF(calendar[[#This Row],[Month]]&lt;4,1,IF(calendar[[#This Row],[Month]]&lt;7,2,IF(calendar[[#This Row],[Month]]&lt;10,3,4)))</f>
        <v>2</v>
      </c>
      <c r="L144">
        <f>IFERROR(IF(VLOOKUP(calendar[[#This Row],[Date]],BH!A:A,1,)&lt;&gt;"",1,0),0)</f>
        <v>0</v>
      </c>
      <c r="M144">
        <f>IFERROR(IF(VLOOKUP(calendar[[#This Row],[Date]],BH!C:C,1,)&lt;&gt;"",1,0),0)</f>
        <v>0</v>
      </c>
      <c r="N144">
        <f>IFERROR(IF(VLOOKUP(calendar[[#This Row],[Date]],BH!E:E,1,)&lt;&gt;"",1,0),0)</f>
        <v>0</v>
      </c>
      <c r="O144">
        <f>IFERROR(IF(VLOOKUP(calendar[[#This Row],[Date]],BH!G:G,1,)&lt;&gt;"",1,0),0)</f>
        <v>0</v>
      </c>
      <c r="P144">
        <f>IF(OR(calendar[[#This Row],[UK_BH]]=1,calendar[[#This Row],[WeekDay]]=1, calendar[[#This Row],[WeekDay]]=7),P143,P143+1)</f>
        <v>102</v>
      </c>
      <c r="Q144">
        <f>IF(OR(calendar[[#This Row],[FR_BH]]=1,calendar[[#This Row],[WeekDay]]=1, calendar[[#This Row],[WeekDay]]=7),P143,P143+1)</f>
        <v>102</v>
      </c>
      <c r="R144">
        <f>IF(OR(calendar[[#This Row],[SP_BH]]=1,calendar[[#This Row],[WeekDay]]=1, calendar[[#This Row],[WeekDay]]=7),P143,P143+1)</f>
        <v>102</v>
      </c>
      <c r="S144">
        <f>IF(OR(calendar[[#This Row],[PT_BH]]=1,calendar[[#This Row],[WeekDay]]=1, calendar[[#This Row],[WeekDay]]=7),P143,P143+1)</f>
        <v>102</v>
      </c>
    </row>
    <row r="145" spans="1:19" x14ac:dyDescent="0.25">
      <c r="A145" s="2">
        <v>42879</v>
      </c>
      <c r="B145" s="1">
        <f t="shared" si="13"/>
        <v>21</v>
      </c>
      <c r="C145">
        <f t="shared" si="15"/>
        <v>5</v>
      </c>
      <c r="D145" t="str">
        <f t="shared" si="16"/>
        <v>May</v>
      </c>
      <c r="E145">
        <f t="shared" si="17"/>
        <v>2017</v>
      </c>
      <c r="F145" t="str">
        <f>CONCATENATE(calendar[[#This Row],[Month]],"/",calendar[[#This Row],[Year]])</f>
        <v>5/2017</v>
      </c>
      <c r="G145">
        <f>WEEKDAY(calendar[[#This Row],[Date]],1)</f>
        <v>4</v>
      </c>
      <c r="H145" t="str">
        <f>TEXT(calendar[[#This Row],[WeekDay]],"dddd")</f>
        <v>Wednesday</v>
      </c>
      <c r="I145">
        <f>IF((INT(calendar[[#This Row],[Count]]/7)-calendar[[#This Row],[Count]]/7)&lt;0,I144,I144+1)</f>
        <v>21</v>
      </c>
      <c r="J145">
        <f t="shared" si="14"/>
        <v>143</v>
      </c>
      <c r="K145">
        <f>IF(calendar[[#This Row],[Month]]&lt;4,1,IF(calendar[[#This Row],[Month]]&lt;7,2,IF(calendar[[#This Row],[Month]]&lt;10,3,4)))</f>
        <v>2</v>
      </c>
      <c r="L145">
        <f>IFERROR(IF(VLOOKUP(calendar[[#This Row],[Date]],BH!A:A,1,)&lt;&gt;"",1,0),0)</f>
        <v>0</v>
      </c>
      <c r="M145">
        <f>IFERROR(IF(VLOOKUP(calendar[[#This Row],[Date]],BH!C:C,1,)&lt;&gt;"",1,0),0)</f>
        <v>0</v>
      </c>
      <c r="N145">
        <f>IFERROR(IF(VLOOKUP(calendar[[#This Row],[Date]],BH!E:E,1,)&lt;&gt;"",1,0),0)</f>
        <v>0</v>
      </c>
      <c r="O145">
        <f>IFERROR(IF(VLOOKUP(calendar[[#This Row],[Date]],BH!G:G,1,)&lt;&gt;"",1,0),0)</f>
        <v>0</v>
      </c>
      <c r="P145">
        <f>IF(OR(calendar[[#This Row],[UK_BH]]=1,calendar[[#This Row],[WeekDay]]=1, calendar[[#This Row],[WeekDay]]=7),P144,P144+1)</f>
        <v>103</v>
      </c>
      <c r="Q145">
        <f>IF(OR(calendar[[#This Row],[FR_BH]]=1,calendar[[#This Row],[WeekDay]]=1, calendar[[#This Row],[WeekDay]]=7),P144,P144+1)</f>
        <v>103</v>
      </c>
      <c r="R145">
        <f>IF(OR(calendar[[#This Row],[SP_BH]]=1,calendar[[#This Row],[WeekDay]]=1, calendar[[#This Row],[WeekDay]]=7),P144,P144+1)</f>
        <v>103</v>
      </c>
      <c r="S145">
        <f>IF(OR(calendar[[#This Row],[PT_BH]]=1,calendar[[#This Row],[WeekDay]]=1, calendar[[#This Row],[WeekDay]]=7),P144,P144+1)</f>
        <v>103</v>
      </c>
    </row>
    <row r="146" spans="1:19" x14ac:dyDescent="0.25">
      <c r="A146" s="2">
        <v>42880</v>
      </c>
      <c r="B146" s="1">
        <f t="shared" si="13"/>
        <v>21</v>
      </c>
      <c r="C146">
        <f t="shared" si="15"/>
        <v>5</v>
      </c>
      <c r="D146" t="str">
        <f t="shared" si="16"/>
        <v>May</v>
      </c>
      <c r="E146">
        <f t="shared" si="17"/>
        <v>2017</v>
      </c>
      <c r="F146" t="str">
        <f>CONCATENATE(calendar[[#This Row],[Month]],"/",calendar[[#This Row],[Year]])</f>
        <v>5/2017</v>
      </c>
      <c r="G146">
        <f>WEEKDAY(calendar[[#This Row],[Date]],1)</f>
        <v>5</v>
      </c>
      <c r="H146" t="str">
        <f>TEXT(calendar[[#This Row],[WeekDay]],"dddd")</f>
        <v>Thursday</v>
      </c>
      <c r="I146">
        <f>IF((INT(calendar[[#This Row],[Count]]/7)-calendar[[#This Row],[Count]]/7)&lt;0,I145,I145+1)</f>
        <v>21</v>
      </c>
      <c r="J146">
        <f t="shared" si="14"/>
        <v>144</v>
      </c>
      <c r="K146">
        <f>IF(calendar[[#This Row],[Month]]&lt;4,1,IF(calendar[[#This Row],[Month]]&lt;7,2,IF(calendar[[#This Row],[Month]]&lt;10,3,4)))</f>
        <v>2</v>
      </c>
      <c r="L146">
        <f>IFERROR(IF(VLOOKUP(calendar[[#This Row],[Date]],BH!A:A,1,)&lt;&gt;"",1,0),0)</f>
        <v>0</v>
      </c>
      <c r="M146">
        <f>IFERROR(IF(VLOOKUP(calendar[[#This Row],[Date]],BH!C:C,1,)&lt;&gt;"",1,0),0)</f>
        <v>0</v>
      </c>
      <c r="N146">
        <f>IFERROR(IF(VLOOKUP(calendar[[#This Row],[Date]],BH!E:E,1,)&lt;&gt;"",1,0),0)</f>
        <v>0</v>
      </c>
      <c r="O146">
        <f>IFERROR(IF(VLOOKUP(calendar[[#This Row],[Date]],BH!G:G,1,)&lt;&gt;"",1,0),0)</f>
        <v>0</v>
      </c>
      <c r="P146">
        <f>IF(OR(calendar[[#This Row],[UK_BH]]=1,calendar[[#This Row],[WeekDay]]=1, calendar[[#This Row],[WeekDay]]=7),P145,P145+1)</f>
        <v>104</v>
      </c>
      <c r="Q146">
        <f>IF(OR(calendar[[#This Row],[FR_BH]]=1,calendar[[#This Row],[WeekDay]]=1, calendar[[#This Row],[WeekDay]]=7),P145,P145+1)</f>
        <v>104</v>
      </c>
      <c r="R146">
        <f>IF(OR(calendar[[#This Row],[SP_BH]]=1,calendar[[#This Row],[WeekDay]]=1, calendar[[#This Row],[WeekDay]]=7),P145,P145+1)</f>
        <v>104</v>
      </c>
      <c r="S146">
        <f>IF(OR(calendar[[#This Row],[PT_BH]]=1,calendar[[#This Row],[WeekDay]]=1, calendar[[#This Row],[WeekDay]]=7),P145,P145+1)</f>
        <v>104</v>
      </c>
    </row>
    <row r="147" spans="1:19" x14ac:dyDescent="0.25">
      <c r="A147" s="2">
        <v>42881</v>
      </c>
      <c r="B147" s="1">
        <f t="shared" si="13"/>
        <v>21</v>
      </c>
      <c r="C147">
        <f t="shared" si="15"/>
        <v>5</v>
      </c>
      <c r="D147" t="str">
        <f t="shared" si="16"/>
        <v>May</v>
      </c>
      <c r="E147">
        <f t="shared" si="17"/>
        <v>2017</v>
      </c>
      <c r="F147" t="str">
        <f>CONCATENATE(calendar[[#This Row],[Month]],"/",calendar[[#This Row],[Year]])</f>
        <v>5/2017</v>
      </c>
      <c r="G147">
        <f>WEEKDAY(calendar[[#This Row],[Date]],1)</f>
        <v>6</v>
      </c>
      <c r="H147" t="str">
        <f>TEXT(calendar[[#This Row],[WeekDay]],"dddd")</f>
        <v>Friday</v>
      </c>
      <c r="I147">
        <f>IF((INT(calendar[[#This Row],[Count]]/7)-calendar[[#This Row],[Count]]/7)&lt;0,I146,I146+1)</f>
        <v>21</v>
      </c>
      <c r="J147">
        <f t="shared" si="14"/>
        <v>145</v>
      </c>
      <c r="K147">
        <f>IF(calendar[[#This Row],[Month]]&lt;4,1,IF(calendar[[#This Row],[Month]]&lt;7,2,IF(calendar[[#This Row],[Month]]&lt;10,3,4)))</f>
        <v>2</v>
      </c>
      <c r="L147">
        <f>IFERROR(IF(VLOOKUP(calendar[[#This Row],[Date]],BH!A:A,1,)&lt;&gt;"",1,0),0)</f>
        <v>0</v>
      </c>
      <c r="M147">
        <f>IFERROR(IF(VLOOKUP(calendar[[#This Row],[Date]],BH!C:C,1,)&lt;&gt;"",1,0),0)</f>
        <v>0</v>
      </c>
      <c r="N147">
        <f>IFERROR(IF(VLOOKUP(calendar[[#This Row],[Date]],BH!E:E,1,)&lt;&gt;"",1,0),0)</f>
        <v>0</v>
      </c>
      <c r="O147">
        <f>IFERROR(IF(VLOOKUP(calendar[[#This Row],[Date]],BH!G:G,1,)&lt;&gt;"",1,0),0)</f>
        <v>0</v>
      </c>
      <c r="P147">
        <f>IF(OR(calendar[[#This Row],[UK_BH]]=1,calendar[[#This Row],[WeekDay]]=1, calendar[[#This Row],[WeekDay]]=7),P146,P146+1)</f>
        <v>105</v>
      </c>
      <c r="Q147">
        <f>IF(OR(calendar[[#This Row],[FR_BH]]=1,calendar[[#This Row],[WeekDay]]=1, calendar[[#This Row],[WeekDay]]=7),P146,P146+1)</f>
        <v>105</v>
      </c>
      <c r="R147">
        <f>IF(OR(calendar[[#This Row],[SP_BH]]=1,calendar[[#This Row],[WeekDay]]=1, calendar[[#This Row],[WeekDay]]=7),P146,P146+1)</f>
        <v>105</v>
      </c>
      <c r="S147">
        <f>IF(OR(calendar[[#This Row],[PT_BH]]=1,calendar[[#This Row],[WeekDay]]=1, calendar[[#This Row],[WeekDay]]=7),P146,P146+1)</f>
        <v>105</v>
      </c>
    </row>
    <row r="148" spans="1:19" x14ac:dyDescent="0.25">
      <c r="A148" s="2">
        <v>42882</v>
      </c>
      <c r="B148" s="1">
        <f t="shared" si="13"/>
        <v>21</v>
      </c>
      <c r="C148">
        <f t="shared" si="15"/>
        <v>5</v>
      </c>
      <c r="D148" t="str">
        <f t="shared" si="16"/>
        <v>May</v>
      </c>
      <c r="E148">
        <f t="shared" si="17"/>
        <v>2017</v>
      </c>
      <c r="F148" t="str">
        <f>CONCATENATE(calendar[[#This Row],[Month]],"/",calendar[[#This Row],[Year]])</f>
        <v>5/2017</v>
      </c>
      <c r="G148">
        <f>WEEKDAY(calendar[[#This Row],[Date]],1)</f>
        <v>7</v>
      </c>
      <c r="H148" t="str">
        <f>TEXT(calendar[[#This Row],[WeekDay]],"dddd")</f>
        <v>Saturday</v>
      </c>
      <c r="I148">
        <f>IF((INT(calendar[[#This Row],[Count]]/7)-calendar[[#This Row],[Count]]/7)&lt;0,I147,I147+1)</f>
        <v>21</v>
      </c>
      <c r="J148">
        <f t="shared" si="14"/>
        <v>146</v>
      </c>
      <c r="K148">
        <f>IF(calendar[[#This Row],[Month]]&lt;4,1,IF(calendar[[#This Row],[Month]]&lt;7,2,IF(calendar[[#This Row],[Month]]&lt;10,3,4)))</f>
        <v>2</v>
      </c>
      <c r="L148">
        <f>IFERROR(IF(VLOOKUP(calendar[[#This Row],[Date]],BH!A:A,1,)&lt;&gt;"",1,0),0)</f>
        <v>0</v>
      </c>
      <c r="M148">
        <f>IFERROR(IF(VLOOKUP(calendar[[#This Row],[Date]],BH!C:C,1,)&lt;&gt;"",1,0),0)</f>
        <v>0</v>
      </c>
      <c r="N148">
        <f>IFERROR(IF(VLOOKUP(calendar[[#This Row],[Date]],BH!E:E,1,)&lt;&gt;"",1,0),0)</f>
        <v>0</v>
      </c>
      <c r="O148">
        <f>IFERROR(IF(VLOOKUP(calendar[[#This Row],[Date]],BH!G:G,1,)&lt;&gt;"",1,0),0)</f>
        <v>0</v>
      </c>
      <c r="P148">
        <f>IF(OR(calendar[[#This Row],[UK_BH]]=1,calendar[[#This Row],[WeekDay]]=1, calendar[[#This Row],[WeekDay]]=7),P147,P147+1)</f>
        <v>105</v>
      </c>
      <c r="Q148">
        <f>IF(OR(calendar[[#This Row],[FR_BH]]=1,calendar[[#This Row],[WeekDay]]=1, calendar[[#This Row],[WeekDay]]=7),P147,P147+1)</f>
        <v>105</v>
      </c>
      <c r="R148">
        <f>IF(OR(calendar[[#This Row],[SP_BH]]=1,calendar[[#This Row],[WeekDay]]=1, calendar[[#This Row],[WeekDay]]=7),P147,P147+1)</f>
        <v>105</v>
      </c>
      <c r="S148">
        <f>IF(OR(calendar[[#This Row],[PT_BH]]=1,calendar[[#This Row],[WeekDay]]=1, calendar[[#This Row],[WeekDay]]=7),P147,P147+1)</f>
        <v>105</v>
      </c>
    </row>
    <row r="149" spans="1:19" x14ac:dyDescent="0.25">
      <c r="A149" s="2">
        <v>42883</v>
      </c>
      <c r="B149" s="1">
        <f t="shared" si="13"/>
        <v>22</v>
      </c>
      <c r="C149">
        <f t="shared" si="15"/>
        <v>5</v>
      </c>
      <c r="D149" t="str">
        <f t="shared" si="16"/>
        <v>May</v>
      </c>
      <c r="E149">
        <f t="shared" si="17"/>
        <v>2017</v>
      </c>
      <c r="F149" t="str">
        <f>CONCATENATE(calendar[[#This Row],[Month]],"/",calendar[[#This Row],[Year]])</f>
        <v>5/2017</v>
      </c>
      <c r="G149">
        <f>WEEKDAY(calendar[[#This Row],[Date]],1)</f>
        <v>1</v>
      </c>
      <c r="H149" t="str">
        <f>TEXT(calendar[[#This Row],[WeekDay]],"dddd")</f>
        <v>Sunday</v>
      </c>
      <c r="I149">
        <f>IF((INT(calendar[[#This Row],[Count]]/7)-calendar[[#This Row],[Count]]/7)&lt;0,I148,I148+1)</f>
        <v>22</v>
      </c>
      <c r="J149">
        <f t="shared" si="14"/>
        <v>147</v>
      </c>
      <c r="K149">
        <f>IF(calendar[[#This Row],[Month]]&lt;4,1,IF(calendar[[#This Row],[Month]]&lt;7,2,IF(calendar[[#This Row],[Month]]&lt;10,3,4)))</f>
        <v>2</v>
      </c>
      <c r="L149">
        <f>IFERROR(IF(VLOOKUP(calendar[[#This Row],[Date]],BH!A:A,1,)&lt;&gt;"",1,0),0)</f>
        <v>0</v>
      </c>
      <c r="M149">
        <f>IFERROR(IF(VLOOKUP(calendar[[#This Row],[Date]],BH!C:C,1,)&lt;&gt;"",1,0),0)</f>
        <v>0</v>
      </c>
      <c r="N149">
        <f>IFERROR(IF(VLOOKUP(calendar[[#This Row],[Date]],BH!E:E,1,)&lt;&gt;"",1,0),0)</f>
        <v>0</v>
      </c>
      <c r="O149">
        <f>IFERROR(IF(VLOOKUP(calendar[[#This Row],[Date]],BH!G:G,1,)&lt;&gt;"",1,0),0)</f>
        <v>0</v>
      </c>
      <c r="P149">
        <f>IF(OR(calendar[[#This Row],[UK_BH]]=1,calendar[[#This Row],[WeekDay]]=1, calendar[[#This Row],[WeekDay]]=7),P148,P148+1)</f>
        <v>105</v>
      </c>
      <c r="Q149">
        <f>IF(OR(calendar[[#This Row],[FR_BH]]=1,calendar[[#This Row],[WeekDay]]=1, calendar[[#This Row],[WeekDay]]=7),P148,P148+1)</f>
        <v>105</v>
      </c>
      <c r="R149">
        <f>IF(OR(calendar[[#This Row],[SP_BH]]=1,calendar[[#This Row],[WeekDay]]=1, calendar[[#This Row],[WeekDay]]=7),P148,P148+1)</f>
        <v>105</v>
      </c>
      <c r="S149">
        <f>IF(OR(calendar[[#This Row],[PT_BH]]=1,calendar[[#This Row],[WeekDay]]=1, calendar[[#This Row],[WeekDay]]=7),P148,P148+1)</f>
        <v>105</v>
      </c>
    </row>
    <row r="150" spans="1:19" x14ac:dyDescent="0.25">
      <c r="A150" s="2">
        <v>42884</v>
      </c>
      <c r="B150" s="1">
        <f t="shared" si="13"/>
        <v>22</v>
      </c>
      <c r="C150">
        <f t="shared" si="15"/>
        <v>5</v>
      </c>
      <c r="D150" t="str">
        <f t="shared" si="16"/>
        <v>May</v>
      </c>
      <c r="E150">
        <f t="shared" si="17"/>
        <v>2017</v>
      </c>
      <c r="F150" t="str">
        <f>CONCATENATE(calendar[[#This Row],[Month]],"/",calendar[[#This Row],[Year]])</f>
        <v>5/2017</v>
      </c>
      <c r="G150">
        <f>WEEKDAY(calendar[[#This Row],[Date]],1)</f>
        <v>2</v>
      </c>
      <c r="H150" t="str">
        <f>TEXT(calendar[[#This Row],[WeekDay]],"dddd")</f>
        <v>Monday</v>
      </c>
      <c r="I150">
        <f>IF((INT(calendar[[#This Row],[Count]]/7)-calendar[[#This Row],[Count]]/7)&lt;0,I149,I149+1)</f>
        <v>22</v>
      </c>
      <c r="J150">
        <f t="shared" si="14"/>
        <v>148</v>
      </c>
      <c r="K150">
        <f>IF(calendar[[#This Row],[Month]]&lt;4,1,IF(calendar[[#This Row],[Month]]&lt;7,2,IF(calendar[[#This Row],[Month]]&lt;10,3,4)))</f>
        <v>2</v>
      </c>
      <c r="L150">
        <f>IFERROR(IF(VLOOKUP(calendar[[#This Row],[Date]],BH!A:A,1,)&lt;&gt;"",1,0),0)</f>
        <v>0</v>
      </c>
      <c r="M150">
        <f>IFERROR(IF(VLOOKUP(calendar[[#This Row],[Date]],BH!C:C,1,)&lt;&gt;"",1,0),0)</f>
        <v>0</v>
      </c>
      <c r="N150">
        <f>IFERROR(IF(VLOOKUP(calendar[[#This Row],[Date]],BH!E:E,1,)&lt;&gt;"",1,0),0)</f>
        <v>0</v>
      </c>
      <c r="O150">
        <f>IFERROR(IF(VLOOKUP(calendar[[#This Row],[Date]],BH!G:G,1,)&lt;&gt;"",1,0),0)</f>
        <v>0</v>
      </c>
      <c r="P150">
        <f>IF(OR(calendar[[#This Row],[UK_BH]]=1,calendar[[#This Row],[WeekDay]]=1, calendar[[#This Row],[WeekDay]]=7),P149,P149+1)</f>
        <v>106</v>
      </c>
      <c r="Q150">
        <f>IF(OR(calendar[[#This Row],[FR_BH]]=1,calendar[[#This Row],[WeekDay]]=1, calendar[[#This Row],[WeekDay]]=7),P149,P149+1)</f>
        <v>106</v>
      </c>
      <c r="R150">
        <f>IF(OR(calendar[[#This Row],[SP_BH]]=1,calendar[[#This Row],[WeekDay]]=1, calendar[[#This Row],[WeekDay]]=7),P149,P149+1)</f>
        <v>106</v>
      </c>
      <c r="S150">
        <f>IF(OR(calendar[[#This Row],[PT_BH]]=1,calendar[[#This Row],[WeekDay]]=1, calendar[[#This Row],[WeekDay]]=7),P149,P149+1)</f>
        <v>106</v>
      </c>
    </row>
    <row r="151" spans="1:19" x14ac:dyDescent="0.25">
      <c r="A151" s="2">
        <v>42885</v>
      </c>
      <c r="B151" s="1">
        <f t="shared" si="13"/>
        <v>22</v>
      </c>
      <c r="C151">
        <f t="shared" si="15"/>
        <v>5</v>
      </c>
      <c r="D151" t="str">
        <f t="shared" si="16"/>
        <v>May</v>
      </c>
      <c r="E151">
        <f t="shared" si="17"/>
        <v>2017</v>
      </c>
      <c r="F151" t="str">
        <f>CONCATENATE(calendar[[#This Row],[Month]],"/",calendar[[#This Row],[Year]])</f>
        <v>5/2017</v>
      </c>
      <c r="G151">
        <f>WEEKDAY(calendar[[#This Row],[Date]],1)</f>
        <v>3</v>
      </c>
      <c r="H151" t="str">
        <f>TEXT(calendar[[#This Row],[WeekDay]],"dddd")</f>
        <v>Tuesday</v>
      </c>
      <c r="I151">
        <f>IF((INT(calendar[[#This Row],[Count]]/7)-calendar[[#This Row],[Count]]/7)&lt;0,I150,I150+1)</f>
        <v>22</v>
      </c>
      <c r="J151">
        <f t="shared" si="14"/>
        <v>149</v>
      </c>
      <c r="K151">
        <f>IF(calendar[[#This Row],[Month]]&lt;4,1,IF(calendar[[#This Row],[Month]]&lt;7,2,IF(calendar[[#This Row],[Month]]&lt;10,3,4)))</f>
        <v>2</v>
      </c>
      <c r="L151">
        <f>IFERROR(IF(VLOOKUP(calendar[[#This Row],[Date]],BH!A:A,1,)&lt;&gt;"",1,0),0)</f>
        <v>0</v>
      </c>
      <c r="M151">
        <f>IFERROR(IF(VLOOKUP(calendar[[#This Row],[Date]],BH!C:C,1,)&lt;&gt;"",1,0),0)</f>
        <v>0</v>
      </c>
      <c r="N151">
        <f>IFERROR(IF(VLOOKUP(calendar[[#This Row],[Date]],BH!E:E,1,)&lt;&gt;"",1,0),0)</f>
        <v>0</v>
      </c>
      <c r="O151">
        <f>IFERROR(IF(VLOOKUP(calendar[[#This Row],[Date]],BH!G:G,1,)&lt;&gt;"",1,0),0)</f>
        <v>0</v>
      </c>
      <c r="P151">
        <f>IF(OR(calendar[[#This Row],[UK_BH]]=1,calendar[[#This Row],[WeekDay]]=1, calendar[[#This Row],[WeekDay]]=7),P150,P150+1)</f>
        <v>107</v>
      </c>
      <c r="Q151">
        <f>IF(OR(calendar[[#This Row],[FR_BH]]=1,calendar[[#This Row],[WeekDay]]=1, calendar[[#This Row],[WeekDay]]=7),P150,P150+1)</f>
        <v>107</v>
      </c>
      <c r="R151">
        <f>IF(OR(calendar[[#This Row],[SP_BH]]=1,calendar[[#This Row],[WeekDay]]=1, calendar[[#This Row],[WeekDay]]=7),P150,P150+1)</f>
        <v>107</v>
      </c>
      <c r="S151">
        <f>IF(OR(calendar[[#This Row],[PT_BH]]=1,calendar[[#This Row],[WeekDay]]=1, calendar[[#This Row],[WeekDay]]=7),P150,P150+1)</f>
        <v>107</v>
      </c>
    </row>
    <row r="152" spans="1:19" x14ac:dyDescent="0.25">
      <c r="A152" s="2">
        <v>42886</v>
      </c>
      <c r="B152" s="1">
        <f t="shared" si="13"/>
        <v>22</v>
      </c>
      <c r="C152">
        <f t="shared" si="15"/>
        <v>5</v>
      </c>
      <c r="D152" t="str">
        <f t="shared" si="16"/>
        <v>May</v>
      </c>
      <c r="E152">
        <f t="shared" si="17"/>
        <v>2017</v>
      </c>
      <c r="F152" t="str">
        <f>CONCATENATE(calendar[[#This Row],[Month]],"/",calendar[[#This Row],[Year]])</f>
        <v>5/2017</v>
      </c>
      <c r="G152">
        <f>WEEKDAY(calendar[[#This Row],[Date]],1)</f>
        <v>4</v>
      </c>
      <c r="H152" t="str">
        <f>TEXT(calendar[[#This Row],[WeekDay]],"dddd")</f>
        <v>Wednesday</v>
      </c>
      <c r="I152">
        <f>IF((INT(calendar[[#This Row],[Count]]/7)-calendar[[#This Row],[Count]]/7)&lt;0,I151,I151+1)</f>
        <v>22</v>
      </c>
      <c r="J152">
        <f t="shared" si="14"/>
        <v>150</v>
      </c>
      <c r="K152">
        <f>IF(calendar[[#This Row],[Month]]&lt;4,1,IF(calendar[[#This Row],[Month]]&lt;7,2,IF(calendar[[#This Row],[Month]]&lt;10,3,4)))</f>
        <v>2</v>
      </c>
      <c r="L152">
        <f>IFERROR(IF(VLOOKUP(calendar[[#This Row],[Date]],BH!A:A,1,)&lt;&gt;"",1,0),0)</f>
        <v>0</v>
      </c>
      <c r="M152">
        <f>IFERROR(IF(VLOOKUP(calendar[[#This Row],[Date]],BH!C:C,1,)&lt;&gt;"",1,0),0)</f>
        <v>0</v>
      </c>
      <c r="N152">
        <f>IFERROR(IF(VLOOKUP(calendar[[#This Row],[Date]],BH!E:E,1,)&lt;&gt;"",1,0),0)</f>
        <v>0</v>
      </c>
      <c r="O152">
        <f>IFERROR(IF(VLOOKUP(calendar[[#This Row],[Date]],BH!G:G,1,)&lt;&gt;"",1,0),0)</f>
        <v>0</v>
      </c>
      <c r="P152">
        <f>IF(OR(calendar[[#This Row],[UK_BH]]=1,calendar[[#This Row],[WeekDay]]=1, calendar[[#This Row],[WeekDay]]=7),P151,P151+1)</f>
        <v>108</v>
      </c>
      <c r="Q152">
        <f>IF(OR(calendar[[#This Row],[FR_BH]]=1,calendar[[#This Row],[WeekDay]]=1, calendar[[#This Row],[WeekDay]]=7),P151,P151+1)</f>
        <v>108</v>
      </c>
      <c r="R152">
        <f>IF(OR(calendar[[#This Row],[SP_BH]]=1,calendar[[#This Row],[WeekDay]]=1, calendar[[#This Row],[WeekDay]]=7),P151,P151+1)</f>
        <v>108</v>
      </c>
      <c r="S152">
        <f>IF(OR(calendar[[#This Row],[PT_BH]]=1,calendar[[#This Row],[WeekDay]]=1, calendar[[#This Row],[WeekDay]]=7),P151,P151+1)</f>
        <v>108</v>
      </c>
    </row>
    <row r="153" spans="1:19" x14ac:dyDescent="0.25">
      <c r="A153" s="2">
        <v>42887</v>
      </c>
      <c r="B153" s="1">
        <f t="shared" si="13"/>
        <v>22</v>
      </c>
      <c r="C153">
        <f t="shared" si="15"/>
        <v>6</v>
      </c>
      <c r="D153" t="str">
        <f t="shared" si="16"/>
        <v>June</v>
      </c>
      <c r="E153">
        <f t="shared" si="17"/>
        <v>2017</v>
      </c>
      <c r="F153" t="str">
        <f>CONCATENATE(calendar[[#This Row],[Month]],"/",calendar[[#This Row],[Year]])</f>
        <v>6/2017</v>
      </c>
      <c r="G153">
        <f>WEEKDAY(calendar[[#This Row],[Date]],1)</f>
        <v>5</v>
      </c>
      <c r="H153" t="str">
        <f>TEXT(calendar[[#This Row],[WeekDay]],"dddd")</f>
        <v>Thursday</v>
      </c>
      <c r="I153">
        <f>IF((INT(calendar[[#This Row],[Count]]/7)-calendar[[#This Row],[Count]]/7)&lt;0,I152,I152+1)</f>
        <v>22</v>
      </c>
      <c r="J153">
        <f t="shared" si="14"/>
        <v>151</v>
      </c>
      <c r="K153">
        <f>IF(calendar[[#This Row],[Month]]&lt;4,1,IF(calendar[[#This Row],[Month]]&lt;7,2,IF(calendar[[#This Row],[Month]]&lt;10,3,4)))</f>
        <v>2</v>
      </c>
      <c r="L153">
        <f>IFERROR(IF(VLOOKUP(calendar[[#This Row],[Date]],BH!A:A,1,)&lt;&gt;"",1,0),0)</f>
        <v>0</v>
      </c>
      <c r="M153">
        <f>IFERROR(IF(VLOOKUP(calendar[[#This Row],[Date]],BH!C:C,1,)&lt;&gt;"",1,0),0)</f>
        <v>0</v>
      </c>
      <c r="N153">
        <f>IFERROR(IF(VLOOKUP(calendar[[#This Row],[Date]],BH!E:E,1,)&lt;&gt;"",1,0),0)</f>
        <v>0</v>
      </c>
      <c r="O153">
        <f>IFERROR(IF(VLOOKUP(calendar[[#This Row],[Date]],BH!G:G,1,)&lt;&gt;"",1,0),0)</f>
        <v>0</v>
      </c>
      <c r="P153">
        <f>IF(OR(calendar[[#This Row],[UK_BH]]=1,calendar[[#This Row],[WeekDay]]=1, calendar[[#This Row],[WeekDay]]=7),P152,P152+1)</f>
        <v>109</v>
      </c>
      <c r="Q153">
        <f>IF(OR(calendar[[#This Row],[FR_BH]]=1,calendar[[#This Row],[WeekDay]]=1, calendar[[#This Row],[WeekDay]]=7),P152,P152+1)</f>
        <v>109</v>
      </c>
      <c r="R153">
        <f>IF(OR(calendar[[#This Row],[SP_BH]]=1,calendar[[#This Row],[WeekDay]]=1, calendar[[#This Row],[WeekDay]]=7),P152,P152+1)</f>
        <v>109</v>
      </c>
      <c r="S153">
        <f>IF(OR(calendar[[#This Row],[PT_BH]]=1,calendar[[#This Row],[WeekDay]]=1, calendar[[#This Row],[WeekDay]]=7),P152,P152+1)</f>
        <v>109</v>
      </c>
    </row>
    <row r="154" spans="1:19" x14ac:dyDescent="0.25">
      <c r="A154" s="2">
        <v>42888</v>
      </c>
      <c r="B154" s="1">
        <f t="shared" si="13"/>
        <v>22</v>
      </c>
      <c r="C154">
        <f t="shared" si="15"/>
        <v>6</v>
      </c>
      <c r="D154" t="str">
        <f t="shared" si="16"/>
        <v>June</v>
      </c>
      <c r="E154">
        <f t="shared" si="17"/>
        <v>2017</v>
      </c>
      <c r="F154" t="str">
        <f>CONCATENATE(calendar[[#This Row],[Month]],"/",calendar[[#This Row],[Year]])</f>
        <v>6/2017</v>
      </c>
      <c r="G154">
        <f>WEEKDAY(calendar[[#This Row],[Date]],1)</f>
        <v>6</v>
      </c>
      <c r="H154" t="str">
        <f>TEXT(calendar[[#This Row],[WeekDay]],"dddd")</f>
        <v>Friday</v>
      </c>
      <c r="I154">
        <f>IF((INT(calendar[[#This Row],[Count]]/7)-calendar[[#This Row],[Count]]/7)&lt;0,I153,I153+1)</f>
        <v>22</v>
      </c>
      <c r="J154">
        <f t="shared" si="14"/>
        <v>152</v>
      </c>
      <c r="K154">
        <f>IF(calendar[[#This Row],[Month]]&lt;4,1,IF(calendar[[#This Row],[Month]]&lt;7,2,IF(calendar[[#This Row],[Month]]&lt;10,3,4)))</f>
        <v>2</v>
      </c>
      <c r="L154">
        <f>IFERROR(IF(VLOOKUP(calendar[[#This Row],[Date]],BH!A:A,1,)&lt;&gt;"",1,0),0)</f>
        <v>0</v>
      </c>
      <c r="M154">
        <f>IFERROR(IF(VLOOKUP(calendar[[#This Row],[Date]],BH!C:C,1,)&lt;&gt;"",1,0),0)</f>
        <v>0</v>
      </c>
      <c r="N154">
        <f>IFERROR(IF(VLOOKUP(calendar[[#This Row],[Date]],BH!E:E,1,)&lt;&gt;"",1,0),0)</f>
        <v>0</v>
      </c>
      <c r="O154">
        <f>IFERROR(IF(VLOOKUP(calendar[[#This Row],[Date]],BH!G:G,1,)&lt;&gt;"",1,0),0)</f>
        <v>0</v>
      </c>
      <c r="P154">
        <f>IF(OR(calendar[[#This Row],[UK_BH]]=1,calendar[[#This Row],[WeekDay]]=1, calendar[[#This Row],[WeekDay]]=7),P153,P153+1)</f>
        <v>110</v>
      </c>
      <c r="Q154">
        <f>IF(OR(calendar[[#This Row],[FR_BH]]=1,calendar[[#This Row],[WeekDay]]=1, calendar[[#This Row],[WeekDay]]=7),P153,P153+1)</f>
        <v>110</v>
      </c>
      <c r="R154">
        <f>IF(OR(calendar[[#This Row],[SP_BH]]=1,calendar[[#This Row],[WeekDay]]=1, calendar[[#This Row],[WeekDay]]=7),P153,P153+1)</f>
        <v>110</v>
      </c>
      <c r="S154">
        <f>IF(OR(calendar[[#This Row],[PT_BH]]=1,calendar[[#This Row],[WeekDay]]=1, calendar[[#This Row],[WeekDay]]=7),P153,P153+1)</f>
        <v>110</v>
      </c>
    </row>
    <row r="155" spans="1:19" x14ac:dyDescent="0.25">
      <c r="A155" s="2">
        <v>42889</v>
      </c>
      <c r="B155" s="1">
        <f t="shared" si="13"/>
        <v>22</v>
      </c>
      <c r="C155">
        <f t="shared" si="15"/>
        <v>6</v>
      </c>
      <c r="D155" t="str">
        <f t="shared" si="16"/>
        <v>June</v>
      </c>
      <c r="E155">
        <f t="shared" si="17"/>
        <v>2017</v>
      </c>
      <c r="F155" t="str">
        <f>CONCATENATE(calendar[[#This Row],[Month]],"/",calendar[[#This Row],[Year]])</f>
        <v>6/2017</v>
      </c>
      <c r="G155">
        <f>WEEKDAY(calendar[[#This Row],[Date]],1)</f>
        <v>7</v>
      </c>
      <c r="H155" t="str">
        <f>TEXT(calendar[[#This Row],[WeekDay]],"dddd")</f>
        <v>Saturday</v>
      </c>
      <c r="I155">
        <f>IF((INT(calendar[[#This Row],[Count]]/7)-calendar[[#This Row],[Count]]/7)&lt;0,I154,I154+1)</f>
        <v>22</v>
      </c>
      <c r="J155">
        <f t="shared" si="14"/>
        <v>153</v>
      </c>
      <c r="K155">
        <f>IF(calendar[[#This Row],[Month]]&lt;4,1,IF(calendar[[#This Row],[Month]]&lt;7,2,IF(calendar[[#This Row],[Month]]&lt;10,3,4)))</f>
        <v>2</v>
      </c>
      <c r="L155">
        <f>IFERROR(IF(VLOOKUP(calendar[[#This Row],[Date]],BH!A:A,1,)&lt;&gt;"",1,0),0)</f>
        <v>0</v>
      </c>
      <c r="M155">
        <f>IFERROR(IF(VLOOKUP(calendar[[#This Row],[Date]],BH!C:C,1,)&lt;&gt;"",1,0),0)</f>
        <v>0</v>
      </c>
      <c r="N155">
        <f>IFERROR(IF(VLOOKUP(calendar[[#This Row],[Date]],BH!E:E,1,)&lt;&gt;"",1,0),0)</f>
        <v>0</v>
      </c>
      <c r="O155">
        <f>IFERROR(IF(VLOOKUP(calendar[[#This Row],[Date]],BH!G:G,1,)&lt;&gt;"",1,0),0)</f>
        <v>0</v>
      </c>
      <c r="P155">
        <f>IF(OR(calendar[[#This Row],[UK_BH]]=1,calendar[[#This Row],[WeekDay]]=1, calendar[[#This Row],[WeekDay]]=7),P154,P154+1)</f>
        <v>110</v>
      </c>
      <c r="Q155">
        <f>IF(OR(calendar[[#This Row],[FR_BH]]=1,calendar[[#This Row],[WeekDay]]=1, calendar[[#This Row],[WeekDay]]=7),P154,P154+1)</f>
        <v>110</v>
      </c>
      <c r="R155">
        <f>IF(OR(calendar[[#This Row],[SP_BH]]=1,calendar[[#This Row],[WeekDay]]=1, calendar[[#This Row],[WeekDay]]=7),P154,P154+1)</f>
        <v>110</v>
      </c>
      <c r="S155">
        <f>IF(OR(calendar[[#This Row],[PT_BH]]=1,calendar[[#This Row],[WeekDay]]=1, calendar[[#This Row],[WeekDay]]=7),P154,P154+1)</f>
        <v>110</v>
      </c>
    </row>
    <row r="156" spans="1:19" x14ac:dyDescent="0.25">
      <c r="A156" s="2">
        <v>42890</v>
      </c>
      <c r="B156" s="1">
        <f t="shared" si="13"/>
        <v>23</v>
      </c>
      <c r="C156">
        <f t="shared" si="15"/>
        <v>6</v>
      </c>
      <c r="D156" t="str">
        <f t="shared" si="16"/>
        <v>June</v>
      </c>
      <c r="E156">
        <f t="shared" si="17"/>
        <v>2017</v>
      </c>
      <c r="F156" t="str">
        <f>CONCATENATE(calendar[[#This Row],[Month]],"/",calendar[[#This Row],[Year]])</f>
        <v>6/2017</v>
      </c>
      <c r="G156">
        <f>WEEKDAY(calendar[[#This Row],[Date]],1)</f>
        <v>1</v>
      </c>
      <c r="H156" t="str">
        <f>TEXT(calendar[[#This Row],[WeekDay]],"dddd")</f>
        <v>Sunday</v>
      </c>
      <c r="I156">
        <f>IF((INT(calendar[[#This Row],[Count]]/7)-calendar[[#This Row],[Count]]/7)&lt;0,I155,I155+1)</f>
        <v>23</v>
      </c>
      <c r="J156">
        <f t="shared" si="14"/>
        <v>154</v>
      </c>
      <c r="K156">
        <f>IF(calendar[[#This Row],[Month]]&lt;4,1,IF(calendar[[#This Row],[Month]]&lt;7,2,IF(calendar[[#This Row],[Month]]&lt;10,3,4)))</f>
        <v>2</v>
      </c>
      <c r="L156">
        <f>IFERROR(IF(VLOOKUP(calendar[[#This Row],[Date]],BH!A:A,1,)&lt;&gt;"",1,0),0)</f>
        <v>0</v>
      </c>
      <c r="M156">
        <f>IFERROR(IF(VLOOKUP(calendar[[#This Row],[Date]],BH!C:C,1,)&lt;&gt;"",1,0),0)</f>
        <v>0</v>
      </c>
      <c r="N156">
        <f>IFERROR(IF(VLOOKUP(calendar[[#This Row],[Date]],BH!E:E,1,)&lt;&gt;"",1,0),0)</f>
        <v>0</v>
      </c>
      <c r="O156">
        <f>IFERROR(IF(VLOOKUP(calendar[[#This Row],[Date]],BH!G:G,1,)&lt;&gt;"",1,0),0)</f>
        <v>0</v>
      </c>
      <c r="P156">
        <f>IF(OR(calendar[[#This Row],[UK_BH]]=1,calendar[[#This Row],[WeekDay]]=1, calendar[[#This Row],[WeekDay]]=7),P155,P155+1)</f>
        <v>110</v>
      </c>
      <c r="Q156">
        <f>IF(OR(calendar[[#This Row],[FR_BH]]=1,calendar[[#This Row],[WeekDay]]=1, calendar[[#This Row],[WeekDay]]=7),P155,P155+1)</f>
        <v>110</v>
      </c>
      <c r="R156">
        <f>IF(OR(calendar[[#This Row],[SP_BH]]=1,calendar[[#This Row],[WeekDay]]=1, calendar[[#This Row],[WeekDay]]=7),P155,P155+1)</f>
        <v>110</v>
      </c>
      <c r="S156">
        <f>IF(OR(calendar[[#This Row],[PT_BH]]=1,calendar[[#This Row],[WeekDay]]=1, calendar[[#This Row],[WeekDay]]=7),P155,P155+1)</f>
        <v>110</v>
      </c>
    </row>
    <row r="157" spans="1:19" x14ac:dyDescent="0.25">
      <c r="A157" s="2">
        <v>42891</v>
      </c>
      <c r="B157" s="1">
        <f t="shared" si="13"/>
        <v>23</v>
      </c>
      <c r="C157">
        <f t="shared" si="15"/>
        <v>6</v>
      </c>
      <c r="D157" t="str">
        <f t="shared" si="16"/>
        <v>June</v>
      </c>
      <c r="E157">
        <f t="shared" si="17"/>
        <v>2017</v>
      </c>
      <c r="F157" t="str">
        <f>CONCATENATE(calendar[[#This Row],[Month]],"/",calendar[[#This Row],[Year]])</f>
        <v>6/2017</v>
      </c>
      <c r="G157">
        <f>WEEKDAY(calendar[[#This Row],[Date]],1)</f>
        <v>2</v>
      </c>
      <c r="H157" t="str">
        <f>TEXT(calendar[[#This Row],[WeekDay]],"dddd")</f>
        <v>Monday</v>
      </c>
      <c r="I157">
        <f>IF((INT(calendar[[#This Row],[Count]]/7)-calendar[[#This Row],[Count]]/7)&lt;0,I156,I156+1)</f>
        <v>23</v>
      </c>
      <c r="J157">
        <f t="shared" si="14"/>
        <v>155</v>
      </c>
      <c r="K157">
        <f>IF(calendar[[#This Row],[Month]]&lt;4,1,IF(calendar[[#This Row],[Month]]&lt;7,2,IF(calendar[[#This Row],[Month]]&lt;10,3,4)))</f>
        <v>2</v>
      </c>
      <c r="L157">
        <f>IFERROR(IF(VLOOKUP(calendar[[#This Row],[Date]],BH!A:A,1,)&lt;&gt;"",1,0),0)</f>
        <v>0</v>
      </c>
      <c r="M157">
        <f>IFERROR(IF(VLOOKUP(calendar[[#This Row],[Date]],BH!C:C,1,)&lt;&gt;"",1,0),0)</f>
        <v>0</v>
      </c>
      <c r="N157">
        <f>IFERROR(IF(VLOOKUP(calendar[[#This Row],[Date]],BH!E:E,1,)&lt;&gt;"",1,0),0)</f>
        <v>0</v>
      </c>
      <c r="O157">
        <f>IFERROR(IF(VLOOKUP(calendar[[#This Row],[Date]],BH!G:G,1,)&lt;&gt;"",1,0),0)</f>
        <v>0</v>
      </c>
      <c r="P157">
        <f>IF(OR(calendar[[#This Row],[UK_BH]]=1,calendar[[#This Row],[WeekDay]]=1, calendar[[#This Row],[WeekDay]]=7),P156,P156+1)</f>
        <v>111</v>
      </c>
      <c r="Q157">
        <f>IF(OR(calendar[[#This Row],[FR_BH]]=1,calendar[[#This Row],[WeekDay]]=1, calendar[[#This Row],[WeekDay]]=7),P156,P156+1)</f>
        <v>111</v>
      </c>
      <c r="R157">
        <f>IF(OR(calendar[[#This Row],[SP_BH]]=1,calendar[[#This Row],[WeekDay]]=1, calendar[[#This Row],[WeekDay]]=7),P156,P156+1)</f>
        <v>111</v>
      </c>
      <c r="S157">
        <f>IF(OR(calendar[[#This Row],[PT_BH]]=1,calendar[[#This Row],[WeekDay]]=1, calendar[[#This Row],[WeekDay]]=7),P156,P156+1)</f>
        <v>111</v>
      </c>
    </row>
    <row r="158" spans="1:19" x14ac:dyDescent="0.25">
      <c r="A158" s="2">
        <v>42892</v>
      </c>
      <c r="B158" s="1">
        <f t="shared" si="13"/>
        <v>23</v>
      </c>
      <c r="C158">
        <f t="shared" si="15"/>
        <v>6</v>
      </c>
      <c r="D158" t="str">
        <f t="shared" si="16"/>
        <v>June</v>
      </c>
      <c r="E158">
        <f t="shared" si="17"/>
        <v>2017</v>
      </c>
      <c r="F158" t="str">
        <f>CONCATENATE(calendar[[#This Row],[Month]],"/",calendar[[#This Row],[Year]])</f>
        <v>6/2017</v>
      </c>
      <c r="G158">
        <f>WEEKDAY(calendar[[#This Row],[Date]],1)</f>
        <v>3</v>
      </c>
      <c r="H158" t="str">
        <f>TEXT(calendar[[#This Row],[WeekDay]],"dddd")</f>
        <v>Tuesday</v>
      </c>
      <c r="I158">
        <f>IF((INT(calendar[[#This Row],[Count]]/7)-calendar[[#This Row],[Count]]/7)&lt;0,I157,I157+1)</f>
        <v>23</v>
      </c>
      <c r="J158">
        <f t="shared" si="14"/>
        <v>156</v>
      </c>
      <c r="K158">
        <f>IF(calendar[[#This Row],[Month]]&lt;4,1,IF(calendar[[#This Row],[Month]]&lt;7,2,IF(calendar[[#This Row],[Month]]&lt;10,3,4)))</f>
        <v>2</v>
      </c>
      <c r="L158">
        <f>IFERROR(IF(VLOOKUP(calendar[[#This Row],[Date]],BH!A:A,1,)&lt;&gt;"",1,0),0)</f>
        <v>0</v>
      </c>
      <c r="M158">
        <f>IFERROR(IF(VLOOKUP(calendar[[#This Row],[Date]],BH!C:C,1,)&lt;&gt;"",1,0),0)</f>
        <v>0</v>
      </c>
      <c r="N158">
        <f>IFERROR(IF(VLOOKUP(calendar[[#This Row],[Date]],BH!E:E,1,)&lt;&gt;"",1,0),0)</f>
        <v>0</v>
      </c>
      <c r="O158">
        <f>IFERROR(IF(VLOOKUP(calendar[[#This Row],[Date]],BH!G:G,1,)&lt;&gt;"",1,0),0)</f>
        <v>0</v>
      </c>
      <c r="P158">
        <f>IF(OR(calendar[[#This Row],[UK_BH]]=1,calendar[[#This Row],[WeekDay]]=1, calendar[[#This Row],[WeekDay]]=7),P157,P157+1)</f>
        <v>112</v>
      </c>
      <c r="Q158">
        <f>IF(OR(calendar[[#This Row],[FR_BH]]=1,calendar[[#This Row],[WeekDay]]=1, calendar[[#This Row],[WeekDay]]=7),P157,P157+1)</f>
        <v>112</v>
      </c>
      <c r="R158">
        <f>IF(OR(calendar[[#This Row],[SP_BH]]=1,calendar[[#This Row],[WeekDay]]=1, calendar[[#This Row],[WeekDay]]=7),P157,P157+1)</f>
        <v>112</v>
      </c>
      <c r="S158">
        <f>IF(OR(calendar[[#This Row],[PT_BH]]=1,calendar[[#This Row],[WeekDay]]=1, calendar[[#This Row],[WeekDay]]=7),P157,P157+1)</f>
        <v>112</v>
      </c>
    </row>
    <row r="159" spans="1:19" x14ac:dyDescent="0.25">
      <c r="A159" s="2">
        <v>42893</v>
      </c>
      <c r="B159" s="1">
        <f t="shared" si="13"/>
        <v>23</v>
      </c>
      <c r="C159">
        <f t="shared" si="15"/>
        <v>6</v>
      </c>
      <c r="D159" t="str">
        <f t="shared" si="16"/>
        <v>June</v>
      </c>
      <c r="E159">
        <f t="shared" si="17"/>
        <v>2017</v>
      </c>
      <c r="F159" t="str">
        <f>CONCATENATE(calendar[[#This Row],[Month]],"/",calendar[[#This Row],[Year]])</f>
        <v>6/2017</v>
      </c>
      <c r="G159">
        <f>WEEKDAY(calendar[[#This Row],[Date]],1)</f>
        <v>4</v>
      </c>
      <c r="H159" t="str">
        <f>TEXT(calendar[[#This Row],[WeekDay]],"dddd")</f>
        <v>Wednesday</v>
      </c>
      <c r="I159">
        <f>IF((INT(calendar[[#This Row],[Count]]/7)-calendar[[#This Row],[Count]]/7)&lt;0,I158,I158+1)</f>
        <v>23</v>
      </c>
      <c r="J159">
        <f t="shared" si="14"/>
        <v>157</v>
      </c>
      <c r="K159">
        <f>IF(calendar[[#This Row],[Month]]&lt;4,1,IF(calendar[[#This Row],[Month]]&lt;7,2,IF(calendar[[#This Row],[Month]]&lt;10,3,4)))</f>
        <v>2</v>
      </c>
      <c r="L159">
        <f>IFERROR(IF(VLOOKUP(calendar[[#This Row],[Date]],BH!A:A,1,)&lt;&gt;"",1,0),0)</f>
        <v>0</v>
      </c>
      <c r="M159">
        <f>IFERROR(IF(VLOOKUP(calendar[[#This Row],[Date]],BH!C:C,1,)&lt;&gt;"",1,0),0)</f>
        <v>0</v>
      </c>
      <c r="N159">
        <f>IFERROR(IF(VLOOKUP(calendar[[#This Row],[Date]],BH!E:E,1,)&lt;&gt;"",1,0),0)</f>
        <v>0</v>
      </c>
      <c r="O159">
        <f>IFERROR(IF(VLOOKUP(calendar[[#This Row],[Date]],BH!G:G,1,)&lt;&gt;"",1,0),0)</f>
        <v>0</v>
      </c>
      <c r="P159">
        <f>IF(OR(calendar[[#This Row],[UK_BH]]=1,calendar[[#This Row],[WeekDay]]=1, calendar[[#This Row],[WeekDay]]=7),P158,P158+1)</f>
        <v>113</v>
      </c>
      <c r="Q159">
        <f>IF(OR(calendar[[#This Row],[FR_BH]]=1,calendar[[#This Row],[WeekDay]]=1, calendar[[#This Row],[WeekDay]]=7),P158,P158+1)</f>
        <v>113</v>
      </c>
      <c r="R159">
        <f>IF(OR(calendar[[#This Row],[SP_BH]]=1,calendar[[#This Row],[WeekDay]]=1, calendar[[#This Row],[WeekDay]]=7),P158,P158+1)</f>
        <v>113</v>
      </c>
      <c r="S159">
        <f>IF(OR(calendar[[#This Row],[PT_BH]]=1,calendar[[#This Row],[WeekDay]]=1, calendar[[#This Row],[WeekDay]]=7),P158,P158+1)</f>
        <v>113</v>
      </c>
    </row>
    <row r="160" spans="1:19" x14ac:dyDescent="0.25">
      <c r="A160" s="2">
        <v>42894</v>
      </c>
      <c r="B160" s="1">
        <f t="shared" si="13"/>
        <v>23</v>
      </c>
      <c r="C160">
        <f t="shared" si="15"/>
        <v>6</v>
      </c>
      <c r="D160" t="str">
        <f t="shared" si="16"/>
        <v>June</v>
      </c>
      <c r="E160">
        <f t="shared" si="17"/>
        <v>2017</v>
      </c>
      <c r="F160" t="str">
        <f>CONCATENATE(calendar[[#This Row],[Month]],"/",calendar[[#This Row],[Year]])</f>
        <v>6/2017</v>
      </c>
      <c r="G160">
        <f>WEEKDAY(calendar[[#This Row],[Date]],1)</f>
        <v>5</v>
      </c>
      <c r="H160" t="str">
        <f>TEXT(calendar[[#This Row],[WeekDay]],"dddd")</f>
        <v>Thursday</v>
      </c>
      <c r="I160">
        <f>IF((INT(calendar[[#This Row],[Count]]/7)-calendar[[#This Row],[Count]]/7)&lt;0,I159,I159+1)</f>
        <v>23</v>
      </c>
      <c r="J160">
        <f t="shared" si="14"/>
        <v>158</v>
      </c>
      <c r="K160">
        <f>IF(calendar[[#This Row],[Month]]&lt;4,1,IF(calendar[[#This Row],[Month]]&lt;7,2,IF(calendar[[#This Row],[Month]]&lt;10,3,4)))</f>
        <v>2</v>
      </c>
      <c r="L160">
        <f>IFERROR(IF(VLOOKUP(calendar[[#This Row],[Date]],BH!A:A,1,)&lt;&gt;"",1,0),0)</f>
        <v>0</v>
      </c>
      <c r="M160">
        <f>IFERROR(IF(VLOOKUP(calendar[[#This Row],[Date]],BH!C:C,1,)&lt;&gt;"",1,0),0)</f>
        <v>0</v>
      </c>
      <c r="N160">
        <f>IFERROR(IF(VLOOKUP(calendar[[#This Row],[Date]],BH!E:E,1,)&lt;&gt;"",1,0),0)</f>
        <v>0</v>
      </c>
      <c r="O160">
        <f>IFERROR(IF(VLOOKUP(calendar[[#This Row],[Date]],BH!G:G,1,)&lt;&gt;"",1,0),0)</f>
        <v>0</v>
      </c>
      <c r="P160">
        <f>IF(OR(calendar[[#This Row],[UK_BH]]=1,calendar[[#This Row],[WeekDay]]=1, calendar[[#This Row],[WeekDay]]=7),P159,P159+1)</f>
        <v>114</v>
      </c>
      <c r="Q160">
        <f>IF(OR(calendar[[#This Row],[FR_BH]]=1,calendar[[#This Row],[WeekDay]]=1, calendar[[#This Row],[WeekDay]]=7),P159,P159+1)</f>
        <v>114</v>
      </c>
      <c r="R160">
        <f>IF(OR(calendar[[#This Row],[SP_BH]]=1,calendar[[#This Row],[WeekDay]]=1, calendar[[#This Row],[WeekDay]]=7),P159,P159+1)</f>
        <v>114</v>
      </c>
      <c r="S160">
        <f>IF(OR(calendar[[#This Row],[PT_BH]]=1,calendar[[#This Row],[WeekDay]]=1, calendar[[#This Row],[WeekDay]]=7),P159,P159+1)</f>
        <v>114</v>
      </c>
    </row>
    <row r="161" spans="1:19" x14ac:dyDescent="0.25">
      <c r="A161" s="2">
        <v>42895</v>
      </c>
      <c r="B161" s="1">
        <f t="shared" si="13"/>
        <v>23</v>
      </c>
      <c r="C161">
        <f t="shared" si="15"/>
        <v>6</v>
      </c>
      <c r="D161" t="str">
        <f t="shared" si="16"/>
        <v>June</v>
      </c>
      <c r="E161">
        <f t="shared" si="17"/>
        <v>2017</v>
      </c>
      <c r="F161" t="str">
        <f>CONCATENATE(calendar[[#This Row],[Month]],"/",calendar[[#This Row],[Year]])</f>
        <v>6/2017</v>
      </c>
      <c r="G161">
        <f>WEEKDAY(calendar[[#This Row],[Date]],1)</f>
        <v>6</v>
      </c>
      <c r="H161" t="str">
        <f>TEXT(calendar[[#This Row],[WeekDay]],"dddd")</f>
        <v>Friday</v>
      </c>
      <c r="I161">
        <f>IF((INT(calendar[[#This Row],[Count]]/7)-calendar[[#This Row],[Count]]/7)&lt;0,I160,I160+1)</f>
        <v>23</v>
      </c>
      <c r="J161">
        <f t="shared" si="14"/>
        <v>159</v>
      </c>
      <c r="K161">
        <f>IF(calendar[[#This Row],[Month]]&lt;4,1,IF(calendar[[#This Row],[Month]]&lt;7,2,IF(calendar[[#This Row],[Month]]&lt;10,3,4)))</f>
        <v>2</v>
      </c>
      <c r="L161">
        <f>IFERROR(IF(VLOOKUP(calendar[[#This Row],[Date]],BH!A:A,1,)&lt;&gt;"",1,0),0)</f>
        <v>0</v>
      </c>
      <c r="M161">
        <f>IFERROR(IF(VLOOKUP(calendar[[#This Row],[Date]],BH!C:C,1,)&lt;&gt;"",1,0),0)</f>
        <v>0</v>
      </c>
      <c r="N161">
        <f>IFERROR(IF(VLOOKUP(calendar[[#This Row],[Date]],BH!E:E,1,)&lt;&gt;"",1,0),0)</f>
        <v>0</v>
      </c>
      <c r="O161">
        <f>IFERROR(IF(VLOOKUP(calendar[[#This Row],[Date]],BH!G:G,1,)&lt;&gt;"",1,0),0)</f>
        <v>0</v>
      </c>
      <c r="P161">
        <f>IF(OR(calendar[[#This Row],[UK_BH]]=1,calendar[[#This Row],[WeekDay]]=1, calendar[[#This Row],[WeekDay]]=7),P160,P160+1)</f>
        <v>115</v>
      </c>
      <c r="Q161">
        <f>IF(OR(calendar[[#This Row],[FR_BH]]=1,calendar[[#This Row],[WeekDay]]=1, calendar[[#This Row],[WeekDay]]=7),P160,P160+1)</f>
        <v>115</v>
      </c>
      <c r="R161">
        <f>IF(OR(calendar[[#This Row],[SP_BH]]=1,calendar[[#This Row],[WeekDay]]=1, calendar[[#This Row],[WeekDay]]=7),P160,P160+1)</f>
        <v>115</v>
      </c>
      <c r="S161">
        <f>IF(OR(calendar[[#This Row],[PT_BH]]=1,calendar[[#This Row],[WeekDay]]=1, calendar[[#This Row],[WeekDay]]=7),P160,P160+1)</f>
        <v>115</v>
      </c>
    </row>
    <row r="162" spans="1:19" x14ac:dyDescent="0.25">
      <c r="A162" s="2">
        <v>42896</v>
      </c>
      <c r="B162" s="1">
        <f t="shared" si="13"/>
        <v>23</v>
      </c>
      <c r="C162">
        <f t="shared" si="15"/>
        <v>6</v>
      </c>
      <c r="D162" t="str">
        <f t="shared" si="16"/>
        <v>June</v>
      </c>
      <c r="E162">
        <f t="shared" si="17"/>
        <v>2017</v>
      </c>
      <c r="F162" t="str">
        <f>CONCATENATE(calendar[[#This Row],[Month]],"/",calendar[[#This Row],[Year]])</f>
        <v>6/2017</v>
      </c>
      <c r="G162">
        <f>WEEKDAY(calendar[[#This Row],[Date]],1)</f>
        <v>7</v>
      </c>
      <c r="H162" t="str">
        <f>TEXT(calendar[[#This Row],[WeekDay]],"dddd")</f>
        <v>Saturday</v>
      </c>
      <c r="I162">
        <f>IF((INT(calendar[[#This Row],[Count]]/7)-calendar[[#This Row],[Count]]/7)&lt;0,I161,I161+1)</f>
        <v>23</v>
      </c>
      <c r="J162">
        <f t="shared" si="14"/>
        <v>160</v>
      </c>
      <c r="K162">
        <f>IF(calendar[[#This Row],[Month]]&lt;4,1,IF(calendar[[#This Row],[Month]]&lt;7,2,IF(calendar[[#This Row],[Month]]&lt;10,3,4)))</f>
        <v>2</v>
      </c>
      <c r="L162">
        <f>IFERROR(IF(VLOOKUP(calendar[[#This Row],[Date]],BH!A:A,1,)&lt;&gt;"",1,0),0)</f>
        <v>0</v>
      </c>
      <c r="M162">
        <f>IFERROR(IF(VLOOKUP(calendar[[#This Row],[Date]],BH!C:C,1,)&lt;&gt;"",1,0),0)</f>
        <v>0</v>
      </c>
      <c r="N162">
        <f>IFERROR(IF(VLOOKUP(calendar[[#This Row],[Date]],BH!E:E,1,)&lt;&gt;"",1,0),0)</f>
        <v>0</v>
      </c>
      <c r="O162">
        <f>IFERROR(IF(VLOOKUP(calendar[[#This Row],[Date]],BH!G:G,1,)&lt;&gt;"",1,0),0)</f>
        <v>0</v>
      </c>
      <c r="P162">
        <f>IF(OR(calendar[[#This Row],[UK_BH]]=1,calendar[[#This Row],[WeekDay]]=1, calendar[[#This Row],[WeekDay]]=7),P161,P161+1)</f>
        <v>115</v>
      </c>
      <c r="Q162">
        <f>IF(OR(calendar[[#This Row],[FR_BH]]=1,calendar[[#This Row],[WeekDay]]=1, calendar[[#This Row],[WeekDay]]=7),P161,P161+1)</f>
        <v>115</v>
      </c>
      <c r="R162">
        <f>IF(OR(calendar[[#This Row],[SP_BH]]=1,calendar[[#This Row],[WeekDay]]=1, calendar[[#This Row],[WeekDay]]=7),P161,P161+1)</f>
        <v>115</v>
      </c>
      <c r="S162">
        <f>IF(OR(calendar[[#This Row],[PT_BH]]=1,calendar[[#This Row],[WeekDay]]=1, calendar[[#This Row],[WeekDay]]=7),P161,P161+1)</f>
        <v>115</v>
      </c>
    </row>
    <row r="163" spans="1:19" x14ac:dyDescent="0.25">
      <c r="A163" s="2">
        <v>42897</v>
      </c>
      <c r="B163" s="1">
        <f t="shared" si="13"/>
        <v>24</v>
      </c>
      <c r="C163">
        <f t="shared" si="15"/>
        <v>6</v>
      </c>
      <c r="D163" t="str">
        <f t="shared" si="16"/>
        <v>June</v>
      </c>
      <c r="E163">
        <f t="shared" si="17"/>
        <v>2017</v>
      </c>
      <c r="F163" t="str">
        <f>CONCATENATE(calendar[[#This Row],[Month]],"/",calendar[[#This Row],[Year]])</f>
        <v>6/2017</v>
      </c>
      <c r="G163">
        <f>WEEKDAY(calendar[[#This Row],[Date]],1)</f>
        <v>1</v>
      </c>
      <c r="H163" t="str">
        <f>TEXT(calendar[[#This Row],[WeekDay]],"dddd")</f>
        <v>Sunday</v>
      </c>
      <c r="I163">
        <f>IF((INT(calendar[[#This Row],[Count]]/7)-calendar[[#This Row],[Count]]/7)&lt;0,I162,I162+1)</f>
        <v>24</v>
      </c>
      <c r="J163">
        <f t="shared" si="14"/>
        <v>161</v>
      </c>
      <c r="K163">
        <f>IF(calendar[[#This Row],[Month]]&lt;4,1,IF(calendar[[#This Row],[Month]]&lt;7,2,IF(calendar[[#This Row],[Month]]&lt;10,3,4)))</f>
        <v>2</v>
      </c>
      <c r="L163">
        <f>IFERROR(IF(VLOOKUP(calendar[[#This Row],[Date]],BH!A:A,1,)&lt;&gt;"",1,0),0)</f>
        <v>0</v>
      </c>
      <c r="M163">
        <f>IFERROR(IF(VLOOKUP(calendar[[#This Row],[Date]],BH!C:C,1,)&lt;&gt;"",1,0),0)</f>
        <v>0</v>
      </c>
      <c r="N163">
        <f>IFERROR(IF(VLOOKUP(calendar[[#This Row],[Date]],BH!E:E,1,)&lt;&gt;"",1,0),0)</f>
        <v>0</v>
      </c>
      <c r="O163">
        <f>IFERROR(IF(VLOOKUP(calendar[[#This Row],[Date]],BH!G:G,1,)&lt;&gt;"",1,0),0)</f>
        <v>0</v>
      </c>
      <c r="P163">
        <f>IF(OR(calendar[[#This Row],[UK_BH]]=1,calendar[[#This Row],[WeekDay]]=1, calendar[[#This Row],[WeekDay]]=7),P162,P162+1)</f>
        <v>115</v>
      </c>
      <c r="Q163">
        <f>IF(OR(calendar[[#This Row],[FR_BH]]=1,calendar[[#This Row],[WeekDay]]=1, calendar[[#This Row],[WeekDay]]=7),P162,P162+1)</f>
        <v>115</v>
      </c>
      <c r="R163">
        <f>IF(OR(calendar[[#This Row],[SP_BH]]=1,calendar[[#This Row],[WeekDay]]=1, calendar[[#This Row],[WeekDay]]=7),P162,P162+1)</f>
        <v>115</v>
      </c>
      <c r="S163">
        <f>IF(OR(calendar[[#This Row],[PT_BH]]=1,calendar[[#This Row],[WeekDay]]=1, calendar[[#This Row],[WeekDay]]=7),P162,P162+1)</f>
        <v>115</v>
      </c>
    </row>
    <row r="164" spans="1:19" x14ac:dyDescent="0.25">
      <c r="A164" s="2">
        <v>42898</v>
      </c>
      <c r="B164" s="1">
        <f t="shared" si="13"/>
        <v>24</v>
      </c>
      <c r="C164">
        <f t="shared" si="15"/>
        <v>6</v>
      </c>
      <c r="D164" t="str">
        <f t="shared" si="16"/>
        <v>June</v>
      </c>
      <c r="E164">
        <f t="shared" si="17"/>
        <v>2017</v>
      </c>
      <c r="F164" t="str">
        <f>CONCATENATE(calendar[[#This Row],[Month]],"/",calendar[[#This Row],[Year]])</f>
        <v>6/2017</v>
      </c>
      <c r="G164">
        <f>WEEKDAY(calendar[[#This Row],[Date]],1)</f>
        <v>2</v>
      </c>
      <c r="H164" t="str">
        <f>TEXT(calendar[[#This Row],[WeekDay]],"dddd")</f>
        <v>Monday</v>
      </c>
      <c r="I164">
        <f>IF((INT(calendar[[#This Row],[Count]]/7)-calendar[[#This Row],[Count]]/7)&lt;0,I163,I163+1)</f>
        <v>24</v>
      </c>
      <c r="J164">
        <f t="shared" si="14"/>
        <v>162</v>
      </c>
      <c r="K164">
        <f>IF(calendar[[#This Row],[Month]]&lt;4,1,IF(calendar[[#This Row],[Month]]&lt;7,2,IF(calendar[[#This Row],[Month]]&lt;10,3,4)))</f>
        <v>2</v>
      </c>
      <c r="L164">
        <f>IFERROR(IF(VLOOKUP(calendar[[#This Row],[Date]],BH!A:A,1,)&lt;&gt;"",1,0),0)</f>
        <v>0</v>
      </c>
      <c r="M164">
        <f>IFERROR(IF(VLOOKUP(calendar[[#This Row],[Date]],BH!C:C,1,)&lt;&gt;"",1,0),0)</f>
        <v>0</v>
      </c>
      <c r="N164">
        <f>IFERROR(IF(VLOOKUP(calendar[[#This Row],[Date]],BH!E:E,1,)&lt;&gt;"",1,0),0)</f>
        <v>0</v>
      </c>
      <c r="O164">
        <f>IFERROR(IF(VLOOKUP(calendar[[#This Row],[Date]],BH!G:G,1,)&lt;&gt;"",1,0),0)</f>
        <v>0</v>
      </c>
      <c r="P164">
        <f>IF(OR(calendar[[#This Row],[UK_BH]]=1,calendar[[#This Row],[WeekDay]]=1, calendar[[#This Row],[WeekDay]]=7),P163,P163+1)</f>
        <v>116</v>
      </c>
      <c r="Q164">
        <f>IF(OR(calendar[[#This Row],[FR_BH]]=1,calendar[[#This Row],[WeekDay]]=1, calendar[[#This Row],[WeekDay]]=7),P163,P163+1)</f>
        <v>116</v>
      </c>
      <c r="R164">
        <f>IF(OR(calendar[[#This Row],[SP_BH]]=1,calendar[[#This Row],[WeekDay]]=1, calendar[[#This Row],[WeekDay]]=7),P163,P163+1)</f>
        <v>116</v>
      </c>
      <c r="S164">
        <f>IF(OR(calendar[[#This Row],[PT_BH]]=1,calendar[[#This Row],[WeekDay]]=1, calendar[[#This Row],[WeekDay]]=7),P163,P163+1)</f>
        <v>116</v>
      </c>
    </row>
    <row r="165" spans="1:19" x14ac:dyDescent="0.25">
      <c r="A165" s="2">
        <v>42899</v>
      </c>
      <c r="B165" s="1">
        <f t="shared" si="13"/>
        <v>24</v>
      </c>
      <c r="C165">
        <f t="shared" si="15"/>
        <v>6</v>
      </c>
      <c r="D165" t="str">
        <f t="shared" si="16"/>
        <v>June</v>
      </c>
      <c r="E165">
        <f t="shared" si="17"/>
        <v>2017</v>
      </c>
      <c r="F165" t="str">
        <f>CONCATENATE(calendar[[#This Row],[Month]],"/",calendar[[#This Row],[Year]])</f>
        <v>6/2017</v>
      </c>
      <c r="G165">
        <f>WEEKDAY(calendar[[#This Row],[Date]],1)</f>
        <v>3</v>
      </c>
      <c r="H165" t="str">
        <f>TEXT(calendar[[#This Row],[WeekDay]],"dddd")</f>
        <v>Tuesday</v>
      </c>
      <c r="I165">
        <f>IF((INT(calendar[[#This Row],[Count]]/7)-calendar[[#This Row],[Count]]/7)&lt;0,I164,I164+1)</f>
        <v>24</v>
      </c>
      <c r="J165">
        <f t="shared" si="14"/>
        <v>163</v>
      </c>
      <c r="K165">
        <f>IF(calendar[[#This Row],[Month]]&lt;4,1,IF(calendar[[#This Row],[Month]]&lt;7,2,IF(calendar[[#This Row],[Month]]&lt;10,3,4)))</f>
        <v>2</v>
      </c>
      <c r="L165">
        <f>IFERROR(IF(VLOOKUP(calendar[[#This Row],[Date]],BH!A:A,1,)&lt;&gt;"",1,0),0)</f>
        <v>0</v>
      </c>
      <c r="M165">
        <f>IFERROR(IF(VLOOKUP(calendar[[#This Row],[Date]],BH!C:C,1,)&lt;&gt;"",1,0),0)</f>
        <v>0</v>
      </c>
      <c r="N165">
        <f>IFERROR(IF(VLOOKUP(calendar[[#This Row],[Date]],BH!E:E,1,)&lt;&gt;"",1,0),0)</f>
        <v>0</v>
      </c>
      <c r="O165">
        <f>IFERROR(IF(VLOOKUP(calendar[[#This Row],[Date]],BH!G:G,1,)&lt;&gt;"",1,0),0)</f>
        <v>0</v>
      </c>
      <c r="P165">
        <f>IF(OR(calendar[[#This Row],[UK_BH]]=1,calendar[[#This Row],[WeekDay]]=1, calendar[[#This Row],[WeekDay]]=7),P164,P164+1)</f>
        <v>117</v>
      </c>
      <c r="Q165">
        <f>IF(OR(calendar[[#This Row],[FR_BH]]=1,calendar[[#This Row],[WeekDay]]=1, calendar[[#This Row],[WeekDay]]=7),P164,P164+1)</f>
        <v>117</v>
      </c>
      <c r="R165">
        <f>IF(OR(calendar[[#This Row],[SP_BH]]=1,calendar[[#This Row],[WeekDay]]=1, calendar[[#This Row],[WeekDay]]=7),P164,P164+1)</f>
        <v>117</v>
      </c>
      <c r="S165">
        <f>IF(OR(calendar[[#This Row],[PT_BH]]=1,calendar[[#This Row],[WeekDay]]=1, calendar[[#This Row],[WeekDay]]=7),P164,P164+1)</f>
        <v>117</v>
      </c>
    </row>
    <row r="166" spans="1:19" x14ac:dyDescent="0.25">
      <c r="A166" s="2">
        <v>42900</v>
      </c>
      <c r="B166" s="1">
        <f t="shared" si="13"/>
        <v>24</v>
      </c>
      <c r="C166">
        <f t="shared" si="15"/>
        <v>6</v>
      </c>
      <c r="D166" t="str">
        <f t="shared" si="16"/>
        <v>June</v>
      </c>
      <c r="E166">
        <f t="shared" si="17"/>
        <v>2017</v>
      </c>
      <c r="F166" t="str">
        <f>CONCATENATE(calendar[[#This Row],[Month]],"/",calendar[[#This Row],[Year]])</f>
        <v>6/2017</v>
      </c>
      <c r="G166">
        <f>WEEKDAY(calendar[[#This Row],[Date]],1)</f>
        <v>4</v>
      </c>
      <c r="H166" t="str">
        <f>TEXT(calendar[[#This Row],[WeekDay]],"dddd")</f>
        <v>Wednesday</v>
      </c>
      <c r="I166">
        <f>IF((INT(calendar[[#This Row],[Count]]/7)-calendar[[#This Row],[Count]]/7)&lt;0,I165,I165+1)</f>
        <v>24</v>
      </c>
      <c r="J166">
        <f t="shared" si="14"/>
        <v>164</v>
      </c>
      <c r="K166">
        <f>IF(calendar[[#This Row],[Month]]&lt;4,1,IF(calendar[[#This Row],[Month]]&lt;7,2,IF(calendar[[#This Row],[Month]]&lt;10,3,4)))</f>
        <v>2</v>
      </c>
      <c r="L166">
        <f>IFERROR(IF(VLOOKUP(calendar[[#This Row],[Date]],BH!A:A,1,)&lt;&gt;"",1,0),0)</f>
        <v>0</v>
      </c>
      <c r="M166">
        <f>IFERROR(IF(VLOOKUP(calendar[[#This Row],[Date]],BH!C:C,1,)&lt;&gt;"",1,0),0)</f>
        <v>0</v>
      </c>
      <c r="N166">
        <f>IFERROR(IF(VLOOKUP(calendar[[#This Row],[Date]],BH!E:E,1,)&lt;&gt;"",1,0),0)</f>
        <v>0</v>
      </c>
      <c r="O166">
        <f>IFERROR(IF(VLOOKUP(calendar[[#This Row],[Date]],BH!G:G,1,)&lt;&gt;"",1,0),0)</f>
        <v>0</v>
      </c>
      <c r="P166">
        <f>IF(OR(calendar[[#This Row],[UK_BH]]=1,calendar[[#This Row],[WeekDay]]=1, calendar[[#This Row],[WeekDay]]=7),P165,P165+1)</f>
        <v>118</v>
      </c>
      <c r="Q166">
        <f>IF(OR(calendar[[#This Row],[FR_BH]]=1,calendar[[#This Row],[WeekDay]]=1, calendar[[#This Row],[WeekDay]]=7),P165,P165+1)</f>
        <v>118</v>
      </c>
      <c r="R166">
        <f>IF(OR(calendar[[#This Row],[SP_BH]]=1,calendar[[#This Row],[WeekDay]]=1, calendar[[#This Row],[WeekDay]]=7),P165,P165+1)</f>
        <v>118</v>
      </c>
      <c r="S166">
        <f>IF(OR(calendar[[#This Row],[PT_BH]]=1,calendar[[#This Row],[WeekDay]]=1, calendar[[#This Row],[WeekDay]]=7),P165,P165+1)</f>
        <v>118</v>
      </c>
    </row>
    <row r="167" spans="1:19" x14ac:dyDescent="0.25">
      <c r="A167" s="2">
        <v>42901</v>
      </c>
      <c r="B167" s="1">
        <f t="shared" si="13"/>
        <v>24</v>
      </c>
      <c r="C167">
        <f t="shared" si="15"/>
        <v>6</v>
      </c>
      <c r="D167" t="str">
        <f t="shared" si="16"/>
        <v>June</v>
      </c>
      <c r="E167">
        <f t="shared" si="17"/>
        <v>2017</v>
      </c>
      <c r="F167" t="str">
        <f>CONCATENATE(calendar[[#This Row],[Month]],"/",calendar[[#This Row],[Year]])</f>
        <v>6/2017</v>
      </c>
      <c r="G167">
        <f>WEEKDAY(calendar[[#This Row],[Date]],1)</f>
        <v>5</v>
      </c>
      <c r="H167" t="str">
        <f>TEXT(calendar[[#This Row],[WeekDay]],"dddd")</f>
        <v>Thursday</v>
      </c>
      <c r="I167">
        <f>IF((INT(calendar[[#This Row],[Count]]/7)-calendar[[#This Row],[Count]]/7)&lt;0,I166,I166+1)</f>
        <v>24</v>
      </c>
      <c r="J167">
        <f t="shared" si="14"/>
        <v>165</v>
      </c>
      <c r="K167">
        <f>IF(calendar[[#This Row],[Month]]&lt;4,1,IF(calendar[[#This Row],[Month]]&lt;7,2,IF(calendar[[#This Row],[Month]]&lt;10,3,4)))</f>
        <v>2</v>
      </c>
      <c r="L167">
        <f>IFERROR(IF(VLOOKUP(calendar[[#This Row],[Date]],BH!A:A,1,)&lt;&gt;"",1,0),0)</f>
        <v>0</v>
      </c>
      <c r="M167">
        <f>IFERROR(IF(VLOOKUP(calendar[[#This Row],[Date]],BH!C:C,1,)&lt;&gt;"",1,0),0)</f>
        <v>0</v>
      </c>
      <c r="N167">
        <f>IFERROR(IF(VLOOKUP(calendar[[#This Row],[Date]],BH!E:E,1,)&lt;&gt;"",1,0),0)</f>
        <v>0</v>
      </c>
      <c r="O167">
        <f>IFERROR(IF(VLOOKUP(calendar[[#This Row],[Date]],BH!G:G,1,)&lt;&gt;"",1,0),0)</f>
        <v>0</v>
      </c>
      <c r="P167">
        <f>IF(OR(calendar[[#This Row],[UK_BH]]=1,calendar[[#This Row],[WeekDay]]=1, calendar[[#This Row],[WeekDay]]=7),P166,P166+1)</f>
        <v>119</v>
      </c>
      <c r="Q167">
        <f>IF(OR(calendar[[#This Row],[FR_BH]]=1,calendar[[#This Row],[WeekDay]]=1, calendar[[#This Row],[WeekDay]]=7),P166,P166+1)</f>
        <v>119</v>
      </c>
      <c r="R167">
        <f>IF(OR(calendar[[#This Row],[SP_BH]]=1,calendar[[#This Row],[WeekDay]]=1, calendar[[#This Row],[WeekDay]]=7),P166,P166+1)</f>
        <v>119</v>
      </c>
      <c r="S167">
        <f>IF(OR(calendar[[#This Row],[PT_BH]]=1,calendar[[#This Row],[WeekDay]]=1, calendar[[#This Row],[WeekDay]]=7),P166,P166+1)</f>
        <v>119</v>
      </c>
    </row>
    <row r="168" spans="1:19" x14ac:dyDescent="0.25">
      <c r="A168" s="2">
        <v>42902</v>
      </c>
      <c r="B168" s="1">
        <f t="shared" si="13"/>
        <v>24</v>
      </c>
      <c r="C168">
        <f t="shared" si="15"/>
        <v>6</v>
      </c>
      <c r="D168" t="str">
        <f t="shared" si="16"/>
        <v>June</v>
      </c>
      <c r="E168">
        <f t="shared" si="17"/>
        <v>2017</v>
      </c>
      <c r="F168" t="str">
        <f>CONCATENATE(calendar[[#This Row],[Month]],"/",calendar[[#This Row],[Year]])</f>
        <v>6/2017</v>
      </c>
      <c r="G168">
        <f>WEEKDAY(calendar[[#This Row],[Date]],1)</f>
        <v>6</v>
      </c>
      <c r="H168" t="str">
        <f>TEXT(calendar[[#This Row],[WeekDay]],"dddd")</f>
        <v>Friday</v>
      </c>
      <c r="I168">
        <f>IF((INT(calendar[[#This Row],[Count]]/7)-calendar[[#This Row],[Count]]/7)&lt;0,I167,I167+1)</f>
        <v>24</v>
      </c>
      <c r="J168">
        <f t="shared" si="14"/>
        <v>166</v>
      </c>
      <c r="K168">
        <f>IF(calendar[[#This Row],[Month]]&lt;4,1,IF(calendar[[#This Row],[Month]]&lt;7,2,IF(calendar[[#This Row],[Month]]&lt;10,3,4)))</f>
        <v>2</v>
      </c>
      <c r="L168">
        <f>IFERROR(IF(VLOOKUP(calendar[[#This Row],[Date]],BH!A:A,1,)&lt;&gt;"",1,0),0)</f>
        <v>0</v>
      </c>
      <c r="M168">
        <f>IFERROR(IF(VLOOKUP(calendar[[#This Row],[Date]],BH!C:C,1,)&lt;&gt;"",1,0),0)</f>
        <v>0</v>
      </c>
      <c r="N168">
        <f>IFERROR(IF(VLOOKUP(calendar[[#This Row],[Date]],BH!E:E,1,)&lt;&gt;"",1,0),0)</f>
        <v>0</v>
      </c>
      <c r="O168">
        <f>IFERROR(IF(VLOOKUP(calendar[[#This Row],[Date]],BH!G:G,1,)&lt;&gt;"",1,0),0)</f>
        <v>0</v>
      </c>
      <c r="P168">
        <f>IF(OR(calendar[[#This Row],[UK_BH]]=1,calendar[[#This Row],[WeekDay]]=1, calendar[[#This Row],[WeekDay]]=7),P167,P167+1)</f>
        <v>120</v>
      </c>
      <c r="Q168">
        <f>IF(OR(calendar[[#This Row],[FR_BH]]=1,calendar[[#This Row],[WeekDay]]=1, calendar[[#This Row],[WeekDay]]=7),P167,P167+1)</f>
        <v>120</v>
      </c>
      <c r="R168">
        <f>IF(OR(calendar[[#This Row],[SP_BH]]=1,calendar[[#This Row],[WeekDay]]=1, calendar[[#This Row],[WeekDay]]=7),P167,P167+1)</f>
        <v>120</v>
      </c>
      <c r="S168">
        <f>IF(OR(calendar[[#This Row],[PT_BH]]=1,calendar[[#This Row],[WeekDay]]=1, calendar[[#This Row],[WeekDay]]=7),P167,P167+1)</f>
        <v>120</v>
      </c>
    </row>
    <row r="169" spans="1:19" x14ac:dyDescent="0.25">
      <c r="A169" s="2">
        <v>42903</v>
      </c>
      <c r="B169" s="1">
        <f t="shared" si="13"/>
        <v>24</v>
      </c>
      <c r="C169">
        <f t="shared" si="15"/>
        <v>6</v>
      </c>
      <c r="D169" t="str">
        <f t="shared" si="16"/>
        <v>June</v>
      </c>
      <c r="E169">
        <f t="shared" si="17"/>
        <v>2017</v>
      </c>
      <c r="F169" t="str">
        <f>CONCATENATE(calendar[[#This Row],[Month]],"/",calendar[[#This Row],[Year]])</f>
        <v>6/2017</v>
      </c>
      <c r="G169">
        <f>WEEKDAY(calendar[[#This Row],[Date]],1)</f>
        <v>7</v>
      </c>
      <c r="H169" t="str">
        <f>TEXT(calendar[[#This Row],[WeekDay]],"dddd")</f>
        <v>Saturday</v>
      </c>
      <c r="I169">
        <f>IF((INT(calendar[[#This Row],[Count]]/7)-calendar[[#This Row],[Count]]/7)&lt;0,I168,I168+1)</f>
        <v>24</v>
      </c>
      <c r="J169">
        <f t="shared" si="14"/>
        <v>167</v>
      </c>
      <c r="K169">
        <f>IF(calendar[[#This Row],[Month]]&lt;4,1,IF(calendar[[#This Row],[Month]]&lt;7,2,IF(calendar[[#This Row],[Month]]&lt;10,3,4)))</f>
        <v>2</v>
      </c>
      <c r="L169">
        <f>IFERROR(IF(VLOOKUP(calendar[[#This Row],[Date]],BH!A:A,1,)&lt;&gt;"",1,0),0)</f>
        <v>0</v>
      </c>
      <c r="M169">
        <f>IFERROR(IF(VLOOKUP(calendar[[#This Row],[Date]],BH!C:C,1,)&lt;&gt;"",1,0),0)</f>
        <v>0</v>
      </c>
      <c r="N169">
        <f>IFERROR(IF(VLOOKUP(calendar[[#This Row],[Date]],BH!E:E,1,)&lt;&gt;"",1,0),0)</f>
        <v>0</v>
      </c>
      <c r="O169">
        <f>IFERROR(IF(VLOOKUP(calendar[[#This Row],[Date]],BH!G:G,1,)&lt;&gt;"",1,0),0)</f>
        <v>0</v>
      </c>
      <c r="P169">
        <f>IF(OR(calendar[[#This Row],[UK_BH]]=1,calendar[[#This Row],[WeekDay]]=1, calendar[[#This Row],[WeekDay]]=7),P168,P168+1)</f>
        <v>120</v>
      </c>
      <c r="Q169">
        <f>IF(OR(calendar[[#This Row],[FR_BH]]=1,calendar[[#This Row],[WeekDay]]=1, calendar[[#This Row],[WeekDay]]=7),P168,P168+1)</f>
        <v>120</v>
      </c>
      <c r="R169">
        <f>IF(OR(calendar[[#This Row],[SP_BH]]=1,calendar[[#This Row],[WeekDay]]=1, calendar[[#This Row],[WeekDay]]=7),P168,P168+1)</f>
        <v>120</v>
      </c>
      <c r="S169">
        <f>IF(OR(calendar[[#This Row],[PT_BH]]=1,calendar[[#This Row],[WeekDay]]=1, calendar[[#This Row],[WeekDay]]=7),P168,P168+1)</f>
        <v>120</v>
      </c>
    </row>
    <row r="170" spans="1:19" x14ac:dyDescent="0.25">
      <c r="A170" s="2">
        <v>42904</v>
      </c>
      <c r="B170" s="1">
        <f t="shared" si="13"/>
        <v>25</v>
      </c>
      <c r="C170">
        <f t="shared" si="15"/>
        <v>6</v>
      </c>
      <c r="D170" t="str">
        <f t="shared" si="16"/>
        <v>June</v>
      </c>
      <c r="E170">
        <f t="shared" si="17"/>
        <v>2017</v>
      </c>
      <c r="F170" t="str">
        <f>CONCATENATE(calendar[[#This Row],[Month]],"/",calendar[[#This Row],[Year]])</f>
        <v>6/2017</v>
      </c>
      <c r="G170">
        <f>WEEKDAY(calendar[[#This Row],[Date]],1)</f>
        <v>1</v>
      </c>
      <c r="H170" t="str">
        <f>TEXT(calendar[[#This Row],[WeekDay]],"dddd")</f>
        <v>Sunday</v>
      </c>
      <c r="I170">
        <f>IF((INT(calendar[[#This Row],[Count]]/7)-calendar[[#This Row],[Count]]/7)&lt;0,I169,I169+1)</f>
        <v>25</v>
      </c>
      <c r="J170">
        <f t="shared" si="14"/>
        <v>168</v>
      </c>
      <c r="K170">
        <f>IF(calendar[[#This Row],[Month]]&lt;4,1,IF(calendar[[#This Row],[Month]]&lt;7,2,IF(calendar[[#This Row],[Month]]&lt;10,3,4)))</f>
        <v>2</v>
      </c>
      <c r="L170">
        <f>IFERROR(IF(VLOOKUP(calendar[[#This Row],[Date]],BH!A:A,1,)&lt;&gt;"",1,0),0)</f>
        <v>0</v>
      </c>
      <c r="M170">
        <f>IFERROR(IF(VLOOKUP(calendar[[#This Row],[Date]],BH!C:C,1,)&lt;&gt;"",1,0),0)</f>
        <v>0</v>
      </c>
      <c r="N170">
        <f>IFERROR(IF(VLOOKUP(calendar[[#This Row],[Date]],BH!E:E,1,)&lt;&gt;"",1,0),0)</f>
        <v>0</v>
      </c>
      <c r="O170">
        <f>IFERROR(IF(VLOOKUP(calendar[[#This Row],[Date]],BH!G:G,1,)&lt;&gt;"",1,0),0)</f>
        <v>0</v>
      </c>
      <c r="P170">
        <f>IF(OR(calendar[[#This Row],[UK_BH]]=1,calendar[[#This Row],[WeekDay]]=1, calendar[[#This Row],[WeekDay]]=7),P169,P169+1)</f>
        <v>120</v>
      </c>
      <c r="Q170">
        <f>IF(OR(calendar[[#This Row],[FR_BH]]=1,calendar[[#This Row],[WeekDay]]=1, calendar[[#This Row],[WeekDay]]=7),P169,P169+1)</f>
        <v>120</v>
      </c>
      <c r="R170">
        <f>IF(OR(calendar[[#This Row],[SP_BH]]=1,calendar[[#This Row],[WeekDay]]=1, calendar[[#This Row],[WeekDay]]=7),P169,P169+1)</f>
        <v>120</v>
      </c>
      <c r="S170">
        <f>IF(OR(calendar[[#This Row],[PT_BH]]=1,calendar[[#This Row],[WeekDay]]=1, calendar[[#This Row],[WeekDay]]=7),P169,P169+1)</f>
        <v>120</v>
      </c>
    </row>
    <row r="171" spans="1:19" x14ac:dyDescent="0.25">
      <c r="A171" s="2">
        <v>42905</v>
      </c>
      <c r="B171" s="1">
        <f t="shared" si="13"/>
        <v>25</v>
      </c>
      <c r="C171">
        <f t="shared" si="15"/>
        <v>6</v>
      </c>
      <c r="D171" t="str">
        <f t="shared" si="16"/>
        <v>June</v>
      </c>
      <c r="E171">
        <f t="shared" si="17"/>
        <v>2017</v>
      </c>
      <c r="F171" t="str">
        <f>CONCATENATE(calendar[[#This Row],[Month]],"/",calendar[[#This Row],[Year]])</f>
        <v>6/2017</v>
      </c>
      <c r="G171">
        <f>WEEKDAY(calendar[[#This Row],[Date]],1)</f>
        <v>2</v>
      </c>
      <c r="H171" t="str">
        <f>TEXT(calendar[[#This Row],[WeekDay]],"dddd")</f>
        <v>Monday</v>
      </c>
      <c r="I171">
        <f>IF((INT(calendar[[#This Row],[Count]]/7)-calendar[[#This Row],[Count]]/7)&lt;0,I170,I170+1)</f>
        <v>25</v>
      </c>
      <c r="J171">
        <f t="shared" si="14"/>
        <v>169</v>
      </c>
      <c r="K171">
        <f>IF(calendar[[#This Row],[Month]]&lt;4,1,IF(calendar[[#This Row],[Month]]&lt;7,2,IF(calendar[[#This Row],[Month]]&lt;10,3,4)))</f>
        <v>2</v>
      </c>
      <c r="L171">
        <f>IFERROR(IF(VLOOKUP(calendar[[#This Row],[Date]],BH!A:A,1,)&lt;&gt;"",1,0),0)</f>
        <v>0</v>
      </c>
      <c r="M171">
        <f>IFERROR(IF(VLOOKUP(calendar[[#This Row],[Date]],BH!C:C,1,)&lt;&gt;"",1,0),0)</f>
        <v>0</v>
      </c>
      <c r="N171">
        <f>IFERROR(IF(VLOOKUP(calendar[[#This Row],[Date]],BH!E:E,1,)&lt;&gt;"",1,0),0)</f>
        <v>0</v>
      </c>
      <c r="O171">
        <f>IFERROR(IF(VLOOKUP(calendar[[#This Row],[Date]],BH!G:G,1,)&lt;&gt;"",1,0),0)</f>
        <v>0</v>
      </c>
      <c r="P171">
        <f>IF(OR(calendar[[#This Row],[UK_BH]]=1,calendar[[#This Row],[WeekDay]]=1, calendar[[#This Row],[WeekDay]]=7),P170,P170+1)</f>
        <v>121</v>
      </c>
      <c r="Q171">
        <f>IF(OR(calendar[[#This Row],[FR_BH]]=1,calendar[[#This Row],[WeekDay]]=1, calendar[[#This Row],[WeekDay]]=7),P170,P170+1)</f>
        <v>121</v>
      </c>
      <c r="R171">
        <f>IF(OR(calendar[[#This Row],[SP_BH]]=1,calendar[[#This Row],[WeekDay]]=1, calendar[[#This Row],[WeekDay]]=7),P170,P170+1)</f>
        <v>121</v>
      </c>
      <c r="S171">
        <f>IF(OR(calendar[[#This Row],[PT_BH]]=1,calendar[[#This Row],[WeekDay]]=1, calendar[[#This Row],[WeekDay]]=7),P170,P170+1)</f>
        <v>121</v>
      </c>
    </row>
    <row r="172" spans="1:19" x14ac:dyDescent="0.25">
      <c r="A172" s="2">
        <v>42906</v>
      </c>
      <c r="B172" s="1">
        <f t="shared" si="13"/>
        <v>25</v>
      </c>
      <c r="C172">
        <f t="shared" si="15"/>
        <v>6</v>
      </c>
      <c r="D172" t="str">
        <f t="shared" si="16"/>
        <v>June</v>
      </c>
      <c r="E172">
        <f t="shared" si="17"/>
        <v>2017</v>
      </c>
      <c r="F172" t="str">
        <f>CONCATENATE(calendar[[#This Row],[Month]],"/",calendar[[#This Row],[Year]])</f>
        <v>6/2017</v>
      </c>
      <c r="G172">
        <f>WEEKDAY(calendar[[#This Row],[Date]],1)</f>
        <v>3</v>
      </c>
      <c r="H172" t="str">
        <f>TEXT(calendar[[#This Row],[WeekDay]],"dddd")</f>
        <v>Tuesday</v>
      </c>
      <c r="I172">
        <f>IF((INT(calendar[[#This Row],[Count]]/7)-calendar[[#This Row],[Count]]/7)&lt;0,I171,I171+1)</f>
        <v>25</v>
      </c>
      <c r="J172">
        <f t="shared" si="14"/>
        <v>170</v>
      </c>
      <c r="K172">
        <f>IF(calendar[[#This Row],[Month]]&lt;4,1,IF(calendar[[#This Row],[Month]]&lt;7,2,IF(calendar[[#This Row],[Month]]&lt;10,3,4)))</f>
        <v>2</v>
      </c>
      <c r="L172">
        <f>IFERROR(IF(VLOOKUP(calendar[[#This Row],[Date]],BH!A:A,1,)&lt;&gt;"",1,0),0)</f>
        <v>0</v>
      </c>
      <c r="M172">
        <f>IFERROR(IF(VLOOKUP(calendar[[#This Row],[Date]],BH!C:C,1,)&lt;&gt;"",1,0),0)</f>
        <v>0</v>
      </c>
      <c r="N172">
        <f>IFERROR(IF(VLOOKUP(calendar[[#This Row],[Date]],BH!E:E,1,)&lt;&gt;"",1,0),0)</f>
        <v>0</v>
      </c>
      <c r="O172">
        <f>IFERROR(IF(VLOOKUP(calendar[[#This Row],[Date]],BH!G:G,1,)&lt;&gt;"",1,0),0)</f>
        <v>0</v>
      </c>
      <c r="P172">
        <f>IF(OR(calendar[[#This Row],[UK_BH]]=1,calendar[[#This Row],[WeekDay]]=1, calendar[[#This Row],[WeekDay]]=7),P171,P171+1)</f>
        <v>122</v>
      </c>
      <c r="Q172">
        <f>IF(OR(calendar[[#This Row],[FR_BH]]=1,calendar[[#This Row],[WeekDay]]=1, calendar[[#This Row],[WeekDay]]=7),P171,P171+1)</f>
        <v>122</v>
      </c>
      <c r="R172">
        <f>IF(OR(calendar[[#This Row],[SP_BH]]=1,calendar[[#This Row],[WeekDay]]=1, calendar[[#This Row],[WeekDay]]=7),P171,P171+1)</f>
        <v>122</v>
      </c>
      <c r="S172">
        <f>IF(OR(calendar[[#This Row],[PT_BH]]=1,calendar[[#This Row],[WeekDay]]=1, calendar[[#This Row],[WeekDay]]=7),P171,P171+1)</f>
        <v>122</v>
      </c>
    </row>
    <row r="173" spans="1:19" x14ac:dyDescent="0.25">
      <c r="A173" s="2">
        <v>42907</v>
      </c>
      <c r="B173" s="1">
        <f t="shared" si="13"/>
        <v>25</v>
      </c>
      <c r="C173">
        <f t="shared" si="15"/>
        <v>6</v>
      </c>
      <c r="D173" t="str">
        <f t="shared" si="16"/>
        <v>June</v>
      </c>
      <c r="E173">
        <f t="shared" si="17"/>
        <v>2017</v>
      </c>
      <c r="F173" t="str">
        <f>CONCATENATE(calendar[[#This Row],[Month]],"/",calendar[[#This Row],[Year]])</f>
        <v>6/2017</v>
      </c>
      <c r="G173">
        <f>WEEKDAY(calendar[[#This Row],[Date]],1)</f>
        <v>4</v>
      </c>
      <c r="H173" t="str">
        <f>TEXT(calendar[[#This Row],[WeekDay]],"dddd")</f>
        <v>Wednesday</v>
      </c>
      <c r="I173">
        <f>IF((INT(calendar[[#This Row],[Count]]/7)-calendar[[#This Row],[Count]]/7)&lt;0,I172,I172+1)</f>
        <v>25</v>
      </c>
      <c r="J173">
        <f t="shared" si="14"/>
        <v>171</v>
      </c>
      <c r="K173">
        <f>IF(calendar[[#This Row],[Month]]&lt;4,1,IF(calendar[[#This Row],[Month]]&lt;7,2,IF(calendar[[#This Row],[Month]]&lt;10,3,4)))</f>
        <v>2</v>
      </c>
      <c r="L173">
        <f>IFERROR(IF(VLOOKUP(calendar[[#This Row],[Date]],BH!A:A,1,)&lt;&gt;"",1,0),0)</f>
        <v>0</v>
      </c>
      <c r="M173">
        <f>IFERROR(IF(VLOOKUP(calendar[[#This Row],[Date]],BH!C:C,1,)&lt;&gt;"",1,0),0)</f>
        <v>0</v>
      </c>
      <c r="N173">
        <f>IFERROR(IF(VLOOKUP(calendar[[#This Row],[Date]],BH!E:E,1,)&lt;&gt;"",1,0),0)</f>
        <v>0</v>
      </c>
      <c r="O173">
        <f>IFERROR(IF(VLOOKUP(calendar[[#This Row],[Date]],BH!G:G,1,)&lt;&gt;"",1,0),0)</f>
        <v>0</v>
      </c>
      <c r="P173">
        <f>IF(OR(calendar[[#This Row],[UK_BH]]=1,calendar[[#This Row],[WeekDay]]=1, calendar[[#This Row],[WeekDay]]=7),P172,P172+1)</f>
        <v>123</v>
      </c>
      <c r="Q173">
        <f>IF(OR(calendar[[#This Row],[FR_BH]]=1,calendar[[#This Row],[WeekDay]]=1, calendar[[#This Row],[WeekDay]]=7),P172,P172+1)</f>
        <v>123</v>
      </c>
      <c r="R173">
        <f>IF(OR(calendar[[#This Row],[SP_BH]]=1,calendar[[#This Row],[WeekDay]]=1, calendar[[#This Row],[WeekDay]]=7),P172,P172+1)</f>
        <v>123</v>
      </c>
      <c r="S173">
        <f>IF(OR(calendar[[#This Row],[PT_BH]]=1,calendar[[#This Row],[WeekDay]]=1, calendar[[#This Row],[WeekDay]]=7),P172,P172+1)</f>
        <v>123</v>
      </c>
    </row>
    <row r="174" spans="1:19" x14ac:dyDescent="0.25">
      <c r="A174" s="2">
        <v>42908</v>
      </c>
      <c r="B174" s="1">
        <f t="shared" si="13"/>
        <v>25</v>
      </c>
      <c r="C174">
        <f t="shared" si="15"/>
        <v>6</v>
      </c>
      <c r="D174" t="str">
        <f t="shared" si="16"/>
        <v>June</v>
      </c>
      <c r="E174">
        <f t="shared" si="17"/>
        <v>2017</v>
      </c>
      <c r="F174" t="str">
        <f>CONCATENATE(calendar[[#This Row],[Month]],"/",calendar[[#This Row],[Year]])</f>
        <v>6/2017</v>
      </c>
      <c r="G174">
        <f>WEEKDAY(calendar[[#This Row],[Date]],1)</f>
        <v>5</v>
      </c>
      <c r="H174" t="str">
        <f>TEXT(calendar[[#This Row],[WeekDay]],"dddd")</f>
        <v>Thursday</v>
      </c>
      <c r="I174">
        <f>IF((INT(calendar[[#This Row],[Count]]/7)-calendar[[#This Row],[Count]]/7)&lt;0,I173,I173+1)</f>
        <v>25</v>
      </c>
      <c r="J174">
        <f t="shared" si="14"/>
        <v>172</v>
      </c>
      <c r="K174">
        <f>IF(calendar[[#This Row],[Month]]&lt;4,1,IF(calendar[[#This Row],[Month]]&lt;7,2,IF(calendar[[#This Row],[Month]]&lt;10,3,4)))</f>
        <v>2</v>
      </c>
      <c r="L174">
        <f>IFERROR(IF(VLOOKUP(calendar[[#This Row],[Date]],BH!A:A,1,)&lt;&gt;"",1,0),0)</f>
        <v>0</v>
      </c>
      <c r="M174">
        <f>IFERROR(IF(VLOOKUP(calendar[[#This Row],[Date]],BH!C:C,1,)&lt;&gt;"",1,0),0)</f>
        <v>0</v>
      </c>
      <c r="N174">
        <f>IFERROR(IF(VLOOKUP(calendar[[#This Row],[Date]],BH!E:E,1,)&lt;&gt;"",1,0),0)</f>
        <v>0</v>
      </c>
      <c r="O174">
        <f>IFERROR(IF(VLOOKUP(calendar[[#This Row],[Date]],BH!G:G,1,)&lt;&gt;"",1,0),0)</f>
        <v>0</v>
      </c>
      <c r="P174">
        <f>IF(OR(calendar[[#This Row],[UK_BH]]=1,calendar[[#This Row],[WeekDay]]=1, calendar[[#This Row],[WeekDay]]=7),P173,P173+1)</f>
        <v>124</v>
      </c>
      <c r="Q174">
        <f>IF(OR(calendar[[#This Row],[FR_BH]]=1,calendar[[#This Row],[WeekDay]]=1, calendar[[#This Row],[WeekDay]]=7),P173,P173+1)</f>
        <v>124</v>
      </c>
      <c r="R174">
        <f>IF(OR(calendar[[#This Row],[SP_BH]]=1,calendar[[#This Row],[WeekDay]]=1, calendar[[#This Row],[WeekDay]]=7),P173,P173+1)</f>
        <v>124</v>
      </c>
      <c r="S174">
        <f>IF(OR(calendar[[#This Row],[PT_BH]]=1,calendar[[#This Row],[WeekDay]]=1, calendar[[#This Row],[WeekDay]]=7),P173,P173+1)</f>
        <v>124</v>
      </c>
    </row>
    <row r="175" spans="1:19" x14ac:dyDescent="0.25">
      <c r="A175" s="2">
        <v>42909</v>
      </c>
      <c r="B175" s="1">
        <f t="shared" si="13"/>
        <v>25</v>
      </c>
      <c r="C175">
        <f t="shared" si="15"/>
        <v>6</v>
      </c>
      <c r="D175" t="str">
        <f t="shared" si="16"/>
        <v>June</v>
      </c>
      <c r="E175">
        <f t="shared" si="17"/>
        <v>2017</v>
      </c>
      <c r="F175" t="str">
        <f>CONCATENATE(calendar[[#This Row],[Month]],"/",calendar[[#This Row],[Year]])</f>
        <v>6/2017</v>
      </c>
      <c r="G175">
        <f>WEEKDAY(calendar[[#This Row],[Date]],1)</f>
        <v>6</v>
      </c>
      <c r="H175" t="str">
        <f>TEXT(calendar[[#This Row],[WeekDay]],"dddd")</f>
        <v>Friday</v>
      </c>
      <c r="I175">
        <f>IF((INT(calendar[[#This Row],[Count]]/7)-calendar[[#This Row],[Count]]/7)&lt;0,I174,I174+1)</f>
        <v>25</v>
      </c>
      <c r="J175">
        <f t="shared" si="14"/>
        <v>173</v>
      </c>
      <c r="K175">
        <f>IF(calendar[[#This Row],[Month]]&lt;4,1,IF(calendar[[#This Row],[Month]]&lt;7,2,IF(calendar[[#This Row],[Month]]&lt;10,3,4)))</f>
        <v>2</v>
      </c>
      <c r="L175">
        <f>IFERROR(IF(VLOOKUP(calendar[[#This Row],[Date]],BH!A:A,1,)&lt;&gt;"",1,0),0)</f>
        <v>0</v>
      </c>
      <c r="M175">
        <f>IFERROR(IF(VLOOKUP(calendar[[#This Row],[Date]],BH!C:C,1,)&lt;&gt;"",1,0),0)</f>
        <v>0</v>
      </c>
      <c r="N175">
        <f>IFERROR(IF(VLOOKUP(calendar[[#This Row],[Date]],BH!E:E,1,)&lt;&gt;"",1,0),0)</f>
        <v>0</v>
      </c>
      <c r="O175">
        <f>IFERROR(IF(VLOOKUP(calendar[[#This Row],[Date]],BH!G:G,1,)&lt;&gt;"",1,0),0)</f>
        <v>0</v>
      </c>
      <c r="P175">
        <f>IF(OR(calendar[[#This Row],[UK_BH]]=1,calendar[[#This Row],[WeekDay]]=1, calendar[[#This Row],[WeekDay]]=7),P174,P174+1)</f>
        <v>125</v>
      </c>
      <c r="Q175">
        <f>IF(OR(calendar[[#This Row],[FR_BH]]=1,calendar[[#This Row],[WeekDay]]=1, calendar[[#This Row],[WeekDay]]=7),P174,P174+1)</f>
        <v>125</v>
      </c>
      <c r="R175">
        <f>IF(OR(calendar[[#This Row],[SP_BH]]=1,calendar[[#This Row],[WeekDay]]=1, calendar[[#This Row],[WeekDay]]=7),P174,P174+1)</f>
        <v>125</v>
      </c>
      <c r="S175">
        <f>IF(OR(calendar[[#This Row],[PT_BH]]=1,calendar[[#This Row],[WeekDay]]=1, calendar[[#This Row],[WeekDay]]=7),P174,P174+1)</f>
        <v>125</v>
      </c>
    </row>
    <row r="176" spans="1:19" x14ac:dyDescent="0.25">
      <c r="A176" s="2">
        <v>42910</v>
      </c>
      <c r="B176" s="1">
        <f t="shared" si="13"/>
        <v>25</v>
      </c>
      <c r="C176">
        <f t="shared" si="15"/>
        <v>6</v>
      </c>
      <c r="D176" t="str">
        <f t="shared" si="16"/>
        <v>June</v>
      </c>
      <c r="E176">
        <f t="shared" si="17"/>
        <v>2017</v>
      </c>
      <c r="F176" t="str">
        <f>CONCATENATE(calendar[[#This Row],[Month]],"/",calendar[[#This Row],[Year]])</f>
        <v>6/2017</v>
      </c>
      <c r="G176">
        <f>WEEKDAY(calendar[[#This Row],[Date]],1)</f>
        <v>7</v>
      </c>
      <c r="H176" t="str">
        <f>TEXT(calendar[[#This Row],[WeekDay]],"dddd")</f>
        <v>Saturday</v>
      </c>
      <c r="I176">
        <f>IF((INT(calendar[[#This Row],[Count]]/7)-calendar[[#This Row],[Count]]/7)&lt;0,I175,I175+1)</f>
        <v>25</v>
      </c>
      <c r="J176">
        <f t="shared" si="14"/>
        <v>174</v>
      </c>
      <c r="K176">
        <f>IF(calendar[[#This Row],[Month]]&lt;4,1,IF(calendar[[#This Row],[Month]]&lt;7,2,IF(calendar[[#This Row],[Month]]&lt;10,3,4)))</f>
        <v>2</v>
      </c>
      <c r="L176">
        <f>IFERROR(IF(VLOOKUP(calendar[[#This Row],[Date]],BH!A:A,1,)&lt;&gt;"",1,0),0)</f>
        <v>0</v>
      </c>
      <c r="M176">
        <f>IFERROR(IF(VLOOKUP(calendar[[#This Row],[Date]],BH!C:C,1,)&lt;&gt;"",1,0),0)</f>
        <v>0</v>
      </c>
      <c r="N176">
        <f>IFERROR(IF(VLOOKUP(calendar[[#This Row],[Date]],BH!E:E,1,)&lt;&gt;"",1,0),0)</f>
        <v>0</v>
      </c>
      <c r="O176">
        <f>IFERROR(IF(VLOOKUP(calendar[[#This Row],[Date]],BH!G:G,1,)&lt;&gt;"",1,0),0)</f>
        <v>0</v>
      </c>
      <c r="P176">
        <f>IF(OR(calendar[[#This Row],[UK_BH]]=1,calendar[[#This Row],[WeekDay]]=1, calendar[[#This Row],[WeekDay]]=7),P175,P175+1)</f>
        <v>125</v>
      </c>
      <c r="Q176">
        <f>IF(OR(calendar[[#This Row],[FR_BH]]=1,calendar[[#This Row],[WeekDay]]=1, calendar[[#This Row],[WeekDay]]=7),P175,P175+1)</f>
        <v>125</v>
      </c>
      <c r="R176">
        <f>IF(OR(calendar[[#This Row],[SP_BH]]=1,calendar[[#This Row],[WeekDay]]=1, calendar[[#This Row],[WeekDay]]=7),P175,P175+1)</f>
        <v>125</v>
      </c>
      <c r="S176">
        <f>IF(OR(calendar[[#This Row],[PT_BH]]=1,calendar[[#This Row],[WeekDay]]=1, calendar[[#This Row],[WeekDay]]=7),P175,P175+1)</f>
        <v>125</v>
      </c>
    </row>
    <row r="177" spans="1:19" x14ac:dyDescent="0.25">
      <c r="A177" s="2">
        <v>42911</v>
      </c>
      <c r="B177" s="1">
        <f t="shared" si="13"/>
        <v>26</v>
      </c>
      <c r="C177">
        <f t="shared" si="15"/>
        <v>6</v>
      </c>
      <c r="D177" t="str">
        <f t="shared" si="16"/>
        <v>June</v>
      </c>
      <c r="E177">
        <f t="shared" si="17"/>
        <v>2017</v>
      </c>
      <c r="F177" t="str">
        <f>CONCATENATE(calendar[[#This Row],[Month]],"/",calendar[[#This Row],[Year]])</f>
        <v>6/2017</v>
      </c>
      <c r="G177">
        <f>WEEKDAY(calendar[[#This Row],[Date]],1)</f>
        <v>1</v>
      </c>
      <c r="H177" t="str">
        <f>TEXT(calendar[[#This Row],[WeekDay]],"dddd")</f>
        <v>Sunday</v>
      </c>
      <c r="I177">
        <f>IF((INT(calendar[[#This Row],[Count]]/7)-calendar[[#This Row],[Count]]/7)&lt;0,I176,I176+1)</f>
        <v>26</v>
      </c>
      <c r="J177">
        <f t="shared" si="14"/>
        <v>175</v>
      </c>
      <c r="K177">
        <f>IF(calendar[[#This Row],[Month]]&lt;4,1,IF(calendar[[#This Row],[Month]]&lt;7,2,IF(calendar[[#This Row],[Month]]&lt;10,3,4)))</f>
        <v>2</v>
      </c>
      <c r="L177">
        <f>IFERROR(IF(VLOOKUP(calendar[[#This Row],[Date]],BH!A:A,1,)&lt;&gt;"",1,0),0)</f>
        <v>0</v>
      </c>
      <c r="M177">
        <f>IFERROR(IF(VLOOKUP(calendar[[#This Row],[Date]],BH!C:C,1,)&lt;&gt;"",1,0),0)</f>
        <v>0</v>
      </c>
      <c r="N177">
        <f>IFERROR(IF(VLOOKUP(calendar[[#This Row],[Date]],BH!E:E,1,)&lt;&gt;"",1,0),0)</f>
        <v>0</v>
      </c>
      <c r="O177">
        <f>IFERROR(IF(VLOOKUP(calendar[[#This Row],[Date]],BH!G:G,1,)&lt;&gt;"",1,0),0)</f>
        <v>0</v>
      </c>
      <c r="P177">
        <f>IF(OR(calendar[[#This Row],[UK_BH]]=1,calendar[[#This Row],[WeekDay]]=1, calendar[[#This Row],[WeekDay]]=7),P176,P176+1)</f>
        <v>125</v>
      </c>
      <c r="Q177">
        <f>IF(OR(calendar[[#This Row],[FR_BH]]=1,calendar[[#This Row],[WeekDay]]=1, calendar[[#This Row],[WeekDay]]=7),P176,P176+1)</f>
        <v>125</v>
      </c>
      <c r="R177">
        <f>IF(OR(calendar[[#This Row],[SP_BH]]=1,calendar[[#This Row],[WeekDay]]=1, calendar[[#This Row],[WeekDay]]=7),P176,P176+1)</f>
        <v>125</v>
      </c>
      <c r="S177">
        <f>IF(OR(calendar[[#This Row],[PT_BH]]=1,calendar[[#This Row],[WeekDay]]=1, calendar[[#This Row],[WeekDay]]=7),P176,P176+1)</f>
        <v>125</v>
      </c>
    </row>
    <row r="178" spans="1:19" x14ac:dyDescent="0.25">
      <c r="A178" s="2">
        <v>42912</v>
      </c>
      <c r="B178" s="1">
        <f t="shared" si="13"/>
        <v>26</v>
      </c>
      <c r="C178">
        <f t="shared" si="15"/>
        <v>6</v>
      </c>
      <c r="D178" t="str">
        <f t="shared" si="16"/>
        <v>June</v>
      </c>
      <c r="E178">
        <f t="shared" si="17"/>
        <v>2017</v>
      </c>
      <c r="F178" t="str">
        <f>CONCATENATE(calendar[[#This Row],[Month]],"/",calendar[[#This Row],[Year]])</f>
        <v>6/2017</v>
      </c>
      <c r="G178">
        <f>WEEKDAY(calendar[[#This Row],[Date]],1)</f>
        <v>2</v>
      </c>
      <c r="H178" t="str">
        <f>TEXT(calendar[[#This Row],[WeekDay]],"dddd")</f>
        <v>Monday</v>
      </c>
      <c r="I178">
        <f>IF((INT(calendar[[#This Row],[Count]]/7)-calendar[[#This Row],[Count]]/7)&lt;0,I177,I177+1)</f>
        <v>26</v>
      </c>
      <c r="J178">
        <f t="shared" si="14"/>
        <v>176</v>
      </c>
      <c r="K178">
        <f>IF(calendar[[#This Row],[Month]]&lt;4,1,IF(calendar[[#This Row],[Month]]&lt;7,2,IF(calendar[[#This Row],[Month]]&lt;10,3,4)))</f>
        <v>2</v>
      </c>
      <c r="L178">
        <f>IFERROR(IF(VLOOKUP(calendar[[#This Row],[Date]],BH!A:A,1,)&lt;&gt;"",1,0),0)</f>
        <v>0</v>
      </c>
      <c r="M178">
        <f>IFERROR(IF(VLOOKUP(calendar[[#This Row],[Date]],BH!C:C,1,)&lt;&gt;"",1,0),0)</f>
        <v>0</v>
      </c>
      <c r="N178">
        <f>IFERROR(IF(VLOOKUP(calendar[[#This Row],[Date]],BH!E:E,1,)&lt;&gt;"",1,0),0)</f>
        <v>0</v>
      </c>
      <c r="O178">
        <f>IFERROR(IF(VLOOKUP(calendar[[#This Row],[Date]],BH!G:G,1,)&lt;&gt;"",1,0),0)</f>
        <v>0</v>
      </c>
      <c r="P178">
        <f>IF(OR(calendar[[#This Row],[UK_BH]]=1,calendar[[#This Row],[WeekDay]]=1, calendar[[#This Row],[WeekDay]]=7),P177,P177+1)</f>
        <v>126</v>
      </c>
      <c r="Q178">
        <f>IF(OR(calendar[[#This Row],[FR_BH]]=1,calendar[[#This Row],[WeekDay]]=1, calendar[[#This Row],[WeekDay]]=7),P177,P177+1)</f>
        <v>126</v>
      </c>
      <c r="R178">
        <f>IF(OR(calendar[[#This Row],[SP_BH]]=1,calendar[[#This Row],[WeekDay]]=1, calendar[[#This Row],[WeekDay]]=7),P177,P177+1)</f>
        <v>126</v>
      </c>
      <c r="S178">
        <f>IF(OR(calendar[[#This Row],[PT_BH]]=1,calendar[[#This Row],[WeekDay]]=1, calendar[[#This Row],[WeekDay]]=7),P177,P177+1)</f>
        <v>126</v>
      </c>
    </row>
    <row r="179" spans="1:19" x14ac:dyDescent="0.25">
      <c r="A179" s="2">
        <v>42913</v>
      </c>
      <c r="B179" s="1">
        <f t="shared" si="13"/>
        <v>26</v>
      </c>
      <c r="C179">
        <f t="shared" si="15"/>
        <v>6</v>
      </c>
      <c r="D179" t="str">
        <f t="shared" si="16"/>
        <v>June</v>
      </c>
      <c r="E179">
        <f t="shared" si="17"/>
        <v>2017</v>
      </c>
      <c r="F179" t="str">
        <f>CONCATENATE(calendar[[#This Row],[Month]],"/",calendar[[#This Row],[Year]])</f>
        <v>6/2017</v>
      </c>
      <c r="G179">
        <f>WEEKDAY(calendar[[#This Row],[Date]],1)</f>
        <v>3</v>
      </c>
      <c r="H179" t="str">
        <f>TEXT(calendar[[#This Row],[WeekDay]],"dddd")</f>
        <v>Tuesday</v>
      </c>
      <c r="I179">
        <f>IF((INT(calendar[[#This Row],[Count]]/7)-calendar[[#This Row],[Count]]/7)&lt;0,I178,I178+1)</f>
        <v>26</v>
      </c>
      <c r="J179">
        <f t="shared" si="14"/>
        <v>177</v>
      </c>
      <c r="K179">
        <f>IF(calendar[[#This Row],[Month]]&lt;4,1,IF(calendar[[#This Row],[Month]]&lt;7,2,IF(calendar[[#This Row],[Month]]&lt;10,3,4)))</f>
        <v>2</v>
      </c>
      <c r="L179">
        <f>IFERROR(IF(VLOOKUP(calendar[[#This Row],[Date]],BH!A:A,1,)&lt;&gt;"",1,0),0)</f>
        <v>0</v>
      </c>
      <c r="M179">
        <f>IFERROR(IF(VLOOKUP(calendar[[#This Row],[Date]],BH!C:C,1,)&lt;&gt;"",1,0),0)</f>
        <v>0</v>
      </c>
      <c r="N179">
        <f>IFERROR(IF(VLOOKUP(calendar[[#This Row],[Date]],BH!E:E,1,)&lt;&gt;"",1,0),0)</f>
        <v>0</v>
      </c>
      <c r="O179">
        <f>IFERROR(IF(VLOOKUP(calendar[[#This Row],[Date]],BH!G:G,1,)&lt;&gt;"",1,0),0)</f>
        <v>0</v>
      </c>
      <c r="P179">
        <f>IF(OR(calendar[[#This Row],[UK_BH]]=1,calendar[[#This Row],[WeekDay]]=1, calendar[[#This Row],[WeekDay]]=7),P178,P178+1)</f>
        <v>127</v>
      </c>
      <c r="Q179">
        <f>IF(OR(calendar[[#This Row],[FR_BH]]=1,calendar[[#This Row],[WeekDay]]=1, calendar[[#This Row],[WeekDay]]=7),P178,P178+1)</f>
        <v>127</v>
      </c>
      <c r="R179">
        <f>IF(OR(calendar[[#This Row],[SP_BH]]=1,calendar[[#This Row],[WeekDay]]=1, calendar[[#This Row],[WeekDay]]=7),P178,P178+1)</f>
        <v>127</v>
      </c>
      <c r="S179">
        <f>IF(OR(calendar[[#This Row],[PT_BH]]=1,calendar[[#This Row],[WeekDay]]=1, calendar[[#This Row],[WeekDay]]=7),P178,P178+1)</f>
        <v>127</v>
      </c>
    </row>
    <row r="180" spans="1:19" x14ac:dyDescent="0.25">
      <c r="A180" s="2">
        <v>42914</v>
      </c>
      <c r="B180" s="1">
        <f t="shared" si="13"/>
        <v>26</v>
      </c>
      <c r="C180">
        <f t="shared" si="15"/>
        <v>6</v>
      </c>
      <c r="D180" t="str">
        <f t="shared" si="16"/>
        <v>June</v>
      </c>
      <c r="E180">
        <f t="shared" si="17"/>
        <v>2017</v>
      </c>
      <c r="F180" t="str">
        <f>CONCATENATE(calendar[[#This Row],[Month]],"/",calendar[[#This Row],[Year]])</f>
        <v>6/2017</v>
      </c>
      <c r="G180">
        <f>WEEKDAY(calendar[[#This Row],[Date]],1)</f>
        <v>4</v>
      </c>
      <c r="H180" t="str">
        <f>TEXT(calendar[[#This Row],[WeekDay]],"dddd")</f>
        <v>Wednesday</v>
      </c>
      <c r="I180">
        <f>IF((INT(calendar[[#This Row],[Count]]/7)-calendar[[#This Row],[Count]]/7)&lt;0,I179,I179+1)</f>
        <v>26</v>
      </c>
      <c r="J180">
        <f t="shared" si="14"/>
        <v>178</v>
      </c>
      <c r="K180">
        <f>IF(calendar[[#This Row],[Month]]&lt;4,1,IF(calendar[[#This Row],[Month]]&lt;7,2,IF(calendar[[#This Row],[Month]]&lt;10,3,4)))</f>
        <v>2</v>
      </c>
      <c r="L180">
        <f>IFERROR(IF(VLOOKUP(calendar[[#This Row],[Date]],BH!A:A,1,)&lt;&gt;"",1,0),0)</f>
        <v>0</v>
      </c>
      <c r="M180">
        <f>IFERROR(IF(VLOOKUP(calendar[[#This Row],[Date]],BH!C:C,1,)&lt;&gt;"",1,0),0)</f>
        <v>0</v>
      </c>
      <c r="N180">
        <f>IFERROR(IF(VLOOKUP(calendar[[#This Row],[Date]],BH!E:E,1,)&lt;&gt;"",1,0),0)</f>
        <v>0</v>
      </c>
      <c r="O180">
        <f>IFERROR(IF(VLOOKUP(calendar[[#This Row],[Date]],BH!G:G,1,)&lt;&gt;"",1,0),0)</f>
        <v>0</v>
      </c>
      <c r="P180">
        <f>IF(OR(calendar[[#This Row],[UK_BH]]=1,calendar[[#This Row],[WeekDay]]=1, calendar[[#This Row],[WeekDay]]=7),P179,P179+1)</f>
        <v>128</v>
      </c>
      <c r="Q180">
        <f>IF(OR(calendar[[#This Row],[FR_BH]]=1,calendar[[#This Row],[WeekDay]]=1, calendar[[#This Row],[WeekDay]]=7),P179,P179+1)</f>
        <v>128</v>
      </c>
      <c r="R180">
        <f>IF(OR(calendar[[#This Row],[SP_BH]]=1,calendar[[#This Row],[WeekDay]]=1, calendar[[#This Row],[WeekDay]]=7),P179,P179+1)</f>
        <v>128</v>
      </c>
      <c r="S180">
        <f>IF(OR(calendar[[#This Row],[PT_BH]]=1,calendar[[#This Row],[WeekDay]]=1, calendar[[#This Row],[WeekDay]]=7),P179,P179+1)</f>
        <v>128</v>
      </c>
    </row>
    <row r="181" spans="1:19" x14ac:dyDescent="0.25">
      <c r="A181" s="2">
        <v>42915</v>
      </c>
      <c r="B181" s="1">
        <f t="shared" si="13"/>
        <v>26</v>
      </c>
      <c r="C181">
        <f t="shared" si="15"/>
        <v>6</v>
      </c>
      <c r="D181" t="str">
        <f t="shared" si="16"/>
        <v>June</v>
      </c>
      <c r="E181">
        <f t="shared" si="17"/>
        <v>2017</v>
      </c>
      <c r="F181" t="str">
        <f>CONCATENATE(calendar[[#This Row],[Month]],"/",calendar[[#This Row],[Year]])</f>
        <v>6/2017</v>
      </c>
      <c r="G181">
        <f>WEEKDAY(calendar[[#This Row],[Date]],1)</f>
        <v>5</v>
      </c>
      <c r="H181" t="str">
        <f>TEXT(calendar[[#This Row],[WeekDay]],"dddd")</f>
        <v>Thursday</v>
      </c>
      <c r="I181">
        <f>IF((INT(calendar[[#This Row],[Count]]/7)-calendar[[#This Row],[Count]]/7)&lt;0,I180,I180+1)</f>
        <v>26</v>
      </c>
      <c r="J181">
        <f t="shared" si="14"/>
        <v>179</v>
      </c>
      <c r="K181">
        <f>IF(calendar[[#This Row],[Month]]&lt;4,1,IF(calendar[[#This Row],[Month]]&lt;7,2,IF(calendar[[#This Row],[Month]]&lt;10,3,4)))</f>
        <v>2</v>
      </c>
      <c r="L181">
        <f>IFERROR(IF(VLOOKUP(calendar[[#This Row],[Date]],BH!A:A,1,)&lt;&gt;"",1,0),0)</f>
        <v>0</v>
      </c>
      <c r="M181">
        <f>IFERROR(IF(VLOOKUP(calendar[[#This Row],[Date]],BH!C:C,1,)&lt;&gt;"",1,0),0)</f>
        <v>0</v>
      </c>
      <c r="N181">
        <f>IFERROR(IF(VLOOKUP(calendar[[#This Row],[Date]],BH!E:E,1,)&lt;&gt;"",1,0),0)</f>
        <v>0</v>
      </c>
      <c r="O181">
        <f>IFERROR(IF(VLOOKUP(calendar[[#This Row],[Date]],BH!G:G,1,)&lt;&gt;"",1,0),0)</f>
        <v>0</v>
      </c>
      <c r="P181">
        <f>IF(OR(calendar[[#This Row],[UK_BH]]=1,calendar[[#This Row],[WeekDay]]=1, calendar[[#This Row],[WeekDay]]=7),P180,P180+1)</f>
        <v>129</v>
      </c>
      <c r="Q181">
        <f>IF(OR(calendar[[#This Row],[FR_BH]]=1,calendar[[#This Row],[WeekDay]]=1, calendar[[#This Row],[WeekDay]]=7),P180,P180+1)</f>
        <v>129</v>
      </c>
      <c r="R181">
        <f>IF(OR(calendar[[#This Row],[SP_BH]]=1,calendar[[#This Row],[WeekDay]]=1, calendar[[#This Row],[WeekDay]]=7),P180,P180+1)</f>
        <v>129</v>
      </c>
      <c r="S181">
        <f>IF(OR(calendar[[#This Row],[PT_BH]]=1,calendar[[#This Row],[WeekDay]]=1, calendar[[#This Row],[WeekDay]]=7),P180,P180+1)</f>
        <v>129</v>
      </c>
    </row>
    <row r="182" spans="1:19" x14ac:dyDescent="0.25">
      <c r="A182" s="2">
        <v>42916</v>
      </c>
      <c r="B182" s="1">
        <f t="shared" si="13"/>
        <v>26</v>
      </c>
      <c r="C182">
        <f t="shared" si="15"/>
        <v>6</v>
      </c>
      <c r="D182" t="str">
        <f t="shared" si="16"/>
        <v>June</v>
      </c>
      <c r="E182">
        <f t="shared" si="17"/>
        <v>2017</v>
      </c>
      <c r="F182" t="str">
        <f>CONCATENATE(calendar[[#This Row],[Month]],"/",calendar[[#This Row],[Year]])</f>
        <v>6/2017</v>
      </c>
      <c r="G182">
        <f>WEEKDAY(calendar[[#This Row],[Date]],1)</f>
        <v>6</v>
      </c>
      <c r="H182" t="str">
        <f>TEXT(calendar[[#This Row],[WeekDay]],"dddd")</f>
        <v>Friday</v>
      </c>
      <c r="I182">
        <f>IF((INT(calendar[[#This Row],[Count]]/7)-calendar[[#This Row],[Count]]/7)&lt;0,I181,I181+1)</f>
        <v>26</v>
      </c>
      <c r="J182">
        <f t="shared" si="14"/>
        <v>180</v>
      </c>
      <c r="K182">
        <f>IF(calendar[[#This Row],[Month]]&lt;4,1,IF(calendar[[#This Row],[Month]]&lt;7,2,IF(calendar[[#This Row],[Month]]&lt;10,3,4)))</f>
        <v>2</v>
      </c>
      <c r="L182">
        <f>IFERROR(IF(VLOOKUP(calendar[[#This Row],[Date]],BH!A:A,1,)&lt;&gt;"",1,0),0)</f>
        <v>0</v>
      </c>
      <c r="M182">
        <f>IFERROR(IF(VLOOKUP(calendar[[#This Row],[Date]],BH!C:C,1,)&lt;&gt;"",1,0),0)</f>
        <v>0</v>
      </c>
      <c r="N182">
        <f>IFERROR(IF(VLOOKUP(calendar[[#This Row],[Date]],BH!E:E,1,)&lt;&gt;"",1,0),0)</f>
        <v>0</v>
      </c>
      <c r="O182">
        <f>IFERROR(IF(VLOOKUP(calendar[[#This Row],[Date]],BH!G:G,1,)&lt;&gt;"",1,0),0)</f>
        <v>0</v>
      </c>
      <c r="P182">
        <f>IF(OR(calendar[[#This Row],[UK_BH]]=1,calendar[[#This Row],[WeekDay]]=1, calendar[[#This Row],[WeekDay]]=7),P181,P181+1)</f>
        <v>130</v>
      </c>
      <c r="Q182">
        <f>IF(OR(calendar[[#This Row],[FR_BH]]=1,calendar[[#This Row],[WeekDay]]=1, calendar[[#This Row],[WeekDay]]=7),P181,P181+1)</f>
        <v>130</v>
      </c>
      <c r="R182">
        <f>IF(OR(calendar[[#This Row],[SP_BH]]=1,calendar[[#This Row],[WeekDay]]=1, calendar[[#This Row],[WeekDay]]=7),P181,P181+1)</f>
        <v>130</v>
      </c>
      <c r="S182">
        <f>IF(OR(calendar[[#This Row],[PT_BH]]=1,calendar[[#This Row],[WeekDay]]=1, calendar[[#This Row],[WeekDay]]=7),P181,P181+1)</f>
        <v>130</v>
      </c>
    </row>
    <row r="183" spans="1:19" x14ac:dyDescent="0.25">
      <c r="A183" s="2">
        <v>42917</v>
      </c>
      <c r="B183" s="1">
        <f t="shared" si="13"/>
        <v>26</v>
      </c>
      <c r="C183">
        <f t="shared" si="15"/>
        <v>7</v>
      </c>
      <c r="D183" t="str">
        <f t="shared" si="16"/>
        <v>July</v>
      </c>
      <c r="E183">
        <f t="shared" si="17"/>
        <v>2017</v>
      </c>
      <c r="F183" t="str">
        <f>CONCATENATE(calendar[[#This Row],[Month]],"/",calendar[[#This Row],[Year]])</f>
        <v>7/2017</v>
      </c>
      <c r="G183">
        <f>WEEKDAY(calendar[[#This Row],[Date]],1)</f>
        <v>7</v>
      </c>
      <c r="H183" t="str">
        <f>TEXT(calendar[[#This Row],[WeekDay]],"dddd")</f>
        <v>Saturday</v>
      </c>
      <c r="I183">
        <f>IF((INT(calendar[[#This Row],[Count]]/7)-calendar[[#This Row],[Count]]/7)&lt;0,I182,I182+1)</f>
        <v>26</v>
      </c>
      <c r="J183">
        <f t="shared" si="14"/>
        <v>181</v>
      </c>
      <c r="K183">
        <f>IF(calendar[[#This Row],[Month]]&lt;4,1,IF(calendar[[#This Row],[Month]]&lt;7,2,IF(calendar[[#This Row],[Month]]&lt;10,3,4)))</f>
        <v>3</v>
      </c>
      <c r="L183">
        <f>IFERROR(IF(VLOOKUP(calendar[[#This Row],[Date]],BH!A:A,1,)&lt;&gt;"",1,0),0)</f>
        <v>0</v>
      </c>
      <c r="M183">
        <f>IFERROR(IF(VLOOKUP(calendar[[#This Row],[Date]],BH!C:C,1,)&lt;&gt;"",1,0),0)</f>
        <v>0</v>
      </c>
      <c r="N183">
        <f>IFERROR(IF(VLOOKUP(calendar[[#This Row],[Date]],BH!E:E,1,)&lt;&gt;"",1,0),0)</f>
        <v>0</v>
      </c>
      <c r="O183">
        <f>IFERROR(IF(VLOOKUP(calendar[[#This Row],[Date]],BH!G:G,1,)&lt;&gt;"",1,0),0)</f>
        <v>0</v>
      </c>
      <c r="P183">
        <f>IF(OR(calendar[[#This Row],[UK_BH]]=1,calendar[[#This Row],[WeekDay]]=1, calendar[[#This Row],[WeekDay]]=7),P182,P182+1)</f>
        <v>130</v>
      </c>
      <c r="Q183">
        <f>IF(OR(calendar[[#This Row],[FR_BH]]=1,calendar[[#This Row],[WeekDay]]=1, calendar[[#This Row],[WeekDay]]=7),P182,P182+1)</f>
        <v>130</v>
      </c>
      <c r="R183">
        <f>IF(OR(calendar[[#This Row],[SP_BH]]=1,calendar[[#This Row],[WeekDay]]=1, calendar[[#This Row],[WeekDay]]=7),P182,P182+1)</f>
        <v>130</v>
      </c>
      <c r="S183">
        <f>IF(OR(calendar[[#This Row],[PT_BH]]=1,calendar[[#This Row],[WeekDay]]=1, calendar[[#This Row],[WeekDay]]=7),P182,P182+1)</f>
        <v>130</v>
      </c>
    </row>
    <row r="184" spans="1:19" x14ac:dyDescent="0.25">
      <c r="A184" s="2">
        <v>42918</v>
      </c>
      <c r="B184" s="1">
        <f t="shared" si="13"/>
        <v>27</v>
      </c>
      <c r="C184">
        <f t="shared" si="15"/>
        <v>7</v>
      </c>
      <c r="D184" t="str">
        <f t="shared" si="16"/>
        <v>July</v>
      </c>
      <c r="E184">
        <f t="shared" si="17"/>
        <v>2017</v>
      </c>
      <c r="F184" t="str">
        <f>CONCATENATE(calendar[[#This Row],[Month]],"/",calendar[[#This Row],[Year]])</f>
        <v>7/2017</v>
      </c>
      <c r="G184">
        <f>WEEKDAY(calendar[[#This Row],[Date]],1)</f>
        <v>1</v>
      </c>
      <c r="H184" t="str">
        <f>TEXT(calendar[[#This Row],[WeekDay]],"dddd")</f>
        <v>Sunday</v>
      </c>
      <c r="I184">
        <f>IF((INT(calendar[[#This Row],[Count]]/7)-calendar[[#This Row],[Count]]/7)&lt;0,I183,I183+1)</f>
        <v>27</v>
      </c>
      <c r="J184">
        <f t="shared" si="14"/>
        <v>182</v>
      </c>
      <c r="K184">
        <f>IF(calendar[[#This Row],[Month]]&lt;4,1,IF(calendar[[#This Row],[Month]]&lt;7,2,IF(calendar[[#This Row],[Month]]&lt;10,3,4)))</f>
        <v>3</v>
      </c>
      <c r="L184">
        <f>IFERROR(IF(VLOOKUP(calendar[[#This Row],[Date]],BH!A:A,1,)&lt;&gt;"",1,0),0)</f>
        <v>0</v>
      </c>
      <c r="M184">
        <f>IFERROR(IF(VLOOKUP(calendar[[#This Row],[Date]],BH!C:C,1,)&lt;&gt;"",1,0),0)</f>
        <v>0</v>
      </c>
      <c r="N184">
        <f>IFERROR(IF(VLOOKUP(calendar[[#This Row],[Date]],BH!E:E,1,)&lt;&gt;"",1,0),0)</f>
        <v>0</v>
      </c>
      <c r="O184">
        <f>IFERROR(IF(VLOOKUP(calendar[[#This Row],[Date]],BH!G:G,1,)&lt;&gt;"",1,0),0)</f>
        <v>0</v>
      </c>
      <c r="P184">
        <f>IF(OR(calendar[[#This Row],[UK_BH]]=1,calendar[[#This Row],[WeekDay]]=1, calendar[[#This Row],[WeekDay]]=7),P183,P183+1)</f>
        <v>130</v>
      </c>
      <c r="Q184">
        <f>IF(OR(calendar[[#This Row],[FR_BH]]=1,calendar[[#This Row],[WeekDay]]=1, calendar[[#This Row],[WeekDay]]=7),P183,P183+1)</f>
        <v>130</v>
      </c>
      <c r="R184">
        <f>IF(OR(calendar[[#This Row],[SP_BH]]=1,calendar[[#This Row],[WeekDay]]=1, calendar[[#This Row],[WeekDay]]=7),P183,P183+1)</f>
        <v>130</v>
      </c>
      <c r="S184">
        <f>IF(OR(calendar[[#This Row],[PT_BH]]=1,calendar[[#This Row],[WeekDay]]=1, calendar[[#This Row],[WeekDay]]=7),P183,P183+1)</f>
        <v>130</v>
      </c>
    </row>
    <row r="185" spans="1:19" x14ac:dyDescent="0.25">
      <c r="A185" s="2">
        <v>42919</v>
      </c>
      <c r="B185" s="1">
        <f t="shared" si="13"/>
        <v>27</v>
      </c>
      <c r="C185">
        <f t="shared" si="15"/>
        <v>7</v>
      </c>
      <c r="D185" t="str">
        <f t="shared" si="16"/>
        <v>July</v>
      </c>
      <c r="E185">
        <f t="shared" si="17"/>
        <v>2017</v>
      </c>
      <c r="F185" t="str">
        <f>CONCATENATE(calendar[[#This Row],[Month]],"/",calendar[[#This Row],[Year]])</f>
        <v>7/2017</v>
      </c>
      <c r="G185">
        <f>WEEKDAY(calendar[[#This Row],[Date]],1)</f>
        <v>2</v>
      </c>
      <c r="H185" t="str">
        <f>TEXT(calendar[[#This Row],[WeekDay]],"dddd")</f>
        <v>Monday</v>
      </c>
      <c r="I185">
        <f>IF((INT(calendar[[#This Row],[Count]]/7)-calendar[[#This Row],[Count]]/7)&lt;0,I184,I184+1)</f>
        <v>27</v>
      </c>
      <c r="J185">
        <f t="shared" si="14"/>
        <v>183</v>
      </c>
      <c r="K185">
        <f>IF(calendar[[#This Row],[Month]]&lt;4,1,IF(calendar[[#This Row],[Month]]&lt;7,2,IF(calendar[[#This Row],[Month]]&lt;10,3,4)))</f>
        <v>3</v>
      </c>
      <c r="L185">
        <f>IFERROR(IF(VLOOKUP(calendar[[#This Row],[Date]],BH!A:A,1,)&lt;&gt;"",1,0),0)</f>
        <v>0</v>
      </c>
      <c r="M185">
        <f>IFERROR(IF(VLOOKUP(calendar[[#This Row],[Date]],BH!C:C,1,)&lt;&gt;"",1,0),0)</f>
        <v>0</v>
      </c>
      <c r="N185">
        <f>IFERROR(IF(VLOOKUP(calendar[[#This Row],[Date]],BH!E:E,1,)&lt;&gt;"",1,0),0)</f>
        <v>0</v>
      </c>
      <c r="O185">
        <f>IFERROR(IF(VLOOKUP(calendar[[#This Row],[Date]],BH!G:G,1,)&lt;&gt;"",1,0),0)</f>
        <v>0</v>
      </c>
      <c r="P185">
        <f>IF(OR(calendar[[#This Row],[UK_BH]]=1,calendar[[#This Row],[WeekDay]]=1, calendar[[#This Row],[WeekDay]]=7),P184,P184+1)</f>
        <v>131</v>
      </c>
      <c r="Q185">
        <f>IF(OR(calendar[[#This Row],[FR_BH]]=1,calendar[[#This Row],[WeekDay]]=1, calendar[[#This Row],[WeekDay]]=7),P184,P184+1)</f>
        <v>131</v>
      </c>
      <c r="R185">
        <f>IF(OR(calendar[[#This Row],[SP_BH]]=1,calendar[[#This Row],[WeekDay]]=1, calendar[[#This Row],[WeekDay]]=7),P184,P184+1)</f>
        <v>131</v>
      </c>
      <c r="S185">
        <f>IF(OR(calendar[[#This Row],[PT_BH]]=1,calendar[[#This Row],[WeekDay]]=1, calendar[[#This Row],[WeekDay]]=7),P184,P184+1)</f>
        <v>131</v>
      </c>
    </row>
    <row r="186" spans="1:19" x14ac:dyDescent="0.25">
      <c r="A186" s="2">
        <v>42920</v>
      </c>
      <c r="B186" s="1">
        <f t="shared" si="13"/>
        <v>27</v>
      </c>
      <c r="C186">
        <f t="shared" si="15"/>
        <v>7</v>
      </c>
      <c r="D186" t="str">
        <f t="shared" si="16"/>
        <v>July</v>
      </c>
      <c r="E186">
        <f t="shared" si="17"/>
        <v>2017</v>
      </c>
      <c r="F186" t="str">
        <f>CONCATENATE(calendar[[#This Row],[Month]],"/",calendar[[#This Row],[Year]])</f>
        <v>7/2017</v>
      </c>
      <c r="G186">
        <f>WEEKDAY(calendar[[#This Row],[Date]],1)</f>
        <v>3</v>
      </c>
      <c r="H186" t="str">
        <f>TEXT(calendar[[#This Row],[WeekDay]],"dddd")</f>
        <v>Tuesday</v>
      </c>
      <c r="I186">
        <f>IF((INT(calendar[[#This Row],[Count]]/7)-calendar[[#This Row],[Count]]/7)&lt;0,I185,I185+1)</f>
        <v>27</v>
      </c>
      <c r="J186">
        <f t="shared" si="14"/>
        <v>184</v>
      </c>
      <c r="K186">
        <f>IF(calendar[[#This Row],[Month]]&lt;4,1,IF(calendar[[#This Row],[Month]]&lt;7,2,IF(calendar[[#This Row],[Month]]&lt;10,3,4)))</f>
        <v>3</v>
      </c>
      <c r="L186">
        <f>IFERROR(IF(VLOOKUP(calendar[[#This Row],[Date]],BH!A:A,1,)&lt;&gt;"",1,0),0)</f>
        <v>0</v>
      </c>
      <c r="M186">
        <f>IFERROR(IF(VLOOKUP(calendar[[#This Row],[Date]],BH!C:C,1,)&lt;&gt;"",1,0),0)</f>
        <v>0</v>
      </c>
      <c r="N186">
        <f>IFERROR(IF(VLOOKUP(calendar[[#This Row],[Date]],BH!E:E,1,)&lt;&gt;"",1,0),0)</f>
        <v>0</v>
      </c>
      <c r="O186">
        <f>IFERROR(IF(VLOOKUP(calendar[[#This Row],[Date]],BH!G:G,1,)&lt;&gt;"",1,0),0)</f>
        <v>0</v>
      </c>
      <c r="P186">
        <f>IF(OR(calendar[[#This Row],[UK_BH]]=1,calendar[[#This Row],[WeekDay]]=1, calendar[[#This Row],[WeekDay]]=7),P185,P185+1)</f>
        <v>132</v>
      </c>
      <c r="Q186">
        <f>IF(OR(calendar[[#This Row],[FR_BH]]=1,calendar[[#This Row],[WeekDay]]=1, calendar[[#This Row],[WeekDay]]=7),P185,P185+1)</f>
        <v>132</v>
      </c>
      <c r="R186">
        <f>IF(OR(calendar[[#This Row],[SP_BH]]=1,calendar[[#This Row],[WeekDay]]=1, calendar[[#This Row],[WeekDay]]=7),P185,P185+1)</f>
        <v>132</v>
      </c>
      <c r="S186">
        <f>IF(OR(calendar[[#This Row],[PT_BH]]=1,calendar[[#This Row],[WeekDay]]=1, calendar[[#This Row],[WeekDay]]=7),P185,P185+1)</f>
        <v>132</v>
      </c>
    </row>
    <row r="187" spans="1:19" x14ac:dyDescent="0.25">
      <c r="A187" s="2">
        <v>42921</v>
      </c>
      <c r="B187" s="1">
        <f t="shared" si="13"/>
        <v>27</v>
      </c>
      <c r="C187">
        <f t="shared" si="15"/>
        <v>7</v>
      </c>
      <c r="D187" t="str">
        <f t="shared" si="16"/>
        <v>July</v>
      </c>
      <c r="E187">
        <f t="shared" si="17"/>
        <v>2017</v>
      </c>
      <c r="F187" t="str">
        <f>CONCATENATE(calendar[[#This Row],[Month]],"/",calendar[[#This Row],[Year]])</f>
        <v>7/2017</v>
      </c>
      <c r="G187">
        <f>WEEKDAY(calendar[[#This Row],[Date]],1)</f>
        <v>4</v>
      </c>
      <c r="H187" t="str">
        <f>TEXT(calendar[[#This Row],[WeekDay]],"dddd")</f>
        <v>Wednesday</v>
      </c>
      <c r="I187">
        <f>IF((INT(calendar[[#This Row],[Count]]/7)-calendar[[#This Row],[Count]]/7)&lt;0,I186,I186+1)</f>
        <v>27</v>
      </c>
      <c r="J187">
        <f t="shared" si="14"/>
        <v>185</v>
      </c>
      <c r="K187">
        <f>IF(calendar[[#This Row],[Month]]&lt;4,1,IF(calendar[[#This Row],[Month]]&lt;7,2,IF(calendar[[#This Row],[Month]]&lt;10,3,4)))</f>
        <v>3</v>
      </c>
      <c r="L187">
        <f>IFERROR(IF(VLOOKUP(calendar[[#This Row],[Date]],BH!A:A,1,)&lt;&gt;"",1,0),0)</f>
        <v>0</v>
      </c>
      <c r="M187">
        <f>IFERROR(IF(VLOOKUP(calendar[[#This Row],[Date]],BH!C:C,1,)&lt;&gt;"",1,0),0)</f>
        <v>0</v>
      </c>
      <c r="N187">
        <f>IFERROR(IF(VLOOKUP(calendar[[#This Row],[Date]],BH!E:E,1,)&lt;&gt;"",1,0),0)</f>
        <v>0</v>
      </c>
      <c r="O187">
        <f>IFERROR(IF(VLOOKUP(calendar[[#This Row],[Date]],BH!G:G,1,)&lt;&gt;"",1,0),0)</f>
        <v>0</v>
      </c>
      <c r="P187">
        <f>IF(OR(calendar[[#This Row],[UK_BH]]=1,calendar[[#This Row],[WeekDay]]=1, calendar[[#This Row],[WeekDay]]=7),P186,P186+1)</f>
        <v>133</v>
      </c>
      <c r="Q187">
        <f>IF(OR(calendar[[#This Row],[FR_BH]]=1,calendar[[#This Row],[WeekDay]]=1, calendar[[#This Row],[WeekDay]]=7),P186,P186+1)</f>
        <v>133</v>
      </c>
      <c r="R187">
        <f>IF(OR(calendar[[#This Row],[SP_BH]]=1,calendar[[#This Row],[WeekDay]]=1, calendar[[#This Row],[WeekDay]]=7),P186,P186+1)</f>
        <v>133</v>
      </c>
      <c r="S187">
        <f>IF(OR(calendar[[#This Row],[PT_BH]]=1,calendar[[#This Row],[WeekDay]]=1, calendar[[#This Row],[WeekDay]]=7),P186,P186+1)</f>
        <v>133</v>
      </c>
    </row>
    <row r="188" spans="1:19" x14ac:dyDescent="0.25">
      <c r="A188" s="2">
        <v>42922</v>
      </c>
      <c r="B188" s="1">
        <f t="shared" si="13"/>
        <v>27</v>
      </c>
      <c r="C188">
        <f t="shared" si="15"/>
        <v>7</v>
      </c>
      <c r="D188" t="str">
        <f t="shared" si="16"/>
        <v>July</v>
      </c>
      <c r="E188">
        <f t="shared" si="17"/>
        <v>2017</v>
      </c>
      <c r="F188" t="str">
        <f>CONCATENATE(calendar[[#This Row],[Month]],"/",calendar[[#This Row],[Year]])</f>
        <v>7/2017</v>
      </c>
      <c r="G188">
        <f>WEEKDAY(calendar[[#This Row],[Date]],1)</f>
        <v>5</v>
      </c>
      <c r="H188" t="str">
        <f>TEXT(calendar[[#This Row],[WeekDay]],"dddd")</f>
        <v>Thursday</v>
      </c>
      <c r="I188">
        <f>IF((INT(calendar[[#This Row],[Count]]/7)-calendar[[#This Row],[Count]]/7)&lt;0,I187,I187+1)</f>
        <v>27</v>
      </c>
      <c r="J188">
        <f t="shared" si="14"/>
        <v>186</v>
      </c>
      <c r="K188">
        <f>IF(calendar[[#This Row],[Month]]&lt;4,1,IF(calendar[[#This Row],[Month]]&lt;7,2,IF(calendar[[#This Row],[Month]]&lt;10,3,4)))</f>
        <v>3</v>
      </c>
      <c r="L188">
        <f>IFERROR(IF(VLOOKUP(calendar[[#This Row],[Date]],BH!A:A,1,)&lt;&gt;"",1,0),0)</f>
        <v>0</v>
      </c>
      <c r="M188">
        <f>IFERROR(IF(VLOOKUP(calendar[[#This Row],[Date]],BH!C:C,1,)&lt;&gt;"",1,0),0)</f>
        <v>0</v>
      </c>
      <c r="N188">
        <f>IFERROR(IF(VLOOKUP(calendar[[#This Row],[Date]],BH!E:E,1,)&lt;&gt;"",1,0),0)</f>
        <v>0</v>
      </c>
      <c r="O188">
        <f>IFERROR(IF(VLOOKUP(calendar[[#This Row],[Date]],BH!G:G,1,)&lt;&gt;"",1,0),0)</f>
        <v>0</v>
      </c>
      <c r="P188">
        <f>IF(OR(calendar[[#This Row],[UK_BH]]=1,calendar[[#This Row],[WeekDay]]=1, calendar[[#This Row],[WeekDay]]=7),P187,P187+1)</f>
        <v>134</v>
      </c>
      <c r="Q188">
        <f>IF(OR(calendar[[#This Row],[FR_BH]]=1,calendar[[#This Row],[WeekDay]]=1, calendar[[#This Row],[WeekDay]]=7),P187,P187+1)</f>
        <v>134</v>
      </c>
      <c r="R188">
        <f>IF(OR(calendar[[#This Row],[SP_BH]]=1,calendar[[#This Row],[WeekDay]]=1, calendar[[#This Row],[WeekDay]]=7),P187,P187+1)</f>
        <v>134</v>
      </c>
      <c r="S188">
        <f>IF(OR(calendar[[#This Row],[PT_BH]]=1,calendar[[#This Row],[WeekDay]]=1, calendar[[#This Row],[WeekDay]]=7),P187,P187+1)</f>
        <v>134</v>
      </c>
    </row>
    <row r="189" spans="1:19" x14ac:dyDescent="0.25">
      <c r="A189" s="2">
        <v>42923</v>
      </c>
      <c r="B189" s="1">
        <f t="shared" si="13"/>
        <v>27</v>
      </c>
      <c r="C189">
        <f t="shared" si="15"/>
        <v>7</v>
      </c>
      <c r="D189" t="str">
        <f t="shared" si="16"/>
        <v>July</v>
      </c>
      <c r="E189">
        <f t="shared" si="17"/>
        <v>2017</v>
      </c>
      <c r="F189" t="str">
        <f>CONCATENATE(calendar[[#This Row],[Month]],"/",calendar[[#This Row],[Year]])</f>
        <v>7/2017</v>
      </c>
      <c r="G189">
        <f>WEEKDAY(calendar[[#This Row],[Date]],1)</f>
        <v>6</v>
      </c>
      <c r="H189" t="str">
        <f>TEXT(calendar[[#This Row],[WeekDay]],"dddd")</f>
        <v>Friday</v>
      </c>
      <c r="I189">
        <f>IF((INT(calendar[[#This Row],[Count]]/7)-calendar[[#This Row],[Count]]/7)&lt;0,I188,I188+1)</f>
        <v>27</v>
      </c>
      <c r="J189">
        <f t="shared" si="14"/>
        <v>187</v>
      </c>
      <c r="K189">
        <f>IF(calendar[[#This Row],[Month]]&lt;4,1,IF(calendar[[#This Row],[Month]]&lt;7,2,IF(calendar[[#This Row],[Month]]&lt;10,3,4)))</f>
        <v>3</v>
      </c>
      <c r="L189">
        <f>IFERROR(IF(VLOOKUP(calendar[[#This Row],[Date]],BH!A:A,1,)&lt;&gt;"",1,0),0)</f>
        <v>0</v>
      </c>
      <c r="M189">
        <f>IFERROR(IF(VLOOKUP(calendar[[#This Row],[Date]],BH!C:C,1,)&lt;&gt;"",1,0),0)</f>
        <v>0</v>
      </c>
      <c r="N189">
        <f>IFERROR(IF(VLOOKUP(calendar[[#This Row],[Date]],BH!E:E,1,)&lt;&gt;"",1,0),0)</f>
        <v>0</v>
      </c>
      <c r="O189">
        <f>IFERROR(IF(VLOOKUP(calendar[[#This Row],[Date]],BH!G:G,1,)&lt;&gt;"",1,0),0)</f>
        <v>0</v>
      </c>
      <c r="P189">
        <f>IF(OR(calendar[[#This Row],[UK_BH]]=1,calendar[[#This Row],[WeekDay]]=1, calendar[[#This Row],[WeekDay]]=7),P188,P188+1)</f>
        <v>135</v>
      </c>
      <c r="Q189">
        <f>IF(OR(calendar[[#This Row],[FR_BH]]=1,calendar[[#This Row],[WeekDay]]=1, calendar[[#This Row],[WeekDay]]=7),P188,P188+1)</f>
        <v>135</v>
      </c>
      <c r="R189">
        <f>IF(OR(calendar[[#This Row],[SP_BH]]=1,calendar[[#This Row],[WeekDay]]=1, calendar[[#This Row],[WeekDay]]=7),P188,P188+1)</f>
        <v>135</v>
      </c>
      <c r="S189">
        <f>IF(OR(calendar[[#This Row],[PT_BH]]=1,calendar[[#This Row],[WeekDay]]=1, calendar[[#This Row],[WeekDay]]=7),P188,P188+1)</f>
        <v>135</v>
      </c>
    </row>
    <row r="190" spans="1:19" x14ac:dyDescent="0.25">
      <c r="A190" s="2">
        <v>42924</v>
      </c>
      <c r="B190" s="1">
        <f t="shared" si="13"/>
        <v>27</v>
      </c>
      <c r="C190">
        <f t="shared" si="15"/>
        <v>7</v>
      </c>
      <c r="D190" t="str">
        <f t="shared" si="16"/>
        <v>July</v>
      </c>
      <c r="E190">
        <f t="shared" si="17"/>
        <v>2017</v>
      </c>
      <c r="F190" t="str">
        <f>CONCATENATE(calendar[[#This Row],[Month]],"/",calendar[[#This Row],[Year]])</f>
        <v>7/2017</v>
      </c>
      <c r="G190">
        <f>WEEKDAY(calendar[[#This Row],[Date]],1)</f>
        <v>7</v>
      </c>
      <c r="H190" t="str">
        <f>TEXT(calendar[[#This Row],[WeekDay]],"dddd")</f>
        <v>Saturday</v>
      </c>
      <c r="I190">
        <f>IF((INT(calendar[[#This Row],[Count]]/7)-calendar[[#This Row],[Count]]/7)&lt;0,I189,I189+1)</f>
        <v>27</v>
      </c>
      <c r="J190">
        <f t="shared" si="14"/>
        <v>188</v>
      </c>
      <c r="K190">
        <f>IF(calendar[[#This Row],[Month]]&lt;4,1,IF(calendar[[#This Row],[Month]]&lt;7,2,IF(calendar[[#This Row],[Month]]&lt;10,3,4)))</f>
        <v>3</v>
      </c>
      <c r="L190">
        <f>IFERROR(IF(VLOOKUP(calendar[[#This Row],[Date]],BH!A:A,1,)&lt;&gt;"",1,0),0)</f>
        <v>0</v>
      </c>
      <c r="M190">
        <f>IFERROR(IF(VLOOKUP(calendar[[#This Row],[Date]],BH!C:C,1,)&lt;&gt;"",1,0),0)</f>
        <v>0</v>
      </c>
      <c r="N190">
        <f>IFERROR(IF(VLOOKUP(calendar[[#This Row],[Date]],BH!E:E,1,)&lt;&gt;"",1,0),0)</f>
        <v>0</v>
      </c>
      <c r="O190">
        <f>IFERROR(IF(VLOOKUP(calendar[[#This Row],[Date]],BH!G:G,1,)&lt;&gt;"",1,0),0)</f>
        <v>0</v>
      </c>
      <c r="P190">
        <f>IF(OR(calendar[[#This Row],[UK_BH]]=1,calendar[[#This Row],[WeekDay]]=1, calendar[[#This Row],[WeekDay]]=7),P189,P189+1)</f>
        <v>135</v>
      </c>
      <c r="Q190">
        <f>IF(OR(calendar[[#This Row],[FR_BH]]=1,calendar[[#This Row],[WeekDay]]=1, calendar[[#This Row],[WeekDay]]=7),P189,P189+1)</f>
        <v>135</v>
      </c>
      <c r="R190">
        <f>IF(OR(calendar[[#This Row],[SP_BH]]=1,calendar[[#This Row],[WeekDay]]=1, calendar[[#This Row],[WeekDay]]=7),P189,P189+1)</f>
        <v>135</v>
      </c>
      <c r="S190">
        <f>IF(OR(calendar[[#This Row],[PT_BH]]=1,calendar[[#This Row],[WeekDay]]=1, calendar[[#This Row],[WeekDay]]=7),P189,P189+1)</f>
        <v>135</v>
      </c>
    </row>
    <row r="191" spans="1:19" x14ac:dyDescent="0.25">
      <c r="A191" s="2">
        <v>42925</v>
      </c>
      <c r="B191" s="1">
        <f t="shared" si="13"/>
        <v>28</v>
      </c>
      <c r="C191">
        <f t="shared" si="15"/>
        <v>7</v>
      </c>
      <c r="D191" t="str">
        <f t="shared" si="16"/>
        <v>July</v>
      </c>
      <c r="E191">
        <f t="shared" si="17"/>
        <v>2017</v>
      </c>
      <c r="F191" t="str">
        <f>CONCATENATE(calendar[[#This Row],[Month]],"/",calendar[[#This Row],[Year]])</f>
        <v>7/2017</v>
      </c>
      <c r="G191">
        <f>WEEKDAY(calendar[[#This Row],[Date]],1)</f>
        <v>1</v>
      </c>
      <c r="H191" t="str">
        <f>TEXT(calendar[[#This Row],[WeekDay]],"dddd")</f>
        <v>Sunday</v>
      </c>
      <c r="I191">
        <f>IF((INT(calendar[[#This Row],[Count]]/7)-calendar[[#This Row],[Count]]/7)&lt;0,I190,I190+1)</f>
        <v>28</v>
      </c>
      <c r="J191">
        <f t="shared" si="14"/>
        <v>189</v>
      </c>
      <c r="K191">
        <f>IF(calendar[[#This Row],[Month]]&lt;4,1,IF(calendar[[#This Row],[Month]]&lt;7,2,IF(calendar[[#This Row],[Month]]&lt;10,3,4)))</f>
        <v>3</v>
      </c>
      <c r="L191">
        <f>IFERROR(IF(VLOOKUP(calendar[[#This Row],[Date]],BH!A:A,1,)&lt;&gt;"",1,0),0)</f>
        <v>0</v>
      </c>
      <c r="M191">
        <f>IFERROR(IF(VLOOKUP(calendar[[#This Row],[Date]],BH!C:C,1,)&lt;&gt;"",1,0),0)</f>
        <v>0</v>
      </c>
      <c r="N191">
        <f>IFERROR(IF(VLOOKUP(calendar[[#This Row],[Date]],BH!E:E,1,)&lt;&gt;"",1,0),0)</f>
        <v>0</v>
      </c>
      <c r="O191">
        <f>IFERROR(IF(VLOOKUP(calendar[[#This Row],[Date]],BH!G:G,1,)&lt;&gt;"",1,0),0)</f>
        <v>0</v>
      </c>
      <c r="P191">
        <f>IF(OR(calendar[[#This Row],[UK_BH]]=1,calendar[[#This Row],[WeekDay]]=1, calendar[[#This Row],[WeekDay]]=7),P190,P190+1)</f>
        <v>135</v>
      </c>
      <c r="Q191">
        <f>IF(OR(calendar[[#This Row],[FR_BH]]=1,calendar[[#This Row],[WeekDay]]=1, calendar[[#This Row],[WeekDay]]=7),P190,P190+1)</f>
        <v>135</v>
      </c>
      <c r="R191">
        <f>IF(OR(calendar[[#This Row],[SP_BH]]=1,calendar[[#This Row],[WeekDay]]=1, calendar[[#This Row],[WeekDay]]=7),P190,P190+1)</f>
        <v>135</v>
      </c>
      <c r="S191">
        <f>IF(OR(calendar[[#This Row],[PT_BH]]=1,calendar[[#This Row],[WeekDay]]=1, calendar[[#This Row],[WeekDay]]=7),P190,P190+1)</f>
        <v>135</v>
      </c>
    </row>
    <row r="192" spans="1:19" x14ac:dyDescent="0.25">
      <c r="A192" s="2">
        <v>42926</v>
      </c>
      <c r="B192" s="1">
        <f t="shared" si="13"/>
        <v>28</v>
      </c>
      <c r="C192">
        <f t="shared" si="15"/>
        <v>7</v>
      </c>
      <c r="D192" t="str">
        <f t="shared" si="16"/>
        <v>July</v>
      </c>
      <c r="E192">
        <f t="shared" si="17"/>
        <v>2017</v>
      </c>
      <c r="F192" t="str">
        <f>CONCATENATE(calendar[[#This Row],[Month]],"/",calendar[[#This Row],[Year]])</f>
        <v>7/2017</v>
      </c>
      <c r="G192">
        <f>WEEKDAY(calendar[[#This Row],[Date]],1)</f>
        <v>2</v>
      </c>
      <c r="H192" t="str">
        <f>TEXT(calendar[[#This Row],[WeekDay]],"dddd")</f>
        <v>Monday</v>
      </c>
      <c r="I192">
        <f>IF((INT(calendar[[#This Row],[Count]]/7)-calendar[[#This Row],[Count]]/7)&lt;0,I191,I191+1)</f>
        <v>28</v>
      </c>
      <c r="J192">
        <f t="shared" si="14"/>
        <v>190</v>
      </c>
      <c r="K192">
        <f>IF(calendar[[#This Row],[Month]]&lt;4,1,IF(calendar[[#This Row],[Month]]&lt;7,2,IF(calendar[[#This Row],[Month]]&lt;10,3,4)))</f>
        <v>3</v>
      </c>
      <c r="L192">
        <f>IFERROR(IF(VLOOKUP(calendar[[#This Row],[Date]],BH!A:A,1,)&lt;&gt;"",1,0),0)</f>
        <v>0</v>
      </c>
      <c r="M192">
        <f>IFERROR(IF(VLOOKUP(calendar[[#This Row],[Date]],BH!C:C,1,)&lt;&gt;"",1,0),0)</f>
        <v>0</v>
      </c>
      <c r="N192">
        <f>IFERROR(IF(VLOOKUP(calendar[[#This Row],[Date]],BH!E:E,1,)&lt;&gt;"",1,0),0)</f>
        <v>0</v>
      </c>
      <c r="O192">
        <f>IFERROR(IF(VLOOKUP(calendar[[#This Row],[Date]],BH!G:G,1,)&lt;&gt;"",1,0),0)</f>
        <v>0</v>
      </c>
      <c r="P192">
        <f>IF(OR(calendar[[#This Row],[UK_BH]]=1,calendar[[#This Row],[WeekDay]]=1, calendar[[#This Row],[WeekDay]]=7),P191,P191+1)</f>
        <v>136</v>
      </c>
      <c r="Q192">
        <f>IF(OR(calendar[[#This Row],[FR_BH]]=1,calendar[[#This Row],[WeekDay]]=1, calendar[[#This Row],[WeekDay]]=7),P191,P191+1)</f>
        <v>136</v>
      </c>
      <c r="R192">
        <f>IF(OR(calendar[[#This Row],[SP_BH]]=1,calendar[[#This Row],[WeekDay]]=1, calendar[[#This Row],[WeekDay]]=7),P191,P191+1)</f>
        <v>136</v>
      </c>
      <c r="S192">
        <f>IF(OR(calendar[[#This Row],[PT_BH]]=1,calendar[[#This Row],[WeekDay]]=1, calendar[[#This Row],[WeekDay]]=7),P191,P191+1)</f>
        <v>136</v>
      </c>
    </row>
    <row r="193" spans="1:19" x14ac:dyDescent="0.25">
      <c r="A193" s="2">
        <v>42927</v>
      </c>
      <c r="B193" s="1">
        <f t="shared" si="13"/>
        <v>28</v>
      </c>
      <c r="C193">
        <f t="shared" si="15"/>
        <v>7</v>
      </c>
      <c r="D193" t="str">
        <f t="shared" si="16"/>
        <v>July</v>
      </c>
      <c r="E193">
        <f t="shared" si="17"/>
        <v>2017</v>
      </c>
      <c r="F193" t="str">
        <f>CONCATENATE(calendar[[#This Row],[Month]],"/",calendar[[#This Row],[Year]])</f>
        <v>7/2017</v>
      </c>
      <c r="G193">
        <f>WEEKDAY(calendar[[#This Row],[Date]],1)</f>
        <v>3</v>
      </c>
      <c r="H193" t="str">
        <f>TEXT(calendar[[#This Row],[WeekDay]],"dddd")</f>
        <v>Tuesday</v>
      </c>
      <c r="I193">
        <f>IF((INT(calendar[[#This Row],[Count]]/7)-calendar[[#This Row],[Count]]/7)&lt;0,I192,I192+1)</f>
        <v>28</v>
      </c>
      <c r="J193">
        <f t="shared" si="14"/>
        <v>191</v>
      </c>
      <c r="K193">
        <f>IF(calendar[[#This Row],[Month]]&lt;4,1,IF(calendar[[#This Row],[Month]]&lt;7,2,IF(calendar[[#This Row],[Month]]&lt;10,3,4)))</f>
        <v>3</v>
      </c>
      <c r="L193">
        <f>IFERROR(IF(VLOOKUP(calendar[[#This Row],[Date]],BH!A:A,1,)&lt;&gt;"",1,0),0)</f>
        <v>0</v>
      </c>
      <c r="M193">
        <f>IFERROR(IF(VLOOKUP(calendar[[#This Row],[Date]],BH!C:C,1,)&lt;&gt;"",1,0),0)</f>
        <v>0</v>
      </c>
      <c r="N193">
        <f>IFERROR(IF(VLOOKUP(calendar[[#This Row],[Date]],BH!E:E,1,)&lt;&gt;"",1,0),0)</f>
        <v>0</v>
      </c>
      <c r="O193">
        <f>IFERROR(IF(VLOOKUP(calendar[[#This Row],[Date]],BH!G:G,1,)&lt;&gt;"",1,0),0)</f>
        <v>0</v>
      </c>
      <c r="P193">
        <f>IF(OR(calendar[[#This Row],[UK_BH]]=1,calendar[[#This Row],[WeekDay]]=1, calendar[[#This Row],[WeekDay]]=7),P192,P192+1)</f>
        <v>137</v>
      </c>
      <c r="Q193">
        <f>IF(OR(calendar[[#This Row],[FR_BH]]=1,calendar[[#This Row],[WeekDay]]=1, calendar[[#This Row],[WeekDay]]=7),P192,P192+1)</f>
        <v>137</v>
      </c>
      <c r="R193">
        <f>IF(OR(calendar[[#This Row],[SP_BH]]=1,calendar[[#This Row],[WeekDay]]=1, calendar[[#This Row],[WeekDay]]=7),P192,P192+1)</f>
        <v>137</v>
      </c>
      <c r="S193">
        <f>IF(OR(calendar[[#This Row],[PT_BH]]=1,calendar[[#This Row],[WeekDay]]=1, calendar[[#This Row],[WeekDay]]=7),P192,P192+1)</f>
        <v>137</v>
      </c>
    </row>
    <row r="194" spans="1:19" x14ac:dyDescent="0.25">
      <c r="A194" s="2">
        <v>42928</v>
      </c>
      <c r="B194" s="1">
        <f t="shared" ref="B194:B257" si="18">WEEKNUM(A194)</f>
        <v>28</v>
      </c>
      <c r="C194">
        <f t="shared" si="15"/>
        <v>7</v>
      </c>
      <c r="D194" t="str">
        <f t="shared" si="16"/>
        <v>July</v>
      </c>
      <c r="E194">
        <f t="shared" si="17"/>
        <v>2017</v>
      </c>
      <c r="F194" t="str">
        <f>CONCATENATE(calendar[[#This Row],[Month]],"/",calendar[[#This Row],[Year]])</f>
        <v>7/2017</v>
      </c>
      <c r="G194">
        <f>WEEKDAY(calendar[[#This Row],[Date]],1)</f>
        <v>4</v>
      </c>
      <c r="H194" t="str">
        <f>TEXT(calendar[[#This Row],[WeekDay]],"dddd")</f>
        <v>Wednesday</v>
      </c>
      <c r="I194">
        <f>IF((INT(calendar[[#This Row],[Count]]/7)-calendar[[#This Row],[Count]]/7)&lt;0,I193,I193+1)</f>
        <v>28</v>
      </c>
      <c r="J194">
        <f t="shared" si="14"/>
        <v>192</v>
      </c>
      <c r="K194">
        <f>IF(calendar[[#This Row],[Month]]&lt;4,1,IF(calendar[[#This Row],[Month]]&lt;7,2,IF(calendar[[#This Row],[Month]]&lt;10,3,4)))</f>
        <v>3</v>
      </c>
      <c r="L194">
        <f>IFERROR(IF(VLOOKUP(calendar[[#This Row],[Date]],BH!A:A,1,)&lt;&gt;"",1,0),0)</f>
        <v>0</v>
      </c>
      <c r="M194">
        <f>IFERROR(IF(VLOOKUP(calendar[[#This Row],[Date]],BH!C:C,1,)&lt;&gt;"",1,0),0)</f>
        <v>0</v>
      </c>
      <c r="N194">
        <f>IFERROR(IF(VLOOKUP(calendar[[#This Row],[Date]],BH!E:E,1,)&lt;&gt;"",1,0),0)</f>
        <v>0</v>
      </c>
      <c r="O194">
        <f>IFERROR(IF(VLOOKUP(calendar[[#This Row],[Date]],BH!G:G,1,)&lt;&gt;"",1,0),0)</f>
        <v>0</v>
      </c>
      <c r="P194">
        <f>IF(OR(calendar[[#This Row],[UK_BH]]=1,calendar[[#This Row],[WeekDay]]=1, calendar[[#This Row],[WeekDay]]=7),P193,P193+1)</f>
        <v>138</v>
      </c>
      <c r="Q194">
        <f>IF(OR(calendar[[#This Row],[FR_BH]]=1,calendar[[#This Row],[WeekDay]]=1, calendar[[#This Row],[WeekDay]]=7),P193,P193+1)</f>
        <v>138</v>
      </c>
      <c r="R194">
        <f>IF(OR(calendar[[#This Row],[SP_BH]]=1,calendar[[#This Row],[WeekDay]]=1, calendar[[#This Row],[WeekDay]]=7),P193,P193+1)</f>
        <v>138</v>
      </c>
      <c r="S194">
        <f>IF(OR(calendar[[#This Row],[PT_BH]]=1,calendar[[#This Row],[WeekDay]]=1, calendar[[#This Row],[WeekDay]]=7),P193,P193+1)</f>
        <v>138</v>
      </c>
    </row>
    <row r="195" spans="1:19" x14ac:dyDescent="0.25">
      <c r="A195" s="2">
        <v>42929</v>
      </c>
      <c r="B195" s="1">
        <f t="shared" si="18"/>
        <v>28</v>
      </c>
      <c r="C195">
        <f t="shared" si="15"/>
        <v>7</v>
      </c>
      <c r="D195" t="str">
        <f t="shared" si="16"/>
        <v>July</v>
      </c>
      <c r="E195">
        <f t="shared" si="17"/>
        <v>2017</v>
      </c>
      <c r="F195" t="str">
        <f>CONCATENATE(calendar[[#This Row],[Month]],"/",calendar[[#This Row],[Year]])</f>
        <v>7/2017</v>
      </c>
      <c r="G195">
        <f>WEEKDAY(calendar[[#This Row],[Date]],1)</f>
        <v>5</v>
      </c>
      <c r="H195" t="str">
        <f>TEXT(calendar[[#This Row],[WeekDay]],"dddd")</f>
        <v>Thursday</v>
      </c>
      <c r="I195">
        <f>IF((INT(calendar[[#This Row],[Count]]/7)-calendar[[#This Row],[Count]]/7)&lt;0,I194,I194+1)</f>
        <v>28</v>
      </c>
      <c r="J195">
        <f t="shared" ref="J195:J258" si="19">J194+1</f>
        <v>193</v>
      </c>
      <c r="K195">
        <f>IF(calendar[[#This Row],[Month]]&lt;4,1,IF(calendar[[#This Row],[Month]]&lt;7,2,IF(calendar[[#This Row],[Month]]&lt;10,3,4)))</f>
        <v>3</v>
      </c>
      <c r="L195">
        <f>IFERROR(IF(VLOOKUP(calendar[[#This Row],[Date]],BH!A:A,1,)&lt;&gt;"",1,0),0)</f>
        <v>0</v>
      </c>
      <c r="M195">
        <f>IFERROR(IF(VLOOKUP(calendar[[#This Row],[Date]],BH!C:C,1,)&lt;&gt;"",1,0),0)</f>
        <v>0</v>
      </c>
      <c r="N195">
        <f>IFERROR(IF(VLOOKUP(calendar[[#This Row],[Date]],BH!E:E,1,)&lt;&gt;"",1,0),0)</f>
        <v>0</v>
      </c>
      <c r="O195">
        <f>IFERROR(IF(VLOOKUP(calendar[[#This Row],[Date]],BH!G:G,1,)&lt;&gt;"",1,0),0)</f>
        <v>0</v>
      </c>
      <c r="P195">
        <f>IF(OR(calendar[[#This Row],[UK_BH]]=1,calendar[[#This Row],[WeekDay]]=1, calendar[[#This Row],[WeekDay]]=7),P194,P194+1)</f>
        <v>139</v>
      </c>
      <c r="Q195">
        <f>IF(OR(calendar[[#This Row],[FR_BH]]=1,calendar[[#This Row],[WeekDay]]=1, calendar[[#This Row],[WeekDay]]=7),P194,P194+1)</f>
        <v>139</v>
      </c>
      <c r="R195">
        <f>IF(OR(calendar[[#This Row],[SP_BH]]=1,calendar[[#This Row],[WeekDay]]=1, calendar[[#This Row],[WeekDay]]=7),P194,P194+1)</f>
        <v>139</v>
      </c>
      <c r="S195">
        <f>IF(OR(calendar[[#This Row],[PT_BH]]=1,calendar[[#This Row],[WeekDay]]=1, calendar[[#This Row],[WeekDay]]=7),P194,P194+1)</f>
        <v>139</v>
      </c>
    </row>
    <row r="196" spans="1:19" x14ac:dyDescent="0.25">
      <c r="A196" s="2">
        <v>42930</v>
      </c>
      <c r="B196" s="1">
        <f t="shared" si="18"/>
        <v>28</v>
      </c>
      <c r="C196">
        <f t="shared" si="15"/>
        <v>7</v>
      </c>
      <c r="D196" t="str">
        <f t="shared" si="16"/>
        <v>July</v>
      </c>
      <c r="E196">
        <f t="shared" si="17"/>
        <v>2017</v>
      </c>
      <c r="F196" t="str">
        <f>CONCATENATE(calendar[[#This Row],[Month]],"/",calendar[[#This Row],[Year]])</f>
        <v>7/2017</v>
      </c>
      <c r="G196">
        <f>WEEKDAY(calendar[[#This Row],[Date]],1)</f>
        <v>6</v>
      </c>
      <c r="H196" t="str">
        <f>TEXT(calendar[[#This Row],[WeekDay]],"dddd")</f>
        <v>Friday</v>
      </c>
      <c r="I196">
        <f>IF((INT(calendar[[#This Row],[Count]]/7)-calendar[[#This Row],[Count]]/7)&lt;0,I195,I195+1)</f>
        <v>28</v>
      </c>
      <c r="J196">
        <f t="shared" si="19"/>
        <v>194</v>
      </c>
      <c r="K196">
        <f>IF(calendar[[#This Row],[Month]]&lt;4,1,IF(calendar[[#This Row],[Month]]&lt;7,2,IF(calendar[[#This Row],[Month]]&lt;10,3,4)))</f>
        <v>3</v>
      </c>
      <c r="L196">
        <f>IFERROR(IF(VLOOKUP(calendar[[#This Row],[Date]],BH!A:A,1,)&lt;&gt;"",1,0),0)</f>
        <v>0</v>
      </c>
      <c r="M196">
        <f>IFERROR(IF(VLOOKUP(calendar[[#This Row],[Date]],BH!C:C,1,)&lt;&gt;"",1,0),0)</f>
        <v>0</v>
      </c>
      <c r="N196">
        <f>IFERROR(IF(VLOOKUP(calendar[[#This Row],[Date]],BH!E:E,1,)&lt;&gt;"",1,0),0)</f>
        <v>0</v>
      </c>
      <c r="O196">
        <f>IFERROR(IF(VLOOKUP(calendar[[#This Row],[Date]],BH!G:G,1,)&lt;&gt;"",1,0),0)</f>
        <v>0</v>
      </c>
      <c r="P196">
        <f>IF(OR(calendar[[#This Row],[UK_BH]]=1,calendar[[#This Row],[WeekDay]]=1, calendar[[#This Row],[WeekDay]]=7),P195,P195+1)</f>
        <v>140</v>
      </c>
      <c r="Q196">
        <f>IF(OR(calendar[[#This Row],[FR_BH]]=1,calendar[[#This Row],[WeekDay]]=1, calendar[[#This Row],[WeekDay]]=7),P195,P195+1)</f>
        <v>140</v>
      </c>
      <c r="R196">
        <f>IF(OR(calendar[[#This Row],[SP_BH]]=1,calendar[[#This Row],[WeekDay]]=1, calendar[[#This Row],[WeekDay]]=7),P195,P195+1)</f>
        <v>140</v>
      </c>
      <c r="S196">
        <f>IF(OR(calendar[[#This Row],[PT_BH]]=1,calendar[[#This Row],[WeekDay]]=1, calendar[[#This Row],[WeekDay]]=7),P195,P195+1)</f>
        <v>140</v>
      </c>
    </row>
    <row r="197" spans="1:19" x14ac:dyDescent="0.25">
      <c r="A197" s="2">
        <v>42931</v>
      </c>
      <c r="B197" s="1">
        <f t="shared" si="18"/>
        <v>28</v>
      </c>
      <c r="C197">
        <f t="shared" si="15"/>
        <v>7</v>
      </c>
      <c r="D197" t="str">
        <f t="shared" si="16"/>
        <v>July</v>
      </c>
      <c r="E197">
        <f t="shared" si="17"/>
        <v>2017</v>
      </c>
      <c r="F197" t="str">
        <f>CONCATENATE(calendar[[#This Row],[Month]],"/",calendar[[#This Row],[Year]])</f>
        <v>7/2017</v>
      </c>
      <c r="G197">
        <f>WEEKDAY(calendar[[#This Row],[Date]],1)</f>
        <v>7</v>
      </c>
      <c r="H197" t="str">
        <f>TEXT(calendar[[#This Row],[WeekDay]],"dddd")</f>
        <v>Saturday</v>
      </c>
      <c r="I197">
        <f>IF((INT(calendar[[#This Row],[Count]]/7)-calendar[[#This Row],[Count]]/7)&lt;0,I196,I196+1)</f>
        <v>28</v>
      </c>
      <c r="J197">
        <f t="shared" si="19"/>
        <v>195</v>
      </c>
      <c r="K197">
        <f>IF(calendar[[#This Row],[Month]]&lt;4,1,IF(calendar[[#This Row],[Month]]&lt;7,2,IF(calendar[[#This Row],[Month]]&lt;10,3,4)))</f>
        <v>3</v>
      </c>
      <c r="L197">
        <f>IFERROR(IF(VLOOKUP(calendar[[#This Row],[Date]],BH!A:A,1,)&lt;&gt;"",1,0),0)</f>
        <v>0</v>
      </c>
      <c r="M197">
        <f>IFERROR(IF(VLOOKUP(calendar[[#This Row],[Date]],BH!C:C,1,)&lt;&gt;"",1,0),0)</f>
        <v>0</v>
      </c>
      <c r="N197">
        <f>IFERROR(IF(VLOOKUP(calendar[[#This Row],[Date]],BH!E:E,1,)&lt;&gt;"",1,0),0)</f>
        <v>0</v>
      </c>
      <c r="O197">
        <f>IFERROR(IF(VLOOKUP(calendar[[#This Row],[Date]],BH!G:G,1,)&lt;&gt;"",1,0),0)</f>
        <v>0</v>
      </c>
      <c r="P197">
        <f>IF(OR(calendar[[#This Row],[UK_BH]]=1,calendar[[#This Row],[WeekDay]]=1, calendar[[#This Row],[WeekDay]]=7),P196,P196+1)</f>
        <v>140</v>
      </c>
      <c r="Q197">
        <f>IF(OR(calendar[[#This Row],[FR_BH]]=1,calendar[[#This Row],[WeekDay]]=1, calendar[[#This Row],[WeekDay]]=7),P196,P196+1)</f>
        <v>140</v>
      </c>
      <c r="R197">
        <f>IF(OR(calendar[[#This Row],[SP_BH]]=1,calendar[[#This Row],[WeekDay]]=1, calendar[[#This Row],[WeekDay]]=7),P196,P196+1)</f>
        <v>140</v>
      </c>
      <c r="S197">
        <f>IF(OR(calendar[[#This Row],[PT_BH]]=1,calendar[[#This Row],[WeekDay]]=1, calendar[[#This Row],[WeekDay]]=7),P196,P196+1)</f>
        <v>140</v>
      </c>
    </row>
    <row r="198" spans="1:19" x14ac:dyDescent="0.25">
      <c r="A198" s="2">
        <v>42932</v>
      </c>
      <c r="B198" s="1">
        <f t="shared" si="18"/>
        <v>29</v>
      </c>
      <c r="C198">
        <f t="shared" si="15"/>
        <v>7</v>
      </c>
      <c r="D198" t="str">
        <f t="shared" si="16"/>
        <v>July</v>
      </c>
      <c r="E198">
        <f t="shared" si="17"/>
        <v>2017</v>
      </c>
      <c r="F198" t="str">
        <f>CONCATENATE(calendar[[#This Row],[Month]],"/",calendar[[#This Row],[Year]])</f>
        <v>7/2017</v>
      </c>
      <c r="G198">
        <f>WEEKDAY(calendar[[#This Row],[Date]],1)</f>
        <v>1</v>
      </c>
      <c r="H198" t="str">
        <f>TEXT(calendar[[#This Row],[WeekDay]],"dddd")</f>
        <v>Sunday</v>
      </c>
      <c r="I198">
        <f>IF((INT(calendar[[#This Row],[Count]]/7)-calendar[[#This Row],[Count]]/7)&lt;0,I197,I197+1)</f>
        <v>29</v>
      </c>
      <c r="J198">
        <f t="shared" si="19"/>
        <v>196</v>
      </c>
      <c r="K198">
        <f>IF(calendar[[#This Row],[Month]]&lt;4,1,IF(calendar[[#This Row],[Month]]&lt;7,2,IF(calendar[[#This Row],[Month]]&lt;10,3,4)))</f>
        <v>3</v>
      </c>
      <c r="L198">
        <f>IFERROR(IF(VLOOKUP(calendar[[#This Row],[Date]],BH!A:A,1,)&lt;&gt;"",1,0),0)</f>
        <v>0</v>
      </c>
      <c r="M198">
        <f>IFERROR(IF(VLOOKUP(calendar[[#This Row],[Date]],BH!C:C,1,)&lt;&gt;"",1,0),0)</f>
        <v>0</v>
      </c>
      <c r="N198">
        <f>IFERROR(IF(VLOOKUP(calendar[[#This Row],[Date]],BH!E:E,1,)&lt;&gt;"",1,0),0)</f>
        <v>0</v>
      </c>
      <c r="O198">
        <f>IFERROR(IF(VLOOKUP(calendar[[#This Row],[Date]],BH!G:G,1,)&lt;&gt;"",1,0),0)</f>
        <v>0</v>
      </c>
      <c r="P198">
        <f>IF(OR(calendar[[#This Row],[UK_BH]]=1,calendar[[#This Row],[WeekDay]]=1, calendar[[#This Row],[WeekDay]]=7),P197,P197+1)</f>
        <v>140</v>
      </c>
      <c r="Q198">
        <f>IF(OR(calendar[[#This Row],[FR_BH]]=1,calendar[[#This Row],[WeekDay]]=1, calendar[[#This Row],[WeekDay]]=7),P197,P197+1)</f>
        <v>140</v>
      </c>
      <c r="R198">
        <f>IF(OR(calendar[[#This Row],[SP_BH]]=1,calendar[[#This Row],[WeekDay]]=1, calendar[[#This Row],[WeekDay]]=7),P197,P197+1)</f>
        <v>140</v>
      </c>
      <c r="S198">
        <f>IF(OR(calendar[[#This Row],[PT_BH]]=1,calendar[[#This Row],[WeekDay]]=1, calendar[[#This Row],[WeekDay]]=7),P197,P197+1)</f>
        <v>140</v>
      </c>
    </row>
    <row r="199" spans="1:19" x14ac:dyDescent="0.25">
      <c r="A199" s="2">
        <v>42933</v>
      </c>
      <c r="B199" s="1">
        <f t="shared" si="18"/>
        <v>29</v>
      </c>
      <c r="C199">
        <f t="shared" si="15"/>
        <v>7</v>
      </c>
      <c r="D199" t="str">
        <f t="shared" si="16"/>
        <v>July</v>
      </c>
      <c r="E199">
        <f t="shared" si="17"/>
        <v>2017</v>
      </c>
      <c r="F199" t="str">
        <f>CONCATENATE(calendar[[#This Row],[Month]],"/",calendar[[#This Row],[Year]])</f>
        <v>7/2017</v>
      </c>
      <c r="G199">
        <f>WEEKDAY(calendar[[#This Row],[Date]],1)</f>
        <v>2</v>
      </c>
      <c r="H199" t="str">
        <f>TEXT(calendar[[#This Row],[WeekDay]],"dddd")</f>
        <v>Monday</v>
      </c>
      <c r="I199">
        <f>IF((INT(calendar[[#This Row],[Count]]/7)-calendar[[#This Row],[Count]]/7)&lt;0,I198,I198+1)</f>
        <v>29</v>
      </c>
      <c r="J199">
        <f t="shared" si="19"/>
        <v>197</v>
      </c>
      <c r="K199">
        <f>IF(calendar[[#This Row],[Month]]&lt;4,1,IF(calendar[[#This Row],[Month]]&lt;7,2,IF(calendar[[#This Row],[Month]]&lt;10,3,4)))</f>
        <v>3</v>
      </c>
      <c r="L199">
        <f>IFERROR(IF(VLOOKUP(calendar[[#This Row],[Date]],BH!A:A,1,)&lt;&gt;"",1,0),0)</f>
        <v>0</v>
      </c>
      <c r="M199">
        <f>IFERROR(IF(VLOOKUP(calendar[[#This Row],[Date]],BH!C:C,1,)&lt;&gt;"",1,0),0)</f>
        <v>0</v>
      </c>
      <c r="N199">
        <f>IFERROR(IF(VLOOKUP(calendar[[#This Row],[Date]],BH!E:E,1,)&lt;&gt;"",1,0),0)</f>
        <v>0</v>
      </c>
      <c r="O199">
        <f>IFERROR(IF(VLOOKUP(calendar[[#This Row],[Date]],BH!G:G,1,)&lt;&gt;"",1,0),0)</f>
        <v>0</v>
      </c>
      <c r="P199">
        <f>IF(OR(calendar[[#This Row],[UK_BH]]=1,calendar[[#This Row],[WeekDay]]=1, calendar[[#This Row],[WeekDay]]=7),P198,P198+1)</f>
        <v>141</v>
      </c>
      <c r="Q199">
        <f>IF(OR(calendar[[#This Row],[FR_BH]]=1,calendar[[#This Row],[WeekDay]]=1, calendar[[#This Row],[WeekDay]]=7),P198,P198+1)</f>
        <v>141</v>
      </c>
      <c r="R199">
        <f>IF(OR(calendar[[#This Row],[SP_BH]]=1,calendar[[#This Row],[WeekDay]]=1, calendar[[#This Row],[WeekDay]]=7),P198,P198+1)</f>
        <v>141</v>
      </c>
      <c r="S199">
        <f>IF(OR(calendar[[#This Row],[PT_BH]]=1,calendar[[#This Row],[WeekDay]]=1, calendar[[#This Row],[WeekDay]]=7),P198,P198+1)</f>
        <v>141</v>
      </c>
    </row>
    <row r="200" spans="1:19" x14ac:dyDescent="0.25">
      <c r="A200" s="2">
        <v>42934</v>
      </c>
      <c r="B200" s="1">
        <f t="shared" si="18"/>
        <v>29</v>
      </c>
      <c r="C200">
        <f t="shared" si="15"/>
        <v>7</v>
      </c>
      <c r="D200" t="str">
        <f t="shared" si="16"/>
        <v>July</v>
      </c>
      <c r="E200">
        <f t="shared" si="17"/>
        <v>2017</v>
      </c>
      <c r="F200" t="str">
        <f>CONCATENATE(calendar[[#This Row],[Month]],"/",calendar[[#This Row],[Year]])</f>
        <v>7/2017</v>
      </c>
      <c r="G200">
        <f>WEEKDAY(calendar[[#This Row],[Date]],1)</f>
        <v>3</v>
      </c>
      <c r="H200" t="str">
        <f>TEXT(calendar[[#This Row],[WeekDay]],"dddd")</f>
        <v>Tuesday</v>
      </c>
      <c r="I200">
        <f>IF((INT(calendar[[#This Row],[Count]]/7)-calendar[[#This Row],[Count]]/7)&lt;0,I199,I199+1)</f>
        <v>29</v>
      </c>
      <c r="J200">
        <f t="shared" si="19"/>
        <v>198</v>
      </c>
      <c r="K200">
        <f>IF(calendar[[#This Row],[Month]]&lt;4,1,IF(calendar[[#This Row],[Month]]&lt;7,2,IF(calendar[[#This Row],[Month]]&lt;10,3,4)))</f>
        <v>3</v>
      </c>
      <c r="L200">
        <f>IFERROR(IF(VLOOKUP(calendar[[#This Row],[Date]],BH!A:A,1,)&lt;&gt;"",1,0),0)</f>
        <v>0</v>
      </c>
      <c r="M200">
        <f>IFERROR(IF(VLOOKUP(calendar[[#This Row],[Date]],BH!C:C,1,)&lt;&gt;"",1,0),0)</f>
        <v>0</v>
      </c>
      <c r="N200">
        <f>IFERROR(IF(VLOOKUP(calendar[[#This Row],[Date]],BH!E:E,1,)&lt;&gt;"",1,0),0)</f>
        <v>0</v>
      </c>
      <c r="O200">
        <f>IFERROR(IF(VLOOKUP(calendar[[#This Row],[Date]],BH!G:G,1,)&lt;&gt;"",1,0),0)</f>
        <v>0</v>
      </c>
      <c r="P200">
        <f>IF(OR(calendar[[#This Row],[UK_BH]]=1,calendar[[#This Row],[WeekDay]]=1, calendar[[#This Row],[WeekDay]]=7),P199,P199+1)</f>
        <v>142</v>
      </c>
      <c r="Q200">
        <f>IF(OR(calendar[[#This Row],[FR_BH]]=1,calendar[[#This Row],[WeekDay]]=1, calendar[[#This Row],[WeekDay]]=7),P199,P199+1)</f>
        <v>142</v>
      </c>
      <c r="R200">
        <f>IF(OR(calendar[[#This Row],[SP_BH]]=1,calendar[[#This Row],[WeekDay]]=1, calendar[[#This Row],[WeekDay]]=7),P199,P199+1)</f>
        <v>142</v>
      </c>
      <c r="S200">
        <f>IF(OR(calendar[[#This Row],[PT_BH]]=1,calendar[[#This Row],[WeekDay]]=1, calendar[[#This Row],[WeekDay]]=7),P199,P199+1)</f>
        <v>142</v>
      </c>
    </row>
    <row r="201" spans="1:19" x14ac:dyDescent="0.25">
      <c r="A201" s="2">
        <v>42935</v>
      </c>
      <c r="B201" s="1">
        <f t="shared" si="18"/>
        <v>29</v>
      </c>
      <c r="C201">
        <f t="shared" si="15"/>
        <v>7</v>
      </c>
      <c r="D201" t="str">
        <f t="shared" si="16"/>
        <v>July</v>
      </c>
      <c r="E201">
        <f t="shared" si="17"/>
        <v>2017</v>
      </c>
      <c r="F201" t="str">
        <f>CONCATENATE(calendar[[#This Row],[Month]],"/",calendar[[#This Row],[Year]])</f>
        <v>7/2017</v>
      </c>
      <c r="G201">
        <f>WEEKDAY(calendar[[#This Row],[Date]],1)</f>
        <v>4</v>
      </c>
      <c r="H201" t="str">
        <f>TEXT(calendar[[#This Row],[WeekDay]],"dddd")</f>
        <v>Wednesday</v>
      </c>
      <c r="I201">
        <f>IF((INT(calendar[[#This Row],[Count]]/7)-calendar[[#This Row],[Count]]/7)&lt;0,I200,I200+1)</f>
        <v>29</v>
      </c>
      <c r="J201">
        <f t="shared" si="19"/>
        <v>199</v>
      </c>
      <c r="K201">
        <f>IF(calendar[[#This Row],[Month]]&lt;4,1,IF(calendar[[#This Row],[Month]]&lt;7,2,IF(calendar[[#This Row],[Month]]&lt;10,3,4)))</f>
        <v>3</v>
      </c>
      <c r="L201">
        <f>IFERROR(IF(VLOOKUP(calendar[[#This Row],[Date]],BH!A:A,1,)&lt;&gt;"",1,0),0)</f>
        <v>0</v>
      </c>
      <c r="M201">
        <f>IFERROR(IF(VLOOKUP(calendar[[#This Row],[Date]],BH!C:C,1,)&lt;&gt;"",1,0),0)</f>
        <v>0</v>
      </c>
      <c r="N201">
        <f>IFERROR(IF(VLOOKUP(calendar[[#This Row],[Date]],BH!E:E,1,)&lt;&gt;"",1,0),0)</f>
        <v>0</v>
      </c>
      <c r="O201">
        <f>IFERROR(IF(VLOOKUP(calendar[[#This Row],[Date]],BH!G:G,1,)&lt;&gt;"",1,0),0)</f>
        <v>0</v>
      </c>
      <c r="P201">
        <f>IF(OR(calendar[[#This Row],[UK_BH]]=1,calendar[[#This Row],[WeekDay]]=1, calendar[[#This Row],[WeekDay]]=7),P200,P200+1)</f>
        <v>143</v>
      </c>
      <c r="Q201">
        <f>IF(OR(calendar[[#This Row],[FR_BH]]=1,calendar[[#This Row],[WeekDay]]=1, calendar[[#This Row],[WeekDay]]=7),P200,P200+1)</f>
        <v>143</v>
      </c>
      <c r="R201">
        <f>IF(OR(calendar[[#This Row],[SP_BH]]=1,calendar[[#This Row],[WeekDay]]=1, calendar[[#This Row],[WeekDay]]=7),P200,P200+1)</f>
        <v>143</v>
      </c>
      <c r="S201">
        <f>IF(OR(calendar[[#This Row],[PT_BH]]=1,calendar[[#This Row],[WeekDay]]=1, calendar[[#This Row],[WeekDay]]=7),P200,P200+1)</f>
        <v>143</v>
      </c>
    </row>
    <row r="202" spans="1:19" x14ac:dyDescent="0.25">
      <c r="A202" s="2">
        <v>42936</v>
      </c>
      <c r="B202" s="1">
        <f t="shared" si="18"/>
        <v>29</v>
      </c>
      <c r="C202">
        <f t="shared" si="15"/>
        <v>7</v>
      </c>
      <c r="D202" t="str">
        <f t="shared" si="16"/>
        <v>July</v>
      </c>
      <c r="E202">
        <f t="shared" si="17"/>
        <v>2017</v>
      </c>
      <c r="F202" t="str">
        <f>CONCATENATE(calendar[[#This Row],[Month]],"/",calendar[[#This Row],[Year]])</f>
        <v>7/2017</v>
      </c>
      <c r="G202">
        <f>WEEKDAY(calendar[[#This Row],[Date]],1)</f>
        <v>5</v>
      </c>
      <c r="H202" t="str">
        <f>TEXT(calendar[[#This Row],[WeekDay]],"dddd")</f>
        <v>Thursday</v>
      </c>
      <c r="I202">
        <f>IF((INT(calendar[[#This Row],[Count]]/7)-calendar[[#This Row],[Count]]/7)&lt;0,I201,I201+1)</f>
        <v>29</v>
      </c>
      <c r="J202">
        <f t="shared" si="19"/>
        <v>200</v>
      </c>
      <c r="K202">
        <f>IF(calendar[[#This Row],[Month]]&lt;4,1,IF(calendar[[#This Row],[Month]]&lt;7,2,IF(calendar[[#This Row],[Month]]&lt;10,3,4)))</f>
        <v>3</v>
      </c>
      <c r="L202">
        <f>IFERROR(IF(VLOOKUP(calendar[[#This Row],[Date]],BH!A:A,1,)&lt;&gt;"",1,0),0)</f>
        <v>0</v>
      </c>
      <c r="M202">
        <f>IFERROR(IF(VLOOKUP(calendar[[#This Row],[Date]],BH!C:C,1,)&lt;&gt;"",1,0),0)</f>
        <v>0</v>
      </c>
      <c r="N202">
        <f>IFERROR(IF(VLOOKUP(calendar[[#This Row],[Date]],BH!E:E,1,)&lt;&gt;"",1,0),0)</f>
        <v>0</v>
      </c>
      <c r="O202">
        <f>IFERROR(IF(VLOOKUP(calendar[[#This Row],[Date]],BH!G:G,1,)&lt;&gt;"",1,0),0)</f>
        <v>0</v>
      </c>
      <c r="P202">
        <f>IF(OR(calendar[[#This Row],[UK_BH]]=1,calendar[[#This Row],[WeekDay]]=1, calendar[[#This Row],[WeekDay]]=7),P201,P201+1)</f>
        <v>144</v>
      </c>
      <c r="Q202">
        <f>IF(OR(calendar[[#This Row],[FR_BH]]=1,calendar[[#This Row],[WeekDay]]=1, calendar[[#This Row],[WeekDay]]=7),P201,P201+1)</f>
        <v>144</v>
      </c>
      <c r="R202">
        <f>IF(OR(calendar[[#This Row],[SP_BH]]=1,calendar[[#This Row],[WeekDay]]=1, calendar[[#This Row],[WeekDay]]=7),P201,P201+1)</f>
        <v>144</v>
      </c>
      <c r="S202">
        <f>IF(OR(calendar[[#This Row],[PT_BH]]=1,calendar[[#This Row],[WeekDay]]=1, calendar[[#This Row],[WeekDay]]=7),P201,P201+1)</f>
        <v>144</v>
      </c>
    </row>
    <row r="203" spans="1:19" x14ac:dyDescent="0.25">
      <c r="A203" s="2">
        <v>42937</v>
      </c>
      <c r="B203" s="1">
        <f t="shared" si="18"/>
        <v>29</v>
      </c>
      <c r="C203">
        <f t="shared" si="15"/>
        <v>7</v>
      </c>
      <c r="D203" t="str">
        <f t="shared" si="16"/>
        <v>July</v>
      </c>
      <c r="E203">
        <f t="shared" si="17"/>
        <v>2017</v>
      </c>
      <c r="F203" t="str">
        <f>CONCATENATE(calendar[[#This Row],[Month]],"/",calendar[[#This Row],[Year]])</f>
        <v>7/2017</v>
      </c>
      <c r="G203">
        <f>WEEKDAY(calendar[[#This Row],[Date]],1)</f>
        <v>6</v>
      </c>
      <c r="H203" t="str">
        <f>TEXT(calendar[[#This Row],[WeekDay]],"dddd")</f>
        <v>Friday</v>
      </c>
      <c r="I203">
        <f>IF((INT(calendar[[#This Row],[Count]]/7)-calendar[[#This Row],[Count]]/7)&lt;0,I202,I202+1)</f>
        <v>29</v>
      </c>
      <c r="J203">
        <f t="shared" si="19"/>
        <v>201</v>
      </c>
      <c r="K203">
        <f>IF(calendar[[#This Row],[Month]]&lt;4,1,IF(calendar[[#This Row],[Month]]&lt;7,2,IF(calendar[[#This Row],[Month]]&lt;10,3,4)))</f>
        <v>3</v>
      </c>
      <c r="L203">
        <f>IFERROR(IF(VLOOKUP(calendar[[#This Row],[Date]],BH!A:A,1,)&lt;&gt;"",1,0),0)</f>
        <v>0</v>
      </c>
      <c r="M203">
        <f>IFERROR(IF(VLOOKUP(calendar[[#This Row],[Date]],BH!C:C,1,)&lt;&gt;"",1,0),0)</f>
        <v>0</v>
      </c>
      <c r="N203">
        <f>IFERROR(IF(VLOOKUP(calendar[[#This Row],[Date]],BH!E:E,1,)&lt;&gt;"",1,0),0)</f>
        <v>0</v>
      </c>
      <c r="O203">
        <f>IFERROR(IF(VLOOKUP(calendar[[#This Row],[Date]],BH!G:G,1,)&lt;&gt;"",1,0),0)</f>
        <v>0</v>
      </c>
      <c r="P203">
        <f>IF(OR(calendar[[#This Row],[UK_BH]]=1,calendar[[#This Row],[WeekDay]]=1, calendar[[#This Row],[WeekDay]]=7),P202,P202+1)</f>
        <v>145</v>
      </c>
      <c r="Q203">
        <f>IF(OR(calendar[[#This Row],[FR_BH]]=1,calendar[[#This Row],[WeekDay]]=1, calendar[[#This Row],[WeekDay]]=7),P202,P202+1)</f>
        <v>145</v>
      </c>
      <c r="R203">
        <f>IF(OR(calendar[[#This Row],[SP_BH]]=1,calendar[[#This Row],[WeekDay]]=1, calendar[[#This Row],[WeekDay]]=7),P202,P202+1)</f>
        <v>145</v>
      </c>
      <c r="S203">
        <f>IF(OR(calendar[[#This Row],[PT_BH]]=1,calendar[[#This Row],[WeekDay]]=1, calendar[[#This Row],[WeekDay]]=7),P202,P202+1)</f>
        <v>145</v>
      </c>
    </row>
    <row r="204" spans="1:19" x14ac:dyDescent="0.25">
      <c r="A204" s="2">
        <v>42938</v>
      </c>
      <c r="B204" s="1">
        <f t="shared" si="18"/>
        <v>29</v>
      </c>
      <c r="C204">
        <f t="shared" si="15"/>
        <v>7</v>
      </c>
      <c r="D204" t="str">
        <f t="shared" si="16"/>
        <v>July</v>
      </c>
      <c r="E204">
        <f t="shared" si="17"/>
        <v>2017</v>
      </c>
      <c r="F204" t="str">
        <f>CONCATENATE(calendar[[#This Row],[Month]],"/",calendar[[#This Row],[Year]])</f>
        <v>7/2017</v>
      </c>
      <c r="G204">
        <f>WEEKDAY(calendar[[#This Row],[Date]],1)</f>
        <v>7</v>
      </c>
      <c r="H204" t="str">
        <f>TEXT(calendar[[#This Row],[WeekDay]],"dddd")</f>
        <v>Saturday</v>
      </c>
      <c r="I204">
        <f>IF((INT(calendar[[#This Row],[Count]]/7)-calendar[[#This Row],[Count]]/7)&lt;0,I203,I203+1)</f>
        <v>29</v>
      </c>
      <c r="J204">
        <f t="shared" si="19"/>
        <v>202</v>
      </c>
      <c r="K204">
        <f>IF(calendar[[#This Row],[Month]]&lt;4,1,IF(calendar[[#This Row],[Month]]&lt;7,2,IF(calendar[[#This Row],[Month]]&lt;10,3,4)))</f>
        <v>3</v>
      </c>
      <c r="L204">
        <f>IFERROR(IF(VLOOKUP(calendar[[#This Row],[Date]],BH!A:A,1,)&lt;&gt;"",1,0),0)</f>
        <v>0</v>
      </c>
      <c r="M204">
        <f>IFERROR(IF(VLOOKUP(calendar[[#This Row],[Date]],BH!C:C,1,)&lt;&gt;"",1,0),0)</f>
        <v>0</v>
      </c>
      <c r="N204">
        <f>IFERROR(IF(VLOOKUP(calendar[[#This Row],[Date]],BH!E:E,1,)&lt;&gt;"",1,0),0)</f>
        <v>0</v>
      </c>
      <c r="O204">
        <f>IFERROR(IF(VLOOKUP(calendar[[#This Row],[Date]],BH!G:G,1,)&lt;&gt;"",1,0),0)</f>
        <v>0</v>
      </c>
      <c r="P204">
        <f>IF(OR(calendar[[#This Row],[UK_BH]]=1,calendar[[#This Row],[WeekDay]]=1, calendar[[#This Row],[WeekDay]]=7),P203,P203+1)</f>
        <v>145</v>
      </c>
      <c r="Q204">
        <f>IF(OR(calendar[[#This Row],[FR_BH]]=1,calendar[[#This Row],[WeekDay]]=1, calendar[[#This Row],[WeekDay]]=7),P203,P203+1)</f>
        <v>145</v>
      </c>
      <c r="R204">
        <f>IF(OR(calendar[[#This Row],[SP_BH]]=1,calendar[[#This Row],[WeekDay]]=1, calendar[[#This Row],[WeekDay]]=7),P203,P203+1)</f>
        <v>145</v>
      </c>
      <c r="S204">
        <f>IF(OR(calendar[[#This Row],[PT_BH]]=1,calendar[[#This Row],[WeekDay]]=1, calendar[[#This Row],[WeekDay]]=7),P203,P203+1)</f>
        <v>145</v>
      </c>
    </row>
    <row r="205" spans="1:19" x14ac:dyDescent="0.25">
      <c r="A205" s="2">
        <v>42939</v>
      </c>
      <c r="B205" s="1">
        <f t="shared" si="18"/>
        <v>30</v>
      </c>
      <c r="C205">
        <f t="shared" si="15"/>
        <v>7</v>
      </c>
      <c r="D205" t="str">
        <f t="shared" si="16"/>
        <v>July</v>
      </c>
      <c r="E205">
        <f t="shared" si="17"/>
        <v>2017</v>
      </c>
      <c r="F205" t="str">
        <f>CONCATENATE(calendar[[#This Row],[Month]],"/",calendar[[#This Row],[Year]])</f>
        <v>7/2017</v>
      </c>
      <c r="G205">
        <f>WEEKDAY(calendar[[#This Row],[Date]],1)</f>
        <v>1</v>
      </c>
      <c r="H205" t="str">
        <f>TEXT(calendar[[#This Row],[WeekDay]],"dddd")</f>
        <v>Sunday</v>
      </c>
      <c r="I205">
        <f>IF((INT(calendar[[#This Row],[Count]]/7)-calendar[[#This Row],[Count]]/7)&lt;0,I204,I204+1)</f>
        <v>30</v>
      </c>
      <c r="J205">
        <f t="shared" si="19"/>
        <v>203</v>
      </c>
      <c r="K205">
        <f>IF(calendar[[#This Row],[Month]]&lt;4,1,IF(calendar[[#This Row],[Month]]&lt;7,2,IF(calendar[[#This Row],[Month]]&lt;10,3,4)))</f>
        <v>3</v>
      </c>
      <c r="L205">
        <f>IFERROR(IF(VLOOKUP(calendar[[#This Row],[Date]],BH!A:A,1,)&lt;&gt;"",1,0),0)</f>
        <v>0</v>
      </c>
      <c r="M205">
        <f>IFERROR(IF(VLOOKUP(calendar[[#This Row],[Date]],BH!C:C,1,)&lt;&gt;"",1,0),0)</f>
        <v>0</v>
      </c>
      <c r="N205">
        <f>IFERROR(IF(VLOOKUP(calendar[[#This Row],[Date]],BH!E:E,1,)&lt;&gt;"",1,0),0)</f>
        <v>0</v>
      </c>
      <c r="O205">
        <f>IFERROR(IF(VLOOKUP(calendar[[#This Row],[Date]],BH!G:G,1,)&lt;&gt;"",1,0),0)</f>
        <v>0</v>
      </c>
      <c r="P205">
        <f>IF(OR(calendar[[#This Row],[UK_BH]]=1,calendar[[#This Row],[WeekDay]]=1, calendar[[#This Row],[WeekDay]]=7),P204,P204+1)</f>
        <v>145</v>
      </c>
      <c r="Q205">
        <f>IF(OR(calendar[[#This Row],[FR_BH]]=1,calendar[[#This Row],[WeekDay]]=1, calendar[[#This Row],[WeekDay]]=7),P204,P204+1)</f>
        <v>145</v>
      </c>
      <c r="R205">
        <f>IF(OR(calendar[[#This Row],[SP_BH]]=1,calendar[[#This Row],[WeekDay]]=1, calendar[[#This Row],[WeekDay]]=7),P204,P204+1)</f>
        <v>145</v>
      </c>
      <c r="S205">
        <f>IF(OR(calendar[[#This Row],[PT_BH]]=1,calendar[[#This Row],[WeekDay]]=1, calendar[[#This Row],[WeekDay]]=7),P204,P204+1)</f>
        <v>145</v>
      </c>
    </row>
    <row r="206" spans="1:19" x14ac:dyDescent="0.25">
      <c r="A206" s="2">
        <v>42940</v>
      </c>
      <c r="B206" s="1">
        <f t="shared" si="18"/>
        <v>30</v>
      </c>
      <c r="C206">
        <f t="shared" si="15"/>
        <v>7</v>
      </c>
      <c r="D206" t="str">
        <f t="shared" si="16"/>
        <v>July</v>
      </c>
      <c r="E206">
        <f t="shared" si="17"/>
        <v>2017</v>
      </c>
      <c r="F206" t="str">
        <f>CONCATENATE(calendar[[#This Row],[Month]],"/",calendar[[#This Row],[Year]])</f>
        <v>7/2017</v>
      </c>
      <c r="G206">
        <f>WEEKDAY(calendar[[#This Row],[Date]],1)</f>
        <v>2</v>
      </c>
      <c r="H206" t="str">
        <f>TEXT(calendar[[#This Row],[WeekDay]],"dddd")</f>
        <v>Monday</v>
      </c>
      <c r="I206">
        <f>IF((INT(calendar[[#This Row],[Count]]/7)-calendar[[#This Row],[Count]]/7)&lt;0,I205,I205+1)</f>
        <v>30</v>
      </c>
      <c r="J206">
        <f t="shared" si="19"/>
        <v>204</v>
      </c>
      <c r="K206">
        <f>IF(calendar[[#This Row],[Month]]&lt;4,1,IF(calendar[[#This Row],[Month]]&lt;7,2,IF(calendar[[#This Row],[Month]]&lt;10,3,4)))</f>
        <v>3</v>
      </c>
      <c r="L206">
        <f>IFERROR(IF(VLOOKUP(calendar[[#This Row],[Date]],BH!A:A,1,)&lt;&gt;"",1,0),0)</f>
        <v>0</v>
      </c>
      <c r="M206">
        <f>IFERROR(IF(VLOOKUP(calendar[[#This Row],[Date]],BH!C:C,1,)&lt;&gt;"",1,0),0)</f>
        <v>0</v>
      </c>
      <c r="N206">
        <f>IFERROR(IF(VLOOKUP(calendar[[#This Row],[Date]],BH!E:E,1,)&lt;&gt;"",1,0),0)</f>
        <v>0</v>
      </c>
      <c r="O206">
        <f>IFERROR(IF(VLOOKUP(calendar[[#This Row],[Date]],BH!G:G,1,)&lt;&gt;"",1,0),0)</f>
        <v>0</v>
      </c>
      <c r="P206">
        <f>IF(OR(calendar[[#This Row],[UK_BH]]=1,calendar[[#This Row],[WeekDay]]=1, calendar[[#This Row],[WeekDay]]=7),P205,P205+1)</f>
        <v>146</v>
      </c>
      <c r="Q206">
        <f>IF(OR(calendar[[#This Row],[FR_BH]]=1,calendar[[#This Row],[WeekDay]]=1, calendar[[#This Row],[WeekDay]]=7),P205,P205+1)</f>
        <v>146</v>
      </c>
      <c r="R206">
        <f>IF(OR(calendar[[#This Row],[SP_BH]]=1,calendar[[#This Row],[WeekDay]]=1, calendar[[#This Row],[WeekDay]]=7),P205,P205+1)</f>
        <v>146</v>
      </c>
      <c r="S206">
        <f>IF(OR(calendar[[#This Row],[PT_BH]]=1,calendar[[#This Row],[WeekDay]]=1, calendar[[#This Row],[WeekDay]]=7),P205,P205+1)</f>
        <v>146</v>
      </c>
    </row>
    <row r="207" spans="1:19" x14ac:dyDescent="0.25">
      <c r="A207" s="2">
        <v>42941</v>
      </c>
      <c r="B207" s="1">
        <f t="shared" si="18"/>
        <v>30</v>
      </c>
      <c r="C207">
        <f t="shared" si="15"/>
        <v>7</v>
      </c>
      <c r="D207" t="str">
        <f t="shared" si="16"/>
        <v>July</v>
      </c>
      <c r="E207">
        <f t="shared" si="17"/>
        <v>2017</v>
      </c>
      <c r="F207" t="str">
        <f>CONCATENATE(calendar[[#This Row],[Month]],"/",calendar[[#This Row],[Year]])</f>
        <v>7/2017</v>
      </c>
      <c r="G207">
        <f>WEEKDAY(calendar[[#This Row],[Date]],1)</f>
        <v>3</v>
      </c>
      <c r="H207" t="str">
        <f>TEXT(calendar[[#This Row],[WeekDay]],"dddd")</f>
        <v>Tuesday</v>
      </c>
      <c r="I207">
        <f>IF((INT(calendar[[#This Row],[Count]]/7)-calendar[[#This Row],[Count]]/7)&lt;0,I206,I206+1)</f>
        <v>30</v>
      </c>
      <c r="J207">
        <f t="shared" si="19"/>
        <v>205</v>
      </c>
      <c r="K207">
        <f>IF(calendar[[#This Row],[Month]]&lt;4,1,IF(calendar[[#This Row],[Month]]&lt;7,2,IF(calendar[[#This Row],[Month]]&lt;10,3,4)))</f>
        <v>3</v>
      </c>
      <c r="L207">
        <f>IFERROR(IF(VLOOKUP(calendar[[#This Row],[Date]],BH!A:A,1,)&lt;&gt;"",1,0),0)</f>
        <v>0</v>
      </c>
      <c r="M207">
        <f>IFERROR(IF(VLOOKUP(calendar[[#This Row],[Date]],BH!C:C,1,)&lt;&gt;"",1,0),0)</f>
        <v>0</v>
      </c>
      <c r="N207">
        <f>IFERROR(IF(VLOOKUP(calendar[[#This Row],[Date]],BH!E:E,1,)&lt;&gt;"",1,0),0)</f>
        <v>0</v>
      </c>
      <c r="O207">
        <f>IFERROR(IF(VLOOKUP(calendar[[#This Row],[Date]],BH!G:G,1,)&lt;&gt;"",1,0),0)</f>
        <v>0</v>
      </c>
      <c r="P207">
        <f>IF(OR(calendar[[#This Row],[UK_BH]]=1,calendar[[#This Row],[WeekDay]]=1, calendar[[#This Row],[WeekDay]]=7),P206,P206+1)</f>
        <v>147</v>
      </c>
      <c r="Q207">
        <f>IF(OR(calendar[[#This Row],[FR_BH]]=1,calendar[[#This Row],[WeekDay]]=1, calendar[[#This Row],[WeekDay]]=7),P206,P206+1)</f>
        <v>147</v>
      </c>
      <c r="R207">
        <f>IF(OR(calendar[[#This Row],[SP_BH]]=1,calendar[[#This Row],[WeekDay]]=1, calendar[[#This Row],[WeekDay]]=7),P206,P206+1)</f>
        <v>147</v>
      </c>
      <c r="S207">
        <f>IF(OR(calendar[[#This Row],[PT_BH]]=1,calendar[[#This Row],[WeekDay]]=1, calendar[[#This Row],[WeekDay]]=7),P206,P206+1)</f>
        <v>147</v>
      </c>
    </row>
    <row r="208" spans="1:19" x14ac:dyDescent="0.25">
      <c r="A208" s="2">
        <v>42942</v>
      </c>
      <c r="B208" s="1">
        <f t="shared" si="18"/>
        <v>30</v>
      </c>
      <c r="C208">
        <f t="shared" ref="C208:C271" si="20">MONTH(A208)</f>
        <v>7</v>
      </c>
      <c r="D208" t="str">
        <f t="shared" ref="D208:D271" si="21">TEXT(A208,"mmmm")</f>
        <v>July</v>
      </c>
      <c r="E208">
        <f t="shared" ref="E208:E271" si="22">YEAR(A208)</f>
        <v>2017</v>
      </c>
      <c r="F208" t="str">
        <f>CONCATENATE(calendar[[#This Row],[Month]],"/",calendar[[#This Row],[Year]])</f>
        <v>7/2017</v>
      </c>
      <c r="G208">
        <f>WEEKDAY(calendar[[#This Row],[Date]],1)</f>
        <v>4</v>
      </c>
      <c r="H208" t="str">
        <f>TEXT(calendar[[#This Row],[WeekDay]],"dddd")</f>
        <v>Wednesday</v>
      </c>
      <c r="I208">
        <f>IF((INT(calendar[[#This Row],[Count]]/7)-calendar[[#This Row],[Count]]/7)&lt;0,I207,I207+1)</f>
        <v>30</v>
      </c>
      <c r="J208">
        <f t="shared" si="19"/>
        <v>206</v>
      </c>
      <c r="K208">
        <f>IF(calendar[[#This Row],[Month]]&lt;4,1,IF(calendar[[#This Row],[Month]]&lt;7,2,IF(calendar[[#This Row],[Month]]&lt;10,3,4)))</f>
        <v>3</v>
      </c>
      <c r="L208">
        <f>IFERROR(IF(VLOOKUP(calendar[[#This Row],[Date]],BH!A:A,1,)&lt;&gt;"",1,0),0)</f>
        <v>0</v>
      </c>
      <c r="M208">
        <f>IFERROR(IF(VLOOKUP(calendar[[#This Row],[Date]],BH!C:C,1,)&lt;&gt;"",1,0),0)</f>
        <v>0</v>
      </c>
      <c r="N208">
        <f>IFERROR(IF(VLOOKUP(calendar[[#This Row],[Date]],BH!E:E,1,)&lt;&gt;"",1,0),0)</f>
        <v>0</v>
      </c>
      <c r="O208">
        <f>IFERROR(IF(VLOOKUP(calendar[[#This Row],[Date]],BH!G:G,1,)&lt;&gt;"",1,0),0)</f>
        <v>0</v>
      </c>
      <c r="P208">
        <f>IF(OR(calendar[[#This Row],[UK_BH]]=1,calendar[[#This Row],[WeekDay]]=1, calendar[[#This Row],[WeekDay]]=7),P207,P207+1)</f>
        <v>148</v>
      </c>
      <c r="Q208">
        <f>IF(OR(calendar[[#This Row],[FR_BH]]=1,calendar[[#This Row],[WeekDay]]=1, calendar[[#This Row],[WeekDay]]=7),P207,P207+1)</f>
        <v>148</v>
      </c>
      <c r="R208">
        <f>IF(OR(calendar[[#This Row],[SP_BH]]=1,calendar[[#This Row],[WeekDay]]=1, calendar[[#This Row],[WeekDay]]=7),P207,P207+1)</f>
        <v>148</v>
      </c>
      <c r="S208">
        <f>IF(OR(calendar[[#This Row],[PT_BH]]=1,calendar[[#This Row],[WeekDay]]=1, calendar[[#This Row],[WeekDay]]=7),P207,P207+1)</f>
        <v>148</v>
      </c>
    </row>
    <row r="209" spans="1:19" x14ac:dyDescent="0.25">
      <c r="A209" s="2">
        <v>42943</v>
      </c>
      <c r="B209" s="1">
        <f t="shared" si="18"/>
        <v>30</v>
      </c>
      <c r="C209">
        <f t="shared" si="20"/>
        <v>7</v>
      </c>
      <c r="D209" t="str">
        <f t="shared" si="21"/>
        <v>July</v>
      </c>
      <c r="E209">
        <f t="shared" si="22"/>
        <v>2017</v>
      </c>
      <c r="F209" t="str">
        <f>CONCATENATE(calendar[[#This Row],[Month]],"/",calendar[[#This Row],[Year]])</f>
        <v>7/2017</v>
      </c>
      <c r="G209">
        <f>WEEKDAY(calendar[[#This Row],[Date]],1)</f>
        <v>5</v>
      </c>
      <c r="H209" t="str">
        <f>TEXT(calendar[[#This Row],[WeekDay]],"dddd")</f>
        <v>Thursday</v>
      </c>
      <c r="I209">
        <f>IF((INT(calendar[[#This Row],[Count]]/7)-calendar[[#This Row],[Count]]/7)&lt;0,I208,I208+1)</f>
        <v>30</v>
      </c>
      <c r="J209">
        <f t="shared" si="19"/>
        <v>207</v>
      </c>
      <c r="K209">
        <f>IF(calendar[[#This Row],[Month]]&lt;4,1,IF(calendar[[#This Row],[Month]]&lt;7,2,IF(calendar[[#This Row],[Month]]&lt;10,3,4)))</f>
        <v>3</v>
      </c>
      <c r="L209">
        <f>IFERROR(IF(VLOOKUP(calendar[[#This Row],[Date]],BH!A:A,1,)&lt;&gt;"",1,0),0)</f>
        <v>0</v>
      </c>
      <c r="M209">
        <f>IFERROR(IF(VLOOKUP(calendar[[#This Row],[Date]],BH!C:C,1,)&lt;&gt;"",1,0),0)</f>
        <v>0</v>
      </c>
      <c r="N209">
        <f>IFERROR(IF(VLOOKUP(calendar[[#This Row],[Date]],BH!E:E,1,)&lt;&gt;"",1,0),0)</f>
        <v>0</v>
      </c>
      <c r="O209">
        <f>IFERROR(IF(VLOOKUP(calendar[[#This Row],[Date]],BH!G:G,1,)&lt;&gt;"",1,0),0)</f>
        <v>0</v>
      </c>
      <c r="P209">
        <f>IF(OR(calendar[[#This Row],[UK_BH]]=1,calendar[[#This Row],[WeekDay]]=1, calendar[[#This Row],[WeekDay]]=7),P208,P208+1)</f>
        <v>149</v>
      </c>
      <c r="Q209">
        <f>IF(OR(calendar[[#This Row],[FR_BH]]=1,calendar[[#This Row],[WeekDay]]=1, calendar[[#This Row],[WeekDay]]=7),P208,P208+1)</f>
        <v>149</v>
      </c>
      <c r="R209">
        <f>IF(OR(calendar[[#This Row],[SP_BH]]=1,calendar[[#This Row],[WeekDay]]=1, calendar[[#This Row],[WeekDay]]=7),P208,P208+1)</f>
        <v>149</v>
      </c>
      <c r="S209">
        <f>IF(OR(calendar[[#This Row],[PT_BH]]=1,calendar[[#This Row],[WeekDay]]=1, calendar[[#This Row],[WeekDay]]=7),P208,P208+1)</f>
        <v>149</v>
      </c>
    </row>
    <row r="210" spans="1:19" x14ac:dyDescent="0.25">
      <c r="A210" s="2">
        <v>42944</v>
      </c>
      <c r="B210" s="1">
        <f t="shared" si="18"/>
        <v>30</v>
      </c>
      <c r="C210">
        <f t="shared" si="20"/>
        <v>7</v>
      </c>
      <c r="D210" t="str">
        <f t="shared" si="21"/>
        <v>July</v>
      </c>
      <c r="E210">
        <f t="shared" si="22"/>
        <v>2017</v>
      </c>
      <c r="F210" t="str">
        <f>CONCATENATE(calendar[[#This Row],[Month]],"/",calendar[[#This Row],[Year]])</f>
        <v>7/2017</v>
      </c>
      <c r="G210">
        <f>WEEKDAY(calendar[[#This Row],[Date]],1)</f>
        <v>6</v>
      </c>
      <c r="H210" t="str">
        <f>TEXT(calendar[[#This Row],[WeekDay]],"dddd")</f>
        <v>Friday</v>
      </c>
      <c r="I210">
        <f>IF((INT(calendar[[#This Row],[Count]]/7)-calendar[[#This Row],[Count]]/7)&lt;0,I209,I209+1)</f>
        <v>30</v>
      </c>
      <c r="J210">
        <f t="shared" si="19"/>
        <v>208</v>
      </c>
      <c r="K210">
        <f>IF(calendar[[#This Row],[Month]]&lt;4,1,IF(calendar[[#This Row],[Month]]&lt;7,2,IF(calendar[[#This Row],[Month]]&lt;10,3,4)))</f>
        <v>3</v>
      </c>
      <c r="L210">
        <f>IFERROR(IF(VLOOKUP(calendar[[#This Row],[Date]],BH!A:A,1,)&lt;&gt;"",1,0),0)</f>
        <v>0</v>
      </c>
      <c r="M210">
        <f>IFERROR(IF(VLOOKUP(calendar[[#This Row],[Date]],BH!C:C,1,)&lt;&gt;"",1,0),0)</f>
        <v>0</v>
      </c>
      <c r="N210">
        <f>IFERROR(IF(VLOOKUP(calendar[[#This Row],[Date]],BH!E:E,1,)&lt;&gt;"",1,0),0)</f>
        <v>0</v>
      </c>
      <c r="O210">
        <f>IFERROR(IF(VLOOKUP(calendar[[#This Row],[Date]],BH!G:G,1,)&lt;&gt;"",1,0),0)</f>
        <v>0</v>
      </c>
      <c r="P210">
        <f>IF(OR(calendar[[#This Row],[UK_BH]]=1,calendar[[#This Row],[WeekDay]]=1, calendar[[#This Row],[WeekDay]]=7),P209,P209+1)</f>
        <v>150</v>
      </c>
      <c r="Q210">
        <f>IF(OR(calendar[[#This Row],[FR_BH]]=1,calendar[[#This Row],[WeekDay]]=1, calendar[[#This Row],[WeekDay]]=7),P209,P209+1)</f>
        <v>150</v>
      </c>
      <c r="R210">
        <f>IF(OR(calendar[[#This Row],[SP_BH]]=1,calendar[[#This Row],[WeekDay]]=1, calendar[[#This Row],[WeekDay]]=7),P209,P209+1)</f>
        <v>150</v>
      </c>
      <c r="S210">
        <f>IF(OR(calendar[[#This Row],[PT_BH]]=1,calendar[[#This Row],[WeekDay]]=1, calendar[[#This Row],[WeekDay]]=7),P209,P209+1)</f>
        <v>150</v>
      </c>
    </row>
    <row r="211" spans="1:19" x14ac:dyDescent="0.25">
      <c r="A211" s="2">
        <v>42945</v>
      </c>
      <c r="B211" s="1">
        <f t="shared" si="18"/>
        <v>30</v>
      </c>
      <c r="C211">
        <f t="shared" si="20"/>
        <v>7</v>
      </c>
      <c r="D211" t="str">
        <f t="shared" si="21"/>
        <v>July</v>
      </c>
      <c r="E211">
        <f t="shared" si="22"/>
        <v>2017</v>
      </c>
      <c r="F211" t="str">
        <f>CONCATENATE(calendar[[#This Row],[Month]],"/",calendar[[#This Row],[Year]])</f>
        <v>7/2017</v>
      </c>
      <c r="G211">
        <f>WEEKDAY(calendar[[#This Row],[Date]],1)</f>
        <v>7</v>
      </c>
      <c r="H211" t="str">
        <f>TEXT(calendar[[#This Row],[WeekDay]],"dddd")</f>
        <v>Saturday</v>
      </c>
      <c r="I211">
        <f>IF((INT(calendar[[#This Row],[Count]]/7)-calendar[[#This Row],[Count]]/7)&lt;0,I210,I210+1)</f>
        <v>30</v>
      </c>
      <c r="J211">
        <f t="shared" si="19"/>
        <v>209</v>
      </c>
      <c r="K211">
        <f>IF(calendar[[#This Row],[Month]]&lt;4,1,IF(calendar[[#This Row],[Month]]&lt;7,2,IF(calendar[[#This Row],[Month]]&lt;10,3,4)))</f>
        <v>3</v>
      </c>
      <c r="L211">
        <f>IFERROR(IF(VLOOKUP(calendar[[#This Row],[Date]],BH!A:A,1,)&lt;&gt;"",1,0),0)</f>
        <v>0</v>
      </c>
      <c r="M211">
        <f>IFERROR(IF(VLOOKUP(calendar[[#This Row],[Date]],BH!C:C,1,)&lt;&gt;"",1,0),0)</f>
        <v>0</v>
      </c>
      <c r="N211">
        <f>IFERROR(IF(VLOOKUP(calendar[[#This Row],[Date]],BH!E:E,1,)&lt;&gt;"",1,0),0)</f>
        <v>0</v>
      </c>
      <c r="O211">
        <f>IFERROR(IF(VLOOKUP(calendar[[#This Row],[Date]],BH!G:G,1,)&lt;&gt;"",1,0),0)</f>
        <v>0</v>
      </c>
      <c r="P211">
        <f>IF(OR(calendar[[#This Row],[UK_BH]]=1,calendar[[#This Row],[WeekDay]]=1, calendar[[#This Row],[WeekDay]]=7),P210,P210+1)</f>
        <v>150</v>
      </c>
      <c r="Q211">
        <f>IF(OR(calendar[[#This Row],[FR_BH]]=1,calendar[[#This Row],[WeekDay]]=1, calendar[[#This Row],[WeekDay]]=7),P210,P210+1)</f>
        <v>150</v>
      </c>
      <c r="R211">
        <f>IF(OR(calendar[[#This Row],[SP_BH]]=1,calendar[[#This Row],[WeekDay]]=1, calendar[[#This Row],[WeekDay]]=7),P210,P210+1)</f>
        <v>150</v>
      </c>
      <c r="S211">
        <f>IF(OR(calendar[[#This Row],[PT_BH]]=1,calendar[[#This Row],[WeekDay]]=1, calendar[[#This Row],[WeekDay]]=7),P210,P210+1)</f>
        <v>150</v>
      </c>
    </row>
    <row r="212" spans="1:19" x14ac:dyDescent="0.25">
      <c r="A212" s="2">
        <v>42946</v>
      </c>
      <c r="B212" s="1">
        <f t="shared" si="18"/>
        <v>31</v>
      </c>
      <c r="C212">
        <f t="shared" si="20"/>
        <v>7</v>
      </c>
      <c r="D212" t="str">
        <f t="shared" si="21"/>
        <v>July</v>
      </c>
      <c r="E212">
        <f t="shared" si="22"/>
        <v>2017</v>
      </c>
      <c r="F212" t="str">
        <f>CONCATENATE(calendar[[#This Row],[Month]],"/",calendar[[#This Row],[Year]])</f>
        <v>7/2017</v>
      </c>
      <c r="G212">
        <f>WEEKDAY(calendar[[#This Row],[Date]],1)</f>
        <v>1</v>
      </c>
      <c r="H212" t="str">
        <f>TEXT(calendar[[#This Row],[WeekDay]],"dddd")</f>
        <v>Sunday</v>
      </c>
      <c r="I212">
        <f>IF((INT(calendar[[#This Row],[Count]]/7)-calendar[[#This Row],[Count]]/7)&lt;0,I211,I211+1)</f>
        <v>31</v>
      </c>
      <c r="J212">
        <f t="shared" si="19"/>
        <v>210</v>
      </c>
      <c r="K212">
        <f>IF(calendar[[#This Row],[Month]]&lt;4,1,IF(calendar[[#This Row],[Month]]&lt;7,2,IF(calendar[[#This Row],[Month]]&lt;10,3,4)))</f>
        <v>3</v>
      </c>
      <c r="L212">
        <f>IFERROR(IF(VLOOKUP(calendar[[#This Row],[Date]],BH!A:A,1,)&lt;&gt;"",1,0),0)</f>
        <v>0</v>
      </c>
      <c r="M212">
        <f>IFERROR(IF(VLOOKUP(calendar[[#This Row],[Date]],BH!C:C,1,)&lt;&gt;"",1,0),0)</f>
        <v>0</v>
      </c>
      <c r="N212">
        <f>IFERROR(IF(VLOOKUP(calendar[[#This Row],[Date]],BH!E:E,1,)&lt;&gt;"",1,0),0)</f>
        <v>0</v>
      </c>
      <c r="O212">
        <f>IFERROR(IF(VLOOKUP(calendar[[#This Row],[Date]],BH!G:G,1,)&lt;&gt;"",1,0),0)</f>
        <v>0</v>
      </c>
      <c r="P212">
        <f>IF(OR(calendar[[#This Row],[UK_BH]]=1,calendar[[#This Row],[WeekDay]]=1, calendar[[#This Row],[WeekDay]]=7),P211,P211+1)</f>
        <v>150</v>
      </c>
      <c r="Q212">
        <f>IF(OR(calendar[[#This Row],[FR_BH]]=1,calendar[[#This Row],[WeekDay]]=1, calendar[[#This Row],[WeekDay]]=7),P211,P211+1)</f>
        <v>150</v>
      </c>
      <c r="R212">
        <f>IF(OR(calendar[[#This Row],[SP_BH]]=1,calendar[[#This Row],[WeekDay]]=1, calendar[[#This Row],[WeekDay]]=7),P211,P211+1)</f>
        <v>150</v>
      </c>
      <c r="S212">
        <f>IF(OR(calendar[[#This Row],[PT_BH]]=1,calendar[[#This Row],[WeekDay]]=1, calendar[[#This Row],[WeekDay]]=7),P211,P211+1)</f>
        <v>150</v>
      </c>
    </row>
    <row r="213" spans="1:19" x14ac:dyDescent="0.25">
      <c r="A213" s="2">
        <v>42947</v>
      </c>
      <c r="B213" s="1">
        <f t="shared" si="18"/>
        <v>31</v>
      </c>
      <c r="C213">
        <f t="shared" si="20"/>
        <v>7</v>
      </c>
      <c r="D213" t="str">
        <f t="shared" si="21"/>
        <v>July</v>
      </c>
      <c r="E213">
        <f t="shared" si="22"/>
        <v>2017</v>
      </c>
      <c r="F213" t="str">
        <f>CONCATENATE(calendar[[#This Row],[Month]],"/",calendar[[#This Row],[Year]])</f>
        <v>7/2017</v>
      </c>
      <c r="G213">
        <f>WEEKDAY(calendar[[#This Row],[Date]],1)</f>
        <v>2</v>
      </c>
      <c r="H213" t="str">
        <f>TEXT(calendar[[#This Row],[WeekDay]],"dddd")</f>
        <v>Monday</v>
      </c>
      <c r="I213">
        <f>IF((INT(calendar[[#This Row],[Count]]/7)-calendar[[#This Row],[Count]]/7)&lt;0,I212,I212+1)</f>
        <v>31</v>
      </c>
      <c r="J213">
        <f t="shared" si="19"/>
        <v>211</v>
      </c>
      <c r="K213">
        <f>IF(calendar[[#This Row],[Month]]&lt;4,1,IF(calendar[[#This Row],[Month]]&lt;7,2,IF(calendar[[#This Row],[Month]]&lt;10,3,4)))</f>
        <v>3</v>
      </c>
      <c r="L213">
        <f>IFERROR(IF(VLOOKUP(calendar[[#This Row],[Date]],BH!A:A,1,)&lt;&gt;"",1,0),0)</f>
        <v>0</v>
      </c>
      <c r="M213">
        <f>IFERROR(IF(VLOOKUP(calendar[[#This Row],[Date]],BH!C:C,1,)&lt;&gt;"",1,0),0)</f>
        <v>0</v>
      </c>
      <c r="N213">
        <f>IFERROR(IF(VLOOKUP(calendar[[#This Row],[Date]],BH!E:E,1,)&lt;&gt;"",1,0),0)</f>
        <v>0</v>
      </c>
      <c r="O213">
        <f>IFERROR(IF(VLOOKUP(calendar[[#This Row],[Date]],BH!G:G,1,)&lt;&gt;"",1,0),0)</f>
        <v>0</v>
      </c>
      <c r="P213">
        <f>IF(OR(calendar[[#This Row],[UK_BH]]=1,calendar[[#This Row],[WeekDay]]=1, calendar[[#This Row],[WeekDay]]=7),P212,P212+1)</f>
        <v>151</v>
      </c>
      <c r="Q213">
        <f>IF(OR(calendar[[#This Row],[FR_BH]]=1,calendar[[#This Row],[WeekDay]]=1, calendar[[#This Row],[WeekDay]]=7),P212,P212+1)</f>
        <v>151</v>
      </c>
      <c r="R213">
        <f>IF(OR(calendar[[#This Row],[SP_BH]]=1,calendar[[#This Row],[WeekDay]]=1, calendar[[#This Row],[WeekDay]]=7),P212,P212+1)</f>
        <v>151</v>
      </c>
      <c r="S213">
        <f>IF(OR(calendar[[#This Row],[PT_BH]]=1,calendar[[#This Row],[WeekDay]]=1, calendar[[#This Row],[WeekDay]]=7),P212,P212+1)</f>
        <v>151</v>
      </c>
    </row>
    <row r="214" spans="1:19" x14ac:dyDescent="0.25">
      <c r="A214" s="2">
        <v>42948</v>
      </c>
      <c r="B214" s="1">
        <f t="shared" si="18"/>
        <v>31</v>
      </c>
      <c r="C214">
        <f t="shared" si="20"/>
        <v>8</v>
      </c>
      <c r="D214" t="str">
        <f t="shared" si="21"/>
        <v>August</v>
      </c>
      <c r="E214">
        <f t="shared" si="22"/>
        <v>2017</v>
      </c>
      <c r="F214" t="str">
        <f>CONCATENATE(calendar[[#This Row],[Month]],"/",calendar[[#This Row],[Year]])</f>
        <v>8/2017</v>
      </c>
      <c r="G214">
        <f>WEEKDAY(calendar[[#This Row],[Date]],1)</f>
        <v>3</v>
      </c>
      <c r="H214" t="str">
        <f>TEXT(calendar[[#This Row],[WeekDay]],"dddd")</f>
        <v>Tuesday</v>
      </c>
      <c r="I214">
        <f>IF((INT(calendar[[#This Row],[Count]]/7)-calendar[[#This Row],[Count]]/7)&lt;0,I213,I213+1)</f>
        <v>31</v>
      </c>
      <c r="J214">
        <f t="shared" si="19"/>
        <v>212</v>
      </c>
      <c r="K214">
        <f>IF(calendar[[#This Row],[Month]]&lt;4,1,IF(calendar[[#This Row],[Month]]&lt;7,2,IF(calendar[[#This Row],[Month]]&lt;10,3,4)))</f>
        <v>3</v>
      </c>
      <c r="L214">
        <f>IFERROR(IF(VLOOKUP(calendar[[#This Row],[Date]],BH!A:A,1,)&lt;&gt;"",1,0),0)</f>
        <v>0</v>
      </c>
      <c r="M214">
        <f>IFERROR(IF(VLOOKUP(calendar[[#This Row],[Date]],BH!C:C,1,)&lt;&gt;"",1,0),0)</f>
        <v>0</v>
      </c>
      <c r="N214">
        <f>IFERROR(IF(VLOOKUP(calendar[[#This Row],[Date]],BH!E:E,1,)&lt;&gt;"",1,0),0)</f>
        <v>0</v>
      </c>
      <c r="O214">
        <f>IFERROR(IF(VLOOKUP(calendar[[#This Row],[Date]],BH!G:G,1,)&lt;&gt;"",1,0),0)</f>
        <v>0</v>
      </c>
      <c r="P214">
        <f>IF(OR(calendar[[#This Row],[UK_BH]]=1,calendar[[#This Row],[WeekDay]]=1, calendar[[#This Row],[WeekDay]]=7),P213,P213+1)</f>
        <v>152</v>
      </c>
      <c r="Q214">
        <f>IF(OR(calendar[[#This Row],[FR_BH]]=1,calendar[[#This Row],[WeekDay]]=1, calendar[[#This Row],[WeekDay]]=7),P213,P213+1)</f>
        <v>152</v>
      </c>
      <c r="R214">
        <f>IF(OR(calendar[[#This Row],[SP_BH]]=1,calendar[[#This Row],[WeekDay]]=1, calendar[[#This Row],[WeekDay]]=7),P213,P213+1)</f>
        <v>152</v>
      </c>
      <c r="S214">
        <f>IF(OR(calendar[[#This Row],[PT_BH]]=1,calendar[[#This Row],[WeekDay]]=1, calendar[[#This Row],[WeekDay]]=7),P213,P213+1)</f>
        <v>152</v>
      </c>
    </row>
    <row r="215" spans="1:19" x14ac:dyDescent="0.25">
      <c r="A215" s="2">
        <v>42949</v>
      </c>
      <c r="B215" s="1">
        <f t="shared" si="18"/>
        <v>31</v>
      </c>
      <c r="C215">
        <f t="shared" si="20"/>
        <v>8</v>
      </c>
      <c r="D215" t="str">
        <f t="shared" si="21"/>
        <v>August</v>
      </c>
      <c r="E215">
        <f t="shared" si="22"/>
        <v>2017</v>
      </c>
      <c r="F215" t="str">
        <f>CONCATENATE(calendar[[#This Row],[Month]],"/",calendar[[#This Row],[Year]])</f>
        <v>8/2017</v>
      </c>
      <c r="G215">
        <f>WEEKDAY(calendar[[#This Row],[Date]],1)</f>
        <v>4</v>
      </c>
      <c r="H215" t="str">
        <f>TEXT(calendar[[#This Row],[WeekDay]],"dddd")</f>
        <v>Wednesday</v>
      </c>
      <c r="I215">
        <f>IF((INT(calendar[[#This Row],[Count]]/7)-calendar[[#This Row],[Count]]/7)&lt;0,I214,I214+1)</f>
        <v>31</v>
      </c>
      <c r="J215">
        <f t="shared" si="19"/>
        <v>213</v>
      </c>
      <c r="K215">
        <f>IF(calendar[[#This Row],[Month]]&lt;4,1,IF(calendar[[#This Row],[Month]]&lt;7,2,IF(calendar[[#This Row],[Month]]&lt;10,3,4)))</f>
        <v>3</v>
      </c>
      <c r="L215">
        <f>IFERROR(IF(VLOOKUP(calendar[[#This Row],[Date]],BH!A:A,1,)&lt;&gt;"",1,0),0)</f>
        <v>0</v>
      </c>
      <c r="M215">
        <f>IFERROR(IF(VLOOKUP(calendar[[#This Row],[Date]],BH!C:C,1,)&lt;&gt;"",1,0),0)</f>
        <v>0</v>
      </c>
      <c r="N215">
        <f>IFERROR(IF(VLOOKUP(calendar[[#This Row],[Date]],BH!E:E,1,)&lt;&gt;"",1,0),0)</f>
        <v>0</v>
      </c>
      <c r="O215">
        <f>IFERROR(IF(VLOOKUP(calendar[[#This Row],[Date]],BH!G:G,1,)&lt;&gt;"",1,0),0)</f>
        <v>0</v>
      </c>
      <c r="P215">
        <f>IF(OR(calendar[[#This Row],[UK_BH]]=1,calendar[[#This Row],[WeekDay]]=1, calendar[[#This Row],[WeekDay]]=7),P214,P214+1)</f>
        <v>153</v>
      </c>
      <c r="Q215">
        <f>IF(OR(calendar[[#This Row],[FR_BH]]=1,calendar[[#This Row],[WeekDay]]=1, calendar[[#This Row],[WeekDay]]=7),P214,P214+1)</f>
        <v>153</v>
      </c>
      <c r="R215">
        <f>IF(OR(calendar[[#This Row],[SP_BH]]=1,calendar[[#This Row],[WeekDay]]=1, calendar[[#This Row],[WeekDay]]=7),P214,P214+1)</f>
        <v>153</v>
      </c>
      <c r="S215">
        <f>IF(OR(calendar[[#This Row],[PT_BH]]=1,calendar[[#This Row],[WeekDay]]=1, calendar[[#This Row],[WeekDay]]=7),P214,P214+1)</f>
        <v>153</v>
      </c>
    </row>
    <row r="216" spans="1:19" x14ac:dyDescent="0.25">
      <c r="A216" s="2">
        <v>42950</v>
      </c>
      <c r="B216" s="1">
        <f t="shared" si="18"/>
        <v>31</v>
      </c>
      <c r="C216">
        <f t="shared" si="20"/>
        <v>8</v>
      </c>
      <c r="D216" t="str">
        <f t="shared" si="21"/>
        <v>August</v>
      </c>
      <c r="E216">
        <f t="shared" si="22"/>
        <v>2017</v>
      </c>
      <c r="F216" t="str">
        <f>CONCATENATE(calendar[[#This Row],[Month]],"/",calendar[[#This Row],[Year]])</f>
        <v>8/2017</v>
      </c>
      <c r="G216">
        <f>WEEKDAY(calendar[[#This Row],[Date]],1)</f>
        <v>5</v>
      </c>
      <c r="H216" t="str">
        <f>TEXT(calendar[[#This Row],[WeekDay]],"dddd")</f>
        <v>Thursday</v>
      </c>
      <c r="I216">
        <f>IF((INT(calendar[[#This Row],[Count]]/7)-calendar[[#This Row],[Count]]/7)&lt;0,I215,I215+1)</f>
        <v>31</v>
      </c>
      <c r="J216">
        <f t="shared" si="19"/>
        <v>214</v>
      </c>
      <c r="K216">
        <f>IF(calendar[[#This Row],[Month]]&lt;4,1,IF(calendar[[#This Row],[Month]]&lt;7,2,IF(calendar[[#This Row],[Month]]&lt;10,3,4)))</f>
        <v>3</v>
      </c>
      <c r="L216">
        <f>IFERROR(IF(VLOOKUP(calendar[[#This Row],[Date]],BH!A:A,1,)&lt;&gt;"",1,0),0)</f>
        <v>0</v>
      </c>
      <c r="M216">
        <f>IFERROR(IF(VLOOKUP(calendar[[#This Row],[Date]],BH!C:C,1,)&lt;&gt;"",1,0),0)</f>
        <v>0</v>
      </c>
      <c r="N216">
        <f>IFERROR(IF(VLOOKUP(calendar[[#This Row],[Date]],BH!E:E,1,)&lt;&gt;"",1,0),0)</f>
        <v>0</v>
      </c>
      <c r="O216">
        <f>IFERROR(IF(VLOOKUP(calendar[[#This Row],[Date]],BH!G:G,1,)&lt;&gt;"",1,0),0)</f>
        <v>0</v>
      </c>
      <c r="P216">
        <f>IF(OR(calendar[[#This Row],[UK_BH]]=1,calendar[[#This Row],[WeekDay]]=1, calendar[[#This Row],[WeekDay]]=7),P215,P215+1)</f>
        <v>154</v>
      </c>
      <c r="Q216">
        <f>IF(OR(calendar[[#This Row],[FR_BH]]=1,calendar[[#This Row],[WeekDay]]=1, calendar[[#This Row],[WeekDay]]=7),P215,P215+1)</f>
        <v>154</v>
      </c>
      <c r="R216">
        <f>IF(OR(calendar[[#This Row],[SP_BH]]=1,calendar[[#This Row],[WeekDay]]=1, calendar[[#This Row],[WeekDay]]=7),P215,P215+1)</f>
        <v>154</v>
      </c>
      <c r="S216">
        <f>IF(OR(calendar[[#This Row],[PT_BH]]=1,calendar[[#This Row],[WeekDay]]=1, calendar[[#This Row],[WeekDay]]=7),P215,P215+1)</f>
        <v>154</v>
      </c>
    </row>
    <row r="217" spans="1:19" x14ac:dyDescent="0.25">
      <c r="A217" s="2">
        <v>42951</v>
      </c>
      <c r="B217" s="1">
        <f t="shared" si="18"/>
        <v>31</v>
      </c>
      <c r="C217">
        <f t="shared" si="20"/>
        <v>8</v>
      </c>
      <c r="D217" t="str">
        <f t="shared" si="21"/>
        <v>August</v>
      </c>
      <c r="E217">
        <f t="shared" si="22"/>
        <v>2017</v>
      </c>
      <c r="F217" t="str">
        <f>CONCATENATE(calendar[[#This Row],[Month]],"/",calendar[[#This Row],[Year]])</f>
        <v>8/2017</v>
      </c>
      <c r="G217">
        <f>WEEKDAY(calendar[[#This Row],[Date]],1)</f>
        <v>6</v>
      </c>
      <c r="H217" t="str">
        <f>TEXT(calendar[[#This Row],[WeekDay]],"dddd")</f>
        <v>Friday</v>
      </c>
      <c r="I217">
        <f>IF((INT(calendar[[#This Row],[Count]]/7)-calendar[[#This Row],[Count]]/7)&lt;0,I216,I216+1)</f>
        <v>31</v>
      </c>
      <c r="J217">
        <f t="shared" si="19"/>
        <v>215</v>
      </c>
      <c r="K217">
        <f>IF(calendar[[#This Row],[Month]]&lt;4,1,IF(calendar[[#This Row],[Month]]&lt;7,2,IF(calendar[[#This Row],[Month]]&lt;10,3,4)))</f>
        <v>3</v>
      </c>
      <c r="L217">
        <f>IFERROR(IF(VLOOKUP(calendar[[#This Row],[Date]],BH!A:A,1,)&lt;&gt;"",1,0),0)</f>
        <v>0</v>
      </c>
      <c r="M217">
        <f>IFERROR(IF(VLOOKUP(calendar[[#This Row],[Date]],BH!C:C,1,)&lt;&gt;"",1,0),0)</f>
        <v>0</v>
      </c>
      <c r="N217">
        <f>IFERROR(IF(VLOOKUP(calendar[[#This Row],[Date]],BH!E:E,1,)&lt;&gt;"",1,0),0)</f>
        <v>0</v>
      </c>
      <c r="O217">
        <f>IFERROR(IF(VLOOKUP(calendar[[#This Row],[Date]],BH!G:G,1,)&lt;&gt;"",1,0),0)</f>
        <v>0</v>
      </c>
      <c r="P217">
        <f>IF(OR(calendar[[#This Row],[UK_BH]]=1,calendar[[#This Row],[WeekDay]]=1, calendar[[#This Row],[WeekDay]]=7),P216,P216+1)</f>
        <v>155</v>
      </c>
      <c r="Q217">
        <f>IF(OR(calendar[[#This Row],[FR_BH]]=1,calendar[[#This Row],[WeekDay]]=1, calendar[[#This Row],[WeekDay]]=7),P216,P216+1)</f>
        <v>155</v>
      </c>
      <c r="R217">
        <f>IF(OR(calendar[[#This Row],[SP_BH]]=1,calendar[[#This Row],[WeekDay]]=1, calendar[[#This Row],[WeekDay]]=7),P216,P216+1)</f>
        <v>155</v>
      </c>
      <c r="S217">
        <f>IF(OR(calendar[[#This Row],[PT_BH]]=1,calendar[[#This Row],[WeekDay]]=1, calendar[[#This Row],[WeekDay]]=7),P216,P216+1)</f>
        <v>155</v>
      </c>
    </row>
    <row r="218" spans="1:19" x14ac:dyDescent="0.25">
      <c r="A218" s="2">
        <v>42952</v>
      </c>
      <c r="B218" s="1">
        <f t="shared" si="18"/>
        <v>31</v>
      </c>
      <c r="C218">
        <f t="shared" si="20"/>
        <v>8</v>
      </c>
      <c r="D218" t="str">
        <f t="shared" si="21"/>
        <v>August</v>
      </c>
      <c r="E218">
        <f t="shared" si="22"/>
        <v>2017</v>
      </c>
      <c r="F218" t="str">
        <f>CONCATENATE(calendar[[#This Row],[Month]],"/",calendar[[#This Row],[Year]])</f>
        <v>8/2017</v>
      </c>
      <c r="G218">
        <f>WEEKDAY(calendar[[#This Row],[Date]],1)</f>
        <v>7</v>
      </c>
      <c r="H218" t="str">
        <f>TEXT(calendar[[#This Row],[WeekDay]],"dddd")</f>
        <v>Saturday</v>
      </c>
      <c r="I218">
        <f>IF((INT(calendar[[#This Row],[Count]]/7)-calendar[[#This Row],[Count]]/7)&lt;0,I217,I217+1)</f>
        <v>31</v>
      </c>
      <c r="J218">
        <f t="shared" si="19"/>
        <v>216</v>
      </c>
      <c r="K218">
        <f>IF(calendar[[#This Row],[Month]]&lt;4,1,IF(calendar[[#This Row],[Month]]&lt;7,2,IF(calendar[[#This Row],[Month]]&lt;10,3,4)))</f>
        <v>3</v>
      </c>
      <c r="L218">
        <f>IFERROR(IF(VLOOKUP(calendar[[#This Row],[Date]],BH!A:A,1,)&lt;&gt;"",1,0),0)</f>
        <v>0</v>
      </c>
      <c r="M218">
        <f>IFERROR(IF(VLOOKUP(calendar[[#This Row],[Date]],BH!C:C,1,)&lt;&gt;"",1,0),0)</f>
        <v>0</v>
      </c>
      <c r="N218">
        <f>IFERROR(IF(VLOOKUP(calendar[[#This Row],[Date]],BH!E:E,1,)&lt;&gt;"",1,0),0)</f>
        <v>0</v>
      </c>
      <c r="O218">
        <f>IFERROR(IF(VLOOKUP(calendar[[#This Row],[Date]],BH!G:G,1,)&lt;&gt;"",1,0),0)</f>
        <v>0</v>
      </c>
      <c r="P218">
        <f>IF(OR(calendar[[#This Row],[UK_BH]]=1,calendar[[#This Row],[WeekDay]]=1, calendar[[#This Row],[WeekDay]]=7),P217,P217+1)</f>
        <v>155</v>
      </c>
      <c r="Q218">
        <f>IF(OR(calendar[[#This Row],[FR_BH]]=1,calendar[[#This Row],[WeekDay]]=1, calendar[[#This Row],[WeekDay]]=7),P217,P217+1)</f>
        <v>155</v>
      </c>
      <c r="R218">
        <f>IF(OR(calendar[[#This Row],[SP_BH]]=1,calendar[[#This Row],[WeekDay]]=1, calendar[[#This Row],[WeekDay]]=7),P217,P217+1)</f>
        <v>155</v>
      </c>
      <c r="S218">
        <f>IF(OR(calendar[[#This Row],[PT_BH]]=1,calendar[[#This Row],[WeekDay]]=1, calendar[[#This Row],[WeekDay]]=7),P217,P217+1)</f>
        <v>155</v>
      </c>
    </row>
    <row r="219" spans="1:19" x14ac:dyDescent="0.25">
      <c r="A219" s="2">
        <v>42953</v>
      </c>
      <c r="B219" s="1">
        <f t="shared" si="18"/>
        <v>32</v>
      </c>
      <c r="C219">
        <f t="shared" si="20"/>
        <v>8</v>
      </c>
      <c r="D219" t="str">
        <f t="shared" si="21"/>
        <v>August</v>
      </c>
      <c r="E219">
        <f t="shared" si="22"/>
        <v>2017</v>
      </c>
      <c r="F219" t="str">
        <f>CONCATENATE(calendar[[#This Row],[Month]],"/",calendar[[#This Row],[Year]])</f>
        <v>8/2017</v>
      </c>
      <c r="G219">
        <f>WEEKDAY(calendar[[#This Row],[Date]],1)</f>
        <v>1</v>
      </c>
      <c r="H219" t="str">
        <f>TEXT(calendar[[#This Row],[WeekDay]],"dddd")</f>
        <v>Sunday</v>
      </c>
      <c r="I219">
        <f>IF((INT(calendar[[#This Row],[Count]]/7)-calendar[[#This Row],[Count]]/7)&lt;0,I218,I218+1)</f>
        <v>32</v>
      </c>
      <c r="J219">
        <f t="shared" si="19"/>
        <v>217</v>
      </c>
      <c r="K219">
        <f>IF(calendar[[#This Row],[Month]]&lt;4,1,IF(calendar[[#This Row],[Month]]&lt;7,2,IF(calendar[[#This Row],[Month]]&lt;10,3,4)))</f>
        <v>3</v>
      </c>
      <c r="L219">
        <f>IFERROR(IF(VLOOKUP(calendar[[#This Row],[Date]],BH!A:A,1,)&lt;&gt;"",1,0),0)</f>
        <v>0</v>
      </c>
      <c r="M219">
        <f>IFERROR(IF(VLOOKUP(calendar[[#This Row],[Date]],BH!C:C,1,)&lt;&gt;"",1,0),0)</f>
        <v>0</v>
      </c>
      <c r="N219">
        <f>IFERROR(IF(VLOOKUP(calendar[[#This Row],[Date]],BH!E:E,1,)&lt;&gt;"",1,0),0)</f>
        <v>0</v>
      </c>
      <c r="O219">
        <f>IFERROR(IF(VLOOKUP(calendar[[#This Row],[Date]],BH!G:G,1,)&lt;&gt;"",1,0),0)</f>
        <v>0</v>
      </c>
      <c r="P219">
        <f>IF(OR(calendar[[#This Row],[UK_BH]]=1,calendar[[#This Row],[WeekDay]]=1, calendar[[#This Row],[WeekDay]]=7),P218,P218+1)</f>
        <v>155</v>
      </c>
      <c r="Q219">
        <f>IF(OR(calendar[[#This Row],[FR_BH]]=1,calendar[[#This Row],[WeekDay]]=1, calendar[[#This Row],[WeekDay]]=7),P218,P218+1)</f>
        <v>155</v>
      </c>
      <c r="R219">
        <f>IF(OR(calendar[[#This Row],[SP_BH]]=1,calendar[[#This Row],[WeekDay]]=1, calendar[[#This Row],[WeekDay]]=7),P218,P218+1)</f>
        <v>155</v>
      </c>
      <c r="S219">
        <f>IF(OR(calendar[[#This Row],[PT_BH]]=1,calendar[[#This Row],[WeekDay]]=1, calendar[[#This Row],[WeekDay]]=7),P218,P218+1)</f>
        <v>155</v>
      </c>
    </row>
    <row r="220" spans="1:19" x14ac:dyDescent="0.25">
      <c r="A220" s="2">
        <v>42954</v>
      </c>
      <c r="B220" s="1">
        <f t="shared" si="18"/>
        <v>32</v>
      </c>
      <c r="C220">
        <f t="shared" si="20"/>
        <v>8</v>
      </c>
      <c r="D220" t="str">
        <f t="shared" si="21"/>
        <v>August</v>
      </c>
      <c r="E220">
        <f t="shared" si="22"/>
        <v>2017</v>
      </c>
      <c r="F220" t="str">
        <f>CONCATENATE(calendar[[#This Row],[Month]],"/",calendar[[#This Row],[Year]])</f>
        <v>8/2017</v>
      </c>
      <c r="G220">
        <f>WEEKDAY(calendar[[#This Row],[Date]],1)</f>
        <v>2</v>
      </c>
      <c r="H220" t="str">
        <f>TEXT(calendar[[#This Row],[WeekDay]],"dddd")</f>
        <v>Monday</v>
      </c>
      <c r="I220">
        <f>IF((INT(calendar[[#This Row],[Count]]/7)-calendar[[#This Row],[Count]]/7)&lt;0,I219,I219+1)</f>
        <v>32</v>
      </c>
      <c r="J220">
        <f t="shared" si="19"/>
        <v>218</v>
      </c>
      <c r="K220">
        <f>IF(calendar[[#This Row],[Month]]&lt;4,1,IF(calendar[[#This Row],[Month]]&lt;7,2,IF(calendar[[#This Row],[Month]]&lt;10,3,4)))</f>
        <v>3</v>
      </c>
      <c r="L220">
        <f>IFERROR(IF(VLOOKUP(calendar[[#This Row],[Date]],BH!A:A,1,)&lt;&gt;"",1,0),0)</f>
        <v>0</v>
      </c>
      <c r="M220">
        <f>IFERROR(IF(VLOOKUP(calendar[[#This Row],[Date]],BH!C:C,1,)&lt;&gt;"",1,0),0)</f>
        <v>0</v>
      </c>
      <c r="N220">
        <f>IFERROR(IF(VLOOKUP(calendar[[#This Row],[Date]],BH!E:E,1,)&lt;&gt;"",1,0),0)</f>
        <v>0</v>
      </c>
      <c r="O220">
        <f>IFERROR(IF(VLOOKUP(calendar[[#This Row],[Date]],BH!G:G,1,)&lt;&gt;"",1,0),0)</f>
        <v>0</v>
      </c>
      <c r="P220">
        <f>IF(OR(calendar[[#This Row],[UK_BH]]=1,calendar[[#This Row],[WeekDay]]=1, calendar[[#This Row],[WeekDay]]=7),P219,P219+1)</f>
        <v>156</v>
      </c>
      <c r="Q220">
        <f>IF(OR(calendar[[#This Row],[FR_BH]]=1,calendar[[#This Row],[WeekDay]]=1, calendar[[#This Row],[WeekDay]]=7),P219,P219+1)</f>
        <v>156</v>
      </c>
      <c r="R220">
        <f>IF(OR(calendar[[#This Row],[SP_BH]]=1,calendar[[#This Row],[WeekDay]]=1, calendar[[#This Row],[WeekDay]]=7),P219,P219+1)</f>
        <v>156</v>
      </c>
      <c r="S220">
        <f>IF(OR(calendar[[#This Row],[PT_BH]]=1,calendar[[#This Row],[WeekDay]]=1, calendar[[#This Row],[WeekDay]]=7),P219,P219+1)</f>
        <v>156</v>
      </c>
    </row>
    <row r="221" spans="1:19" x14ac:dyDescent="0.25">
      <c r="A221" s="2">
        <v>42955</v>
      </c>
      <c r="B221" s="1">
        <f t="shared" si="18"/>
        <v>32</v>
      </c>
      <c r="C221">
        <f t="shared" si="20"/>
        <v>8</v>
      </c>
      <c r="D221" t="str">
        <f t="shared" si="21"/>
        <v>August</v>
      </c>
      <c r="E221">
        <f t="shared" si="22"/>
        <v>2017</v>
      </c>
      <c r="F221" t="str">
        <f>CONCATENATE(calendar[[#This Row],[Month]],"/",calendar[[#This Row],[Year]])</f>
        <v>8/2017</v>
      </c>
      <c r="G221">
        <f>WEEKDAY(calendar[[#This Row],[Date]],1)</f>
        <v>3</v>
      </c>
      <c r="H221" t="str">
        <f>TEXT(calendar[[#This Row],[WeekDay]],"dddd")</f>
        <v>Tuesday</v>
      </c>
      <c r="I221">
        <f>IF((INT(calendar[[#This Row],[Count]]/7)-calendar[[#This Row],[Count]]/7)&lt;0,I220,I220+1)</f>
        <v>32</v>
      </c>
      <c r="J221">
        <f t="shared" si="19"/>
        <v>219</v>
      </c>
      <c r="K221">
        <f>IF(calendar[[#This Row],[Month]]&lt;4,1,IF(calendar[[#This Row],[Month]]&lt;7,2,IF(calendar[[#This Row],[Month]]&lt;10,3,4)))</f>
        <v>3</v>
      </c>
      <c r="L221">
        <f>IFERROR(IF(VLOOKUP(calendar[[#This Row],[Date]],BH!A:A,1,)&lt;&gt;"",1,0),0)</f>
        <v>0</v>
      </c>
      <c r="M221">
        <f>IFERROR(IF(VLOOKUP(calendar[[#This Row],[Date]],BH!C:C,1,)&lt;&gt;"",1,0),0)</f>
        <v>0</v>
      </c>
      <c r="N221">
        <f>IFERROR(IF(VLOOKUP(calendar[[#This Row],[Date]],BH!E:E,1,)&lt;&gt;"",1,0),0)</f>
        <v>0</v>
      </c>
      <c r="O221">
        <f>IFERROR(IF(VLOOKUP(calendar[[#This Row],[Date]],BH!G:G,1,)&lt;&gt;"",1,0),0)</f>
        <v>0</v>
      </c>
      <c r="P221">
        <f>IF(OR(calendar[[#This Row],[UK_BH]]=1,calendar[[#This Row],[WeekDay]]=1, calendar[[#This Row],[WeekDay]]=7),P220,P220+1)</f>
        <v>157</v>
      </c>
      <c r="Q221">
        <f>IF(OR(calendar[[#This Row],[FR_BH]]=1,calendar[[#This Row],[WeekDay]]=1, calendar[[#This Row],[WeekDay]]=7),P220,P220+1)</f>
        <v>157</v>
      </c>
      <c r="R221">
        <f>IF(OR(calendar[[#This Row],[SP_BH]]=1,calendar[[#This Row],[WeekDay]]=1, calendar[[#This Row],[WeekDay]]=7),P220,P220+1)</f>
        <v>157</v>
      </c>
      <c r="S221">
        <f>IF(OR(calendar[[#This Row],[PT_BH]]=1,calendar[[#This Row],[WeekDay]]=1, calendar[[#This Row],[WeekDay]]=7),P220,P220+1)</f>
        <v>157</v>
      </c>
    </row>
    <row r="222" spans="1:19" x14ac:dyDescent="0.25">
      <c r="A222" s="2">
        <v>42956</v>
      </c>
      <c r="B222" s="1">
        <f t="shared" si="18"/>
        <v>32</v>
      </c>
      <c r="C222">
        <f t="shared" si="20"/>
        <v>8</v>
      </c>
      <c r="D222" t="str">
        <f t="shared" si="21"/>
        <v>August</v>
      </c>
      <c r="E222">
        <f t="shared" si="22"/>
        <v>2017</v>
      </c>
      <c r="F222" t="str">
        <f>CONCATENATE(calendar[[#This Row],[Month]],"/",calendar[[#This Row],[Year]])</f>
        <v>8/2017</v>
      </c>
      <c r="G222">
        <f>WEEKDAY(calendar[[#This Row],[Date]],1)</f>
        <v>4</v>
      </c>
      <c r="H222" t="str">
        <f>TEXT(calendar[[#This Row],[WeekDay]],"dddd")</f>
        <v>Wednesday</v>
      </c>
      <c r="I222">
        <f>IF((INT(calendar[[#This Row],[Count]]/7)-calendar[[#This Row],[Count]]/7)&lt;0,I221,I221+1)</f>
        <v>32</v>
      </c>
      <c r="J222">
        <f t="shared" si="19"/>
        <v>220</v>
      </c>
      <c r="K222">
        <f>IF(calendar[[#This Row],[Month]]&lt;4,1,IF(calendar[[#This Row],[Month]]&lt;7,2,IF(calendar[[#This Row],[Month]]&lt;10,3,4)))</f>
        <v>3</v>
      </c>
      <c r="L222">
        <f>IFERROR(IF(VLOOKUP(calendar[[#This Row],[Date]],BH!A:A,1,)&lt;&gt;"",1,0),0)</f>
        <v>0</v>
      </c>
      <c r="M222">
        <f>IFERROR(IF(VLOOKUP(calendar[[#This Row],[Date]],BH!C:C,1,)&lt;&gt;"",1,0),0)</f>
        <v>0</v>
      </c>
      <c r="N222">
        <f>IFERROR(IF(VLOOKUP(calendar[[#This Row],[Date]],BH!E:E,1,)&lt;&gt;"",1,0),0)</f>
        <v>0</v>
      </c>
      <c r="O222">
        <f>IFERROR(IF(VLOOKUP(calendar[[#This Row],[Date]],BH!G:G,1,)&lt;&gt;"",1,0),0)</f>
        <v>0</v>
      </c>
      <c r="P222">
        <f>IF(OR(calendar[[#This Row],[UK_BH]]=1,calendar[[#This Row],[WeekDay]]=1, calendar[[#This Row],[WeekDay]]=7),P221,P221+1)</f>
        <v>158</v>
      </c>
      <c r="Q222">
        <f>IF(OR(calendar[[#This Row],[FR_BH]]=1,calendar[[#This Row],[WeekDay]]=1, calendar[[#This Row],[WeekDay]]=7),P221,P221+1)</f>
        <v>158</v>
      </c>
      <c r="R222">
        <f>IF(OR(calendar[[#This Row],[SP_BH]]=1,calendar[[#This Row],[WeekDay]]=1, calendar[[#This Row],[WeekDay]]=7),P221,P221+1)</f>
        <v>158</v>
      </c>
      <c r="S222">
        <f>IF(OR(calendar[[#This Row],[PT_BH]]=1,calendar[[#This Row],[WeekDay]]=1, calendar[[#This Row],[WeekDay]]=7),P221,P221+1)</f>
        <v>158</v>
      </c>
    </row>
    <row r="223" spans="1:19" x14ac:dyDescent="0.25">
      <c r="A223" s="2">
        <v>42957</v>
      </c>
      <c r="B223" s="1">
        <f t="shared" si="18"/>
        <v>32</v>
      </c>
      <c r="C223">
        <f t="shared" si="20"/>
        <v>8</v>
      </c>
      <c r="D223" t="str">
        <f t="shared" si="21"/>
        <v>August</v>
      </c>
      <c r="E223">
        <f t="shared" si="22"/>
        <v>2017</v>
      </c>
      <c r="F223" t="str">
        <f>CONCATENATE(calendar[[#This Row],[Month]],"/",calendar[[#This Row],[Year]])</f>
        <v>8/2017</v>
      </c>
      <c r="G223">
        <f>WEEKDAY(calendar[[#This Row],[Date]],1)</f>
        <v>5</v>
      </c>
      <c r="H223" t="str">
        <f>TEXT(calendar[[#This Row],[WeekDay]],"dddd")</f>
        <v>Thursday</v>
      </c>
      <c r="I223">
        <f>IF((INT(calendar[[#This Row],[Count]]/7)-calendar[[#This Row],[Count]]/7)&lt;0,I222,I222+1)</f>
        <v>32</v>
      </c>
      <c r="J223">
        <f t="shared" si="19"/>
        <v>221</v>
      </c>
      <c r="K223">
        <f>IF(calendar[[#This Row],[Month]]&lt;4,1,IF(calendar[[#This Row],[Month]]&lt;7,2,IF(calendar[[#This Row],[Month]]&lt;10,3,4)))</f>
        <v>3</v>
      </c>
      <c r="L223">
        <f>IFERROR(IF(VLOOKUP(calendar[[#This Row],[Date]],BH!A:A,1,)&lt;&gt;"",1,0),0)</f>
        <v>0</v>
      </c>
      <c r="M223">
        <f>IFERROR(IF(VLOOKUP(calendar[[#This Row],[Date]],BH!C:C,1,)&lt;&gt;"",1,0),0)</f>
        <v>0</v>
      </c>
      <c r="N223">
        <f>IFERROR(IF(VLOOKUP(calendar[[#This Row],[Date]],BH!E:E,1,)&lt;&gt;"",1,0),0)</f>
        <v>0</v>
      </c>
      <c r="O223">
        <f>IFERROR(IF(VLOOKUP(calendar[[#This Row],[Date]],BH!G:G,1,)&lt;&gt;"",1,0),0)</f>
        <v>0</v>
      </c>
      <c r="P223">
        <f>IF(OR(calendar[[#This Row],[UK_BH]]=1,calendar[[#This Row],[WeekDay]]=1, calendar[[#This Row],[WeekDay]]=7),P222,P222+1)</f>
        <v>159</v>
      </c>
      <c r="Q223">
        <f>IF(OR(calendar[[#This Row],[FR_BH]]=1,calendar[[#This Row],[WeekDay]]=1, calendar[[#This Row],[WeekDay]]=7),P222,P222+1)</f>
        <v>159</v>
      </c>
      <c r="R223">
        <f>IF(OR(calendar[[#This Row],[SP_BH]]=1,calendar[[#This Row],[WeekDay]]=1, calendar[[#This Row],[WeekDay]]=7),P222,P222+1)</f>
        <v>159</v>
      </c>
      <c r="S223">
        <f>IF(OR(calendar[[#This Row],[PT_BH]]=1,calendar[[#This Row],[WeekDay]]=1, calendar[[#This Row],[WeekDay]]=7),P222,P222+1)</f>
        <v>159</v>
      </c>
    </row>
    <row r="224" spans="1:19" x14ac:dyDescent="0.25">
      <c r="A224" s="2">
        <v>42958</v>
      </c>
      <c r="B224" s="1">
        <f t="shared" si="18"/>
        <v>32</v>
      </c>
      <c r="C224">
        <f t="shared" si="20"/>
        <v>8</v>
      </c>
      <c r="D224" t="str">
        <f t="shared" si="21"/>
        <v>August</v>
      </c>
      <c r="E224">
        <f t="shared" si="22"/>
        <v>2017</v>
      </c>
      <c r="F224" t="str">
        <f>CONCATENATE(calendar[[#This Row],[Month]],"/",calendar[[#This Row],[Year]])</f>
        <v>8/2017</v>
      </c>
      <c r="G224">
        <f>WEEKDAY(calendar[[#This Row],[Date]],1)</f>
        <v>6</v>
      </c>
      <c r="H224" t="str">
        <f>TEXT(calendar[[#This Row],[WeekDay]],"dddd")</f>
        <v>Friday</v>
      </c>
      <c r="I224">
        <f>IF((INT(calendar[[#This Row],[Count]]/7)-calendar[[#This Row],[Count]]/7)&lt;0,I223,I223+1)</f>
        <v>32</v>
      </c>
      <c r="J224">
        <f t="shared" si="19"/>
        <v>222</v>
      </c>
      <c r="K224">
        <f>IF(calendar[[#This Row],[Month]]&lt;4,1,IF(calendar[[#This Row],[Month]]&lt;7,2,IF(calendar[[#This Row],[Month]]&lt;10,3,4)))</f>
        <v>3</v>
      </c>
      <c r="L224">
        <f>IFERROR(IF(VLOOKUP(calendar[[#This Row],[Date]],BH!A:A,1,)&lt;&gt;"",1,0),0)</f>
        <v>0</v>
      </c>
      <c r="M224">
        <f>IFERROR(IF(VLOOKUP(calendar[[#This Row],[Date]],BH!C:C,1,)&lt;&gt;"",1,0),0)</f>
        <v>0</v>
      </c>
      <c r="N224">
        <f>IFERROR(IF(VLOOKUP(calendar[[#This Row],[Date]],BH!E:E,1,)&lt;&gt;"",1,0),0)</f>
        <v>0</v>
      </c>
      <c r="O224">
        <f>IFERROR(IF(VLOOKUP(calendar[[#This Row],[Date]],BH!G:G,1,)&lt;&gt;"",1,0),0)</f>
        <v>0</v>
      </c>
      <c r="P224">
        <f>IF(OR(calendar[[#This Row],[UK_BH]]=1,calendar[[#This Row],[WeekDay]]=1, calendar[[#This Row],[WeekDay]]=7),P223,P223+1)</f>
        <v>160</v>
      </c>
      <c r="Q224">
        <f>IF(OR(calendar[[#This Row],[FR_BH]]=1,calendar[[#This Row],[WeekDay]]=1, calendar[[#This Row],[WeekDay]]=7),P223,P223+1)</f>
        <v>160</v>
      </c>
      <c r="R224">
        <f>IF(OR(calendar[[#This Row],[SP_BH]]=1,calendar[[#This Row],[WeekDay]]=1, calendar[[#This Row],[WeekDay]]=7),P223,P223+1)</f>
        <v>160</v>
      </c>
      <c r="S224">
        <f>IF(OR(calendar[[#This Row],[PT_BH]]=1,calendar[[#This Row],[WeekDay]]=1, calendar[[#This Row],[WeekDay]]=7),P223,P223+1)</f>
        <v>160</v>
      </c>
    </row>
    <row r="225" spans="1:19" x14ac:dyDescent="0.25">
      <c r="A225" s="2">
        <v>42959</v>
      </c>
      <c r="B225" s="1">
        <f t="shared" si="18"/>
        <v>32</v>
      </c>
      <c r="C225">
        <f t="shared" si="20"/>
        <v>8</v>
      </c>
      <c r="D225" t="str">
        <f t="shared" si="21"/>
        <v>August</v>
      </c>
      <c r="E225">
        <f t="shared" si="22"/>
        <v>2017</v>
      </c>
      <c r="F225" t="str">
        <f>CONCATENATE(calendar[[#This Row],[Month]],"/",calendar[[#This Row],[Year]])</f>
        <v>8/2017</v>
      </c>
      <c r="G225">
        <f>WEEKDAY(calendar[[#This Row],[Date]],1)</f>
        <v>7</v>
      </c>
      <c r="H225" t="str">
        <f>TEXT(calendar[[#This Row],[WeekDay]],"dddd")</f>
        <v>Saturday</v>
      </c>
      <c r="I225">
        <f>IF((INT(calendar[[#This Row],[Count]]/7)-calendar[[#This Row],[Count]]/7)&lt;0,I224,I224+1)</f>
        <v>32</v>
      </c>
      <c r="J225">
        <f t="shared" si="19"/>
        <v>223</v>
      </c>
      <c r="K225">
        <f>IF(calendar[[#This Row],[Month]]&lt;4,1,IF(calendar[[#This Row],[Month]]&lt;7,2,IF(calendar[[#This Row],[Month]]&lt;10,3,4)))</f>
        <v>3</v>
      </c>
      <c r="L225">
        <f>IFERROR(IF(VLOOKUP(calendar[[#This Row],[Date]],BH!A:A,1,)&lt;&gt;"",1,0),0)</f>
        <v>0</v>
      </c>
      <c r="M225">
        <f>IFERROR(IF(VLOOKUP(calendar[[#This Row],[Date]],BH!C:C,1,)&lt;&gt;"",1,0),0)</f>
        <v>0</v>
      </c>
      <c r="N225">
        <f>IFERROR(IF(VLOOKUP(calendar[[#This Row],[Date]],BH!E:E,1,)&lt;&gt;"",1,0),0)</f>
        <v>0</v>
      </c>
      <c r="O225">
        <f>IFERROR(IF(VLOOKUP(calendar[[#This Row],[Date]],BH!G:G,1,)&lt;&gt;"",1,0),0)</f>
        <v>0</v>
      </c>
      <c r="P225">
        <f>IF(OR(calendar[[#This Row],[UK_BH]]=1,calendar[[#This Row],[WeekDay]]=1, calendar[[#This Row],[WeekDay]]=7),P224,P224+1)</f>
        <v>160</v>
      </c>
      <c r="Q225">
        <f>IF(OR(calendar[[#This Row],[FR_BH]]=1,calendar[[#This Row],[WeekDay]]=1, calendar[[#This Row],[WeekDay]]=7),P224,P224+1)</f>
        <v>160</v>
      </c>
      <c r="R225">
        <f>IF(OR(calendar[[#This Row],[SP_BH]]=1,calendar[[#This Row],[WeekDay]]=1, calendar[[#This Row],[WeekDay]]=7),P224,P224+1)</f>
        <v>160</v>
      </c>
      <c r="S225">
        <f>IF(OR(calendar[[#This Row],[PT_BH]]=1,calendar[[#This Row],[WeekDay]]=1, calendar[[#This Row],[WeekDay]]=7),P224,P224+1)</f>
        <v>160</v>
      </c>
    </row>
    <row r="226" spans="1:19" x14ac:dyDescent="0.25">
      <c r="A226" s="2">
        <v>42960</v>
      </c>
      <c r="B226" s="1">
        <f t="shared" si="18"/>
        <v>33</v>
      </c>
      <c r="C226">
        <f t="shared" si="20"/>
        <v>8</v>
      </c>
      <c r="D226" t="str">
        <f t="shared" si="21"/>
        <v>August</v>
      </c>
      <c r="E226">
        <f t="shared" si="22"/>
        <v>2017</v>
      </c>
      <c r="F226" t="str">
        <f>CONCATENATE(calendar[[#This Row],[Month]],"/",calendar[[#This Row],[Year]])</f>
        <v>8/2017</v>
      </c>
      <c r="G226">
        <f>WEEKDAY(calendar[[#This Row],[Date]],1)</f>
        <v>1</v>
      </c>
      <c r="H226" t="str">
        <f>TEXT(calendar[[#This Row],[WeekDay]],"dddd")</f>
        <v>Sunday</v>
      </c>
      <c r="I226">
        <f>IF((INT(calendar[[#This Row],[Count]]/7)-calendar[[#This Row],[Count]]/7)&lt;0,I225,I225+1)</f>
        <v>33</v>
      </c>
      <c r="J226">
        <f t="shared" si="19"/>
        <v>224</v>
      </c>
      <c r="K226">
        <f>IF(calendar[[#This Row],[Month]]&lt;4,1,IF(calendar[[#This Row],[Month]]&lt;7,2,IF(calendar[[#This Row],[Month]]&lt;10,3,4)))</f>
        <v>3</v>
      </c>
      <c r="L226">
        <f>IFERROR(IF(VLOOKUP(calendar[[#This Row],[Date]],BH!A:A,1,)&lt;&gt;"",1,0),0)</f>
        <v>0</v>
      </c>
      <c r="M226">
        <f>IFERROR(IF(VLOOKUP(calendar[[#This Row],[Date]],BH!C:C,1,)&lt;&gt;"",1,0),0)</f>
        <v>0</v>
      </c>
      <c r="N226">
        <f>IFERROR(IF(VLOOKUP(calendar[[#This Row],[Date]],BH!E:E,1,)&lt;&gt;"",1,0),0)</f>
        <v>0</v>
      </c>
      <c r="O226">
        <f>IFERROR(IF(VLOOKUP(calendar[[#This Row],[Date]],BH!G:G,1,)&lt;&gt;"",1,0),0)</f>
        <v>0</v>
      </c>
      <c r="P226">
        <f>IF(OR(calendar[[#This Row],[UK_BH]]=1,calendar[[#This Row],[WeekDay]]=1, calendar[[#This Row],[WeekDay]]=7),P225,P225+1)</f>
        <v>160</v>
      </c>
      <c r="Q226">
        <f>IF(OR(calendar[[#This Row],[FR_BH]]=1,calendar[[#This Row],[WeekDay]]=1, calendar[[#This Row],[WeekDay]]=7),P225,P225+1)</f>
        <v>160</v>
      </c>
      <c r="R226">
        <f>IF(OR(calendar[[#This Row],[SP_BH]]=1,calendar[[#This Row],[WeekDay]]=1, calendar[[#This Row],[WeekDay]]=7),P225,P225+1)</f>
        <v>160</v>
      </c>
      <c r="S226">
        <f>IF(OR(calendar[[#This Row],[PT_BH]]=1,calendar[[#This Row],[WeekDay]]=1, calendar[[#This Row],[WeekDay]]=7),P225,P225+1)</f>
        <v>160</v>
      </c>
    </row>
    <row r="227" spans="1:19" x14ac:dyDescent="0.25">
      <c r="A227" s="2">
        <v>42961</v>
      </c>
      <c r="B227" s="1">
        <f t="shared" si="18"/>
        <v>33</v>
      </c>
      <c r="C227">
        <f t="shared" si="20"/>
        <v>8</v>
      </c>
      <c r="D227" t="str">
        <f t="shared" si="21"/>
        <v>August</v>
      </c>
      <c r="E227">
        <f t="shared" si="22"/>
        <v>2017</v>
      </c>
      <c r="F227" t="str">
        <f>CONCATENATE(calendar[[#This Row],[Month]],"/",calendar[[#This Row],[Year]])</f>
        <v>8/2017</v>
      </c>
      <c r="G227">
        <f>WEEKDAY(calendar[[#This Row],[Date]],1)</f>
        <v>2</v>
      </c>
      <c r="H227" t="str">
        <f>TEXT(calendar[[#This Row],[WeekDay]],"dddd")</f>
        <v>Monday</v>
      </c>
      <c r="I227">
        <f>IF((INT(calendar[[#This Row],[Count]]/7)-calendar[[#This Row],[Count]]/7)&lt;0,I226,I226+1)</f>
        <v>33</v>
      </c>
      <c r="J227">
        <f t="shared" si="19"/>
        <v>225</v>
      </c>
      <c r="K227">
        <f>IF(calendar[[#This Row],[Month]]&lt;4,1,IF(calendar[[#This Row],[Month]]&lt;7,2,IF(calendar[[#This Row],[Month]]&lt;10,3,4)))</f>
        <v>3</v>
      </c>
      <c r="L227">
        <f>IFERROR(IF(VLOOKUP(calendar[[#This Row],[Date]],BH!A:A,1,)&lt;&gt;"",1,0),0)</f>
        <v>0</v>
      </c>
      <c r="M227">
        <f>IFERROR(IF(VLOOKUP(calendar[[#This Row],[Date]],BH!C:C,1,)&lt;&gt;"",1,0),0)</f>
        <v>0</v>
      </c>
      <c r="N227">
        <f>IFERROR(IF(VLOOKUP(calendar[[#This Row],[Date]],BH!E:E,1,)&lt;&gt;"",1,0),0)</f>
        <v>0</v>
      </c>
      <c r="O227">
        <f>IFERROR(IF(VLOOKUP(calendar[[#This Row],[Date]],BH!G:G,1,)&lt;&gt;"",1,0),0)</f>
        <v>0</v>
      </c>
      <c r="P227">
        <f>IF(OR(calendar[[#This Row],[UK_BH]]=1,calendar[[#This Row],[WeekDay]]=1, calendar[[#This Row],[WeekDay]]=7),P226,P226+1)</f>
        <v>161</v>
      </c>
      <c r="Q227">
        <f>IF(OR(calendar[[#This Row],[FR_BH]]=1,calendar[[#This Row],[WeekDay]]=1, calendar[[#This Row],[WeekDay]]=7),P226,P226+1)</f>
        <v>161</v>
      </c>
      <c r="R227">
        <f>IF(OR(calendar[[#This Row],[SP_BH]]=1,calendar[[#This Row],[WeekDay]]=1, calendar[[#This Row],[WeekDay]]=7),P226,P226+1)</f>
        <v>161</v>
      </c>
      <c r="S227">
        <f>IF(OR(calendar[[#This Row],[PT_BH]]=1,calendar[[#This Row],[WeekDay]]=1, calendar[[#This Row],[WeekDay]]=7),P226,P226+1)</f>
        <v>161</v>
      </c>
    </row>
    <row r="228" spans="1:19" x14ac:dyDescent="0.25">
      <c r="A228" s="2">
        <v>42962</v>
      </c>
      <c r="B228" s="1">
        <f t="shared" si="18"/>
        <v>33</v>
      </c>
      <c r="C228">
        <f t="shared" si="20"/>
        <v>8</v>
      </c>
      <c r="D228" t="str">
        <f t="shared" si="21"/>
        <v>August</v>
      </c>
      <c r="E228">
        <f t="shared" si="22"/>
        <v>2017</v>
      </c>
      <c r="F228" t="str">
        <f>CONCATENATE(calendar[[#This Row],[Month]],"/",calendar[[#This Row],[Year]])</f>
        <v>8/2017</v>
      </c>
      <c r="G228">
        <f>WEEKDAY(calendar[[#This Row],[Date]],1)</f>
        <v>3</v>
      </c>
      <c r="H228" t="str">
        <f>TEXT(calendar[[#This Row],[WeekDay]],"dddd")</f>
        <v>Tuesday</v>
      </c>
      <c r="I228">
        <f>IF((INT(calendar[[#This Row],[Count]]/7)-calendar[[#This Row],[Count]]/7)&lt;0,I227,I227+1)</f>
        <v>33</v>
      </c>
      <c r="J228">
        <f t="shared" si="19"/>
        <v>226</v>
      </c>
      <c r="K228">
        <f>IF(calendar[[#This Row],[Month]]&lt;4,1,IF(calendar[[#This Row],[Month]]&lt;7,2,IF(calendar[[#This Row],[Month]]&lt;10,3,4)))</f>
        <v>3</v>
      </c>
      <c r="L228">
        <f>IFERROR(IF(VLOOKUP(calendar[[#This Row],[Date]],BH!A:A,1,)&lt;&gt;"",1,0),0)</f>
        <v>0</v>
      </c>
      <c r="M228">
        <f>IFERROR(IF(VLOOKUP(calendar[[#This Row],[Date]],BH!C:C,1,)&lt;&gt;"",1,0),0)</f>
        <v>0</v>
      </c>
      <c r="N228">
        <f>IFERROR(IF(VLOOKUP(calendar[[#This Row],[Date]],BH!E:E,1,)&lt;&gt;"",1,0),0)</f>
        <v>0</v>
      </c>
      <c r="O228">
        <f>IFERROR(IF(VLOOKUP(calendar[[#This Row],[Date]],BH!G:G,1,)&lt;&gt;"",1,0),0)</f>
        <v>0</v>
      </c>
      <c r="P228">
        <f>IF(OR(calendar[[#This Row],[UK_BH]]=1,calendar[[#This Row],[WeekDay]]=1, calendar[[#This Row],[WeekDay]]=7),P227,P227+1)</f>
        <v>162</v>
      </c>
      <c r="Q228">
        <f>IF(OR(calendar[[#This Row],[FR_BH]]=1,calendar[[#This Row],[WeekDay]]=1, calendar[[#This Row],[WeekDay]]=7),P227,P227+1)</f>
        <v>162</v>
      </c>
      <c r="R228">
        <f>IF(OR(calendar[[#This Row],[SP_BH]]=1,calendar[[#This Row],[WeekDay]]=1, calendar[[#This Row],[WeekDay]]=7),P227,P227+1)</f>
        <v>162</v>
      </c>
      <c r="S228">
        <f>IF(OR(calendar[[#This Row],[PT_BH]]=1,calendar[[#This Row],[WeekDay]]=1, calendar[[#This Row],[WeekDay]]=7),P227,P227+1)</f>
        <v>162</v>
      </c>
    </row>
    <row r="229" spans="1:19" x14ac:dyDescent="0.25">
      <c r="A229" s="2">
        <v>42963</v>
      </c>
      <c r="B229" s="1">
        <f t="shared" si="18"/>
        <v>33</v>
      </c>
      <c r="C229">
        <f t="shared" si="20"/>
        <v>8</v>
      </c>
      <c r="D229" t="str">
        <f t="shared" si="21"/>
        <v>August</v>
      </c>
      <c r="E229">
        <f t="shared" si="22"/>
        <v>2017</v>
      </c>
      <c r="F229" t="str">
        <f>CONCATENATE(calendar[[#This Row],[Month]],"/",calendar[[#This Row],[Year]])</f>
        <v>8/2017</v>
      </c>
      <c r="G229">
        <f>WEEKDAY(calendar[[#This Row],[Date]],1)</f>
        <v>4</v>
      </c>
      <c r="H229" t="str">
        <f>TEXT(calendar[[#This Row],[WeekDay]],"dddd")</f>
        <v>Wednesday</v>
      </c>
      <c r="I229">
        <f>IF((INT(calendar[[#This Row],[Count]]/7)-calendar[[#This Row],[Count]]/7)&lt;0,I228,I228+1)</f>
        <v>33</v>
      </c>
      <c r="J229">
        <f t="shared" si="19"/>
        <v>227</v>
      </c>
      <c r="K229">
        <f>IF(calendar[[#This Row],[Month]]&lt;4,1,IF(calendar[[#This Row],[Month]]&lt;7,2,IF(calendar[[#This Row],[Month]]&lt;10,3,4)))</f>
        <v>3</v>
      </c>
      <c r="L229">
        <f>IFERROR(IF(VLOOKUP(calendar[[#This Row],[Date]],BH!A:A,1,)&lt;&gt;"",1,0),0)</f>
        <v>0</v>
      </c>
      <c r="M229">
        <f>IFERROR(IF(VLOOKUP(calendar[[#This Row],[Date]],BH!C:C,1,)&lt;&gt;"",1,0),0)</f>
        <v>0</v>
      </c>
      <c r="N229">
        <f>IFERROR(IF(VLOOKUP(calendar[[#This Row],[Date]],BH!E:E,1,)&lt;&gt;"",1,0),0)</f>
        <v>0</v>
      </c>
      <c r="O229">
        <f>IFERROR(IF(VLOOKUP(calendar[[#This Row],[Date]],BH!G:G,1,)&lt;&gt;"",1,0),0)</f>
        <v>0</v>
      </c>
      <c r="P229">
        <f>IF(OR(calendar[[#This Row],[UK_BH]]=1,calendar[[#This Row],[WeekDay]]=1, calendar[[#This Row],[WeekDay]]=7),P228,P228+1)</f>
        <v>163</v>
      </c>
      <c r="Q229">
        <f>IF(OR(calendar[[#This Row],[FR_BH]]=1,calendar[[#This Row],[WeekDay]]=1, calendar[[#This Row],[WeekDay]]=7),P228,P228+1)</f>
        <v>163</v>
      </c>
      <c r="R229">
        <f>IF(OR(calendar[[#This Row],[SP_BH]]=1,calendar[[#This Row],[WeekDay]]=1, calendar[[#This Row],[WeekDay]]=7),P228,P228+1)</f>
        <v>163</v>
      </c>
      <c r="S229">
        <f>IF(OR(calendar[[#This Row],[PT_BH]]=1,calendar[[#This Row],[WeekDay]]=1, calendar[[#This Row],[WeekDay]]=7),P228,P228+1)</f>
        <v>163</v>
      </c>
    </row>
    <row r="230" spans="1:19" x14ac:dyDescent="0.25">
      <c r="A230" s="2">
        <v>42964</v>
      </c>
      <c r="B230" s="1">
        <f t="shared" si="18"/>
        <v>33</v>
      </c>
      <c r="C230">
        <f t="shared" si="20"/>
        <v>8</v>
      </c>
      <c r="D230" t="str">
        <f t="shared" si="21"/>
        <v>August</v>
      </c>
      <c r="E230">
        <f t="shared" si="22"/>
        <v>2017</v>
      </c>
      <c r="F230" t="str">
        <f>CONCATENATE(calendar[[#This Row],[Month]],"/",calendar[[#This Row],[Year]])</f>
        <v>8/2017</v>
      </c>
      <c r="G230">
        <f>WEEKDAY(calendar[[#This Row],[Date]],1)</f>
        <v>5</v>
      </c>
      <c r="H230" t="str">
        <f>TEXT(calendar[[#This Row],[WeekDay]],"dddd")</f>
        <v>Thursday</v>
      </c>
      <c r="I230">
        <f>IF((INT(calendar[[#This Row],[Count]]/7)-calendar[[#This Row],[Count]]/7)&lt;0,I229,I229+1)</f>
        <v>33</v>
      </c>
      <c r="J230">
        <f t="shared" si="19"/>
        <v>228</v>
      </c>
      <c r="K230">
        <f>IF(calendar[[#This Row],[Month]]&lt;4,1,IF(calendar[[#This Row],[Month]]&lt;7,2,IF(calendar[[#This Row],[Month]]&lt;10,3,4)))</f>
        <v>3</v>
      </c>
      <c r="L230">
        <f>IFERROR(IF(VLOOKUP(calendar[[#This Row],[Date]],BH!A:A,1,)&lt;&gt;"",1,0),0)</f>
        <v>0</v>
      </c>
      <c r="M230">
        <f>IFERROR(IF(VLOOKUP(calendar[[#This Row],[Date]],BH!C:C,1,)&lt;&gt;"",1,0),0)</f>
        <v>0</v>
      </c>
      <c r="N230">
        <f>IFERROR(IF(VLOOKUP(calendar[[#This Row],[Date]],BH!E:E,1,)&lt;&gt;"",1,0),0)</f>
        <v>0</v>
      </c>
      <c r="O230">
        <f>IFERROR(IF(VLOOKUP(calendar[[#This Row],[Date]],BH!G:G,1,)&lt;&gt;"",1,0),0)</f>
        <v>0</v>
      </c>
      <c r="P230">
        <f>IF(OR(calendar[[#This Row],[UK_BH]]=1,calendar[[#This Row],[WeekDay]]=1, calendar[[#This Row],[WeekDay]]=7),P229,P229+1)</f>
        <v>164</v>
      </c>
      <c r="Q230">
        <f>IF(OR(calendar[[#This Row],[FR_BH]]=1,calendar[[#This Row],[WeekDay]]=1, calendar[[#This Row],[WeekDay]]=7),P229,P229+1)</f>
        <v>164</v>
      </c>
      <c r="R230">
        <f>IF(OR(calendar[[#This Row],[SP_BH]]=1,calendar[[#This Row],[WeekDay]]=1, calendar[[#This Row],[WeekDay]]=7),P229,P229+1)</f>
        <v>164</v>
      </c>
      <c r="S230">
        <f>IF(OR(calendar[[#This Row],[PT_BH]]=1,calendar[[#This Row],[WeekDay]]=1, calendar[[#This Row],[WeekDay]]=7),P229,P229+1)</f>
        <v>164</v>
      </c>
    </row>
    <row r="231" spans="1:19" x14ac:dyDescent="0.25">
      <c r="A231" s="2">
        <v>42965</v>
      </c>
      <c r="B231" s="1">
        <f t="shared" si="18"/>
        <v>33</v>
      </c>
      <c r="C231">
        <f t="shared" si="20"/>
        <v>8</v>
      </c>
      <c r="D231" t="str">
        <f t="shared" si="21"/>
        <v>August</v>
      </c>
      <c r="E231">
        <f t="shared" si="22"/>
        <v>2017</v>
      </c>
      <c r="F231" t="str">
        <f>CONCATENATE(calendar[[#This Row],[Month]],"/",calendar[[#This Row],[Year]])</f>
        <v>8/2017</v>
      </c>
      <c r="G231">
        <f>WEEKDAY(calendar[[#This Row],[Date]],1)</f>
        <v>6</v>
      </c>
      <c r="H231" t="str">
        <f>TEXT(calendar[[#This Row],[WeekDay]],"dddd")</f>
        <v>Friday</v>
      </c>
      <c r="I231">
        <f>IF((INT(calendar[[#This Row],[Count]]/7)-calendar[[#This Row],[Count]]/7)&lt;0,I230,I230+1)</f>
        <v>33</v>
      </c>
      <c r="J231">
        <f t="shared" si="19"/>
        <v>229</v>
      </c>
      <c r="K231">
        <f>IF(calendar[[#This Row],[Month]]&lt;4,1,IF(calendar[[#This Row],[Month]]&lt;7,2,IF(calendar[[#This Row],[Month]]&lt;10,3,4)))</f>
        <v>3</v>
      </c>
      <c r="L231">
        <f>IFERROR(IF(VLOOKUP(calendar[[#This Row],[Date]],BH!A:A,1,)&lt;&gt;"",1,0),0)</f>
        <v>0</v>
      </c>
      <c r="M231">
        <f>IFERROR(IF(VLOOKUP(calendar[[#This Row],[Date]],BH!C:C,1,)&lt;&gt;"",1,0),0)</f>
        <v>0</v>
      </c>
      <c r="N231">
        <f>IFERROR(IF(VLOOKUP(calendar[[#This Row],[Date]],BH!E:E,1,)&lt;&gt;"",1,0),0)</f>
        <v>0</v>
      </c>
      <c r="O231">
        <f>IFERROR(IF(VLOOKUP(calendar[[#This Row],[Date]],BH!G:G,1,)&lt;&gt;"",1,0),0)</f>
        <v>0</v>
      </c>
      <c r="P231">
        <f>IF(OR(calendar[[#This Row],[UK_BH]]=1,calendar[[#This Row],[WeekDay]]=1, calendar[[#This Row],[WeekDay]]=7),P230,P230+1)</f>
        <v>165</v>
      </c>
      <c r="Q231">
        <f>IF(OR(calendar[[#This Row],[FR_BH]]=1,calendar[[#This Row],[WeekDay]]=1, calendar[[#This Row],[WeekDay]]=7),P230,P230+1)</f>
        <v>165</v>
      </c>
      <c r="R231">
        <f>IF(OR(calendar[[#This Row],[SP_BH]]=1,calendar[[#This Row],[WeekDay]]=1, calendar[[#This Row],[WeekDay]]=7),P230,P230+1)</f>
        <v>165</v>
      </c>
      <c r="S231">
        <f>IF(OR(calendar[[#This Row],[PT_BH]]=1,calendar[[#This Row],[WeekDay]]=1, calendar[[#This Row],[WeekDay]]=7),P230,P230+1)</f>
        <v>165</v>
      </c>
    </row>
    <row r="232" spans="1:19" x14ac:dyDescent="0.25">
      <c r="A232" s="2">
        <v>42966</v>
      </c>
      <c r="B232" s="1">
        <f t="shared" si="18"/>
        <v>33</v>
      </c>
      <c r="C232">
        <f t="shared" si="20"/>
        <v>8</v>
      </c>
      <c r="D232" t="str">
        <f t="shared" si="21"/>
        <v>August</v>
      </c>
      <c r="E232">
        <f t="shared" si="22"/>
        <v>2017</v>
      </c>
      <c r="F232" t="str">
        <f>CONCATENATE(calendar[[#This Row],[Month]],"/",calendar[[#This Row],[Year]])</f>
        <v>8/2017</v>
      </c>
      <c r="G232">
        <f>WEEKDAY(calendar[[#This Row],[Date]],1)</f>
        <v>7</v>
      </c>
      <c r="H232" t="str">
        <f>TEXT(calendar[[#This Row],[WeekDay]],"dddd")</f>
        <v>Saturday</v>
      </c>
      <c r="I232">
        <f>IF((INT(calendar[[#This Row],[Count]]/7)-calendar[[#This Row],[Count]]/7)&lt;0,I231,I231+1)</f>
        <v>33</v>
      </c>
      <c r="J232">
        <f t="shared" si="19"/>
        <v>230</v>
      </c>
      <c r="K232">
        <f>IF(calendar[[#This Row],[Month]]&lt;4,1,IF(calendar[[#This Row],[Month]]&lt;7,2,IF(calendar[[#This Row],[Month]]&lt;10,3,4)))</f>
        <v>3</v>
      </c>
      <c r="L232">
        <f>IFERROR(IF(VLOOKUP(calendar[[#This Row],[Date]],BH!A:A,1,)&lt;&gt;"",1,0),0)</f>
        <v>0</v>
      </c>
      <c r="M232">
        <f>IFERROR(IF(VLOOKUP(calendar[[#This Row],[Date]],BH!C:C,1,)&lt;&gt;"",1,0),0)</f>
        <v>0</v>
      </c>
      <c r="N232">
        <f>IFERROR(IF(VLOOKUP(calendar[[#This Row],[Date]],BH!E:E,1,)&lt;&gt;"",1,0),0)</f>
        <v>0</v>
      </c>
      <c r="O232">
        <f>IFERROR(IF(VLOOKUP(calendar[[#This Row],[Date]],BH!G:G,1,)&lt;&gt;"",1,0),0)</f>
        <v>0</v>
      </c>
      <c r="P232">
        <f>IF(OR(calendar[[#This Row],[UK_BH]]=1,calendar[[#This Row],[WeekDay]]=1, calendar[[#This Row],[WeekDay]]=7),P231,P231+1)</f>
        <v>165</v>
      </c>
      <c r="Q232">
        <f>IF(OR(calendar[[#This Row],[FR_BH]]=1,calendar[[#This Row],[WeekDay]]=1, calendar[[#This Row],[WeekDay]]=7),P231,P231+1)</f>
        <v>165</v>
      </c>
      <c r="R232">
        <f>IF(OR(calendar[[#This Row],[SP_BH]]=1,calendar[[#This Row],[WeekDay]]=1, calendar[[#This Row],[WeekDay]]=7),P231,P231+1)</f>
        <v>165</v>
      </c>
      <c r="S232">
        <f>IF(OR(calendar[[#This Row],[PT_BH]]=1,calendar[[#This Row],[WeekDay]]=1, calendar[[#This Row],[WeekDay]]=7),P231,P231+1)</f>
        <v>165</v>
      </c>
    </row>
    <row r="233" spans="1:19" x14ac:dyDescent="0.25">
      <c r="A233" s="2">
        <v>42967</v>
      </c>
      <c r="B233" s="1">
        <f t="shared" si="18"/>
        <v>34</v>
      </c>
      <c r="C233">
        <f t="shared" si="20"/>
        <v>8</v>
      </c>
      <c r="D233" t="str">
        <f t="shared" si="21"/>
        <v>August</v>
      </c>
      <c r="E233">
        <f t="shared" si="22"/>
        <v>2017</v>
      </c>
      <c r="F233" t="str">
        <f>CONCATENATE(calendar[[#This Row],[Month]],"/",calendar[[#This Row],[Year]])</f>
        <v>8/2017</v>
      </c>
      <c r="G233">
        <f>WEEKDAY(calendar[[#This Row],[Date]],1)</f>
        <v>1</v>
      </c>
      <c r="H233" t="str">
        <f>TEXT(calendar[[#This Row],[WeekDay]],"dddd")</f>
        <v>Sunday</v>
      </c>
      <c r="I233">
        <f>IF((INT(calendar[[#This Row],[Count]]/7)-calendar[[#This Row],[Count]]/7)&lt;0,I232,I232+1)</f>
        <v>34</v>
      </c>
      <c r="J233">
        <f t="shared" si="19"/>
        <v>231</v>
      </c>
      <c r="K233">
        <f>IF(calendar[[#This Row],[Month]]&lt;4,1,IF(calendar[[#This Row],[Month]]&lt;7,2,IF(calendar[[#This Row],[Month]]&lt;10,3,4)))</f>
        <v>3</v>
      </c>
      <c r="L233">
        <f>IFERROR(IF(VLOOKUP(calendar[[#This Row],[Date]],BH!A:A,1,)&lt;&gt;"",1,0),0)</f>
        <v>0</v>
      </c>
      <c r="M233">
        <f>IFERROR(IF(VLOOKUP(calendar[[#This Row],[Date]],BH!C:C,1,)&lt;&gt;"",1,0),0)</f>
        <v>0</v>
      </c>
      <c r="N233">
        <f>IFERROR(IF(VLOOKUP(calendar[[#This Row],[Date]],BH!E:E,1,)&lt;&gt;"",1,0),0)</f>
        <v>0</v>
      </c>
      <c r="O233">
        <f>IFERROR(IF(VLOOKUP(calendar[[#This Row],[Date]],BH!G:G,1,)&lt;&gt;"",1,0),0)</f>
        <v>0</v>
      </c>
      <c r="P233">
        <f>IF(OR(calendar[[#This Row],[UK_BH]]=1,calendar[[#This Row],[WeekDay]]=1, calendar[[#This Row],[WeekDay]]=7),P232,P232+1)</f>
        <v>165</v>
      </c>
      <c r="Q233">
        <f>IF(OR(calendar[[#This Row],[FR_BH]]=1,calendar[[#This Row],[WeekDay]]=1, calendar[[#This Row],[WeekDay]]=7),P232,P232+1)</f>
        <v>165</v>
      </c>
      <c r="R233">
        <f>IF(OR(calendar[[#This Row],[SP_BH]]=1,calendar[[#This Row],[WeekDay]]=1, calendar[[#This Row],[WeekDay]]=7),P232,P232+1)</f>
        <v>165</v>
      </c>
      <c r="S233">
        <f>IF(OR(calendar[[#This Row],[PT_BH]]=1,calendar[[#This Row],[WeekDay]]=1, calendar[[#This Row],[WeekDay]]=7),P232,P232+1)</f>
        <v>165</v>
      </c>
    </row>
    <row r="234" spans="1:19" x14ac:dyDescent="0.25">
      <c r="A234" s="2">
        <v>42968</v>
      </c>
      <c r="B234" s="1">
        <f t="shared" si="18"/>
        <v>34</v>
      </c>
      <c r="C234">
        <f t="shared" si="20"/>
        <v>8</v>
      </c>
      <c r="D234" t="str">
        <f t="shared" si="21"/>
        <v>August</v>
      </c>
      <c r="E234">
        <f t="shared" si="22"/>
        <v>2017</v>
      </c>
      <c r="F234" t="str">
        <f>CONCATENATE(calendar[[#This Row],[Month]],"/",calendar[[#This Row],[Year]])</f>
        <v>8/2017</v>
      </c>
      <c r="G234">
        <f>WEEKDAY(calendar[[#This Row],[Date]],1)</f>
        <v>2</v>
      </c>
      <c r="H234" t="str">
        <f>TEXT(calendar[[#This Row],[WeekDay]],"dddd")</f>
        <v>Monday</v>
      </c>
      <c r="I234">
        <f>IF((INT(calendar[[#This Row],[Count]]/7)-calendar[[#This Row],[Count]]/7)&lt;0,I233,I233+1)</f>
        <v>34</v>
      </c>
      <c r="J234">
        <f t="shared" si="19"/>
        <v>232</v>
      </c>
      <c r="K234">
        <f>IF(calendar[[#This Row],[Month]]&lt;4,1,IF(calendar[[#This Row],[Month]]&lt;7,2,IF(calendar[[#This Row],[Month]]&lt;10,3,4)))</f>
        <v>3</v>
      </c>
      <c r="L234">
        <f>IFERROR(IF(VLOOKUP(calendar[[#This Row],[Date]],BH!A:A,1,)&lt;&gt;"",1,0),0)</f>
        <v>0</v>
      </c>
      <c r="M234">
        <f>IFERROR(IF(VLOOKUP(calendar[[#This Row],[Date]],BH!C:C,1,)&lt;&gt;"",1,0),0)</f>
        <v>0</v>
      </c>
      <c r="N234">
        <f>IFERROR(IF(VLOOKUP(calendar[[#This Row],[Date]],BH!E:E,1,)&lt;&gt;"",1,0),0)</f>
        <v>0</v>
      </c>
      <c r="O234">
        <f>IFERROR(IF(VLOOKUP(calendar[[#This Row],[Date]],BH!G:G,1,)&lt;&gt;"",1,0),0)</f>
        <v>0</v>
      </c>
      <c r="P234">
        <f>IF(OR(calendar[[#This Row],[UK_BH]]=1,calendar[[#This Row],[WeekDay]]=1, calendar[[#This Row],[WeekDay]]=7),P233,P233+1)</f>
        <v>166</v>
      </c>
      <c r="Q234">
        <f>IF(OR(calendar[[#This Row],[FR_BH]]=1,calendar[[#This Row],[WeekDay]]=1, calendar[[#This Row],[WeekDay]]=7),P233,P233+1)</f>
        <v>166</v>
      </c>
      <c r="R234">
        <f>IF(OR(calendar[[#This Row],[SP_BH]]=1,calendar[[#This Row],[WeekDay]]=1, calendar[[#This Row],[WeekDay]]=7),P233,P233+1)</f>
        <v>166</v>
      </c>
      <c r="S234">
        <f>IF(OR(calendar[[#This Row],[PT_BH]]=1,calendar[[#This Row],[WeekDay]]=1, calendar[[#This Row],[WeekDay]]=7),P233,P233+1)</f>
        <v>166</v>
      </c>
    </row>
    <row r="235" spans="1:19" x14ac:dyDescent="0.25">
      <c r="A235" s="2">
        <v>42969</v>
      </c>
      <c r="B235" s="1">
        <f t="shared" si="18"/>
        <v>34</v>
      </c>
      <c r="C235">
        <f t="shared" si="20"/>
        <v>8</v>
      </c>
      <c r="D235" t="str">
        <f t="shared" si="21"/>
        <v>August</v>
      </c>
      <c r="E235">
        <f t="shared" si="22"/>
        <v>2017</v>
      </c>
      <c r="F235" t="str">
        <f>CONCATENATE(calendar[[#This Row],[Month]],"/",calendar[[#This Row],[Year]])</f>
        <v>8/2017</v>
      </c>
      <c r="G235">
        <f>WEEKDAY(calendar[[#This Row],[Date]],1)</f>
        <v>3</v>
      </c>
      <c r="H235" t="str">
        <f>TEXT(calendar[[#This Row],[WeekDay]],"dddd")</f>
        <v>Tuesday</v>
      </c>
      <c r="I235">
        <f>IF((INT(calendar[[#This Row],[Count]]/7)-calendar[[#This Row],[Count]]/7)&lt;0,I234,I234+1)</f>
        <v>34</v>
      </c>
      <c r="J235">
        <f t="shared" si="19"/>
        <v>233</v>
      </c>
      <c r="K235">
        <f>IF(calendar[[#This Row],[Month]]&lt;4,1,IF(calendar[[#This Row],[Month]]&lt;7,2,IF(calendar[[#This Row],[Month]]&lt;10,3,4)))</f>
        <v>3</v>
      </c>
      <c r="L235">
        <f>IFERROR(IF(VLOOKUP(calendar[[#This Row],[Date]],BH!A:A,1,)&lt;&gt;"",1,0),0)</f>
        <v>0</v>
      </c>
      <c r="M235">
        <f>IFERROR(IF(VLOOKUP(calendar[[#This Row],[Date]],BH!C:C,1,)&lt;&gt;"",1,0),0)</f>
        <v>0</v>
      </c>
      <c r="N235">
        <f>IFERROR(IF(VLOOKUP(calendar[[#This Row],[Date]],BH!E:E,1,)&lt;&gt;"",1,0),0)</f>
        <v>0</v>
      </c>
      <c r="O235">
        <f>IFERROR(IF(VLOOKUP(calendar[[#This Row],[Date]],BH!G:G,1,)&lt;&gt;"",1,0),0)</f>
        <v>0</v>
      </c>
      <c r="P235">
        <f>IF(OR(calendar[[#This Row],[UK_BH]]=1,calendar[[#This Row],[WeekDay]]=1, calendar[[#This Row],[WeekDay]]=7),P234,P234+1)</f>
        <v>167</v>
      </c>
      <c r="Q235">
        <f>IF(OR(calendar[[#This Row],[FR_BH]]=1,calendar[[#This Row],[WeekDay]]=1, calendar[[#This Row],[WeekDay]]=7),P234,P234+1)</f>
        <v>167</v>
      </c>
      <c r="R235">
        <f>IF(OR(calendar[[#This Row],[SP_BH]]=1,calendar[[#This Row],[WeekDay]]=1, calendar[[#This Row],[WeekDay]]=7),P234,P234+1)</f>
        <v>167</v>
      </c>
      <c r="S235">
        <f>IF(OR(calendar[[#This Row],[PT_BH]]=1,calendar[[#This Row],[WeekDay]]=1, calendar[[#This Row],[WeekDay]]=7),P234,P234+1)</f>
        <v>167</v>
      </c>
    </row>
    <row r="236" spans="1:19" x14ac:dyDescent="0.25">
      <c r="A236" s="2">
        <v>42970</v>
      </c>
      <c r="B236" s="1">
        <f t="shared" si="18"/>
        <v>34</v>
      </c>
      <c r="C236">
        <f t="shared" si="20"/>
        <v>8</v>
      </c>
      <c r="D236" t="str">
        <f t="shared" si="21"/>
        <v>August</v>
      </c>
      <c r="E236">
        <f t="shared" si="22"/>
        <v>2017</v>
      </c>
      <c r="F236" t="str">
        <f>CONCATENATE(calendar[[#This Row],[Month]],"/",calendar[[#This Row],[Year]])</f>
        <v>8/2017</v>
      </c>
      <c r="G236">
        <f>WEEKDAY(calendar[[#This Row],[Date]],1)</f>
        <v>4</v>
      </c>
      <c r="H236" t="str">
        <f>TEXT(calendar[[#This Row],[WeekDay]],"dddd")</f>
        <v>Wednesday</v>
      </c>
      <c r="I236">
        <f>IF((INT(calendar[[#This Row],[Count]]/7)-calendar[[#This Row],[Count]]/7)&lt;0,I235,I235+1)</f>
        <v>34</v>
      </c>
      <c r="J236">
        <f t="shared" si="19"/>
        <v>234</v>
      </c>
      <c r="K236">
        <f>IF(calendar[[#This Row],[Month]]&lt;4,1,IF(calendar[[#This Row],[Month]]&lt;7,2,IF(calendar[[#This Row],[Month]]&lt;10,3,4)))</f>
        <v>3</v>
      </c>
      <c r="L236">
        <f>IFERROR(IF(VLOOKUP(calendar[[#This Row],[Date]],BH!A:A,1,)&lt;&gt;"",1,0),0)</f>
        <v>0</v>
      </c>
      <c r="M236">
        <f>IFERROR(IF(VLOOKUP(calendar[[#This Row],[Date]],BH!C:C,1,)&lt;&gt;"",1,0),0)</f>
        <v>0</v>
      </c>
      <c r="N236">
        <f>IFERROR(IF(VLOOKUP(calendar[[#This Row],[Date]],BH!E:E,1,)&lt;&gt;"",1,0),0)</f>
        <v>0</v>
      </c>
      <c r="O236">
        <f>IFERROR(IF(VLOOKUP(calendar[[#This Row],[Date]],BH!G:G,1,)&lt;&gt;"",1,0),0)</f>
        <v>0</v>
      </c>
      <c r="P236">
        <f>IF(OR(calendar[[#This Row],[UK_BH]]=1,calendar[[#This Row],[WeekDay]]=1, calendar[[#This Row],[WeekDay]]=7),P235,P235+1)</f>
        <v>168</v>
      </c>
      <c r="Q236">
        <f>IF(OR(calendar[[#This Row],[FR_BH]]=1,calendar[[#This Row],[WeekDay]]=1, calendar[[#This Row],[WeekDay]]=7),P235,P235+1)</f>
        <v>168</v>
      </c>
      <c r="R236">
        <f>IF(OR(calendar[[#This Row],[SP_BH]]=1,calendar[[#This Row],[WeekDay]]=1, calendar[[#This Row],[WeekDay]]=7),P235,P235+1)</f>
        <v>168</v>
      </c>
      <c r="S236">
        <f>IF(OR(calendar[[#This Row],[PT_BH]]=1,calendar[[#This Row],[WeekDay]]=1, calendar[[#This Row],[WeekDay]]=7),P235,P235+1)</f>
        <v>168</v>
      </c>
    </row>
    <row r="237" spans="1:19" x14ac:dyDescent="0.25">
      <c r="A237" s="2">
        <v>42971</v>
      </c>
      <c r="B237" s="1">
        <f t="shared" si="18"/>
        <v>34</v>
      </c>
      <c r="C237">
        <f t="shared" si="20"/>
        <v>8</v>
      </c>
      <c r="D237" t="str">
        <f t="shared" si="21"/>
        <v>August</v>
      </c>
      <c r="E237">
        <f t="shared" si="22"/>
        <v>2017</v>
      </c>
      <c r="F237" t="str">
        <f>CONCATENATE(calendar[[#This Row],[Month]],"/",calendar[[#This Row],[Year]])</f>
        <v>8/2017</v>
      </c>
      <c r="G237">
        <f>WEEKDAY(calendar[[#This Row],[Date]],1)</f>
        <v>5</v>
      </c>
      <c r="H237" t="str">
        <f>TEXT(calendar[[#This Row],[WeekDay]],"dddd")</f>
        <v>Thursday</v>
      </c>
      <c r="I237">
        <f>IF((INT(calendar[[#This Row],[Count]]/7)-calendar[[#This Row],[Count]]/7)&lt;0,I236,I236+1)</f>
        <v>34</v>
      </c>
      <c r="J237">
        <f t="shared" si="19"/>
        <v>235</v>
      </c>
      <c r="K237">
        <f>IF(calendar[[#This Row],[Month]]&lt;4,1,IF(calendar[[#This Row],[Month]]&lt;7,2,IF(calendar[[#This Row],[Month]]&lt;10,3,4)))</f>
        <v>3</v>
      </c>
      <c r="L237">
        <f>IFERROR(IF(VLOOKUP(calendar[[#This Row],[Date]],BH!A:A,1,)&lt;&gt;"",1,0),0)</f>
        <v>0</v>
      </c>
      <c r="M237">
        <f>IFERROR(IF(VLOOKUP(calendar[[#This Row],[Date]],BH!C:C,1,)&lt;&gt;"",1,0),0)</f>
        <v>0</v>
      </c>
      <c r="N237">
        <f>IFERROR(IF(VLOOKUP(calendar[[#This Row],[Date]],BH!E:E,1,)&lt;&gt;"",1,0),0)</f>
        <v>0</v>
      </c>
      <c r="O237">
        <f>IFERROR(IF(VLOOKUP(calendar[[#This Row],[Date]],BH!G:G,1,)&lt;&gt;"",1,0),0)</f>
        <v>0</v>
      </c>
      <c r="P237">
        <f>IF(OR(calendar[[#This Row],[UK_BH]]=1,calendar[[#This Row],[WeekDay]]=1, calendar[[#This Row],[WeekDay]]=7),P236,P236+1)</f>
        <v>169</v>
      </c>
      <c r="Q237">
        <f>IF(OR(calendar[[#This Row],[FR_BH]]=1,calendar[[#This Row],[WeekDay]]=1, calendar[[#This Row],[WeekDay]]=7),P236,P236+1)</f>
        <v>169</v>
      </c>
      <c r="R237">
        <f>IF(OR(calendar[[#This Row],[SP_BH]]=1,calendar[[#This Row],[WeekDay]]=1, calendar[[#This Row],[WeekDay]]=7),P236,P236+1)</f>
        <v>169</v>
      </c>
      <c r="S237">
        <f>IF(OR(calendar[[#This Row],[PT_BH]]=1,calendar[[#This Row],[WeekDay]]=1, calendar[[#This Row],[WeekDay]]=7),P236,P236+1)</f>
        <v>169</v>
      </c>
    </row>
    <row r="238" spans="1:19" x14ac:dyDescent="0.25">
      <c r="A238" s="2">
        <v>42972</v>
      </c>
      <c r="B238" s="1">
        <f t="shared" si="18"/>
        <v>34</v>
      </c>
      <c r="C238">
        <f t="shared" si="20"/>
        <v>8</v>
      </c>
      <c r="D238" t="str">
        <f t="shared" si="21"/>
        <v>August</v>
      </c>
      <c r="E238">
        <f t="shared" si="22"/>
        <v>2017</v>
      </c>
      <c r="F238" t="str">
        <f>CONCATENATE(calendar[[#This Row],[Month]],"/",calendar[[#This Row],[Year]])</f>
        <v>8/2017</v>
      </c>
      <c r="G238">
        <f>WEEKDAY(calendar[[#This Row],[Date]],1)</f>
        <v>6</v>
      </c>
      <c r="H238" t="str">
        <f>TEXT(calendar[[#This Row],[WeekDay]],"dddd")</f>
        <v>Friday</v>
      </c>
      <c r="I238">
        <f>IF((INT(calendar[[#This Row],[Count]]/7)-calendar[[#This Row],[Count]]/7)&lt;0,I237,I237+1)</f>
        <v>34</v>
      </c>
      <c r="J238">
        <f t="shared" si="19"/>
        <v>236</v>
      </c>
      <c r="K238">
        <f>IF(calendar[[#This Row],[Month]]&lt;4,1,IF(calendar[[#This Row],[Month]]&lt;7,2,IF(calendar[[#This Row],[Month]]&lt;10,3,4)))</f>
        <v>3</v>
      </c>
      <c r="L238">
        <f>IFERROR(IF(VLOOKUP(calendar[[#This Row],[Date]],BH!A:A,1,)&lt;&gt;"",1,0),0)</f>
        <v>0</v>
      </c>
      <c r="M238">
        <f>IFERROR(IF(VLOOKUP(calendar[[#This Row],[Date]],BH!C:C,1,)&lt;&gt;"",1,0),0)</f>
        <v>0</v>
      </c>
      <c r="N238">
        <f>IFERROR(IF(VLOOKUP(calendar[[#This Row],[Date]],BH!E:E,1,)&lt;&gt;"",1,0),0)</f>
        <v>0</v>
      </c>
      <c r="O238">
        <f>IFERROR(IF(VLOOKUP(calendar[[#This Row],[Date]],BH!G:G,1,)&lt;&gt;"",1,0),0)</f>
        <v>0</v>
      </c>
      <c r="P238">
        <f>IF(OR(calendar[[#This Row],[UK_BH]]=1,calendar[[#This Row],[WeekDay]]=1, calendar[[#This Row],[WeekDay]]=7),P237,P237+1)</f>
        <v>170</v>
      </c>
      <c r="Q238">
        <f>IF(OR(calendar[[#This Row],[FR_BH]]=1,calendar[[#This Row],[WeekDay]]=1, calendar[[#This Row],[WeekDay]]=7),P237,P237+1)</f>
        <v>170</v>
      </c>
      <c r="R238">
        <f>IF(OR(calendar[[#This Row],[SP_BH]]=1,calendar[[#This Row],[WeekDay]]=1, calendar[[#This Row],[WeekDay]]=7),P237,P237+1)</f>
        <v>170</v>
      </c>
      <c r="S238">
        <f>IF(OR(calendar[[#This Row],[PT_BH]]=1,calendar[[#This Row],[WeekDay]]=1, calendar[[#This Row],[WeekDay]]=7),P237,P237+1)</f>
        <v>170</v>
      </c>
    </row>
    <row r="239" spans="1:19" x14ac:dyDescent="0.25">
      <c r="A239" s="2">
        <v>42973</v>
      </c>
      <c r="B239" s="1">
        <f t="shared" si="18"/>
        <v>34</v>
      </c>
      <c r="C239">
        <f t="shared" si="20"/>
        <v>8</v>
      </c>
      <c r="D239" t="str">
        <f t="shared" si="21"/>
        <v>August</v>
      </c>
      <c r="E239">
        <f t="shared" si="22"/>
        <v>2017</v>
      </c>
      <c r="F239" t="str">
        <f>CONCATENATE(calendar[[#This Row],[Month]],"/",calendar[[#This Row],[Year]])</f>
        <v>8/2017</v>
      </c>
      <c r="G239">
        <f>WEEKDAY(calendar[[#This Row],[Date]],1)</f>
        <v>7</v>
      </c>
      <c r="H239" t="str">
        <f>TEXT(calendar[[#This Row],[WeekDay]],"dddd")</f>
        <v>Saturday</v>
      </c>
      <c r="I239">
        <f>IF((INT(calendar[[#This Row],[Count]]/7)-calendar[[#This Row],[Count]]/7)&lt;0,I238,I238+1)</f>
        <v>34</v>
      </c>
      <c r="J239">
        <f t="shared" si="19"/>
        <v>237</v>
      </c>
      <c r="K239">
        <f>IF(calendar[[#This Row],[Month]]&lt;4,1,IF(calendar[[#This Row],[Month]]&lt;7,2,IF(calendar[[#This Row],[Month]]&lt;10,3,4)))</f>
        <v>3</v>
      </c>
      <c r="L239">
        <f>IFERROR(IF(VLOOKUP(calendar[[#This Row],[Date]],BH!A:A,1,)&lt;&gt;"",1,0),0)</f>
        <v>0</v>
      </c>
      <c r="M239">
        <f>IFERROR(IF(VLOOKUP(calendar[[#This Row],[Date]],BH!C:C,1,)&lt;&gt;"",1,0),0)</f>
        <v>0</v>
      </c>
      <c r="N239">
        <f>IFERROR(IF(VLOOKUP(calendar[[#This Row],[Date]],BH!E:E,1,)&lt;&gt;"",1,0),0)</f>
        <v>0</v>
      </c>
      <c r="O239">
        <f>IFERROR(IF(VLOOKUP(calendar[[#This Row],[Date]],BH!G:G,1,)&lt;&gt;"",1,0),0)</f>
        <v>0</v>
      </c>
      <c r="P239">
        <f>IF(OR(calendar[[#This Row],[UK_BH]]=1,calendar[[#This Row],[WeekDay]]=1, calendar[[#This Row],[WeekDay]]=7),P238,P238+1)</f>
        <v>170</v>
      </c>
      <c r="Q239">
        <f>IF(OR(calendar[[#This Row],[FR_BH]]=1,calendar[[#This Row],[WeekDay]]=1, calendar[[#This Row],[WeekDay]]=7),P238,P238+1)</f>
        <v>170</v>
      </c>
      <c r="R239">
        <f>IF(OR(calendar[[#This Row],[SP_BH]]=1,calendar[[#This Row],[WeekDay]]=1, calendar[[#This Row],[WeekDay]]=7),P238,P238+1)</f>
        <v>170</v>
      </c>
      <c r="S239">
        <f>IF(OR(calendar[[#This Row],[PT_BH]]=1,calendar[[#This Row],[WeekDay]]=1, calendar[[#This Row],[WeekDay]]=7),P238,P238+1)</f>
        <v>170</v>
      </c>
    </row>
    <row r="240" spans="1:19" x14ac:dyDescent="0.25">
      <c r="A240" s="2">
        <v>42974</v>
      </c>
      <c r="B240" s="1">
        <f t="shared" si="18"/>
        <v>35</v>
      </c>
      <c r="C240">
        <f t="shared" si="20"/>
        <v>8</v>
      </c>
      <c r="D240" t="str">
        <f t="shared" si="21"/>
        <v>August</v>
      </c>
      <c r="E240">
        <f t="shared" si="22"/>
        <v>2017</v>
      </c>
      <c r="F240" t="str">
        <f>CONCATENATE(calendar[[#This Row],[Month]],"/",calendar[[#This Row],[Year]])</f>
        <v>8/2017</v>
      </c>
      <c r="G240">
        <f>WEEKDAY(calendar[[#This Row],[Date]],1)</f>
        <v>1</v>
      </c>
      <c r="H240" t="str">
        <f>TEXT(calendar[[#This Row],[WeekDay]],"dddd")</f>
        <v>Sunday</v>
      </c>
      <c r="I240">
        <f>IF((INT(calendar[[#This Row],[Count]]/7)-calendar[[#This Row],[Count]]/7)&lt;0,I239,I239+1)</f>
        <v>35</v>
      </c>
      <c r="J240">
        <f t="shared" si="19"/>
        <v>238</v>
      </c>
      <c r="K240">
        <f>IF(calendar[[#This Row],[Month]]&lt;4,1,IF(calendar[[#This Row],[Month]]&lt;7,2,IF(calendar[[#This Row],[Month]]&lt;10,3,4)))</f>
        <v>3</v>
      </c>
      <c r="L240">
        <f>IFERROR(IF(VLOOKUP(calendar[[#This Row],[Date]],BH!A:A,1,)&lt;&gt;"",1,0),0)</f>
        <v>0</v>
      </c>
      <c r="M240">
        <f>IFERROR(IF(VLOOKUP(calendar[[#This Row],[Date]],BH!C:C,1,)&lt;&gt;"",1,0),0)</f>
        <v>0</v>
      </c>
      <c r="N240">
        <f>IFERROR(IF(VLOOKUP(calendar[[#This Row],[Date]],BH!E:E,1,)&lt;&gt;"",1,0),0)</f>
        <v>0</v>
      </c>
      <c r="O240">
        <f>IFERROR(IF(VLOOKUP(calendar[[#This Row],[Date]],BH!G:G,1,)&lt;&gt;"",1,0),0)</f>
        <v>0</v>
      </c>
      <c r="P240">
        <f>IF(OR(calendar[[#This Row],[UK_BH]]=1,calendar[[#This Row],[WeekDay]]=1, calendar[[#This Row],[WeekDay]]=7),P239,P239+1)</f>
        <v>170</v>
      </c>
      <c r="Q240">
        <f>IF(OR(calendar[[#This Row],[FR_BH]]=1,calendar[[#This Row],[WeekDay]]=1, calendar[[#This Row],[WeekDay]]=7),P239,P239+1)</f>
        <v>170</v>
      </c>
      <c r="R240">
        <f>IF(OR(calendar[[#This Row],[SP_BH]]=1,calendar[[#This Row],[WeekDay]]=1, calendar[[#This Row],[WeekDay]]=7),P239,P239+1)</f>
        <v>170</v>
      </c>
      <c r="S240">
        <f>IF(OR(calendar[[#This Row],[PT_BH]]=1,calendar[[#This Row],[WeekDay]]=1, calendar[[#This Row],[WeekDay]]=7),P239,P239+1)</f>
        <v>170</v>
      </c>
    </row>
    <row r="241" spans="1:19" x14ac:dyDescent="0.25">
      <c r="A241" s="2">
        <v>42975</v>
      </c>
      <c r="B241" s="1">
        <f t="shared" si="18"/>
        <v>35</v>
      </c>
      <c r="C241">
        <f t="shared" si="20"/>
        <v>8</v>
      </c>
      <c r="D241" t="str">
        <f t="shared" si="21"/>
        <v>August</v>
      </c>
      <c r="E241">
        <f t="shared" si="22"/>
        <v>2017</v>
      </c>
      <c r="F241" t="str">
        <f>CONCATENATE(calendar[[#This Row],[Month]],"/",calendar[[#This Row],[Year]])</f>
        <v>8/2017</v>
      </c>
      <c r="G241">
        <f>WEEKDAY(calendar[[#This Row],[Date]],1)</f>
        <v>2</v>
      </c>
      <c r="H241" t="str">
        <f>TEXT(calendar[[#This Row],[WeekDay]],"dddd")</f>
        <v>Monday</v>
      </c>
      <c r="I241">
        <f>IF((INT(calendar[[#This Row],[Count]]/7)-calendar[[#This Row],[Count]]/7)&lt;0,I240,I240+1)</f>
        <v>35</v>
      </c>
      <c r="J241">
        <f t="shared" si="19"/>
        <v>239</v>
      </c>
      <c r="K241">
        <f>IF(calendar[[#This Row],[Month]]&lt;4,1,IF(calendar[[#This Row],[Month]]&lt;7,2,IF(calendar[[#This Row],[Month]]&lt;10,3,4)))</f>
        <v>3</v>
      </c>
      <c r="L241">
        <f>IFERROR(IF(VLOOKUP(calendar[[#This Row],[Date]],BH!A:A,1,)&lt;&gt;"",1,0),0)</f>
        <v>0</v>
      </c>
      <c r="M241">
        <f>IFERROR(IF(VLOOKUP(calendar[[#This Row],[Date]],BH!C:C,1,)&lt;&gt;"",1,0),0)</f>
        <v>0</v>
      </c>
      <c r="N241">
        <f>IFERROR(IF(VLOOKUP(calendar[[#This Row],[Date]],BH!E:E,1,)&lt;&gt;"",1,0),0)</f>
        <v>0</v>
      </c>
      <c r="O241">
        <f>IFERROR(IF(VLOOKUP(calendar[[#This Row],[Date]],BH!G:G,1,)&lt;&gt;"",1,0),0)</f>
        <v>0</v>
      </c>
      <c r="P241">
        <f>IF(OR(calendar[[#This Row],[UK_BH]]=1,calendar[[#This Row],[WeekDay]]=1, calendar[[#This Row],[WeekDay]]=7),P240,P240+1)</f>
        <v>171</v>
      </c>
      <c r="Q241">
        <f>IF(OR(calendar[[#This Row],[FR_BH]]=1,calendar[[#This Row],[WeekDay]]=1, calendar[[#This Row],[WeekDay]]=7),P240,P240+1)</f>
        <v>171</v>
      </c>
      <c r="R241">
        <f>IF(OR(calendar[[#This Row],[SP_BH]]=1,calendar[[#This Row],[WeekDay]]=1, calendar[[#This Row],[WeekDay]]=7),P240,P240+1)</f>
        <v>171</v>
      </c>
      <c r="S241">
        <f>IF(OR(calendar[[#This Row],[PT_BH]]=1,calendar[[#This Row],[WeekDay]]=1, calendar[[#This Row],[WeekDay]]=7),P240,P240+1)</f>
        <v>171</v>
      </c>
    </row>
    <row r="242" spans="1:19" x14ac:dyDescent="0.25">
      <c r="A242" s="2">
        <v>42976</v>
      </c>
      <c r="B242" s="1">
        <f t="shared" si="18"/>
        <v>35</v>
      </c>
      <c r="C242">
        <f t="shared" si="20"/>
        <v>8</v>
      </c>
      <c r="D242" t="str">
        <f t="shared" si="21"/>
        <v>August</v>
      </c>
      <c r="E242">
        <f t="shared" si="22"/>
        <v>2017</v>
      </c>
      <c r="F242" t="str">
        <f>CONCATENATE(calendar[[#This Row],[Month]],"/",calendar[[#This Row],[Year]])</f>
        <v>8/2017</v>
      </c>
      <c r="G242">
        <f>WEEKDAY(calendar[[#This Row],[Date]],1)</f>
        <v>3</v>
      </c>
      <c r="H242" t="str">
        <f>TEXT(calendar[[#This Row],[WeekDay]],"dddd")</f>
        <v>Tuesday</v>
      </c>
      <c r="I242">
        <f>IF((INT(calendar[[#This Row],[Count]]/7)-calendar[[#This Row],[Count]]/7)&lt;0,I241,I241+1)</f>
        <v>35</v>
      </c>
      <c r="J242">
        <f t="shared" si="19"/>
        <v>240</v>
      </c>
      <c r="K242">
        <f>IF(calendar[[#This Row],[Month]]&lt;4,1,IF(calendar[[#This Row],[Month]]&lt;7,2,IF(calendar[[#This Row],[Month]]&lt;10,3,4)))</f>
        <v>3</v>
      </c>
      <c r="L242">
        <f>IFERROR(IF(VLOOKUP(calendar[[#This Row],[Date]],BH!A:A,1,)&lt;&gt;"",1,0),0)</f>
        <v>0</v>
      </c>
      <c r="M242">
        <f>IFERROR(IF(VLOOKUP(calendar[[#This Row],[Date]],BH!C:C,1,)&lt;&gt;"",1,0),0)</f>
        <v>0</v>
      </c>
      <c r="N242">
        <f>IFERROR(IF(VLOOKUP(calendar[[#This Row],[Date]],BH!E:E,1,)&lt;&gt;"",1,0),0)</f>
        <v>0</v>
      </c>
      <c r="O242">
        <f>IFERROR(IF(VLOOKUP(calendar[[#This Row],[Date]],BH!G:G,1,)&lt;&gt;"",1,0),0)</f>
        <v>0</v>
      </c>
      <c r="P242">
        <f>IF(OR(calendar[[#This Row],[UK_BH]]=1,calendar[[#This Row],[WeekDay]]=1, calendar[[#This Row],[WeekDay]]=7),P241,P241+1)</f>
        <v>172</v>
      </c>
      <c r="Q242">
        <f>IF(OR(calendar[[#This Row],[FR_BH]]=1,calendar[[#This Row],[WeekDay]]=1, calendar[[#This Row],[WeekDay]]=7),P241,P241+1)</f>
        <v>172</v>
      </c>
      <c r="R242">
        <f>IF(OR(calendar[[#This Row],[SP_BH]]=1,calendar[[#This Row],[WeekDay]]=1, calendar[[#This Row],[WeekDay]]=7),P241,P241+1)</f>
        <v>172</v>
      </c>
      <c r="S242">
        <f>IF(OR(calendar[[#This Row],[PT_BH]]=1,calendar[[#This Row],[WeekDay]]=1, calendar[[#This Row],[WeekDay]]=7),P241,P241+1)</f>
        <v>172</v>
      </c>
    </row>
    <row r="243" spans="1:19" x14ac:dyDescent="0.25">
      <c r="A243" s="2">
        <v>42977</v>
      </c>
      <c r="B243" s="1">
        <f t="shared" si="18"/>
        <v>35</v>
      </c>
      <c r="C243">
        <f t="shared" si="20"/>
        <v>8</v>
      </c>
      <c r="D243" t="str">
        <f t="shared" si="21"/>
        <v>August</v>
      </c>
      <c r="E243">
        <f t="shared" si="22"/>
        <v>2017</v>
      </c>
      <c r="F243" t="str">
        <f>CONCATENATE(calendar[[#This Row],[Month]],"/",calendar[[#This Row],[Year]])</f>
        <v>8/2017</v>
      </c>
      <c r="G243">
        <f>WEEKDAY(calendar[[#This Row],[Date]],1)</f>
        <v>4</v>
      </c>
      <c r="H243" t="str">
        <f>TEXT(calendar[[#This Row],[WeekDay]],"dddd")</f>
        <v>Wednesday</v>
      </c>
      <c r="I243">
        <f>IF((INT(calendar[[#This Row],[Count]]/7)-calendar[[#This Row],[Count]]/7)&lt;0,I242,I242+1)</f>
        <v>35</v>
      </c>
      <c r="J243">
        <f t="shared" si="19"/>
        <v>241</v>
      </c>
      <c r="K243">
        <f>IF(calendar[[#This Row],[Month]]&lt;4,1,IF(calendar[[#This Row],[Month]]&lt;7,2,IF(calendar[[#This Row],[Month]]&lt;10,3,4)))</f>
        <v>3</v>
      </c>
      <c r="L243">
        <f>IFERROR(IF(VLOOKUP(calendar[[#This Row],[Date]],BH!A:A,1,)&lt;&gt;"",1,0),0)</f>
        <v>0</v>
      </c>
      <c r="M243">
        <f>IFERROR(IF(VLOOKUP(calendar[[#This Row],[Date]],BH!C:C,1,)&lt;&gt;"",1,0),0)</f>
        <v>0</v>
      </c>
      <c r="N243">
        <f>IFERROR(IF(VLOOKUP(calendar[[#This Row],[Date]],BH!E:E,1,)&lt;&gt;"",1,0),0)</f>
        <v>0</v>
      </c>
      <c r="O243">
        <f>IFERROR(IF(VLOOKUP(calendar[[#This Row],[Date]],BH!G:G,1,)&lt;&gt;"",1,0),0)</f>
        <v>0</v>
      </c>
      <c r="P243">
        <f>IF(OR(calendar[[#This Row],[UK_BH]]=1,calendar[[#This Row],[WeekDay]]=1, calendar[[#This Row],[WeekDay]]=7),P242,P242+1)</f>
        <v>173</v>
      </c>
      <c r="Q243">
        <f>IF(OR(calendar[[#This Row],[FR_BH]]=1,calendar[[#This Row],[WeekDay]]=1, calendar[[#This Row],[WeekDay]]=7),P242,P242+1)</f>
        <v>173</v>
      </c>
      <c r="R243">
        <f>IF(OR(calendar[[#This Row],[SP_BH]]=1,calendar[[#This Row],[WeekDay]]=1, calendar[[#This Row],[WeekDay]]=7),P242,P242+1)</f>
        <v>173</v>
      </c>
      <c r="S243">
        <f>IF(OR(calendar[[#This Row],[PT_BH]]=1,calendar[[#This Row],[WeekDay]]=1, calendar[[#This Row],[WeekDay]]=7),P242,P242+1)</f>
        <v>173</v>
      </c>
    </row>
    <row r="244" spans="1:19" x14ac:dyDescent="0.25">
      <c r="A244" s="2">
        <v>42978</v>
      </c>
      <c r="B244" s="1">
        <f t="shared" si="18"/>
        <v>35</v>
      </c>
      <c r="C244">
        <f t="shared" si="20"/>
        <v>8</v>
      </c>
      <c r="D244" t="str">
        <f t="shared" si="21"/>
        <v>August</v>
      </c>
      <c r="E244">
        <f t="shared" si="22"/>
        <v>2017</v>
      </c>
      <c r="F244" t="str">
        <f>CONCATENATE(calendar[[#This Row],[Month]],"/",calendar[[#This Row],[Year]])</f>
        <v>8/2017</v>
      </c>
      <c r="G244">
        <f>WEEKDAY(calendar[[#This Row],[Date]],1)</f>
        <v>5</v>
      </c>
      <c r="H244" t="str">
        <f>TEXT(calendar[[#This Row],[WeekDay]],"dddd")</f>
        <v>Thursday</v>
      </c>
      <c r="I244">
        <f>IF((INT(calendar[[#This Row],[Count]]/7)-calendar[[#This Row],[Count]]/7)&lt;0,I243,I243+1)</f>
        <v>35</v>
      </c>
      <c r="J244">
        <f t="shared" si="19"/>
        <v>242</v>
      </c>
      <c r="K244">
        <f>IF(calendar[[#This Row],[Month]]&lt;4,1,IF(calendar[[#This Row],[Month]]&lt;7,2,IF(calendar[[#This Row],[Month]]&lt;10,3,4)))</f>
        <v>3</v>
      </c>
      <c r="L244">
        <f>IFERROR(IF(VLOOKUP(calendar[[#This Row],[Date]],BH!A:A,1,)&lt;&gt;"",1,0),0)</f>
        <v>0</v>
      </c>
      <c r="M244">
        <f>IFERROR(IF(VLOOKUP(calendar[[#This Row],[Date]],BH!C:C,1,)&lt;&gt;"",1,0),0)</f>
        <v>0</v>
      </c>
      <c r="N244">
        <f>IFERROR(IF(VLOOKUP(calendar[[#This Row],[Date]],BH!E:E,1,)&lt;&gt;"",1,0),0)</f>
        <v>0</v>
      </c>
      <c r="O244">
        <f>IFERROR(IF(VLOOKUP(calendar[[#This Row],[Date]],BH!G:G,1,)&lt;&gt;"",1,0),0)</f>
        <v>0</v>
      </c>
      <c r="P244">
        <f>IF(OR(calendar[[#This Row],[UK_BH]]=1,calendar[[#This Row],[WeekDay]]=1, calendar[[#This Row],[WeekDay]]=7),P243,P243+1)</f>
        <v>174</v>
      </c>
      <c r="Q244">
        <f>IF(OR(calendar[[#This Row],[FR_BH]]=1,calendar[[#This Row],[WeekDay]]=1, calendar[[#This Row],[WeekDay]]=7),P243,P243+1)</f>
        <v>174</v>
      </c>
      <c r="R244">
        <f>IF(OR(calendar[[#This Row],[SP_BH]]=1,calendar[[#This Row],[WeekDay]]=1, calendar[[#This Row],[WeekDay]]=7),P243,P243+1)</f>
        <v>174</v>
      </c>
      <c r="S244">
        <f>IF(OR(calendar[[#This Row],[PT_BH]]=1,calendar[[#This Row],[WeekDay]]=1, calendar[[#This Row],[WeekDay]]=7),P243,P243+1)</f>
        <v>174</v>
      </c>
    </row>
    <row r="245" spans="1:19" x14ac:dyDescent="0.25">
      <c r="A245" s="2">
        <v>42979</v>
      </c>
      <c r="B245" s="1">
        <f t="shared" si="18"/>
        <v>35</v>
      </c>
      <c r="C245">
        <f t="shared" si="20"/>
        <v>9</v>
      </c>
      <c r="D245" t="str">
        <f t="shared" si="21"/>
        <v>September</v>
      </c>
      <c r="E245">
        <f t="shared" si="22"/>
        <v>2017</v>
      </c>
      <c r="F245" t="str">
        <f>CONCATENATE(calendar[[#This Row],[Month]],"/",calendar[[#This Row],[Year]])</f>
        <v>9/2017</v>
      </c>
      <c r="G245">
        <f>WEEKDAY(calendar[[#This Row],[Date]],1)</f>
        <v>6</v>
      </c>
      <c r="H245" t="str">
        <f>TEXT(calendar[[#This Row],[WeekDay]],"dddd")</f>
        <v>Friday</v>
      </c>
      <c r="I245">
        <f>IF((INT(calendar[[#This Row],[Count]]/7)-calendar[[#This Row],[Count]]/7)&lt;0,I244,I244+1)</f>
        <v>35</v>
      </c>
      <c r="J245">
        <f t="shared" si="19"/>
        <v>243</v>
      </c>
      <c r="K245">
        <f>IF(calendar[[#This Row],[Month]]&lt;4,1,IF(calendar[[#This Row],[Month]]&lt;7,2,IF(calendar[[#This Row],[Month]]&lt;10,3,4)))</f>
        <v>3</v>
      </c>
      <c r="L245">
        <f>IFERROR(IF(VLOOKUP(calendar[[#This Row],[Date]],BH!A:A,1,)&lt;&gt;"",1,0),0)</f>
        <v>0</v>
      </c>
      <c r="M245">
        <f>IFERROR(IF(VLOOKUP(calendar[[#This Row],[Date]],BH!C:C,1,)&lt;&gt;"",1,0),0)</f>
        <v>0</v>
      </c>
      <c r="N245">
        <f>IFERROR(IF(VLOOKUP(calendar[[#This Row],[Date]],BH!E:E,1,)&lt;&gt;"",1,0),0)</f>
        <v>0</v>
      </c>
      <c r="O245">
        <f>IFERROR(IF(VLOOKUP(calendar[[#This Row],[Date]],BH!G:G,1,)&lt;&gt;"",1,0),0)</f>
        <v>0</v>
      </c>
      <c r="P245">
        <f>IF(OR(calendar[[#This Row],[UK_BH]]=1,calendar[[#This Row],[WeekDay]]=1, calendar[[#This Row],[WeekDay]]=7),P244,P244+1)</f>
        <v>175</v>
      </c>
      <c r="Q245">
        <f>IF(OR(calendar[[#This Row],[FR_BH]]=1,calendar[[#This Row],[WeekDay]]=1, calendar[[#This Row],[WeekDay]]=7),P244,P244+1)</f>
        <v>175</v>
      </c>
      <c r="R245">
        <f>IF(OR(calendar[[#This Row],[SP_BH]]=1,calendar[[#This Row],[WeekDay]]=1, calendar[[#This Row],[WeekDay]]=7),P244,P244+1)</f>
        <v>175</v>
      </c>
      <c r="S245">
        <f>IF(OR(calendar[[#This Row],[PT_BH]]=1,calendar[[#This Row],[WeekDay]]=1, calendar[[#This Row],[WeekDay]]=7),P244,P244+1)</f>
        <v>175</v>
      </c>
    </row>
    <row r="246" spans="1:19" x14ac:dyDescent="0.25">
      <c r="A246" s="2">
        <v>42980</v>
      </c>
      <c r="B246" s="1">
        <f t="shared" si="18"/>
        <v>35</v>
      </c>
      <c r="C246">
        <f t="shared" si="20"/>
        <v>9</v>
      </c>
      <c r="D246" t="str">
        <f t="shared" si="21"/>
        <v>September</v>
      </c>
      <c r="E246">
        <f t="shared" si="22"/>
        <v>2017</v>
      </c>
      <c r="F246" t="str">
        <f>CONCATENATE(calendar[[#This Row],[Month]],"/",calendar[[#This Row],[Year]])</f>
        <v>9/2017</v>
      </c>
      <c r="G246">
        <f>WEEKDAY(calendar[[#This Row],[Date]],1)</f>
        <v>7</v>
      </c>
      <c r="H246" t="str">
        <f>TEXT(calendar[[#This Row],[WeekDay]],"dddd")</f>
        <v>Saturday</v>
      </c>
      <c r="I246">
        <f>IF((INT(calendar[[#This Row],[Count]]/7)-calendar[[#This Row],[Count]]/7)&lt;0,I245,I245+1)</f>
        <v>35</v>
      </c>
      <c r="J246">
        <f t="shared" si="19"/>
        <v>244</v>
      </c>
      <c r="K246">
        <f>IF(calendar[[#This Row],[Month]]&lt;4,1,IF(calendar[[#This Row],[Month]]&lt;7,2,IF(calendar[[#This Row],[Month]]&lt;10,3,4)))</f>
        <v>3</v>
      </c>
      <c r="L246">
        <f>IFERROR(IF(VLOOKUP(calendar[[#This Row],[Date]],BH!A:A,1,)&lt;&gt;"",1,0),0)</f>
        <v>0</v>
      </c>
      <c r="M246">
        <f>IFERROR(IF(VLOOKUP(calendar[[#This Row],[Date]],BH!C:C,1,)&lt;&gt;"",1,0),0)</f>
        <v>0</v>
      </c>
      <c r="N246">
        <f>IFERROR(IF(VLOOKUP(calendar[[#This Row],[Date]],BH!E:E,1,)&lt;&gt;"",1,0),0)</f>
        <v>0</v>
      </c>
      <c r="O246">
        <f>IFERROR(IF(VLOOKUP(calendar[[#This Row],[Date]],BH!G:G,1,)&lt;&gt;"",1,0),0)</f>
        <v>0</v>
      </c>
      <c r="P246">
        <f>IF(OR(calendar[[#This Row],[UK_BH]]=1,calendar[[#This Row],[WeekDay]]=1, calendar[[#This Row],[WeekDay]]=7),P245,P245+1)</f>
        <v>175</v>
      </c>
      <c r="Q246">
        <f>IF(OR(calendar[[#This Row],[FR_BH]]=1,calendar[[#This Row],[WeekDay]]=1, calendar[[#This Row],[WeekDay]]=7),P245,P245+1)</f>
        <v>175</v>
      </c>
      <c r="R246">
        <f>IF(OR(calendar[[#This Row],[SP_BH]]=1,calendar[[#This Row],[WeekDay]]=1, calendar[[#This Row],[WeekDay]]=7),P245,P245+1)</f>
        <v>175</v>
      </c>
      <c r="S246">
        <f>IF(OR(calendar[[#This Row],[PT_BH]]=1,calendar[[#This Row],[WeekDay]]=1, calendar[[#This Row],[WeekDay]]=7),P245,P245+1)</f>
        <v>175</v>
      </c>
    </row>
    <row r="247" spans="1:19" x14ac:dyDescent="0.25">
      <c r="A247" s="2">
        <v>42981</v>
      </c>
      <c r="B247" s="1">
        <f t="shared" si="18"/>
        <v>36</v>
      </c>
      <c r="C247">
        <f t="shared" si="20"/>
        <v>9</v>
      </c>
      <c r="D247" t="str">
        <f t="shared" si="21"/>
        <v>September</v>
      </c>
      <c r="E247">
        <f t="shared" si="22"/>
        <v>2017</v>
      </c>
      <c r="F247" t="str">
        <f>CONCATENATE(calendar[[#This Row],[Month]],"/",calendar[[#This Row],[Year]])</f>
        <v>9/2017</v>
      </c>
      <c r="G247">
        <f>WEEKDAY(calendar[[#This Row],[Date]],1)</f>
        <v>1</v>
      </c>
      <c r="H247" t="str">
        <f>TEXT(calendar[[#This Row],[WeekDay]],"dddd")</f>
        <v>Sunday</v>
      </c>
      <c r="I247">
        <f>IF((INT(calendar[[#This Row],[Count]]/7)-calendar[[#This Row],[Count]]/7)&lt;0,I246,I246+1)</f>
        <v>36</v>
      </c>
      <c r="J247">
        <f t="shared" si="19"/>
        <v>245</v>
      </c>
      <c r="K247">
        <f>IF(calendar[[#This Row],[Month]]&lt;4,1,IF(calendar[[#This Row],[Month]]&lt;7,2,IF(calendar[[#This Row],[Month]]&lt;10,3,4)))</f>
        <v>3</v>
      </c>
      <c r="L247">
        <f>IFERROR(IF(VLOOKUP(calendar[[#This Row],[Date]],BH!A:A,1,)&lt;&gt;"",1,0),0)</f>
        <v>0</v>
      </c>
      <c r="M247">
        <f>IFERROR(IF(VLOOKUP(calendar[[#This Row],[Date]],BH!C:C,1,)&lt;&gt;"",1,0),0)</f>
        <v>0</v>
      </c>
      <c r="N247">
        <f>IFERROR(IF(VLOOKUP(calendar[[#This Row],[Date]],BH!E:E,1,)&lt;&gt;"",1,0),0)</f>
        <v>0</v>
      </c>
      <c r="O247">
        <f>IFERROR(IF(VLOOKUP(calendar[[#This Row],[Date]],BH!G:G,1,)&lt;&gt;"",1,0),0)</f>
        <v>0</v>
      </c>
      <c r="P247">
        <f>IF(OR(calendar[[#This Row],[UK_BH]]=1,calendar[[#This Row],[WeekDay]]=1, calendar[[#This Row],[WeekDay]]=7),P246,P246+1)</f>
        <v>175</v>
      </c>
      <c r="Q247">
        <f>IF(OR(calendar[[#This Row],[FR_BH]]=1,calendar[[#This Row],[WeekDay]]=1, calendar[[#This Row],[WeekDay]]=7),P246,P246+1)</f>
        <v>175</v>
      </c>
      <c r="R247">
        <f>IF(OR(calendar[[#This Row],[SP_BH]]=1,calendar[[#This Row],[WeekDay]]=1, calendar[[#This Row],[WeekDay]]=7),P246,P246+1)</f>
        <v>175</v>
      </c>
      <c r="S247">
        <f>IF(OR(calendar[[#This Row],[PT_BH]]=1,calendar[[#This Row],[WeekDay]]=1, calendar[[#This Row],[WeekDay]]=7),P246,P246+1)</f>
        <v>175</v>
      </c>
    </row>
    <row r="248" spans="1:19" x14ac:dyDescent="0.25">
      <c r="A248" s="2">
        <v>42982</v>
      </c>
      <c r="B248" s="1">
        <f t="shared" si="18"/>
        <v>36</v>
      </c>
      <c r="C248">
        <f t="shared" si="20"/>
        <v>9</v>
      </c>
      <c r="D248" t="str">
        <f t="shared" si="21"/>
        <v>September</v>
      </c>
      <c r="E248">
        <f t="shared" si="22"/>
        <v>2017</v>
      </c>
      <c r="F248" t="str">
        <f>CONCATENATE(calendar[[#This Row],[Month]],"/",calendar[[#This Row],[Year]])</f>
        <v>9/2017</v>
      </c>
      <c r="G248">
        <f>WEEKDAY(calendar[[#This Row],[Date]],1)</f>
        <v>2</v>
      </c>
      <c r="H248" t="str">
        <f>TEXT(calendar[[#This Row],[WeekDay]],"dddd")</f>
        <v>Monday</v>
      </c>
      <c r="I248">
        <f>IF((INT(calendar[[#This Row],[Count]]/7)-calendar[[#This Row],[Count]]/7)&lt;0,I247,I247+1)</f>
        <v>36</v>
      </c>
      <c r="J248">
        <f t="shared" si="19"/>
        <v>246</v>
      </c>
      <c r="K248">
        <f>IF(calendar[[#This Row],[Month]]&lt;4,1,IF(calendar[[#This Row],[Month]]&lt;7,2,IF(calendar[[#This Row],[Month]]&lt;10,3,4)))</f>
        <v>3</v>
      </c>
      <c r="L248">
        <f>IFERROR(IF(VLOOKUP(calendar[[#This Row],[Date]],BH!A:A,1,)&lt;&gt;"",1,0),0)</f>
        <v>0</v>
      </c>
      <c r="M248">
        <f>IFERROR(IF(VLOOKUP(calendar[[#This Row],[Date]],BH!C:C,1,)&lt;&gt;"",1,0),0)</f>
        <v>0</v>
      </c>
      <c r="N248">
        <f>IFERROR(IF(VLOOKUP(calendar[[#This Row],[Date]],BH!E:E,1,)&lt;&gt;"",1,0),0)</f>
        <v>0</v>
      </c>
      <c r="O248">
        <f>IFERROR(IF(VLOOKUP(calendar[[#This Row],[Date]],BH!G:G,1,)&lt;&gt;"",1,0),0)</f>
        <v>0</v>
      </c>
      <c r="P248">
        <f>IF(OR(calendar[[#This Row],[UK_BH]]=1,calendar[[#This Row],[WeekDay]]=1, calendar[[#This Row],[WeekDay]]=7),P247,P247+1)</f>
        <v>176</v>
      </c>
      <c r="Q248">
        <f>IF(OR(calendar[[#This Row],[FR_BH]]=1,calendar[[#This Row],[WeekDay]]=1, calendar[[#This Row],[WeekDay]]=7),P247,P247+1)</f>
        <v>176</v>
      </c>
      <c r="R248">
        <f>IF(OR(calendar[[#This Row],[SP_BH]]=1,calendar[[#This Row],[WeekDay]]=1, calendar[[#This Row],[WeekDay]]=7),P247,P247+1)</f>
        <v>176</v>
      </c>
      <c r="S248">
        <f>IF(OR(calendar[[#This Row],[PT_BH]]=1,calendar[[#This Row],[WeekDay]]=1, calendar[[#This Row],[WeekDay]]=7),P247,P247+1)</f>
        <v>176</v>
      </c>
    </row>
    <row r="249" spans="1:19" x14ac:dyDescent="0.25">
      <c r="A249" s="2">
        <v>42983</v>
      </c>
      <c r="B249" s="1">
        <f t="shared" si="18"/>
        <v>36</v>
      </c>
      <c r="C249">
        <f t="shared" si="20"/>
        <v>9</v>
      </c>
      <c r="D249" t="str">
        <f t="shared" si="21"/>
        <v>September</v>
      </c>
      <c r="E249">
        <f t="shared" si="22"/>
        <v>2017</v>
      </c>
      <c r="F249" t="str">
        <f>CONCATENATE(calendar[[#This Row],[Month]],"/",calendar[[#This Row],[Year]])</f>
        <v>9/2017</v>
      </c>
      <c r="G249">
        <f>WEEKDAY(calendar[[#This Row],[Date]],1)</f>
        <v>3</v>
      </c>
      <c r="H249" t="str">
        <f>TEXT(calendar[[#This Row],[WeekDay]],"dddd")</f>
        <v>Tuesday</v>
      </c>
      <c r="I249">
        <f>IF((INT(calendar[[#This Row],[Count]]/7)-calendar[[#This Row],[Count]]/7)&lt;0,I248,I248+1)</f>
        <v>36</v>
      </c>
      <c r="J249">
        <f t="shared" si="19"/>
        <v>247</v>
      </c>
      <c r="K249">
        <f>IF(calendar[[#This Row],[Month]]&lt;4,1,IF(calendar[[#This Row],[Month]]&lt;7,2,IF(calendar[[#This Row],[Month]]&lt;10,3,4)))</f>
        <v>3</v>
      </c>
      <c r="L249">
        <f>IFERROR(IF(VLOOKUP(calendar[[#This Row],[Date]],BH!A:A,1,)&lt;&gt;"",1,0),0)</f>
        <v>0</v>
      </c>
      <c r="M249">
        <f>IFERROR(IF(VLOOKUP(calendar[[#This Row],[Date]],BH!C:C,1,)&lt;&gt;"",1,0),0)</f>
        <v>0</v>
      </c>
      <c r="N249">
        <f>IFERROR(IF(VLOOKUP(calendar[[#This Row],[Date]],BH!E:E,1,)&lt;&gt;"",1,0),0)</f>
        <v>0</v>
      </c>
      <c r="O249">
        <f>IFERROR(IF(VLOOKUP(calendar[[#This Row],[Date]],BH!G:G,1,)&lt;&gt;"",1,0),0)</f>
        <v>0</v>
      </c>
      <c r="P249">
        <f>IF(OR(calendar[[#This Row],[UK_BH]]=1,calendar[[#This Row],[WeekDay]]=1, calendar[[#This Row],[WeekDay]]=7),P248,P248+1)</f>
        <v>177</v>
      </c>
      <c r="Q249">
        <f>IF(OR(calendar[[#This Row],[FR_BH]]=1,calendar[[#This Row],[WeekDay]]=1, calendar[[#This Row],[WeekDay]]=7),P248,P248+1)</f>
        <v>177</v>
      </c>
      <c r="R249">
        <f>IF(OR(calendar[[#This Row],[SP_BH]]=1,calendar[[#This Row],[WeekDay]]=1, calendar[[#This Row],[WeekDay]]=7),P248,P248+1)</f>
        <v>177</v>
      </c>
      <c r="S249">
        <f>IF(OR(calendar[[#This Row],[PT_BH]]=1,calendar[[#This Row],[WeekDay]]=1, calendar[[#This Row],[WeekDay]]=7),P248,P248+1)</f>
        <v>177</v>
      </c>
    </row>
    <row r="250" spans="1:19" x14ac:dyDescent="0.25">
      <c r="A250" s="2">
        <v>42984</v>
      </c>
      <c r="B250" s="1">
        <f t="shared" si="18"/>
        <v>36</v>
      </c>
      <c r="C250">
        <f t="shared" si="20"/>
        <v>9</v>
      </c>
      <c r="D250" t="str">
        <f t="shared" si="21"/>
        <v>September</v>
      </c>
      <c r="E250">
        <f t="shared" si="22"/>
        <v>2017</v>
      </c>
      <c r="F250" t="str">
        <f>CONCATENATE(calendar[[#This Row],[Month]],"/",calendar[[#This Row],[Year]])</f>
        <v>9/2017</v>
      </c>
      <c r="G250">
        <f>WEEKDAY(calendar[[#This Row],[Date]],1)</f>
        <v>4</v>
      </c>
      <c r="H250" t="str">
        <f>TEXT(calendar[[#This Row],[WeekDay]],"dddd")</f>
        <v>Wednesday</v>
      </c>
      <c r="I250">
        <f>IF((INT(calendar[[#This Row],[Count]]/7)-calendar[[#This Row],[Count]]/7)&lt;0,I249,I249+1)</f>
        <v>36</v>
      </c>
      <c r="J250">
        <f t="shared" si="19"/>
        <v>248</v>
      </c>
      <c r="K250">
        <f>IF(calendar[[#This Row],[Month]]&lt;4,1,IF(calendar[[#This Row],[Month]]&lt;7,2,IF(calendar[[#This Row],[Month]]&lt;10,3,4)))</f>
        <v>3</v>
      </c>
      <c r="L250">
        <f>IFERROR(IF(VLOOKUP(calendar[[#This Row],[Date]],BH!A:A,1,)&lt;&gt;"",1,0),0)</f>
        <v>0</v>
      </c>
      <c r="M250">
        <f>IFERROR(IF(VLOOKUP(calendar[[#This Row],[Date]],BH!C:C,1,)&lt;&gt;"",1,0),0)</f>
        <v>0</v>
      </c>
      <c r="N250">
        <f>IFERROR(IF(VLOOKUP(calendar[[#This Row],[Date]],BH!E:E,1,)&lt;&gt;"",1,0),0)</f>
        <v>0</v>
      </c>
      <c r="O250">
        <f>IFERROR(IF(VLOOKUP(calendar[[#This Row],[Date]],BH!G:G,1,)&lt;&gt;"",1,0),0)</f>
        <v>0</v>
      </c>
      <c r="P250">
        <f>IF(OR(calendar[[#This Row],[UK_BH]]=1,calendar[[#This Row],[WeekDay]]=1, calendar[[#This Row],[WeekDay]]=7),P249,P249+1)</f>
        <v>178</v>
      </c>
      <c r="Q250">
        <f>IF(OR(calendar[[#This Row],[FR_BH]]=1,calendar[[#This Row],[WeekDay]]=1, calendar[[#This Row],[WeekDay]]=7),P249,P249+1)</f>
        <v>178</v>
      </c>
      <c r="R250">
        <f>IF(OR(calendar[[#This Row],[SP_BH]]=1,calendar[[#This Row],[WeekDay]]=1, calendar[[#This Row],[WeekDay]]=7),P249,P249+1)</f>
        <v>178</v>
      </c>
      <c r="S250">
        <f>IF(OR(calendar[[#This Row],[PT_BH]]=1,calendar[[#This Row],[WeekDay]]=1, calendar[[#This Row],[WeekDay]]=7),P249,P249+1)</f>
        <v>178</v>
      </c>
    </row>
    <row r="251" spans="1:19" x14ac:dyDescent="0.25">
      <c r="A251" s="2">
        <v>42985</v>
      </c>
      <c r="B251" s="1">
        <f t="shared" si="18"/>
        <v>36</v>
      </c>
      <c r="C251">
        <f t="shared" si="20"/>
        <v>9</v>
      </c>
      <c r="D251" t="str">
        <f t="shared" si="21"/>
        <v>September</v>
      </c>
      <c r="E251">
        <f t="shared" si="22"/>
        <v>2017</v>
      </c>
      <c r="F251" t="str">
        <f>CONCATENATE(calendar[[#This Row],[Month]],"/",calendar[[#This Row],[Year]])</f>
        <v>9/2017</v>
      </c>
      <c r="G251">
        <f>WEEKDAY(calendar[[#This Row],[Date]],1)</f>
        <v>5</v>
      </c>
      <c r="H251" t="str">
        <f>TEXT(calendar[[#This Row],[WeekDay]],"dddd")</f>
        <v>Thursday</v>
      </c>
      <c r="I251">
        <f>IF((INT(calendar[[#This Row],[Count]]/7)-calendar[[#This Row],[Count]]/7)&lt;0,I250,I250+1)</f>
        <v>36</v>
      </c>
      <c r="J251">
        <f t="shared" si="19"/>
        <v>249</v>
      </c>
      <c r="K251">
        <f>IF(calendar[[#This Row],[Month]]&lt;4,1,IF(calendar[[#This Row],[Month]]&lt;7,2,IF(calendar[[#This Row],[Month]]&lt;10,3,4)))</f>
        <v>3</v>
      </c>
      <c r="L251">
        <f>IFERROR(IF(VLOOKUP(calendar[[#This Row],[Date]],BH!A:A,1,)&lt;&gt;"",1,0),0)</f>
        <v>0</v>
      </c>
      <c r="M251">
        <f>IFERROR(IF(VLOOKUP(calendar[[#This Row],[Date]],BH!C:C,1,)&lt;&gt;"",1,0),0)</f>
        <v>0</v>
      </c>
      <c r="N251">
        <f>IFERROR(IF(VLOOKUP(calendar[[#This Row],[Date]],BH!E:E,1,)&lt;&gt;"",1,0),0)</f>
        <v>0</v>
      </c>
      <c r="O251">
        <f>IFERROR(IF(VLOOKUP(calendar[[#This Row],[Date]],BH!G:G,1,)&lt;&gt;"",1,0),0)</f>
        <v>0</v>
      </c>
      <c r="P251">
        <f>IF(OR(calendar[[#This Row],[UK_BH]]=1,calendar[[#This Row],[WeekDay]]=1, calendar[[#This Row],[WeekDay]]=7),P250,P250+1)</f>
        <v>179</v>
      </c>
      <c r="Q251">
        <f>IF(OR(calendar[[#This Row],[FR_BH]]=1,calendar[[#This Row],[WeekDay]]=1, calendar[[#This Row],[WeekDay]]=7),P250,P250+1)</f>
        <v>179</v>
      </c>
      <c r="R251">
        <f>IF(OR(calendar[[#This Row],[SP_BH]]=1,calendar[[#This Row],[WeekDay]]=1, calendar[[#This Row],[WeekDay]]=7),P250,P250+1)</f>
        <v>179</v>
      </c>
      <c r="S251">
        <f>IF(OR(calendar[[#This Row],[PT_BH]]=1,calendar[[#This Row],[WeekDay]]=1, calendar[[#This Row],[WeekDay]]=7),P250,P250+1)</f>
        <v>179</v>
      </c>
    </row>
    <row r="252" spans="1:19" x14ac:dyDescent="0.25">
      <c r="A252" s="2">
        <v>42986</v>
      </c>
      <c r="B252" s="1">
        <f t="shared" si="18"/>
        <v>36</v>
      </c>
      <c r="C252">
        <f t="shared" si="20"/>
        <v>9</v>
      </c>
      <c r="D252" t="str">
        <f t="shared" si="21"/>
        <v>September</v>
      </c>
      <c r="E252">
        <f t="shared" si="22"/>
        <v>2017</v>
      </c>
      <c r="F252" t="str">
        <f>CONCATENATE(calendar[[#This Row],[Month]],"/",calendar[[#This Row],[Year]])</f>
        <v>9/2017</v>
      </c>
      <c r="G252">
        <f>WEEKDAY(calendar[[#This Row],[Date]],1)</f>
        <v>6</v>
      </c>
      <c r="H252" t="str">
        <f>TEXT(calendar[[#This Row],[WeekDay]],"dddd")</f>
        <v>Friday</v>
      </c>
      <c r="I252">
        <f>IF((INT(calendar[[#This Row],[Count]]/7)-calendar[[#This Row],[Count]]/7)&lt;0,I251,I251+1)</f>
        <v>36</v>
      </c>
      <c r="J252">
        <f t="shared" si="19"/>
        <v>250</v>
      </c>
      <c r="K252">
        <f>IF(calendar[[#This Row],[Month]]&lt;4,1,IF(calendar[[#This Row],[Month]]&lt;7,2,IF(calendar[[#This Row],[Month]]&lt;10,3,4)))</f>
        <v>3</v>
      </c>
      <c r="L252">
        <f>IFERROR(IF(VLOOKUP(calendar[[#This Row],[Date]],BH!A:A,1,)&lt;&gt;"",1,0),0)</f>
        <v>0</v>
      </c>
      <c r="M252">
        <f>IFERROR(IF(VLOOKUP(calendar[[#This Row],[Date]],BH!C:C,1,)&lt;&gt;"",1,0),0)</f>
        <v>0</v>
      </c>
      <c r="N252">
        <f>IFERROR(IF(VLOOKUP(calendar[[#This Row],[Date]],BH!E:E,1,)&lt;&gt;"",1,0),0)</f>
        <v>0</v>
      </c>
      <c r="O252">
        <f>IFERROR(IF(VLOOKUP(calendar[[#This Row],[Date]],BH!G:G,1,)&lt;&gt;"",1,0),0)</f>
        <v>0</v>
      </c>
      <c r="P252">
        <f>IF(OR(calendar[[#This Row],[UK_BH]]=1,calendar[[#This Row],[WeekDay]]=1, calendar[[#This Row],[WeekDay]]=7),P251,P251+1)</f>
        <v>180</v>
      </c>
      <c r="Q252">
        <f>IF(OR(calendar[[#This Row],[FR_BH]]=1,calendar[[#This Row],[WeekDay]]=1, calendar[[#This Row],[WeekDay]]=7),P251,P251+1)</f>
        <v>180</v>
      </c>
      <c r="R252">
        <f>IF(OR(calendar[[#This Row],[SP_BH]]=1,calendar[[#This Row],[WeekDay]]=1, calendar[[#This Row],[WeekDay]]=7),P251,P251+1)</f>
        <v>180</v>
      </c>
      <c r="S252">
        <f>IF(OR(calendar[[#This Row],[PT_BH]]=1,calendar[[#This Row],[WeekDay]]=1, calendar[[#This Row],[WeekDay]]=7),P251,P251+1)</f>
        <v>180</v>
      </c>
    </row>
    <row r="253" spans="1:19" x14ac:dyDescent="0.25">
      <c r="A253" s="2">
        <v>42987</v>
      </c>
      <c r="B253" s="1">
        <f t="shared" si="18"/>
        <v>36</v>
      </c>
      <c r="C253">
        <f t="shared" si="20"/>
        <v>9</v>
      </c>
      <c r="D253" t="str">
        <f t="shared" si="21"/>
        <v>September</v>
      </c>
      <c r="E253">
        <f t="shared" si="22"/>
        <v>2017</v>
      </c>
      <c r="F253" t="str">
        <f>CONCATENATE(calendar[[#This Row],[Month]],"/",calendar[[#This Row],[Year]])</f>
        <v>9/2017</v>
      </c>
      <c r="G253">
        <f>WEEKDAY(calendar[[#This Row],[Date]],1)</f>
        <v>7</v>
      </c>
      <c r="H253" t="str">
        <f>TEXT(calendar[[#This Row],[WeekDay]],"dddd")</f>
        <v>Saturday</v>
      </c>
      <c r="I253">
        <f>IF((INT(calendar[[#This Row],[Count]]/7)-calendar[[#This Row],[Count]]/7)&lt;0,I252,I252+1)</f>
        <v>36</v>
      </c>
      <c r="J253">
        <f t="shared" si="19"/>
        <v>251</v>
      </c>
      <c r="K253">
        <f>IF(calendar[[#This Row],[Month]]&lt;4,1,IF(calendar[[#This Row],[Month]]&lt;7,2,IF(calendar[[#This Row],[Month]]&lt;10,3,4)))</f>
        <v>3</v>
      </c>
      <c r="L253">
        <f>IFERROR(IF(VLOOKUP(calendar[[#This Row],[Date]],BH!A:A,1,)&lt;&gt;"",1,0),0)</f>
        <v>0</v>
      </c>
      <c r="M253">
        <f>IFERROR(IF(VLOOKUP(calendar[[#This Row],[Date]],BH!C:C,1,)&lt;&gt;"",1,0),0)</f>
        <v>0</v>
      </c>
      <c r="N253">
        <f>IFERROR(IF(VLOOKUP(calendar[[#This Row],[Date]],BH!E:E,1,)&lt;&gt;"",1,0),0)</f>
        <v>0</v>
      </c>
      <c r="O253">
        <f>IFERROR(IF(VLOOKUP(calendar[[#This Row],[Date]],BH!G:G,1,)&lt;&gt;"",1,0),0)</f>
        <v>0</v>
      </c>
      <c r="P253">
        <f>IF(OR(calendar[[#This Row],[UK_BH]]=1,calendar[[#This Row],[WeekDay]]=1, calendar[[#This Row],[WeekDay]]=7),P252,P252+1)</f>
        <v>180</v>
      </c>
      <c r="Q253">
        <f>IF(OR(calendar[[#This Row],[FR_BH]]=1,calendar[[#This Row],[WeekDay]]=1, calendar[[#This Row],[WeekDay]]=7),P252,P252+1)</f>
        <v>180</v>
      </c>
      <c r="R253">
        <f>IF(OR(calendar[[#This Row],[SP_BH]]=1,calendar[[#This Row],[WeekDay]]=1, calendar[[#This Row],[WeekDay]]=7),P252,P252+1)</f>
        <v>180</v>
      </c>
      <c r="S253">
        <f>IF(OR(calendar[[#This Row],[PT_BH]]=1,calendar[[#This Row],[WeekDay]]=1, calendar[[#This Row],[WeekDay]]=7),P252,P252+1)</f>
        <v>180</v>
      </c>
    </row>
    <row r="254" spans="1:19" x14ac:dyDescent="0.25">
      <c r="A254" s="2">
        <v>42988</v>
      </c>
      <c r="B254" s="1">
        <f t="shared" si="18"/>
        <v>37</v>
      </c>
      <c r="C254">
        <f t="shared" si="20"/>
        <v>9</v>
      </c>
      <c r="D254" t="str">
        <f t="shared" si="21"/>
        <v>September</v>
      </c>
      <c r="E254">
        <f t="shared" si="22"/>
        <v>2017</v>
      </c>
      <c r="F254" t="str">
        <f>CONCATENATE(calendar[[#This Row],[Month]],"/",calendar[[#This Row],[Year]])</f>
        <v>9/2017</v>
      </c>
      <c r="G254">
        <f>WEEKDAY(calendar[[#This Row],[Date]],1)</f>
        <v>1</v>
      </c>
      <c r="H254" t="str">
        <f>TEXT(calendar[[#This Row],[WeekDay]],"dddd")</f>
        <v>Sunday</v>
      </c>
      <c r="I254">
        <f>IF((INT(calendar[[#This Row],[Count]]/7)-calendar[[#This Row],[Count]]/7)&lt;0,I253,I253+1)</f>
        <v>37</v>
      </c>
      <c r="J254">
        <f t="shared" si="19"/>
        <v>252</v>
      </c>
      <c r="K254">
        <f>IF(calendar[[#This Row],[Month]]&lt;4,1,IF(calendar[[#This Row],[Month]]&lt;7,2,IF(calendar[[#This Row],[Month]]&lt;10,3,4)))</f>
        <v>3</v>
      </c>
      <c r="L254">
        <f>IFERROR(IF(VLOOKUP(calendar[[#This Row],[Date]],BH!A:A,1,)&lt;&gt;"",1,0),0)</f>
        <v>0</v>
      </c>
      <c r="M254">
        <f>IFERROR(IF(VLOOKUP(calendar[[#This Row],[Date]],BH!C:C,1,)&lt;&gt;"",1,0),0)</f>
        <v>0</v>
      </c>
      <c r="N254">
        <f>IFERROR(IF(VLOOKUP(calendar[[#This Row],[Date]],BH!E:E,1,)&lt;&gt;"",1,0),0)</f>
        <v>0</v>
      </c>
      <c r="O254">
        <f>IFERROR(IF(VLOOKUP(calendar[[#This Row],[Date]],BH!G:G,1,)&lt;&gt;"",1,0),0)</f>
        <v>0</v>
      </c>
      <c r="P254">
        <f>IF(OR(calendar[[#This Row],[UK_BH]]=1,calendar[[#This Row],[WeekDay]]=1, calendar[[#This Row],[WeekDay]]=7),P253,P253+1)</f>
        <v>180</v>
      </c>
      <c r="Q254">
        <f>IF(OR(calendar[[#This Row],[FR_BH]]=1,calendar[[#This Row],[WeekDay]]=1, calendar[[#This Row],[WeekDay]]=7),P253,P253+1)</f>
        <v>180</v>
      </c>
      <c r="R254">
        <f>IF(OR(calendar[[#This Row],[SP_BH]]=1,calendar[[#This Row],[WeekDay]]=1, calendar[[#This Row],[WeekDay]]=7),P253,P253+1)</f>
        <v>180</v>
      </c>
      <c r="S254">
        <f>IF(OR(calendar[[#This Row],[PT_BH]]=1,calendar[[#This Row],[WeekDay]]=1, calendar[[#This Row],[WeekDay]]=7),P253,P253+1)</f>
        <v>180</v>
      </c>
    </row>
    <row r="255" spans="1:19" x14ac:dyDescent="0.25">
      <c r="A255" s="2">
        <v>42989</v>
      </c>
      <c r="B255" s="1">
        <f t="shared" si="18"/>
        <v>37</v>
      </c>
      <c r="C255">
        <f t="shared" si="20"/>
        <v>9</v>
      </c>
      <c r="D255" t="str">
        <f t="shared" si="21"/>
        <v>September</v>
      </c>
      <c r="E255">
        <f t="shared" si="22"/>
        <v>2017</v>
      </c>
      <c r="F255" t="str">
        <f>CONCATENATE(calendar[[#This Row],[Month]],"/",calendar[[#This Row],[Year]])</f>
        <v>9/2017</v>
      </c>
      <c r="G255">
        <f>WEEKDAY(calendar[[#This Row],[Date]],1)</f>
        <v>2</v>
      </c>
      <c r="H255" t="str">
        <f>TEXT(calendar[[#This Row],[WeekDay]],"dddd")</f>
        <v>Monday</v>
      </c>
      <c r="I255">
        <f>IF((INT(calendar[[#This Row],[Count]]/7)-calendar[[#This Row],[Count]]/7)&lt;0,I254,I254+1)</f>
        <v>37</v>
      </c>
      <c r="J255">
        <f t="shared" si="19"/>
        <v>253</v>
      </c>
      <c r="K255">
        <f>IF(calendar[[#This Row],[Month]]&lt;4,1,IF(calendar[[#This Row],[Month]]&lt;7,2,IF(calendar[[#This Row],[Month]]&lt;10,3,4)))</f>
        <v>3</v>
      </c>
      <c r="L255">
        <f>IFERROR(IF(VLOOKUP(calendar[[#This Row],[Date]],BH!A:A,1,)&lt;&gt;"",1,0),0)</f>
        <v>0</v>
      </c>
      <c r="M255">
        <f>IFERROR(IF(VLOOKUP(calendar[[#This Row],[Date]],BH!C:C,1,)&lt;&gt;"",1,0),0)</f>
        <v>0</v>
      </c>
      <c r="N255">
        <f>IFERROR(IF(VLOOKUP(calendar[[#This Row],[Date]],BH!E:E,1,)&lt;&gt;"",1,0),0)</f>
        <v>0</v>
      </c>
      <c r="O255">
        <f>IFERROR(IF(VLOOKUP(calendar[[#This Row],[Date]],BH!G:G,1,)&lt;&gt;"",1,0),0)</f>
        <v>0</v>
      </c>
      <c r="P255">
        <f>IF(OR(calendar[[#This Row],[UK_BH]]=1,calendar[[#This Row],[WeekDay]]=1, calendar[[#This Row],[WeekDay]]=7),P254,P254+1)</f>
        <v>181</v>
      </c>
      <c r="Q255">
        <f>IF(OR(calendar[[#This Row],[FR_BH]]=1,calendar[[#This Row],[WeekDay]]=1, calendar[[#This Row],[WeekDay]]=7),P254,P254+1)</f>
        <v>181</v>
      </c>
      <c r="R255">
        <f>IF(OR(calendar[[#This Row],[SP_BH]]=1,calendar[[#This Row],[WeekDay]]=1, calendar[[#This Row],[WeekDay]]=7),P254,P254+1)</f>
        <v>181</v>
      </c>
      <c r="S255">
        <f>IF(OR(calendar[[#This Row],[PT_BH]]=1,calendar[[#This Row],[WeekDay]]=1, calendar[[#This Row],[WeekDay]]=7),P254,P254+1)</f>
        <v>181</v>
      </c>
    </row>
    <row r="256" spans="1:19" x14ac:dyDescent="0.25">
      <c r="A256" s="2">
        <v>42990</v>
      </c>
      <c r="B256" s="1">
        <f t="shared" si="18"/>
        <v>37</v>
      </c>
      <c r="C256">
        <f t="shared" si="20"/>
        <v>9</v>
      </c>
      <c r="D256" t="str">
        <f t="shared" si="21"/>
        <v>September</v>
      </c>
      <c r="E256">
        <f t="shared" si="22"/>
        <v>2017</v>
      </c>
      <c r="F256" t="str">
        <f>CONCATENATE(calendar[[#This Row],[Month]],"/",calendar[[#This Row],[Year]])</f>
        <v>9/2017</v>
      </c>
      <c r="G256">
        <f>WEEKDAY(calendar[[#This Row],[Date]],1)</f>
        <v>3</v>
      </c>
      <c r="H256" t="str">
        <f>TEXT(calendar[[#This Row],[WeekDay]],"dddd")</f>
        <v>Tuesday</v>
      </c>
      <c r="I256">
        <f>IF((INT(calendar[[#This Row],[Count]]/7)-calendar[[#This Row],[Count]]/7)&lt;0,I255,I255+1)</f>
        <v>37</v>
      </c>
      <c r="J256">
        <f t="shared" si="19"/>
        <v>254</v>
      </c>
      <c r="K256">
        <f>IF(calendar[[#This Row],[Month]]&lt;4,1,IF(calendar[[#This Row],[Month]]&lt;7,2,IF(calendar[[#This Row],[Month]]&lt;10,3,4)))</f>
        <v>3</v>
      </c>
      <c r="L256">
        <f>IFERROR(IF(VLOOKUP(calendar[[#This Row],[Date]],BH!A:A,1,)&lt;&gt;"",1,0),0)</f>
        <v>0</v>
      </c>
      <c r="M256">
        <f>IFERROR(IF(VLOOKUP(calendar[[#This Row],[Date]],BH!C:C,1,)&lt;&gt;"",1,0),0)</f>
        <v>0</v>
      </c>
      <c r="N256">
        <f>IFERROR(IF(VLOOKUP(calendar[[#This Row],[Date]],BH!E:E,1,)&lt;&gt;"",1,0),0)</f>
        <v>0</v>
      </c>
      <c r="O256">
        <f>IFERROR(IF(VLOOKUP(calendar[[#This Row],[Date]],BH!G:G,1,)&lt;&gt;"",1,0),0)</f>
        <v>0</v>
      </c>
      <c r="P256">
        <f>IF(OR(calendar[[#This Row],[UK_BH]]=1,calendar[[#This Row],[WeekDay]]=1, calendar[[#This Row],[WeekDay]]=7),P255,P255+1)</f>
        <v>182</v>
      </c>
      <c r="Q256">
        <f>IF(OR(calendar[[#This Row],[FR_BH]]=1,calendar[[#This Row],[WeekDay]]=1, calendar[[#This Row],[WeekDay]]=7),P255,P255+1)</f>
        <v>182</v>
      </c>
      <c r="R256">
        <f>IF(OR(calendar[[#This Row],[SP_BH]]=1,calendar[[#This Row],[WeekDay]]=1, calendar[[#This Row],[WeekDay]]=7),P255,P255+1)</f>
        <v>182</v>
      </c>
      <c r="S256">
        <f>IF(OR(calendar[[#This Row],[PT_BH]]=1,calendar[[#This Row],[WeekDay]]=1, calendar[[#This Row],[WeekDay]]=7),P255,P255+1)</f>
        <v>182</v>
      </c>
    </row>
    <row r="257" spans="1:19" x14ac:dyDescent="0.25">
      <c r="A257" s="2">
        <v>42991</v>
      </c>
      <c r="B257" s="1">
        <f t="shared" si="18"/>
        <v>37</v>
      </c>
      <c r="C257">
        <f t="shared" si="20"/>
        <v>9</v>
      </c>
      <c r="D257" t="str">
        <f t="shared" si="21"/>
        <v>September</v>
      </c>
      <c r="E257">
        <f t="shared" si="22"/>
        <v>2017</v>
      </c>
      <c r="F257" t="str">
        <f>CONCATENATE(calendar[[#This Row],[Month]],"/",calendar[[#This Row],[Year]])</f>
        <v>9/2017</v>
      </c>
      <c r="G257">
        <f>WEEKDAY(calendar[[#This Row],[Date]],1)</f>
        <v>4</v>
      </c>
      <c r="H257" t="str">
        <f>TEXT(calendar[[#This Row],[WeekDay]],"dddd")</f>
        <v>Wednesday</v>
      </c>
      <c r="I257">
        <f>IF((INT(calendar[[#This Row],[Count]]/7)-calendar[[#This Row],[Count]]/7)&lt;0,I256,I256+1)</f>
        <v>37</v>
      </c>
      <c r="J257">
        <f t="shared" si="19"/>
        <v>255</v>
      </c>
      <c r="K257">
        <f>IF(calendar[[#This Row],[Month]]&lt;4,1,IF(calendar[[#This Row],[Month]]&lt;7,2,IF(calendar[[#This Row],[Month]]&lt;10,3,4)))</f>
        <v>3</v>
      </c>
      <c r="L257">
        <f>IFERROR(IF(VLOOKUP(calendar[[#This Row],[Date]],BH!A:A,1,)&lt;&gt;"",1,0),0)</f>
        <v>0</v>
      </c>
      <c r="M257">
        <f>IFERROR(IF(VLOOKUP(calendar[[#This Row],[Date]],BH!C:C,1,)&lt;&gt;"",1,0),0)</f>
        <v>0</v>
      </c>
      <c r="N257">
        <f>IFERROR(IF(VLOOKUP(calendar[[#This Row],[Date]],BH!E:E,1,)&lt;&gt;"",1,0),0)</f>
        <v>0</v>
      </c>
      <c r="O257">
        <f>IFERROR(IF(VLOOKUP(calendar[[#This Row],[Date]],BH!G:G,1,)&lt;&gt;"",1,0),0)</f>
        <v>0</v>
      </c>
      <c r="P257">
        <f>IF(OR(calendar[[#This Row],[UK_BH]]=1,calendar[[#This Row],[WeekDay]]=1, calendar[[#This Row],[WeekDay]]=7),P256,P256+1)</f>
        <v>183</v>
      </c>
      <c r="Q257">
        <f>IF(OR(calendar[[#This Row],[FR_BH]]=1,calendar[[#This Row],[WeekDay]]=1, calendar[[#This Row],[WeekDay]]=7),P256,P256+1)</f>
        <v>183</v>
      </c>
      <c r="R257">
        <f>IF(OR(calendar[[#This Row],[SP_BH]]=1,calendar[[#This Row],[WeekDay]]=1, calendar[[#This Row],[WeekDay]]=7),P256,P256+1)</f>
        <v>183</v>
      </c>
      <c r="S257">
        <f>IF(OR(calendar[[#This Row],[PT_BH]]=1,calendar[[#This Row],[WeekDay]]=1, calendar[[#This Row],[WeekDay]]=7),P256,P256+1)</f>
        <v>183</v>
      </c>
    </row>
    <row r="258" spans="1:19" x14ac:dyDescent="0.25">
      <c r="A258" s="2">
        <v>42992</v>
      </c>
      <c r="B258" s="1">
        <f t="shared" ref="B258:B321" si="23">WEEKNUM(A258)</f>
        <v>37</v>
      </c>
      <c r="C258">
        <f t="shared" si="20"/>
        <v>9</v>
      </c>
      <c r="D258" t="str">
        <f t="shared" si="21"/>
        <v>September</v>
      </c>
      <c r="E258">
        <f t="shared" si="22"/>
        <v>2017</v>
      </c>
      <c r="F258" t="str">
        <f>CONCATENATE(calendar[[#This Row],[Month]],"/",calendar[[#This Row],[Year]])</f>
        <v>9/2017</v>
      </c>
      <c r="G258">
        <f>WEEKDAY(calendar[[#This Row],[Date]],1)</f>
        <v>5</v>
      </c>
      <c r="H258" t="str">
        <f>TEXT(calendar[[#This Row],[WeekDay]],"dddd")</f>
        <v>Thursday</v>
      </c>
      <c r="I258">
        <f>IF((INT(calendar[[#This Row],[Count]]/7)-calendar[[#This Row],[Count]]/7)&lt;0,I257,I257+1)</f>
        <v>37</v>
      </c>
      <c r="J258">
        <f t="shared" si="19"/>
        <v>256</v>
      </c>
      <c r="K258">
        <f>IF(calendar[[#This Row],[Month]]&lt;4,1,IF(calendar[[#This Row],[Month]]&lt;7,2,IF(calendar[[#This Row],[Month]]&lt;10,3,4)))</f>
        <v>3</v>
      </c>
      <c r="L258">
        <f>IFERROR(IF(VLOOKUP(calendar[[#This Row],[Date]],BH!A:A,1,)&lt;&gt;"",1,0),0)</f>
        <v>0</v>
      </c>
      <c r="M258">
        <f>IFERROR(IF(VLOOKUP(calendar[[#This Row],[Date]],BH!C:C,1,)&lt;&gt;"",1,0),0)</f>
        <v>0</v>
      </c>
      <c r="N258">
        <f>IFERROR(IF(VLOOKUP(calendar[[#This Row],[Date]],BH!E:E,1,)&lt;&gt;"",1,0),0)</f>
        <v>0</v>
      </c>
      <c r="O258">
        <f>IFERROR(IF(VLOOKUP(calendar[[#This Row],[Date]],BH!G:G,1,)&lt;&gt;"",1,0),0)</f>
        <v>0</v>
      </c>
      <c r="P258">
        <f>IF(OR(calendar[[#This Row],[UK_BH]]=1,calendar[[#This Row],[WeekDay]]=1, calendar[[#This Row],[WeekDay]]=7),P257,P257+1)</f>
        <v>184</v>
      </c>
      <c r="Q258">
        <f>IF(OR(calendar[[#This Row],[FR_BH]]=1,calendar[[#This Row],[WeekDay]]=1, calendar[[#This Row],[WeekDay]]=7),P257,P257+1)</f>
        <v>184</v>
      </c>
      <c r="R258">
        <f>IF(OR(calendar[[#This Row],[SP_BH]]=1,calendar[[#This Row],[WeekDay]]=1, calendar[[#This Row],[WeekDay]]=7),P257,P257+1)</f>
        <v>184</v>
      </c>
      <c r="S258">
        <f>IF(OR(calendar[[#This Row],[PT_BH]]=1,calendar[[#This Row],[WeekDay]]=1, calendar[[#This Row],[WeekDay]]=7),P257,P257+1)</f>
        <v>184</v>
      </c>
    </row>
    <row r="259" spans="1:19" x14ac:dyDescent="0.25">
      <c r="A259" s="2">
        <v>42993</v>
      </c>
      <c r="B259" s="1">
        <f t="shared" si="23"/>
        <v>37</v>
      </c>
      <c r="C259">
        <f t="shared" si="20"/>
        <v>9</v>
      </c>
      <c r="D259" t="str">
        <f t="shared" si="21"/>
        <v>September</v>
      </c>
      <c r="E259">
        <f t="shared" si="22"/>
        <v>2017</v>
      </c>
      <c r="F259" t="str">
        <f>CONCATENATE(calendar[[#This Row],[Month]],"/",calendar[[#This Row],[Year]])</f>
        <v>9/2017</v>
      </c>
      <c r="G259">
        <f>WEEKDAY(calendar[[#This Row],[Date]],1)</f>
        <v>6</v>
      </c>
      <c r="H259" t="str">
        <f>TEXT(calendar[[#This Row],[WeekDay]],"dddd")</f>
        <v>Friday</v>
      </c>
      <c r="I259">
        <f>IF((INT(calendar[[#This Row],[Count]]/7)-calendar[[#This Row],[Count]]/7)&lt;0,I258,I258+1)</f>
        <v>37</v>
      </c>
      <c r="J259">
        <f t="shared" ref="J259:J322" si="24">J258+1</f>
        <v>257</v>
      </c>
      <c r="K259">
        <f>IF(calendar[[#This Row],[Month]]&lt;4,1,IF(calendar[[#This Row],[Month]]&lt;7,2,IF(calendar[[#This Row],[Month]]&lt;10,3,4)))</f>
        <v>3</v>
      </c>
      <c r="L259">
        <f>IFERROR(IF(VLOOKUP(calendar[[#This Row],[Date]],BH!A:A,1,)&lt;&gt;"",1,0),0)</f>
        <v>0</v>
      </c>
      <c r="M259">
        <f>IFERROR(IF(VLOOKUP(calendar[[#This Row],[Date]],BH!C:C,1,)&lt;&gt;"",1,0),0)</f>
        <v>0</v>
      </c>
      <c r="N259">
        <f>IFERROR(IF(VLOOKUP(calendar[[#This Row],[Date]],BH!E:E,1,)&lt;&gt;"",1,0),0)</f>
        <v>0</v>
      </c>
      <c r="O259">
        <f>IFERROR(IF(VLOOKUP(calendar[[#This Row],[Date]],BH!G:G,1,)&lt;&gt;"",1,0),0)</f>
        <v>0</v>
      </c>
      <c r="P259">
        <f>IF(OR(calendar[[#This Row],[UK_BH]]=1,calendar[[#This Row],[WeekDay]]=1, calendar[[#This Row],[WeekDay]]=7),P258,P258+1)</f>
        <v>185</v>
      </c>
      <c r="Q259">
        <f>IF(OR(calendar[[#This Row],[FR_BH]]=1,calendar[[#This Row],[WeekDay]]=1, calendar[[#This Row],[WeekDay]]=7),P258,P258+1)</f>
        <v>185</v>
      </c>
      <c r="R259">
        <f>IF(OR(calendar[[#This Row],[SP_BH]]=1,calendar[[#This Row],[WeekDay]]=1, calendar[[#This Row],[WeekDay]]=7),P258,P258+1)</f>
        <v>185</v>
      </c>
      <c r="S259">
        <f>IF(OR(calendar[[#This Row],[PT_BH]]=1,calendar[[#This Row],[WeekDay]]=1, calendar[[#This Row],[WeekDay]]=7),P258,P258+1)</f>
        <v>185</v>
      </c>
    </row>
    <row r="260" spans="1:19" x14ac:dyDescent="0.25">
      <c r="A260" s="2">
        <v>42994</v>
      </c>
      <c r="B260" s="1">
        <f t="shared" si="23"/>
        <v>37</v>
      </c>
      <c r="C260">
        <f t="shared" si="20"/>
        <v>9</v>
      </c>
      <c r="D260" t="str">
        <f t="shared" si="21"/>
        <v>September</v>
      </c>
      <c r="E260">
        <f t="shared" si="22"/>
        <v>2017</v>
      </c>
      <c r="F260" t="str">
        <f>CONCATENATE(calendar[[#This Row],[Month]],"/",calendar[[#This Row],[Year]])</f>
        <v>9/2017</v>
      </c>
      <c r="G260">
        <f>WEEKDAY(calendar[[#This Row],[Date]],1)</f>
        <v>7</v>
      </c>
      <c r="H260" t="str">
        <f>TEXT(calendar[[#This Row],[WeekDay]],"dddd")</f>
        <v>Saturday</v>
      </c>
      <c r="I260">
        <f>IF((INT(calendar[[#This Row],[Count]]/7)-calendar[[#This Row],[Count]]/7)&lt;0,I259,I259+1)</f>
        <v>37</v>
      </c>
      <c r="J260">
        <f t="shared" si="24"/>
        <v>258</v>
      </c>
      <c r="K260">
        <f>IF(calendar[[#This Row],[Month]]&lt;4,1,IF(calendar[[#This Row],[Month]]&lt;7,2,IF(calendar[[#This Row],[Month]]&lt;10,3,4)))</f>
        <v>3</v>
      </c>
      <c r="L260">
        <f>IFERROR(IF(VLOOKUP(calendar[[#This Row],[Date]],BH!A:A,1,)&lt;&gt;"",1,0),0)</f>
        <v>0</v>
      </c>
      <c r="M260">
        <f>IFERROR(IF(VLOOKUP(calendar[[#This Row],[Date]],BH!C:C,1,)&lt;&gt;"",1,0),0)</f>
        <v>0</v>
      </c>
      <c r="N260">
        <f>IFERROR(IF(VLOOKUP(calendar[[#This Row],[Date]],BH!E:E,1,)&lt;&gt;"",1,0),0)</f>
        <v>0</v>
      </c>
      <c r="O260">
        <f>IFERROR(IF(VLOOKUP(calendar[[#This Row],[Date]],BH!G:G,1,)&lt;&gt;"",1,0),0)</f>
        <v>0</v>
      </c>
      <c r="P260">
        <f>IF(OR(calendar[[#This Row],[UK_BH]]=1,calendar[[#This Row],[WeekDay]]=1, calendar[[#This Row],[WeekDay]]=7),P259,P259+1)</f>
        <v>185</v>
      </c>
      <c r="Q260">
        <f>IF(OR(calendar[[#This Row],[FR_BH]]=1,calendar[[#This Row],[WeekDay]]=1, calendar[[#This Row],[WeekDay]]=7),P259,P259+1)</f>
        <v>185</v>
      </c>
      <c r="R260">
        <f>IF(OR(calendar[[#This Row],[SP_BH]]=1,calendar[[#This Row],[WeekDay]]=1, calendar[[#This Row],[WeekDay]]=7),P259,P259+1)</f>
        <v>185</v>
      </c>
      <c r="S260">
        <f>IF(OR(calendar[[#This Row],[PT_BH]]=1,calendar[[#This Row],[WeekDay]]=1, calendar[[#This Row],[WeekDay]]=7),P259,P259+1)</f>
        <v>185</v>
      </c>
    </row>
    <row r="261" spans="1:19" x14ac:dyDescent="0.25">
      <c r="A261" s="2">
        <v>42995</v>
      </c>
      <c r="B261" s="1">
        <f t="shared" si="23"/>
        <v>38</v>
      </c>
      <c r="C261">
        <f t="shared" si="20"/>
        <v>9</v>
      </c>
      <c r="D261" t="str">
        <f t="shared" si="21"/>
        <v>September</v>
      </c>
      <c r="E261">
        <f t="shared" si="22"/>
        <v>2017</v>
      </c>
      <c r="F261" t="str">
        <f>CONCATENATE(calendar[[#This Row],[Month]],"/",calendar[[#This Row],[Year]])</f>
        <v>9/2017</v>
      </c>
      <c r="G261">
        <f>WEEKDAY(calendar[[#This Row],[Date]],1)</f>
        <v>1</v>
      </c>
      <c r="H261" t="str">
        <f>TEXT(calendar[[#This Row],[WeekDay]],"dddd")</f>
        <v>Sunday</v>
      </c>
      <c r="I261">
        <f>IF((INT(calendar[[#This Row],[Count]]/7)-calendar[[#This Row],[Count]]/7)&lt;0,I260,I260+1)</f>
        <v>38</v>
      </c>
      <c r="J261">
        <f t="shared" si="24"/>
        <v>259</v>
      </c>
      <c r="K261">
        <f>IF(calendar[[#This Row],[Month]]&lt;4,1,IF(calendar[[#This Row],[Month]]&lt;7,2,IF(calendar[[#This Row],[Month]]&lt;10,3,4)))</f>
        <v>3</v>
      </c>
      <c r="L261">
        <f>IFERROR(IF(VLOOKUP(calendar[[#This Row],[Date]],BH!A:A,1,)&lt;&gt;"",1,0),0)</f>
        <v>0</v>
      </c>
      <c r="M261">
        <f>IFERROR(IF(VLOOKUP(calendar[[#This Row],[Date]],BH!C:C,1,)&lt;&gt;"",1,0),0)</f>
        <v>0</v>
      </c>
      <c r="N261">
        <f>IFERROR(IF(VLOOKUP(calendar[[#This Row],[Date]],BH!E:E,1,)&lt;&gt;"",1,0),0)</f>
        <v>0</v>
      </c>
      <c r="O261">
        <f>IFERROR(IF(VLOOKUP(calendar[[#This Row],[Date]],BH!G:G,1,)&lt;&gt;"",1,0),0)</f>
        <v>0</v>
      </c>
      <c r="P261">
        <f>IF(OR(calendar[[#This Row],[UK_BH]]=1,calendar[[#This Row],[WeekDay]]=1, calendar[[#This Row],[WeekDay]]=7),P260,P260+1)</f>
        <v>185</v>
      </c>
      <c r="Q261">
        <f>IF(OR(calendar[[#This Row],[FR_BH]]=1,calendar[[#This Row],[WeekDay]]=1, calendar[[#This Row],[WeekDay]]=7),P260,P260+1)</f>
        <v>185</v>
      </c>
      <c r="R261">
        <f>IF(OR(calendar[[#This Row],[SP_BH]]=1,calendar[[#This Row],[WeekDay]]=1, calendar[[#This Row],[WeekDay]]=7),P260,P260+1)</f>
        <v>185</v>
      </c>
      <c r="S261">
        <f>IF(OR(calendar[[#This Row],[PT_BH]]=1,calendar[[#This Row],[WeekDay]]=1, calendar[[#This Row],[WeekDay]]=7),P260,P260+1)</f>
        <v>185</v>
      </c>
    </row>
    <row r="262" spans="1:19" x14ac:dyDescent="0.25">
      <c r="A262" s="2">
        <v>42996</v>
      </c>
      <c r="B262" s="1">
        <f t="shared" si="23"/>
        <v>38</v>
      </c>
      <c r="C262">
        <f t="shared" si="20"/>
        <v>9</v>
      </c>
      <c r="D262" t="str">
        <f t="shared" si="21"/>
        <v>September</v>
      </c>
      <c r="E262">
        <f t="shared" si="22"/>
        <v>2017</v>
      </c>
      <c r="F262" t="str">
        <f>CONCATENATE(calendar[[#This Row],[Month]],"/",calendar[[#This Row],[Year]])</f>
        <v>9/2017</v>
      </c>
      <c r="G262">
        <f>WEEKDAY(calendar[[#This Row],[Date]],1)</f>
        <v>2</v>
      </c>
      <c r="H262" t="str">
        <f>TEXT(calendar[[#This Row],[WeekDay]],"dddd")</f>
        <v>Monday</v>
      </c>
      <c r="I262">
        <f>IF((INT(calendar[[#This Row],[Count]]/7)-calendar[[#This Row],[Count]]/7)&lt;0,I261,I261+1)</f>
        <v>38</v>
      </c>
      <c r="J262">
        <f t="shared" si="24"/>
        <v>260</v>
      </c>
      <c r="K262">
        <f>IF(calendar[[#This Row],[Month]]&lt;4,1,IF(calendar[[#This Row],[Month]]&lt;7,2,IF(calendar[[#This Row],[Month]]&lt;10,3,4)))</f>
        <v>3</v>
      </c>
      <c r="L262">
        <f>IFERROR(IF(VLOOKUP(calendar[[#This Row],[Date]],BH!A:A,1,)&lt;&gt;"",1,0),0)</f>
        <v>0</v>
      </c>
      <c r="M262">
        <f>IFERROR(IF(VLOOKUP(calendar[[#This Row],[Date]],BH!C:C,1,)&lt;&gt;"",1,0),0)</f>
        <v>0</v>
      </c>
      <c r="N262">
        <f>IFERROR(IF(VLOOKUP(calendar[[#This Row],[Date]],BH!E:E,1,)&lt;&gt;"",1,0),0)</f>
        <v>0</v>
      </c>
      <c r="O262">
        <f>IFERROR(IF(VLOOKUP(calendar[[#This Row],[Date]],BH!G:G,1,)&lt;&gt;"",1,0),0)</f>
        <v>0</v>
      </c>
      <c r="P262">
        <f>IF(OR(calendar[[#This Row],[UK_BH]]=1,calendar[[#This Row],[WeekDay]]=1, calendar[[#This Row],[WeekDay]]=7),P261,P261+1)</f>
        <v>186</v>
      </c>
      <c r="Q262">
        <f>IF(OR(calendar[[#This Row],[FR_BH]]=1,calendar[[#This Row],[WeekDay]]=1, calendar[[#This Row],[WeekDay]]=7),P261,P261+1)</f>
        <v>186</v>
      </c>
      <c r="R262">
        <f>IF(OR(calendar[[#This Row],[SP_BH]]=1,calendar[[#This Row],[WeekDay]]=1, calendar[[#This Row],[WeekDay]]=7),P261,P261+1)</f>
        <v>186</v>
      </c>
      <c r="S262">
        <f>IF(OR(calendar[[#This Row],[PT_BH]]=1,calendar[[#This Row],[WeekDay]]=1, calendar[[#This Row],[WeekDay]]=7),P261,P261+1)</f>
        <v>186</v>
      </c>
    </row>
    <row r="263" spans="1:19" x14ac:dyDescent="0.25">
      <c r="A263" s="2">
        <v>42997</v>
      </c>
      <c r="B263" s="1">
        <f t="shared" si="23"/>
        <v>38</v>
      </c>
      <c r="C263">
        <f t="shared" si="20"/>
        <v>9</v>
      </c>
      <c r="D263" t="str">
        <f t="shared" si="21"/>
        <v>September</v>
      </c>
      <c r="E263">
        <f t="shared" si="22"/>
        <v>2017</v>
      </c>
      <c r="F263" t="str">
        <f>CONCATENATE(calendar[[#This Row],[Month]],"/",calendar[[#This Row],[Year]])</f>
        <v>9/2017</v>
      </c>
      <c r="G263">
        <f>WEEKDAY(calendar[[#This Row],[Date]],1)</f>
        <v>3</v>
      </c>
      <c r="H263" t="str">
        <f>TEXT(calendar[[#This Row],[WeekDay]],"dddd")</f>
        <v>Tuesday</v>
      </c>
      <c r="I263">
        <f>IF((INT(calendar[[#This Row],[Count]]/7)-calendar[[#This Row],[Count]]/7)&lt;0,I262,I262+1)</f>
        <v>38</v>
      </c>
      <c r="J263">
        <f t="shared" si="24"/>
        <v>261</v>
      </c>
      <c r="K263">
        <f>IF(calendar[[#This Row],[Month]]&lt;4,1,IF(calendar[[#This Row],[Month]]&lt;7,2,IF(calendar[[#This Row],[Month]]&lt;10,3,4)))</f>
        <v>3</v>
      </c>
      <c r="L263">
        <f>IFERROR(IF(VLOOKUP(calendar[[#This Row],[Date]],BH!A:A,1,)&lt;&gt;"",1,0),0)</f>
        <v>0</v>
      </c>
      <c r="M263">
        <f>IFERROR(IF(VLOOKUP(calendar[[#This Row],[Date]],BH!C:C,1,)&lt;&gt;"",1,0),0)</f>
        <v>0</v>
      </c>
      <c r="N263">
        <f>IFERROR(IF(VLOOKUP(calendar[[#This Row],[Date]],BH!E:E,1,)&lt;&gt;"",1,0),0)</f>
        <v>0</v>
      </c>
      <c r="O263">
        <f>IFERROR(IF(VLOOKUP(calendar[[#This Row],[Date]],BH!G:G,1,)&lt;&gt;"",1,0),0)</f>
        <v>0</v>
      </c>
      <c r="P263">
        <f>IF(OR(calendar[[#This Row],[UK_BH]]=1,calendar[[#This Row],[WeekDay]]=1, calendar[[#This Row],[WeekDay]]=7),P262,P262+1)</f>
        <v>187</v>
      </c>
      <c r="Q263">
        <f>IF(OR(calendar[[#This Row],[FR_BH]]=1,calendar[[#This Row],[WeekDay]]=1, calendar[[#This Row],[WeekDay]]=7),P262,P262+1)</f>
        <v>187</v>
      </c>
      <c r="R263">
        <f>IF(OR(calendar[[#This Row],[SP_BH]]=1,calendar[[#This Row],[WeekDay]]=1, calendar[[#This Row],[WeekDay]]=7),P262,P262+1)</f>
        <v>187</v>
      </c>
      <c r="S263">
        <f>IF(OR(calendar[[#This Row],[PT_BH]]=1,calendar[[#This Row],[WeekDay]]=1, calendar[[#This Row],[WeekDay]]=7),P262,P262+1)</f>
        <v>187</v>
      </c>
    </row>
    <row r="264" spans="1:19" x14ac:dyDescent="0.25">
      <c r="A264" s="2">
        <v>42998</v>
      </c>
      <c r="B264" s="1">
        <f t="shared" si="23"/>
        <v>38</v>
      </c>
      <c r="C264">
        <f t="shared" si="20"/>
        <v>9</v>
      </c>
      <c r="D264" t="str">
        <f t="shared" si="21"/>
        <v>September</v>
      </c>
      <c r="E264">
        <f t="shared" si="22"/>
        <v>2017</v>
      </c>
      <c r="F264" t="str">
        <f>CONCATENATE(calendar[[#This Row],[Month]],"/",calendar[[#This Row],[Year]])</f>
        <v>9/2017</v>
      </c>
      <c r="G264">
        <f>WEEKDAY(calendar[[#This Row],[Date]],1)</f>
        <v>4</v>
      </c>
      <c r="H264" t="str">
        <f>TEXT(calendar[[#This Row],[WeekDay]],"dddd")</f>
        <v>Wednesday</v>
      </c>
      <c r="I264">
        <f>IF((INT(calendar[[#This Row],[Count]]/7)-calendar[[#This Row],[Count]]/7)&lt;0,I263,I263+1)</f>
        <v>38</v>
      </c>
      <c r="J264">
        <f t="shared" si="24"/>
        <v>262</v>
      </c>
      <c r="K264">
        <f>IF(calendar[[#This Row],[Month]]&lt;4,1,IF(calendar[[#This Row],[Month]]&lt;7,2,IF(calendar[[#This Row],[Month]]&lt;10,3,4)))</f>
        <v>3</v>
      </c>
      <c r="L264">
        <f>IFERROR(IF(VLOOKUP(calendar[[#This Row],[Date]],BH!A:A,1,)&lt;&gt;"",1,0),0)</f>
        <v>0</v>
      </c>
      <c r="M264">
        <f>IFERROR(IF(VLOOKUP(calendar[[#This Row],[Date]],BH!C:C,1,)&lt;&gt;"",1,0),0)</f>
        <v>0</v>
      </c>
      <c r="N264">
        <f>IFERROR(IF(VLOOKUP(calendar[[#This Row],[Date]],BH!E:E,1,)&lt;&gt;"",1,0),0)</f>
        <v>0</v>
      </c>
      <c r="O264">
        <f>IFERROR(IF(VLOOKUP(calendar[[#This Row],[Date]],BH!G:G,1,)&lt;&gt;"",1,0),0)</f>
        <v>0</v>
      </c>
      <c r="P264">
        <f>IF(OR(calendar[[#This Row],[UK_BH]]=1,calendar[[#This Row],[WeekDay]]=1, calendar[[#This Row],[WeekDay]]=7),P263,P263+1)</f>
        <v>188</v>
      </c>
      <c r="Q264">
        <f>IF(OR(calendar[[#This Row],[FR_BH]]=1,calendar[[#This Row],[WeekDay]]=1, calendar[[#This Row],[WeekDay]]=7),P263,P263+1)</f>
        <v>188</v>
      </c>
      <c r="R264">
        <f>IF(OR(calendar[[#This Row],[SP_BH]]=1,calendar[[#This Row],[WeekDay]]=1, calendar[[#This Row],[WeekDay]]=7),P263,P263+1)</f>
        <v>188</v>
      </c>
      <c r="S264">
        <f>IF(OR(calendar[[#This Row],[PT_BH]]=1,calendar[[#This Row],[WeekDay]]=1, calendar[[#This Row],[WeekDay]]=7),P263,P263+1)</f>
        <v>188</v>
      </c>
    </row>
    <row r="265" spans="1:19" x14ac:dyDescent="0.25">
      <c r="A265" s="2">
        <v>42999</v>
      </c>
      <c r="B265" s="1">
        <f t="shared" si="23"/>
        <v>38</v>
      </c>
      <c r="C265">
        <f t="shared" si="20"/>
        <v>9</v>
      </c>
      <c r="D265" t="str">
        <f t="shared" si="21"/>
        <v>September</v>
      </c>
      <c r="E265">
        <f t="shared" si="22"/>
        <v>2017</v>
      </c>
      <c r="F265" t="str">
        <f>CONCATENATE(calendar[[#This Row],[Month]],"/",calendar[[#This Row],[Year]])</f>
        <v>9/2017</v>
      </c>
      <c r="G265">
        <f>WEEKDAY(calendar[[#This Row],[Date]],1)</f>
        <v>5</v>
      </c>
      <c r="H265" t="str">
        <f>TEXT(calendar[[#This Row],[WeekDay]],"dddd")</f>
        <v>Thursday</v>
      </c>
      <c r="I265">
        <f>IF((INT(calendar[[#This Row],[Count]]/7)-calendar[[#This Row],[Count]]/7)&lt;0,I264,I264+1)</f>
        <v>38</v>
      </c>
      <c r="J265">
        <f t="shared" si="24"/>
        <v>263</v>
      </c>
      <c r="K265">
        <f>IF(calendar[[#This Row],[Month]]&lt;4,1,IF(calendar[[#This Row],[Month]]&lt;7,2,IF(calendar[[#This Row],[Month]]&lt;10,3,4)))</f>
        <v>3</v>
      </c>
      <c r="L265">
        <f>IFERROR(IF(VLOOKUP(calendar[[#This Row],[Date]],BH!A:A,1,)&lt;&gt;"",1,0),0)</f>
        <v>0</v>
      </c>
      <c r="M265">
        <f>IFERROR(IF(VLOOKUP(calendar[[#This Row],[Date]],BH!C:C,1,)&lt;&gt;"",1,0),0)</f>
        <v>0</v>
      </c>
      <c r="N265">
        <f>IFERROR(IF(VLOOKUP(calendar[[#This Row],[Date]],BH!E:E,1,)&lt;&gt;"",1,0),0)</f>
        <v>0</v>
      </c>
      <c r="O265">
        <f>IFERROR(IF(VLOOKUP(calendar[[#This Row],[Date]],BH!G:G,1,)&lt;&gt;"",1,0),0)</f>
        <v>0</v>
      </c>
      <c r="P265">
        <f>IF(OR(calendar[[#This Row],[UK_BH]]=1,calendar[[#This Row],[WeekDay]]=1, calendar[[#This Row],[WeekDay]]=7),P264,P264+1)</f>
        <v>189</v>
      </c>
      <c r="Q265">
        <f>IF(OR(calendar[[#This Row],[FR_BH]]=1,calendar[[#This Row],[WeekDay]]=1, calendar[[#This Row],[WeekDay]]=7),P264,P264+1)</f>
        <v>189</v>
      </c>
      <c r="R265">
        <f>IF(OR(calendar[[#This Row],[SP_BH]]=1,calendar[[#This Row],[WeekDay]]=1, calendar[[#This Row],[WeekDay]]=7),P264,P264+1)</f>
        <v>189</v>
      </c>
      <c r="S265">
        <f>IF(OR(calendar[[#This Row],[PT_BH]]=1,calendar[[#This Row],[WeekDay]]=1, calendar[[#This Row],[WeekDay]]=7),P264,P264+1)</f>
        <v>189</v>
      </c>
    </row>
    <row r="266" spans="1:19" x14ac:dyDescent="0.25">
      <c r="A266" s="2">
        <v>43000</v>
      </c>
      <c r="B266" s="1">
        <f t="shared" si="23"/>
        <v>38</v>
      </c>
      <c r="C266">
        <f t="shared" si="20"/>
        <v>9</v>
      </c>
      <c r="D266" t="str">
        <f t="shared" si="21"/>
        <v>September</v>
      </c>
      <c r="E266">
        <f t="shared" si="22"/>
        <v>2017</v>
      </c>
      <c r="F266" t="str">
        <f>CONCATENATE(calendar[[#This Row],[Month]],"/",calendar[[#This Row],[Year]])</f>
        <v>9/2017</v>
      </c>
      <c r="G266">
        <f>WEEKDAY(calendar[[#This Row],[Date]],1)</f>
        <v>6</v>
      </c>
      <c r="H266" t="str">
        <f>TEXT(calendar[[#This Row],[WeekDay]],"dddd")</f>
        <v>Friday</v>
      </c>
      <c r="I266">
        <f>IF((INT(calendar[[#This Row],[Count]]/7)-calendar[[#This Row],[Count]]/7)&lt;0,I265,I265+1)</f>
        <v>38</v>
      </c>
      <c r="J266">
        <f t="shared" si="24"/>
        <v>264</v>
      </c>
      <c r="K266">
        <f>IF(calendar[[#This Row],[Month]]&lt;4,1,IF(calendar[[#This Row],[Month]]&lt;7,2,IF(calendar[[#This Row],[Month]]&lt;10,3,4)))</f>
        <v>3</v>
      </c>
      <c r="L266">
        <f>IFERROR(IF(VLOOKUP(calendar[[#This Row],[Date]],BH!A:A,1,)&lt;&gt;"",1,0),0)</f>
        <v>0</v>
      </c>
      <c r="M266">
        <f>IFERROR(IF(VLOOKUP(calendar[[#This Row],[Date]],BH!C:C,1,)&lt;&gt;"",1,0),0)</f>
        <v>0</v>
      </c>
      <c r="N266">
        <f>IFERROR(IF(VLOOKUP(calendar[[#This Row],[Date]],BH!E:E,1,)&lt;&gt;"",1,0),0)</f>
        <v>0</v>
      </c>
      <c r="O266">
        <f>IFERROR(IF(VLOOKUP(calendar[[#This Row],[Date]],BH!G:G,1,)&lt;&gt;"",1,0),0)</f>
        <v>0</v>
      </c>
      <c r="P266">
        <f>IF(OR(calendar[[#This Row],[UK_BH]]=1,calendar[[#This Row],[WeekDay]]=1, calendar[[#This Row],[WeekDay]]=7),P265,P265+1)</f>
        <v>190</v>
      </c>
      <c r="Q266">
        <f>IF(OR(calendar[[#This Row],[FR_BH]]=1,calendar[[#This Row],[WeekDay]]=1, calendar[[#This Row],[WeekDay]]=7),P265,P265+1)</f>
        <v>190</v>
      </c>
      <c r="R266">
        <f>IF(OR(calendar[[#This Row],[SP_BH]]=1,calendar[[#This Row],[WeekDay]]=1, calendar[[#This Row],[WeekDay]]=7),P265,P265+1)</f>
        <v>190</v>
      </c>
      <c r="S266">
        <f>IF(OR(calendar[[#This Row],[PT_BH]]=1,calendar[[#This Row],[WeekDay]]=1, calendar[[#This Row],[WeekDay]]=7),P265,P265+1)</f>
        <v>190</v>
      </c>
    </row>
    <row r="267" spans="1:19" x14ac:dyDescent="0.25">
      <c r="A267" s="2">
        <v>43001</v>
      </c>
      <c r="B267" s="1">
        <f t="shared" si="23"/>
        <v>38</v>
      </c>
      <c r="C267">
        <f t="shared" si="20"/>
        <v>9</v>
      </c>
      <c r="D267" t="str">
        <f t="shared" si="21"/>
        <v>September</v>
      </c>
      <c r="E267">
        <f t="shared" si="22"/>
        <v>2017</v>
      </c>
      <c r="F267" t="str">
        <f>CONCATENATE(calendar[[#This Row],[Month]],"/",calendar[[#This Row],[Year]])</f>
        <v>9/2017</v>
      </c>
      <c r="G267">
        <f>WEEKDAY(calendar[[#This Row],[Date]],1)</f>
        <v>7</v>
      </c>
      <c r="H267" t="str">
        <f>TEXT(calendar[[#This Row],[WeekDay]],"dddd")</f>
        <v>Saturday</v>
      </c>
      <c r="I267">
        <f>IF((INT(calendar[[#This Row],[Count]]/7)-calendar[[#This Row],[Count]]/7)&lt;0,I266,I266+1)</f>
        <v>38</v>
      </c>
      <c r="J267">
        <f t="shared" si="24"/>
        <v>265</v>
      </c>
      <c r="K267">
        <f>IF(calendar[[#This Row],[Month]]&lt;4,1,IF(calendar[[#This Row],[Month]]&lt;7,2,IF(calendar[[#This Row],[Month]]&lt;10,3,4)))</f>
        <v>3</v>
      </c>
      <c r="L267">
        <f>IFERROR(IF(VLOOKUP(calendar[[#This Row],[Date]],BH!A:A,1,)&lt;&gt;"",1,0),0)</f>
        <v>0</v>
      </c>
      <c r="M267">
        <f>IFERROR(IF(VLOOKUP(calendar[[#This Row],[Date]],BH!C:C,1,)&lt;&gt;"",1,0),0)</f>
        <v>0</v>
      </c>
      <c r="N267">
        <f>IFERROR(IF(VLOOKUP(calendar[[#This Row],[Date]],BH!E:E,1,)&lt;&gt;"",1,0),0)</f>
        <v>0</v>
      </c>
      <c r="O267">
        <f>IFERROR(IF(VLOOKUP(calendar[[#This Row],[Date]],BH!G:G,1,)&lt;&gt;"",1,0),0)</f>
        <v>0</v>
      </c>
      <c r="P267">
        <f>IF(OR(calendar[[#This Row],[UK_BH]]=1,calendar[[#This Row],[WeekDay]]=1, calendar[[#This Row],[WeekDay]]=7),P266,P266+1)</f>
        <v>190</v>
      </c>
      <c r="Q267">
        <f>IF(OR(calendar[[#This Row],[FR_BH]]=1,calendar[[#This Row],[WeekDay]]=1, calendar[[#This Row],[WeekDay]]=7),P266,P266+1)</f>
        <v>190</v>
      </c>
      <c r="R267">
        <f>IF(OR(calendar[[#This Row],[SP_BH]]=1,calendar[[#This Row],[WeekDay]]=1, calendar[[#This Row],[WeekDay]]=7),P266,P266+1)</f>
        <v>190</v>
      </c>
      <c r="S267">
        <f>IF(OR(calendar[[#This Row],[PT_BH]]=1,calendar[[#This Row],[WeekDay]]=1, calendar[[#This Row],[WeekDay]]=7),P266,P266+1)</f>
        <v>190</v>
      </c>
    </row>
    <row r="268" spans="1:19" x14ac:dyDescent="0.25">
      <c r="A268" s="2">
        <v>43002</v>
      </c>
      <c r="B268" s="1">
        <f t="shared" si="23"/>
        <v>39</v>
      </c>
      <c r="C268">
        <f t="shared" si="20"/>
        <v>9</v>
      </c>
      <c r="D268" t="str">
        <f t="shared" si="21"/>
        <v>September</v>
      </c>
      <c r="E268">
        <f t="shared" si="22"/>
        <v>2017</v>
      </c>
      <c r="F268" t="str">
        <f>CONCATENATE(calendar[[#This Row],[Month]],"/",calendar[[#This Row],[Year]])</f>
        <v>9/2017</v>
      </c>
      <c r="G268">
        <f>WEEKDAY(calendar[[#This Row],[Date]],1)</f>
        <v>1</v>
      </c>
      <c r="H268" t="str">
        <f>TEXT(calendar[[#This Row],[WeekDay]],"dddd")</f>
        <v>Sunday</v>
      </c>
      <c r="I268">
        <f>IF((INT(calendar[[#This Row],[Count]]/7)-calendar[[#This Row],[Count]]/7)&lt;0,I267,I267+1)</f>
        <v>39</v>
      </c>
      <c r="J268">
        <f t="shared" si="24"/>
        <v>266</v>
      </c>
      <c r="K268">
        <f>IF(calendar[[#This Row],[Month]]&lt;4,1,IF(calendar[[#This Row],[Month]]&lt;7,2,IF(calendar[[#This Row],[Month]]&lt;10,3,4)))</f>
        <v>3</v>
      </c>
      <c r="L268">
        <f>IFERROR(IF(VLOOKUP(calendar[[#This Row],[Date]],BH!A:A,1,)&lt;&gt;"",1,0),0)</f>
        <v>0</v>
      </c>
      <c r="M268">
        <f>IFERROR(IF(VLOOKUP(calendar[[#This Row],[Date]],BH!C:C,1,)&lt;&gt;"",1,0),0)</f>
        <v>0</v>
      </c>
      <c r="N268">
        <f>IFERROR(IF(VLOOKUP(calendar[[#This Row],[Date]],BH!E:E,1,)&lt;&gt;"",1,0),0)</f>
        <v>0</v>
      </c>
      <c r="O268">
        <f>IFERROR(IF(VLOOKUP(calendar[[#This Row],[Date]],BH!G:G,1,)&lt;&gt;"",1,0),0)</f>
        <v>0</v>
      </c>
      <c r="P268">
        <f>IF(OR(calendar[[#This Row],[UK_BH]]=1,calendar[[#This Row],[WeekDay]]=1, calendar[[#This Row],[WeekDay]]=7),P267,P267+1)</f>
        <v>190</v>
      </c>
      <c r="Q268">
        <f>IF(OR(calendar[[#This Row],[FR_BH]]=1,calendar[[#This Row],[WeekDay]]=1, calendar[[#This Row],[WeekDay]]=7),P267,P267+1)</f>
        <v>190</v>
      </c>
      <c r="R268">
        <f>IF(OR(calendar[[#This Row],[SP_BH]]=1,calendar[[#This Row],[WeekDay]]=1, calendar[[#This Row],[WeekDay]]=7),P267,P267+1)</f>
        <v>190</v>
      </c>
      <c r="S268">
        <f>IF(OR(calendar[[#This Row],[PT_BH]]=1,calendar[[#This Row],[WeekDay]]=1, calendar[[#This Row],[WeekDay]]=7),P267,P267+1)</f>
        <v>190</v>
      </c>
    </row>
    <row r="269" spans="1:19" x14ac:dyDescent="0.25">
      <c r="A269" s="2">
        <v>43003</v>
      </c>
      <c r="B269" s="1">
        <f t="shared" si="23"/>
        <v>39</v>
      </c>
      <c r="C269">
        <f t="shared" si="20"/>
        <v>9</v>
      </c>
      <c r="D269" t="str">
        <f t="shared" si="21"/>
        <v>September</v>
      </c>
      <c r="E269">
        <f t="shared" si="22"/>
        <v>2017</v>
      </c>
      <c r="F269" t="str">
        <f>CONCATENATE(calendar[[#This Row],[Month]],"/",calendar[[#This Row],[Year]])</f>
        <v>9/2017</v>
      </c>
      <c r="G269">
        <f>WEEKDAY(calendar[[#This Row],[Date]],1)</f>
        <v>2</v>
      </c>
      <c r="H269" t="str">
        <f>TEXT(calendar[[#This Row],[WeekDay]],"dddd")</f>
        <v>Monday</v>
      </c>
      <c r="I269">
        <f>IF((INT(calendar[[#This Row],[Count]]/7)-calendar[[#This Row],[Count]]/7)&lt;0,I268,I268+1)</f>
        <v>39</v>
      </c>
      <c r="J269">
        <f t="shared" si="24"/>
        <v>267</v>
      </c>
      <c r="K269">
        <f>IF(calendar[[#This Row],[Month]]&lt;4,1,IF(calendar[[#This Row],[Month]]&lt;7,2,IF(calendar[[#This Row],[Month]]&lt;10,3,4)))</f>
        <v>3</v>
      </c>
      <c r="L269">
        <f>IFERROR(IF(VLOOKUP(calendar[[#This Row],[Date]],BH!A:A,1,)&lt;&gt;"",1,0),0)</f>
        <v>0</v>
      </c>
      <c r="M269">
        <f>IFERROR(IF(VLOOKUP(calendar[[#This Row],[Date]],BH!C:C,1,)&lt;&gt;"",1,0),0)</f>
        <v>0</v>
      </c>
      <c r="N269">
        <f>IFERROR(IF(VLOOKUP(calendar[[#This Row],[Date]],BH!E:E,1,)&lt;&gt;"",1,0),0)</f>
        <v>0</v>
      </c>
      <c r="O269">
        <f>IFERROR(IF(VLOOKUP(calendar[[#This Row],[Date]],BH!G:G,1,)&lt;&gt;"",1,0),0)</f>
        <v>0</v>
      </c>
      <c r="P269">
        <f>IF(OR(calendar[[#This Row],[UK_BH]]=1,calendar[[#This Row],[WeekDay]]=1, calendar[[#This Row],[WeekDay]]=7),P268,P268+1)</f>
        <v>191</v>
      </c>
      <c r="Q269">
        <f>IF(OR(calendar[[#This Row],[FR_BH]]=1,calendar[[#This Row],[WeekDay]]=1, calendar[[#This Row],[WeekDay]]=7),P268,P268+1)</f>
        <v>191</v>
      </c>
      <c r="R269">
        <f>IF(OR(calendar[[#This Row],[SP_BH]]=1,calendar[[#This Row],[WeekDay]]=1, calendar[[#This Row],[WeekDay]]=7),P268,P268+1)</f>
        <v>191</v>
      </c>
      <c r="S269">
        <f>IF(OR(calendar[[#This Row],[PT_BH]]=1,calendar[[#This Row],[WeekDay]]=1, calendar[[#This Row],[WeekDay]]=7),P268,P268+1)</f>
        <v>191</v>
      </c>
    </row>
    <row r="270" spans="1:19" x14ac:dyDescent="0.25">
      <c r="A270" s="2">
        <v>43004</v>
      </c>
      <c r="B270" s="1">
        <f t="shared" si="23"/>
        <v>39</v>
      </c>
      <c r="C270">
        <f t="shared" si="20"/>
        <v>9</v>
      </c>
      <c r="D270" t="str">
        <f t="shared" si="21"/>
        <v>September</v>
      </c>
      <c r="E270">
        <f t="shared" si="22"/>
        <v>2017</v>
      </c>
      <c r="F270" t="str">
        <f>CONCATENATE(calendar[[#This Row],[Month]],"/",calendar[[#This Row],[Year]])</f>
        <v>9/2017</v>
      </c>
      <c r="G270">
        <f>WEEKDAY(calendar[[#This Row],[Date]],1)</f>
        <v>3</v>
      </c>
      <c r="H270" t="str">
        <f>TEXT(calendar[[#This Row],[WeekDay]],"dddd")</f>
        <v>Tuesday</v>
      </c>
      <c r="I270">
        <f>IF((INT(calendar[[#This Row],[Count]]/7)-calendar[[#This Row],[Count]]/7)&lt;0,I269,I269+1)</f>
        <v>39</v>
      </c>
      <c r="J270">
        <f t="shared" si="24"/>
        <v>268</v>
      </c>
      <c r="K270">
        <f>IF(calendar[[#This Row],[Month]]&lt;4,1,IF(calendar[[#This Row],[Month]]&lt;7,2,IF(calendar[[#This Row],[Month]]&lt;10,3,4)))</f>
        <v>3</v>
      </c>
      <c r="L270">
        <f>IFERROR(IF(VLOOKUP(calendar[[#This Row],[Date]],BH!A:A,1,)&lt;&gt;"",1,0),0)</f>
        <v>0</v>
      </c>
      <c r="M270">
        <f>IFERROR(IF(VLOOKUP(calendar[[#This Row],[Date]],BH!C:C,1,)&lt;&gt;"",1,0),0)</f>
        <v>0</v>
      </c>
      <c r="N270">
        <f>IFERROR(IF(VLOOKUP(calendar[[#This Row],[Date]],BH!E:E,1,)&lt;&gt;"",1,0),0)</f>
        <v>0</v>
      </c>
      <c r="O270">
        <f>IFERROR(IF(VLOOKUP(calendar[[#This Row],[Date]],BH!G:G,1,)&lt;&gt;"",1,0),0)</f>
        <v>0</v>
      </c>
      <c r="P270">
        <f>IF(OR(calendar[[#This Row],[UK_BH]]=1,calendar[[#This Row],[WeekDay]]=1, calendar[[#This Row],[WeekDay]]=7),P269,P269+1)</f>
        <v>192</v>
      </c>
      <c r="Q270">
        <f>IF(OR(calendar[[#This Row],[FR_BH]]=1,calendar[[#This Row],[WeekDay]]=1, calendar[[#This Row],[WeekDay]]=7),P269,P269+1)</f>
        <v>192</v>
      </c>
      <c r="R270">
        <f>IF(OR(calendar[[#This Row],[SP_BH]]=1,calendar[[#This Row],[WeekDay]]=1, calendar[[#This Row],[WeekDay]]=7),P269,P269+1)</f>
        <v>192</v>
      </c>
      <c r="S270">
        <f>IF(OR(calendar[[#This Row],[PT_BH]]=1,calendar[[#This Row],[WeekDay]]=1, calendar[[#This Row],[WeekDay]]=7),P269,P269+1)</f>
        <v>192</v>
      </c>
    </row>
    <row r="271" spans="1:19" x14ac:dyDescent="0.25">
      <c r="A271" s="2">
        <v>43005</v>
      </c>
      <c r="B271" s="1">
        <f t="shared" si="23"/>
        <v>39</v>
      </c>
      <c r="C271">
        <f t="shared" si="20"/>
        <v>9</v>
      </c>
      <c r="D271" t="str">
        <f t="shared" si="21"/>
        <v>September</v>
      </c>
      <c r="E271">
        <f t="shared" si="22"/>
        <v>2017</v>
      </c>
      <c r="F271" t="str">
        <f>CONCATENATE(calendar[[#This Row],[Month]],"/",calendar[[#This Row],[Year]])</f>
        <v>9/2017</v>
      </c>
      <c r="G271">
        <f>WEEKDAY(calendar[[#This Row],[Date]],1)</f>
        <v>4</v>
      </c>
      <c r="H271" t="str">
        <f>TEXT(calendar[[#This Row],[WeekDay]],"dddd")</f>
        <v>Wednesday</v>
      </c>
      <c r="I271">
        <f>IF((INT(calendar[[#This Row],[Count]]/7)-calendar[[#This Row],[Count]]/7)&lt;0,I270,I270+1)</f>
        <v>39</v>
      </c>
      <c r="J271">
        <f t="shared" si="24"/>
        <v>269</v>
      </c>
      <c r="K271">
        <f>IF(calendar[[#This Row],[Month]]&lt;4,1,IF(calendar[[#This Row],[Month]]&lt;7,2,IF(calendar[[#This Row],[Month]]&lt;10,3,4)))</f>
        <v>3</v>
      </c>
      <c r="L271">
        <f>IFERROR(IF(VLOOKUP(calendar[[#This Row],[Date]],BH!A:A,1,)&lt;&gt;"",1,0),0)</f>
        <v>0</v>
      </c>
      <c r="M271">
        <f>IFERROR(IF(VLOOKUP(calendar[[#This Row],[Date]],BH!C:C,1,)&lt;&gt;"",1,0),0)</f>
        <v>0</v>
      </c>
      <c r="N271">
        <f>IFERROR(IF(VLOOKUP(calendar[[#This Row],[Date]],BH!E:E,1,)&lt;&gt;"",1,0),0)</f>
        <v>0</v>
      </c>
      <c r="O271">
        <f>IFERROR(IF(VLOOKUP(calendar[[#This Row],[Date]],BH!G:G,1,)&lt;&gt;"",1,0),0)</f>
        <v>0</v>
      </c>
      <c r="P271">
        <f>IF(OR(calendar[[#This Row],[UK_BH]]=1,calendar[[#This Row],[WeekDay]]=1, calendar[[#This Row],[WeekDay]]=7),P270,P270+1)</f>
        <v>193</v>
      </c>
      <c r="Q271">
        <f>IF(OR(calendar[[#This Row],[FR_BH]]=1,calendar[[#This Row],[WeekDay]]=1, calendar[[#This Row],[WeekDay]]=7),P270,P270+1)</f>
        <v>193</v>
      </c>
      <c r="R271">
        <f>IF(OR(calendar[[#This Row],[SP_BH]]=1,calendar[[#This Row],[WeekDay]]=1, calendar[[#This Row],[WeekDay]]=7),P270,P270+1)</f>
        <v>193</v>
      </c>
      <c r="S271">
        <f>IF(OR(calendar[[#This Row],[PT_BH]]=1,calendar[[#This Row],[WeekDay]]=1, calendar[[#This Row],[WeekDay]]=7),P270,P270+1)</f>
        <v>193</v>
      </c>
    </row>
    <row r="272" spans="1:19" x14ac:dyDescent="0.25">
      <c r="A272" s="2">
        <v>43006</v>
      </c>
      <c r="B272" s="1">
        <f t="shared" si="23"/>
        <v>39</v>
      </c>
      <c r="C272">
        <f t="shared" ref="C272:C335" si="25">MONTH(A272)</f>
        <v>9</v>
      </c>
      <c r="D272" t="str">
        <f t="shared" ref="D272:D335" si="26">TEXT(A272,"mmmm")</f>
        <v>September</v>
      </c>
      <c r="E272">
        <f t="shared" ref="E272:E335" si="27">YEAR(A272)</f>
        <v>2017</v>
      </c>
      <c r="F272" t="str">
        <f>CONCATENATE(calendar[[#This Row],[Month]],"/",calendar[[#This Row],[Year]])</f>
        <v>9/2017</v>
      </c>
      <c r="G272">
        <f>WEEKDAY(calendar[[#This Row],[Date]],1)</f>
        <v>5</v>
      </c>
      <c r="H272" t="str">
        <f>TEXT(calendar[[#This Row],[WeekDay]],"dddd")</f>
        <v>Thursday</v>
      </c>
      <c r="I272">
        <f>IF((INT(calendar[[#This Row],[Count]]/7)-calendar[[#This Row],[Count]]/7)&lt;0,I271,I271+1)</f>
        <v>39</v>
      </c>
      <c r="J272">
        <f t="shared" si="24"/>
        <v>270</v>
      </c>
      <c r="K272">
        <f>IF(calendar[[#This Row],[Month]]&lt;4,1,IF(calendar[[#This Row],[Month]]&lt;7,2,IF(calendar[[#This Row],[Month]]&lt;10,3,4)))</f>
        <v>3</v>
      </c>
      <c r="L272">
        <f>IFERROR(IF(VLOOKUP(calendar[[#This Row],[Date]],BH!A:A,1,)&lt;&gt;"",1,0),0)</f>
        <v>0</v>
      </c>
      <c r="M272">
        <f>IFERROR(IF(VLOOKUP(calendar[[#This Row],[Date]],BH!C:C,1,)&lt;&gt;"",1,0),0)</f>
        <v>0</v>
      </c>
      <c r="N272">
        <f>IFERROR(IF(VLOOKUP(calendar[[#This Row],[Date]],BH!E:E,1,)&lt;&gt;"",1,0),0)</f>
        <v>0</v>
      </c>
      <c r="O272">
        <f>IFERROR(IF(VLOOKUP(calendar[[#This Row],[Date]],BH!G:G,1,)&lt;&gt;"",1,0),0)</f>
        <v>0</v>
      </c>
      <c r="P272">
        <f>IF(OR(calendar[[#This Row],[UK_BH]]=1,calendar[[#This Row],[WeekDay]]=1, calendar[[#This Row],[WeekDay]]=7),P271,P271+1)</f>
        <v>194</v>
      </c>
      <c r="Q272">
        <f>IF(OR(calendar[[#This Row],[FR_BH]]=1,calendar[[#This Row],[WeekDay]]=1, calendar[[#This Row],[WeekDay]]=7),P271,P271+1)</f>
        <v>194</v>
      </c>
      <c r="R272">
        <f>IF(OR(calendar[[#This Row],[SP_BH]]=1,calendar[[#This Row],[WeekDay]]=1, calendar[[#This Row],[WeekDay]]=7),P271,P271+1)</f>
        <v>194</v>
      </c>
      <c r="S272">
        <f>IF(OR(calendar[[#This Row],[PT_BH]]=1,calendar[[#This Row],[WeekDay]]=1, calendar[[#This Row],[WeekDay]]=7),P271,P271+1)</f>
        <v>194</v>
      </c>
    </row>
    <row r="273" spans="1:19" x14ac:dyDescent="0.25">
      <c r="A273" s="2">
        <v>43007</v>
      </c>
      <c r="B273" s="1">
        <f t="shared" si="23"/>
        <v>39</v>
      </c>
      <c r="C273">
        <f t="shared" si="25"/>
        <v>9</v>
      </c>
      <c r="D273" t="str">
        <f t="shared" si="26"/>
        <v>September</v>
      </c>
      <c r="E273">
        <f t="shared" si="27"/>
        <v>2017</v>
      </c>
      <c r="F273" t="str">
        <f>CONCATENATE(calendar[[#This Row],[Month]],"/",calendar[[#This Row],[Year]])</f>
        <v>9/2017</v>
      </c>
      <c r="G273">
        <f>WEEKDAY(calendar[[#This Row],[Date]],1)</f>
        <v>6</v>
      </c>
      <c r="H273" t="str">
        <f>TEXT(calendar[[#This Row],[WeekDay]],"dddd")</f>
        <v>Friday</v>
      </c>
      <c r="I273">
        <f>IF((INT(calendar[[#This Row],[Count]]/7)-calendar[[#This Row],[Count]]/7)&lt;0,I272,I272+1)</f>
        <v>39</v>
      </c>
      <c r="J273">
        <f t="shared" si="24"/>
        <v>271</v>
      </c>
      <c r="K273">
        <f>IF(calendar[[#This Row],[Month]]&lt;4,1,IF(calendar[[#This Row],[Month]]&lt;7,2,IF(calendar[[#This Row],[Month]]&lt;10,3,4)))</f>
        <v>3</v>
      </c>
      <c r="L273">
        <f>IFERROR(IF(VLOOKUP(calendar[[#This Row],[Date]],BH!A:A,1,)&lt;&gt;"",1,0),0)</f>
        <v>0</v>
      </c>
      <c r="M273">
        <f>IFERROR(IF(VLOOKUP(calendar[[#This Row],[Date]],BH!C:C,1,)&lt;&gt;"",1,0),0)</f>
        <v>0</v>
      </c>
      <c r="N273">
        <f>IFERROR(IF(VLOOKUP(calendar[[#This Row],[Date]],BH!E:E,1,)&lt;&gt;"",1,0),0)</f>
        <v>0</v>
      </c>
      <c r="O273">
        <f>IFERROR(IF(VLOOKUP(calendar[[#This Row],[Date]],BH!G:G,1,)&lt;&gt;"",1,0),0)</f>
        <v>0</v>
      </c>
      <c r="P273">
        <f>IF(OR(calendar[[#This Row],[UK_BH]]=1,calendar[[#This Row],[WeekDay]]=1, calendar[[#This Row],[WeekDay]]=7),P272,P272+1)</f>
        <v>195</v>
      </c>
      <c r="Q273">
        <f>IF(OR(calendar[[#This Row],[FR_BH]]=1,calendar[[#This Row],[WeekDay]]=1, calendar[[#This Row],[WeekDay]]=7),P272,P272+1)</f>
        <v>195</v>
      </c>
      <c r="R273">
        <f>IF(OR(calendar[[#This Row],[SP_BH]]=1,calendar[[#This Row],[WeekDay]]=1, calendar[[#This Row],[WeekDay]]=7),P272,P272+1)</f>
        <v>195</v>
      </c>
      <c r="S273">
        <f>IF(OR(calendar[[#This Row],[PT_BH]]=1,calendar[[#This Row],[WeekDay]]=1, calendar[[#This Row],[WeekDay]]=7),P272,P272+1)</f>
        <v>195</v>
      </c>
    </row>
    <row r="274" spans="1:19" x14ac:dyDescent="0.25">
      <c r="A274" s="2">
        <v>43008</v>
      </c>
      <c r="B274" s="1">
        <f t="shared" si="23"/>
        <v>39</v>
      </c>
      <c r="C274">
        <f t="shared" si="25"/>
        <v>9</v>
      </c>
      <c r="D274" t="str">
        <f t="shared" si="26"/>
        <v>September</v>
      </c>
      <c r="E274">
        <f t="shared" si="27"/>
        <v>2017</v>
      </c>
      <c r="F274" t="str">
        <f>CONCATENATE(calendar[[#This Row],[Month]],"/",calendar[[#This Row],[Year]])</f>
        <v>9/2017</v>
      </c>
      <c r="G274">
        <f>WEEKDAY(calendar[[#This Row],[Date]],1)</f>
        <v>7</v>
      </c>
      <c r="H274" t="str">
        <f>TEXT(calendar[[#This Row],[WeekDay]],"dddd")</f>
        <v>Saturday</v>
      </c>
      <c r="I274">
        <f>IF((INT(calendar[[#This Row],[Count]]/7)-calendar[[#This Row],[Count]]/7)&lt;0,I273,I273+1)</f>
        <v>39</v>
      </c>
      <c r="J274">
        <f t="shared" si="24"/>
        <v>272</v>
      </c>
      <c r="K274">
        <f>IF(calendar[[#This Row],[Month]]&lt;4,1,IF(calendar[[#This Row],[Month]]&lt;7,2,IF(calendar[[#This Row],[Month]]&lt;10,3,4)))</f>
        <v>3</v>
      </c>
      <c r="L274">
        <f>IFERROR(IF(VLOOKUP(calendar[[#This Row],[Date]],BH!A:A,1,)&lt;&gt;"",1,0),0)</f>
        <v>0</v>
      </c>
      <c r="M274">
        <f>IFERROR(IF(VLOOKUP(calendar[[#This Row],[Date]],BH!C:C,1,)&lt;&gt;"",1,0),0)</f>
        <v>0</v>
      </c>
      <c r="N274">
        <f>IFERROR(IF(VLOOKUP(calendar[[#This Row],[Date]],BH!E:E,1,)&lt;&gt;"",1,0),0)</f>
        <v>0</v>
      </c>
      <c r="O274">
        <f>IFERROR(IF(VLOOKUP(calendar[[#This Row],[Date]],BH!G:G,1,)&lt;&gt;"",1,0),0)</f>
        <v>0</v>
      </c>
      <c r="P274">
        <f>IF(OR(calendar[[#This Row],[UK_BH]]=1,calendar[[#This Row],[WeekDay]]=1, calendar[[#This Row],[WeekDay]]=7),P273,P273+1)</f>
        <v>195</v>
      </c>
      <c r="Q274">
        <f>IF(OR(calendar[[#This Row],[FR_BH]]=1,calendar[[#This Row],[WeekDay]]=1, calendar[[#This Row],[WeekDay]]=7),P273,P273+1)</f>
        <v>195</v>
      </c>
      <c r="R274">
        <f>IF(OR(calendar[[#This Row],[SP_BH]]=1,calendar[[#This Row],[WeekDay]]=1, calendar[[#This Row],[WeekDay]]=7),P273,P273+1)</f>
        <v>195</v>
      </c>
      <c r="S274">
        <f>IF(OR(calendar[[#This Row],[PT_BH]]=1,calendar[[#This Row],[WeekDay]]=1, calendar[[#This Row],[WeekDay]]=7),P273,P273+1)</f>
        <v>195</v>
      </c>
    </row>
    <row r="275" spans="1:19" x14ac:dyDescent="0.25">
      <c r="A275" s="2">
        <v>43009</v>
      </c>
      <c r="B275" s="1">
        <f t="shared" si="23"/>
        <v>40</v>
      </c>
      <c r="C275">
        <f t="shared" si="25"/>
        <v>10</v>
      </c>
      <c r="D275" t="str">
        <f t="shared" si="26"/>
        <v>October</v>
      </c>
      <c r="E275">
        <f t="shared" si="27"/>
        <v>2017</v>
      </c>
      <c r="F275" t="str">
        <f>CONCATENATE(calendar[[#This Row],[Month]],"/",calendar[[#This Row],[Year]])</f>
        <v>10/2017</v>
      </c>
      <c r="G275">
        <f>WEEKDAY(calendar[[#This Row],[Date]],1)</f>
        <v>1</v>
      </c>
      <c r="H275" t="str">
        <f>TEXT(calendar[[#This Row],[WeekDay]],"dddd")</f>
        <v>Sunday</v>
      </c>
      <c r="I275">
        <f>IF((INT(calendar[[#This Row],[Count]]/7)-calendar[[#This Row],[Count]]/7)&lt;0,I274,I274+1)</f>
        <v>40</v>
      </c>
      <c r="J275">
        <f t="shared" si="24"/>
        <v>273</v>
      </c>
      <c r="K275">
        <f>IF(calendar[[#This Row],[Month]]&lt;4,1,IF(calendar[[#This Row],[Month]]&lt;7,2,IF(calendar[[#This Row],[Month]]&lt;10,3,4)))</f>
        <v>4</v>
      </c>
      <c r="L275">
        <f>IFERROR(IF(VLOOKUP(calendar[[#This Row],[Date]],BH!A:A,1,)&lt;&gt;"",1,0),0)</f>
        <v>0</v>
      </c>
      <c r="M275">
        <f>IFERROR(IF(VLOOKUP(calendar[[#This Row],[Date]],BH!C:C,1,)&lt;&gt;"",1,0),0)</f>
        <v>0</v>
      </c>
      <c r="N275">
        <f>IFERROR(IF(VLOOKUP(calendar[[#This Row],[Date]],BH!E:E,1,)&lt;&gt;"",1,0),0)</f>
        <v>0</v>
      </c>
      <c r="O275">
        <f>IFERROR(IF(VLOOKUP(calendar[[#This Row],[Date]],BH!G:G,1,)&lt;&gt;"",1,0),0)</f>
        <v>0</v>
      </c>
      <c r="P275">
        <f>IF(OR(calendar[[#This Row],[UK_BH]]=1,calendar[[#This Row],[WeekDay]]=1, calendar[[#This Row],[WeekDay]]=7),P274,P274+1)</f>
        <v>195</v>
      </c>
      <c r="Q275">
        <f>IF(OR(calendar[[#This Row],[FR_BH]]=1,calendar[[#This Row],[WeekDay]]=1, calendar[[#This Row],[WeekDay]]=7),P274,P274+1)</f>
        <v>195</v>
      </c>
      <c r="R275">
        <f>IF(OR(calendar[[#This Row],[SP_BH]]=1,calendar[[#This Row],[WeekDay]]=1, calendar[[#This Row],[WeekDay]]=7),P274,P274+1)</f>
        <v>195</v>
      </c>
      <c r="S275">
        <f>IF(OR(calendar[[#This Row],[PT_BH]]=1,calendar[[#This Row],[WeekDay]]=1, calendar[[#This Row],[WeekDay]]=7),P274,P274+1)</f>
        <v>195</v>
      </c>
    </row>
    <row r="276" spans="1:19" x14ac:dyDescent="0.25">
      <c r="A276" s="2">
        <v>43010</v>
      </c>
      <c r="B276" s="1">
        <f t="shared" si="23"/>
        <v>40</v>
      </c>
      <c r="C276">
        <f t="shared" si="25"/>
        <v>10</v>
      </c>
      <c r="D276" t="str">
        <f t="shared" si="26"/>
        <v>October</v>
      </c>
      <c r="E276">
        <f t="shared" si="27"/>
        <v>2017</v>
      </c>
      <c r="F276" t="str">
        <f>CONCATENATE(calendar[[#This Row],[Month]],"/",calendar[[#This Row],[Year]])</f>
        <v>10/2017</v>
      </c>
      <c r="G276">
        <f>WEEKDAY(calendar[[#This Row],[Date]],1)</f>
        <v>2</v>
      </c>
      <c r="H276" t="str">
        <f>TEXT(calendar[[#This Row],[WeekDay]],"dddd")</f>
        <v>Monday</v>
      </c>
      <c r="I276">
        <f>IF((INT(calendar[[#This Row],[Count]]/7)-calendar[[#This Row],[Count]]/7)&lt;0,I275,I275+1)</f>
        <v>40</v>
      </c>
      <c r="J276">
        <f t="shared" si="24"/>
        <v>274</v>
      </c>
      <c r="K276">
        <f>IF(calendar[[#This Row],[Month]]&lt;4,1,IF(calendar[[#This Row],[Month]]&lt;7,2,IF(calendar[[#This Row],[Month]]&lt;10,3,4)))</f>
        <v>4</v>
      </c>
      <c r="L276">
        <f>IFERROR(IF(VLOOKUP(calendar[[#This Row],[Date]],BH!A:A,1,)&lt;&gt;"",1,0),0)</f>
        <v>0</v>
      </c>
      <c r="M276">
        <f>IFERROR(IF(VLOOKUP(calendar[[#This Row],[Date]],BH!C:C,1,)&lt;&gt;"",1,0),0)</f>
        <v>0</v>
      </c>
      <c r="N276">
        <f>IFERROR(IF(VLOOKUP(calendar[[#This Row],[Date]],BH!E:E,1,)&lt;&gt;"",1,0),0)</f>
        <v>0</v>
      </c>
      <c r="O276">
        <f>IFERROR(IF(VLOOKUP(calendar[[#This Row],[Date]],BH!G:G,1,)&lt;&gt;"",1,0),0)</f>
        <v>0</v>
      </c>
      <c r="P276">
        <f>IF(OR(calendar[[#This Row],[UK_BH]]=1,calendar[[#This Row],[WeekDay]]=1, calendar[[#This Row],[WeekDay]]=7),P275,P275+1)</f>
        <v>196</v>
      </c>
      <c r="Q276">
        <f>IF(OR(calendar[[#This Row],[FR_BH]]=1,calendar[[#This Row],[WeekDay]]=1, calendar[[#This Row],[WeekDay]]=7),P275,P275+1)</f>
        <v>196</v>
      </c>
      <c r="R276">
        <f>IF(OR(calendar[[#This Row],[SP_BH]]=1,calendar[[#This Row],[WeekDay]]=1, calendar[[#This Row],[WeekDay]]=7),P275,P275+1)</f>
        <v>196</v>
      </c>
      <c r="S276">
        <f>IF(OR(calendar[[#This Row],[PT_BH]]=1,calendar[[#This Row],[WeekDay]]=1, calendar[[#This Row],[WeekDay]]=7),P275,P275+1)</f>
        <v>196</v>
      </c>
    </row>
    <row r="277" spans="1:19" x14ac:dyDescent="0.25">
      <c r="A277" s="2">
        <v>43011</v>
      </c>
      <c r="B277" s="1">
        <f t="shared" si="23"/>
        <v>40</v>
      </c>
      <c r="C277">
        <f t="shared" si="25"/>
        <v>10</v>
      </c>
      <c r="D277" t="str">
        <f t="shared" si="26"/>
        <v>October</v>
      </c>
      <c r="E277">
        <f t="shared" si="27"/>
        <v>2017</v>
      </c>
      <c r="F277" t="str">
        <f>CONCATENATE(calendar[[#This Row],[Month]],"/",calendar[[#This Row],[Year]])</f>
        <v>10/2017</v>
      </c>
      <c r="G277">
        <f>WEEKDAY(calendar[[#This Row],[Date]],1)</f>
        <v>3</v>
      </c>
      <c r="H277" t="str">
        <f>TEXT(calendar[[#This Row],[WeekDay]],"dddd")</f>
        <v>Tuesday</v>
      </c>
      <c r="I277">
        <f>IF((INT(calendar[[#This Row],[Count]]/7)-calendar[[#This Row],[Count]]/7)&lt;0,I276,I276+1)</f>
        <v>40</v>
      </c>
      <c r="J277">
        <f t="shared" si="24"/>
        <v>275</v>
      </c>
      <c r="K277">
        <f>IF(calendar[[#This Row],[Month]]&lt;4,1,IF(calendar[[#This Row],[Month]]&lt;7,2,IF(calendar[[#This Row],[Month]]&lt;10,3,4)))</f>
        <v>4</v>
      </c>
      <c r="L277">
        <f>IFERROR(IF(VLOOKUP(calendar[[#This Row],[Date]],BH!A:A,1,)&lt;&gt;"",1,0),0)</f>
        <v>0</v>
      </c>
      <c r="M277">
        <f>IFERROR(IF(VLOOKUP(calendar[[#This Row],[Date]],BH!C:C,1,)&lt;&gt;"",1,0),0)</f>
        <v>0</v>
      </c>
      <c r="N277">
        <f>IFERROR(IF(VLOOKUP(calendar[[#This Row],[Date]],BH!E:E,1,)&lt;&gt;"",1,0),0)</f>
        <v>0</v>
      </c>
      <c r="O277">
        <f>IFERROR(IF(VLOOKUP(calendar[[#This Row],[Date]],BH!G:G,1,)&lt;&gt;"",1,0),0)</f>
        <v>0</v>
      </c>
      <c r="P277">
        <f>IF(OR(calendar[[#This Row],[UK_BH]]=1,calendar[[#This Row],[WeekDay]]=1, calendar[[#This Row],[WeekDay]]=7),P276,P276+1)</f>
        <v>197</v>
      </c>
      <c r="Q277">
        <f>IF(OR(calendar[[#This Row],[FR_BH]]=1,calendar[[#This Row],[WeekDay]]=1, calendar[[#This Row],[WeekDay]]=7),P276,P276+1)</f>
        <v>197</v>
      </c>
      <c r="R277">
        <f>IF(OR(calendar[[#This Row],[SP_BH]]=1,calendar[[#This Row],[WeekDay]]=1, calendar[[#This Row],[WeekDay]]=7),P276,P276+1)</f>
        <v>197</v>
      </c>
      <c r="S277">
        <f>IF(OR(calendar[[#This Row],[PT_BH]]=1,calendar[[#This Row],[WeekDay]]=1, calendar[[#This Row],[WeekDay]]=7),P276,P276+1)</f>
        <v>197</v>
      </c>
    </row>
    <row r="278" spans="1:19" x14ac:dyDescent="0.25">
      <c r="A278" s="2">
        <v>43012</v>
      </c>
      <c r="B278" s="1">
        <f t="shared" si="23"/>
        <v>40</v>
      </c>
      <c r="C278">
        <f t="shared" si="25"/>
        <v>10</v>
      </c>
      <c r="D278" t="str">
        <f t="shared" si="26"/>
        <v>October</v>
      </c>
      <c r="E278">
        <f t="shared" si="27"/>
        <v>2017</v>
      </c>
      <c r="F278" t="str">
        <f>CONCATENATE(calendar[[#This Row],[Month]],"/",calendar[[#This Row],[Year]])</f>
        <v>10/2017</v>
      </c>
      <c r="G278">
        <f>WEEKDAY(calendar[[#This Row],[Date]],1)</f>
        <v>4</v>
      </c>
      <c r="H278" t="str">
        <f>TEXT(calendar[[#This Row],[WeekDay]],"dddd")</f>
        <v>Wednesday</v>
      </c>
      <c r="I278">
        <f>IF((INT(calendar[[#This Row],[Count]]/7)-calendar[[#This Row],[Count]]/7)&lt;0,I277,I277+1)</f>
        <v>40</v>
      </c>
      <c r="J278">
        <f t="shared" si="24"/>
        <v>276</v>
      </c>
      <c r="K278">
        <f>IF(calendar[[#This Row],[Month]]&lt;4,1,IF(calendar[[#This Row],[Month]]&lt;7,2,IF(calendar[[#This Row],[Month]]&lt;10,3,4)))</f>
        <v>4</v>
      </c>
      <c r="L278">
        <f>IFERROR(IF(VLOOKUP(calendar[[#This Row],[Date]],BH!A:A,1,)&lt;&gt;"",1,0),0)</f>
        <v>0</v>
      </c>
      <c r="M278">
        <f>IFERROR(IF(VLOOKUP(calendar[[#This Row],[Date]],BH!C:C,1,)&lt;&gt;"",1,0),0)</f>
        <v>0</v>
      </c>
      <c r="N278">
        <f>IFERROR(IF(VLOOKUP(calendar[[#This Row],[Date]],BH!E:E,1,)&lt;&gt;"",1,0),0)</f>
        <v>0</v>
      </c>
      <c r="O278">
        <f>IFERROR(IF(VLOOKUP(calendar[[#This Row],[Date]],BH!G:G,1,)&lt;&gt;"",1,0),0)</f>
        <v>0</v>
      </c>
      <c r="P278">
        <f>IF(OR(calendar[[#This Row],[UK_BH]]=1,calendar[[#This Row],[WeekDay]]=1, calendar[[#This Row],[WeekDay]]=7),P277,P277+1)</f>
        <v>198</v>
      </c>
      <c r="Q278">
        <f>IF(OR(calendar[[#This Row],[FR_BH]]=1,calendar[[#This Row],[WeekDay]]=1, calendar[[#This Row],[WeekDay]]=7),P277,P277+1)</f>
        <v>198</v>
      </c>
      <c r="R278">
        <f>IF(OR(calendar[[#This Row],[SP_BH]]=1,calendar[[#This Row],[WeekDay]]=1, calendar[[#This Row],[WeekDay]]=7),P277,P277+1)</f>
        <v>198</v>
      </c>
      <c r="S278">
        <f>IF(OR(calendar[[#This Row],[PT_BH]]=1,calendar[[#This Row],[WeekDay]]=1, calendar[[#This Row],[WeekDay]]=7),P277,P277+1)</f>
        <v>198</v>
      </c>
    </row>
    <row r="279" spans="1:19" x14ac:dyDescent="0.25">
      <c r="A279" s="2">
        <v>43013</v>
      </c>
      <c r="B279" s="1">
        <f t="shared" si="23"/>
        <v>40</v>
      </c>
      <c r="C279">
        <f t="shared" si="25"/>
        <v>10</v>
      </c>
      <c r="D279" t="str">
        <f t="shared" si="26"/>
        <v>October</v>
      </c>
      <c r="E279">
        <f t="shared" si="27"/>
        <v>2017</v>
      </c>
      <c r="F279" t="str">
        <f>CONCATENATE(calendar[[#This Row],[Month]],"/",calendar[[#This Row],[Year]])</f>
        <v>10/2017</v>
      </c>
      <c r="G279">
        <f>WEEKDAY(calendar[[#This Row],[Date]],1)</f>
        <v>5</v>
      </c>
      <c r="H279" t="str">
        <f>TEXT(calendar[[#This Row],[WeekDay]],"dddd")</f>
        <v>Thursday</v>
      </c>
      <c r="I279">
        <f>IF((INT(calendar[[#This Row],[Count]]/7)-calendar[[#This Row],[Count]]/7)&lt;0,I278,I278+1)</f>
        <v>40</v>
      </c>
      <c r="J279">
        <f t="shared" si="24"/>
        <v>277</v>
      </c>
      <c r="K279">
        <f>IF(calendar[[#This Row],[Month]]&lt;4,1,IF(calendar[[#This Row],[Month]]&lt;7,2,IF(calendar[[#This Row],[Month]]&lt;10,3,4)))</f>
        <v>4</v>
      </c>
      <c r="L279">
        <f>IFERROR(IF(VLOOKUP(calendar[[#This Row],[Date]],BH!A:A,1,)&lt;&gt;"",1,0),0)</f>
        <v>0</v>
      </c>
      <c r="M279">
        <f>IFERROR(IF(VLOOKUP(calendar[[#This Row],[Date]],BH!C:C,1,)&lt;&gt;"",1,0),0)</f>
        <v>0</v>
      </c>
      <c r="N279">
        <f>IFERROR(IF(VLOOKUP(calendar[[#This Row],[Date]],BH!E:E,1,)&lt;&gt;"",1,0),0)</f>
        <v>0</v>
      </c>
      <c r="O279">
        <f>IFERROR(IF(VLOOKUP(calendar[[#This Row],[Date]],BH!G:G,1,)&lt;&gt;"",1,0),0)</f>
        <v>0</v>
      </c>
      <c r="P279">
        <f>IF(OR(calendar[[#This Row],[UK_BH]]=1,calendar[[#This Row],[WeekDay]]=1, calendar[[#This Row],[WeekDay]]=7),P278,P278+1)</f>
        <v>199</v>
      </c>
      <c r="Q279">
        <f>IF(OR(calendar[[#This Row],[FR_BH]]=1,calendar[[#This Row],[WeekDay]]=1, calendar[[#This Row],[WeekDay]]=7),P278,P278+1)</f>
        <v>199</v>
      </c>
      <c r="R279">
        <f>IF(OR(calendar[[#This Row],[SP_BH]]=1,calendar[[#This Row],[WeekDay]]=1, calendar[[#This Row],[WeekDay]]=7),P278,P278+1)</f>
        <v>199</v>
      </c>
      <c r="S279">
        <f>IF(OR(calendar[[#This Row],[PT_BH]]=1,calendar[[#This Row],[WeekDay]]=1, calendar[[#This Row],[WeekDay]]=7),P278,P278+1)</f>
        <v>199</v>
      </c>
    </row>
    <row r="280" spans="1:19" x14ac:dyDescent="0.25">
      <c r="A280" s="2">
        <v>43014</v>
      </c>
      <c r="B280" s="1">
        <f t="shared" si="23"/>
        <v>40</v>
      </c>
      <c r="C280">
        <f t="shared" si="25"/>
        <v>10</v>
      </c>
      <c r="D280" t="str">
        <f t="shared" si="26"/>
        <v>October</v>
      </c>
      <c r="E280">
        <f t="shared" si="27"/>
        <v>2017</v>
      </c>
      <c r="F280" t="str">
        <f>CONCATENATE(calendar[[#This Row],[Month]],"/",calendar[[#This Row],[Year]])</f>
        <v>10/2017</v>
      </c>
      <c r="G280">
        <f>WEEKDAY(calendar[[#This Row],[Date]],1)</f>
        <v>6</v>
      </c>
      <c r="H280" t="str">
        <f>TEXT(calendar[[#This Row],[WeekDay]],"dddd")</f>
        <v>Friday</v>
      </c>
      <c r="I280">
        <f>IF((INT(calendar[[#This Row],[Count]]/7)-calendar[[#This Row],[Count]]/7)&lt;0,I279,I279+1)</f>
        <v>40</v>
      </c>
      <c r="J280">
        <f t="shared" si="24"/>
        <v>278</v>
      </c>
      <c r="K280">
        <f>IF(calendar[[#This Row],[Month]]&lt;4,1,IF(calendar[[#This Row],[Month]]&lt;7,2,IF(calendar[[#This Row],[Month]]&lt;10,3,4)))</f>
        <v>4</v>
      </c>
      <c r="L280">
        <f>IFERROR(IF(VLOOKUP(calendar[[#This Row],[Date]],BH!A:A,1,)&lt;&gt;"",1,0),0)</f>
        <v>0</v>
      </c>
      <c r="M280">
        <f>IFERROR(IF(VLOOKUP(calendar[[#This Row],[Date]],BH!C:C,1,)&lt;&gt;"",1,0),0)</f>
        <v>0</v>
      </c>
      <c r="N280">
        <f>IFERROR(IF(VLOOKUP(calendar[[#This Row],[Date]],BH!E:E,1,)&lt;&gt;"",1,0),0)</f>
        <v>0</v>
      </c>
      <c r="O280">
        <f>IFERROR(IF(VLOOKUP(calendar[[#This Row],[Date]],BH!G:G,1,)&lt;&gt;"",1,0),0)</f>
        <v>0</v>
      </c>
      <c r="P280">
        <f>IF(OR(calendar[[#This Row],[UK_BH]]=1,calendar[[#This Row],[WeekDay]]=1, calendar[[#This Row],[WeekDay]]=7),P279,P279+1)</f>
        <v>200</v>
      </c>
      <c r="Q280">
        <f>IF(OR(calendar[[#This Row],[FR_BH]]=1,calendar[[#This Row],[WeekDay]]=1, calendar[[#This Row],[WeekDay]]=7),P279,P279+1)</f>
        <v>200</v>
      </c>
      <c r="R280">
        <f>IF(OR(calendar[[#This Row],[SP_BH]]=1,calendar[[#This Row],[WeekDay]]=1, calendar[[#This Row],[WeekDay]]=7),P279,P279+1)</f>
        <v>200</v>
      </c>
      <c r="S280">
        <f>IF(OR(calendar[[#This Row],[PT_BH]]=1,calendar[[#This Row],[WeekDay]]=1, calendar[[#This Row],[WeekDay]]=7),P279,P279+1)</f>
        <v>200</v>
      </c>
    </row>
    <row r="281" spans="1:19" x14ac:dyDescent="0.25">
      <c r="A281" s="2">
        <v>43015</v>
      </c>
      <c r="B281" s="1">
        <f t="shared" si="23"/>
        <v>40</v>
      </c>
      <c r="C281">
        <f t="shared" si="25"/>
        <v>10</v>
      </c>
      <c r="D281" t="str">
        <f t="shared" si="26"/>
        <v>October</v>
      </c>
      <c r="E281">
        <f t="shared" si="27"/>
        <v>2017</v>
      </c>
      <c r="F281" t="str">
        <f>CONCATENATE(calendar[[#This Row],[Month]],"/",calendar[[#This Row],[Year]])</f>
        <v>10/2017</v>
      </c>
      <c r="G281">
        <f>WEEKDAY(calendar[[#This Row],[Date]],1)</f>
        <v>7</v>
      </c>
      <c r="H281" t="str">
        <f>TEXT(calendar[[#This Row],[WeekDay]],"dddd")</f>
        <v>Saturday</v>
      </c>
      <c r="I281">
        <f>IF((INT(calendar[[#This Row],[Count]]/7)-calendar[[#This Row],[Count]]/7)&lt;0,I280,I280+1)</f>
        <v>40</v>
      </c>
      <c r="J281">
        <f t="shared" si="24"/>
        <v>279</v>
      </c>
      <c r="K281">
        <f>IF(calendar[[#This Row],[Month]]&lt;4,1,IF(calendar[[#This Row],[Month]]&lt;7,2,IF(calendar[[#This Row],[Month]]&lt;10,3,4)))</f>
        <v>4</v>
      </c>
      <c r="L281">
        <f>IFERROR(IF(VLOOKUP(calendar[[#This Row],[Date]],BH!A:A,1,)&lt;&gt;"",1,0),0)</f>
        <v>0</v>
      </c>
      <c r="M281">
        <f>IFERROR(IF(VLOOKUP(calendar[[#This Row],[Date]],BH!C:C,1,)&lt;&gt;"",1,0),0)</f>
        <v>0</v>
      </c>
      <c r="N281">
        <f>IFERROR(IF(VLOOKUP(calendar[[#This Row],[Date]],BH!E:E,1,)&lt;&gt;"",1,0),0)</f>
        <v>0</v>
      </c>
      <c r="O281">
        <f>IFERROR(IF(VLOOKUP(calendar[[#This Row],[Date]],BH!G:G,1,)&lt;&gt;"",1,0),0)</f>
        <v>0</v>
      </c>
      <c r="P281">
        <f>IF(OR(calendar[[#This Row],[UK_BH]]=1,calendar[[#This Row],[WeekDay]]=1, calendar[[#This Row],[WeekDay]]=7),P280,P280+1)</f>
        <v>200</v>
      </c>
      <c r="Q281">
        <f>IF(OR(calendar[[#This Row],[FR_BH]]=1,calendar[[#This Row],[WeekDay]]=1, calendar[[#This Row],[WeekDay]]=7),P280,P280+1)</f>
        <v>200</v>
      </c>
      <c r="R281">
        <f>IF(OR(calendar[[#This Row],[SP_BH]]=1,calendar[[#This Row],[WeekDay]]=1, calendar[[#This Row],[WeekDay]]=7),P280,P280+1)</f>
        <v>200</v>
      </c>
      <c r="S281">
        <f>IF(OR(calendar[[#This Row],[PT_BH]]=1,calendar[[#This Row],[WeekDay]]=1, calendar[[#This Row],[WeekDay]]=7),P280,P280+1)</f>
        <v>200</v>
      </c>
    </row>
    <row r="282" spans="1:19" x14ac:dyDescent="0.25">
      <c r="A282" s="2">
        <v>43016</v>
      </c>
      <c r="B282" s="1">
        <f t="shared" si="23"/>
        <v>41</v>
      </c>
      <c r="C282">
        <f t="shared" si="25"/>
        <v>10</v>
      </c>
      <c r="D282" t="str">
        <f t="shared" si="26"/>
        <v>October</v>
      </c>
      <c r="E282">
        <f t="shared" si="27"/>
        <v>2017</v>
      </c>
      <c r="F282" t="str">
        <f>CONCATENATE(calendar[[#This Row],[Month]],"/",calendar[[#This Row],[Year]])</f>
        <v>10/2017</v>
      </c>
      <c r="G282">
        <f>WEEKDAY(calendar[[#This Row],[Date]],1)</f>
        <v>1</v>
      </c>
      <c r="H282" t="str">
        <f>TEXT(calendar[[#This Row],[WeekDay]],"dddd")</f>
        <v>Sunday</v>
      </c>
      <c r="I282">
        <f>IF((INT(calendar[[#This Row],[Count]]/7)-calendar[[#This Row],[Count]]/7)&lt;0,I281,I281+1)</f>
        <v>41</v>
      </c>
      <c r="J282">
        <f t="shared" si="24"/>
        <v>280</v>
      </c>
      <c r="K282">
        <f>IF(calendar[[#This Row],[Month]]&lt;4,1,IF(calendar[[#This Row],[Month]]&lt;7,2,IF(calendar[[#This Row],[Month]]&lt;10,3,4)))</f>
        <v>4</v>
      </c>
      <c r="L282">
        <f>IFERROR(IF(VLOOKUP(calendar[[#This Row],[Date]],BH!A:A,1,)&lt;&gt;"",1,0),0)</f>
        <v>0</v>
      </c>
      <c r="M282">
        <f>IFERROR(IF(VLOOKUP(calendar[[#This Row],[Date]],BH!C:C,1,)&lt;&gt;"",1,0),0)</f>
        <v>0</v>
      </c>
      <c r="N282">
        <f>IFERROR(IF(VLOOKUP(calendar[[#This Row],[Date]],BH!E:E,1,)&lt;&gt;"",1,0),0)</f>
        <v>0</v>
      </c>
      <c r="O282">
        <f>IFERROR(IF(VLOOKUP(calendar[[#This Row],[Date]],BH!G:G,1,)&lt;&gt;"",1,0),0)</f>
        <v>0</v>
      </c>
      <c r="P282">
        <f>IF(OR(calendar[[#This Row],[UK_BH]]=1,calendar[[#This Row],[WeekDay]]=1, calendar[[#This Row],[WeekDay]]=7),P281,P281+1)</f>
        <v>200</v>
      </c>
      <c r="Q282">
        <f>IF(OR(calendar[[#This Row],[FR_BH]]=1,calendar[[#This Row],[WeekDay]]=1, calendar[[#This Row],[WeekDay]]=7),P281,P281+1)</f>
        <v>200</v>
      </c>
      <c r="R282">
        <f>IF(OR(calendar[[#This Row],[SP_BH]]=1,calendar[[#This Row],[WeekDay]]=1, calendar[[#This Row],[WeekDay]]=7),P281,P281+1)</f>
        <v>200</v>
      </c>
      <c r="S282">
        <f>IF(OR(calendar[[#This Row],[PT_BH]]=1,calendar[[#This Row],[WeekDay]]=1, calendar[[#This Row],[WeekDay]]=7),P281,P281+1)</f>
        <v>200</v>
      </c>
    </row>
    <row r="283" spans="1:19" x14ac:dyDescent="0.25">
      <c r="A283" s="2">
        <v>43017</v>
      </c>
      <c r="B283" s="1">
        <f t="shared" si="23"/>
        <v>41</v>
      </c>
      <c r="C283">
        <f t="shared" si="25"/>
        <v>10</v>
      </c>
      <c r="D283" t="str">
        <f t="shared" si="26"/>
        <v>October</v>
      </c>
      <c r="E283">
        <f t="shared" si="27"/>
        <v>2017</v>
      </c>
      <c r="F283" t="str">
        <f>CONCATENATE(calendar[[#This Row],[Month]],"/",calendar[[#This Row],[Year]])</f>
        <v>10/2017</v>
      </c>
      <c r="G283">
        <f>WEEKDAY(calendar[[#This Row],[Date]],1)</f>
        <v>2</v>
      </c>
      <c r="H283" t="str">
        <f>TEXT(calendar[[#This Row],[WeekDay]],"dddd")</f>
        <v>Monday</v>
      </c>
      <c r="I283">
        <f>IF((INT(calendar[[#This Row],[Count]]/7)-calendar[[#This Row],[Count]]/7)&lt;0,I282,I282+1)</f>
        <v>41</v>
      </c>
      <c r="J283">
        <f t="shared" si="24"/>
        <v>281</v>
      </c>
      <c r="K283">
        <f>IF(calendar[[#This Row],[Month]]&lt;4,1,IF(calendar[[#This Row],[Month]]&lt;7,2,IF(calendar[[#This Row],[Month]]&lt;10,3,4)))</f>
        <v>4</v>
      </c>
      <c r="L283">
        <f>IFERROR(IF(VLOOKUP(calendar[[#This Row],[Date]],BH!A:A,1,)&lt;&gt;"",1,0),0)</f>
        <v>0</v>
      </c>
      <c r="M283">
        <f>IFERROR(IF(VLOOKUP(calendar[[#This Row],[Date]],BH!C:C,1,)&lt;&gt;"",1,0),0)</f>
        <v>0</v>
      </c>
      <c r="N283">
        <f>IFERROR(IF(VLOOKUP(calendar[[#This Row],[Date]],BH!E:E,1,)&lt;&gt;"",1,0),0)</f>
        <v>0</v>
      </c>
      <c r="O283">
        <f>IFERROR(IF(VLOOKUP(calendar[[#This Row],[Date]],BH!G:G,1,)&lt;&gt;"",1,0),0)</f>
        <v>0</v>
      </c>
      <c r="P283">
        <f>IF(OR(calendar[[#This Row],[UK_BH]]=1,calendar[[#This Row],[WeekDay]]=1, calendar[[#This Row],[WeekDay]]=7),P282,P282+1)</f>
        <v>201</v>
      </c>
      <c r="Q283">
        <f>IF(OR(calendar[[#This Row],[FR_BH]]=1,calendar[[#This Row],[WeekDay]]=1, calendar[[#This Row],[WeekDay]]=7),P282,P282+1)</f>
        <v>201</v>
      </c>
      <c r="R283">
        <f>IF(OR(calendar[[#This Row],[SP_BH]]=1,calendar[[#This Row],[WeekDay]]=1, calendar[[#This Row],[WeekDay]]=7),P282,P282+1)</f>
        <v>201</v>
      </c>
      <c r="S283">
        <f>IF(OR(calendar[[#This Row],[PT_BH]]=1,calendar[[#This Row],[WeekDay]]=1, calendar[[#This Row],[WeekDay]]=7),P282,P282+1)</f>
        <v>201</v>
      </c>
    </row>
    <row r="284" spans="1:19" x14ac:dyDescent="0.25">
      <c r="A284" s="2">
        <v>43018</v>
      </c>
      <c r="B284" s="1">
        <f t="shared" si="23"/>
        <v>41</v>
      </c>
      <c r="C284">
        <f t="shared" si="25"/>
        <v>10</v>
      </c>
      <c r="D284" t="str">
        <f t="shared" si="26"/>
        <v>October</v>
      </c>
      <c r="E284">
        <f t="shared" si="27"/>
        <v>2017</v>
      </c>
      <c r="F284" t="str">
        <f>CONCATENATE(calendar[[#This Row],[Month]],"/",calendar[[#This Row],[Year]])</f>
        <v>10/2017</v>
      </c>
      <c r="G284">
        <f>WEEKDAY(calendar[[#This Row],[Date]],1)</f>
        <v>3</v>
      </c>
      <c r="H284" t="str">
        <f>TEXT(calendar[[#This Row],[WeekDay]],"dddd")</f>
        <v>Tuesday</v>
      </c>
      <c r="I284">
        <f>IF((INT(calendar[[#This Row],[Count]]/7)-calendar[[#This Row],[Count]]/7)&lt;0,I283,I283+1)</f>
        <v>41</v>
      </c>
      <c r="J284">
        <f t="shared" si="24"/>
        <v>282</v>
      </c>
      <c r="K284">
        <f>IF(calendar[[#This Row],[Month]]&lt;4,1,IF(calendar[[#This Row],[Month]]&lt;7,2,IF(calendar[[#This Row],[Month]]&lt;10,3,4)))</f>
        <v>4</v>
      </c>
      <c r="L284">
        <f>IFERROR(IF(VLOOKUP(calendar[[#This Row],[Date]],BH!A:A,1,)&lt;&gt;"",1,0),0)</f>
        <v>0</v>
      </c>
      <c r="M284">
        <f>IFERROR(IF(VLOOKUP(calendar[[#This Row],[Date]],BH!C:C,1,)&lt;&gt;"",1,0),0)</f>
        <v>0</v>
      </c>
      <c r="N284">
        <f>IFERROR(IF(VLOOKUP(calendar[[#This Row],[Date]],BH!E:E,1,)&lt;&gt;"",1,0),0)</f>
        <v>0</v>
      </c>
      <c r="O284">
        <f>IFERROR(IF(VLOOKUP(calendar[[#This Row],[Date]],BH!G:G,1,)&lt;&gt;"",1,0),0)</f>
        <v>0</v>
      </c>
      <c r="P284">
        <f>IF(OR(calendar[[#This Row],[UK_BH]]=1,calendar[[#This Row],[WeekDay]]=1, calendar[[#This Row],[WeekDay]]=7),P283,P283+1)</f>
        <v>202</v>
      </c>
      <c r="Q284">
        <f>IF(OR(calendar[[#This Row],[FR_BH]]=1,calendar[[#This Row],[WeekDay]]=1, calendar[[#This Row],[WeekDay]]=7),P283,P283+1)</f>
        <v>202</v>
      </c>
      <c r="R284">
        <f>IF(OR(calendar[[#This Row],[SP_BH]]=1,calendar[[#This Row],[WeekDay]]=1, calendar[[#This Row],[WeekDay]]=7),P283,P283+1)</f>
        <v>202</v>
      </c>
      <c r="S284">
        <f>IF(OR(calendar[[#This Row],[PT_BH]]=1,calendar[[#This Row],[WeekDay]]=1, calendar[[#This Row],[WeekDay]]=7),P283,P283+1)</f>
        <v>202</v>
      </c>
    </row>
    <row r="285" spans="1:19" x14ac:dyDescent="0.25">
      <c r="A285" s="2">
        <v>43019</v>
      </c>
      <c r="B285" s="1">
        <f t="shared" si="23"/>
        <v>41</v>
      </c>
      <c r="C285">
        <f t="shared" si="25"/>
        <v>10</v>
      </c>
      <c r="D285" t="str">
        <f t="shared" si="26"/>
        <v>October</v>
      </c>
      <c r="E285">
        <f t="shared" si="27"/>
        <v>2017</v>
      </c>
      <c r="F285" t="str">
        <f>CONCATENATE(calendar[[#This Row],[Month]],"/",calendar[[#This Row],[Year]])</f>
        <v>10/2017</v>
      </c>
      <c r="G285">
        <f>WEEKDAY(calendar[[#This Row],[Date]],1)</f>
        <v>4</v>
      </c>
      <c r="H285" t="str">
        <f>TEXT(calendar[[#This Row],[WeekDay]],"dddd")</f>
        <v>Wednesday</v>
      </c>
      <c r="I285">
        <f>IF((INT(calendar[[#This Row],[Count]]/7)-calendar[[#This Row],[Count]]/7)&lt;0,I284,I284+1)</f>
        <v>41</v>
      </c>
      <c r="J285">
        <f t="shared" si="24"/>
        <v>283</v>
      </c>
      <c r="K285">
        <f>IF(calendar[[#This Row],[Month]]&lt;4,1,IF(calendar[[#This Row],[Month]]&lt;7,2,IF(calendar[[#This Row],[Month]]&lt;10,3,4)))</f>
        <v>4</v>
      </c>
      <c r="L285">
        <f>IFERROR(IF(VLOOKUP(calendar[[#This Row],[Date]],BH!A:A,1,)&lt;&gt;"",1,0),0)</f>
        <v>0</v>
      </c>
      <c r="M285">
        <f>IFERROR(IF(VLOOKUP(calendar[[#This Row],[Date]],BH!C:C,1,)&lt;&gt;"",1,0),0)</f>
        <v>0</v>
      </c>
      <c r="N285">
        <f>IFERROR(IF(VLOOKUP(calendar[[#This Row],[Date]],BH!E:E,1,)&lt;&gt;"",1,0),0)</f>
        <v>0</v>
      </c>
      <c r="O285">
        <f>IFERROR(IF(VLOOKUP(calendar[[#This Row],[Date]],BH!G:G,1,)&lt;&gt;"",1,0),0)</f>
        <v>0</v>
      </c>
      <c r="P285">
        <f>IF(OR(calendar[[#This Row],[UK_BH]]=1,calendar[[#This Row],[WeekDay]]=1, calendar[[#This Row],[WeekDay]]=7),P284,P284+1)</f>
        <v>203</v>
      </c>
      <c r="Q285">
        <f>IF(OR(calendar[[#This Row],[FR_BH]]=1,calendar[[#This Row],[WeekDay]]=1, calendar[[#This Row],[WeekDay]]=7),P284,P284+1)</f>
        <v>203</v>
      </c>
      <c r="R285">
        <f>IF(OR(calendar[[#This Row],[SP_BH]]=1,calendar[[#This Row],[WeekDay]]=1, calendar[[#This Row],[WeekDay]]=7),P284,P284+1)</f>
        <v>203</v>
      </c>
      <c r="S285">
        <f>IF(OR(calendar[[#This Row],[PT_BH]]=1,calendar[[#This Row],[WeekDay]]=1, calendar[[#This Row],[WeekDay]]=7),P284,P284+1)</f>
        <v>203</v>
      </c>
    </row>
    <row r="286" spans="1:19" x14ac:dyDescent="0.25">
      <c r="A286" s="2">
        <v>43020</v>
      </c>
      <c r="B286" s="1">
        <f t="shared" si="23"/>
        <v>41</v>
      </c>
      <c r="C286">
        <f t="shared" si="25"/>
        <v>10</v>
      </c>
      <c r="D286" t="str">
        <f t="shared" si="26"/>
        <v>October</v>
      </c>
      <c r="E286">
        <f t="shared" si="27"/>
        <v>2017</v>
      </c>
      <c r="F286" t="str">
        <f>CONCATENATE(calendar[[#This Row],[Month]],"/",calendar[[#This Row],[Year]])</f>
        <v>10/2017</v>
      </c>
      <c r="G286">
        <f>WEEKDAY(calendar[[#This Row],[Date]],1)</f>
        <v>5</v>
      </c>
      <c r="H286" t="str">
        <f>TEXT(calendar[[#This Row],[WeekDay]],"dddd")</f>
        <v>Thursday</v>
      </c>
      <c r="I286">
        <f>IF((INT(calendar[[#This Row],[Count]]/7)-calendar[[#This Row],[Count]]/7)&lt;0,I285,I285+1)</f>
        <v>41</v>
      </c>
      <c r="J286">
        <f t="shared" si="24"/>
        <v>284</v>
      </c>
      <c r="K286">
        <f>IF(calendar[[#This Row],[Month]]&lt;4,1,IF(calendar[[#This Row],[Month]]&lt;7,2,IF(calendar[[#This Row],[Month]]&lt;10,3,4)))</f>
        <v>4</v>
      </c>
      <c r="L286">
        <f>IFERROR(IF(VLOOKUP(calendar[[#This Row],[Date]],BH!A:A,1,)&lt;&gt;"",1,0),0)</f>
        <v>0</v>
      </c>
      <c r="M286">
        <f>IFERROR(IF(VLOOKUP(calendar[[#This Row],[Date]],BH!C:C,1,)&lt;&gt;"",1,0),0)</f>
        <v>0</v>
      </c>
      <c r="N286">
        <f>IFERROR(IF(VLOOKUP(calendar[[#This Row],[Date]],BH!E:E,1,)&lt;&gt;"",1,0),0)</f>
        <v>0</v>
      </c>
      <c r="O286">
        <f>IFERROR(IF(VLOOKUP(calendar[[#This Row],[Date]],BH!G:G,1,)&lt;&gt;"",1,0),0)</f>
        <v>0</v>
      </c>
      <c r="P286">
        <f>IF(OR(calendar[[#This Row],[UK_BH]]=1,calendar[[#This Row],[WeekDay]]=1, calendar[[#This Row],[WeekDay]]=7),P285,P285+1)</f>
        <v>204</v>
      </c>
      <c r="Q286">
        <f>IF(OR(calendar[[#This Row],[FR_BH]]=1,calendar[[#This Row],[WeekDay]]=1, calendar[[#This Row],[WeekDay]]=7),P285,P285+1)</f>
        <v>204</v>
      </c>
      <c r="R286">
        <f>IF(OR(calendar[[#This Row],[SP_BH]]=1,calendar[[#This Row],[WeekDay]]=1, calendar[[#This Row],[WeekDay]]=7),P285,P285+1)</f>
        <v>204</v>
      </c>
      <c r="S286">
        <f>IF(OR(calendar[[#This Row],[PT_BH]]=1,calendar[[#This Row],[WeekDay]]=1, calendar[[#This Row],[WeekDay]]=7),P285,P285+1)</f>
        <v>204</v>
      </c>
    </row>
    <row r="287" spans="1:19" x14ac:dyDescent="0.25">
      <c r="A287" s="2">
        <v>43021</v>
      </c>
      <c r="B287" s="1">
        <f t="shared" si="23"/>
        <v>41</v>
      </c>
      <c r="C287">
        <f t="shared" si="25"/>
        <v>10</v>
      </c>
      <c r="D287" t="str">
        <f t="shared" si="26"/>
        <v>October</v>
      </c>
      <c r="E287">
        <f t="shared" si="27"/>
        <v>2017</v>
      </c>
      <c r="F287" t="str">
        <f>CONCATENATE(calendar[[#This Row],[Month]],"/",calendar[[#This Row],[Year]])</f>
        <v>10/2017</v>
      </c>
      <c r="G287">
        <f>WEEKDAY(calendar[[#This Row],[Date]],1)</f>
        <v>6</v>
      </c>
      <c r="H287" t="str">
        <f>TEXT(calendar[[#This Row],[WeekDay]],"dddd")</f>
        <v>Friday</v>
      </c>
      <c r="I287">
        <f>IF((INT(calendar[[#This Row],[Count]]/7)-calendar[[#This Row],[Count]]/7)&lt;0,I286,I286+1)</f>
        <v>41</v>
      </c>
      <c r="J287">
        <f t="shared" si="24"/>
        <v>285</v>
      </c>
      <c r="K287">
        <f>IF(calendar[[#This Row],[Month]]&lt;4,1,IF(calendar[[#This Row],[Month]]&lt;7,2,IF(calendar[[#This Row],[Month]]&lt;10,3,4)))</f>
        <v>4</v>
      </c>
      <c r="L287">
        <f>IFERROR(IF(VLOOKUP(calendar[[#This Row],[Date]],BH!A:A,1,)&lt;&gt;"",1,0),0)</f>
        <v>0</v>
      </c>
      <c r="M287">
        <f>IFERROR(IF(VLOOKUP(calendar[[#This Row],[Date]],BH!C:C,1,)&lt;&gt;"",1,0),0)</f>
        <v>0</v>
      </c>
      <c r="N287">
        <f>IFERROR(IF(VLOOKUP(calendar[[#This Row],[Date]],BH!E:E,1,)&lt;&gt;"",1,0),0)</f>
        <v>0</v>
      </c>
      <c r="O287">
        <f>IFERROR(IF(VLOOKUP(calendar[[#This Row],[Date]],BH!G:G,1,)&lt;&gt;"",1,0),0)</f>
        <v>0</v>
      </c>
      <c r="P287">
        <f>IF(OR(calendar[[#This Row],[UK_BH]]=1,calendar[[#This Row],[WeekDay]]=1, calendar[[#This Row],[WeekDay]]=7),P286,P286+1)</f>
        <v>205</v>
      </c>
      <c r="Q287">
        <f>IF(OR(calendar[[#This Row],[FR_BH]]=1,calendar[[#This Row],[WeekDay]]=1, calendar[[#This Row],[WeekDay]]=7),P286,P286+1)</f>
        <v>205</v>
      </c>
      <c r="R287">
        <f>IF(OR(calendar[[#This Row],[SP_BH]]=1,calendar[[#This Row],[WeekDay]]=1, calendar[[#This Row],[WeekDay]]=7),P286,P286+1)</f>
        <v>205</v>
      </c>
      <c r="S287">
        <f>IF(OR(calendar[[#This Row],[PT_BH]]=1,calendar[[#This Row],[WeekDay]]=1, calendar[[#This Row],[WeekDay]]=7),P286,P286+1)</f>
        <v>205</v>
      </c>
    </row>
    <row r="288" spans="1:19" x14ac:dyDescent="0.25">
      <c r="A288" s="2">
        <v>43022</v>
      </c>
      <c r="B288" s="1">
        <f t="shared" si="23"/>
        <v>41</v>
      </c>
      <c r="C288">
        <f t="shared" si="25"/>
        <v>10</v>
      </c>
      <c r="D288" t="str">
        <f t="shared" si="26"/>
        <v>October</v>
      </c>
      <c r="E288">
        <f t="shared" si="27"/>
        <v>2017</v>
      </c>
      <c r="F288" t="str">
        <f>CONCATENATE(calendar[[#This Row],[Month]],"/",calendar[[#This Row],[Year]])</f>
        <v>10/2017</v>
      </c>
      <c r="G288">
        <f>WEEKDAY(calendar[[#This Row],[Date]],1)</f>
        <v>7</v>
      </c>
      <c r="H288" t="str">
        <f>TEXT(calendar[[#This Row],[WeekDay]],"dddd")</f>
        <v>Saturday</v>
      </c>
      <c r="I288">
        <f>IF((INT(calendar[[#This Row],[Count]]/7)-calendar[[#This Row],[Count]]/7)&lt;0,I287,I287+1)</f>
        <v>41</v>
      </c>
      <c r="J288">
        <f t="shared" si="24"/>
        <v>286</v>
      </c>
      <c r="K288">
        <f>IF(calendar[[#This Row],[Month]]&lt;4,1,IF(calendar[[#This Row],[Month]]&lt;7,2,IF(calendar[[#This Row],[Month]]&lt;10,3,4)))</f>
        <v>4</v>
      </c>
      <c r="L288">
        <f>IFERROR(IF(VLOOKUP(calendar[[#This Row],[Date]],BH!A:A,1,)&lt;&gt;"",1,0),0)</f>
        <v>0</v>
      </c>
      <c r="M288">
        <f>IFERROR(IF(VLOOKUP(calendar[[#This Row],[Date]],BH!C:C,1,)&lt;&gt;"",1,0),0)</f>
        <v>0</v>
      </c>
      <c r="N288">
        <f>IFERROR(IF(VLOOKUP(calendar[[#This Row],[Date]],BH!E:E,1,)&lt;&gt;"",1,0),0)</f>
        <v>0</v>
      </c>
      <c r="O288">
        <f>IFERROR(IF(VLOOKUP(calendar[[#This Row],[Date]],BH!G:G,1,)&lt;&gt;"",1,0),0)</f>
        <v>0</v>
      </c>
      <c r="P288">
        <f>IF(OR(calendar[[#This Row],[UK_BH]]=1,calendar[[#This Row],[WeekDay]]=1, calendar[[#This Row],[WeekDay]]=7),P287,P287+1)</f>
        <v>205</v>
      </c>
      <c r="Q288">
        <f>IF(OR(calendar[[#This Row],[FR_BH]]=1,calendar[[#This Row],[WeekDay]]=1, calendar[[#This Row],[WeekDay]]=7),P287,P287+1)</f>
        <v>205</v>
      </c>
      <c r="R288">
        <f>IF(OR(calendar[[#This Row],[SP_BH]]=1,calendar[[#This Row],[WeekDay]]=1, calendar[[#This Row],[WeekDay]]=7),P287,P287+1)</f>
        <v>205</v>
      </c>
      <c r="S288">
        <f>IF(OR(calendar[[#This Row],[PT_BH]]=1,calendar[[#This Row],[WeekDay]]=1, calendar[[#This Row],[WeekDay]]=7),P287,P287+1)</f>
        <v>205</v>
      </c>
    </row>
    <row r="289" spans="1:19" x14ac:dyDescent="0.25">
      <c r="A289" s="2">
        <v>43023</v>
      </c>
      <c r="B289" s="1">
        <f t="shared" si="23"/>
        <v>42</v>
      </c>
      <c r="C289">
        <f t="shared" si="25"/>
        <v>10</v>
      </c>
      <c r="D289" t="str">
        <f t="shared" si="26"/>
        <v>October</v>
      </c>
      <c r="E289">
        <f t="shared" si="27"/>
        <v>2017</v>
      </c>
      <c r="F289" t="str">
        <f>CONCATENATE(calendar[[#This Row],[Month]],"/",calendar[[#This Row],[Year]])</f>
        <v>10/2017</v>
      </c>
      <c r="G289">
        <f>WEEKDAY(calendar[[#This Row],[Date]],1)</f>
        <v>1</v>
      </c>
      <c r="H289" t="str">
        <f>TEXT(calendar[[#This Row],[WeekDay]],"dddd")</f>
        <v>Sunday</v>
      </c>
      <c r="I289">
        <f>IF((INT(calendar[[#This Row],[Count]]/7)-calendar[[#This Row],[Count]]/7)&lt;0,I288,I288+1)</f>
        <v>42</v>
      </c>
      <c r="J289">
        <f t="shared" si="24"/>
        <v>287</v>
      </c>
      <c r="K289">
        <f>IF(calendar[[#This Row],[Month]]&lt;4,1,IF(calendar[[#This Row],[Month]]&lt;7,2,IF(calendar[[#This Row],[Month]]&lt;10,3,4)))</f>
        <v>4</v>
      </c>
      <c r="L289">
        <f>IFERROR(IF(VLOOKUP(calendar[[#This Row],[Date]],BH!A:A,1,)&lt;&gt;"",1,0),0)</f>
        <v>0</v>
      </c>
      <c r="M289">
        <f>IFERROR(IF(VLOOKUP(calendar[[#This Row],[Date]],BH!C:C,1,)&lt;&gt;"",1,0),0)</f>
        <v>0</v>
      </c>
      <c r="N289">
        <f>IFERROR(IF(VLOOKUP(calendar[[#This Row],[Date]],BH!E:E,1,)&lt;&gt;"",1,0),0)</f>
        <v>0</v>
      </c>
      <c r="O289">
        <f>IFERROR(IF(VLOOKUP(calendar[[#This Row],[Date]],BH!G:G,1,)&lt;&gt;"",1,0),0)</f>
        <v>0</v>
      </c>
      <c r="P289">
        <f>IF(OR(calendar[[#This Row],[UK_BH]]=1,calendar[[#This Row],[WeekDay]]=1, calendar[[#This Row],[WeekDay]]=7),P288,P288+1)</f>
        <v>205</v>
      </c>
      <c r="Q289">
        <f>IF(OR(calendar[[#This Row],[FR_BH]]=1,calendar[[#This Row],[WeekDay]]=1, calendar[[#This Row],[WeekDay]]=7),P288,P288+1)</f>
        <v>205</v>
      </c>
      <c r="R289">
        <f>IF(OR(calendar[[#This Row],[SP_BH]]=1,calendar[[#This Row],[WeekDay]]=1, calendar[[#This Row],[WeekDay]]=7),P288,P288+1)</f>
        <v>205</v>
      </c>
      <c r="S289">
        <f>IF(OR(calendar[[#This Row],[PT_BH]]=1,calendar[[#This Row],[WeekDay]]=1, calendar[[#This Row],[WeekDay]]=7),P288,P288+1)</f>
        <v>205</v>
      </c>
    </row>
    <row r="290" spans="1:19" x14ac:dyDescent="0.25">
      <c r="A290" s="2">
        <v>43024</v>
      </c>
      <c r="B290" s="1">
        <f t="shared" si="23"/>
        <v>42</v>
      </c>
      <c r="C290">
        <f t="shared" si="25"/>
        <v>10</v>
      </c>
      <c r="D290" t="str">
        <f t="shared" si="26"/>
        <v>October</v>
      </c>
      <c r="E290">
        <f t="shared" si="27"/>
        <v>2017</v>
      </c>
      <c r="F290" t="str">
        <f>CONCATENATE(calendar[[#This Row],[Month]],"/",calendar[[#This Row],[Year]])</f>
        <v>10/2017</v>
      </c>
      <c r="G290">
        <f>WEEKDAY(calendar[[#This Row],[Date]],1)</f>
        <v>2</v>
      </c>
      <c r="H290" t="str">
        <f>TEXT(calendar[[#This Row],[WeekDay]],"dddd")</f>
        <v>Monday</v>
      </c>
      <c r="I290">
        <f>IF((INT(calendar[[#This Row],[Count]]/7)-calendar[[#This Row],[Count]]/7)&lt;0,I289,I289+1)</f>
        <v>42</v>
      </c>
      <c r="J290">
        <f t="shared" si="24"/>
        <v>288</v>
      </c>
      <c r="K290">
        <f>IF(calendar[[#This Row],[Month]]&lt;4,1,IF(calendar[[#This Row],[Month]]&lt;7,2,IF(calendar[[#This Row],[Month]]&lt;10,3,4)))</f>
        <v>4</v>
      </c>
      <c r="L290">
        <f>IFERROR(IF(VLOOKUP(calendar[[#This Row],[Date]],BH!A:A,1,)&lt;&gt;"",1,0),0)</f>
        <v>0</v>
      </c>
      <c r="M290">
        <f>IFERROR(IF(VLOOKUP(calendar[[#This Row],[Date]],BH!C:C,1,)&lt;&gt;"",1,0),0)</f>
        <v>0</v>
      </c>
      <c r="N290">
        <f>IFERROR(IF(VLOOKUP(calendar[[#This Row],[Date]],BH!E:E,1,)&lt;&gt;"",1,0),0)</f>
        <v>0</v>
      </c>
      <c r="O290">
        <f>IFERROR(IF(VLOOKUP(calendar[[#This Row],[Date]],BH!G:G,1,)&lt;&gt;"",1,0),0)</f>
        <v>0</v>
      </c>
      <c r="P290">
        <f>IF(OR(calendar[[#This Row],[UK_BH]]=1,calendar[[#This Row],[WeekDay]]=1, calendar[[#This Row],[WeekDay]]=7),P289,P289+1)</f>
        <v>206</v>
      </c>
      <c r="Q290">
        <f>IF(OR(calendar[[#This Row],[FR_BH]]=1,calendar[[#This Row],[WeekDay]]=1, calendar[[#This Row],[WeekDay]]=7),P289,P289+1)</f>
        <v>206</v>
      </c>
      <c r="R290">
        <f>IF(OR(calendar[[#This Row],[SP_BH]]=1,calendar[[#This Row],[WeekDay]]=1, calendar[[#This Row],[WeekDay]]=7),P289,P289+1)</f>
        <v>206</v>
      </c>
      <c r="S290">
        <f>IF(OR(calendar[[#This Row],[PT_BH]]=1,calendar[[#This Row],[WeekDay]]=1, calendar[[#This Row],[WeekDay]]=7),P289,P289+1)</f>
        <v>206</v>
      </c>
    </row>
    <row r="291" spans="1:19" x14ac:dyDescent="0.25">
      <c r="A291" s="2">
        <v>43025</v>
      </c>
      <c r="B291" s="1">
        <f t="shared" si="23"/>
        <v>42</v>
      </c>
      <c r="C291">
        <f t="shared" si="25"/>
        <v>10</v>
      </c>
      <c r="D291" t="str">
        <f t="shared" si="26"/>
        <v>October</v>
      </c>
      <c r="E291">
        <f t="shared" si="27"/>
        <v>2017</v>
      </c>
      <c r="F291" t="str">
        <f>CONCATENATE(calendar[[#This Row],[Month]],"/",calendar[[#This Row],[Year]])</f>
        <v>10/2017</v>
      </c>
      <c r="G291">
        <f>WEEKDAY(calendar[[#This Row],[Date]],1)</f>
        <v>3</v>
      </c>
      <c r="H291" t="str">
        <f>TEXT(calendar[[#This Row],[WeekDay]],"dddd")</f>
        <v>Tuesday</v>
      </c>
      <c r="I291">
        <f>IF((INT(calendar[[#This Row],[Count]]/7)-calendar[[#This Row],[Count]]/7)&lt;0,I290,I290+1)</f>
        <v>42</v>
      </c>
      <c r="J291">
        <f t="shared" si="24"/>
        <v>289</v>
      </c>
      <c r="K291">
        <f>IF(calendar[[#This Row],[Month]]&lt;4,1,IF(calendar[[#This Row],[Month]]&lt;7,2,IF(calendar[[#This Row],[Month]]&lt;10,3,4)))</f>
        <v>4</v>
      </c>
      <c r="L291">
        <f>IFERROR(IF(VLOOKUP(calendar[[#This Row],[Date]],BH!A:A,1,)&lt;&gt;"",1,0),0)</f>
        <v>0</v>
      </c>
      <c r="M291">
        <f>IFERROR(IF(VLOOKUP(calendar[[#This Row],[Date]],BH!C:C,1,)&lt;&gt;"",1,0),0)</f>
        <v>0</v>
      </c>
      <c r="N291">
        <f>IFERROR(IF(VLOOKUP(calendar[[#This Row],[Date]],BH!E:E,1,)&lt;&gt;"",1,0),0)</f>
        <v>0</v>
      </c>
      <c r="O291">
        <f>IFERROR(IF(VLOOKUP(calendar[[#This Row],[Date]],BH!G:G,1,)&lt;&gt;"",1,0),0)</f>
        <v>0</v>
      </c>
      <c r="P291">
        <f>IF(OR(calendar[[#This Row],[UK_BH]]=1,calendar[[#This Row],[WeekDay]]=1, calendar[[#This Row],[WeekDay]]=7),P290,P290+1)</f>
        <v>207</v>
      </c>
      <c r="Q291">
        <f>IF(OR(calendar[[#This Row],[FR_BH]]=1,calendar[[#This Row],[WeekDay]]=1, calendar[[#This Row],[WeekDay]]=7),P290,P290+1)</f>
        <v>207</v>
      </c>
      <c r="R291">
        <f>IF(OR(calendar[[#This Row],[SP_BH]]=1,calendar[[#This Row],[WeekDay]]=1, calendar[[#This Row],[WeekDay]]=7),P290,P290+1)</f>
        <v>207</v>
      </c>
      <c r="S291">
        <f>IF(OR(calendar[[#This Row],[PT_BH]]=1,calendar[[#This Row],[WeekDay]]=1, calendar[[#This Row],[WeekDay]]=7),P290,P290+1)</f>
        <v>207</v>
      </c>
    </row>
    <row r="292" spans="1:19" x14ac:dyDescent="0.25">
      <c r="A292" s="2">
        <v>43026</v>
      </c>
      <c r="B292" s="1">
        <f t="shared" si="23"/>
        <v>42</v>
      </c>
      <c r="C292">
        <f t="shared" si="25"/>
        <v>10</v>
      </c>
      <c r="D292" t="str">
        <f t="shared" si="26"/>
        <v>October</v>
      </c>
      <c r="E292">
        <f t="shared" si="27"/>
        <v>2017</v>
      </c>
      <c r="F292" t="str">
        <f>CONCATENATE(calendar[[#This Row],[Month]],"/",calendar[[#This Row],[Year]])</f>
        <v>10/2017</v>
      </c>
      <c r="G292">
        <f>WEEKDAY(calendar[[#This Row],[Date]],1)</f>
        <v>4</v>
      </c>
      <c r="H292" t="str">
        <f>TEXT(calendar[[#This Row],[WeekDay]],"dddd")</f>
        <v>Wednesday</v>
      </c>
      <c r="I292">
        <f>IF((INT(calendar[[#This Row],[Count]]/7)-calendar[[#This Row],[Count]]/7)&lt;0,I291,I291+1)</f>
        <v>42</v>
      </c>
      <c r="J292">
        <f t="shared" si="24"/>
        <v>290</v>
      </c>
      <c r="K292">
        <f>IF(calendar[[#This Row],[Month]]&lt;4,1,IF(calendar[[#This Row],[Month]]&lt;7,2,IF(calendar[[#This Row],[Month]]&lt;10,3,4)))</f>
        <v>4</v>
      </c>
      <c r="L292">
        <f>IFERROR(IF(VLOOKUP(calendar[[#This Row],[Date]],BH!A:A,1,)&lt;&gt;"",1,0),0)</f>
        <v>0</v>
      </c>
      <c r="M292">
        <f>IFERROR(IF(VLOOKUP(calendar[[#This Row],[Date]],BH!C:C,1,)&lt;&gt;"",1,0),0)</f>
        <v>0</v>
      </c>
      <c r="N292">
        <f>IFERROR(IF(VLOOKUP(calendar[[#This Row],[Date]],BH!E:E,1,)&lt;&gt;"",1,0),0)</f>
        <v>0</v>
      </c>
      <c r="O292">
        <f>IFERROR(IF(VLOOKUP(calendar[[#This Row],[Date]],BH!G:G,1,)&lt;&gt;"",1,0),0)</f>
        <v>0</v>
      </c>
      <c r="P292">
        <f>IF(OR(calendar[[#This Row],[UK_BH]]=1,calendar[[#This Row],[WeekDay]]=1, calendar[[#This Row],[WeekDay]]=7),P291,P291+1)</f>
        <v>208</v>
      </c>
      <c r="Q292">
        <f>IF(OR(calendar[[#This Row],[FR_BH]]=1,calendar[[#This Row],[WeekDay]]=1, calendar[[#This Row],[WeekDay]]=7),P291,P291+1)</f>
        <v>208</v>
      </c>
      <c r="R292">
        <f>IF(OR(calendar[[#This Row],[SP_BH]]=1,calendar[[#This Row],[WeekDay]]=1, calendar[[#This Row],[WeekDay]]=7),P291,P291+1)</f>
        <v>208</v>
      </c>
      <c r="S292">
        <f>IF(OR(calendar[[#This Row],[PT_BH]]=1,calendar[[#This Row],[WeekDay]]=1, calendar[[#This Row],[WeekDay]]=7),P291,P291+1)</f>
        <v>208</v>
      </c>
    </row>
    <row r="293" spans="1:19" x14ac:dyDescent="0.25">
      <c r="A293" s="2">
        <v>43027</v>
      </c>
      <c r="B293" s="1">
        <f t="shared" si="23"/>
        <v>42</v>
      </c>
      <c r="C293">
        <f t="shared" si="25"/>
        <v>10</v>
      </c>
      <c r="D293" t="str">
        <f t="shared" si="26"/>
        <v>October</v>
      </c>
      <c r="E293">
        <f t="shared" si="27"/>
        <v>2017</v>
      </c>
      <c r="F293" t="str">
        <f>CONCATENATE(calendar[[#This Row],[Month]],"/",calendar[[#This Row],[Year]])</f>
        <v>10/2017</v>
      </c>
      <c r="G293">
        <f>WEEKDAY(calendar[[#This Row],[Date]],1)</f>
        <v>5</v>
      </c>
      <c r="H293" t="str">
        <f>TEXT(calendar[[#This Row],[WeekDay]],"dddd")</f>
        <v>Thursday</v>
      </c>
      <c r="I293">
        <f>IF((INT(calendar[[#This Row],[Count]]/7)-calendar[[#This Row],[Count]]/7)&lt;0,I292,I292+1)</f>
        <v>42</v>
      </c>
      <c r="J293">
        <f t="shared" si="24"/>
        <v>291</v>
      </c>
      <c r="K293">
        <f>IF(calendar[[#This Row],[Month]]&lt;4,1,IF(calendar[[#This Row],[Month]]&lt;7,2,IF(calendar[[#This Row],[Month]]&lt;10,3,4)))</f>
        <v>4</v>
      </c>
      <c r="L293">
        <f>IFERROR(IF(VLOOKUP(calendar[[#This Row],[Date]],BH!A:A,1,)&lt;&gt;"",1,0),0)</f>
        <v>0</v>
      </c>
      <c r="M293">
        <f>IFERROR(IF(VLOOKUP(calendar[[#This Row],[Date]],BH!C:C,1,)&lt;&gt;"",1,0),0)</f>
        <v>0</v>
      </c>
      <c r="N293">
        <f>IFERROR(IF(VLOOKUP(calendar[[#This Row],[Date]],BH!E:E,1,)&lt;&gt;"",1,0),0)</f>
        <v>0</v>
      </c>
      <c r="O293">
        <f>IFERROR(IF(VLOOKUP(calendar[[#This Row],[Date]],BH!G:G,1,)&lt;&gt;"",1,0),0)</f>
        <v>0</v>
      </c>
      <c r="P293">
        <f>IF(OR(calendar[[#This Row],[UK_BH]]=1,calendar[[#This Row],[WeekDay]]=1, calendar[[#This Row],[WeekDay]]=7),P292,P292+1)</f>
        <v>209</v>
      </c>
      <c r="Q293">
        <f>IF(OR(calendar[[#This Row],[FR_BH]]=1,calendar[[#This Row],[WeekDay]]=1, calendar[[#This Row],[WeekDay]]=7),P292,P292+1)</f>
        <v>209</v>
      </c>
      <c r="R293">
        <f>IF(OR(calendar[[#This Row],[SP_BH]]=1,calendar[[#This Row],[WeekDay]]=1, calendar[[#This Row],[WeekDay]]=7),P292,P292+1)</f>
        <v>209</v>
      </c>
      <c r="S293">
        <f>IF(OR(calendar[[#This Row],[PT_BH]]=1,calendar[[#This Row],[WeekDay]]=1, calendar[[#This Row],[WeekDay]]=7),P292,P292+1)</f>
        <v>209</v>
      </c>
    </row>
    <row r="294" spans="1:19" x14ac:dyDescent="0.25">
      <c r="A294" s="2">
        <v>43028</v>
      </c>
      <c r="B294" s="1">
        <f t="shared" si="23"/>
        <v>42</v>
      </c>
      <c r="C294">
        <f t="shared" si="25"/>
        <v>10</v>
      </c>
      <c r="D294" t="str">
        <f t="shared" si="26"/>
        <v>October</v>
      </c>
      <c r="E294">
        <f t="shared" si="27"/>
        <v>2017</v>
      </c>
      <c r="F294" t="str">
        <f>CONCATENATE(calendar[[#This Row],[Month]],"/",calendar[[#This Row],[Year]])</f>
        <v>10/2017</v>
      </c>
      <c r="G294">
        <f>WEEKDAY(calendar[[#This Row],[Date]],1)</f>
        <v>6</v>
      </c>
      <c r="H294" t="str">
        <f>TEXT(calendar[[#This Row],[WeekDay]],"dddd")</f>
        <v>Friday</v>
      </c>
      <c r="I294">
        <f>IF((INT(calendar[[#This Row],[Count]]/7)-calendar[[#This Row],[Count]]/7)&lt;0,I293,I293+1)</f>
        <v>42</v>
      </c>
      <c r="J294">
        <f t="shared" si="24"/>
        <v>292</v>
      </c>
      <c r="K294">
        <f>IF(calendar[[#This Row],[Month]]&lt;4,1,IF(calendar[[#This Row],[Month]]&lt;7,2,IF(calendar[[#This Row],[Month]]&lt;10,3,4)))</f>
        <v>4</v>
      </c>
      <c r="L294">
        <f>IFERROR(IF(VLOOKUP(calendar[[#This Row],[Date]],BH!A:A,1,)&lt;&gt;"",1,0),0)</f>
        <v>0</v>
      </c>
      <c r="M294">
        <f>IFERROR(IF(VLOOKUP(calendar[[#This Row],[Date]],BH!C:C,1,)&lt;&gt;"",1,0),0)</f>
        <v>0</v>
      </c>
      <c r="N294">
        <f>IFERROR(IF(VLOOKUP(calendar[[#This Row],[Date]],BH!E:E,1,)&lt;&gt;"",1,0),0)</f>
        <v>0</v>
      </c>
      <c r="O294">
        <f>IFERROR(IF(VLOOKUP(calendar[[#This Row],[Date]],BH!G:G,1,)&lt;&gt;"",1,0),0)</f>
        <v>0</v>
      </c>
      <c r="P294">
        <f>IF(OR(calendar[[#This Row],[UK_BH]]=1,calendar[[#This Row],[WeekDay]]=1, calendar[[#This Row],[WeekDay]]=7),P293,P293+1)</f>
        <v>210</v>
      </c>
      <c r="Q294">
        <f>IF(OR(calendar[[#This Row],[FR_BH]]=1,calendar[[#This Row],[WeekDay]]=1, calendar[[#This Row],[WeekDay]]=7),P293,P293+1)</f>
        <v>210</v>
      </c>
      <c r="R294">
        <f>IF(OR(calendar[[#This Row],[SP_BH]]=1,calendar[[#This Row],[WeekDay]]=1, calendar[[#This Row],[WeekDay]]=7),P293,P293+1)</f>
        <v>210</v>
      </c>
      <c r="S294">
        <f>IF(OR(calendar[[#This Row],[PT_BH]]=1,calendar[[#This Row],[WeekDay]]=1, calendar[[#This Row],[WeekDay]]=7),P293,P293+1)</f>
        <v>210</v>
      </c>
    </row>
    <row r="295" spans="1:19" x14ac:dyDescent="0.25">
      <c r="A295" s="2">
        <v>43029</v>
      </c>
      <c r="B295" s="1">
        <f t="shared" si="23"/>
        <v>42</v>
      </c>
      <c r="C295">
        <f t="shared" si="25"/>
        <v>10</v>
      </c>
      <c r="D295" t="str">
        <f t="shared" si="26"/>
        <v>October</v>
      </c>
      <c r="E295">
        <f t="shared" si="27"/>
        <v>2017</v>
      </c>
      <c r="F295" t="str">
        <f>CONCATENATE(calendar[[#This Row],[Month]],"/",calendar[[#This Row],[Year]])</f>
        <v>10/2017</v>
      </c>
      <c r="G295">
        <f>WEEKDAY(calendar[[#This Row],[Date]],1)</f>
        <v>7</v>
      </c>
      <c r="H295" t="str">
        <f>TEXT(calendar[[#This Row],[WeekDay]],"dddd")</f>
        <v>Saturday</v>
      </c>
      <c r="I295">
        <f>IF((INT(calendar[[#This Row],[Count]]/7)-calendar[[#This Row],[Count]]/7)&lt;0,I294,I294+1)</f>
        <v>42</v>
      </c>
      <c r="J295">
        <f t="shared" si="24"/>
        <v>293</v>
      </c>
      <c r="K295">
        <f>IF(calendar[[#This Row],[Month]]&lt;4,1,IF(calendar[[#This Row],[Month]]&lt;7,2,IF(calendar[[#This Row],[Month]]&lt;10,3,4)))</f>
        <v>4</v>
      </c>
      <c r="L295">
        <f>IFERROR(IF(VLOOKUP(calendar[[#This Row],[Date]],BH!A:A,1,)&lt;&gt;"",1,0),0)</f>
        <v>0</v>
      </c>
      <c r="M295">
        <f>IFERROR(IF(VLOOKUP(calendar[[#This Row],[Date]],BH!C:C,1,)&lt;&gt;"",1,0),0)</f>
        <v>0</v>
      </c>
      <c r="N295">
        <f>IFERROR(IF(VLOOKUP(calendar[[#This Row],[Date]],BH!E:E,1,)&lt;&gt;"",1,0),0)</f>
        <v>0</v>
      </c>
      <c r="O295">
        <f>IFERROR(IF(VLOOKUP(calendar[[#This Row],[Date]],BH!G:G,1,)&lt;&gt;"",1,0),0)</f>
        <v>0</v>
      </c>
      <c r="P295">
        <f>IF(OR(calendar[[#This Row],[UK_BH]]=1,calendar[[#This Row],[WeekDay]]=1, calendar[[#This Row],[WeekDay]]=7),P294,P294+1)</f>
        <v>210</v>
      </c>
      <c r="Q295">
        <f>IF(OR(calendar[[#This Row],[FR_BH]]=1,calendar[[#This Row],[WeekDay]]=1, calendar[[#This Row],[WeekDay]]=7),P294,P294+1)</f>
        <v>210</v>
      </c>
      <c r="R295">
        <f>IF(OR(calendar[[#This Row],[SP_BH]]=1,calendar[[#This Row],[WeekDay]]=1, calendar[[#This Row],[WeekDay]]=7),P294,P294+1)</f>
        <v>210</v>
      </c>
      <c r="S295">
        <f>IF(OR(calendar[[#This Row],[PT_BH]]=1,calendar[[#This Row],[WeekDay]]=1, calendar[[#This Row],[WeekDay]]=7),P294,P294+1)</f>
        <v>210</v>
      </c>
    </row>
    <row r="296" spans="1:19" x14ac:dyDescent="0.25">
      <c r="A296" s="2">
        <v>43030</v>
      </c>
      <c r="B296" s="1">
        <f t="shared" si="23"/>
        <v>43</v>
      </c>
      <c r="C296">
        <f t="shared" si="25"/>
        <v>10</v>
      </c>
      <c r="D296" t="str">
        <f t="shared" si="26"/>
        <v>October</v>
      </c>
      <c r="E296">
        <f t="shared" si="27"/>
        <v>2017</v>
      </c>
      <c r="F296" t="str">
        <f>CONCATENATE(calendar[[#This Row],[Month]],"/",calendar[[#This Row],[Year]])</f>
        <v>10/2017</v>
      </c>
      <c r="G296">
        <f>WEEKDAY(calendar[[#This Row],[Date]],1)</f>
        <v>1</v>
      </c>
      <c r="H296" t="str">
        <f>TEXT(calendar[[#This Row],[WeekDay]],"dddd")</f>
        <v>Sunday</v>
      </c>
      <c r="I296">
        <f>IF((INT(calendar[[#This Row],[Count]]/7)-calendar[[#This Row],[Count]]/7)&lt;0,I295,I295+1)</f>
        <v>43</v>
      </c>
      <c r="J296">
        <f t="shared" si="24"/>
        <v>294</v>
      </c>
      <c r="K296">
        <f>IF(calendar[[#This Row],[Month]]&lt;4,1,IF(calendar[[#This Row],[Month]]&lt;7,2,IF(calendar[[#This Row],[Month]]&lt;10,3,4)))</f>
        <v>4</v>
      </c>
      <c r="L296">
        <f>IFERROR(IF(VLOOKUP(calendar[[#This Row],[Date]],BH!A:A,1,)&lt;&gt;"",1,0),0)</f>
        <v>0</v>
      </c>
      <c r="M296">
        <f>IFERROR(IF(VLOOKUP(calendar[[#This Row],[Date]],BH!C:C,1,)&lt;&gt;"",1,0),0)</f>
        <v>0</v>
      </c>
      <c r="N296">
        <f>IFERROR(IF(VLOOKUP(calendar[[#This Row],[Date]],BH!E:E,1,)&lt;&gt;"",1,0),0)</f>
        <v>0</v>
      </c>
      <c r="O296">
        <f>IFERROR(IF(VLOOKUP(calendar[[#This Row],[Date]],BH!G:G,1,)&lt;&gt;"",1,0),0)</f>
        <v>0</v>
      </c>
      <c r="P296">
        <f>IF(OR(calendar[[#This Row],[UK_BH]]=1,calendar[[#This Row],[WeekDay]]=1, calendar[[#This Row],[WeekDay]]=7),P295,P295+1)</f>
        <v>210</v>
      </c>
      <c r="Q296">
        <f>IF(OR(calendar[[#This Row],[FR_BH]]=1,calendar[[#This Row],[WeekDay]]=1, calendar[[#This Row],[WeekDay]]=7),P295,P295+1)</f>
        <v>210</v>
      </c>
      <c r="R296">
        <f>IF(OR(calendar[[#This Row],[SP_BH]]=1,calendar[[#This Row],[WeekDay]]=1, calendar[[#This Row],[WeekDay]]=7),P295,P295+1)</f>
        <v>210</v>
      </c>
      <c r="S296">
        <f>IF(OR(calendar[[#This Row],[PT_BH]]=1,calendar[[#This Row],[WeekDay]]=1, calendar[[#This Row],[WeekDay]]=7),P295,P295+1)</f>
        <v>210</v>
      </c>
    </row>
    <row r="297" spans="1:19" x14ac:dyDescent="0.25">
      <c r="A297" s="2">
        <v>43031</v>
      </c>
      <c r="B297" s="1">
        <f t="shared" si="23"/>
        <v>43</v>
      </c>
      <c r="C297">
        <f t="shared" si="25"/>
        <v>10</v>
      </c>
      <c r="D297" t="str">
        <f t="shared" si="26"/>
        <v>October</v>
      </c>
      <c r="E297">
        <f t="shared" si="27"/>
        <v>2017</v>
      </c>
      <c r="F297" t="str">
        <f>CONCATENATE(calendar[[#This Row],[Month]],"/",calendar[[#This Row],[Year]])</f>
        <v>10/2017</v>
      </c>
      <c r="G297">
        <f>WEEKDAY(calendar[[#This Row],[Date]],1)</f>
        <v>2</v>
      </c>
      <c r="H297" t="str">
        <f>TEXT(calendar[[#This Row],[WeekDay]],"dddd")</f>
        <v>Monday</v>
      </c>
      <c r="I297">
        <f>IF((INT(calendar[[#This Row],[Count]]/7)-calendar[[#This Row],[Count]]/7)&lt;0,I296,I296+1)</f>
        <v>43</v>
      </c>
      <c r="J297">
        <f t="shared" si="24"/>
        <v>295</v>
      </c>
      <c r="K297">
        <f>IF(calendar[[#This Row],[Month]]&lt;4,1,IF(calendar[[#This Row],[Month]]&lt;7,2,IF(calendar[[#This Row],[Month]]&lt;10,3,4)))</f>
        <v>4</v>
      </c>
      <c r="L297">
        <f>IFERROR(IF(VLOOKUP(calendar[[#This Row],[Date]],BH!A:A,1,)&lt;&gt;"",1,0),0)</f>
        <v>0</v>
      </c>
      <c r="M297">
        <f>IFERROR(IF(VLOOKUP(calendar[[#This Row],[Date]],BH!C:C,1,)&lt;&gt;"",1,0),0)</f>
        <v>0</v>
      </c>
      <c r="N297">
        <f>IFERROR(IF(VLOOKUP(calendar[[#This Row],[Date]],BH!E:E,1,)&lt;&gt;"",1,0),0)</f>
        <v>0</v>
      </c>
      <c r="O297">
        <f>IFERROR(IF(VLOOKUP(calendar[[#This Row],[Date]],BH!G:G,1,)&lt;&gt;"",1,0),0)</f>
        <v>0</v>
      </c>
      <c r="P297">
        <f>IF(OR(calendar[[#This Row],[UK_BH]]=1,calendar[[#This Row],[WeekDay]]=1, calendar[[#This Row],[WeekDay]]=7),P296,P296+1)</f>
        <v>211</v>
      </c>
      <c r="Q297">
        <f>IF(OR(calendar[[#This Row],[FR_BH]]=1,calendar[[#This Row],[WeekDay]]=1, calendar[[#This Row],[WeekDay]]=7),P296,P296+1)</f>
        <v>211</v>
      </c>
      <c r="R297">
        <f>IF(OR(calendar[[#This Row],[SP_BH]]=1,calendar[[#This Row],[WeekDay]]=1, calendar[[#This Row],[WeekDay]]=7),P296,P296+1)</f>
        <v>211</v>
      </c>
      <c r="S297">
        <f>IF(OR(calendar[[#This Row],[PT_BH]]=1,calendar[[#This Row],[WeekDay]]=1, calendar[[#This Row],[WeekDay]]=7),P296,P296+1)</f>
        <v>211</v>
      </c>
    </row>
    <row r="298" spans="1:19" x14ac:dyDescent="0.25">
      <c r="A298" s="2">
        <v>43032</v>
      </c>
      <c r="B298" s="1">
        <f t="shared" si="23"/>
        <v>43</v>
      </c>
      <c r="C298">
        <f t="shared" si="25"/>
        <v>10</v>
      </c>
      <c r="D298" t="str">
        <f t="shared" si="26"/>
        <v>October</v>
      </c>
      <c r="E298">
        <f t="shared" si="27"/>
        <v>2017</v>
      </c>
      <c r="F298" t="str">
        <f>CONCATENATE(calendar[[#This Row],[Month]],"/",calendar[[#This Row],[Year]])</f>
        <v>10/2017</v>
      </c>
      <c r="G298">
        <f>WEEKDAY(calendar[[#This Row],[Date]],1)</f>
        <v>3</v>
      </c>
      <c r="H298" t="str">
        <f>TEXT(calendar[[#This Row],[WeekDay]],"dddd")</f>
        <v>Tuesday</v>
      </c>
      <c r="I298">
        <f>IF((INT(calendar[[#This Row],[Count]]/7)-calendar[[#This Row],[Count]]/7)&lt;0,I297,I297+1)</f>
        <v>43</v>
      </c>
      <c r="J298">
        <f t="shared" si="24"/>
        <v>296</v>
      </c>
      <c r="K298">
        <f>IF(calendar[[#This Row],[Month]]&lt;4,1,IF(calendar[[#This Row],[Month]]&lt;7,2,IF(calendar[[#This Row],[Month]]&lt;10,3,4)))</f>
        <v>4</v>
      </c>
      <c r="L298">
        <f>IFERROR(IF(VLOOKUP(calendar[[#This Row],[Date]],BH!A:A,1,)&lt;&gt;"",1,0),0)</f>
        <v>0</v>
      </c>
      <c r="M298">
        <f>IFERROR(IF(VLOOKUP(calendar[[#This Row],[Date]],BH!C:C,1,)&lt;&gt;"",1,0),0)</f>
        <v>0</v>
      </c>
      <c r="N298">
        <f>IFERROR(IF(VLOOKUP(calendar[[#This Row],[Date]],BH!E:E,1,)&lt;&gt;"",1,0),0)</f>
        <v>0</v>
      </c>
      <c r="O298">
        <f>IFERROR(IF(VLOOKUP(calendar[[#This Row],[Date]],BH!G:G,1,)&lt;&gt;"",1,0),0)</f>
        <v>0</v>
      </c>
      <c r="P298">
        <f>IF(OR(calendar[[#This Row],[UK_BH]]=1,calendar[[#This Row],[WeekDay]]=1, calendar[[#This Row],[WeekDay]]=7),P297,P297+1)</f>
        <v>212</v>
      </c>
      <c r="Q298">
        <f>IF(OR(calendar[[#This Row],[FR_BH]]=1,calendar[[#This Row],[WeekDay]]=1, calendar[[#This Row],[WeekDay]]=7),P297,P297+1)</f>
        <v>212</v>
      </c>
      <c r="R298">
        <f>IF(OR(calendar[[#This Row],[SP_BH]]=1,calendar[[#This Row],[WeekDay]]=1, calendar[[#This Row],[WeekDay]]=7),P297,P297+1)</f>
        <v>212</v>
      </c>
      <c r="S298">
        <f>IF(OR(calendar[[#This Row],[PT_BH]]=1,calendar[[#This Row],[WeekDay]]=1, calendar[[#This Row],[WeekDay]]=7),P297,P297+1)</f>
        <v>212</v>
      </c>
    </row>
    <row r="299" spans="1:19" x14ac:dyDescent="0.25">
      <c r="A299" s="2">
        <v>43033</v>
      </c>
      <c r="B299" s="1">
        <f t="shared" si="23"/>
        <v>43</v>
      </c>
      <c r="C299">
        <f t="shared" si="25"/>
        <v>10</v>
      </c>
      <c r="D299" t="str">
        <f t="shared" si="26"/>
        <v>October</v>
      </c>
      <c r="E299">
        <f t="shared" si="27"/>
        <v>2017</v>
      </c>
      <c r="F299" t="str">
        <f>CONCATENATE(calendar[[#This Row],[Month]],"/",calendar[[#This Row],[Year]])</f>
        <v>10/2017</v>
      </c>
      <c r="G299">
        <f>WEEKDAY(calendar[[#This Row],[Date]],1)</f>
        <v>4</v>
      </c>
      <c r="H299" t="str">
        <f>TEXT(calendar[[#This Row],[WeekDay]],"dddd")</f>
        <v>Wednesday</v>
      </c>
      <c r="I299">
        <f>IF((INT(calendar[[#This Row],[Count]]/7)-calendar[[#This Row],[Count]]/7)&lt;0,I298,I298+1)</f>
        <v>43</v>
      </c>
      <c r="J299">
        <f t="shared" si="24"/>
        <v>297</v>
      </c>
      <c r="K299">
        <f>IF(calendar[[#This Row],[Month]]&lt;4,1,IF(calendar[[#This Row],[Month]]&lt;7,2,IF(calendar[[#This Row],[Month]]&lt;10,3,4)))</f>
        <v>4</v>
      </c>
      <c r="L299">
        <f>IFERROR(IF(VLOOKUP(calendar[[#This Row],[Date]],BH!A:A,1,)&lt;&gt;"",1,0),0)</f>
        <v>0</v>
      </c>
      <c r="M299">
        <f>IFERROR(IF(VLOOKUP(calendar[[#This Row],[Date]],BH!C:C,1,)&lt;&gt;"",1,0),0)</f>
        <v>0</v>
      </c>
      <c r="N299">
        <f>IFERROR(IF(VLOOKUP(calendar[[#This Row],[Date]],BH!E:E,1,)&lt;&gt;"",1,0),0)</f>
        <v>0</v>
      </c>
      <c r="O299">
        <f>IFERROR(IF(VLOOKUP(calendar[[#This Row],[Date]],BH!G:G,1,)&lt;&gt;"",1,0),0)</f>
        <v>0</v>
      </c>
      <c r="P299">
        <f>IF(OR(calendar[[#This Row],[UK_BH]]=1,calendar[[#This Row],[WeekDay]]=1, calendar[[#This Row],[WeekDay]]=7),P298,P298+1)</f>
        <v>213</v>
      </c>
      <c r="Q299">
        <f>IF(OR(calendar[[#This Row],[FR_BH]]=1,calendar[[#This Row],[WeekDay]]=1, calendar[[#This Row],[WeekDay]]=7),P298,P298+1)</f>
        <v>213</v>
      </c>
      <c r="R299">
        <f>IF(OR(calendar[[#This Row],[SP_BH]]=1,calendar[[#This Row],[WeekDay]]=1, calendar[[#This Row],[WeekDay]]=7),P298,P298+1)</f>
        <v>213</v>
      </c>
      <c r="S299">
        <f>IF(OR(calendar[[#This Row],[PT_BH]]=1,calendar[[#This Row],[WeekDay]]=1, calendar[[#This Row],[WeekDay]]=7),P298,P298+1)</f>
        <v>213</v>
      </c>
    </row>
    <row r="300" spans="1:19" x14ac:dyDescent="0.25">
      <c r="A300" s="2">
        <v>43034</v>
      </c>
      <c r="B300" s="1">
        <f t="shared" si="23"/>
        <v>43</v>
      </c>
      <c r="C300">
        <f t="shared" si="25"/>
        <v>10</v>
      </c>
      <c r="D300" t="str">
        <f t="shared" si="26"/>
        <v>October</v>
      </c>
      <c r="E300">
        <f t="shared" si="27"/>
        <v>2017</v>
      </c>
      <c r="F300" t="str">
        <f>CONCATENATE(calendar[[#This Row],[Month]],"/",calendar[[#This Row],[Year]])</f>
        <v>10/2017</v>
      </c>
      <c r="G300">
        <f>WEEKDAY(calendar[[#This Row],[Date]],1)</f>
        <v>5</v>
      </c>
      <c r="H300" t="str">
        <f>TEXT(calendar[[#This Row],[WeekDay]],"dddd")</f>
        <v>Thursday</v>
      </c>
      <c r="I300">
        <f>IF((INT(calendar[[#This Row],[Count]]/7)-calendar[[#This Row],[Count]]/7)&lt;0,I299,I299+1)</f>
        <v>43</v>
      </c>
      <c r="J300">
        <f t="shared" si="24"/>
        <v>298</v>
      </c>
      <c r="K300">
        <f>IF(calendar[[#This Row],[Month]]&lt;4,1,IF(calendar[[#This Row],[Month]]&lt;7,2,IF(calendar[[#This Row],[Month]]&lt;10,3,4)))</f>
        <v>4</v>
      </c>
      <c r="L300">
        <f>IFERROR(IF(VLOOKUP(calendar[[#This Row],[Date]],BH!A:A,1,)&lt;&gt;"",1,0),0)</f>
        <v>0</v>
      </c>
      <c r="M300">
        <f>IFERROR(IF(VLOOKUP(calendar[[#This Row],[Date]],BH!C:C,1,)&lt;&gt;"",1,0),0)</f>
        <v>0</v>
      </c>
      <c r="N300">
        <f>IFERROR(IF(VLOOKUP(calendar[[#This Row],[Date]],BH!E:E,1,)&lt;&gt;"",1,0),0)</f>
        <v>0</v>
      </c>
      <c r="O300">
        <f>IFERROR(IF(VLOOKUP(calendar[[#This Row],[Date]],BH!G:G,1,)&lt;&gt;"",1,0),0)</f>
        <v>0</v>
      </c>
      <c r="P300">
        <f>IF(OR(calendar[[#This Row],[UK_BH]]=1,calendar[[#This Row],[WeekDay]]=1, calendar[[#This Row],[WeekDay]]=7),P299,P299+1)</f>
        <v>214</v>
      </c>
      <c r="Q300">
        <f>IF(OR(calendar[[#This Row],[FR_BH]]=1,calendar[[#This Row],[WeekDay]]=1, calendar[[#This Row],[WeekDay]]=7),P299,P299+1)</f>
        <v>214</v>
      </c>
      <c r="R300">
        <f>IF(OR(calendar[[#This Row],[SP_BH]]=1,calendar[[#This Row],[WeekDay]]=1, calendar[[#This Row],[WeekDay]]=7),P299,P299+1)</f>
        <v>214</v>
      </c>
      <c r="S300">
        <f>IF(OR(calendar[[#This Row],[PT_BH]]=1,calendar[[#This Row],[WeekDay]]=1, calendar[[#This Row],[WeekDay]]=7),P299,P299+1)</f>
        <v>214</v>
      </c>
    </row>
    <row r="301" spans="1:19" x14ac:dyDescent="0.25">
      <c r="A301" s="2">
        <v>43035</v>
      </c>
      <c r="B301" s="1">
        <f t="shared" si="23"/>
        <v>43</v>
      </c>
      <c r="C301">
        <f t="shared" si="25"/>
        <v>10</v>
      </c>
      <c r="D301" t="str">
        <f t="shared" si="26"/>
        <v>October</v>
      </c>
      <c r="E301">
        <f t="shared" si="27"/>
        <v>2017</v>
      </c>
      <c r="F301" t="str">
        <f>CONCATENATE(calendar[[#This Row],[Month]],"/",calendar[[#This Row],[Year]])</f>
        <v>10/2017</v>
      </c>
      <c r="G301">
        <f>WEEKDAY(calendar[[#This Row],[Date]],1)</f>
        <v>6</v>
      </c>
      <c r="H301" t="str">
        <f>TEXT(calendar[[#This Row],[WeekDay]],"dddd")</f>
        <v>Friday</v>
      </c>
      <c r="I301">
        <f>IF((INT(calendar[[#This Row],[Count]]/7)-calendar[[#This Row],[Count]]/7)&lt;0,I300,I300+1)</f>
        <v>43</v>
      </c>
      <c r="J301">
        <f t="shared" si="24"/>
        <v>299</v>
      </c>
      <c r="K301">
        <f>IF(calendar[[#This Row],[Month]]&lt;4,1,IF(calendar[[#This Row],[Month]]&lt;7,2,IF(calendar[[#This Row],[Month]]&lt;10,3,4)))</f>
        <v>4</v>
      </c>
      <c r="L301">
        <f>IFERROR(IF(VLOOKUP(calendar[[#This Row],[Date]],BH!A:A,1,)&lt;&gt;"",1,0),0)</f>
        <v>0</v>
      </c>
      <c r="M301">
        <f>IFERROR(IF(VLOOKUP(calendar[[#This Row],[Date]],BH!C:C,1,)&lt;&gt;"",1,0),0)</f>
        <v>0</v>
      </c>
      <c r="N301">
        <f>IFERROR(IF(VLOOKUP(calendar[[#This Row],[Date]],BH!E:E,1,)&lt;&gt;"",1,0),0)</f>
        <v>0</v>
      </c>
      <c r="O301">
        <f>IFERROR(IF(VLOOKUP(calendar[[#This Row],[Date]],BH!G:G,1,)&lt;&gt;"",1,0),0)</f>
        <v>0</v>
      </c>
      <c r="P301">
        <f>IF(OR(calendar[[#This Row],[UK_BH]]=1,calendar[[#This Row],[WeekDay]]=1, calendar[[#This Row],[WeekDay]]=7),P300,P300+1)</f>
        <v>215</v>
      </c>
      <c r="Q301">
        <f>IF(OR(calendar[[#This Row],[FR_BH]]=1,calendar[[#This Row],[WeekDay]]=1, calendar[[#This Row],[WeekDay]]=7),P300,P300+1)</f>
        <v>215</v>
      </c>
      <c r="R301">
        <f>IF(OR(calendar[[#This Row],[SP_BH]]=1,calendar[[#This Row],[WeekDay]]=1, calendar[[#This Row],[WeekDay]]=7),P300,P300+1)</f>
        <v>215</v>
      </c>
      <c r="S301">
        <f>IF(OR(calendar[[#This Row],[PT_BH]]=1,calendar[[#This Row],[WeekDay]]=1, calendar[[#This Row],[WeekDay]]=7),P300,P300+1)</f>
        <v>215</v>
      </c>
    </row>
    <row r="302" spans="1:19" x14ac:dyDescent="0.25">
      <c r="A302" s="2">
        <v>43036</v>
      </c>
      <c r="B302" s="1">
        <f t="shared" si="23"/>
        <v>43</v>
      </c>
      <c r="C302">
        <f t="shared" si="25"/>
        <v>10</v>
      </c>
      <c r="D302" t="str">
        <f t="shared" si="26"/>
        <v>October</v>
      </c>
      <c r="E302">
        <f t="shared" si="27"/>
        <v>2017</v>
      </c>
      <c r="F302" t="str">
        <f>CONCATENATE(calendar[[#This Row],[Month]],"/",calendar[[#This Row],[Year]])</f>
        <v>10/2017</v>
      </c>
      <c r="G302">
        <f>WEEKDAY(calendar[[#This Row],[Date]],1)</f>
        <v>7</v>
      </c>
      <c r="H302" t="str">
        <f>TEXT(calendar[[#This Row],[WeekDay]],"dddd")</f>
        <v>Saturday</v>
      </c>
      <c r="I302">
        <f>IF((INT(calendar[[#This Row],[Count]]/7)-calendar[[#This Row],[Count]]/7)&lt;0,I301,I301+1)</f>
        <v>43</v>
      </c>
      <c r="J302">
        <f t="shared" si="24"/>
        <v>300</v>
      </c>
      <c r="K302">
        <f>IF(calendar[[#This Row],[Month]]&lt;4,1,IF(calendar[[#This Row],[Month]]&lt;7,2,IF(calendar[[#This Row],[Month]]&lt;10,3,4)))</f>
        <v>4</v>
      </c>
      <c r="L302">
        <f>IFERROR(IF(VLOOKUP(calendar[[#This Row],[Date]],BH!A:A,1,)&lt;&gt;"",1,0),0)</f>
        <v>0</v>
      </c>
      <c r="M302">
        <f>IFERROR(IF(VLOOKUP(calendar[[#This Row],[Date]],BH!C:C,1,)&lt;&gt;"",1,0),0)</f>
        <v>0</v>
      </c>
      <c r="N302">
        <f>IFERROR(IF(VLOOKUP(calendar[[#This Row],[Date]],BH!E:E,1,)&lt;&gt;"",1,0),0)</f>
        <v>0</v>
      </c>
      <c r="O302">
        <f>IFERROR(IF(VLOOKUP(calendar[[#This Row],[Date]],BH!G:G,1,)&lt;&gt;"",1,0),0)</f>
        <v>0</v>
      </c>
      <c r="P302">
        <f>IF(OR(calendar[[#This Row],[UK_BH]]=1,calendar[[#This Row],[WeekDay]]=1, calendar[[#This Row],[WeekDay]]=7),P301,P301+1)</f>
        <v>215</v>
      </c>
      <c r="Q302">
        <f>IF(OR(calendar[[#This Row],[FR_BH]]=1,calendar[[#This Row],[WeekDay]]=1, calendar[[#This Row],[WeekDay]]=7),P301,P301+1)</f>
        <v>215</v>
      </c>
      <c r="R302">
        <f>IF(OR(calendar[[#This Row],[SP_BH]]=1,calendar[[#This Row],[WeekDay]]=1, calendar[[#This Row],[WeekDay]]=7),P301,P301+1)</f>
        <v>215</v>
      </c>
      <c r="S302">
        <f>IF(OR(calendar[[#This Row],[PT_BH]]=1,calendar[[#This Row],[WeekDay]]=1, calendar[[#This Row],[WeekDay]]=7),P301,P301+1)</f>
        <v>215</v>
      </c>
    </row>
    <row r="303" spans="1:19" x14ac:dyDescent="0.25">
      <c r="A303" s="2">
        <v>43037</v>
      </c>
      <c r="B303" s="1">
        <f t="shared" si="23"/>
        <v>44</v>
      </c>
      <c r="C303">
        <f t="shared" si="25"/>
        <v>10</v>
      </c>
      <c r="D303" t="str">
        <f t="shared" si="26"/>
        <v>October</v>
      </c>
      <c r="E303">
        <f t="shared" si="27"/>
        <v>2017</v>
      </c>
      <c r="F303" t="str">
        <f>CONCATENATE(calendar[[#This Row],[Month]],"/",calendar[[#This Row],[Year]])</f>
        <v>10/2017</v>
      </c>
      <c r="G303">
        <f>WEEKDAY(calendar[[#This Row],[Date]],1)</f>
        <v>1</v>
      </c>
      <c r="H303" t="str">
        <f>TEXT(calendar[[#This Row],[WeekDay]],"dddd")</f>
        <v>Sunday</v>
      </c>
      <c r="I303">
        <f>IF((INT(calendar[[#This Row],[Count]]/7)-calendar[[#This Row],[Count]]/7)&lt;0,I302,I302+1)</f>
        <v>44</v>
      </c>
      <c r="J303">
        <f t="shared" si="24"/>
        <v>301</v>
      </c>
      <c r="K303">
        <f>IF(calendar[[#This Row],[Month]]&lt;4,1,IF(calendar[[#This Row],[Month]]&lt;7,2,IF(calendar[[#This Row],[Month]]&lt;10,3,4)))</f>
        <v>4</v>
      </c>
      <c r="L303">
        <f>IFERROR(IF(VLOOKUP(calendar[[#This Row],[Date]],BH!A:A,1,)&lt;&gt;"",1,0),0)</f>
        <v>0</v>
      </c>
      <c r="M303">
        <f>IFERROR(IF(VLOOKUP(calendar[[#This Row],[Date]],BH!C:C,1,)&lt;&gt;"",1,0),0)</f>
        <v>0</v>
      </c>
      <c r="N303">
        <f>IFERROR(IF(VLOOKUP(calendar[[#This Row],[Date]],BH!E:E,1,)&lt;&gt;"",1,0),0)</f>
        <v>0</v>
      </c>
      <c r="O303">
        <f>IFERROR(IF(VLOOKUP(calendar[[#This Row],[Date]],BH!G:G,1,)&lt;&gt;"",1,0),0)</f>
        <v>0</v>
      </c>
      <c r="P303">
        <f>IF(OR(calendar[[#This Row],[UK_BH]]=1,calendar[[#This Row],[WeekDay]]=1, calendar[[#This Row],[WeekDay]]=7),P302,P302+1)</f>
        <v>215</v>
      </c>
      <c r="Q303">
        <f>IF(OR(calendar[[#This Row],[FR_BH]]=1,calendar[[#This Row],[WeekDay]]=1, calendar[[#This Row],[WeekDay]]=7),P302,P302+1)</f>
        <v>215</v>
      </c>
      <c r="R303">
        <f>IF(OR(calendar[[#This Row],[SP_BH]]=1,calendar[[#This Row],[WeekDay]]=1, calendar[[#This Row],[WeekDay]]=7),P302,P302+1)</f>
        <v>215</v>
      </c>
      <c r="S303">
        <f>IF(OR(calendar[[#This Row],[PT_BH]]=1,calendar[[#This Row],[WeekDay]]=1, calendar[[#This Row],[WeekDay]]=7),P302,P302+1)</f>
        <v>215</v>
      </c>
    </row>
    <row r="304" spans="1:19" x14ac:dyDescent="0.25">
      <c r="A304" s="2">
        <v>43038</v>
      </c>
      <c r="B304" s="1">
        <f t="shared" si="23"/>
        <v>44</v>
      </c>
      <c r="C304">
        <f t="shared" si="25"/>
        <v>10</v>
      </c>
      <c r="D304" t="str">
        <f t="shared" si="26"/>
        <v>October</v>
      </c>
      <c r="E304">
        <f t="shared" si="27"/>
        <v>2017</v>
      </c>
      <c r="F304" t="str">
        <f>CONCATENATE(calendar[[#This Row],[Month]],"/",calendar[[#This Row],[Year]])</f>
        <v>10/2017</v>
      </c>
      <c r="G304">
        <f>WEEKDAY(calendar[[#This Row],[Date]],1)</f>
        <v>2</v>
      </c>
      <c r="H304" t="str">
        <f>TEXT(calendar[[#This Row],[WeekDay]],"dddd")</f>
        <v>Monday</v>
      </c>
      <c r="I304">
        <f>IF((INT(calendar[[#This Row],[Count]]/7)-calendar[[#This Row],[Count]]/7)&lt;0,I303,I303+1)</f>
        <v>44</v>
      </c>
      <c r="J304">
        <f t="shared" si="24"/>
        <v>302</v>
      </c>
      <c r="K304">
        <f>IF(calendar[[#This Row],[Month]]&lt;4,1,IF(calendar[[#This Row],[Month]]&lt;7,2,IF(calendar[[#This Row],[Month]]&lt;10,3,4)))</f>
        <v>4</v>
      </c>
      <c r="L304">
        <f>IFERROR(IF(VLOOKUP(calendar[[#This Row],[Date]],BH!A:A,1,)&lt;&gt;"",1,0),0)</f>
        <v>0</v>
      </c>
      <c r="M304">
        <f>IFERROR(IF(VLOOKUP(calendar[[#This Row],[Date]],BH!C:C,1,)&lt;&gt;"",1,0),0)</f>
        <v>0</v>
      </c>
      <c r="N304">
        <f>IFERROR(IF(VLOOKUP(calendar[[#This Row],[Date]],BH!E:E,1,)&lt;&gt;"",1,0),0)</f>
        <v>0</v>
      </c>
      <c r="O304">
        <f>IFERROR(IF(VLOOKUP(calendar[[#This Row],[Date]],BH!G:G,1,)&lt;&gt;"",1,0),0)</f>
        <v>0</v>
      </c>
      <c r="P304">
        <f>IF(OR(calendar[[#This Row],[UK_BH]]=1,calendar[[#This Row],[WeekDay]]=1, calendar[[#This Row],[WeekDay]]=7),P303,P303+1)</f>
        <v>216</v>
      </c>
      <c r="Q304">
        <f>IF(OR(calendar[[#This Row],[FR_BH]]=1,calendar[[#This Row],[WeekDay]]=1, calendar[[#This Row],[WeekDay]]=7),P303,P303+1)</f>
        <v>216</v>
      </c>
      <c r="R304">
        <f>IF(OR(calendar[[#This Row],[SP_BH]]=1,calendar[[#This Row],[WeekDay]]=1, calendar[[#This Row],[WeekDay]]=7),P303,P303+1)</f>
        <v>216</v>
      </c>
      <c r="S304">
        <f>IF(OR(calendar[[#This Row],[PT_BH]]=1,calendar[[#This Row],[WeekDay]]=1, calendar[[#This Row],[WeekDay]]=7),P303,P303+1)</f>
        <v>216</v>
      </c>
    </row>
    <row r="305" spans="1:19" x14ac:dyDescent="0.25">
      <c r="A305" s="2">
        <v>43039</v>
      </c>
      <c r="B305" s="1">
        <f t="shared" si="23"/>
        <v>44</v>
      </c>
      <c r="C305">
        <f t="shared" si="25"/>
        <v>10</v>
      </c>
      <c r="D305" t="str">
        <f t="shared" si="26"/>
        <v>October</v>
      </c>
      <c r="E305">
        <f t="shared" si="27"/>
        <v>2017</v>
      </c>
      <c r="F305" t="str">
        <f>CONCATENATE(calendar[[#This Row],[Month]],"/",calendar[[#This Row],[Year]])</f>
        <v>10/2017</v>
      </c>
      <c r="G305">
        <f>WEEKDAY(calendar[[#This Row],[Date]],1)</f>
        <v>3</v>
      </c>
      <c r="H305" t="str">
        <f>TEXT(calendar[[#This Row],[WeekDay]],"dddd")</f>
        <v>Tuesday</v>
      </c>
      <c r="I305">
        <f>IF((INT(calendar[[#This Row],[Count]]/7)-calendar[[#This Row],[Count]]/7)&lt;0,I304,I304+1)</f>
        <v>44</v>
      </c>
      <c r="J305">
        <f t="shared" si="24"/>
        <v>303</v>
      </c>
      <c r="K305">
        <f>IF(calendar[[#This Row],[Month]]&lt;4,1,IF(calendar[[#This Row],[Month]]&lt;7,2,IF(calendar[[#This Row],[Month]]&lt;10,3,4)))</f>
        <v>4</v>
      </c>
      <c r="L305">
        <f>IFERROR(IF(VLOOKUP(calendar[[#This Row],[Date]],BH!A:A,1,)&lt;&gt;"",1,0),0)</f>
        <v>0</v>
      </c>
      <c r="M305">
        <f>IFERROR(IF(VLOOKUP(calendar[[#This Row],[Date]],BH!C:C,1,)&lt;&gt;"",1,0),0)</f>
        <v>0</v>
      </c>
      <c r="N305">
        <f>IFERROR(IF(VLOOKUP(calendar[[#This Row],[Date]],BH!E:E,1,)&lt;&gt;"",1,0),0)</f>
        <v>0</v>
      </c>
      <c r="O305">
        <f>IFERROR(IF(VLOOKUP(calendar[[#This Row],[Date]],BH!G:G,1,)&lt;&gt;"",1,0),0)</f>
        <v>0</v>
      </c>
      <c r="P305">
        <f>IF(OR(calendar[[#This Row],[UK_BH]]=1,calendar[[#This Row],[WeekDay]]=1, calendar[[#This Row],[WeekDay]]=7),P304,P304+1)</f>
        <v>217</v>
      </c>
      <c r="Q305">
        <f>IF(OR(calendar[[#This Row],[FR_BH]]=1,calendar[[#This Row],[WeekDay]]=1, calendar[[#This Row],[WeekDay]]=7),P304,P304+1)</f>
        <v>217</v>
      </c>
      <c r="R305">
        <f>IF(OR(calendar[[#This Row],[SP_BH]]=1,calendar[[#This Row],[WeekDay]]=1, calendar[[#This Row],[WeekDay]]=7),P304,P304+1)</f>
        <v>217</v>
      </c>
      <c r="S305">
        <f>IF(OR(calendar[[#This Row],[PT_BH]]=1,calendar[[#This Row],[WeekDay]]=1, calendar[[#This Row],[WeekDay]]=7),P304,P304+1)</f>
        <v>217</v>
      </c>
    </row>
    <row r="306" spans="1:19" x14ac:dyDescent="0.25">
      <c r="A306" s="2">
        <v>43040</v>
      </c>
      <c r="B306" s="1">
        <f t="shared" si="23"/>
        <v>44</v>
      </c>
      <c r="C306">
        <f t="shared" si="25"/>
        <v>11</v>
      </c>
      <c r="D306" t="str">
        <f t="shared" si="26"/>
        <v>November</v>
      </c>
      <c r="E306">
        <f t="shared" si="27"/>
        <v>2017</v>
      </c>
      <c r="F306" t="str">
        <f>CONCATENATE(calendar[[#This Row],[Month]],"/",calendar[[#This Row],[Year]])</f>
        <v>11/2017</v>
      </c>
      <c r="G306">
        <f>WEEKDAY(calendar[[#This Row],[Date]],1)</f>
        <v>4</v>
      </c>
      <c r="H306" t="str">
        <f>TEXT(calendar[[#This Row],[WeekDay]],"dddd")</f>
        <v>Wednesday</v>
      </c>
      <c r="I306">
        <f>IF((INT(calendar[[#This Row],[Count]]/7)-calendar[[#This Row],[Count]]/7)&lt;0,I305,I305+1)</f>
        <v>44</v>
      </c>
      <c r="J306">
        <f t="shared" si="24"/>
        <v>304</v>
      </c>
      <c r="K306">
        <f>IF(calendar[[#This Row],[Month]]&lt;4,1,IF(calendar[[#This Row],[Month]]&lt;7,2,IF(calendar[[#This Row],[Month]]&lt;10,3,4)))</f>
        <v>4</v>
      </c>
      <c r="L306">
        <f>IFERROR(IF(VLOOKUP(calendar[[#This Row],[Date]],BH!A:A,1,)&lt;&gt;"",1,0),0)</f>
        <v>0</v>
      </c>
      <c r="M306">
        <f>IFERROR(IF(VLOOKUP(calendar[[#This Row],[Date]],BH!C:C,1,)&lt;&gt;"",1,0),0)</f>
        <v>0</v>
      </c>
      <c r="N306">
        <f>IFERROR(IF(VLOOKUP(calendar[[#This Row],[Date]],BH!E:E,1,)&lt;&gt;"",1,0),0)</f>
        <v>0</v>
      </c>
      <c r="O306">
        <f>IFERROR(IF(VLOOKUP(calendar[[#This Row],[Date]],BH!G:G,1,)&lt;&gt;"",1,0),0)</f>
        <v>0</v>
      </c>
      <c r="P306">
        <f>IF(OR(calendar[[#This Row],[UK_BH]]=1,calendar[[#This Row],[WeekDay]]=1, calendar[[#This Row],[WeekDay]]=7),P305,P305+1)</f>
        <v>218</v>
      </c>
      <c r="Q306">
        <f>IF(OR(calendar[[#This Row],[FR_BH]]=1,calendar[[#This Row],[WeekDay]]=1, calendar[[#This Row],[WeekDay]]=7),P305,P305+1)</f>
        <v>218</v>
      </c>
      <c r="R306">
        <f>IF(OR(calendar[[#This Row],[SP_BH]]=1,calendar[[#This Row],[WeekDay]]=1, calendar[[#This Row],[WeekDay]]=7),P305,P305+1)</f>
        <v>218</v>
      </c>
      <c r="S306">
        <f>IF(OR(calendar[[#This Row],[PT_BH]]=1,calendar[[#This Row],[WeekDay]]=1, calendar[[#This Row],[WeekDay]]=7),P305,P305+1)</f>
        <v>218</v>
      </c>
    </row>
    <row r="307" spans="1:19" x14ac:dyDescent="0.25">
      <c r="A307" s="2">
        <v>43041</v>
      </c>
      <c r="B307" s="1">
        <f t="shared" si="23"/>
        <v>44</v>
      </c>
      <c r="C307">
        <f t="shared" si="25"/>
        <v>11</v>
      </c>
      <c r="D307" t="str">
        <f t="shared" si="26"/>
        <v>November</v>
      </c>
      <c r="E307">
        <f t="shared" si="27"/>
        <v>2017</v>
      </c>
      <c r="F307" t="str">
        <f>CONCATENATE(calendar[[#This Row],[Month]],"/",calendar[[#This Row],[Year]])</f>
        <v>11/2017</v>
      </c>
      <c r="G307">
        <f>WEEKDAY(calendar[[#This Row],[Date]],1)</f>
        <v>5</v>
      </c>
      <c r="H307" t="str">
        <f>TEXT(calendar[[#This Row],[WeekDay]],"dddd")</f>
        <v>Thursday</v>
      </c>
      <c r="I307">
        <f>IF((INT(calendar[[#This Row],[Count]]/7)-calendar[[#This Row],[Count]]/7)&lt;0,I306,I306+1)</f>
        <v>44</v>
      </c>
      <c r="J307">
        <f t="shared" si="24"/>
        <v>305</v>
      </c>
      <c r="K307">
        <f>IF(calendar[[#This Row],[Month]]&lt;4,1,IF(calendar[[#This Row],[Month]]&lt;7,2,IF(calendar[[#This Row],[Month]]&lt;10,3,4)))</f>
        <v>4</v>
      </c>
      <c r="L307">
        <f>IFERROR(IF(VLOOKUP(calendar[[#This Row],[Date]],BH!A:A,1,)&lt;&gt;"",1,0),0)</f>
        <v>0</v>
      </c>
      <c r="M307">
        <f>IFERROR(IF(VLOOKUP(calendar[[#This Row],[Date]],BH!C:C,1,)&lt;&gt;"",1,0),0)</f>
        <v>0</v>
      </c>
      <c r="N307">
        <f>IFERROR(IF(VLOOKUP(calendar[[#This Row],[Date]],BH!E:E,1,)&lt;&gt;"",1,0),0)</f>
        <v>0</v>
      </c>
      <c r="O307">
        <f>IFERROR(IF(VLOOKUP(calendar[[#This Row],[Date]],BH!G:G,1,)&lt;&gt;"",1,0),0)</f>
        <v>0</v>
      </c>
      <c r="P307">
        <f>IF(OR(calendar[[#This Row],[UK_BH]]=1,calendar[[#This Row],[WeekDay]]=1, calendar[[#This Row],[WeekDay]]=7),P306,P306+1)</f>
        <v>219</v>
      </c>
      <c r="Q307">
        <f>IF(OR(calendar[[#This Row],[FR_BH]]=1,calendar[[#This Row],[WeekDay]]=1, calendar[[#This Row],[WeekDay]]=7),P306,P306+1)</f>
        <v>219</v>
      </c>
      <c r="R307">
        <f>IF(OR(calendar[[#This Row],[SP_BH]]=1,calendar[[#This Row],[WeekDay]]=1, calendar[[#This Row],[WeekDay]]=7),P306,P306+1)</f>
        <v>219</v>
      </c>
      <c r="S307">
        <f>IF(OR(calendar[[#This Row],[PT_BH]]=1,calendar[[#This Row],[WeekDay]]=1, calendar[[#This Row],[WeekDay]]=7),P306,P306+1)</f>
        <v>219</v>
      </c>
    </row>
    <row r="308" spans="1:19" x14ac:dyDescent="0.25">
      <c r="A308" s="2">
        <v>43042</v>
      </c>
      <c r="B308" s="1">
        <f t="shared" si="23"/>
        <v>44</v>
      </c>
      <c r="C308">
        <f t="shared" si="25"/>
        <v>11</v>
      </c>
      <c r="D308" t="str">
        <f t="shared" si="26"/>
        <v>November</v>
      </c>
      <c r="E308">
        <f t="shared" si="27"/>
        <v>2017</v>
      </c>
      <c r="F308" t="str">
        <f>CONCATENATE(calendar[[#This Row],[Month]],"/",calendar[[#This Row],[Year]])</f>
        <v>11/2017</v>
      </c>
      <c r="G308">
        <f>WEEKDAY(calendar[[#This Row],[Date]],1)</f>
        <v>6</v>
      </c>
      <c r="H308" t="str">
        <f>TEXT(calendar[[#This Row],[WeekDay]],"dddd")</f>
        <v>Friday</v>
      </c>
      <c r="I308">
        <f>IF((INT(calendar[[#This Row],[Count]]/7)-calendar[[#This Row],[Count]]/7)&lt;0,I307,I307+1)</f>
        <v>44</v>
      </c>
      <c r="J308">
        <f t="shared" si="24"/>
        <v>306</v>
      </c>
      <c r="K308">
        <f>IF(calendar[[#This Row],[Month]]&lt;4,1,IF(calendar[[#This Row],[Month]]&lt;7,2,IF(calendar[[#This Row],[Month]]&lt;10,3,4)))</f>
        <v>4</v>
      </c>
      <c r="L308">
        <f>IFERROR(IF(VLOOKUP(calendar[[#This Row],[Date]],BH!A:A,1,)&lt;&gt;"",1,0),0)</f>
        <v>0</v>
      </c>
      <c r="M308">
        <f>IFERROR(IF(VLOOKUP(calendar[[#This Row],[Date]],BH!C:C,1,)&lt;&gt;"",1,0),0)</f>
        <v>0</v>
      </c>
      <c r="N308">
        <f>IFERROR(IF(VLOOKUP(calendar[[#This Row],[Date]],BH!E:E,1,)&lt;&gt;"",1,0),0)</f>
        <v>0</v>
      </c>
      <c r="O308">
        <f>IFERROR(IF(VLOOKUP(calendar[[#This Row],[Date]],BH!G:G,1,)&lt;&gt;"",1,0),0)</f>
        <v>0</v>
      </c>
      <c r="P308">
        <f>IF(OR(calendar[[#This Row],[UK_BH]]=1,calendar[[#This Row],[WeekDay]]=1, calendar[[#This Row],[WeekDay]]=7),P307,P307+1)</f>
        <v>220</v>
      </c>
      <c r="Q308">
        <f>IF(OR(calendar[[#This Row],[FR_BH]]=1,calendar[[#This Row],[WeekDay]]=1, calendar[[#This Row],[WeekDay]]=7),P307,P307+1)</f>
        <v>220</v>
      </c>
      <c r="R308">
        <f>IF(OR(calendar[[#This Row],[SP_BH]]=1,calendar[[#This Row],[WeekDay]]=1, calendar[[#This Row],[WeekDay]]=7),P307,P307+1)</f>
        <v>220</v>
      </c>
      <c r="S308">
        <f>IF(OR(calendar[[#This Row],[PT_BH]]=1,calendar[[#This Row],[WeekDay]]=1, calendar[[#This Row],[WeekDay]]=7),P307,P307+1)</f>
        <v>220</v>
      </c>
    </row>
    <row r="309" spans="1:19" x14ac:dyDescent="0.25">
      <c r="A309" s="2">
        <v>43043</v>
      </c>
      <c r="B309" s="1">
        <f t="shared" si="23"/>
        <v>44</v>
      </c>
      <c r="C309">
        <f t="shared" si="25"/>
        <v>11</v>
      </c>
      <c r="D309" t="str">
        <f t="shared" si="26"/>
        <v>November</v>
      </c>
      <c r="E309">
        <f t="shared" si="27"/>
        <v>2017</v>
      </c>
      <c r="F309" t="str">
        <f>CONCATENATE(calendar[[#This Row],[Month]],"/",calendar[[#This Row],[Year]])</f>
        <v>11/2017</v>
      </c>
      <c r="G309">
        <f>WEEKDAY(calendar[[#This Row],[Date]],1)</f>
        <v>7</v>
      </c>
      <c r="H309" t="str">
        <f>TEXT(calendar[[#This Row],[WeekDay]],"dddd")</f>
        <v>Saturday</v>
      </c>
      <c r="I309">
        <f>IF((INT(calendar[[#This Row],[Count]]/7)-calendar[[#This Row],[Count]]/7)&lt;0,I308,I308+1)</f>
        <v>44</v>
      </c>
      <c r="J309">
        <f t="shared" si="24"/>
        <v>307</v>
      </c>
      <c r="K309">
        <f>IF(calendar[[#This Row],[Month]]&lt;4,1,IF(calendar[[#This Row],[Month]]&lt;7,2,IF(calendar[[#This Row],[Month]]&lt;10,3,4)))</f>
        <v>4</v>
      </c>
      <c r="L309">
        <f>IFERROR(IF(VLOOKUP(calendar[[#This Row],[Date]],BH!A:A,1,)&lt;&gt;"",1,0),0)</f>
        <v>0</v>
      </c>
      <c r="M309">
        <f>IFERROR(IF(VLOOKUP(calendar[[#This Row],[Date]],BH!C:C,1,)&lt;&gt;"",1,0),0)</f>
        <v>0</v>
      </c>
      <c r="N309">
        <f>IFERROR(IF(VLOOKUP(calendar[[#This Row],[Date]],BH!E:E,1,)&lt;&gt;"",1,0),0)</f>
        <v>0</v>
      </c>
      <c r="O309">
        <f>IFERROR(IF(VLOOKUP(calendar[[#This Row],[Date]],BH!G:G,1,)&lt;&gt;"",1,0),0)</f>
        <v>0</v>
      </c>
      <c r="P309">
        <f>IF(OR(calendar[[#This Row],[UK_BH]]=1,calendar[[#This Row],[WeekDay]]=1, calendar[[#This Row],[WeekDay]]=7),P308,P308+1)</f>
        <v>220</v>
      </c>
      <c r="Q309">
        <f>IF(OR(calendar[[#This Row],[FR_BH]]=1,calendar[[#This Row],[WeekDay]]=1, calendar[[#This Row],[WeekDay]]=7),P308,P308+1)</f>
        <v>220</v>
      </c>
      <c r="R309">
        <f>IF(OR(calendar[[#This Row],[SP_BH]]=1,calendar[[#This Row],[WeekDay]]=1, calendar[[#This Row],[WeekDay]]=7),P308,P308+1)</f>
        <v>220</v>
      </c>
      <c r="S309">
        <f>IF(OR(calendar[[#This Row],[PT_BH]]=1,calendar[[#This Row],[WeekDay]]=1, calendar[[#This Row],[WeekDay]]=7),P308,P308+1)</f>
        <v>220</v>
      </c>
    </row>
    <row r="310" spans="1:19" x14ac:dyDescent="0.25">
      <c r="A310" s="2">
        <v>43044</v>
      </c>
      <c r="B310" s="1">
        <f t="shared" si="23"/>
        <v>45</v>
      </c>
      <c r="C310">
        <f t="shared" si="25"/>
        <v>11</v>
      </c>
      <c r="D310" t="str">
        <f t="shared" si="26"/>
        <v>November</v>
      </c>
      <c r="E310">
        <f t="shared" si="27"/>
        <v>2017</v>
      </c>
      <c r="F310" t="str">
        <f>CONCATENATE(calendar[[#This Row],[Month]],"/",calendar[[#This Row],[Year]])</f>
        <v>11/2017</v>
      </c>
      <c r="G310">
        <f>WEEKDAY(calendar[[#This Row],[Date]],1)</f>
        <v>1</v>
      </c>
      <c r="H310" t="str">
        <f>TEXT(calendar[[#This Row],[WeekDay]],"dddd")</f>
        <v>Sunday</v>
      </c>
      <c r="I310">
        <f>IF((INT(calendar[[#This Row],[Count]]/7)-calendar[[#This Row],[Count]]/7)&lt;0,I309,I309+1)</f>
        <v>45</v>
      </c>
      <c r="J310">
        <f t="shared" si="24"/>
        <v>308</v>
      </c>
      <c r="K310">
        <f>IF(calendar[[#This Row],[Month]]&lt;4,1,IF(calendar[[#This Row],[Month]]&lt;7,2,IF(calendar[[#This Row],[Month]]&lt;10,3,4)))</f>
        <v>4</v>
      </c>
      <c r="L310">
        <f>IFERROR(IF(VLOOKUP(calendar[[#This Row],[Date]],BH!A:A,1,)&lt;&gt;"",1,0),0)</f>
        <v>0</v>
      </c>
      <c r="M310">
        <f>IFERROR(IF(VLOOKUP(calendar[[#This Row],[Date]],BH!C:C,1,)&lt;&gt;"",1,0),0)</f>
        <v>0</v>
      </c>
      <c r="N310">
        <f>IFERROR(IF(VLOOKUP(calendar[[#This Row],[Date]],BH!E:E,1,)&lt;&gt;"",1,0),0)</f>
        <v>0</v>
      </c>
      <c r="O310">
        <f>IFERROR(IF(VLOOKUP(calendar[[#This Row],[Date]],BH!G:G,1,)&lt;&gt;"",1,0),0)</f>
        <v>0</v>
      </c>
      <c r="P310">
        <f>IF(OR(calendar[[#This Row],[UK_BH]]=1,calendar[[#This Row],[WeekDay]]=1, calendar[[#This Row],[WeekDay]]=7),P309,P309+1)</f>
        <v>220</v>
      </c>
      <c r="Q310">
        <f>IF(OR(calendar[[#This Row],[FR_BH]]=1,calendar[[#This Row],[WeekDay]]=1, calendar[[#This Row],[WeekDay]]=7),P309,P309+1)</f>
        <v>220</v>
      </c>
      <c r="R310">
        <f>IF(OR(calendar[[#This Row],[SP_BH]]=1,calendar[[#This Row],[WeekDay]]=1, calendar[[#This Row],[WeekDay]]=7),P309,P309+1)</f>
        <v>220</v>
      </c>
      <c r="S310">
        <f>IF(OR(calendar[[#This Row],[PT_BH]]=1,calendar[[#This Row],[WeekDay]]=1, calendar[[#This Row],[WeekDay]]=7),P309,P309+1)</f>
        <v>220</v>
      </c>
    </row>
    <row r="311" spans="1:19" x14ac:dyDescent="0.25">
      <c r="A311" s="2">
        <v>43045</v>
      </c>
      <c r="B311" s="1">
        <f t="shared" si="23"/>
        <v>45</v>
      </c>
      <c r="C311">
        <f t="shared" si="25"/>
        <v>11</v>
      </c>
      <c r="D311" t="str">
        <f t="shared" si="26"/>
        <v>November</v>
      </c>
      <c r="E311">
        <f t="shared" si="27"/>
        <v>2017</v>
      </c>
      <c r="F311" t="str">
        <f>CONCATENATE(calendar[[#This Row],[Month]],"/",calendar[[#This Row],[Year]])</f>
        <v>11/2017</v>
      </c>
      <c r="G311">
        <f>WEEKDAY(calendar[[#This Row],[Date]],1)</f>
        <v>2</v>
      </c>
      <c r="H311" t="str">
        <f>TEXT(calendar[[#This Row],[WeekDay]],"dddd")</f>
        <v>Monday</v>
      </c>
      <c r="I311">
        <f>IF((INT(calendar[[#This Row],[Count]]/7)-calendar[[#This Row],[Count]]/7)&lt;0,I310,I310+1)</f>
        <v>45</v>
      </c>
      <c r="J311">
        <f t="shared" si="24"/>
        <v>309</v>
      </c>
      <c r="K311">
        <f>IF(calendar[[#This Row],[Month]]&lt;4,1,IF(calendar[[#This Row],[Month]]&lt;7,2,IF(calendar[[#This Row],[Month]]&lt;10,3,4)))</f>
        <v>4</v>
      </c>
      <c r="L311">
        <f>IFERROR(IF(VLOOKUP(calendar[[#This Row],[Date]],BH!A:A,1,)&lt;&gt;"",1,0),0)</f>
        <v>0</v>
      </c>
      <c r="M311">
        <f>IFERROR(IF(VLOOKUP(calendar[[#This Row],[Date]],BH!C:C,1,)&lt;&gt;"",1,0),0)</f>
        <v>0</v>
      </c>
      <c r="N311">
        <f>IFERROR(IF(VLOOKUP(calendar[[#This Row],[Date]],BH!E:E,1,)&lt;&gt;"",1,0),0)</f>
        <v>0</v>
      </c>
      <c r="O311">
        <f>IFERROR(IF(VLOOKUP(calendar[[#This Row],[Date]],BH!G:G,1,)&lt;&gt;"",1,0),0)</f>
        <v>0</v>
      </c>
      <c r="P311">
        <f>IF(OR(calendar[[#This Row],[UK_BH]]=1,calendar[[#This Row],[WeekDay]]=1, calendar[[#This Row],[WeekDay]]=7),P310,P310+1)</f>
        <v>221</v>
      </c>
      <c r="Q311">
        <f>IF(OR(calendar[[#This Row],[FR_BH]]=1,calendar[[#This Row],[WeekDay]]=1, calendar[[#This Row],[WeekDay]]=7),P310,P310+1)</f>
        <v>221</v>
      </c>
      <c r="R311">
        <f>IF(OR(calendar[[#This Row],[SP_BH]]=1,calendar[[#This Row],[WeekDay]]=1, calendar[[#This Row],[WeekDay]]=7),P310,P310+1)</f>
        <v>221</v>
      </c>
      <c r="S311">
        <f>IF(OR(calendar[[#This Row],[PT_BH]]=1,calendar[[#This Row],[WeekDay]]=1, calendar[[#This Row],[WeekDay]]=7),P310,P310+1)</f>
        <v>221</v>
      </c>
    </row>
    <row r="312" spans="1:19" x14ac:dyDescent="0.25">
      <c r="A312" s="2">
        <v>43046</v>
      </c>
      <c r="B312" s="1">
        <f t="shared" si="23"/>
        <v>45</v>
      </c>
      <c r="C312">
        <f t="shared" si="25"/>
        <v>11</v>
      </c>
      <c r="D312" t="str">
        <f t="shared" si="26"/>
        <v>November</v>
      </c>
      <c r="E312">
        <f t="shared" si="27"/>
        <v>2017</v>
      </c>
      <c r="F312" t="str">
        <f>CONCATENATE(calendar[[#This Row],[Month]],"/",calendar[[#This Row],[Year]])</f>
        <v>11/2017</v>
      </c>
      <c r="G312">
        <f>WEEKDAY(calendar[[#This Row],[Date]],1)</f>
        <v>3</v>
      </c>
      <c r="H312" t="str">
        <f>TEXT(calendar[[#This Row],[WeekDay]],"dddd")</f>
        <v>Tuesday</v>
      </c>
      <c r="I312">
        <f>IF((INT(calendar[[#This Row],[Count]]/7)-calendar[[#This Row],[Count]]/7)&lt;0,I311,I311+1)</f>
        <v>45</v>
      </c>
      <c r="J312">
        <f t="shared" si="24"/>
        <v>310</v>
      </c>
      <c r="K312">
        <f>IF(calendar[[#This Row],[Month]]&lt;4,1,IF(calendar[[#This Row],[Month]]&lt;7,2,IF(calendar[[#This Row],[Month]]&lt;10,3,4)))</f>
        <v>4</v>
      </c>
      <c r="L312">
        <f>IFERROR(IF(VLOOKUP(calendar[[#This Row],[Date]],BH!A:A,1,)&lt;&gt;"",1,0),0)</f>
        <v>0</v>
      </c>
      <c r="M312">
        <f>IFERROR(IF(VLOOKUP(calendar[[#This Row],[Date]],BH!C:C,1,)&lt;&gt;"",1,0),0)</f>
        <v>0</v>
      </c>
      <c r="N312">
        <f>IFERROR(IF(VLOOKUP(calendar[[#This Row],[Date]],BH!E:E,1,)&lt;&gt;"",1,0),0)</f>
        <v>0</v>
      </c>
      <c r="O312">
        <f>IFERROR(IF(VLOOKUP(calendar[[#This Row],[Date]],BH!G:G,1,)&lt;&gt;"",1,0),0)</f>
        <v>0</v>
      </c>
      <c r="P312">
        <f>IF(OR(calendar[[#This Row],[UK_BH]]=1,calendar[[#This Row],[WeekDay]]=1, calendar[[#This Row],[WeekDay]]=7),P311,P311+1)</f>
        <v>222</v>
      </c>
      <c r="Q312">
        <f>IF(OR(calendar[[#This Row],[FR_BH]]=1,calendar[[#This Row],[WeekDay]]=1, calendar[[#This Row],[WeekDay]]=7),P311,P311+1)</f>
        <v>222</v>
      </c>
      <c r="R312">
        <f>IF(OR(calendar[[#This Row],[SP_BH]]=1,calendar[[#This Row],[WeekDay]]=1, calendar[[#This Row],[WeekDay]]=7),P311,P311+1)</f>
        <v>222</v>
      </c>
      <c r="S312">
        <f>IF(OR(calendar[[#This Row],[PT_BH]]=1,calendar[[#This Row],[WeekDay]]=1, calendar[[#This Row],[WeekDay]]=7),P311,P311+1)</f>
        <v>222</v>
      </c>
    </row>
    <row r="313" spans="1:19" x14ac:dyDescent="0.25">
      <c r="A313" s="2">
        <v>43047</v>
      </c>
      <c r="B313" s="1">
        <f t="shared" si="23"/>
        <v>45</v>
      </c>
      <c r="C313">
        <f t="shared" si="25"/>
        <v>11</v>
      </c>
      <c r="D313" t="str">
        <f t="shared" si="26"/>
        <v>November</v>
      </c>
      <c r="E313">
        <f t="shared" si="27"/>
        <v>2017</v>
      </c>
      <c r="F313" t="str">
        <f>CONCATENATE(calendar[[#This Row],[Month]],"/",calendar[[#This Row],[Year]])</f>
        <v>11/2017</v>
      </c>
      <c r="G313">
        <f>WEEKDAY(calendar[[#This Row],[Date]],1)</f>
        <v>4</v>
      </c>
      <c r="H313" t="str">
        <f>TEXT(calendar[[#This Row],[WeekDay]],"dddd")</f>
        <v>Wednesday</v>
      </c>
      <c r="I313">
        <f>IF((INT(calendar[[#This Row],[Count]]/7)-calendar[[#This Row],[Count]]/7)&lt;0,I312,I312+1)</f>
        <v>45</v>
      </c>
      <c r="J313">
        <f t="shared" si="24"/>
        <v>311</v>
      </c>
      <c r="K313">
        <f>IF(calendar[[#This Row],[Month]]&lt;4,1,IF(calendar[[#This Row],[Month]]&lt;7,2,IF(calendar[[#This Row],[Month]]&lt;10,3,4)))</f>
        <v>4</v>
      </c>
      <c r="L313">
        <f>IFERROR(IF(VLOOKUP(calendar[[#This Row],[Date]],BH!A:A,1,)&lt;&gt;"",1,0),0)</f>
        <v>0</v>
      </c>
      <c r="M313">
        <f>IFERROR(IF(VLOOKUP(calendar[[#This Row],[Date]],BH!C:C,1,)&lt;&gt;"",1,0),0)</f>
        <v>0</v>
      </c>
      <c r="N313">
        <f>IFERROR(IF(VLOOKUP(calendar[[#This Row],[Date]],BH!E:E,1,)&lt;&gt;"",1,0),0)</f>
        <v>0</v>
      </c>
      <c r="O313">
        <f>IFERROR(IF(VLOOKUP(calendar[[#This Row],[Date]],BH!G:G,1,)&lt;&gt;"",1,0),0)</f>
        <v>0</v>
      </c>
      <c r="P313">
        <f>IF(OR(calendar[[#This Row],[UK_BH]]=1,calendar[[#This Row],[WeekDay]]=1, calendar[[#This Row],[WeekDay]]=7),P312,P312+1)</f>
        <v>223</v>
      </c>
      <c r="Q313">
        <f>IF(OR(calendar[[#This Row],[FR_BH]]=1,calendar[[#This Row],[WeekDay]]=1, calendar[[#This Row],[WeekDay]]=7),P312,P312+1)</f>
        <v>223</v>
      </c>
      <c r="R313">
        <f>IF(OR(calendar[[#This Row],[SP_BH]]=1,calendar[[#This Row],[WeekDay]]=1, calendar[[#This Row],[WeekDay]]=7),P312,P312+1)</f>
        <v>223</v>
      </c>
      <c r="S313">
        <f>IF(OR(calendar[[#This Row],[PT_BH]]=1,calendar[[#This Row],[WeekDay]]=1, calendar[[#This Row],[WeekDay]]=7),P312,P312+1)</f>
        <v>223</v>
      </c>
    </row>
    <row r="314" spans="1:19" x14ac:dyDescent="0.25">
      <c r="A314" s="2">
        <v>43048</v>
      </c>
      <c r="B314" s="1">
        <f t="shared" si="23"/>
        <v>45</v>
      </c>
      <c r="C314">
        <f t="shared" si="25"/>
        <v>11</v>
      </c>
      <c r="D314" t="str">
        <f t="shared" si="26"/>
        <v>November</v>
      </c>
      <c r="E314">
        <f t="shared" si="27"/>
        <v>2017</v>
      </c>
      <c r="F314" t="str">
        <f>CONCATENATE(calendar[[#This Row],[Month]],"/",calendar[[#This Row],[Year]])</f>
        <v>11/2017</v>
      </c>
      <c r="G314">
        <f>WEEKDAY(calendar[[#This Row],[Date]],1)</f>
        <v>5</v>
      </c>
      <c r="H314" t="str">
        <f>TEXT(calendar[[#This Row],[WeekDay]],"dddd")</f>
        <v>Thursday</v>
      </c>
      <c r="I314">
        <f>IF((INT(calendar[[#This Row],[Count]]/7)-calendar[[#This Row],[Count]]/7)&lt;0,I313,I313+1)</f>
        <v>45</v>
      </c>
      <c r="J314">
        <f t="shared" si="24"/>
        <v>312</v>
      </c>
      <c r="K314">
        <f>IF(calendar[[#This Row],[Month]]&lt;4,1,IF(calendar[[#This Row],[Month]]&lt;7,2,IF(calendar[[#This Row],[Month]]&lt;10,3,4)))</f>
        <v>4</v>
      </c>
      <c r="L314">
        <f>IFERROR(IF(VLOOKUP(calendar[[#This Row],[Date]],BH!A:A,1,)&lt;&gt;"",1,0),0)</f>
        <v>0</v>
      </c>
      <c r="M314">
        <f>IFERROR(IF(VLOOKUP(calendar[[#This Row],[Date]],BH!C:C,1,)&lt;&gt;"",1,0),0)</f>
        <v>0</v>
      </c>
      <c r="N314">
        <f>IFERROR(IF(VLOOKUP(calendar[[#This Row],[Date]],BH!E:E,1,)&lt;&gt;"",1,0),0)</f>
        <v>0</v>
      </c>
      <c r="O314">
        <f>IFERROR(IF(VLOOKUP(calendar[[#This Row],[Date]],BH!G:G,1,)&lt;&gt;"",1,0),0)</f>
        <v>0</v>
      </c>
      <c r="P314">
        <f>IF(OR(calendar[[#This Row],[UK_BH]]=1,calendar[[#This Row],[WeekDay]]=1, calendar[[#This Row],[WeekDay]]=7),P313,P313+1)</f>
        <v>224</v>
      </c>
      <c r="Q314">
        <f>IF(OR(calendar[[#This Row],[FR_BH]]=1,calendar[[#This Row],[WeekDay]]=1, calendar[[#This Row],[WeekDay]]=7),P313,P313+1)</f>
        <v>224</v>
      </c>
      <c r="R314">
        <f>IF(OR(calendar[[#This Row],[SP_BH]]=1,calendar[[#This Row],[WeekDay]]=1, calendar[[#This Row],[WeekDay]]=7),P313,P313+1)</f>
        <v>224</v>
      </c>
      <c r="S314">
        <f>IF(OR(calendar[[#This Row],[PT_BH]]=1,calendar[[#This Row],[WeekDay]]=1, calendar[[#This Row],[WeekDay]]=7),P313,P313+1)</f>
        <v>224</v>
      </c>
    </row>
    <row r="315" spans="1:19" x14ac:dyDescent="0.25">
      <c r="A315" s="2">
        <v>43049</v>
      </c>
      <c r="B315" s="1">
        <f t="shared" si="23"/>
        <v>45</v>
      </c>
      <c r="C315">
        <f t="shared" si="25"/>
        <v>11</v>
      </c>
      <c r="D315" t="str">
        <f t="shared" si="26"/>
        <v>November</v>
      </c>
      <c r="E315">
        <f t="shared" si="27"/>
        <v>2017</v>
      </c>
      <c r="F315" t="str">
        <f>CONCATENATE(calendar[[#This Row],[Month]],"/",calendar[[#This Row],[Year]])</f>
        <v>11/2017</v>
      </c>
      <c r="G315">
        <f>WEEKDAY(calendar[[#This Row],[Date]],1)</f>
        <v>6</v>
      </c>
      <c r="H315" t="str">
        <f>TEXT(calendar[[#This Row],[WeekDay]],"dddd")</f>
        <v>Friday</v>
      </c>
      <c r="I315">
        <f>IF((INT(calendar[[#This Row],[Count]]/7)-calendar[[#This Row],[Count]]/7)&lt;0,I314,I314+1)</f>
        <v>45</v>
      </c>
      <c r="J315">
        <f t="shared" si="24"/>
        <v>313</v>
      </c>
      <c r="K315">
        <f>IF(calendar[[#This Row],[Month]]&lt;4,1,IF(calendar[[#This Row],[Month]]&lt;7,2,IF(calendar[[#This Row],[Month]]&lt;10,3,4)))</f>
        <v>4</v>
      </c>
      <c r="L315">
        <f>IFERROR(IF(VLOOKUP(calendar[[#This Row],[Date]],BH!A:A,1,)&lt;&gt;"",1,0),0)</f>
        <v>0</v>
      </c>
      <c r="M315">
        <f>IFERROR(IF(VLOOKUP(calendar[[#This Row],[Date]],BH!C:C,1,)&lt;&gt;"",1,0),0)</f>
        <v>0</v>
      </c>
      <c r="N315">
        <f>IFERROR(IF(VLOOKUP(calendar[[#This Row],[Date]],BH!E:E,1,)&lt;&gt;"",1,0),0)</f>
        <v>0</v>
      </c>
      <c r="O315">
        <f>IFERROR(IF(VLOOKUP(calendar[[#This Row],[Date]],BH!G:G,1,)&lt;&gt;"",1,0),0)</f>
        <v>0</v>
      </c>
      <c r="P315">
        <f>IF(OR(calendar[[#This Row],[UK_BH]]=1,calendar[[#This Row],[WeekDay]]=1, calendar[[#This Row],[WeekDay]]=7),P314,P314+1)</f>
        <v>225</v>
      </c>
      <c r="Q315">
        <f>IF(OR(calendar[[#This Row],[FR_BH]]=1,calendar[[#This Row],[WeekDay]]=1, calendar[[#This Row],[WeekDay]]=7),P314,P314+1)</f>
        <v>225</v>
      </c>
      <c r="R315">
        <f>IF(OR(calendar[[#This Row],[SP_BH]]=1,calendar[[#This Row],[WeekDay]]=1, calendar[[#This Row],[WeekDay]]=7),P314,P314+1)</f>
        <v>225</v>
      </c>
      <c r="S315">
        <f>IF(OR(calendar[[#This Row],[PT_BH]]=1,calendar[[#This Row],[WeekDay]]=1, calendar[[#This Row],[WeekDay]]=7),P314,P314+1)</f>
        <v>225</v>
      </c>
    </row>
    <row r="316" spans="1:19" x14ac:dyDescent="0.25">
      <c r="A316" s="2">
        <v>43050</v>
      </c>
      <c r="B316" s="1">
        <f t="shared" si="23"/>
        <v>45</v>
      </c>
      <c r="C316">
        <f t="shared" si="25"/>
        <v>11</v>
      </c>
      <c r="D316" t="str">
        <f t="shared" si="26"/>
        <v>November</v>
      </c>
      <c r="E316">
        <f t="shared" si="27"/>
        <v>2017</v>
      </c>
      <c r="F316" t="str">
        <f>CONCATENATE(calendar[[#This Row],[Month]],"/",calendar[[#This Row],[Year]])</f>
        <v>11/2017</v>
      </c>
      <c r="G316">
        <f>WEEKDAY(calendar[[#This Row],[Date]],1)</f>
        <v>7</v>
      </c>
      <c r="H316" t="str">
        <f>TEXT(calendar[[#This Row],[WeekDay]],"dddd")</f>
        <v>Saturday</v>
      </c>
      <c r="I316">
        <f>IF((INT(calendar[[#This Row],[Count]]/7)-calendar[[#This Row],[Count]]/7)&lt;0,I315,I315+1)</f>
        <v>45</v>
      </c>
      <c r="J316">
        <f t="shared" si="24"/>
        <v>314</v>
      </c>
      <c r="K316">
        <f>IF(calendar[[#This Row],[Month]]&lt;4,1,IF(calendar[[#This Row],[Month]]&lt;7,2,IF(calendar[[#This Row],[Month]]&lt;10,3,4)))</f>
        <v>4</v>
      </c>
      <c r="L316">
        <f>IFERROR(IF(VLOOKUP(calendar[[#This Row],[Date]],BH!A:A,1,)&lt;&gt;"",1,0),0)</f>
        <v>0</v>
      </c>
      <c r="M316">
        <f>IFERROR(IF(VLOOKUP(calendar[[#This Row],[Date]],BH!C:C,1,)&lt;&gt;"",1,0),0)</f>
        <v>0</v>
      </c>
      <c r="N316">
        <f>IFERROR(IF(VLOOKUP(calendar[[#This Row],[Date]],BH!E:E,1,)&lt;&gt;"",1,0),0)</f>
        <v>0</v>
      </c>
      <c r="O316">
        <f>IFERROR(IF(VLOOKUP(calendar[[#This Row],[Date]],BH!G:G,1,)&lt;&gt;"",1,0),0)</f>
        <v>0</v>
      </c>
      <c r="P316">
        <f>IF(OR(calendar[[#This Row],[UK_BH]]=1,calendar[[#This Row],[WeekDay]]=1, calendar[[#This Row],[WeekDay]]=7),P315,P315+1)</f>
        <v>225</v>
      </c>
      <c r="Q316">
        <f>IF(OR(calendar[[#This Row],[FR_BH]]=1,calendar[[#This Row],[WeekDay]]=1, calendar[[#This Row],[WeekDay]]=7),P315,P315+1)</f>
        <v>225</v>
      </c>
      <c r="R316">
        <f>IF(OR(calendar[[#This Row],[SP_BH]]=1,calendar[[#This Row],[WeekDay]]=1, calendar[[#This Row],[WeekDay]]=7),P315,P315+1)</f>
        <v>225</v>
      </c>
      <c r="S316">
        <f>IF(OR(calendar[[#This Row],[PT_BH]]=1,calendar[[#This Row],[WeekDay]]=1, calendar[[#This Row],[WeekDay]]=7),P315,P315+1)</f>
        <v>225</v>
      </c>
    </row>
    <row r="317" spans="1:19" x14ac:dyDescent="0.25">
      <c r="A317" s="2">
        <v>43051</v>
      </c>
      <c r="B317" s="1">
        <f t="shared" si="23"/>
        <v>46</v>
      </c>
      <c r="C317">
        <f t="shared" si="25"/>
        <v>11</v>
      </c>
      <c r="D317" t="str">
        <f t="shared" si="26"/>
        <v>November</v>
      </c>
      <c r="E317">
        <f t="shared" si="27"/>
        <v>2017</v>
      </c>
      <c r="F317" t="str">
        <f>CONCATENATE(calendar[[#This Row],[Month]],"/",calendar[[#This Row],[Year]])</f>
        <v>11/2017</v>
      </c>
      <c r="G317">
        <f>WEEKDAY(calendar[[#This Row],[Date]],1)</f>
        <v>1</v>
      </c>
      <c r="H317" t="str">
        <f>TEXT(calendar[[#This Row],[WeekDay]],"dddd")</f>
        <v>Sunday</v>
      </c>
      <c r="I317">
        <f>IF((INT(calendar[[#This Row],[Count]]/7)-calendar[[#This Row],[Count]]/7)&lt;0,I316,I316+1)</f>
        <v>46</v>
      </c>
      <c r="J317">
        <f t="shared" si="24"/>
        <v>315</v>
      </c>
      <c r="K317">
        <f>IF(calendar[[#This Row],[Month]]&lt;4,1,IF(calendar[[#This Row],[Month]]&lt;7,2,IF(calendar[[#This Row],[Month]]&lt;10,3,4)))</f>
        <v>4</v>
      </c>
      <c r="L317">
        <f>IFERROR(IF(VLOOKUP(calendar[[#This Row],[Date]],BH!A:A,1,)&lt;&gt;"",1,0),0)</f>
        <v>0</v>
      </c>
      <c r="M317">
        <f>IFERROR(IF(VLOOKUP(calendar[[#This Row],[Date]],BH!C:C,1,)&lt;&gt;"",1,0),0)</f>
        <v>0</v>
      </c>
      <c r="N317">
        <f>IFERROR(IF(VLOOKUP(calendar[[#This Row],[Date]],BH!E:E,1,)&lt;&gt;"",1,0),0)</f>
        <v>0</v>
      </c>
      <c r="O317">
        <f>IFERROR(IF(VLOOKUP(calendar[[#This Row],[Date]],BH!G:G,1,)&lt;&gt;"",1,0),0)</f>
        <v>0</v>
      </c>
      <c r="P317">
        <f>IF(OR(calendar[[#This Row],[UK_BH]]=1,calendar[[#This Row],[WeekDay]]=1, calendar[[#This Row],[WeekDay]]=7),P316,P316+1)</f>
        <v>225</v>
      </c>
      <c r="Q317">
        <f>IF(OR(calendar[[#This Row],[FR_BH]]=1,calendar[[#This Row],[WeekDay]]=1, calendar[[#This Row],[WeekDay]]=7),P316,P316+1)</f>
        <v>225</v>
      </c>
      <c r="R317">
        <f>IF(OR(calendar[[#This Row],[SP_BH]]=1,calendar[[#This Row],[WeekDay]]=1, calendar[[#This Row],[WeekDay]]=7),P316,P316+1)</f>
        <v>225</v>
      </c>
      <c r="S317">
        <f>IF(OR(calendar[[#This Row],[PT_BH]]=1,calendar[[#This Row],[WeekDay]]=1, calendar[[#This Row],[WeekDay]]=7),P316,P316+1)</f>
        <v>225</v>
      </c>
    </row>
    <row r="318" spans="1:19" x14ac:dyDescent="0.25">
      <c r="A318" s="2">
        <v>43052</v>
      </c>
      <c r="B318" s="1">
        <f t="shared" si="23"/>
        <v>46</v>
      </c>
      <c r="C318">
        <f t="shared" si="25"/>
        <v>11</v>
      </c>
      <c r="D318" t="str">
        <f t="shared" si="26"/>
        <v>November</v>
      </c>
      <c r="E318">
        <f t="shared" si="27"/>
        <v>2017</v>
      </c>
      <c r="F318" t="str">
        <f>CONCATENATE(calendar[[#This Row],[Month]],"/",calendar[[#This Row],[Year]])</f>
        <v>11/2017</v>
      </c>
      <c r="G318">
        <f>WEEKDAY(calendar[[#This Row],[Date]],1)</f>
        <v>2</v>
      </c>
      <c r="H318" t="str">
        <f>TEXT(calendar[[#This Row],[WeekDay]],"dddd")</f>
        <v>Monday</v>
      </c>
      <c r="I318">
        <f>IF((INT(calendar[[#This Row],[Count]]/7)-calendar[[#This Row],[Count]]/7)&lt;0,I317,I317+1)</f>
        <v>46</v>
      </c>
      <c r="J318">
        <f t="shared" si="24"/>
        <v>316</v>
      </c>
      <c r="K318">
        <f>IF(calendar[[#This Row],[Month]]&lt;4,1,IF(calendar[[#This Row],[Month]]&lt;7,2,IF(calendar[[#This Row],[Month]]&lt;10,3,4)))</f>
        <v>4</v>
      </c>
      <c r="L318">
        <f>IFERROR(IF(VLOOKUP(calendar[[#This Row],[Date]],BH!A:A,1,)&lt;&gt;"",1,0),0)</f>
        <v>0</v>
      </c>
      <c r="M318">
        <f>IFERROR(IF(VLOOKUP(calendar[[#This Row],[Date]],BH!C:C,1,)&lt;&gt;"",1,0),0)</f>
        <v>0</v>
      </c>
      <c r="N318">
        <f>IFERROR(IF(VLOOKUP(calendar[[#This Row],[Date]],BH!E:E,1,)&lt;&gt;"",1,0),0)</f>
        <v>0</v>
      </c>
      <c r="O318">
        <f>IFERROR(IF(VLOOKUP(calendar[[#This Row],[Date]],BH!G:G,1,)&lt;&gt;"",1,0),0)</f>
        <v>0</v>
      </c>
      <c r="P318">
        <f>IF(OR(calendar[[#This Row],[UK_BH]]=1,calendar[[#This Row],[WeekDay]]=1, calendar[[#This Row],[WeekDay]]=7),P317,P317+1)</f>
        <v>226</v>
      </c>
      <c r="Q318">
        <f>IF(OR(calendar[[#This Row],[FR_BH]]=1,calendar[[#This Row],[WeekDay]]=1, calendar[[#This Row],[WeekDay]]=7),P317,P317+1)</f>
        <v>226</v>
      </c>
      <c r="R318">
        <f>IF(OR(calendar[[#This Row],[SP_BH]]=1,calendar[[#This Row],[WeekDay]]=1, calendar[[#This Row],[WeekDay]]=7),P317,P317+1)</f>
        <v>226</v>
      </c>
      <c r="S318">
        <f>IF(OR(calendar[[#This Row],[PT_BH]]=1,calendar[[#This Row],[WeekDay]]=1, calendar[[#This Row],[WeekDay]]=7),P317,P317+1)</f>
        <v>226</v>
      </c>
    </row>
    <row r="319" spans="1:19" x14ac:dyDescent="0.25">
      <c r="A319" s="2">
        <v>43053</v>
      </c>
      <c r="B319" s="1">
        <f t="shared" si="23"/>
        <v>46</v>
      </c>
      <c r="C319">
        <f t="shared" si="25"/>
        <v>11</v>
      </c>
      <c r="D319" t="str">
        <f t="shared" si="26"/>
        <v>November</v>
      </c>
      <c r="E319">
        <f t="shared" si="27"/>
        <v>2017</v>
      </c>
      <c r="F319" t="str">
        <f>CONCATENATE(calendar[[#This Row],[Month]],"/",calendar[[#This Row],[Year]])</f>
        <v>11/2017</v>
      </c>
      <c r="G319">
        <f>WEEKDAY(calendar[[#This Row],[Date]],1)</f>
        <v>3</v>
      </c>
      <c r="H319" t="str">
        <f>TEXT(calendar[[#This Row],[WeekDay]],"dddd")</f>
        <v>Tuesday</v>
      </c>
      <c r="I319">
        <f>IF((INT(calendar[[#This Row],[Count]]/7)-calendar[[#This Row],[Count]]/7)&lt;0,I318,I318+1)</f>
        <v>46</v>
      </c>
      <c r="J319">
        <f t="shared" si="24"/>
        <v>317</v>
      </c>
      <c r="K319">
        <f>IF(calendar[[#This Row],[Month]]&lt;4,1,IF(calendar[[#This Row],[Month]]&lt;7,2,IF(calendar[[#This Row],[Month]]&lt;10,3,4)))</f>
        <v>4</v>
      </c>
      <c r="L319">
        <f>IFERROR(IF(VLOOKUP(calendar[[#This Row],[Date]],BH!A:A,1,)&lt;&gt;"",1,0),0)</f>
        <v>0</v>
      </c>
      <c r="M319">
        <f>IFERROR(IF(VLOOKUP(calendar[[#This Row],[Date]],BH!C:C,1,)&lt;&gt;"",1,0),0)</f>
        <v>0</v>
      </c>
      <c r="N319">
        <f>IFERROR(IF(VLOOKUP(calendar[[#This Row],[Date]],BH!E:E,1,)&lt;&gt;"",1,0),0)</f>
        <v>0</v>
      </c>
      <c r="O319">
        <f>IFERROR(IF(VLOOKUP(calendar[[#This Row],[Date]],BH!G:G,1,)&lt;&gt;"",1,0),0)</f>
        <v>0</v>
      </c>
      <c r="P319">
        <f>IF(OR(calendar[[#This Row],[UK_BH]]=1,calendar[[#This Row],[WeekDay]]=1, calendar[[#This Row],[WeekDay]]=7),P318,P318+1)</f>
        <v>227</v>
      </c>
      <c r="Q319">
        <f>IF(OR(calendar[[#This Row],[FR_BH]]=1,calendar[[#This Row],[WeekDay]]=1, calendar[[#This Row],[WeekDay]]=7),P318,P318+1)</f>
        <v>227</v>
      </c>
      <c r="R319">
        <f>IF(OR(calendar[[#This Row],[SP_BH]]=1,calendar[[#This Row],[WeekDay]]=1, calendar[[#This Row],[WeekDay]]=7),P318,P318+1)</f>
        <v>227</v>
      </c>
      <c r="S319">
        <f>IF(OR(calendar[[#This Row],[PT_BH]]=1,calendar[[#This Row],[WeekDay]]=1, calendar[[#This Row],[WeekDay]]=7),P318,P318+1)</f>
        <v>227</v>
      </c>
    </row>
    <row r="320" spans="1:19" x14ac:dyDescent="0.25">
      <c r="A320" s="2">
        <v>43054</v>
      </c>
      <c r="B320" s="1">
        <f t="shared" si="23"/>
        <v>46</v>
      </c>
      <c r="C320">
        <f t="shared" si="25"/>
        <v>11</v>
      </c>
      <c r="D320" t="str">
        <f t="shared" si="26"/>
        <v>November</v>
      </c>
      <c r="E320">
        <f t="shared" si="27"/>
        <v>2017</v>
      </c>
      <c r="F320" t="str">
        <f>CONCATENATE(calendar[[#This Row],[Month]],"/",calendar[[#This Row],[Year]])</f>
        <v>11/2017</v>
      </c>
      <c r="G320">
        <f>WEEKDAY(calendar[[#This Row],[Date]],1)</f>
        <v>4</v>
      </c>
      <c r="H320" t="str">
        <f>TEXT(calendar[[#This Row],[WeekDay]],"dddd")</f>
        <v>Wednesday</v>
      </c>
      <c r="I320">
        <f>IF((INT(calendar[[#This Row],[Count]]/7)-calendar[[#This Row],[Count]]/7)&lt;0,I319,I319+1)</f>
        <v>46</v>
      </c>
      <c r="J320">
        <f t="shared" si="24"/>
        <v>318</v>
      </c>
      <c r="K320">
        <f>IF(calendar[[#This Row],[Month]]&lt;4,1,IF(calendar[[#This Row],[Month]]&lt;7,2,IF(calendar[[#This Row],[Month]]&lt;10,3,4)))</f>
        <v>4</v>
      </c>
      <c r="L320">
        <f>IFERROR(IF(VLOOKUP(calendar[[#This Row],[Date]],BH!A:A,1,)&lt;&gt;"",1,0),0)</f>
        <v>0</v>
      </c>
      <c r="M320">
        <f>IFERROR(IF(VLOOKUP(calendar[[#This Row],[Date]],BH!C:C,1,)&lt;&gt;"",1,0),0)</f>
        <v>0</v>
      </c>
      <c r="N320">
        <f>IFERROR(IF(VLOOKUP(calendar[[#This Row],[Date]],BH!E:E,1,)&lt;&gt;"",1,0),0)</f>
        <v>0</v>
      </c>
      <c r="O320">
        <f>IFERROR(IF(VLOOKUP(calendar[[#This Row],[Date]],BH!G:G,1,)&lt;&gt;"",1,0),0)</f>
        <v>0</v>
      </c>
      <c r="P320">
        <f>IF(OR(calendar[[#This Row],[UK_BH]]=1,calendar[[#This Row],[WeekDay]]=1, calendar[[#This Row],[WeekDay]]=7),P319,P319+1)</f>
        <v>228</v>
      </c>
      <c r="Q320">
        <f>IF(OR(calendar[[#This Row],[FR_BH]]=1,calendar[[#This Row],[WeekDay]]=1, calendar[[#This Row],[WeekDay]]=7),P319,P319+1)</f>
        <v>228</v>
      </c>
      <c r="R320">
        <f>IF(OR(calendar[[#This Row],[SP_BH]]=1,calendar[[#This Row],[WeekDay]]=1, calendar[[#This Row],[WeekDay]]=7),P319,P319+1)</f>
        <v>228</v>
      </c>
      <c r="S320">
        <f>IF(OR(calendar[[#This Row],[PT_BH]]=1,calendar[[#This Row],[WeekDay]]=1, calendar[[#This Row],[WeekDay]]=7),P319,P319+1)</f>
        <v>228</v>
      </c>
    </row>
    <row r="321" spans="1:19" x14ac:dyDescent="0.25">
      <c r="A321" s="2">
        <v>43055</v>
      </c>
      <c r="B321" s="1">
        <f t="shared" si="23"/>
        <v>46</v>
      </c>
      <c r="C321">
        <f t="shared" si="25"/>
        <v>11</v>
      </c>
      <c r="D321" t="str">
        <f t="shared" si="26"/>
        <v>November</v>
      </c>
      <c r="E321">
        <f t="shared" si="27"/>
        <v>2017</v>
      </c>
      <c r="F321" t="str">
        <f>CONCATENATE(calendar[[#This Row],[Month]],"/",calendar[[#This Row],[Year]])</f>
        <v>11/2017</v>
      </c>
      <c r="G321">
        <f>WEEKDAY(calendar[[#This Row],[Date]],1)</f>
        <v>5</v>
      </c>
      <c r="H321" t="str">
        <f>TEXT(calendar[[#This Row],[WeekDay]],"dddd")</f>
        <v>Thursday</v>
      </c>
      <c r="I321">
        <f>IF((INT(calendar[[#This Row],[Count]]/7)-calendar[[#This Row],[Count]]/7)&lt;0,I320,I320+1)</f>
        <v>46</v>
      </c>
      <c r="J321">
        <f t="shared" si="24"/>
        <v>319</v>
      </c>
      <c r="K321">
        <f>IF(calendar[[#This Row],[Month]]&lt;4,1,IF(calendar[[#This Row],[Month]]&lt;7,2,IF(calendar[[#This Row],[Month]]&lt;10,3,4)))</f>
        <v>4</v>
      </c>
      <c r="L321">
        <f>IFERROR(IF(VLOOKUP(calendar[[#This Row],[Date]],BH!A:A,1,)&lt;&gt;"",1,0),0)</f>
        <v>0</v>
      </c>
      <c r="M321">
        <f>IFERROR(IF(VLOOKUP(calendar[[#This Row],[Date]],BH!C:C,1,)&lt;&gt;"",1,0),0)</f>
        <v>0</v>
      </c>
      <c r="N321">
        <f>IFERROR(IF(VLOOKUP(calendar[[#This Row],[Date]],BH!E:E,1,)&lt;&gt;"",1,0),0)</f>
        <v>0</v>
      </c>
      <c r="O321">
        <f>IFERROR(IF(VLOOKUP(calendar[[#This Row],[Date]],BH!G:G,1,)&lt;&gt;"",1,0),0)</f>
        <v>0</v>
      </c>
      <c r="P321">
        <f>IF(OR(calendar[[#This Row],[UK_BH]]=1,calendar[[#This Row],[WeekDay]]=1, calendar[[#This Row],[WeekDay]]=7),P320,P320+1)</f>
        <v>229</v>
      </c>
      <c r="Q321">
        <f>IF(OR(calendar[[#This Row],[FR_BH]]=1,calendar[[#This Row],[WeekDay]]=1, calendar[[#This Row],[WeekDay]]=7),P320,P320+1)</f>
        <v>229</v>
      </c>
      <c r="R321">
        <f>IF(OR(calendar[[#This Row],[SP_BH]]=1,calendar[[#This Row],[WeekDay]]=1, calendar[[#This Row],[WeekDay]]=7),P320,P320+1)</f>
        <v>229</v>
      </c>
      <c r="S321">
        <f>IF(OR(calendar[[#This Row],[PT_BH]]=1,calendar[[#This Row],[WeekDay]]=1, calendar[[#This Row],[WeekDay]]=7),P320,P320+1)</f>
        <v>229</v>
      </c>
    </row>
    <row r="322" spans="1:19" x14ac:dyDescent="0.25">
      <c r="A322" s="2">
        <v>43056</v>
      </c>
      <c r="B322" s="1">
        <f t="shared" ref="B322:B385" si="28">WEEKNUM(A322)</f>
        <v>46</v>
      </c>
      <c r="C322">
        <f t="shared" si="25"/>
        <v>11</v>
      </c>
      <c r="D322" t="str">
        <f t="shared" si="26"/>
        <v>November</v>
      </c>
      <c r="E322">
        <f t="shared" si="27"/>
        <v>2017</v>
      </c>
      <c r="F322" t="str">
        <f>CONCATENATE(calendar[[#This Row],[Month]],"/",calendar[[#This Row],[Year]])</f>
        <v>11/2017</v>
      </c>
      <c r="G322">
        <f>WEEKDAY(calendar[[#This Row],[Date]],1)</f>
        <v>6</v>
      </c>
      <c r="H322" t="str">
        <f>TEXT(calendar[[#This Row],[WeekDay]],"dddd")</f>
        <v>Friday</v>
      </c>
      <c r="I322">
        <f>IF((INT(calendar[[#This Row],[Count]]/7)-calendar[[#This Row],[Count]]/7)&lt;0,I321,I321+1)</f>
        <v>46</v>
      </c>
      <c r="J322">
        <f t="shared" si="24"/>
        <v>320</v>
      </c>
      <c r="K322">
        <f>IF(calendar[[#This Row],[Month]]&lt;4,1,IF(calendar[[#This Row],[Month]]&lt;7,2,IF(calendar[[#This Row],[Month]]&lt;10,3,4)))</f>
        <v>4</v>
      </c>
      <c r="L322">
        <f>IFERROR(IF(VLOOKUP(calendar[[#This Row],[Date]],BH!A:A,1,)&lt;&gt;"",1,0),0)</f>
        <v>0</v>
      </c>
      <c r="M322">
        <f>IFERROR(IF(VLOOKUP(calendar[[#This Row],[Date]],BH!C:C,1,)&lt;&gt;"",1,0),0)</f>
        <v>0</v>
      </c>
      <c r="N322">
        <f>IFERROR(IF(VLOOKUP(calendar[[#This Row],[Date]],BH!E:E,1,)&lt;&gt;"",1,0),0)</f>
        <v>0</v>
      </c>
      <c r="O322">
        <f>IFERROR(IF(VLOOKUP(calendar[[#This Row],[Date]],BH!G:G,1,)&lt;&gt;"",1,0),0)</f>
        <v>0</v>
      </c>
      <c r="P322">
        <f>IF(OR(calendar[[#This Row],[UK_BH]]=1,calendar[[#This Row],[WeekDay]]=1, calendar[[#This Row],[WeekDay]]=7),P321,P321+1)</f>
        <v>230</v>
      </c>
      <c r="Q322">
        <f>IF(OR(calendar[[#This Row],[FR_BH]]=1,calendar[[#This Row],[WeekDay]]=1, calendar[[#This Row],[WeekDay]]=7),P321,P321+1)</f>
        <v>230</v>
      </c>
      <c r="R322">
        <f>IF(OR(calendar[[#This Row],[SP_BH]]=1,calendar[[#This Row],[WeekDay]]=1, calendar[[#This Row],[WeekDay]]=7),P321,P321+1)</f>
        <v>230</v>
      </c>
      <c r="S322">
        <f>IF(OR(calendar[[#This Row],[PT_BH]]=1,calendar[[#This Row],[WeekDay]]=1, calendar[[#This Row],[WeekDay]]=7),P321,P321+1)</f>
        <v>230</v>
      </c>
    </row>
    <row r="323" spans="1:19" x14ac:dyDescent="0.25">
      <c r="A323" s="2">
        <v>43057</v>
      </c>
      <c r="B323" s="1">
        <f t="shared" si="28"/>
        <v>46</v>
      </c>
      <c r="C323">
        <f t="shared" si="25"/>
        <v>11</v>
      </c>
      <c r="D323" t="str">
        <f t="shared" si="26"/>
        <v>November</v>
      </c>
      <c r="E323">
        <f t="shared" si="27"/>
        <v>2017</v>
      </c>
      <c r="F323" t="str">
        <f>CONCATENATE(calendar[[#This Row],[Month]],"/",calendar[[#This Row],[Year]])</f>
        <v>11/2017</v>
      </c>
      <c r="G323">
        <f>WEEKDAY(calendar[[#This Row],[Date]],1)</f>
        <v>7</v>
      </c>
      <c r="H323" t="str">
        <f>TEXT(calendar[[#This Row],[WeekDay]],"dddd")</f>
        <v>Saturday</v>
      </c>
      <c r="I323">
        <f>IF((INT(calendar[[#This Row],[Count]]/7)-calendar[[#This Row],[Count]]/7)&lt;0,I322,I322+1)</f>
        <v>46</v>
      </c>
      <c r="J323">
        <f t="shared" ref="J323:J386" si="29">J322+1</f>
        <v>321</v>
      </c>
      <c r="K323">
        <f>IF(calendar[[#This Row],[Month]]&lt;4,1,IF(calendar[[#This Row],[Month]]&lt;7,2,IF(calendar[[#This Row],[Month]]&lt;10,3,4)))</f>
        <v>4</v>
      </c>
      <c r="L323">
        <f>IFERROR(IF(VLOOKUP(calendar[[#This Row],[Date]],BH!A:A,1,)&lt;&gt;"",1,0),0)</f>
        <v>0</v>
      </c>
      <c r="M323">
        <f>IFERROR(IF(VLOOKUP(calendar[[#This Row],[Date]],BH!C:C,1,)&lt;&gt;"",1,0),0)</f>
        <v>0</v>
      </c>
      <c r="N323">
        <f>IFERROR(IF(VLOOKUP(calendar[[#This Row],[Date]],BH!E:E,1,)&lt;&gt;"",1,0),0)</f>
        <v>0</v>
      </c>
      <c r="O323">
        <f>IFERROR(IF(VLOOKUP(calendar[[#This Row],[Date]],BH!G:G,1,)&lt;&gt;"",1,0),0)</f>
        <v>0</v>
      </c>
      <c r="P323">
        <f>IF(OR(calendar[[#This Row],[UK_BH]]=1,calendar[[#This Row],[WeekDay]]=1, calendar[[#This Row],[WeekDay]]=7),P322,P322+1)</f>
        <v>230</v>
      </c>
      <c r="Q323">
        <f>IF(OR(calendar[[#This Row],[FR_BH]]=1,calendar[[#This Row],[WeekDay]]=1, calendar[[#This Row],[WeekDay]]=7),P322,P322+1)</f>
        <v>230</v>
      </c>
      <c r="R323">
        <f>IF(OR(calendar[[#This Row],[SP_BH]]=1,calendar[[#This Row],[WeekDay]]=1, calendar[[#This Row],[WeekDay]]=7),P322,P322+1)</f>
        <v>230</v>
      </c>
      <c r="S323">
        <f>IF(OR(calendar[[#This Row],[PT_BH]]=1,calendar[[#This Row],[WeekDay]]=1, calendar[[#This Row],[WeekDay]]=7),P322,P322+1)</f>
        <v>230</v>
      </c>
    </row>
    <row r="324" spans="1:19" x14ac:dyDescent="0.25">
      <c r="A324" s="2">
        <v>43058</v>
      </c>
      <c r="B324" s="1">
        <f t="shared" si="28"/>
        <v>47</v>
      </c>
      <c r="C324">
        <f t="shared" si="25"/>
        <v>11</v>
      </c>
      <c r="D324" t="str">
        <f t="shared" si="26"/>
        <v>November</v>
      </c>
      <c r="E324">
        <f t="shared" si="27"/>
        <v>2017</v>
      </c>
      <c r="F324" t="str">
        <f>CONCATENATE(calendar[[#This Row],[Month]],"/",calendar[[#This Row],[Year]])</f>
        <v>11/2017</v>
      </c>
      <c r="G324">
        <f>WEEKDAY(calendar[[#This Row],[Date]],1)</f>
        <v>1</v>
      </c>
      <c r="H324" t="str">
        <f>TEXT(calendar[[#This Row],[WeekDay]],"dddd")</f>
        <v>Sunday</v>
      </c>
      <c r="I324">
        <f>IF((INT(calendar[[#This Row],[Count]]/7)-calendar[[#This Row],[Count]]/7)&lt;0,I323,I323+1)</f>
        <v>47</v>
      </c>
      <c r="J324">
        <f t="shared" si="29"/>
        <v>322</v>
      </c>
      <c r="K324">
        <f>IF(calendar[[#This Row],[Month]]&lt;4,1,IF(calendar[[#This Row],[Month]]&lt;7,2,IF(calendar[[#This Row],[Month]]&lt;10,3,4)))</f>
        <v>4</v>
      </c>
      <c r="L324">
        <f>IFERROR(IF(VLOOKUP(calendar[[#This Row],[Date]],BH!A:A,1,)&lt;&gt;"",1,0),0)</f>
        <v>0</v>
      </c>
      <c r="M324">
        <f>IFERROR(IF(VLOOKUP(calendar[[#This Row],[Date]],BH!C:C,1,)&lt;&gt;"",1,0),0)</f>
        <v>0</v>
      </c>
      <c r="N324">
        <f>IFERROR(IF(VLOOKUP(calendar[[#This Row],[Date]],BH!E:E,1,)&lt;&gt;"",1,0),0)</f>
        <v>0</v>
      </c>
      <c r="O324">
        <f>IFERROR(IF(VLOOKUP(calendar[[#This Row],[Date]],BH!G:G,1,)&lt;&gt;"",1,0),0)</f>
        <v>0</v>
      </c>
      <c r="P324">
        <f>IF(OR(calendar[[#This Row],[UK_BH]]=1,calendar[[#This Row],[WeekDay]]=1, calendar[[#This Row],[WeekDay]]=7),P323,P323+1)</f>
        <v>230</v>
      </c>
      <c r="Q324">
        <f>IF(OR(calendar[[#This Row],[FR_BH]]=1,calendar[[#This Row],[WeekDay]]=1, calendar[[#This Row],[WeekDay]]=7),P323,P323+1)</f>
        <v>230</v>
      </c>
      <c r="R324">
        <f>IF(OR(calendar[[#This Row],[SP_BH]]=1,calendar[[#This Row],[WeekDay]]=1, calendar[[#This Row],[WeekDay]]=7),P323,P323+1)</f>
        <v>230</v>
      </c>
      <c r="S324">
        <f>IF(OR(calendar[[#This Row],[PT_BH]]=1,calendar[[#This Row],[WeekDay]]=1, calendar[[#This Row],[WeekDay]]=7),P323,P323+1)</f>
        <v>230</v>
      </c>
    </row>
    <row r="325" spans="1:19" x14ac:dyDescent="0.25">
      <c r="A325" s="2">
        <v>43059</v>
      </c>
      <c r="B325" s="1">
        <f t="shared" si="28"/>
        <v>47</v>
      </c>
      <c r="C325">
        <f t="shared" si="25"/>
        <v>11</v>
      </c>
      <c r="D325" t="str">
        <f t="shared" si="26"/>
        <v>November</v>
      </c>
      <c r="E325">
        <f t="shared" si="27"/>
        <v>2017</v>
      </c>
      <c r="F325" t="str">
        <f>CONCATENATE(calendar[[#This Row],[Month]],"/",calendar[[#This Row],[Year]])</f>
        <v>11/2017</v>
      </c>
      <c r="G325">
        <f>WEEKDAY(calendar[[#This Row],[Date]],1)</f>
        <v>2</v>
      </c>
      <c r="H325" t="str">
        <f>TEXT(calendar[[#This Row],[WeekDay]],"dddd")</f>
        <v>Monday</v>
      </c>
      <c r="I325">
        <f>IF((INT(calendar[[#This Row],[Count]]/7)-calendar[[#This Row],[Count]]/7)&lt;0,I324,I324+1)</f>
        <v>47</v>
      </c>
      <c r="J325">
        <f t="shared" si="29"/>
        <v>323</v>
      </c>
      <c r="K325">
        <f>IF(calendar[[#This Row],[Month]]&lt;4,1,IF(calendar[[#This Row],[Month]]&lt;7,2,IF(calendar[[#This Row],[Month]]&lt;10,3,4)))</f>
        <v>4</v>
      </c>
      <c r="L325">
        <f>IFERROR(IF(VLOOKUP(calendar[[#This Row],[Date]],BH!A:A,1,)&lt;&gt;"",1,0),0)</f>
        <v>0</v>
      </c>
      <c r="M325">
        <f>IFERROR(IF(VLOOKUP(calendar[[#This Row],[Date]],BH!C:C,1,)&lt;&gt;"",1,0),0)</f>
        <v>0</v>
      </c>
      <c r="N325">
        <f>IFERROR(IF(VLOOKUP(calendar[[#This Row],[Date]],BH!E:E,1,)&lt;&gt;"",1,0),0)</f>
        <v>0</v>
      </c>
      <c r="O325">
        <f>IFERROR(IF(VLOOKUP(calendar[[#This Row],[Date]],BH!G:G,1,)&lt;&gt;"",1,0),0)</f>
        <v>0</v>
      </c>
      <c r="P325">
        <f>IF(OR(calendar[[#This Row],[UK_BH]]=1,calendar[[#This Row],[WeekDay]]=1, calendar[[#This Row],[WeekDay]]=7),P324,P324+1)</f>
        <v>231</v>
      </c>
      <c r="Q325">
        <f>IF(OR(calendar[[#This Row],[FR_BH]]=1,calendar[[#This Row],[WeekDay]]=1, calendar[[#This Row],[WeekDay]]=7),P324,P324+1)</f>
        <v>231</v>
      </c>
      <c r="R325">
        <f>IF(OR(calendar[[#This Row],[SP_BH]]=1,calendar[[#This Row],[WeekDay]]=1, calendar[[#This Row],[WeekDay]]=7),P324,P324+1)</f>
        <v>231</v>
      </c>
      <c r="S325">
        <f>IF(OR(calendar[[#This Row],[PT_BH]]=1,calendar[[#This Row],[WeekDay]]=1, calendar[[#This Row],[WeekDay]]=7),P324,P324+1)</f>
        <v>231</v>
      </c>
    </row>
    <row r="326" spans="1:19" x14ac:dyDescent="0.25">
      <c r="A326" s="2">
        <v>43060</v>
      </c>
      <c r="B326" s="1">
        <f t="shared" si="28"/>
        <v>47</v>
      </c>
      <c r="C326">
        <f t="shared" si="25"/>
        <v>11</v>
      </c>
      <c r="D326" t="str">
        <f t="shared" si="26"/>
        <v>November</v>
      </c>
      <c r="E326">
        <f t="shared" si="27"/>
        <v>2017</v>
      </c>
      <c r="F326" t="str">
        <f>CONCATENATE(calendar[[#This Row],[Month]],"/",calendar[[#This Row],[Year]])</f>
        <v>11/2017</v>
      </c>
      <c r="G326">
        <f>WEEKDAY(calendar[[#This Row],[Date]],1)</f>
        <v>3</v>
      </c>
      <c r="H326" t="str">
        <f>TEXT(calendar[[#This Row],[WeekDay]],"dddd")</f>
        <v>Tuesday</v>
      </c>
      <c r="I326">
        <f>IF((INT(calendar[[#This Row],[Count]]/7)-calendar[[#This Row],[Count]]/7)&lt;0,I325,I325+1)</f>
        <v>47</v>
      </c>
      <c r="J326">
        <f t="shared" si="29"/>
        <v>324</v>
      </c>
      <c r="K326">
        <f>IF(calendar[[#This Row],[Month]]&lt;4,1,IF(calendar[[#This Row],[Month]]&lt;7,2,IF(calendar[[#This Row],[Month]]&lt;10,3,4)))</f>
        <v>4</v>
      </c>
      <c r="L326">
        <f>IFERROR(IF(VLOOKUP(calendar[[#This Row],[Date]],BH!A:A,1,)&lt;&gt;"",1,0),0)</f>
        <v>0</v>
      </c>
      <c r="M326">
        <f>IFERROR(IF(VLOOKUP(calendar[[#This Row],[Date]],BH!C:C,1,)&lt;&gt;"",1,0),0)</f>
        <v>0</v>
      </c>
      <c r="N326">
        <f>IFERROR(IF(VLOOKUP(calendar[[#This Row],[Date]],BH!E:E,1,)&lt;&gt;"",1,0),0)</f>
        <v>0</v>
      </c>
      <c r="O326">
        <f>IFERROR(IF(VLOOKUP(calendar[[#This Row],[Date]],BH!G:G,1,)&lt;&gt;"",1,0),0)</f>
        <v>0</v>
      </c>
      <c r="P326">
        <f>IF(OR(calendar[[#This Row],[UK_BH]]=1,calendar[[#This Row],[WeekDay]]=1, calendar[[#This Row],[WeekDay]]=7),P325,P325+1)</f>
        <v>232</v>
      </c>
      <c r="Q326">
        <f>IF(OR(calendar[[#This Row],[FR_BH]]=1,calendar[[#This Row],[WeekDay]]=1, calendar[[#This Row],[WeekDay]]=7),P325,P325+1)</f>
        <v>232</v>
      </c>
      <c r="R326">
        <f>IF(OR(calendar[[#This Row],[SP_BH]]=1,calendar[[#This Row],[WeekDay]]=1, calendar[[#This Row],[WeekDay]]=7),P325,P325+1)</f>
        <v>232</v>
      </c>
      <c r="S326">
        <f>IF(OR(calendar[[#This Row],[PT_BH]]=1,calendar[[#This Row],[WeekDay]]=1, calendar[[#This Row],[WeekDay]]=7),P325,P325+1)</f>
        <v>232</v>
      </c>
    </row>
    <row r="327" spans="1:19" x14ac:dyDescent="0.25">
      <c r="A327" s="2">
        <v>43061</v>
      </c>
      <c r="B327" s="1">
        <f t="shared" si="28"/>
        <v>47</v>
      </c>
      <c r="C327">
        <f t="shared" si="25"/>
        <v>11</v>
      </c>
      <c r="D327" t="str">
        <f t="shared" si="26"/>
        <v>November</v>
      </c>
      <c r="E327">
        <f t="shared" si="27"/>
        <v>2017</v>
      </c>
      <c r="F327" t="str">
        <f>CONCATENATE(calendar[[#This Row],[Month]],"/",calendar[[#This Row],[Year]])</f>
        <v>11/2017</v>
      </c>
      <c r="G327">
        <f>WEEKDAY(calendar[[#This Row],[Date]],1)</f>
        <v>4</v>
      </c>
      <c r="H327" t="str">
        <f>TEXT(calendar[[#This Row],[WeekDay]],"dddd")</f>
        <v>Wednesday</v>
      </c>
      <c r="I327">
        <f>IF((INT(calendar[[#This Row],[Count]]/7)-calendar[[#This Row],[Count]]/7)&lt;0,I326,I326+1)</f>
        <v>47</v>
      </c>
      <c r="J327">
        <f t="shared" si="29"/>
        <v>325</v>
      </c>
      <c r="K327">
        <f>IF(calendar[[#This Row],[Month]]&lt;4,1,IF(calendar[[#This Row],[Month]]&lt;7,2,IF(calendar[[#This Row],[Month]]&lt;10,3,4)))</f>
        <v>4</v>
      </c>
      <c r="L327">
        <f>IFERROR(IF(VLOOKUP(calendar[[#This Row],[Date]],BH!A:A,1,)&lt;&gt;"",1,0),0)</f>
        <v>0</v>
      </c>
      <c r="M327">
        <f>IFERROR(IF(VLOOKUP(calendar[[#This Row],[Date]],BH!C:C,1,)&lt;&gt;"",1,0),0)</f>
        <v>0</v>
      </c>
      <c r="N327">
        <f>IFERROR(IF(VLOOKUP(calendar[[#This Row],[Date]],BH!E:E,1,)&lt;&gt;"",1,0),0)</f>
        <v>0</v>
      </c>
      <c r="O327">
        <f>IFERROR(IF(VLOOKUP(calendar[[#This Row],[Date]],BH!G:G,1,)&lt;&gt;"",1,0),0)</f>
        <v>0</v>
      </c>
      <c r="P327">
        <f>IF(OR(calendar[[#This Row],[UK_BH]]=1,calendar[[#This Row],[WeekDay]]=1, calendar[[#This Row],[WeekDay]]=7),P326,P326+1)</f>
        <v>233</v>
      </c>
      <c r="Q327">
        <f>IF(OR(calendar[[#This Row],[FR_BH]]=1,calendar[[#This Row],[WeekDay]]=1, calendar[[#This Row],[WeekDay]]=7),P326,P326+1)</f>
        <v>233</v>
      </c>
      <c r="R327">
        <f>IF(OR(calendar[[#This Row],[SP_BH]]=1,calendar[[#This Row],[WeekDay]]=1, calendar[[#This Row],[WeekDay]]=7),P326,P326+1)</f>
        <v>233</v>
      </c>
      <c r="S327">
        <f>IF(OR(calendar[[#This Row],[PT_BH]]=1,calendar[[#This Row],[WeekDay]]=1, calendar[[#This Row],[WeekDay]]=7),P326,P326+1)</f>
        <v>233</v>
      </c>
    </row>
    <row r="328" spans="1:19" x14ac:dyDescent="0.25">
      <c r="A328" s="2">
        <v>43062</v>
      </c>
      <c r="B328" s="1">
        <f t="shared" si="28"/>
        <v>47</v>
      </c>
      <c r="C328">
        <f t="shared" si="25"/>
        <v>11</v>
      </c>
      <c r="D328" t="str">
        <f t="shared" si="26"/>
        <v>November</v>
      </c>
      <c r="E328">
        <f t="shared" si="27"/>
        <v>2017</v>
      </c>
      <c r="F328" t="str">
        <f>CONCATENATE(calendar[[#This Row],[Month]],"/",calendar[[#This Row],[Year]])</f>
        <v>11/2017</v>
      </c>
      <c r="G328">
        <f>WEEKDAY(calendar[[#This Row],[Date]],1)</f>
        <v>5</v>
      </c>
      <c r="H328" t="str">
        <f>TEXT(calendar[[#This Row],[WeekDay]],"dddd")</f>
        <v>Thursday</v>
      </c>
      <c r="I328">
        <f>IF((INT(calendar[[#This Row],[Count]]/7)-calendar[[#This Row],[Count]]/7)&lt;0,I327,I327+1)</f>
        <v>47</v>
      </c>
      <c r="J328">
        <f t="shared" si="29"/>
        <v>326</v>
      </c>
      <c r="K328">
        <f>IF(calendar[[#This Row],[Month]]&lt;4,1,IF(calendar[[#This Row],[Month]]&lt;7,2,IF(calendar[[#This Row],[Month]]&lt;10,3,4)))</f>
        <v>4</v>
      </c>
      <c r="L328">
        <f>IFERROR(IF(VLOOKUP(calendar[[#This Row],[Date]],BH!A:A,1,)&lt;&gt;"",1,0),0)</f>
        <v>0</v>
      </c>
      <c r="M328">
        <f>IFERROR(IF(VLOOKUP(calendar[[#This Row],[Date]],BH!C:C,1,)&lt;&gt;"",1,0),0)</f>
        <v>0</v>
      </c>
      <c r="N328">
        <f>IFERROR(IF(VLOOKUP(calendar[[#This Row],[Date]],BH!E:E,1,)&lt;&gt;"",1,0),0)</f>
        <v>0</v>
      </c>
      <c r="O328">
        <f>IFERROR(IF(VLOOKUP(calendar[[#This Row],[Date]],BH!G:G,1,)&lt;&gt;"",1,0),0)</f>
        <v>0</v>
      </c>
      <c r="P328">
        <f>IF(OR(calendar[[#This Row],[UK_BH]]=1,calendar[[#This Row],[WeekDay]]=1, calendar[[#This Row],[WeekDay]]=7),P327,P327+1)</f>
        <v>234</v>
      </c>
      <c r="Q328">
        <f>IF(OR(calendar[[#This Row],[FR_BH]]=1,calendar[[#This Row],[WeekDay]]=1, calendar[[#This Row],[WeekDay]]=7),P327,P327+1)</f>
        <v>234</v>
      </c>
      <c r="R328">
        <f>IF(OR(calendar[[#This Row],[SP_BH]]=1,calendar[[#This Row],[WeekDay]]=1, calendar[[#This Row],[WeekDay]]=7),P327,P327+1)</f>
        <v>234</v>
      </c>
      <c r="S328">
        <f>IF(OR(calendar[[#This Row],[PT_BH]]=1,calendar[[#This Row],[WeekDay]]=1, calendar[[#This Row],[WeekDay]]=7),P327,P327+1)</f>
        <v>234</v>
      </c>
    </row>
    <row r="329" spans="1:19" x14ac:dyDescent="0.25">
      <c r="A329" s="2">
        <v>43063</v>
      </c>
      <c r="B329" s="1">
        <f t="shared" si="28"/>
        <v>47</v>
      </c>
      <c r="C329">
        <f t="shared" si="25"/>
        <v>11</v>
      </c>
      <c r="D329" t="str">
        <f t="shared" si="26"/>
        <v>November</v>
      </c>
      <c r="E329">
        <f t="shared" si="27"/>
        <v>2017</v>
      </c>
      <c r="F329" t="str">
        <f>CONCATENATE(calendar[[#This Row],[Month]],"/",calendar[[#This Row],[Year]])</f>
        <v>11/2017</v>
      </c>
      <c r="G329">
        <f>WEEKDAY(calendar[[#This Row],[Date]],1)</f>
        <v>6</v>
      </c>
      <c r="H329" t="str">
        <f>TEXT(calendar[[#This Row],[WeekDay]],"dddd")</f>
        <v>Friday</v>
      </c>
      <c r="I329">
        <f>IF((INT(calendar[[#This Row],[Count]]/7)-calendar[[#This Row],[Count]]/7)&lt;0,I328,I328+1)</f>
        <v>47</v>
      </c>
      <c r="J329">
        <f t="shared" si="29"/>
        <v>327</v>
      </c>
      <c r="K329">
        <f>IF(calendar[[#This Row],[Month]]&lt;4,1,IF(calendar[[#This Row],[Month]]&lt;7,2,IF(calendar[[#This Row],[Month]]&lt;10,3,4)))</f>
        <v>4</v>
      </c>
      <c r="L329">
        <f>IFERROR(IF(VLOOKUP(calendar[[#This Row],[Date]],BH!A:A,1,)&lt;&gt;"",1,0),0)</f>
        <v>0</v>
      </c>
      <c r="M329">
        <f>IFERROR(IF(VLOOKUP(calendar[[#This Row],[Date]],BH!C:C,1,)&lt;&gt;"",1,0),0)</f>
        <v>0</v>
      </c>
      <c r="N329">
        <f>IFERROR(IF(VLOOKUP(calendar[[#This Row],[Date]],BH!E:E,1,)&lt;&gt;"",1,0),0)</f>
        <v>0</v>
      </c>
      <c r="O329">
        <f>IFERROR(IF(VLOOKUP(calendar[[#This Row],[Date]],BH!G:G,1,)&lt;&gt;"",1,0),0)</f>
        <v>0</v>
      </c>
      <c r="P329">
        <f>IF(OR(calendar[[#This Row],[UK_BH]]=1,calendar[[#This Row],[WeekDay]]=1, calendar[[#This Row],[WeekDay]]=7),P328,P328+1)</f>
        <v>235</v>
      </c>
      <c r="Q329">
        <f>IF(OR(calendar[[#This Row],[FR_BH]]=1,calendar[[#This Row],[WeekDay]]=1, calendar[[#This Row],[WeekDay]]=7),P328,P328+1)</f>
        <v>235</v>
      </c>
      <c r="R329">
        <f>IF(OR(calendar[[#This Row],[SP_BH]]=1,calendar[[#This Row],[WeekDay]]=1, calendar[[#This Row],[WeekDay]]=7),P328,P328+1)</f>
        <v>235</v>
      </c>
      <c r="S329">
        <f>IF(OR(calendar[[#This Row],[PT_BH]]=1,calendar[[#This Row],[WeekDay]]=1, calendar[[#This Row],[WeekDay]]=7),P328,P328+1)</f>
        <v>235</v>
      </c>
    </row>
    <row r="330" spans="1:19" x14ac:dyDescent="0.25">
      <c r="A330" s="2">
        <v>43064</v>
      </c>
      <c r="B330" s="1">
        <f t="shared" si="28"/>
        <v>47</v>
      </c>
      <c r="C330">
        <f t="shared" si="25"/>
        <v>11</v>
      </c>
      <c r="D330" t="str">
        <f t="shared" si="26"/>
        <v>November</v>
      </c>
      <c r="E330">
        <f t="shared" si="27"/>
        <v>2017</v>
      </c>
      <c r="F330" t="str">
        <f>CONCATENATE(calendar[[#This Row],[Month]],"/",calendar[[#This Row],[Year]])</f>
        <v>11/2017</v>
      </c>
      <c r="G330">
        <f>WEEKDAY(calendar[[#This Row],[Date]],1)</f>
        <v>7</v>
      </c>
      <c r="H330" t="str">
        <f>TEXT(calendar[[#This Row],[WeekDay]],"dddd")</f>
        <v>Saturday</v>
      </c>
      <c r="I330">
        <f>IF((INT(calendar[[#This Row],[Count]]/7)-calendar[[#This Row],[Count]]/7)&lt;0,I329,I329+1)</f>
        <v>47</v>
      </c>
      <c r="J330">
        <f t="shared" si="29"/>
        <v>328</v>
      </c>
      <c r="K330">
        <f>IF(calendar[[#This Row],[Month]]&lt;4,1,IF(calendar[[#This Row],[Month]]&lt;7,2,IF(calendar[[#This Row],[Month]]&lt;10,3,4)))</f>
        <v>4</v>
      </c>
      <c r="L330">
        <f>IFERROR(IF(VLOOKUP(calendar[[#This Row],[Date]],BH!A:A,1,)&lt;&gt;"",1,0),0)</f>
        <v>0</v>
      </c>
      <c r="M330">
        <f>IFERROR(IF(VLOOKUP(calendar[[#This Row],[Date]],BH!C:C,1,)&lt;&gt;"",1,0),0)</f>
        <v>0</v>
      </c>
      <c r="N330">
        <f>IFERROR(IF(VLOOKUP(calendar[[#This Row],[Date]],BH!E:E,1,)&lt;&gt;"",1,0),0)</f>
        <v>0</v>
      </c>
      <c r="O330">
        <f>IFERROR(IF(VLOOKUP(calendar[[#This Row],[Date]],BH!G:G,1,)&lt;&gt;"",1,0),0)</f>
        <v>0</v>
      </c>
      <c r="P330">
        <f>IF(OR(calendar[[#This Row],[UK_BH]]=1,calendar[[#This Row],[WeekDay]]=1, calendar[[#This Row],[WeekDay]]=7),P329,P329+1)</f>
        <v>235</v>
      </c>
      <c r="Q330">
        <f>IF(OR(calendar[[#This Row],[FR_BH]]=1,calendar[[#This Row],[WeekDay]]=1, calendar[[#This Row],[WeekDay]]=7),P329,P329+1)</f>
        <v>235</v>
      </c>
      <c r="R330">
        <f>IF(OR(calendar[[#This Row],[SP_BH]]=1,calendar[[#This Row],[WeekDay]]=1, calendar[[#This Row],[WeekDay]]=7),P329,P329+1)</f>
        <v>235</v>
      </c>
      <c r="S330">
        <f>IF(OR(calendar[[#This Row],[PT_BH]]=1,calendar[[#This Row],[WeekDay]]=1, calendar[[#This Row],[WeekDay]]=7),P329,P329+1)</f>
        <v>235</v>
      </c>
    </row>
    <row r="331" spans="1:19" x14ac:dyDescent="0.25">
      <c r="A331" s="2">
        <v>43065</v>
      </c>
      <c r="B331" s="1">
        <f t="shared" si="28"/>
        <v>48</v>
      </c>
      <c r="C331">
        <f t="shared" si="25"/>
        <v>11</v>
      </c>
      <c r="D331" t="str">
        <f t="shared" si="26"/>
        <v>November</v>
      </c>
      <c r="E331">
        <f t="shared" si="27"/>
        <v>2017</v>
      </c>
      <c r="F331" t="str">
        <f>CONCATENATE(calendar[[#This Row],[Month]],"/",calendar[[#This Row],[Year]])</f>
        <v>11/2017</v>
      </c>
      <c r="G331">
        <f>WEEKDAY(calendar[[#This Row],[Date]],1)</f>
        <v>1</v>
      </c>
      <c r="H331" t="str">
        <f>TEXT(calendar[[#This Row],[WeekDay]],"dddd")</f>
        <v>Sunday</v>
      </c>
      <c r="I331">
        <f>IF((INT(calendar[[#This Row],[Count]]/7)-calendar[[#This Row],[Count]]/7)&lt;0,I330,I330+1)</f>
        <v>48</v>
      </c>
      <c r="J331">
        <f t="shared" si="29"/>
        <v>329</v>
      </c>
      <c r="K331">
        <f>IF(calendar[[#This Row],[Month]]&lt;4,1,IF(calendar[[#This Row],[Month]]&lt;7,2,IF(calendar[[#This Row],[Month]]&lt;10,3,4)))</f>
        <v>4</v>
      </c>
      <c r="L331">
        <f>IFERROR(IF(VLOOKUP(calendar[[#This Row],[Date]],BH!A:A,1,)&lt;&gt;"",1,0),0)</f>
        <v>0</v>
      </c>
      <c r="M331">
        <f>IFERROR(IF(VLOOKUP(calendar[[#This Row],[Date]],BH!C:C,1,)&lt;&gt;"",1,0),0)</f>
        <v>0</v>
      </c>
      <c r="N331">
        <f>IFERROR(IF(VLOOKUP(calendar[[#This Row],[Date]],BH!E:E,1,)&lt;&gt;"",1,0),0)</f>
        <v>0</v>
      </c>
      <c r="O331">
        <f>IFERROR(IF(VLOOKUP(calendar[[#This Row],[Date]],BH!G:G,1,)&lt;&gt;"",1,0),0)</f>
        <v>0</v>
      </c>
      <c r="P331">
        <f>IF(OR(calendar[[#This Row],[UK_BH]]=1,calendar[[#This Row],[WeekDay]]=1, calendar[[#This Row],[WeekDay]]=7),P330,P330+1)</f>
        <v>235</v>
      </c>
      <c r="Q331">
        <f>IF(OR(calendar[[#This Row],[FR_BH]]=1,calendar[[#This Row],[WeekDay]]=1, calendar[[#This Row],[WeekDay]]=7),P330,P330+1)</f>
        <v>235</v>
      </c>
      <c r="R331">
        <f>IF(OR(calendar[[#This Row],[SP_BH]]=1,calendar[[#This Row],[WeekDay]]=1, calendar[[#This Row],[WeekDay]]=7),P330,P330+1)</f>
        <v>235</v>
      </c>
      <c r="S331">
        <f>IF(OR(calendar[[#This Row],[PT_BH]]=1,calendar[[#This Row],[WeekDay]]=1, calendar[[#This Row],[WeekDay]]=7),P330,P330+1)</f>
        <v>235</v>
      </c>
    </row>
    <row r="332" spans="1:19" x14ac:dyDescent="0.25">
      <c r="A332" s="2">
        <v>43066</v>
      </c>
      <c r="B332" s="1">
        <f t="shared" si="28"/>
        <v>48</v>
      </c>
      <c r="C332">
        <f t="shared" si="25"/>
        <v>11</v>
      </c>
      <c r="D332" t="str">
        <f t="shared" si="26"/>
        <v>November</v>
      </c>
      <c r="E332">
        <f t="shared" si="27"/>
        <v>2017</v>
      </c>
      <c r="F332" t="str">
        <f>CONCATENATE(calendar[[#This Row],[Month]],"/",calendar[[#This Row],[Year]])</f>
        <v>11/2017</v>
      </c>
      <c r="G332">
        <f>WEEKDAY(calendar[[#This Row],[Date]],1)</f>
        <v>2</v>
      </c>
      <c r="H332" t="str">
        <f>TEXT(calendar[[#This Row],[WeekDay]],"dddd")</f>
        <v>Monday</v>
      </c>
      <c r="I332">
        <f>IF((INT(calendar[[#This Row],[Count]]/7)-calendar[[#This Row],[Count]]/7)&lt;0,I331,I331+1)</f>
        <v>48</v>
      </c>
      <c r="J332">
        <f t="shared" si="29"/>
        <v>330</v>
      </c>
      <c r="K332">
        <f>IF(calendar[[#This Row],[Month]]&lt;4,1,IF(calendar[[#This Row],[Month]]&lt;7,2,IF(calendar[[#This Row],[Month]]&lt;10,3,4)))</f>
        <v>4</v>
      </c>
      <c r="L332">
        <f>IFERROR(IF(VLOOKUP(calendar[[#This Row],[Date]],BH!A:A,1,)&lt;&gt;"",1,0),0)</f>
        <v>0</v>
      </c>
      <c r="M332">
        <f>IFERROR(IF(VLOOKUP(calendar[[#This Row],[Date]],BH!C:C,1,)&lt;&gt;"",1,0),0)</f>
        <v>0</v>
      </c>
      <c r="N332">
        <f>IFERROR(IF(VLOOKUP(calendar[[#This Row],[Date]],BH!E:E,1,)&lt;&gt;"",1,0),0)</f>
        <v>0</v>
      </c>
      <c r="O332">
        <f>IFERROR(IF(VLOOKUP(calendar[[#This Row],[Date]],BH!G:G,1,)&lt;&gt;"",1,0),0)</f>
        <v>0</v>
      </c>
      <c r="P332">
        <f>IF(OR(calendar[[#This Row],[UK_BH]]=1,calendar[[#This Row],[WeekDay]]=1, calendar[[#This Row],[WeekDay]]=7),P331,P331+1)</f>
        <v>236</v>
      </c>
      <c r="Q332">
        <f>IF(OR(calendar[[#This Row],[FR_BH]]=1,calendar[[#This Row],[WeekDay]]=1, calendar[[#This Row],[WeekDay]]=7),P331,P331+1)</f>
        <v>236</v>
      </c>
      <c r="R332">
        <f>IF(OR(calendar[[#This Row],[SP_BH]]=1,calendar[[#This Row],[WeekDay]]=1, calendar[[#This Row],[WeekDay]]=7),P331,P331+1)</f>
        <v>236</v>
      </c>
      <c r="S332">
        <f>IF(OR(calendar[[#This Row],[PT_BH]]=1,calendar[[#This Row],[WeekDay]]=1, calendar[[#This Row],[WeekDay]]=7),P331,P331+1)</f>
        <v>236</v>
      </c>
    </row>
    <row r="333" spans="1:19" x14ac:dyDescent="0.25">
      <c r="A333" s="2">
        <v>43067</v>
      </c>
      <c r="B333" s="1">
        <f t="shared" si="28"/>
        <v>48</v>
      </c>
      <c r="C333">
        <f t="shared" si="25"/>
        <v>11</v>
      </c>
      <c r="D333" t="str">
        <f t="shared" si="26"/>
        <v>November</v>
      </c>
      <c r="E333">
        <f t="shared" si="27"/>
        <v>2017</v>
      </c>
      <c r="F333" t="str">
        <f>CONCATENATE(calendar[[#This Row],[Month]],"/",calendar[[#This Row],[Year]])</f>
        <v>11/2017</v>
      </c>
      <c r="G333">
        <f>WEEKDAY(calendar[[#This Row],[Date]],1)</f>
        <v>3</v>
      </c>
      <c r="H333" t="str">
        <f>TEXT(calendar[[#This Row],[WeekDay]],"dddd")</f>
        <v>Tuesday</v>
      </c>
      <c r="I333">
        <f>IF((INT(calendar[[#This Row],[Count]]/7)-calendar[[#This Row],[Count]]/7)&lt;0,I332,I332+1)</f>
        <v>48</v>
      </c>
      <c r="J333">
        <f t="shared" si="29"/>
        <v>331</v>
      </c>
      <c r="K333">
        <f>IF(calendar[[#This Row],[Month]]&lt;4,1,IF(calendar[[#This Row],[Month]]&lt;7,2,IF(calendar[[#This Row],[Month]]&lt;10,3,4)))</f>
        <v>4</v>
      </c>
      <c r="L333">
        <f>IFERROR(IF(VLOOKUP(calendar[[#This Row],[Date]],BH!A:A,1,)&lt;&gt;"",1,0),0)</f>
        <v>0</v>
      </c>
      <c r="M333">
        <f>IFERROR(IF(VLOOKUP(calendar[[#This Row],[Date]],BH!C:C,1,)&lt;&gt;"",1,0),0)</f>
        <v>0</v>
      </c>
      <c r="N333">
        <f>IFERROR(IF(VLOOKUP(calendar[[#This Row],[Date]],BH!E:E,1,)&lt;&gt;"",1,0),0)</f>
        <v>0</v>
      </c>
      <c r="O333">
        <f>IFERROR(IF(VLOOKUP(calendar[[#This Row],[Date]],BH!G:G,1,)&lt;&gt;"",1,0),0)</f>
        <v>0</v>
      </c>
      <c r="P333">
        <f>IF(OR(calendar[[#This Row],[UK_BH]]=1,calendar[[#This Row],[WeekDay]]=1, calendar[[#This Row],[WeekDay]]=7),P332,P332+1)</f>
        <v>237</v>
      </c>
      <c r="Q333">
        <f>IF(OR(calendar[[#This Row],[FR_BH]]=1,calendar[[#This Row],[WeekDay]]=1, calendar[[#This Row],[WeekDay]]=7),P332,P332+1)</f>
        <v>237</v>
      </c>
      <c r="R333">
        <f>IF(OR(calendar[[#This Row],[SP_BH]]=1,calendar[[#This Row],[WeekDay]]=1, calendar[[#This Row],[WeekDay]]=7),P332,P332+1)</f>
        <v>237</v>
      </c>
      <c r="S333">
        <f>IF(OR(calendar[[#This Row],[PT_BH]]=1,calendar[[#This Row],[WeekDay]]=1, calendar[[#This Row],[WeekDay]]=7),P332,P332+1)</f>
        <v>237</v>
      </c>
    </row>
    <row r="334" spans="1:19" x14ac:dyDescent="0.25">
      <c r="A334" s="2">
        <v>43068</v>
      </c>
      <c r="B334" s="1">
        <f t="shared" si="28"/>
        <v>48</v>
      </c>
      <c r="C334">
        <f t="shared" si="25"/>
        <v>11</v>
      </c>
      <c r="D334" t="str">
        <f t="shared" si="26"/>
        <v>November</v>
      </c>
      <c r="E334">
        <f t="shared" si="27"/>
        <v>2017</v>
      </c>
      <c r="F334" t="str">
        <f>CONCATENATE(calendar[[#This Row],[Month]],"/",calendar[[#This Row],[Year]])</f>
        <v>11/2017</v>
      </c>
      <c r="G334">
        <f>WEEKDAY(calendar[[#This Row],[Date]],1)</f>
        <v>4</v>
      </c>
      <c r="H334" t="str">
        <f>TEXT(calendar[[#This Row],[WeekDay]],"dddd")</f>
        <v>Wednesday</v>
      </c>
      <c r="I334">
        <f>IF((INT(calendar[[#This Row],[Count]]/7)-calendar[[#This Row],[Count]]/7)&lt;0,I333,I333+1)</f>
        <v>48</v>
      </c>
      <c r="J334">
        <f t="shared" si="29"/>
        <v>332</v>
      </c>
      <c r="K334">
        <f>IF(calendar[[#This Row],[Month]]&lt;4,1,IF(calendar[[#This Row],[Month]]&lt;7,2,IF(calendar[[#This Row],[Month]]&lt;10,3,4)))</f>
        <v>4</v>
      </c>
      <c r="L334">
        <f>IFERROR(IF(VLOOKUP(calendar[[#This Row],[Date]],BH!A:A,1,)&lt;&gt;"",1,0),0)</f>
        <v>0</v>
      </c>
      <c r="M334">
        <f>IFERROR(IF(VLOOKUP(calendar[[#This Row],[Date]],BH!C:C,1,)&lt;&gt;"",1,0),0)</f>
        <v>0</v>
      </c>
      <c r="N334">
        <f>IFERROR(IF(VLOOKUP(calendar[[#This Row],[Date]],BH!E:E,1,)&lt;&gt;"",1,0),0)</f>
        <v>0</v>
      </c>
      <c r="O334">
        <f>IFERROR(IF(VLOOKUP(calendar[[#This Row],[Date]],BH!G:G,1,)&lt;&gt;"",1,0),0)</f>
        <v>0</v>
      </c>
      <c r="P334">
        <f>IF(OR(calendar[[#This Row],[UK_BH]]=1,calendar[[#This Row],[WeekDay]]=1, calendar[[#This Row],[WeekDay]]=7),P333,P333+1)</f>
        <v>238</v>
      </c>
      <c r="Q334">
        <f>IF(OR(calendar[[#This Row],[FR_BH]]=1,calendar[[#This Row],[WeekDay]]=1, calendar[[#This Row],[WeekDay]]=7),P333,P333+1)</f>
        <v>238</v>
      </c>
      <c r="R334">
        <f>IF(OR(calendar[[#This Row],[SP_BH]]=1,calendar[[#This Row],[WeekDay]]=1, calendar[[#This Row],[WeekDay]]=7),P333,P333+1)</f>
        <v>238</v>
      </c>
      <c r="S334">
        <f>IF(OR(calendar[[#This Row],[PT_BH]]=1,calendar[[#This Row],[WeekDay]]=1, calendar[[#This Row],[WeekDay]]=7),P333,P333+1)</f>
        <v>238</v>
      </c>
    </row>
    <row r="335" spans="1:19" x14ac:dyDescent="0.25">
      <c r="A335" s="2">
        <v>43069</v>
      </c>
      <c r="B335" s="1">
        <f t="shared" si="28"/>
        <v>48</v>
      </c>
      <c r="C335">
        <f t="shared" si="25"/>
        <v>11</v>
      </c>
      <c r="D335" t="str">
        <f t="shared" si="26"/>
        <v>November</v>
      </c>
      <c r="E335">
        <f t="shared" si="27"/>
        <v>2017</v>
      </c>
      <c r="F335" t="str">
        <f>CONCATENATE(calendar[[#This Row],[Month]],"/",calendar[[#This Row],[Year]])</f>
        <v>11/2017</v>
      </c>
      <c r="G335">
        <f>WEEKDAY(calendar[[#This Row],[Date]],1)</f>
        <v>5</v>
      </c>
      <c r="H335" t="str">
        <f>TEXT(calendar[[#This Row],[WeekDay]],"dddd")</f>
        <v>Thursday</v>
      </c>
      <c r="I335">
        <f>IF((INT(calendar[[#This Row],[Count]]/7)-calendar[[#This Row],[Count]]/7)&lt;0,I334,I334+1)</f>
        <v>48</v>
      </c>
      <c r="J335">
        <f t="shared" si="29"/>
        <v>333</v>
      </c>
      <c r="K335">
        <f>IF(calendar[[#This Row],[Month]]&lt;4,1,IF(calendar[[#This Row],[Month]]&lt;7,2,IF(calendar[[#This Row],[Month]]&lt;10,3,4)))</f>
        <v>4</v>
      </c>
      <c r="L335">
        <f>IFERROR(IF(VLOOKUP(calendar[[#This Row],[Date]],BH!A:A,1,)&lt;&gt;"",1,0),0)</f>
        <v>0</v>
      </c>
      <c r="M335">
        <f>IFERROR(IF(VLOOKUP(calendar[[#This Row],[Date]],BH!C:C,1,)&lt;&gt;"",1,0),0)</f>
        <v>0</v>
      </c>
      <c r="N335">
        <f>IFERROR(IF(VLOOKUP(calendar[[#This Row],[Date]],BH!E:E,1,)&lt;&gt;"",1,0),0)</f>
        <v>0</v>
      </c>
      <c r="O335">
        <f>IFERROR(IF(VLOOKUP(calendar[[#This Row],[Date]],BH!G:G,1,)&lt;&gt;"",1,0),0)</f>
        <v>0</v>
      </c>
      <c r="P335">
        <f>IF(OR(calendar[[#This Row],[UK_BH]]=1,calendar[[#This Row],[WeekDay]]=1, calendar[[#This Row],[WeekDay]]=7),P334,P334+1)</f>
        <v>239</v>
      </c>
      <c r="Q335">
        <f>IF(OR(calendar[[#This Row],[FR_BH]]=1,calendar[[#This Row],[WeekDay]]=1, calendar[[#This Row],[WeekDay]]=7),P334,P334+1)</f>
        <v>239</v>
      </c>
      <c r="R335">
        <f>IF(OR(calendar[[#This Row],[SP_BH]]=1,calendar[[#This Row],[WeekDay]]=1, calendar[[#This Row],[WeekDay]]=7),P334,P334+1)</f>
        <v>239</v>
      </c>
      <c r="S335">
        <f>IF(OR(calendar[[#This Row],[PT_BH]]=1,calendar[[#This Row],[WeekDay]]=1, calendar[[#This Row],[WeekDay]]=7),P334,P334+1)</f>
        <v>239</v>
      </c>
    </row>
    <row r="336" spans="1:19" x14ac:dyDescent="0.25">
      <c r="A336" s="2">
        <v>43070</v>
      </c>
      <c r="B336" s="1">
        <f t="shared" si="28"/>
        <v>48</v>
      </c>
      <c r="C336">
        <f t="shared" ref="C336:C399" si="30">MONTH(A336)</f>
        <v>12</v>
      </c>
      <c r="D336" t="str">
        <f t="shared" ref="D336:D399" si="31">TEXT(A336,"mmmm")</f>
        <v>December</v>
      </c>
      <c r="E336">
        <f t="shared" ref="E336:E399" si="32">YEAR(A336)</f>
        <v>2017</v>
      </c>
      <c r="F336" t="str">
        <f>CONCATENATE(calendar[[#This Row],[Month]],"/",calendar[[#This Row],[Year]])</f>
        <v>12/2017</v>
      </c>
      <c r="G336">
        <f>WEEKDAY(calendar[[#This Row],[Date]],1)</f>
        <v>6</v>
      </c>
      <c r="H336" t="str">
        <f>TEXT(calendar[[#This Row],[WeekDay]],"dddd")</f>
        <v>Friday</v>
      </c>
      <c r="I336">
        <f>IF((INT(calendar[[#This Row],[Count]]/7)-calendar[[#This Row],[Count]]/7)&lt;0,I335,I335+1)</f>
        <v>48</v>
      </c>
      <c r="J336">
        <f t="shared" si="29"/>
        <v>334</v>
      </c>
      <c r="K336">
        <f>IF(calendar[[#This Row],[Month]]&lt;4,1,IF(calendar[[#This Row],[Month]]&lt;7,2,IF(calendar[[#This Row],[Month]]&lt;10,3,4)))</f>
        <v>4</v>
      </c>
      <c r="L336">
        <f>IFERROR(IF(VLOOKUP(calendar[[#This Row],[Date]],BH!A:A,1,)&lt;&gt;"",1,0),0)</f>
        <v>0</v>
      </c>
      <c r="M336">
        <f>IFERROR(IF(VLOOKUP(calendar[[#This Row],[Date]],BH!C:C,1,)&lt;&gt;"",1,0),0)</f>
        <v>0</v>
      </c>
      <c r="N336">
        <f>IFERROR(IF(VLOOKUP(calendar[[#This Row],[Date]],BH!E:E,1,)&lt;&gt;"",1,0),0)</f>
        <v>0</v>
      </c>
      <c r="O336">
        <f>IFERROR(IF(VLOOKUP(calendar[[#This Row],[Date]],BH!G:G,1,)&lt;&gt;"",1,0),0)</f>
        <v>0</v>
      </c>
      <c r="P336">
        <f>IF(OR(calendar[[#This Row],[UK_BH]]=1,calendar[[#This Row],[WeekDay]]=1, calendar[[#This Row],[WeekDay]]=7),P335,P335+1)</f>
        <v>240</v>
      </c>
      <c r="Q336">
        <f>IF(OR(calendar[[#This Row],[FR_BH]]=1,calendar[[#This Row],[WeekDay]]=1, calendar[[#This Row],[WeekDay]]=7),P335,P335+1)</f>
        <v>240</v>
      </c>
      <c r="R336">
        <f>IF(OR(calendar[[#This Row],[SP_BH]]=1,calendar[[#This Row],[WeekDay]]=1, calendar[[#This Row],[WeekDay]]=7),P335,P335+1)</f>
        <v>240</v>
      </c>
      <c r="S336">
        <f>IF(OR(calendar[[#This Row],[PT_BH]]=1,calendar[[#This Row],[WeekDay]]=1, calendar[[#This Row],[WeekDay]]=7),P335,P335+1)</f>
        <v>240</v>
      </c>
    </row>
    <row r="337" spans="1:19" x14ac:dyDescent="0.25">
      <c r="A337" s="2">
        <v>43071</v>
      </c>
      <c r="B337" s="1">
        <f t="shared" si="28"/>
        <v>48</v>
      </c>
      <c r="C337">
        <f t="shared" si="30"/>
        <v>12</v>
      </c>
      <c r="D337" t="str">
        <f t="shared" si="31"/>
        <v>December</v>
      </c>
      <c r="E337">
        <f t="shared" si="32"/>
        <v>2017</v>
      </c>
      <c r="F337" t="str">
        <f>CONCATENATE(calendar[[#This Row],[Month]],"/",calendar[[#This Row],[Year]])</f>
        <v>12/2017</v>
      </c>
      <c r="G337">
        <f>WEEKDAY(calendar[[#This Row],[Date]],1)</f>
        <v>7</v>
      </c>
      <c r="H337" t="str">
        <f>TEXT(calendar[[#This Row],[WeekDay]],"dddd")</f>
        <v>Saturday</v>
      </c>
      <c r="I337">
        <f>IF((INT(calendar[[#This Row],[Count]]/7)-calendar[[#This Row],[Count]]/7)&lt;0,I336,I336+1)</f>
        <v>48</v>
      </c>
      <c r="J337">
        <f t="shared" si="29"/>
        <v>335</v>
      </c>
      <c r="K337">
        <f>IF(calendar[[#This Row],[Month]]&lt;4,1,IF(calendar[[#This Row],[Month]]&lt;7,2,IF(calendar[[#This Row],[Month]]&lt;10,3,4)))</f>
        <v>4</v>
      </c>
      <c r="L337">
        <f>IFERROR(IF(VLOOKUP(calendar[[#This Row],[Date]],BH!A:A,1,)&lt;&gt;"",1,0),0)</f>
        <v>0</v>
      </c>
      <c r="M337">
        <f>IFERROR(IF(VLOOKUP(calendar[[#This Row],[Date]],BH!C:C,1,)&lt;&gt;"",1,0),0)</f>
        <v>0</v>
      </c>
      <c r="N337">
        <f>IFERROR(IF(VLOOKUP(calendar[[#This Row],[Date]],BH!E:E,1,)&lt;&gt;"",1,0),0)</f>
        <v>0</v>
      </c>
      <c r="O337">
        <f>IFERROR(IF(VLOOKUP(calendar[[#This Row],[Date]],BH!G:G,1,)&lt;&gt;"",1,0),0)</f>
        <v>0</v>
      </c>
      <c r="P337">
        <f>IF(OR(calendar[[#This Row],[UK_BH]]=1,calendar[[#This Row],[WeekDay]]=1, calendar[[#This Row],[WeekDay]]=7),P336,P336+1)</f>
        <v>240</v>
      </c>
      <c r="Q337">
        <f>IF(OR(calendar[[#This Row],[FR_BH]]=1,calendar[[#This Row],[WeekDay]]=1, calendar[[#This Row],[WeekDay]]=7),P336,P336+1)</f>
        <v>240</v>
      </c>
      <c r="R337">
        <f>IF(OR(calendar[[#This Row],[SP_BH]]=1,calendar[[#This Row],[WeekDay]]=1, calendar[[#This Row],[WeekDay]]=7),P336,P336+1)</f>
        <v>240</v>
      </c>
      <c r="S337">
        <f>IF(OR(calendar[[#This Row],[PT_BH]]=1,calendar[[#This Row],[WeekDay]]=1, calendar[[#This Row],[WeekDay]]=7),P336,P336+1)</f>
        <v>240</v>
      </c>
    </row>
    <row r="338" spans="1:19" x14ac:dyDescent="0.25">
      <c r="A338" s="2">
        <v>43072</v>
      </c>
      <c r="B338" s="1">
        <f t="shared" si="28"/>
        <v>49</v>
      </c>
      <c r="C338">
        <f t="shared" si="30"/>
        <v>12</v>
      </c>
      <c r="D338" t="str">
        <f t="shared" si="31"/>
        <v>December</v>
      </c>
      <c r="E338">
        <f t="shared" si="32"/>
        <v>2017</v>
      </c>
      <c r="F338" t="str">
        <f>CONCATENATE(calendar[[#This Row],[Month]],"/",calendar[[#This Row],[Year]])</f>
        <v>12/2017</v>
      </c>
      <c r="G338">
        <f>WEEKDAY(calendar[[#This Row],[Date]],1)</f>
        <v>1</v>
      </c>
      <c r="H338" t="str">
        <f>TEXT(calendar[[#This Row],[WeekDay]],"dddd")</f>
        <v>Sunday</v>
      </c>
      <c r="I338">
        <f>IF((INT(calendar[[#This Row],[Count]]/7)-calendar[[#This Row],[Count]]/7)&lt;0,I337,I337+1)</f>
        <v>49</v>
      </c>
      <c r="J338">
        <f t="shared" si="29"/>
        <v>336</v>
      </c>
      <c r="K338">
        <f>IF(calendar[[#This Row],[Month]]&lt;4,1,IF(calendar[[#This Row],[Month]]&lt;7,2,IF(calendar[[#This Row],[Month]]&lt;10,3,4)))</f>
        <v>4</v>
      </c>
      <c r="L338">
        <f>IFERROR(IF(VLOOKUP(calendar[[#This Row],[Date]],BH!A:A,1,)&lt;&gt;"",1,0),0)</f>
        <v>0</v>
      </c>
      <c r="M338">
        <f>IFERROR(IF(VLOOKUP(calendar[[#This Row],[Date]],BH!C:C,1,)&lt;&gt;"",1,0),0)</f>
        <v>0</v>
      </c>
      <c r="N338">
        <f>IFERROR(IF(VLOOKUP(calendar[[#This Row],[Date]],BH!E:E,1,)&lt;&gt;"",1,0),0)</f>
        <v>0</v>
      </c>
      <c r="O338">
        <f>IFERROR(IF(VLOOKUP(calendar[[#This Row],[Date]],BH!G:G,1,)&lt;&gt;"",1,0),0)</f>
        <v>0</v>
      </c>
      <c r="P338">
        <f>IF(OR(calendar[[#This Row],[UK_BH]]=1,calendar[[#This Row],[WeekDay]]=1, calendar[[#This Row],[WeekDay]]=7),P337,P337+1)</f>
        <v>240</v>
      </c>
      <c r="Q338">
        <f>IF(OR(calendar[[#This Row],[FR_BH]]=1,calendar[[#This Row],[WeekDay]]=1, calendar[[#This Row],[WeekDay]]=7),P337,P337+1)</f>
        <v>240</v>
      </c>
      <c r="R338">
        <f>IF(OR(calendar[[#This Row],[SP_BH]]=1,calendar[[#This Row],[WeekDay]]=1, calendar[[#This Row],[WeekDay]]=7),P337,P337+1)</f>
        <v>240</v>
      </c>
      <c r="S338">
        <f>IF(OR(calendar[[#This Row],[PT_BH]]=1,calendar[[#This Row],[WeekDay]]=1, calendar[[#This Row],[WeekDay]]=7),P337,P337+1)</f>
        <v>240</v>
      </c>
    </row>
    <row r="339" spans="1:19" x14ac:dyDescent="0.25">
      <c r="A339" s="2">
        <v>43073</v>
      </c>
      <c r="B339" s="1">
        <f t="shared" si="28"/>
        <v>49</v>
      </c>
      <c r="C339">
        <f t="shared" si="30"/>
        <v>12</v>
      </c>
      <c r="D339" t="str">
        <f t="shared" si="31"/>
        <v>December</v>
      </c>
      <c r="E339">
        <f t="shared" si="32"/>
        <v>2017</v>
      </c>
      <c r="F339" t="str">
        <f>CONCATENATE(calendar[[#This Row],[Month]],"/",calendar[[#This Row],[Year]])</f>
        <v>12/2017</v>
      </c>
      <c r="G339">
        <f>WEEKDAY(calendar[[#This Row],[Date]],1)</f>
        <v>2</v>
      </c>
      <c r="H339" t="str">
        <f>TEXT(calendar[[#This Row],[WeekDay]],"dddd")</f>
        <v>Monday</v>
      </c>
      <c r="I339">
        <f>IF((INT(calendar[[#This Row],[Count]]/7)-calendar[[#This Row],[Count]]/7)&lt;0,I338,I338+1)</f>
        <v>49</v>
      </c>
      <c r="J339">
        <f t="shared" si="29"/>
        <v>337</v>
      </c>
      <c r="K339">
        <f>IF(calendar[[#This Row],[Month]]&lt;4,1,IF(calendar[[#This Row],[Month]]&lt;7,2,IF(calendar[[#This Row],[Month]]&lt;10,3,4)))</f>
        <v>4</v>
      </c>
      <c r="L339">
        <f>IFERROR(IF(VLOOKUP(calendar[[#This Row],[Date]],BH!A:A,1,)&lt;&gt;"",1,0),0)</f>
        <v>0</v>
      </c>
      <c r="M339">
        <f>IFERROR(IF(VLOOKUP(calendar[[#This Row],[Date]],BH!C:C,1,)&lt;&gt;"",1,0),0)</f>
        <v>0</v>
      </c>
      <c r="N339">
        <f>IFERROR(IF(VLOOKUP(calendar[[#This Row],[Date]],BH!E:E,1,)&lt;&gt;"",1,0),0)</f>
        <v>0</v>
      </c>
      <c r="O339">
        <f>IFERROR(IF(VLOOKUP(calendar[[#This Row],[Date]],BH!G:G,1,)&lt;&gt;"",1,0),0)</f>
        <v>0</v>
      </c>
      <c r="P339">
        <f>IF(OR(calendar[[#This Row],[UK_BH]]=1,calendar[[#This Row],[WeekDay]]=1, calendar[[#This Row],[WeekDay]]=7),P338,P338+1)</f>
        <v>241</v>
      </c>
      <c r="Q339">
        <f>IF(OR(calendar[[#This Row],[FR_BH]]=1,calendar[[#This Row],[WeekDay]]=1, calendar[[#This Row],[WeekDay]]=7),P338,P338+1)</f>
        <v>241</v>
      </c>
      <c r="R339">
        <f>IF(OR(calendar[[#This Row],[SP_BH]]=1,calendar[[#This Row],[WeekDay]]=1, calendar[[#This Row],[WeekDay]]=7),P338,P338+1)</f>
        <v>241</v>
      </c>
      <c r="S339">
        <f>IF(OR(calendar[[#This Row],[PT_BH]]=1,calendar[[#This Row],[WeekDay]]=1, calendar[[#This Row],[WeekDay]]=7),P338,P338+1)</f>
        <v>241</v>
      </c>
    </row>
    <row r="340" spans="1:19" x14ac:dyDescent="0.25">
      <c r="A340" s="2">
        <v>43074</v>
      </c>
      <c r="B340" s="1">
        <f t="shared" si="28"/>
        <v>49</v>
      </c>
      <c r="C340">
        <f t="shared" si="30"/>
        <v>12</v>
      </c>
      <c r="D340" t="str">
        <f t="shared" si="31"/>
        <v>December</v>
      </c>
      <c r="E340">
        <f t="shared" si="32"/>
        <v>2017</v>
      </c>
      <c r="F340" t="str">
        <f>CONCATENATE(calendar[[#This Row],[Month]],"/",calendar[[#This Row],[Year]])</f>
        <v>12/2017</v>
      </c>
      <c r="G340">
        <f>WEEKDAY(calendar[[#This Row],[Date]],1)</f>
        <v>3</v>
      </c>
      <c r="H340" t="str">
        <f>TEXT(calendar[[#This Row],[WeekDay]],"dddd")</f>
        <v>Tuesday</v>
      </c>
      <c r="I340">
        <f>IF((INT(calendar[[#This Row],[Count]]/7)-calendar[[#This Row],[Count]]/7)&lt;0,I339,I339+1)</f>
        <v>49</v>
      </c>
      <c r="J340">
        <f t="shared" si="29"/>
        <v>338</v>
      </c>
      <c r="K340">
        <f>IF(calendar[[#This Row],[Month]]&lt;4,1,IF(calendar[[#This Row],[Month]]&lt;7,2,IF(calendar[[#This Row],[Month]]&lt;10,3,4)))</f>
        <v>4</v>
      </c>
      <c r="L340">
        <f>IFERROR(IF(VLOOKUP(calendar[[#This Row],[Date]],BH!A:A,1,)&lt;&gt;"",1,0),0)</f>
        <v>0</v>
      </c>
      <c r="M340">
        <f>IFERROR(IF(VLOOKUP(calendar[[#This Row],[Date]],BH!C:C,1,)&lt;&gt;"",1,0),0)</f>
        <v>0</v>
      </c>
      <c r="N340">
        <f>IFERROR(IF(VLOOKUP(calendar[[#This Row],[Date]],BH!E:E,1,)&lt;&gt;"",1,0),0)</f>
        <v>0</v>
      </c>
      <c r="O340">
        <f>IFERROR(IF(VLOOKUP(calendar[[#This Row],[Date]],BH!G:G,1,)&lt;&gt;"",1,0),0)</f>
        <v>0</v>
      </c>
      <c r="P340">
        <f>IF(OR(calendar[[#This Row],[UK_BH]]=1,calendar[[#This Row],[WeekDay]]=1, calendar[[#This Row],[WeekDay]]=7),P339,P339+1)</f>
        <v>242</v>
      </c>
      <c r="Q340">
        <f>IF(OR(calendar[[#This Row],[FR_BH]]=1,calendar[[#This Row],[WeekDay]]=1, calendar[[#This Row],[WeekDay]]=7),P339,P339+1)</f>
        <v>242</v>
      </c>
      <c r="R340">
        <f>IF(OR(calendar[[#This Row],[SP_BH]]=1,calendar[[#This Row],[WeekDay]]=1, calendar[[#This Row],[WeekDay]]=7),P339,P339+1)</f>
        <v>242</v>
      </c>
      <c r="S340">
        <f>IF(OR(calendar[[#This Row],[PT_BH]]=1,calendar[[#This Row],[WeekDay]]=1, calendar[[#This Row],[WeekDay]]=7),P339,P339+1)</f>
        <v>242</v>
      </c>
    </row>
    <row r="341" spans="1:19" x14ac:dyDescent="0.25">
      <c r="A341" s="2">
        <v>43075</v>
      </c>
      <c r="B341" s="1">
        <f t="shared" si="28"/>
        <v>49</v>
      </c>
      <c r="C341">
        <f t="shared" si="30"/>
        <v>12</v>
      </c>
      <c r="D341" t="str">
        <f t="shared" si="31"/>
        <v>December</v>
      </c>
      <c r="E341">
        <f t="shared" si="32"/>
        <v>2017</v>
      </c>
      <c r="F341" t="str">
        <f>CONCATENATE(calendar[[#This Row],[Month]],"/",calendar[[#This Row],[Year]])</f>
        <v>12/2017</v>
      </c>
      <c r="G341">
        <f>WEEKDAY(calendar[[#This Row],[Date]],1)</f>
        <v>4</v>
      </c>
      <c r="H341" t="str">
        <f>TEXT(calendar[[#This Row],[WeekDay]],"dddd")</f>
        <v>Wednesday</v>
      </c>
      <c r="I341">
        <f>IF((INT(calendar[[#This Row],[Count]]/7)-calendar[[#This Row],[Count]]/7)&lt;0,I340,I340+1)</f>
        <v>49</v>
      </c>
      <c r="J341">
        <f t="shared" si="29"/>
        <v>339</v>
      </c>
      <c r="K341">
        <f>IF(calendar[[#This Row],[Month]]&lt;4,1,IF(calendar[[#This Row],[Month]]&lt;7,2,IF(calendar[[#This Row],[Month]]&lt;10,3,4)))</f>
        <v>4</v>
      </c>
      <c r="L341">
        <f>IFERROR(IF(VLOOKUP(calendar[[#This Row],[Date]],BH!A:A,1,)&lt;&gt;"",1,0),0)</f>
        <v>0</v>
      </c>
      <c r="M341">
        <f>IFERROR(IF(VLOOKUP(calendar[[#This Row],[Date]],BH!C:C,1,)&lt;&gt;"",1,0),0)</f>
        <v>0</v>
      </c>
      <c r="N341">
        <f>IFERROR(IF(VLOOKUP(calendar[[#This Row],[Date]],BH!E:E,1,)&lt;&gt;"",1,0),0)</f>
        <v>0</v>
      </c>
      <c r="O341">
        <f>IFERROR(IF(VLOOKUP(calendar[[#This Row],[Date]],BH!G:G,1,)&lt;&gt;"",1,0),0)</f>
        <v>0</v>
      </c>
      <c r="P341">
        <f>IF(OR(calendar[[#This Row],[UK_BH]]=1,calendar[[#This Row],[WeekDay]]=1, calendar[[#This Row],[WeekDay]]=7),P340,P340+1)</f>
        <v>243</v>
      </c>
      <c r="Q341">
        <f>IF(OR(calendar[[#This Row],[FR_BH]]=1,calendar[[#This Row],[WeekDay]]=1, calendar[[#This Row],[WeekDay]]=7),P340,P340+1)</f>
        <v>243</v>
      </c>
      <c r="R341">
        <f>IF(OR(calendar[[#This Row],[SP_BH]]=1,calendar[[#This Row],[WeekDay]]=1, calendar[[#This Row],[WeekDay]]=7),P340,P340+1)</f>
        <v>243</v>
      </c>
      <c r="S341">
        <f>IF(OR(calendar[[#This Row],[PT_BH]]=1,calendar[[#This Row],[WeekDay]]=1, calendar[[#This Row],[WeekDay]]=7),P340,P340+1)</f>
        <v>243</v>
      </c>
    </row>
    <row r="342" spans="1:19" x14ac:dyDescent="0.25">
      <c r="A342" s="2">
        <v>43076</v>
      </c>
      <c r="B342" s="1">
        <f t="shared" si="28"/>
        <v>49</v>
      </c>
      <c r="C342">
        <f t="shared" si="30"/>
        <v>12</v>
      </c>
      <c r="D342" t="str">
        <f t="shared" si="31"/>
        <v>December</v>
      </c>
      <c r="E342">
        <f t="shared" si="32"/>
        <v>2017</v>
      </c>
      <c r="F342" t="str">
        <f>CONCATENATE(calendar[[#This Row],[Month]],"/",calendar[[#This Row],[Year]])</f>
        <v>12/2017</v>
      </c>
      <c r="G342">
        <f>WEEKDAY(calendar[[#This Row],[Date]],1)</f>
        <v>5</v>
      </c>
      <c r="H342" t="str">
        <f>TEXT(calendar[[#This Row],[WeekDay]],"dddd")</f>
        <v>Thursday</v>
      </c>
      <c r="I342">
        <f>IF((INT(calendar[[#This Row],[Count]]/7)-calendar[[#This Row],[Count]]/7)&lt;0,I341,I341+1)</f>
        <v>49</v>
      </c>
      <c r="J342">
        <f t="shared" si="29"/>
        <v>340</v>
      </c>
      <c r="K342">
        <f>IF(calendar[[#This Row],[Month]]&lt;4,1,IF(calendar[[#This Row],[Month]]&lt;7,2,IF(calendar[[#This Row],[Month]]&lt;10,3,4)))</f>
        <v>4</v>
      </c>
      <c r="L342">
        <f>IFERROR(IF(VLOOKUP(calendar[[#This Row],[Date]],BH!A:A,1,)&lt;&gt;"",1,0),0)</f>
        <v>0</v>
      </c>
      <c r="M342">
        <f>IFERROR(IF(VLOOKUP(calendar[[#This Row],[Date]],BH!C:C,1,)&lt;&gt;"",1,0),0)</f>
        <v>0</v>
      </c>
      <c r="N342">
        <f>IFERROR(IF(VLOOKUP(calendar[[#This Row],[Date]],BH!E:E,1,)&lt;&gt;"",1,0),0)</f>
        <v>0</v>
      </c>
      <c r="O342">
        <f>IFERROR(IF(VLOOKUP(calendar[[#This Row],[Date]],BH!G:G,1,)&lt;&gt;"",1,0),0)</f>
        <v>0</v>
      </c>
      <c r="P342">
        <f>IF(OR(calendar[[#This Row],[UK_BH]]=1,calendar[[#This Row],[WeekDay]]=1, calendar[[#This Row],[WeekDay]]=7),P341,P341+1)</f>
        <v>244</v>
      </c>
      <c r="Q342">
        <f>IF(OR(calendar[[#This Row],[FR_BH]]=1,calendar[[#This Row],[WeekDay]]=1, calendar[[#This Row],[WeekDay]]=7),P341,P341+1)</f>
        <v>244</v>
      </c>
      <c r="R342">
        <f>IF(OR(calendar[[#This Row],[SP_BH]]=1,calendar[[#This Row],[WeekDay]]=1, calendar[[#This Row],[WeekDay]]=7),P341,P341+1)</f>
        <v>244</v>
      </c>
      <c r="S342">
        <f>IF(OR(calendar[[#This Row],[PT_BH]]=1,calendar[[#This Row],[WeekDay]]=1, calendar[[#This Row],[WeekDay]]=7),P341,P341+1)</f>
        <v>244</v>
      </c>
    </row>
    <row r="343" spans="1:19" x14ac:dyDescent="0.25">
      <c r="A343" s="2">
        <v>43077</v>
      </c>
      <c r="B343" s="1">
        <f t="shared" si="28"/>
        <v>49</v>
      </c>
      <c r="C343">
        <f t="shared" si="30"/>
        <v>12</v>
      </c>
      <c r="D343" t="str">
        <f t="shared" si="31"/>
        <v>December</v>
      </c>
      <c r="E343">
        <f t="shared" si="32"/>
        <v>2017</v>
      </c>
      <c r="F343" t="str">
        <f>CONCATENATE(calendar[[#This Row],[Month]],"/",calendar[[#This Row],[Year]])</f>
        <v>12/2017</v>
      </c>
      <c r="G343">
        <f>WEEKDAY(calendar[[#This Row],[Date]],1)</f>
        <v>6</v>
      </c>
      <c r="H343" t="str">
        <f>TEXT(calendar[[#This Row],[WeekDay]],"dddd")</f>
        <v>Friday</v>
      </c>
      <c r="I343">
        <f>IF((INT(calendar[[#This Row],[Count]]/7)-calendar[[#This Row],[Count]]/7)&lt;0,I342,I342+1)</f>
        <v>49</v>
      </c>
      <c r="J343">
        <f t="shared" si="29"/>
        <v>341</v>
      </c>
      <c r="K343">
        <f>IF(calendar[[#This Row],[Month]]&lt;4,1,IF(calendar[[#This Row],[Month]]&lt;7,2,IF(calendar[[#This Row],[Month]]&lt;10,3,4)))</f>
        <v>4</v>
      </c>
      <c r="L343">
        <f>IFERROR(IF(VLOOKUP(calendar[[#This Row],[Date]],BH!A:A,1,)&lt;&gt;"",1,0),0)</f>
        <v>0</v>
      </c>
      <c r="M343">
        <f>IFERROR(IF(VLOOKUP(calendar[[#This Row],[Date]],BH!C:C,1,)&lt;&gt;"",1,0),0)</f>
        <v>0</v>
      </c>
      <c r="N343">
        <f>IFERROR(IF(VLOOKUP(calendar[[#This Row],[Date]],BH!E:E,1,)&lt;&gt;"",1,0),0)</f>
        <v>0</v>
      </c>
      <c r="O343">
        <f>IFERROR(IF(VLOOKUP(calendar[[#This Row],[Date]],BH!G:G,1,)&lt;&gt;"",1,0),0)</f>
        <v>0</v>
      </c>
      <c r="P343">
        <f>IF(OR(calendar[[#This Row],[UK_BH]]=1,calendar[[#This Row],[WeekDay]]=1, calendar[[#This Row],[WeekDay]]=7),P342,P342+1)</f>
        <v>245</v>
      </c>
      <c r="Q343">
        <f>IF(OR(calendar[[#This Row],[FR_BH]]=1,calendar[[#This Row],[WeekDay]]=1, calendar[[#This Row],[WeekDay]]=7),P342,P342+1)</f>
        <v>245</v>
      </c>
      <c r="R343">
        <f>IF(OR(calendar[[#This Row],[SP_BH]]=1,calendar[[#This Row],[WeekDay]]=1, calendar[[#This Row],[WeekDay]]=7),P342,P342+1)</f>
        <v>245</v>
      </c>
      <c r="S343">
        <f>IF(OR(calendar[[#This Row],[PT_BH]]=1,calendar[[#This Row],[WeekDay]]=1, calendar[[#This Row],[WeekDay]]=7),P342,P342+1)</f>
        <v>245</v>
      </c>
    </row>
    <row r="344" spans="1:19" x14ac:dyDescent="0.25">
      <c r="A344" s="2">
        <v>43078</v>
      </c>
      <c r="B344" s="1">
        <f t="shared" si="28"/>
        <v>49</v>
      </c>
      <c r="C344">
        <f t="shared" si="30"/>
        <v>12</v>
      </c>
      <c r="D344" t="str">
        <f t="shared" si="31"/>
        <v>December</v>
      </c>
      <c r="E344">
        <f t="shared" si="32"/>
        <v>2017</v>
      </c>
      <c r="F344" t="str">
        <f>CONCATENATE(calendar[[#This Row],[Month]],"/",calendar[[#This Row],[Year]])</f>
        <v>12/2017</v>
      </c>
      <c r="G344">
        <f>WEEKDAY(calendar[[#This Row],[Date]],1)</f>
        <v>7</v>
      </c>
      <c r="H344" t="str">
        <f>TEXT(calendar[[#This Row],[WeekDay]],"dddd")</f>
        <v>Saturday</v>
      </c>
      <c r="I344">
        <f>IF((INT(calendar[[#This Row],[Count]]/7)-calendar[[#This Row],[Count]]/7)&lt;0,I343,I343+1)</f>
        <v>49</v>
      </c>
      <c r="J344">
        <f t="shared" si="29"/>
        <v>342</v>
      </c>
      <c r="K344">
        <f>IF(calendar[[#This Row],[Month]]&lt;4,1,IF(calendar[[#This Row],[Month]]&lt;7,2,IF(calendar[[#This Row],[Month]]&lt;10,3,4)))</f>
        <v>4</v>
      </c>
      <c r="L344">
        <f>IFERROR(IF(VLOOKUP(calendar[[#This Row],[Date]],BH!A:A,1,)&lt;&gt;"",1,0),0)</f>
        <v>0</v>
      </c>
      <c r="M344">
        <f>IFERROR(IF(VLOOKUP(calendar[[#This Row],[Date]],BH!C:C,1,)&lt;&gt;"",1,0),0)</f>
        <v>0</v>
      </c>
      <c r="N344">
        <f>IFERROR(IF(VLOOKUP(calendar[[#This Row],[Date]],BH!E:E,1,)&lt;&gt;"",1,0),0)</f>
        <v>0</v>
      </c>
      <c r="O344">
        <f>IFERROR(IF(VLOOKUP(calendar[[#This Row],[Date]],BH!G:G,1,)&lt;&gt;"",1,0),0)</f>
        <v>0</v>
      </c>
      <c r="P344">
        <f>IF(OR(calendar[[#This Row],[UK_BH]]=1,calendar[[#This Row],[WeekDay]]=1, calendar[[#This Row],[WeekDay]]=7),P343,P343+1)</f>
        <v>245</v>
      </c>
      <c r="Q344">
        <f>IF(OR(calendar[[#This Row],[FR_BH]]=1,calendar[[#This Row],[WeekDay]]=1, calendar[[#This Row],[WeekDay]]=7),P343,P343+1)</f>
        <v>245</v>
      </c>
      <c r="R344">
        <f>IF(OR(calendar[[#This Row],[SP_BH]]=1,calendar[[#This Row],[WeekDay]]=1, calendar[[#This Row],[WeekDay]]=7),P343,P343+1)</f>
        <v>245</v>
      </c>
      <c r="S344">
        <f>IF(OR(calendar[[#This Row],[PT_BH]]=1,calendar[[#This Row],[WeekDay]]=1, calendar[[#This Row],[WeekDay]]=7),P343,P343+1)</f>
        <v>245</v>
      </c>
    </row>
    <row r="345" spans="1:19" x14ac:dyDescent="0.25">
      <c r="A345" s="2">
        <v>43079</v>
      </c>
      <c r="B345" s="1">
        <f t="shared" si="28"/>
        <v>50</v>
      </c>
      <c r="C345">
        <f t="shared" si="30"/>
        <v>12</v>
      </c>
      <c r="D345" t="str">
        <f t="shared" si="31"/>
        <v>December</v>
      </c>
      <c r="E345">
        <f t="shared" si="32"/>
        <v>2017</v>
      </c>
      <c r="F345" t="str">
        <f>CONCATENATE(calendar[[#This Row],[Month]],"/",calendar[[#This Row],[Year]])</f>
        <v>12/2017</v>
      </c>
      <c r="G345">
        <f>WEEKDAY(calendar[[#This Row],[Date]],1)</f>
        <v>1</v>
      </c>
      <c r="H345" t="str">
        <f>TEXT(calendar[[#This Row],[WeekDay]],"dddd")</f>
        <v>Sunday</v>
      </c>
      <c r="I345">
        <f>IF((INT(calendar[[#This Row],[Count]]/7)-calendar[[#This Row],[Count]]/7)&lt;0,I344,I344+1)</f>
        <v>50</v>
      </c>
      <c r="J345">
        <f t="shared" si="29"/>
        <v>343</v>
      </c>
      <c r="K345">
        <f>IF(calendar[[#This Row],[Month]]&lt;4,1,IF(calendar[[#This Row],[Month]]&lt;7,2,IF(calendar[[#This Row],[Month]]&lt;10,3,4)))</f>
        <v>4</v>
      </c>
      <c r="L345">
        <f>IFERROR(IF(VLOOKUP(calendar[[#This Row],[Date]],BH!A:A,1,)&lt;&gt;"",1,0),0)</f>
        <v>0</v>
      </c>
      <c r="M345">
        <f>IFERROR(IF(VLOOKUP(calendar[[#This Row],[Date]],BH!C:C,1,)&lt;&gt;"",1,0),0)</f>
        <v>0</v>
      </c>
      <c r="N345">
        <f>IFERROR(IF(VLOOKUP(calendar[[#This Row],[Date]],BH!E:E,1,)&lt;&gt;"",1,0),0)</f>
        <v>0</v>
      </c>
      <c r="O345">
        <f>IFERROR(IF(VLOOKUP(calendar[[#This Row],[Date]],BH!G:G,1,)&lt;&gt;"",1,0),0)</f>
        <v>0</v>
      </c>
      <c r="P345">
        <f>IF(OR(calendar[[#This Row],[UK_BH]]=1,calendar[[#This Row],[WeekDay]]=1, calendar[[#This Row],[WeekDay]]=7),P344,P344+1)</f>
        <v>245</v>
      </c>
      <c r="Q345">
        <f>IF(OR(calendar[[#This Row],[FR_BH]]=1,calendar[[#This Row],[WeekDay]]=1, calendar[[#This Row],[WeekDay]]=7),P344,P344+1)</f>
        <v>245</v>
      </c>
      <c r="R345">
        <f>IF(OR(calendar[[#This Row],[SP_BH]]=1,calendar[[#This Row],[WeekDay]]=1, calendar[[#This Row],[WeekDay]]=7),P344,P344+1)</f>
        <v>245</v>
      </c>
      <c r="S345">
        <f>IF(OR(calendar[[#This Row],[PT_BH]]=1,calendar[[#This Row],[WeekDay]]=1, calendar[[#This Row],[WeekDay]]=7),P344,P344+1)</f>
        <v>245</v>
      </c>
    </row>
    <row r="346" spans="1:19" x14ac:dyDescent="0.25">
      <c r="A346" s="2">
        <v>43080</v>
      </c>
      <c r="B346" s="1">
        <f t="shared" si="28"/>
        <v>50</v>
      </c>
      <c r="C346">
        <f t="shared" si="30"/>
        <v>12</v>
      </c>
      <c r="D346" t="str">
        <f t="shared" si="31"/>
        <v>December</v>
      </c>
      <c r="E346">
        <f t="shared" si="32"/>
        <v>2017</v>
      </c>
      <c r="F346" t="str">
        <f>CONCATENATE(calendar[[#This Row],[Month]],"/",calendar[[#This Row],[Year]])</f>
        <v>12/2017</v>
      </c>
      <c r="G346">
        <f>WEEKDAY(calendar[[#This Row],[Date]],1)</f>
        <v>2</v>
      </c>
      <c r="H346" t="str">
        <f>TEXT(calendar[[#This Row],[WeekDay]],"dddd")</f>
        <v>Monday</v>
      </c>
      <c r="I346">
        <f>IF((INT(calendar[[#This Row],[Count]]/7)-calendar[[#This Row],[Count]]/7)&lt;0,I345,I345+1)</f>
        <v>50</v>
      </c>
      <c r="J346">
        <f t="shared" si="29"/>
        <v>344</v>
      </c>
      <c r="K346">
        <f>IF(calendar[[#This Row],[Month]]&lt;4,1,IF(calendar[[#This Row],[Month]]&lt;7,2,IF(calendar[[#This Row],[Month]]&lt;10,3,4)))</f>
        <v>4</v>
      </c>
      <c r="L346">
        <f>IFERROR(IF(VLOOKUP(calendar[[#This Row],[Date]],BH!A:A,1,)&lt;&gt;"",1,0),0)</f>
        <v>0</v>
      </c>
      <c r="M346">
        <f>IFERROR(IF(VLOOKUP(calendar[[#This Row],[Date]],BH!C:C,1,)&lt;&gt;"",1,0),0)</f>
        <v>0</v>
      </c>
      <c r="N346">
        <f>IFERROR(IF(VLOOKUP(calendar[[#This Row],[Date]],BH!E:E,1,)&lt;&gt;"",1,0),0)</f>
        <v>0</v>
      </c>
      <c r="O346">
        <f>IFERROR(IF(VLOOKUP(calendar[[#This Row],[Date]],BH!G:G,1,)&lt;&gt;"",1,0),0)</f>
        <v>0</v>
      </c>
      <c r="P346">
        <f>IF(OR(calendar[[#This Row],[UK_BH]]=1,calendar[[#This Row],[WeekDay]]=1, calendar[[#This Row],[WeekDay]]=7),P345,P345+1)</f>
        <v>246</v>
      </c>
      <c r="Q346">
        <f>IF(OR(calendar[[#This Row],[FR_BH]]=1,calendar[[#This Row],[WeekDay]]=1, calendar[[#This Row],[WeekDay]]=7),P345,P345+1)</f>
        <v>246</v>
      </c>
      <c r="R346">
        <f>IF(OR(calendar[[#This Row],[SP_BH]]=1,calendar[[#This Row],[WeekDay]]=1, calendar[[#This Row],[WeekDay]]=7),P345,P345+1)</f>
        <v>246</v>
      </c>
      <c r="S346">
        <f>IF(OR(calendar[[#This Row],[PT_BH]]=1,calendar[[#This Row],[WeekDay]]=1, calendar[[#This Row],[WeekDay]]=7),P345,P345+1)</f>
        <v>246</v>
      </c>
    </row>
    <row r="347" spans="1:19" x14ac:dyDescent="0.25">
      <c r="A347" s="2">
        <v>43081</v>
      </c>
      <c r="B347" s="1">
        <f t="shared" si="28"/>
        <v>50</v>
      </c>
      <c r="C347">
        <f t="shared" si="30"/>
        <v>12</v>
      </c>
      <c r="D347" t="str">
        <f t="shared" si="31"/>
        <v>December</v>
      </c>
      <c r="E347">
        <f t="shared" si="32"/>
        <v>2017</v>
      </c>
      <c r="F347" t="str">
        <f>CONCATENATE(calendar[[#This Row],[Month]],"/",calendar[[#This Row],[Year]])</f>
        <v>12/2017</v>
      </c>
      <c r="G347">
        <f>WEEKDAY(calendar[[#This Row],[Date]],1)</f>
        <v>3</v>
      </c>
      <c r="H347" t="str">
        <f>TEXT(calendar[[#This Row],[WeekDay]],"dddd")</f>
        <v>Tuesday</v>
      </c>
      <c r="I347">
        <f>IF((INT(calendar[[#This Row],[Count]]/7)-calendar[[#This Row],[Count]]/7)&lt;0,I346,I346+1)</f>
        <v>50</v>
      </c>
      <c r="J347">
        <f t="shared" si="29"/>
        <v>345</v>
      </c>
      <c r="K347">
        <f>IF(calendar[[#This Row],[Month]]&lt;4,1,IF(calendar[[#This Row],[Month]]&lt;7,2,IF(calendar[[#This Row],[Month]]&lt;10,3,4)))</f>
        <v>4</v>
      </c>
      <c r="L347">
        <f>IFERROR(IF(VLOOKUP(calendar[[#This Row],[Date]],BH!A:A,1,)&lt;&gt;"",1,0),0)</f>
        <v>0</v>
      </c>
      <c r="M347">
        <f>IFERROR(IF(VLOOKUP(calendar[[#This Row],[Date]],BH!C:C,1,)&lt;&gt;"",1,0),0)</f>
        <v>0</v>
      </c>
      <c r="N347">
        <f>IFERROR(IF(VLOOKUP(calendar[[#This Row],[Date]],BH!E:E,1,)&lt;&gt;"",1,0),0)</f>
        <v>0</v>
      </c>
      <c r="O347">
        <f>IFERROR(IF(VLOOKUP(calendar[[#This Row],[Date]],BH!G:G,1,)&lt;&gt;"",1,0),0)</f>
        <v>0</v>
      </c>
      <c r="P347">
        <f>IF(OR(calendar[[#This Row],[UK_BH]]=1,calendar[[#This Row],[WeekDay]]=1, calendar[[#This Row],[WeekDay]]=7),P346,P346+1)</f>
        <v>247</v>
      </c>
      <c r="Q347">
        <f>IF(OR(calendar[[#This Row],[FR_BH]]=1,calendar[[#This Row],[WeekDay]]=1, calendar[[#This Row],[WeekDay]]=7),P346,P346+1)</f>
        <v>247</v>
      </c>
      <c r="R347">
        <f>IF(OR(calendar[[#This Row],[SP_BH]]=1,calendar[[#This Row],[WeekDay]]=1, calendar[[#This Row],[WeekDay]]=7),P346,P346+1)</f>
        <v>247</v>
      </c>
      <c r="S347">
        <f>IF(OR(calendar[[#This Row],[PT_BH]]=1,calendar[[#This Row],[WeekDay]]=1, calendar[[#This Row],[WeekDay]]=7),P346,P346+1)</f>
        <v>247</v>
      </c>
    </row>
    <row r="348" spans="1:19" x14ac:dyDescent="0.25">
      <c r="A348" s="2">
        <v>43082</v>
      </c>
      <c r="B348" s="1">
        <f t="shared" si="28"/>
        <v>50</v>
      </c>
      <c r="C348">
        <f t="shared" si="30"/>
        <v>12</v>
      </c>
      <c r="D348" t="str">
        <f t="shared" si="31"/>
        <v>December</v>
      </c>
      <c r="E348">
        <f t="shared" si="32"/>
        <v>2017</v>
      </c>
      <c r="F348" t="str">
        <f>CONCATENATE(calendar[[#This Row],[Month]],"/",calendar[[#This Row],[Year]])</f>
        <v>12/2017</v>
      </c>
      <c r="G348">
        <f>WEEKDAY(calendar[[#This Row],[Date]],1)</f>
        <v>4</v>
      </c>
      <c r="H348" t="str">
        <f>TEXT(calendar[[#This Row],[WeekDay]],"dddd")</f>
        <v>Wednesday</v>
      </c>
      <c r="I348">
        <f>IF((INT(calendar[[#This Row],[Count]]/7)-calendar[[#This Row],[Count]]/7)&lt;0,I347,I347+1)</f>
        <v>50</v>
      </c>
      <c r="J348">
        <f t="shared" si="29"/>
        <v>346</v>
      </c>
      <c r="K348">
        <f>IF(calendar[[#This Row],[Month]]&lt;4,1,IF(calendar[[#This Row],[Month]]&lt;7,2,IF(calendar[[#This Row],[Month]]&lt;10,3,4)))</f>
        <v>4</v>
      </c>
      <c r="L348">
        <f>IFERROR(IF(VLOOKUP(calendar[[#This Row],[Date]],BH!A:A,1,)&lt;&gt;"",1,0),0)</f>
        <v>0</v>
      </c>
      <c r="M348">
        <f>IFERROR(IF(VLOOKUP(calendar[[#This Row],[Date]],BH!C:C,1,)&lt;&gt;"",1,0),0)</f>
        <v>0</v>
      </c>
      <c r="N348">
        <f>IFERROR(IF(VLOOKUP(calendar[[#This Row],[Date]],BH!E:E,1,)&lt;&gt;"",1,0),0)</f>
        <v>0</v>
      </c>
      <c r="O348">
        <f>IFERROR(IF(VLOOKUP(calendar[[#This Row],[Date]],BH!G:G,1,)&lt;&gt;"",1,0),0)</f>
        <v>0</v>
      </c>
      <c r="P348">
        <f>IF(OR(calendar[[#This Row],[UK_BH]]=1,calendar[[#This Row],[WeekDay]]=1, calendar[[#This Row],[WeekDay]]=7),P347,P347+1)</f>
        <v>248</v>
      </c>
      <c r="Q348">
        <f>IF(OR(calendar[[#This Row],[FR_BH]]=1,calendar[[#This Row],[WeekDay]]=1, calendar[[#This Row],[WeekDay]]=7),P347,P347+1)</f>
        <v>248</v>
      </c>
      <c r="R348">
        <f>IF(OR(calendar[[#This Row],[SP_BH]]=1,calendar[[#This Row],[WeekDay]]=1, calendar[[#This Row],[WeekDay]]=7),P347,P347+1)</f>
        <v>248</v>
      </c>
      <c r="S348">
        <f>IF(OR(calendar[[#This Row],[PT_BH]]=1,calendar[[#This Row],[WeekDay]]=1, calendar[[#This Row],[WeekDay]]=7),P347,P347+1)</f>
        <v>248</v>
      </c>
    </row>
    <row r="349" spans="1:19" x14ac:dyDescent="0.25">
      <c r="A349" s="2">
        <v>43083</v>
      </c>
      <c r="B349" s="1">
        <f t="shared" si="28"/>
        <v>50</v>
      </c>
      <c r="C349">
        <f t="shared" si="30"/>
        <v>12</v>
      </c>
      <c r="D349" t="str">
        <f t="shared" si="31"/>
        <v>December</v>
      </c>
      <c r="E349">
        <f t="shared" si="32"/>
        <v>2017</v>
      </c>
      <c r="F349" t="str">
        <f>CONCATENATE(calendar[[#This Row],[Month]],"/",calendar[[#This Row],[Year]])</f>
        <v>12/2017</v>
      </c>
      <c r="G349">
        <f>WEEKDAY(calendar[[#This Row],[Date]],1)</f>
        <v>5</v>
      </c>
      <c r="H349" t="str">
        <f>TEXT(calendar[[#This Row],[WeekDay]],"dddd")</f>
        <v>Thursday</v>
      </c>
      <c r="I349">
        <f>IF((INT(calendar[[#This Row],[Count]]/7)-calendar[[#This Row],[Count]]/7)&lt;0,I348,I348+1)</f>
        <v>50</v>
      </c>
      <c r="J349">
        <f t="shared" si="29"/>
        <v>347</v>
      </c>
      <c r="K349">
        <f>IF(calendar[[#This Row],[Month]]&lt;4,1,IF(calendar[[#This Row],[Month]]&lt;7,2,IF(calendar[[#This Row],[Month]]&lt;10,3,4)))</f>
        <v>4</v>
      </c>
      <c r="L349">
        <f>IFERROR(IF(VLOOKUP(calendar[[#This Row],[Date]],BH!A:A,1,)&lt;&gt;"",1,0),0)</f>
        <v>0</v>
      </c>
      <c r="M349">
        <f>IFERROR(IF(VLOOKUP(calendar[[#This Row],[Date]],BH!C:C,1,)&lt;&gt;"",1,0),0)</f>
        <v>0</v>
      </c>
      <c r="N349">
        <f>IFERROR(IF(VLOOKUP(calendar[[#This Row],[Date]],BH!E:E,1,)&lt;&gt;"",1,0),0)</f>
        <v>0</v>
      </c>
      <c r="O349">
        <f>IFERROR(IF(VLOOKUP(calendar[[#This Row],[Date]],BH!G:G,1,)&lt;&gt;"",1,0),0)</f>
        <v>0</v>
      </c>
      <c r="P349">
        <f>IF(OR(calendar[[#This Row],[UK_BH]]=1,calendar[[#This Row],[WeekDay]]=1, calendar[[#This Row],[WeekDay]]=7),P348,P348+1)</f>
        <v>249</v>
      </c>
      <c r="Q349">
        <f>IF(OR(calendar[[#This Row],[FR_BH]]=1,calendar[[#This Row],[WeekDay]]=1, calendar[[#This Row],[WeekDay]]=7),P348,P348+1)</f>
        <v>249</v>
      </c>
      <c r="R349">
        <f>IF(OR(calendar[[#This Row],[SP_BH]]=1,calendar[[#This Row],[WeekDay]]=1, calendar[[#This Row],[WeekDay]]=7),P348,P348+1)</f>
        <v>249</v>
      </c>
      <c r="S349">
        <f>IF(OR(calendar[[#This Row],[PT_BH]]=1,calendar[[#This Row],[WeekDay]]=1, calendar[[#This Row],[WeekDay]]=7),P348,P348+1)</f>
        <v>249</v>
      </c>
    </row>
    <row r="350" spans="1:19" x14ac:dyDescent="0.25">
      <c r="A350" s="2">
        <v>43084</v>
      </c>
      <c r="B350" s="1">
        <f t="shared" si="28"/>
        <v>50</v>
      </c>
      <c r="C350">
        <f t="shared" si="30"/>
        <v>12</v>
      </c>
      <c r="D350" t="str">
        <f t="shared" si="31"/>
        <v>December</v>
      </c>
      <c r="E350">
        <f t="shared" si="32"/>
        <v>2017</v>
      </c>
      <c r="F350" t="str">
        <f>CONCATENATE(calendar[[#This Row],[Month]],"/",calendar[[#This Row],[Year]])</f>
        <v>12/2017</v>
      </c>
      <c r="G350">
        <f>WEEKDAY(calendar[[#This Row],[Date]],1)</f>
        <v>6</v>
      </c>
      <c r="H350" t="str">
        <f>TEXT(calendar[[#This Row],[WeekDay]],"dddd")</f>
        <v>Friday</v>
      </c>
      <c r="I350">
        <f>IF((INT(calendar[[#This Row],[Count]]/7)-calendar[[#This Row],[Count]]/7)&lt;0,I349,I349+1)</f>
        <v>50</v>
      </c>
      <c r="J350">
        <f t="shared" si="29"/>
        <v>348</v>
      </c>
      <c r="K350">
        <f>IF(calendar[[#This Row],[Month]]&lt;4,1,IF(calendar[[#This Row],[Month]]&lt;7,2,IF(calendar[[#This Row],[Month]]&lt;10,3,4)))</f>
        <v>4</v>
      </c>
      <c r="L350">
        <f>IFERROR(IF(VLOOKUP(calendar[[#This Row],[Date]],BH!A:A,1,)&lt;&gt;"",1,0),0)</f>
        <v>0</v>
      </c>
      <c r="M350">
        <f>IFERROR(IF(VLOOKUP(calendar[[#This Row],[Date]],BH!C:C,1,)&lt;&gt;"",1,0),0)</f>
        <v>0</v>
      </c>
      <c r="N350">
        <f>IFERROR(IF(VLOOKUP(calendar[[#This Row],[Date]],BH!E:E,1,)&lt;&gt;"",1,0),0)</f>
        <v>0</v>
      </c>
      <c r="O350">
        <f>IFERROR(IF(VLOOKUP(calendar[[#This Row],[Date]],BH!G:G,1,)&lt;&gt;"",1,0),0)</f>
        <v>0</v>
      </c>
      <c r="P350">
        <f>IF(OR(calendar[[#This Row],[UK_BH]]=1,calendar[[#This Row],[WeekDay]]=1, calendar[[#This Row],[WeekDay]]=7),P349,P349+1)</f>
        <v>250</v>
      </c>
      <c r="Q350">
        <f>IF(OR(calendar[[#This Row],[FR_BH]]=1,calendar[[#This Row],[WeekDay]]=1, calendar[[#This Row],[WeekDay]]=7),P349,P349+1)</f>
        <v>250</v>
      </c>
      <c r="R350">
        <f>IF(OR(calendar[[#This Row],[SP_BH]]=1,calendar[[#This Row],[WeekDay]]=1, calendar[[#This Row],[WeekDay]]=7),P349,P349+1)</f>
        <v>250</v>
      </c>
      <c r="S350">
        <f>IF(OR(calendar[[#This Row],[PT_BH]]=1,calendar[[#This Row],[WeekDay]]=1, calendar[[#This Row],[WeekDay]]=7),P349,P349+1)</f>
        <v>250</v>
      </c>
    </row>
    <row r="351" spans="1:19" x14ac:dyDescent="0.25">
      <c r="A351" s="2">
        <v>43085</v>
      </c>
      <c r="B351" s="1">
        <f t="shared" si="28"/>
        <v>50</v>
      </c>
      <c r="C351">
        <f t="shared" si="30"/>
        <v>12</v>
      </c>
      <c r="D351" t="str">
        <f t="shared" si="31"/>
        <v>December</v>
      </c>
      <c r="E351">
        <f t="shared" si="32"/>
        <v>2017</v>
      </c>
      <c r="F351" t="str">
        <f>CONCATENATE(calendar[[#This Row],[Month]],"/",calendar[[#This Row],[Year]])</f>
        <v>12/2017</v>
      </c>
      <c r="G351">
        <f>WEEKDAY(calendar[[#This Row],[Date]],1)</f>
        <v>7</v>
      </c>
      <c r="H351" t="str">
        <f>TEXT(calendar[[#This Row],[WeekDay]],"dddd")</f>
        <v>Saturday</v>
      </c>
      <c r="I351">
        <f>IF((INT(calendar[[#This Row],[Count]]/7)-calendar[[#This Row],[Count]]/7)&lt;0,I350,I350+1)</f>
        <v>50</v>
      </c>
      <c r="J351">
        <f t="shared" si="29"/>
        <v>349</v>
      </c>
      <c r="K351">
        <f>IF(calendar[[#This Row],[Month]]&lt;4,1,IF(calendar[[#This Row],[Month]]&lt;7,2,IF(calendar[[#This Row],[Month]]&lt;10,3,4)))</f>
        <v>4</v>
      </c>
      <c r="L351">
        <f>IFERROR(IF(VLOOKUP(calendar[[#This Row],[Date]],BH!A:A,1,)&lt;&gt;"",1,0),0)</f>
        <v>0</v>
      </c>
      <c r="M351">
        <f>IFERROR(IF(VLOOKUP(calendar[[#This Row],[Date]],BH!C:C,1,)&lt;&gt;"",1,0),0)</f>
        <v>0</v>
      </c>
      <c r="N351">
        <f>IFERROR(IF(VLOOKUP(calendar[[#This Row],[Date]],BH!E:E,1,)&lt;&gt;"",1,0),0)</f>
        <v>0</v>
      </c>
      <c r="O351">
        <f>IFERROR(IF(VLOOKUP(calendar[[#This Row],[Date]],BH!G:G,1,)&lt;&gt;"",1,0),0)</f>
        <v>0</v>
      </c>
      <c r="P351">
        <f>IF(OR(calendar[[#This Row],[UK_BH]]=1,calendar[[#This Row],[WeekDay]]=1, calendar[[#This Row],[WeekDay]]=7),P350,P350+1)</f>
        <v>250</v>
      </c>
      <c r="Q351">
        <f>IF(OR(calendar[[#This Row],[FR_BH]]=1,calendar[[#This Row],[WeekDay]]=1, calendar[[#This Row],[WeekDay]]=7),P350,P350+1)</f>
        <v>250</v>
      </c>
      <c r="R351">
        <f>IF(OR(calendar[[#This Row],[SP_BH]]=1,calendar[[#This Row],[WeekDay]]=1, calendar[[#This Row],[WeekDay]]=7),P350,P350+1)</f>
        <v>250</v>
      </c>
      <c r="S351">
        <f>IF(OR(calendar[[#This Row],[PT_BH]]=1,calendar[[#This Row],[WeekDay]]=1, calendar[[#This Row],[WeekDay]]=7),P350,P350+1)</f>
        <v>250</v>
      </c>
    </row>
    <row r="352" spans="1:19" x14ac:dyDescent="0.25">
      <c r="A352" s="2">
        <v>43086</v>
      </c>
      <c r="B352" s="1">
        <f t="shared" si="28"/>
        <v>51</v>
      </c>
      <c r="C352">
        <f t="shared" si="30"/>
        <v>12</v>
      </c>
      <c r="D352" t="str">
        <f t="shared" si="31"/>
        <v>December</v>
      </c>
      <c r="E352">
        <f t="shared" si="32"/>
        <v>2017</v>
      </c>
      <c r="F352" t="str">
        <f>CONCATENATE(calendar[[#This Row],[Month]],"/",calendar[[#This Row],[Year]])</f>
        <v>12/2017</v>
      </c>
      <c r="G352">
        <f>WEEKDAY(calendar[[#This Row],[Date]],1)</f>
        <v>1</v>
      </c>
      <c r="H352" t="str">
        <f>TEXT(calendar[[#This Row],[WeekDay]],"dddd")</f>
        <v>Sunday</v>
      </c>
      <c r="I352">
        <f>IF((INT(calendar[[#This Row],[Count]]/7)-calendar[[#This Row],[Count]]/7)&lt;0,I351,I351+1)</f>
        <v>51</v>
      </c>
      <c r="J352">
        <f t="shared" si="29"/>
        <v>350</v>
      </c>
      <c r="K352">
        <f>IF(calendar[[#This Row],[Month]]&lt;4,1,IF(calendar[[#This Row],[Month]]&lt;7,2,IF(calendar[[#This Row],[Month]]&lt;10,3,4)))</f>
        <v>4</v>
      </c>
      <c r="L352">
        <f>IFERROR(IF(VLOOKUP(calendar[[#This Row],[Date]],BH!A:A,1,)&lt;&gt;"",1,0),0)</f>
        <v>0</v>
      </c>
      <c r="M352">
        <f>IFERROR(IF(VLOOKUP(calendar[[#This Row],[Date]],BH!C:C,1,)&lt;&gt;"",1,0),0)</f>
        <v>0</v>
      </c>
      <c r="N352">
        <f>IFERROR(IF(VLOOKUP(calendar[[#This Row],[Date]],BH!E:E,1,)&lt;&gt;"",1,0),0)</f>
        <v>0</v>
      </c>
      <c r="O352">
        <f>IFERROR(IF(VLOOKUP(calendar[[#This Row],[Date]],BH!G:G,1,)&lt;&gt;"",1,0),0)</f>
        <v>0</v>
      </c>
      <c r="P352">
        <f>IF(OR(calendar[[#This Row],[UK_BH]]=1,calendar[[#This Row],[WeekDay]]=1, calendar[[#This Row],[WeekDay]]=7),P351,P351+1)</f>
        <v>250</v>
      </c>
      <c r="Q352">
        <f>IF(OR(calendar[[#This Row],[FR_BH]]=1,calendar[[#This Row],[WeekDay]]=1, calendar[[#This Row],[WeekDay]]=7),P351,P351+1)</f>
        <v>250</v>
      </c>
      <c r="R352">
        <f>IF(OR(calendar[[#This Row],[SP_BH]]=1,calendar[[#This Row],[WeekDay]]=1, calendar[[#This Row],[WeekDay]]=7),P351,P351+1)</f>
        <v>250</v>
      </c>
      <c r="S352">
        <f>IF(OR(calendar[[#This Row],[PT_BH]]=1,calendar[[#This Row],[WeekDay]]=1, calendar[[#This Row],[WeekDay]]=7),P351,P351+1)</f>
        <v>250</v>
      </c>
    </row>
    <row r="353" spans="1:19" x14ac:dyDescent="0.25">
      <c r="A353" s="2">
        <v>43087</v>
      </c>
      <c r="B353" s="1">
        <f t="shared" si="28"/>
        <v>51</v>
      </c>
      <c r="C353">
        <f t="shared" si="30"/>
        <v>12</v>
      </c>
      <c r="D353" t="str">
        <f t="shared" si="31"/>
        <v>December</v>
      </c>
      <c r="E353">
        <f t="shared" si="32"/>
        <v>2017</v>
      </c>
      <c r="F353" t="str">
        <f>CONCATENATE(calendar[[#This Row],[Month]],"/",calendar[[#This Row],[Year]])</f>
        <v>12/2017</v>
      </c>
      <c r="G353">
        <f>WEEKDAY(calendar[[#This Row],[Date]],1)</f>
        <v>2</v>
      </c>
      <c r="H353" t="str">
        <f>TEXT(calendar[[#This Row],[WeekDay]],"dddd")</f>
        <v>Monday</v>
      </c>
      <c r="I353">
        <f>IF((INT(calendar[[#This Row],[Count]]/7)-calendar[[#This Row],[Count]]/7)&lt;0,I352,I352+1)</f>
        <v>51</v>
      </c>
      <c r="J353">
        <f t="shared" si="29"/>
        <v>351</v>
      </c>
      <c r="K353">
        <f>IF(calendar[[#This Row],[Month]]&lt;4,1,IF(calendar[[#This Row],[Month]]&lt;7,2,IF(calendar[[#This Row],[Month]]&lt;10,3,4)))</f>
        <v>4</v>
      </c>
      <c r="L353">
        <f>IFERROR(IF(VLOOKUP(calendar[[#This Row],[Date]],BH!A:A,1,)&lt;&gt;"",1,0),0)</f>
        <v>0</v>
      </c>
      <c r="M353">
        <f>IFERROR(IF(VLOOKUP(calendar[[#This Row],[Date]],BH!C:C,1,)&lt;&gt;"",1,0),0)</f>
        <v>0</v>
      </c>
      <c r="N353">
        <f>IFERROR(IF(VLOOKUP(calendar[[#This Row],[Date]],BH!E:E,1,)&lt;&gt;"",1,0),0)</f>
        <v>0</v>
      </c>
      <c r="O353">
        <f>IFERROR(IF(VLOOKUP(calendar[[#This Row],[Date]],BH!G:G,1,)&lt;&gt;"",1,0),0)</f>
        <v>0</v>
      </c>
      <c r="P353">
        <f>IF(OR(calendar[[#This Row],[UK_BH]]=1,calendar[[#This Row],[WeekDay]]=1, calendar[[#This Row],[WeekDay]]=7),P352,P352+1)</f>
        <v>251</v>
      </c>
      <c r="Q353">
        <f>IF(OR(calendar[[#This Row],[FR_BH]]=1,calendar[[#This Row],[WeekDay]]=1, calendar[[#This Row],[WeekDay]]=7),P352,P352+1)</f>
        <v>251</v>
      </c>
      <c r="R353">
        <f>IF(OR(calendar[[#This Row],[SP_BH]]=1,calendar[[#This Row],[WeekDay]]=1, calendar[[#This Row],[WeekDay]]=7),P352,P352+1)</f>
        <v>251</v>
      </c>
      <c r="S353">
        <f>IF(OR(calendar[[#This Row],[PT_BH]]=1,calendar[[#This Row],[WeekDay]]=1, calendar[[#This Row],[WeekDay]]=7),P352,P352+1)</f>
        <v>251</v>
      </c>
    </row>
    <row r="354" spans="1:19" x14ac:dyDescent="0.25">
      <c r="A354" s="2">
        <v>43088</v>
      </c>
      <c r="B354" s="1">
        <f t="shared" si="28"/>
        <v>51</v>
      </c>
      <c r="C354">
        <f t="shared" si="30"/>
        <v>12</v>
      </c>
      <c r="D354" t="str">
        <f t="shared" si="31"/>
        <v>December</v>
      </c>
      <c r="E354">
        <f t="shared" si="32"/>
        <v>2017</v>
      </c>
      <c r="F354" t="str">
        <f>CONCATENATE(calendar[[#This Row],[Month]],"/",calendar[[#This Row],[Year]])</f>
        <v>12/2017</v>
      </c>
      <c r="G354">
        <f>WEEKDAY(calendar[[#This Row],[Date]],1)</f>
        <v>3</v>
      </c>
      <c r="H354" t="str">
        <f>TEXT(calendar[[#This Row],[WeekDay]],"dddd")</f>
        <v>Tuesday</v>
      </c>
      <c r="I354">
        <f>IF((INT(calendar[[#This Row],[Count]]/7)-calendar[[#This Row],[Count]]/7)&lt;0,I353,I353+1)</f>
        <v>51</v>
      </c>
      <c r="J354">
        <f t="shared" si="29"/>
        <v>352</v>
      </c>
      <c r="K354">
        <f>IF(calendar[[#This Row],[Month]]&lt;4,1,IF(calendar[[#This Row],[Month]]&lt;7,2,IF(calendar[[#This Row],[Month]]&lt;10,3,4)))</f>
        <v>4</v>
      </c>
      <c r="L354">
        <f>IFERROR(IF(VLOOKUP(calendar[[#This Row],[Date]],BH!A:A,1,)&lt;&gt;"",1,0),0)</f>
        <v>0</v>
      </c>
      <c r="M354">
        <f>IFERROR(IF(VLOOKUP(calendar[[#This Row],[Date]],BH!C:C,1,)&lt;&gt;"",1,0),0)</f>
        <v>0</v>
      </c>
      <c r="N354">
        <f>IFERROR(IF(VLOOKUP(calendar[[#This Row],[Date]],BH!E:E,1,)&lt;&gt;"",1,0),0)</f>
        <v>0</v>
      </c>
      <c r="O354">
        <f>IFERROR(IF(VLOOKUP(calendar[[#This Row],[Date]],BH!G:G,1,)&lt;&gt;"",1,0),0)</f>
        <v>0</v>
      </c>
      <c r="P354">
        <f>IF(OR(calendar[[#This Row],[UK_BH]]=1,calendar[[#This Row],[WeekDay]]=1, calendar[[#This Row],[WeekDay]]=7),P353,P353+1)</f>
        <v>252</v>
      </c>
      <c r="Q354">
        <f>IF(OR(calendar[[#This Row],[FR_BH]]=1,calendar[[#This Row],[WeekDay]]=1, calendar[[#This Row],[WeekDay]]=7),P353,P353+1)</f>
        <v>252</v>
      </c>
      <c r="R354">
        <f>IF(OR(calendar[[#This Row],[SP_BH]]=1,calendar[[#This Row],[WeekDay]]=1, calendar[[#This Row],[WeekDay]]=7),P353,P353+1)</f>
        <v>252</v>
      </c>
      <c r="S354">
        <f>IF(OR(calendar[[#This Row],[PT_BH]]=1,calendar[[#This Row],[WeekDay]]=1, calendar[[#This Row],[WeekDay]]=7),P353,P353+1)</f>
        <v>252</v>
      </c>
    </row>
    <row r="355" spans="1:19" x14ac:dyDescent="0.25">
      <c r="A355" s="2">
        <v>43089</v>
      </c>
      <c r="B355" s="1">
        <f t="shared" si="28"/>
        <v>51</v>
      </c>
      <c r="C355">
        <f t="shared" si="30"/>
        <v>12</v>
      </c>
      <c r="D355" t="str">
        <f t="shared" si="31"/>
        <v>December</v>
      </c>
      <c r="E355">
        <f t="shared" si="32"/>
        <v>2017</v>
      </c>
      <c r="F355" t="str">
        <f>CONCATENATE(calendar[[#This Row],[Month]],"/",calendar[[#This Row],[Year]])</f>
        <v>12/2017</v>
      </c>
      <c r="G355">
        <f>WEEKDAY(calendar[[#This Row],[Date]],1)</f>
        <v>4</v>
      </c>
      <c r="H355" t="str">
        <f>TEXT(calendar[[#This Row],[WeekDay]],"dddd")</f>
        <v>Wednesday</v>
      </c>
      <c r="I355">
        <f>IF((INT(calendar[[#This Row],[Count]]/7)-calendar[[#This Row],[Count]]/7)&lt;0,I354,I354+1)</f>
        <v>51</v>
      </c>
      <c r="J355">
        <f t="shared" si="29"/>
        <v>353</v>
      </c>
      <c r="K355">
        <f>IF(calendar[[#This Row],[Month]]&lt;4,1,IF(calendar[[#This Row],[Month]]&lt;7,2,IF(calendar[[#This Row],[Month]]&lt;10,3,4)))</f>
        <v>4</v>
      </c>
      <c r="L355">
        <f>IFERROR(IF(VLOOKUP(calendar[[#This Row],[Date]],BH!A:A,1,)&lt;&gt;"",1,0),0)</f>
        <v>0</v>
      </c>
      <c r="M355">
        <f>IFERROR(IF(VLOOKUP(calendar[[#This Row],[Date]],BH!C:C,1,)&lt;&gt;"",1,0),0)</f>
        <v>0</v>
      </c>
      <c r="N355">
        <f>IFERROR(IF(VLOOKUP(calendar[[#This Row],[Date]],BH!E:E,1,)&lt;&gt;"",1,0),0)</f>
        <v>0</v>
      </c>
      <c r="O355">
        <f>IFERROR(IF(VLOOKUP(calendar[[#This Row],[Date]],BH!G:G,1,)&lt;&gt;"",1,0),0)</f>
        <v>0</v>
      </c>
      <c r="P355">
        <f>IF(OR(calendar[[#This Row],[UK_BH]]=1,calendar[[#This Row],[WeekDay]]=1, calendar[[#This Row],[WeekDay]]=7),P354,P354+1)</f>
        <v>253</v>
      </c>
      <c r="Q355">
        <f>IF(OR(calendar[[#This Row],[FR_BH]]=1,calendar[[#This Row],[WeekDay]]=1, calendar[[#This Row],[WeekDay]]=7),P354,P354+1)</f>
        <v>253</v>
      </c>
      <c r="R355">
        <f>IF(OR(calendar[[#This Row],[SP_BH]]=1,calendar[[#This Row],[WeekDay]]=1, calendar[[#This Row],[WeekDay]]=7),P354,P354+1)</f>
        <v>253</v>
      </c>
      <c r="S355">
        <f>IF(OR(calendar[[#This Row],[PT_BH]]=1,calendar[[#This Row],[WeekDay]]=1, calendar[[#This Row],[WeekDay]]=7),P354,P354+1)</f>
        <v>253</v>
      </c>
    </row>
    <row r="356" spans="1:19" x14ac:dyDescent="0.25">
      <c r="A356" s="2">
        <v>43090</v>
      </c>
      <c r="B356" s="1">
        <f t="shared" si="28"/>
        <v>51</v>
      </c>
      <c r="C356">
        <f t="shared" si="30"/>
        <v>12</v>
      </c>
      <c r="D356" t="str">
        <f t="shared" si="31"/>
        <v>December</v>
      </c>
      <c r="E356">
        <f t="shared" si="32"/>
        <v>2017</v>
      </c>
      <c r="F356" t="str">
        <f>CONCATENATE(calendar[[#This Row],[Month]],"/",calendar[[#This Row],[Year]])</f>
        <v>12/2017</v>
      </c>
      <c r="G356">
        <f>WEEKDAY(calendar[[#This Row],[Date]],1)</f>
        <v>5</v>
      </c>
      <c r="H356" t="str">
        <f>TEXT(calendar[[#This Row],[WeekDay]],"dddd")</f>
        <v>Thursday</v>
      </c>
      <c r="I356">
        <f>IF((INT(calendar[[#This Row],[Count]]/7)-calendar[[#This Row],[Count]]/7)&lt;0,I355,I355+1)</f>
        <v>51</v>
      </c>
      <c r="J356">
        <f t="shared" si="29"/>
        <v>354</v>
      </c>
      <c r="K356">
        <f>IF(calendar[[#This Row],[Month]]&lt;4,1,IF(calendar[[#This Row],[Month]]&lt;7,2,IF(calendar[[#This Row],[Month]]&lt;10,3,4)))</f>
        <v>4</v>
      </c>
      <c r="L356">
        <f>IFERROR(IF(VLOOKUP(calendar[[#This Row],[Date]],BH!A:A,1,)&lt;&gt;"",1,0),0)</f>
        <v>0</v>
      </c>
      <c r="M356">
        <f>IFERROR(IF(VLOOKUP(calendar[[#This Row],[Date]],BH!C:C,1,)&lt;&gt;"",1,0),0)</f>
        <v>0</v>
      </c>
      <c r="N356">
        <f>IFERROR(IF(VLOOKUP(calendar[[#This Row],[Date]],BH!E:E,1,)&lt;&gt;"",1,0),0)</f>
        <v>0</v>
      </c>
      <c r="O356">
        <f>IFERROR(IF(VLOOKUP(calendar[[#This Row],[Date]],BH!G:G,1,)&lt;&gt;"",1,0),0)</f>
        <v>0</v>
      </c>
      <c r="P356">
        <f>IF(OR(calendar[[#This Row],[UK_BH]]=1,calendar[[#This Row],[WeekDay]]=1, calendar[[#This Row],[WeekDay]]=7),P355,P355+1)</f>
        <v>254</v>
      </c>
      <c r="Q356">
        <f>IF(OR(calendar[[#This Row],[FR_BH]]=1,calendar[[#This Row],[WeekDay]]=1, calendar[[#This Row],[WeekDay]]=7),P355,P355+1)</f>
        <v>254</v>
      </c>
      <c r="R356">
        <f>IF(OR(calendar[[#This Row],[SP_BH]]=1,calendar[[#This Row],[WeekDay]]=1, calendar[[#This Row],[WeekDay]]=7),P355,P355+1)</f>
        <v>254</v>
      </c>
      <c r="S356">
        <f>IF(OR(calendar[[#This Row],[PT_BH]]=1,calendar[[#This Row],[WeekDay]]=1, calendar[[#This Row],[WeekDay]]=7),P355,P355+1)</f>
        <v>254</v>
      </c>
    </row>
    <row r="357" spans="1:19" x14ac:dyDescent="0.25">
      <c r="A357" s="2">
        <v>43091</v>
      </c>
      <c r="B357" s="1">
        <f t="shared" si="28"/>
        <v>51</v>
      </c>
      <c r="C357">
        <f t="shared" si="30"/>
        <v>12</v>
      </c>
      <c r="D357" t="str">
        <f t="shared" si="31"/>
        <v>December</v>
      </c>
      <c r="E357">
        <f t="shared" si="32"/>
        <v>2017</v>
      </c>
      <c r="F357" t="str">
        <f>CONCATENATE(calendar[[#This Row],[Month]],"/",calendar[[#This Row],[Year]])</f>
        <v>12/2017</v>
      </c>
      <c r="G357">
        <f>WEEKDAY(calendar[[#This Row],[Date]],1)</f>
        <v>6</v>
      </c>
      <c r="H357" t="str">
        <f>TEXT(calendar[[#This Row],[WeekDay]],"dddd")</f>
        <v>Friday</v>
      </c>
      <c r="I357">
        <f>IF((INT(calendar[[#This Row],[Count]]/7)-calendar[[#This Row],[Count]]/7)&lt;0,I356,I356+1)</f>
        <v>51</v>
      </c>
      <c r="J357">
        <f t="shared" si="29"/>
        <v>355</v>
      </c>
      <c r="K357">
        <f>IF(calendar[[#This Row],[Month]]&lt;4,1,IF(calendar[[#This Row],[Month]]&lt;7,2,IF(calendar[[#This Row],[Month]]&lt;10,3,4)))</f>
        <v>4</v>
      </c>
      <c r="L357">
        <f>IFERROR(IF(VLOOKUP(calendar[[#This Row],[Date]],BH!A:A,1,)&lt;&gt;"",1,0),0)</f>
        <v>0</v>
      </c>
      <c r="M357">
        <f>IFERROR(IF(VLOOKUP(calendar[[#This Row],[Date]],BH!C:C,1,)&lt;&gt;"",1,0),0)</f>
        <v>0</v>
      </c>
      <c r="N357">
        <f>IFERROR(IF(VLOOKUP(calendar[[#This Row],[Date]],BH!E:E,1,)&lt;&gt;"",1,0),0)</f>
        <v>0</v>
      </c>
      <c r="O357">
        <f>IFERROR(IF(VLOOKUP(calendar[[#This Row],[Date]],BH!G:G,1,)&lt;&gt;"",1,0),0)</f>
        <v>0</v>
      </c>
      <c r="P357">
        <f>IF(OR(calendar[[#This Row],[UK_BH]]=1,calendar[[#This Row],[WeekDay]]=1, calendar[[#This Row],[WeekDay]]=7),P356,P356+1)</f>
        <v>255</v>
      </c>
      <c r="Q357">
        <f>IF(OR(calendar[[#This Row],[FR_BH]]=1,calendar[[#This Row],[WeekDay]]=1, calendar[[#This Row],[WeekDay]]=7),P356,P356+1)</f>
        <v>255</v>
      </c>
      <c r="R357">
        <f>IF(OR(calendar[[#This Row],[SP_BH]]=1,calendar[[#This Row],[WeekDay]]=1, calendar[[#This Row],[WeekDay]]=7),P356,P356+1)</f>
        <v>255</v>
      </c>
      <c r="S357">
        <f>IF(OR(calendar[[#This Row],[PT_BH]]=1,calendar[[#This Row],[WeekDay]]=1, calendar[[#This Row],[WeekDay]]=7),P356,P356+1)</f>
        <v>255</v>
      </c>
    </row>
    <row r="358" spans="1:19" x14ac:dyDescent="0.25">
      <c r="A358" s="2">
        <v>43092</v>
      </c>
      <c r="B358" s="1">
        <f t="shared" si="28"/>
        <v>51</v>
      </c>
      <c r="C358">
        <f t="shared" si="30"/>
        <v>12</v>
      </c>
      <c r="D358" t="str">
        <f t="shared" si="31"/>
        <v>December</v>
      </c>
      <c r="E358">
        <f t="shared" si="32"/>
        <v>2017</v>
      </c>
      <c r="F358" t="str">
        <f>CONCATENATE(calendar[[#This Row],[Month]],"/",calendar[[#This Row],[Year]])</f>
        <v>12/2017</v>
      </c>
      <c r="G358">
        <f>WEEKDAY(calendar[[#This Row],[Date]],1)</f>
        <v>7</v>
      </c>
      <c r="H358" t="str">
        <f>TEXT(calendar[[#This Row],[WeekDay]],"dddd")</f>
        <v>Saturday</v>
      </c>
      <c r="I358">
        <f>IF((INT(calendar[[#This Row],[Count]]/7)-calendar[[#This Row],[Count]]/7)&lt;0,I357,I357+1)</f>
        <v>51</v>
      </c>
      <c r="J358">
        <f t="shared" si="29"/>
        <v>356</v>
      </c>
      <c r="K358">
        <f>IF(calendar[[#This Row],[Month]]&lt;4,1,IF(calendar[[#This Row],[Month]]&lt;7,2,IF(calendar[[#This Row],[Month]]&lt;10,3,4)))</f>
        <v>4</v>
      </c>
      <c r="L358">
        <f>IFERROR(IF(VLOOKUP(calendar[[#This Row],[Date]],BH!A:A,1,)&lt;&gt;"",1,0),0)</f>
        <v>0</v>
      </c>
      <c r="M358">
        <f>IFERROR(IF(VLOOKUP(calendar[[#This Row],[Date]],BH!C:C,1,)&lt;&gt;"",1,0),0)</f>
        <v>0</v>
      </c>
      <c r="N358">
        <f>IFERROR(IF(VLOOKUP(calendar[[#This Row],[Date]],BH!E:E,1,)&lt;&gt;"",1,0),0)</f>
        <v>0</v>
      </c>
      <c r="O358">
        <f>IFERROR(IF(VLOOKUP(calendar[[#This Row],[Date]],BH!G:G,1,)&lt;&gt;"",1,0),0)</f>
        <v>0</v>
      </c>
      <c r="P358">
        <f>IF(OR(calendar[[#This Row],[UK_BH]]=1,calendar[[#This Row],[WeekDay]]=1, calendar[[#This Row],[WeekDay]]=7),P357,P357+1)</f>
        <v>255</v>
      </c>
      <c r="Q358">
        <f>IF(OR(calendar[[#This Row],[FR_BH]]=1,calendar[[#This Row],[WeekDay]]=1, calendar[[#This Row],[WeekDay]]=7),P357,P357+1)</f>
        <v>255</v>
      </c>
      <c r="R358">
        <f>IF(OR(calendar[[#This Row],[SP_BH]]=1,calendar[[#This Row],[WeekDay]]=1, calendar[[#This Row],[WeekDay]]=7),P357,P357+1)</f>
        <v>255</v>
      </c>
      <c r="S358">
        <f>IF(OR(calendar[[#This Row],[PT_BH]]=1,calendar[[#This Row],[WeekDay]]=1, calendar[[#This Row],[WeekDay]]=7),P357,P357+1)</f>
        <v>255</v>
      </c>
    </row>
    <row r="359" spans="1:19" x14ac:dyDescent="0.25">
      <c r="A359" s="2">
        <v>43093</v>
      </c>
      <c r="B359" s="1">
        <f t="shared" si="28"/>
        <v>52</v>
      </c>
      <c r="C359">
        <f t="shared" si="30"/>
        <v>12</v>
      </c>
      <c r="D359" t="str">
        <f t="shared" si="31"/>
        <v>December</v>
      </c>
      <c r="E359">
        <f t="shared" si="32"/>
        <v>2017</v>
      </c>
      <c r="F359" t="str">
        <f>CONCATENATE(calendar[[#This Row],[Month]],"/",calendar[[#This Row],[Year]])</f>
        <v>12/2017</v>
      </c>
      <c r="G359">
        <f>WEEKDAY(calendar[[#This Row],[Date]],1)</f>
        <v>1</v>
      </c>
      <c r="H359" t="str">
        <f>TEXT(calendar[[#This Row],[WeekDay]],"dddd")</f>
        <v>Sunday</v>
      </c>
      <c r="I359">
        <f>IF((INT(calendar[[#This Row],[Count]]/7)-calendar[[#This Row],[Count]]/7)&lt;0,I358,I358+1)</f>
        <v>52</v>
      </c>
      <c r="J359">
        <f t="shared" si="29"/>
        <v>357</v>
      </c>
      <c r="K359">
        <f>IF(calendar[[#This Row],[Month]]&lt;4,1,IF(calendar[[#This Row],[Month]]&lt;7,2,IF(calendar[[#This Row],[Month]]&lt;10,3,4)))</f>
        <v>4</v>
      </c>
      <c r="L359">
        <f>IFERROR(IF(VLOOKUP(calendar[[#This Row],[Date]],BH!A:A,1,)&lt;&gt;"",1,0),0)</f>
        <v>0</v>
      </c>
      <c r="M359">
        <f>IFERROR(IF(VLOOKUP(calendar[[#This Row],[Date]],BH!C:C,1,)&lt;&gt;"",1,0),0)</f>
        <v>0</v>
      </c>
      <c r="N359">
        <f>IFERROR(IF(VLOOKUP(calendar[[#This Row],[Date]],BH!E:E,1,)&lt;&gt;"",1,0),0)</f>
        <v>0</v>
      </c>
      <c r="O359">
        <f>IFERROR(IF(VLOOKUP(calendar[[#This Row],[Date]],BH!G:G,1,)&lt;&gt;"",1,0),0)</f>
        <v>0</v>
      </c>
      <c r="P359">
        <f>IF(OR(calendar[[#This Row],[UK_BH]]=1,calendar[[#This Row],[WeekDay]]=1, calendar[[#This Row],[WeekDay]]=7),P358,P358+1)</f>
        <v>255</v>
      </c>
      <c r="Q359">
        <f>IF(OR(calendar[[#This Row],[FR_BH]]=1,calendar[[#This Row],[WeekDay]]=1, calendar[[#This Row],[WeekDay]]=7),P358,P358+1)</f>
        <v>255</v>
      </c>
      <c r="R359">
        <f>IF(OR(calendar[[#This Row],[SP_BH]]=1,calendar[[#This Row],[WeekDay]]=1, calendar[[#This Row],[WeekDay]]=7),P358,P358+1)</f>
        <v>255</v>
      </c>
      <c r="S359">
        <f>IF(OR(calendar[[#This Row],[PT_BH]]=1,calendar[[#This Row],[WeekDay]]=1, calendar[[#This Row],[WeekDay]]=7),P358,P358+1)</f>
        <v>255</v>
      </c>
    </row>
    <row r="360" spans="1:19" x14ac:dyDescent="0.25">
      <c r="A360" s="2">
        <v>43094</v>
      </c>
      <c r="B360" s="1">
        <f t="shared" si="28"/>
        <v>52</v>
      </c>
      <c r="C360">
        <f t="shared" si="30"/>
        <v>12</v>
      </c>
      <c r="D360" t="str">
        <f t="shared" si="31"/>
        <v>December</v>
      </c>
      <c r="E360">
        <f t="shared" si="32"/>
        <v>2017</v>
      </c>
      <c r="F360" t="str">
        <f>CONCATENATE(calendar[[#This Row],[Month]],"/",calendar[[#This Row],[Year]])</f>
        <v>12/2017</v>
      </c>
      <c r="G360">
        <f>WEEKDAY(calendar[[#This Row],[Date]],1)</f>
        <v>2</v>
      </c>
      <c r="H360" t="str">
        <f>TEXT(calendar[[#This Row],[WeekDay]],"dddd")</f>
        <v>Monday</v>
      </c>
      <c r="I360">
        <f>IF((INT(calendar[[#This Row],[Count]]/7)-calendar[[#This Row],[Count]]/7)&lt;0,I359,I359+1)</f>
        <v>52</v>
      </c>
      <c r="J360">
        <f t="shared" si="29"/>
        <v>358</v>
      </c>
      <c r="K360">
        <f>IF(calendar[[#This Row],[Month]]&lt;4,1,IF(calendar[[#This Row],[Month]]&lt;7,2,IF(calendar[[#This Row],[Month]]&lt;10,3,4)))</f>
        <v>4</v>
      </c>
      <c r="L360">
        <f>IFERROR(IF(VLOOKUP(calendar[[#This Row],[Date]],BH!A:A,1,)&lt;&gt;"",1,0),0)</f>
        <v>0</v>
      </c>
      <c r="M360">
        <f>IFERROR(IF(VLOOKUP(calendar[[#This Row],[Date]],BH!C:C,1,)&lt;&gt;"",1,0),0)</f>
        <v>0</v>
      </c>
      <c r="N360">
        <f>IFERROR(IF(VLOOKUP(calendar[[#This Row],[Date]],BH!E:E,1,)&lt;&gt;"",1,0),0)</f>
        <v>0</v>
      </c>
      <c r="O360">
        <f>IFERROR(IF(VLOOKUP(calendar[[#This Row],[Date]],BH!G:G,1,)&lt;&gt;"",1,0),0)</f>
        <v>0</v>
      </c>
      <c r="P360">
        <f>IF(OR(calendar[[#This Row],[UK_BH]]=1,calendar[[#This Row],[WeekDay]]=1, calendar[[#This Row],[WeekDay]]=7),P359,P359+1)</f>
        <v>256</v>
      </c>
      <c r="Q360">
        <f>IF(OR(calendar[[#This Row],[FR_BH]]=1,calendar[[#This Row],[WeekDay]]=1, calendar[[#This Row],[WeekDay]]=7),P359,P359+1)</f>
        <v>256</v>
      </c>
      <c r="R360">
        <f>IF(OR(calendar[[#This Row],[SP_BH]]=1,calendar[[#This Row],[WeekDay]]=1, calendar[[#This Row],[WeekDay]]=7),P359,P359+1)</f>
        <v>256</v>
      </c>
      <c r="S360">
        <f>IF(OR(calendar[[#This Row],[PT_BH]]=1,calendar[[#This Row],[WeekDay]]=1, calendar[[#This Row],[WeekDay]]=7),P359,P359+1)</f>
        <v>256</v>
      </c>
    </row>
    <row r="361" spans="1:19" x14ac:dyDescent="0.25">
      <c r="A361" s="2">
        <v>43095</v>
      </c>
      <c r="B361" s="1">
        <f t="shared" si="28"/>
        <v>52</v>
      </c>
      <c r="C361">
        <f t="shared" si="30"/>
        <v>12</v>
      </c>
      <c r="D361" t="str">
        <f t="shared" si="31"/>
        <v>December</v>
      </c>
      <c r="E361">
        <f t="shared" si="32"/>
        <v>2017</v>
      </c>
      <c r="F361" t="str">
        <f>CONCATENATE(calendar[[#This Row],[Month]],"/",calendar[[#This Row],[Year]])</f>
        <v>12/2017</v>
      </c>
      <c r="G361">
        <f>WEEKDAY(calendar[[#This Row],[Date]],1)</f>
        <v>3</v>
      </c>
      <c r="H361" t="str">
        <f>TEXT(calendar[[#This Row],[WeekDay]],"dddd")</f>
        <v>Tuesday</v>
      </c>
      <c r="I361">
        <f>IF((INT(calendar[[#This Row],[Count]]/7)-calendar[[#This Row],[Count]]/7)&lt;0,I360,I360+1)</f>
        <v>52</v>
      </c>
      <c r="J361">
        <f t="shared" si="29"/>
        <v>359</v>
      </c>
      <c r="K361">
        <f>IF(calendar[[#This Row],[Month]]&lt;4,1,IF(calendar[[#This Row],[Month]]&lt;7,2,IF(calendar[[#This Row],[Month]]&lt;10,3,4)))</f>
        <v>4</v>
      </c>
      <c r="L361">
        <f>IFERROR(IF(VLOOKUP(calendar[[#This Row],[Date]],BH!A:A,1,)&lt;&gt;"",1,0),0)</f>
        <v>0</v>
      </c>
      <c r="M361">
        <f>IFERROR(IF(VLOOKUP(calendar[[#This Row],[Date]],BH!C:C,1,)&lt;&gt;"",1,0),0)</f>
        <v>0</v>
      </c>
      <c r="N361">
        <f>IFERROR(IF(VLOOKUP(calendar[[#This Row],[Date]],BH!E:E,1,)&lt;&gt;"",1,0),0)</f>
        <v>0</v>
      </c>
      <c r="O361">
        <f>IFERROR(IF(VLOOKUP(calendar[[#This Row],[Date]],BH!G:G,1,)&lt;&gt;"",1,0),0)</f>
        <v>0</v>
      </c>
      <c r="P361">
        <f>IF(OR(calendar[[#This Row],[UK_BH]]=1,calendar[[#This Row],[WeekDay]]=1, calendar[[#This Row],[WeekDay]]=7),P360,P360+1)</f>
        <v>257</v>
      </c>
      <c r="Q361">
        <f>IF(OR(calendar[[#This Row],[FR_BH]]=1,calendar[[#This Row],[WeekDay]]=1, calendar[[#This Row],[WeekDay]]=7),P360,P360+1)</f>
        <v>257</v>
      </c>
      <c r="R361">
        <f>IF(OR(calendar[[#This Row],[SP_BH]]=1,calendar[[#This Row],[WeekDay]]=1, calendar[[#This Row],[WeekDay]]=7),P360,P360+1)</f>
        <v>257</v>
      </c>
      <c r="S361">
        <f>IF(OR(calendar[[#This Row],[PT_BH]]=1,calendar[[#This Row],[WeekDay]]=1, calendar[[#This Row],[WeekDay]]=7),P360,P360+1)</f>
        <v>257</v>
      </c>
    </row>
    <row r="362" spans="1:19" x14ac:dyDescent="0.25">
      <c r="A362" s="2">
        <v>43096</v>
      </c>
      <c r="B362" s="1">
        <f t="shared" si="28"/>
        <v>52</v>
      </c>
      <c r="C362">
        <f t="shared" si="30"/>
        <v>12</v>
      </c>
      <c r="D362" t="str">
        <f t="shared" si="31"/>
        <v>December</v>
      </c>
      <c r="E362">
        <f t="shared" si="32"/>
        <v>2017</v>
      </c>
      <c r="F362" t="str">
        <f>CONCATENATE(calendar[[#This Row],[Month]],"/",calendar[[#This Row],[Year]])</f>
        <v>12/2017</v>
      </c>
      <c r="G362">
        <f>WEEKDAY(calendar[[#This Row],[Date]],1)</f>
        <v>4</v>
      </c>
      <c r="H362" t="str">
        <f>TEXT(calendar[[#This Row],[WeekDay]],"dddd")</f>
        <v>Wednesday</v>
      </c>
      <c r="I362">
        <f>IF((INT(calendar[[#This Row],[Count]]/7)-calendar[[#This Row],[Count]]/7)&lt;0,I361,I361+1)</f>
        <v>52</v>
      </c>
      <c r="J362">
        <f t="shared" si="29"/>
        <v>360</v>
      </c>
      <c r="K362">
        <f>IF(calendar[[#This Row],[Month]]&lt;4,1,IF(calendar[[#This Row],[Month]]&lt;7,2,IF(calendar[[#This Row],[Month]]&lt;10,3,4)))</f>
        <v>4</v>
      </c>
      <c r="L362">
        <f>IFERROR(IF(VLOOKUP(calendar[[#This Row],[Date]],BH!A:A,1,)&lt;&gt;"",1,0),0)</f>
        <v>0</v>
      </c>
      <c r="M362">
        <f>IFERROR(IF(VLOOKUP(calendar[[#This Row],[Date]],BH!C:C,1,)&lt;&gt;"",1,0),0)</f>
        <v>0</v>
      </c>
      <c r="N362">
        <f>IFERROR(IF(VLOOKUP(calendar[[#This Row],[Date]],BH!E:E,1,)&lt;&gt;"",1,0),0)</f>
        <v>0</v>
      </c>
      <c r="O362">
        <f>IFERROR(IF(VLOOKUP(calendar[[#This Row],[Date]],BH!G:G,1,)&lt;&gt;"",1,0),0)</f>
        <v>0</v>
      </c>
      <c r="P362">
        <f>IF(OR(calendar[[#This Row],[UK_BH]]=1,calendar[[#This Row],[WeekDay]]=1, calendar[[#This Row],[WeekDay]]=7),P361,P361+1)</f>
        <v>258</v>
      </c>
      <c r="Q362">
        <f>IF(OR(calendar[[#This Row],[FR_BH]]=1,calendar[[#This Row],[WeekDay]]=1, calendar[[#This Row],[WeekDay]]=7),P361,P361+1)</f>
        <v>258</v>
      </c>
      <c r="R362">
        <f>IF(OR(calendar[[#This Row],[SP_BH]]=1,calendar[[#This Row],[WeekDay]]=1, calendar[[#This Row],[WeekDay]]=7),P361,P361+1)</f>
        <v>258</v>
      </c>
      <c r="S362">
        <f>IF(OR(calendar[[#This Row],[PT_BH]]=1,calendar[[#This Row],[WeekDay]]=1, calendar[[#This Row],[WeekDay]]=7),P361,P361+1)</f>
        <v>258</v>
      </c>
    </row>
    <row r="363" spans="1:19" x14ac:dyDescent="0.25">
      <c r="A363" s="2">
        <v>43097</v>
      </c>
      <c r="B363" s="1">
        <f t="shared" si="28"/>
        <v>52</v>
      </c>
      <c r="C363">
        <f t="shared" si="30"/>
        <v>12</v>
      </c>
      <c r="D363" t="str">
        <f t="shared" si="31"/>
        <v>December</v>
      </c>
      <c r="E363">
        <f t="shared" si="32"/>
        <v>2017</v>
      </c>
      <c r="F363" t="str">
        <f>CONCATENATE(calendar[[#This Row],[Month]],"/",calendar[[#This Row],[Year]])</f>
        <v>12/2017</v>
      </c>
      <c r="G363">
        <f>WEEKDAY(calendar[[#This Row],[Date]],1)</f>
        <v>5</v>
      </c>
      <c r="H363" t="str">
        <f>TEXT(calendar[[#This Row],[WeekDay]],"dddd")</f>
        <v>Thursday</v>
      </c>
      <c r="I363">
        <f>IF((INT(calendar[[#This Row],[Count]]/7)-calendar[[#This Row],[Count]]/7)&lt;0,I362,I362+1)</f>
        <v>52</v>
      </c>
      <c r="J363">
        <f t="shared" si="29"/>
        <v>361</v>
      </c>
      <c r="K363">
        <f>IF(calendar[[#This Row],[Month]]&lt;4,1,IF(calendar[[#This Row],[Month]]&lt;7,2,IF(calendar[[#This Row],[Month]]&lt;10,3,4)))</f>
        <v>4</v>
      </c>
      <c r="L363">
        <f>IFERROR(IF(VLOOKUP(calendar[[#This Row],[Date]],BH!A:A,1,)&lt;&gt;"",1,0),0)</f>
        <v>0</v>
      </c>
      <c r="M363">
        <f>IFERROR(IF(VLOOKUP(calendar[[#This Row],[Date]],BH!C:C,1,)&lt;&gt;"",1,0),0)</f>
        <v>0</v>
      </c>
      <c r="N363">
        <f>IFERROR(IF(VLOOKUP(calendar[[#This Row],[Date]],BH!E:E,1,)&lt;&gt;"",1,0),0)</f>
        <v>0</v>
      </c>
      <c r="O363">
        <f>IFERROR(IF(VLOOKUP(calendar[[#This Row],[Date]],BH!G:G,1,)&lt;&gt;"",1,0),0)</f>
        <v>0</v>
      </c>
      <c r="P363">
        <f>IF(OR(calendar[[#This Row],[UK_BH]]=1,calendar[[#This Row],[WeekDay]]=1, calendar[[#This Row],[WeekDay]]=7),P362,P362+1)</f>
        <v>259</v>
      </c>
      <c r="Q363">
        <f>IF(OR(calendar[[#This Row],[FR_BH]]=1,calendar[[#This Row],[WeekDay]]=1, calendar[[#This Row],[WeekDay]]=7),P362,P362+1)</f>
        <v>259</v>
      </c>
      <c r="R363">
        <f>IF(OR(calendar[[#This Row],[SP_BH]]=1,calendar[[#This Row],[WeekDay]]=1, calendar[[#This Row],[WeekDay]]=7),P362,P362+1)</f>
        <v>259</v>
      </c>
      <c r="S363">
        <f>IF(OR(calendar[[#This Row],[PT_BH]]=1,calendar[[#This Row],[WeekDay]]=1, calendar[[#This Row],[WeekDay]]=7),P362,P362+1)</f>
        <v>259</v>
      </c>
    </row>
    <row r="364" spans="1:19" x14ac:dyDescent="0.25">
      <c r="A364" s="2">
        <v>43098</v>
      </c>
      <c r="B364" s="1">
        <f t="shared" si="28"/>
        <v>52</v>
      </c>
      <c r="C364">
        <f t="shared" si="30"/>
        <v>12</v>
      </c>
      <c r="D364" t="str">
        <f t="shared" si="31"/>
        <v>December</v>
      </c>
      <c r="E364">
        <f t="shared" si="32"/>
        <v>2017</v>
      </c>
      <c r="F364" t="str">
        <f>CONCATENATE(calendar[[#This Row],[Month]],"/",calendar[[#This Row],[Year]])</f>
        <v>12/2017</v>
      </c>
      <c r="G364">
        <f>WEEKDAY(calendar[[#This Row],[Date]],1)</f>
        <v>6</v>
      </c>
      <c r="H364" t="str">
        <f>TEXT(calendar[[#This Row],[WeekDay]],"dddd")</f>
        <v>Friday</v>
      </c>
      <c r="I364">
        <f>IF((INT(calendar[[#This Row],[Count]]/7)-calendar[[#This Row],[Count]]/7)&lt;0,I363,I363+1)</f>
        <v>52</v>
      </c>
      <c r="J364">
        <f t="shared" si="29"/>
        <v>362</v>
      </c>
      <c r="K364">
        <f>IF(calendar[[#This Row],[Month]]&lt;4,1,IF(calendar[[#This Row],[Month]]&lt;7,2,IF(calendar[[#This Row],[Month]]&lt;10,3,4)))</f>
        <v>4</v>
      </c>
      <c r="L364">
        <f>IFERROR(IF(VLOOKUP(calendar[[#This Row],[Date]],BH!A:A,1,)&lt;&gt;"",1,0),0)</f>
        <v>0</v>
      </c>
      <c r="M364">
        <f>IFERROR(IF(VLOOKUP(calendar[[#This Row],[Date]],BH!C:C,1,)&lt;&gt;"",1,0),0)</f>
        <v>0</v>
      </c>
      <c r="N364">
        <f>IFERROR(IF(VLOOKUP(calendar[[#This Row],[Date]],BH!E:E,1,)&lt;&gt;"",1,0),0)</f>
        <v>0</v>
      </c>
      <c r="O364">
        <f>IFERROR(IF(VLOOKUP(calendar[[#This Row],[Date]],BH!G:G,1,)&lt;&gt;"",1,0),0)</f>
        <v>0</v>
      </c>
      <c r="P364">
        <f>IF(OR(calendar[[#This Row],[UK_BH]]=1,calendar[[#This Row],[WeekDay]]=1, calendar[[#This Row],[WeekDay]]=7),P363,P363+1)</f>
        <v>260</v>
      </c>
      <c r="Q364">
        <f>IF(OR(calendar[[#This Row],[FR_BH]]=1,calendar[[#This Row],[WeekDay]]=1, calendar[[#This Row],[WeekDay]]=7),P363,P363+1)</f>
        <v>260</v>
      </c>
      <c r="R364">
        <f>IF(OR(calendar[[#This Row],[SP_BH]]=1,calendar[[#This Row],[WeekDay]]=1, calendar[[#This Row],[WeekDay]]=7),P363,P363+1)</f>
        <v>260</v>
      </c>
      <c r="S364">
        <f>IF(OR(calendar[[#This Row],[PT_BH]]=1,calendar[[#This Row],[WeekDay]]=1, calendar[[#This Row],[WeekDay]]=7),P363,P363+1)</f>
        <v>260</v>
      </c>
    </row>
    <row r="365" spans="1:19" x14ac:dyDescent="0.25">
      <c r="A365" s="2">
        <v>43099</v>
      </c>
      <c r="B365" s="1">
        <f t="shared" si="28"/>
        <v>52</v>
      </c>
      <c r="C365">
        <f t="shared" si="30"/>
        <v>12</v>
      </c>
      <c r="D365" t="str">
        <f t="shared" si="31"/>
        <v>December</v>
      </c>
      <c r="E365">
        <f t="shared" si="32"/>
        <v>2017</v>
      </c>
      <c r="F365" t="str">
        <f>CONCATENATE(calendar[[#This Row],[Month]],"/",calendar[[#This Row],[Year]])</f>
        <v>12/2017</v>
      </c>
      <c r="G365">
        <f>WEEKDAY(calendar[[#This Row],[Date]],1)</f>
        <v>7</v>
      </c>
      <c r="H365" t="str">
        <f>TEXT(calendar[[#This Row],[WeekDay]],"dddd")</f>
        <v>Saturday</v>
      </c>
      <c r="I365">
        <f>IF((INT(calendar[[#This Row],[Count]]/7)-calendar[[#This Row],[Count]]/7)&lt;0,I364,I364+1)</f>
        <v>52</v>
      </c>
      <c r="J365">
        <f t="shared" si="29"/>
        <v>363</v>
      </c>
      <c r="K365">
        <f>IF(calendar[[#This Row],[Month]]&lt;4,1,IF(calendar[[#This Row],[Month]]&lt;7,2,IF(calendar[[#This Row],[Month]]&lt;10,3,4)))</f>
        <v>4</v>
      </c>
      <c r="L365">
        <f>IFERROR(IF(VLOOKUP(calendar[[#This Row],[Date]],BH!A:A,1,)&lt;&gt;"",1,0),0)</f>
        <v>0</v>
      </c>
      <c r="M365">
        <f>IFERROR(IF(VLOOKUP(calendar[[#This Row],[Date]],BH!C:C,1,)&lt;&gt;"",1,0),0)</f>
        <v>0</v>
      </c>
      <c r="N365">
        <f>IFERROR(IF(VLOOKUP(calendar[[#This Row],[Date]],BH!E:E,1,)&lt;&gt;"",1,0),0)</f>
        <v>0</v>
      </c>
      <c r="O365">
        <f>IFERROR(IF(VLOOKUP(calendar[[#This Row],[Date]],BH!G:G,1,)&lt;&gt;"",1,0),0)</f>
        <v>0</v>
      </c>
      <c r="P365">
        <f>IF(OR(calendar[[#This Row],[UK_BH]]=1,calendar[[#This Row],[WeekDay]]=1, calendar[[#This Row],[WeekDay]]=7),P364,P364+1)</f>
        <v>260</v>
      </c>
      <c r="Q365">
        <f>IF(OR(calendar[[#This Row],[FR_BH]]=1,calendar[[#This Row],[WeekDay]]=1, calendar[[#This Row],[WeekDay]]=7),P364,P364+1)</f>
        <v>260</v>
      </c>
      <c r="R365">
        <f>IF(OR(calendar[[#This Row],[SP_BH]]=1,calendar[[#This Row],[WeekDay]]=1, calendar[[#This Row],[WeekDay]]=7),P364,P364+1)</f>
        <v>260</v>
      </c>
      <c r="S365">
        <f>IF(OR(calendar[[#This Row],[PT_BH]]=1,calendar[[#This Row],[WeekDay]]=1, calendar[[#This Row],[WeekDay]]=7),P364,P364+1)</f>
        <v>260</v>
      </c>
    </row>
    <row r="366" spans="1:19" x14ac:dyDescent="0.25">
      <c r="A366" s="2">
        <v>43100</v>
      </c>
      <c r="B366" s="1">
        <f t="shared" si="28"/>
        <v>53</v>
      </c>
      <c r="C366">
        <f t="shared" si="30"/>
        <v>12</v>
      </c>
      <c r="D366" t="str">
        <f t="shared" si="31"/>
        <v>December</v>
      </c>
      <c r="E366">
        <f t="shared" si="32"/>
        <v>2017</v>
      </c>
      <c r="F366" t="str">
        <f>CONCATENATE(calendar[[#This Row],[Month]],"/",calendar[[#This Row],[Year]])</f>
        <v>12/2017</v>
      </c>
      <c r="G366">
        <f>WEEKDAY(calendar[[#This Row],[Date]],1)</f>
        <v>1</v>
      </c>
      <c r="H366" t="str">
        <f>TEXT(calendar[[#This Row],[WeekDay]],"dddd")</f>
        <v>Sunday</v>
      </c>
      <c r="I366">
        <f>IF((INT(calendar[[#This Row],[Count]]/7)-calendar[[#This Row],[Count]]/7)&lt;0,I365,I365+1)</f>
        <v>53</v>
      </c>
      <c r="J366">
        <f t="shared" si="29"/>
        <v>364</v>
      </c>
      <c r="K366">
        <f>IF(calendar[[#This Row],[Month]]&lt;4,1,IF(calendar[[#This Row],[Month]]&lt;7,2,IF(calendar[[#This Row],[Month]]&lt;10,3,4)))</f>
        <v>4</v>
      </c>
      <c r="L366">
        <f>IFERROR(IF(VLOOKUP(calendar[[#This Row],[Date]],BH!A:A,1,)&lt;&gt;"",1,0),0)</f>
        <v>0</v>
      </c>
      <c r="M366">
        <f>IFERROR(IF(VLOOKUP(calendar[[#This Row],[Date]],BH!C:C,1,)&lt;&gt;"",1,0),0)</f>
        <v>0</v>
      </c>
      <c r="N366">
        <f>IFERROR(IF(VLOOKUP(calendar[[#This Row],[Date]],BH!E:E,1,)&lt;&gt;"",1,0),0)</f>
        <v>0</v>
      </c>
      <c r="O366">
        <f>IFERROR(IF(VLOOKUP(calendar[[#This Row],[Date]],BH!G:G,1,)&lt;&gt;"",1,0),0)</f>
        <v>0</v>
      </c>
      <c r="P366">
        <f>IF(OR(calendar[[#This Row],[UK_BH]]=1,calendar[[#This Row],[WeekDay]]=1, calendar[[#This Row],[WeekDay]]=7),P365,P365+1)</f>
        <v>260</v>
      </c>
      <c r="Q366">
        <f>IF(OR(calendar[[#This Row],[FR_BH]]=1,calendar[[#This Row],[WeekDay]]=1, calendar[[#This Row],[WeekDay]]=7),P365,P365+1)</f>
        <v>260</v>
      </c>
      <c r="R366">
        <f>IF(OR(calendar[[#This Row],[SP_BH]]=1,calendar[[#This Row],[WeekDay]]=1, calendar[[#This Row],[WeekDay]]=7),P365,P365+1)</f>
        <v>260</v>
      </c>
      <c r="S366">
        <f>IF(OR(calendar[[#This Row],[PT_BH]]=1,calendar[[#This Row],[WeekDay]]=1, calendar[[#This Row],[WeekDay]]=7),P365,P365+1)</f>
        <v>260</v>
      </c>
    </row>
    <row r="367" spans="1:19" x14ac:dyDescent="0.25">
      <c r="A367" s="2">
        <v>43101</v>
      </c>
      <c r="B367" s="1">
        <f t="shared" si="28"/>
        <v>1</v>
      </c>
      <c r="C367">
        <f t="shared" si="30"/>
        <v>1</v>
      </c>
      <c r="D367" t="str">
        <f t="shared" si="31"/>
        <v>January</v>
      </c>
      <c r="E367">
        <f t="shared" si="32"/>
        <v>2018</v>
      </c>
      <c r="F367" t="str">
        <f>CONCATENATE(calendar[[#This Row],[Month]],"/",calendar[[#This Row],[Year]])</f>
        <v>1/2018</v>
      </c>
      <c r="G367">
        <f>WEEKDAY(calendar[[#This Row],[Date]],1)</f>
        <v>2</v>
      </c>
      <c r="H367" t="str">
        <f>TEXT(calendar[[#This Row],[WeekDay]],"dddd")</f>
        <v>Monday</v>
      </c>
      <c r="I367">
        <f>IF((INT(calendar[[#This Row],[Count]]/7)-calendar[[#This Row],[Count]]/7)&lt;0,I366,I366+1)</f>
        <v>53</v>
      </c>
      <c r="J367">
        <f t="shared" si="29"/>
        <v>365</v>
      </c>
      <c r="K367">
        <f>IF(calendar[[#This Row],[Month]]&lt;4,1,IF(calendar[[#This Row],[Month]]&lt;7,2,IF(calendar[[#This Row],[Month]]&lt;10,3,4)))</f>
        <v>1</v>
      </c>
      <c r="L367">
        <f>IFERROR(IF(VLOOKUP(calendar[[#This Row],[Date]],BH!A:A,1,)&lt;&gt;"",1,0),0)</f>
        <v>0</v>
      </c>
      <c r="M367">
        <f>IFERROR(IF(VLOOKUP(calendar[[#This Row],[Date]],BH!C:C,1,)&lt;&gt;"",1,0),0)</f>
        <v>0</v>
      </c>
      <c r="N367">
        <f>IFERROR(IF(VLOOKUP(calendar[[#This Row],[Date]],BH!E:E,1,)&lt;&gt;"",1,0),0)</f>
        <v>0</v>
      </c>
      <c r="O367">
        <f>IFERROR(IF(VLOOKUP(calendar[[#This Row],[Date]],BH!G:G,1,)&lt;&gt;"",1,0),0)</f>
        <v>0</v>
      </c>
      <c r="P367">
        <f>IF(OR(calendar[[#This Row],[UK_BH]]=1,calendar[[#This Row],[WeekDay]]=1, calendar[[#This Row],[WeekDay]]=7),P366,P366+1)</f>
        <v>261</v>
      </c>
      <c r="Q367">
        <f>IF(OR(calendar[[#This Row],[FR_BH]]=1,calendar[[#This Row],[WeekDay]]=1, calendar[[#This Row],[WeekDay]]=7),P366,P366+1)</f>
        <v>261</v>
      </c>
      <c r="R367">
        <f>IF(OR(calendar[[#This Row],[SP_BH]]=1,calendar[[#This Row],[WeekDay]]=1, calendar[[#This Row],[WeekDay]]=7),P366,P366+1)</f>
        <v>261</v>
      </c>
      <c r="S367">
        <f>IF(OR(calendar[[#This Row],[PT_BH]]=1,calendar[[#This Row],[WeekDay]]=1, calendar[[#This Row],[WeekDay]]=7),P366,P366+1)</f>
        <v>261</v>
      </c>
    </row>
    <row r="368" spans="1:19" x14ac:dyDescent="0.25">
      <c r="A368" s="2">
        <v>43102</v>
      </c>
      <c r="B368" s="1">
        <f t="shared" si="28"/>
        <v>1</v>
      </c>
      <c r="C368">
        <f t="shared" si="30"/>
        <v>1</v>
      </c>
      <c r="D368" t="str">
        <f t="shared" si="31"/>
        <v>January</v>
      </c>
      <c r="E368">
        <f t="shared" si="32"/>
        <v>2018</v>
      </c>
      <c r="F368" t="str">
        <f>CONCATENATE(calendar[[#This Row],[Month]],"/",calendar[[#This Row],[Year]])</f>
        <v>1/2018</v>
      </c>
      <c r="G368">
        <f>WEEKDAY(calendar[[#This Row],[Date]],1)</f>
        <v>3</v>
      </c>
      <c r="H368" t="str">
        <f>TEXT(calendar[[#This Row],[WeekDay]],"dddd")</f>
        <v>Tuesday</v>
      </c>
      <c r="I368">
        <f>IF((INT(calendar[[#This Row],[Count]]/7)-calendar[[#This Row],[Count]]/7)&lt;0,I367,I367+1)</f>
        <v>53</v>
      </c>
      <c r="J368">
        <f t="shared" si="29"/>
        <v>366</v>
      </c>
      <c r="K368">
        <f>IF(calendar[[#This Row],[Month]]&lt;4,1,IF(calendar[[#This Row],[Month]]&lt;7,2,IF(calendar[[#This Row],[Month]]&lt;10,3,4)))</f>
        <v>1</v>
      </c>
      <c r="L368">
        <f>IFERROR(IF(VLOOKUP(calendar[[#This Row],[Date]],BH!A:A,1,)&lt;&gt;"",1,0),0)</f>
        <v>0</v>
      </c>
      <c r="M368">
        <f>IFERROR(IF(VLOOKUP(calendar[[#This Row],[Date]],BH!C:C,1,)&lt;&gt;"",1,0),0)</f>
        <v>0</v>
      </c>
      <c r="N368">
        <f>IFERROR(IF(VLOOKUP(calendar[[#This Row],[Date]],BH!E:E,1,)&lt;&gt;"",1,0),0)</f>
        <v>0</v>
      </c>
      <c r="O368">
        <f>IFERROR(IF(VLOOKUP(calendar[[#This Row],[Date]],BH!G:G,1,)&lt;&gt;"",1,0),0)</f>
        <v>0</v>
      </c>
      <c r="P368">
        <f>IF(OR(calendar[[#This Row],[UK_BH]]=1,calendar[[#This Row],[WeekDay]]=1, calendar[[#This Row],[WeekDay]]=7),P367,P367+1)</f>
        <v>262</v>
      </c>
      <c r="Q368">
        <f>IF(OR(calendar[[#This Row],[FR_BH]]=1,calendar[[#This Row],[WeekDay]]=1, calendar[[#This Row],[WeekDay]]=7),P367,P367+1)</f>
        <v>262</v>
      </c>
      <c r="R368">
        <f>IF(OR(calendar[[#This Row],[SP_BH]]=1,calendar[[#This Row],[WeekDay]]=1, calendar[[#This Row],[WeekDay]]=7),P367,P367+1)</f>
        <v>262</v>
      </c>
      <c r="S368">
        <f>IF(OR(calendar[[#This Row],[PT_BH]]=1,calendar[[#This Row],[WeekDay]]=1, calendar[[#This Row],[WeekDay]]=7),P367,P367+1)</f>
        <v>262</v>
      </c>
    </row>
    <row r="369" spans="1:19" x14ac:dyDescent="0.25">
      <c r="A369" s="2">
        <v>43103</v>
      </c>
      <c r="B369" s="1">
        <f t="shared" si="28"/>
        <v>1</v>
      </c>
      <c r="C369">
        <f t="shared" si="30"/>
        <v>1</v>
      </c>
      <c r="D369" t="str">
        <f t="shared" si="31"/>
        <v>January</v>
      </c>
      <c r="E369">
        <f t="shared" si="32"/>
        <v>2018</v>
      </c>
      <c r="F369" t="str">
        <f>CONCATENATE(calendar[[#This Row],[Month]],"/",calendar[[#This Row],[Year]])</f>
        <v>1/2018</v>
      </c>
      <c r="G369">
        <f>WEEKDAY(calendar[[#This Row],[Date]],1)</f>
        <v>4</v>
      </c>
      <c r="H369" t="str">
        <f>TEXT(calendar[[#This Row],[WeekDay]],"dddd")</f>
        <v>Wednesday</v>
      </c>
      <c r="I369">
        <f>IF((INT(calendar[[#This Row],[Count]]/7)-calendar[[#This Row],[Count]]/7)&lt;0,I368,I368+1)</f>
        <v>53</v>
      </c>
      <c r="J369">
        <f t="shared" si="29"/>
        <v>367</v>
      </c>
      <c r="K369">
        <f>IF(calendar[[#This Row],[Month]]&lt;4,1,IF(calendar[[#This Row],[Month]]&lt;7,2,IF(calendar[[#This Row],[Month]]&lt;10,3,4)))</f>
        <v>1</v>
      </c>
      <c r="L369">
        <f>IFERROR(IF(VLOOKUP(calendar[[#This Row],[Date]],BH!A:A,1,)&lt;&gt;"",1,0),0)</f>
        <v>0</v>
      </c>
      <c r="M369">
        <f>IFERROR(IF(VLOOKUP(calendar[[#This Row],[Date]],BH!C:C,1,)&lt;&gt;"",1,0),0)</f>
        <v>0</v>
      </c>
      <c r="N369">
        <f>IFERROR(IF(VLOOKUP(calendar[[#This Row],[Date]],BH!E:E,1,)&lt;&gt;"",1,0),0)</f>
        <v>0</v>
      </c>
      <c r="O369">
        <f>IFERROR(IF(VLOOKUP(calendar[[#This Row],[Date]],BH!G:G,1,)&lt;&gt;"",1,0),0)</f>
        <v>0</v>
      </c>
      <c r="P369">
        <f>IF(OR(calendar[[#This Row],[UK_BH]]=1,calendar[[#This Row],[WeekDay]]=1, calendar[[#This Row],[WeekDay]]=7),P368,P368+1)</f>
        <v>263</v>
      </c>
      <c r="Q369">
        <f>IF(OR(calendar[[#This Row],[FR_BH]]=1,calendar[[#This Row],[WeekDay]]=1, calendar[[#This Row],[WeekDay]]=7),P368,P368+1)</f>
        <v>263</v>
      </c>
      <c r="R369">
        <f>IF(OR(calendar[[#This Row],[SP_BH]]=1,calendar[[#This Row],[WeekDay]]=1, calendar[[#This Row],[WeekDay]]=7),P368,P368+1)</f>
        <v>263</v>
      </c>
      <c r="S369">
        <f>IF(OR(calendar[[#This Row],[PT_BH]]=1,calendar[[#This Row],[WeekDay]]=1, calendar[[#This Row],[WeekDay]]=7),P368,P368+1)</f>
        <v>263</v>
      </c>
    </row>
    <row r="370" spans="1:19" x14ac:dyDescent="0.25">
      <c r="A370" s="2">
        <v>43104</v>
      </c>
      <c r="B370" s="1">
        <f t="shared" si="28"/>
        <v>1</v>
      </c>
      <c r="C370">
        <f t="shared" si="30"/>
        <v>1</v>
      </c>
      <c r="D370" t="str">
        <f t="shared" si="31"/>
        <v>January</v>
      </c>
      <c r="E370">
        <f t="shared" si="32"/>
        <v>2018</v>
      </c>
      <c r="F370" t="str">
        <f>CONCATENATE(calendar[[#This Row],[Month]],"/",calendar[[#This Row],[Year]])</f>
        <v>1/2018</v>
      </c>
      <c r="G370">
        <f>WEEKDAY(calendar[[#This Row],[Date]],1)</f>
        <v>5</v>
      </c>
      <c r="H370" t="str">
        <f>TEXT(calendar[[#This Row],[WeekDay]],"dddd")</f>
        <v>Thursday</v>
      </c>
      <c r="I370">
        <f>IF((INT(calendar[[#This Row],[Count]]/7)-calendar[[#This Row],[Count]]/7)&lt;0,I369,I369+1)</f>
        <v>53</v>
      </c>
      <c r="J370">
        <f t="shared" si="29"/>
        <v>368</v>
      </c>
      <c r="K370">
        <f>IF(calendar[[#This Row],[Month]]&lt;4,1,IF(calendar[[#This Row],[Month]]&lt;7,2,IF(calendar[[#This Row],[Month]]&lt;10,3,4)))</f>
        <v>1</v>
      </c>
      <c r="L370">
        <f>IFERROR(IF(VLOOKUP(calendar[[#This Row],[Date]],BH!A:A,1,)&lt;&gt;"",1,0),0)</f>
        <v>0</v>
      </c>
      <c r="M370">
        <f>IFERROR(IF(VLOOKUP(calendar[[#This Row],[Date]],BH!C:C,1,)&lt;&gt;"",1,0),0)</f>
        <v>0</v>
      </c>
      <c r="N370">
        <f>IFERROR(IF(VLOOKUP(calendar[[#This Row],[Date]],BH!E:E,1,)&lt;&gt;"",1,0),0)</f>
        <v>0</v>
      </c>
      <c r="O370">
        <f>IFERROR(IF(VLOOKUP(calendar[[#This Row],[Date]],BH!G:G,1,)&lt;&gt;"",1,0),0)</f>
        <v>0</v>
      </c>
      <c r="P370">
        <f>IF(OR(calendar[[#This Row],[UK_BH]]=1,calendar[[#This Row],[WeekDay]]=1, calendar[[#This Row],[WeekDay]]=7),P369,P369+1)</f>
        <v>264</v>
      </c>
      <c r="Q370">
        <f>IF(OR(calendar[[#This Row],[FR_BH]]=1,calendar[[#This Row],[WeekDay]]=1, calendar[[#This Row],[WeekDay]]=7),P369,P369+1)</f>
        <v>264</v>
      </c>
      <c r="R370">
        <f>IF(OR(calendar[[#This Row],[SP_BH]]=1,calendar[[#This Row],[WeekDay]]=1, calendar[[#This Row],[WeekDay]]=7),P369,P369+1)</f>
        <v>264</v>
      </c>
      <c r="S370">
        <f>IF(OR(calendar[[#This Row],[PT_BH]]=1,calendar[[#This Row],[WeekDay]]=1, calendar[[#This Row],[WeekDay]]=7),P369,P369+1)</f>
        <v>264</v>
      </c>
    </row>
    <row r="371" spans="1:19" x14ac:dyDescent="0.25">
      <c r="A371" s="2">
        <v>43105</v>
      </c>
      <c r="B371" s="1">
        <f t="shared" si="28"/>
        <v>1</v>
      </c>
      <c r="C371">
        <f t="shared" si="30"/>
        <v>1</v>
      </c>
      <c r="D371" t="str">
        <f t="shared" si="31"/>
        <v>January</v>
      </c>
      <c r="E371">
        <f t="shared" si="32"/>
        <v>2018</v>
      </c>
      <c r="F371" t="str">
        <f>CONCATENATE(calendar[[#This Row],[Month]],"/",calendar[[#This Row],[Year]])</f>
        <v>1/2018</v>
      </c>
      <c r="G371">
        <f>WEEKDAY(calendar[[#This Row],[Date]],1)</f>
        <v>6</v>
      </c>
      <c r="H371" t="str">
        <f>TEXT(calendar[[#This Row],[WeekDay]],"dddd")</f>
        <v>Friday</v>
      </c>
      <c r="I371">
        <f>IF((INT(calendar[[#This Row],[Count]]/7)-calendar[[#This Row],[Count]]/7)&lt;0,I370,I370+1)</f>
        <v>53</v>
      </c>
      <c r="J371">
        <f t="shared" si="29"/>
        <v>369</v>
      </c>
      <c r="K371">
        <f>IF(calendar[[#This Row],[Month]]&lt;4,1,IF(calendar[[#This Row],[Month]]&lt;7,2,IF(calendar[[#This Row],[Month]]&lt;10,3,4)))</f>
        <v>1</v>
      </c>
      <c r="L371">
        <f>IFERROR(IF(VLOOKUP(calendar[[#This Row],[Date]],BH!A:A,1,)&lt;&gt;"",1,0),0)</f>
        <v>0</v>
      </c>
      <c r="M371">
        <f>IFERROR(IF(VLOOKUP(calendar[[#This Row],[Date]],BH!C:C,1,)&lt;&gt;"",1,0),0)</f>
        <v>0</v>
      </c>
      <c r="N371">
        <f>IFERROR(IF(VLOOKUP(calendar[[#This Row],[Date]],BH!E:E,1,)&lt;&gt;"",1,0),0)</f>
        <v>0</v>
      </c>
      <c r="O371">
        <f>IFERROR(IF(VLOOKUP(calendar[[#This Row],[Date]],BH!G:G,1,)&lt;&gt;"",1,0),0)</f>
        <v>0</v>
      </c>
      <c r="P371">
        <f>IF(OR(calendar[[#This Row],[UK_BH]]=1,calendar[[#This Row],[WeekDay]]=1, calendar[[#This Row],[WeekDay]]=7),P370,P370+1)</f>
        <v>265</v>
      </c>
      <c r="Q371">
        <f>IF(OR(calendar[[#This Row],[FR_BH]]=1,calendar[[#This Row],[WeekDay]]=1, calendar[[#This Row],[WeekDay]]=7),P370,P370+1)</f>
        <v>265</v>
      </c>
      <c r="R371">
        <f>IF(OR(calendar[[#This Row],[SP_BH]]=1,calendar[[#This Row],[WeekDay]]=1, calendar[[#This Row],[WeekDay]]=7),P370,P370+1)</f>
        <v>265</v>
      </c>
      <c r="S371">
        <f>IF(OR(calendar[[#This Row],[PT_BH]]=1,calendar[[#This Row],[WeekDay]]=1, calendar[[#This Row],[WeekDay]]=7),P370,P370+1)</f>
        <v>265</v>
      </c>
    </row>
    <row r="372" spans="1:19" x14ac:dyDescent="0.25">
      <c r="A372" s="2">
        <v>43106</v>
      </c>
      <c r="B372" s="1">
        <f t="shared" si="28"/>
        <v>1</v>
      </c>
      <c r="C372">
        <f t="shared" si="30"/>
        <v>1</v>
      </c>
      <c r="D372" t="str">
        <f t="shared" si="31"/>
        <v>January</v>
      </c>
      <c r="E372">
        <f t="shared" si="32"/>
        <v>2018</v>
      </c>
      <c r="F372" t="str">
        <f>CONCATENATE(calendar[[#This Row],[Month]],"/",calendar[[#This Row],[Year]])</f>
        <v>1/2018</v>
      </c>
      <c r="G372">
        <f>WEEKDAY(calendar[[#This Row],[Date]],1)</f>
        <v>7</v>
      </c>
      <c r="H372" t="str">
        <f>TEXT(calendar[[#This Row],[WeekDay]],"dddd")</f>
        <v>Saturday</v>
      </c>
      <c r="I372">
        <f>IF((INT(calendar[[#This Row],[Count]]/7)-calendar[[#This Row],[Count]]/7)&lt;0,I371,I371+1)</f>
        <v>53</v>
      </c>
      <c r="J372">
        <f t="shared" si="29"/>
        <v>370</v>
      </c>
      <c r="K372">
        <f>IF(calendar[[#This Row],[Month]]&lt;4,1,IF(calendar[[#This Row],[Month]]&lt;7,2,IF(calendar[[#This Row],[Month]]&lt;10,3,4)))</f>
        <v>1</v>
      </c>
      <c r="L372">
        <f>IFERROR(IF(VLOOKUP(calendar[[#This Row],[Date]],BH!A:A,1,)&lt;&gt;"",1,0),0)</f>
        <v>0</v>
      </c>
      <c r="M372">
        <f>IFERROR(IF(VLOOKUP(calendar[[#This Row],[Date]],BH!C:C,1,)&lt;&gt;"",1,0),0)</f>
        <v>0</v>
      </c>
      <c r="N372">
        <f>IFERROR(IF(VLOOKUP(calendar[[#This Row],[Date]],BH!E:E,1,)&lt;&gt;"",1,0),0)</f>
        <v>0</v>
      </c>
      <c r="O372">
        <f>IFERROR(IF(VLOOKUP(calendar[[#This Row],[Date]],BH!G:G,1,)&lt;&gt;"",1,0),0)</f>
        <v>0</v>
      </c>
      <c r="P372">
        <f>IF(OR(calendar[[#This Row],[UK_BH]]=1,calendar[[#This Row],[WeekDay]]=1, calendar[[#This Row],[WeekDay]]=7),P371,P371+1)</f>
        <v>265</v>
      </c>
      <c r="Q372">
        <f>IF(OR(calendar[[#This Row],[FR_BH]]=1,calendar[[#This Row],[WeekDay]]=1, calendar[[#This Row],[WeekDay]]=7),P371,P371+1)</f>
        <v>265</v>
      </c>
      <c r="R372">
        <f>IF(OR(calendar[[#This Row],[SP_BH]]=1,calendar[[#This Row],[WeekDay]]=1, calendar[[#This Row],[WeekDay]]=7),P371,P371+1)</f>
        <v>265</v>
      </c>
      <c r="S372">
        <f>IF(OR(calendar[[#This Row],[PT_BH]]=1,calendar[[#This Row],[WeekDay]]=1, calendar[[#This Row],[WeekDay]]=7),P371,P371+1)</f>
        <v>265</v>
      </c>
    </row>
    <row r="373" spans="1:19" x14ac:dyDescent="0.25">
      <c r="A373" s="2">
        <v>43107</v>
      </c>
      <c r="B373" s="1">
        <f t="shared" si="28"/>
        <v>2</v>
      </c>
      <c r="C373">
        <f t="shared" si="30"/>
        <v>1</v>
      </c>
      <c r="D373" t="str">
        <f t="shared" si="31"/>
        <v>January</v>
      </c>
      <c r="E373">
        <f t="shared" si="32"/>
        <v>2018</v>
      </c>
      <c r="F373" t="str">
        <f>CONCATENATE(calendar[[#This Row],[Month]],"/",calendar[[#This Row],[Year]])</f>
        <v>1/2018</v>
      </c>
      <c r="G373">
        <f>WEEKDAY(calendar[[#This Row],[Date]],1)</f>
        <v>1</v>
      </c>
      <c r="H373" t="str">
        <f>TEXT(calendar[[#This Row],[WeekDay]],"dddd")</f>
        <v>Sunday</v>
      </c>
      <c r="I373">
        <f>IF((INT(calendar[[#This Row],[Count]]/7)-calendar[[#This Row],[Count]]/7)&lt;0,I372,I372+1)</f>
        <v>54</v>
      </c>
      <c r="J373">
        <f t="shared" si="29"/>
        <v>371</v>
      </c>
      <c r="K373">
        <f>IF(calendar[[#This Row],[Month]]&lt;4,1,IF(calendar[[#This Row],[Month]]&lt;7,2,IF(calendar[[#This Row],[Month]]&lt;10,3,4)))</f>
        <v>1</v>
      </c>
      <c r="L373">
        <f>IFERROR(IF(VLOOKUP(calendar[[#This Row],[Date]],BH!A:A,1,)&lt;&gt;"",1,0),0)</f>
        <v>0</v>
      </c>
      <c r="M373">
        <f>IFERROR(IF(VLOOKUP(calendar[[#This Row],[Date]],BH!C:C,1,)&lt;&gt;"",1,0),0)</f>
        <v>0</v>
      </c>
      <c r="N373">
        <f>IFERROR(IF(VLOOKUP(calendar[[#This Row],[Date]],BH!E:E,1,)&lt;&gt;"",1,0),0)</f>
        <v>0</v>
      </c>
      <c r="O373">
        <f>IFERROR(IF(VLOOKUP(calendar[[#This Row],[Date]],BH!G:G,1,)&lt;&gt;"",1,0),0)</f>
        <v>0</v>
      </c>
      <c r="P373">
        <f>IF(OR(calendar[[#This Row],[UK_BH]]=1,calendar[[#This Row],[WeekDay]]=1, calendar[[#This Row],[WeekDay]]=7),P372,P372+1)</f>
        <v>265</v>
      </c>
      <c r="Q373">
        <f>IF(OR(calendar[[#This Row],[FR_BH]]=1,calendar[[#This Row],[WeekDay]]=1, calendar[[#This Row],[WeekDay]]=7),P372,P372+1)</f>
        <v>265</v>
      </c>
      <c r="R373">
        <f>IF(OR(calendar[[#This Row],[SP_BH]]=1,calendar[[#This Row],[WeekDay]]=1, calendar[[#This Row],[WeekDay]]=7),P372,P372+1)</f>
        <v>265</v>
      </c>
      <c r="S373">
        <f>IF(OR(calendar[[#This Row],[PT_BH]]=1,calendar[[#This Row],[WeekDay]]=1, calendar[[#This Row],[WeekDay]]=7),P372,P372+1)</f>
        <v>265</v>
      </c>
    </row>
    <row r="374" spans="1:19" x14ac:dyDescent="0.25">
      <c r="A374" s="2">
        <v>43108</v>
      </c>
      <c r="B374" s="1">
        <f t="shared" si="28"/>
        <v>2</v>
      </c>
      <c r="C374">
        <f t="shared" si="30"/>
        <v>1</v>
      </c>
      <c r="D374" t="str">
        <f t="shared" si="31"/>
        <v>January</v>
      </c>
      <c r="E374">
        <f t="shared" si="32"/>
        <v>2018</v>
      </c>
      <c r="F374" t="str">
        <f>CONCATENATE(calendar[[#This Row],[Month]],"/",calendar[[#This Row],[Year]])</f>
        <v>1/2018</v>
      </c>
      <c r="G374">
        <f>WEEKDAY(calendar[[#This Row],[Date]],1)</f>
        <v>2</v>
      </c>
      <c r="H374" t="str">
        <f>TEXT(calendar[[#This Row],[WeekDay]],"dddd")</f>
        <v>Monday</v>
      </c>
      <c r="I374">
        <f>IF((INT(calendar[[#This Row],[Count]]/7)-calendar[[#This Row],[Count]]/7)&lt;0,I373,I373+1)</f>
        <v>54</v>
      </c>
      <c r="J374">
        <f t="shared" si="29"/>
        <v>372</v>
      </c>
      <c r="K374">
        <f>IF(calendar[[#This Row],[Month]]&lt;4,1,IF(calendar[[#This Row],[Month]]&lt;7,2,IF(calendar[[#This Row],[Month]]&lt;10,3,4)))</f>
        <v>1</v>
      </c>
      <c r="L374">
        <f>IFERROR(IF(VLOOKUP(calendar[[#This Row],[Date]],BH!A:A,1,)&lt;&gt;"",1,0),0)</f>
        <v>0</v>
      </c>
      <c r="M374">
        <f>IFERROR(IF(VLOOKUP(calendar[[#This Row],[Date]],BH!C:C,1,)&lt;&gt;"",1,0),0)</f>
        <v>0</v>
      </c>
      <c r="N374">
        <f>IFERROR(IF(VLOOKUP(calendar[[#This Row],[Date]],BH!E:E,1,)&lt;&gt;"",1,0),0)</f>
        <v>0</v>
      </c>
      <c r="O374">
        <f>IFERROR(IF(VLOOKUP(calendar[[#This Row],[Date]],BH!G:G,1,)&lt;&gt;"",1,0),0)</f>
        <v>0</v>
      </c>
      <c r="P374">
        <f>IF(OR(calendar[[#This Row],[UK_BH]]=1,calendar[[#This Row],[WeekDay]]=1, calendar[[#This Row],[WeekDay]]=7),P373,P373+1)</f>
        <v>266</v>
      </c>
      <c r="Q374">
        <f>IF(OR(calendar[[#This Row],[FR_BH]]=1,calendar[[#This Row],[WeekDay]]=1, calendar[[#This Row],[WeekDay]]=7),P373,P373+1)</f>
        <v>266</v>
      </c>
      <c r="R374">
        <f>IF(OR(calendar[[#This Row],[SP_BH]]=1,calendar[[#This Row],[WeekDay]]=1, calendar[[#This Row],[WeekDay]]=7),P373,P373+1)</f>
        <v>266</v>
      </c>
      <c r="S374">
        <f>IF(OR(calendar[[#This Row],[PT_BH]]=1,calendar[[#This Row],[WeekDay]]=1, calendar[[#This Row],[WeekDay]]=7),P373,P373+1)</f>
        <v>266</v>
      </c>
    </row>
    <row r="375" spans="1:19" x14ac:dyDescent="0.25">
      <c r="A375" s="2">
        <v>43109</v>
      </c>
      <c r="B375" s="1">
        <f t="shared" si="28"/>
        <v>2</v>
      </c>
      <c r="C375">
        <f t="shared" si="30"/>
        <v>1</v>
      </c>
      <c r="D375" t="str">
        <f t="shared" si="31"/>
        <v>January</v>
      </c>
      <c r="E375">
        <f t="shared" si="32"/>
        <v>2018</v>
      </c>
      <c r="F375" t="str">
        <f>CONCATENATE(calendar[[#This Row],[Month]],"/",calendar[[#This Row],[Year]])</f>
        <v>1/2018</v>
      </c>
      <c r="G375">
        <f>WEEKDAY(calendar[[#This Row],[Date]],1)</f>
        <v>3</v>
      </c>
      <c r="H375" t="str">
        <f>TEXT(calendar[[#This Row],[WeekDay]],"dddd")</f>
        <v>Tuesday</v>
      </c>
      <c r="I375">
        <f>IF((INT(calendar[[#This Row],[Count]]/7)-calendar[[#This Row],[Count]]/7)&lt;0,I374,I374+1)</f>
        <v>54</v>
      </c>
      <c r="J375">
        <f t="shared" si="29"/>
        <v>373</v>
      </c>
      <c r="K375">
        <f>IF(calendar[[#This Row],[Month]]&lt;4,1,IF(calendar[[#This Row],[Month]]&lt;7,2,IF(calendar[[#This Row],[Month]]&lt;10,3,4)))</f>
        <v>1</v>
      </c>
      <c r="L375">
        <f>IFERROR(IF(VLOOKUP(calendar[[#This Row],[Date]],BH!A:A,1,)&lt;&gt;"",1,0),0)</f>
        <v>0</v>
      </c>
      <c r="M375">
        <f>IFERROR(IF(VLOOKUP(calendar[[#This Row],[Date]],BH!C:C,1,)&lt;&gt;"",1,0),0)</f>
        <v>0</v>
      </c>
      <c r="N375">
        <f>IFERROR(IF(VLOOKUP(calendar[[#This Row],[Date]],BH!E:E,1,)&lt;&gt;"",1,0),0)</f>
        <v>0</v>
      </c>
      <c r="O375">
        <f>IFERROR(IF(VLOOKUP(calendar[[#This Row],[Date]],BH!G:G,1,)&lt;&gt;"",1,0),0)</f>
        <v>0</v>
      </c>
      <c r="P375">
        <f>IF(OR(calendar[[#This Row],[UK_BH]]=1,calendar[[#This Row],[WeekDay]]=1, calendar[[#This Row],[WeekDay]]=7),P374,P374+1)</f>
        <v>267</v>
      </c>
      <c r="Q375">
        <f>IF(OR(calendar[[#This Row],[FR_BH]]=1,calendar[[#This Row],[WeekDay]]=1, calendar[[#This Row],[WeekDay]]=7),P374,P374+1)</f>
        <v>267</v>
      </c>
      <c r="R375">
        <f>IF(OR(calendar[[#This Row],[SP_BH]]=1,calendar[[#This Row],[WeekDay]]=1, calendar[[#This Row],[WeekDay]]=7),P374,P374+1)</f>
        <v>267</v>
      </c>
      <c r="S375">
        <f>IF(OR(calendar[[#This Row],[PT_BH]]=1,calendar[[#This Row],[WeekDay]]=1, calendar[[#This Row],[WeekDay]]=7),P374,P374+1)</f>
        <v>267</v>
      </c>
    </row>
    <row r="376" spans="1:19" x14ac:dyDescent="0.25">
      <c r="A376" s="2">
        <v>43110</v>
      </c>
      <c r="B376" s="1">
        <f t="shared" si="28"/>
        <v>2</v>
      </c>
      <c r="C376">
        <f t="shared" si="30"/>
        <v>1</v>
      </c>
      <c r="D376" t="str">
        <f t="shared" si="31"/>
        <v>January</v>
      </c>
      <c r="E376">
        <f t="shared" si="32"/>
        <v>2018</v>
      </c>
      <c r="F376" t="str">
        <f>CONCATENATE(calendar[[#This Row],[Month]],"/",calendar[[#This Row],[Year]])</f>
        <v>1/2018</v>
      </c>
      <c r="G376">
        <f>WEEKDAY(calendar[[#This Row],[Date]],1)</f>
        <v>4</v>
      </c>
      <c r="H376" t="str">
        <f>TEXT(calendar[[#This Row],[WeekDay]],"dddd")</f>
        <v>Wednesday</v>
      </c>
      <c r="I376">
        <f>IF((INT(calendar[[#This Row],[Count]]/7)-calendar[[#This Row],[Count]]/7)&lt;0,I375,I375+1)</f>
        <v>54</v>
      </c>
      <c r="J376">
        <f t="shared" si="29"/>
        <v>374</v>
      </c>
      <c r="K376">
        <f>IF(calendar[[#This Row],[Month]]&lt;4,1,IF(calendar[[#This Row],[Month]]&lt;7,2,IF(calendar[[#This Row],[Month]]&lt;10,3,4)))</f>
        <v>1</v>
      </c>
      <c r="L376">
        <f>IFERROR(IF(VLOOKUP(calendar[[#This Row],[Date]],BH!A:A,1,)&lt;&gt;"",1,0),0)</f>
        <v>0</v>
      </c>
      <c r="M376">
        <f>IFERROR(IF(VLOOKUP(calendar[[#This Row],[Date]],BH!C:C,1,)&lt;&gt;"",1,0),0)</f>
        <v>0</v>
      </c>
      <c r="N376">
        <f>IFERROR(IF(VLOOKUP(calendar[[#This Row],[Date]],BH!E:E,1,)&lt;&gt;"",1,0),0)</f>
        <v>0</v>
      </c>
      <c r="O376">
        <f>IFERROR(IF(VLOOKUP(calendar[[#This Row],[Date]],BH!G:G,1,)&lt;&gt;"",1,0),0)</f>
        <v>0</v>
      </c>
      <c r="P376">
        <f>IF(OR(calendar[[#This Row],[UK_BH]]=1,calendar[[#This Row],[WeekDay]]=1, calendar[[#This Row],[WeekDay]]=7),P375,P375+1)</f>
        <v>268</v>
      </c>
      <c r="Q376">
        <f>IF(OR(calendar[[#This Row],[FR_BH]]=1,calendar[[#This Row],[WeekDay]]=1, calendar[[#This Row],[WeekDay]]=7),P375,P375+1)</f>
        <v>268</v>
      </c>
      <c r="R376">
        <f>IF(OR(calendar[[#This Row],[SP_BH]]=1,calendar[[#This Row],[WeekDay]]=1, calendar[[#This Row],[WeekDay]]=7),P375,P375+1)</f>
        <v>268</v>
      </c>
      <c r="S376">
        <f>IF(OR(calendar[[#This Row],[PT_BH]]=1,calendar[[#This Row],[WeekDay]]=1, calendar[[#This Row],[WeekDay]]=7),P375,P375+1)</f>
        <v>268</v>
      </c>
    </row>
    <row r="377" spans="1:19" x14ac:dyDescent="0.25">
      <c r="A377" s="2">
        <v>43111</v>
      </c>
      <c r="B377" s="1">
        <f t="shared" si="28"/>
        <v>2</v>
      </c>
      <c r="C377">
        <f t="shared" si="30"/>
        <v>1</v>
      </c>
      <c r="D377" t="str">
        <f t="shared" si="31"/>
        <v>January</v>
      </c>
      <c r="E377">
        <f t="shared" si="32"/>
        <v>2018</v>
      </c>
      <c r="F377" t="str">
        <f>CONCATENATE(calendar[[#This Row],[Month]],"/",calendar[[#This Row],[Year]])</f>
        <v>1/2018</v>
      </c>
      <c r="G377">
        <f>WEEKDAY(calendar[[#This Row],[Date]],1)</f>
        <v>5</v>
      </c>
      <c r="H377" t="str">
        <f>TEXT(calendar[[#This Row],[WeekDay]],"dddd")</f>
        <v>Thursday</v>
      </c>
      <c r="I377">
        <f>IF((INT(calendar[[#This Row],[Count]]/7)-calendar[[#This Row],[Count]]/7)&lt;0,I376,I376+1)</f>
        <v>54</v>
      </c>
      <c r="J377">
        <f t="shared" si="29"/>
        <v>375</v>
      </c>
      <c r="K377">
        <f>IF(calendar[[#This Row],[Month]]&lt;4,1,IF(calendar[[#This Row],[Month]]&lt;7,2,IF(calendar[[#This Row],[Month]]&lt;10,3,4)))</f>
        <v>1</v>
      </c>
      <c r="L377">
        <f>IFERROR(IF(VLOOKUP(calendar[[#This Row],[Date]],BH!A:A,1,)&lt;&gt;"",1,0),0)</f>
        <v>0</v>
      </c>
      <c r="M377">
        <f>IFERROR(IF(VLOOKUP(calendar[[#This Row],[Date]],BH!C:C,1,)&lt;&gt;"",1,0),0)</f>
        <v>0</v>
      </c>
      <c r="N377">
        <f>IFERROR(IF(VLOOKUP(calendar[[#This Row],[Date]],BH!E:E,1,)&lt;&gt;"",1,0),0)</f>
        <v>0</v>
      </c>
      <c r="O377">
        <f>IFERROR(IF(VLOOKUP(calendar[[#This Row],[Date]],BH!G:G,1,)&lt;&gt;"",1,0),0)</f>
        <v>0</v>
      </c>
      <c r="P377">
        <f>IF(OR(calendar[[#This Row],[UK_BH]]=1,calendar[[#This Row],[WeekDay]]=1, calendar[[#This Row],[WeekDay]]=7),P376,P376+1)</f>
        <v>269</v>
      </c>
      <c r="Q377">
        <f>IF(OR(calendar[[#This Row],[FR_BH]]=1,calendar[[#This Row],[WeekDay]]=1, calendar[[#This Row],[WeekDay]]=7),P376,P376+1)</f>
        <v>269</v>
      </c>
      <c r="R377">
        <f>IF(OR(calendar[[#This Row],[SP_BH]]=1,calendar[[#This Row],[WeekDay]]=1, calendar[[#This Row],[WeekDay]]=7),P376,P376+1)</f>
        <v>269</v>
      </c>
      <c r="S377">
        <f>IF(OR(calendar[[#This Row],[PT_BH]]=1,calendar[[#This Row],[WeekDay]]=1, calendar[[#This Row],[WeekDay]]=7),P376,P376+1)</f>
        <v>269</v>
      </c>
    </row>
    <row r="378" spans="1:19" x14ac:dyDescent="0.25">
      <c r="A378" s="2">
        <v>43112</v>
      </c>
      <c r="B378" s="1">
        <f t="shared" si="28"/>
        <v>2</v>
      </c>
      <c r="C378">
        <f t="shared" si="30"/>
        <v>1</v>
      </c>
      <c r="D378" t="str">
        <f t="shared" si="31"/>
        <v>January</v>
      </c>
      <c r="E378">
        <f t="shared" si="32"/>
        <v>2018</v>
      </c>
      <c r="F378" t="str">
        <f>CONCATENATE(calendar[[#This Row],[Month]],"/",calendar[[#This Row],[Year]])</f>
        <v>1/2018</v>
      </c>
      <c r="G378">
        <f>WEEKDAY(calendar[[#This Row],[Date]],1)</f>
        <v>6</v>
      </c>
      <c r="H378" t="str">
        <f>TEXT(calendar[[#This Row],[WeekDay]],"dddd")</f>
        <v>Friday</v>
      </c>
      <c r="I378">
        <f>IF((INT(calendar[[#This Row],[Count]]/7)-calendar[[#This Row],[Count]]/7)&lt;0,I377,I377+1)</f>
        <v>54</v>
      </c>
      <c r="J378">
        <f t="shared" si="29"/>
        <v>376</v>
      </c>
      <c r="K378">
        <f>IF(calendar[[#This Row],[Month]]&lt;4,1,IF(calendar[[#This Row],[Month]]&lt;7,2,IF(calendar[[#This Row],[Month]]&lt;10,3,4)))</f>
        <v>1</v>
      </c>
      <c r="L378">
        <f>IFERROR(IF(VLOOKUP(calendar[[#This Row],[Date]],BH!A:A,1,)&lt;&gt;"",1,0),0)</f>
        <v>0</v>
      </c>
      <c r="M378">
        <f>IFERROR(IF(VLOOKUP(calendar[[#This Row],[Date]],BH!C:C,1,)&lt;&gt;"",1,0),0)</f>
        <v>0</v>
      </c>
      <c r="N378">
        <f>IFERROR(IF(VLOOKUP(calendar[[#This Row],[Date]],BH!E:E,1,)&lt;&gt;"",1,0),0)</f>
        <v>0</v>
      </c>
      <c r="O378">
        <f>IFERROR(IF(VLOOKUP(calendar[[#This Row],[Date]],BH!G:G,1,)&lt;&gt;"",1,0),0)</f>
        <v>0</v>
      </c>
      <c r="P378">
        <f>IF(OR(calendar[[#This Row],[UK_BH]]=1,calendar[[#This Row],[WeekDay]]=1, calendar[[#This Row],[WeekDay]]=7),P377,P377+1)</f>
        <v>270</v>
      </c>
      <c r="Q378">
        <f>IF(OR(calendar[[#This Row],[FR_BH]]=1,calendar[[#This Row],[WeekDay]]=1, calendar[[#This Row],[WeekDay]]=7),P377,P377+1)</f>
        <v>270</v>
      </c>
      <c r="R378">
        <f>IF(OR(calendar[[#This Row],[SP_BH]]=1,calendar[[#This Row],[WeekDay]]=1, calendar[[#This Row],[WeekDay]]=7),P377,P377+1)</f>
        <v>270</v>
      </c>
      <c r="S378">
        <f>IF(OR(calendar[[#This Row],[PT_BH]]=1,calendar[[#This Row],[WeekDay]]=1, calendar[[#This Row],[WeekDay]]=7),P377,P377+1)</f>
        <v>270</v>
      </c>
    </row>
    <row r="379" spans="1:19" x14ac:dyDescent="0.25">
      <c r="A379" s="2">
        <v>43113</v>
      </c>
      <c r="B379" s="1">
        <f t="shared" si="28"/>
        <v>2</v>
      </c>
      <c r="C379">
        <f t="shared" si="30"/>
        <v>1</v>
      </c>
      <c r="D379" t="str">
        <f t="shared" si="31"/>
        <v>January</v>
      </c>
      <c r="E379">
        <f t="shared" si="32"/>
        <v>2018</v>
      </c>
      <c r="F379" t="str">
        <f>CONCATENATE(calendar[[#This Row],[Month]],"/",calendar[[#This Row],[Year]])</f>
        <v>1/2018</v>
      </c>
      <c r="G379">
        <f>WEEKDAY(calendar[[#This Row],[Date]],1)</f>
        <v>7</v>
      </c>
      <c r="H379" t="str">
        <f>TEXT(calendar[[#This Row],[WeekDay]],"dddd")</f>
        <v>Saturday</v>
      </c>
      <c r="I379">
        <f>IF((INT(calendar[[#This Row],[Count]]/7)-calendar[[#This Row],[Count]]/7)&lt;0,I378,I378+1)</f>
        <v>54</v>
      </c>
      <c r="J379">
        <f t="shared" si="29"/>
        <v>377</v>
      </c>
      <c r="K379">
        <f>IF(calendar[[#This Row],[Month]]&lt;4,1,IF(calendar[[#This Row],[Month]]&lt;7,2,IF(calendar[[#This Row],[Month]]&lt;10,3,4)))</f>
        <v>1</v>
      </c>
      <c r="L379">
        <f>IFERROR(IF(VLOOKUP(calendar[[#This Row],[Date]],BH!A:A,1,)&lt;&gt;"",1,0),0)</f>
        <v>0</v>
      </c>
      <c r="M379">
        <f>IFERROR(IF(VLOOKUP(calendar[[#This Row],[Date]],BH!C:C,1,)&lt;&gt;"",1,0),0)</f>
        <v>0</v>
      </c>
      <c r="N379">
        <f>IFERROR(IF(VLOOKUP(calendar[[#This Row],[Date]],BH!E:E,1,)&lt;&gt;"",1,0),0)</f>
        <v>0</v>
      </c>
      <c r="O379">
        <f>IFERROR(IF(VLOOKUP(calendar[[#This Row],[Date]],BH!G:G,1,)&lt;&gt;"",1,0),0)</f>
        <v>0</v>
      </c>
      <c r="P379">
        <f>IF(OR(calendar[[#This Row],[UK_BH]]=1,calendar[[#This Row],[WeekDay]]=1, calendar[[#This Row],[WeekDay]]=7),P378,P378+1)</f>
        <v>270</v>
      </c>
      <c r="Q379">
        <f>IF(OR(calendar[[#This Row],[FR_BH]]=1,calendar[[#This Row],[WeekDay]]=1, calendar[[#This Row],[WeekDay]]=7),P378,P378+1)</f>
        <v>270</v>
      </c>
      <c r="R379">
        <f>IF(OR(calendar[[#This Row],[SP_BH]]=1,calendar[[#This Row],[WeekDay]]=1, calendar[[#This Row],[WeekDay]]=7),P378,P378+1)</f>
        <v>270</v>
      </c>
      <c r="S379">
        <f>IF(OR(calendar[[#This Row],[PT_BH]]=1,calendar[[#This Row],[WeekDay]]=1, calendar[[#This Row],[WeekDay]]=7),P378,P378+1)</f>
        <v>270</v>
      </c>
    </row>
    <row r="380" spans="1:19" x14ac:dyDescent="0.25">
      <c r="A380" s="2">
        <v>43114</v>
      </c>
      <c r="B380" s="1">
        <f t="shared" si="28"/>
        <v>3</v>
      </c>
      <c r="C380">
        <f t="shared" si="30"/>
        <v>1</v>
      </c>
      <c r="D380" t="str">
        <f t="shared" si="31"/>
        <v>January</v>
      </c>
      <c r="E380">
        <f t="shared" si="32"/>
        <v>2018</v>
      </c>
      <c r="F380" t="str">
        <f>CONCATENATE(calendar[[#This Row],[Month]],"/",calendar[[#This Row],[Year]])</f>
        <v>1/2018</v>
      </c>
      <c r="G380">
        <f>WEEKDAY(calendar[[#This Row],[Date]],1)</f>
        <v>1</v>
      </c>
      <c r="H380" t="str">
        <f>TEXT(calendar[[#This Row],[WeekDay]],"dddd")</f>
        <v>Sunday</v>
      </c>
      <c r="I380">
        <f>IF((INT(calendar[[#This Row],[Count]]/7)-calendar[[#This Row],[Count]]/7)&lt;0,I379,I379+1)</f>
        <v>55</v>
      </c>
      <c r="J380">
        <f t="shared" si="29"/>
        <v>378</v>
      </c>
      <c r="K380">
        <f>IF(calendar[[#This Row],[Month]]&lt;4,1,IF(calendar[[#This Row],[Month]]&lt;7,2,IF(calendar[[#This Row],[Month]]&lt;10,3,4)))</f>
        <v>1</v>
      </c>
      <c r="L380">
        <f>IFERROR(IF(VLOOKUP(calendar[[#This Row],[Date]],BH!A:A,1,)&lt;&gt;"",1,0),0)</f>
        <v>0</v>
      </c>
      <c r="M380">
        <f>IFERROR(IF(VLOOKUP(calendar[[#This Row],[Date]],BH!C:C,1,)&lt;&gt;"",1,0),0)</f>
        <v>0</v>
      </c>
      <c r="N380">
        <f>IFERROR(IF(VLOOKUP(calendar[[#This Row],[Date]],BH!E:E,1,)&lt;&gt;"",1,0),0)</f>
        <v>0</v>
      </c>
      <c r="O380">
        <f>IFERROR(IF(VLOOKUP(calendar[[#This Row],[Date]],BH!G:G,1,)&lt;&gt;"",1,0),0)</f>
        <v>0</v>
      </c>
      <c r="P380">
        <f>IF(OR(calendar[[#This Row],[UK_BH]]=1,calendar[[#This Row],[WeekDay]]=1, calendar[[#This Row],[WeekDay]]=7),P379,P379+1)</f>
        <v>270</v>
      </c>
      <c r="Q380">
        <f>IF(OR(calendar[[#This Row],[FR_BH]]=1,calendar[[#This Row],[WeekDay]]=1, calendar[[#This Row],[WeekDay]]=7),P379,P379+1)</f>
        <v>270</v>
      </c>
      <c r="R380">
        <f>IF(OR(calendar[[#This Row],[SP_BH]]=1,calendar[[#This Row],[WeekDay]]=1, calendar[[#This Row],[WeekDay]]=7),P379,P379+1)</f>
        <v>270</v>
      </c>
      <c r="S380">
        <f>IF(OR(calendar[[#This Row],[PT_BH]]=1,calendar[[#This Row],[WeekDay]]=1, calendar[[#This Row],[WeekDay]]=7),P379,P379+1)</f>
        <v>270</v>
      </c>
    </row>
    <row r="381" spans="1:19" x14ac:dyDescent="0.25">
      <c r="A381" s="2">
        <v>43115</v>
      </c>
      <c r="B381" s="1">
        <f t="shared" si="28"/>
        <v>3</v>
      </c>
      <c r="C381">
        <f t="shared" si="30"/>
        <v>1</v>
      </c>
      <c r="D381" t="str">
        <f t="shared" si="31"/>
        <v>January</v>
      </c>
      <c r="E381">
        <f t="shared" si="32"/>
        <v>2018</v>
      </c>
      <c r="F381" t="str">
        <f>CONCATENATE(calendar[[#This Row],[Month]],"/",calendar[[#This Row],[Year]])</f>
        <v>1/2018</v>
      </c>
      <c r="G381">
        <f>WEEKDAY(calendar[[#This Row],[Date]],1)</f>
        <v>2</v>
      </c>
      <c r="H381" t="str">
        <f>TEXT(calendar[[#This Row],[WeekDay]],"dddd")</f>
        <v>Monday</v>
      </c>
      <c r="I381">
        <f>IF((INT(calendar[[#This Row],[Count]]/7)-calendar[[#This Row],[Count]]/7)&lt;0,I380,I380+1)</f>
        <v>55</v>
      </c>
      <c r="J381">
        <f t="shared" si="29"/>
        <v>379</v>
      </c>
      <c r="K381">
        <f>IF(calendar[[#This Row],[Month]]&lt;4,1,IF(calendar[[#This Row],[Month]]&lt;7,2,IF(calendar[[#This Row],[Month]]&lt;10,3,4)))</f>
        <v>1</v>
      </c>
      <c r="L381">
        <f>IFERROR(IF(VLOOKUP(calendar[[#This Row],[Date]],BH!A:A,1,)&lt;&gt;"",1,0),0)</f>
        <v>0</v>
      </c>
      <c r="M381">
        <f>IFERROR(IF(VLOOKUP(calendar[[#This Row],[Date]],BH!C:C,1,)&lt;&gt;"",1,0),0)</f>
        <v>0</v>
      </c>
      <c r="N381">
        <f>IFERROR(IF(VLOOKUP(calendar[[#This Row],[Date]],BH!E:E,1,)&lt;&gt;"",1,0),0)</f>
        <v>0</v>
      </c>
      <c r="O381">
        <f>IFERROR(IF(VLOOKUP(calendar[[#This Row],[Date]],BH!G:G,1,)&lt;&gt;"",1,0),0)</f>
        <v>0</v>
      </c>
      <c r="P381">
        <f>IF(OR(calendar[[#This Row],[UK_BH]]=1,calendar[[#This Row],[WeekDay]]=1, calendar[[#This Row],[WeekDay]]=7),P380,P380+1)</f>
        <v>271</v>
      </c>
      <c r="Q381">
        <f>IF(OR(calendar[[#This Row],[FR_BH]]=1,calendar[[#This Row],[WeekDay]]=1, calendar[[#This Row],[WeekDay]]=7),P380,P380+1)</f>
        <v>271</v>
      </c>
      <c r="R381">
        <f>IF(OR(calendar[[#This Row],[SP_BH]]=1,calendar[[#This Row],[WeekDay]]=1, calendar[[#This Row],[WeekDay]]=7),P380,P380+1)</f>
        <v>271</v>
      </c>
      <c r="S381">
        <f>IF(OR(calendar[[#This Row],[PT_BH]]=1,calendar[[#This Row],[WeekDay]]=1, calendar[[#This Row],[WeekDay]]=7),P380,P380+1)</f>
        <v>271</v>
      </c>
    </row>
    <row r="382" spans="1:19" x14ac:dyDescent="0.25">
      <c r="A382" s="2">
        <v>43116</v>
      </c>
      <c r="B382" s="1">
        <f t="shared" si="28"/>
        <v>3</v>
      </c>
      <c r="C382">
        <f t="shared" si="30"/>
        <v>1</v>
      </c>
      <c r="D382" t="str">
        <f t="shared" si="31"/>
        <v>January</v>
      </c>
      <c r="E382">
        <f t="shared" si="32"/>
        <v>2018</v>
      </c>
      <c r="F382" t="str">
        <f>CONCATENATE(calendar[[#This Row],[Month]],"/",calendar[[#This Row],[Year]])</f>
        <v>1/2018</v>
      </c>
      <c r="G382">
        <f>WEEKDAY(calendar[[#This Row],[Date]],1)</f>
        <v>3</v>
      </c>
      <c r="H382" t="str">
        <f>TEXT(calendar[[#This Row],[WeekDay]],"dddd")</f>
        <v>Tuesday</v>
      </c>
      <c r="I382">
        <f>IF((INT(calendar[[#This Row],[Count]]/7)-calendar[[#This Row],[Count]]/7)&lt;0,I381,I381+1)</f>
        <v>55</v>
      </c>
      <c r="J382">
        <f t="shared" si="29"/>
        <v>380</v>
      </c>
      <c r="K382">
        <f>IF(calendar[[#This Row],[Month]]&lt;4,1,IF(calendar[[#This Row],[Month]]&lt;7,2,IF(calendar[[#This Row],[Month]]&lt;10,3,4)))</f>
        <v>1</v>
      </c>
      <c r="L382">
        <f>IFERROR(IF(VLOOKUP(calendar[[#This Row],[Date]],BH!A:A,1,)&lt;&gt;"",1,0),0)</f>
        <v>0</v>
      </c>
      <c r="M382">
        <f>IFERROR(IF(VLOOKUP(calendar[[#This Row],[Date]],BH!C:C,1,)&lt;&gt;"",1,0),0)</f>
        <v>0</v>
      </c>
      <c r="N382">
        <f>IFERROR(IF(VLOOKUP(calendar[[#This Row],[Date]],BH!E:E,1,)&lt;&gt;"",1,0),0)</f>
        <v>0</v>
      </c>
      <c r="O382">
        <f>IFERROR(IF(VLOOKUP(calendar[[#This Row],[Date]],BH!G:G,1,)&lt;&gt;"",1,0),0)</f>
        <v>0</v>
      </c>
      <c r="P382">
        <f>IF(OR(calendar[[#This Row],[UK_BH]]=1,calendar[[#This Row],[WeekDay]]=1, calendar[[#This Row],[WeekDay]]=7),P381,P381+1)</f>
        <v>272</v>
      </c>
      <c r="Q382">
        <f>IF(OR(calendar[[#This Row],[FR_BH]]=1,calendar[[#This Row],[WeekDay]]=1, calendar[[#This Row],[WeekDay]]=7),P381,P381+1)</f>
        <v>272</v>
      </c>
      <c r="R382">
        <f>IF(OR(calendar[[#This Row],[SP_BH]]=1,calendar[[#This Row],[WeekDay]]=1, calendar[[#This Row],[WeekDay]]=7),P381,P381+1)</f>
        <v>272</v>
      </c>
      <c r="S382">
        <f>IF(OR(calendar[[#This Row],[PT_BH]]=1,calendar[[#This Row],[WeekDay]]=1, calendar[[#This Row],[WeekDay]]=7),P381,P381+1)</f>
        <v>272</v>
      </c>
    </row>
    <row r="383" spans="1:19" x14ac:dyDescent="0.25">
      <c r="A383" s="2">
        <v>43117</v>
      </c>
      <c r="B383" s="1">
        <f t="shared" si="28"/>
        <v>3</v>
      </c>
      <c r="C383">
        <f t="shared" si="30"/>
        <v>1</v>
      </c>
      <c r="D383" t="str">
        <f t="shared" si="31"/>
        <v>January</v>
      </c>
      <c r="E383">
        <f t="shared" si="32"/>
        <v>2018</v>
      </c>
      <c r="F383" t="str">
        <f>CONCATENATE(calendar[[#This Row],[Month]],"/",calendar[[#This Row],[Year]])</f>
        <v>1/2018</v>
      </c>
      <c r="G383">
        <f>WEEKDAY(calendar[[#This Row],[Date]],1)</f>
        <v>4</v>
      </c>
      <c r="H383" t="str">
        <f>TEXT(calendar[[#This Row],[WeekDay]],"dddd")</f>
        <v>Wednesday</v>
      </c>
      <c r="I383">
        <f>IF((INT(calendar[[#This Row],[Count]]/7)-calendar[[#This Row],[Count]]/7)&lt;0,I382,I382+1)</f>
        <v>55</v>
      </c>
      <c r="J383">
        <f t="shared" si="29"/>
        <v>381</v>
      </c>
      <c r="K383">
        <f>IF(calendar[[#This Row],[Month]]&lt;4,1,IF(calendar[[#This Row],[Month]]&lt;7,2,IF(calendar[[#This Row],[Month]]&lt;10,3,4)))</f>
        <v>1</v>
      </c>
      <c r="L383">
        <f>IFERROR(IF(VLOOKUP(calendar[[#This Row],[Date]],BH!A:A,1,)&lt;&gt;"",1,0),0)</f>
        <v>0</v>
      </c>
      <c r="M383">
        <f>IFERROR(IF(VLOOKUP(calendar[[#This Row],[Date]],BH!C:C,1,)&lt;&gt;"",1,0),0)</f>
        <v>0</v>
      </c>
      <c r="N383">
        <f>IFERROR(IF(VLOOKUP(calendar[[#This Row],[Date]],BH!E:E,1,)&lt;&gt;"",1,0),0)</f>
        <v>0</v>
      </c>
      <c r="O383">
        <f>IFERROR(IF(VLOOKUP(calendar[[#This Row],[Date]],BH!G:G,1,)&lt;&gt;"",1,0),0)</f>
        <v>0</v>
      </c>
      <c r="P383">
        <f>IF(OR(calendar[[#This Row],[UK_BH]]=1,calendar[[#This Row],[WeekDay]]=1, calendar[[#This Row],[WeekDay]]=7),P382,P382+1)</f>
        <v>273</v>
      </c>
      <c r="Q383">
        <f>IF(OR(calendar[[#This Row],[FR_BH]]=1,calendar[[#This Row],[WeekDay]]=1, calendar[[#This Row],[WeekDay]]=7),P382,P382+1)</f>
        <v>273</v>
      </c>
      <c r="R383">
        <f>IF(OR(calendar[[#This Row],[SP_BH]]=1,calendar[[#This Row],[WeekDay]]=1, calendar[[#This Row],[WeekDay]]=7),P382,P382+1)</f>
        <v>273</v>
      </c>
      <c r="S383">
        <f>IF(OR(calendar[[#This Row],[PT_BH]]=1,calendar[[#This Row],[WeekDay]]=1, calendar[[#This Row],[WeekDay]]=7),P382,P382+1)</f>
        <v>273</v>
      </c>
    </row>
    <row r="384" spans="1:19" x14ac:dyDescent="0.25">
      <c r="A384" s="2">
        <v>43118</v>
      </c>
      <c r="B384" s="1">
        <f t="shared" si="28"/>
        <v>3</v>
      </c>
      <c r="C384">
        <f t="shared" si="30"/>
        <v>1</v>
      </c>
      <c r="D384" t="str">
        <f t="shared" si="31"/>
        <v>January</v>
      </c>
      <c r="E384">
        <f t="shared" si="32"/>
        <v>2018</v>
      </c>
      <c r="F384" t="str">
        <f>CONCATENATE(calendar[[#This Row],[Month]],"/",calendar[[#This Row],[Year]])</f>
        <v>1/2018</v>
      </c>
      <c r="G384">
        <f>WEEKDAY(calendar[[#This Row],[Date]],1)</f>
        <v>5</v>
      </c>
      <c r="H384" t="str">
        <f>TEXT(calendar[[#This Row],[WeekDay]],"dddd")</f>
        <v>Thursday</v>
      </c>
      <c r="I384">
        <f>IF((INT(calendar[[#This Row],[Count]]/7)-calendar[[#This Row],[Count]]/7)&lt;0,I383,I383+1)</f>
        <v>55</v>
      </c>
      <c r="J384">
        <f t="shared" si="29"/>
        <v>382</v>
      </c>
      <c r="K384">
        <f>IF(calendar[[#This Row],[Month]]&lt;4,1,IF(calendar[[#This Row],[Month]]&lt;7,2,IF(calendar[[#This Row],[Month]]&lt;10,3,4)))</f>
        <v>1</v>
      </c>
      <c r="L384">
        <f>IFERROR(IF(VLOOKUP(calendar[[#This Row],[Date]],BH!A:A,1,)&lt;&gt;"",1,0),0)</f>
        <v>0</v>
      </c>
      <c r="M384">
        <f>IFERROR(IF(VLOOKUP(calendar[[#This Row],[Date]],BH!C:C,1,)&lt;&gt;"",1,0),0)</f>
        <v>0</v>
      </c>
      <c r="N384">
        <f>IFERROR(IF(VLOOKUP(calendar[[#This Row],[Date]],BH!E:E,1,)&lt;&gt;"",1,0),0)</f>
        <v>0</v>
      </c>
      <c r="O384">
        <f>IFERROR(IF(VLOOKUP(calendar[[#This Row],[Date]],BH!G:G,1,)&lt;&gt;"",1,0),0)</f>
        <v>0</v>
      </c>
      <c r="P384">
        <f>IF(OR(calendar[[#This Row],[UK_BH]]=1,calendar[[#This Row],[WeekDay]]=1, calendar[[#This Row],[WeekDay]]=7),P383,P383+1)</f>
        <v>274</v>
      </c>
      <c r="Q384">
        <f>IF(OR(calendar[[#This Row],[FR_BH]]=1,calendar[[#This Row],[WeekDay]]=1, calendar[[#This Row],[WeekDay]]=7),P383,P383+1)</f>
        <v>274</v>
      </c>
      <c r="R384">
        <f>IF(OR(calendar[[#This Row],[SP_BH]]=1,calendar[[#This Row],[WeekDay]]=1, calendar[[#This Row],[WeekDay]]=7),P383,P383+1)</f>
        <v>274</v>
      </c>
      <c r="S384">
        <f>IF(OR(calendar[[#This Row],[PT_BH]]=1,calendar[[#This Row],[WeekDay]]=1, calendar[[#This Row],[WeekDay]]=7),P383,P383+1)</f>
        <v>274</v>
      </c>
    </row>
    <row r="385" spans="1:19" x14ac:dyDescent="0.25">
      <c r="A385" s="2">
        <v>43119</v>
      </c>
      <c r="B385" s="1">
        <f t="shared" si="28"/>
        <v>3</v>
      </c>
      <c r="C385">
        <f t="shared" si="30"/>
        <v>1</v>
      </c>
      <c r="D385" t="str">
        <f t="shared" si="31"/>
        <v>January</v>
      </c>
      <c r="E385">
        <f t="shared" si="32"/>
        <v>2018</v>
      </c>
      <c r="F385" t="str">
        <f>CONCATENATE(calendar[[#This Row],[Month]],"/",calendar[[#This Row],[Year]])</f>
        <v>1/2018</v>
      </c>
      <c r="G385">
        <f>WEEKDAY(calendar[[#This Row],[Date]],1)</f>
        <v>6</v>
      </c>
      <c r="H385" t="str">
        <f>TEXT(calendar[[#This Row],[WeekDay]],"dddd")</f>
        <v>Friday</v>
      </c>
      <c r="I385">
        <f>IF((INT(calendar[[#This Row],[Count]]/7)-calendar[[#This Row],[Count]]/7)&lt;0,I384,I384+1)</f>
        <v>55</v>
      </c>
      <c r="J385">
        <f t="shared" si="29"/>
        <v>383</v>
      </c>
      <c r="K385">
        <f>IF(calendar[[#This Row],[Month]]&lt;4,1,IF(calendar[[#This Row],[Month]]&lt;7,2,IF(calendar[[#This Row],[Month]]&lt;10,3,4)))</f>
        <v>1</v>
      </c>
      <c r="L385">
        <f>IFERROR(IF(VLOOKUP(calendar[[#This Row],[Date]],BH!A:A,1,)&lt;&gt;"",1,0),0)</f>
        <v>0</v>
      </c>
      <c r="M385">
        <f>IFERROR(IF(VLOOKUP(calendar[[#This Row],[Date]],BH!C:C,1,)&lt;&gt;"",1,0),0)</f>
        <v>0</v>
      </c>
      <c r="N385">
        <f>IFERROR(IF(VLOOKUP(calendar[[#This Row],[Date]],BH!E:E,1,)&lt;&gt;"",1,0),0)</f>
        <v>0</v>
      </c>
      <c r="O385">
        <f>IFERROR(IF(VLOOKUP(calendar[[#This Row],[Date]],BH!G:G,1,)&lt;&gt;"",1,0),0)</f>
        <v>0</v>
      </c>
      <c r="P385">
        <f>IF(OR(calendar[[#This Row],[UK_BH]]=1,calendar[[#This Row],[WeekDay]]=1, calendar[[#This Row],[WeekDay]]=7),P384,P384+1)</f>
        <v>275</v>
      </c>
      <c r="Q385">
        <f>IF(OR(calendar[[#This Row],[FR_BH]]=1,calendar[[#This Row],[WeekDay]]=1, calendar[[#This Row],[WeekDay]]=7),P384,P384+1)</f>
        <v>275</v>
      </c>
      <c r="R385">
        <f>IF(OR(calendar[[#This Row],[SP_BH]]=1,calendar[[#This Row],[WeekDay]]=1, calendar[[#This Row],[WeekDay]]=7),P384,P384+1)</f>
        <v>275</v>
      </c>
      <c r="S385">
        <f>IF(OR(calendar[[#This Row],[PT_BH]]=1,calendar[[#This Row],[WeekDay]]=1, calendar[[#This Row],[WeekDay]]=7),P384,P384+1)</f>
        <v>275</v>
      </c>
    </row>
    <row r="386" spans="1:19" x14ac:dyDescent="0.25">
      <c r="A386" s="2">
        <v>43120</v>
      </c>
      <c r="B386" s="1">
        <f t="shared" ref="B386:B449" si="33">WEEKNUM(A386)</f>
        <v>3</v>
      </c>
      <c r="C386">
        <f t="shared" si="30"/>
        <v>1</v>
      </c>
      <c r="D386" t="str">
        <f t="shared" si="31"/>
        <v>January</v>
      </c>
      <c r="E386">
        <f t="shared" si="32"/>
        <v>2018</v>
      </c>
      <c r="F386" t="str">
        <f>CONCATENATE(calendar[[#This Row],[Month]],"/",calendar[[#This Row],[Year]])</f>
        <v>1/2018</v>
      </c>
      <c r="G386">
        <f>WEEKDAY(calendar[[#This Row],[Date]],1)</f>
        <v>7</v>
      </c>
      <c r="H386" t="str">
        <f>TEXT(calendar[[#This Row],[WeekDay]],"dddd")</f>
        <v>Saturday</v>
      </c>
      <c r="I386">
        <f>IF((INT(calendar[[#This Row],[Count]]/7)-calendar[[#This Row],[Count]]/7)&lt;0,I385,I385+1)</f>
        <v>55</v>
      </c>
      <c r="J386">
        <f t="shared" si="29"/>
        <v>384</v>
      </c>
      <c r="K386">
        <f>IF(calendar[[#This Row],[Month]]&lt;4,1,IF(calendar[[#This Row],[Month]]&lt;7,2,IF(calendar[[#This Row],[Month]]&lt;10,3,4)))</f>
        <v>1</v>
      </c>
      <c r="L386">
        <f>IFERROR(IF(VLOOKUP(calendar[[#This Row],[Date]],BH!A:A,1,)&lt;&gt;"",1,0),0)</f>
        <v>0</v>
      </c>
      <c r="M386">
        <f>IFERROR(IF(VLOOKUP(calendar[[#This Row],[Date]],BH!C:C,1,)&lt;&gt;"",1,0),0)</f>
        <v>0</v>
      </c>
      <c r="N386">
        <f>IFERROR(IF(VLOOKUP(calendar[[#This Row],[Date]],BH!E:E,1,)&lt;&gt;"",1,0),0)</f>
        <v>0</v>
      </c>
      <c r="O386">
        <f>IFERROR(IF(VLOOKUP(calendar[[#This Row],[Date]],BH!G:G,1,)&lt;&gt;"",1,0),0)</f>
        <v>0</v>
      </c>
      <c r="P386">
        <f>IF(OR(calendar[[#This Row],[UK_BH]]=1,calendar[[#This Row],[WeekDay]]=1, calendar[[#This Row],[WeekDay]]=7),P385,P385+1)</f>
        <v>275</v>
      </c>
      <c r="Q386">
        <f>IF(OR(calendar[[#This Row],[FR_BH]]=1,calendar[[#This Row],[WeekDay]]=1, calendar[[#This Row],[WeekDay]]=7),P385,P385+1)</f>
        <v>275</v>
      </c>
      <c r="R386">
        <f>IF(OR(calendar[[#This Row],[SP_BH]]=1,calendar[[#This Row],[WeekDay]]=1, calendar[[#This Row],[WeekDay]]=7),P385,P385+1)</f>
        <v>275</v>
      </c>
      <c r="S386">
        <f>IF(OR(calendar[[#This Row],[PT_BH]]=1,calendar[[#This Row],[WeekDay]]=1, calendar[[#This Row],[WeekDay]]=7),P385,P385+1)</f>
        <v>275</v>
      </c>
    </row>
    <row r="387" spans="1:19" x14ac:dyDescent="0.25">
      <c r="A387" s="2">
        <v>43121</v>
      </c>
      <c r="B387" s="1">
        <f t="shared" si="33"/>
        <v>4</v>
      </c>
      <c r="C387">
        <f t="shared" si="30"/>
        <v>1</v>
      </c>
      <c r="D387" t="str">
        <f t="shared" si="31"/>
        <v>January</v>
      </c>
      <c r="E387">
        <f t="shared" si="32"/>
        <v>2018</v>
      </c>
      <c r="F387" t="str">
        <f>CONCATENATE(calendar[[#This Row],[Month]],"/",calendar[[#This Row],[Year]])</f>
        <v>1/2018</v>
      </c>
      <c r="G387">
        <f>WEEKDAY(calendar[[#This Row],[Date]],1)</f>
        <v>1</v>
      </c>
      <c r="H387" t="str">
        <f>TEXT(calendar[[#This Row],[WeekDay]],"dddd")</f>
        <v>Sunday</v>
      </c>
      <c r="I387">
        <f>IF((INT(calendar[[#This Row],[Count]]/7)-calendar[[#This Row],[Count]]/7)&lt;0,I386,I386+1)</f>
        <v>56</v>
      </c>
      <c r="J387">
        <f t="shared" ref="J387:J450" si="34">J386+1</f>
        <v>385</v>
      </c>
      <c r="K387">
        <f>IF(calendar[[#This Row],[Month]]&lt;4,1,IF(calendar[[#This Row],[Month]]&lt;7,2,IF(calendar[[#This Row],[Month]]&lt;10,3,4)))</f>
        <v>1</v>
      </c>
      <c r="L387">
        <f>IFERROR(IF(VLOOKUP(calendar[[#This Row],[Date]],BH!A:A,1,)&lt;&gt;"",1,0),0)</f>
        <v>0</v>
      </c>
      <c r="M387">
        <f>IFERROR(IF(VLOOKUP(calendar[[#This Row],[Date]],BH!C:C,1,)&lt;&gt;"",1,0),0)</f>
        <v>0</v>
      </c>
      <c r="N387">
        <f>IFERROR(IF(VLOOKUP(calendar[[#This Row],[Date]],BH!E:E,1,)&lt;&gt;"",1,0),0)</f>
        <v>0</v>
      </c>
      <c r="O387">
        <f>IFERROR(IF(VLOOKUP(calendar[[#This Row],[Date]],BH!G:G,1,)&lt;&gt;"",1,0),0)</f>
        <v>0</v>
      </c>
      <c r="P387">
        <f>IF(OR(calendar[[#This Row],[UK_BH]]=1,calendar[[#This Row],[WeekDay]]=1, calendar[[#This Row],[WeekDay]]=7),P386,P386+1)</f>
        <v>275</v>
      </c>
      <c r="Q387">
        <f>IF(OR(calendar[[#This Row],[FR_BH]]=1,calendar[[#This Row],[WeekDay]]=1, calendar[[#This Row],[WeekDay]]=7),P386,P386+1)</f>
        <v>275</v>
      </c>
      <c r="R387">
        <f>IF(OR(calendar[[#This Row],[SP_BH]]=1,calendar[[#This Row],[WeekDay]]=1, calendar[[#This Row],[WeekDay]]=7),P386,P386+1)</f>
        <v>275</v>
      </c>
      <c r="S387">
        <f>IF(OR(calendar[[#This Row],[PT_BH]]=1,calendar[[#This Row],[WeekDay]]=1, calendar[[#This Row],[WeekDay]]=7),P386,P386+1)</f>
        <v>275</v>
      </c>
    </row>
    <row r="388" spans="1:19" x14ac:dyDescent="0.25">
      <c r="A388" s="2">
        <v>43122</v>
      </c>
      <c r="B388" s="1">
        <f t="shared" si="33"/>
        <v>4</v>
      </c>
      <c r="C388">
        <f t="shared" si="30"/>
        <v>1</v>
      </c>
      <c r="D388" t="str">
        <f t="shared" si="31"/>
        <v>January</v>
      </c>
      <c r="E388">
        <f t="shared" si="32"/>
        <v>2018</v>
      </c>
      <c r="F388" t="str">
        <f>CONCATENATE(calendar[[#This Row],[Month]],"/",calendar[[#This Row],[Year]])</f>
        <v>1/2018</v>
      </c>
      <c r="G388">
        <f>WEEKDAY(calendar[[#This Row],[Date]],1)</f>
        <v>2</v>
      </c>
      <c r="H388" t="str">
        <f>TEXT(calendar[[#This Row],[WeekDay]],"dddd")</f>
        <v>Monday</v>
      </c>
      <c r="I388">
        <f>IF((INT(calendar[[#This Row],[Count]]/7)-calendar[[#This Row],[Count]]/7)&lt;0,I387,I387+1)</f>
        <v>56</v>
      </c>
      <c r="J388">
        <f t="shared" si="34"/>
        <v>386</v>
      </c>
      <c r="K388">
        <f>IF(calendar[[#This Row],[Month]]&lt;4,1,IF(calendar[[#This Row],[Month]]&lt;7,2,IF(calendar[[#This Row],[Month]]&lt;10,3,4)))</f>
        <v>1</v>
      </c>
      <c r="L388">
        <f>IFERROR(IF(VLOOKUP(calendar[[#This Row],[Date]],BH!A:A,1,)&lt;&gt;"",1,0),0)</f>
        <v>0</v>
      </c>
      <c r="M388">
        <f>IFERROR(IF(VLOOKUP(calendar[[#This Row],[Date]],BH!C:C,1,)&lt;&gt;"",1,0),0)</f>
        <v>0</v>
      </c>
      <c r="N388">
        <f>IFERROR(IF(VLOOKUP(calendar[[#This Row],[Date]],BH!E:E,1,)&lt;&gt;"",1,0),0)</f>
        <v>0</v>
      </c>
      <c r="O388">
        <f>IFERROR(IF(VLOOKUP(calendar[[#This Row],[Date]],BH!G:G,1,)&lt;&gt;"",1,0),0)</f>
        <v>0</v>
      </c>
      <c r="P388">
        <f>IF(OR(calendar[[#This Row],[UK_BH]]=1,calendar[[#This Row],[WeekDay]]=1, calendar[[#This Row],[WeekDay]]=7),P387,P387+1)</f>
        <v>276</v>
      </c>
      <c r="Q388">
        <f>IF(OR(calendar[[#This Row],[FR_BH]]=1,calendar[[#This Row],[WeekDay]]=1, calendar[[#This Row],[WeekDay]]=7),P387,P387+1)</f>
        <v>276</v>
      </c>
      <c r="R388">
        <f>IF(OR(calendar[[#This Row],[SP_BH]]=1,calendar[[#This Row],[WeekDay]]=1, calendar[[#This Row],[WeekDay]]=7),P387,P387+1)</f>
        <v>276</v>
      </c>
      <c r="S388">
        <f>IF(OR(calendar[[#This Row],[PT_BH]]=1,calendar[[#This Row],[WeekDay]]=1, calendar[[#This Row],[WeekDay]]=7),P387,P387+1)</f>
        <v>276</v>
      </c>
    </row>
    <row r="389" spans="1:19" x14ac:dyDescent="0.25">
      <c r="A389" s="2">
        <v>43123</v>
      </c>
      <c r="B389" s="1">
        <f t="shared" si="33"/>
        <v>4</v>
      </c>
      <c r="C389">
        <f t="shared" si="30"/>
        <v>1</v>
      </c>
      <c r="D389" t="str">
        <f t="shared" si="31"/>
        <v>January</v>
      </c>
      <c r="E389">
        <f t="shared" si="32"/>
        <v>2018</v>
      </c>
      <c r="F389" t="str">
        <f>CONCATENATE(calendar[[#This Row],[Month]],"/",calendar[[#This Row],[Year]])</f>
        <v>1/2018</v>
      </c>
      <c r="G389">
        <f>WEEKDAY(calendar[[#This Row],[Date]],1)</f>
        <v>3</v>
      </c>
      <c r="H389" t="str">
        <f>TEXT(calendar[[#This Row],[WeekDay]],"dddd")</f>
        <v>Tuesday</v>
      </c>
      <c r="I389">
        <f>IF((INT(calendar[[#This Row],[Count]]/7)-calendar[[#This Row],[Count]]/7)&lt;0,I388,I388+1)</f>
        <v>56</v>
      </c>
      <c r="J389">
        <f t="shared" si="34"/>
        <v>387</v>
      </c>
      <c r="K389">
        <f>IF(calendar[[#This Row],[Month]]&lt;4,1,IF(calendar[[#This Row],[Month]]&lt;7,2,IF(calendar[[#This Row],[Month]]&lt;10,3,4)))</f>
        <v>1</v>
      </c>
      <c r="L389">
        <f>IFERROR(IF(VLOOKUP(calendar[[#This Row],[Date]],BH!A:A,1,)&lt;&gt;"",1,0),0)</f>
        <v>0</v>
      </c>
      <c r="M389">
        <f>IFERROR(IF(VLOOKUP(calendar[[#This Row],[Date]],BH!C:C,1,)&lt;&gt;"",1,0),0)</f>
        <v>0</v>
      </c>
      <c r="N389">
        <f>IFERROR(IF(VLOOKUP(calendar[[#This Row],[Date]],BH!E:E,1,)&lt;&gt;"",1,0),0)</f>
        <v>0</v>
      </c>
      <c r="O389">
        <f>IFERROR(IF(VLOOKUP(calendar[[#This Row],[Date]],BH!G:G,1,)&lt;&gt;"",1,0),0)</f>
        <v>0</v>
      </c>
      <c r="P389">
        <f>IF(OR(calendar[[#This Row],[UK_BH]]=1,calendar[[#This Row],[WeekDay]]=1, calendar[[#This Row],[WeekDay]]=7),P388,P388+1)</f>
        <v>277</v>
      </c>
      <c r="Q389">
        <f>IF(OR(calendar[[#This Row],[FR_BH]]=1,calendar[[#This Row],[WeekDay]]=1, calendar[[#This Row],[WeekDay]]=7),P388,P388+1)</f>
        <v>277</v>
      </c>
      <c r="R389">
        <f>IF(OR(calendar[[#This Row],[SP_BH]]=1,calendar[[#This Row],[WeekDay]]=1, calendar[[#This Row],[WeekDay]]=7),P388,P388+1)</f>
        <v>277</v>
      </c>
      <c r="S389">
        <f>IF(OR(calendar[[#This Row],[PT_BH]]=1,calendar[[#This Row],[WeekDay]]=1, calendar[[#This Row],[WeekDay]]=7),P388,P388+1)</f>
        <v>277</v>
      </c>
    </row>
    <row r="390" spans="1:19" x14ac:dyDescent="0.25">
      <c r="A390" s="2">
        <v>43124</v>
      </c>
      <c r="B390" s="1">
        <f t="shared" si="33"/>
        <v>4</v>
      </c>
      <c r="C390">
        <f t="shared" si="30"/>
        <v>1</v>
      </c>
      <c r="D390" t="str">
        <f t="shared" si="31"/>
        <v>January</v>
      </c>
      <c r="E390">
        <f t="shared" si="32"/>
        <v>2018</v>
      </c>
      <c r="F390" t="str">
        <f>CONCATENATE(calendar[[#This Row],[Month]],"/",calendar[[#This Row],[Year]])</f>
        <v>1/2018</v>
      </c>
      <c r="G390">
        <f>WEEKDAY(calendar[[#This Row],[Date]],1)</f>
        <v>4</v>
      </c>
      <c r="H390" t="str">
        <f>TEXT(calendar[[#This Row],[WeekDay]],"dddd")</f>
        <v>Wednesday</v>
      </c>
      <c r="I390">
        <f>IF((INT(calendar[[#This Row],[Count]]/7)-calendar[[#This Row],[Count]]/7)&lt;0,I389,I389+1)</f>
        <v>56</v>
      </c>
      <c r="J390">
        <f t="shared" si="34"/>
        <v>388</v>
      </c>
      <c r="K390">
        <f>IF(calendar[[#This Row],[Month]]&lt;4,1,IF(calendar[[#This Row],[Month]]&lt;7,2,IF(calendar[[#This Row],[Month]]&lt;10,3,4)))</f>
        <v>1</v>
      </c>
      <c r="L390">
        <f>IFERROR(IF(VLOOKUP(calendar[[#This Row],[Date]],BH!A:A,1,)&lt;&gt;"",1,0),0)</f>
        <v>0</v>
      </c>
      <c r="M390">
        <f>IFERROR(IF(VLOOKUP(calendar[[#This Row],[Date]],BH!C:C,1,)&lt;&gt;"",1,0),0)</f>
        <v>0</v>
      </c>
      <c r="N390">
        <f>IFERROR(IF(VLOOKUP(calendar[[#This Row],[Date]],BH!E:E,1,)&lt;&gt;"",1,0),0)</f>
        <v>0</v>
      </c>
      <c r="O390">
        <f>IFERROR(IF(VLOOKUP(calendar[[#This Row],[Date]],BH!G:G,1,)&lt;&gt;"",1,0),0)</f>
        <v>0</v>
      </c>
      <c r="P390">
        <f>IF(OR(calendar[[#This Row],[UK_BH]]=1,calendar[[#This Row],[WeekDay]]=1, calendar[[#This Row],[WeekDay]]=7),P389,P389+1)</f>
        <v>278</v>
      </c>
      <c r="Q390">
        <f>IF(OR(calendar[[#This Row],[FR_BH]]=1,calendar[[#This Row],[WeekDay]]=1, calendar[[#This Row],[WeekDay]]=7),P389,P389+1)</f>
        <v>278</v>
      </c>
      <c r="R390">
        <f>IF(OR(calendar[[#This Row],[SP_BH]]=1,calendar[[#This Row],[WeekDay]]=1, calendar[[#This Row],[WeekDay]]=7),P389,P389+1)</f>
        <v>278</v>
      </c>
      <c r="S390">
        <f>IF(OR(calendar[[#This Row],[PT_BH]]=1,calendar[[#This Row],[WeekDay]]=1, calendar[[#This Row],[WeekDay]]=7),P389,P389+1)</f>
        <v>278</v>
      </c>
    </row>
    <row r="391" spans="1:19" x14ac:dyDescent="0.25">
      <c r="A391" s="2">
        <v>43125</v>
      </c>
      <c r="B391" s="1">
        <f t="shared" si="33"/>
        <v>4</v>
      </c>
      <c r="C391">
        <f t="shared" si="30"/>
        <v>1</v>
      </c>
      <c r="D391" t="str">
        <f t="shared" si="31"/>
        <v>January</v>
      </c>
      <c r="E391">
        <f t="shared" si="32"/>
        <v>2018</v>
      </c>
      <c r="F391" t="str">
        <f>CONCATENATE(calendar[[#This Row],[Month]],"/",calendar[[#This Row],[Year]])</f>
        <v>1/2018</v>
      </c>
      <c r="G391">
        <f>WEEKDAY(calendar[[#This Row],[Date]],1)</f>
        <v>5</v>
      </c>
      <c r="H391" t="str">
        <f>TEXT(calendar[[#This Row],[WeekDay]],"dddd")</f>
        <v>Thursday</v>
      </c>
      <c r="I391">
        <f>IF((INT(calendar[[#This Row],[Count]]/7)-calendar[[#This Row],[Count]]/7)&lt;0,I390,I390+1)</f>
        <v>56</v>
      </c>
      <c r="J391">
        <f t="shared" si="34"/>
        <v>389</v>
      </c>
      <c r="K391">
        <f>IF(calendar[[#This Row],[Month]]&lt;4,1,IF(calendar[[#This Row],[Month]]&lt;7,2,IF(calendar[[#This Row],[Month]]&lt;10,3,4)))</f>
        <v>1</v>
      </c>
      <c r="L391">
        <f>IFERROR(IF(VLOOKUP(calendar[[#This Row],[Date]],BH!A:A,1,)&lt;&gt;"",1,0),0)</f>
        <v>0</v>
      </c>
      <c r="M391">
        <f>IFERROR(IF(VLOOKUP(calendar[[#This Row],[Date]],BH!C:C,1,)&lt;&gt;"",1,0),0)</f>
        <v>0</v>
      </c>
      <c r="N391">
        <f>IFERROR(IF(VLOOKUP(calendar[[#This Row],[Date]],BH!E:E,1,)&lt;&gt;"",1,0),0)</f>
        <v>0</v>
      </c>
      <c r="O391">
        <f>IFERROR(IF(VLOOKUP(calendar[[#This Row],[Date]],BH!G:G,1,)&lt;&gt;"",1,0),0)</f>
        <v>0</v>
      </c>
      <c r="P391">
        <f>IF(OR(calendar[[#This Row],[UK_BH]]=1,calendar[[#This Row],[WeekDay]]=1, calendar[[#This Row],[WeekDay]]=7),P390,P390+1)</f>
        <v>279</v>
      </c>
      <c r="Q391">
        <f>IF(OR(calendar[[#This Row],[FR_BH]]=1,calendar[[#This Row],[WeekDay]]=1, calendar[[#This Row],[WeekDay]]=7),P390,P390+1)</f>
        <v>279</v>
      </c>
      <c r="R391">
        <f>IF(OR(calendar[[#This Row],[SP_BH]]=1,calendar[[#This Row],[WeekDay]]=1, calendar[[#This Row],[WeekDay]]=7),P390,P390+1)</f>
        <v>279</v>
      </c>
      <c r="S391">
        <f>IF(OR(calendar[[#This Row],[PT_BH]]=1,calendar[[#This Row],[WeekDay]]=1, calendar[[#This Row],[WeekDay]]=7),P390,P390+1)</f>
        <v>279</v>
      </c>
    </row>
    <row r="392" spans="1:19" x14ac:dyDescent="0.25">
      <c r="A392" s="2">
        <v>43126</v>
      </c>
      <c r="B392" s="1">
        <f t="shared" si="33"/>
        <v>4</v>
      </c>
      <c r="C392">
        <f t="shared" si="30"/>
        <v>1</v>
      </c>
      <c r="D392" t="str">
        <f t="shared" si="31"/>
        <v>January</v>
      </c>
      <c r="E392">
        <f t="shared" si="32"/>
        <v>2018</v>
      </c>
      <c r="F392" t="str">
        <f>CONCATENATE(calendar[[#This Row],[Month]],"/",calendar[[#This Row],[Year]])</f>
        <v>1/2018</v>
      </c>
      <c r="G392">
        <f>WEEKDAY(calendar[[#This Row],[Date]],1)</f>
        <v>6</v>
      </c>
      <c r="H392" t="str">
        <f>TEXT(calendar[[#This Row],[WeekDay]],"dddd")</f>
        <v>Friday</v>
      </c>
      <c r="I392">
        <f>IF((INT(calendar[[#This Row],[Count]]/7)-calendar[[#This Row],[Count]]/7)&lt;0,I391,I391+1)</f>
        <v>56</v>
      </c>
      <c r="J392">
        <f t="shared" si="34"/>
        <v>390</v>
      </c>
      <c r="K392">
        <f>IF(calendar[[#This Row],[Month]]&lt;4,1,IF(calendar[[#This Row],[Month]]&lt;7,2,IF(calendar[[#This Row],[Month]]&lt;10,3,4)))</f>
        <v>1</v>
      </c>
      <c r="L392">
        <f>IFERROR(IF(VLOOKUP(calendar[[#This Row],[Date]],BH!A:A,1,)&lt;&gt;"",1,0),0)</f>
        <v>0</v>
      </c>
      <c r="M392">
        <f>IFERROR(IF(VLOOKUP(calendar[[#This Row],[Date]],BH!C:C,1,)&lt;&gt;"",1,0),0)</f>
        <v>0</v>
      </c>
      <c r="N392">
        <f>IFERROR(IF(VLOOKUP(calendar[[#This Row],[Date]],BH!E:E,1,)&lt;&gt;"",1,0),0)</f>
        <v>0</v>
      </c>
      <c r="O392">
        <f>IFERROR(IF(VLOOKUP(calendar[[#This Row],[Date]],BH!G:G,1,)&lt;&gt;"",1,0),0)</f>
        <v>0</v>
      </c>
      <c r="P392">
        <f>IF(OR(calendar[[#This Row],[UK_BH]]=1,calendar[[#This Row],[WeekDay]]=1, calendar[[#This Row],[WeekDay]]=7),P391,P391+1)</f>
        <v>280</v>
      </c>
      <c r="Q392">
        <f>IF(OR(calendar[[#This Row],[FR_BH]]=1,calendar[[#This Row],[WeekDay]]=1, calendar[[#This Row],[WeekDay]]=7),P391,P391+1)</f>
        <v>280</v>
      </c>
      <c r="R392">
        <f>IF(OR(calendar[[#This Row],[SP_BH]]=1,calendar[[#This Row],[WeekDay]]=1, calendar[[#This Row],[WeekDay]]=7),P391,P391+1)</f>
        <v>280</v>
      </c>
      <c r="S392">
        <f>IF(OR(calendar[[#This Row],[PT_BH]]=1,calendar[[#This Row],[WeekDay]]=1, calendar[[#This Row],[WeekDay]]=7),P391,P391+1)</f>
        <v>280</v>
      </c>
    </row>
    <row r="393" spans="1:19" x14ac:dyDescent="0.25">
      <c r="A393" s="2">
        <v>43127</v>
      </c>
      <c r="B393" s="1">
        <f t="shared" si="33"/>
        <v>4</v>
      </c>
      <c r="C393">
        <f t="shared" si="30"/>
        <v>1</v>
      </c>
      <c r="D393" t="str">
        <f t="shared" si="31"/>
        <v>January</v>
      </c>
      <c r="E393">
        <f t="shared" si="32"/>
        <v>2018</v>
      </c>
      <c r="F393" t="str">
        <f>CONCATENATE(calendar[[#This Row],[Month]],"/",calendar[[#This Row],[Year]])</f>
        <v>1/2018</v>
      </c>
      <c r="G393">
        <f>WEEKDAY(calendar[[#This Row],[Date]],1)</f>
        <v>7</v>
      </c>
      <c r="H393" t="str">
        <f>TEXT(calendar[[#This Row],[WeekDay]],"dddd")</f>
        <v>Saturday</v>
      </c>
      <c r="I393">
        <f>IF((INT(calendar[[#This Row],[Count]]/7)-calendar[[#This Row],[Count]]/7)&lt;0,I392,I392+1)</f>
        <v>56</v>
      </c>
      <c r="J393">
        <f t="shared" si="34"/>
        <v>391</v>
      </c>
      <c r="K393">
        <f>IF(calendar[[#This Row],[Month]]&lt;4,1,IF(calendar[[#This Row],[Month]]&lt;7,2,IF(calendar[[#This Row],[Month]]&lt;10,3,4)))</f>
        <v>1</v>
      </c>
      <c r="L393">
        <f>IFERROR(IF(VLOOKUP(calendar[[#This Row],[Date]],BH!A:A,1,)&lt;&gt;"",1,0),0)</f>
        <v>0</v>
      </c>
      <c r="M393">
        <f>IFERROR(IF(VLOOKUP(calendar[[#This Row],[Date]],BH!C:C,1,)&lt;&gt;"",1,0),0)</f>
        <v>0</v>
      </c>
      <c r="N393">
        <f>IFERROR(IF(VLOOKUP(calendar[[#This Row],[Date]],BH!E:E,1,)&lt;&gt;"",1,0),0)</f>
        <v>0</v>
      </c>
      <c r="O393">
        <f>IFERROR(IF(VLOOKUP(calendar[[#This Row],[Date]],BH!G:G,1,)&lt;&gt;"",1,0),0)</f>
        <v>0</v>
      </c>
      <c r="P393">
        <f>IF(OR(calendar[[#This Row],[UK_BH]]=1,calendar[[#This Row],[WeekDay]]=1, calendar[[#This Row],[WeekDay]]=7),P392,P392+1)</f>
        <v>280</v>
      </c>
      <c r="Q393">
        <f>IF(OR(calendar[[#This Row],[FR_BH]]=1,calendar[[#This Row],[WeekDay]]=1, calendar[[#This Row],[WeekDay]]=7),P392,P392+1)</f>
        <v>280</v>
      </c>
      <c r="R393">
        <f>IF(OR(calendar[[#This Row],[SP_BH]]=1,calendar[[#This Row],[WeekDay]]=1, calendar[[#This Row],[WeekDay]]=7),P392,P392+1)</f>
        <v>280</v>
      </c>
      <c r="S393">
        <f>IF(OR(calendar[[#This Row],[PT_BH]]=1,calendar[[#This Row],[WeekDay]]=1, calendar[[#This Row],[WeekDay]]=7),P392,P392+1)</f>
        <v>280</v>
      </c>
    </row>
    <row r="394" spans="1:19" x14ac:dyDescent="0.25">
      <c r="A394" s="2">
        <v>43128</v>
      </c>
      <c r="B394" s="1">
        <f t="shared" si="33"/>
        <v>5</v>
      </c>
      <c r="C394">
        <f t="shared" si="30"/>
        <v>1</v>
      </c>
      <c r="D394" t="str">
        <f t="shared" si="31"/>
        <v>January</v>
      </c>
      <c r="E394">
        <f t="shared" si="32"/>
        <v>2018</v>
      </c>
      <c r="F394" t="str">
        <f>CONCATENATE(calendar[[#This Row],[Month]],"/",calendar[[#This Row],[Year]])</f>
        <v>1/2018</v>
      </c>
      <c r="G394">
        <f>WEEKDAY(calendar[[#This Row],[Date]],1)</f>
        <v>1</v>
      </c>
      <c r="H394" t="str">
        <f>TEXT(calendar[[#This Row],[WeekDay]],"dddd")</f>
        <v>Sunday</v>
      </c>
      <c r="I394">
        <f>IF((INT(calendar[[#This Row],[Count]]/7)-calendar[[#This Row],[Count]]/7)&lt;0,I393,I393+1)</f>
        <v>57</v>
      </c>
      <c r="J394">
        <f t="shared" si="34"/>
        <v>392</v>
      </c>
      <c r="K394">
        <f>IF(calendar[[#This Row],[Month]]&lt;4,1,IF(calendar[[#This Row],[Month]]&lt;7,2,IF(calendar[[#This Row],[Month]]&lt;10,3,4)))</f>
        <v>1</v>
      </c>
      <c r="L394">
        <f>IFERROR(IF(VLOOKUP(calendar[[#This Row],[Date]],BH!A:A,1,)&lt;&gt;"",1,0),0)</f>
        <v>0</v>
      </c>
      <c r="M394">
        <f>IFERROR(IF(VLOOKUP(calendar[[#This Row],[Date]],BH!C:C,1,)&lt;&gt;"",1,0),0)</f>
        <v>0</v>
      </c>
      <c r="N394">
        <f>IFERROR(IF(VLOOKUP(calendar[[#This Row],[Date]],BH!E:E,1,)&lt;&gt;"",1,0),0)</f>
        <v>0</v>
      </c>
      <c r="O394">
        <f>IFERROR(IF(VLOOKUP(calendar[[#This Row],[Date]],BH!G:G,1,)&lt;&gt;"",1,0),0)</f>
        <v>0</v>
      </c>
      <c r="P394">
        <f>IF(OR(calendar[[#This Row],[UK_BH]]=1,calendar[[#This Row],[WeekDay]]=1, calendar[[#This Row],[WeekDay]]=7),P393,P393+1)</f>
        <v>280</v>
      </c>
      <c r="Q394">
        <f>IF(OR(calendar[[#This Row],[FR_BH]]=1,calendar[[#This Row],[WeekDay]]=1, calendar[[#This Row],[WeekDay]]=7),P393,P393+1)</f>
        <v>280</v>
      </c>
      <c r="R394">
        <f>IF(OR(calendar[[#This Row],[SP_BH]]=1,calendar[[#This Row],[WeekDay]]=1, calendar[[#This Row],[WeekDay]]=7),P393,P393+1)</f>
        <v>280</v>
      </c>
      <c r="S394">
        <f>IF(OR(calendar[[#This Row],[PT_BH]]=1,calendar[[#This Row],[WeekDay]]=1, calendar[[#This Row],[WeekDay]]=7),P393,P393+1)</f>
        <v>280</v>
      </c>
    </row>
    <row r="395" spans="1:19" x14ac:dyDescent="0.25">
      <c r="A395" s="2">
        <v>43129</v>
      </c>
      <c r="B395" s="1">
        <f t="shared" si="33"/>
        <v>5</v>
      </c>
      <c r="C395">
        <f t="shared" si="30"/>
        <v>1</v>
      </c>
      <c r="D395" t="str">
        <f t="shared" si="31"/>
        <v>January</v>
      </c>
      <c r="E395">
        <f t="shared" si="32"/>
        <v>2018</v>
      </c>
      <c r="F395" t="str">
        <f>CONCATENATE(calendar[[#This Row],[Month]],"/",calendar[[#This Row],[Year]])</f>
        <v>1/2018</v>
      </c>
      <c r="G395">
        <f>WEEKDAY(calendar[[#This Row],[Date]],1)</f>
        <v>2</v>
      </c>
      <c r="H395" t="str">
        <f>TEXT(calendar[[#This Row],[WeekDay]],"dddd")</f>
        <v>Monday</v>
      </c>
      <c r="I395">
        <f>IF((INT(calendar[[#This Row],[Count]]/7)-calendar[[#This Row],[Count]]/7)&lt;0,I394,I394+1)</f>
        <v>57</v>
      </c>
      <c r="J395">
        <f t="shared" si="34"/>
        <v>393</v>
      </c>
      <c r="K395">
        <f>IF(calendar[[#This Row],[Month]]&lt;4,1,IF(calendar[[#This Row],[Month]]&lt;7,2,IF(calendar[[#This Row],[Month]]&lt;10,3,4)))</f>
        <v>1</v>
      </c>
      <c r="L395">
        <f>IFERROR(IF(VLOOKUP(calendar[[#This Row],[Date]],BH!A:A,1,)&lt;&gt;"",1,0),0)</f>
        <v>0</v>
      </c>
      <c r="M395">
        <f>IFERROR(IF(VLOOKUP(calendar[[#This Row],[Date]],BH!C:C,1,)&lt;&gt;"",1,0),0)</f>
        <v>0</v>
      </c>
      <c r="N395">
        <f>IFERROR(IF(VLOOKUP(calendar[[#This Row],[Date]],BH!E:E,1,)&lt;&gt;"",1,0),0)</f>
        <v>0</v>
      </c>
      <c r="O395">
        <f>IFERROR(IF(VLOOKUP(calendar[[#This Row],[Date]],BH!G:G,1,)&lt;&gt;"",1,0),0)</f>
        <v>0</v>
      </c>
      <c r="P395">
        <f>IF(OR(calendar[[#This Row],[UK_BH]]=1,calendar[[#This Row],[WeekDay]]=1, calendar[[#This Row],[WeekDay]]=7),P394,P394+1)</f>
        <v>281</v>
      </c>
      <c r="Q395">
        <f>IF(OR(calendar[[#This Row],[FR_BH]]=1,calendar[[#This Row],[WeekDay]]=1, calendar[[#This Row],[WeekDay]]=7),P394,P394+1)</f>
        <v>281</v>
      </c>
      <c r="R395">
        <f>IF(OR(calendar[[#This Row],[SP_BH]]=1,calendar[[#This Row],[WeekDay]]=1, calendar[[#This Row],[WeekDay]]=7),P394,P394+1)</f>
        <v>281</v>
      </c>
      <c r="S395">
        <f>IF(OR(calendar[[#This Row],[PT_BH]]=1,calendar[[#This Row],[WeekDay]]=1, calendar[[#This Row],[WeekDay]]=7),P394,P394+1)</f>
        <v>281</v>
      </c>
    </row>
    <row r="396" spans="1:19" x14ac:dyDescent="0.25">
      <c r="A396" s="2">
        <v>43130</v>
      </c>
      <c r="B396" s="1">
        <f t="shared" si="33"/>
        <v>5</v>
      </c>
      <c r="C396">
        <f t="shared" si="30"/>
        <v>1</v>
      </c>
      <c r="D396" t="str">
        <f t="shared" si="31"/>
        <v>January</v>
      </c>
      <c r="E396">
        <f t="shared" si="32"/>
        <v>2018</v>
      </c>
      <c r="F396" t="str">
        <f>CONCATENATE(calendar[[#This Row],[Month]],"/",calendar[[#This Row],[Year]])</f>
        <v>1/2018</v>
      </c>
      <c r="G396">
        <f>WEEKDAY(calendar[[#This Row],[Date]],1)</f>
        <v>3</v>
      </c>
      <c r="H396" t="str">
        <f>TEXT(calendar[[#This Row],[WeekDay]],"dddd")</f>
        <v>Tuesday</v>
      </c>
      <c r="I396">
        <f>IF((INT(calendar[[#This Row],[Count]]/7)-calendar[[#This Row],[Count]]/7)&lt;0,I395,I395+1)</f>
        <v>57</v>
      </c>
      <c r="J396">
        <f t="shared" si="34"/>
        <v>394</v>
      </c>
      <c r="K396">
        <f>IF(calendar[[#This Row],[Month]]&lt;4,1,IF(calendar[[#This Row],[Month]]&lt;7,2,IF(calendar[[#This Row],[Month]]&lt;10,3,4)))</f>
        <v>1</v>
      </c>
      <c r="L396">
        <f>IFERROR(IF(VLOOKUP(calendar[[#This Row],[Date]],BH!A:A,1,)&lt;&gt;"",1,0),0)</f>
        <v>0</v>
      </c>
      <c r="M396">
        <f>IFERROR(IF(VLOOKUP(calendar[[#This Row],[Date]],BH!C:C,1,)&lt;&gt;"",1,0),0)</f>
        <v>0</v>
      </c>
      <c r="N396">
        <f>IFERROR(IF(VLOOKUP(calendar[[#This Row],[Date]],BH!E:E,1,)&lt;&gt;"",1,0),0)</f>
        <v>0</v>
      </c>
      <c r="O396">
        <f>IFERROR(IF(VLOOKUP(calendar[[#This Row],[Date]],BH!G:G,1,)&lt;&gt;"",1,0),0)</f>
        <v>0</v>
      </c>
      <c r="P396">
        <f>IF(OR(calendar[[#This Row],[UK_BH]]=1,calendar[[#This Row],[WeekDay]]=1, calendar[[#This Row],[WeekDay]]=7),P395,P395+1)</f>
        <v>282</v>
      </c>
      <c r="Q396">
        <f>IF(OR(calendar[[#This Row],[FR_BH]]=1,calendar[[#This Row],[WeekDay]]=1, calendar[[#This Row],[WeekDay]]=7),P395,P395+1)</f>
        <v>282</v>
      </c>
      <c r="R396">
        <f>IF(OR(calendar[[#This Row],[SP_BH]]=1,calendar[[#This Row],[WeekDay]]=1, calendar[[#This Row],[WeekDay]]=7),P395,P395+1)</f>
        <v>282</v>
      </c>
      <c r="S396">
        <f>IF(OR(calendar[[#This Row],[PT_BH]]=1,calendar[[#This Row],[WeekDay]]=1, calendar[[#This Row],[WeekDay]]=7),P395,P395+1)</f>
        <v>282</v>
      </c>
    </row>
    <row r="397" spans="1:19" x14ac:dyDescent="0.25">
      <c r="A397" s="2">
        <v>43131</v>
      </c>
      <c r="B397" s="1">
        <f t="shared" si="33"/>
        <v>5</v>
      </c>
      <c r="C397">
        <f t="shared" si="30"/>
        <v>1</v>
      </c>
      <c r="D397" t="str">
        <f t="shared" si="31"/>
        <v>January</v>
      </c>
      <c r="E397">
        <f t="shared" si="32"/>
        <v>2018</v>
      </c>
      <c r="F397" t="str">
        <f>CONCATENATE(calendar[[#This Row],[Month]],"/",calendar[[#This Row],[Year]])</f>
        <v>1/2018</v>
      </c>
      <c r="G397">
        <f>WEEKDAY(calendar[[#This Row],[Date]],1)</f>
        <v>4</v>
      </c>
      <c r="H397" t="str">
        <f>TEXT(calendar[[#This Row],[WeekDay]],"dddd")</f>
        <v>Wednesday</v>
      </c>
      <c r="I397">
        <f>IF((INT(calendar[[#This Row],[Count]]/7)-calendar[[#This Row],[Count]]/7)&lt;0,I396,I396+1)</f>
        <v>57</v>
      </c>
      <c r="J397">
        <f t="shared" si="34"/>
        <v>395</v>
      </c>
      <c r="K397">
        <f>IF(calendar[[#This Row],[Month]]&lt;4,1,IF(calendar[[#This Row],[Month]]&lt;7,2,IF(calendar[[#This Row],[Month]]&lt;10,3,4)))</f>
        <v>1</v>
      </c>
      <c r="L397">
        <f>IFERROR(IF(VLOOKUP(calendar[[#This Row],[Date]],BH!A:A,1,)&lt;&gt;"",1,0),0)</f>
        <v>0</v>
      </c>
      <c r="M397">
        <f>IFERROR(IF(VLOOKUP(calendar[[#This Row],[Date]],BH!C:C,1,)&lt;&gt;"",1,0),0)</f>
        <v>0</v>
      </c>
      <c r="N397">
        <f>IFERROR(IF(VLOOKUP(calendar[[#This Row],[Date]],BH!E:E,1,)&lt;&gt;"",1,0),0)</f>
        <v>0</v>
      </c>
      <c r="O397">
        <f>IFERROR(IF(VLOOKUP(calendar[[#This Row],[Date]],BH!G:G,1,)&lt;&gt;"",1,0),0)</f>
        <v>0</v>
      </c>
      <c r="P397">
        <f>IF(OR(calendar[[#This Row],[UK_BH]]=1,calendar[[#This Row],[WeekDay]]=1, calendar[[#This Row],[WeekDay]]=7),P396,P396+1)</f>
        <v>283</v>
      </c>
      <c r="Q397">
        <f>IF(OR(calendar[[#This Row],[FR_BH]]=1,calendar[[#This Row],[WeekDay]]=1, calendar[[#This Row],[WeekDay]]=7),P396,P396+1)</f>
        <v>283</v>
      </c>
      <c r="R397">
        <f>IF(OR(calendar[[#This Row],[SP_BH]]=1,calendar[[#This Row],[WeekDay]]=1, calendar[[#This Row],[WeekDay]]=7),P396,P396+1)</f>
        <v>283</v>
      </c>
      <c r="S397">
        <f>IF(OR(calendar[[#This Row],[PT_BH]]=1,calendar[[#This Row],[WeekDay]]=1, calendar[[#This Row],[WeekDay]]=7),P396,P396+1)</f>
        <v>283</v>
      </c>
    </row>
    <row r="398" spans="1:19" x14ac:dyDescent="0.25">
      <c r="A398" s="2">
        <v>43132</v>
      </c>
      <c r="B398" s="1">
        <f t="shared" si="33"/>
        <v>5</v>
      </c>
      <c r="C398">
        <f t="shared" si="30"/>
        <v>2</v>
      </c>
      <c r="D398" t="str">
        <f t="shared" si="31"/>
        <v>February</v>
      </c>
      <c r="E398">
        <f t="shared" si="32"/>
        <v>2018</v>
      </c>
      <c r="F398" t="str">
        <f>CONCATENATE(calendar[[#This Row],[Month]],"/",calendar[[#This Row],[Year]])</f>
        <v>2/2018</v>
      </c>
      <c r="G398">
        <f>WEEKDAY(calendar[[#This Row],[Date]],1)</f>
        <v>5</v>
      </c>
      <c r="H398" t="str">
        <f>TEXT(calendar[[#This Row],[WeekDay]],"dddd")</f>
        <v>Thursday</v>
      </c>
      <c r="I398">
        <f>IF((INT(calendar[[#This Row],[Count]]/7)-calendar[[#This Row],[Count]]/7)&lt;0,I397,I397+1)</f>
        <v>57</v>
      </c>
      <c r="J398">
        <f t="shared" si="34"/>
        <v>396</v>
      </c>
      <c r="K398">
        <f>IF(calendar[[#This Row],[Month]]&lt;4,1,IF(calendar[[#This Row],[Month]]&lt;7,2,IF(calendar[[#This Row],[Month]]&lt;10,3,4)))</f>
        <v>1</v>
      </c>
      <c r="L398">
        <f>IFERROR(IF(VLOOKUP(calendar[[#This Row],[Date]],BH!A:A,1,)&lt;&gt;"",1,0),0)</f>
        <v>0</v>
      </c>
      <c r="M398">
        <f>IFERROR(IF(VLOOKUP(calendar[[#This Row],[Date]],BH!C:C,1,)&lt;&gt;"",1,0),0)</f>
        <v>0</v>
      </c>
      <c r="N398">
        <f>IFERROR(IF(VLOOKUP(calendar[[#This Row],[Date]],BH!E:E,1,)&lt;&gt;"",1,0),0)</f>
        <v>0</v>
      </c>
      <c r="O398">
        <f>IFERROR(IF(VLOOKUP(calendar[[#This Row],[Date]],BH!G:G,1,)&lt;&gt;"",1,0),0)</f>
        <v>0</v>
      </c>
      <c r="P398">
        <f>IF(OR(calendar[[#This Row],[UK_BH]]=1,calendar[[#This Row],[WeekDay]]=1, calendar[[#This Row],[WeekDay]]=7),P397,P397+1)</f>
        <v>284</v>
      </c>
      <c r="Q398">
        <f>IF(OR(calendar[[#This Row],[FR_BH]]=1,calendar[[#This Row],[WeekDay]]=1, calendar[[#This Row],[WeekDay]]=7),P397,P397+1)</f>
        <v>284</v>
      </c>
      <c r="R398">
        <f>IF(OR(calendar[[#This Row],[SP_BH]]=1,calendar[[#This Row],[WeekDay]]=1, calendar[[#This Row],[WeekDay]]=7),P397,P397+1)</f>
        <v>284</v>
      </c>
      <c r="S398">
        <f>IF(OR(calendar[[#This Row],[PT_BH]]=1,calendar[[#This Row],[WeekDay]]=1, calendar[[#This Row],[WeekDay]]=7),P397,P397+1)</f>
        <v>284</v>
      </c>
    </row>
    <row r="399" spans="1:19" x14ac:dyDescent="0.25">
      <c r="A399" s="2">
        <v>43133</v>
      </c>
      <c r="B399" s="1">
        <f t="shared" si="33"/>
        <v>5</v>
      </c>
      <c r="C399">
        <f t="shared" si="30"/>
        <v>2</v>
      </c>
      <c r="D399" t="str">
        <f t="shared" si="31"/>
        <v>February</v>
      </c>
      <c r="E399">
        <f t="shared" si="32"/>
        <v>2018</v>
      </c>
      <c r="F399" t="str">
        <f>CONCATENATE(calendar[[#This Row],[Month]],"/",calendar[[#This Row],[Year]])</f>
        <v>2/2018</v>
      </c>
      <c r="G399">
        <f>WEEKDAY(calendar[[#This Row],[Date]],1)</f>
        <v>6</v>
      </c>
      <c r="H399" t="str">
        <f>TEXT(calendar[[#This Row],[WeekDay]],"dddd")</f>
        <v>Friday</v>
      </c>
      <c r="I399">
        <f>IF((INT(calendar[[#This Row],[Count]]/7)-calendar[[#This Row],[Count]]/7)&lt;0,I398,I398+1)</f>
        <v>57</v>
      </c>
      <c r="J399">
        <f t="shared" si="34"/>
        <v>397</v>
      </c>
      <c r="K399">
        <f>IF(calendar[[#This Row],[Month]]&lt;4,1,IF(calendar[[#This Row],[Month]]&lt;7,2,IF(calendar[[#This Row],[Month]]&lt;10,3,4)))</f>
        <v>1</v>
      </c>
      <c r="L399">
        <f>IFERROR(IF(VLOOKUP(calendar[[#This Row],[Date]],BH!A:A,1,)&lt;&gt;"",1,0),0)</f>
        <v>0</v>
      </c>
      <c r="M399">
        <f>IFERROR(IF(VLOOKUP(calendar[[#This Row],[Date]],BH!C:C,1,)&lt;&gt;"",1,0),0)</f>
        <v>0</v>
      </c>
      <c r="N399">
        <f>IFERROR(IF(VLOOKUP(calendar[[#This Row],[Date]],BH!E:E,1,)&lt;&gt;"",1,0),0)</f>
        <v>0</v>
      </c>
      <c r="O399">
        <f>IFERROR(IF(VLOOKUP(calendar[[#This Row],[Date]],BH!G:G,1,)&lt;&gt;"",1,0),0)</f>
        <v>0</v>
      </c>
      <c r="P399">
        <f>IF(OR(calendar[[#This Row],[UK_BH]]=1,calendar[[#This Row],[WeekDay]]=1, calendar[[#This Row],[WeekDay]]=7),P398,P398+1)</f>
        <v>285</v>
      </c>
      <c r="Q399">
        <f>IF(OR(calendar[[#This Row],[FR_BH]]=1,calendar[[#This Row],[WeekDay]]=1, calendar[[#This Row],[WeekDay]]=7),P398,P398+1)</f>
        <v>285</v>
      </c>
      <c r="R399">
        <f>IF(OR(calendar[[#This Row],[SP_BH]]=1,calendar[[#This Row],[WeekDay]]=1, calendar[[#This Row],[WeekDay]]=7),P398,P398+1)</f>
        <v>285</v>
      </c>
      <c r="S399">
        <f>IF(OR(calendar[[#This Row],[PT_BH]]=1,calendar[[#This Row],[WeekDay]]=1, calendar[[#This Row],[WeekDay]]=7),P398,P398+1)</f>
        <v>285</v>
      </c>
    </row>
    <row r="400" spans="1:19" x14ac:dyDescent="0.25">
      <c r="A400" s="2">
        <v>43134</v>
      </c>
      <c r="B400" s="1">
        <f t="shared" si="33"/>
        <v>5</v>
      </c>
      <c r="C400">
        <f t="shared" ref="C400:C463" si="35">MONTH(A400)</f>
        <v>2</v>
      </c>
      <c r="D400" t="str">
        <f t="shared" ref="D400:D463" si="36">TEXT(A400,"mmmm")</f>
        <v>February</v>
      </c>
      <c r="E400">
        <f t="shared" ref="E400:E463" si="37">YEAR(A400)</f>
        <v>2018</v>
      </c>
      <c r="F400" t="str">
        <f>CONCATENATE(calendar[[#This Row],[Month]],"/",calendar[[#This Row],[Year]])</f>
        <v>2/2018</v>
      </c>
      <c r="G400">
        <f>WEEKDAY(calendar[[#This Row],[Date]],1)</f>
        <v>7</v>
      </c>
      <c r="H400" t="str">
        <f>TEXT(calendar[[#This Row],[WeekDay]],"dddd")</f>
        <v>Saturday</v>
      </c>
      <c r="I400">
        <f>IF((INT(calendar[[#This Row],[Count]]/7)-calendar[[#This Row],[Count]]/7)&lt;0,I399,I399+1)</f>
        <v>57</v>
      </c>
      <c r="J400">
        <f t="shared" si="34"/>
        <v>398</v>
      </c>
      <c r="K400">
        <f>IF(calendar[[#This Row],[Month]]&lt;4,1,IF(calendar[[#This Row],[Month]]&lt;7,2,IF(calendar[[#This Row],[Month]]&lt;10,3,4)))</f>
        <v>1</v>
      </c>
      <c r="L400">
        <f>IFERROR(IF(VLOOKUP(calendar[[#This Row],[Date]],BH!A:A,1,)&lt;&gt;"",1,0),0)</f>
        <v>0</v>
      </c>
      <c r="M400">
        <f>IFERROR(IF(VLOOKUP(calendar[[#This Row],[Date]],BH!C:C,1,)&lt;&gt;"",1,0),0)</f>
        <v>0</v>
      </c>
      <c r="N400">
        <f>IFERROR(IF(VLOOKUP(calendar[[#This Row],[Date]],BH!E:E,1,)&lt;&gt;"",1,0),0)</f>
        <v>0</v>
      </c>
      <c r="O400">
        <f>IFERROR(IF(VLOOKUP(calendar[[#This Row],[Date]],BH!G:G,1,)&lt;&gt;"",1,0),0)</f>
        <v>0</v>
      </c>
      <c r="P400">
        <f>IF(OR(calendar[[#This Row],[UK_BH]]=1,calendar[[#This Row],[WeekDay]]=1, calendar[[#This Row],[WeekDay]]=7),P399,P399+1)</f>
        <v>285</v>
      </c>
      <c r="Q400">
        <f>IF(OR(calendar[[#This Row],[FR_BH]]=1,calendar[[#This Row],[WeekDay]]=1, calendar[[#This Row],[WeekDay]]=7),P399,P399+1)</f>
        <v>285</v>
      </c>
      <c r="R400">
        <f>IF(OR(calendar[[#This Row],[SP_BH]]=1,calendar[[#This Row],[WeekDay]]=1, calendar[[#This Row],[WeekDay]]=7),P399,P399+1)</f>
        <v>285</v>
      </c>
      <c r="S400">
        <f>IF(OR(calendar[[#This Row],[PT_BH]]=1,calendar[[#This Row],[WeekDay]]=1, calendar[[#This Row],[WeekDay]]=7),P399,P399+1)</f>
        <v>285</v>
      </c>
    </row>
    <row r="401" spans="1:19" x14ac:dyDescent="0.25">
      <c r="A401" s="2">
        <v>43135</v>
      </c>
      <c r="B401" s="1">
        <f t="shared" si="33"/>
        <v>6</v>
      </c>
      <c r="C401">
        <f t="shared" si="35"/>
        <v>2</v>
      </c>
      <c r="D401" t="str">
        <f t="shared" si="36"/>
        <v>February</v>
      </c>
      <c r="E401">
        <f t="shared" si="37"/>
        <v>2018</v>
      </c>
      <c r="F401" t="str">
        <f>CONCATENATE(calendar[[#This Row],[Month]],"/",calendar[[#This Row],[Year]])</f>
        <v>2/2018</v>
      </c>
      <c r="G401">
        <f>WEEKDAY(calendar[[#This Row],[Date]],1)</f>
        <v>1</v>
      </c>
      <c r="H401" t="str">
        <f>TEXT(calendar[[#This Row],[WeekDay]],"dddd")</f>
        <v>Sunday</v>
      </c>
      <c r="I401">
        <f>IF((INT(calendar[[#This Row],[Count]]/7)-calendar[[#This Row],[Count]]/7)&lt;0,I400,I400+1)</f>
        <v>58</v>
      </c>
      <c r="J401">
        <f t="shared" si="34"/>
        <v>399</v>
      </c>
      <c r="K401">
        <f>IF(calendar[[#This Row],[Month]]&lt;4,1,IF(calendar[[#This Row],[Month]]&lt;7,2,IF(calendar[[#This Row],[Month]]&lt;10,3,4)))</f>
        <v>1</v>
      </c>
      <c r="L401">
        <f>IFERROR(IF(VLOOKUP(calendar[[#This Row],[Date]],BH!A:A,1,)&lt;&gt;"",1,0),0)</f>
        <v>0</v>
      </c>
      <c r="M401">
        <f>IFERROR(IF(VLOOKUP(calendar[[#This Row],[Date]],BH!C:C,1,)&lt;&gt;"",1,0),0)</f>
        <v>0</v>
      </c>
      <c r="N401">
        <f>IFERROR(IF(VLOOKUP(calendar[[#This Row],[Date]],BH!E:E,1,)&lt;&gt;"",1,0),0)</f>
        <v>0</v>
      </c>
      <c r="O401">
        <f>IFERROR(IF(VLOOKUP(calendar[[#This Row],[Date]],BH!G:G,1,)&lt;&gt;"",1,0),0)</f>
        <v>0</v>
      </c>
      <c r="P401">
        <f>IF(OR(calendar[[#This Row],[UK_BH]]=1,calendar[[#This Row],[WeekDay]]=1, calendar[[#This Row],[WeekDay]]=7),P400,P400+1)</f>
        <v>285</v>
      </c>
      <c r="Q401">
        <f>IF(OR(calendar[[#This Row],[FR_BH]]=1,calendar[[#This Row],[WeekDay]]=1, calendar[[#This Row],[WeekDay]]=7),P400,P400+1)</f>
        <v>285</v>
      </c>
      <c r="R401">
        <f>IF(OR(calendar[[#This Row],[SP_BH]]=1,calendar[[#This Row],[WeekDay]]=1, calendar[[#This Row],[WeekDay]]=7),P400,P400+1)</f>
        <v>285</v>
      </c>
      <c r="S401">
        <f>IF(OR(calendar[[#This Row],[PT_BH]]=1,calendar[[#This Row],[WeekDay]]=1, calendar[[#This Row],[WeekDay]]=7),P400,P400+1)</f>
        <v>285</v>
      </c>
    </row>
    <row r="402" spans="1:19" x14ac:dyDescent="0.25">
      <c r="A402" s="2">
        <v>43136</v>
      </c>
      <c r="B402" s="1">
        <f t="shared" si="33"/>
        <v>6</v>
      </c>
      <c r="C402">
        <f t="shared" si="35"/>
        <v>2</v>
      </c>
      <c r="D402" t="str">
        <f t="shared" si="36"/>
        <v>February</v>
      </c>
      <c r="E402">
        <f t="shared" si="37"/>
        <v>2018</v>
      </c>
      <c r="F402" t="str">
        <f>CONCATENATE(calendar[[#This Row],[Month]],"/",calendar[[#This Row],[Year]])</f>
        <v>2/2018</v>
      </c>
      <c r="G402">
        <f>WEEKDAY(calendar[[#This Row],[Date]],1)</f>
        <v>2</v>
      </c>
      <c r="H402" t="str">
        <f>TEXT(calendar[[#This Row],[WeekDay]],"dddd")</f>
        <v>Monday</v>
      </c>
      <c r="I402">
        <f>IF((INT(calendar[[#This Row],[Count]]/7)-calendar[[#This Row],[Count]]/7)&lt;0,I401,I401+1)</f>
        <v>58</v>
      </c>
      <c r="J402">
        <f t="shared" si="34"/>
        <v>400</v>
      </c>
      <c r="K402">
        <f>IF(calendar[[#This Row],[Month]]&lt;4,1,IF(calendar[[#This Row],[Month]]&lt;7,2,IF(calendar[[#This Row],[Month]]&lt;10,3,4)))</f>
        <v>1</v>
      </c>
      <c r="L402">
        <f>IFERROR(IF(VLOOKUP(calendar[[#This Row],[Date]],BH!A:A,1,)&lt;&gt;"",1,0),0)</f>
        <v>0</v>
      </c>
      <c r="M402">
        <f>IFERROR(IF(VLOOKUP(calendar[[#This Row],[Date]],BH!C:C,1,)&lt;&gt;"",1,0),0)</f>
        <v>0</v>
      </c>
      <c r="N402">
        <f>IFERROR(IF(VLOOKUP(calendar[[#This Row],[Date]],BH!E:E,1,)&lt;&gt;"",1,0),0)</f>
        <v>0</v>
      </c>
      <c r="O402">
        <f>IFERROR(IF(VLOOKUP(calendar[[#This Row],[Date]],BH!G:G,1,)&lt;&gt;"",1,0),0)</f>
        <v>0</v>
      </c>
      <c r="P402">
        <f>IF(OR(calendar[[#This Row],[UK_BH]]=1,calendar[[#This Row],[WeekDay]]=1, calendar[[#This Row],[WeekDay]]=7),P401,P401+1)</f>
        <v>286</v>
      </c>
      <c r="Q402">
        <f>IF(OR(calendar[[#This Row],[FR_BH]]=1,calendar[[#This Row],[WeekDay]]=1, calendar[[#This Row],[WeekDay]]=7),P401,P401+1)</f>
        <v>286</v>
      </c>
      <c r="R402">
        <f>IF(OR(calendar[[#This Row],[SP_BH]]=1,calendar[[#This Row],[WeekDay]]=1, calendar[[#This Row],[WeekDay]]=7),P401,P401+1)</f>
        <v>286</v>
      </c>
      <c r="S402">
        <f>IF(OR(calendar[[#This Row],[PT_BH]]=1,calendar[[#This Row],[WeekDay]]=1, calendar[[#This Row],[WeekDay]]=7),P401,P401+1)</f>
        <v>286</v>
      </c>
    </row>
    <row r="403" spans="1:19" x14ac:dyDescent="0.25">
      <c r="A403" s="2">
        <v>43137</v>
      </c>
      <c r="B403" s="1">
        <f t="shared" si="33"/>
        <v>6</v>
      </c>
      <c r="C403">
        <f t="shared" si="35"/>
        <v>2</v>
      </c>
      <c r="D403" t="str">
        <f t="shared" si="36"/>
        <v>February</v>
      </c>
      <c r="E403">
        <f t="shared" si="37"/>
        <v>2018</v>
      </c>
      <c r="F403" t="str">
        <f>CONCATENATE(calendar[[#This Row],[Month]],"/",calendar[[#This Row],[Year]])</f>
        <v>2/2018</v>
      </c>
      <c r="G403">
        <f>WEEKDAY(calendar[[#This Row],[Date]],1)</f>
        <v>3</v>
      </c>
      <c r="H403" t="str">
        <f>TEXT(calendar[[#This Row],[WeekDay]],"dddd")</f>
        <v>Tuesday</v>
      </c>
      <c r="I403">
        <f>IF((INT(calendar[[#This Row],[Count]]/7)-calendar[[#This Row],[Count]]/7)&lt;0,I402,I402+1)</f>
        <v>58</v>
      </c>
      <c r="J403">
        <f t="shared" si="34"/>
        <v>401</v>
      </c>
      <c r="K403">
        <f>IF(calendar[[#This Row],[Month]]&lt;4,1,IF(calendar[[#This Row],[Month]]&lt;7,2,IF(calendar[[#This Row],[Month]]&lt;10,3,4)))</f>
        <v>1</v>
      </c>
      <c r="L403">
        <f>IFERROR(IF(VLOOKUP(calendar[[#This Row],[Date]],BH!A:A,1,)&lt;&gt;"",1,0),0)</f>
        <v>0</v>
      </c>
      <c r="M403">
        <f>IFERROR(IF(VLOOKUP(calendar[[#This Row],[Date]],BH!C:C,1,)&lt;&gt;"",1,0),0)</f>
        <v>0</v>
      </c>
      <c r="N403">
        <f>IFERROR(IF(VLOOKUP(calendar[[#This Row],[Date]],BH!E:E,1,)&lt;&gt;"",1,0),0)</f>
        <v>0</v>
      </c>
      <c r="O403">
        <f>IFERROR(IF(VLOOKUP(calendar[[#This Row],[Date]],BH!G:G,1,)&lt;&gt;"",1,0),0)</f>
        <v>0</v>
      </c>
      <c r="P403">
        <f>IF(OR(calendar[[#This Row],[UK_BH]]=1,calendar[[#This Row],[WeekDay]]=1, calendar[[#This Row],[WeekDay]]=7),P402,P402+1)</f>
        <v>287</v>
      </c>
      <c r="Q403">
        <f>IF(OR(calendar[[#This Row],[FR_BH]]=1,calendar[[#This Row],[WeekDay]]=1, calendar[[#This Row],[WeekDay]]=7),P402,P402+1)</f>
        <v>287</v>
      </c>
      <c r="R403">
        <f>IF(OR(calendar[[#This Row],[SP_BH]]=1,calendar[[#This Row],[WeekDay]]=1, calendar[[#This Row],[WeekDay]]=7),P402,P402+1)</f>
        <v>287</v>
      </c>
      <c r="S403">
        <f>IF(OR(calendar[[#This Row],[PT_BH]]=1,calendar[[#This Row],[WeekDay]]=1, calendar[[#This Row],[WeekDay]]=7),P402,P402+1)</f>
        <v>287</v>
      </c>
    </row>
    <row r="404" spans="1:19" x14ac:dyDescent="0.25">
      <c r="A404" s="2">
        <v>43138</v>
      </c>
      <c r="B404" s="1">
        <f t="shared" si="33"/>
        <v>6</v>
      </c>
      <c r="C404">
        <f t="shared" si="35"/>
        <v>2</v>
      </c>
      <c r="D404" t="str">
        <f t="shared" si="36"/>
        <v>February</v>
      </c>
      <c r="E404">
        <f t="shared" si="37"/>
        <v>2018</v>
      </c>
      <c r="F404" t="str">
        <f>CONCATENATE(calendar[[#This Row],[Month]],"/",calendar[[#This Row],[Year]])</f>
        <v>2/2018</v>
      </c>
      <c r="G404">
        <f>WEEKDAY(calendar[[#This Row],[Date]],1)</f>
        <v>4</v>
      </c>
      <c r="H404" t="str">
        <f>TEXT(calendar[[#This Row],[WeekDay]],"dddd")</f>
        <v>Wednesday</v>
      </c>
      <c r="I404">
        <f>IF((INT(calendar[[#This Row],[Count]]/7)-calendar[[#This Row],[Count]]/7)&lt;0,I403,I403+1)</f>
        <v>58</v>
      </c>
      <c r="J404">
        <f t="shared" si="34"/>
        <v>402</v>
      </c>
      <c r="K404">
        <f>IF(calendar[[#This Row],[Month]]&lt;4,1,IF(calendar[[#This Row],[Month]]&lt;7,2,IF(calendar[[#This Row],[Month]]&lt;10,3,4)))</f>
        <v>1</v>
      </c>
      <c r="L404">
        <f>IFERROR(IF(VLOOKUP(calendar[[#This Row],[Date]],BH!A:A,1,)&lt;&gt;"",1,0),0)</f>
        <v>0</v>
      </c>
      <c r="M404">
        <f>IFERROR(IF(VLOOKUP(calendar[[#This Row],[Date]],BH!C:C,1,)&lt;&gt;"",1,0),0)</f>
        <v>0</v>
      </c>
      <c r="N404">
        <f>IFERROR(IF(VLOOKUP(calendar[[#This Row],[Date]],BH!E:E,1,)&lt;&gt;"",1,0),0)</f>
        <v>0</v>
      </c>
      <c r="O404">
        <f>IFERROR(IF(VLOOKUP(calendar[[#This Row],[Date]],BH!G:G,1,)&lt;&gt;"",1,0),0)</f>
        <v>0</v>
      </c>
      <c r="P404">
        <f>IF(OR(calendar[[#This Row],[UK_BH]]=1,calendar[[#This Row],[WeekDay]]=1, calendar[[#This Row],[WeekDay]]=7),P403,P403+1)</f>
        <v>288</v>
      </c>
      <c r="Q404">
        <f>IF(OR(calendar[[#This Row],[FR_BH]]=1,calendar[[#This Row],[WeekDay]]=1, calendar[[#This Row],[WeekDay]]=7),P403,P403+1)</f>
        <v>288</v>
      </c>
      <c r="R404">
        <f>IF(OR(calendar[[#This Row],[SP_BH]]=1,calendar[[#This Row],[WeekDay]]=1, calendar[[#This Row],[WeekDay]]=7),P403,P403+1)</f>
        <v>288</v>
      </c>
      <c r="S404">
        <f>IF(OR(calendar[[#This Row],[PT_BH]]=1,calendar[[#This Row],[WeekDay]]=1, calendar[[#This Row],[WeekDay]]=7),P403,P403+1)</f>
        <v>288</v>
      </c>
    </row>
    <row r="405" spans="1:19" x14ac:dyDescent="0.25">
      <c r="A405" s="2">
        <v>43139</v>
      </c>
      <c r="B405" s="1">
        <f t="shared" si="33"/>
        <v>6</v>
      </c>
      <c r="C405">
        <f t="shared" si="35"/>
        <v>2</v>
      </c>
      <c r="D405" t="str">
        <f t="shared" si="36"/>
        <v>February</v>
      </c>
      <c r="E405">
        <f t="shared" si="37"/>
        <v>2018</v>
      </c>
      <c r="F405" t="str">
        <f>CONCATENATE(calendar[[#This Row],[Month]],"/",calendar[[#This Row],[Year]])</f>
        <v>2/2018</v>
      </c>
      <c r="G405">
        <f>WEEKDAY(calendar[[#This Row],[Date]],1)</f>
        <v>5</v>
      </c>
      <c r="H405" t="str">
        <f>TEXT(calendar[[#This Row],[WeekDay]],"dddd")</f>
        <v>Thursday</v>
      </c>
      <c r="I405">
        <f>IF((INT(calendar[[#This Row],[Count]]/7)-calendar[[#This Row],[Count]]/7)&lt;0,I404,I404+1)</f>
        <v>58</v>
      </c>
      <c r="J405">
        <f t="shared" si="34"/>
        <v>403</v>
      </c>
      <c r="K405">
        <f>IF(calendar[[#This Row],[Month]]&lt;4,1,IF(calendar[[#This Row],[Month]]&lt;7,2,IF(calendar[[#This Row],[Month]]&lt;10,3,4)))</f>
        <v>1</v>
      </c>
      <c r="L405">
        <f>IFERROR(IF(VLOOKUP(calendar[[#This Row],[Date]],BH!A:A,1,)&lt;&gt;"",1,0),0)</f>
        <v>0</v>
      </c>
      <c r="M405">
        <f>IFERROR(IF(VLOOKUP(calendar[[#This Row],[Date]],BH!C:C,1,)&lt;&gt;"",1,0),0)</f>
        <v>0</v>
      </c>
      <c r="N405">
        <f>IFERROR(IF(VLOOKUP(calendar[[#This Row],[Date]],BH!E:E,1,)&lt;&gt;"",1,0),0)</f>
        <v>0</v>
      </c>
      <c r="O405">
        <f>IFERROR(IF(VLOOKUP(calendar[[#This Row],[Date]],BH!G:G,1,)&lt;&gt;"",1,0),0)</f>
        <v>0</v>
      </c>
      <c r="P405">
        <f>IF(OR(calendar[[#This Row],[UK_BH]]=1,calendar[[#This Row],[WeekDay]]=1, calendar[[#This Row],[WeekDay]]=7),P404,P404+1)</f>
        <v>289</v>
      </c>
      <c r="Q405">
        <f>IF(OR(calendar[[#This Row],[FR_BH]]=1,calendar[[#This Row],[WeekDay]]=1, calendar[[#This Row],[WeekDay]]=7),P404,P404+1)</f>
        <v>289</v>
      </c>
      <c r="R405">
        <f>IF(OR(calendar[[#This Row],[SP_BH]]=1,calendar[[#This Row],[WeekDay]]=1, calendar[[#This Row],[WeekDay]]=7),P404,P404+1)</f>
        <v>289</v>
      </c>
      <c r="S405">
        <f>IF(OR(calendar[[#This Row],[PT_BH]]=1,calendar[[#This Row],[WeekDay]]=1, calendar[[#This Row],[WeekDay]]=7),P404,P404+1)</f>
        <v>289</v>
      </c>
    </row>
    <row r="406" spans="1:19" x14ac:dyDescent="0.25">
      <c r="A406" s="2">
        <v>43140</v>
      </c>
      <c r="B406" s="1">
        <f t="shared" si="33"/>
        <v>6</v>
      </c>
      <c r="C406">
        <f t="shared" si="35"/>
        <v>2</v>
      </c>
      <c r="D406" t="str">
        <f t="shared" si="36"/>
        <v>February</v>
      </c>
      <c r="E406">
        <f t="shared" si="37"/>
        <v>2018</v>
      </c>
      <c r="F406" t="str">
        <f>CONCATENATE(calendar[[#This Row],[Month]],"/",calendar[[#This Row],[Year]])</f>
        <v>2/2018</v>
      </c>
      <c r="G406">
        <f>WEEKDAY(calendar[[#This Row],[Date]],1)</f>
        <v>6</v>
      </c>
      <c r="H406" t="str">
        <f>TEXT(calendar[[#This Row],[WeekDay]],"dddd")</f>
        <v>Friday</v>
      </c>
      <c r="I406">
        <f>IF((INT(calendar[[#This Row],[Count]]/7)-calendar[[#This Row],[Count]]/7)&lt;0,I405,I405+1)</f>
        <v>58</v>
      </c>
      <c r="J406">
        <f t="shared" si="34"/>
        <v>404</v>
      </c>
      <c r="K406">
        <f>IF(calendar[[#This Row],[Month]]&lt;4,1,IF(calendar[[#This Row],[Month]]&lt;7,2,IF(calendar[[#This Row],[Month]]&lt;10,3,4)))</f>
        <v>1</v>
      </c>
      <c r="L406">
        <f>IFERROR(IF(VLOOKUP(calendar[[#This Row],[Date]],BH!A:A,1,)&lt;&gt;"",1,0),0)</f>
        <v>0</v>
      </c>
      <c r="M406">
        <f>IFERROR(IF(VLOOKUP(calendar[[#This Row],[Date]],BH!C:C,1,)&lt;&gt;"",1,0),0)</f>
        <v>0</v>
      </c>
      <c r="N406">
        <f>IFERROR(IF(VLOOKUP(calendar[[#This Row],[Date]],BH!E:E,1,)&lt;&gt;"",1,0),0)</f>
        <v>0</v>
      </c>
      <c r="O406">
        <f>IFERROR(IF(VLOOKUP(calendar[[#This Row],[Date]],BH!G:G,1,)&lt;&gt;"",1,0),0)</f>
        <v>0</v>
      </c>
      <c r="P406">
        <f>IF(OR(calendar[[#This Row],[UK_BH]]=1,calendar[[#This Row],[WeekDay]]=1, calendar[[#This Row],[WeekDay]]=7),P405,P405+1)</f>
        <v>290</v>
      </c>
      <c r="Q406">
        <f>IF(OR(calendar[[#This Row],[FR_BH]]=1,calendar[[#This Row],[WeekDay]]=1, calendar[[#This Row],[WeekDay]]=7),P405,P405+1)</f>
        <v>290</v>
      </c>
      <c r="R406">
        <f>IF(OR(calendar[[#This Row],[SP_BH]]=1,calendar[[#This Row],[WeekDay]]=1, calendar[[#This Row],[WeekDay]]=7),P405,P405+1)</f>
        <v>290</v>
      </c>
      <c r="S406">
        <f>IF(OR(calendar[[#This Row],[PT_BH]]=1,calendar[[#This Row],[WeekDay]]=1, calendar[[#This Row],[WeekDay]]=7),P405,P405+1)</f>
        <v>290</v>
      </c>
    </row>
    <row r="407" spans="1:19" x14ac:dyDescent="0.25">
      <c r="A407" s="2">
        <v>43141</v>
      </c>
      <c r="B407" s="1">
        <f t="shared" si="33"/>
        <v>6</v>
      </c>
      <c r="C407">
        <f t="shared" si="35"/>
        <v>2</v>
      </c>
      <c r="D407" t="str">
        <f t="shared" si="36"/>
        <v>February</v>
      </c>
      <c r="E407">
        <f t="shared" si="37"/>
        <v>2018</v>
      </c>
      <c r="F407" t="str">
        <f>CONCATENATE(calendar[[#This Row],[Month]],"/",calendar[[#This Row],[Year]])</f>
        <v>2/2018</v>
      </c>
      <c r="G407">
        <f>WEEKDAY(calendar[[#This Row],[Date]],1)</f>
        <v>7</v>
      </c>
      <c r="H407" t="str">
        <f>TEXT(calendar[[#This Row],[WeekDay]],"dddd")</f>
        <v>Saturday</v>
      </c>
      <c r="I407">
        <f>IF((INT(calendar[[#This Row],[Count]]/7)-calendar[[#This Row],[Count]]/7)&lt;0,I406,I406+1)</f>
        <v>58</v>
      </c>
      <c r="J407">
        <f t="shared" si="34"/>
        <v>405</v>
      </c>
      <c r="K407">
        <f>IF(calendar[[#This Row],[Month]]&lt;4,1,IF(calendar[[#This Row],[Month]]&lt;7,2,IF(calendar[[#This Row],[Month]]&lt;10,3,4)))</f>
        <v>1</v>
      </c>
      <c r="L407">
        <f>IFERROR(IF(VLOOKUP(calendar[[#This Row],[Date]],BH!A:A,1,)&lt;&gt;"",1,0),0)</f>
        <v>0</v>
      </c>
      <c r="M407">
        <f>IFERROR(IF(VLOOKUP(calendar[[#This Row],[Date]],BH!C:C,1,)&lt;&gt;"",1,0),0)</f>
        <v>0</v>
      </c>
      <c r="N407">
        <f>IFERROR(IF(VLOOKUP(calendar[[#This Row],[Date]],BH!E:E,1,)&lt;&gt;"",1,0),0)</f>
        <v>0</v>
      </c>
      <c r="O407">
        <f>IFERROR(IF(VLOOKUP(calendar[[#This Row],[Date]],BH!G:G,1,)&lt;&gt;"",1,0),0)</f>
        <v>0</v>
      </c>
      <c r="P407">
        <f>IF(OR(calendar[[#This Row],[UK_BH]]=1,calendar[[#This Row],[WeekDay]]=1, calendar[[#This Row],[WeekDay]]=7),P406,P406+1)</f>
        <v>290</v>
      </c>
      <c r="Q407">
        <f>IF(OR(calendar[[#This Row],[FR_BH]]=1,calendar[[#This Row],[WeekDay]]=1, calendar[[#This Row],[WeekDay]]=7),P406,P406+1)</f>
        <v>290</v>
      </c>
      <c r="R407">
        <f>IF(OR(calendar[[#This Row],[SP_BH]]=1,calendar[[#This Row],[WeekDay]]=1, calendar[[#This Row],[WeekDay]]=7),P406,P406+1)</f>
        <v>290</v>
      </c>
      <c r="S407">
        <f>IF(OR(calendar[[#This Row],[PT_BH]]=1,calendar[[#This Row],[WeekDay]]=1, calendar[[#This Row],[WeekDay]]=7),P406,P406+1)</f>
        <v>290</v>
      </c>
    </row>
    <row r="408" spans="1:19" x14ac:dyDescent="0.25">
      <c r="A408" s="2">
        <v>43142</v>
      </c>
      <c r="B408" s="1">
        <f t="shared" si="33"/>
        <v>7</v>
      </c>
      <c r="C408">
        <f t="shared" si="35"/>
        <v>2</v>
      </c>
      <c r="D408" t="str">
        <f t="shared" si="36"/>
        <v>February</v>
      </c>
      <c r="E408">
        <f t="shared" si="37"/>
        <v>2018</v>
      </c>
      <c r="F408" t="str">
        <f>CONCATENATE(calendar[[#This Row],[Month]],"/",calendar[[#This Row],[Year]])</f>
        <v>2/2018</v>
      </c>
      <c r="G408">
        <f>WEEKDAY(calendar[[#This Row],[Date]],1)</f>
        <v>1</v>
      </c>
      <c r="H408" t="str">
        <f>TEXT(calendar[[#This Row],[WeekDay]],"dddd")</f>
        <v>Sunday</v>
      </c>
      <c r="I408">
        <f>IF((INT(calendar[[#This Row],[Count]]/7)-calendar[[#This Row],[Count]]/7)&lt;0,I407,I407+1)</f>
        <v>59</v>
      </c>
      <c r="J408">
        <f t="shared" si="34"/>
        <v>406</v>
      </c>
      <c r="K408">
        <f>IF(calendar[[#This Row],[Month]]&lt;4,1,IF(calendar[[#This Row],[Month]]&lt;7,2,IF(calendar[[#This Row],[Month]]&lt;10,3,4)))</f>
        <v>1</v>
      </c>
      <c r="L408">
        <f>IFERROR(IF(VLOOKUP(calendar[[#This Row],[Date]],BH!A:A,1,)&lt;&gt;"",1,0),0)</f>
        <v>0</v>
      </c>
      <c r="M408">
        <f>IFERROR(IF(VLOOKUP(calendar[[#This Row],[Date]],BH!C:C,1,)&lt;&gt;"",1,0),0)</f>
        <v>0</v>
      </c>
      <c r="N408">
        <f>IFERROR(IF(VLOOKUP(calendar[[#This Row],[Date]],BH!E:E,1,)&lt;&gt;"",1,0),0)</f>
        <v>0</v>
      </c>
      <c r="O408">
        <f>IFERROR(IF(VLOOKUP(calendar[[#This Row],[Date]],BH!G:G,1,)&lt;&gt;"",1,0),0)</f>
        <v>0</v>
      </c>
      <c r="P408">
        <f>IF(OR(calendar[[#This Row],[UK_BH]]=1,calendar[[#This Row],[WeekDay]]=1, calendar[[#This Row],[WeekDay]]=7),P407,P407+1)</f>
        <v>290</v>
      </c>
      <c r="Q408">
        <f>IF(OR(calendar[[#This Row],[FR_BH]]=1,calendar[[#This Row],[WeekDay]]=1, calendar[[#This Row],[WeekDay]]=7),P407,P407+1)</f>
        <v>290</v>
      </c>
      <c r="R408">
        <f>IF(OR(calendar[[#This Row],[SP_BH]]=1,calendar[[#This Row],[WeekDay]]=1, calendar[[#This Row],[WeekDay]]=7),P407,P407+1)</f>
        <v>290</v>
      </c>
      <c r="S408">
        <f>IF(OR(calendar[[#This Row],[PT_BH]]=1,calendar[[#This Row],[WeekDay]]=1, calendar[[#This Row],[WeekDay]]=7),P407,P407+1)</f>
        <v>290</v>
      </c>
    </row>
    <row r="409" spans="1:19" x14ac:dyDescent="0.25">
      <c r="A409" s="2">
        <v>43143</v>
      </c>
      <c r="B409" s="1">
        <f t="shared" si="33"/>
        <v>7</v>
      </c>
      <c r="C409">
        <f t="shared" si="35"/>
        <v>2</v>
      </c>
      <c r="D409" t="str">
        <f t="shared" si="36"/>
        <v>February</v>
      </c>
      <c r="E409">
        <f t="shared" si="37"/>
        <v>2018</v>
      </c>
      <c r="F409" t="str">
        <f>CONCATENATE(calendar[[#This Row],[Month]],"/",calendar[[#This Row],[Year]])</f>
        <v>2/2018</v>
      </c>
      <c r="G409">
        <f>WEEKDAY(calendar[[#This Row],[Date]],1)</f>
        <v>2</v>
      </c>
      <c r="H409" t="str">
        <f>TEXT(calendar[[#This Row],[WeekDay]],"dddd")</f>
        <v>Monday</v>
      </c>
      <c r="I409">
        <f>IF((INT(calendar[[#This Row],[Count]]/7)-calendar[[#This Row],[Count]]/7)&lt;0,I408,I408+1)</f>
        <v>59</v>
      </c>
      <c r="J409">
        <f t="shared" si="34"/>
        <v>407</v>
      </c>
      <c r="K409">
        <f>IF(calendar[[#This Row],[Month]]&lt;4,1,IF(calendar[[#This Row],[Month]]&lt;7,2,IF(calendar[[#This Row],[Month]]&lt;10,3,4)))</f>
        <v>1</v>
      </c>
      <c r="L409">
        <f>IFERROR(IF(VLOOKUP(calendar[[#This Row],[Date]],BH!A:A,1,)&lt;&gt;"",1,0),0)</f>
        <v>0</v>
      </c>
      <c r="M409">
        <f>IFERROR(IF(VLOOKUP(calendar[[#This Row],[Date]],BH!C:C,1,)&lt;&gt;"",1,0),0)</f>
        <v>0</v>
      </c>
      <c r="N409">
        <f>IFERROR(IF(VLOOKUP(calendar[[#This Row],[Date]],BH!E:E,1,)&lt;&gt;"",1,0),0)</f>
        <v>0</v>
      </c>
      <c r="O409">
        <f>IFERROR(IF(VLOOKUP(calendar[[#This Row],[Date]],BH!G:G,1,)&lt;&gt;"",1,0),0)</f>
        <v>0</v>
      </c>
      <c r="P409">
        <f>IF(OR(calendar[[#This Row],[UK_BH]]=1,calendar[[#This Row],[WeekDay]]=1, calendar[[#This Row],[WeekDay]]=7),P408,P408+1)</f>
        <v>291</v>
      </c>
      <c r="Q409">
        <f>IF(OR(calendar[[#This Row],[FR_BH]]=1,calendar[[#This Row],[WeekDay]]=1, calendar[[#This Row],[WeekDay]]=7),P408,P408+1)</f>
        <v>291</v>
      </c>
      <c r="R409">
        <f>IF(OR(calendar[[#This Row],[SP_BH]]=1,calendar[[#This Row],[WeekDay]]=1, calendar[[#This Row],[WeekDay]]=7),P408,P408+1)</f>
        <v>291</v>
      </c>
      <c r="S409">
        <f>IF(OR(calendar[[#This Row],[PT_BH]]=1,calendar[[#This Row],[WeekDay]]=1, calendar[[#This Row],[WeekDay]]=7),P408,P408+1)</f>
        <v>291</v>
      </c>
    </row>
    <row r="410" spans="1:19" x14ac:dyDescent="0.25">
      <c r="A410" s="2">
        <v>43144</v>
      </c>
      <c r="B410" s="1">
        <f t="shared" si="33"/>
        <v>7</v>
      </c>
      <c r="C410">
        <f t="shared" si="35"/>
        <v>2</v>
      </c>
      <c r="D410" t="str">
        <f t="shared" si="36"/>
        <v>February</v>
      </c>
      <c r="E410">
        <f t="shared" si="37"/>
        <v>2018</v>
      </c>
      <c r="F410" t="str">
        <f>CONCATENATE(calendar[[#This Row],[Month]],"/",calendar[[#This Row],[Year]])</f>
        <v>2/2018</v>
      </c>
      <c r="G410">
        <f>WEEKDAY(calendar[[#This Row],[Date]],1)</f>
        <v>3</v>
      </c>
      <c r="H410" t="str">
        <f>TEXT(calendar[[#This Row],[WeekDay]],"dddd")</f>
        <v>Tuesday</v>
      </c>
      <c r="I410">
        <f>IF((INT(calendar[[#This Row],[Count]]/7)-calendar[[#This Row],[Count]]/7)&lt;0,I409,I409+1)</f>
        <v>59</v>
      </c>
      <c r="J410">
        <f t="shared" si="34"/>
        <v>408</v>
      </c>
      <c r="K410">
        <f>IF(calendar[[#This Row],[Month]]&lt;4,1,IF(calendar[[#This Row],[Month]]&lt;7,2,IF(calendar[[#This Row],[Month]]&lt;10,3,4)))</f>
        <v>1</v>
      </c>
      <c r="L410">
        <f>IFERROR(IF(VLOOKUP(calendar[[#This Row],[Date]],BH!A:A,1,)&lt;&gt;"",1,0),0)</f>
        <v>0</v>
      </c>
      <c r="M410">
        <f>IFERROR(IF(VLOOKUP(calendar[[#This Row],[Date]],BH!C:C,1,)&lt;&gt;"",1,0),0)</f>
        <v>0</v>
      </c>
      <c r="N410">
        <f>IFERROR(IF(VLOOKUP(calendar[[#This Row],[Date]],BH!E:E,1,)&lt;&gt;"",1,0),0)</f>
        <v>0</v>
      </c>
      <c r="O410">
        <f>IFERROR(IF(VLOOKUP(calendar[[#This Row],[Date]],BH!G:G,1,)&lt;&gt;"",1,0),0)</f>
        <v>0</v>
      </c>
      <c r="P410">
        <f>IF(OR(calendar[[#This Row],[UK_BH]]=1,calendar[[#This Row],[WeekDay]]=1, calendar[[#This Row],[WeekDay]]=7),P409,P409+1)</f>
        <v>292</v>
      </c>
      <c r="Q410">
        <f>IF(OR(calendar[[#This Row],[FR_BH]]=1,calendar[[#This Row],[WeekDay]]=1, calendar[[#This Row],[WeekDay]]=7),P409,P409+1)</f>
        <v>292</v>
      </c>
      <c r="R410">
        <f>IF(OR(calendar[[#This Row],[SP_BH]]=1,calendar[[#This Row],[WeekDay]]=1, calendar[[#This Row],[WeekDay]]=7),P409,P409+1)</f>
        <v>292</v>
      </c>
      <c r="S410">
        <f>IF(OR(calendar[[#This Row],[PT_BH]]=1,calendar[[#This Row],[WeekDay]]=1, calendar[[#This Row],[WeekDay]]=7),P409,P409+1)</f>
        <v>292</v>
      </c>
    </row>
    <row r="411" spans="1:19" x14ac:dyDescent="0.25">
      <c r="A411" s="2">
        <v>43145</v>
      </c>
      <c r="B411" s="1">
        <f t="shared" si="33"/>
        <v>7</v>
      </c>
      <c r="C411">
        <f t="shared" si="35"/>
        <v>2</v>
      </c>
      <c r="D411" t="str">
        <f t="shared" si="36"/>
        <v>February</v>
      </c>
      <c r="E411">
        <f t="shared" si="37"/>
        <v>2018</v>
      </c>
      <c r="F411" t="str">
        <f>CONCATENATE(calendar[[#This Row],[Month]],"/",calendar[[#This Row],[Year]])</f>
        <v>2/2018</v>
      </c>
      <c r="G411">
        <f>WEEKDAY(calendar[[#This Row],[Date]],1)</f>
        <v>4</v>
      </c>
      <c r="H411" t="str">
        <f>TEXT(calendar[[#This Row],[WeekDay]],"dddd")</f>
        <v>Wednesday</v>
      </c>
      <c r="I411">
        <f>IF((INT(calendar[[#This Row],[Count]]/7)-calendar[[#This Row],[Count]]/7)&lt;0,I410,I410+1)</f>
        <v>59</v>
      </c>
      <c r="J411">
        <f t="shared" si="34"/>
        <v>409</v>
      </c>
      <c r="K411">
        <f>IF(calendar[[#This Row],[Month]]&lt;4,1,IF(calendar[[#This Row],[Month]]&lt;7,2,IF(calendar[[#This Row],[Month]]&lt;10,3,4)))</f>
        <v>1</v>
      </c>
      <c r="L411">
        <f>IFERROR(IF(VLOOKUP(calendar[[#This Row],[Date]],BH!A:A,1,)&lt;&gt;"",1,0),0)</f>
        <v>0</v>
      </c>
      <c r="M411">
        <f>IFERROR(IF(VLOOKUP(calendar[[#This Row],[Date]],BH!C:C,1,)&lt;&gt;"",1,0),0)</f>
        <v>0</v>
      </c>
      <c r="N411">
        <f>IFERROR(IF(VLOOKUP(calendar[[#This Row],[Date]],BH!E:E,1,)&lt;&gt;"",1,0),0)</f>
        <v>0</v>
      </c>
      <c r="O411">
        <f>IFERROR(IF(VLOOKUP(calendar[[#This Row],[Date]],BH!G:G,1,)&lt;&gt;"",1,0),0)</f>
        <v>0</v>
      </c>
      <c r="P411">
        <f>IF(OR(calendar[[#This Row],[UK_BH]]=1,calendar[[#This Row],[WeekDay]]=1, calendar[[#This Row],[WeekDay]]=7),P410,P410+1)</f>
        <v>293</v>
      </c>
      <c r="Q411">
        <f>IF(OR(calendar[[#This Row],[FR_BH]]=1,calendar[[#This Row],[WeekDay]]=1, calendar[[#This Row],[WeekDay]]=7),P410,P410+1)</f>
        <v>293</v>
      </c>
      <c r="R411">
        <f>IF(OR(calendar[[#This Row],[SP_BH]]=1,calendar[[#This Row],[WeekDay]]=1, calendar[[#This Row],[WeekDay]]=7),P410,P410+1)</f>
        <v>293</v>
      </c>
      <c r="S411">
        <f>IF(OR(calendar[[#This Row],[PT_BH]]=1,calendar[[#This Row],[WeekDay]]=1, calendar[[#This Row],[WeekDay]]=7),P410,P410+1)</f>
        <v>293</v>
      </c>
    </row>
    <row r="412" spans="1:19" x14ac:dyDescent="0.25">
      <c r="A412" s="2">
        <v>43146</v>
      </c>
      <c r="B412" s="1">
        <f t="shared" si="33"/>
        <v>7</v>
      </c>
      <c r="C412">
        <f t="shared" si="35"/>
        <v>2</v>
      </c>
      <c r="D412" t="str">
        <f t="shared" si="36"/>
        <v>February</v>
      </c>
      <c r="E412">
        <f t="shared" si="37"/>
        <v>2018</v>
      </c>
      <c r="F412" t="str">
        <f>CONCATENATE(calendar[[#This Row],[Month]],"/",calendar[[#This Row],[Year]])</f>
        <v>2/2018</v>
      </c>
      <c r="G412">
        <f>WEEKDAY(calendar[[#This Row],[Date]],1)</f>
        <v>5</v>
      </c>
      <c r="H412" t="str">
        <f>TEXT(calendar[[#This Row],[WeekDay]],"dddd")</f>
        <v>Thursday</v>
      </c>
      <c r="I412">
        <f>IF((INT(calendar[[#This Row],[Count]]/7)-calendar[[#This Row],[Count]]/7)&lt;0,I411,I411+1)</f>
        <v>59</v>
      </c>
      <c r="J412">
        <f t="shared" si="34"/>
        <v>410</v>
      </c>
      <c r="K412">
        <f>IF(calendar[[#This Row],[Month]]&lt;4,1,IF(calendar[[#This Row],[Month]]&lt;7,2,IF(calendar[[#This Row],[Month]]&lt;10,3,4)))</f>
        <v>1</v>
      </c>
      <c r="L412">
        <f>IFERROR(IF(VLOOKUP(calendar[[#This Row],[Date]],BH!A:A,1,)&lt;&gt;"",1,0),0)</f>
        <v>0</v>
      </c>
      <c r="M412">
        <f>IFERROR(IF(VLOOKUP(calendar[[#This Row],[Date]],BH!C:C,1,)&lt;&gt;"",1,0),0)</f>
        <v>0</v>
      </c>
      <c r="N412">
        <f>IFERROR(IF(VLOOKUP(calendar[[#This Row],[Date]],BH!E:E,1,)&lt;&gt;"",1,0),0)</f>
        <v>0</v>
      </c>
      <c r="O412">
        <f>IFERROR(IF(VLOOKUP(calendar[[#This Row],[Date]],BH!G:G,1,)&lt;&gt;"",1,0),0)</f>
        <v>0</v>
      </c>
      <c r="P412">
        <f>IF(OR(calendar[[#This Row],[UK_BH]]=1,calendar[[#This Row],[WeekDay]]=1, calendar[[#This Row],[WeekDay]]=7),P411,P411+1)</f>
        <v>294</v>
      </c>
      <c r="Q412">
        <f>IF(OR(calendar[[#This Row],[FR_BH]]=1,calendar[[#This Row],[WeekDay]]=1, calendar[[#This Row],[WeekDay]]=7),P411,P411+1)</f>
        <v>294</v>
      </c>
      <c r="R412">
        <f>IF(OR(calendar[[#This Row],[SP_BH]]=1,calendar[[#This Row],[WeekDay]]=1, calendar[[#This Row],[WeekDay]]=7),P411,P411+1)</f>
        <v>294</v>
      </c>
      <c r="S412">
        <f>IF(OR(calendar[[#This Row],[PT_BH]]=1,calendar[[#This Row],[WeekDay]]=1, calendar[[#This Row],[WeekDay]]=7),P411,P411+1)</f>
        <v>294</v>
      </c>
    </row>
    <row r="413" spans="1:19" x14ac:dyDescent="0.25">
      <c r="A413" s="2">
        <v>43147</v>
      </c>
      <c r="B413" s="1">
        <f t="shared" si="33"/>
        <v>7</v>
      </c>
      <c r="C413">
        <f t="shared" si="35"/>
        <v>2</v>
      </c>
      <c r="D413" t="str">
        <f t="shared" si="36"/>
        <v>February</v>
      </c>
      <c r="E413">
        <f t="shared" si="37"/>
        <v>2018</v>
      </c>
      <c r="F413" t="str">
        <f>CONCATENATE(calendar[[#This Row],[Month]],"/",calendar[[#This Row],[Year]])</f>
        <v>2/2018</v>
      </c>
      <c r="G413">
        <f>WEEKDAY(calendar[[#This Row],[Date]],1)</f>
        <v>6</v>
      </c>
      <c r="H413" t="str">
        <f>TEXT(calendar[[#This Row],[WeekDay]],"dddd")</f>
        <v>Friday</v>
      </c>
      <c r="I413">
        <f>IF((INT(calendar[[#This Row],[Count]]/7)-calendar[[#This Row],[Count]]/7)&lt;0,I412,I412+1)</f>
        <v>59</v>
      </c>
      <c r="J413">
        <f t="shared" si="34"/>
        <v>411</v>
      </c>
      <c r="K413">
        <f>IF(calendar[[#This Row],[Month]]&lt;4,1,IF(calendar[[#This Row],[Month]]&lt;7,2,IF(calendar[[#This Row],[Month]]&lt;10,3,4)))</f>
        <v>1</v>
      </c>
      <c r="L413">
        <f>IFERROR(IF(VLOOKUP(calendar[[#This Row],[Date]],BH!A:A,1,)&lt;&gt;"",1,0),0)</f>
        <v>0</v>
      </c>
      <c r="M413">
        <f>IFERROR(IF(VLOOKUP(calendar[[#This Row],[Date]],BH!C:C,1,)&lt;&gt;"",1,0),0)</f>
        <v>0</v>
      </c>
      <c r="N413">
        <f>IFERROR(IF(VLOOKUP(calendar[[#This Row],[Date]],BH!E:E,1,)&lt;&gt;"",1,0),0)</f>
        <v>0</v>
      </c>
      <c r="O413">
        <f>IFERROR(IF(VLOOKUP(calendar[[#This Row],[Date]],BH!G:G,1,)&lt;&gt;"",1,0),0)</f>
        <v>0</v>
      </c>
      <c r="P413">
        <f>IF(OR(calendar[[#This Row],[UK_BH]]=1,calendar[[#This Row],[WeekDay]]=1, calendar[[#This Row],[WeekDay]]=7),P412,P412+1)</f>
        <v>295</v>
      </c>
      <c r="Q413">
        <f>IF(OR(calendar[[#This Row],[FR_BH]]=1,calendar[[#This Row],[WeekDay]]=1, calendar[[#This Row],[WeekDay]]=7),P412,P412+1)</f>
        <v>295</v>
      </c>
      <c r="R413">
        <f>IF(OR(calendar[[#This Row],[SP_BH]]=1,calendar[[#This Row],[WeekDay]]=1, calendar[[#This Row],[WeekDay]]=7),P412,P412+1)</f>
        <v>295</v>
      </c>
      <c r="S413">
        <f>IF(OR(calendar[[#This Row],[PT_BH]]=1,calendar[[#This Row],[WeekDay]]=1, calendar[[#This Row],[WeekDay]]=7),P412,P412+1)</f>
        <v>295</v>
      </c>
    </row>
    <row r="414" spans="1:19" x14ac:dyDescent="0.25">
      <c r="A414" s="2">
        <v>43148</v>
      </c>
      <c r="B414" s="1">
        <f t="shared" si="33"/>
        <v>7</v>
      </c>
      <c r="C414">
        <f t="shared" si="35"/>
        <v>2</v>
      </c>
      <c r="D414" t="str">
        <f t="shared" si="36"/>
        <v>February</v>
      </c>
      <c r="E414">
        <f t="shared" si="37"/>
        <v>2018</v>
      </c>
      <c r="F414" t="str">
        <f>CONCATENATE(calendar[[#This Row],[Month]],"/",calendar[[#This Row],[Year]])</f>
        <v>2/2018</v>
      </c>
      <c r="G414">
        <f>WEEKDAY(calendar[[#This Row],[Date]],1)</f>
        <v>7</v>
      </c>
      <c r="H414" t="str">
        <f>TEXT(calendar[[#This Row],[WeekDay]],"dddd")</f>
        <v>Saturday</v>
      </c>
      <c r="I414">
        <f>IF((INT(calendar[[#This Row],[Count]]/7)-calendar[[#This Row],[Count]]/7)&lt;0,I413,I413+1)</f>
        <v>59</v>
      </c>
      <c r="J414">
        <f t="shared" si="34"/>
        <v>412</v>
      </c>
      <c r="K414">
        <f>IF(calendar[[#This Row],[Month]]&lt;4,1,IF(calendar[[#This Row],[Month]]&lt;7,2,IF(calendar[[#This Row],[Month]]&lt;10,3,4)))</f>
        <v>1</v>
      </c>
      <c r="L414">
        <f>IFERROR(IF(VLOOKUP(calendar[[#This Row],[Date]],BH!A:A,1,)&lt;&gt;"",1,0),0)</f>
        <v>0</v>
      </c>
      <c r="M414">
        <f>IFERROR(IF(VLOOKUP(calendar[[#This Row],[Date]],BH!C:C,1,)&lt;&gt;"",1,0),0)</f>
        <v>0</v>
      </c>
      <c r="N414">
        <f>IFERROR(IF(VLOOKUP(calendar[[#This Row],[Date]],BH!E:E,1,)&lt;&gt;"",1,0),0)</f>
        <v>0</v>
      </c>
      <c r="O414">
        <f>IFERROR(IF(VLOOKUP(calendar[[#This Row],[Date]],BH!G:G,1,)&lt;&gt;"",1,0),0)</f>
        <v>0</v>
      </c>
      <c r="P414">
        <f>IF(OR(calendar[[#This Row],[UK_BH]]=1,calendar[[#This Row],[WeekDay]]=1, calendar[[#This Row],[WeekDay]]=7),P413,P413+1)</f>
        <v>295</v>
      </c>
      <c r="Q414">
        <f>IF(OR(calendar[[#This Row],[FR_BH]]=1,calendar[[#This Row],[WeekDay]]=1, calendar[[#This Row],[WeekDay]]=7),P413,P413+1)</f>
        <v>295</v>
      </c>
      <c r="R414">
        <f>IF(OR(calendar[[#This Row],[SP_BH]]=1,calendar[[#This Row],[WeekDay]]=1, calendar[[#This Row],[WeekDay]]=7),P413,P413+1)</f>
        <v>295</v>
      </c>
      <c r="S414">
        <f>IF(OR(calendar[[#This Row],[PT_BH]]=1,calendar[[#This Row],[WeekDay]]=1, calendar[[#This Row],[WeekDay]]=7),P413,P413+1)</f>
        <v>295</v>
      </c>
    </row>
    <row r="415" spans="1:19" x14ac:dyDescent="0.25">
      <c r="A415" s="2">
        <v>43149</v>
      </c>
      <c r="B415" s="1">
        <f t="shared" si="33"/>
        <v>8</v>
      </c>
      <c r="C415">
        <f t="shared" si="35"/>
        <v>2</v>
      </c>
      <c r="D415" t="str">
        <f t="shared" si="36"/>
        <v>February</v>
      </c>
      <c r="E415">
        <f t="shared" si="37"/>
        <v>2018</v>
      </c>
      <c r="F415" t="str">
        <f>CONCATENATE(calendar[[#This Row],[Month]],"/",calendar[[#This Row],[Year]])</f>
        <v>2/2018</v>
      </c>
      <c r="G415">
        <f>WEEKDAY(calendar[[#This Row],[Date]],1)</f>
        <v>1</v>
      </c>
      <c r="H415" t="str">
        <f>TEXT(calendar[[#This Row],[WeekDay]],"dddd")</f>
        <v>Sunday</v>
      </c>
      <c r="I415">
        <f>IF((INT(calendar[[#This Row],[Count]]/7)-calendar[[#This Row],[Count]]/7)&lt;0,I414,I414+1)</f>
        <v>60</v>
      </c>
      <c r="J415">
        <f t="shared" si="34"/>
        <v>413</v>
      </c>
      <c r="K415">
        <f>IF(calendar[[#This Row],[Month]]&lt;4,1,IF(calendar[[#This Row],[Month]]&lt;7,2,IF(calendar[[#This Row],[Month]]&lt;10,3,4)))</f>
        <v>1</v>
      </c>
      <c r="L415">
        <f>IFERROR(IF(VLOOKUP(calendar[[#This Row],[Date]],BH!A:A,1,)&lt;&gt;"",1,0),0)</f>
        <v>0</v>
      </c>
      <c r="M415">
        <f>IFERROR(IF(VLOOKUP(calendar[[#This Row],[Date]],BH!C:C,1,)&lt;&gt;"",1,0),0)</f>
        <v>0</v>
      </c>
      <c r="N415">
        <f>IFERROR(IF(VLOOKUP(calendar[[#This Row],[Date]],BH!E:E,1,)&lt;&gt;"",1,0),0)</f>
        <v>0</v>
      </c>
      <c r="O415">
        <f>IFERROR(IF(VLOOKUP(calendar[[#This Row],[Date]],BH!G:G,1,)&lt;&gt;"",1,0),0)</f>
        <v>0</v>
      </c>
      <c r="P415">
        <f>IF(OR(calendar[[#This Row],[UK_BH]]=1,calendar[[#This Row],[WeekDay]]=1, calendar[[#This Row],[WeekDay]]=7),P414,P414+1)</f>
        <v>295</v>
      </c>
      <c r="Q415">
        <f>IF(OR(calendar[[#This Row],[FR_BH]]=1,calendar[[#This Row],[WeekDay]]=1, calendar[[#This Row],[WeekDay]]=7),P414,P414+1)</f>
        <v>295</v>
      </c>
      <c r="R415">
        <f>IF(OR(calendar[[#This Row],[SP_BH]]=1,calendar[[#This Row],[WeekDay]]=1, calendar[[#This Row],[WeekDay]]=7),P414,P414+1)</f>
        <v>295</v>
      </c>
      <c r="S415">
        <f>IF(OR(calendar[[#This Row],[PT_BH]]=1,calendar[[#This Row],[WeekDay]]=1, calendar[[#This Row],[WeekDay]]=7),P414,P414+1)</f>
        <v>295</v>
      </c>
    </row>
    <row r="416" spans="1:19" x14ac:dyDescent="0.25">
      <c r="A416" s="2">
        <v>43150</v>
      </c>
      <c r="B416" s="1">
        <f t="shared" si="33"/>
        <v>8</v>
      </c>
      <c r="C416">
        <f t="shared" si="35"/>
        <v>2</v>
      </c>
      <c r="D416" t="str">
        <f t="shared" si="36"/>
        <v>February</v>
      </c>
      <c r="E416">
        <f t="shared" si="37"/>
        <v>2018</v>
      </c>
      <c r="F416" t="str">
        <f>CONCATENATE(calendar[[#This Row],[Month]],"/",calendar[[#This Row],[Year]])</f>
        <v>2/2018</v>
      </c>
      <c r="G416">
        <f>WEEKDAY(calendar[[#This Row],[Date]],1)</f>
        <v>2</v>
      </c>
      <c r="H416" t="str">
        <f>TEXT(calendar[[#This Row],[WeekDay]],"dddd")</f>
        <v>Monday</v>
      </c>
      <c r="I416">
        <f>IF((INT(calendar[[#This Row],[Count]]/7)-calendar[[#This Row],[Count]]/7)&lt;0,I415,I415+1)</f>
        <v>60</v>
      </c>
      <c r="J416">
        <f t="shared" si="34"/>
        <v>414</v>
      </c>
      <c r="K416">
        <f>IF(calendar[[#This Row],[Month]]&lt;4,1,IF(calendar[[#This Row],[Month]]&lt;7,2,IF(calendar[[#This Row],[Month]]&lt;10,3,4)))</f>
        <v>1</v>
      </c>
      <c r="L416">
        <f>IFERROR(IF(VLOOKUP(calendar[[#This Row],[Date]],BH!A:A,1,)&lt;&gt;"",1,0),0)</f>
        <v>0</v>
      </c>
      <c r="M416">
        <f>IFERROR(IF(VLOOKUP(calendar[[#This Row],[Date]],BH!C:C,1,)&lt;&gt;"",1,0),0)</f>
        <v>0</v>
      </c>
      <c r="N416">
        <f>IFERROR(IF(VLOOKUP(calendar[[#This Row],[Date]],BH!E:E,1,)&lt;&gt;"",1,0),0)</f>
        <v>0</v>
      </c>
      <c r="O416">
        <f>IFERROR(IF(VLOOKUP(calendar[[#This Row],[Date]],BH!G:G,1,)&lt;&gt;"",1,0),0)</f>
        <v>0</v>
      </c>
      <c r="P416">
        <f>IF(OR(calendar[[#This Row],[UK_BH]]=1,calendar[[#This Row],[WeekDay]]=1, calendar[[#This Row],[WeekDay]]=7),P415,P415+1)</f>
        <v>296</v>
      </c>
      <c r="Q416">
        <f>IF(OR(calendar[[#This Row],[FR_BH]]=1,calendar[[#This Row],[WeekDay]]=1, calendar[[#This Row],[WeekDay]]=7),P415,P415+1)</f>
        <v>296</v>
      </c>
      <c r="R416">
        <f>IF(OR(calendar[[#This Row],[SP_BH]]=1,calendar[[#This Row],[WeekDay]]=1, calendar[[#This Row],[WeekDay]]=7),P415,P415+1)</f>
        <v>296</v>
      </c>
      <c r="S416">
        <f>IF(OR(calendar[[#This Row],[PT_BH]]=1,calendar[[#This Row],[WeekDay]]=1, calendar[[#This Row],[WeekDay]]=7),P415,P415+1)</f>
        <v>296</v>
      </c>
    </row>
    <row r="417" spans="1:19" x14ac:dyDescent="0.25">
      <c r="A417" s="2">
        <v>43151</v>
      </c>
      <c r="B417" s="1">
        <f t="shared" si="33"/>
        <v>8</v>
      </c>
      <c r="C417">
        <f t="shared" si="35"/>
        <v>2</v>
      </c>
      <c r="D417" t="str">
        <f t="shared" si="36"/>
        <v>February</v>
      </c>
      <c r="E417">
        <f t="shared" si="37"/>
        <v>2018</v>
      </c>
      <c r="F417" t="str">
        <f>CONCATENATE(calendar[[#This Row],[Month]],"/",calendar[[#This Row],[Year]])</f>
        <v>2/2018</v>
      </c>
      <c r="G417">
        <f>WEEKDAY(calendar[[#This Row],[Date]],1)</f>
        <v>3</v>
      </c>
      <c r="H417" t="str">
        <f>TEXT(calendar[[#This Row],[WeekDay]],"dddd")</f>
        <v>Tuesday</v>
      </c>
      <c r="I417">
        <f>IF((INT(calendar[[#This Row],[Count]]/7)-calendar[[#This Row],[Count]]/7)&lt;0,I416,I416+1)</f>
        <v>60</v>
      </c>
      <c r="J417">
        <f t="shared" si="34"/>
        <v>415</v>
      </c>
      <c r="K417">
        <f>IF(calendar[[#This Row],[Month]]&lt;4,1,IF(calendar[[#This Row],[Month]]&lt;7,2,IF(calendar[[#This Row],[Month]]&lt;10,3,4)))</f>
        <v>1</v>
      </c>
      <c r="L417">
        <f>IFERROR(IF(VLOOKUP(calendar[[#This Row],[Date]],BH!A:A,1,)&lt;&gt;"",1,0),0)</f>
        <v>0</v>
      </c>
      <c r="M417">
        <f>IFERROR(IF(VLOOKUP(calendar[[#This Row],[Date]],BH!C:C,1,)&lt;&gt;"",1,0),0)</f>
        <v>0</v>
      </c>
      <c r="N417">
        <f>IFERROR(IF(VLOOKUP(calendar[[#This Row],[Date]],BH!E:E,1,)&lt;&gt;"",1,0),0)</f>
        <v>0</v>
      </c>
      <c r="O417">
        <f>IFERROR(IF(VLOOKUP(calendar[[#This Row],[Date]],BH!G:G,1,)&lt;&gt;"",1,0),0)</f>
        <v>0</v>
      </c>
      <c r="P417">
        <f>IF(OR(calendar[[#This Row],[UK_BH]]=1,calendar[[#This Row],[WeekDay]]=1, calendar[[#This Row],[WeekDay]]=7),P416,P416+1)</f>
        <v>297</v>
      </c>
      <c r="Q417">
        <f>IF(OR(calendar[[#This Row],[FR_BH]]=1,calendar[[#This Row],[WeekDay]]=1, calendar[[#This Row],[WeekDay]]=7),P416,P416+1)</f>
        <v>297</v>
      </c>
      <c r="R417">
        <f>IF(OR(calendar[[#This Row],[SP_BH]]=1,calendar[[#This Row],[WeekDay]]=1, calendar[[#This Row],[WeekDay]]=7),P416,P416+1)</f>
        <v>297</v>
      </c>
      <c r="S417">
        <f>IF(OR(calendar[[#This Row],[PT_BH]]=1,calendar[[#This Row],[WeekDay]]=1, calendar[[#This Row],[WeekDay]]=7),P416,P416+1)</f>
        <v>297</v>
      </c>
    </row>
    <row r="418" spans="1:19" x14ac:dyDescent="0.25">
      <c r="A418" s="2">
        <v>43152</v>
      </c>
      <c r="B418" s="1">
        <f t="shared" si="33"/>
        <v>8</v>
      </c>
      <c r="C418">
        <f t="shared" si="35"/>
        <v>2</v>
      </c>
      <c r="D418" t="str">
        <f t="shared" si="36"/>
        <v>February</v>
      </c>
      <c r="E418">
        <f t="shared" si="37"/>
        <v>2018</v>
      </c>
      <c r="F418" t="str">
        <f>CONCATENATE(calendar[[#This Row],[Month]],"/",calendar[[#This Row],[Year]])</f>
        <v>2/2018</v>
      </c>
      <c r="G418">
        <f>WEEKDAY(calendar[[#This Row],[Date]],1)</f>
        <v>4</v>
      </c>
      <c r="H418" t="str">
        <f>TEXT(calendar[[#This Row],[WeekDay]],"dddd")</f>
        <v>Wednesday</v>
      </c>
      <c r="I418">
        <f>IF((INT(calendar[[#This Row],[Count]]/7)-calendar[[#This Row],[Count]]/7)&lt;0,I417,I417+1)</f>
        <v>60</v>
      </c>
      <c r="J418">
        <f t="shared" si="34"/>
        <v>416</v>
      </c>
      <c r="K418">
        <f>IF(calendar[[#This Row],[Month]]&lt;4,1,IF(calendar[[#This Row],[Month]]&lt;7,2,IF(calendar[[#This Row],[Month]]&lt;10,3,4)))</f>
        <v>1</v>
      </c>
      <c r="L418">
        <f>IFERROR(IF(VLOOKUP(calendar[[#This Row],[Date]],BH!A:A,1,)&lt;&gt;"",1,0),0)</f>
        <v>0</v>
      </c>
      <c r="M418">
        <f>IFERROR(IF(VLOOKUP(calendar[[#This Row],[Date]],BH!C:C,1,)&lt;&gt;"",1,0),0)</f>
        <v>0</v>
      </c>
      <c r="N418">
        <f>IFERROR(IF(VLOOKUP(calendar[[#This Row],[Date]],BH!E:E,1,)&lt;&gt;"",1,0),0)</f>
        <v>0</v>
      </c>
      <c r="O418">
        <f>IFERROR(IF(VLOOKUP(calendar[[#This Row],[Date]],BH!G:G,1,)&lt;&gt;"",1,0),0)</f>
        <v>0</v>
      </c>
      <c r="P418">
        <f>IF(OR(calendar[[#This Row],[UK_BH]]=1,calendar[[#This Row],[WeekDay]]=1, calendar[[#This Row],[WeekDay]]=7),P417,P417+1)</f>
        <v>298</v>
      </c>
      <c r="Q418">
        <f>IF(OR(calendar[[#This Row],[FR_BH]]=1,calendar[[#This Row],[WeekDay]]=1, calendar[[#This Row],[WeekDay]]=7),P417,P417+1)</f>
        <v>298</v>
      </c>
      <c r="R418">
        <f>IF(OR(calendar[[#This Row],[SP_BH]]=1,calendar[[#This Row],[WeekDay]]=1, calendar[[#This Row],[WeekDay]]=7),P417,P417+1)</f>
        <v>298</v>
      </c>
      <c r="S418">
        <f>IF(OR(calendar[[#This Row],[PT_BH]]=1,calendar[[#This Row],[WeekDay]]=1, calendar[[#This Row],[WeekDay]]=7),P417,P417+1)</f>
        <v>298</v>
      </c>
    </row>
    <row r="419" spans="1:19" x14ac:dyDescent="0.25">
      <c r="A419" s="2">
        <v>43153</v>
      </c>
      <c r="B419" s="1">
        <f t="shared" si="33"/>
        <v>8</v>
      </c>
      <c r="C419">
        <f t="shared" si="35"/>
        <v>2</v>
      </c>
      <c r="D419" t="str">
        <f t="shared" si="36"/>
        <v>February</v>
      </c>
      <c r="E419">
        <f t="shared" si="37"/>
        <v>2018</v>
      </c>
      <c r="F419" t="str">
        <f>CONCATENATE(calendar[[#This Row],[Month]],"/",calendar[[#This Row],[Year]])</f>
        <v>2/2018</v>
      </c>
      <c r="G419">
        <f>WEEKDAY(calendar[[#This Row],[Date]],1)</f>
        <v>5</v>
      </c>
      <c r="H419" t="str">
        <f>TEXT(calendar[[#This Row],[WeekDay]],"dddd")</f>
        <v>Thursday</v>
      </c>
      <c r="I419">
        <f>IF((INT(calendar[[#This Row],[Count]]/7)-calendar[[#This Row],[Count]]/7)&lt;0,I418,I418+1)</f>
        <v>60</v>
      </c>
      <c r="J419">
        <f t="shared" si="34"/>
        <v>417</v>
      </c>
      <c r="K419">
        <f>IF(calendar[[#This Row],[Month]]&lt;4,1,IF(calendar[[#This Row],[Month]]&lt;7,2,IF(calendar[[#This Row],[Month]]&lt;10,3,4)))</f>
        <v>1</v>
      </c>
      <c r="L419">
        <f>IFERROR(IF(VLOOKUP(calendar[[#This Row],[Date]],BH!A:A,1,)&lt;&gt;"",1,0),0)</f>
        <v>0</v>
      </c>
      <c r="M419">
        <f>IFERROR(IF(VLOOKUP(calendar[[#This Row],[Date]],BH!C:C,1,)&lt;&gt;"",1,0),0)</f>
        <v>0</v>
      </c>
      <c r="N419">
        <f>IFERROR(IF(VLOOKUP(calendar[[#This Row],[Date]],BH!E:E,1,)&lt;&gt;"",1,0),0)</f>
        <v>0</v>
      </c>
      <c r="O419">
        <f>IFERROR(IF(VLOOKUP(calendar[[#This Row],[Date]],BH!G:G,1,)&lt;&gt;"",1,0),0)</f>
        <v>0</v>
      </c>
      <c r="P419">
        <f>IF(OR(calendar[[#This Row],[UK_BH]]=1,calendar[[#This Row],[WeekDay]]=1, calendar[[#This Row],[WeekDay]]=7),P418,P418+1)</f>
        <v>299</v>
      </c>
      <c r="Q419">
        <f>IF(OR(calendar[[#This Row],[FR_BH]]=1,calendar[[#This Row],[WeekDay]]=1, calendar[[#This Row],[WeekDay]]=7),P418,P418+1)</f>
        <v>299</v>
      </c>
      <c r="R419">
        <f>IF(OR(calendar[[#This Row],[SP_BH]]=1,calendar[[#This Row],[WeekDay]]=1, calendar[[#This Row],[WeekDay]]=7),P418,P418+1)</f>
        <v>299</v>
      </c>
      <c r="S419">
        <f>IF(OR(calendar[[#This Row],[PT_BH]]=1,calendar[[#This Row],[WeekDay]]=1, calendar[[#This Row],[WeekDay]]=7),P418,P418+1)</f>
        <v>299</v>
      </c>
    </row>
    <row r="420" spans="1:19" x14ac:dyDescent="0.25">
      <c r="A420" s="2">
        <v>43154</v>
      </c>
      <c r="B420" s="1">
        <f t="shared" si="33"/>
        <v>8</v>
      </c>
      <c r="C420">
        <f t="shared" si="35"/>
        <v>2</v>
      </c>
      <c r="D420" t="str">
        <f t="shared" si="36"/>
        <v>February</v>
      </c>
      <c r="E420">
        <f t="shared" si="37"/>
        <v>2018</v>
      </c>
      <c r="F420" t="str">
        <f>CONCATENATE(calendar[[#This Row],[Month]],"/",calendar[[#This Row],[Year]])</f>
        <v>2/2018</v>
      </c>
      <c r="G420">
        <f>WEEKDAY(calendar[[#This Row],[Date]],1)</f>
        <v>6</v>
      </c>
      <c r="H420" t="str">
        <f>TEXT(calendar[[#This Row],[WeekDay]],"dddd")</f>
        <v>Friday</v>
      </c>
      <c r="I420">
        <f>IF((INT(calendar[[#This Row],[Count]]/7)-calendar[[#This Row],[Count]]/7)&lt;0,I419,I419+1)</f>
        <v>60</v>
      </c>
      <c r="J420">
        <f t="shared" si="34"/>
        <v>418</v>
      </c>
      <c r="K420">
        <f>IF(calendar[[#This Row],[Month]]&lt;4,1,IF(calendar[[#This Row],[Month]]&lt;7,2,IF(calendar[[#This Row],[Month]]&lt;10,3,4)))</f>
        <v>1</v>
      </c>
      <c r="L420">
        <f>IFERROR(IF(VLOOKUP(calendar[[#This Row],[Date]],BH!A:A,1,)&lt;&gt;"",1,0),0)</f>
        <v>0</v>
      </c>
      <c r="M420">
        <f>IFERROR(IF(VLOOKUP(calendar[[#This Row],[Date]],BH!C:C,1,)&lt;&gt;"",1,0),0)</f>
        <v>0</v>
      </c>
      <c r="N420">
        <f>IFERROR(IF(VLOOKUP(calendar[[#This Row],[Date]],BH!E:E,1,)&lt;&gt;"",1,0),0)</f>
        <v>0</v>
      </c>
      <c r="O420">
        <f>IFERROR(IF(VLOOKUP(calendar[[#This Row],[Date]],BH!G:G,1,)&lt;&gt;"",1,0),0)</f>
        <v>0</v>
      </c>
      <c r="P420">
        <f>IF(OR(calendar[[#This Row],[UK_BH]]=1,calendar[[#This Row],[WeekDay]]=1, calendar[[#This Row],[WeekDay]]=7),P419,P419+1)</f>
        <v>300</v>
      </c>
      <c r="Q420">
        <f>IF(OR(calendar[[#This Row],[FR_BH]]=1,calendar[[#This Row],[WeekDay]]=1, calendar[[#This Row],[WeekDay]]=7),P419,P419+1)</f>
        <v>300</v>
      </c>
      <c r="R420">
        <f>IF(OR(calendar[[#This Row],[SP_BH]]=1,calendar[[#This Row],[WeekDay]]=1, calendar[[#This Row],[WeekDay]]=7),P419,P419+1)</f>
        <v>300</v>
      </c>
      <c r="S420">
        <f>IF(OR(calendar[[#This Row],[PT_BH]]=1,calendar[[#This Row],[WeekDay]]=1, calendar[[#This Row],[WeekDay]]=7),P419,P419+1)</f>
        <v>300</v>
      </c>
    </row>
    <row r="421" spans="1:19" x14ac:dyDescent="0.25">
      <c r="A421" s="2">
        <v>43155</v>
      </c>
      <c r="B421" s="1">
        <f t="shared" si="33"/>
        <v>8</v>
      </c>
      <c r="C421">
        <f t="shared" si="35"/>
        <v>2</v>
      </c>
      <c r="D421" t="str">
        <f t="shared" si="36"/>
        <v>February</v>
      </c>
      <c r="E421">
        <f t="shared" si="37"/>
        <v>2018</v>
      </c>
      <c r="F421" t="str">
        <f>CONCATENATE(calendar[[#This Row],[Month]],"/",calendar[[#This Row],[Year]])</f>
        <v>2/2018</v>
      </c>
      <c r="G421">
        <f>WEEKDAY(calendar[[#This Row],[Date]],1)</f>
        <v>7</v>
      </c>
      <c r="H421" t="str">
        <f>TEXT(calendar[[#This Row],[WeekDay]],"dddd")</f>
        <v>Saturday</v>
      </c>
      <c r="I421">
        <f>IF((INT(calendar[[#This Row],[Count]]/7)-calendar[[#This Row],[Count]]/7)&lt;0,I420,I420+1)</f>
        <v>60</v>
      </c>
      <c r="J421">
        <f t="shared" si="34"/>
        <v>419</v>
      </c>
      <c r="K421">
        <f>IF(calendar[[#This Row],[Month]]&lt;4,1,IF(calendar[[#This Row],[Month]]&lt;7,2,IF(calendar[[#This Row],[Month]]&lt;10,3,4)))</f>
        <v>1</v>
      </c>
      <c r="L421">
        <f>IFERROR(IF(VLOOKUP(calendar[[#This Row],[Date]],BH!A:A,1,)&lt;&gt;"",1,0),0)</f>
        <v>0</v>
      </c>
      <c r="M421">
        <f>IFERROR(IF(VLOOKUP(calendar[[#This Row],[Date]],BH!C:C,1,)&lt;&gt;"",1,0),0)</f>
        <v>0</v>
      </c>
      <c r="N421">
        <f>IFERROR(IF(VLOOKUP(calendar[[#This Row],[Date]],BH!E:E,1,)&lt;&gt;"",1,0),0)</f>
        <v>0</v>
      </c>
      <c r="O421">
        <f>IFERROR(IF(VLOOKUP(calendar[[#This Row],[Date]],BH!G:G,1,)&lt;&gt;"",1,0),0)</f>
        <v>0</v>
      </c>
      <c r="P421">
        <f>IF(OR(calendar[[#This Row],[UK_BH]]=1,calendar[[#This Row],[WeekDay]]=1, calendar[[#This Row],[WeekDay]]=7),P420,P420+1)</f>
        <v>300</v>
      </c>
      <c r="Q421">
        <f>IF(OR(calendar[[#This Row],[FR_BH]]=1,calendar[[#This Row],[WeekDay]]=1, calendar[[#This Row],[WeekDay]]=7),P420,P420+1)</f>
        <v>300</v>
      </c>
      <c r="R421">
        <f>IF(OR(calendar[[#This Row],[SP_BH]]=1,calendar[[#This Row],[WeekDay]]=1, calendar[[#This Row],[WeekDay]]=7),P420,P420+1)</f>
        <v>300</v>
      </c>
      <c r="S421">
        <f>IF(OR(calendar[[#This Row],[PT_BH]]=1,calendar[[#This Row],[WeekDay]]=1, calendar[[#This Row],[WeekDay]]=7),P420,P420+1)</f>
        <v>300</v>
      </c>
    </row>
    <row r="422" spans="1:19" x14ac:dyDescent="0.25">
      <c r="A422" s="2">
        <v>43156</v>
      </c>
      <c r="B422" s="1">
        <f t="shared" si="33"/>
        <v>9</v>
      </c>
      <c r="C422">
        <f t="shared" si="35"/>
        <v>2</v>
      </c>
      <c r="D422" t="str">
        <f t="shared" si="36"/>
        <v>February</v>
      </c>
      <c r="E422">
        <f t="shared" si="37"/>
        <v>2018</v>
      </c>
      <c r="F422" t="str">
        <f>CONCATENATE(calendar[[#This Row],[Month]],"/",calendar[[#This Row],[Year]])</f>
        <v>2/2018</v>
      </c>
      <c r="G422">
        <f>WEEKDAY(calendar[[#This Row],[Date]],1)</f>
        <v>1</v>
      </c>
      <c r="H422" t="str">
        <f>TEXT(calendar[[#This Row],[WeekDay]],"dddd")</f>
        <v>Sunday</v>
      </c>
      <c r="I422">
        <f>IF((INT(calendar[[#This Row],[Count]]/7)-calendar[[#This Row],[Count]]/7)&lt;0,I421,I421+1)</f>
        <v>61</v>
      </c>
      <c r="J422">
        <f t="shared" si="34"/>
        <v>420</v>
      </c>
      <c r="K422">
        <f>IF(calendar[[#This Row],[Month]]&lt;4,1,IF(calendar[[#This Row],[Month]]&lt;7,2,IF(calendar[[#This Row],[Month]]&lt;10,3,4)))</f>
        <v>1</v>
      </c>
      <c r="L422">
        <f>IFERROR(IF(VLOOKUP(calendar[[#This Row],[Date]],BH!A:A,1,)&lt;&gt;"",1,0),0)</f>
        <v>0</v>
      </c>
      <c r="M422">
        <f>IFERROR(IF(VLOOKUP(calendar[[#This Row],[Date]],BH!C:C,1,)&lt;&gt;"",1,0),0)</f>
        <v>0</v>
      </c>
      <c r="N422">
        <f>IFERROR(IF(VLOOKUP(calendar[[#This Row],[Date]],BH!E:E,1,)&lt;&gt;"",1,0),0)</f>
        <v>0</v>
      </c>
      <c r="O422">
        <f>IFERROR(IF(VLOOKUP(calendar[[#This Row],[Date]],BH!G:G,1,)&lt;&gt;"",1,0),0)</f>
        <v>0</v>
      </c>
      <c r="P422">
        <f>IF(OR(calendar[[#This Row],[UK_BH]]=1,calendar[[#This Row],[WeekDay]]=1, calendar[[#This Row],[WeekDay]]=7),P421,P421+1)</f>
        <v>300</v>
      </c>
      <c r="Q422">
        <f>IF(OR(calendar[[#This Row],[FR_BH]]=1,calendar[[#This Row],[WeekDay]]=1, calendar[[#This Row],[WeekDay]]=7),P421,P421+1)</f>
        <v>300</v>
      </c>
      <c r="R422">
        <f>IF(OR(calendar[[#This Row],[SP_BH]]=1,calendar[[#This Row],[WeekDay]]=1, calendar[[#This Row],[WeekDay]]=7),P421,P421+1)</f>
        <v>300</v>
      </c>
      <c r="S422">
        <f>IF(OR(calendar[[#This Row],[PT_BH]]=1,calendar[[#This Row],[WeekDay]]=1, calendar[[#This Row],[WeekDay]]=7),P421,P421+1)</f>
        <v>300</v>
      </c>
    </row>
    <row r="423" spans="1:19" x14ac:dyDescent="0.25">
      <c r="A423" s="2">
        <v>43157</v>
      </c>
      <c r="B423" s="1">
        <f t="shared" si="33"/>
        <v>9</v>
      </c>
      <c r="C423">
        <f t="shared" si="35"/>
        <v>2</v>
      </c>
      <c r="D423" t="str">
        <f t="shared" si="36"/>
        <v>February</v>
      </c>
      <c r="E423">
        <f t="shared" si="37"/>
        <v>2018</v>
      </c>
      <c r="F423" t="str">
        <f>CONCATENATE(calendar[[#This Row],[Month]],"/",calendar[[#This Row],[Year]])</f>
        <v>2/2018</v>
      </c>
      <c r="G423">
        <f>WEEKDAY(calendar[[#This Row],[Date]],1)</f>
        <v>2</v>
      </c>
      <c r="H423" t="str">
        <f>TEXT(calendar[[#This Row],[WeekDay]],"dddd")</f>
        <v>Monday</v>
      </c>
      <c r="I423">
        <f>IF((INT(calendar[[#This Row],[Count]]/7)-calendar[[#This Row],[Count]]/7)&lt;0,I422,I422+1)</f>
        <v>61</v>
      </c>
      <c r="J423">
        <f t="shared" si="34"/>
        <v>421</v>
      </c>
      <c r="K423">
        <f>IF(calendar[[#This Row],[Month]]&lt;4,1,IF(calendar[[#This Row],[Month]]&lt;7,2,IF(calendar[[#This Row],[Month]]&lt;10,3,4)))</f>
        <v>1</v>
      </c>
      <c r="L423">
        <f>IFERROR(IF(VLOOKUP(calendar[[#This Row],[Date]],BH!A:A,1,)&lt;&gt;"",1,0),0)</f>
        <v>0</v>
      </c>
      <c r="M423">
        <f>IFERROR(IF(VLOOKUP(calendar[[#This Row],[Date]],BH!C:C,1,)&lt;&gt;"",1,0),0)</f>
        <v>0</v>
      </c>
      <c r="N423">
        <f>IFERROR(IF(VLOOKUP(calendar[[#This Row],[Date]],BH!E:E,1,)&lt;&gt;"",1,0),0)</f>
        <v>0</v>
      </c>
      <c r="O423">
        <f>IFERROR(IF(VLOOKUP(calendar[[#This Row],[Date]],BH!G:G,1,)&lt;&gt;"",1,0),0)</f>
        <v>0</v>
      </c>
      <c r="P423">
        <f>IF(OR(calendar[[#This Row],[UK_BH]]=1,calendar[[#This Row],[WeekDay]]=1, calendar[[#This Row],[WeekDay]]=7),P422,P422+1)</f>
        <v>301</v>
      </c>
      <c r="Q423">
        <f>IF(OR(calendar[[#This Row],[FR_BH]]=1,calendar[[#This Row],[WeekDay]]=1, calendar[[#This Row],[WeekDay]]=7),P422,P422+1)</f>
        <v>301</v>
      </c>
      <c r="R423">
        <f>IF(OR(calendar[[#This Row],[SP_BH]]=1,calendar[[#This Row],[WeekDay]]=1, calendar[[#This Row],[WeekDay]]=7),P422,P422+1)</f>
        <v>301</v>
      </c>
      <c r="S423">
        <f>IF(OR(calendar[[#This Row],[PT_BH]]=1,calendar[[#This Row],[WeekDay]]=1, calendar[[#This Row],[WeekDay]]=7),P422,P422+1)</f>
        <v>301</v>
      </c>
    </row>
    <row r="424" spans="1:19" x14ac:dyDescent="0.25">
      <c r="A424" s="2">
        <v>43158</v>
      </c>
      <c r="B424" s="1">
        <f t="shared" si="33"/>
        <v>9</v>
      </c>
      <c r="C424">
        <f t="shared" si="35"/>
        <v>2</v>
      </c>
      <c r="D424" t="str">
        <f t="shared" si="36"/>
        <v>February</v>
      </c>
      <c r="E424">
        <f t="shared" si="37"/>
        <v>2018</v>
      </c>
      <c r="F424" t="str">
        <f>CONCATENATE(calendar[[#This Row],[Month]],"/",calendar[[#This Row],[Year]])</f>
        <v>2/2018</v>
      </c>
      <c r="G424">
        <f>WEEKDAY(calendar[[#This Row],[Date]],1)</f>
        <v>3</v>
      </c>
      <c r="H424" t="str">
        <f>TEXT(calendar[[#This Row],[WeekDay]],"dddd")</f>
        <v>Tuesday</v>
      </c>
      <c r="I424">
        <f>IF((INT(calendar[[#This Row],[Count]]/7)-calendar[[#This Row],[Count]]/7)&lt;0,I423,I423+1)</f>
        <v>61</v>
      </c>
      <c r="J424">
        <f t="shared" si="34"/>
        <v>422</v>
      </c>
      <c r="K424">
        <f>IF(calendar[[#This Row],[Month]]&lt;4,1,IF(calendar[[#This Row],[Month]]&lt;7,2,IF(calendar[[#This Row],[Month]]&lt;10,3,4)))</f>
        <v>1</v>
      </c>
      <c r="L424">
        <f>IFERROR(IF(VLOOKUP(calendar[[#This Row],[Date]],BH!A:A,1,)&lt;&gt;"",1,0),0)</f>
        <v>0</v>
      </c>
      <c r="M424">
        <f>IFERROR(IF(VLOOKUP(calendar[[#This Row],[Date]],BH!C:C,1,)&lt;&gt;"",1,0),0)</f>
        <v>0</v>
      </c>
      <c r="N424">
        <f>IFERROR(IF(VLOOKUP(calendar[[#This Row],[Date]],BH!E:E,1,)&lt;&gt;"",1,0),0)</f>
        <v>0</v>
      </c>
      <c r="O424">
        <f>IFERROR(IF(VLOOKUP(calendar[[#This Row],[Date]],BH!G:G,1,)&lt;&gt;"",1,0),0)</f>
        <v>0</v>
      </c>
      <c r="P424">
        <f>IF(OR(calendar[[#This Row],[UK_BH]]=1,calendar[[#This Row],[WeekDay]]=1, calendar[[#This Row],[WeekDay]]=7),P423,P423+1)</f>
        <v>302</v>
      </c>
      <c r="Q424">
        <f>IF(OR(calendar[[#This Row],[FR_BH]]=1,calendar[[#This Row],[WeekDay]]=1, calendar[[#This Row],[WeekDay]]=7),P423,P423+1)</f>
        <v>302</v>
      </c>
      <c r="R424">
        <f>IF(OR(calendar[[#This Row],[SP_BH]]=1,calendar[[#This Row],[WeekDay]]=1, calendar[[#This Row],[WeekDay]]=7),P423,P423+1)</f>
        <v>302</v>
      </c>
      <c r="S424">
        <f>IF(OR(calendar[[#This Row],[PT_BH]]=1,calendar[[#This Row],[WeekDay]]=1, calendar[[#This Row],[WeekDay]]=7),P423,P423+1)</f>
        <v>302</v>
      </c>
    </row>
    <row r="425" spans="1:19" x14ac:dyDescent="0.25">
      <c r="A425" s="2">
        <v>43159</v>
      </c>
      <c r="B425" s="1">
        <f t="shared" si="33"/>
        <v>9</v>
      </c>
      <c r="C425">
        <f t="shared" si="35"/>
        <v>2</v>
      </c>
      <c r="D425" t="str">
        <f t="shared" si="36"/>
        <v>February</v>
      </c>
      <c r="E425">
        <f t="shared" si="37"/>
        <v>2018</v>
      </c>
      <c r="F425" t="str">
        <f>CONCATENATE(calendar[[#This Row],[Month]],"/",calendar[[#This Row],[Year]])</f>
        <v>2/2018</v>
      </c>
      <c r="G425">
        <f>WEEKDAY(calendar[[#This Row],[Date]],1)</f>
        <v>4</v>
      </c>
      <c r="H425" t="str">
        <f>TEXT(calendar[[#This Row],[WeekDay]],"dddd")</f>
        <v>Wednesday</v>
      </c>
      <c r="I425">
        <f>IF((INT(calendar[[#This Row],[Count]]/7)-calendar[[#This Row],[Count]]/7)&lt;0,I424,I424+1)</f>
        <v>61</v>
      </c>
      <c r="J425">
        <f t="shared" si="34"/>
        <v>423</v>
      </c>
      <c r="K425">
        <f>IF(calendar[[#This Row],[Month]]&lt;4,1,IF(calendar[[#This Row],[Month]]&lt;7,2,IF(calendar[[#This Row],[Month]]&lt;10,3,4)))</f>
        <v>1</v>
      </c>
      <c r="L425">
        <f>IFERROR(IF(VLOOKUP(calendar[[#This Row],[Date]],BH!A:A,1,)&lt;&gt;"",1,0),0)</f>
        <v>0</v>
      </c>
      <c r="M425">
        <f>IFERROR(IF(VLOOKUP(calendar[[#This Row],[Date]],BH!C:C,1,)&lt;&gt;"",1,0),0)</f>
        <v>0</v>
      </c>
      <c r="N425">
        <f>IFERROR(IF(VLOOKUP(calendar[[#This Row],[Date]],BH!E:E,1,)&lt;&gt;"",1,0),0)</f>
        <v>0</v>
      </c>
      <c r="O425">
        <f>IFERROR(IF(VLOOKUP(calendar[[#This Row],[Date]],BH!G:G,1,)&lt;&gt;"",1,0),0)</f>
        <v>0</v>
      </c>
      <c r="P425">
        <f>IF(OR(calendar[[#This Row],[UK_BH]]=1,calendar[[#This Row],[WeekDay]]=1, calendar[[#This Row],[WeekDay]]=7),P424,P424+1)</f>
        <v>303</v>
      </c>
      <c r="Q425">
        <f>IF(OR(calendar[[#This Row],[FR_BH]]=1,calendar[[#This Row],[WeekDay]]=1, calendar[[#This Row],[WeekDay]]=7),P424,P424+1)</f>
        <v>303</v>
      </c>
      <c r="R425">
        <f>IF(OR(calendar[[#This Row],[SP_BH]]=1,calendar[[#This Row],[WeekDay]]=1, calendar[[#This Row],[WeekDay]]=7),P424,P424+1)</f>
        <v>303</v>
      </c>
      <c r="S425">
        <f>IF(OR(calendar[[#This Row],[PT_BH]]=1,calendar[[#This Row],[WeekDay]]=1, calendar[[#This Row],[WeekDay]]=7),P424,P424+1)</f>
        <v>303</v>
      </c>
    </row>
    <row r="426" spans="1:19" x14ac:dyDescent="0.25">
      <c r="A426" s="2">
        <v>43160</v>
      </c>
      <c r="B426" s="1">
        <f t="shared" si="33"/>
        <v>9</v>
      </c>
      <c r="C426">
        <f t="shared" si="35"/>
        <v>3</v>
      </c>
      <c r="D426" t="str">
        <f t="shared" si="36"/>
        <v>March</v>
      </c>
      <c r="E426">
        <f t="shared" si="37"/>
        <v>2018</v>
      </c>
      <c r="F426" t="str">
        <f>CONCATENATE(calendar[[#This Row],[Month]],"/",calendar[[#This Row],[Year]])</f>
        <v>3/2018</v>
      </c>
      <c r="G426">
        <f>WEEKDAY(calendar[[#This Row],[Date]],1)</f>
        <v>5</v>
      </c>
      <c r="H426" t="str">
        <f>TEXT(calendar[[#This Row],[WeekDay]],"dddd")</f>
        <v>Thursday</v>
      </c>
      <c r="I426">
        <f>IF((INT(calendar[[#This Row],[Count]]/7)-calendar[[#This Row],[Count]]/7)&lt;0,I425,I425+1)</f>
        <v>61</v>
      </c>
      <c r="J426">
        <f t="shared" si="34"/>
        <v>424</v>
      </c>
      <c r="K426">
        <f>IF(calendar[[#This Row],[Month]]&lt;4,1,IF(calendar[[#This Row],[Month]]&lt;7,2,IF(calendar[[#This Row],[Month]]&lt;10,3,4)))</f>
        <v>1</v>
      </c>
      <c r="L426">
        <f>IFERROR(IF(VLOOKUP(calendar[[#This Row],[Date]],BH!A:A,1,)&lt;&gt;"",1,0),0)</f>
        <v>0</v>
      </c>
      <c r="M426">
        <f>IFERROR(IF(VLOOKUP(calendar[[#This Row],[Date]],BH!C:C,1,)&lt;&gt;"",1,0),0)</f>
        <v>0</v>
      </c>
      <c r="N426">
        <f>IFERROR(IF(VLOOKUP(calendar[[#This Row],[Date]],BH!E:E,1,)&lt;&gt;"",1,0),0)</f>
        <v>0</v>
      </c>
      <c r="O426">
        <f>IFERROR(IF(VLOOKUP(calendar[[#This Row],[Date]],BH!G:G,1,)&lt;&gt;"",1,0),0)</f>
        <v>0</v>
      </c>
      <c r="P426">
        <f>IF(OR(calendar[[#This Row],[UK_BH]]=1,calendar[[#This Row],[WeekDay]]=1, calendar[[#This Row],[WeekDay]]=7),P425,P425+1)</f>
        <v>304</v>
      </c>
      <c r="Q426">
        <f>IF(OR(calendar[[#This Row],[FR_BH]]=1,calendar[[#This Row],[WeekDay]]=1, calendar[[#This Row],[WeekDay]]=7),P425,P425+1)</f>
        <v>304</v>
      </c>
      <c r="R426">
        <f>IF(OR(calendar[[#This Row],[SP_BH]]=1,calendar[[#This Row],[WeekDay]]=1, calendar[[#This Row],[WeekDay]]=7),P425,P425+1)</f>
        <v>304</v>
      </c>
      <c r="S426">
        <f>IF(OR(calendar[[#This Row],[PT_BH]]=1,calendar[[#This Row],[WeekDay]]=1, calendar[[#This Row],[WeekDay]]=7),P425,P425+1)</f>
        <v>304</v>
      </c>
    </row>
    <row r="427" spans="1:19" x14ac:dyDescent="0.25">
      <c r="A427" s="2">
        <v>43161</v>
      </c>
      <c r="B427" s="1">
        <f t="shared" si="33"/>
        <v>9</v>
      </c>
      <c r="C427">
        <f t="shared" si="35"/>
        <v>3</v>
      </c>
      <c r="D427" t="str">
        <f t="shared" si="36"/>
        <v>March</v>
      </c>
      <c r="E427">
        <f t="shared" si="37"/>
        <v>2018</v>
      </c>
      <c r="F427" t="str">
        <f>CONCATENATE(calendar[[#This Row],[Month]],"/",calendar[[#This Row],[Year]])</f>
        <v>3/2018</v>
      </c>
      <c r="G427">
        <f>WEEKDAY(calendar[[#This Row],[Date]],1)</f>
        <v>6</v>
      </c>
      <c r="H427" t="str">
        <f>TEXT(calendar[[#This Row],[WeekDay]],"dddd")</f>
        <v>Friday</v>
      </c>
      <c r="I427">
        <f>IF((INT(calendar[[#This Row],[Count]]/7)-calendar[[#This Row],[Count]]/7)&lt;0,I426,I426+1)</f>
        <v>61</v>
      </c>
      <c r="J427">
        <f t="shared" si="34"/>
        <v>425</v>
      </c>
      <c r="K427">
        <f>IF(calendar[[#This Row],[Month]]&lt;4,1,IF(calendar[[#This Row],[Month]]&lt;7,2,IF(calendar[[#This Row],[Month]]&lt;10,3,4)))</f>
        <v>1</v>
      </c>
      <c r="L427">
        <f>IFERROR(IF(VLOOKUP(calendar[[#This Row],[Date]],BH!A:A,1,)&lt;&gt;"",1,0),0)</f>
        <v>0</v>
      </c>
      <c r="M427">
        <f>IFERROR(IF(VLOOKUP(calendar[[#This Row],[Date]],BH!C:C,1,)&lt;&gt;"",1,0),0)</f>
        <v>0</v>
      </c>
      <c r="N427">
        <f>IFERROR(IF(VLOOKUP(calendar[[#This Row],[Date]],BH!E:E,1,)&lt;&gt;"",1,0),0)</f>
        <v>0</v>
      </c>
      <c r="O427">
        <f>IFERROR(IF(VLOOKUP(calendar[[#This Row],[Date]],BH!G:G,1,)&lt;&gt;"",1,0),0)</f>
        <v>0</v>
      </c>
      <c r="P427">
        <f>IF(OR(calendar[[#This Row],[UK_BH]]=1,calendar[[#This Row],[WeekDay]]=1, calendar[[#This Row],[WeekDay]]=7),P426,P426+1)</f>
        <v>305</v>
      </c>
      <c r="Q427">
        <f>IF(OR(calendar[[#This Row],[FR_BH]]=1,calendar[[#This Row],[WeekDay]]=1, calendar[[#This Row],[WeekDay]]=7),P426,P426+1)</f>
        <v>305</v>
      </c>
      <c r="R427">
        <f>IF(OR(calendar[[#This Row],[SP_BH]]=1,calendar[[#This Row],[WeekDay]]=1, calendar[[#This Row],[WeekDay]]=7),P426,P426+1)</f>
        <v>305</v>
      </c>
      <c r="S427">
        <f>IF(OR(calendar[[#This Row],[PT_BH]]=1,calendar[[#This Row],[WeekDay]]=1, calendar[[#This Row],[WeekDay]]=7),P426,P426+1)</f>
        <v>305</v>
      </c>
    </row>
    <row r="428" spans="1:19" x14ac:dyDescent="0.25">
      <c r="A428" s="2">
        <v>43162</v>
      </c>
      <c r="B428" s="1">
        <f t="shared" si="33"/>
        <v>9</v>
      </c>
      <c r="C428">
        <f t="shared" si="35"/>
        <v>3</v>
      </c>
      <c r="D428" t="str">
        <f t="shared" si="36"/>
        <v>March</v>
      </c>
      <c r="E428">
        <f t="shared" si="37"/>
        <v>2018</v>
      </c>
      <c r="F428" t="str">
        <f>CONCATENATE(calendar[[#This Row],[Month]],"/",calendar[[#This Row],[Year]])</f>
        <v>3/2018</v>
      </c>
      <c r="G428">
        <f>WEEKDAY(calendar[[#This Row],[Date]],1)</f>
        <v>7</v>
      </c>
      <c r="H428" t="str">
        <f>TEXT(calendar[[#This Row],[WeekDay]],"dddd")</f>
        <v>Saturday</v>
      </c>
      <c r="I428">
        <f>IF((INT(calendar[[#This Row],[Count]]/7)-calendar[[#This Row],[Count]]/7)&lt;0,I427,I427+1)</f>
        <v>61</v>
      </c>
      <c r="J428">
        <f t="shared" si="34"/>
        <v>426</v>
      </c>
      <c r="K428">
        <f>IF(calendar[[#This Row],[Month]]&lt;4,1,IF(calendar[[#This Row],[Month]]&lt;7,2,IF(calendar[[#This Row],[Month]]&lt;10,3,4)))</f>
        <v>1</v>
      </c>
      <c r="L428">
        <f>IFERROR(IF(VLOOKUP(calendar[[#This Row],[Date]],BH!A:A,1,)&lt;&gt;"",1,0),0)</f>
        <v>0</v>
      </c>
      <c r="M428">
        <f>IFERROR(IF(VLOOKUP(calendar[[#This Row],[Date]],BH!C:C,1,)&lt;&gt;"",1,0),0)</f>
        <v>0</v>
      </c>
      <c r="N428">
        <f>IFERROR(IF(VLOOKUP(calendar[[#This Row],[Date]],BH!E:E,1,)&lt;&gt;"",1,0),0)</f>
        <v>0</v>
      </c>
      <c r="O428">
        <f>IFERROR(IF(VLOOKUP(calendar[[#This Row],[Date]],BH!G:G,1,)&lt;&gt;"",1,0),0)</f>
        <v>0</v>
      </c>
      <c r="P428">
        <f>IF(OR(calendar[[#This Row],[UK_BH]]=1,calendar[[#This Row],[WeekDay]]=1, calendar[[#This Row],[WeekDay]]=7),P427,P427+1)</f>
        <v>305</v>
      </c>
      <c r="Q428">
        <f>IF(OR(calendar[[#This Row],[FR_BH]]=1,calendar[[#This Row],[WeekDay]]=1, calendar[[#This Row],[WeekDay]]=7),P427,P427+1)</f>
        <v>305</v>
      </c>
      <c r="R428">
        <f>IF(OR(calendar[[#This Row],[SP_BH]]=1,calendar[[#This Row],[WeekDay]]=1, calendar[[#This Row],[WeekDay]]=7),P427,P427+1)</f>
        <v>305</v>
      </c>
      <c r="S428">
        <f>IF(OR(calendar[[#This Row],[PT_BH]]=1,calendar[[#This Row],[WeekDay]]=1, calendar[[#This Row],[WeekDay]]=7),P427,P427+1)</f>
        <v>305</v>
      </c>
    </row>
    <row r="429" spans="1:19" x14ac:dyDescent="0.25">
      <c r="A429" s="2">
        <v>43163</v>
      </c>
      <c r="B429" s="1">
        <f t="shared" si="33"/>
        <v>10</v>
      </c>
      <c r="C429">
        <f t="shared" si="35"/>
        <v>3</v>
      </c>
      <c r="D429" t="str">
        <f t="shared" si="36"/>
        <v>March</v>
      </c>
      <c r="E429">
        <f t="shared" si="37"/>
        <v>2018</v>
      </c>
      <c r="F429" t="str">
        <f>CONCATENATE(calendar[[#This Row],[Month]],"/",calendar[[#This Row],[Year]])</f>
        <v>3/2018</v>
      </c>
      <c r="G429">
        <f>WEEKDAY(calendar[[#This Row],[Date]],1)</f>
        <v>1</v>
      </c>
      <c r="H429" t="str">
        <f>TEXT(calendar[[#This Row],[WeekDay]],"dddd")</f>
        <v>Sunday</v>
      </c>
      <c r="I429">
        <f>IF((INT(calendar[[#This Row],[Count]]/7)-calendar[[#This Row],[Count]]/7)&lt;0,I428,I428+1)</f>
        <v>62</v>
      </c>
      <c r="J429">
        <f t="shared" si="34"/>
        <v>427</v>
      </c>
      <c r="K429">
        <f>IF(calendar[[#This Row],[Month]]&lt;4,1,IF(calendar[[#This Row],[Month]]&lt;7,2,IF(calendar[[#This Row],[Month]]&lt;10,3,4)))</f>
        <v>1</v>
      </c>
      <c r="L429">
        <f>IFERROR(IF(VLOOKUP(calendar[[#This Row],[Date]],BH!A:A,1,)&lt;&gt;"",1,0),0)</f>
        <v>0</v>
      </c>
      <c r="M429">
        <f>IFERROR(IF(VLOOKUP(calendar[[#This Row],[Date]],BH!C:C,1,)&lt;&gt;"",1,0),0)</f>
        <v>0</v>
      </c>
      <c r="N429">
        <f>IFERROR(IF(VLOOKUP(calendar[[#This Row],[Date]],BH!E:E,1,)&lt;&gt;"",1,0),0)</f>
        <v>0</v>
      </c>
      <c r="O429">
        <f>IFERROR(IF(VLOOKUP(calendar[[#This Row],[Date]],BH!G:G,1,)&lt;&gt;"",1,0),0)</f>
        <v>0</v>
      </c>
      <c r="P429">
        <f>IF(OR(calendar[[#This Row],[UK_BH]]=1,calendar[[#This Row],[WeekDay]]=1, calendar[[#This Row],[WeekDay]]=7),P428,P428+1)</f>
        <v>305</v>
      </c>
      <c r="Q429">
        <f>IF(OR(calendar[[#This Row],[FR_BH]]=1,calendar[[#This Row],[WeekDay]]=1, calendar[[#This Row],[WeekDay]]=7),P428,P428+1)</f>
        <v>305</v>
      </c>
      <c r="R429">
        <f>IF(OR(calendar[[#This Row],[SP_BH]]=1,calendar[[#This Row],[WeekDay]]=1, calendar[[#This Row],[WeekDay]]=7),P428,P428+1)</f>
        <v>305</v>
      </c>
      <c r="S429">
        <f>IF(OR(calendar[[#This Row],[PT_BH]]=1,calendar[[#This Row],[WeekDay]]=1, calendar[[#This Row],[WeekDay]]=7),P428,P428+1)</f>
        <v>305</v>
      </c>
    </row>
    <row r="430" spans="1:19" x14ac:dyDescent="0.25">
      <c r="A430" s="2">
        <v>43164</v>
      </c>
      <c r="B430" s="1">
        <f t="shared" si="33"/>
        <v>10</v>
      </c>
      <c r="C430">
        <f t="shared" si="35"/>
        <v>3</v>
      </c>
      <c r="D430" t="str">
        <f t="shared" si="36"/>
        <v>March</v>
      </c>
      <c r="E430">
        <f t="shared" si="37"/>
        <v>2018</v>
      </c>
      <c r="F430" t="str">
        <f>CONCATENATE(calendar[[#This Row],[Month]],"/",calendar[[#This Row],[Year]])</f>
        <v>3/2018</v>
      </c>
      <c r="G430">
        <f>WEEKDAY(calendar[[#This Row],[Date]],1)</f>
        <v>2</v>
      </c>
      <c r="H430" t="str">
        <f>TEXT(calendar[[#This Row],[WeekDay]],"dddd")</f>
        <v>Monday</v>
      </c>
      <c r="I430">
        <f>IF((INT(calendar[[#This Row],[Count]]/7)-calendar[[#This Row],[Count]]/7)&lt;0,I429,I429+1)</f>
        <v>62</v>
      </c>
      <c r="J430">
        <f t="shared" si="34"/>
        <v>428</v>
      </c>
      <c r="K430">
        <f>IF(calendar[[#This Row],[Month]]&lt;4,1,IF(calendar[[#This Row],[Month]]&lt;7,2,IF(calendar[[#This Row],[Month]]&lt;10,3,4)))</f>
        <v>1</v>
      </c>
      <c r="L430">
        <f>IFERROR(IF(VLOOKUP(calendar[[#This Row],[Date]],BH!A:A,1,)&lt;&gt;"",1,0),0)</f>
        <v>0</v>
      </c>
      <c r="M430">
        <f>IFERROR(IF(VLOOKUP(calendar[[#This Row],[Date]],BH!C:C,1,)&lt;&gt;"",1,0),0)</f>
        <v>0</v>
      </c>
      <c r="N430">
        <f>IFERROR(IF(VLOOKUP(calendar[[#This Row],[Date]],BH!E:E,1,)&lt;&gt;"",1,0),0)</f>
        <v>0</v>
      </c>
      <c r="O430">
        <f>IFERROR(IF(VLOOKUP(calendar[[#This Row],[Date]],BH!G:G,1,)&lt;&gt;"",1,0),0)</f>
        <v>0</v>
      </c>
      <c r="P430">
        <f>IF(OR(calendar[[#This Row],[UK_BH]]=1,calendar[[#This Row],[WeekDay]]=1, calendar[[#This Row],[WeekDay]]=7),P429,P429+1)</f>
        <v>306</v>
      </c>
      <c r="Q430">
        <f>IF(OR(calendar[[#This Row],[FR_BH]]=1,calendar[[#This Row],[WeekDay]]=1, calendar[[#This Row],[WeekDay]]=7),P429,P429+1)</f>
        <v>306</v>
      </c>
      <c r="R430">
        <f>IF(OR(calendar[[#This Row],[SP_BH]]=1,calendar[[#This Row],[WeekDay]]=1, calendar[[#This Row],[WeekDay]]=7),P429,P429+1)</f>
        <v>306</v>
      </c>
      <c r="S430">
        <f>IF(OR(calendar[[#This Row],[PT_BH]]=1,calendar[[#This Row],[WeekDay]]=1, calendar[[#This Row],[WeekDay]]=7),P429,P429+1)</f>
        <v>306</v>
      </c>
    </row>
    <row r="431" spans="1:19" x14ac:dyDescent="0.25">
      <c r="A431" s="2">
        <v>43165</v>
      </c>
      <c r="B431" s="1">
        <f t="shared" si="33"/>
        <v>10</v>
      </c>
      <c r="C431">
        <f t="shared" si="35"/>
        <v>3</v>
      </c>
      <c r="D431" t="str">
        <f t="shared" si="36"/>
        <v>March</v>
      </c>
      <c r="E431">
        <f t="shared" si="37"/>
        <v>2018</v>
      </c>
      <c r="F431" t="str">
        <f>CONCATENATE(calendar[[#This Row],[Month]],"/",calendar[[#This Row],[Year]])</f>
        <v>3/2018</v>
      </c>
      <c r="G431">
        <f>WEEKDAY(calendar[[#This Row],[Date]],1)</f>
        <v>3</v>
      </c>
      <c r="H431" t="str">
        <f>TEXT(calendar[[#This Row],[WeekDay]],"dddd")</f>
        <v>Tuesday</v>
      </c>
      <c r="I431">
        <f>IF((INT(calendar[[#This Row],[Count]]/7)-calendar[[#This Row],[Count]]/7)&lt;0,I430,I430+1)</f>
        <v>62</v>
      </c>
      <c r="J431">
        <f t="shared" si="34"/>
        <v>429</v>
      </c>
      <c r="K431">
        <f>IF(calendar[[#This Row],[Month]]&lt;4,1,IF(calendar[[#This Row],[Month]]&lt;7,2,IF(calendar[[#This Row],[Month]]&lt;10,3,4)))</f>
        <v>1</v>
      </c>
      <c r="L431">
        <f>IFERROR(IF(VLOOKUP(calendar[[#This Row],[Date]],BH!A:A,1,)&lt;&gt;"",1,0),0)</f>
        <v>0</v>
      </c>
      <c r="M431">
        <f>IFERROR(IF(VLOOKUP(calendar[[#This Row],[Date]],BH!C:C,1,)&lt;&gt;"",1,0),0)</f>
        <v>0</v>
      </c>
      <c r="N431">
        <f>IFERROR(IF(VLOOKUP(calendar[[#This Row],[Date]],BH!E:E,1,)&lt;&gt;"",1,0),0)</f>
        <v>0</v>
      </c>
      <c r="O431">
        <f>IFERROR(IF(VLOOKUP(calendar[[#This Row],[Date]],BH!G:G,1,)&lt;&gt;"",1,0),0)</f>
        <v>0</v>
      </c>
      <c r="P431">
        <f>IF(OR(calendar[[#This Row],[UK_BH]]=1,calendar[[#This Row],[WeekDay]]=1, calendar[[#This Row],[WeekDay]]=7),P430,P430+1)</f>
        <v>307</v>
      </c>
      <c r="Q431">
        <f>IF(OR(calendar[[#This Row],[FR_BH]]=1,calendar[[#This Row],[WeekDay]]=1, calendar[[#This Row],[WeekDay]]=7),P430,P430+1)</f>
        <v>307</v>
      </c>
      <c r="R431">
        <f>IF(OR(calendar[[#This Row],[SP_BH]]=1,calendar[[#This Row],[WeekDay]]=1, calendar[[#This Row],[WeekDay]]=7),P430,P430+1)</f>
        <v>307</v>
      </c>
      <c r="S431">
        <f>IF(OR(calendar[[#This Row],[PT_BH]]=1,calendar[[#This Row],[WeekDay]]=1, calendar[[#This Row],[WeekDay]]=7),P430,P430+1)</f>
        <v>307</v>
      </c>
    </row>
    <row r="432" spans="1:19" x14ac:dyDescent="0.25">
      <c r="A432" s="2">
        <v>43166</v>
      </c>
      <c r="B432" s="1">
        <f t="shared" si="33"/>
        <v>10</v>
      </c>
      <c r="C432">
        <f t="shared" si="35"/>
        <v>3</v>
      </c>
      <c r="D432" t="str">
        <f t="shared" si="36"/>
        <v>March</v>
      </c>
      <c r="E432">
        <f t="shared" si="37"/>
        <v>2018</v>
      </c>
      <c r="F432" t="str">
        <f>CONCATENATE(calendar[[#This Row],[Month]],"/",calendar[[#This Row],[Year]])</f>
        <v>3/2018</v>
      </c>
      <c r="G432">
        <f>WEEKDAY(calendar[[#This Row],[Date]],1)</f>
        <v>4</v>
      </c>
      <c r="H432" t="str">
        <f>TEXT(calendar[[#This Row],[WeekDay]],"dddd")</f>
        <v>Wednesday</v>
      </c>
      <c r="I432">
        <f>IF((INT(calendar[[#This Row],[Count]]/7)-calendar[[#This Row],[Count]]/7)&lt;0,I431,I431+1)</f>
        <v>62</v>
      </c>
      <c r="J432">
        <f t="shared" si="34"/>
        <v>430</v>
      </c>
      <c r="K432">
        <f>IF(calendar[[#This Row],[Month]]&lt;4,1,IF(calendar[[#This Row],[Month]]&lt;7,2,IF(calendar[[#This Row],[Month]]&lt;10,3,4)))</f>
        <v>1</v>
      </c>
      <c r="L432">
        <f>IFERROR(IF(VLOOKUP(calendar[[#This Row],[Date]],BH!A:A,1,)&lt;&gt;"",1,0),0)</f>
        <v>0</v>
      </c>
      <c r="M432">
        <f>IFERROR(IF(VLOOKUP(calendar[[#This Row],[Date]],BH!C:C,1,)&lt;&gt;"",1,0),0)</f>
        <v>0</v>
      </c>
      <c r="N432">
        <f>IFERROR(IF(VLOOKUP(calendar[[#This Row],[Date]],BH!E:E,1,)&lt;&gt;"",1,0),0)</f>
        <v>0</v>
      </c>
      <c r="O432">
        <f>IFERROR(IF(VLOOKUP(calendar[[#This Row],[Date]],BH!G:G,1,)&lt;&gt;"",1,0),0)</f>
        <v>0</v>
      </c>
      <c r="P432">
        <f>IF(OR(calendar[[#This Row],[UK_BH]]=1,calendar[[#This Row],[WeekDay]]=1, calendar[[#This Row],[WeekDay]]=7),P431,P431+1)</f>
        <v>308</v>
      </c>
      <c r="Q432">
        <f>IF(OR(calendar[[#This Row],[FR_BH]]=1,calendar[[#This Row],[WeekDay]]=1, calendar[[#This Row],[WeekDay]]=7),P431,P431+1)</f>
        <v>308</v>
      </c>
      <c r="R432">
        <f>IF(OR(calendar[[#This Row],[SP_BH]]=1,calendar[[#This Row],[WeekDay]]=1, calendar[[#This Row],[WeekDay]]=7),P431,P431+1)</f>
        <v>308</v>
      </c>
      <c r="S432">
        <f>IF(OR(calendar[[#This Row],[PT_BH]]=1,calendar[[#This Row],[WeekDay]]=1, calendar[[#This Row],[WeekDay]]=7),P431,P431+1)</f>
        <v>308</v>
      </c>
    </row>
    <row r="433" spans="1:19" x14ac:dyDescent="0.25">
      <c r="A433" s="2">
        <v>43167</v>
      </c>
      <c r="B433" s="1">
        <f t="shared" si="33"/>
        <v>10</v>
      </c>
      <c r="C433">
        <f t="shared" si="35"/>
        <v>3</v>
      </c>
      <c r="D433" t="str">
        <f t="shared" si="36"/>
        <v>March</v>
      </c>
      <c r="E433">
        <f t="shared" si="37"/>
        <v>2018</v>
      </c>
      <c r="F433" t="str">
        <f>CONCATENATE(calendar[[#This Row],[Month]],"/",calendar[[#This Row],[Year]])</f>
        <v>3/2018</v>
      </c>
      <c r="G433">
        <f>WEEKDAY(calendar[[#This Row],[Date]],1)</f>
        <v>5</v>
      </c>
      <c r="H433" t="str">
        <f>TEXT(calendar[[#This Row],[WeekDay]],"dddd")</f>
        <v>Thursday</v>
      </c>
      <c r="I433">
        <f>IF((INT(calendar[[#This Row],[Count]]/7)-calendar[[#This Row],[Count]]/7)&lt;0,I432,I432+1)</f>
        <v>62</v>
      </c>
      <c r="J433">
        <f t="shared" si="34"/>
        <v>431</v>
      </c>
      <c r="K433">
        <f>IF(calendar[[#This Row],[Month]]&lt;4,1,IF(calendar[[#This Row],[Month]]&lt;7,2,IF(calendar[[#This Row],[Month]]&lt;10,3,4)))</f>
        <v>1</v>
      </c>
      <c r="L433">
        <f>IFERROR(IF(VLOOKUP(calendar[[#This Row],[Date]],BH!A:A,1,)&lt;&gt;"",1,0),0)</f>
        <v>0</v>
      </c>
      <c r="M433">
        <f>IFERROR(IF(VLOOKUP(calendar[[#This Row],[Date]],BH!C:C,1,)&lt;&gt;"",1,0),0)</f>
        <v>0</v>
      </c>
      <c r="N433">
        <f>IFERROR(IF(VLOOKUP(calendar[[#This Row],[Date]],BH!E:E,1,)&lt;&gt;"",1,0),0)</f>
        <v>0</v>
      </c>
      <c r="O433">
        <f>IFERROR(IF(VLOOKUP(calendar[[#This Row],[Date]],BH!G:G,1,)&lt;&gt;"",1,0),0)</f>
        <v>0</v>
      </c>
      <c r="P433">
        <f>IF(OR(calendar[[#This Row],[UK_BH]]=1,calendar[[#This Row],[WeekDay]]=1, calendar[[#This Row],[WeekDay]]=7),P432,P432+1)</f>
        <v>309</v>
      </c>
      <c r="Q433">
        <f>IF(OR(calendar[[#This Row],[FR_BH]]=1,calendar[[#This Row],[WeekDay]]=1, calendar[[#This Row],[WeekDay]]=7),P432,P432+1)</f>
        <v>309</v>
      </c>
      <c r="R433">
        <f>IF(OR(calendar[[#This Row],[SP_BH]]=1,calendar[[#This Row],[WeekDay]]=1, calendar[[#This Row],[WeekDay]]=7),P432,P432+1)</f>
        <v>309</v>
      </c>
      <c r="S433">
        <f>IF(OR(calendar[[#This Row],[PT_BH]]=1,calendar[[#This Row],[WeekDay]]=1, calendar[[#This Row],[WeekDay]]=7),P432,P432+1)</f>
        <v>309</v>
      </c>
    </row>
    <row r="434" spans="1:19" x14ac:dyDescent="0.25">
      <c r="A434" s="2">
        <v>43168</v>
      </c>
      <c r="B434" s="1">
        <f t="shared" si="33"/>
        <v>10</v>
      </c>
      <c r="C434">
        <f t="shared" si="35"/>
        <v>3</v>
      </c>
      <c r="D434" t="str">
        <f t="shared" si="36"/>
        <v>March</v>
      </c>
      <c r="E434">
        <f t="shared" si="37"/>
        <v>2018</v>
      </c>
      <c r="F434" t="str">
        <f>CONCATENATE(calendar[[#This Row],[Month]],"/",calendar[[#This Row],[Year]])</f>
        <v>3/2018</v>
      </c>
      <c r="G434">
        <f>WEEKDAY(calendar[[#This Row],[Date]],1)</f>
        <v>6</v>
      </c>
      <c r="H434" t="str">
        <f>TEXT(calendar[[#This Row],[WeekDay]],"dddd")</f>
        <v>Friday</v>
      </c>
      <c r="I434">
        <f>IF((INT(calendar[[#This Row],[Count]]/7)-calendar[[#This Row],[Count]]/7)&lt;0,I433,I433+1)</f>
        <v>62</v>
      </c>
      <c r="J434">
        <f t="shared" si="34"/>
        <v>432</v>
      </c>
      <c r="K434">
        <f>IF(calendar[[#This Row],[Month]]&lt;4,1,IF(calendar[[#This Row],[Month]]&lt;7,2,IF(calendar[[#This Row],[Month]]&lt;10,3,4)))</f>
        <v>1</v>
      </c>
      <c r="L434">
        <f>IFERROR(IF(VLOOKUP(calendar[[#This Row],[Date]],BH!A:A,1,)&lt;&gt;"",1,0),0)</f>
        <v>0</v>
      </c>
      <c r="M434">
        <f>IFERROR(IF(VLOOKUP(calendar[[#This Row],[Date]],BH!C:C,1,)&lt;&gt;"",1,0),0)</f>
        <v>0</v>
      </c>
      <c r="N434">
        <f>IFERROR(IF(VLOOKUP(calendar[[#This Row],[Date]],BH!E:E,1,)&lt;&gt;"",1,0),0)</f>
        <v>0</v>
      </c>
      <c r="O434">
        <f>IFERROR(IF(VLOOKUP(calendar[[#This Row],[Date]],BH!G:G,1,)&lt;&gt;"",1,0),0)</f>
        <v>0</v>
      </c>
      <c r="P434">
        <f>IF(OR(calendar[[#This Row],[UK_BH]]=1,calendar[[#This Row],[WeekDay]]=1, calendar[[#This Row],[WeekDay]]=7),P433,P433+1)</f>
        <v>310</v>
      </c>
      <c r="Q434">
        <f>IF(OR(calendar[[#This Row],[FR_BH]]=1,calendar[[#This Row],[WeekDay]]=1, calendar[[#This Row],[WeekDay]]=7),P433,P433+1)</f>
        <v>310</v>
      </c>
      <c r="R434">
        <f>IF(OR(calendar[[#This Row],[SP_BH]]=1,calendar[[#This Row],[WeekDay]]=1, calendar[[#This Row],[WeekDay]]=7),P433,P433+1)</f>
        <v>310</v>
      </c>
      <c r="S434">
        <f>IF(OR(calendar[[#This Row],[PT_BH]]=1,calendar[[#This Row],[WeekDay]]=1, calendar[[#This Row],[WeekDay]]=7),P433,P433+1)</f>
        <v>310</v>
      </c>
    </row>
    <row r="435" spans="1:19" x14ac:dyDescent="0.25">
      <c r="A435" s="2">
        <v>43169</v>
      </c>
      <c r="B435" s="1">
        <f t="shared" si="33"/>
        <v>10</v>
      </c>
      <c r="C435">
        <f t="shared" si="35"/>
        <v>3</v>
      </c>
      <c r="D435" t="str">
        <f t="shared" si="36"/>
        <v>March</v>
      </c>
      <c r="E435">
        <f t="shared" si="37"/>
        <v>2018</v>
      </c>
      <c r="F435" t="str">
        <f>CONCATENATE(calendar[[#This Row],[Month]],"/",calendar[[#This Row],[Year]])</f>
        <v>3/2018</v>
      </c>
      <c r="G435">
        <f>WEEKDAY(calendar[[#This Row],[Date]],1)</f>
        <v>7</v>
      </c>
      <c r="H435" t="str">
        <f>TEXT(calendar[[#This Row],[WeekDay]],"dddd")</f>
        <v>Saturday</v>
      </c>
      <c r="I435">
        <f>IF((INT(calendar[[#This Row],[Count]]/7)-calendar[[#This Row],[Count]]/7)&lt;0,I434,I434+1)</f>
        <v>62</v>
      </c>
      <c r="J435">
        <f t="shared" si="34"/>
        <v>433</v>
      </c>
      <c r="K435">
        <f>IF(calendar[[#This Row],[Month]]&lt;4,1,IF(calendar[[#This Row],[Month]]&lt;7,2,IF(calendar[[#This Row],[Month]]&lt;10,3,4)))</f>
        <v>1</v>
      </c>
      <c r="L435">
        <f>IFERROR(IF(VLOOKUP(calendar[[#This Row],[Date]],BH!A:A,1,)&lt;&gt;"",1,0),0)</f>
        <v>0</v>
      </c>
      <c r="M435">
        <f>IFERROR(IF(VLOOKUP(calendar[[#This Row],[Date]],BH!C:C,1,)&lt;&gt;"",1,0),0)</f>
        <v>0</v>
      </c>
      <c r="N435">
        <f>IFERROR(IF(VLOOKUP(calendar[[#This Row],[Date]],BH!E:E,1,)&lt;&gt;"",1,0),0)</f>
        <v>0</v>
      </c>
      <c r="O435">
        <f>IFERROR(IF(VLOOKUP(calendar[[#This Row],[Date]],BH!G:G,1,)&lt;&gt;"",1,0),0)</f>
        <v>0</v>
      </c>
      <c r="P435">
        <f>IF(OR(calendar[[#This Row],[UK_BH]]=1,calendar[[#This Row],[WeekDay]]=1, calendar[[#This Row],[WeekDay]]=7),P434,P434+1)</f>
        <v>310</v>
      </c>
      <c r="Q435">
        <f>IF(OR(calendar[[#This Row],[FR_BH]]=1,calendar[[#This Row],[WeekDay]]=1, calendar[[#This Row],[WeekDay]]=7),P434,P434+1)</f>
        <v>310</v>
      </c>
      <c r="R435">
        <f>IF(OR(calendar[[#This Row],[SP_BH]]=1,calendar[[#This Row],[WeekDay]]=1, calendar[[#This Row],[WeekDay]]=7),P434,P434+1)</f>
        <v>310</v>
      </c>
      <c r="S435">
        <f>IF(OR(calendar[[#This Row],[PT_BH]]=1,calendar[[#This Row],[WeekDay]]=1, calendar[[#This Row],[WeekDay]]=7),P434,P434+1)</f>
        <v>310</v>
      </c>
    </row>
    <row r="436" spans="1:19" x14ac:dyDescent="0.25">
      <c r="A436" s="2">
        <v>43170</v>
      </c>
      <c r="B436" s="1">
        <f t="shared" si="33"/>
        <v>11</v>
      </c>
      <c r="C436">
        <f t="shared" si="35"/>
        <v>3</v>
      </c>
      <c r="D436" t="str">
        <f t="shared" si="36"/>
        <v>March</v>
      </c>
      <c r="E436">
        <f t="shared" si="37"/>
        <v>2018</v>
      </c>
      <c r="F436" t="str">
        <f>CONCATENATE(calendar[[#This Row],[Month]],"/",calendar[[#This Row],[Year]])</f>
        <v>3/2018</v>
      </c>
      <c r="G436">
        <f>WEEKDAY(calendar[[#This Row],[Date]],1)</f>
        <v>1</v>
      </c>
      <c r="H436" t="str">
        <f>TEXT(calendar[[#This Row],[WeekDay]],"dddd")</f>
        <v>Sunday</v>
      </c>
      <c r="I436">
        <f>IF((INT(calendar[[#This Row],[Count]]/7)-calendar[[#This Row],[Count]]/7)&lt;0,I435,I435+1)</f>
        <v>63</v>
      </c>
      <c r="J436">
        <f t="shared" si="34"/>
        <v>434</v>
      </c>
      <c r="K436">
        <f>IF(calendar[[#This Row],[Month]]&lt;4,1,IF(calendar[[#This Row],[Month]]&lt;7,2,IF(calendar[[#This Row],[Month]]&lt;10,3,4)))</f>
        <v>1</v>
      </c>
      <c r="L436">
        <f>IFERROR(IF(VLOOKUP(calendar[[#This Row],[Date]],BH!A:A,1,)&lt;&gt;"",1,0),0)</f>
        <v>0</v>
      </c>
      <c r="M436">
        <f>IFERROR(IF(VLOOKUP(calendar[[#This Row],[Date]],BH!C:C,1,)&lt;&gt;"",1,0),0)</f>
        <v>0</v>
      </c>
      <c r="N436">
        <f>IFERROR(IF(VLOOKUP(calendar[[#This Row],[Date]],BH!E:E,1,)&lt;&gt;"",1,0),0)</f>
        <v>0</v>
      </c>
      <c r="O436">
        <f>IFERROR(IF(VLOOKUP(calendar[[#This Row],[Date]],BH!G:G,1,)&lt;&gt;"",1,0),0)</f>
        <v>0</v>
      </c>
      <c r="P436">
        <f>IF(OR(calendar[[#This Row],[UK_BH]]=1,calendar[[#This Row],[WeekDay]]=1, calendar[[#This Row],[WeekDay]]=7),P435,P435+1)</f>
        <v>310</v>
      </c>
      <c r="Q436">
        <f>IF(OR(calendar[[#This Row],[FR_BH]]=1,calendar[[#This Row],[WeekDay]]=1, calendar[[#This Row],[WeekDay]]=7),P435,P435+1)</f>
        <v>310</v>
      </c>
      <c r="R436">
        <f>IF(OR(calendar[[#This Row],[SP_BH]]=1,calendar[[#This Row],[WeekDay]]=1, calendar[[#This Row],[WeekDay]]=7),P435,P435+1)</f>
        <v>310</v>
      </c>
      <c r="S436">
        <f>IF(OR(calendar[[#This Row],[PT_BH]]=1,calendar[[#This Row],[WeekDay]]=1, calendar[[#This Row],[WeekDay]]=7),P435,P435+1)</f>
        <v>310</v>
      </c>
    </row>
    <row r="437" spans="1:19" x14ac:dyDescent="0.25">
      <c r="A437" s="2">
        <v>43171</v>
      </c>
      <c r="B437" s="1">
        <f t="shared" si="33"/>
        <v>11</v>
      </c>
      <c r="C437">
        <f t="shared" si="35"/>
        <v>3</v>
      </c>
      <c r="D437" t="str">
        <f t="shared" si="36"/>
        <v>March</v>
      </c>
      <c r="E437">
        <f t="shared" si="37"/>
        <v>2018</v>
      </c>
      <c r="F437" t="str">
        <f>CONCATENATE(calendar[[#This Row],[Month]],"/",calendar[[#This Row],[Year]])</f>
        <v>3/2018</v>
      </c>
      <c r="G437">
        <f>WEEKDAY(calendar[[#This Row],[Date]],1)</f>
        <v>2</v>
      </c>
      <c r="H437" t="str">
        <f>TEXT(calendar[[#This Row],[WeekDay]],"dddd")</f>
        <v>Monday</v>
      </c>
      <c r="I437">
        <f>IF((INT(calendar[[#This Row],[Count]]/7)-calendar[[#This Row],[Count]]/7)&lt;0,I436,I436+1)</f>
        <v>63</v>
      </c>
      <c r="J437">
        <f t="shared" si="34"/>
        <v>435</v>
      </c>
      <c r="K437">
        <f>IF(calendar[[#This Row],[Month]]&lt;4,1,IF(calendar[[#This Row],[Month]]&lt;7,2,IF(calendar[[#This Row],[Month]]&lt;10,3,4)))</f>
        <v>1</v>
      </c>
      <c r="L437">
        <f>IFERROR(IF(VLOOKUP(calendar[[#This Row],[Date]],BH!A:A,1,)&lt;&gt;"",1,0),0)</f>
        <v>0</v>
      </c>
      <c r="M437">
        <f>IFERROR(IF(VLOOKUP(calendar[[#This Row],[Date]],BH!C:C,1,)&lt;&gt;"",1,0),0)</f>
        <v>0</v>
      </c>
      <c r="N437">
        <f>IFERROR(IF(VLOOKUP(calendar[[#This Row],[Date]],BH!E:E,1,)&lt;&gt;"",1,0),0)</f>
        <v>0</v>
      </c>
      <c r="O437">
        <f>IFERROR(IF(VLOOKUP(calendar[[#This Row],[Date]],BH!G:G,1,)&lt;&gt;"",1,0),0)</f>
        <v>0</v>
      </c>
      <c r="P437">
        <f>IF(OR(calendar[[#This Row],[UK_BH]]=1,calendar[[#This Row],[WeekDay]]=1, calendar[[#This Row],[WeekDay]]=7),P436,P436+1)</f>
        <v>311</v>
      </c>
      <c r="Q437">
        <f>IF(OR(calendar[[#This Row],[FR_BH]]=1,calendar[[#This Row],[WeekDay]]=1, calendar[[#This Row],[WeekDay]]=7),P436,P436+1)</f>
        <v>311</v>
      </c>
      <c r="R437">
        <f>IF(OR(calendar[[#This Row],[SP_BH]]=1,calendar[[#This Row],[WeekDay]]=1, calendar[[#This Row],[WeekDay]]=7),P436,P436+1)</f>
        <v>311</v>
      </c>
      <c r="S437">
        <f>IF(OR(calendar[[#This Row],[PT_BH]]=1,calendar[[#This Row],[WeekDay]]=1, calendar[[#This Row],[WeekDay]]=7),P436,P436+1)</f>
        <v>311</v>
      </c>
    </row>
    <row r="438" spans="1:19" x14ac:dyDescent="0.25">
      <c r="A438" s="2">
        <v>43172</v>
      </c>
      <c r="B438" s="1">
        <f t="shared" si="33"/>
        <v>11</v>
      </c>
      <c r="C438">
        <f t="shared" si="35"/>
        <v>3</v>
      </c>
      <c r="D438" t="str">
        <f t="shared" si="36"/>
        <v>March</v>
      </c>
      <c r="E438">
        <f t="shared" si="37"/>
        <v>2018</v>
      </c>
      <c r="F438" t="str">
        <f>CONCATENATE(calendar[[#This Row],[Month]],"/",calendar[[#This Row],[Year]])</f>
        <v>3/2018</v>
      </c>
      <c r="G438">
        <f>WEEKDAY(calendar[[#This Row],[Date]],1)</f>
        <v>3</v>
      </c>
      <c r="H438" t="str">
        <f>TEXT(calendar[[#This Row],[WeekDay]],"dddd")</f>
        <v>Tuesday</v>
      </c>
      <c r="I438">
        <f>IF((INT(calendar[[#This Row],[Count]]/7)-calendar[[#This Row],[Count]]/7)&lt;0,I437,I437+1)</f>
        <v>63</v>
      </c>
      <c r="J438">
        <f t="shared" si="34"/>
        <v>436</v>
      </c>
      <c r="K438">
        <f>IF(calendar[[#This Row],[Month]]&lt;4,1,IF(calendar[[#This Row],[Month]]&lt;7,2,IF(calendar[[#This Row],[Month]]&lt;10,3,4)))</f>
        <v>1</v>
      </c>
      <c r="L438">
        <f>IFERROR(IF(VLOOKUP(calendar[[#This Row],[Date]],BH!A:A,1,)&lt;&gt;"",1,0),0)</f>
        <v>0</v>
      </c>
      <c r="M438">
        <f>IFERROR(IF(VLOOKUP(calendar[[#This Row],[Date]],BH!C:C,1,)&lt;&gt;"",1,0),0)</f>
        <v>0</v>
      </c>
      <c r="N438">
        <f>IFERROR(IF(VLOOKUP(calendar[[#This Row],[Date]],BH!E:E,1,)&lt;&gt;"",1,0),0)</f>
        <v>0</v>
      </c>
      <c r="O438">
        <f>IFERROR(IF(VLOOKUP(calendar[[#This Row],[Date]],BH!G:G,1,)&lt;&gt;"",1,0),0)</f>
        <v>0</v>
      </c>
      <c r="P438">
        <f>IF(OR(calendar[[#This Row],[UK_BH]]=1,calendar[[#This Row],[WeekDay]]=1, calendar[[#This Row],[WeekDay]]=7),P437,P437+1)</f>
        <v>312</v>
      </c>
      <c r="Q438">
        <f>IF(OR(calendar[[#This Row],[FR_BH]]=1,calendar[[#This Row],[WeekDay]]=1, calendar[[#This Row],[WeekDay]]=7),P437,P437+1)</f>
        <v>312</v>
      </c>
      <c r="R438">
        <f>IF(OR(calendar[[#This Row],[SP_BH]]=1,calendar[[#This Row],[WeekDay]]=1, calendar[[#This Row],[WeekDay]]=7),P437,P437+1)</f>
        <v>312</v>
      </c>
      <c r="S438">
        <f>IF(OR(calendar[[#This Row],[PT_BH]]=1,calendar[[#This Row],[WeekDay]]=1, calendar[[#This Row],[WeekDay]]=7),P437,P437+1)</f>
        <v>312</v>
      </c>
    </row>
    <row r="439" spans="1:19" x14ac:dyDescent="0.25">
      <c r="A439" s="2">
        <v>43173</v>
      </c>
      <c r="B439" s="1">
        <f t="shared" si="33"/>
        <v>11</v>
      </c>
      <c r="C439">
        <f t="shared" si="35"/>
        <v>3</v>
      </c>
      <c r="D439" t="str">
        <f t="shared" si="36"/>
        <v>March</v>
      </c>
      <c r="E439">
        <f t="shared" si="37"/>
        <v>2018</v>
      </c>
      <c r="F439" t="str">
        <f>CONCATENATE(calendar[[#This Row],[Month]],"/",calendar[[#This Row],[Year]])</f>
        <v>3/2018</v>
      </c>
      <c r="G439">
        <f>WEEKDAY(calendar[[#This Row],[Date]],1)</f>
        <v>4</v>
      </c>
      <c r="H439" t="str">
        <f>TEXT(calendar[[#This Row],[WeekDay]],"dddd")</f>
        <v>Wednesday</v>
      </c>
      <c r="I439">
        <f>IF((INT(calendar[[#This Row],[Count]]/7)-calendar[[#This Row],[Count]]/7)&lt;0,I438,I438+1)</f>
        <v>63</v>
      </c>
      <c r="J439">
        <f t="shared" si="34"/>
        <v>437</v>
      </c>
      <c r="K439">
        <f>IF(calendar[[#This Row],[Month]]&lt;4,1,IF(calendar[[#This Row],[Month]]&lt;7,2,IF(calendar[[#This Row],[Month]]&lt;10,3,4)))</f>
        <v>1</v>
      </c>
      <c r="L439">
        <f>IFERROR(IF(VLOOKUP(calendar[[#This Row],[Date]],BH!A:A,1,)&lt;&gt;"",1,0),0)</f>
        <v>0</v>
      </c>
      <c r="M439">
        <f>IFERROR(IF(VLOOKUP(calendar[[#This Row],[Date]],BH!C:C,1,)&lt;&gt;"",1,0),0)</f>
        <v>0</v>
      </c>
      <c r="N439">
        <f>IFERROR(IF(VLOOKUP(calendar[[#This Row],[Date]],BH!E:E,1,)&lt;&gt;"",1,0),0)</f>
        <v>0</v>
      </c>
      <c r="O439">
        <f>IFERROR(IF(VLOOKUP(calendar[[#This Row],[Date]],BH!G:G,1,)&lt;&gt;"",1,0),0)</f>
        <v>0</v>
      </c>
      <c r="P439">
        <f>IF(OR(calendar[[#This Row],[UK_BH]]=1,calendar[[#This Row],[WeekDay]]=1, calendar[[#This Row],[WeekDay]]=7),P438,P438+1)</f>
        <v>313</v>
      </c>
      <c r="Q439">
        <f>IF(OR(calendar[[#This Row],[FR_BH]]=1,calendar[[#This Row],[WeekDay]]=1, calendar[[#This Row],[WeekDay]]=7),P438,P438+1)</f>
        <v>313</v>
      </c>
      <c r="R439">
        <f>IF(OR(calendar[[#This Row],[SP_BH]]=1,calendar[[#This Row],[WeekDay]]=1, calendar[[#This Row],[WeekDay]]=7),P438,P438+1)</f>
        <v>313</v>
      </c>
      <c r="S439">
        <f>IF(OR(calendar[[#This Row],[PT_BH]]=1,calendar[[#This Row],[WeekDay]]=1, calendar[[#This Row],[WeekDay]]=7),P438,P438+1)</f>
        <v>313</v>
      </c>
    </row>
    <row r="440" spans="1:19" x14ac:dyDescent="0.25">
      <c r="A440" s="2">
        <v>43174</v>
      </c>
      <c r="B440" s="1">
        <f t="shared" si="33"/>
        <v>11</v>
      </c>
      <c r="C440">
        <f t="shared" si="35"/>
        <v>3</v>
      </c>
      <c r="D440" t="str">
        <f t="shared" si="36"/>
        <v>March</v>
      </c>
      <c r="E440">
        <f t="shared" si="37"/>
        <v>2018</v>
      </c>
      <c r="F440" t="str">
        <f>CONCATENATE(calendar[[#This Row],[Month]],"/",calendar[[#This Row],[Year]])</f>
        <v>3/2018</v>
      </c>
      <c r="G440">
        <f>WEEKDAY(calendar[[#This Row],[Date]],1)</f>
        <v>5</v>
      </c>
      <c r="H440" t="str">
        <f>TEXT(calendar[[#This Row],[WeekDay]],"dddd")</f>
        <v>Thursday</v>
      </c>
      <c r="I440">
        <f>IF((INT(calendar[[#This Row],[Count]]/7)-calendar[[#This Row],[Count]]/7)&lt;0,I439,I439+1)</f>
        <v>63</v>
      </c>
      <c r="J440">
        <f t="shared" si="34"/>
        <v>438</v>
      </c>
      <c r="K440">
        <f>IF(calendar[[#This Row],[Month]]&lt;4,1,IF(calendar[[#This Row],[Month]]&lt;7,2,IF(calendar[[#This Row],[Month]]&lt;10,3,4)))</f>
        <v>1</v>
      </c>
      <c r="L440">
        <f>IFERROR(IF(VLOOKUP(calendar[[#This Row],[Date]],BH!A:A,1,)&lt;&gt;"",1,0),0)</f>
        <v>0</v>
      </c>
      <c r="M440">
        <f>IFERROR(IF(VLOOKUP(calendar[[#This Row],[Date]],BH!C:C,1,)&lt;&gt;"",1,0),0)</f>
        <v>0</v>
      </c>
      <c r="N440">
        <f>IFERROR(IF(VLOOKUP(calendar[[#This Row],[Date]],BH!E:E,1,)&lt;&gt;"",1,0),0)</f>
        <v>0</v>
      </c>
      <c r="O440">
        <f>IFERROR(IF(VLOOKUP(calendar[[#This Row],[Date]],BH!G:G,1,)&lt;&gt;"",1,0),0)</f>
        <v>0</v>
      </c>
      <c r="P440">
        <f>IF(OR(calendar[[#This Row],[UK_BH]]=1,calendar[[#This Row],[WeekDay]]=1, calendar[[#This Row],[WeekDay]]=7),P439,P439+1)</f>
        <v>314</v>
      </c>
      <c r="Q440">
        <f>IF(OR(calendar[[#This Row],[FR_BH]]=1,calendar[[#This Row],[WeekDay]]=1, calendar[[#This Row],[WeekDay]]=7),P439,P439+1)</f>
        <v>314</v>
      </c>
      <c r="R440">
        <f>IF(OR(calendar[[#This Row],[SP_BH]]=1,calendar[[#This Row],[WeekDay]]=1, calendar[[#This Row],[WeekDay]]=7),P439,P439+1)</f>
        <v>314</v>
      </c>
      <c r="S440">
        <f>IF(OR(calendar[[#This Row],[PT_BH]]=1,calendar[[#This Row],[WeekDay]]=1, calendar[[#This Row],[WeekDay]]=7),P439,P439+1)</f>
        <v>314</v>
      </c>
    </row>
    <row r="441" spans="1:19" x14ac:dyDescent="0.25">
      <c r="A441" s="2">
        <v>43175</v>
      </c>
      <c r="B441" s="1">
        <f t="shared" si="33"/>
        <v>11</v>
      </c>
      <c r="C441">
        <f t="shared" si="35"/>
        <v>3</v>
      </c>
      <c r="D441" t="str">
        <f t="shared" si="36"/>
        <v>March</v>
      </c>
      <c r="E441">
        <f t="shared" si="37"/>
        <v>2018</v>
      </c>
      <c r="F441" t="str">
        <f>CONCATENATE(calendar[[#This Row],[Month]],"/",calendar[[#This Row],[Year]])</f>
        <v>3/2018</v>
      </c>
      <c r="G441">
        <f>WEEKDAY(calendar[[#This Row],[Date]],1)</f>
        <v>6</v>
      </c>
      <c r="H441" t="str">
        <f>TEXT(calendar[[#This Row],[WeekDay]],"dddd")</f>
        <v>Friday</v>
      </c>
      <c r="I441">
        <f>IF((INT(calendar[[#This Row],[Count]]/7)-calendar[[#This Row],[Count]]/7)&lt;0,I440,I440+1)</f>
        <v>63</v>
      </c>
      <c r="J441">
        <f t="shared" si="34"/>
        <v>439</v>
      </c>
      <c r="K441">
        <f>IF(calendar[[#This Row],[Month]]&lt;4,1,IF(calendar[[#This Row],[Month]]&lt;7,2,IF(calendar[[#This Row],[Month]]&lt;10,3,4)))</f>
        <v>1</v>
      </c>
      <c r="L441">
        <f>IFERROR(IF(VLOOKUP(calendar[[#This Row],[Date]],BH!A:A,1,)&lt;&gt;"",1,0),0)</f>
        <v>0</v>
      </c>
      <c r="M441">
        <f>IFERROR(IF(VLOOKUP(calendar[[#This Row],[Date]],BH!C:C,1,)&lt;&gt;"",1,0),0)</f>
        <v>0</v>
      </c>
      <c r="N441">
        <f>IFERROR(IF(VLOOKUP(calendar[[#This Row],[Date]],BH!E:E,1,)&lt;&gt;"",1,0),0)</f>
        <v>0</v>
      </c>
      <c r="O441">
        <f>IFERROR(IF(VLOOKUP(calendar[[#This Row],[Date]],BH!G:G,1,)&lt;&gt;"",1,0),0)</f>
        <v>0</v>
      </c>
      <c r="P441">
        <f>IF(OR(calendar[[#This Row],[UK_BH]]=1,calendar[[#This Row],[WeekDay]]=1, calendar[[#This Row],[WeekDay]]=7),P440,P440+1)</f>
        <v>315</v>
      </c>
      <c r="Q441">
        <f>IF(OR(calendar[[#This Row],[FR_BH]]=1,calendar[[#This Row],[WeekDay]]=1, calendar[[#This Row],[WeekDay]]=7),P440,P440+1)</f>
        <v>315</v>
      </c>
      <c r="R441">
        <f>IF(OR(calendar[[#This Row],[SP_BH]]=1,calendar[[#This Row],[WeekDay]]=1, calendar[[#This Row],[WeekDay]]=7),P440,P440+1)</f>
        <v>315</v>
      </c>
      <c r="S441">
        <f>IF(OR(calendar[[#This Row],[PT_BH]]=1,calendar[[#This Row],[WeekDay]]=1, calendar[[#This Row],[WeekDay]]=7),P440,P440+1)</f>
        <v>315</v>
      </c>
    </row>
    <row r="442" spans="1:19" x14ac:dyDescent="0.25">
      <c r="A442" s="2">
        <v>43176</v>
      </c>
      <c r="B442" s="1">
        <f t="shared" si="33"/>
        <v>11</v>
      </c>
      <c r="C442">
        <f t="shared" si="35"/>
        <v>3</v>
      </c>
      <c r="D442" t="str">
        <f t="shared" si="36"/>
        <v>March</v>
      </c>
      <c r="E442">
        <f t="shared" si="37"/>
        <v>2018</v>
      </c>
      <c r="F442" t="str">
        <f>CONCATENATE(calendar[[#This Row],[Month]],"/",calendar[[#This Row],[Year]])</f>
        <v>3/2018</v>
      </c>
      <c r="G442">
        <f>WEEKDAY(calendar[[#This Row],[Date]],1)</f>
        <v>7</v>
      </c>
      <c r="H442" t="str">
        <f>TEXT(calendar[[#This Row],[WeekDay]],"dddd")</f>
        <v>Saturday</v>
      </c>
      <c r="I442">
        <f>IF((INT(calendar[[#This Row],[Count]]/7)-calendar[[#This Row],[Count]]/7)&lt;0,I441,I441+1)</f>
        <v>63</v>
      </c>
      <c r="J442">
        <f t="shared" si="34"/>
        <v>440</v>
      </c>
      <c r="K442">
        <f>IF(calendar[[#This Row],[Month]]&lt;4,1,IF(calendar[[#This Row],[Month]]&lt;7,2,IF(calendar[[#This Row],[Month]]&lt;10,3,4)))</f>
        <v>1</v>
      </c>
      <c r="L442">
        <f>IFERROR(IF(VLOOKUP(calendar[[#This Row],[Date]],BH!A:A,1,)&lt;&gt;"",1,0),0)</f>
        <v>0</v>
      </c>
      <c r="M442">
        <f>IFERROR(IF(VLOOKUP(calendar[[#This Row],[Date]],BH!C:C,1,)&lt;&gt;"",1,0),0)</f>
        <v>0</v>
      </c>
      <c r="N442">
        <f>IFERROR(IF(VLOOKUP(calendar[[#This Row],[Date]],BH!E:E,1,)&lt;&gt;"",1,0),0)</f>
        <v>0</v>
      </c>
      <c r="O442">
        <f>IFERROR(IF(VLOOKUP(calendar[[#This Row],[Date]],BH!G:G,1,)&lt;&gt;"",1,0),0)</f>
        <v>0</v>
      </c>
      <c r="P442">
        <f>IF(OR(calendar[[#This Row],[UK_BH]]=1,calendar[[#This Row],[WeekDay]]=1, calendar[[#This Row],[WeekDay]]=7),P441,P441+1)</f>
        <v>315</v>
      </c>
      <c r="Q442">
        <f>IF(OR(calendar[[#This Row],[FR_BH]]=1,calendar[[#This Row],[WeekDay]]=1, calendar[[#This Row],[WeekDay]]=7),P441,P441+1)</f>
        <v>315</v>
      </c>
      <c r="R442">
        <f>IF(OR(calendar[[#This Row],[SP_BH]]=1,calendar[[#This Row],[WeekDay]]=1, calendar[[#This Row],[WeekDay]]=7),P441,P441+1)</f>
        <v>315</v>
      </c>
      <c r="S442">
        <f>IF(OR(calendar[[#This Row],[PT_BH]]=1,calendar[[#This Row],[WeekDay]]=1, calendar[[#This Row],[WeekDay]]=7),P441,P441+1)</f>
        <v>315</v>
      </c>
    </row>
    <row r="443" spans="1:19" x14ac:dyDescent="0.25">
      <c r="A443" s="2">
        <v>43177</v>
      </c>
      <c r="B443" s="1">
        <f t="shared" si="33"/>
        <v>12</v>
      </c>
      <c r="C443">
        <f t="shared" si="35"/>
        <v>3</v>
      </c>
      <c r="D443" t="str">
        <f t="shared" si="36"/>
        <v>March</v>
      </c>
      <c r="E443">
        <f t="shared" si="37"/>
        <v>2018</v>
      </c>
      <c r="F443" t="str">
        <f>CONCATENATE(calendar[[#This Row],[Month]],"/",calendar[[#This Row],[Year]])</f>
        <v>3/2018</v>
      </c>
      <c r="G443">
        <f>WEEKDAY(calendar[[#This Row],[Date]],1)</f>
        <v>1</v>
      </c>
      <c r="H443" t="str">
        <f>TEXT(calendar[[#This Row],[WeekDay]],"dddd")</f>
        <v>Sunday</v>
      </c>
      <c r="I443">
        <f>IF((INT(calendar[[#This Row],[Count]]/7)-calendar[[#This Row],[Count]]/7)&lt;0,I442,I442+1)</f>
        <v>64</v>
      </c>
      <c r="J443">
        <f t="shared" si="34"/>
        <v>441</v>
      </c>
      <c r="K443">
        <f>IF(calendar[[#This Row],[Month]]&lt;4,1,IF(calendar[[#This Row],[Month]]&lt;7,2,IF(calendar[[#This Row],[Month]]&lt;10,3,4)))</f>
        <v>1</v>
      </c>
      <c r="L443">
        <f>IFERROR(IF(VLOOKUP(calendar[[#This Row],[Date]],BH!A:A,1,)&lt;&gt;"",1,0),0)</f>
        <v>0</v>
      </c>
      <c r="M443">
        <f>IFERROR(IF(VLOOKUP(calendar[[#This Row],[Date]],BH!C:C,1,)&lt;&gt;"",1,0),0)</f>
        <v>0</v>
      </c>
      <c r="N443">
        <f>IFERROR(IF(VLOOKUP(calendar[[#This Row],[Date]],BH!E:E,1,)&lt;&gt;"",1,0),0)</f>
        <v>0</v>
      </c>
      <c r="O443">
        <f>IFERROR(IF(VLOOKUP(calendar[[#This Row],[Date]],BH!G:G,1,)&lt;&gt;"",1,0),0)</f>
        <v>0</v>
      </c>
      <c r="P443">
        <f>IF(OR(calendar[[#This Row],[UK_BH]]=1,calendar[[#This Row],[WeekDay]]=1, calendar[[#This Row],[WeekDay]]=7),P442,P442+1)</f>
        <v>315</v>
      </c>
      <c r="Q443">
        <f>IF(OR(calendar[[#This Row],[FR_BH]]=1,calendar[[#This Row],[WeekDay]]=1, calendar[[#This Row],[WeekDay]]=7),P442,P442+1)</f>
        <v>315</v>
      </c>
      <c r="R443">
        <f>IF(OR(calendar[[#This Row],[SP_BH]]=1,calendar[[#This Row],[WeekDay]]=1, calendar[[#This Row],[WeekDay]]=7),P442,P442+1)</f>
        <v>315</v>
      </c>
      <c r="S443">
        <f>IF(OR(calendar[[#This Row],[PT_BH]]=1,calendar[[#This Row],[WeekDay]]=1, calendar[[#This Row],[WeekDay]]=7),P442,P442+1)</f>
        <v>315</v>
      </c>
    </row>
    <row r="444" spans="1:19" x14ac:dyDescent="0.25">
      <c r="A444" s="2">
        <v>43178</v>
      </c>
      <c r="B444" s="1">
        <f t="shared" si="33"/>
        <v>12</v>
      </c>
      <c r="C444">
        <f t="shared" si="35"/>
        <v>3</v>
      </c>
      <c r="D444" t="str">
        <f t="shared" si="36"/>
        <v>March</v>
      </c>
      <c r="E444">
        <f t="shared" si="37"/>
        <v>2018</v>
      </c>
      <c r="F444" t="str">
        <f>CONCATENATE(calendar[[#This Row],[Month]],"/",calendar[[#This Row],[Year]])</f>
        <v>3/2018</v>
      </c>
      <c r="G444">
        <f>WEEKDAY(calendar[[#This Row],[Date]],1)</f>
        <v>2</v>
      </c>
      <c r="H444" t="str">
        <f>TEXT(calendar[[#This Row],[WeekDay]],"dddd")</f>
        <v>Monday</v>
      </c>
      <c r="I444">
        <f>IF((INT(calendar[[#This Row],[Count]]/7)-calendar[[#This Row],[Count]]/7)&lt;0,I443,I443+1)</f>
        <v>64</v>
      </c>
      <c r="J444">
        <f t="shared" si="34"/>
        <v>442</v>
      </c>
      <c r="K444">
        <f>IF(calendar[[#This Row],[Month]]&lt;4,1,IF(calendar[[#This Row],[Month]]&lt;7,2,IF(calendar[[#This Row],[Month]]&lt;10,3,4)))</f>
        <v>1</v>
      </c>
      <c r="L444">
        <f>IFERROR(IF(VLOOKUP(calendar[[#This Row],[Date]],BH!A:A,1,)&lt;&gt;"",1,0),0)</f>
        <v>0</v>
      </c>
      <c r="M444">
        <f>IFERROR(IF(VLOOKUP(calendar[[#This Row],[Date]],BH!C:C,1,)&lt;&gt;"",1,0),0)</f>
        <v>0</v>
      </c>
      <c r="N444">
        <f>IFERROR(IF(VLOOKUP(calendar[[#This Row],[Date]],BH!E:E,1,)&lt;&gt;"",1,0),0)</f>
        <v>0</v>
      </c>
      <c r="O444">
        <f>IFERROR(IF(VLOOKUP(calendar[[#This Row],[Date]],BH!G:G,1,)&lt;&gt;"",1,0),0)</f>
        <v>0</v>
      </c>
      <c r="P444">
        <f>IF(OR(calendar[[#This Row],[UK_BH]]=1,calendar[[#This Row],[WeekDay]]=1, calendar[[#This Row],[WeekDay]]=7),P443,P443+1)</f>
        <v>316</v>
      </c>
      <c r="Q444">
        <f>IF(OR(calendar[[#This Row],[FR_BH]]=1,calendar[[#This Row],[WeekDay]]=1, calendar[[#This Row],[WeekDay]]=7),P443,P443+1)</f>
        <v>316</v>
      </c>
      <c r="R444">
        <f>IF(OR(calendar[[#This Row],[SP_BH]]=1,calendar[[#This Row],[WeekDay]]=1, calendar[[#This Row],[WeekDay]]=7),P443,P443+1)</f>
        <v>316</v>
      </c>
      <c r="S444">
        <f>IF(OR(calendar[[#This Row],[PT_BH]]=1,calendar[[#This Row],[WeekDay]]=1, calendar[[#This Row],[WeekDay]]=7),P443,P443+1)</f>
        <v>316</v>
      </c>
    </row>
    <row r="445" spans="1:19" x14ac:dyDescent="0.25">
      <c r="A445" s="2">
        <v>43179</v>
      </c>
      <c r="B445" s="1">
        <f t="shared" si="33"/>
        <v>12</v>
      </c>
      <c r="C445">
        <f t="shared" si="35"/>
        <v>3</v>
      </c>
      <c r="D445" t="str">
        <f t="shared" si="36"/>
        <v>March</v>
      </c>
      <c r="E445">
        <f t="shared" si="37"/>
        <v>2018</v>
      </c>
      <c r="F445" t="str">
        <f>CONCATENATE(calendar[[#This Row],[Month]],"/",calendar[[#This Row],[Year]])</f>
        <v>3/2018</v>
      </c>
      <c r="G445">
        <f>WEEKDAY(calendar[[#This Row],[Date]],1)</f>
        <v>3</v>
      </c>
      <c r="H445" t="str">
        <f>TEXT(calendar[[#This Row],[WeekDay]],"dddd")</f>
        <v>Tuesday</v>
      </c>
      <c r="I445">
        <f>IF((INT(calendar[[#This Row],[Count]]/7)-calendar[[#This Row],[Count]]/7)&lt;0,I444,I444+1)</f>
        <v>64</v>
      </c>
      <c r="J445">
        <f t="shared" si="34"/>
        <v>443</v>
      </c>
      <c r="K445">
        <f>IF(calendar[[#This Row],[Month]]&lt;4,1,IF(calendar[[#This Row],[Month]]&lt;7,2,IF(calendar[[#This Row],[Month]]&lt;10,3,4)))</f>
        <v>1</v>
      </c>
      <c r="L445">
        <f>IFERROR(IF(VLOOKUP(calendar[[#This Row],[Date]],BH!A:A,1,)&lt;&gt;"",1,0),0)</f>
        <v>0</v>
      </c>
      <c r="M445">
        <f>IFERROR(IF(VLOOKUP(calendar[[#This Row],[Date]],BH!C:C,1,)&lt;&gt;"",1,0),0)</f>
        <v>0</v>
      </c>
      <c r="N445">
        <f>IFERROR(IF(VLOOKUP(calendar[[#This Row],[Date]],BH!E:E,1,)&lt;&gt;"",1,0),0)</f>
        <v>0</v>
      </c>
      <c r="O445">
        <f>IFERROR(IF(VLOOKUP(calendar[[#This Row],[Date]],BH!G:G,1,)&lt;&gt;"",1,0),0)</f>
        <v>0</v>
      </c>
      <c r="P445">
        <f>IF(OR(calendar[[#This Row],[UK_BH]]=1,calendar[[#This Row],[WeekDay]]=1, calendar[[#This Row],[WeekDay]]=7),P444,P444+1)</f>
        <v>317</v>
      </c>
      <c r="Q445">
        <f>IF(OR(calendar[[#This Row],[FR_BH]]=1,calendar[[#This Row],[WeekDay]]=1, calendar[[#This Row],[WeekDay]]=7),P444,P444+1)</f>
        <v>317</v>
      </c>
      <c r="R445">
        <f>IF(OR(calendar[[#This Row],[SP_BH]]=1,calendar[[#This Row],[WeekDay]]=1, calendar[[#This Row],[WeekDay]]=7),P444,P444+1)</f>
        <v>317</v>
      </c>
      <c r="S445">
        <f>IF(OR(calendar[[#This Row],[PT_BH]]=1,calendar[[#This Row],[WeekDay]]=1, calendar[[#This Row],[WeekDay]]=7),P444,P444+1)</f>
        <v>317</v>
      </c>
    </row>
    <row r="446" spans="1:19" x14ac:dyDescent="0.25">
      <c r="A446" s="2">
        <v>43180</v>
      </c>
      <c r="B446" s="1">
        <f t="shared" si="33"/>
        <v>12</v>
      </c>
      <c r="C446">
        <f t="shared" si="35"/>
        <v>3</v>
      </c>
      <c r="D446" t="str">
        <f t="shared" si="36"/>
        <v>March</v>
      </c>
      <c r="E446">
        <f t="shared" si="37"/>
        <v>2018</v>
      </c>
      <c r="F446" t="str">
        <f>CONCATENATE(calendar[[#This Row],[Month]],"/",calendar[[#This Row],[Year]])</f>
        <v>3/2018</v>
      </c>
      <c r="G446">
        <f>WEEKDAY(calendar[[#This Row],[Date]],1)</f>
        <v>4</v>
      </c>
      <c r="H446" t="str">
        <f>TEXT(calendar[[#This Row],[WeekDay]],"dddd")</f>
        <v>Wednesday</v>
      </c>
      <c r="I446">
        <f>IF((INT(calendar[[#This Row],[Count]]/7)-calendar[[#This Row],[Count]]/7)&lt;0,I445,I445+1)</f>
        <v>64</v>
      </c>
      <c r="J446">
        <f t="shared" si="34"/>
        <v>444</v>
      </c>
      <c r="K446">
        <f>IF(calendar[[#This Row],[Month]]&lt;4,1,IF(calendar[[#This Row],[Month]]&lt;7,2,IF(calendar[[#This Row],[Month]]&lt;10,3,4)))</f>
        <v>1</v>
      </c>
      <c r="L446">
        <f>IFERROR(IF(VLOOKUP(calendar[[#This Row],[Date]],BH!A:A,1,)&lt;&gt;"",1,0),0)</f>
        <v>0</v>
      </c>
      <c r="M446">
        <f>IFERROR(IF(VLOOKUP(calendar[[#This Row],[Date]],BH!C:C,1,)&lt;&gt;"",1,0),0)</f>
        <v>0</v>
      </c>
      <c r="N446">
        <f>IFERROR(IF(VLOOKUP(calendar[[#This Row],[Date]],BH!E:E,1,)&lt;&gt;"",1,0),0)</f>
        <v>0</v>
      </c>
      <c r="O446">
        <f>IFERROR(IF(VLOOKUP(calendar[[#This Row],[Date]],BH!G:G,1,)&lt;&gt;"",1,0),0)</f>
        <v>0</v>
      </c>
      <c r="P446">
        <f>IF(OR(calendar[[#This Row],[UK_BH]]=1,calendar[[#This Row],[WeekDay]]=1, calendar[[#This Row],[WeekDay]]=7),P445,P445+1)</f>
        <v>318</v>
      </c>
      <c r="Q446">
        <f>IF(OR(calendar[[#This Row],[FR_BH]]=1,calendar[[#This Row],[WeekDay]]=1, calendar[[#This Row],[WeekDay]]=7),P445,P445+1)</f>
        <v>318</v>
      </c>
      <c r="R446">
        <f>IF(OR(calendar[[#This Row],[SP_BH]]=1,calendar[[#This Row],[WeekDay]]=1, calendar[[#This Row],[WeekDay]]=7),P445,P445+1)</f>
        <v>318</v>
      </c>
      <c r="S446">
        <f>IF(OR(calendar[[#This Row],[PT_BH]]=1,calendar[[#This Row],[WeekDay]]=1, calendar[[#This Row],[WeekDay]]=7),P445,P445+1)</f>
        <v>318</v>
      </c>
    </row>
    <row r="447" spans="1:19" x14ac:dyDescent="0.25">
      <c r="A447" s="2">
        <v>43181</v>
      </c>
      <c r="B447" s="1">
        <f t="shared" si="33"/>
        <v>12</v>
      </c>
      <c r="C447">
        <f t="shared" si="35"/>
        <v>3</v>
      </c>
      <c r="D447" t="str">
        <f t="shared" si="36"/>
        <v>March</v>
      </c>
      <c r="E447">
        <f t="shared" si="37"/>
        <v>2018</v>
      </c>
      <c r="F447" t="str">
        <f>CONCATENATE(calendar[[#This Row],[Month]],"/",calendar[[#This Row],[Year]])</f>
        <v>3/2018</v>
      </c>
      <c r="G447">
        <f>WEEKDAY(calendar[[#This Row],[Date]],1)</f>
        <v>5</v>
      </c>
      <c r="H447" t="str">
        <f>TEXT(calendar[[#This Row],[WeekDay]],"dddd")</f>
        <v>Thursday</v>
      </c>
      <c r="I447">
        <f>IF((INT(calendar[[#This Row],[Count]]/7)-calendar[[#This Row],[Count]]/7)&lt;0,I446,I446+1)</f>
        <v>64</v>
      </c>
      <c r="J447">
        <f t="shared" si="34"/>
        <v>445</v>
      </c>
      <c r="K447">
        <f>IF(calendar[[#This Row],[Month]]&lt;4,1,IF(calendar[[#This Row],[Month]]&lt;7,2,IF(calendar[[#This Row],[Month]]&lt;10,3,4)))</f>
        <v>1</v>
      </c>
      <c r="L447">
        <f>IFERROR(IF(VLOOKUP(calendar[[#This Row],[Date]],BH!A:A,1,)&lt;&gt;"",1,0),0)</f>
        <v>0</v>
      </c>
      <c r="M447">
        <f>IFERROR(IF(VLOOKUP(calendar[[#This Row],[Date]],BH!C:C,1,)&lt;&gt;"",1,0),0)</f>
        <v>0</v>
      </c>
      <c r="N447">
        <f>IFERROR(IF(VLOOKUP(calendar[[#This Row],[Date]],BH!E:E,1,)&lt;&gt;"",1,0),0)</f>
        <v>0</v>
      </c>
      <c r="O447">
        <f>IFERROR(IF(VLOOKUP(calendar[[#This Row],[Date]],BH!G:G,1,)&lt;&gt;"",1,0),0)</f>
        <v>0</v>
      </c>
      <c r="P447">
        <f>IF(OR(calendar[[#This Row],[UK_BH]]=1,calendar[[#This Row],[WeekDay]]=1, calendar[[#This Row],[WeekDay]]=7),P446,P446+1)</f>
        <v>319</v>
      </c>
      <c r="Q447">
        <f>IF(OR(calendar[[#This Row],[FR_BH]]=1,calendar[[#This Row],[WeekDay]]=1, calendar[[#This Row],[WeekDay]]=7),P446,P446+1)</f>
        <v>319</v>
      </c>
      <c r="R447">
        <f>IF(OR(calendar[[#This Row],[SP_BH]]=1,calendar[[#This Row],[WeekDay]]=1, calendar[[#This Row],[WeekDay]]=7),P446,P446+1)</f>
        <v>319</v>
      </c>
      <c r="S447">
        <f>IF(OR(calendar[[#This Row],[PT_BH]]=1,calendar[[#This Row],[WeekDay]]=1, calendar[[#This Row],[WeekDay]]=7),P446,P446+1)</f>
        <v>319</v>
      </c>
    </row>
    <row r="448" spans="1:19" x14ac:dyDescent="0.25">
      <c r="A448" s="2">
        <v>43182</v>
      </c>
      <c r="B448" s="1">
        <f t="shared" si="33"/>
        <v>12</v>
      </c>
      <c r="C448">
        <f t="shared" si="35"/>
        <v>3</v>
      </c>
      <c r="D448" t="str">
        <f t="shared" si="36"/>
        <v>March</v>
      </c>
      <c r="E448">
        <f t="shared" si="37"/>
        <v>2018</v>
      </c>
      <c r="F448" t="str">
        <f>CONCATENATE(calendar[[#This Row],[Month]],"/",calendar[[#This Row],[Year]])</f>
        <v>3/2018</v>
      </c>
      <c r="G448">
        <f>WEEKDAY(calendar[[#This Row],[Date]],1)</f>
        <v>6</v>
      </c>
      <c r="H448" t="str">
        <f>TEXT(calendar[[#This Row],[WeekDay]],"dddd")</f>
        <v>Friday</v>
      </c>
      <c r="I448">
        <f>IF((INT(calendar[[#This Row],[Count]]/7)-calendar[[#This Row],[Count]]/7)&lt;0,I447,I447+1)</f>
        <v>64</v>
      </c>
      <c r="J448">
        <f t="shared" si="34"/>
        <v>446</v>
      </c>
      <c r="K448">
        <f>IF(calendar[[#This Row],[Month]]&lt;4,1,IF(calendar[[#This Row],[Month]]&lt;7,2,IF(calendar[[#This Row],[Month]]&lt;10,3,4)))</f>
        <v>1</v>
      </c>
      <c r="L448">
        <f>IFERROR(IF(VLOOKUP(calendar[[#This Row],[Date]],BH!A:A,1,)&lt;&gt;"",1,0),0)</f>
        <v>0</v>
      </c>
      <c r="M448">
        <f>IFERROR(IF(VLOOKUP(calendar[[#This Row],[Date]],BH!C:C,1,)&lt;&gt;"",1,0),0)</f>
        <v>0</v>
      </c>
      <c r="N448">
        <f>IFERROR(IF(VLOOKUP(calendar[[#This Row],[Date]],BH!E:E,1,)&lt;&gt;"",1,0),0)</f>
        <v>0</v>
      </c>
      <c r="O448">
        <f>IFERROR(IF(VLOOKUP(calendar[[#This Row],[Date]],BH!G:G,1,)&lt;&gt;"",1,0),0)</f>
        <v>0</v>
      </c>
      <c r="P448">
        <f>IF(OR(calendar[[#This Row],[UK_BH]]=1,calendar[[#This Row],[WeekDay]]=1, calendar[[#This Row],[WeekDay]]=7),P447,P447+1)</f>
        <v>320</v>
      </c>
      <c r="Q448">
        <f>IF(OR(calendar[[#This Row],[FR_BH]]=1,calendar[[#This Row],[WeekDay]]=1, calendar[[#This Row],[WeekDay]]=7),P447,P447+1)</f>
        <v>320</v>
      </c>
      <c r="R448">
        <f>IF(OR(calendar[[#This Row],[SP_BH]]=1,calendar[[#This Row],[WeekDay]]=1, calendar[[#This Row],[WeekDay]]=7),P447,P447+1)</f>
        <v>320</v>
      </c>
      <c r="S448">
        <f>IF(OR(calendar[[#This Row],[PT_BH]]=1,calendar[[#This Row],[WeekDay]]=1, calendar[[#This Row],[WeekDay]]=7),P447,P447+1)</f>
        <v>320</v>
      </c>
    </row>
    <row r="449" spans="1:19" x14ac:dyDescent="0.25">
      <c r="A449" s="2">
        <v>43183</v>
      </c>
      <c r="B449" s="1">
        <f t="shared" si="33"/>
        <v>12</v>
      </c>
      <c r="C449">
        <f t="shared" si="35"/>
        <v>3</v>
      </c>
      <c r="D449" t="str">
        <f t="shared" si="36"/>
        <v>March</v>
      </c>
      <c r="E449">
        <f t="shared" si="37"/>
        <v>2018</v>
      </c>
      <c r="F449" t="str">
        <f>CONCATENATE(calendar[[#This Row],[Month]],"/",calendar[[#This Row],[Year]])</f>
        <v>3/2018</v>
      </c>
      <c r="G449">
        <f>WEEKDAY(calendar[[#This Row],[Date]],1)</f>
        <v>7</v>
      </c>
      <c r="H449" t="str">
        <f>TEXT(calendar[[#This Row],[WeekDay]],"dddd")</f>
        <v>Saturday</v>
      </c>
      <c r="I449">
        <f>IF((INT(calendar[[#This Row],[Count]]/7)-calendar[[#This Row],[Count]]/7)&lt;0,I448,I448+1)</f>
        <v>64</v>
      </c>
      <c r="J449">
        <f t="shared" si="34"/>
        <v>447</v>
      </c>
      <c r="K449">
        <f>IF(calendar[[#This Row],[Month]]&lt;4,1,IF(calendar[[#This Row],[Month]]&lt;7,2,IF(calendar[[#This Row],[Month]]&lt;10,3,4)))</f>
        <v>1</v>
      </c>
      <c r="L449">
        <f>IFERROR(IF(VLOOKUP(calendar[[#This Row],[Date]],BH!A:A,1,)&lt;&gt;"",1,0),0)</f>
        <v>0</v>
      </c>
      <c r="M449">
        <f>IFERROR(IF(VLOOKUP(calendar[[#This Row],[Date]],BH!C:C,1,)&lt;&gt;"",1,0),0)</f>
        <v>0</v>
      </c>
      <c r="N449">
        <f>IFERROR(IF(VLOOKUP(calendar[[#This Row],[Date]],BH!E:E,1,)&lt;&gt;"",1,0),0)</f>
        <v>0</v>
      </c>
      <c r="O449">
        <f>IFERROR(IF(VLOOKUP(calendar[[#This Row],[Date]],BH!G:G,1,)&lt;&gt;"",1,0),0)</f>
        <v>0</v>
      </c>
      <c r="P449">
        <f>IF(OR(calendar[[#This Row],[UK_BH]]=1,calendar[[#This Row],[WeekDay]]=1, calendar[[#This Row],[WeekDay]]=7),P448,P448+1)</f>
        <v>320</v>
      </c>
      <c r="Q449">
        <f>IF(OR(calendar[[#This Row],[FR_BH]]=1,calendar[[#This Row],[WeekDay]]=1, calendar[[#This Row],[WeekDay]]=7),P448,P448+1)</f>
        <v>320</v>
      </c>
      <c r="R449">
        <f>IF(OR(calendar[[#This Row],[SP_BH]]=1,calendar[[#This Row],[WeekDay]]=1, calendar[[#This Row],[WeekDay]]=7),P448,P448+1)</f>
        <v>320</v>
      </c>
      <c r="S449">
        <f>IF(OR(calendar[[#This Row],[PT_BH]]=1,calendar[[#This Row],[WeekDay]]=1, calendar[[#This Row],[WeekDay]]=7),P448,P448+1)</f>
        <v>320</v>
      </c>
    </row>
    <row r="450" spans="1:19" x14ac:dyDescent="0.25">
      <c r="A450" s="2">
        <v>43184</v>
      </c>
      <c r="B450" s="1">
        <f t="shared" ref="B450:B513" si="38">WEEKNUM(A450)</f>
        <v>13</v>
      </c>
      <c r="C450">
        <f t="shared" si="35"/>
        <v>3</v>
      </c>
      <c r="D450" t="str">
        <f t="shared" si="36"/>
        <v>March</v>
      </c>
      <c r="E450">
        <f t="shared" si="37"/>
        <v>2018</v>
      </c>
      <c r="F450" t="str">
        <f>CONCATENATE(calendar[[#This Row],[Month]],"/",calendar[[#This Row],[Year]])</f>
        <v>3/2018</v>
      </c>
      <c r="G450">
        <f>WEEKDAY(calendar[[#This Row],[Date]],1)</f>
        <v>1</v>
      </c>
      <c r="H450" t="str">
        <f>TEXT(calendar[[#This Row],[WeekDay]],"dddd")</f>
        <v>Sunday</v>
      </c>
      <c r="I450">
        <f>IF((INT(calendar[[#This Row],[Count]]/7)-calendar[[#This Row],[Count]]/7)&lt;0,I449,I449+1)</f>
        <v>65</v>
      </c>
      <c r="J450">
        <f t="shared" si="34"/>
        <v>448</v>
      </c>
      <c r="K450">
        <f>IF(calendar[[#This Row],[Month]]&lt;4,1,IF(calendar[[#This Row],[Month]]&lt;7,2,IF(calendar[[#This Row],[Month]]&lt;10,3,4)))</f>
        <v>1</v>
      </c>
      <c r="L450">
        <f>IFERROR(IF(VLOOKUP(calendar[[#This Row],[Date]],BH!A:A,1,)&lt;&gt;"",1,0),0)</f>
        <v>0</v>
      </c>
      <c r="M450">
        <f>IFERROR(IF(VLOOKUP(calendar[[#This Row],[Date]],BH!C:C,1,)&lt;&gt;"",1,0),0)</f>
        <v>0</v>
      </c>
      <c r="N450">
        <f>IFERROR(IF(VLOOKUP(calendar[[#This Row],[Date]],BH!E:E,1,)&lt;&gt;"",1,0),0)</f>
        <v>0</v>
      </c>
      <c r="O450">
        <f>IFERROR(IF(VLOOKUP(calendar[[#This Row],[Date]],BH!G:G,1,)&lt;&gt;"",1,0),0)</f>
        <v>0</v>
      </c>
      <c r="P450">
        <f>IF(OR(calendar[[#This Row],[UK_BH]]=1,calendar[[#This Row],[WeekDay]]=1, calendar[[#This Row],[WeekDay]]=7),P449,P449+1)</f>
        <v>320</v>
      </c>
      <c r="Q450">
        <f>IF(OR(calendar[[#This Row],[FR_BH]]=1,calendar[[#This Row],[WeekDay]]=1, calendar[[#This Row],[WeekDay]]=7),P449,P449+1)</f>
        <v>320</v>
      </c>
      <c r="R450">
        <f>IF(OR(calendar[[#This Row],[SP_BH]]=1,calendar[[#This Row],[WeekDay]]=1, calendar[[#This Row],[WeekDay]]=7),P449,P449+1)</f>
        <v>320</v>
      </c>
      <c r="S450">
        <f>IF(OR(calendar[[#This Row],[PT_BH]]=1,calendar[[#This Row],[WeekDay]]=1, calendar[[#This Row],[WeekDay]]=7),P449,P449+1)</f>
        <v>320</v>
      </c>
    </row>
    <row r="451" spans="1:19" x14ac:dyDescent="0.25">
      <c r="A451" s="2">
        <v>43185</v>
      </c>
      <c r="B451" s="1">
        <f t="shared" si="38"/>
        <v>13</v>
      </c>
      <c r="C451">
        <f t="shared" si="35"/>
        <v>3</v>
      </c>
      <c r="D451" t="str">
        <f t="shared" si="36"/>
        <v>March</v>
      </c>
      <c r="E451">
        <f t="shared" si="37"/>
        <v>2018</v>
      </c>
      <c r="F451" t="str">
        <f>CONCATENATE(calendar[[#This Row],[Month]],"/",calendar[[#This Row],[Year]])</f>
        <v>3/2018</v>
      </c>
      <c r="G451">
        <f>WEEKDAY(calendar[[#This Row],[Date]],1)</f>
        <v>2</v>
      </c>
      <c r="H451" t="str">
        <f>TEXT(calendar[[#This Row],[WeekDay]],"dddd")</f>
        <v>Monday</v>
      </c>
      <c r="I451">
        <f>IF((INT(calendar[[#This Row],[Count]]/7)-calendar[[#This Row],[Count]]/7)&lt;0,I450,I450+1)</f>
        <v>65</v>
      </c>
      <c r="J451">
        <f t="shared" ref="J451:J514" si="39">J450+1</f>
        <v>449</v>
      </c>
      <c r="K451">
        <f>IF(calendar[[#This Row],[Month]]&lt;4,1,IF(calendar[[#This Row],[Month]]&lt;7,2,IF(calendar[[#This Row],[Month]]&lt;10,3,4)))</f>
        <v>1</v>
      </c>
      <c r="L451">
        <f>IFERROR(IF(VLOOKUP(calendar[[#This Row],[Date]],BH!A:A,1,)&lt;&gt;"",1,0),0)</f>
        <v>0</v>
      </c>
      <c r="M451">
        <f>IFERROR(IF(VLOOKUP(calendar[[#This Row],[Date]],BH!C:C,1,)&lt;&gt;"",1,0),0)</f>
        <v>0</v>
      </c>
      <c r="N451">
        <f>IFERROR(IF(VLOOKUP(calendar[[#This Row],[Date]],BH!E:E,1,)&lt;&gt;"",1,0),0)</f>
        <v>0</v>
      </c>
      <c r="O451">
        <f>IFERROR(IF(VLOOKUP(calendar[[#This Row],[Date]],BH!G:G,1,)&lt;&gt;"",1,0),0)</f>
        <v>0</v>
      </c>
      <c r="P451">
        <f>IF(OR(calendar[[#This Row],[UK_BH]]=1,calendar[[#This Row],[WeekDay]]=1, calendar[[#This Row],[WeekDay]]=7),P450,P450+1)</f>
        <v>321</v>
      </c>
      <c r="Q451">
        <f>IF(OR(calendar[[#This Row],[FR_BH]]=1,calendar[[#This Row],[WeekDay]]=1, calendar[[#This Row],[WeekDay]]=7),P450,P450+1)</f>
        <v>321</v>
      </c>
      <c r="R451">
        <f>IF(OR(calendar[[#This Row],[SP_BH]]=1,calendar[[#This Row],[WeekDay]]=1, calendar[[#This Row],[WeekDay]]=7),P450,P450+1)</f>
        <v>321</v>
      </c>
      <c r="S451">
        <f>IF(OR(calendar[[#This Row],[PT_BH]]=1,calendar[[#This Row],[WeekDay]]=1, calendar[[#This Row],[WeekDay]]=7),P450,P450+1)</f>
        <v>321</v>
      </c>
    </row>
    <row r="452" spans="1:19" x14ac:dyDescent="0.25">
      <c r="A452" s="2">
        <v>43186</v>
      </c>
      <c r="B452" s="1">
        <f t="shared" si="38"/>
        <v>13</v>
      </c>
      <c r="C452">
        <f t="shared" si="35"/>
        <v>3</v>
      </c>
      <c r="D452" t="str">
        <f t="shared" si="36"/>
        <v>March</v>
      </c>
      <c r="E452">
        <f t="shared" si="37"/>
        <v>2018</v>
      </c>
      <c r="F452" t="str">
        <f>CONCATENATE(calendar[[#This Row],[Month]],"/",calendar[[#This Row],[Year]])</f>
        <v>3/2018</v>
      </c>
      <c r="G452">
        <f>WEEKDAY(calendar[[#This Row],[Date]],1)</f>
        <v>3</v>
      </c>
      <c r="H452" t="str">
        <f>TEXT(calendar[[#This Row],[WeekDay]],"dddd")</f>
        <v>Tuesday</v>
      </c>
      <c r="I452">
        <f>IF((INT(calendar[[#This Row],[Count]]/7)-calendar[[#This Row],[Count]]/7)&lt;0,I451,I451+1)</f>
        <v>65</v>
      </c>
      <c r="J452">
        <f t="shared" si="39"/>
        <v>450</v>
      </c>
      <c r="K452">
        <f>IF(calendar[[#This Row],[Month]]&lt;4,1,IF(calendar[[#This Row],[Month]]&lt;7,2,IF(calendar[[#This Row],[Month]]&lt;10,3,4)))</f>
        <v>1</v>
      </c>
      <c r="L452">
        <f>IFERROR(IF(VLOOKUP(calendar[[#This Row],[Date]],BH!A:A,1,)&lt;&gt;"",1,0),0)</f>
        <v>0</v>
      </c>
      <c r="M452">
        <f>IFERROR(IF(VLOOKUP(calendar[[#This Row],[Date]],BH!C:C,1,)&lt;&gt;"",1,0),0)</f>
        <v>0</v>
      </c>
      <c r="N452">
        <f>IFERROR(IF(VLOOKUP(calendar[[#This Row],[Date]],BH!E:E,1,)&lt;&gt;"",1,0),0)</f>
        <v>0</v>
      </c>
      <c r="O452">
        <f>IFERROR(IF(VLOOKUP(calendar[[#This Row],[Date]],BH!G:G,1,)&lt;&gt;"",1,0),0)</f>
        <v>0</v>
      </c>
      <c r="P452">
        <f>IF(OR(calendar[[#This Row],[UK_BH]]=1,calendar[[#This Row],[WeekDay]]=1, calendar[[#This Row],[WeekDay]]=7),P451,P451+1)</f>
        <v>322</v>
      </c>
      <c r="Q452">
        <f>IF(OR(calendar[[#This Row],[FR_BH]]=1,calendar[[#This Row],[WeekDay]]=1, calendar[[#This Row],[WeekDay]]=7),P451,P451+1)</f>
        <v>322</v>
      </c>
      <c r="R452">
        <f>IF(OR(calendar[[#This Row],[SP_BH]]=1,calendar[[#This Row],[WeekDay]]=1, calendar[[#This Row],[WeekDay]]=7),P451,P451+1)</f>
        <v>322</v>
      </c>
      <c r="S452">
        <f>IF(OR(calendar[[#This Row],[PT_BH]]=1,calendar[[#This Row],[WeekDay]]=1, calendar[[#This Row],[WeekDay]]=7),P451,P451+1)</f>
        <v>322</v>
      </c>
    </row>
    <row r="453" spans="1:19" x14ac:dyDescent="0.25">
      <c r="A453" s="2">
        <v>43187</v>
      </c>
      <c r="B453" s="1">
        <f t="shared" si="38"/>
        <v>13</v>
      </c>
      <c r="C453">
        <f t="shared" si="35"/>
        <v>3</v>
      </c>
      <c r="D453" t="str">
        <f t="shared" si="36"/>
        <v>March</v>
      </c>
      <c r="E453">
        <f t="shared" si="37"/>
        <v>2018</v>
      </c>
      <c r="F453" t="str">
        <f>CONCATENATE(calendar[[#This Row],[Month]],"/",calendar[[#This Row],[Year]])</f>
        <v>3/2018</v>
      </c>
      <c r="G453">
        <f>WEEKDAY(calendar[[#This Row],[Date]],1)</f>
        <v>4</v>
      </c>
      <c r="H453" t="str">
        <f>TEXT(calendar[[#This Row],[WeekDay]],"dddd")</f>
        <v>Wednesday</v>
      </c>
      <c r="I453">
        <f>IF((INT(calendar[[#This Row],[Count]]/7)-calendar[[#This Row],[Count]]/7)&lt;0,I452,I452+1)</f>
        <v>65</v>
      </c>
      <c r="J453">
        <f t="shared" si="39"/>
        <v>451</v>
      </c>
      <c r="K453">
        <f>IF(calendar[[#This Row],[Month]]&lt;4,1,IF(calendar[[#This Row],[Month]]&lt;7,2,IF(calendar[[#This Row],[Month]]&lt;10,3,4)))</f>
        <v>1</v>
      </c>
      <c r="L453">
        <f>IFERROR(IF(VLOOKUP(calendar[[#This Row],[Date]],BH!A:A,1,)&lt;&gt;"",1,0),0)</f>
        <v>0</v>
      </c>
      <c r="M453">
        <f>IFERROR(IF(VLOOKUP(calendar[[#This Row],[Date]],BH!C:C,1,)&lt;&gt;"",1,0),0)</f>
        <v>0</v>
      </c>
      <c r="N453">
        <f>IFERROR(IF(VLOOKUP(calendar[[#This Row],[Date]],BH!E:E,1,)&lt;&gt;"",1,0),0)</f>
        <v>0</v>
      </c>
      <c r="O453">
        <f>IFERROR(IF(VLOOKUP(calendar[[#This Row],[Date]],BH!G:G,1,)&lt;&gt;"",1,0),0)</f>
        <v>0</v>
      </c>
      <c r="P453">
        <f>IF(OR(calendar[[#This Row],[UK_BH]]=1,calendar[[#This Row],[WeekDay]]=1, calendar[[#This Row],[WeekDay]]=7),P452,P452+1)</f>
        <v>323</v>
      </c>
      <c r="Q453">
        <f>IF(OR(calendar[[#This Row],[FR_BH]]=1,calendar[[#This Row],[WeekDay]]=1, calendar[[#This Row],[WeekDay]]=7),P452,P452+1)</f>
        <v>323</v>
      </c>
      <c r="R453">
        <f>IF(OR(calendar[[#This Row],[SP_BH]]=1,calendar[[#This Row],[WeekDay]]=1, calendar[[#This Row],[WeekDay]]=7),P452,P452+1)</f>
        <v>323</v>
      </c>
      <c r="S453">
        <f>IF(OR(calendar[[#This Row],[PT_BH]]=1,calendar[[#This Row],[WeekDay]]=1, calendar[[#This Row],[WeekDay]]=7),P452,P452+1)</f>
        <v>323</v>
      </c>
    </row>
    <row r="454" spans="1:19" x14ac:dyDescent="0.25">
      <c r="A454" s="2">
        <v>43188</v>
      </c>
      <c r="B454" s="1">
        <f t="shared" si="38"/>
        <v>13</v>
      </c>
      <c r="C454">
        <f t="shared" si="35"/>
        <v>3</v>
      </c>
      <c r="D454" t="str">
        <f t="shared" si="36"/>
        <v>March</v>
      </c>
      <c r="E454">
        <f t="shared" si="37"/>
        <v>2018</v>
      </c>
      <c r="F454" t="str">
        <f>CONCATENATE(calendar[[#This Row],[Month]],"/",calendar[[#This Row],[Year]])</f>
        <v>3/2018</v>
      </c>
      <c r="G454">
        <f>WEEKDAY(calendar[[#This Row],[Date]],1)</f>
        <v>5</v>
      </c>
      <c r="H454" t="str">
        <f>TEXT(calendar[[#This Row],[WeekDay]],"dddd")</f>
        <v>Thursday</v>
      </c>
      <c r="I454">
        <f>IF((INT(calendar[[#This Row],[Count]]/7)-calendar[[#This Row],[Count]]/7)&lt;0,I453,I453+1)</f>
        <v>65</v>
      </c>
      <c r="J454">
        <f t="shared" si="39"/>
        <v>452</v>
      </c>
      <c r="K454">
        <f>IF(calendar[[#This Row],[Month]]&lt;4,1,IF(calendar[[#This Row],[Month]]&lt;7,2,IF(calendar[[#This Row],[Month]]&lt;10,3,4)))</f>
        <v>1</v>
      </c>
      <c r="L454">
        <f>IFERROR(IF(VLOOKUP(calendar[[#This Row],[Date]],BH!A:A,1,)&lt;&gt;"",1,0),0)</f>
        <v>0</v>
      </c>
      <c r="M454">
        <f>IFERROR(IF(VLOOKUP(calendar[[#This Row],[Date]],BH!C:C,1,)&lt;&gt;"",1,0),0)</f>
        <v>0</v>
      </c>
      <c r="N454">
        <f>IFERROR(IF(VLOOKUP(calendar[[#This Row],[Date]],BH!E:E,1,)&lt;&gt;"",1,0),0)</f>
        <v>0</v>
      </c>
      <c r="O454">
        <f>IFERROR(IF(VLOOKUP(calendar[[#This Row],[Date]],BH!G:G,1,)&lt;&gt;"",1,0),0)</f>
        <v>0</v>
      </c>
      <c r="P454">
        <f>IF(OR(calendar[[#This Row],[UK_BH]]=1,calendar[[#This Row],[WeekDay]]=1, calendar[[#This Row],[WeekDay]]=7),P453,P453+1)</f>
        <v>324</v>
      </c>
      <c r="Q454">
        <f>IF(OR(calendar[[#This Row],[FR_BH]]=1,calendar[[#This Row],[WeekDay]]=1, calendar[[#This Row],[WeekDay]]=7),P453,P453+1)</f>
        <v>324</v>
      </c>
      <c r="R454">
        <f>IF(OR(calendar[[#This Row],[SP_BH]]=1,calendar[[#This Row],[WeekDay]]=1, calendar[[#This Row],[WeekDay]]=7),P453,P453+1)</f>
        <v>324</v>
      </c>
      <c r="S454">
        <f>IF(OR(calendar[[#This Row],[PT_BH]]=1,calendar[[#This Row],[WeekDay]]=1, calendar[[#This Row],[WeekDay]]=7),P453,P453+1)</f>
        <v>324</v>
      </c>
    </row>
    <row r="455" spans="1:19" x14ac:dyDescent="0.25">
      <c r="A455" s="2">
        <v>43189</v>
      </c>
      <c r="B455" s="1">
        <f t="shared" si="38"/>
        <v>13</v>
      </c>
      <c r="C455">
        <f t="shared" si="35"/>
        <v>3</v>
      </c>
      <c r="D455" t="str">
        <f t="shared" si="36"/>
        <v>March</v>
      </c>
      <c r="E455">
        <f t="shared" si="37"/>
        <v>2018</v>
      </c>
      <c r="F455" t="str">
        <f>CONCATENATE(calendar[[#This Row],[Month]],"/",calendar[[#This Row],[Year]])</f>
        <v>3/2018</v>
      </c>
      <c r="G455">
        <f>WEEKDAY(calendar[[#This Row],[Date]],1)</f>
        <v>6</v>
      </c>
      <c r="H455" t="str">
        <f>TEXT(calendar[[#This Row],[WeekDay]],"dddd")</f>
        <v>Friday</v>
      </c>
      <c r="I455">
        <f>IF((INT(calendar[[#This Row],[Count]]/7)-calendar[[#This Row],[Count]]/7)&lt;0,I454,I454+1)</f>
        <v>65</v>
      </c>
      <c r="J455">
        <f t="shared" si="39"/>
        <v>453</v>
      </c>
      <c r="K455">
        <f>IF(calendar[[#This Row],[Month]]&lt;4,1,IF(calendar[[#This Row],[Month]]&lt;7,2,IF(calendar[[#This Row],[Month]]&lt;10,3,4)))</f>
        <v>1</v>
      </c>
      <c r="L455">
        <f>IFERROR(IF(VLOOKUP(calendar[[#This Row],[Date]],BH!A:A,1,)&lt;&gt;"",1,0),0)</f>
        <v>0</v>
      </c>
      <c r="M455">
        <f>IFERROR(IF(VLOOKUP(calendar[[#This Row],[Date]],BH!C:C,1,)&lt;&gt;"",1,0),0)</f>
        <v>0</v>
      </c>
      <c r="N455">
        <f>IFERROR(IF(VLOOKUP(calendar[[#This Row],[Date]],BH!E:E,1,)&lt;&gt;"",1,0),0)</f>
        <v>0</v>
      </c>
      <c r="O455">
        <f>IFERROR(IF(VLOOKUP(calendar[[#This Row],[Date]],BH!G:G,1,)&lt;&gt;"",1,0),0)</f>
        <v>0</v>
      </c>
      <c r="P455">
        <f>IF(OR(calendar[[#This Row],[UK_BH]]=1,calendar[[#This Row],[WeekDay]]=1, calendar[[#This Row],[WeekDay]]=7),P454,P454+1)</f>
        <v>325</v>
      </c>
      <c r="Q455">
        <f>IF(OR(calendar[[#This Row],[FR_BH]]=1,calendar[[#This Row],[WeekDay]]=1, calendar[[#This Row],[WeekDay]]=7),P454,P454+1)</f>
        <v>325</v>
      </c>
      <c r="R455">
        <f>IF(OR(calendar[[#This Row],[SP_BH]]=1,calendar[[#This Row],[WeekDay]]=1, calendar[[#This Row],[WeekDay]]=7),P454,P454+1)</f>
        <v>325</v>
      </c>
      <c r="S455">
        <f>IF(OR(calendar[[#This Row],[PT_BH]]=1,calendar[[#This Row],[WeekDay]]=1, calendar[[#This Row],[WeekDay]]=7),P454,P454+1)</f>
        <v>325</v>
      </c>
    </row>
    <row r="456" spans="1:19" x14ac:dyDescent="0.25">
      <c r="A456" s="2">
        <v>43190</v>
      </c>
      <c r="B456" s="1">
        <f t="shared" si="38"/>
        <v>13</v>
      </c>
      <c r="C456">
        <f t="shared" si="35"/>
        <v>3</v>
      </c>
      <c r="D456" t="str">
        <f t="shared" si="36"/>
        <v>March</v>
      </c>
      <c r="E456">
        <f t="shared" si="37"/>
        <v>2018</v>
      </c>
      <c r="F456" t="str">
        <f>CONCATENATE(calendar[[#This Row],[Month]],"/",calendar[[#This Row],[Year]])</f>
        <v>3/2018</v>
      </c>
      <c r="G456">
        <f>WEEKDAY(calendar[[#This Row],[Date]],1)</f>
        <v>7</v>
      </c>
      <c r="H456" t="str">
        <f>TEXT(calendar[[#This Row],[WeekDay]],"dddd")</f>
        <v>Saturday</v>
      </c>
      <c r="I456">
        <f>IF((INT(calendar[[#This Row],[Count]]/7)-calendar[[#This Row],[Count]]/7)&lt;0,I455,I455+1)</f>
        <v>65</v>
      </c>
      <c r="J456">
        <f t="shared" si="39"/>
        <v>454</v>
      </c>
      <c r="K456">
        <f>IF(calendar[[#This Row],[Month]]&lt;4,1,IF(calendar[[#This Row],[Month]]&lt;7,2,IF(calendar[[#This Row],[Month]]&lt;10,3,4)))</f>
        <v>1</v>
      </c>
      <c r="L456">
        <f>IFERROR(IF(VLOOKUP(calendar[[#This Row],[Date]],BH!A:A,1,)&lt;&gt;"",1,0),0)</f>
        <v>0</v>
      </c>
      <c r="M456">
        <f>IFERROR(IF(VLOOKUP(calendar[[#This Row],[Date]],BH!C:C,1,)&lt;&gt;"",1,0),0)</f>
        <v>0</v>
      </c>
      <c r="N456">
        <f>IFERROR(IF(VLOOKUP(calendar[[#This Row],[Date]],BH!E:E,1,)&lt;&gt;"",1,0),0)</f>
        <v>0</v>
      </c>
      <c r="O456">
        <f>IFERROR(IF(VLOOKUP(calendar[[#This Row],[Date]],BH!G:G,1,)&lt;&gt;"",1,0),0)</f>
        <v>0</v>
      </c>
      <c r="P456">
        <f>IF(OR(calendar[[#This Row],[UK_BH]]=1,calendar[[#This Row],[WeekDay]]=1, calendar[[#This Row],[WeekDay]]=7),P455,P455+1)</f>
        <v>325</v>
      </c>
      <c r="Q456">
        <f>IF(OR(calendar[[#This Row],[FR_BH]]=1,calendar[[#This Row],[WeekDay]]=1, calendar[[#This Row],[WeekDay]]=7),P455,P455+1)</f>
        <v>325</v>
      </c>
      <c r="R456">
        <f>IF(OR(calendar[[#This Row],[SP_BH]]=1,calendar[[#This Row],[WeekDay]]=1, calendar[[#This Row],[WeekDay]]=7),P455,P455+1)</f>
        <v>325</v>
      </c>
      <c r="S456">
        <f>IF(OR(calendar[[#This Row],[PT_BH]]=1,calendar[[#This Row],[WeekDay]]=1, calendar[[#This Row],[WeekDay]]=7),P455,P455+1)</f>
        <v>325</v>
      </c>
    </row>
    <row r="457" spans="1:19" x14ac:dyDescent="0.25">
      <c r="A457" s="2">
        <v>43191</v>
      </c>
      <c r="B457" s="1">
        <f t="shared" si="38"/>
        <v>14</v>
      </c>
      <c r="C457">
        <f t="shared" si="35"/>
        <v>4</v>
      </c>
      <c r="D457" t="str">
        <f t="shared" si="36"/>
        <v>April</v>
      </c>
      <c r="E457">
        <f t="shared" si="37"/>
        <v>2018</v>
      </c>
      <c r="F457" t="str">
        <f>CONCATENATE(calendar[[#This Row],[Month]],"/",calendar[[#This Row],[Year]])</f>
        <v>4/2018</v>
      </c>
      <c r="G457">
        <f>WEEKDAY(calendar[[#This Row],[Date]],1)</f>
        <v>1</v>
      </c>
      <c r="H457" t="str">
        <f>TEXT(calendar[[#This Row],[WeekDay]],"dddd")</f>
        <v>Sunday</v>
      </c>
      <c r="I457">
        <f>IF((INT(calendar[[#This Row],[Count]]/7)-calendar[[#This Row],[Count]]/7)&lt;0,I456,I456+1)</f>
        <v>66</v>
      </c>
      <c r="J457">
        <f t="shared" si="39"/>
        <v>455</v>
      </c>
      <c r="K457">
        <f>IF(calendar[[#This Row],[Month]]&lt;4,1,IF(calendar[[#This Row],[Month]]&lt;7,2,IF(calendar[[#This Row],[Month]]&lt;10,3,4)))</f>
        <v>2</v>
      </c>
      <c r="L457">
        <f>IFERROR(IF(VLOOKUP(calendar[[#This Row],[Date]],BH!A:A,1,)&lt;&gt;"",1,0),0)</f>
        <v>0</v>
      </c>
      <c r="M457">
        <f>IFERROR(IF(VLOOKUP(calendar[[#This Row],[Date]],BH!C:C,1,)&lt;&gt;"",1,0),0)</f>
        <v>0</v>
      </c>
      <c r="N457">
        <f>IFERROR(IF(VLOOKUP(calendar[[#This Row],[Date]],BH!E:E,1,)&lt;&gt;"",1,0),0)</f>
        <v>0</v>
      </c>
      <c r="O457">
        <f>IFERROR(IF(VLOOKUP(calendar[[#This Row],[Date]],BH!G:G,1,)&lt;&gt;"",1,0),0)</f>
        <v>0</v>
      </c>
      <c r="P457">
        <f>IF(OR(calendar[[#This Row],[UK_BH]]=1,calendar[[#This Row],[WeekDay]]=1, calendar[[#This Row],[WeekDay]]=7),P456,P456+1)</f>
        <v>325</v>
      </c>
      <c r="Q457">
        <f>IF(OR(calendar[[#This Row],[FR_BH]]=1,calendar[[#This Row],[WeekDay]]=1, calendar[[#This Row],[WeekDay]]=7),P456,P456+1)</f>
        <v>325</v>
      </c>
      <c r="R457">
        <f>IF(OR(calendar[[#This Row],[SP_BH]]=1,calendar[[#This Row],[WeekDay]]=1, calendar[[#This Row],[WeekDay]]=7),P456,P456+1)</f>
        <v>325</v>
      </c>
      <c r="S457">
        <f>IF(OR(calendar[[#This Row],[PT_BH]]=1,calendar[[#This Row],[WeekDay]]=1, calendar[[#This Row],[WeekDay]]=7),P456,P456+1)</f>
        <v>325</v>
      </c>
    </row>
    <row r="458" spans="1:19" x14ac:dyDescent="0.25">
      <c r="A458" s="2">
        <v>43192</v>
      </c>
      <c r="B458" s="1">
        <f t="shared" si="38"/>
        <v>14</v>
      </c>
      <c r="C458">
        <f t="shared" si="35"/>
        <v>4</v>
      </c>
      <c r="D458" t="str">
        <f t="shared" si="36"/>
        <v>April</v>
      </c>
      <c r="E458">
        <f t="shared" si="37"/>
        <v>2018</v>
      </c>
      <c r="F458" t="str">
        <f>CONCATENATE(calendar[[#This Row],[Month]],"/",calendar[[#This Row],[Year]])</f>
        <v>4/2018</v>
      </c>
      <c r="G458">
        <f>WEEKDAY(calendar[[#This Row],[Date]],1)</f>
        <v>2</v>
      </c>
      <c r="H458" t="str">
        <f>TEXT(calendar[[#This Row],[WeekDay]],"dddd")</f>
        <v>Monday</v>
      </c>
      <c r="I458">
        <f>IF((INT(calendar[[#This Row],[Count]]/7)-calendar[[#This Row],[Count]]/7)&lt;0,I457,I457+1)</f>
        <v>66</v>
      </c>
      <c r="J458">
        <f t="shared" si="39"/>
        <v>456</v>
      </c>
      <c r="K458">
        <f>IF(calendar[[#This Row],[Month]]&lt;4,1,IF(calendar[[#This Row],[Month]]&lt;7,2,IF(calendar[[#This Row],[Month]]&lt;10,3,4)))</f>
        <v>2</v>
      </c>
      <c r="L458">
        <f>IFERROR(IF(VLOOKUP(calendar[[#This Row],[Date]],BH!A:A,1,)&lt;&gt;"",1,0),0)</f>
        <v>0</v>
      </c>
      <c r="M458">
        <f>IFERROR(IF(VLOOKUP(calendar[[#This Row],[Date]],BH!C:C,1,)&lt;&gt;"",1,0),0)</f>
        <v>0</v>
      </c>
      <c r="N458">
        <f>IFERROR(IF(VLOOKUP(calendar[[#This Row],[Date]],BH!E:E,1,)&lt;&gt;"",1,0),0)</f>
        <v>0</v>
      </c>
      <c r="O458">
        <f>IFERROR(IF(VLOOKUP(calendar[[#This Row],[Date]],BH!G:G,1,)&lt;&gt;"",1,0),0)</f>
        <v>0</v>
      </c>
      <c r="P458">
        <f>IF(OR(calendar[[#This Row],[UK_BH]]=1,calendar[[#This Row],[WeekDay]]=1, calendar[[#This Row],[WeekDay]]=7),P457,P457+1)</f>
        <v>326</v>
      </c>
      <c r="Q458">
        <f>IF(OR(calendar[[#This Row],[FR_BH]]=1,calendar[[#This Row],[WeekDay]]=1, calendar[[#This Row],[WeekDay]]=7),P457,P457+1)</f>
        <v>326</v>
      </c>
      <c r="R458">
        <f>IF(OR(calendar[[#This Row],[SP_BH]]=1,calendar[[#This Row],[WeekDay]]=1, calendar[[#This Row],[WeekDay]]=7),P457,P457+1)</f>
        <v>326</v>
      </c>
      <c r="S458">
        <f>IF(OR(calendar[[#This Row],[PT_BH]]=1,calendar[[#This Row],[WeekDay]]=1, calendar[[#This Row],[WeekDay]]=7),P457,P457+1)</f>
        <v>326</v>
      </c>
    </row>
    <row r="459" spans="1:19" x14ac:dyDescent="0.25">
      <c r="A459" s="2">
        <v>43193</v>
      </c>
      <c r="B459" s="1">
        <f t="shared" si="38"/>
        <v>14</v>
      </c>
      <c r="C459">
        <f t="shared" si="35"/>
        <v>4</v>
      </c>
      <c r="D459" t="str">
        <f t="shared" si="36"/>
        <v>April</v>
      </c>
      <c r="E459">
        <f t="shared" si="37"/>
        <v>2018</v>
      </c>
      <c r="F459" t="str">
        <f>CONCATENATE(calendar[[#This Row],[Month]],"/",calendar[[#This Row],[Year]])</f>
        <v>4/2018</v>
      </c>
      <c r="G459">
        <f>WEEKDAY(calendar[[#This Row],[Date]],1)</f>
        <v>3</v>
      </c>
      <c r="H459" t="str">
        <f>TEXT(calendar[[#This Row],[WeekDay]],"dddd")</f>
        <v>Tuesday</v>
      </c>
      <c r="I459">
        <f>IF((INT(calendar[[#This Row],[Count]]/7)-calendar[[#This Row],[Count]]/7)&lt;0,I458,I458+1)</f>
        <v>66</v>
      </c>
      <c r="J459">
        <f t="shared" si="39"/>
        <v>457</v>
      </c>
      <c r="K459">
        <f>IF(calendar[[#This Row],[Month]]&lt;4,1,IF(calendar[[#This Row],[Month]]&lt;7,2,IF(calendar[[#This Row],[Month]]&lt;10,3,4)))</f>
        <v>2</v>
      </c>
      <c r="L459">
        <f>IFERROR(IF(VLOOKUP(calendar[[#This Row],[Date]],BH!A:A,1,)&lt;&gt;"",1,0),0)</f>
        <v>0</v>
      </c>
      <c r="M459">
        <f>IFERROR(IF(VLOOKUP(calendar[[#This Row],[Date]],BH!C:C,1,)&lt;&gt;"",1,0),0)</f>
        <v>0</v>
      </c>
      <c r="N459">
        <f>IFERROR(IF(VLOOKUP(calendar[[#This Row],[Date]],BH!E:E,1,)&lt;&gt;"",1,0),0)</f>
        <v>0</v>
      </c>
      <c r="O459">
        <f>IFERROR(IF(VLOOKUP(calendar[[#This Row],[Date]],BH!G:G,1,)&lt;&gt;"",1,0),0)</f>
        <v>0</v>
      </c>
      <c r="P459">
        <f>IF(OR(calendar[[#This Row],[UK_BH]]=1,calendar[[#This Row],[WeekDay]]=1, calendar[[#This Row],[WeekDay]]=7),P458,P458+1)</f>
        <v>327</v>
      </c>
      <c r="Q459">
        <f>IF(OR(calendar[[#This Row],[FR_BH]]=1,calendar[[#This Row],[WeekDay]]=1, calendar[[#This Row],[WeekDay]]=7),P458,P458+1)</f>
        <v>327</v>
      </c>
      <c r="R459">
        <f>IF(OR(calendar[[#This Row],[SP_BH]]=1,calendar[[#This Row],[WeekDay]]=1, calendar[[#This Row],[WeekDay]]=7),P458,P458+1)</f>
        <v>327</v>
      </c>
      <c r="S459">
        <f>IF(OR(calendar[[#This Row],[PT_BH]]=1,calendar[[#This Row],[WeekDay]]=1, calendar[[#This Row],[WeekDay]]=7),P458,P458+1)</f>
        <v>327</v>
      </c>
    </row>
    <row r="460" spans="1:19" x14ac:dyDescent="0.25">
      <c r="A460" s="2">
        <v>43194</v>
      </c>
      <c r="B460" s="1">
        <f t="shared" si="38"/>
        <v>14</v>
      </c>
      <c r="C460">
        <f t="shared" si="35"/>
        <v>4</v>
      </c>
      <c r="D460" t="str">
        <f t="shared" si="36"/>
        <v>April</v>
      </c>
      <c r="E460">
        <f t="shared" si="37"/>
        <v>2018</v>
      </c>
      <c r="F460" t="str">
        <f>CONCATENATE(calendar[[#This Row],[Month]],"/",calendar[[#This Row],[Year]])</f>
        <v>4/2018</v>
      </c>
      <c r="G460">
        <f>WEEKDAY(calendar[[#This Row],[Date]],1)</f>
        <v>4</v>
      </c>
      <c r="H460" t="str">
        <f>TEXT(calendar[[#This Row],[WeekDay]],"dddd")</f>
        <v>Wednesday</v>
      </c>
      <c r="I460">
        <f>IF((INT(calendar[[#This Row],[Count]]/7)-calendar[[#This Row],[Count]]/7)&lt;0,I459,I459+1)</f>
        <v>66</v>
      </c>
      <c r="J460">
        <f t="shared" si="39"/>
        <v>458</v>
      </c>
      <c r="K460">
        <f>IF(calendar[[#This Row],[Month]]&lt;4,1,IF(calendar[[#This Row],[Month]]&lt;7,2,IF(calendar[[#This Row],[Month]]&lt;10,3,4)))</f>
        <v>2</v>
      </c>
      <c r="L460">
        <f>IFERROR(IF(VLOOKUP(calendar[[#This Row],[Date]],BH!A:A,1,)&lt;&gt;"",1,0),0)</f>
        <v>0</v>
      </c>
      <c r="M460">
        <f>IFERROR(IF(VLOOKUP(calendar[[#This Row],[Date]],BH!C:C,1,)&lt;&gt;"",1,0),0)</f>
        <v>0</v>
      </c>
      <c r="N460">
        <f>IFERROR(IF(VLOOKUP(calendar[[#This Row],[Date]],BH!E:E,1,)&lt;&gt;"",1,0),0)</f>
        <v>0</v>
      </c>
      <c r="O460">
        <f>IFERROR(IF(VLOOKUP(calendar[[#This Row],[Date]],BH!G:G,1,)&lt;&gt;"",1,0),0)</f>
        <v>0</v>
      </c>
      <c r="P460">
        <f>IF(OR(calendar[[#This Row],[UK_BH]]=1,calendar[[#This Row],[WeekDay]]=1, calendar[[#This Row],[WeekDay]]=7),P459,P459+1)</f>
        <v>328</v>
      </c>
      <c r="Q460">
        <f>IF(OR(calendar[[#This Row],[FR_BH]]=1,calendar[[#This Row],[WeekDay]]=1, calendar[[#This Row],[WeekDay]]=7),P459,P459+1)</f>
        <v>328</v>
      </c>
      <c r="R460">
        <f>IF(OR(calendar[[#This Row],[SP_BH]]=1,calendar[[#This Row],[WeekDay]]=1, calendar[[#This Row],[WeekDay]]=7),P459,P459+1)</f>
        <v>328</v>
      </c>
      <c r="S460">
        <f>IF(OR(calendar[[#This Row],[PT_BH]]=1,calendar[[#This Row],[WeekDay]]=1, calendar[[#This Row],[WeekDay]]=7),P459,P459+1)</f>
        <v>328</v>
      </c>
    </row>
    <row r="461" spans="1:19" x14ac:dyDescent="0.25">
      <c r="A461" s="2">
        <v>43195</v>
      </c>
      <c r="B461" s="1">
        <f t="shared" si="38"/>
        <v>14</v>
      </c>
      <c r="C461">
        <f t="shared" si="35"/>
        <v>4</v>
      </c>
      <c r="D461" t="str">
        <f t="shared" si="36"/>
        <v>April</v>
      </c>
      <c r="E461">
        <f t="shared" si="37"/>
        <v>2018</v>
      </c>
      <c r="F461" t="str">
        <f>CONCATENATE(calendar[[#This Row],[Month]],"/",calendar[[#This Row],[Year]])</f>
        <v>4/2018</v>
      </c>
      <c r="G461">
        <f>WEEKDAY(calendar[[#This Row],[Date]],1)</f>
        <v>5</v>
      </c>
      <c r="H461" t="str">
        <f>TEXT(calendar[[#This Row],[WeekDay]],"dddd")</f>
        <v>Thursday</v>
      </c>
      <c r="I461">
        <f>IF((INT(calendar[[#This Row],[Count]]/7)-calendar[[#This Row],[Count]]/7)&lt;0,I460,I460+1)</f>
        <v>66</v>
      </c>
      <c r="J461">
        <f t="shared" si="39"/>
        <v>459</v>
      </c>
      <c r="K461">
        <f>IF(calendar[[#This Row],[Month]]&lt;4,1,IF(calendar[[#This Row],[Month]]&lt;7,2,IF(calendar[[#This Row],[Month]]&lt;10,3,4)))</f>
        <v>2</v>
      </c>
      <c r="L461">
        <f>IFERROR(IF(VLOOKUP(calendar[[#This Row],[Date]],BH!A:A,1,)&lt;&gt;"",1,0),0)</f>
        <v>0</v>
      </c>
      <c r="M461">
        <f>IFERROR(IF(VLOOKUP(calendar[[#This Row],[Date]],BH!C:C,1,)&lt;&gt;"",1,0),0)</f>
        <v>0</v>
      </c>
      <c r="N461">
        <f>IFERROR(IF(VLOOKUP(calendar[[#This Row],[Date]],BH!E:E,1,)&lt;&gt;"",1,0),0)</f>
        <v>0</v>
      </c>
      <c r="O461">
        <f>IFERROR(IF(VLOOKUP(calendar[[#This Row],[Date]],BH!G:G,1,)&lt;&gt;"",1,0),0)</f>
        <v>0</v>
      </c>
      <c r="P461">
        <f>IF(OR(calendar[[#This Row],[UK_BH]]=1,calendar[[#This Row],[WeekDay]]=1, calendar[[#This Row],[WeekDay]]=7),P460,P460+1)</f>
        <v>329</v>
      </c>
      <c r="Q461">
        <f>IF(OR(calendar[[#This Row],[FR_BH]]=1,calendar[[#This Row],[WeekDay]]=1, calendar[[#This Row],[WeekDay]]=7),P460,P460+1)</f>
        <v>329</v>
      </c>
      <c r="R461">
        <f>IF(OR(calendar[[#This Row],[SP_BH]]=1,calendar[[#This Row],[WeekDay]]=1, calendar[[#This Row],[WeekDay]]=7),P460,P460+1)</f>
        <v>329</v>
      </c>
      <c r="S461">
        <f>IF(OR(calendar[[#This Row],[PT_BH]]=1,calendar[[#This Row],[WeekDay]]=1, calendar[[#This Row],[WeekDay]]=7),P460,P460+1)</f>
        <v>329</v>
      </c>
    </row>
    <row r="462" spans="1:19" x14ac:dyDescent="0.25">
      <c r="A462" s="2">
        <v>43196</v>
      </c>
      <c r="B462" s="1">
        <f t="shared" si="38"/>
        <v>14</v>
      </c>
      <c r="C462">
        <f t="shared" si="35"/>
        <v>4</v>
      </c>
      <c r="D462" t="str">
        <f t="shared" si="36"/>
        <v>April</v>
      </c>
      <c r="E462">
        <f t="shared" si="37"/>
        <v>2018</v>
      </c>
      <c r="F462" t="str">
        <f>CONCATENATE(calendar[[#This Row],[Month]],"/",calendar[[#This Row],[Year]])</f>
        <v>4/2018</v>
      </c>
      <c r="G462">
        <f>WEEKDAY(calendar[[#This Row],[Date]],1)</f>
        <v>6</v>
      </c>
      <c r="H462" t="str">
        <f>TEXT(calendar[[#This Row],[WeekDay]],"dddd")</f>
        <v>Friday</v>
      </c>
      <c r="I462">
        <f>IF((INT(calendar[[#This Row],[Count]]/7)-calendar[[#This Row],[Count]]/7)&lt;0,I461,I461+1)</f>
        <v>66</v>
      </c>
      <c r="J462">
        <f t="shared" si="39"/>
        <v>460</v>
      </c>
      <c r="K462">
        <f>IF(calendar[[#This Row],[Month]]&lt;4,1,IF(calendar[[#This Row],[Month]]&lt;7,2,IF(calendar[[#This Row],[Month]]&lt;10,3,4)))</f>
        <v>2</v>
      </c>
      <c r="L462">
        <f>IFERROR(IF(VLOOKUP(calendar[[#This Row],[Date]],BH!A:A,1,)&lt;&gt;"",1,0),0)</f>
        <v>0</v>
      </c>
      <c r="M462">
        <f>IFERROR(IF(VLOOKUP(calendar[[#This Row],[Date]],BH!C:C,1,)&lt;&gt;"",1,0),0)</f>
        <v>0</v>
      </c>
      <c r="N462">
        <f>IFERROR(IF(VLOOKUP(calendar[[#This Row],[Date]],BH!E:E,1,)&lt;&gt;"",1,0),0)</f>
        <v>0</v>
      </c>
      <c r="O462">
        <f>IFERROR(IF(VLOOKUP(calendar[[#This Row],[Date]],BH!G:G,1,)&lt;&gt;"",1,0),0)</f>
        <v>0</v>
      </c>
      <c r="P462">
        <f>IF(OR(calendar[[#This Row],[UK_BH]]=1,calendar[[#This Row],[WeekDay]]=1, calendar[[#This Row],[WeekDay]]=7),P461,P461+1)</f>
        <v>330</v>
      </c>
      <c r="Q462">
        <f>IF(OR(calendar[[#This Row],[FR_BH]]=1,calendar[[#This Row],[WeekDay]]=1, calendar[[#This Row],[WeekDay]]=7),P461,P461+1)</f>
        <v>330</v>
      </c>
      <c r="R462">
        <f>IF(OR(calendar[[#This Row],[SP_BH]]=1,calendar[[#This Row],[WeekDay]]=1, calendar[[#This Row],[WeekDay]]=7),P461,P461+1)</f>
        <v>330</v>
      </c>
      <c r="S462">
        <f>IF(OR(calendar[[#This Row],[PT_BH]]=1,calendar[[#This Row],[WeekDay]]=1, calendar[[#This Row],[WeekDay]]=7),P461,P461+1)</f>
        <v>330</v>
      </c>
    </row>
    <row r="463" spans="1:19" x14ac:dyDescent="0.25">
      <c r="A463" s="2">
        <v>43197</v>
      </c>
      <c r="B463" s="1">
        <f t="shared" si="38"/>
        <v>14</v>
      </c>
      <c r="C463">
        <f t="shared" si="35"/>
        <v>4</v>
      </c>
      <c r="D463" t="str">
        <f t="shared" si="36"/>
        <v>April</v>
      </c>
      <c r="E463">
        <f t="shared" si="37"/>
        <v>2018</v>
      </c>
      <c r="F463" t="str">
        <f>CONCATENATE(calendar[[#This Row],[Month]],"/",calendar[[#This Row],[Year]])</f>
        <v>4/2018</v>
      </c>
      <c r="G463">
        <f>WEEKDAY(calendar[[#This Row],[Date]],1)</f>
        <v>7</v>
      </c>
      <c r="H463" t="str">
        <f>TEXT(calendar[[#This Row],[WeekDay]],"dddd")</f>
        <v>Saturday</v>
      </c>
      <c r="I463">
        <f>IF((INT(calendar[[#This Row],[Count]]/7)-calendar[[#This Row],[Count]]/7)&lt;0,I462,I462+1)</f>
        <v>66</v>
      </c>
      <c r="J463">
        <f t="shared" si="39"/>
        <v>461</v>
      </c>
      <c r="K463">
        <f>IF(calendar[[#This Row],[Month]]&lt;4,1,IF(calendar[[#This Row],[Month]]&lt;7,2,IF(calendar[[#This Row],[Month]]&lt;10,3,4)))</f>
        <v>2</v>
      </c>
      <c r="L463">
        <f>IFERROR(IF(VLOOKUP(calendar[[#This Row],[Date]],BH!A:A,1,)&lt;&gt;"",1,0),0)</f>
        <v>0</v>
      </c>
      <c r="M463">
        <f>IFERROR(IF(VLOOKUP(calendar[[#This Row],[Date]],BH!C:C,1,)&lt;&gt;"",1,0),0)</f>
        <v>0</v>
      </c>
      <c r="N463">
        <f>IFERROR(IF(VLOOKUP(calendar[[#This Row],[Date]],BH!E:E,1,)&lt;&gt;"",1,0),0)</f>
        <v>0</v>
      </c>
      <c r="O463">
        <f>IFERROR(IF(VLOOKUP(calendar[[#This Row],[Date]],BH!G:G,1,)&lt;&gt;"",1,0),0)</f>
        <v>0</v>
      </c>
      <c r="P463">
        <f>IF(OR(calendar[[#This Row],[UK_BH]]=1,calendar[[#This Row],[WeekDay]]=1, calendar[[#This Row],[WeekDay]]=7),P462,P462+1)</f>
        <v>330</v>
      </c>
      <c r="Q463">
        <f>IF(OR(calendar[[#This Row],[FR_BH]]=1,calendar[[#This Row],[WeekDay]]=1, calendar[[#This Row],[WeekDay]]=7),P462,P462+1)</f>
        <v>330</v>
      </c>
      <c r="R463">
        <f>IF(OR(calendar[[#This Row],[SP_BH]]=1,calendar[[#This Row],[WeekDay]]=1, calendar[[#This Row],[WeekDay]]=7),P462,P462+1)</f>
        <v>330</v>
      </c>
      <c r="S463">
        <f>IF(OR(calendar[[#This Row],[PT_BH]]=1,calendar[[#This Row],[WeekDay]]=1, calendar[[#This Row],[WeekDay]]=7),P462,P462+1)</f>
        <v>330</v>
      </c>
    </row>
    <row r="464" spans="1:19" x14ac:dyDescent="0.25">
      <c r="A464" s="2">
        <v>43198</v>
      </c>
      <c r="B464" s="1">
        <f t="shared" si="38"/>
        <v>15</v>
      </c>
      <c r="C464">
        <f t="shared" ref="C464:C527" si="40">MONTH(A464)</f>
        <v>4</v>
      </c>
      <c r="D464" t="str">
        <f t="shared" ref="D464:D527" si="41">TEXT(A464,"mmmm")</f>
        <v>April</v>
      </c>
      <c r="E464">
        <f t="shared" ref="E464:E527" si="42">YEAR(A464)</f>
        <v>2018</v>
      </c>
      <c r="F464" t="str">
        <f>CONCATENATE(calendar[[#This Row],[Month]],"/",calendar[[#This Row],[Year]])</f>
        <v>4/2018</v>
      </c>
      <c r="G464">
        <f>WEEKDAY(calendar[[#This Row],[Date]],1)</f>
        <v>1</v>
      </c>
      <c r="H464" t="str">
        <f>TEXT(calendar[[#This Row],[WeekDay]],"dddd")</f>
        <v>Sunday</v>
      </c>
      <c r="I464">
        <f>IF((INT(calendar[[#This Row],[Count]]/7)-calendar[[#This Row],[Count]]/7)&lt;0,I463,I463+1)</f>
        <v>67</v>
      </c>
      <c r="J464">
        <f t="shared" si="39"/>
        <v>462</v>
      </c>
      <c r="K464">
        <f>IF(calendar[[#This Row],[Month]]&lt;4,1,IF(calendar[[#This Row],[Month]]&lt;7,2,IF(calendar[[#This Row],[Month]]&lt;10,3,4)))</f>
        <v>2</v>
      </c>
      <c r="L464">
        <f>IFERROR(IF(VLOOKUP(calendar[[#This Row],[Date]],BH!A:A,1,)&lt;&gt;"",1,0),0)</f>
        <v>0</v>
      </c>
      <c r="M464">
        <f>IFERROR(IF(VLOOKUP(calendar[[#This Row],[Date]],BH!C:C,1,)&lt;&gt;"",1,0),0)</f>
        <v>0</v>
      </c>
      <c r="N464">
        <f>IFERROR(IF(VLOOKUP(calendar[[#This Row],[Date]],BH!E:E,1,)&lt;&gt;"",1,0),0)</f>
        <v>0</v>
      </c>
      <c r="O464">
        <f>IFERROR(IF(VLOOKUP(calendar[[#This Row],[Date]],BH!G:G,1,)&lt;&gt;"",1,0),0)</f>
        <v>0</v>
      </c>
      <c r="P464">
        <f>IF(OR(calendar[[#This Row],[UK_BH]]=1,calendar[[#This Row],[WeekDay]]=1, calendar[[#This Row],[WeekDay]]=7),P463,P463+1)</f>
        <v>330</v>
      </c>
      <c r="Q464">
        <f>IF(OR(calendar[[#This Row],[FR_BH]]=1,calendar[[#This Row],[WeekDay]]=1, calendar[[#This Row],[WeekDay]]=7),P463,P463+1)</f>
        <v>330</v>
      </c>
      <c r="R464">
        <f>IF(OR(calendar[[#This Row],[SP_BH]]=1,calendar[[#This Row],[WeekDay]]=1, calendar[[#This Row],[WeekDay]]=7),P463,P463+1)</f>
        <v>330</v>
      </c>
      <c r="S464">
        <f>IF(OR(calendar[[#This Row],[PT_BH]]=1,calendar[[#This Row],[WeekDay]]=1, calendar[[#This Row],[WeekDay]]=7),P463,P463+1)</f>
        <v>330</v>
      </c>
    </row>
    <row r="465" spans="1:19" x14ac:dyDescent="0.25">
      <c r="A465" s="2">
        <v>43199</v>
      </c>
      <c r="B465" s="1">
        <f t="shared" si="38"/>
        <v>15</v>
      </c>
      <c r="C465">
        <f t="shared" si="40"/>
        <v>4</v>
      </c>
      <c r="D465" t="str">
        <f t="shared" si="41"/>
        <v>April</v>
      </c>
      <c r="E465">
        <f t="shared" si="42"/>
        <v>2018</v>
      </c>
      <c r="F465" t="str">
        <f>CONCATENATE(calendar[[#This Row],[Month]],"/",calendar[[#This Row],[Year]])</f>
        <v>4/2018</v>
      </c>
      <c r="G465">
        <f>WEEKDAY(calendar[[#This Row],[Date]],1)</f>
        <v>2</v>
      </c>
      <c r="H465" t="str">
        <f>TEXT(calendar[[#This Row],[WeekDay]],"dddd")</f>
        <v>Monday</v>
      </c>
      <c r="I465">
        <f>IF((INT(calendar[[#This Row],[Count]]/7)-calendar[[#This Row],[Count]]/7)&lt;0,I464,I464+1)</f>
        <v>67</v>
      </c>
      <c r="J465">
        <f t="shared" si="39"/>
        <v>463</v>
      </c>
      <c r="K465">
        <f>IF(calendar[[#This Row],[Month]]&lt;4,1,IF(calendar[[#This Row],[Month]]&lt;7,2,IF(calendar[[#This Row],[Month]]&lt;10,3,4)))</f>
        <v>2</v>
      </c>
      <c r="L465">
        <f>IFERROR(IF(VLOOKUP(calendar[[#This Row],[Date]],BH!A:A,1,)&lt;&gt;"",1,0),0)</f>
        <v>0</v>
      </c>
      <c r="M465">
        <f>IFERROR(IF(VLOOKUP(calendar[[#This Row],[Date]],BH!C:C,1,)&lt;&gt;"",1,0),0)</f>
        <v>0</v>
      </c>
      <c r="N465">
        <f>IFERROR(IF(VLOOKUP(calendar[[#This Row],[Date]],BH!E:E,1,)&lt;&gt;"",1,0),0)</f>
        <v>0</v>
      </c>
      <c r="O465">
        <f>IFERROR(IF(VLOOKUP(calendar[[#This Row],[Date]],BH!G:G,1,)&lt;&gt;"",1,0),0)</f>
        <v>0</v>
      </c>
      <c r="P465">
        <f>IF(OR(calendar[[#This Row],[UK_BH]]=1,calendar[[#This Row],[WeekDay]]=1, calendar[[#This Row],[WeekDay]]=7),P464,P464+1)</f>
        <v>331</v>
      </c>
      <c r="Q465">
        <f>IF(OR(calendar[[#This Row],[FR_BH]]=1,calendar[[#This Row],[WeekDay]]=1, calendar[[#This Row],[WeekDay]]=7),P464,P464+1)</f>
        <v>331</v>
      </c>
      <c r="R465">
        <f>IF(OR(calendar[[#This Row],[SP_BH]]=1,calendar[[#This Row],[WeekDay]]=1, calendar[[#This Row],[WeekDay]]=7),P464,P464+1)</f>
        <v>331</v>
      </c>
      <c r="S465">
        <f>IF(OR(calendar[[#This Row],[PT_BH]]=1,calendar[[#This Row],[WeekDay]]=1, calendar[[#This Row],[WeekDay]]=7),P464,P464+1)</f>
        <v>331</v>
      </c>
    </row>
    <row r="466" spans="1:19" x14ac:dyDescent="0.25">
      <c r="A466" s="2">
        <v>43200</v>
      </c>
      <c r="B466" s="1">
        <f t="shared" si="38"/>
        <v>15</v>
      </c>
      <c r="C466">
        <f t="shared" si="40"/>
        <v>4</v>
      </c>
      <c r="D466" t="str">
        <f t="shared" si="41"/>
        <v>April</v>
      </c>
      <c r="E466">
        <f t="shared" si="42"/>
        <v>2018</v>
      </c>
      <c r="F466" t="str">
        <f>CONCATENATE(calendar[[#This Row],[Month]],"/",calendar[[#This Row],[Year]])</f>
        <v>4/2018</v>
      </c>
      <c r="G466">
        <f>WEEKDAY(calendar[[#This Row],[Date]],1)</f>
        <v>3</v>
      </c>
      <c r="H466" t="str">
        <f>TEXT(calendar[[#This Row],[WeekDay]],"dddd")</f>
        <v>Tuesday</v>
      </c>
      <c r="I466">
        <f>IF((INT(calendar[[#This Row],[Count]]/7)-calendar[[#This Row],[Count]]/7)&lt;0,I465,I465+1)</f>
        <v>67</v>
      </c>
      <c r="J466">
        <f t="shared" si="39"/>
        <v>464</v>
      </c>
      <c r="K466">
        <f>IF(calendar[[#This Row],[Month]]&lt;4,1,IF(calendar[[#This Row],[Month]]&lt;7,2,IF(calendar[[#This Row],[Month]]&lt;10,3,4)))</f>
        <v>2</v>
      </c>
      <c r="L466">
        <f>IFERROR(IF(VLOOKUP(calendar[[#This Row],[Date]],BH!A:A,1,)&lt;&gt;"",1,0),0)</f>
        <v>0</v>
      </c>
      <c r="M466">
        <f>IFERROR(IF(VLOOKUP(calendar[[#This Row],[Date]],BH!C:C,1,)&lt;&gt;"",1,0),0)</f>
        <v>0</v>
      </c>
      <c r="N466">
        <f>IFERROR(IF(VLOOKUP(calendar[[#This Row],[Date]],BH!E:E,1,)&lt;&gt;"",1,0),0)</f>
        <v>0</v>
      </c>
      <c r="O466">
        <f>IFERROR(IF(VLOOKUP(calendar[[#This Row],[Date]],BH!G:G,1,)&lt;&gt;"",1,0),0)</f>
        <v>0</v>
      </c>
      <c r="P466">
        <f>IF(OR(calendar[[#This Row],[UK_BH]]=1,calendar[[#This Row],[WeekDay]]=1, calendar[[#This Row],[WeekDay]]=7),P465,P465+1)</f>
        <v>332</v>
      </c>
      <c r="Q466">
        <f>IF(OR(calendar[[#This Row],[FR_BH]]=1,calendar[[#This Row],[WeekDay]]=1, calendar[[#This Row],[WeekDay]]=7),P465,P465+1)</f>
        <v>332</v>
      </c>
      <c r="R466">
        <f>IF(OR(calendar[[#This Row],[SP_BH]]=1,calendar[[#This Row],[WeekDay]]=1, calendar[[#This Row],[WeekDay]]=7),P465,P465+1)</f>
        <v>332</v>
      </c>
      <c r="S466">
        <f>IF(OR(calendar[[#This Row],[PT_BH]]=1,calendar[[#This Row],[WeekDay]]=1, calendar[[#This Row],[WeekDay]]=7),P465,P465+1)</f>
        <v>332</v>
      </c>
    </row>
    <row r="467" spans="1:19" x14ac:dyDescent="0.25">
      <c r="A467" s="2">
        <v>43201</v>
      </c>
      <c r="B467" s="1">
        <f t="shared" si="38"/>
        <v>15</v>
      </c>
      <c r="C467">
        <f t="shared" si="40"/>
        <v>4</v>
      </c>
      <c r="D467" t="str">
        <f t="shared" si="41"/>
        <v>April</v>
      </c>
      <c r="E467">
        <f t="shared" si="42"/>
        <v>2018</v>
      </c>
      <c r="F467" t="str">
        <f>CONCATENATE(calendar[[#This Row],[Month]],"/",calendar[[#This Row],[Year]])</f>
        <v>4/2018</v>
      </c>
      <c r="G467">
        <f>WEEKDAY(calendar[[#This Row],[Date]],1)</f>
        <v>4</v>
      </c>
      <c r="H467" t="str">
        <f>TEXT(calendar[[#This Row],[WeekDay]],"dddd")</f>
        <v>Wednesday</v>
      </c>
      <c r="I467">
        <f>IF((INT(calendar[[#This Row],[Count]]/7)-calendar[[#This Row],[Count]]/7)&lt;0,I466,I466+1)</f>
        <v>67</v>
      </c>
      <c r="J467">
        <f t="shared" si="39"/>
        <v>465</v>
      </c>
      <c r="K467">
        <f>IF(calendar[[#This Row],[Month]]&lt;4,1,IF(calendar[[#This Row],[Month]]&lt;7,2,IF(calendar[[#This Row],[Month]]&lt;10,3,4)))</f>
        <v>2</v>
      </c>
      <c r="L467">
        <f>IFERROR(IF(VLOOKUP(calendar[[#This Row],[Date]],BH!A:A,1,)&lt;&gt;"",1,0),0)</f>
        <v>0</v>
      </c>
      <c r="M467">
        <f>IFERROR(IF(VLOOKUP(calendar[[#This Row],[Date]],BH!C:C,1,)&lt;&gt;"",1,0),0)</f>
        <v>0</v>
      </c>
      <c r="N467">
        <f>IFERROR(IF(VLOOKUP(calendar[[#This Row],[Date]],BH!E:E,1,)&lt;&gt;"",1,0),0)</f>
        <v>0</v>
      </c>
      <c r="O467">
        <f>IFERROR(IF(VLOOKUP(calendar[[#This Row],[Date]],BH!G:G,1,)&lt;&gt;"",1,0),0)</f>
        <v>0</v>
      </c>
      <c r="P467">
        <f>IF(OR(calendar[[#This Row],[UK_BH]]=1,calendar[[#This Row],[WeekDay]]=1, calendar[[#This Row],[WeekDay]]=7),P466,P466+1)</f>
        <v>333</v>
      </c>
      <c r="Q467">
        <f>IF(OR(calendar[[#This Row],[FR_BH]]=1,calendar[[#This Row],[WeekDay]]=1, calendar[[#This Row],[WeekDay]]=7),P466,P466+1)</f>
        <v>333</v>
      </c>
      <c r="R467">
        <f>IF(OR(calendar[[#This Row],[SP_BH]]=1,calendar[[#This Row],[WeekDay]]=1, calendar[[#This Row],[WeekDay]]=7),P466,P466+1)</f>
        <v>333</v>
      </c>
      <c r="S467">
        <f>IF(OR(calendar[[#This Row],[PT_BH]]=1,calendar[[#This Row],[WeekDay]]=1, calendar[[#This Row],[WeekDay]]=7),P466,P466+1)</f>
        <v>333</v>
      </c>
    </row>
    <row r="468" spans="1:19" x14ac:dyDescent="0.25">
      <c r="A468" s="2">
        <v>43202</v>
      </c>
      <c r="B468" s="1">
        <f t="shared" si="38"/>
        <v>15</v>
      </c>
      <c r="C468">
        <f t="shared" si="40"/>
        <v>4</v>
      </c>
      <c r="D468" t="str">
        <f t="shared" si="41"/>
        <v>April</v>
      </c>
      <c r="E468">
        <f t="shared" si="42"/>
        <v>2018</v>
      </c>
      <c r="F468" t="str">
        <f>CONCATENATE(calendar[[#This Row],[Month]],"/",calendar[[#This Row],[Year]])</f>
        <v>4/2018</v>
      </c>
      <c r="G468">
        <f>WEEKDAY(calendar[[#This Row],[Date]],1)</f>
        <v>5</v>
      </c>
      <c r="H468" t="str">
        <f>TEXT(calendar[[#This Row],[WeekDay]],"dddd")</f>
        <v>Thursday</v>
      </c>
      <c r="I468">
        <f>IF((INT(calendar[[#This Row],[Count]]/7)-calendar[[#This Row],[Count]]/7)&lt;0,I467,I467+1)</f>
        <v>67</v>
      </c>
      <c r="J468">
        <f t="shared" si="39"/>
        <v>466</v>
      </c>
      <c r="K468">
        <f>IF(calendar[[#This Row],[Month]]&lt;4,1,IF(calendar[[#This Row],[Month]]&lt;7,2,IF(calendar[[#This Row],[Month]]&lt;10,3,4)))</f>
        <v>2</v>
      </c>
      <c r="L468">
        <f>IFERROR(IF(VLOOKUP(calendar[[#This Row],[Date]],BH!A:A,1,)&lt;&gt;"",1,0),0)</f>
        <v>0</v>
      </c>
      <c r="M468">
        <f>IFERROR(IF(VLOOKUP(calendar[[#This Row],[Date]],BH!C:C,1,)&lt;&gt;"",1,0),0)</f>
        <v>0</v>
      </c>
      <c r="N468">
        <f>IFERROR(IF(VLOOKUP(calendar[[#This Row],[Date]],BH!E:E,1,)&lt;&gt;"",1,0),0)</f>
        <v>0</v>
      </c>
      <c r="O468">
        <f>IFERROR(IF(VLOOKUP(calendar[[#This Row],[Date]],BH!G:G,1,)&lt;&gt;"",1,0),0)</f>
        <v>0</v>
      </c>
      <c r="P468">
        <f>IF(OR(calendar[[#This Row],[UK_BH]]=1,calendar[[#This Row],[WeekDay]]=1, calendar[[#This Row],[WeekDay]]=7),P467,P467+1)</f>
        <v>334</v>
      </c>
      <c r="Q468">
        <f>IF(OR(calendar[[#This Row],[FR_BH]]=1,calendar[[#This Row],[WeekDay]]=1, calendar[[#This Row],[WeekDay]]=7),P467,P467+1)</f>
        <v>334</v>
      </c>
      <c r="R468">
        <f>IF(OR(calendar[[#This Row],[SP_BH]]=1,calendar[[#This Row],[WeekDay]]=1, calendar[[#This Row],[WeekDay]]=7),P467,P467+1)</f>
        <v>334</v>
      </c>
      <c r="S468">
        <f>IF(OR(calendar[[#This Row],[PT_BH]]=1,calendar[[#This Row],[WeekDay]]=1, calendar[[#This Row],[WeekDay]]=7),P467,P467+1)</f>
        <v>334</v>
      </c>
    </row>
    <row r="469" spans="1:19" x14ac:dyDescent="0.25">
      <c r="A469" s="2">
        <v>43203</v>
      </c>
      <c r="B469" s="1">
        <f t="shared" si="38"/>
        <v>15</v>
      </c>
      <c r="C469">
        <f t="shared" si="40"/>
        <v>4</v>
      </c>
      <c r="D469" t="str">
        <f t="shared" si="41"/>
        <v>April</v>
      </c>
      <c r="E469">
        <f t="shared" si="42"/>
        <v>2018</v>
      </c>
      <c r="F469" t="str">
        <f>CONCATENATE(calendar[[#This Row],[Month]],"/",calendar[[#This Row],[Year]])</f>
        <v>4/2018</v>
      </c>
      <c r="G469">
        <f>WEEKDAY(calendar[[#This Row],[Date]],1)</f>
        <v>6</v>
      </c>
      <c r="H469" t="str">
        <f>TEXT(calendar[[#This Row],[WeekDay]],"dddd")</f>
        <v>Friday</v>
      </c>
      <c r="I469">
        <f>IF((INT(calendar[[#This Row],[Count]]/7)-calendar[[#This Row],[Count]]/7)&lt;0,I468,I468+1)</f>
        <v>67</v>
      </c>
      <c r="J469">
        <f t="shared" si="39"/>
        <v>467</v>
      </c>
      <c r="K469">
        <f>IF(calendar[[#This Row],[Month]]&lt;4,1,IF(calendar[[#This Row],[Month]]&lt;7,2,IF(calendar[[#This Row],[Month]]&lt;10,3,4)))</f>
        <v>2</v>
      </c>
      <c r="L469">
        <f>IFERROR(IF(VLOOKUP(calendar[[#This Row],[Date]],BH!A:A,1,)&lt;&gt;"",1,0),0)</f>
        <v>0</v>
      </c>
      <c r="M469">
        <f>IFERROR(IF(VLOOKUP(calendar[[#This Row],[Date]],BH!C:C,1,)&lt;&gt;"",1,0),0)</f>
        <v>0</v>
      </c>
      <c r="N469">
        <f>IFERROR(IF(VLOOKUP(calendar[[#This Row],[Date]],BH!E:E,1,)&lt;&gt;"",1,0),0)</f>
        <v>0</v>
      </c>
      <c r="O469">
        <f>IFERROR(IF(VLOOKUP(calendar[[#This Row],[Date]],BH!G:G,1,)&lt;&gt;"",1,0),0)</f>
        <v>0</v>
      </c>
      <c r="P469">
        <f>IF(OR(calendar[[#This Row],[UK_BH]]=1,calendar[[#This Row],[WeekDay]]=1, calendar[[#This Row],[WeekDay]]=7),P468,P468+1)</f>
        <v>335</v>
      </c>
      <c r="Q469">
        <f>IF(OR(calendar[[#This Row],[FR_BH]]=1,calendar[[#This Row],[WeekDay]]=1, calendar[[#This Row],[WeekDay]]=7),P468,P468+1)</f>
        <v>335</v>
      </c>
      <c r="R469">
        <f>IF(OR(calendar[[#This Row],[SP_BH]]=1,calendar[[#This Row],[WeekDay]]=1, calendar[[#This Row],[WeekDay]]=7),P468,P468+1)</f>
        <v>335</v>
      </c>
      <c r="S469">
        <f>IF(OR(calendar[[#This Row],[PT_BH]]=1,calendar[[#This Row],[WeekDay]]=1, calendar[[#This Row],[WeekDay]]=7),P468,P468+1)</f>
        <v>335</v>
      </c>
    </row>
    <row r="470" spans="1:19" x14ac:dyDescent="0.25">
      <c r="A470" s="2">
        <v>43204</v>
      </c>
      <c r="B470" s="1">
        <f t="shared" si="38"/>
        <v>15</v>
      </c>
      <c r="C470">
        <f t="shared" si="40"/>
        <v>4</v>
      </c>
      <c r="D470" t="str">
        <f t="shared" si="41"/>
        <v>April</v>
      </c>
      <c r="E470">
        <f t="shared" si="42"/>
        <v>2018</v>
      </c>
      <c r="F470" t="str">
        <f>CONCATENATE(calendar[[#This Row],[Month]],"/",calendar[[#This Row],[Year]])</f>
        <v>4/2018</v>
      </c>
      <c r="G470">
        <f>WEEKDAY(calendar[[#This Row],[Date]],1)</f>
        <v>7</v>
      </c>
      <c r="H470" t="str">
        <f>TEXT(calendar[[#This Row],[WeekDay]],"dddd")</f>
        <v>Saturday</v>
      </c>
      <c r="I470">
        <f>IF((INT(calendar[[#This Row],[Count]]/7)-calendar[[#This Row],[Count]]/7)&lt;0,I469,I469+1)</f>
        <v>67</v>
      </c>
      <c r="J470">
        <f t="shared" si="39"/>
        <v>468</v>
      </c>
      <c r="K470">
        <f>IF(calendar[[#This Row],[Month]]&lt;4,1,IF(calendar[[#This Row],[Month]]&lt;7,2,IF(calendar[[#This Row],[Month]]&lt;10,3,4)))</f>
        <v>2</v>
      </c>
      <c r="L470">
        <f>IFERROR(IF(VLOOKUP(calendar[[#This Row],[Date]],BH!A:A,1,)&lt;&gt;"",1,0),0)</f>
        <v>0</v>
      </c>
      <c r="M470">
        <f>IFERROR(IF(VLOOKUP(calendar[[#This Row],[Date]],BH!C:C,1,)&lt;&gt;"",1,0),0)</f>
        <v>0</v>
      </c>
      <c r="N470">
        <f>IFERROR(IF(VLOOKUP(calendar[[#This Row],[Date]],BH!E:E,1,)&lt;&gt;"",1,0),0)</f>
        <v>0</v>
      </c>
      <c r="O470">
        <f>IFERROR(IF(VLOOKUP(calendar[[#This Row],[Date]],BH!G:G,1,)&lt;&gt;"",1,0),0)</f>
        <v>0</v>
      </c>
      <c r="P470">
        <f>IF(OR(calendar[[#This Row],[UK_BH]]=1,calendar[[#This Row],[WeekDay]]=1, calendar[[#This Row],[WeekDay]]=7),P469,P469+1)</f>
        <v>335</v>
      </c>
      <c r="Q470">
        <f>IF(OR(calendar[[#This Row],[FR_BH]]=1,calendar[[#This Row],[WeekDay]]=1, calendar[[#This Row],[WeekDay]]=7),P469,P469+1)</f>
        <v>335</v>
      </c>
      <c r="R470">
        <f>IF(OR(calendar[[#This Row],[SP_BH]]=1,calendar[[#This Row],[WeekDay]]=1, calendar[[#This Row],[WeekDay]]=7),P469,P469+1)</f>
        <v>335</v>
      </c>
      <c r="S470">
        <f>IF(OR(calendar[[#This Row],[PT_BH]]=1,calendar[[#This Row],[WeekDay]]=1, calendar[[#This Row],[WeekDay]]=7),P469,P469+1)</f>
        <v>335</v>
      </c>
    </row>
    <row r="471" spans="1:19" x14ac:dyDescent="0.25">
      <c r="A471" s="2">
        <v>43205</v>
      </c>
      <c r="B471" s="1">
        <f t="shared" si="38"/>
        <v>16</v>
      </c>
      <c r="C471">
        <f t="shared" si="40"/>
        <v>4</v>
      </c>
      <c r="D471" t="str">
        <f t="shared" si="41"/>
        <v>April</v>
      </c>
      <c r="E471">
        <f t="shared" si="42"/>
        <v>2018</v>
      </c>
      <c r="F471" t="str">
        <f>CONCATENATE(calendar[[#This Row],[Month]],"/",calendar[[#This Row],[Year]])</f>
        <v>4/2018</v>
      </c>
      <c r="G471">
        <f>WEEKDAY(calendar[[#This Row],[Date]],1)</f>
        <v>1</v>
      </c>
      <c r="H471" t="str">
        <f>TEXT(calendar[[#This Row],[WeekDay]],"dddd")</f>
        <v>Sunday</v>
      </c>
      <c r="I471">
        <f>IF((INT(calendar[[#This Row],[Count]]/7)-calendar[[#This Row],[Count]]/7)&lt;0,I470,I470+1)</f>
        <v>68</v>
      </c>
      <c r="J471">
        <f t="shared" si="39"/>
        <v>469</v>
      </c>
      <c r="K471">
        <f>IF(calendar[[#This Row],[Month]]&lt;4,1,IF(calendar[[#This Row],[Month]]&lt;7,2,IF(calendar[[#This Row],[Month]]&lt;10,3,4)))</f>
        <v>2</v>
      </c>
      <c r="L471">
        <f>IFERROR(IF(VLOOKUP(calendar[[#This Row],[Date]],BH!A:A,1,)&lt;&gt;"",1,0),0)</f>
        <v>0</v>
      </c>
      <c r="M471">
        <f>IFERROR(IF(VLOOKUP(calendar[[#This Row],[Date]],BH!C:C,1,)&lt;&gt;"",1,0),0)</f>
        <v>0</v>
      </c>
      <c r="N471">
        <f>IFERROR(IF(VLOOKUP(calendar[[#This Row],[Date]],BH!E:E,1,)&lt;&gt;"",1,0),0)</f>
        <v>0</v>
      </c>
      <c r="O471">
        <f>IFERROR(IF(VLOOKUP(calendar[[#This Row],[Date]],BH!G:G,1,)&lt;&gt;"",1,0),0)</f>
        <v>0</v>
      </c>
      <c r="P471">
        <f>IF(OR(calendar[[#This Row],[UK_BH]]=1,calendar[[#This Row],[WeekDay]]=1, calendar[[#This Row],[WeekDay]]=7),P470,P470+1)</f>
        <v>335</v>
      </c>
      <c r="Q471">
        <f>IF(OR(calendar[[#This Row],[FR_BH]]=1,calendar[[#This Row],[WeekDay]]=1, calendar[[#This Row],[WeekDay]]=7),P470,P470+1)</f>
        <v>335</v>
      </c>
      <c r="R471">
        <f>IF(OR(calendar[[#This Row],[SP_BH]]=1,calendar[[#This Row],[WeekDay]]=1, calendar[[#This Row],[WeekDay]]=7),P470,P470+1)</f>
        <v>335</v>
      </c>
      <c r="S471">
        <f>IF(OR(calendar[[#This Row],[PT_BH]]=1,calendar[[#This Row],[WeekDay]]=1, calendar[[#This Row],[WeekDay]]=7),P470,P470+1)</f>
        <v>335</v>
      </c>
    </row>
    <row r="472" spans="1:19" x14ac:dyDescent="0.25">
      <c r="A472" s="2">
        <v>43206</v>
      </c>
      <c r="B472" s="1">
        <f t="shared" si="38"/>
        <v>16</v>
      </c>
      <c r="C472">
        <f t="shared" si="40"/>
        <v>4</v>
      </c>
      <c r="D472" t="str">
        <f t="shared" si="41"/>
        <v>April</v>
      </c>
      <c r="E472">
        <f t="shared" si="42"/>
        <v>2018</v>
      </c>
      <c r="F472" t="str">
        <f>CONCATENATE(calendar[[#This Row],[Month]],"/",calendar[[#This Row],[Year]])</f>
        <v>4/2018</v>
      </c>
      <c r="G472">
        <f>WEEKDAY(calendar[[#This Row],[Date]],1)</f>
        <v>2</v>
      </c>
      <c r="H472" t="str">
        <f>TEXT(calendar[[#This Row],[WeekDay]],"dddd")</f>
        <v>Monday</v>
      </c>
      <c r="I472">
        <f>IF((INT(calendar[[#This Row],[Count]]/7)-calendar[[#This Row],[Count]]/7)&lt;0,I471,I471+1)</f>
        <v>68</v>
      </c>
      <c r="J472">
        <f t="shared" si="39"/>
        <v>470</v>
      </c>
      <c r="K472">
        <f>IF(calendar[[#This Row],[Month]]&lt;4,1,IF(calendar[[#This Row],[Month]]&lt;7,2,IF(calendar[[#This Row],[Month]]&lt;10,3,4)))</f>
        <v>2</v>
      </c>
      <c r="L472">
        <f>IFERROR(IF(VLOOKUP(calendar[[#This Row],[Date]],BH!A:A,1,)&lt;&gt;"",1,0),0)</f>
        <v>0</v>
      </c>
      <c r="M472">
        <f>IFERROR(IF(VLOOKUP(calendar[[#This Row],[Date]],BH!C:C,1,)&lt;&gt;"",1,0),0)</f>
        <v>0</v>
      </c>
      <c r="N472">
        <f>IFERROR(IF(VLOOKUP(calendar[[#This Row],[Date]],BH!E:E,1,)&lt;&gt;"",1,0),0)</f>
        <v>0</v>
      </c>
      <c r="O472">
        <f>IFERROR(IF(VLOOKUP(calendar[[#This Row],[Date]],BH!G:G,1,)&lt;&gt;"",1,0),0)</f>
        <v>0</v>
      </c>
      <c r="P472">
        <f>IF(OR(calendar[[#This Row],[UK_BH]]=1,calendar[[#This Row],[WeekDay]]=1, calendar[[#This Row],[WeekDay]]=7),P471,P471+1)</f>
        <v>336</v>
      </c>
      <c r="Q472">
        <f>IF(OR(calendar[[#This Row],[FR_BH]]=1,calendar[[#This Row],[WeekDay]]=1, calendar[[#This Row],[WeekDay]]=7),P471,P471+1)</f>
        <v>336</v>
      </c>
      <c r="R472">
        <f>IF(OR(calendar[[#This Row],[SP_BH]]=1,calendar[[#This Row],[WeekDay]]=1, calendar[[#This Row],[WeekDay]]=7),P471,P471+1)</f>
        <v>336</v>
      </c>
      <c r="S472">
        <f>IF(OR(calendar[[#This Row],[PT_BH]]=1,calendar[[#This Row],[WeekDay]]=1, calendar[[#This Row],[WeekDay]]=7),P471,P471+1)</f>
        <v>336</v>
      </c>
    </row>
    <row r="473" spans="1:19" x14ac:dyDescent="0.25">
      <c r="A473" s="2">
        <v>43207</v>
      </c>
      <c r="B473" s="1">
        <f t="shared" si="38"/>
        <v>16</v>
      </c>
      <c r="C473">
        <f t="shared" si="40"/>
        <v>4</v>
      </c>
      <c r="D473" t="str">
        <f t="shared" si="41"/>
        <v>April</v>
      </c>
      <c r="E473">
        <f t="shared" si="42"/>
        <v>2018</v>
      </c>
      <c r="F473" t="str">
        <f>CONCATENATE(calendar[[#This Row],[Month]],"/",calendar[[#This Row],[Year]])</f>
        <v>4/2018</v>
      </c>
      <c r="G473">
        <f>WEEKDAY(calendar[[#This Row],[Date]],1)</f>
        <v>3</v>
      </c>
      <c r="H473" t="str">
        <f>TEXT(calendar[[#This Row],[WeekDay]],"dddd")</f>
        <v>Tuesday</v>
      </c>
      <c r="I473">
        <f>IF((INT(calendar[[#This Row],[Count]]/7)-calendar[[#This Row],[Count]]/7)&lt;0,I472,I472+1)</f>
        <v>68</v>
      </c>
      <c r="J473">
        <f t="shared" si="39"/>
        <v>471</v>
      </c>
      <c r="K473">
        <f>IF(calendar[[#This Row],[Month]]&lt;4,1,IF(calendar[[#This Row],[Month]]&lt;7,2,IF(calendar[[#This Row],[Month]]&lt;10,3,4)))</f>
        <v>2</v>
      </c>
      <c r="L473">
        <f>IFERROR(IF(VLOOKUP(calendar[[#This Row],[Date]],BH!A:A,1,)&lt;&gt;"",1,0),0)</f>
        <v>0</v>
      </c>
      <c r="M473">
        <f>IFERROR(IF(VLOOKUP(calendar[[#This Row],[Date]],BH!C:C,1,)&lt;&gt;"",1,0),0)</f>
        <v>0</v>
      </c>
      <c r="N473">
        <f>IFERROR(IF(VLOOKUP(calendar[[#This Row],[Date]],BH!E:E,1,)&lt;&gt;"",1,0),0)</f>
        <v>0</v>
      </c>
      <c r="O473">
        <f>IFERROR(IF(VLOOKUP(calendar[[#This Row],[Date]],BH!G:G,1,)&lt;&gt;"",1,0),0)</f>
        <v>0</v>
      </c>
      <c r="P473">
        <f>IF(OR(calendar[[#This Row],[UK_BH]]=1,calendar[[#This Row],[WeekDay]]=1, calendar[[#This Row],[WeekDay]]=7),P472,P472+1)</f>
        <v>337</v>
      </c>
      <c r="Q473">
        <f>IF(OR(calendar[[#This Row],[FR_BH]]=1,calendar[[#This Row],[WeekDay]]=1, calendar[[#This Row],[WeekDay]]=7),P472,P472+1)</f>
        <v>337</v>
      </c>
      <c r="R473">
        <f>IF(OR(calendar[[#This Row],[SP_BH]]=1,calendar[[#This Row],[WeekDay]]=1, calendar[[#This Row],[WeekDay]]=7),P472,P472+1)</f>
        <v>337</v>
      </c>
      <c r="S473">
        <f>IF(OR(calendar[[#This Row],[PT_BH]]=1,calendar[[#This Row],[WeekDay]]=1, calendar[[#This Row],[WeekDay]]=7),P472,P472+1)</f>
        <v>337</v>
      </c>
    </row>
    <row r="474" spans="1:19" x14ac:dyDescent="0.25">
      <c r="A474" s="2">
        <v>43208</v>
      </c>
      <c r="B474" s="1">
        <f t="shared" si="38"/>
        <v>16</v>
      </c>
      <c r="C474">
        <f t="shared" si="40"/>
        <v>4</v>
      </c>
      <c r="D474" t="str">
        <f t="shared" si="41"/>
        <v>April</v>
      </c>
      <c r="E474">
        <f t="shared" si="42"/>
        <v>2018</v>
      </c>
      <c r="F474" t="str">
        <f>CONCATENATE(calendar[[#This Row],[Month]],"/",calendar[[#This Row],[Year]])</f>
        <v>4/2018</v>
      </c>
      <c r="G474">
        <f>WEEKDAY(calendar[[#This Row],[Date]],1)</f>
        <v>4</v>
      </c>
      <c r="H474" t="str">
        <f>TEXT(calendar[[#This Row],[WeekDay]],"dddd")</f>
        <v>Wednesday</v>
      </c>
      <c r="I474">
        <f>IF((INT(calendar[[#This Row],[Count]]/7)-calendar[[#This Row],[Count]]/7)&lt;0,I473,I473+1)</f>
        <v>68</v>
      </c>
      <c r="J474">
        <f t="shared" si="39"/>
        <v>472</v>
      </c>
      <c r="K474">
        <f>IF(calendar[[#This Row],[Month]]&lt;4,1,IF(calendar[[#This Row],[Month]]&lt;7,2,IF(calendar[[#This Row],[Month]]&lt;10,3,4)))</f>
        <v>2</v>
      </c>
      <c r="L474">
        <f>IFERROR(IF(VLOOKUP(calendar[[#This Row],[Date]],BH!A:A,1,)&lt;&gt;"",1,0),0)</f>
        <v>0</v>
      </c>
      <c r="M474">
        <f>IFERROR(IF(VLOOKUP(calendar[[#This Row],[Date]],BH!C:C,1,)&lt;&gt;"",1,0),0)</f>
        <v>0</v>
      </c>
      <c r="N474">
        <f>IFERROR(IF(VLOOKUP(calendar[[#This Row],[Date]],BH!E:E,1,)&lt;&gt;"",1,0),0)</f>
        <v>0</v>
      </c>
      <c r="O474">
        <f>IFERROR(IF(VLOOKUP(calendar[[#This Row],[Date]],BH!G:G,1,)&lt;&gt;"",1,0),0)</f>
        <v>0</v>
      </c>
      <c r="P474">
        <f>IF(OR(calendar[[#This Row],[UK_BH]]=1,calendar[[#This Row],[WeekDay]]=1, calendar[[#This Row],[WeekDay]]=7),P473,P473+1)</f>
        <v>338</v>
      </c>
      <c r="Q474">
        <f>IF(OR(calendar[[#This Row],[FR_BH]]=1,calendar[[#This Row],[WeekDay]]=1, calendar[[#This Row],[WeekDay]]=7),P473,P473+1)</f>
        <v>338</v>
      </c>
      <c r="R474">
        <f>IF(OR(calendar[[#This Row],[SP_BH]]=1,calendar[[#This Row],[WeekDay]]=1, calendar[[#This Row],[WeekDay]]=7),P473,P473+1)</f>
        <v>338</v>
      </c>
      <c r="S474">
        <f>IF(OR(calendar[[#This Row],[PT_BH]]=1,calendar[[#This Row],[WeekDay]]=1, calendar[[#This Row],[WeekDay]]=7),P473,P473+1)</f>
        <v>338</v>
      </c>
    </row>
    <row r="475" spans="1:19" x14ac:dyDescent="0.25">
      <c r="A475" s="2">
        <v>43209</v>
      </c>
      <c r="B475" s="1">
        <f t="shared" si="38"/>
        <v>16</v>
      </c>
      <c r="C475">
        <f t="shared" si="40"/>
        <v>4</v>
      </c>
      <c r="D475" t="str">
        <f t="shared" si="41"/>
        <v>April</v>
      </c>
      <c r="E475">
        <f t="shared" si="42"/>
        <v>2018</v>
      </c>
      <c r="F475" t="str">
        <f>CONCATENATE(calendar[[#This Row],[Month]],"/",calendar[[#This Row],[Year]])</f>
        <v>4/2018</v>
      </c>
      <c r="G475">
        <f>WEEKDAY(calendar[[#This Row],[Date]],1)</f>
        <v>5</v>
      </c>
      <c r="H475" t="str">
        <f>TEXT(calendar[[#This Row],[WeekDay]],"dddd")</f>
        <v>Thursday</v>
      </c>
      <c r="I475">
        <f>IF((INT(calendar[[#This Row],[Count]]/7)-calendar[[#This Row],[Count]]/7)&lt;0,I474,I474+1)</f>
        <v>68</v>
      </c>
      <c r="J475">
        <f t="shared" si="39"/>
        <v>473</v>
      </c>
      <c r="K475">
        <f>IF(calendar[[#This Row],[Month]]&lt;4,1,IF(calendar[[#This Row],[Month]]&lt;7,2,IF(calendar[[#This Row],[Month]]&lt;10,3,4)))</f>
        <v>2</v>
      </c>
      <c r="L475">
        <f>IFERROR(IF(VLOOKUP(calendar[[#This Row],[Date]],BH!A:A,1,)&lt;&gt;"",1,0),0)</f>
        <v>0</v>
      </c>
      <c r="M475">
        <f>IFERROR(IF(VLOOKUP(calendar[[#This Row],[Date]],BH!C:C,1,)&lt;&gt;"",1,0),0)</f>
        <v>0</v>
      </c>
      <c r="N475">
        <f>IFERROR(IF(VLOOKUP(calendar[[#This Row],[Date]],BH!E:E,1,)&lt;&gt;"",1,0),0)</f>
        <v>0</v>
      </c>
      <c r="O475">
        <f>IFERROR(IF(VLOOKUP(calendar[[#This Row],[Date]],BH!G:G,1,)&lt;&gt;"",1,0),0)</f>
        <v>0</v>
      </c>
      <c r="P475">
        <f>IF(OR(calendar[[#This Row],[UK_BH]]=1,calendar[[#This Row],[WeekDay]]=1, calendar[[#This Row],[WeekDay]]=7),P474,P474+1)</f>
        <v>339</v>
      </c>
      <c r="Q475">
        <f>IF(OR(calendar[[#This Row],[FR_BH]]=1,calendar[[#This Row],[WeekDay]]=1, calendar[[#This Row],[WeekDay]]=7),P474,P474+1)</f>
        <v>339</v>
      </c>
      <c r="R475">
        <f>IF(OR(calendar[[#This Row],[SP_BH]]=1,calendar[[#This Row],[WeekDay]]=1, calendar[[#This Row],[WeekDay]]=7),P474,P474+1)</f>
        <v>339</v>
      </c>
      <c r="S475">
        <f>IF(OR(calendar[[#This Row],[PT_BH]]=1,calendar[[#This Row],[WeekDay]]=1, calendar[[#This Row],[WeekDay]]=7),P474,P474+1)</f>
        <v>339</v>
      </c>
    </row>
    <row r="476" spans="1:19" x14ac:dyDescent="0.25">
      <c r="A476" s="2">
        <v>43210</v>
      </c>
      <c r="B476" s="1">
        <f t="shared" si="38"/>
        <v>16</v>
      </c>
      <c r="C476">
        <f t="shared" si="40"/>
        <v>4</v>
      </c>
      <c r="D476" t="str">
        <f t="shared" si="41"/>
        <v>April</v>
      </c>
      <c r="E476">
        <f t="shared" si="42"/>
        <v>2018</v>
      </c>
      <c r="F476" t="str">
        <f>CONCATENATE(calendar[[#This Row],[Month]],"/",calendar[[#This Row],[Year]])</f>
        <v>4/2018</v>
      </c>
      <c r="G476">
        <f>WEEKDAY(calendar[[#This Row],[Date]],1)</f>
        <v>6</v>
      </c>
      <c r="H476" t="str">
        <f>TEXT(calendar[[#This Row],[WeekDay]],"dddd")</f>
        <v>Friday</v>
      </c>
      <c r="I476">
        <f>IF((INT(calendar[[#This Row],[Count]]/7)-calendar[[#This Row],[Count]]/7)&lt;0,I475,I475+1)</f>
        <v>68</v>
      </c>
      <c r="J476">
        <f t="shared" si="39"/>
        <v>474</v>
      </c>
      <c r="K476">
        <f>IF(calendar[[#This Row],[Month]]&lt;4,1,IF(calendar[[#This Row],[Month]]&lt;7,2,IF(calendar[[#This Row],[Month]]&lt;10,3,4)))</f>
        <v>2</v>
      </c>
      <c r="L476">
        <f>IFERROR(IF(VLOOKUP(calendar[[#This Row],[Date]],BH!A:A,1,)&lt;&gt;"",1,0),0)</f>
        <v>0</v>
      </c>
      <c r="M476">
        <f>IFERROR(IF(VLOOKUP(calendar[[#This Row],[Date]],BH!C:C,1,)&lt;&gt;"",1,0),0)</f>
        <v>0</v>
      </c>
      <c r="N476">
        <f>IFERROR(IF(VLOOKUP(calendar[[#This Row],[Date]],BH!E:E,1,)&lt;&gt;"",1,0),0)</f>
        <v>0</v>
      </c>
      <c r="O476">
        <f>IFERROR(IF(VLOOKUP(calendar[[#This Row],[Date]],BH!G:G,1,)&lt;&gt;"",1,0),0)</f>
        <v>0</v>
      </c>
      <c r="P476">
        <f>IF(OR(calendar[[#This Row],[UK_BH]]=1,calendar[[#This Row],[WeekDay]]=1, calendar[[#This Row],[WeekDay]]=7),P475,P475+1)</f>
        <v>340</v>
      </c>
      <c r="Q476">
        <f>IF(OR(calendar[[#This Row],[FR_BH]]=1,calendar[[#This Row],[WeekDay]]=1, calendar[[#This Row],[WeekDay]]=7),P475,P475+1)</f>
        <v>340</v>
      </c>
      <c r="R476">
        <f>IF(OR(calendar[[#This Row],[SP_BH]]=1,calendar[[#This Row],[WeekDay]]=1, calendar[[#This Row],[WeekDay]]=7),P475,P475+1)</f>
        <v>340</v>
      </c>
      <c r="S476">
        <f>IF(OR(calendar[[#This Row],[PT_BH]]=1,calendar[[#This Row],[WeekDay]]=1, calendar[[#This Row],[WeekDay]]=7),P475,P475+1)</f>
        <v>340</v>
      </c>
    </row>
    <row r="477" spans="1:19" x14ac:dyDescent="0.25">
      <c r="A477" s="2">
        <v>43211</v>
      </c>
      <c r="B477" s="1">
        <f t="shared" si="38"/>
        <v>16</v>
      </c>
      <c r="C477">
        <f t="shared" si="40"/>
        <v>4</v>
      </c>
      <c r="D477" t="str">
        <f t="shared" si="41"/>
        <v>April</v>
      </c>
      <c r="E477">
        <f t="shared" si="42"/>
        <v>2018</v>
      </c>
      <c r="F477" t="str">
        <f>CONCATENATE(calendar[[#This Row],[Month]],"/",calendar[[#This Row],[Year]])</f>
        <v>4/2018</v>
      </c>
      <c r="G477">
        <f>WEEKDAY(calendar[[#This Row],[Date]],1)</f>
        <v>7</v>
      </c>
      <c r="H477" t="str">
        <f>TEXT(calendar[[#This Row],[WeekDay]],"dddd")</f>
        <v>Saturday</v>
      </c>
      <c r="I477">
        <f>IF((INT(calendar[[#This Row],[Count]]/7)-calendar[[#This Row],[Count]]/7)&lt;0,I476,I476+1)</f>
        <v>68</v>
      </c>
      <c r="J477">
        <f t="shared" si="39"/>
        <v>475</v>
      </c>
      <c r="K477">
        <f>IF(calendar[[#This Row],[Month]]&lt;4,1,IF(calendar[[#This Row],[Month]]&lt;7,2,IF(calendar[[#This Row],[Month]]&lt;10,3,4)))</f>
        <v>2</v>
      </c>
      <c r="L477">
        <f>IFERROR(IF(VLOOKUP(calendar[[#This Row],[Date]],BH!A:A,1,)&lt;&gt;"",1,0),0)</f>
        <v>0</v>
      </c>
      <c r="M477">
        <f>IFERROR(IF(VLOOKUP(calendar[[#This Row],[Date]],BH!C:C,1,)&lt;&gt;"",1,0),0)</f>
        <v>0</v>
      </c>
      <c r="N477">
        <f>IFERROR(IF(VLOOKUP(calendar[[#This Row],[Date]],BH!E:E,1,)&lt;&gt;"",1,0),0)</f>
        <v>0</v>
      </c>
      <c r="O477">
        <f>IFERROR(IF(VLOOKUP(calendar[[#This Row],[Date]],BH!G:G,1,)&lt;&gt;"",1,0),0)</f>
        <v>0</v>
      </c>
      <c r="P477">
        <f>IF(OR(calendar[[#This Row],[UK_BH]]=1,calendar[[#This Row],[WeekDay]]=1, calendar[[#This Row],[WeekDay]]=7),P476,P476+1)</f>
        <v>340</v>
      </c>
      <c r="Q477">
        <f>IF(OR(calendar[[#This Row],[FR_BH]]=1,calendar[[#This Row],[WeekDay]]=1, calendar[[#This Row],[WeekDay]]=7),P476,P476+1)</f>
        <v>340</v>
      </c>
      <c r="R477">
        <f>IF(OR(calendar[[#This Row],[SP_BH]]=1,calendar[[#This Row],[WeekDay]]=1, calendar[[#This Row],[WeekDay]]=7),P476,P476+1)</f>
        <v>340</v>
      </c>
      <c r="S477">
        <f>IF(OR(calendar[[#This Row],[PT_BH]]=1,calendar[[#This Row],[WeekDay]]=1, calendar[[#This Row],[WeekDay]]=7),P476,P476+1)</f>
        <v>340</v>
      </c>
    </row>
    <row r="478" spans="1:19" x14ac:dyDescent="0.25">
      <c r="A478" s="2">
        <v>43212</v>
      </c>
      <c r="B478" s="1">
        <f t="shared" si="38"/>
        <v>17</v>
      </c>
      <c r="C478">
        <f t="shared" si="40"/>
        <v>4</v>
      </c>
      <c r="D478" t="str">
        <f t="shared" si="41"/>
        <v>April</v>
      </c>
      <c r="E478">
        <f t="shared" si="42"/>
        <v>2018</v>
      </c>
      <c r="F478" t="str">
        <f>CONCATENATE(calendar[[#This Row],[Month]],"/",calendar[[#This Row],[Year]])</f>
        <v>4/2018</v>
      </c>
      <c r="G478">
        <f>WEEKDAY(calendar[[#This Row],[Date]],1)</f>
        <v>1</v>
      </c>
      <c r="H478" t="str">
        <f>TEXT(calendar[[#This Row],[WeekDay]],"dddd")</f>
        <v>Sunday</v>
      </c>
      <c r="I478">
        <f>IF((INT(calendar[[#This Row],[Count]]/7)-calendar[[#This Row],[Count]]/7)&lt;0,I477,I477+1)</f>
        <v>69</v>
      </c>
      <c r="J478">
        <f t="shared" si="39"/>
        <v>476</v>
      </c>
      <c r="K478">
        <f>IF(calendar[[#This Row],[Month]]&lt;4,1,IF(calendar[[#This Row],[Month]]&lt;7,2,IF(calendar[[#This Row],[Month]]&lt;10,3,4)))</f>
        <v>2</v>
      </c>
      <c r="L478">
        <f>IFERROR(IF(VLOOKUP(calendar[[#This Row],[Date]],BH!A:A,1,)&lt;&gt;"",1,0),0)</f>
        <v>0</v>
      </c>
      <c r="M478">
        <f>IFERROR(IF(VLOOKUP(calendar[[#This Row],[Date]],BH!C:C,1,)&lt;&gt;"",1,0),0)</f>
        <v>0</v>
      </c>
      <c r="N478">
        <f>IFERROR(IF(VLOOKUP(calendar[[#This Row],[Date]],BH!E:E,1,)&lt;&gt;"",1,0),0)</f>
        <v>0</v>
      </c>
      <c r="O478">
        <f>IFERROR(IF(VLOOKUP(calendar[[#This Row],[Date]],BH!G:G,1,)&lt;&gt;"",1,0),0)</f>
        <v>0</v>
      </c>
      <c r="P478">
        <f>IF(OR(calendar[[#This Row],[UK_BH]]=1,calendar[[#This Row],[WeekDay]]=1, calendar[[#This Row],[WeekDay]]=7),P477,P477+1)</f>
        <v>340</v>
      </c>
      <c r="Q478">
        <f>IF(OR(calendar[[#This Row],[FR_BH]]=1,calendar[[#This Row],[WeekDay]]=1, calendar[[#This Row],[WeekDay]]=7),P477,P477+1)</f>
        <v>340</v>
      </c>
      <c r="R478">
        <f>IF(OR(calendar[[#This Row],[SP_BH]]=1,calendar[[#This Row],[WeekDay]]=1, calendar[[#This Row],[WeekDay]]=7),P477,P477+1)</f>
        <v>340</v>
      </c>
      <c r="S478">
        <f>IF(OR(calendar[[#This Row],[PT_BH]]=1,calendar[[#This Row],[WeekDay]]=1, calendar[[#This Row],[WeekDay]]=7),P477,P477+1)</f>
        <v>340</v>
      </c>
    </row>
    <row r="479" spans="1:19" x14ac:dyDescent="0.25">
      <c r="A479" s="2">
        <v>43213</v>
      </c>
      <c r="B479" s="1">
        <f t="shared" si="38"/>
        <v>17</v>
      </c>
      <c r="C479">
        <f t="shared" si="40"/>
        <v>4</v>
      </c>
      <c r="D479" t="str">
        <f t="shared" si="41"/>
        <v>April</v>
      </c>
      <c r="E479">
        <f t="shared" si="42"/>
        <v>2018</v>
      </c>
      <c r="F479" t="str">
        <f>CONCATENATE(calendar[[#This Row],[Month]],"/",calendar[[#This Row],[Year]])</f>
        <v>4/2018</v>
      </c>
      <c r="G479">
        <f>WEEKDAY(calendar[[#This Row],[Date]],1)</f>
        <v>2</v>
      </c>
      <c r="H479" t="str">
        <f>TEXT(calendar[[#This Row],[WeekDay]],"dddd")</f>
        <v>Monday</v>
      </c>
      <c r="I479">
        <f>IF((INT(calendar[[#This Row],[Count]]/7)-calendar[[#This Row],[Count]]/7)&lt;0,I478,I478+1)</f>
        <v>69</v>
      </c>
      <c r="J479">
        <f t="shared" si="39"/>
        <v>477</v>
      </c>
      <c r="K479">
        <f>IF(calendar[[#This Row],[Month]]&lt;4,1,IF(calendar[[#This Row],[Month]]&lt;7,2,IF(calendar[[#This Row],[Month]]&lt;10,3,4)))</f>
        <v>2</v>
      </c>
      <c r="L479">
        <f>IFERROR(IF(VLOOKUP(calendar[[#This Row],[Date]],BH!A:A,1,)&lt;&gt;"",1,0),0)</f>
        <v>0</v>
      </c>
      <c r="M479">
        <f>IFERROR(IF(VLOOKUP(calendar[[#This Row],[Date]],BH!C:C,1,)&lt;&gt;"",1,0),0)</f>
        <v>0</v>
      </c>
      <c r="N479">
        <f>IFERROR(IF(VLOOKUP(calendar[[#This Row],[Date]],BH!E:E,1,)&lt;&gt;"",1,0),0)</f>
        <v>0</v>
      </c>
      <c r="O479">
        <f>IFERROR(IF(VLOOKUP(calendar[[#This Row],[Date]],BH!G:G,1,)&lt;&gt;"",1,0),0)</f>
        <v>0</v>
      </c>
      <c r="P479">
        <f>IF(OR(calendar[[#This Row],[UK_BH]]=1,calendar[[#This Row],[WeekDay]]=1, calendar[[#This Row],[WeekDay]]=7),P478,P478+1)</f>
        <v>341</v>
      </c>
      <c r="Q479">
        <f>IF(OR(calendar[[#This Row],[FR_BH]]=1,calendar[[#This Row],[WeekDay]]=1, calendar[[#This Row],[WeekDay]]=7),P478,P478+1)</f>
        <v>341</v>
      </c>
      <c r="R479">
        <f>IF(OR(calendar[[#This Row],[SP_BH]]=1,calendar[[#This Row],[WeekDay]]=1, calendar[[#This Row],[WeekDay]]=7),P478,P478+1)</f>
        <v>341</v>
      </c>
      <c r="S479">
        <f>IF(OR(calendar[[#This Row],[PT_BH]]=1,calendar[[#This Row],[WeekDay]]=1, calendar[[#This Row],[WeekDay]]=7),P478,P478+1)</f>
        <v>341</v>
      </c>
    </row>
    <row r="480" spans="1:19" x14ac:dyDescent="0.25">
      <c r="A480" s="2">
        <v>43214</v>
      </c>
      <c r="B480" s="1">
        <f t="shared" si="38"/>
        <v>17</v>
      </c>
      <c r="C480">
        <f t="shared" si="40"/>
        <v>4</v>
      </c>
      <c r="D480" t="str">
        <f t="shared" si="41"/>
        <v>April</v>
      </c>
      <c r="E480">
        <f t="shared" si="42"/>
        <v>2018</v>
      </c>
      <c r="F480" t="str">
        <f>CONCATENATE(calendar[[#This Row],[Month]],"/",calendar[[#This Row],[Year]])</f>
        <v>4/2018</v>
      </c>
      <c r="G480">
        <f>WEEKDAY(calendar[[#This Row],[Date]],1)</f>
        <v>3</v>
      </c>
      <c r="H480" t="str">
        <f>TEXT(calendar[[#This Row],[WeekDay]],"dddd")</f>
        <v>Tuesday</v>
      </c>
      <c r="I480">
        <f>IF((INT(calendar[[#This Row],[Count]]/7)-calendar[[#This Row],[Count]]/7)&lt;0,I479,I479+1)</f>
        <v>69</v>
      </c>
      <c r="J480">
        <f t="shared" si="39"/>
        <v>478</v>
      </c>
      <c r="K480">
        <f>IF(calendar[[#This Row],[Month]]&lt;4,1,IF(calendar[[#This Row],[Month]]&lt;7,2,IF(calendar[[#This Row],[Month]]&lt;10,3,4)))</f>
        <v>2</v>
      </c>
      <c r="L480">
        <f>IFERROR(IF(VLOOKUP(calendar[[#This Row],[Date]],BH!A:A,1,)&lt;&gt;"",1,0),0)</f>
        <v>0</v>
      </c>
      <c r="M480">
        <f>IFERROR(IF(VLOOKUP(calendar[[#This Row],[Date]],BH!C:C,1,)&lt;&gt;"",1,0),0)</f>
        <v>0</v>
      </c>
      <c r="N480">
        <f>IFERROR(IF(VLOOKUP(calendar[[#This Row],[Date]],BH!E:E,1,)&lt;&gt;"",1,0),0)</f>
        <v>0</v>
      </c>
      <c r="O480">
        <f>IFERROR(IF(VLOOKUP(calendar[[#This Row],[Date]],BH!G:G,1,)&lt;&gt;"",1,0),0)</f>
        <v>0</v>
      </c>
      <c r="P480">
        <f>IF(OR(calendar[[#This Row],[UK_BH]]=1,calendar[[#This Row],[WeekDay]]=1, calendar[[#This Row],[WeekDay]]=7),P479,P479+1)</f>
        <v>342</v>
      </c>
      <c r="Q480">
        <f>IF(OR(calendar[[#This Row],[FR_BH]]=1,calendar[[#This Row],[WeekDay]]=1, calendar[[#This Row],[WeekDay]]=7),P479,P479+1)</f>
        <v>342</v>
      </c>
      <c r="R480">
        <f>IF(OR(calendar[[#This Row],[SP_BH]]=1,calendar[[#This Row],[WeekDay]]=1, calendar[[#This Row],[WeekDay]]=7),P479,P479+1)</f>
        <v>342</v>
      </c>
      <c r="S480">
        <f>IF(OR(calendar[[#This Row],[PT_BH]]=1,calendar[[#This Row],[WeekDay]]=1, calendar[[#This Row],[WeekDay]]=7),P479,P479+1)</f>
        <v>342</v>
      </c>
    </row>
    <row r="481" spans="1:19" x14ac:dyDescent="0.25">
      <c r="A481" s="2">
        <v>43215</v>
      </c>
      <c r="B481" s="1">
        <f t="shared" si="38"/>
        <v>17</v>
      </c>
      <c r="C481">
        <f t="shared" si="40"/>
        <v>4</v>
      </c>
      <c r="D481" t="str">
        <f t="shared" si="41"/>
        <v>April</v>
      </c>
      <c r="E481">
        <f t="shared" si="42"/>
        <v>2018</v>
      </c>
      <c r="F481" t="str">
        <f>CONCATENATE(calendar[[#This Row],[Month]],"/",calendar[[#This Row],[Year]])</f>
        <v>4/2018</v>
      </c>
      <c r="G481">
        <f>WEEKDAY(calendar[[#This Row],[Date]],1)</f>
        <v>4</v>
      </c>
      <c r="H481" t="str">
        <f>TEXT(calendar[[#This Row],[WeekDay]],"dddd")</f>
        <v>Wednesday</v>
      </c>
      <c r="I481">
        <f>IF((INT(calendar[[#This Row],[Count]]/7)-calendar[[#This Row],[Count]]/7)&lt;0,I480,I480+1)</f>
        <v>69</v>
      </c>
      <c r="J481">
        <f t="shared" si="39"/>
        <v>479</v>
      </c>
      <c r="K481">
        <f>IF(calendar[[#This Row],[Month]]&lt;4,1,IF(calendar[[#This Row],[Month]]&lt;7,2,IF(calendar[[#This Row],[Month]]&lt;10,3,4)))</f>
        <v>2</v>
      </c>
      <c r="L481">
        <f>IFERROR(IF(VLOOKUP(calendar[[#This Row],[Date]],BH!A:A,1,)&lt;&gt;"",1,0),0)</f>
        <v>0</v>
      </c>
      <c r="M481">
        <f>IFERROR(IF(VLOOKUP(calendar[[#This Row],[Date]],BH!C:C,1,)&lt;&gt;"",1,0),0)</f>
        <v>0</v>
      </c>
      <c r="N481">
        <f>IFERROR(IF(VLOOKUP(calendar[[#This Row],[Date]],BH!E:E,1,)&lt;&gt;"",1,0),0)</f>
        <v>0</v>
      </c>
      <c r="O481">
        <f>IFERROR(IF(VLOOKUP(calendar[[#This Row],[Date]],BH!G:G,1,)&lt;&gt;"",1,0),0)</f>
        <v>0</v>
      </c>
      <c r="P481">
        <f>IF(OR(calendar[[#This Row],[UK_BH]]=1,calendar[[#This Row],[WeekDay]]=1, calendar[[#This Row],[WeekDay]]=7),P480,P480+1)</f>
        <v>343</v>
      </c>
      <c r="Q481">
        <f>IF(OR(calendar[[#This Row],[FR_BH]]=1,calendar[[#This Row],[WeekDay]]=1, calendar[[#This Row],[WeekDay]]=7),P480,P480+1)</f>
        <v>343</v>
      </c>
      <c r="R481">
        <f>IF(OR(calendar[[#This Row],[SP_BH]]=1,calendar[[#This Row],[WeekDay]]=1, calendar[[#This Row],[WeekDay]]=7),P480,P480+1)</f>
        <v>343</v>
      </c>
      <c r="S481">
        <f>IF(OR(calendar[[#This Row],[PT_BH]]=1,calendar[[#This Row],[WeekDay]]=1, calendar[[#This Row],[WeekDay]]=7),P480,P480+1)</f>
        <v>343</v>
      </c>
    </row>
    <row r="482" spans="1:19" x14ac:dyDescent="0.25">
      <c r="A482" s="2">
        <v>43216</v>
      </c>
      <c r="B482" s="1">
        <f t="shared" si="38"/>
        <v>17</v>
      </c>
      <c r="C482">
        <f t="shared" si="40"/>
        <v>4</v>
      </c>
      <c r="D482" t="str">
        <f t="shared" si="41"/>
        <v>April</v>
      </c>
      <c r="E482">
        <f t="shared" si="42"/>
        <v>2018</v>
      </c>
      <c r="F482" t="str">
        <f>CONCATENATE(calendar[[#This Row],[Month]],"/",calendar[[#This Row],[Year]])</f>
        <v>4/2018</v>
      </c>
      <c r="G482">
        <f>WEEKDAY(calendar[[#This Row],[Date]],1)</f>
        <v>5</v>
      </c>
      <c r="H482" t="str">
        <f>TEXT(calendar[[#This Row],[WeekDay]],"dddd")</f>
        <v>Thursday</v>
      </c>
      <c r="I482">
        <f>IF((INT(calendar[[#This Row],[Count]]/7)-calendar[[#This Row],[Count]]/7)&lt;0,I481,I481+1)</f>
        <v>69</v>
      </c>
      <c r="J482">
        <f t="shared" si="39"/>
        <v>480</v>
      </c>
      <c r="K482">
        <f>IF(calendar[[#This Row],[Month]]&lt;4,1,IF(calendar[[#This Row],[Month]]&lt;7,2,IF(calendar[[#This Row],[Month]]&lt;10,3,4)))</f>
        <v>2</v>
      </c>
      <c r="L482">
        <f>IFERROR(IF(VLOOKUP(calendar[[#This Row],[Date]],BH!A:A,1,)&lt;&gt;"",1,0),0)</f>
        <v>0</v>
      </c>
      <c r="M482">
        <f>IFERROR(IF(VLOOKUP(calendar[[#This Row],[Date]],BH!C:C,1,)&lt;&gt;"",1,0),0)</f>
        <v>0</v>
      </c>
      <c r="N482">
        <f>IFERROR(IF(VLOOKUP(calendar[[#This Row],[Date]],BH!E:E,1,)&lt;&gt;"",1,0),0)</f>
        <v>0</v>
      </c>
      <c r="O482">
        <f>IFERROR(IF(VLOOKUP(calendar[[#This Row],[Date]],BH!G:G,1,)&lt;&gt;"",1,0),0)</f>
        <v>0</v>
      </c>
      <c r="P482">
        <f>IF(OR(calendar[[#This Row],[UK_BH]]=1,calendar[[#This Row],[WeekDay]]=1, calendar[[#This Row],[WeekDay]]=7),P481,P481+1)</f>
        <v>344</v>
      </c>
      <c r="Q482">
        <f>IF(OR(calendar[[#This Row],[FR_BH]]=1,calendar[[#This Row],[WeekDay]]=1, calendar[[#This Row],[WeekDay]]=7),P481,P481+1)</f>
        <v>344</v>
      </c>
      <c r="R482">
        <f>IF(OR(calendar[[#This Row],[SP_BH]]=1,calendar[[#This Row],[WeekDay]]=1, calendar[[#This Row],[WeekDay]]=7),P481,P481+1)</f>
        <v>344</v>
      </c>
      <c r="S482">
        <f>IF(OR(calendar[[#This Row],[PT_BH]]=1,calendar[[#This Row],[WeekDay]]=1, calendar[[#This Row],[WeekDay]]=7),P481,P481+1)</f>
        <v>344</v>
      </c>
    </row>
    <row r="483" spans="1:19" x14ac:dyDescent="0.25">
      <c r="A483" s="2">
        <v>43217</v>
      </c>
      <c r="B483" s="1">
        <f t="shared" si="38"/>
        <v>17</v>
      </c>
      <c r="C483">
        <f t="shared" si="40"/>
        <v>4</v>
      </c>
      <c r="D483" t="str">
        <f t="shared" si="41"/>
        <v>April</v>
      </c>
      <c r="E483">
        <f t="shared" si="42"/>
        <v>2018</v>
      </c>
      <c r="F483" t="str">
        <f>CONCATENATE(calendar[[#This Row],[Month]],"/",calendar[[#This Row],[Year]])</f>
        <v>4/2018</v>
      </c>
      <c r="G483">
        <f>WEEKDAY(calendar[[#This Row],[Date]],1)</f>
        <v>6</v>
      </c>
      <c r="H483" t="str">
        <f>TEXT(calendar[[#This Row],[WeekDay]],"dddd")</f>
        <v>Friday</v>
      </c>
      <c r="I483">
        <f>IF((INT(calendar[[#This Row],[Count]]/7)-calendar[[#This Row],[Count]]/7)&lt;0,I482,I482+1)</f>
        <v>69</v>
      </c>
      <c r="J483">
        <f t="shared" si="39"/>
        <v>481</v>
      </c>
      <c r="K483">
        <f>IF(calendar[[#This Row],[Month]]&lt;4,1,IF(calendar[[#This Row],[Month]]&lt;7,2,IF(calendar[[#This Row],[Month]]&lt;10,3,4)))</f>
        <v>2</v>
      </c>
      <c r="L483">
        <f>IFERROR(IF(VLOOKUP(calendar[[#This Row],[Date]],BH!A:A,1,)&lt;&gt;"",1,0),0)</f>
        <v>0</v>
      </c>
      <c r="M483">
        <f>IFERROR(IF(VLOOKUP(calendar[[#This Row],[Date]],BH!C:C,1,)&lt;&gt;"",1,0),0)</f>
        <v>0</v>
      </c>
      <c r="N483">
        <f>IFERROR(IF(VLOOKUP(calendar[[#This Row],[Date]],BH!E:E,1,)&lt;&gt;"",1,0),0)</f>
        <v>0</v>
      </c>
      <c r="O483">
        <f>IFERROR(IF(VLOOKUP(calendar[[#This Row],[Date]],BH!G:G,1,)&lt;&gt;"",1,0),0)</f>
        <v>0</v>
      </c>
      <c r="P483">
        <f>IF(OR(calendar[[#This Row],[UK_BH]]=1,calendar[[#This Row],[WeekDay]]=1, calendar[[#This Row],[WeekDay]]=7),P482,P482+1)</f>
        <v>345</v>
      </c>
      <c r="Q483">
        <f>IF(OR(calendar[[#This Row],[FR_BH]]=1,calendar[[#This Row],[WeekDay]]=1, calendar[[#This Row],[WeekDay]]=7),P482,P482+1)</f>
        <v>345</v>
      </c>
      <c r="R483">
        <f>IF(OR(calendar[[#This Row],[SP_BH]]=1,calendar[[#This Row],[WeekDay]]=1, calendar[[#This Row],[WeekDay]]=7),P482,P482+1)</f>
        <v>345</v>
      </c>
      <c r="S483">
        <f>IF(OR(calendar[[#This Row],[PT_BH]]=1,calendar[[#This Row],[WeekDay]]=1, calendar[[#This Row],[WeekDay]]=7),P482,P482+1)</f>
        <v>345</v>
      </c>
    </row>
    <row r="484" spans="1:19" x14ac:dyDescent="0.25">
      <c r="A484" s="2">
        <v>43218</v>
      </c>
      <c r="B484" s="1">
        <f t="shared" si="38"/>
        <v>17</v>
      </c>
      <c r="C484">
        <f t="shared" si="40"/>
        <v>4</v>
      </c>
      <c r="D484" t="str">
        <f t="shared" si="41"/>
        <v>April</v>
      </c>
      <c r="E484">
        <f t="shared" si="42"/>
        <v>2018</v>
      </c>
      <c r="F484" t="str">
        <f>CONCATENATE(calendar[[#This Row],[Month]],"/",calendar[[#This Row],[Year]])</f>
        <v>4/2018</v>
      </c>
      <c r="G484">
        <f>WEEKDAY(calendar[[#This Row],[Date]],1)</f>
        <v>7</v>
      </c>
      <c r="H484" t="str">
        <f>TEXT(calendar[[#This Row],[WeekDay]],"dddd")</f>
        <v>Saturday</v>
      </c>
      <c r="I484">
        <f>IF((INT(calendar[[#This Row],[Count]]/7)-calendar[[#This Row],[Count]]/7)&lt;0,I483,I483+1)</f>
        <v>69</v>
      </c>
      <c r="J484">
        <f t="shared" si="39"/>
        <v>482</v>
      </c>
      <c r="K484">
        <f>IF(calendar[[#This Row],[Month]]&lt;4,1,IF(calendar[[#This Row],[Month]]&lt;7,2,IF(calendar[[#This Row],[Month]]&lt;10,3,4)))</f>
        <v>2</v>
      </c>
      <c r="L484">
        <f>IFERROR(IF(VLOOKUP(calendar[[#This Row],[Date]],BH!A:A,1,)&lt;&gt;"",1,0),0)</f>
        <v>0</v>
      </c>
      <c r="M484">
        <f>IFERROR(IF(VLOOKUP(calendar[[#This Row],[Date]],BH!C:C,1,)&lt;&gt;"",1,0),0)</f>
        <v>0</v>
      </c>
      <c r="N484">
        <f>IFERROR(IF(VLOOKUP(calendar[[#This Row],[Date]],BH!E:E,1,)&lt;&gt;"",1,0),0)</f>
        <v>0</v>
      </c>
      <c r="O484">
        <f>IFERROR(IF(VLOOKUP(calendar[[#This Row],[Date]],BH!G:G,1,)&lt;&gt;"",1,0),0)</f>
        <v>0</v>
      </c>
      <c r="P484">
        <f>IF(OR(calendar[[#This Row],[UK_BH]]=1,calendar[[#This Row],[WeekDay]]=1, calendar[[#This Row],[WeekDay]]=7),P483,P483+1)</f>
        <v>345</v>
      </c>
      <c r="Q484">
        <f>IF(OR(calendar[[#This Row],[FR_BH]]=1,calendar[[#This Row],[WeekDay]]=1, calendar[[#This Row],[WeekDay]]=7),P483,P483+1)</f>
        <v>345</v>
      </c>
      <c r="R484">
        <f>IF(OR(calendar[[#This Row],[SP_BH]]=1,calendar[[#This Row],[WeekDay]]=1, calendar[[#This Row],[WeekDay]]=7),P483,P483+1)</f>
        <v>345</v>
      </c>
      <c r="S484">
        <f>IF(OR(calendar[[#This Row],[PT_BH]]=1,calendar[[#This Row],[WeekDay]]=1, calendar[[#This Row],[WeekDay]]=7),P483,P483+1)</f>
        <v>345</v>
      </c>
    </row>
    <row r="485" spans="1:19" x14ac:dyDescent="0.25">
      <c r="A485" s="2">
        <v>43219</v>
      </c>
      <c r="B485" s="1">
        <f t="shared" si="38"/>
        <v>18</v>
      </c>
      <c r="C485">
        <f t="shared" si="40"/>
        <v>4</v>
      </c>
      <c r="D485" t="str">
        <f t="shared" si="41"/>
        <v>April</v>
      </c>
      <c r="E485">
        <f t="shared" si="42"/>
        <v>2018</v>
      </c>
      <c r="F485" t="str">
        <f>CONCATENATE(calendar[[#This Row],[Month]],"/",calendar[[#This Row],[Year]])</f>
        <v>4/2018</v>
      </c>
      <c r="G485">
        <f>WEEKDAY(calendar[[#This Row],[Date]],1)</f>
        <v>1</v>
      </c>
      <c r="H485" t="str">
        <f>TEXT(calendar[[#This Row],[WeekDay]],"dddd")</f>
        <v>Sunday</v>
      </c>
      <c r="I485">
        <f>IF((INT(calendar[[#This Row],[Count]]/7)-calendar[[#This Row],[Count]]/7)&lt;0,I484,I484+1)</f>
        <v>70</v>
      </c>
      <c r="J485">
        <f t="shared" si="39"/>
        <v>483</v>
      </c>
      <c r="K485">
        <f>IF(calendar[[#This Row],[Month]]&lt;4,1,IF(calendar[[#This Row],[Month]]&lt;7,2,IF(calendar[[#This Row],[Month]]&lt;10,3,4)))</f>
        <v>2</v>
      </c>
      <c r="L485">
        <f>IFERROR(IF(VLOOKUP(calendar[[#This Row],[Date]],BH!A:A,1,)&lt;&gt;"",1,0),0)</f>
        <v>0</v>
      </c>
      <c r="M485">
        <f>IFERROR(IF(VLOOKUP(calendar[[#This Row],[Date]],BH!C:C,1,)&lt;&gt;"",1,0),0)</f>
        <v>0</v>
      </c>
      <c r="N485">
        <f>IFERROR(IF(VLOOKUP(calendar[[#This Row],[Date]],BH!E:E,1,)&lt;&gt;"",1,0),0)</f>
        <v>0</v>
      </c>
      <c r="O485">
        <f>IFERROR(IF(VLOOKUP(calendar[[#This Row],[Date]],BH!G:G,1,)&lt;&gt;"",1,0),0)</f>
        <v>0</v>
      </c>
      <c r="P485">
        <f>IF(OR(calendar[[#This Row],[UK_BH]]=1,calendar[[#This Row],[WeekDay]]=1, calendar[[#This Row],[WeekDay]]=7),P484,P484+1)</f>
        <v>345</v>
      </c>
      <c r="Q485">
        <f>IF(OR(calendar[[#This Row],[FR_BH]]=1,calendar[[#This Row],[WeekDay]]=1, calendar[[#This Row],[WeekDay]]=7),P484,P484+1)</f>
        <v>345</v>
      </c>
      <c r="R485">
        <f>IF(OR(calendar[[#This Row],[SP_BH]]=1,calendar[[#This Row],[WeekDay]]=1, calendar[[#This Row],[WeekDay]]=7),P484,P484+1)</f>
        <v>345</v>
      </c>
      <c r="S485">
        <f>IF(OR(calendar[[#This Row],[PT_BH]]=1,calendar[[#This Row],[WeekDay]]=1, calendar[[#This Row],[WeekDay]]=7),P484,P484+1)</f>
        <v>345</v>
      </c>
    </row>
    <row r="486" spans="1:19" x14ac:dyDescent="0.25">
      <c r="A486" s="2">
        <v>43220</v>
      </c>
      <c r="B486" s="1">
        <f t="shared" si="38"/>
        <v>18</v>
      </c>
      <c r="C486">
        <f t="shared" si="40"/>
        <v>4</v>
      </c>
      <c r="D486" t="str">
        <f t="shared" si="41"/>
        <v>April</v>
      </c>
      <c r="E486">
        <f t="shared" si="42"/>
        <v>2018</v>
      </c>
      <c r="F486" t="str">
        <f>CONCATENATE(calendar[[#This Row],[Month]],"/",calendar[[#This Row],[Year]])</f>
        <v>4/2018</v>
      </c>
      <c r="G486">
        <f>WEEKDAY(calendar[[#This Row],[Date]],1)</f>
        <v>2</v>
      </c>
      <c r="H486" t="str">
        <f>TEXT(calendar[[#This Row],[WeekDay]],"dddd")</f>
        <v>Monday</v>
      </c>
      <c r="I486">
        <f>IF((INT(calendar[[#This Row],[Count]]/7)-calendar[[#This Row],[Count]]/7)&lt;0,I485,I485+1)</f>
        <v>70</v>
      </c>
      <c r="J486">
        <f t="shared" si="39"/>
        <v>484</v>
      </c>
      <c r="K486">
        <f>IF(calendar[[#This Row],[Month]]&lt;4,1,IF(calendar[[#This Row],[Month]]&lt;7,2,IF(calendar[[#This Row],[Month]]&lt;10,3,4)))</f>
        <v>2</v>
      </c>
      <c r="L486">
        <f>IFERROR(IF(VLOOKUP(calendar[[#This Row],[Date]],BH!A:A,1,)&lt;&gt;"",1,0),0)</f>
        <v>0</v>
      </c>
      <c r="M486">
        <f>IFERROR(IF(VLOOKUP(calendar[[#This Row],[Date]],BH!C:C,1,)&lt;&gt;"",1,0),0)</f>
        <v>0</v>
      </c>
      <c r="N486">
        <f>IFERROR(IF(VLOOKUP(calendar[[#This Row],[Date]],BH!E:E,1,)&lt;&gt;"",1,0),0)</f>
        <v>0</v>
      </c>
      <c r="O486">
        <f>IFERROR(IF(VLOOKUP(calendar[[#This Row],[Date]],BH!G:G,1,)&lt;&gt;"",1,0),0)</f>
        <v>0</v>
      </c>
      <c r="P486">
        <f>IF(OR(calendar[[#This Row],[UK_BH]]=1,calendar[[#This Row],[WeekDay]]=1, calendar[[#This Row],[WeekDay]]=7),P485,P485+1)</f>
        <v>346</v>
      </c>
      <c r="Q486">
        <f>IF(OR(calendar[[#This Row],[FR_BH]]=1,calendar[[#This Row],[WeekDay]]=1, calendar[[#This Row],[WeekDay]]=7),P485,P485+1)</f>
        <v>346</v>
      </c>
      <c r="R486">
        <f>IF(OR(calendar[[#This Row],[SP_BH]]=1,calendar[[#This Row],[WeekDay]]=1, calendar[[#This Row],[WeekDay]]=7),P485,P485+1)</f>
        <v>346</v>
      </c>
      <c r="S486">
        <f>IF(OR(calendar[[#This Row],[PT_BH]]=1,calendar[[#This Row],[WeekDay]]=1, calendar[[#This Row],[WeekDay]]=7),P485,P485+1)</f>
        <v>346</v>
      </c>
    </row>
    <row r="487" spans="1:19" x14ac:dyDescent="0.25">
      <c r="A487" s="2">
        <v>43221</v>
      </c>
      <c r="B487" s="1">
        <f t="shared" si="38"/>
        <v>18</v>
      </c>
      <c r="C487">
        <f t="shared" si="40"/>
        <v>5</v>
      </c>
      <c r="D487" t="str">
        <f t="shared" si="41"/>
        <v>May</v>
      </c>
      <c r="E487">
        <f t="shared" si="42"/>
        <v>2018</v>
      </c>
      <c r="F487" t="str">
        <f>CONCATENATE(calendar[[#This Row],[Month]],"/",calendar[[#This Row],[Year]])</f>
        <v>5/2018</v>
      </c>
      <c r="G487">
        <f>WEEKDAY(calendar[[#This Row],[Date]],1)</f>
        <v>3</v>
      </c>
      <c r="H487" t="str">
        <f>TEXT(calendar[[#This Row],[WeekDay]],"dddd")</f>
        <v>Tuesday</v>
      </c>
      <c r="I487">
        <f>IF((INT(calendar[[#This Row],[Count]]/7)-calendar[[#This Row],[Count]]/7)&lt;0,I486,I486+1)</f>
        <v>70</v>
      </c>
      <c r="J487">
        <f t="shared" si="39"/>
        <v>485</v>
      </c>
      <c r="K487">
        <f>IF(calendar[[#This Row],[Month]]&lt;4,1,IF(calendar[[#This Row],[Month]]&lt;7,2,IF(calendar[[#This Row],[Month]]&lt;10,3,4)))</f>
        <v>2</v>
      </c>
      <c r="L487">
        <f>IFERROR(IF(VLOOKUP(calendar[[#This Row],[Date]],BH!A:A,1,)&lt;&gt;"",1,0),0)</f>
        <v>0</v>
      </c>
      <c r="M487">
        <f>IFERROR(IF(VLOOKUP(calendar[[#This Row],[Date]],BH!C:C,1,)&lt;&gt;"",1,0),0)</f>
        <v>0</v>
      </c>
      <c r="N487">
        <f>IFERROR(IF(VLOOKUP(calendar[[#This Row],[Date]],BH!E:E,1,)&lt;&gt;"",1,0),0)</f>
        <v>0</v>
      </c>
      <c r="O487">
        <f>IFERROR(IF(VLOOKUP(calendar[[#This Row],[Date]],BH!G:G,1,)&lt;&gt;"",1,0),0)</f>
        <v>0</v>
      </c>
      <c r="P487">
        <f>IF(OR(calendar[[#This Row],[UK_BH]]=1,calendar[[#This Row],[WeekDay]]=1, calendar[[#This Row],[WeekDay]]=7),P486,P486+1)</f>
        <v>347</v>
      </c>
      <c r="Q487">
        <f>IF(OR(calendar[[#This Row],[FR_BH]]=1,calendar[[#This Row],[WeekDay]]=1, calendar[[#This Row],[WeekDay]]=7),P486,P486+1)</f>
        <v>347</v>
      </c>
      <c r="R487">
        <f>IF(OR(calendar[[#This Row],[SP_BH]]=1,calendar[[#This Row],[WeekDay]]=1, calendar[[#This Row],[WeekDay]]=7),P486,P486+1)</f>
        <v>347</v>
      </c>
      <c r="S487">
        <f>IF(OR(calendar[[#This Row],[PT_BH]]=1,calendar[[#This Row],[WeekDay]]=1, calendar[[#This Row],[WeekDay]]=7),P486,P486+1)</f>
        <v>347</v>
      </c>
    </row>
    <row r="488" spans="1:19" x14ac:dyDescent="0.25">
      <c r="A488" s="2">
        <v>43222</v>
      </c>
      <c r="B488" s="1">
        <f t="shared" si="38"/>
        <v>18</v>
      </c>
      <c r="C488">
        <f t="shared" si="40"/>
        <v>5</v>
      </c>
      <c r="D488" t="str">
        <f t="shared" si="41"/>
        <v>May</v>
      </c>
      <c r="E488">
        <f t="shared" si="42"/>
        <v>2018</v>
      </c>
      <c r="F488" t="str">
        <f>CONCATENATE(calendar[[#This Row],[Month]],"/",calendar[[#This Row],[Year]])</f>
        <v>5/2018</v>
      </c>
      <c r="G488">
        <f>WEEKDAY(calendar[[#This Row],[Date]],1)</f>
        <v>4</v>
      </c>
      <c r="H488" t="str">
        <f>TEXT(calendar[[#This Row],[WeekDay]],"dddd")</f>
        <v>Wednesday</v>
      </c>
      <c r="I488">
        <f>IF((INT(calendar[[#This Row],[Count]]/7)-calendar[[#This Row],[Count]]/7)&lt;0,I487,I487+1)</f>
        <v>70</v>
      </c>
      <c r="J488">
        <f t="shared" si="39"/>
        <v>486</v>
      </c>
      <c r="K488">
        <f>IF(calendar[[#This Row],[Month]]&lt;4,1,IF(calendar[[#This Row],[Month]]&lt;7,2,IF(calendar[[#This Row],[Month]]&lt;10,3,4)))</f>
        <v>2</v>
      </c>
      <c r="L488">
        <f>IFERROR(IF(VLOOKUP(calendar[[#This Row],[Date]],BH!A:A,1,)&lt;&gt;"",1,0),0)</f>
        <v>0</v>
      </c>
      <c r="M488">
        <f>IFERROR(IF(VLOOKUP(calendar[[#This Row],[Date]],BH!C:C,1,)&lt;&gt;"",1,0),0)</f>
        <v>0</v>
      </c>
      <c r="N488">
        <f>IFERROR(IF(VLOOKUP(calendar[[#This Row],[Date]],BH!E:E,1,)&lt;&gt;"",1,0),0)</f>
        <v>0</v>
      </c>
      <c r="O488">
        <f>IFERROR(IF(VLOOKUP(calendar[[#This Row],[Date]],BH!G:G,1,)&lt;&gt;"",1,0),0)</f>
        <v>0</v>
      </c>
      <c r="P488">
        <f>IF(OR(calendar[[#This Row],[UK_BH]]=1,calendar[[#This Row],[WeekDay]]=1, calendar[[#This Row],[WeekDay]]=7),P487,P487+1)</f>
        <v>348</v>
      </c>
      <c r="Q488">
        <f>IF(OR(calendar[[#This Row],[FR_BH]]=1,calendar[[#This Row],[WeekDay]]=1, calendar[[#This Row],[WeekDay]]=7),P487,P487+1)</f>
        <v>348</v>
      </c>
      <c r="R488">
        <f>IF(OR(calendar[[#This Row],[SP_BH]]=1,calendar[[#This Row],[WeekDay]]=1, calendar[[#This Row],[WeekDay]]=7),P487,P487+1)</f>
        <v>348</v>
      </c>
      <c r="S488">
        <f>IF(OR(calendar[[#This Row],[PT_BH]]=1,calendar[[#This Row],[WeekDay]]=1, calendar[[#This Row],[WeekDay]]=7),P487,P487+1)</f>
        <v>348</v>
      </c>
    </row>
    <row r="489" spans="1:19" x14ac:dyDescent="0.25">
      <c r="A489" s="2">
        <v>43223</v>
      </c>
      <c r="B489" s="1">
        <f t="shared" si="38"/>
        <v>18</v>
      </c>
      <c r="C489">
        <f t="shared" si="40"/>
        <v>5</v>
      </c>
      <c r="D489" t="str">
        <f t="shared" si="41"/>
        <v>May</v>
      </c>
      <c r="E489">
        <f t="shared" si="42"/>
        <v>2018</v>
      </c>
      <c r="F489" t="str">
        <f>CONCATENATE(calendar[[#This Row],[Month]],"/",calendar[[#This Row],[Year]])</f>
        <v>5/2018</v>
      </c>
      <c r="G489">
        <f>WEEKDAY(calendar[[#This Row],[Date]],1)</f>
        <v>5</v>
      </c>
      <c r="H489" t="str">
        <f>TEXT(calendar[[#This Row],[WeekDay]],"dddd")</f>
        <v>Thursday</v>
      </c>
      <c r="I489">
        <f>IF((INT(calendar[[#This Row],[Count]]/7)-calendar[[#This Row],[Count]]/7)&lt;0,I488,I488+1)</f>
        <v>70</v>
      </c>
      <c r="J489">
        <f t="shared" si="39"/>
        <v>487</v>
      </c>
      <c r="K489">
        <f>IF(calendar[[#This Row],[Month]]&lt;4,1,IF(calendar[[#This Row],[Month]]&lt;7,2,IF(calendar[[#This Row],[Month]]&lt;10,3,4)))</f>
        <v>2</v>
      </c>
      <c r="L489">
        <f>IFERROR(IF(VLOOKUP(calendar[[#This Row],[Date]],BH!A:A,1,)&lt;&gt;"",1,0),0)</f>
        <v>0</v>
      </c>
      <c r="M489">
        <f>IFERROR(IF(VLOOKUP(calendar[[#This Row],[Date]],BH!C:C,1,)&lt;&gt;"",1,0),0)</f>
        <v>0</v>
      </c>
      <c r="N489">
        <f>IFERROR(IF(VLOOKUP(calendar[[#This Row],[Date]],BH!E:E,1,)&lt;&gt;"",1,0),0)</f>
        <v>0</v>
      </c>
      <c r="O489">
        <f>IFERROR(IF(VLOOKUP(calendar[[#This Row],[Date]],BH!G:G,1,)&lt;&gt;"",1,0),0)</f>
        <v>0</v>
      </c>
      <c r="P489">
        <f>IF(OR(calendar[[#This Row],[UK_BH]]=1,calendar[[#This Row],[WeekDay]]=1, calendar[[#This Row],[WeekDay]]=7),P488,P488+1)</f>
        <v>349</v>
      </c>
      <c r="Q489">
        <f>IF(OR(calendar[[#This Row],[FR_BH]]=1,calendar[[#This Row],[WeekDay]]=1, calendar[[#This Row],[WeekDay]]=7),P488,P488+1)</f>
        <v>349</v>
      </c>
      <c r="R489">
        <f>IF(OR(calendar[[#This Row],[SP_BH]]=1,calendar[[#This Row],[WeekDay]]=1, calendar[[#This Row],[WeekDay]]=7),P488,P488+1)</f>
        <v>349</v>
      </c>
      <c r="S489">
        <f>IF(OR(calendar[[#This Row],[PT_BH]]=1,calendar[[#This Row],[WeekDay]]=1, calendar[[#This Row],[WeekDay]]=7),P488,P488+1)</f>
        <v>349</v>
      </c>
    </row>
    <row r="490" spans="1:19" x14ac:dyDescent="0.25">
      <c r="A490" s="2">
        <v>43224</v>
      </c>
      <c r="B490" s="1">
        <f t="shared" si="38"/>
        <v>18</v>
      </c>
      <c r="C490">
        <f t="shared" si="40"/>
        <v>5</v>
      </c>
      <c r="D490" t="str">
        <f t="shared" si="41"/>
        <v>May</v>
      </c>
      <c r="E490">
        <f t="shared" si="42"/>
        <v>2018</v>
      </c>
      <c r="F490" t="str">
        <f>CONCATENATE(calendar[[#This Row],[Month]],"/",calendar[[#This Row],[Year]])</f>
        <v>5/2018</v>
      </c>
      <c r="G490">
        <f>WEEKDAY(calendar[[#This Row],[Date]],1)</f>
        <v>6</v>
      </c>
      <c r="H490" t="str">
        <f>TEXT(calendar[[#This Row],[WeekDay]],"dddd")</f>
        <v>Friday</v>
      </c>
      <c r="I490">
        <f>IF((INT(calendar[[#This Row],[Count]]/7)-calendar[[#This Row],[Count]]/7)&lt;0,I489,I489+1)</f>
        <v>70</v>
      </c>
      <c r="J490">
        <f t="shared" si="39"/>
        <v>488</v>
      </c>
      <c r="K490">
        <f>IF(calendar[[#This Row],[Month]]&lt;4,1,IF(calendar[[#This Row],[Month]]&lt;7,2,IF(calendar[[#This Row],[Month]]&lt;10,3,4)))</f>
        <v>2</v>
      </c>
      <c r="L490">
        <f>IFERROR(IF(VLOOKUP(calendar[[#This Row],[Date]],BH!A:A,1,)&lt;&gt;"",1,0),0)</f>
        <v>0</v>
      </c>
      <c r="M490">
        <f>IFERROR(IF(VLOOKUP(calendar[[#This Row],[Date]],BH!C:C,1,)&lt;&gt;"",1,0),0)</f>
        <v>0</v>
      </c>
      <c r="N490">
        <f>IFERROR(IF(VLOOKUP(calendar[[#This Row],[Date]],BH!E:E,1,)&lt;&gt;"",1,0),0)</f>
        <v>0</v>
      </c>
      <c r="O490">
        <f>IFERROR(IF(VLOOKUP(calendar[[#This Row],[Date]],BH!G:G,1,)&lt;&gt;"",1,0),0)</f>
        <v>0</v>
      </c>
      <c r="P490">
        <f>IF(OR(calendar[[#This Row],[UK_BH]]=1,calendar[[#This Row],[WeekDay]]=1, calendar[[#This Row],[WeekDay]]=7),P489,P489+1)</f>
        <v>350</v>
      </c>
      <c r="Q490">
        <f>IF(OR(calendar[[#This Row],[FR_BH]]=1,calendar[[#This Row],[WeekDay]]=1, calendar[[#This Row],[WeekDay]]=7),P489,P489+1)</f>
        <v>350</v>
      </c>
      <c r="R490">
        <f>IF(OR(calendar[[#This Row],[SP_BH]]=1,calendar[[#This Row],[WeekDay]]=1, calendar[[#This Row],[WeekDay]]=7),P489,P489+1)</f>
        <v>350</v>
      </c>
      <c r="S490">
        <f>IF(OR(calendar[[#This Row],[PT_BH]]=1,calendar[[#This Row],[WeekDay]]=1, calendar[[#This Row],[WeekDay]]=7),P489,P489+1)</f>
        <v>350</v>
      </c>
    </row>
    <row r="491" spans="1:19" x14ac:dyDescent="0.25">
      <c r="A491" s="2">
        <v>43225</v>
      </c>
      <c r="B491" s="1">
        <f t="shared" si="38"/>
        <v>18</v>
      </c>
      <c r="C491">
        <f t="shared" si="40"/>
        <v>5</v>
      </c>
      <c r="D491" t="str">
        <f t="shared" si="41"/>
        <v>May</v>
      </c>
      <c r="E491">
        <f t="shared" si="42"/>
        <v>2018</v>
      </c>
      <c r="F491" t="str">
        <f>CONCATENATE(calendar[[#This Row],[Month]],"/",calendar[[#This Row],[Year]])</f>
        <v>5/2018</v>
      </c>
      <c r="G491">
        <f>WEEKDAY(calendar[[#This Row],[Date]],1)</f>
        <v>7</v>
      </c>
      <c r="H491" t="str">
        <f>TEXT(calendar[[#This Row],[WeekDay]],"dddd")</f>
        <v>Saturday</v>
      </c>
      <c r="I491">
        <f>IF((INT(calendar[[#This Row],[Count]]/7)-calendar[[#This Row],[Count]]/7)&lt;0,I490,I490+1)</f>
        <v>70</v>
      </c>
      <c r="J491">
        <f t="shared" si="39"/>
        <v>489</v>
      </c>
      <c r="K491">
        <f>IF(calendar[[#This Row],[Month]]&lt;4,1,IF(calendar[[#This Row],[Month]]&lt;7,2,IF(calendar[[#This Row],[Month]]&lt;10,3,4)))</f>
        <v>2</v>
      </c>
      <c r="L491">
        <f>IFERROR(IF(VLOOKUP(calendar[[#This Row],[Date]],BH!A:A,1,)&lt;&gt;"",1,0),0)</f>
        <v>0</v>
      </c>
      <c r="M491">
        <f>IFERROR(IF(VLOOKUP(calendar[[#This Row],[Date]],BH!C:C,1,)&lt;&gt;"",1,0),0)</f>
        <v>0</v>
      </c>
      <c r="N491">
        <f>IFERROR(IF(VLOOKUP(calendar[[#This Row],[Date]],BH!E:E,1,)&lt;&gt;"",1,0),0)</f>
        <v>0</v>
      </c>
      <c r="O491">
        <f>IFERROR(IF(VLOOKUP(calendar[[#This Row],[Date]],BH!G:G,1,)&lt;&gt;"",1,0),0)</f>
        <v>0</v>
      </c>
      <c r="P491">
        <f>IF(OR(calendar[[#This Row],[UK_BH]]=1,calendar[[#This Row],[WeekDay]]=1, calendar[[#This Row],[WeekDay]]=7),P490,P490+1)</f>
        <v>350</v>
      </c>
      <c r="Q491">
        <f>IF(OR(calendar[[#This Row],[FR_BH]]=1,calendar[[#This Row],[WeekDay]]=1, calendar[[#This Row],[WeekDay]]=7),P490,P490+1)</f>
        <v>350</v>
      </c>
      <c r="R491">
        <f>IF(OR(calendar[[#This Row],[SP_BH]]=1,calendar[[#This Row],[WeekDay]]=1, calendar[[#This Row],[WeekDay]]=7),P490,P490+1)</f>
        <v>350</v>
      </c>
      <c r="S491">
        <f>IF(OR(calendar[[#This Row],[PT_BH]]=1,calendar[[#This Row],[WeekDay]]=1, calendar[[#This Row],[WeekDay]]=7),P490,P490+1)</f>
        <v>350</v>
      </c>
    </row>
    <row r="492" spans="1:19" x14ac:dyDescent="0.25">
      <c r="A492" s="2">
        <v>43226</v>
      </c>
      <c r="B492" s="1">
        <f t="shared" si="38"/>
        <v>19</v>
      </c>
      <c r="C492">
        <f t="shared" si="40"/>
        <v>5</v>
      </c>
      <c r="D492" t="str">
        <f t="shared" si="41"/>
        <v>May</v>
      </c>
      <c r="E492">
        <f t="shared" si="42"/>
        <v>2018</v>
      </c>
      <c r="F492" t="str">
        <f>CONCATENATE(calendar[[#This Row],[Month]],"/",calendar[[#This Row],[Year]])</f>
        <v>5/2018</v>
      </c>
      <c r="G492">
        <f>WEEKDAY(calendar[[#This Row],[Date]],1)</f>
        <v>1</v>
      </c>
      <c r="H492" t="str">
        <f>TEXT(calendar[[#This Row],[WeekDay]],"dddd")</f>
        <v>Sunday</v>
      </c>
      <c r="I492">
        <f>IF((INT(calendar[[#This Row],[Count]]/7)-calendar[[#This Row],[Count]]/7)&lt;0,I491,I491+1)</f>
        <v>71</v>
      </c>
      <c r="J492">
        <f t="shared" si="39"/>
        <v>490</v>
      </c>
      <c r="K492">
        <f>IF(calendar[[#This Row],[Month]]&lt;4,1,IF(calendar[[#This Row],[Month]]&lt;7,2,IF(calendar[[#This Row],[Month]]&lt;10,3,4)))</f>
        <v>2</v>
      </c>
      <c r="L492">
        <f>IFERROR(IF(VLOOKUP(calendar[[#This Row],[Date]],BH!A:A,1,)&lt;&gt;"",1,0),0)</f>
        <v>0</v>
      </c>
      <c r="M492">
        <f>IFERROR(IF(VLOOKUP(calendar[[#This Row],[Date]],BH!C:C,1,)&lt;&gt;"",1,0),0)</f>
        <v>0</v>
      </c>
      <c r="N492">
        <f>IFERROR(IF(VLOOKUP(calendar[[#This Row],[Date]],BH!E:E,1,)&lt;&gt;"",1,0),0)</f>
        <v>0</v>
      </c>
      <c r="O492">
        <f>IFERROR(IF(VLOOKUP(calendar[[#This Row],[Date]],BH!G:G,1,)&lt;&gt;"",1,0),0)</f>
        <v>0</v>
      </c>
      <c r="P492">
        <f>IF(OR(calendar[[#This Row],[UK_BH]]=1,calendar[[#This Row],[WeekDay]]=1, calendar[[#This Row],[WeekDay]]=7),P491,P491+1)</f>
        <v>350</v>
      </c>
      <c r="Q492">
        <f>IF(OR(calendar[[#This Row],[FR_BH]]=1,calendar[[#This Row],[WeekDay]]=1, calendar[[#This Row],[WeekDay]]=7),P491,P491+1)</f>
        <v>350</v>
      </c>
      <c r="R492">
        <f>IF(OR(calendar[[#This Row],[SP_BH]]=1,calendar[[#This Row],[WeekDay]]=1, calendar[[#This Row],[WeekDay]]=7),P491,P491+1)</f>
        <v>350</v>
      </c>
      <c r="S492">
        <f>IF(OR(calendar[[#This Row],[PT_BH]]=1,calendar[[#This Row],[WeekDay]]=1, calendar[[#This Row],[WeekDay]]=7),P491,P491+1)</f>
        <v>350</v>
      </c>
    </row>
    <row r="493" spans="1:19" x14ac:dyDescent="0.25">
      <c r="A493" s="2">
        <v>43227</v>
      </c>
      <c r="B493" s="1">
        <f t="shared" si="38"/>
        <v>19</v>
      </c>
      <c r="C493">
        <f t="shared" si="40"/>
        <v>5</v>
      </c>
      <c r="D493" t="str">
        <f t="shared" si="41"/>
        <v>May</v>
      </c>
      <c r="E493">
        <f t="shared" si="42"/>
        <v>2018</v>
      </c>
      <c r="F493" t="str">
        <f>CONCATENATE(calendar[[#This Row],[Month]],"/",calendar[[#This Row],[Year]])</f>
        <v>5/2018</v>
      </c>
      <c r="G493">
        <f>WEEKDAY(calendar[[#This Row],[Date]],1)</f>
        <v>2</v>
      </c>
      <c r="H493" t="str">
        <f>TEXT(calendar[[#This Row],[WeekDay]],"dddd")</f>
        <v>Monday</v>
      </c>
      <c r="I493">
        <f>IF((INT(calendar[[#This Row],[Count]]/7)-calendar[[#This Row],[Count]]/7)&lt;0,I492,I492+1)</f>
        <v>71</v>
      </c>
      <c r="J493">
        <f t="shared" si="39"/>
        <v>491</v>
      </c>
      <c r="K493">
        <f>IF(calendar[[#This Row],[Month]]&lt;4,1,IF(calendar[[#This Row],[Month]]&lt;7,2,IF(calendar[[#This Row],[Month]]&lt;10,3,4)))</f>
        <v>2</v>
      </c>
      <c r="L493">
        <f>IFERROR(IF(VLOOKUP(calendar[[#This Row],[Date]],BH!A:A,1,)&lt;&gt;"",1,0),0)</f>
        <v>0</v>
      </c>
      <c r="M493">
        <f>IFERROR(IF(VLOOKUP(calendar[[#This Row],[Date]],BH!C:C,1,)&lt;&gt;"",1,0),0)</f>
        <v>0</v>
      </c>
      <c r="N493">
        <f>IFERROR(IF(VLOOKUP(calendar[[#This Row],[Date]],BH!E:E,1,)&lt;&gt;"",1,0),0)</f>
        <v>0</v>
      </c>
      <c r="O493">
        <f>IFERROR(IF(VLOOKUP(calendar[[#This Row],[Date]],BH!G:G,1,)&lt;&gt;"",1,0),0)</f>
        <v>0</v>
      </c>
      <c r="P493">
        <f>IF(OR(calendar[[#This Row],[UK_BH]]=1,calendar[[#This Row],[WeekDay]]=1, calendar[[#This Row],[WeekDay]]=7),P492,P492+1)</f>
        <v>351</v>
      </c>
      <c r="Q493">
        <f>IF(OR(calendar[[#This Row],[FR_BH]]=1,calendar[[#This Row],[WeekDay]]=1, calendar[[#This Row],[WeekDay]]=7),P492,P492+1)</f>
        <v>351</v>
      </c>
      <c r="R493">
        <f>IF(OR(calendar[[#This Row],[SP_BH]]=1,calendar[[#This Row],[WeekDay]]=1, calendar[[#This Row],[WeekDay]]=7),P492,P492+1)</f>
        <v>351</v>
      </c>
      <c r="S493">
        <f>IF(OR(calendar[[#This Row],[PT_BH]]=1,calendar[[#This Row],[WeekDay]]=1, calendar[[#This Row],[WeekDay]]=7),P492,P492+1)</f>
        <v>351</v>
      </c>
    </row>
    <row r="494" spans="1:19" x14ac:dyDescent="0.25">
      <c r="A494" s="2">
        <v>43228</v>
      </c>
      <c r="B494" s="1">
        <f t="shared" si="38"/>
        <v>19</v>
      </c>
      <c r="C494">
        <f t="shared" si="40"/>
        <v>5</v>
      </c>
      <c r="D494" t="str">
        <f t="shared" si="41"/>
        <v>May</v>
      </c>
      <c r="E494">
        <f t="shared" si="42"/>
        <v>2018</v>
      </c>
      <c r="F494" t="str">
        <f>CONCATENATE(calendar[[#This Row],[Month]],"/",calendar[[#This Row],[Year]])</f>
        <v>5/2018</v>
      </c>
      <c r="G494">
        <f>WEEKDAY(calendar[[#This Row],[Date]],1)</f>
        <v>3</v>
      </c>
      <c r="H494" t="str">
        <f>TEXT(calendar[[#This Row],[WeekDay]],"dddd")</f>
        <v>Tuesday</v>
      </c>
      <c r="I494">
        <f>IF((INT(calendar[[#This Row],[Count]]/7)-calendar[[#This Row],[Count]]/7)&lt;0,I493,I493+1)</f>
        <v>71</v>
      </c>
      <c r="J494">
        <f t="shared" si="39"/>
        <v>492</v>
      </c>
      <c r="K494">
        <f>IF(calendar[[#This Row],[Month]]&lt;4,1,IF(calendar[[#This Row],[Month]]&lt;7,2,IF(calendar[[#This Row],[Month]]&lt;10,3,4)))</f>
        <v>2</v>
      </c>
      <c r="L494">
        <f>IFERROR(IF(VLOOKUP(calendar[[#This Row],[Date]],BH!A:A,1,)&lt;&gt;"",1,0),0)</f>
        <v>0</v>
      </c>
      <c r="M494">
        <f>IFERROR(IF(VLOOKUP(calendar[[#This Row],[Date]],BH!C:C,1,)&lt;&gt;"",1,0),0)</f>
        <v>0</v>
      </c>
      <c r="N494">
        <f>IFERROR(IF(VLOOKUP(calendar[[#This Row],[Date]],BH!E:E,1,)&lt;&gt;"",1,0),0)</f>
        <v>0</v>
      </c>
      <c r="O494">
        <f>IFERROR(IF(VLOOKUP(calendar[[#This Row],[Date]],BH!G:G,1,)&lt;&gt;"",1,0),0)</f>
        <v>0</v>
      </c>
      <c r="P494">
        <f>IF(OR(calendar[[#This Row],[UK_BH]]=1,calendar[[#This Row],[WeekDay]]=1, calendar[[#This Row],[WeekDay]]=7),P493,P493+1)</f>
        <v>352</v>
      </c>
      <c r="Q494">
        <f>IF(OR(calendar[[#This Row],[FR_BH]]=1,calendar[[#This Row],[WeekDay]]=1, calendar[[#This Row],[WeekDay]]=7),P493,P493+1)</f>
        <v>352</v>
      </c>
      <c r="R494">
        <f>IF(OR(calendar[[#This Row],[SP_BH]]=1,calendar[[#This Row],[WeekDay]]=1, calendar[[#This Row],[WeekDay]]=7),P493,P493+1)</f>
        <v>352</v>
      </c>
      <c r="S494">
        <f>IF(OR(calendar[[#This Row],[PT_BH]]=1,calendar[[#This Row],[WeekDay]]=1, calendar[[#This Row],[WeekDay]]=7),P493,P493+1)</f>
        <v>352</v>
      </c>
    </row>
    <row r="495" spans="1:19" x14ac:dyDescent="0.25">
      <c r="A495" s="2">
        <v>43229</v>
      </c>
      <c r="B495" s="1">
        <f t="shared" si="38"/>
        <v>19</v>
      </c>
      <c r="C495">
        <f t="shared" si="40"/>
        <v>5</v>
      </c>
      <c r="D495" t="str">
        <f t="shared" si="41"/>
        <v>May</v>
      </c>
      <c r="E495">
        <f t="shared" si="42"/>
        <v>2018</v>
      </c>
      <c r="F495" t="str">
        <f>CONCATENATE(calendar[[#This Row],[Month]],"/",calendar[[#This Row],[Year]])</f>
        <v>5/2018</v>
      </c>
      <c r="G495">
        <f>WEEKDAY(calendar[[#This Row],[Date]],1)</f>
        <v>4</v>
      </c>
      <c r="H495" t="str">
        <f>TEXT(calendar[[#This Row],[WeekDay]],"dddd")</f>
        <v>Wednesday</v>
      </c>
      <c r="I495">
        <f>IF((INT(calendar[[#This Row],[Count]]/7)-calendar[[#This Row],[Count]]/7)&lt;0,I494,I494+1)</f>
        <v>71</v>
      </c>
      <c r="J495">
        <f t="shared" si="39"/>
        <v>493</v>
      </c>
      <c r="K495">
        <f>IF(calendar[[#This Row],[Month]]&lt;4,1,IF(calendar[[#This Row],[Month]]&lt;7,2,IF(calendar[[#This Row],[Month]]&lt;10,3,4)))</f>
        <v>2</v>
      </c>
      <c r="L495">
        <f>IFERROR(IF(VLOOKUP(calendar[[#This Row],[Date]],BH!A:A,1,)&lt;&gt;"",1,0),0)</f>
        <v>0</v>
      </c>
      <c r="M495">
        <f>IFERROR(IF(VLOOKUP(calendar[[#This Row],[Date]],BH!C:C,1,)&lt;&gt;"",1,0),0)</f>
        <v>0</v>
      </c>
      <c r="N495">
        <f>IFERROR(IF(VLOOKUP(calendar[[#This Row],[Date]],BH!E:E,1,)&lt;&gt;"",1,0),0)</f>
        <v>0</v>
      </c>
      <c r="O495">
        <f>IFERROR(IF(VLOOKUP(calendar[[#This Row],[Date]],BH!G:G,1,)&lt;&gt;"",1,0),0)</f>
        <v>0</v>
      </c>
      <c r="P495">
        <f>IF(OR(calendar[[#This Row],[UK_BH]]=1,calendar[[#This Row],[WeekDay]]=1, calendar[[#This Row],[WeekDay]]=7),P494,P494+1)</f>
        <v>353</v>
      </c>
      <c r="Q495">
        <f>IF(OR(calendar[[#This Row],[FR_BH]]=1,calendar[[#This Row],[WeekDay]]=1, calendar[[#This Row],[WeekDay]]=7),P494,P494+1)</f>
        <v>353</v>
      </c>
      <c r="R495">
        <f>IF(OR(calendar[[#This Row],[SP_BH]]=1,calendar[[#This Row],[WeekDay]]=1, calendar[[#This Row],[WeekDay]]=7),P494,P494+1)</f>
        <v>353</v>
      </c>
      <c r="S495">
        <f>IF(OR(calendar[[#This Row],[PT_BH]]=1,calendar[[#This Row],[WeekDay]]=1, calendar[[#This Row],[WeekDay]]=7),P494,P494+1)</f>
        <v>353</v>
      </c>
    </row>
    <row r="496" spans="1:19" x14ac:dyDescent="0.25">
      <c r="A496" s="2">
        <v>43230</v>
      </c>
      <c r="B496" s="1">
        <f t="shared" si="38"/>
        <v>19</v>
      </c>
      <c r="C496">
        <f t="shared" si="40"/>
        <v>5</v>
      </c>
      <c r="D496" t="str">
        <f t="shared" si="41"/>
        <v>May</v>
      </c>
      <c r="E496">
        <f t="shared" si="42"/>
        <v>2018</v>
      </c>
      <c r="F496" t="str">
        <f>CONCATENATE(calendar[[#This Row],[Month]],"/",calendar[[#This Row],[Year]])</f>
        <v>5/2018</v>
      </c>
      <c r="G496">
        <f>WEEKDAY(calendar[[#This Row],[Date]],1)</f>
        <v>5</v>
      </c>
      <c r="H496" t="str">
        <f>TEXT(calendar[[#This Row],[WeekDay]],"dddd")</f>
        <v>Thursday</v>
      </c>
      <c r="I496">
        <f>IF((INT(calendar[[#This Row],[Count]]/7)-calendar[[#This Row],[Count]]/7)&lt;0,I495,I495+1)</f>
        <v>71</v>
      </c>
      <c r="J496">
        <f t="shared" si="39"/>
        <v>494</v>
      </c>
      <c r="K496">
        <f>IF(calendar[[#This Row],[Month]]&lt;4,1,IF(calendar[[#This Row],[Month]]&lt;7,2,IF(calendar[[#This Row],[Month]]&lt;10,3,4)))</f>
        <v>2</v>
      </c>
      <c r="L496">
        <f>IFERROR(IF(VLOOKUP(calendar[[#This Row],[Date]],BH!A:A,1,)&lt;&gt;"",1,0),0)</f>
        <v>0</v>
      </c>
      <c r="M496">
        <f>IFERROR(IF(VLOOKUP(calendar[[#This Row],[Date]],BH!C:C,1,)&lt;&gt;"",1,0),0)</f>
        <v>0</v>
      </c>
      <c r="N496">
        <f>IFERROR(IF(VLOOKUP(calendar[[#This Row],[Date]],BH!E:E,1,)&lt;&gt;"",1,0),0)</f>
        <v>0</v>
      </c>
      <c r="O496">
        <f>IFERROR(IF(VLOOKUP(calendar[[#This Row],[Date]],BH!G:G,1,)&lt;&gt;"",1,0),0)</f>
        <v>0</v>
      </c>
      <c r="P496">
        <f>IF(OR(calendar[[#This Row],[UK_BH]]=1,calendar[[#This Row],[WeekDay]]=1, calendar[[#This Row],[WeekDay]]=7),P495,P495+1)</f>
        <v>354</v>
      </c>
      <c r="Q496">
        <f>IF(OR(calendar[[#This Row],[FR_BH]]=1,calendar[[#This Row],[WeekDay]]=1, calendar[[#This Row],[WeekDay]]=7),P495,P495+1)</f>
        <v>354</v>
      </c>
      <c r="R496">
        <f>IF(OR(calendar[[#This Row],[SP_BH]]=1,calendar[[#This Row],[WeekDay]]=1, calendar[[#This Row],[WeekDay]]=7),P495,P495+1)</f>
        <v>354</v>
      </c>
      <c r="S496">
        <f>IF(OR(calendar[[#This Row],[PT_BH]]=1,calendar[[#This Row],[WeekDay]]=1, calendar[[#This Row],[WeekDay]]=7),P495,P495+1)</f>
        <v>354</v>
      </c>
    </row>
    <row r="497" spans="1:19" x14ac:dyDescent="0.25">
      <c r="A497" s="2">
        <v>43231</v>
      </c>
      <c r="B497" s="1">
        <f t="shared" si="38"/>
        <v>19</v>
      </c>
      <c r="C497">
        <f t="shared" si="40"/>
        <v>5</v>
      </c>
      <c r="D497" t="str">
        <f t="shared" si="41"/>
        <v>May</v>
      </c>
      <c r="E497">
        <f t="shared" si="42"/>
        <v>2018</v>
      </c>
      <c r="F497" t="str">
        <f>CONCATENATE(calendar[[#This Row],[Month]],"/",calendar[[#This Row],[Year]])</f>
        <v>5/2018</v>
      </c>
      <c r="G497">
        <f>WEEKDAY(calendar[[#This Row],[Date]],1)</f>
        <v>6</v>
      </c>
      <c r="H497" t="str">
        <f>TEXT(calendar[[#This Row],[WeekDay]],"dddd")</f>
        <v>Friday</v>
      </c>
      <c r="I497">
        <f>IF((INT(calendar[[#This Row],[Count]]/7)-calendar[[#This Row],[Count]]/7)&lt;0,I496,I496+1)</f>
        <v>71</v>
      </c>
      <c r="J497">
        <f t="shared" si="39"/>
        <v>495</v>
      </c>
      <c r="K497">
        <f>IF(calendar[[#This Row],[Month]]&lt;4,1,IF(calendar[[#This Row],[Month]]&lt;7,2,IF(calendar[[#This Row],[Month]]&lt;10,3,4)))</f>
        <v>2</v>
      </c>
      <c r="L497">
        <f>IFERROR(IF(VLOOKUP(calendar[[#This Row],[Date]],BH!A:A,1,)&lt;&gt;"",1,0),0)</f>
        <v>0</v>
      </c>
      <c r="M497">
        <f>IFERROR(IF(VLOOKUP(calendar[[#This Row],[Date]],BH!C:C,1,)&lt;&gt;"",1,0),0)</f>
        <v>0</v>
      </c>
      <c r="N497">
        <f>IFERROR(IF(VLOOKUP(calendar[[#This Row],[Date]],BH!E:E,1,)&lt;&gt;"",1,0),0)</f>
        <v>0</v>
      </c>
      <c r="O497">
        <f>IFERROR(IF(VLOOKUP(calendar[[#This Row],[Date]],BH!G:G,1,)&lt;&gt;"",1,0),0)</f>
        <v>0</v>
      </c>
      <c r="P497">
        <f>IF(OR(calendar[[#This Row],[UK_BH]]=1,calendar[[#This Row],[WeekDay]]=1, calendar[[#This Row],[WeekDay]]=7),P496,P496+1)</f>
        <v>355</v>
      </c>
      <c r="Q497">
        <f>IF(OR(calendar[[#This Row],[FR_BH]]=1,calendar[[#This Row],[WeekDay]]=1, calendar[[#This Row],[WeekDay]]=7),P496,P496+1)</f>
        <v>355</v>
      </c>
      <c r="R497">
        <f>IF(OR(calendar[[#This Row],[SP_BH]]=1,calendar[[#This Row],[WeekDay]]=1, calendar[[#This Row],[WeekDay]]=7),P496,P496+1)</f>
        <v>355</v>
      </c>
      <c r="S497">
        <f>IF(OR(calendar[[#This Row],[PT_BH]]=1,calendar[[#This Row],[WeekDay]]=1, calendar[[#This Row],[WeekDay]]=7),P496,P496+1)</f>
        <v>355</v>
      </c>
    </row>
    <row r="498" spans="1:19" x14ac:dyDescent="0.25">
      <c r="A498" s="2">
        <v>43232</v>
      </c>
      <c r="B498" s="1">
        <f t="shared" si="38"/>
        <v>19</v>
      </c>
      <c r="C498">
        <f t="shared" si="40"/>
        <v>5</v>
      </c>
      <c r="D498" t="str">
        <f t="shared" si="41"/>
        <v>May</v>
      </c>
      <c r="E498">
        <f t="shared" si="42"/>
        <v>2018</v>
      </c>
      <c r="F498" t="str">
        <f>CONCATENATE(calendar[[#This Row],[Month]],"/",calendar[[#This Row],[Year]])</f>
        <v>5/2018</v>
      </c>
      <c r="G498">
        <f>WEEKDAY(calendar[[#This Row],[Date]],1)</f>
        <v>7</v>
      </c>
      <c r="H498" t="str">
        <f>TEXT(calendar[[#This Row],[WeekDay]],"dddd")</f>
        <v>Saturday</v>
      </c>
      <c r="I498">
        <f>IF((INT(calendar[[#This Row],[Count]]/7)-calendar[[#This Row],[Count]]/7)&lt;0,I497,I497+1)</f>
        <v>71</v>
      </c>
      <c r="J498">
        <f t="shared" si="39"/>
        <v>496</v>
      </c>
      <c r="K498">
        <f>IF(calendar[[#This Row],[Month]]&lt;4,1,IF(calendar[[#This Row],[Month]]&lt;7,2,IF(calendar[[#This Row],[Month]]&lt;10,3,4)))</f>
        <v>2</v>
      </c>
      <c r="L498">
        <f>IFERROR(IF(VLOOKUP(calendar[[#This Row],[Date]],BH!A:A,1,)&lt;&gt;"",1,0),0)</f>
        <v>0</v>
      </c>
      <c r="M498">
        <f>IFERROR(IF(VLOOKUP(calendar[[#This Row],[Date]],BH!C:C,1,)&lt;&gt;"",1,0),0)</f>
        <v>0</v>
      </c>
      <c r="N498">
        <f>IFERROR(IF(VLOOKUP(calendar[[#This Row],[Date]],BH!E:E,1,)&lt;&gt;"",1,0),0)</f>
        <v>0</v>
      </c>
      <c r="O498">
        <f>IFERROR(IF(VLOOKUP(calendar[[#This Row],[Date]],BH!G:G,1,)&lt;&gt;"",1,0),0)</f>
        <v>0</v>
      </c>
      <c r="P498">
        <f>IF(OR(calendar[[#This Row],[UK_BH]]=1,calendar[[#This Row],[WeekDay]]=1, calendar[[#This Row],[WeekDay]]=7),P497,P497+1)</f>
        <v>355</v>
      </c>
      <c r="Q498">
        <f>IF(OR(calendar[[#This Row],[FR_BH]]=1,calendar[[#This Row],[WeekDay]]=1, calendar[[#This Row],[WeekDay]]=7),P497,P497+1)</f>
        <v>355</v>
      </c>
      <c r="R498">
        <f>IF(OR(calendar[[#This Row],[SP_BH]]=1,calendar[[#This Row],[WeekDay]]=1, calendar[[#This Row],[WeekDay]]=7),P497,P497+1)</f>
        <v>355</v>
      </c>
      <c r="S498">
        <f>IF(OR(calendar[[#This Row],[PT_BH]]=1,calendar[[#This Row],[WeekDay]]=1, calendar[[#This Row],[WeekDay]]=7),P497,P497+1)</f>
        <v>355</v>
      </c>
    </row>
    <row r="499" spans="1:19" x14ac:dyDescent="0.25">
      <c r="A499" s="2">
        <v>43233</v>
      </c>
      <c r="B499" s="1">
        <f t="shared" si="38"/>
        <v>20</v>
      </c>
      <c r="C499">
        <f t="shared" si="40"/>
        <v>5</v>
      </c>
      <c r="D499" t="str">
        <f t="shared" si="41"/>
        <v>May</v>
      </c>
      <c r="E499">
        <f t="shared" si="42"/>
        <v>2018</v>
      </c>
      <c r="F499" t="str">
        <f>CONCATENATE(calendar[[#This Row],[Month]],"/",calendar[[#This Row],[Year]])</f>
        <v>5/2018</v>
      </c>
      <c r="G499">
        <f>WEEKDAY(calendar[[#This Row],[Date]],1)</f>
        <v>1</v>
      </c>
      <c r="H499" t="str">
        <f>TEXT(calendar[[#This Row],[WeekDay]],"dddd")</f>
        <v>Sunday</v>
      </c>
      <c r="I499">
        <f>IF((INT(calendar[[#This Row],[Count]]/7)-calendar[[#This Row],[Count]]/7)&lt;0,I498,I498+1)</f>
        <v>72</v>
      </c>
      <c r="J499">
        <f t="shared" si="39"/>
        <v>497</v>
      </c>
      <c r="K499">
        <f>IF(calendar[[#This Row],[Month]]&lt;4,1,IF(calendar[[#This Row],[Month]]&lt;7,2,IF(calendar[[#This Row],[Month]]&lt;10,3,4)))</f>
        <v>2</v>
      </c>
      <c r="L499">
        <f>IFERROR(IF(VLOOKUP(calendar[[#This Row],[Date]],BH!A:A,1,)&lt;&gt;"",1,0),0)</f>
        <v>0</v>
      </c>
      <c r="M499">
        <f>IFERROR(IF(VLOOKUP(calendar[[#This Row],[Date]],BH!C:C,1,)&lt;&gt;"",1,0),0)</f>
        <v>0</v>
      </c>
      <c r="N499">
        <f>IFERROR(IF(VLOOKUP(calendar[[#This Row],[Date]],BH!E:E,1,)&lt;&gt;"",1,0),0)</f>
        <v>0</v>
      </c>
      <c r="O499">
        <f>IFERROR(IF(VLOOKUP(calendar[[#This Row],[Date]],BH!G:G,1,)&lt;&gt;"",1,0),0)</f>
        <v>0</v>
      </c>
      <c r="P499">
        <f>IF(OR(calendar[[#This Row],[UK_BH]]=1,calendar[[#This Row],[WeekDay]]=1, calendar[[#This Row],[WeekDay]]=7),P498,P498+1)</f>
        <v>355</v>
      </c>
      <c r="Q499">
        <f>IF(OR(calendar[[#This Row],[FR_BH]]=1,calendar[[#This Row],[WeekDay]]=1, calendar[[#This Row],[WeekDay]]=7),P498,P498+1)</f>
        <v>355</v>
      </c>
      <c r="R499">
        <f>IF(OR(calendar[[#This Row],[SP_BH]]=1,calendar[[#This Row],[WeekDay]]=1, calendar[[#This Row],[WeekDay]]=7),P498,P498+1)</f>
        <v>355</v>
      </c>
      <c r="S499">
        <f>IF(OR(calendar[[#This Row],[PT_BH]]=1,calendar[[#This Row],[WeekDay]]=1, calendar[[#This Row],[WeekDay]]=7),P498,P498+1)</f>
        <v>355</v>
      </c>
    </row>
    <row r="500" spans="1:19" x14ac:dyDescent="0.25">
      <c r="A500" s="2">
        <v>43234</v>
      </c>
      <c r="B500" s="1">
        <f t="shared" si="38"/>
        <v>20</v>
      </c>
      <c r="C500">
        <f t="shared" si="40"/>
        <v>5</v>
      </c>
      <c r="D500" t="str">
        <f t="shared" si="41"/>
        <v>May</v>
      </c>
      <c r="E500">
        <f t="shared" si="42"/>
        <v>2018</v>
      </c>
      <c r="F500" t="str">
        <f>CONCATENATE(calendar[[#This Row],[Month]],"/",calendar[[#This Row],[Year]])</f>
        <v>5/2018</v>
      </c>
      <c r="G500">
        <f>WEEKDAY(calendar[[#This Row],[Date]],1)</f>
        <v>2</v>
      </c>
      <c r="H500" t="str">
        <f>TEXT(calendar[[#This Row],[WeekDay]],"dddd")</f>
        <v>Monday</v>
      </c>
      <c r="I500">
        <f>IF((INT(calendar[[#This Row],[Count]]/7)-calendar[[#This Row],[Count]]/7)&lt;0,I499,I499+1)</f>
        <v>72</v>
      </c>
      <c r="J500">
        <f t="shared" si="39"/>
        <v>498</v>
      </c>
      <c r="K500">
        <f>IF(calendar[[#This Row],[Month]]&lt;4,1,IF(calendar[[#This Row],[Month]]&lt;7,2,IF(calendar[[#This Row],[Month]]&lt;10,3,4)))</f>
        <v>2</v>
      </c>
      <c r="L500">
        <f>IFERROR(IF(VLOOKUP(calendar[[#This Row],[Date]],BH!A:A,1,)&lt;&gt;"",1,0),0)</f>
        <v>0</v>
      </c>
      <c r="M500">
        <f>IFERROR(IF(VLOOKUP(calendar[[#This Row],[Date]],BH!C:C,1,)&lt;&gt;"",1,0),0)</f>
        <v>0</v>
      </c>
      <c r="N500">
        <f>IFERROR(IF(VLOOKUP(calendar[[#This Row],[Date]],BH!E:E,1,)&lt;&gt;"",1,0),0)</f>
        <v>0</v>
      </c>
      <c r="O500">
        <f>IFERROR(IF(VLOOKUP(calendar[[#This Row],[Date]],BH!G:G,1,)&lt;&gt;"",1,0),0)</f>
        <v>0</v>
      </c>
      <c r="P500">
        <f>IF(OR(calendar[[#This Row],[UK_BH]]=1,calendar[[#This Row],[WeekDay]]=1, calendar[[#This Row],[WeekDay]]=7),P499,P499+1)</f>
        <v>356</v>
      </c>
      <c r="Q500">
        <f>IF(OR(calendar[[#This Row],[FR_BH]]=1,calendar[[#This Row],[WeekDay]]=1, calendar[[#This Row],[WeekDay]]=7),P499,P499+1)</f>
        <v>356</v>
      </c>
      <c r="R500">
        <f>IF(OR(calendar[[#This Row],[SP_BH]]=1,calendar[[#This Row],[WeekDay]]=1, calendar[[#This Row],[WeekDay]]=7),P499,P499+1)</f>
        <v>356</v>
      </c>
      <c r="S500">
        <f>IF(OR(calendar[[#This Row],[PT_BH]]=1,calendar[[#This Row],[WeekDay]]=1, calendar[[#This Row],[WeekDay]]=7),P499,P499+1)</f>
        <v>356</v>
      </c>
    </row>
    <row r="501" spans="1:19" x14ac:dyDescent="0.25">
      <c r="A501" s="2">
        <v>43235</v>
      </c>
      <c r="B501" s="1">
        <f t="shared" si="38"/>
        <v>20</v>
      </c>
      <c r="C501">
        <f t="shared" si="40"/>
        <v>5</v>
      </c>
      <c r="D501" t="str">
        <f t="shared" si="41"/>
        <v>May</v>
      </c>
      <c r="E501">
        <f t="shared" si="42"/>
        <v>2018</v>
      </c>
      <c r="F501" t="str">
        <f>CONCATENATE(calendar[[#This Row],[Month]],"/",calendar[[#This Row],[Year]])</f>
        <v>5/2018</v>
      </c>
      <c r="G501">
        <f>WEEKDAY(calendar[[#This Row],[Date]],1)</f>
        <v>3</v>
      </c>
      <c r="H501" t="str">
        <f>TEXT(calendar[[#This Row],[WeekDay]],"dddd")</f>
        <v>Tuesday</v>
      </c>
      <c r="I501">
        <f>IF((INT(calendar[[#This Row],[Count]]/7)-calendar[[#This Row],[Count]]/7)&lt;0,I500,I500+1)</f>
        <v>72</v>
      </c>
      <c r="J501">
        <f t="shared" si="39"/>
        <v>499</v>
      </c>
      <c r="K501">
        <f>IF(calendar[[#This Row],[Month]]&lt;4,1,IF(calendar[[#This Row],[Month]]&lt;7,2,IF(calendar[[#This Row],[Month]]&lt;10,3,4)))</f>
        <v>2</v>
      </c>
      <c r="L501">
        <f>IFERROR(IF(VLOOKUP(calendar[[#This Row],[Date]],BH!A:A,1,)&lt;&gt;"",1,0),0)</f>
        <v>0</v>
      </c>
      <c r="M501">
        <f>IFERROR(IF(VLOOKUP(calendar[[#This Row],[Date]],BH!C:C,1,)&lt;&gt;"",1,0),0)</f>
        <v>0</v>
      </c>
      <c r="N501">
        <f>IFERROR(IF(VLOOKUP(calendar[[#This Row],[Date]],BH!E:E,1,)&lt;&gt;"",1,0),0)</f>
        <v>0</v>
      </c>
      <c r="O501">
        <f>IFERROR(IF(VLOOKUP(calendar[[#This Row],[Date]],BH!G:G,1,)&lt;&gt;"",1,0),0)</f>
        <v>0</v>
      </c>
      <c r="P501">
        <f>IF(OR(calendar[[#This Row],[UK_BH]]=1,calendar[[#This Row],[WeekDay]]=1, calendar[[#This Row],[WeekDay]]=7),P500,P500+1)</f>
        <v>357</v>
      </c>
      <c r="Q501">
        <f>IF(OR(calendar[[#This Row],[FR_BH]]=1,calendar[[#This Row],[WeekDay]]=1, calendar[[#This Row],[WeekDay]]=7),P500,P500+1)</f>
        <v>357</v>
      </c>
      <c r="R501">
        <f>IF(OR(calendar[[#This Row],[SP_BH]]=1,calendar[[#This Row],[WeekDay]]=1, calendar[[#This Row],[WeekDay]]=7),P500,P500+1)</f>
        <v>357</v>
      </c>
      <c r="S501">
        <f>IF(OR(calendar[[#This Row],[PT_BH]]=1,calendar[[#This Row],[WeekDay]]=1, calendar[[#This Row],[WeekDay]]=7),P500,P500+1)</f>
        <v>357</v>
      </c>
    </row>
    <row r="502" spans="1:19" x14ac:dyDescent="0.25">
      <c r="A502" s="2">
        <v>43236</v>
      </c>
      <c r="B502" s="1">
        <f t="shared" si="38"/>
        <v>20</v>
      </c>
      <c r="C502">
        <f t="shared" si="40"/>
        <v>5</v>
      </c>
      <c r="D502" t="str">
        <f t="shared" si="41"/>
        <v>May</v>
      </c>
      <c r="E502">
        <f t="shared" si="42"/>
        <v>2018</v>
      </c>
      <c r="F502" t="str">
        <f>CONCATENATE(calendar[[#This Row],[Month]],"/",calendar[[#This Row],[Year]])</f>
        <v>5/2018</v>
      </c>
      <c r="G502">
        <f>WEEKDAY(calendar[[#This Row],[Date]],1)</f>
        <v>4</v>
      </c>
      <c r="H502" t="str">
        <f>TEXT(calendar[[#This Row],[WeekDay]],"dddd")</f>
        <v>Wednesday</v>
      </c>
      <c r="I502">
        <f>IF((INT(calendar[[#This Row],[Count]]/7)-calendar[[#This Row],[Count]]/7)&lt;0,I501,I501+1)</f>
        <v>72</v>
      </c>
      <c r="J502">
        <f t="shared" si="39"/>
        <v>500</v>
      </c>
      <c r="K502">
        <f>IF(calendar[[#This Row],[Month]]&lt;4,1,IF(calendar[[#This Row],[Month]]&lt;7,2,IF(calendar[[#This Row],[Month]]&lt;10,3,4)))</f>
        <v>2</v>
      </c>
      <c r="L502">
        <f>IFERROR(IF(VLOOKUP(calendar[[#This Row],[Date]],BH!A:A,1,)&lt;&gt;"",1,0),0)</f>
        <v>0</v>
      </c>
      <c r="M502">
        <f>IFERROR(IF(VLOOKUP(calendar[[#This Row],[Date]],BH!C:C,1,)&lt;&gt;"",1,0),0)</f>
        <v>0</v>
      </c>
      <c r="N502">
        <f>IFERROR(IF(VLOOKUP(calendar[[#This Row],[Date]],BH!E:E,1,)&lt;&gt;"",1,0),0)</f>
        <v>0</v>
      </c>
      <c r="O502">
        <f>IFERROR(IF(VLOOKUP(calendar[[#This Row],[Date]],BH!G:G,1,)&lt;&gt;"",1,0),0)</f>
        <v>0</v>
      </c>
      <c r="P502">
        <f>IF(OR(calendar[[#This Row],[UK_BH]]=1,calendar[[#This Row],[WeekDay]]=1, calendar[[#This Row],[WeekDay]]=7),P501,P501+1)</f>
        <v>358</v>
      </c>
      <c r="Q502">
        <f>IF(OR(calendar[[#This Row],[FR_BH]]=1,calendar[[#This Row],[WeekDay]]=1, calendar[[#This Row],[WeekDay]]=7),P501,P501+1)</f>
        <v>358</v>
      </c>
      <c r="R502">
        <f>IF(OR(calendar[[#This Row],[SP_BH]]=1,calendar[[#This Row],[WeekDay]]=1, calendar[[#This Row],[WeekDay]]=7),P501,P501+1)</f>
        <v>358</v>
      </c>
      <c r="S502">
        <f>IF(OR(calendar[[#This Row],[PT_BH]]=1,calendar[[#This Row],[WeekDay]]=1, calendar[[#This Row],[WeekDay]]=7),P501,P501+1)</f>
        <v>358</v>
      </c>
    </row>
    <row r="503" spans="1:19" x14ac:dyDescent="0.25">
      <c r="A503" s="2">
        <v>43237</v>
      </c>
      <c r="B503" s="1">
        <f t="shared" si="38"/>
        <v>20</v>
      </c>
      <c r="C503">
        <f t="shared" si="40"/>
        <v>5</v>
      </c>
      <c r="D503" t="str">
        <f t="shared" si="41"/>
        <v>May</v>
      </c>
      <c r="E503">
        <f t="shared" si="42"/>
        <v>2018</v>
      </c>
      <c r="F503" t="str">
        <f>CONCATENATE(calendar[[#This Row],[Month]],"/",calendar[[#This Row],[Year]])</f>
        <v>5/2018</v>
      </c>
      <c r="G503">
        <f>WEEKDAY(calendar[[#This Row],[Date]],1)</f>
        <v>5</v>
      </c>
      <c r="H503" t="str">
        <f>TEXT(calendar[[#This Row],[WeekDay]],"dddd")</f>
        <v>Thursday</v>
      </c>
      <c r="I503">
        <f>IF((INT(calendar[[#This Row],[Count]]/7)-calendar[[#This Row],[Count]]/7)&lt;0,I502,I502+1)</f>
        <v>72</v>
      </c>
      <c r="J503">
        <f t="shared" si="39"/>
        <v>501</v>
      </c>
      <c r="K503">
        <f>IF(calendar[[#This Row],[Month]]&lt;4,1,IF(calendar[[#This Row],[Month]]&lt;7,2,IF(calendar[[#This Row],[Month]]&lt;10,3,4)))</f>
        <v>2</v>
      </c>
      <c r="L503">
        <f>IFERROR(IF(VLOOKUP(calendar[[#This Row],[Date]],BH!A:A,1,)&lt;&gt;"",1,0),0)</f>
        <v>0</v>
      </c>
      <c r="M503">
        <f>IFERROR(IF(VLOOKUP(calendar[[#This Row],[Date]],BH!C:C,1,)&lt;&gt;"",1,0),0)</f>
        <v>0</v>
      </c>
      <c r="N503">
        <f>IFERROR(IF(VLOOKUP(calendar[[#This Row],[Date]],BH!E:E,1,)&lt;&gt;"",1,0),0)</f>
        <v>0</v>
      </c>
      <c r="O503">
        <f>IFERROR(IF(VLOOKUP(calendar[[#This Row],[Date]],BH!G:G,1,)&lt;&gt;"",1,0),0)</f>
        <v>0</v>
      </c>
      <c r="P503">
        <f>IF(OR(calendar[[#This Row],[UK_BH]]=1,calendar[[#This Row],[WeekDay]]=1, calendar[[#This Row],[WeekDay]]=7),P502,P502+1)</f>
        <v>359</v>
      </c>
      <c r="Q503">
        <f>IF(OR(calendar[[#This Row],[FR_BH]]=1,calendar[[#This Row],[WeekDay]]=1, calendar[[#This Row],[WeekDay]]=7),P502,P502+1)</f>
        <v>359</v>
      </c>
      <c r="R503">
        <f>IF(OR(calendar[[#This Row],[SP_BH]]=1,calendar[[#This Row],[WeekDay]]=1, calendar[[#This Row],[WeekDay]]=7),P502,P502+1)</f>
        <v>359</v>
      </c>
      <c r="S503">
        <f>IF(OR(calendar[[#This Row],[PT_BH]]=1,calendar[[#This Row],[WeekDay]]=1, calendar[[#This Row],[WeekDay]]=7),P502,P502+1)</f>
        <v>359</v>
      </c>
    </row>
    <row r="504" spans="1:19" x14ac:dyDescent="0.25">
      <c r="A504" s="2">
        <v>43238</v>
      </c>
      <c r="B504" s="1">
        <f t="shared" si="38"/>
        <v>20</v>
      </c>
      <c r="C504">
        <f t="shared" si="40"/>
        <v>5</v>
      </c>
      <c r="D504" t="str">
        <f t="shared" si="41"/>
        <v>May</v>
      </c>
      <c r="E504">
        <f t="shared" si="42"/>
        <v>2018</v>
      </c>
      <c r="F504" t="str">
        <f>CONCATENATE(calendar[[#This Row],[Month]],"/",calendar[[#This Row],[Year]])</f>
        <v>5/2018</v>
      </c>
      <c r="G504">
        <f>WEEKDAY(calendar[[#This Row],[Date]],1)</f>
        <v>6</v>
      </c>
      <c r="H504" t="str">
        <f>TEXT(calendar[[#This Row],[WeekDay]],"dddd")</f>
        <v>Friday</v>
      </c>
      <c r="I504">
        <f>IF((INT(calendar[[#This Row],[Count]]/7)-calendar[[#This Row],[Count]]/7)&lt;0,I503,I503+1)</f>
        <v>72</v>
      </c>
      <c r="J504">
        <f t="shared" si="39"/>
        <v>502</v>
      </c>
      <c r="K504">
        <f>IF(calendar[[#This Row],[Month]]&lt;4,1,IF(calendar[[#This Row],[Month]]&lt;7,2,IF(calendar[[#This Row],[Month]]&lt;10,3,4)))</f>
        <v>2</v>
      </c>
      <c r="L504">
        <f>IFERROR(IF(VLOOKUP(calendar[[#This Row],[Date]],BH!A:A,1,)&lt;&gt;"",1,0),0)</f>
        <v>0</v>
      </c>
      <c r="M504">
        <f>IFERROR(IF(VLOOKUP(calendar[[#This Row],[Date]],BH!C:C,1,)&lt;&gt;"",1,0),0)</f>
        <v>0</v>
      </c>
      <c r="N504">
        <f>IFERROR(IF(VLOOKUP(calendar[[#This Row],[Date]],BH!E:E,1,)&lt;&gt;"",1,0),0)</f>
        <v>0</v>
      </c>
      <c r="O504">
        <f>IFERROR(IF(VLOOKUP(calendar[[#This Row],[Date]],BH!G:G,1,)&lt;&gt;"",1,0),0)</f>
        <v>0</v>
      </c>
      <c r="P504">
        <f>IF(OR(calendar[[#This Row],[UK_BH]]=1,calendar[[#This Row],[WeekDay]]=1, calendar[[#This Row],[WeekDay]]=7),P503,P503+1)</f>
        <v>360</v>
      </c>
      <c r="Q504">
        <f>IF(OR(calendar[[#This Row],[FR_BH]]=1,calendar[[#This Row],[WeekDay]]=1, calendar[[#This Row],[WeekDay]]=7),P503,P503+1)</f>
        <v>360</v>
      </c>
      <c r="R504">
        <f>IF(OR(calendar[[#This Row],[SP_BH]]=1,calendar[[#This Row],[WeekDay]]=1, calendar[[#This Row],[WeekDay]]=7),P503,P503+1)</f>
        <v>360</v>
      </c>
      <c r="S504">
        <f>IF(OR(calendar[[#This Row],[PT_BH]]=1,calendar[[#This Row],[WeekDay]]=1, calendar[[#This Row],[WeekDay]]=7),P503,P503+1)</f>
        <v>360</v>
      </c>
    </row>
    <row r="505" spans="1:19" x14ac:dyDescent="0.25">
      <c r="A505" s="2">
        <v>43239</v>
      </c>
      <c r="B505" s="1">
        <f t="shared" si="38"/>
        <v>20</v>
      </c>
      <c r="C505">
        <f t="shared" si="40"/>
        <v>5</v>
      </c>
      <c r="D505" t="str">
        <f t="shared" si="41"/>
        <v>May</v>
      </c>
      <c r="E505">
        <f t="shared" si="42"/>
        <v>2018</v>
      </c>
      <c r="F505" t="str">
        <f>CONCATENATE(calendar[[#This Row],[Month]],"/",calendar[[#This Row],[Year]])</f>
        <v>5/2018</v>
      </c>
      <c r="G505">
        <f>WEEKDAY(calendar[[#This Row],[Date]],1)</f>
        <v>7</v>
      </c>
      <c r="H505" t="str">
        <f>TEXT(calendar[[#This Row],[WeekDay]],"dddd")</f>
        <v>Saturday</v>
      </c>
      <c r="I505">
        <f>IF((INT(calendar[[#This Row],[Count]]/7)-calendar[[#This Row],[Count]]/7)&lt;0,I504,I504+1)</f>
        <v>72</v>
      </c>
      <c r="J505">
        <f t="shared" si="39"/>
        <v>503</v>
      </c>
      <c r="K505">
        <f>IF(calendar[[#This Row],[Month]]&lt;4,1,IF(calendar[[#This Row],[Month]]&lt;7,2,IF(calendar[[#This Row],[Month]]&lt;10,3,4)))</f>
        <v>2</v>
      </c>
      <c r="L505">
        <f>IFERROR(IF(VLOOKUP(calendar[[#This Row],[Date]],BH!A:A,1,)&lt;&gt;"",1,0),0)</f>
        <v>0</v>
      </c>
      <c r="M505">
        <f>IFERROR(IF(VLOOKUP(calendar[[#This Row],[Date]],BH!C:C,1,)&lt;&gt;"",1,0),0)</f>
        <v>0</v>
      </c>
      <c r="N505">
        <f>IFERROR(IF(VLOOKUP(calendar[[#This Row],[Date]],BH!E:E,1,)&lt;&gt;"",1,0),0)</f>
        <v>0</v>
      </c>
      <c r="O505">
        <f>IFERROR(IF(VLOOKUP(calendar[[#This Row],[Date]],BH!G:G,1,)&lt;&gt;"",1,0),0)</f>
        <v>0</v>
      </c>
      <c r="P505">
        <f>IF(OR(calendar[[#This Row],[UK_BH]]=1,calendar[[#This Row],[WeekDay]]=1, calendar[[#This Row],[WeekDay]]=7),P504,P504+1)</f>
        <v>360</v>
      </c>
      <c r="Q505">
        <f>IF(OR(calendar[[#This Row],[FR_BH]]=1,calendar[[#This Row],[WeekDay]]=1, calendar[[#This Row],[WeekDay]]=7),P504,P504+1)</f>
        <v>360</v>
      </c>
      <c r="R505">
        <f>IF(OR(calendar[[#This Row],[SP_BH]]=1,calendar[[#This Row],[WeekDay]]=1, calendar[[#This Row],[WeekDay]]=7),P504,P504+1)</f>
        <v>360</v>
      </c>
      <c r="S505">
        <f>IF(OR(calendar[[#This Row],[PT_BH]]=1,calendar[[#This Row],[WeekDay]]=1, calendar[[#This Row],[WeekDay]]=7),P504,P504+1)</f>
        <v>360</v>
      </c>
    </row>
    <row r="506" spans="1:19" x14ac:dyDescent="0.25">
      <c r="A506" s="2">
        <v>43240</v>
      </c>
      <c r="B506" s="1">
        <f t="shared" si="38"/>
        <v>21</v>
      </c>
      <c r="C506">
        <f t="shared" si="40"/>
        <v>5</v>
      </c>
      <c r="D506" t="str">
        <f t="shared" si="41"/>
        <v>May</v>
      </c>
      <c r="E506">
        <f t="shared" si="42"/>
        <v>2018</v>
      </c>
      <c r="F506" t="str">
        <f>CONCATENATE(calendar[[#This Row],[Month]],"/",calendar[[#This Row],[Year]])</f>
        <v>5/2018</v>
      </c>
      <c r="G506">
        <f>WEEKDAY(calendar[[#This Row],[Date]],1)</f>
        <v>1</v>
      </c>
      <c r="H506" t="str">
        <f>TEXT(calendar[[#This Row],[WeekDay]],"dddd")</f>
        <v>Sunday</v>
      </c>
      <c r="I506">
        <f>IF((INT(calendar[[#This Row],[Count]]/7)-calendar[[#This Row],[Count]]/7)&lt;0,I505,I505+1)</f>
        <v>73</v>
      </c>
      <c r="J506">
        <f t="shared" si="39"/>
        <v>504</v>
      </c>
      <c r="K506">
        <f>IF(calendar[[#This Row],[Month]]&lt;4,1,IF(calendar[[#This Row],[Month]]&lt;7,2,IF(calendar[[#This Row],[Month]]&lt;10,3,4)))</f>
        <v>2</v>
      </c>
      <c r="L506">
        <f>IFERROR(IF(VLOOKUP(calendar[[#This Row],[Date]],BH!A:A,1,)&lt;&gt;"",1,0),0)</f>
        <v>0</v>
      </c>
      <c r="M506">
        <f>IFERROR(IF(VLOOKUP(calendar[[#This Row],[Date]],BH!C:C,1,)&lt;&gt;"",1,0),0)</f>
        <v>0</v>
      </c>
      <c r="N506">
        <f>IFERROR(IF(VLOOKUP(calendar[[#This Row],[Date]],BH!E:E,1,)&lt;&gt;"",1,0),0)</f>
        <v>0</v>
      </c>
      <c r="O506">
        <f>IFERROR(IF(VLOOKUP(calendar[[#This Row],[Date]],BH!G:G,1,)&lt;&gt;"",1,0),0)</f>
        <v>0</v>
      </c>
      <c r="P506">
        <f>IF(OR(calendar[[#This Row],[UK_BH]]=1,calendar[[#This Row],[WeekDay]]=1, calendar[[#This Row],[WeekDay]]=7),P505,P505+1)</f>
        <v>360</v>
      </c>
      <c r="Q506">
        <f>IF(OR(calendar[[#This Row],[FR_BH]]=1,calendar[[#This Row],[WeekDay]]=1, calendar[[#This Row],[WeekDay]]=7),P505,P505+1)</f>
        <v>360</v>
      </c>
      <c r="R506">
        <f>IF(OR(calendar[[#This Row],[SP_BH]]=1,calendar[[#This Row],[WeekDay]]=1, calendar[[#This Row],[WeekDay]]=7),P505,P505+1)</f>
        <v>360</v>
      </c>
      <c r="S506">
        <f>IF(OR(calendar[[#This Row],[PT_BH]]=1,calendar[[#This Row],[WeekDay]]=1, calendar[[#This Row],[WeekDay]]=7),P505,P505+1)</f>
        <v>360</v>
      </c>
    </row>
    <row r="507" spans="1:19" x14ac:dyDescent="0.25">
      <c r="A507" s="2">
        <v>43241</v>
      </c>
      <c r="B507" s="1">
        <f t="shared" si="38"/>
        <v>21</v>
      </c>
      <c r="C507">
        <f t="shared" si="40"/>
        <v>5</v>
      </c>
      <c r="D507" t="str">
        <f t="shared" si="41"/>
        <v>May</v>
      </c>
      <c r="E507">
        <f t="shared" si="42"/>
        <v>2018</v>
      </c>
      <c r="F507" t="str">
        <f>CONCATENATE(calendar[[#This Row],[Month]],"/",calendar[[#This Row],[Year]])</f>
        <v>5/2018</v>
      </c>
      <c r="G507">
        <f>WEEKDAY(calendar[[#This Row],[Date]],1)</f>
        <v>2</v>
      </c>
      <c r="H507" t="str">
        <f>TEXT(calendar[[#This Row],[WeekDay]],"dddd")</f>
        <v>Monday</v>
      </c>
      <c r="I507">
        <f>IF((INT(calendar[[#This Row],[Count]]/7)-calendar[[#This Row],[Count]]/7)&lt;0,I506,I506+1)</f>
        <v>73</v>
      </c>
      <c r="J507">
        <f t="shared" si="39"/>
        <v>505</v>
      </c>
      <c r="K507">
        <f>IF(calendar[[#This Row],[Month]]&lt;4,1,IF(calendar[[#This Row],[Month]]&lt;7,2,IF(calendar[[#This Row],[Month]]&lt;10,3,4)))</f>
        <v>2</v>
      </c>
      <c r="L507">
        <f>IFERROR(IF(VLOOKUP(calendar[[#This Row],[Date]],BH!A:A,1,)&lt;&gt;"",1,0),0)</f>
        <v>0</v>
      </c>
      <c r="M507">
        <f>IFERROR(IF(VLOOKUP(calendar[[#This Row],[Date]],BH!C:C,1,)&lt;&gt;"",1,0),0)</f>
        <v>0</v>
      </c>
      <c r="N507">
        <f>IFERROR(IF(VLOOKUP(calendar[[#This Row],[Date]],BH!E:E,1,)&lt;&gt;"",1,0),0)</f>
        <v>0</v>
      </c>
      <c r="O507">
        <f>IFERROR(IF(VLOOKUP(calendar[[#This Row],[Date]],BH!G:G,1,)&lt;&gt;"",1,0),0)</f>
        <v>0</v>
      </c>
      <c r="P507">
        <f>IF(OR(calendar[[#This Row],[UK_BH]]=1,calendar[[#This Row],[WeekDay]]=1, calendar[[#This Row],[WeekDay]]=7),P506,P506+1)</f>
        <v>361</v>
      </c>
      <c r="Q507">
        <f>IF(OR(calendar[[#This Row],[FR_BH]]=1,calendar[[#This Row],[WeekDay]]=1, calendar[[#This Row],[WeekDay]]=7),P506,P506+1)</f>
        <v>361</v>
      </c>
      <c r="R507">
        <f>IF(OR(calendar[[#This Row],[SP_BH]]=1,calendar[[#This Row],[WeekDay]]=1, calendar[[#This Row],[WeekDay]]=7),P506,P506+1)</f>
        <v>361</v>
      </c>
      <c r="S507">
        <f>IF(OR(calendar[[#This Row],[PT_BH]]=1,calendar[[#This Row],[WeekDay]]=1, calendar[[#This Row],[WeekDay]]=7),P506,P506+1)</f>
        <v>361</v>
      </c>
    </row>
    <row r="508" spans="1:19" x14ac:dyDescent="0.25">
      <c r="A508" s="2">
        <v>43242</v>
      </c>
      <c r="B508" s="1">
        <f t="shared" si="38"/>
        <v>21</v>
      </c>
      <c r="C508">
        <f t="shared" si="40"/>
        <v>5</v>
      </c>
      <c r="D508" t="str">
        <f t="shared" si="41"/>
        <v>May</v>
      </c>
      <c r="E508">
        <f t="shared" si="42"/>
        <v>2018</v>
      </c>
      <c r="F508" t="str">
        <f>CONCATENATE(calendar[[#This Row],[Month]],"/",calendar[[#This Row],[Year]])</f>
        <v>5/2018</v>
      </c>
      <c r="G508">
        <f>WEEKDAY(calendar[[#This Row],[Date]],1)</f>
        <v>3</v>
      </c>
      <c r="H508" t="str">
        <f>TEXT(calendar[[#This Row],[WeekDay]],"dddd")</f>
        <v>Tuesday</v>
      </c>
      <c r="I508">
        <f>IF((INT(calendar[[#This Row],[Count]]/7)-calendar[[#This Row],[Count]]/7)&lt;0,I507,I507+1)</f>
        <v>73</v>
      </c>
      <c r="J508">
        <f t="shared" si="39"/>
        <v>506</v>
      </c>
      <c r="K508">
        <f>IF(calendar[[#This Row],[Month]]&lt;4,1,IF(calendar[[#This Row],[Month]]&lt;7,2,IF(calendar[[#This Row],[Month]]&lt;10,3,4)))</f>
        <v>2</v>
      </c>
      <c r="L508">
        <f>IFERROR(IF(VLOOKUP(calendar[[#This Row],[Date]],BH!A:A,1,)&lt;&gt;"",1,0),0)</f>
        <v>0</v>
      </c>
      <c r="M508">
        <f>IFERROR(IF(VLOOKUP(calendar[[#This Row],[Date]],BH!C:C,1,)&lt;&gt;"",1,0),0)</f>
        <v>0</v>
      </c>
      <c r="N508">
        <f>IFERROR(IF(VLOOKUP(calendar[[#This Row],[Date]],BH!E:E,1,)&lt;&gt;"",1,0),0)</f>
        <v>0</v>
      </c>
      <c r="O508">
        <f>IFERROR(IF(VLOOKUP(calendar[[#This Row],[Date]],BH!G:G,1,)&lt;&gt;"",1,0),0)</f>
        <v>0</v>
      </c>
      <c r="P508">
        <f>IF(OR(calendar[[#This Row],[UK_BH]]=1,calendar[[#This Row],[WeekDay]]=1, calendar[[#This Row],[WeekDay]]=7),P507,P507+1)</f>
        <v>362</v>
      </c>
      <c r="Q508">
        <f>IF(OR(calendar[[#This Row],[FR_BH]]=1,calendar[[#This Row],[WeekDay]]=1, calendar[[#This Row],[WeekDay]]=7),P507,P507+1)</f>
        <v>362</v>
      </c>
      <c r="R508">
        <f>IF(OR(calendar[[#This Row],[SP_BH]]=1,calendar[[#This Row],[WeekDay]]=1, calendar[[#This Row],[WeekDay]]=7),P507,P507+1)</f>
        <v>362</v>
      </c>
      <c r="S508">
        <f>IF(OR(calendar[[#This Row],[PT_BH]]=1,calendar[[#This Row],[WeekDay]]=1, calendar[[#This Row],[WeekDay]]=7),P507,P507+1)</f>
        <v>362</v>
      </c>
    </row>
    <row r="509" spans="1:19" x14ac:dyDescent="0.25">
      <c r="A509" s="2">
        <v>43243</v>
      </c>
      <c r="B509" s="1">
        <f t="shared" si="38"/>
        <v>21</v>
      </c>
      <c r="C509">
        <f t="shared" si="40"/>
        <v>5</v>
      </c>
      <c r="D509" t="str">
        <f t="shared" si="41"/>
        <v>May</v>
      </c>
      <c r="E509">
        <f t="shared" si="42"/>
        <v>2018</v>
      </c>
      <c r="F509" t="str">
        <f>CONCATENATE(calendar[[#This Row],[Month]],"/",calendar[[#This Row],[Year]])</f>
        <v>5/2018</v>
      </c>
      <c r="G509">
        <f>WEEKDAY(calendar[[#This Row],[Date]],1)</f>
        <v>4</v>
      </c>
      <c r="H509" t="str">
        <f>TEXT(calendar[[#This Row],[WeekDay]],"dddd")</f>
        <v>Wednesday</v>
      </c>
      <c r="I509">
        <f>IF((INT(calendar[[#This Row],[Count]]/7)-calendar[[#This Row],[Count]]/7)&lt;0,I508,I508+1)</f>
        <v>73</v>
      </c>
      <c r="J509">
        <f t="shared" si="39"/>
        <v>507</v>
      </c>
      <c r="K509">
        <f>IF(calendar[[#This Row],[Month]]&lt;4,1,IF(calendar[[#This Row],[Month]]&lt;7,2,IF(calendar[[#This Row],[Month]]&lt;10,3,4)))</f>
        <v>2</v>
      </c>
      <c r="L509">
        <f>IFERROR(IF(VLOOKUP(calendar[[#This Row],[Date]],BH!A:A,1,)&lt;&gt;"",1,0),0)</f>
        <v>0</v>
      </c>
      <c r="M509">
        <f>IFERROR(IF(VLOOKUP(calendar[[#This Row],[Date]],BH!C:C,1,)&lt;&gt;"",1,0),0)</f>
        <v>0</v>
      </c>
      <c r="N509">
        <f>IFERROR(IF(VLOOKUP(calendar[[#This Row],[Date]],BH!E:E,1,)&lt;&gt;"",1,0),0)</f>
        <v>0</v>
      </c>
      <c r="O509">
        <f>IFERROR(IF(VLOOKUP(calendar[[#This Row],[Date]],BH!G:G,1,)&lt;&gt;"",1,0),0)</f>
        <v>0</v>
      </c>
      <c r="P509">
        <f>IF(OR(calendar[[#This Row],[UK_BH]]=1,calendar[[#This Row],[WeekDay]]=1, calendar[[#This Row],[WeekDay]]=7),P508,P508+1)</f>
        <v>363</v>
      </c>
      <c r="Q509">
        <f>IF(OR(calendar[[#This Row],[FR_BH]]=1,calendar[[#This Row],[WeekDay]]=1, calendar[[#This Row],[WeekDay]]=7),P508,P508+1)</f>
        <v>363</v>
      </c>
      <c r="R509">
        <f>IF(OR(calendar[[#This Row],[SP_BH]]=1,calendar[[#This Row],[WeekDay]]=1, calendar[[#This Row],[WeekDay]]=7),P508,P508+1)</f>
        <v>363</v>
      </c>
      <c r="S509">
        <f>IF(OR(calendar[[#This Row],[PT_BH]]=1,calendar[[#This Row],[WeekDay]]=1, calendar[[#This Row],[WeekDay]]=7),P508,P508+1)</f>
        <v>363</v>
      </c>
    </row>
    <row r="510" spans="1:19" x14ac:dyDescent="0.25">
      <c r="A510" s="2">
        <v>43244</v>
      </c>
      <c r="B510" s="1">
        <f t="shared" si="38"/>
        <v>21</v>
      </c>
      <c r="C510">
        <f t="shared" si="40"/>
        <v>5</v>
      </c>
      <c r="D510" t="str">
        <f t="shared" si="41"/>
        <v>May</v>
      </c>
      <c r="E510">
        <f t="shared" si="42"/>
        <v>2018</v>
      </c>
      <c r="F510" t="str">
        <f>CONCATENATE(calendar[[#This Row],[Month]],"/",calendar[[#This Row],[Year]])</f>
        <v>5/2018</v>
      </c>
      <c r="G510">
        <f>WEEKDAY(calendar[[#This Row],[Date]],1)</f>
        <v>5</v>
      </c>
      <c r="H510" t="str">
        <f>TEXT(calendar[[#This Row],[WeekDay]],"dddd")</f>
        <v>Thursday</v>
      </c>
      <c r="I510">
        <f>IF((INT(calendar[[#This Row],[Count]]/7)-calendar[[#This Row],[Count]]/7)&lt;0,I509,I509+1)</f>
        <v>73</v>
      </c>
      <c r="J510">
        <f t="shared" si="39"/>
        <v>508</v>
      </c>
      <c r="K510">
        <f>IF(calendar[[#This Row],[Month]]&lt;4,1,IF(calendar[[#This Row],[Month]]&lt;7,2,IF(calendar[[#This Row],[Month]]&lt;10,3,4)))</f>
        <v>2</v>
      </c>
      <c r="L510">
        <f>IFERROR(IF(VLOOKUP(calendar[[#This Row],[Date]],BH!A:A,1,)&lt;&gt;"",1,0),0)</f>
        <v>0</v>
      </c>
      <c r="M510">
        <f>IFERROR(IF(VLOOKUP(calendar[[#This Row],[Date]],BH!C:C,1,)&lt;&gt;"",1,0),0)</f>
        <v>0</v>
      </c>
      <c r="N510">
        <f>IFERROR(IF(VLOOKUP(calendar[[#This Row],[Date]],BH!E:E,1,)&lt;&gt;"",1,0),0)</f>
        <v>0</v>
      </c>
      <c r="O510">
        <f>IFERROR(IF(VLOOKUP(calendar[[#This Row],[Date]],BH!G:G,1,)&lt;&gt;"",1,0),0)</f>
        <v>0</v>
      </c>
      <c r="P510">
        <f>IF(OR(calendar[[#This Row],[UK_BH]]=1,calendar[[#This Row],[WeekDay]]=1, calendar[[#This Row],[WeekDay]]=7),P509,P509+1)</f>
        <v>364</v>
      </c>
      <c r="Q510">
        <f>IF(OR(calendar[[#This Row],[FR_BH]]=1,calendar[[#This Row],[WeekDay]]=1, calendar[[#This Row],[WeekDay]]=7),P509,P509+1)</f>
        <v>364</v>
      </c>
      <c r="R510">
        <f>IF(OR(calendar[[#This Row],[SP_BH]]=1,calendar[[#This Row],[WeekDay]]=1, calendar[[#This Row],[WeekDay]]=7),P509,P509+1)</f>
        <v>364</v>
      </c>
      <c r="S510">
        <f>IF(OR(calendar[[#This Row],[PT_BH]]=1,calendar[[#This Row],[WeekDay]]=1, calendar[[#This Row],[WeekDay]]=7),P509,P509+1)</f>
        <v>364</v>
      </c>
    </row>
    <row r="511" spans="1:19" x14ac:dyDescent="0.25">
      <c r="A511" s="2">
        <v>43245</v>
      </c>
      <c r="B511" s="1">
        <f t="shared" si="38"/>
        <v>21</v>
      </c>
      <c r="C511">
        <f t="shared" si="40"/>
        <v>5</v>
      </c>
      <c r="D511" t="str">
        <f t="shared" si="41"/>
        <v>May</v>
      </c>
      <c r="E511">
        <f t="shared" si="42"/>
        <v>2018</v>
      </c>
      <c r="F511" t="str">
        <f>CONCATENATE(calendar[[#This Row],[Month]],"/",calendar[[#This Row],[Year]])</f>
        <v>5/2018</v>
      </c>
      <c r="G511">
        <f>WEEKDAY(calendar[[#This Row],[Date]],1)</f>
        <v>6</v>
      </c>
      <c r="H511" t="str">
        <f>TEXT(calendar[[#This Row],[WeekDay]],"dddd")</f>
        <v>Friday</v>
      </c>
      <c r="I511">
        <f>IF((INT(calendar[[#This Row],[Count]]/7)-calendar[[#This Row],[Count]]/7)&lt;0,I510,I510+1)</f>
        <v>73</v>
      </c>
      <c r="J511">
        <f t="shared" si="39"/>
        <v>509</v>
      </c>
      <c r="K511">
        <f>IF(calendar[[#This Row],[Month]]&lt;4,1,IF(calendar[[#This Row],[Month]]&lt;7,2,IF(calendar[[#This Row],[Month]]&lt;10,3,4)))</f>
        <v>2</v>
      </c>
      <c r="L511">
        <f>IFERROR(IF(VLOOKUP(calendar[[#This Row],[Date]],BH!A:A,1,)&lt;&gt;"",1,0),0)</f>
        <v>0</v>
      </c>
      <c r="M511">
        <f>IFERROR(IF(VLOOKUP(calendar[[#This Row],[Date]],BH!C:C,1,)&lt;&gt;"",1,0),0)</f>
        <v>0</v>
      </c>
      <c r="N511">
        <f>IFERROR(IF(VLOOKUP(calendar[[#This Row],[Date]],BH!E:E,1,)&lt;&gt;"",1,0),0)</f>
        <v>0</v>
      </c>
      <c r="O511">
        <f>IFERROR(IF(VLOOKUP(calendar[[#This Row],[Date]],BH!G:G,1,)&lt;&gt;"",1,0),0)</f>
        <v>0</v>
      </c>
      <c r="P511">
        <f>IF(OR(calendar[[#This Row],[UK_BH]]=1,calendar[[#This Row],[WeekDay]]=1, calendar[[#This Row],[WeekDay]]=7),P510,P510+1)</f>
        <v>365</v>
      </c>
      <c r="Q511">
        <f>IF(OR(calendar[[#This Row],[FR_BH]]=1,calendar[[#This Row],[WeekDay]]=1, calendar[[#This Row],[WeekDay]]=7),P510,P510+1)</f>
        <v>365</v>
      </c>
      <c r="R511">
        <f>IF(OR(calendar[[#This Row],[SP_BH]]=1,calendar[[#This Row],[WeekDay]]=1, calendar[[#This Row],[WeekDay]]=7),P510,P510+1)</f>
        <v>365</v>
      </c>
      <c r="S511">
        <f>IF(OR(calendar[[#This Row],[PT_BH]]=1,calendar[[#This Row],[WeekDay]]=1, calendar[[#This Row],[WeekDay]]=7),P510,P510+1)</f>
        <v>365</v>
      </c>
    </row>
    <row r="512" spans="1:19" x14ac:dyDescent="0.25">
      <c r="A512" s="2">
        <v>43246</v>
      </c>
      <c r="B512" s="1">
        <f t="shared" si="38"/>
        <v>21</v>
      </c>
      <c r="C512">
        <f t="shared" si="40"/>
        <v>5</v>
      </c>
      <c r="D512" t="str">
        <f t="shared" si="41"/>
        <v>May</v>
      </c>
      <c r="E512">
        <f t="shared" si="42"/>
        <v>2018</v>
      </c>
      <c r="F512" t="str">
        <f>CONCATENATE(calendar[[#This Row],[Month]],"/",calendar[[#This Row],[Year]])</f>
        <v>5/2018</v>
      </c>
      <c r="G512">
        <f>WEEKDAY(calendar[[#This Row],[Date]],1)</f>
        <v>7</v>
      </c>
      <c r="H512" t="str">
        <f>TEXT(calendar[[#This Row],[WeekDay]],"dddd")</f>
        <v>Saturday</v>
      </c>
      <c r="I512">
        <f>IF((INT(calendar[[#This Row],[Count]]/7)-calendar[[#This Row],[Count]]/7)&lt;0,I511,I511+1)</f>
        <v>73</v>
      </c>
      <c r="J512">
        <f t="shared" si="39"/>
        <v>510</v>
      </c>
      <c r="K512">
        <f>IF(calendar[[#This Row],[Month]]&lt;4,1,IF(calendar[[#This Row],[Month]]&lt;7,2,IF(calendar[[#This Row],[Month]]&lt;10,3,4)))</f>
        <v>2</v>
      </c>
      <c r="L512">
        <f>IFERROR(IF(VLOOKUP(calendar[[#This Row],[Date]],BH!A:A,1,)&lt;&gt;"",1,0),0)</f>
        <v>0</v>
      </c>
      <c r="M512">
        <f>IFERROR(IF(VLOOKUP(calendar[[#This Row],[Date]],BH!C:C,1,)&lt;&gt;"",1,0),0)</f>
        <v>0</v>
      </c>
      <c r="N512">
        <f>IFERROR(IF(VLOOKUP(calendar[[#This Row],[Date]],BH!E:E,1,)&lt;&gt;"",1,0),0)</f>
        <v>0</v>
      </c>
      <c r="O512">
        <f>IFERROR(IF(VLOOKUP(calendar[[#This Row],[Date]],BH!G:G,1,)&lt;&gt;"",1,0),0)</f>
        <v>0</v>
      </c>
      <c r="P512">
        <f>IF(OR(calendar[[#This Row],[UK_BH]]=1,calendar[[#This Row],[WeekDay]]=1, calendar[[#This Row],[WeekDay]]=7),P511,P511+1)</f>
        <v>365</v>
      </c>
      <c r="Q512">
        <f>IF(OR(calendar[[#This Row],[FR_BH]]=1,calendar[[#This Row],[WeekDay]]=1, calendar[[#This Row],[WeekDay]]=7),P511,P511+1)</f>
        <v>365</v>
      </c>
      <c r="R512">
        <f>IF(OR(calendar[[#This Row],[SP_BH]]=1,calendar[[#This Row],[WeekDay]]=1, calendar[[#This Row],[WeekDay]]=7),P511,P511+1)</f>
        <v>365</v>
      </c>
      <c r="S512">
        <f>IF(OR(calendar[[#This Row],[PT_BH]]=1,calendar[[#This Row],[WeekDay]]=1, calendar[[#This Row],[WeekDay]]=7),P511,P511+1)</f>
        <v>365</v>
      </c>
    </row>
    <row r="513" spans="1:19" x14ac:dyDescent="0.25">
      <c r="A513" s="2">
        <v>43247</v>
      </c>
      <c r="B513" s="1">
        <f t="shared" si="38"/>
        <v>22</v>
      </c>
      <c r="C513">
        <f t="shared" si="40"/>
        <v>5</v>
      </c>
      <c r="D513" t="str">
        <f t="shared" si="41"/>
        <v>May</v>
      </c>
      <c r="E513">
        <f t="shared" si="42"/>
        <v>2018</v>
      </c>
      <c r="F513" t="str">
        <f>CONCATENATE(calendar[[#This Row],[Month]],"/",calendar[[#This Row],[Year]])</f>
        <v>5/2018</v>
      </c>
      <c r="G513">
        <f>WEEKDAY(calendar[[#This Row],[Date]],1)</f>
        <v>1</v>
      </c>
      <c r="H513" t="str">
        <f>TEXT(calendar[[#This Row],[WeekDay]],"dddd")</f>
        <v>Sunday</v>
      </c>
      <c r="I513">
        <f>IF((INT(calendar[[#This Row],[Count]]/7)-calendar[[#This Row],[Count]]/7)&lt;0,I512,I512+1)</f>
        <v>74</v>
      </c>
      <c r="J513">
        <f t="shared" si="39"/>
        <v>511</v>
      </c>
      <c r="K513">
        <f>IF(calendar[[#This Row],[Month]]&lt;4,1,IF(calendar[[#This Row],[Month]]&lt;7,2,IF(calendar[[#This Row],[Month]]&lt;10,3,4)))</f>
        <v>2</v>
      </c>
      <c r="L513">
        <f>IFERROR(IF(VLOOKUP(calendar[[#This Row],[Date]],BH!A:A,1,)&lt;&gt;"",1,0),0)</f>
        <v>0</v>
      </c>
      <c r="M513">
        <f>IFERROR(IF(VLOOKUP(calendar[[#This Row],[Date]],BH!C:C,1,)&lt;&gt;"",1,0),0)</f>
        <v>0</v>
      </c>
      <c r="N513">
        <f>IFERROR(IF(VLOOKUP(calendar[[#This Row],[Date]],BH!E:E,1,)&lt;&gt;"",1,0),0)</f>
        <v>0</v>
      </c>
      <c r="O513">
        <f>IFERROR(IF(VLOOKUP(calendar[[#This Row],[Date]],BH!G:G,1,)&lt;&gt;"",1,0),0)</f>
        <v>0</v>
      </c>
      <c r="P513">
        <f>IF(OR(calendar[[#This Row],[UK_BH]]=1,calendar[[#This Row],[WeekDay]]=1, calendar[[#This Row],[WeekDay]]=7),P512,P512+1)</f>
        <v>365</v>
      </c>
      <c r="Q513">
        <f>IF(OR(calendar[[#This Row],[FR_BH]]=1,calendar[[#This Row],[WeekDay]]=1, calendar[[#This Row],[WeekDay]]=7),P512,P512+1)</f>
        <v>365</v>
      </c>
      <c r="R513">
        <f>IF(OR(calendar[[#This Row],[SP_BH]]=1,calendar[[#This Row],[WeekDay]]=1, calendar[[#This Row],[WeekDay]]=7),P512,P512+1)</f>
        <v>365</v>
      </c>
      <c r="S513">
        <f>IF(OR(calendar[[#This Row],[PT_BH]]=1,calendar[[#This Row],[WeekDay]]=1, calendar[[#This Row],[WeekDay]]=7),P512,P512+1)</f>
        <v>365</v>
      </c>
    </row>
    <row r="514" spans="1:19" x14ac:dyDescent="0.25">
      <c r="A514" s="2">
        <v>43248</v>
      </c>
      <c r="B514" s="1">
        <f t="shared" ref="B514:B577" si="43">WEEKNUM(A514)</f>
        <v>22</v>
      </c>
      <c r="C514">
        <f t="shared" si="40"/>
        <v>5</v>
      </c>
      <c r="D514" t="str">
        <f t="shared" si="41"/>
        <v>May</v>
      </c>
      <c r="E514">
        <f t="shared" si="42"/>
        <v>2018</v>
      </c>
      <c r="F514" t="str">
        <f>CONCATENATE(calendar[[#This Row],[Month]],"/",calendar[[#This Row],[Year]])</f>
        <v>5/2018</v>
      </c>
      <c r="G514">
        <f>WEEKDAY(calendar[[#This Row],[Date]],1)</f>
        <v>2</v>
      </c>
      <c r="H514" t="str">
        <f>TEXT(calendar[[#This Row],[WeekDay]],"dddd")</f>
        <v>Monday</v>
      </c>
      <c r="I514">
        <f>IF((INT(calendar[[#This Row],[Count]]/7)-calendar[[#This Row],[Count]]/7)&lt;0,I513,I513+1)</f>
        <v>74</v>
      </c>
      <c r="J514">
        <f t="shared" si="39"/>
        <v>512</v>
      </c>
      <c r="K514">
        <f>IF(calendar[[#This Row],[Month]]&lt;4,1,IF(calendar[[#This Row],[Month]]&lt;7,2,IF(calendar[[#This Row],[Month]]&lt;10,3,4)))</f>
        <v>2</v>
      </c>
      <c r="L514">
        <f>IFERROR(IF(VLOOKUP(calendar[[#This Row],[Date]],BH!A:A,1,)&lt;&gt;"",1,0),0)</f>
        <v>0</v>
      </c>
      <c r="M514">
        <f>IFERROR(IF(VLOOKUP(calendar[[#This Row],[Date]],BH!C:C,1,)&lt;&gt;"",1,0),0)</f>
        <v>0</v>
      </c>
      <c r="N514">
        <f>IFERROR(IF(VLOOKUP(calendar[[#This Row],[Date]],BH!E:E,1,)&lt;&gt;"",1,0),0)</f>
        <v>0</v>
      </c>
      <c r="O514">
        <f>IFERROR(IF(VLOOKUP(calendar[[#This Row],[Date]],BH!G:G,1,)&lt;&gt;"",1,0),0)</f>
        <v>0</v>
      </c>
      <c r="P514">
        <f>IF(OR(calendar[[#This Row],[UK_BH]]=1,calendar[[#This Row],[WeekDay]]=1, calendar[[#This Row],[WeekDay]]=7),P513,P513+1)</f>
        <v>366</v>
      </c>
      <c r="Q514">
        <f>IF(OR(calendar[[#This Row],[FR_BH]]=1,calendar[[#This Row],[WeekDay]]=1, calendar[[#This Row],[WeekDay]]=7),P513,P513+1)</f>
        <v>366</v>
      </c>
      <c r="R514">
        <f>IF(OR(calendar[[#This Row],[SP_BH]]=1,calendar[[#This Row],[WeekDay]]=1, calendar[[#This Row],[WeekDay]]=7),P513,P513+1)</f>
        <v>366</v>
      </c>
      <c r="S514">
        <f>IF(OR(calendar[[#This Row],[PT_BH]]=1,calendar[[#This Row],[WeekDay]]=1, calendar[[#This Row],[WeekDay]]=7),P513,P513+1)</f>
        <v>366</v>
      </c>
    </row>
    <row r="515" spans="1:19" x14ac:dyDescent="0.25">
      <c r="A515" s="2">
        <v>43249</v>
      </c>
      <c r="B515" s="1">
        <f t="shared" si="43"/>
        <v>22</v>
      </c>
      <c r="C515">
        <f t="shared" si="40"/>
        <v>5</v>
      </c>
      <c r="D515" t="str">
        <f t="shared" si="41"/>
        <v>May</v>
      </c>
      <c r="E515">
        <f t="shared" si="42"/>
        <v>2018</v>
      </c>
      <c r="F515" t="str">
        <f>CONCATENATE(calendar[[#This Row],[Month]],"/",calendar[[#This Row],[Year]])</f>
        <v>5/2018</v>
      </c>
      <c r="G515">
        <f>WEEKDAY(calendar[[#This Row],[Date]],1)</f>
        <v>3</v>
      </c>
      <c r="H515" t="str">
        <f>TEXT(calendar[[#This Row],[WeekDay]],"dddd")</f>
        <v>Tuesday</v>
      </c>
      <c r="I515">
        <f>IF((INT(calendar[[#This Row],[Count]]/7)-calendar[[#This Row],[Count]]/7)&lt;0,I514,I514+1)</f>
        <v>74</v>
      </c>
      <c r="J515">
        <f t="shared" ref="J515:J578" si="44">J514+1</f>
        <v>513</v>
      </c>
      <c r="K515">
        <f>IF(calendar[[#This Row],[Month]]&lt;4,1,IF(calendar[[#This Row],[Month]]&lt;7,2,IF(calendar[[#This Row],[Month]]&lt;10,3,4)))</f>
        <v>2</v>
      </c>
      <c r="L515">
        <f>IFERROR(IF(VLOOKUP(calendar[[#This Row],[Date]],BH!A:A,1,)&lt;&gt;"",1,0),0)</f>
        <v>0</v>
      </c>
      <c r="M515">
        <f>IFERROR(IF(VLOOKUP(calendar[[#This Row],[Date]],BH!C:C,1,)&lt;&gt;"",1,0),0)</f>
        <v>0</v>
      </c>
      <c r="N515">
        <f>IFERROR(IF(VLOOKUP(calendar[[#This Row],[Date]],BH!E:E,1,)&lt;&gt;"",1,0),0)</f>
        <v>0</v>
      </c>
      <c r="O515">
        <f>IFERROR(IF(VLOOKUP(calendar[[#This Row],[Date]],BH!G:G,1,)&lt;&gt;"",1,0),0)</f>
        <v>0</v>
      </c>
      <c r="P515">
        <f>IF(OR(calendar[[#This Row],[UK_BH]]=1,calendar[[#This Row],[WeekDay]]=1, calendar[[#This Row],[WeekDay]]=7),P514,P514+1)</f>
        <v>367</v>
      </c>
      <c r="Q515">
        <f>IF(OR(calendar[[#This Row],[FR_BH]]=1,calendar[[#This Row],[WeekDay]]=1, calendar[[#This Row],[WeekDay]]=7),P514,P514+1)</f>
        <v>367</v>
      </c>
      <c r="R515">
        <f>IF(OR(calendar[[#This Row],[SP_BH]]=1,calendar[[#This Row],[WeekDay]]=1, calendar[[#This Row],[WeekDay]]=7),P514,P514+1)</f>
        <v>367</v>
      </c>
      <c r="S515">
        <f>IF(OR(calendar[[#This Row],[PT_BH]]=1,calendar[[#This Row],[WeekDay]]=1, calendar[[#This Row],[WeekDay]]=7),P514,P514+1)</f>
        <v>367</v>
      </c>
    </row>
    <row r="516" spans="1:19" x14ac:dyDescent="0.25">
      <c r="A516" s="2">
        <v>43250</v>
      </c>
      <c r="B516" s="1">
        <f t="shared" si="43"/>
        <v>22</v>
      </c>
      <c r="C516">
        <f t="shared" si="40"/>
        <v>5</v>
      </c>
      <c r="D516" t="str">
        <f t="shared" si="41"/>
        <v>May</v>
      </c>
      <c r="E516">
        <f t="shared" si="42"/>
        <v>2018</v>
      </c>
      <c r="F516" t="str">
        <f>CONCATENATE(calendar[[#This Row],[Month]],"/",calendar[[#This Row],[Year]])</f>
        <v>5/2018</v>
      </c>
      <c r="G516">
        <f>WEEKDAY(calendar[[#This Row],[Date]],1)</f>
        <v>4</v>
      </c>
      <c r="H516" t="str">
        <f>TEXT(calendar[[#This Row],[WeekDay]],"dddd")</f>
        <v>Wednesday</v>
      </c>
      <c r="I516">
        <f>IF((INT(calendar[[#This Row],[Count]]/7)-calendar[[#This Row],[Count]]/7)&lt;0,I515,I515+1)</f>
        <v>74</v>
      </c>
      <c r="J516">
        <f t="shared" si="44"/>
        <v>514</v>
      </c>
      <c r="K516">
        <f>IF(calendar[[#This Row],[Month]]&lt;4,1,IF(calendar[[#This Row],[Month]]&lt;7,2,IF(calendar[[#This Row],[Month]]&lt;10,3,4)))</f>
        <v>2</v>
      </c>
      <c r="L516">
        <f>IFERROR(IF(VLOOKUP(calendar[[#This Row],[Date]],BH!A:A,1,)&lt;&gt;"",1,0),0)</f>
        <v>0</v>
      </c>
      <c r="M516">
        <f>IFERROR(IF(VLOOKUP(calendar[[#This Row],[Date]],BH!C:C,1,)&lt;&gt;"",1,0),0)</f>
        <v>0</v>
      </c>
      <c r="N516">
        <f>IFERROR(IF(VLOOKUP(calendar[[#This Row],[Date]],BH!E:E,1,)&lt;&gt;"",1,0),0)</f>
        <v>0</v>
      </c>
      <c r="O516">
        <f>IFERROR(IF(VLOOKUP(calendar[[#This Row],[Date]],BH!G:G,1,)&lt;&gt;"",1,0),0)</f>
        <v>0</v>
      </c>
      <c r="P516">
        <f>IF(OR(calendar[[#This Row],[UK_BH]]=1,calendar[[#This Row],[WeekDay]]=1, calendar[[#This Row],[WeekDay]]=7),P515,P515+1)</f>
        <v>368</v>
      </c>
      <c r="Q516">
        <f>IF(OR(calendar[[#This Row],[FR_BH]]=1,calendar[[#This Row],[WeekDay]]=1, calendar[[#This Row],[WeekDay]]=7),P515,P515+1)</f>
        <v>368</v>
      </c>
      <c r="R516">
        <f>IF(OR(calendar[[#This Row],[SP_BH]]=1,calendar[[#This Row],[WeekDay]]=1, calendar[[#This Row],[WeekDay]]=7),P515,P515+1)</f>
        <v>368</v>
      </c>
      <c r="S516">
        <f>IF(OR(calendar[[#This Row],[PT_BH]]=1,calendar[[#This Row],[WeekDay]]=1, calendar[[#This Row],[WeekDay]]=7),P515,P515+1)</f>
        <v>368</v>
      </c>
    </row>
    <row r="517" spans="1:19" x14ac:dyDescent="0.25">
      <c r="A517" s="2">
        <v>43251</v>
      </c>
      <c r="B517" s="1">
        <f t="shared" si="43"/>
        <v>22</v>
      </c>
      <c r="C517">
        <f t="shared" si="40"/>
        <v>5</v>
      </c>
      <c r="D517" t="str">
        <f t="shared" si="41"/>
        <v>May</v>
      </c>
      <c r="E517">
        <f t="shared" si="42"/>
        <v>2018</v>
      </c>
      <c r="F517" t="str">
        <f>CONCATENATE(calendar[[#This Row],[Month]],"/",calendar[[#This Row],[Year]])</f>
        <v>5/2018</v>
      </c>
      <c r="G517">
        <f>WEEKDAY(calendar[[#This Row],[Date]],1)</f>
        <v>5</v>
      </c>
      <c r="H517" t="str">
        <f>TEXT(calendar[[#This Row],[WeekDay]],"dddd")</f>
        <v>Thursday</v>
      </c>
      <c r="I517">
        <f>IF((INT(calendar[[#This Row],[Count]]/7)-calendar[[#This Row],[Count]]/7)&lt;0,I516,I516+1)</f>
        <v>74</v>
      </c>
      <c r="J517">
        <f t="shared" si="44"/>
        <v>515</v>
      </c>
      <c r="K517">
        <f>IF(calendar[[#This Row],[Month]]&lt;4,1,IF(calendar[[#This Row],[Month]]&lt;7,2,IF(calendar[[#This Row],[Month]]&lt;10,3,4)))</f>
        <v>2</v>
      </c>
      <c r="L517">
        <f>IFERROR(IF(VLOOKUP(calendar[[#This Row],[Date]],BH!A:A,1,)&lt;&gt;"",1,0),0)</f>
        <v>0</v>
      </c>
      <c r="M517">
        <f>IFERROR(IF(VLOOKUP(calendar[[#This Row],[Date]],BH!C:C,1,)&lt;&gt;"",1,0),0)</f>
        <v>0</v>
      </c>
      <c r="N517">
        <f>IFERROR(IF(VLOOKUP(calendar[[#This Row],[Date]],BH!E:E,1,)&lt;&gt;"",1,0),0)</f>
        <v>0</v>
      </c>
      <c r="O517">
        <f>IFERROR(IF(VLOOKUP(calendar[[#This Row],[Date]],BH!G:G,1,)&lt;&gt;"",1,0),0)</f>
        <v>0</v>
      </c>
      <c r="P517">
        <f>IF(OR(calendar[[#This Row],[UK_BH]]=1,calendar[[#This Row],[WeekDay]]=1, calendar[[#This Row],[WeekDay]]=7),P516,P516+1)</f>
        <v>369</v>
      </c>
      <c r="Q517">
        <f>IF(OR(calendar[[#This Row],[FR_BH]]=1,calendar[[#This Row],[WeekDay]]=1, calendar[[#This Row],[WeekDay]]=7),P516,P516+1)</f>
        <v>369</v>
      </c>
      <c r="R517">
        <f>IF(OR(calendar[[#This Row],[SP_BH]]=1,calendar[[#This Row],[WeekDay]]=1, calendar[[#This Row],[WeekDay]]=7),P516,P516+1)</f>
        <v>369</v>
      </c>
      <c r="S517">
        <f>IF(OR(calendar[[#This Row],[PT_BH]]=1,calendar[[#This Row],[WeekDay]]=1, calendar[[#This Row],[WeekDay]]=7),P516,P516+1)</f>
        <v>369</v>
      </c>
    </row>
    <row r="518" spans="1:19" x14ac:dyDescent="0.25">
      <c r="A518" s="2">
        <v>43252</v>
      </c>
      <c r="B518" s="1">
        <f t="shared" si="43"/>
        <v>22</v>
      </c>
      <c r="C518">
        <f t="shared" si="40"/>
        <v>6</v>
      </c>
      <c r="D518" t="str">
        <f t="shared" si="41"/>
        <v>June</v>
      </c>
      <c r="E518">
        <f t="shared" si="42"/>
        <v>2018</v>
      </c>
      <c r="F518" t="str">
        <f>CONCATENATE(calendar[[#This Row],[Month]],"/",calendar[[#This Row],[Year]])</f>
        <v>6/2018</v>
      </c>
      <c r="G518">
        <f>WEEKDAY(calendar[[#This Row],[Date]],1)</f>
        <v>6</v>
      </c>
      <c r="H518" t="str">
        <f>TEXT(calendar[[#This Row],[WeekDay]],"dddd")</f>
        <v>Friday</v>
      </c>
      <c r="I518">
        <f>IF((INT(calendar[[#This Row],[Count]]/7)-calendar[[#This Row],[Count]]/7)&lt;0,I517,I517+1)</f>
        <v>74</v>
      </c>
      <c r="J518">
        <f t="shared" si="44"/>
        <v>516</v>
      </c>
      <c r="K518">
        <f>IF(calendar[[#This Row],[Month]]&lt;4,1,IF(calendar[[#This Row],[Month]]&lt;7,2,IF(calendar[[#This Row],[Month]]&lt;10,3,4)))</f>
        <v>2</v>
      </c>
      <c r="L518">
        <f>IFERROR(IF(VLOOKUP(calendar[[#This Row],[Date]],BH!A:A,1,)&lt;&gt;"",1,0),0)</f>
        <v>0</v>
      </c>
      <c r="M518">
        <f>IFERROR(IF(VLOOKUP(calendar[[#This Row],[Date]],BH!C:C,1,)&lt;&gt;"",1,0),0)</f>
        <v>0</v>
      </c>
      <c r="N518">
        <f>IFERROR(IF(VLOOKUP(calendar[[#This Row],[Date]],BH!E:E,1,)&lt;&gt;"",1,0),0)</f>
        <v>0</v>
      </c>
      <c r="O518">
        <f>IFERROR(IF(VLOOKUP(calendar[[#This Row],[Date]],BH!G:G,1,)&lt;&gt;"",1,0),0)</f>
        <v>0</v>
      </c>
      <c r="P518">
        <f>IF(OR(calendar[[#This Row],[UK_BH]]=1,calendar[[#This Row],[WeekDay]]=1, calendar[[#This Row],[WeekDay]]=7),P517,P517+1)</f>
        <v>370</v>
      </c>
      <c r="Q518">
        <f>IF(OR(calendar[[#This Row],[FR_BH]]=1,calendar[[#This Row],[WeekDay]]=1, calendar[[#This Row],[WeekDay]]=7),P517,P517+1)</f>
        <v>370</v>
      </c>
      <c r="R518">
        <f>IF(OR(calendar[[#This Row],[SP_BH]]=1,calendar[[#This Row],[WeekDay]]=1, calendar[[#This Row],[WeekDay]]=7),P517,P517+1)</f>
        <v>370</v>
      </c>
      <c r="S518">
        <f>IF(OR(calendar[[#This Row],[PT_BH]]=1,calendar[[#This Row],[WeekDay]]=1, calendar[[#This Row],[WeekDay]]=7),P517,P517+1)</f>
        <v>370</v>
      </c>
    </row>
    <row r="519" spans="1:19" x14ac:dyDescent="0.25">
      <c r="A519" s="2">
        <v>43253</v>
      </c>
      <c r="B519" s="1">
        <f t="shared" si="43"/>
        <v>22</v>
      </c>
      <c r="C519">
        <f t="shared" si="40"/>
        <v>6</v>
      </c>
      <c r="D519" t="str">
        <f t="shared" si="41"/>
        <v>June</v>
      </c>
      <c r="E519">
        <f t="shared" si="42"/>
        <v>2018</v>
      </c>
      <c r="F519" t="str">
        <f>CONCATENATE(calendar[[#This Row],[Month]],"/",calendar[[#This Row],[Year]])</f>
        <v>6/2018</v>
      </c>
      <c r="G519">
        <f>WEEKDAY(calendar[[#This Row],[Date]],1)</f>
        <v>7</v>
      </c>
      <c r="H519" t="str">
        <f>TEXT(calendar[[#This Row],[WeekDay]],"dddd")</f>
        <v>Saturday</v>
      </c>
      <c r="I519">
        <f>IF((INT(calendar[[#This Row],[Count]]/7)-calendar[[#This Row],[Count]]/7)&lt;0,I518,I518+1)</f>
        <v>74</v>
      </c>
      <c r="J519">
        <f t="shared" si="44"/>
        <v>517</v>
      </c>
      <c r="K519">
        <f>IF(calendar[[#This Row],[Month]]&lt;4,1,IF(calendar[[#This Row],[Month]]&lt;7,2,IF(calendar[[#This Row],[Month]]&lt;10,3,4)))</f>
        <v>2</v>
      </c>
      <c r="L519">
        <f>IFERROR(IF(VLOOKUP(calendar[[#This Row],[Date]],BH!A:A,1,)&lt;&gt;"",1,0),0)</f>
        <v>0</v>
      </c>
      <c r="M519">
        <f>IFERROR(IF(VLOOKUP(calendar[[#This Row],[Date]],BH!C:C,1,)&lt;&gt;"",1,0),0)</f>
        <v>0</v>
      </c>
      <c r="N519">
        <f>IFERROR(IF(VLOOKUP(calendar[[#This Row],[Date]],BH!E:E,1,)&lt;&gt;"",1,0),0)</f>
        <v>0</v>
      </c>
      <c r="O519">
        <f>IFERROR(IF(VLOOKUP(calendar[[#This Row],[Date]],BH!G:G,1,)&lt;&gt;"",1,0),0)</f>
        <v>0</v>
      </c>
      <c r="P519">
        <f>IF(OR(calendar[[#This Row],[UK_BH]]=1,calendar[[#This Row],[WeekDay]]=1, calendar[[#This Row],[WeekDay]]=7),P518,P518+1)</f>
        <v>370</v>
      </c>
      <c r="Q519">
        <f>IF(OR(calendar[[#This Row],[FR_BH]]=1,calendar[[#This Row],[WeekDay]]=1, calendar[[#This Row],[WeekDay]]=7),P518,P518+1)</f>
        <v>370</v>
      </c>
      <c r="R519">
        <f>IF(OR(calendar[[#This Row],[SP_BH]]=1,calendar[[#This Row],[WeekDay]]=1, calendar[[#This Row],[WeekDay]]=7),P518,P518+1)</f>
        <v>370</v>
      </c>
      <c r="S519">
        <f>IF(OR(calendar[[#This Row],[PT_BH]]=1,calendar[[#This Row],[WeekDay]]=1, calendar[[#This Row],[WeekDay]]=7),P518,P518+1)</f>
        <v>370</v>
      </c>
    </row>
    <row r="520" spans="1:19" x14ac:dyDescent="0.25">
      <c r="A520" s="2">
        <v>43254</v>
      </c>
      <c r="B520" s="1">
        <f t="shared" si="43"/>
        <v>23</v>
      </c>
      <c r="C520">
        <f t="shared" si="40"/>
        <v>6</v>
      </c>
      <c r="D520" t="str">
        <f t="shared" si="41"/>
        <v>June</v>
      </c>
      <c r="E520">
        <f t="shared" si="42"/>
        <v>2018</v>
      </c>
      <c r="F520" t="str">
        <f>CONCATENATE(calendar[[#This Row],[Month]],"/",calendar[[#This Row],[Year]])</f>
        <v>6/2018</v>
      </c>
      <c r="G520">
        <f>WEEKDAY(calendar[[#This Row],[Date]],1)</f>
        <v>1</v>
      </c>
      <c r="H520" t="str">
        <f>TEXT(calendar[[#This Row],[WeekDay]],"dddd")</f>
        <v>Sunday</v>
      </c>
      <c r="I520">
        <f>IF((INT(calendar[[#This Row],[Count]]/7)-calendar[[#This Row],[Count]]/7)&lt;0,I519,I519+1)</f>
        <v>75</v>
      </c>
      <c r="J520">
        <f t="shared" si="44"/>
        <v>518</v>
      </c>
      <c r="K520">
        <f>IF(calendar[[#This Row],[Month]]&lt;4,1,IF(calendar[[#This Row],[Month]]&lt;7,2,IF(calendar[[#This Row],[Month]]&lt;10,3,4)))</f>
        <v>2</v>
      </c>
      <c r="L520">
        <f>IFERROR(IF(VLOOKUP(calendar[[#This Row],[Date]],BH!A:A,1,)&lt;&gt;"",1,0),0)</f>
        <v>0</v>
      </c>
      <c r="M520">
        <f>IFERROR(IF(VLOOKUP(calendar[[#This Row],[Date]],BH!C:C,1,)&lt;&gt;"",1,0),0)</f>
        <v>0</v>
      </c>
      <c r="N520">
        <f>IFERROR(IF(VLOOKUP(calendar[[#This Row],[Date]],BH!E:E,1,)&lt;&gt;"",1,0),0)</f>
        <v>0</v>
      </c>
      <c r="O520">
        <f>IFERROR(IF(VLOOKUP(calendar[[#This Row],[Date]],BH!G:G,1,)&lt;&gt;"",1,0),0)</f>
        <v>0</v>
      </c>
      <c r="P520">
        <f>IF(OR(calendar[[#This Row],[UK_BH]]=1,calendar[[#This Row],[WeekDay]]=1, calendar[[#This Row],[WeekDay]]=7),P519,P519+1)</f>
        <v>370</v>
      </c>
      <c r="Q520">
        <f>IF(OR(calendar[[#This Row],[FR_BH]]=1,calendar[[#This Row],[WeekDay]]=1, calendar[[#This Row],[WeekDay]]=7),P519,P519+1)</f>
        <v>370</v>
      </c>
      <c r="R520">
        <f>IF(OR(calendar[[#This Row],[SP_BH]]=1,calendar[[#This Row],[WeekDay]]=1, calendar[[#This Row],[WeekDay]]=7),P519,P519+1)</f>
        <v>370</v>
      </c>
      <c r="S520">
        <f>IF(OR(calendar[[#This Row],[PT_BH]]=1,calendar[[#This Row],[WeekDay]]=1, calendar[[#This Row],[WeekDay]]=7),P519,P519+1)</f>
        <v>370</v>
      </c>
    </row>
    <row r="521" spans="1:19" x14ac:dyDescent="0.25">
      <c r="A521" s="2">
        <v>43255</v>
      </c>
      <c r="B521" s="1">
        <f t="shared" si="43"/>
        <v>23</v>
      </c>
      <c r="C521">
        <f t="shared" si="40"/>
        <v>6</v>
      </c>
      <c r="D521" t="str">
        <f t="shared" si="41"/>
        <v>June</v>
      </c>
      <c r="E521">
        <f t="shared" si="42"/>
        <v>2018</v>
      </c>
      <c r="F521" t="str">
        <f>CONCATENATE(calendar[[#This Row],[Month]],"/",calendar[[#This Row],[Year]])</f>
        <v>6/2018</v>
      </c>
      <c r="G521">
        <f>WEEKDAY(calendar[[#This Row],[Date]],1)</f>
        <v>2</v>
      </c>
      <c r="H521" t="str">
        <f>TEXT(calendar[[#This Row],[WeekDay]],"dddd")</f>
        <v>Monday</v>
      </c>
      <c r="I521">
        <f>IF((INT(calendar[[#This Row],[Count]]/7)-calendar[[#This Row],[Count]]/7)&lt;0,I520,I520+1)</f>
        <v>75</v>
      </c>
      <c r="J521">
        <f t="shared" si="44"/>
        <v>519</v>
      </c>
      <c r="K521">
        <f>IF(calendar[[#This Row],[Month]]&lt;4,1,IF(calendar[[#This Row],[Month]]&lt;7,2,IF(calendar[[#This Row],[Month]]&lt;10,3,4)))</f>
        <v>2</v>
      </c>
      <c r="L521">
        <f>IFERROR(IF(VLOOKUP(calendar[[#This Row],[Date]],BH!A:A,1,)&lt;&gt;"",1,0),0)</f>
        <v>0</v>
      </c>
      <c r="M521">
        <f>IFERROR(IF(VLOOKUP(calendar[[#This Row],[Date]],BH!C:C,1,)&lt;&gt;"",1,0),0)</f>
        <v>0</v>
      </c>
      <c r="N521">
        <f>IFERROR(IF(VLOOKUP(calendar[[#This Row],[Date]],BH!E:E,1,)&lt;&gt;"",1,0),0)</f>
        <v>0</v>
      </c>
      <c r="O521">
        <f>IFERROR(IF(VLOOKUP(calendar[[#This Row],[Date]],BH!G:G,1,)&lt;&gt;"",1,0),0)</f>
        <v>0</v>
      </c>
      <c r="P521">
        <f>IF(OR(calendar[[#This Row],[UK_BH]]=1,calendar[[#This Row],[WeekDay]]=1, calendar[[#This Row],[WeekDay]]=7),P520,P520+1)</f>
        <v>371</v>
      </c>
      <c r="Q521">
        <f>IF(OR(calendar[[#This Row],[FR_BH]]=1,calendar[[#This Row],[WeekDay]]=1, calendar[[#This Row],[WeekDay]]=7),P520,P520+1)</f>
        <v>371</v>
      </c>
      <c r="R521">
        <f>IF(OR(calendar[[#This Row],[SP_BH]]=1,calendar[[#This Row],[WeekDay]]=1, calendar[[#This Row],[WeekDay]]=7),P520,P520+1)</f>
        <v>371</v>
      </c>
      <c r="S521">
        <f>IF(OR(calendar[[#This Row],[PT_BH]]=1,calendar[[#This Row],[WeekDay]]=1, calendar[[#This Row],[WeekDay]]=7),P520,P520+1)</f>
        <v>371</v>
      </c>
    </row>
    <row r="522" spans="1:19" x14ac:dyDescent="0.25">
      <c r="A522" s="2">
        <v>43256</v>
      </c>
      <c r="B522" s="1">
        <f t="shared" si="43"/>
        <v>23</v>
      </c>
      <c r="C522">
        <f t="shared" si="40"/>
        <v>6</v>
      </c>
      <c r="D522" t="str">
        <f t="shared" si="41"/>
        <v>June</v>
      </c>
      <c r="E522">
        <f t="shared" si="42"/>
        <v>2018</v>
      </c>
      <c r="F522" t="str">
        <f>CONCATENATE(calendar[[#This Row],[Month]],"/",calendar[[#This Row],[Year]])</f>
        <v>6/2018</v>
      </c>
      <c r="G522">
        <f>WEEKDAY(calendar[[#This Row],[Date]],1)</f>
        <v>3</v>
      </c>
      <c r="H522" t="str">
        <f>TEXT(calendar[[#This Row],[WeekDay]],"dddd")</f>
        <v>Tuesday</v>
      </c>
      <c r="I522">
        <f>IF((INT(calendar[[#This Row],[Count]]/7)-calendar[[#This Row],[Count]]/7)&lt;0,I521,I521+1)</f>
        <v>75</v>
      </c>
      <c r="J522">
        <f t="shared" si="44"/>
        <v>520</v>
      </c>
      <c r="K522">
        <f>IF(calendar[[#This Row],[Month]]&lt;4,1,IF(calendar[[#This Row],[Month]]&lt;7,2,IF(calendar[[#This Row],[Month]]&lt;10,3,4)))</f>
        <v>2</v>
      </c>
      <c r="L522">
        <f>IFERROR(IF(VLOOKUP(calendar[[#This Row],[Date]],BH!A:A,1,)&lt;&gt;"",1,0),0)</f>
        <v>0</v>
      </c>
      <c r="M522">
        <f>IFERROR(IF(VLOOKUP(calendar[[#This Row],[Date]],BH!C:C,1,)&lt;&gt;"",1,0),0)</f>
        <v>0</v>
      </c>
      <c r="N522">
        <f>IFERROR(IF(VLOOKUP(calendar[[#This Row],[Date]],BH!E:E,1,)&lt;&gt;"",1,0),0)</f>
        <v>0</v>
      </c>
      <c r="O522">
        <f>IFERROR(IF(VLOOKUP(calendar[[#This Row],[Date]],BH!G:G,1,)&lt;&gt;"",1,0),0)</f>
        <v>0</v>
      </c>
      <c r="P522">
        <f>IF(OR(calendar[[#This Row],[UK_BH]]=1,calendar[[#This Row],[WeekDay]]=1, calendar[[#This Row],[WeekDay]]=7),P521,P521+1)</f>
        <v>372</v>
      </c>
      <c r="Q522">
        <f>IF(OR(calendar[[#This Row],[FR_BH]]=1,calendar[[#This Row],[WeekDay]]=1, calendar[[#This Row],[WeekDay]]=7),P521,P521+1)</f>
        <v>372</v>
      </c>
      <c r="R522">
        <f>IF(OR(calendar[[#This Row],[SP_BH]]=1,calendar[[#This Row],[WeekDay]]=1, calendar[[#This Row],[WeekDay]]=7),P521,P521+1)</f>
        <v>372</v>
      </c>
      <c r="S522">
        <f>IF(OR(calendar[[#This Row],[PT_BH]]=1,calendar[[#This Row],[WeekDay]]=1, calendar[[#This Row],[WeekDay]]=7),P521,P521+1)</f>
        <v>372</v>
      </c>
    </row>
    <row r="523" spans="1:19" x14ac:dyDescent="0.25">
      <c r="A523" s="2">
        <v>43257</v>
      </c>
      <c r="B523" s="1">
        <f t="shared" si="43"/>
        <v>23</v>
      </c>
      <c r="C523">
        <f t="shared" si="40"/>
        <v>6</v>
      </c>
      <c r="D523" t="str">
        <f t="shared" si="41"/>
        <v>June</v>
      </c>
      <c r="E523">
        <f t="shared" si="42"/>
        <v>2018</v>
      </c>
      <c r="F523" t="str">
        <f>CONCATENATE(calendar[[#This Row],[Month]],"/",calendar[[#This Row],[Year]])</f>
        <v>6/2018</v>
      </c>
      <c r="G523">
        <f>WEEKDAY(calendar[[#This Row],[Date]],1)</f>
        <v>4</v>
      </c>
      <c r="H523" t="str">
        <f>TEXT(calendar[[#This Row],[WeekDay]],"dddd")</f>
        <v>Wednesday</v>
      </c>
      <c r="I523">
        <f>IF((INT(calendar[[#This Row],[Count]]/7)-calendar[[#This Row],[Count]]/7)&lt;0,I522,I522+1)</f>
        <v>75</v>
      </c>
      <c r="J523">
        <f t="shared" si="44"/>
        <v>521</v>
      </c>
      <c r="K523">
        <f>IF(calendar[[#This Row],[Month]]&lt;4,1,IF(calendar[[#This Row],[Month]]&lt;7,2,IF(calendar[[#This Row],[Month]]&lt;10,3,4)))</f>
        <v>2</v>
      </c>
      <c r="L523">
        <f>IFERROR(IF(VLOOKUP(calendar[[#This Row],[Date]],BH!A:A,1,)&lt;&gt;"",1,0),0)</f>
        <v>0</v>
      </c>
      <c r="M523">
        <f>IFERROR(IF(VLOOKUP(calendar[[#This Row],[Date]],BH!C:C,1,)&lt;&gt;"",1,0),0)</f>
        <v>0</v>
      </c>
      <c r="N523">
        <f>IFERROR(IF(VLOOKUP(calendar[[#This Row],[Date]],BH!E:E,1,)&lt;&gt;"",1,0),0)</f>
        <v>0</v>
      </c>
      <c r="O523">
        <f>IFERROR(IF(VLOOKUP(calendar[[#This Row],[Date]],BH!G:G,1,)&lt;&gt;"",1,0),0)</f>
        <v>0</v>
      </c>
      <c r="P523">
        <f>IF(OR(calendar[[#This Row],[UK_BH]]=1,calendar[[#This Row],[WeekDay]]=1, calendar[[#This Row],[WeekDay]]=7),P522,P522+1)</f>
        <v>373</v>
      </c>
      <c r="Q523">
        <f>IF(OR(calendar[[#This Row],[FR_BH]]=1,calendar[[#This Row],[WeekDay]]=1, calendar[[#This Row],[WeekDay]]=7),P522,P522+1)</f>
        <v>373</v>
      </c>
      <c r="R523">
        <f>IF(OR(calendar[[#This Row],[SP_BH]]=1,calendar[[#This Row],[WeekDay]]=1, calendar[[#This Row],[WeekDay]]=7),P522,P522+1)</f>
        <v>373</v>
      </c>
      <c r="S523">
        <f>IF(OR(calendar[[#This Row],[PT_BH]]=1,calendar[[#This Row],[WeekDay]]=1, calendar[[#This Row],[WeekDay]]=7),P522,P522+1)</f>
        <v>373</v>
      </c>
    </row>
    <row r="524" spans="1:19" x14ac:dyDescent="0.25">
      <c r="A524" s="2">
        <v>43258</v>
      </c>
      <c r="B524" s="1">
        <f t="shared" si="43"/>
        <v>23</v>
      </c>
      <c r="C524">
        <f t="shared" si="40"/>
        <v>6</v>
      </c>
      <c r="D524" t="str">
        <f t="shared" si="41"/>
        <v>June</v>
      </c>
      <c r="E524">
        <f t="shared" si="42"/>
        <v>2018</v>
      </c>
      <c r="F524" t="str">
        <f>CONCATENATE(calendar[[#This Row],[Month]],"/",calendar[[#This Row],[Year]])</f>
        <v>6/2018</v>
      </c>
      <c r="G524">
        <f>WEEKDAY(calendar[[#This Row],[Date]],1)</f>
        <v>5</v>
      </c>
      <c r="H524" t="str">
        <f>TEXT(calendar[[#This Row],[WeekDay]],"dddd")</f>
        <v>Thursday</v>
      </c>
      <c r="I524">
        <f>IF((INT(calendar[[#This Row],[Count]]/7)-calendar[[#This Row],[Count]]/7)&lt;0,I523,I523+1)</f>
        <v>75</v>
      </c>
      <c r="J524">
        <f t="shared" si="44"/>
        <v>522</v>
      </c>
      <c r="K524">
        <f>IF(calendar[[#This Row],[Month]]&lt;4,1,IF(calendar[[#This Row],[Month]]&lt;7,2,IF(calendar[[#This Row],[Month]]&lt;10,3,4)))</f>
        <v>2</v>
      </c>
      <c r="L524">
        <f>IFERROR(IF(VLOOKUP(calendar[[#This Row],[Date]],BH!A:A,1,)&lt;&gt;"",1,0),0)</f>
        <v>0</v>
      </c>
      <c r="M524">
        <f>IFERROR(IF(VLOOKUP(calendar[[#This Row],[Date]],BH!C:C,1,)&lt;&gt;"",1,0),0)</f>
        <v>0</v>
      </c>
      <c r="N524">
        <f>IFERROR(IF(VLOOKUP(calendar[[#This Row],[Date]],BH!E:E,1,)&lt;&gt;"",1,0),0)</f>
        <v>0</v>
      </c>
      <c r="O524">
        <f>IFERROR(IF(VLOOKUP(calendar[[#This Row],[Date]],BH!G:G,1,)&lt;&gt;"",1,0),0)</f>
        <v>0</v>
      </c>
      <c r="P524">
        <f>IF(OR(calendar[[#This Row],[UK_BH]]=1,calendar[[#This Row],[WeekDay]]=1, calendar[[#This Row],[WeekDay]]=7),P523,P523+1)</f>
        <v>374</v>
      </c>
      <c r="Q524">
        <f>IF(OR(calendar[[#This Row],[FR_BH]]=1,calendar[[#This Row],[WeekDay]]=1, calendar[[#This Row],[WeekDay]]=7),P523,P523+1)</f>
        <v>374</v>
      </c>
      <c r="R524">
        <f>IF(OR(calendar[[#This Row],[SP_BH]]=1,calendar[[#This Row],[WeekDay]]=1, calendar[[#This Row],[WeekDay]]=7),P523,P523+1)</f>
        <v>374</v>
      </c>
      <c r="S524">
        <f>IF(OR(calendar[[#This Row],[PT_BH]]=1,calendar[[#This Row],[WeekDay]]=1, calendar[[#This Row],[WeekDay]]=7),P523,P523+1)</f>
        <v>374</v>
      </c>
    </row>
    <row r="525" spans="1:19" x14ac:dyDescent="0.25">
      <c r="A525" s="2">
        <v>43259</v>
      </c>
      <c r="B525" s="1">
        <f t="shared" si="43"/>
        <v>23</v>
      </c>
      <c r="C525">
        <f t="shared" si="40"/>
        <v>6</v>
      </c>
      <c r="D525" t="str">
        <f t="shared" si="41"/>
        <v>June</v>
      </c>
      <c r="E525">
        <f t="shared" si="42"/>
        <v>2018</v>
      </c>
      <c r="F525" t="str">
        <f>CONCATENATE(calendar[[#This Row],[Month]],"/",calendar[[#This Row],[Year]])</f>
        <v>6/2018</v>
      </c>
      <c r="G525">
        <f>WEEKDAY(calendar[[#This Row],[Date]],1)</f>
        <v>6</v>
      </c>
      <c r="H525" t="str">
        <f>TEXT(calendar[[#This Row],[WeekDay]],"dddd")</f>
        <v>Friday</v>
      </c>
      <c r="I525">
        <f>IF((INT(calendar[[#This Row],[Count]]/7)-calendar[[#This Row],[Count]]/7)&lt;0,I524,I524+1)</f>
        <v>75</v>
      </c>
      <c r="J525">
        <f t="shared" si="44"/>
        <v>523</v>
      </c>
      <c r="K525">
        <f>IF(calendar[[#This Row],[Month]]&lt;4,1,IF(calendar[[#This Row],[Month]]&lt;7,2,IF(calendar[[#This Row],[Month]]&lt;10,3,4)))</f>
        <v>2</v>
      </c>
      <c r="L525">
        <f>IFERROR(IF(VLOOKUP(calendar[[#This Row],[Date]],BH!A:A,1,)&lt;&gt;"",1,0),0)</f>
        <v>0</v>
      </c>
      <c r="M525">
        <f>IFERROR(IF(VLOOKUP(calendar[[#This Row],[Date]],BH!C:C,1,)&lt;&gt;"",1,0),0)</f>
        <v>0</v>
      </c>
      <c r="N525">
        <f>IFERROR(IF(VLOOKUP(calendar[[#This Row],[Date]],BH!E:E,1,)&lt;&gt;"",1,0),0)</f>
        <v>0</v>
      </c>
      <c r="O525">
        <f>IFERROR(IF(VLOOKUP(calendar[[#This Row],[Date]],BH!G:G,1,)&lt;&gt;"",1,0),0)</f>
        <v>0</v>
      </c>
      <c r="P525">
        <f>IF(OR(calendar[[#This Row],[UK_BH]]=1,calendar[[#This Row],[WeekDay]]=1, calendar[[#This Row],[WeekDay]]=7),P524,P524+1)</f>
        <v>375</v>
      </c>
      <c r="Q525">
        <f>IF(OR(calendar[[#This Row],[FR_BH]]=1,calendar[[#This Row],[WeekDay]]=1, calendar[[#This Row],[WeekDay]]=7),P524,P524+1)</f>
        <v>375</v>
      </c>
      <c r="R525">
        <f>IF(OR(calendar[[#This Row],[SP_BH]]=1,calendar[[#This Row],[WeekDay]]=1, calendar[[#This Row],[WeekDay]]=7),P524,P524+1)</f>
        <v>375</v>
      </c>
      <c r="S525">
        <f>IF(OR(calendar[[#This Row],[PT_BH]]=1,calendar[[#This Row],[WeekDay]]=1, calendar[[#This Row],[WeekDay]]=7),P524,P524+1)</f>
        <v>375</v>
      </c>
    </row>
    <row r="526" spans="1:19" x14ac:dyDescent="0.25">
      <c r="A526" s="2">
        <v>43260</v>
      </c>
      <c r="B526" s="1">
        <f t="shared" si="43"/>
        <v>23</v>
      </c>
      <c r="C526">
        <f t="shared" si="40"/>
        <v>6</v>
      </c>
      <c r="D526" t="str">
        <f t="shared" si="41"/>
        <v>June</v>
      </c>
      <c r="E526">
        <f t="shared" si="42"/>
        <v>2018</v>
      </c>
      <c r="F526" t="str">
        <f>CONCATENATE(calendar[[#This Row],[Month]],"/",calendar[[#This Row],[Year]])</f>
        <v>6/2018</v>
      </c>
      <c r="G526">
        <f>WEEKDAY(calendar[[#This Row],[Date]],1)</f>
        <v>7</v>
      </c>
      <c r="H526" t="str">
        <f>TEXT(calendar[[#This Row],[WeekDay]],"dddd")</f>
        <v>Saturday</v>
      </c>
      <c r="I526">
        <f>IF((INT(calendar[[#This Row],[Count]]/7)-calendar[[#This Row],[Count]]/7)&lt;0,I525,I525+1)</f>
        <v>75</v>
      </c>
      <c r="J526">
        <f t="shared" si="44"/>
        <v>524</v>
      </c>
      <c r="K526">
        <f>IF(calendar[[#This Row],[Month]]&lt;4,1,IF(calendar[[#This Row],[Month]]&lt;7,2,IF(calendar[[#This Row],[Month]]&lt;10,3,4)))</f>
        <v>2</v>
      </c>
      <c r="L526">
        <f>IFERROR(IF(VLOOKUP(calendar[[#This Row],[Date]],BH!A:A,1,)&lt;&gt;"",1,0),0)</f>
        <v>0</v>
      </c>
      <c r="M526">
        <f>IFERROR(IF(VLOOKUP(calendar[[#This Row],[Date]],BH!C:C,1,)&lt;&gt;"",1,0),0)</f>
        <v>0</v>
      </c>
      <c r="N526">
        <f>IFERROR(IF(VLOOKUP(calendar[[#This Row],[Date]],BH!E:E,1,)&lt;&gt;"",1,0),0)</f>
        <v>0</v>
      </c>
      <c r="O526">
        <f>IFERROR(IF(VLOOKUP(calendar[[#This Row],[Date]],BH!G:G,1,)&lt;&gt;"",1,0),0)</f>
        <v>0</v>
      </c>
      <c r="P526">
        <f>IF(OR(calendar[[#This Row],[UK_BH]]=1,calendar[[#This Row],[WeekDay]]=1, calendar[[#This Row],[WeekDay]]=7),P525,P525+1)</f>
        <v>375</v>
      </c>
      <c r="Q526">
        <f>IF(OR(calendar[[#This Row],[FR_BH]]=1,calendar[[#This Row],[WeekDay]]=1, calendar[[#This Row],[WeekDay]]=7),P525,P525+1)</f>
        <v>375</v>
      </c>
      <c r="R526">
        <f>IF(OR(calendar[[#This Row],[SP_BH]]=1,calendar[[#This Row],[WeekDay]]=1, calendar[[#This Row],[WeekDay]]=7),P525,P525+1)</f>
        <v>375</v>
      </c>
      <c r="S526">
        <f>IF(OR(calendar[[#This Row],[PT_BH]]=1,calendar[[#This Row],[WeekDay]]=1, calendar[[#This Row],[WeekDay]]=7),P525,P525+1)</f>
        <v>375</v>
      </c>
    </row>
    <row r="527" spans="1:19" x14ac:dyDescent="0.25">
      <c r="A527" s="2">
        <v>43261</v>
      </c>
      <c r="B527" s="1">
        <f t="shared" si="43"/>
        <v>24</v>
      </c>
      <c r="C527">
        <f t="shared" si="40"/>
        <v>6</v>
      </c>
      <c r="D527" t="str">
        <f t="shared" si="41"/>
        <v>June</v>
      </c>
      <c r="E527">
        <f t="shared" si="42"/>
        <v>2018</v>
      </c>
      <c r="F527" t="str">
        <f>CONCATENATE(calendar[[#This Row],[Month]],"/",calendar[[#This Row],[Year]])</f>
        <v>6/2018</v>
      </c>
      <c r="G527">
        <f>WEEKDAY(calendar[[#This Row],[Date]],1)</f>
        <v>1</v>
      </c>
      <c r="H527" t="str">
        <f>TEXT(calendar[[#This Row],[WeekDay]],"dddd")</f>
        <v>Sunday</v>
      </c>
      <c r="I527">
        <f>IF((INT(calendar[[#This Row],[Count]]/7)-calendar[[#This Row],[Count]]/7)&lt;0,I526,I526+1)</f>
        <v>76</v>
      </c>
      <c r="J527">
        <f t="shared" si="44"/>
        <v>525</v>
      </c>
      <c r="K527">
        <f>IF(calendar[[#This Row],[Month]]&lt;4,1,IF(calendar[[#This Row],[Month]]&lt;7,2,IF(calendar[[#This Row],[Month]]&lt;10,3,4)))</f>
        <v>2</v>
      </c>
      <c r="L527">
        <f>IFERROR(IF(VLOOKUP(calendar[[#This Row],[Date]],BH!A:A,1,)&lt;&gt;"",1,0),0)</f>
        <v>0</v>
      </c>
      <c r="M527">
        <f>IFERROR(IF(VLOOKUP(calendar[[#This Row],[Date]],BH!C:C,1,)&lt;&gt;"",1,0),0)</f>
        <v>0</v>
      </c>
      <c r="N527">
        <f>IFERROR(IF(VLOOKUP(calendar[[#This Row],[Date]],BH!E:E,1,)&lt;&gt;"",1,0),0)</f>
        <v>0</v>
      </c>
      <c r="O527">
        <f>IFERROR(IF(VLOOKUP(calendar[[#This Row],[Date]],BH!G:G,1,)&lt;&gt;"",1,0),0)</f>
        <v>0</v>
      </c>
      <c r="P527">
        <f>IF(OR(calendar[[#This Row],[UK_BH]]=1,calendar[[#This Row],[WeekDay]]=1, calendar[[#This Row],[WeekDay]]=7),P526,P526+1)</f>
        <v>375</v>
      </c>
      <c r="Q527">
        <f>IF(OR(calendar[[#This Row],[FR_BH]]=1,calendar[[#This Row],[WeekDay]]=1, calendar[[#This Row],[WeekDay]]=7),P526,P526+1)</f>
        <v>375</v>
      </c>
      <c r="R527">
        <f>IF(OR(calendar[[#This Row],[SP_BH]]=1,calendar[[#This Row],[WeekDay]]=1, calendar[[#This Row],[WeekDay]]=7),P526,P526+1)</f>
        <v>375</v>
      </c>
      <c r="S527">
        <f>IF(OR(calendar[[#This Row],[PT_BH]]=1,calendar[[#This Row],[WeekDay]]=1, calendar[[#This Row],[WeekDay]]=7),P526,P526+1)</f>
        <v>375</v>
      </c>
    </row>
    <row r="528" spans="1:19" x14ac:dyDescent="0.25">
      <c r="A528" s="2">
        <v>43262</v>
      </c>
      <c r="B528" s="1">
        <f t="shared" si="43"/>
        <v>24</v>
      </c>
      <c r="C528">
        <f t="shared" ref="C528:C591" si="45">MONTH(A528)</f>
        <v>6</v>
      </c>
      <c r="D528" t="str">
        <f t="shared" ref="D528:D591" si="46">TEXT(A528,"mmmm")</f>
        <v>June</v>
      </c>
      <c r="E528">
        <f t="shared" ref="E528:E591" si="47">YEAR(A528)</f>
        <v>2018</v>
      </c>
      <c r="F528" t="str">
        <f>CONCATENATE(calendar[[#This Row],[Month]],"/",calendar[[#This Row],[Year]])</f>
        <v>6/2018</v>
      </c>
      <c r="G528">
        <f>WEEKDAY(calendar[[#This Row],[Date]],1)</f>
        <v>2</v>
      </c>
      <c r="H528" t="str">
        <f>TEXT(calendar[[#This Row],[WeekDay]],"dddd")</f>
        <v>Monday</v>
      </c>
      <c r="I528">
        <f>IF((INT(calendar[[#This Row],[Count]]/7)-calendar[[#This Row],[Count]]/7)&lt;0,I527,I527+1)</f>
        <v>76</v>
      </c>
      <c r="J528">
        <f t="shared" si="44"/>
        <v>526</v>
      </c>
      <c r="K528">
        <f>IF(calendar[[#This Row],[Month]]&lt;4,1,IF(calendar[[#This Row],[Month]]&lt;7,2,IF(calendar[[#This Row],[Month]]&lt;10,3,4)))</f>
        <v>2</v>
      </c>
      <c r="L528">
        <f>IFERROR(IF(VLOOKUP(calendar[[#This Row],[Date]],BH!A:A,1,)&lt;&gt;"",1,0),0)</f>
        <v>0</v>
      </c>
      <c r="M528">
        <f>IFERROR(IF(VLOOKUP(calendar[[#This Row],[Date]],BH!C:C,1,)&lt;&gt;"",1,0),0)</f>
        <v>0</v>
      </c>
      <c r="N528">
        <f>IFERROR(IF(VLOOKUP(calendar[[#This Row],[Date]],BH!E:E,1,)&lt;&gt;"",1,0),0)</f>
        <v>0</v>
      </c>
      <c r="O528">
        <f>IFERROR(IF(VLOOKUP(calendar[[#This Row],[Date]],BH!G:G,1,)&lt;&gt;"",1,0),0)</f>
        <v>0</v>
      </c>
      <c r="P528">
        <f>IF(OR(calendar[[#This Row],[UK_BH]]=1,calendar[[#This Row],[WeekDay]]=1, calendar[[#This Row],[WeekDay]]=7),P527,P527+1)</f>
        <v>376</v>
      </c>
      <c r="Q528">
        <f>IF(OR(calendar[[#This Row],[FR_BH]]=1,calendar[[#This Row],[WeekDay]]=1, calendar[[#This Row],[WeekDay]]=7),P527,P527+1)</f>
        <v>376</v>
      </c>
      <c r="R528">
        <f>IF(OR(calendar[[#This Row],[SP_BH]]=1,calendar[[#This Row],[WeekDay]]=1, calendar[[#This Row],[WeekDay]]=7),P527,P527+1)</f>
        <v>376</v>
      </c>
      <c r="S528">
        <f>IF(OR(calendar[[#This Row],[PT_BH]]=1,calendar[[#This Row],[WeekDay]]=1, calendar[[#This Row],[WeekDay]]=7),P527,P527+1)</f>
        <v>376</v>
      </c>
    </row>
    <row r="529" spans="1:19" x14ac:dyDescent="0.25">
      <c r="A529" s="2">
        <v>43263</v>
      </c>
      <c r="B529" s="1">
        <f t="shared" si="43"/>
        <v>24</v>
      </c>
      <c r="C529">
        <f t="shared" si="45"/>
        <v>6</v>
      </c>
      <c r="D529" t="str">
        <f t="shared" si="46"/>
        <v>June</v>
      </c>
      <c r="E529">
        <f t="shared" si="47"/>
        <v>2018</v>
      </c>
      <c r="F529" t="str">
        <f>CONCATENATE(calendar[[#This Row],[Month]],"/",calendar[[#This Row],[Year]])</f>
        <v>6/2018</v>
      </c>
      <c r="G529">
        <f>WEEKDAY(calendar[[#This Row],[Date]],1)</f>
        <v>3</v>
      </c>
      <c r="H529" t="str">
        <f>TEXT(calendar[[#This Row],[WeekDay]],"dddd")</f>
        <v>Tuesday</v>
      </c>
      <c r="I529">
        <f>IF((INT(calendar[[#This Row],[Count]]/7)-calendar[[#This Row],[Count]]/7)&lt;0,I528,I528+1)</f>
        <v>76</v>
      </c>
      <c r="J529">
        <f t="shared" si="44"/>
        <v>527</v>
      </c>
      <c r="K529">
        <f>IF(calendar[[#This Row],[Month]]&lt;4,1,IF(calendar[[#This Row],[Month]]&lt;7,2,IF(calendar[[#This Row],[Month]]&lt;10,3,4)))</f>
        <v>2</v>
      </c>
      <c r="L529">
        <f>IFERROR(IF(VLOOKUP(calendar[[#This Row],[Date]],BH!A:A,1,)&lt;&gt;"",1,0),0)</f>
        <v>0</v>
      </c>
      <c r="M529">
        <f>IFERROR(IF(VLOOKUP(calendar[[#This Row],[Date]],BH!C:C,1,)&lt;&gt;"",1,0),0)</f>
        <v>0</v>
      </c>
      <c r="N529">
        <f>IFERROR(IF(VLOOKUP(calendar[[#This Row],[Date]],BH!E:E,1,)&lt;&gt;"",1,0),0)</f>
        <v>0</v>
      </c>
      <c r="O529">
        <f>IFERROR(IF(VLOOKUP(calendar[[#This Row],[Date]],BH!G:G,1,)&lt;&gt;"",1,0),0)</f>
        <v>0</v>
      </c>
      <c r="P529">
        <f>IF(OR(calendar[[#This Row],[UK_BH]]=1,calendar[[#This Row],[WeekDay]]=1, calendar[[#This Row],[WeekDay]]=7),P528,P528+1)</f>
        <v>377</v>
      </c>
      <c r="Q529">
        <f>IF(OR(calendar[[#This Row],[FR_BH]]=1,calendar[[#This Row],[WeekDay]]=1, calendar[[#This Row],[WeekDay]]=7),P528,P528+1)</f>
        <v>377</v>
      </c>
      <c r="R529">
        <f>IF(OR(calendar[[#This Row],[SP_BH]]=1,calendar[[#This Row],[WeekDay]]=1, calendar[[#This Row],[WeekDay]]=7),P528,P528+1)</f>
        <v>377</v>
      </c>
      <c r="S529">
        <f>IF(OR(calendar[[#This Row],[PT_BH]]=1,calendar[[#This Row],[WeekDay]]=1, calendar[[#This Row],[WeekDay]]=7),P528,P528+1)</f>
        <v>377</v>
      </c>
    </row>
    <row r="530" spans="1:19" x14ac:dyDescent="0.25">
      <c r="A530" s="2">
        <v>43264</v>
      </c>
      <c r="B530" s="1">
        <f t="shared" si="43"/>
        <v>24</v>
      </c>
      <c r="C530">
        <f t="shared" si="45"/>
        <v>6</v>
      </c>
      <c r="D530" t="str">
        <f t="shared" si="46"/>
        <v>June</v>
      </c>
      <c r="E530">
        <f t="shared" si="47"/>
        <v>2018</v>
      </c>
      <c r="F530" t="str">
        <f>CONCATENATE(calendar[[#This Row],[Month]],"/",calendar[[#This Row],[Year]])</f>
        <v>6/2018</v>
      </c>
      <c r="G530">
        <f>WEEKDAY(calendar[[#This Row],[Date]],1)</f>
        <v>4</v>
      </c>
      <c r="H530" t="str">
        <f>TEXT(calendar[[#This Row],[WeekDay]],"dddd")</f>
        <v>Wednesday</v>
      </c>
      <c r="I530">
        <f>IF((INT(calendar[[#This Row],[Count]]/7)-calendar[[#This Row],[Count]]/7)&lt;0,I529,I529+1)</f>
        <v>76</v>
      </c>
      <c r="J530">
        <f t="shared" si="44"/>
        <v>528</v>
      </c>
      <c r="K530">
        <f>IF(calendar[[#This Row],[Month]]&lt;4,1,IF(calendar[[#This Row],[Month]]&lt;7,2,IF(calendar[[#This Row],[Month]]&lt;10,3,4)))</f>
        <v>2</v>
      </c>
      <c r="L530">
        <f>IFERROR(IF(VLOOKUP(calendar[[#This Row],[Date]],BH!A:A,1,)&lt;&gt;"",1,0),0)</f>
        <v>0</v>
      </c>
      <c r="M530">
        <f>IFERROR(IF(VLOOKUP(calendar[[#This Row],[Date]],BH!C:C,1,)&lt;&gt;"",1,0),0)</f>
        <v>0</v>
      </c>
      <c r="N530">
        <f>IFERROR(IF(VLOOKUP(calendar[[#This Row],[Date]],BH!E:E,1,)&lt;&gt;"",1,0),0)</f>
        <v>0</v>
      </c>
      <c r="O530">
        <f>IFERROR(IF(VLOOKUP(calendar[[#This Row],[Date]],BH!G:G,1,)&lt;&gt;"",1,0),0)</f>
        <v>0</v>
      </c>
      <c r="P530">
        <f>IF(OR(calendar[[#This Row],[UK_BH]]=1,calendar[[#This Row],[WeekDay]]=1, calendar[[#This Row],[WeekDay]]=7),P529,P529+1)</f>
        <v>378</v>
      </c>
      <c r="Q530">
        <f>IF(OR(calendar[[#This Row],[FR_BH]]=1,calendar[[#This Row],[WeekDay]]=1, calendar[[#This Row],[WeekDay]]=7),P529,P529+1)</f>
        <v>378</v>
      </c>
      <c r="R530">
        <f>IF(OR(calendar[[#This Row],[SP_BH]]=1,calendar[[#This Row],[WeekDay]]=1, calendar[[#This Row],[WeekDay]]=7),P529,P529+1)</f>
        <v>378</v>
      </c>
      <c r="S530">
        <f>IF(OR(calendar[[#This Row],[PT_BH]]=1,calendar[[#This Row],[WeekDay]]=1, calendar[[#This Row],[WeekDay]]=7),P529,P529+1)</f>
        <v>378</v>
      </c>
    </row>
    <row r="531" spans="1:19" x14ac:dyDescent="0.25">
      <c r="A531" s="2">
        <v>43265</v>
      </c>
      <c r="B531" s="1">
        <f t="shared" si="43"/>
        <v>24</v>
      </c>
      <c r="C531">
        <f t="shared" si="45"/>
        <v>6</v>
      </c>
      <c r="D531" t="str">
        <f t="shared" si="46"/>
        <v>June</v>
      </c>
      <c r="E531">
        <f t="shared" si="47"/>
        <v>2018</v>
      </c>
      <c r="F531" t="str">
        <f>CONCATENATE(calendar[[#This Row],[Month]],"/",calendar[[#This Row],[Year]])</f>
        <v>6/2018</v>
      </c>
      <c r="G531">
        <f>WEEKDAY(calendar[[#This Row],[Date]],1)</f>
        <v>5</v>
      </c>
      <c r="H531" t="str">
        <f>TEXT(calendar[[#This Row],[WeekDay]],"dddd")</f>
        <v>Thursday</v>
      </c>
      <c r="I531">
        <f>IF((INT(calendar[[#This Row],[Count]]/7)-calendar[[#This Row],[Count]]/7)&lt;0,I530,I530+1)</f>
        <v>76</v>
      </c>
      <c r="J531">
        <f t="shared" si="44"/>
        <v>529</v>
      </c>
      <c r="K531">
        <f>IF(calendar[[#This Row],[Month]]&lt;4,1,IF(calendar[[#This Row],[Month]]&lt;7,2,IF(calendar[[#This Row],[Month]]&lt;10,3,4)))</f>
        <v>2</v>
      </c>
      <c r="L531">
        <f>IFERROR(IF(VLOOKUP(calendar[[#This Row],[Date]],BH!A:A,1,)&lt;&gt;"",1,0),0)</f>
        <v>0</v>
      </c>
      <c r="M531">
        <f>IFERROR(IF(VLOOKUP(calendar[[#This Row],[Date]],BH!C:C,1,)&lt;&gt;"",1,0),0)</f>
        <v>0</v>
      </c>
      <c r="N531">
        <f>IFERROR(IF(VLOOKUP(calendar[[#This Row],[Date]],BH!E:E,1,)&lt;&gt;"",1,0),0)</f>
        <v>0</v>
      </c>
      <c r="O531">
        <f>IFERROR(IF(VLOOKUP(calendar[[#This Row],[Date]],BH!G:G,1,)&lt;&gt;"",1,0),0)</f>
        <v>0</v>
      </c>
      <c r="P531">
        <f>IF(OR(calendar[[#This Row],[UK_BH]]=1,calendar[[#This Row],[WeekDay]]=1, calendar[[#This Row],[WeekDay]]=7),P530,P530+1)</f>
        <v>379</v>
      </c>
      <c r="Q531">
        <f>IF(OR(calendar[[#This Row],[FR_BH]]=1,calendar[[#This Row],[WeekDay]]=1, calendar[[#This Row],[WeekDay]]=7),P530,P530+1)</f>
        <v>379</v>
      </c>
      <c r="R531">
        <f>IF(OR(calendar[[#This Row],[SP_BH]]=1,calendar[[#This Row],[WeekDay]]=1, calendar[[#This Row],[WeekDay]]=7),P530,P530+1)</f>
        <v>379</v>
      </c>
      <c r="S531">
        <f>IF(OR(calendar[[#This Row],[PT_BH]]=1,calendar[[#This Row],[WeekDay]]=1, calendar[[#This Row],[WeekDay]]=7),P530,P530+1)</f>
        <v>379</v>
      </c>
    </row>
    <row r="532" spans="1:19" x14ac:dyDescent="0.25">
      <c r="A532" s="2">
        <v>43266</v>
      </c>
      <c r="B532" s="1">
        <f t="shared" si="43"/>
        <v>24</v>
      </c>
      <c r="C532">
        <f t="shared" si="45"/>
        <v>6</v>
      </c>
      <c r="D532" t="str">
        <f t="shared" si="46"/>
        <v>June</v>
      </c>
      <c r="E532">
        <f t="shared" si="47"/>
        <v>2018</v>
      </c>
      <c r="F532" t="str">
        <f>CONCATENATE(calendar[[#This Row],[Month]],"/",calendar[[#This Row],[Year]])</f>
        <v>6/2018</v>
      </c>
      <c r="G532">
        <f>WEEKDAY(calendar[[#This Row],[Date]],1)</f>
        <v>6</v>
      </c>
      <c r="H532" t="str">
        <f>TEXT(calendar[[#This Row],[WeekDay]],"dddd")</f>
        <v>Friday</v>
      </c>
      <c r="I532">
        <f>IF((INT(calendar[[#This Row],[Count]]/7)-calendar[[#This Row],[Count]]/7)&lt;0,I531,I531+1)</f>
        <v>76</v>
      </c>
      <c r="J532">
        <f t="shared" si="44"/>
        <v>530</v>
      </c>
      <c r="K532">
        <f>IF(calendar[[#This Row],[Month]]&lt;4,1,IF(calendar[[#This Row],[Month]]&lt;7,2,IF(calendar[[#This Row],[Month]]&lt;10,3,4)))</f>
        <v>2</v>
      </c>
      <c r="L532">
        <f>IFERROR(IF(VLOOKUP(calendar[[#This Row],[Date]],BH!A:A,1,)&lt;&gt;"",1,0),0)</f>
        <v>0</v>
      </c>
      <c r="M532">
        <f>IFERROR(IF(VLOOKUP(calendar[[#This Row],[Date]],BH!C:C,1,)&lt;&gt;"",1,0),0)</f>
        <v>0</v>
      </c>
      <c r="N532">
        <f>IFERROR(IF(VLOOKUP(calendar[[#This Row],[Date]],BH!E:E,1,)&lt;&gt;"",1,0),0)</f>
        <v>0</v>
      </c>
      <c r="O532">
        <f>IFERROR(IF(VLOOKUP(calendar[[#This Row],[Date]],BH!G:G,1,)&lt;&gt;"",1,0),0)</f>
        <v>0</v>
      </c>
      <c r="P532">
        <f>IF(OR(calendar[[#This Row],[UK_BH]]=1,calendar[[#This Row],[WeekDay]]=1, calendar[[#This Row],[WeekDay]]=7),P531,P531+1)</f>
        <v>380</v>
      </c>
      <c r="Q532">
        <f>IF(OR(calendar[[#This Row],[FR_BH]]=1,calendar[[#This Row],[WeekDay]]=1, calendar[[#This Row],[WeekDay]]=7),P531,P531+1)</f>
        <v>380</v>
      </c>
      <c r="R532">
        <f>IF(OR(calendar[[#This Row],[SP_BH]]=1,calendar[[#This Row],[WeekDay]]=1, calendar[[#This Row],[WeekDay]]=7),P531,P531+1)</f>
        <v>380</v>
      </c>
      <c r="S532">
        <f>IF(OR(calendar[[#This Row],[PT_BH]]=1,calendar[[#This Row],[WeekDay]]=1, calendar[[#This Row],[WeekDay]]=7),P531,P531+1)</f>
        <v>380</v>
      </c>
    </row>
    <row r="533" spans="1:19" x14ac:dyDescent="0.25">
      <c r="A533" s="2">
        <v>43267</v>
      </c>
      <c r="B533" s="1">
        <f t="shared" si="43"/>
        <v>24</v>
      </c>
      <c r="C533">
        <f t="shared" si="45"/>
        <v>6</v>
      </c>
      <c r="D533" t="str">
        <f t="shared" si="46"/>
        <v>June</v>
      </c>
      <c r="E533">
        <f t="shared" si="47"/>
        <v>2018</v>
      </c>
      <c r="F533" t="str">
        <f>CONCATENATE(calendar[[#This Row],[Month]],"/",calendar[[#This Row],[Year]])</f>
        <v>6/2018</v>
      </c>
      <c r="G533">
        <f>WEEKDAY(calendar[[#This Row],[Date]],1)</f>
        <v>7</v>
      </c>
      <c r="H533" t="str">
        <f>TEXT(calendar[[#This Row],[WeekDay]],"dddd")</f>
        <v>Saturday</v>
      </c>
      <c r="I533">
        <f>IF((INT(calendar[[#This Row],[Count]]/7)-calendar[[#This Row],[Count]]/7)&lt;0,I532,I532+1)</f>
        <v>76</v>
      </c>
      <c r="J533">
        <f t="shared" si="44"/>
        <v>531</v>
      </c>
      <c r="K533">
        <f>IF(calendar[[#This Row],[Month]]&lt;4,1,IF(calendar[[#This Row],[Month]]&lt;7,2,IF(calendar[[#This Row],[Month]]&lt;10,3,4)))</f>
        <v>2</v>
      </c>
      <c r="L533">
        <f>IFERROR(IF(VLOOKUP(calendar[[#This Row],[Date]],BH!A:A,1,)&lt;&gt;"",1,0),0)</f>
        <v>0</v>
      </c>
      <c r="M533">
        <f>IFERROR(IF(VLOOKUP(calendar[[#This Row],[Date]],BH!C:C,1,)&lt;&gt;"",1,0),0)</f>
        <v>0</v>
      </c>
      <c r="N533">
        <f>IFERROR(IF(VLOOKUP(calendar[[#This Row],[Date]],BH!E:E,1,)&lt;&gt;"",1,0),0)</f>
        <v>0</v>
      </c>
      <c r="O533">
        <f>IFERROR(IF(VLOOKUP(calendar[[#This Row],[Date]],BH!G:G,1,)&lt;&gt;"",1,0),0)</f>
        <v>0</v>
      </c>
      <c r="P533">
        <f>IF(OR(calendar[[#This Row],[UK_BH]]=1,calendar[[#This Row],[WeekDay]]=1, calendar[[#This Row],[WeekDay]]=7),P532,P532+1)</f>
        <v>380</v>
      </c>
      <c r="Q533">
        <f>IF(OR(calendar[[#This Row],[FR_BH]]=1,calendar[[#This Row],[WeekDay]]=1, calendar[[#This Row],[WeekDay]]=7),P532,P532+1)</f>
        <v>380</v>
      </c>
      <c r="R533">
        <f>IF(OR(calendar[[#This Row],[SP_BH]]=1,calendar[[#This Row],[WeekDay]]=1, calendar[[#This Row],[WeekDay]]=7),P532,P532+1)</f>
        <v>380</v>
      </c>
      <c r="S533">
        <f>IF(OR(calendar[[#This Row],[PT_BH]]=1,calendar[[#This Row],[WeekDay]]=1, calendar[[#This Row],[WeekDay]]=7),P532,P532+1)</f>
        <v>380</v>
      </c>
    </row>
    <row r="534" spans="1:19" x14ac:dyDescent="0.25">
      <c r="A534" s="2">
        <v>43268</v>
      </c>
      <c r="B534" s="1">
        <f t="shared" si="43"/>
        <v>25</v>
      </c>
      <c r="C534">
        <f t="shared" si="45"/>
        <v>6</v>
      </c>
      <c r="D534" t="str">
        <f t="shared" si="46"/>
        <v>June</v>
      </c>
      <c r="E534">
        <f t="shared" si="47"/>
        <v>2018</v>
      </c>
      <c r="F534" t="str">
        <f>CONCATENATE(calendar[[#This Row],[Month]],"/",calendar[[#This Row],[Year]])</f>
        <v>6/2018</v>
      </c>
      <c r="G534">
        <f>WEEKDAY(calendar[[#This Row],[Date]],1)</f>
        <v>1</v>
      </c>
      <c r="H534" t="str">
        <f>TEXT(calendar[[#This Row],[WeekDay]],"dddd")</f>
        <v>Sunday</v>
      </c>
      <c r="I534">
        <f>IF((INT(calendar[[#This Row],[Count]]/7)-calendar[[#This Row],[Count]]/7)&lt;0,I533,I533+1)</f>
        <v>77</v>
      </c>
      <c r="J534">
        <f t="shared" si="44"/>
        <v>532</v>
      </c>
      <c r="K534">
        <f>IF(calendar[[#This Row],[Month]]&lt;4,1,IF(calendar[[#This Row],[Month]]&lt;7,2,IF(calendar[[#This Row],[Month]]&lt;10,3,4)))</f>
        <v>2</v>
      </c>
      <c r="L534">
        <f>IFERROR(IF(VLOOKUP(calendar[[#This Row],[Date]],BH!A:A,1,)&lt;&gt;"",1,0),0)</f>
        <v>0</v>
      </c>
      <c r="M534">
        <f>IFERROR(IF(VLOOKUP(calendar[[#This Row],[Date]],BH!C:C,1,)&lt;&gt;"",1,0),0)</f>
        <v>0</v>
      </c>
      <c r="N534">
        <f>IFERROR(IF(VLOOKUP(calendar[[#This Row],[Date]],BH!E:E,1,)&lt;&gt;"",1,0),0)</f>
        <v>0</v>
      </c>
      <c r="O534">
        <f>IFERROR(IF(VLOOKUP(calendar[[#This Row],[Date]],BH!G:G,1,)&lt;&gt;"",1,0),0)</f>
        <v>0</v>
      </c>
      <c r="P534">
        <f>IF(OR(calendar[[#This Row],[UK_BH]]=1,calendar[[#This Row],[WeekDay]]=1, calendar[[#This Row],[WeekDay]]=7),P533,P533+1)</f>
        <v>380</v>
      </c>
      <c r="Q534">
        <f>IF(OR(calendar[[#This Row],[FR_BH]]=1,calendar[[#This Row],[WeekDay]]=1, calendar[[#This Row],[WeekDay]]=7),P533,P533+1)</f>
        <v>380</v>
      </c>
      <c r="R534">
        <f>IF(OR(calendar[[#This Row],[SP_BH]]=1,calendar[[#This Row],[WeekDay]]=1, calendar[[#This Row],[WeekDay]]=7),P533,P533+1)</f>
        <v>380</v>
      </c>
      <c r="S534">
        <f>IF(OR(calendar[[#This Row],[PT_BH]]=1,calendar[[#This Row],[WeekDay]]=1, calendar[[#This Row],[WeekDay]]=7),P533,P533+1)</f>
        <v>380</v>
      </c>
    </row>
    <row r="535" spans="1:19" x14ac:dyDescent="0.25">
      <c r="A535" s="2">
        <v>43269</v>
      </c>
      <c r="B535" s="1">
        <f t="shared" si="43"/>
        <v>25</v>
      </c>
      <c r="C535">
        <f t="shared" si="45"/>
        <v>6</v>
      </c>
      <c r="D535" t="str">
        <f t="shared" si="46"/>
        <v>June</v>
      </c>
      <c r="E535">
        <f t="shared" si="47"/>
        <v>2018</v>
      </c>
      <c r="F535" t="str">
        <f>CONCATENATE(calendar[[#This Row],[Month]],"/",calendar[[#This Row],[Year]])</f>
        <v>6/2018</v>
      </c>
      <c r="G535">
        <f>WEEKDAY(calendar[[#This Row],[Date]],1)</f>
        <v>2</v>
      </c>
      <c r="H535" t="str">
        <f>TEXT(calendar[[#This Row],[WeekDay]],"dddd")</f>
        <v>Monday</v>
      </c>
      <c r="I535">
        <f>IF((INT(calendar[[#This Row],[Count]]/7)-calendar[[#This Row],[Count]]/7)&lt;0,I534,I534+1)</f>
        <v>77</v>
      </c>
      <c r="J535">
        <f t="shared" si="44"/>
        <v>533</v>
      </c>
      <c r="K535">
        <f>IF(calendar[[#This Row],[Month]]&lt;4,1,IF(calendar[[#This Row],[Month]]&lt;7,2,IF(calendar[[#This Row],[Month]]&lt;10,3,4)))</f>
        <v>2</v>
      </c>
      <c r="L535">
        <f>IFERROR(IF(VLOOKUP(calendar[[#This Row],[Date]],BH!A:A,1,)&lt;&gt;"",1,0),0)</f>
        <v>0</v>
      </c>
      <c r="M535">
        <f>IFERROR(IF(VLOOKUP(calendar[[#This Row],[Date]],BH!C:C,1,)&lt;&gt;"",1,0),0)</f>
        <v>0</v>
      </c>
      <c r="N535">
        <f>IFERROR(IF(VLOOKUP(calendar[[#This Row],[Date]],BH!E:E,1,)&lt;&gt;"",1,0),0)</f>
        <v>0</v>
      </c>
      <c r="O535">
        <f>IFERROR(IF(VLOOKUP(calendar[[#This Row],[Date]],BH!G:G,1,)&lt;&gt;"",1,0),0)</f>
        <v>0</v>
      </c>
      <c r="P535">
        <f>IF(OR(calendar[[#This Row],[UK_BH]]=1,calendar[[#This Row],[WeekDay]]=1, calendar[[#This Row],[WeekDay]]=7),P534,P534+1)</f>
        <v>381</v>
      </c>
      <c r="Q535">
        <f>IF(OR(calendar[[#This Row],[FR_BH]]=1,calendar[[#This Row],[WeekDay]]=1, calendar[[#This Row],[WeekDay]]=7),P534,P534+1)</f>
        <v>381</v>
      </c>
      <c r="R535">
        <f>IF(OR(calendar[[#This Row],[SP_BH]]=1,calendar[[#This Row],[WeekDay]]=1, calendar[[#This Row],[WeekDay]]=7),P534,P534+1)</f>
        <v>381</v>
      </c>
      <c r="S535">
        <f>IF(OR(calendar[[#This Row],[PT_BH]]=1,calendar[[#This Row],[WeekDay]]=1, calendar[[#This Row],[WeekDay]]=7),P534,P534+1)</f>
        <v>381</v>
      </c>
    </row>
    <row r="536" spans="1:19" x14ac:dyDescent="0.25">
      <c r="A536" s="2">
        <v>43270</v>
      </c>
      <c r="B536" s="1">
        <f t="shared" si="43"/>
        <v>25</v>
      </c>
      <c r="C536">
        <f t="shared" si="45"/>
        <v>6</v>
      </c>
      <c r="D536" t="str">
        <f t="shared" si="46"/>
        <v>June</v>
      </c>
      <c r="E536">
        <f t="shared" si="47"/>
        <v>2018</v>
      </c>
      <c r="F536" t="str">
        <f>CONCATENATE(calendar[[#This Row],[Month]],"/",calendar[[#This Row],[Year]])</f>
        <v>6/2018</v>
      </c>
      <c r="G536">
        <f>WEEKDAY(calendar[[#This Row],[Date]],1)</f>
        <v>3</v>
      </c>
      <c r="H536" t="str">
        <f>TEXT(calendar[[#This Row],[WeekDay]],"dddd")</f>
        <v>Tuesday</v>
      </c>
      <c r="I536">
        <f>IF((INT(calendar[[#This Row],[Count]]/7)-calendar[[#This Row],[Count]]/7)&lt;0,I535,I535+1)</f>
        <v>77</v>
      </c>
      <c r="J536">
        <f t="shared" si="44"/>
        <v>534</v>
      </c>
      <c r="K536">
        <f>IF(calendar[[#This Row],[Month]]&lt;4,1,IF(calendar[[#This Row],[Month]]&lt;7,2,IF(calendar[[#This Row],[Month]]&lt;10,3,4)))</f>
        <v>2</v>
      </c>
      <c r="L536">
        <f>IFERROR(IF(VLOOKUP(calendar[[#This Row],[Date]],BH!A:A,1,)&lt;&gt;"",1,0),0)</f>
        <v>0</v>
      </c>
      <c r="M536">
        <f>IFERROR(IF(VLOOKUP(calendar[[#This Row],[Date]],BH!C:C,1,)&lt;&gt;"",1,0),0)</f>
        <v>0</v>
      </c>
      <c r="N536">
        <f>IFERROR(IF(VLOOKUP(calendar[[#This Row],[Date]],BH!E:E,1,)&lt;&gt;"",1,0),0)</f>
        <v>0</v>
      </c>
      <c r="O536">
        <f>IFERROR(IF(VLOOKUP(calendar[[#This Row],[Date]],BH!G:G,1,)&lt;&gt;"",1,0),0)</f>
        <v>0</v>
      </c>
      <c r="P536">
        <f>IF(OR(calendar[[#This Row],[UK_BH]]=1,calendar[[#This Row],[WeekDay]]=1, calendar[[#This Row],[WeekDay]]=7),P535,P535+1)</f>
        <v>382</v>
      </c>
      <c r="Q536">
        <f>IF(OR(calendar[[#This Row],[FR_BH]]=1,calendar[[#This Row],[WeekDay]]=1, calendar[[#This Row],[WeekDay]]=7),P535,P535+1)</f>
        <v>382</v>
      </c>
      <c r="R536">
        <f>IF(OR(calendar[[#This Row],[SP_BH]]=1,calendar[[#This Row],[WeekDay]]=1, calendar[[#This Row],[WeekDay]]=7),P535,P535+1)</f>
        <v>382</v>
      </c>
      <c r="S536">
        <f>IF(OR(calendar[[#This Row],[PT_BH]]=1,calendar[[#This Row],[WeekDay]]=1, calendar[[#This Row],[WeekDay]]=7),P535,P535+1)</f>
        <v>382</v>
      </c>
    </row>
    <row r="537" spans="1:19" x14ac:dyDescent="0.25">
      <c r="A537" s="2">
        <v>43271</v>
      </c>
      <c r="B537" s="1">
        <f t="shared" si="43"/>
        <v>25</v>
      </c>
      <c r="C537">
        <f t="shared" si="45"/>
        <v>6</v>
      </c>
      <c r="D537" t="str">
        <f t="shared" si="46"/>
        <v>June</v>
      </c>
      <c r="E537">
        <f t="shared" si="47"/>
        <v>2018</v>
      </c>
      <c r="F537" t="str">
        <f>CONCATENATE(calendar[[#This Row],[Month]],"/",calendar[[#This Row],[Year]])</f>
        <v>6/2018</v>
      </c>
      <c r="G537">
        <f>WEEKDAY(calendar[[#This Row],[Date]],1)</f>
        <v>4</v>
      </c>
      <c r="H537" t="str">
        <f>TEXT(calendar[[#This Row],[WeekDay]],"dddd")</f>
        <v>Wednesday</v>
      </c>
      <c r="I537">
        <f>IF((INT(calendar[[#This Row],[Count]]/7)-calendar[[#This Row],[Count]]/7)&lt;0,I536,I536+1)</f>
        <v>77</v>
      </c>
      <c r="J537">
        <f t="shared" si="44"/>
        <v>535</v>
      </c>
      <c r="K537">
        <f>IF(calendar[[#This Row],[Month]]&lt;4,1,IF(calendar[[#This Row],[Month]]&lt;7,2,IF(calendar[[#This Row],[Month]]&lt;10,3,4)))</f>
        <v>2</v>
      </c>
      <c r="L537">
        <f>IFERROR(IF(VLOOKUP(calendar[[#This Row],[Date]],BH!A:A,1,)&lt;&gt;"",1,0),0)</f>
        <v>0</v>
      </c>
      <c r="M537">
        <f>IFERROR(IF(VLOOKUP(calendar[[#This Row],[Date]],BH!C:C,1,)&lt;&gt;"",1,0),0)</f>
        <v>0</v>
      </c>
      <c r="N537">
        <f>IFERROR(IF(VLOOKUP(calendar[[#This Row],[Date]],BH!E:E,1,)&lt;&gt;"",1,0),0)</f>
        <v>0</v>
      </c>
      <c r="O537">
        <f>IFERROR(IF(VLOOKUP(calendar[[#This Row],[Date]],BH!G:G,1,)&lt;&gt;"",1,0),0)</f>
        <v>0</v>
      </c>
      <c r="P537">
        <f>IF(OR(calendar[[#This Row],[UK_BH]]=1,calendar[[#This Row],[WeekDay]]=1, calendar[[#This Row],[WeekDay]]=7),P536,P536+1)</f>
        <v>383</v>
      </c>
      <c r="Q537">
        <f>IF(OR(calendar[[#This Row],[FR_BH]]=1,calendar[[#This Row],[WeekDay]]=1, calendar[[#This Row],[WeekDay]]=7),P536,P536+1)</f>
        <v>383</v>
      </c>
      <c r="R537">
        <f>IF(OR(calendar[[#This Row],[SP_BH]]=1,calendar[[#This Row],[WeekDay]]=1, calendar[[#This Row],[WeekDay]]=7),P536,P536+1)</f>
        <v>383</v>
      </c>
      <c r="S537">
        <f>IF(OR(calendar[[#This Row],[PT_BH]]=1,calendar[[#This Row],[WeekDay]]=1, calendar[[#This Row],[WeekDay]]=7),P536,P536+1)</f>
        <v>383</v>
      </c>
    </row>
    <row r="538" spans="1:19" x14ac:dyDescent="0.25">
      <c r="A538" s="2">
        <v>43272</v>
      </c>
      <c r="B538" s="1">
        <f t="shared" si="43"/>
        <v>25</v>
      </c>
      <c r="C538">
        <f t="shared" si="45"/>
        <v>6</v>
      </c>
      <c r="D538" t="str">
        <f t="shared" si="46"/>
        <v>June</v>
      </c>
      <c r="E538">
        <f t="shared" si="47"/>
        <v>2018</v>
      </c>
      <c r="F538" t="str">
        <f>CONCATENATE(calendar[[#This Row],[Month]],"/",calendar[[#This Row],[Year]])</f>
        <v>6/2018</v>
      </c>
      <c r="G538">
        <f>WEEKDAY(calendar[[#This Row],[Date]],1)</f>
        <v>5</v>
      </c>
      <c r="H538" t="str">
        <f>TEXT(calendar[[#This Row],[WeekDay]],"dddd")</f>
        <v>Thursday</v>
      </c>
      <c r="I538">
        <f>IF((INT(calendar[[#This Row],[Count]]/7)-calendar[[#This Row],[Count]]/7)&lt;0,I537,I537+1)</f>
        <v>77</v>
      </c>
      <c r="J538">
        <f t="shared" si="44"/>
        <v>536</v>
      </c>
      <c r="K538">
        <f>IF(calendar[[#This Row],[Month]]&lt;4,1,IF(calendar[[#This Row],[Month]]&lt;7,2,IF(calendar[[#This Row],[Month]]&lt;10,3,4)))</f>
        <v>2</v>
      </c>
      <c r="L538">
        <f>IFERROR(IF(VLOOKUP(calendar[[#This Row],[Date]],BH!A:A,1,)&lt;&gt;"",1,0),0)</f>
        <v>0</v>
      </c>
      <c r="M538">
        <f>IFERROR(IF(VLOOKUP(calendar[[#This Row],[Date]],BH!C:C,1,)&lt;&gt;"",1,0),0)</f>
        <v>0</v>
      </c>
      <c r="N538">
        <f>IFERROR(IF(VLOOKUP(calendar[[#This Row],[Date]],BH!E:E,1,)&lt;&gt;"",1,0),0)</f>
        <v>0</v>
      </c>
      <c r="O538">
        <f>IFERROR(IF(VLOOKUP(calendar[[#This Row],[Date]],BH!G:G,1,)&lt;&gt;"",1,0),0)</f>
        <v>0</v>
      </c>
      <c r="P538">
        <f>IF(OR(calendar[[#This Row],[UK_BH]]=1,calendar[[#This Row],[WeekDay]]=1, calendar[[#This Row],[WeekDay]]=7),P537,P537+1)</f>
        <v>384</v>
      </c>
      <c r="Q538">
        <f>IF(OR(calendar[[#This Row],[FR_BH]]=1,calendar[[#This Row],[WeekDay]]=1, calendar[[#This Row],[WeekDay]]=7),P537,P537+1)</f>
        <v>384</v>
      </c>
      <c r="R538">
        <f>IF(OR(calendar[[#This Row],[SP_BH]]=1,calendar[[#This Row],[WeekDay]]=1, calendar[[#This Row],[WeekDay]]=7),P537,P537+1)</f>
        <v>384</v>
      </c>
      <c r="S538">
        <f>IF(OR(calendar[[#This Row],[PT_BH]]=1,calendar[[#This Row],[WeekDay]]=1, calendar[[#This Row],[WeekDay]]=7),P537,P537+1)</f>
        <v>384</v>
      </c>
    </row>
    <row r="539" spans="1:19" x14ac:dyDescent="0.25">
      <c r="A539" s="2">
        <v>43273</v>
      </c>
      <c r="B539" s="1">
        <f t="shared" si="43"/>
        <v>25</v>
      </c>
      <c r="C539">
        <f t="shared" si="45"/>
        <v>6</v>
      </c>
      <c r="D539" t="str">
        <f t="shared" si="46"/>
        <v>June</v>
      </c>
      <c r="E539">
        <f t="shared" si="47"/>
        <v>2018</v>
      </c>
      <c r="F539" t="str">
        <f>CONCATENATE(calendar[[#This Row],[Month]],"/",calendar[[#This Row],[Year]])</f>
        <v>6/2018</v>
      </c>
      <c r="G539">
        <f>WEEKDAY(calendar[[#This Row],[Date]],1)</f>
        <v>6</v>
      </c>
      <c r="H539" t="str">
        <f>TEXT(calendar[[#This Row],[WeekDay]],"dddd")</f>
        <v>Friday</v>
      </c>
      <c r="I539">
        <f>IF((INT(calendar[[#This Row],[Count]]/7)-calendar[[#This Row],[Count]]/7)&lt;0,I538,I538+1)</f>
        <v>77</v>
      </c>
      <c r="J539">
        <f t="shared" si="44"/>
        <v>537</v>
      </c>
      <c r="K539">
        <f>IF(calendar[[#This Row],[Month]]&lt;4,1,IF(calendar[[#This Row],[Month]]&lt;7,2,IF(calendar[[#This Row],[Month]]&lt;10,3,4)))</f>
        <v>2</v>
      </c>
      <c r="L539">
        <f>IFERROR(IF(VLOOKUP(calendar[[#This Row],[Date]],BH!A:A,1,)&lt;&gt;"",1,0),0)</f>
        <v>0</v>
      </c>
      <c r="M539">
        <f>IFERROR(IF(VLOOKUP(calendar[[#This Row],[Date]],BH!C:C,1,)&lt;&gt;"",1,0),0)</f>
        <v>0</v>
      </c>
      <c r="N539">
        <f>IFERROR(IF(VLOOKUP(calendar[[#This Row],[Date]],BH!E:E,1,)&lt;&gt;"",1,0),0)</f>
        <v>0</v>
      </c>
      <c r="O539">
        <f>IFERROR(IF(VLOOKUP(calendar[[#This Row],[Date]],BH!G:G,1,)&lt;&gt;"",1,0),0)</f>
        <v>0</v>
      </c>
      <c r="P539">
        <f>IF(OR(calendar[[#This Row],[UK_BH]]=1,calendar[[#This Row],[WeekDay]]=1, calendar[[#This Row],[WeekDay]]=7),P538,P538+1)</f>
        <v>385</v>
      </c>
      <c r="Q539">
        <f>IF(OR(calendar[[#This Row],[FR_BH]]=1,calendar[[#This Row],[WeekDay]]=1, calendar[[#This Row],[WeekDay]]=7),P538,P538+1)</f>
        <v>385</v>
      </c>
      <c r="R539">
        <f>IF(OR(calendar[[#This Row],[SP_BH]]=1,calendar[[#This Row],[WeekDay]]=1, calendar[[#This Row],[WeekDay]]=7),P538,P538+1)</f>
        <v>385</v>
      </c>
      <c r="S539">
        <f>IF(OR(calendar[[#This Row],[PT_BH]]=1,calendar[[#This Row],[WeekDay]]=1, calendar[[#This Row],[WeekDay]]=7),P538,P538+1)</f>
        <v>385</v>
      </c>
    </row>
    <row r="540" spans="1:19" x14ac:dyDescent="0.25">
      <c r="A540" s="2">
        <v>43274</v>
      </c>
      <c r="B540" s="1">
        <f t="shared" si="43"/>
        <v>25</v>
      </c>
      <c r="C540">
        <f t="shared" si="45"/>
        <v>6</v>
      </c>
      <c r="D540" t="str">
        <f t="shared" si="46"/>
        <v>June</v>
      </c>
      <c r="E540">
        <f t="shared" si="47"/>
        <v>2018</v>
      </c>
      <c r="F540" t="str">
        <f>CONCATENATE(calendar[[#This Row],[Month]],"/",calendar[[#This Row],[Year]])</f>
        <v>6/2018</v>
      </c>
      <c r="G540">
        <f>WEEKDAY(calendar[[#This Row],[Date]],1)</f>
        <v>7</v>
      </c>
      <c r="H540" t="str">
        <f>TEXT(calendar[[#This Row],[WeekDay]],"dddd")</f>
        <v>Saturday</v>
      </c>
      <c r="I540">
        <f>IF((INT(calendar[[#This Row],[Count]]/7)-calendar[[#This Row],[Count]]/7)&lt;0,I539,I539+1)</f>
        <v>77</v>
      </c>
      <c r="J540">
        <f t="shared" si="44"/>
        <v>538</v>
      </c>
      <c r="K540">
        <f>IF(calendar[[#This Row],[Month]]&lt;4,1,IF(calendar[[#This Row],[Month]]&lt;7,2,IF(calendar[[#This Row],[Month]]&lt;10,3,4)))</f>
        <v>2</v>
      </c>
      <c r="L540">
        <f>IFERROR(IF(VLOOKUP(calendar[[#This Row],[Date]],BH!A:A,1,)&lt;&gt;"",1,0),0)</f>
        <v>0</v>
      </c>
      <c r="M540">
        <f>IFERROR(IF(VLOOKUP(calendar[[#This Row],[Date]],BH!C:C,1,)&lt;&gt;"",1,0),0)</f>
        <v>0</v>
      </c>
      <c r="N540">
        <f>IFERROR(IF(VLOOKUP(calendar[[#This Row],[Date]],BH!E:E,1,)&lt;&gt;"",1,0),0)</f>
        <v>0</v>
      </c>
      <c r="O540">
        <f>IFERROR(IF(VLOOKUP(calendar[[#This Row],[Date]],BH!G:G,1,)&lt;&gt;"",1,0),0)</f>
        <v>0</v>
      </c>
      <c r="P540">
        <f>IF(OR(calendar[[#This Row],[UK_BH]]=1,calendar[[#This Row],[WeekDay]]=1, calendar[[#This Row],[WeekDay]]=7),P539,P539+1)</f>
        <v>385</v>
      </c>
      <c r="Q540">
        <f>IF(OR(calendar[[#This Row],[FR_BH]]=1,calendar[[#This Row],[WeekDay]]=1, calendar[[#This Row],[WeekDay]]=7),P539,P539+1)</f>
        <v>385</v>
      </c>
      <c r="R540">
        <f>IF(OR(calendar[[#This Row],[SP_BH]]=1,calendar[[#This Row],[WeekDay]]=1, calendar[[#This Row],[WeekDay]]=7),P539,P539+1)</f>
        <v>385</v>
      </c>
      <c r="S540">
        <f>IF(OR(calendar[[#This Row],[PT_BH]]=1,calendar[[#This Row],[WeekDay]]=1, calendar[[#This Row],[WeekDay]]=7),P539,P539+1)</f>
        <v>385</v>
      </c>
    </row>
    <row r="541" spans="1:19" x14ac:dyDescent="0.25">
      <c r="A541" s="2">
        <v>43275</v>
      </c>
      <c r="B541" s="1">
        <f t="shared" si="43"/>
        <v>26</v>
      </c>
      <c r="C541">
        <f t="shared" si="45"/>
        <v>6</v>
      </c>
      <c r="D541" t="str">
        <f t="shared" si="46"/>
        <v>June</v>
      </c>
      <c r="E541">
        <f t="shared" si="47"/>
        <v>2018</v>
      </c>
      <c r="F541" t="str">
        <f>CONCATENATE(calendar[[#This Row],[Month]],"/",calendar[[#This Row],[Year]])</f>
        <v>6/2018</v>
      </c>
      <c r="G541">
        <f>WEEKDAY(calendar[[#This Row],[Date]],1)</f>
        <v>1</v>
      </c>
      <c r="H541" t="str">
        <f>TEXT(calendar[[#This Row],[WeekDay]],"dddd")</f>
        <v>Sunday</v>
      </c>
      <c r="I541">
        <f>IF((INT(calendar[[#This Row],[Count]]/7)-calendar[[#This Row],[Count]]/7)&lt;0,I540,I540+1)</f>
        <v>78</v>
      </c>
      <c r="J541">
        <f t="shared" si="44"/>
        <v>539</v>
      </c>
      <c r="K541">
        <f>IF(calendar[[#This Row],[Month]]&lt;4,1,IF(calendar[[#This Row],[Month]]&lt;7,2,IF(calendar[[#This Row],[Month]]&lt;10,3,4)))</f>
        <v>2</v>
      </c>
      <c r="L541">
        <f>IFERROR(IF(VLOOKUP(calendar[[#This Row],[Date]],BH!A:A,1,)&lt;&gt;"",1,0),0)</f>
        <v>0</v>
      </c>
      <c r="M541">
        <f>IFERROR(IF(VLOOKUP(calendar[[#This Row],[Date]],BH!C:C,1,)&lt;&gt;"",1,0),0)</f>
        <v>0</v>
      </c>
      <c r="N541">
        <f>IFERROR(IF(VLOOKUP(calendar[[#This Row],[Date]],BH!E:E,1,)&lt;&gt;"",1,0),0)</f>
        <v>0</v>
      </c>
      <c r="O541">
        <f>IFERROR(IF(VLOOKUP(calendar[[#This Row],[Date]],BH!G:G,1,)&lt;&gt;"",1,0),0)</f>
        <v>0</v>
      </c>
      <c r="P541">
        <f>IF(OR(calendar[[#This Row],[UK_BH]]=1,calendar[[#This Row],[WeekDay]]=1, calendar[[#This Row],[WeekDay]]=7),P540,P540+1)</f>
        <v>385</v>
      </c>
      <c r="Q541">
        <f>IF(OR(calendar[[#This Row],[FR_BH]]=1,calendar[[#This Row],[WeekDay]]=1, calendar[[#This Row],[WeekDay]]=7),P540,P540+1)</f>
        <v>385</v>
      </c>
      <c r="R541">
        <f>IF(OR(calendar[[#This Row],[SP_BH]]=1,calendar[[#This Row],[WeekDay]]=1, calendar[[#This Row],[WeekDay]]=7),P540,P540+1)</f>
        <v>385</v>
      </c>
      <c r="S541">
        <f>IF(OR(calendar[[#This Row],[PT_BH]]=1,calendar[[#This Row],[WeekDay]]=1, calendar[[#This Row],[WeekDay]]=7),P540,P540+1)</f>
        <v>385</v>
      </c>
    </row>
    <row r="542" spans="1:19" x14ac:dyDescent="0.25">
      <c r="A542" s="2">
        <v>43276</v>
      </c>
      <c r="B542" s="1">
        <f t="shared" si="43"/>
        <v>26</v>
      </c>
      <c r="C542">
        <f t="shared" si="45"/>
        <v>6</v>
      </c>
      <c r="D542" t="str">
        <f t="shared" si="46"/>
        <v>June</v>
      </c>
      <c r="E542">
        <f t="shared" si="47"/>
        <v>2018</v>
      </c>
      <c r="F542" t="str">
        <f>CONCATENATE(calendar[[#This Row],[Month]],"/",calendar[[#This Row],[Year]])</f>
        <v>6/2018</v>
      </c>
      <c r="G542">
        <f>WEEKDAY(calendar[[#This Row],[Date]],1)</f>
        <v>2</v>
      </c>
      <c r="H542" t="str">
        <f>TEXT(calendar[[#This Row],[WeekDay]],"dddd")</f>
        <v>Monday</v>
      </c>
      <c r="I542">
        <f>IF((INT(calendar[[#This Row],[Count]]/7)-calendar[[#This Row],[Count]]/7)&lt;0,I541,I541+1)</f>
        <v>78</v>
      </c>
      <c r="J542">
        <f t="shared" si="44"/>
        <v>540</v>
      </c>
      <c r="K542">
        <f>IF(calendar[[#This Row],[Month]]&lt;4,1,IF(calendar[[#This Row],[Month]]&lt;7,2,IF(calendar[[#This Row],[Month]]&lt;10,3,4)))</f>
        <v>2</v>
      </c>
      <c r="L542">
        <f>IFERROR(IF(VLOOKUP(calendar[[#This Row],[Date]],BH!A:A,1,)&lt;&gt;"",1,0),0)</f>
        <v>0</v>
      </c>
      <c r="M542">
        <f>IFERROR(IF(VLOOKUP(calendar[[#This Row],[Date]],BH!C:C,1,)&lt;&gt;"",1,0),0)</f>
        <v>0</v>
      </c>
      <c r="N542">
        <f>IFERROR(IF(VLOOKUP(calendar[[#This Row],[Date]],BH!E:E,1,)&lt;&gt;"",1,0),0)</f>
        <v>0</v>
      </c>
      <c r="O542">
        <f>IFERROR(IF(VLOOKUP(calendar[[#This Row],[Date]],BH!G:G,1,)&lt;&gt;"",1,0),0)</f>
        <v>0</v>
      </c>
      <c r="P542">
        <f>IF(OR(calendar[[#This Row],[UK_BH]]=1,calendar[[#This Row],[WeekDay]]=1, calendar[[#This Row],[WeekDay]]=7),P541,P541+1)</f>
        <v>386</v>
      </c>
      <c r="Q542">
        <f>IF(OR(calendar[[#This Row],[FR_BH]]=1,calendar[[#This Row],[WeekDay]]=1, calendar[[#This Row],[WeekDay]]=7),P541,P541+1)</f>
        <v>386</v>
      </c>
      <c r="R542">
        <f>IF(OR(calendar[[#This Row],[SP_BH]]=1,calendar[[#This Row],[WeekDay]]=1, calendar[[#This Row],[WeekDay]]=7),P541,P541+1)</f>
        <v>386</v>
      </c>
      <c r="S542">
        <f>IF(OR(calendar[[#This Row],[PT_BH]]=1,calendar[[#This Row],[WeekDay]]=1, calendar[[#This Row],[WeekDay]]=7),P541,P541+1)</f>
        <v>386</v>
      </c>
    </row>
    <row r="543" spans="1:19" x14ac:dyDescent="0.25">
      <c r="A543" s="2">
        <v>43277</v>
      </c>
      <c r="B543" s="1">
        <f t="shared" si="43"/>
        <v>26</v>
      </c>
      <c r="C543">
        <f t="shared" si="45"/>
        <v>6</v>
      </c>
      <c r="D543" t="str">
        <f t="shared" si="46"/>
        <v>June</v>
      </c>
      <c r="E543">
        <f t="shared" si="47"/>
        <v>2018</v>
      </c>
      <c r="F543" t="str">
        <f>CONCATENATE(calendar[[#This Row],[Month]],"/",calendar[[#This Row],[Year]])</f>
        <v>6/2018</v>
      </c>
      <c r="G543">
        <f>WEEKDAY(calendar[[#This Row],[Date]],1)</f>
        <v>3</v>
      </c>
      <c r="H543" t="str">
        <f>TEXT(calendar[[#This Row],[WeekDay]],"dddd")</f>
        <v>Tuesday</v>
      </c>
      <c r="I543">
        <f>IF((INT(calendar[[#This Row],[Count]]/7)-calendar[[#This Row],[Count]]/7)&lt;0,I542,I542+1)</f>
        <v>78</v>
      </c>
      <c r="J543">
        <f t="shared" si="44"/>
        <v>541</v>
      </c>
      <c r="K543">
        <f>IF(calendar[[#This Row],[Month]]&lt;4,1,IF(calendar[[#This Row],[Month]]&lt;7,2,IF(calendar[[#This Row],[Month]]&lt;10,3,4)))</f>
        <v>2</v>
      </c>
      <c r="L543">
        <f>IFERROR(IF(VLOOKUP(calendar[[#This Row],[Date]],BH!A:A,1,)&lt;&gt;"",1,0),0)</f>
        <v>0</v>
      </c>
      <c r="M543">
        <f>IFERROR(IF(VLOOKUP(calendar[[#This Row],[Date]],BH!C:C,1,)&lt;&gt;"",1,0),0)</f>
        <v>0</v>
      </c>
      <c r="N543">
        <f>IFERROR(IF(VLOOKUP(calendar[[#This Row],[Date]],BH!E:E,1,)&lt;&gt;"",1,0),0)</f>
        <v>0</v>
      </c>
      <c r="O543">
        <f>IFERROR(IF(VLOOKUP(calendar[[#This Row],[Date]],BH!G:G,1,)&lt;&gt;"",1,0),0)</f>
        <v>0</v>
      </c>
      <c r="P543">
        <f>IF(OR(calendar[[#This Row],[UK_BH]]=1,calendar[[#This Row],[WeekDay]]=1, calendar[[#This Row],[WeekDay]]=7),P542,P542+1)</f>
        <v>387</v>
      </c>
      <c r="Q543">
        <f>IF(OR(calendar[[#This Row],[FR_BH]]=1,calendar[[#This Row],[WeekDay]]=1, calendar[[#This Row],[WeekDay]]=7),P542,P542+1)</f>
        <v>387</v>
      </c>
      <c r="R543">
        <f>IF(OR(calendar[[#This Row],[SP_BH]]=1,calendar[[#This Row],[WeekDay]]=1, calendar[[#This Row],[WeekDay]]=7),P542,P542+1)</f>
        <v>387</v>
      </c>
      <c r="S543">
        <f>IF(OR(calendar[[#This Row],[PT_BH]]=1,calendar[[#This Row],[WeekDay]]=1, calendar[[#This Row],[WeekDay]]=7),P542,P542+1)</f>
        <v>387</v>
      </c>
    </row>
    <row r="544" spans="1:19" x14ac:dyDescent="0.25">
      <c r="A544" s="2">
        <v>43278</v>
      </c>
      <c r="B544" s="1">
        <f t="shared" si="43"/>
        <v>26</v>
      </c>
      <c r="C544">
        <f t="shared" si="45"/>
        <v>6</v>
      </c>
      <c r="D544" t="str">
        <f t="shared" si="46"/>
        <v>June</v>
      </c>
      <c r="E544">
        <f t="shared" si="47"/>
        <v>2018</v>
      </c>
      <c r="F544" t="str">
        <f>CONCATENATE(calendar[[#This Row],[Month]],"/",calendar[[#This Row],[Year]])</f>
        <v>6/2018</v>
      </c>
      <c r="G544">
        <f>WEEKDAY(calendar[[#This Row],[Date]],1)</f>
        <v>4</v>
      </c>
      <c r="H544" t="str">
        <f>TEXT(calendar[[#This Row],[WeekDay]],"dddd")</f>
        <v>Wednesday</v>
      </c>
      <c r="I544">
        <f>IF((INT(calendar[[#This Row],[Count]]/7)-calendar[[#This Row],[Count]]/7)&lt;0,I543,I543+1)</f>
        <v>78</v>
      </c>
      <c r="J544">
        <f t="shared" si="44"/>
        <v>542</v>
      </c>
      <c r="K544">
        <f>IF(calendar[[#This Row],[Month]]&lt;4,1,IF(calendar[[#This Row],[Month]]&lt;7,2,IF(calendar[[#This Row],[Month]]&lt;10,3,4)))</f>
        <v>2</v>
      </c>
      <c r="L544">
        <f>IFERROR(IF(VLOOKUP(calendar[[#This Row],[Date]],BH!A:A,1,)&lt;&gt;"",1,0),0)</f>
        <v>0</v>
      </c>
      <c r="M544">
        <f>IFERROR(IF(VLOOKUP(calendar[[#This Row],[Date]],BH!C:C,1,)&lt;&gt;"",1,0),0)</f>
        <v>0</v>
      </c>
      <c r="N544">
        <f>IFERROR(IF(VLOOKUP(calendar[[#This Row],[Date]],BH!E:E,1,)&lt;&gt;"",1,0),0)</f>
        <v>0</v>
      </c>
      <c r="O544">
        <f>IFERROR(IF(VLOOKUP(calendar[[#This Row],[Date]],BH!G:G,1,)&lt;&gt;"",1,0),0)</f>
        <v>0</v>
      </c>
      <c r="P544">
        <f>IF(OR(calendar[[#This Row],[UK_BH]]=1,calendar[[#This Row],[WeekDay]]=1, calendar[[#This Row],[WeekDay]]=7),P543,P543+1)</f>
        <v>388</v>
      </c>
      <c r="Q544">
        <f>IF(OR(calendar[[#This Row],[FR_BH]]=1,calendar[[#This Row],[WeekDay]]=1, calendar[[#This Row],[WeekDay]]=7),P543,P543+1)</f>
        <v>388</v>
      </c>
      <c r="R544">
        <f>IF(OR(calendar[[#This Row],[SP_BH]]=1,calendar[[#This Row],[WeekDay]]=1, calendar[[#This Row],[WeekDay]]=7),P543,P543+1)</f>
        <v>388</v>
      </c>
      <c r="S544">
        <f>IF(OR(calendar[[#This Row],[PT_BH]]=1,calendar[[#This Row],[WeekDay]]=1, calendar[[#This Row],[WeekDay]]=7),P543,P543+1)</f>
        <v>388</v>
      </c>
    </row>
    <row r="545" spans="1:19" x14ac:dyDescent="0.25">
      <c r="A545" s="2">
        <v>43279</v>
      </c>
      <c r="B545" s="1">
        <f t="shared" si="43"/>
        <v>26</v>
      </c>
      <c r="C545">
        <f t="shared" si="45"/>
        <v>6</v>
      </c>
      <c r="D545" t="str">
        <f t="shared" si="46"/>
        <v>June</v>
      </c>
      <c r="E545">
        <f t="shared" si="47"/>
        <v>2018</v>
      </c>
      <c r="F545" t="str">
        <f>CONCATENATE(calendar[[#This Row],[Month]],"/",calendar[[#This Row],[Year]])</f>
        <v>6/2018</v>
      </c>
      <c r="G545">
        <f>WEEKDAY(calendar[[#This Row],[Date]],1)</f>
        <v>5</v>
      </c>
      <c r="H545" t="str">
        <f>TEXT(calendar[[#This Row],[WeekDay]],"dddd")</f>
        <v>Thursday</v>
      </c>
      <c r="I545">
        <f>IF((INT(calendar[[#This Row],[Count]]/7)-calendar[[#This Row],[Count]]/7)&lt;0,I544,I544+1)</f>
        <v>78</v>
      </c>
      <c r="J545">
        <f t="shared" si="44"/>
        <v>543</v>
      </c>
      <c r="K545">
        <f>IF(calendar[[#This Row],[Month]]&lt;4,1,IF(calendar[[#This Row],[Month]]&lt;7,2,IF(calendar[[#This Row],[Month]]&lt;10,3,4)))</f>
        <v>2</v>
      </c>
      <c r="L545">
        <f>IFERROR(IF(VLOOKUP(calendar[[#This Row],[Date]],BH!A:A,1,)&lt;&gt;"",1,0),0)</f>
        <v>0</v>
      </c>
      <c r="M545">
        <f>IFERROR(IF(VLOOKUP(calendar[[#This Row],[Date]],BH!C:C,1,)&lt;&gt;"",1,0),0)</f>
        <v>0</v>
      </c>
      <c r="N545">
        <f>IFERROR(IF(VLOOKUP(calendar[[#This Row],[Date]],BH!E:E,1,)&lt;&gt;"",1,0),0)</f>
        <v>0</v>
      </c>
      <c r="O545">
        <f>IFERROR(IF(VLOOKUP(calendar[[#This Row],[Date]],BH!G:G,1,)&lt;&gt;"",1,0),0)</f>
        <v>0</v>
      </c>
      <c r="P545">
        <f>IF(OR(calendar[[#This Row],[UK_BH]]=1,calendar[[#This Row],[WeekDay]]=1, calendar[[#This Row],[WeekDay]]=7),P544,P544+1)</f>
        <v>389</v>
      </c>
      <c r="Q545">
        <f>IF(OR(calendar[[#This Row],[FR_BH]]=1,calendar[[#This Row],[WeekDay]]=1, calendar[[#This Row],[WeekDay]]=7),P544,P544+1)</f>
        <v>389</v>
      </c>
      <c r="R545">
        <f>IF(OR(calendar[[#This Row],[SP_BH]]=1,calendar[[#This Row],[WeekDay]]=1, calendar[[#This Row],[WeekDay]]=7),P544,P544+1)</f>
        <v>389</v>
      </c>
      <c r="S545">
        <f>IF(OR(calendar[[#This Row],[PT_BH]]=1,calendar[[#This Row],[WeekDay]]=1, calendar[[#This Row],[WeekDay]]=7),P544,P544+1)</f>
        <v>389</v>
      </c>
    </row>
    <row r="546" spans="1:19" x14ac:dyDescent="0.25">
      <c r="A546" s="2">
        <v>43280</v>
      </c>
      <c r="B546" s="1">
        <f t="shared" si="43"/>
        <v>26</v>
      </c>
      <c r="C546">
        <f t="shared" si="45"/>
        <v>6</v>
      </c>
      <c r="D546" t="str">
        <f t="shared" si="46"/>
        <v>June</v>
      </c>
      <c r="E546">
        <f t="shared" si="47"/>
        <v>2018</v>
      </c>
      <c r="F546" t="str">
        <f>CONCATENATE(calendar[[#This Row],[Month]],"/",calendar[[#This Row],[Year]])</f>
        <v>6/2018</v>
      </c>
      <c r="G546">
        <f>WEEKDAY(calendar[[#This Row],[Date]],1)</f>
        <v>6</v>
      </c>
      <c r="H546" t="str">
        <f>TEXT(calendar[[#This Row],[WeekDay]],"dddd")</f>
        <v>Friday</v>
      </c>
      <c r="I546">
        <f>IF((INT(calendar[[#This Row],[Count]]/7)-calendar[[#This Row],[Count]]/7)&lt;0,I545,I545+1)</f>
        <v>78</v>
      </c>
      <c r="J546">
        <f t="shared" si="44"/>
        <v>544</v>
      </c>
      <c r="K546">
        <f>IF(calendar[[#This Row],[Month]]&lt;4,1,IF(calendar[[#This Row],[Month]]&lt;7,2,IF(calendar[[#This Row],[Month]]&lt;10,3,4)))</f>
        <v>2</v>
      </c>
      <c r="L546">
        <f>IFERROR(IF(VLOOKUP(calendar[[#This Row],[Date]],BH!A:A,1,)&lt;&gt;"",1,0),0)</f>
        <v>0</v>
      </c>
      <c r="M546">
        <f>IFERROR(IF(VLOOKUP(calendar[[#This Row],[Date]],BH!C:C,1,)&lt;&gt;"",1,0),0)</f>
        <v>0</v>
      </c>
      <c r="N546">
        <f>IFERROR(IF(VLOOKUP(calendar[[#This Row],[Date]],BH!E:E,1,)&lt;&gt;"",1,0),0)</f>
        <v>0</v>
      </c>
      <c r="O546">
        <f>IFERROR(IF(VLOOKUP(calendar[[#This Row],[Date]],BH!G:G,1,)&lt;&gt;"",1,0),0)</f>
        <v>0</v>
      </c>
      <c r="P546">
        <f>IF(OR(calendar[[#This Row],[UK_BH]]=1,calendar[[#This Row],[WeekDay]]=1, calendar[[#This Row],[WeekDay]]=7),P545,P545+1)</f>
        <v>390</v>
      </c>
      <c r="Q546">
        <f>IF(OR(calendar[[#This Row],[FR_BH]]=1,calendar[[#This Row],[WeekDay]]=1, calendar[[#This Row],[WeekDay]]=7),P545,P545+1)</f>
        <v>390</v>
      </c>
      <c r="R546">
        <f>IF(OR(calendar[[#This Row],[SP_BH]]=1,calendar[[#This Row],[WeekDay]]=1, calendar[[#This Row],[WeekDay]]=7),P545,P545+1)</f>
        <v>390</v>
      </c>
      <c r="S546">
        <f>IF(OR(calendar[[#This Row],[PT_BH]]=1,calendar[[#This Row],[WeekDay]]=1, calendar[[#This Row],[WeekDay]]=7),P545,P545+1)</f>
        <v>390</v>
      </c>
    </row>
    <row r="547" spans="1:19" x14ac:dyDescent="0.25">
      <c r="A547" s="2">
        <v>43281</v>
      </c>
      <c r="B547" s="1">
        <f t="shared" si="43"/>
        <v>26</v>
      </c>
      <c r="C547">
        <f t="shared" si="45"/>
        <v>6</v>
      </c>
      <c r="D547" t="str">
        <f t="shared" si="46"/>
        <v>June</v>
      </c>
      <c r="E547">
        <f t="shared" si="47"/>
        <v>2018</v>
      </c>
      <c r="F547" t="str">
        <f>CONCATENATE(calendar[[#This Row],[Month]],"/",calendar[[#This Row],[Year]])</f>
        <v>6/2018</v>
      </c>
      <c r="G547">
        <f>WEEKDAY(calendar[[#This Row],[Date]],1)</f>
        <v>7</v>
      </c>
      <c r="H547" t="str">
        <f>TEXT(calendar[[#This Row],[WeekDay]],"dddd")</f>
        <v>Saturday</v>
      </c>
      <c r="I547">
        <f>IF((INT(calendar[[#This Row],[Count]]/7)-calendar[[#This Row],[Count]]/7)&lt;0,I546,I546+1)</f>
        <v>78</v>
      </c>
      <c r="J547">
        <f t="shared" si="44"/>
        <v>545</v>
      </c>
      <c r="K547">
        <f>IF(calendar[[#This Row],[Month]]&lt;4,1,IF(calendar[[#This Row],[Month]]&lt;7,2,IF(calendar[[#This Row],[Month]]&lt;10,3,4)))</f>
        <v>2</v>
      </c>
      <c r="L547">
        <f>IFERROR(IF(VLOOKUP(calendar[[#This Row],[Date]],BH!A:A,1,)&lt;&gt;"",1,0),0)</f>
        <v>0</v>
      </c>
      <c r="M547">
        <f>IFERROR(IF(VLOOKUP(calendar[[#This Row],[Date]],BH!C:C,1,)&lt;&gt;"",1,0),0)</f>
        <v>0</v>
      </c>
      <c r="N547">
        <f>IFERROR(IF(VLOOKUP(calendar[[#This Row],[Date]],BH!E:E,1,)&lt;&gt;"",1,0),0)</f>
        <v>0</v>
      </c>
      <c r="O547">
        <f>IFERROR(IF(VLOOKUP(calendar[[#This Row],[Date]],BH!G:G,1,)&lt;&gt;"",1,0),0)</f>
        <v>0</v>
      </c>
      <c r="P547">
        <f>IF(OR(calendar[[#This Row],[UK_BH]]=1,calendar[[#This Row],[WeekDay]]=1, calendar[[#This Row],[WeekDay]]=7),P546,P546+1)</f>
        <v>390</v>
      </c>
      <c r="Q547">
        <f>IF(OR(calendar[[#This Row],[FR_BH]]=1,calendar[[#This Row],[WeekDay]]=1, calendar[[#This Row],[WeekDay]]=7),P546,P546+1)</f>
        <v>390</v>
      </c>
      <c r="R547">
        <f>IF(OR(calendar[[#This Row],[SP_BH]]=1,calendar[[#This Row],[WeekDay]]=1, calendar[[#This Row],[WeekDay]]=7),P546,P546+1)</f>
        <v>390</v>
      </c>
      <c r="S547">
        <f>IF(OR(calendar[[#This Row],[PT_BH]]=1,calendar[[#This Row],[WeekDay]]=1, calendar[[#This Row],[WeekDay]]=7),P546,P546+1)</f>
        <v>390</v>
      </c>
    </row>
    <row r="548" spans="1:19" x14ac:dyDescent="0.25">
      <c r="A548" s="2">
        <v>43282</v>
      </c>
      <c r="B548" s="1">
        <f t="shared" si="43"/>
        <v>27</v>
      </c>
      <c r="C548">
        <f t="shared" si="45"/>
        <v>7</v>
      </c>
      <c r="D548" t="str">
        <f t="shared" si="46"/>
        <v>July</v>
      </c>
      <c r="E548">
        <f t="shared" si="47"/>
        <v>2018</v>
      </c>
      <c r="F548" t="str">
        <f>CONCATENATE(calendar[[#This Row],[Month]],"/",calendar[[#This Row],[Year]])</f>
        <v>7/2018</v>
      </c>
      <c r="G548">
        <f>WEEKDAY(calendar[[#This Row],[Date]],1)</f>
        <v>1</v>
      </c>
      <c r="H548" t="str">
        <f>TEXT(calendar[[#This Row],[WeekDay]],"dddd")</f>
        <v>Sunday</v>
      </c>
      <c r="I548">
        <f>IF((INT(calendar[[#This Row],[Count]]/7)-calendar[[#This Row],[Count]]/7)&lt;0,I547,I547+1)</f>
        <v>79</v>
      </c>
      <c r="J548">
        <f t="shared" si="44"/>
        <v>546</v>
      </c>
      <c r="K548">
        <f>IF(calendar[[#This Row],[Month]]&lt;4,1,IF(calendar[[#This Row],[Month]]&lt;7,2,IF(calendar[[#This Row],[Month]]&lt;10,3,4)))</f>
        <v>3</v>
      </c>
      <c r="L548">
        <f>IFERROR(IF(VLOOKUP(calendar[[#This Row],[Date]],BH!A:A,1,)&lt;&gt;"",1,0),0)</f>
        <v>0</v>
      </c>
      <c r="M548">
        <f>IFERROR(IF(VLOOKUP(calendar[[#This Row],[Date]],BH!C:C,1,)&lt;&gt;"",1,0),0)</f>
        <v>0</v>
      </c>
      <c r="N548">
        <f>IFERROR(IF(VLOOKUP(calendar[[#This Row],[Date]],BH!E:E,1,)&lt;&gt;"",1,0),0)</f>
        <v>0</v>
      </c>
      <c r="O548">
        <f>IFERROR(IF(VLOOKUP(calendar[[#This Row],[Date]],BH!G:G,1,)&lt;&gt;"",1,0),0)</f>
        <v>0</v>
      </c>
      <c r="P548">
        <f>IF(OR(calendar[[#This Row],[UK_BH]]=1,calendar[[#This Row],[WeekDay]]=1, calendar[[#This Row],[WeekDay]]=7),P547,P547+1)</f>
        <v>390</v>
      </c>
      <c r="Q548">
        <f>IF(OR(calendar[[#This Row],[FR_BH]]=1,calendar[[#This Row],[WeekDay]]=1, calendar[[#This Row],[WeekDay]]=7),P547,P547+1)</f>
        <v>390</v>
      </c>
      <c r="R548">
        <f>IF(OR(calendar[[#This Row],[SP_BH]]=1,calendar[[#This Row],[WeekDay]]=1, calendar[[#This Row],[WeekDay]]=7),P547,P547+1)</f>
        <v>390</v>
      </c>
      <c r="S548">
        <f>IF(OR(calendar[[#This Row],[PT_BH]]=1,calendar[[#This Row],[WeekDay]]=1, calendar[[#This Row],[WeekDay]]=7),P547,P547+1)</f>
        <v>390</v>
      </c>
    </row>
    <row r="549" spans="1:19" x14ac:dyDescent="0.25">
      <c r="A549" s="2">
        <v>43283</v>
      </c>
      <c r="B549" s="1">
        <f t="shared" si="43"/>
        <v>27</v>
      </c>
      <c r="C549">
        <f t="shared" si="45"/>
        <v>7</v>
      </c>
      <c r="D549" t="str">
        <f t="shared" si="46"/>
        <v>July</v>
      </c>
      <c r="E549">
        <f t="shared" si="47"/>
        <v>2018</v>
      </c>
      <c r="F549" t="str">
        <f>CONCATENATE(calendar[[#This Row],[Month]],"/",calendar[[#This Row],[Year]])</f>
        <v>7/2018</v>
      </c>
      <c r="G549">
        <f>WEEKDAY(calendar[[#This Row],[Date]],1)</f>
        <v>2</v>
      </c>
      <c r="H549" t="str">
        <f>TEXT(calendar[[#This Row],[WeekDay]],"dddd")</f>
        <v>Monday</v>
      </c>
      <c r="I549">
        <f>IF((INT(calendar[[#This Row],[Count]]/7)-calendar[[#This Row],[Count]]/7)&lt;0,I548,I548+1)</f>
        <v>79</v>
      </c>
      <c r="J549">
        <f t="shared" si="44"/>
        <v>547</v>
      </c>
      <c r="K549">
        <f>IF(calendar[[#This Row],[Month]]&lt;4,1,IF(calendar[[#This Row],[Month]]&lt;7,2,IF(calendar[[#This Row],[Month]]&lt;10,3,4)))</f>
        <v>3</v>
      </c>
      <c r="L549">
        <f>IFERROR(IF(VLOOKUP(calendar[[#This Row],[Date]],BH!A:A,1,)&lt;&gt;"",1,0),0)</f>
        <v>0</v>
      </c>
      <c r="M549">
        <f>IFERROR(IF(VLOOKUP(calendar[[#This Row],[Date]],BH!C:C,1,)&lt;&gt;"",1,0),0)</f>
        <v>0</v>
      </c>
      <c r="N549">
        <f>IFERROR(IF(VLOOKUP(calendar[[#This Row],[Date]],BH!E:E,1,)&lt;&gt;"",1,0),0)</f>
        <v>0</v>
      </c>
      <c r="O549">
        <f>IFERROR(IF(VLOOKUP(calendar[[#This Row],[Date]],BH!G:G,1,)&lt;&gt;"",1,0),0)</f>
        <v>0</v>
      </c>
      <c r="P549">
        <f>IF(OR(calendar[[#This Row],[UK_BH]]=1,calendar[[#This Row],[WeekDay]]=1, calendar[[#This Row],[WeekDay]]=7),P548,P548+1)</f>
        <v>391</v>
      </c>
      <c r="Q549">
        <f>IF(OR(calendar[[#This Row],[FR_BH]]=1,calendar[[#This Row],[WeekDay]]=1, calendar[[#This Row],[WeekDay]]=7),P548,P548+1)</f>
        <v>391</v>
      </c>
      <c r="R549">
        <f>IF(OR(calendar[[#This Row],[SP_BH]]=1,calendar[[#This Row],[WeekDay]]=1, calendar[[#This Row],[WeekDay]]=7),P548,P548+1)</f>
        <v>391</v>
      </c>
      <c r="S549">
        <f>IF(OR(calendar[[#This Row],[PT_BH]]=1,calendar[[#This Row],[WeekDay]]=1, calendar[[#This Row],[WeekDay]]=7),P548,P548+1)</f>
        <v>391</v>
      </c>
    </row>
    <row r="550" spans="1:19" x14ac:dyDescent="0.25">
      <c r="A550" s="2">
        <v>43284</v>
      </c>
      <c r="B550" s="1">
        <f t="shared" si="43"/>
        <v>27</v>
      </c>
      <c r="C550">
        <f t="shared" si="45"/>
        <v>7</v>
      </c>
      <c r="D550" t="str">
        <f t="shared" si="46"/>
        <v>July</v>
      </c>
      <c r="E550">
        <f t="shared" si="47"/>
        <v>2018</v>
      </c>
      <c r="F550" t="str">
        <f>CONCATENATE(calendar[[#This Row],[Month]],"/",calendar[[#This Row],[Year]])</f>
        <v>7/2018</v>
      </c>
      <c r="G550">
        <f>WEEKDAY(calendar[[#This Row],[Date]],1)</f>
        <v>3</v>
      </c>
      <c r="H550" t="str">
        <f>TEXT(calendar[[#This Row],[WeekDay]],"dddd")</f>
        <v>Tuesday</v>
      </c>
      <c r="I550">
        <f>IF((INT(calendar[[#This Row],[Count]]/7)-calendar[[#This Row],[Count]]/7)&lt;0,I549,I549+1)</f>
        <v>79</v>
      </c>
      <c r="J550">
        <f t="shared" si="44"/>
        <v>548</v>
      </c>
      <c r="K550">
        <f>IF(calendar[[#This Row],[Month]]&lt;4,1,IF(calendar[[#This Row],[Month]]&lt;7,2,IF(calendar[[#This Row],[Month]]&lt;10,3,4)))</f>
        <v>3</v>
      </c>
      <c r="L550">
        <f>IFERROR(IF(VLOOKUP(calendar[[#This Row],[Date]],BH!A:A,1,)&lt;&gt;"",1,0),0)</f>
        <v>0</v>
      </c>
      <c r="M550">
        <f>IFERROR(IF(VLOOKUP(calendar[[#This Row],[Date]],BH!C:C,1,)&lt;&gt;"",1,0),0)</f>
        <v>0</v>
      </c>
      <c r="N550">
        <f>IFERROR(IF(VLOOKUP(calendar[[#This Row],[Date]],BH!E:E,1,)&lt;&gt;"",1,0),0)</f>
        <v>0</v>
      </c>
      <c r="O550">
        <f>IFERROR(IF(VLOOKUP(calendar[[#This Row],[Date]],BH!G:G,1,)&lt;&gt;"",1,0),0)</f>
        <v>0</v>
      </c>
      <c r="P550">
        <f>IF(OR(calendar[[#This Row],[UK_BH]]=1,calendar[[#This Row],[WeekDay]]=1, calendar[[#This Row],[WeekDay]]=7),P549,P549+1)</f>
        <v>392</v>
      </c>
      <c r="Q550">
        <f>IF(OR(calendar[[#This Row],[FR_BH]]=1,calendar[[#This Row],[WeekDay]]=1, calendar[[#This Row],[WeekDay]]=7),P549,P549+1)</f>
        <v>392</v>
      </c>
      <c r="R550">
        <f>IF(OR(calendar[[#This Row],[SP_BH]]=1,calendar[[#This Row],[WeekDay]]=1, calendar[[#This Row],[WeekDay]]=7),P549,P549+1)</f>
        <v>392</v>
      </c>
      <c r="S550">
        <f>IF(OR(calendar[[#This Row],[PT_BH]]=1,calendar[[#This Row],[WeekDay]]=1, calendar[[#This Row],[WeekDay]]=7),P549,P549+1)</f>
        <v>392</v>
      </c>
    </row>
    <row r="551" spans="1:19" x14ac:dyDescent="0.25">
      <c r="A551" s="2">
        <v>43285</v>
      </c>
      <c r="B551" s="1">
        <f t="shared" si="43"/>
        <v>27</v>
      </c>
      <c r="C551">
        <f t="shared" si="45"/>
        <v>7</v>
      </c>
      <c r="D551" t="str">
        <f t="shared" si="46"/>
        <v>July</v>
      </c>
      <c r="E551">
        <f t="shared" si="47"/>
        <v>2018</v>
      </c>
      <c r="F551" t="str">
        <f>CONCATENATE(calendar[[#This Row],[Month]],"/",calendar[[#This Row],[Year]])</f>
        <v>7/2018</v>
      </c>
      <c r="G551">
        <f>WEEKDAY(calendar[[#This Row],[Date]],1)</f>
        <v>4</v>
      </c>
      <c r="H551" t="str">
        <f>TEXT(calendar[[#This Row],[WeekDay]],"dddd")</f>
        <v>Wednesday</v>
      </c>
      <c r="I551">
        <f>IF((INT(calendar[[#This Row],[Count]]/7)-calendar[[#This Row],[Count]]/7)&lt;0,I550,I550+1)</f>
        <v>79</v>
      </c>
      <c r="J551">
        <f t="shared" si="44"/>
        <v>549</v>
      </c>
      <c r="K551">
        <f>IF(calendar[[#This Row],[Month]]&lt;4,1,IF(calendar[[#This Row],[Month]]&lt;7,2,IF(calendar[[#This Row],[Month]]&lt;10,3,4)))</f>
        <v>3</v>
      </c>
      <c r="L551">
        <f>IFERROR(IF(VLOOKUP(calendar[[#This Row],[Date]],BH!A:A,1,)&lt;&gt;"",1,0),0)</f>
        <v>0</v>
      </c>
      <c r="M551">
        <f>IFERROR(IF(VLOOKUP(calendar[[#This Row],[Date]],BH!C:C,1,)&lt;&gt;"",1,0),0)</f>
        <v>0</v>
      </c>
      <c r="N551">
        <f>IFERROR(IF(VLOOKUP(calendar[[#This Row],[Date]],BH!E:E,1,)&lt;&gt;"",1,0),0)</f>
        <v>0</v>
      </c>
      <c r="O551">
        <f>IFERROR(IF(VLOOKUP(calendar[[#This Row],[Date]],BH!G:G,1,)&lt;&gt;"",1,0),0)</f>
        <v>0</v>
      </c>
      <c r="P551">
        <f>IF(OR(calendar[[#This Row],[UK_BH]]=1,calendar[[#This Row],[WeekDay]]=1, calendar[[#This Row],[WeekDay]]=7),P550,P550+1)</f>
        <v>393</v>
      </c>
      <c r="Q551">
        <f>IF(OR(calendar[[#This Row],[FR_BH]]=1,calendar[[#This Row],[WeekDay]]=1, calendar[[#This Row],[WeekDay]]=7),P550,P550+1)</f>
        <v>393</v>
      </c>
      <c r="R551">
        <f>IF(OR(calendar[[#This Row],[SP_BH]]=1,calendar[[#This Row],[WeekDay]]=1, calendar[[#This Row],[WeekDay]]=7),P550,P550+1)</f>
        <v>393</v>
      </c>
      <c r="S551">
        <f>IF(OR(calendar[[#This Row],[PT_BH]]=1,calendar[[#This Row],[WeekDay]]=1, calendar[[#This Row],[WeekDay]]=7),P550,P550+1)</f>
        <v>393</v>
      </c>
    </row>
    <row r="552" spans="1:19" x14ac:dyDescent="0.25">
      <c r="A552" s="2">
        <v>43286</v>
      </c>
      <c r="B552" s="1">
        <f t="shared" si="43"/>
        <v>27</v>
      </c>
      <c r="C552">
        <f t="shared" si="45"/>
        <v>7</v>
      </c>
      <c r="D552" t="str">
        <f t="shared" si="46"/>
        <v>July</v>
      </c>
      <c r="E552">
        <f t="shared" si="47"/>
        <v>2018</v>
      </c>
      <c r="F552" t="str">
        <f>CONCATENATE(calendar[[#This Row],[Month]],"/",calendar[[#This Row],[Year]])</f>
        <v>7/2018</v>
      </c>
      <c r="G552">
        <f>WEEKDAY(calendar[[#This Row],[Date]],1)</f>
        <v>5</v>
      </c>
      <c r="H552" t="str">
        <f>TEXT(calendar[[#This Row],[WeekDay]],"dddd")</f>
        <v>Thursday</v>
      </c>
      <c r="I552">
        <f>IF((INT(calendar[[#This Row],[Count]]/7)-calendar[[#This Row],[Count]]/7)&lt;0,I551,I551+1)</f>
        <v>79</v>
      </c>
      <c r="J552">
        <f t="shared" si="44"/>
        <v>550</v>
      </c>
      <c r="K552">
        <f>IF(calendar[[#This Row],[Month]]&lt;4,1,IF(calendar[[#This Row],[Month]]&lt;7,2,IF(calendar[[#This Row],[Month]]&lt;10,3,4)))</f>
        <v>3</v>
      </c>
      <c r="L552">
        <f>IFERROR(IF(VLOOKUP(calendar[[#This Row],[Date]],BH!A:A,1,)&lt;&gt;"",1,0),0)</f>
        <v>0</v>
      </c>
      <c r="M552">
        <f>IFERROR(IF(VLOOKUP(calendar[[#This Row],[Date]],BH!C:C,1,)&lt;&gt;"",1,0),0)</f>
        <v>0</v>
      </c>
      <c r="N552">
        <f>IFERROR(IF(VLOOKUP(calendar[[#This Row],[Date]],BH!E:E,1,)&lt;&gt;"",1,0),0)</f>
        <v>0</v>
      </c>
      <c r="O552">
        <f>IFERROR(IF(VLOOKUP(calendar[[#This Row],[Date]],BH!G:G,1,)&lt;&gt;"",1,0),0)</f>
        <v>0</v>
      </c>
      <c r="P552">
        <f>IF(OR(calendar[[#This Row],[UK_BH]]=1,calendar[[#This Row],[WeekDay]]=1, calendar[[#This Row],[WeekDay]]=7),P551,P551+1)</f>
        <v>394</v>
      </c>
      <c r="Q552">
        <f>IF(OR(calendar[[#This Row],[FR_BH]]=1,calendar[[#This Row],[WeekDay]]=1, calendar[[#This Row],[WeekDay]]=7),P551,P551+1)</f>
        <v>394</v>
      </c>
      <c r="R552">
        <f>IF(OR(calendar[[#This Row],[SP_BH]]=1,calendar[[#This Row],[WeekDay]]=1, calendar[[#This Row],[WeekDay]]=7),P551,P551+1)</f>
        <v>394</v>
      </c>
      <c r="S552">
        <f>IF(OR(calendar[[#This Row],[PT_BH]]=1,calendar[[#This Row],[WeekDay]]=1, calendar[[#This Row],[WeekDay]]=7),P551,P551+1)</f>
        <v>394</v>
      </c>
    </row>
    <row r="553" spans="1:19" x14ac:dyDescent="0.25">
      <c r="A553" s="2">
        <v>43287</v>
      </c>
      <c r="B553" s="1">
        <f t="shared" si="43"/>
        <v>27</v>
      </c>
      <c r="C553">
        <f t="shared" si="45"/>
        <v>7</v>
      </c>
      <c r="D553" t="str">
        <f t="shared" si="46"/>
        <v>July</v>
      </c>
      <c r="E553">
        <f t="shared" si="47"/>
        <v>2018</v>
      </c>
      <c r="F553" t="str">
        <f>CONCATENATE(calendar[[#This Row],[Month]],"/",calendar[[#This Row],[Year]])</f>
        <v>7/2018</v>
      </c>
      <c r="G553">
        <f>WEEKDAY(calendar[[#This Row],[Date]],1)</f>
        <v>6</v>
      </c>
      <c r="H553" t="str">
        <f>TEXT(calendar[[#This Row],[WeekDay]],"dddd")</f>
        <v>Friday</v>
      </c>
      <c r="I553">
        <f>IF((INT(calendar[[#This Row],[Count]]/7)-calendar[[#This Row],[Count]]/7)&lt;0,I552,I552+1)</f>
        <v>79</v>
      </c>
      <c r="J553">
        <f t="shared" si="44"/>
        <v>551</v>
      </c>
      <c r="K553">
        <f>IF(calendar[[#This Row],[Month]]&lt;4,1,IF(calendar[[#This Row],[Month]]&lt;7,2,IF(calendar[[#This Row],[Month]]&lt;10,3,4)))</f>
        <v>3</v>
      </c>
      <c r="L553">
        <f>IFERROR(IF(VLOOKUP(calendar[[#This Row],[Date]],BH!A:A,1,)&lt;&gt;"",1,0),0)</f>
        <v>0</v>
      </c>
      <c r="M553">
        <f>IFERROR(IF(VLOOKUP(calendar[[#This Row],[Date]],BH!C:C,1,)&lt;&gt;"",1,0),0)</f>
        <v>0</v>
      </c>
      <c r="N553">
        <f>IFERROR(IF(VLOOKUP(calendar[[#This Row],[Date]],BH!E:E,1,)&lt;&gt;"",1,0),0)</f>
        <v>0</v>
      </c>
      <c r="O553">
        <f>IFERROR(IF(VLOOKUP(calendar[[#This Row],[Date]],BH!G:G,1,)&lt;&gt;"",1,0),0)</f>
        <v>0</v>
      </c>
      <c r="P553">
        <f>IF(OR(calendar[[#This Row],[UK_BH]]=1,calendar[[#This Row],[WeekDay]]=1, calendar[[#This Row],[WeekDay]]=7),P552,P552+1)</f>
        <v>395</v>
      </c>
      <c r="Q553">
        <f>IF(OR(calendar[[#This Row],[FR_BH]]=1,calendar[[#This Row],[WeekDay]]=1, calendar[[#This Row],[WeekDay]]=7),P552,P552+1)</f>
        <v>395</v>
      </c>
      <c r="R553">
        <f>IF(OR(calendar[[#This Row],[SP_BH]]=1,calendar[[#This Row],[WeekDay]]=1, calendar[[#This Row],[WeekDay]]=7),P552,P552+1)</f>
        <v>395</v>
      </c>
      <c r="S553">
        <f>IF(OR(calendar[[#This Row],[PT_BH]]=1,calendar[[#This Row],[WeekDay]]=1, calendar[[#This Row],[WeekDay]]=7),P552,P552+1)</f>
        <v>395</v>
      </c>
    </row>
    <row r="554" spans="1:19" x14ac:dyDescent="0.25">
      <c r="A554" s="2">
        <v>43288</v>
      </c>
      <c r="B554" s="1">
        <f t="shared" si="43"/>
        <v>27</v>
      </c>
      <c r="C554">
        <f t="shared" si="45"/>
        <v>7</v>
      </c>
      <c r="D554" t="str">
        <f t="shared" si="46"/>
        <v>July</v>
      </c>
      <c r="E554">
        <f t="shared" si="47"/>
        <v>2018</v>
      </c>
      <c r="F554" t="str">
        <f>CONCATENATE(calendar[[#This Row],[Month]],"/",calendar[[#This Row],[Year]])</f>
        <v>7/2018</v>
      </c>
      <c r="G554">
        <f>WEEKDAY(calendar[[#This Row],[Date]],1)</f>
        <v>7</v>
      </c>
      <c r="H554" t="str">
        <f>TEXT(calendar[[#This Row],[WeekDay]],"dddd")</f>
        <v>Saturday</v>
      </c>
      <c r="I554">
        <f>IF((INT(calendar[[#This Row],[Count]]/7)-calendar[[#This Row],[Count]]/7)&lt;0,I553,I553+1)</f>
        <v>79</v>
      </c>
      <c r="J554">
        <f t="shared" si="44"/>
        <v>552</v>
      </c>
      <c r="K554">
        <f>IF(calendar[[#This Row],[Month]]&lt;4,1,IF(calendar[[#This Row],[Month]]&lt;7,2,IF(calendar[[#This Row],[Month]]&lt;10,3,4)))</f>
        <v>3</v>
      </c>
      <c r="L554">
        <f>IFERROR(IF(VLOOKUP(calendar[[#This Row],[Date]],BH!A:A,1,)&lt;&gt;"",1,0),0)</f>
        <v>0</v>
      </c>
      <c r="M554">
        <f>IFERROR(IF(VLOOKUP(calendar[[#This Row],[Date]],BH!C:C,1,)&lt;&gt;"",1,0),0)</f>
        <v>0</v>
      </c>
      <c r="N554">
        <f>IFERROR(IF(VLOOKUP(calendar[[#This Row],[Date]],BH!E:E,1,)&lt;&gt;"",1,0),0)</f>
        <v>0</v>
      </c>
      <c r="O554">
        <f>IFERROR(IF(VLOOKUP(calendar[[#This Row],[Date]],BH!G:G,1,)&lt;&gt;"",1,0),0)</f>
        <v>0</v>
      </c>
      <c r="P554">
        <f>IF(OR(calendar[[#This Row],[UK_BH]]=1,calendar[[#This Row],[WeekDay]]=1, calendar[[#This Row],[WeekDay]]=7),P553,P553+1)</f>
        <v>395</v>
      </c>
      <c r="Q554">
        <f>IF(OR(calendar[[#This Row],[FR_BH]]=1,calendar[[#This Row],[WeekDay]]=1, calendar[[#This Row],[WeekDay]]=7),P553,P553+1)</f>
        <v>395</v>
      </c>
      <c r="R554">
        <f>IF(OR(calendar[[#This Row],[SP_BH]]=1,calendar[[#This Row],[WeekDay]]=1, calendar[[#This Row],[WeekDay]]=7),P553,P553+1)</f>
        <v>395</v>
      </c>
      <c r="S554">
        <f>IF(OR(calendar[[#This Row],[PT_BH]]=1,calendar[[#This Row],[WeekDay]]=1, calendar[[#This Row],[WeekDay]]=7),P553,P553+1)</f>
        <v>395</v>
      </c>
    </row>
    <row r="555" spans="1:19" x14ac:dyDescent="0.25">
      <c r="A555" s="2">
        <v>43289</v>
      </c>
      <c r="B555" s="1">
        <f t="shared" si="43"/>
        <v>28</v>
      </c>
      <c r="C555">
        <f t="shared" si="45"/>
        <v>7</v>
      </c>
      <c r="D555" t="str">
        <f t="shared" si="46"/>
        <v>July</v>
      </c>
      <c r="E555">
        <f t="shared" si="47"/>
        <v>2018</v>
      </c>
      <c r="F555" t="str">
        <f>CONCATENATE(calendar[[#This Row],[Month]],"/",calendar[[#This Row],[Year]])</f>
        <v>7/2018</v>
      </c>
      <c r="G555">
        <f>WEEKDAY(calendar[[#This Row],[Date]],1)</f>
        <v>1</v>
      </c>
      <c r="H555" t="str">
        <f>TEXT(calendar[[#This Row],[WeekDay]],"dddd")</f>
        <v>Sunday</v>
      </c>
      <c r="I555">
        <f>IF((INT(calendar[[#This Row],[Count]]/7)-calendar[[#This Row],[Count]]/7)&lt;0,I554,I554+1)</f>
        <v>80</v>
      </c>
      <c r="J555">
        <f t="shared" si="44"/>
        <v>553</v>
      </c>
      <c r="K555">
        <f>IF(calendar[[#This Row],[Month]]&lt;4,1,IF(calendar[[#This Row],[Month]]&lt;7,2,IF(calendar[[#This Row],[Month]]&lt;10,3,4)))</f>
        <v>3</v>
      </c>
      <c r="L555">
        <f>IFERROR(IF(VLOOKUP(calendar[[#This Row],[Date]],BH!A:A,1,)&lt;&gt;"",1,0),0)</f>
        <v>0</v>
      </c>
      <c r="M555">
        <f>IFERROR(IF(VLOOKUP(calendar[[#This Row],[Date]],BH!C:C,1,)&lt;&gt;"",1,0),0)</f>
        <v>0</v>
      </c>
      <c r="N555">
        <f>IFERROR(IF(VLOOKUP(calendar[[#This Row],[Date]],BH!E:E,1,)&lt;&gt;"",1,0),0)</f>
        <v>0</v>
      </c>
      <c r="O555">
        <f>IFERROR(IF(VLOOKUP(calendar[[#This Row],[Date]],BH!G:G,1,)&lt;&gt;"",1,0),0)</f>
        <v>0</v>
      </c>
      <c r="P555">
        <f>IF(OR(calendar[[#This Row],[UK_BH]]=1,calendar[[#This Row],[WeekDay]]=1, calendar[[#This Row],[WeekDay]]=7),P554,P554+1)</f>
        <v>395</v>
      </c>
      <c r="Q555">
        <f>IF(OR(calendar[[#This Row],[FR_BH]]=1,calendar[[#This Row],[WeekDay]]=1, calendar[[#This Row],[WeekDay]]=7),P554,P554+1)</f>
        <v>395</v>
      </c>
      <c r="R555">
        <f>IF(OR(calendar[[#This Row],[SP_BH]]=1,calendar[[#This Row],[WeekDay]]=1, calendar[[#This Row],[WeekDay]]=7),P554,P554+1)</f>
        <v>395</v>
      </c>
      <c r="S555">
        <f>IF(OR(calendar[[#This Row],[PT_BH]]=1,calendar[[#This Row],[WeekDay]]=1, calendar[[#This Row],[WeekDay]]=7),P554,P554+1)</f>
        <v>395</v>
      </c>
    </row>
    <row r="556" spans="1:19" x14ac:dyDescent="0.25">
      <c r="A556" s="2">
        <v>43290</v>
      </c>
      <c r="B556" s="1">
        <f t="shared" si="43"/>
        <v>28</v>
      </c>
      <c r="C556">
        <f t="shared" si="45"/>
        <v>7</v>
      </c>
      <c r="D556" t="str">
        <f t="shared" si="46"/>
        <v>July</v>
      </c>
      <c r="E556">
        <f t="shared" si="47"/>
        <v>2018</v>
      </c>
      <c r="F556" t="str">
        <f>CONCATENATE(calendar[[#This Row],[Month]],"/",calendar[[#This Row],[Year]])</f>
        <v>7/2018</v>
      </c>
      <c r="G556">
        <f>WEEKDAY(calendar[[#This Row],[Date]],1)</f>
        <v>2</v>
      </c>
      <c r="H556" t="str">
        <f>TEXT(calendar[[#This Row],[WeekDay]],"dddd")</f>
        <v>Monday</v>
      </c>
      <c r="I556">
        <f>IF((INT(calendar[[#This Row],[Count]]/7)-calendar[[#This Row],[Count]]/7)&lt;0,I555,I555+1)</f>
        <v>80</v>
      </c>
      <c r="J556">
        <f t="shared" si="44"/>
        <v>554</v>
      </c>
      <c r="K556">
        <f>IF(calendar[[#This Row],[Month]]&lt;4,1,IF(calendar[[#This Row],[Month]]&lt;7,2,IF(calendar[[#This Row],[Month]]&lt;10,3,4)))</f>
        <v>3</v>
      </c>
      <c r="L556">
        <f>IFERROR(IF(VLOOKUP(calendar[[#This Row],[Date]],BH!A:A,1,)&lt;&gt;"",1,0),0)</f>
        <v>0</v>
      </c>
      <c r="M556">
        <f>IFERROR(IF(VLOOKUP(calendar[[#This Row],[Date]],BH!C:C,1,)&lt;&gt;"",1,0),0)</f>
        <v>0</v>
      </c>
      <c r="N556">
        <f>IFERROR(IF(VLOOKUP(calendar[[#This Row],[Date]],BH!E:E,1,)&lt;&gt;"",1,0),0)</f>
        <v>0</v>
      </c>
      <c r="O556">
        <f>IFERROR(IF(VLOOKUP(calendar[[#This Row],[Date]],BH!G:G,1,)&lt;&gt;"",1,0),0)</f>
        <v>0</v>
      </c>
      <c r="P556">
        <f>IF(OR(calendar[[#This Row],[UK_BH]]=1,calendar[[#This Row],[WeekDay]]=1, calendar[[#This Row],[WeekDay]]=7),P555,P555+1)</f>
        <v>396</v>
      </c>
      <c r="Q556">
        <f>IF(OR(calendar[[#This Row],[FR_BH]]=1,calendar[[#This Row],[WeekDay]]=1, calendar[[#This Row],[WeekDay]]=7),P555,P555+1)</f>
        <v>396</v>
      </c>
      <c r="R556">
        <f>IF(OR(calendar[[#This Row],[SP_BH]]=1,calendar[[#This Row],[WeekDay]]=1, calendar[[#This Row],[WeekDay]]=7),P555,P555+1)</f>
        <v>396</v>
      </c>
      <c r="S556">
        <f>IF(OR(calendar[[#This Row],[PT_BH]]=1,calendar[[#This Row],[WeekDay]]=1, calendar[[#This Row],[WeekDay]]=7),P555,P555+1)</f>
        <v>396</v>
      </c>
    </row>
    <row r="557" spans="1:19" x14ac:dyDescent="0.25">
      <c r="A557" s="2">
        <v>43291</v>
      </c>
      <c r="B557" s="1">
        <f t="shared" si="43"/>
        <v>28</v>
      </c>
      <c r="C557">
        <f t="shared" si="45"/>
        <v>7</v>
      </c>
      <c r="D557" t="str">
        <f t="shared" si="46"/>
        <v>July</v>
      </c>
      <c r="E557">
        <f t="shared" si="47"/>
        <v>2018</v>
      </c>
      <c r="F557" t="str">
        <f>CONCATENATE(calendar[[#This Row],[Month]],"/",calendar[[#This Row],[Year]])</f>
        <v>7/2018</v>
      </c>
      <c r="G557">
        <f>WEEKDAY(calendar[[#This Row],[Date]],1)</f>
        <v>3</v>
      </c>
      <c r="H557" t="str">
        <f>TEXT(calendar[[#This Row],[WeekDay]],"dddd")</f>
        <v>Tuesday</v>
      </c>
      <c r="I557">
        <f>IF((INT(calendar[[#This Row],[Count]]/7)-calendar[[#This Row],[Count]]/7)&lt;0,I556,I556+1)</f>
        <v>80</v>
      </c>
      <c r="J557">
        <f t="shared" si="44"/>
        <v>555</v>
      </c>
      <c r="K557">
        <f>IF(calendar[[#This Row],[Month]]&lt;4,1,IF(calendar[[#This Row],[Month]]&lt;7,2,IF(calendar[[#This Row],[Month]]&lt;10,3,4)))</f>
        <v>3</v>
      </c>
      <c r="L557">
        <f>IFERROR(IF(VLOOKUP(calendar[[#This Row],[Date]],BH!A:A,1,)&lt;&gt;"",1,0),0)</f>
        <v>0</v>
      </c>
      <c r="M557">
        <f>IFERROR(IF(VLOOKUP(calendar[[#This Row],[Date]],BH!C:C,1,)&lt;&gt;"",1,0),0)</f>
        <v>0</v>
      </c>
      <c r="N557">
        <f>IFERROR(IF(VLOOKUP(calendar[[#This Row],[Date]],BH!E:E,1,)&lt;&gt;"",1,0),0)</f>
        <v>0</v>
      </c>
      <c r="O557">
        <f>IFERROR(IF(VLOOKUP(calendar[[#This Row],[Date]],BH!G:G,1,)&lt;&gt;"",1,0),0)</f>
        <v>0</v>
      </c>
      <c r="P557">
        <f>IF(OR(calendar[[#This Row],[UK_BH]]=1,calendar[[#This Row],[WeekDay]]=1, calendar[[#This Row],[WeekDay]]=7),P556,P556+1)</f>
        <v>397</v>
      </c>
      <c r="Q557">
        <f>IF(OR(calendar[[#This Row],[FR_BH]]=1,calendar[[#This Row],[WeekDay]]=1, calendar[[#This Row],[WeekDay]]=7),P556,P556+1)</f>
        <v>397</v>
      </c>
      <c r="R557">
        <f>IF(OR(calendar[[#This Row],[SP_BH]]=1,calendar[[#This Row],[WeekDay]]=1, calendar[[#This Row],[WeekDay]]=7),P556,P556+1)</f>
        <v>397</v>
      </c>
      <c r="S557">
        <f>IF(OR(calendar[[#This Row],[PT_BH]]=1,calendar[[#This Row],[WeekDay]]=1, calendar[[#This Row],[WeekDay]]=7),P556,P556+1)</f>
        <v>397</v>
      </c>
    </row>
    <row r="558" spans="1:19" x14ac:dyDescent="0.25">
      <c r="A558" s="2">
        <v>43292</v>
      </c>
      <c r="B558" s="1">
        <f t="shared" si="43"/>
        <v>28</v>
      </c>
      <c r="C558">
        <f t="shared" si="45"/>
        <v>7</v>
      </c>
      <c r="D558" t="str">
        <f t="shared" si="46"/>
        <v>July</v>
      </c>
      <c r="E558">
        <f t="shared" si="47"/>
        <v>2018</v>
      </c>
      <c r="F558" t="str">
        <f>CONCATENATE(calendar[[#This Row],[Month]],"/",calendar[[#This Row],[Year]])</f>
        <v>7/2018</v>
      </c>
      <c r="G558">
        <f>WEEKDAY(calendar[[#This Row],[Date]],1)</f>
        <v>4</v>
      </c>
      <c r="H558" t="str">
        <f>TEXT(calendar[[#This Row],[WeekDay]],"dddd")</f>
        <v>Wednesday</v>
      </c>
      <c r="I558">
        <f>IF((INT(calendar[[#This Row],[Count]]/7)-calendar[[#This Row],[Count]]/7)&lt;0,I557,I557+1)</f>
        <v>80</v>
      </c>
      <c r="J558">
        <f t="shared" si="44"/>
        <v>556</v>
      </c>
      <c r="K558">
        <f>IF(calendar[[#This Row],[Month]]&lt;4,1,IF(calendar[[#This Row],[Month]]&lt;7,2,IF(calendar[[#This Row],[Month]]&lt;10,3,4)))</f>
        <v>3</v>
      </c>
      <c r="L558">
        <f>IFERROR(IF(VLOOKUP(calendar[[#This Row],[Date]],BH!A:A,1,)&lt;&gt;"",1,0),0)</f>
        <v>0</v>
      </c>
      <c r="M558">
        <f>IFERROR(IF(VLOOKUP(calendar[[#This Row],[Date]],BH!C:C,1,)&lt;&gt;"",1,0),0)</f>
        <v>0</v>
      </c>
      <c r="N558">
        <f>IFERROR(IF(VLOOKUP(calendar[[#This Row],[Date]],BH!E:E,1,)&lt;&gt;"",1,0),0)</f>
        <v>0</v>
      </c>
      <c r="O558">
        <f>IFERROR(IF(VLOOKUP(calendar[[#This Row],[Date]],BH!G:G,1,)&lt;&gt;"",1,0),0)</f>
        <v>0</v>
      </c>
      <c r="P558">
        <f>IF(OR(calendar[[#This Row],[UK_BH]]=1,calendar[[#This Row],[WeekDay]]=1, calendar[[#This Row],[WeekDay]]=7),P557,P557+1)</f>
        <v>398</v>
      </c>
      <c r="Q558">
        <f>IF(OR(calendar[[#This Row],[FR_BH]]=1,calendar[[#This Row],[WeekDay]]=1, calendar[[#This Row],[WeekDay]]=7),P557,P557+1)</f>
        <v>398</v>
      </c>
      <c r="R558">
        <f>IF(OR(calendar[[#This Row],[SP_BH]]=1,calendar[[#This Row],[WeekDay]]=1, calendar[[#This Row],[WeekDay]]=7),P557,P557+1)</f>
        <v>398</v>
      </c>
      <c r="S558">
        <f>IF(OR(calendar[[#This Row],[PT_BH]]=1,calendar[[#This Row],[WeekDay]]=1, calendar[[#This Row],[WeekDay]]=7),P557,P557+1)</f>
        <v>398</v>
      </c>
    </row>
    <row r="559" spans="1:19" x14ac:dyDescent="0.25">
      <c r="A559" s="2">
        <v>43293</v>
      </c>
      <c r="B559" s="1">
        <f t="shared" si="43"/>
        <v>28</v>
      </c>
      <c r="C559">
        <f t="shared" si="45"/>
        <v>7</v>
      </c>
      <c r="D559" t="str">
        <f t="shared" si="46"/>
        <v>July</v>
      </c>
      <c r="E559">
        <f t="shared" si="47"/>
        <v>2018</v>
      </c>
      <c r="F559" t="str">
        <f>CONCATENATE(calendar[[#This Row],[Month]],"/",calendar[[#This Row],[Year]])</f>
        <v>7/2018</v>
      </c>
      <c r="G559">
        <f>WEEKDAY(calendar[[#This Row],[Date]],1)</f>
        <v>5</v>
      </c>
      <c r="H559" t="str">
        <f>TEXT(calendar[[#This Row],[WeekDay]],"dddd")</f>
        <v>Thursday</v>
      </c>
      <c r="I559">
        <f>IF((INT(calendar[[#This Row],[Count]]/7)-calendar[[#This Row],[Count]]/7)&lt;0,I558,I558+1)</f>
        <v>80</v>
      </c>
      <c r="J559">
        <f t="shared" si="44"/>
        <v>557</v>
      </c>
      <c r="K559">
        <f>IF(calendar[[#This Row],[Month]]&lt;4,1,IF(calendar[[#This Row],[Month]]&lt;7,2,IF(calendar[[#This Row],[Month]]&lt;10,3,4)))</f>
        <v>3</v>
      </c>
      <c r="L559">
        <f>IFERROR(IF(VLOOKUP(calendar[[#This Row],[Date]],BH!A:A,1,)&lt;&gt;"",1,0),0)</f>
        <v>0</v>
      </c>
      <c r="M559">
        <f>IFERROR(IF(VLOOKUP(calendar[[#This Row],[Date]],BH!C:C,1,)&lt;&gt;"",1,0),0)</f>
        <v>0</v>
      </c>
      <c r="N559">
        <f>IFERROR(IF(VLOOKUP(calendar[[#This Row],[Date]],BH!E:E,1,)&lt;&gt;"",1,0),0)</f>
        <v>0</v>
      </c>
      <c r="O559">
        <f>IFERROR(IF(VLOOKUP(calendar[[#This Row],[Date]],BH!G:G,1,)&lt;&gt;"",1,0),0)</f>
        <v>0</v>
      </c>
      <c r="P559">
        <f>IF(OR(calendar[[#This Row],[UK_BH]]=1,calendar[[#This Row],[WeekDay]]=1, calendar[[#This Row],[WeekDay]]=7),P558,P558+1)</f>
        <v>399</v>
      </c>
      <c r="Q559">
        <f>IF(OR(calendar[[#This Row],[FR_BH]]=1,calendar[[#This Row],[WeekDay]]=1, calendar[[#This Row],[WeekDay]]=7),P558,P558+1)</f>
        <v>399</v>
      </c>
      <c r="R559">
        <f>IF(OR(calendar[[#This Row],[SP_BH]]=1,calendar[[#This Row],[WeekDay]]=1, calendar[[#This Row],[WeekDay]]=7),P558,P558+1)</f>
        <v>399</v>
      </c>
      <c r="S559">
        <f>IF(OR(calendar[[#This Row],[PT_BH]]=1,calendar[[#This Row],[WeekDay]]=1, calendar[[#This Row],[WeekDay]]=7),P558,P558+1)</f>
        <v>399</v>
      </c>
    </row>
    <row r="560" spans="1:19" x14ac:dyDescent="0.25">
      <c r="A560" s="2">
        <v>43294</v>
      </c>
      <c r="B560" s="1">
        <f t="shared" si="43"/>
        <v>28</v>
      </c>
      <c r="C560">
        <f t="shared" si="45"/>
        <v>7</v>
      </c>
      <c r="D560" t="str">
        <f t="shared" si="46"/>
        <v>July</v>
      </c>
      <c r="E560">
        <f t="shared" si="47"/>
        <v>2018</v>
      </c>
      <c r="F560" t="str">
        <f>CONCATENATE(calendar[[#This Row],[Month]],"/",calendar[[#This Row],[Year]])</f>
        <v>7/2018</v>
      </c>
      <c r="G560">
        <f>WEEKDAY(calendar[[#This Row],[Date]],1)</f>
        <v>6</v>
      </c>
      <c r="H560" t="str">
        <f>TEXT(calendar[[#This Row],[WeekDay]],"dddd")</f>
        <v>Friday</v>
      </c>
      <c r="I560">
        <f>IF((INT(calendar[[#This Row],[Count]]/7)-calendar[[#This Row],[Count]]/7)&lt;0,I559,I559+1)</f>
        <v>80</v>
      </c>
      <c r="J560">
        <f t="shared" si="44"/>
        <v>558</v>
      </c>
      <c r="K560">
        <f>IF(calendar[[#This Row],[Month]]&lt;4,1,IF(calendar[[#This Row],[Month]]&lt;7,2,IF(calendar[[#This Row],[Month]]&lt;10,3,4)))</f>
        <v>3</v>
      </c>
      <c r="L560">
        <f>IFERROR(IF(VLOOKUP(calendar[[#This Row],[Date]],BH!A:A,1,)&lt;&gt;"",1,0),0)</f>
        <v>0</v>
      </c>
      <c r="M560">
        <f>IFERROR(IF(VLOOKUP(calendar[[#This Row],[Date]],BH!C:C,1,)&lt;&gt;"",1,0),0)</f>
        <v>0</v>
      </c>
      <c r="N560">
        <f>IFERROR(IF(VLOOKUP(calendar[[#This Row],[Date]],BH!E:E,1,)&lt;&gt;"",1,0),0)</f>
        <v>0</v>
      </c>
      <c r="O560">
        <f>IFERROR(IF(VLOOKUP(calendar[[#This Row],[Date]],BH!G:G,1,)&lt;&gt;"",1,0),0)</f>
        <v>0</v>
      </c>
      <c r="P560">
        <f>IF(OR(calendar[[#This Row],[UK_BH]]=1,calendar[[#This Row],[WeekDay]]=1, calendar[[#This Row],[WeekDay]]=7),P559,P559+1)</f>
        <v>400</v>
      </c>
      <c r="Q560">
        <f>IF(OR(calendar[[#This Row],[FR_BH]]=1,calendar[[#This Row],[WeekDay]]=1, calendar[[#This Row],[WeekDay]]=7),P559,P559+1)</f>
        <v>400</v>
      </c>
      <c r="R560">
        <f>IF(OR(calendar[[#This Row],[SP_BH]]=1,calendar[[#This Row],[WeekDay]]=1, calendar[[#This Row],[WeekDay]]=7),P559,P559+1)</f>
        <v>400</v>
      </c>
      <c r="S560">
        <f>IF(OR(calendar[[#This Row],[PT_BH]]=1,calendar[[#This Row],[WeekDay]]=1, calendar[[#This Row],[WeekDay]]=7),P559,P559+1)</f>
        <v>400</v>
      </c>
    </row>
    <row r="561" spans="1:19" x14ac:dyDescent="0.25">
      <c r="A561" s="2">
        <v>43295</v>
      </c>
      <c r="B561" s="1">
        <f t="shared" si="43"/>
        <v>28</v>
      </c>
      <c r="C561">
        <f t="shared" si="45"/>
        <v>7</v>
      </c>
      <c r="D561" t="str">
        <f t="shared" si="46"/>
        <v>July</v>
      </c>
      <c r="E561">
        <f t="shared" si="47"/>
        <v>2018</v>
      </c>
      <c r="F561" t="str">
        <f>CONCATENATE(calendar[[#This Row],[Month]],"/",calendar[[#This Row],[Year]])</f>
        <v>7/2018</v>
      </c>
      <c r="G561">
        <f>WEEKDAY(calendar[[#This Row],[Date]],1)</f>
        <v>7</v>
      </c>
      <c r="H561" t="str">
        <f>TEXT(calendar[[#This Row],[WeekDay]],"dddd")</f>
        <v>Saturday</v>
      </c>
      <c r="I561">
        <f>IF((INT(calendar[[#This Row],[Count]]/7)-calendar[[#This Row],[Count]]/7)&lt;0,I560,I560+1)</f>
        <v>80</v>
      </c>
      <c r="J561">
        <f t="shared" si="44"/>
        <v>559</v>
      </c>
      <c r="K561">
        <f>IF(calendar[[#This Row],[Month]]&lt;4,1,IF(calendar[[#This Row],[Month]]&lt;7,2,IF(calendar[[#This Row],[Month]]&lt;10,3,4)))</f>
        <v>3</v>
      </c>
      <c r="L561">
        <f>IFERROR(IF(VLOOKUP(calendar[[#This Row],[Date]],BH!A:A,1,)&lt;&gt;"",1,0),0)</f>
        <v>0</v>
      </c>
      <c r="M561">
        <f>IFERROR(IF(VLOOKUP(calendar[[#This Row],[Date]],BH!C:C,1,)&lt;&gt;"",1,0),0)</f>
        <v>0</v>
      </c>
      <c r="N561">
        <f>IFERROR(IF(VLOOKUP(calendar[[#This Row],[Date]],BH!E:E,1,)&lt;&gt;"",1,0),0)</f>
        <v>0</v>
      </c>
      <c r="O561">
        <f>IFERROR(IF(VLOOKUP(calendar[[#This Row],[Date]],BH!G:G,1,)&lt;&gt;"",1,0),0)</f>
        <v>0</v>
      </c>
      <c r="P561">
        <f>IF(OR(calendar[[#This Row],[UK_BH]]=1,calendar[[#This Row],[WeekDay]]=1, calendar[[#This Row],[WeekDay]]=7),P560,P560+1)</f>
        <v>400</v>
      </c>
      <c r="Q561">
        <f>IF(OR(calendar[[#This Row],[FR_BH]]=1,calendar[[#This Row],[WeekDay]]=1, calendar[[#This Row],[WeekDay]]=7),P560,P560+1)</f>
        <v>400</v>
      </c>
      <c r="R561">
        <f>IF(OR(calendar[[#This Row],[SP_BH]]=1,calendar[[#This Row],[WeekDay]]=1, calendar[[#This Row],[WeekDay]]=7),P560,P560+1)</f>
        <v>400</v>
      </c>
      <c r="S561">
        <f>IF(OR(calendar[[#This Row],[PT_BH]]=1,calendar[[#This Row],[WeekDay]]=1, calendar[[#This Row],[WeekDay]]=7),P560,P560+1)</f>
        <v>400</v>
      </c>
    </row>
    <row r="562" spans="1:19" x14ac:dyDescent="0.25">
      <c r="A562" s="2">
        <v>43296</v>
      </c>
      <c r="B562" s="1">
        <f t="shared" si="43"/>
        <v>29</v>
      </c>
      <c r="C562">
        <f t="shared" si="45"/>
        <v>7</v>
      </c>
      <c r="D562" t="str">
        <f t="shared" si="46"/>
        <v>July</v>
      </c>
      <c r="E562">
        <f t="shared" si="47"/>
        <v>2018</v>
      </c>
      <c r="F562" t="str">
        <f>CONCATENATE(calendar[[#This Row],[Month]],"/",calendar[[#This Row],[Year]])</f>
        <v>7/2018</v>
      </c>
      <c r="G562">
        <f>WEEKDAY(calendar[[#This Row],[Date]],1)</f>
        <v>1</v>
      </c>
      <c r="H562" t="str">
        <f>TEXT(calendar[[#This Row],[WeekDay]],"dddd")</f>
        <v>Sunday</v>
      </c>
      <c r="I562">
        <f>IF((INT(calendar[[#This Row],[Count]]/7)-calendar[[#This Row],[Count]]/7)&lt;0,I561,I561+1)</f>
        <v>81</v>
      </c>
      <c r="J562">
        <f t="shared" si="44"/>
        <v>560</v>
      </c>
      <c r="K562">
        <f>IF(calendar[[#This Row],[Month]]&lt;4,1,IF(calendar[[#This Row],[Month]]&lt;7,2,IF(calendar[[#This Row],[Month]]&lt;10,3,4)))</f>
        <v>3</v>
      </c>
      <c r="L562">
        <f>IFERROR(IF(VLOOKUP(calendar[[#This Row],[Date]],BH!A:A,1,)&lt;&gt;"",1,0),0)</f>
        <v>0</v>
      </c>
      <c r="M562">
        <f>IFERROR(IF(VLOOKUP(calendar[[#This Row],[Date]],BH!C:C,1,)&lt;&gt;"",1,0),0)</f>
        <v>0</v>
      </c>
      <c r="N562">
        <f>IFERROR(IF(VLOOKUP(calendar[[#This Row],[Date]],BH!E:E,1,)&lt;&gt;"",1,0),0)</f>
        <v>0</v>
      </c>
      <c r="O562">
        <f>IFERROR(IF(VLOOKUP(calendar[[#This Row],[Date]],BH!G:G,1,)&lt;&gt;"",1,0),0)</f>
        <v>0</v>
      </c>
      <c r="P562">
        <f>IF(OR(calendar[[#This Row],[UK_BH]]=1,calendar[[#This Row],[WeekDay]]=1, calendar[[#This Row],[WeekDay]]=7),P561,P561+1)</f>
        <v>400</v>
      </c>
      <c r="Q562">
        <f>IF(OR(calendar[[#This Row],[FR_BH]]=1,calendar[[#This Row],[WeekDay]]=1, calendar[[#This Row],[WeekDay]]=7),P561,P561+1)</f>
        <v>400</v>
      </c>
      <c r="R562">
        <f>IF(OR(calendar[[#This Row],[SP_BH]]=1,calendar[[#This Row],[WeekDay]]=1, calendar[[#This Row],[WeekDay]]=7),P561,P561+1)</f>
        <v>400</v>
      </c>
      <c r="S562">
        <f>IF(OR(calendar[[#This Row],[PT_BH]]=1,calendar[[#This Row],[WeekDay]]=1, calendar[[#This Row],[WeekDay]]=7),P561,P561+1)</f>
        <v>400</v>
      </c>
    </row>
    <row r="563" spans="1:19" x14ac:dyDescent="0.25">
      <c r="A563" s="2">
        <v>43297</v>
      </c>
      <c r="B563" s="1">
        <f t="shared" si="43"/>
        <v>29</v>
      </c>
      <c r="C563">
        <f t="shared" si="45"/>
        <v>7</v>
      </c>
      <c r="D563" t="str">
        <f t="shared" si="46"/>
        <v>July</v>
      </c>
      <c r="E563">
        <f t="shared" si="47"/>
        <v>2018</v>
      </c>
      <c r="F563" t="str">
        <f>CONCATENATE(calendar[[#This Row],[Month]],"/",calendar[[#This Row],[Year]])</f>
        <v>7/2018</v>
      </c>
      <c r="G563">
        <f>WEEKDAY(calendar[[#This Row],[Date]],1)</f>
        <v>2</v>
      </c>
      <c r="H563" t="str">
        <f>TEXT(calendar[[#This Row],[WeekDay]],"dddd")</f>
        <v>Monday</v>
      </c>
      <c r="I563">
        <f>IF((INT(calendar[[#This Row],[Count]]/7)-calendar[[#This Row],[Count]]/7)&lt;0,I562,I562+1)</f>
        <v>81</v>
      </c>
      <c r="J563">
        <f t="shared" si="44"/>
        <v>561</v>
      </c>
      <c r="K563">
        <f>IF(calendar[[#This Row],[Month]]&lt;4,1,IF(calendar[[#This Row],[Month]]&lt;7,2,IF(calendar[[#This Row],[Month]]&lt;10,3,4)))</f>
        <v>3</v>
      </c>
      <c r="L563">
        <f>IFERROR(IF(VLOOKUP(calendar[[#This Row],[Date]],BH!A:A,1,)&lt;&gt;"",1,0),0)</f>
        <v>0</v>
      </c>
      <c r="M563">
        <f>IFERROR(IF(VLOOKUP(calendar[[#This Row],[Date]],BH!C:C,1,)&lt;&gt;"",1,0),0)</f>
        <v>0</v>
      </c>
      <c r="N563">
        <f>IFERROR(IF(VLOOKUP(calendar[[#This Row],[Date]],BH!E:E,1,)&lt;&gt;"",1,0),0)</f>
        <v>0</v>
      </c>
      <c r="O563">
        <f>IFERROR(IF(VLOOKUP(calendar[[#This Row],[Date]],BH!G:G,1,)&lt;&gt;"",1,0),0)</f>
        <v>0</v>
      </c>
      <c r="P563">
        <f>IF(OR(calendar[[#This Row],[UK_BH]]=1,calendar[[#This Row],[WeekDay]]=1, calendar[[#This Row],[WeekDay]]=7),P562,P562+1)</f>
        <v>401</v>
      </c>
      <c r="Q563">
        <f>IF(OR(calendar[[#This Row],[FR_BH]]=1,calendar[[#This Row],[WeekDay]]=1, calendar[[#This Row],[WeekDay]]=7),P562,P562+1)</f>
        <v>401</v>
      </c>
      <c r="R563">
        <f>IF(OR(calendar[[#This Row],[SP_BH]]=1,calendar[[#This Row],[WeekDay]]=1, calendar[[#This Row],[WeekDay]]=7),P562,P562+1)</f>
        <v>401</v>
      </c>
      <c r="S563">
        <f>IF(OR(calendar[[#This Row],[PT_BH]]=1,calendar[[#This Row],[WeekDay]]=1, calendar[[#This Row],[WeekDay]]=7),P562,P562+1)</f>
        <v>401</v>
      </c>
    </row>
    <row r="564" spans="1:19" x14ac:dyDescent="0.25">
      <c r="A564" s="2">
        <v>43298</v>
      </c>
      <c r="B564" s="1">
        <f t="shared" si="43"/>
        <v>29</v>
      </c>
      <c r="C564">
        <f t="shared" si="45"/>
        <v>7</v>
      </c>
      <c r="D564" t="str">
        <f t="shared" si="46"/>
        <v>July</v>
      </c>
      <c r="E564">
        <f t="shared" si="47"/>
        <v>2018</v>
      </c>
      <c r="F564" t="str">
        <f>CONCATENATE(calendar[[#This Row],[Month]],"/",calendar[[#This Row],[Year]])</f>
        <v>7/2018</v>
      </c>
      <c r="G564">
        <f>WEEKDAY(calendar[[#This Row],[Date]],1)</f>
        <v>3</v>
      </c>
      <c r="H564" t="str">
        <f>TEXT(calendar[[#This Row],[WeekDay]],"dddd")</f>
        <v>Tuesday</v>
      </c>
      <c r="I564">
        <f>IF((INT(calendar[[#This Row],[Count]]/7)-calendar[[#This Row],[Count]]/7)&lt;0,I563,I563+1)</f>
        <v>81</v>
      </c>
      <c r="J564">
        <f t="shared" si="44"/>
        <v>562</v>
      </c>
      <c r="K564">
        <f>IF(calendar[[#This Row],[Month]]&lt;4,1,IF(calendar[[#This Row],[Month]]&lt;7,2,IF(calendar[[#This Row],[Month]]&lt;10,3,4)))</f>
        <v>3</v>
      </c>
      <c r="L564">
        <f>IFERROR(IF(VLOOKUP(calendar[[#This Row],[Date]],BH!A:A,1,)&lt;&gt;"",1,0),0)</f>
        <v>0</v>
      </c>
      <c r="M564">
        <f>IFERROR(IF(VLOOKUP(calendar[[#This Row],[Date]],BH!C:C,1,)&lt;&gt;"",1,0),0)</f>
        <v>0</v>
      </c>
      <c r="N564">
        <f>IFERROR(IF(VLOOKUP(calendar[[#This Row],[Date]],BH!E:E,1,)&lt;&gt;"",1,0),0)</f>
        <v>0</v>
      </c>
      <c r="O564">
        <f>IFERROR(IF(VLOOKUP(calendar[[#This Row],[Date]],BH!G:G,1,)&lt;&gt;"",1,0),0)</f>
        <v>0</v>
      </c>
      <c r="P564">
        <f>IF(OR(calendar[[#This Row],[UK_BH]]=1,calendar[[#This Row],[WeekDay]]=1, calendar[[#This Row],[WeekDay]]=7),P563,P563+1)</f>
        <v>402</v>
      </c>
      <c r="Q564">
        <f>IF(OR(calendar[[#This Row],[FR_BH]]=1,calendar[[#This Row],[WeekDay]]=1, calendar[[#This Row],[WeekDay]]=7),P563,P563+1)</f>
        <v>402</v>
      </c>
      <c r="R564">
        <f>IF(OR(calendar[[#This Row],[SP_BH]]=1,calendar[[#This Row],[WeekDay]]=1, calendar[[#This Row],[WeekDay]]=7),P563,P563+1)</f>
        <v>402</v>
      </c>
      <c r="S564">
        <f>IF(OR(calendar[[#This Row],[PT_BH]]=1,calendar[[#This Row],[WeekDay]]=1, calendar[[#This Row],[WeekDay]]=7),P563,P563+1)</f>
        <v>402</v>
      </c>
    </row>
    <row r="565" spans="1:19" x14ac:dyDescent="0.25">
      <c r="A565" s="2">
        <v>43299</v>
      </c>
      <c r="B565" s="1">
        <f t="shared" si="43"/>
        <v>29</v>
      </c>
      <c r="C565">
        <f t="shared" si="45"/>
        <v>7</v>
      </c>
      <c r="D565" t="str">
        <f t="shared" si="46"/>
        <v>July</v>
      </c>
      <c r="E565">
        <f t="shared" si="47"/>
        <v>2018</v>
      </c>
      <c r="F565" t="str">
        <f>CONCATENATE(calendar[[#This Row],[Month]],"/",calendar[[#This Row],[Year]])</f>
        <v>7/2018</v>
      </c>
      <c r="G565">
        <f>WEEKDAY(calendar[[#This Row],[Date]],1)</f>
        <v>4</v>
      </c>
      <c r="H565" t="str">
        <f>TEXT(calendar[[#This Row],[WeekDay]],"dddd")</f>
        <v>Wednesday</v>
      </c>
      <c r="I565">
        <f>IF((INT(calendar[[#This Row],[Count]]/7)-calendar[[#This Row],[Count]]/7)&lt;0,I564,I564+1)</f>
        <v>81</v>
      </c>
      <c r="J565">
        <f t="shared" si="44"/>
        <v>563</v>
      </c>
      <c r="K565">
        <f>IF(calendar[[#This Row],[Month]]&lt;4,1,IF(calendar[[#This Row],[Month]]&lt;7,2,IF(calendar[[#This Row],[Month]]&lt;10,3,4)))</f>
        <v>3</v>
      </c>
      <c r="L565">
        <f>IFERROR(IF(VLOOKUP(calendar[[#This Row],[Date]],BH!A:A,1,)&lt;&gt;"",1,0),0)</f>
        <v>0</v>
      </c>
      <c r="M565">
        <f>IFERROR(IF(VLOOKUP(calendar[[#This Row],[Date]],BH!C:C,1,)&lt;&gt;"",1,0),0)</f>
        <v>0</v>
      </c>
      <c r="N565">
        <f>IFERROR(IF(VLOOKUP(calendar[[#This Row],[Date]],BH!E:E,1,)&lt;&gt;"",1,0),0)</f>
        <v>0</v>
      </c>
      <c r="O565">
        <f>IFERROR(IF(VLOOKUP(calendar[[#This Row],[Date]],BH!G:G,1,)&lt;&gt;"",1,0),0)</f>
        <v>0</v>
      </c>
      <c r="P565">
        <f>IF(OR(calendar[[#This Row],[UK_BH]]=1,calendar[[#This Row],[WeekDay]]=1, calendar[[#This Row],[WeekDay]]=7),P564,P564+1)</f>
        <v>403</v>
      </c>
      <c r="Q565">
        <f>IF(OR(calendar[[#This Row],[FR_BH]]=1,calendar[[#This Row],[WeekDay]]=1, calendar[[#This Row],[WeekDay]]=7),P564,P564+1)</f>
        <v>403</v>
      </c>
      <c r="R565">
        <f>IF(OR(calendar[[#This Row],[SP_BH]]=1,calendar[[#This Row],[WeekDay]]=1, calendar[[#This Row],[WeekDay]]=7),P564,P564+1)</f>
        <v>403</v>
      </c>
      <c r="S565">
        <f>IF(OR(calendar[[#This Row],[PT_BH]]=1,calendar[[#This Row],[WeekDay]]=1, calendar[[#This Row],[WeekDay]]=7),P564,P564+1)</f>
        <v>403</v>
      </c>
    </row>
    <row r="566" spans="1:19" x14ac:dyDescent="0.25">
      <c r="A566" s="2">
        <v>43300</v>
      </c>
      <c r="B566" s="1">
        <f t="shared" si="43"/>
        <v>29</v>
      </c>
      <c r="C566">
        <f t="shared" si="45"/>
        <v>7</v>
      </c>
      <c r="D566" t="str">
        <f t="shared" si="46"/>
        <v>July</v>
      </c>
      <c r="E566">
        <f t="shared" si="47"/>
        <v>2018</v>
      </c>
      <c r="F566" t="str">
        <f>CONCATENATE(calendar[[#This Row],[Month]],"/",calendar[[#This Row],[Year]])</f>
        <v>7/2018</v>
      </c>
      <c r="G566">
        <f>WEEKDAY(calendar[[#This Row],[Date]],1)</f>
        <v>5</v>
      </c>
      <c r="H566" t="str">
        <f>TEXT(calendar[[#This Row],[WeekDay]],"dddd")</f>
        <v>Thursday</v>
      </c>
      <c r="I566">
        <f>IF((INT(calendar[[#This Row],[Count]]/7)-calendar[[#This Row],[Count]]/7)&lt;0,I565,I565+1)</f>
        <v>81</v>
      </c>
      <c r="J566">
        <f t="shared" si="44"/>
        <v>564</v>
      </c>
      <c r="K566">
        <f>IF(calendar[[#This Row],[Month]]&lt;4,1,IF(calendar[[#This Row],[Month]]&lt;7,2,IF(calendar[[#This Row],[Month]]&lt;10,3,4)))</f>
        <v>3</v>
      </c>
      <c r="L566">
        <f>IFERROR(IF(VLOOKUP(calendar[[#This Row],[Date]],BH!A:A,1,)&lt;&gt;"",1,0),0)</f>
        <v>0</v>
      </c>
      <c r="M566">
        <f>IFERROR(IF(VLOOKUP(calendar[[#This Row],[Date]],BH!C:C,1,)&lt;&gt;"",1,0),0)</f>
        <v>0</v>
      </c>
      <c r="N566">
        <f>IFERROR(IF(VLOOKUP(calendar[[#This Row],[Date]],BH!E:E,1,)&lt;&gt;"",1,0),0)</f>
        <v>0</v>
      </c>
      <c r="O566">
        <f>IFERROR(IF(VLOOKUP(calendar[[#This Row],[Date]],BH!G:G,1,)&lt;&gt;"",1,0),0)</f>
        <v>0</v>
      </c>
      <c r="P566">
        <f>IF(OR(calendar[[#This Row],[UK_BH]]=1,calendar[[#This Row],[WeekDay]]=1, calendar[[#This Row],[WeekDay]]=7),P565,P565+1)</f>
        <v>404</v>
      </c>
      <c r="Q566">
        <f>IF(OR(calendar[[#This Row],[FR_BH]]=1,calendar[[#This Row],[WeekDay]]=1, calendar[[#This Row],[WeekDay]]=7),P565,P565+1)</f>
        <v>404</v>
      </c>
      <c r="R566">
        <f>IF(OR(calendar[[#This Row],[SP_BH]]=1,calendar[[#This Row],[WeekDay]]=1, calendar[[#This Row],[WeekDay]]=7),P565,P565+1)</f>
        <v>404</v>
      </c>
      <c r="S566">
        <f>IF(OR(calendar[[#This Row],[PT_BH]]=1,calendar[[#This Row],[WeekDay]]=1, calendar[[#This Row],[WeekDay]]=7),P565,P565+1)</f>
        <v>404</v>
      </c>
    </row>
    <row r="567" spans="1:19" x14ac:dyDescent="0.25">
      <c r="A567" s="2">
        <v>43301</v>
      </c>
      <c r="B567" s="1">
        <f t="shared" si="43"/>
        <v>29</v>
      </c>
      <c r="C567">
        <f t="shared" si="45"/>
        <v>7</v>
      </c>
      <c r="D567" t="str">
        <f t="shared" si="46"/>
        <v>July</v>
      </c>
      <c r="E567">
        <f t="shared" si="47"/>
        <v>2018</v>
      </c>
      <c r="F567" t="str">
        <f>CONCATENATE(calendar[[#This Row],[Month]],"/",calendar[[#This Row],[Year]])</f>
        <v>7/2018</v>
      </c>
      <c r="G567">
        <f>WEEKDAY(calendar[[#This Row],[Date]],1)</f>
        <v>6</v>
      </c>
      <c r="H567" t="str">
        <f>TEXT(calendar[[#This Row],[WeekDay]],"dddd")</f>
        <v>Friday</v>
      </c>
      <c r="I567">
        <f>IF((INT(calendar[[#This Row],[Count]]/7)-calendar[[#This Row],[Count]]/7)&lt;0,I566,I566+1)</f>
        <v>81</v>
      </c>
      <c r="J567">
        <f t="shared" si="44"/>
        <v>565</v>
      </c>
      <c r="K567">
        <f>IF(calendar[[#This Row],[Month]]&lt;4,1,IF(calendar[[#This Row],[Month]]&lt;7,2,IF(calendar[[#This Row],[Month]]&lt;10,3,4)))</f>
        <v>3</v>
      </c>
      <c r="L567">
        <f>IFERROR(IF(VLOOKUP(calendar[[#This Row],[Date]],BH!A:A,1,)&lt;&gt;"",1,0),0)</f>
        <v>0</v>
      </c>
      <c r="M567">
        <f>IFERROR(IF(VLOOKUP(calendar[[#This Row],[Date]],BH!C:C,1,)&lt;&gt;"",1,0),0)</f>
        <v>0</v>
      </c>
      <c r="N567">
        <f>IFERROR(IF(VLOOKUP(calendar[[#This Row],[Date]],BH!E:E,1,)&lt;&gt;"",1,0),0)</f>
        <v>0</v>
      </c>
      <c r="O567">
        <f>IFERROR(IF(VLOOKUP(calendar[[#This Row],[Date]],BH!G:G,1,)&lt;&gt;"",1,0),0)</f>
        <v>0</v>
      </c>
      <c r="P567">
        <f>IF(OR(calendar[[#This Row],[UK_BH]]=1,calendar[[#This Row],[WeekDay]]=1, calendar[[#This Row],[WeekDay]]=7),P566,P566+1)</f>
        <v>405</v>
      </c>
      <c r="Q567">
        <f>IF(OR(calendar[[#This Row],[FR_BH]]=1,calendar[[#This Row],[WeekDay]]=1, calendar[[#This Row],[WeekDay]]=7),P566,P566+1)</f>
        <v>405</v>
      </c>
      <c r="R567">
        <f>IF(OR(calendar[[#This Row],[SP_BH]]=1,calendar[[#This Row],[WeekDay]]=1, calendar[[#This Row],[WeekDay]]=7),P566,P566+1)</f>
        <v>405</v>
      </c>
      <c r="S567">
        <f>IF(OR(calendar[[#This Row],[PT_BH]]=1,calendar[[#This Row],[WeekDay]]=1, calendar[[#This Row],[WeekDay]]=7),P566,P566+1)</f>
        <v>405</v>
      </c>
    </row>
    <row r="568" spans="1:19" x14ac:dyDescent="0.25">
      <c r="A568" s="2">
        <v>43302</v>
      </c>
      <c r="B568" s="1">
        <f t="shared" si="43"/>
        <v>29</v>
      </c>
      <c r="C568">
        <f t="shared" si="45"/>
        <v>7</v>
      </c>
      <c r="D568" t="str">
        <f t="shared" si="46"/>
        <v>July</v>
      </c>
      <c r="E568">
        <f t="shared" si="47"/>
        <v>2018</v>
      </c>
      <c r="F568" t="str">
        <f>CONCATENATE(calendar[[#This Row],[Month]],"/",calendar[[#This Row],[Year]])</f>
        <v>7/2018</v>
      </c>
      <c r="G568">
        <f>WEEKDAY(calendar[[#This Row],[Date]],1)</f>
        <v>7</v>
      </c>
      <c r="H568" t="str">
        <f>TEXT(calendar[[#This Row],[WeekDay]],"dddd")</f>
        <v>Saturday</v>
      </c>
      <c r="I568">
        <f>IF((INT(calendar[[#This Row],[Count]]/7)-calendar[[#This Row],[Count]]/7)&lt;0,I567,I567+1)</f>
        <v>81</v>
      </c>
      <c r="J568">
        <f t="shared" si="44"/>
        <v>566</v>
      </c>
      <c r="K568">
        <f>IF(calendar[[#This Row],[Month]]&lt;4,1,IF(calendar[[#This Row],[Month]]&lt;7,2,IF(calendar[[#This Row],[Month]]&lt;10,3,4)))</f>
        <v>3</v>
      </c>
      <c r="L568">
        <f>IFERROR(IF(VLOOKUP(calendar[[#This Row],[Date]],BH!A:A,1,)&lt;&gt;"",1,0),0)</f>
        <v>0</v>
      </c>
      <c r="M568">
        <f>IFERROR(IF(VLOOKUP(calendar[[#This Row],[Date]],BH!C:C,1,)&lt;&gt;"",1,0),0)</f>
        <v>0</v>
      </c>
      <c r="N568">
        <f>IFERROR(IF(VLOOKUP(calendar[[#This Row],[Date]],BH!E:E,1,)&lt;&gt;"",1,0),0)</f>
        <v>0</v>
      </c>
      <c r="O568">
        <f>IFERROR(IF(VLOOKUP(calendar[[#This Row],[Date]],BH!G:G,1,)&lt;&gt;"",1,0),0)</f>
        <v>0</v>
      </c>
      <c r="P568">
        <f>IF(OR(calendar[[#This Row],[UK_BH]]=1,calendar[[#This Row],[WeekDay]]=1, calendar[[#This Row],[WeekDay]]=7),P567,P567+1)</f>
        <v>405</v>
      </c>
      <c r="Q568">
        <f>IF(OR(calendar[[#This Row],[FR_BH]]=1,calendar[[#This Row],[WeekDay]]=1, calendar[[#This Row],[WeekDay]]=7),P567,P567+1)</f>
        <v>405</v>
      </c>
      <c r="R568">
        <f>IF(OR(calendar[[#This Row],[SP_BH]]=1,calendar[[#This Row],[WeekDay]]=1, calendar[[#This Row],[WeekDay]]=7),P567,P567+1)</f>
        <v>405</v>
      </c>
      <c r="S568">
        <f>IF(OR(calendar[[#This Row],[PT_BH]]=1,calendar[[#This Row],[WeekDay]]=1, calendar[[#This Row],[WeekDay]]=7),P567,P567+1)</f>
        <v>405</v>
      </c>
    </row>
    <row r="569" spans="1:19" x14ac:dyDescent="0.25">
      <c r="A569" s="2">
        <v>43303</v>
      </c>
      <c r="B569" s="1">
        <f t="shared" si="43"/>
        <v>30</v>
      </c>
      <c r="C569">
        <f t="shared" si="45"/>
        <v>7</v>
      </c>
      <c r="D569" t="str">
        <f t="shared" si="46"/>
        <v>July</v>
      </c>
      <c r="E569">
        <f t="shared" si="47"/>
        <v>2018</v>
      </c>
      <c r="F569" t="str">
        <f>CONCATENATE(calendar[[#This Row],[Month]],"/",calendar[[#This Row],[Year]])</f>
        <v>7/2018</v>
      </c>
      <c r="G569">
        <f>WEEKDAY(calendar[[#This Row],[Date]],1)</f>
        <v>1</v>
      </c>
      <c r="H569" t="str">
        <f>TEXT(calendar[[#This Row],[WeekDay]],"dddd")</f>
        <v>Sunday</v>
      </c>
      <c r="I569">
        <f>IF((INT(calendar[[#This Row],[Count]]/7)-calendar[[#This Row],[Count]]/7)&lt;0,I568,I568+1)</f>
        <v>82</v>
      </c>
      <c r="J569">
        <f t="shared" si="44"/>
        <v>567</v>
      </c>
      <c r="K569">
        <f>IF(calendar[[#This Row],[Month]]&lt;4,1,IF(calendar[[#This Row],[Month]]&lt;7,2,IF(calendar[[#This Row],[Month]]&lt;10,3,4)))</f>
        <v>3</v>
      </c>
      <c r="L569">
        <f>IFERROR(IF(VLOOKUP(calendar[[#This Row],[Date]],BH!A:A,1,)&lt;&gt;"",1,0),0)</f>
        <v>0</v>
      </c>
      <c r="M569">
        <f>IFERROR(IF(VLOOKUP(calendar[[#This Row],[Date]],BH!C:C,1,)&lt;&gt;"",1,0),0)</f>
        <v>0</v>
      </c>
      <c r="N569">
        <f>IFERROR(IF(VLOOKUP(calendar[[#This Row],[Date]],BH!E:E,1,)&lt;&gt;"",1,0),0)</f>
        <v>0</v>
      </c>
      <c r="O569">
        <f>IFERROR(IF(VLOOKUP(calendar[[#This Row],[Date]],BH!G:G,1,)&lt;&gt;"",1,0),0)</f>
        <v>0</v>
      </c>
      <c r="P569">
        <f>IF(OR(calendar[[#This Row],[UK_BH]]=1,calendar[[#This Row],[WeekDay]]=1, calendar[[#This Row],[WeekDay]]=7),P568,P568+1)</f>
        <v>405</v>
      </c>
      <c r="Q569">
        <f>IF(OR(calendar[[#This Row],[FR_BH]]=1,calendar[[#This Row],[WeekDay]]=1, calendar[[#This Row],[WeekDay]]=7),P568,P568+1)</f>
        <v>405</v>
      </c>
      <c r="R569">
        <f>IF(OR(calendar[[#This Row],[SP_BH]]=1,calendar[[#This Row],[WeekDay]]=1, calendar[[#This Row],[WeekDay]]=7),P568,P568+1)</f>
        <v>405</v>
      </c>
      <c r="S569">
        <f>IF(OR(calendar[[#This Row],[PT_BH]]=1,calendar[[#This Row],[WeekDay]]=1, calendar[[#This Row],[WeekDay]]=7),P568,P568+1)</f>
        <v>405</v>
      </c>
    </row>
    <row r="570" spans="1:19" x14ac:dyDescent="0.25">
      <c r="A570" s="2">
        <v>43304</v>
      </c>
      <c r="B570" s="1">
        <f t="shared" si="43"/>
        <v>30</v>
      </c>
      <c r="C570">
        <f t="shared" si="45"/>
        <v>7</v>
      </c>
      <c r="D570" t="str">
        <f t="shared" si="46"/>
        <v>July</v>
      </c>
      <c r="E570">
        <f t="shared" si="47"/>
        <v>2018</v>
      </c>
      <c r="F570" t="str">
        <f>CONCATENATE(calendar[[#This Row],[Month]],"/",calendar[[#This Row],[Year]])</f>
        <v>7/2018</v>
      </c>
      <c r="G570">
        <f>WEEKDAY(calendar[[#This Row],[Date]],1)</f>
        <v>2</v>
      </c>
      <c r="H570" t="str">
        <f>TEXT(calendar[[#This Row],[WeekDay]],"dddd")</f>
        <v>Monday</v>
      </c>
      <c r="I570">
        <f>IF((INT(calendar[[#This Row],[Count]]/7)-calendar[[#This Row],[Count]]/7)&lt;0,I569,I569+1)</f>
        <v>82</v>
      </c>
      <c r="J570">
        <f t="shared" si="44"/>
        <v>568</v>
      </c>
      <c r="K570">
        <f>IF(calendar[[#This Row],[Month]]&lt;4,1,IF(calendar[[#This Row],[Month]]&lt;7,2,IF(calendar[[#This Row],[Month]]&lt;10,3,4)))</f>
        <v>3</v>
      </c>
      <c r="L570">
        <f>IFERROR(IF(VLOOKUP(calendar[[#This Row],[Date]],BH!A:A,1,)&lt;&gt;"",1,0),0)</f>
        <v>0</v>
      </c>
      <c r="M570">
        <f>IFERROR(IF(VLOOKUP(calendar[[#This Row],[Date]],BH!C:C,1,)&lt;&gt;"",1,0),0)</f>
        <v>0</v>
      </c>
      <c r="N570">
        <f>IFERROR(IF(VLOOKUP(calendar[[#This Row],[Date]],BH!E:E,1,)&lt;&gt;"",1,0),0)</f>
        <v>0</v>
      </c>
      <c r="O570">
        <f>IFERROR(IF(VLOOKUP(calendar[[#This Row],[Date]],BH!G:G,1,)&lt;&gt;"",1,0),0)</f>
        <v>0</v>
      </c>
      <c r="P570">
        <f>IF(OR(calendar[[#This Row],[UK_BH]]=1,calendar[[#This Row],[WeekDay]]=1, calendar[[#This Row],[WeekDay]]=7),P569,P569+1)</f>
        <v>406</v>
      </c>
      <c r="Q570">
        <f>IF(OR(calendar[[#This Row],[FR_BH]]=1,calendar[[#This Row],[WeekDay]]=1, calendar[[#This Row],[WeekDay]]=7),P569,P569+1)</f>
        <v>406</v>
      </c>
      <c r="R570">
        <f>IF(OR(calendar[[#This Row],[SP_BH]]=1,calendar[[#This Row],[WeekDay]]=1, calendar[[#This Row],[WeekDay]]=7),P569,P569+1)</f>
        <v>406</v>
      </c>
      <c r="S570">
        <f>IF(OR(calendar[[#This Row],[PT_BH]]=1,calendar[[#This Row],[WeekDay]]=1, calendar[[#This Row],[WeekDay]]=7),P569,P569+1)</f>
        <v>406</v>
      </c>
    </row>
    <row r="571" spans="1:19" x14ac:dyDescent="0.25">
      <c r="A571" s="2">
        <v>43305</v>
      </c>
      <c r="B571" s="1">
        <f t="shared" si="43"/>
        <v>30</v>
      </c>
      <c r="C571">
        <f t="shared" si="45"/>
        <v>7</v>
      </c>
      <c r="D571" t="str">
        <f t="shared" si="46"/>
        <v>July</v>
      </c>
      <c r="E571">
        <f t="shared" si="47"/>
        <v>2018</v>
      </c>
      <c r="F571" t="str">
        <f>CONCATENATE(calendar[[#This Row],[Month]],"/",calendar[[#This Row],[Year]])</f>
        <v>7/2018</v>
      </c>
      <c r="G571">
        <f>WEEKDAY(calendar[[#This Row],[Date]],1)</f>
        <v>3</v>
      </c>
      <c r="H571" t="str">
        <f>TEXT(calendar[[#This Row],[WeekDay]],"dddd")</f>
        <v>Tuesday</v>
      </c>
      <c r="I571">
        <f>IF((INT(calendar[[#This Row],[Count]]/7)-calendar[[#This Row],[Count]]/7)&lt;0,I570,I570+1)</f>
        <v>82</v>
      </c>
      <c r="J571">
        <f t="shared" si="44"/>
        <v>569</v>
      </c>
      <c r="K571">
        <f>IF(calendar[[#This Row],[Month]]&lt;4,1,IF(calendar[[#This Row],[Month]]&lt;7,2,IF(calendar[[#This Row],[Month]]&lt;10,3,4)))</f>
        <v>3</v>
      </c>
      <c r="L571">
        <f>IFERROR(IF(VLOOKUP(calendar[[#This Row],[Date]],BH!A:A,1,)&lt;&gt;"",1,0),0)</f>
        <v>0</v>
      </c>
      <c r="M571">
        <f>IFERROR(IF(VLOOKUP(calendar[[#This Row],[Date]],BH!C:C,1,)&lt;&gt;"",1,0),0)</f>
        <v>0</v>
      </c>
      <c r="N571">
        <f>IFERROR(IF(VLOOKUP(calendar[[#This Row],[Date]],BH!E:E,1,)&lt;&gt;"",1,0),0)</f>
        <v>0</v>
      </c>
      <c r="O571">
        <f>IFERROR(IF(VLOOKUP(calendar[[#This Row],[Date]],BH!G:G,1,)&lt;&gt;"",1,0),0)</f>
        <v>0</v>
      </c>
      <c r="P571">
        <f>IF(OR(calendar[[#This Row],[UK_BH]]=1,calendar[[#This Row],[WeekDay]]=1, calendar[[#This Row],[WeekDay]]=7),P570,P570+1)</f>
        <v>407</v>
      </c>
      <c r="Q571">
        <f>IF(OR(calendar[[#This Row],[FR_BH]]=1,calendar[[#This Row],[WeekDay]]=1, calendar[[#This Row],[WeekDay]]=7),P570,P570+1)</f>
        <v>407</v>
      </c>
      <c r="R571">
        <f>IF(OR(calendar[[#This Row],[SP_BH]]=1,calendar[[#This Row],[WeekDay]]=1, calendar[[#This Row],[WeekDay]]=7),P570,P570+1)</f>
        <v>407</v>
      </c>
      <c r="S571">
        <f>IF(OR(calendar[[#This Row],[PT_BH]]=1,calendar[[#This Row],[WeekDay]]=1, calendar[[#This Row],[WeekDay]]=7),P570,P570+1)</f>
        <v>407</v>
      </c>
    </row>
    <row r="572" spans="1:19" x14ac:dyDescent="0.25">
      <c r="A572" s="2">
        <v>43306</v>
      </c>
      <c r="B572" s="1">
        <f t="shared" si="43"/>
        <v>30</v>
      </c>
      <c r="C572">
        <f t="shared" si="45"/>
        <v>7</v>
      </c>
      <c r="D572" t="str">
        <f t="shared" si="46"/>
        <v>July</v>
      </c>
      <c r="E572">
        <f t="shared" si="47"/>
        <v>2018</v>
      </c>
      <c r="F572" t="str">
        <f>CONCATENATE(calendar[[#This Row],[Month]],"/",calendar[[#This Row],[Year]])</f>
        <v>7/2018</v>
      </c>
      <c r="G572">
        <f>WEEKDAY(calendar[[#This Row],[Date]],1)</f>
        <v>4</v>
      </c>
      <c r="H572" t="str">
        <f>TEXT(calendar[[#This Row],[WeekDay]],"dddd")</f>
        <v>Wednesday</v>
      </c>
      <c r="I572">
        <f>IF((INT(calendar[[#This Row],[Count]]/7)-calendar[[#This Row],[Count]]/7)&lt;0,I571,I571+1)</f>
        <v>82</v>
      </c>
      <c r="J572">
        <f t="shared" si="44"/>
        <v>570</v>
      </c>
      <c r="K572">
        <f>IF(calendar[[#This Row],[Month]]&lt;4,1,IF(calendar[[#This Row],[Month]]&lt;7,2,IF(calendar[[#This Row],[Month]]&lt;10,3,4)))</f>
        <v>3</v>
      </c>
      <c r="L572">
        <f>IFERROR(IF(VLOOKUP(calendar[[#This Row],[Date]],BH!A:A,1,)&lt;&gt;"",1,0),0)</f>
        <v>0</v>
      </c>
      <c r="M572">
        <f>IFERROR(IF(VLOOKUP(calendar[[#This Row],[Date]],BH!C:C,1,)&lt;&gt;"",1,0),0)</f>
        <v>0</v>
      </c>
      <c r="N572">
        <f>IFERROR(IF(VLOOKUP(calendar[[#This Row],[Date]],BH!E:E,1,)&lt;&gt;"",1,0),0)</f>
        <v>0</v>
      </c>
      <c r="O572">
        <f>IFERROR(IF(VLOOKUP(calendar[[#This Row],[Date]],BH!G:G,1,)&lt;&gt;"",1,0),0)</f>
        <v>0</v>
      </c>
      <c r="P572">
        <f>IF(OR(calendar[[#This Row],[UK_BH]]=1,calendar[[#This Row],[WeekDay]]=1, calendar[[#This Row],[WeekDay]]=7),P571,P571+1)</f>
        <v>408</v>
      </c>
      <c r="Q572">
        <f>IF(OR(calendar[[#This Row],[FR_BH]]=1,calendar[[#This Row],[WeekDay]]=1, calendar[[#This Row],[WeekDay]]=7),P571,P571+1)</f>
        <v>408</v>
      </c>
      <c r="R572">
        <f>IF(OR(calendar[[#This Row],[SP_BH]]=1,calendar[[#This Row],[WeekDay]]=1, calendar[[#This Row],[WeekDay]]=7),P571,P571+1)</f>
        <v>408</v>
      </c>
      <c r="S572">
        <f>IF(OR(calendar[[#This Row],[PT_BH]]=1,calendar[[#This Row],[WeekDay]]=1, calendar[[#This Row],[WeekDay]]=7),P571,P571+1)</f>
        <v>408</v>
      </c>
    </row>
    <row r="573" spans="1:19" x14ac:dyDescent="0.25">
      <c r="A573" s="2">
        <v>43307</v>
      </c>
      <c r="B573" s="1">
        <f t="shared" si="43"/>
        <v>30</v>
      </c>
      <c r="C573">
        <f t="shared" si="45"/>
        <v>7</v>
      </c>
      <c r="D573" t="str">
        <f t="shared" si="46"/>
        <v>July</v>
      </c>
      <c r="E573">
        <f t="shared" si="47"/>
        <v>2018</v>
      </c>
      <c r="F573" t="str">
        <f>CONCATENATE(calendar[[#This Row],[Month]],"/",calendar[[#This Row],[Year]])</f>
        <v>7/2018</v>
      </c>
      <c r="G573">
        <f>WEEKDAY(calendar[[#This Row],[Date]],1)</f>
        <v>5</v>
      </c>
      <c r="H573" t="str">
        <f>TEXT(calendar[[#This Row],[WeekDay]],"dddd")</f>
        <v>Thursday</v>
      </c>
      <c r="I573">
        <f>IF((INT(calendar[[#This Row],[Count]]/7)-calendar[[#This Row],[Count]]/7)&lt;0,I572,I572+1)</f>
        <v>82</v>
      </c>
      <c r="J573">
        <f t="shared" si="44"/>
        <v>571</v>
      </c>
      <c r="K573">
        <f>IF(calendar[[#This Row],[Month]]&lt;4,1,IF(calendar[[#This Row],[Month]]&lt;7,2,IF(calendar[[#This Row],[Month]]&lt;10,3,4)))</f>
        <v>3</v>
      </c>
      <c r="L573">
        <f>IFERROR(IF(VLOOKUP(calendar[[#This Row],[Date]],BH!A:A,1,)&lt;&gt;"",1,0),0)</f>
        <v>0</v>
      </c>
      <c r="M573">
        <f>IFERROR(IF(VLOOKUP(calendar[[#This Row],[Date]],BH!C:C,1,)&lt;&gt;"",1,0),0)</f>
        <v>0</v>
      </c>
      <c r="N573">
        <f>IFERROR(IF(VLOOKUP(calendar[[#This Row],[Date]],BH!E:E,1,)&lt;&gt;"",1,0),0)</f>
        <v>0</v>
      </c>
      <c r="O573">
        <f>IFERROR(IF(VLOOKUP(calendar[[#This Row],[Date]],BH!G:G,1,)&lt;&gt;"",1,0),0)</f>
        <v>0</v>
      </c>
      <c r="P573">
        <f>IF(OR(calendar[[#This Row],[UK_BH]]=1,calendar[[#This Row],[WeekDay]]=1, calendar[[#This Row],[WeekDay]]=7),P572,P572+1)</f>
        <v>409</v>
      </c>
      <c r="Q573">
        <f>IF(OR(calendar[[#This Row],[FR_BH]]=1,calendar[[#This Row],[WeekDay]]=1, calendar[[#This Row],[WeekDay]]=7),P572,P572+1)</f>
        <v>409</v>
      </c>
      <c r="R573">
        <f>IF(OR(calendar[[#This Row],[SP_BH]]=1,calendar[[#This Row],[WeekDay]]=1, calendar[[#This Row],[WeekDay]]=7),P572,P572+1)</f>
        <v>409</v>
      </c>
      <c r="S573">
        <f>IF(OR(calendar[[#This Row],[PT_BH]]=1,calendar[[#This Row],[WeekDay]]=1, calendar[[#This Row],[WeekDay]]=7),P572,P572+1)</f>
        <v>409</v>
      </c>
    </row>
    <row r="574" spans="1:19" x14ac:dyDescent="0.25">
      <c r="A574" s="2">
        <v>43308</v>
      </c>
      <c r="B574" s="1">
        <f t="shared" si="43"/>
        <v>30</v>
      </c>
      <c r="C574">
        <f t="shared" si="45"/>
        <v>7</v>
      </c>
      <c r="D574" t="str">
        <f t="shared" si="46"/>
        <v>July</v>
      </c>
      <c r="E574">
        <f t="shared" si="47"/>
        <v>2018</v>
      </c>
      <c r="F574" t="str">
        <f>CONCATENATE(calendar[[#This Row],[Month]],"/",calendar[[#This Row],[Year]])</f>
        <v>7/2018</v>
      </c>
      <c r="G574">
        <f>WEEKDAY(calendar[[#This Row],[Date]],1)</f>
        <v>6</v>
      </c>
      <c r="H574" t="str">
        <f>TEXT(calendar[[#This Row],[WeekDay]],"dddd")</f>
        <v>Friday</v>
      </c>
      <c r="I574">
        <f>IF((INT(calendar[[#This Row],[Count]]/7)-calendar[[#This Row],[Count]]/7)&lt;0,I573,I573+1)</f>
        <v>82</v>
      </c>
      <c r="J574">
        <f t="shared" si="44"/>
        <v>572</v>
      </c>
      <c r="K574">
        <f>IF(calendar[[#This Row],[Month]]&lt;4,1,IF(calendar[[#This Row],[Month]]&lt;7,2,IF(calendar[[#This Row],[Month]]&lt;10,3,4)))</f>
        <v>3</v>
      </c>
      <c r="L574">
        <f>IFERROR(IF(VLOOKUP(calendar[[#This Row],[Date]],BH!A:A,1,)&lt;&gt;"",1,0),0)</f>
        <v>0</v>
      </c>
      <c r="M574">
        <f>IFERROR(IF(VLOOKUP(calendar[[#This Row],[Date]],BH!C:C,1,)&lt;&gt;"",1,0),0)</f>
        <v>0</v>
      </c>
      <c r="N574">
        <f>IFERROR(IF(VLOOKUP(calendar[[#This Row],[Date]],BH!E:E,1,)&lt;&gt;"",1,0),0)</f>
        <v>0</v>
      </c>
      <c r="O574">
        <f>IFERROR(IF(VLOOKUP(calendar[[#This Row],[Date]],BH!G:G,1,)&lt;&gt;"",1,0),0)</f>
        <v>0</v>
      </c>
      <c r="P574">
        <f>IF(OR(calendar[[#This Row],[UK_BH]]=1,calendar[[#This Row],[WeekDay]]=1, calendar[[#This Row],[WeekDay]]=7),P573,P573+1)</f>
        <v>410</v>
      </c>
      <c r="Q574">
        <f>IF(OR(calendar[[#This Row],[FR_BH]]=1,calendar[[#This Row],[WeekDay]]=1, calendar[[#This Row],[WeekDay]]=7),P573,P573+1)</f>
        <v>410</v>
      </c>
      <c r="R574">
        <f>IF(OR(calendar[[#This Row],[SP_BH]]=1,calendar[[#This Row],[WeekDay]]=1, calendar[[#This Row],[WeekDay]]=7),P573,P573+1)</f>
        <v>410</v>
      </c>
      <c r="S574">
        <f>IF(OR(calendar[[#This Row],[PT_BH]]=1,calendar[[#This Row],[WeekDay]]=1, calendar[[#This Row],[WeekDay]]=7),P573,P573+1)</f>
        <v>410</v>
      </c>
    </row>
    <row r="575" spans="1:19" x14ac:dyDescent="0.25">
      <c r="A575" s="2">
        <v>43309</v>
      </c>
      <c r="B575" s="1">
        <f t="shared" si="43"/>
        <v>30</v>
      </c>
      <c r="C575">
        <f t="shared" si="45"/>
        <v>7</v>
      </c>
      <c r="D575" t="str">
        <f t="shared" si="46"/>
        <v>July</v>
      </c>
      <c r="E575">
        <f t="shared" si="47"/>
        <v>2018</v>
      </c>
      <c r="F575" t="str">
        <f>CONCATENATE(calendar[[#This Row],[Month]],"/",calendar[[#This Row],[Year]])</f>
        <v>7/2018</v>
      </c>
      <c r="G575">
        <f>WEEKDAY(calendar[[#This Row],[Date]],1)</f>
        <v>7</v>
      </c>
      <c r="H575" t="str">
        <f>TEXT(calendar[[#This Row],[WeekDay]],"dddd")</f>
        <v>Saturday</v>
      </c>
      <c r="I575">
        <f>IF((INT(calendar[[#This Row],[Count]]/7)-calendar[[#This Row],[Count]]/7)&lt;0,I574,I574+1)</f>
        <v>82</v>
      </c>
      <c r="J575">
        <f t="shared" si="44"/>
        <v>573</v>
      </c>
      <c r="K575">
        <f>IF(calendar[[#This Row],[Month]]&lt;4,1,IF(calendar[[#This Row],[Month]]&lt;7,2,IF(calendar[[#This Row],[Month]]&lt;10,3,4)))</f>
        <v>3</v>
      </c>
      <c r="L575">
        <f>IFERROR(IF(VLOOKUP(calendar[[#This Row],[Date]],BH!A:A,1,)&lt;&gt;"",1,0),0)</f>
        <v>0</v>
      </c>
      <c r="M575">
        <f>IFERROR(IF(VLOOKUP(calendar[[#This Row],[Date]],BH!C:C,1,)&lt;&gt;"",1,0),0)</f>
        <v>0</v>
      </c>
      <c r="N575">
        <f>IFERROR(IF(VLOOKUP(calendar[[#This Row],[Date]],BH!E:E,1,)&lt;&gt;"",1,0),0)</f>
        <v>0</v>
      </c>
      <c r="O575">
        <f>IFERROR(IF(VLOOKUP(calendar[[#This Row],[Date]],BH!G:G,1,)&lt;&gt;"",1,0),0)</f>
        <v>0</v>
      </c>
      <c r="P575">
        <f>IF(OR(calendar[[#This Row],[UK_BH]]=1,calendar[[#This Row],[WeekDay]]=1, calendar[[#This Row],[WeekDay]]=7),P574,P574+1)</f>
        <v>410</v>
      </c>
      <c r="Q575">
        <f>IF(OR(calendar[[#This Row],[FR_BH]]=1,calendar[[#This Row],[WeekDay]]=1, calendar[[#This Row],[WeekDay]]=7),P574,P574+1)</f>
        <v>410</v>
      </c>
      <c r="R575">
        <f>IF(OR(calendar[[#This Row],[SP_BH]]=1,calendar[[#This Row],[WeekDay]]=1, calendar[[#This Row],[WeekDay]]=7),P574,P574+1)</f>
        <v>410</v>
      </c>
      <c r="S575">
        <f>IF(OR(calendar[[#This Row],[PT_BH]]=1,calendar[[#This Row],[WeekDay]]=1, calendar[[#This Row],[WeekDay]]=7),P574,P574+1)</f>
        <v>410</v>
      </c>
    </row>
    <row r="576" spans="1:19" x14ac:dyDescent="0.25">
      <c r="A576" s="2">
        <v>43310</v>
      </c>
      <c r="B576" s="1">
        <f t="shared" si="43"/>
        <v>31</v>
      </c>
      <c r="C576">
        <f t="shared" si="45"/>
        <v>7</v>
      </c>
      <c r="D576" t="str">
        <f t="shared" si="46"/>
        <v>July</v>
      </c>
      <c r="E576">
        <f t="shared" si="47"/>
        <v>2018</v>
      </c>
      <c r="F576" t="str">
        <f>CONCATENATE(calendar[[#This Row],[Month]],"/",calendar[[#This Row],[Year]])</f>
        <v>7/2018</v>
      </c>
      <c r="G576">
        <f>WEEKDAY(calendar[[#This Row],[Date]],1)</f>
        <v>1</v>
      </c>
      <c r="H576" t="str">
        <f>TEXT(calendar[[#This Row],[WeekDay]],"dddd")</f>
        <v>Sunday</v>
      </c>
      <c r="I576">
        <f>IF((INT(calendar[[#This Row],[Count]]/7)-calendar[[#This Row],[Count]]/7)&lt;0,I575,I575+1)</f>
        <v>83</v>
      </c>
      <c r="J576">
        <f t="shared" si="44"/>
        <v>574</v>
      </c>
      <c r="K576">
        <f>IF(calendar[[#This Row],[Month]]&lt;4,1,IF(calendar[[#This Row],[Month]]&lt;7,2,IF(calendar[[#This Row],[Month]]&lt;10,3,4)))</f>
        <v>3</v>
      </c>
      <c r="L576">
        <f>IFERROR(IF(VLOOKUP(calendar[[#This Row],[Date]],BH!A:A,1,)&lt;&gt;"",1,0),0)</f>
        <v>0</v>
      </c>
      <c r="M576">
        <f>IFERROR(IF(VLOOKUP(calendar[[#This Row],[Date]],BH!C:C,1,)&lt;&gt;"",1,0),0)</f>
        <v>0</v>
      </c>
      <c r="N576">
        <f>IFERROR(IF(VLOOKUP(calendar[[#This Row],[Date]],BH!E:E,1,)&lt;&gt;"",1,0),0)</f>
        <v>0</v>
      </c>
      <c r="O576">
        <f>IFERROR(IF(VLOOKUP(calendar[[#This Row],[Date]],BH!G:G,1,)&lt;&gt;"",1,0),0)</f>
        <v>0</v>
      </c>
      <c r="P576">
        <f>IF(OR(calendar[[#This Row],[UK_BH]]=1,calendar[[#This Row],[WeekDay]]=1, calendar[[#This Row],[WeekDay]]=7),P575,P575+1)</f>
        <v>410</v>
      </c>
      <c r="Q576">
        <f>IF(OR(calendar[[#This Row],[FR_BH]]=1,calendar[[#This Row],[WeekDay]]=1, calendar[[#This Row],[WeekDay]]=7),P575,P575+1)</f>
        <v>410</v>
      </c>
      <c r="R576">
        <f>IF(OR(calendar[[#This Row],[SP_BH]]=1,calendar[[#This Row],[WeekDay]]=1, calendar[[#This Row],[WeekDay]]=7),P575,P575+1)</f>
        <v>410</v>
      </c>
      <c r="S576">
        <f>IF(OR(calendar[[#This Row],[PT_BH]]=1,calendar[[#This Row],[WeekDay]]=1, calendar[[#This Row],[WeekDay]]=7),P575,P575+1)</f>
        <v>410</v>
      </c>
    </row>
    <row r="577" spans="1:19" x14ac:dyDescent="0.25">
      <c r="A577" s="2">
        <v>43311</v>
      </c>
      <c r="B577" s="1">
        <f t="shared" si="43"/>
        <v>31</v>
      </c>
      <c r="C577">
        <f t="shared" si="45"/>
        <v>7</v>
      </c>
      <c r="D577" t="str">
        <f t="shared" si="46"/>
        <v>July</v>
      </c>
      <c r="E577">
        <f t="shared" si="47"/>
        <v>2018</v>
      </c>
      <c r="F577" t="str">
        <f>CONCATENATE(calendar[[#This Row],[Month]],"/",calendar[[#This Row],[Year]])</f>
        <v>7/2018</v>
      </c>
      <c r="G577">
        <f>WEEKDAY(calendar[[#This Row],[Date]],1)</f>
        <v>2</v>
      </c>
      <c r="H577" t="str">
        <f>TEXT(calendar[[#This Row],[WeekDay]],"dddd")</f>
        <v>Monday</v>
      </c>
      <c r="I577">
        <f>IF((INT(calendar[[#This Row],[Count]]/7)-calendar[[#This Row],[Count]]/7)&lt;0,I576,I576+1)</f>
        <v>83</v>
      </c>
      <c r="J577">
        <f t="shared" si="44"/>
        <v>575</v>
      </c>
      <c r="K577">
        <f>IF(calendar[[#This Row],[Month]]&lt;4,1,IF(calendar[[#This Row],[Month]]&lt;7,2,IF(calendar[[#This Row],[Month]]&lt;10,3,4)))</f>
        <v>3</v>
      </c>
      <c r="L577">
        <f>IFERROR(IF(VLOOKUP(calendar[[#This Row],[Date]],BH!A:A,1,)&lt;&gt;"",1,0),0)</f>
        <v>0</v>
      </c>
      <c r="M577">
        <f>IFERROR(IF(VLOOKUP(calendar[[#This Row],[Date]],BH!C:C,1,)&lt;&gt;"",1,0),0)</f>
        <v>0</v>
      </c>
      <c r="N577">
        <f>IFERROR(IF(VLOOKUP(calendar[[#This Row],[Date]],BH!E:E,1,)&lt;&gt;"",1,0),0)</f>
        <v>0</v>
      </c>
      <c r="O577">
        <f>IFERROR(IF(VLOOKUP(calendar[[#This Row],[Date]],BH!G:G,1,)&lt;&gt;"",1,0),0)</f>
        <v>0</v>
      </c>
      <c r="P577">
        <f>IF(OR(calendar[[#This Row],[UK_BH]]=1,calendar[[#This Row],[WeekDay]]=1, calendar[[#This Row],[WeekDay]]=7),P576,P576+1)</f>
        <v>411</v>
      </c>
      <c r="Q577">
        <f>IF(OR(calendar[[#This Row],[FR_BH]]=1,calendar[[#This Row],[WeekDay]]=1, calendar[[#This Row],[WeekDay]]=7),P576,P576+1)</f>
        <v>411</v>
      </c>
      <c r="R577">
        <f>IF(OR(calendar[[#This Row],[SP_BH]]=1,calendar[[#This Row],[WeekDay]]=1, calendar[[#This Row],[WeekDay]]=7),P576,P576+1)</f>
        <v>411</v>
      </c>
      <c r="S577">
        <f>IF(OR(calendar[[#This Row],[PT_BH]]=1,calendar[[#This Row],[WeekDay]]=1, calendar[[#This Row],[WeekDay]]=7),P576,P576+1)</f>
        <v>411</v>
      </c>
    </row>
    <row r="578" spans="1:19" x14ac:dyDescent="0.25">
      <c r="A578" s="2">
        <v>43312</v>
      </c>
      <c r="B578" s="1">
        <f t="shared" ref="B578:B641" si="48">WEEKNUM(A578)</f>
        <v>31</v>
      </c>
      <c r="C578">
        <f t="shared" si="45"/>
        <v>7</v>
      </c>
      <c r="D578" t="str">
        <f t="shared" si="46"/>
        <v>July</v>
      </c>
      <c r="E578">
        <f t="shared" si="47"/>
        <v>2018</v>
      </c>
      <c r="F578" t="str">
        <f>CONCATENATE(calendar[[#This Row],[Month]],"/",calendar[[#This Row],[Year]])</f>
        <v>7/2018</v>
      </c>
      <c r="G578">
        <f>WEEKDAY(calendar[[#This Row],[Date]],1)</f>
        <v>3</v>
      </c>
      <c r="H578" t="str">
        <f>TEXT(calendar[[#This Row],[WeekDay]],"dddd")</f>
        <v>Tuesday</v>
      </c>
      <c r="I578">
        <f>IF((INT(calendar[[#This Row],[Count]]/7)-calendar[[#This Row],[Count]]/7)&lt;0,I577,I577+1)</f>
        <v>83</v>
      </c>
      <c r="J578">
        <f t="shared" si="44"/>
        <v>576</v>
      </c>
      <c r="K578">
        <f>IF(calendar[[#This Row],[Month]]&lt;4,1,IF(calendar[[#This Row],[Month]]&lt;7,2,IF(calendar[[#This Row],[Month]]&lt;10,3,4)))</f>
        <v>3</v>
      </c>
      <c r="L578">
        <f>IFERROR(IF(VLOOKUP(calendar[[#This Row],[Date]],BH!A:A,1,)&lt;&gt;"",1,0),0)</f>
        <v>0</v>
      </c>
      <c r="M578">
        <f>IFERROR(IF(VLOOKUP(calendar[[#This Row],[Date]],BH!C:C,1,)&lt;&gt;"",1,0),0)</f>
        <v>0</v>
      </c>
      <c r="N578">
        <f>IFERROR(IF(VLOOKUP(calendar[[#This Row],[Date]],BH!E:E,1,)&lt;&gt;"",1,0),0)</f>
        <v>0</v>
      </c>
      <c r="O578">
        <f>IFERROR(IF(VLOOKUP(calendar[[#This Row],[Date]],BH!G:G,1,)&lt;&gt;"",1,0),0)</f>
        <v>0</v>
      </c>
      <c r="P578">
        <f>IF(OR(calendar[[#This Row],[UK_BH]]=1,calendar[[#This Row],[WeekDay]]=1, calendar[[#This Row],[WeekDay]]=7),P577,P577+1)</f>
        <v>412</v>
      </c>
      <c r="Q578">
        <f>IF(OR(calendar[[#This Row],[FR_BH]]=1,calendar[[#This Row],[WeekDay]]=1, calendar[[#This Row],[WeekDay]]=7),P577,P577+1)</f>
        <v>412</v>
      </c>
      <c r="R578">
        <f>IF(OR(calendar[[#This Row],[SP_BH]]=1,calendar[[#This Row],[WeekDay]]=1, calendar[[#This Row],[WeekDay]]=7),P577,P577+1)</f>
        <v>412</v>
      </c>
      <c r="S578">
        <f>IF(OR(calendar[[#This Row],[PT_BH]]=1,calendar[[#This Row],[WeekDay]]=1, calendar[[#This Row],[WeekDay]]=7),P577,P577+1)</f>
        <v>412</v>
      </c>
    </row>
    <row r="579" spans="1:19" x14ac:dyDescent="0.25">
      <c r="A579" s="2">
        <v>43313</v>
      </c>
      <c r="B579" s="1">
        <f t="shared" si="48"/>
        <v>31</v>
      </c>
      <c r="C579">
        <f t="shared" si="45"/>
        <v>8</v>
      </c>
      <c r="D579" t="str">
        <f t="shared" si="46"/>
        <v>August</v>
      </c>
      <c r="E579">
        <f t="shared" si="47"/>
        <v>2018</v>
      </c>
      <c r="F579" t="str">
        <f>CONCATENATE(calendar[[#This Row],[Month]],"/",calendar[[#This Row],[Year]])</f>
        <v>8/2018</v>
      </c>
      <c r="G579">
        <f>WEEKDAY(calendar[[#This Row],[Date]],1)</f>
        <v>4</v>
      </c>
      <c r="H579" t="str">
        <f>TEXT(calendar[[#This Row],[WeekDay]],"dddd")</f>
        <v>Wednesday</v>
      </c>
      <c r="I579">
        <f>IF((INT(calendar[[#This Row],[Count]]/7)-calendar[[#This Row],[Count]]/7)&lt;0,I578,I578+1)</f>
        <v>83</v>
      </c>
      <c r="J579">
        <f t="shared" ref="J579:J642" si="49">J578+1</f>
        <v>577</v>
      </c>
      <c r="K579">
        <f>IF(calendar[[#This Row],[Month]]&lt;4,1,IF(calendar[[#This Row],[Month]]&lt;7,2,IF(calendar[[#This Row],[Month]]&lt;10,3,4)))</f>
        <v>3</v>
      </c>
      <c r="L579">
        <f>IFERROR(IF(VLOOKUP(calendar[[#This Row],[Date]],BH!A:A,1,)&lt;&gt;"",1,0),0)</f>
        <v>0</v>
      </c>
      <c r="M579">
        <f>IFERROR(IF(VLOOKUP(calendar[[#This Row],[Date]],BH!C:C,1,)&lt;&gt;"",1,0),0)</f>
        <v>0</v>
      </c>
      <c r="N579">
        <f>IFERROR(IF(VLOOKUP(calendar[[#This Row],[Date]],BH!E:E,1,)&lt;&gt;"",1,0),0)</f>
        <v>0</v>
      </c>
      <c r="O579">
        <f>IFERROR(IF(VLOOKUP(calendar[[#This Row],[Date]],BH!G:G,1,)&lt;&gt;"",1,0),0)</f>
        <v>0</v>
      </c>
      <c r="P579">
        <f>IF(OR(calendar[[#This Row],[UK_BH]]=1,calendar[[#This Row],[WeekDay]]=1, calendar[[#This Row],[WeekDay]]=7),P578,P578+1)</f>
        <v>413</v>
      </c>
      <c r="Q579">
        <f>IF(OR(calendar[[#This Row],[FR_BH]]=1,calendar[[#This Row],[WeekDay]]=1, calendar[[#This Row],[WeekDay]]=7),P578,P578+1)</f>
        <v>413</v>
      </c>
      <c r="R579">
        <f>IF(OR(calendar[[#This Row],[SP_BH]]=1,calendar[[#This Row],[WeekDay]]=1, calendar[[#This Row],[WeekDay]]=7),P578,P578+1)</f>
        <v>413</v>
      </c>
      <c r="S579">
        <f>IF(OR(calendar[[#This Row],[PT_BH]]=1,calendar[[#This Row],[WeekDay]]=1, calendar[[#This Row],[WeekDay]]=7),P578,P578+1)</f>
        <v>413</v>
      </c>
    </row>
    <row r="580" spans="1:19" x14ac:dyDescent="0.25">
      <c r="A580" s="2">
        <v>43314</v>
      </c>
      <c r="B580" s="1">
        <f t="shared" si="48"/>
        <v>31</v>
      </c>
      <c r="C580">
        <f t="shared" si="45"/>
        <v>8</v>
      </c>
      <c r="D580" t="str">
        <f t="shared" si="46"/>
        <v>August</v>
      </c>
      <c r="E580">
        <f t="shared" si="47"/>
        <v>2018</v>
      </c>
      <c r="F580" t="str">
        <f>CONCATENATE(calendar[[#This Row],[Month]],"/",calendar[[#This Row],[Year]])</f>
        <v>8/2018</v>
      </c>
      <c r="G580">
        <f>WEEKDAY(calendar[[#This Row],[Date]],1)</f>
        <v>5</v>
      </c>
      <c r="H580" t="str">
        <f>TEXT(calendar[[#This Row],[WeekDay]],"dddd")</f>
        <v>Thursday</v>
      </c>
      <c r="I580">
        <f>IF((INT(calendar[[#This Row],[Count]]/7)-calendar[[#This Row],[Count]]/7)&lt;0,I579,I579+1)</f>
        <v>83</v>
      </c>
      <c r="J580">
        <f t="shared" si="49"/>
        <v>578</v>
      </c>
      <c r="K580">
        <f>IF(calendar[[#This Row],[Month]]&lt;4,1,IF(calendar[[#This Row],[Month]]&lt;7,2,IF(calendar[[#This Row],[Month]]&lt;10,3,4)))</f>
        <v>3</v>
      </c>
      <c r="L580">
        <f>IFERROR(IF(VLOOKUP(calendar[[#This Row],[Date]],BH!A:A,1,)&lt;&gt;"",1,0),0)</f>
        <v>0</v>
      </c>
      <c r="M580">
        <f>IFERROR(IF(VLOOKUP(calendar[[#This Row],[Date]],BH!C:C,1,)&lt;&gt;"",1,0),0)</f>
        <v>0</v>
      </c>
      <c r="N580">
        <f>IFERROR(IF(VLOOKUP(calendar[[#This Row],[Date]],BH!E:E,1,)&lt;&gt;"",1,0),0)</f>
        <v>0</v>
      </c>
      <c r="O580">
        <f>IFERROR(IF(VLOOKUP(calendar[[#This Row],[Date]],BH!G:G,1,)&lt;&gt;"",1,0),0)</f>
        <v>0</v>
      </c>
      <c r="P580">
        <f>IF(OR(calendar[[#This Row],[UK_BH]]=1,calendar[[#This Row],[WeekDay]]=1, calendar[[#This Row],[WeekDay]]=7),P579,P579+1)</f>
        <v>414</v>
      </c>
      <c r="Q580">
        <f>IF(OR(calendar[[#This Row],[FR_BH]]=1,calendar[[#This Row],[WeekDay]]=1, calendar[[#This Row],[WeekDay]]=7),P579,P579+1)</f>
        <v>414</v>
      </c>
      <c r="R580">
        <f>IF(OR(calendar[[#This Row],[SP_BH]]=1,calendar[[#This Row],[WeekDay]]=1, calendar[[#This Row],[WeekDay]]=7),P579,P579+1)</f>
        <v>414</v>
      </c>
      <c r="S580">
        <f>IF(OR(calendar[[#This Row],[PT_BH]]=1,calendar[[#This Row],[WeekDay]]=1, calendar[[#This Row],[WeekDay]]=7),P579,P579+1)</f>
        <v>414</v>
      </c>
    </row>
    <row r="581" spans="1:19" x14ac:dyDescent="0.25">
      <c r="A581" s="2">
        <v>43315</v>
      </c>
      <c r="B581" s="1">
        <f t="shared" si="48"/>
        <v>31</v>
      </c>
      <c r="C581">
        <f t="shared" si="45"/>
        <v>8</v>
      </c>
      <c r="D581" t="str">
        <f t="shared" si="46"/>
        <v>August</v>
      </c>
      <c r="E581">
        <f t="shared" si="47"/>
        <v>2018</v>
      </c>
      <c r="F581" t="str">
        <f>CONCATENATE(calendar[[#This Row],[Month]],"/",calendar[[#This Row],[Year]])</f>
        <v>8/2018</v>
      </c>
      <c r="G581">
        <f>WEEKDAY(calendar[[#This Row],[Date]],1)</f>
        <v>6</v>
      </c>
      <c r="H581" t="str">
        <f>TEXT(calendar[[#This Row],[WeekDay]],"dddd")</f>
        <v>Friday</v>
      </c>
      <c r="I581">
        <f>IF((INT(calendar[[#This Row],[Count]]/7)-calendar[[#This Row],[Count]]/7)&lt;0,I580,I580+1)</f>
        <v>83</v>
      </c>
      <c r="J581">
        <f t="shared" si="49"/>
        <v>579</v>
      </c>
      <c r="K581">
        <f>IF(calendar[[#This Row],[Month]]&lt;4,1,IF(calendar[[#This Row],[Month]]&lt;7,2,IF(calendar[[#This Row],[Month]]&lt;10,3,4)))</f>
        <v>3</v>
      </c>
      <c r="L581">
        <f>IFERROR(IF(VLOOKUP(calendar[[#This Row],[Date]],BH!A:A,1,)&lt;&gt;"",1,0),0)</f>
        <v>0</v>
      </c>
      <c r="M581">
        <f>IFERROR(IF(VLOOKUP(calendar[[#This Row],[Date]],BH!C:C,1,)&lt;&gt;"",1,0),0)</f>
        <v>0</v>
      </c>
      <c r="N581">
        <f>IFERROR(IF(VLOOKUP(calendar[[#This Row],[Date]],BH!E:E,1,)&lt;&gt;"",1,0),0)</f>
        <v>0</v>
      </c>
      <c r="O581">
        <f>IFERROR(IF(VLOOKUP(calendar[[#This Row],[Date]],BH!G:G,1,)&lt;&gt;"",1,0),0)</f>
        <v>0</v>
      </c>
      <c r="P581">
        <f>IF(OR(calendar[[#This Row],[UK_BH]]=1,calendar[[#This Row],[WeekDay]]=1, calendar[[#This Row],[WeekDay]]=7),P580,P580+1)</f>
        <v>415</v>
      </c>
      <c r="Q581">
        <f>IF(OR(calendar[[#This Row],[FR_BH]]=1,calendar[[#This Row],[WeekDay]]=1, calendar[[#This Row],[WeekDay]]=7),P580,P580+1)</f>
        <v>415</v>
      </c>
      <c r="R581">
        <f>IF(OR(calendar[[#This Row],[SP_BH]]=1,calendar[[#This Row],[WeekDay]]=1, calendar[[#This Row],[WeekDay]]=7),P580,P580+1)</f>
        <v>415</v>
      </c>
      <c r="S581">
        <f>IF(OR(calendar[[#This Row],[PT_BH]]=1,calendar[[#This Row],[WeekDay]]=1, calendar[[#This Row],[WeekDay]]=7),P580,P580+1)</f>
        <v>415</v>
      </c>
    </row>
    <row r="582" spans="1:19" x14ac:dyDescent="0.25">
      <c r="A582" s="2">
        <v>43316</v>
      </c>
      <c r="B582" s="1">
        <f t="shared" si="48"/>
        <v>31</v>
      </c>
      <c r="C582">
        <f t="shared" si="45"/>
        <v>8</v>
      </c>
      <c r="D582" t="str">
        <f t="shared" si="46"/>
        <v>August</v>
      </c>
      <c r="E582">
        <f t="shared" si="47"/>
        <v>2018</v>
      </c>
      <c r="F582" t="str">
        <f>CONCATENATE(calendar[[#This Row],[Month]],"/",calendar[[#This Row],[Year]])</f>
        <v>8/2018</v>
      </c>
      <c r="G582">
        <f>WEEKDAY(calendar[[#This Row],[Date]],1)</f>
        <v>7</v>
      </c>
      <c r="H582" t="str">
        <f>TEXT(calendar[[#This Row],[WeekDay]],"dddd")</f>
        <v>Saturday</v>
      </c>
      <c r="I582">
        <f>IF((INT(calendar[[#This Row],[Count]]/7)-calendar[[#This Row],[Count]]/7)&lt;0,I581,I581+1)</f>
        <v>83</v>
      </c>
      <c r="J582">
        <f t="shared" si="49"/>
        <v>580</v>
      </c>
      <c r="K582">
        <f>IF(calendar[[#This Row],[Month]]&lt;4,1,IF(calendar[[#This Row],[Month]]&lt;7,2,IF(calendar[[#This Row],[Month]]&lt;10,3,4)))</f>
        <v>3</v>
      </c>
      <c r="L582">
        <f>IFERROR(IF(VLOOKUP(calendar[[#This Row],[Date]],BH!A:A,1,)&lt;&gt;"",1,0),0)</f>
        <v>0</v>
      </c>
      <c r="M582">
        <f>IFERROR(IF(VLOOKUP(calendar[[#This Row],[Date]],BH!C:C,1,)&lt;&gt;"",1,0),0)</f>
        <v>0</v>
      </c>
      <c r="N582">
        <f>IFERROR(IF(VLOOKUP(calendar[[#This Row],[Date]],BH!E:E,1,)&lt;&gt;"",1,0),0)</f>
        <v>0</v>
      </c>
      <c r="O582">
        <f>IFERROR(IF(VLOOKUP(calendar[[#This Row],[Date]],BH!G:G,1,)&lt;&gt;"",1,0),0)</f>
        <v>0</v>
      </c>
      <c r="P582">
        <f>IF(OR(calendar[[#This Row],[UK_BH]]=1,calendar[[#This Row],[WeekDay]]=1, calendar[[#This Row],[WeekDay]]=7),P581,P581+1)</f>
        <v>415</v>
      </c>
      <c r="Q582">
        <f>IF(OR(calendar[[#This Row],[FR_BH]]=1,calendar[[#This Row],[WeekDay]]=1, calendar[[#This Row],[WeekDay]]=7),P581,P581+1)</f>
        <v>415</v>
      </c>
      <c r="R582">
        <f>IF(OR(calendar[[#This Row],[SP_BH]]=1,calendar[[#This Row],[WeekDay]]=1, calendar[[#This Row],[WeekDay]]=7),P581,P581+1)</f>
        <v>415</v>
      </c>
      <c r="S582">
        <f>IF(OR(calendar[[#This Row],[PT_BH]]=1,calendar[[#This Row],[WeekDay]]=1, calendar[[#This Row],[WeekDay]]=7),P581,P581+1)</f>
        <v>415</v>
      </c>
    </row>
    <row r="583" spans="1:19" x14ac:dyDescent="0.25">
      <c r="A583" s="2">
        <v>43317</v>
      </c>
      <c r="B583" s="1">
        <f t="shared" si="48"/>
        <v>32</v>
      </c>
      <c r="C583">
        <f t="shared" si="45"/>
        <v>8</v>
      </c>
      <c r="D583" t="str">
        <f t="shared" si="46"/>
        <v>August</v>
      </c>
      <c r="E583">
        <f t="shared" si="47"/>
        <v>2018</v>
      </c>
      <c r="F583" t="str">
        <f>CONCATENATE(calendar[[#This Row],[Month]],"/",calendar[[#This Row],[Year]])</f>
        <v>8/2018</v>
      </c>
      <c r="G583">
        <f>WEEKDAY(calendar[[#This Row],[Date]],1)</f>
        <v>1</v>
      </c>
      <c r="H583" t="str">
        <f>TEXT(calendar[[#This Row],[WeekDay]],"dddd")</f>
        <v>Sunday</v>
      </c>
      <c r="I583">
        <f>IF((INT(calendar[[#This Row],[Count]]/7)-calendar[[#This Row],[Count]]/7)&lt;0,I582,I582+1)</f>
        <v>84</v>
      </c>
      <c r="J583">
        <f t="shared" si="49"/>
        <v>581</v>
      </c>
      <c r="K583">
        <f>IF(calendar[[#This Row],[Month]]&lt;4,1,IF(calendar[[#This Row],[Month]]&lt;7,2,IF(calendar[[#This Row],[Month]]&lt;10,3,4)))</f>
        <v>3</v>
      </c>
      <c r="L583">
        <f>IFERROR(IF(VLOOKUP(calendar[[#This Row],[Date]],BH!A:A,1,)&lt;&gt;"",1,0),0)</f>
        <v>0</v>
      </c>
      <c r="M583">
        <f>IFERROR(IF(VLOOKUP(calendar[[#This Row],[Date]],BH!C:C,1,)&lt;&gt;"",1,0),0)</f>
        <v>0</v>
      </c>
      <c r="N583">
        <f>IFERROR(IF(VLOOKUP(calendar[[#This Row],[Date]],BH!E:E,1,)&lt;&gt;"",1,0),0)</f>
        <v>0</v>
      </c>
      <c r="O583">
        <f>IFERROR(IF(VLOOKUP(calendar[[#This Row],[Date]],BH!G:G,1,)&lt;&gt;"",1,0),0)</f>
        <v>0</v>
      </c>
      <c r="P583">
        <f>IF(OR(calendar[[#This Row],[UK_BH]]=1,calendar[[#This Row],[WeekDay]]=1, calendar[[#This Row],[WeekDay]]=7),P582,P582+1)</f>
        <v>415</v>
      </c>
      <c r="Q583">
        <f>IF(OR(calendar[[#This Row],[FR_BH]]=1,calendar[[#This Row],[WeekDay]]=1, calendar[[#This Row],[WeekDay]]=7),P582,P582+1)</f>
        <v>415</v>
      </c>
      <c r="R583">
        <f>IF(OR(calendar[[#This Row],[SP_BH]]=1,calendar[[#This Row],[WeekDay]]=1, calendar[[#This Row],[WeekDay]]=7),P582,P582+1)</f>
        <v>415</v>
      </c>
      <c r="S583">
        <f>IF(OR(calendar[[#This Row],[PT_BH]]=1,calendar[[#This Row],[WeekDay]]=1, calendar[[#This Row],[WeekDay]]=7),P582,P582+1)</f>
        <v>415</v>
      </c>
    </row>
    <row r="584" spans="1:19" x14ac:dyDescent="0.25">
      <c r="A584" s="2">
        <v>43318</v>
      </c>
      <c r="B584" s="1">
        <f t="shared" si="48"/>
        <v>32</v>
      </c>
      <c r="C584">
        <f t="shared" si="45"/>
        <v>8</v>
      </c>
      <c r="D584" t="str">
        <f t="shared" si="46"/>
        <v>August</v>
      </c>
      <c r="E584">
        <f t="shared" si="47"/>
        <v>2018</v>
      </c>
      <c r="F584" t="str">
        <f>CONCATENATE(calendar[[#This Row],[Month]],"/",calendar[[#This Row],[Year]])</f>
        <v>8/2018</v>
      </c>
      <c r="G584">
        <f>WEEKDAY(calendar[[#This Row],[Date]],1)</f>
        <v>2</v>
      </c>
      <c r="H584" t="str">
        <f>TEXT(calendar[[#This Row],[WeekDay]],"dddd")</f>
        <v>Monday</v>
      </c>
      <c r="I584">
        <f>IF((INT(calendar[[#This Row],[Count]]/7)-calendar[[#This Row],[Count]]/7)&lt;0,I583,I583+1)</f>
        <v>84</v>
      </c>
      <c r="J584">
        <f t="shared" si="49"/>
        <v>582</v>
      </c>
      <c r="K584">
        <f>IF(calendar[[#This Row],[Month]]&lt;4,1,IF(calendar[[#This Row],[Month]]&lt;7,2,IF(calendar[[#This Row],[Month]]&lt;10,3,4)))</f>
        <v>3</v>
      </c>
      <c r="L584">
        <f>IFERROR(IF(VLOOKUP(calendar[[#This Row],[Date]],BH!A:A,1,)&lt;&gt;"",1,0),0)</f>
        <v>0</v>
      </c>
      <c r="M584">
        <f>IFERROR(IF(VLOOKUP(calendar[[#This Row],[Date]],BH!C:C,1,)&lt;&gt;"",1,0),0)</f>
        <v>0</v>
      </c>
      <c r="N584">
        <f>IFERROR(IF(VLOOKUP(calendar[[#This Row],[Date]],BH!E:E,1,)&lt;&gt;"",1,0),0)</f>
        <v>0</v>
      </c>
      <c r="O584">
        <f>IFERROR(IF(VLOOKUP(calendar[[#This Row],[Date]],BH!G:G,1,)&lt;&gt;"",1,0),0)</f>
        <v>0</v>
      </c>
      <c r="P584">
        <f>IF(OR(calendar[[#This Row],[UK_BH]]=1,calendar[[#This Row],[WeekDay]]=1, calendar[[#This Row],[WeekDay]]=7),P583,P583+1)</f>
        <v>416</v>
      </c>
      <c r="Q584">
        <f>IF(OR(calendar[[#This Row],[FR_BH]]=1,calendar[[#This Row],[WeekDay]]=1, calendar[[#This Row],[WeekDay]]=7),P583,P583+1)</f>
        <v>416</v>
      </c>
      <c r="R584">
        <f>IF(OR(calendar[[#This Row],[SP_BH]]=1,calendar[[#This Row],[WeekDay]]=1, calendar[[#This Row],[WeekDay]]=7),P583,P583+1)</f>
        <v>416</v>
      </c>
      <c r="S584">
        <f>IF(OR(calendar[[#This Row],[PT_BH]]=1,calendar[[#This Row],[WeekDay]]=1, calendar[[#This Row],[WeekDay]]=7),P583,P583+1)</f>
        <v>416</v>
      </c>
    </row>
    <row r="585" spans="1:19" x14ac:dyDescent="0.25">
      <c r="A585" s="2">
        <v>43319</v>
      </c>
      <c r="B585" s="1">
        <f t="shared" si="48"/>
        <v>32</v>
      </c>
      <c r="C585">
        <f t="shared" si="45"/>
        <v>8</v>
      </c>
      <c r="D585" t="str">
        <f t="shared" si="46"/>
        <v>August</v>
      </c>
      <c r="E585">
        <f t="shared" si="47"/>
        <v>2018</v>
      </c>
      <c r="F585" t="str">
        <f>CONCATENATE(calendar[[#This Row],[Month]],"/",calendar[[#This Row],[Year]])</f>
        <v>8/2018</v>
      </c>
      <c r="G585">
        <f>WEEKDAY(calendar[[#This Row],[Date]],1)</f>
        <v>3</v>
      </c>
      <c r="H585" t="str">
        <f>TEXT(calendar[[#This Row],[WeekDay]],"dddd")</f>
        <v>Tuesday</v>
      </c>
      <c r="I585">
        <f>IF((INT(calendar[[#This Row],[Count]]/7)-calendar[[#This Row],[Count]]/7)&lt;0,I584,I584+1)</f>
        <v>84</v>
      </c>
      <c r="J585">
        <f t="shared" si="49"/>
        <v>583</v>
      </c>
      <c r="K585">
        <f>IF(calendar[[#This Row],[Month]]&lt;4,1,IF(calendar[[#This Row],[Month]]&lt;7,2,IF(calendar[[#This Row],[Month]]&lt;10,3,4)))</f>
        <v>3</v>
      </c>
      <c r="L585">
        <f>IFERROR(IF(VLOOKUP(calendar[[#This Row],[Date]],BH!A:A,1,)&lt;&gt;"",1,0),0)</f>
        <v>0</v>
      </c>
      <c r="M585">
        <f>IFERROR(IF(VLOOKUP(calendar[[#This Row],[Date]],BH!C:C,1,)&lt;&gt;"",1,0),0)</f>
        <v>0</v>
      </c>
      <c r="N585">
        <f>IFERROR(IF(VLOOKUP(calendar[[#This Row],[Date]],BH!E:E,1,)&lt;&gt;"",1,0),0)</f>
        <v>0</v>
      </c>
      <c r="O585">
        <f>IFERROR(IF(VLOOKUP(calendar[[#This Row],[Date]],BH!G:G,1,)&lt;&gt;"",1,0),0)</f>
        <v>0</v>
      </c>
      <c r="P585">
        <f>IF(OR(calendar[[#This Row],[UK_BH]]=1,calendar[[#This Row],[WeekDay]]=1, calendar[[#This Row],[WeekDay]]=7),P584,P584+1)</f>
        <v>417</v>
      </c>
      <c r="Q585">
        <f>IF(OR(calendar[[#This Row],[FR_BH]]=1,calendar[[#This Row],[WeekDay]]=1, calendar[[#This Row],[WeekDay]]=7),P584,P584+1)</f>
        <v>417</v>
      </c>
      <c r="R585">
        <f>IF(OR(calendar[[#This Row],[SP_BH]]=1,calendar[[#This Row],[WeekDay]]=1, calendar[[#This Row],[WeekDay]]=7),P584,P584+1)</f>
        <v>417</v>
      </c>
      <c r="S585">
        <f>IF(OR(calendar[[#This Row],[PT_BH]]=1,calendar[[#This Row],[WeekDay]]=1, calendar[[#This Row],[WeekDay]]=7),P584,P584+1)</f>
        <v>417</v>
      </c>
    </row>
    <row r="586" spans="1:19" x14ac:dyDescent="0.25">
      <c r="A586" s="2">
        <v>43320</v>
      </c>
      <c r="B586" s="1">
        <f t="shared" si="48"/>
        <v>32</v>
      </c>
      <c r="C586">
        <f t="shared" si="45"/>
        <v>8</v>
      </c>
      <c r="D586" t="str">
        <f t="shared" si="46"/>
        <v>August</v>
      </c>
      <c r="E586">
        <f t="shared" si="47"/>
        <v>2018</v>
      </c>
      <c r="F586" t="str">
        <f>CONCATENATE(calendar[[#This Row],[Month]],"/",calendar[[#This Row],[Year]])</f>
        <v>8/2018</v>
      </c>
      <c r="G586">
        <f>WEEKDAY(calendar[[#This Row],[Date]],1)</f>
        <v>4</v>
      </c>
      <c r="H586" t="str">
        <f>TEXT(calendar[[#This Row],[WeekDay]],"dddd")</f>
        <v>Wednesday</v>
      </c>
      <c r="I586">
        <f>IF((INT(calendar[[#This Row],[Count]]/7)-calendar[[#This Row],[Count]]/7)&lt;0,I585,I585+1)</f>
        <v>84</v>
      </c>
      <c r="J586">
        <f t="shared" si="49"/>
        <v>584</v>
      </c>
      <c r="K586">
        <f>IF(calendar[[#This Row],[Month]]&lt;4,1,IF(calendar[[#This Row],[Month]]&lt;7,2,IF(calendar[[#This Row],[Month]]&lt;10,3,4)))</f>
        <v>3</v>
      </c>
      <c r="L586">
        <f>IFERROR(IF(VLOOKUP(calendar[[#This Row],[Date]],BH!A:A,1,)&lt;&gt;"",1,0),0)</f>
        <v>0</v>
      </c>
      <c r="M586">
        <f>IFERROR(IF(VLOOKUP(calendar[[#This Row],[Date]],BH!C:C,1,)&lt;&gt;"",1,0),0)</f>
        <v>0</v>
      </c>
      <c r="N586">
        <f>IFERROR(IF(VLOOKUP(calendar[[#This Row],[Date]],BH!E:E,1,)&lt;&gt;"",1,0),0)</f>
        <v>0</v>
      </c>
      <c r="O586">
        <f>IFERROR(IF(VLOOKUP(calendar[[#This Row],[Date]],BH!G:G,1,)&lt;&gt;"",1,0),0)</f>
        <v>0</v>
      </c>
      <c r="P586">
        <f>IF(OR(calendar[[#This Row],[UK_BH]]=1,calendar[[#This Row],[WeekDay]]=1, calendar[[#This Row],[WeekDay]]=7),P585,P585+1)</f>
        <v>418</v>
      </c>
      <c r="Q586">
        <f>IF(OR(calendar[[#This Row],[FR_BH]]=1,calendar[[#This Row],[WeekDay]]=1, calendar[[#This Row],[WeekDay]]=7),P585,P585+1)</f>
        <v>418</v>
      </c>
      <c r="R586">
        <f>IF(OR(calendar[[#This Row],[SP_BH]]=1,calendar[[#This Row],[WeekDay]]=1, calendar[[#This Row],[WeekDay]]=7),P585,P585+1)</f>
        <v>418</v>
      </c>
      <c r="S586">
        <f>IF(OR(calendar[[#This Row],[PT_BH]]=1,calendar[[#This Row],[WeekDay]]=1, calendar[[#This Row],[WeekDay]]=7),P585,P585+1)</f>
        <v>418</v>
      </c>
    </row>
    <row r="587" spans="1:19" x14ac:dyDescent="0.25">
      <c r="A587" s="2">
        <v>43321</v>
      </c>
      <c r="B587" s="1">
        <f t="shared" si="48"/>
        <v>32</v>
      </c>
      <c r="C587">
        <f t="shared" si="45"/>
        <v>8</v>
      </c>
      <c r="D587" t="str">
        <f t="shared" si="46"/>
        <v>August</v>
      </c>
      <c r="E587">
        <f t="shared" si="47"/>
        <v>2018</v>
      </c>
      <c r="F587" t="str">
        <f>CONCATENATE(calendar[[#This Row],[Month]],"/",calendar[[#This Row],[Year]])</f>
        <v>8/2018</v>
      </c>
      <c r="G587">
        <f>WEEKDAY(calendar[[#This Row],[Date]],1)</f>
        <v>5</v>
      </c>
      <c r="H587" t="str">
        <f>TEXT(calendar[[#This Row],[WeekDay]],"dddd")</f>
        <v>Thursday</v>
      </c>
      <c r="I587">
        <f>IF((INT(calendar[[#This Row],[Count]]/7)-calendar[[#This Row],[Count]]/7)&lt;0,I586,I586+1)</f>
        <v>84</v>
      </c>
      <c r="J587">
        <f t="shared" si="49"/>
        <v>585</v>
      </c>
      <c r="K587">
        <f>IF(calendar[[#This Row],[Month]]&lt;4,1,IF(calendar[[#This Row],[Month]]&lt;7,2,IF(calendar[[#This Row],[Month]]&lt;10,3,4)))</f>
        <v>3</v>
      </c>
      <c r="L587">
        <f>IFERROR(IF(VLOOKUP(calendar[[#This Row],[Date]],BH!A:A,1,)&lt;&gt;"",1,0),0)</f>
        <v>0</v>
      </c>
      <c r="M587">
        <f>IFERROR(IF(VLOOKUP(calendar[[#This Row],[Date]],BH!C:C,1,)&lt;&gt;"",1,0),0)</f>
        <v>0</v>
      </c>
      <c r="N587">
        <f>IFERROR(IF(VLOOKUP(calendar[[#This Row],[Date]],BH!E:E,1,)&lt;&gt;"",1,0),0)</f>
        <v>0</v>
      </c>
      <c r="O587">
        <f>IFERROR(IF(VLOOKUP(calendar[[#This Row],[Date]],BH!G:G,1,)&lt;&gt;"",1,0),0)</f>
        <v>0</v>
      </c>
      <c r="P587">
        <f>IF(OR(calendar[[#This Row],[UK_BH]]=1,calendar[[#This Row],[WeekDay]]=1, calendar[[#This Row],[WeekDay]]=7),P586,P586+1)</f>
        <v>419</v>
      </c>
      <c r="Q587">
        <f>IF(OR(calendar[[#This Row],[FR_BH]]=1,calendar[[#This Row],[WeekDay]]=1, calendar[[#This Row],[WeekDay]]=7),P586,P586+1)</f>
        <v>419</v>
      </c>
      <c r="R587">
        <f>IF(OR(calendar[[#This Row],[SP_BH]]=1,calendar[[#This Row],[WeekDay]]=1, calendar[[#This Row],[WeekDay]]=7),P586,P586+1)</f>
        <v>419</v>
      </c>
      <c r="S587">
        <f>IF(OR(calendar[[#This Row],[PT_BH]]=1,calendar[[#This Row],[WeekDay]]=1, calendar[[#This Row],[WeekDay]]=7),P586,P586+1)</f>
        <v>419</v>
      </c>
    </row>
    <row r="588" spans="1:19" x14ac:dyDescent="0.25">
      <c r="A588" s="2">
        <v>43322</v>
      </c>
      <c r="B588" s="1">
        <f t="shared" si="48"/>
        <v>32</v>
      </c>
      <c r="C588">
        <f t="shared" si="45"/>
        <v>8</v>
      </c>
      <c r="D588" t="str">
        <f t="shared" si="46"/>
        <v>August</v>
      </c>
      <c r="E588">
        <f t="shared" si="47"/>
        <v>2018</v>
      </c>
      <c r="F588" t="str">
        <f>CONCATENATE(calendar[[#This Row],[Month]],"/",calendar[[#This Row],[Year]])</f>
        <v>8/2018</v>
      </c>
      <c r="G588">
        <f>WEEKDAY(calendar[[#This Row],[Date]],1)</f>
        <v>6</v>
      </c>
      <c r="H588" t="str">
        <f>TEXT(calendar[[#This Row],[WeekDay]],"dddd")</f>
        <v>Friday</v>
      </c>
      <c r="I588">
        <f>IF((INT(calendar[[#This Row],[Count]]/7)-calendar[[#This Row],[Count]]/7)&lt;0,I587,I587+1)</f>
        <v>84</v>
      </c>
      <c r="J588">
        <f t="shared" si="49"/>
        <v>586</v>
      </c>
      <c r="K588">
        <f>IF(calendar[[#This Row],[Month]]&lt;4,1,IF(calendar[[#This Row],[Month]]&lt;7,2,IF(calendar[[#This Row],[Month]]&lt;10,3,4)))</f>
        <v>3</v>
      </c>
      <c r="L588">
        <f>IFERROR(IF(VLOOKUP(calendar[[#This Row],[Date]],BH!A:A,1,)&lt;&gt;"",1,0),0)</f>
        <v>0</v>
      </c>
      <c r="M588">
        <f>IFERROR(IF(VLOOKUP(calendar[[#This Row],[Date]],BH!C:C,1,)&lt;&gt;"",1,0),0)</f>
        <v>0</v>
      </c>
      <c r="N588">
        <f>IFERROR(IF(VLOOKUP(calendar[[#This Row],[Date]],BH!E:E,1,)&lt;&gt;"",1,0),0)</f>
        <v>0</v>
      </c>
      <c r="O588">
        <f>IFERROR(IF(VLOOKUP(calendar[[#This Row],[Date]],BH!G:G,1,)&lt;&gt;"",1,0),0)</f>
        <v>0</v>
      </c>
      <c r="P588">
        <f>IF(OR(calendar[[#This Row],[UK_BH]]=1,calendar[[#This Row],[WeekDay]]=1, calendar[[#This Row],[WeekDay]]=7),P587,P587+1)</f>
        <v>420</v>
      </c>
      <c r="Q588">
        <f>IF(OR(calendar[[#This Row],[FR_BH]]=1,calendar[[#This Row],[WeekDay]]=1, calendar[[#This Row],[WeekDay]]=7),P587,P587+1)</f>
        <v>420</v>
      </c>
      <c r="R588">
        <f>IF(OR(calendar[[#This Row],[SP_BH]]=1,calendar[[#This Row],[WeekDay]]=1, calendar[[#This Row],[WeekDay]]=7),P587,P587+1)</f>
        <v>420</v>
      </c>
      <c r="S588">
        <f>IF(OR(calendar[[#This Row],[PT_BH]]=1,calendar[[#This Row],[WeekDay]]=1, calendar[[#This Row],[WeekDay]]=7),P587,P587+1)</f>
        <v>420</v>
      </c>
    </row>
    <row r="589" spans="1:19" x14ac:dyDescent="0.25">
      <c r="A589" s="2">
        <v>43323</v>
      </c>
      <c r="B589" s="1">
        <f t="shared" si="48"/>
        <v>32</v>
      </c>
      <c r="C589">
        <f t="shared" si="45"/>
        <v>8</v>
      </c>
      <c r="D589" t="str">
        <f t="shared" si="46"/>
        <v>August</v>
      </c>
      <c r="E589">
        <f t="shared" si="47"/>
        <v>2018</v>
      </c>
      <c r="F589" t="str">
        <f>CONCATENATE(calendar[[#This Row],[Month]],"/",calendar[[#This Row],[Year]])</f>
        <v>8/2018</v>
      </c>
      <c r="G589">
        <f>WEEKDAY(calendar[[#This Row],[Date]],1)</f>
        <v>7</v>
      </c>
      <c r="H589" t="str">
        <f>TEXT(calendar[[#This Row],[WeekDay]],"dddd")</f>
        <v>Saturday</v>
      </c>
      <c r="I589">
        <f>IF((INT(calendar[[#This Row],[Count]]/7)-calendar[[#This Row],[Count]]/7)&lt;0,I588,I588+1)</f>
        <v>84</v>
      </c>
      <c r="J589">
        <f t="shared" si="49"/>
        <v>587</v>
      </c>
      <c r="K589">
        <f>IF(calendar[[#This Row],[Month]]&lt;4,1,IF(calendar[[#This Row],[Month]]&lt;7,2,IF(calendar[[#This Row],[Month]]&lt;10,3,4)))</f>
        <v>3</v>
      </c>
      <c r="L589">
        <f>IFERROR(IF(VLOOKUP(calendar[[#This Row],[Date]],BH!A:A,1,)&lt;&gt;"",1,0),0)</f>
        <v>0</v>
      </c>
      <c r="M589">
        <f>IFERROR(IF(VLOOKUP(calendar[[#This Row],[Date]],BH!C:C,1,)&lt;&gt;"",1,0),0)</f>
        <v>0</v>
      </c>
      <c r="N589">
        <f>IFERROR(IF(VLOOKUP(calendar[[#This Row],[Date]],BH!E:E,1,)&lt;&gt;"",1,0),0)</f>
        <v>0</v>
      </c>
      <c r="O589">
        <f>IFERROR(IF(VLOOKUP(calendar[[#This Row],[Date]],BH!G:G,1,)&lt;&gt;"",1,0),0)</f>
        <v>0</v>
      </c>
      <c r="P589">
        <f>IF(OR(calendar[[#This Row],[UK_BH]]=1,calendar[[#This Row],[WeekDay]]=1, calendar[[#This Row],[WeekDay]]=7),P588,P588+1)</f>
        <v>420</v>
      </c>
      <c r="Q589">
        <f>IF(OR(calendar[[#This Row],[FR_BH]]=1,calendar[[#This Row],[WeekDay]]=1, calendar[[#This Row],[WeekDay]]=7),P588,P588+1)</f>
        <v>420</v>
      </c>
      <c r="R589">
        <f>IF(OR(calendar[[#This Row],[SP_BH]]=1,calendar[[#This Row],[WeekDay]]=1, calendar[[#This Row],[WeekDay]]=7),P588,P588+1)</f>
        <v>420</v>
      </c>
      <c r="S589">
        <f>IF(OR(calendar[[#This Row],[PT_BH]]=1,calendar[[#This Row],[WeekDay]]=1, calendar[[#This Row],[WeekDay]]=7),P588,P588+1)</f>
        <v>420</v>
      </c>
    </row>
    <row r="590" spans="1:19" x14ac:dyDescent="0.25">
      <c r="A590" s="2">
        <v>43324</v>
      </c>
      <c r="B590" s="1">
        <f t="shared" si="48"/>
        <v>33</v>
      </c>
      <c r="C590">
        <f t="shared" si="45"/>
        <v>8</v>
      </c>
      <c r="D590" t="str">
        <f t="shared" si="46"/>
        <v>August</v>
      </c>
      <c r="E590">
        <f t="shared" si="47"/>
        <v>2018</v>
      </c>
      <c r="F590" t="str">
        <f>CONCATENATE(calendar[[#This Row],[Month]],"/",calendar[[#This Row],[Year]])</f>
        <v>8/2018</v>
      </c>
      <c r="G590">
        <f>WEEKDAY(calendar[[#This Row],[Date]],1)</f>
        <v>1</v>
      </c>
      <c r="H590" t="str">
        <f>TEXT(calendar[[#This Row],[WeekDay]],"dddd")</f>
        <v>Sunday</v>
      </c>
      <c r="I590">
        <f>IF((INT(calendar[[#This Row],[Count]]/7)-calendar[[#This Row],[Count]]/7)&lt;0,I589,I589+1)</f>
        <v>85</v>
      </c>
      <c r="J590">
        <f t="shared" si="49"/>
        <v>588</v>
      </c>
      <c r="K590">
        <f>IF(calendar[[#This Row],[Month]]&lt;4,1,IF(calendar[[#This Row],[Month]]&lt;7,2,IF(calendar[[#This Row],[Month]]&lt;10,3,4)))</f>
        <v>3</v>
      </c>
      <c r="L590">
        <f>IFERROR(IF(VLOOKUP(calendar[[#This Row],[Date]],BH!A:A,1,)&lt;&gt;"",1,0),0)</f>
        <v>0</v>
      </c>
      <c r="M590">
        <f>IFERROR(IF(VLOOKUP(calendar[[#This Row],[Date]],BH!C:C,1,)&lt;&gt;"",1,0),0)</f>
        <v>0</v>
      </c>
      <c r="N590">
        <f>IFERROR(IF(VLOOKUP(calendar[[#This Row],[Date]],BH!E:E,1,)&lt;&gt;"",1,0),0)</f>
        <v>0</v>
      </c>
      <c r="O590">
        <f>IFERROR(IF(VLOOKUP(calendar[[#This Row],[Date]],BH!G:G,1,)&lt;&gt;"",1,0),0)</f>
        <v>0</v>
      </c>
      <c r="P590">
        <f>IF(OR(calendar[[#This Row],[UK_BH]]=1,calendar[[#This Row],[WeekDay]]=1, calendar[[#This Row],[WeekDay]]=7),P589,P589+1)</f>
        <v>420</v>
      </c>
      <c r="Q590">
        <f>IF(OR(calendar[[#This Row],[FR_BH]]=1,calendar[[#This Row],[WeekDay]]=1, calendar[[#This Row],[WeekDay]]=7),P589,P589+1)</f>
        <v>420</v>
      </c>
      <c r="R590">
        <f>IF(OR(calendar[[#This Row],[SP_BH]]=1,calendar[[#This Row],[WeekDay]]=1, calendar[[#This Row],[WeekDay]]=7),P589,P589+1)</f>
        <v>420</v>
      </c>
      <c r="S590">
        <f>IF(OR(calendar[[#This Row],[PT_BH]]=1,calendar[[#This Row],[WeekDay]]=1, calendar[[#This Row],[WeekDay]]=7),P589,P589+1)</f>
        <v>420</v>
      </c>
    </row>
    <row r="591" spans="1:19" x14ac:dyDescent="0.25">
      <c r="A591" s="2">
        <v>43325</v>
      </c>
      <c r="B591" s="1">
        <f t="shared" si="48"/>
        <v>33</v>
      </c>
      <c r="C591">
        <f t="shared" si="45"/>
        <v>8</v>
      </c>
      <c r="D591" t="str">
        <f t="shared" si="46"/>
        <v>August</v>
      </c>
      <c r="E591">
        <f t="shared" si="47"/>
        <v>2018</v>
      </c>
      <c r="F591" t="str">
        <f>CONCATENATE(calendar[[#This Row],[Month]],"/",calendar[[#This Row],[Year]])</f>
        <v>8/2018</v>
      </c>
      <c r="G591">
        <f>WEEKDAY(calendar[[#This Row],[Date]],1)</f>
        <v>2</v>
      </c>
      <c r="H591" t="str">
        <f>TEXT(calendar[[#This Row],[WeekDay]],"dddd")</f>
        <v>Monday</v>
      </c>
      <c r="I591">
        <f>IF((INT(calendar[[#This Row],[Count]]/7)-calendar[[#This Row],[Count]]/7)&lt;0,I590,I590+1)</f>
        <v>85</v>
      </c>
      <c r="J591">
        <f t="shared" si="49"/>
        <v>589</v>
      </c>
      <c r="K591">
        <f>IF(calendar[[#This Row],[Month]]&lt;4,1,IF(calendar[[#This Row],[Month]]&lt;7,2,IF(calendar[[#This Row],[Month]]&lt;10,3,4)))</f>
        <v>3</v>
      </c>
      <c r="L591">
        <f>IFERROR(IF(VLOOKUP(calendar[[#This Row],[Date]],BH!A:A,1,)&lt;&gt;"",1,0),0)</f>
        <v>0</v>
      </c>
      <c r="M591">
        <f>IFERROR(IF(VLOOKUP(calendar[[#This Row],[Date]],BH!C:C,1,)&lt;&gt;"",1,0),0)</f>
        <v>0</v>
      </c>
      <c r="N591">
        <f>IFERROR(IF(VLOOKUP(calendar[[#This Row],[Date]],BH!E:E,1,)&lt;&gt;"",1,0),0)</f>
        <v>0</v>
      </c>
      <c r="O591">
        <f>IFERROR(IF(VLOOKUP(calendar[[#This Row],[Date]],BH!G:G,1,)&lt;&gt;"",1,0),0)</f>
        <v>0</v>
      </c>
      <c r="P591">
        <f>IF(OR(calendar[[#This Row],[UK_BH]]=1,calendar[[#This Row],[WeekDay]]=1, calendar[[#This Row],[WeekDay]]=7),P590,P590+1)</f>
        <v>421</v>
      </c>
      <c r="Q591">
        <f>IF(OR(calendar[[#This Row],[FR_BH]]=1,calendar[[#This Row],[WeekDay]]=1, calendar[[#This Row],[WeekDay]]=7),P590,P590+1)</f>
        <v>421</v>
      </c>
      <c r="R591">
        <f>IF(OR(calendar[[#This Row],[SP_BH]]=1,calendar[[#This Row],[WeekDay]]=1, calendar[[#This Row],[WeekDay]]=7),P590,P590+1)</f>
        <v>421</v>
      </c>
      <c r="S591">
        <f>IF(OR(calendar[[#This Row],[PT_BH]]=1,calendar[[#This Row],[WeekDay]]=1, calendar[[#This Row],[WeekDay]]=7),P590,P590+1)</f>
        <v>421</v>
      </c>
    </row>
    <row r="592" spans="1:19" x14ac:dyDescent="0.25">
      <c r="A592" s="2">
        <v>43326</v>
      </c>
      <c r="B592" s="1">
        <f t="shared" si="48"/>
        <v>33</v>
      </c>
      <c r="C592">
        <f t="shared" ref="C592:C655" si="50">MONTH(A592)</f>
        <v>8</v>
      </c>
      <c r="D592" t="str">
        <f t="shared" ref="D592:D655" si="51">TEXT(A592,"mmmm")</f>
        <v>August</v>
      </c>
      <c r="E592">
        <f t="shared" ref="E592:E655" si="52">YEAR(A592)</f>
        <v>2018</v>
      </c>
      <c r="F592" t="str">
        <f>CONCATENATE(calendar[[#This Row],[Month]],"/",calendar[[#This Row],[Year]])</f>
        <v>8/2018</v>
      </c>
      <c r="G592">
        <f>WEEKDAY(calendar[[#This Row],[Date]],1)</f>
        <v>3</v>
      </c>
      <c r="H592" t="str">
        <f>TEXT(calendar[[#This Row],[WeekDay]],"dddd")</f>
        <v>Tuesday</v>
      </c>
      <c r="I592">
        <f>IF((INT(calendar[[#This Row],[Count]]/7)-calendar[[#This Row],[Count]]/7)&lt;0,I591,I591+1)</f>
        <v>85</v>
      </c>
      <c r="J592">
        <f t="shared" si="49"/>
        <v>590</v>
      </c>
      <c r="K592">
        <f>IF(calendar[[#This Row],[Month]]&lt;4,1,IF(calendar[[#This Row],[Month]]&lt;7,2,IF(calendar[[#This Row],[Month]]&lt;10,3,4)))</f>
        <v>3</v>
      </c>
      <c r="L592">
        <f>IFERROR(IF(VLOOKUP(calendar[[#This Row],[Date]],BH!A:A,1,)&lt;&gt;"",1,0),0)</f>
        <v>0</v>
      </c>
      <c r="M592">
        <f>IFERROR(IF(VLOOKUP(calendar[[#This Row],[Date]],BH!C:C,1,)&lt;&gt;"",1,0),0)</f>
        <v>0</v>
      </c>
      <c r="N592">
        <f>IFERROR(IF(VLOOKUP(calendar[[#This Row],[Date]],BH!E:E,1,)&lt;&gt;"",1,0),0)</f>
        <v>0</v>
      </c>
      <c r="O592">
        <f>IFERROR(IF(VLOOKUP(calendar[[#This Row],[Date]],BH!G:G,1,)&lt;&gt;"",1,0),0)</f>
        <v>0</v>
      </c>
      <c r="P592">
        <f>IF(OR(calendar[[#This Row],[UK_BH]]=1,calendar[[#This Row],[WeekDay]]=1, calendar[[#This Row],[WeekDay]]=7),P591,P591+1)</f>
        <v>422</v>
      </c>
      <c r="Q592">
        <f>IF(OR(calendar[[#This Row],[FR_BH]]=1,calendar[[#This Row],[WeekDay]]=1, calendar[[#This Row],[WeekDay]]=7),P591,P591+1)</f>
        <v>422</v>
      </c>
      <c r="R592">
        <f>IF(OR(calendar[[#This Row],[SP_BH]]=1,calendar[[#This Row],[WeekDay]]=1, calendar[[#This Row],[WeekDay]]=7),P591,P591+1)</f>
        <v>422</v>
      </c>
      <c r="S592">
        <f>IF(OR(calendar[[#This Row],[PT_BH]]=1,calendar[[#This Row],[WeekDay]]=1, calendar[[#This Row],[WeekDay]]=7),P591,P591+1)</f>
        <v>422</v>
      </c>
    </row>
    <row r="593" spans="1:19" x14ac:dyDescent="0.25">
      <c r="A593" s="2">
        <v>43327</v>
      </c>
      <c r="B593" s="1">
        <f t="shared" si="48"/>
        <v>33</v>
      </c>
      <c r="C593">
        <f t="shared" si="50"/>
        <v>8</v>
      </c>
      <c r="D593" t="str">
        <f t="shared" si="51"/>
        <v>August</v>
      </c>
      <c r="E593">
        <f t="shared" si="52"/>
        <v>2018</v>
      </c>
      <c r="F593" t="str">
        <f>CONCATENATE(calendar[[#This Row],[Month]],"/",calendar[[#This Row],[Year]])</f>
        <v>8/2018</v>
      </c>
      <c r="G593">
        <f>WEEKDAY(calendar[[#This Row],[Date]],1)</f>
        <v>4</v>
      </c>
      <c r="H593" t="str">
        <f>TEXT(calendar[[#This Row],[WeekDay]],"dddd")</f>
        <v>Wednesday</v>
      </c>
      <c r="I593">
        <f>IF((INT(calendar[[#This Row],[Count]]/7)-calendar[[#This Row],[Count]]/7)&lt;0,I592,I592+1)</f>
        <v>85</v>
      </c>
      <c r="J593">
        <f t="shared" si="49"/>
        <v>591</v>
      </c>
      <c r="K593">
        <f>IF(calendar[[#This Row],[Month]]&lt;4,1,IF(calendar[[#This Row],[Month]]&lt;7,2,IF(calendar[[#This Row],[Month]]&lt;10,3,4)))</f>
        <v>3</v>
      </c>
      <c r="L593">
        <f>IFERROR(IF(VLOOKUP(calendar[[#This Row],[Date]],BH!A:A,1,)&lt;&gt;"",1,0),0)</f>
        <v>0</v>
      </c>
      <c r="M593">
        <f>IFERROR(IF(VLOOKUP(calendar[[#This Row],[Date]],BH!C:C,1,)&lt;&gt;"",1,0),0)</f>
        <v>0</v>
      </c>
      <c r="N593">
        <f>IFERROR(IF(VLOOKUP(calendar[[#This Row],[Date]],BH!E:E,1,)&lt;&gt;"",1,0),0)</f>
        <v>0</v>
      </c>
      <c r="O593">
        <f>IFERROR(IF(VLOOKUP(calendar[[#This Row],[Date]],BH!G:G,1,)&lt;&gt;"",1,0),0)</f>
        <v>0</v>
      </c>
      <c r="P593">
        <f>IF(OR(calendar[[#This Row],[UK_BH]]=1,calendar[[#This Row],[WeekDay]]=1, calendar[[#This Row],[WeekDay]]=7),P592,P592+1)</f>
        <v>423</v>
      </c>
      <c r="Q593">
        <f>IF(OR(calendar[[#This Row],[FR_BH]]=1,calendar[[#This Row],[WeekDay]]=1, calendar[[#This Row],[WeekDay]]=7),P592,P592+1)</f>
        <v>423</v>
      </c>
      <c r="R593">
        <f>IF(OR(calendar[[#This Row],[SP_BH]]=1,calendar[[#This Row],[WeekDay]]=1, calendar[[#This Row],[WeekDay]]=7),P592,P592+1)</f>
        <v>423</v>
      </c>
      <c r="S593">
        <f>IF(OR(calendar[[#This Row],[PT_BH]]=1,calendar[[#This Row],[WeekDay]]=1, calendar[[#This Row],[WeekDay]]=7),P592,P592+1)</f>
        <v>423</v>
      </c>
    </row>
    <row r="594" spans="1:19" x14ac:dyDescent="0.25">
      <c r="A594" s="2">
        <v>43328</v>
      </c>
      <c r="B594" s="1">
        <f t="shared" si="48"/>
        <v>33</v>
      </c>
      <c r="C594">
        <f t="shared" si="50"/>
        <v>8</v>
      </c>
      <c r="D594" t="str">
        <f t="shared" si="51"/>
        <v>August</v>
      </c>
      <c r="E594">
        <f t="shared" si="52"/>
        <v>2018</v>
      </c>
      <c r="F594" t="str">
        <f>CONCATENATE(calendar[[#This Row],[Month]],"/",calendar[[#This Row],[Year]])</f>
        <v>8/2018</v>
      </c>
      <c r="G594">
        <f>WEEKDAY(calendar[[#This Row],[Date]],1)</f>
        <v>5</v>
      </c>
      <c r="H594" t="str">
        <f>TEXT(calendar[[#This Row],[WeekDay]],"dddd")</f>
        <v>Thursday</v>
      </c>
      <c r="I594">
        <f>IF((INT(calendar[[#This Row],[Count]]/7)-calendar[[#This Row],[Count]]/7)&lt;0,I593,I593+1)</f>
        <v>85</v>
      </c>
      <c r="J594">
        <f t="shared" si="49"/>
        <v>592</v>
      </c>
      <c r="K594">
        <f>IF(calendar[[#This Row],[Month]]&lt;4,1,IF(calendar[[#This Row],[Month]]&lt;7,2,IF(calendar[[#This Row],[Month]]&lt;10,3,4)))</f>
        <v>3</v>
      </c>
      <c r="L594">
        <f>IFERROR(IF(VLOOKUP(calendar[[#This Row],[Date]],BH!A:A,1,)&lt;&gt;"",1,0),0)</f>
        <v>0</v>
      </c>
      <c r="M594">
        <f>IFERROR(IF(VLOOKUP(calendar[[#This Row],[Date]],BH!C:C,1,)&lt;&gt;"",1,0),0)</f>
        <v>0</v>
      </c>
      <c r="N594">
        <f>IFERROR(IF(VLOOKUP(calendar[[#This Row],[Date]],BH!E:E,1,)&lt;&gt;"",1,0),0)</f>
        <v>0</v>
      </c>
      <c r="O594">
        <f>IFERROR(IF(VLOOKUP(calendar[[#This Row],[Date]],BH!G:G,1,)&lt;&gt;"",1,0),0)</f>
        <v>0</v>
      </c>
      <c r="P594">
        <f>IF(OR(calendar[[#This Row],[UK_BH]]=1,calendar[[#This Row],[WeekDay]]=1, calendar[[#This Row],[WeekDay]]=7),P593,P593+1)</f>
        <v>424</v>
      </c>
      <c r="Q594">
        <f>IF(OR(calendar[[#This Row],[FR_BH]]=1,calendar[[#This Row],[WeekDay]]=1, calendar[[#This Row],[WeekDay]]=7),P593,P593+1)</f>
        <v>424</v>
      </c>
      <c r="R594">
        <f>IF(OR(calendar[[#This Row],[SP_BH]]=1,calendar[[#This Row],[WeekDay]]=1, calendar[[#This Row],[WeekDay]]=7),P593,P593+1)</f>
        <v>424</v>
      </c>
      <c r="S594">
        <f>IF(OR(calendar[[#This Row],[PT_BH]]=1,calendar[[#This Row],[WeekDay]]=1, calendar[[#This Row],[WeekDay]]=7),P593,P593+1)</f>
        <v>424</v>
      </c>
    </row>
    <row r="595" spans="1:19" x14ac:dyDescent="0.25">
      <c r="A595" s="2">
        <v>43329</v>
      </c>
      <c r="B595" s="1">
        <f t="shared" si="48"/>
        <v>33</v>
      </c>
      <c r="C595">
        <f t="shared" si="50"/>
        <v>8</v>
      </c>
      <c r="D595" t="str">
        <f t="shared" si="51"/>
        <v>August</v>
      </c>
      <c r="E595">
        <f t="shared" si="52"/>
        <v>2018</v>
      </c>
      <c r="F595" t="str">
        <f>CONCATENATE(calendar[[#This Row],[Month]],"/",calendar[[#This Row],[Year]])</f>
        <v>8/2018</v>
      </c>
      <c r="G595">
        <f>WEEKDAY(calendar[[#This Row],[Date]],1)</f>
        <v>6</v>
      </c>
      <c r="H595" t="str">
        <f>TEXT(calendar[[#This Row],[WeekDay]],"dddd")</f>
        <v>Friday</v>
      </c>
      <c r="I595">
        <f>IF((INT(calendar[[#This Row],[Count]]/7)-calendar[[#This Row],[Count]]/7)&lt;0,I594,I594+1)</f>
        <v>85</v>
      </c>
      <c r="J595">
        <f t="shared" si="49"/>
        <v>593</v>
      </c>
      <c r="K595">
        <f>IF(calendar[[#This Row],[Month]]&lt;4,1,IF(calendar[[#This Row],[Month]]&lt;7,2,IF(calendar[[#This Row],[Month]]&lt;10,3,4)))</f>
        <v>3</v>
      </c>
      <c r="L595">
        <f>IFERROR(IF(VLOOKUP(calendar[[#This Row],[Date]],BH!A:A,1,)&lt;&gt;"",1,0),0)</f>
        <v>0</v>
      </c>
      <c r="M595">
        <f>IFERROR(IF(VLOOKUP(calendar[[#This Row],[Date]],BH!C:C,1,)&lt;&gt;"",1,0),0)</f>
        <v>0</v>
      </c>
      <c r="N595">
        <f>IFERROR(IF(VLOOKUP(calendar[[#This Row],[Date]],BH!E:E,1,)&lt;&gt;"",1,0),0)</f>
        <v>0</v>
      </c>
      <c r="O595">
        <f>IFERROR(IF(VLOOKUP(calendar[[#This Row],[Date]],BH!G:G,1,)&lt;&gt;"",1,0),0)</f>
        <v>0</v>
      </c>
      <c r="P595">
        <f>IF(OR(calendar[[#This Row],[UK_BH]]=1,calendar[[#This Row],[WeekDay]]=1, calendar[[#This Row],[WeekDay]]=7),P594,P594+1)</f>
        <v>425</v>
      </c>
      <c r="Q595">
        <f>IF(OR(calendar[[#This Row],[FR_BH]]=1,calendar[[#This Row],[WeekDay]]=1, calendar[[#This Row],[WeekDay]]=7),P594,P594+1)</f>
        <v>425</v>
      </c>
      <c r="R595">
        <f>IF(OR(calendar[[#This Row],[SP_BH]]=1,calendar[[#This Row],[WeekDay]]=1, calendar[[#This Row],[WeekDay]]=7),P594,P594+1)</f>
        <v>425</v>
      </c>
      <c r="S595">
        <f>IF(OR(calendar[[#This Row],[PT_BH]]=1,calendar[[#This Row],[WeekDay]]=1, calendar[[#This Row],[WeekDay]]=7),P594,P594+1)</f>
        <v>425</v>
      </c>
    </row>
    <row r="596" spans="1:19" x14ac:dyDescent="0.25">
      <c r="A596" s="2">
        <v>43330</v>
      </c>
      <c r="B596" s="1">
        <f t="shared" si="48"/>
        <v>33</v>
      </c>
      <c r="C596">
        <f t="shared" si="50"/>
        <v>8</v>
      </c>
      <c r="D596" t="str">
        <f t="shared" si="51"/>
        <v>August</v>
      </c>
      <c r="E596">
        <f t="shared" si="52"/>
        <v>2018</v>
      </c>
      <c r="F596" t="str">
        <f>CONCATENATE(calendar[[#This Row],[Month]],"/",calendar[[#This Row],[Year]])</f>
        <v>8/2018</v>
      </c>
      <c r="G596">
        <f>WEEKDAY(calendar[[#This Row],[Date]],1)</f>
        <v>7</v>
      </c>
      <c r="H596" t="str">
        <f>TEXT(calendar[[#This Row],[WeekDay]],"dddd")</f>
        <v>Saturday</v>
      </c>
      <c r="I596">
        <f>IF((INT(calendar[[#This Row],[Count]]/7)-calendar[[#This Row],[Count]]/7)&lt;0,I595,I595+1)</f>
        <v>85</v>
      </c>
      <c r="J596">
        <f t="shared" si="49"/>
        <v>594</v>
      </c>
      <c r="K596">
        <f>IF(calendar[[#This Row],[Month]]&lt;4,1,IF(calendar[[#This Row],[Month]]&lt;7,2,IF(calendar[[#This Row],[Month]]&lt;10,3,4)))</f>
        <v>3</v>
      </c>
      <c r="L596">
        <f>IFERROR(IF(VLOOKUP(calendar[[#This Row],[Date]],BH!A:A,1,)&lt;&gt;"",1,0),0)</f>
        <v>0</v>
      </c>
      <c r="M596">
        <f>IFERROR(IF(VLOOKUP(calendar[[#This Row],[Date]],BH!C:C,1,)&lt;&gt;"",1,0),0)</f>
        <v>0</v>
      </c>
      <c r="N596">
        <f>IFERROR(IF(VLOOKUP(calendar[[#This Row],[Date]],BH!E:E,1,)&lt;&gt;"",1,0),0)</f>
        <v>0</v>
      </c>
      <c r="O596">
        <f>IFERROR(IF(VLOOKUP(calendar[[#This Row],[Date]],BH!G:G,1,)&lt;&gt;"",1,0),0)</f>
        <v>0</v>
      </c>
      <c r="P596">
        <f>IF(OR(calendar[[#This Row],[UK_BH]]=1,calendar[[#This Row],[WeekDay]]=1, calendar[[#This Row],[WeekDay]]=7),P595,P595+1)</f>
        <v>425</v>
      </c>
      <c r="Q596">
        <f>IF(OR(calendar[[#This Row],[FR_BH]]=1,calendar[[#This Row],[WeekDay]]=1, calendar[[#This Row],[WeekDay]]=7),P595,P595+1)</f>
        <v>425</v>
      </c>
      <c r="R596">
        <f>IF(OR(calendar[[#This Row],[SP_BH]]=1,calendar[[#This Row],[WeekDay]]=1, calendar[[#This Row],[WeekDay]]=7),P595,P595+1)</f>
        <v>425</v>
      </c>
      <c r="S596">
        <f>IF(OR(calendar[[#This Row],[PT_BH]]=1,calendar[[#This Row],[WeekDay]]=1, calendar[[#This Row],[WeekDay]]=7),P595,P595+1)</f>
        <v>425</v>
      </c>
    </row>
    <row r="597" spans="1:19" x14ac:dyDescent="0.25">
      <c r="A597" s="2">
        <v>43331</v>
      </c>
      <c r="B597" s="1">
        <f t="shared" si="48"/>
        <v>34</v>
      </c>
      <c r="C597">
        <f t="shared" si="50"/>
        <v>8</v>
      </c>
      <c r="D597" t="str">
        <f t="shared" si="51"/>
        <v>August</v>
      </c>
      <c r="E597">
        <f t="shared" si="52"/>
        <v>2018</v>
      </c>
      <c r="F597" t="str">
        <f>CONCATENATE(calendar[[#This Row],[Month]],"/",calendar[[#This Row],[Year]])</f>
        <v>8/2018</v>
      </c>
      <c r="G597">
        <f>WEEKDAY(calendar[[#This Row],[Date]],1)</f>
        <v>1</v>
      </c>
      <c r="H597" t="str">
        <f>TEXT(calendar[[#This Row],[WeekDay]],"dddd")</f>
        <v>Sunday</v>
      </c>
      <c r="I597">
        <f>IF((INT(calendar[[#This Row],[Count]]/7)-calendar[[#This Row],[Count]]/7)&lt;0,I596,I596+1)</f>
        <v>86</v>
      </c>
      <c r="J597">
        <f t="shared" si="49"/>
        <v>595</v>
      </c>
      <c r="K597">
        <f>IF(calendar[[#This Row],[Month]]&lt;4,1,IF(calendar[[#This Row],[Month]]&lt;7,2,IF(calendar[[#This Row],[Month]]&lt;10,3,4)))</f>
        <v>3</v>
      </c>
      <c r="L597">
        <f>IFERROR(IF(VLOOKUP(calendar[[#This Row],[Date]],BH!A:A,1,)&lt;&gt;"",1,0),0)</f>
        <v>0</v>
      </c>
      <c r="M597">
        <f>IFERROR(IF(VLOOKUP(calendar[[#This Row],[Date]],BH!C:C,1,)&lt;&gt;"",1,0),0)</f>
        <v>0</v>
      </c>
      <c r="N597">
        <f>IFERROR(IF(VLOOKUP(calendar[[#This Row],[Date]],BH!E:E,1,)&lt;&gt;"",1,0),0)</f>
        <v>0</v>
      </c>
      <c r="O597">
        <f>IFERROR(IF(VLOOKUP(calendar[[#This Row],[Date]],BH!G:G,1,)&lt;&gt;"",1,0),0)</f>
        <v>0</v>
      </c>
      <c r="P597">
        <f>IF(OR(calendar[[#This Row],[UK_BH]]=1,calendar[[#This Row],[WeekDay]]=1, calendar[[#This Row],[WeekDay]]=7),P596,P596+1)</f>
        <v>425</v>
      </c>
      <c r="Q597">
        <f>IF(OR(calendar[[#This Row],[FR_BH]]=1,calendar[[#This Row],[WeekDay]]=1, calendar[[#This Row],[WeekDay]]=7),P596,P596+1)</f>
        <v>425</v>
      </c>
      <c r="R597">
        <f>IF(OR(calendar[[#This Row],[SP_BH]]=1,calendar[[#This Row],[WeekDay]]=1, calendar[[#This Row],[WeekDay]]=7),P596,P596+1)</f>
        <v>425</v>
      </c>
      <c r="S597">
        <f>IF(OR(calendar[[#This Row],[PT_BH]]=1,calendar[[#This Row],[WeekDay]]=1, calendar[[#This Row],[WeekDay]]=7),P596,P596+1)</f>
        <v>425</v>
      </c>
    </row>
    <row r="598" spans="1:19" x14ac:dyDescent="0.25">
      <c r="A598" s="2">
        <v>43332</v>
      </c>
      <c r="B598" s="1">
        <f t="shared" si="48"/>
        <v>34</v>
      </c>
      <c r="C598">
        <f t="shared" si="50"/>
        <v>8</v>
      </c>
      <c r="D598" t="str">
        <f t="shared" si="51"/>
        <v>August</v>
      </c>
      <c r="E598">
        <f t="shared" si="52"/>
        <v>2018</v>
      </c>
      <c r="F598" t="str">
        <f>CONCATENATE(calendar[[#This Row],[Month]],"/",calendar[[#This Row],[Year]])</f>
        <v>8/2018</v>
      </c>
      <c r="G598">
        <f>WEEKDAY(calendar[[#This Row],[Date]],1)</f>
        <v>2</v>
      </c>
      <c r="H598" t="str">
        <f>TEXT(calendar[[#This Row],[WeekDay]],"dddd")</f>
        <v>Monday</v>
      </c>
      <c r="I598">
        <f>IF((INT(calendar[[#This Row],[Count]]/7)-calendar[[#This Row],[Count]]/7)&lt;0,I597,I597+1)</f>
        <v>86</v>
      </c>
      <c r="J598">
        <f t="shared" si="49"/>
        <v>596</v>
      </c>
      <c r="K598">
        <f>IF(calendar[[#This Row],[Month]]&lt;4,1,IF(calendar[[#This Row],[Month]]&lt;7,2,IF(calendar[[#This Row],[Month]]&lt;10,3,4)))</f>
        <v>3</v>
      </c>
      <c r="L598">
        <f>IFERROR(IF(VLOOKUP(calendar[[#This Row],[Date]],BH!A:A,1,)&lt;&gt;"",1,0),0)</f>
        <v>0</v>
      </c>
      <c r="M598">
        <f>IFERROR(IF(VLOOKUP(calendar[[#This Row],[Date]],BH!C:C,1,)&lt;&gt;"",1,0),0)</f>
        <v>0</v>
      </c>
      <c r="N598">
        <f>IFERROR(IF(VLOOKUP(calendar[[#This Row],[Date]],BH!E:E,1,)&lt;&gt;"",1,0),0)</f>
        <v>0</v>
      </c>
      <c r="O598">
        <f>IFERROR(IF(VLOOKUP(calendar[[#This Row],[Date]],BH!G:G,1,)&lt;&gt;"",1,0),0)</f>
        <v>0</v>
      </c>
      <c r="P598">
        <f>IF(OR(calendar[[#This Row],[UK_BH]]=1,calendar[[#This Row],[WeekDay]]=1, calendar[[#This Row],[WeekDay]]=7),P597,P597+1)</f>
        <v>426</v>
      </c>
      <c r="Q598">
        <f>IF(OR(calendar[[#This Row],[FR_BH]]=1,calendar[[#This Row],[WeekDay]]=1, calendar[[#This Row],[WeekDay]]=7),P597,P597+1)</f>
        <v>426</v>
      </c>
      <c r="R598">
        <f>IF(OR(calendar[[#This Row],[SP_BH]]=1,calendar[[#This Row],[WeekDay]]=1, calendar[[#This Row],[WeekDay]]=7),P597,P597+1)</f>
        <v>426</v>
      </c>
      <c r="S598">
        <f>IF(OR(calendar[[#This Row],[PT_BH]]=1,calendar[[#This Row],[WeekDay]]=1, calendar[[#This Row],[WeekDay]]=7),P597,P597+1)</f>
        <v>426</v>
      </c>
    </row>
    <row r="599" spans="1:19" x14ac:dyDescent="0.25">
      <c r="A599" s="2">
        <v>43333</v>
      </c>
      <c r="B599" s="1">
        <f t="shared" si="48"/>
        <v>34</v>
      </c>
      <c r="C599">
        <f t="shared" si="50"/>
        <v>8</v>
      </c>
      <c r="D599" t="str">
        <f t="shared" si="51"/>
        <v>August</v>
      </c>
      <c r="E599">
        <f t="shared" si="52"/>
        <v>2018</v>
      </c>
      <c r="F599" t="str">
        <f>CONCATENATE(calendar[[#This Row],[Month]],"/",calendar[[#This Row],[Year]])</f>
        <v>8/2018</v>
      </c>
      <c r="G599">
        <f>WEEKDAY(calendar[[#This Row],[Date]],1)</f>
        <v>3</v>
      </c>
      <c r="H599" t="str">
        <f>TEXT(calendar[[#This Row],[WeekDay]],"dddd")</f>
        <v>Tuesday</v>
      </c>
      <c r="I599">
        <f>IF((INT(calendar[[#This Row],[Count]]/7)-calendar[[#This Row],[Count]]/7)&lt;0,I598,I598+1)</f>
        <v>86</v>
      </c>
      <c r="J599">
        <f t="shared" si="49"/>
        <v>597</v>
      </c>
      <c r="K599">
        <f>IF(calendar[[#This Row],[Month]]&lt;4,1,IF(calendar[[#This Row],[Month]]&lt;7,2,IF(calendar[[#This Row],[Month]]&lt;10,3,4)))</f>
        <v>3</v>
      </c>
      <c r="L599">
        <f>IFERROR(IF(VLOOKUP(calendar[[#This Row],[Date]],BH!A:A,1,)&lt;&gt;"",1,0),0)</f>
        <v>0</v>
      </c>
      <c r="M599">
        <f>IFERROR(IF(VLOOKUP(calendar[[#This Row],[Date]],BH!C:C,1,)&lt;&gt;"",1,0),0)</f>
        <v>0</v>
      </c>
      <c r="N599">
        <f>IFERROR(IF(VLOOKUP(calendar[[#This Row],[Date]],BH!E:E,1,)&lt;&gt;"",1,0),0)</f>
        <v>0</v>
      </c>
      <c r="O599">
        <f>IFERROR(IF(VLOOKUP(calendar[[#This Row],[Date]],BH!G:G,1,)&lt;&gt;"",1,0),0)</f>
        <v>0</v>
      </c>
      <c r="P599">
        <f>IF(OR(calendar[[#This Row],[UK_BH]]=1,calendar[[#This Row],[WeekDay]]=1, calendar[[#This Row],[WeekDay]]=7),P598,P598+1)</f>
        <v>427</v>
      </c>
      <c r="Q599">
        <f>IF(OR(calendar[[#This Row],[FR_BH]]=1,calendar[[#This Row],[WeekDay]]=1, calendar[[#This Row],[WeekDay]]=7),P598,P598+1)</f>
        <v>427</v>
      </c>
      <c r="R599">
        <f>IF(OR(calendar[[#This Row],[SP_BH]]=1,calendar[[#This Row],[WeekDay]]=1, calendar[[#This Row],[WeekDay]]=7),P598,P598+1)</f>
        <v>427</v>
      </c>
      <c r="S599">
        <f>IF(OR(calendar[[#This Row],[PT_BH]]=1,calendar[[#This Row],[WeekDay]]=1, calendar[[#This Row],[WeekDay]]=7),P598,P598+1)</f>
        <v>427</v>
      </c>
    </row>
    <row r="600" spans="1:19" x14ac:dyDescent="0.25">
      <c r="A600" s="2">
        <v>43334</v>
      </c>
      <c r="B600" s="1">
        <f t="shared" si="48"/>
        <v>34</v>
      </c>
      <c r="C600">
        <f t="shared" si="50"/>
        <v>8</v>
      </c>
      <c r="D600" t="str">
        <f t="shared" si="51"/>
        <v>August</v>
      </c>
      <c r="E600">
        <f t="shared" si="52"/>
        <v>2018</v>
      </c>
      <c r="F600" t="str">
        <f>CONCATENATE(calendar[[#This Row],[Month]],"/",calendar[[#This Row],[Year]])</f>
        <v>8/2018</v>
      </c>
      <c r="G600">
        <f>WEEKDAY(calendar[[#This Row],[Date]],1)</f>
        <v>4</v>
      </c>
      <c r="H600" t="str">
        <f>TEXT(calendar[[#This Row],[WeekDay]],"dddd")</f>
        <v>Wednesday</v>
      </c>
      <c r="I600">
        <f>IF((INT(calendar[[#This Row],[Count]]/7)-calendar[[#This Row],[Count]]/7)&lt;0,I599,I599+1)</f>
        <v>86</v>
      </c>
      <c r="J600">
        <f t="shared" si="49"/>
        <v>598</v>
      </c>
      <c r="K600">
        <f>IF(calendar[[#This Row],[Month]]&lt;4,1,IF(calendar[[#This Row],[Month]]&lt;7,2,IF(calendar[[#This Row],[Month]]&lt;10,3,4)))</f>
        <v>3</v>
      </c>
      <c r="L600">
        <f>IFERROR(IF(VLOOKUP(calendar[[#This Row],[Date]],BH!A:A,1,)&lt;&gt;"",1,0),0)</f>
        <v>0</v>
      </c>
      <c r="M600">
        <f>IFERROR(IF(VLOOKUP(calendar[[#This Row],[Date]],BH!C:C,1,)&lt;&gt;"",1,0),0)</f>
        <v>0</v>
      </c>
      <c r="N600">
        <f>IFERROR(IF(VLOOKUP(calendar[[#This Row],[Date]],BH!E:E,1,)&lt;&gt;"",1,0),0)</f>
        <v>0</v>
      </c>
      <c r="O600">
        <f>IFERROR(IF(VLOOKUP(calendar[[#This Row],[Date]],BH!G:G,1,)&lt;&gt;"",1,0),0)</f>
        <v>0</v>
      </c>
      <c r="P600">
        <f>IF(OR(calendar[[#This Row],[UK_BH]]=1,calendar[[#This Row],[WeekDay]]=1, calendar[[#This Row],[WeekDay]]=7),P599,P599+1)</f>
        <v>428</v>
      </c>
      <c r="Q600">
        <f>IF(OR(calendar[[#This Row],[FR_BH]]=1,calendar[[#This Row],[WeekDay]]=1, calendar[[#This Row],[WeekDay]]=7),P599,P599+1)</f>
        <v>428</v>
      </c>
      <c r="R600">
        <f>IF(OR(calendar[[#This Row],[SP_BH]]=1,calendar[[#This Row],[WeekDay]]=1, calendar[[#This Row],[WeekDay]]=7),P599,P599+1)</f>
        <v>428</v>
      </c>
      <c r="S600">
        <f>IF(OR(calendar[[#This Row],[PT_BH]]=1,calendar[[#This Row],[WeekDay]]=1, calendar[[#This Row],[WeekDay]]=7),P599,P599+1)</f>
        <v>428</v>
      </c>
    </row>
    <row r="601" spans="1:19" x14ac:dyDescent="0.25">
      <c r="A601" s="2">
        <v>43335</v>
      </c>
      <c r="B601" s="1">
        <f t="shared" si="48"/>
        <v>34</v>
      </c>
      <c r="C601">
        <f t="shared" si="50"/>
        <v>8</v>
      </c>
      <c r="D601" t="str">
        <f t="shared" si="51"/>
        <v>August</v>
      </c>
      <c r="E601">
        <f t="shared" si="52"/>
        <v>2018</v>
      </c>
      <c r="F601" t="str">
        <f>CONCATENATE(calendar[[#This Row],[Month]],"/",calendar[[#This Row],[Year]])</f>
        <v>8/2018</v>
      </c>
      <c r="G601">
        <f>WEEKDAY(calendar[[#This Row],[Date]],1)</f>
        <v>5</v>
      </c>
      <c r="H601" t="str">
        <f>TEXT(calendar[[#This Row],[WeekDay]],"dddd")</f>
        <v>Thursday</v>
      </c>
      <c r="I601">
        <f>IF((INT(calendar[[#This Row],[Count]]/7)-calendar[[#This Row],[Count]]/7)&lt;0,I600,I600+1)</f>
        <v>86</v>
      </c>
      <c r="J601">
        <f t="shared" si="49"/>
        <v>599</v>
      </c>
      <c r="K601">
        <f>IF(calendar[[#This Row],[Month]]&lt;4,1,IF(calendar[[#This Row],[Month]]&lt;7,2,IF(calendar[[#This Row],[Month]]&lt;10,3,4)))</f>
        <v>3</v>
      </c>
      <c r="L601">
        <f>IFERROR(IF(VLOOKUP(calendar[[#This Row],[Date]],BH!A:A,1,)&lt;&gt;"",1,0),0)</f>
        <v>0</v>
      </c>
      <c r="M601">
        <f>IFERROR(IF(VLOOKUP(calendar[[#This Row],[Date]],BH!C:C,1,)&lt;&gt;"",1,0),0)</f>
        <v>0</v>
      </c>
      <c r="N601">
        <f>IFERROR(IF(VLOOKUP(calendar[[#This Row],[Date]],BH!E:E,1,)&lt;&gt;"",1,0),0)</f>
        <v>0</v>
      </c>
      <c r="O601">
        <f>IFERROR(IF(VLOOKUP(calendar[[#This Row],[Date]],BH!G:G,1,)&lt;&gt;"",1,0),0)</f>
        <v>0</v>
      </c>
      <c r="P601">
        <f>IF(OR(calendar[[#This Row],[UK_BH]]=1,calendar[[#This Row],[WeekDay]]=1, calendar[[#This Row],[WeekDay]]=7),P600,P600+1)</f>
        <v>429</v>
      </c>
      <c r="Q601">
        <f>IF(OR(calendar[[#This Row],[FR_BH]]=1,calendar[[#This Row],[WeekDay]]=1, calendar[[#This Row],[WeekDay]]=7),P600,P600+1)</f>
        <v>429</v>
      </c>
      <c r="R601">
        <f>IF(OR(calendar[[#This Row],[SP_BH]]=1,calendar[[#This Row],[WeekDay]]=1, calendar[[#This Row],[WeekDay]]=7),P600,P600+1)</f>
        <v>429</v>
      </c>
      <c r="S601">
        <f>IF(OR(calendar[[#This Row],[PT_BH]]=1,calendar[[#This Row],[WeekDay]]=1, calendar[[#This Row],[WeekDay]]=7),P600,P600+1)</f>
        <v>429</v>
      </c>
    </row>
    <row r="602" spans="1:19" x14ac:dyDescent="0.25">
      <c r="A602" s="2">
        <v>43336</v>
      </c>
      <c r="B602" s="1">
        <f t="shared" si="48"/>
        <v>34</v>
      </c>
      <c r="C602">
        <f t="shared" si="50"/>
        <v>8</v>
      </c>
      <c r="D602" t="str">
        <f t="shared" si="51"/>
        <v>August</v>
      </c>
      <c r="E602">
        <f t="shared" si="52"/>
        <v>2018</v>
      </c>
      <c r="F602" t="str">
        <f>CONCATENATE(calendar[[#This Row],[Month]],"/",calendar[[#This Row],[Year]])</f>
        <v>8/2018</v>
      </c>
      <c r="G602">
        <f>WEEKDAY(calendar[[#This Row],[Date]],1)</f>
        <v>6</v>
      </c>
      <c r="H602" t="str">
        <f>TEXT(calendar[[#This Row],[WeekDay]],"dddd")</f>
        <v>Friday</v>
      </c>
      <c r="I602">
        <f>IF((INT(calendar[[#This Row],[Count]]/7)-calendar[[#This Row],[Count]]/7)&lt;0,I601,I601+1)</f>
        <v>86</v>
      </c>
      <c r="J602">
        <f t="shared" si="49"/>
        <v>600</v>
      </c>
      <c r="K602">
        <f>IF(calendar[[#This Row],[Month]]&lt;4,1,IF(calendar[[#This Row],[Month]]&lt;7,2,IF(calendar[[#This Row],[Month]]&lt;10,3,4)))</f>
        <v>3</v>
      </c>
      <c r="L602">
        <f>IFERROR(IF(VLOOKUP(calendar[[#This Row],[Date]],BH!A:A,1,)&lt;&gt;"",1,0),0)</f>
        <v>0</v>
      </c>
      <c r="M602">
        <f>IFERROR(IF(VLOOKUP(calendar[[#This Row],[Date]],BH!C:C,1,)&lt;&gt;"",1,0),0)</f>
        <v>0</v>
      </c>
      <c r="N602">
        <f>IFERROR(IF(VLOOKUP(calendar[[#This Row],[Date]],BH!E:E,1,)&lt;&gt;"",1,0),0)</f>
        <v>0</v>
      </c>
      <c r="O602">
        <f>IFERROR(IF(VLOOKUP(calendar[[#This Row],[Date]],BH!G:G,1,)&lt;&gt;"",1,0),0)</f>
        <v>0</v>
      </c>
      <c r="P602">
        <f>IF(OR(calendar[[#This Row],[UK_BH]]=1,calendar[[#This Row],[WeekDay]]=1, calendar[[#This Row],[WeekDay]]=7),P601,P601+1)</f>
        <v>430</v>
      </c>
      <c r="Q602">
        <f>IF(OR(calendar[[#This Row],[FR_BH]]=1,calendar[[#This Row],[WeekDay]]=1, calendar[[#This Row],[WeekDay]]=7),P601,P601+1)</f>
        <v>430</v>
      </c>
      <c r="R602">
        <f>IF(OR(calendar[[#This Row],[SP_BH]]=1,calendar[[#This Row],[WeekDay]]=1, calendar[[#This Row],[WeekDay]]=7),P601,P601+1)</f>
        <v>430</v>
      </c>
      <c r="S602">
        <f>IF(OR(calendar[[#This Row],[PT_BH]]=1,calendar[[#This Row],[WeekDay]]=1, calendar[[#This Row],[WeekDay]]=7),P601,P601+1)</f>
        <v>430</v>
      </c>
    </row>
    <row r="603" spans="1:19" x14ac:dyDescent="0.25">
      <c r="A603" s="2">
        <v>43337</v>
      </c>
      <c r="B603" s="1">
        <f t="shared" si="48"/>
        <v>34</v>
      </c>
      <c r="C603">
        <f t="shared" si="50"/>
        <v>8</v>
      </c>
      <c r="D603" t="str">
        <f t="shared" si="51"/>
        <v>August</v>
      </c>
      <c r="E603">
        <f t="shared" si="52"/>
        <v>2018</v>
      </c>
      <c r="F603" t="str">
        <f>CONCATENATE(calendar[[#This Row],[Month]],"/",calendar[[#This Row],[Year]])</f>
        <v>8/2018</v>
      </c>
      <c r="G603">
        <f>WEEKDAY(calendar[[#This Row],[Date]],1)</f>
        <v>7</v>
      </c>
      <c r="H603" t="str">
        <f>TEXT(calendar[[#This Row],[WeekDay]],"dddd")</f>
        <v>Saturday</v>
      </c>
      <c r="I603">
        <f>IF((INT(calendar[[#This Row],[Count]]/7)-calendar[[#This Row],[Count]]/7)&lt;0,I602,I602+1)</f>
        <v>86</v>
      </c>
      <c r="J603">
        <f t="shared" si="49"/>
        <v>601</v>
      </c>
      <c r="K603">
        <f>IF(calendar[[#This Row],[Month]]&lt;4,1,IF(calendar[[#This Row],[Month]]&lt;7,2,IF(calendar[[#This Row],[Month]]&lt;10,3,4)))</f>
        <v>3</v>
      </c>
      <c r="L603">
        <f>IFERROR(IF(VLOOKUP(calendar[[#This Row],[Date]],BH!A:A,1,)&lt;&gt;"",1,0),0)</f>
        <v>0</v>
      </c>
      <c r="M603">
        <f>IFERROR(IF(VLOOKUP(calendar[[#This Row],[Date]],BH!C:C,1,)&lt;&gt;"",1,0),0)</f>
        <v>0</v>
      </c>
      <c r="N603">
        <f>IFERROR(IF(VLOOKUP(calendar[[#This Row],[Date]],BH!E:E,1,)&lt;&gt;"",1,0),0)</f>
        <v>0</v>
      </c>
      <c r="O603">
        <f>IFERROR(IF(VLOOKUP(calendar[[#This Row],[Date]],BH!G:G,1,)&lt;&gt;"",1,0),0)</f>
        <v>0</v>
      </c>
      <c r="P603">
        <f>IF(OR(calendar[[#This Row],[UK_BH]]=1,calendar[[#This Row],[WeekDay]]=1, calendar[[#This Row],[WeekDay]]=7),P602,P602+1)</f>
        <v>430</v>
      </c>
      <c r="Q603">
        <f>IF(OR(calendar[[#This Row],[FR_BH]]=1,calendar[[#This Row],[WeekDay]]=1, calendar[[#This Row],[WeekDay]]=7),P602,P602+1)</f>
        <v>430</v>
      </c>
      <c r="R603">
        <f>IF(OR(calendar[[#This Row],[SP_BH]]=1,calendar[[#This Row],[WeekDay]]=1, calendar[[#This Row],[WeekDay]]=7),P602,P602+1)</f>
        <v>430</v>
      </c>
      <c r="S603">
        <f>IF(OR(calendar[[#This Row],[PT_BH]]=1,calendar[[#This Row],[WeekDay]]=1, calendar[[#This Row],[WeekDay]]=7),P602,P602+1)</f>
        <v>430</v>
      </c>
    </row>
    <row r="604" spans="1:19" x14ac:dyDescent="0.25">
      <c r="A604" s="2">
        <v>43338</v>
      </c>
      <c r="B604" s="1">
        <f t="shared" si="48"/>
        <v>35</v>
      </c>
      <c r="C604">
        <f t="shared" si="50"/>
        <v>8</v>
      </c>
      <c r="D604" t="str">
        <f t="shared" si="51"/>
        <v>August</v>
      </c>
      <c r="E604">
        <f t="shared" si="52"/>
        <v>2018</v>
      </c>
      <c r="F604" t="str">
        <f>CONCATENATE(calendar[[#This Row],[Month]],"/",calendar[[#This Row],[Year]])</f>
        <v>8/2018</v>
      </c>
      <c r="G604">
        <f>WEEKDAY(calendar[[#This Row],[Date]],1)</f>
        <v>1</v>
      </c>
      <c r="H604" t="str">
        <f>TEXT(calendar[[#This Row],[WeekDay]],"dddd")</f>
        <v>Sunday</v>
      </c>
      <c r="I604">
        <f>IF((INT(calendar[[#This Row],[Count]]/7)-calendar[[#This Row],[Count]]/7)&lt;0,I603,I603+1)</f>
        <v>87</v>
      </c>
      <c r="J604">
        <f t="shared" si="49"/>
        <v>602</v>
      </c>
      <c r="K604">
        <f>IF(calendar[[#This Row],[Month]]&lt;4,1,IF(calendar[[#This Row],[Month]]&lt;7,2,IF(calendar[[#This Row],[Month]]&lt;10,3,4)))</f>
        <v>3</v>
      </c>
      <c r="L604">
        <f>IFERROR(IF(VLOOKUP(calendar[[#This Row],[Date]],BH!A:A,1,)&lt;&gt;"",1,0),0)</f>
        <v>0</v>
      </c>
      <c r="M604">
        <f>IFERROR(IF(VLOOKUP(calendar[[#This Row],[Date]],BH!C:C,1,)&lt;&gt;"",1,0),0)</f>
        <v>0</v>
      </c>
      <c r="N604">
        <f>IFERROR(IF(VLOOKUP(calendar[[#This Row],[Date]],BH!E:E,1,)&lt;&gt;"",1,0),0)</f>
        <v>0</v>
      </c>
      <c r="O604">
        <f>IFERROR(IF(VLOOKUP(calendar[[#This Row],[Date]],BH!G:G,1,)&lt;&gt;"",1,0),0)</f>
        <v>0</v>
      </c>
      <c r="P604">
        <f>IF(OR(calendar[[#This Row],[UK_BH]]=1,calendar[[#This Row],[WeekDay]]=1, calendar[[#This Row],[WeekDay]]=7),P603,P603+1)</f>
        <v>430</v>
      </c>
      <c r="Q604">
        <f>IF(OR(calendar[[#This Row],[FR_BH]]=1,calendar[[#This Row],[WeekDay]]=1, calendar[[#This Row],[WeekDay]]=7),P603,P603+1)</f>
        <v>430</v>
      </c>
      <c r="R604">
        <f>IF(OR(calendar[[#This Row],[SP_BH]]=1,calendar[[#This Row],[WeekDay]]=1, calendar[[#This Row],[WeekDay]]=7),P603,P603+1)</f>
        <v>430</v>
      </c>
      <c r="S604">
        <f>IF(OR(calendar[[#This Row],[PT_BH]]=1,calendar[[#This Row],[WeekDay]]=1, calendar[[#This Row],[WeekDay]]=7),P603,P603+1)</f>
        <v>430</v>
      </c>
    </row>
    <row r="605" spans="1:19" x14ac:dyDescent="0.25">
      <c r="A605" s="2">
        <v>43339</v>
      </c>
      <c r="B605" s="1">
        <f t="shared" si="48"/>
        <v>35</v>
      </c>
      <c r="C605">
        <f t="shared" si="50"/>
        <v>8</v>
      </c>
      <c r="D605" t="str">
        <f t="shared" si="51"/>
        <v>August</v>
      </c>
      <c r="E605">
        <f t="shared" si="52"/>
        <v>2018</v>
      </c>
      <c r="F605" t="str">
        <f>CONCATENATE(calendar[[#This Row],[Month]],"/",calendar[[#This Row],[Year]])</f>
        <v>8/2018</v>
      </c>
      <c r="G605">
        <f>WEEKDAY(calendar[[#This Row],[Date]],1)</f>
        <v>2</v>
      </c>
      <c r="H605" t="str">
        <f>TEXT(calendar[[#This Row],[WeekDay]],"dddd")</f>
        <v>Monday</v>
      </c>
      <c r="I605">
        <f>IF((INT(calendar[[#This Row],[Count]]/7)-calendar[[#This Row],[Count]]/7)&lt;0,I604,I604+1)</f>
        <v>87</v>
      </c>
      <c r="J605">
        <f t="shared" si="49"/>
        <v>603</v>
      </c>
      <c r="K605">
        <f>IF(calendar[[#This Row],[Month]]&lt;4,1,IF(calendar[[#This Row],[Month]]&lt;7,2,IF(calendar[[#This Row],[Month]]&lt;10,3,4)))</f>
        <v>3</v>
      </c>
      <c r="L605">
        <f>IFERROR(IF(VLOOKUP(calendar[[#This Row],[Date]],BH!A:A,1,)&lt;&gt;"",1,0),0)</f>
        <v>0</v>
      </c>
      <c r="M605">
        <f>IFERROR(IF(VLOOKUP(calendar[[#This Row],[Date]],BH!C:C,1,)&lt;&gt;"",1,0),0)</f>
        <v>0</v>
      </c>
      <c r="N605">
        <f>IFERROR(IF(VLOOKUP(calendar[[#This Row],[Date]],BH!E:E,1,)&lt;&gt;"",1,0),0)</f>
        <v>0</v>
      </c>
      <c r="O605">
        <f>IFERROR(IF(VLOOKUP(calendar[[#This Row],[Date]],BH!G:G,1,)&lt;&gt;"",1,0),0)</f>
        <v>0</v>
      </c>
      <c r="P605">
        <f>IF(OR(calendar[[#This Row],[UK_BH]]=1,calendar[[#This Row],[WeekDay]]=1, calendar[[#This Row],[WeekDay]]=7),P604,P604+1)</f>
        <v>431</v>
      </c>
      <c r="Q605">
        <f>IF(OR(calendar[[#This Row],[FR_BH]]=1,calendar[[#This Row],[WeekDay]]=1, calendar[[#This Row],[WeekDay]]=7),P604,P604+1)</f>
        <v>431</v>
      </c>
      <c r="R605">
        <f>IF(OR(calendar[[#This Row],[SP_BH]]=1,calendar[[#This Row],[WeekDay]]=1, calendar[[#This Row],[WeekDay]]=7),P604,P604+1)</f>
        <v>431</v>
      </c>
      <c r="S605">
        <f>IF(OR(calendar[[#This Row],[PT_BH]]=1,calendar[[#This Row],[WeekDay]]=1, calendar[[#This Row],[WeekDay]]=7),P604,P604+1)</f>
        <v>431</v>
      </c>
    </row>
    <row r="606" spans="1:19" x14ac:dyDescent="0.25">
      <c r="A606" s="2">
        <v>43340</v>
      </c>
      <c r="B606" s="1">
        <f t="shared" si="48"/>
        <v>35</v>
      </c>
      <c r="C606">
        <f t="shared" si="50"/>
        <v>8</v>
      </c>
      <c r="D606" t="str">
        <f t="shared" si="51"/>
        <v>August</v>
      </c>
      <c r="E606">
        <f t="shared" si="52"/>
        <v>2018</v>
      </c>
      <c r="F606" t="str">
        <f>CONCATENATE(calendar[[#This Row],[Month]],"/",calendar[[#This Row],[Year]])</f>
        <v>8/2018</v>
      </c>
      <c r="G606">
        <f>WEEKDAY(calendar[[#This Row],[Date]],1)</f>
        <v>3</v>
      </c>
      <c r="H606" t="str">
        <f>TEXT(calendar[[#This Row],[WeekDay]],"dddd")</f>
        <v>Tuesday</v>
      </c>
      <c r="I606">
        <f>IF((INT(calendar[[#This Row],[Count]]/7)-calendar[[#This Row],[Count]]/7)&lt;0,I605,I605+1)</f>
        <v>87</v>
      </c>
      <c r="J606">
        <f t="shared" si="49"/>
        <v>604</v>
      </c>
      <c r="K606">
        <f>IF(calendar[[#This Row],[Month]]&lt;4,1,IF(calendar[[#This Row],[Month]]&lt;7,2,IF(calendar[[#This Row],[Month]]&lt;10,3,4)))</f>
        <v>3</v>
      </c>
      <c r="L606">
        <f>IFERROR(IF(VLOOKUP(calendar[[#This Row],[Date]],BH!A:A,1,)&lt;&gt;"",1,0),0)</f>
        <v>0</v>
      </c>
      <c r="M606">
        <f>IFERROR(IF(VLOOKUP(calendar[[#This Row],[Date]],BH!C:C,1,)&lt;&gt;"",1,0),0)</f>
        <v>0</v>
      </c>
      <c r="N606">
        <f>IFERROR(IF(VLOOKUP(calendar[[#This Row],[Date]],BH!E:E,1,)&lt;&gt;"",1,0),0)</f>
        <v>0</v>
      </c>
      <c r="O606">
        <f>IFERROR(IF(VLOOKUP(calendar[[#This Row],[Date]],BH!G:G,1,)&lt;&gt;"",1,0),0)</f>
        <v>0</v>
      </c>
      <c r="P606">
        <f>IF(OR(calendar[[#This Row],[UK_BH]]=1,calendar[[#This Row],[WeekDay]]=1, calendar[[#This Row],[WeekDay]]=7),P605,P605+1)</f>
        <v>432</v>
      </c>
      <c r="Q606">
        <f>IF(OR(calendar[[#This Row],[FR_BH]]=1,calendar[[#This Row],[WeekDay]]=1, calendar[[#This Row],[WeekDay]]=7),P605,P605+1)</f>
        <v>432</v>
      </c>
      <c r="R606">
        <f>IF(OR(calendar[[#This Row],[SP_BH]]=1,calendar[[#This Row],[WeekDay]]=1, calendar[[#This Row],[WeekDay]]=7),P605,P605+1)</f>
        <v>432</v>
      </c>
      <c r="S606">
        <f>IF(OR(calendar[[#This Row],[PT_BH]]=1,calendar[[#This Row],[WeekDay]]=1, calendar[[#This Row],[WeekDay]]=7),P605,P605+1)</f>
        <v>432</v>
      </c>
    </row>
    <row r="607" spans="1:19" x14ac:dyDescent="0.25">
      <c r="A607" s="2">
        <v>43341</v>
      </c>
      <c r="B607" s="1">
        <f t="shared" si="48"/>
        <v>35</v>
      </c>
      <c r="C607">
        <f t="shared" si="50"/>
        <v>8</v>
      </c>
      <c r="D607" t="str">
        <f t="shared" si="51"/>
        <v>August</v>
      </c>
      <c r="E607">
        <f t="shared" si="52"/>
        <v>2018</v>
      </c>
      <c r="F607" t="str">
        <f>CONCATENATE(calendar[[#This Row],[Month]],"/",calendar[[#This Row],[Year]])</f>
        <v>8/2018</v>
      </c>
      <c r="G607">
        <f>WEEKDAY(calendar[[#This Row],[Date]],1)</f>
        <v>4</v>
      </c>
      <c r="H607" t="str">
        <f>TEXT(calendar[[#This Row],[WeekDay]],"dddd")</f>
        <v>Wednesday</v>
      </c>
      <c r="I607">
        <f>IF((INT(calendar[[#This Row],[Count]]/7)-calendar[[#This Row],[Count]]/7)&lt;0,I606,I606+1)</f>
        <v>87</v>
      </c>
      <c r="J607">
        <f t="shared" si="49"/>
        <v>605</v>
      </c>
      <c r="K607">
        <f>IF(calendar[[#This Row],[Month]]&lt;4,1,IF(calendar[[#This Row],[Month]]&lt;7,2,IF(calendar[[#This Row],[Month]]&lt;10,3,4)))</f>
        <v>3</v>
      </c>
      <c r="L607">
        <f>IFERROR(IF(VLOOKUP(calendar[[#This Row],[Date]],BH!A:A,1,)&lt;&gt;"",1,0),0)</f>
        <v>0</v>
      </c>
      <c r="M607">
        <f>IFERROR(IF(VLOOKUP(calendar[[#This Row],[Date]],BH!C:C,1,)&lt;&gt;"",1,0),0)</f>
        <v>0</v>
      </c>
      <c r="N607">
        <f>IFERROR(IF(VLOOKUP(calendar[[#This Row],[Date]],BH!E:E,1,)&lt;&gt;"",1,0),0)</f>
        <v>0</v>
      </c>
      <c r="O607">
        <f>IFERROR(IF(VLOOKUP(calendar[[#This Row],[Date]],BH!G:G,1,)&lt;&gt;"",1,0),0)</f>
        <v>0</v>
      </c>
      <c r="P607">
        <f>IF(OR(calendar[[#This Row],[UK_BH]]=1,calendar[[#This Row],[WeekDay]]=1, calendar[[#This Row],[WeekDay]]=7),P606,P606+1)</f>
        <v>433</v>
      </c>
      <c r="Q607">
        <f>IF(OR(calendar[[#This Row],[FR_BH]]=1,calendar[[#This Row],[WeekDay]]=1, calendar[[#This Row],[WeekDay]]=7),P606,P606+1)</f>
        <v>433</v>
      </c>
      <c r="R607">
        <f>IF(OR(calendar[[#This Row],[SP_BH]]=1,calendar[[#This Row],[WeekDay]]=1, calendar[[#This Row],[WeekDay]]=7),P606,P606+1)</f>
        <v>433</v>
      </c>
      <c r="S607">
        <f>IF(OR(calendar[[#This Row],[PT_BH]]=1,calendar[[#This Row],[WeekDay]]=1, calendar[[#This Row],[WeekDay]]=7),P606,P606+1)</f>
        <v>433</v>
      </c>
    </row>
    <row r="608" spans="1:19" x14ac:dyDescent="0.25">
      <c r="A608" s="2">
        <v>43342</v>
      </c>
      <c r="B608" s="1">
        <f t="shared" si="48"/>
        <v>35</v>
      </c>
      <c r="C608">
        <f t="shared" si="50"/>
        <v>8</v>
      </c>
      <c r="D608" t="str">
        <f t="shared" si="51"/>
        <v>August</v>
      </c>
      <c r="E608">
        <f t="shared" si="52"/>
        <v>2018</v>
      </c>
      <c r="F608" t="str">
        <f>CONCATENATE(calendar[[#This Row],[Month]],"/",calendar[[#This Row],[Year]])</f>
        <v>8/2018</v>
      </c>
      <c r="G608">
        <f>WEEKDAY(calendar[[#This Row],[Date]],1)</f>
        <v>5</v>
      </c>
      <c r="H608" t="str">
        <f>TEXT(calendar[[#This Row],[WeekDay]],"dddd")</f>
        <v>Thursday</v>
      </c>
      <c r="I608">
        <f>IF((INT(calendar[[#This Row],[Count]]/7)-calendar[[#This Row],[Count]]/7)&lt;0,I607,I607+1)</f>
        <v>87</v>
      </c>
      <c r="J608">
        <f t="shared" si="49"/>
        <v>606</v>
      </c>
      <c r="K608">
        <f>IF(calendar[[#This Row],[Month]]&lt;4,1,IF(calendar[[#This Row],[Month]]&lt;7,2,IF(calendar[[#This Row],[Month]]&lt;10,3,4)))</f>
        <v>3</v>
      </c>
      <c r="L608">
        <f>IFERROR(IF(VLOOKUP(calendar[[#This Row],[Date]],BH!A:A,1,)&lt;&gt;"",1,0),0)</f>
        <v>0</v>
      </c>
      <c r="M608">
        <f>IFERROR(IF(VLOOKUP(calendar[[#This Row],[Date]],BH!C:C,1,)&lt;&gt;"",1,0),0)</f>
        <v>0</v>
      </c>
      <c r="N608">
        <f>IFERROR(IF(VLOOKUP(calendar[[#This Row],[Date]],BH!E:E,1,)&lt;&gt;"",1,0),0)</f>
        <v>0</v>
      </c>
      <c r="O608">
        <f>IFERROR(IF(VLOOKUP(calendar[[#This Row],[Date]],BH!G:G,1,)&lt;&gt;"",1,0),0)</f>
        <v>0</v>
      </c>
      <c r="P608">
        <f>IF(OR(calendar[[#This Row],[UK_BH]]=1,calendar[[#This Row],[WeekDay]]=1, calendar[[#This Row],[WeekDay]]=7),P607,P607+1)</f>
        <v>434</v>
      </c>
      <c r="Q608">
        <f>IF(OR(calendar[[#This Row],[FR_BH]]=1,calendar[[#This Row],[WeekDay]]=1, calendar[[#This Row],[WeekDay]]=7),P607,P607+1)</f>
        <v>434</v>
      </c>
      <c r="R608">
        <f>IF(OR(calendar[[#This Row],[SP_BH]]=1,calendar[[#This Row],[WeekDay]]=1, calendar[[#This Row],[WeekDay]]=7),P607,P607+1)</f>
        <v>434</v>
      </c>
      <c r="S608">
        <f>IF(OR(calendar[[#This Row],[PT_BH]]=1,calendar[[#This Row],[WeekDay]]=1, calendar[[#This Row],[WeekDay]]=7),P607,P607+1)</f>
        <v>434</v>
      </c>
    </row>
    <row r="609" spans="1:19" x14ac:dyDescent="0.25">
      <c r="A609" s="2">
        <v>43343</v>
      </c>
      <c r="B609" s="1">
        <f t="shared" si="48"/>
        <v>35</v>
      </c>
      <c r="C609">
        <f t="shared" si="50"/>
        <v>8</v>
      </c>
      <c r="D609" t="str">
        <f t="shared" si="51"/>
        <v>August</v>
      </c>
      <c r="E609">
        <f t="shared" si="52"/>
        <v>2018</v>
      </c>
      <c r="F609" t="str">
        <f>CONCATENATE(calendar[[#This Row],[Month]],"/",calendar[[#This Row],[Year]])</f>
        <v>8/2018</v>
      </c>
      <c r="G609">
        <f>WEEKDAY(calendar[[#This Row],[Date]],1)</f>
        <v>6</v>
      </c>
      <c r="H609" t="str">
        <f>TEXT(calendar[[#This Row],[WeekDay]],"dddd")</f>
        <v>Friday</v>
      </c>
      <c r="I609">
        <f>IF((INT(calendar[[#This Row],[Count]]/7)-calendar[[#This Row],[Count]]/7)&lt;0,I608,I608+1)</f>
        <v>87</v>
      </c>
      <c r="J609">
        <f t="shared" si="49"/>
        <v>607</v>
      </c>
      <c r="K609">
        <f>IF(calendar[[#This Row],[Month]]&lt;4,1,IF(calendar[[#This Row],[Month]]&lt;7,2,IF(calendar[[#This Row],[Month]]&lt;10,3,4)))</f>
        <v>3</v>
      </c>
      <c r="L609">
        <f>IFERROR(IF(VLOOKUP(calendar[[#This Row],[Date]],BH!A:A,1,)&lt;&gt;"",1,0),0)</f>
        <v>0</v>
      </c>
      <c r="M609">
        <f>IFERROR(IF(VLOOKUP(calendar[[#This Row],[Date]],BH!C:C,1,)&lt;&gt;"",1,0),0)</f>
        <v>0</v>
      </c>
      <c r="N609">
        <f>IFERROR(IF(VLOOKUP(calendar[[#This Row],[Date]],BH!E:E,1,)&lt;&gt;"",1,0),0)</f>
        <v>0</v>
      </c>
      <c r="O609">
        <f>IFERROR(IF(VLOOKUP(calendar[[#This Row],[Date]],BH!G:G,1,)&lt;&gt;"",1,0),0)</f>
        <v>0</v>
      </c>
      <c r="P609">
        <f>IF(OR(calendar[[#This Row],[UK_BH]]=1,calendar[[#This Row],[WeekDay]]=1, calendar[[#This Row],[WeekDay]]=7),P608,P608+1)</f>
        <v>435</v>
      </c>
      <c r="Q609">
        <f>IF(OR(calendar[[#This Row],[FR_BH]]=1,calendar[[#This Row],[WeekDay]]=1, calendar[[#This Row],[WeekDay]]=7),P608,P608+1)</f>
        <v>435</v>
      </c>
      <c r="R609">
        <f>IF(OR(calendar[[#This Row],[SP_BH]]=1,calendar[[#This Row],[WeekDay]]=1, calendar[[#This Row],[WeekDay]]=7),P608,P608+1)</f>
        <v>435</v>
      </c>
      <c r="S609">
        <f>IF(OR(calendar[[#This Row],[PT_BH]]=1,calendar[[#This Row],[WeekDay]]=1, calendar[[#This Row],[WeekDay]]=7),P608,P608+1)</f>
        <v>435</v>
      </c>
    </row>
    <row r="610" spans="1:19" x14ac:dyDescent="0.25">
      <c r="A610" s="2">
        <v>43344</v>
      </c>
      <c r="B610" s="1">
        <f t="shared" si="48"/>
        <v>35</v>
      </c>
      <c r="C610">
        <f t="shared" si="50"/>
        <v>9</v>
      </c>
      <c r="D610" t="str">
        <f t="shared" si="51"/>
        <v>September</v>
      </c>
      <c r="E610">
        <f t="shared" si="52"/>
        <v>2018</v>
      </c>
      <c r="F610" t="str">
        <f>CONCATENATE(calendar[[#This Row],[Month]],"/",calendar[[#This Row],[Year]])</f>
        <v>9/2018</v>
      </c>
      <c r="G610">
        <f>WEEKDAY(calendar[[#This Row],[Date]],1)</f>
        <v>7</v>
      </c>
      <c r="H610" t="str">
        <f>TEXT(calendar[[#This Row],[WeekDay]],"dddd")</f>
        <v>Saturday</v>
      </c>
      <c r="I610">
        <f>IF((INT(calendar[[#This Row],[Count]]/7)-calendar[[#This Row],[Count]]/7)&lt;0,I609,I609+1)</f>
        <v>87</v>
      </c>
      <c r="J610">
        <f t="shared" si="49"/>
        <v>608</v>
      </c>
      <c r="K610">
        <f>IF(calendar[[#This Row],[Month]]&lt;4,1,IF(calendar[[#This Row],[Month]]&lt;7,2,IF(calendar[[#This Row],[Month]]&lt;10,3,4)))</f>
        <v>3</v>
      </c>
      <c r="L610">
        <f>IFERROR(IF(VLOOKUP(calendar[[#This Row],[Date]],BH!A:A,1,)&lt;&gt;"",1,0),0)</f>
        <v>0</v>
      </c>
      <c r="M610">
        <f>IFERROR(IF(VLOOKUP(calendar[[#This Row],[Date]],BH!C:C,1,)&lt;&gt;"",1,0),0)</f>
        <v>0</v>
      </c>
      <c r="N610">
        <f>IFERROR(IF(VLOOKUP(calendar[[#This Row],[Date]],BH!E:E,1,)&lt;&gt;"",1,0),0)</f>
        <v>0</v>
      </c>
      <c r="O610">
        <f>IFERROR(IF(VLOOKUP(calendar[[#This Row],[Date]],BH!G:G,1,)&lt;&gt;"",1,0),0)</f>
        <v>0</v>
      </c>
      <c r="P610">
        <f>IF(OR(calendar[[#This Row],[UK_BH]]=1,calendar[[#This Row],[WeekDay]]=1, calendar[[#This Row],[WeekDay]]=7),P609,P609+1)</f>
        <v>435</v>
      </c>
      <c r="Q610">
        <f>IF(OR(calendar[[#This Row],[FR_BH]]=1,calendar[[#This Row],[WeekDay]]=1, calendar[[#This Row],[WeekDay]]=7),P609,P609+1)</f>
        <v>435</v>
      </c>
      <c r="R610">
        <f>IF(OR(calendar[[#This Row],[SP_BH]]=1,calendar[[#This Row],[WeekDay]]=1, calendar[[#This Row],[WeekDay]]=7),P609,P609+1)</f>
        <v>435</v>
      </c>
      <c r="S610">
        <f>IF(OR(calendar[[#This Row],[PT_BH]]=1,calendar[[#This Row],[WeekDay]]=1, calendar[[#This Row],[WeekDay]]=7),P609,P609+1)</f>
        <v>435</v>
      </c>
    </row>
    <row r="611" spans="1:19" x14ac:dyDescent="0.25">
      <c r="A611" s="2">
        <v>43345</v>
      </c>
      <c r="B611" s="1">
        <f t="shared" si="48"/>
        <v>36</v>
      </c>
      <c r="C611">
        <f t="shared" si="50"/>
        <v>9</v>
      </c>
      <c r="D611" t="str">
        <f t="shared" si="51"/>
        <v>September</v>
      </c>
      <c r="E611">
        <f t="shared" si="52"/>
        <v>2018</v>
      </c>
      <c r="F611" t="str">
        <f>CONCATENATE(calendar[[#This Row],[Month]],"/",calendar[[#This Row],[Year]])</f>
        <v>9/2018</v>
      </c>
      <c r="G611">
        <f>WEEKDAY(calendar[[#This Row],[Date]],1)</f>
        <v>1</v>
      </c>
      <c r="H611" t="str">
        <f>TEXT(calendar[[#This Row],[WeekDay]],"dddd")</f>
        <v>Sunday</v>
      </c>
      <c r="I611">
        <f>IF((INT(calendar[[#This Row],[Count]]/7)-calendar[[#This Row],[Count]]/7)&lt;0,I610,I610+1)</f>
        <v>88</v>
      </c>
      <c r="J611">
        <f t="shared" si="49"/>
        <v>609</v>
      </c>
      <c r="K611">
        <f>IF(calendar[[#This Row],[Month]]&lt;4,1,IF(calendar[[#This Row],[Month]]&lt;7,2,IF(calendar[[#This Row],[Month]]&lt;10,3,4)))</f>
        <v>3</v>
      </c>
      <c r="L611">
        <f>IFERROR(IF(VLOOKUP(calendar[[#This Row],[Date]],BH!A:A,1,)&lt;&gt;"",1,0),0)</f>
        <v>0</v>
      </c>
      <c r="M611">
        <f>IFERROR(IF(VLOOKUP(calendar[[#This Row],[Date]],BH!C:C,1,)&lt;&gt;"",1,0),0)</f>
        <v>0</v>
      </c>
      <c r="N611">
        <f>IFERROR(IF(VLOOKUP(calendar[[#This Row],[Date]],BH!E:E,1,)&lt;&gt;"",1,0),0)</f>
        <v>0</v>
      </c>
      <c r="O611">
        <f>IFERROR(IF(VLOOKUP(calendar[[#This Row],[Date]],BH!G:G,1,)&lt;&gt;"",1,0),0)</f>
        <v>0</v>
      </c>
      <c r="P611">
        <f>IF(OR(calendar[[#This Row],[UK_BH]]=1,calendar[[#This Row],[WeekDay]]=1, calendar[[#This Row],[WeekDay]]=7),P610,P610+1)</f>
        <v>435</v>
      </c>
      <c r="Q611">
        <f>IF(OR(calendar[[#This Row],[FR_BH]]=1,calendar[[#This Row],[WeekDay]]=1, calendar[[#This Row],[WeekDay]]=7),P610,P610+1)</f>
        <v>435</v>
      </c>
      <c r="R611">
        <f>IF(OR(calendar[[#This Row],[SP_BH]]=1,calendar[[#This Row],[WeekDay]]=1, calendar[[#This Row],[WeekDay]]=7),P610,P610+1)</f>
        <v>435</v>
      </c>
      <c r="S611">
        <f>IF(OR(calendar[[#This Row],[PT_BH]]=1,calendar[[#This Row],[WeekDay]]=1, calendar[[#This Row],[WeekDay]]=7),P610,P610+1)</f>
        <v>435</v>
      </c>
    </row>
    <row r="612" spans="1:19" x14ac:dyDescent="0.25">
      <c r="A612" s="2">
        <v>43346</v>
      </c>
      <c r="B612" s="1">
        <f t="shared" si="48"/>
        <v>36</v>
      </c>
      <c r="C612">
        <f t="shared" si="50"/>
        <v>9</v>
      </c>
      <c r="D612" t="str">
        <f t="shared" si="51"/>
        <v>September</v>
      </c>
      <c r="E612">
        <f t="shared" si="52"/>
        <v>2018</v>
      </c>
      <c r="F612" t="str">
        <f>CONCATENATE(calendar[[#This Row],[Month]],"/",calendar[[#This Row],[Year]])</f>
        <v>9/2018</v>
      </c>
      <c r="G612">
        <f>WEEKDAY(calendar[[#This Row],[Date]],1)</f>
        <v>2</v>
      </c>
      <c r="H612" t="str">
        <f>TEXT(calendar[[#This Row],[WeekDay]],"dddd")</f>
        <v>Monday</v>
      </c>
      <c r="I612">
        <f>IF((INT(calendar[[#This Row],[Count]]/7)-calendar[[#This Row],[Count]]/7)&lt;0,I611,I611+1)</f>
        <v>88</v>
      </c>
      <c r="J612">
        <f t="shared" si="49"/>
        <v>610</v>
      </c>
      <c r="K612">
        <f>IF(calendar[[#This Row],[Month]]&lt;4,1,IF(calendar[[#This Row],[Month]]&lt;7,2,IF(calendar[[#This Row],[Month]]&lt;10,3,4)))</f>
        <v>3</v>
      </c>
      <c r="L612">
        <f>IFERROR(IF(VLOOKUP(calendar[[#This Row],[Date]],BH!A:A,1,)&lt;&gt;"",1,0),0)</f>
        <v>0</v>
      </c>
      <c r="M612">
        <f>IFERROR(IF(VLOOKUP(calendar[[#This Row],[Date]],BH!C:C,1,)&lt;&gt;"",1,0),0)</f>
        <v>0</v>
      </c>
      <c r="N612">
        <f>IFERROR(IF(VLOOKUP(calendar[[#This Row],[Date]],BH!E:E,1,)&lt;&gt;"",1,0),0)</f>
        <v>0</v>
      </c>
      <c r="O612">
        <f>IFERROR(IF(VLOOKUP(calendar[[#This Row],[Date]],BH!G:G,1,)&lt;&gt;"",1,0),0)</f>
        <v>0</v>
      </c>
      <c r="P612">
        <f>IF(OR(calendar[[#This Row],[UK_BH]]=1,calendar[[#This Row],[WeekDay]]=1, calendar[[#This Row],[WeekDay]]=7),P611,P611+1)</f>
        <v>436</v>
      </c>
      <c r="Q612">
        <f>IF(OR(calendar[[#This Row],[FR_BH]]=1,calendar[[#This Row],[WeekDay]]=1, calendar[[#This Row],[WeekDay]]=7),P611,P611+1)</f>
        <v>436</v>
      </c>
      <c r="R612">
        <f>IF(OR(calendar[[#This Row],[SP_BH]]=1,calendar[[#This Row],[WeekDay]]=1, calendar[[#This Row],[WeekDay]]=7),P611,P611+1)</f>
        <v>436</v>
      </c>
      <c r="S612">
        <f>IF(OR(calendar[[#This Row],[PT_BH]]=1,calendar[[#This Row],[WeekDay]]=1, calendar[[#This Row],[WeekDay]]=7),P611,P611+1)</f>
        <v>436</v>
      </c>
    </row>
    <row r="613" spans="1:19" x14ac:dyDescent="0.25">
      <c r="A613" s="2">
        <v>43347</v>
      </c>
      <c r="B613" s="1">
        <f t="shared" si="48"/>
        <v>36</v>
      </c>
      <c r="C613">
        <f t="shared" si="50"/>
        <v>9</v>
      </c>
      <c r="D613" t="str">
        <f t="shared" si="51"/>
        <v>September</v>
      </c>
      <c r="E613">
        <f t="shared" si="52"/>
        <v>2018</v>
      </c>
      <c r="F613" t="str">
        <f>CONCATENATE(calendar[[#This Row],[Month]],"/",calendar[[#This Row],[Year]])</f>
        <v>9/2018</v>
      </c>
      <c r="G613">
        <f>WEEKDAY(calendar[[#This Row],[Date]],1)</f>
        <v>3</v>
      </c>
      <c r="H613" t="str">
        <f>TEXT(calendar[[#This Row],[WeekDay]],"dddd")</f>
        <v>Tuesday</v>
      </c>
      <c r="I613">
        <f>IF((INT(calendar[[#This Row],[Count]]/7)-calendar[[#This Row],[Count]]/7)&lt;0,I612,I612+1)</f>
        <v>88</v>
      </c>
      <c r="J613">
        <f t="shared" si="49"/>
        <v>611</v>
      </c>
      <c r="K613">
        <f>IF(calendar[[#This Row],[Month]]&lt;4,1,IF(calendar[[#This Row],[Month]]&lt;7,2,IF(calendar[[#This Row],[Month]]&lt;10,3,4)))</f>
        <v>3</v>
      </c>
      <c r="L613">
        <f>IFERROR(IF(VLOOKUP(calendar[[#This Row],[Date]],BH!A:A,1,)&lt;&gt;"",1,0),0)</f>
        <v>0</v>
      </c>
      <c r="M613">
        <f>IFERROR(IF(VLOOKUP(calendar[[#This Row],[Date]],BH!C:C,1,)&lt;&gt;"",1,0),0)</f>
        <v>0</v>
      </c>
      <c r="N613">
        <f>IFERROR(IF(VLOOKUP(calendar[[#This Row],[Date]],BH!E:E,1,)&lt;&gt;"",1,0),0)</f>
        <v>0</v>
      </c>
      <c r="O613">
        <f>IFERROR(IF(VLOOKUP(calendar[[#This Row],[Date]],BH!G:G,1,)&lt;&gt;"",1,0),0)</f>
        <v>0</v>
      </c>
      <c r="P613">
        <f>IF(OR(calendar[[#This Row],[UK_BH]]=1,calendar[[#This Row],[WeekDay]]=1, calendar[[#This Row],[WeekDay]]=7),P612,P612+1)</f>
        <v>437</v>
      </c>
      <c r="Q613">
        <f>IF(OR(calendar[[#This Row],[FR_BH]]=1,calendar[[#This Row],[WeekDay]]=1, calendar[[#This Row],[WeekDay]]=7),P612,P612+1)</f>
        <v>437</v>
      </c>
      <c r="R613">
        <f>IF(OR(calendar[[#This Row],[SP_BH]]=1,calendar[[#This Row],[WeekDay]]=1, calendar[[#This Row],[WeekDay]]=7),P612,P612+1)</f>
        <v>437</v>
      </c>
      <c r="S613">
        <f>IF(OR(calendar[[#This Row],[PT_BH]]=1,calendar[[#This Row],[WeekDay]]=1, calendar[[#This Row],[WeekDay]]=7),P612,P612+1)</f>
        <v>437</v>
      </c>
    </row>
    <row r="614" spans="1:19" x14ac:dyDescent="0.25">
      <c r="A614" s="2">
        <v>43348</v>
      </c>
      <c r="B614" s="1">
        <f t="shared" si="48"/>
        <v>36</v>
      </c>
      <c r="C614">
        <f t="shared" si="50"/>
        <v>9</v>
      </c>
      <c r="D614" t="str">
        <f t="shared" si="51"/>
        <v>September</v>
      </c>
      <c r="E614">
        <f t="shared" si="52"/>
        <v>2018</v>
      </c>
      <c r="F614" t="str">
        <f>CONCATENATE(calendar[[#This Row],[Month]],"/",calendar[[#This Row],[Year]])</f>
        <v>9/2018</v>
      </c>
      <c r="G614">
        <f>WEEKDAY(calendar[[#This Row],[Date]],1)</f>
        <v>4</v>
      </c>
      <c r="H614" t="str">
        <f>TEXT(calendar[[#This Row],[WeekDay]],"dddd")</f>
        <v>Wednesday</v>
      </c>
      <c r="I614">
        <f>IF((INT(calendar[[#This Row],[Count]]/7)-calendar[[#This Row],[Count]]/7)&lt;0,I613,I613+1)</f>
        <v>88</v>
      </c>
      <c r="J614">
        <f t="shared" si="49"/>
        <v>612</v>
      </c>
      <c r="K614">
        <f>IF(calendar[[#This Row],[Month]]&lt;4,1,IF(calendar[[#This Row],[Month]]&lt;7,2,IF(calendar[[#This Row],[Month]]&lt;10,3,4)))</f>
        <v>3</v>
      </c>
      <c r="L614">
        <f>IFERROR(IF(VLOOKUP(calendar[[#This Row],[Date]],BH!A:A,1,)&lt;&gt;"",1,0),0)</f>
        <v>0</v>
      </c>
      <c r="M614">
        <f>IFERROR(IF(VLOOKUP(calendar[[#This Row],[Date]],BH!C:C,1,)&lt;&gt;"",1,0),0)</f>
        <v>0</v>
      </c>
      <c r="N614">
        <f>IFERROR(IF(VLOOKUP(calendar[[#This Row],[Date]],BH!E:E,1,)&lt;&gt;"",1,0),0)</f>
        <v>0</v>
      </c>
      <c r="O614">
        <f>IFERROR(IF(VLOOKUP(calendar[[#This Row],[Date]],BH!G:G,1,)&lt;&gt;"",1,0),0)</f>
        <v>0</v>
      </c>
      <c r="P614">
        <f>IF(OR(calendar[[#This Row],[UK_BH]]=1,calendar[[#This Row],[WeekDay]]=1, calendar[[#This Row],[WeekDay]]=7),P613,P613+1)</f>
        <v>438</v>
      </c>
      <c r="Q614">
        <f>IF(OR(calendar[[#This Row],[FR_BH]]=1,calendar[[#This Row],[WeekDay]]=1, calendar[[#This Row],[WeekDay]]=7),P613,P613+1)</f>
        <v>438</v>
      </c>
      <c r="R614">
        <f>IF(OR(calendar[[#This Row],[SP_BH]]=1,calendar[[#This Row],[WeekDay]]=1, calendar[[#This Row],[WeekDay]]=7),P613,P613+1)</f>
        <v>438</v>
      </c>
      <c r="S614">
        <f>IF(OR(calendar[[#This Row],[PT_BH]]=1,calendar[[#This Row],[WeekDay]]=1, calendar[[#This Row],[WeekDay]]=7),P613,P613+1)</f>
        <v>438</v>
      </c>
    </row>
    <row r="615" spans="1:19" x14ac:dyDescent="0.25">
      <c r="A615" s="2">
        <v>43349</v>
      </c>
      <c r="B615" s="1">
        <f t="shared" si="48"/>
        <v>36</v>
      </c>
      <c r="C615">
        <f t="shared" si="50"/>
        <v>9</v>
      </c>
      <c r="D615" t="str">
        <f t="shared" si="51"/>
        <v>September</v>
      </c>
      <c r="E615">
        <f t="shared" si="52"/>
        <v>2018</v>
      </c>
      <c r="F615" t="str">
        <f>CONCATENATE(calendar[[#This Row],[Month]],"/",calendar[[#This Row],[Year]])</f>
        <v>9/2018</v>
      </c>
      <c r="G615">
        <f>WEEKDAY(calendar[[#This Row],[Date]],1)</f>
        <v>5</v>
      </c>
      <c r="H615" t="str">
        <f>TEXT(calendar[[#This Row],[WeekDay]],"dddd")</f>
        <v>Thursday</v>
      </c>
      <c r="I615">
        <f>IF((INT(calendar[[#This Row],[Count]]/7)-calendar[[#This Row],[Count]]/7)&lt;0,I614,I614+1)</f>
        <v>88</v>
      </c>
      <c r="J615">
        <f t="shared" si="49"/>
        <v>613</v>
      </c>
      <c r="K615">
        <f>IF(calendar[[#This Row],[Month]]&lt;4,1,IF(calendar[[#This Row],[Month]]&lt;7,2,IF(calendar[[#This Row],[Month]]&lt;10,3,4)))</f>
        <v>3</v>
      </c>
      <c r="L615">
        <f>IFERROR(IF(VLOOKUP(calendar[[#This Row],[Date]],BH!A:A,1,)&lt;&gt;"",1,0),0)</f>
        <v>0</v>
      </c>
      <c r="M615">
        <f>IFERROR(IF(VLOOKUP(calendar[[#This Row],[Date]],BH!C:C,1,)&lt;&gt;"",1,0),0)</f>
        <v>0</v>
      </c>
      <c r="N615">
        <f>IFERROR(IF(VLOOKUP(calendar[[#This Row],[Date]],BH!E:E,1,)&lt;&gt;"",1,0),0)</f>
        <v>0</v>
      </c>
      <c r="O615">
        <f>IFERROR(IF(VLOOKUP(calendar[[#This Row],[Date]],BH!G:G,1,)&lt;&gt;"",1,0),0)</f>
        <v>0</v>
      </c>
      <c r="P615">
        <f>IF(OR(calendar[[#This Row],[UK_BH]]=1,calendar[[#This Row],[WeekDay]]=1, calendar[[#This Row],[WeekDay]]=7),P614,P614+1)</f>
        <v>439</v>
      </c>
      <c r="Q615">
        <f>IF(OR(calendar[[#This Row],[FR_BH]]=1,calendar[[#This Row],[WeekDay]]=1, calendar[[#This Row],[WeekDay]]=7),P614,P614+1)</f>
        <v>439</v>
      </c>
      <c r="R615">
        <f>IF(OR(calendar[[#This Row],[SP_BH]]=1,calendar[[#This Row],[WeekDay]]=1, calendar[[#This Row],[WeekDay]]=7),P614,P614+1)</f>
        <v>439</v>
      </c>
      <c r="S615">
        <f>IF(OR(calendar[[#This Row],[PT_BH]]=1,calendar[[#This Row],[WeekDay]]=1, calendar[[#This Row],[WeekDay]]=7),P614,P614+1)</f>
        <v>439</v>
      </c>
    </row>
    <row r="616" spans="1:19" x14ac:dyDescent="0.25">
      <c r="A616" s="2">
        <v>43350</v>
      </c>
      <c r="B616" s="1">
        <f t="shared" si="48"/>
        <v>36</v>
      </c>
      <c r="C616">
        <f t="shared" si="50"/>
        <v>9</v>
      </c>
      <c r="D616" t="str">
        <f t="shared" si="51"/>
        <v>September</v>
      </c>
      <c r="E616">
        <f t="shared" si="52"/>
        <v>2018</v>
      </c>
      <c r="F616" t="str">
        <f>CONCATENATE(calendar[[#This Row],[Month]],"/",calendar[[#This Row],[Year]])</f>
        <v>9/2018</v>
      </c>
      <c r="G616">
        <f>WEEKDAY(calendar[[#This Row],[Date]],1)</f>
        <v>6</v>
      </c>
      <c r="H616" t="str">
        <f>TEXT(calendar[[#This Row],[WeekDay]],"dddd")</f>
        <v>Friday</v>
      </c>
      <c r="I616">
        <f>IF((INT(calendar[[#This Row],[Count]]/7)-calendar[[#This Row],[Count]]/7)&lt;0,I615,I615+1)</f>
        <v>88</v>
      </c>
      <c r="J616">
        <f t="shared" si="49"/>
        <v>614</v>
      </c>
      <c r="K616">
        <f>IF(calendar[[#This Row],[Month]]&lt;4,1,IF(calendar[[#This Row],[Month]]&lt;7,2,IF(calendar[[#This Row],[Month]]&lt;10,3,4)))</f>
        <v>3</v>
      </c>
      <c r="L616">
        <f>IFERROR(IF(VLOOKUP(calendar[[#This Row],[Date]],BH!A:A,1,)&lt;&gt;"",1,0),0)</f>
        <v>0</v>
      </c>
      <c r="M616">
        <f>IFERROR(IF(VLOOKUP(calendar[[#This Row],[Date]],BH!C:C,1,)&lt;&gt;"",1,0),0)</f>
        <v>0</v>
      </c>
      <c r="N616">
        <f>IFERROR(IF(VLOOKUP(calendar[[#This Row],[Date]],BH!E:E,1,)&lt;&gt;"",1,0),0)</f>
        <v>0</v>
      </c>
      <c r="O616">
        <f>IFERROR(IF(VLOOKUP(calendar[[#This Row],[Date]],BH!G:G,1,)&lt;&gt;"",1,0),0)</f>
        <v>0</v>
      </c>
      <c r="P616">
        <f>IF(OR(calendar[[#This Row],[UK_BH]]=1,calendar[[#This Row],[WeekDay]]=1, calendar[[#This Row],[WeekDay]]=7),P615,P615+1)</f>
        <v>440</v>
      </c>
      <c r="Q616">
        <f>IF(OR(calendar[[#This Row],[FR_BH]]=1,calendar[[#This Row],[WeekDay]]=1, calendar[[#This Row],[WeekDay]]=7),P615,P615+1)</f>
        <v>440</v>
      </c>
      <c r="R616">
        <f>IF(OR(calendar[[#This Row],[SP_BH]]=1,calendar[[#This Row],[WeekDay]]=1, calendar[[#This Row],[WeekDay]]=7),P615,P615+1)</f>
        <v>440</v>
      </c>
      <c r="S616">
        <f>IF(OR(calendar[[#This Row],[PT_BH]]=1,calendar[[#This Row],[WeekDay]]=1, calendar[[#This Row],[WeekDay]]=7),P615,P615+1)</f>
        <v>440</v>
      </c>
    </row>
    <row r="617" spans="1:19" x14ac:dyDescent="0.25">
      <c r="A617" s="2">
        <v>43351</v>
      </c>
      <c r="B617" s="1">
        <f t="shared" si="48"/>
        <v>36</v>
      </c>
      <c r="C617">
        <f t="shared" si="50"/>
        <v>9</v>
      </c>
      <c r="D617" t="str">
        <f t="shared" si="51"/>
        <v>September</v>
      </c>
      <c r="E617">
        <f t="shared" si="52"/>
        <v>2018</v>
      </c>
      <c r="F617" t="str">
        <f>CONCATENATE(calendar[[#This Row],[Month]],"/",calendar[[#This Row],[Year]])</f>
        <v>9/2018</v>
      </c>
      <c r="G617">
        <f>WEEKDAY(calendar[[#This Row],[Date]],1)</f>
        <v>7</v>
      </c>
      <c r="H617" t="str">
        <f>TEXT(calendar[[#This Row],[WeekDay]],"dddd")</f>
        <v>Saturday</v>
      </c>
      <c r="I617">
        <f>IF((INT(calendar[[#This Row],[Count]]/7)-calendar[[#This Row],[Count]]/7)&lt;0,I616,I616+1)</f>
        <v>88</v>
      </c>
      <c r="J617">
        <f t="shared" si="49"/>
        <v>615</v>
      </c>
      <c r="K617">
        <f>IF(calendar[[#This Row],[Month]]&lt;4,1,IF(calendar[[#This Row],[Month]]&lt;7,2,IF(calendar[[#This Row],[Month]]&lt;10,3,4)))</f>
        <v>3</v>
      </c>
      <c r="L617">
        <f>IFERROR(IF(VLOOKUP(calendar[[#This Row],[Date]],BH!A:A,1,)&lt;&gt;"",1,0),0)</f>
        <v>0</v>
      </c>
      <c r="M617">
        <f>IFERROR(IF(VLOOKUP(calendar[[#This Row],[Date]],BH!C:C,1,)&lt;&gt;"",1,0),0)</f>
        <v>0</v>
      </c>
      <c r="N617">
        <f>IFERROR(IF(VLOOKUP(calendar[[#This Row],[Date]],BH!E:E,1,)&lt;&gt;"",1,0),0)</f>
        <v>0</v>
      </c>
      <c r="O617">
        <f>IFERROR(IF(VLOOKUP(calendar[[#This Row],[Date]],BH!G:G,1,)&lt;&gt;"",1,0),0)</f>
        <v>0</v>
      </c>
      <c r="P617">
        <f>IF(OR(calendar[[#This Row],[UK_BH]]=1,calendar[[#This Row],[WeekDay]]=1, calendar[[#This Row],[WeekDay]]=7),P616,P616+1)</f>
        <v>440</v>
      </c>
      <c r="Q617">
        <f>IF(OR(calendar[[#This Row],[FR_BH]]=1,calendar[[#This Row],[WeekDay]]=1, calendar[[#This Row],[WeekDay]]=7),P616,P616+1)</f>
        <v>440</v>
      </c>
      <c r="R617">
        <f>IF(OR(calendar[[#This Row],[SP_BH]]=1,calendar[[#This Row],[WeekDay]]=1, calendar[[#This Row],[WeekDay]]=7),P616,P616+1)</f>
        <v>440</v>
      </c>
      <c r="S617">
        <f>IF(OR(calendar[[#This Row],[PT_BH]]=1,calendar[[#This Row],[WeekDay]]=1, calendar[[#This Row],[WeekDay]]=7),P616,P616+1)</f>
        <v>440</v>
      </c>
    </row>
    <row r="618" spans="1:19" x14ac:dyDescent="0.25">
      <c r="A618" s="2">
        <v>43352</v>
      </c>
      <c r="B618" s="1">
        <f t="shared" si="48"/>
        <v>37</v>
      </c>
      <c r="C618">
        <f t="shared" si="50"/>
        <v>9</v>
      </c>
      <c r="D618" t="str">
        <f t="shared" si="51"/>
        <v>September</v>
      </c>
      <c r="E618">
        <f t="shared" si="52"/>
        <v>2018</v>
      </c>
      <c r="F618" t="str">
        <f>CONCATENATE(calendar[[#This Row],[Month]],"/",calendar[[#This Row],[Year]])</f>
        <v>9/2018</v>
      </c>
      <c r="G618">
        <f>WEEKDAY(calendar[[#This Row],[Date]],1)</f>
        <v>1</v>
      </c>
      <c r="H618" t="str">
        <f>TEXT(calendar[[#This Row],[WeekDay]],"dddd")</f>
        <v>Sunday</v>
      </c>
      <c r="I618">
        <f>IF((INT(calendar[[#This Row],[Count]]/7)-calendar[[#This Row],[Count]]/7)&lt;0,I617,I617+1)</f>
        <v>89</v>
      </c>
      <c r="J618">
        <f t="shared" si="49"/>
        <v>616</v>
      </c>
      <c r="K618">
        <f>IF(calendar[[#This Row],[Month]]&lt;4,1,IF(calendar[[#This Row],[Month]]&lt;7,2,IF(calendar[[#This Row],[Month]]&lt;10,3,4)))</f>
        <v>3</v>
      </c>
      <c r="L618">
        <f>IFERROR(IF(VLOOKUP(calendar[[#This Row],[Date]],BH!A:A,1,)&lt;&gt;"",1,0),0)</f>
        <v>0</v>
      </c>
      <c r="M618">
        <f>IFERROR(IF(VLOOKUP(calendar[[#This Row],[Date]],BH!C:C,1,)&lt;&gt;"",1,0),0)</f>
        <v>0</v>
      </c>
      <c r="N618">
        <f>IFERROR(IF(VLOOKUP(calendar[[#This Row],[Date]],BH!E:E,1,)&lt;&gt;"",1,0),0)</f>
        <v>0</v>
      </c>
      <c r="O618">
        <f>IFERROR(IF(VLOOKUP(calendar[[#This Row],[Date]],BH!G:G,1,)&lt;&gt;"",1,0),0)</f>
        <v>0</v>
      </c>
      <c r="P618">
        <f>IF(OR(calendar[[#This Row],[UK_BH]]=1,calendar[[#This Row],[WeekDay]]=1, calendar[[#This Row],[WeekDay]]=7),P617,P617+1)</f>
        <v>440</v>
      </c>
      <c r="Q618">
        <f>IF(OR(calendar[[#This Row],[FR_BH]]=1,calendar[[#This Row],[WeekDay]]=1, calendar[[#This Row],[WeekDay]]=7),P617,P617+1)</f>
        <v>440</v>
      </c>
      <c r="R618">
        <f>IF(OR(calendar[[#This Row],[SP_BH]]=1,calendar[[#This Row],[WeekDay]]=1, calendar[[#This Row],[WeekDay]]=7),P617,P617+1)</f>
        <v>440</v>
      </c>
      <c r="S618">
        <f>IF(OR(calendar[[#This Row],[PT_BH]]=1,calendar[[#This Row],[WeekDay]]=1, calendar[[#This Row],[WeekDay]]=7),P617,P617+1)</f>
        <v>440</v>
      </c>
    </row>
    <row r="619" spans="1:19" x14ac:dyDescent="0.25">
      <c r="A619" s="2">
        <v>43353</v>
      </c>
      <c r="B619" s="1">
        <f t="shared" si="48"/>
        <v>37</v>
      </c>
      <c r="C619">
        <f t="shared" si="50"/>
        <v>9</v>
      </c>
      <c r="D619" t="str">
        <f t="shared" si="51"/>
        <v>September</v>
      </c>
      <c r="E619">
        <f t="shared" si="52"/>
        <v>2018</v>
      </c>
      <c r="F619" t="str">
        <f>CONCATENATE(calendar[[#This Row],[Month]],"/",calendar[[#This Row],[Year]])</f>
        <v>9/2018</v>
      </c>
      <c r="G619">
        <f>WEEKDAY(calendar[[#This Row],[Date]],1)</f>
        <v>2</v>
      </c>
      <c r="H619" t="str">
        <f>TEXT(calendar[[#This Row],[WeekDay]],"dddd")</f>
        <v>Monday</v>
      </c>
      <c r="I619">
        <f>IF((INT(calendar[[#This Row],[Count]]/7)-calendar[[#This Row],[Count]]/7)&lt;0,I618,I618+1)</f>
        <v>89</v>
      </c>
      <c r="J619">
        <f t="shared" si="49"/>
        <v>617</v>
      </c>
      <c r="K619">
        <f>IF(calendar[[#This Row],[Month]]&lt;4,1,IF(calendar[[#This Row],[Month]]&lt;7,2,IF(calendar[[#This Row],[Month]]&lt;10,3,4)))</f>
        <v>3</v>
      </c>
      <c r="L619">
        <f>IFERROR(IF(VLOOKUP(calendar[[#This Row],[Date]],BH!A:A,1,)&lt;&gt;"",1,0),0)</f>
        <v>0</v>
      </c>
      <c r="M619">
        <f>IFERROR(IF(VLOOKUP(calendar[[#This Row],[Date]],BH!C:C,1,)&lt;&gt;"",1,0),0)</f>
        <v>0</v>
      </c>
      <c r="N619">
        <f>IFERROR(IF(VLOOKUP(calendar[[#This Row],[Date]],BH!E:E,1,)&lt;&gt;"",1,0),0)</f>
        <v>0</v>
      </c>
      <c r="O619">
        <f>IFERROR(IF(VLOOKUP(calendar[[#This Row],[Date]],BH!G:G,1,)&lt;&gt;"",1,0),0)</f>
        <v>0</v>
      </c>
      <c r="P619">
        <f>IF(OR(calendar[[#This Row],[UK_BH]]=1,calendar[[#This Row],[WeekDay]]=1, calendar[[#This Row],[WeekDay]]=7),P618,P618+1)</f>
        <v>441</v>
      </c>
      <c r="Q619">
        <f>IF(OR(calendar[[#This Row],[FR_BH]]=1,calendar[[#This Row],[WeekDay]]=1, calendar[[#This Row],[WeekDay]]=7),P618,P618+1)</f>
        <v>441</v>
      </c>
      <c r="R619">
        <f>IF(OR(calendar[[#This Row],[SP_BH]]=1,calendar[[#This Row],[WeekDay]]=1, calendar[[#This Row],[WeekDay]]=7),P618,P618+1)</f>
        <v>441</v>
      </c>
      <c r="S619">
        <f>IF(OR(calendar[[#This Row],[PT_BH]]=1,calendar[[#This Row],[WeekDay]]=1, calendar[[#This Row],[WeekDay]]=7),P618,P618+1)</f>
        <v>441</v>
      </c>
    </row>
    <row r="620" spans="1:19" x14ac:dyDescent="0.25">
      <c r="A620" s="2">
        <v>43354</v>
      </c>
      <c r="B620" s="1">
        <f t="shared" si="48"/>
        <v>37</v>
      </c>
      <c r="C620">
        <f t="shared" si="50"/>
        <v>9</v>
      </c>
      <c r="D620" t="str">
        <f t="shared" si="51"/>
        <v>September</v>
      </c>
      <c r="E620">
        <f t="shared" si="52"/>
        <v>2018</v>
      </c>
      <c r="F620" t="str">
        <f>CONCATENATE(calendar[[#This Row],[Month]],"/",calendar[[#This Row],[Year]])</f>
        <v>9/2018</v>
      </c>
      <c r="G620">
        <f>WEEKDAY(calendar[[#This Row],[Date]],1)</f>
        <v>3</v>
      </c>
      <c r="H620" t="str">
        <f>TEXT(calendar[[#This Row],[WeekDay]],"dddd")</f>
        <v>Tuesday</v>
      </c>
      <c r="I620">
        <f>IF((INT(calendar[[#This Row],[Count]]/7)-calendar[[#This Row],[Count]]/7)&lt;0,I619,I619+1)</f>
        <v>89</v>
      </c>
      <c r="J620">
        <f t="shared" si="49"/>
        <v>618</v>
      </c>
      <c r="K620">
        <f>IF(calendar[[#This Row],[Month]]&lt;4,1,IF(calendar[[#This Row],[Month]]&lt;7,2,IF(calendar[[#This Row],[Month]]&lt;10,3,4)))</f>
        <v>3</v>
      </c>
      <c r="L620">
        <f>IFERROR(IF(VLOOKUP(calendar[[#This Row],[Date]],BH!A:A,1,)&lt;&gt;"",1,0),0)</f>
        <v>0</v>
      </c>
      <c r="M620">
        <f>IFERROR(IF(VLOOKUP(calendar[[#This Row],[Date]],BH!C:C,1,)&lt;&gt;"",1,0),0)</f>
        <v>0</v>
      </c>
      <c r="N620">
        <f>IFERROR(IF(VLOOKUP(calendar[[#This Row],[Date]],BH!E:E,1,)&lt;&gt;"",1,0),0)</f>
        <v>0</v>
      </c>
      <c r="O620">
        <f>IFERROR(IF(VLOOKUP(calendar[[#This Row],[Date]],BH!G:G,1,)&lt;&gt;"",1,0),0)</f>
        <v>0</v>
      </c>
      <c r="P620">
        <f>IF(OR(calendar[[#This Row],[UK_BH]]=1,calendar[[#This Row],[WeekDay]]=1, calendar[[#This Row],[WeekDay]]=7),P619,P619+1)</f>
        <v>442</v>
      </c>
      <c r="Q620">
        <f>IF(OR(calendar[[#This Row],[FR_BH]]=1,calendar[[#This Row],[WeekDay]]=1, calendar[[#This Row],[WeekDay]]=7),P619,P619+1)</f>
        <v>442</v>
      </c>
      <c r="R620">
        <f>IF(OR(calendar[[#This Row],[SP_BH]]=1,calendar[[#This Row],[WeekDay]]=1, calendar[[#This Row],[WeekDay]]=7),P619,P619+1)</f>
        <v>442</v>
      </c>
      <c r="S620">
        <f>IF(OR(calendar[[#This Row],[PT_BH]]=1,calendar[[#This Row],[WeekDay]]=1, calendar[[#This Row],[WeekDay]]=7),P619,P619+1)</f>
        <v>442</v>
      </c>
    </row>
    <row r="621" spans="1:19" x14ac:dyDescent="0.25">
      <c r="A621" s="2">
        <v>43355</v>
      </c>
      <c r="B621" s="1">
        <f t="shared" si="48"/>
        <v>37</v>
      </c>
      <c r="C621">
        <f t="shared" si="50"/>
        <v>9</v>
      </c>
      <c r="D621" t="str">
        <f t="shared" si="51"/>
        <v>September</v>
      </c>
      <c r="E621">
        <f t="shared" si="52"/>
        <v>2018</v>
      </c>
      <c r="F621" t="str">
        <f>CONCATENATE(calendar[[#This Row],[Month]],"/",calendar[[#This Row],[Year]])</f>
        <v>9/2018</v>
      </c>
      <c r="G621">
        <f>WEEKDAY(calendar[[#This Row],[Date]],1)</f>
        <v>4</v>
      </c>
      <c r="H621" t="str">
        <f>TEXT(calendar[[#This Row],[WeekDay]],"dddd")</f>
        <v>Wednesday</v>
      </c>
      <c r="I621">
        <f>IF((INT(calendar[[#This Row],[Count]]/7)-calendar[[#This Row],[Count]]/7)&lt;0,I620,I620+1)</f>
        <v>89</v>
      </c>
      <c r="J621">
        <f t="shared" si="49"/>
        <v>619</v>
      </c>
      <c r="K621">
        <f>IF(calendar[[#This Row],[Month]]&lt;4,1,IF(calendar[[#This Row],[Month]]&lt;7,2,IF(calendar[[#This Row],[Month]]&lt;10,3,4)))</f>
        <v>3</v>
      </c>
      <c r="L621">
        <f>IFERROR(IF(VLOOKUP(calendar[[#This Row],[Date]],BH!A:A,1,)&lt;&gt;"",1,0),0)</f>
        <v>0</v>
      </c>
      <c r="M621">
        <f>IFERROR(IF(VLOOKUP(calendar[[#This Row],[Date]],BH!C:C,1,)&lt;&gt;"",1,0),0)</f>
        <v>0</v>
      </c>
      <c r="N621">
        <f>IFERROR(IF(VLOOKUP(calendar[[#This Row],[Date]],BH!E:E,1,)&lt;&gt;"",1,0),0)</f>
        <v>0</v>
      </c>
      <c r="O621">
        <f>IFERROR(IF(VLOOKUP(calendar[[#This Row],[Date]],BH!G:G,1,)&lt;&gt;"",1,0),0)</f>
        <v>0</v>
      </c>
      <c r="P621">
        <f>IF(OR(calendar[[#This Row],[UK_BH]]=1,calendar[[#This Row],[WeekDay]]=1, calendar[[#This Row],[WeekDay]]=7),P620,P620+1)</f>
        <v>443</v>
      </c>
      <c r="Q621">
        <f>IF(OR(calendar[[#This Row],[FR_BH]]=1,calendar[[#This Row],[WeekDay]]=1, calendar[[#This Row],[WeekDay]]=7),P620,P620+1)</f>
        <v>443</v>
      </c>
      <c r="R621">
        <f>IF(OR(calendar[[#This Row],[SP_BH]]=1,calendar[[#This Row],[WeekDay]]=1, calendar[[#This Row],[WeekDay]]=7),P620,P620+1)</f>
        <v>443</v>
      </c>
      <c r="S621">
        <f>IF(OR(calendar[[#This Row],[PT_BH]]=1,calendar[[#This Row],[WeekDay]]=1, calendar[[#This Row],[WeekDay]]=7),P620,P620+1)</f>
        <v>443</v>
      </c>
    </row>
    <row r="622" spans="1:19" x14ac:dyDescent="0.25">
      <c r="A622" s="2">
        <v>43356</v>
      </c>
      <c r="B622" s="1">
        <f t="shared" si="48"/>
        <v>37</v>
      </c>
      <c r="C622">
        <f t="shared" si="50"/>
        <v>9</v>
      </c>
      <c r="D622" t="str">
        <f t="shared" si="51"/>
        <v>September</v>
      </c>
      <c r="E622">
        <f t="shared" si="52"/>
        <v>2018</v>
      </c>
      <c r="F622" t="str">
        <f>CONCATENATE(calendar[[#This Row],[Month]],"/",calendar[[#This Row],[Year]])</f>
        <v>9/2018</v>
      </c>
      <c r="G622">
        <f>WEEKDAY(calendar[[#This Row],[Date]],1)</f>
        <v>5</v>
      </c>
      <c r="H622" t="str">
        <f>TEXT(calendar[[#This Row],[WeekDay]],"dddd")</f>
        <v>Thursday</v>
      </c>
      <c r="I622">
        <f>IF((INT(calendar[[#This Row],[Count]]/7)-calendar[[#This Row],[Count]]/7)&lt;0,I621,I621+1)</f>
        <v>89</v>
      </c>
      <c r="J622">
        <f t="shared" si="49"/>
        <v>620</v>
      </c>
      <c r="K622">
        <f>IF(calendar[[#This Row],[Month]]&lt;4,1,IF(calendar[[#This Row],[Month]]&lt;7,2,IF(calendar[[#This Row],[Month]]&lt;10,3,4)))</f>
        <v>3</v>
      </c>
      <c r="L622">
        <f>IFERROR(IF(VLOOKUP(calendar[[#This Row],[Date]],BH!A:A,1,)&lt;&gt;"",1,0),0)</f>
        <v>0</v>
      </c>
      <c r="M622">
        <f>IFERROR(IF(VLOOKUP(calendar[[#This Row],[Date]],BH!C:C,1,)&lt;&gt;"",1,0),0)</f>
        <v>0</v>
      </c>
      <c r="N622">
        <f>IFERROR(IF(VLOOKUP(calendar[[#This Row],[Date]],BH!E:E,1,)&lt;&gt;"",1,0),0)</f>
        <v>0</v>
      </c>
      <c r="O622">
        <f>IFERROR(IF(VLOOKUP(calendar[[#This Row],[Date]],BH!G:G,1,)&lt;&gt;"",1,0),0)</f>
        <v>0</v>
      </c>
      <c r="P622">
        <f>IF(OR(calendar[[#This Row],[UK_BH]]=1,calendar[[#This Row],[WeekDay]]=1, calendar[[#This Row],[WeekDay]]=7),P621,P621+1)</f>
        <v>444</v>
      </c>
      <c r="Q622">
        <f>IF(OR(calendar[[#This Row],[FR_BH]]=1,calendar[[#This Row],[WeekDay]]=1, calendar[[#This Row],[WeekDay]]=7),P621,P621+1)</f>
        <v>444</v>
      </c>
      <c r="R622">
        <f>IF(OR(calendar[[#This Row],[SP_BH]]=1,calendar[[#This Row],[WeekDay]]=1, calendar[[#This Row],[WeekDay]]=7),P621,P621+1)</f>
        <v>444</v>
      </c>
      <c r="S622">
        <f>IF(OR(calendar[[#This Row],[PT_BH]]=1,calendar[[#This Row],[WeekDay]]=1, calendar[[#This Row],[WeekDay]]=7),P621,P621+1)</f>
        <v>444</v>
      </c>
    </row>
    <row r="623" spans="1:19" x14ac:dyDescent="0.25">
      <c r="A623" s="2">
        <v>43357</v>
      </c>
      <c r="B623" s="1">
        <f t="shared" si="48"/>
        <v>37</v>
      </c>
      <c r="C623">
        <f t="shared" si="50"/>
        <v>9</v>
      </c>
      <c r="D623" t="str">
        <f t="shared" si="51"/>
        <v>September</v>
      </c>
      <c r="E623">
        <f t="shared" si="52"/>
        <v>2018</v>
      </c>
      <c r="F623" t="str">
        <f>CONCATENATE(calendar[[#This Row],[Month]],"/",calendar[[#This Row],[Year]])</f>
        <v>9/2018</v>
      </c>
      <c r="G623">
        <f>WEEKDAY(calendar[[#This Row],[Date]],1)</f>
        <v>6</v>
      </c>
      <c r="H623" t="str">
        <f>TEXT(calendar[[#This Row],[WeekDay]],"dddd")</f>
        <v>Friday</v>
      </c>
      <c r="I623">
        <f>IF((INT(calendar[[#This Row],[Count]]/7)-calendar[[#This Row],[Count]]/7)&lt;0,I622,I622+1)</f>
        <v>89</v>
      </c>
      <c r="J623">
        <f t="shared" si="49"/>
        <v>621</v>
      </c>
      <c r="K623">
        <f>IF(calendar[[#This Row],[Month]]&lt;4,1,IF(calendar[[#This Row],[Month]]&lt;7,2,IF(calendar[[#This Row],[Month]]&lt;10,3,4)))</f>
        <v>3</v>
      </c>
      <c r="L623">
        <f>IFERROR(IF(VLOOKUP(calendar[[#This Row],[Date]],BH!A:A,1,)&lt;&gt;"",1,0),0)</f>
        <v>0</v>
      </c>
      <c r="M623">
        <f>IFERROR(IF(VLOOKUP(calendar[[#This Row],[Date]],BH!C:C,1,)&lt;&gt;"",1,0),0)</f>
        <v>0</v>
      </c>
      <c r="N623">
        <f>IFERROR(IF(VLOOKUP(calendar[[#This Row],[Date]],BH!E:E,1,)&lt;&gt;"",1,0),0)</f>
        <v>0</v>
      </c>
      <c r="O623">
        <f>IFERROR(IF(VLOOKUP(calendar[[#This Row],[Date]],BH!G:G,1,)&lt;&gt;"",1,0),0)</f>
        <v>0</v>
      </c>
      <c r="P623">
        <f>IF(OR(calendar[[#This Row],[UK_BH]]=1,calendar[[#This Row],[WeekDay]]=1, calendar[[#This Row],[WeekDay]]=7),P622,P622+1)</f>
        <v>445</v>
      </c>
      <c r="Q623">
        <f>IF(OR(calendar[[#This Row],[FR_BH]]=1,calendar[[#This Row],[WeekDay]]=1, calendar[[#This Row],[WeekDay]]=7),P622,P622+1)</f>
        <v>445</v>
      </c>
      <c r="R623">
        <f>IF(OR(calendar[[#This Row],[SP_BH]]=1,calendar[[#This Row],[WeekDay]]=1, calendar[[#This Row],[WeekDay]]=7),P622,P622+1)</f>
        <v>445</v>
      </c>
      <c r="S623">
        <f>IF(OR(calendar[[#This Row],[PT_BH]]=1,calendar[[#This Row],[WeekDay]]=1, calendar[[#This Row],[WeekDay]]=7),P622,P622+1)</f>
        <v>445</v>
      </c>
    </row>
    <row r="624" spans="1:19" x14ac:dyDescent="0.25">
      <c r="A624" s="2">
        <v>43358</v>
      </c>
      <c r="B624" s="1">
        <f t="shared" si="48"/>
        <v>37</v>
      </c>
      <c r="C624">
        <f t="shared" si="50"/>
        <v>9</v>
      </c>
      <c r="D624" t="str">
        <f t="shared" si="51"/>
        <v>September</v>
      </c>
      <c r="E624">
        <f t="shared" si="52"/>
        <v>2018</v>
      </c>
      <c r="F624" t="str">
        <f>CONCATENATE(calendar[[#This Row],[Month]],"/",calendar[[#This Row],[Year]])</f>
        <v>9/2018</v>
      </c>
      <c r="G624">
        <f>WEEKDAY(calendar[[#This Row],[Date]],1)</f>
        <v>7</v>
      </c>
      <c r="H624" t="str">
        <f>TEXT(calendar[[#This Row],[WeekDay]],"dddd")</f>
        <v>Saturday</v>
      </c>
      <c r="I624">
        <f>IF((INT(calendar[[#This Row],[Count]]/7)-calendar[[#This Row],[Count]]/7)&lt;0,I623,I623+1)</f>
        <v>89</v>
      </c>
      <c r="J624">
        <f t="shared" si="49"/>
        <v>622</v>
      </c>
      <c r="K624">
        <f>IF(calendar[[#This Row],[Month]]&lt;4,1,IF(calendar[[#This Row],[Month]]&lt;7,2,IF(calendar[[#This Row],[Month]]&lt;10,3,4)))</f>
        <v>3</v>
      </c>
      <c r="L624">
        <f>IFERROR(IF(VLOOKUP(calendar[[#This Row],[Date]],BH!A:A,1,)&lt;&gt;"",1,0),0)</f>
        <v>0</v>
      </c>
      <c r="M624">
        <f>IFERROR(IF(VLOOKUP(calendar[[#This Row],[Date]],BH!C:C,1,)&lt;&gt;"",1,0),0)</f>
        <v>0</v>
      </c>
      <c r="N624">
        <f>IFERROR(IF(VLOOKUP(calendar[[#This Row],[Date]],BH!E:E,1,)&lt;&gt;"",1,0),0)</f>
        <v>0</v>
      </c>
      <c r="O624">
        <f>IFERROR(IF(VLOOKUP(calendar[[#This Row],[Date]],BH!G:G,1,)&lt;&gt;"",1,0),0)</f>
        <v>0</v>
      </c>
      <c r="P624">
        <f>IF(OR(calendar[[#This Row],[UK_BH]]=1,calendar[[#This Row],[WeekDay]]=1, calendar[[#This Row],[WeekDay]]=7),P623,P623+1)</f>
        <v>445</v>
      </c>
      <c r="Q624">
        <f>IF(OR(calendar[[#This Row],[FR_BH]]=1,calendar[[#This Row],[WeekDay]]=1, calendar[[#This Row],[WeekDay]]=7),P623,P623+1)</f>
        <v>445</v>
      </c>
      <c r="R624">
        <f>IF(OR(calendar[[#This Row],[SP_BH]]=1,calendar[[#This Row],[WeekDay]]=1, calendar[[#This Row],[WeekDay]]=7),P623,P623+1)</f>
        <v>445</v>
      </c>
      <c r="S624">
        <f>IF(OR(calendar[[#This Row],[PT_BH]]=1,calendar[[#This Row],[WeekDay]]=1, calendar[[#This Row],[WeekDay]]=7),P623,P623+1)</f>
        <v>445</v>
      </c>
    </row>
    <row r="625" spans="1:19" x14ac:dyDescent="0.25">
      <c r="A625" s="2">
        <v>43359</v>
      </c>
      <c r="B625" s="1">
        <f t="shared" si="48"/>
        <v>38</v>
      </c>
      <c r="C625">
        <f t="shared" si="50"/>
        <v>9</v>
      </c>
      <c r="D625" t="str">
        <f t="shared" si="51"/>
        <v>September</v>
      </c>
      <c r="E625">
        <f t="shared" si="52"/>
        <v>2018</v>
      </c>
      <c r="F625" t="str">
        <f>CONCATENATE(calendar[[#This Row],[Month]],"/",calendar[[#This Row],[Year]])</f>
        <v>9/2018</v>
      </c>
      <c r="G625">
        <f>WEEKDAY(calendar[[#This Row],[Date]],1)</f>
        <v>1</v>
      </c>
      <c r="H625" t="str">
        <f>TEXT(calendar[[#This Row],[WeekDay]],"dddd")</f>
        <v>Sunday</v>
      </c>
      <c r="I625">
        <f>IF((INT(calendar[[#This Row],[Count]]/7)-calendar[[#This Row],[Count]]/7)&lt;0,I624,I624+1)</f>
        <v>90</v>
      </c>
      <c r="J625">
        <f t="shared" si="49"/>
        <v>623</v>
      </c>
      <c r="K625">
        <f>IF(calendar[[#This Row],[Month]]&lt;4,1,IF(calendar[[#This Row],[Month]]&lt;7,2,IF(calendar[[#This Row],[Month]]&lt;10,3,4)))</f>
        <v>3</v>
      </c>
      <c r="L625">
        <f>IFERROR(IF(VLOOKUP(calendar[[#This Row],[Date]],BH!A:A,1,)&lt;&gt;"",1,0),0)</f>
        <v>0</v>
      </c>
      <c r="M625">
        <f>IFERROR(IF(VLOOKUP(calendar[[#This Row],[Date]],BH!C:C,1,)&lt;&gt;"",1,0),0)</f>
        <v>0</v>
      </c>
      <c r="N625">
        <f>IFERROR(IF(VLOOKUP(calendar[[#This Row],[Date]],BH!E:E,1,)&lt;&gt;"",1,0),0)</f>
        <v>0</v>
      </c>
      <c r="O625">
        <f>IFERROR(IF(VLOOKUP(calendar[[#This Row],[Date]],BH!G:G,1,)&lt;&gt;"",1,0),0)</f>
        <v>0</v>
      </c>
      <c r="P625">
        <f>IF(OR(calendar[[#This Row],[UK_BH]]=1,calendar[[#This Row],[WeekDay]]=1, calendar[[#This Row],[WeekDay]]=7),P624,P624+1)</f>
        <v>445</v>
      </c>
      <c r="Q625">
        <f>IF(OR(calendar[[#This Row],[FR_BH]]=1,calendar[[#This Row],[WeekDay]]=1, calendar[[#This Row],[WeekDay]]=7),P624,P624+1)</f>
        <v>445</v>
      </c>
      <c r="R625">
        <f>IF(OR(calendar[[#This Row],[SP_BH]]=1,calendar[[#This Row],[WeekDay]]=1, calendar[[#This Row],[WeekDay]]=7),P624,P624+1)</f>
        <v>445</v>
      </c>
      <c r="S625">
        <f>IF(OR(calendar[[#This Row],[PT_BH]]=1,calendar[[#This Row],[WeekDay]]=1, calendar[[#This Row],[WeekDay]]=7),P624,P624+1)</f>
        <v>445</v>
      </c>
    </row>
    <row r="626" spans="1:19" x14ac:dyDescent="0.25">
      <c r="A626" s="2">
        <v>43360</v>
      </c>
      <c r="B626" s="1">
        <f t="shared" si="48"/>
        <v>38</v>
      </c>
      <c r="C626">
        <f t="shared" si="50"/>
        <v>9</v>
      </c>
      <c r="D626" t="str">
        <f t="shared" si="51"/>
        <v>September</v>
      </c>
      <c r="E626">
        <f t="shared" si="52"/>
        <v>2018</v>
      </c>
      <c r="F626" t="str">
        <f>CONCATENATE(calendar[[#This Row],[Month]],"/",calendar[[#This Row],[Year]])</f>
        <v>9/2018</v>
      </c>
      <c r="G626">
        <f>WEEKDAY(calendar[[#This Row],[Date]],1)</f>
        <v>2</v>
      </c>
      <c r="H626" t="str">
        <f>TEXT(calendar[[#This Row],[WeekDay]],"dddd")</f>
        <v>Monday</v>
      </c>
      <c r="I626">
        <f>IF((INT(calendar[[#This Row],[Count]]/7)-calendar[[#This Row],[Count]]/7)&lt;0,I625,I625+1)</f>
        <v>90</v>
      </c>
      <c r="J626">
        <f t="shared" si="49"/>
        <v>624</v>
      </c>
      <c r="K626">
        <f>IF(calendar[[#This Row],[Month]]&lt;4,1,IF(calendar[[#This Row],[Month]]&lt;7,2,IF(calendar[[#This Row],[Month]]&lt;10,3,4)))</f>
        <v>3</v>
      </c>
      <c r="L626">
        <f>IFERROR(IF(VLOOKUP(calendar[[#This Row],[Date]],BH!A:A,1,)&lt;&gt;"",1,0),0)</f>
        <v>0</v>
      </c>
      <c r="M626">
        <f>IFERROR(IF(VLOOKUP(calendar[[#This Row],[Date]],BH!C:C,1,)&lt;&gt;"",1,0),0)</f>
        <v>0</v>
      </c>
      <c r="N626">
        <f>IFERROR(IF(VLOOKUP(calendar[[#This Row],[Date]],BH!E:E,1,)&lt;&gt;"",1,0),0)</f>
        <v>0</v>
      </c>
      <c r="O626">
        <f>IFERROR(IF(VLOOKUP(calendar[[#This Row],[Date]],BH!G:G,1,)&lt;&gt;"",1,0),0)</f>
        <v>0</v>
      </c>
      <c r="P626">
        <f>IF(OR(calendar[[#This Row],[UK_BH]]=1,calendar[[#This Row],[WeekDay]]=1, calendar[[#This Row],[WeekDay]]=7),P625,P625+1)</f>
        <v>446</v>
      </c>
      <c r="Q626">
        <f>IF(OR(calendar[[#This Row],[FR_BH]]=1,calendar[[#This Row],[WeekDay]]=1, calendar[[#This Row],[WeekDay]]=7),P625,P625+1)</f>
        <v>446</v>
      </c>
      <c r="R626">
        <f>IF(OR(calendar[[#This Row],[SP_BH]]=1,calendar[[#This Row],[WeekDay]]=1, calendar[[#This Row],[WeekDay]]=7),P625,P625+1)</f>
        <v>446</v>
      </c>
      <c r="S626">
        <f>IF(OR(calendar[[#This Row],[PT_BH]]=1,calendar[[#This Row],[WeekDay]]=1, calendar[[#This Row],[WeekDay]]=7),P625,P625+1)</f>
        <v>446</v>
      </c>
    </row>
    <row r="627" spans="1:19" x14ac:dyDescent="0.25">
      <c r="A627" s="2">
        <v>43361</v>
      </c>
      <c r="B627" s="1">
        <f t="shared" si="48"/>
        <v>38</v>
      </c>
      <c r="C627">
        <f t="shared" si="50"/>
        <v>9</v>
      </c>
      <c r="D627" t="str">
        <f t="shared" si="51"/>
        <v>September</v>
      </c>
      <c r="E627">
        <f t="shared" si="52"/>
        <v>2018</v>
      </c>
      <c r="F627" t="str">
        <f>CONCATENATE(calendar[[#This Row],[Month]],"/",calendar[[#This Row],[Year]])</f>
        <v>9/2018</v>
      </c>
      <c r="G627">
        <f>WEEKDAY(calendar[[#This Row],[Date]],1)</f>
        <v>3</v>
      </c>
      <c r="H627" t="str">
        <f>TEXT(calendar[[#This Row],[WeekDay]],"dddd")</f>
        <v>Tuesday</v>
      </c>
      <c r="I627">
        <f>IF((INT(calendar[[#This Row],[Count]]/7)-calendar[[#This Row],[Count]]/7)&lt;0,I626,I626+1)</f>
        <v>90</v>
      </c>
      <c r="J627">
        <f t="shared" si="49"/>
        <v>625</v>
      </c>
      <c r="K627">
        <f>IF(calendar[[#This Row],[Month]]&lt;4,1,IF(calendar[[#This Row],[Month]]&lt;7,2,IF(calendar[[#This Row],[Month]]&lt;10,3,4)))</f>
        <v>3</v>
      </c>
      <c r="L627">
        <f>IFERROR(IF(VLOOKUP(calendar[[#This Row],[Date]],BH!A:A,1,)&lt;&gt;"",1,0),0)</f>
        <v>0</v>
      </c>
      <c r="M627">
        <f>IFERROR(IF(VLOOKUP(calendar[[#This Row],[Date]],BH!C:C,1,)&lt;&gt;"",1,0),0)</f>
        <v>0</v>
      </c>
      <c r="N627">
        <f>IFERROR(IF(VLOOKUP(calendar[[#This Row],[Date]],BH!E:E,1,)&lt;&gt;"",1,0),0)</f>
        <v>0</v>
      </c>
      <c r="O627">
        <f>IFERROR(IF(VLOOKUP(calendar[[#This Row],[Date]],BH!G:G,1,)&lt;&gt;"",1,0),0)</f>
        <v>0</v>
      </c>
      <c r="P627">
        <f>IF(OR(calendar[[#This Row],[UK_BH]]=1,calendar[[#This Row],[WeekDay]]=1, calendar[[#This Row],[WeekDay]]=7),P626,P626+1)</f>
        <v>447</v>
      </c>
      <c r="Q627">
        <f>IF(OR(calendar[[#This Row],[FR_BH]]=1,calendar[[#This Row],[WeekDay]]=1, calendar[[#This Row],[WeekDay]]=7),P626,P626+1)</f>
        <v>447</v>
      </c>
      <c r="R627">
        <f>IF(OR(calendar[[#This Row],[SP_BH]]=1,calendar[[#This Row],[WeekDay]]=1, calendar[[#This Row],[WeekDay]]=7),P626,P626+1)</f>
        <v>447</v>
      </c>
      <c r="S627">
        <f>IF(OR(calendar[[#This Row],[PT_BH]]=1,calendar[[#This Row],[WeekDay]]=1, calendar[[#This Row],[WeekDay]]=7),P626,P626+1)</f>
        <v>447</v>
      </c>
    </row>
    <row r="628" spans="1:19" x14ac:dyDescent="0.25">
      <c r="A628" s="2">
        <v>43362</v>
      </c>
      <c r="B628" s="1">
        <f t="shared" si="48"/>
        <v>38</v>
      </c>
      <c r="C628">
        <f t="shared" si="50"/>
        <v>9</v>
      </c>
      <c r="D628" t="str">
        <f t="shared" si="51"/>
        <v>September</v>
      </c>
      <c r="E628">
        <f t="shared" si="52"/>
        <v>2018</v>
      </c>
      <c r="F628" t="str">
        <f>CONCATENATE(calendar[[#This Row],[Month]],"/",calendar[[#This Row],[Year]])</f>
        <v>9/2018</v>
      </c>
      <c r="G628">
        <f>WEEKDAY(calendar[[#This Row],[Date]],1)</f>
        <v>4</v>
      </c>
      <c r="H628" t="str">
        <f>TEXT(calendar[[#This Row],[WeekDay]],"dddd")</f>
        <v>Wednesday</v>
      </c>
      <c r="I628">
        <f>IF((INT(calendar[[#This Row],[Count]]/7)-calendar[[#This Row],[Count]]/7)&lt;0,I627,I627+1)</f>
        <v>90</v>
      </c>
      <c r="J628">
        <f t="shared" si="49"/>
        <v>626</v>
      </c>
      <c r="K628">
        <f>IF(calendar[[#This Row],[Month]]&lt;4,1,IF(calendar[[#This Row],[Month]]&lt;7,2,IF(calendar[[#This Row],[Month]]&lt;10,3,4)))</f>
        <v>3</v>
      </c>
      <c r="L628">
        <f>IFERROR(IF(VLOOKUP(calendar[[#This Row],[Date]],BH!A:A,1,)&lt;&gt;"",1,0),0)</f>
        <v>0</v>
      </c>
      <c r="M628">
        <f>IFERROR(IF(VLOOKUP(calendar[[#This Row],[Date]],BH!C:C,1,)&lt;&gt;"",1,0),0)</f>
        <v>0</v>
      </c>
      <c r="N628">
        <f>IFERROR(IF(VLOOKUP(calendar[[#This Row],[Date]],BH!E:E,1,)&lt;&gt;"",1,0),0)</f>
        <v>0</v>
      </c>
      <c r="O628">
        <f>IFERROR(IF(VLOOKUP(calendar[[#This Row],[Date]],BH!G:G,1,)&lt;&gt;"",1,0),0)</f>
        <v>0</v>
      </c>
      <c r="P628">
        <f>IF(OR(calendar[[#This Row],[UK_BH]]=1,calendar[[#This Row],[WeekDay]]=1, calendar[[#This Row],[WeekDay]]=7),P627,P627+1)</f>
        <v>448</v>
      </c>
      <c r="Q628">
        <f>IF(OR(calendar[[#This Row],[FR_BH]]=1,calendar[[#This Row],[WeekDay]]=1, calendar[[#This Row],[WeekDay]]=7),P627,P627+1)</f>
        <v>448</v>
      </c>
      <c r="R628">
        <f>IF(OR(calendar[[#This Row],[SP_BH]]=1,calendar[[#This Row],[WeekDay]]=1, calendar[[#This Row],[WeekDay]]=7),P627,P627+1)</f>
        <v>448</v>
      </c>
      <c r="S628">
        <f>IF(OR(calendar[[#This Row],[PT_BH]]=1,calendar[[#This Row],[WeekDay]]=1, calendar[[#This Row],[WeekDay]]=7),P627,P627+1)</f>
        <v>448</v>
      </c>
    </row>
    <row r="629" spans="1:19" x14ac:dyDescent="0.25">
      <c r="A629" s="2">
        <v>43363</v>
      </c>
      <c r="B629" s="1">
        <f t="shared" si="48"/>
        <v>38</v>
      </c>
      <c r="C629">
        <f t="shared" si="50"/>
        <v>9</v>
      </c>
      <c r="D629" t="str">
        <f t="shared" si="51"/>
        <v>September</v>
      </c>
      <c r="E629">
        <f t="shared" si="52"/>
        <v>2018</v>
      </c>
      <c r="F629" t="str">
        <f>CONCATENATE(calendar[[#This Row],[Month]],"/",calendar[[#This Row],[Year]])</f>
        <v>9/2018</v>
      </c>
      <c r="G629">
        <f>WEEKDAY(calendar[[#This Row],[Date]],1)</f>
        <v>5</v>
      </c>
      <c r="H629" t="str">
        <f>TEXT(calendar[[#This Row],[WeekDay]],"dddd")</f>
        <v>Thursday</v>
      </c>
      <c r="I629">
        <f>IF((INT(calendar[[#This Row],[Count]]/7)-calendar[[#This Row],[Count]]/7)&lt;0,I628,I628+1)</f>
        <v>90</v>
      </c>
      <c r="J629">
        <f t="shared" si="49"/>
        <v>627</v>
      </c>
      <c r="K629">
        <f>IF(calendar[[#This Row],[Month]]&lt;4,1,IF(calendar[[#This Row],[Month]]&lt;7,2,IF(calendar[[#This Row],[Month]]&lt;10,3,4)))</f>
        <v>3</v>
      </c>
      <c r="L629">
        <f>IFERROR(IF(VLOOKUP(calendar[[#This Row],[Date]],BH!A:A,1,)&lt;&gt;"",1,0),0)</f>
        <v>0</v>
      </c>
      <c r="M629">
        <f>IFERROR(IF(VLOOKUP(calendar[[#This Row],[Date]],BH!C:C,1,)&lt;&gt;"",1,0),0)</f>
        <v>0</v>
      </c>
      <c r="N629">
        <f>IFERROR(IF(VLOOKUP(calendar[[#This Row],[Date]],BH!E:E,1,)&lt;&gt;"",1,0),0)</f>
        <v>0</v>
      </c>
      <c r="O629">
        <f>IFERROR(IF(VLOOKUP(calendar[[#This Row],[Date]],BH!G:G,1,)&lt;&gt;"",1,0),0)</f>
        <v>0</v>
      </c>
      <c r="P629">
        <f>IF(OR(calendar[[#This Row],[UK_BH]]=1,calendar[[#This Row],[WeekDay]]=1, calendar[[#This Row],[WeekDay]]=7),P628,P628+1)</f>
        <v>449</v>
      </c>
      <c r="Q629">
        <f>IF(OR(calendar[[#This Row],[FR_BH]]=1,calendar[[#This Row],[WeekDay]]=1, calendar[[#This Row],[WeekDay]]=7),P628,P628+1)</f>
        <v>449</v>
      </c>
      <c r="R629">
        <f>IF(OR(calendar[[#This Row],[SP_BH]]=1,calendar[[#This Row],[WeekDay]]=1, calendar[[#This Row],[WeekDay]]=7),P628,P628+1)</f>
        <v>449</v>
      </c>
      <c r="S629">
        <f>IF(OR(calendar[[#This Row],[PT_BH]]=1,calendar[[#This Row],[WeekDay]]=1, calendar[[#This Row],[WeekDay]]=7),P628,P628+1)</f>
        <v>449</v>
      </c>
    </row>
    <row r="630" spans="1:19" x14ac:dyDescent="0.25">
      <c r="A630" s="2">
        <v>43364</v>
      </c>
      <c r="B630" s="1">
        <f t="shared" si="48"/>
        <v>38</v>
      </c>
      <c r="C630">
        <f t="shared" si="50"/>
        <v>9</v>
      </c>
      <c r="D630" t="str">
        <f t="shared" si="51"/>
        <v>September</v>
      </c>
      <c r="E630">
        <f t="shared" si="52"/>
        <v>2018</v>
      </c>
      <c r="F630" t="str">
        <f>CONCATENATE(calendar[[#This Row],[Month]],"/",calendar[[#This Row],[Year]])</f>
        <v>9/2018</v>
      </c>
      <c r="G630">
        <f>WEEKDAY(calendar[[#This Row],[Date]],1)</f>
        <v>6</v>
      </c>
      <c r="H630" t="str">
        <f>TEXT(calendar[[#This Row],[WeekDay]],"dddd")</f>
        <v>Friday</v>
      </c>
      <c r="I630">
        <f>IF((INT(calendar[[#This Row],[Count]]/7)-calendar[[#This Row],[Count]]/7)&lt;0,I629,I629+1)</f>
        <v>90</v>
      </c>
      <c r="J630">
        <f t="shared" si="49"/>
        <v>628</v>
      </c>
      <c r="K630">
        <f>IF(calendar[[#This Row],[Month]]&lt;4,1,IF(calendar[[#This Row],[Month]]&lt;7,2,IF(calendar[[#This Row],[Month]]&lt;10,3,4)))</f>
        <v>3</v>
      </c>
      <c r="L630">
        <f>IFERROR(IF(VLOOKUP(calendar[[#This Row],[Date]],BH!A:A,1,)&lt;&gt;"",1,0),0)</f>
        <v>0</v>
      </c>
      <c r="M630">
        <f>IFERROR(IF(VLOOKUP(calendar[[#This Row],[Date]],BH!C:C,1,)&lt;&gt;"",1,0),0)</f>
        <v>0</v>
      </c>
      <c r="N630">
        <f>IFERROR(IF(VLOOKUP(calendar[[#This Row],[Date]],BH!E:E,1,)&lt;&gt;"",1,0),0)</f>
        <v>0</v>
      </c>
      <c r="O630">
        <f>IFERROR(IF(VLOOKUP(calendar[[#This Row],[Date]],BH!G:G,1,)&lt;&gt;"",1,0),0)</f>
        <v>0</v>
      </c>
      <c r="P630">
        <f>IF(OR(calendar[[#This Row],[UK_BH]]=1,calendar[[#This Row],[WeekDay]]=1, calendar[[#This Row],[WeekDay]]=7),P629,P629+1)</f>
        <v>450</v>
      </c>
      <c r="Q630">
        <f>IF(OR(calendar[[#This Row],[FR_BH]]=1,calendar[[#This Row],[WeekDay]]=1, calendar[[#This Row],[WeekDay]]=7),P629,P629+1)</f>
        <v>450</v>
      </c>
      <c r="R630">
        <f>IF(OR(calendar[[#This Row],[SP_BH]]=1,calendar[[#This Row],[WeekDay]]=1, calendar[[#This Row],[WeekDay]]=7),P629,P629+1)</f>
        <v>450</v>
      </c>
      <c r="S630">
        <f>IF(OR(calendar[[#This Row],[PT_BH]]=1,calendar[[#This Row],[WeekDay]]=1, calendar[[#This Row],[WeekDay]]=7),P629,P629+1)</f>
        <v>450</v>
      </c>
    </row>
    <row r="631" spans="1:19" x14ac:dyDescent="0.25">
      <c r="A631" s="2">
        <v>43365</v>
      </c>
      <c r="B631" s="1">
        <f t="shared" si="48"/>
        <v>38</v>
      </c>
      <c r="C631">
        <f t="shared" si="50"/>
        <v>9</v>
      </c>
      <c r="D631" t="str">
        <f t="shared" si="51"/>
        <v>September</v>
      </c>
      <c r="E631">
        <f t="shared" si="52"/>
        <v>2018</v>
      </c>
      <c r="F631" t="str">
        <f>CONCATENATE(calendar[[#This Row],[Month]],"/",calendar[[#This Row],[Year]])</f>
        <v>9/2018</v>
      </c>
      <c r="G631">
        <f>WEEKDAY(calendar[[#This Row],[Date]],1)</f>
        <v>7</v>
      </c>
      <c r="H631" t="str">
        <f>TEXT(calendar[[#This Row],[WeekDay]],"dddd")</f>
        <v>Saturday</v>
      </c>
      <c r="I631">
        <f>IF((INT(calendar[[#This Row],[Count]]/7)-calendar[[#This Row],[Count]]/7)&lt;0,I630,I630+1)</f>
        <v>90</v>
      </c>
      <c r="J631">
        <f t="shared" si="49"/>
        <v>629</v>
      </c>
      <c r="K631">
        <f>IF(calendar[[#This Row],[Month]]&lt;4,1,IF(calendar[[#This Row],[Month]]&lt;7,2,IF(calendar[[#This Row],[Month]]&lt;10,3,4)))</f>
        <v>3</v>
      </c>
      <c r="L631">
        <f>IFERROR(IF(VLOOKUP(calendar[[#This Row],[Date]],BH!A:A,1,)&lt;&gt;"",1,0),0)</f>
        <v>0</v>
      </c>
      <c r="M631">
        <f>IFERROR(IF(VLOOKUP(calendar[[#This Row],[Date]],BH!C:C,1,)&lt;&gt;"",1,0),0)</f>
        <v>0</v>
      </c>
      <c r="N631">
        <f>IFERROR(IF(VLOOKUP(calendar[[#This Row],[Date]],BH!E:E,1,)&lt;&gt;"",1,0),0)</f>
        <v>0</v>
      </c>
      <c r="O631">
        <f>IFERROR(IF(VLOOKUP(calendar[[#This Row],[Date]],BH!G:G,1,)&lt;&gt;"",1,0),0)</f>
        <v>0</v>
      </c>
      <c r="P631">
        <f>IF(OR(calendar[[#This Row],[UK_BH]]=1,calendar[[#This Row],[WeekDay]]=1, calendar[[#This Row],[WeekDay]]=7),P630,P630+1)</f>
        <v>450</v>
      </c>
      <c r="Q631">
        <f>IF(OR(calendar[[#This Row],[FR_BH]]=1,calendar[[#This Row],[WeekDay]]=1, calendar[[#This Row],[WeekDay]]=7),P630,P630+1)</f>
        <v>450</v>
      </c>
      <c r="R631">
        <f>IF(OR(calendar[[#This Row],[SP_BH]]=1,calendar[[#This Row],[WeekDay]]=1, calendar[[#This Row],[WeekDay]]=7),P630,P630+1)</f>
        <v>450</v>
      </c>
      <c r="S631">
        <f>IF(OR(calendar[[#This Row],[PT_BH]]=1,calendar[[#This Row],[WeekDay]]=1, calendar[[#This Row],[WeekDay]]=7),P630,P630+1)</f>
        <v>450</v>
      </c>
    </row>
    <row r="632" spans="1:19" x14ac:dyDescent="0.25">
      <c r="A632" s="2">
        <v>43366</v>
      </c>
      <c r="B632" s="1">
        <f t="shared" si="48"/>
        <v>39</v>
      </c>
      <c r="C632">
        <f t="shared" si="50"/>
        <v>9</v>
      </c>
      <c r="D632" t="str">
        <f t="shared" si="51"/>
        <v>September</v>
      </c>
      <c r="E632">
        <f t="shared" si="52"/>
        <v>2018</v>
      </c>
      <c r="F632" t="str">
        <f>CONCATENATE(calendar[[#This Row],[Month]],"/",calendar[[#This Row],[Year]])</f>
        <v>9/2018</v>
      </c>
      <c r="G632">
        <f>WEEKDAY(calendar[[#This Row],[Date]],1)</f>
        <v>1</v>
      </c>
      <c r="H632" t="str">
        <f>TEXT(calendar[[#This Row],[WeekDay]],"dddd")</f>
        <v>Sunday</v>
      </c>
      <c r="I632">
        <f>IF((INT(calendar[[#This Row],[Count]]/7)-calendar[[#This Row],[Count]]/7)&lt;0,I631,I631+1)</f>
        <v>91</v>
      </c>
      <c r="J632">
        <f t="shared" si="49"/>
        <v>630</v>
      </c>
      <c r="K632">
        <f>IF(calendar[[#This Row],[Month]]&lt;4,1,IF(calendar[[#This Row],[Month]]&lt;7,2,IF(calendar[[#This Row],[Month]]&lt;10,3,4)))</f>
        <v>3</v>
      </c>
      <c r="L632">
        <f>IFERROR(IF(VLOOKUP(calendar[[#This Row],[Date]],BH!A:A,1,)&lt;&gt;"",1,0),0)</f>
        <v>0</v>
      </c>
      <c r="M632">
        <f>IFERROR(IF(VLOOKUP(calendar[[#This Row],[Date]],BH!C:C,1,)&lt;&gt;"",1,0),0)</f>
        <v>0</v>
      </c>
      <c r="N632">
        <f>IFERROR(IF(VLOOKUP(calendar[[#This Row],[Date]],BH!E:E,1,)&lt;&gt;"",1,0),0)</f>
        <v>0</v>
      </c>
      <c r="O632">
        <f>IFERROR(IF(VLOOKUP(calendar[[#This Row],[Date]],BH!G:G,1,)&lt;&gt;"",1,0),0)</f>
        <v>0</v>
      </c>
      <c r="P632">
        <f>IF(OR(calendar[[#This Row],[UK_BH]]=1,calendar[[#This Row],[WeekDay]]=1, calendar[[#This Row],[WeekDay]]=7),P631,P631+1)</f>
        <v>450</v>
      </c>
      <c r="Q632">
        <f>IF(OR(calendar[[#This Row],[FR_BH]]=1,calendar[[#This Row],[WeekDay]]=1, calendar[[#This Row],[WeekDay]]=7),P631,P631+1)</f>
        <v>450</v>
      </c>
      <c r="R632">
        <f>IF(OR(calendar[[#This Row],[SP_BH]]=1,calendar[[#This Row],[WeekDay]]=1, calendar[[#This Row],[WeekDay]]=7),P631,P631+1)</f>
        <v>450</v>
      </c>
      <c r="S632">
        <f>IF(OR(calendar[[#This Row],[PT_BH]]=1,calendar[[#This Row],[WeekDay]]=1, calendar[[#This Row],[WeekDay]]=7),P631,P631+1)</f>
        <v>450</v>
      </c>
    </row>
    <row r="633" spans="1:19" x14ac:dyDescent="0.25">
      <c r="A633" s="2">
        <v>43367</v>
      </c>
      <c r="B633" s="1">
        <f t="shared" si="48"/>
        <v>39</v>
      </c>
      <c r="C633">
        <f t="shared" si="50"/>
        <v>9</v>
      </c>
      <c r="D633" t="str">
        <f t="shared" si="51"/>
        <v>September</v>
      </c>
      <c r="E633">
        <f t="shared" si="52"/>
        <v>2018</v>
      </c>
      <c r="F633" t="str">
        <f>CONCATENATE(calendar[[#This Row],[Month]],"/",calendar[[#This Row],[Year]])</f>
        <v>9/2018</v>
      </c>
      <c r="G633">
        <f>WEEKDAY(calendar[[#This Row],[Date]],1)</f>
        <v>2</v>
      </c>
      <c r="H633" t="str">
        <f>TEXT(calendar[[#This Row],[WeekDay]],"dddd")</f>
        <v>Monday</v>
      </c>
      <c r="I633">
        <f>IF((INT(calendar[[#This Row],[Count]]/7)-calendar[[#This Row],[Count]]/7)&lt;0,I632,I632+1)</f>
        <v>91</v>
      </c>
      <c r="J633">
        <f t="shared" si="49"/>
        <v>631</v>
      </c>
      <c r="K633">
        <f>IF(calendar[[#This Row],[Month]]&lt;4,1,IF(calendar[[#This Row],[Month]]&lt;7,2,IF(calendar[[#This Row],[Month]]&lt;10,3,4)))</f>
        <v>3</v>
      </c>
      <c r="L633">
        <f>IFERROR(IF(VLOOKUP(calendar[[#This Row],[Date]],BH!A:A,1,)&lt;&gt;"",1,0),0)</f>
        <v>0</v>
      </c>
      <c r="M633">
        <f>IFERROR(IF(VLOOKUP(calendar[[#This Row],[Date]],BH!C:C,1,)&lt;&gt;"",1,0),0)</f>
        <v>0</v>
      </c>
      <c r="N633">
        <f>IFERROR(IF(VLOOKUP(calendar[[#This Row],[Date]],BH!E:E,1,)&lt;&gt;"",1,0),0)</f>
        <v>0</v>
      </c>
      <c r="O633">
        <f>IFERROR(IF(VLOOKUP(calendar[[#This Row],[Date]],BH!G:G,1,)&lt;&gt;"",1,0),0)</f>
        <v>0</v>
      </c>
      <c r="P633">
        <f>IF(OR(calendar[[#This Row],[UK_BH]]=1,calendar[[#This Row],[WeekDay]]=1, calendar[[#This Row],[WeekDay]]=7),P632,P632+1)</f>
        <v>451</v>
      </c>
      <c r="Q633">
        <f>IF(OR(calendar[[#This Row],[FR_BH]]=1,calendar[[#This Row],[WeekDay]]=1, calendar[[#This Row],[WeekDay]]=7),P632,P632+1)</f>
        <v>451</v>
      </c>
      <c r="R633">
        <f>IF(OR(calendar[[#This Row],[SP_BH]]=1,calendar[[#This Row],[WeekDay]]=1, calendar[[#This Row],[WeekDay]]=7),P632,P632+1)</f>
        <v>451</v>
      </c>
      <c r="S633">
        <f>IF(OR(calendar[[#This Row],[PT_BH]]=1,calendar[[#This Row],[WeekDay]]=1, calendar[[#This Row],[WeekDay]]=7),P632,P632+1)</f>
        <v>451</v>
      </c>
    </row>
    <row r="634" spans="1:19" x14ac:dyDescent="0.25">
      <c r="A634" s="2">
        <v>43368</v>
      </c>
      <c r="B634" s="1">
        <f t="shared" si="48"/>
        <v>39</v>
      </c>
      <c r="C634">
        <f t="shared" si="50"/>
        <v>9</v>
      </c>
      <c r="D634" t="str">
        <f t="shared" si="51"/>
        <v>September</v>
      </c>
      <c r="E634">
        <f t="shared" si="52"/>
        <v>2018</v>
      </c>
      <c r="F634" t="str">
        <f>CONCATENATE(calendar[[#This Row],[Month]],"/",calendar[[#This Row],[Year]])</f>
        <v>9/2018</v>
      </c>
      <c r="G634">
        <f>WEEKDAY(calendar[[#This Row],[Date]],1)</f>
        <v>3</v>
      </c>
      <c r="H634" t="str">
        <f>TEXT(calendar[[#This Row],[WeekDay]],"dddd")</f>
        <v>Tuesday</v>
      </c>
      <c r="I634">
        <f>IF((INT(calendar[[#This Row],[Count]]/7)-calendar[[#This Row],[Count]]/7)&lt;0,I633,I633+1)</f>
        <v>91</v>
      </c>
      <c r="J634">
        <f t="shared" si="49"/>
        <v>632</v>
      </c>
      <c r="K634">
        <f>IF(calendar[[#This Row],[Month]]&lt;4,1,IF(calendar[[#This Row],[Month]]&lt;7,2,IF(calendar[[#This Row],[Month]]&lt;10,3,4)))</f>
        <v>3</v>
      </c>
      <c r="L634">
        <f>IFERROR(IF(VLOOKUP(calendar[[#This Row],[Date]],BH!A:A,1,)&lt;&gt;"",1,0),0)</f>
        <v>0</v>
      </c>
      <c r="M634">
        <f>IFERROR(IF(VLOOKUP(calendar[[#This Row],[Date]],BH!C:C,1,)&lt;&gt;"",1,0),0)</f>
        <v>0</v>
      </c>
      <c r="N634">
        <f>IFERROR(IF(VLOOKUP(calendar[[#This Row],[Date]],BH!E:E,1,)&lt;&gt;"",1,0),0)</f>
        <v>0</v>
      </c>
      <c r="O634">
        <f>IFERROR(IF(VLOOKUP(calendar[[#This Row],[Date]],BH!G:G,1,)&lt;&gt;"",1,0),0)</f>
        <v>0</v>
      </c>
      <c r="P634">
        <f>IF(OR(calendar[[#This Row],[UK_BH]]=1,calendar[[#This Row],[WeekDay]]=1, calendar[[#This Row],[WeekDay]]=7),P633,P633+1)</f>
        <v>452</v>
      </c>
      <c r="Q634">
        <f>IF(OR(calendar[[#This Row],[FR_BH]]=1,calendar[[#This Row],[WeekDay]]=1, calendar[[#This Row],[WeekDay]]=7),P633,P633+1)</f>
        <v>452</v>
      </c>
      <c r="R634">
        <f>IF(OR(calendar[[#This Row],[SP_BH]]=1,calendar[[#This Row],[WeekDay]]=1, calendar[[#This Row],[WeekDay]]=7),P633,P633+1)</f>
        <v>452</v>
      </c>
      <c r="S634">
        <f>IF(OR(calendar[[#This Row],[PT_BH]]=1,calendar[[#This Row],[WeekDay]]=1, calendar[[#This Row],[WeekDay]]=7),P633,P633+1)</f>
        <v>452</v>
      </c>
    </row>
    <row r="635" spans="1:19" x14ac:dyDescent="0.25">
      <c r="A635" s="2">
        <v>43369</v>
      </c>
      <c r="B635" s="1">
        <f t="shared" si="48"/>
        <v>39</v>
      </c>
      <c r="C635">
        <f t="shared" si="50"/>
        <v>9</v>
      </c>
      <c r="D635" t="str">
        <f t="shared" si="51"/>
        <v>September</v>
      </c>
      <c r="E635">
        <f t="shared" si="52"/>
        <v>2018</v>
      </c>
      <c r="F635" t="str">
        <f>CONCATENATE(calendar[[#This Row],[Month]],"/",calendar[[#This Row],[Year]])</f>
        <v>9/2018</v>
      </c>
      <c r="G635">
        <f>WEEKDAY(calendar[[#This Row],[Date]],1)</f>
        <v>4</v>
      </c>
      <c r="H635" t="str">
        <f>TEXT(calendar[[#This Row],[WeekDay]],"dddd")</f>
        <v>Wednesday</v>
      </c>
      <c r="I635">
        <f>IF((INT(calendar[[#This Row],[Count]]/7)-calendar[[#This Row],[Count]]/7)&lt;0,I634,I634+1)</f>
        <v>91</v>
      </c>
      <c r="J635">
        <f t="shared" si="49"/>
        <v>633</v>
      </c>
      <c r="K635">
        <f>IF(calendar[[#This Row],[Month]]&lt;4,1,IF(calendar[[#This Row],[Month]]&lt;7,2,IF(calendar[[#This Row],[Month]]&lt;10,3,4)))</f>
        <v>3</v>
      </c>
      <c r="L635">
        <f>IFERROR(IF(VLOOKUP(calendar[[#This Row],[Date]],BH!A:A,1,)&lt;&gt;"",1,0),0)</f>
        <v>0</v>
      </c>
      <c r="M635">
        <f>IFERROR(IF(VLOOKUP(calendar[[#This Row],[Date]],BH!C:C,1,)&lt;&gt;"",1,0),0)</f>
        <v>0</v>
      </c>
      <c r="N635">
        <f>IFERROR(IF(VLOOKUP(calendar[[#This Row],[Date]],BH!E:E,1,)&lt;&gt;"",1,0),0)</f>
        <v>0</v>
      </c>
      <c r="O635">
        <f>IFERROR(IF(VLOOKUP(calendar[[#This Row],[Date]],BH!G:G,1,)&lt;&gt;"",1,0),0)</f>
        <v>0</v>
      </c>
      <c r="P635">
        <f>IF(OR(calendar[[#This Row],[UK_BH]]=1,calendar[[#This Row],[WeekDay]]=1, calendar[[#This Row],[WeekDay]]=7),P634,P634+1)</f>
        <v>453</v>
      </c>
      <c r="Q635">
        <f>IF(OR(calendar[[#This Row],[FR_BH]]=1,calendar[[#This Row],[WeekDay]]=1, calendar[[#This Row],[WeekDay]]=7),P634,P634+1)</f>
        <v>453</v>
      </c>
      <c r="R635">
        <f>IF(OR(calendar[[#This Row],[SP_BH]]=1,calendar[[#This Row],[WeekDay]]=1, calendar[[#This Row],[WeekDay]]=7),P634,P634+1)</f>
        <v>453</v>
      </c>
      <c r="S635">
        <f>IF(OR(calendar[[#This Row],[PT_BH]]=1,calendar[[#This Row],[WeekDay]]=1, calendar[[#This Row],[WeekDay]]=7),P634,P634+1)</f>
        <v>453</v>
      </c>
    </row>
    <row r="636" spans="1:19" x14ac:dyDescent="0.25">
      <c r="A636" s="2">
        <v>43370</v>
      </c>
      <c r="B636" s="1">
        <f t="shared" si="48"/>
        <v>39</v>
      </c>
      <c r="C636">
        <f t="shared" si="50"/>
        <v>9</v>
      </c>
      <c r="D636" t="str">
        <f t="shared" si="51"/>
        <v>September</v>
      </c>
      <c r="E636">
        <f t="shared" si="52"/>
        <v>2018</v>
      </c>
      <c r="F636" t="str">
        <f>CONCATENATE(calendar[[#This Row],[Month]],"/",calendar[[#This Row],[Year]])</f>
        <v>9/2018</v>
      </c>
      <c r="G636">
        <f>WEEKDAY(calendar[[#This Row],[Date]],1)</f>
        <v>5</v>
      </c>
      <c r="H636" t="str">
        <f>TEXT(calendar[[#This Row],[WeekDay]],"dddd")</f>
        <v>Thursday</v>
      </c>
      <c r="I636">
        <f>IF((INT(calendar[[#This Row],[Count]]/7)-calendar[[#This Row],[Count]]/7)&lt;0,I635,I635+1)</f>
        <v>91</v>
      </c>
      <c r="J636">
        <f t="shared" si="49"/>
        <v>634</v>
      </c>
      <c r="K636">
        <f>IF(calendar[[#This Row],[Month]]&lt;4,1,IF(calendar[[#This Row],[Month]]&lt;7,2,IF(calendar[[#This Row],[Month]]&lt;10,3,4)))</f>
        <v>3</v>
      </c>
      <c r="L636">
        <f>IFERROR(IF(VLOOKUP(calendar[[#This Row],[Date]],BH!A:A,1,)&lt;&gt;"",1,0),0)</f>
        <v>0</v>
      </c>
      <c r="M636">
        <f>IFERROR(IF(VLOOKUP(calendar[[#This Row],[Date]],BH!C:C,1,)&lt;&gt;"",1,0),0)</f>
        <v>0</v>
      </c>
      <c r="N636">
        <f>IFERROR(IF(VLOOKUP(calendar[[#This Row],[Date]],BH!E:E,1,)&lt;&gt;"",1,0),0)</f>
        <v>0</v>
      </c>
      <c r="O636">
        <f>IFERROR(IF(VLOOKUP(calendar[[#This Row],[Date]],BH!G:G,1,)&lt;&gt;"",1,0),0)</f>
        <v>0</v>
      </c>
      <c r="P636">
        <f>IF(OR(calendar[[#This Row],[UK_BH]]=1,calendar[[#This Row],[WeekDay]]=1, calendar[[#This Row],[WeekDay]]=7),P635,P635+1)</f>
        <v>454</v>
      </c>
      <c r="Q636">
        <f>IF(OR(calendar[[#This Row],[FR_BH]]=1,calendar[[#This Row],[WeekDay]]=1, calendar[[#This Row],[WeekDay]]=7),P635,P635+1)</f>
        <v>454</v>
      </c>
      <c r="R636">
        <f>IF(OR(calendar[[#This Row],[SP_BH]]=1,calendar[[#This Row],[WeekDay]]=1, calendar[[#This Row],[WeekDay]]=7),P635,P635+1)</f>
        <v>454</v>
      </c>
      <c r="S636">
        <f>IF(OR(calendar[[#This Row],[PT_BH]]=1,calendar[[#This Row],[WeekDay]]=1, calendar[[#This Row],[WeekDay]]=7),P635,P635+1)</f>
        <v>454</v>
      </c>
    </row>
    <row r="637" spans="1:19" x14ac:dyDescent="0.25">
      <c r="A637" s="2">
        <v>43371</v>
      </c>
      <c r="B637" s="1">
        <f t="shared" si="48"/>
        <v>39</v>
      </c>
      <c r="C637">
        <f t="shared" si="50"/>
        <v>9</v>
      </c>
      <c r="D637" t="str">
        <f t="shared" si="51"/>
        <v>September</v>
      </c>
      <c r="E637">
        <f t="shared" si="52"/>
        <v>2018</v>
      </c>
      <c r="F637" t="str">
        <f>CONCATENATE(calendar[[#This Row],[Month]],"/",calendar[[#This Row],[Year]])</f>
        <v>9/2018</v>
      </c>
      <c r="G637">
        <f>WEEKDAY(calendar[[#This Row],[Date]],1)</f>
        <v>6</v>
      </c>
      <c r="H637" t="str">
        <f>TEXT(calendar[[#This Row],[WeekDay]],"dddd")</f>
        <v>Friday</v>
      </c>
      <c r="I637">
        <f>IF((INT(calendar[[#This Row],[Count]]/7)-calendar[[#This Row],[Count]]/7)&lt;0,I636,I636+1)</f>
        <v>91</v>
      </c>
      <c r="J637">
        <f t="shared" si="49"/>
        <v>635</v>
      </c>
      <c r="K637">
        <f>IF(calendar[[#This Row],[Month]]&lt;4,1,IF(calendar[[#This Row],[Month]]&lt;7,2,IF(calendar[[#This Row],[Month]]&lt;10,3,4)))</f>
        <v>3</v>
      </c>
      <c r="L637">
        <f>IFERROR(IF(VLOOKUP(calendar[[#This Row],[Date]],BH!A:A,1,)&lt;&gt;"",1,0),0)</f>
        <v>0</v>
      </c>
      <c r="M637">
        <f>IFERROR(IF(VLOOKUP(calendar[[#This Row],[Date]],BH!C:C,1,)&lt;&gt;"",1,0),0)</f>
        <v>0</v>
      </c>
      <c r="N637">
        <f>IFERROR(IF(VLOOKUP(calendar[[#This Row],[Date]],BH!E:E,1,)&lt;&gt;"",1,0),0)</f>
        <v>0</v>
      </c>
      <c r="O637">
        <f>IFERROR(IF(VLOOKUP(calendar[[#This Row],[Date]],BH!G:G,1,)&lt;&gt;"",1,0),0)</f>
        <v>0</v>
      </c>
      <c r="P637">
        <f>IF(OR(calendar[[#This Row],[UK_BH]]=1,calendar[[#This Row],[WeekDay]]=1, calendar[[#This Row],[WeekDay]]=7),P636,P636+1)</f>
        <v>455</v>
      </c>
      <c r="Q637">
        <f>IF(OR(calendar[[#This Row],[FR_BH]]=1,calendar[[#This Row],[WeekDay]]=1, calendar[[#This Row],[WeekDay]]=7),P636,P636+1)</f>
        <v>455</v>
      </c>
      <c r="R637">
        <f>IF(OR(calendar[[#This Row],[SP_BH]]=1,calendar[[#This Row],[WeekDay]]=1, calendar[[#This Row],[WeekDay]]=7),P636,P636+1)</f>
        <v>455</v>
      </c>
      <c r="S637">
        <f>IF(OR(calendar[[#This Row],[PT_BH]]=1,calendar[[#This Row],[WeekDay]]=1, calendar[[#This Row],[WeekDay]]=7),P636,P636+1)</f>
        <v>455</v>
      </c>
    </row>
    <row r="638" spans="1:19" x14ac:dyDescent="0.25">
      <c r="A638" s="2">
        <v>43372</v>
      </c>
      <c r="B638" s="1">
        <f t="shared" si="48"/>
        <v>39</v>
      </c>
      <c r="C638">
        <f t="shared" si="50"/>
        <v>9</v>
      </c>
      <c r="D638" t="str">
        <f t="shared" si="51"/>
        <v>September</v>
      </c>
      <c r="E638">
        <f t="shared" si="52"/>
        <v>2018</v>
      </c>
      <c r="F638" t="str">
        <f>CONCATENATE(calendar[[#This Row],[Month]],"/",calendar[[#This Row],[Year]])</f>
        <v>9/2018</v>
      </c>
      <c r="G638">
        <f>WEEKDAY(calendar[[#This Row],[Date]],1)</f>
        <v>7</v>
      </c>
      <c r="H638" t="str">
        <f>TEXT(calendar[[#This Row],[WeekDay]],"dddd")</f>
        <v>Saturday</v>
      </c>
      <c r="I638">
        <f>IF((INT(calendar[[#This Row],[Count]]/7)-calendar[[#This Row],[Count]]/7)&lt;0,I637,I637+1)</f>
        <v>91</v>
      </c>
      <c r="J638">
        <f t="shared" si="49"/>
        <v>636</v>
      </c>
      <c r="K638">
        <f>IF(calendar[[#This Row],[Month]]&lt;4,1,IF(calendar[[#This Row],[Month]]&lt;7,2,IF(calendar[[#This Row],[Month]]&lt;10,3,4)))</f>
        <v>3</v>
      </c>
      <c r="L638">
        <f>IFERROR(IF(VLOOKUP(calendar[[#This Row],[Date]],BH!A:A,1,)&lt;&gt;"",1,0),0)</f>
        <v>0</v>
      </c>
      <c r="M638">
        <f>IFERROR(IF(VLOOKUP(calendar[[#This Row],[Date]],BH!C:C,1,)&lt;&gt;"",1,0),0)</f>
        <v>0</v>
      </c>
      <c r="N638">
        <f>IFERROR(IF(VLOOKUP(calendar[[#This Row],[Date]],BH!E:E,1,)&lt;&gt;"",1,0),0)</f>
        <v>0</v>
      </c>
      <c r="O638">
        <f>IFERROR(IF(VLOOKUP(calendar[[#This Row],[Date]],BH!G:G,1,)&lt;&gt;"",1,0),0)</f>
        <v>0</v>
      </c>
      <c r="P638">
        <f>IF(OR(calendar[[#This Row],[UK_BH]]=1,calendar[[#This Row],[WeekDay]]=1, calendar[[#This Row],[WeekDay]]=7),P637,P637+1)</f>
        <v>455</v>
      </c>
      <c r="Q638">
        <f>IF(OR(calendar[[#This Row],[FR_BH]]=1,calendar[[#This Row],[WeekDay]]=1, calendar[[#This Row],[WeekDay]]=7),P637,P637+1)</f>
        <v>455</v>
      </c>
      <c r="R638">
        <f>IF(OR(calendar[[#This Row],[SP_BH]]=1,calendar[[#This Row],[WeekDay]]=1, calendar[[#This Row],[WeekDay]]=7),P637,P637+1)</f>
        <v>455</v>
      </c>
      <c r="S638">
        <f>IF(OR(calendar[[#This Row],[PT_BH]]=1,calendar[[#This Row],[WeekDay]]=1, calendar[[#This Row],[WeekDay]]=7),P637,P637+1)</f>
        <v>455</v>
      </c>
    </row>
    <row r="639" spans="1:19" x14ac:dyDescent="0.25">
      <c r="A639" s="2">
        <v>43373</v>
      </c>
      <c r="B639" s="1">
        <f t="shared" si="48"/>
        <v>40</v>
      </c>
      <c r="C639">
        <f t="shared" si="50"/>
        <v>9</v>
      </c>
      <c r="D639" t="str">
        <f t="shared" si="51"/>
        <v>September</v>
      </c>
      <c r="E639">
        <f t="shared" si="52"/>
        <v>2018</v>
      </c>
      <c r="F639" t="str">
        <f>CONCATENATE(calendar[[#This Row],[Month]],"/",calendar[[#This Row],[Year]])</f>
        <v>9/2018</v>
      </c>
      <c r="G639">
        <f>WEEKDAY(calendar[[#This Row],[Date]],1)</f>
        <v>1</v>
      </c>
      <c r="H639" t="str">
        <f>TEXT(calendar[[#This Row],[WeekDay]],"dddd")</f>
        <v>Sunday</v>
      </c>
      <c r="I639">
        <f>IF((INT(calendar[[#This Row],[Count]]/7)-calendar[[#This Row],[Count]]/7)&lt;0,I638,I638+1)</f>
        <v>92</v>
      </c>
      <c r="J639">
        <f t="shared" si="49"/>
        <v>637</v>
      </c>
      <c r="K639">
        <f>IF(calendar[[#This Row],[Month]]&lt;4,1,IF(calendar[[#This Row],[Month]]&lt;7,2,IF(calendar[[#This Row],[Month]]&lt;10,3,4)))</f>
        <v>3</v>
      </c>
      <c r="L639">
        <f>IFERROR(IF(VLOOKUP(calendar[[#This Row],[Date]],BH!A:A,1,)&lt;&gt;"",1,0),0)</f>
        <v>0</v>
      </c>
      <c r="M639">
        <f>IFERROR(IF(VLOOKUP(calendar[[#This Row],[Date]],BH!C:C,1,)&lt;&gt;"",1,0),0)</f>
        <v>0</v>
      </c>
      <c r="N639">
        <f>IFERROR(IF(VLOOKUP(calendar[[#This Row],[Date]],BH!E:E,1,)&lt;&gt;"",1,0),0)</f>
        <v>0</v>
      </c>
      <c r="O639">
        <f>IFERROR(IF(VLOOKUP(calendar[[#This Row],[Date]],BH!G:G,1,)&lt;&gt;"",1,0),0)</f>
        <v>0</v>
      </c>
      <c r="P639">
        <f>IF(OR(calendar[[#This Row],[UK_BH]]=1,calendar[[#This Row],[WeekDay]]=1, calendar[[#This Row],[WeekDay]]=7),P638,P638+1)</f>
        <v>455</v>
      </c>
      <c r="Q639">
        <f>IF(OR(calendar[[#This Row],[FR_BH]]=1,calendar[[#This Row],[WeekDay]]=1, calendar[[#This Row],[WeekDay]]=7),P638,P638+1)</f>
        <v>455</v>
      </c>
      <c r="R639">
        <f>IF(OR(calendar[[#This Row],[SP_BH]]=1,calendar[[#This Row],[WeekDay]]=1, calendar[[#This Row],[WeekDay]]=7),P638,P638+1)</f>
        <v>455</v>
      </c>
      <c r="S639">
        <f>IF(OR(calendar[[#This Row],[PT_BH]]=1,calendar[[#This Row],[WeekDay]]=1, calendar[[#This Row],[WeekDay]]=7),P638,P638+1)</f>
        <v>455</v>
      </c>
    </row>
    <row r="640" spans="1:19" x14ac:dyDescent="0.25">
      <c r="A640" s="2">
        <v>43374</v>
      </c>
      <c r="B640" s="1">
        <f t="shared" si="48"/>
        <v>40</v>
      </c>
      <c r="C640">
        <f t="shared" si="50"/>
        <v>10</v>
      </c>
      <c r="D640" t="str">
        <f t="shared" si="51"/>
        <v>October</v>
      </c>
      <c r="E640">
        <f t="shared" si="52"/>
        <v>2018</v>
      </c>
      <c r="F640" t="str">
        <f>CONCATENATE(calendar[[#This Row],[Month]],"/",calendar[[#This Row],[Year]])</f>
        <v>10/2018</v>
      </c>
      <c r="G640">
        <f>WEEKDAY(calendar[[#This Row],[Date]],1)</f>
        <v>2</v>
      </c>
      <c r="H640" t="str">
        <f>TEXT(calendar[[#This Row],[WeekDay]],"dddd")</f>
        <v>Monday</v>
      </c>
      <c r="I640">
        <f>IF((INT(calendar[[#This Row],[Count]]/7)-calendar[[#This Row],[Count]]/7)&lt;0,I639,I639+1)</f>
        <v>92</v>
      </c>
      <c r="J640">
        <f t="shared" si="49"/>
        <v>638</v>
      </c>
      <c r="K640">
        <f>IF(calendar[[#This Row],[Month]]&lt;4,1,IF(calendar[[#This Row],[Month]]&lt;7,2,IF(calendar[[#This Row],[Month]]&lt;10,3,4)))</f>
        <v>4</v>
      </c>
      <c r="L640">
        <f>IFERROR(IF(VLOOKUP(calendar[[#This Row],[Date]],BH!A:A,1,)&lt;&gt;"",1,0),0)</f>
        <v>0</v>
      </c>
      <c r="M640">
        <f>IFERROR(IF(VLOOKUP(calendar[[#This Row],[Date]],BH!C:C,1,)&lt;&gt;"",1,0),0)</f>
        <v>0</v>
      </c>
      <c r="N640">
        <f>IFERROR(IF(VLOOKUP(calendar[[#This Row],[Date]],BH!E:E,1,)&lt;&gt;"",1,0),0)</f>
        <v>0</v>
      </c>
      <c r="O640">
        <f>IFERROR(IF(VLOOKUP(calendar[[#This Row],[Date]],BH!G:G,1,)&lt;&gt;"",1,0),0)</f>
        <v>0</v>
      </c>
      <c r="P640">
        <f>IF(OR(calendar[[#This Row],[UK_BH]]=1,calendar[[#This Row],[WeekDay]]=1, calendar[[#This Row],[WeekDay]]=7),P639,P639+1)</f>
        <v>456</v>
      </c>
      <c r="Q640">
        <f>IF(OR(calendar[[#This Row],[FR_BH]]=1,calendar[[#This Row],[WeekDay]]=1, calendar[[#This Row],[WeekDay]]=7),P639,P639+1)</f>
        <v>456</v>
      </c>
      <c r="R640">
        <f>IF(OR(calendar[[#This Row],[SP_BH]]=1,calendar[[#This Row],[WeekDay]]=1, calendar[[#This Row],[WeekDay]]=7),P639,P639+1)</f>
        <v>456</v>
      </c>
      <c r="S640">
        <f>IF(OR(calendar[[#This Row],[PT_BH]]=1,calendar[[#This Row],[WeekDay]]=1, calendar[[#This Row],[WeekDay]]=7),P639,P639+1)</f>
        <v>456</v>
      </c>
    </row>
    <row r="641" spans="1:19" x14ac:dyDescent="0.25">
      <c r="A641" s="2">
        <v>43375</v>
      </c>
      <c r="B641" s="1">
        <f t="shared" si="48"/>
        <v>40</v>
      </c>
      <c r="C641">
        <f t="shared" si="50"/>
        <v>10</v>
      </c>
      <c r="D641" t="str">
        <f t="shared" si="51"/>
        <v>October</v>
      </c>
      <c r="E641">
        <f t="shared" si="52"/>
        <v>2018</v>
      </c>
      <c r="F641" t="str">
        <f>CONCATENATE(calendar[[#This Row],[Month]],"/",calendar[[#This Row],[Year]])</f>
        <v>10/2018</v>
      </c>
      <c r="G641">
        <f>WEEKDAY(calendar[[#This Row],[Date]],1)</f>
        <v>3</v>
      </c>
      <c r="H641" t="str">
        <f>TEXT(calendar[[#This Row],[WeekDay]],"dddd")</f>
        <v>Tuesday</v>
      </c>
      <c r="I641">
        <f>IF((INT(calendar[[#This Row],[Count]]/7)-calendar[[#This Row],[Count]]/7)&lt;0,I640,I640+1)</f>
        <v>92</v>
      </c>
      <c r="J641">
        <f t="shared" si="49"/>
        <v>639</v>
      </c>
      <c r="K641">
        <f>IF(calendar[[#This Row],[Month]]&lt;4,1,IF(calendar[[#This Row],[Month]]&lt;7,2,IF(calendar[[#This Row],[Month]]&lt;10,3,4)))</f>
        <v>4</v>
      </c>
      <c r="L641">
        <f>IFERROR(IF(VLOOKUP(calendar[[#This Row],[Date]],BH!A:A,1,)&lt;&gt;"",1,0),0)</f>
        <v>0</v>
      </c>
      <c r="M641">
        <f>IFERROR(IF(VLOOKUP(calendar[[#This Row],[Date]],BH!C:C,1,)&lt;&gt;"",1,0),0)</f>
        <v>0</v>
      </c>
      <c r="N641">
        <f>IFERROR(IF(VLOOKUP(calendar[[#This Row],[Date]],BH!E:E,1,)&lt;&gt;"",1,0),0)</f>
        <v>0</v>
      </c>
      <c r="O641">
        <f>IFERROR(IF(VLOOKUP(calendar[[#This Row],[Date]],BH!G:G,1,)&lt;&gt;"",1,0),0)</f>
        <v>0</v>
      </c>
      <c r="P641">
        <f>IF(OR(calendar[[#This Row],[UK_BH]]=1,calendar[[#This Row],[WeekDay]]=1, calendar[[#This Row],[WeekDay]]=7),P640,P640+1)</f>
        <v>457</v>
      </c>
      <c r="Q641">
        <f>IF(OR(calendar[[#This Row],[FR_BH]]=1,calendar[[#This Row],[WeekDay]]=1, calendar[[#This Row],[WeekDay]]=7),P640,P640+1)</f>
        <v>457</v>
      </c>
      <c r="R641">
        <f>IF(OR(calendar[[#This Row],[SP_BH]]=1,calendar[[#This Row],[WeekDay]]=1, calendar[[#This Row],[WeekDay]]=7),P640,P640+1)</f>
        <v>457</v>
      </c>
      <c r="S641">
        <f>IF(OR(calendar[[#This Row],[PT_BH]]=1,calendar[[#This Row],[WeekDay]]=1, calendar[[#This Row],[WeekDay]]=7),P640,P640+1)</f>
        <v>457</v>
      </c>
    </row>
    <row r="642" spans="1:19" x14ac:dyDescent="0.25">
      <c r="A642" s="2">
        <v>43376</v>
      </c>
      <c r="B642" s="1">
        <f t="shared" ref="B642:B705" si="53">WEEKNUM(A642)</f>
        <v>40</v>
      </c>
      <c r="C642">
        <f t="shared" si="50"/>
        <v>10</v>
      </c>
      <c r="D642" t="str">
        <f t="shared" si="51"/>
        <v>October</v>
      </c>
      <c r="E642">
        <f t="shared" si="52"/>
        <v>2018</v>
      </c>
      <c r="F642" t="str">
        <f>CONCATENATE(calendar[[#This Row],[Month]],"/",calendar[[#This Row],[Year]])</f>
        <v>10/2018</v>
      </c>
      <c r="G642">
        <f>WEEKDAY(calendar[[#This Row],[Date]],1)</f>
        <v>4</v>
      </c>
      <c r="H642" t="str">
        <f>TEXT(calendar[[#This Row],[WeekDay]],"dddd")</f>
        <v>Wednesday</v>
      </c>
      <c r="I642">
        <f>IF((INT(calendar[[#This Row],[Count]]/7)-calendar[[#This Row],[Count]]/7)&lt;0,I641,I641+1)</f>
        <v>92</v>
      </c>
      <c r="J642">
        <f t="shared" si="49"/>
        <v>640</v>
      </c>
      <c r="K642">
        <f>IF(calendar[[#This Row],[Month]]&lt;4,1,IF(calendar[[#This Row],[Month]]&lt;7,2,IF(calendar[[#This Row],[Month]]&lt;10,3,4)))</f>
        <v>4</v>
      </c>
      <c r="L642">
        <f>IFERROR(IF(VLOOKUP(calendar[[#This Row],[Date]],BH!A:A,1,)&lt;&gt;"",1,0),0)</f>
        <v>0</v>
      </c>
      <c r="M642">
        <f>IFERROR(IF(VLOOKUP(calendar[[#This Row],[Date]],BH!C:C,1,)&lt;&gt;"",1,0),0)</f>
        <v>0</v>
      </c>
      <c r="N642">
        <f>IFERROR(IF(VLOOKUP(calendar[[#This Row],[Date]],BH!E:E,1,)&lt;&gt;"",1,0),0)</f>
        <v>0</v>
      </c>
      <c r="O642">
        <f>IFERROR(IF(VLOOKUP(calendar[[#This Row],[Date]],BH!G:G,1,)&lt;&gt;"",1,0),0)</f>
        <v>0</v>
      </c>
      <c r="P642">
        <f>IF(OR(calendar[[#This Row],[UK_BH]]=1,calendar[[#This Row],[WeekDay]]=1, calendar[[#This Row],[WeekDay]]=7),P641,P641+1)</f>
        <v>458</v>
      </c>
      <c r="Q642">
        <f>IF(OR(calendar[[#This Row],[FR_BH]]=1,calendar[[#This Row],[WeekDay]]=1, calendar[[#This Row],[WeekDay]]=7),P641,P641+1)</f>
        <v>458</v>
      </c>
      <c r="R642">
        <f>IF(OR(calendar[[#This Row],[SP_BH]]=1,calendar[[#This Row],[WeekDay]]=1, calendar[[#This Row],[WeekDay]]=7),P641,P641+1)</f>
        <v>458</v>
      </c>
      <c r="S642">
        <f>IF(OR(calendar[[#This Row],[PT_BH]]=1,calendar[[#This Row],[WeekDay]]=1, calendar[[#This Row],[WeekDay]]=7),P641,P641+1)</f>
        <v>458</v>
      </c>
    </row>
    <row r="643" spans="1:19" x14ac:dyDescent="0.25">
      <c r="A643" s="2">
        <v>43377</v>
      </c>
      <c r="B643" s="1">
        <f t="shared" si="53"/>
        <v>40</v>
      </c>
      <c r="C643">
        <f t="shared" si="50"/>
        <v>10</v>
      </c>
      <c r="D643" t="str">
        <f t="shared" si="51"/>
        <v>October</v>
      </c>
      <c r="E643">
        <f t="shared" si="52"/>
        <v>2018</v>
      </c>
      <c r="F643" t="str">
        <f>CONCATENATE(calendar[[#This Row],[Month]],"/",calendar[[#This Row],[Year]])</f>
        <v>10/2018</v>
      </c>
      <c r="G643">
        <f>WEEKDAY(calendar[[#This Row],[Date]],1)</f>
        <v>5</v>
      </c>
      <c r="H643" t="str">
        <f>TEXT(calendar[[#This Row],[WeekDay]],"dddd")</f>
        <v>Thursday</v>
      </c>
      <c r="I643">
        <f>IF((INT(calendar[[#This Row],[Count]]/7)-calendar[[#This Row],[Count]]/7)&lt;0,I642,I642+1)</f>
        <v>92</v>
      </c>
      <c r="J643">
        <f t="shared" ref="J643:J706" si="54">J642+1</f>
        <v>641</v>
      </c>
      <c r="K643">
        <f>IF(calendar[[#This Row],[Month]]&lt;4,1,IF(calendar[[#This Row],[Month]]&lt;7,2,IF(calendar[[#This Row],[Month]]&lt;10,3,4)))</f>
        <v>4</v>
      </c>
      <c r="L643">
        <f>IFERROR(IF(VLOOKUP(calendar[[#This Row],[Date]],BH!A:A,1,)&lt;&gt;"",1,0),0)</f>
        <v>0</v>
      </c>
      <c r="M643">
        <f>IFERROR(IF(VLOOKUP(calendar[[#This Row],[Date]],BH!C:C,1,)&lt;&gt;"",1,0),0)</f>
        <v>0</v>
      </c>
      <c r="N643">
        <f>IFERROR(IF(VLOOKUP(calendar[[#This Row],[Date]],BH!E:E,1,)&lt;&gt;"",1,0),0)</f>
        <v>0</v>
      </c>
      <c r="O643">
        <f>IFERROR(IF(VLOOKUP(calendar[[#This Row],[Date]],BH!G:G,1,)&lt;&gt;"",1,0),0)</f>
        <v>0</v>
      </c>
      <c r="P643">
        <f>IF(OR(calendar[[#This Row],[UK_BH]]=1,calendar[[#This Row],[WeekDay]]=1, calendar[[#This Row],[WeekDay]]=7),P642,P642+1)</f>
        <v>459</v>
      </c>
      <c r="Q643">
        <f>IF(OR(calendar[[#This Row],[FR_BH]]=1,calendar[[#This Row],[WeekDay]]=1, calendar[[#This Row],[WeekDay]]=7),P642,P642+1)</f>
        <v>459</v>
      </c>
      <c r="R643">
        <f>IF(OR(calendar[[#This Row],[SP_BH]]=1,calendar[[#This Row],[WeekDay]]=1, calendar[[#This Row],[WeekDay]]=7),P642,P642+1)</f>
        <v>459</v>
      </c>
      <c r="S643">
        <f>IF(OR(calendar[[#This Row],[PT_BH]]=1,calendar[[#This Row],[WeekDay]]=1, calendar[[#This Row],[WeekDay]]=7),P642,P642+1)</f>
        <v>459</v>
      </c>
    </row>
    <row r="644" spans="1:19" x14ac:dyDescent="0.25">
      <c r="A644" s="2">
        <v>43378</v>
      </c>
      <c r="B644" s="1">
        <f t="shared" si="53"/>
        <v>40</v>
      </c>
      <c r="C644">
        <f t="shared" si="50"/>
        <v>10</v>
      </c>
      <c r="D644" t="str">
        <f t="shared" si="51"/>
        <v>October</v>
      </c>
      <c r="E644">
        <f t="shared" si="52"/>
        <v>2018</v>
      </c>
      <c r="F644" t="str">
        <f>CONCATENATE(calendar[[#This Row],[Month]],"/",calendar[[#This Row],[Year]])</f>
        <v>10/2018</v>
      </c>
      <c r="G644">
        <f>WEEKDAY(calendar[[#This Row],[Date]],1)</f>
        <v>6</v>
      </c>
      <c r="H644" t="str">
        <f>TEXT(calendar[[#This Row],[WeekDay]],"dddd")</f>
        <v>Friday</v>
      </c>
      <c r="I644">
        <f>IF((INT(calendar[[#This Row],[Count]]/7)-calendar[[#This Row],[Count]]/7)&lt;0,I643,I643+1)</f>
        <v>92</v>
      </c>
      <c r="J644">
        <f t="shared" si="54"/>
        <v>642</v>
      </c>
      <c r="K644">
        <f>IF(calendar[[#This Row],[Month]]&lt;4,1,IF(calendar[[#This Row],[Month]]&lt;7,2,IF(calendar[[#This Row],[Month]]&lt;10,3,4)))</f>
        <v>4</v>
      </c>
      <c r="L644">
        <f>IFERROR(IF(VLOOKUP(calendar[[#This Row],[Date]],BH!A:A,1,)&lt;&gt;"",1,0),0)</f>
        <v>0</v>
      </c>
      <c r="M644">
        <f>IFERROR(IF(VLOOKUP(calendar[[#This Row],[Date]],BH!C:C,1,)&lt;&gt;"",1,0),0)</f>
        <v>0</v>
      </c>
      <c r="N644">
        <f>IFERROR(IF(VLOOKUP(calendar[[#This Row],[Date]],BH!E:E,1,)&lt;&gt;"",1,0),0)</f>
        <v>0</v>
      </c>
      <c r="O644">
        <f>IFERROR(IF(VLOOKUP(calendar[[#This Row],[Date]],BH!G:G,1,)&lt;&gt;"",1,0),0)</f>
        <v>0</v>
      </c>
      <c r="P644">
        <f>IF(OR(calendar[[#This Row],[UK_BH]]=1,calendar[[#This Row],[WeekDay]]=1, calendar[[#This Row],[WeekDay]]=7),P643,P643+1)</f>
        <v>460</v>
      </c>
      <c r="Q644">
        <f>IF(OR(calendar[[#This Row],[FR_BH]]=1,calendar[[#This Row],[WeekDay]]=1, calendar[[#This Row],[WeekDay]]=7),P643,P643+1)</f>
        <v>460</v>
      </c>
      <c r="R644">
        <f>IF(OR(calendar[[#This Row],[SP_BH]]=1,calendar[[#This Row],[WeekDay]]=1, calendar[[#This Row],[WeekDay]]=7),P643,P643+1)</f>
        <v>460</v>
      </c>
      <c r="S644">
        <f>IF(OR(calendar[[#This Row],[PT_BH]]=1,calendar[[#This Row],[WeekDay]]=1, calendar[[#This Row],[WeekDay]]=7),P643,P643+1)</f>
        <v>460</v>
      </c>
    </row>
    <row r="645" spans="1:19" x14ac:dyDescent="0.25">
      <c r="A645" s="2">
        <v>43379</v>
      </c>
      <c r="B645" s="1">
        <f t="shared" si="53"/>
        <v>40</v>
      </c>
      <c r="C645">
        <f t="shared" si="50"/>
        <v>10</v>
      </c>
      <c r="D645" t="str">
        <f t="shared" si="51"/>
        <v>October</v>
      </c>
      <c r="E645">
        <f t="shared" si="52"/>
        <v>2018</v>
      </c>
      <c r="F645" t="str">
        <f>CONCATENATE(calendar[[#This Row],[Month]],"/",calendar[[#This Row],[Year]])</f>
        <v>10/2018</v>
      </c>
      <c r="G645">
        <f>WEEKDAY(calendar[[#This Row],[Date]],1)</f>
        <v>7</v>
      </c>
      <c r="H645" t="str">
        <f>TEXT(calendar[[#This Row],[WeekDay]],"dddd")</f>
        <v>Saturday</v>
      </c>
      <c r="I645">
        <f>IF((INT(calendar[[#This Row],[Count]]/7)-calendar[[#This Row],[Count]]/7)&lt;0,I644,I644+1)</f>
        <v>92</v>
      </c>
      <c r="J645">
        <f t="shared" si="54"/>
        <v>643</v>
      </c>
      <c r="K645">
        <f>IF(calendar[[#This Row],[Month]]&lt;4,1,IF(calendar[[#This Row],[Month]]&lt;7,2,IF(calendar[[#This Row],[Month]]&lt;10,3,4)))</f>
        <v>4</v>
      </c>
      <c r="L645">
        <f>IFERROR(IF(VLOOKUP(calendar[[#This Row],[Date]],BH!A:A,1,)&lt;&gt;"",1,0),0)</f>
        <v>0</v>
      </c>
      <c r="M645">
        <f>IFERROR(IF(VLOOKUP(calendar[[#This Row],[Date]],BH!C:C,1,)&lt;&gt;"",1,0),0)</f>
        <v>0</v>
      </c>
      <c r="N645">
        <f>IFERROR(IF(VLOOKUP(calendar[[#This Row],[Date]],BH!E:E,1,)&lt;&gt;"",1,0),0)</f>
        <v>0</v>
      </c>
      <c r="O645">
        <f>IFERROR(IF(VLOOKUP(calendar[[#This Row],[Date]],BH!G:G,1,)&lt;&gt;"",1,0),0)</f>
        <v>0</v>
      </c>
      <c r="P645">
        <f>IF(OR(calendar[[#This Row],[UK_BH]]=1,calendar[[#This Row],[WeekDay]]=1, calendar[[#This Row],[WeekDay]]=7),P644,P644+1)</f>
        <v>460</v>
      </c>
      <c r="Q645">
        <f>IF(OR(calendar[[#This Row],[FR_BH]]=1,calendar[[#This Row],[WeekDay]]=1, calendar[[#This Row],[WeekDay]]=7),P644,P644+1)</f>
        <v>460</v>
      </c>
      <c r="R645">
        <f>IF(OR(calendar[[#This Row],[SP_BH]]=1,calendar[[#This Row],[WeekDay]]=1, calendar[[#This Row],[WeekDay]]=7),P644,P644+1)</f>
        <v>460</v>
      </c>
      <c r="S645">
        <f>IF(OR(calendar[[#This Row],[PT_BH]]=1,calendar[[#This Row],[WeekDay]]=1, calendar[[#This Row],[WeekDay]]=7),P644,P644+1)</f>
        <v>460</v>
      </c>
    </row>
    <row r="646" spans="1:19" x14ac:dyDescent="0.25">
      <c r="A646" s="2">
        <v>43380</v>
      </c>
      <c r="B646" s="1">
        <f t="shared" si="53"/>
        <v>41</v>
      </c>
      <c r="C646">
        <f t="shared" si="50"/>
        <v>10</v>
      </c>
      <c r="D646" t="str">
        <f t="shared" si="51"/>
        <v>October</v>
      </c>
      <c r="E646">
        <f t="shared" si="52"/>
        <v>2018</v>
      </c>
      <c r="F646" t="str">
        <f>CONCATENATE(calendar[[#This Row],[Month]],"/",calendar[[#This Row],[Year]])</f>
        <v>10/2018</v>
      </c>
      <c r="G646">
        <f>WEEKDAY(calendar[[#This Row],[Date]],1)</f>
        <v>1</v>
      </c>
      <c r="H646" t="str">
        <f>TEXT(calendar[[#This Row],[WeekDay]],"dddd")</f>
        <v>Sunday</v>
      </c>
      <c r="I646">
        <f>IF((INT(calendar[[#This Row],[Count]]/7)-calendar[[#This Row],[Count]]/7)&lt;0,I645,I645+1)</f>
        <v>93</v>
      </c>
      <c r="J646">
        <f t="shared" si="54"/>
        <v>644</v>
      </c>
      <c r="K646">
        <f>IF(calendar[[#This Row],[Month]]&lt;4,1,IF(calendar[[#This Row],[Month]]&lt;7,2,IF(calendar[[#This Row],[Month]]&lt;10,3,4)))</f>
        <v>4</v>
      </c>
      <c r="L646">
        <f>IFERROR(IF(VLOOKUP(calendar[[#This Row],[Date]],BH!A:A,1,)&lt;&gt;"",1,0),0)</f>
        <v>0</v>
      </c>
      <c r="M646">
        <f>IFERROR(IF(VLOOKUP(calendar[[#This Row],[Date]],BH!C:C,1,)&lt;&gt;"",1,0),0)</f>
        <v>0</v>
      </c>
      <c r="N646">
        <f>IFERROR(IF(VLOOKUP(calendar[[#This Row],[Date]],BH!E:E,1,)&lt;&gt;"",1,0),0)</f>
        <v>0</v>
      </c>
      <c r="O646">
        <f>IFERROR(IF(VLOOKUP(calendar[[#This Row],[Date]],BH!G:G,1,)&lt;&gt;"",1,0),0)</f>
        <v>0</v>
      </c>
      <c r="P646">
        <f>IF(OR(calendar[[#This Row],[UK_BH]]=1,calendar[[#This Row],[WeekDay]]=1, calendar[[#This Row],[WeekDay]]=7),P645,P645+1)</f>
        <v>460</v>
      </c>
      <c r="Q646">
        <f>IF(OR(calendar[[#This Row],[FR_BH]]=1,calendar[[#This Row],[WeekDay]]=1, calendar[[#This Row],[WeekDay]]=7),P645,P645+1)</f>
        <v>460</v>
      </c>
      <c r="R646">
        <f>IF(OR(calendar[[#This Row],[SP_BH]]=1,calendar[[#This Row],[WeekDay]]=1, calendar[[#This Row],[WeekDay]]=7),P645,P645+1)</f>
        <v>460</v>
      </c>
      <c r="S646">
        <f>IF(OR(calendar[[#This Row],[PT_BH]]=1,calendar[[#This Row],[WeekDay]]=1, calendar[[#This Row],[WeekDay]]=7),P645,P645+1)</f>
        <v>460</v>
      </c>
    </row>
    <row r="647" spans="1:19" x14ac:dyDescent="0.25">
      <c r="A647" s="2">
        <v>43381</v>
      </c>
      <c r="B647" s="1">
        <f t="shared" si="53"/>
        <v>41</v>
      </c>
      <c r="C647">
        <f t="shared" si="50"/>
        <v>10</v>
      </c>
      <c r="D647" t="str">
        <f t="shared" si="51"/>
        <v>October</v>
      </c>
      <c r="E647">
        <f t="shared" si="52"/>
        <v>2018</v>
      </c>
      <c r="F647" t="str">
        <f>CONCATENATE(calendar[[#This Row],[Month]],"/",calendar[[#This Row],[Year]])</f>
        <v>10/2018</v>
      </c>
      <c r="G647">
        <f>WEEKDAY(calendar[[#This Row],[Date]],1)</f>
        <v>2</v>
      </c>
      <c r="H647" t="str">
        <f>TEXT(calendar[[#This Row],[WeekDay]],"dddd")</f>
        <v>Monday</v>
      </c>
      <c r="I647">
        <f>IF((INT(calendar[[#This Row],[Count]]/7)-calendar[[#This Row],[Count]]/7)&lt;0,I646,I646+1)</f>
        <v>93</v>
      </c>
      <c r="J647">
        <f t="shared" si="54"/>
        <v>645</v>
      </c>
      <c r="K647">
        <f>IF(calendar[[#This Row],[Month]]&lt;4,1,IF(calendar[[#This Row],[Month]]&lt;7,2,IF(calendar[[#This Row],[Month]]&lt;10,3,4)))</f>
        <v>4</v>
      </c>
      <c r="L647">
        <f>IFERROR(IF(VLOOKUP(calendar[[#This Row],[Date]],BH!A:A,1,)&lt;&gt;"",1,0),0)</f>
        <v>0</v>
      </c>
      <c r="M647">
        <f>IFERROR(IF(VLOOKUP(calendar[[#This Row],[Date]],BH!C:C,1,)&lt;&gt;"",1,0),0)</f>
        <v>0</v>
      </c>
      <c r="N647">
        <f>IFERROR(IF(VLOOKUP(calendar[[#This Row],[Date]],BH!E:E,1,)&lt;&gt;"",1,0),0)</f>
        <v>0</v>
      </c>
      <c r="O647">
        <f>IFERROR(IF(VLOOKUP(calendar[[#This Row],[Date]],BH!G:G,1,)&lt;&gt;"",1,0),0)</f>
        <v>0</v>
      </c>
      <c r="P647">
        <f>IF(OR(calendar[[#This Row],[UK_BH]]=1,calendar[[#This Row],[WeekDay]]=1, calendar[[#This Row],[WeekDay]]=7),P646,P646+1)</f>
        <v>461</v>
      </c>
      <c r="Q647">
        <f>IF(OR(calendar[[#This Row],[FR_BH]]=1,calendar[[#This Row],[WeekDay]]=1, calendar[[#This Row],[WeekDay]]=7),P646,P646+1)</f>
        <v>461</v>
      </c>
      <c r="R647">
        <f>IF(OR(calendar[[#This Row],[SP_BH]]=1,calendar[[#This Row],[WeekDay]]=1, calendar[[#This Row],[WeekDay]]=7),P646,P646+1)</f>
        <v>461</v>
      </c>
      <c r="S647">
        <f>IF(OR(calendar[[#This Row],[PT_BH]]=1,calendar[[#This Row],[WeekDay]]=1, calendar[[#This Row],[WeekDay]]=7),P646,P646+1)</f>
        <v>461</v>
      </c>
    </row>
    <row r="648" spans="1:19" x14ac:dyDescent="0.25">
      <c r="A648" s="2">
        <v>43382</v>
      </c>
      <c r="B648" s="1">
        <f t="shared" si="53"/>
        <v>41</v>
      </c>
      <c r="C648">
        <f t="shared" si="50"/>
        <v>10</v>
      </c>
      <c r="D648" t="str">
        <f t="shared" si="51"/>
        <v>October</v>
      </c>
      <c r="E648">
        <f t="shared" si="52"/>
        <v>2018</v>
      </c>
      <c r="F648" t="str">
        <f>CONCATENATE(calendar[[#This Row],[Month]],"/",calendar[[#This Row],[Year]])</f>
        <v>10/2018</v>
      </c>
      <c r="G648">
        <f>WEEKDAY(calendar[[#This Row],[Date]],1)</f>
        <v>3</v>
      </c>
      <c r="H648" t="str">
        <f>TEXT(calendar[[#This Row],[WeekDay]],"dddd")</f>
        <v>Tuesday</v>
      </c>
      <c r="I648">
        <f>IF((INT(calendar[[#This Row],[Count]]/7)-calendar[[#This Row],[Count]]/7)&lt;0,I647,I647+1)</f>
        <v>93</v>
      </c>
      <c r="J648">
        <f t="shared" si="54"/>
        <v>646</v>
      </c>
      <c r="K648">
        <f>IF(calendar[[#This Row],[Month]]&lt;4,1,IF(calendar[[#This Row],[Month]]&lt;7,2,IF(calendar[[#This Row],[Month]]&lt;10,3,4)))</f>
        <v>4</v>
      </c>
      <c r="L648">
        <f>IFERROR(IF(VLOOKUP(calendar[[#This Row],[Date]],BH!A:A,1,)&lt;&gt;"",1,0),0)</f>
        <v>0</v>
      </c>
      <c r="M648">
        <f>IFERROR(IF(VLOOKUP(calendar[[#This Row],[Date]],BH!C:C,1,)&lt;&gt;"",1,0),0)</f>
        <v>0</v>
      </c>
      <c r="N648">
        <f>IFERROR(IF(VLOOKUP(calendar[[#This Row],[Date]],BH!E:E,1,)&lt;&gt;"",1,0),0)</f>
        <v>0</v>
      </c>
      <c r="O648">
        <f>IFERROR(IF(VLOOKUP(calendar[[#This Row],[Date]],BH!G:G,1,)&lt;&gt;"",1,0),0)</f>
        <v>0</v>
      </c>
      <c r="P648">
        <f>IF(OR(calendar[[#This Row],[UK_BH]]=1,calendar[[#This Row],[WeekDay]]=1, calendar[[#This Row],[WeekDay]]=7),P647,P647+1)</f>
        <v>462</v>
      </c>
      <c r="Q648">
        <f>IF(OR(calendar[[#This Row],[FR_BH]]=1,calendar[[#This Row],[WeekDay]]=1, calendar[[#This Row],[WeekDay]]=7),P647,P647+1)</f>
        <v>462</v>
      </c>
      <c r="R648">
        <f>IF(OR(calendar[[#This Row],[SP_BH]]=1,calendar[[#This Row],[WeekDay]]=1, calendar[[#This Row],[WeekDay]]=7),P647,P647+1)</f>
        <v>462</v>
      </c>
      <c r="S648">
        <f>IF(OR(calendar[[#This Row],[PT_BH]]=1,calendar[[#This Row],[WeekDay]]=1, calendar[[#This Row],[WeekDay]]=7),P647,P647+1)</f>
        <v>462</v>
      </c>
    </row>
    <row r="649" spans="1:19" x14ac:dyDescent="0.25">
      <c r="A649" s="2">
        <v>43383</v>
      </c>
      <c r="B649" s="1">
        <f t="shared" si="53"/>
        <v>41</v>
      </c>
      <c r="C649">
        <f t="shared" si="50"/>
        <v>10</v>
      </c>
      <c r="D649" t="str">
        <f t="shared" si="51"/>
        <v>October</v>
      </c>
      <c r="E649">
        <f t="shared" si="52"/>
        <v>2018</v>
      </c>
      <c r="F649" t="str">
        <f>CONCATENATE(calendar[[#This Row],[Month]],"/",calendar[[#This Row],[Year]])</f>
        <v>10/2018</v>
      </c>
      <c r="G649">
        <f>WEEKDAY(calendar[[#This Row],[Date]],1)</f>
        <v>4</v>
      </c>
      <c r="H649" t="str">
        <f>TEXT(calendar[[#This Row],[WeekDay]],"dddd")</f>
        <v>Wednesday</v>
      </c>
      <c r="I649">
        <f>IF((INT(calendar[[#This Row],[Count]]/7)-calendar[[#This Row],[Count]]/7)&lt;0,I648,I648+1)</f>
        <v>93</v>
      </c>
      <c r="J649">
        <f t="shared" si="54"/>
        <v>647</v>
      </c>
      <c r="K649">
        <f>IF(calendar[[#This Row],[Month]]&lt;4,1,IF(calendar[[#This Row],[Month]]&lt;7,2,IF(calendar[[#This Row],[Month]]&lt;10,3,4)))</f>
        <v>4</v>
      </c>
      <c r="L649">
        <f>IFERROR(IF(VLOOKUP(calendar[[#This Row],[Date]],BH!A:A,1,)&lt;&gt;"",1,0),0)</f>
        <v>0</v>
      </c>
      <c r="M649">
        <f>IFERROR(IF(VLOOKUP(calendar[[#This Row],[Date]],BH!C:C,1,)&lt;&gt;"",1,0),0)</f>
        <v>0</v>
      </c>
      <c r="N649">
        <f>IFERROR(IF(VLOOKUP(calendar[[#This Row],[Date]],BH!E:E,1,)&lt;&gt;"",1,0),0)</f>
        <v>0</v>
      </c>
      <c r="O649">
        <f>IFERROR(IF(VLOOKUP(calendar[[#This Row],[Date]],BH!G:G,1,)&lt;&gt;"",1,0),0)</f>
        <v>0</v>
      </c>
      <c r="P649">
        <f>IF(OR(calendar[[#This Row],[UK_BH]]=1,calendar[[#This Row],[WeekDay]]=1, calendar[[#This Row],[WeekDay]]=7),P648,P648+1)</f>
        <v>463</v>
      </c>
      <c r="Q649">
        <f>IF(OR(calendar[[#This Row],[FR_BH]]=1,calendar[[#This Row],[WeekDay]]=1, calendar[[#This Row],[WeekDay]]=7),P648,P648+1)</f>
        <v>463</v>
      </c>
      <c r="R649">
        <f>IF(OR(calendar[[#This Row],[SP_BH]]=1,calendar[[#This Row],[WeekDay]]=1, calendar[[#This Row],[WeekDay]]=7),P648,P648+1)</f>
        <v>463</v>
      </c>
      <c r="S649">
        <f>IF(OR(calendar[[#This Row],[PT_BH]]=1,calendar[[#This Row],[WeekDay]]=1, calendar[[#This Row],[WeekDay]]=7),P648,P648+1)</f>
        <v>463</v>
      </c>
    </row>
    <row r="650" spans="1:19" x14ac:dyDescent="0.25">
      <c r="A650" s="2">
        <v>43384</v>
      </c>
      <c r="B650" s="1">
        <f t="shared" si="53"/>
        <v>41</v>
      </c>
      <c r="C650">
        <f t="shared" si="50"/>
        <v>10</v>
      </c>
      <c r="D650" t="str">
        <f t="shared" si="51"/>
        <v>October</v>
      </c>
      <c r="E650">
        <f t="shared" si="52"/>
        <v>2018</v>
      </c>
      <c r="F650" t="str">
        <f>CONCATENATE(calendar[[#This Row],[Month]],"/",calendar[[#This Row],[Year]])</f>
        <v>10/2018</v>
      </c>
      <c r="G650">
        <f>WEEKDAY(calendar[[#This Row],[Date]],1)</f>
        <v>5</v>
      </c>
      <c r="H650" t="str">
        <f>TEXT(calendar[[#This Row],[WeekDay]],"dddd")</f>
        <v>Thursday</v>
      </c>
      <c r="I650">
        <f>IF((INT(calendar[[#This Row],[Count]]/7)-calendar[[#This Row],[Count]]/7)&lt;0,I649,I649+1)</f>
        <v>93</v>
      </c>
      <c r="J650">
        <f t="shared" si="54"/>
        <v>648</v>
      </c>
      <c r="K650">
        <f>IF(calendar[[#This Row],[Month]]&lt;4,1,IF(calendar[[#This Row],[Month]]&lt;7,2,IF(calendar[[#This Row],[Month]]&lt;10,3,4)))</f>
        <v>4</v>
      </c>
      <c r="L650">
        <f>IFERROR(IF(VLOOKUP(calendar[[#This Row],[Date]],BH!A:A,1,)&lt;&gt;"",1,0),0)</f>
        <v>0</v>
      </c>
      <c r="M650">
        <f>IFERROR(IF(VLOOKUP(calendar[[#This Row],[Date]],BH!C:C,1,)&lt;&gt;"",1,0),0)</f>
        <v>0</v>
      </c>
      <c r="N650">
        <f>IFERROR(IF(VLOOKUP(calendar[[#This Row],[Date]],BH!E:E,1,)&lt;&gt;"",1,0),0)</f>
        <v>0</v>
      </c>
      <c r="O650">
        <f>IFERROR(IF(VLOOKUP(calendar[[#This Row],[Date]],BH!G:G,1,)&lt;&gt;"",1,0),0)</f>
        <v>0</v>
      </c>
      <c r="P650">
        <f>IF(OR(calendar[[#This Row],[UK_BH]]=1,calendar[[#This Row],[WeekDay]]=1, calendar[[#This Row],[WeekDay]]=7),P649,P649+1)</f>
        <v>464</v>
      </c>
      <c r="Q650">
        <f>IF(OR(calendar[[#This Row],[FR_BH]]=1,calendar[[#This Row],[WeekDay]]=1, calendar[[#This Row],[WeekDay]]=7),P649,P649+1)</f>
        <v>464</v>
      </c>
      <c r="R650">
        <f>IF(OR(calendar[[#This Row],[SP_BH]]=1,calendar[[#This Row],[WeekDay]]=1, calendar[[#This Row],[WeekDay]]=7),P649,P649+1)</f>
        <v>464</v>
      </c>
      <c r="S650">
        <f>IF(OR(calendar[[#This Row],[PT_BH]]=1,calendar[[#This Row],[WeekDay]]=1, calendar[[#This Row],[WeekDay]]=7),P649,P649+1)</f>
        <v>464</v>
      </c>
    </row>
    <row r="651" spans="1:19" x14ac:dyDescent="0.25">
      <c r="A651" s="2">
        <v>43385</v>
      </c>
      <c r="B651" s="1">
        <f t="shared" si="53"/>
        <v>41</v>
      </c>
      <c r="C651">
        <f t="shared" si="50"/>
        <v>10</v>
      </c>
      <c r="D651" t="str">
        <f t="shared" si="51"/>
        <v>October</v>
      </c>
      <c r="E651">
        <f t="shared" si="52"/>
        <v>2018</v>
      </c>
      <c r="F651" t="str">
        <f>CONCATENATE(calendar[[#This Row],[Month]],"/",calendar[[#This Row],[Year]])</f>
        <v>10/2018</v>
      </c>
      <c r="G651">
        <f>WEEKDAY(calendar[[#This Row],[Date]],1)</f>
        <v>6</v>
      </c>
      <c r="H651" t="str">
        <f>TEXT(calendar[[#This Row],[WeekDay]],"dddd")</f>
        <v>Friday</v>
      </c>
      <c r="I651">
        <f>IF((INT(calendar[[#This Row],[Count]]/7)-calendar[[#This Row],[Count]]/7)&lt;0,I650,I650+1)</f>
        <v>93</v>
      </c>
      <c r="J651">
        <f t="shared" si="54"/>
        <v>649</v>
      </c>
      <c r="K651">
        <f>IF(calendar[[#This Row],[Month]]&lt;4,1,IF(calendar[[#This Row],[Month]]&lt;7,2,IF(calendar[[#This Row],[Month]]&lt;10,3,4)))</f>
        <v>4</v>
      </c>
      <c r="L651">
        <f>IFERROR(IF(VLOOKUP(calendar[[#This Row],[Date]],BH!A:A,1,)&lt;&gt;"",1,0),0)</f>
        <v>0</v>
      </c>
      <c r="M651">
        <f>IFERROR(IF(VLOOKUP(calendar[[#This Row],[Date]],BH!C:C,1,)&lt;&gt;"",1,0),0)</f>
        <v>0</v>
      </c>
      <c r="N651">
        <f>IFERROR(IF(VLOOKUP(calendar[[#This Row],[Date]],BH!E:E,1,)&lt;&gt;"",1,0),0)</f>
        <v>0</v>
      </c>
      <c r="O651">
        <f>IFERROR(IF(VLOOKUP(calendar[[#This Row],[Date]],BH!G:G,1,)&lt;&gt;"",1,0),0)</f>
        <v>0</v>
      </c>
      <c r="P651">
        <f>IF(OR(calendar[[#This Row],[UK_BH]]=1,calendar[[#This Row],[WeekDay]]=1, calendar[[#This Row],[WeekDay]]=7),P650,P650+1)</f>
        <v>465</v>
      </c>
      <c r="Q651">
        <f>IF(OR(calendar[[#This Row],[FR_BH]]=1,calendar[[#This Row],[WeekDay]]=1, calendar[[#This Row],[WeekDay]]=7),P650,P650+1)</f>
        <v>465</v>
      </c>
      <c r="R651">
        <f>IF(OR(calendar[[#This Row],[SP_BH]]=1,calendar[[#This Row],[WeekDay]]=1, calendar[[#This Row],[WeekDay]]=7),P650,P650+1)</f>
        <v>465</v>
      </c>
      <c r="S651">
        <f>IF(OR(calendar[[#This Row],[PT_BH]]=1,calendar[[#This Row],[WeekDay]]=1, calendar[[#This Row],[WeekDay]]=7),P650,P650+1)</f>
        <v>465</v>
      </c>
    </row>
    <row r="652" spans="1:19" x14ac:dyDescent="0.25">
      <c r="A652" s="2">
        <v>43386</v>
      </c>
      <c r="B652" s="1">
        <f t="shared" si="53"/>
        <v>41</v>
      </c>
      <c r="C652">
        <f t="shared" si="50"/>
        <v>10</v>
      </c>
      <c r="D652" t="str">
        <f t="shared" si="51"/>
        <v>October</v>
      </c>
      <c r="E652">
        <f t="shared" si="52"/>
        <v>2018</v>
      </c>
      <c r="F652" t="str">
        <f>CONCATENATE(calendar[[#This Row],[Month]],"/",calendar[[#This Row],[Year]])</f>
        <v>10/2018</v>
      </c>
      <c r="G652">
        <f>WEEKDAY(calendar[[#This Row],[Date]],1)</f>
        <v>7</v>
      </c>
      <c r="H652" t="str">
        <f>TEXT(calendar[[#This Row],[WeekDay]],"dddd")</f>
        <v>Saturday</v>
      </c>
      <c r="I652">
        <f>IF((INT(calendar[[#This Row],[Count]]/7)-calendar[[#This Row],[Count]]/7)&lt;0,I651,I651+1)</f>
        <v>93</v>
      </c>
      <c r="J652">
        <f t="shared" si="54"/>
        <v>650</v>
      </c>
      <c r="K652">
        <f>IF(calendar[[#This Row],[Month]]&lt;4,1,IF(calendar[[#This Row],[Month]]&lt;7,2,IF(calendar[[#This Row],[Month]]&lt;10,3,4)))</f>
        <v>4</v>
      </c>
      <c r="L652">
        <f>IFERROR(IF(VLOOKUP(calendar[[#This Row],[Date]],BH!A:A,1,)&lt;&gt;"",1,0),0)</f>
        <v>0</v>
      </c>
      <c r="M652">
        <f>IFERROR(IF(VLOOKUP(calendar[[#This Row],[Date]],BH!C:C,1,)&lt;&gt;"",1,0),0)</f>
        <v>0</v>
      </c>
      <c r="N652">
        <f>IFERROR(IF(VLOOKUP(calendar[[#This Row],[Date]],BH!E:E,1,)&lt;&gt;"",1,0),0)</f>
        <v>0</v>
      </c>
      <c r="O652">
        <f>IFERROR(IF(VLOOKUP(calendar[[#This Row],[Date]],BH!G:G,1,)&lt;&gt;"",1,0),0)</f>
        <v>0</v>
      </c>
      <c r="P652">
        <f>IF(OR(calendar[[#This Row],[UK_BH]]=1,calendar[[#This Row],[WeekDay]]=1, calendar[[#This Row],[WeekDay]]=7),P651,P651+1)</f>
        <v>465</v>
      </c>
      <c r="Q652">
        <f>IF(OR(calendar[[#This Row],[FR_BH]]=1,calendar[[#This Row],[WeekDay]]=1, calendar[[#This Row],[WeekDay]]=7),P651,P651+1)</f>
        <v>465</v>
      </c>
      <c r="R652">
        <f>IF(OR(calendar[[#This Row],[SP_BH]]=1,calendar[[#This Row],[WeekDay]]=1, calendar[[#This Row],[WeekDay]]=7),P651,P651+1)</f>
        <v>465</v>
      </c>
      <c r="S652">
        <f>IF(OR(calendar[[#This Row],[PT_BH]]=1,calendar[[#This Row],[WeekDay]]=1, calendar[[#This Row],[WeekDay]]=7),P651,P651+1)</f>
        <v>465</v>
      </c>
    </row>
    <row r="653" spans="1:19" x14ac:dyDescent="0.25">
      <c r="A653" s="2">
        <v>43387</v>
      </c>
      <c r="B653" s="1">
        <f t="shared" si="53"/>
        <v>42</v>
      </c>
      <c r="C653">
        <f t="shared" si="50"/>
        <v>10</v>
      </c>
      <c r="D653" t="str">
        <f t="shared" si="51"/>
        <v>October</v>
      </c>
      <c r="E653">
        <f t="shared" si="52"/>
        <v>2018</v>
      </c>
      <c r="F653" t="str">
        <f>CONCATENATE(calendar[[#This Row],[Month]],"/",calendar[[#This Row],[Year]])</f>
        <v>10/2018</v>
      </c>
      <c r="G653">
        <f>WEEKDAY(calendar[[#This Row],[Date]],1)</f>
        <v>1</v>
      </c>
      <c r="H653" t="str">
        <f>TEXT(calendar[[#This Row],[WeekDay]],"dddd")</f>
        <v>Sunday</v>
      </c>
      <c r="I653">
        <f>IF((INT(calendar[[#This Row],[Count]]/7)-calendar[[#This Row],[Count]]/7)&lt;0,I652,I652+1)</f>
        <v>94</v>
      </c>
      <c r="J653">
        <f t="shared" si="54"/>
        <v>651</v>
      </c>
      <c r="K653">
        <f>IF(calendar[[#This Row],[Month]]&lt;4,1,IF(calendar[[#This Row],[Month]]&lt;7,2,IF(calendar[[#This Row],[Month]]&lt;10,3,4)))</f>
        <v>4</v>
      </c>
      <c r="L653">
        <f>IFERROR(IF(VLOOKUP(calendar[[#This Row],[Date]],BH!A:A,1,)&lt;&gt;"",1,0),0)</f>
        <v>0</v>
      </c>
      <c r="M653">
        <f>IFERROR(IF(VLOOKUP(calendar[[#This Row],[Date]],BH!C:C,1,)&lt;&gt;"",1,0),0)</f>
        <v>0</v>
      </c>
      <c r="N653">
        <f>IFERROR(IF(VLOOKUP(calendar[[#This Row],[Date]],BH!E:E,1,)&lt;&gt;"",1,0),0)</f>
        <v>0</v>
      </c>
      <c r="O653">
        <f>IFERROR(IF(VLOOKUP(calendar[[#This Row],[Date]],BH!G:G,1,)&lt;&gt;"",1,0),0)</f>
        <v>0</v>
      </c>
      <c r="P653">
        <f>IF(OR(calendar[[#This Row],[UK_BH]]=1,calendar[[#This Row],[WeekDay]]=1, calendar[[#This Row],[WeekDay]]=7),P652,P652+1)</f>
        <v>465</v>
      </c>
      <c r="Q653">
        <f>IF(OR(calendar[[#This Row],[FR_BH]]=1,calendar[[#This Row],[WeekDay]]=1, calendar[[#This Row],[WeekDay]]=7),P652,P652+1)</f>
        <v>465</v>
      </c>
      <c r="R653">
        <f>IF(OR(calendar[[#This Row],[SP_BH]]=1,calendar[[#This Row],[WeekDay]]=1, calendar[[#This Row],[WeekDay]]=7),P652,P652+1)</f>
        <v>465</v>
      </c>
      <c r="S653">
        <f>IF(OR(calendar[[#This Row],[PT_BH]]=1,calendar[[#This Row],[WeekDay]]=1, calendar[[#This Row],[WeekDay]]=7),P652,P652+1)</f>
        <v>465</v>
      </c>
    </row>
    <row r="654" spans="1:19" x14ac:dyDescent="0.25">
      <c r="A654" s="2">
        <v>43388</v>
      </c>
      <c r="B654" s="1">
        <f t="shared" si="53"/>
        <v>42</v>
      </c>
      <c r="C654">
        <f t="shared" si="50"/>
        <v>10</v>
      </c>
      <c r="D654" t="str">
        <f t="shared" si="51"/>
        <v>October</v>
      </c>
      <c r="E654">
        <f t="shared" si="52"/>
        <v>2018</v>
      </c>
      <c r="F654" t="str">
        <f>CONCATENATE(calendar[[#This Row],[Month]],"/",calendar[[#This Row],[Year]])</f>
        <v>10/2018</v>
      </c>
      <c r="G654">
        <f>WEEKDAY(calendar[[#This Row],[Date]],1)</f>
        <v>2</v>
      </c>
      <c r="H654" t="str">
        <f>TEXT(calendar[[#This Row],[WeekDay]],"dddd")</f>
        <v>Monday</v>
      </c>
      <c r="I654">
        <f>IF((INT(calendar[[#This Row],[Count]]/7)-calendar[[#This Row],[Count]]/7)&lt;0,I653,I653+1)</f>
        <v>94</v>
      </c>
      <c r="J654">
        <f t="shared" si="54"/>
        <v>652</v>
      </c>
      <c r="K654">
        <f>IF(calendar[[#This Row],[Month]]&lt;4,1,IF(calendar[[#This Row],[Month]]&lt;7,2,IF(calendar[[#This Row],[Month]]&lt;10,3,4)))</f>
        <v>4</v>
      </c>
      <c r="L654">
        <f>IFERROR(IF(VLOOKUP(calendar[[#This Row],[Date]],BH!A:A,1,)&lt;&gt;"",1,0),0)</f>
        <v>0</v>
      </c>
      <c r="M654">
        <f>IFERROR(IF(VLOOKUP(calendar[[#This Row],[Date]],BH!C:C,1,)&lt;&gt;"",1,0),0)</f>
        <v>0</v>
      </c>
      <c r="N654">
        <f>IFERROR(IF(VLOOKUP(calendar[[#This Row],[Date]],BH!E:E,1,)&lt;&gt;"",1,0),0)</f>
        <v>0</v>
      </c>
      <c r="O654">
        <f>IFERROR(IF(VLOOKUP(calendar[[#This Row],[Date]],BH!G:G,1,)&lt;&gt;"",1,0),0)</f>
        <v>0</v>
      </c>
      <c r="P654">
        <f>IF(OR(calendar[[#This Row],[UK_BH]]=1,calendar[[#This Row],[WeekDay]]=1, calendar[[#This Row],[WeekDay]]=7),P653,P653+1)</f>
        <v>466</v>
      </c>
      <c r="Q654">
        <f>IF(OR(calendar[[#This Row],[FR_BH]]=1,calendar[[#This Row],[WeekDay]]=1, calendar[[#This Row],[WeekDay]]=7),P653,P653+1)</f>
        <v>466</v>
      </c>
      <c r="R654">
        <f>IF(OR(calendar[[#This Row],[SP_BH]]=1,calendar[[#This Row],[WeekDay]]=1, calendar[[#This Row],[WeekDay]]=7),P653,P653+1)</f>
        <v>466</v>
      </c>
      <c r="S654">
        <f>IF(OR(calendar[[#This Row],[PT_BH]]=1,calendar[[#This Row],[WeekDay]]=1, calendar[[#This Row],[WeekDay]]=7),P653,P653+1)</f>
        <v>466</v>
      </c>
    </row>
    <row r="655" spans="1:19" x14ac:dyDescent="0.25">
      <c r="A655" s="2">
        <v>43389</v>
      </c>
      <c r="B655" s="1">
        <f t="shared" si="53"/>
        <v>42</v>
      </c>
      <c r="C655">
        <f t="shared" si="50"/>
        <v>10</v>
      </c>
      <c r="D655" t="str">
        <f t="shared" si="51"/>
        <v>October</v>
      </c>
      <c r="E655">
        <f t="shared" si="52"/>
        <v>2018</v>
      </c>
      <c r="F655" t="str">
        <f>CONCATENATE(calendar[[#This Row],[Month]],"/",calendar[[#This Row],[Year]])</f>
        <v>10/2018</v>
      </c>
      <c r="G655">
        <f>WEEKDAY(calendar[[#This Row],[Date]],1)</f>
        <v>3</v>
      </c>
      <c r="H655" t="str">
        <f>TEXT(calendar[[#This Row],[WeekDay]],"dddd")</f>
        <v>Tuesday</v>
      </c>
      <c r="I655">
        <f>IF((INT(calendar[[#This Row],[Count]]/7)-calendar[[#This Row],[Count]]/7)&lt;0,I654,I654+1)</f>
        <v>94</v>
      </c>
      <c r="J655">
        <f t="shared" si="54"/>
        <v>653</v>
      </c>
      <c r="K655">
        <f>IF(calendar[[#This Row],[Month]]&lt;4,1,IF(calendar[[#This Row],[Month]]&lt;7,2,IF(calendar[[#This Row],[Month]]&lt;10,3,4)))</f>
        <v>4</v>
      </c>
      <c r="L655">
        <f>IFERROR(IF(VLOOKUP(calendar[[#This Row],[Date]],BH!A:A,1,)&lt;&gt;"",1,0),0)</f>
        <v>0</v>
      </c>
      <c r="M655">
        <f>IFERROR(IF(VLOOKUP(calendar[[#This Row],[Date]],BH!C:C,1,)&lt;&gt;"",1,0),0)</f>
        <v>0</v>
      </c>
      <c r="N655">
        <f>IFERROR(IF(VLOOKUP(calendar[[#This Row],[Date]],BH!E:E,1,)&lt;&gt;"",1,0),0)</f>
        <v>0</v>
      </c>
      <c r="O655">
        <f>IFERROR(IF(VLOOKUP(calendar[[#This Row],[Date]],BH!G:G,1,)&lt;&gt;"",1,0),0)</f>
        <v>0</v>
      </c>
      <c r="P655">
        <f>IF(OR(calendar[[#This Row],[UK_BH]]=1,calendar[[#This Row],[WeekDay]]=1, calendar[[#This Row],[WeekDay]]=7),P654,P654+1)</f>
        <v>467</v>
      </c>
      <c r="Q655">
        <f>IF(OR(calendar[[#This Row],[FR_BH]]=1,calendar[[#This Row],[WeekDay]]=1, calendar[[#This Row],[WeekDay]]=7),P654,P654+1)</f>
        <v>467</v>
      </c>
      <c r="R655">
        <f>IF(OR(calendar[[#This Row],[SP_BH]]=1,calendar[[#This Row],[WeekDay]]=1, calendar[[#This Row],[WeekDay]]=7),P654,P654+1)</f>
        <v>467</v>
      </c>
      <c r="S655">
        <f>IF(OR(calendar[[#This Row],[PT_BH]]=1,calendar[[#This Row],[WeekDay]]=1, calendar[[#This Row],[WeekDay]]=7),P654,P654+1)</f>
        <v>467</v>
      </c>
    </row>
    <row r="656" spans="1:19" x14ac:dyDescent="0.25">
      <c r="A656" s="2">
        <v>43390</v>
      </c>
      <c r="B656" s="1">
        <f t="shared" si="53"/>
        <v>42</v>
      </c>
      <c r="C656">
        <f t="shared" ref="C656:C719" si="55">MONTH(A656)</f>
        <v>10</v>
      </c>
      <c r="D656" t="str">
        <f t="shared" ref="D656:D719" si="56">TEXT(A656,"mmmm")</f>
        <v>October</v>
      </c>
      <c r="E656">
        <f t="shared" ref="E656:E719" si="57">YEAR(A656)</f>
        <v>2018</v>
      </c>
      <c r="F656" t="str">
        <f>CONCATENATE(calendar[[#This Row],[Month]],"/",calendar[[#This Row],[Year]])</f>
        <v>10/2018</v>
      </c>
      <c r="G656">
        <f>WEEKDAY(calendar[[#This Row],[Date]],1)</f>
        <v>4</v>
      </c>
      <c r="H656" t="str">
        <f>TEXT(calendar[[#This Row],[WeekDay]],"dddd")</f>
        <v>Wednesday</v>
      </c>
      <c r="I656">
        <f>IF((INT(calendar[[#This Row],[Count]]/7)-calendar[[#This Row],[Count]]/7)&lt;0,I655,I655+1)</f>
        <v>94</v>
      </c>
      <c r="J656">
        <f t="shared" si="54"/>
        <v>654</v>
      </c>
      <c r="K656">
        <f>IF(calendar[[#This Row],[Month]]&lt;4,1,IF(calendar[[#This Row],[Month]]&lt;7,2,IF(calendar[[#This Row],[Month]]&lt;10,3,4)))</f>
        <v>4</v>
      </c>
      <c r="L656">
        <f>IFERROR(IF(VLOOKUP(calendar[[#This Row],[Date]],BH!A:A,1,)&lt;&gt;"",1,0),0)</f>
        <v>0</v>
      </c>
      <c r="M656">
        <f>IFERROR(IF(VLOOKUP(calendar[[#This Row],[Date]],BH!C:C,1,)&lt;&gt;"",1,0),0)</f>
        <v>0</v>
      </c>
      <c r="N656">
        <f>IFERROR(IF(VLOOKUP(calendar[[#This Row],[Date]],BH!E:E,1,)&lt;&gt;"",1,0),0)</f>
        <v>0</v>
      </c>
      <c r="O656">
        <f>IFERROR(IF(VLOOKUP(calendar[[#This Row],[Date]],BH!G:G,1,)&lt;&gt;"",1,0),0)</f>
        <v>0</v>
      </c>
      <c r="P656">
        <f>IF(OR(calendar[[#This Row],[UK_BH]]=1,calendar[[#This Row],[WeekDay]]=1, calendar[[#This Row],[WeekDay]]=7),P655,P655+1)</f>
        <v>468</v>
      </c>
      <c r="Q656">
        <f>IF(OR(calendar[[#This Row],[FR_BH]]=1,calendar[[#This Row],[WeekDay]]=1, calendar[[#This Row],[WeekDay]]=7),P655,P655+1)</f>
        <v>468</v>
      </c>
      <c r="R656">
        <f>IF(OR(calendar[[#This Row],[SP_BH]]=1,calendar[[#This Row],[WeekDay]]=1, calendar[[#This Row],[WeekDay]]=7),P655,P655+1)</f>
        <v>468</v>
      </c>
      <c r="S656">
        <f>IF(OR(calendar[[#This Row],[PT_BH]]=1,calendar[[#This Row],[WeekDay]]=1, calendar[[#This Row],[WeekDay]]=7),P655,P655+1)</f>
        <v>468</v>
      </c>
    </row>
    <row r="657" spans="1:19" x14ac:dyDescent="0.25">
      <c r="A657" s="2">
        <v>43391</v>
      </c>
      <c r="B657" s="1">
        <f t="shared" si="53"/>
        <v>42</v>
      </c>
      <c r="C657">
        <f t="shared" si="55"/>
        <v>10</v>
      </c>
      <c r="D657" t="str">
        <f t="shared" si="56"/>
        <v>October</v>
      </c>
      <c r="E657">
        <f t="shared" si="57"/>
        <v>2018</v>
      </c>
      <c r="F657" t="str">
        <f>CONCATENATE(calendar[[#This Row],[Month]],"/",calendar[[#This Row],[Year]])</f>
        <v>10/2018</v>
      </c>
      <c r="G657">
        <f>WEEKDAY(calendar[[#This Row],[Date]],1)</f>
        <v>5</v>
      </c>
      <c r="H657" t="str">
        <f>TEXT(calendar[[#This Row],[WeekDay]],"dddd")</f>
        <v>Thursday</v>
      </c>
      <c r="I657">
        <f>IF((INT(calendar[[#This Row],[Count]]/7)-calendar[[#This Row],[Count]]/7)&lt;0,I656,I656+1)</f>
        <v>94</v>
      </c>
      <c r="J657">
        <f t="shared" si="54"/>
        <v>655</v>
      </c>
      <c r="K657">
        <f>IF(calendar[[#This Row],[Month]]&lt;4,1,IF(calendar[[#This Row],[Month]]&lt;7,2,IF(calendar[[#This Row],[Month]]&lt;10,3,4)))</f>
        <v>4</v>
      </c>
      <c r="L657">
        <f>IFERROR(IF(VLOOKUP(calendar[[#This Row],[Date]],BH!A:A,1,)&lt;&gt;"",1,0),0)</f>
        <v>0</v>
      </c>
      <c r="M657">
        <f>IFERROR(IF(VLOOKUP(calendar[[#This Row],[Date]],BH!C:C,1,)&lt;&gt;"",1,0),0)</f>
        <v>0</v>
      </c>
      <c r="N657">
        <f>IFERROR(IF(VLOOKUP(calendar[[#This Row],[Date]],BH!E:E,1,)&lt;&gt;"",1,0),0)</f>
        <v>0</v>
      </c>
      <c r="O657">
        <f>IFERROR(IF(VLOOKUP(calendar[[#This Row],[Date]],BH!G:G,1,)&lt;&gt;"",1,0),0)</f>
        <v>0</v>
      </c>
      <c r="P657">
        <f>IF(OR(calendar[[#This Row],[UK_BH]]=1,calendar[[#This Row],[WeekDay]]=1, calendar[[#This Row],[WeekDay]]=7),P656,P656+1)</f>
        <v>469</v>
      </c>
      <c r="Q657">
        <f>IF(OR(calendar[[#This Row],[FR_BH]]=1,calendar[[#This Row],[WeekDay]]=1, calendar[[#This Row],[WeekDay]]=7),P656,P656+1)</f>
        <v>469</v>
      </c>
      <c r="R657">
        <f>IF(OR(calendar[[#This Row],[SP_BH]]=1,calendar[[#This Row],[WeekDay]]=1, calendar[[#This Row],[WeekDay]]=7),P656,P656+1)</f>
        <v>469</v>
      </c>
      <c r="S657">
        <f>IF(OR(calendar[[#This Row],[PT_BH]]=1,calendar[[#This Row],[WeekDay]]=1, calendar[[#This Row],[WeekDay]]=7),P656,P656+1)</f>
        <v>469</v>
      </c>
    </row>
    <row r="658" spans="1:19" x14ac:dyDescent="0.25">
      <c r="A658" s="2">
        <v>43392</v>
      </c>
      <c r="B658" s="1">
        <f t="shared" si="53"/>
        <v>42</v>
      </c>
      <c r="C658">
        <f t="shared" si="55"/>
        <v>10</v>
      </c>
      <c r="D658" t="str">
        <f t="shared" si="56"/>
        <v>October</v>
      </c>
      <c r="E658">
        <f t="shared" si="57"/>
        <v>2018</v>
      </c>
      <c r="F658" t="str">
        <f>CONCATENATE(calendar[[#This Row],[Month]],"/",calendar[[#This Row],[Year]])</f>
        <v>10/2018</v>
      </c>
      <c r="G658">
        <f>WEEKDAY(calendar[[#This Row],[Date]],1)</f>
        <v>6</v>
      </c>
      <c r="H658" t="str">
        <f>TEXT(calendar[[#This Row],[WeekDay]],"dddd")</f>
        <v>Friday</v>
      </c>
      <c r="I658">
        <f>IF((INT(calendar[[#This Row],[Count]]/7)-calendar[[#This Row],[Count]]/7)&lt;0,I657,I657+1)</f>
        <v>94</v>
      </c>
      <c r="J658">
        <f t="shared" si="54"/>
        <v>656</v>
      </c>
      <c r="K658">
        <f>IF(calendar[[#This Row],[Month]]&lt;4,1,IF(calendar[[#This Row],[Month]]&lt;7,2,IF(calendar[[#This Row],[Month]]&lt;10,3,4)))</f>
        <v>4</v>
      </c>
      <c r="L658">
        <f>IFERROR(IF(VLOOKUP(calendar[[#This Row],[Date]],BH!A:A,1,)&lt;&gt;"",1,0),0)</f>
        <v>0</v>
      </c>
      <c r="M658">
        <f>IFERROR(IF(VLOOKUP(calendar[[#This Row],[Date]],BH!C:C,1,)&lt;&gt;"",1,0),0)</f>
        <v>0</v>
      </c>
      <c r="N658">
        <f>IFERROR(IF(VLOOKUP(calendar[[#This Row],[Date]],BH!E:E,1,)&lt;&gt;"",1,0),0)</f>
        <v>0</v>
      </c>
      <c r="O658">
        <f>IFERROR(IF(VLOOKUP(calendar[[#This Row],[Date]],BH!G:G,1,)&lt;&gt;"",1,0),0)</f>
        <v>0</v>
      </c>
      <c r="P658">
        <f>IF(OR(calendar[[#This Row],[UK_BH]]=1,calendar[[#This Row],[WeekDay]]=1, calendar[[#This Row],[WeekDay]]=7),P657,P657+1)</f>
        <v>470</v>
      </c>
      <c r="Q658">
        <f>IF(OR(calendar[[#This Row],[FR_BH]]=1,calendar[[#This Row],[WeekDay]]=1, calendar[[#This Row],[WeekDay]]=7),P657,P657+1)</f>
        <v>470</v>
      </c>
      <c r="R658">
        <f>IF(OR(calendar[[#This Row],[SP_BH]]=1,calendar[[#This Row],[WeekDay]]=1, calendar[[#This Row],[WeekDay]]=7),P657,P657+1)</f>
        <v>470</v>
      </c>
      <c r="S658">
        <f>IF(OR(calendar[[#This Row],[PT_BH]]=1,calendar[[#This Row],[WeekDay]]=1, calendar[[#This Row],[WeekDay]]=7),P657,P657+1)</f>
        <v>470</v>
      </c>
    </row>
    <row r="659" spans="1:19" x14ac:dyDescent="0.25">
      <c r="A659" s="2">
        <v>43393</v>
      </c>
      <c r="B659" s="1">
        <f t="shared" si="53"/>
        <v>42</v>
      </c>
      <c r="C659">
        <f t="shared" si="55"/>
        <v>10</v>
      </c>
      <c r="D659" t="str">
        <f t="shared" si="56"/>
        <v>October</v>
      </c>
      <c r="E659">
        <f t="shared" si="57"/>
        <v>2018</v>
      </c>
      <c r="F659" t="str">
        <f>CONCATENATE(calendar[[#This Row],[Month]],"/",calendar[[#This Row],[Year]])</f>
        <v>10/2018</v>
      </c>
      <c r="G659">
        <f>WEEKDAY(calendar[[#This Row],[Date]],1)</f>
        <v>7</v>
      </c>
      <c r="H659" t="str">
        <f>TEXT(calendar[[#This Row],[WeekDay]],"dddd")</f>
        <v>Saturday</v>
      </c>
      <c r="I659">
        <f>IF((INT(calendar[[#This Row],[Count]]/7)-calendar[[#This Row],[Count]]/7)&lt;0,I658,I658+1)</f>
        <v>94</v>
      </c>
      <c r="J659">
        <f t="shared" si="54"/>
        <v>657</v>
      </c>
      <c r="K659">
        <f>IF(calendar[[#This Row],[Month]]&lt;4,1,IF(calendar[[#This Row],[Month]]&lt;7,2,IF(calendar[[#This Row],[Month]]&lt;10,3,4)))</f>
        <v>4</v>
      </c>
      <c r="L659">
        <f>IFERROR(IF(VLOOKUP(calendar[[#This Row],[Date]],BH!A:A,1,)&lt;&gt;"",1,0),0)</f>
        <v>0</v>
      </c>
      <c r="M659">
        <f>IFERROR(IF(VLOOKUP(calendar[[#This Row],[Date]],BH!C:C,1,)&lt;&gt;"",1,0),0)</f>
        <v>0</v>
      </c>
      <c r="N659">
        <f>IFERROR(IF(VLOOKUP(calendar[[#This Row],[Date]],BH!E:E,1,)&lt;&gt;"",1,0),0)</f>
        <v>0</v>
      </c>
      <c r="O659">
        <f>IFERROR(IF(VLOOKUP(calendar[[#This Row],[Date]],BH!G:G,1,)&lt;&gt;"",1,0),0)</f>
        <v>0</v>
      </c>
      <c r="P659">
        <f>IF(OR(calendar[[#This Row],[UK_BH]]=1,calendar[[#This Row],[WeekDay]]=1, calendar[[#This Row],[WeekDay]]=7),P658,P658+1)</f>
        <v>470</v>
      </c>
      <c r="Q659">
        <f>IF(OR(calendar[[#This Row],[FR_BH]]=1,calendar[[#This Row],[WeekDay]]=1, calendar[[#This Row],[WeekDay]]=7),P658,P658+1)</f>
        <v>470</v>
      </c>
      <c r="R659">
        <f>IF(OR(calendar[[#This Row],[SP_BH]]=1,calendar[[#This Row],[WeekDay]]=1, calendar[[#This Row],[WeekDay]]=7),P658,P658+1)</f>
        <v>470</v>
      </c>
      <c r="S659">
        <f>IF(OR(calendar[[#This Row],[PT_BH]]=1,calendar[[#This Row],[WeekDay]]=1, calendar[[#This Row],[WeekDay]]=7),P658,P658+1)</f>
        <v>470</v>
      </c>
    </row>
    <row r="660" spans="1:19" x14ac:dyDescent="0.25">
      <c r="A660" s="2">
        <v>43394</v>
      </c>
      <c r="B660" s="1">
        <f t="shared" si="53"/>
        <v>43</v>
      </c>
      <c r="C660">
        <f t="shared" si="55"/>
        <v>10</v>
      </c>
      <c r="D660" t="str">
        <f t="shared" si="56"/>
        <v>October</v>
      </c>
      <c r="E660">
        <f t="shared" si="57"/>
        <v>2018</v>
      </c>
      <c r="F660" t="str">
        <f>CONCATENATE(calendar[[#This Row],[Month]],"/",calendar[[#This Row],[Year]])</f>
        <v>10/2018</v>
      </c>
      <c r="G660">
        <f>WEEKDAY(calendar[[#This Row],[Date]],1)</f>
        <v>1</v>
      </c>
      <c r="H660" t="str">
        <f>TEXT(calendar[[#This Row],[WeekDay]],"dddd")</f>
        <v>Sunday</v>
      </c>
      <c r="I660">
        <f>IF((INT(calendar[[#This Row],[Count]]/7)-calendar[[#This Row],[Count]]/7)&lt;0,I659,I659+1)</f>
        <v>95</v>
      </c>
      <c r="J660">
        <f t="shared" si="54"/>
        <v>658</v>
      </c>
      <c r="K660">
        <f>IF(calendar[[#This Row],[Month]]&lt;4,1,IF(calendar[[#This Row],[Month]]&lt;7,2,IF(calendar[[#This Row],[Month]]&lt;10,3,4)))</f>
        <v>4</v>
      </c>
      <c r="L660">
        <f>IFERROR(IF(VLOOKUP(calendar[[#This Row],[Date]],BH!A:A,1,)&lt;&gt;"",1,0),0)</f>
        <v>0</v>
      </c>
      <c r="M660">
        <f>IFERROR(IF(VLOOKUP(calendar[[#This Row],[Date]],BH!C:C,1,)&lt;&gt;"",1,0),0)</f>
        <v>0</v>
      </c>
      <c r="N660">
        <f>IFERROR(IF(VLOOKUP(calendar[[#This Row],[Date]],BH!E:E,1,)&lt;&gt;"",1,0),0)</f>
        <v>0</v>
      </c>
      <c r="O660">
        <f>IFERROR(IF(VLOOKUP(calendar[[#This Row],[Date]],BH!G:G,1,)&lt;&gt;"",1,0),0)</f>
        <v>0</v>
      </c>
      <c r="P660">
        <f>IF(OR(calendar[[#This Row],[UK_BH]]=1,calendar[[#This Row],[WeekDay]]=1, calendar[[#This Row],[WeekDay]]=7),P659,P659+1)</f>
        <v>470</v>
      </c>
      <c r="Q660">
        <f>IF(OR(calendar[[#This Row],[FR_BH]]=1,calendar[[#This Row],[WeekDay]]=1, calendar[[#This Row],[WeekDay]]=7),P659,P659+1)</f>
        <v>470</v>
      </c>
      <c r="R660">
        <f>IF(OR(calendar[[#This Row],[SP_BH]]=1,calendar[[#This Row],[WeekDay]]=1, calendar[[#This Row],[WeekDay]]=7),P659,P659+1)</f>
        <v>470</v>
      </c>
      <c r="S660">
        <f>IF(OR(calendar[[#This Row],[PT_BH]]=1,calendar[[#This Row],[WeekDay]]=1, calendar[[#This Row],[WeekDay]]=7),P659,P659+1)</f>
        <v>470</v>
      </c>
    </row>
    <row r="661" spans="1:19" x14ac:dyDescent="0.25">
      <c r="A661" s="2">
        <v>43395</v>
      </c>
      <c r="B661" s="1">
        <f t="shared" si="53"/>
        <v>43</v>
      </c>
      <c r="C661">
        <f t="shared" si="55"/>
        <v>10</v>
      </c>
      <c r="D661" t="str">
        <f t="shared" si="56"/>
        <v>October</v>
      </c>
      <c r="E661">
        <f t="shared" si="57"/>
        <v>2018</v>
      </c>
      <c r="F661" t="str">
        <f>CONCATENATE(calendar[[#This Row],[Month]],"/",calendar[[#This Row],[Year]])</f>
        <v>10/2018</v>
      </c>
      <c r="G661">
        <f>WEEKDAY(calendar[[#This Row],[Date]],1)</f>
        <v>2</v>
      </c>
      <c r="H661" t="str">
        <f>TEXT(calendar[[#This Row],[WeekDay]],"dddd")</f>
        <v>Monday</v>
      </c>
      <c r="I661">
        <f>IF((INT(calendar[[#This Row],[Count]]/7)-calendar[[#This Row],[Count]]/7)&lt;0,I660,I660+1)</f>
        <v>95</v>
      </c>
      <c r="J661">
        <f t="shared" si="54"/>
        <v>659</v>
      </c>
      <c r="K661">
        <f>IF(calendar[[#This Row],[Month]]&lt;4,1,IF(calendar[[#This Row],[Month]]&lt;7,2,IF(calendar[[#This Row],[Month]]&lt;10,3,4)))</f>
        <v>4</v>
      </c>
      <c r="L661">
        <f>IFERROR(IF(VLOOKUP(calendar[[#This Row],[Date]],BH!A:A,1,)&lt;&gt;"",1,0),0)</f>
        <v>0</v>
      </c>
      <c r="M661">
        <f>IFERROR(IF(VLOOKUP(calendar[[#This Row],[Date]],BH!C:C,1,)&lt;&gt;"",1,0),0)</f>
        <v>0</v>
      </c>
      <c r="N661">
        <f>IFERROR(IF(VLOOKUP(calendar[[#This Row],[Date]],BH!E:E,1,)&lt;&gt;"",1,0),0)</f>
        <v>0</v>
      </c>
      <c r="O661">
        <f>IFERROR(IF(VLOOKUP(calendar[[#This Row],[Date]],BH!G:G,1,)&lt;&gt;"",1,0),0)</f>
        <v>0</v>
      </c>
      <c r="P661">
        <f>IF(OR(calendar[[#This Row],[UK_BH]]=1,calendar[[#This Row],[WeekDay]]=1, calendar[[#This Row],[WeekDay]]=7),P660,P660+1)</f>
        <v>471</v>
      </c>
      <c r="Q661">
        <f>IF(OR(calendar[[#This Row],[FR_BH]]=1,calendar[[#This Row],[WeekDay]]=1, calendar[[#This Row],[WeekDay]]=7),P660,P660+1)</f>
        <v>471</v>
      </c>
      <c r="R661">
        <f>IF(OR(calendar[[#This Row],[SP_BH]]=1,calendar[[#This Row],[WeekDay]]=1, calendar[[#This Row],[WeekDay]]=7),P660,P660+1)</f>
        <v>471</v>
      </c>
      <c r="S661">
        <f>IF(OR(calendar[[#This Row],[PT_BH]]=1,calendar[[#This Row],[WeekDay]]=1, calendar[[#This Row],[WeekDay]]=7),P660,P660+1)</f>
        <v>471</v>
      </c>
    </row>
    <row r="662" spans="1:19" x14ac:dyDescent="0.25">
      <c r="A662" s="2">
        <v>43396</v>
      </c>
      <c r="B662" s="1">
        <f t="shared" si="53"/>
        <v>43</v>
      </c>
      <c r="C662">
        <f t="shared" si="55"/>
        <v>10</v>
      </c>
      <c r="D662" t="str">
        <f t="shared" si="56"/>
        <v>October</v>
      </c>
      <c r="E662">
        <f t="shared" si="57"/>
        <v>2018</v>
      </c>
      <c r="F662" t="str">
        <f>CONCATENATE(calendar[[#This Row],[Month]],"/",calendar[[#This Row],[Year]])</f>
        <v>10/2018</v>
      </c>
      <c r="G662">
        <f>WEEKDAY(calendar[[#This Row],[Date]],1)</f>
        <v>3</v>
      </c>
      <c r="H662" t="str">
        <f>TEXT(calendar[[#This Row],[WeekDay]],"dddd")</f>
        <v>Tuesday</v>
      </c>
      <c r="I662">
        <f>IF((INT(calendar[[#This Row],[Count]]/7)-calendar[[#This Row],[Count]]/7)&lt;0,I661,I661+1)</f>
        <v>95</v>
      </c>
      <c r="J662">
        <f t="shared" si="54"/>
        <v>660</v>
      </c>
      <c r="K662">
        <f>IF(calendar[[#This Row],[Month]]&lt;4,1,IF(calendar[[#This Row],[Month]]&lt;7,2,IF(calendar[[#This Row],[Month]]&lt;10,3,4)))</f>
        <v>4</v>
      </c>
      <c r="L662">
        <f>IFERROR(IF(VLOOKUP(calendar[[#This Row],[Date]],BH!A:A,1,)&lt;&gt;"",1,0),0)</f>
        <v>0</v>
      </c>
      <c r="M662">
        <f>IFERROR(IF(VLOOKUP(calendar[[#This Row],[Date]],BH!C:C,1,)&lt;&gt;"",1,0),0)</f>
        <v>0</v>
      </c>
      <c r="N662">
        <f>IFERROR(IF(VLOOKUP(calendar[[#This Row],[Date]],BH!E:E,1,)&lt;&gt;"",1,0),0)</f>
        <v>0</v>
      </c>
      <c r="O662">
        <f>IFERROR(IF(VLOOKUP(calendar[[#This Row],[Date]],BH!G:G,1,)&lt;&gt;"",1,0),0)</f>
        <v>0</v>
      </c>
      <c r="P662">
        <f>IF(OR(calendar[[#This Row],[UK_BH]]=1,calendar[[#This Row],[WeekDay]]=1, calendar[[#This Row],[WeekDay]]=7),P661,P661+1)</f>
        <v>472</v>
      </c>
      <c r="Q662">
        <f>IF(OR(calendar[[#This Row],[FR_BH]]=1,calendar[[#This Row],[WeekDay]]=1, calendar[[#This Row],[WeekDay]]=7),P661,P661+1)</f>
        <v>472</v>
      </c>
      <c r="R662">
        <f>IF(OR(calendar[[#This Row],[SP_BH]]=1,calendar[[#This Row],[WeekDay]]=1, calendar[[#This Row],[WeekDay]]=7),P661,P661+1)</f>
        <v>472</v>
      </c>
      <c r="S662">
        <f>IF(OR(calendar[[#This Row],[PT_BH]]=1,calendar[[#This Row],[WeekDay]]=1, calendar[[#This Row],[WeekDay]]=7),P661,P661+1)</f>
        <v>472</v>
      </c>
    </row>
    <row r="663" spans="1:19" x14ac:dyDescent="0.25">
      <c r="A663" s="2">
        <v>43397</v>
      </c>
      <c r="B663" s="1">
        <f t="shared" si="53"/>
        <v>43</v>
      </c>
      <c r="C663">
        <f t="shared" si="55"/>
        <v>10</v>
      </c>
      <c r="D663" t="str">
        <f t="shared" si="56"/>
        <v>October</v>
      </c>
      <c r="E663">
        <f t="shared" si="57"/>
        <v>2018</v>
      </c>
      <c r="F663" t="str">
        <f>CONCATENATE(calendar[[#This Row],[Month]],"/",calendar[[#This Row],[Year]])</f>
        <v>10/2018</v>
      </c>
      <c r="G663">
        <f>WEEKDAY(calendar[[#This Row],[Date]],1)</f>
        <v>4</v>
      </c>
      <c r="H663" t="str">
        <f>TEXT(calendar[[#This Row],[WeekDay]],"dddd")</f>
        <v>Wednesday</v>
      </c>
      <c r="I663">
        <f>IF((INT(calendar[[#This Row],[Count]]/7)-calendar[[#This Row],[Count]]/7)&lt;0,I662,I662+1)</f>
        <v>95</v>
      </c>
      <c r="J663">
        <f t="shared" si="54"/>
        <v>661</v>
      </c>
      <c r="K663">
        <f>IF(calendar[[#This Row],[Month]]&lt;4,1,IF(calendar[[#This Row],[Month]]&lt;7,2,IF(calendar[[#This Row],[Month]]&lt;10,3,4)))</f>
        <v>4</v>
      </c>
      <c r="L663">
        <f>IFERROR(IF(VLOOKUP(calendar[[#This Row],[Date]],BH!A:A,1,)&lt;&gt;"",1,0),0)</f>
        <v>0</v>
      </c>
      <c r="M663">
        <f>IFERROR(IF(VLOOKUP(calendar[[#This Row],[Date]],BH!C:C,1,)&lt;&gt;"",1,0),0)</f>
        <v>0</v>
      </c>
      <c r="N663">
        <f>IFERROR(IF(VLOOKUP(calendar[[#This Row],[Date]],BH!E:E,1,)&lt;&gt;"",1,0),0)</f>
        <v>0</v>
      </c>
      <c r="O663">
        <f>IFERROR(IF(VLOOKUP(calendar[[#This Row],[Date]],BH!G:G,1,)&lt;&gt;"",1,0),0)</f>
        <v>0</v>
      </c>
      <c r="P663">
        <f>IF(OR(calendar[[#This Row],[UK_BH]]=1,calendar[[#This Row],[WeekDay]]=1, calendar[[#This Row],[WeekDay]]=7),P662,P662+1)</f>
        <v>473</v>
      </c>
      <c r="Q663">
        <f>IF(OR(calendar[[#This Row],[FR_BH]]=1,calendar[[#This Row],[WeekDay]]=1, calendar[[#This Row],[WeekDay]]=7),P662,P662+1)</f>
        <v>473</v>
      </c>
      <c r="R663">
        <f>IF(OR(calendar[[#This Row],[SP_BH]]=1,calendar[[#This Row],[WeekDay]]=1, calendar[[#This Row],[WeekDay]]=7),P662,P662+1)</f>
        <v>473</v>
      </c>
      <c r="S663">
        <f>IF(OR(calendar[[#This Row],[PT_BH]]=1,calendar[[#This Row],[WeekDay]]=1, calendar[[#This Row],[WeekDay]]=7),P662,P662+1)</f>
        <v>473</v>
      </c>
    </row>
    <row r="664" spans="1:19" x14ac:dyDescent="0.25">
      <c r="A664" s="2">
        <v>43398</v>
      </c>
      <c r="B664" s="1">
        <f t="shared" si="53"/>
        <v>43</v>
      </c>
      <c r="C664">
        <f t="shared" si="55"/>
        <v>10</v>
      </c>
      <c r="D664" t="str">
        <f t="shared" si="56"/>
        <v>October</v>
      </c>
      <c r="E664">
        <f t="shared" si="57"/>
        <v>2018</v>
      </c>
      <c r="F664" t="str">
        <f>CONCATENATE(calendar[[#This Row],[Month]],"/",calendar[[#This Row],[Year]])</f>
        <v>10/2018</v>
      </c>
      <c r="G664">
        <f>WEEKDAY(calendar[[#This Row],[Date]],1)</f>
        <v>5</v>
      </c>
      <c r="H664" t="str">
        <f>TEXT(calendar[[#This Row],[WeekDay]],"dddd")</f>
        <v>Thursday</v>
      </c>
      <c r="I664">
        <f>IF((INT(calendar[[#This Row],[Count]]/7)-calendar[[#This Row],[Count]]/7)&lt;0,I663,I663+1)</f>
        <v>95</v>
      </c>
      <c r="J664">
        <f t="shared" si="54"/>
        <v>662</v>
      </c>
      <c r="K664">
        <f>IF(calendar[[#This Row],[Month]]&lt;4,1,IF(calendar[[#This Row],[Month]]&lt;7,2,IF(calendar[[#This Row],[Month]]&lt;10,3,4)))</f>
        <v>4</v>
      </c>
      <c r="L664">
        <f>IFERROR(IF(VLOOKUP(calendar[[#This Row],[Date]],BH!A:A,1,)&lt;&gt;"",1,0),0)</f>
        <v>0</v>
      </c>
      <c r="M664">
        <f>IFERROR(IF(VLOOKUP(calendar[[#This Row],[Date]],BH!C:C,1,)&lt;&gt;"",1,0),0)</f>
        <v>0</v>
      </c>
      <c r="N664">
        <f>IFERROR(IF(VLOOKUP(calendar[[#This Row],[Date]],BH!E:E,1,)&lt;&gt;"",1,0),0)</f>
        <v>0</v>
      </c>
      <c r="O664">
        <f>IFERROR(IF(VLOOKUP(calendar[[#This Row],[Date]],BH!G:G,1,)&lt;&gt;"",1,0),0)</f>
        <v>0</v>
      </c>
      <c r="P664">
        <f>IF(OR(calendar[[#This Row],[UK_BH]]=1,calendar[[#This Row],[WeekDay]]=1, calendar[[#This Row],[WeekDay]]=7),P663,P663+1)</f>
        <v>474</v>
      </c>
      <c r="Q664">
        <f>IF(OR(calendar[[#This Row],[FR_BH]]=1,calendar[[#This Row],[WeekDay]]=1, calendar[[#This Row],[WeekDay]]=7),P663,P663+1)</f>
        <v>474</v>
      </c>
      <c r="R664">
        <f>IF(OR(calendar[[#This Row],[SP_BH]]=1,calendar[[#This Row],[WeekDay]]=1, calendar[[#This Row],[WeekDay]]=7),P663,P663+1)</f>
        <v>474</v>
      </c>
      <c r="S664">
        <f>IF(OR(calendar[[#This Row],[PT_BH]]=1,calendar[[#This Row],[WeekDay]]=1, calendar[[#This Row],[WeekDay]]=7),P663,P663+1)</f>
        <v>474</v>
      </c>
    </row>
    <row r="665" spans="1:19" x14ac:dyDescent="0.25">
      <c r="A665" s="2">
        <v>43399</v>
      </c>
      <c r="B665" s="1">
        <f t="shared" si="53"/>
        <v>43</v>
      </c>
      <c r="C665">
        <f t="shared" si="55"/>
        <v>10</v>
      </c>
      <c r="D665" t="str">
        <f t="shared" si="56"/>
        <v>October</v>
      </c>
      <c r="E665">
        <f t="shared" si="57"/>
        <v>2018</v>
      </c>
      <c r="F665" t="str">
        <f>CONCATENATE(calendar[[#This Row],[Month]],"/",calendar[[#This Row],[Year]])</f>
        <v>10/2018</v>
      </c>
      <c r="G665">
        <f>WEEKDAY(calendar[[#This Row],[Date]],1)</f>
        <v>6</v>
      </c>
      <c r="H665" t="str">
        <f>TEXT(calendar[[#This Row],[WeekDay]],"dddd")</f>
        <v>Friday</v>
      </c>
      <c r="I665">
        <f>IF((INT(calendar[[#This Row],[Count]]/7)-calendar[[#This Row],[Count]]/7)&lt;0,I664,I664+1)</f>
        <v>95</v>
      </c>
      <c r="J665">
        <f t="shared" si="54"/>
        <v>663</v>
      </c>
      <c r="K665">
        <f>IF(calendar[[#This Row],[Month]]&lt;4,1,IF(calendar[[#This Row],[Month]]&lt;7,2,IF(calendar[[#This Row],[Month]]&lt;10,3,4)))</f>
        <v>4</v>
      </c>
      <c r="L665">
        <f>IFERROR(IF(VLOOKUP(calendar[[#This Row],[Date]],BH!A:A,1,)&lt;&gt;"",1,0),0)</f>
        <v>0</v>
      </c>
      <c r="M665">
        <f>IFERROR(IF(VLOOKUP(calendar[[#This Row],[Date]],BH!C:C,1,)&lt;&gt;"",1,0),0)</f>
        <v>0</v>
      </c>
      <c r="N665">
        <f>IFERROR(IF(VLOOKUP(calendar[[#This Row],[Date]],BH!E:E,1,)&lt;&gt;"",1,0),0)</f>
        <v>0</v>
      </c>
      <c r="O665">
        <f>IFERROR(IF(VLOOKUP(calendar[[#This Row],[Date]],BH!G:G,1,)&lt;&gt;"",1,0),0)</f>
        <v>0</v>
      </c>
      <c r="P665">
        <f>IF(OR(calendar[[#This Row],[UK_BH]]=1,calendar[[#This Row],[WeekDay]]=1, calendar[[#This Row],[WeekDay]]=7),P664,P664+1)</f>
        <v>475</v>
      </c>
      <c r="Q665">
        <f>IF(OR(calendar[[#This Row],[FR_BH]]=1,calendar[[#This Row],[WeekDay]]=1, calendar[[#This Row],[WeekDay]]=7),P664,P664+1)</f>
        <v>475</v>
      </c>
      <c r="R665">
        <f>IF(OR(calendar[[#This Row],[SP_BH]]=1,calendar[[#This Row],[WeekDay]]=1, calendar[[#This Row],[WeekDay]]=7),P664,P664+1)</f>
        <v>475</v>
      </c>
      <c r="S665">
        <f>IF(OR(calendar[[#This Row],[PT_BH]]=1,calendar[[#This Row],[WeekDay]]=1, calendar[[#This Row],[WeekDay]]=7),P664,P664+1)</f>
        <v>475</v>
      </c>
    </row>
    <row r="666" spans="1:19" x14ac:dyDescent="0.25">
      <c r="A666" s="2">
        <v>43400</v>
      </c>
      <c r="B666" s="1">
        <f t="shared" si="53"/>
        <v>43</v>
      </c>
      <c r="C666">
        <f t="shared" si="55"/>
        <v>10</v>
      </c>
      <c r="D666" t="str">
        <f t="shared" si="56"/>
        <v>October</v>
      </c>
      <c r="E666">
        <f t="shared" si="57"/>
        <v>2018</v>
      </c>
      <c r="F666" t="str">
        <f>CONCATENATE(calendar[[#This Row],[Month]],"/",calendar[[#This Row],[Year]])</f>
        <v>10/2018</v>
      </c>
      <c r="G666">
        <f>WEEKDAY(calendar[[#This Row],[Date]],1)</f>
        <v>7</v>
      </c>
      <c r="H666" t="str">
        <f>TEXT(calendar[[#This Row],[WeekDay]],"dddd")</f>
        <v>Saturday</v>
      </c>
      <c r="I666">
        <f>IF((INT(calendar[[#This Row],[Count]]/7)-calendar[[#This Row],[Count]]/7)&lt;0,I665,I665+1)</f>
        <v>95</v>
      </c>
      <c r="J666">
        <f t="shared" si="54"/>
        <v>664</v>
      </c>
      <c r="K666">
        <f>IF(calendar[[#This Row],[Month]]&lt;4,1,IF(calendar[[#This Row],[Month]]&lt;7,2,IF(calendar[[#This Row],[Month]]&lt;10,3,4)))</f>
        <v>4</v>
      </c>
      <c r="L666">
        <f>IFERROR(IF(VLOOKUP(calendar[[#This Row],[Date]],BH!A:A,1,)&lt;&gt;"",1,0),0)</f>
        <v>0</v>
      </c>
      <c r="M666">
        <f>IFERROR(IF(VLOOKUP(calendar[[#This Row],[Date]],BH!C:C,1,)&lt;&gt;"",1,0),0)</f>
        <v>0</v>
      </c>
      <c r="N666">
        <f>IFERROR(IF(VLOOKUP(calendar[[#This Row],[Date]],BH!E:E,1,)&lt;&gt;"",1,0),0)</f>
        <v>0</v>
      </c>
      <c r="O666">
        <f>IFERROR(IF(VLOOKUP(calendar[[#This Row],[Date]],BH!G:G,1,)&lt;&gt;"",1,0),0)</f>
        <v>0</v>
      </c>
      <c r="P666">
        <f>IF(OR(calendar[[#This Row],[UK_BH]]=1,calendar[[#This Row],[WeekDay]]=1, calendar[[#This Row],[WeekDay]]=7),P665,P665+1)</f>
        <v>475</v>
      </c>
      <c r="Q666">
        <f>IF(OR(calendar[[#This Row],[FR_BH]]=1,calendar[[#This Row],[WeekDay]]=1, calendar[[#This Row],[WeekDay]]=7),P665,P665+1)</f>
        <v>475</v>
      </c>
      <c r="R666">
        <f>IF(OR(calendar[[#This Row],[SP_BH]]=1,calendar[[#This Row],[WeekDay]]=1, calendar[[#This Row],[WeekDay]]=7),P665,P665+1)</f>
        <v>475</v>
      </c>
      <c r="S666">
        <f>IF(OR(calendar[[#This Row],[PT_BH]]=1,calendar[[#This Row],[WeekDay]]=1, calendar[[#This Row],[WeekDay]]=7),P665,P665+1)</f>
        <v>475</v>
      </c>
    </row>
    <row r="667" spans="1:19" x14ac:dyDescent="0.25">
      <c r="A667" s="2">
        <v>43401</v>
      </c>
      <c r="B667" s="1">
        <f t="shared" si="53"/>
        <v>44</v>
      </c>
      <c r="C667">
        <f t="shared" si="55"/>
        <v>10</v>
      </c>
      <c r="D667" t="str">
        <f t="shared" si="56"/>
        <v>October</v>
      </c>
      <c r="E667">
        <f t="shared" si="57"/>
        <v>2018</v>
      </c>
      <c r="F667" t="str">
        <f>CONCATENATE(calendar[[#This Row],[Month]],"/",calendar[[#This Row],[Year]])</f>
        <v>10/2018</v>
      </c>
      <c r="G667">
        <f>WEEKDAY(calendar[[#This Row],[Date]],1)</f>
        <v>1</v>
      </c>
      <c r="H667" t="str">
        <f>TEXT(calendar[[#This Row],[WeekDay]],"dddd")</f>
        <v>Sunday</v>
      </c>
      <c r="I667">
        <f>IF((INT(calendar[[#This Row],[Count]]/7)-calendar[[#This Row],[Count]]/7)&lt;0,I666,I666+1)</f>
        <v>96</v>
      </c>
      <c r="J667">
        <f t="shared" si="54"/>
        <v>665</v>
      </c>
      <c r="K667">
        <f>IF(calendar[[#This Row],[Month]]&lt;4,1,IF(calendar[[#This Row],[Month]]&lt;7,2,IF(calendar[[#This Row],[Month]]&lt;10,3,4)))</f>
        <v>4</v>
      </c>
      <c r="L667">
        <f>IFERROR(IF(VLOOKUP(calendar[[#This Row],[Date]],BH!A:A,1,)&lt;&gt;"",1,0),0)</f>
        <v>0</v>
      </c>
      <c r="M667">
        <f>IFERROR(IF(VLOOKUP(calendar[[#This Row],[Date]],BH!C:C,1,)&lt;&gt;"",1,0),0)</f>
        <v>0</v>
      </c>
      <c r="N667">
        <f>IFERROR(IF(VLOOKUP(calendar[[#This Row],[Date]],BH!E:E,1,)&lt;&gt;"",1,0),0)</f>
        <v>0</v>
      </c>
      <c r="O667">
        <f>IFERROR(IF(VLOOKUP(calendar[[#This Row],[Date]],BH!G:G,1,)&lt;&gt;"",1,0),0)</f>
        <v>0</v>
      </c>
      <c r="P667">
        <f>IF(OR(calendar[[#This Row],[UK_BH]]=1,calendar[[#This Row],[WeekDay]]=1, calendar[[#This Row],[WeekDay]]=7),P666,P666+1)</f>
        <v>475</v>
      </c>
      <c r="Q667">
        <f>IF(OR(calendar[[#This Row],[FR_BH]]=1,calendar[[#This Row],[WeekDay]]=1, calendar[[#This Row],[WeekDay]]=7),P666,P666+1)</f>
        <v>475</v>
      </c>
      <c r="R667">
        <f>IF(OR(calendar[[#This Row],[SP_BH]]=1,calendar[[#This Row],[WeekDay]]=1, calendar[[#This Row],[WeekDay]]=7),P666,P666+1)</f>
        <v>475</v>
      </c>
      <c r="S667">
        <f>IF(OR(calendar[[#This Row],[PT_BH]]=1,calendar[[#This Row],[WeekDay]]=1, calendar[[#This Row],[WeekDay]]=7),P666,P666+1)</f>
        <v>475</v>
      </c>
    </row>
    <row r="668" spans="1:19" x14ac:dyDescent="0.25">
      <c r="A668" s="2">
        <v>43402</v>
      </c>
      <c r="B668" s="1">
        <f t="shared" si="53"/>
        <v>44</v>
      </c>
      <c r="C668">
        <f t="shared" si="55"/>
        <v>10</v>
      </c>
      <c r="D668" t="str">
        <f t="shared" si="56"/>
        <v>October</v>
      </c>
      <c r="E668">
        <f t="shared" si="57"/>
        <v>2018</v>
      </c>
      <c r="F668" t="str">
        <f>CONCATENATE(calendar[[#This Row],[Month]],"/",calendar[[#This Row],[Year]])</f>
        <v>10/2018</v>
      </c>
      <c r="G668">
        <f>WEEKDAY(calendar[[#This Row],[Date]],1)</f>
        <v>2</v>
      </c>
      <c r="H668" t="str">
        <f>TEXT(calendar[[#This Row],[WeekDay]],"dddd")</f>
        <v>Monday</v>
      </c>
      <c r="I668">
        <f>IF((INT(calendar[[#This Row],[Count]]/7)-calendar[[#This Row],[Count]]/7)&lt;0,I667,I667+1)</f>
        <v>96</v>
      </c>
      <c r="J668">
        <f t="shared" si="54"/>
        <v>666</v>
      </c>
      <c r="K668">
        <f>IF(calendar[[#This Row],[Month]]&lt;4,1,IF(calendar[[#This Row],[Month]]&lt;7,2,IF(calendar[[#This Row],[Month]]&lt;10,3,4)))</f>
        <v>4</v>
      </c>
      <c r="L668">
        <f>IFERROR(IF(VLOOKUP(calendar[[#This Row],[Date]],BH!A:A,1,)&lt;&gt;"",1,0),0)</f>
        <v>0</v>
      </c>
      <c r="M668">
        <f>IFERROR(IF(VLOOKUP(calendar[[#This Row],[Date]],BH!C:C,1,)&lt;&gt;"",1,0),0)</f>
        <v>0</v>
      </c>
      <c r="N668">
        <f>IFERROR(IF(VLOOKUP(calendar[[#This Row],[Date]],BH!E:E,1,)&lt;&gt;"",1,0),0)</f>
        <v>0</v>
      </c>
      <c r="O668">
        <f>IFERROR(IF(VLOOKUP(calendar[[#This Row],[Date]],BH!G:G,1,)&lt;&gt;"",1,0),0)</f>
        <v>0</v>
      </c>
      <c r="P668">
        <f>IF(OR(calendar[[#This Row],[UK_BH]]=1,calendar[[#This Row],[WeekDay]]=1, calendar[[#This Row],[WeekDay]]=7),P667,P667+1)</f>
        <v>476</v>
      </c>
      <c r="Q668">
        <f>IF(OR(calendar[[#This Row],[FR_BH]]=1,calendar[[#This Row],[WeekDay]]=1, calendar[[#This Row],[WeekDay]]=7),P667,P667+1)</f>
        <v>476</v>
      </c>
      <c r="R668">
        <f>IF(OR(calendar[[#This Row],[SP_BH]]=1,calendar[[#This Row],[WeekDay]]=1, calendar[[#This Row],[WeekDay]]=7),P667,P667+1)</f>
        <v>476</v>
      </c>
      <c r="S668">
        <f>IF(OR(calendar[[#This Row],[PT_BH]]=1,calendar[[#This Row],[WeekDay]]=1, calendar[[#This Row],[WeekDay]]=7),P667,P667+1)</f>
        <v>476</v>
      </c>
    </row>
    <row r="669" spans="1:19" x14ac:dyDescent="0.25">
      <c r="A669" s="2">
        <v>43403</v>
      </c>
      <c r="B669" s="1">
        <f t="shared" si="53"/>
        <v>44</v>
      </c>
      <c r="C669">
        <f t="shared" si="55"/>
        <v>10</v>
      </c>
      <c r="D669" t="str">
        <f t="shared" si="56"/>
        <v>October</v>
      </c>
      <c r="E669">
        <f t="shared" si="57"/>
        <v>2018</v>
      </c>
      <c r="F669" t="str">
        <f>CONCATENATE(calendar[[#This Row],[Month]],"/",calendar[[#This Row],[Year]])</f>
        <v>10/2018</v>
      </c>
      <c r="G669">
        <f>WEEKDAY(calendar[[#This Row],[Date]],1)</f>
        <v>3</v>
      </c>
      <c r="H669" t="str">
        <f>TEXT(calendar[[#This Row],[WeekDay]],"dddd")</f>
        <v>Tuesday</v>
      </c>
      <c r="I669">
        <f>IF((INT(calendar[[#This Row],[Count]]/7)-calendar[[#This Row],[Count]]/7)&lt;0,I668,I668+1)</f>
        <v>96</v>
      </c>
      <c r="J669">
        <f t="shared" si="54"/>
        <v>667</v>
      </c>
      <c r="K669">
        <f>IF(calendar[[#This Row],[Month]]&lt;4,1,IF(calendar[[#This Row],[Month]]&lt;7,2,IF(calendar[[#This Row],[Month]]&lt;10,3,4)))</f>
        <v>4</v>
      </c>
      <c r="L669">
        <f>IFERROR(IF(VLOOKUP(calendar[[#This Row],[Date]],BH!A:A,1,)&lt;&gt;"",1,0),0)</f>
        <v>0</v>
      </c>
      <c r="M669">
        <f>IFERROR(IF(VLOOKUP(calendar[[#This Row],[Date]],BH!C:C,1,)&lt;&gt;"",1,0),0)</f>
        <v>0</v>
      </c>
      <c r="N669">
        <f>IFERROR(IF(VLOOKUP(calendar[[#This Row],[Date]],BH!E:E,1,)&lt;&gt;"",1,0),0)</f>
        <v>0</v>
      </c>
      <c r="O669">
        <f>IFERROR(IF(VLOOKUP(calendar[[#This Row],[Date]],BH!G:G,1,)&lt;&gt;"",1,0),0)</f>
        <v>0</v>
      </c>
      <c r="P669">
        <f>IF(OR(calendar[[#This Row],[UK_BH]]=1,calendar[[#This Row],[WeekDay]]=1, calendar[[#This Row],[WeekDay]]=7),P668,P668+1)</f>
        <v>477</v>
      </c>
      <c r="Q669">
        <f>IF(OR(calendar[[#This Row],[FR_BH]]=1,calendar[[#This Row],[WeekDay]]=1, calendar[[#This Row],[WeekDay]]=7),P668,P668+1)</f>
        <v>477</v>
      </c>
      <c r="R669">
        <f>IF(OR(calendar[[#This Row],[SP_BH]]=1,calendar[[#This Row],[WeekDay]]=1, calendar[[#This Row],[WeekDay]]=7),P668,P668+1)</f>
        <v>477</v>
      </c>
      <c r="S669">
        <f>IF(OR(calendar[[#This Row],[PT_BH]]=1,calendar[[#This Row],[WeekDay]]=1, calendar[[#This Row],[WeekDay]]=7),P668,P668+1)</f>
        <v>477</v>
      </c>
    </row>
    <row r="670" spans="1:19" x14ac:dyDescent="0.25">
      <c r="A670" s="2">
        <v>43404</v>
      </c>
      <c r="B670" s="1">
        <f t="shared" si="53"/>
        <v>44</v>
      </c>
      <c r="C670">
        <f t="shared" si="55"/>
        <v>10</v>
      </c>
      <c r="D670" t="str">
        <f t="shared" si="56"/>
        <v>October</v>
      </c>
      <c r="E670">
        <f t="shared" si="57"/>
        <v>2018</v>
      </c>
      <c r="F670" t="str">
        <f>CONCATENATE(calendar[[#This Row],[Month]],"/",calendar[[#This Row],[Year]])</f>
        <v>10/2018</v>
      </c>
      <c r="G670">
        <f>WEEKDAY(calendar[[#This Row],[Date]],1)</f>
        <v>4</v>
      </c>
      <c r="H670" t="str">
        <f>TEXT(calendar[[#This Row],[WeekDay]],"dddd")</f>
        <v>Wednesday</v>
      </c>
      <c r="I670">
        <f>IF((INT(calendar[[#This Row],[Count]]/7)-calendar[[#This Row],[Count]]/7)&lt;0,I669,I669+1)</f>
        <v>96</v>
      </c>
      <c r="J670">
        <f t="shared" si="54"/>
        <v>668</v>
      </c>
      <c r="K670">
        <f>IF(calendar[[#This Row],[Month]]&lt;4,1,IF(calendar[[#This Row],[Month]]&lt;7,2,IF(calendar[[#This Row],[Month]]&lt;10,3,4)))</f>
        <v>4</v>
      </c>
      <c r="L670">
        <f>IFERROR(IF(VLOOKUP(calendar[[#This Row],[Date]],BH!A:A,1,)&lt;&gt;"",1,0),0)</f>
        <v>0</v>
      </c>
      <c r="M670">
        <f>IFERROR(IF(VLOOKUP(calendar[[#This Row],[Date]],BH!C:C,1,)&lt;&gt;"",1,0),0)</f>
        <v>0</v>
      </c>
      <c r="N670">
        <f>IFERROR(IF(VLOOKUP(calendar[[#This Row],[Date]],BH!E:E,1,)&lt;&gt;"",1,0),0)</f>
        <v>0</v>
      </c>
      <c r="O670">
        <f>IFERROR(IF(VLOOKUP(calendar[[#This Row],[Date]],BH!G:G,1,)&lt;&gt;"",1,0),0)</f>
        <v>0</v>
      </c>
      <c r="P670">
        <f>IF(OR(calendar[[#This Row],[UK_BH]]=1,calendar[[#This Row],[WeekDay]]=1, calendar[[#This Row],[WeekDay]]=7),P669,P669+1)</f>
        <v>478</v>
      </c>
      <c r="Q670">
        <f>IF(OR(calendar[[#This Row],[FR_BH]]=1,calendar[[#This Row],[WeekDay]]=1, calendar[[#This Row],[WeekDay]]=7),P669,P669+1)</f>
        <v>478</v>
      </c>
      <c r="R670">
        <f>IF(OR(calendar[[#This Row],[SP_BH]]=1,calendar[[#This Row],[WeekDay]]=1, calendar[[#This Row],[WeekDay]]=7),P669,P669+1)</f>
        <v>478</v>
      </c>
      <c r="S670">
        <f>IF(OR(calendar[[#This Row],[PT_BH]]=1,calendar[[#This Row],[WeekDay]]=1, calendar[[#This Row],[WeekDay]]=7),P669,P669+1)</f>
        <v>478</v>
      </c>
    </row>
    <row r="671" spans="1:19" x14ac:dyDescent="0.25">
      <c r="A671" s="2">
        <v>43405</v>
      </c>
      <c r="B671" s="1">
        <f t="shared" si="53"/>
        <v>44</v>
      </c>
      <c r="C671">
        <f t="shared" si="55"/>
        <v>11</v>
      </c>
      <c r="D671" t="str">
        <f t="shared" si="56"/>
        <v>November</v>
      </c>
      <c r="E671">
        <f t="shared" si="57"/>
        <v>2018</v>
      </c>
      <c r="F671" t="str">
        <f>CONCATENATE(calendar[[#This Row],[Month]],"/",calendar[[#This Row],[Year]])</f>
        <v>11/2018</v>
      </c>
      <c r="G671">
        <f>WEEKDAY(calendar[[#This Row],[Date]],1)</f>
        <v>5</v>
      </c>
      <c r="H671" t="str">
        <f>TEXT(calendar[[#This Row],[WeekDay]],"dddd")</f>
        <v>Thursday</v>
      </c>
      <c r="I671">
        <f>IF((INT(calendar[[#This Row],[Count]]/7)-calendar[[#This Row],[Count]]/7)&lt;0,I670,I670+1)</f>
        <v>96</v>
      </c>
      <c r="J671">
        <f t="shared" si="54"/>
        <v>669</v>
      </c>
      <c r="K671">
        <f>IF(calendar[[#This Row],[Month]]&lt;4,1,IF(calendar[[#This Row],[Month]]&lt;7,2,IF(calendar[[#This Row],[Month]]&lt;10,3,4)))</f>
        <v>4</v>
      </c>
      <c r="L671">
        <f>IFERROR(IF(VLOOKUP(calendar[[#This Row],[Date]],BH!A:A,1,)&lt;&gt;"",1,0),0)</f>
        <v>0</v>
      </c>
      <c r="M671">
        <f>IFERROR(IF(VLOOKUP(calendar[[#This Row],[Date]],BH!C:C,1,)&lt;&gt;"",1,0),0)</f>
        <v>0</v>
      </c>
      <c r="N671">
        <f>IFERROR(IF(VLOOKUP(calendar[[#This Row],[Date]],BH!E:E,1,)&lt;&gt;"",1,0),0)</f>
        <v>0</v>
      </c>
      <c r="O671">
        <f>IFERROR(IF(VLOOKUP(calendar[[#This Row],[Date]],BH!G:G,1,)&lt;&gt;"",1,0),0)</f>
        <v>0</v>
      </c>
      <c r="P671">
        <f>IF(OR(calendar[[#This Row],[UK_BH]]=1,calendar[[#This Row],[WeekDay]]=1, calendar[[#This Row],[WeekDay]]=7),P670,P670+1)</f>
        <v>479</v>
      </c>
      <c r="Q671">
        <f>IF(OR(calendar[[#This Row],[FR_BH]]=1,calendar[[#This Row],[WeekDay]]=1, calendar[[#This Row],[WeekDay]]=7),P670,P670+1)</f>
        <v>479</v>
      </c>
      <c r="R671">
        <f>IF(OR(calendar[[#This Row],[SP_BH]]=1,calendar[[#This Row],[WeekDay]]=1, calendar[[#This Row],[WeekDay]]=7),P670,P670+1)</f>
        <v>479</v>
      </c>
      <c r="S671">
        <f>IF(OR(calendar[[#This Row],[PT_BH]]=1,calendar[[#This Row],[WeekDay]]=1, calendar[[#This Row],[WeekDay]]=7),P670,P670+1)</f>
        <v>479</v>
      </c>
    </row>
    <row r="672" spans="1:19" x14ac:dyDescent="0.25">
      <c r="A672" s="2">
        <v>43406</v>
      </c>
      <c r="B672" s="1">
        <f t="shared" si="53"/>
        <v>44</v>
      </c>
      <c r="C672">
        <f t="shared" si="55"/>
        <v>11</v>
      </c>
      <c r="D672" t="str">
        <f t="shared" si="56"/>
        <v>November</v>
      </c>
      <c r="E672">
        <f t="shared" si="57"/>
        <v>2018</v>
      </c>
      <c r="F672" t="str">
        <f>CONCATENATE(calendar[[#This Row],[Month]],"/",calendar[[#This Row],[Year]])</f>
        <v>11/2018</v>
      </c>
      <c r="G672">
        <f>WEEKDAY(calendar[[#This Row],[Date]],1)</f>
        <v>6</v>
      </c>
      <c r="H672" t="str">
        <f>TEXT(calendar[[#This Row],[WeekDay]],"dddd")</f>
        <v>Friday</v>
      </c>
      <c r="I672">
        <f>IF((INT(calendar[[#This Row],[Count]]/7)-calendar[[#This Row],[Count]]/7)&lt;0,I671,I671+1)</f>
        <v>96</v>
      </c>
      <c r="J672">
        <f t="shared" si="54"/>
        <v>670</v>
      </c>
      <c r="K672">
        <f>IF(calendar[[#This Row],[Month]]&lt;4,1,IF(calendar[[#This Row],[Month]]&lt;7,2,IF(calendar[[#This Row],[Month]]&lt;10,3,4)))</f>
        <v>4</v>
      </c>
      <c r="L672">
        <f>IFERROR(IF(VLOOKUP(calendar[[#This Row],[Date]],BH!A:A,1,)&lt;&gt;"",1,0),0)</f>
        <v>0</v>
      </c>
      <c r="M672">
        <f>IFERROR(IF(VLOOKUP(calendar[[#This Row],[Date]],BH!C:C,1,)&lt;&gt;"",1,0),0)</f>
        <v>0</v>
      </c>
      <c r="N672">
        <f>IFERROR(IF(VLOOKUP(calendar[[#This Row],[Date]],BH!E:E,1,)&lt;&gt;"",1,0),0)</f>
        <v>0</v>
      </c>
      <c r="O672">
        <f>IFERROR(IF(VLOOKUP(calendar[[#This Row],[Date]],BH!G:G,1,)&lt;&gt;"",1,0),0)</f>
        <v>0</v>
      </c>
      <c r="P672">
        <f>IF(OR(calendar[[#This Row],[UK_BH]]=1,calendar[[#This Row],[WeekDay]]=1, calendar[[#This Row],[WeekDay]]=7),P671,P671+1)</f>
        <v>480</v>
      </c>
      <c r="Q672">
        <f>IF(OR(calendar[[#This Row],[FR_BH]]=1,calendar[[#This Row],[WeekDay]]=1, calendar[[#This Row],[WeekDay]]=7),P671,P671+1)</f>
        <v>480</v>
      </c>
      <c r="R672">
        <f>IF(OR(calendar[[#This Row],[SP_BH]]=1,calendar[[#This Row],[WeekDay]]=1, calendar[[#This Row],[WeekDay]]=7),P671,P671+1)</f>
        <v>480</v>
      </c>
      <c r="S672">
        <f>IF(OR(calendar[[#This Row],[PT_BH]]=1,calendar[[#This Row],[WeekDay]]=1, calendar[[#This Row],[WeekDay]]=7),P671,P671+1)</f>
        <v>480</v>
      </c>
    </row>
    <row r="673" spans="1:19" x14ac:dyDescent="0.25">
      <c r="A673" s="2">
        <v>43407</v>
      </c>
      <c r="B673" s="1">
        <f t="shared" si="53"/>
        <v>44</v>
      </c>
      <c r="C673">
        <f t="shared" si="55"/>
        <v>11</v>
      </c>
      <c r="D673" t="str">
        <f t="shared" si="56"/>
        <v>November</v>
      </c>
      <c r="E673">
        <f t="shared" si="57"/>
        <v>2018</v>
      </c>
      <c r="F673" t="str">
        <f>CONCATENATE(calendar[[#This Row],[Month]],"/",calendar[[#This Row],[Year]])</f>
        <v>11/2018</v>
      </c>
      <c r="G673">
        <f>WEEKDAY(calendar[[#This Row],[Date]],1)</f>
        <v>7</v>
      </c>
      <c r="H673" t="str">
        <f>TEXT(calendar[[#This Row],[WeekDay]],"dddd")</f>
        <v>Saturday</v>
      </c>
      <c r="I673">
        <f>IF((INT(calendar[[#This Row],[Count]]/7)-calendar[[#This Row],[Count]]/7)&lt;0,I672,I672+1)</f>
        <v>96</v>
      </c>
      <c r="J673">
        <f t="shared" si="54"/>
        <v>671</v>
      </c>
      <c r="K673">
        <f>IF(calendar[[#This Row],[Month]]&lt;4,1,IF(calendar[[#This Row],[Month]]&lt;7,2,IF(calendar[[#This Row],[Month]]&lt;10,3,4)))</f>
        <v>4</v>
      </c>
      <c r="L673">
        <f>IFERROR(IF(VLOOKUP(calendar[[#This Row],[Date]],BH!A:A,1,)&lt;&gt;"",1,0),0)</f>
        <v>0</v>
      </c>
      <c r="M673">
        <f>IFERROR(IF(VLOOKUP(calendar[[#This Row],[Date]],BH!C:C,1,)&lt;&gt;"",1,0),0)</f>
        <v>0</v>
      </c>
      <c r="N673">
        <f>IFERROR(IF(VLOOKUP(calendar[[#This Row],[Date]],BH!E:E,1,)&lt;&gt;"",1,0),0)</f>
        <v>0</v>
      </c>
      <c r="O673">
        <f>IFERROR(IF(VLOOKUP(calendar[[#This Row],[Date]],BH!G:G,1,)&lt;&gt;"",1,0),0)</f>
        <v>0</v>
      </c>
      <c r="P673">
        <f>IF(OR(calendar[[#This Row],[UK_BH]]=1,calendar[[#This Row],[WeekDay]]=1, calendar[[#This Row],[WeekDay]]=7),P672,P672+1)</f>
        <v>480</v>
      </c>
      <c r="Q673">
        <f>IF(OR(calendar[[#This Row],[FR_BH]]=1,calendar[[#This Row],[WeekDay]]=1, calendar[[#This Row],[WeekDay]]=7),P672,P672+1)</f>
        <v>480</v>
      </c>
      <c r="R673">
        <f>IF(OR(calendar[[#This Row],[SP_BH]]=1,calendar[[#This Row],[WeekDay]]=1, calendar[[#This Row],[WeekDay]]=7),P672,P672+1)</f>
        <v>480</v>
      </c>
      <c r="S673">
        <f>IF(OR(calendar[[#This Row],[PT_BH]]=1,calendar[[#This Row],[WeekDay]]=1, calendar[[#This Row],[WeekDay]]=7),P672,P672+1)</f>
        <v>480</v>
      </c>
    </row>
    <row r="674" spans="1:19" x14ac:dyDescent="0.25">
      <c r="A674" s="2">
        <v>43408</v>
      </c>
      <c r="B674" s="1">
        <f t="shared" si="53"/>
        <v>45</v>
      </c>
      <c r="C674">
        <f t="shared" si="55"/>
        <v>11</v>
      </c>
      <c r="D674" t="str">
        <f t="shared" si="56"/>
        <v>November</v>
      </c>
      <c r="E674">
        <f t="shared" si="57"/>
        <v>2018</v>
      </c>
      <c r="F674" t="str">
        <f>CONCATENATE(calendar[[#This Row],[Month]],"/",calendar[[#This Row],[Year]])</f>
        <v>11/2018</v>
      </c>
      <c r="G674">
        <f>WEEKDAY(calendar[[#This Row],[Date]],1)</f>
        <v>1</v>
      </c>
      <c r="H674" t="str">
        <f>TEXT(calendar[[#This Row],[WeekDay]],"dddd")</f>
        <v>Sunday</v>
      </c>
      <c r="I674">
        <f>IF((INT(calendar[[#This Row],[Count]]/7)-calendar[[#This Row],[Count]]/7)&lt;0,I673,I673+1)</f>
        <v>97</v>
      </c>
      <c r="J674">
        <f t="shared" si="54"/>
        <v>672</v>
      </c>
      <c r="K674">
        <f>IF(calendar[[#This Row],[Month]]&lt;4,1,IF(calendar[[#This Row],[Month]]&lt;7,2,IF(calendar[[#This Row],[Month]]&lt;10,3,4)))</f>
        <v>4</v>
      </c>
      <c r="L674">
        <f>IFERROR(IF(VLOOKUP(calendar[[#This Row],[Date]],BH!A:A,1,)&lt;&gt;"",1,0),0)</f>
        <v>0</v>
      </c>
      <c r="M674">
        <f>IFERROR(IF(VLOOKUP(calendar[[#This Row],[Date]],BH!C:C,1,)&lt;&gt;"",1,0),0)</f>
        <v>0</v>
      </c>
      <c r="N674">
        <f>IFERROR(IF(VLOOKUP(calendar[[#This Row],[Date]],BH!E:E,1,)&lt;&gt;"",1,0),0)</f>
        <v>0</v>
      </c>
      <c r="O674">
        <f>IFERROR(IF(VLOOKUP(calendar[[#This Row],[Date]],BH!G:G,1,)&lt;&gt;"",1,0),0)</f>
        <v>0</v>
      </c>
      <c r="P674">
        <f>IF(OR(calendar[[#This Row],[UK_BH]]=1,calendar[[#This Row],[WeekDay]]=1, calendar[[#This Row],[WeekDay]]=7),P673,P673+1)</f>
        <v>480</v>
      </c>
      <c r="Q674">
        <f>IF(OR(calendar[[#This Row],[FR_BH]]=1,calendar[[#This Row],[WeekDay]]=1, calendar[[#This Row],[WeekDay]]=7),P673,P673+1)</f>
        <v>480</v>
      </c>
      <c r="R674">
        <f>IF(OR(calendar[[#This Row],[SP_BH]]=1,calendar[[#This Row],[WeekDay]]=1, calendar[[#This Row],[WeekDay]]=7),P673,P673+1)</f>
        <v>480</v>
      </c>
      <c r="S674">
        <f>IF(OR(calendar[[#This Row],[PT_BH]]=1,calendar[[#This Row],[WeekDay]]=1, calendar[[#This Row],[WeekDay]]=7),P673,P673+1)</f>
        <v>480</v>
      </c>
    </row>
    <row r="675" spans="1:19" x14ac:dyDescent="0.25">
      <c r="A675" s="2">
        <v>43409</v>
      </c>
      <c r="B675" s="1">
        <f t="shared" si="53"/>
        <v>45</v>
      </c>
      <c r="C675">
        <f t="shared" si="55"/>
        <v>11</v>
      </c>
      <c r="D675" t="str">
        <f t="shared" si="56"/>
        <v>November</v>
      </c>
      <c r="E675">
        <f t="shared" si="57"/>
        <v>2018</v>
      </c>
      <c r="F675" t="str">
        <f>CONCATENATE(calendar[[#This Row],[Month]],"/",calendar[[#This Row],[Year]])</f>
        <v>11/2018</v>
      </c>
      <c r="G675">
        <f>WEEKDAY(calendar[[#This Row],[Date]],1)</f>
        <v>2</v>
      </c>
      <c r="H675" t="str">
        <f>TEXT(calendar[[#This Row],[WeekDay]],"dddd")</f>
        <v>Monday</v>
      </c>
      <c r="I675">
        <f>IF((INT(calendar[[#This Row],[Count]]/7)-calendar[[#This Row],[Count]]/7)&lt;0,I674,I674+1)</f>
        <v>97</v>
      </c>
      <c r="J675">
        <f t="shared" si="54"/>
        <v>673</v>
      </c>
      <c r="K675">
        <f>IF(calendar[[#This Row],[Month]]&lt;4,1,IF(calendar[[#This Row],[Month]]&lt;7,2,IF(calendar[[#This Row],[Month]]&lt;10,3,4)))</f>
        <v>4</v>
      </c>
      <c r="L675">
        <f>IFERROR(IF(VLOOKUP(calendar[[#This Row],[Date]],BH!A:A,1,)&lt;&gt;"",1,0),0)</f>
        <v>0</v>
      </c>
      <c r="M675">
        <f>IFERROR(IF(VLOOKUP(calendar[[#This Row],[Date]],BH!C:C,1,)&lt;&gt;"",1,0),0)</f>
        <v>0</v>
      </c>
      <c r="N675">
        <f>IFERROR(IF(VLOOKUP(calendar[[#This Row],[Date]],BH!E:E,1,)&lt;&gt;"",1,0),0)</f>
        <v>0</v>
      </c>
      <c r="O675">
        <f>IFERROR(IF(VLOOKUP(calendar[[#This Row],[Date]],BH!G:G,1,)&lt;&gt;"",1,0),0)</f>
        <v>0</v>
      </c>
      <c r="P675">
        <f>IF(OR(calendar[[#This Row],[UK_BH]]=1,calendar[[#This Row],[WeekDay]]=1, calendar[[#This Row],[WeekDay]]=7),P674,P674+1)</f>
        <v>481</v>
      </c>
      <c r="Q675">
        <f>IF(OR(calendar[[#This Row],[FR_BH]]=1,calendar[[#This Row],[WeekDay]]=1, calendar[[#This Row],[WeekDay]]=7),P674,P674+1)</f>
        <v>481</v>
      </c>
      <c r="R675">
        <f>IF(OR(calendar[[#This Row],[SP_BH]]=1,calendar[[#This Row],[WeekDay]]=1, calendar[[#This Row],[WeekDay]]=7),P674,P674+1)</f>
        <v>481</v>
      </c>
      <c r="S675">
        <f>IF(OR(calendar[[#This Row],[PT_BH]]=1,calendar[[#This Row],[WeekDay]]=1, calendar[[#This Row],[WeekDay]]=7),P674,P674+1)</f>
        <v>481</v>
      </c>
    </row>
    <row r="676" spans="1:19" x14ac:dyDescent="0.25">
      <c r="A676" s="2">
        <v>43410</v>
      </c>
      <c r="B676" s="1">
        <f t="shared" si="53"/>
        <v>45</v>
      </c>
      <c r="C676">
        <f t="shared" si="55"/>
        <v>11</v>
      </c>
      <c r="D676" t="str">
        <f t="shared" si="56"/>
        <v>November</v>
      </c>
      <c r="E676">
        <f t="shared" si="57"/>
        <v>2018</v>
      </c>
      <c r="F676" t="str">
        <f>CONCATENATE(calendar[[#This Row],[Month]],"/",calendar[[#This Row],[Year]])</f>
        <v>11/2018</v>
      </c>
      <c r="G676">
        <f>WEEKDAY(calendar[[#This Row],[Date]],1)</f>
        <v>3</v>
      </c>
      <c r="H676" t="str">
        <f>TEXT(calendar[[#This Row],[WeekDay]],"dddd")</f>
        <v>Tuesday</v>
      </c>
      <c r="I676">
        <f>IF((INT(calendar[[#This Row],[Count]]/7)-calendar[[#This Row],[Count]]/7)&lt;0,I675,I675+1)</f>
        <v>97</v>
      </c>
      <c r="J676">
        <f t="shared" si="54"/>
        <v>674</v>
      </c>
      <c r="K676">
        <f>IF(calendar[[#This Row],[Month]]&lt;4,1,IF(calendar[[#This Row],[Month]]&lt;7,2,IF(calendar[[#This Row],[Month]]&lt;10,3,4)))</f>
        <v>4</v>
      </c>
      <c r="L676">
        <f>IFERROR(IF(VLOOKUP(calendar[[#This Row],[Date]],BH!A:A,1,)&lt;&gt;"",1,0),0)</f>
        <v>0</v>
      </c>
      <c r="M676">
        <f>IFERROR(IF(VLOOKUP(calendar[[#This Row],[Date]],BH!C:C,1,)&lt;&gt;"",1,0),0)</f>
        <v>0</v>
      </c>
      <c r="N676">
        <f>IFERROR(IF(VLOOKUP(calendar[[#This Row],[Date]],BH!E:E,1,)&lt;&gt;"",1,0),0)</f>
        <v>0</v>
      </c>
      <c r="O676">
        <f>IFERROR(IF(VLOOKUP(calendar[[#This Row],[Date]],BH!G:G,1,)&lt;&gt;"",1,0),0)</f>
        <v>0</v>
      </c>
      <c r="P676">
        <f>IF(OR(calendar[[#This Row],[UK_BH]]=1,calendar[[#This Row],[WeekDay]]=1, calendar[[#This Row],[WeekDay]]=7),P675,P675+1)</f>
        <v>482</v>
      </c>
      <c r="Q676">
        <f>IF(OR(calendar[[#This Row],[FR_BH]]=1,calendar[[#This Row],[WeekDay]]=1, calendar[[#This Row],[WeekDay]]=7),P675,P675+1)</f>
        <v>482</v>
      </c>
      <c r="R676">
        <f>IF(OR(calendar[[#This Row],[SP_BH]]=1,calendar[[#This Row],[WeekDay]]=1, calendar[[#This Row],[WeekDay]]=7),P675,P675+1)</f>
        <v>482</v>
      </c>
      <c r="S676">
        <f>IF(OR(calendar[[#This Row],[PT_BH]]=1,calendar[[#This Row],[WeekDay]]=1, calendar[[#This Row],[WeekDay]]=7),P675,P675+1)</f>
        <v>482</v>
      </c>
    </row>
    <row r="677" spans="1:19" x14ac:dyDescent="0.25">
      <c r="A677" s="2">
        <v>43411</v>
      </c>
      <c r="B677" s="1">
        <f t="shared" si="53"/>
        <v>45</v>
      </c>
      <c r="C677">
        <f t="shared" si="55"/>
        <v>11</v>
      </c>
      <c r="D677" t="str">
        <f t="shared" si="56"/>
        <v>November</v>
      </c>
      <c r="E677">
        <f t="shared" si="57"/>
        <v>2018</v>
      </c>
      <c r="F677" t="str">
        <f>CONCATENATE(calendar[[#This Row],[Month]],"/",calendar[[#This Row],[Year]])</f>
        <v>11/2018</v>
      </c>
      <c r="G677">
        <f>WEEKDAY(calendar[[#This Row],[Date]],1)</f>
        <v>4</v>
      </c>
      <c r="H677" t="str">
        <f>TEXT(calendar[[#This Row],[WeekDay]],"dddd")</f>
        <v>Wednesday</v>
      </c>
      <c r="I677">
        <f>IF((INT(calendar[[#This Row],[Count]]/7)-calendar[[#This Row],[Count]]/7)&lt;0,I676,I676+1)</f>
        <v>97</v>
      </c>
      <c r="J677">
        <f t="shared" si="54"/>
        <v>675</v>
      </c>
      <c r="K677">
        <f>IF(calendar[[#This Row],[Month]]&lt;4,1,IF(calendar[[#This Row],[Month]]&lt;7,2,IF(calendar[[#This Row],[Month]]&lt;10,3,4)))</f>
        <v>4</v>
      </c>
      <c r="L677">
        <f>IFERROR(IF(VLOOKUP(calendar[[#This Row],[Date]],BH!A:A,1,)&lt;&gt;"",1,0),0)</f>
        <v>0</v>
      </c>
      <c r="M677">
        <f>IFERROR(IF(VLOOKUP(calendar[[#This Row],[Date]],BH!C:C,1,)&lt;&gt;"",1,0),0)</f>
        <v>0</v>
      </c>
      <c r="N677">
        <f>IFERROR(IF(VLOOKUP(calendar[[#This Row],[Date]],BH!E:E,1,)&lt;&gt;"",1,0),0)</f>
        <v>0</v>
      </c>
      <c r="O677">
        <f>IFERROR(IF(VLOOKUP(calendar[[#This Row],[Date]],BH!G:G,1,)&lt;&gt;"",1,0),0)</f>
        <v>0</v>
      </c>
      <c r="P677">
        <f>IF(OR(calendar[[#This Row],[UK_BH]]=1,calendar[[#This Row],[WeekDay]]=1, calendar[[#This Row],[WeekDay]]=7),P676,P676+1)</f>
        <v>483</v>
      </c>
      <c r="Q677">
        <f>IF(OR(calendar[[#This Row],[FR_BH]]=1,calendar[[#This Row],[WeekDay]]=1, calendar[[#This Row],[WeekDay]]=7),P676,P676+1)</f>
        <v>483</v>
      </c>
      <c r="R677">
        <f>IF(OR(calendar[[#This Row],[SP_BH]]=1,calendar[[#This Row],[WeekDay]]=1, calendar[[#This Row],[WeekDay]]=7),P676,P676+1)</f>
        <v>483</v>
      </c>
      <c r="S677">
        <f>IF(OR(calendar[[#This Row],[PT_BH]]=1,calendar[[#This Row],[WeekDay]]=1, calendar[[#This Row],[WeekDay]]=7),P676,P676+1)</f>
        <v>483</v>
      </c>
    </row>
    <row r="678" spans="1:19" x14ac:dyDescent="0.25">
      <c r="A678" s="2">
        <v>43412</v>
      </c>
      <c r="B678" s="1">
        <f t="shared" si="53"/>
        <v>45</v>
      </c>
      <c r="C678">
        <f t="shared" si="55"/>
        <v>11</v>
      </c>
      <c r="D678" t="str">
        <f t="shared" si="56"/>
        <v>November</v>
      </c>
      <c r="E678">
        <f t="shared" si="57"/>
        <v>2018</v>
      </c>
      <c r="F678" t="str">
        <f>CONCATENATE(calendar[[#This Row],[Month]],"/",calendar[[#This Row],[Year]])</f>
        <v>11/2018</v>
      </c>
      <c r="G678">
        <f>WEEKDAY(calendar[[#This Row],[Date]],1)</f>
        <v>5</v>
      </c>
      <c r="H678" t="str">
        <f>TEXT(calendar[[#This Row],[WeekDay]],"dddd")</f>
        <v>Thursday</v>
      </c>
      <c r="I678">
        <f>IF((INT(calendar[[#This Row],[Count]]/7)-calendar[[#This Row],[Count]]/7)&lt;0,I677,I677+1)</f>
        <v>97</v>
      </c>
      <c r="J678">
        <f t="shared" si="54"/>
        <v>676</v>
      </c>
      <c r="K678">
        <f>IF(calendar[[#This Row],[Month]]&lt;4,1,IF(calendar[[#This Row],[Month]]&lt;7,2,IF(calendar[[#This Row],[Month]]&lt;10,3,4)))</f>
        <v>4</v>
      </c>
      <c r="L678">
        <f>IFERROR(IF(VLOOKUP(calendar[[#This Row],[Date]],BH!A:A,1,)&lt;&gt;"",1,0),0)</f>
        <v>0</v>
      </c>
      <c r="M678">
        <f>IFERROR(IF(VLOOKUP(calendar[[#This Row],[Date]],BH!C:C,1,)&lt;&gt;"",1,0),0)</f>
        <v>0</v>
      </c>
      <c r="N678">
        <f>IFERROR(IF(VLOOKUP(calendar[[#This Row],[Date]],BH!E:E,1,)&lt;&gt;"",1,0),0)</f>
        <v>0</v>
      </c>
      <c r="O678">
        <f>IFERROR(IF(VLOOKUP(calendar[[#This Row],[Date]],BH!G:G,1,)&lt;&gt;"",1,0),0)</f>
        <v>0</v>
      </c>
      <c r="P678">
        <f>IF(OR(calendar[[#This Row],[UK_BH]]=1,calendar[[#This Row],[WeekDay]]=1, calendar[[#This Row],[WeekDay]]=7),P677,P677+1)</f>
        <v>484</v>
      </c>
      <c r="Q678">
        <f>IF(OR(calendar[[#This Row],[FR_BH]]=1,calendar[[#This Row],[WeekDay]]=1, calendar[[#This Row],[WeekDay]]=7),P677,P677+1)</f>
        <v>484</v>
      </c>
      <c r="R678">
        <f>IF(OR(calendar[[#This Row],[SP_BH]]=1,calendar[[#This Row],[WeekDay]]=1, calendar[[#This Row],[WeekDay]]=7),P677,P677+1)</f>
        <v>484</v>
      </c>
      <c r="S678">
        <f>IF(OR(calendar[[#This Row],[PT_BH]]=1,calendar[[#This Row],[WeekDay]]=1, calendar[[#This Row],[WeekDay]]=7),P677,P677+1)</f>
        <v>484</v>
      </c>
    </row>
    <row r="679" spans="1:19" x14ac:dyDescent="0.25">
      <c r="A679" s="2">
        <v>43413</v>
      </c>
      <c r="B679" s="1">
        <f t="shared" si="53"/>
        <v>45</v>
      </c>
      <c r="C679">
        <f t="shared" si="55"/>
        <v>11</v>
      </c>
      <c r="D679" t="str">
        <f t="shared" si="56"/>
        <v>November</v>
      </c>
      <c r="E679">
        <f t="shared" si="57"/>
        <v>2018</v>
      </c>
      <c r="F679" t="str">
        <f>CONCATENATE(calendar[[#This Row],[Month]],"/",calendar[[#This Row],[Year]])</f>
        <v>11/2018</v>
      </c>
      <c r="G679">
        <f>WEEKDAY(calendar[[#This Row],[Date]],1)</f>
        <v>6</v>
      </c>
      <c r="H679" t="str">
        <f>TEXT(calendar[[#This Row],[WeekDay]],"dddd")</f>
        <v>Friday</v>
      </c>
      <c r="I679">
        <f>IF((INT(calendar[[#This Row],[Count]]/7)-calendar[[#This Row],[Count]]/7)&lt;0,I678,I678+1)</f>
        <v>97</v>
      </c>
      <c r="J679">
        <f t="shared" si="54"/>
        <v>677</v>
      </c>
      <c r="K679">
        <f>IF(calendar[[#This Row],[Month]]&lt;4,1,IF(calendar[[#This Row],[Month]]&lt;7,2,IF(calendar[[#This Row],[Month]]&lt;10,3,4)))</f>
        <v>4</v>
      </c>
      <c r="L679">
        <f>IFERROR(IF(VLOOKUP(calendar[[#This Row],[Date]],BH!A:A,1,)&lt;&gt;"",1,0),0)</f>
        <v>0</v>
      </c>
      <c r="M679">
        <f>IFERROR(IF(VLOOKUP(calendar[[#This Row],[Date]],BH!C:C,1,)&lt;&gt;"",1,0),0)</f>
        <v>0</v>
      </c>
      <c r="N679">
        <f>IFERROR(IF(VLOOKUP(calendar[[#This Row],[Date]],BH!E:E,1,)&lt;&gt;"",1,0),0)</f>
        <v>0</v>
      </c>
      <c r="O679">
        <f>IFERROR(IF(VLOOKUP(calendar[[#This Row],[Date]],BH!G:G,1,)&lt;&gt;"",1,0),0)</f>
        <v>0</v>
      </c>
      <c r="P679">
        <f>IF(OR(calendar[[#This Row],[UK_BH]]=1,calendar[[#This Row],[WeekDay]]=1, calendar[[#This Row],[WeekDay]]=7),P678,P678+1)</f>
        <v>485</v>
      </c>
      <c r="Q679">
        <f>IF(OR(calendar[[#This Row],[FR_BH]]=1,calendar[[#This Row],[WeekDay]]=1, calendar[[#This Row],[WeekDay]]=7),P678,P678+1)</f>
        <v>485</v>
      </c>
      <c r="R679">
        <f>IF(OR(calendar[[#This Row],[SP_BH]]=1,calendar[[#This Row],[WeekDay]]=1, calendar[[#This Row],[WeekDay]]=7),P678,P678+1)</f>
        <v>485</v>
      </c>
      <c r="S679">
        <f>IF(OR(calendar[[#This Row],[PT_BH]]=1,calendar[[#This Row],[WeekDay]]=1, calendar[[#This Row],[WeekDay]]=7),P678,P678+1)</f>
        <v>485</v>
      </c>
    </row>
    <row r="680" spans="1:19" x14ac:dyDescent="0.25">
      <c r="A680" s="2">
        <v>43414</v>
      </c>
      <c r="B680" s="1">
        <f t="shared" si="53"/>
        <v>45</v>
      </c>
      <c r="C680">
        <f t="shared" si="55"/>
        <v>11</v>
      </c>
      <c r="D680" t="str">
        <f t="shared" si="56"/>
        <v>November</v>
      </c>
      <c r="E680">
        <f t="shared" si="57"/>
        <v>2018</v>
      </c>
      <c r="F680" t="str">
        <f>CONCATENATE(calendar[[#This Row],[Month]],"/",calendar[[#This Row],[Year]])</f>
        <v>11/2018</v>
      </c>
      <c r="G680">
        <f>WEEKDAY(calendar[[#This Row],[Date]],1)</f>
        <v>7</v>
      </c>
      <c r="H680" t="str">
        <f>TEXT(calendar[[#This Row],[WeekDay]],"dddd")</f>
        <v>Saturday</v>
      </c>
      <c r="I680">
        <f>IF((INT(calendar[[#This Row],[Count]]/7)-calendar[[#This Row],[Count]]/7)&lt;0,I679,I679+1)</f>
        <v>97</v>
      </c>
      <c r="J680">
        <f t="shared" si="54"/>
        <v>678</v>
      </c>
      <c r="K680">
        <f>IF(calendar[[#This Row],[Month]]&lt;4,1,IF(calendar[[#This Row],[Month]]&lt;7,2,IF(calendar[[#This Row],[Month]]&lt;10,3,4)))</f>
        <v>4</v>
      </c>
      <c r="L680">
        <f>IFERROR(IF(VLOOKUP(calendar[[#This Row],[Date]],BH!A:A,1,)&lt;&gt;"",1,0),0)</f>
        <v>0</v>
      </c>
      <c r="M680">
        <f>IFERROR(IF(VLOOKUP(calendar[[#This Row],[Date]],BH!C:C,1,)&lt;&gt;"",1,0),0)</f>
        <v>0</v>
      </c>
      <c r="N680">
        <f>IFERROR(IF(VLOOKUP(calendar[[#This Row],[Date]],BH!E:E,1,)&lt;&gt;"",1,0),0)</f>
        <v>0</v>
      </c>
      <c r="O680">
        <f>IFERROR(IF(VLOOKUP(calendar[[#This Row],[Date]],BH!G:G,1,)&lt;&gt;"",1,0),0)</f>
        <v>0</v>
      </c>
      <c r="P680">
        <f>IF(OR(calendar[[#This Row],[UK_BH]]=1,calendar[[#This Row],[WeekDay]]=1, calendar[[#This Row],[WeekDay]]=7),P679,P679+1)</f>
        <v>485</v>
      </c>
      <c r="Q680">
        <f>IF(OR(calendar[[#This Row],[FR_BH]]=1,calendar[[#This Row],[WeekDay]]=1, calendar[[#This Row],[WeekDay]]=7),P679,P679+1)</f>
        <v>485</v>
      </c>
      <c r="R680">
        <f>IF(OR(calendar[[#This Row],[SP_BH]]=1,calendar[[#This Row],[WeekDay]]=1, calendar[[#This Row],[WeekDay]]=7),P679,P679+1)</f>
        <v>485</v>
      </c>
      <c r="S680">
        <f>IF(OR(calendar[[#This Row],[PT_BH]]=1,calendar[[#This Row],[WeekDay]]=1, calendar[[#This Row],[WeekDay]]=7),P679,P679+1)</f>
        <v>485</v>
      </c>
    </row>
    <row r="681" spans="1:19" x14ac:dyDescent="0.25">
      <c r="A681" s="2">
        <v>43415</v>
      </c>
      <c r="B681" s="1">
        <f t="shared" si="53"/>
        <v>46</v>
      </c>
      <c r="C681">
        <f t="shared" si="55"/>
        <v>11</v>
      </c>
      <c r="D681" t="str">
        <f t="shared" si="56"/>
        <v>November</v>
      </c>
      <c r="E681">
        <f t="shared" si="57"/>
        <v>2018</v>
      </c>
      <c r="F681" t="str">
        <f>CONCATENATE(calendar[[#This Row],[Month]],"/",calendar[[#This Row],[Year]])</f>
        <v>11/2018</v>
      </c>
      <c r="G681">
        <f>WEEKDAY(calendar[[#This Row],[Date]],1)</f>
        <v>1</v>
      </c>
      <c r="H681" t="str">
        <f>TEXT(calendar[[#This Row],[WeekDay]],"dddd")</f>
        <v>Sunday</v>
      </c>
      <c r="I681">
        <f>IF((INT(calendar[[#This Row],[Count]]/7)-calendar[[#This Row],[Count]]/7)&lt;0,I680,I680+1)</f>
        <v>98</v>
      </c>
      <c r="J681">
        <f t="shared" si="54"/>
        <v>679</v>
      </c>
      <c r="K681">
        <f>IF(calendar[[#This Row],[Month]]&lt;4,1,IF(calendar[[#This Row],[Month]]&lt;7,2,IF(calendar[[#This Row],[Month]]&lt;10,3,4)))</f>
        <v>4</v>
      </c>
      <c r="L681">
        <f>IFERROR(IF(VLOOKUP(calendar[[#This Row],[Date]],BH!A:A,1,)&lt;&gt;"",1,0),0)</f>
        <v>0</v>
      </c>
      <c r="M681">
        <f>IFERROR(IF(VLOOKUP(calendar[[#This Row],[Date]],BH!C:C,1,)&lt;&gt;"",1,0),0)</f>
        <v>0</v>
      </c>
      <c r="N681">
        <f>IFERROR(IF(VLOOKUP(calendar[[#This Row],[Date]],BH!E:E,1,)&lt;&gt;"",1,0),0)</f>
        <v>0</v>
      </c>
      <c r="O681">
        <f>IFERROR(IF(VLOOKUP(calendar[[#This Row],[Date]],BH!G:G,1,)&lt;&gt;"",1,0),0)</f>
        <v>0</v>
      </c>
      <c r="P681">
        <f>IF(OR(calendar[[#This Row],[UK_BH]]=1,calendar[[#This Row],[WeekDay]]=1, calendar[[#This Row],[WeekDay]]=7),P680,P680+1)</f>
        <v>485</v>
      </c>
      <c r="Q681">
        <f>IF(OR(calendar[[#This Row],[FR_BH]]=1,calendar[[#This Row],[WeekDay]]=1, calendar[[#This Row],[WeekDay]]=7),P680,P680+1)</f>
        <v>485</v>
      </c>
      <c r="R681">
        <f>IF(OR(calendar[[#This Row],[SP_BH]]=1,calendar[[#This Row],[WeekDay]]=1, calendar[[#This Row],[WeekDay]]=7),P680,P680+1)</f>
        <v>485</v>
      </c>
      <c r="S681">
        <f>IF(OR(calendar[[#This Row],[PT_BH]]=1,calendar[[#This Row],[WeekDay]]=1, calendar[[#This Row],[WeekDay]]=7),P680,P680+1)</f>
        <v>485</v>
      </c>
    </row>
    <row r="682" spans="1:19" x14ac:dyDescent="0.25">
      <c r="A682" s="2">
        <v>43416</v>
      </c>
      <c r="B682" s="1">
        <f t="shared" si="53"/>
        <v>46</v>
      </c>
      <c r="C682">
        <f t="shared" si="55"/>
        <v>11</v>
      </c>
      <c r="D682" t="str">
        <f t="shared" si="56"/>
        <v>November</v>
      </c>
      <c r="E682">
        <f t="shared" si="57"/>
        <v>2018</v>
      </c>
      <c r="F682" t="str">
        <f>CONCATENATE(calendar[[#This Row],[Month]],"/",calendar[[#This Row],[Year]])</f>
        <v>11/2018</v>
      </c>
      <c r="G682">
        <f>WEEKDAY(calendar[[#This Row],[Date]],1)</f>
        <v>2</v>
      </c>
      <c r="H682" t="str">
        <f>TEXT(calendar[[#This Row],[WeekDay]],"dddd")</f>
        <v>Monday</v>
      </c>
      <c r="I682">
        <f>IF((INT(calendar[[#This Row],[Count]]/7)-calendar[[#This Row],[Count]]/7)&lt;0,I681,I681+1)</f>
        <v>98</v>
      </c>
      <c r="J682">
        <f t="shared" si="54"/>
        <v>680</v>
      </c>
      <c r="K682">
        <f>IF(calendar[[#This Row],[Month]]&lt;4,1,IF(calendar[[#This Row],[Month]]&lt;7,2,IF(calendar[[#This Row],[Month]]&lt;10,3,4)))</f>
        <v>4</v>
      </c>
      <c r="L682">
        <f>IFERROR(IF(VLOOKUP(calendar[[#This Row],[Date]],BH!A:A,1,)&lt;&gt;"",1,0),0)</f>
        <v>0</v>
      </c>
      <c r="M682">
        <f>IFERROR(IF(VLOOKUP(calendar[[#This Row],[Date]],BH!C:C,1,)&lt;&gt;"",1,0),0)</f>
        <v>0</v>
      </c>
      <c r="N682">
        <f>IFERROR(IF(VLOOKUP(calendar[[#This Row],[Date]],BH!E:E,1,)&lt;&gt;"",1,0),0)</f>
        <v>0</v>
      </c>
      <c r="O682">
        <f>IFERROR(IF(VLOOKUP(calendar[[#This Row],[Date]],BH!G:G,1,)&lt;&gt;"",1,0),0)</f>
        <v>0</v>
      </c>
      <c r="P682">
        <f>IF(OR(calendar[[#This Row],[UK_BH]]=1,calendar[[#This Row],[WeekDay]]=1, calendar[[#This Row],[WeekDay]]=7),P681,P681+1)</f>
        <v>486</v>
      </c>
      <c r="Q682">
        <f>IF(OR(calendar[[#This Row],[FR_BH]]=1,calendar[[#This Row],[WeekDay]]=1, calendar[[#This Row],[WeekDay]]=7),P681,P681+1)</f>
        <v>486</v>
      </c>
      <c r="R682">
        <f>IF(OR(calendar[[#This Row],[SP_BH]]=1,calendar[[#This Row],[WeekDay]]=1, calendar[[#This Row],[WeekDay]]=7),P681,P681+1)</f>
        <v>486</v>
      </c>
      <c r="S682">
        <f>IF(OR(calendar[[#This Row],[PT_BH]]=1,calendar[[#This Row],[WeekDay]]=1, calendar[[#This Row],[WeekDay]]=7),P681,P681+1)</f>
        <v>486</v>
      </c>
    </row>
    <row r="683" spans="1:19" x14ac:dyDescent="0.25">
      <c r="A683" s="2">
        <v>43417</v>
      </c>
      <c r="B683" s="1">
        <f t="shared" si="53"/>
        <v>46</v>
      </c>
      <c r="C683">
        <f t="shared" si="55"/>
        <v>11</v>
      </c>
      <c r="D683" t="str">
        <f t="shared" si="56"/>
        <v>November</v>
      </c>
      <c r="E683">
        <f t="shared" si="57"/>
        <v>2018</v>
      </c>
      <c r="F683" t="str">
        <f>CONCATENATE(calendar[[#This Row],[Month]],"/",calendar[[#This Row],[Year]])</f>
        <v>11/2018</v>
      </c>
      <c r="G683">
        <f>WEEKDAY(calendar[[#This Row],[Date]],1)</f>
        <v>3</v>
      </c>
      <c r="H683" t="str">
        <f>TEXT(calendar[[#This Row],[WeekDay]],"dddd")</f>
        <v>Tuesday</v>
      </c>
      <c r="I683">
        <f>IF((INT(calendar[[#This Row],[Count]]/7)-calendar[[#This Row],[Count]]/7)&lt;0,I682,I682+1)</f>
        <v>98</v>
      </c>
      <c r="J683">
        <f t="shared" si="54"/>
        <v>681</v>
      </c>
      <c r="K683">
        <f>IF(calendar[[#This Row],[Month]]&lt;4,1,IF(calendar[[#This Row],[Month]]&lt;7,2,IF(calendar[[#This Row],[Month]]&lt;10,3,4)))</f>
        <v>4</v>
      </c>
      <c r="L683">
        <f>IFERROR(IF(VLOOKUP(calendar[[#This Row],[Date]],BH!A:A,1,)&lt;&gt;"",1,0),0)</f>
        <v>0</v>
      </c>
      <c r="M683">
        <f>IFERROR(IF(VLOOKUP(calendar[[#This Row],[Date]],BH!C:C,1,)&lt;&gt;"",1,0),0)</f>
        <v>0</v>
      </c>
      <c r="N683">
        <f>IFERROR(IF(VLOOKUP(calendar[[#This Row],[Date]],BH!E:E,1,)&lt;&gt;"",1,0),0)</f>
        <v>0</v>
      </c>
      <c r="O683">
        <f>IFERROR(IF(VLOOKUP(calendar[[#This Row],[Date]],BH!G:G,1,)&lt;&gt;"",1,0),0)</f>
        <v>0</v>
      </c>
      <c r="P683">
        <f>IF(OR(calendar[[#This Row],[UK_BH]]=1,calendar[[#This Row],[WeekDay]]=1, calendar[[#This Row],[WeekDay]]=7),P682,P682+1)</f>
        <v>487</v>
      </c>
      <c r="Q683">
        <f>IF(OR(calendar[[#This Row],[FR_BH]]=1,calendar[[#This Row],[WeekDay]]=1, calendar[[#This Row],[WeekDay]]=7),P682,P682+1)</f>
        <v>487</v>
      </c>
      <c r="R683">
        <f>IF(OR(calendar[[#This Row],[SP_BH]]=1,calendar[[#This Row],[WeekDay]]=1, calendar[[#This Row],[WeekDay]]=7),P682,P682+1)</f>
        <v>487</v>
      </c>
      <c r="S683">
        <f>IF(OR(calendar[[#This Row],[PT_BH]]=1,calendar[[#This Row],[WeekDay]]=1, calendar[[#This Row],[WeekDay]]=7),P682,P682+1)</f>
        <v>487</v>
      </c>
    </row>
    <row r="684" spans="1:19" x14ac:dyDescent="0.25">
      <c r="A684" s="2">
        <v>43418</v>
      </c>
      <c r="B684" s="1">
        <f t="shared" si="53"/>
        <v>46</v>
      </c>
      <c r="C684">
        <f t="shared" si="55"/>
        <v>11</v>
      </c>
      <c r="D684" t="str">
        <f t="shared" si="56"/>
        <v>November</v>
      </c>
      <c r="E684">
        <f t="shared" si="57"/>
        <v>2018</v>
      </c>
      <c r="F684" t="str">
        <f>CONCATENATE(calendar[[#This Row],[Month]],"/",calendar[[#This Row],[Year]])</f>
        <v>11/2018</v>
      </c>
      <c r="G684">
        <f>WEEKDAY(calendar[[#This Row],[Date]],1)</f>
        <v>4</v>
      </c>
      <c r="H684" t="str">
        <f>TEXT(calendar[[#This Row],[WeekDay]],"dddd")</f>
        <v>Wednesday</v>
      </c>
      <c r="I684">
        <f>IF((INT(calendar[[#This Row],[Count]]/7)-calendar[[#This Row],[Count]]/7)&lt;0,I683,I683+1)</f>
        <v>98</v>
      </c>
      <c r="J684">
        <f t="shared" si="54"/>
        <v>682</v>
      </c>
      <c r="K684">
        <f>IF(calendar[[#This Row],[Month]]&lt;4,1,IF(calendar[[#This Row],[Month]]&lt;7,2,IF(calendar[[#This Row],[Month]]&lt;10,3,4)))</f>
        <v>4</v>
      </c>
      <c r="L684">
        <f>IFERROR(IF(VLOOKUP(calendar[[#This Row],[Date]],BH!A:A,1,)&lt;&gt;"",1,0),0)</f>
        <v>0</v>
      </c>
      <c r="M684">
        <f>IFERROR(IF(VLOOKUP(calendar[[#This Row],[Date]],BH!C:C,1,)&lt;&gt;"",1,0),0)</f>
        <v>0</v>
      </c>
      <c r="N684">
        <f>IFERROR(IF(VLOOKUP(calendar[[#This Row],[Date]],BH!E:E,1,)&lt;&gt;"",1,0),0)</f>
        <v>0</v>
      </c>
      <c r="O684">
        <f>IFERROR(IF(VLOOKUP(calendar[[#This Row],[Date]],BH!G:G,1,)&lt;&gt;"",1,0),0)</f>
        <v>0</v>
      </c>
      <c r="P684">
        <f>IF(OR(calendar[[#This Row],[UK_BH]]=1,calendar[[#This Row],[WeekDay]]=1, calendar[[#This Row],[WeekDay]]=7),P683,P683+1)</f>
        <v>488</v>
      </c>
      <c r="Q684">
        <f>IF(OR(calendar[[#This Row],[FR_BH]]=1,calendar[[#This Row],[WeekDay]]=1, calendar[[#This Row],[WeekDay]]=7),P683,P683+1)</f>
        <v>488</v>
      </c>
      <c r="R684">
        <f>IF(OR(calendar[[#This Row],[SP_BH]]=1,calendar[[#This Row],[WeekDay]]=1, calendar[[#This Row],[WeekDay]]=7),P683,P683+1)</f>
        <v>488</v>
      </c>
      <c r="S684">
        <f>IF(OR(calendar[[#This Row],[PT_BH]]=1,calendar[[#This Row],[WeekDay]]=1, calendar[[#This Row],[WeekDay]]=7),P683,P683+1)</f>
        <v>488</v>
      </c>
    </row>
    <row r="685" spans="1:19" x14ac:dyDescent="0.25">
      <c r="A685" s="2">
        <v>43419</v>
      </c>
      <c r="B685" s="1">
        <f t="shared" si="53"/>
        <v>46</v>
      </c>
      <c r="C685">
        <f t="shared" si="55"/>
        <v>11</v>
      </c>
      <c r="D685" t="str">
        <f t="shared" si="56"/>
        <v>November</v>
      </c>
      <c r="E685">
        <f t="shared" si="57"/>
        <v>2018</v>
      </c>
      <c r="F685" t="str">
        <f>CONCATENATE(calendar[[#This Row],[Month]],"/",calendar[[#This Row],[Year]])</f>
        <v>11/2018</v>
      </c>
      <c r="G685">
        <f>WEEKDAY(calendar[[#This Row],[Date]],1)</f>
        <v>5</v>
      </c>
      <c r="H685" t="str">
        <f>TEXT(calendar[[#This Row],[WeekDay]],"dddd")</f>
        <v>Thursday</v>
      </c>
      <c r="I685">
        <f>IF((INT(calendar[[#This Row],[Count]]/7)-calendar[[#This Row],[Count]]/7)&lt;0,I684,I684+1)</f>
        <v>98</v>
      </c>
      <c r="J685">
        <f t="shared" si="54"/>
        <v>683</v>
      </c>
      <c r="K685">
        <f>IF(calendar[[#This Row],[Month]]&lt;4,1,IF(calendar[[#This Row],[Month]]&lt;7,2,IF(calendar[[#This Row],[Month]]&lt;10,3,4)))</f>
        <v>4</v>
      </c>
      <c r="L685">
        <f>IFERROR(IF(VLOOKUP(calendar[[#This Row],[Date]],BH!A:A,1,)&lt;&gt;"",1,0),0)</f>
        <v>0</v>
      </c>
      <c r="M685">
        <f>IFERROR(IF(VLOOKUP(calendar[[#This Row],[Date]],BH!C:C,1,)&lt;&gt;"",1,0),0)</f>
        <v>0</v>
      </c>
      <c r="N685">
        <f>IFERROR(IF(VLOOKUP(calendar[[#This Row],[Date]],BH!E:E,1,)&lt;&gt;"",1,0),0)</f>
        <v>0</v>
      </c>
      <c r="O685">
        <f>IFERROR(IF(VLOOKUP(calendar[[#This Row],[Date]],BH!G:G,1,)&lt;&gt;"",1,0),0)</f>
        <v>0</v>
      </c>
      <c r="P685">
        <f>IF(OR(calendar[[#This Row],[UK_BH]]=1,calendar[[#This Row],[WeekDay]]=1, calendar[[#This Row],[WeekDay]]=7),P684,P684+1)</f>
        <v>489</v>
      </c>
      <c r="Q685">
        <f>IF(OR(calendar[[#This Row],[FR_BH]]=1,calendar[[#This Row],[WeekDay]]=1, calendar[[#This Row],[WeekDay]]=7),P684,P684+1)</f>
        <v>489</v>
      </c>
      <c r="R685">
        <f>IF(OR(calendar[[#This Row],[SP_BH]]=1,calendar[[#This Row],[WeekDay]]=1, calendar[[#This Row],[WeekDay]]=7),P684,P684+1)</f>
        <v>489</v>
      </c>
      <c r="S685">
        <f>IF(OR(calendar[[#This Row],[PT_BH]]=1,calendar[[#This Row],[WeekDay]]=1, calendar[[#This Row],[WeekDay]]=7),P684,P684+1)</f>
        <v>489</v>
      </c>
    </row>
    <row r="686" spans="1:19" x14ac:dyDescent="0.25">
      <c r="A686" s="2">
        <v>43420</v>
      </c>
      <c r="B686" s="1">
        <f t="shared" si="53"/>
        <v>46</v>
      </c>
      <c r="C686">
        <f t="shared" si="55"/>
        <v>11</v>
      </c>
      <c r="D686" t="str">
        <f t="shared" si="56"/>
        <v>November</v>
      </c>
      <c r="E686">
        <f t="shared" si="57"/>
        <v>2018</v>
      </c>
      <c r="F686" t="str">
        <f>CONCATENATE(calendar[[#This Row],[Month]],"/",calendar[[#This Row],[Year]])</f>
        <v>11/2018</v>
      </c>
      <c r="G686">
        <f>WEEKDAY(calendar[[#This Row],[Date]],1)</f>
        <v>6</v>
      </c>
      <c r="H686" t="str">
        <f>TEXT(calendar[[#This Row],[WeekDay]],"dddd")</f>
        <v>Friday</v>
      </c>
      <c r="I686">
        <f>IF((INT(calendar[[#This Row],[Count]]/7)-calendar[[#This Row],[Count]]/7)&lt;0,I685,I685+1)</f>
        <v>98</v>
      </c>
      <c r="J686">
        <f t="shared" si="54"/>
        <v>684</v>
      </c>
      <c r="K686">
        <f>IF(calendar[[#This Row],[Month]]&lt;4,1,IF(calendar[[#This Row],[Month]]&lt;7,2,IF(calendar[[#This Row],[Month]]&lt;10,3,4)))</f>
        <v>4</v>
      </c>
      <c r="L686">
        <f>IFERROR(IF(VLOOKUP(calendar[[#This Row],[Date]],BH!A:A,1,)&lt;&gt;"",1,0),0)</f>
        <v>0</v>
      </c>
      <c r="M686">
        <f>IFERROR(IF(VLOOKUP(calendar[[#This Row],[Date]],BH!C:C,1,)&lt;&gt;"",1,0),0)</f>
        <v>0</v>
      </c>
      <c r="N686">
        <f>IFERROR(IF(VLOOKUP(calendar[[#This Row],[Date]],BH!E:E,1,)&lt;&gt;"",1,0),0)</f>
        <v>0</v>
      </c>
      <c r="O686">
        <f>IFERROR(IF(VLOOKUP(calendar[[#This Row],[Date]],BH!G:G,1,)&lt;&gt;"",1,0),0)</f>
        <v>0</v>
      </c>
      <c r="P686">
        <f>IF(OR(calendar[[#This Row],[UK_BH]]=1,calendar[[#This Row],[WeekDay]]=1, calendar[[#This Row],[WeekDay]]=7),P685,P685+1)</f>
        <v>490</v>
      </c>
      <c r="Q686">
        <f>IF(OR(calendar[[#This Row],[FR_BH]]=1,calendar[[#This Row],[WeekDay]]=1, calendar[[#This Row],[WeekDay]]=7),P685,P685+1)</f>
        <v>490</v>
      </c>
      <c r="R686">
        <f>IF(OR(calendar[[#This Row],[SP_BH]]=1,calendar[[#This Row],[WeekDay]]=1, calendar[[#This Row],[WeekDay]]=7),P685,P685+1)</f>
        <v>490</v>
      </c>
      <c r="S686">
        <f>IF(OR(calendar[[#This Row],[PT_BH]]=1,calendar[[#This Row],[WeekDay]]=1, calendar[[#This Row],[WeekDay]]=7),P685,P685+1)</f>
        <v>490</v>
      </c>
    </row>
    <row r="687" spans="1:19" x14ac:dyDescent="0.25">
      <c r="A687" s="2">
        <v>43421</v>
      </c>
      <c r="B687" s="1">
        <f t="shared" si="53"/>
        <v>46</v>
      </c>
      <c r="C687">
        <f t="shared" si="55"/>
        <v>11</v>
      </c>
      <c r="D687" t="str">
        <f t="shared" si="56"/>
        <v>November</v>
      </c>
      <c r="E687">
        <f t="shared" si="57"/>
        <v>2018</v>
      </c>
      <c r="F687" t="str">
        <f>CONCATENATE(calendar[[#This Row],[Month]],"/",calendar[[#This Row],[Year]])</f>
        <v>11/2018</v>
      </c>
      <c r="G687">
        <f>WEEKDAY(calendar[[#This Row],[Date]],1)</f>
        <v>7</v>
      </c>
      <c r="H687" t="str">
        <f>TEXT(calendar[[#This Row],[WeekDay]],"dddd")</f>
        <v>Saturday</v>
      </c>
      <c r="I687">
        <f>IF((INT(calendar[[#This Row],[Count]]/7)-calendar[[#This Row],[Count]]/7)&lt;0,I686,I686+1)</f>
        <v>98</v>
      </c>
      <c r="J687">
        <f t="shared" si="54"/>
        <v>685</v>
      </c>
      <c r="K687">
        <f>IF(calendar[[#This Row],[Month]]&lt;4,1,IF(calendar[[#This Row],[Month]]&lt;7,2,IF(calendar[[#This Row],[Month]]&lt;10,3,4)))</f>
        <v>4</v>
      </c>
      <c r="L687">
        <f>IFERROR(IF(VLOOKUP(calendar[[#This Row],[Date]],BH!A:A,1,)&lt;&gt;"",1,0),0)</f>
        <v>0</v>
      </c>
      <c r="M687">
        <f>IFERROR(IF(VLOOKUP(calendar[[#This Row],[Date]],BH!C:C,1,)&lt;&gt;"",1,0),0)</f>
        <v>0</v>
      </c>
      <c r="N687">
        <f>IFERROR(IF(VLOOKUP(calendar[[#This Row],[Date]],BH!E:E,1,)&lt;&gt;"",1,0),0)</f>
        <v>0</v>
      </c>
      <c r="O687">
        <f>IFERROR(IF(VLOOKUP(calendar[[#This Row],[Date]],BH!G:G,1,)&lt;&gt;"",1,0),0)</f>
        <v>0</v>
      </c>
      <c r="P687">
        <f>IF(OR(calendar[[#This Row],[UK_BH]]=1,calendar[[#This Row],[WeekDay]]=1, calendar[[#This Row],[WeekDay]]=7),P686,P686+1)</f>
        <v>490</v>
      </c>
      <c r="Q687">
        <f>IF(OR(calendar[[#This Row],[FR_BH]]=1,calendar[[#This Row],[WeekDay]]=1, calendar[[#This Row],[WeekDay]]=7),P686,P686+1)</f>
        <v>490</v>
      </c>
      <c r="R687">
        <f>IF(OR(calendar[[#This Row],[SP_BH]]=1,calendar[[#This Row],[WeekDay]]=1, calendar[[#This Row],[WeekDay]]=7),P686,P686+1)</f>
        <v>490</v>
      </c>
      <c r="S687">
        <f>IF(OR(calendar[[#This Row],[PT_BH]]=1,calendar[[#This Row],[WeekDay]]=1, calendar[[#This Row],[WeekDay]]=7),P686,P686+1)</f>
        <v>490</v>
      </c>
    </row>
    <row r="688" spans="1:19" x14ac:dyDescent="0.25">
      <c r="A688" s="2">
        <v>43422</v>
      </c>
      <c r="B688" s="1">
        <f t="shared" si="53"/>
        <v>47</v>
      </c>
      <c r="C688">
        <f t="shared" si="55"/>
        <v>11</v>
      </c>
      <c r="D688" t="str">
        <f t="shared" si="56"/>
        <v>November</v>
      </c>
      <c r="E688">
        <f t="shared" si="57"/>
        <v>2018</v>
      </c>
      <c r="F688" t="str">
        <f>CONCATENATE(calendar[[#This Row],[Month]],"/",calendar[[#This Row],[Year]])</f>
        <v>11/2018</v>
      </c>
      <c r="G688">
        <f>WEEKDAY(calendar[[#This Row],[Date]],1)</f>
        <v>1</v>
      </c>
      <c r="H688" t="str">
        <f>TEXT(calendar[[#This Row],[WeekDay]],"dddd")</f>
        <v>Sunday</v>
      </c>
      <c r="I688">
        <f>IF((INT(calendar[[#This Row],[Count]]/7)-calendar[[#This Row],[Count]]/7)&lt;0,I687,I687+1)</f>
        <v>99</v>
      </c>
      <c r="J688">
        <f t="shared" si="54"/>
        <v>686</v>
      </c>
      <c r="K688">
        <f>IF(calendar[[#This Row],[Month]]&lt;4,1,IF(calendar[[#This Row],[Month]]&lt;7,2,IF(calendar[[#This Row],[Month]]&lt;10,3,4)))</f>
        <v>4</v>
      </c>
      <c r="L688">
        <f>IFERROR(IF(VLOOKUP(calendar[[#This Row],[Date]],BH!A:A,1,)&lt;&gt;"",1,0),0)</f>
        <v>0</v>
      </c>
      <c r="M688">
        <f>IFERROR(IF(VLOOKUP(calendar[[#This Row],[Date]],BH!C:C,1,)&lt;&gt;"",1,0),0)</f>
        <v>0</v>
      </c>
      <c r="N688">
        <f>IFERROR(IF(VLOOKUP(calendar[[#This Row],[Date]],BH!E:E,1,)&lt;&gt;"",1,0),0)</f>
        <v>0</v>
      </c>
      <c r="O688">
        <f>IFERROR(IF(VLOOKUP(calendar[[#This Row],[Date]],BH!G:G,1,)&lt;&gt;"",1,0),0)</f>
        <v>0</v>
      </c>
      <c r="P688">
        <f>IF(OR(calendar[[#This Row],[UK_BH]]=1,calendar[[#This Row],[WeekDay]]=1, calendar[[#This Row],[WeekDay]]=7),P687,P687+1)</f>
        <v>490</v>
      </c>
      <c r="Q688">
        <f>IF(OR(calendar[[#This Row],[FR_BH]]=1,calendar[[#This Row],[WeekDay]]=1, calendar[[#This Row],[WeekDay]]=7),P687,P687+1)</f>
        <v>490</v>
      </c>
      <c r="R688">
        <f>IF(OR(calendar[[#This Row],[SP_BH]]=1,calendar[[#This Row],[WeekDay]]=1, calendar[[#This Row],[WeekDay]]=7),P687,P687+1)</f>
        <v>490</v>
      </c>
      <c r="S688">
        <f>IF(OR(calendar[[#This Row],[PT_BH]]=1,calendar[[#This Row],[WeekDay]]=1, calendar[[#This Row],[WeekDay]]=7),P687,P687+1)</f>
        <v>490</v>
      </c>
    </row>
    <row r="689" spans="1:19" x14ac:dyDescent="0.25">
      <c r="A689" s="2">
        <v>43423</v>
      </c>
      <c r="B689" s="1">
        <f t="shared" si="53"/>
        <v>47</v>
      </c>
      <c r="C689">
        <f t="shared" si="55"/>
        <v>11</v>
      </c>
      <c r="D689" t="str">
        <f t="shared" si="56"/>
        <v>November</v>
      </c>
      <c r="E689">
        <f t="shared" si="57"/>
        <v>2018</v>
      </c>
      <c r="F689" t="str">
        <f>CONCATENATE(calendar[[#This Row],[Month]],"/",calendar[[#This Row],[Year]])</f>
        <v>11/2018</v>
      </c>
      <c r="G689">
        <f>WEEKDAY(calendar[[#This Row],[Date]],1)</f>
        <v>2</v>
      </c>
      <c r="H689" t="str">
        <f>TEXT(calendar[[#This Row],[WeekDay]],"dddd")</f>
        <v>Monday</v>
      </c>
      <c r="I689">
        <f>IF((INT(calendar[[#This Row],[Count]]/7)-calendar[[#This Row],[Count]]/7)&lt;0,I688,I688+1)</f>
        <v>99</v>
      </c>
      <c r="J689">
        <f t="shared" si="54"/>
        <v>687</v>
      </c>
      <c r="K689">
        <f>IF(calendar[[#This Row],[Month]]&lt;4,1,IF(calendar[[#This Row],[Month]]&lt;7,2,IF(calendar[[#This Row],[Month]]&lt;10,3,4)))</f>
        <v>4</v>
      </c>
      <c r="L689">
        <f>IFERROR(IF(VLOOKUP(calendar[[#This Row],[Date]],BH!A:A,1,)&lt;&gt;"",1,0),0)</f>
        <v>0</v>
      </c>
      <c r="M689">
        <f>IFERROR(IF(VLOOKUP(calendar[[#This Row],[Date]],BH!C:C,1,)&lt;&gt;"",1,0),0)</f>
        <v>0</v>
      </c>
      <c r="N689">
        <f>IFERROR(IF(VLOOKUP(calendar[[#This Row],[Date]],BH!E:E,1,)&lt;&gt;"",1,0),0)</f>
        <v>0</v>
      </c>
      <c r="O689">
        <f>IFERROR(IF(VLOOKUP(calendar[[#This Row],[Date]],BH!G:G,1,)&lt;&gt;"",1,0),0)</f>
        <v>0</v>
      </c>
      <c r="P689">
        <f>IF(OR(calendar[[#This Row],[UK_BH]]=1,calendar[[#This Row],[WeekDay]]=1, calendar[[#This Row],[WeekDay]]=7),P688,P688+1)</f>
        <v>491</v>
      </c>
      <c r="Q689">
        <f>IF(OR(calendar[[#This Row],[FR_BH]]=1,calendar[[#This Row],[WeekDay]]=1, calendar[[#This Row],[WeekDay]]=7),P688,P688+1)</f>
        <v>491</v>
      </c>
      <c r="R689">
        <f>IF(OR(calendar[[#This Row],[SP_BH]]=1,calendar[[#This Row],[WeekDay]]=1, calendar[[#This Row],[WeekDay]]=7),P688,P688+1)</f>
        <v>491</v>
      </c>
      <c r="S689">
        <f>IF(OR(calendar[[#This Row],[PT_BH]]=1,calendar[[#This Row],[WeekDay]]=1, calendar[[#This Row],[WeekDay]]=7),P688,P688+1)</f>
        <v>491</v>
      </c>
    </row>
    <row r="690" spans="1:19" x14ac:dyDescent="0.25">
      <c r="A690" s="2">
        <v>43424</v>
      </c>
      <c r="B690" s="1">
        <f t="shared" si="53"/>
        <v>47</v>
      </c>
      <c r="C690">
        <f t="shared" si="55"/>
        <v>11</v>
      </c>
      <c r="D690" t="str">
        <f t="shared" si="56"/>
        <v>November</v>
      </c>
      <c r="E690">
        <f t="shared" si="57"/>
        <v>2018</v>
      </c>
      <c r="F690" t="str">
        <f>CONCATENATE(calendar[[#This Row],[Month]],"/",calendar[[#This Row],[Year]])</f>
        <v>11/2018</v>
      </c>
      <c r="G690">
        <f>WEEKDAY(calendar[[#This Row],[Date]],1)</f>
        <v>3</v>
      </c>
      <c r="H690" t="str">
        <f>TEXT(calendar[[#This Row],[WeekDay]],"dddd")</f>
        <v>Tuesday</v>
      </c>
      <c r="I690">
        <f>IF((INT(calendar[[#This Row],[Count]]/7)-calendar[[#This Row],[Count]]/7)&lt;0,I689,I689+1)</f>
        <v>99</v>
      </c>
      <c r="J690">
        <f t="shared" si="54"/>
        <v>688</v>
      </c>
      <c r="K690">
        <f>IF(calendar[[#This Row],[Month]]&lt;4,1,IF(calendar[[#This Row],[Month]]&lt;7,2,IF(calendar[[#This Row],[Month]]&lt;10,3,4)))</f>
        <v>4</v>
      </c>
      <c r="L690">
        <f>IFERROR(IF(VLOOKUP(calendar[[#This Row],[Date]],BH!A:A,1,)&lt;&gt;"",1,0),0)</f>
        <v>0</v>
      </c>
      <c r="M690">
        <f>IFERROR(IF(VLOOKUP(calendar[[#This Row],[Date]],BH!C:C,1,)&lt;&gt;"",1,0),0)</f>
        <v>0</v>
      </c>
      <c r="N690">
        <f>IFERROR(IF(VLOOKUP(calendar[[#This Row],[Date]],BH!E:E,1,)&lt;&gt;"",1,0),0)</f>
        <v>0</v>
      </c>
      <c r="O690">
        <f>IFERROR(IF(VLOOKUP(calendar[[#This Row],[Date]],BH!G:G,1,)&lt;&gt;"",1,0),0)</f>
        <v>0</v>
      </c>
      <c r="P690">
        <f>IF(OR(calendar[[#This Row],[UK_BH]]=1,calendar[[#This Row],[WeekDay]]=1, calendar[[#This Row],[WeekDay]]=7),P689,P689+1)</f>
        <v>492</v>
      </c>
      <c r="Q690">
        <f>IF(OR(calendar[[#This Row],[FR_BH]]=1,calendar[[#This Row],[WeekDay]]=1, calendar[[#This Row],[WeekDay]]=7),P689,P689+1)</f>
        <v>492</v>
      </c>
      <c r="R690">
        <f>IF(OR(calendar[[#This Row],[SP_BH]]=1,calendar[[#This Row],[WeekDay]]=1, calendar[[#This Row],[WeekDay]]=7),P689,P689+1)</f>
        <v>492</v>
      </c>
      <c r="S690">
        <f>IF(OR(calendar[[#This Row],[PT_BH]]=1,calendar[[#This Row],[WeekDay]]=1, calendar[[#This Row],[WeekDay]]=7),P689,P689+1)</f>
        <v>492</v>
      </c>
    </row>
    <row r="691" spans="1:19" x14ac:dyDescent="0.25">
      <c r="A691" s="2">
        <v>43425</v>
      </c>
      <c r="B691" s="1">
        <f t="shared" si="53"/>
        <v>47</v>
      </c>
      <c r="C691">
        <f t="shared" si="55"/>
        <v>11</v>
      </c>
      <c r="D691" t="str">
        <f t="shared" si="56"/>
        <v>November</v>
      </c>
      <c r="E691">
        <f t="shared" si="57"/>
        <v>2018</v>
      </c>
      <c r="F691" t="str">
        <f>CONCATENATE(calendar[[#This Row],[Month]],"/",calendar[[#This Row],[Year]])</f>
        <v>11/2018</v>
      </c>
      <c r="G691">
        <f>WEEKDAY(calendar[[#This Row],[Date]],1)</f>
        <v>4</v>
      </c>
      <c r="H691" t="str">
        <f>TEXT(calendar[[#This Row],[WeekDay]],"dddd")</f>
        <v>Wednesday</v>
      </c>
      <c r="I691">
        <f>IF((INT(calendar[[#This Row],[Count]]/7)-calendar[[#This Row],[Count]]/7)&lt;0,I690,I690+1)</f>
        <v>99</v>
      </c>
      <c r="J691">
        <f t="shared" si="54"/>
        <v>689</v>
      </c>
      <c r="K691">
        <f>IF(calendar[[#This Row],[Month]]&lt;4,1,IF(calendar[[#This Row],[Month]]&lt;7,2,IF(calendar[[#This Row],[Month]]&lt;10,3,4)))</f>
        <v>4</v>
      </c>
      <c r="L691">
        <f>IFERROR(IF(VLOOKUP(calendar[[#This Row],[Date]],BH!A:A,1,)&lt;&gt;"",1,0),0)</f>
        <v>0</v>
      </c>
      <c r="M691">
        <f>IFERROR(IF(VLOOKUP(calendar[[#This Row],[Date]],BH!C:C,1,)&lt;&gt;"",1,0),0)</f>
        <v>0</v>
      </c>
      <c r="N691">
        <f>IFERROR(IF(VLOOKUP(calendar[[#This Row],[Date]],BH!E:E,1,)&lt;&gt;"",1,0),0)</f>
        <v>0</v>
      </c>
      <c r="O691">
        <f>IFERROR(IF(VLOOKUP(calendar[[#This Row],[Date]],BH!G:G,1,)&lt;&gt;"",1,0),0)</f>
        <v>0</v>
      </c>
      <c r="P691">
        <f>IF(OR(calendar[[#This Row],[UK_BH]]=1,calendar[[#This Row],[WeekDay]]=1, calendar[[#This Row],[WeekDay]]=7),P690,P690+1)</f>
        <v>493</v>
      </c>
      <c r="Q691">
        <f>IF(OR(calendar[[#This Row],[FR_BH]]=1,calendar[[#This Row],[WeekDay]]=1, calendar[[#This Row],[WeekDay]]=7),P690,P690+1)</f>
        <v>493</v>
      </c>
      <c r="R691">
        <f>IF(OR(calendar[[#This Row],[SP_BH]]=1,calendar[[#This Row],[WeekDay]]=1, calendar[[#This Row],[WeekDay]]=7),P690,P690+1)</f>
        <v>493</v>
      </c>
      <c r="S691">
        <f>IF(OR(calendar[[#This Row],[PT_BH]]=1,calendar[[#This Row],[WeekDay]]=1, calendar[[#This Row],[WeekDay]]=7),P690,P690+1)</f>
        <v>493</v>
      </c>
    </row>
    <row r="692" spans="1:19" x14ac:dyDescent="0.25">
      <c r="A692" s="2">
        <v>43426</v>
      </c>
      <c r="B692" s="1">
        <f t="shared" si="53"/>
        <v>47</v>
      </c>
      <c r="C692">
        <f t="shared" si="55"/>
        <v>11</v>
      </c>
      <c r="D692" t="str">
        <f t="shared" si="56"/>
        <v>November</v>
      </c>
      <c r="E692">
        <f t="shared" si="57"/>
        <v>2018</v>
      </c>
      <c r="F692" t="str">
        <f>CONCATENATE(calendar[[#This Row],[Month]],"/",calendar[[#This Row],[Year]])</f>
        <v>11/2018</v>
      </c>
      <c r="G692">
        <f>WEEKDAY(calendar[[#This Row],[Date]],1)</f>
        <v>5</v>
      </c>
      <c r="H692" t="str">
        <f>TEXT(calendar[[#This Row],[WeekDay]],"dddd")</f>
        <v>Thursday</v>
      </c>
      <c r="I692">
        <f>IF((INT(calendar[[#This Row],[Count]]/7)-calendar[[#This Row],[Count]]/7)&lt;0,I691,I691+1)</f>
        <v>99</v>
      </c>
      <c r="J692">
        <f t="shared" si="54"/>
        <v>690</v>
      </c>
      <c r="K692">
        <f>IF(calendar[[#This Row],[Month]]&lt;4,1,IF(calendar[[#This Row],[Month]]&lt;7,2,IF(calendar[[#This Row],[Month]]&lt;10,3,4)))</f>
        <v>4</v>
      </c>
      <c r="L692">
        <f>IFERROR(IF(VLOOKUP(calendar[[#This Row],[Date]],BH!A:A,1,)&lt;&gt;"",1,0),0)</f>
        <v>0</v>
      </c>
      <c r="M692">
        <f>IFERROR(IF(VLOOKUP(calendar[[#This Row],[Date]],BH!C:C,1,)&lt;&gt;"",1,0),0)</f>
        <v>0</v>
      </c>
      <c r="N692">
        <f>IFERROR(IF(VLOOKUP(calendar[[#This Row],[Date]],BH!E:E,1,)&lt;&gt;"",1,0),0)</f>
        <v>0</v>
      </c>
      <c r="O692">
        <f>IFERROR(IF(VLOOKUP(calendar[[#This Row],[Date]],BH!G:G,1,)&lt;&gt;"",1,0),0)</f>
        <v>0</v>
      </c>
      <c r="P692">
        <f>IF(OR(calendar[[#This Row],[UK_BH]]=1,calendar[[#This Row],[WeekDay]]=1, calendar[[#This Row],[WeekDay]]=7),P691,P691+1)</f>
        <v>494</v>
      </c>
      <c r="Q692">
        <f>IF(OR(calendar[[#This Row],[FR_BH]]=1,calendar[[#This Row],[WeekDay]]=1, calendar[[#This Row],[WeekDay]]=7),P691,P691+1)</f>
        <v>494</v>
      </c>
      <c r="R692">
        <f>IF(OR(calendar[[#This Row],[SP_BH]]=1,calendar[[#This Row],[WeekDay]]=1, calendar[[#This Row],[WeekDay]]=7),P691,P691+1)</f>
        <v>494</v>
      </c>
      <c r="S692">
        <f>IF(OR(calendar[[#This Row],[PT_BH]]=1,calendar[[#This Row],[WeekDay]]=1, calendar[[#This Row],[WeekDay]]=7),P691,P691+1)</f>
        <v>494</v>
      </c>
    </row>
    <row r="693" spans="1:19" x14ac:dyDescent="0.25">
      <c r="A693" s="2">
        <v>43427</v>
      </c>
      <c r="B693" s="1">
        <f t="shared" si="53"/>
        <v>47</v>
      </c>
      <c r="C693">
        <f t="shared" si="55"/>
        <v>11</v>
      </c>
      <c r="D693" t="str">
        <f t="shared" si="56"/>
        <v>November</v>
      </c>
      <c r="E693">
        <f t="shared" si="57"/>
        <v>2018</v>
      </c>
      <c r="F693" t="str">
        <f>CONCATENATE(calendar[[#This Row],[Month]],"/",calendar[[#This Row],[Year]])</f>
        <v>11/2018</v>
      </c>
      <c r="G693">
        <f>WEEKDAY(calendar[[#This Row],[Date]],1)</f>
        <v>6</v>
      </c>
      <c r="H693" t="str">
        <f>TEXT(calendar[[#This Row],[WeekDay]],"dddd")</f>
        <v>Friday</v>
      </c>
      <c r="I693">
        <f>IF((INT(calendar[[#This Row],[Count]]/7)-calendar[[#This Row],[Count]]/7)&lt;0,I692,I692+1)</f>
        <v>99</v>
      </c>
      <c r="J693">
        <f t="shared" si="54"/>
        <v>691</v>
      </c>
      <c r="K693">
        <f>IF(calendar[[#This Row],[Month]]&lt;4,1,IF(calendar[[#This Row],[Month]]&lt;7,2,IF(calendar[[#This Row],[Month]]&lt;10,3,4)))</f>
        <v>4</v>
      </c>
      <c r="L693">
        <f>IFERROR(IF(VLOOKUP(calendar[[#This Row],[Date]],BH!A:A,1,)&lt;&gt;"",1,0),0)</f>
        <v>0</v>
      </c>
      <c r="M693">
        <f>IFERROR(IF(VLOOKUP(calendar[[#This Row],[Date]],BH!C:C,1,)&lt;&gt;"",1,0),0)</f>
        <v>0</v>
      </c>
      <c r="N693">
        <f>IFERROR(IF(VLOOKUP(calendar[[#This Row],[Date]],BH!E:E,1,)&lt;&gt;"",1,0),0)</f>
        <v>0</v>
      </c>
      <c r="O693">
        <f>IFERROR(IF(VLOOKUP(calendar[[#This Row],[Date]],BH!G:G,1,)&lt;&gt;"",1,0),0)</f>
        <v>0</v>
      </c>
      <c r="P693">
        <f>IF(OR(calendar[[#This Row],[UK_BH]]=1,calendar[[#This Row],[WeekDay]]=1, calendar[[#This Row],[WeekDay]]=7),P692,P692+1)</f>
        <v>495</v>
      </c>
      <c r="Q693">
        <f>IF(OR(calendar[[#This Row],[FR_BH]]=1,calendar[[#This Row],[WeekDay]]=1, calendar[[#This Row],[WeekDay]]=7),P692,P692+1)</f>
        <v>495</v>
      </c>
      <c r="R693">
        <f>IF(OR(calendar[[#This Row],[SP_BH]]=1,calendar[[#This Row],[WeekDay]]=1, calendar[[#This Row],[WeekDay]]=7),P692,P692+1)</f>
        <v>495</v>
      </c>
      <c r="S693">
        <f>IF(OR(calendar[[#This Row],[PT_BH]]=1,calendar[[#This Row],[WeekDay]]=1, calendar[[#This Row],[WeekDay]]=7),P692,P692+1)</f>
        <v>495</v>
      </c>
    </row>
    <row r="694" spans="1:19" x14ac:dyDescent="0.25">
      <c r="A694" s="2">
        <v>43428</v>
      </c>
      <c r="B694" s="1">
        <f t="shared" si="53"/>
        <v>47</v>
      </c>
      <c r="C694">
        <f t="shared" si="55"/>
        <v>11</v>
      </c>
      <c r="D694" t="str">
        <f t="shared" si="56"/>
        <v>November</v>
      </c>
      <c r="E694">
        <f t="shared" si="57"/>
        <v>2018</v>
      </c>
      <c r="F694" t="str">
        <f>CONCATENATE(calendar[[#This Row],[Month]],"/",calendar[[#This Row],[Year]])</f>
        <v>11/2018</v>
      </c>
      <c r="G694">
        <f>WEEKDAY(calendar[[#This Row],[Date]],1)</f>
        <v>7</v>
      </c>
      <c r="H694" t="str">
        <f>TEXT(calendar[[#This Row],[WeekDay]],"dddd")</f>
        <v>Saturday</v>
      </c>
      <c r="I694">
        <f>IF((INT(calendar[[#This Row],[Count]]/7)-calendar[[#This Row],[Count]]/7)&lt;0,I693,I693+1)</f>
        <v>99</v>
      </c>
      <c r="J694">
        <f t="shared" si="54"/>
        <v>692</v>
      </c>
      <c r="K694">
        <f>IF(calendar[[#This Row],[Month]]&lt;4,1,IF(calendar[[#This Row],[Month]]&lt;7,2,IF(calendar[[#This Row],[Month]]&lt;10,3,4)))</f>
        <v>4</v>
      </c>
      <c r="L694">
        <f>IFERROR(IF(VLOOKUP(calendar[[#This Row],[Date]],BH!A:A,1,)&lt;&gt;"",1,0),0)</f>
        <v>0</v>
      </c>
      <c r="M694">
        <f>IFERROR(IF(VLOOKUP(calendar[[#This Row],[Date]],BH!C:C,1,)&lt;&gt;"",1,0),0)</f>
        <v>0</v>
      </c>
      <c r="N694">
        <f>IFERROR(IF(VLOOKUP(calendar[[#This Row],[Date]],BH!E:E,1,)&lt;&gt;"",1,0),0)</f>
        <v>0</v>
      </c>
      <c r="O694">
        <f>IFERROR(IF(VLOOKUP(calendar[[#This Row],[Date]],BH!G:G,1,)&lt;&gt;"",1,0),0)</f>
        <v>0</v>
      </c>
      <c r="P694">
        <f>IF(OR(calendar[[#This Row],[UK_BH]]=1,calendar[[#This Row],[WeekDay]]=1, calendar[[#This Row],[WeekDay]]=7),P693,P693+1)</f>
        <v>495</v>
      </c>
      <c r="Q694">
        <f>IF(OR(calendar[[#This Row],[FR_BH]]=1,calendar[[#This Row],[WeekDay]]=1, calendar[[#This Row],[WeekDay]]=7),P693,P693+1)</f>
        <v>495</v>
      </c>
      <c r="R694">
        <f>IF(OR(calendar[[#This Row],[SP_BH]]=1,calendar[[#This Row],[WeekDay]]=1, calendar[[#This Row],[WeekDay]]=7),P693,P693+1)</f>
        <v>495</v>
      </c>
      <c r="S694">
        <f>IF(OR(calendar[[#This Row],[PT_BH]]=1,calendar[[#This Row],[WeekDay]]=1, calendar[[#This Row],[WeekDay]]=7),P693,P693+1)</f>
        <v>495</v>
      </c>
    </row>
    <row r="695" spans="1:19" x14ac:dyDescent="0.25">
      <c r="A695" s="2">
        <v>43429</v>
      </c>
      <c r="B695" s="1">
        <f t="shared" si="53"/>
        <v>48</v>
      </c>
      <c r="C695">
        <f t="shared" si="55"/>
        <v>11</v>
      </c>
      <c r="D695" t="str">
        <f t="shared" si="56"/>
        <v>November</v>
      </c>
      <c r="E695">
        <f t="shared" si="57"/>
        <v>2018</v>
      </c>
      <c r="F695" t="str">
        <f>CONCATENATE(calendar[[#This Row],[Month]],"/",calendar[[#This Row],[Year]])</f>
        <v>11/2018</v>
      </c>
      <c r="G695">
        <f>WEEKDAY(calendar[[#This Row],[Date]],1)</f>
        <v>1</v>
      </c>
      <c r="H695" t="str">
        <f>TEXT(calendar[[#This Row],[WeekDay]],"dddd")</f>
        <v>Sunday</v>
      </c>
      <c r="I695">
        <f>IF((INT(calendar[[#This Row],[Count]]/7)-calendar[[#This Row],[Count]]/7)&lt;0,I694,I694+1)</f>
        <v>100</v>
      </c>
      <c r="J695">
        <f t="shared" si="54"/>
        <v>693</v>
      </c>
      <c r="K695">
        <f>IF(calendar[[#This Row],[Month]]&lt;4,1,IF(calendar[[#This Row],[Month]]&lt;7,2,IF(calendar[[#This Row],[Month]]&lt;10,3,4)))</f>
        <v>4</v>
      </c>
      <c r="L695">
        <f>IFERROR(IF(VLOOKUP(calendar[[#This Row],[Date]],BH!A:A,1,)&lt;&gt;"",1,0),0)</f>
        <v>0</v>
      </c>
      <c r="M695">
        <f>IFERROR(IF(VLOOKUP(calendar[[#This Row],[Date]],BH!C:C,1,)&lt;&gt;"",1,0),0)</f>
        <v>0</v>
      </c>
      <c r="N695">
        <f>IFERROR(IF(VLOOKUP(calendar[[#This Row],[Date]],BH!E:E,1,)&lt;&gt;"",1,0),0)</f>
        <v>0</v>
      </c>
      <c r="O695">
        <f>IFERROR(IF(VLOOKUP(calendar[[#This Row],[Date]],BH!G:G,1,)&lt;&gt;"",1,0),0)</f>
        <v>0</v>
      </c>
      <c r="P695">
        <f>IF(OR(calendar[[#This Row],[UK_BH]]=1,calendar[[#This Row],[WeekDay]]=1, calendar[[#This Row],[WeekDay]]=7),P694,P694+1)</f>
        <v>495</v>
      </c>
      <c r="Q695">
        <f>IF(OR(calendar[[#This Row],[FR_BH]]=1,calendar[[#This Row],[WeekDay]]=1, calendar[[#This Row],[WeekDay]]=7),P694,P694+1)</f>
        <v>495</v>
      </c>
      <c r="R695">
        <f>IF(OR(calendar[[#This Row],[SP_BH]]=1,calendar[[#This Row],[WeekDay]]=1, calendar[[#This Row],[WeekDay]]=7),P694,P694+1)</f>
        <v>495</v>
      </c>
      <c r="S695">
        <f>IF(OR(calendar[[#This Row],[PT_BH]]=1,calendar[[#This Row],[WeekDay]]=1, calendar[[#This Row],[WeekDay]]=7),P694,P694+1)</f>
        <v>495</v>
      </c>
    </row>
    <row r="696" spans="1:19" x14ac:dyDescent="0.25">
      <c r="A696" s="2">
        <v>43430</v>
      </c>
      <c r="B696" s="1">
        <f t="shared" si="53"/>
        <v>48</v>
      </c>
      <c r="C696">
        <f t="shared" si="55"/>
        <v>11</v>
      </c>
      <c r="D696" t="str">
        <f t="shared" si="56"/>
        <v>November</v>
      </c>
      <c r="E696">
        <f t="shared" si="57"/>
        <v>2018</v>
      </c>
      <c r="F696" t="str">
        <f>CONCATENATE(calendar[[#This Row],[Month]],"/",calendar[[#This Row],[Year]])</f>
        <v>11/2018</v>
      </c>
      <c r="G696">
        <f>WEEKDAY(calendar[[#This Row],[Date]],1)</f>
        <v>2</v>
      </c>
      <c r="H696" t="str">
        <f>TEXT(calendar[[#This Row],[WeekDay]],"dddd")</f>
        <v>Monday</v>
      </c>
      <c r="I696">
        <f>IF((INT(calendar[[#This Row],[Count]]/7)-calendar[[#This Row],[Count]]/7)&lt;0,I695,I695+1)</f>
        <v>100</v>
      </c>
      <c r="J696">
        <f t="shared" si="54"/>
        <v>694</v>
      </c>
      <c r="K696">
        <f>IF(calendar[[#This Row],[Month]]&lt;4,1,IF(calendar[[#This Row],[Month]]&lt;7,2,IF(calendar[[#This Row],[Month]]&lt;10,3,4)))</f>
        <v>4</v>
      </c>
      <c r="L696">
        <f>IFERROR(IF(VLOOKUP(calendar[[#This Row],[Date]],BH!A:A,1,)&lt;&gt;"",1,0),0)</f>
        <v>0</v>
      </c>
      <c r="M696">
        <f>IFERROR(IF(VLOOKUP(calendar[[#This Row],[Date]],BH!C:C,1,)&lt;&gt;"",1,0),0)</f>
        <v>0</v>
      </c>
      <c r="N696">
        <f>IFERROR(IF(VLOOKUP(calendar[[#This Row],[Date]],BH!E:E,1,)&lt;&gt;"",1,0),0)</f>
        <v>0</v>
      </c>
      <c r="O696">
        <f>IFERROR(IF(VLOOKUP(calendar[[#This Row],[Date]],BH!G:G,1,)&lt;&gt;"",1,0),0)</f>
        <v>0</v>
      </c>
      <c r="P696">
        <f>IF(OR(calendar[[#This Row],[UK_BH]]=1,calendar[[#This Row],[WeekDay]]=1, calendar[[#This Row],[WeekDay]]=7),P695,P695+1)</f>
        <v>496</v>
      </c>
      <c r="Q696">
        <f>IF(OR(calendar[[#This Row],[FR_BH]]=1,calendar[[#This Row],[WeekDay]]=1, calendar[[#This Row],[WeekDay]]=7),P695,P695+1)</f>
        <v>496</v>
      </c>
      <c r="R696">
        <f>IF(OR(calendar[[#This Row],[SP_BH]]=1,calendar[[#This Row],[WeekDay]]=1, calendar[[#This Row],[WeekDay]]=7),P695,P695+1)</f>
        <v>496</v>
      </c>
      <c r="S696">
        <f>IF(OR(calendar[[#This Row],[PT_BH]]=1,calendar[[#This Row],[WeekDay]]=1, calendar[[#This Row],[WeekDay]]=7),P695,P695+1)</f>
        <v>496</v>
      </c>
    </row>
    <row r="697" spans="1:19" x14ac:dyDescent="0.25">
      <c r="A697" s="2">
        <v>43431</v>
      </c>
      <c r="B697" s="1">
        <f t="shared" si="53"/>
        <v>48</v>
      </c>
      <c r="C697">
        <f t="shared" si="55"/>
        <v>11</v>
      </c>
      <c r="D697" t="str">
        <f t="shared" si="56"/>
        <v>November</v>
      </c>
      <c r="E697">
        <f t="shared" si="57"/>
        <v>2018</v>
      </c>
      <c r="F697" t="str">
        <f>CONCATENATE(calendar[[#This Row],[Month]],"/",calendar[[#This Row],[Year]])</f>
        <v>11/2018</v>
      </c>
      <c r="G697">
        <f>WEEKDAY(calendar[[#This Row],[Date]],1)</f>
        <v>3</v>
      </c>
      <c r="H697" t="str">
        <f>TEXT(calendar[[#This Row],[WeekDay]],"dddd")</f>
        <v>Tuesday</v>
      </c>
      <c r="I697">
        <f>IF((INT(calendar[[#This Row],[Count]]/7)-calendar[[#This Row],[Count]]/7)&lt;0,I696,I696+1)</f>
        <v>100</v>
      </c>
      <c r="J697">
        <f t="shared" si="54"/>
        <v>695</v>
      </c>
      <c r="K697">
        <f>IF(calendar[[#This Row],[Month]]&lt;4,1,IF(calendar[[#This Row],[Month]]&lt;7,2,IF(calendar[[#This Row],[Month]]&lt;10,3,4)))</f>
        <v>4</v>
      </c>
      <c r="L697">
        <f>IFERROR(IF(VLOOKUP(calendar[[#This Row],[Date]],BH!A:A,1,)&lt;&gt;"",1,0),0)</f>
        <v>0</v>
      </c>
      <c r="M697">
        <f>IFERROR(IF(VLOOKUP(calendar[[#This Row],[Date]],BH!C:C,1,)&lt;&gt;"",1,0),0)</f>
        <v>0</v>
      </c>
      <c r="N697">
        <f>IFERROR(IF(VLOOKUP(calendar[[#This Row],[Date]],BH!E:E,1,)&lt;&gt;"",1,0),0)</f>
        <v>0</v>
      </c>
      <c r="O697">
        <f>IFERROR(IF(VLOOKUP(calendar[[#This Row],[Date]],BH!G:G,1,)&lt;&gt;"",1,0),0)</f>
        <v>0</v>
      </c>
      <c r="P697">
        <f>IF(OR(calendar[[#This Row],[UK_BH]]=1,calendar[[#This Row],[WeekDay]]=1, calendar[[#This Row],[WeekDay]]=7),P696,P696+1)</f>
        <v>497</v>
      </c>
      <c r="Q697">
        <f>IF(OR(calendar[[#This Row],[FR_BH]]=1,calendar[[#This Row],[WeekDay]]=1, calendar[[#This Row],[WeekDay]]=7),P696,P696+1)</f>
        <v>497</v>
      </c>
      <c r="R697">
        <f>IF(OR(calendar[[#This Row],[SP_BH]]=1,calendar[[#This Row],[WeekDay]]=1, calendar[[#This Row],[WeekDay]]=7),P696,P696+1)</f>
        <v>497</v>
      </c>
      <c r="S697">
        <f>IF(OR(calendar[[#This Row],[PT_BH]]=1,calendar[[#This Row],[WeekDay]]=1, calendar[[#This Row],[WeekDay]]=7),P696,P696+1)</f>
        <v>497</v>
      </c>
    </row>
    <row r="698" spans="1:19" x14ac:dyDescent="0.25">
      <c r="A698" s="2">
        <v>43432</v>
      </c>
      <c r="B698" s="1">
        <f t="shared" si="53"/>
        <v>48</v>
      </c>
      <c r="C698">
        <f t="shared" si="55"/>
        <v>11</v>
      </c>
      <c r="D698" t="str">
        <f t="shared" si="56"/>
        <v>November</v>
      </c>
      <c r="E698">
        <f t="shared" si="57"/>
        <v>2018</v>
      </c>
      <c r="F698" t="str">
        <f>CONCATENATE(calendar[[#This Row],[Month]],"/",calendar[[#This Row],[Year]])</f>
        <v>11/2018</v>
      </c>
      <c r="G698">
        <f>WEEKDAY(calendar[[#This Row],[Date]],1)</f>
        <v>4</v>
      </c>
      <c r="H698" t="str">
        <f>TEXT(calendar[[#This Row],[WeekDay]],"dddd")</f>
        <v>Wednesday</v>
      </c>
      <c r="I698">
        <f>IF((INT(calendar[[#This Row],[Count]]/7)-calendar[[#This Row],[Count]]/7)&lt;0,I697,I697+1)</f>
        <v>100</v>
      </c>
      <c r="J698">
        <f t="shared" si="54"/>
        <v>696</v>
      </c>
      <c r="K698">
        <f>IF(calendar[[#This Row],[Month]]&lt;4,1,IF(calendar[[#This Row],[Month]]&lt;7,2,IF(calendar[[#This Row],[Month]]&lt;10,3,4)))</f>
        <v>4</v>
      </c>
      <c r="L698">
        <f>IFERROR(IF(VLOOKUP(calendar[[#This Row],[Date]],BH!A:A,1,)&lt;&gt;"",1,0),0)</f>
        <v>0</v>
      </c>
      <c r="M698">
        <f>IFERROR(IF(VLOOKUP(calendar[[#This Row],[Date]],BH!C:C,1,)&lt;&gt;"",1,0),0)</f>
        <v>0</v>
      </c>
      <c r="N698">
        <f>IFERROR(IF(VLOOKUP(calendar[[#This Row],[Date]],BH!E:E,1,)&lt;&gt;"",1,0),0)</f>
        <v>0</v>
      </c>
      <c r="O698">
        <f>IFERROR(IF(VLOOKUP(calendar[[#This Row],[Date]],BH!G:G,1,)&lt;&gt;"",1,0),0)</f>
        <v>0</v>
      </c>
      <c r="P698">
        <f>IF(OR(calendar[[#This Row],[UK_BH]]=1,calendar[[#This Row],[WeekDay]]=1, calendar[[#This Row],[WeekDay]]=7),P697,P697+1)</f>
        <v>498</v>
      </c>
      <c r="Q698">
        <f>IF(OR(calendar[[#This Row],[FR_BH]]=1,calendar[[#This Row],[WeekDay]]=1, calendar[[#This Row],[WeekDay]]=7),P697,P697+1)</f>
        <v>498</v>
      </c>
      <c r="R698">
        <f>IF(OR(calendar[[#This Row],[SP_BH]]=1,calendar[[#This Row],[WeekDay]]=1, calendar[[#This Row],[WeekDay]]=7),P697,P697+1)</f>
        <v>498</v>
      </c>
      <c r="S698">
        <f>IF(OR(calendar[[#This Row],[PT_BH]]=1,calendar[[#This Row],[WeekDay]]=1, calendar[[#This Row],[WeekDay]]=7),P697,P697+1)</f>
        <v>498</v>
      </c>
    </row>
    <row r="699" spans="1:19" x14ac:dyDescent="0.25">
      <c r="A699" s="2">
        <v>43433</v>
      </c>
      <c r="B699" s="1">
        <f t="shared" si="53"/>
        <v>48</v>
      </c>
      <c r="C699">
        <f t="shared" si="55"/>
        <v>11</v>
      </c>
      <c r="D699" t="str">
        <f t="shared" si="56"/>
        <v>November</v>
      </c>
      <c r="E699">
        <f t="shared" si="57"/>
        <v>2018</v>
      </c>
      <c r="F699" t="str">
        <f>CONCATENATE(calendar[[#This Row],[Month]],"/",calendar[[#This Row],[Year]])</f>
        <v>11/2018</v>
      </c>
      <c r="G699">
        <f>WEEKDAY(calendar[[#This Row],[Date]],1)</f>
        <v>5</v>
      </c>
      <c r="H699" t="str">
        <f>TEXT(calendar[[#This Row],[WeekDay]],"dddd")</f>
        <v>Thursday</v>
      </c>
      <c r="I699">
        <f>IF((INT(calendar[[#This Row],[Count]]/7)-calendar[[#This Row],[Count]]/7)&lt;0,I698,I698+1)</f>
        <v>100</v>
      </c>
      <c r="J699">
        <f t="shared" si="54"/>
        <v>697</v>
      </c>
      <c r="K699">
        <f>IF(calendar[[#This Row],[Month]]&lt;4,1,IF(calendar[[#This Row],[Month]]&lt;7,2,IF(calendar[[#This Row],[Month]]&lt;10,3,4)))</f>
        <v>4</v>
      </c>
      <c r="L699">
        <f>IFERROR(IF(VLOOKUP(calendar[[#This Row],[Date]],BH!A:A,1,)&lt;&gt;"",1,0),0)</f>
        <v>0</v>
      </c>
      <c r="M699">
        <f>IFERROR(IF(VLOOKUP(calendar[[#This Row],[Date]],BH!C:C,1,)&lt;&gt;"",1,0),0)</f>
        <v>0</v>
      </c>
      <c r="N699">
        <f>IFERROR(IF(VLOOKUP(calendar[[#This Row],[Date]],BH!E:E,1,)&lt;&gt;"",1,0),0)</f>
        <v>0</v>
      </c>
      <c r="O699">
        <f>IFERROR(IF(VLOOKUP(calendar[[#This Row],[Date]],BH!G:G,1,)&lt;&gt;"",1,0),0)</f>
        <v>0</v>
      </c>
      <c r="P699">
        <f>IF(OR(calendar[[#This Row],[UK_BH]]=1,calendar[[#This Row],[WeekDay]]=1, calendar[[#This Row],[WeekDay]]=7),P698,P698+1)</f>
        <v>499</v>
      </c>
      <c r="Q699">
        <f>IF(OR(calendar[[#This Row],[FR_BH]]=1,calendar[[#This Row],[WeekDay]]=1, calendar[[#This Row],[WeekDay]]=7),P698,P698+1)</f>
        <v>499</v>
      </c>
      <c r="R699">
        <f>IF(OR(calendar[[#This Row],[SP_BH]]=1,calendar[[#This Row],[WeekDay]]=1, calendar[[#This Row],[WeekDay]]=7),P698,P698+1)</f>
        <v>499</v>
      </c>
      <c r="S699">
        <f>IF(OR(calendar[[#This Row],[PT_BH]]=1,calendar[[#This Row],[WeekDay]]=1, calendar[[#This Row],[WeekDay]]=7),P698,P698+1)</f>
        <v>499</v>
      </c>
    </row>
    <row r="700" spans="1:19" x14ac:dyDescent="0.25">
      <c r="A700" s="2">
        <v>43434</v>
      </c>
      <c r="B700" s="1">
        <f t="shared" si="53"/>
        <v>48</v>
      </c>
      <c r="C700">
        <f t="shared" si="55"/>
        <v>11</v>
      </c>
      <c r="D700" t="str">
        <f t="shared" si="56"/>
        <v>November</v>
      </c>
      <c r="E700">
        <f t="shared" si="57"/>
        <v>2018</v>
      </c>
      <c r="F700" t="str">
        <f>CONCATENATE(calendar[[#This Row],[Month]],"/",calendar[[#This Row],[Year]])</f>
        <v>11/2018</v>
      </c>
      <c r="G700">
        <f>WEEKDAY(calendar[[#This Row],[Date]],1)</f>
        <v>6</v>
      </c>
      <c r="H700" t="str">
        <f>TEXT(calendar[[#This Row],[WeekDay]],"dddd")</f>
        <v>Friday</v>
      </c>
      <c r="I700">
        <f>IF((INT(calendar[[#This Row],[Count]]/7)-calendar[[#This Row],[Count]]/7)&lt;0,I699,I699+1)</f>
        <v>100</v>
      </c>
      <c r="J700">
        <f t="shared" si="54"/>
        <v>698</v>
      </c>
      <c r="K700">
        <f>IF(calendar[[#This Row],[Month]]&lt;4,1,IF(calendar[[#This Row],[Month]]&lt;7,2,IF(calendar[[#This Row],[Month]]&lt;10,3,4)))</f>
        <v>4</v>
      </c>
      <c r="L700">
        <f>IFERROR(IF(VLOOKUP(calendar[[#This Row],[Date]],BH!A:A,1,)&lt;&gt;"",1,0),0)</f>
        <v>0</v>
      </c>
      <c r="M700">
        <f>IFERROR(IF(VLOOKUP(calendar[[#This Row],[Date]],BH!C:C,1,)&lt;&gt;"",1,0),0)</f>
        <v>0</v>
      </c>
      <c r="N700">
        <f>IFERROR(IF(VLOOKUP(calendar[[#This Row],[Date]],BH!E:E,1,)&lt;&gt;"",1,0),0)</f>
        <v>0</v>
      </c>
      <c r="O700">
        <f>IFERROR(IF(VLOOKUP(calendar[[#This Row],[Date]],BH!G:G,1,)&lt;&gt;"",1,0),0)</f>
        <v>0</v>
      </c>
      <c r="P700">
        <f>IF(OR(calendar[[#This Row],[UK_BH]]=1,calendar[[#This Row],[WeekDay]]=1, calendar[[#This Row],[WeekDay]]=7),P699,P699+1)</f>
        <v>500</v>
      </c>
      <c r="Q700">
        <f>IF(OR(calendar[[#This Row],[FR_BH]]=1,calendar[[#This Row],[WeekDay]]=1, calendar[[#This Row],[WeekDay]]=7),P699,P699+1)</f>
        <v>500</v>
      </c>
      <c r="R700">
        <f>IF(OR(calendar[[#This Row],[SP_BH]]=1,calendar[[#This Row],[WeekDay]]=1, calendar[[#This Row],[WeekDay]]=7),P699,P699+1)</f>
        <v>500</v>
      </c>
      <c r="S700">
        <f>IF(OR(calendar[[#This Row],[PT_BH]]=1,calendar[[#This Row],[WeekDay]]=1, calendar[[#This Row],[WeekDay]]=7),P699,P699+1)</f>
        <v>500</v>
      </c>
    </row>
    <row r="701" spans="1:19" x14ac:dyDescent="0.25">
      <c r="A701" s="2">
        <v>43435</v>
      </c>
      <c r="B701" s="1">
        <f t="shared" si="53"/>
        <v>48</v>
      </c>
      <c r="C701">
        <f t="shared" si="55"/>
        <v>12</v>
      </c>
      <c r="D701" t="str">
        <f t="shared" si="56"/>
        <v>December</v>
      </c>
      <c r="E701">
        <f t="shared" si="57"/>
        <v>2018</v>
      </c>
      <c r="F701" t="str">
        <f>CONCATENATE(calendar[[#This Row],[Month]],"/",calendar[[#This Row],[Year]])</f>
        <v>12/2018</v>
      </c>
      <c r="G701">
        <f>WEEKDAY(calendar[[#This Row],[Date]],1)</f>
        <v>7</v>
      </c>
      <c r="H701" t="str">
        <f>TEXT(calendar[[#This Row],[WeekDay]],"dddd")</f>
        <v>Saturday</v>
      </c>
      <c r="I701">
        <f>IF((INT(calendar[[#This Row],[Count]]/7)-calendar[[#This Row],[Count]]/7)&lt;0,I700,I700+1)</f>
        <v>100</v>
      </c>
      <c r="J701">
        <f t="shared" si="54"/>
        <v>699</v>
      </c>
      <c r="K701">
        <f>IF(calendar[[#This Row],[Month]]&lt;4,1,IF(calendar[[#This Row],[Month]]&lt;7,2,IF(calendar[[#This Row],[Month]]&lt;10,3,4)))</f>
        <v>4</v>
      </c>
      <c r="L701">
        <f>IFERROR(IF(VLOOKUP(calendar[[#This Row],[Date]],BH!A:A,1,)&lt;&gt;"",1,0),0)</f>
        <v>0</v>
      </c>
      <c r="M701">
        <f>IFERROR(IF(VLOOKUP(calendar[[#This Row],[Date]],BH!C:C,1,)&lt;&gt;"",1,0),0)</f>
        <v>0</v>
      </c>
      <c r="N701">
        <f>IFERROR(IF(VLOOKUP(calendar[[#This Row],[Date]],BH!E:E,1,)&lt;&gt;"",1,0),0)</f>
        <v>0</v>
      </c>
      <c r="O701">
        <f>IFERROR(IF(VLOOKUP(calendar[[#This Row],[Date]],BH!G:G,1,)&lt;&gt;"",1,0),0)</f>
        <v>0</v>
      </c>
      <c r="P701">
        <f>IF(OR(calendar[[#This Row],[UK_BH]]=1,calendar[[#This Row],[WeekDay]]=1, calendar[[#This Row],[WeekDay]]=7),P700,P700+1)</f>
        <v>500</v>
      </c>
      <c r="Q701">
        <f>IF(OR(calendar[[#This Row],[FR_BH]]=1,calendar[[#This Row],[WeekDay]]=1, calendar[[#This Row],[WeekDay]]=7),P700,P700+1)</f>
        <v>500</v>
      </c>
      <c r="R701">
        <f>IF(OR(calendar[[#This Row],[SP_BH]]=1,calendar[[#This Row],[WeekDay]]=1, calendar[[#This Row],[WeekDay]]=7),P700,P700+1)</f>
        <v>500</v>
      </c>
      <c r="S701">
        <f>IF(OR(calendar[[#This Row],[PT_BH]]=1,calendar[[#This Row],[WeekDay]]=1, calendar[[#This Row],[WeekDay]]=7),P700,P700+1)</f>
        <v>500</v>
      </c>
    </row>
    <row r="702" spans="1:19" x14ac:dyDescent="0.25">
      <c r="A702" s="2">
        <v>43436</v>
      </c>
      <c r="B702" s="1">
        <f t="shared" si="53"/>
        <v>49</v>
      </c>
      <c r="C702">
        <f t="shared" si="55"/>
        <v>12</v>
      </c>
      <c r="D702" t="str">
        <f t="shared" si="56"/>
        <v>December</v>
      </c>
      <c r="E702">
        <f t="shared" si="57"/>
        <v>2018</v>
      </c>
      <c r="F702" t="str">
        <f>CONCATENATE(calendar[[#This Row],[Month]],"/",calendar[[#This Row],[Year]])</f>
        <v>12/2018</v>
      </c>
      <c r="G702">
        <f>WEEKDAY(calendar[[#This Row],[Date]],1)</f>
        <v>1</v>
      </c>
      <c r="H702" t="str">
        <f>TEXT(calendar[[#This Row],[WeekDay]],"dddd")</f>
        <v>Sunday</v>
      </c>
      <c r="I702">
        <f>IF((INT(calendar[[#This Row],[Count]]/7)-calendar[[#This Row],[Count]]/7)&lt;0,I701,I701+1)</f>
        <v>101</v>
      </c>
      <c r="J702">
        <f t="shared" si="54"/>
        <v>700</v>
      </c>
      <c r="K702">
        <f>IF(calendar[[#This Row],[Month]]&lt;4,1,IF(calendar[[#This Row],[Month]]&lt;7,2,IF(calendar[[#This Row],[Month]]&lt;10,3,4)))</f>
        <v>4</v>
      </c>
      <c r="L702">
        <f>IFERROR(IF(VLOOKUP(calendar[[#This Row],[Date]],BH!A:A,1,)&lt;&gt;"",1,0),0)</f>
        <v>0</v>
      </c>
      <c r="M702">
        <f>IFERROR(IF(VLOOKUP(calendar[[#This Row],[Date]],BH!C:C,1,)&lt;&gt;"",1,0),0)</f>
        <v>0</v>
      </c>
      <c r="N702">
        <f>IFERROR(IF(VLOOKUP(calendar[[#This Row],[Date]],BH!E:E,1,)&lt;&gt;"",1,0),0)</f>
        <v>0</v>
      </c>
      <c r="O702">
        <f>IFERROR(IF(VLOOKUP(calendar[[#This Row],[Date]],BH!G:G,1,)&lt;&gt;"",1,0),0)</f>
        <v>0</v>
      </c>
      <c r="P702">
        <f>IF(OR(calendar[[#This Row],[UK_BH]]=1,calendar[[#This Row],[WeekDay]]=1, calendar[[#This Row],[WeekDay]]=7),P701,P701+1)</f>
        <v>500</v>
      </c>
      <c r="Q702">
        <f>IF(OR(calendar[[#This Row],[FR_BH]]=1,calendar[[#This Row],[WeekDay]]=1, calendar[[#This Row],[WeekDay]]=7),P701,P701+1)</f>
        <v>500</v>
      </c>
      <c r="R702">
        <f>IF(OR(calendar[[#This Row],[SP_BH]]=1,calendar[[#This Row],[WeekDay]]=1, calendar[[#This Row],[WeekDay]]=7),P701,P701+1)</f>
        <v>500</v>
      </c>
      <c r="S702">
        <f>IF(OR(calendar[[#This Row],[PT_BH]]=1,calendar[[#This Row],[WeekDay]]=1, calendar[[#This Row],[WeekDay]]=7),P701,P701+1)</f>
        <v>500</v>
      </c>
    </row>
    <row r="703" spans="1:19" x14ac:dyDescent="0.25">
      <c r="A703" s="2">
        <v>43437</v>
      </c>
      <c r="B703" s="1">
        <f t="shared" si="53"/>
        <v>49</v>
      </c>
      <c r="C703">
        <f t="shared" si="55"/>
        <v>12</v>
      </c>
      <c r="D703" t="str">
        <f t="shared" si="56"/>
        <v>December</v>
      </c>
      <c r="E703">
        <f t="shared" si="57"/>
        <v>2018</v>
      </c>
      <c r="F703" t="str">
        <f>CONCATENATE(calendar[[#This Row],[Month]],"/",calendar[[#This Row],[Year]])</f>
        <v>12/2018</v>
      </c>
      <c r="G703">
        <f>WEEKDAY(calendar[[#This Row],[Date]],1)</f>
        <v>2</v>
      </c>
      <c r="H703" t="str">
        <f>TEXT(calendar[[#This Row],[WeekDay]],"dddd")</f>
        <v>Monday</v>
      </c>
      <c r="I703">
        <f>IF((INT(calendar[[#This Row],[Count]]/7)-calendar[[#This Row],[Count]]/7)&lt;0,I702,I702+1)</f>
        <v>101</v>
      </c>
      <c r="J703">
        <f t="shared" si="54"/>
        <v>701</v>
      </c>
      <c r="K703">
        <f>IF(calendar[[#This Row],[Month]]&lt;4,1,IF(calendar[[#This Row],[Month]]&lt;7,2,IF(calendar[[#This Row],[Month]]&lt;10,3,4)))</f>
        <v>4</v>
      </c>
      <c r="L703">
        <f>IFERROR(IF(VLOOKUP(calendar[[#This Row],[Date]],BH!A:A,1,)&lt;&gt;"",1,0),0)</f>
        <v>0</v>
      </c>
      <c r="M703">
        <f>IFERROR(IF(VLOOKUP(calendar[[#This Row],[Date]],BH!C:C,1,)&lt;&gt;"",1,0),0)</f>
        <v>0</v>
      </c>
      <c r="N703">
        <f>IFERROR(IF(VLOOKUP(calendar[[#This Row],[Date]],BH!E:E,1,)&lt;&gt;"",1,0),0)</f>
        <v>0</v>
      </c>
      <c r="O703">
        <f>IFERROR(IF(VLOOKUP(calendar[[#This Row],[Date]],BH!G:G,1,)&lt;&gt;"",1,0),0)</f>
        <v>0</v>
      </c>
      <c r="P703">
        <f>IF(OR(calendar[[#This Row],[UK_BH]]=1,calendar[[#This Row],[WeekDay]]=1, calendar[[#This Row],[WeekDay]]=7),P702,P702+1)</f>
        <v>501</v>
      </c>
      <c r="Q703">
        <f>IF(OR(calendar[[#This Row],[FR_BH]]=1,calendar[[#This Row],[WeekDay]]=1, calendar[[#This Row],[WeekDay]]=7),P702,P702+1)</f>
        <v>501</v>
      </c>
      <c r="R703">
        <f>IF(OR(calendar[[#This Row],[SP_BH]]=1,calendar[[#This Row],[WeekDay]]=1, calendar[[#This Row],[WeekDay]]=7),P702,P702+1)</f>
        <v>501</v>
      </c>
      <c r="S703">
        <f>IF(OR(calendar[[#This Row],[PT_BH]]=1,calendar[[#This Row],[WeekDay]]=1, calendar[[#This Row],[WeekDay]]=7),P702,P702+1)</f>
        <v>501</v>
      </c>
    </row>
    <row r="704" spans="1:19" x14ac:dyDescent="0.25">
      <c r="A704" s="2">
        <v>43438</v>
      </c>
      <c r="B704" s="1">
        <f t="shared" si="53"/>
        <v>49</v>
      </c>
      <c r="C704">
        <f t="shared" si="55"/>
        <v>12</v>
      </c>
      <c r="D704" t="str">
        <f t="shared" si="56"/>
        <v>December</v>
      </c>
      <c r="E704">
        <f t="shared" si="57"/>
        <v>2018</v>
      </c>
      <c r="F704" t="str">
        <f>CONCATENATE(calendar[[#This Row],[Month]],"/",calendar[[#This Row],[Year]])</f>
        <v>12/2018</v>
      </c>
      <c r="G704">
        <f>WEEKDAY(calendar[[#This Row],[Date]],1)</f>
        <v>3</v>
      </c>
      <c r="H704" t="str">
        <f>TEXT(calendar[[#This Row],[WeekDay]],"dddd")</f>
        <v>Tuesday</v>
      </c>
      <c r="I704">
        <f>IF((INT(calendar[[#This Row],[Count]]/7)-calendar[[#This Row],[Count]]/7)&lt;0,I703,I703+1)</f>
        <v>101</v>
      </c>
      <c r="J704">
        <f t="shared" si="54"/>
        <v>702</v>
      </c>
      <c r="K704">
        <f>IF(calendar[[#This Row],[Month]]&lt;4,1,IF(calendar[[#This Row],[Month]]&lt;7,2,IF(calendar[[#This Row],[Month]]&lt;10,3,4)))</f>
        <v>4</v>
      </c>
      <c r="L704">
        <f>IFERROR(IF(VLOOKUP(calendar[[#This Row],[Date]],BH!A:A,1,)&lt;&gt;"",1,0),0)</f>
        <v>0</v>
      </c>
      <c r="M704">
        <f>IFERROR(IF(VLOOKUP(calendar[[#This Row],[Date]],BH!C:C,1,)&lt;&gt;"",1,0),0)</f>
        <v>0</v>
      </c>
      <c r="N704">
        <f>IFERROR(IF(VLOOKUP(calendar[[#This Row],[Date]],BH!E:E,1,)&lt;&gt;"",1,0),0)</f>
        <v>0</v>
      </c>
      <c r="O704">
        <f>IFERROR(IF(VLOOKUP(calendar[[#This Row],[Date]],BH!G:G,1,)&lt;&gt;"",1,0),0)</f>
        <v>0</v>
      </c>
      <c r="P704">
        <f>IF(OR(calendar[[#This Row],[UK_BH]]=1,calendar[[#This Row],[WeekDay]]=1, calendar[[#This Row],[WeekDay]]=7),P703,P703+1)</f>
        <v>502</v>
      </c>
      <c r="Q704">
        <f>IF(OR(calendar[[#This Row],[FR_BH]]=1,calendar[[#This Row],[WeekDay]]=1, calendar[[#This Row],[WeekDay]]=7),P703,P703+1)</f>
        <v>502</v>
      </c>
      <c r="R704">
        <f>IF(OR(calendar[[#This Row],[SP_BH]]=1,calendar[[#This Row],[WeekDay]]=1, calendar[[#This Row],[WeekDay]]=7),P703,P703+1)</f>
        <v>502</v>
      </c>
      <c r="S704">
        <f>IF(OR(calendar[[#This Row],[PT_BH]]=1,calendar[[#This Row],[WeekDay]]=1, calendar[[#This Row],[WeekDay]]=7),P703,P703+1)</f>
        <v>502</v>
      </c>
    </row>
    <row r="705" spans="1:19" x14ac:dyDescent="0.25">
      <c r="A705" s="2">
        <v>43439</v>
      </c>
      <c r="B705" s="1">
        <f t="shared" si="53"/>
        <v>49</v>
      </c>
      <c r="C705">
        <f t="shared" si="55"/>
        <v>12</v>
      </c>
      <c r="D705" t="str">
        <f t="shared" si="56"/>
        <v>December</v>
      </c>
      <c r="E705">
        <f t="shared" si="57"/>
        <v>2018</v>
      </c>
      <c r="F705" t="str">
        <f>CONCATENATE(calendar[[#This Row],[Month]],"/",calendar[[#This Row],[Year]])</f>
        <v>12/2018</v>
      </c>
      <c r="G705">
        <f>WEEKDAY(calendar[[#This Row],[Date]],1)</f>
        <v>4</v>
      </c>
      <c r="H705" t="str">
        <f>TEXT(calendar[[#This Row],[WeekDay]],"dddd")</f>
        <v>Wednesday</v>
      </c>
      <c r="I705">
        <f>IF((INT(calendar[[#This Row],[Count]]/7)-calendar[[#This Row],[Count]]/7)&lt;0,I704,I704+1)</f>
        <v>101</v>
      </c>
      <c r="J705">
        <f t="shared" si="54"/>
        <v>703</v>
      </c>
      <c r="K705">
        <f>IF(calendar[[#This Row],[Month]]&lt;4,1,IF(calendar[[#This Row],[Month]]&lt;7,2,IF(calendar[[#This Row],[Month]]&lt;10,3,4)))</f>
        <v>4</v>
      </c>
      <c r="L705">
        <f>IFERROR(IF(VLOOKUP(calendar[[#This Row],[Date]],BH!A:A,1,)&lt;&gt;"",1,0),0)</f>
        <v>0</v>
      </c>
      <c r="M705">
        <f>IFERROR(IF(VLOOKUP(calendar[[#This Row],[Date]],BH!C:C,1,)&lt;&gt;"",1,0),0)</f>
        <v>0</v>
      </c>
      <c r="N705">
        <f>IFERROR(IF(VLOOKUP(calendar[[#This Row],[Date]],BH!E:E,1,)&lt;&gt;"",1,0),0)</f>
        <v>0</v>
      </c>
      <c r="O705">
        <f>IFERROR(IF(VLOOKUP(calendar[[#This Row],[Date]],BH!G:G,1,)&lt;&gt;"",1,0),0)</f>
        <v>0</v>
      </c>
      <c r="P705">
        <f>IF(OR(calendar[[#This Row],[UK_BH]]=1,calendar[[#This Row],[WeekDay]]=1, calendar[[#This Row],[WeekDay]]=7),P704,P704+1)</f>
        <v>503</v>
      </c>
      <c r="Q705">
        <f>IF(OR(calendar[[#This Row],[FR_BH]]=1,calendar[[#This Row],[WeekDay]]=1, calendar[[#This Row],[WeekDay]]=7),P704,P704+1)</f>
        <v>503</v>
      </c>
      <c r="R705">
        <f>IF(OR(calendar[[#This Row],[SP_BH]]=1,calendar[[#This Row],[WeekDay]]=1, calendar[[#This Row],[WeekDay]]=7),P704,P704+1)</f>
        <v>503</v>
      </c>
      <c r="S705">
        <f>IF(OR(calendar[[#This Row],[PT_BH]]=1,calendar[[#This Row],[WeekDay]]=1, calendar[[#This Row],[WeekDay]]=7),P704,P704+1)</f>
        <v>503</v>
      </c>
    </row>
    <row r="706" spans="1:19" x14ac:dyDescent="0.25">
      <c r="A706" s="2">
        <v>43440</v>
      </c>
      <c r="B706" s="1">
        <f t="shared" ref="B706:B769" si="58">WEEKNUM(A706)</f>
        <v>49</v>
      </c>
      <c r="C706">
        <f t="shared" si="55"/>
        <v>12</v>
      </c>
      <c r="D706" t="str">
        <f t="shared" si="56"/>
        <v>December</v>
      </c>
      <c r="E706">
        <f t="shared" si="57"/>
        <v>2018</v>
      </c>
      <c r="F706" t="str">
        <f>CONCATENATE(calendar[[#This Row],[Month]],"/",calendar[[#This Row],[Year]])</f>
        <v>12/2018</v>
      </c>
      <c r="G706">
        <f>WEEKDAY(calendar[[#This Row],[Date]],1)</f>
        <v>5</v>
      </c>
      <c r="H706" t="str">
        <f>TEXT(calendar[[#This Row],[WeekDay]],"dddd")</f>
        <v>Thursday</v>
      </c>
      <c r="I706">
        <f>IF((INT(calendar[[#This Row],[Count]]/7)-calendar[[#This Row],[Count]]/7)&lt;0,I705,I705+1)</f>
        <v>101</v>
      </c>
      <c r="J706">
        <f t="shared" si="54"/>
        <v>704</v>
      </c>
      <c r="K706">
        <f>IF(calendar[[#This Row],[Month]]&lt;4,1,IF(calendar[[#This Row],[Month]]&lt;7,2,IF(calendar[[#This Row],[Month]]&lt;10,3,4)))</f>
        <v>4</v>
      </c>
      <c r="L706">
        <f>IFERROR(IF(VLOOKUP(calendar[[#This Row],[Date]],BH!A:A,1,)&lt;&gt;"",1,0),0)</f>
        <v>0</v>
      </c>
      <c r="M706">
        <f>IFERROR(IF(VLOOKUP(calendar[[#This Row],[Date]],BH!C:C,1,)&lt;&gt;"",1,0),0)</f>
        <v>0</v>
      </c>
      <c r="N706">
        <f>IFERROR(IF(VLOOKUP(calendar[[#This Row],[Date]],BH!E:E,1,)&lt;&gt;"",1,0),0)</f>
        <v>0</v>
      </c>
      <c r="O706">
        <f>IFERROR(IF(VLOOKUP(calendar[[#This Row],[Date]],BH!G:G,1,)&lt;&gt;"",1,0),0)</f>
        <v>0</v>
      </c>
      <c r="P706">
        <f>IF(OR(calendar[[#This Row],[UK_BH]]=1,calendar[[#This Row],[WeekDay]]=1, calendar[[#This Row],[WeekDay]]=7),P705,P705+1)</f>
        <v>504</v>
      </c>
      <c r="Q706">
        <f>IF(OR(calendar[[#This Row],[FR_BH]]=1,calendar[[#This Row],[WeekDay]]=1, calendar[[#This Row],[WeekDay]]=7),P705,P705+1)</f>
        <v>504</v>
      </c>
      <c r="R706">
        <f>IF(OR(calendar[[#This Row],[SP_BH]]=1,calendar[[#This Row],[WeekDay]]=1, calendar[[#This Row],[WeekDay]]=7),P705,P705+1)</f>
        <v>504</v>
      </c>
      <c r="S706">
        <f>IF(OR(calendar[[#This Row],[PT_BH]]=1,calendar[[#This Row],[WeekDay]]=1, calendar[[#This Row],[WeekDay]]=7),P705,P705+1)</f>
        <v>504</v>
      </c>
    </row>
    <row r="707" spans="1:19" x14ac:dyDescent="0.25">
      <c r="A707" s="2">
        <v>43441</v>
      </c>
      <c r="B707" s="1">
        <f t="shared" si="58"/>
        <v>49</v>
      </c>
      <c r="C707">
        <f t="shared" si="55"/>
        <v>12</v>
      </c>
      <c r="D707" t="str">
        <f t="shared" si="56"/>
        <v>December</v>
      </c>
      <c r="E707">
        <f t="shared" si="57"/>
        <v>2018</v>
      </c>
      <c r="F707" t="str">
        <f>CONCATENATE(calendar[[#This Row],[Month]],"/",calendar[[#This Row],[Year]])</f>
        <v>12/2018</v>
      </c>
      <c r="G707">
        <f>WEEKDAY(calendar[[#This Row],[Date]],1)</f>
        <v>6</v>
      </c>
      <c r="H707" t="str">
        <f>TEXT(calendar[[#This Row],[WeekDay]],"dddd")</f>
        <v>Friday</v>
      </c>
      <c r="I707">
        <f>IF((INT(calendar[[#This Row],[Count]]/7)-calendar[[#This Row],[Count]]/7)&lt;0,I706,I706+1)</f>
        <v>101</v>
      </c>
      <c r="J707">
        <f t="shared" ref="J707:J770" si="59">J706+1</f>
        <v>705</v>
      </c>
      <c r="K707">
        <f>IF(calendar[[#This Row],[Month]]&lt;4,1,IF(calendar[[#This Row],[Month]]&lt;7,2,IF(calendar[[#This Row],[Month]]&lt;10,3,4)))</f>
        <v>4</v>
      </c>
      <c r="L707">
        <f>IFERROR(IF(VLOOKUP(calendar[[#This Row],[Date]],BH!A:A,1,)&lt;&gt;"",1,0),0)</f>
        <v>0</v>
      </c>
      <c r="M707">
        <f>IFERROR(IF(VLOOKUP(calendar[[#This Row],[Date]],BH!C:C,1,)&lt;&gt;"",1,0),0)</f>
        <v>0</v>
      </c>
      <c r="N707">
        <f>IFERROR(IF(VLOOKUP(calendar[[#This Row],[Date]],BH!E:E,1,)&lt;&gt;"",1,0),0)</f>
        <v>0</v>
      </c>
      <c r="O707">
        <f>IFERROR(IF(VLOOKUP(calendar[[#This Row],[Date]],BH!G:G,1,)&lt;&gt;"",1,0),0)</f>
        <v>0</v>
      </c>
      <c r="P707">
        <f>IF(OR(calendar[[#This Row],[UK_BH]]=1,calendar[[#This Row],[WeekDay]]=1, calendar[[#This Row],[WeekDay]]=7),P706,P706+1)</f>
        <v>505</v>
      </c>
      <c r="Q707">
        <f>IF(OR(calendar[[#This Row],[FR_BH]]=1,calendar[[#This Row],[WeekDay]]=1, calendar[[#This Row],[WeekDay]]=7),P706,P706+1)</f>
        <v>505</v>
      </c>
      <c r="R707">
        <f>IF(OR(calendar[[#This Row],[SP_BH]]=1,calendar[[#This Row],[WeekDay]]=1, calendar[[#This Row],[WeekDay]]=7),P706,P706+1)</f>
        <v>505</v>
      </c>
      <c r="S707">
        <f>IF(OR(calendar[[#This Row],[PT_BH]]=1,calendar[[#This Row],[WeekDay]]=1, calendar[[#This Row],[WeekDay]]=7),P706,P706+1)</f>
        <v>505</v>
      </c>
    </row>
    <row r="708" spans="1:19" x14ac:dyDescent="0.25">
      <c r="A708" s="2">
        <v>43442</v>
      </c>
      <c r="B708" s="1">
        <f t="shared" si="58"/>
        <v>49</v>
      </c>
      <c r="C708">
        <f t="shared" si="55"/>
        <v>12</v>
      </c>
      <c r="D708" t="str">
        <f t="shared" si="56"/>
        <v>December</v>
      </c>
      <c r="E708">
        <f t="shared" si="57"/>
        <v>2018</v>
      </c>
      <c r="F708" t="str">
        <f>CONCATENATE(calendar[[#This Row],[Month]],"/",calendar[[#This Row],[Year]])</f>
        <v>12/2018</v>
      </c>
      <c r="G708">
        <f>WEEKDAY(calendar[[#This Row],[Date]],1)</f>
        <v>7</v>
      </c>
      <c r="H708" t="str">
        <f>TEXT(calendar[[#This Row],[WeekDay]],"dddd")</f>
        <v>Saturday</v>
      </c>
      <c r="I708">
        <f>IF((INT(calendar[[#This Row],[Count]]/7)-calendar[[#This Row],[Count]]/7)&lt;0,I707,I707+1)</f>
        <v>101</v>
      </c>
      <c r="J708">
        <f t="shared" si="59"/>
        <v>706</v>
      </c>
      <c r="K708">
        <f>IF(calendar[[#This Row],[Month]]&lt;4,1,IF(calendar[[#This Row],[Month]]&lt;7,2,IF(calendar[[#This Row],[Month]]&lt;10,3,4)))</f>
        <v>4</v>
      </c>
      <c r="L708">
        <f>IFERROR(IF(VLOOKUP(calendar[[#This Row],[Date]],BH!A:A,1,)&lt;&gt;"",1,0),0)</f>
        <v>0</v>
      </c>
      <c r="M708">
        <f>IFERROR(IF(VLOOKUP(calendar[[#This Row],[Date]],BH!C:C,1,)&lt;&gt;"",1,0),0)</f>
        <v>0</v>
      </c>
      <c r="N708">
        <f>IFERROR(IF(VLOOKUP(calendar[[#This Row],[Date]],BH!E:E,1,)&lt;&gt;"",1,0),0)</f>
        <v>0</v>
      </c>
      <c r="O708">
        <f>IFERROR(IF(VLOOKUP(calendar[[#This Row],[Date]],BH!G:G,1,)&lt;&gt;"",1,0),0)</f>
        <v>0</v>
      </c>
      <c r="P708">
        <f>IF(OR(calendar[[#This Row],[UK_BH]]=1,calendar[[#This Row],[WeekDay]]=1, calendar[[#This Row],[WeekDay]]=7),P707,P707+1)</f>
        <v>505</v>
      </c>
      <c r="Q708">
        <f>IF(OR(calendar[[#This Row],[FR_BH]]=1,calendar[[#This Row],[WeekDay]]=1, calendar[[#This Row],[WeekDay]]=7),P707,P707+1)</f>
        <v>505</v>
      </c>
      <c r="R708">
        <f>IF(OR(calendar[[#This Row],[SP_BH]]=1,calendar[[#This Row],[WeekDay]]=1, calendar[[#This Row],[WeekDay]]=7),P707,P707+1)</f>
        <v>505</v>
      </c>
      <c r="S708">
        <f>IF(OR(calendar[[#This Row],[PT_BH]]=1,calendar[[#This Row],[WeekDay]]=1, calendar[[#This Row],[WeekDay]]=7),P707,P707+1)</f>
        <v>505</v>
      </c>
    </row>
    <row r="709" spans="1:19" x14ac:dyDescent="0.25">
      <c r="A709" s="2">
        <v>43443</v>
      </c>
      <c r="B709" s="1">
        <f t="shared" si="58"/>
        <v>50</v>
      </c>
      <c r="C709">
        <f t="shared" si="55"/>
        <v>12</v>
      </c>
      <c r="D709" t="str">
        <f t="shared" si="56"/>
        <v>December</v>
      </c>
      <c r="E709">
        <f t="shared" si="57"/>
        <v>2018</v>
      </c>
      <c r="F709" t="str">
        <f>CONCATENATE(calendar[[#This Row],[Month]],"/",calendar[[#This Row],[Year]])</f>
        <v>12/2018</v>
      </c>
      <c r="G709">
        <f>WEEKDAY(calendar[[#This Row],[Date]],1)</f>
        <v>1</v>
      </c>
      <c r="H709" t="str">
        <f>TEXT(calendar[[#This Row],[WeekDay]],"dddd")</f>
        <v>Sunday</v>
      </c>
      <c r="I709">
        <f>IF((INT(calendar[[#This Row],[Count]]/7)-calendar[[#This Row],[Count]]/7)&lt;0,I708,I708+1)</f>
        <v>102</v>
      </c>
      <c r="J709">
        <f t="shared" si="59"/>
        <v>707</v>
      </c>
      <c r="K709">
        <f>IF(calendar[[#This Row],[Month]]&lt;4,1,IF(calendar[[#This Row],[Month]]&lt;7,2,IF(calendar[[#This Row],[Month]]&lt;10,3,4)))</f>
        <v>4</v>
      </c>
      <c r="L709">
        <f>IFERROR(IF(VLOOKUP(calendar[[#This Row],[Date]],BH!A:A,1,)&lt;&gt;"",1,0),0)</f>
        <v>0</v>
      </c>
      <c r="M709">
        <f>IFERROR(IF(VLOOKUP(calendar[[#This Row],[Date]],BH!C:C,1,)&lt;&gt;"",1,0),0)</f>
        <v>0</v>
      </c>
      <c r="N709">
        <f>IFERROR(IF(VLOOKUP(calendar[[#This Row],[Date]],BH!E:E,1,)&lt;&gt;"",1,0),0)</f>
        <v>0</v>
      </c>
      <c r="O709">
        <f>IFERROR(IF(VLOOKUP(calendar[[#This Row],[Date]],BH!G:G,1,)&lt;&gt;"",1,0),0)</f>
        <v>0</v>
      </c>
      <c r="P709">
        <f>IF(OR(calendar[[#This Row],[UK_BH]]=1,calendar[[#This Row],[WeekDay]]=1, calendar[[#This Row],[WeekDay]]=7),P708,P708+1)</f>
        <v>505</v>
      </c>
      <c r="Q709">
        <f>IF(OR(calendar[[#This Row],[FR_BH]]=1,calendar[[#This Row],[WeekDay]]=1, calendar[[#This Row],[WeekDay]]=7),P708,P708+1)</f>
        <v>505</v>
      </c>
      <c r="R709">
        <f>IF(OR(calendar[[#This Row],[SP_BH]]=1,calendar[[#This Row],[WeekDay]]=1, calendar[[#This Row],[WeekDay]]=7),P708,P708+1)</f>
        <v>505</v>
      </c>
      <c r="S709">
        <f>IF(OR(calendar[[#This Row],[PT_BH]]=1,calendar[[#This Row],[WeekDay]]=1, calendar[[#This Row],[WeekDay]]=7),P708,P708+1)</f>
        <v>505</v>
      </c>
    </row>
    <row r="710" spans="1:19" x14ac:dyDescent="0.25">
      <c r="A710" s="2">
        <v>43444</v>
      </c>
      <c r="B710" s="1">
        <f t="shared" si="58"/>
        <v>50</v>
      </c>
      <c r="C710">
        <f t="shared" si="55"/>
        <v>12</v>
      </c>
      <c r="D710" t="str">
        <f t="shared" si="56"/>
        <v>December</v>
      </c>
      <c r="E710">
        <f t="shared" si="57"/>
        <v>2018</v>
      </c>
      <c r="F710" t="str">
        <f>CONCATENATE(calendar[[#This Row],[Month]],"/",calendar[[#This Row],[Year]])</f>
        <v>12/2018</v>
      </c>
      <c r="G710">
        <f>WEEKDAY(calendar[[#This Row],[Date]],1)</f>
        <v>2</v>
      </c>
      <c r="H710" t="str">
        <f>TEXT(calendar[[#This Row],[WeekDay]],"dddd")</f>
        <v>Monday</v>
      </c>
      <c r="I710">
        <f>IF((INT(calendar[[#This Row],[Count]]/7)-calendar[[#This Row],[Count]]/7)&lt;0,I709,I709+1)</f>
        <v>102</v>
      </c>
      <c r="J710">
        <f t="shared" si="59"/>
        <v>708</v>
      </c>
      <c r="K710">
        <f>IF(calendar[[#This Row],[Month]]&lt;4,1,IF(calendar[[#This Row],[Month]]&lt;7,2,IF(calendar[[#This Row],[Month]]&lt;10,3,4)))</f>
        <v>4</v>
      </c>
      <c r="L710">
        <f>IFERROR(IF(VLOOKUP(calendar[[#This Row],[Date]],BH!A:A,1,)&lt;&gt;"",1,0),0)</f>
        <v>0</v>
      </c>
      <c r="M710">
        <f>IFERROR(IF(VLOOKUP(calendar[[#This Row],[Date]],BH!C:C,1,)&lt;&gt;"",1,0),0)</f>
        <v>0</v>
      </c>
      <c r="N710">
        <f>IFERROR(IF(VLOOKUP(calendar[[#This Row],[Date]],BH!E:E,1,)&lt;&gt;"",1,0),0)</f>
        <v>0</v>
      </c>
      <c r="O710">
        <f>IFERROR(IF(VLOOKUP(calendar[[#This Row],[Date]],BH!G:G,1,)&lt;&gt;"",1,0),0)</f>
        <v>0</v>
      </c>
      <c r="P710">
        <f>IF(OR(calendar[[#This Row],[UK_BH]]=1,calendar[[#This Row],[WeekDay]]=1, calendar[[#This Row],[WeekDay]]=7),P709,P709+1)</f>
        <v>506</v>
      </c>
      <c r="Q710">
        <f>IF(OR(calendar[[#This Row],[FR_BH]]=1,calendar[[#This Row],[WeekDay]]=1, calendar[[#This Row],[WeekDay]]=7),P709,P709+1)</f>
        <v>506</v>
      </c>
      <c r="R710">
        <f>IF(OR(calendar[[#This Row],[SP_BH]]=1,calendar[[#This Row],[WeekDay]]=1, calendar[[#This Row],[WeekDay]]=7),P709,P709+1)</f>
        <v>506</v>
      </c>
      <c r="S710">
        <f>IF(OR(calendar[[#This Row],[PT_BH]]=1,calendar[[#This Row],[WeekDay]]=1, calendar[[#This Row],[WeekDay]]=7),P709,P709+1)</f>
        <v>506</v>
      </c>
    </row>
    <row r="711" spans="1:19" x14ac:dyDescent="0.25">
      <c r="A711" s="2">
        <v>43445</v>
      </c>
      <c r="B711" s="1">
        <f t="shared" si="58"/>
        <v>50</v>
      </c>
      <c r="C711">
        <f t="shared" si="55"/>
        <v>12</v>
      </c>
      <c r="D711" t="str">
        <f t="shared" si="56"/>
        <v>December</v>
      </c>
      <c r="E711">
        <f t="shared" si="57"/>
        <v>2018</v>
      </c>
      <c r="F711" t="str">
        <f>CONCATENATE(calendar[[#This Row],[Month]],"/",calendar[[#This Row],[Year]])</f>
        <v>12/2018</v>
      </c>
      <c r="G711">
        <f>WEEKDAY(calendar[[#This Row],[Date]],1)</f>
        <v>3</v>
      </c>
      <c r="H711" t="str">
        <f>TEXT(calendar[[#This Row],[WeekDay]],"dddd")</f>
        <v>Tuesday</v>
      </c>
      <c r="I711">
        <f>IF((INT(calendar[[#This Row],[Count]]/7)-calendar[[#This Row],[Count]]/7)&lt;0,I710,I710+1)</f>
        <v>102</v>
      </c>
      <c r="J711">
        <f t="shared" si="59"/>
        <v>709</v>
      </c>
      <c r="K711">
        <f>IF(calendar[[#This Row],[Month]]&lt;4,1,IF(calendar[[#This Row],[Month]]&lt;7,2,IF(calendar[[#This Row],[Month]]&lt;10,3,4)))</f>
        <v>4</v>
      </c>
      <c r="L711">
        <f>IFERROR(IF(VLOOKUP(calendar[[#This Row],[Date]],BH!A:A,1,)&lt;&gt;"",1,0),0)</f>
        <v>0</v>
      </c>
      <c r="M711">
        <f>IFERROR(IF(VLOOKUP(calendar[[#This Row],[Date]],BH!C:C,1,)&lt;&gt;"",1,0),0)</f>
        <v>0</v>
      </c>
      <c r="N711">
        <f>IFERROR(IF(VLOOKUP(calendar[[#This Row],[Date]],BH!E:E,1,)&lt;&gt;"",1,0),0)</f>
        <v>0</v>
      </c>
      <c r="O711">
        <f>IFERROR(IF(VLOOKUP(calendar[[#This Row],[Date]],BH!G:G,1,)&lt;&gt;"",1,0),0)</f>
        <v>0</v>
      </c>
      <c r="P711">
        <f>IF(OR(calendar[[#This Row],[UK_BH]]=1,calendar[[#This Row],[WeekDay]]=1, calendar[[#This Row],[WeekDay]]=7),P710,P710+1)</f>
        <v>507</v>
      </c>
      <c r="Q711">
        <f>IF(OR(calendar[[#This Row],[FR_BH]]=1,calendar[[#This Row],[WeekDay]]=1, calendar[[#This Row],[WeekDay]]=7),P710,P710+1)</f>
        <v>507</v>
      </c>
      <c r="R711">
        <f>IF(OR(calendar[[#This Row],[SP_BH]]=1,calendar[[#This Row],[WeekDay]]=1, calendar[[#This Row],[WeekDay]]=7),P710,P710+1)</f>
        <v>507</v>
      </c>
      <c r="S711">
        <f>IF(OR(calendar[[#This Row],[PT_BH]]=1,calendar[[#This Row],[WeekDay]]=1, calendar[[#This Row],[WeekDay]]=7),P710,P710+1)</f>
        <v>507</v>
      </c>
    </row>
    <row r="712" spans="1:19" x14ac:dyDescent="0.25">
      <c r="A712" s="2">
        <v>43446</v>
      </c>
      <c r="B712" s="1">
        <f t="shared" si="58"/>
        <v>50</v>
      </c>
      <c r="C712">
        <f t="shared" si="55"/>
        <v>12</v>
      </c>
      <c r="D712" t="str">
        <f t="shared" si="56"/>
        <v>December</v>
      </c>
      <c r="E712">
        <f t="shared" si="57"/>
        <v>2018</v>
      </c>
      <c r="F712" t="str">
        <f>CONCATENATE(calendar[[#This Row],[Month]],"/",calendar[[#This Row],[Year]])</f>
        <v>12/2018</v>
      </c>
      <c r="G712">
        <f>WEEKDAY(calendar[[#This Row],[Date]],1)</f>
        <v>4</v>
      </c>
      <c r="H712" t="str">
        <f>TEXT(calendar[[#This Row],[WeekDay]],"dddd")</f>
        <v>Wednesday</v>
      </c>
      <c r="I712">
        <f>IF((INT(calendar[[#This Row],[Count]]/7)-calendar[[#This Row],[Count]]/7)&lt;0,I711,I711+1)</f>
        <v>102</v>
      </c>
      <c r="J712">
        <f t="shared" si="59"/>
        <v>710</v>
      </c>
      <c r="K712">
        <f>IF(calendar[[#This Row],[Month]]&lt;4,1,IF(calendar[[#This Row],[Month]]&lt;7,2,IF(calendar[[#This Row],[Month]]&lt;10,3,4)))</f>
        <v>4</v>
      </c>
      <c r="L712">
        <f>IFERROR(IF(VLOOKUP(calendar[[#This Row],[Date]],BH!A:A,1,)&lt;&gt;"",1,0),0)</f>
        <v>0</v>
      </c>
      <c r="M712">
        <f>IFERROR(IF(VLOOKUP(calendar[[#This Row],[Date]],BH!C:C,1,)&lt;&gt;"",1,0),0)</f>
        <v>0</v>
      </c>
      <c r="N712">
        <f>IFERROR(IF(VLOOKUP(calendar[[#This Row],[Date]],BH!E:E,1,)&lt;&gt;"",1,0),0)</f>
        <v>0</v>
      </c>
      <c r="O712">
        <f>IFERROR(IF(VLOOKUP(calendar[[#This Row],[Date]],BH!G:G,1,)&lt;&gt;"",1,0),0)</f>
        <v>0</v>
      </c>
      <c r="P712">
        <f>IF(OR(calendar[[#This Row],[UK_BH]]=1,calendar[[#This Row],[WeekDay]]=1, calendar[[#This Row],[WeekDay]]=7),P711,P711+1)</f>
        <v>508</v>
      </c>
      <c r="Q712">
        <f>IF(OR(calendar[[#This Row],[FR_BH]]=1,calendar[[#This Row],[WeekDay]]=1, calendar[[#This Row],[WeekDay]]=7),P711,P711+1)</f>
        <v>508</v>
      </c>
      <c r="R712">
        <f>IF(OR(calendar[[#This Row],[SP_BH]]=1,calendar[[#This Row],[WeekDay]]=1, calendar[[#This Row],[WeekDay]]=7),P711,P711+1)</f>
        <v>508</v>
      </c>
      <c r="S712">
        <f>IF(OR(calendar[[#This Row],[PT_BH]]=1,calendar[[#This Row],[WeekDay]]=1, calendar[[#This Row],[WeekDay]]=7),P711,P711+1)</f>
        <v>508</v>
      </c>
    </row>
    <row r="713" spans="1:19" x14ac:dyDescent="0.25">
      <c r="A713" s="2">
        <v>43447</v>
      </c>
      <c r="B713" s="1">
        <f t="shared" si="58"/>
        <v>50</v>
      </c>
      <c r="C713">
        <f t="shared" si="55"/>
        <v>12</v>
      </c>
      <c r="D713" t="str">
        <f t="shared" si="56"/>
        <v>December</v>
      </c>
      <c r="E713">
        <f t="shared" si="57"/>
        <v>2018</v>
      </c>
      <c r="F713" t="str">
        <f>CONCATENATE(calendar[[#This Row],[Month]],"/",calendar[[#This Row],[Year]])</f>
        <v>12/2018</v>
      </c>
      <c r="G713">
        <f>WEEKDAY(calendar[[#This Row],[Date]],1)</f>
        <v>5</v>
      </c>
      <c r="H713" t="str">
        <f>TEXT(calendar[[#This Row],[WeekDay]],"dddd")</f>
        <v>Thursday</v>
      </c>
      <c r="I713">
        <f>IF((INT(calendar[[#This Row],[Count]]/7)-calendar[[#This Row],[Count]]/7)&lt;0,I712,I712+1)</f>
        <v>102</v>
      </c>
      <c r="J713">
        <f t="shared" si="59"/>
        <v>711</v>
      </c>
      <c r="K713">
        <f>IF(calendar[[#This Row],[Month]]&lt;4,1,IF(calendar[[#This Row],[Month]]&lt;7,2,IF(calendar[[#This Row],[Month]]&lt;10,3,4)))</f>
        <v>4</v>
      </c>
      <c r="L713">
        <f>IFERROR(IF(VLOOKUP(calendar[[#This Row],[Date]],BH!A:A,1,)&lt;&gt;"",1,0),0)</f>
        <v>0</v>
      </c>
      <c r="M713">
        <f>IFERROR(IF(VLOOKUP(calendar[[#This Row],[Date]],BH!C:C,1,)&lt;&gt;"",1,0),0)</f>
        <v>0</v>
      </c>
      <c r="N713">
        <f>IFERROR(IF(VLOOKUP(calendar[[#This Row],[Date]],BH!E:E,1,)&lt;&gt;"",1,0),0)</f>
        <v>0</v>
      </c>
      <c r="O713">
        <f>IFERROR(IF(VLOOKUP(calendar[[#This Row],[Date]],BH!G:G,1,)&lt;&gt;"",1,0),0)</f>
        <v>0</v>
      </c>
      <c r="P713">
        <f>IF(OR(calendar[[#This Row],[UK_BH]]=1,calendar[[#This Row],[WeekDay]]=1, calendar[[#This Row],[WeekDay]]=7),P712,P712+1)</f>
        <v>509</v>
      </c>
      <c r="Q713">
        <f>IF(OR(calendar[[#This Row],[FR_BH]]=1,calendar[[#This Row],[WeekDay]]=1, calendar[[#This Row],[WeekDay]]=7),P712,P712+1)</f>
        <v>509</v>
      </c>
      <c r="R713">
        <f>IF(OR(calendar[[#This Row],[SP_BH]]=1,calendar[[#This Row],[WeekDay]]=1, calendar[[#This Row],[WeekDay]]=7),P712,P712+1)</f>
        <v>509</v>
      </c>
      <c r="S713">
        <f>IF(OR(calendar[[#This Row],[PT_BH]]=1,calendar[[#This Row],[WeekDay]]=1, calendar[[#This Row],[WeekDay]]=7),P712,P712+1)</f>
        <v>509</v>
      </c>
    </row>
    <row r="714" spans="1:19" x14ac:dyDescent="0.25">
      <c r="A714" s="2">
        <v>43448</v>
      </c>
      <c r="B714" s="1">
        <f t="shared" si="58"/>
        <v>50</v>
      </c>
      <c r="C714">
        <f t="shared" si="55"/>
        <v>12</v>
      </c>
      <c r="D714" t="str">
        <f t="shared" si="56"/>
        <v>December</v>
      </c>
      <c r="E714">
        <f t="shared" si="57"/>
        <v>2018</v>
      </c>
      <c r="F714" t="str">
        <f>CONCATENATE(calendar[[#This Row],[Month]],"/",calendar[[#This Row],[Year]])</f>
        <v>12/2018</v>
      </c>
      <c r="G714">
        <f>WEEKDAY(calendar[[#This Row],[Date]],1)</f>
        <v>6</v>
      </c>
      <c r="H714" t="str">
        <f>TEXT(calendar[[#This Row],[WeekDay]],"dddd")</f>
        <v>Friday</v>
      </c>
      <c r="I714">
        <f>IF((INT(calendar[[#This Row],[Count]]/7)-calendar[[#This Row],[Count]]/7)&lt;0,I713,I713+1)</f>
        <v>102</v>
      </c>
      <c r="J714">
        <f t="shared" si="59"/>
        <v>712</v>
      </c>
      <c r="K714">
        <f>IF(calendar[[#This Row],[Month]]&lt;4,1,IF(calendar[[#This Row],[Month]]&lt;7,2,IF(calendar[[#This Row],[Month]]&lt;10,3,4)))</f>
        <v>4</v>
      </c>
      <c r="L714">
        <f>IFERROR(IF(VLOOKUP(calendar[[#This Row],[Date]],BH!A:A,1,)&lt;&gt;"",1,0),0)</f>
        <v>0</v>
      </c>
      <c r="M714">
        <f>IFERROR(IF(VLOOKUP(calendar[[#This Row],[Date]],BH!C:C,1,)&lt;&gt;"",1,0),0)</f>
        <v>0</v>
      </c>
      <c r="N714">
        <f>IFERROR(IF(VLOOKUP(calendar[[#This Row],[Date]],BH!E:E,1,)&lt;&gt;"",1,0),0)</f>
        <v>0</v>
      </c>
      <c r="O714">
        <f>IFERROR(IF(VLOOKUP(calendar[[#This Row],[Date]],BH!G:G,1,)&lt;&gt;"",1,0),0)</f>
        <v>0</v>
      </c>
      <c r="P714">
        <f>IF(OR(calendar[[#This Row],[UK_BH]]=1,calendar[[#This Row],[WeekDay]]=1, calendar[[#This Row],[WeekDay]]=7),P713,P713+1)</f>
        <v>510</v>
      </c>
      <c r="Q714">
        <f>IF(OR(calendar[[#This Row],[FR_BH]]=1,calendar[[#This Row],[WeekDay]]=1, calendar[[#This Row],[WeekDay]]=7),P713,P713+1)</f>
        <v>510</v>
      </c>
      <c r="R714">
        <f>IF(OR(calendar[[#This Row],[SP_BH]]=1,calendar[[#This Row],[WeekDay]]=1, calendar[[#This Row],[WeekDay]]=7),P713,P713+1)</f>
        <v>510</v>
      </c>
      <c r="S714">
        <f>IF(OR(calendar[[#This Row],[PT_BH]]=1,calendar[[#This Row],[WeekDay]]=1, calendar[[#This Row],[WeekDay]]=7),P713,P713+1)</f>
        <v>510</v>
      </c>
    </row>
    <row r="715" spans="1:19" x14ac:dyDescent="0.25">
      <c r="A715" s="2">
        <v>43449</v>
      </c>
      <c r="B715" s="1">
        <f t="shared" si="58"/>
        <v>50</v>
      </c>
      <c r="C715">
        <f t="shared" si="55"/>
        <v>12</v>
      </c>
      <c r="D715" t="str">
        <f t="shared" si="56"/>
        <v>December</v>
      </c>
      <c r="E715">
        <f t="shared" si="57"/>
        <v>2018</v>
      </c>
      <c r="F715" t="str">
        <f>CONCATENATE(calendar[[#This Row],[Month]],"/",calendar[[#This Row],[Year]])</f>
        <v>12/2018</v>
      </c>
      <c r="G715">
        <f>WEEKDAY(calendar[[#This Row],[Date]],1)</f>
        <v>7</v>
      </c>
      <c r="H715" t="str">
        <f>TEXT(calendar[[#This Row],[WeekDay]],"dddd")</f>
        <v>Saturday</v>
      </c>
      <c r="I715">
        <f>IF((INT(calendar[[#This Row],[Count]]/7)-calendar[[#This Row],[Count]]/7)&lt;0,I714,I714+1)</f>
        <v>102</v>
      </c>
      <c r="J715">
        <f t="shared" si="59"/>
        <v>713</v>
      </c>
      <c r="K715">
        <f>IF(calendar[[#This Row],[Month]]&lt;4,1,IF(calendar[[#This Row],[Month]]&lt;7,2,IF(calendar[[#This Row],[Month]]&lt;10,3,4)))</f>
        <v>4</v>
      </c>
      <c r="L715">
        <f>IFERROR(IF(VLOOKUP(calendar[[#This Row],[Date]],BH!A:A,1,)&lt;&gt;"",1,0),0)</f>
        <v>0</v>
      </c>
      <c r="M715">
        <f>IFERROR(IF(VLOOKUP(calendar[[#This Row],[Date]],BH!C:C,1,)&lt;&gt;"",1,0),0)</f>
        <v>0</v>
      </c>
      <c r="N715">
        <f>IFERROR(IF(VLOOKUP(calendar[[#This Row],[Date]],BH!E:E,1,)&lt;&gt;"",1,0),0)</f>
        <v>0</v>
      </c>
      <c r="O715">
        <f>IFERROR(IF(VLOOKUP(calendar[[#This Row],[Date]],BH!G:G,1,)&lt;&gt;"",1,0),0)</f>
        <v>0</v>
      </c>
      <c r="P715">
        <f>IF(OR(calendar[[#This Row],[UK_BH]]=1,calendar[[#This Row],[WeekDay]]=1, calendar[[#This Row],[WeekDay]]=7),P714,P714+1)</f>
        <v>510</v>
      </c>
      <c r="Q715">
        <f>IF(OR(calendar[[#This Row],[FR_BH]]=1,calendar[[#This Row],[WeekDay]]=1, calendar[[#This Row],[WeekDay]]=7),P714,P714+1)</f>
        <v>510</v>
      </c>
      <c r="R715">
        <f>IF(OR(calendar[[#This Row],[SP_BH]]=1,calendar[[#This Row],[WeekDay]]=1, calendar[[#This Row],[WeekDay]]=7),P714,P714+1)</f>
        <v>510</v>
      </c>
      <c r="S715">
        <f>IF(OR(calendar[[#This Row],[PT_BH]]=1,calendar[[#This Row],[WeekDay]]=1, calendar[[#This Row],[WeekDay]]=7),P714,P714+1)</f>
        <v>510</v>
      </c>
    </row>
    <row r="716" spans="1:19" x14ac:dyDescent="0.25">
      <c r="A716" s="2">
        <v>43450</v>
      </c>
      <c r="B716" s="1">
        <f t="shared" si="58"/>
        <v>51</v>
      </c>
      <c r="C716">
        <f t="shared" si="55"/>
        <v>12</v>
      </c>
      <c r="D716" t="str">
        <f t="shared" si="56"/>
        <v>December</v>
      </c>
      <c r="E716">
        <f t="shared" si="57"/>
        <v>2018</v>
      </c>
      <c r="F716" t="str">
        <f>CONCATENATE(calendar[[#This Row],[Month]],"/",calendar[[#This Row],[Year]])</f>
        <v>12/2018</v>
      </c>
      <c r="G716">
        <f>WEEKDAY(calendar[[#This Row],[Date]],1)</f>
        <v>1</v>
      </c>
      <c r="H716" t="str">
        <f>TEXT(calendar[[#This Row],[WeekDay]],"dddd")</f>
        <v>Sunday</v>
      </c>
      <c r="I716">
        <f>IF((INT(calendar[[#This Row],[Count]]/7)-calendar[[#This Row],[Count]]/7)&lt;0,I715,I715+1)</f>
        <v>103</v>
      </c>
      <c r="J716">
        <f t="shared" si="59"/>
        <v>714</v>
      </c>
      <c r="K716">
        <f>IF(calendar[[#This Row],[Month]]&lt;4,1,IF(calendar[[#This Row],[Month]]&lt;7,2,IF(calendar[[#This Row],[Month]]&lt;10,3,4)))</f>
        <v>4</v>
      </c>
      <c r="L716">
        <f>IFERROR(IF(VLOOKUP(calendar[[#This Row],[Date]],BH!A:A,1,)&lt;&gt;"",1,0),0)</f>
        <v>0</v>
      </c>
      <c r="M716">
        <f>IFERROR(IF(VLOOKUP(calendar[[#This Row],[Date]],BH!C:C,1,)&lt;&gt;"",1,0),0)</f>
        <v>0</v>
      </c>
      <c r="N716">
        <f>IFERROR(IF(VLOOKUP(calendar[[#This Row],[Date]],BH!E:E,1,)&lt;&gt;"",1,0),0)</f>
        <v>0</v>
      </c>
      <c r="O716">
        <f>IFERROR(IF(VLOOKUP(calendar[[#This Row],[Date]],BH!G:G,1,)&lt;&gt;"",1,0),0)</f>
        <v>0</v>
      </c>
      <c r="P716">
        <f>IF(OR(calendar[[#This Row],[UK_BH]]=1,calendar[[#This Row],[WeekDay]]=1, calendar[[#This Row],[WeekDay]]=7),P715,P715+1)</f>
        <v>510</v>
      </c>
      <c r="Q716">
        <f>IF(OR(calendar[[#This Row],[FR_BH]]=1,calendar[[#This Row],[WeekDay]]=1, calendar[[#This Row],[WeekDay]]=7),P715,P715+1)</f>
        <v>510</v>
      </c>
      <c r="R716">
        <f>IF(OR(calendar[[#This Row],[SP_BH]]=1,calendar[[#This Row],[WeekDay]]=1, calendar[[#This Row],[WeekDay]]=7),P715,P715+1)</f>
        <v>510</v>
      </c>
      <c r="S716">
        <f>IF(OR(calendar[[#This Row],[PT_BH]]=1,calendar[[#This Row],[WeekDay]]=1, calendar[[#This Row],[WeekDay]]=7),P715,P715+1)</f>
        <v>510</v>
      </c>
    </row>
    <row r="717" spans="1:19" x14ac:dyDescent="0.25">
      <c r="A717" s="2">
        <v>43451</v>
      </c>
      <c r="B717" s="1">
        <f t="shared" si="58"/>
        <v>51</v>
      </c>
      <c r="C717">
        <f t="shared" si="55"/>
        <v>12</v>
      </c>
      <c r="D717" t="str">
        <f t="shared" si="56"/>
        <v>December</v>
      </c>
      <c r="E717">
        <f t="shared" si="57"/>
        <v>2018</v>
      </c>
      <c r="F717" t="str">
        <f>CONCATENATE(calendar[[#This Row],[Month]],"/",calendar[[#This Row],[Year]])</f>
        <v>12/2018</v>
      </c>
      <c r="G717">
        <f>WEEKDAY(calendar[[#This Row],[Date]],1)</f>
        <v>2</v>
      </c>
      <c r="H717" t="str">
        <f>TEXT(calendar[[#This Row],[WeekDay]],"dddd")</f>
        <v>Monday</v>
      </c>
      <c r="I717">
        <f>IF((INT(calendar[[#This Row],[Count]]/7)-calendar[[#This Row],[Count]]/7)&lt;0,I716,I716+1)</f>
        <v>103</v>
      </c>
      <c r="J717">
        <f t="shared" si="59"/>
        <v>715</v>
      </c>
      <c r="K717">
        <f>IF(calendar[[#This Row],[Month]]&lt;4,1,IF(calendar[[#This Row],[Month]]&lt;7,2,IF(calendar[[#This Row],[Month]]&lt;10,3,4)))</f>
        <v>4</v>
      </c>
      <c r="L717">
        <f>IFERROR(IF(VLOOKUP(calendar[[#This Row],[Date]],BH!A:A,1,)&lt;&gt;"",1,0),0)</f>
        <v>0</v>
      </c>
      <c r="M717">
        <f>IFERROR(IF(VLOOKUP(calendar[[#This Row],[Date]],BH!C:C,1,)&lt;&gt;"",1,0),0)</f>
        <v>0</v>
      </c>
      <c r="N717">
        <f>IFERROR(IF(VLOOKUP(calendar[[#This Row],[Date]],BH!E:E,1,)&lt;&gt;"",1,0),0)</f>
        <v>0</v>
      </c>
      <c r="O717">
        <f>IFERROR(IF(VLOOKUP(calendar[[#This Row],[Date]],BH!G:G,1,)&lt;&gt;"",1,0),0)</f>
        <v>0</v>
      </c>
      <c r="P717">
        <f>IF(OR(calendar[[#This Row],[UK_BH]]=1,calendar[[#This Row],[WeekDay]]=1, calendar[[#This Row],[WeekDay]]=7),P716,P716+1)</f>
        <v>511</v>
      </c>
      <c r="Q717">
        <f>IF(OR(calendar[[#This Row],[FR_BH]]=1,calendar[[#This Row],[WeekDay]]=1, calendar[[#This Row],[WeekDay]]=7),P716,P716+1)</f>
        <v>511</v>
      </c>
      <c r="R717">
        <f>IF(OR(calendar[[#This Row],[SP_BH]]=1,calendar[[#This Row],[WeekDay]]=1, calendar[[#This Row],[WeekDay]]=7),P716,P716+1)</f>
        <v>511</v>
      </c>
      <c r="S717">
        <f>IF(OR(calendar[[#This Row],[PT_BH]]=1,calendar[[#This Row],[WeekDay]]=1, calendar[[#This Row],[WeekDay]]=7),P716,P716+1)</f>
        <v>511</v>
      </c>
    </row>
    <row r="718" spans="1:19" x14ac:dyDescent="0.25">
      <c r="A718" s="2">
        <v>43452</v>
      </c>
      <c r="B718" s="1">
        <f t="shared" si="58"/>
        <v>51</v>
      </c>
      <c r="C718">
        <f t="shared" si="55"/>
        <v>12</v>
      </c>
      <c r="D718" t="str">
        <f t="shared" si="56"/>
        <v>December</v>
      </c>
      <c r="E718">
        <f t="shared" si="57"/>
        <v>2018</v>
      </c>
      <c r="F718" t="str">
        <f>CONCATENATE(calendar[[#This Row],[Month]],"/",calendar[[#This Row],[Year]])</f>
        <v>12/2018</v>
      </c>
      <c r="G718">
        <f>WEEKDAY(calendar[[#This Row],[Date]],1)</f>
        <v>3</v>
      </c>
      <c r="H718" t="str">
        <f>TEXT(calendar[[#This Row],[WeekDay]],"dddd")</f>
        <v>Tuesday</v>
      </c>
      <c r="I718">
        <f>IF((INT(calendar[[#This Row],[Count]]/7)-calendar[[#This Row],[Count]]/7)&lt;0,I717,I717+1)</f>
        <v>103</v>
      </c>
      <c r="J718">
        <f t="shared" si="59"/>
        <v>716</v>
      </c>
      <c r="K718">
        <f>IF(calendar[[#This Row],[Month]]&lt;4,1,IF(calendar[[#This Row],[Month]]&lt;7,2,IF(calendar[[#This Row],[Month]]&lt;10,3,4)))</f>
        <v>4</v>
      </c>
      <c r="L718">
        <f>IFERROR(IF(VLOOKUP(calendar[[#This Row],[Date]],BH!A:A,1,)&lt;&gt;"",1,0),0)</f>
        <v>0</v>
      </c>
      <c r="M718">
        <f>IFERROR(IF(VLOOKUP(calendar[[#This Row],[Date]],BH!C:C,1,)&lt;&gt;"",1,0),0)</f>
        <v>0</v>
      </c>
      <c r="N718">
        <f>IFERROR(IF(VLOOKUP(calendar[[#This Row],[Date]],BH!E:E,1,)&lt;&gt;"",1,0),0)</f>
        <v>0</v>
      </c>
      <c r="O718">
        <f>IFERROR(IF(VLOOKUP(calendar[[#This Row],[Date]],BH!G:G,1,)&lt;&gt;"",1,0),0)</f>
        <v>0</v>
      </c>
      <c r="P718">
        <f>IF(OR(calendar[[#This Row],[UK_BH]]=1,calendar[[#This Row],[WeekDay]]=1, calendar[[#This Row],[WeekDay]]=7),P717,P717+1)</f>
        <v>512</v>
      </c>
      <c r="Q718">
        <f>IF(OR(calendar[[#This Row],[FR_BH]]=1,calendar[[#This Row],[WeekDay]]=1, calendar[[#This Row],[WeekDay]]=7),P717,P717+1)</f>
        <v>512</v>
      </c>
      <c r="R718">
        <f>IF(OR(calendar[[#This Row],[SP_BH]]=1,calendar[[#This Row],[WeekDay]]=1, calendar[[#This Row],[WeekDay]]=7),P717,P717+1)</f>
        <v>512</v>
      </c>
      <c r="S718">
        <f>IF(OR(calendar[[#This Row],[PT_BH]]=1,calendar[[#This Row],[WeekDay]]=1, calendar[[#This Row],[WeekDay]]=7),P717,P717+1)</f>
        <v>512</v>
      </c>
    </row>
    <row r="719" spans="1:19" x14ac:dyDescent="0.25">
      <c r="A719" s="2">
        <v>43453</v>
      </c>
      <c r="B719" s="1">
        <f t="shared" si="58"/>
        <v>51</v>
      </c>
      <c r="C719">
        <f t="shared" si="55"/>
        <v>12</v>
      </c>
      <c r="D719" t="str">
        <f t="shared" si="56"/>
        <v>December</v>
      </c>
      <c r="E719">
        <f t="shared" si="57"/>
        <v>2018</v>
      </c>
      <c r="F719" t="str">
        <f>CONCATENATE(calendar[[#This Row],[Month]],"/",calendar[[#This Row],[Year]])</f>
        <v>12/2018</v>
      </c>
      <c r="G719">
        <f>WEEKDAY(calendar[[#This Row],[Date]],1)</f>
        <v>4</v>
      </c>
      <c r="H719" t="str">
        <f>TEXT(calendar[[#This Row],[WeekDay]],"dddd")</f>
        <v>Wednesday</v>
      </c>
      <c r="I719">
        <f>IF((INT(calendar[[#This Row],[Count]]/7)-calendar[[#This Row],[Count]]/7)&lt;0,I718,I718+1)</f>
        <v>103</v>
      </c>
      <c r="J719">
        <f t="shared" si="59"/>
        <v>717</v>
      </c>
      <c r="K719">
        <f>IF(calendar[[#This Row],[Month]]&lt;4,1,IF(calendar[[#This Row],[Month]]&lt;7,2,IF(calendar[[#This Row],[Month]]&lt;10,3,4)))</f>
        <v>4</v>
      </c>
      <c r="L719">
        <f>IFERROR(IF(VLOOKUP(calendar[[#This Row],[Date]],BH!A:A,1,)&lt;&gt;"",1,0),0)</f>
        <v>0</v>
      </c>
      <c r="M719">
        <f>IFERROR(IF(VLOOKUP(calendar[[#This Row],[Date]],BH!C:C,1,)&lt;&gt;"",1,0),0)</f>
        <v>0</v>
      </c>
      <c r="N719">
        <f>IFERROR(IF(VLOOKUP(calendar[[#This Row],[Date]],BH!E:E,1,)&lt;&gt;"",1,0),0)</f>
        <v>0</v>
      </c>
      <c r="O719">
        <f>IFERROR(IF(VLOOKUP(calendar[[#This Row],[Date]],BH!G:G,1,)&lt;&gt;"",1,0),0)</f>
        <v>0</v>
      </c>
      <c r="P719">
        <f>IF(OR(calendar[[#This Row],[UK_BH]]=1,calendar[[#This Row],[WeekDay]]=1, calendar[[#This Row],[WeekDay]]=7),P718,P718+1)</f>
        <v>513</v>
      </c>
      <c r="Q719">
        <f>IF(OR(calendar[[#This Row],[FR_BH]]=1,calendar[[#This Row],[WeekDay]]=1, calendar[[#This Row],[WeekDay]]=7),P718,P718+1)</f>
        <v>513</v>
      </c>
      <c r="R719">
        <f>IF(OR(calendar[[#This Row],[SP_BH]]=1,calendar[[#This Row],[WeekDay]]=1, calendar[[#This Row],[WeekDay]]=7),P718,P718+1)</f>
        <v>513</v>
      </c>
      <c r="S719">
        <f>IF(OR(calendar[[#This Row],[PT_BH]]=1,calendar[[#This Row],[WeekDay]]=1, calendar[[#This Row],[WeekDay]]=7),P718,P718+1)</f>
        <v>513</v>
      </c>
    </row>
    <row r="720" spans="1:19" x14ac:dyDescent="0.25">
      <c r="A720" s="2">
        <v>43454</v>
      </c>
      <c r="B720" s="1">
        <f t="shared" si="58"/>
        <v>51</v>
      </c>
      <c r="C720">
        <f t="shared" ref="C720:C783" si="60">MONTH(A720)</f>
        <v>12</v>
      </c>
      <c r="D720" t="str">
        <f t="shared" ref="D720:D783" si="61">TEXT(A720,"mmmm")</f>
        <v>December</v>
      </c>
      <c r="E720">
        <f t="shared" ref="E720:E783" si="62">YEAR(A720)</f>
        <v>2018</v>
      </c>
      <c r="F720" t="str">
        <f>CONCATENATE(calendar[[#This Row],[Month]],"/",calendar[[#This Row],[Year]])</f>
        <v>12/2018</v>
      </c>
      <c r="G720">
        <f>WEEKDAY(calendar[[#This Row],[Date]],1)</f>
        <v>5</v>
      </c>
      <c r="H720" t="str">
        <f>TEXT(calendar[[#This Row],[WeekDay]],"dddd")</f>
        <v>Thursday</v>
      </c>
      <c r="I720">
        <f>IF((INT(calendar[[#This Row],[Count]]/7)-calendar[[#This Row],[Count]]/7)&lt;0,I719,I719+1)</f>
        <v>103</v>
      </c>
      <c r="J720">
        <f t="shared" si="59"/>
        <v>718</v>
      </c>
      <c r="K720">
        <f>IF(calendar[[#This Row],[Month]]&lt;4,1,IF(calendar[[#This Row],[Month]]&lt;7,2,IF(calendar[[#This Row],[Month]]&lt;10,3,4)))</f>
        <v>4</v>
      </c>
      <c r="L720">
        <f>IFERROR(IF(VLOOKUP(calendar[[#This Row],[Date]],BH!A:A,1,)&lt;&gt;"",1,0),0)</f>
        <v>0</v>
      </c>
      <c r="M720">
        <f>IFERROR(IF(VLOOKUP(calendar[[#This Row],[Date]],BH!C:C,1,)&lt;&gt;"",1,0),0)</f>
        <v>0</v>
      </c>
      <c r="N720">
        <f>IFERROR(IF(VLOOKUP(calendar[[#This Row],[Date]],BH!E:E,1,)&lt;&gt;"",1,0),0)</f>
        <v>0</v>
      </c>
      <c r="O720">
        <f>IFERROR(IF(VLOOKUP(calendar[[#This Row],[Date]],BH!G:G,1,)&lt;&gt;"",1,0),0)</f>
        <v>0</v>
      </c>
      <c r="P720">
        <f>IF(OR(calendar[[#This Row],[UK_BH]]=1,calendar[[#This Row],[WeekDay]]=1, calendar[[#This Row],[WeekDay]]=7),P719,P719+1)</f>
        <v>514</v>
      </c>
      <c r="Q720">
        <f>IF(OR(calendar[[#This Row],[FR_BH]]=1,calendar[[#This Row],[WeekDay]]=1, calendar[[#This Row],[WeekDay]]=7),P719,P719+1)</f>
        <v>514</v>
      </c>
      <c r="R720">
        <f>IF(OR(calendar[[#This Row],[SP_BH]]=1,calendar[[#This Row],[WeekDay]]=1, calendar[[#This Row],[WeekDay]]=7),P719,P719+1)</f>
        <v>514</v>
      </c>
      <c r="S720">
        <f>IF(OR(calendar[[#This Row],[PT_BH]]=1,calendar[[#This Row],[WeekDay]]=1, calendar[[#This Row],[WeekDay]]=7),P719,P719+1)</f>
        <v>514</v>
      </c>
    </row>
    <row r="721" spans="1:19" x14ac:dyDescent="0.25">
      <c r="A721" s="2">
        <v>43455</v>
      </c>
      <c r="B721" s="1">
        <f t="shared" si="58"/>
        <v>51</v>
      </c>
      <c r="C721">
        <f t="shared" si="60"/>
        <v>12</v>
      </c>
      <c r="D721" t="str">
        <f t="shared" si="61"/>
        <v>December</v>
      </c>
      <c r="E721">
        <f t="shared" si="62"/>
        <v>2018</v>
      </c>
      <c r="F721" t="str">
        <f>CONCATENATE(calendar[[#This Row],[Month]],"/",calendar[[#This Row],[Year]])</f>
        <v>12/2018</v>
      </c>
      <c r="G721">
        <f>WEEKDAY(calendar[[#This Row],[Date]],1)</f>
        <v>6</v>
      </c>
      <c r="H721" t="str">
        <f>TEXT(calendar[[#This Row],[WeekDay]],"dddd")</f>
        <v>Friday</v>
      </c>
      <c r="I721">
        <f>IF((INT(calendar[[#This Row],[Count]]/7)-calendar[[#This Row],[Count]]/7)&lt;0,I720,I720+1)</f>
        <v>103</v>
      </c>
      <c r="J721">
        <f t="shared" si="59"/>
        <v>719</v>
      </c>
      <c r="K721">
        <f>IF(calendar[[#This Row],[Month]]&lt;4,1,IF(calendar[[#This Row],[Month]]&lt;7,2,IF(calendar[[#This Row],[Month]]&lt;10,3,4)))</f>
        <v>4</v>
      </c>
      <c r="L721">
        <f>IFERROR(IF(VLOOKUP(calendar[[#This Row],[Date]],BH!A:A,1,)&lt;&gt;"",1,0),0)</f>
        <v>0</v>
      </c>
      <c r="M721">
        <f>IFERROR(IF(VLOOKUP(calendar[[#This Row],[Date]],BH!C:C,1,)&lt;&gt;"",1,0),0)</f>
        <v>0</v>
      </c>
      <c r="N721">
        <f>IFERROR(IF(VLOOKUP(calendar[[#This Row],[Date]],BH!E:E,1,)&lt;&gt;"",1,0),0)</f>
        <v>0</v>
      </c>
      <c r="O721">
        <f>IFERROR(IF(VLOOKUP(calendar[[#This Row],[Date]],BH!G:G,1,)&lt;&gt;"",1,0),0)</f>
        <v>0</v>
      </c>
      <c r="P721">
        <f>IF(OR(calendar[[#This Row],[UK_BH]]=1,calendar[[#This Row],[WeekDay]]=1, calendar[[#This Row],[WeekDay]]=7),P720,P720+1)</f>
        <v>515</v>
      </c>
      <c r="Q721">
        <f>IF(OR(calendar[[#This Row],[FR_BH]]=1,calendar[[#This Row],[WeekDay]]=1, calendar[[#This Row],[WeekDay]]=7),P720,P720+1)</f>
        <v>515</v>
      </c>
      <c r="R721">
        <f>IF(OR(calendar[[#This Row],[SP_BH]]=1,calendar[[#This Row],[WeekDay]]=1, calendar[[#This Row],[WeekDay]]=7),P720,P720+1)</f>
        <v>515</v>
      </c>
      <c r="S721">
        <f>IF(OR(calendar[[#This Row],[PT_BH]]=1,calendar[[#This Row],[WeekDay]]=1, calendar[[#This Row],[WeekDay]]=7),P720,P720+1)</f>
        <v>515</v>
      </c>
    </row>
    <row r="722" spans="1:19" x14ac:dyDescent="0.25">
      <c r="A722" s="2">
        <v>43456</v>
      </c>
      <c r="B722" s="1">
        <f t="shared" si="58"/>
        <v>51</v>
      </c>
      <c r="C722">
        <f t="shared" si="60"/>
        <v>12</v>
      </c>
      <c r="D722" t="str">
        <f t="shared" si="61"/>
        <v>December</v>
      </c>
      <c r="E722">
        <f t="shared" si="62"/>
        <v>2018</v>
      </c>
      <c r="F722" t="str">
        <f>CONCATENATE(calendar[[#This Row],[Month]],"/",calendar[[#This Row],[Year]])</f>
        <v>12/2018</v>
      </c>
      <c r="G722">
        <f>WEEKDAY(calendar[[#This Row],[Date]],1)</f>
        <v>7</v>
      </c>
      <c r="H722" t="str">
        <f>TEXT(calendar[[#This Row],[WeekDay]],"dddd")</f>
        <v>Saturday</v>
      </c>
      <c r="I722">
        <f>IF((INT(calendar[[#This Row],[Count]]/7)-calendar[[#This Row],[Count]]/7)&lt;0,I721,I721+1)</f>
        <v>103</v>
      </c>
      <c r="J722">
        <f t="shared" si="59"/>
        <v>720</v>
      </c>
      <c r="K722">
        <f>IF(calendar[[#This Row],[Month]]&lt;4,1,IF(calendar[[#This Row],[Month]]&lt;7,2,IF(calendar[[#This Row],[Month]]&lt;10,3,4)))</f>
        <v>4</v>
      </c>
      <c r="L722">
        <f>IFERROR(IF(VLOOKUP(calendar[[#This Row],[Date]],BH!A:A,1,)&lt;&gt;"",1,0),0)</f>
        <v>0</v>
      </c>
      <c r="M722">
        <f>IFERROR(IF(VLOOKUP(calendar[[#This Row],[Date]],BH!C:C,1,)&lt;&gt;"",1,0),0)</f>
        <v>0</v>
      </c>
      <c r="N722">
        <f>IFERROR(IF(VLOOKUP(calendar[[#This Row],[Date]],BH!E:E,1,)&lt;&gt;"",1,0),0)</f>
        <v>0</v>
      </c>
      <c r="O722">
        <f>IFERROR(IF(VLOOKUP(calendar[[#This Row],[Date]],BH!G:G,1,)&lt;&gt;"",1,0),0)</f>
        <v>0</v>
      </c>
      <c r="P722">
        <f>IF(OR(calendar[[#This Row],[UK_BH]]=1,calendar[[#This Row],[WeekDay]]=1, calendar[[#This Row],[WeekDay]]=7),P721,P721+1)</f>
        <v>515</v>
      </c>
      <c r="Q722">
        <f>IF(OR(calendar[[#This Row],[FR_BH]]=1,calendar[[#This Row],[WeekDay]]=1, calendar[[#This Row],[WeekDay]]=7),P721,P721+1)</f>
        <v>515</v>
      </c>
      <c r="R722">
        <f>IF(OR(calendar[[#This Row],[SP_BH]]=1,calendar[[#This Row],[WeekDay]]=1, calendar[[#This Row],[WeekDay]]=7),P721,P721+1)</f>
        <v>515</v>
      </c>
      <c r="S722">
        <f>IF(OR(calendar[[#This Row],[PT_BH]]=1,calendar[[#This Row],[WeekDay]]=1, calendar[[#This Row],[WeekDay]]=7),P721,P721+1)</f>
        <v>515</v>
      </c>
    </row>
    <row r="723" spans="1:19" x14ac:dyDescent="0.25">
      <c r="A723" s="2">
        <v>43457</v>
      </c>
      <c r="B723" s="1">
        <f t="shared" si="58"/>
        <v>52</v>
      </c>
      <c r="C723">
        <f t="shared" si="60"/>
        <v>12</v>
      </c>
      <c r="D723" t="str">
        <f t="shared" si="61"/>
        <v>December</v>
      </c>
      <c r="E723">
        <f t="shared" si="62"/>
        <v>2018</v>
      </c>
      <c r="F723" t="str">
        <f>CONCATENATE(calendar[[#This Row],[Month]],"/",calendar[[#This Row],[Year]])</f>
        <v>12/2018</v>
      </c>
      <c r="G723">
        <f>WEEKDAY(calendar[[#This Row],[Date]],1)</f>
        <v>1</v>
      </c>
      <c r="H723" t="str">
        <f>TEXT(calendar[[#This Row],[WeekDay]],"dddd")</f>
        <v>Sunday</v>
      </c>
      <c r="I723">
        <f>IF((INT(calendar[[#This Row],[Count]]/7)-calendar[[#This Row],[Count]]/7)&lt;0,I722,I722+1)</f>
        <v>104</v>
      </c>
      <c r="J723">
        <f t="shared" si="59"/>
        <v>721</v>
      </c>
      <c r="K723">
        <f>IF(calendar[[#This Row],[Month]]&lt;4,1,IF(calendar[[#This Row],[Month]]&lt;7,2,IF(calendar[[#This Row],[Month]]&lt;10,3,4)))</f>
        <v>4</v>
      </c>
      <c r="L723">
        <f>IFERROR(IF(VLOOKUP(calendar[[#This Row],[Date]],BH!A:A,1,)&lt;&gt;"",1,0),0)</f>
        <v>0</v>
      </c>
      <c r="M723">
        <f>IFERROR(IF(VLOOKUP(calendar[[#This Row],[Date]],BH!C:C,1,)&lt;&gt;"",1,0),0)</f>
        <v>0</v>
      </c>
      <c r="N723">
        <f>IFERROR(IF(VLOOKUP(calendar[[#This Row],[Date]],BH!E:E,1,)&lt;&gt;"",1,0),0)</f>
        <v>0</v>
      </c>
      <c r="O723">
        <f>IFERROR(IF(VLOOKUP(calendar[[#This Row],[Date]],BH!G:G,1,)&lt;&gt;"",1,0),0)</f>
        <v>0</v>
      </c>
      <c r="P723">
        <f>IF(OR(calendar[[#This Row],[UK_BH]]=1,calendar[[#This Row],[WeekDay]]=1, calendar[[#This Row],[WeekDay]]=7),P722,P722+1)</f>
        <v>515</v>
      </c>
      <c r="Q723">
        <f>IF(OR(calendar[[#This Row],[FR_BH]]=1,calendar[[#This Row],[WeekDay]]=1, calendar[[#This Row],[WeekDay]]=7),P722,P722+1)</f>
        <v>515</v>
      </c>
      <c r="R723">
        <f>IF(OR(calendar[[#This Row],[SP_BH]]=1,calendar[[#This Row],[WeekDay]]=1, calendar[[#This Row],[WeekDay]]=7),P722,P722+1)</f>
        <v>515</v>
      </c>
      <c r="S723">
        <f>IF(OR(calendar[[#This Row],[PT_BH]]=1,calendar[[#This Row],[WeekDay]]=1, calendar[[#This Row],[WeekDay]]=7),P722,P722+1)</f>
        <v>515</v>
      </c>
    </row>
    <row r="724" spans="1:19" x14ac:dyDescent="0.25">
      <c r="A724" s="2">
        <v>43458</v>
      </c>
      <c r="B724" s="1">
        <f t="shared" si="58"/>
        <v>52</v>
      </c>
      <c r="C724">
        <f t="shared" si="60"/>
        <v>12</v>
      </c>
      <c r="D724" t="str">
        <f t="shared" si="61"/>
        <v>December</v>
      </c>
      <c r="E724">
        <f t="shared" si="62"/>
        <v>2018</v>
      </c>
      <c r="F724" t="str">
        <f>CONCATENATE(calendar[[#This Row],[Month]],"/",calendar[[#This Row],[Year]])</f>
        <v>12/2018</v>
      </c>
      <c r="G724">
        <f>WEEKDAY(calendar[[#This Row],[Date]],1)</f>
        <v>2</v>
      </c>
      <c r="H724" t="str">
        <f>TEXT(calendar[[#This Row],[WeekDay]],"dddd")</f>
        <v>Monday</v>
      </c>
      <c r="I724">
        <f>IF((INT(calendar[[#This Row],[Count]]/7)-calendar[[#This Row],[Count]]/7)&lt;0,I723,I723+1)</f>
        <v>104</v>
      </c>
      <c r="J724">
        <f t="shared" si="59"/>
        <v>722</v>
      </c>
      <c r="K724">
        <f>IF(calendar[[#This Row],[Month]]&lt;4,1,IF(calendar[[#This Row],[Month]]&lt;7,2,IF(calendar[[#This Row],[Month]]&lt;10,3,4)))</f>
        <v>4</v>
      </c>
      <c r="L724">
        <f>IFERROR(IF(VLOOKUP(calendar[[#This Row],[Date]],BH!A:A,1,)&lt;&gt;"",1,0),0)</f>
        <v>0</v>
      </c>
      <c r="M724">
        <f>IFERROR(IF(VLOOKUP(calendar[[#This Row],[Date]],BH!C:C,1,)&lt;&gt;"",1,0),0)</f>
        <v>0</v>
      </c>
      <c r="N724">
        <f>IFERROR(IF(VLOOKUP(calendar[[#This Row],[Date]],BH!E:E,1,)&lt;&gt;"",1,0),0)</f>
        <v>0</v>
      </c>
      <c r="O724">
        <f>IFERROR(IF(VLOOKUP(calendar[[#This Row],[Date]],BH!G:G,1,)&lt;&gt;"",1,0),0)</f>
        <v>0</v>
      </c>
      <c r="P724">
        <f>IF(OR(calendar[[#This Row],[UK_BH]]=1,calendar[[#This Row],[WeekDay]]=1, calendar[[#This Row],[WeekDay]]=7),P723,P723+1)</f>
        <v>516</v>
      </c>
      <c r="Q724">
        <f>IF(OR(calendar[[#This Row],[FR_BH]]=1,calendar[[#This Row],[WeekDay]]=1, calendar[[#This Row],[WeekDay]]=7),P723,P723+1)</f>
        <v>516</v>
      </c>
      <c r="R724">
        <f>IF(OR(calendar[[#This Row],[SP_BH]]=1,calendar[[#This Row],[WeekDay]]=1, calendar[[#This Row],[WeekDay]]=7),P723,P723+1)</f>
        <v>516</v>
      </c>
      <c r="S724">
        <f>IF(OR(calendar[[#This Row],[PT_BH]]=1,calendar[[#This Row],[WeekDay]]=1, calendar[[#This Row],[WeekDay]]=7),P723,P723+1)</f>
        <v>516</v>
      </c>
    </row>
    <row r="725" spans="1:19" x14ac:dyDescent="0.25">
      <c r="A725" s="2">
        <v>43459</v>
      </c>
      <c r="B725" s="1">
        <f t="shared" si="58"/>
        <v>52</v>
      </c>
      <c r="C725">
        <f t="shared" si="60"/>
        <v>12</v>
      </c>
      <c r="D725" t="str">
        <f t="shared" si="61"/>
        <v>December</v>
      </c>
      <c r="E725">
        <f t="shared" si="62"/>
        <v>2018</v>
      </c>
      <c r="F725" t="str">
        <f>CONCATENATE(calendar[[#This Row],[Month]],"/",calendar[[#This Row],[Year]])</f>
        <v>12/2018</v>
      </c>
      <c r="G725">
        <f>WEEKDAY(calendar[[#This Row],[Date]],1)</f>
        <v>3</v>
      </c>
      <c r="H725" t="str">
        <f>TEXT(calendar[[#This Row],[WeekDay]],"dddd")</f>
        <v>Tuesday</v>
      </c>
      <c r="I725">
        <f>IF((INT(calendar[[#This Row],[Count]]/7)-calendar[[#This Row],[Count]]/7)&lt;0,I724,I724+1)</f>
        <v>104</v>
      </c>
      <c r="J725">
        <f t="shared" si="59"/>
        <v>723</v>
      </c>
      <c r="K725">
        <f>IF(calendar[[#This Row],[Month]]&lt;4,1,IF(calendar[[#This Row],[Month]]&lt;7,2,IF(calendar[[#This Row],[Month]]&lt;10,3,4)))</f>
        <v>4</v>
      </c>
      <c r="L725">
        <f>IFERROR(IF(VLOOKUP(calendar[[#This Row],[Date]],BH!A:A,1,)&lt;&gt;"",1,0),0)</f>
        <v>0</v>
      </c>
      <c r="M725">
        <f>IFERROR(IF(VLOOKUP(calendar[[#This Row],[Date]],BH!C:C,1,)&lt;&gt;"",1,0),0)</f>
        <v>0</v>
      </c>
      <c r="N725">
        <f>IFERROR(IF(VLOOKUP(calendar[[#This Row],[Date]],BH!E:E,1,)&lt;&gt;"",1,0),0)</f>
        <v>0</v>
      </c>
      <c r="O725">
        <f>IFERROR(IF(VLOOKUP(calendar[[#This Row],[Date]],BH!G:G,1,)&lt;&gt;"",1,0),0)</f>
        <v>0</v>
      </c>
      <c r="P725">
        <f>IF(OR(calendar[[#This Row],[UK_BH]]=1,calendar[[#This Row],[WeekDay]]=1, calendar[[#This Row],[WeekDay]]=7),P724,P724+1)</f>
        <v>517</v>
      </c>
      <c r="Q725">
        <f>IF(OR(calendar[[#This Row],[FR_BH]]=1,calendar[[#This Row],[WeekDay]]=1, calendar[[#This Row],[WeekDay]]=7),P724,P724+1)</f>
        <v>517</v>
      </c>
      <c r="R725">
        <f>IF(OR(calendar[[#This Row],[SP_BH]]=1,calendar[[#This Row],[WeekDay]]=1, calendar[[#This Row],[WeekDay]]=7),P724,P724+1)</f>
        <v>517</v>
      </c>
      <c r="S725">
        <f>IF(OR(calendar[[#This Row],[PT_BH]]=1,calendar[[#This Row],[WeekDay]]=1, calendar[[#This Row],[WeekDay]]=7),P724,P724+1)</f>
        <v>517</v>
      </c>
    </row>
    <row r="726" spans="1:19" x14ac:dyDescent="0.25">
      <c r="A726" s="2">
        <v>43460</v>
      </c>
      <c r="B726" s="1">
        <f t="shared" si="58"/>
        <v>52</v>
      </c>
      <c r="C726">
        <f t="shared" si="60"/>
        <v>12</v>
      </c>
      <c r="D726" t="str">
        <f t="shared" si="61"/>
        <v>December</v>
      </c>
      <c r="E726">
        <f t="shared" si="62"/>
        <v>2018</v>
      </c>
      <c r="F726" t="str">
        <f>CONCATENATE(calendar[[#This Row],[Month]],"/",calendar[[#This Row],[Year]])</f>
        <v>12/2018</v>
      </c>
      <c r="G726">
        <f>WEEKDAY(calendar[[#This Row],[Date]],1)</f>
        <v>4</v>
      </c>
      <c r="H726" t="str">
        <f>TEXT(calendar[[#This Row],[WeekDay]],"dddd")</f>
        <v>Wednesday</v>
      </c>
      <c r="I726">
        <f>IF((INT(calendar[[#This Row],[Count]]/7)-calendar[[#This Row],[Count]]/7)&lt;0,I725,I725+1)</f>
        <v>104</v>
      </c>
      <c r="J726">
        <f t="shared" si="59"/>
        <v>724</v>
      </c>
      <c r="K726">
        <f>IF(calendar[[#This Row],[Month]]&lt;4,1,IF(calendar[[#This Row],[Month]]&lt;7,2,IF(calendar[[#This Row],[Month]]&lt;10,3,4)))</f>
        <v>4</v>
      </c>
      <c r="L726">
        <f>IFERROR(IF(VLOOKUP(calendar[[#This Row],[Date]],BH!A:A,1,)&lt;&gt;"",1,0),0)</f>
        <v>0</v>
      </c>
      <c r="M726">
        <f>IFERROR(IF(VLOOKUP(calendar[[#This Row],[Date]],BH!C:C,1,)&lt;&gt;"",1,0),0)</f>
        <v>0</v>
      </c>
      <c r="N726">
        <f>IFERROR(IF(VLOOKUP(calendar[[#This Row],[Date]],BH!E:E,1,)&lt;&gt;"",1,0),0)</f>
        <v>0</v>
      </c>
      <c r="O726">
        <f>IFERROR(IF(VLOOKUP(calendar[[#This Row],[Date]],BH!G:G,1,)&lt;&gt;"",1,0),0)</f>
        <v>0</v>
      </c>
      <c r="P726">
        <f>IF(OR(calendar[[#This Row],[UK_BH]]=1,calendar[[#This Row],[WeekDay]]=1, calendar[[#This Row],[WeekDay]]=7),P725,P725+1)</f>
        <v>518</v>
      </c>
      <c r="Q726">
        <f>IF(OR(calendar[[#This Row],[FR_BH]]=1,calendar[[#This Row],[WeekDay]]=1, calendar[[#This Row],[WeekDay]]=7),P725,P725+1)</f>
        <v>518</v>
      </c>
      <c r="R726">
        <f>IF(OR(calendar[[#This Row],[SP_BH]]=1,calendar[[#This Row],[WeekDay]]=1, calendar[[#This Row],[WeekDay]]=7),P725,P725+1)</f>
        <v>518</v>
      </c>
      <c r="S726">
        <f>IF(OR(calendar[[#This Row],[PT_BH]]=1,calendar[[#This Row],[WeekDay]]=1, calendar[[#This Row],[WeekDay]]=7),P725,P725+1)</f>
        <v>518</v>
      </c>
    </row>
    <row r="727" spans="1:19" x14ac:dyDescent="0.25">
      <c r="A727" s="2">
        <v>43461</v>
      </c>
      <c r="B727" s="1">
        <f t="shared" si="58"/>
        <v>52</v>
      </c>
      <c r="C727">
        <f t="shared" si="60"/>
        <v>12</v>
      </c>
      <c r="D727" t="str">
        <f t="shared" si="61"/>
        <v>December</v>
      </c>
      <c r="E727">
        <f t="shared" si="62"/>
        <v>2018</v>
      </c>
      <c r="F727" t="str">
        <f>CONCATENATE(calendar[[#This Row],[Month]],"/",calendar[[#This Row],[Year]])</f>
        <v>12/2018</v>
      </c>
      <c r="G727">
        <f>WEEKDAY(calendar[[#This Row],[Date]],1)</f>
        <v>5</v>
      </c>
      <c r="H727" t="str">
        <f>TEXT(calendar[[#This Row],[WeekDay]],"dddd")</f>
        <v>Thursday</v>
      </c>
      <c r="I727">
        <f>IF((INT(calendar[[#This Row],[Count]]/7)-calendar[[#This Row],[Count]]/7)&lt;0,I726,I726+1)</f>
        <v>104</v>
      </c>
      <c r="J727">
        <f t="shared" si="59"/>
        <v>725</v>
      </c>
      <c r="K727">
        <f>IF(calendar[[#This Row],[Month]]&lt;4,1,IF(calendar[[#This Row],[Month]]&lt;7,2,IF(calendar[[#This Row],[Month]]&lt;10,3,4)))</f>
        <v>4</v>
      </c>
      <c r="L727">
        <f>IFERROR(IF(VLOOKUP(calendar[[#This Row],[Date]],BH!A:A,1,)&lt;&gt;"",1,0),0)</f>
        <v>0</v>
      </c>
      <c r="M727">
        <f>IFERROR(IF(VLOOKUP(calendar[[#This Row],[Date]],BH!C:C,1,)&lt;&gt;"",1,0),0)</f>
        <v>0</v>
      </c>
      <c r="N727">
        <f>IFERROR(IF(VLOOKUP(calendar[[#This Row],[Date]],BH!E:E,1,)&lt;&gt;"",1,0),0)</f>
        <v>0</v>
      </c>
      <c r="O727">
        <f>IFERROR(IF(VLOOKUP(calendar[[#This Row],[Date]],BH!G:G,1,)&lt;&gt;"",1,0),0)</f>
        <v>0</v>
      </c>
      <c r="P727">
        <f>IF(OR(calendar[[#This Row],[UK_BH]]=1,calendar[[#This Row],[WeekDay]]=1, calendar[[#This Row],[WeekDay]]=7),P726,P726+1)</f>
        <v>519</v>
      </c>
      <c r="Q727">
        <f>IF(OR(calendar[[#This Row],[FR_BH]]=1,calendar[[#This Row],[WeekDay]]=1, calendar[[#This Row],[WeekDay]]=7),P726,P726+1)</f>
        <v>519</v>
      </c>
      <c r="R727">
        <f>IF(OR(calendar[[#This Row],[SP_BH]]=1,calendar[[#This Row],[WeekDay]]=1, calendar[[#This Row],[WeekDay]]=7),P726,P726+1)</f>
        <v>519</v>
      </c>
      <c r="S727">
        <f>IF(OR(calendar[[#This Row],[PT_BH]]=1,calendar[[#This Row],[WeekDay]]=1, calendar[[#This Row],[WeekDay]]=7),P726,P726+1)</f>
        <v>519</v>
      </c>
    </row>
    <row r="728" spans="1:19" x14ac:dyDescent="0.25">
      <c r="A728" s="2">
        <v>43462</v>
      </c>
      <c r="B728" s="1">
        <f t="shared" si="58"/>
        <v>52</v>
      </c>
      <c r="C728">
        <f t="shared" si="60"/>
        <v>12</v>
      </c>
      <c r="D728" t="str">
        <f t="shared" si="61"/>
        <v>December</v>
      </c>
      <c r="E728">
        <f t="shared" si="62"/>
        <v>2018</v>
      </c>
      <c r="F728" t="str">
        <f>CONCATENATE(calendar[[#This Row],[Month]],"/",calendar[[#This Row],[Year]])</f>
        <v>12/2018</v>
      </c>
      <c r="G728">
        <f>WEEKDAY(calendar[[#This Row],[Date]],1)</f>
        <v>6</v>
      </c>
      <c r="H728" t="str">
        <f>TEXT(calendar[[#This Row],[WeekDay]],"dddd")</f>
        <v>Friday</v>
      </c>
      <c r="I728">
        <f>IF((INT(calendar[[#This Row],[Count]]/7)-calendar[[#This Row],[Count]]/7)&lt;0,I727,I727+1)</f>
        <v>104</v>
      </c>
      <c r="J728">
        <f t="shared" si="59"/>
        <v>726</v>
      </c>
      <c r="K728">
        <f>IF(calendar[[#This Row],[Month]]&lt;4,1,IF(calendar[[#This Row],[Month]]&lt;7,2,IF(calendar[[#This Row],[Month]]&lt;10,3,4)))</f>
        <v>4</v>
      </c>
      <c r="L728">
        <f>IFERROR(IF(VLOOKUP(calendar[[#This Row],[Date]],BH!A:A,1,)&lt;&gt;"",1,0),0)</f>
        <v>0</v>
      </c>
      <c r="M728">
        <f>IFERROR(IF(VLOOKUP(calendar[[#This Row],[Date]],BH!C:C,1,)&lt;&gt;"",1,0),0)</f>
        <v>0</v>
      </c>
      <c r="N728">
        <f>IFERROR(IF(VLOOKUP(calendar[[#This Row],[Date]],BH!E:E,1,)&lt;&gt;"",1,0),0)</f>
        <v>0</v>
      </c>
      <c r="O728">
        <f>IFERROR(IF(VLOOKUP(calendar[[#This Row],[Date]],BH!G:G,1,)&lt;&gt;"",1,0),0)</f>
        <v>0</v>
      </c>
      <c r="P728">
        <f>IF(OR(calendar[[#This Row],[UK_BH]]=1,calendar[[#This Row],[WeekDay]]=1, calendar[[#This Row],[WeekDay]]=7),P727,P727+1)</f>
        <v>520</v>
      </c>
      <c r="Q728">
        <f>IF(OR(calendar[[#This Row],[FR_BH]]=1,calendar[[#This Row],[WeekDay]]=1, calendar[[#This Row],[WeekDay]]=7),P727,P727+1)</f>
        <v>520</v>
      </c>
      <c r="R728">
        <f>IF(OR(calendar[[#This Row],[SP_BH]]=1,calendar[[#This Row],[WeekDay]]=1, calendar[[#This Row],[WeekDay]]=7),P727,P727+1)</f>
        <v>520</v>
      </c>
      <c r="S728">
        <f>IF(OR(calendar[[#This Row],[PT_BH]]=1,calendar[[#This Row],[WeekDay]]=1, calendar[[#This Row],[WeekDay]]=7),P727,P727+1)</f>
        <v>520</v>
      </c>
    </row>
    <row r="729" spans="1:19" x14ac:dyDescent="0.25">
      <c r="A729" s="2">
        <v>43463</v>
      </c>
      <c r="B729" s="1">
        <f t="shared" si="58"/>
        <v>52</v>
      </c>
      <c r="C729">
        <f t="shared" si="60"/>
        <v>12</v>
      </c>
      <c r="D729" t="str">
        <f t="shared" si="61"/>
        <v>December</v>
      </c>
      <c r="E729">
        <f t="shared" si="62"/>
        <v>2018</v>
      </c>
      <c r="F729" t="str">
        <f>CONCATENATE(calendar[[#This Row],[Month]],"/",calendar[[#This Row],[Year]])</f>
        <v>12/2018</v>
      </c>
      <c r="G729">
        <f>WEEKDAY(calendar[[#This Row],[Date]],1)</f>
        <v>7</v>
      </c>
      <c r="H729" t="str">
        <f>TEXT(calendar[[#This Row],[WeekDay]],"dddd")</f>
        <v>Saturday</v>
      </c>
      <c r="I729">
        <f>IF((INT(calendar[[#This Row],[Count]]/7)-calendar[[#This Row],[Count]]/7)&lt;0,I728,I728+1)</f>
        <v>104</v>
      </c>
      <c r="J729">
        <f t="shared" si="59"/>
        <v>727</v>
      </c>
      <c r="K729">
        <f>IF(calendar[[#This Row],[Month]]&lt;4,1,IF(calendar[[#This Row],[Month]]&lt;7,2,IF(calendar[[#This Row],[Month]]&lt;10,3,4)))</f>
        <v>4</v>
      </c>
      <c r="L729">
        <f>IFERROR(IF(VLOOKUP(calendar[[#This Row],[Date]],BH!A:A,1,)&lt;&gt;"",1,0),0)</f>
        <v>0</v>
      </c>
      <c r="M729">
        <f>IFERROR(IF(VLOOKUP(calendar[[#This Row],[Date]],BH!C:C,1,)&lt;&gt;"",1,0),0)</f>
        <v>0</v>
      </c>
      <c r="N729">
        <f>IFERROR(IF(VLOOKUP(calendar[[#This Row],[Date]],BH!E:E,1,)&lt;&gt;"",1,0),0)</f>
        <v>0</v>
      </c>
      <c r="O729">
        <f>IFERROR(IF(VLOOKUP(calendar[[#This Row],[Date]],BH!G:G,1,)&lt;&gt;"",1,0),0)</f>
        <v>0</v>
      </c>
      <c r="P729">
        <f>IF(OR(calendar[[#This Row],[UK_BH]]=1,calendar[[#This Row],[WeekDay]]=1, calendar[[#This Row],[WeekDay]]=7),P728,P728+1)</f>
        <v>520</v>
      </c>
      <c r="Q729">
        <f>IF(OR(calendar[[#This Row],[FR_BH]]=1,calendar[[#This Row],[WeekDay]]=1, calendar[[#This Row],[WeekDay]]=7),P728,P728+1)</f>
        <v>520</v>
      </c>
      <c r="R729">
        <f>IF(OR(calendar[[#This Row],[SP_BH]]=1,calendar[[#This Row],[WeekDay]]=1, calendar[[#This Row],[WeekDay]]=7),P728,P728+1)</f>
        <v>520</v>
      </c>
      <c r="S729">
        <f>IF(OR(calendar[[#This Row],[PT_BH]]=1,calendar[[#This Row],[WeekDay]]=1, calendar[[#This Row],[WeekDay]]=7),P728,P728+1)</f>
        <v>520</v>
      </c>
    </row>
    <row r="730" spans="1:19" x14ac:dyDescent="0.25">
      <c r="A730" s="2">
        <v>43464</v>
      </c>
      <c r="B730" s="1">
        <f t="shared" si="58"/>
        <v>53</v>
      </c>
      <c r="C730">
        <f t="shared" si="60"/>
        <v>12</v>
      </c>
      <c r="D730" t="str">
        <f t="shared" si="61"/>
        <v>December</v>
      </c>
      <c r="E730">
        <f t="shared" si="62"/>
        <v>2018</v>
      </c>
      <c r="F730" t="str">
        <f>CONCATENATE(calendar[[#This Row],[Month]],"/",calendar[[#This Row],[Year]])</f>
        <v>12/2018</v>
      </c>
      <c r="G730">
        <f>WEEKDAY(calendar[[#This Row],[Date]],1)</f>
        <v>1</v>
      </c>
      <c r="H730" t="str">
        <f>TEXT(calendar[[#This Row],[WeekDay]],"dddd")</f>
        <v>Sunday</v>
      </c>
      <c r="I730">
        <f>IF((INT(calendar[[#This Row],[Count]]/7)-calendar[[#This Row],[Count]]/7)&lt;0,I729,I729+1)</f>
        <v>105</v>
      </c>
      <c r="J730">
        <f t="shared" si="59"/>
        <v>728</v>
      </c>
      <c r="K730">
        <f>IF(calendar[[#This Row],[Month]]&lt;4,1,IF(calendar[[#This Row],[Month]]&lt;7,2,IF(calendar[[#This Row],[Month]]&lt;10,3,4)))</f>
        <v>4</v>
      </c>
      <c r="L730">
        <f>IFERROR(IF(VLOOKUP(calendar[[#This Row],[Date]],BH!A:A,1,)&lt;&gt;"",1,0),0)</f>
        <v>0</v>
      </c>
      <c r="M730">
        <f>IFERROR(IF(VLOOKUP(calendar[[#This Row],[Date]],BH!C:C,1,)&lt;&gt;"",1,0),0)</f>
        <v>0</v>
      </c>
      <c r="N730">
        <f>IFERROR(IF(VLOOKUP(calendar[[#This Row],[Date]],BH!E:E,1,)&lt;&gt;"",1,0),0)</f>
        <v>0</v>
      </c>
      <c r="O730">
        <f>IFERROR(IF(VLOOKUP(calendar[[#This Row],[Date]],BH!G:G,1,)&lt;&gt;"",1,0),0)</f>
        <v>0</v>
      </c>
      <c r="P730">
        <f>IF(OR(calendar[[#This Row],[UK_BH]]=1,calendar[[#This Row],[WeekDay]]=1, calendar[[#This Row],[WeekDay]]=7),P729,P729+1)</f>
        <v>520</v>
      </c>
      <c r="Q730">
        <f>IF(OR(calendar[[#This Row],[FR_BH]]=1,calendar[[#This Row],[WeekDay]]=1, calendar[[#This Row],[WeekDay]]=7),P729,P729+1)</f>
        <v>520</v>
      </c>
      <c r="R730">
        <f>IF(OR(calendar[[#This Row],[SP_BH]]=1,calendar[[#This Row],[WeekDay]]=1, calendar[[#This Row],[WeekDay]]=7),P729,P729+1)</f>
        <v>520</v>
      </c>
      <c r="S730">
        <f>IF(OR(calendar[[#This Row],[PT_BH]]=1,calendar[[#This Row],[WeekDay]]=1, calendar[[#This Row],[WeekDay]]=7),P729,P729+1)</f>
        <v>520</v>
      </c>
    </row>
    <row r="731" spans="1:19" x14ac:dyDescent="0.25">
      <c r="A731" s="2">
        <v>43465</v>
      </c>
      <c r="B731" s="1">
        <f t="shared" si="58"/>
        <v>53</v>
      </c>
      <c r="C731">
        <f t="shared" si="60"/>
        <v>12</v>
      </c>
      <c r="D731" t="str">
        <f t="shared" si="61"/>
        <v>December</v>
      </c>
      <c r="E731">
        <f t="shared" si="62"/>
        <v>2018</v>
      </c>
      <c r="F731" t="str">
        <f>CONCATENATE(calendar[[#This Row],[Month]],"/",calendar[[#This Row],[Year]])</f>
        <v>12/2018</v>
      </c>
      <c r="G731">
        <f>WEEKDAY(calendar[[#This Row],[Date]],1)</f>
        <v>2</v>
      </c>
      <c r="H731" t="str">
        <f>TEXT(calendar[[#This Row],[WeekDay]],"dddd")</f>
        <v>Monday</v>
      </c>
      <c r="I731">
        <f>IF((INT(calendar[[#This Row],[Count]]/7)-calendar[[#This Row],[Count]]/7)&lt;0,I730,I730+1)</f>
        <v>105</v>
      </c>
      <c r="J731">
        <f t="shared" si="59"/>
        <v>729</v>
      </c>
      <c r="K731">
        <f>IF(calendar[[#This Row],[Month]]&lt;4,1,IF(calendar[[#This Row],[Month]]&lt;7,2,IF(calendar[[#This Row],[Month]]&lt;10,3,4)))</f>
        <v>4</v>
      </c>
      <c r="L731">
        <f>IFERROR(IF(VLOOKUP(calendar[[#This Row],[Date]],BH!A:A,1,)&lt;&gt;"",1,0),0)</f>
        <v>0</v>
      </c>
      <c r="M731">
        <f>IFERROR(IF(VLOOKUP(calendar[[#This Row],[Date]],BH!C:C,1,)&lt;&gt;"",1,0),0)</f>
        <v>0</v>
      </c>
      <c r="N731">
        <f>IFERROR(IF(VLOOKUP(calendar[[#This Row],[Date]],BH!E:E,1,)&lt;&gt;"",1,0),0)</f>
        <v>0</v>
      </c>
      <c r="O731">
        <f>IFERROR(IF(VLOOKUP(calendar[[#This Row],[Date]],BH!G:G,1,)&lt;&gt;"",1,0),0)</f>
        <v>0</v>
      </c>
      <c r="P731">
        <f>IF(OR(calendar[[#This Row],[UK_BH]]=1,calendar[[#This Row],[WeekDay]]=1, calendar[[#This Row],[WeekDay]]=7),P730,P730+1)</f>
        <v>521</v>
      </c>
      <c r="Q731">
        <f>IF(OR(calendar[[#This Row],[FR_BH]]=1,calendar[[#This Row],[WeekDay]]=1, calendar[[#This Row],[WeekDay]]=7),P730,P730+1)</f>
        <v>521</v>
      </c>
      <c r="R731">
        <f>IF(OR(calendar[[#This Row],[SP_BH]]=1,calendar[[#This Row],[WeekDay]]=1, calendar[[#This Row],[WeekDay]]=7),P730,P730+1)</f>
        <v>521</v>
      </c>
      <c r="S731">
        <f>IF(OR(calendar[[#This Row],[PT_BH]]=1,calendar[[#This Row],[WeekDay]]=1, calendar[[#This Row],[WeekDay]]=7),P730,P730+1)</f>
        <v>521</v>
      </c>
    </row>
    <row r="732" spans="1:19" x14ac:dyDescent="0.25">
      <c r="A732" s="2">
        <v>43466</v>
      </c>
      <c r="B732" s="1">
        <f t="shared" si="58"/>
        <v>1</v>
      </c>
      <c r="C732">
        <f t="shared" si="60"/>
        <v>1</v>
      </c>
      <c r="D732" t="str">
        <f t="shared" si="61"/>
        <v>January</v>
      </c>
      <c r="E732">
        <f t="shared" si="62"/>
        <v>2019</v>
      </c>
      <c r="F732" t="str">
        <f>CONCATENATE(calendar[[#This Row],[Month]],"/",calendar[[#This Row],[Year]])</f>
        <v>1/2019</v>
      </c>
      <c r="G732">
        <f>WEEKDAY(calendar[[#This Row],[Date]],1)</f>
        <v>3</v>
      </c>
      <c r="H732" t="str">
        <f>TEXT(calendar[[#This Row],[WeekDay]],"dddd")</f>
        <v>Tuesday</v>
      </c>
      <c r="I732">
        <f>IF((INT(calendar[[#This Row],[Count]]/7)-calendar[[#This Row],[Count]]/7)&lt;0,I731,I731+1)</f>
        <v>105</v>
      </c>
      <c r="J732">
        <f t="shared" si="59"/>
        <v>730</v>
      </c>
      <c r="K732">
        <f>IF(calendar[[#This Row],[Month]]&lt;4,1,IF(calendar[[#This Row],[Month]]&lt;7,2,IF(calendar[[#This Row],[Month]]&lt;10,3,4)))</f>
        <v>1</v>
      </c>
      <c r="L732">
        <f>IFERROR(IF(VLOOKUP(calendar[[#This Row],[Date]],BH!A:A,1,)&lt;&gt;"",1,0),0)</f>
        <v>0</v>
      </c>
      <c r="M732">
        <f>IFERROR(IF(VLOOKUP(calendar[[#This Row],[Date]],BH!C:C,1,)&lt;&gt;"",1,0),0)</f>
        <v>0</v>
      </c>
      <c r="N732">
        <f>IFERROR(IF(VLOOKUP(calendar[[#This Row],[Date]],BH!E:E,1,)&lt;&gt;"",1,0),0)</f>
        <v>0</v>
      </c>
      <c r="O732">
        <f>IFERROR(IF(VLOOKUP(calendar[[#This Row],[Date]],BH!G:G,1,)&lt;&gt;"",1,0),0)</f>
        <v>0</v>
      </c>
      <c r="P732">
        <f>IF(OR(calendar[[#This Row],[UK_BH]]=1,calendar[[#This Row],[WeekDay]]=1, calendar[[#This Row],[WeekDay]]=7),P731,P731+1)</f>
        <v>522</v>
      </c>
      <c r="Q732">
        <f>IF(OR(calendar[[#This Row],[FR_BH]]=1,calendar[[#This Row],[WeekDay]]=1, calendar[[#This Row],[WeekDay]]=7),P731,P731+1)</f>
        <v>522</v>
      </c>
      <c r="R732">
        <f>IF(OR(calendar[[#This Row],[SP_BH]]=1,calendar[[#This Row],[WeekDay]]=1, calendar[[#This Row],[WeekDay]]=7),P731,P731+1)</f>
        <v>522</v>
      </c>
      <c r="S732">
        <f>IF(OR(calendar[[#This Row],[PT_BH]]=1,calendar[[#This Row],[WeekDay]]=1, calendar[[#This Row],[WeekDay]]=7),P731,P731+1)</f>
        <v>522</v>
      </c>
    </row>
    <row r="733" spans="1:19" x14ac:dyDescent="0.25">
      <c r="A733" s="2">
        <v>43467</v>
      </c>
      <c r="B733" s="1">
        <f t="shared" si="58"/>
        <v>1</v>
      </c>
      <c r="C733">
        <f t="shared" si="60"/>
        <v>1</v>
      </c>
      <c r="D733" t="str">
        <f t="shared" si="61"/>
        <v>January</v>
      </c>
      <c r="E733">
        <f t="shared" si="62"/>
        <v>2019</v>
      </c>
      <c r="F733" t="str">
        <f>CONCATENATE(calendar[[#This Row],[Month]],"/",calendar[[#This Row],[Year]])</f>
        <v>1/2019</v>
      </c>
      <c r="G733">
        <f>WEEKDAY(calendar[[#This Row],[Date]],1)</f>
        <v>4</v>
      </c>
      <c r="H733" t="str">
        <f>TEXT(calendar[[#This Row],[WeekDay]],"dddd")</f>
        <v>Wednesday</v>
      </c>
      <c r="I733">
        <f>IF((INT(calendar[[#This Row],[Count]]/7)-calendar[[#This Row],[Count]]/7)&lt;0,I732,I732+1)</f>
        <v>105</v>
      </c>
      <c r="J733">
        <f t="shared" si="59"/>
        <v>731</v>
      </c>
      <c r="K733">
        <f>IF(calendar[[#This Row],[Month]]&lt;4,1,IF(calendar[[#This Row],[Month]]&lt;7,2,IF(calendar[[#This Row],[Month]]&lt;10,3,4)))</f>
        <v>1</v>
      </c>
      <c r="L733">
        <f>IFERROR(IF(VLOOKUP(calendar[[#This Row],[Date]],BH!A:A,1,)&lt;&gt;"",1,0),0)</f>
        <v>0</v>
      </c>
      <c r="M733">
        <f>IFERROR(IF(VLOOKUP(calendar[[#This Row],[Date]],BH!C:C,1,)&lt;&gt;"",1,0),0)</f>
        <v>0</v>
      </c>
      <c r="N733">
        <f>IFERROR(IF(VLOOKUP(calendar[[#This Row],[Date]],BH!E:E,1,)&lt;&gt;"",1,0),0)</f>
        <v>0</v>
      </c>
      <c r="O733">
        <f>IFERROR(IF(VLOOKUP(calendar[[#This Row],[Date]],BH!G:G,1,)&lt;&gt;"",1,0),0)</f>
        <v>0</v>
      </c>
      <c r="P733">
        <f>IF(OR(calendar[[#This Row],[UK_BH]]=1,calendar[[#This Row],[WeekDay]]=1, calendar[[#This Row],[WeekDay]]=7),P732,P732+1)</f>
        <v>523</v>
      </c>
      <c r="Q733">
        <f>IF(OR(calendar[[#This Row],[FR_BH]]=1,calendar[[#This Row],[WeekDay]]=1, calendar[[#This Row],[WeekDay]]=7),P732,P732+1)</f>
        <v>523</v>
      </c>
      <c r="R733">
        <f>IF(OR(calendar[[#This Row],[SP_BH]]=1,calendar[[#This Row],[WeekDay]]=1, calendar[[#This Row],[WeekDay]]=7),P732,P732+1)</f>
        <v>523</v>
      </c>
      <c r="S733">
        <f>IF(OR(calendar[[#This Row],[PT_BH]]=1,calendar[[#This Row],[WeekDay]]=1, calendar[[#This Row],[WeekDay]]=7),P732,P732+1)</f>
        <v>523</v>
      </c>
    </row>
    <row r="734" spans="1:19" x14ac:dyDescent="0.25">
      <c r="A734" s="2">
        <v>43468</v>
      </c>
      <c r="B734" s="1">
        <f t="shared" si="58"/>
        <v>1</v>
      </c>
      <c r="C734">
        <f t="shared" si="60"/>
        <v>1</v>
      </c>
      <c r="D734" t="str">
        <f t="shared" si="61"/>
        <v>January</v>
      </c>
      <c r="E734">
        <f t="shared" si="62"/>
        <v>2019</v>
      </c>
      <c r="F734" t="str">
        <f>CONCATENATE(calendar[[#This Row],[Month]],"/",calendar[[#This Row],[Year]])</f>
        <v>1/2019</v>
      </c>
      <c r="G734">
        <f>WEEKDAY(calendar[[#This Row],[Date]],1)</f>
        <v>5</v>
      </c>
      <c r="H734" t="str">
        <f>TEXT(calendar[[#This Row],[WeekDay]],"dddd")</f>
        <v>Thursday</v>
      </c>
      <c r="I734">
        <f>IF((INT(calendar[[#This Row],[Count]]/7)-calendar[[#This Row],[Count]]/7)&lt;0,I733,I733+1)</f>
        <v>105</v>
      </c>
      <c r="J734">
        <f t="shared" si="59"/>
        <v>732</v>
      </c>
      <c r="K734">
        <f>IF(calendar[[#This Row],[Month]]&lt;4,1,IF(calendar[[#This Row],[Month]]&lt;7,2,IF(calendar[[#This Row],[Month]]&lt;10,3,4)))</f>
        <v>1</v>
      </c>
      <c r="L734">
        <f>IFERROR(IF(VLOOKUP(calendar[[#This Row],[Date]],BH!A:A,1,)&lt;&gt;"",1,0),0)</f>
        <v>0</v>
      </c>
      <c r="M734">
        <f>IFERROR(IF(VLOOKUP(calendar[[#This Row],[Date]],BH!C:C,1,)&lt;&gt;"",1,0),0)</f>
        <v>0</v>
      </c>
      <c r="N734">
        <f>IFERROR(IF(VLOOKUP(calendar[[#This Row],[Date]],BH!E:E,1,)&lt;&gt;"",1,0),0)</f>
        <v>0</v>
      </c>
      <c r="O734">
        <f>IFERROR(IF(VLOOKUP(calendar[[#This Row],[Date]],BH!G:G,1,)&lt;&gt;"",1,0),0)</f>
        <v>0</v>
      </c>
      <c r="P734">
        <f>IF(OR(calendar[[#This Row],[UK_BH]]=1,calendar[[#This Row],[WeekDay]]=1, calendar[[#This Row],[WeekDay]]=7),P733,P733+1)</f>
        <v>524</v>
      </c>
      <c r="Q734">
        <f>IF(OR(calendar[[#This Row],[FR_BH]]=1,calendar[[#This Row],[WeekDay]]=1, calendar[[#This Row],[WeekDay]]=7),P733,P733+1)</f>
        <v>524</v>
      </c>
      <c r="R734">
        <f>IF(OR(calendar[[#This Row],[SP_BH]]=1,calendar[[#This Row],[WeekDay]]=1, calendar[[#This Row],[WeekDay]]=7),P733,P733+1)</f>
        <v>524</v>
      </c>
      <c r="S734">
        <f>IF(OR(calendar[[#This Row],[PT_BH]]=1,calendar[[#This Row],[WeekDay]]=1, calendar[[#This Row],[WeekDay]]=7),P733,P733+1)</f>
        <v>524</v>
      </c>
    </row>
    <row r="735" spans="1:19" x14ac:dyDescent="0.25">
      <c r="A735" s="2">
        <v>43469</v>
      </c>
      <c r="B735" s="1">
        <f t="shared" si="58"/>
        <v>1</v>
      </c>
      <c r="C735">
        <f t="shared" si="60"/>
        <v>1</v>
      </c>
      <c r="D735" t="str">
        <f t="shared" si="61"/>
        <v>January</v>
      </c>
      <c r="E735">
        <f t="shared" si="62"/>
        <v>2019</v>
      </c>
      <c r="F735" t="str">
        <f>CONCATENATE(calendar[[#This Row],[Month]],"/",calendar[[#This Row],[Year]])</f>
        <v>1/2019</v>
      </c>
      <c r="G735">
        <f>WEEKDAY(calendar[[#This Row],[Date]],1)</f>
        <v>6</v>
      </c>
      <c r="H735" t="str">
        <f>TEXT(calendar[[#This Row],[WeekDay]],"dddd")</f>
        <v>Friday</v>
      </c>
      <c r="I735">
        <f>IF((INT(calendar[[#This Row],[Count]]/7)-calendar[[#This Row],[Count]]/7)&lt;0,I734,I734+1)</f>
        <v>105</v>
      </c>
      <c r="J735">
        <f t="shared" si="59"/>
        <v>733</v>
      </c>
      <c r="K735">
        <f>IF(calendar[[#This Row],[Month]]&lt;4,1,IF(calendar[[#This Row],[Month]]&lt;7,2,IF(calendar[[#This Row],[Month]]&lt;10,3,4)))</f>
        <v>1</v>
      </c>
      <c r="L735">
        <f>IFERROR(IF(VLOOKUP(calendar[[#This Row],[Date]],BH!A:A,1,)&lt;&gt;"",1,0),0)</f>
        <v>0</v>
      </c>
      <c r="M735">
        <f>IFERROR(IF(VLOOKUP(calendar[[#This Row],[Date]],BH!C:C,1,)&lt;&gt;"",1,0),0)</f>
        <v>0</v>
      </c>
      <c r="N735">
        <f>IFERROR(IF(VLOOKUP(calendar[[#This Row],[Date]],BH!E:E,1,)&lt;&gt;"",1,0),0)</f>
        <v>0</v>
      </c>
      <c r="O735">
        <f>IFERROR(IF(VLOOKUP(calendar[[#This Row],[Date]],BH!G:G,1,)&lt;&gt;"",1,0),0)</f>
        <v>0</v>
      </c>
      <c r="P735">
        <f>IF(OR(calendar[[#This Row],[UK_BH]]=1,calendar[[#This Row],[WeekDay]]=1, calendar[[#This Row],[WeekDay]]=7),P734,P734+1)</f>
        <v>525</v>
      </c>
      <c r="Q735">
        <f>IF(OR(calendar[[#This Row],[FR_BH]]=1,calendar[[#This Row],[WeekDay]]=1, calendar[[#This Row],[WeekDay]]=7),P734,P734+1)</f>
        <v>525</v>
      </c>
      <c r="R735">
        <f>IF(OR(calendar[[#This Row],[SP_BH]]=1,calendar[[#This Row],[WeekDay]]=1, calendar[[#This Row],[WeekDay]]=7),P734,P734+1)</f>
        <v>525</v>
      </c>
      <c r="S735">
        <f>IF(OR(calendar[[#This Row],[PT_BH]]=1,calendar[[#This Row],[WeekDay]]=1, calendar[[#This Row],[WeekDay]]=7),P734,P734+1)</f>
        <v>525</v>
      </c>
    </row>
    <row r="736" spans="1:19" x14ac:dyDescent="0.25">
      <c r="A736" s="2">
        <v>43470</v>
      </c>
      <c r="B736" s="1">
        <f t="shared" si="58"/>
        <v>1</v>
      </c>
      <c r="C736">
        <f t="shared" si="60"/>
        <v>1</v>
      </c>
      <c r="D736" t="str">
        <f t="shared" si="61"/>
        <v>January</v>
      </c>
      <c r="E736">
        <f t="shared" si="62"/>
        <v>2019</v>
      </c>
      <c r="F736" t="str">
        <f>CONCATENATE(calendar[[#This Row],[Month]],"/",calendar[[#This Row],[Year]])</f>
        <v>1/2019</v>
      </c>
      <c r="G736">
        <f>WEEKDAY(calendar[[#This Row],[Date]],1)</f>
        <v>7</v>
      </c>
      <c r="H736" t="str">
        <f>TEXT(calendar[[#This Row],[WeekDay]],"dddd")</f>
        <v>Saturday</v>
      </c>
      <c r="I736">
        <f>IF((INT(calendar[[#This Row],[Count]]/7)-calendar[[#This Row],[Count]]/7)&lt;0,I735,I735+1)</f>
        <v>105</v>
      </c>
      <c r="J736">
        <f t="shared" si="59"/>
        <v>734</v>
      </c>
      <c r="K736">
        <f>IF(calendar[[#This Row],[Month]]&lt;4,1,IF(calendar[[#This Row],[Month]]&lt;7,2,IF(calendar[[#This Row],[Month]]&lt;10,3,4)))</f>
        <v>1</v>
      </c>
      <c r="L736">
        <f>IFERROR(IF(VLOOKUP(calendar[[#This Row],[Date]],BH!A:A,1,)&lt;&gt;"",1,0),0)</f>
        <v>0</v>
      </c>
      <c r="M736">
        <f>IFERROR(IF(VLOOKUP(calendar[[#This Row],[Date]],BH!C:C,1,)&lt;&gt;"",1,0),0)</f>
        <v>0</v>
      </c>
      <c r="N736">
        <f>IFERROR(IF(VLOOKUP(calendar[[#This Row],[Date]],BH!E:E,1,)&lt;&gt;"",1,0),0)</f>
        <v>0</v>
      </c>
      <c r="O736">
        <f>IFERROR(IF(VLOOKUP(calendar[[#This Row],[Date]],BH!G:G,1,)&lt;&gt;"",1,0),0)</f>
        <v>0</v>
      </c>
      <c r="P736">
        <f>IF(OR(calendar[[#This Row],[UK_BH]]=1,calendar[[#This Row],[WeekDay]]=1, calendar[[#This Row],[WeekDay]]=7),P735,P735+1)</f>
        <v>525</v>
      </c>
      <c r="Q736">
        <f>IF(OR(calendar[[#This Row],[FR_BH]]=1,calendar[[#This Row],[WeekDay]]=1, calendar[[#This Row],[WeekDay]]=7),P735,P735+1)</f>
        <v>525</v>
      </c>
      <c r="R736">
        <f>IF(OR(calendar[[#This Row],[SP_BH]]=1,calendar[[#This Row],[WeekDay]]=1, calendar[[#This Row],[WeekDay]]=7),P735,P735+1)</f>
        <v>525</v>
      </c>
      <c r="S736">
        <f>IF(OR(calendar[[#This Row],[PT_BH]]=1,calendar[[#This Row],[WeekDay]]=1, calendar[[#This Row],[WeekDay]]=7),P735,P735+1)</f>
        <v>525</v>
      </c>
    </row>
    <row r="737" spans="1:19" x14ac:dyDescent="0.25">
      <c r="A737" s="2">
        <v>43471</v>
      </c>
      <c r="B737" s="1">
        <f t="shared" si="58"/>
        <v>2</v>
      </c>
      <c r="C737">
        <f t="shared" si="60"/>
        <v>1</v>
      </c>
      <c r="D737" t="str">
        <f t="shared" si="61"/>
        <v>January</v>
      </c>
      <c r="E737">
        <f t="shared" si="62"/>
        <v>2019</v>
      </c>
      <c r="F737" t="str">
        <f>CONCATENATE(calendar[[#This Row],[Month]],"/",calendar[[#This Row],[Year]])</f>
        <v>1/2019</v>
      </c>
      <c r="G737">
        <f>WEEKDAY(calendar[[#This Row],[Date]],1)</f>
        <v>1</v>
      </c>
      <c r="H737" t="str">
        <f>TEXT(calendar[[#This Row],[WeekDay]],"dddd")</f>
        <v>Sunday</v>
      </c>
      <c r="I737">
        <f>IF((INT(calendar[[#This Row],[Count]]/7)-calendar[[#This Row],[Count]]/7)&lt;0,I736,I736+1)</f>
        <v>106</v>
      </c>
      <c r="J737">
        <f t="shared" si="59"/>
        <v>735</v>
      </c>
      <c r="K737">
        <f>IF(calendar[[#This Row],[Month]]&lt;4,1,IF(calendar[[#This Row],[Month]]&lt;7,2,IF(calendar[[#This Row],[Month]]&lt;10,3,4)))</f>
        <v>1</v>
      </c>
      <c r="L737">
        <f>IFERROR(IF(VLOOKUP(calendar[[#This Row],[Date]],BH!A:A,1,)&lt;&gt;"",1,0),0)</f>
        <v>0</v>
      </c>
      <c r="M737">
        <f>IFERROR(IF(VLOOKUP(calendar[[#This Row],[Date]],BH!C:C,1,)&lt;&gt;"",1,0),0)</f>
        <v>0</v>
      </c>
      <c r="N737">
        <f>IFERROR(IF(VLOOKUP(calendar[[#This Row],[Date]],BH!E:E,1,)&lt;&gt;"",1,0),0)</f>
        <v>0</v>
      </c>
      <c r="O737">
        <f>IFERROR(IF(VLOOKUP(calendar[[#This Row],[Date]],BH!G:G,1,)&lt;&gt;"",1,0),0)</f>
        <v>0</v>
      </c>
      <c r="P737">
        <f>IF(OR(calendar[[#This Row],[UK_BH]]=1,calendar[[#This Row],[WeekDay]]=1, calendar[[#This Row],[WeekDay]]=7),P736,P736+1)</f>
        <v>525</v>
      </c>
      <c r="Q737">
        <f>IF(OR(calendar[[#This Row],[FR_BH]]=1,calendar[[#This Row],[WeekDay]]=1, calendar[[#This Row],[WeekDay]]=7),P736,P736+1)</f>
        <v>525</v>
      </c>
      <c r="R737">
        <f>IF(OR(calendar[[#This Row],[SP_BH]]=1,calendar[[#This Row],[WeekDay]]=1, calendar[[#This Row],[WeekDay]]=7),P736,P736+1)</f>
        <v>525</v>
      </c>
      <c r="S737">
        <f>IF(OR(calendar[[#This Row],[PT_BH]]=1,calendar[[#This Row],[WeekDay]]=1, calendar[[#This Row],[WeekDay]]=7),P736,P736+1)</f>
        <v>525</v>
      </c>
    </row>
    <row r="738" spans="1:19" x14ac:dyDescent="0.25">
      <c r="A738" s="2">
        <v>43472</v>
      </c>
      <c r="B738" s="1">
        <f t="shared" si="58"/>
        <v>2</v>
      </c>
      <c r="C738">
        <f t="shared" si="60"/>
        <v>1</v>
      </c>
      <c r="D738" t="str">
        <f t="shared" si="61"/>
        <v>January</v>
      </c>
      <c r="E738">
        <f t="shared" si="62"/>
        <v>2019</v>
      </c>
      <c r="F738" t="str">
        <f>CONCATENATE(calendar[[#This Row],[Month]],"/",calendar[[#This Row],[Year]])</f>
        <v>1/2019</v>
      </c>
      <c r="G738">
        <f>WEEKDAY(calendar[[#This Row],[Date]],1)</f>
        <v>2</v>
      </c>
      <c r="H738" t="str">
        <f>TEXT(calendar[[#This Row],[WeekDay]],"dddd")</f>
        <v>Monday</v>
      </c>
      <c r="I738">
        <f>IF((INT(calendar[[#This Row],[Count]]/7)-calendar[[#This Row],[Count]]/7)&lt;0,I737,I737+1)</f>
        <v>106</v>
      </c>
      <c r="J738">
        <f t="shared" si="59"/>
        <v>736</v>
      </c>
      <c r="K738">
        <f>IF(calendar[[#This Row],[Month]]&lt;4,1,IF(calendar[[#This Row],[Month]]&lt;7,2,IF(calendar[[#This Row],[Month]]&lt;10,3,4)))</f>
        <v>1</v>
      </c>
      <c r="L738">
        <f>IFERROR(IF(VLOOKUP(calendar[[#This Row],[Date]],BH!A:A,1,)&lt;&gt;"",1,0),0)</f>
        <v>0</v>
      </c>
      <c r="M738">
        <f>IFERROR(IF(VLOOKUP(calendar[[#This Row],[Date]],BH!C:C,1,)&lt;&gt;"",1,0),0)</f>
        <v>0</v>
      </c>
      <c r="N738">
        <f>IFERROR(IF(VLOOKUP(calendar[[#This Row],[Date]],BH!E:E,1,)&lt;&gt;"",1,0),0)</f>
        <v>0</v>
      </c>
      <c r="O738">
        <f>IFERROR(IF(VLOOKUP(calendar[[#This Row],[Date]],BH!G:G,1,)&lt;&gt;"",1,0),0)</f>
        <v>0</v>
      </c>
      <c r="P738">
        <f>IF(OR(calendar[[#This Row],[UK_BH]]=1,calendar[[#This Row],[WeekDay]]=1, calendar[[#This Row],[WeekDay]]=7),P737,P737+1)</f>
        <v>526</v>
      </c>
      <c r="Q738">
        <f>IF(OR(calendar[[#This Row],[FR_BH]]=1,calendar[[#This Row],[WeekDay]]=1, calendar[[#This Row],[WeekDay]]=7),P737,P737+1)</f>
        <v>526</v>
      </c>
      <c r="R738">
        <f>IF(OR(calendar[[#This Row],[SP_BH]]=1,calendar[[#This Row],[WeekDay]]=1, calendar[[#This Row],[WeekDay]]=7),P737,P737+1)</f>
        <v>526</v>
      </c>
      <c r="S738">
        <f>IF(OR(calendar[[#This Row],[PT_BH]]=1,calendar[[#This Row],[WeekDay]]=1, calendar[[#This Row],[WeekDay]]=7),P737,P737+1)</f>
        <v>526</v>
      </c>
    </row>
    <row r="739" spans="1:19" x14ac:dyDescent="0.25">
      <c r="A739" s="2">
        <v>43473</v>
      </c>
      <c r="B739" s="1">
        <f t="shared" si="58"/>
        <v>2</v>
      </c>
      <c r="C739">
        <f t="shared" si="60"/>
        <v>1</v>
      </c>
      <c r="D739" t="str">
        <f t="shared" si="61"/>
        <v>January</v>
      </c>
      <c r="E739">
        <f t="shared" si="62"/>
        <v>2019</v>
      </c>
      <c r="F739" t="str">
        <f>CONCATENATE(calendar[[#This Row],[Month]],"/",calendar[[#This Row],[Year]])</f>
        <v>1/2019</v>
      </c>
      <c r="G739">
        <f>WEEKDAY(calendar[[#This Row],[Date]],1)</f>
        <v>3</v>
      </c>
      <c r="H739" t="str">
        <f>TEXT(calendar[[#This Row],[WeekDay]],"dddd")</f>
        <v>Tuesday</v>
      </c>
      <c r="I739">
        <f>IF((INT(calendar[[#This Row],[Count]]/7)-calendar[[#This Row],[Count]]/7)&lt;0,I738,I738+1)</f>
        <v>106</v>
      </c>
      <c r="J739">
        <f t="shared" si="59"/>
        <v>737</v>
      </c>
      <c r="K739">
        <f>IF(calendar[[#This Row],[Month]]&lt;4,1,IF(calendar[[#This Row],[Month]]&lt;7,2,IF(calendar[[#This Row],[Month]]&lt;10,3,4)))</f>
        <v>1</v>
      </c>
      <c r="L739">
        <f>IFERROR(IF(VLOOKUP(calendar[[#This Row],[Date]],BH!A:A,1,)&lt;&gt;"",1,0),0)</f>
        <v>0</v>
      </c>
      <c r="M739">
        <f>IFERROR(IF(VLOOKUP(calendar[[#This Row],[Date]],BH!C:C,1,)&lt;&gt;"",1,0),0)</f>
        <v>0</v>
      </c>
      <c r="N739">
        <f>IFERROR(IF(VLOOKUP(calendar[[#This Row],[Date]],BH!E:E,1,)&lt;&gt;"",1,0),0)</f>
        <v>0</v>
      </c>
      <c r="O739">
        <f>IFERROR(IF(VLOOKUP(calendar[[#This Row],[Date]],BH!G:G,1,)&lt;&gt;"",1,0),0)</f>
        <v>0</v>
      </c>
      <c r="P739">
        <f>IF(OR(calendar[[#This Row],[UK_BH]]=1,calendar[[#This Row],[WeekDay]]=1, calendar[[#This Row],[WeekDay]]=7),P738,P738+1)</f>
        <v>527</v>
      </c>
      <c r="Q739">
        <f>IF(OR(calendar[[#This Row],[FR_BH]]=1,calendar[[#This Row],[WeekDay]]=1, calendar[[#This Row],[WeekDay]]=7),P738,P738+1)</f>
        <v>527</v>
      </c>
      <c r="R739">
        <f>IF(OR(calendar[[#This Row],[SP_BH]]=1,calendar[[#This Row],[WeekDay]]=1, calendar[[#This Row],[WeekDay]]=7),P738,P738+1)</f>
        <v>527</v>
      </c>
      <c r="S739">
        <f>IF(OR(calendar[[#This Row],[PT_BH]]=1,calendar[[#This Row],[WeekDay]]=1, calendar[[#This Row],[WeekDay]]=7),P738,P738+1)</f>
        <v>527</v>
      </c>
    </row>
    <row r="740" spans="1:19" x14ac:dyDescent="0.25">
      <c r="A740" s="2">
        <v>43474</v>
      </c>
      <c r="B740" s="1">
        <f t="shared" si="58"/>
        <v>2</v>
      </c>
      <c r="C740">
        <f t="shared" si="60"/>
        <v>1</v>
      </c>
      <c r="D740" t="str">
        <f t="shared" si="61"/>
        <v>January</v>
      </c>
      <c r="E740">
        <f t="shared" si="62"/>
        <v>2019</v>
      </c>
      <c r="F740" t="str">
        <f>CONCATENATE(calendar[[#This Row],[Month]],"/",calendar[[#This Row],[Year]])</f>
        <v>1/2019</v>
      </c>
      <c r="G740">
        <f>WEEKDAY(calendar[[#This Row],[Date]],1)</f>
        <v>4</v>
      </c>
      <c r="H740" t="str">
        <f>TEXT(calendar[[#This Row],[WeekDay]],"dddd")</f>
        <v>Wednesday</v>
      </c>
      <c r="I740">
        <f>IF((INT(calendar[[#This Row],[Count]]/7)-calendar[[#This Row],[Count]]/7)&lt;0,I739,I739+1)</f>
        <v>106</v>
      </c>
      <c r="J740">
        <f t="shared" si="59"/>
        <v>738</v>
      </c>
      <c r="K740">
        <f>IF(calendar[[#This Row],[Month]]&lt;4,1,IF(calendar[[#This Row],[Month]]&lt;7,2,IF(calendar[[#This Row],[Month]]&lt;10,3,4)))</f>
        <v>1</v>
      </c>
      <c r="L740">
        <f>IFERROR(IF(VLOOKUP(calendar[[#This Row],[Date]],BH!A:A,1,)&lt;&gt;"",1,0),0)</f>
        <v>0</v>
      </c>
      <c r="M740">
        <f>IFERROR(IF(VLOOKUP(calendar[[#This Row],[Date]],BH!C:C,1,)&lt;&gt;"",1,0),0)</f>
        <v>0</v>
      </c>
      <c r="N740">
        <f>IFERROR(IF(VLOOKUP(calendar[[#This Row],[Date]],BH!E:E,1,)&lt;&gt;"",1,0),0)</f>
        <v>0</v>
      </c>
      <c r="O740">
        <f>IFERROR(IF(VLOOKUP(calendar[[#This Row],[Date]],BH!G:G,1,)&lt;&gt;"",1,0),0)</f>
        <v>0</v>
      </c>
      <c r="P740">
        <f>IF(OR(calendar[[#This Row],[UK_BH]]=1,calendar[[#This Row],[WeekDay]]=1, calendar[[#This Row],[WeekDay]]=7),P739,P739+1)</f>
        <v>528</v>
      </c>
      <c r="Q740">
        <f>IF(OR(calendar[[#This Row],[FR_BH]]=1,calendar[[#This Row],[WeekDay]]=1, calendar[[#This Row],[WeekDay]]=7),P739,P739+1)</f>
        <v>528</v>
      </c>
      <c r="R740">
        <f>IF(OR(calendar[[#This Row],[SP_BH]]=1,calendar[[#This Row],[WeekDay]]=1, calendar[[#This Row],[WeekDay]]=7),P739,P739+1)</f>
        <v>528</v>
      </c>
      <c r="S740">
        <f>IF(OR(calendar[[#This Row],[PT_BH]]=1,calendar[[#This Row],[WeekDay]]=1, calendar[[#This Row],[WeekDay]]=7),P739,P739+1)</f>
        <v>528</v>
      </c>
    </row>
    <row r="741" spans="1:19" x14ac:dyDescent="0.25">
      <c r="A741" s="2">
        <v>43475</v>
      </c>
      <c r="B741" s="1">
        <f t="shared" si="58"/>
        <v>2</v>
      </c>
      <c r="C741">
        <f t="shared" si="60"/>
        <v>1</v>
      </c>
      <c r="D741" t="str">
        <f t="shared" si="61"/>
        <v>January</v>
      </c>
      <c r="E741">
        <f t="shared" si="62"/>
        <v>2019</v>
      </c>
      <c r="F741" t="str">
        <f>CONCATENATE(calendar[[#This Row],[Month]],"/",calendar[[#This Row],[Year]])</f>
        <v>1/2019</v>
      </c>
      <c r="G741">
        <f>WEEKDAY(calendar[[#This Row],[Date]],1)</f>
        <v>5</v>
      </c>
      <c r="H741" t="str">
        <f>TEXT(calendar[[#This Row],[WeekDay]],"dddd")</f>
        <v>Thursday</v>
      </c>
      <c r="I741">
        <f>IF((INT(calendar[[#This Row],[Count]]/7)-calendar[[#This Row],[Count]]/7)&lt;0,I740,I740+1)</f>
        <v>106</v>
      </c>
      <c r="J741">
        <f t="shared" si="59"/>
        <v>739</v>
      </c>
      <c r="K741">
        <f>IF(calendar[[#This Row],[Month]]&lt;4,1,IF(calendar[[#This Row],[Month]]&lt;7,2,IF(calendar[[#This Row],[Month]]&lt;10,3,4)))</f>
        <v>1</v>
      </c>
      <c r="L741">
        <f>IFERROR(IF(VLOOKUP(calendar[[#This Row],[Date]],BH!A:A,1,)&lt;&gt;"",1,0),0)</f>
        <v>0</v>
      </c>
      <c r="M741">
        <f>IFERROR(IF(VLOOKUP(calendar[[#This Row],[Date]],BH!C:C,1,)&lt;&gt;"",1,0),0)</f>
        <v>0</v>
      </c>
      <c r="N741">
        <f>IFERROR(IF(VLOOKUP(calendar[[#This Row],[Date]],BH!E:E,1,)&lt;&gt;"",1,0),0)</f>
        <v>0</v>
      </c>
      <c r="O741">
        <f>IFERROR(IF(VLOOKUP(calendar[[#This Row],[Date]],BH!G:G,1,)&lt;&gt;"",1,0),0)</f>
        <v>0</v>
      </c>
      <c r="P741">
        <f>IF(OR(calendar[[#This Row],[UK_BH]]=1,calendar[[#This Row],[WeekDay]]=1, calendar[[#This Row],[WeekDay]]=7),P740,P740+1)</f>
        <v>529</v>
      </c>
      <c r="Q741">
        <f>IF(OR(calendar[[#This Row],[FR_BH]]=1,calendar[[#This Row],[WeekDay]]=1, calendar[[#This Row],[WeekDay]]=7),P740,P740+1)</f>
        <v>529</v>
      </c>
      <c r="R741">
        <f>IF(OR(calendar[[#This Row],[SP_BH]]=1,calendar[[#This Row],[WeekDay]]=1, calendar[[#This Row],[WeekDay]]=7),P740,P740+1)</f>
        <v>529</v>
      </c>
      <c r="S741">
        <f>IF(OR(calendar[[#This Row],[PT_BH]]=1,calendar[[#This Row],[WeekDay]]=1, calendar[[#This Row],[WeekDay]]=7),P740,P740+1)</f>
        <v>529</v>
      </c>
    </row>
    <row r="742" spans="1:19" x14ac:dyDescent="0.25">
      <c r="A742" s="2">
        <v>43476</v>
      </c>
      <c r="B742" s="1">
        <f t="shared" si="58"/>
        <v>2</v>
      </c>
      <c r="C742">
        <f t="shared" si="60"/>
        <v>1</v>
      </c>
      <c r="D742" t="str">
        <f t="shared" si="61"/>
        <v>January</v>
      </c>
      <c r="E742">
        <f t="shared" si="62"/>
        <v>2019</v>
      </c>
      <c r="F742" t="str">
        <f>CONCATENATE(calendar[[#This Row],[Month]],"/",calendar[[#This Row],[Year]])</f>
        <v>1/2019</v>
      </c>
      <c r="G742">
        <f>WEEKDAY(calendar[[#This Row],[Date]],1)</f>
        <v>6</v>
      </c>
      <c r="H742" t="str">
        <f>TEXT(calendar[[#This Row],[WeekDay]],"dddd")</f>
        <v>Friday</v>
      </c>
      <c r="I742">
        <f>IF((INT(calendar[[#This Row],[Count]]/7)-calendar[[#This Row],[Count]]/7)&lt;0,I741,I741+1)</f>
        <v>106</v>
      </c>
      <c r="J742">
        <f t="shared" si="59"/>
        <v>740</v>
      </c>
      <c r="K742">
        <f>IF(calendar[[#This Row],[Month]]&lt;4,1,IF(calendar[[#This Row],[Month]]&lt;7,2,IF(calendar[[#This Row],[Month]]&lt;10,3,4)))</f>
        <v>1</v>
      </c>
      <c r="L742">
        <f>IFERROR(IF(VLOOKUP(calendar[[#This Row],[Date]],BH!A:A,1,)&lt;&gt;"",1,0),0)</f>
        <v>0</v>
      </c>
      <c r="M742">
        <f>IFERROR(IF(VLOOKUP(calendar[[#This Row],[Date]],BH!C:C,1,)&lt;&gt;"",1,0),0)</f>
        <v>0</v>
      </c>
      <c r="N742">
        <f>IFERROR(IF(VLOOKUP(calendar[[#This Row],[Date]],BH!E:E,1,)&lt;&gt;"",1,0),0)</f>
        <v>0</v>
      </c>
      <c r="O742">
        <f>IFERROR(IF(VLOOKUP(calendar[[#This Row],[Date]],BH!G:G,1,)&lt;&gt;"",1,0),0)</f>
        <v>0</v>
      </c>
      <c r="P742">
        <f>IF(OR(calendar[[#This Row],[UK_BH]]=1,calendar[[#This Row],[WeekDay]]=1, calendar[[#This Row],[WeekDay]]=7),P741,P741+1)</f>
        <v>530</v>
      </c>
      <c r="Q742">
        <f>IF(OR(calendar[[#This Row],[FR_BH]]=1,calendar[[#This Row],[WeekDay]]=1, calendar[[#This Row],[WeekDay]]=7),P741,P741+1)</f>
        <v>530</v>
      </c>
      <c r="R742">
        <f>IF(OR(calendar[[#This Row],[SP_BH]]=1,calendar[[#This Row],[WeekDay]]=1, calendar[[#This Row],[WeekDay]]=7),P741,P741+1)</f>
        <v>530</v>
      </c>
      <c r="S742">
        <f>IF(OR(calendar[[#This Row],[PT_BH]]=1,calendar[[#This Row],[WeekDay]]=1, calendar[[#This Row],[WeekDay]]=7),P741,P741+1)</f>
        <v>530</v>
      </c>
    </row>
    <row r="743" spans="1:19" x14ac:dyDescent="0.25">
      <c r="A743" s="2">
        <v>43477</v>
      </c>
      <c r="B743" s="1">
        <f t="shared" si="58"/>
        <v>2</v>
      </c>
      <c r="C743">
        <f t="shared" si="60"/>
        <v>1</v>
      </c>
      <c r="D743" t="str">
        <f t="shared" si="61"/>
        <v>January</v>
      </c>
      <c r="E743">
        <f t="shared" si="62"/>
        <v>2019</v>
      </c>
      <c r="F743" t="str">
        <f>CONCATENATE(calendar[[#This Row],[Month]],"/",calendar[[#This Row],[Year]])</f>
        <v>1/2019</v>
      </c>
      <c r="G743">
        <f>WEEKDAY(calendar[[#This Row],[Date]],1)</f>
        <v>7</v>
      </c>
      <c r="H743" t="str">
        <f>TEXT(calendar[[#This Row],[WeekDay]],"dddd")</f>
        <v>Saturday</v>
      </c>
      <c r="I743">
        <f>IF((INT(calendar[[#This Row],[Count]]/7)-calendar[[#This Row],[Count]]/7)&lt;0,I742,I742+1)</f>
        <v>106</v>
      </c>
      <c r="J743">
        <f t="shared" si="59"/>
        <v>741</v>
      </c>
      <c r="K743">
        <f>IF(calendar[[#This Row],[Month]]&lt;4,1,IF(calendar[[#This Row],[Month]]&lt;7,2,IF(calendar[[#This Row],[Month]]&lt;10,3,4)))</f>
        <v>1</v>
      </c>
      <c r="L743">
        <f>IFERROR(IF(VLOOKUP(calendar[[#This Row],[Date]],BH!A:A,1,)&lt;&gt;"",1,0),0)</f>
        <v>0</v>
      </c>
      <c r="M743">
        <f>IFERROR(IF(VLOOKUP(calendar[[#This Row],[Date]],BH!C:C,1,)&lt;&gt;"",1,0),0)</f>
        <v>0</v>
      </c>
      <c r="N743">
        <f>IFERROR(IF(VLOOKUP(calendar[[#This Row],[Date]],BH!E:E,1,)&lt;&gt;"",1,0),0)</f>
        <v>0</v>
      </c>
      <c r="O743">
        <f>IFERROR(IF(VLOOKUP(calendar[[#This Row],[Date]],BH!G:G,1,)&lt;&gt;"",1,0),0)</f>
        <v>0</v>
      </c>
      <c r="P743">
        <f>IF(OR(calendar[[#This Row],[UK_BH]]=1,calendar[[#This Row],[WeekDay]]=1, calendar[[#This Row],[WeekDay]]=7),P742,P742+1)</f>
        <v>530</v>
      </c>
      <c r="Q743">
        <f>IF(OR(calendar[[#This Row],[FR_BH]]=1,calendar[[#This Row],[WeekDay]]=1, calendar[[#This Row],[WeekDay]]=7),P742,P742+1)</f>
        <v>530</v>
      </c>
      <c r="R743">
        <f>IF(OR(calendar[[#This Row],[SP_BH]]=1,calendar[[#This Row],[WeekDay]]=1, calendar[[#This Row],[WeekDay]]=7),P742,P742+1)</f>
        <v>530</v>
      </c>
      <c r="S743">
        <f>IF(OR(calendar[[#This Row],[PT_BH]]=1,calendar[[#This Row],[WeekDay]]=1, calendar[[#This Row],[WeekDay]]=7),P742,P742+1)</f>
        <v>530</v>
      </c>
    </row>
    <row r="744" spans="1:19" x14ac:dyDescent="0.25">
      <c r="A744" s="2">
        <v>43478</v>
      </c>
      <c r="B744" s="1">
        <f t="shared" si="58"/>
        <v>3</v>
      </c>
      <c r="C744">
        <f t="shared" si="60"/>
        <v>1</v>
      </c>
      <c r="D744" t="str">
        <f t="shared" si="61"/>
        <v>January</v>
      </c>
      <c r="E744">
        <f t="shared" si="62"/>
        <v>2019</v>
      </c>
      <c r="F744" t="str">
        <f>CONCATENATE(calendar[[#This Row],[Month]],"/",calendar[[#This Row],[Year]])</f>
        <v>1/2019</v>
      </c>
      <c r="G744">
        <f>WEEKDAY(calendar[[#This Row],[Date]],1)</f>
        <v>1</v>
      </c>
      <c r="H744" t="str">
        <f>TEXT(calendar[[#This Row],[WeekDay]],"dddd")</f>
        <v>Sunday</v>
      </c>
      <c r="I744">
        <f>IF((INT(calendar[[#This Row],[Count]]/7)-calendar[[#This Row],[Count]]/7)&lt;0,I743,I743+1)</f>
        <v>107</v>
      </c>
      <c r="J744">
        <f t="shared" si="59"/>
        <v>742</v>
      </c>
      <c r="K744">
        <f>IF(calendar[[#This Row],[Month]]&lt;4,1,IF(calendar[[#This Row],[Month]]&lt;7,2,IF(calendar[[#This Row],[Month]]&lt;10,3,4)))</f>
        <v>1</v>
      </c>
      <c r="L744">
        <f>IFERROR(IF(VLOOKUP(calendar[[#This Row],[Date]],BH!A:A,1,)&lt;&gt;"",1,0),0)</f>
        <v>0</v>
      </c>
      <c r="M744">
        <f>IFERROR(IF(VLOOKUP(calendar[[#This Row],[Date]],BH!C:C,1,)&lt;&gt;"",1,0),0)</f>
        <v>0</v>
      </c>
      <c r="N744">
        <f>IFERROR(IF(VLOOKUP(calendar[[#This Row],[Date]],BH!E:E,1,)&lt;&gt;"",1,0),0)</f>
        <v>0</v>
      </c>
      <c r="O744">
        <f>IFERROR(IF(VLOOKUP(calendar[[#This Row],[Date]],BH!G:G,1,)&lt;&gt;"",1,0),0)</f>
        <v>0</v>
      </c>
      <c r="P744">
        <f>IF(OR(calendar[[#This Row],[UK_BH]]=1,calendar[[#This Row],[WeekDay]]=1, calendar[[#This Row],[WeekDay]]=7),P743,P743+1)</f>
        <v>530</v>
      </c>
      <c r="Q744">
        <f>IF(OR(calendar[[#This Row],[FR_BH]]=1,calendar[[#This Row],[WeekDay]]=1, calendar[[#This Row],[WeekDay]]=7),P743,P743+1)</f>
        <v>530</v>
      </c>
      <c r="R744">
        <f>IF(OR(calendar[[#This Row],[SP_BH]]=1,calendar[[#This Row],[WeekDay]]=1, calendar[[#This Row],[WeekDay]]=7),P743,P743+1)</f>
        <v>530</v>
      </c>
      <c r="S744">
        <f>IF(OR(calendar[[#This Row],[PT_BH]]=1,calendar[[#This Row],[WeekDay]]=1, calendar[[#This Row],[WeekDay]]=7),P743,P743+1)</f>
        <v>530</v>
      </c>
    </row>
    <row r="745" spans="1:19" x14ac:dyDescent="0.25">
      <c r="A745" s="2">
        <v>43479</v>
      </c>
      <c r="B745" s="1">
        <f t="shared" si="58"/>
        <v>3</v>
      </c>
      <c r="C745">
        <f t="shared" si="60"/>
        <v>1</v>
      </c>
      <c r="D745" t="str">
        <f t="shared" si="61"/>
        <v>January</v>
      </c>
      <c r="E745">
        <f t="shared" si="62"/>
        <v>2019</v>
      </c>
      <c r="F745" t="str">
        <f>CONCATENATE(calendar[[#This Row],[Month]],"/",calendar[[#This Row],[Year]])</f>
        <v>1/2019</v>
      </c>
      <c r="G745">
        <f>WEEKDAY(calendar[[#This Row],[Date]],1)</f>
        <v>2</v>
      </c>
      <c r="H745" t="str">
        <f>TEXT(calendar[[#This Row],[WeekDay]],"dddd")</f>
        <v>Monday</v>
      </c>
      <c r="I745">
        <f>IF((INT(calendar[[#This Row],[Count]]/7)-calendar[[#This Row],[Count]]/7)&lt;0,I744,I744+1)</f>
        <v>107</v>
      </c>
      <c r="J745">
        <f t="shared" si="59"/>
        <v>743</v>
      </c>
      <c r="K745">
        <f>IF(calendar[[#This Row],[Month]]&lt;4,1,IF(calendar[[#This Row],[Month]]&lt;7,2,IF(calendar[[#This Row],[Month]]&lt;10,3,4)))</f>
        <v>1</v>
      </c>
      <c r="L745">
        <f>IFERROR(IF(VLOOKUP(calendar[[#This Row],[Date]],BH!A:A,1,)&lt;&gt;"",1,0),0)</f>
        <v>0</v>
      </c>
      <c r="M745">
        <f>IFERROR(IF(VLOOKUP(calendar[[#This Row],[Date]],BH!C:C,1,)&lt;&gt;"",1,0),0)</f>
        <v>0</v>
      </c>
      <c r="N745">
        <f>IFERROR(IF(VLOOKUP(calendar[[#This Row],[Date]],BH!E:E,1,)&lt;&gt;"",1,0),0)</f>
        <v>0</v>
      </c>
      <c r="O745">
        <f>IFERROR(IF(VLOOKUP(calendar[[#This Row],[Date]],BH!G:G,1,)&lt;&gt;"",1,0),0)</f>
        <v>0</v>
      </c>
      <c r="P745">
        <f>IF(OR(calendar[[#This Row],[UK_BH]]=1,calendar[[#This Row],[WeekDay]]=1, calendar[[#This Row],[WeekDay]]=7),P744,P744+1)</f>
        <v>531</v>
      </c>
      <c r="Q745">
        <f>IF(OR(calendar[[#This Row],[FR_BH]]=1,calendar[[#This Row],[WeekDay]]=1, calendar[[#This Row],[WeekDay]]=7),P744,P744+1)</f>
        <v>531</v>
      </c>
      <c r="R745">
        <f>IF(OR(calendar[[#This Row],[SP_BH]]=1,calendar[[#This Row],[WeekDay]]=1, calendar[[#This Row],[WeekDay]]=7),P744,P744+1)</f>
        <v>531</v>
      </c>
      <c r="S745">
        <f>IF(OR(calendar[[#This Row],[PT_BH]]=1,calendar[[#This Row],[WeekDay]]=1, calendar[[#This Row],[WeekDay]]=7),P744,P744+1)</f>
        <v>531</v>
      </c>
    </row>
    <row r="746" spans="1:19" x14ac:dyDescent="0.25">
      <c r="A746" s="2">
        <v>43480</v>
      </c>
      <c r="B746" s="1">
        <f t="shared" si="58"/>
        <v>3</v>
      </c>
      <c r="C746">
        <f t="shared" si="60"/>
        <v>1</v>
      </c>
      <c r="D746" t="str">
        <f t="shared" si="61"/>
        <v>January</v>
      </c>
      <c r="E746">
        <f t="shared" si="62"/>
        <v>2019</v>
      </c>
      <c r="F746" t="str">
        <f>CONCATENATE(calendar[[#This Row],[Month]],"/",calendar[[#This Row],[Year]])</f>
        <v>1/2019</v>
      </c>
      <c r="G746">
        <f>WEEKDAY(calendar[[#This Row],[Date]],1)</f>
        <v>3</v>
      </c>
      <c r="H746" t="str">
        <f>TEXT(calendar[[#This Row],[WeekDay]],"dddd")</f>
        <v>Tuesday</v>
      </c>
      <c r="I746">
        <f>IF((INT(calendar[[#This Row],[Count]]/7)-calendar[[#This Row],[Count]]/7)&lt;0,I745,I745+1)</f>
        <v>107</v>
      </c>
      <c r="J746">
        <f t="shared" si="59"/>
        <v>744</v>
      </c>
      <c r="K746">
        <f>IF(calendar[[#This Row],[Month]]&lt;4,1,IF(calendar[[#This Row],[Month]]&lt;7,2,IF(calendar[[#This Row],[Month]]&lt;10,3,4)))</f>
        <v>1</v>
      </c>
      <c r="L746">
        <f>IFERROR(IF(VLOOKUP(calendar[[#This Row],[Date]],BH!A:A,1,)&lt;&gt;"",1,0),0)</f>
        <v>0</v>
      </c>
      <c r="M746">
        <f>IFERROR(IF(VLOOKUP(calendar[[#This Row],[Date]],BH!C:C,1,)&lt;&gt;"",1,0),0)</f>
        <v>0</v>
      </c>
      <c r="N746">
        <f>IFERROR(IF(VLOOKUP(calendar[[#This Row],[Date]],BH!E:E,1,)&lt;&gt;"",1,0),0)</f>
        <v>0</v>
      </c>
      <c r="O746">
        <f>IFERROR(IF(VLOOKUP(calendar[[#This Row],[Date]],BH!G:G,1,)&lt;&gt;"",1,0),0)</f>
        <v>0</v>
      </c>
      <c r="P746">
        <f>IF(OR(calendar[[#This Row],[UK_BH]]=1,calendar[[#This Row],[WeekDay]]=1, calendar[[#This Row],[WeekDay]]=7),P745,P745+1)</f>
        <v>532</v>
      </c>
      <c r="Q746">
        <f>IF(OR(calendar[[#This Row],[FR_BH]]=1,calendar[[#This Row],[WeekDay]]=1, calendar[[#This Row],[WeekDay]]=7),P745,P745+1)</f>
        <v>532</v>
      </c>
      <c r="R746">
        <f>IF(OR(calendar[[#This Row],[SP_BH]]=1,calendar[[#This Row],[WeekDay]]=1, calendar[[#This Row],[WeekDay]]=7),P745,P745+1)</f>
        <v>532</v>
      </c>
      <c r="S746">
        <f>IF(OR(calendar[[#This Row],[PT_BH]]=1,calendar[[#This Row],[WeekDay]]=1, calendar[[#This Row],[WeekDay]]=7),P745,P745+1)</f>
        <v>532</v>
      </c>
    </row>
    <row r="747" spans="1:19" x14ac:dyDescent="0.25">
      <c r="A747" s="2">
        <v>43481</v>
      </c>
      <c r="B747" s="1">
        <f t="shared" si="58"/>
        <v>3</v>
      </c>
      <c r="C747">
        <f t="shared" si="60"/>
        <v>1</v>
      </c>
      <c r="D747" t="str">
        <f t="shared" si="61"/>
        <v>January</v>
      </c>
      <c r="E747">
        <f t="shared" si="62"/>
        <v>2019</v>
      </c>
      <c r="F747" t="str">
        <f>CONCATENATE(calendar[[#This Row],[Month]],"/",calendar[[#This Row],[Year]])</f>
        <v>1/2019</v>
      </c>
      <c r="G747">
        <f>WEEKDAY(calendar[[#This Row],[Date]],1)</f>
        <v>4</v>
      </c>
      <c r="H747" t="str">
        <f>TEXT(calendar[[#This Row],[WeekDay]],"dddd")</f>
        <v>Wednesday</v>
      </c>
      <c r="I747">
        <f>IF((INT(calendar[[#This Row],[Count]]/7)-calendar[[#This Row],[Count]]/7)&lt;0,I746,I746+1)</f>
        <v>107</v>
      </c>
      <c r="J747">
        <f t="shared" si="59"/>
        <v>745</v>
      </c>
      <c r="K747">
        <f>IF(calendar[[#This Row],[Month]]&lt;4,1,IF(calendar[[#This Row],[Month]]&lt;7,2,IF(calendar[[#This Row],[Month]]&lt;10,3,4)))</f>
        <v>1</v>
      </c>
      <c r="L747">
        <f>IFERROR(IF(VLOOKUP(calendar[[#This Row],[Date]],BH!A:A,1,)&lt;&gt;"",1,0),0)</f>
        <v>0</v>
      </c>
      <c r="M747">
        <f>IFERROR(IF(VLOOKUP(calendar[[#This Row],[Date]],BH!C:C,1,)&lt;&gt;"",1,0),0)</f>
        <v>0</v>
      </c>
      <c r="N747">
        <f>IFERROR(IF(VLOOKUP(calendar[[#This Row],[Date]],BH!E:E,1,)&lt;&gt;"",1,0),0)</f>
        <v>0</v>
      </c>
      <c r="O747">
        <f>IFERROR(IF(VLOOKUP(calendar[[#This Row],[Date]],BH!G:G,1,)&lt;&gt;"",1,0),0)</f>
        <v>0</v>
      </c>
      <c r="P747">
        <f>IF(OR(calendar[[#This Row],[UK_BH]]=1,calendar[[#This Row],[WeekDay]]=1, calendar[[#This Row],[WeekDay]]=7),P746,P746+1)</f>
        <v>533</v>
      </c>
      <c r="Q747">
        <f>IF(OR(calendar[[#This Row],[FR_BH]]=1,calendar[[#This Row],[WeekDay]]=1, calendar[[#This Row],[WeekDay]]=7),P746,P746+1)</f>
        <v>533</v>
      </c>
      <c r="R747">
        <f>IF(OR(calendar[[#This Row],[SP_BH]]=1,calendar[[#This Row],[WeekDay]]=1, calendar[[#This Row],[WeekDay]]=7),P746,P746+1)</f>
        <v>533</v>
      </c>
      <c r="S747">
        <f>IF(OR(calendar[[#This Row],[PT_BH]]=1,calendar[[#This Row],[WeekDay]]=1, calendar[[#This Row],[WeekDay]]=7),P746,P746+1)</f>
        <v>533</v>
      </c>
    </row>
    <row r="748" spans="1:19" x14ac:dyDescent="0.25">
      <c r="A748" s="2">
        <v>43482</v>
      </c>
      <c r="B748" s="1">
        <f t="shared" si="58"/>
        <v>3</v>
      </c>
      <c r="C748">
        <f t="shared" si="60"/>
        <v>1</v>
      </c>
      <c r="D748" t="str">
        <f t="shared" si="61"/>
        <v>January</v>
      </c>
      <c r="E748">
        <f t="shared" si="62"/>
        <v>2019</v>
      </c>
      <c r="F748" t="str">
        <f>CONCATENATE(calendar[[#This Row],[Month]],"/",calendar[[#This Row],[Year]])</f>
        <v>1/2019</v>
      </c>
      <c r="G748">
        <f>WEEKDAY(calendar[[#This Row],[Date]],1)</f>
        <v>5</v>
      </c>
      <c r="H748" t="str">
        <f>TEXT(calendar[[#This Row],[WeekDay]],"dddd")</f>
        <v>Thursday</v>
      </c>
      <c r="I748">
        <f>IF((INT(calendar[[#This Row],[Count]]/7)-calendar[[#This Row],[Count]]/7)&lt;0,I747,I747+1)</f>
        <v>107</v>
      </c>
      <c r="J748">
        <f t="shared" si="59"/>
        <v>746</v>
      </c>
      <c r="K748">
        <f>IF(calendar[[#This Row],[Month]]&lt;4,1,IF(calendar[[#This Row],[Month]]&lt;7,2,IF(calendar[[#This Row],[Month]]&lt;10,3,4)))</f>
        <v>1</v>
      </c>
      <c r="L748">
        <f>IFERROR(IF(VLOOKUP(calendar[[#This Row],[Date]],BH!A:A,1,)&lt;&gt;"",1,0),0)</f>
        <v>0</v>
      </c>
      <c r="M748">
        <f>IFERROR(IF(VLOOKUP(calendar[[#This Row],[Date]],BH!C:C,1,)&lt;&gt;"",1,0),0)</f>
        <v>0</v>
      </c>
      <c r="N748">
        <f>IFERROR(IF(VLOOKUP(calendar[[#This Row],[Date]],BH!E:E,1,)&lt;&gt;"",1,0),0)</f>
        <v>0</v>
      </c>
      <c r="O748">
        <f>IFERROR(IF(VLOOKUP(calendar[[#This Row],[Date]],BH!G:G,1,)&lt;&gt;"",1,0),0)</f>
        <v>0</v>
      </c>
      <c r="P748">
        <f>IF(OR(calendar[[#This Row],[UK_BH]]=1,calendar[[#This Row],[WeekDay]]=1, calendar[[#This Row],[WeekDay]]=7),P747,P747+1)</f>
        <v>534</v>
      </c>
      <c r="Q748">
        <f>IF(OR(calendar[[#This Row],[FR_BH]]=1,calendar[[#This Row],[WeekDay]]=1, calendar[[#This Row],[WeekDay]]=7),P747,P747+1)</f>
        <v>534</v>
      </c>
      <c r="R748">
        <f>IF(OR(calendar[[#This Row],[SP_BH]]=1,calendar[[#This Row],[WeekDay]]=1, calendar[[#This Row],[WeekDay]]=7),P747,P747+1)</f>
        <v>534</v>
      </c>
      <c r="S748">
        <f>IF(OR(calendar[[#This Row],[PT_BH]]=1,calendar[[#This Row],[WeekDay]]=1, calendar[[#This Row],[WeekDay]]=7),P747,P747+1)</f>
        <v>534</v>
      </c>
    </row>
    <row r="749" spans="1:19" x14ac:dyDescent="0.25">
      <c r="A749" s="2">
        <v>43483</v>
      </c>
      <c r="B749" s="1">
        <f t="shared" si="58"/>
        <v>3</v>
      </c>
      <c r="C749">
        <f t="shared" si="60"/>
        <v>1</v>
      </c>
      <c r="D749" t="str">
        <f t="shared" si="61"/>
        <v>January</v>
      </c>
      <c r="E749">
        <f t="shared" si="62"/>
        <v>2019</v>
      </c>
      <c r="F749" t="str">
        <f>CONCATENATE(calendar[[#This Row],[Month]],"/",calendar[[#This Row],[Year]])</f>
        <v>1/2019</v>
      </c>
      <c r="G749">
        <f>WEEKDAY(calendar[[#This Row],[Date]],1)</f>
        <v>6</v>
      </c>
      <c r="H749" t="str">
        <f>TEXT(calendar[[#This Row],[WeekDay]],"dddd")</f>
        <v>Friday</v>
      </c>
      <c r="I749">
        <f>IF((INT(calendar[[#This Row],[Count]]/7)-calendar[[#This Row],[Count]]/7)&lt;0,I748,I748+1)</f>
        <v>107</v>
      </c>
      <c r="J749">
        <f t="shared" si="59"/>
        <v>747</v>
      </c>
      <c r="K749">
        <f>IF(calendar[[#This Row],[Month]]&lt;4,1,IF(calendar[[#This Row],[Month]]&lt;7,2,IF(calendar[[#This Row],[Month]]&lt;10,3,4)))</f>
        <v>1</v>
      </c>
      <c r="L749">
        <f>IFERROR(IF(VLOOKUP(calendar[[#This Row],[Date]],BH!A:A,1,)&lt;&gt;"",1,0),0)</f>
        <v>0</v>
      </c>
      <c r="M749">
        <f>IFERROR(IF(VLOOKUP(calendar[[#This Row],[Date]],BH!C:C,1,)&lt;&gt;"",1,0),0)</f>
        <v>0</v>
      </c>
      <c r="N749">
        <f>IFERROR(IF(VLOOKUP(calendar[[#This Row],[Date]],BH!E:E,1,)&lt;&gt;"",1,0),0)</f>
        <v>0</v>
      </c>
      <c r="O749">
        <f>IFERROR(IF(VLOOKUP(calendar[[#This Row],[Date]],BH!G:G,1,)&lt;&gt;"",1,0),0)</f>
        <v>0</v>
      </c>
      <c r="P749">
        <f>IF(OR(calendar[[#This Row],[UK_BH]]=1,calendar[[#This Row],[WeekDay]]=1, calendar[[#This Row],[WeekDay]]=7),P748,P748+1)</f>
        <v>535</v>
      </c>
      <c r="Q749">
        <f>IF(OR(calendar[[#This Row],[FR_BH]]=1,calendar[[#This Row],[WeekDay]]=1, calendar[[#This Row],[WeekDay]]=7),P748,P748+1)</f>
        <v>535</v>
      </c>
      <c r="R749">
        <f>IF(OR(calendar[[#This Row],[SP_BH]]=1,calendar[[#This Row],[WeekDay]]=1, calendar[[#This Row],[WeekDay]]=7),P748,P748+1)</f>
        <v>535</v>
      </c>
      <c r="S749">
        <f>IF(OR(calendar[[#This Row],[PT_BH]]=1,calendar[[#This Row],[WeekDay]]=1, calendar[[#This Row],[WeekDay]]=7),P748,P748+1)</f>
        <v>535</v>
      </c>
    </row>
    <row r="750" spans="1:19" x14ac:dyDescent="0.25">
      <c r="A750" s="2">
        <v>43484</v>
      </c>
      <c r="B750" s="1">
        <f t="shared" si="58"/>
        <v>3</v>
      </c>
      <c r="C750">
        <f t="shared" si="60"/>
        <v>1</v>
      </c>
      <c r="D750" t="str">
        <f t="shared" si="61"/>
        <v>January</v>
      </c>
      <c r="E750">
        <f t="shared" si="62"/>
        <v>2019</v>
      </c>
      <c r="F750" t="str">
        <f>CONCATENATE(calendar[[#This Row],[Month]],"/",calendar[[#This Row],[Year]])</f>
        <v>1/2019</v>
      </c>
      <c r="G750">
        <f>WEEKDAY(calendar[[#This Row],[Date]],1)</f>
        <v>7</v>
      </c>
      <c r="H750" t="str">
        <f>TEXT(calendar[[#This Row],[WeekDay]],"dddd")</f>
        <v>Saturday</v>
      </c>
      <c r="I750">
        <f>IF((INT(calendar[[#This Row],[Count]]/7)-calendar[[#This Row],[Count]]/7)&lt;0,I749,I749+1)</f>
        <v>107</v>
      </c>
      <c r="J750">
        <f t="shared" si="59"/>
        <v>748</v>
      </c>
      <c r="K750">
        <f>IF(calendar[[#This Row],[Month]]&lt;4,1,IF(calendar[[#This Row],[Month]]&lt;7,2,IF(calendar[[#This Row],[Month]]&lt;10,3,4)))</f>
        <v>1</v>
      </c>
      <c r="L750">
        <f>IFERROR(IF(VLOOKUP(calendar[[#This Row],[Date]],BH!A:A,1,)&lt;&gt;"",1,0),0)</f>
        <v>0</v>
      </c>
      <c r="M750">
        <f>IFERROR(IF(VLOOKUP(calendar[[#This Row],[Date]],BH!C:C,1,)&lt;&gt;"",1,0),0)</f>
        <v>0</v>
      </c>
      <c r="N750">
        <f>IFERROR(IF(VLOOKUP(calendar[[#This Row],[Date]],BH!E:E,1,)&lt;&gt;"",1,0),0)</f>
        <v>0</v>
      </c>
      <c r="O750">
        <f>IFERROR(IF(VLOOKUP(calendar[[#This Row],[Date]],BH!G:G,1,)&lt;&gt;"",1,0),0)</f>
        <v>0</v>
      </c>
      <c r="P750">
        <f>IF(OR(calendar[[#This Row],[UK_BH]]=1,calendar[[#This Row],[WeekDay]]=1, calendar[[#This Row],[WeekDay]]=7),P749,P749+1)</f>
        <v>535</v>
      </c>
      <c r="Q750">
        <f>IF(OR(calendar[[#This Row],[FR_BH]]=1,calendar[[#This Row],[WeekDay]]=1, calendar[[#This Row],[WeekDay]]=7),P749,P749+1)</f>
        <v>535</v>
      </c>
      <c r="R750">
        <f>IF(OR(calendar[[#This Row],[SP_BH]]=1,calendar[[#This Row],[WeekDay]]=1, calendar[[#This Row],[WeekDay]]=7),P749,P749+1)</f>
        <v>535</v>
      </c>
      <c r="S750">
        <f>IF(OR(calendar[[#This Row],[PT_BH]]=1,calendar[[#This Row],[WeekDay]]=1, calendar[[#This Row],[WeekDay]]=7),P749,P749+1)</f>
        <v>535</v>
      </c>
    </row>
    <row r="751" spans="1:19" x14ac:dyDescent="0.25">
      <c r="A751" s="2">
        <v>43485</v>
      </c>
      <c r="B751" s="1">
        <f t="shared" si="58"/>
        <v>4</v>
      </c>
      <c r="C751">
        <f t="shared" si="60"/>
        <v>1</v>
      </c>
      <c r="D751" t="str">
        <f t="shared" si="61"/>
        <v>January</v>
      </c>
      <c r="E751">
        <f t="shared" si="62"/>
        <v>2019</v>
      </c>
      <c r="F751" t="str">
        <f>CONCATENATE(calendar[[#This Row],[Month]],"/",calendar[[#This Row],[Year]])</f>
        <v>1/2019</v>
      </c>
      <c r="G751">
        <f>WEEKDAY(calendar[[#This Row],[Date]],1)</f>
        <v>1</v>
      </c>
      <c r="H751" t="str">
        <f>TEXT(calendar[[#This Row],[WeekDay]],"dddd")</f>
        <v>Sunday</v>
      </c>
      <c r="I751">
        <f>IF((INT(calendar[[#This Row],[Count]]/7)-calendar[[#This Row],[Count]]/7)&lt;0,I750,I750+1)</f>
        <v>108</v>
      </c>
      <c r="J751">
        <f t="shared" si="59"/>
        <v>749</v>
      </c>
      <c r="K751">
        <f>IF(calendar[[#This Row],[Month]]&lt;4,1,IF(calendar[[#This Row],[Month]]&lt;7,2,IF(calendar[[#This Row],[Month]]&lt;10,3,4)))</f>
        <v>1</v>
      </c>
      <c r="L751">
        <f>IFERROR(IF(VLOOKUP(calendar[[#This Row],[Date]],BH!A:A,1,)&lt;&gt;"",1,0),0)</f>
        <v>0</v>
      </c>
      <c r="M751">
        <f>IFERROR(IF(VLOOKUP(calendar[[#This Row],[Date]],BH!C:C,1,)&lt;&gt;"",1,0),0)</f>
        <v>0</v>
      </c>
      <c r="N751">
        <f>IFERROR(IF(VLOOKUP(calendar[[#This Row],[Date]],BH!E:E,1,)&lt;&gt;"",1,0),0)</f>
        <v>0</v>
      </c>
      <c r="O751">
        <f>IFERROR(IF(VLOOKUP(calendar[[#This Row],[Date]],BH!G:G,1,)&lt;&gt;"",1,0),0)</f>
        <v>0</v>
      </c>
      <c r="P751">
        <f>IF(OR(calendar[[#This Row],[UK_BH]]=1,calendar[[#This Row],[WeekDay]]=1, calendar[[#This Row],[WeekDay]]=7),P750,P750+1)</f>
        <v>535</v>
      </c>
      <c r="Q751">
        <f>IF(OR(calendar[[#This Row],[FR_BH]]=1,calendar[[#This Row],[WeekDay]]=1, calendar[[#This Row],[WeekDay]]=7),P750,P750+1)</f>
        <v>535</v>
      </c>
      <c r="R751">
        <f>IF(OR(calendar[[#This Row],[SP_BH]]=1,calendar[[#This Row],[WeekDay]]=1, calendar[[#This Row],[WeekDay]]=7),P750,P750+1)</f>
        <v>535</v>
      </c>
      <c r="S751">
        <f>IF(OR(calendar[[#This Row],[PT_BH]]=1,calendar[[#This Row],[WeekDay]]=1, calendar[[#This Row],[WeekDay]]=7),P750,P750+1)</f>
        <v>535</v>
      </c>
    </row>
    <row r="752" spans="1:19" x14ac:dyDescent="0.25">
      <c r="A752" s="2">
        <v>43486</v>
      </c>
      <c r="B752" s="1">
        <f t="shared" si="58"/>
        <v>4</v>
      </c>
      <c r="C752">
        <f t="shared" si="60"/>
        <v>1</v>
      </c>
      <c r="D752" t="str">
        <f t="shared" si="61"/>
        <v>January</v>
      </c>
      <c r="E752">
        <f t="shared" si="62"/>
        <v>2019</v>
      </c>
      <c r="F752" t="str">
        <f>CONCATENATE(calendar[[#This Row],[Month]],"/",calendar[[#This Row],[Year]])</f>
        <v>1/2019</v>
      </c>
      <c r="G752">
        <f>WEEKDAY(calendar[[#This Row],[Date]],1)</f>
        <v>2</v>
      </c>
      <c r="H752" t="str">
        <f>TEXT(calendar[[#This Row],[WeekDay]],"dddd")</f>
        <v>Monday</v>
      </c>
      <c r="I752">
        <f>IF((INT(calendar[[#This Row],[Count]]/7)-calendar[[#This Row],[Count]]/7)&lt;0,I751,I751+1)</f>
        <v>108</v>
      </c>
      <c r="J752">
        <f t="shared" si="59"/>
        <v>750</v>
      </c>
      <c r="K752">
        <f>IF(calendar[[#This Row],[Month]]&lt;4,1,IF(calendar[[#This Row],[Month]]&lt;7,2,IF(calendar[[#This Row],[Month]]&lt;10,3,4)))</f>
        <v>1</v>
      </c>
      <c r="L752">
        <f>IFERROR(IF(VLOOKUP(calendar[[#This Row],[Date]],BH!A:A,1,)&lt;&gt;"",1,0),0)</f>
        <v>0</v>
      </c>
      <c r="M752">
        <f>IFERROR(IF(VLOOKUP(calendar[[#This Row],[Date]],BH!C:C,1,)&lt;&gt;"",1,0),0)</f>
        <v>0</v>
      </c>
      <c r="N752">
        <f>IFERROR(IF(VLOOKUP(calendar[[#This Row],[Date]],BH!E:E,1,)&lt;&gt;"",1,0),0)</f>
        <v>0</v>
      </c>
      <c r="O752">
        <f>IFERROR(IF(VLOOKUP(calendar[[#This Row],[Date]],BH!G:G,1,)&lt;&gt;"",1,0),0)</f>
        <v>0</v>
      </c>
      <c r="P752">
        <f>IF(OR(calendar[[#This Row],[UK_BH]]=1,calendar[[#This Row],[WeekDay]]=1, calendar[[#This Row],[WeekDay]]=7),P751,P751+1)</f>
        <v>536</v>
      </c>
      <c r="Q752">
        <f>IF(OR(calendar[[#This Row],[FR_BH]]=1,calendar[[#This Row],[WeekDay]]=1, calendar[[#This Row],[WeekDay]]=7),P751,P751+1)</f>
        <v>536</v>
      </c>
      <c r="R752">
        <f>IF(OR(calendar[[#This Row],[SP_BH]]=1,calendar[[#This Row],[WeekDay]]=1, calendar[[#This Row],[WeekDay]]=7),P751,P751+1)</f>
        <v>536</v>
      </c>
      <c r="S752">
        <f>IF(OR(calendar[[#This Row],[PT_BH]]=1,calendar[[#This Row],[WeekDay]]=1, calendar[[#This Row],[WeekDay]]=7),P751,P751+1)</f>
        <v>536</v>
      </c>
    </row>
    <row r="753" spans="1:19" x14ac:dyDescent="0.25">
      <c r="A753" s="2">
        <v>43487</v>
      </c>
      <c r="B753" s="1">
        <f t="shared" si="58"/>
        <v>4</v>
      </c>
      <c r="C753">
        <f t="shared" si="60"/>
        <v>1</v>
      </c>
      <c r="D753" t="str">
        <f t="shared" si="61"/>
        <v>January</v>
      </c>
      <c r="E753">
        <f t="shared" si="62"/>
        <v>2019</v>
      </c>
      <c r="F753" t="str">
        <f>CONCATENATE(calendar[[#This Row],[Month]],"/",calendar[[#This Row],[Year]])</f>
        <v>1/2019</v>
      </c>
      <c r="G753">
        <f>WEEKDAY(calendar[[#This Row],[Date]],1)</f>
        <v>3</v>
      </c>
      <c r="H753" t="str">
        <f>TEXT(calendar[[#This Row],[WeekDay]],"dddd")</f>
        <v>Tuesday</v>
      </c>
      <c r="I753">
        <f>IF((INT(calendar[[#This Row],[Count]]/7)-calendar[[#This Row],[Count]]/7)&lt;0,I752,I752+1)</f>
        <v>108</v>
      </c>
      <c r="J753">
        <f t="shared" si="59"/>
        <v>751</v>
      </c>
      <c r="K753">
        <f>IF(calendar[[#This Row],[Month]]&lt;4,1,IF(calendar[[#This Row],[Month]]&lt;7,2,IF(calendar[[#This Row],[Month]]&lt;10,3,4)))</f>
        <v>1</v>
      </c>
      <c r="L753">
        <f>IFERROR(IF(VLOOKUP(calendar[[#This Row],[Date]],BH!A:A,1,)&lt;&gt;"",1,0),0)</f>
        <v>0</v>
      </c>
      <c r="M753">
        <f>IFERROR(IF(VLOOKUP(calendar[[#This Row],[Date]],BH!C:C,1,)&lt;&gt;"",1,0),0)</f>
        <v>0</v>
      </c>
      <c r="N753">
        <f>IFERROR(IF(VLOOKUP(calendar[[#This Row],[Date]],BH!E:E,1,)&lt;&gt;"",1,0),0)</f>
        <v>0</v>
      </c>
      <c r="O753">
        <f>IFERROR(IF(VLOOKUP(calendar[[#This Row],[Date]],BH!G:G,1,)&lt;&gt;"",1,0),0)</f>
        <v>0</v>
      </c>
      <c r="P753">
        <f>IF(OR(calendar[[#This Row],[UK_BH]]=1,calendar[[#This Row],[WeekDay]]=1, calendar[[#This Row],[WeekDay]]=7),P752,P752+1)</f>
        <v>537</v>
      </c>
      <c r="Q753">
        <f>IF(OR(calendar[[#This Row],[FR_BH]]=1,calendar[[#This Row],[WeekDay]]=1, calendar[[#This Row],[WeekDay]]=7),P752,P752+1)</f>
        <v>537</v>
      </c>
      <c r="R753">
        <f>IF(OR(calendar[[#This Row],[SP_BH]]=1,calendar[[#This Row],[WeekDay]]=1, calendar[[#This Row],[WeekDay]]=7),P752,P752+1)</f>
        <v>537</v>
      </c>
      <c r="S753">
        <f>IF(OR(calendar[[#This Row],[PT_BH]]=1,calendar[[#This Row],[WeekDay]]=1, calendar[[#This Row],[WeekDay]]=7),P752,P752+1)</f>
        <v>537</v>
      </c>
    </row>
    <row r="754" spans="1:19" x14ac:dyDescent="0.25">
      <c r="A754" s="2">
        <v>43488</v>
      </c>
      <c r="B754" s="1">
        <f t="shared" si="58"/>
        <v>4</v>
      </c>
      <c r="C754">
        <f t="shared" si="60"/>
        <v>1</v>
      </c>
      <c r="D754" t="str">
        <f t="shared" si="61"/>
        <v>January</v>
      </c>
      <c r="E754">
        <f t="shared" si="62"/>
        <v>2019</v>
      </c>
      <c r="F754" t="str">
        <f>CONCATENATE(calendar[[#This Row],[Month]],"/",calendar[[#This Row],[Year]])</f>
        <v>1/2019</v>
      </c>
      <c r="G754">
        <f>WEEKDAY(calendar[[#This Row],[Date]],1)</f>
        <v>4</v>
      </c>
      <c r="H754" t="str">
        <f>TEXT(calendar[[#This Row],[WeekDay]],"dddd")</f>
        <v>Wednesday</v>
      </c>
      <c r="I754">
        <f>IF((INT(calendar[[#This Row],[Count]]/7)-calendar[[#This Row],[Count]]/7)&lt;0,I753,I753+1)</f>
        <v>108</v>
      </c>
      <c r="J754">
        <f t="shared" si="59"/>
        <v>752</v>
      </c>
      <c r="K754">
        <f>IF(calendar[[#This Row],[Month]]&lt;4,1,IF(calendar[[#This Row],[Month]]&lt;7,2,IF(calendar[[#This Row],[Month]]&lt;10,3,4)))</f>
        <v>1</v>
      </c>
      <c r="L754">
        <f>IFERROR(IF(VLOOKUP(calendar[[#This Row],[Date]],BH!A:A,1,)&lt;&gt;"",1,0),0)</f>
        <v>0</v>
      </c>
      <c r="M754">
        <f>IFERROR(IF(VLOOKUP(calendar[[#This Row],[Date]],BH!C:C,1,)&lt;&gt;"",1,0),0)</f>
        <v>0</v>
      </c>
      <c r="N754">
        <f>IFERROR(IF(VLOOKUP(calendar[[#This Row],[Date]],BH!E:E,1,)&lt;&gt;"",1,0),0)</f>
        <v>0</v>
      </c>
      <c r="O754">
        <f>IFERROR(IF(VLOOKUP(calendar[[#This Row],[Date]],BH!G:G,1,)&lt;&gt;"",1,0),0)</f>
        <v>0</v>
      </c>
      <c r="P754">
        <f>IF(OR(calendar[[#This Row],[UK_BH]]=1,calendar[[#This Row],[WeekDay]]=1, calendar[[#This Row],[WeekDay]]=7),P753,P753+1)</f>
        <v>538</v>
      </c>
      <c r="Q754">
        <f>IF(OR(calendar[[#This Row],[FR_BH]]=1,calendar[[#This Row],[WeekDay]]=1, calendar[[#This Row],[WeekDay]]=7),P753,P753+1)</f>
        <v>538</v>
      </c>
      <c r="R754">
        <f>IF(OR(calendar[[#This Row],[SP_BH]]=1,calendar[[#This Row],[WeekDay]]=1, calendar[[#This Row],[WeekDay]]=7),P753,P753+1)</f>
        <v>538</v>
      </c>
      <c r="S754">
        <f>IF(OR(calendar[[#This Row],[PT_BH]]=1,calendar[[#This Row],[WeekDay]]=1, calendar[[#This Row],[WeekDay]]=7),P753,P753+1)</f>
        <v>538</v>
      </c>
    </row>
    <row r="755" spans="1:19" x14ac:dyDescent="0.25">
      <c r="A755" s="2">
        <v>43489</v>
      </c>
      <c r="B755" s="1">
        <f t="shared" si="58"/>
        <v>4</v>
      </c>
      <c r="C755">
        <f t="shared" si="60"/>
        <v>1</v>
      </c>
      <c r="D755" t="str">
        <f t="shared" si="61"/>
        <v>January</v>
      </c>
      <c r="E755">
        <f t="shared" si="62"/>
        <v>2019</v>
      </c>
      <c r="F755" t="str">
        <f>CONCATENATE(calendar[[#This Row],[Month]],"/",calendar[[#This Row],[Year]])</f>
        <v>1/2019</v>
      </c>
      <c r="G755">
        <f>WEEKDAY(calendar[[#This Row],[Date]],1)</f>
        <v>5</v>
      </c>
      <c r="H755" t="str">
        <f>TEXT(calendar[[#This Row],[WeekDay]],"dddd")</f>
        <v>Thursday</v>
      </c>
      <c r="I755">
        <f>IF((INT(calendar[[#This Row],[Count]]/7)-calendar[[#This Row],[Count]]/7)&lt;0,I754,I754+1)</f>
        <v>108</v>
      </c>
      <c r="J755">
        <f t="shared" si="59"/>
        <v>753</v>
      </c>
      <c r="K755">
        <f>IF(calendar[[#This Row],[Month]]&lt;4,1,IF(calendar[[#This Row],[Month]]&lt;7,2,IF(calendar[[#This Row],[Month]]&lt;10,3,4)))</f>
        <v>1</v>
      </c>
      <c r="L755">
        <f>IFERROR(IF(VLOOKUP(calendar[[#This Row],[Date]],BH!A:A,1,)&lt;&gt;"",1,0),0)</f>
        <v>0</v>
      </c>
      <c r="M755">
        <f>IFERROR(IF(VLOOKUP(calendar[[#This Row],[Date]],BH!C:C,1,)&lt;&gt;"",1,0),0)</f>
        <v>0</v>
      </c>
      <c r="N755">
        <f>IFERROR(IF(VLOOKUP(calendar[[#This Row],[Date]],BH!E:E,1,)&lt;&gt;"",1,0),0)</f>
        <v>0</v>
      </c>
      <c r="O755">
        <f>IFERROR(IF(VLOOKUP(calendar[[#This Row],[Date]],BH!G:G,1,)&lt;&gt;"",1,0),0)</f>
        <v>0</v>
      </c>
      <c r="P755">
        <f>IF(OR(calendar[[#This Row],[UK_BH]]=1,calendar[[#This Row],[WeekDay]]=1, calendar[[#This Row],[WeekDay]]=7),P754,P754+1)</f>
        <v>539</v>
      </c>
      <c r="Q755">
        <f>IF(OR(calendar[[#This Row],[FR_BH]]=1,calendar[[#This Row],[WeekDay]]=1, calendar[[#This Row],[WeekDay]]=7),P754,P754+1)</f>
        <v>539</v>
      </c>
      <c r="R755">
        <f>IF(OR(calendar[[#This Row],[SP_BH]]=1,calendar[[#This Row],[WeekDay]]=1, calendar[[#This Row],[WeekDay]]=7),P754,P754+1)</f>
        <v>539</v>
      </c>
      <c r="S755">
        <f>IF(OR(calendar[[#This Row],[PT_BH]]=1,calendar[[#This Row],[WeekDay]]=1, calendar[[#This Row],[WeekDay]]=7),P754,P754+1)</f>
        <v>539</v>
      </c>
    </row>
    <row r="756" spans="1:19" x14ac:dyDescent="0.25">
      <c r="A756" s="2">
        <v>43490</v>
      </c>
      <c r="B756" s="1">
        <f t="shared" si="58"/>
        <v>4</v>
      </c>
      <c r="C756">
        <f t="shared" si="60"/>
        <v>1</v>
      </c>
      <c r="D756" t="str">
        <f t="shared" si="61"/>
        <v>January</v>
      </c>
      <c r="E756">
        <f t="shared" si="62"/>
        <v>2019</v>
      </c>
      <c r="F756" t="str">
        <f>CONCATENATE(calendar[[#This Row],[Month]],"/",calendar[[#This Row],[Year]])</f>
        <v>1/2019</v>
      </c>
      <c r="G756">
        <f>WEEKDAY(calendar[[#This Row],[Date]],1)</f>
        <v>6</v>
      </c>
      <c r="H756" t="str">
        <f>TEXT(calendar[[#This Row],[WeekDay]],"dddd")</f>
        <v>Friday</v>
      </c>
      <c r="I756">
        <f>IF((INT(calendar[[#This Row],[Count]]/7)-calendar[[#This Row],[Count]]/7)&lt;0,I755,I755+1)</f>
        <v>108</v>
      </c>
      <c r="J756">
        <f t="shared" si="59"/>
        <v>754</v>
      </c>
      <c r="K756">
        <f>IF(calendar[[#This Row],[Month]]&lt;4,1,IF(calendar[[#This Row],[Month]]&lt;7,2,IF(calendar[[#This Row],[Month]]&lt;10,3,4)))</f>
        <v>1</v>
      </c>
      <c r="L756">
        <f>IFERROR(IF(VLOOKUP(calendar[[#This Row],[Date]],BH!A:A,1,)&lt;&gt;"",1,0),0)</f>
        <v>0</v>
      </c>
      <c r="M756">
        <f>IFERROR(IF(VLOOKUP(calendar[[#This Row],[Date]],BH!C:C,1,)&lt;&gt;"",1,0),0)</f>
        <v>0</v>
      </c>
      <c r="N756">
        <f>IFERROR(IF(VLOOKUP(calendar[[#This Row],[Date]],BH!E:E,1,)&lt;&gt;"",1,0),0)</f>
        <v>0</v>
      </c>
      <c r="O756">
        <f>IFERROR(IF(VLOOKUP(calendar[[#This Row],[Date]],BH!G:G,1,)&lt;&gt;"",1,0),0)</f>
        <v>0</v>
      </c>
      <c r="P756">
        <f>IF(OR(calendar[[#This Row],[UK_BH]]=1,calendar[[#This Row],[WeekDay]]=1, calendar[[#This Row],[WeekDay]]=7),P755,P755+1)</f>
        <v>540</v>
      </c>
      <c r="Q756">
        <f>IF(OR(calendar[[#This Row],[FR_BH]]=1,calendar[[#This Row],[WeekDay]]=1, calendar[[#This Row],[WeekDay]]=7),P755,P755+1)</f>
        <v>540</v>
      </c>
      <c r="R756">
        <f>IF(OR(calendar[[#This Row],[SP_BH]]=1,calendar[[#This Row],[WeekDay]]=1, calendar[[#This Row],[WeekDay]]=7),P755,P755+1)</f>
        <v>540</v>
      </c>
      <c r="S756">
        <f>IF(OR(calendar[[#This Row],[PT_BH]]=1,calendar[[#This Row],[WeekDay]]=1, calendar[[#This Row],[WeekDay]]=7),P755,P755+1)</f>
        <v>540</v>
      </c>
    </row>
    <row r="757" spans="1:19" x14ac:dyDescent="0.25">
      <c r="A757" s="2">
        <v>43491</v>
      </c>
      <c r="B757" s="1">
        <f t="shared" si="58"/>
        <v>4</v>
      </c>
      <c r="C757">
        <f t="shared" si="60"/>
        <v>1</v>
      </c>
      <c r="D757" t="str">
        <f t="shared" si="61"/>
        <v>January</v>
      </c>
      <c r="E757">
        <f t="shared" si="62"/>
        <v>2019</v>
      </c>
      <c r="F757" t="str">
        <f>CONCATENATE(calendar[[#This Row],[Month]],"/",calendar[[#This Row],[Year]])</f>
        <v>1/2019</v>
      </c>
      <c r="G757">
        <f>WEEKDAY(calendar[[#This Row],[Date]],1)</f>
        <v>7</v>
      </c>
      <c r="H757" t="str">
        <f>TEXT(calendar[[#This Row],[WeekDay]],"dddd")</f>
        <v>Saturday</v>
      </c>
      <c r="I757">
        <f>IF((INT(calendar[[#This Row],[Count]]/7)-calendar[[#This Row],[Count]]/7)&lt;0,I756,I756+1)</f>
        <v>108</v>
      </c>
      <c r="J757">
        <f t="shared" si="59"/>
        <v>755</v>
      </c>
      <c r="K757">
        <f>IF(calendar[[#This Row],[Month]]&lt;4,1,IF(calendar[[#This Row],[Month]]&lt;7,2,IF(calendar[[#This Row],[Month]]&lt;10,3,4)))</f>
        <v>1</v>
      </c>
      <c r="L757">
        <f>IFERROR(IF(VLOOKUP(calendar[[#This Row],[Date]],BH!A:A,1,)&lt;&gt;"",1,0),0)</f>
        <v>0</v>
      </c>
      <c r="M757">
        <f>IFERROR(IF(VLOOKUP(calendar[[#This Row],[Date]],BH!C:C,1,)&lt;&gt;"",1,0),0)</f>
        <v>0</v>
      </c>
      <c r="N757">
        <f>IFERROR(IF(VLOOKUP(calendar[[#This Row],[Date]],BH!E:E,1,)&lt;&gt;"",1,0),0)</f>
        <v>0</v>
      </c>
      <c r="O757">
        <f>IFERROR(IF(VLOOKUP(calendar[[#This Row],[Date]],BH!G:G,1,)&lt;&gt;"",1,0),0)</f>
        <v>0</v>
      </c>
      <c r="P757">
        <f>IF(OR(calendar[[#This Row],[UK_BH]]=1,calendar[[#This Row],[WeekDay]]=1, calendar[[#This Row],[WeekDay]]=7),P756,P756+1)</f>
        <v>540</v>
      </c>
      <c r="Q757">
        <f>IF(OR(calendar[[#This Row],[FR_BH]]=1,calendar[[#This Row],[WeekDay]]=1, calendar[[#This Row],[WeekDay]]=7),P756,P756+1)</f>
        <v>540</v>
      </c>
      <c r="R757">
        <f>IF(OR(calendar[[#This Row],[SP_BH]]=1,calendar[[#This Row],[WeekDay]]=1, calendar[[#This Row],[WeekDay]]=7),P756,P756+1)</f>
        <v>540</v>
      </c>
      <c r="S757">
        <f>IF(OR(calendar[[#This Row],[PT_BH]]=1,calendar[[#This Row],[WeekDay]]=1, calendar[[#This Row],[WeekDay]]=7),P756,P756+1)</f>
        <v>540</v>
      </c>
    </row>
    <row r="758" spans="1:19" x14ac:dyDescent="0.25">
      <c r="A758" s="2">
        <v>43492</v>
      </c>
      <c r="B758" s="1">
        <f t="shared" si="58"/>
        <v>5</v>
      </c>
      <c r="C758">
        <f t="shared" si="60"/>
        <v>1</v>
      </c>
      <c r="D758" t="str">
        <f t="shared" si="61"/>
        <v>January</v>
      </c>
      <c r="E758">
        <f t="shared" si="62"/>
        <v>2019</v>
      </c>
      <c r="F758" t="str">
        <f>CONCATENATE(calendar[[#This Row],[Month]],"/",calendar[[#This Row],[Year]])</f>
        <v>1/2019</v>
      </c>
      <c r="G758">
        <f>WEEKDAY(calendar[[#This Row],[Date]],1)</f>
        <v>1</v>
      </c>
      <c r="H758" t="str">
        <f>TEXT(calendar[[#This Row],[WeekDay]],"dddd")</f>
        <v>Sunday</v>
      </c>
      <c r="I758">
        <f>IF((INT(calendar[[#This Row],[Count]]/7)-calendar[[#This Row],[Count]]/7)&lt;0,I757,I757+1)</f>
        <v>109</v>
      </c>
      <c r="J758">
        <f t="shared" si="59"/>
        <v>756</v>
      </c>
      <c r="K758">
        <f>IF(calendar[[#This Row],[Month]]&lt;4,1,IF(calendar[[#This Row],[Month]]&lt;7,2,IF(calendar[[#This Row],[Month]]&lt;10,3,4)))</f>
        <v>1</v>
      </c>
      <c r="L758">
        <f>IFERROR(IF(VLOOKUP(calendar[[#This Row],[Date]],BH!A:A,1,)&lt;&gt;"",1,0),0)</f>
        <v>0</v>
      </c>
      <c r="M758">
        <f>IFERROR(IF(VLOOKUP(calendar[[#This Row],[Date]],BH!C:C,1,)&lt;&gt;"",1,0),0)</f>
        <v>0</v>
      </c>
      <c r="N758">
        <f>IFERROR(IF(VLOOKUP(calendar[[#This Row],[Date]],BH!E:E,1,)&lt;&gt;"",1,0),0)</f>
        <v>0</v>
      </c>
      <c r="O758">
        <f>IFERROR(IF(VLOOKUP(calendar[[#This Row],[Date]],BH!G:G,1,)&lt;&gt;"",1,0),0)</f>
        <v>0</v>
      </c>
      <c r="P758">
        <f>IF(OR(calendar[[#This Row],[UK_BH]]=1,calendar[[#This Row],[WeekDay]]=1, calendar[[#This Row],[WeekDay]]=7),P757,P757+1)</f>
        <v>540</v>
      </c>
      <c r="Q758">
        <f>IF(OR(calendar[[#This Row],[FR_BH]]=1,calendar[[#This Row],[WeekDay]]=1, calendar[[#This Row],[WeekDay]]=7),P757,P757+1)</f>
        <v>540</v>
      </c>
      <c r="R758">
        <f>IF(OR(calendar[[#This Row],[SP_BH]]=1,calendar[[#This Row],[WeekDay]]=1, calendar[[#This Row],[WeekDay]]=7),P757,P757+1)</f>
        <v>540</v>
      </c>
      <c r="S758">
        <f>IF(OR(calendar[[#This Row],[PT_BH]]=1,calendar[[#This Row],[WeekDay]]=1, calendar[[#This Row],[WeekDay]]=7),P757,P757+1)</f>
        <v>540</v>
      </c>
    </row>
    <row r="759" spans="1:19" x14ac:dyDescent="0.25">
      <c r="A759" s="2">
        <v>43493</v>
      </c>
      <c r="B759" s="1">
        <f t="shared" si="58"/>
        <v>5</v>
      </c>
      <c r="C759">
        <f t="shared" si="60"/>
        <v>1</v>
      </c>
      <c r="D759" t="str">
        <f t="shared" si="61"/>
        <v>January</v>
      </c>
      <c r="E759">
        <f t="shared" si="62"/>
        <v>2019</v>
      </c>
      <c r="F759" t="str">
        <f>CONCATENATE(calendar[[#This Row],[Month]],"/",calendar[[#This Row],[Year]])</f>
        <v>1/2019</v>
      </c>
      <c r="G759">
        <f>WEEKDAY(calendar[[#This Row],[Date]],1)</f>
        <v>2</v>
      </c>
      <c r="H759" t="str">
        <f>TEXT(calendar[[#This Row],[WeekDay]],"dddd")</f>
        <v>Monday</v>
      </c>
      <c r="I759">
        <f>IF((INT(calendar[[#This Row],[Count]]/7)-calendar[[#This Row],[Count]]/7)&lt;0,I758,I758+1)</f>
        <v>109</v>
      </c>
      <c r="J759">
        <f t="shared" si="59"/>
        <v>757</v>
      </c>
      <c r="K759">
        <f>IF(calendar[[#This Row],[Month]]&lt;4,1,IF(calendar[[#This Row],[Month]]&lt;7,2,IF(calendar[[#This Row],[Month]]&lt;10,3,4)))</f>
        <v>1</v>
      </c>
      <c r="L759">
        <f>IFERROR(IF(VLOOKUP(calendar[[#This Row],[Date]],BH!A:A,1,)&lt;&gt;"",1,0),0)</f>
        <v>0</v>
      </c>
      <c r="M759">
        <f>IFERROR(IF(VLOOKUP(calendar[[#This Row],[Date]],BH!C:C,1,)&lt;&gt;"",1,0),0)</f>
        <v>0</v>
      </c>
      <c r="N759">
        <f>IFERROR(IF(VLOOKUP(calendar[[#This Row],[Date]],BH!E:E,1,)&lt;&gt;"",1,0),0)</f>
        <v>0</v>
      </c>
      <c r="O759">
        <f>IFERROR(IF(VLOOKUP(calendar[[#This Row],[Date]],BH!G:G,1,)&lt;&gt;"",1,0),0)</f>
        <v>0</v>
      </c>
      <c r="P759">
        <f>IF(OR(calendar[[#This Row],[UK_BH]]=1,calendar[[#This Row],[WeekDay]]=1, calendar[[#This Row],[WeekDay]]=7),P758,P758+1)</f>
        <v>541</v>
      </c>
      <c r="Q759">
        <f>IF(OR(calendar[[#This Row],[FR_BH]]=1,calendar[[#This Row],[WeekDay]]=1, calendar[[#This Row],[WeekDay]]=7),P758,P758+1)</f>
        <v>541</v>
      </c>
      <c r="R759">
        <f>IF(OR(calendar[[#This Row],[SP_BH]]=1,calendar[[#This Row],[WeekDay]]=1, calendar[[#This Row],[WeekDay]]=7),P758,P758+1)</f>
        <v>541</v>
      </c>
      <c r="S759">
        <f>IF(OR(calendar[[#This Row],[PT_BH]]=1,calendar[[#This Row],[WeekDay]]=1, calendar[[#This Row],[WeekDay]]=7),P758,P758+1)</f>
        <v>541</v>
      </c>
    </row>
    <row r="760" spans="1:19" x14ac:dyDescent="0.25">
      <c r="A760" s="2">
        <v>43494</v>
      </c>
      <c r="B760" s="1">
        <f t="shared" si="58"/>
        <v>5</v>
      </c>
      <c r="C760">
        <f t="shared" si="60"/>
        <v>1</v>
      </c>
      <c r="D760" t="str">
        <f t="shared" si="61"/>
        <v>January</v>
      </c>
      <c r="E760">
        <f t="shared" si="62"/>
        <v>2019</v>
      </c>
      <c r="F760" t="str">
        <f>CONCATENATE(calendar[[#This Row],[Month]],"/",calendar[[#This Row],[Year]])</f>
        <v>1/2019</v>
      </c>
      <c r="G760">
        <f>WEEKDAY(calendar[[#This Row],[Date]],1)</f>
        <v>3</v>
      </c>
      <c r="H760" t="str">
        <f>TEXT(calendar[[#This Row],[WeekDay]],"dddd")</f>
        <v>Tuesday</v>
      </c>
      <c r="I760">
        <f>IF((INT(calendar[[#This Row],[Count]]/7)-calendar[[#This Row],[Count]]/7)&lt;0,I759,I759+1)</f>
        <v>109</v>
      </c>
      <c r="J760">
        <f t="shared" si="59"/>
        <v>758</v>
      </c>
      <c r="K760">
        <f>IF(calendar[[#This Row],[Month]]&lt;4,1,IF(calendar[[#This Row],[Month]]&lt;7,2,IF(calendar[[#This Row],[Month]]&lt;10,3,4)))</f>
        <v>1</v>
      </c>
      <c r="L760">
        <f>IFERROR(IF(VLOOKUP(calendar[[#This Row],[Date]],BH!A:A,1,)&lt;&gt;"",1,0),0)</f>
        <v>0</v>
      </c>
      <c r="M760">
        <f>IFERROR(IF(VLOOKUP(calendar[[#This Row],[Date]],BH!C:C,1,)&lt;&gt;"",1,0),0)</f>
        <v>0</v>
      </c>
      <c r="N760">
        <f>IFERROR(IF(VLOOKUP(calendar[[#This Row],[Date]],BH!E:E,1,)&lt;&gt;"",1,0),0)</f>
        <v>0</v>
      </c>
      <c r="O760">
        <f>IFERROR(IF(VLOOKUP(calendar[[#This Row],[Date]],BH!G:G,1,)&lt;&gt;"",1,0),0)</f>
        <v>0</v>
      </c>
      <c r="P760">
        <f>IF(OR(calendar[[#This Row],[UK_BH]]=1,calendar[[#This Row],[WeekDay]]=1, calendar[[#This Row],[WeekDay]]=7),P759,P759+1)</f>
        <v>542</v>
      </c>
      <c r="Q760">
        <f>IF(OR(calendar[[#This Row],[FR_BH]]=1,calendar[[#This Row],[WeekDay]]=1, calendar[[#This Row],[WeekDay]]=7),P759,P759+1)</f>
        <v>542</v>
      </c>
      <c r="R760">
        <f>IF(OR(calendar[[#This Row],[SP_BH]]=1,calendar[[#This Row],[WeekDay]]=1, calendar[[#This Row],[WeekDay]]=7),P759,P759+1)</f>
        <v>542</v>
      </c>
      <c r="S760">
        <f>IF(OR(calendar[[#This Row],[PT_BH]]=1,calendar[[#This Row],[WeekDay]]=1, calendar[[#This Row],[WeekDay]]=7),P759,P759+1)</f>
        <v>542</v>
      </c>
    </row>
    <row r="761" spans="1:19" x14ac:dyDescent="0.25">
      <c r="A761" s="2">
        <v>43495</v>
      </c>
      <c r="B761" s="1">
        <f t="shared" si="58"/>
        <v>5</v>
      </c>
      <c r="C761">
        <f t="shared" si="60"/>
        <v>1</v>
      </c>
      <c r="D761" t="str">
        <f t="shared" si="61"/>
        <v>January</v>
      </c>
      <c r="E761">
        <f t="shared" si="62"/>
        <v>2019</v>
      </c>
      <c r="F761" t="str">
        <f>CONCATENATE(calendar[[#This Row],[Month]],"/",calendar[[#This Row],[Year]])</f>
        <v>1/2019</v>
      </c>
      <c r="G761">
        <f>WEEKDAY(calendar[[#This Row],[Date]],1)</f>
        <v>4</v>
      </c>
      <c r="H761" t="str">
        <f>TEXT(calendar[[#This Row],[WeekDay]],"dddd")</f>
        <v>Wednesday</v>
      </c>
      <c r="I761">
        <f>IF((INT(calendar[[#This Row],[Count]]/7)-calendar[[#This Row],[Count]]/7)&lt;0,I760,I760+1)</f>
        <v>109</v>
      </c>
      <c r="J761">
        <f t="shared" si="59"/>
        <v>759</v>
      </c>
      <c r="K761">
        <f>IF(calendar[[#This Row],[Month]]&lt;4,1,IF(calendar[[#This Row],[Month]]&lt;7,2,IF(calendar[[#This Row],[Month]]&lt;10,3,4)))</f>
        <v>1</v>
      </c>
      <c r="L761">
        <f>IFERROR(IF(VLOOKUP(calendar[[#This Row],[Date]],BH!A:A,1,)&lt;&gt;"",1,0),0)</f>
        <v>0</v>
      </c>
      <c r="M761">
        <f>IFERROR(IF(VLOOKUP(calendar[[#This Row],[Date]],BH!C:C,1,)&lt;&gt;"",1,0),0)</f>
        <v>0</v>
      </c>
      <c r="N761">
        <f>IFERROR(IF(VLOOKUP(calendar[[#This Row],[Date]],BH!E:E,1,)&lt;&gt;"",1,0),0)</f>
        <v>0</v>
      </c>
      <c r="O761">
        <f>IFERROR(IF(VLOOKUP(calendar[[#This Row],[Date]],BH!G:G,1,)&lt;&gt;"",1,0),0)</f>
        <v>0</v>
      </c>
      <c r="P761">
        <f>IF(OR(calendar[[#This Row],[UK_BH]]=1,calendar[[#This Row],[WeekDay]]=1, calendar[[#This Row],[WeekDay]]=7),P760,P760+1)</f>
        <v>543</v>
      </c>
      <c r="Q761">
        <f>IF(OR(calendar[[#This Row],[FR_BH]]=1,calendar[[#This Row],[WeekDay]]=1, calendar[[#This Row],[WeekDay]]=7),P760,P760+1)</f>
        <v>543</v>
      </c>
      <c r="R761">
        <f>IF(OR(calendar[[#This Row],[SP_BH]]=1,calendar[[#This Row],[WeekDay]]=1, calendar[[#This Row],[WeekDay]]=7),P760,P760+1)</f>
        <v>543</v>
      </c>
      <c r="S761">
        <f>IF(OR(calendar[[#This Row],[PT_BH]]=1,calendar[[#This Row],[WeekDay]]=1, calendar[[#This Row],[WeekDay]]=7),P760,P760+1)</f>
        <v>543</v>
      </c>
    </row>
    <row r="762" spans="1:19" x14ac:dyDescent="0.25">
      <c r="A762" s="2">
        <v>43496</v>
      </c>
      <c r="B762" s="1">
        <f t="shared" si="58"/>
        <v>5</v>
      </c>
      <c r="C762">
        <f t="shared" si="60"/>
        <v>1</v>
      </c>
      <c r="D762" t="str">
        <f t="shared" si="61"/>
        <v>January</v>
      </c>
      <c r="E762">
        <f t="shared" si="62"/>
        <v>2019</v>
      </c>
      <c r="F762" t="str">
        <f>CONCATENATE(calendar[[#This Row],[Month]],"/",calendar[[#This Row],[Year]])</f>
        <v>1/2019</v>
      </c>
      <c r="G762">
        <f>WEEKDAY(calendar[[#This Row],[Date]],1)</f>
        <v>5</v>
      </c>
      <c r="H762" t="str">
        <f>TEXT(calendar[[#This Row],[WeekDay]],"dddd")</f>
        <v>Thursday</v>
      </c>
      <c r="I762">
        <f>IF((INT(calendar[[#This Row],[Count]]/7)-calendar[[#This Row],[Count]]/7)&lt;0,I761,I761+1)</f>
        <v>109</v>
      </c>
      <c r="J762">
        <f t="shared" si="59"/>
        <v>760</v>
      </c>
      <c r="K762">
        <f>IF(calendar[[#This Row],[Month]]&lt;4,1,IF(calendar[[#This Row],[Month]]&lt;7,2,IF(calendar[[#This Row],[Month]]&lt;10,3,4)))</f>
        <v>1</v>
      </c>
      <c r="L762">
        <f>IFERROR(IF(VLOOKUP(calendar[[#This Row],[Date]],BH!A:A,1,)&lt;&gt;"",1,0),0)</f>
        <v>0</v>
      </c>
      <c r="M762">
        <f>IFERROR(IF(VLOOKUP(calendar[[#This Row],[Date]],BH!C:C,1,)&lt;&gt;"",1,0),0)</f>
        <v>0</v>
      </c>
      <c r="N762">
        <f>IFERROR(IF(VLOOKUP(calendar[[#This Row],[Date]],BH!E:E,1,)&lt;&gt;"",1,0),0)</f>
        <v>0</v>
      </c>
      <c r="O762">
        <f>IFERROR(IF(VLOOKUP(calendar[[#This Row],[Date]],BH!G:G,1,)&lt;&gt;"",1,0),0)</f>
        <v>0</v>
      </c>
      <c r="P762">
        <f>IF(OR(calendar[[#This Row],[UK_BH]]=1,calendar[[#This Row],[WeekDay]]=1, calendar[[#This Row],[WeekDay]]=7),P761,P761+1)</f>
        <v>544</v>
      </c>
      <c r="Q762">
        <f>IF(OR(calendar[[#This Row],[FR_BH]]=1,calendar[[#This Row],[WeekDay]]=1, calendar[[#This Row],[WeekDay]]=7),P761,P761+1)</f>
        <v>544</v>
      </c>
      <c r="R762">
        <f>IF(OR(calendar[[#This Row],[SP_BH]]=1,calendar[[#This Row],[WeekDay]]=1, calendar[[#This Row],[WeekDay]]=7),P761,P761+1)</f>
        <v>544</v>
      </c>
      <c r="S762">
        <f>IF(OR(calendar[[#This Row],[PT_BH]]=1,calendar[[#This Row],[WeekDay]]=1, calendar[[#This Row],[WeekDay]]=7),P761,P761+1)</f>
        <v>544</v>
      </c>
    </row>
    <row r="763" spans="1:19" x14ac:dyDescent="0.25">
      <c r="A763" s="2">
        <v>43497</v>
      </c>
      <c r="B763" s="1">
        <f t="shared" si="58"/>
        <v>5</v>
      </c>
      <c r="C763">
        <f t="shared" si="60"/>
        <v>2</v>
      </c>
      <c r="D763" t="str">
        <f t="shared" si="61"/>
        <v>February</v>
      </c>
      <c r="E763">
        <f t="shared" si="62"/>
        <v>2019</v>
      </c>
      <c r="F763" t="str">
        <f>CONCATENATE(calendar[[#This Row],[Month]],"/",calendar[[#This Row],[Year]])</f>
        <v>2/2019</v>
      </c>
      <c r="G763">
        <f>WEEKDAY(calendar[[#This Row],[Date]],1)</f>
        <v>6</v>
      </c>
      <c r="H763" t="str">
        <f>TEXT(calendar[[#This Row],[WeekDay]],"dddd")</f>
        <v>Friday</v>
      </c>
      <c r="I763">
        <f>IF((INT(calendar[[#This Row],[Count]]/7)-calendar[[#This Row],[Count]]/7)&lt;0,I762,I762+1)</f>
        <v>109</v>
      </c>
      <c r="J763">
        <f t="shared" si="59"/>
        <v>761</v>
      </c>
      <c r="K763">
        <f>IF(calendar[[#This Row],[Month]]&lt;4,1,IF(calendar[[#This Row],[Month]]&lt;7,2,IF(calendar[[#This Row],[Month]]&lt;10,3,4)))</f>
        <v>1</v>
      </c>
      <c r="L763">
        <f>IFERROR(IF(VLOOKUP(calendar[[#This Row],[Date]],BH!A:A,1,)&lt;&gt;"",1,0),0)</f>
        <v>0</v>
      </c>
      <c r="M763">
        <f>IFERROR(IF(VLOOKUP(calendar[[#This Row],[Date]],BH!C:C,1,)&lt;&gt;"",1,0),0)</f>
        <v>0</v>
      </c>
      <c r="N763">
        <f>IFERROR(IF(VLOOKUP(calendar[[#This Row],[Date]],BH!E:E,1,)&lt;&gt;"",1,0),0)</f>
        <v>0</v>
      </c>
      <c r="O763">
        <f>IFERROR(IF(VLOOKUP(calendar[[#This Row],[Date]],BH!G:G,1,)&lt;&gt;"",1,0),0)</f>
        <v>0</v>
      </c>
      <c r="P763">
        <f>IF(OR(calendar[[#This Row],[UK_BH]]=1,calendar[[#This Row],[WeekDay]]=1, calendar[[#This Row],[WeekDay]]=7),P762,P762+1)</f>
        <v>545</v>
      </c>
      <c r="Q763">
        <f>IF(OR(calendar[[#This Row],[FR_BH]]=1,calendar[[#This Row],[WeekDay]]=1, calendar[[#This Row],[WeekDay]]=7),P762,P762+1)</f>
        <v>545</v>
      </c>
      <c r="R763">
        <f>IF(OR(calendar[[#This Row],[SP_BH]]=1,calendar[[#This Row],[WeekDay]]=1, calendar[[#This Row],[WeekDay]]=7),P762,P762+1)</f>
        <v>545</v>
      </c>
      <c r="S763">
        <f>IF(OR(calendar[[#This Row],[PT_BH]]=1,calendar[[#This Row],[WeekDay]]=1, calendar[[#This Row],[WeekDay]]=7),P762,P762+1)</f>
        <v>545</v>
      </c>
    </row>
    <row r="764" spans="1:19" x14ac:dyDescent="0.25">
      <c r="A764" s="2">
        <v>43498</v>
      </c>
      <c r="B764" s="1">
        <f t="shared" si="58"/>
        <v>5</v>
      </c>
      <c r="C764">
        <f t="shared" si="60"/>
        <v>2</v>
      </c>
      <c r="D764" t="str">
        <f t="shared" si="61"/>
        <v>February</v>
      </c>
      <c r="E764">
        <f t="shared" si="62"/>
        <v>2019</v>
      </c>
      <c r="F764" t="str">
        <f>CONCATENATE(calendar[[#This Row],[Month]],"/",calendar[[#This Row],[Year]])</f>
        <v>2/2019</v>
      </c>
      <c r="G764">
        <f>WEEKDAY(calendar[[#This Row],[Date]],1)</f>
        <v>7</v>
      </c>
      <c r="H764" t="str">
        <f>TEXT(calendar[[#This Row],[WeekDay]],"dddd")</f>
        <v>Saturday</v>
      </c>
      <c r="I764">
        <f>IF((INT(calendar[[#This Row],[Count]]/7)-calendar[[#This Row],[Count]]/7)&lt;0,I763,I763+1)</f>
        <v>109</v>
      </c>
      <c r="J764">
        <f t="shared" si="59"/>
        <v>762</v>
      </c>
      <c r="K764">
        <f>IF(calendar[[#This Row],[Month]]&lt;4,1,IF(calendar[[#This Row],[Month]]&lt;7,2,IF(calendar[[#This Row],[Month]]&lt;10,3,4)))</f>
        <v>1</v>
      </c>
      <c r="L764">
        <f>IFERROR(IF(VLOOKUP(calendar[[#This Row],[Date]],BH!A:A,1,)&lt;&gt;"",1,0),0)</f>
        <v>0</v>
      </c>
      <c r="M764">
        <f>IFERROR(IF(VLOOKUP(calendar[[#This Row],[Date]],BH!C:C,1,)&lt;&gt;"",1,0),0)</f>
        <v>0</v>
      </c>
      <c r="N764">
        <f>IFERROR(IF(VLOOKUP(calendar[[#This Row],[Date]],BH!E:E,1,)&lt;&gt;"",1,0),0)</f>
        <v>0</v>
      </c>
      <c r="O764">
        <f>IFERROR(IF(VLOOKUP(calendar[[#This Row],[Date]],BH!G:G,1,)&lt;&gt;"",1,0),0)</f>
        <v>0</v>
      </c>
      <c r="P764">
        <f>IF(OR(calendar[[#This Row],[UK_BH]]=1,calendar[[#This Row],[WeekDay]]=1, calendar[[#This Row],[WeekDay]]=7),P763,P763+1)</f>
        <v>545</v>
      </c>
      <c r="Q764">
        <f>IF(OR(calendar[[#This Row],[FR_BH]]=1,calendar[[#This Row],[WeekDay]]=1, calendar[[#This Row],[WeekDay]]=7),P763,P763+1)</f>
        <v>545</v>
      </c>
      <c r="R764">
        <f>IF(OR(calendar[[#This Row],[SP_BH]]=1,calendar[[#This Row],[WeekDay]]=1, calendar[[#This Row],[WeekDay]]=7),P763,P763+1)</f>
        <v>545</v>
      </c>
      <c r="S764">
        <f>IF(OR(calendar[[#This Row],[PT_BH]]=1,calendar[[#This Row],[WeekDay]]=1, calendar[[#This Row],[WeekDay]]=7),P763,P763+1)</f>
        <v>545</v>
      </c>
    </row>
    <row r="765" spans="1:19" x14ac:dyDescent="0.25">
      <c r="A765" s="2">
        <v>43499</v>
      </c>
      <c r="B765" s="1">
        <f t="shared" si="58"/>
        <v>6</v>
      </c>
      <c r="C765">
        <f t="shared" si="60"/>
        <v>2</v>
      </c>
      <c r="D765" t="str">
        <f t="shared" si="61"/>
        <v>February</v>
      </c>
      <c r="E765">
        <f t="shared" si="62"/>
        <v>2019</v>
      </c>
      <c r="F765" t="str">
        <f>CONCATENATE(calendar[[#This Row],[Month]],"/",calendar[[#This Row],[Year]])</f>
        <v>2/2019</v>
      </c>
      <c r="G765">
        <f>WEEKDAY(calendar[[#This Row],[Date]],1)</f>
        <v>1</v>
      </c>
      <c r="H765" t="str">
        <f>TEXT(calendar[[#This Row],[WeekDay]],"dddd")</f>
        <v>Sunday</v>
      </c>
      <c r="I765">
        <f>IF((INT(calendar[[#This Row],[Count]]/7)-calendar[[#This Row],[Count]]/7)&lt;0,I764,I764+1)</f>
        <v>110</v>
      </c>
      <c r="J765">
        <f t="shared" si="59"/>
        <v>763</v>
      </c>
      <c r="K765">
        <f>IF(calendar[[#This Row],[Month]]&lt;4,1,IF(calendar[[#This Row],[Month]]&lt;7,2,IF(calendar[[#This Row],[Month]]&lt;10,3,4)))</f>
        <v>1</v>
      </c>
      <c r="L765">
        <f>IFERROR(IF(VLOOKUP(calendar[[#This Row],[Date]],BH!A:A,1,)&lt;&gt;"",1,0),0)</f>
        <v>0</v>
      </c>
      <c r="M765">
        <f>IFERROR(IF(VLOOKUP(calendar[[#This Row],[Date]],BH!C:C,1,)&lt;&gt;"",1,0),0)</f>
        <v>0</v>
      </c>
      <c r="N765">
        <f>IFERROR(IF(VLOOKUP(calendar[[#This Row],[Date]],BH!E:E,1,)&lt;&gt;"",1,0),0)</f>
        <v>0</v>
      </c>
      <c r="O765">
        <f>IFERROR(IF(VLOOKUP(calendar[[#This Row],[Date]],BH!G:G,1,)&lt;&gt;"",1,0),0)</f>
        <v>0</v>
      </c>
      <c r="P765">
        <f>IF(OR(calendar[[#This Row],[UK_BH]]=1,calendar[[#This Row],[WeekDay]]=1, calendar[[#This Row],[WeekDay]]=7),P764,P764+1)</f>
        <v>545</v>
      </c>
      <c r="Q765">
        <f>IF(OR(calendar[[#This Row],[FR_BH]]=1,calendar[[#This Row],[WeekDay]]=1, calendar[[#This Row],[WeekDay]]=7),P764,P764+1)</f>
        <v>545</v>
      </c>
      <c r="R765">
        <f>IF(OR(calendar[[#This Row],[SP_BH]]=1,calendar[[#This Row],[WeekDay]]=1, calendar[[#This Row],[WeekDay]]=7),P764,P764+1)</f>
        <v>545</v>
      </c>
      <c r="S765">
        <f>IF(OR(calendar[[#This Row],[PT_BH]]=1,calendar[[#This Row],[WeekDay]]=1, calendar[[#This Row],[WeekDay]]=7),P764,P764+1)</f>
        <v>545</v>
      </c>
    </row>
    <row r="766" spans="1:19" x14ac:dyDescent="0.25">
      <c r="A766" s="2">
        <v>43500</v>
      </c>
      <c r="B766" s="1">
        <f t="shared" si="58"/>
        <v>6</v>
      </c>
      <c r="C766">
        <f t="shared" si="60"/>
        <v>2</v>
      </c>
      <c r="D766" t="str">
        <f t="shared" si="61"/>
        <v>February</v>
      </c>
      <c r="E766">
        <f t="shared" si="62"/>
        <v>2019</v>
      </c>
      <c r="F766" t="str">
        <f>CONCATENATE(calendar[[#This Row],[Month]],"/",calendar[[#This Row],[Year]])</f>
        <v>2/2019</v>
      </c>
      <c r="G766">
        <f>WEEKDAY(calendar[[#This Row],[Date]],1)</f>
        <v>2</v>
      </c>
      <c r="H766" t="str">
        <f>TEXT(calendar[[#This Row],[WeekDay]],"dddd")</f>
        <v>Monday</v>
      </c>
      <c r="I766">
        <f>IF((INT(calendar[[#This Row],[Count]]/7)-calendar[[#This Row],[Count]]/7)&lt;0,I765,I765+1)</f>
        <v>110</v>
      </c>
      <c r="J766">
        <f t="shared" si="59"/>
        <v>764</v>
      </c>
      <c r="K766">
        <f>IF(calendar[[#This Row],[Month]]&lt;4,1,IF(calendar[[#This Row],[Month]]&lt;7,2,IF(calendar[[#This Row],[Month]]&lt;10,3,4)))</f>
        <v>1</v>
      </c>
      <c r="L766">
        <f>IFERROR(IF(VLOOKUP(calendar[[#This Row],[Date]],BH!A:A,1,)&lt;&gt;"",1,0),0)</f>
        <v>0</v>
      </c>
      <c r="M766">
        <f>IFERROR(IF(VLOOKUP(calendar[[#This Row],[Date]],BH!C:C,1,)&lt;&gt;"",1,0),0)</f>
        <v>0</v>
      </c>
      <c r="N766">
        <f>IFERROR(IF(VLOOKUP(calendar[[#This Row],[Date]],BH!E:E,1,)&lt;&gt;"",1,0),0)</f>
        <v>0</v>
      </c>
      <c r="O766">
        <f>IFERROR(IF(VLOOKUP(calendar[[#This Row],[Date]],BH!G:G,1,)&lt;&gt;"",1,0),0)</f>
        <v>0</v>
      </c>
      <c r="P766">
        <f>IF(OR(calendar[[#This Row],[UK_BH]]=1,calendar[[#This Row],[WeekDay]]=1, calendar[[#This Row],[WeekDay]]=7),P765,P765+1)</f>
        <v>546</v>
      </c>
      <c r="Q766">
        <f>IF(OR(calendar[[#This Row],[FR_BH]]=1,calendar[[#This Row],[WeekDay]]=1, calendar[[#This Row],[WeekDay]]=7),P765,P765+1)</f>
        <v>546</v>
      </c>
      <c r="R766">
        <f>IF(OR(calendar[[#This Row],[SP_BH]]=1,calendar[[#This Row],[WeekDay]]=1, calendar[[#This Row],[WeekDay]]=7),P765,P765+1)</f>
        <v>546</v>
      </c>
      <c r="S766">
        <f>IF(OR(calendar[[#This Row],[PT_BH]]=1,calendar[[#This Row],[WeekDay]]=1, calendar[[#This Row],[WeekDay]]=7),P765,P765+1)</f>
        <v>546</v>
      </c>
    </row>
    <row r="767" spans="1:19" x14ac:dyDescent="0.25">
      <c r="A767" s="2">
        <v>43501</v>
      </c>
      <c r="B767" s="1">
        <f t="shared" si="58"/>
        <v>6</v>
      </c>
      <c r="C767">
        <f t="shared" si="60"/>
        <v>2</v>
      </c>
      <c r="D767" t="str">
        <f t="shared" si="61"/>
        <v>February</v>
      </c>
      <c r="E767">
        <f t="shared" si="62"/>
        <v>2019</v>
      </c>
      <c r="F767" t="str">
        <f>CONCATENATE(calendar[[#This Row],[Month]],"/",calendar[[#This Row],[Year]])</f>
        <v>2/2019</v>
      </c>
      <c r="G767">
        <f>WEEKDAY(calendar[[#This Row],[Date]],1)</f>
        <v>3</v>
      </c>
      <c r="H767" t="str">
        <f>TEXT(calendar[[#This Row],[WeekDay]],"dddd")</f>
        <v>Tuesday</v>
      </c>
      <c r="I767">
        <f>IF((INT(calendar[[#This Row],[Count]]/7)-calendar[[#This Row],[Count]]/7)&lt;0,I766,I766+1)</f>
        <v>110</v>
      </c>
      <c r="J767">
        <f t="shared" si="59"/>
        <v>765</v>
      </c>
      <c r="K767">
        <f>IF(calendar[[#This Row],[Month]]&lt;4,1,IF(calendar[[#This Row],[Month]]&lt;7,2,IF(calendar[[#This Row],[Month]]&lt;10,3,4)))</f>
        <v>1</v>
      </c>
      <c r="L767">
        <f>IFERROR(IF(VLOOKUP(calendar[[#This Row],[Date]],BH!A:A,1,)&lt;&gt;"",1,0),0)</f>
        <v>0</v>
      </c>
      <c r="M767">
        <f>IFERROR(IF(VLOOKUP(calendar[[#This Row],[Date]],BH!C:C,1,)&lt;&gt;"",1,0),0)</f>
        <v>0</v>
      </c>
      <c r="N767">
        <f>IFERROR(IF(VLOOKUP(calendar[[#This Row],[Date]],BH!E:E,1,)&lt;&gt;"",1,0),0)</f>
        <v>0</v>
      </c>
      <c r="O767">
        <f>IFERROR(IF(VLOOKUP(calendar[[#This Row],[Date]],BH!G:G,1,)&lt;&gt;"",1,0),0)</f>
        <v>0</v>
      </c>
      <c r="P767">
        <f>IF(OR(calendar[[#This Row],[UK_BH]]=1,calendar[[#This Row],[WeekDay]]=1, calendar[[#This Row],[WeekDay]]=7),P766,P766+1)</f>
        <v>547</v>
      </c>
      <c r="Q767">
        <f>IF(OR(calendar[[#This Row],[FR_BH]]=1,calendar[[#This Row],[WeekDay]]=1, calendar[[#This Row],[WeekDay]]=7),P766,P766+1)</f>
        <v>547</v>
      </c>
      <c r="R767">
        <f>IF(OR(calendar[[#This Row],[SP_BH]]=1,calendar[[#This Row],[WeekDay]]=1, calendar[[#This Row],[WeekDay]]=7),P766,P766+1)</f>
        <v>547</v>
      </c>
      <c r="S767">
        <f>IF(OR(calendar[[#This Row],[PT_BH]]=1,calendar[[#This Row],[WeekDay]]=1, calendar[[#This Row],[WeekDay]]=7),P766,P766+1)</f>
        <v>547</v>
      </c>
    </row>
    <row r="768" spans="1:19" x14ac:dyDescent="0.25">
      <c r="A768" s="2">
        <v>43502</v>
      </c>
      <c r="B768" s="1">
        <f t="shared" si="58"/>
        <v>6</v>
      </c>
      <c r="C768">
        <f t="shared" si="60"/>
        <v>2</v>
      </c>
      <c r="D768" t="str">
        <f t="shared" si="61"/>
        <v>February</v>
      </c>
      <c r="E768">
        <f t="shared" si="62"/>
        <v>2019</v>
      </c>
      <c r="F768" t="str">
        <f>CONCATENATE(calendar[[#This Row],[Month]],"/",calendar[[#This Row],[Year]])</f>
        <v>2/2019</v>
      </c>
      <c r="G768">
        <f>WEEKDAY(calendar[[#This Row],[Date]],1)</f>
        <v>4</v>
      </c>
      <c r="H768" t="str">
        <f>TEXT(calendar[[#This Row],[WeekDay]],"dddd")</f>
        <v>Wednesday</v>
      </c>
      <c r="I768">
        <f>IF((INT(calendar[[#This Row],[Count]]/7)-calendar[[#This Row],[Count]]/7)&lt;0,I767,I767+1)</f>
        <v>110</v>
      </c>
      <c r="J768">
        <f t="shared" si="59"/>
        <v>766</v>
      </c>
      <c r="K768">
        <f>IF(calendar[[#This Row],[Month]]&lt;4,1,IF(calendar[[#This Row],[Month]]&lt;7,2,IF(calendar[[#This Row],[Month]]&lt;10,3,4)))</f>
        <v>1</v>
      </c>
      <c r="L768">
        <f>IFERROR(IF(VLOOKUP(calendar[[#This Row],[Date]],BH!A:A,1,)&lt;&gt;"",1,0),0)</f>
        <v>0</v>
      </c>
      <c r="M768">
        <f>IFERROR(IF(VLOOKUP(calendar[[#This Row],[Date]],BH!C:C,1,)&lt;&gt;"",1,0),0)</f>
        <v>0</v>
      </c>
      <c r="N768">
        <f>IFERROR(IF(VLOOKUP(calendar[[#This Row],[Date]],BH!E:E,1,)&lt;&gt;"",1,0),0)</f>
        <v>0</v>
      </c>
      <c r="O768">
        <f>IFERROR(IF(VLOOKUP(calendar[[#This Row],[Date]],BH!G:G,1,)&lt;&gt;"",1,0),0)</f>
        <v>0</v>
      </c>
      <c r="P768">
        <f>IF(OR(calendar[[#This Row],[UK_BH]]=1,calendar[[#This Row],[WeekDay]]=1, calendar[[#This Row],[WeekDay]]=7),P767,P767+1)</f>
        <v>548</v>
      </c>
      <c r="Q768">
        <f>IF(OR(calendar[[#This Row],[FR_BH]]=1,calendar[[#This Row],[WeekDay]]=1, calendar[[#This Row],[WeekDay]]=7),P767,P767+1)</f>
        <v>548</v>
      </c>
      <c r="R768">
        <f>IF(OR(calendar[[#This Row],[SP_BH]]=1,calendar[[#This Row],[WeekDay]]=1, calendar[[#This Row],[WeekDay]]=7),P767,P767+1)</f>
        <v>548</v>
      </c>
      <c r="S768">
        <f>IF(OR(calendar[[#This Row],[PT_BH]]=1,calendar[[#This Row],[WeekDay]]=1, calendar[[#This Row],[WeekDay]]=7),P767,P767+1)</f>
        <v>548</v>
      </c>
    </row>
    <row r="769" spans="1:19" x14ac:dyDescent="0.25">
      <c r="A769" s="2">
        <v>43503</v>
      </c>
      <c r="B769" s="1">
        <f t="shared" si="58"/>
        <v>6</v>
      </c>
      <c r="C769">
        <f t="shared" si="60"/>
        <v>2</v>
      </c>
      <c r="D769" t="str">
        <f t="shared" si="61"/>
        <v>February</v>
      </c>
      <c r="E769">
        <f t="shared" si="62"/>
        <v>2019</v>
      </c>
      <c r="F769" t="str">
        <f>CONCATENATE(calendar[[#This Row],[Month]],"/",calendar[[#This Row],[Year]])</f>
        <v>2/2019</v>
      </c>
      <c r="G769">
        <f>WEEKDAY(calendar[[#This Row],[Date]],1)</f>
        <v>5</v>
      </c>
      <c r="H769" t="str">
        <f>TEXT(calendar[[#This Row],[WeekDay]],"dddd")</f>
        <v>Thursday</v>
      </c>
      <c r="I769">
        <f>IF((INT(calendar[[#This Row],[Count]]/7)-calendar[[#This Row],[Count]]/7)&lt;0,I768,I768+1)</f>
        <v>110</v>
      </c>
      <c r="J769">
        <f t="shared" si="59"/>
        <v>767</v>
      </c>
      <c r="K769">
        <f>IF(calendar[[#This Row],[Month]]&lt;4,1,IF(calendar[[#This Row],[Month]]&lt;7,2,IF(calendar[[#This Row],[Month]]&lt;10,3,4)))</f>
        <v>1</v>
      </c>
      <c r="L769">
        <f>IFERROR(IF(VLOOKUP(calendar[[#This Row],[Date]],BH!A:A,1,)&lt;&gt;"",1,0),0)</f>
        <v>0</v>
      </c>
      <c r="M769">
        <f>IFERROR(IF(VLOOKUP(calendar[[#This Row],[Date]],BH!C:C,1,)&lt;&gt;"",1,0),0)</f>
        <v>0</v>
      </c>
      <c r="N769">
        <f>IFERROR(IF(VLOOKUP(calendar[[#This Row],[Date]],BH!E:E,1,)&lt;&gt;"",1,0),0)</f>
        <v>0</v>
      </c>
      <c r="O769">
        <f>IFERROR(IF(VLOOKUP(calendar[[#This Row],[Date]],BH!G:G,1,)&lt;&gt;"",1,0),0)</f>
        <v>0</v>
      </c>
      <c r="P769">
        <f>IF(OR(calendar[[#This Row],[UK_BH]]=1,calendar[[#This Row],[WeekDay]]=1, calendar[[#This Row],[WeekDay]]=7),P768,P768+1)</f>
        <v>549</v>
      </c>
      <c r="Q769">
        <f>IF(OR(calendar[[#This Row],[FR_BH]]=1,calendar[[#This Row],[WeekDay]]=1, calendar[[#This Row],[WeekDay]]=7),P768,P768+1)</f>
        <v>549</v>
      </c>
      <c r="R769">
        <f>IF(OR(calendar[[#This Row],[SP_BH]]=1,calendar[[#This Row],[WeekDay]]=1, calendar[[#This Row],[WeekDay]]=7),P768,P768+1)</f>
        <v>549</v>
      </c>
      <c r="S769">
        <f>IF(OR(calendar[[#This Row],[PT_BH]]=1,calendar[[#This Row],[WeekDay]]=1, calendar[[#This Row],[WeekDay]]=7),P768,P768+1)</f>
        <v>549</v>
      </c>
    </row>
    <row r="770" spans="1:19" x14ac:dyDescent="0.25">
      <c r="A770" s="2">
        <v>43504</v>
      </c>
      <c r="B770" s="1">
        <f t="shared" ref="B770:B833" si="63">WEEKNUM(A770)</f>
        <v>6</v>
      </c>
      <c r="C770">
        <f t="shared" si="60"/>
        <v>2</v>
      </c>
      <c r="D770" t="str">
        <f t="shared" si="61"/>
        <v>February</v>
      </c>
      <c r="E770">
        <f t="shared" si="62"/>
        <v>2019</v>
      </c>
      <c r="F770" t="str">
        <f>CONCATENATE(calendar[[#This Row],[Month]],"/",calendar[[#This Row],[Year]])</f>
        <v>2/2019</v>
      </c>
      <c r="G770">
        <f>WEEKDAY(calendar[[#This Row],[Date]],1)</f>
        <v>6</v>
      </c>
      <c r="H770" t="str">
        <f>TEXT(calendar[[#This Row],[WeekDay]],"dddd")</f>
        <v>Friday</v>
      </c>
      <c r="I770">
        <f>IF((INT(calendar[[#This Row],[Count]]/7)-calendar[[#This Row],[Count]]/7)&lt;0,I769,I769+1)</f>
        <v>110</v>
      </c>
      <c r="J770">
        <f t="shared" si="59"/>
        <v>768</v>
      </c>
      <c r="K770">
        <f>IF(calendar[[#This Row],[Month]]&lt;4,1,IF(calendar[[#This Row],[Month]]&lt;7,2,IF(calendar[[#This Row],[Month]]&lt;10,3,4)))</f>
        <v>1</v>
      </c>
      <c r="L770">
        <f>IFERROR(IF(VLOOKUP(calendar[[#This Row],[Date]],BH!A:A,1,)&lt;&gt;"",1,0),0)</f>
        <v>0</v>
      </c>
      <c r="M770">
        <f>IFERROR(IF(VLOOKUP(calendar[[#This Row],[Date]],BH!C:C,1,)&lt;&gt;"",1,0),0)</f>
        <v>0</v>
      </c>
      <c r="N770">
        <f>IFERROR(IF(VLOOKUP(calendar[[#This Row],[Date]],BH!E:E,1,)&lt;&gt;"",1,0),0)</f>
        <v>0</v>
      </c>
      <c r="O770">
        <f>IFERROR(IF(VLOOKUP(calendar[[#This Row],[Date]],BH!G:G,1,)&lt;&gt;"",1,0),0)</f>
        <v>0</v>
      </c>
      <c r="P770">
        <f>IF(OR(calendar[[#This Row],[UK_BH]]=1,calendar[[#This Row],[WeekDay]]=1, calendar[[#This Row],[WeekDay]]=7),P769,P769+1)</f>
        <v>550</v>
      </c>
      <c r="Q770">
        <f>IF(OR(calendar[[#This Row],[FR_BH]]=1,calendar[[#This Row],[WeekDay]]=1, calendar[[#This Row],[WeekDay]]=7),P769,P769+1)</f>
        <v>550</v>
      </c>
      <c r="R770">
        <f>IF(OR(calendar[[#This Row],[SP_BH]]=1,calendar[[#This Row],[WeekDay]]=1, calendar[[#This Row],[WeekDay]]=7),P769,P769+1)</f>
        <v>550</v>
      </c>
      <c r="S770">
        <f>IF(OR(calendar[[#This Row],[PT_BH]]=1,calendar[[#This Row],[WeekDay]]=1, calendar[[#This Row],[WeekDay]]=7),P769,P769+1)</f>
        <v>550</v>
      </c>
    </row>
    <row r="771" spans="1:19" x14ac:dyDescent="0.25">
      <c r="A771" s="2">
        <v>43505</v>
      </c>
      <c r="B771" s="1">
        <f t="shared" si="63"/>
        <v>6</v>
      </c>
      <c r="C771">
        <f t="shared" si="60"/>
        <v>2</v>
      </c>
      <c r="D771" t="str">
        <f t="shared" si="61"/>
        <v>February</v>
      </c>
      <c r="E771">
        <f t="shared" si="62"/>
        <v>2019</v>
      </c>
      <c r="F771" t="str">
        <f>CONCATENATE(calendar[[#This Row],[Month]],"/",calendar[[#This Row],[Year]])</f>
        <v>2/2019</v>
      </c>
      <c r="G771">
        <f>WEEKDAY(calendar[[#This Row],[Date]],1)</f>
        <v>7</v>
      </c>
      <c r="H771" t="str">
        <f>TEXT(calendar[[#This Row],[WeekDay]],"dddd")</f>
        <v>Saturday</v>
      </c>
      <c r="I771">
        <f>IF((INT(calendar[[#This Row],[Count]]/7)-calendar[[#This Row],[Count]]/7)&lt;0,I770,I770+1)</f>
        <v>110</v>
      </c>
      <c r="J771">
        <f t="shared" ref="J771:J834" si="64">J770+1</f>
        <v>769</v>
      </c>
      <c r="K771">
        <f>IF(calendar[[#This Row],[Month]]&lt;4,1,IF(calendar[[#This Row],[Month]]&lt;7,2,IF(calendar[[#This Row],[Month]]&lt;10,3,4)))</f>
        <v>1</v>
      </c>
      <c r="L771">
        <f>IFERROR(IF(VLOOKUP(calendar[[#This Row],[Date]],BH!A:A,1,)&lt;&gt;"",1,0),0)</f>
        <v>0</v>
      </c>
      <c r="M771">
        <f>IFERROR(IF(VLOOKUP(calendar[[#This Row],[Date]],BH!C:C,1,)&lt;&gt;"",1,0),0)</f>
        <v>0</v>
      </c>
      <c r="N771">
        <f>IFERROR(IF(VLOOKUP(calendar[[#This Row],[Date]],BH!E:E,1,)&lt;&gt;"",1,0),0)</f>
        <v>0</v>
      </c>
      <c r="O771">
        <f>IFERROR(IF(VLOOKUP(calendar[[#This Row],[Date]],BH!G:G,1,)&lt;&gt;"",1,0),0)</f>
        <v>0</v>
      </c>
      <c r="P771">
        <f>IF(OR(calendar[[#This Row],[UK_BH]]=1,calendar[[#This Row],[WeekDay]]=1, calendar[[#This Row],[WeekDay]]=7),P770,P770+1)</f>
        <v>550</v>
      </c>
      <c r="Q771">
        <f>IF(OR(calendar[[#This Row],[FR_BH]]=1,calendar[[#This Row],[WeekDay]]=1, calendar[[#This Row],[WeekDay]]=7),P770,P770+1)</f>
        <v>550</v>
      </c>
      <c r="R771">
        <f>IF(OR(calendar[[#This Row],[SP_BH]]=1,calendar[[#This Row],[WeekDay]]=1, calendar[[#This Row],[WeekDay]]=7),P770,P770+1)</f>
        <v>550</v>
      </c>
      <c r="S771">
        <f>IF(OR(calendar[[#This Row],[PT_BH]]=1,calendar[[#This Row],[WeekDay]]=1, calendar[[#This Row],[WeekDay]]=7),P770,P770+1)</f>
        <v>550</v>
      </c>
    </row>
    <row r="772" spans="1:19" x14ac:dyDescent="0.25">
      <c r="A772" s="2">
        <v>43506</v>
      </c>
      <c r="B772" s="1">
        <f t="shared" si="63"/>
        <v>7</v>
      </c>
      <c r="C772">
        <f t="shared" si="60"/>
        <v>2</v>
      </c>
      <c r="D772" t="str">
        <f t="shared" si="61"/>
        <v>February</v>
      </c>
      <c r="E772">
        <f t="shared" si="62"/>
        <v>2019</v>
      </c>
      <c r="F772" t="str">
        <f>CONCATENATE(calendar[[#This Row],[Month]],"/",calendar[[#This Row],[Year]])</f>
        <v>2/2019</v>
      </c>
      <c r="G772">
        <f>WEEKDAY(calendar[[#This Row],[Date]],1)</f>
        <v>1</v>
      </c>
      <c r="H772" t="str">
        <f>TEXT(calendar[[#This Row],[WeekDay]],"dddd")</f>
        <v>Sunday</v>
      </c>
      <c r="I772">
        <f>IF((INT(calendar[[#This Row],[Count]]/7)-calendar[[#This Row],[Count]]/7)&lt;0,I771,I771+1)</f>
        <v>111</v>
      </c>
      <c r="J772">
        <f t="shared" si="64"/>
        <v>770</v>
      </c>
      <c r="K772">
        <f>IF(calendar[[#This Row],[Month]]&lt;4,1,IF(calendar[[#This Row],[Month]]&lt;7,2,IF(calendar[[#This Row],[Month]]&lt;10,3,4)))</f>
        <v>1</v>
      </c>
      <c r="L772">
        <f>IFERROR(IF(VLOOKUP(calendar[[#This Row],[Date]],BH!A:A,1,)&lt;&gt;"",1,0),0)</f>
        <v>0</v>
      </c>
      <c r="M772">
        <f>IFERROR(IF(VLOOKUP(calendar[[#This Row],[Date]],BH!C:C,1,)&lt;&gt;"",1,0),0)</f>
        <v>0</v>
      </c>
      <c r="N772">
        <f>IFERROR(IF(VLOOKUP(calendar[[#This Row],[Date]],BH!E:E,1,)&lt;&gt;"",1,0),0)</f>
        <v>0</v>
      </c>
      <c r="O772">
        <f>IFERROR(IF(VLOOKUP(calendar[[#This Row],[Date]],BH!G:G,1,)&lt;&gt;"",1,0),0)</f>
        <v>0</v>
      </c>
      <c r="P772">
        <f>IF(OR(calendar[[#This Row],[UK_BH]]=1,calendar[[#This Row],[WeekDay]]=1, calendar[[#This Row],[WeekDay]]=7),P771,P771+1)</f>
        <v>550</v>
      </c>
      <c r="Q772">
        <f>IF(OR(calendar[[#This Row],[FR_BH]]=1,calendar[[#This Row],[WeekDay]]=1, calendar[[#This Row],[WeekDay]]=7),P771,P771+1)</f>
        <v>550</v>
      </c>
      <c r="R772">
        <f>IF(OR(calendar[[#This Row],[SP_BH]]=1,calendar[[#This Row],[WeekDay]]=1, calendar[[#This Row],[WeekDay]]=7),P771,P771+1)</f>
        <v>550</v>
      </c>
      <c r="S772">
        <f>IF(OR(calendar[[#This Row],[PT_BH]]=1,calendar[[#This Row],[WeekDay]]=1, calendar[[#This Row],[WeekDay]]=7),P771,P771+1)</f>
        <v>550</v>
      </c>
    </row>
    <row r="773" spans="1:19" x14ac:dyDescent="0.25">
      <c r="A773" s="2">
        <v>43507</v>
      </c>
      <c r="B773" s="1">
        <f t="shared" si="63"/>
        <v>7</v>
      </c>
      <c r="C773">
        <f t="shared" si="60"/>
        <v>2</v>
      </c>
      <c r="D773" t="str">
        <f t="shared" si="61"/>
        <v>February</v>
      </c>
      <c r="E773">
        <f t="shared" si="62"/>
        <v>2019</v>
      </c>
      <c r="F773" t="str">
        <f>CONCATENATE(calendar[[#This Row],[Month]],"/",calendar[[#This Row],[Year]])</f>
        <v>2/2019</v>
      </c>
      <c r="G773">
        <f>WEEKDAY(calendar[[#This Row],[Date]],1)</f>
        <v>2</v>
      </c>
      <c r="H773" t="str">
        <f>TEXT(calendar[[#This Row],[WeekDay]],"dddd")</f>
        <v>Monday</v>
      </c>
      <c r="I773">
        <f>IF((INT(calendar[[#This Row],[Count]]/7)-calendar[[#This Row],[Count]]/7)&lt;0,I772,I772+1)</f>
        <v>111</v>
      </c>
      <c r="J773">
        <f t="shared" si="64"/>
        <v>771</v>
      </c>
      <c r="K773">
        <f>IF(calendar[[#This Row],[Month]]&lt;4,1,IF(calendar[[#This Row],[Month]]&lt;7,2,IF(calendar[[#This Row],[Month]]&lt;10,3,4)))</f>
        <v>1</v>
      </c>
      <c r="L773">
        <f>IFERROR(IF(VLOOKUP(calendar[[#This Row],[Date]],BH!A:A,1,)&lt;&gt;"",1,0),0)</f>
        <v>0</v>
      </c>
      <c r="M773">
        <f>IFERROR(IF(VLOOKUP(calendar[[#This Row],[Date]],BH!C:C,1,)&lt;&gt;"",1,0),0)</f>
        <v>0</v>
      </c>
      <c r="N773">
        <f>IFERROR(IF(VLOOKUP(calendar[[#This Row],[Date]],BH!E:E,1,)&lt;&gt;"",1,0),0)</f>
        <v>0</v>
      </c>
      <c r="O773">
        <f>IFERROR(IF(VLOOKUP(calendar[[#This Row],[Date]],BH!G:G,1,)&lt;&gt;"",1,0),0)</f>
        <v>0</v>
      </c>
      <c r="P773">
        <f>IF(OR(calendar[[#This Row],[UK_BH]]=1,calendar[[#This Row],[WeekDay]]=1, calendar[[#This Row],[WeekDay]]=7),P772,P772+1)</f>
        <v>551</v>
      </c>
      <c r="Q773">
        <f>IF(OR(calendar[[#This Row],[FR_BH]]=1,calendar[[#This Row],[WeekDay]]=1, calendar[[#This Row],[WeekDay]]=7),P772,P772+1)</f>
        <v>551</v>
      </c>
      <c r="R773">
        <f>IF(OR(calendar[[#This Row],[SP_BH]]=1,calendar[[#This Row],[WeekDay]]=1, calendar[[#This Row],[WeekDay]]=7),P772,P772+1)</f>
        <v>551</v>
      </c>
      <c r="S773">
        <f>IF(OR(calendar[[#This Row],[PT_BH]]=1,calendar[[#This Row],[WeekDay]]=1, calendar[[#This Row],[WeekDay]]=7),P772,P772+1)</f>
        <v>551</v>
      </c>
    </row>
    <row r="774" spans="1:19" x14ac:dyDescent="0.25">
      <c r="A774" s="2">
        <v>43508</v>
      </c>
      <c r="B774" s="1">
        <f t="shared" si="63"/>
        <v>7</v>
      </c>
      <c r="C774">
        <f t="shared" si="60"/>
        <v>2</v>
      </c>
      <c r="D774" t="str">
        <f t="shared" si="61"/>
        <v>February</v>
      </c>
      <c r="E774">
        <f t="shared" si="62"/>
        <v>2019</v>
      </c>
      <c r="F774" t="str">
        <f>CONCATENATE(calendar[[#This Row],[Month]],"/",calendar[[#This Row],[Year]])</f>
        <v>2/2019</v>
      </c>
      <c r="G774">
        <f>WEEKDAY(calendar[[#This Row],[Date]],1)</f>
        <v>3</v>
      </c>
      <c r="H774" t="str">
        <f>TEXT(calendar[[#This Row],[WeekDay]],"dddd")</f>
        <v>Tuesday</v>
      </c>
      <c r="I774">
        <f>IF((INT(calendar[[#This Row],[Count]]/7)-calendar[[#This Row],[Count]]/7)&lt;0,I773,I773+1)</f>
        <v>111</v>
      </c>
      <c r="J774">
        <f t="shared" si="64"/>
        <v>772</v>
      </c>
      <c r="K774">
        <f>IF(calendar[[#This Row],[Month]]&lt;4,1,IF(calendar[[#This Row],[Month]]&lt;7,2,IF(calendar[[#This Row],[Month]]&lt;10,3,4)))</f>
        <v>1</v>
      </c>
      <c r="L774">
        <f>IFERROR(IF(VLOOKUP(calendar[[#This Row],[Date]],BH!A:A,1,)&lt;&gt;"",1,0),0)</f>
        <v>0</v>
      </c>
      <c r="M774">
        <f>IFERROR(IF(VLOOKUP(calendar[[#This Row],[Date]],BH!C:C,1,)&lt;&gt;"",1,0),0)</f>
        <v>0</v>
      </c>
      <c r="N774">
        <f>IFERROR(IF(VLOOKUP(calendar[[#This Row],[Date]],BH!E:E,1,)&lt;&gt;"",1,0),0)</f>
        <v>0</v>
      </c>
      <c r="O774">
        <f>IFERROR(IF(VLOOKUP(calendar[[#This Row],[Date]],BH!G:G,1,)&lt;&gt;"",1,0),0)</f>
        <v>0</v>
      </c>
      <c r="P774">
        <f>IF(OR(calendar[[#This Row],[UK_BH]]=1,calendar[[#This Row],[WeekDay]]=1, calendar[[#This Row],[WeekDay]]=7),P773,P773+1)</f>
        <v>552</v>
      </c>
      <c r="Q774">
        <f>IF(OR(calendar[[#This Row],[FR_BH]]=1,calendar[[#This Row],[WeekDay]]=1, calendar[[#This Row],[WeekDay]]=7),P773,P773+1)</f>
        <v>552</v>
      </c>
      <c r="R774">
        <f>IF(OR(calendar[[#This Row],[SP_BH]]=1,calendar[[#This Row],[WeekDay]]=1, calendar[[#This Row],[WeekDay]]=7),P773,P773+1)</f>
        <v>552</v>
      </c>
      <c r="S774">
        <f>IF(OR(calendar[[#This Row],[PT_BH]]=1,calendar[[#This Row],[WeekDay]]=1, calendar[[#This Row],[WeekDay]]=7),P773,P773+1)</f>
        <v>552</v>
      </c>
    </row>
    <row r="775" spans="1:19" x14ac:dyDescent="0.25">
      <c r="A775" s="2">
        <v>43509</v>
      </c>
      <c r="B775" s="1">
        <f t="shared" si="63"/>
        <v>7</v>
      </c>
      <c r="C775">
        <f t="shared" si="60"/>
        <v>2</v>
      </c>
      <c r="D775" t="str">
        <f t="shared" si="61"/>
        <v>February</v>
      </c>
      <c r="E775">
        <f t="shared" si="62"/>
        <v>2019</v>
      </c>
      <c r="F775" t="str">
        <f>CONCATENATE(calendar[[#This Row],[Month]],"/",calendar[[#This Row],[Year]])</f>
        <v>2/2019</v>
      </c>
      <c r="G775">
        <f>WEEKDAY(calendar[[#This Row],[Date]],1)</f>
        <v>4</v>
      </c>
      <c r="H775" t="str">
        <f>TEXT(calendar[[#This Row],[WeekDay]],"dddd")</f>
        <v>Wednesday</v>
      </c>
      <c r="I775">
        <f>IF((INT(calendar[[#This Row],[Count]]/7)-calendar[[#This Row],[Count]]/7)&lt;0,I774,I774+1)</f>
        <v>111</v>
      </c>
      <c r="J775">
        <f t="shared" si="64"/>
        <v>773</v>
      </c>
      <c r="K775">
        <f>IF(calendar[[#This Row],[Month]]&lt;4,1,IF(calendar[[#This Row],[Month]]&lt;7,2,IF(calendar[[#This Row],[Month]]&lt;10,3,4)))</f>
        <v>1</v>
      </c>
      <c r="L775">
        <f>IFERROR(IF(VLOOKUP(calendar[[#This Row],[Date]],BH!A:A,1,)&lt;&gt;"",1,0),0)</f>
        <v>0</v>
      </c>
      <c r="M775">
        <f>IFERROR(IF(VLOOKUP(calendar[[#This Row],[Date]],BH!C:C,1,)&lt;&gt;"",1,0),0)</f>
        <v>0</v>
      </c>
      <c r="N775">
        <f>IFERROR(IF(VLOOKUP(calendar[[#This Row],[Date]],BH!E:E,1,)&lt;&gt;"",1,0),0)</f>
        <v>0</v>
      </c>
      <c r="O775">
        <f>IFERROR(IF(VLOOKUP(calendar[[#This Row],[Date]],BH!G:G,1,)&lt;&gt;"",1,0),0)</f>
        <v>0</v>
      </c>
      <c r="P775">
        <f>IF(OR(calendar[[#This Row],[UK_BH]]=1,calendar[[#This Row],[WeekDay]]=1, calendar[[#This Row],[WeekDay]]=7),P774,P774+1)</f>
        <v>553</v>
      </c>
      <c r="Q775">
        <f>IF(OR(calendar[[#This Row],[FR_BH]]=1,calendar[[#This Row],[WeekDay]]=1, calendar[[#This Row],[WeekDay]]=7),P774,P774+1)</f>
        <v>553</v>
      </c>
      <c r="R775">
        <f>IF(OR(calendar[[#This Row],[SP_BH]]=1,calendar[[#This Row],[WeekDay]]=1, calendar[[#This Row],[WeekDay]]=7),P774,P774+1)</f>
        <v>553</v>
      </c>
      <c r="S775">
        <f>IF(OR(calendar[[#This Row],[PT_BH]]=1,calendar[[#This Row],[WeekDay]]=1, calendar[[#This Row],[WeekDay]]=7),P774,P774+1)</f>
        <v>553</v>
      </c>
    </row>
    <row r="776" spans="1:19" x14ac:dyDescent="0.25">
      <c r="A776" s="2">
        <v>43510</v>
      </c>
      <c r="B776" s="1">
        <f t="shared" si="63"/>
        <v>7</v>
      </c>
      <c r="C776">
        <f t="shared" si="60"/>
        <v>2</v>
      </c>
      <c r="D776" t="str">
        <f t="shared" si="61"/>
        <v>February</v>
      </c>
      <c r="E776">
        <f t="shared" si="62"/>
        <v>2019</v>
      </c>
      <c r="F776" t="str">
        <f>CONCATENATE(calendar[[#This Row],[Month]],"/",calendar[[#This Row],[Year]])</f>
        <v>2/2019</v>
      </c>
      <c r="G776">
        <f>WEEKDAY(calendar[[#This Row],[Date]],1)</f>
        <v>5</v>
      </c>
      <c r="H776" t="str">
        <f>TEXT(calendar[[#This Row],[WeekDay]],"dddd")</f>
        <v>Thursday</v>
      </c>
      <c r="I776">
        <f>IF((INT(calendar[[#This Row],[Count]]/7)-calendar[[#This Row],[Count]]/7)&lt;0,I775,I775+1)</f>
        <v>111</v>
      </c>
      <c r="J776">
        <f t="shared" si="64"/>
        <v>774</v>
      </c>
      <c r="K776">
        <f>IF(calendar[[#This Row],[Month]]&lt;4,1,IF(calendar[[#This Row],[Month]]&lt;7,2,IF(calendar[[#This Row],[Month]]&lt;10,3,4)))</f>
        <v>1</v>
      </c>
      <c r="L776">
        <f>IFERROR(IF(VLOOKUP(calendar[[#This Row],[Date]],BH!A:A,1,)&lt;&gt;"",1,0),0)</f>
        <v>0</v>
      </c>
      <c r="M776">
        <f>IFERROR(IF(VLOOKUP(calendar[[#This Row],[Date]],BH!C:C,1,)&lt;&gt;"",1,0),0)</f>
        <v>0</v>
      </c>
      <c r="N776">
        <f>IFERROR(IF(VLOOKUP(calendar[[#This Row],[Date]],BH!E:E,1,)&lt;&gt;"",1,0),0)</f>
        <v>0</v>
      </c>
      <c r="O776">
        <f>IFERROR(IF(VLOOKUP(calendar[[#This Row],[Date]],BH!G:G,1,)&lt;&gt;"",1,0),0)</f>
        <v>0</v>
      </c>
      <c r="P776">
        <f>IF(OR(calendar[[#This Row],[UK_BH]]=1,calendar[[#This Row],[WeekDay]]=1, calendar[[#This Row],[WeekDay]]=7),P775,P775+1)</f>
        <v>554</v>
      </c>
      <c r="Q776">
        <f>IF(OR(calendar[[#This Row],[FR_BH]]=1,calendar[[#This Row],[WeekDay]]=1, calendar[[#This Row],[WeekDay]]=7),P775,P775+1)</f>
        <v>554</v>
      </c>
      <c r="R776">
        <f>IF(OR(calendar[[#This Row],[SP_BH]]=1,calendar[[#This Row],[WeekDay]]=1, calendar[[#This Row],[WeekDay]]=7),P775,P775+1)</f>
        <v>554</v>
      </c>
      <c r="S776">
        <f>IF(OR(calendar[[#This Row],[PT_BH]]=1,calendar[[#This Row],[WeekDay]]=1, calendar[[#This Row],[WeekDay]]=7),P775,P775+1)</f>
        <v>554</v>
      </c>
    </row>
    <row r="777" spans="1:19" x14ac:dyDescent="0.25">
      <c r="A777" s="2">
        <v>43511</v>
      </c>
      <c r="B777" s="1">
        <f t="shared" si="63"/>
        <v>7</v>
      </c>
      <c r="C777">
        <f t="shared" si="60"/>
        <v>2</v>
      </c>
      <c r="D777" t="str">
        <f t="shared" si="61"/>
        <v>February</v>
      </c>
      <c r="E777">
        <f t="shared" si="62"/>
        <v>2019</v>
      </c>
      <c r="F777" t="str">
        <f>CONCATENATE(calendar[[#This Row],[Month]],"/",calendar[[#This Row],[Year]])</f>
        <v>2/2019</v>
      </c>
      <c r="G777">
        <f>WEEKDAY(calendar[[#This Row],[Date]],1)</f>
        <v>6</v>
      </c>
      <c r="H777" t="str">
        <f>TEXT(calendar[[#This Row],[WeekDay]],"dddd")</f>
        <v>Friday</v>
      </c>
      <c r="I777">
        <f>IF((INT(calendar[[#This Row],[Count]]/7)-calendar[[#This Row],[Count]]/7)&lt;0,I776,I776+1)</f>
        <v>111</v>
      </c>
      <c r="J777">
        <f t="shared" si="64"/>
        <v>775</v>
      </c>
      <c r="K777">
        <f>IF(calendar[[#This Row],[Month]]&lt;4,1,IF(calendar[[#This Row],[Month]]&lt;7,2,IF(calendar[[#This Row],[Month]]&lt;10,3,4)))</f>
        <v>1</v>
      </c>
      <c r="L777">
        <f>IFERROR(IF(VLOOKUP(calendar[[#This Row],[Date]],BH!A:A,1,)&lt;&gt;"",1,0),0)</f>
        <v>0</v>
      </c>
      <c r="M777">
        <f>IFERROR(IF(VLOOKUP(calendar[[#This Row],[Date]],BH!C:C,1,)&lt;&gt;"",1,0),0)</f>
        <v>0</v>
      </c>
      <c r="N777">
        <f>IFERROR(IF(VLOOKUP(calendar[[#This Row],[Date]],BH!E:E,1,)&lt;&gt;"",1,0),0)</f>
        <v>0</v>
      </c>
      <c r="O777">
        <f>IFERROR(IF(VLOOKUP(calendar[[#This Row],[Date]],BH!G:G,1,)&lt;&gt;"",1,0),0)</f>
        <v>0</v>
      </c>
      <c r="P777">
        <f>IF(OR(calendar[[#This Row],[UK_BH]]=1,calendar[[#This Row],[WeekDay]]=1, calendar[[#This Row],[WeekDay]]=7),P776,P776+1)</f>
        <v>555</v>
      </c>
      <c r="Q777">
        <f>IF(OR(calendar[[#This Row],[FR_BH]]=1,calendar[[#This Row],[WeekDay]]=1, calendar[[#This Row],[WeekDay]]=7),P776,P776+1)</f>
        <v>555</v>
      </c>
      <c r="R777">
        <f>IF(OR(calendar[[#This Row],[SP_BH]]=1,calendar[[#This Row],[WeekDay]]=1, calendar[[#This Row],[WeekDay]]=7),P776,P776+1)</f>
        <v>555</v>
      </c>
      <c r="S777">
        <f>IF(OR(calendar[[#This Row],[PT_BH]]=1,calendar[[#This Row],[WeekDay]]=1, calendar[[#This Row],[WeekDay]]=7),P776,P776+1)</f>
        <v>555</v>
      </c>
    </row>
    <row r="778" spans="1:19" x14ac:dyDescent="0.25">
      <c r="A778" s="2">
        <v>43512</v>
      </c>
      <c r="B778" s="1">
        <f t="shared" si="63"/>
        <v>7</v>
      </c>
      <c r="C778">
        <f t="shared" si="60"/>
        <v>2</v>
      </c>
      <c r="D778" t="str">
        <f t="shared" si="61"/>
        <v>February</v>
      </c>
      <c r="E778">
        <f t="shared" si="62"/>
        <v>2019</v>
      </c>
      <c r="F778" t="str">
        <f>CONCATENATE(calendar[[#This Row],[Month]],"/",calendar[[#This Row],[Year]])</f>
        <v>2/2019</v>
      </c>
      <c r="G778">
        <f>WEEKDAY(calendar[[#This Row],[Date]],1)</f>
        <v>7</v>
      </c>
      <c r="H778" t="str">
        <f>TEXT(calendar[[#This Row],[WeekDay]],"dddd")</f>
        <v>Saturday</v>
      </c>
      <c r="I778">
        <f>IF((INT(calendar[[#This Row],[Count]]/7)-calendar[[#This Row],[Count]]/7)&lt;0,I777,I777+1)</f>
        <v>111</v>
      </c>
      <c r="J778">
        <f t="shared" si="64"/>
        <v>776</v>
      </c>
      <c r="K778">
        <f>IF(calendar[[#This Row],[Month]]&lt;4,1,IF(calendar[[#This Row],[Month]]&lt;7,2,IF(calendar[[#This Row],[Month]]&lt;10,3,4)))</f>
        <v>1</v>
      </c>
      <c r="L778">
        <f>IFERROR(IF(VLOOKUP(calendar[[#This Row],[Date]],BH!A:A,1,)&lt;&gt;"",1,0),0)</f>
        <v>0</v>
      </c>
      <c r="M778">
        <f>IFERROR(IF(VLOOKUP(calendar[[#This Row],[Date]],BH!C:C,1,)&lt;&gt;"",1,0),0)</f>
        <v>0</v>
      </c>
      <c r="N778">
        <f>IFERROR(IF(VLOOKUP(calendar[[#This Row],[Date]],BH!E:E,1,)&lt;&gt;"",1,0),0)</f>
        <v>0</v>
      </c>
      <c r="O778">
        <f>IFERROR(IF(VLOOKUP(calendar[[#This Row],[Date]],BH!G:G,1,)&lt;&gt;"",1,0),0)</f>
        <v>0</v>
      </c>
      <c r="P778">
        <f>IF(OR(calendar[[#This Row],[UK_BH]]=1,calendar[[#This Row],[WeekDay]]=1, calendar[[#This Row],[WeekDay]]=7),P777,P777+1)</f>
        <v>555</v>
      </c>
      <c r="Q778">
        <f>IF(OR(calendar[[#This Row],[FR_BH]]=1,calendar[[#This Row],[WeekDay]]=1, calendar[[#This Row],[WeekDay]]=7),P777,P777+1)</f>
        <v>555</v>
      </c>
      <c r="R778">
        <f>IF(OR(calendar[[#This Row],[SP_BH]]=1,calendar[[#This Row],[WeekDay]]=1, calendar[[#This Row],[WeekDay]]=7),P777,P777+1)</f>
        <v>555</v>
      </c>
      <c r="S778">
        <f>IF(OR(calendar[[#This Row],[PT_BH]]=1,calendar[[#This Row],[WeekDay]]=1, calendar[[#This Row],[WeekDay]]=7),P777,P777+1)</f>
        <v>555</v>
      </c>
    </row>
    <row r="779" spans="1:19" x14ac:dyDescent="0.25">
      <c r="A779" s="2">
        <v>43513</v>
      </c>
      <c r="B779" s="1">
        <f t="shared" si="63"/>
        <v>8</v>
      </c>
      <c r="C779">
        <f t="shared" si="60"/>
        <v>2</v>
      </c>
      <c r="D779" t="str">
        <f t="shared" si="61"/>
        <v>February</v>
      </c>
      <c r="E779">
        <f t="shared" si="62"/>
        <v>2019</v>
      </c>
      <c r="F779" t="str">
        <f>CONCATENATE(calendar[[#This Row],[Month]],"/",calendar[[#This Row],[Year]])</f>
        <v>2/2019</v>
      </c>
      <c r="G779">
        <f>WEEKDAY(calendar[[#This Row],[Date]],1)</f>
        <v>1</v>
      </c>
      <c r="H779" t="str">
        <f>TEXT(calendar[[#This Row],[WeekDay]],"dddd")</f>
        <v>Sunday</v>
      </c>
      <c r="I779">
        <f>IF((INT(calendar[[#This Row],[Count]]/7)-calendar[[#This Row],[Count]]/7)&lt;0,I778,I778+1)</f>
        <v>112</v>
      </c>
      <c r="J779">
        <f t="shared" si="64"/>
        <v>777</v>
      </c>
      <c r="K779">
        <f>IF(calendar[[#This Row],[Month]]&lt;4,1,IF(calendar[[#This Row],[Month]]&lt;7,2,IF(calendar[[#This Row],[Month]]&lt;10,3,4)))</f>
        <v>1</v>
      </c>
      <c r="L779">
        <f>IFERROR(IF(VLOOKUP(calendar[[#This Row],[Date]],BH!A:A,1,)&lt;&gt;"",1,0),0)</f>
        <v>0</v>
      </c>
      <c r="M779">
        <f>IFERROR(IF(VLOOKUP(calendar[[#This Row],[Date]],BH!C:C,1,)&lt;&gt;"",1,0),0)</f>
        <v>0</v>
      </c>
      <c r="N779">
        <f>IFERROR(IF(VLOOKUP(calendar[[#This Row],[Date]],BH!E:E,1,)&lt;&gt;"",1,0),0)</f>
        <v>0</v>
      </c>
      <c r="O779">
        <f>IFERROR(IF(VLOOKUP(calendar[[#This Row],[Date]],BH!G:G,1,)&lt;&gt;"",1,0),0)</f>
        <v>0</v>
      </c>
      <c r="P779">
        <f>IF(OR(calendar[[#This Row],[UK_BH]]=1,calendar[[#This Row],[WeekDay]]=1, calendar[[#This Row],[WeekDay]]=7),P778,P778+1)</f>
        <v>555</v>
      </c>
      <c r="Q779">
        <f>IF(OR(calendar[[#This Row],[FR_BH]]=1,calendar[[#This Row],[WeekDay]]=1, calendar[[#This Row],[WeekDay]]=7),P778,P778+1)</f>
        <v>555</v>
      </c>
      <c r="R779">
        <f>IF(OR(calendar[[#This Row],[SP_BH]]=1,calendar[[#This Row],[WeekDay]]=1, calendar[[#This Row],[WeekDay]]=7),P778,P778+1)</f>
        <v>555</v>
      </c>
      <c r="S779">
        <f>IF(OR(calendar[[#This Row],[PT_BH]]=1,calendar[[#This Row],[WeekDay]]=1, calendar[[#This Row],[WeekDay]]=7),P778,P778+1)</f>
        <v>555</v>
      </c>
    </row>
    <row r="780" spans="1:19" x14ac:dyDescent="0.25">
      <c r="A780" s="2">
        <v>43514</v>
      </c>
      <c r="B780" s="1">
        <f t="shared" si="63"/>
        <v>8</v>
      </c>
      <c r="C780">
        <f t="shared" si="60"/>
        <v>2</v>
      </c>
      <c r="D780" t="str">
        <f t="shared" si="61"/>
        <v>February</v>
      </c>
      <c r="E780">
        <f t="shared" si="62"/>
        <v>2019</v>
      </c>
      <c r="F780" t="str">
        <f>CONCATENATE(calendar[[#This Row],[Month]],"/",calendar[[#This Row],[Year]])</f>
        <v>2/2019</v>
      </c>
      <c r="G780">
        <f>WEEKDAY(calendar[[#This Row],[Date]],1)</f>
        <v>2</v>
      </c>
      <c r="H780" t="str">
        <f>TEXT(calendar[[#This Row],[WeekDay]],"dddd")</f>
        <v>Monday</v>
      </c>
      <c r="I780">
        <f>IF((INT(calendar[[#This Row],[Count]]/7)-calendar[[#This Row],[Count]]/7)&lt;0,I779,I779+1)</f>
        <v>112</v>
      </c>
      <c r="J780">
        <f t="shared" si="64"/>
        <v>778</v>
      </c>
      <c r="K780">
        <f>IF(calendar[[#This Row],[Month]]&lt;4,1,IF(calendar[[#This Row],[Month]]&lt;7,2,IF(calendar[[#This Row],[Month]]&lt;10,3,4)))</f>
        <v>1</v>
      </c>
      <c r="L780">
        <f>IFERROR(IF(VLOOKUP(calendar[[#This Row],[Date]],BH!A:A,1,)&lt;&gt;"",1,0),0)</f>
        <v>0</v>
      </c>
      <c r="M780">
        <f>IFERROR(IF(VLOOKUP(calendar[[#This Row],[Date]],BH!C:C,1,)&lt;&gt;"",1,0),0)</f>
        <v>0</v>
      </c>
      <c r="N780">
        <f>IFERROR(IF(VLOOKUP(calendar[[#This Row],[Date]],BH!E:E,1,)&lt;&gt;"",1,0),0)</f>
        <v>0</v>
      </c>
      <c r="O780">
        <f>IFERROR(IF(VLOOKUP(calendar[[#This Row],[Date]],BH!G:G,1,)&lt;&gt;"",1,0),0)</f>
        <v>0</v>
      </c>
      <c r="P780">
        <f>IF(OR(calendar[[#This Row],[UK_BH]]=1,calendar[[#This Row],[WeekDay]]=1, calendar[[#This Row],[WeekDay]]=7),P779,P779+1)</f>
        <v>556</v>
      </c>
      <c r="Q780">
        <f>IF(OR(calendar[[#This Row],[FR_BH]]=1,calendar[[#This Row],[WeekDay]]=1, calendar[[#This Row],[WeekDay]]=7),P779,P779+1)</f>
        <v>556</v>
      </c>
      <c r="R780">
        <f>IF(OR(calendar[[#This Row],[SP_BH]]=1,calendar[[#This Row],[WeekDay]]=1, calendar[[#This Row],[WeekDay]]=7),P779,P779+1)</f>
        <v>556</v>
      </c>
      <c r="S780">
        <f>IF(OR(calendar[[#This Row],[PT_BH]]=1,calendar[[#This Row],[WeekDay]]=1, calendar[[#This Row],[WeekDay]]=7),P779,P779+1)</f>
        <v>556</v>
      </c>
    </row>
    <row r="781" spans="1:19" x14ac:dyDescent="0.25">
      <c r="A781" s="2">
        <v>43515</v>
      </c>
      <c r="B781" s="1">
        <f t="shared" si="63"/>
        <v>8</v>
      </c>
      <c r="C781">
        <f t="shared" si="60"/>
        <v>2</v>
      </c>
      <c r="D781" t="str">
        <f t="shared" si="61"/>
        <v>February</v>
      </c>
      <c r="E781">
        <f t="shared" si="62"/>
        <v>2019</v>
      </c>
      <c r="F781" t="str">
        <f>CONCATENATE(calendar[[#This Row],[Month]],"/",calendar[[#This Row],[Year]])</f>
        <v>2/2019</v>
      </c>
      <c r="G781">
        <f>WEEKDAY(calendar[[#This Row],[Date]],1)</f>
        <v>3</v>
      </c>
      <c r="H781" t="str">
        <f>TEXT(calendar[[#This Row],[WeekDay]],"dddd")</f>
        <v>Tuesday</v>
      </c>
      <c r="I781">
        <f>IF((INT(calendar[[#This Row],[Count]]/7)-calendar[[#This Row],[Count]]/7)&lt;0,I780,I780+1)</f>
        <v>112</v>
      </c>
      <c r="J781">
        <f t="shared" si="64"/>
        <v>779</v>
      </c>
      <c r="K781">
        <f>IF(calendar[[#This Row],[Month]]&lt;4,1,IF(calendar[[#This Row],[Month]]&lt;7,2,IF(calendar[[#This Row],[Month]]&lt;10,3,4)))</f>
        <v>1</v>
      </c>
      <c r="L781">
        <f>IFERROR(IF(VLOOKUP(calendar[[#This Row],[Date]],BH!A:A,1,)&lt;&gt;"",1,0),0)</f>
        <v>0</v>
      </c>
      <c r="M781">
        <f>IFERROR(IF(VLOOKUP(calendar[[#This Row],[Date]],BH!C:C,1,)&lt;&gt;"",1,0),0)</f>
        <v>0</v>
      </c>
      <c r="N781">
        <f>IFERROR(IF(VLOOKUP(calendar[[#This Row],[Date]],BH!E:E,1,)&lt;&gt;"",1,0),0)</f>
        <v>0</v>
      </c>
      <c r="O781">
        <f>IFERROR(IF(VLOOKUP(calendar[[#This Row],[Date]],BH!G:G,1,)&lt;&gt;"",1,0),0)</f>
        <v>0</v>
      </c>
      <c r="P781">
        <f>IF(OR(calendar[[#This Row],[UK_BH]]=1,calendar[[#This Row],[WeekDay]]=1, calendar[[#This Row],[WeekDay]]=7),P780,P780+1)</f>
        <v>557</v>
      </c>
      <c r="Q781">
        <f>IF(OR(calendar[[#This Row],[FR_BH]]=1,calendar[[#This Row],[WeekDay]]=1, calendar[[#This Row],[WeekDay]]=7),P780,P780+1)</f>
        <v>557</v>
      </c>
      <c r="R781">
        <f>IF(OR(calendar[[#This Row],[SP_BH]]=1,calendar[[#This Row],[WeekDay]]=1, calendar[[#This Row],[WeekDay]]=7),P780,P780+1)</f>
        <v>557</v>
      </c>
      <c r="S781">
        <f>IF(OR(calendar[[#This Row],[PT_BH]]=1,calendar[[#This Row],[WeekDay]]=1, calendar[[#This Row],[WeekDay]]=7),P780,P780+1)</f>
        <v>557</v>
      </c>
    </row>
    <row r="782" spans="1:19" x14ac:dyDescent="0.25">
      <c r="A782" s="2">
        <v>43516</v>
      </c>
      <c r="B782" s="1">
        <f t="shared" si="63"/>
        <v>8</v>
      </c>
      <c r="C782">
        <f t="shared" si="60"/>
        <v>2</v>
      </c>
      <c r="D782" t="str">
        <f t="shared" si="61"/>
        <v>February</v>
      </c>
      <c r="E782">
        <f t="shared" si="62"/>
        <v>2019</v>
      </c>
      <c r="F782" t="str">
        <f>CONCATENATE(calendar[[#This Row],[Month]],"/",calendar[[#This Row],[Year]])</f>
        <v>2/2019</v>
      </c>
      <c r="G782">
        <f>WEEKDAY(calendar[[#This Row],[Date]],1)</f>
        <v>4</v>
      </c>
      <c r="H782" t="str">
        <f>TEXT(calendar[[#This Row],[WeekDay]],"dddd")</f>
        <v>Wednesday</v>
      </c>
      <c r="I782">
        <f>IF((INT(calendar[[#This Row],[Count]]/7)-calendar[[#This Row],[Count]]/7)&lt;0,I781,I781+1)</f>
        <v>112</v>
      </c>
      <c r="J782">
        <f t="shared" si="64"/>
        <v>780</v>
      </c>
      <c r="K782">
        <f>IF(calendar[[#This Row],[Month]]&lt;4,1,IF(calendar[[#This Row],[Month]]&lt;7,2,IF(calendar[[#This Row],[Month]]&lt;10,3,4)))</f>
        <v>1</v>
      </c>
      <c r="L782">
        <f>IFERROR(IF(VLOOKUP(calendar[[#This Row],[Date]],BH!A:A,1,)&lt;&gt;"",1,0),0)</f>
        <v>0</v>
      </c>
      <c r="M782">
        <f>IFERROR(IF(VLOOKUP(calendar[[#This Row],[Date]],BH!C:C,1,)&lt;&gt;"",1,0),0)</f>
        <v>0</v>
      </c>
      <c r="N782">
        <f>IFERROR(IF(VLOOKUP(calendar[[#This Row],[Date]],BH!E:E,1,)&lt;&gt;"",1,0),0)</f>
        <v>0</v>
      </c>
      <c r="O782">
        <f>IFERROR(IF(VLOOKUP(calendar[[#This Row],[Date]],BH!G:G,1,)&lt;&gt;"",1,0),0)</f>
        <v>0</v>
      </c>
      <c r="P782">
        <f>IF(OR(calendar[[#This Row],[UK_BH]]=1,calendar[[#This Row],[WeekDay]]=1, calendar[[#This Row],[WeekDay]]=7),P781,P781+1)</f>
        <v>558</v>
      </c>
      <c r="Q782">
        <f>IF(OR(calendar[[#This Row],[FR_BH]]=1,calendar[[#This Row],[WeekDay]]=1, calendar[[#This Row],[WeekDay]]=7),P781,P781+1)</f>
        <v>558</v>
      </c>
      <c r="R782">
        <f>IF(OR(calendar[[#This Row],[SP_BH]]=1,calendar[[#This Row],[WeekDay]]=1, calendar[[#This Row],[WeekDay]]=7),P781,P781+1)</f>
        <v>558</v>
      </c>
      <c r="S782">
        <f>IF(OR(calendar[[#This Row],[PT_BH]]=1,calendar[[#This Row],[WeekDay]]=1, calendar[[#This Row],[WeekDay]]=7),P781,P781+1)</f>
        <v>558</v>
      </c>
    </row>
    <row r="783" spans="1:19" x14ac:dyDescent="0.25">
      <c r="A783" s="2">
        <v>43517</v>
      </c>
      <c r="B783" s="1">
        <f t="shared" si="63"/>
        <v>8</v>
      </c>
      <c r="C783">
        <f t="shared" si="60"/>
        <v>2</v>
      </c>
      <c r="D783" t="str">
        <f t="shared" si="61"/>
        <v>February</v>
      </c>
      <c r="E783">
        <f t="shared" si="62"/>
        <v>2019</v>
      </c>
      <c r="F783" t="str">
        <f>CONCATENATE(calendar[[#This Row],[Month]],"/",calendar[[#This Row],[Year]])</f>
        <v>2/2019</v>
      </c>
      <c r="G783">
        <f>WEEKDAY(calendar[[#This Row],[Date]],1)</f>
        <v>5</v>
      </c>
      <c r="H783" t="str">
        <f>TEXT(calendar[[#This Row],[WeekDay]],"dddd")</f>
        <v>Thursday</v>
      </c>
      <c r="I783">
        <f>IF((INT(calendar[[#This Row],[Count]]/7)-calendar[[#This Row],[Count]]/7)&lt;0,I782,I782+1)</f>
        <v>112</v>
      </c>
      <c r="J783">
        <f t="shared" si="64"/>
        <v>781</v>
      </c>
      <c r="K783">
        <f>IF(calendar[[#This Row],[Month]]&lt;4,1,IF(calendar[[#This Row],[Month]]&lt;7,2,IF(calendar[[#This Row],[Month]]&lt;10,3,4)))</f>
        <v>1</v>
      </c>
      <c r="L783">
        <f>IFERROR(IF(VLOOKUP(calendar[[#This Row],[Date]],BH!A:A,1,)&lt;&gt;"",1,0),0)</f>
        <v>0</v>
      </c>
      <c r="M783">
        <f>IFERROR(IF(VLOOKUP(calendar[[#This Row],[Date]],BH!C:C,1,)&lt;&gt;"",1,0),0)</f>
        <v>0</v>
      </c>
      <c r="N783">
        <f>IFERROR(IF(VLOOKUP(calendar[[#This Row],[Date]],BH!E:E,1,)&lt;&gt;"",1,0),0)</f>
        <v>0</v>
      </c>
      <c r="O783">
        <f>IFERROR(IF(VLOOKUP(calendar[[#This Row],[Date]],BH!G:G,1,)&lt;&gt;"",1,0),0)</f>
        <v>0</v>
      </c>
      <c r="P783">
        <f>IF(OR(calendar[[#This Row],[UK_BH]]=1,calendar[[#This Row],[WeekDay]]=1, calendar[[#This Row],[WeekDay]]=7),P782,P782+1)</f>
        <v>559</v>
      </c>
      <c r="Q783">
        <f>IF(OR(calendar[[#This Row],[FR_BH]]=1,calendar[[#This Row],[WeekDay]]=1, calendar[[#This Row],[WeekDay]]=7),P782,P782+1)</f>
        <v>559</v>
      </c>
      <c r="R783">
        <f>IF(OR(calendar[[#This Row],[SP_BH]]=1,calendar[[#This Row],[WeekDay]]=1, calendar[[#This Row],[WeekDay]]=7),P782,P782+1)</f>
        <v>559</v>
      </c>
      <c r="S783">
        <f>IF(OR(calendar[[#This Row],[PT_BH]]=1,calendar[[#This Row],[WeekDay]]=1, calendar[[#This Row],[WeekDay]]=7),P782,P782+1)</f>
        <v>559</v>
      </c>
    </row>
    <row r="784" spans="1:19" x14ac:dyDescent="0.25">
      <c r="A784" s="2">
        <v>43518</v>
      </c>
      <c r="B784" s="1">
        <f t="shared" si="63"/>
        <v>8</v>
      </c>
      <c r="C784">
        <f t="shared" ref="C784:C847" si="65">MONTH(A784)</f>
        <v>2</v>
      </c>
      <c r="D784" t="str">
        <f t="shared" ref="D784:D847" si="66">TEXT(A784,"mmmm")</f>
        <v>February</v>
      </c>
      <c r="E784">
        <f t="shared" ref="E784:E847" si="67">YEAR(A784)</f>
        <v>2019</v>
      </c>
      <c r="F784" t="str">
        <f>CONCATENATE(calendar[[#This Row],[Month]],"/",calendar[[#This Row],[Year]])</f>
        <v>2/2019</v>
      </c>
      <c r="G784">
        <f>WEEKDAY(calendar[[#This Row],[Date]],1)</f>
        <v>6</v>
      </c>
      <c r="H784" t="str">
        <f>TEXT(calendar[[#This Row],[WeekDay]],"dddd")</f>
        <v>Friday</v>
      </c>
      <c r="I784">
        <f>IF((INT(calendar[[#This Row],[Count]]/7)-calendar[[#This Row],[Count]]/7)&lt;0,I783,I783+1)</f>
        <v>112</v>
      </c>
      <c r="J784">
        <f t="shared" si="64"/>
        <v>782</v>
      </c>
      <c r="K784">
        <f>IF(calendar[[#This Row],[Month]]&lt;4,1,IF(calendar[[#This Row],[Month]]&lt;7,2,IF(calendar[[#This Row],[Month]]&lt;10,3,4)))</f>
        <v>1</v>
      </c>
      <c r="L784">
        <f>IFERROR(IF(VLOOKUP(calendar[[#This Row],[Date]],BH!A:A,1,)&lt;&gt;"",1,0),0)</f>
        <v>0</v>
      </c>
      <c r="M784">
        <f>IFERROR(IF(VLOOKUP(calendar[[#This Row],[Date]],BH!C:C,1,)&lt;&gt;"",1,0),0)</f>
        <v>0</v>
      </c>
      <c r="N784">
        <f>IFERROR(IF(VLOOKUP(calendar[[#This Row],[Date]],BH!E:E,1,)&lt;&gt;"",1,0),0)</f>
        <v>0</v>
      </c>
      <c r="O784">
        <f>IFERROR(IF(VLOOKUP(calendar[[#This Row],[Date]],BH!G:G,1,)&lt;&gt;"",1,0),0)</f>
        <v>0</v>
      </c>
      <c r="P784">
        <f>IF(OR(calendar[[#This Row],[UK_BH]]=1,calendar[[#This Row],[WeekDay]]=1, calendar[[#This Row],[WeekDay]]=7),P783,P783+1)</f>
        <v>560</v>
      </c>
      <c r="Q784">
        <f>IF(OR(calendar[[#This Row],[FR_BH]]=1,calendar[[#This Row],[WeekDay]]=1, calendar[[#This Row],[WeekDay]]=7),P783,P783+1)</f>
        <v>560</v>
      </c>
      <c r="R784">
        <f>IF(OR(calendar[[#This Row],[SP_BH]]=1,calendar[[#This Row],[WeekDay]]=1, calendar[[#This Row],[WeekDay]]=7),P783,P783+1)</f>
        <v>560</v>
      </c>
      <c r="S784">
        <f>IF(OR(calendar[[#This Row],[PT_BH]]=1,calendar[[#This Row],[WeekDay]]=1, calendar[[#This Row],[WeekDay]]=7),P783,P783+1)</f>
        <v>560</v>
      </c>
    </row>
    <row r="785" spans="1:19" x14ac:dyDescent="0.25">
      <c r="A785" s="2">
        <v>43519</v>
      </c>
      <c r="B785" s="1">
        <f t="shared" si="63"/>
        <v>8</v>
      </c>
      <c r="C785">
        <f t="shared" si="65"/>
        <v>2</v>
      </c>
      <c r="D785" t="str">
        <f t="shared" si="66"/>
        <v>February</v>
      </c>
      <c r="E785">
        <f t="shared" si="67"/>
        <v>2019</v>
      </c>
      <c r="F785" t="str">
        <f>CONCATENATE(calendar[[#This Row],[Month]],"/",calendar[[#This Row],[Year]])</f>
        <v>2/2019</v>
      </c>
      <c r="G785">
        <f>WEEKDAY(calendar[[#This Row],[Date]],1)</f>
        <v>7</v>
      </c>
      <c r="H785" t="str">
        <f>TEXT(calendar[[#This Row],[WeekDay]],"dddd")</f>
        <v>Saturday</v>
      </c>
      <c r="I785">
        <f>IF((INT(calendar[[#This Row],[Count]]/7)-calendar[[#This Row],[Count]]/7)&lt;0,I784,I784+1)</f>
        <v>112</v>
      </c>
      <c r="J785">
        <f t="shared" si="64"/>
        <v>783</v>
      </c>
      <c r="K785">
        <f>IF(calendar[[#This Row],[Month]]&lt;4,1,IF(calendar[[#This Row],[Month]]&lt;7,2,IF(calendar[[#This Row],[Month]]&lt;10,3,4)))</f>
        <v>1</v>
      </c>
      <c r="L785">
        <f>IFERROR(IF(VLOOKUP(calendar[[#This Row],[Date]],BH!A:A,1,)&lt;&gt;"",1,0),0)</f>
        <v>0</v>
      </c>
      <c r="M785">
        <f>IFERROR(IF(VLOOKUP(calendar[[#This Row],[Date]],BH!C:C,1,)&lt;&gt;"",1,0),0)</f>
        <v>0</v>
      </c>
      <c r="N785">
        <f>IFERROR(IF(VLOOKUP(calendar[[#This Row],[Date]],BH!E:E,1,)&lt;&gt;"",1,0),0)</f>
        <v>0</v>
      </c>
      <c r="O785">
        <f>IFERROR(IF(VLOOKUP(calendar[[#This Row],[Date]],BH!G:G,1,)&lt;&gt;"",1,0),0)</f>
        <v>0</v>
      </c>
      <c r="P785">
        <f>IF(OR(calendar[[#This Row],[UK_BH]]=1,calendar[[#This Row],[WeekDay]]=1, calendar[[#This Row],[WeekDay]]=7),P784,P784+1)</f>
        <v>560</v>
      </c>
      <c r="Q785">
        <f>IF(OR(calendar[[#This Row],[FR_BH]]=1,calendar[[#This Row],[WeekDay]]=1, calendar[[#This Row],[WeekDay]]=7),P784,P784+1)</f>
        <v>560</v>
      </c>
      <c r="R785">
        <f>IF(OR(calendar[[#This Row],[SP_BH]]=1,calendar[[#This Row],[WeekDay]]=1, calendar[[#This Row],[WeekDay]]=7),P784,P784+1)</f>
        <v>560</v>
      </c>
      <c r="S785">
        <f>IF(OR(calendar[[#This Row],[PT_BH]]=1,calendar[[#This Row],[WeekDay]]=1, calendar[[#This Row],[WeekDay]]=7),P784,P784+1)</f>
        <v>560</v>
      </c>
    </row>
    <row r="786" spans="1:19" x14ac:dyDescent="0.25">
      <c r="A786" s="2">
        <v>43520</v>
      </c>
      <c r="B786" s="1">
        <f t="shared" si="63"/>
        <v>9</v>
      </c>
      <c r="C786">
        <f t="shared" si="65"/>
        <v>2</v>
      </c>
      <c r="D786" t="str">
        <f t="shared" si="66"/>
        <v>February</v>
      </c>
      <c r="E786">
        <f t="shared" si="67"/>
        <v>2019</v>
      </c>
      <c r="F786" t="str">
        <f>CONCATENATE(calendar[[#This Row],[Month]],"/",calendar[[#This Row],[Year]])</f>
        <v>2/2019</v>
      </c>
      <c r="G786">
        <f>WEEKDAY(calendar[[#This Row],[Date]],1)</f>
        <v>1</v>
      </c>
      <c r="H786" t="str">
        <f>TEXT(calendar[[#This Row],[WeekDay]],"dddd")</f>
        <v>Sunday</v>
      </c>
      <c r="I786">
        <f>IF((INT(calendar[[#This Row],[Count]]/7)-calendar[[#This Row],[Count]]/7)&lt;0,I785,I785+1)</f>
        <v>113</v>
      </c>
      <c r="J786">
        <f t="shared" si="64"/>
        <v>784</v>
      </c>
      <c r="K786">
        <f>IF(calendar[[#This Row],[Month]]&lt;4,1,IF(calendar[[#This Row],[Month]]&lt;7,2,IF(calendar[[#This Row],[Month]]&lt;10,3,4)))</f>
        <v>1</v>
      </c>
      <c r="L786">
        <f>IFERROR(IF(VLOOKUP(calendar[[#This Row],[Date]],BH!A:A,1,)&lt;&gt;"",1,0),0)</f>
        <v>0</v>
      </c>
      <c r="M786">
        <f>IFERROR(IF(VLOOKUP(calendar[[#This Row],[Date]],BH!C:C,1,)&lt;&gt;"",1,0),0)</f>
        <v>0</v>
      </c>
      <c r="N786">
        <f>IFERROR(IF(VLOOKUP(calendar[[#This Row],[Date]],BH!E:E,1,)&lt;&gt;"",1,0),0)</f>
        <v>0</v>
      </c>
      <c r="O786">
        <f>IFERROR(IF(VLOOKUP(calendar[[#This Row],[Date]],BH!G:G,1,)&lt;&gt;"",1,0),0)</f>
        <v>0</v>
      </c>
      <c r="P786">
        <f>IF(OR(calendar[[#This Row],[UK_BH]]=1,calendar[[#This Row],[WeekDay]]=1, calendar[[#This Row],[WeekDay]]=7),P785,P785+1)</f>
        <v>560</v>
      </c>
      <c r="Q786">
        <f>IF(OR(calendar[[#This Row],[FR_BH]]=1,calendar[[#This Row],[WeekDay]]=1, calendar[[#This Row],[WeekDay]]=7),P785,P785+1)</f>
        <v>560</v>
      </c>
      <c r="R786">
        <f>IF(OR(calendar[[#This Row],[SP_BH]]=1,calendar[[#This Row],[WeekDay]]=1, calendar[[#This Row],[WeekDay]]=7),P785,P785+1)</f>
        <v>560</v>
      </c>
      <c r="S786">
        <f>IF(OR(calendar[[#This Row],[PT_BH]]=1,calendar[[#This Row],[WeekDay]]=1, calendar[[#This Row],[WeekDay]]=7),P785,P785+1)</f>
        <v>560</v>
      </c>
    </row>
    <row r="787" spans="1:19" x14ac:dyDescent="0.25">
      <c r="A787" s="2">
        <v>43521</v>
      </c>
      <c r="B787" s="1">
        <f t="shared" si="63"/>
        <v>9</v>
      </c>
      <c r="C787">
        <f t="shared" si="65"/>
        <v>2</v>
      </c>
      <c r="D787" t="str">
        <f t="shared" si="66"/>
        <v>February</v>
      </c>
      <c r="E787">
        <f t="shared" si="67"/>
        <v>2019</v>
      </c>
      <c r="F787" t="str">
        <f>CONCATENATE(calendar[[#This Row],[Month]],"/",calendar[[#This Row],[Year]])</f>
        <v>2/2019</v>
      </c>
      <c r="G787">
        <f>WEEKDAY(calendar[[#This Row],[Date]],1)</f>
        <v>2</v>
      </c>
      <c r="H787" t="str">
        <f>TEXT(calendar[[#This Row],[WeekDay]],"dddd")</f>
        <v>Monday</v>
      </c>
      <c r="I787">
        <f>IF((INT(calendar[[#This Row],[Count]]/7)-calendar[[#This Row],[Count]]/7)&lt;0,I786,I786+1)</f>
        <v>113</v>
      </c>
      <c r="J787">
        <f t="shared" si="64"/>
        <v>785</v>
      </c>
      <c r="K787">
        <f>IF(calendar[[#This Row],[Month]]&lt;4,1,IF(calendar[[#This Row],[Month]]&lt;7,2,IF(calendar[[#This Row],[Month]]&lt;10,3,4)))</f>
        <v>1</v>
      </c>
      <c r="L787">
        <f>IFERROR(IF(VLOOKUP(calendar[[#This Row],[Date]],BH!A:A,1,)&lt;&gt;"",1,0),0)</f>
        <v>0</v>
      </c>
      <c r="M787">
        <f>IFERROR(IF(VLOOKUP(calendar[[#This Row],[Date]],BH!C:C,1,)&lt;&gt;"",1,0),0)</f>
        <v>0</v>
      </c>
      <c r="N787">
        <f>IFERROR(IF(VLOOKUP(calendar[[#This Row],[Date]],BH!E:E,1,)&lt;&gt;"",1,0),0)</f>
        <v>0</v>
      </c>
      <c r="O787">
        <f>IFERROR(IF(VLOOKUP(calendar[[#This Row],[Date]],BH!G:G,1,)&lt;&gt;"",1,0),0)</f>
        <v>0</v>
      </c>
      <c r="P787">
        <f>IF(OR(calendar[[#This Row],[UK_BH]]=1,calendar[[#This Row],[WeekDay]]=1, calendar[[#This Row],[WeekDay]]=7),P786,P786+1)</f>
        <v>561</v>
      </c>
      <c r="Q787">
        <f>IF(OR(calendar[[#This Row],[FR_BH]]=1,calendar[[#This Row],[WeekDay]]=1, calendar[[#This Row],[WeekDay]]=7),P786,P786+1)</f>
        <v>561</v>
      </c>
      <c r="R787">
        <f>IF(OR(calendar[[#This Row],[SP_BH]]=1,calendar[[#This Row],[WeekDay]]=1, calendar[[#This Row],[WeekDay]]=7),P786,P786+1)</f>
        <v>561</v>
      </c>
      <c r="S787">
        <f>IF(OR(calendar[[#This Row],[PT_BH]]=1,calendar[[#This Row],[WeekDay]]=1, calendar[[#This Row],[WeekDay]]=7),P786,P786+1)</f>
        <v>561</v>
      </c>
    </row>
    <row r="788" spans="1:19" x14ac:dyDescent="0.25">
      <c r="A788" s="2">
        <v>43522</v>
      </c>
      <c r="B788" s="1">
        <f t="shared" si="63"/>
        <v>9</v>
      </c>
      <c r="C788">
        <f t="shared" si="65"/>
        <v>2</v>
      </c>
      <c r="D788" t="str">
        <f t="shared" si="66"/>
        <v>February</v>
      </c>
      <c r="E788">
        <f t="shared" si="67"/>
        <v>2019</v>
      </c>
      <c r="F788" t="str">
        <f>CONCATENATE(calendar[[#This Row],[Month]],"/",calendar[[#This Row],[Year]])</f>
        <v>2/2019</v>
      </c>
      <c r="G788">
        <f>WEEKDAY(calendar[[#This Row],[Date]],1)</f>
        <v>3</v>
      </c>
      <c r="H788" t="str">
        <f>TEXT(calendar[[#This Row],[WeekDay]],"dddd")</f>
        <v>Tuesday</v>
      </c>
      <c r="I788">
        <f>IF((INT(calendar[[#This Row],[Count]]/7)-calendar[[#This Row],[Count]]/7)&lt;0,I787,I787+1)</f>
        <v>113</v>
      </c>
      <c r="J788">
        <f t="shared" si="64"/>
        <v>786</v>
      </c>
      <c r="K788">
        <f>IF(calendar[[#This Row],[Month]]&lt;4,1,IF(calendar[[#This Row],[Month]]&lt;7,2,IF(calendar[[#This Row],[Month]]&lt;10,3,4)))</f>
        <v>1</v>
      </c>
      <c r="L788">
        <f>IFERROR(IF(VLOOKUP(calendar[[#This Row],[Date]],BH!A:A,1,)&lt;&gt;"",1,0),0)</f>
        <v>0</v>
      </c>
      <c r="M788">
        <f>IFERROR(IF(VLOOKUP(calendar[[#This Row],[Date]],BH!C:C,1,)&lt;&gt;"",1,0),0)</f>
        <v>0</v>
      </c>
      <c r="N788">
        <f>IFERROR(IF(VLOOKUP(calendar[[#This Row],[Date]],BH!E:E,1,)&lt;&gt;"",1,0),0)</f>
        <v>0</v>
      </c>
      <c r="O788">
        <f>IFERROR(IF(VLOOKUP(calendar[[#This Row],[Date]],BH!G:G,1,)&lt;&gt;"",1,0),0)</f>
        <v>0</v>
      </c>
      <c r="P788">
        <f>IF(OR(calendar[[#This Row],[UK_BH]]=1,calendar[[#This Row],[WeekDay]]=1, calendar[[#This Row],[WeekDay]]=7),P787,P787+1)</f>
        <v>562</v>
      </c>
      <c r="Q788">
        <f>IF(OR(calendar[[#This Row],[FR_BH]]=1,calendar[[#This Row],[WeekDay]]=1, calendar[[#This Row],[WeekDay]]=7),P787,P787+1)</f>
        <v>562</v>
      </c>
      <c r="R788">
        <f>IF(OR(calendar[[#This Row],[SP_BH]]=1,calendar[[#This Row],[WeekDay]]=1, calendar[[#This Row],[WeekDay]]=7),P787,P787+1)</f>
        <v>562</v>
      </c>
      <c r="S788">
        <f>IF(OR(calendar[[#This Row],[PT_BH]]=1,calendar[[#This Row],[WeekDay]]=1, calendar[[#This Row],[WeekDay]]=7),P787,P787+1)</f>
        <v>562</v>
      </c>
    </row>
    <row r="789" spans="1:19" x14ac:dyDescent="0.25">
      <c r="A789" s="2">
        <v>43523</v>
      </c>
      <c r="B789" s="1">
        <f t="shared" si="63"/>
        <v>9</v>
      </c>
      <c r="C789">
        <f t="shared" si="65"/>
        <v>2</v>
      </c>
      <c r="D789" t="str">
        <f t="shared" si="66"/>
        <v>February</v>
      </c>
      <c r="E789">
        <f t="shared" si="67"/>
        <v>2019</v>
      </c>
      <c r="F789" t="str">
        <f>CONCATENATE(calendar[[#This Row],[Month]],"/",calendar[[#This Row],[Year]])</f>
        <v>2/2019</v>
      </c>
      <c r="G789">
        <f>WEEKDAY(calendar[[#This Row],[Date]],1)</f>
        <v>4</v>
      </c>
      <c r="H789" t="str">
        <f>TEXT(calendar[[#This Row],[WeekDay]],"dddd")</f>
        <v>Wednesday</v>
      </c>
      <c r="I789">
        <f>IF((INT(calendar[[#This Row],[Count]]/7)-calendar[[#This Row],[Count]]/7)&lt;0,I788,I788+1)</f>
        <v>113</v>
      </c>
      <c r="J789">
        <f t="shared" si="64"/>
        <v>787</v>
      </c>
      <c r="K789">
        <f>IF(calendar[[#This Row],[Month]]&lt;4,1,IF(calendar[[#This Row],[Month]]&lt;7,2,IF(calendar[[#This Row],[Month]]&lt;10,3,4)))</f>
        <v>1</v>
      </c>
      <c r="L789">
        <f>IFERROR(IF(VLOOKUP(calendar[[#This Row],[Date]],BH!A:A,1,)&lt;&gt;"",1,0),0)</f>
        <v>0</v>
      </c>
      <c r="M789">
        <f>IFERROR(IF(VLOOKUP(calendar[[#This Row],[Date]],BH!C:C,1,)&lt;&gt;"",1,0),0)</f>
        <v>0</v>
      </c>
      <c r="N789">
        <f>IFERROR(IF(VLOOKUP(calendar[[#This Row],[Date]],BH!E:E,1,)&lt;&gt;"",1,0),0)</f>
        <v>0</v>
      </c>
      <c r="O789">
        <f>IFERROR(IF(VLOOKUP(calendar[[#This Row],[Date]],BH!G:G,1,)&lt;&gt;"",1,0),0)</f>
        <v>0</v>
      </c>
      <c r="P789">
        <f>IF(OR(calendar[[#This Row],[UK_BH]]=1,calendar[[#This Row],[WeekDay]]=1, calendar[[#This Row],[WeekDay]]=7),P788,P788+1)</f>
        <v>563</v>
      </c>
      <c r="Q789">
        <f>IF(OR(calendar[[#This Row],[FR_BH]]=1,calendar[[#This Row],[WeekDay]]=1, calendar[[#This Row],[WeekDay]]=7),P788,P788+1)</f>
        <v>563</v>
      </c>
      <c r="R789">
        <f>IF(OR(calendar[[#This Row],[SP_BH]]=1,calendar[[#This Row],[WeekDay]]=1, calendar[[#This Row],[WeekDay]]=7),P788,P788+1)</f>
        <v>563</v>
      </c>
      <c r="S789">
        <f>IF(OR(calendar[[#This Row],[PT_BH]]=1,calendar[[#This Row],[WeekDay]]=1, calendar[[#This Row],[WeekDay]]=7),P788,P788+1)</f>
        <v>563</v>
      </c>
    </row>
    <row r="790" spans="1:19" x14ac:dyDescent="0.25">
      <c r="A790" s="2">
        <v>43524</v>
      </c>
      <c r="B790" s="1">
        <f t="shared" si="63"/>
        <v>9</v>
      </c>
      <c r="C790">
        <f t="shared" si="65"/>
        <v>2</v>
      </c>
      <c r="D790" t="str">
        <f t="shared" si="66"/>
        <v>February</v>
      </c>
      <c r="E790">
        <f t="shared" si="67"/>
        <v>2019</v>
      </c>
      <c r="F790" t="str">
        <f>CONCATENATE(calendar[[#This Row],[Month]],"/",calendar[[#This Row],[Year]])</f>
        <v>2/2019</v>
      </c>
      <c r="G790">
        <f>WEEKDAY(calendar[[#This Row],[Date]],1)</f>
        <v>5</v>
      </c>
      <c r="H790" t="str">
        <f>TEXT(calendar[[#This Row],[WeekDay]],"dddd")</f>
        <v>Thursday</v>
      </c>
      <c r="I790">
        <f>IF((INT(calendar[[#This Row],[Count]]/7)-calendar[[#This Row],[Count]]/7)&lt;0,I789,I789+1)</f>
        <v>113</v>
      </c>
      <c r="J790">
        <f t="shared" si="64"/>
        <v>788</v>
      </c>
      <c r="K790">
        <f>IF(calendar[[#This Row],[Month]]&lt;4,1,IF(calendar[[#This Row],[Month]]&lt;7,2,IF(calendar[[#This Row],[Month]]&lt;10,3,4)))</f>
        <v>1</v>
      </c>
      <c r="L790">
        <f>IFERROR(IF(VLOOKUP(calendar[[#This Row],[Date]],BH!A:A,1,)&lt;&gt;"",1,0),0)</f>
        <v>0</v>
      </c>
      <c r="M790">
        <f>IFERROR(IF(VLOOKUP(calendar[[#This Row],[Date]],BH!C:C,1,)&lt;&gt;"",1,0),0)</f>
        <v>0</v>
      </c>
      <c r="N790">
        <f>IFERROR(IF(VLOOKUP(calendar[[#This Row],[Date]],BH!E:E,1,)&lt;&gt;"",1,0),0)</f>
        <v>0</v>
      </c>
      <c r="O790">
        <f>IFERROR(IF(VLOOKUP(calendar[[#This Row],[Date]],BH!G:G,1,)&lt;&gt;"",1,0),0)</f>
        <v>0</v>
      </c>
      <c r="P790">
        <f>IF(OR(calendar[[#This Row],[UK_BH]]=1,calendar[[#This Row],[WeekDay]]=1, calendar[[#This Row],[WeekDay]]=7),P789,P789+1)</f>
        <v>564</v>
      </c>
      <c r="Q790">
        <f>IF(OR(calendar[[#This Row],[FR_BH]]=1,calendar[[#This Row],[WeekDay]]=1, calendar[[#This Row],[WeekDay]]=7),P789,P789+1)</f>
        <v>564</v>
      </c>
      <c r="R790">
        <f>IF(OR(calendar[[#This Row],[SP_BH]]=1,calendar[[#This Row],[WeekDay]]=1, calendar[[#This Row],[WeekDay]]=7),P789,P789+1)</f>
        <v>564</v>
      </c>
      <c r="S790">
        <f>IF(OR(calendar[[#This Row],[PT_BH]]=1,calendar[[#This Row],[WeekDay]]=1, calendar[[#This Row],[WeekDay]]=7),P789,P789+1)</f>
        <v>564</v>
      </c>
    </row>
    <row r="791" spans="1:19" x14ac:dyDescent="0.25">
      <c r="A791" s="2">
        <v>43525</v>
      </c>
      <c r="B791" s="1">
        <f t="shared" si="63"/>
        <v>9</v>
      </c>
      <c r="C791">
        <f t="shared" si="65"/>
        <v>3</v>
      </c>
      <c r="D791" t="str">
        <f t="shared" si="66"/>
        <v>March</v>
      </c>
      <c r="E791">
        <f t="shared" si="67"/>
        <v>2019</v>
      </c>
      <c r="F791" t="str">
        <f>CONCATENATE(calendar[[#This Row],[Month]],"/",calendar[[#This Row],[Year]])</f>
        <v>3/2019</v>
      </c>
      <c r="G791">
        <f>WEEKDAY(calendar[[#This Row],[Date]],1)</f>
        <v>6</v>
      </c>
      <c r="H791" t="str">
        <f>TEXT(calendar[[#This Row],[WeekDay]],"dddd")</f>
        <v>Friday</v>
      </c>
      <c r="I791">
        <f>IF((INT(calendar[[#This Row],[Count]]/7)-calendar[[#This Row],[Count]]/7)&lt;0,I790,I790+1)</f>
        <v>113</v>
      </c>
      <c r="J791">
        <f t="shared" si="64"/>
        <v>789</v>
      </c>
      <c r="K791">
        <f>IF(calendar[[#This Row],[Month]]&lt;4,1,IF(calendar[[#This Row],[Month]]&lt;7,2,IF(calendar[[#This Row],[Month]]&lt;10,3,4)))</f>
        <v>1</v>
      </c>
      <c r="L791">
        <f>IFERROR(IF(VLOOKUP(calendar[[#This Row],[Date]],BH!A:A,1,)&lt;&gt;"",1,0),0)</f>
        <v>0</v>
      </c>
      <c r="M791">
        <f>IFERROR(IF(VLOOKUP(calendar[[#This Row],[Date]],BH!C:C,1,)&lt;&gt;"",1,0),0)</f>
        <v>0</v>
      </c>
      <c r="N791">
        <f>IFERROR(IF(VLOOKUP(calendar[[#This Row],[Date]],BH!E:E,1,)&lt;&gt;"",1,0),0)</f>
        <v>0</v>
      </c>
      <c r="O791">
        <f>IFERROR(IF(VLOOKUP(calendar[[#This Row],[Date]],BH!G:G,1,)&lt;&gt;"",1,0),0)</f>
        <v>0</v>
      </c>
      <c r="P791">
        <f>IF(OR(calendar[[#This Row],[UK_BH]]=1,calendar[[#This Row],[WeekDay]]=1, calendar[[#This Row],[WeekDay]]=7),P790,P790+1)</f>
        <v>565</v>
      </c>
      <c r="Q791">
        <f>IF(OR(calendar[[#This Row],[FR_BH]]=1,calendar[[#This Row],[WeekDay]]=1, calendar[[#This Row],[WeekDay]]=7),P790,P790+1)</f>
        <v>565</v>
      </c>
      <c r="R791">
        <f>IF(OR(calendar[[#This Row],[SP_BH]]=1,calendar[[#This Row],[WeekDay]]=1, calendar[[#This Row],[WeekDay]]=7),P790,P790+1)</f>
        <v>565</v>
      </c>
      <c r="S791">
        <f>IF(OR(calendar[[#This Row],[PT_BH]]=1,calendar[[#This Row],[WeekDay]]=1, calendar[[#This Row],[WeekDay]]=7),P790,P790+1)</f>
        <v>565</v>
      </c>
    </row>
    <row r="792" spans="1:19" x14ac:dyDescent="0.25">
      <c r="A792" s="2">
        <v>43526</v>
      </c>
      <c r="B792" s="1">
        <f t="shared" si="63"/>
        <v>9</v>
      </c>
      <c r="C792">
        <f t="shared" si="65"/>
        <v>3</v>
      </c>
      <c r="D792" t="str">
        <f t="shared" si="66"/>
        <v>March</v>
      </c>
      <c r="E792">
        <f t="shared" si="67"/>
        <v>2019</v>
      </c>
      <c r="F792" t="str">
        <f>CONCATENATE(calendar[[#This Row],[Month]],"/",calendar[[#This Row],[Year]])</f>
        <v>3/2019</v>
      </c>
      <c r="G792">
        <f>WEEKDAY(calendar[[#This Row],[Date]],1)</f>
        <v>7</v>
      </c>
      <c r="H792" t="str">
        <f>TEXT(calendar[[#This Row],[WeekDay]],"dddd")</f>
        <v>Saturday</v>
      </c>
      <c r="I792">
        <f>IF((INT(calendar[[#This Row],[Count]]/7)-calendar[[#This Row],[Count]]/7)&lt;0,I791,I791+1)</f>
        <v>113</v>
      </c>
      <c r="J792">
        <f t="shared" si="64"/>
        <v>790</v>
      </c>
      <c r="K792">
        <f>IF(calendar[[#This Row],[Month]]&lt;4,1,IF(calendar[[#This Row],[Month]]&lt;7,2,IF(calendar[[#This Row],[Month]]&lt;10,3,4)))</f>
        <v>1</v>
      </c>
      <c r="L792">
        <f>IFERROR(IF(VLOOKUP(calendar[[#This Row],[Date]],BH!A:A,1,)&lt;&gt;"",1,0),0)</f>
        <v>0</v>
      </c>
      <c r="M792">
        <f>IFERROR(IF(VLOOKUP(calendar[[#This Row],[Date]],BH!C:C,1,)&lt;&gt;"",1,0),0)</f>
        <v>0</v>
      </c>
      <c r="N792">
        <f>IFERROR(IF(VLOOKUP(calendar[[#This Row],[Date]],BH!E:E,1,)&lt;&gt;"",1,0),0)</f>
        <v>0</v>
      </c>
      <c r="O792">
        <f>IFERROR(IF(VLOOKUP(calendar[[#This Row],[Date]],BH!G:G,1,)&lt;&gt;"",1,0),0)</f>
        <v>0</v>
      </c>
      <c r="P792">
        <f>IF(OR(calendar[[#This Row],[UK_BH]]=1,calendar[[#This Row],[WeekDay]]=1, calendar[[#This Row],[WeekDay]]=7),P791,P791+1)</f>
        <v>565</v>
      </c>
      <c r="Q792">
        <f>IF(OR(calendar[[#This Row],[FR_BH]]=1,calendar[[#This Row],[WeekDay]]=1, calendar[[#This Row],[WeekDay]]=7),P791,P791+1)</f>
        <v>565</v>
      </c>
      <c r="R792">
        <f>IF(OR(calendar[[#This Row],[SP_BH]]=1,calendar[[#This Row],[WeekDay]]=1, calendar[[#This Row],[WeekDay]]=7),P791,P791+1)</f>
        <v>565</v>
      </c>
      <c r="S792">
        <f>IF(OR(calendar[[#This Row],[PT_BH]]=1,calendar[[#This Row],[WeekDay]]=1, calendar[[#This Row],[WeekDay]]=7),P791,P791+1)</f>
        <v>565</v>
      </c>
    </row>
    <row r="793" spans="1:19" x14ac:dyDescent="0.25">
      <c r="A793" s="2">
        <v>43527</v>
      </c>
      <c r="B793" s="1">
        <f t="shared" si="63"/>
        <v>10</v>
      </c>
      <c r="C793">
        <f t="shared" si="65"/>
        <v>3</v>
      </c>
      <c r="D793" t="str">
        <f t="shared" si="66"/>
        <v>March</v>
      </c>
      <c r="E793">
        <f t="shared" si="67"/>
        <v>2019</v>
      </c>
      <c r="F793" t="str">
        <f>CONCATENATE(calendar[[#This Row],[Month]],"/",calendar[[#This Row],[Year]])</f>
        <v>3/2019</v>
      </c>
      <c r="G793">
        <f>WEEKDAY(calendar[[#This Row],[Date]],1)</f>
        <v>1</v>
      </c>
      <c r="H793" t="str">
        <f>TEXT(calendar[[#This Row],[WeekDay]],"dddd")</f>
        <v>Sunday</v>
      </c>
      <c r="I793">
        <f>IF((INT(calendar[[#This Row],[Count]]/7)-calendar[[#This Row],[Count]]/7)&lt;0,I792,I792+1)</f>
        <v>114</v>
      </c>
      <c r="J793">
        <f t="shared" si="64"/>
        <v>791</v>
      </c>
      <c r="K793">
        <f>IF(calendar[[#This Row],[Month]]&lt;4,1,IF(calendar[[#This Row],[Month]]&lt;7,2,IF(calendar[[#This Row],[Month]]&lt;10,3,4)))</f>
        <v>1</v>
      </c>
      <c r="L793">
        <f>IFERROR(IF(VLOOKUP(calendar[[#This Row],[Date]],BH!A:A,1,)&lt;&gt;"",1,0),0)</f>
        <v>0</v>
      </c>
      <c r="M793">
        <f>IFERROR(IF(VLOOKUP(calendar[[#This Row],[Date]],BH!C:C,1,)&lt;&gt;"",1,0),0)</f>
        <v>0</v>
      </c>
      <c r="N793">
        <f>IFERROR(IF(VLOOKUP(calendar[[#This Row],[Date]],BH!E:E,1,)&lt;&gt;"",1,0),0)</f>
        <v>0</v>
      </c>
      <c r="O793">
        <f>IFERROR(IF(VLOOKUP(calendar[[#This Row],[Date]],BH!G:G,1,)&lt;&gt;"",1,0),0)</f>
        <v>0</v>
      </c>
      <c r="P793">
        <f>IF(OR(calendar[[#This Row],[UK_BH]]=1,calendar[[#This Row],[WeekDay]]=1, calendar[[#This Row],[WeekDay]]=7),P792,P792+1)</f>
        <v>565</v>
      </c>
      <c r="Q793">
        <f>IF(OR(calendar[[#This Row],[FR_BH]]=1,calendar[[#This Row],[WeekDay]]=1, calendar[[#This Row],[WeekDay]]=7),P792,P792+1)</f>
        <v>565</v>
      </c>
      <c r="R793">
        <f>IF(OR(calendar[[#This Row],[SP_BH]]=1,calendar[[#This Row],[WeekDay]]=1, calendar[[#This Row],[WeekDay]]=7),P792,P792+1)</f>
        <v>565</v>
      </c>
      <c r="S793">
        <f>IF(OR(calendar[[#This Row],[PT_BH]]=1,calendar[[#This Row],[WeekDay]]=1, calendar[[#This Row],[WeekDay]]=7),P792,P792+1)</f>
        <v>565</v>
      </c>
    </row>
    <row r="794" spans="1:19" x14ac:dyDescent="0.25">
      <c r="A794" s="2">
        <v>43528</v>
      </c>
      <c r="B794" s="1">
        <f t="shared" si="63"/>
        <v>10</v>
      </c>
      <c r="C794">
        <f t="shared" si="65"/>
        <v>3</v>
      </c>
      <c r="D794" t="str">
        <f t="shared" si="66"/>
        <v>March</v>
      </c>
      <c r="E794">
        <f t="shared" si="67"/>
        <v>2019</v>
      </c>
      <c r="F794" t="str">
        <f>CONCATENATE(calendar[[#This Row],[Month]],"/",calendar[[#This Row],[Year]])</f>
        <v>3/2019</v>
      </c>
      <c r="G794">
        <f>WEEKDAY(calendar[[#This Row],[Date]],1)</f>
        <v>2</v>
      </c>
      <c r="H794" t="str">
        <f>TEXT(calendar[[#This Row],[WeekDay]],"dddd")</f>
        <v>Monday</v>
      </c>
      <c r="I794">
        <f>IF((INT(calendar[[#This Row],[Count]]/7)-calendar[[#This Row],[Count]]/7)&lt;0,I793,I793+1)</f>
        <v>114</v>
      </c>
      <c r="J794">
        <f t="shared" si="64"/>
        <v>792</v>
      </c>
      <c r="K794">
        <f>IF(calendar[[#This Row],[Month]]&lt;4,1,IF(calendar[[#This Row],[Month]]&lt;7,2,IF(calendar[[#This Row],[Month]]&lt;10,3,4)))</f>
        <v>1</v>
      </c>
      <c r="L794">
        <f>IFERROR(IF(VLOOKUP(calendar[[#This Row],[Date]],BH!A:A,1,)&lt;&gt;"",1,0),0)</f>
        <v>0</v>
      </c>
      <c r="M794">
        <f>IFERROR(IF(VLOOKUP(calendar[[#This Row],[Date]],BH!C:C,1,)&lt;&gt;"",1,0),0)</f>
        <v>0</v>
      </c>
      <c r="N794">
        <f>IFERROR(IF(VLOOKUP(calendar[[#This Row],[Date]],BH!E:E,1,)&lt;&gt;"",1,0),0)</f>
        <v>0</v>
      </c>
      <c r="O794">
        <f>IFERROR(IF(VLOOKUP(calendar[[#This Row],[Date]],BH!G:G,1,)&lt;&gt;"",1,0),0)</f>
        <v>0</v>
      </c>
      <c r="P794">
        <f>IF(OR(calendar[[#This Row],[UK_BH]]=1,calendar[[#This Row],[WeekDay]]=1, calendar[[#This Row],[WeekDay]]=7),P793,P793+1)</f>
        <v>566</v>
      </c>
      <c r="Q794">
        <f>IF(OR(calendar[[#This Row],[FR_BH]]=1,calendar[[#This Row],[WeekDay]]=1, calendar[[#This Row],[WeekDay]]=7),P793,P793+1)</f>
        <v>566</v>
      </c>
      <c r="R794">
        <f>IF(OR(calendar[[#This Row],[SP_BH]]=1,calendar[[#This Row],[WeekDay]]=1, calendar[[#This Row],[WeekDay]]=7),P793,P793+1)</f>
        <v>566</v>
      </c>
      <c r="S794">
        <f>IF(OR(calendar[[#This Row],[PT_BH]]=1,calendar[[#This Row],[WeekDay]]=1, calendar[[#This Row],[WeekDay]]=7),P793,P793+1)</f>
        <v>566</v>
      </c>
    </row>
    <row r="795" spans="1:19" x14ac:dyDescent="0.25">
      <c r="A795" s="2">
        <v>43529</v>
      </c>
      <c r="B795" s="1">
        <f t="shared" si="63"/>
        <v>10</v>
      </c>
      <c r="C795">
        <f t="shared" si="65"/>
        <v>3</v>
      </c>
      <c r="D795" t="str">
        <f t="shared" si="66"/>
        <v>March</v>
      </c>
      <c r="E795">
        <f t="shared" si="67"/>
        <v>2019</v>
      </c>
      <c r="F795" t="str">
        <f>CONCATENATE(calendar[[#This Row],[Month]],"/",calendar[[#This Row],[Year]])</f>
        <v>3/2019</v>
      </c>
      <c r="G795">
        <f>WEEKDAY(calendar[[#This Row],[Date]],1)</f>
        <v>3</v>
      </c>
      <c r="H795" t="str">
        <f>TEXT(calendar[[#This Row],[WeekDay]],"dddd")</f>
        <v>Tuesday</v>
      </c>
      <c r="I795">
        <f>IF((INT(calendar[[#This Row],[Count]]/7)-calendar[[#This Row],[Count]]/7)&lt;0,I794,I794+1)</f>
        <v>114</v>
      </c>
      <c r="J795">
        <f t="shared" si="64"/>
        <v>793</v>
      </c>
      <c r="K795">
        <f>IF(calendar[[#This Row],[Month]]&lt;4,1,IF(calendar[[#This Row],[Month]]&lt;7,2,IF(calendar[[#This Row],[Month]]&lt;10,3,4)))</f>
        <v>1</v>
      </c>
      <c r="L795">
        <f>IFERROR(IF(VLOOKUP(calendar[[#This Row],[Date]],BH!A:A,1,)&lt;&gt;"",1,0),0)</f>
        <v>0</v>
      </c>
      <c r="M795">
        <f>IFERROR(IF(VLOOKUP(calendar[[#This Row],[Date]],BH!C:C,1,)&lt;&gt;"",1,0),0)</f>
        <v>0</v>
      </c>
      <c r="N795">
        <f>IFERROR(IF(VLOOKUP(calendar[[#This Row],[Date]],BH!E:E,1,)&lt;&gt;"",1,0),0)</f>
        <v>0</v>
      </c>
      <c r="O795">
        <f>IFERROR(IF(VLOOKUP(calendar[[#This Row],[Date]],BH!G:G,1,)&lt;&gt;"",1,0),0)</f>
        <v>0</v>
      </c>
      <c r="P795">
        <f>IF(OR(calendar[[#This Row],[UK_BH]]=1,calendar[[#This Row],[WeekDay]]=1, calendar[[#This Row],[WeekDay]]=7),P794,P794+1)</f>
        <v>567</v>
      </c>
      <c r="Q795">
        <f>IF(OR(calendar[[#This Row],[FR_BH]]=1,calendar[[#This Row],[WeekDay]]=1, calendar[[#This Row],[WeekDay]]=7),P794,P794+1)</f>
        <v>567</v>
      </c>
      <c r="R795">
        <f>IF(OR(calendar[[#This Row],[SP_BH]]=1,calendar[[#This Row],[WeekDay]]=1, calendar[[#This Row],[WeekDay]]=7),P794,P794+1)</f>
        <v>567</v>
      </c>
      <c r="S795">
        <f>IF(OR(calendar[[#This Row],[PT_BH]]=1,calendar[[#This Row],[WeekDay]]=1, calendar[[#This Row],[WeekDay]]=7),P794,P794+1)</f>
        <v>567</v>
      </c>
    </row>
    <row r="796" spans="1:19" x14ac:dyDescent="0.25">
      <c r="A796" s="2">
        <v>43530</v>
      </c>
      <c r="B796" s="1">
        <f t="shared" si="63"/>
        <v>10</v>
      </c>
      <c r="C796">
        <f t="shared" si="65"/>
        <v>3</v>
      </c>
      <c r="D796" t="str">
        <f t="shared" si="66"/>
        <v>March</v>
      </c>
      <c r="E796">
        <f t="shared" si="67"/>
        <v>2019</v>
      </c>
      <c r="F796" t="str">
        <f>CONCATENATE(calendar[[#This Row],[Month]],"/",calendar[[#This Row],[Year]])</f>
        <v>3/2019</v>
      </c>
      <c r="G796">
        <f>WEEKDAY(calendar[[#This Row],[Date]],1)</f>
        <v>4</v>
      </c>
      <c r="H796" t="str">
        <f>TEXT(calendar[[#This Row],[WeekDay]],"dddd")</f>
        <v>Wednesday</v>
      </c>
      <c r="I796">
        <f>IF((INT(calendar[[#This Row],[Count]]/7)-calendar[[#This Row],[Count]]/7)&lt;0,I795,I795+1)</f>
        <v>114</v>
      </c>
      <c r="J796">
        <f t="shared" si="64"/>
        <v>794</v>
      </c>
      <c r="K796">
        <f>IF(calendar[[#This Row],[Month]]&lt;4,1,IF(calendar[[#This Row],[Month]]&lt;7,2,IF(calendar[[#This Row],[Month]]&lt;10,3,4)))</f>
        <v>1</v>
      </c>
      <c r="L796">
        <f>IFERROR(IF(VLOOKUP(calendar[[#This Row],[Date]],BH!A:A,1,)&lt;&gt;"",1,0),0)</f>
        <v>0</v>
      </c>
      <c r="M796">
        <f>IFERROR(IF(VLOOKUP(calendar[[#This Row],[Date]],BH!C:C,1,)&lt;&gt;"",1,0),0)</f>
        <v>0</v>
      </c>
      <c r="N796">
        <f>IFERROR(IF(VLOOKUP(calendar[[#This Row],[Date]],BH!E:E,1,)&lt;&gt;"",1,0),0)</f>
        <v>0</v>
      </c>
      <c r="O796">
        <f>IFERROR(IF(VLOOKUP(calendar[[#This Row],[Date]],BH!G:G,1,)&lt;&gt;"",1,0),0)</f>
        <v>0</v>
      </c>
      <c r="P796">
        <f>IF(OR(calendar[[#This Row],[UK_BH]]=1,calendar[[#This Row],[WeekDay]]=1, calendar[[#This Row],[WeekDay]]=7),P795,P795+1)</f>
        <v>568</v>
      </c>
      <c r="Q796">
        <f>IF(OR(calendar[[#This Row],[FR_BH]]=1,calendar[[#This Row],[WeekDay]]=1, calendar[[#This Row],[WeekDay]]=7),P795,P795+1)</f>
        <v>568</v>
      </c>
      <c r="R796">
        <f>IF(OR(calendar[[#This Row],[SP_BH]]=1,calendar[[#This Row],[WeekDay]]=1, calendar[[#This Row],[WeekDay]]=7),P795,P795+1)</f>
        <v>568</v>
      </c>
      <c r="S796">
        <f>IF(OR(calendar[[#This Row],[PT_BH]]=1,calendar[[#This Row],[WeekDay]]=1, calendar[[#This Row],[WeekDay]]=7),P795,P795+1)</f>
        <v>568</v>
      </c>
    </row>
    <row r="797" spans="1:19" x14ac:dyDescent="0.25">
      <c r="A797" s="2">
        <v>43531</v>
      </c>
      <c r="B797" s="1">
        <f t="shared" si="63"/>
        <v>10</v>
      </c>
      <c r="C797">
        <f t="shared" si="65"/>
        <v>3</v>
      </c>
      <c r="D797" t="str">
        <f t="shared" si="66"/>
        <v>March</v>
      </c>
      <c r="E797">
        <f t="shared" si="67"/>
        <v>2019</v>
      </c>
      <c r="F797" t="str">
        <f>CONCATENATE(calendar[[#This Row],[Month]],"/",calendar[[#This Row],[Year]])</f>
        <v>3/2019</v>
      </c>
      <c r="G797">
        <f>WEEKDAY(calendar[[#This Row],[Date]],1)</f>
        <v>5</v>
      </c>
      <c r="H797" t="str">
        <f>TEXT(calendar[[#This Row],[WeekDay]],"dddd")</f>
        <v>Thursday</v>
      </c>
      <c r="I797">
        <f>IF((INT(calendar[[#This Row],[Count]]/7)-calendar[[#This Row],[Count]]/7)&lt;0,I796,I796+1)</f>
        <v>114</v>
      </c>
      <c r="J797">
        <f t="shared" si="64"/>
        <v>795</v>
      </c>
      <c r="K797">
        <f>IF(calendar[[#This Row],[Month]]&lt;4,1,IF(calendar[[#This Row],[Month]]&lt;7,2,IF(calendar[[#This Row],[Month]]&lt;10,3,4)))</f>
        <v>1</v>
      </c>
      <c r="L797">
        <f>IFERROR(IF(VLOOKUP(calendar[[#This Row],[Date]],BH!A:A,1,)&lt;&gt;"",1,0),0)</f>
        <v>0</v>
      </c>
      <c r="M797">
        <f>IFERROR(IF(VLOOKUP(calendar[[#This Row],[Date]],BH!C:C,1,)&lt;&gt;"",1,0),0)</f>
        <v>0</v>
      </c>
      <c r="N797">
        <f>IFERROR(IF(VLOOKUP(calendar[[#This Row],[Date]],BH!E:E,1,)&lt;&gt;"",1,0),0)</f>
        <v>0</v>
      </c>
      <c r="O797">
        <f>IFERROR(IF(VLOOKUP(calendar[[#This Row],[Date]],BH!G:G,1,)&lt;&gt;"",1,0),0)</f>
        <v>0</v>
      </c>
      <c r="P797">
        <f>IF(OR(calendar[[#This Row],[UK_BH]]=1,calendar[[#This Row],[WeekDay]]=1, calendar[[#This Row],[WeekDay]]=7),P796,P796+1)</f>
        <v>569</v>
      </c>
      <c r="Q797">
        <f>IF(OR(calendar[[#This Row],[FR_BH]]=1,calendar[[#This Row],[WeekDay]]=1, calendar[[#This Row],[WeekDay]]=7),P796,P796+1)</f>
        <v>569</v>
      </c>
      <c r="R797">
        <f>IF(OR(calendar[[#This Row],[SP_BH]]=1,calendar[[#This Row],[WeekDay]]=1, calendar[[#This Row],[WeekDay]]=7),P796,P796+1)</f>
        <v>569</v>
      </c>
      <c r="S797">
        <f>IF(OR(calendar[[#This Row],[PT_BH]]=1,calendar[[#This Row],[WeekDay]]=1, calendar[[#This Row],[WeekDay]]=7),P796,P796+1)</f>
        <v>569</v>
      </c>
    </row>
    <row r="798" spans="1:19" x14ac:dyDescent="0.25">
      <c r="A798" s="2">
        <v>43532</v>
      </c>
      <c r="B798" s="1">
        <f t="shared" si="63"/>
        <v>10</v>
      </c>
      <c r="C798">
        <f t="shared" si="65"/>
        <v>3</v>
      </c>
      <c r="D798" t="str">
        <f t="shared" si="66"/>
        <v>March</v>
      </c>
      <c r="E798">
        <f t="shared" si="67"/>
        <v>2019</v>
      </c>
      <c r="F798" t="str">
        <f>CONCATENATE(calendar[[#This Row],[Month]],"/",calendar[[#This Row],[Year]])</f>
        <v>3/2019</v>
      </c>
      <c r="G798">
        <f>WEEKDAY(calendar[[#This Row],[Date]],1)</f>
        <v>6</v>
      </c>
      <c r="H798" t="str">
        <f>TEXT(calendar[[#This Row],[WeekDay]],"dddd")</f>
        <v>Friday</v>
      </c>
      <c r="I798">
        <f>IF((INT(calendar[[#This Row],[Count]]/7)-calendar[[#This Row],[Count]]/7)&lt;0,I797,I797+1)</f>
        <v>114</v>
      </c>
      <c r="J798">
        <f t="shared" si="64"/>
        <v>796</v>
      </c>
      <c r="K798">
        <f>IF(calendar[[#This Row],[Month]]&lt;4,1,IF(calendar[[#This Row],[Month]]&lt;7,2,IF(calendar[[#This Row],[Month]]&lt;10,3,4)))</f>
        <v>1</v>
      </c>
      <c r="L798">
        <f>IFERROR(IF(VLOOKUP(calendar[[#This Row],[Date]],BH!A:A,1,)&lt;&gt;"",1,0),0)</f>
        <v>0</v>
      </c>
      <c r="M798">
        <f>IFERROR(IF(VLOOKUP(calendar[[#This Row],[Date]],BH!C:C,1,)&lt;&gt;"",1,0),0)</f>
        <v>0</v>
      </c>
      <c r="N798">
        <f>IFERROR(IF(VLOOKUP(calendar[[#This Row],[Date]],BH!E:E,1,)&lt;&gt;"",1,0),0)</f>
        <v>0</v>
      </c>
      <c r="O798">
        <f>IFERROR(IF(VLOOKUP(calendar[[#This Row],[Date]],BH!G:G,1,)&lt;&gt;"",1,0),0)</f>
        <v>0</v>
      </c>
      <c r="P798">
        <f>IF(OR(calendar[[#This Row],[UK_BH]]=1,calendar[[#This Row],[WeekDay]]=1, calendar[[#This Row],[WeekDay]]=7),P797,P797+1)</f>
        <v>570</v>
      </c>
      <c r="Q798">
        <f>IF(OR(calendar[[#This Row],[FR_BH]]=1,calendar[[#This Row],[WeekDay]]=1, calendar[[#This Row],[WeekDay]]=7),P797,P797+1)</f>
        <v>570</v>
      </c>
      <c r="R798">
        <f>IF(OR(calendar[[#This Row],[SP_BH]]=1,calendar[[#This Row],[WeekDay]]=1, calendar[[#This Row],[WeekDay]]=7),P797,P797+1)</f>
        <v>570</v>
      </c>
      <c r="S798">
        <f>IF(OR(calendar[[#This Row],[PT_BH]]=1,calendar[[#This Row],[WeekDay]]=1, calendar[[#This Row],[WeekDay]]=7),P797,P797+1)</f>
        <v>570</v>
      </c>
    </row>
    <row r="799" spans="1:19" x14ac:dyDescent="0.25">
      <c r="A799" s="2">
        <v>43533</v>
      </c>
      <c r="B799" s="1">
        <f t="shared" si="63"/>
        <v>10</v>
      </c>
      <c r="C799">
        <f t="shared" si="65"/>
        <v>3</v>
      </c>
      <c r="D799" t="str">
        <f t="shared" si="66"/>
        <v>March</v>
      </c>
      <c r="E799">
        <f t="shared" si="67"/>
        <v>2019</v>
      </c>
      <c r="F799" t="str">
        <f>CONCATENATE(calendar[[#This Row],[Month]],"/",calendar[[#This Row],[Year]])</f>
        <v>3/2019</v>
      </c>
      <c r="G799">
        <f>WEEKDAY(calendar[[#This Row],[Date]],1)</f>
        <v>7</v>
      </c>
      <c r="H799" t="str">
        <f>TEXT(calendar[[#This Row],[WeekDay]],"dddd")</f>
        <v>Saturday</v>
      </c>
      <c r="I799">
        <f>IF((INT(calendar[[#This Row],[Count]]/7)-calendar[[#This Row],[Count]]/7)&lt;0,I798,I798+1)</f>
        <v>114</v>
      </c>
      <c r="J799">
        <f t="shared" si="64"/>
        <v>797</v>
      </c>
      <c r="K799">
        <f>IF(calendar[[#This Row],[Month]]&lt;4,1,IF(calendar[[#This Row],[Month]]&lt;7,2,IF(calendar[[#This Row],[Month]]&lt;10,3,4)))</f>
        <v>1</v>
      </c>
      <c r="L799">
        <f>IFERROR(IF(VLOOKUP(calendar[[#This Row],[Date]],BH!A:A,1,)&lt;&gt;"",1,0),0)</f>
        <v>0</v>
      </c>
      <c r="M799">
        <f>IFERROR(IF(VLOOKUP(calendar[[#This Row],[Date]],BH!C:C,1,)&lt;&gt;"",1,0),0)</f>
        <v>0</v>
      </c>
      <c r="N799">
        <f>IFERROR(IF(VLOOKUP(calendar[[#This Row],[Date]],BH!E:E,1,)&lt;&gt;"",1,0),0)</f>
        <v>0</v>
      </c>
      <c r="O799">
        <f>IFERROR(IF(VLOOKUP(calendar[[#This Row],[Date]],BH!G:G,1,)&lt;&gt;"",1,0),0)</f>
        <v>0</v>
      </c>
      <c r="P799">
        <f>IF(OR(calendar[[#This Row],[UK_BH]]=1,calendar[[#This Row],[WeekDay]]=1, calendar[[#This Row],[WeekDay]]=7),P798,P798+1)</f>
        <v>570</v>
      </c>
      <c r="Q799">
        <f>IF(OR(calendar[[#This Row],[FR_BH]]=1,calendar[[#This Row],[WeekDay]]=1, calendar[[#This Row],[WeekDay]]=7),P798,P798+1)</f>
        <v>570</v>
      </c>
      <c r="R799">
        <f>IF(OR(calendar[[#This Row],[SP_BH]]=1,calendar[[#This Row],[WeekDay]]=1, calendar[[#This Row],[WeekDay]]=7),P798,P798+1)</f>
        <v>570</v>
      </c>
      <c r="S799">
        <f>IF(OR(calendar[[#This Row],[PT_BH]]=1,calendar[[#This Row],[WeekDay]]=1, calendar[[#This Row],[WeekDay]]=7),P798,P798+1)</f>
        <v>570</v>
      </c>
    </row>
    <row r="800" spans="1:19" x14ac:dyDescent="0.25">
      <c r="A800" s="2">
        <v>43534</v>
      </c>
      <c r="B800" s="1">
        <f t="shared" si="63"/>
        <v>11</v>
      </c>
      <c r="C800">
        <f t="shared" si="65"/>
        <v>3</v>
      </c>
      <c r="D800" t="str">
        <f t="shared" si="66"/>
        <v>March</v>
      </c>
      <c r="E800">
        <f t="shared" si="67"/>
        <v>2019</v>
      </c>
      <c r="F800" t="str">
        <f>CONCATENATE(calendar[[#This Row],[Month]],"/",calendar[[#This Row],[Year]])</f>
        <v>3/2019</v>
      </c>
      <c r="G800">
        <f>WEEKDAY(calendar[[#This Row],[Date]],1)</f>
        <v>1</v>
      </c>
      <c r="H800" t="str">
        <f>TEXT(calendar[[#This Row],[WeekDay]],"dddd")</f>
        <v>Sunday</v>
      </c>
      <c r="I800">
        <f>IF((INT(calendar[[#This Row],[Count]]/7)-calendar[[#This Row],[Count]]/7)&lt;0,I799,I799+1)</f>
        <v>115</v>
      </c>
      <c r="J800">
        <f t="shared" si="64"/>
        <v>798</v>
      </c>
      <c r="K800">
        <f>IF(calendar[[#This Row],[Month]]&lt;4,1,IF(calendar[[#This Row],[Month]]&lt;7,2,IF(calendar[[#This Row],[Month]]&lt;10,3,4)))</f>
        <v>1</v>
      </c>
      <c r="L800">
        <f>IFERROR(IF(VLOOKUP(calendar[[#This Row],[Date]],BH!A:A,1,)&lt;&gt;"",1,0),0)</f>
        <v>0</v>
      </c>
      <c r="M800">
        <f>IFERROR(IF(VLOOKUP(calendar[[#This Row],[Date]],BH!C:C,1,)&lt;&gt;"",1,0),0)</f>
        <v>0</v>
      </c>
      <c r="N800">
        <f>IFERROR(IF(VLOOKUP(calendar[[#This Row],[Date]],BH!E:E,1,)&lt;&gt;"",1,0),0)</f>
        <v>0</v>
      </c>
      <c r="O800">
        <f>IFERROR(IF(VLOOKUP(calendar[[#This Row],[Date]],BH!G:G,1,)&lt;&gt;"",1,0),0)</f>
        <v>0</v>
      </c>
      <c r="P800">
        <f>IF(OR(calendar[[#This Row],[UK_BH]]=1,calendar[[#This Row],[WeekDay]]=1, calendar[[#This Row],[WeekDay]]=7),P799,P799+1)</f>
        <v>570</v>
      </c>
      <c r="Q800">
        <f>IF(OR(calendar[[#This Row],[FR_BH]]=1,calendar[[#This Row],[WeekDay]]=1, calendar[[#This Row],[WeekDay]]=7),P799,P799+1)</f>
        <v>570</v>
      </c>
      <c r="R800">
        <f>IF(OR(calendar[[#This Row],[SP_BH]]=1,calendar[[#This Row],[WeekDay]]=1, calendar[[#This Row],[WeekDay]]=7),P799,P799+1)</f>
        <v>570</v>
      </c>
      <c r="S800">
        <f>IF(OR(calendar[[#This Row],[PT_BH]]=1,calendar[[#This Row],[WeekDay]]=1, calendar[[#This Row],[WeekDay]]=7),P799,P799+1)</f>
        <v>570</v>
      </c>
    </row>
    <row r="801" spans="1:19" x14ac:dyDescent="0.25">
      <c r="A801" s="2">
        <v>43535</v>
      </c>
      <c r="B801" s="1">
        <f t="shared" si="63"/>
        <v>11</v>
      </c>
      <c r="C801">
        <f t="shared" si="65"/>
        <v>3</v>
      </c>
      <c r="D801" t="str">
        <f t="shared" si="66"/>
        <v>March</v>
      </c>
      <c r="E801">
        <f t="shared" si="67"/>
        <v>2019</v>
      </c>
      <c r="F801" t="str">
        <f>CONCATENATE(calendar[[#This Row],[Month]],"/",calendar[[#This Row],[Year]])</f>
        <v>3/2019</v>
      </c>
      <c r="G801">
        <f>WEEKDAY(calendar[[#This Row],[Date]],1)</f>
        <v>2</v>
      </c>
      <c r="H801" t="str">
        <f>TEXT(calendar[[#This Row],[WeekDay]],"dddd")</f>
        <v>Monday</v>
      </c>
      <c r="I801">
        <f>IF((INT(calendar[[#This Row],[Count]]/7)-calendar[[#This Row],[Count]]/7)&lt;0,I800,I800+1)</f>
        <v>115</v>
      </c>
      <c r="J801">
        <f t="shared" si="64"/>
        <v>799</v>
      </c>
      <c r="K801">
        <f>IF(calendar[[#This Row],[Month]]&lt;4,1,IF(calendar[[#This Row],[Month]]&lt;7,2,IF(calendar[[#This Row],[Month]]&lt;10,3,4)))</f>
        <v>1</v>
      </c>
      <c r="L801">
        <f>IFERROR(IF(VLOOKUP(calendar[[#This Row],[Date]],BH!A:A,1,)&lt;&gt;"",1,0),0)</f>
        <v>0</v>
      </c>
      <c r="M801">
        <f>IFERROR(IF(VLOOKUP(calendar[[#This Row],[Date]],BH!C:C,1,)&lt;&gt;"",1,0),0)</f>
        <v>0</v>
      </c>
      <c r="N801">
        <f>IFERROR(IF(VLOOKUP(calendar[[#This Row],[Date]],BH!E:E,1,)&lt;&gt;"",1,0),0)</f>
        <v>0</v>
      </c>
      <c r="O801">
        <f>IFERROR(IF(VLOOKUP(calendar[[#This Row],[Date]],BH!G:G,1,)&lt;&gt;"",1,0),0)</f>
        <v>0</v>
      </c>
      <c r="P801">
        <f>IF(OR(calendar[[#This Row],[UK_BH]]=1,calendar[[#This Row],[WeekDay]]=1, calendar[[#This Row],[WeekDay]]=7),P800,P800+1)</f>
        <v>571</v>
      </c>
      <c r="Q801">
        <f>IF(OR(calendar[[#This Row],[FR_BH]]=1,calendar[[#This Row],[WeekDay]]=1, calendar[[#This Row],[WeekDay]]=7),P800,P800+1)</f>
        <v>571</v>
      </c>
      <c r="R801">
        <f>IF(OR(calendar[[#This Row],[SP_BH]]=1,calendar[[#This Row],[WeekDay]]=1, calendar[[#This Row],[WeekDay]]=7),P800,P800+1)</f>
        <v>571</v>
      </c>
      <c r="S801">
        <f>IF(OR(calendar[[#This Row],[PT_BH]]=1,calendar[[#This Row],[WeekDay]]=1, calendar[[#This Row],[WeekDay]]=7),P800,P800+1)</f>
        <v>571</v>
      </c>
    </row>
    <row r="802" spans="1:19" x14ac:dyDescent="0.25">
      <c r="A802" s="2">
        <v>43536</v>
      </c>
      <c r="B802" s="1">
        <f t="shared" si="63"/>
        <v>11</v>
      </c>
      <c r="C802">
        <f t="shared" si="65"/>
        <v>3</v>
      </c>
      <c r="D802" t="str">
        <f t="shared" si="66"/>
        <v>March</v>
      </c>
      <c r="E802">
        <f t="shared" si="67"/>
        <v>2019</v>
      </c>
      <c r="F802" t="str">
        <f>CONCATENATE(calendar[[#This Row],[Month]],"/",calendar[[#This Row],[Year]])</f>
        <v>3/2019</v>
      </c>
      <c r="G802">
        <f>WEEKDAY(calendar[[#This Row],[Date]],1)</f>
        <v>3</v>
      </c>
      <c r="H802" t="str">
        <f>TEXT(calendar[[#This Row],[WeekDay]],"dddd")</f>
        <v>Tuesday</v>
      </c>
      <c r="I802">
        <f>IF((INT(calendar[[#This Row],[Count]]/7)-calendar[[#This Row],[Count]]/7)&lt;0,I801,I801+1)</f>
        <v>115</v>
      </c>
      <c r="J802">
        <f t="shared" si="64"/>
        <v>800</v>
      </c>
      <c r="K802">
        <f>IF(calendar[[#This Row],[Month]]&lt;4,1,IF(calendar[[#This Row],[Month]]&lt;7,2,IF(calendar[[#This Row],[Month]]&lt;10,3,4)))</f>
        <v>1</v>
      </c>
      <c r="L802">
        <f>IFERROR(IF(VLOOKUP(calendar[[#This Row],[Date]],BH!A:A,1,)&lt;&gt;"",1,0),0)</f>
        <v>0</v>
      </c>
      <c r="M802">
        <f>IFERROR(IF(VLOOKUP(calendar[[#This Row],[Date]],BH!C:C,1,)&lt;&gt;"",1,0),0)</f>
        <v>0</v>
      </c>
      <c r="N802">
        <f>IFERROR(IF(VLOOKUP(calendar[[#This Row],[Date]],BH!E:E,1,)&lt;&gt;"",1,0),0)</f>
        <v>0</v>
      </c>
      <c r="O802">
        <f>IFERROR(IF(VLOOKUP(calendar[[#This Row],[Date]],BH!G:G,1,)&lt;&gt;"",1,0),0)</f>
        <v>0</v>
      </c>
      <c r="P802">
        <f>IF(OR(calendar[[#This Row],[UK_BH]]=1,calendar[[#This Row],[WeekDay]]=1, calendar[[#This Row],[WeekDay]]=7),P801,P801+1)</f>
        <v>572</v>
      </c>
      <c r="Q802">
        <f>IF(OR(calendar[[#This Row],[FR_BH]]=1,calendar[[#This Row],[WeekDay]]=1, calendar[[#This Row],[WeekDay]]=7),P801,P801+1)</f>
        <v>572</v>
      </c>
      <c r="R802">
        <f>IF(OR(calendar[[#This Row],[SP_BH]]=1,calendar[[#This Row],[WeekDay]]=1, calendar[[#This Row],[WeekDay]]=7),P801,P801+1)</f>
        <v>572</v>
      </c>
      <c r="S802">
        <f>IF(OR(calendar[[#This Row],[PT_BH]]=1,calendar[[#This Row],[WeekDay]]=1, calendar[[#This Row],[WeekDay]]=7),P801,P801+1)</f>
        <v>572</v>
      </c>
    </row>
    <row r="803" spans="1:19" x14ac:dyDescent="0.25">
      <c r="A803" s="2">
        <v>43537</v>
      </c>
      <c r="B803" s="1">
        <f t="shared" si="63"/>
        <v>11</v>
      </c>
      <c r="C803">
        <f t="shared" si="65"/>
        <v>3</v>
      </c>
      <c r="D803" t="str">
        <f t="shared" si="66"/>
        <v>March</v>
      </c>
      <c r="E803">
        <f t="shared" si="67"/>
        <v>2019</v>
      </c>
      <c r="F803" t="str">
        <f>CONCATENATE(calendar[[#This Row],[Month]],"/",calendar[[#This Row],[Year]])</f>
        <v>3/2019</v>
      </c>
      <c r="G803">
        <f>WEEKDAY(calendar[[#This Row],[Date]],1)</f>
        <v>4</v>
      </c>
      <c r="H803" t="str">
        <f>TEXT(calendar[[#This Row],[WeekDay]],"dddd")</f>
        <v>Wednesday</v>
      </c>
      <c r="I803">
        <f>IF((INT(calendar[[#This Row],[Count]]/7)-calendar[[#This Row],[Count]]/7)&lt;0,I802,I802+1)</f>
        <v>115</v>
      </c>
      <c r="J803">
        <f t="shared" si="64"/>
        <v>801</v>
      </c>
      <c r="K803">
        <f>IF(calendar[[#This Row],[Month]]&lt;4,1,IF(calendar[[#This Row],[Month]]&lt;7,2,IF(calendar[[#This Row],[Month]]&lt;10,3,4)))</f>
        <v>1</v>
      </c>
      <c r="L803">
        <f>IFERROR(IF(VLOOKUP(calendar[[#This Row],[Date]],BH!A:A,1,)&lt;&gt;"",1,0),0)</f>
        <v>0</v>
      </c>
      <c r="M803">
        <f>IFERROR(IF(VLOOKUP(calendar[[#This Row],[Date]],BH!C:C,1,)&lt;&gt;"",1,0),0)</f>
        <v>0</v>
      </c>
      <c r="N803">
        <f>IFERROR(IF(VLOOKUP(calendar[[#This Row],[Date]],BH!E:E,1,)&lt;&gt;"",1,0),0)</f>
        <v>0</v>
      </c>
      <c r="O803">
        <f>IFERROR(IF(VLOOKUP(calendar[[#This Row],[Date]],BH!G:G,1,)&lt;&gt;"",1,0),0)</f>
        <v>0</v>
      </c>
      <c r="P803">
        <f>IF(OR(calendar[[#This Row],[UK_BH]]=1,calendar[[#This Row],[WeekDay]]=1, calendar[[#This Row],[WeekDay]]=7),P802,P802+1)</f>
        <v>573</v>
      </c>
      <c r="Q803">
        <f>IF(OR(calendar[[#This Row],[FR_BH]]=1,calendar[[#This Row],[WeekDay]]=1, calendar[[#This Row],[WeekDay]]=7),P802,P802+1)</f>
        <v>573</v>
      </c>
      <c r="R803">
        <f>IF(OR(calendar[[#This Row],[SP_BH]]=1,calendar[[#This Row],[WeekDay]]=1, calendar[[#This Row],[WeekDay]]=7),P802,P802+1)</f>
        <v>573</v>
      </c>
      <c r="S803">
        <f>IF(OR(calendar[[#This Row],[PT_BH]]=1,calendar[[#This Row],[WeekDay]]=1, calendar[[#This Row],[WeekDay]]=7),P802,P802+1)</f>
        <v>573</v>
      </c>
    </row>
    <row r="804" spans="1:19" x14ac:dyDescent="0.25">
      <c r="A804" s="2">
        <v>43538</v>
      </c>
      <c r="B804" s="1">
        <f t="shared" si="63"/>
        <v>11</v>
      </c>
      <c r="C804">
        <f t="shared" si="65"/>
        <v>3</v>
      </c>
      <c r="D804" t="str">
        <f t="shared" si="66"/>
        <v>March</v>
      </c>
      <c r="E804">
        <f t="shared" si="67"/>
        <v>2019</v>
      </c>
      <c r="F804" t="str">
        <f>CONCATENATE(calendar[[#This Row],[Month]],"/",calendar[[#This Row],[Year]])</f>
        <v>3/2019</v>
      </c>
      <c r="G804">
        <f>WEEKDAY(calendar[[#This Row],[Date]],1)</f>
        <v>5</v>
      </c>
      <c r="H804" t="str">
        <f>TEXT(calendar[[#This Row],[WeekDay]],"dddd")</f>
        <v>Thursday</v>
      </c>
      <c r="I804">
        <f>IF((INT(calendar[[#This Row],[Count]]/7)-calendar[[#This Row],[Count]]/7)&lt;0,I803,I803+1)</f>
        <v>115</v>
      </c>
      <c r="J804">
        <f t="shared" si="64"/>
        <v>802</v>
      </c>
      <c r="K804">
        <f>IF(calendar[[#This Row],[Month]]&lt;4,1,IF(calendar[[#This Row],[Month]]&lt;7,2,IF(calendar[[#This Row],[Month]]&lt;10,3,4)))</f>
        <v>1</v>
      </c>
      <c r="L804">
        <f>IFERROR(IF(VLOOKUP(calendar[[#This Row],[Date]],BH!A:A,1,)&lt;&gt;"",1,0),0)</f>
        <v>0</v>
      </c>
      <c r="M804">
        <f>IFERROR(IF(VLOOKUP(calendar[[#This Row],[Date]],BH!C:C,1,)&lt;&gt;"",1,0),0)</f>
        <v>0</v>
      </c>
      <c r="N804">
        <f>IFERROR(IF(VLOOKUP(calendar[[#This Row],[Date]],BH!E:E,1,)&lt;&gt;"",1,0),0)</f>
        <v>0</v>
      </c>
      <c r="O804">
        <f>IFERROR(IF(VLOOKUP(calendar[[#This Row],[Date]],BH!G:G,1,)&lt;&gt;"",1,0),0)</f>
        <v>0</v>
      </c>
      <c r="P804">
        <f>IF(OR(calendar[[#This Row],[UK_BH]]=1,calendar[[#This Row],[WeekDay]]=1, calendar[[#This Row],[WeekDay]]=7),P803,P803+1)</f>
        <v>574</v>
      </c>
      <c r="Q804">
        <f>IF(OR(calendar[[#This Row],[FR_BH]]=1,calendar[[#This Row],[WeekDay]]=1, calendar[[#This Row],[WeekDay]]=7),P803,P803+1)</f>
        <v>574</v>
      </c>
      <c r="R804">
        <f>IF(OR(calendar[[#This Row],[SP_BH]]=1,calendar[[#This Row],[WeekDay]]=1, calendar[[#This Row],[WeekDay]]=7),P803,P803+1)</f>
        <v>574</v>
      </c>
      <c r="S804">
        <f>IF(OR(calendar[[#This Row],[PT_BH]]=1,calendar[[#This Row],[WeekDay]]=1, calendar[[#This Row],[WeekDay]]=7),P803,P803+1)</f>
        <v>574</v>
      </c>
    </row>
    <row r="805" spans="1:19" x14ac:dyDescent="0.25">
      <c r="A805" s="2">
        <v>43539</v>
      </c>
      <c r="B805" s="1">
        <f t="shared" si="63"/>
        <v>11</v>
      </c>
      <c r="C805">
        <f t="shared" si="65"/>
        <v>3</v>
      </c>
      <c r="D805" t="str">
        <f t="shared" si="66"/>
        <v>March</v>
      </c>
      <c r="E805">
        <f t="shared" si="67"/>
        <v>2019</v>
      </c>
      <c r="F805" t="str">
        <f>CONCATENATE(calendar[[#This Row],[Month]],"/",calendar[[#This Row],[Year]])</f>
        <v>3/2019</v>
      </c>
      <c r="G805">
        <f>WEEKDAY(calendar[[#This Row],[Date]],1)</f>
        <v>6</v>
      </c>
      <c r="H805" t="str">
        <f>TEXT(calendar[[#This Row],[WeekDay]],"dddd")</f>
        <v>Friday</v>
      </c>
      <c r="I805">
        <f>IF((INT(calendar[[#This Row],[Count]]/7)-calendar[[#This Row],[Count]]/7)&lt;0,I804,I804+1)</f>
        <v>115</v>
      </c>
      <c r="J805">
        <f t="shared" si="64"/>
        <v>803</v>
      </c>
      <c r="K805">
        <f>IF(calendar[[#This Row],[Month]]&lt;4,1,IF(calendar[[#This Row],[Month]]&lt;7,2,IF(calendar[[#This Row],[Month]]&lt;10,3,4)))</f>
        <v>1</v>
      </c>
      <c r="L805">
        <f>IFERROR(IF(VLOOKUP(calendar[[#This Row],[Date]],BH!A:A,1,)&lt;&gt;"",1,0),0)</f>
        <v>0</v>
      </c>
      <c r="M805">
        <f>IFERROR(IF(VLOOKUP(calendar[[#This Row],[Date]],BH!C:C,1,)&lt;&gt;"",1,0),0)</f>
        <v>0</v>
      </c>
      <c r="N805">
        <f>IFERROR(IF(VLOOKUP(calendar[[#This Row],[Date]],BH!E:E,1,)&lt;&gt;"",1,0),0)</f>
        <v>0</v>
      </c>
      <c r="O805">
        <f>IFERROR(IF(VLOOKUP(calendar[[#This Row],[Date]],BH!G:G,1,)&lt;&gt;"",1,0),0)</f>
        <v>0</v>
      </c>
      <c r="P805">
        <f>IF(OR(calendar[[#This Row],[UK_BH]]=1,calendar[[#This Row],[WeekDay]]=1, calendar[[#This Row],[WeekDay]]=7),P804,P804+1)</f>
        <v>575</v>
      </c>
      <c r="Q805">
        <f>IF(OR(calendar[[#This Row],[FR_BH]]=1,calendar[[#This Row],[WeekDay]]=1, calendar[[#This Row],[WeekDay]]=7),P804,P804+1)</f>
        <v>575</v>
      </c>
      <c r="R805">
        <f>IF(OR(calendar[[#This Row],[SP_BH]]=1,calendar[[#This Row],[WeekDay]]=1, calendar[[#This Row],[WeekDay]]=7),P804,P804+1)</f>
        <v>575</v>
      </c>
      <c r="S805">
        <f>IF(OR(calendar[[#This Row],[PT_BH]]=1,calendar[[#This Row],[WeekDay]]=1, calendar[[#This Row],[WeekDay]]=7),P804,P804+1)</f>
        <v>575</v>
      </c>
    </row>
    <row r="806" spans="1:19" x14ac:dyDescent="0.25">
      <c r="A806" s="2">
        <v>43540</v>
      </c>
      <c r="B806" s="1">
        <f t="shared" si="63"/>
        <v>11</v>
      </c>
      <c r="C806">
        <f t="shared" si="65"/>
        <v>3</v>
      </c>
      <c r="D806" t="str">
        <f t="shared" si="66"/>
        <v>March</v>
      </c>
      <c r="E806">
        <f t="shared" si="67"/>
        <v>2019</v>
      </c>
      <c r="F806" t="str">
        <f>CONCATENATE(calendar[[#This Row],[Month]],"/",calendar[[#This Row],[Year]])</f>
        <v>3/2019</v>
      </c>
      <c r="G806">
        <f>WEEKDAY(calendar[[#This Row],[Date]],1)</f>
        <v>7</v>
      </c>
      <c r="H806" t="str">
        <f>TEXT(calendar[[#This Row],[WeekDay]],"dddd")</f>
        <v>Saturday</v>
      </c>
      <c r="I806">
        <f>IF((INT(calendar[[#This Row],[Count]]/7)-calendar[[#This Row],[Count]]/7)&lt;0,I805,I805+1)</f>
        <v>115</v>
      </c>
      <c r="J806">
        <f t="shared" si="64"/>
        <v>804</v>
      </c>
      <c r="K806">
        <f>IF(calendar[[#This Row],[Month]]&lt;4,1,IF(calendar[[#This Row],[Month]]&lt;7,2,IF(calendar[[#This Row],[Month]]&lt;10,3,4)))</f>
        <v>1</v>
      </c>
      <c r="L806">
        <f>IFERROR(IF(VLOOKUP(calendar[[#This Row],[Date]],BH!A:A,1,)&lt;&gt;"",1,0),0)</f>
        <v>0</v>
      </c>
      <c r="M806">
        <f>IFERROR(IF(VLOOKUP(calendar[[#This Row],[Date]],BH!C:C,1,)&lt;&gt;"",1,0),0)</f>
        <v>0</v>
      </c>
      <c r="N806">
        <f>IFERROR(IF(VLOOKUP(calendar[[#This Row],[Date]],BH!E:E,1,)&lt;&gt;"",1,0),0)</f>
        <v>0</v>
      </c>
      <c r="O806">
        <f>IFERROR(IF(VLOOKUP(calendar[[#This Row],[Date]],BH!G:G,1,)&lt;&gt;"",1,0),0)</f>
        <v>0</v>
      </c>
      <c r="P806">
        <f>IF(OR(calendar[[#This Row],[UK_BH]]=1,calendar[[#This Row],[WeekDay]]=1, calendar[[#This Row],[WeekDay]]=7),P805,P805+1)</f>
        <v>575</v>
      </c>
      <c r="Q806">
        <f>IF(OR(calendar[[#This Row],[FR_BH]]=1,calendar[[#This Row],[WeekDay]]=1, calendar[[#This Row],[WeekDay]]=7),P805,P805+1)</f>
        <v>575</v>
      </c>
      <c r="R806">
        <f>IF(OR(calendar[[#This Row],[SP_BH]]=1,calendar[[#This Row],[WeekDay]]=1, calendar[[#This Row],[WeekDay]]=7),P805,P805+1)</f>
        <v>575</v>
      </c>
      <c r="S806">
        <f>IF(OR(calendar[[#This Row],[PT_BH]]=1,calendar[[#This Row],[WeekDay]]=1, calendar[[#This Row],[WeekDay]]=7),P805,P805+1)</f>
        <v>575</v>
      </c>
    </row>
    <row r="807" spans="1:19" x14ac:dyDescent="0.25">
      <c r="A807" s="2">
        <v>43541</v>
      </c>
      <c r="B807" s="1">
        <f t="shared" si="63"/>
        <v>12</v>
      </c>
      <c r="C807">
        <f t="shared" si="65"/>
        <v>3</v>
      </c>
      <c r="D807" t="str">
        <f t="shared" si="66"/>
        <v>March</v>
      </c>
      <c r="E807">
        <f t="shared" si="67"/>
        <v>2019</v>
      </c>
      <c r="F807" t="str">
        <f>CONCATENATE(calendar[[#This Row],[Month]],"/",calendar[[#This Row],[Year]])</f>
        <v>3/2019</v>
      </c>
      <c r="G807">
        <f>WEEKDAY(calendar[[#This Row],[Date]],1)</f>
        <v>1</v>
      </c>
      <c r="H807" t="str">
        <f>TEXT(calendar[[#This Row],[WeekDay]],"dddd")</f>
        <v>Sunday</v>
      </c>
      <c r="I807">
        <f>IF((INT(calendar[[#This Row],[Count]]/7)-calendar[[#This Row],[Count]]/7)&lt;0,I806,I806+1)</f>
        <v>116</v>
      </c>
      <c r="J807">
        <f t="shared" si="64"/>
        <v>805</v>
      </c>
      <c r="K807">
        <f>IF(calendar[[#This Row],[Month]]&lt;4,1,IF(calendar[[#This Row],[Month]]&lt;7,2,IF(calendar[[#This Row],[Month]]&lt;10,3,4)))</f>
        <v>1</v>
      </c>
      <c r="L807">
        <f>IFERROR(IF(VLOOKUP(calendar[[#This Row],[Date]],BH!A:A,1,)&lt;&gt;"",1,0),0)</f>
        <v>0</v>
      </c>
      <c r="M807">
        <f>IFERROR(IF(VLOOKUP(calendar[[#This Row],[Date]],BH!C:C,1,)&lt;&gt;"",1,0),0)</f>
        <v>0</v>
      </c>
      <c r="N807">
        <f>IFERROR(IF(VLOOKUP(calendar[[#This Row],[Date]],BH!E:E,1,)&lt;&gt;"",1,0),0)</f>
        <v>0</v>
      </c>
      <c r="O807">
        <f>IFERROR(IF(VLOOKUP(calendar[[#This Row],[Date]],BH!G:G,1,)&lt;&gt;"",1,0),0)</f>
        <v>0</v>
      </c>
      <c r="P807">
        <f>IF(OR(calendar[[#This Row],[UK_BH]]=1,calendar[[#This Row],[WeekDay]]=1, calendar[[#This Row],[WeekDay]]=7),P806,P806+1)</f>
        <v>575</v>
      </c>
      <c r="Q807">
        <f>IF(OR(calendar[[#This Row],[FR_BH]]=1,calendar[[#This Row],[WeekDay]]=1, calendar[[#This Row],[WeekDay]]=7),P806,P806+1)</f>
        <v>575</v>
      </c>
      <c r="R807">
        <f>IF(OR(calendar[[#This Row],[SP_BH]]=1,calendar[[#This Row],[WeekDay]]=1, calendar[[#This Row],[WeekDay]]=7),P806,P806+1)</f>
        <v>575</v>
      </c>
      <c r="S807">
        <f>IF(OR(calendar[[#This Row],[PT_BH]]=1,calendar[[#This Row],[WeekDay]]=1, calendar[[#This Row],[WeekDay]]=7),P806,P806+1)</f>
        <v>575</v>
      </c>
    </row>
    <row r="808" spans="1:19" x14ac:dyDescent="0.25">
      <c r="A808" s="2">
        <v>43542</v>
      </c>
      <c r="B808" s="1">
        <f t="shared" si="63"/>
        <v>12</v>
      </c>
      <c r="C808">
        <f t="shared" si="65"/>
        <v>3</v>
      </c>
      <c r="D808" t="str">
        <f t="shared" si="66"/>
        <v>March</v>
      </c>
      <c r="E808">
        <f t="shared" si="67"/>
        <v>2019</v>
      </c>
      <c r="F808" t="str">
        <f>CONCATENATE(calendar[[#This Row],[Month]],"/",calendar[[#This Row],[Year]])</f>
        <v>3/2019</v>
      </c>
      <c r="G808">
        <f>WEEKDAY(calendar[[#This Row],[Date]],1)</f>
        <v>2</v>
      </c>
      <c r="H808" t="str">
        <f>TEXT(calendar[[#This Row],[WeekDay]],"dddd")</f>
        <v>Monday</v>
      </c>
      <c r="I808">
        <f>IF((INT(calendar[[#This Row],[Count]]/7)-calendar[[#This Row],[Count]]/7)&lt;0,I807,I807+1)</f>
        <v>116</v>
      </c>
      <c r="J808">
        <f t="shared" si="64"/>
        <v>806</v>
      </c>
      <c r="K808">
        <f>IF(calendar[[#This Row],[Month]]&lt;4,1,IF(calendar[[#This Row],[Month]]&lt;7,2,IF(calendar[[#This Row],[Month]]&lt;10,3,4)))</f>
        <v>1</v>
      </c>
      <c r="L808">
        <f>IFERROR(IF(VLOOKUP(calendar[[#This Row],[Date]],BH!A:A,1,)&lt;&gt;"",1,0),0)</f>
        <v>0</v>
      </c>
      <c r="M808">
        <f>IFERROR(IF(VLOOKUP(calendar[[#This Row],[Date]],BH!C:C,1,)&lt;&gt;"",1,0),0)</f>
        <v>0</v>
      </c>
      <c r="N808">
        <f>IFERROR(IF(VLOOKUP(calendar[[#This Row],[Date]],BH!E:E,1,)&lt;&gt;"",1,0),0)</f>
        <v>0</v>
      </c>
      <c r="O808">
        <f>IFERROR(IF(VLOOKUP(calendar[[#This Row],[Date]],BH!G:G,1,)&lt;&gt;"",1,0),0)</f>
        <v>0</v>
      </c>
      <c r="P808">
        <f>IF(OR(calendar[[#This Row],[UK_BH]]=1,calendar[[#This Row],[WeekDay]]=1, calendar[[#This Row],[WeekDay]]=7),P807,P807+1)</f>
        <v>576</v>
      </c>
      <c r="Q808">
        <f>IF(OR(calendar[[#This Row],[FR_BH]]=1,calendar[[#This Row],[WeekDay]]=1, calendar[[#This Row],[WeekDay]]=7),P807,P807+1)</f>
        <v>576</v>
      </c>
      <c r="R808">
        <f>IF(OR(calendar[[#This Row],[SP_BH]]=1,calendar[[#This Row],[WeekDay]]=1, calendar[[#This Row],[WeekDay]]=7),P807,P807+1)</f>
        <v>576</v>
      </c>
      <c r="S808">
        <f>IF(OR(calendar[[#This Row],[PT_BH]]=1,calendar[[#This Row],[WeekDay]]=1, calendar[[#This Row],[WeekDay]]=7),P807,P807+1)</f>
        <v>576</v>
      </c>
    </row>
    <row r="809" spans="1:19" x14ac:dyDescent="0.25">
      <c r="A809" s="2">
        <v>43543</v>
      </c>
      <c r="B809" s="1">
        <f t="shared" si="63"/>
        <v>12</v>
      </c>
      <c r="C809">
        <f t="shared" si="65"/>
        <v>3</v>
      </c>
      <c r="D809" t="str">
        <f t="shared" si="66"/>
        <v>March</v>
      </c>
      <c r="E809">
        <f t="shared" si="67"/>
        <v>2019</v>
      </c>
      <c r="F809" t="str">
        <f>CONCATENATE(calendar[[#This Row],[Month]],"/",calendar[[#This Row],[Year]])</f>
        <v>3/2019</v>
      </c>
      <c r="G809">
        <f>WEEKDAY(calendar[[#This Row],[Date]],1)</f>
        <v>3</v>
      </c>
      <c r="H809" t="str">
        <f>TEXT(calendar[[#This Row],[WeekDay]],"dddd")</f>
        <v>Tuesday</v>
      </c>
      <c r="I809">
        <f>IF((INT(calendar[[#This Row],[Count]]/7)-calendar[[#This Row],[Count]]/7)&lt;0,I808,I808+1)</f>
        <v>116</v>
      </c>
      <c r="J809">
        <f t="shared" si="64"/>
        <v>807</v>
      </c>
      <c r="K809">
        <f>IF(calendar[[#This Row],[Month]]&lt;4,1,IF(calendar[[#This Row],[Month]]&lt;7,2,IF(calendar[[#This Row],[Month]]&lt;10,3,4)))</f>
        <v>1</v>
      </c>
      <c r="L809">
        <f>IFERROR(IF(VLOOKUP(calendar[[#This Row],[Date]],BH!A:A,1,)&lt;&gt;"",1,0),0)</f>
        <v>0</v>
      </c>
      <c r="M809">
        <f>IFERROR(IF(VLOOKUP(calendar[[#This Row],[Date]],BH!C:C,1,)&lt;&gt;"",1,0),0)</f>
        <v>0</v>
      </c>
      <c r="N809">
        <f>IFERROR(IF(VLOOKUP(calendar[[#This Row],[Date]],BH!E:E,1,)&lt;&gt;"",1,0),0)</f>
        <v>0</v>
      </c>
      <c r="O809">
        <f>IFERROR(IF(VLOOKUP(calendar[[#This Row],[Date]],BH!G:G,1,)&lt;&gt;"",1,0),0)</f>
        <v>0</v>
      </c>
      <c r="P809">
        <f>IF(OR(calendar[[#This Row],[UK_BH]]=1,calendar[[#This Row],[WeekDay]]=1, calendar[[#This Row],[WeekDay]]=7),P808,P808+1)</f>
        <v>577</v>
      </c>
      <c r="Q809">
        <f>IF(OR(calendar[[#This Row],[FR_BH]]=1,calendar[[#This Row],[WeekDay]]=1, calendar[[#This Row],[WeekDay]]=7),P808,P808+1)</f>
        <v>577</v>
      </c>
      <c r="R809">
        <f>IF(OR(calendar[[#This Row],[SP_BH]]=1,calendar[[#This Row],[WeekDay]]=1, calendar[[#This Row],[WeekDay]]=7),P808,P808+1)</f>
        <v>577</v>
      </c>
      <c r="S809">
        <f>IF(OR(calendar[[#This Row],[PT_BH]]=1,calendar[[#This Row],[WeekDay]]=1, calendar[[#This Row],[WeekDay]]=7),P808,P808+1)</f>
        <v>577</v>
      </c>
    </row>
    <row r="810" spans="1:19" x14ac:dyDescent="0.25">
      <c r="A810" s="2">
        <v>43544</v>
      </c>
      <c r="B810" s="1">
        <f t="shared" si="63"/>
        <v>12</v>
      </c>
      <c r="C810">
        <f t="shared" si="65"/>
        <v>3</v>
      </c>
      <c r="D810" t="str">
        <f t="shared" si="66"/>
        <v>March</v>
      </c>
      <c r="E810">
        <f t="shared" si="67"/>
        <v>2019</v>
      </c>
      <c r="F810" t="str">
        <f>CONCATENATE(calendar[[#This Row],[Month]],"/",calendar[[#This Row],[Year]])</f>
        <v>3/2019</v>
      </c>
      <c r="G810">
        <f>WEEKDAY(calendar[[#This Row],[Date]],1)</f>
        <v>4</v>
      </c>
      <c r="H810" t="str">
        <f>TEXT(calendar[[#This Row],[WeekDay]],"dddd")</f>
        <v>Wednesday</v>
      </c>
      <c r="I810">
        <f>IF((INT(calendar[[#This Row],[Count]]/7)-calendar[[#This Row],[Count]]/7)&lt;0,I809,I809+1)</f>
        <v>116</v>
      </c>
      <c r="J810">
        <f t="shared" si="64"/>
        <v>808</v>
      </c>
      <c r="K810">
        <f>IF(calendar[[#This Row],[Month]]&lt;4,1,IF(calendar[[#This Row],[Month]]&lt;7,2,IF(calendar[[#This Row],[Month]]&lt;10,3,4)))</f>
        <v>1</v>
      </c>
      <c r="L810">
        <f>IFERROR(IF(VLOOKUP(calendar[[#This Row],[Date]],BH!A:A,1,)&lt;&gt;"",1,0),0)</f>
        <v>0</v>
      </c>
      <c r="M810">
        <f>IFERROR(IF(VLOOKUP(calendar[[#This Row],[Date]],BH!C:C,1,)&lt;&gt;"",1,0),0)</f>
        <v>0</v>
      </c>
      <c r="N810">
        <f>IFERROR(IF(VLOOKUP(calendar[[#This Row],[Date]],BH!E:E,1,)&lt;&gt;"",1,0),0)</f>
        <v>0</v>
      </c>
      <c r="O810">
        <f>IFERROR(IF(VLOOKUP(calendar[[#This Row],[Date]],BH!G:G,1,)&lt;&gt;"",1,0),0)</f>
        <v>0</v>
      </c>
      <c r="P810">
        <f>IF(OR(calendar[[#This Row],[UK_BH]]=1,calendar[[#This Row],[WeekDay]]=1, calendar[[#This Row],[WeekDay]]=7),P809,P809+1)</f>
        <v>578</v>
      </c>
      <c r="Q810">
        <f>IF(OR(calendar[[#This Row],[FR_BH]]=1,calendar[[#This Row],[WeekDay]]=1, calendar[[#This Row],[WeekDay]]=7),P809,P809+1)</f>
        <v>578</v>
      </c>
      <c r="R810">
        <f>IF(OR(calendar[[#This Row],[SP_BH]]=1,calendar[[#This Row],[WeekDay]]=1, calendar[[#This Row],[WeekDay]]=7),P809,P809+1)</f>
        <v>578</v>
      </c>
      <c r="S810">
        <f>IF(OR(calendar[[#This Row],[PT_BH]]=1,calendar[[#This Row],[WeekDay]]=1, calendar[[#This Row],[WeekDay]]=7),P809,P809+1)</f>
        <v>578</v>
      </c>
    </row>
    <row r="811" spans="1:19" x14ac:dyDescent="0.25">
      <c r="A811" s="2">
        <v>43545</v>
      </c>
      <c r="B811" s="1">
        <f t="shared" si="63"/>
        <v>12</v>
      </c>
      <c r="C811">
        <f t="shared" si="65"/>
        <v>3</v>
      </c>
      <c r="D811" t="str">
        <f t="shared" si="66"/>
        <v>March</v>
      </c>
      <c r="E811">
        <f t="shared" si="67"/>
        <v>2019</v>
      </c>
      <c r="F811" t="str">
        <f>CONCATENATE(calendar[[#This Row],[Month]],"/",calendar[[#This Row],[Year]])</f>
        <v>3/2019</v>
      </c>
      <c r="G811">
        <f>WEEKDAY(calendar[[#This Row],[Date]],1)</f>
        <v>5</v>
      </c>
      <c r="H811" t="str">
        <f>TEXT(calendar[[#This Row],[WeekDay]],"dddd")</f>
        <v>Thursday</v>
      </c>
      <c r="I811">
        <f>IF((INT(calendar[[#This Row],[Count]]/7)-calendar[[#This Row],[Count]]/7)&lt;0,I810,I810+1)</f>
        <v>116</v>
      </c>
      <c r="J811">
        <f t="shared" si="64"/>
        <v>809</v>
      </c>
      <c r="K811">
        <f>IF(calendar[[#This Row],[Month]]&lt;4,1,IF(calendar[[#This Row],[Month]]&lt;7,2,IF(calendar[[#This Row],[Month]]&lt;10,3,4)))</f>
        <v>1</v>
      </c>
      <c r="L811">
        <f>IFERROR(IF(VLOOKUP(calendar[[#This Row],[Date]],BH!A:A,1,)&lt;&gt;"",1,0),0)</f>
        <v>0</v>
      </c>
      <c r="M811">
        <f>IFERROR(IF(VLOOKUP(calendar[[#This Row],[Date]],BH!C:C,1,)&lt;&gt;"",1,0),0)</f>
        <v>0</v>
      </c>
      <c r="N811">
        <f>IFERROR(IF(VLOOKUP(calendar[[#This Row],[Date]],BH!E:E,1,)&lt;&gt;"",1,0),0)</f>
        <v>0</v>
      </c>
      <c r="O811">
        <f>IFERROR(IF(VLOOKUP(calendar[[#This Row],[Date]],BH!G:G,1,)&lt;&gt;"",1,0),0)</f>
        <v>0</v>
      </c>
      <c r="P811">
        <f>IF(OR(calendar[[#This Row],[UK_BH]]=1,calendar[[#This Row],[WeekDay]]=1, calendar[[#This Row],[WeekDay]]=7),P810,P810+1)</f>
        <v>579</v>
      </c>
      <c r="Q811">
        <f>IF(OR(calendar[[#This Row],[FR_BH]]=1,calendar[[#This Row],[WeekDay]]=1, calendar[[#This Row],[WeekDay]]=7),P810,P810+1)</f>
        <v>579</v>
      </c>
      <c r="R811">
        <f>IF(OR(calendar[[#This Row],[SP_BH]]=1,calendar[[#This Row],[WeekDay]]=1, calendar[[#This Row],[WeekDay]]=7),P810,P810+1)</f>
        <v>579</v>
      </c>
      <c r="S811">
        <f>IF(OR(calendar[[#This Row],[PT_BH]]=1,calendar[[#This Row],[WeekDay]]=1, calendar[[#This Row],[WeekDay]]=7),P810,P810+1)</f>
        <v>579</v>
      </c>
    </row>
    <row r="812" spans="1:19" x14ac:dyDescent="0.25">
      <c r="A812" s="2">
        <v>43546</v>
      </c>
      <c r="B812" s="1">
        <f t="shared" si="63"/>
        <v>12</v>
      </c>
      <c r="C812">
        <f t="shared" si="65"/>
        <v>3</v>
      </c>
      <c r="D812" t="str">
        <f t="shared" si="66"/>
        <v>March</v>
      </c>
      <c r="E812">
        <f t="shared" si="67"/>
        <v>2019</v>
      </c>
      <c r="F812" t="str">
        <f>CONCATENATE(calendar[[#This Row],[Month]],"/",calendar[[#This Row],[Year]])</f>
        <v>3/2019</v>
      </c>
      <c r="G812">
        <f>WEEKDAY(calendar[[#This Row],[Date]],1)</f>
        <v>6</v>
      </c>
      <c r="H812" t="str">
        <f>TEXT(calendar[[#This Row],[WeekDay]],"dddd")</f>
        <v>Friday</v>
      </c>
      <c r="I812">
        <f>IF((INT(calendar[[#This Row],[Count]]/7)-calendar[[#This Row],[Count]]/7)&lt;0,I811,I811+1)</f>
        <v>116</v>
      </c>
      <c r="J812">
        <f t="shared" si="64"/>
        <v>810</v>
      </c>
      <c r="K812">
        <f>IF(calendar[[#This Row],[Month]]&lt;4,1,IF(calendar[[#This Row],[Month]]&lt;7,2,IF(calendar[[#This Row],[Month]]&lt;10,3,4)))</f>
        <v>1</v>
      </c>
      <c r="L812">
        <f>IFERROR(IF(VLOOKUP(calendar[[#This Row],[Date]],BH!A:A,1,)&lt;&gt;"",1,0),0)</f>
        <v>0</v>
      </c>
      <c r="M812">
        <f>IFERROR(IF(VLOOKUP(calendar[[#This Row],[Date]],BH!C:C,1,)&lt;&gt;"",1,0),0)</f>
        <v>0</v>
      </c>
      <c r="N812">
        <f>IFERROR(IF(VLOOKUP(calendar[[#This Row],[Date]],BH!E:E,1,)&lt;&gt;"",1,0),0)</f>
        <v>0</v>
      </c>
      <c r="O812">
        <f>IFERROR(IF(VLOOKUP(calendar[[#This Row],[Date]],BH!G:G,1,)&lt;&gt;"",1,0),0)</f>
        <v>0</v>
      </c>
      <c r="P812">
        <f>IF(OR(calendar[[#This Row],[UK_BH]]=1,calendar[[#This Row],[WeekDay]]=1, calendar[[#This Row],[WeekDay]]=7),P811,P811+1)</f>
        <v>580</v>
      </c>
      <c r="Q812">
        <f>IF(OR(calendar[[#This Row],[FR_BH]]=1,calendar[[#This Row],[WeekDay]]=1, calendar[[#This Row],[WeekDay]]=7),P811,P811+1)</f>
        <v>580</v>
      </c>
      <c r="R812">
        <f>IF(OR(calendar[[#This Row],[SP_BH]]=1,calendar[[#This Row],[WeekDay]]=1, calendar[[#This Row],[WeekDay]]=7),P811,P811+1)</f>
        <v>580</v>
      </c>
      <c r="S812">
        <f>IF(OR(calendar[[#This Row],[PT_BH]]=1,calendar[[#This Row],[WeekDay]]=1, calendar[[#This Row],[WeekDay]]=7),P811,P811+1)</f>
        <v>580</v>
      </c>
    </row>
    <row r="813" spans="1:19" x14ac:dyDescent="0.25">
      <c r="A813" s="2">
        <v>43547</v>
      </c>
      <c r="B813" s="1">
        <f t="shared" si="63"/>
        <v>12</v>
      </c>
      <c r="C813">
        <f t="shared" si="65"/>
        <v>3</v>
      </c>
      <c r="D813" t="str">
        <f t="shared" si="66"/>
        <v>March</v>
      </c>
      <c r="E813">
        <f t="shared" si="67"/>
        <v>2019</v>
      </c>
      <c r="F813" t="str">
        <f>CONCATENATE(calendar[[#This Row],[Month]],"/",calendar[[#This Row],[Year]])</f>
        <v>3/2019</v>
      </c>
      <c r="G813">
        <f>WEEKDAY(calendar[[#This Row],[Date]],1)</f>
        <v>7</v>
      </c>
      <c r="H813" t="str">
        <f>TEXT(calendar[[#This Row],[WeekDay]],"dddd")</f>
        <v>Saturday</v>
      </c>
      <c r="I813">
        <f>IF((INT(calendar[[#This Row],[Count]]/7)-calendar[[#This Row],[Count]]/7)&lt;0,I812,I812+1)</f>
        <v>116</v>
      </c>
      <c r="J813">
        <f t="shared" si="64"/>
        <v>811</v>
      </c>
      <c r="K813">
        <f>IF(calendar[[#This Row],[Month]]&lt;4,1,IF(calendar[[#This Row],[Month]]&lt;7,2,IF(calendar[[#This Row],[Month]]&lt;10,3,4)))</f>
        <v>1</v>
      </c>
      <c r="L813">
        <f>IFERROR(IF(VLOOKUP(calendar[[#This Row],[Date]],BH!A:A,1,)&lt;&gt;"",1,0),0)</f>
        <v>0</v>
      </c>
      <c r="M813">
        <f>IFERROR(IF(VLOOKUP(calendar[[#This Row],[Date]],BH!C:C,1,)&lt;&gt;"",1,0),0)</f>
        <v>0</v>
      </c>
      <c r="N813">
        <f>IFERROR(IF(VLOOKUP(calendar[[#This Row],[Date]],BH!E:E,1,)&lt;&gt;"",1,0),0)</f>
        <v>0</v>
      </c>
      <c r="O813">
        <f>IFERROR(IF(VLOOKUP(calendar[[#This Row],[Date]],BH!G:G,1,)&lt;&gt;"",1,0),0)</f>
        <v>0</v>
      </c>
      <c r="P813">
        <f>IF(OR(calendar[[#This Row],[UK_BH]]=1,calendar[[#This Row],[WeekDay]]=1, calendar[[#This Row],[WeekDay]]=7),P812,P812+1)</f>
        <v>580</v>
      </c>
      <c r="Q813">
        <f>IF(OR(calendar[[#This Row],[FR_BH]]=1,calendar[[#This Row],[WeekDay]]=1, calendar[[#This Row],[WeekDay]]=7),P812,P812+1)</f>
        <v>580</v>
      </c>
      <c r="R813">
        <f>IF(OR(calendar[[#This Row],[SP_BH]]=1,calendar[[#This Row],[WeekDay]]=1, calendar[[#This Row],[WeekDay]]=7),P812,P812+1)</f>
        <v>580</v>
      </c>
      <c r="S813">
        <f>IF(OR(calendar[[#This Row],[PT_BH]]=1,calendar[[#This Row],[WeekDay]]=1, calendar[[#This Row],[WeekDay]]=7),P812,P812+1)</f>
        <v>580</v>
      </c>
    </row>
    <row r="814" spans="1:19" x14ac:dyDescent="0.25">
      <c r="A814" s="2">
        <v>43548</v>
      </c>
      <c r="B814" s="1">
        <f t="shared" si="63"/>
        <v>13</v>
      </c>
      <c r="C814">
        <f t="shared" si="65"/>
        <v>3</v>
      </c>
      <c r="D814" t="str">
        <f t="shared" si="66"/>
        <v>March</v>
      </c>
      <c r="E814">
        <f t="shared" si="67"/>
        <v>2019</v>
      </c>
      <c r="F814" t="str">
        <f>CONCATENATE(calendar[[#This Row],[Month]],"/",calendar[[#This Row],[Year]])</f>
        <v>3/2019</v>
      </c>
      <c r="G814">
        <f>WEEKDAY(calendar[[#This Row],[Date]],1)</f>
        <v>1</v>
      </c>
      <c r="H814" t="str">
        <f>TEXT(calendar[[#This Row],[WeekDay]],"dddd")</f>
        <v>Sunday</v>
      </c>
      <c r="I814">
        <f>IF((INT(calendar[[#This Row],[Count]]/7)-calendar[[#This Row],[Count]]/7)&lt;0,I813,I813+1)</f>
        <v>117</v>
      </c>
      <c r="J814">
        <f t="shared" si="64"/>
        <v>812</v>
      </c>
      <c r="K814">
        <f>IF(calendar[[#This Row],[Month]]&lt;4,1,IF(calendar[[#This Row],[Month]]&lt;7,2,IF(calendar[[#This Row],[Month]]&lt;10,3,4)))</f>
        <v>1</v>
      </c>
      <c r="L814">
        <f>IFERROR(IF(VLOOKUP(calendar[[#This Row],[Date]],BH!A:A,1,)&lt;&gt;"",1,0),0)</f>
        <v>0</v>
      </c>
      <c r="M814">
        <f>IFERROR(IF(VLOOKUP(calendar[[#This Row],[Date]],BH!C:C,1,)&lt;&gt;"",1,0),0)</f>
        <v>0</v>
      </c>
      <c r="N814">
        <f>IFERROR(IF(VLOOKUP(calendar[[#This Row],[Date]],BH!E:E,1,)&lt;&gt;"",1,0),0)</f>
        <v>0</v>
      </c>
      <c r="O814">
        <f>IFERROR(IF(VLOOKUP(calendar[[#This Row],[Date]],BH!G:G,1,)&lt;&gt;"",1,0),0)</f>
        <v>0</v>
      </c>
      <c r="P814">
        <f>IF(OR(calendar[[#This Row],[UK_BH]]=1,calendar[[#This Row],[WeekDay]]=1, calendar[[#This Row],[WeekDay]]=7),P813,P813+1)</f>
        <v>580</v>
      </c>
      <c r="Q814">
        <f>IF(OR(calendar[[#This Row],[FR_BH]]=1,calendar[[#This Row],[WeekDay]]=1, calendar[[#This Row],[WeekDay]]=7),P813,P813+1)</f>
        <v>580</v>
      </c>
      <c r="R814">
        <f>IF(OR(calendar[[#This Row],[SP_BH]]=1,calendar[[#This Row],[WeekDay]]=1, calendar[[#This Row],[WeekDay]]=7),P813,P813+1)</f>
        <v>580</v>
      </c>
      <c r="S814">
        <f>IF(OR(calendar[[#This Row],[PT_BH]]=1,calendar[[#This Row],[WeekDay]]=1, calendar[[#This Row],[WeekDay]]=7),P813,P813+1)</f>
        <v>580</v>
      </c>
    </row>
    <row r="815" spans="1:19" x14ac:dyDescent="0.25">
      <c r="A815" s="2">
        <v>43549</v>
      </c>
      <c r="B815" s="1">
        <f t="shared" si="63"/>
        <v>13</v>
      </c>
      <c r="C815">
        <f t="shared" si="65"/>
        <v>3</v>
      </c>
      <c r="D815" t="str">
        <f t="shared" si="66"/>
        <v>March</v>
      </c>
      <c r="E815">
        <f t="shared" si="67"/>
        <v>2019</v>
      </c>
      <c r="F815" t="str">
        <f>CONCATENATE(calendar[[#This Row],[Month]],"/",calendar[[#This Row],[Year]])</f>
        <v>3/2019</v>
      </c>
      <c r="G815">
        <f>WEEKDAY(calendar[[#This Row],[Date]],1)</f>
        <v>2</v>
      </c>
      <c r="H815" t="str">
        <f>TEXT(calendar[[#This Row],[WeekDay]],"dddd")</f>
        <v>Monday</v>
      </c>
      <c r="I815">
        <f>IF((INT(calendar[[#This Row],[Count]]/7)-calendar[[#This Row],[Count]]/7)&lt;0,I814,I814+1)</f>
        <v>117</v>
      </c>
      <c r="J815">
        <f t="shared" si="64"/>
        <v>813</v>
      </c>
      <c r="K815">
        <f>IF(calendar[[#This Row],[Month]]&lt;4,1,IF(calendar[[#This Row],[Month]]&lt;7,2,IF(calendar[[#This Row],[Month]]&lt;10,3,4)))</f>
        <v>1</v>
      </c>
      <c r="L815">
        <f>IFERROR(IF(VLOOKUP(calendar[[#This Row],[Date]],BH!A:A,1,)&lt;&gt;"",1,0),0)</f>
        <v>0</v>
      </c>
      <c r="M815">
        <f>IFERROR(IF(VLOOKUP(calendar[[#This Row],[Date]],BH!C:C,1,)&lt;&gt;"",1,0),0)</f>
        <v>0</v>
      </c>
      <c r="N815">
        <f>IFERROR(IF(VLOOKUP(calendar[[#This Row],[Date]],BH!E:E,1,)&lt;&gt;"",1,0),0)</f>
        <v>0</v>
      </c>
      <c r="O815">
        <f>IFERROR(IF(VLOOKUP(calendar[[#This Row],[Date]],BH!G:G,1,)&lt;&gt;"",1,0),0)</f>
        <v>0</v>
      </c>
      <c r="P815">
        <f>IF(OR(calendar[[#This Row],[UK_BH]]=1,calendar[[#This Row],[WeekDay]]=1, calendar[[#This Row],[WeekDay]]=7),P814,P814+1)</f>
        <v>581</v>
      </c>
      <c r="Q815">
        <f>IF(OR(calendar[[#This Row],[FR_BH]]=1,calendar[[#This Row],[WeekDay]]=1, calendar[[#This Row],[WeekDay]]=7),P814,P814+1)</f>
        <v>581</v>
      </c>
      <c r="R815">
        <f>IF(OR(calendar[[#This Row],[SP_BH]]=1,calendar[[#This Row],[WeekDay]]=1, calendar[[#This Row],[WeekDay]]=7),P814,P814+1)</f>
        <v>581</v>
      </c>
      <c r="S815">
        <f>IF(OR(calendar[[#This Row],[PT_BH]]=1,calendar[[#This Row],[WeekDay]]=1, calendar[[#This Row],[WeekDay]]=7),P814,P814+1)</f>
        <v>581</v>
      </c>
    </row>
    <row r="816" spans="1:19" x14ac:dyDescent="0.25">
      <c r="A816" s="2">
        <v>43550</v>
      </c>
      <c r="B816" s="1">
        <f t="shared" si="63"/>
        <v>13</v>
      </c>
      <c r="C816">
        <f t="shared" si="65"/>
        <v>3</v>
      </c>
      <c r="D816" t="str">
        <f t="shared" si="66"/>
        <v>March</v>
      </c>
      <c r="E816">
        <f t="shared" si="67"/>
        <v>2019</v>
      </c>
      <c r="F816" t="str">
        <f>CONCATENATE(calendar[[#This Row],[Month]],"/",calendar[[#This Row],[Year]])</f>
        <v>3/2019</v>
      </c>
      <c r="G816">
        <f>WEEKDAY(calendar[[#This Row],[Date]],1)</f>
        <v>3</v>
      </c>
      <c r="H816" t="str">
        <f>TEXT(calendar[[#This Row],[WeekDay]],"dddd")</f>
        <v>Tuesday</v>
      </c>
      <c r="I816">
        <f>IF((INT(calendar[[#This Row],[Count]]/7)-calendar[[#This Row],[Count]]/7)&lt;0,I815,I815+1)</f>
        <v>117</v>
      </c>
      <c r="J816">
        <f t="shared" si="64"/>
        <v>814</v>
      </c>
      <c r="K816">
        <f>IF(calendar[[#This Row],[Month]]&lt;4,1,IF(calendar[[#This Row],[Month]]&lt;7,2,IF(calendar[[#This Row],[Month]]&lt;10,3,4)))</f>
        <v>1</v>
      </c>
      <c r="L816">
        <f>IFERROR(IF(VLOOKUP(calendar[[#This Row],[Date]],BH!A:A,1,)&lt;&gt;"",1,0),0)</f>
        <v>0</v>
      </c>
      <c r="M816">
        <f>IFERROR(IF(VLOOKUP(calendar[[#This Row],[Date]],BH!C:C,1,)&lt;&gt;"",1,0),0)</f>
        <v>0</v>
      </c>
      <c r="N816">
        <f>IFERROR(IF(VLOOKUP(calendar[[#This Row],[Date]],BH!E:E,1,)&lt;&gt;"",1,0),0)</f>
        <v>0</v>
      </c>
      <c r="O816">
        <f>IFERROR(IF(VLOOKUP(calendar[[#This Row],[Date]],BH!G:G,1,)&lt;&gt;"",1,0),0)</f>
        <v>0</v>
      </c>
      <c r="P816">
        <f>IF(OR(calendar[[#This Row],[UK_BH]]=1,calendar[[#This Row],[WeekDay]]=1, calendar[[#This Row],[WeekDay]]=7),P815,P815+1)</f>
        <v>582</v>
      </c>
      <c r="Q816">
        <f>IF(OR(calendar[[#This Row],[FR_BH]]=1,calendar[[#This Row],[WeekDay]]=1, calendar[[#This Row],[WeekDay]]=7),P815,P815+1)</f>
        <v>582</v>
      </c>
      <c r="R816">
        <f>IF(OR(calendar[[#This Row],[SP_BH]]=1,calendar[[#This Row],[WeekDay]]=1, calendar[[#This Row],[WeekDay]]=7),P815,P815+1)</f>
        <v>582</v>
      </c>
      <c r="S816">
        <f>IF(OR(calendar[[#This Row],[PT_BH]]=1,calendar[[#This Row],[WeekDay]]=1, calendar[[#This Row],[WeekDay]]=7),P815,P815+1)</f>
        <v>582</v>
      </c>
    </row>
    <row r="817" spans="1:19" x14ac:dyDescent="0.25">
      <c r="A817" s="2">
        <v>43551</v>
      </c>
      <c r="B817" s="1">
        <f t="shared" si="63"/>
        <v>13</v>
      </c>
      <c r="C817">
        <f t="shared" si="65"/>
        <v>3</v>
      </c>
      <c r="D817" t="str">
        <f t="shared" si="66"/>
        <v>March</v>
      </c>
      <c r="E817">
        <f t="shared" si="67"/>
        <v>2019</v>
      </c>
      <c r="F817" t="str">
        <f>CONCATENATE(calendar[[#This Row],[Month]],"/",calendar[[#This Row],[Year]])</f>
        <v>3/2019</v>
      </c>
      <c r="G817">
        <f>WEEKDAY(calendar[[#This Row],[Date]],1)</f>
        <v>4</v>
      </c>
      <c r="H817" t="str">
        <f>TEXT(calendar[[#This Row],[WeekDay]],"dddd")</f>
        <v>Wednesday</v>
      </c>
      <c r="I817">
        <f>IF((INT(calendar[[#This Row],[Count]]/7)-calendar[[#This Row],[Count]]/7)&lt;0,I816,I816+1)</f>
        <v>117</v>
      </c>
      <c r="J817">
        <f t="shared" si="64"/>
        <v>815</v>
      </c>
      <c r="K817">
        <f>IF(calendar[[#This Row],[Month]]&lt;4,1,IF(calendar[[#This Row],[Month]]&lt;7,2,IF(calendar[[#This Row],[Month]]&lt;10,3,4)))</f>
        <v>1</v>
      </c>
      <c r="L817">
        <f>IFERROR(IF(VLOOKUP(calendar[[#This Row],[Date]],BH!A:A,1,)&lt;&gt;"",1,0),0)</f>
        <v>0</v>
      </c>
      <c r="M817">
        <f>IFERROR(IF(VLOOKUP(calendar[[#This Row],[Date]],BH!C:C,1,)&lt;&gt;"",1,0),0)</f>
        <v>0</v>
      </c>
      <c r="N817">
        <f>IFERROR(IF(VLOOKUP(calendar[[#This Row],[Date]],BH!E:E,1,)&lt;&gt;"",1,0),0)</f>
        <v>0</v>
      </c>
      <c r="O817">
        <f>IFERROR(IF(VLOOKUP(calendar[[#This Row],[Date]],BH!G:G,1,)&lt;&gt;"",1,0),0)</f>
        <v>0</v>
      </c>
      <c r="P817">
        <f>IF(OR(calendar[[#This Row],[UK_BH]]=1,calendar[[#This Row],[WeekDay]]=1, calendar[[#This Row],[WeekDay]]=7),P816,P816+1)</f>
        <v>583</v>
      </c>
      <c r="Q817">
        <f>IF(OR(calendar[[#This Row],[FR_BH]]=1,calendar[[#This Row],[WeekDay]]=1, calendar[[#This Row],[WeekDay]]=7),P816,P816+1)</f>
        <v>583</v>
      </c>
      <c r="R817">
        <f>IF(OR(calendar[[#This Row],[SP_BH]]=1,calendar[[#This Row],[WeekDay]]=1, calendar[[#This Row],[WeekDay]]=7),P816,P816+1)</f>
        <v>583</v>
      </c>
      <c r="S817">
        <f>IF(OR(calendar[[#This Row],[PT_BH]]=1,calendar[[#This Row],[WeekDay]]=1, calendar[[#This Row],[WeekDay]]=7),P816,P816+1)</f>
        <v>583</v>
      </c>
    </row>
    <row r="818" spans="1:19" x14ac:dyDescent="0.25">
      <c r="A818" s="2">
        <v>43552</v>
      </c>
      <c r="B818" s="1">
        <f t="shared" si="63"/>
        <v>13</v>
      </c>
      <c r="C818">
        <f t="shared" si="65"/>
        <v>3</v>
      </c>
      <c r="D818" t="str">
        <f t="shared" si="66"/>
        <v>March</v>
      </c>
      <c r="E818">
        <f t="shared" si="67"/>
        <v>2019</v>
      </c>
      <c r="F818" t="str">
        <f>CONCATENATE(calendar[[#This Row],[Month]],"/",calendar[[#This Row],[Year]])</f>
        <v>3/2019</v>
      </c>
      <c r="G818">
        <f>WEEKDAY(calendar[[#This Row],[Date]],1)</f>
        <v>5</v>
      </c>
      <c r="H818" t="str">
        <f>TEXT(calendar[[#This Row],[WeekDay]],"dddd")</f>
        <v>Thursday</v>
      </c>
      <c r="I818">
        <f>IF((INT(calendar[[#This Row],[Count]]/7)-calendar[[#This Row],[Count]]/7)&lt;0,I817,I817+1)</f>
        <v>117</v>
      </c>
      <c r="J818">
        <f t="shared" si="64"/>
        <v>816</v>
      </c>
      <c r="K818">
        <f>IF(calendar[[#This Row],[Month]]&lt;4,1,IF(calendar[[#This Row],[Month]]&lt;7,2,IF(calendar[[#This Row],[Month]]&lt;10,3,4)))</f>
        <v>1</v>
      </c>
      <c r="L818">
        <f>IFERROR(IF(VLOOKUP(calendar[[#This Row],[Date]],BH!A:A,1,)&lt;&gt;"",1,0),0)</f>
        <v>0</v>
      </c>
      <c r="M818">
        <f>IFERROR(IF(VLOOKUP(calendar[[#This Row],[Date]],BH!C:C,1,)&lt;&gt;"",1,0),0)</f>
        <v>0</v>
      </c>
      <c r="N818">
        <f>IFERROR(IF(VLOOKUP(calendar[[#This Row],[Date]],BH!E:E,1,)&lt;&gt;"",1,0),0)</f>
        <v>0</v>
      </c>
      <c r="O818">
        <f>IFERROR(IF(VLOOKUP(calendar[[#This Row],[Date]],BH!G:G,1,)&lt;&gt;"",1,0),0)</f>
        <v>0</v>
      </c>
      <c r="P818">
        <f>IF(OR(calendar[[#This Row],[UK_BH]]=1,calendar[[#This Row],[WeekDay]]=1, calendar[[#This Row],[WeekDay]]=7),P817,P817+1)</f>
        <v>584</v>
      </c>
      <c r="Q818">
        <f>IF(OR(calendar[[#This Row],[FR_BH]]=1,calendar[[#This Row],[WeekDay]]=1, calendar[[#This Row],[WeekDay]]=7),P817,P817+1)</f>
        <v>584</v>
      </c>
      <c r="R818">
        <f>IF(OR(calendar[[#This Row],[SP_BH]]=1,calendar[[#This Row],[WeekDay]]=1, calendar[[#This Row],[WeekDay]]=7),P817,P817+1)</f>
        <v>584</v>
      </c>
      <c r="S818">
        <f>IF(OR(calendar[[#This Row],[PT_BH]]=1,calendar[[#This Row],[WeekDay]]=1, calendar[[#This Row],[WeekDay]]=7),P817,P817+1)</f>
        <v>584</v>
      </c>
    </row>
    <row r="819" spans="1:19" x14ac:dyDescent="0.25">
      <c r="A819" s="2">
        <v>43553</v>
      </c>
      <c r="B819" s="1">
        <f t="shared" si="63"/>
        <v>13</v>
      </c>
      <c r="C819">
        <f t="shared" si="65"/>
        <v>3</v>
      </c>
      <c r="D819" t="str">
        <f t="shared" si="66"/>
        <v>March</v>
      </c>
      <c r="E819">
        <f t="shared" si="67"/>
        <v>2019</v>
      </c>
      <c r="F819" t="str">
        <f>CONCATENATE(calendar[[#This Row],[Month]],"/",calendar[[#This Row],[Year]])</f>
        <v>3/2019</v>
      </c>
      <c r="G819">
        <f>WEEKDAY(calendar[[#This Row],[Date]],1)</f>
        <v>6</v>
      </c>
      <c r="H819" t="str">
        <f>TEXT(calendar[[#This Row],[WeekDay]],"dddd")</f>
        <v>Friday</v>
      </c>
      <c r="I819">
        <f>IF((INT(calendar[[#This Row],[Count]]/7)-calendar[[#This Row],[Count]]/7)&lt;0,I818,I818+1)</f>
        <v>117</v>
      </c>
      <c r="J819">
        <f t="shared" si="64"/>
        <v>817</v>
      </c>
      <c r="K819">
        <f>IF(calendar[[#This Row],[Month]]&lt;4,1,IF(calendar[[#This Row],[Month]]&lt;7,2,IF(calendar[[#This Row],[Month]]&lt;10,3,4)))</f>
        <v>1</v>
      </c>
      <c r="L819">
        <f>IFERROR(IF(VLOOKUP(calendar[[#This Row],[Date]],BH!A:A,1,)&lt;&gt;"",1,0),0)</f>
        <v>0</v>
      </c>
      <c r="M819">
        <f>IFERROR(IF(VLOOKUP(calendar[[#This Row],[Date]],BH!C:C,1,)&lt;&gt;"",1,0),0)</f>
        <v>0</v>
      </c>
      <c r="N819">
        <f>IFERROR(IF(VLOOKUP(calendar[[#This Row],[Date]],BH!E:E,1,)&lt;&gt;"",1,0),0)</f>
        <v>0</v>
      </c>
      <c r="O819">
        <f>IFERROR(IF(VLOOKUP(calendar[[#This Row],[Date]],BH!G:G,1,)&lt;&gt;"",1,0),0)</f>
        <v>0</v>
      </c>
      <c r="P819">
        <f>IF(OR(calendar[[#This Row],[UK_BH]]=1,calendar[[#This Row],[WeekDay]]=1, calendar[[#This Row],[WeekDay]]=7),P818,P818+1)</f>
        <v>585</v>
      </c>
      <c r="Q819">
        <f>IF(OR(calendar[[#This Row],[FR_BH]]=1,calendar[[#This Row],[WeekDay]]=1, calendar[[#This Row],[WeekDay]]=7),P818,P818+1)</f>
        <v>585</v>
      </c>
      <c r="R819">
        <f>IF(OR(calendar[[#This Row],[SP_BH]]=1,calendar[[#This Row],[WeekDay]]=1, calendar[[#This Row],[WeekDay]]=7),P818,P818+1)</f>
        <v>585</v>
      </c>
      <c r="S819">
        <f>IF(OR(calendar[[#This Row],[PT_BH]]=1,calendar[[#This Row],[WeekDay]]=1, calendar[[#This Row],[WeekDay]]=7),P818,P818+1)</f>
        <v>585</v>
      </c>
    </row>
    <row r="820" spans="1:19" x14ac:dyDescent="0.25">
      <c r="A820" s="2">
        <v>43554</v>
      </c>
      <c r="B820" s="1">
        <f t="shared" si="63"/>
        <v>13</v>
      </c>
      <c r="C820">
        <f t="shared" si="65"/>
        <v>3</v>
      </c>
      <c r="D820" t="str">
        <f t="shared" si="66"/>
        <v>March</v>
      </c>
      <c r="E820">
        <f t="shared" si="67"/>
        <v>2019</v>
      </c>
      <c r="F820" t="str">
        <f>CONCATENATE(calendar[[#This Row],[Month]],"/",calendar[[#This Row],[Year]])</f>
        <v>3/2019</v>
      </c>
      <c r="G820">
        <f>WEEKDAY(calendar[[#This Row],[Date]],1)</f>
        <v>7</v>
      </c>
      <c r="H820" t="str">
        <f>TEXT(calendar[[#This Row],[WeekDay]],"dddd")</f>
        <v>Saturday</v>
      </c>
      <c r="I820">
        <f>IF((INT(calendar[[#This Row],[Count]]/7)-calendar[[#This Row],[Count]]/7)&lt;0,I819,I819+1)</f>
        <v>117</v>
      </c>
      <c r="J820">
        <f t="shared" si="64"/>
        <v>818</v>
      </c>
      <c r="K820">
        <f>IF(calendar[[#This Row],[Month]]&lt;4,1,IF(calendar[[#This Row],[Month]]&lt;7,2,IF(calendar[[#This Row],[Month]]&lt;10,3,4)))</f>
        <v>1</v>
      </c>
      <c r="L820">
        <f>IFERROR(IF(VLOOKUP(calendar[[#This Row],[Date]],BH!A:A,1,)&lt;&gt;"",1,0),0)</f>
        <v>0</v>
      </c>
      <c r="M820">
        <f>IFERROR(IF(VLOOKUP(calendar[[#This Row],[Date]],BH!C:C,1,)&lt;&gt;"",1,0),0)</f>
        <v>0</v>
      </c>
      <c r="N820">
        <f>IFERROR(IF(VLOOKUP(calendar[[#This Row],[Date]],BH!E:E,1,)&lt;&gt;"",1,0),0)</f>
        <v>0</v>
      </c>
      <c r="O820">
        <f>IFERROR(IF(VLOOKUP(calendar[[#This Row],[Date]],BH!G:G,1,)&lt;&gt;"",1,0),0)</f>
        <v>0</v>
      </c>
      <c r="P820">
        <f>IF(OR(calendar[[#This Row],[UK_BH]]=1,calendar[[#This Row],[WeekDay]]=1, calendar[[#This Row],[WeekDay]]=7),P819,P819+1)</f>
        <v>585</v>
      </c>
      <c r="Q820">
        <f>IF(OR(calendar[[#This Row],[FR_BH]]=1,calendar[[#This Row],[WeekDay]]=1, calendar[[#This Row],[WeekDay]]=7),P819,P819+1)</f>
        <v>585</v>
      </c>
      <c r="R820">
        <f>IF(OR(calendar[[#This Row],[SP_BH]]=1,calendar[[#This Row],[WeekDay]]=1, calendar[[#This Row],[WeekDay]]=7),P819,P819+1)</f>
        <v>585</v>
      </c>
      <c r="S820">
        <f>IF(OR(calendar[[#This Row],[PT_BH]]=1,calendar[[#This Row],[WeekDay]]=1, calendar[[#This Row],[WeekDay]]=7),P819,P819+1)</f>
        <v>585</v>
      </c>
    </row>
    <row r="821" spans="1:19" x14ac:dyDescent="0.25">
      <c r="A821" s="2">
        <v>43555</v>
      </c>
      <c r="B821" s="1">
        <f t="shared" si="63"/>
        <v>14</v>
      </c>
      <c r="C821">
        <f t="shared" si="65"/>
        <v>3</v>
      </c>
      <c r="D821" t="str">
        <f t="shared" si="66"/>
        <v>March</v>
      </c>
      <c r="E821">
        <f t="shared" si="67"/>
        <v>2019</v>
      </c>
      <c r="F821" t="str">
        <f>CONCATENATE(calendar[[#This Row],[Month]],"/",calendar[[#This Row],[Year]])</f>
        <v>3/2019</v>
      </c>
      <c r="G821">
        <f>WEEKDAY(calendar[[#This Row],[Date]],1)</f>
        <v>1</v>
      </c>
      <c r="H821" t="str">
        <f>TEXT(calendar[[#This Row],[WeekDay]],"dddd")</f>
        <v>Sunday</v>
      </c>
      <c r="I821">
        <f>IF((INT(calendar[[#This Row],[Count]]/7)-calendar[[#This Row],[Count]]/7)&lt;0,I820,I820+1)</f>
        <v>118</v>
      </c>
      <c r="J821">
        <f t="shared" si="64"/>
        <v>819</v>
      </c>
      <c r="K821">
        <f>IF(calendar[[#This Row],[Month]]&lt;4,1,IF(calendar[[#This Row],[Month]]&lt;7,2,IF(calendar[[#This Row],[Month]]&lt;10,3,4)))</f>
        <v>1</v>
      </c>
      <c r="L821">
        <f>IFERROR(IF(VLOOKUP(calendar[[#This Row],[Date]],BH!A:A,1,)&lt;&gt;"",1,0),0)</f>
        <v>0</v>
      </c>
      <c r="M821">
        <f>IFERROR(IF(VLOOKUP(calendar[[#This Row],[Date]],BH!C:C,1,)&lt;&gt;"",1,0),0)</f>
        <v>0</v>
      </c>
      <c r="N821">
        <f>IFERROR(IF(VLOOKUP(calendar[[#This Row],[Date]],BH!E:E,1,)&lt;&gt;"",1,0),0)</f>
        <v>0</v>
      </c>
      <c r="O821">
        <f>IFERROR(IF(VLOOKUP(calendar[[#This Row],[Date]],BH!G:G,1,)&lt;&gt;"",1,0),0)</f>
        <v>0</v>
      </c>
      <c r="P821">
        <f>IF(OR(calendar[[#This Row],[UK_BH]]=1,calendar[[#This Row],[WeekDay]]=1, calendar[[#This Row],[WeekDay]]=7),P820,P820+1)</f>
        <v>585</v>
      </c>
      <c r="Q821">
        <f>IF(OR(calendar[[#This Row],[FR_BH]]=1,calendar[[#This Row],[WeekDay]]=1, calendar[[#This Row],[WeekDay]]=7),P820,P820+1)</f>
        <v>585</v>
      </c>
      <c r="R821">
        <f>IF(OR(calendar[[#This Row],[SP_BH]]=1,calendar[[#This Row],[WeekDay]]=1, calendar[[#This Row],[WeekDay]]=7),P820,P820+1)</f>
        <v>585</v>
      </c>
      <c r="S821">
        <f>IF(OR(calendar[[#This Row],[PT_BH]]=1,calendar[[#This Row],[WeekDay]]=1, calendar[[#This Row],[WeekDay]]=7),P820,P820+1)</f>
        <v>585</v>
      </c>
    </row>
    <row r="822" spans="1:19" x14ac:dyDescent="0.25">
      <c r="A822" s="2">
        <v>43556</v>
      </c>
      <c r="B822" s="1">
        <f t="shared" si="63"/>
        <v>14</v>
      </c>
      <c r="C822">
        <f t="shared" si="65"/>
        <v>4</v>
      </c>
      <c r="D822" t="str">
        <f t="shared" si="66"/>
        <v>April</v>
      </c>
      <c r="E822">
        <f t="shared" si="67"/>
        <v>2019</v>
      </c>
      <c r="F822" t="str">
        <f>CONCATENATE(calendar[[#This Row],[Month]],"/",calendar[[#This Row],[Year]])</f>
        <v>4/2019</v>
      </c>
      <c r="G822">
        <f>WEEKDAY(calendar[[#This Row],[Date]],1)</f>
        <v>2</v>
      </c>
      <c r="H822" t="str">
        <f>TEXT(calendar[[#This Row],[WeekDay]],"dddd")</f>
        <v>Monday</v>
      </c>
      <c r="I822">
        <f>IF((INT(calendar[[#This Row],[Count]]/7)-calendar[[#This Row],[Count]]/7)&lt;0,I821,I821+1)</f>
        <v>118</v>
      </c>
      <c r="J822">
        <f t="shared" si="64"/>
        <v>820</v>
      </c>
      <c r="K822">
        <f>IF(calendar[[#This Row],[Month]]&lt;4,1,IF(calendar[[#This Row],[Month]]&lt;7,2,IF(calendar[[#This Row],[Month]]&lt;10,3,4)))</f>
        <v>2</v>
      </c>
      <c r="L822">
        <f>IFERROR(IF(VLOOKUP(calendar[[#This Row],[Date]],BH!A:A,1,)&lt;&gt;"",1,0),0)</f>
        <v>0</v>
      </c>
      <c r="M822">
        <f>IFERROR(IF(VLOOKUP(calendar[[#This Row],[Date]],BH!C:C,1,)&lt;&gt;"",1,0),0)</f>
        <v>0</v>
      </c>
      <c r="N822">
        <f>IFERROR(IF(VLOOKUP(calendar[[#This Row],[Date]],BH!E:E,1,)&lt;&gt;"",1,0),0)</f>
        <v>0</v>
      </c>
      <c r="O822">
        <f>IFERROR(IF(VLOOKUP(calendar[[#This Row],[Date]],BH!G:G,1,)&lt;&gt;"",1,0),0)</f>
        <v>0</v>
      </c>
      <c r="P822">
        <f>IF(OR(calendar[[#This Row],[UK_BH]]=1,calendar[[#This Row],[WeekDay]]=1, calendar[[#This Row],[WeekDay]]=7),P821,P821+1)</f>
        <v>586</v>
      </c>
      <c r="Q822">
        <f>IF(OR(calendar[[#This Row],[FR_BH]]=1,calendar[[#This Row],[WeekDay]]=1, calendar[[#This Row],[WeekDay]]=7),P821,P821+1)</f>
        <v>586</v>
      </c>
      <c r="R822">
        <f>IF(OR(calendar[[#This Row],[SP_BH]]=1,calendar[[#This Row],[WeekDay]]=1, calendar[[#This Row],[WeekDay]]=7),P821,P821+1)</f>
        <v>586</v>
      </c>
      <c r="S822">
        <f>IF(OR(calendar[[#This Row],[PT_BH]]=1,calendar[[#This Row],[WeekDay]]=1, calendar[[#This Row],[WeekDay]]=7),P821,P821+1)</f>
        <v>586</v>
      </c>
    </row>
    <row r="823" spans="1:19" x14ac:dyDescent="0.25">
      <c r="A823" s="2">
        <v>43557</v>
      </c>
      <c r="B823" s="1">
        <f t="shared" si="63"/>
        <v>14</v>
      </c>
      <c r="C823">
        <f t="shared" si="65"/>
        <v>4</v>
      </c>
      <c r="D823" t="str">
        <f t="shared" si="66"/>
        <v>April</v>
      </c>
      <c r="E823">
        <f t="shared" si="67"/>
        <v>2019</v>
      </c>
      <c r="F823" t="str">
        <f>CONCATENATE(calendar[[#This Row],[Month]],"/",calendar[[#This Row],[Year]])</f>
        <v>4/2019</v>
      </c>
      <c r="G823">
        <f>WEEKDAY(calendar[[#This Row],[Date]],1)</f>
        <v>3</v>
      </c>
      <c r="H823" t="str">
        <f>TEXT(calendar[[#This Row],[WeekDay]],"dddd")</f>
        <v>Tuesday</v>
      </c>
      <c r="I823">
        <f>IF((INT(calendar[[#This Row],[Count]]/7)-calendar[[#This Row],[Count]]/7)&lt;0,I822,I822+1)</f>
        <v>118</v>
      </c>
      <c r="J823">
        <f t="shared" si="64"/>
        <v>821</v>
      </c>
      <c r="K823">
        <f>IF(calendar[[#This Row],[Month]]&lt;4,1,IF(calendar[[#This Row],[Month]]&lt;7,2,IF(calendar[[#This Row],[Month]]&lt;10,3,4)))</f>
        <v>2</v>
      </c>
      <c r="L823">
        <f>IFERROR(IF(VLOOKUP(calendar[[#This Row],[Date]],BH!A:A,1,)&lt;&gt;"",1,0),0)</f>
        <v>0</v>
      </c>
      <c r="M823">
        <f>IFERROR(IF(VLOOKUP(calendar[[#This Row],[Date]],BH!C:C,1,)&lt;&gt;"",1,0),0)</f>
        <v>0</v>
      </c>
      <c r="N823">
        <f>IFERROR(IF(VLOOKUP(calendar[[#This Row],[Date]],BH!E:E,1,)&lt;&gt;"",1,0),0)</f>
        <v>0</v>
      </c>
      <c r="O823">
        <f>IFERROR(IF(VLOOKUP(calendar[[#This Row],[Date]],BH!G:G,1,)&lt;&gt;"",1,0),0)</f>
        <v>0</v>
      </c>
      <c r="P823">
        <f>IF(OR(calendar[[#This Row],[UK_BH]]=1,calendar[[#This Row],[WeekDay]]=1, calendar[[#This Row],[WeekDay]]=7),P822,P822+1)</f>
        <v>587</v>
      </c>
      <c r="Q823">
        <f>IF(OR(calendar[[#This Row],[FR_BH]]=1,calendar[[#This Row],[WeekDay]]=1, calendar[[#This Row],[WeekDay]]=7),P822,P822+1)</f>
        <v>587</v>
      </c>
      <c r="R823">
        <f>IF(OR(calendar[[#This Row],[SP_BH]]=1,calendar[[#This Row],[WeekDay]]=1, calendar[[#This Row],[WeekDay]]=7),P822,P822+1)</f>
        <v>587</v>
      </c>
      <c r="S823">
        <f>IF(OR(calendar[[#This Row],[PT_BH]]=1,calendar[[#This Row],[WeekDay]]=1, calendar[[#This Row],[WeekDay]]=7),P822,P822+1)</f>
        <v>587</v>
      </c>
    </row>
    <row r="824" spans="1:19" x14ac:dyDescent="0.25">
      <c r="A824" s="2">
        <v>43558</v>
      </c>
      <c r="B824" s="1">
        <f t="shared" si="63"/>
        <v>14</v>
      </c>
      <c r="C824">
        <f t="shared" si="65"/>
        <v>4</v>
      </c>
      <c r="D824" t="str">
        <f t="shared" si="66"/>
        <v>April</v>
      </c>
      <c r="E824">
        <f t="shared" si="67"/>
        <v>2019</v>
      </c>
      <c r="F824" t="str">
        <f>CONCATENATE(calendar[[#This Row],[Month]],"/",calendar[[#This Row],[Year]])</f>
        <v>4/2019</v>
      </c>
      <c r="G824">
        <f>WEEKDAY(calendar[[#This Row],[Date]],1)</f>
        <v>4</v>
      </c>
      <c r="H824" t="str">
        <f>TEXT(calendar[[#This Row],[WeekDay]],"dddd")</f>
        <v>Wednesday</v>
      </c>
      <c r="I824">
        <f>IF((INT(calendar[[#This Row],[Count]]/7)-calendar[[#This Row],[Count]]/7)&lt;0,I823,I823+1)</f>
        <v>118</v>
      </c>
      <c r="J824">
        <f t="shared" si="64"/>
        <v>822</v>
      </c>
      <c r="K824">
        <f>IF(calendar[[#This Row],[Month]]&lt;4,1,IF(calendar[[#This Row],[Month]]&lt;7,2,IF(calendar[[#This Row],[Month]]&lt;10,3,4)))</f>
        <v>2</v>
      </c>
      <c r="L824">
        <f>IFERROR(IF(VLOOKUP(calendar[[#This Row],[Date]],BH!A:A,1,)&lt;&gt;"",1,0),0)</f>
        <v>0</v>
      </c>
      <c r="M824">
        <f>IFERROR(IF(VLOOKUP(calendar[[#This Row],[Date]],BH!C:C,1,)&lt;&gt;"",1,0),0)</f>
        <v>0</v>
      </c>
      <c r="N824">
        <f>IFERROR(IF(VLOOKUP(calendar[[#This Row],[Date]],BH!E:E,1,)&lt;&gt;"",1,0),0)</f>
        <v>0</v>
      </c>
      <c r="O824">
        <f>IFERROR(IF(VLOOKUP(calendar[[#This Row],[Date]],BH!G:G,1,)&lt;&gt;"",1,0),0)</f>
        <v>0</v>
      </c>
      <c r="P824">
        <f>IF(OR(calendar[[#This Row],[UK_BH]]=1,calendar[[#This Row],[WeekDay]]=1, calendar[[#This Row],[WeekDay]]=7),P823,P823+1)</f>
        <v>588</v>
      </c>
      <c r="Q824">
        <f>IF(OR(calendar[[#This Row],[FR_BH]]=1,calendar[[#This Row],[WeekDay]]=1, calendar[[#This Row],[WeekDay]]=7),P823,P823+1)</f>
        <v>588</v>
      </c>
      <c r="R824">
        <f>IF(OR(calendar[[#This Row],[SP_BH]]=1,calendar[[#This Row],[WeekDay]]=1, calendar[[#This Row],[WeekDay]]=7),P823,P823+1)</f>
        <v>588</v>
      </c>
      <c r="S824">
        <f>IF(OR(calendar[[#This Row],[PT_BH]]=1,calendar[[#This Row],[WeekDay]]=1, calendar[[#This Row],[WeekDay]]=7),P823,P823+1)</f>
        <v>588</v>
      </c>
    </row>
    <row r="825" spans="1:19" x14ac:dyDescent="0.25">
      <c r="A825" s="2">
        <v>43559</v>
      </c>
      <c r="B825" s="1">
        <f t="shared" si="63"/>
        <v>14</v>
      </c>
      <c r="C825">
        <f t="shared" si="65"/>
        <v>4</v>
      </c>
      <c r="D825" t="str">
        <f t="shared" si="66"/>
        <v>April</v>
      </c>
      <c r="E825">
        <f t="shared" si="67"/>
        <v>2019</v>
      </c>
      <c r="F825" t="str">
        <f>CONCATENATE(calendar[[#This Row],[Month]],"/",calendar[[#This Row],[Year]])</f>
        <v>4/2019</v>
      </c>
      <c r="G825">
        <f>WEEKDAY(calendar[[#This Row],[Date]],1)</f>
        <v>5</v>
      </c>
      <c r="H825" t="str">
        <f>TEXT(calendar[[#This Row],[WeekDay]],"dddd")</f>
        <v>Thursday</v>
      </c>
      <c r="I825">
        <f>IF((INT(calendar[[#This Row],[Count]]/7)-calendar[[#This Row],[Count]]/7)&lt;0,I824,I824+1)</f>
        <v>118</v>
      </c>
      <c r="J825">
        <f t="shared" si="64"/>
        <v>823</v>
      </c>
      <c r="K825">
        <f>IF(calendar[[#This Row],[Month]]&lt;4,1,IF(calendar[[#This Row],[Month]]&lt;7,2,IF(calendar[[#This Row],[Month]]&lt;10,3,4)))</f>
        <v>2</v>
      </c>
      <c r="L825">
        <f>IFERROR(IF(VLOOKUP(calendar[[#This Row],[Date]],BH!A:A,1,)&lt;&gt;"",1,0),0)</f>
        <v>0</v>
      </c>
      <c r="M825">
        <f>IFERROR(IF(VLOOKUP(calendar[[#This Row],[Date]],BH!C:C,1,)&lt;&gt;"",1,0),0)</f>
        <v>0</v>
      </c>
      <c r="N825">
        <f>IFERROR(IF(VLOOKUP(calendar[[#This Row],[Date]],BH!E:E,1,)&lt;&gt;"",1,0),0)</f>
        <v>0</v>
      </c>
      <c r="O825">
        <f>IFERROR(IF(VLOOKUP(calendar[[#This Row],[Date]],BH!G:G,1,)&lt;&gt;"",1,0),0)</f>
        <v>0</v>
      </c>
      <c r="P825">
        <f>IF(OR(calendar[[#This Row],[UK_BH]]=1,calendar[[#This Row],[WeekDay]]=1, calendar[[#This Row],[WeekDay]]=7),P824,P824+1)</f>
        <v>589</v>
      </c>
      <c r="Q825">
        <f>IF(OR(calendar[[#This Row],[FR_BH]]=1,calendar[[#This Row],[WeekDay]]=1, calendar[[#This Row],[WeekDay]]=7),P824,P824+1)</f>
        <v>589</v>
      </c>
      <c r="R825">
        <f>IF(OR(calendar[[#This Row],[SP_BH]]=1,calendar[[#This Row],[WeekDay]]=1, calendar[[#This Row],[WeekDay]]=7),P824,P824+1)</f>
        <v>589</v>
      </c>
      <c r="S825">
        <f>IF(OR(calendar[[#This Row],[PT_BH]]=1,calendar[[#This Row],[WeekDay]]=1, calendar[[#This Row],[WeekDay]]=7),P824,P824+1)</f>
        <v>589</v>
      </c>
    </row>
    <row r="826" spans="1:19" x14ac:dyDescent="0.25">
      <c r="A826" s="2">
        <v>43560</v>
      </c>
      <c r="B826" s="1">
        <f t="shared" si="63"/>
        <v>14</v>
      </c>
      <c r="C826">
        <f t="shared" si="65"/>
        <v>4</v>
      </c>
      <c r="D826" t="str">
        <f t="shared" si="66"/>
        <v>April</v>
      </c>
      <c r="E826">
        <f t="shared" si="67"/>
        <v>2019</v>
      </c>
      <c r="F826" t="str">
        <f>CONCATENATE(calendar[[#This Row],[Month]],"/",calendar[[#This Row],[Year]])</f>
        <v>4/2019</v>
      </c>
      <c r="G826">
        <f>WEEKDAY(calendar[[#This Row],[Date]],1)</f>
        <v>6</v>
      </c>
      <c r="H826" t="str">
        <f>TEXT(calendar[[#This Row],[WeekDay]],"dddd")</f>
        <v>Friday</v>
      </c>
      <c r="I826">
        <f>IF((INT(calendar[[#This Row],[Count]]/7)-calendar[[#This Row],[Count]]/7)&lt;0,I825,I825+1)</f>
        <v>118</v>
      </c>
      <c r="J826">
        <f t="shared" si="64"/>
        <v>824</v>
      </c>
      <c r="K826">
        <f>IF(calendar[[#This Row],[Month]]&lt;4,1,IF(calendar[[#This Row],[Month]]&lt;7,2,IF(calendar[[#This Row],[Month]]&lt;10,3,4)))</f>
        <v>2</v>
      </c>
      <c r="L826">
        <f>IFERROR(IF(VLOOKUP(calendar[[#This Row],[Date]],BH!A:A,1,)&lt;&gt;"",1,0),0)</f>
        <v>0</v>
      </c>
      <c r="M826">
        <f>IFERROR(IF(VLOOKUP(calendar[[#This Row],[Date]],BH!C:C,1,)&lt;&gt;"",1,0),0)</f>
        <v>0</v>
      </c>
      <c r="N826">
        <f>IFERROR(IF(VLOOKUP(calendar[[#This Row],[Date]],BH!E:E,1,)&lt;&gt;"",1,0),0)</f>
        <v>0</v>
      </c>
      <c r="O826">
        <f>IFERROR(IF(VLOOKUP(calendar[[#This Row],[Date]],BH!G:G,1,)&lt;&gt;"",1,0),0)</f>
        <v>0</v>
      </c>
      <c r="P826">
        <f>IF(OR(calendar[[#This Row],[UK_BH]]=1,calendar[[#This Row],[WeekDay]]=1, calendar[[#This Row],[WeekDay]]=7),P825,P825+1)</f>
        <v>590</v>
      </c>
      <c r="Q826">
        <f>IF(OR(calendar[[#This Row],[FR_BH]]=1,calendar[[#This Row],[WeekDay]]=1, calendar[[#This Row],[WeekDay]]=7),P825,P825+1)</f>
        <v>590</v>
      </c>
      <c r="R826">
        <f>IF(OR(calendar[[#This Row],[SP_BH]]=1,calendar[[#This Row],[WeekDay]]=1, calendar[[#This Row],[WeekDay]]=7),P825,P825+1)</f>
        <v>590</v>
      </c>
      <c r="S826">
        <f>IF(OR(calendar[[#This Row],[PT_BH]]=1,calendar[[#This Row],[WeekDay]]=1, calendar[[#This Row],[WeekDay]]=7),P825,P825+1)</f>
        <v>590</v>
      </c>
    </row>
    <row r="827" spans="1:19" x14ac:dyDescent="0.25">
      <c r="A827" s="2">
        <v>43561</v>
      </c>
      <c r="B827" s="1">
        <f t="shared" si="63"/>
        <v>14</v>
      </c>
      <c r="C827">
        <f t="shared" si="65"/>
        <v>4</v>
      </c>
      <c r="D827" t="str">
        <f t="shared" si="66"/>
        <v>April</v>
      </c>
      <c r="E827">
        <f t="shared" si="67"/>
        <v>2019</v>
      </c>
      <c r="F827" t="str">
        <f>CONCATENATE(calendar[[#This Row],[Month]],"/",calendar[[#This Row],[Year]])</f>
        <v>4/2019</v>
      </c>
      <c r="G827">
        <f>WEEKDAY(calendar[[#This Row],[Date]],1)</f>
        <v>7</v>
      </c>
      <c r="H827" t="str">
        <f>TEXT(calendar[[#This Row],[WeekDay]],"dddd")</f>
        <v>Saturday</v>
      </c>
      <c r="I827">
        <f>IF((INT(calendar[[#This Row],[Count]]/7)-calendar[[#This Row],[Count]]/7)&lt;0,I826,I826+1)</f>
        <v>118</v>
      </c>
      <c r="J827">
        <f t="shared" si="64"/>
        <v>825</v>
      </c>
      <c r="K827">
        <f>IF(calendar[[#This Row],[Month]]&lt;4,1,IF(calendar[[#This Row],[Month]]&lt;7,2,IF(calendar[[#This Row],[Month]]&lt;10,3,4)))</f>
        <v>2</v>
      </c>
      <c r="L827">
        <f>IFERROR(IF(VLOOKUP(calendar[[#This Row],[Date]],BH!A:A,1,)&lt;&gt;"",1,0),0)</f>
        <v>0</v>
      </c>
      <c r="M827">
        <f>IFERROR(IF(VLOOKUP(calendar[[#This Row],[Date]],BH!C:C,1,)&lt;&gt;"",1,0),0)</f>
        <v>0</v>
      </c>
      <c r="N827">
        <f>IFERROR(IF(VLOOKUP(calendar[[#This Row],[Date]],BH!E:E,1,)&lt;&gt;"",1,0),0)</f>
        <v>0</v>
      </c>
      <c r="O827">
        <f>IFERROR(IF(VLOOKUP(calendar[[#This Row],[Date]],BH!G:G,1,)&lt;&gt;"",1,0),0)</f>
        <v>0</v>
      </c>
      <c r="P827">
        <f>IF(OR(calendar[[#This Row],[UK_BH]]=1,calendar[[#This Row],[WeekDay]]=1, calendar[[#This Row],[WeekDay]]=7),P826,P826+1)</f>
        <v>590</v>
      </c>
      <c r="Q827">
        <f>IF(OR(calendar[[#This Row],[FR_BH]]=1,calendar[[#This Row],[WeekDay]]=1, calendar[[#This Row],[WeekDay]]=7),P826,P826+1)</f>
        <v>590</v>
      </c>
      <c r="R827">
        <f>IF(OR(calendar[[#This Row],[SP_BH]]=1,calendar[[#This Row],[WeekDay]]=1, calendar[[#This Row],[WeekDay]]=7),P826,P826+1)</f>
        <v>590</v>
      </c>
      <c r="S827">
        <f>IF(OR(calendar[[#This Row],[PT_BH]]=1,calendar[[#This Row],[WeekDay]]=1, calendar[[#This Row],[WeekDay]]=7),P826,P826+1)</f>
        <v>590</v>
      </c>
    </row>
    <row r="828" spans="1:19" x14ac:dyDescent="0.25">
      <c r="A828" s="2">
        <v>43562</v>
      </c>
      <c r="B828" s="1">
        <f t="shared" si="63"/>
        <v>15</v>
      </c>
      <c r="C828">
        <f t="shared" si="65"/>
        <v>4</v>
      </c>
      <c r="D828" t="str">
        <f t="shared" si="66"/>
        <v>April</v>
      </c>
      <c r="E828">
        <f t="shared" si="67"/>
        <v>2019</v>
      </c>
      <c r="F828" t="str">
        <f>CONCATENATE(calendar[[#This Row],[Month]],"/",calendar[[#This Row],[Year]])</f>
        <v>4/2019</v>
      </c>
      <c r="G828">
        <f>WEEKDAY(calendar[[#This Row],[Date]],1)</f>
        <v>1</v>
      </c>
      <c r="H828" t="str">
        <f>TEXT(calendar[[#This Row],[WeekDay]],"dddd")</f>
        <v>Sunday</v>
      </c>
      <c r="I828">
        <f>IF((INT(calendar[[#This Row],[Count]]/7)-calendar[[#This Row],[Count]]/7)&lt;0,I827,I827+1)</f>
        <v>119</v>
      </c>
      <c r="J828">
        <f t="shared" si="64"/>
        <v>826</v>
      </c>
      <c r="K828">
        <f>IF(calendar[[#This Row],[Month]]&lt;4,1,IF(calendar[[#This Row],[Month]]&lt;7,2,IF(calendar[[#This Row],[Month]]&lt;10,3,4)))</f>
        <v>2</v>
      </c>
      <c r="L828">
        <f>IFERROR(IF(VLOOKUP(calendar[[#This Row],[Date]],BH!A:A,1,)&lt;&gt;"",1,0),0)</f>
        <v>0</v>
      </c>
      <c r="M828">
        <f>IFERROR(IF(VLOOKUP(calendar[[#This Row],[Date]],BH!C:C,1,)&lt;&gt;"",1,0),0)</f>
        <v>0</v>
      </c>
      <c r="N828">
        <f>IFERROR(IF(VLOOKUP(calendar[[#This Row],[Date]],BH!E:E,1,)&lt;&gt;"",1,0),0)</f>
        <v>0</v>
      </c>
      <c r="O828">
        <f>IFERROR(IF(VLOOKUP(calendar[[#This Row],[Date]],BH!G:G,1,)&lt;&gt;"",1,0),0)</f>
        <v>0</v>
      </c>
      <c r="P828">
        <f>IF(OR(calendar[[#This Row],[UK_BH]]=1,calendar[[#This Row],[WeekDay]]=1, calendar[[#This Row],[WeekDay]]=7),P827,P827+1)</f>
        <v>590</v>
      </c>
      <c r="Q828">
        <f>IF(OR(calendar[[#This Row],[FR_BH]]=1,calendar[[#This Row],[WeekDay]]=1, calendar[[#This Row],[WeekDay]]=7),P827,P827+1)</f>
        <v>590</v>
      </c>
      <c r="R828">
        <f>IF(OR(calendar[[#This Row],[SP_BH]]=1,calendar[[#This Row],[WeekDay]]=1, calendar[[#This Row],[WeekDay]]=7),P827,P827+1)</f>
        <v>590</v>
      </c>
      <c r="S828">
        <f>IF(OR(calendar[[#This Row],[PT_BH]]=1,calendar[[#This Row],[WeekDay]]=1, calendar[[#This Row],[WeekDay]]=7),P827,P827+1)</f>
        <v>590</v>
      </c>
    </row>
    <row r="829" spans="1:19" x14ac:dyDescent="0.25">
      <c r="A829" s="2">
        <v>43563</v>
      </c>
      <c r="B829" s="1">
        <f t="shared" si="63"/>
        <v>15</v>
      </c>
      <c r="C829">
        <f t="shared" si="65"/>
        <v>4</v>
      </c>
      <c r="D829" t="str">
        <f t="shared" si="66"/>
        <v>April</v>
      </c>
      <c r="E829">
        <f t="shared" si="67"/>
        <v>2019</v>
      </c>
      <c r="F829" t="str">
        <f>CONCATENATE(calendar[[#This Row],[Month]],"/",calendar[[#This Row],[Year]])</f>
        <v>4/2019</v>
      </c>
      <c r="G829">
        <f>WEEKDAY(calendar[[#This Row],[Date]],1)</f>
        <v>2</v>
      </c>
      <c r="H829" t="str">
        <f>TEXT(calendar[[#This Row],[WeekDay]],"dddd")</f>
        <v>Monday</v>
      </c>
      <c r="I829">
        <f>IF((INT(calendar[[#This Row],[Count]]/7)-calendar[[#This Row],[Count]]/7)&lt;0,I828,I828+1)</f>
        <v>119</v>
      </c>
      <c r="J829">
        <f t="shared" si="64"/>
        <v>827</v>
      </c>
      <c r="K829">
        <f>IF(calendar[[#This Row],[Month]]&lt;4,1,IF(calendar[[#This Row],[Month]]&lt;7,2,IF(calendar[[#This Row],[Month]]&lt;10,3,4)))</f>
        <v>2</v>
      </c>
      <c r="L829">
        <f>IFERROR(IF(VLOOKUP(calendar[[#This Row],[Date]],BH!A:A,1,)&lt;&gt;"",1,0),0)</f>
        <v>0</v>
      </c>
      <c r="M829">
        <f>IFERROR(IF(VLOOKUP(calendar[[#This Row],[Date]],BH!C:C,1,)&lt;&gt;"",1,0),0)</f>
        <v>0</v>
      </c>
      <c r="N829">
        <f>IFERROR(IF(VLOOKUP(calendar[[#This Row],[Date]],BH!E:E,1,)&lt;&gt;"",1,0),0)</f>
        <v>0</v>
      </c>
      <c r="O829">
        <f>IFERROR(IF(VLOOKUP(calendar[[#This Row],[Date]],BH!G:G,1,)&lt;&gt;"",1,0),0)</f>
        <v>0</v>
      </c>
      <c r="P829">
        <f>IF(OR(calendar[[#This Row],[UK_BH]]=1,calendar[[#This Row],[WeekDay]]=1, calendar[[#This Row],[WeekDay]]=7),P828,P828+1)</f>
        <v>591</v>
      </c>
      <c r="Q829">
        <f>IF(OR(calendar[[#This Row],[FR_BH]]=1,calendar[[#This Row],[WeekDay]]=1, calendar[[#This Row],[WeekDay]]=7),P828,P828+1)</f>
        <v>591</v>
      </c>
      <c r="R829">
        <f>IF(OR(calendar[[#This Row],[SP_BH]]=1,calendar[[#This Row],[WeekDay]]=1, calendar[[#This Row],[WeekDay]]=7),P828,P828+1)</f>
        <v>591</v>
      </c>
      <c r="S829">
        <f>IF(OR(calendar[[#This Row],[PT_BH]]=1,calendar[[#This Row],[WeekDay]]=1, calendar[[#This Row],[WeekDay]]=7),P828,P828+1)</f>
        <v>591</v>
      </c>
    </row>
    <row r="830" spans="1:19" x14ac:dyDescent="0.25">
      <c r="A830" s="2">
        <v>43564</v>
      </c>
      <c r="B830" s="1">
        <f t="shared" si="63"/>
        <v>15</v>
      </c>
      <c r="C830">
        <f t="shared" si="65"/>
        <v>4</v>
      </c>
      <c r="D830" t="str">
        <f t="shared" si="66"/>
        <v>April</v>
      </c>
      <c r="E830">
        <f t="shared" si="67"/>
        <v>2019</v>
      </c>
      <c r="F830" t="str">
        <f>CONCATENATE(calendar[[#This Row],[Month]],"/",calendar[[#This Row],[Year]])</f>
        <v>4/2019</v>
      </c>
      <c r="G830">
        <f>WEEKDAY(calendar[[#This Row],[Date]],1)</f>
        <v>3</v>
      </c>
      <c r="H830" t="str">
        <f>TEXT(calendar[[#This Row],[WeekDay]],"dddd")</f>
        <v>Tuesday</v>
      </c>
      <c r="I830">
        <f>IF((INT(calendar[[#This Row],[Count]]/7)-calendar[[#This Row],[Count]]/7)&lt;0,I829,I829+1)</f>
        <v>119</v>
      </c>
      <c r="J830">
        <f t="shared" si="64"/>
        <v>828</v>
      </c>
      <c r="K830">
        <f>IF(calendar[[#This Row],[Month]]&lt;4,1,IF(calendar[[#This Row],[Month]]&lt;7,2,IF(calendar[[#This Row],[Month]]&lt;10,3,4)))</f>
        <v>2</v>
      </c>
      <c r="L830">
        <f>IFERROR(IF(VLOOKUP(calendar[[#This Row],[Date]],BH!A:A,1,)&lt;&gt;"",1,0),0)</f>
        <v>0</v>
      </c>
      <c r="M830">
        <f>IFERROR(IF(VLOOKUP(calendar[[#This Row],[Date]],BH!C:C,1,)&lt;&gt;"",1,0),0)</f>
        <v>0</v>
      </c>
      <c r="N830">
        <f>IFERROR(IF(VLOOKUP(calendar[[#This Row],[Date]],BH!E:E,1,)&lt;&gt;"",1,0),0)</f>
        <v>0</v>
      </c>
      <c r="O830">
        <f>IFERROR(IF(VLOOKUP(calendar[[#This Row],[Date]],BH!G:G,1,)&lt;&gt;"",1,0),0)</f>
        <v>0</v>
      </c>
      <c r="P830">
        <f>IF(OR(calendar[[#This Row],[UK_BH]]=1,calendar[[#This Row],[WeekDay]]=1, calendar[[#This Row],[WeekDay]]=7),P829,P829+1)</f>
        <v>592</v>
      </c>
      <c r="Q830">
        <f>IF(OR(calendar[[#This Row],[FR_BH]]=1,calendar[[#This Row],[WeekDay]]=1, calendar[[#This Row],[WeekDay]]=7),P829,P829+1)</f>
        <v>592</v>
      </c>
      <c r="R830">
        <f>IF(OR(calendar[[#This Row],[SP_BH]]=1,calendar[[#This Row],[WeekDay]]=1, calendar[[#This Row],[WeekDay]]=7),P829,P829+1)</f>
        <v>592</v>
      </c>
      <c r="S830">
        <f>IF(OR(calendar[[#This Row],[PT_BH]]=1,calendar[[#This Row],[WeekDay]]=1, calendar[[#This Row],[WeekDay]]=7),P829,P829+1)</f>
        <v>592</v>
      </c>
    </row>
    <row r="831" spans="1:19" x14ac:dyDescent="0.25">
      <c r="A831" s="2">
        <v>43565</v>
      </c>
      <c r="B831" s="1">
        <f t="shared" si="63"/>
        <v>15</v>
      </c>
      <c r="C831">
        <f t="shared" si="65"/>
        <v>4</v>
      </c>
      <c r="D831" t="str">
        <f t="shared" si="66"/>
        <v>April</v>
      </c>
      <c r="E831">
        <f t="shared" si="67"/>
        <v>2019</v>
      </c>
      <c r="F831" t="str">
        <f>CONCATENATE(calendar[[#This Row],[Month]],"/",calendar[[#This Row],[Year]])</f>
        <v>4/2019</v>
      </c>
      <c r="G831">
        <f>WEEKDAY(calendar[[#This Row],[Date]],1)</f>
        <v>4</v>
      </c>
      <c r="H831" t="str">
        <f>TEXT(calendar[[#This Row],[WeekDay]],"dddd")</f>
        <v>Wednesday</v>
      </c>
      <c r="I831">
        <f>IF((INT(calendar[[#This Row],[Count]]/7)-calendar[[#This Row],[Count]]/7)&lt;0,I830,I830+1)</f>
        <v>119</v>
      </c>
      <c r="J831">
        <f t="shared" si="64"/>
        <v>829</v>
      </c>
      <c r="K831">
        <f>IF(calendar[[#This Row],[Month]]&lt;4,1,IF(calendar[[#This Row],[Month]]&lt;7,2,IF(calendar[[#This Row],[Month]]&lt;10,3,4)))</f>
        <v>2</v>
      </c>
      <c r="L831">
        <f>IFERROR(IF(VLOOKUP(calendar[[#This Row],[Date]],BH!A:A,1,)&lt;&gt;"",1,0),0)</f>
        <v>0</v>
      </c>
      <c r="M831">
        <f>IFERROR(IF(VLOOKUP(calendar[[#This Row],[Date]],BH!C:C,1,)&lt;&gt;"",1,0),0)</f>
        <v>0</v>
      </c>
      <c r="N831">
        <f>IFERROR(IF(VLOOKUP(calendar[[#This Row],[Date]],BH!E:E,1,)&lt;&gt;"",1,0),0)</f>
        <v>0</v>
      </c>
      <c r="O831">
        <f>IFERROR(IF(VLOOKUP(calendar[[#This Row],[Date]],BH!G:G,1,)&lt;&gt;"",1,0),0)</f>
        <v>0</v>
      </c>
      <c r="P831">
        <f>IF(OR(calendar[[#This Row],[UK_BH]]=1,calendar[[#This Row],[WeekDay]]=1, calendar[[#This Row],[WeekDay]]=7),P830,P830+1)</f>
        <v>593</v>
      </c>
      <c r="Q831">
        <f>IF(OR(calendar[[#This Row],[FR_BH]]=1,calendar[[#This Row],[WeekDay]]=1, calendar[[#This Row],[WeekDay]]=7),P830,P830+1)</f>
        <v>593</v>
      </c>
      <c r="R831">
        <f>IF(OR(calendar[[#This Row],[SP_BH]]=1,calendar[[#This Row],[WeekDay]]=1, calendar[[#This Row],[WeekDay]]=7),P830,P830+1)</f>
        <v>593</v>
      </c>
      <c r="S831">
        <f>IF(OR(calendar[[#This Row],[PT_BH]]=1,calendar[[#This Row],[WeekDay]]=1, calendar[[#This Row],[WeekDay]]=7),P830,P830+1)</f>
        <v>593</v>
      </c>
    </row>
    <row r="832" spans="1:19" x14ac:dyDescent="0.25">
      <c r="A832" s="2">
        <v>43566</v>
      </c>
      <c r="B832" s="1">
        <f t="shared" si="63"/>
        <v>15</v>
      </c>
      <c r="C832">
        <f t="shared" si="65"/>
        <v>4</v>
      </c>
      <c r="D832" t="str">
        <f t="shared" si="66"/>
        <v>April</v>
      </c>
      <c r="E832">
        <f t="shared" si="67"/>
        <v>2019</v>
      </c>
      <c r="F832" t="str">
        <f>CONCATENATE(calendar[[#This Row],[Month]],"/",calendar[[#This Row],[Year]])</f>
        <v>4/2019</v>
      </c>
      <c r="G832">
        <f>WEEKDAY(calendar[[#This Row],[Date]],1)</f>
        <v>5</v>
      </c>
      <c r="H832" t="str">
        <f>TEXT(calendar[[#This Row],[WeekDay]],"dddd")</f>
        <v>Thursday</v>
      </c>
      <c r="I832">
        <f>IF((INT(calendar[[#This Row],[Count]]/7)-calendar[[#This Row],[Count]]/7)&lt;0,I831,I831+1)</f>
        <v>119</v>
      </c>
      <c r="J832">
        <f t="shared" si="64"/>
        <v>830</v>
      </c>
      <c r="K832">
        <f>IF(calendar[[#This Row],[Month]]&lt;4,1,IF(calendar[[#This Row],[Month]]&lt;7,2,IF(calendar[[#This Row],[Month]]&lt;10,3,4)))</f>
        <v>2</v>
      </c>
      <c r="L832">
        <f>IFERROR(IF(VLOOKUP(calendar[[#This Row],[Date]],BH!A:A,1,)&lt;&gt;"",1,0),0)</f>
        <v>0</v>
      </c>
      <c r="M832">
        <f>IFERROR(IF(VLOOKUP(calendar[[#This Row],[Date]],BH!C:C,1,)&lt;&gt;"",1,0),0)</f>
        <v>0</v>
      </c>
      <c r="N832">
        <f>IFERROR(IF(VLOOKUP(calendar[[#This Row],[Date]],BH!E:E,1,)&lt;&gt;"",1,0),0)</f>
        <v>0</v>
      </c>
      <c r="O832">
        <f>IFERROR(IF(VLOOKUP(calendar[[#This Row],[Date]],BH!G:G,1,)&lt;&gt;"",1,0),0)</f>
        <v>0</v>
      </c>
      <c r="P832">
        <f>IF(OR(calendar[[#This Row],[UK_BH]]=1,calendar[[#This Row],[WeekDay]]=1, calendar[[#This Row],[WeekDay]]=7),P831,P831+1)</f>
        <v>594</v>
      </c>
      <c r="Q832">
        <f>IF(OR(calendar[[#This Row],[FR_BH]]=1,calendar[[#This Row],[WeekDay]]=1, calendar[[#This Row],[WeekDay]]=7),P831,P831+1)</f>
        <v>594</v>
      </c>
      <c r="R832">
        <f>IF(OR(calendar[[#This Row],[SP_BH]]=1,calendar[[#This Row],[WeekDay]]=1, calendar[[#This Row],[WeekDay]]=7),P831,P831+1)</f>
        <v>594</v>
      </c>
      <c r="S832">
        <f>IF(OR(calendar[[#This Row],[PT_BH]]=1,calendar[[#This Row],[WeekDay]]=1, calendar[[#This Row],[WeekDay]]=7),P831,P831+1)</f>
        <v>594</v>
      </c>
    </row>
    <row r="833" spans="1:19" x14ac:dyDescent="0.25">
      <c r="A833" s="2">
        <v>43567</v>
      </c>
      <c r="B833" s="1">
        <f t="shared" si="63"/>
        <v>15</v>
      </c>
      <c r="C833">
        <f t="shared" si="65"/>
        <v>4</v>
      </c>
      <c r="D833" t="str">
        <f t="shared" si="66"/>
        <v>April</v>
      </c>
      <c r="E833">
        <f t="shared" si="67"/>
        <v>2019</v>
      </c>
      <c r="F833" t="str">
        <f>CONCATENATE(calendar[[#This Row],[Month]],"/",calendar[[#This Row],[Year]])</f>
        <v>4/2019</v>
      </c>
      <c r="G833">
        <f>WEEKDAY(calendar[[#This Row],[Date]],1)</f>
        <v>6</v>
      </c>
      <c r="H833" t="str">
        <f>TEXT(calendar[[#This Row],[WeekDay]],"dddd")</f>
        <v>Friday</v>
      </c>
      <c r="I833">
        <f>IF((INT(calendar[[#This Row],[Count]]/7)-calendar[[#This Row],[Count]]/7)&lt;0,I832,I832+1)</f>
        <v>119</v>
      </c>
      <c r="J833">
        <f t="shared" si="64"/>
        <v>831</v>
      </c>
      <c r="K833">
        <f>IF(calendar[[#This Row],[Month]]&lt;4,1,IF(calendar[[#This Row],[Month]]&lt;7,2,IF(calendar[[#This Row],[Month]]&lt;10,3,4)))</f>
        <v>2</v>
      </c>
      <c r="L833">
        <f>IFERROR(IF(VLOOKUP(calendar[[#This Row],[Date]],BH!A:A,1,)&lt;&gt;"",1,0),0)</f>
        <v>0</v>
      </c>
      <c r="M833">
        <f>IFERROR(IF(VLOOKUP(calendar[[#This Row],[Date]],BH!C:C,1,)&lt;&gt;"",1,0),0)</f>
        <v>0</v>
      </c>
      <c r="N833">
        <f>IFERROR(IF(VLOOKUP(calendar[[#This Row],[Date]],BH!E:E,1,)&lt;&gt;"",1,0),0)</f>
        <v>0</v>
      </c>
      <c r="O833">
        <f>IFERROR(IF(VLOOKUP(calendar[[#This Row],[Date]],BH!G:G,1,)&lt;&gt;"",1,0),0)</f>
        <v>0</v>
      </c>
      <c r="P833">
        <f>IF(OR(calendar[[#This Row],[UK_BH]]=1,calendar[[#This Row],[WeekDay]]=1, calendar[[#This Row],[WeekDay]]=7),P832,P832+1)</f>
        <v>595</v>
      </c>
      <c r="Q833">
        <f>IF(OR(calendar[[#This Row],[FR_BH]]=1,calendar[[#This Row],[WeekDay]]=1, calendar[[#This Row],[WeekDay]]=7),P832,P832+1)</f>
        <v>595</v>
      </c>
      <c r="R833">
        <f>IF(OR(calendar[[#This Row],[SP_BH]]=1,calendar[[#This Row],[WeekDay]]=1, calendar[[#This Row],[WeekDay]]=7),P832,P832+1)</f>
        <v>595</v>
      </c>
      <c r="S833">
        <f>IF(OR(calendar[[#This Row],[PT_BH]]=1,calendar[[#This Row],[WeekDay]]=1, calendar[[#This Row],[WeekDay]]=7),P832,P832+1)</f>
        <v>595</v>
      </c>
    </row>
    <row r="834" spans="1:19" x14ac:dyDescent="0.25">
      <c r="A834" s="2">
        <v>43568</v>
      </c>
      <c r="B834" s="1">
        <f t="shared" ref="B834:B897" si="68">WEEKNUM(A834)</f>
        <v>15</v>
      </c>
      <c r="C834">
        <f t="shared" si="65"/>
        <v>4</v>
      </c>
      <c r="D834" t="str">
        <f t="shared" si="66"/>
        <v>April</v>
      </c>
      <c r="E834">
        <f t="shared" si="67"/>
        <v>2019</v>
      </c>
      <c r="F834" t="str">
        <f>CONCATENATE(calendar[[#This Row],[Month]],"/",calendar[[#This Row],[Year]])</f>
        <v>4/2019</v>
      </c>
      <c r="G834">
        <f>WEEKDAY(calendar[[#This Row],[Date]],1)</f>
        <v>7</v>
      </c>
      <c r="H834" t="str">
        <f>TEXT(calendar[[#This Row],[WeekDay]],"dddd")</f>
        <v>Saturday</v>
      </c>
      <c r="I834">
        <f>IF((INT(calendar[[#This Row],[Count]]/7)-calendar[[#This Row],[Count]]/7)&lt;0,I833,I833+1)</f>
        <v>119</v>
      </c>
      <c r="J834">
        <f t="shared" si="64"/>
        <v>832</v>
      </c>
      <c r="K834">
        <f>IF(calendar[[#This Row],[Month]]&lt;4,1,IF(calendar[[#This Row],[Month]]&lt;7,2,IF(calendar[[#This Row],[Month]]&lt;10,3,4)))</f>
        <v>2</v>
      </c>
      <c r="L834">
        <f>IFERROR(IF(VLOOKUP(calendar[[#This Row],[Date]],BH!A:A,1,)&lt;&gt;"",1,0),0)</f>
        <v>0</v>
      </c>
      <c r="M834">
        <f>IFERROR(IF(VLOOKUP(calendar[[#This Row],[Date]],BH!C:C,1,)&lt;&gt;"",1,0),0)</f>
        <v>0</v>
      </c>
      <c r="N834">
        <f>IFERROR(IF(VLOOKUP(calendar[[#This Row],[Date]],BH!E:E,1,)&lt;&gt;"",1,0),0)</f>
        <v>0</v>
      </c>
      <c r="O834">
        <f>IFERROR(IF(VLOOKUP(calendar[[#This Row],[Date]],BH!G:G,1,)&lt;&gt;"",1,0),0)</f>
        <v>0</v>
      </c>
      <c r="P834">
        <f>IF(OR(calendar[[#This Row],[UK_BH]]=1,calendar[[#This Row],[WeekDay]]=1, calendar[[#This Row],[WeekDay]]=7),P833,P833+1)</f>
        <v>595</v>
      </c>
      <c r="Q834">
        <f>IF(OR(calendar[[#This Row],[FR_BH]]=1,calendar[[#This Row],[WeekDay]]=1, calendar[[#This Row],[WeekDay]]=7),P833,P833+1)</f>
        <v>595</v>
      </c>
      <c r="R834">
        <f>IF(OR(calendar[[#This Row],[SP_BH]]=1,calendar[[#This Row],[WeekDay]]=1, calendar[[#This Row],[WeekDay]]=7),P833,P833+1)</f>
        <v>595</v>
      </c>
      <c r="S834">
        <f>IF(OR(calendar[[#This Row],[PT_BH]]=1,calendar[[#This Row],[WeekDay]]=1, calendar[[#This Row],[WeekDay]]=7),P833,P833+1)</f>
        <v>595</v>
      </c>
    </row>
    <row r="835" spans="1:19" x14ac:dyDescent="0.25">
      <c r="A835" s="2">
        <v>43569</v>
      </c>
      <c r="B835" s="1">
        <f t="shared" si="68"/>
        <v>16</v>
      </c>
      <c r="C835">
        <f t="shared" si="65"/>
        <v>4</v>
      </c>
      <c r="D835" t="str">
        <f t="shared" si="66"/>
        <v>April</v>
      </c>
      <c r="E835">
        <f t="shared" si="67"/>
        <v>2019</v>
      </c>
      <c r="F835" t="str">
        <f>CONCATENATE(calendar[[#This Row],[Month]],"/",calendar[[#This Row],[Year]])</f>
        <v>4/2019</v>
      </c>
      <c r="G835">
        <f>WEEKDAY(calendar[[#This Row],[Date]],1)</f>
        <v>1</v>
      </c>
      <c r="H835" t="str">
        <f>TEXT(calendar[[#This Row],[WeekDay]],"dddd")</f>
        <v>Sunday</v>
      </c>
      <c r="I835">
        <f>IF((INT(calendar[[#This Row],[Count]]/7)-calendar[[#This Row],[Count]]/7)&lt;0,I834,I834+1)</f>
        <v>120</v>
      </c>
      <c r="J835">
        <f t="shared" ref="J835:J898" si="69">J834+1</f>
        <v>833</v>
      </c>
      <c r="K835">
        <f>IF(calendar[[#This Row],[Month]]&lt;4,1,IF(calendar[[#This Row],[Month]]&lt;7,2,IF(calendar[[#This Row],[Month]]&lt;10,3,4)))</f>
        <v>2</v>
      </c>
      <c r="L835">
        <f>IFERROR(IF(VLOOKUP(calendar[[#This Row],[Date]],BH!A:A,1,)&lt;&gt;"",1,0),0)</f>
        <v>0</v>
      </c>
      <c r="M835">
        <f>IFERROR(IF(VLOOKUP(calendar[[#This Row],[Date]],BH!C:C,1,)&lt;&gt;"",1,0),0)</f>
        <v>0</v>
      </c>
      <c r="N835">
        <f>IFERROR(IF(VLOOKUP(calendar[[#This Row],[Date]],BH!E:E,1,)&lt;&gt;"",1,0),0)</f>
        <v>0</v>
      </c>
      <c r="O835">
        <f>IFERROR(IF(VLOOKUP(calendar[[#This Row],[Date]],BH!G:G,1,)&lt;&gt;"",1,0),0)</f>
        <v>0</v>
      </c>
      <c r="P835">
        <f>IF(OR(calendar[[#This Row],[UK_BH]]=1,calendar[[#This Row],[WeekDay]]=1, calendar[[#This Row],[WeekDay]]=7),P834,P834+1)</f>
        <v>595</v>
      </c>
      <c r="Q835">
        <f>IF(OR(calendar[[#This Row],[FR_BH]]=1,calendar[[#This Row],[WeekDay]]=1, calendar[[#This Row],[WeekDay]]=7),P834,P834+1)</f>
        <v>595</v>
      </c>
      <c r="R835">
        <f>IF(OR(calendar[[#This Row],[SP_BH]]=1,calendar[[#This Row],[WeekDay]]=1, calendar[[#This Row],[WeekDay]]=7),P834,P834+1)</f>
        <v>595</v>
      </c>
      <c r="S835">
        <f>IF(OR(calendar[[#This Row],[PT_BH]]=1,calendar[[#This Row],[WeekDay]]=1, calendar[[#This Row],[WeekDay]]=7),P834,P834+1)</f>
        <v>595</v>
      </c>
    </row>
    <row r="836" spans="1:19" x14ac:dyDescent="0.25">
      <c r="A836" s="2">
        <v>43570</v>
      </c>
      <c r="B836" s="1">
        <f t="shared" si="68"/>
        <v>16</v>
      </c>
      <c r="C836">
        <f t="shared" si="65"/>
        <v>4</v>
      </c>
      <c r="D836" t="str">
        <f t="shared" si="66"/>
        <v>April</v>
      </c>
      <c r="E836">
        <f t="shared" si="67"/>
        <v>2019</v>
      </c>
      <c r="F836" t="str">
        <f>CONCATENATE(calendar[[#This Row],[Month]],"/",calendar[[#This Row],[Year]])</f>
        <v>4/2019</v>
      </c>
      <c r="G836">
        <f>WEEKDAY(calendar[[#This Row],[Date]],1)</f>
        <v>2</v>
      </c>
      <c r="H836" t="str">
        <f>TEXT(calendar[[#This Row],[WeekDay]],"dddd")</f>
        <v>Monday</v>
      </c>
      <c r="I836">
        <f>IF((INT(calendar[[#This Row],[Count]]/7)-calendar[[#This Row],[Count]]/7)&lt;0,I835,I835+1)</f>
        <v>120</v>
      </c>
      <c r="J836">
        <f t="shared" si="69"/>
        <v>834</v>
      </c>
      <c r="K836">
        <f>IF(calendar[[#This Row],[Month]]&lt;4,1,IF(calendar[[#This Row],[Month]]&lt;7,2,IF(calendar[[#This Row],[Month]]&lt;10,3,4)))</f>
        <v>2</v>
      </c>
      <c r="L836">
        <f>IFERROR(IF(VLOOKUP(calendar[[#This Row],[Date]],BH!A:A,1,)&lt;&gt;"",1,0),0)</f>
        <v>0</v>
      </c>
      <c r="M836">
        <f>IFERROR(IF(VLOOKUP(calendar[[#This Row],[Date]],BH!C:C,1,)&lt;&gt;"",1,0),0)</f>
        <v>0</v>
      </c>
      <c r="N836">
        <f>IFERROR(IF(VLOOKUP(calendar[[#This Row],[Date]],BH!E:E,1,)&lt;&gt;"",1,0),0)</f>
        <v>0</v>
      </c>
      <c r="O836">
        <f>IFERROR(IF(VLOOKUP(calendar[[#This Row],[Date]],BH!G:G,1,)&lt;&gt;"",1,0),0)</f>
        <v>0</v>
      </c>
      <c r="P836">
        <f>IF(OR(calendar[[#This Row],[UK_BH]]=1,calendar[[#This Row],[WeekDay]]=1, calendar[[#This Row],[WeekDay]]=7),P835,P835+1)</f>
        <v>596</v>
      </c>
      <c r="Q836">
        <f>IF(OR(calendar[[#This Row],[FR_BH]]=1,calendar[[#This Row],[WeekDay]]=1, calendar[[#This Row],[WeekDay]]=7),P835,P835+1)</f>
        <v>596</v>
      </c>
      <c r="R836">
        <f>IF(OR(calendar[[#This Row],[SP_BH]]=1,calendar[[#This Row],[WeekDay]]=1, calendar[[#This Row],[WeekDay]]=7),P835,P835+1)</f>
        <v>596</v>
      </c>
      <c r="S836">
        <f>IF(OR(calendar[[#This Row],[PT_BH]]=1,calendar[[#This Row],[WeekDay]]=1, calendar[[#This Row],[WeekDay]]=7),P835,P835+1)</f>
        <v>596</v>
      </c>
    </row>
    <row r="837" spans="1:19" x14ac:dyDescent="0.25">
      <c r="A837" s="2">
        <v>43571</v>
      </c>
      <c r="B837" s="1">
        <f t="shared" si="68"/>
        <v>16</v>
      </c>
      <c r="C837">
        <f t="shared" si="65"/>
        <v>4</v>
      </c>
      <c r="D837" t="str">
        <f t="shared" si="66"/>
        <v>April</v>
      </c>
      <c r="E837">
        <f t="shared" si="67"/>
        <v>2019</v>
      </c>
      <c r="F837" t="str">
        <f>CONCATENATE(calendar[[#This Row],[Month]],"/",calendar[[#This Row],[Year]])</f>
        <v>4/2019</v>
      </c>
      <c r="G837">
        <f>WEEKDAY(calendar[[#This Row],[Date]],1)</f>
        <v>3</v>
      </c>
      <c r="H837" t="str">
        <f>TEXT(calendar[[#This Row],[WeekDay]],"dddd")</f>
        <v>Tuesday</v>
      </c>
      <c r="I837">
        <f>IF((INT(calendar[[#This Row],[Count]]/7)-calendar[[#This Row],[Count]]/7)&lt;0,I836,I836+1)</f>
        <v>120</v>
      </c>
      <c r="J837">
        <f t="shared" si="69"/>
        <v>835</v>
      </c>
      <c r="K837">
        <f>IF(calendar[[#This Row],[Month]]&lt;4,1,IF(calendar[[#This Row],[Month]]&lt;7,2,IF(calendar[[#This Row],[Month]]&lt;10,3,4)))</f>
        <v>2</v>
      </c>
      <c r="L837">
        <f>IFERROR(IF(VLOOKUP(calendar[[#This Row],[Date]],BH!A:A,1,)&lt;&gt;"",1,0),0)</f>
        <v>0</v>
      </c>
      <c r="M837">
        <f>IFERROR(IF(VLOOKUP(calendar[[#This Row],[Date]],BH!C:C,1,)&lt;&gt;"",1,0),0)</f>
        <v>0</v>
      </c>
      <c r="N837">
        <f>IFERROR(IF(VLOOKUP(calendar[[#This Row],[Date]],BH!E:E,1,)&lt;&gt;"",1,0),0)</f>
        <v>0</v>
      </c>
      <c r="O837">
        <f>IFERROR(IF(VLOOKUP(calendar[[#This Row],[Date]],BH!G:G,1,)&lt;&gt;"",1,0),0)</f>
        <v>0</v>
      </c>
      <c r="P837">
        <f>IF(OR(calendar[[#This Row],[UK_BH]]=1,calendar[[#This Row],[WeekDay]]=1, calendar[[#This Row],[WeekDay]]=7),P836,P836+1)</f>
        <v>597</v>
      </c>
      <c r="Q837">
        <f>IF(OR(calendar[[#This Row],[FR_BH]]=1,calendar[[#This Row],[WeekDay]]=1, calendar[[#This Row],[WeekDay]]=7),P836,P836+1)</f>
        <v>597</v>
      </c>
      <c r="R837">
        <f>IF(OR(calendar[[#This Row],[SP_BH]]=1,calendar[[#This Row],[WeekDay]]=1, calendar[[#This Row],[WeekDay]]=7),P836,P836+1)</f>
        <v>597</v>
      </c>
      <c r="S837">
        <f>IF(OR(calendar[[#This Row],[PT_BH]]=1,calendar[[#This Row],[WeekDay]]=1, calendar[[#This Row],[WeekDay]]=7),P836,P836+1)</f>
        <v>597</v>
      </c>
    </row>
    <row r="838" spans="1:19" x14ac:dyDescent="0.25">
      <c r="A838" s="2">
        <v>43572</v>
      </c>
      <c r="B838" s="1">
        <f t="shared" si="68"/>
        <v>16</v>
      </c>
      <c r="C838">
        <f t="shared" si="65"/>
        <v>4</v>
      </c>
      <c r="D838" t="str">
        <f t="shared" si="66"/>
        <v>April</v>
      </c>
      <c r="E838">
        <f t="shared" si="67"/>
        <v>2019</v>
      </c>
      <c r="F838" t="str">
        <f>CONCATENATE(calendar[[#This Row],[Month]],"/",calendar[[#This Row],[Year]])</f>
        <v>4/2019</v>
      </c>
      <c r="G838">
        <f>WEEKDAY(calendar[[#This Row],[Date]],1)</f>
        <v>4</v>
      </c>
      <c r="H838" t="str">
        <f>TEXT(calendar[[#This Row],[WeekDay]],"dddd")</f>
        <v>Wednesday</v>
      </c>
      <c r="I838">
        <f>IF((INT(calendar[[#This Row],[Count]]/7)-calendar[[#This Row],[Count]]/7)&lt;0,I837,I837+1)</f>
        <v>120</v>
      </c>
      <c r="J838">
        <f t="shared" si="69"/>
        <v>836</v>
      </c>
      <c r="K838">
        <f>IF(calendar[[#This Row],[Month]]&lt;4,1,IF(calendar[[#This Row],[Month]]&lt;7,2,IF(calendar[[#This Row],[Month]]&lt;10,3,4)))</f>
        <v>2</v>
      </c>
      <c r="L838">
        <f>IFERROR(IF(VLOOKUP(calendar[[#This Row],[Date]],BH!A:A,1,)&lt;&gt;"",1,0),0)</f>
        <v>0</v>
      </c>
      <c r="M838">
        <f>IFERROR(IF(VLOOKUP(calendar[[#This Row],[Date]],BH!C:C,1,)&lt;&gt;"",1,0),0)</f>
        <v>0</v>
      </c>
      <c r="N838">
        <f>IFERROR(IF(VLOOKUP(calendar[[#This Row],[Date]],BH!E:E,1,)&lt;&gt;"",1,0),0)</f>
        <v>0</v>
      </c>
      <c r="O838">
        <f>IFERROR(IF(VLOOKUP(calendar[[#This Row],[Date]],BH!G:G,1,)&lt;&gt;"",1,0),0)</f>
        <v>0</v>
      </c>
      <c r="P838">
        <f>IF(OR(calendar[[#This Row],[UK_BH]]=1,calendar[[#This Row],[WeekDay]]=1, calendar[[#This Row],[WeekDay]]=7),P837,P837+1)</f>
        <v>598</v>
      </c>
      <c r="Q838">
        <f>IF(OR(calendar[[#This Row],[FR_BH]]=1,calendar[[#This Row],[WeekDay]]=1, calendar[[#This Row],[WeekDay]]=7),P837,P837+1)</f>
        <v>598</v>
      </c>
      <c r="R838">
        <f>IF(OR(calendar[[#This Row],[SP_BH]]=1,calendar[[#This Row],[WeekDay]]=1, calendar[[#This Row],[WeekDay]]=7),P837,P837+1)</f>
        <v>598</v>
      </c>
      <c r="S838">
        <f>IF(OR(calendar[[#This Row],[PT_BH]]=1,calendar[[#This Row],[WeekDay]]=1, calendar[[#This Row],[WeekDay]]=7),P837,P837+1)</f>
        <v>598</v>
      </c>
    </row>
    <row r="839" spans="1:19" x14ac:dyDescent="0.25">
      <c r="A839" s="2">
        <v>43573</v>
      </c>
      <c r="B839" s="1">
        <f t="shared" si="68"/>
        <v>16</v>
      </c>
      <c r="C839">
        <f t="shared" si="65"/>
        <v>4</v>
      </c>
      <c r="D839" t="str">
        <f t="shared" si="66"/>
        <v>April</v>
      </c>
      <c r="E839">
        <f t="shared" si="67"/>
        <v>2019</v>
      </c>
      <c r="F839" t="str">
        <f>CONCATENATE(calendar[[#This Row],[Month]],"/",calendar[[#This Row],[Year]])</f>
        <v>4/2019</v>
      </c>
      <c r="G839">
        <f>WEEKDAY(calendar[[#This Row],[Date]],1)</f>
        <v>5</v>
      </c>
      <c r="H839" t="str">
        <f>TEXT(calendar[[#This Row],[WeekDay]],"dddd")</f>
        <v>Thursday</v>
      </c>
      <c r="I839">
        <f>IF((INT(calendar[[#This Row],[Count]]/7)-calendar[[#This Row],[Count]]/7)&lt;0,I838,I838+1)</f>
        <v>120</v>
      </c>
      <c r="J839">
        <f t="shared" si="69"/>
        <v>837</v>
      </c>
      <c r="K839">
        <f>IF(calendar[[#This Row],[Month]]&lt;4,1,IF(calendar[[#This Row],[Month]]&lt;7,2,IF(calendar[[#This Row],[Month]]&lt;10,3,4)))</f>
        <v>2</v>
      </c>
      <c r="L839">
        <f>IFERROR(IF(VLOOKUP(calendar[[#This Row],[Date]],BH!A:A,1,)&lt;&gt;"",1,0),0)</f>
        <v>0</v>
      </c>
      <c r="M839">
        <f>IFERROR(IF(VLOOKUP(calendar[[#This Row],[Date]],BH!C:C,1,)&lt;&gt;"",1,0),0)</f>
        <v>0</v>
      </c>
      <c r="N839">
        <f>IFERROR(IF(VLOOKUP(calendar[[#This Row],[Date]],BH!E:E,1,)&lt;&gt;"",1,0),0)</f>
        <v>0</v>
      </c>
      <c r="O839">
        <f>IFERROR(IF(VLOOKUP(calendar[[#This Row],[Date]],BH!G:G,1,)&lt;&gt;"",1,0),0)</f>
        <v>0</v>
      </c>
      <c r="P839">
        <f>IF(OR(calendar[[#This Row],[UK_BH]]=1,calendar[[#This Row],[WeekDay]]=1, calendar[[#This Row],[WeekDay]]=7),P838,P838+1)</f>
        <v>599</v>
      </c>
      <c r="Q839">
        <f>IF(OR(calendar[[#This Row],[FR_BH]]=1,calendar[[#This Row],[WeekDay]]=1, calendar[[#This Row],[WeekDay]]=7),P838,P838+1)</f>
        <v>599</v>
      </c>
      <c r="R839">
        <f>IF(OR(calendar[[#This Row],[SP_BH]]=1,calendar[[#This Row],[WeekDay]]=1, calendar[[#This Row],[WeekDay]]=7),P838,P838+1)</f>
        <v>599</v>
      </c>
      <c r="S839">
        <f>IF(OR(calendar[[#This Row],[PT_BH]]=1,calendar[[#This Row],[WeekDay]]=1, calendar[[#This Row],[WeekDay]]=7),P838,P838+1)</f>
        <v>599</v>
      </c>
    </row>
    <row r="840" spans="1:19" x14ac:dyDescent="0.25">
      <c r="A840" s="2">
        <v>43574</v>
      </c>
      <c r="B840" s="1">
        <f t="shared" si="68"/>
        <v>16</v>
      </c>
      <c r="C840">
        <f t="shared" si="65"/>
        <v>4</v>
      </c>
      <c r="D840" t="str">
        <f t="shared" si="66"/>
        <v>April</v>
      </c>
      <c r="E840">
        <f t="shared" si="67"/>
        <v>2019</v>
      </c>
      <c r="F840" t="str">
        <f>CONCATENATE(calendar[[#This Row],[Month]],"/",calendar[[#This Row],[Year]])</f>
        <v>4/2019</v>
      </c>
      <c r="G840">
        <f>WEEKDAY(calendar[[#This Row],[Date]],1)</f>
        <v>6</v>
      </c>
      <c r="H840" t="str">
        <f>TEXT(calendar[[#This Row],[WeekDay]],"dddd")</f>
        <v>Friday</v>
      </c>
      <c r="I840">
        <f>IF((INT(calendar[[#This Row],[Count]]/7)-calendar[[#This Row],[Count]]/7)&lt;0,I839,I839+1)</f>
        <v>120</v>
      </c>
      <c r="J840">
        <f t="shared" si="69"/>
        <v>838</v>
      </c>
      <c r="K840">
        <f>IF(calendar[[#This Row],[Month]]&lt;4,1,IF(calendar[[#This Row],[Month]]&lt;7,2,IF(calendar[[#This Row],[Month]]&lt;10,3,4)))</f>
        <v>2</v>
      </c>
      <c r="L840">
        <f>IFERROR(IF(VLOOKUP(calendar[[#This Row],[Date]],BH!A:A,1,)&lt;&gt;"",1,0),0)</f>
        <v>0</v>
      </c>
      <c r="M840">
        <f>IFERROR(IF(VLOOKUP(calendar[[#This Row],[Date]],BH!C:C,1,)&lt;&gt;"",1,0),0)</f>
        <v>0</v>
      </c>
      <c r="N840">
        <f>IFERROR(IF(VLOOKUP(calendar[[#This Row],[Date]],BH!E:E,1,)&lt;&gt;"",1,0),0)</f>
        <v>0</v>
      </c>
      <c r="O840">
        <f>IFERROR(IF(VLOOKUP(calendar[[#This Row],[Date]],BH!G:G,1,)&lt;&gt;"",1,0),0)</f>
        <v>0</v>
      </c>
      <c r="P840">
        <f>IF(OR(calendar[[#This Row],[UK_BH]]=1,calendar[[#This Row],[WeekDay]]=1, calendar[[#This Row],[WeekDay]]=7),P839,P839+1)</f>
        <v>600</v>
      </c>
      <c r="Q840">
        <f>IF(OR(calendar[[#This Row],[FR_BH]]=1,calendar[[#This Row],[WeekDay]]=1, calendar[[#This Row],[WeekDay]]=7),P839,P839+1)</f>
        <v>600</v>
      </c>
      <c r="R840">
        <f>IF(OR(calendar[[#This Row],[SP_BH]]=1,calendar[[#This Row],[WeekDay]]=1, calendar[[#This Row],[WeekDay]]=7),P839,P839+1)</f>
        <v>600</v>
      </c>
      <c r="S840">
        <f>IF(OR(calendar[[#This Row],[PT_BH]]=1,calendar[[#This Row],[WeekDay]]=1, calendar[[#This Row],[WeekDay]]=7),P839,P839+1)</f>
        <v>600</v>
      </c>
    </row>
    <row r="841" spans="1:19" x14ac:dyDescent="0.25">
      <c r="A841" s="2">
        <v>43575</v>
      </c>
      <c r="B841" s="1">
        <f t="shared" si="68"/>
        <v>16</v>
      </c>
      <c r="C841">
        <f t="shared" si="65"/>
        <v>4</v>
      </c>
      <c r="D841" t="str">
        <f t="shared" si="66"/>
        <v>April</v>
      </c>
      <c r="E841">
        <f t="shared" si="67"/>
        <v>2019</v>
      </c>
      <c r="F841" t="str">
        <f>CONCATENATE(calendar[[#This Row],[Month]],"/",calendar[[#This Row],[Year]])</f>
        <v>4/2019</v>
      </c>
      <c r="G841">
        <f>WEEKDAY(calendar[[#This Row],[Date]],1)</f>
        <v>7</v>
      </c>
      <c r="H841" t="str">
        <f>TEXT(calendar[[#This Row],[WeekDay]],"dddd")</f>
        <v>Saturday</v>
      </c>
      <c r="I841">
        <f>IF((INT(calendar[[#This Row],[Count]]/7)-calendar[[#This Row],[Count]]/7)&lt;0,I840,I840+1)</f>
        <v>120</v>
      </c>
      <c r="J841">
        <f t="shared" si="69"/>
        <v>839</v>
      </c>
      <c r="K841">
        <f>IF(calendar[[#This Row],[Month]]&lt;4,1,IF(calendar[[#This Row],[Month]]&lt;7,2,IF(calendar[[#This Row],[Month]]&lt;10,3,4)))</f>
        <v>2</v>
      </c>
      <c r="L841">
        <f>IFERROR(IF(VLOOKUP(calendar[[#This Row],[Date]],BH!A:A,1,)&lt;&gt;"",1,0),0)</f>
        <v>0</v>
      </c>
      <c r="M841">
        <f>IFERROR(IF(VLOOKUP(calendar[[#This Row],[Date]],BH!C:C,1,)&lt;&gt;"",1,0),0)</f>
        <v>0</v>
      </c>
      <c r="N841">
        <f>IFERROR(IF(VLOOKUP(calendar[[#This Row],[Date]],BH!E:E,1,)&lt;&gt;"",1,0),0)</f>
        <v>0</v>
      </c>
      <c r="O841">
        <f>IFERROR(IF(VLOOKUP(calendar[[#This Row],[Date]],BH!G:G,1,)&lt;&gt;"",1,0),0)</f>
        <v>0</v>
      </c>
      <c r="P841">
        <f>IF(OR(calendar[[#This Row],[UK_BH]]=1,calendar[[#This Row],[WeekDay]]=1, calendar[[#This Row],[WeekDay]]=7),P840,P840+1)</f>
        <v>600</v>
      </c>
      <c r="Q841">
        <f>IF(OR(calendar[[#This Row],[FR_BH]]=1,calendar[[#This Row],[WeekDay]]=1, calendar[[#This Row],[WeekDay]]=7),P840,P840+1)</f>
        <v>600</v>
      </c>
      <c r="R841">
        <f>IF(OR(calendar[[#This Row],[SP_BH]]=1,calendar[[#This Row],[WeekDay]]=1, calendar[[#This Row],[WeekDay]]=7),P840,P840+1)</f>
        <v>600</v>
      </c>
      <c r="S841">
        <f>IF(OR(calendar[[#This Row],[PT_BH]]=1,calendar[[#This Row],[WeekDay]]=1, calendar[[#This Row],[WeekDay]]=7),P840,P840+1)</f>
        <v>600</v>
      </c>
    </row>
    <row r="842" spans="1:19" x14ac:dyDescent="0.25">
      <c r="A842" s="2">
        <v>43576</v>
      </c>
      <c r="B842" s="1">
        <f t="shared" si="68"/>
        <v>17</v>
      </c>
      <c r="C842">
        <f t="shared" si="65"/>
        <v>4</v>
      </c>
      <c r="D842" t="str">
        <f t="shared" si="66"/>
        <v>April</v>
      </c>
      <c r="E842">
        <f t="shared" si="67"/>
        <v>2019</v>
      </c>
      <c r="F842" t="str">
        <f>CONCATENATE(calendar[[#This Row],[Month]],"/",calendar[[#This Row],[Year]])</f>
        <v>4/2019</v>
      </c>
      <c r="G842">
        <f>WEEKDAY(calendar[[#This Row],[Date]],1)</f>
        <v>1</v>
      </c>
      <c r="H842" t="str">
        <f>TEXT(calendar[[#This Row],[WeekDay]],"dddd")</f>
        <v>Sunday</v>
      </c>
      <c r="I842">
        <f>IF((INT(calendar[[#This Row],[Count]]/7)-calendar[[#This Row],[Count]]/7)&lt;0,I841,I841+1)</f>
        <v>121</v>
      </c>
      <c r="J842">
        <f t="shared" si="69"/>
        <v>840</v>
      </c>
      <c r="K842">
        <f>IF(calendar[[#This Row],[Month]]&lt;4,1,IF(calendar[[#This Row],[Month]]&lt;7,2,IF(calendar[[#This Row],[Month]]&lt;10,3,4)))</f>
        <v>2</v>
      </c>
      <c r="L842">
        <f>IFERROR(IF(VLOOKUP(calendar[[#This Row],[Date]],BH!A:A,1,)&lt;&gt;"",1,0),0)</f>
        <v>0</v>
      </c>
      <c r="M842">
        <f>IFERROR(IF(VLOOKUP(calendar[[#This Row],[Date]],BH!C:C,1,)&lt;&gt;"",1,0),0)</f>
        <v>0</v>
      </c>
      <c r="N842">
        <f>IFERROR(IF(VLOOKUP(calendar[[#This Row],[Date]],BH!E:E,1,)&lt;&gt;"",1,0),0)</f>
        <v>0</v>
      </c>
      <c r="O842">
        <f>IFERROR(IF(VLOOKUP(calendar[[#This Row],[Date]],BH!G:G,1,)&lt;&gt;"",1,0),0)</f>
        <v>0</v>
      </c>
      <c r="P842">
        <f>IF(OR(calendar[[#This Row],[UK_BH]]=1,calendar[[#This Row],[WeekDay]]=1, calendar[[#This Row],[WeekDay]]=7),P841,P841+1)</f>
        <v>600</v>
      </c>
      <c r="Q842">
        <f>IF(OR(calendar[[#This Row],[FR_BH]]=1,calendar[[#This Row],[WeekDay]]=1, calendar[[#This Row],[WeekDay]]=7),P841,P841+1)</f>
        <v>600</v>
      </c>
      <c r="R842">
        <f>IF(OR(calendar[[#This Row],[SP_BH]]=1,calendar[[#This Row],[WeekDay]]=1, calendar[[#This Row],[WeekDay]]=7),P841,P841+1)</f>
        <v>600</v>
      </c>
      <c r="S842">
        <f>IF(OR(calendar[[#This Row],[PT_BH]]=1,calendar[[#This Row],[WeekDay]]=1, calendar[[#This Row],[WeekDay]]=7),P841,P841+1)</f>
        <v>600</v>
      </c>
    </row>
    <row r="843" spans="1:19" x14ac:dyDescent="0.25">
      <c r="A843" s="2">
        <v>43577</v>
      </c>
      <c r="B843" s="1">
        <f t="shared" si="68"/>
        <v>17</v>
      </c>
      <c r="C843">
        <f t="shared" si="65"/>
        <v>4</v>
      </c>
      <c r="D843" t="str">
        <f t="shared" si="66"/>
        <v>April</v>
      </c>
      <c r="E843">
        <f t="shared" si="67"/>
        <v>2019</v>
      </c>
      <c r="F843" t="str">
        <f>CONCATENATE(calendar[[#This Row],[Month]],"/",calendar[[#This Row],[Year]])</f>
        <v>4/2019</v>
      </c>
      <c r="G843">
        <f>WEEKDAY(calendar[[#This Row],[Date]],1)</f>
        <v>2</v>
      </c>
      <c r="H843" t="str">
        <f>TEXT(calendar[[#This Row],[WeekDay]],"dddd")</f>
        <v>Monday</v>
      </c>
      <c r="I843">
        <f>IF((INT(calendar[[#This Row],[Count]]/7)-calendar[[#This Row],[Count]]/7)&lt;0,I842,I842+1)</f>
        <v>121</v>
      </c>
      <c r="J843">
        <f t="shared" si="69"/>
        <v>841</v>
      </c>
      <c r="K843">
        <f>IF(calendar[[#This Row],[Month]]&lt;4,1,IF(calendar[[#This Row],[Month]]&lt;7,2,IF(calendar[[#This Row],[Month]]&lt;10,3,4)))</f>
        <v>2</v>
      </c>
      <c r="L843">
        <f>IFERROR(IF(VLOOKUP(calendar[[#This Row],[Date]],BH!A:A,1,)&lt;&gt;"",1,0),0)</f>
        <v>0</v>
      </c>
      <c r="M843">
        <f>IFERROR(IF(VLOOKUP(calendar[[#This Row],[Date]],BH!C:C,1,)&lt;&gt;"",1,0),0)</f>
        <v>0</v>
      </c>
      <c r="N843">
        <f>IFERROR(IF(VLOOKUP(calendar[[#This Row],[Date]],BH!E:E,1,)&lt;&gt;"",1,0),0)</f>
        <v>0</v>
      </c>
      <c r="O843">
        <f>IFERROR(IF(VLOOKUP(calendar[[#This Row],[Date]],BH!G:G,1,)&lt;&gt;"",1,0),0)</f>
        <v>0</v>
      </c>
      <c r="P843">
        <f>IF(OR(calendar[[#This Row],[UK_BH]]=1,calendar[[#This Row],[WeekDay]]=1, calendar[[#This Row],[WeekDay]]=7),P842,P842+1)</f>
        <v>601</v>
      </c>
      <c r="Q843">
        <f>IF(OR(calendar[[#This Row],[FR_BH]]=1,calendar[[#This Row],[WeekDay]]=1, calendar[[#This Row],[WeekDay]]=7),P842,P842+1)</f>
        <v>601</v>
      </c>
      <c r="R843">
        <f>IF(OR(calendar[[#This Row],[SP_BH]]=1,calendar[[#This Row],[WeekDay]]=1, calendar[[#This Row],[WeekDay]]=7),P842,P842+1)</f>
        <v>601</v>
      </c>
      <c r="S843">
        <f>IF(OR(calendar[[#This Row],[PT_BH]]=1,calendar[[#This Row],[WeekDay]]=1, calendar[[#This Row],[WeekDay]]=7),P842,P842+1)</f>
        <v>601</v>
      </c>
    </row>
    <row r="844" spans="1:19" x14ac:dyDescent="0.25">
      <c r="A844" s="2">
        <v>43578</v>
      </c>
      <c r="B844" s="1">
        <f t="shared" si="68"/>
        <v>17</v>
      </c>
      <c r="C844">
        <f t="shared" si="65"/>
        <v>4</v>
      </c>
      <c r="D844" t="str">
        <f t="shared" si="66"/>
        <v>April</v>
      </c>
      <c r="E844">
        <f t="shared" si="67"/>
        <v>2019</v>
      </c>
      <c r="F844" t="str">
        <f>CONCATENATE(calendar[[#This Row],[Month]],"/",calendar[[#This Row],[Year]])</f>
        <v>4/2019</v>
      </c>
      <c r="G844">
        <f>WEEKDAY(calendar[[#This Row],[Date]],1)</f>
        <v>3</v>
      </c>
      <c r="H844" t="str">
        <f>TEXT(calendar[[#This Row],[WeekDay]],"dddd")</f>
        <v>Tuesday</v>
      </c>
      <c r="I844">
        <f>IF((INT(calendar[[#This Row],[Count]]/7)-calendar[[#This Row],[Count]]/7)&lt;0,I843,I843+1)</f>
        <v>121</v>
      </c>
      <c r="J844">
        <f t="shared" si="69"/>
        <v>842</v>
      </c>
      <c r="K844">
        <f>IF(calendar[[#This Row],[Month]]&lt;4,1,IF(calendar[[#This Row],[Month]]&lt;7,2,IF(calendar[[#This Row],[Month]]&lt;10,3,4)))</f>
        <v>2</v>
      </c>
      <c r="L844">
        <f>IFERROR(IF(VLOOKUP(calendar[[#This Row],[Date]],BH!A:A,1,)&lt;&gt;"",1,0),0)</f>
        <v>0</v>
      </c>
      <c r="M844">
        <f>IFERROR(IF(VLOOKUP(calendar[[#This Row],[Date]],BH!C:C,1,)&lt;&gt;"",1,0),0)</f>
        <v>0</v>
      </c>
      <c r="N844">
        <f>IFERROR(IF(VLOOKUP(calendar[[#This Row],[Date]],BH!E:E,1,)&lt;&gt;"",1,0),0)</f>
        <v>0</v>
      </c>
      <c r="O844">
        <f>IFERROR(IF(VLOOKUP(calendar[[#This Row],[Date]],BH!G:G,1,)&lt;&gt;"",1,0),0)</f>
        <v>0</v>
      </c>
      <c r="P844">
        <f>IF(OR(calendar[[#This Row],[UK_BH]]=1,calendar[[#This Row],[WeekDay]]=1, calendar[[#This Row],[WeekDay]]=7),P843,P843+1)</f>
        <v>602</v>
      </c>
      <c r="Q844">
        <f>IF(OR(calendar[[#This Row],[FR_BH]]=1,calendar[[#This Row],[WeekDay]]=1, calendar[[#This Row],[WeekDay]]=7),P843,P843+1)</f>
        <v>602</v>
      </c>
      <c r="R844">
        <f>IF(OR(calendar[[#This Row],[SP_BH]]=1,calendar[[#This Row],[WeekDay]]=1, calendar[[#This Row],[WeekDay]]=7),P843,P843+1)</f>
        <v>602</v>
      </c>
      <c r="S844">
        <f>IF(OR(calendar[[#This Row],[PT_BH]]=1,calendar[[#This Row],[WeekDay]]=1, calendar[[#This Row],[WeekDay]]=7),P843,P843+1)</f>
        <v>602</v>
      </c>
    </row>
    <row r="845" spans="1:19" x14ac:dyDescent="0.25">
      <c r="A845" s="2">
        <v>43579</v>
      </c>
      <c r="B845" s="1">
        <f t="shared" si="68"/>
        <v>17</v>
      </c>
      <c r="C845">
        <f t="shared" si="65"/>
        <v>4</v>
      </c>
      <c r="D845" t="str">
        <f t="shared" si="66"/>
        <v>April</v>
      </c>
      <c r="E845">
        <f t="shared" si="67"/>
        <v>2019</v>
      </c>
      <c r="F845" t="str">
        <f>CONCATENATE(calendar[[#This Row],[Month]],"/",calendar[[#This Row],[Year]])</f>
        <v>4/2019</v>
      </c>
      <c r="G845">
        <f>WEEKDAY(calendar[[#This Row],[Date]],1)</f>
        <v>4</v>
      </c>
      <c r="H845" t="str">
        <f>TEXT(calendar[[#This Row],[WeekDay]],"dddd")</f>
        <v>Wednesday</v>
      </c>
      <c r="I845">
        <f>IF((INT(calendar[[#This Row],[Count]]/7)-calendar[[#This Row],[Count]]/7)&lt;0,I844,I844+1)</f>
        <v>121</v>
      </c>
      <c r="J845">
        <f t="shared" si="69"/>
        <v>843</v>
      </c>
      <c r="K845">
        <f>IF(calendar[[#This Row],[Month]]&lt;4,1,IF(calendar[[#This Row],[Month]]&lt;7,2,IF(calendar[[#This Row],[Month]]&lt;10,3,4)))</f>
        <v>2</v>
      </c>
      <c r="L845">
        <f>IFERROR(IF(VLOOKUP(calendar[[#This Row],[Date]],BH!A:A,1,)&lt;&gt;"",1,0),0)</f>
        <v>0</v>
      </c>
      <c r="M845">
        <f>IFERROR(IF(VLOOKUP(calendar[[#This Row],[Date]],BH!C:C,1,)&lt;&gt;"",1,0),0)</f>
        <v>0</v>
      </c>
      <c r="N845">
        <f>IFERROR(IF(VLOOKUP(calendar[[#This Row],[Date]],BH!E:E,1,)&lt;&gt;"",1,0),0)</f>
        <v>0</v>
      </c>
      <c r="O845">
        <f>IFERROR(IF(VLOOKUP(calendar[[#This Row],[Date]],BH!G:G,1,)&lt;&gt;"",1,0),0)</f>
        <v>0</v>
      </c>
      <c r="P845">
        <f>IF(OR(calendar[[#This Row],[UK_BH]]=1,calendar[[#This Row],[WeekDay]]=1, calendar[[#This Row],[WeekDay]]=7),P844,P844+1)</f>
        <v>603</v>
      </c>
      <c r="Q845">
        <f>IF(OR(calendar[[#This Row],[FR_BH]]=1,calendar[[#This Row],[WeekDay]]=1, calendar[[#This Row],[WeekDay]]=7),P844,P844+1)</f>
        <v>603</v>
      </c>
      <c r="R845">
        <f>IF(OR(calendar[[#This Row],[SP_BH]]=1,calendar[[#This Row],[WeekDay]]=1, calendar[[#This Row],[WeekDay]]=7),P844,P844+1)</f>
        <v>603</v>
      </c>
      <c r="S845">
        <f>IF(OR(calendar[[#This Row],[PT_BH]]=1,calendar[[#This Row],[WeekDay]]=1, calendar[[#This Row],[WeekDay]]=7),P844,P844+1)</f>
        <v>603</v>
      </c>
    </row>
    <row r="846" spans="1:19" x14ac:dyDescent="0.25">
      <c r="A846" s="2">
        <v>43580</v>
      </c>
      <c r="B846" s="1">
        <f t="shared" si="68"/>
        <v>17</v>
      </c>
      <c r="C846">
        <f t="shared" si="65"/>
        <v>4</v>
      </c>
      <c r="D846" t="str">
        <f t="shared" si="66"/>
        <v>April</v>
      </c>
      <c r="E846">
        <f t="shared" si="67"/>
        <v>2019</v>
      </c>
      <c r="F846" t="str">
        <f>CONCATENATE(calendar[[#This Row],[Month]],"/",calendar[[#This Row],[Year]])</f>
        <v>4/2019</v>
      </c>
      <c r="G846">
        <f>WEEKDAY(calendar[[#This Row],[Date]],1)</f>
        <v>5</v>
      </c>
      <c r="H846" t="str">
        <f>TEXT(calendar[[#This Row],[WeekDay]],"dddd")</f>
        <v>Thursday</v>
      </c>
      <c r="I846">
        <f>IF((INT(calendar[[#This Row],[Count]]/7)-calendar[[#This Row],[Count]]/7)&lt;0,I845,I845+1)</f>
        <v>121</v>
      </c>
      <c r="J846">
        <f t="shared" si="69"/>
        <v>844</v>
      </c>
      <c r="K846">
        <f>IF(calendar[[#This Row],[Month]]&lt;4,1,IF(calendar[[#This Row],[Month]]&lt;7,2,IF(calendar[[#This Row],[Month]]&lt;10,3,4)))</f>
        <v>2</v>
      </c>
      <c r="L846">
        <f>IFERROR(IF(VLOOKUP(calendar[[#This Row],[Date]],BH!A:A,1,)&lt;&gt;"",1,0),0)</f>
        <v>0</v>
      </c>
      <c r="M846">
        <f>IFERROR(IF(VLOOKUP(calendar[[#This Row],[Date]],BH!C:C,1,)&lt;&gt;"",1,0),0)</f>
        <v>0</v>
      </c>
      <c r="N846">
        <f>IFERROR(IF(VLOOKUP(calendar[[#This Row],[Date]],BH!E:E,1,)&lt;&gt;"",1,0),0)</f>
        <v>0</v>
      </c>
      <c r="O846">
        <f>IFERROR(IF(VLOOKUP(calendar[[#This Row],[Date]],BH!G:G,1,)&lt;&gt;"",1,0),0)</f>
        <v>0</v>
      </c>
      <c r="P846">
        <f>IF(OR(calendar[[#This Row],[UK_BH]]=1,calendar[[#This Row],[WeekDay]]=1, calendar[[#This Row],[WeekDay]]=7),P845,P845+1)</f>
        <v>604</v>
      </c>
      <c r="Q846">
        <f>IF(OR(calendar[[#This Row],[FR_BH]]=1,calendar[[#This Row],[WeekDay]]=1, calendar[[#This Row],[WeekDay]]=7),P845,P845+1)</f>
        <v>604</v>
      </c>
      <c r="R846">
        <f>IF(OR(calendar[[#This Row],[SP_BH]]=1,calendar[[#This Row],[WeekDay]]=1, calendar[[#This Row],[WeekDay]]=7),P845,P845+1)</f>
        <v>604</v>
      </c>
      <c r="S846">
        <f>IF(OR(calendar[[#This Row],[PT_BH]]=1,calendar[[#This Row],[WeekDay]]=1, calendar[[#This Row],[WeekDay]]=7),P845,P845+1)</f>
        <v>604</v>
      </c>
    </row>
    <row r="847" spans="1:19" x14ac:dyDescent="0.25">
      <c r="A847" s="2">
        <v>43581</v>
      </c>
      <c r="B847" s="1">
        <f t="shared" si="68"/>
        <v>17</v>
      </c>
      <c r="C847">
        <f t="shared" si="65"/>
        <v>4</v>
      </c>
      <c r="D847" t="str">
        <f t="shared" si="66"/>
        <v>April</v>
      </c>
      <c r="E847">
        <f t="shared" si="67"/>
        <v>2019</v>
      </c>
      <c r="F847" t="str">
        <f>CONCATENATE(calendar[[#This Row],[Month]],"/",calendar[[#This Row],[Year]])</f>
        <v>4/2019</v>
      </c>
      <c r="G847">
        <f>WEEKDAY(calendar[[#This Row],[Date]],1)</f>
        <v>6</v>
      </c>
      <c r="H847" t="str">
        <f>TEXT(calendar[[#This Row],[WeekDay]],"dddd")</f>
        <v>Friday</v>
      </c>
      <c r="I847">
        <f>IF((INT(calendar[[#This Row],[Count]]/7)-calendar[[#This Row],[Count]]/7)&lt;0,I846,I846+1)</f>
        <v>121</v>
      </c>
      <c r="J847">
        <f t="shared" si="69"/>
        <v>845</v>
      </c>
      <c r="K847">
        <f>IF(calendar[[#This Row],[Month]]&lt;4,1,IF(calendar[[#This Row],[Month]]&lt;7,2,IF(calendar[[#This Row],[Month]]&lt;10,3,4)))</f>
        <v>2</v>
      </c>
      <c r="L847">
        <f>IFERROR(IF(VLOOKUP(calendar[[#This Row],[Date]],BH!A:A,1,)&lt;&gt;"",1,0),0)</f>
        <v>0</v>
      </c>
      <c r="M847">
        <f>IFERROR(IF(VLOOKUP(calendar[[#This Row],[Date]],BH!C:C,1,)&lt;&gt;"",1,0),0)</f>
        <v>0</v>
      </c>
      <c r="N847">
        <f>IFERROR(IF(VLOOKUP(calendar[[#This Row],[Date]],BH!E:E,1,)&lt;&gt;"",1,0),0)</f>
        <v>0</v>
      </c>
      <c r="O847">
        <f>IFERROR(IF(VLOOKUP(calendar[[#This Row],[Date]],BH!G:G,1,)&lt;&gt;"",1,0),0)</f>
        <v>0</v>
      </c>
      <c r="P847">
        <f>IF(OR(calendar[[#This Row],[UK_BH]]=1,calendar[[#This Row],[WeekDay]]=1, calendar[[#This Row],[WeekDay]]=7),P846,P846+1)</f>
        <v>605</v>
      </c>
      <c r="Q847">
        <f>IF(OR(calendar[[#This Row],[FR_BH]]=1,calendar[[#This Row],[WeekDay]]=1, calendar[[#This Row],[WeekDay]]=7),P846,P846+1)</f>
        <v>605</v>
      </c>
      <c r="R847">
        <f>IF(OR(calendar[[#This Row],[SP_BH]]=1,calendar[[#This Row],[WeekDay]]=1, calendar[[#This Row],[WeekDay]]=7),P846,P846+1)</f>
        <v>605</v>
      </c>
      <c r="S847">
        <f>IF(OR(calendar[[#This Row],[PT_BH]]=1,calendar[[#This Row],[WeekDay]]=1, calendar[[#This Row],[WeekDay]]=7),P846,P846+1)</f>
        <v>605</v>
      </c>
    </row>
    <row r="848" spans="1:19" x14ac:dyDescent="0.25">
      <c r="A848" s="2">
        <v>43582</v>
      </c>
      <c r="B848" s="1">
        <f t="shared" si="68"/>
        <v>17</v>
      </c>
      <c r="C848">
        <f t="shared" ref="C848:C911" si="70">MONTH(A848)</f>
        <v>4</v>
      </c>
      <c r="D848" t="str">
        <f t="shared" ref="D848:D911" si="71">TEXT(A848,"mmmm")</f>
        <v>April</v>
      </c>
      <c r="E848">
        <f t="shared" ref="E848:E911" si="72">YEAR(A848)</f>
        <v>2019</v>
      </c>
      <c r="F848" t="str">
        <f>CONCATENATE(calendar[[#This Row],[Month]],"/",calendar[[#This Row],[Year]])</f>
        <v>4/2019</v>
      </c>
      <c r="G848">
        <f>WEEKDAY(calendar[[#This Row],[Date]],1)</f>
        <v>7</v>
      </c>
      <c r="H848" t="str">
        <f>TEXT(calendar[[#This Row],[WeekDay]],"dddd")</f>
        <v>Saturday</v>
      </c>
      <c r="I848">
        <f>IF((INT(calendar[[#This Row],[Count]]/7)-calendar[[#This Row],[Count]]/7)&lt;0,I847,I847+1)</f>
        <v>121</v>
      </c>
      <c r="J848">
        <f t="shared" si="69"/>
        <v>846</v>
      </c>
      <c r="K848">
        <f>IF(calendar[[#This Row],[Month]]&lt;4,1,IF(calendar[[#This Row],[Month]]&lt;7,2,IF(calendar[[#This Row],[Month]]&lt;10,3,4)))</f>
        <v>2</v>
      </c>
      <c r="L848">
        <f>IFERROR(IF(VLOOKUP(calendar[[#This Row],[Date]],BH!A:A,1,)&lt;&gt;"",1,0),0)</f>
        <v>0</v>
      </c>
      <c r="M848">
        <f>IFERROR(IF(VLOOKUP(calendar[[#This Row],[Date]],BH!C:C,1,)&lt;&gt;"",1,0),0)</f>
        <v>0</v>
      </c>
      <c r="N848">
        <f>IFERROR(IF(VLOOKUP(calendar[[#This Row],[Date]],BH!E:E,1,)&lt;&gt;"",1,0),0)</f>
        <v>0</v>
      </c>
      <c r="O848">
        <f>IFERROR(IF(VLOOKUP(calendar[[#This Row],[Date]],BH!G:G,1,)&lt;&gt;"",1,0),0)</f>
        <v>0</v>
      </c>
      <c r="P848">
        <f>IF(OR(calendar[[#This Row],[UK_BH]]=1,calendar[[#This Row],[WeekDay]]=1, calendar[[#This Row],[WeekDay]]=7),P847,P847+1)</f>
        <v>605</v>
      </c>
      <c r="Q848">
        <f>IF(OR(calendar[[#This Row],[FR_BH]]=1,calendar[[#This Row],[WeekDay]]=1, calendar[[#This Row],[WeekDay]]=7),P847,P847+1)</f>
        <v>605</v>
      </c>
      <c r="R848">
        <f>IF(OR(calendar[[#This Row],[SP_BH]]=1,calendar[[#This Row],[WeekDay]]=1, calendar[[#This Row],[WeekDay]]=7),P847,P847+1)</f>
        <v>605</v>
      </c>
      <c r="S848">
        <f>IF(OR(calendar[[#This Row],[PT_BH]]=1,calendar[[#This Row],[WeekDay]]=1, calendar[[#This Row],[WeekDay]]=7),P847,P847+1)</f>
        <v>605</v>
      </c>
    </row>
    <row r="849" spans="1:19" x14ac:dyDescent="0.25">
      <c r="A849" s="2">
        <v>43583</v>
      </c>
      <c r="B849" s="1">
        <f t="shared" si="68"/>
        <v>18</v>
      </c>
      <c r="C849">
        <f t="shared" si="70"/>
        <v>4</v>
      </c>
      <c r="D849" t="str">
        <f t="shared" si="71"/>
        <v>April</v>
      </c>
      <c r="E849">
        <f t="shared" si="72"/>
        <v>2019</v>
      </c>
      <c r="F849" t="str">
        <f>CONCATENATE(calendar[[#This Row],[Month]],"/",calendar[[#This Row],[Year]])</f>
        <v>4/2019</v>
      </c>
      <c r="G849">
        <f>WEEKDAY(calendar[[#This Row],[Date]],1)</f>
        <v>1</v>
      </c>
      <c r="H849" t="str">
        <f>TEXT(calendar[[#This Row],[WeekDay]],"dddd")</f>
        <v>Sunday</v>
      </c>
      <c r="I849">
        <f>IF((INT(calendar[[#This Row],[Count]]/7)-calendar[[#This Row],[Count]]/7)&lt;0,I848,I848+1)</f>
        <v>122</v>
      </c>
      <c r="J849">
        <f t="shared" si="69"/>
        <v>847</v>
      </c>
      <c r="K849">
        <f>IF(calendar[[#This Row],[Month]]&lt;4,1,IF(calendar[[#This Row],[Month]]&lt;7,2,IF(calendar[[#This Row],[Month]]&lt;10,3,4)))</f>
        <v>2</v>
      </c>
      <c r="L849">
        <f>IFERROR(IF(VLOOKUP(calendar[[#This Row],[Date]],BH!A:A,1,)&lt;&gt;"",1,0),0)</f>
        <v>0</v>
      </c>
      <c r="M849">
        <f>IFERROR(IF(VLOOKUP(calendar[[#This Row],[Date]],BH!C:C,1,)&lt;&gt;"",1,0),0)</f>
        <v>0</v>
      </c>
      <c r="N849">
        <f>IFERROR(IF(VLOOKUP(calendar[[#This Row],[Date]],BH!E:E,1,)&lt;&gt;"",1,0),0)</f>
        <v>0</v>
      </c>
      <c r="O849">
        <f>IFERROR(IF(VLOOKUP(calendar[[#This Row],[Date]],BH!G:G,1,)&lt;&gt;"",1,0),0)</f>
        <v>0</v>
      </c>
      <c r="P849">
        <f>IF(OR(calendar[[#This Row],[UK_BH]]=1,calendar[[#This Row],[WeekDay]]=1, calendar[[#This Row],[WeekDay]]=7),P848,P848+1)</f>
        <v>605</v>
      </c>
      <c r="Q849">
        <f>IF(OR(calendar[[#This Row],[FR_BH]]=1,calendar[[#This Row],[WeekDay]]=1, calendar[[#This Row],[WeekDay]]=7),P848,P848+1)</f>
        <v>605</v>
      </c>
      <c r="R849">
        <f>IF(OR(calendar[[#This Row],[SP_BH]]=1,calendar[[#This Row],[WeekDay]]=1, calendar[[#This Row],[WeekDay]]=7),P848,P848+1)</f>
        <v>605</v>
      </c>
      <c r="S849">
        <f>IF(OR(calendar[[#This Row],[PT_BH]]=1,calendar[[#This Row],[WeekDay]]=1, calendar[[#This Row],[WeekDay]]=7),P848,P848+1)</f>
        <v>605</v>
      </c>
    </row>
    <row r="850" spans="1:19" x14ac:dyDescent="0.25">
      <c r="A850" s="2">
        <v>43584</v>
      </c>
      <c r="B850" s="1">
        <f t="shared" si="68"/>
        <v>18</v>
      </c>
      <c r="C850">
        <f t="shared" si="70"/>
        <v>4</v>
      </c>
      <c r="D850" t="str">
        <f t="shared" si="71"/>
        <v>April</v>
      </c>
      <c r="E850">
        <f t="shared" si="72"/>
        <v>2019</v>
      </c>
      <c r="F850" t="str">
        <f>CONCATENATE(calendar[[#This Row],[Month]],"/",calendar[[#This Row],[Year]])</f>
        <v>4/2019</v>
      </c>
      <c r="G850">
        <f>WEEKDAY(calendar[[#This Row],[Date]],1)</f>
        <v>2</v>
      </c>
      <c r="H850" t="str">
        <f>TEXT(calendar[[#This Row],[WeekDay]],"dddd")</f>
        <v>Monday</v>
      </c>
      <c r="I850">
        <f>IF((INT(calendar[[#This Row],[Count]]/7)-calendar[[#This Row],[Count]]/7)&lt;0,I849,I849+1)</f>
        <v>122</v>
      </c>
      <c r="J850">
        <f t="shared" si="69"/>
        <v>848</v>
      </c>
      <c r="K850">
        <f>IF(calendar[[#This Row],[Month]]&lt;4,1,IF(calendar[[#This Row],[Month]]&lt;7,2,IF(calendar[[#This Row],[Month]]&lt;10,3,4)))</f>
        <v>2</v>
      </c>
      <c r="L850">
        <f>IFERROR(IF(VLOOKUP(calendar[[#This Row],[Date]],BH!A:A,1,)&lt;&gt;"",1,0),0)</f>
        <v>0</v>
      </c>
      <c r="M850">
        <f>IFERROR(IF(VLOOKUP(calendar[[#This Row],[Date]],BH!C:C,1,)&lt;&gt;"",1,0),0)</f>
        <v>0</v>
      </c>
      <c r="N850">
        <f>IFERROR(IF(VLOOKUP(calendar[[#This Row],[Date]],BH!E:E,1,)&lt;&gt;"",1,0),0)</f>
        <v>0</v>
      </c>
      <c r="O850">
        <f>IFERROR(IF(VLOOKUP(calendar[[#This Row],[Date]],BH!G:G,1,)&lt;&gt;"",1,0),0)</f>
        <v>0</v>
      </c>
      <c r="P850">
        <f>IF(OR(calendar[[#This Row],[UK_BH]]=1,calendar[[#This Row],[WeekDay]]=1, calendar[[#This Row],[WeekDay]]=7),P849,P849+1)</f>
        <v>606</v>
      </c>
      <c r="Q850">
        <f>IF(OR(calendar[[#This Row],[FR_BH]]=1,calendar[[#This Row],[WeekDay]]=1, calendar[[#This Row],[WeekDay]]=7),P849,P849+1)</f>
        <v>606</v>
      </c>
      <c r="R850">
        <f>IF(OR(calendar[[#This Row],[SP_BH]]=1,calendar[[#This Row],[WeekDay]]=1, calendar[[#This Row],[WeekDay]]=7),P849,P849+1)</f>
        <v>606</v>
      </c>
      <c r="S850">
        <f>IF(OR(calendar[[#This Row],[PT_BH]]=1,calendar[[#This Row],[WeekDay]]=1, calendar[[#This Row],[WeekDay]]=7),P849,P849+1)</f>
        <v>606</v>
      </c>
    </row>
    <row r="851" spans="1:19" x14ac:dyDescent="0.25">
      <c r="A851" s="2">
        <v>43585</v>
      </c>
      <c r="B851" s="1">
        <f t="shared" si="68"/>
        <v>18</v>
      </c>
      <c r="C851">
        <f t="shared" si="70"/>
        <v>4</v>
      </c>
      <c r="D851" t="str">
        <f t="shared" si="71"/>
        <v>April</v>
      </c>
      <c r="E851">
        <f t="shared" si="72"/>
        <v>2019</v>
      </c>
      <c r="F851" t="str">
        <f>CONCATENATE(calendar[[#This Row],[Month]],"/",calendar[[#This Row],[Year]])</f>
        <v>4/2019</v>
      </c>
      <c r="G851">
        <f>WEEKDAY(calendar[[#This Row],[Date]],1)</f>
        <v>3</v>
      </c>
      <c r="H851" t="str">
        <f>TEXT(calendar[[#This Row],[WeekDay]],"dddd")</f>
        <v>Tuesday</v>
      </c>
      <c r="I851">
        <f>IF((INT(calendar[[#This Row],[Count]]/7)-calendar[[#This Row],[Count]]/7)&lt;0,I850,I850+1)</f>
        <v>122</v>
      </c>
      <c r="J851">
        <f t="shared" si="69"/>
        <v>849</v>
      </c>
      <c r="K851">
        <f>IF(calendar[[#This Row],[Month]]&lt;4,1,IF(calendar[[#This Row],[Month]]&lt;7,2,IF(calendar[[#This Row],[Month]]&lt;10,3,4)))</f>
        <v>2</v>
      </c>
      <c r="L851">
        <f>IFERROR(IF(VLOOKUP(calendar[[#This Row],[Date]],BH!A:A,1,)&lt;&gt;"",1,0),0)</f>
        <v>0</v>
      </c>
      <c r="M851">
        <f>IFERROR(IF(VLOOKUP(calendar[[#This Row],[Date]],BH!C:C,1,)&lt;&gt;"",1,0),0)</f>
        <v>0</v>
      </c>
      <c r="N851">
        <f>IFERROR(IF(VLOOKUP(calendar[[#This Row],[Date]],BH!E:E,1,)&lt;&gt;"",1,0),0)</f>
        <v>0</v>
      </c>
      <c r="O851">
        <f>IFERROR(IF(VLOOKUP(calendar[[#This Row],[Date]],BH!G:G,1,)&lt;&gt;"",1,0),0)</f>
        <v>0</v>
      </c>
      <c r="P851">
        <f>IF(OR(calendar[[#This Row],[UK_BH]]=1,calendar[[#This Row],[WeekDay]]=1, calendar[[#This Row],[WeekDay]]=7),P850,P850+1)</f>
        <v>607</v>
      </c>
      <c r="Q851">
        <f>IF(OR(calendar[[#This Row],[FR_BH]]=1,calendar[[#This Row],[WeekDay]]=1, calendar[[#This Row],[WeekDay]]=7),P850,P850+1)</f>
        <v>607</v>
      </c>
      <c r="R851">
        <f>IF(OR(calendar[[#This Row],[SP_BH]]=1,calendar[[#This Row],[WeekDay]]=1, calendar[[#This Row],[WeekDay]]=7),P850,P850+1)</f>
        <v>607</v>
      </c>
      <c r="S851">
        <f>IF(OR(calendar[[#This Row],[PT_BH]]=1,calendar[[#This Row],[WeekDay]]=1, calendar[[#This Row],[WeekDay]]=7),P850,P850+1)</f>
        <v>607</v>
      </c>
    </row>
    <row r="852" spans="1:19" x14ac:dyDescent="0.25">
      <c r="A852" s="2">
        <v>43586</v>
      </c>
      <c r="B852" s="1">
        <f t="shared" si="68"/>
        <v>18</v>
      </c>
      <c r="C852">
        <f t="shared" si="70"/>
        <v>5</v>
      </c>
      <c r="D852" t="str">
        <f t="shared" si="71"/>
        <v>May</v>
      </c>
      <c r="E852">
        <f t="shared" si="72"/>
        <v>2019</v>
      </c>
      <c r="F852" t="str">
        <f>CONCATENATE(calendar[[#This Row],[Month]],"/",calendar[[#This Row],[Year]])</f>
        <v>5/2019</v>
      </c>
      <c r="G852">
        <f>WEEKDAY(calendar[[#This Row],[Date]],1)</f>
        <v>4</v>
      </c>
      <c r="H852" t="str">
        <f>TEXT(calendar[[#This Row],[WeekDay]],"dddd")</f>
        <v>Wednesday</v>
      </c>
      <c r="I852">
        <f>IF((INT(calendar[[#This Row],[Count]]/7)-calendar[[#This Row],[Count]]/7)&lt;0,I851,I851+1)</f>
        <v>122</v>
      </c>
      <c r="J852">
        <f t="shared" si="69"/>
        <v>850</v>
      </c>
      <c r="K852">
        <f>IF(calendar[[#This Row],[Month]]&lt;4,1,IF(calendar[[#This Row],[Month]]&lt;7,2,IF(calendar[[#This Row],[Month]]&lt;10,3,4)))</f>
        <v>2</v>
      </c>
      <c r="L852">
        <f>IFERROR(IF(VLOOKUP(calendar[[#This Row],[Date]],BH!A:A,1,)&lt;&gt;"",1,0),0)</f>
        <v>0</v>
      </c>
      <c r="M852">
        <f>IFERROR(IF(VLOOKUP(calendar[[#This Row],[Date]],BH!C:C,1,)&lt;&gt;"",1,0),0)</f>
        <v>0</v>
      </c>
      <c r="N852">
        <f>IFERROR(IF(VLOOKUP(calendar[[#This Row],[Date]],BH!E:E,1,)&lt;&gt;"",1,0),0)</f>
        <v>0</v>
      </c>
      <c r="O852">
        <f>IFERROR(IF(VLOOKUP(calendar[[#This Row],[Date]],BH!G:G,1,)&lt;&gt;"",1,0),0)</f>
        <v>0</v>
      </c>
      <c r="P852">
        <f>IF(OR(calendar[[#This Row],[UK_BH]]=1,calendar[[#This Row],[WeekDay]]=1, calendar[[#This Row],[WeekDay]]=7),P851,P851+1)</f>
        <v>608</v>
      </c>
      <c r="Q852">
        <f>IF(OR(calendar[[#This Row],[FR_BH]]=1,calendar[[#This Row],[WeekDay]]=1, calendar[[#This Row],[WeekDay]]=7),P851,P851+1)</f>
        <v>608</v>
      </c>
      <c r="R852">
        <f>IF(OR(calendar[[#This Row],[SP_BH]]=1,calendar[[#This Row],[WeekDay]]=1, calendar[[#This Row],[WeekDay]]=7),P851,P851+1)</f>
        <v>608</v>
      </c>
      <c r="S852">
        <f>IF(OR(calendar[[#This Row],[PT_BH]]=1,calendar[[#This Row],[WeekDay]]=1, calendar[[#This Row],[WeekDay]]=7),P851,P851+1)</f>
        <v>608</v>
      </c>
    </row>
    <row r="853" spans="1:19" x14ac:dyDescent="0.25">
      <c r="A853" s="2">
        <v>43587</v>
      </c>
      <c r="B853" s="1">
        <f t="shared" si="68"/>
        <v>18</v>
      </c>
      <c r="C853">
        <f t="shared" si="70"/>
        <v>5</v>
      </c>
      <c r="D853" t="str">
        <f t="shared" si="71"/>
        <v>May</v>
      </c>
      <c r="E853">
        <f t="shared" si="72"/>
        <v>2019</v>
      </c>
      <c r="F853" t="str">
        <f>CONCATENATE(calendar[[#This Row],[Month]],"/",calendar[[#This Row],[Year]])</f>
        <v>5/2019</v>
      </c>
      <c r="G853">
        <f>WEEKDAY(calendar[[#This Row],[Date]],1)</f>
        <v>5</v>
      </c>
      <c r="H853" t="str">
        <f>TEXT(calendar[[#This Row],[WeekDay]],"dddd")</f>
        <v>Thursday</v>
      </c>
      <c r="I853">
        <f>IF((INT(calendar[[#This Row],[Count]]/7)-calendar[[#This Row],[Count]]/7)&lt;0,I852,I852+1)</f>
        <v>122</v>
      </c>
      <c r="J853">
        <f t="shared" si="69"/>
        <v>851</v>
      </c>
      <c r="K853">
        <f>IF(calendar[[#This Row],[Month]]&lt;4,1,IF(calendar[[#This Row],[Month]]&lt;7,2,IF(calendar[[#This Row],[Month]]&lt;10,3,4)))</f>
        <v>2</v>
      </c>
      <c r="L853">
        <f>IFERROR(IF(VLOOKUP(calendar[[#This Row],[Date]],BH!A:A,1,)&lt;&gt;"",1,0),0)</f>
        <v>0</v>
      </c>
      <c r="M853">
        <f>IFERROR(IF(VLOOKUP(calendar[[#This Row],[Date]],BH!C:C,1,)&lt;&gt;"",1,0),0)</f>
        <v>0</v>
      </c>
      <c r="N853">
        <f>IFERROR(IF(VLOOKUP(calendar[[#This Row],[Date]],BH!E:E,1,)&lt;&gt;"",1,0),0)</f>
        <v>0</v>
      </c>
      <c r="O853">
        <f>IFERROR(IF(VLOOKUP(calendar[[#This Row],[Date]],BH!G:G,1,)&lt;&gt;"",1,0),0)</f>
        <v>0</v>
      </c>
      <c r="P853">
        <f>IF(OR(calendar[[#This Row],[UK_BH]]=1,calendar[[#This Row],[WeekDay]]=1, calendar[[#This Row],[WeekDay]]=7),P852,P852+1)</f>
        <v>609</v>
      </c>
      <c r="Q853">
        <f>IF(OR(calendar[[#This Row],[FR_BH]]=1,calendar[[#This Row],[WeekDay]]=1, calendar[[#This Row],[WeekDay]]=7),P852,P852+1)</f>
        <v>609</v>
      </c>
      <c r="R853">
        <f>IF(OR(calendar[[#This Row],[SP_BH]]=1,calendar[[#This Row],[WeekDay]]=1, calendar[[#This Row],[WeekDay]]=7),P852,P852+1)</f>
        <v>609</v>
      </c>
      <c r="S853">
        <f>IF(OR(calendar[[#This Row],[PT_BH]]=1,calendar[[#This Row],[WeekDay]]=1, calendar[[#This Row],[WeekDay]]=7),P852,P852+1)</f>
        <v>609</v>
      </c>
    </row>
    <row r="854" spans="1:19" x14ac:dyDescent="0.25">
      <c r="A854" s="2">
        <v>43588</v>
      </c>
      <c r="B854" s="1">
        <f t="shared" si="68"/>
        <v>18</v>
      </c>
      <c r="C854">
        <f t="shared" si="70"/>
        <v>5</v>
      </c>
      <c r="D854" t="str">
        <f t="shared" si="71"/>
        <v>May</v>
      </c>
      <c r="E854">
        <f t="shared" si="72"/>
        <v>2019</v>
      </c>
      <c r="F854" t="str">
        <f>CONCATENATE(calendar[[#This Row],[Month]],"/",calendar[[#This Row],[Year]])</f>
        <v>5/2019</v>
      </c>
      <c r="G854">
        <f>WEEKDAY(calendar[[#This Row],[Date]],1)</f>
        <v>6</v>
      </c>
      <c r="H854" t="str">
        <f>TEXT(calendar[[#This Row],[WeekDay]],"dddd")</f>
        <v>Friday</v>
      </c>
      <c r="I854">
        <f>IF((INT(calendar[[#This Row],[Count]]/7)-calendar[[#This Row],[Count]]/7)&lt;0,I853,I853+1)</f>
        <v>122</v>
      </c>
      <c r="J854">
        <f t="shared" si="69"/>
        <v>852</v>
      </c>
      <c r="K854">
        <f>IF(calendar[[#This Row],[Month]]&lt;4,1,IF(calendar[[#This Row],[Month]]&lt;7,2,IF(calendar[[#This Row],[Month]]&lt;10,3,4)))</f>
        <v>2</v>
      </c>
      <c r="L854">
        <f>IFERROR(IF(VLOOKUP(calendar[[#This Row],[Date]],BH!A:A,1,)&lt;&gt;"",1,0),0)</f>
        <v>0</v>
      </c>
      <c r="M854">
        <f>IFERROR(IF(VLOOKUP(calendar[[#This Row],[Date]],BH!C:C,1,)&lt;&gt;"",1,0),0)</f>
        <v>0</v>
      </c>
      <c r="N854">
        <f>IFERROR(IF(VLOOKUP(calendar[[#This Row],[Date]],BH!E:E,1,)&lt;&gt;"",1,0),0)</f>
        <v>0</v>
      </c>
      <c r="O854">
        <f>IFERROR(IF(VLOOKUP(calendar[[#This Row],[Date]],BH!G:G,1,)&lt;&gt;"",1,0),0)</f>
        <v>0</v>
      </c>
      <c r="P854">
        <f>IF(OR(calendar[[#This Row],[UK_BH]]=1,calendar[[#This Row],[WeekDay]]=1, calendar[[#This Row],[WeekDay]]=7),P853,P853+1)</f>
        <v>610</v>
      </c>
      <c r="Q854">
        <f>IF(OR(calendar[[#This Row],[FR_BH]]=1,calendar[[#This Row],[WeekDay]]=1, calendar[[#This Row],[WeekDay]]=7),P853,P853+1)</f>
        <v>610</v>
      </c>
      <c r="R854">
        <f>IF(OR(calendar[[#This Row],[SP_BH]]=1,calendar[[#This Row],[WeekDay]]=1, calendar[[#This Row],[WeekDay]]=7),P853,P853+1)</f>
        <v>610</v>
      </c>
      <c r="S854">
        <f>IF(OR(calendar[[#This Row],[PT_BH]]=1,calendar[[#This Row],[WeekDay]]=1, calendar[[#This Row],[WeekDay]]=7),P853,P853+1)</f>
        <v>610</v>
      </c>
    </row>
    <row r="855" spans="1:19" x14ac:dyDescent="0.25">
      <c r="A855" s="2">
        <v>43589</v>
      </c>
      <c r="B855" s="1">
        <f t="shared" si="68"/>
        <v>18</v>
      </c>
      <c r="C855">
        <f t="shared" si="70"/>
        <v>5</v>
      </c>
      <c r="D855" t="str">
        <f t="shared" si="71"/>
        <v>May</v>
      </c>
      <c r="E855">
        <f t="shared" si="72"/>
        <v>2019</v>
      </c>
      <c r="F855" t="str">
        <f>CONCATENATE(calendar[[#This Row],[Month]],"/",calendar[[#This Row],[Year]])</f>
        <v>5/2019</v>
      </c>
      <c r="G855">
        <f>WEEKDAY(calendar[[#This Row],[Date]],1)</f>
        <v>7</v>
      </c>
      <c r="H855" t="str">
        <f>TEXT(calendar[[#This Row],[WeekDay]],"dddd")</f>
        <v>Saturday</v>
      </c>
      <c r="I855">
        <f>IF((INT(calendar[[#This Row],[Count]]/7)-calendar[[#This Row],[Count]]/7)&lt;0,I854,I854+1)</f>
        <v>122</v>
      </c>
      <c r="J855">
        <f t="shared" si="69"/>
        <v>853</v>
      </c>
      <c r="K855">
        <f>IF(calendar[[#This Row],[Month]]&lt;4,1,IF(calendar[[#This Row],[Month]]&lt;7,2,IF(calendar[[#This Row],[Month]]&lt;10,3,4)))</f>
        <v>2</v>
      </c>
      <c r="L855">
        <f>IFERROR(IF(VLOOKUP(calendar[[#This Row],[Date]],BH!A:A,1,)&lt;&gt;"",1,0),0)</f>
        <v>0</v>
      </c>
      <c r="M855">
        <f>IFERROR(IF(VLOOKUP(calendar[[#This Row],[Date]],BH!C:C,1,)&lt;&gt;"",1,0),0)</f>
        <v>0</v>
      </c>
      <c r="N855">
        <f>IFERROR(IF(VLOOKUP(calendar[[#This Row],[Date]],BH!E:E,1,)&lt;&gt;"",1,0),0)</f>
        <v>0</v>
      </c>
      <c r="O855">
        <f>IFERROR(IF(VLOOKUP(calendar[[#This Row],[Date]],BH!G:G,1,)&lt;&gt;"",1,0),0)</f>
        <v>0</v>
      </c>
      <c r="P855">
        <f>IF(OR(calendar[[#This Row],[UK_BH]]=1,calendar[[#This Row],[WeekDay]]=1, calendar[[#This Row],[WeekDay]]=7),P854,P854+1)</f>
        <v>610</v>
      </c>
      <c r="Q855">
        <f>IF(OR(calendar[[#This Row],[FR_BH]]=1,calendar[[#This Row],[WeekDay]]=1, calendar[[#This Row],[WeekDay]]=7),P854,P854+1)</f>
        <v>610</v>
      </c>
      <c r="R855">
        <f>IF(OR(calendar[[#This Row],[SP_BH]]=1,calendar[[#This Row],[WeekDay]]=1, calendar[[#This Row],[WeekDay]]=7),P854,P854+1)</f>
        <v>610</v>
      </c>
      <c r="S855">
        <f>IF(OR(calendar[[#This Row],[PT_BH]]=1,calendar[[#This Row],[WeekDay]]=1, calendar[[#This Row],[WeekDay]]=7),P854,P854+1)</f>
        <v>610</v>
      </c>
    </row>
    <row r="856" spans="1:19" x14ac:dyDescent="0.25">
      <c r="A856" s="2">
        <v>43590</v>
      </c>
      <c r="B856" s="1">
        <f t="shared" si="68"/>
        <v>19</v>
      </c>
      <c r="C856">
        <f t="shared" si="70"/>
        <v>5</v>
      </c>
      <c r="D856" t="str">
        <f t="shared" si="71"/>
        <v>May</v>
      </c>
      <c r="E856">
        <f t="shared" si="72"/>
        <v>2019</v>
      </c>
      <c r="F856" t="str">
        <f>CONCATENATE(calendar[[#This Row],[Month]],"/",calendar[[#This Row],[Year]])</f>
        <v>5/2019</v>
      </c>
      <c r="G856">
        <f>WEEKDAY(calendar[[#This Row],[Date]],1)</f>
        <v>1</v>
      </c>
      <c r="H856" t="str">
        <f>TEXT(calendar[[#This Row],[WeekDay]],"dddd")</f>
        <v>Sunday</v>
      </c>
      <c r="I856">
        <f>IF((INT(calendar[[#This Row],[Count]]/7)-calendar[[#This Row],[Count]]/7)&lt;0,I855,I855+1)</f>
        <v>123</v>
      </c>
      <c r="J856">
        <f t="shared" si="69"/>
        <v>854</v>
      </c>
      <c r="K856">
        <f>IF(calendar[[#This Row],[Month]]&lt;4,1,IF(calendar[[#This Row],[Month]]&lt;7,2,IF(calendar[[#This Row],[Month]]&lt;10,3,4)))</f>
        <v>2</v>
      </c>
      <c r="L856">
        <f>IFERROR(IF(VLOOKUP(calendar[[#This Row],[Date]],BH!A:A,1,)&lt;&gt;"",1,0),0)</f>
        <v>0</v>
      </c>
      <c r="M856">
        <f>IFERROR(IF(VLOOKUP(calendar[[#This Row],[Date]],BH!C:C,1,)&lt;&gt;"",1,0),0)</f>
        <v>0</v>
      </c>
      <c r="N856">
        <f>IFERROR(IF(VLOOKUP(calendar[[#This Row],[Date]],BH!E:E,1,)&lt;&gt;"",1,0),0)</f>
        <v>0</v>
      </c>
      <c r="O856">
        <f>IFERROR(IF(VLOOKUP(calendar[[#This Row],[Date]],BH!G:G,1,)&lt;&gt;"",1,0),0)</f>
        <v>0</v>
      </c>
      <c r="P856">
        <f>IF(OR(calendar[[#This Row],[UK_BH]]=1,calendar[[#This Row],[WeekDay]]=1, calendar[[#This Row],[WeekDay]]=7),P855,P855+1)</f>
        <v>610</v>
      </c>
      <c r="Q856">
        <f>IF(OR(calendar[[#This Row],[FR_BH]]=1,calendar[[#This Row],[WeekDay]]=1, calendar[[#This Row],[WeekDay]]=7),P855,P855+1)</f>
        <v>610</v>
      </c>
      <c r="R856">
        <f>IF(OR(calendar[[#This Row],[SP_BH]]=1,calendar[[#This Row],[WeekDay]]=1, calendar[[#This Row],[WeekDay]]=7),P855,P855+1)</f>
        <v>610</v>
      </c>
      <c r="S856">
        <f>IF(OR(calendar[[#This Row],[PT_BH]]=1,calendar[[#This Row],[WeekDay]]=1, calendar[[#This Row],[WeekDay]]=7),P855,P855+1)</f>
        <v>610</v>
      </c>
    </row>
    <row r="857" spans="1:19" x14ac:dyDescent="0.25">
      <c r="A857" s="2">
        <v>43591</v>
      </c>
      <c r="B857" s="1">
        <f t="shared" si="68"/>
        <v>19</v>
      </c>
      <c r="C857">
        <f t="shared" si="70"/>
        <v>5</v>
      </c>
      <c r="D857" t="str">
        <f t="shared" si="71"/>
        <v>May</v>
      </c>
      <c r="E857">
        <f t="shared" si="72"/>
        <v>2019</v>
      </c>
      <c r="F857" t="str">
        <f>CONCATENATE(calendar[[#This Row],[Month]],"/",calendar[[#This Row],[Year]])</f>
        <v>5/2019</v>
      </c>
      <c r="G857">
        <f>WEEKDAY(calendar[[#This Row],[Date]],1)</f>
        <v>2</v>
      </c>
      <c r="H857" t="str">
        <f>TEXT(calendar[[#This Row],[WeekDay]],"dddd")</f>
        <v>Monday</v>
      </c>
      <c r="I857">
        <f>IF((INT(calendar[[#This Row],[Count]]/7)-calendar[[#This Row],[Count]]/7)&lt;0,I856,I856+1)</f>
        <v>123</v>
      </c>
      <c r="J857">
        <f t="shared" si="69"/>
        <v>855</v>
      </c>
      <c r="K857">
        <f>IF(calendar[[#This Row],[Month]]&lt;4,1,IF(calendar[[#This Row],[Month]]&lt;7,2,IF(calendar[[#This Row],[Month]]&lt;10,3,4)))</f>
        <v>2</v>
      </c>
      <c r="L857">
        <f>IFERROR(IF(VLOOKUP(calendar[[#This Row],[Date]],BH!A:A,1,)&lt;&gt;"",1,0),0)</f>
        <v>0</v>
      </c>
      <c r="M857">
        <f>IFERROR(IF(VLOOKUP(calendar[[#This Row],[Date]],BH!C:C,1,)&lt;&gt;"",1,0),0)</f>
        <v>0</v>
      </c>
      <c r="N857">
        <f>IFERROR(IF(VLOOKUP(calendar[[#This Row],[Date]],BH!E:E,1,)&lt;&gt;"",1,0),0)</f>
        <v>0</v>
      </c>
      <c r="O857">
        <f>IFERROR(IF(VLOOKUP(calendar[[#This Row],[Date]],BH!G:G,1,)&lt;&gt;"",1,0),0)</f>
        <v>0</v>
      </c>
      <c r="P857">
        <f>IF(OR(calendar[[#This Row],[UK_BH]]=1,calendar[[#This Row],[WeekDay]]=1, calendar[[#This Row],[WeekDay]]=7),P856,P856+1)</f>
        <v>611</v>
      </c>
      <c r="Q857">
        <f>IF(OR(calendar[[#This Row],[FR_BH]]=1,calendar[[#This Row],[WeekDay]]=1, calendar[[#This Row],[WeekDay]]=7),P856,P856+1)</f>
        <v>611</v>
      </c>
      <c r="R857">
        <f>IF(OR(calendar[[#This Row],[SP_BH]]=1,calendar[[#This Row],[WeekDay]]=1, calendar[[#This Row],[WeekDay]]=7),P856,P856+1)</f>
        <v>611</v>
      </c>
      <c r="S857">
        <f>IF(OR(calendar[[#This Row],[PT_BH]]=1,calendar[[#This Row],[WeekDay]]=1, calendar[[#This Row],[WeekDay]]=7),P856,P856+1)</f>
        <v>611</v>
      </c>
    </row>
    <row r="858" spans="1:19" x14ac:dyDescent="0.25">
      <c r="A858" s="2">
        <v>43592</v>
      </c>
      <c r="B858" s="1">
        <f t="shared" si="68"/>
        <v>19</v>
      </c>
      <c r="C858">
        <f t="shared" si="70"/>
        <v>5</v>
      </c>
      <c r="D858" t="str">
        <f t="shared" si="71"/>
        <v>May</v>
      </c>
      <c r="E858">
        <f t="shared" si="72"/>
        <v>2019</v>
      </c>
      <c r="F858" t="str">
        <f>CONCATENATE(calendar[[#This Row],[Month]],"/",calendar[[#This Row],[Year]])</f>
        <v>5/2019</v>
      </c>
      <c r="G858">
        <f>WEEKDAY(calendar[[#This Row],[Date]],1)</f>
        <v>3</v>
      </c>
      <c r="H858" t="str">
        <f>TEXT(calendar[[#This Row],[WeekDay]],"dddd")</f>
        <v>Tuesday</v>
      </c>
      <c r="I858">
        <f>IF((INT(calendar[[#This Row],[Count]]/7)-calendar[[#This Row],[Count]]/7)&lt;0,I857,I857+1)</f>
        <v>123</v>
      </c>
      <c r="J858">
        <f t="shared" si="69"/>
        <v>856</v>
      </c>
      <c r="K858">
        <f>IF(calendar[[#This Row],[Month]]&lt;4,1,IF(calendar[[#This Row],[Month]]&lt;7,2,IF(calendar[[#This Row],[Month]]&lt;10,3,4)))</f>
        <v>2</v>
      </c>
      <c r="L858">
        <f>IFERROR(IF(VLOOKUP(calendar[[#This Row],[Date]],BH!A:A,1,)&lt;&gt;"",1,0),0)</f>
        <v>0</v>
      </c>
      <c r="M858">
        <f>IFERROR(IF(VLOOKUP(calendar[[#This Row],[Date]],BH!C:C,1,)&lt;&gt;"",1,0),0)</f>
        <v>0</v>
      </c>
      <c r="N858">
        <f>IFERROR(IF(VLOOKUP(calendar[[#This Row],[Date]],BH!E:E,1,)&lt;&gt;"",1,0),0)</f>
        <v>0</v>
      </c>
      <c r="O858">
        <f>IFERROR(IF(VLOOKUP(calendar[[#This Row],[Date]],BH!G:G,1,)&lt;&gt;"",1,0),0)</f>
        <v>0</v>
      </c>
      <c r="P858">
        <f>IF(OR(calendar[[#This Row],[UK_BH]]=1,calendar[[#This Row],[WeekDay]]=1, calendar[[#This Row],[WeekDay]]=7),P857,P857+1)</f>
        <v>612</v>
      </c>
      <c r="Q858">
        <f>IF(OR(calendar[[#This Row],[FR_BH]]=1,calendar[[#This Row],[WeekDay]]=1, calendar[[#This Row],[WeekDay]]=7),P857,P857+1)</f>
        <v>612</v>
      </c>
      <c r="R858">
        <f>IF(OR(calendar[[#This Row],[SP_BH]]=1,calendar[[#This Row],[WeekDay]]=1, calendar[[#This Row],[WeekDay]]=7),P857,P857+1)</f>
        <v>612</v>
      </c>
      <c r="S858">
        <f>IF(OR(calendar[[#This Row],[PT_BH]]=1,calendar[[#This Row],[WeekDay]]=1, calendar[[#This Row],[WeekDay]]=7),P857,P857+1)</f>
        <v>612</v>
      </c>
    </row>
    <row r="859" spans="1:19" x14ac:dyDescent="0.25">
      <c r="A859" s="2">
        <v>43593</v>
      </c>
      <c r="B859" s="1">
        <f t="shared" si="68"/>
        <v>19</v>
      </c>
      <c r="C859">
        <f t="shared" si="70"/>
        <v>5</v>
      </c>
      <c r="D859" t="str">
        <f t="shared" si="71"/>
        <v>May</v>
      </c>
      <c r="E859">
        <f t="shared" si="72"/>
        <v>2019</v>
      </c>
      <c r="F859" t="str">
        <f>CONCATENATE(calendar[[#This Row],[Month]],"/",calendar[[#This Row],[Year]])</f>
        <v>5/2019</v>
      </c>
      <c r="G859">
        <f>WEEKDAY(calendar[[#This Row],[Date]],1)</f>
        <v>4</v>
      </c>
      <c r="H859" t="str">
        <f>TEXT(calendar[[#This Row],[WeekDay]],"dddd")</f>
        <v>Wednesday</v>
      </c>
      <c r="I859">
        <f>IF((INT(calendar[[#This Row],[Count]]/7)-calendar[[#This Row],[Count]]/7)&lt;0,I858,I858+1)</f>
        <v>123</v>
      </c>
      <c r="J859">
        <f t="shared" si="69"/>
        <v>857</v>
      </c>
      <c r="K859">
        <f>IF(calendar[[#This Row],[Month]]&lt;4,1,IF(calendar[[#This Row],[Month]]&lt;7,2,IF(calendar[[#This Row],[Month]]&lt;10,3,4)))</f>
        <v>2</v>
      </c>
      <c r="L859">
        <f>IFERROR(IF(VLOOKUP(calendar[[#This Row],[Date]],BH!A:A,1,)&lt;&gt;"",1,0),0)</f>
        <v>0</v>
      </c>
      <c r="M859">
        <f>IFERROR(IF(VLOOKUP(calendar[[#This Row],[Date]],BH!C:C,1,)&lt;&gt;"",1,0),0)</f>
        <v>0</v>
      </c>
      <c r="N859">
        <f>IFERROR(IF(VLOOKUP(calendar[[#This Row],[Date]],BH!E:E,1,)&lt;&gt;"",1,0),0)</f>
        <v>0</v>
      </c>
      <c r="O859">
        <f>IFERROR(IF(VLOOKUP(calendar[[#This Row],[Date]],BH!G:G,1,)&lt;&gt;"",1,0),0)</f>
        <v>0</v>
      </c>
      <c r="P859">
        <f>IF(OR(calendar[[#This Row],[UK_BH]]=1,calendar[[#This Row],[WeekDay]]=1, calendar[[#This Row],[WeekDay]]=7),P858,P858+1)</f>
        <v>613</v>
      </c>
      <c r="Q859">
        <f>IF(OR(calendar[[#This Row],[FR_BH]]=1,calendar[[#This Row],[WeekDay]]=1, calendar[[#This Row],[WeekDay]]=7),P858,P858+1)</f>
        <v>613</v>
      </c>
      <c r="R859">
        <f>IF(OR(calendar[[#This Row],[SP_BH]]=1,calendar[[#This Row],[WeekDay]]=1, calendar[[#This Row],[WeekDay]]=7),P858,P858+1)</f>
        <v>613</v>
      </c>
      <c r="S859">
        <f>IF(OR(calendar[[#This Row],[PT_BH]]=1,calendar[[#This Row],[WeekDay]]=1, calendar[[#This Row],[WeekDay]]=7),P858,P858+1)</f>
        <v>613</v>
      </c>
    </row>
    <row r="860" spans="1:19" x14ac:dyDescent="0.25">
      <c r="A860" s="2">
        <v>43594</v>
      </c>
      <c r="B860" s="1">
        <f t="shared" si="68"/>
        <v>19</v>
      </c>
      <c r="C860">
        <f t="shared" si="70"/>
        <v>5</v>
      </c>
      <c r="D860" t="str">
        <f t="shared" si="71"/>
        <v>May</v>
      </c>
      <c r="E860">
        <f t="shared" si="72"/>
        <v>2019</v>
      </c>
      <c r="F860" t="str">
        <f>CONCATENATE(calendar[[#This Row],[Month]],"/",calendar[[#This Row],[Year]])</f>
        <v>5/2019</v>
      </c>
      <c r="G860">
        <f>WEEKDAY(calendar[[#This Row],[Date]],1)</f>
        <v>5</v>
      </c>
      <c r="H860" t="str">
        <f>TEXT(calendar[[#This Row],[WeekDay]],"dddd")</f>
        <v>Thursday</v>
      </c>
      <c r="I860">
        <f>IF((INT(calendar[[#This Row],[Count]]/7)-calendar[[#This Row],[Count]]/7)&lt;0,I859,I859+1)</f>
        <v>123</v>
      </c>
      <c r="J860">
        <f t="shared" si="69"/>
        <v>858</v>
      </c>
      <c r="K860">
        <f>IF(calendar[[#This Row],[Month]]&lt;4,1,IF(calendar[[#This Row],[Month]]&lt;7,2,IF(calendar[[#This Row],[Month]]&lt;10,3,4)))</f>
        <v>2</v>
      </c>
      <c r="L860">
        <f>IFERROR(IF(VLOOKUP(calendar[[#This Row],[Date]],BH!A:A,1,)&lt;&gt;"",1,0),0)</f>
        <v>0</v>
      </c>
      <c r="M860">
        <f>IFERROR(IF(VLOOKUP(calendar[[#This Row],[Date]],BH!C:C,1,)&lt;&gt;"",1,0),0)</f>
        <v>0</v>
      </c>
      <c r="N860">
        <f>IFERROR(IF(VLOOKUP(calendar[[#This Row],[Date]],BH!E:E,1,)&lt;&gt;"",1,0),0)</f>
        <v>0</v>
      </c>
      <c r="O860">
        <f>IFERROR(IF(VLOOKUP(calendar[[#This Row],[Date]],BH!G:G,1,)&lt;&gt;"",1,0),0)</f>
        <v>0</v>
      </c>
      <c r="P860">
        <f>IF(OR(calendar[[#This Row],[UK_BH]]=1,calendar[[#This Row],[WeekDay]]=1, calendar[[#This Row],[WeekDay]]=7),P859,P859+1)</f>
        <v>614</v>
      </c>
      <c r="Q860">
        <f>IF(OR(calendar[[#This Row],[FR_BH]]=1,calendar[[#This Row],[WeekDay]]=1, calendar[[#This Row],[WeekDay]]=7),P859,P859+1)</f>
        <v>614</v>
      </c>
      <c r="R860">
        <f>IF(OR(calendar[[#This Row],[SP_BH]]=1,calendar[[#This Row],[WeekDay]]=1, calendar[[#This Row],[WeekDay]]=7),P859,P859+1)</f>
        <v>614</v>
      </c>
      <c r="S860">
        <f>IF(OR(calendar[[#This Row],[PT_BH]]=1,calendar[[#This Row],[WeekDay]]=1, calendar[[#This Row],[WeekDay]]=7),P859,P859+1)</f>
        <v>614</v>
      </c>
    </row>
    <row r="861" spans="1:19" x14ac:dyDescent="0.25">
      <c r="A861" s="2">
        <v>43595</v>
      </c>
      <c r="B861" s="1">
        <f t="shared" si="68"/>
        <v>19</v>
      </c>
      <c r="C861">
        <f t="shared" si="70"/>
        <v>5</v>
      </c>
      <c r="D861" t="str">
        <f t="shared" si="71"/>
        <v>May</v>
      </c>
      <c r="E861">
        <f t="shared" si="72"/>
        <v>2019</v>
      </c>
      <c r="F861" t="str">
        <f>CONCATENATE(calendar[[#This Row],[Month]],"/",calendar[[#This Row],[Year]])</f>
        <v>5/2019</v>
      </c>
      <c r="G861">
        <f>WEEKDAY(calendar[[#This Row],[Date]],1)</f>
        <v>6</v>
      </c>
      <c r="H861" t="str">
        <f>TEXT(calendar[[#This Row],[WeekDay]],"dddd")</f>
        <v>Friday</v>
      </c>
      <c r="I861">
        <f>IF((INT(calendar[[#This Row],[Count]]/7)-calendar[[#This Row],[Count]]/7)&lt;0,I860,I860+1)</f>
        <v>123</v>
      </c>
      <c r="J861">
        <f t="shared" si="69"/>
        <v>859</v>
      </c>
      <c r="K861">
        <f>IF(calendar[[#This Row],[Month]]&lt;4,1,IF(calendar[[#This Row],[Month]]&lt;7,2,IF(calendar[[#This Row],[Month]]&lt;10,3,4)))</f>
        <v>2</v>
      </c>
      <c r="L861">
        <f>IFERROR(IF(VLOOKUP(calendar[[#This Row],[Date]],BH!A:A,1,)&lt;&gt;"",1,0),0)</f>
        <v>0</v>
      </c>
      <c r="M861">
        <f>IFERROR(IF(VLOOKUP(calendar[[#This Row],[Date]],BH!C:C,1,)&lt;&gt;"",1,0),0)</f>
        <v>0</v>
      </c>
      <c r="N861">
        <f>IFERROR(IF(VLOOKUP(calendar[[#This Row],[Date]],BH!E:E,1,)&lt;&gt;"",1,0),0)</f>
        <v>0</v>
      </c>
      <c r="O861">
        <f>IFERROR(IF(VLOOKUP(calendar[[#This Row],[Date]],BH!G:G,1,)&lt;&gt;"",1,0),0)</f>
        <v>0</v>
      </c>
      <c r="P861">
        <f>IF(OR(calendar[[#This Row],[UK_BH]]=1,calendar[[#This Row],[WeekDay]]=1, calendar[[#This Row],[WeekDay]]=7),P860,P860+1)</f>
        <v>615</v>
      </c>
      <c r="Q861">
        <f>IF(OR(calendar[[#This Row],[FR_BH]]=1,calendar[[#This Row],[WeekDay]]=1, calendar[[#This Row],[WeekDay]]=7),P860,P860+1)</f>
        <v>615</v>
      </c>
      <c r="R861">
        <f>IF(OR(calendar[[#This Row],[SP_BH]]=1,calendar[[#This Row],[WeekDay]]=1, calendar[[#This Row],[WeekDay]]=7),P860,P860+1)</f>
        <v>615</v>
      </c>
      <c r="S861">
        <f>IF(OR(calendar[[#This Row],[PT_BH]]=1,calendar[[#This Row],[WeekDay]]=1, calendar[[#This Row],[WeekDay]]=7),P860,P860+1)</f>
        <v>615</v>
      </c>
    </row>
    <row r="862" spans="1:19" x14ac:dyDescent="0.25">
      <c r="A862" s="2">
        <v>43596</v>
      </c>
      <c r="B862" s="1">
        <f t="shared" si="68"/>
        <v>19</v>
      </c>
      <c r="C862">
        <f t="shared" si="70"/>
        <v>5</v>
      </c>
      <c r="D862" t="str">
        <f t="shared" si="71"/>
        <v>May</v>
      </c>
      <c r="E862">
        <f t="shared" si="72"/>
        <v>2019</v>
      </c>
      <c r="F862" t="str">
        <f>CONCATENATE(calendar[[#This Row],[Month]],"/",calendar[[#This Row],[Year]])</f>
        <v>5/2019</v>
      </c>
      <c r="G862">
        <f>WEEKDAY(calendar[[#This Row],[Date]],1)</f>
        <v>7</v>
      </c>
      <c r="H862" t="str">
        <f>TEXT(calendar[[#This Row],[WeekDay]],"dddd")</f>
        <v>Saturday</v>
      </c>
      <c r="I862">
        <f>IF((INT(calendar[[#This Row],[Count]]/7)-calendar[[#This Row],[Count]]/7)&lt;0,I861,I861+1)</f>
        <v>123</v>
      </c>
      <c r="J862">
        <f t="shared" si="69"/>
        <v>860</v>
      </c>
      <c r="K862">
        <f>IF(calendar[[#This Row],[Month]]&lt;4,1,IF(calendar[[#This Row],[Month]]&lt;7,2,IF(calendar[[#This Row],[Month]]&lt;10,3,4)))</f>
        <v>2</v>
      </c>
      <c r="L862">
        <f>IFERROR(IF(VLOOKUP(calendar[[#This Row],[Date]],BH!A:A,1,)&lt;&gt;"",1,0),0)</f>
        <v>0</v>
      </c>
      <c r="M862">
        <f>IFERROR(IF(VLOOKUP(calendar[[#This Row],[Date]],BH!C:C,1,)&lt;&gt;"",1,0),0)</f>
        <v>0</v>
      </c>
      <c r="N862">
        <f>IFERROR(IF(VLOOKUP(calendar[[#This Row],[Date]],BH!E:E,1,)&lt;&gt;"",1,0),0)</f>
        <v>0</v>
      </c>
      <c r="O862">
        <f>IFERROR(IF(VLOOKUP(calendar[[#This Row],[Date]],BH!G:G,1,)&lt;&gt;"",1,0),0)</f>
        <v>0</v>
      </c>
      <c r="P862">
        <f>IF(OR(calendar[[#This Row],[UK_BH]]=1,calendar[[#This Row],[WeekDay]]=1, calendar[[#This Row],[WeekDay]]=7),P861,P861+1)</f>
        <v>615</v>
      </c>
      <c r="Q862">
        <f>IF(OR(calendar[[#This Row],[FR_BH]]=1,calendar[[#This Row],[WeekDay]]=1, calendar[[#This Row],[WeekDay]]=7),P861,P861+1)</f>
        <v>615</v>
      </c>
      <c r="R862">
        <f>IF(OR(calendar[[#This Row],[SP_BH]]=1,calendar[[#This Row],[WeekDay]]=1, calendar[[#This Row],[WeekDay]]=7),P861,P861+1)</f>
        <v>615</v>
      </c>
      <c r="S862">
        <f>IF(OR(calendar[[#This Row],[PT_BH]]=1,calendar[[#This Row],[WeekDay]]=1, calendar[[#This Row],[WeekDay]]=7),P861,P861+1)</f>
        <v>615</v>
      </c>
    </row>
    <row r="863" spans="1:19" x14ac:dyDescent="0.25">
      <c r="A863" s="2">
        <v>43597</v>
      </c>
      <c r="B863" s="1">
        <f t="shared" si="68"/>
        <v>20</v>
      </c>
      <c r="C863">
        <f t="shared" si="70"/>
        <v>5</v>
      </c>
      <c r="D863" t="str">
        <f t="shared" si="71"/>
        <v>May</v>
      </c>
      <c r="E863">
        <f t="shared" si="72"/>
        <v>2019</v>
      </c>
      <c r="F863" t="str">
        <f>CONCATENATE(calendar[[#This Row],[Month]],"/",calendar[[#This Row],[Year]])</f>
        <v>5/2019</v>
      </c>
      <c r="G863">
        <f>WEEKDAY(calendar[[#This Row],[Date]],1)</f>
        <v>1</v>
      </c>
      <c r="H863" t="str">
        <f>TEXT(calendar[[#This Row],[WeekDay]],"dddd")</f>
        <v>Sunday</v>
      </c>
      <c r="I863">
        <f>IF((INT(calendar[[#This Row],[Count]]/7)-calendar[[#This Row],[Count]]/7)&lt;0,I862,I862+1)</f>
        <v>124</v>
      </c>
      <c r="J863">
        <f t="shared" si="69"/>
        <v>861</v>
      </c>
      <c r="K863">
        <f>IF(calendar[[#This Row],[Month]]&lt;4,1,IF(calendar[[#This Row],[Month]]&lt;7,2,IF(calendar[[#This Row],[Month]]&lt;10,3,4)))</f>
        <v>2</v>
      </c>
      <c r="L863">
        <f>IFERROR(IF(VLOOKUP(calendar[[#This Row],[Date]],BH!A:A,1,)&lt;&gt;"",1,0),0)</f>
        <v>0</v>
      </c>
      <c r="M863">
        <f>IFERROR(IF(VLOOKUP(calendar[[#This Row],[Date]],BH!C:C,1,)&lt;&gt;"",1,0),0)</f>
        <v>0</v>
      </c>
      <c r="N863">
        <f>IFERROR(IF(VLOOKUP(calendar[[#This Row],[Date]],BH!E:E,1,)&lt;&gt;"",1,0),0)</f>
        <v>0</v>
      </c>
      <c r="O863">
        <f>IFERROR(IF(VLOOKUP(calendar[[#This Row],[Date]],BH!G:G,1,)&lt;&gt;"",1,0),0)</f>
        <v>0</v>
      </c>
      <c r="P863">
        <f>IF(OR(calendar[[#This Row],[UK_BH]]=1,calendar[[#This Row],[WeekDay]]=1, calendar[[#This Row],[WeekDay]]=7),P862,P862+1)</f>
        <v>615</v>
      </c>
      <c r="Q863">
        <f>IF(OR(calendar[[#This Row],[FR_BH]]=1,calendar[[#This Row],[WeekDay]]=1, calendar[[#This Row],[WeekDay]]=7),P862,P862+1)</f>
        <v>615</v>
      </c>
      <c r="R863">
        <f>IF(OR(calendar[[#This Row],[SP_BH]]=1,calendar[[#This Row],[WeekDay]]=1, calendar[[#This Row],[WeekDay]]=7),P862,P862+1)</f>
        <v>615</v>
      </c>
      <c r="S863">
        <f>IF(OR(calendar[[#This Row],[PT_BH]]=1,calendar[[#This Row],[WeekDay]]=1, calendar[[#This Row],[WeekDay]]=7),P862,P862+1)</f>
        <v>615</v>
      </c>
    </row>
    <row r="864" spans="1:19" x14ac:dyDescent="0.25">
      <c r="A864" s="2">
        <v>43598</v>
      </c>
      <c r="B864" s="1">
        <f t="shared" si="68"/>
        <v>20</v>
      </c>
      <c r="C864">
        <f t="shared" si="70"/>
        <v>5</v>
      </c>
      <c r="D864" t="str">
        <f t="shared" si="71"/>
        <v>May</v>
      </c>
      <c r="E864">
        <f t="shared" si="72"/>
        <v>2019</v>
      </c>
      <c r="F864" t="str">
        <f>CONCATENATE(calendar[[#This Row],[Month]],"/",calendar[[#This Row],[Year]])</f>
        <v>5/2019</v>
      </c>
      <c r="G864">
        <f>WEEKDAY(calendar[[#This Row],[Date]],1)</f>
        <v>2</v>
      </c>
      <c r="H864" t="str">
        <f>TEXT(calendar[[#This Row],[WeekDay]],"dddd")</f>
        <v>Monday</v>
      </c>
      <c r="I864">
        <f>IF((INT(calendar[[#This Row],[Count]]/7)-calendar[[#This Row],[Count]]/7)&lt;0,I863,I863+1)</f>
        <v>124</v>
      </c>
      <c r="J864">
        <f t="shared" si="69"/>
        <v>862</v>
      </c>
      <c r="K864">
        <f>IF(calendar[[#This Row],[Month]]&lt;4,1,IF(calendar[[#This Row],[Month]]&lt;7,2,IF(calendar[[#This Row],[Month]]&lt;10,3,4)))</f>
        <v>2</v>
      </c>
      <c r="L864">
        <f>IFERROR(IF(VLOOKUP(calendar[[#This Row],[Date]],BH!A:A,1,)&lt;&gt;"",1,0),0)</f>
        <v>0</v>
      </c>
      <c r="M864">
        <f>IFERROR(IF(VLOOKUP(calendar[[#This Row],[Date]],BH!C:C,1,)&lt;&gt;"",1,0),0)</f>
        <v>0</v>
      </c>
      <c r="N864">
        <f>IFERROR(IF(VLOOKUP(calendar[[#This Row],[Date]],BH!E:E,1,)&lt;&gt;"",1,0),0)</f>
        <v>0</v>
      </c>
      <c r="O864">
        <f>IFERROR(IF(VLOOKUP(calendar[[#This Row],[Date]],BH!G:G,1,)&lt;&gt;"",1,0),0)</f>
        <v>0</v>
      </c>
      <c r="P864">
        <f>IF(OR(calendar[[#This Row],[UK_BH]]=1,calendar[[#This Row],[WeekDay]]=1, calendar[[#This Row],[WeekDay]]=7),P863,P863+1)</f>
        <v>616</v>
      </c>
      <c r="Q864">
        <f>IF(OR(calendar[[#This Row],[FR_BH]]=1,calendar[[#This Row],[WeekDay]]=1, calendar[[#This Row],[WeekDay]]=7),P863,P863+1)</f>
        <v>616</v>
      </c>
      <c r="R864">
        <f>IF(OR(calendar[[#This Row],[SP_BH]]=1,calendar[[#This Row],[WeekDay]]=1, calendar[[#This Row],[WeekDay]]=7),P863,P863+1)</f>
        <v>616</v>
      </c>
      <c r="S864">
        <f>IF(OR(calendar[[#This Row],[PT_BH]]=1,calendar[[#This Row],[WeekDay]]=1, calendar[[#This Row],[WeekDay]]=7),P863,P863+1)</f>
        <v>616</v>
      </c>
    </row>
    <row r="865" spans="1:19" x14ac:dyDescent="0.25">
      <c r="A865" s="2">
        <v>43599</v>
      </c>
      <c r="B865" s="1">
        <f t="shared" si="68"/>
        <v>20</v>
      </c>
      <c r="C865">
        <f t="shared" si="70"/>
        <v>5</v>
      </c>
      <c r="D865" t="str">
        <f t="shared" si="71"/>
        <v>May</v>
      </c>
      <c r="E865">
        <f t="shared" si="72"/>
        <v>2019</v>
      </c>
      <c r="F865" t="str">
        <f>CONCATENATE(calendar[[#This Row],[Month]],"/",calendar[[#This Row],[Year]])</f>
        <v>5/2019</v>
      </c>
      <c r="G865">
        <f>WEEKDAY(calendar[[#This Row],[Date]],1)</f>
        <v>3</v>
      </c>
      <c r="H865" t="str">
        <f>TEXT(calendar[[#This Row],[WeekDay]],"dddd")</f>
        <v>Tuesday</v>
      </c>
      <c r="I865">
        <f>IF((INT(calendar[[#This Row],[Count]]/7)-calendar[[#This Row],[Count]]/7)&lt;0,I864,I864+1)</f>
        <v>124</v>
      </c>
      <c r="J865">
        <f t="shared" si="69"/>
        <v>863</v>
      </c>
      <c r="K865">
        <f>IF(calendar[[#This Row],[Month]]&lt;4,1,IF(calendar[[#This Row],[Month]]&lt;7,2,IF(calendar[[#This Row],[Month]]&lt;10,3,4)))</f>
        <v>2</v>
      </c>
      <c r="L865">
        <f>IFERROR(IF(VLOOKUP(calendar[[#This Row],[Date]],BH!A:A,1,)&lt;&gt;"",1,0),0)</f>
        <v>0</v>
      </c>
      <c r="M865">
        <f>IFERROR(IF(VLOOKUP(calendar[[#This Row],[Date]],BH!C:C,1,)&lt;&gt;"",1,0),0)</f>
        <v>0</v>
      </c>
      <c r="N865">
        <f>IFERROR(IF(VLOOKUP(calendar[[#This Row],[Date]],BH!E:E,1,)&lt;&gt;"",1,0),0)</f>
        <v>0</v>
      </c>
      <c r="O865">
        <f>IFERROR(IF(VLOOKUP(calendar[[#This Row],[Date]],BH!G:G,1,)&lt;&gt;"",1,0),0)</f>
        <v>0</v>
      </c>
      <c r="P865">
        <f>IF(OR(calendar[[#This Row],[UK_BH]]=1,calendar[[#This Row],[WeekDay]]=1, calendar[[#This Row],[WeekDay]]=7),P864,P864+1)</f>
        <v>617</v>
      </c>
      <c r="Q865">
        <f>IF(OR(calendar[[#This Row],[FR_BH]]=1,calendar[[#This Row],[WeekDay]]=1, calendar[[#This Row],[WeekDay]]=7),P864,P864+1)</f>
        <v>617</v>
      </c>
      <c r="R865">
        <f>IF(OR(calendar[[#This Row],[SP_BH]]=1,calendar[[#This Row],[WeekDay]]=1, calendar[[#This Row],[WeekDay]]=7),P864,P864+1)</f>
        <v>617</v>
      </c>
      <c r="S865">
        <f>IF(OR(calendar[[#This Row],[PT_BH]]=1,calendar[[#This Row],[WeekDay]]=1, calendar[[#This Row],[WeekDay]]=7),P864,P864+1)</f>
        <v>617</v>
      </c>
    </row>
    <row r="866" spans="1:19" x14ac:dyDescent="0.25">
      <c r="A866" s="2">
        <v>43600</v>
      </c>
      <c r="B866" s="1">
        <f t="shared" si="68"/>
        <v>20</v>
      </c>
      <c r="C866">
        <f t="shared" si="70"/>
        <v>5</v>
      </c>
      <c r="D866" t="str">
        <f t="shared" si="71"/>
        <v>May</v>
      </c>
      <c r="E866">
        <f t="shared" si="72"/>
        <v>2019</v>
      </c>
      <c r="F866" t="str">
        <f>CONCATENATE(calendar[[#This Row],[Month]],"/",calendar[[#This Row],[Year]])</f>
        <v>5/2019</v>
      </c>
      <c r="G866">
        <f>WEEKDAY(calendar[[#This Row],[Date]],1)</f>
        <v>4</v>
      </c>
      <c r="H866" t="str">
        <f>TEXT(calendar[[#This Row],[WeekDay]],"dddd")</f>
        <v>Wednesday</v>
      </c>
      <c r="I866">
        <f>IF((INT(calendar[[#This Row],[Count]]/7)-calendar[[#This Row],[Count]]/7)&lt;0,I865,I865+1)</f>
        <v>124</v>
      </c>
      <c r="J866">
        <f t="shared" si="69"/>
        <v>864</v>
      </c>
      <c r="K866">
        <f>IF(calendar[[#This Row],[Month]]&lt;4,1,IF(calendar[[#This Row],[Month]]&lt;7,2,IF(calendar[[#This Row],[Month]]&lt;10,3,4)))</f>
        <v>2</v>
      </c>
      <c r="L866">
        <f>IFERROR(IF(VLOOKUP(calendar[[#This Row],[Date]],BH!A:A,1,)&lt;&gt;"",1,0),0)</f>
        <v>0</v>
      </c>
      <c r="M866">
        <f>IFERROR(IF(VLOOKUP(calendar[[#This Row],[Date]],BH!C:C,1,)&lt;&gt;"",1,0),0)</f>
        <v>0</v>
      </c>
      <c r="N866">
        <f>IFERROR(IF(VLOOKUP(calendar[[#This Row],[Date]],BH!E:E,1,)&lt;&gt;"",1,0),0)</f>
        <v>0</v>
      </c>
      <c r="O866">
        <f>IFERROR(IF(VLOOKUP(calendar[[#This Row],[Date]],BH!G:G,1,)&lt;&gt;"",1,0),0)</f>
        <v>0</v>
      </c>
      <c r="P866">
        <f>IF(OR(calendar[[#This Row],[UK_BH]]=1,calendar[[#This Row],[WeekDay]]=1, calendar[[#This Row],[WeekDay]]=7),P865,P865+1)</f>
        <v>618</v>
      </c>
      <c r="Q866">
        <f>IF(OR(calendar[[#This Row],[FR_BH]]=1,calendar[[#This Row],[WeekDay]]=1, calendar[[#This Row],[WeekDay]]=7),P865,P865+1)</f>
        <v>618</v>
      </c>
      <c r="R866">
        <f>IF(OR(calendar[[#This Row],[SP_BH]]=1,calendar[[#This Row],[WeekDay]]=1, calendar[[#This Row],[WeekDay]]=7),P865,P865+1)</f>
        <v>618</v>
      </c>
      <c r="S866">
        <f>IF(OR(calendar[[#This Row],[PT_BH]]=1,calendar[[#This Row],[WeekDay]]=1, calendar[[#This Row],[WeekDay]]=7),P865,P865+1)</f>
        <v>618</v>
      </c>
    </row>
    <row r="867" spans="1:19" x14ac:dyDescent="0.25">
      <c r="A867" s="2">
        <v>43601</v>
      </c>
      <c r="B867" s="1">
        <f t="shared" si="68"/>
        <v>20</v>
      </c>
      <c r="C867">
        <f t="shared" si="70"/>
        <v>5</v>
      </c>
      <c r="D867" t="str">
        <f t="shared" si="71"/>
        <v>May</v>
      </c>
      <c r="E867">
        <f t="shared" si="72"/>
        <v>2019</v>
      </c>
      <c r="F867" t="str">
        <f>CONCATENATE(calendar[[#This Row],[Month]],"/",calendar[[#This Row],[Year]])</f>
        <v>5/2019</v>
      </c>
      <c r="G867">
        <f>WEEKDAY(calendar[[#This Row],[Date]],1)</f>
        <v>5</v>
      </c>
      <c r="H867" t="str">
        <f>TEXT(calendar[[#This Row],[WeekDay]],"dddd")</f>
        <v>Thursday</v>
      </c>
      <c r="I867">
        <f>IF((INT(calendar[[#This Row],[Count]]/7)-calendar[[#This Row],[Count]]/7)&lt;0,I866,I866+1)</f>
        <v>124</v>
      </c>
      <c r="J867">
        <f t="shared" si="69"/>
        <v>865</v>
      </c>
      <c r="K867">
        <f>IF(calendar[[#This Row],[Month]]&lt;4,1,IF(calendar[[#This Row],[Month]]&lt;7,2,IF(calendar[[#This Row],[Month]]&lt;10,3,4)))</f>
        <v>2</v>
      </c>
      <c r="L867">
        <f>IFERROR(IF(VLOOKUP(calendar[[#This Row],[Date]],BH!A:A,1,)&lt;&gt;"",1,0),0)</f>
        <v>0</v>
      </c>
      <c r="M867">
        <f>IFERROR(IF(VLOOKUP(calendar[[#This Row],[Date]],BH!C:C,1,)&lt;&gt;"",1,0),0)</f>
        <v>0</v>
      </c>
      <c r="N867">
        <f>IFERROR(IF(VLOOKUP(calendar[[#This Row],[Date]],BH!E:E,1,)&lt;&gt;"",1,0),0)</f>
        <v>0</v>
      </c>
      <c r="O867">
        <f>IFERROR(IF(VLOOKUP(calendar[[#This Row],[Date]],BH!G:G,1,)&lt;&gt;"",1,0),0)</f>
        <v>0</v>
      </c>
      <c r="P867">
        <f>IF(OR(calendar[[#This Row],[UK_BH]]=1,calendar[[#This Row],[WeekDay]]=1, calendar[[#This Row],[WeekDay]]=7),P866,P866+1)</f>
        <v>619</v>
      </c>
      <c r="Q867">
        <f>IF(OR(calendar[[#This Row],[FR_BH]]=1,calendar[[#This Row],[WeekDay]]=1, calendar[[#This Row],[WeekDay]]=7),P866,P866+1)</f>
        <v>619</v>
      </c>
      <c r="R867">
        <f>IF(OR(calendar[[#This Row],[SP_BH]]=1,calendar[[#This Row],[WeekDay]]=1, calendar[[#This Row],[WeekDay]]=7),P866,P866+1)</f>
        <v>619</v>
      </c>
      <c r="S867">
        <f>IF(OR(calendar[[#This Row],[PT_BH]]=1,calendar[[#This Row],[WeekDay]]=1, calendar[[#This Row],[WeekDay]]=7),P866,P866+1)</f>
        <v>619</v>
      </c>
    </row>
    <row r="868" spans="1:19" x14ac:dyDescent="0.25">
      <c r="A868" s="2">
        <v>43602</v>
      </c>
      <c r="B868" s="1">
        <f t="shared" si="68"/>
        <v>20</v>
      </c>
      <c r="C868">
        <f t="shared" si="70"/>
        <v>5</v>
      </c>
      <c r="D868" t="str">
        <f t="shared" si="71"/>
        <v>May</v>
      </c>
      <c r="E868">
        <f t="shared" si="72"/>
        <v>2019</v>
      </c>
      <c r="F868" t="str">
        <f>CONCATENATE(calendar[[#This Row],[Month]],"/",calendar[[#This Row],[Year]])</f>
        <v>5/2019</v>
      </c>
      <c r="G868">
        <f>WEEKDAY(calendar[[#This Row],[Date]],1)</f>
        <v>6</v>
      </c>
      <c r="H868" t="str">
        <f>TEXT(calendar[[#This Row],[WeekDay]],"dddd")</f>
        <v>Friday</v>
      </c>
      <c r="I868">
        <f>IF((INT(calendar[[#This Row],[Count]]/7)-calendar[[#This Row],[Count]]/7)&lt;0,I867,I867+1)</f>
        <v>124</v>
      </c>
      <c r="J868">
        <f t="shared" si="69"/>
        <v>866</v>
      </c>
      <c r="K868">
        <f>IF(calendar[[#This Row],[Month]]&lt;4,1,IF(calendar[[#This Row],[Month]]&lt;7,2,IF(calendar[[#This Row],[Month]]&lt;10,3,4)))</f>
        <v>2</v>
      </c>
      <c r="L868">
        <f>IFERROR(IF(VLOOKUP(calendar[[#This Row],[Date]],BH!A:A,1,)&lt;&gt;"",1,0),0)</f>
        <v>0</v>
      </c>
      <c r="M868">
        <f>IFERROR(IF(VLOOKUP(calendar[[#This Row],[Date]],BH!C:C,1,)&lt;&gt;"",1,0),0)</f>
        <v>0</v>
      </c>
      <c r="N868">
        <f>IFERROR(IF(VLOOKUP(calendar[[#This Row],[Date]],BH!E:E,1,)&lt;&gt;"",1,0),0)</f>
        <v>0</v>
      </c>
      <c r="O868">
        <f>IFERROR(IF(VLOOKUP(calendar[[#This Row],[Date]],BH!G:G,1,)&lt;&gt;"",1,0),0)</f>
        <v>0</v>
      </c>
      <c r="P868">
        <f>IF(OR(calendar[[#This Row],[UK_BH]]=1,calendar[[#This Row],[WeekDay]]=1, calendar[[#This Row],[WeekDay]]=7),P867,P867+1)</f>
        <v>620</v>
      </c>
      <c r="Q868">
        <f>IF(OR(calendar[[#This Row],[FR_BH]]=1,calendar[[#This Row],[WeekDay]]=1, calendar[[#This Row],[WeekDay]]=7),P867,P867+1)</f>
        <v>620</v>
      </c>
      <c r="R868">
        <f>IF(OR(calendar[[#This Row],[SP_BH]]=1,calendar[[#This Row],[WeekDay]]=1, calendar[[#This Row],[WeekDay]]=7),P867,P867+1)</f>
        <v>620</v>
      </c>
      <c r="S868">
        <f>IF(OR(calendar[[#This Row],[PT_BH]]=1,calendar[[#This Row],[WeekDay]]=1, calendar[[#This Row],[WeekDay]]=7),P867,P867+1)</f>
        <v>620</v>
      </c>
    </row>
    <row r="869" spans="1:19" x14ac:dyDescent="0.25">
      <c r="A869" s="2">
        <v>43603</v>
      </c>
      <c r="B869" s="1">
        <f t="shared" si="68"/>
        <v>20</v>
      </c>
      <c r="C869">
        <f t="shared" si="70"/>
        <v>5</v>
      </c>
      <c r="D869" t="str">
        <f t="shared" si="71"/>
        <v>May</v>
      </c>
      <c r="E869">
        <f t="shared" si="72"/>
        <v>2019</v>
      </c>
      <c r="F869" t="str">
        <f>CONCATENATE(calendar[[#This Row],[Month]],"/",calendar[[#This Row],[Year]])</f>
        <v>5/2019</v>
      </c>
      <c r="G869">
        <f>WEEKDAY(calendar[[#This Row],[Date]],1)</f>
        <v>7</v>
      </c>
      <c r="H869" t="str">
        <f>TEXT(calendar[[#This Row],[WeekDay]],"dddd")</f>
        <v>Saturday</v>
      </c>
      <c r="I869">
        <f>IF((INT(calendar[[#This Row],[Count]]/7)-calendar[[#This Row],[Count]]/7)&lt;0,I868,I868+1)</f>
        <v>124</v>
      </c>
      <c r="J869">
        <f t="shared" si="69"/>
        <v>867</v>
      </c>
      <c r="K869">
        <f>IF(calendar[[#This Row],[Month]]&lt;4,1,IF(calendar[[#This Row],[Month]]&lt;7,2,IF(calendar[[#This Row],[Month]]&lt;10,3,4)))</f>
        <v>2</v>
      </c>
      <c r="L869">
        <f>IFERROR(IF(VLOOKUP(calendar[[#This Row],[Date]],BH!A:A,1,)&lt;&gt;"",1,0),0)</f>
        <v>0</v>
      </c>
      <c r="M869">
        <f>IFERROR(IF(VLOOKUP(calendar[[#This Row],[Date]],BH!C:C,1,)&lt;&gt;"",1,0),0)</f>
        <v>0</v>
      </c>
      <c r="N869">
        <f>IFERROR(IF(VLOOKUP(calendar[[#This Row],[Date]],BH!E:E,1,)&lt;&gt;"",1,0),0)</f>
        <v>0</v>
      </c>
      <c r="O869">
        <f>IFERROR(IF(VLOOKUP(calendar[[#This Row],[Date]],BH!G:G,1,)&lt;&gt;"",1,0),0)</f>
        <v>0</v>
      </c>
      <c r="P869">
        <f>IF(OR(calendar[[#This Row],[UK_BH]]=1,calendar[[#This Row],[WeekDay]]=1, calendar[[#This Row],[WeekDay]]=7),P868,P868+1)</f>
        <v>620</v>
      </c>
      <c r="Q869">
        <f>IF(OR(calendar[[#This Row],[FR_BH]]=1,calendar[[#This Row],[WeekDay]]=1, calendar[[#This Row],[WeekDay]]=7),P868,P868+1)</f>
        <v>620</v>
      </c>
      <c r="R869">
        <f>IF(OR(calendar[[#This Row],[SP_BH]]=1,calendar[[#This Row],[WeekDay]]=1, calendar[[#This Row],[WeekDay]]=7),P868,P868+1)</f>
        <v>620</v>
      </c>
      <c r="S869">
        <f>IF(OR(calendar[[#This Row],[PT_BH]]=1,calendar[[#This Row],[WeekDay]]=1, calendar[[#This Row],[WeekDay]]=7),P868,P868+1)</f>
        <v>620</v>
      </c>
    </row>
    <row r="870" spans="1:19" x14ac:dyDescent="0.25">
      <c r="A870" s="2">
        <v>43604</v>
      </c>
      <c r="B870" s="1">
        <f t="shared" si="68"/>
        <v>21</v>
      </c>
      <c r="C870">
        <f t="shared" si="70"/>
        <v>5</v>
      </c>
      <c r="D870" t="str">
        <f t="shared" si="71"/>
        <v>May</v>
      </c>
      <c r="E870">
        <f t="shared" si="72"/>
        <v>2019</v>
      </c>
      <c r="F870" t="str">
        <f>CONCATENATE(calendar[[#This Row],[Month]],"/",calendar[[#This Row],[Year]])</f>
        <v>5/2019</v>
      </c>
      <c r="G870">
        <f>WEEKDAY(calendar[[#This Row],[Date]],1)</f>
        <v>1</v>
      </c>
      <c r="H870" t="str">
        <f>TEXT(calendar[[#This Row],[WeekDay]],"dddd")</f>
        <v>Sunday</v>
      </c>
      <c r="I870">
        <f>IF((INT(calendar[[#This Row],[Count]]/7)-calendar[[#This Row],[Count]]/7)&lt;0,I869,I869+1)</f>
        <v>125</v>
      </c>
      <c r="J870">
        <f t="shared" si="69"/>
        <v>868</v>
      </c>
      <c r="K870">
        <f>IF(calendar[[#This Row],[Month]]&lt;4,1,IF(calendar[[#This Row],[Month]]&lt;7,2,IF(calendar[[#This Row],[Month]]&lt;10,3,4)))</f>
        <v>2</v>
      </c>
      <c r="L870">
        <f>IFERROR(IF(VLOOKUP(calendar[[#This Row],[Date]],BH!A:A,1,)&lt;&gt;"",1,0),0)</f>
        <v>0</v>
      </c>
      <c r="M870">
        <f>IFERROR(IF(VLOOKUP(calendar[[#This Row],[Date]],BH!C:C,1,)&lt;&gt;"",1,0),0)</f>
        <v>0</v>
      </c>
      <c r="N870">
        <f>IFERROR(IF(VLOOKUP(calendar[[#This Row],[Date]],BH!E:E,1,)&lt;&gt;"",1,0),0)</f>
        <v>0</v>
      </c>
      <c r="O870">
        <f>IFERROR(IF(VLOOKUP(calendar[[#This Row],[Date]],BH!G:G,1,)&lt;&gt;"",1,0),0)</f>
        <v>0</v>
      </c>
      <c r="P870">
        <f>IF(OR(calendar[[#This Row],[UK_BH]]=1,calendar[[#This Row],[WeekDay]]=1, calendar[[#This Row],[WeekDay]]=7),P869,P869+1)</f>
        <v>620</v>
      </c>
      <c r="Q870">
        <f>IF(OR(calendar[[#This Row],[FR_BH]]=1,calendar[[#This Row],[WeekDay]]=1, calendar[[#This Row],[WeekDay]]=7),P869,P869+1)</f>
        <v>620</v>
      </c>
      <c r="R870">
        <f>IF(OR(calendar[[#This Row],[SP_BH]]=1,calendar[[#This Row],[WeekDay]]=1, calendar[[#This Row],[WeekDay]]=7),P869,P869+1)</f>
        <v>620</v>
      </c>
      <c r="S870">
        <f>IF(OR(calendar[[#This Row],[PT_BH]]=1,calendar[[#This Row],[WeekDay]]=1, calendar[[#This Row],[WeekDay]]=7),P869,P869+1)</f>
        <v>620</v>
      </c>
    </row>
    <row r="871" spans="1:19" x14ac:dyDescent="0.25">
      <c r="A871" s="2">
        <v>43605</v>
      </c>
      <c r="B871" s="1">
        <f t="shared" si="68"/>
        <v>21</v>
      </c>
      <c r="C871">
        <f t="shared" si="70"/>
        <v>5</v>
      </c>
      <c r="D871" t="str">
        <f t="shared" si="71"/>
        <v>May</v>
      </c>
      <c r="E871">
        <f t="shared" si="72"/>
        <v>2019</v>
      </c>
      <c r="F871" t="str">
        <f>CONCATENATE(calendar[[#This Row],[Month]],"/",calendar[[#This Row],[Year]])</f>
        <v>5/2019</v>
      </c>
      <c r="G871">
        <f>WEEKDAY(calendar[[#This Row],[Date]],1)</f>
        <v>2</v>
      </c>
      <c r="H871" t="str">
        <f>TEXT(calendar[[#This Row],[WeekDay]],"dddd")</f>
        <v>Monday</v>
      </c>
      <c r="I871">
        <f>IF((INT(calendar[[#This Row],[Count]]/7)-calendar[[#This Row],[Count]]/7)&lt;0,I870,I870+1)</f>
        <v>125</v>
      </c>
      <c r="J871">
        <f t="shared" si="69"/>
        <v>869</v>
      </c>
      <c r="K871">
        <f>IF(calendar[[#This Row],[Month]]&lt;4,1,IF(calendar[[#This Row],[Month]]&lt;7,2,IF(calendar[[#This Row],[Month]]&lt;10,3,4)))</f>
        <v>2</v>
      </c>
      <c r="L871">
        <f>IFERROR(IF(VLOOKUP(calendar[[#This Row],[Date]],BH!A:A,1,)&lt;&gt;"",1,0),0)</f>
        <v>0</v>
      </c>
      <c r="M871">
        <f>IFERROR(IF(VLOOKUP(calendar[[#This Row],[Date]],BH!C:C,1,)&lt;&gt;"",1,0),0)</f>
        <v>0</v>
      </c>
      <c r="N871">
        <f>IFERROR(IF(VLOOKUP(calendar[[#This Row],[Date]],BH!E:E,1,)&lt;&gt;"",1,0),0)</f>
        <v>0</v>
      </c>
      <c r="O871">
        <f>IFERROR(IF(VLOOKUP(calendar[[#This Row],[Date]],BH!G:G,1,)&lt;&gt;"",1,0),0)</f>
        <v>0</v>
      </c>
      <c r="P871">
        <f>IF(OR(calendar[[#This Row],[UK_BH]]=1,calendar[[#This Row],[WeekDay]]=1, calendar[[#This Row],[WeekDay]]=7),P870,P870+1)</f>
        <v>621</v>
      </c>
      <c r="Q871">
        <f>IF(OR(calendar[[#This Row],[FR_BH]]=1,calendar[[#This Row],[WeekDay]]=1, calendar[[#This Row],[WeekDay]]=7),P870,P870+1)</f>
        <v>621</v>
      </c>
      <c r="R871">
        <f>IF(OR(calendar[[#This Row],[SP_BH]]=1,calendar[[#This Row],[WeekDay]]=1, calendar[[#This Row],[WeekDay]]=7),P870,P870+1)</f>
        <v>621</v>
      </c>
      <c r="S871">
        <f>IF(OR(calendar[[#This Row],[PT_BH]]=1,calendar[[#This Row],[WeekDay]]=1, calendar[[#This Row],[WeekDay]]=7),P870,P870+1)</f>
        <v>621</v>
      </c>
    </row>
    <row r="872" spans="1:19" x14ac:dyDescent="0.25">
      <c r="A872" s="2">
        <v>43606</v>
      </c>
      <c r="B872" s="1">
        <f t="shared" si="68"/>
        <v>21</v>
      </c>
      <c r="C872">
        <f t="shared" si="70"/>
        <v>5</v>
      </c>
      <c r="D872" t="str">
        <f t="shared" si="71"/>
        <v>May</v>
      </c>
      <c r="E872">
        <f t="shared" si="72"/>
        <v>2019</v>
      </c>
      <c r="F872" t="str">
        <f>CONCATENATE(calendar[[#This Row],[Month]],"/",calendar[[#This Row],[Year]])</f>
        <v>5/2019</v>
      </c>
      <c r="G872">
        <f>WEEKDAY(calendar[[#This Row],[Date]],1)</f>
        <v>3</v>
      </c>
      <c r="H872" t="str">
        <f>TEXT(calendar[[#This Row],[WeekDay]],"dddd")</f>
        <v>Tuesday</v>
      </c>
      <c r="I872">
        <f>IF((INT(calendar[[#This Row],[Count]]/7)-calendar[[#This Row],[Count]]/7)&lt;0,I871,I871+1)</f>
        <v>125</v>
      </c>
      <c r="J872">
        <f t="shared" si="69"/>
        <v>870</v>
      </c>
      <c r="K872">
        <f>IF(calendar[[#This Row],[Month]]&lt;4,1,IF(calendar[[#This Row],[Month]]&lt;7,2,IF(calendar[[#This Row],[Month]]&lt;10,3,4)))</f>
        <v>2</v>
      </c>
      <c r="L872">
        <f>IFERROR(IF(VLOOKUP(calendar[[#This Row],[Date]],BH!A:A,1,)&lt;&gt;"",1,0),0)</f>
        <v>0</v>
      </c>
      <c r="M872">
        <f>IFERROR(IF(VLOOKUP(calendar[[#This Row],[Date]],BH!C:C,1,)&lt;&gt;"",1,0),0)</f>
        <v>0</v>
      </c>
      <c r="N872">
        <f>IFERROR(IF(VLOOKUP(calendar[[#This Row],[Date]],BH!E:E,1,)&lt;&gt;"",1,0),0)</f>
        <v>0</v>
      </c>
      <c r="O872">
        <f>IFERROR(IF(VLOOKUP(calendar[[#This Row],[Date]],BH!G:G,1,)&lt;&gt;"",1,0),0)</f>
        <v>0</v>
      </c>
      <c r="P872">
        <f>IF(OR(calendar[[#This Row],[UK_BH]]=1,calendar[[#This Row],[WeekDay]]=1, calendar[[#This Row],[WeekDay]]=7),P871,P871+1)</f>
        <v>622</v>
      </c>
      <c r="Q872">
        <f>IF(OR(calendar[[#This Row],[FR_BH]]=1,calendar[[#This Row],[WeekDay]]=1, calendar[[#This Row],[WeekDay]]=7),P871,P871+1)</f>
        <v>622</v>
      </c>
      <c r="R872">
        <f>IF(OR(calendar[[#This Row],[SP_BH]]=1,calendar[[#This Row],[WeekDay]]=1, calendar[[#This Row],[WeekDay]]=7),P871,P871+1)</f>
        <v>622</v>
      </c>
      <c r="S872">
        <f>IF(OR(calendar[[#This Row],[PT_BH]]=1,calendar[[#This Row],[WeekDay]]=1, calendar[[#This Row],[WeekDay]]=7),P871,P871+1)</f>
        <v>622</v>
      </c>
    </row>
    <row r="873" spans="1:19" x14ac:dyDescent="0.25">
      <c r="A873" s="2">
        <v>43607</v>
      </c>
      <c r="B873" s="1">
        <f t="shared" si="68"/>
        <v>21</v>
      </c>
      <c r="C873">
        <f t="shared" si="70"/>
        <v>5</v>
      </c>
      <c r="D873" t="str">
        <f t="shared" si="71"/>
        <v>May</v>
      </c>
      <c r="E873">
        <f t="shared" si="72"/>
        <v>2019</v>
      </c>
      <c r="F873" t="str">
        <f>CONCATENATE(calendar[[#This Row],[Month]],"/",calendar[[#This Row],[Year]])</f>
        <v>5/2019</v>
      </c>
      <c r="G873">
        <f>WEEKDAY(calendar[[#This Row],[Date]],1)</f>
        <v>4</v>
      </c>
      <c r="H873" t="str">
        <f>TEXT(calendar[[#This Row],[WeekDay]],"dddd")</f>
        <v>Wednesday</v>
      </c>
      <c r="I873">
        <f>IF((INT(calendar[[#This Row],[Count]]/7)-calendar[[#This Row],[Count]]/7)&lt;0,I872,I872+1)</f>
        <v>125</v>
      </c>
      <c r="J873">
        <f t="shared" si="69"/>
        <v>871</v>
      </c>
      <c r="K873">
        <f>IF(calendar[[#This Row],[Month]]&lt;4,1,IF(calendar[[#This Row],[Month]]&lt;7,2,IF(calendar[[#This Row],[Month]]&lt;10,3,4)))</f>
        <v>2</v>
      </c>
      <c r="L873">
        <f>IFERROR(IF(VLOOKUP(calendar[[#This Row],[Date]],BH!A:A,1,)&lt;&gt;"",1,0),0)</f>
        <v>0</v>
      </c>
      <c r="M873">
        <f>IFERROR(IF(VLOOKUP(calendar[[#This Row],[Date]],BH!C:C,1,)&lt;&gt;"",1,0),0)</f>
        <v>0</v>
      </c>
      <c r="N873">
        <f>IFERROR(IF(VLOOKUP(calendar[[#This Row],[Date]],BH!E:E,1,)&lt;&gt;"",1,0),0)</f>
        <v>0</v>
      </c>
      <c r="O873">
        <f>IFERROR(IF(VLOOKUP(calendar[[#This Row],[Date]],BH!G:G,1,)&lt;&gt;"",1,0),0)</f>
        <v>0</v>
      </c>
      <c r="P873">
        <f>IF(OR(calendar[[#This Row],[UK_BH]]=1,calendar[[#This Row],[WeekDay]]=1, calendar[[#This Row],[WeekDay]]=7),P872,P872+1)</f>
        <v>623</v>
      </c>
      <c r="Q873">
        <f>IF(OR(calendar[[#This Row],[FR_BH]]=1,calendar[[#This Row],[WeekDay]]=1, calendar[[#This Row],[WeekDay]]=7),P872,P872+1)</f>
        <v>623</v>
      </c>
      <c r="R873">
        <f>IF(OR(calendar[[#This Row],[SP_BH]]=1,calendar[[#This Row],[WeekDay]]=1, calendar[[#This Row],[WeekDay]]=7),P872,P872+1)</f>
        <v>623</v>
      </c>
      <c r="S873">
        <f>IF(OR(calendar[[#This Row],[PT_BH]]=1,calendar[[#This Row],[WeekDay]]=1, calendar[[#This Row],[WeekDay]]=7),P872,P872+1)</f>
        <v>623</v>
      </c>
    </row>
    <row r="874" spans="1:19" x14ac:dyDescent="0.25">
      <c r="A874" s="2">
        <v>43608</v>
      </c>
      <c r="B874" s="1">
        <f t="shared" si="68"/>
        <v>21</v>
      </c>
      <c r="C874">
        <f t="shared" si="70"/>
        <v>5</v>
      </c>
      <c r="D874" t="str">
        <f t="shared" si="71"/>
        <v>May</v>
      </c>
      <c r="E874">
        <f t="shared" si="72"/>
        <v>2019</v>
      </c>
      <c r="F874" t="str">
        <f>CONCATENATE(calendar[[#This Row],[Month]],"/",calendar[[#This Row],[Year]])</f>
        <v>5/2019</v>
      </c>
      <c r="G874">
        <f>WEEKDAY(calendar[[#This Row],[Date]],1)</f>
        <v>5</v>
      </c>
      <c r="H874" t="str">
        <f>TEXT(calendar[[#This Row],[WeekDay]],"dddd")</f>
        <v>Thursday</v>
      </c>
      <c r="I874">
        <f>IF((INT(calendar[[#This Row],[Count]]/7)-calendar[[#This Row],[Count]]/7)&lt;0,I873,I873+1)</f>
        <v>125</v>
      </c>
      <c r="J874">
        <f t="shared" si="69"/>
        <v>872</v>
      </c>
      <c r="K874">
        <f>IF(calendar[[#This Row],[Month]]&lt;4,1,IF(calendar[[#This Row],[Month]]&lt;7,2,IF(calendar[[#This Row],[Month]]&lt;10,3,4)))</f>
        <v>2</v>
      </c>
      <c r="L874">
        <f>IFERROR(IF(VLOOKUP(calendar[[#This Row],[Date]],BH!A:A,1,)&lt;&gt;"",1,0),0)</f>
        <v>0</v>
      </c>
      <c r="M874">
        <f>IFERROR(IF(VLOOKUP(calendar[[#This Row],[Date]],BH!C:C,1,)&lt;&gt;"",1,0),0)</f>
        <v>0</v>
      </c>
      <c r="N874">
        <f>IFERROR(IF(VLOOKUP(calendar[[#This Row],[Date]],BH!E:E,1,)&lt;&gt;"",1,0),0)</f>
        <v>0</v>
      </c>
      <c r="O874">
        <f>IFERROR(IF(VLOOKUP(calendar[[#This Row],[Date]],BH!G:G,1,)&lt;&gt;"",1,0),0)</f>
        <v>0</v>
      </c>
      <c r="P874">
        <f>IF(OR(calendar[[#This Row],[UK_BH]]=1,calendar[[#This Row],[WeekDay]]=1, calendar[[#This Row],[WeekDay]]=7),P873,P873+1)</f>
        <v>624</v>
      </c>
      <c r="Q874">
        <f>IF(OR(calendar[[#This Row],[FR_BH]]=1,calendar[[#This Row],[WeekDay]]=1, calendar[[#This Row],[WeekDay]]=7),P873,P873+1)</f>
        <v>624</v>
      </c>
      <c r="R874">
        <f>IF(OR(calendar[[#This Row],[SP_BH]]=1,calendar[[#This Row],[WeekDay]]=1, calendar[[#This Row],[WeekDay]]=7),P873,P873+1)</f>
        <v>624</v>
      </c>
      <c r="S874">
        <f>IF(OR(calendar[[#This Row],[PT_BH]]=1,calendar[[#This Row],[WeekDay]]=1, calendar[[#This Row],[WeekDay]]=7),P873,P873+1)</f>
        <v>624</v>
      </c>
    </row>
    <row r="875" spans="1:19" x14ac:dyDescent="0.25">
      <c r="A875" s="2">
        <v>43609</v>
      </c>
      <c r="B875" s="1">
        <f t="shared" si="68"/>
        <v>21</v>
      </c>
      <c r="C875">
        <f t="shared" si="70"/>
        <v>5</v>
      </c>
      <c r="D875" t="str">
        <f t="shared" si="71"/>
        <v>May</v>
      </c>
      <c r="E875">
        <f t="shared" si="72"/>
        <v>2019</v>
      </c>
      <c r="F875" t="str">
        <f>CONCATENATE(calendar[[#This Row],[Month]],"/",calendar[[#This Row],[Year]])</f>
        <v>5/2019</v>
      </c>
      <c r="G875">
        <f>WEEKDAY(calendar[[#This Row],[Date]],1)</f>
        <v>6</v>
      </c>
      <c r="H875" t="str">
        <f>TEXT(calendar[[#This Row],[WeekDay]],"dddd")</f>
        <v>Friday</v>
      </c>
      <c r="I875">
        <f>IF((INT(calendar[[#This Row],[Count]]/7)-calendar[[#This Row],[Count]]/7)&lt;0,I874,I874+1)</f>
        <v>125</v>
      </c>
      <c r="J875">
        <f t="shared" si="69"/>
        <v>873</v>
      </c>
      <c r="K875">
        <f>IF(calendar[[#This Row],[Month]]&lt;4,1,IF(calendar[[#This Row],[Month]]&lt;7,2,IF(calendar[[#This Row],[Month]]&lt;10,3,4)))</f>
        <v>2</v>
      </c>
      <c r="L875">
        <f>IFERROR(IF(VLOOKUP(calendar[[#This Row],[Date]],BH!A:A,1,)&lt;&gt;"",1,0),0)</f>
        <v>0</v>
      </c>
      <c r="M875">
        <f>IFERROR(IF(VLOOKUP(calendar[[#This Row],[Date]],BH!C:C,1,)&lt;&gt;"",1,0),0)</f>
        <v>0</v>
      </c>
      <c r="N875">
        <f>IFERROR(IF(VLOOKUP(calendar[[#This Row],[Date]],BH!E:E,1,)&lt;&gt;"",1,0),0)</f>
        <v>0</v>
      </c>
      <c r="O875">
        <f>IFERROR(IF(VLOOKUP(calendar[[#This Row],[Date]],BH!G:G,1,)&lt;&gt;"",1,0),0)</f>
        <v>0</v>
      </c>
      <c r="P875">
        <f>IF(OR(calendar[[#This Row],[UK_BH]]=1,calendar[[#This Row],[WeekDay]]=1, calendar[[#This Row],[WeekDay]]=7),P874,P874+1)</f>
        <v>625</v>
      </c>
      <c r="Q875">
        <f>IF(OR(calendar[[#This Row],[FR_BH]]=1,calendar[[#This Row],[WeekDay]]=1, calendar[[#This Row],[WeekDay]]=7),P874,P874+1)</f>
        <v>625</v>
      </c>
      <c r="R875">
        <f>IF(OR(calendar[[#This Row],[SP_BH]]=1,calendar[[#This Row],[WeekDay]]=1, calendar[[#This Row],[WeekDay]]=7),P874,P874+1)</f>
        <v>625</v>
      </c>
      <c r="S875">
        <f>IF(OR(calendar[[#This Row],[PT_BH]]=1,calendar[[#This Row],[WeekDay]]=1, calendar[[#This Row],[WeekDay]]=7),P874,P874+1)</f>
        <v>625</v>
      </c>
    </row>
    <row r="876" spans="1:19" x14ac:dyDescent="0.25">
      <c r="A876" s="2">
        <v>43610</v>
      </c>
      <c r="B876" s="1">
        <f t="shared" si="68"/>
        <v>21</v>
      </c>
      <c r="C876">
        <f t="shared" si="70"/>
        <v>5</v>
      </c>
      <c r="D876" t="str">
        <f t="shared" si="71"/>
        <v>May</v>
      </c>
      <c r="E876">
        <f t="shared" si="72"/>
        <v>2019</v>
      </c>
      <c r="F876" t="str">
        <f>CONCATENATE(calendar[[#This Row],[Month]],"/",calendar[[#This Row],[Year]])</f>
        <v>5/2019</v>
      </c>
      <c r="G876">
        <f>WEEKDAY(calendar[[#This Row],[Date]],1)</f>
        <v>7</v>
      </c>
      <c r="H876" t="str">
        <f>TEXT(calendar[[#This Row],[WeekDay]],"dddd")</f>
        <v>Saturday</v>
      </c>
      <c r="I876">
        <f>IF((INT(calendar[[#This Row],[Count]]/7)-calendar[[#This Row],[Count]]/7)&lt;0,I875,I875+1)</f>
        <v>125</v>
      </c>
      <c r="J876">
        <f t="shared" si="69"/>
        <v>874</v>
      </c>
      <c r="K876">
        <f>IF(calendar[[#This Row],[Month]]&lt;4,1,IF(calendar[[#This Row],[Month]]&lt;7,2,IF(calendar[[#This Row],[Month]]&lt;10,3,4)))</f>
        <v>2</v>
      </c>
      <c r="L876">
        <f>IFERROR(IF(VLOOKUP(calendar[[#This Row],[Date]],BH!A:A,1,)&lt;&gt;"",1,0),0)</f>
        <v>0</v>
      </c>
      <c r="M876">
        <f>IFERROR(IF(VLOOKUP(calendar[[#This Row],[Date]],BH!C:C,1,)&lt;&gt;"",1,0),0)</f>
        <v>0</v>
      </c>
      <c r="N876">
        <f>IFERROR(IF(VLOOKUP(calendar[[#This Row],[Date]],BH!E:E,1,)&lt;&gt;"",1,0),0)</f>
        <v>0</v>
      </c>
      <c r="O876">
        <f>IFERROR(IF(VLOOKUP(calendar[[#This Row],[Date]],BH!G:G,1,)&lt;&gt;"",1,0),0)</f>
        <v>0</v>
      </c>
      <c r="P876">
        <f>IF(OR(calendar[[#This Row],[UK_BH]]=1,calendar[[#This Row],[WeekDay]]=1, calendar[[#This Row],[WeekDay]]=7),P875,P875+1)</f>
        <v>625</v>
      </c>
      <c r="Q876">
        <f>IF(OR(calendar[[#This Row],[FR_BH]]=1,calendar[[#This Row],[WeekDay]]=1, calendar[[#This Row],[WeekDay]]=7),P875,P875+1)</f>
        <v>625</v>
      </c>
      <c r="R876">
        <f>IF(OR(calendar[[#This Row],[SP_BH]]=1,calendar[[#This Row],[WeekDay]]=1, calendar[[#This Row],[WeekDay]]=7),P875,P875+1)</f>
        <v>625</v>
      </c>
      <c r="S876">
        <f>IF(OR(calendar[[#This Row],[PT_BH]]=1,calendar[[#This Row],[WeekDay]]=1, calendar[[#This Row],[WeekDay]]=7),P875,P875+1)</f>
        <v>625</v>
      </c>
    </row>
    <row r="877" spans="1:19" x14ac:dyDescent="0.25">
      <c r="A877" s="2">
        <v>43611</v>
      </c>
      <c r="B877" s="1">
        <f t="shared" si="68"/>
        <v>22</v>
      </c>
      <c r="C877">
        <f t="shared" si="70"/>
        <v>5</v>
      </c>
      <c r="D877" t="str">
        <f t="shared" si="71"/>
        <v>May</v>
      </c>
      <c r="E877">
        <f t="shared" si="72"/>
        <v>2019</v>
      </c>
      <c r="F877" t="str">
        <f>CONCATENATE(calendar[[#This Row],[Month]],"/",calendar[[#This Row],[Year]])</f>
        <v>5/2019</v>
      </c>
      <c r="G877">
        <f>WEEKDAY(calendar[[#This Row],[Date]],1)</f>
        <v>1</v>
      </c>
      <c r="H877" t="str">
        <f>TEXT(calendar[[#This Row],[WeekDay]],"dddd")</f>
        <v>Sunday</v>
      </c>
      <c r="I877">
        <f>IF((INT(calendar[[#This Row],[Count]]/7)-calendar[[#This Row],[Count]]/7)&lt;0,I876,I876+1)</f>
        <v>126</v>
      </c>
      <c r="J877">
        <f t="shared" si="69"/>
        <v>875</v>
      </c>
      <c r="K877">
        <f>IF(calendar[[#This Row],[Month]]&lt;4,1,IF(calendar[[#This Row],[Month]]&lt;7,2,IF(calendar[[#This Row],[Month]]&lt;10,3,4)))</f>
        <v>2</v>
      </c>
      <c r="L877">
        <f>IFERROR(IF(VLOOKUP(calendar[[#This Row],[Date]],BH!A:A,1,)&lt;&gt;"",1,0),0)</f>
        <v>0</v>
      </c>
      <c r="M877">
        <f>IFERROR(IF(VLOOKUP(calendar[[#This Row],[Date]],BH!C:C,1,)&lt;&gt;"",1,0),0)</f>
        <v>0</v>
      </c>
      <c r="N877">
        <f>IFERROR(IF(VLOOKUP(calendar[[#This Row],[Date]],BH!E:E,1,)&lt;&gt;"",1,0),0)</f>
        <v>0</v>
      </c>
      <c r="O877">
        <f>IFERROR(IF(VLOOKUP(calendar[[#This Row],[Date]],BH!G:G,1,)&lt;&gt;"",1,0),0)</f>
        <v>0</v>
      </c>
      <c r="P877">
        <f>IF(OR(calendar[[#This Row],[UK_BH]]=1,calendar[[#This Row],[WeekDay]]=1, calendar[[#This Row],[WeekDay]]=7),P876,P876+1)</f>
        <v>625</v>
      </c>
      <c r="Q877">
        <f>IF(OR(calendar[[#This Row],[FR_BH]]=1,calendar[[#This Row],[WeekDay]]=1, calendar[[#This Row],[WeekDay]]=7),P876,P876+1)</f>
        <v>625</v>
      </c>
      <c r="R877">
        <f>IF(OR(calendar[[#This Row],[SP_BH]]=1,calendar[[#This Row],[WeekDay]]=1, calendar[[#This Row],[WeekDay]]=7),P876,P876+1)</f>
        <v>625</v>
      </c>
      <c r="S877">
        <f>IF(OR(calendar[[#This Row],[PT_BH]]=1,calendar[[#This Row],[WeekDay]]=1, calendar[[#This Row],[WeekDay]]=7),P876,P876+1)</f>
        <v>625</v>
      </c>
    </row>
    <row r="878" spans="1:19" x14ac:dyDescent="0.25">
      <c r="A878" s="2">
        <v>43612</v>
      </c>
      <c r="B878" s="1">
        <f t="shared" si="68"/>
        <v>22</v>
      </c>
      <c r="C878">
        <f t="shared" si="70"/>
        <v>5</v>
      </c>
      <c r="D878" t="str">
        <f t="shared" si="71"/>
        <v>May</v>
      </c>
      <c r="E878">
        <f t="shared" si="72"/>
        <v>2019</v>
      </c>
      <c r="F878" t="str">
        <f>CONCATENATE(calendar[[#This Row],[Month]],"/",calendar[[#This Row],[Year]])</f>
        <v>5/2019</v>
      </c>
      <c r="G878">
        <f>WEEKDAY(calendar[[#This Row],[Date]],1)</f>
        <v>2</v>
      </c>
      <c r="H878" t="str">
        <f>TEXT(calendar[[#This Row],[WeekDay]],"dddd")</f>
        <v>Monday</v>
      </c>
      <c r="I878">
        <f>IF((INT(calendar[[#This Row],[Count]]/7)-calendar[[#This Row],[Count]]/7)&lt;0,I877,I877+1)</f>
        <v>126</v>
      </c>
      <c r="J878">
        <f t="shared" si="69"/>
        <v>876</v>
      </c>
      <c r="K878">
        <f>IF(calendar[[#This Row],[Month]]&lt;4,1,IF(calendar[[#This Row],[Month]]&lt;7,2,IF(calendar[[#This Row],[Month]]&lt;10,3,4)))</f>
        <v>2</v>
      </c>
      <c r="L878">
        <f>IFERROR(IF(VLOOKUP(calendar[[#This Row],[Date]],BH!A:A,1,)&lt;&gt;"",1,0),0)</f>
        <v>0</v>
      </c>
      <c r="M878">
        <f>IFERROR(IF(VLOOKUP(calendar[[#This Row],[Date]],BH!C:C,1,)&lt;&gt;"",1,0),0)</f>
        <v>0</v>
      </c>
      <c r="N878">
        <f>IFERROR(IF(VLOOKUP(calendar[[#This Row],[Date]],BH!E:E,1,)&lt;&gt;"",1,0),0)</f>
        <v>0</v>
      </c>
      <c r="O878">
        <f>IFERROR(IF(VLOOKUP(calendar[[#This Row],[Date]],BH!G:G,1,)&lt;&gt;"",1,0),0)</f>
        <v>0</v>
      </c>
      <c r="P878">
        <f>IF(OR(calendar[[#This Row],[UK_BH]]=1,calendar[[#This Row],[WeekDay]]=1, calendar[[#This Row],[WeekDay]]=7),P877,P877+1)</f>
        <v>626</v>
      </c>
      <c r="Q878">
        <f>IF(OR(calendar[[#This Row],[FR_BH]]=1,calendar[[#This Row],[WeekDay]]=1, calendar[[#This Row],[WeekDay]]=7),P877,P877+1)</f>
        <v>626</v>
      </c>
      <c r="R878">
        <f>IF(OR(calendar[[#This Row],[SP_BH]]=1,calendar[[#This Row],[WeekDay]]=1, calendar[[#This Row],[WeekDay]]=7),P877,P877+1)</f>
        <v>626</v>
      </c>
      <c r="S878">
        <f>IF(OR(calendar[[#This Row],[PT_BH]]=1,calendar[[#This Row],[WeekDay]]=1, calendar[[#This Row],[WeekDay]]=7),P877,P877+1)</f>
        <v>626</v>
      </c>
    </row>
    <row r="879" spans="1:19" x14ac:dyDescent="0.25">
      <c r="A879" s="2">
        <v>43613</v>
      </c>
      <c r="B879" s="1">
        <f t="shared" si="68"/>
        <v>22</v>
      </c>
      <c r="C879">
        <f t="shared" si="70"/>
        <v>5</v>
      </c>
      <c r="D879" t="str">
        <f t="shared" si="71"/>
        <v>May</v>
      </c>
      <c r="E879">
        <f t="shared" si="72"/>
        <v>2019</v>
      </c>
      <c r="F879" t="str">
        <f>CONCATENATE(calendar[[#This Row],[Month]],"/",calendar[[#This Row],[Year]])</f>
        <v>5/2019</v>
      </c>
      <c r="G879">
        <f>WEEKDAY(calendar[[#This Row],[Date]],1)</f>
        <v>3</v>
      </c>
      <c r="H879" t="str">
        <f>TEXT(calendar[[#This Row],[WeekDay]],"dddd")</f>
        <v>Tuesday</v>
      </c>
      <c r="I879">
        <f>IF((INT(calendar[[#This Row],[Count]]/7)-calendar[[#This Row],[Count]]/7)&lt;0,I878,I878+1)</f>
        <v>126</v>
      </c>
      <c r="J879">
        <f t="shared" si="69"/>
        <v>877</v>
      </c>
      <c r="K879">
        <f>IF(calendar[[#This Row],[Month]]&lt;4,1,IF(calendar[[#This Row],[Month]]&lt;7,2,IF(calendar[[#This Row],[Month]]&lt;10,3,4)))</f>
        <v>2</v>
      </c>
      <c r="L879">
        <f>IFERROR(IF(VLOOKUP(calendar[[#This Row],[Date]],BH!A:A,1,)&lt;&gt;"",1,0),0)</f>
        <v>0</v>
      </c>
      <c r="M879">
        <f>IFERROR(IF(VLOOKUP(calendar[[#This Row],[Date]],BH!C:C,1,)&lt;&gt;"",1,0),0)</f>
        <v>0</v>
      </c>
      <c r="N879">
        <f>IFERROR(IF(VLOOKUP(calendar[[#This Row],[Date]],BH!E:E,1,)&lt;&gt;"",1,0),0)</f>
        <v>0</v>
      </c>
      <c r="O879">
        <f>IFERROR(IF(VLOOKUP(calendar[[#This Row],[Date]],BH!G:G,1,)&lt;&gt;"",1,0),0)</f>
        <v>0</v>
      </c>
      <c r="P879">
        <f>IF(OR(calendar[[#This Row],[UK_BH]]=1,calendar[[#This Row],[WeekDay]]=1, calendar[[#This Row],[WeekDay]]=7),P878,P878+1)</f>
        <v>627</v>
      </c>
      <c r="Q879">
        <f>IF(OR(calendar[[#This Row],[FR_BH]]=1,calendar[[#This Row],[WeekDay]]=1, calendar[[#This Row],[WeekDay]]=7),P878,P878+1)</f>
        <v>627</v>
      </c>
      <c r="R879">
        <f>IF(OR(calendar[[#This Row],[SP_BH]]=1,calendar[[#This Row],[WeekDay]]=1, calendar[[#This Row],[WeekDay]]=7),P878,P878+1)</f>
        <v>627</v>
      </c>
      <c r="S879">
        <f>IF(OR(calendar[[#This Row],[PT_BH]]=1,calendar[[#This Row],[WeekDay]]=1, calendar[[#This Row],[WeekDay]]=7),P878,P878+1)</f>
        <v>627</v>
      </c>
    </row>
    <row r="880" spans="1:19" x14ac:dyDescent="0.25">
      <c r="A880" s="2">
        <v>43614</v>
      </c>
      <c r="B880" s="1">
        <f t="shared" si="68"/>
        <v>22</v>
      </c>
      <c r="C880">
        <f t="shared" si="70"/>
        <v>5</v>
      </c>
      <c r="D880" t="str">
        <f t="shared" si="71"/>
        <v>May</v>
      </c>
      <c r="E880">
        <f t="shared" si="72"/>
        <v>2019</v>
      </c>
      <c r="F880" t="str">
        <f>CONCATENATE(calendar[[#This Row],[Month]],"/",calendar[[#This Row],[Year]])</f>
        <v>5/2019</v>
      </c>
      <c r="G880">
        <f>WEEKDAY(calendar[[#This Row],[Date]],1)</f>
        <v>4</v>
      </c>
      <c r="H880" t="str">
        <f>TEXT(calendar[[#This Row],[WeekDay]],"dddd")</f>
        <v>Wednesday</v>
      </c>
      <c r="I880">
        <f>IF((INT(calendar[[#This Row],[Count]]/7)-calendar[[#This Row],[Count]]/7)&lt;0,I879,I879+1)</f>
        <v>126</v>
      </c>
      <c r="J880">
        <f t="shared" si="69"/>
        <v>878</v>
      </c>
      <c r="K880">
        <f>IF(calendar[[#This Row],[Month]]&lt;4,1,IF(calendar[[#This Row],[Month]]&lt;7,2,IF(calendar[[#This Row],[Month]]&lt;10,3,4)))</f>
        <v>2</v>
      </c>
      <c r="L880">
        <f>IFERROR(IF(VLOOKUP(calendar[[#This Row],[Date]],BH!A:A,1,)&lt;&gt;"",1,0),0)</f>
        <v>0</v>
      </c>
      <c r="M880">
        <f>IFERROR(IF(VLOOKUP(calendar[[#This Row],[Date]],BH!C:C,1,)&lt;&gt;"",1,0),0)</f>
        <v>0</v>
      </c>
      <c r="N880">
        <f>IFERROR(IF(VLOOKUP(calendar[[#This Row],[Date]],BH!E:E,1,)&lt;&gt;"",1,0),0)</f>
        <v>0</v>
      </c>
      <c r="O880">
        <f>IFERROR(IF(VLOOKUP(calendar[[#This Row],[Date]],BH!G:G,1,)&lt;&gt;"",1,0),0)</f>
        <v>0</v>
      </c>
      <c r="P880">
        <f>IF(OR(calendar[[#This Row],[UK_BH]]=1,calendar[[#This Row],[WeekDay]]=1, calendar[[#This Row],[WeekDay]]=7),P879,P879+1)</f>
        <v>628</v>
      </c>
      <c r="Q880">
        <f>IF(OR(calendar[[#This Row],[FR_BH]]=1,calendar[[#This Row],[WeekDay]]=1, calendar[[#This Row],[WeekDay]]=7),P879,P879+1)</f>
        <v>628</v>
      </c>
      <c r="R880">
        <f>IF(OR(calendar[[#This Row],[SP_BH]]=1,calendar[[#This Row],[WeekDay]]=1, calendar[[#This Row],[WeekDay]]=7),P879,P879+1)</f>
        <v>628</v>
      </c>
      <c r="S880">
        <f>IF(OR(calendar[[#This Row],[PT_BH]]=1,calendar[[#This Row],[WeekDay]]=1, calendar[[#This Row],[WeekDay]]=7),P879,P879+1)</f>
        <v>628</v>
      </c>
    </row>
    <row r="881" spans="1:19" x14ac:dyDescent="0.25">
      <c r="A881" s="2">
        <v>43615</v>
      </c>
      <c r="B881" s="1">
        <f t="shared" si="68"/>
        <v>22</v>
      </c>
      <c r="C881">
        <f t="shared" si="70"/>
        <v>5</v>
      </c>
      <c r="D881" t="str">
        <f t="shared" si="71"/>
        <v>May</v>
      </c>
      <c r="E881">
        <f t="shared" si="72"/>
        <v>2019</v>
      </c>
      <c r="F881" t="str">
        <f>CONCATENATE(calendar[[#This Row],[Month]],"/",calendar[[#This Row],[Year]])</f>
        <v>5/2019</v>
      </c>
      <c r="G881">
        <f>WEEKDAY(calendar[[#This Row],[Date]],1)</f>
        <v>5</v>
      </c>
      <c r="H881" t="str">
        <f>TEXT(calendar[[#This Row],[WeekDay]],"dddd")</f>
        <v>Thursday</v>
      </c>
      <c r="I881">
        <f>IF((INT(calendar[[#This Row],[Count]]/7)-calendar[[#This Row],[Count]]/7)&lt;0,I880,I880+1)</f>
        <v>126</v>
      </c>
      <c r="J881">
        <f t="shared" si="69"/>
        <v>879</v>
      </c>
      <c r="K881">
        <f>IF(calendar[[#This Row],[Month]]&lt;4,1,IF(calendar[[#This Row],[Month]]&lt;7,2,IF(calendar[[#This Row],[Month]]&lt;10,3,4)))</f>
        <v>2</v>
      </c>
      <c r="L881">
        <f>IFERROR(IF(VLOOKUP(calendar[[#This Row],[Date]],BH!A:A,1,)&lt;&gt;"",1,0),0)</f>
        <v>0</v>
      </c>
      <c r="M881">
        <f>IFERROR(IF(VLOOKUP(calendar[[#This Row],[Date]],BH!C:C,1,)&lt;&gt;"",1,0),0)</f>
        <v>0</v>
      </c>
      <c r="N881">
        <f>IFERROR(IF(VLOOKUP(calendar[[#This Row],[Date]],BH!E:E,1,)&lt;&gt;"",1,0),0)</f>
        <v>0</v>
      </c>
      <c r="O881">
        <f>IFERROR(IF(VLOOKUP(calendar[[#This Row],[Date]],BH!G:G,1,)&lt;&gt;"",1,0),0)</f>
        <v>0</v>
      </c>
      <c r="P881">
        <f>IF(OR(calendar[[#This Row],[UK_BH]]=1,calendar[[#This Row],[WeekDay]]=1, calendar[[#This Row],[WeekDay]]=7),P880,P880+1)</f>
        <v>629</v>
      </c>
      <c r="Q881">
        <f>IF(OR(calendar[[#This Row],[FR_BH]]=1,calendar[[#This Row],[WeekDay]]=1, calendar[[#This Row],[WeekDay]]=7),P880,P880+1)</f>
        <v>629</v>
      </c>
      <c r="R881">
        <f>IF(OR(calendar[[#This Row],[SP_BH]]=1,calendar[[#This Row],[WeekDay]]=1, calendar[[#This Row],[WeekDay]]=7),P880,P880+1)</f>
        <v>629</v>
      </c>
      <c r="S881">
        <f>IF(OR(calendar[[#This Row],[PT_BH]]=1,calendar[[#This Row],[WeekDay]]=1, calendar[[#This Row],[WeekDay]]=7),P880,P880+1)</f>
        <v>629</v>
      </c>
    </row>
    <row r="882" spans="1:19" x14ac:dyDescent="0.25">
      <c r="A882" s="2">
        <v>43616</v>
      </c>
      <c r="B882" s="1">
        <f t="shared" si="68"/>
        <v>22</v>
      </c>
      <c r="C882">
        <f t="shared" si="70"/>
        <v>5</v>
      </c>
      <c r="D882" t="str">
        <f t="shared" si="71"/>
        <v>May</v>
      </c>
      <c r="E882">
        <f t="shared" si="72"/>
        <v>2019</v>
      </c>
      <c r="F882" t="str">
        <f>CONCATENATE(calendar[[#This Row],[Month]],"/",calendar[[#This Row],[Year]])</f>
        <v>5/2019</v>
      </c>
      <c r="G882">
        <f>WEEKDAY(calendar[[#This Row],[Date]],1)</f>
        <v>6</v>
      </c>
      <c r="H882" t="str">
        <f>TEXT(calendar[[#This Row],[WeekDay]],"dddd")</f>
        <v>Friday</v>
      </c>
      <c r="I882">
        <f>IF((INT(calendar[[#This Row],[Count]]/7)-calendar[[#This Row],[Count]]/7)&lt;0,I881,I881+1)</f>
        <v>126</v>
      </c>
      <c r="J882">
        <f t="shared" si="69"/>
        <v>880</v>
      </c>
      <c r="K882">
        <f>IF(calendar[[#This Row],[Month]]&lt;4,1,IF(calendar[[#This Row],[Month]]&lt;7,2,IF(calendar[[#This Row],[Month]]&lt;10,3,4)))</f>
        <v>2</v>
      </c>
      <c r="L882">
        <f>IFERROR(IF(VLOOKUP(calendar[[#This Row],[Date]],BH!A:A,1,)&lt;&gt;"",1,0),0)</f>
        <v>0</v>
      </c>
      <c r="M882">
        <f>IFERROR(IF(VLOOKUP(calendar[[#This Row],[Date]],BH!C:C,1,)&lt;&gt;"",1,0),0)</f>
        <v>0</v>
      </c>
      <c r="N882">
        <f>IFERROR(IF(VLOOKUP(calendar[[#This Row],[Date]],BH!E:E,1,)&lt;&gt;"",1,0),0)</f>
        <v>0</v>
      </c>
      <c r="O882">
        <f>IFERROR(IF(VLOOKUP(calendar[[#This Row],[Date]],BH!G:G,1,)&lt;&gt;"",1,0),0)</f>
        <v>0</v>
      </c>
      <c r="P882">
        <f>IF(OR(calendar[[#This Row],[UK_BH]]=1,calendar[[#This Row],[WeekDay]]=1, calendar[[#This Row],[WeekDay]]=7),P881,P881+1)</f>
        <v>630</v>
      </c>
      <c r="Q882">
        <f>IF(OR(calendar[[#This Row],[FR_BH]]=1,calendar[[#This Row],[WeekDay]]=1, calendar[[#This Row],[WeekDay]]=7),P881,P881+1)</f>
        <v>630</v>
      </c>
      <c r="R882">
        <f>IF(OR(calendar[[#This Row],[SP_BH]]=1,calendar[[#This Row],[WeekDay]]=1, calendar[[#This Row],[WeekDay]]=7),P881,P881+1)</f>
        <v>630</v>
      </c>
      <c r="S882">
        <f>IF(OR(calendar[[#This Row],[PT_BH]]=1,calendar[[#This Row],[WeekDay]]=1, calendar[[#This Row],[WeekDay]]=7),P881,P881+1)</f>
        <v>630</v>
      </c>
    </row>
    <row r="883" spans="1:19" x14ac:dyDescent="0.25">
      <c r="A883" s="2">
        <v>43617</v>
      </c>
      <c r="B883" s="1">
        <f t="shared" si="68"/>
        <v>22</v>
      </c>
      <c r="C883">
        <f t="shared" si="70"/>
        <v>6</v>
      </c>
      <c r="D883" t="str">
        <f t="shared" si="71"/>
        <v>June</v>
      </c>
      <c r="E883">
        <f t="shared" si="72"/>
        <v>2019</v>
      </c>
      <c r="F883" t="str">
        <f>CONCATENATE(calendar[[#This Row],[Month]],"/",calendar[[#This Row],[Year]])</f>
        <v>6/2019</v>
      </c>
      <c r="G883">
        <f>WEEKDAY(calendar[[#This Row],[Date]],1)</f>
        <v>7</v>
      </c>
      <c r="H883" t="str">
        <f>TEXT(calendar[[#This Row],[WeekDay]],"dddd")</f>
        <v>Saturday</v>
      </c>
      <c r="I883">
        <f>IF((INT(calendar[[#This Row],[Count]]/7)-calendar[[#This Row],[Count]]/7)&lt;0,I882,I882+1)</f>
        <v>126</v>
      </c>
      <c r="J883">
        <f t="shared" si="69"/>
        <v>881</v>
      </c>
      <c r="K883">
        <f>IF(calendar[[#This Row],[Month]]&lt;4,1,IF(calendar[[#This Row],[Month]]&lt;7,2,IF(calendar[[#This Row],[Month]]&lt;10,3,4)))</f>
        <v>2</v>
      </c>
      <c r="L883">
        <f>IFERROR(IF(VLOOKUP(calendar[[#This Row],[Date]],BH!A:A,1,)&lt;&gt;"",1,0),0)</f>
        <v>0</v>
      </c>
      <c r="M883">
        <f>IFERROR(IF(VLOOKUP(calendar[[#This Row],[Date]],BH!C:C,1,)&lt;&gt;"",1,0),0)</f>
        <v>0</v>
      </c>
      <c r="N883">
        <f>IFERROR(IF(VLOOKUP(calendar[[#This Row],[Date]],BH!E:E,1,)&lt;&gt;"",1,0),0)</f>
        <v>0</v>
      </c>
      <c r="O883">
        <f>IFERROR(IF(VLOOKUP(calendar[[#This Row],[Date]],BH!G:G,1,)&lt;&gt;"",1,0),0)</f>
        <v>0</v>
      </c>
      <c r="P883">
        <f>IF(OR(calendar[[#This Row],[UK_BH]]=1,calendar[[#This Row],[WeekDay]]=1, calendar[[#This Row],[WeekDay]]=7),P882,P882+1)</f>
        <v>630</v>
      </c>
      <c r="Q883">
        <f>IF(OR(calendar[[#This Row],[FR_BH]]=1,calendar[[#This Row],[WeekDay]]=1, calendar[[#This Row],[WeekDay]]=7),P882,P882+1)</f>
        <v>630</v>
      </c>
      <c r="R883">
        <f>IF(OR(calendar[[#This Row],[SP_BH]]=1,calendar[[#This Row],[WeekDay]]=1, calendar[[#This Row],[WeekDay]]=7),P882,P882+1)</f>
        <v>630</v>
      </c>
      <c r="S883">
        <f>IF(OR(calendar[[#This Row],[PT_BH]]=1,calendar[[#This Row],[WeekDay]]=1, calendar[[#This Row],[WeekDay]]=7),P882,P882+1)</f>
        <v>630</v>
      </c>
    </row>
    <row r="884" spans="1:19" x14ac:dyDescent="0.25">
      <c r="A884" s="2">
        <v>43618</v>
      </c>
      <c r="B884" s="1">
        <f t="shared" si="68"/>
        <v>23</v>
      </c>
      <c r="C884">
        <f t="shared" si="70"/>
        <v>6</v>
      </c>
      <c r="D884" t="str">
        <f t="shared" si="71"/>
        <v>June</v>
      </c>
      <c r="E884">
        <f t="shared" si="72"/>
        <v>2019</v>
      </c>
      <c r="F884" t="str">
        <f>CONCATENATE(calendar[[#This Row],[Month]],"/",calendar[[#This Row],[Year]])</f>
        <v>6/2019</v>
      </c>
      <c r="G884">
        <f>WEEKDAY(calendar[[#This Row],[Date]],1)</f>
        <v>1</v>
      </c>
      <c r="H884" t="str">
        <f>TEXT(calendar[[#This Row],[WeekDay]],"dddd")</f>
        <v>Sunday</v>
      </c>
      <c r="I884">
        <f>IF((INT(calendar[[#This Row],[Count]]/7)-calendar[[#This Row],[Count]]/7)&lt;0,I883,I883+1)</f>
        <v>127</v>
      </c>
      <c r="J884">
        <f t="shared" si="69"/>
        <v>882</v>
      </c>
      <c r="K884">
        <f>IF(calendar[[#This Row],[Month]]&lt;4,1,IF(calendar[[#This Row],[Month]]&lt;7,2,IF(calendar[[#This Row],[Month]]&lt;10,3,4)))</f>
        <v>2</v>
      </c>
      <c r="L884">
        <f>IFERROR(IF(VLOOKUP(calendar[[#This Row],[Date]],BH!A:A,1,)&lt;&gt;"",1,0),0)</f>
        <v>0</v>
      </c>
      <c r="M884">
        <f>IFERROR(IF(VLOOKUP(calendar[[#This Row],[Date]],BH!C:C,1,)&lt;&gt;"",1,0),0)</f>
        <v>0</v>
      </c>
      <c r="N884">
        <f>IFERROR(IF(VLOOKUP(calendar[[#This Row],[Date]],BH!E:E,1,)&lt;&gt;"",1,0),0)</f>
        <v>0</v>
      </c>
      <c r="O884">
        <f>IFERROR(IF(VLOOKUP(calendar[[#This Row],[Date]],BH!G:G,1,)&lt;&gt;"",1,0),0)</f>
        <v>0</v>
      </c>
      <c r="P884">
        <f>IF(OR(calendar[[#This Row],[UK_BH]]=1,calendar[[#This Row],[WeekDay]]=1, calendar[[#This Row],[WeekDay]]=7),P883,P883+1)</f>
        <v>630</v>
      </c>
      <c r="Q884">
        <f>IF(OR(calendar[[#This Row],[FR_BH]]=1,calendar[[#This Row],[WeekDay]]=1, calendar[[#This Row],[WeekDay]]=7),P883,P883+1)</f>
        <v>630</v>
      </c>
      <c r="R884">
        <f>IF(OR(calendar[[#This Row],[SP_BH]]=1,calendar[[#This Row],[WeekDay]]=1, calendar[[#This Row],[WeekDay]]=7),P883,P883+1)</f>
        <v>630</v>
      </c>
      <c r="S884">
        <f>IF(OR(calendar[[#This Row],[PT_BH]]=1,calendar[[#This Row],[WeekDay]]=1, calendar[[#This Row],[WeekDay]]=7),P883,P883+1)</f>
        <v>630</v>
      </c>
    </row>
    <row r="885" spans="1:19" x14ac:dyDescent="0.25">
      <c r="A885" s="2">
        <v>43619</v>
      </c>
      <c r="B885" s="1">
        <f t="shared" si="68"/>
        <v>23</v>
      </c>
      <c r="C885">
        <f t="shared" si="70"/>
        <v>6</v>
      </c>
      <c r="D885" t="str">
        <f t="shared" si="71"/>
        <v>June</v>
      </c>
      <c r="E885">
        <f t="shared" si="72"/>
        <v>2019</v>
      </c>
      <c r="F885" t="str">
        <f>CONCATENATE(calendar[[#This Row],[Month]],"/",calendar[[#This Row],[Year]])</f>
        <v>6/2019</v>
      </c>
      <c r="G885">
        <f>WEEKDAY(calendar[[#This Row],[Date]],1)</f>
        <v>2</v>
      </c>
      <c r="H885" t="str">
        <f>TEXT(calendar[[#This Row],[WeekDay]],"dddd")</f>
        <v>Monday</v>
      </c>
      <c r="I885">
        <f>IF((INT(calendar[[#This Row],[Count]]/7)-calendar[[#This Row],[Count]]/7)&lt;0,I884,I884+1)</f>
        <v>127</v>
      </c>
      <c r="J885">
        <f t="shared" si="69"/>
        <v>883</v>
      </c>
      <c r="K885">
        <f>IF(calendar[[#This Row],[Month]]&lt;4,1,IF(calendar[[#This Row],[Month]]&lt;7,2,IF(calendar[[#This Row],[Month]]&lt;10,3,4)))</f>
        <v>2</v>
      </c>
      <c r="L885">
        <f>IFERROR(IF(VLOOKUP(calendar[[#This Row],[Date]],BH!A:A,1,)&lt;&gt;"",1,0),0)</f>
        <v>0</v>
      </c>
      <c r="M885">
        <f>IFERROR(IF(VLOOKUP(calendar[[#This Row],[Date]],BH!C:C,1,)&lt;&gt;"",1,0),0)</f>
        <v>0</v>
      </c>
      <c r="N885">
        <f>IFERROR(IF(VLOOKUP(calendar[[#This Row],[Date]],BH!E:E,1,)&lt;&gt;"",1,0),0)</f>
        <v>0</v>
      </c>
      <c r="O885">
        <f>IFERROR(IF(VLOOKUP(calendar[[#This Row],[Date]],BH!G:G,1,)&lt;&gt;"",1,0),0)</f>
        <v>0</v>
      </c>
      <c r="P885">
        <f>IF(OR(calendar[[#This Row],[UK_BH]]=1,calendar[[#This Row],[WeekDay]]=1, calendar[[#This Row],[WeekDay]]=7),P884,P884+1)</f>
        <v>631</v>
      </c>
      <c r="Q885">
        <f>IF(OR(calendar[[#This Row],[FR_BH]]=1,calendar[[#This Row],[WeekDay]]=1, calendar[[#This Row],[WeekDay]]=7),P884,P884+1)</f>
        <v>631</v>
      </c>
      <c r="R885">
        <f>IF(OR(calendar[[#This Row],[SP_BH]]=1,calendar[[#This Row],[WeekDay]]=1, calendar[[#This Row],[WeekDay]]=7),P884,P884+1)</f>
        <v>631</v>
      </c>
      <c r="S885">
        <f>IF(OR(calendar[[#This Row],[PT_BH]]=1,calendar[[#This Row],[WeekDay]]=1, calendar[[#This Row],[WeekDay]]=7),P884,P884+1)</f>
        <v>631</v>
      </c>
    </row>
    <row r="886" spans="1:19" x14ac:dyDescent="0.25">
      <c r="A886" s="2">
        <v>43620</v>
      </c>
      <c r="B886" s="1">
        <f t="shared" si="68"/>
        <v>23</v>
      </c>
      <c r="C886">
        <f t="shared" si="70"/>
        <v>6</v>
      </c>
      <c r="D886" t="str">
        <f t="shared" si="71"/>
        <v>June</v>
      </c>
      <c r="E886">
        <f t="shared" si="72"/>
        <v>2019</v>
      </c>
      <c r="F886" t="str">
        <f>CONCATENATE(calendar[[#This Row],[Month]],"/",calendar[[#This Row],[Year]])</f>
        <v>6/2019</v>
      </c>
      <c r="G886">
        <f>WEEKDAY(calendar[[#This Row],[Date]],1)</f>
        <v>3</v>
      </c>
      <c r="H886" t="str">
        <f>TEXT(calendar[[#This Row],[WeekDay]],"dddd")</f>
        <v>Tuesday</v>
      </c>
      <c r="I886">
        <f>IF((INT(calendar[[#This Row],[Count]]/7)-calendar[[#This Row],[Count]]/7)&lt;0,I885,I885+1)</f>
        <v>127</v>
      </c>
      <c r="J886">
        <f t="shared" si="69"/>
        <v>884</v>
      </c>
      <c r="K886">
        <f>IF(calendar[[#This Row],[Month]]&lt;4,1,IF(calendar[[#This Row],[Month]]&lt;7,2,IF(calendar[[#This Row],[Month]]&lt;10,3,4)))</f>
        <v>2</v>
      </c>
      <c r="L886">
        <f>IFERROR(IF(VLOOKUP(calendar[[#This Row],[Date]],BH!A:A,1,)&lt;&gt;"",1,0),0)</f>
        <v>0</v>
      </c>
      <c r="M886">
        <f>IFERROR(IF(VLOOKUP(calendar[[#This Row],[Date]],BH!C:C,1,)&lt;&gt;"",1,0),0)</f>
        <v>0</v>
      </c>
      <c r="N886">
        <f>IFERROR(IF(VLOOKUP(calendar[[#This Row],[Date]],BH!E:E,1,)&lt;&gt;"",1,0),0)</f>
        <v>0</v>
      </c>
      <c r="O886">
        <f>IFERROR(IF(VLOOKUP(calendar[[#This Row],[Date]],BH!G:G,1,)&lt;&gt;"",1,0),0)</f>
        <v>0</v>
      </c>
      <c r="P886">
        <f>IF(OR(calendar[[#This Row],[UK_BH]]=1,calendar[[#This Row],[WeekDay]]=1, calendar[[#This Row],[WeekDay]]=7),P885,P885+1)</f>
        <v>632</v>
      </c>
      <c r="Q886">
        <f>IF(OR(calendar[[#This Row],[FR_BH]]=1,calendar[[#This Row],[WeekDay]]=1, calendar[[#This Row],[WeekDay]]=7),P885,P885+1)</f>
        <v>632</v>
      </c>
      <c r="R886">
        <f>IF(OR(calendar[[#This Row],[SP_BH]]=1,calendar[[#This Row],[WeekDay]]=1, calendar[[#This Row],[WeekDay]]=7),P885,P885+1)</f>
        <v>632</v>
      </c>
      <c r="S886">
        <f>IF(OR(calendar[[#This Row],[PT_BH]]=1,calendar[[#This Row],[WeekDay]]=1, calendar[[#This Row],[WeekDay]]=7),P885,P885+1)</f>
        <v>632</v>
      </c>
    </row>
    <row r="887" spans="1:19" x14ac:dyDescent="0.25">
      <c r="A887" s="2">
        <v>43621</v>
      </c>
      <c r="B887" s="1">
        <f t="shared" si="68"/>
        <v>23</v>
      </c>
      <c r="C887">
        <f t="shared" si="70"/>
        <v>6</v>
      </c>
      <c r="D887" t="str">
        <f t="shared" si="71"/>
        <v>June</v>
      </c>
      <c r="E887">
        <f t="shared" si="72"/>
        <v>2019</v>
      </c>
      <c r="F887" t="str">
        <f>CONCATENATE(calendar[[#This Row],[Month]],"/",calendar[[#This Row],[Year]])</f>
        <v>6/2019</v>
      </c>
      <c r="G887">
        <f>WEEKDAY(calendar[[#This Row],[Date]],1)</f>
        <v>4</v>
      </c>
      <c r="H887" t="str">
        <f>TEXT(calendar[[#This Row],[WeekDay]],"dddd")</f>
        <v>Wednesday</v>
      </c>
      <c r="I887">
        <f>IF((INT(calendar[[#This Row],[Count]]/7)-calendar[[#This Row],[Count]]/7)&lt;0,I886,I886+1)</f>
        <v>127</v>
      </c>
      <c r="J887">
        <f t="shared" si="69"/>
        <v>885</v>
      </c>
      <c r="K887">
        <f>IF(calendar[[#This Row],[Month]]&lt;4,1,IF(calendar[[#This Row],[Month]]&lt;7,2,IF(calendar[[#This Row],[Month]]&lt;10,3,4)))</f>
        <v>2</v>
      </c>
      <c r="L887">
        <f>IFERROR(IF(VLOOKUP(calendar[[#This Row],[Date]],BH!A:A,1,)&lt;&gt;"",1,0),0)</f>
        <v>0</v>
      </c>
      <c r="M887">
        <f>IFERROR(IF(VLOOKUP(calendar[[#This Row],[Date]],BH!C:C,1,)&lt;&gt;"",1,0),0)</f>
        <v>0</v>
      </c>
      <c r="N887">
        <f>IFERROR(IF(VLOOKUP(calendar[[#This Row],[Date]],BH!E:E,1,)&lt;&gt;"",1,0),0)</f>
        <v>0</v>
      </c>
      <c r="O887">
        <f>IFERROR(IF(VLOOKUP(calendar[[#This Row],[Date]],BH!G:G,1,)&lt;&gt;"",1,0),0)</f>
        <v>0</v>
      </c>
      <c r="P887">
        <f>IF(OR(calendar[[#This Row],[UK_BH]]=1,calendar[[#This Row],[WeekDay]]=1, calendar[[#This Row],[WeekDay]]=7),P886,P886+1)</f>
        <v>633</v>
      </c>
      <c r="Q887">
        <f>IF(OR(calendar[[#This Row],[FR_BH]]=1,calendar[[#This Row],[WeekDay]]=1, calendar[[#This Row],[WeekDay]]=7),P886,P886+1)</f>
        <v>633</v>
      </c>
      <c r="R887">
        <f>IF(OR(calendar[[#This Row],[SP_BH]]=1,calendar[[#This Row],[WeekDay]]=1, calendar[[#This Row],[WeekDay]]=7),P886,P886+1)</f>
        <v>633</v>
      </c>
      <c r="S887">
        <f>IF(OR(calendar[[#This Row],[PT_BH]]=1,calendar[[#This Row],[WeekDay]]=1, calendar[[#This Row],[WeekDay]]=7),P886,P886+1)</f>
        <v>633</v>
      </c>
    </row>
    <row r="888" spans="1:19" x14ac:dyDescent="0.25">
      <c r="A888" s="2">
        <v>43622</v>
      </c>
      <c r="B888" s="1">
        <f t="shared" si="68"/>
        <v>23</v>
      </c>
      <c r="C888">
        <f t="shared" si="70"/>
        <v>6</v>
      </c>
      <c r="D888" t="str">
        <f t="shared" si="71"/>
        <v>June</v>
      </c>
      <c r="E888">
        <f t="shared" si="72"/>
        <v>2019</v>
      </c>
      <c r="F888" t="str">
        <f>CONCATENATE(calendar[[#This Row],[Month]],"/",calendar[[#This Row],[Year]])</f>
        <v>6/2019</v>
      </c>
      <c r="G888">
        <f>WEEKDAY(calendar[[#This Row],[Date]],1)</f>
        <v>5</v>
      </c>
      <c r="H888" t="str">
        <f>TEXT(calendar[[#This Row],[WeekDay]],"dddd")</f>
        <v>Thursday</v>
      </c>
      <c r="I888">
        <f>IF((INT(calendar[[#This Row],[Count]]/7)-calendar[[#This Row],[Count]]/7)&lt;0,I887,I887+1)</f>
        <v>127</v>
      </c>
      <c r="J888">
        <f t="shared" si="69"/>
        <v>886</v>
      </c>
      <c r="K888">
        <f>IF(calendar[[#This Row],[Month]]&lt;4,1,IF(calendar[[#This Row],[Month]]&lt;7,2,IF(calendar[[#This Row],[Month]]&lt;10,3,4)))</f>
        <v>2</v>
      </c>
      <c r="L888">
        <f>IFERROR(IF(VLOOKUP(calendar[[#This Row],[Date]],BH!A:A,1,)&lt;&gt;"",1,0),0)</f>
        <v>0</v>
      </c>
      <c r="M888">
        <f>IFERROR(IF(VLOOKUP(calendar[[#This Row],[Date]],BH!C:C,1,)&lt;&gt;"",1,0),0)</f>
        <v>0</v>
      </c>
      <c r="N888">
        <f>IFERROR(IF(VLOOKUP(calendar[[#This Row],[Date]],BH!E:E,1,)&lt;&gt;"",1,0),0)</f>
        <v>0</v>
      </c>
      <c r="O888">
        <f>IFERROR(IF(VLOOKUP(calendar[[#This Row],[Date]],BH!G:G,1,)&lt;&gt;"",1,0),0)</f>
        <v>0</v>
      </c>
      <c r="P888">
        <f>IF(OR(calendar[[#This Row],[UK_BH]]=1,calendar[[#This Row],[WeekDay]]=1, calendar[[#This Row],[WeekDay]]=7),P887,P887+1)</f>
        <v>634</v>
      </c>
      <c r="Q888">
        <f>IF(OR(calendar[[#This Row],[FR_BH]]=1,calendar[[#This Row],[WeekDay]]=1, calendar[[#This Row],[WeekDay]]=7),P887,P887+1)</f>
        <v>634</v>
      </c>
      <c r="R888">
        <f>IF(OR(calendar[[#This Row],[SP_BH]]=1,calendar[[#This Row],[WeekDay]]=1, calendar[[#This Row],[WeekDay]]=7),P887,P887+1)</f>
        <v>634</v>
      </c>
      <c r="S888">
        <f>IF(OR(calendar[[#This Row],[PT_BH]]=1,calendar[[#This Row],[WeekDay]]=1, calendar[[#This Row],[WeekDay]]=7),P887,P887+1)</f>
        <v>634</v>
      </c>
    </row>
    <row r="889" spans="1:19" x14ac:dyDescent="0.25">
      <c r="A889" s="2">
        <v>43623</v>
      </c>
      <c r="B889" s="1">
        <f t="shared" si="68"/>
        <v>23</v>
      </c>
      <c r="C889">
        <f t="shared" si="70"/>
        <v>6</v>
      </c>
      <c r="D889" t="str">
        <f t="shared" si="71"/>
        <v>June</v>
      </c>
      <c r="E889">
        <f t="shared" si="72"/>
        <v>2019</v>
      </c>
      <c r="F889" t="str">
        <f>CONCATENATE(calendar[[#This Row],[Month]],"/",calendar[[#This Row],[Year]])</f>
        <v>6/2019</v>
      </c>
      <c r="G889">
        <f>WEEKDAY(calendar[[#This Row],[Date]],1)</f>
        <v>6</v>
      </c>
      <c r="H889" t="str">
        <f>TEXT(calendar[[#This Row],[WeekDay]],"dddd")</f>
        <v>Friday</v>
      </c>
      <c r="I889">
        <f>IF((INT(calendar[[#This Row],[Count]]/7)-calendar[[#This Row],[Count]]/7)&lt;0,I888,I888+1)</f>
        <v>127</v>
      </c>
      <c r="J889">
        <f t="shared" si="69"/>
        <v>887</v>
      </c>
      <c r="K889">
        <f>IF(calendar[[#This Row],[Month]]&lt;4,1,IF(calendar[[#This Row],[Month]]&lt;7,2,IF(calendar[[#This Row],[Month]]&lt;10,3,4)))</f>
        <v>2</v>
      </c>
      <c r="L889">
        <f>IFERROR(IF(VLOOKUP(calendar[[#This Row],[Date]],BH!A:A,1,)&lt;&gt;"",1,0),0)</f>
        <v>0</v>
      </c>
      <c r="M889">
        <f>IFERROR(IF(VLOOKUP(calendar[[#This Row],[Date]],BH!C:C,1,)&lt;&gt;"",1,0),0)</f>
        <v>0</v>
      </c>
      <c r="N889">
        <f>IFERROR(IF(VLOOKUP(calendar[[#This Row],[Date]],BH!E:E,1,)&lt;&gt;"",1,0),0)</f>
        <v>0</v>
      </c>
      <c r="O889">
        <f>IFERROR(IF(VLOOKUP(calendar[[#This Row],[Date]],BH!G:G,1,)&lt;&gt;"",1,0),0)</f>
        <v>0</v>
      </c>
      <c r="P889">
        <f>IF(OR(calendar[[#This Row],[UK_BH]]=1,calendar[[#This Row],[WeekDay]]=1, calendar[[#This Row],[WeekDay]]=7),P888,P888+1)</f>
        <v>635</v>
      </c>
      <c r="Q889">
        <f>IF(OR(calendar[[#This Row],[FR_BH]]=1,calendar[[#This Row],[WeekDay]]=1, calendar[[#This Row],[WeekDay]]=7),P888,P888+1)</f>
        <v>635</v>
      </c>
      <c r="R889">
        <f>IF(OR(calendar[[#This Row],[SP_BH]]=1,calendar[[#This Row],[WeekDay]]=1, calendar[[#This Row],[WeekDay]]=7),P888,P888+1)</f>
        <v>635</v>
      </c>
      <c r="S889">
        <f>IF(OR(calendar[[#This Row],[PT_BH]]=1,calendar[[#This Row],[WeekDay]]=1, calendar[[#This Row],[WeekDay]]=7),P888,P888+1)</f>
        <v>635</v>
      </c>
    </row>
    <row r="890" spans="1:19" x14ac:dyDescent="0.25">
      <c r="A890" s="2">
        <v>43624</v>
      </c>
      <c r="B890" s="1">
        <f t="shared" si="68"/>
        <v>23</v>
      </c>
      <c r="C890">
        <f t="shared" si="70"/>
        <v>6</v>
      </c>
      <c r="D890" t="str">
        <f t="shared" si="71"/>
        <v>June</v>
      </c>
      <c r="E890">
        <f t="shared" si="72"/>
        <v>2019</v>
      </c>
      <c r="F890" t="str">
        <f>CONCATENATE(calendar[[#This Row],[Month]],"/",calendar[[#This Row],[Year]])</f>
        <v>6/2019</v>
      </c>
      <c r="G890">
        <f>WEEKDAY(calendar[[#This Row],[Date]],1)</f>
        <v>7</v>
      </c>
      <c r="H890" t="str">
        <f>TEXT(calendar[[#This Row],[WeekDay]],"dddd")</f>
        <v>Saturday</v>
      </c>
      <c r="I890">
        <f>IF((INT(calendar[[#This Row],[Count]]/7)-calendar[[#This Row],[Count]]/7)&lt;0,I889,I889+1)</f>
        <v>127</v>
      </c>
      <c r="J890">
        <f t="shared" si="69"/>
        <v>888</v>
      </c>
      <c r="K890">
        <f>IF(calendar[[#This Row],[Month]]&lt;4,1,IF(calendar[[#This Row],[Month]]&lt;7,2,IF(calendar[[#This Row],[Month]]&lt;10,3,4)))</f>
        <v>2</v>
      </c>
      <c r="L890">
        <f>IFERROR(IF(VLOOKUP(calendar[[#This Row],[Date]],BH!A:A,1,)&lt;&gt;"",1,0),0)</f>
        <v>0</v>
      </c>
      <c r="M890">
        <f>IFERROR(IF(VLOOKUP(calendar[[#This Row],[Date]],BH!C:C,1,)&lt;&gt;"",1,0),0)</f>
        <v>0</v>
      </c>
      <c r="N890">
        <f>IFERROR(IF(VLOOKUP(calendar[[#This Row],[Date]],BH!E:E,1,)&lt;&gt;"",1,0),0)</f>
        <v>0</v>
      </c>
      <c r="O890">
        <f>IFERROR(IF(VLOOKUP(calendar[[#This Row],[Date]],BH!G:G,1,)&lt;&gt;"",1,0),0)</f>
        <v>0</v>
      </c>
      <c r="P890">
        <f>IF(OR(calendar[[#This Row],[UK_BH]]=1,calendar[[#This Row],[WeekDay]]=1, calendar[[#This Row],[WeekDay]]=7),P889,P889+1)</f>
        <v>635</v>
      </c>
      <c r="Q890">
        <f>IF(OR(calendar[[#This Row],[FR_BH]]=1,calendar[[#This Row],[WeekDay]]=1, calendar[[#This Row],[WeekDay]]=7),P889,P889+1)</f>
        <v>635</v>
      </c>
      <c r="R890">
        <f>IF(OR(calendar[[#This Row],[SP_BH]]=1,calendar[[#This Row],[WeekDay]]=1, calendar[[#This Row],[WeekDay]]=7),P889,P889+1)</f>
        <v>635</v>
      </c>
      <c r="S890">
        <f>IF(OR(calendar[[#This Row],[PT_BH]]=1,calendar[[#This Row],[WeekDay]]=1, calendar[[#This Row],[WeekDay]]=7),P889,P889+1)</f>
        <v>635</v>
      </c>
    </row>
    <row r="891" spans="1:19" x14ac:dyDescent="0.25">
      <c r="A891" s="2">
        <v>43625</v>
      </c>
      <c r="B891" s="1">
        <f t="shared" si="68"/>
        <v>24</v>
      </c>
      <c r="C891">
        <f t="shared" si="70"/>
        <v>6</v>
      </c>
      <c r="D891" t="str">
        <f t="shared" si="71"/>
        <v>June</v>
      </c>
      <c r="E891">
        <f t="shared" si="72"/>
        <v>2019</v>
      </c>
      <c r="F891" t="str">
        <f>CONCATENATE(calendar[[#This Row],[Month]],"/",calendar[[#This Row],[Year]])</f>
        <v>6/2019</v>
      </c>
      <c r="G891">
        <f>WEEKDAY(calendar[[#This Row],[Date]],1)</f>
        <v>1</v>
      </c>
      <c r="H891" t="str">
        <f>TEXT(calendar[[#This Row],[WeekDay]],"dddd")</f>
        <v>Sunday</v>
      </c>
      <c r="I891">
        <f>IF((INT(calendar[[#This Row],[Count]]/7)-calendar[[#This Row],[Count]]/7)&lt;0,I890,I890+1)</f>
        <v>128</v>
      </c>
      <c r="J891">
        <f t="shared" si="69"/>
        <v>889</v>
      </c>
      <c r="K891">
        <f>IF(calendar[[#This Row],[Month]]&lt;4,1,IF(calendar[[#This Row],[Month]]&lt;7,2,IF(calendar[[#This Row],[Month]]&lt;10,3,4)))</f>
        <v>2</v>
      </c>
      <c r="L891">
        <f>IFERROR(IF(VLOOKUP(calendar[[#This Row],[Date]],BH!A:A,1,)&lt;&gt;"",1,0),0)</f>
        <v>0</v>
      </c>
      <c r="M891">
        <f>IFERROR(IF(VLOOKUP(calendar[[#This Row],[Date]],BH!C:C,1,)&lt;&gt;"",1,0),0)</f>
        <v>0</v>
      </c>
      <c r="N891">
        <f>IFERROR(IF(VLOOKUP(calendar[[#This Row],[Date]],BH!E:E,1,)&lt;&gt;"",1,0),0)</f>
        <v>0</v>
      </c>
      <c r="O891">
        <f>IFERROR(IF(VLOOKUP(calendar[[#This Row],[Date]],BH!G:G,1,)&lt;&gt;"",1,0),0)</f>
        <v>0</v>
      </c>
      <c r="P891">
        <f>IF(OR(calendar[[#This Row],[UK_BH]]=1,calendar[[#This Row],[WeekDay]]=1, calendar[[#This Row],[WeekDay]]=7),P890,P890+1)</f>
        <v>635</v>
      </c>
      <c r="Q891">
        <f>IF(OR(calendar[[#This Row],[FR_BH]]=1,calendar[[#This Row],[WeekDay]]=1, calendar[[#This Row],[WeekDay]]=7),P890,P890+1)</f>
        <v>635</v>
      </c>
      <c r="R891">
        <f>IF(OR(calendar[[#This Row],[SP_BH]]=1,calendar[[#This Row],[WeekDay]]=1, calendar[[#This Row],[WeekDay]]=7),P890,P890+1)</f>
        <v>635</v>
      </c>
      <c r="S891">
        <f>IF(OR(calendar[[#This Row],[PT_BH]]=1,calendar[[#This Row],[WeekDay]]=1, calendar[[#This Row],[WeekDay]]=7),P890,P890+1)</f>
        <v>635</v>
      </c>
    </row>
    <row r="892" spans="1:19" x14ac:dyDescent="0.25">
      <c r="A892" s="2">
        <v>43626</v>
      </c>
      <c r="B892" s="1">
        <f t="shared" si="68"/>
        <v>24</v>
      </c>
      <c r="C892">
        <f t="shared" si="70"/>
        <v>6</v>
      </c>
      <c r="D892" t="str">
        <f t="shared" si="71"/>
        <v>June</v>
      </c>
      <c r="E892">
        <f t="shared" si="72"/>
        <v>2019</v>
      </c>
      <c r="F892" t="str">
        <f>CONCATENATE(calendar[[#This Row],[Month]],"/",calendar[[#This Row],[Year]])</f>
        <v>6/2019</v>
      </c>
      <c r="G892">
        <f>WEEKDAY(calendar[[#This Row],[Date]],1)</f>
        <v>2</v>
      </c>
      <c r="H892" t="str">
        <f>TEXT(calendar[[#This Row],[WeekDay]],"dddd")</f>
        <v>Monday</v>
      </c>
      <c r="I892">
        <f>IF((INT(calendar[[#This Row],[Count]]/7)-calendar[[#This Row],[Count]]/7)&lt;0,I891,I891+1)</f>
        <v>128</v>
      </c>
      <c r="J892">
        <f t="shared" si="69"/>
        <v>890</v>
      </c>
      <c r="K892">
        <f>IF(calendar[[#This Row],[Month]]&lt;4,1,IF(calendar[[#This Row],[Month]]&lt;7,2,IF(calendar[[#This Row],[Month]]&lt;10,3,4)))</f>
        <v>2</v>
      </c>
      <c r="L892">
        <f>IFERROR(IF(VLOOKUP(calendar[[#This Row],[Date]],BH!A:A,1,)&lt;&gt;"",1,0),0)</f>
        <v>0</v>
      </c>
      <c r="M892">
        <f>IFERROR(IF(VLOOKUP(calendar[[#This Row],[Date]],BH!C:C,1,)&lt;&gt;"",1,0),0)</f>
        <v>0</v>
      </c>
      <c r="N892">
        <f>IFERROR(IF(VLOOKUP(calendar[[#This Row],[Date]],BH!E:E,1,)&lt;&gt;"",1,0),0)</f>
        <v>0</v>
      </c>
      <c r="O892">
        <f>IFERROR(IF(VLOOKUP(calendar[[#This Row],[Date]],BH!G:G,1,)&lt;&gt;"",1,0),0)</f>
        <v>0</v>
      </c>
      <c r="P892">
        <f>IF(OR(calendar[[#This Row],[UK_BH]]=1,calendar[[#This Row],[WeekDay]]=1, calendar[[#This Row],[WeekDay]]=7),P891,P891+1)</f>
        <v>636</v>
      </c>
      <c r="Q892">
        <f>IF(OR(calendar[[#This Row],[FR_BH]]=1,calendar[[#This Row],[WeekDay]]=1, calendar[[#This Row],[WeekDay]]=7),P891,P891+1)</f>
        <v>636</v>
      </c>
      <c r="R892">
        <f>IF(OR(calendar[[#This Row],[SP_BH]]=1,calendar[[#This Row],[WeekDay]]=1, calendar[[#This Row],[WeekDay]]=7),P891,P891+1)</f>
        <v>636</v>
      </c>
      <c r="S892">
        <f>IF(OR(calendar[[#This Row],[PT_BH]]=1,calendar[[#This Row],[WeekDay]]=1, calendar[[#This Row],[WeekDay]]=7),P891,P891+1)</f>
        <v>636</v>
      </c>
    </row>
    <row r="893" spans="1:19" x14ac:dyDescent="0.25">
      <c r="A893" s="2">
        <v>43627</v>
      </c>
      <c r="B893" s="1">
        <f t="shared" si="68"/>
        <v>24</v>
      </c>
      <c r="C893">
        <f t="shared" si="70"/>
        <v>6</v>
      </c>
      <c r="D893" t="str">
        <f t="shared" si="71"/>
        <v>June</v>
      </c>
      <c r="E893">
        <f t="shared" si="72"/>
        <v>2019</v>
      </c>
      <c r="F893" t="str">
        <f>CONCATENATE(calendar[[#This Row],[Month]],"/",calendar[[#This Row],[Year]])</f>
        <v>6/2019</v>
      </c>
      <c r="G893">
        <f>WEEKDAY(calendar[[#This Row],[Date]],1)</f>
        <v>3</v>
      </c>
      <c r="H893" t="str">
        <f>TEXT(calendar[[#This Row],[WeekDay]],"dddd")</f>
        <v>Tuesday</v>
      </c>
      <c r="I893">
        <f>IF((INT(calendar[[#This Row],[Count]]/7)-calendar[[#This Row],[Count]]/7)&lt;0,I892,I892+1)</f>
        <v>128</v>
      </c>
      <c r="J893">
        <f t="shared" si="69"/>
        <v>891</v>
      </c>
      <c r="K893">
        <f>IF(calendar[[#This Row],[Month]]&lt;4,1,IF(calendar[[#This Row],[Month]]&lt;7,2,IF(calendar[[#This Row],[Month]]&lt;10,3,4)))</f>
        <v>2</v>
      </c>
      <c r="L893">
        <f>IFERROR(IF(VLOOKUP(calendar[[#This Row],[Date]],BH!A:A,1,)&lt;&gt;"",1,0),0)</f>
        <v>0</v>
      </c>
      <c r="M893">
        <f>IFERROR(IF(VLOOKUP(calendar[[#This Row],[Date]],BH!C:C,1,)&lt;&gt;"",1,0),0)</f>
        <v>0</v>
      </c>
      <c r="N893">
        <f>IFERROR(IF(VLOOKUP(calendar[[#This Row],[Date]],BH!E:E,1,)&lt;&gt;"",1,0),0)</f>
        <v>0</v>
      </c>
      <c r="O893">
        <f>IFERROR(IF(VLOOKUP(calendar[[#This Row],[Date]],BH!G:G,1,)&lt;&gt;"",1,0),0)</f>
        <v>0</v>
      </c>
      <c r="P893">
        <f>IF(OR(calendar[[#This Row],[UK_BH]]=1,calendar[[#This Row],[WeekDay]]=1, calendar[[#This Row],[WeekDay]]=7),P892,P892+1)</f>
        <v>637</v>
      </c>
      <c r="Q893">
        <f>IF(OR(calendar[[#This Row],[FR_BH]]=1,calendar[[#This Row],[WeekDay]]=1, calendar[[#This Row],[WeekDay]]=7),P892,P892+1)</f>
        <v>637</v>
      </c>
      <c r="R893">
        <f>IF(OR(calendar[[#This Row],[SP_BH]]=1,calendar[[#This Row],[WeekDay]]=1, calendar[[#This Row],[WeekDay]]=7),P892,P892+1)</f>
        <v>637</v>
      </c>
      <c r="S893">
        <f>IF(OR(calendar[[#This Row],[PT_BH]]=1,calendar[[#This Row],[WeekDay]]=1, calendar[[#This Row],[WeekDay]]=7),P892,P892+1)</f>
        <v>637</v>
      </c>
    </row>
    <row r="894" spans="1:19" x14ac:dyDescent="0.25">
      <c r="A894" s="2">
        <v>43628</v>
      </c>
      <c r="B894" s="1">
        <f t="shared" si="68"/>
        <v>24</v>
      </c>
      <c r="C894">
        <f t="shared" si="70"/>
        <v>6</v>
      </c>
      <c r="D894" t="str">
        <f t="shared" si="71"/>
        <v>June</v>
      </c>
      <c r="E894">
        <f t="shared" si="72"/>
        <v>2019</v>
      </c>
      <c r="F894" t="str">
        <f>CONCATENATE(calendar[[#This Row],[Month]],"/",calendar[[#This Row],[Year]])</f>
        <v>6/2019</v>
      </c>
      <c r="G894">
        <f>WEEKDAY(calendar[[#This Row],[Date]],1)</f>
        <v>4</v>
      </c>
      <c r="H894" t="str">
        <f>TEXT(calendar[[#This Row],[WeekDay]],"dddd")</f>
        <v>Wednesday</v>
      </c>
      <c r="I894">
        <f>IF((INT(calendar[[#This Row],[Count]]/7)-calendar[[#This Row],[Count]]/7)&lt;0,I893,I893+1)</f>
        <v>128</v>
      </c>
      <c r="J894">
        <f t="shared" si="69"/>
        <v>892</v>
      </c>
      <c r="K894">
        <f>IF(calendar[[#This Row],[Month]]&lt;4,1,IF(calendar[[#This Row],[Month]]&lt;7,2,IF(calendar[[#This Row],[Month]]&lt;10,3,4)))</f>
        <v>2</v>
      </c>
      <c r="L894">
        <f>IFERROR(IF(VLOOKUP(calendar[[#This Row],[Date]],BH!A:A,1,)&lt;&gt;"",1,0),0)</f>
        <v>0</v>
      </c>
      <c r="M894">
        <f>IFERROR(IF(VLOOKUP(calendar[[#This Row],[Date]],BH!C:C,1,)&lt;&gt;"",1,0),0)</f>
        <v>0</v>
      </c>
      <c r="N894">
        <f>IFERROR(IF(VLOOKUP(calendar[[#This Row],[Date]],BH!E:E,1,)&lt;&gt;"",1,0),0)</f>
        <v>0</v>
      </c>
      <c r="O894">
        <f>IFERROR(IF(VLOOKUP(calendar[[#This Row],[Date]],BH!G:G,1,)&lt;&gt;"",1,0),0)</f>
        <v>0</v>
      </c>
      <c r="P894">
        <f>IF(OR(calendar[[#This Row],[UK_BH]]=1,calendar[[#This Row],[WeekDay]]=1, calendar[[#This Row],[WeekDay]]=7),P893,P893+1)</f>
        <v>638</v>
      </c>
      <c r="Q894">
        <f>IF(OR(calendar[[#This Row],[FR_BH]]=1,calendar[[#This Row],[WeekDay]]=1, calendar[[#This Row],[WeekDay]]=7),P893,P893+1)</f>
        <v>638</v>
      </c>
      <c r="R894">
        <f>IF(OR(calendar[[#This Row],[SP_BH]]=1,calendar[[#This Row],[WeekDay]]=1, calendar[[#This Row],[WeekDay]]=7),P893,P893+1)</f>
        <v>638</v>
      </c>
      <c r="S894">
        <f>IF(OR(calendar[[#This Row],[PT_BH]]=1,calendar[[#This Row],[WeekDay]]=1, calendar[[#This Row],[WeekDay]]=7),P893,P893+1)</f>
        <v>638</v>
      </c>
    </row>
    <row r="895" spans="1:19" x14ac:dyDescent="0.25">
      <c r="A895" s="2">
        <v>43629</v>
      </c>
      <c r="B895" s="1">
        <f t="shared" si="68"/>
        <v>24</v>
      </c>
      <c r="C895">
        <f t="shared" si="70"/>
        <v>6</v>
      </c>
      <c r="D895" t="str">
        <f t="shared" si="71"/>
        <v>June</v>
      </c>
      <c r="E895">
        <f t="shared" si="72"/>
        <v>2019</v>
      </c>
      <c r="F895" t="str">
        <f>CONCATENATE(calendar[[#This Row],[Month]],"/",calendar[[#This Row],[Year]])</f>
        <v>6/2019</v>
      </c>
      <c r="G895">
        <f>WEEKDAY(calendar[[#This Row],[Date]],1)</f>
        <v>5</v>
      </c>
      <c r="H895" t="str">
        <f>TEXT(calendar[[#This Row],[WeekDay]],"dddd")</f>
        <v>Thursday</v>
      </c>
      <c r="I895">
        <f>IF((INT(calendar[[#This Row],[Count]]/7)-calendar[[#This Row],[Count]]/7)&lt;0,I894,I894+1)</f>
        <v>128</v>
      </c>
      <c r="J895">
        <f t="shared" si="69"/>
        <v>893</v>
      </c>
      <c r="K895">
        <f>IF(calendar[[#This Row],[Month]]&lt;4,1,IF(calendar[[#This Row],[Month]]&lt;7,2,IF(calendar[[#This Row],[Month]]&lt;10,3,4)))</f>
        <v>2</v>
      </c>
      <c r="L895">
        <f>IFERROR(IF(VLOOKUP(calendar[[#This Row],[Date]],BH!A:A,1,)&lt;&gt;"",1,0),0)</f>
        <v>0</v>
      </c>
      <c r="M895">
        <f>IFERROR(IF(VLOOKUP(calendar[[#This Row],[Date]],BH!C:C,1,)&lt;&gt;"",1,0),0)</f>
        <v>0</v>
      </c>
      <c r="N895">
        <f>IFERROR(IF(VLOOKUP(calendar[[#This Row],[Date]],BH!E:E,1,)&lt;&gt;"",1,0),0)</f>
        <v>0</v>
      </c>
      <c r="O895">
        <f>IFERROR(IF(VLOOKUP(calendar[[#This Row],[Date]],BH!G:G,1,)&lt;&gt;"",1,0),0)</f>
        <v>0</v>
      </c>
      <c r="P895">
        <f>IF(OR(calendar[[#This Row],[UK_BH]]=1,calendar[[#This Row],[WeekDay]]=1, calendar[[#This Row],[WeekDay]]=7),P894,P894+1)</f>
        <v>639</v>
      </c>
      <c r="Q895">
        <f>IF(OR(calendar[[#This Row],[FR_BH]]=1,calendar[[#This Row],[WeekDay]]=1, calendar[[#This Row],[WeekDay]]=7),P894,P894+1)</f>
        <v>639</v>
      </c>
      <c r="R895">
        <f>IF(OR(calendar[[#This Row],[SP_BH]]=1,calendar[[#This Row],[WeekDay]]=1, calendar[[#This Row],[WeekDay]]=7),P894,P894+1)</f>
        <v>639</v>
      </c>
      <c r="S895">
        <f>IF(OR(calendar[[#This Row],[PT_BH]]=1,calendar[[#This Row],[WeekDay]]=1, calendar[[#This Row],[WeekDay]]=7),P894,P894+1)</f>
        <v>639</v>
      </c>
    </row>
    <row r="896" spans="1:19" x14ac:dyDescent="0.25">
      <c r="A896" s="2">
        <v>43630</v>
      </c>
      <c r="B896" s="1">
        <f t="shared" si="68"/>
        <v>24</v>
      </c>
      <c r="C896">
        <f t="shared" si="70"/>
        <v>6</v>
      </c>
      <c r="D896" t="str">
        <f t="shared" si="71"/>
        <v>June</v>
      </c>
      <c r="E896">
        <f t="shared" si="72"/>
        <v>2019</v>
      </c>
      <c r="F896" t="str">
        <f>CONCATENATE(calendar[[#This Row],[Month]],"/",calendar[[#This Row],[Year]])</f>
        <v>6/2019</v>
      </c>
      <c r="G896">
        <f>WEEKDAY(calendar[[#This Row],[Date]],1)</f>
        <v>6</v>
      </c>
      <c r="H896" t="str">
        <f>TEXT(calendar[[#This Row],[WeekDay]],"dddd")</f>
        <v>Friday</v>
      </c>
      <c r="I896">
        <f>IF((INT(calendar[[#This Row],[Count]]/7)-calendar[[#This Row],[Count]]/7)&lt;0,I895,I895+1)</f>
        <v>128</v>
      </c>
      <c r="J896">
        <f t="shared" si="69"/>
        <v>894</v>
      </c>
      <c r="K896">
        <f>IF(calendar[[#This Row],[Month]]&lt;4,1,IF(calendar[[#This Row],[Month]]&lt;7,2,IF(calendar[[#This Row],[Month]]&lt;10,3,4)))</f>
        <v>2</v>
      </c>
      <c r="L896">
        <f>IFERROR(IF(VLOOKUP(calendar[[#This Row],[Date]],BH!A:A,1,)&lt;&gt;"",1,0),0)</f>
        <v>0</v>
      </c>
      <c r="M896">
        <f>IFERROR(IF(VLOOKUP(calendar[[#This Row],[Date]],BH!C:C,1,)&lt;&gt;"",1,0),0)</f>
        <v>0</v>
      </c>
      <c r="N896">
        <f>IFERROR(IF(VLOOKUP(calendar[[#This Row],[Date]],BH!E:E,1,)&lt;&gt;"",1,0),0)</f>
        <v>0</v>
      </c>
      <c r="O896">
        <f>IFERROR(IF(VLOOKUP(calendar[[#This Row],[Date]],BH!G:G,1,)&lt;&gt;"",1,0),0)</f>
        <v>0</v>
      </c>
      <c r="P896">
        <f>IF(OR(calendar[[#This Row],[UK_BH]]=1,calendar[[#This Row],[WeekDay]]=1, calendar[[#This Row],[WeekDay]]=7),P895,P895+1)</f>
        <v>640</v>
      </c>
      <c r="Q896">
        <f>IF(OR(calendar[[#This Row],[FR_BH]]=1,calendar[[#This Row],[WeekDay]]=1, calendar[[#This Row],[WeekDay]]=7),P895,P895+1)</f>
        <v>640</v>
      </c>
      <c r="R896">
        <f>IF(OR(calendar[[#This Row],[SP_BH]]=1,calendar[[#This Row],[WeekDay]]=1, calendar[[#This Row],[WeekDay]]=7),P895,P895+1)</f>
        <v>640</v>
      </c>
      <c r="S896">
        <f>IF(OR(calendar[[#This Row],[PT_BH]]=1,calendar[[#This Row],[WeekDay]]=1, calendar[[#This Row],[WeekDay]]=7),P895,P895+1)</f>
        <v>640</v>
      </c>
    </row>
    <row r="897" spans="1:19" x14ac:dyDescent="0.25">
      <c r="A897" s="2">
        <v>43631</v>
      </c>
      <c r="B897" s="1">
        <f t="shared" si="68"/>
        <v>24</v>
      </c>
      <c r="C897">
        <f t="shared" si="70"/>
        <v>6</v>
      </c>
      <c r="D897" t="str">
        <f t="shared" si="71"/>
        <v>June</v>
      </c>
      <c r="E897">
        <f t="shared" si="72"/>
        <v>2019</v>
      </c>
      <c r="F897" t="str">
        <f>CONCATENATE(calendar[[#This Row],[Month]],"/",calendar[[#This Row],[Year]])</f>
        <v>6/2019</v>
      </c>
      <c r="G897">
        <f>WEEKDAY(calendar[[#This Row],[Date]],1)</f>
        <v>7</v>
      </c>
      <c r="H897" t="str">
        <f>TEXT(calendar[[#This Row],[WeekDay]],"dddd")</f>
        <v>Saturday</v>
      </c>
      <c r="I897">
        <f>IF((INT(calendar[[#This Row],[Count]]/7)-calendar[[#This Row],[Count]]/7)&lt;0,I896,I896+1)</f>
        <v>128</v>
      </c>
      <c r="J897">
        <f t="shared" si="69"/>
        <v>895</v>
      </c>
      <c r="K897">
        <f>IF(calendar[[#This Row],[Month]]&lt;4,1,IF(calendar[[#This Row],[Month]]&lt;7,2,IF(calendar[[#This Row],[Month]]&lt;10,3,4)))</f>
        <v>2</v>
      </c>
      <c r="L897">
        <f>IFERROR(IF(VLOOKUP(calendar[[#This Row],[Date]],BH!A:A,1,)&lt;&gt;"",1,0),0)</f>
        <v>0</v>
      </c>
      <c r="M897">
        <f>IFERROR(IF(VLOOKUP(calendar[[#This Row],[Date]],BH!C:C,1,)&lt;&gt;"",1,0),0)</f>
        <v>0</v>
      </c>
      <c r="N897">
        <f>IFERROR(IF(VLOOKUP(calendar[[#This Row],[Date]],BH!E:E,1,)&lt;&gt;"",1,0),0)</f>
        <v>0</v>
      </c>
      <c r="O897">
        <f>IFERROR(IF(VLOOKUP(calendar[[#This Row],[Date]],BH!G:G,1,)&lt;&gt;"",1,0),0)</f>
        <v>0</v>
      </c>
      <c r="P897">
        <f>IF(OR(calendar[[#This Row],[UK_BH]]=1,calendar[[#This Row],[WeekDay]]=1, calendar[[#This Row],[WeekDay]]=7),P896,P896+1)</f>
        <v>640</v>
      </c>
      <c r="Q897">
        <f>IF(OR(calendar[[#This Row],[FR_BH]]=1,calendar[[#This Row],[WeekDay]]=1, calendar[[#This Row],[WeekDay]]=7),P896,P896+1)</f>
        <v>640</v>
      </c>
      <c r="R897">
        <f>IF(OR(calendar[[#This Row],[SP_BH]]=1,calendar[[#This Row],[WeekDay]]=1, calendar[[#This Row],[WeekDay]]=7),P896,P896+1)</f>
        <v>640</v>
      </c>
      <c r="S897">
        <f>IF(OR(calendar[[#This Row],[PT_BH]]=1,calendar[[#This Row],[WeekDay]]=1, calendar[[#This Row],[WeekDay]]=7),P896,P896+1)</f>
        <v>640</v>
      </c>
    </row>
    <row r="898" spans="1:19" x14ac:dyDescent="0.25">
      <c r="A898" s="2">
        <v>43632</v>
      </c>
      <c r="B898" s="1">
        <f t="shared" ref="B898:B961" si="73">WEEKNUM(A898)</f>
        <v>25</v>
      </c>
      <c r="C898">
        <f t="shared" si="70"/>
        <v>6</v>
      </c>
      <c r="D898" t="str">
        <f t="shared" si="71"/>
        <v>June</v>
      </c>
      <c r="E898">
        <f t="shared" si="72"/>
        <v>2019</v>
      </c>
      <c r="F898" t="str">
        <f>CONCATENATE(calendar[[#This Row],[Month]],"/",calendar[[#This Row],[Year]])</f>
        <v>6/2019</v>
      </c>
      <c r="G898">
        <f>WEEKDAY(calendar[[#This Row],[Date]],1)</f>
        <v>1</v>
      </c>
      <c r="H898" t="str">
        <f>TEXT(calendar[[#This Row],[WeekDay]],"dddd")</f>
        <v>Sunday</v>
      </c>
      <c r="I898">
        <f>IF((INT(calendar[[#This Row],[Count]]/7)-calendar[[#This Row],[Count]]/7)&lt;0,I897,I897+1)</f>
        <v>129</v>
      </c>
      <c r="J898">
        <f t="shared" si="69"/>
        <v>896</v>
      </c>
      <c r="K898">
        <f>IF(calendar[[#This Row],[Month]]&lt;4,1,IF(calendar[[#This Row],[Month]]&lt;7,2,IF(calendar[[#This Row],[Month]]&lt;10,3,4)))</f>
        <v>2</v>
      </c>
      <c r="L898">
        <f>IFERROR(IF(VLOOKUP(calendar[[#This Row],[Date]],BH!A:A,1,)&lt;&gt;"",1,0),0)</f>
        <v>0</v>
      </c>
      <c r="M898">
        <f>IFERROR(IF(VLOOKUP(calendar[[#This Row],[Date]],BH!C:C,1,)&lt;&gt;"",1,0),0)</f>
        <v>0</v>
      </c>
      <c r="N898">
        <f>IFERROR(IF(VLOOKUP(calendar[[#This Row],[Date]],BH!E:E,1,)&lt;&gt;"",1,0),0)</f>
        <v>0</v>
      </c>
      <c r="O898">
        <f>IFERROR(IF(VLOOKUP(calendar[[#This Row],[Date]],BH!G:G,1,)&lt;&gt;"",1,0),0)</f>
        <v>0</v>
      </c>
      <c r="P898">
        <f>IF(OR(calendar[[#This Row],[UK_BH]]=1,calendar[[#This Row],[WeekDay]]=1, calendar[[#This Row],[WeekDay]]=7),P897,P897+1)</f>
        <v>640</v>
      </c>
      <c r="Q898">
        <f>IF(OR(calendar[[#This Row],[FR_BH]]=1,calendar[[#This Row],[WeekDay]]=1, calendar[[#This Row],[WeekDay]]=7),P897,P897+1)</f>
        <v>640</v>
      </c>
      <c r="R898">
        <f>IF(OR(calendar[[#This Row],[SP_BH]]=1,calendar[[#This Row],[WeekDay]]=1, calendar[[#This Row],[WeekDay]]=7),P897,P897+1)</f>
        <v>640</v>
      </c>
      <c r="S898">
        <f>IF(OR(calendar[[#This Row],[PT_BH]]=1,calendar[[#This Row],[WeekDay]]=1, calendar[[#This Row],[WeekDay]]=7),P897,P897+1)</f>
        <v>640</v>
      </c>
    </row>
    <row r="899" spans="1:19" x14ac:dyDescent="0.25">
      <c r="A899" s="2">
        <v>43633</v>
      </c>
      <c r="B899" s="1">
        <f t="shared" si="73"/>
        <v>25</v>
      </c>
      <c r="C899">
        <f t="shared" si="70"/>
        <v>6</v>
      </c>
      <c r="D899" t="str">
        <f t="shared" si="71"/>
        <v>June</v>
      </c>
      <c r="E899">
        <f t="shared" si="72"/>
        <v>2019</v>
      </c>
      <c r="F899" t="str">
        <f>CONCATENATE(calendar[[#This Row],[Month]],"/",calendar[[#This Row],[Year]])</f>
        <v>6/2019</v>
      </c>
      <c r="G899">
        <f>WEEKDAY(calendar[[#This Row],[Date]],1)</f>
        <v>2</v>
      </c>
      <c r="H899" t="str">
        <f>TEXT(calendar[[#This Row],[WeekDay]],"dddd")</f>
        <v>Monday</v>
      </c>
      <c r="I899">
        <f>IF((INT(calendar[[#This Row],[Count]]/7)-calendar[[#This Row],[Count]]/7)&lt;0,I898,I898+1)</f>
        <v>129</v>
      </c>
      <c r="J899">
        <f t="shared" ref="J899:J962" si="74">J898+1</f>
        <v>897</v>
      </c>
      <c r="K899">
        <f>IF(calendar[[#This Row],[Month]]&lt;4,1,IF(calendar[[#This Row],[Month]]&lt;7,2,IF(calendar[[#This Row],[Month]]&lt;10,3,4)))</f>
        <v>2</v>
      </c>
      <c r="L899">
        <f>IFERROR(IF(VLOOKUP(calendar[[#This Row],[Date]],BH!A:A,1,)&lt;&gt;"",1,0),0)</f>
        <v>0</v>
      </c>
      <c r="M899">
        <f>IFERROR(IF(VLOOKUP(calendar[[#This Row],[Date]],BH!C:C,1,)&lt;&gt;"",1,0),0)</f>
        <v>0</v>
      </c>
      <c r="N899">
        <f>IFERROR(IF(VLOOKUP(calendar[[#This Row],[Date]],BH!E:E,1,)&lt;&gt;"",1,0),0)</f>
        <v>0</v>
      </c>
      <c r="O899">
        <f>IFERROR(IF(VLOOKUP(calendar[[#This Row],[Date]],BH!G:G,1,)&lt;&gt;"",1,0),0)</f>
        <v>0</v>
      </c>
      <c r="P899">
        <f>IF(OR(calendar[[#This Row],[UK_BH]]=1,calendar[[#This Row],[WeekDay]]=1, calendar[[#This Row],[WeekDay]]=7),P898,P898+1)</f>
        <v>641</v>
      </c>
      <c r="Q899">
        <f>IF(OR(calendar[[#This Row],[FR_BH]]=1,calendar[[#This Row],[WeekDay]]=1, calendar[[#This Row],[WeekDay]]=7),P898,P898+1)</f>
        <v>641</v>
      </c>
      <c r="R899">
        <f>IF(OR(calendar[[#This Row],[SP_BH]]=1,calendar[[#This Row],[WeekDay]]=1, calendar[[#This Row],[WeekDay]]=7),P898,P898+1)</f>
        <v>641</v>
      </c>
      <c r="S899">
        <f>IF(OR(calendar[[#This Row],[PT_BH]]=1,calendar[[#This Row],[WeekDay]]=1, calendar[[#This Row],[WeekDay]]=7),P898,P898+1)</f>
        <v>641</v>
      </c>
    </row>
    <row r="900" spans="1:19" x14ac:dyDescent="0.25">
      <c r="A900" s="2">
        <v>43634</v>
      </c>
      <c r="B900" s="1">
        <f t="shared" si="73"/>
        <v>25</v>
      </c>
      <c r="C900">
        <f t="shared" si="70"/>
        <v>6</v>
      </c>
      <c r="D900" t="str">
        <f t="shared" si="71"/>
        <v>June</v>
      </c>
      <c r="E900">
        <f t="shared" si="72"/>
        <v>2019</v>
      </c>
      <c r="F900" t="str">
        <f>CONCATENATE(calendar[[#This Row],[Month]],"/",calendar[[#This Row],[Year]])</f>
        <v>6/2019</v>
      </c>
      <c r="G900">
        <f>WEEKDAY(calendar[[#This Row],[Date]],1)</f>
        <v>3</v>
      </c>
      <c r="H900" t="str">
        <f>TEXT(calendar[[#This Row],[WeekDay]],"dddd")</f>
        <v>Tuesday</v>
      </c>
      <c r="I900">
        <f>IF((INT(calendar[[#This Row],[Count]]/7)-calendar[[#This Row],[Count]]/7)&lt;0,I899,I899+1)</f>
        <v>129</v>
      </c>
      <c r="J900">
        <f t="shared" si="74"/>
        <v>898</v>
      </c>
      <c r="K900">
        <f>IF(calendar[[#This Row],[Month]]&lt;4,1,IF(calendar[[#This Row],[Month]]&lt;7,2,IF(calendar[[#This Row],[Month]]&lt;10,3,4)))</f>
        <v>2</v>
      </c>
      <c r="L900">
        <f>IFERROR(IF(VLOOKUP(calendar[[#This Row],[Date]],BH!A:A,1,)&lt;&gt;"",1,0),0)</f>
        <v>0</v>
      </c>
      <c r="M900">
        <f>IFERROR(IF(VLOOKUP(calendar[[#This Row],[Date]],BH!C:C,1,)&lt;&gt;"",1,0),0)</f>
        <v>0</v>
      </c>
      <c r="N900">
        <f>IFERROR(IF(VLOOKUP(calendar[[#This Row],[Date]],BH!E:E,1,)&lt;&gt;"",1,0),0)</f>
        <v>0</v>
      </c>
      <c r="O900">
        <f>IFERROR(IF(VLOOKUP(calendar[[#This Row],[Date]],BH!G:G,1,)&lt;&gt;"",1,0),0)</f>
        <v>0</v>
      </c>
      <c r="P900">
        <f>IF(OR(calendar[[#This Row],[UK_BH]]=1,calendar[[#This Row],[WeekDay]]=1, calendar[[#This Row],[WeekDay]]=7),P899,P899+1)</f>
        <v>642</v>
      </c>
      <c r="Q900">
        <f>IF(OR(calendar[[#This Row],[FR_BH]]=1,calendar[[#This Row],[WeekDay]]=1, calendar[[#This Row],[WeekDay]]=7),P899,P899+1)</f>
        <v>642</v>
      </c>
      <c r="R900">
        <f>IF(OR(calendar[[#This Row],[SP_BH]]=1,calendar[[#This Row],[WeekDay]]=1, calendar[[#This Row],[WeekDay]]=7),P899,P899+1)</f>
        <v>642</v>
      </c>
      <c r="S900">
        <f>IF(OR(calendar[[#This Row],[PT_BH]]=1,calendar[[#This Row],[WeekDay]]=1, calendar[[#This Row],[WeekDay]]=7),P899,P899+1)</f>
        <v>642</v>
      </c>
    </row>
    <row r="901" spans="1:19" x14ac:dyDescent="0.25">
      <c r="A901" s="2">
        <v>43635</v>
      </c>
      <c r="B901" s="1">
        <f t="shared" si="73"/>
        <v>25</v>
      </c>
      <c r="C901">
        <f t="shared" si="70"/>
        <v>6</v>
      </c>
      <c r="D901" t="str">
        <f t="shared" si="71"/>
        <v>June</v>
      </c>
      <c r="E901">
        <f t="shared" si="72"/>
        <v>2019</v>
      </c>
      <c r="F901" t="str">
        <f>CONCATENATE(calendar[[#This Row],[Month]],"/",calendar[[#This Row],[Year]])</f>
        <v>6/2019</v>
      </c>
      <c r="G901">
        <f>WEEKDAY(calendar[[#This Row],[Date]],1)</f>
        <v>4</v>
      </c>
      <c r="H901" t="str">
        <f>TEXT(calendar[[#This Row],[WeekDay]],"dddd")</f>
        <v>Wednesday</v>
      </c>
      <c r="I901">
        <f>IF((INT(calendar[[#This Row],[Count]]/7)-calendar[[#This Row],[Count]]/7)&lt;0,I900,I900+1)</f>
        <v>129</v>
      </c>
      <c r="J901">
        <f t="shared" si="74"/>
        <v>899</v>
      </c>
      <c r="K901">
        <f>IF(calendar[[#This Row],[Month]]&lt;4,1,IF(calendar[[#This Row],[Month]]&lt;7,2,IF(calendar[[#This Row],[Month]]&lt;10,3,4)))</f>
        <v>2</v>
      </c>
      <c r="L901">
        <f>IFERROR(IF(VLOOKUP(calendar[[#This Row],[Date]],BH!A:A,1,)&lt;&gt;"",1,0),0)</f>
        <v>0</v>
      </c>
      <c r="M901">
        <f>IFERROR(IF(VLOOKUP(calendar[[#This Row],[Date]],BH!C:C,1,)&lt;&gt;"",1,0),0)</f>
        <v>0</v>
      </c>
      <c r="N901">
        <f>IFERROR(IF(VLOOKUP(calendar[[#This Row],[Date]],BH!E:E,1,)&lt;&gt;"",1,0),0)</f>
        <v>0</v>
      </c>
      <c r="O901">
        <f>IFERROR(IF(VLOOKUP(calendar[[#This Row],[Date]],BH!G:G,1,)&lt;&gt;"",1,0),0)</f>
        <v>0</v>
      </c>
      <c r="P901">
        <f>IF(OR(calendar[[#This Row],[UK_BH]]=1,calendar[[#This Row],[WeekDay]]=1, calendar[[#This Row],[WeekDay]]=7),P900,P900+1)</f>
        <v>643</v>
      </c>
      <c r="Q901">
        <f>IF(OR(calendar[[#This Row],[FR_BH]]=1,calendar[[#This Row],[WeekDay]]=1, calendar[[#This Row],[WeekDay]]=7),P900,P900+1)</f>
        <v>643</v>
      </c>
      <c r="R901">
        <f>IF(OR(calendar[[#This Row],[SP_BH]]=1,calendar[[#This Row],[WeekDay]]=1, calendar[[#This Row],[WeekDay]]=7),P900,P900+1)</f>
        <v>643</v>
      </c>
      <c r="S901">
        <f>IF(OR(calendar[[#This Row],[PT_BH]]=1,calendar[[#This Row],[WeekDay]]=1, calendar[[#This Row],[WeekDay]]=7),P900,P900+1)</f>
        <v>643</v>
      </c>
    </row>
    <row r="902" spans="1:19" x14ac:dyDescent="0.25">
      <c r="A902" s="2">
        <v>43636</v>
      </c>
      <c r="B902" s="1">
        <f t="shared" si="73"/>
        <v>25</v>
      </c>
      <c r="C902">
        <f t="shared" si="70"/>
        <v>6</v>
      </c>
      <c r="D902" t="str">
        <f t="shared" si="71"/>
        <v>June</v>
      </c>
      <c r="E902">
        <f t="shared" si="72"/>
        <v>2019</v>
      </c>
      <c r="F902" t="str">
        <f>CONCATENATE(calendar[[#This Row],[Month]],"/",calendar[[#This Row],[Year]])</f>
        <v>6/2019</v>
      </c>
      <c r="G902">
        <f>WEEKDAY(calendar[[#This Row],[Date]],1)</f>
        <v>5</v>
      </c>
      <c r="H902" t="str">
        <f>TEXT(calendar[[#This Row],[WeekDay]],"dddd")</f>
        <v>Thursday</v>
      </c>
      <c r="I902">
        <f>IF((INT(calendar[[#This Row],[Count]]/7)-calendar[[#This Row],[Count]]/7)&lt;0,I901,I901+1)</f>
        <v>129</v>
      </c>
      <c r="J902">
        <f t="shared" si="74"/>
        <v>900</v>
      </c>
      <c r="K902">
        <f>IF(calendar[[#This Row],[Month]]&lt;4,1,IF(calendar[[#This Row],[Month]]&lt;7,2,IF(calendar[[#This Row],[Month]]&lt;10,3,4)))</f>
        <v>2</v>
      </c>
      <c r="L902">
        <f>IFERROR(IF(VLOOKUP(calendar[[#This Row],[Date]],BH!A:A,1,)&lt;&gt;"",1,0),0)</f>
        <v>0</v>
      </c>
      <c r="M902">
        <f>IFERROR(IF(VLOOKUP(calendar[[#This Row],[Date]],BH!C:C,1,)&lt;&gt;"",1,0),0)</f>
        <v>0</v>
      </c>
      <c r="N902">
        <f>IFERROR(IF(VLOOKUP(calendar[[#This Row],[Date]],BH!E:E,1,)&lt;&gt;"",1,0),0)</f>
        <v>0</v>
      </c>
      <c r="O902">
        <f>IFERROR(IF(VLOOKUP(calendar[[#This Row],[Date]],BH!G:G,1,)&lt;&gt;"",1,0),0)</f>
        <v>0</v>
      </c>
      <c r="P902">
        <f>IF(OR(calendar[[#This Row],[UK_BH]]=1,calendar[[#This Row],[WeekDay]]=1, calendar[[#This Row],[WeekDay]]=7),P901,P901+1)</f>
        <v>644</v>
      </c>
      <c r="Q902">
        <f>IF(OR(calendar[[#This Row],[FR_BH]]=1,calendar[[#This Row],[WeekDay]]=1, calendar[[#This Row],[WeekDay]]=7),P901,P901+1)</f>
        <v>644</v>
      </c>
      <c r="R902">
        <f>IF(OR(calendar[[#This Row],[SP_BH]]=1,calendar[[#This Row],[WeekDay]]=1, calendar[[#This Row],[WeekDay]]=7),P901,P901+1)</f>
        <v>644</v>
      </c>
      <c r="S902">
        <f>IF(OR(calendar[[#This Row],[PT_BH]]=1,calendar[[#This Row],[WeekDay]]=1, calendar[[#This Row],[WeekDay]]=7),P901,P901+1)</f>
        <v>644</v>
      </c>
    </row>
    <row r="903" spans="1:19" x14ac:dyDescent="0.25">
      <c r="A903" s="2">
        <v>43637</v>
      </c>
      <c r="B903" s="1">
        <f t="shared" si="73"/>
        <v>25</v>
      </c>
      <c r="C903">
        <f t="shared" si="70"/>
        <v>6</v>
      </c>
      <c r="D903" t="str">
        <f t="shared" si="71"/>
        <v>June</v>
      </c>
      <c r="E903">
        <f t="shared" si="72"/>
        <v>2019</v>
      </c>
      <c r="F903" t="str">
        <f>CONCATENATE(calendar[[#This Row],[Month]],"/",calendar[[#This Row],[Year]])</f>
        <v>6/2019</v>
      </c>
      <c r="G903">
        <f>WEEKDAY(calendar[[#This Row],[Date]],1)</f>
        <v>6</v>
      </c>
      <c r="H903" t="str">
        <f>TEXT(calendar[[#This Row],[WeekDay]],"dddd")</f>
        <v>Friday</v>
      </c>
      <c r="I903">
        <f>IF((INT(calendar[[#This Row],[Count]]/7)-calendar[[#This Row],[Count]]/7)&lt;0,I902,I902+1)</f>
        <v>129</v>
      </c>
      <c r="J903">
        <f t="shared" si="74"/>
        <v>901</v>
      </c>
      <c r="K903">
        <f>IF(calendar[[#This Row],[Month]]&lt;4,1,IF(calendar[[#This Row],[Month]]&lt;7,2,IF(calendar[[#This Row],[Month]]&lt;10,3,4)))</f>
        <v>2</v>
      </c>
      <c r="L903">
        <f>IFERROR(IF(VLOOKUP(calendar[[#This Row],[Date]],BH!A:A,1,)&lt;&gt;"",1,0),0)</f>
        <v>0</v>
      </c>
      <c r="M903">
        <f>IFERROR(IF(VLOOKUP(calendar[[#This Row],[Date]],BH!C:C,1,)&lt;&gt;"",1,0),0)</f>
        <v>0</v>
      </c>
      <c r="N903">
        <f>IFERROR(IF(VLOOKUP(calendar[[#This Row],[Date]],BH!E:E,1,)&lt;&gt;"",1,0),0)</f>
        <v>0</v>
      </c>
      <c r="O903">
        <f>IFERROR(IF(VLOOKUP(calendar[[#This Row],[Date]],BH!G:G,1,)&lt;&gt;"",1,0),0)</f>
        <v>0</v>
      </c>
      <c r="P903">
        <f>IF(OR(calendar[[#This Row],[UK_BH]]=1,calendar[[#This Row],[WeekDay]]=1, calendar[[#This Row],[WeekDay]]=7),P902,P902+1)</f>
        <v>645</v>
      </c>
      <c r="Q903">
        <f>IF(OR(calendar[[#This Row],[FR_BH]]=1,calendar[[#This Row],[WeekDay]]=1, calendar[[#This Row],[WeekDay]]=7),P902,P902+1)</f>
        <v>645</v>
      </c>
      <c r="R903">
        <f>IF(OR(calendar[[#This Row],[SP_BH]]=1,calendar[[#This Row],[WeekDay]]=1, calendar[[#This Row],[WeekDay]]=7),P902,P902+1)</f>
        <v>645</v>
      </c>
      <c r="S903">
        <f>IF(OR(calendar[[#This Row],[PT_BH]]=1,calendar[[#This Row],[WeekDay]]=1, calendar[[#This Row],[WeekDay]]=7),P902,P902+1)</f>
        <v>645</v>
      </c>
    </row>
    <row r="904" spans="1:19" x14ac:dyDescent="0.25">
      <c r="A904" s="2">
        <v>43638</v>
      </c>
      <c r="B904" s="1">
        <f t="shared" si="73"/>
        <v>25</v>
      </c>
      <c r="C904">
        <f t="shared" si="70"/>
        <v>6</v>
      </c>
      <c r="D904" t="str">
        <f t="shared" si="71"/>
        <v>June</v>
      </c>
      <c r="E904">
        <f t="shared" si="72"/>
        <v>2019</v>
      </c>
      <c r="F904" t="str">
        <f>CONCATENATE(calendar[[#This Row],[Month]],"/",calendar[[#This Row],[Year]])</f>
        <v>6/2019</v>
      </c>
      <c r="G904">
        <f>WEEKDAY(calendar[[#This Row],[Date]],1)</f>
        <v>7</v>
      </c>
      <c r="H904" t="str">
        <f>TEXT(calendar[[#This Row],[WeekDay]],"dddd")</f>
        <v>Saturday</v>
      </c>
      <c r="I904">
        <f>IF((INT(calendar[[#This Row],[Count]]/7)-calendar[[#This Row],[Count]]/7)&lt;0,I903,I903+1)</f>
        <v>129</v>
      </c>
      <c r="J904">
        <f t="shared" si="74"/>
        <v>902</v>
      </c>
      <c r="K904">
        <f>IF(calendar[[#This Row],[Month]]&lt;4,1,IF(calendar[[#This Row],[Month]]&lt;7,2,IF(calendar[[#This Row],[Month]]&lt;10,3,4)))</f>
        <v>2</v>
      </c>
      <c r="L904">
        <f>IFERROR(IF(VLOOKUP(calendar[[#This Row],[Date]],BH!A:A,1,)&lt;&gt;"",1,0),0)</f>
        <v>0</v>
      </c>
      <c r="M904">
        <f>IFERROR(IF(VLOOKUP(calendar[[#This Row],[Date]],BH!C:C,1,)&lt;&gt;"",1,0),0)</f>
        <v>0</v>
      </c>
      <c r="N904">
        <f>IFERROR(IF(VLOOKUP(calendar[[#This Row],[Date]],BH!E:E,1,)&lt;&gt;"",1,0),0)</f>
        <v>0</v>
      </c>
      <c r="O904">
        <f>IFERROR(IF(VLOOKUP(calendar[[#This Row],[Date]],BH!G:G,1,)&lt;&gt;"",1,0),0)</f>
        <v>0</v>
      </c>
      <c r="P904">
        <f>IF(OR(calendar[[#This Row],[UK_BH]]=1,calendar[[#This Row],[WeekDay]]=1, calendar[[#This Row],[WeekDay]]=7),P903,P903+1)</f>
        <v>645</v>
      </c>
      <c r="Q904">
        <f>IF(OR(calendar[[#This Row],[FR_BH]]=1,calendar[[#This Row],[WeekDay]]=1, calendar[[#This Row],[WeekDay]]=7),P903,P903+1)</f>
        <v>645</v>
      </c>
      <c r="R904">
        <f>IF(OR(calendar[[#This Row],[SP_BH]]=1,calendar[[#This Row],[WeekDay]]=1, calendar[[#This Row],[WeekDay]]=7),P903,P903+1)</f>
        <v>645</v>
      </c>
      <c r="S904">
        <f>IF(OR(calendar[[#This Row],[PT_BH]]=1,calendar[[#This Row],[WeekDay]]=1, calendar[[#This Row],[WeekDay]]=7),P903,P903+1)</f>
        <v>645</v>
      </c>
    </row>
    <row r="905" spans="1:19" x14ac:dyDescent="0.25">
      <c r="A905" s="2">
        <v>43639</v>
      </c>
      <c r="B905" s="1">
        <f t="shared" si="73"/>
        <v>26</v>
      </c>
      <c r="C905">
        <f t="shared" si="70"/>
        <v>6</v>
      </c>
      <c r="D905" t="str">
        <f t="shared" si="71"/>
        <v>June</v>
      </c>
      <c r="E905">
        <f t="shared" si="72"/>
        <v>2019</v>
      </c>
      <c r="F905" t="str">
        <f>CONCATENATE(calendar[[#This Row],[Month]],"/",calendar[[#This Row],[Year]])</f>
        <v>6/2019</v>
      </c>
      <c r="G905">
        <f>WEEKDAY(calendar[[#This Row],[Date]],1)</f>
        <v>1</v>
      </c>
      <c r="H905" t="str">
        <f>TEXT(calendar[[#This Row],[WeekDay]],"dddd")</f>
        <v>Sunday</v>
      </c>
      <c r="I905">
        <f>IF((INT(calendar[[#This Row],[Count]]/7)-calendar[[#This Row],[Count]]/7)&lt;0,I904,I904+1)</f>
        <v>130</v>
      </c>
      <c r="J905">
        <f t="shared" si="74"/>
        <v>903</v>
      </c>
      <c r="K905">
        <f>IF(calendar[[#This Row],[Month]]&lt;4,1,IF(calendar[[#This Row],[Month]]&lt;7,2,IF(calendar[[#This Row],[Month]]&lt;10,3,4)))</f>
        <v>2</v>
      </c>
      <c r="L905">
        <f>IFERROR(IF(VLOOKUP(calendar[[#This Row],[Date]],BH!A:A,1,)&lt;&gt;"",1,0),0)</f>
        <v>0</v>
      </c>
      <c r="M905">
        <f>IFERROR(IF(VLOOKUP(calendar[[#This Row],[Date]],BH!C:C,1,)&lt;&gt;"",1,0),0)</f>
        <v>0</v>
      </c>
      <c r="N905">
        <f>IFERROR(IF(VLOOKUP(calendar[[#This Row],[Date]],BH!E:E,1,)&lt;&gt;"",1,0),0)</f>
        <v>0</v>
      </c>
      <c r="O905">
        <f>IFERROR(IF(VLOOKUP(calendar[[#This Row],[Date]],BH!G:G,1,)&lt;&gt;"",1,0),0)</f>
        <v>0</v>
      </c>
      <c r="P905">
        <f>IF(OR(calendar[[#This Row],[UK_BH]]=1,calendar[[#This Row],[WeekDay]]=1, calendar[[#This Row],[WeekDay]]=7),P904,P904+1)</f>
        <v>645</v>
      </c>
      <c r="Q905">
        <f>IF(OR(calendar[[#This Row],[FR_BH]]=1,calendar[[#This Row],[WeekDay]]=1, calendar[[#This Row],[WeekDay]]=7),P904,P904+1)</f>
        <v>645</v>
      </c>
      <c r="R905">
        <f>IF(OR(calendar[[#This Row],[SP_BH]]=1,calendar[[#This Row],[WeekDay]]=1, calendar[[#This Row],[WeekDay]]=7),P904,P904+1)</f>
        <v>645</v>
      </c>
      <c r="S905">
        <f>IF(OR(calendar[[#This Row],[PT_BH]]=1,calendar[[#This Row],[WeekDay]]=1, calendar[[#This Row],[WeekDay]]=7),P904,P904+1)</f>
        <v>645</v>
      </c>
    </row>
    <row r="906" spans="1:19" x14ac:dyDescent="0.25">
      <c r="A906" s="2">
        <v>43640</v>
      </c>
      <c r="B906" s="1">
        <f t="shared" si="73"/>
        <v>26</v>
      </c>
      <c r="C906">
        <f t="shared" si="70"/>
        <v>6</v>
      </c>
      <c r="D906" t="str">
        <f t="shared" si="71"/>
        <v>June</v>
      </c>
      <c r="E906">
        <f t="shared" si="72"/>
        <v>2019</v>
      </c>
      <c r="F906" t="str">
        <f>CONCATENATE(calendar[[#This Row],[Month]],"/",calendar[[#This Row],[Year]])</f>
        <v>6/2019</v>
      </c>
      <c r="G906">
        <f>WEEKDAY(calendar[[#This Row],[Date]],1)</f>
        <v>2</v>
      </c>
      <c r="H906" t="str">
        <f>TEXT(calendar[[#This Row],[WeekDay]],"dddd")</f>
        <v>Monday</v>
      </c>
      <c r="I906">
        <f>IF((INT(calendar[[#This Row],[Count]]/7)-calendar[[#This Row],[Count]]/7)&lt;0,I905,I905+1)</f>
        <v>130</v>
      </c>
      <c r="J906">
        <f t="shared" si="74"/>
        <v>904</v>
      </c>
      <c r="K906">
        <f>IF(calendar[[#This Row],[Month]]&lt;4,1,IF(calendar[[#This Row],[Month]]&lt;7,2,IF(calendar[[#This Row],[Month]]&lt;10,3,4)))</f>
        <v>2</v>
      </c>
      <c r="L906">
        <f>IFERROR(IF(VLOOKUP(calendar[[#This Row],[Date]],BH!A:A,1,)&lt;&gt;"",1,0),0)</f>
        <v>0</v>
      </c>
      <c r="M906">
        <f>IFERROR(IF(VLOOKUP(calendar[[#This Row],[Date]],BH!C:C,1,)&lt;&gt;"",1,0),0)</f>
        <v>0</v>
      </c>
      <c r="N906">
        <f>IFERROR(IF(VLOOKUP(calendar[[#This Row],[Date]],BH!E:E,1,)&lt;&gt;"",1,0),0)</f>
        <v>0</v>
      </c>
      <c r="O906">
        <f>IFERROR(IF(VLOOKUP(calendar[[#This Row],[Date]],BH!G:G,1,)&lt;&gt;"",1,0),0)</f>
        <v>0</v>
      </c>
      <c r="P906">
        <f>IF(OR(calendar[[#This Row],[UK_BH]]=1,calendar[[#This Row],[WeekDay]]=1, calendar[[#This Row],[WeekDay]]=7),P905,P905+1)</f>
        <v>646</v>
      </c>
      <c r="Q906">
        <f>IF(OR(calendar[[#This Row],[FR_BH]]=1,calendar[[#This Row],[WeekDay]]=1, calendar[[#This Row],[WeekDay]]=7),P905,P905+1)</f>
        <v>646</v>
      </c>
      <c r="R906">
        <f>IF(OR(calendar[[#This Row],[SP_BH]]=1,calendar[[#This Row],[WeekDay]]=1, calendar[[#This Row],[WeekDay]]=7),P905,P905+1)</f>
        <v>646</v>
      </c>
      <c r="S906">
        <f>IF(OR(calendar[[#This Row],[PT_BH]]=1,calendar[[#This Row],[WeekDay]]=1, calendar[[#This Row],[WeekDay]]=7),P905,P905+1)</f>
        <v>646</v>
      </c>
    </row>
    <row r="907" spans="1:19" x14ac:dyDescent="0.25">
      <c r="A907" s="2">
        <v>43641</v>
      </c>
      <c r="B907" s="1">
        <f t="shared" si="73"/>
        <v>26</v>
      </c>
      <c r="C907">
        <f t="shared" si="70"/>
        <v>6</v>
      </c>
      <c r="D907" t="str">
        <f t="shared" si="71"/>
        <v>June</v>
      </c>
      <c r="E907">
        <f t="shared" si="72"/>
        <v>2019</v>
      </c>
      <c r="F907" t="str">
        <f>CONCATENATE(calendar[[#This Row],[Month]],"/",calendar[[#This Row],[Year]])</f>
        <v>6/2019</v>
      </c>
      <c r="G907">
        <f>WEEKDAY(calendar[[#This Row],[Date]],1)</f>
        <v>3</v>
      </c>
      <c r="H907" t="str">
        <f>TEXT(calendar[[#This Row],[WeekDay]],"dddd")</f>
        <v>Tuesday</v>
      </c>
      <c r="I907">
        <f>IF((INT(calendar[[#This Row],[Count]]/7)-calendar[[#This Row],[Count]]/7)&lt;0,I906,I906+1)</f>
        <v>130</v>
      </c>
      <c r="J907">
        <f t="shared" si="74"/>
        <v>905</v>
      </c>
      <c r="K907">
        <f>IF(calendar[[#This Row],[Month]]&lt;4,1,IF(calendar[[#This Row],[Month]]&lt;7,2,IF(calendar[[#This Row],[Month]]&lt;10,3,4)))</f>
        <v>2</v>
      </c>
      <c r="L907">
        <f>IFERROR(IF(VLOOKUP(calendar[[#This Row],[Date]],BH!A:A,1,)&lt;&gt;"",1,0),0)</f>
        <v>0</v>
      </c>
      <c r="M907">
        <f>IFERROR(IF(VLOOKUP(calendar[[#This Row],[Date]],BH!C:C,1,)&lt;&gt;"",1,0),0)</f>
        <v>0</v>
      </c>
      <c r="N907">
        <f>IFERROR(IF(VLOOKUP(calendar[[#This Row],[Date]],BH!E:E,1,)&lt;&gt;"",1,0),0)</f>
        <v>0</v>
      </c>
      <c r="O907">
        <f>IFERROR(IF(VLOOKUP(calendar[[#This Row],[Date]],BH!G:G,1,)&lt;&gt;"",1,0),0)</f>
        <v>0</v>
      </c>
      <c r="P907">
        <f>IF(OR(calendar[[#This Row],[UK_BH]]=1,calendar[[#This Row],[WeekDay]]=1, calendar[[#This Row],[WeekDay]]=7),P906,P906+1)</f>
        <v>647</v>
      </c>
      <c r="Q907">
        <f>IF(OR(calendar[[#This Row],[FR_BH]]=1,calendar[[#This Row],[WeekDay]]=1, calendar[[#This Row],[WeekDay]]=7),P906,P906+1)</f>
        <v>647</v>
      </c>
      <c r="R907">
        <f>IF(OR(calendar[[#This Row],[SP_BH]]=1,calendar[[#This Row],[WeekDay]]=1, calendar[[#This Row],[WeekDay]]=7),P906,P906+1)</f>
        <v>647</v>
      </c>
      <c r="S907">
        <f>IF(OR(calendar[[#This Row],[PT_BH]]=1,calendar[[#This Row],[WeekDay]]=1, calendar[[#This Row],[WeekDay]]=7),P906,P906+1)</f>
        <v>647</v>
      </c>
    </row>
    <row r="908" spans="1:19" x14ac:dyDescent="0.25">
      <c r="A908" s="2">
        <v>43642</v>
      </c>
      <c r="B908" s="1">
        <f t="shared" si="73"/>
        <v>26</v>
      </c>
      <c r="C908">
        <f t="shared" si="70"/>
        <v>6</v>
      </c>
      <c r="D908" t="str">
        <f t="shared" si="71"/>
        <v>June</v>
      </c>
      <c r="E908">
        <f t="shared" si="72"/>
        <v>2019</v>
      </c>
      <c r="F908" t="str">
        <f>CONCATENATE(calendar[[#This Row],[Month]],"/",calendar[[#This Row],[Year]])</f>
        <v>6/2019</v>
      </c>
      <c r="G908">
        <f>WEEKDAY(calendar[[#This Row],[Date]],1)</f>
        <v>4</v>
      </c>
      <c r="H908" t="str">
        <f>TEXT(calendar[[#This Row],[WeekDay]],"dddd")</f>
        <v>Wednesday</v>
      </c>
      <c r="I908">
        <f>IF((INT(calendar[[#This Row],[Count]]/7)-calendar[[#This Row],[Count]]/7)&lt;0,I907,I907+1)</f>
        <v>130</v>
      </c>
      <c r="J908">
        <f t="shared" si="74"/>
        <v>906</v>
      </c>
      <c r="K908">
        <f>IF(calendar[[#This Row],[Month]]&lt;4,1,IF(calendar[[#This Row],[Month]]&lt;7,2,IF(calendar[[#This Row],[Month]]&lt;10,3,4)))</f>
        <v>2</v>
      </c>
      <c r="L908">
        <f>IFERROR(IF(VLOOKUP(calendar[[#This Row],[Date]],BH!A:A,1,)&lt;&gt;"",1,0),0)</f>
        <v>0</v>
      </c>
      <c r="M908">
        <f>IFERROR(IF(VLOOKUP(calendar[[#This Row],[Date]],BH!C:C,1,)&lt;&gt;"",1,0),0)</f>
        <v>0</v>
      </c>
      <c r="N908">
        <f>IFERROR(IF(VLOOKUP(calendar[[#This Row],[Date]],BH!E:E,1,)&lt;&gt;"",1,0),0)</f>
        <v>0</v>
      </c>
      <c r="O908">
        <f>IFERROR(IF(VLOOKUP(calendar[[#This Row],[Date]],BH!G:G,1,)&lt;&gt;"",1,0),0)</f>
        <v>0</v>
      </c>
      <c r="P908">
        <f>IF(OR(calendar[[#This Row],[UK_BH]]=1,calendar[[#This Row],[WeekDay]]=1, calendar[[#This Row],[WeekDay]]=7),P907,P907+1)</f>
        <v>648</v>
      </c>
      <c r="Q908">
        <f>IF(OR(calendar[[#This Row],[FR_BH]]=1,calendar[[#This Row],[WeekDay]]=1, calendar[[#This Row],[WeekDay]]=7),P907,P907+1)</f>
        <v>648</v>
      </c>
      <c r="R908">
        <f>IF(OR(calendar[[#This Row],[SP_BH]]=1,calendar[[#This Row],[WeekDay]]=1, calendar[[#This Row],[WeekDay]]=7),P907,P907+1)</f>
        <v>648</v>
      </c>
      <c r="S908">
        <f>IF(OR(calendar[[#This Row],[PT_BH]]=1,calendar[[#This Row],[WeekDay]]=1, calendar[[#This Row],[WeekDay]]=7),P907,P907+1)</f>
        <v>648</v>
      </c>
    </row>
    <row r="909" spans="1:19" x14ac:dyDescent="0.25">
      <c r="A909" s="2">
        <v>43643</v>
      </c>
      <c r="B909" s="1">
        <f t="shared" si="73"/>
        <v>26</v>
      </c>
      <c r="C909">
        <f t="shared" si="70"/>
        <v>6</v>
      </c>
      <c r="D909" t="str">
        <f t="shared" si="71"/>
        <v>June</v>
      </c>
      <c r="E909">
        <f t="shared" si="72"/>
        <v>2019</v>
      </c>
      <c r="F909" t="str">
        <f>CONCATENATE(calendar[[#This Row],[Month]],"/",calendar[[#This Row],[Year]])</f>
        <v>6/2019</v>
      </c>
      <c r="G909">
        <f>WEEKDAY(calendar[[#This Row],[Date]],1)</f>
        <v>5</v>
      </c>
      <c r="H909" t="str">
        <f>TEXT(calendar[[#This Row],[WeekDay]],"dddd")</f>
        <v>Thursday</v>
      </c>
      <c r="I909">
        <f>IF((INT(calendar[[#This Row],[Count]]/7)-calendar[[#This Row],[Count]]/7)&lt;0,I908,I908+1)</f>
        <v>130</v>
      </c>
      <c r="J909">
        <f t="shared" si="74"/>
        <v>907</v>
      </c>
      <c r="K909">
        <f>IF(calendar[[#This Row],[Month]]&lt;4,1,IF(calendar[[#This Row],[Month]]&lt;7,2,IF(calendar[[#This Row],[Month]]&lt;10,3,4)))</f>
        <v>2</v>
      </c>
      <c r="L909">
        <f>IFERROR(IF(VLOOKUP(calendar[[#This Row],[Date]],BH!A:A,1,)&lt;&gt;"",1,0),0)</f>
        <v>0</v>
      </c>
      <c r="M909">
        <f>IFERROR(IF(VLOOKUP(calendar[[#This Row],[Date]],BH!C:C,1,)&lt;&gt;"",1,0),0)</f>
        <v>0</v>
      </c>
      <c r="N909">
        <f>IFERROR(IF(VLOOKUP(calendar[[#This Row],[Date]],BH!E:E,1,)&lt;&gt;"",1,0),0)</f>
        <v>0</v>
      </c>
      <c r="O909">
        <f>IFERROR(IF(VLOOKUP(calendar[[#This Row],[Date]],BH!G:G,1,)&lt;&gt;"",1,0),0)</f>
        <v>0</v>
      </c>
      <c r="P909">
        <f>IF(OR(calendar[[#This Row],[UK_BH]]=1,calendar[[#This Row],[WeekDay]]=1, calendar[[#This Row],[WeekDay]]=7),P908,P908+1)</f>
        <v>649</v>
      </c>
      <c r="Q909">
        <f>IF(OR(calendar[[#This Row],[FR_BH]]=1,calendar[[#This Row],[WeekDay]]=1, calendar[[#This Row],[WeekDay]]=7),P908,P908+1)</f>
        <v>649</v>
      </c>
      <c r="R909">
        <f>IF(OR(calendar[[#This Row],[SP_BH]]=1,calendar[[#This Row],[WeekDay]]=1, calendar[[#This Row],[WeekDay]]=7),P908,P908+1)</f>
        <v>649</v>
      </c>
      <c r="S909">
        <f>IF(OR(calendar[[#This Row],[PT_BH]]=1,calendar[[#This Row],[WeekDay]]=1, calendar[[#This Row],[WeekDay]]=7),P908,P908+1)</f>
        <v>649</v>
      </c>
    </row>
    <row r="910" spans="1:19" x14ac:dyDescent="0.25">
      <c r="A910" s="2">
        <v>43644</v>
      </c>
      <c r="B910" s="1">
        <f t="shared" si="73"/>
        <v>26</v>
      </c>
      <c r="C910">
        <f t="shared" si="70"/>
        <v>6</v>
      </c>
      <c r="D910" t="str">
        <f t="shared" si="71"/>
        <v>June</v>
      </c>
      <c r="E910">
        <f t="shared" si="72"/>
        <v>2019</v>
      </c>
      <c r="F910" t="str">
        <f>CONCATENATE(calendar[[#This Row],[Month]],"/",calendar[[#This Row],[Year]])</f>
        <v>6/2019</v>
      </c>
      <c r="G910">
        <f>WEEKDAY(calendar[[#This Row],[Date]],1)</f>
        <v>6</v>
      </c>
      <c r="H910" t="str">
        <f>TEXT(calendar[[#This Row],[WeekDay]],"dddd")</f>
        <v>Friday</v>
      </c>
      <c r="I910">
        <f>IF((INT(calendar[[#This Row],[Count]]/7)-calendar[[#This Row],[Count]]/7)&lt;0,I909,I909+1)</f>
        <v>130</v>
      </c>
      <c r="J910">
        <f t="shared" si="74"/>
        <v>908</v>
      </c>
      <c r="K910">
        <f>IF(calendar[[#This Row],[Month]]&lt;4,1,IF(calendar[[#This Row],[Month]]&lt;7,2,IF(calendar[[#This Row],[Month]]&lt;10,3,4)))</f>
        <v>2</v>
      </c>
      <c r="L910">
        <f>IFERROR(IF(VLOOKUP(calendar[[#This Row],[Date]],BH!A:A,1,)&lt;&gt;"",1,0),0)</f>
        <v>0</v>
      </c>
      <c r="M910">
        <f>IFERROR(IF(VLOOKUP(calendar[[#This Row],[Date]],BH!C:C,1,)&lt;&gt;"",1,0),0)</f>
        <v>0</v>
      </c>
      <c r="N910">
        <f>IFERROR(IF(VLOOKUP(calendar[[#This Row],[Date]],BH!E:E,1,)&lt;&gt;"",1,0),0)</f>
        <v>0</v>
      </c>
      <c r="O910">
        <f>IFERROR(IF(VLOOKUP(calendar[[#This Row],[Date]],BH!G:G,1,)&lt;&gt;"",1,0),0)</f>
        <v>0</v>
      </c>
      <c r="P910">
        <f>IF(OR(calendar[[#This Row],[UK_BH]]=1,calendar[[#This Row],[WeekDay]]=1, calendar[[#This Row],[WeekDay]]=7),P909,P909+1)</f>
        <v>650</v>
      </c>
      <c r="Q910">
        <f>IF(OR(calendar[[#This Row],[FR_BH]]=1,calendar[[#This Row],[WeekDay]]=1, calendar[[#This Row],[WeekDay]]=7),P909,P909+1)</f>
        <v>650</v>
      </c>
      <c r="R910">
        <f>IF(OR(calendar[[#This Row],[SP_BH]]=1,calendar[[#This Row],[WeekDay]]=1, calendar[[#This Row],[WeekDay]]=7),P909,P909+1)</f>
        <v>650</v>
      </c>
      <c r="S910">
        <f>IF(OR(calendar[[#This Row],[PT_BH]]=1,calendar[[#This Row],[WeekDay]]=1, calendar[[#This Row],[WeekDay]]=7),P909,P909+1)</f>
        <v>650</v>
      </c>
    </row>
    <row r="911" spans="1:19" x14ac:dyDescent="0.25">
      <c r="A911" s="2">
        <v>43645</v>
      </c>
      <c r="B911" s="1">
        <f t="shared" si="73"/>
        <v>26</v>
      </c>
      <c r="C911">
        <f t="shared" si="70"/>
        <v>6</v>
      </c>
      <c r="D911" t="str">
        <f t="shared" si="71"/>
        <v>June</v>
      </c>
      <c r="E911">
        <f t="shared" si="72"/>
        <v>2019</v>
      </c>
      <c r="F911" t="str">
        <f>CONCATENATE(calendar[[#This Row],[Month]],"/",calendar[[#This Row],[Year]])</f>
        <v>6/2019</v>
      </c>
      <c r="G911">
        <f>WEEKDAY(calendar[[#This Row],[Date]],1)</f>
        <v>7</v>
      </c>
      <c r="H911" t="str">
        <f>TEXT(calendar[[#This Row],[WeekDay]],"dddd")</f>
        <v>Saturday</v>
      </c>
      <c r="I911">
        <f>IF((INT(calendar[[#This Row],[Count]]/7)-calendar[[#This Row],[Count]]/7)&lt;0,I910,I910+1)</f>
        <v>130</v>
      </c>
      <c r="J911">
        <f t="shared" si="74"/>
        <v>909</v>
      </c>
      <c r="K911">
        <f>IF(calendar[[#This Row],[Month]]&lt;4,1,IF(calendar[[#This Row],[Month]]&lt;7,2,IF(calendar[[#This Row],[Month]]&lt;10,3,4)))</f>
        <v>2</v>
      </c>
      <c r="L911">
        <f>IFERROR(IF(VLOOKUP(calendar[[#This Row],[Date]],BH!A:A,1,)&lt;&gt;"",1,0),0)</f>
        <v>0</v>
      </c>
      <c r="M911">
        <f>IFERROR(IF(VLOOKUP(calendar[[#This Row],[Date]],BH!C:C,1,)&lt;&gt;"",1,0),0)</f>
        <v>0</v>
      </c>
      <c r="N911">
        <f>IFERROR(IF(VLOOKUP(calendar[[#This Row],[Date]],BH!E:E,1,)&lt;&gt;"",1,0),0)</f>
        <v>0</v>
      </c>
      <c r="O911">
        <f>IFERROR(IF(VLOOKUP(calendar[[#This Row],[Date]],BH!G:G,1,)&lt;&gt;"",1,0),0)</f>
        <v>0</v>
      </c>
      <c r="P911">
        <f>IF(OR(calendar[[#This Row],[UK_BH]]=1,calendar[[#This Row],[WeekDay]]=1, calendar[[#This Row],[WeekDay]]=7),P910,P910+1)</f>
        <v>650</v>
      </c>
      <c r="Q911">
        <f>IF(OR(calendar[[#This Row],[FR_BH]]=1,calendar[[#This Row],[WeekDay]]=1, calendar[[#This Row],[WeekDay]]=7),P910,P910+1)</f>
        <v>650</v>
      </c>
      <c r="R911">
        <f>IF(OR(calendar[[#This Row],[SP_BH]]=1,calendar[[#This Row],[WeekDay]]=1, calendar[[#This Row],[WeekDay]]=7),P910,P910+1)</f>
        <v>650</v>
      </c>
      <c r="S911">
        <f>IF(OR(calendar[[#This Row],[PT_BH]]=1,calendar[[#This Row],[WeekDay]]=1, calendar[[#This Row],[WeekDay]]=7),P910,P910+1)</f>
        <v>650</v>
      </c>
    </row>
    <row r="912" spans="1:19" x14ac:dyDescent="0.25">
      <c r="A912" s="2">
        <v>43646</v>
      </c>
      <c r="B912" s="1">
        <f t="shared" si="73"/>
        <v>27</v>
      </c>
      <c r="C912">
        <f t="shared" ref="C912:C975" si="75">MONTH(A912)</f>
        <v>6</v>
      </c>
      <c r="D912" t="str">
        <f t="shared" ref="D912:D975" si="76">TEXT(A912,"mmmm")</f>
        <v>June</v>
      </c>
      <c r="E912">
        <f t="shared" ref="E912:E975" si="77">YEAR(A912)</f>
        <v>2019</v>
      </c>
      <c r="F912" t="str">
        <f>CONCATENATE(calendar[[#This Row],[Month]],"/",calendar[[#This Row],[Year]])</f>
        <v>6/2019</v>
      </c>
      <c r="G912">
        <f>WEEKDAY(calendar[[#This Row],[Date]],1)</f>
        <v>1</v>
      </c>
      <c r="H912" t="str">
        <f>TEXT(calendar[[#This Row],[WeekDay]],"dddd")</f>
        <v>Sunday</v>
      </c>
      <c r="I912">
        <f>IF((INT(calendar[[#This Row],[Count]]/7)-calendar[[#This Row],[Count]]/7)&lt;0,I911,I911+1)</f>
        <v>131</v>
      </c>
      <c r="J912">
        <f t="shared" si="74"/>
        <v>910</v>
      </c>
      <c r="K912">
        <f>IF(calendar[[#This Row],[Month]]&lt;4,1,IF(calendar[[#This Row],[Month]]&lt;7,2,IF(calendar[[#This Row],[Month]]&lt;10,3,4)))</f>
        <v>2</v>
      </c>
      <c r="L912">
        <f>IFERROR(IF(VLOOKUP(calendar[[#This Row],[Date]],BH!A:A,1,)&lt;&gt;"",1,0),0)</f>
        <v>0</v>
      </c>
      <c r="M912">
        <f>IFERROR(IF(VLOOKUP(calendar[[#This Row],[Date]],BH!C:C,1,)&lt;&gt;"",1,0),0)</f>
        <v>0</v>
      </c>
      <c r="N912">
        <f>IFERROR(IF(VLOOKUP(calendar[[#This Row],[Date]],BH!E:E,1,)&lt;&gt;"",1,0),0)</f>
        <v>0</v>
      </c>
      <c r="O912">
        <f>IFERROR(IF(VLOOKUP(calendar[[#This Row],[Date]],BH!G:G,1,)&lt;&gt;"",1,0),0)</f>
        <v>0</v>
      </c>
      <c r="P912">
        <f>IF(OR(calendar[[#This Row],[UK_BH]]=1,calendar[[#This Row],[WeekDay]]=1, calendar[[#This Row],[WeekDay]]=7),P911,P911+1)</f>
        <v>650</v>
      </c>
      <c r="Q912">
        <f>IF(OR(calendar[[#This Row],[FR_BH]]=1,calendar[[#This Row],[WeekDay]]=1, calendar[[#This Row],[WeekDay]]=7),P911,P911+1)</f>
        <v>650</v>
      </c>
      <c r="R912">
        <f>IF(OR(calendar[[#This Row],[SP_BH]]=1,calendar[[#This Row],[WeekDay]]=1, calendar[[#This Row],[WeekDay]]=7),P911,P911+1)</f>
        <v>650</v>
      </c>
      <c r="S912">
        <f>IF(OR(calendar[[#This Row],[PT_BH]]=1,calendar[[#This Row],[WeekDay]]=1, calendar[[#This Row],[WeekDay]]=7),P911,P911+1)</f>
        <v>650</v>
      </c>
    </row>
    <row r="913" spans="1:19" x14ac:dyDescent="0.25">
      <c r="A913" s="2">
        <v>43647</v>
      </c>
      <c r="B913" s="1">
        <f t="shared" si="73"/>
        <v>27</v>
      </c>
      <c r="C913">
        <f t="shared" si="75"/>
        <v>7</v>
      </c>
      <c r="D913" t="str">
        <f t="shared" si="76"/>
        <v>July</v>
      </c>
      <c r="E913">
        <f t="shared" si="77"/>
        <v>2019</v>
      </c>
      <c r="F913" t="str">
        <f>CONCATENATE(calendar[[#This Row],[Month]],"/",calendar[[#This Row],[Year]])</f>
        <v>7/2019</v>
      </c>
      <c r="G913">
        <f>WEEKDAY(calendar[[#This Row],[Date]],1)</f>
        <v>2</v>
      </c>
      <c r="H913" t="str">
        <f>TEXT(calendar[[#This Row],[WeekDay]],"dddd")</f>
        <v>Monday</v>
      </c>
      <c r="I913">
        <f>IF((INT(calendar[[#This Row],[Count]]/7)-calendar[[#This Row],[Count]]/7)&lt;0,I912,I912+1)</f>
        <v>131</v>
      </c>
      <c r="J913">
        <f t="shared" si="74"/>
        <v>911</v>
      </c>
      <c r="K913">
        <f>IF(calendar[[#This Row],[Month]]&lt;4,1,IF(calendar[[#This Row],[Month]]&lt;7,2,IF(calendar[[#This Row],[Month]]&lt;10,3,4)))</f>
        <v>3</v>
      </c>
      <c r="L913">
        <f>IFERROR(IF(VLOOKUP(calendar[[#This Row],[Date]],BH!A:A,1,)&lt;&gt;"",1,0),0)</f>
        <v>0</v>
      </c>
      <c r="M913">
        <f>IFERROR(IF(VLOOKUP(calendar[[#This Row],[Date]],BH!C:C,1,)&lt;&gt;"",1,0),0)</f>
        <v>0</v>
      </c>
      <c r="N913">
        <f>IFERROR(IF(VLOOKUP(calendar[[#This Row],[Date]],BH!E:E,1,)&lt;&gt;"",1,0),0)</f>
        <v>0</v>
      </c>
      <c r="O913">
        <f>IFERROR(IF(VLOOKUP(calendar[[#This Row],[Date]],BH!G:G,1,)&lt;&gt;"",1,0),0)</f>
        <v>0</v>
      </c>
      <c r="P913">
        <f>IF(OR(calendar[[#This Row],[UK_BH]]=1,calendar[[#This Row],[WeekDay]]=1, calendar[[#This Row],[WeekDay]]=7),P912,P912+1)</f>
        <v>651</v>
      </c>
      <c r="Q913">
        <f>IF(OR(calendar[[#This Row],[FR_BH]]=1,calendar[[#This Row],[WeekDay]]=1, calendar[[#This Row],[WeekDay]]=7),P912,P912+1)</f>
        <v>651</v>
      </c>
      <c r="R913">
        <f>IF(OR(calendar[[#This Row],[SP_BH]]=1,calendar[[#This Row],[WeekDay]]=1, calendar[[#This Row],[WeekDay]]=7),P912,P912+1)</f>
        <v>651</v>
      </c>
      <c r="S913">
        <f>IF(OR(calendar[[#This Row],[PT_BH]]=1,calendar[[#This Row],[WeekDay]]=1, calendar[[#This Row],[WeekDay]]=7),P912,P912+1)</f>
        <v>651</v>
      </c>
    </row>
    <row r="914" spans="1:19" x14ac:dyDescent="0.25">
      <c r="A914" s="2">
        <v>43648</v>
      </c>
      <c r="B914" s="1">
        <f t="shared" si="73"/>
        <v>27</v>
      </c>
      <c r="C914">
        <f t="shared" si="75"/>
        <v>7</v>
      </c>
      <c r="D914" t="str">
        <f t="shared" si="76"/>
        <v>July</v>
      </c>
      <c r="E914">
        <f t="shared" si="77"/>
        <v>2019</v>
      </c>
      <c r="F914" t="str">
        <f>CONCATENATE(calendar[[#This Row],[Month]],"/",calendar[[#This Row],[Year]])</f>
        <v>7/2019</v>
      </c>
      <c r="G914">
        <f>WEEKDAY(calendar[[#This Row],[Date]],1)</f>
        <v>3</v>
      </c>
      <c r="H914" t="str">
        <f>TEXT(calendar[[#This Row],[WeekDay]],"dddd")</f>
        <v>Tuesday</v>
      </c>
      <c r="I914">
        <f>IF((INT(calendar[[#This Row],[Count]]/7)-calendar[[#This Row],[Count]]/7)&lt;0,I913,I913+1)</f>
        <v>131</v>
      </c>
      <c r="J914">
        <f t="shared" si="74"/>
        <v>912</v>
      </c>
      <c r="K914">
        <f>IF(calendar[[#This Row],[Month]]&lt;4,1,IF(calendar[[#This Row],[Month]]&lt;7,2,IF(calendar[[#This Row],[Month]]&lt;10,3,4)))</f>
        <v>3</v>
      </c>
      <c r="L914">
        <f>IFERROR(IF(VLOOKUP(calendar[[#This Row],[Date]],BH!A:A,1,)&lt;&gt;"",1,0),0)</f>
        <v>0</v>
      </c>
      <c r="M914">
        <f>IFERROR(IF(VLOOKUP(calendar[[#This Row],[Date]],BH!C:C,1,)&lt;&gt;"",1,0),0)</f>
        <v>0</v>
      </c>
      <c r="N914">
        <f>IFERROR(IF(VLOOKUP(calendar[[#This Row],[Date]],BH!E:E,1,)&lt;&gt;"",1,0),0)</f>
        <v>0</v>
      </c>
      <c r="O914">
        <f>IFERROR(IF(VLOOKUP(calendar[[#This Row],[Date]],BH!G:G,1,)&lt;&gt;"",1,0),0)</f>
        <v>0</v>
      </c>
      <c r="P914">
        <f>IF(OR(calendar[[#This Row],[UK_BH]]=1,calendar[[#This Row],[WeekDay]]=1, calendar[[#This Row],[WeekDay]]=7),P913,P913+1)</f>
        <v>652</v>
      </c>
      <c r="Q914">
        <f>IF(OR(calendar[[#This Row],[FR_BH]]=1,calendar[[#This Row],[WeekDay]]=1, calendar[[#This Row],[WeekDay]]=7),P913,P913+1)</f>
        <v>652</v>
      </c>
      <c r="R914">
        <f>IF(OR(calendar[[#This Row],[SP_BH]]=1,calendar[[#This Row],[WeekDay]]=1, calendar[[#This Row],[WeekDay]]=7),P913,P913+1)</f>
        <v>652</v>
      </c>
      <c r="S914">
        <f>IF(OR(calendar[[#This Row],[PT_BH]]=1,calendar[[#This Row],[WeekDay]]=1, calendar[[#This Row],[WeekDay]]=7),P913,P913+1)</f>
        <v>652</v>
      </c>
    </row>
    <row r="915" spans="1:19" x14ac:dyDescent="0.25">
      <c r="A915" s="2">
        <v>43649</v>
      </c>
      <c r="B915" s="1">
        <f t="shared" si="73"/>
        <v>27</v>
      </c>
      <c r="C915">
        <f t="shared" si="75"/>
        <v>7</v>
      </c>
      <c r="D915" t="str">
        <f t="shared" si="76"/>
        <v>July</v>
      </c>
      <c r="E915">
        <f t="shared" si="77"/>
        <v>2019</v>
      </c>
      <c r="F915" t="str">
        <f>CONCATENATE(calendar[[#This Row],[Month]],"/",calendar[[#This Row],[Year]])</f>
        <v>7/2019</v>
      </c>
      <c r="G915">
        <f>WEEKDAY(calendar[[#This Row],[Date]],1)</f>
        <v>4</v>
      </c>
      <c r="H915" t="str">
        <f>TEXT(calendar[[#This Row],[WeekDay]],"dddd")</f>
        <v>Wednesday</v>
      </c>
      <c r="I915">
        <f>IF((INT(calendar[[#This Row],[Count]]/7)-calendar[[#This Row],[Count]]/7)&lt;0,I914,I914+1)</f>
        <v>131</v>
      </c>
      <c r="J915">
        <f t="shared" si="74"/>
        <v>913</v>
      </c>
      <c r="K915">
        <f>IF(calendar[[#This Row],[Month]]&lt;4,1,IF(calendar[[#This Row],[Month]]&lt;7,2,IF(calendar[[#This Row],[Month]]&lt;10,3,4)))</f>
        <v>3</v>
      </c>
      <c r="L915">
        <f>IFERROR(IF(VLOOKUP(calendar[[#This Row],[Date]],BH!A:A,1,)&lt;&gt;"",1,0),0)</f>
        <v>0</v>
      </c>
      <c r="M915">
        <f>IFERROR(IF(VLOOKUP(calendar[[#This Row],[Date]],BH!C:C,1,)&lt;&gt;"",1,0),0)</f>
        <v>0</v>
      </c>
      <c r="N915">
        <f>IFERROR(IF(VLOOKUP(calendar[[#This Row],[Date]],BH!E:E,1,)&lt;&gt;"",1,0),0)</f>
        <v>0</v>
      </c>
      <c r="O915">
        <f>IFERROR(IF(VLOOKUP(calendar[[#This Row],[Date]],BH!G:G,1,)&lt;&gt;"",1,0),0)</f>
        <v>0</v>
      </c>
      <c r="P915">
        <f>IF(OR(calendar[[#This Row],[UK_BH]]=1,calendar[[#This Row],[WeekDay]]=1, calendar[[#This Row],[WeekDay]]=7),P914,P914+1)</f>
        <v>653</v>
      </c>
      <c r="Q915">
        <f>IF(OR(calendar[[#This Row],[FR_BH]]=1,calendar[[#This Row],[WeekDay]]=1, calendar[[#This Row],[WeekDay]]=7),P914,P914+1)</f>
        <v>653</v>
      </c>
      <c r="R915">
        <f>IF(OR(calendar[[#This Row],[SP_BH]]=1,calendar[[#This Row],[WeekDay]]=1, calendar[[#This Row],[WeekDay]]=7),P914,P914+1)</f>
        <v>653</v>
      </c>
      <c r="S915">
        <f>IF(OR(calendar[[#This Row],[PT_BH]]=1,calendar[[#This Row],[WeekDay]]=1, calendar[[#This Row],[WeekDay]]=7),P914,P914+1)</f>
        <v>653</v>
      </c>
    </row>
    <row r="916" spans="1:19" x14ac:dyDescent="0.25">
      <c r="A916" s="2">
        <v>43650</v>
      </c>
      <c r="B916" s="1">
        <f t="shared" si="73"/>
        <v>27</v>
      </c>
      <c r="C916">
        <f t="shared" si="75"/>
        <v>7</v>
      </c>
      <c r="D916" t="str">
        <f t="shared" si="76"/>
        <v>July</v>
      </c>
      <c r="E916">
        <f t="shared" si="77"/>
        <v>2019</v>
      </c>
      <c r="F916" t="str">
        <f>CONCATENATE(calendar[[#This Row],[Month]],"/",calendar[[#This Row],[Year]])</f>
        <v>7/2019</v>
      </c>
      <c r="G916">
        <f>WEEKDAY(calendar[[#This Row],[Date]],1)</f>
        <v>5</v>
      </c>
      <c r="H916" t="str">
        <f>TEXT(calendar[[#This Row],[WeekDay]],"dddd")</f>
        <v>Thursday</v>
      </c>
      <c r="I916">
        <f>IF((INT(calendar[[#This Row],[Count]]/7)-calendar[[#This Row],[Count]]/7)&lt;0,I915,I915+1)</f>
        <v>131</v>
      </c>
      <c r="J916">
        <f t="shared" si="74"/>
        <v>914</v>
      </c>
      <c r="K916">
        <f>IF(calendar[[#This Row],[Month]]&lt;4,1,IF(calendar[[#This Row],[Month]]&lt;7,2,IF(calendar[[#This Row],[Month]]&lt;10,3,4)))</f>
        <v>3</v>
      </c>
      <c r="L916">
        <f>IFERROR(IF(VLOOKUP(calendar[[#This Row],[Date]],BH!A:A,1,)&lt;&gt;"",1,0),0)</f>
        <v>0</v>
      </c>
      <c r="M916">
        <f>IFERROR(IF(VLOOKUP(calendar[[#This Row],[Date]],BH!C:C,1,)&lt;&gt;"",1,0),0)</f>
        <v>0</v>
      </c>
      <c r="N916">
        <f>IFERROR(IF(VLOOKUP(calendar[[#This Row],[Date]],BH!E:E,1,)&lt;&gt;"",1,0),0)</f>
        <v>0</v>
      </c>
      <c r="O916">
        <f>IFERROR(IF(VLOOKUP(calendar[[#This Row],[Date]],BH!G:G,1,)&lt;&gt;"",1,0),0)</f>
        <v>0</v>
      </c>
      <c r="P916">
        <f>IF(OR(calendar[[#This Row],[UK_BH]]=1,calendar[[#This Row],[WeekDay]]=1, calendar[[#This Row],[WeekDay]]=7),P915,P915+1)</f>
        <v>654</v>
      </c>
      <c r="Q916">
        <f>IF(OR(calendar[[#This Row],[FR_BH]]=1,calendar[[#This Row],[WeekDay]]=1, calendar[[#This Row],[WeekDay]]=7),P915,P915+1)</f>
        <v>654</v>
      </c>
      <c r="R916">
        <f>IF(OR(calendar[[#This Row],[SP_BH]]=1,calendar[[#This Row],[WeekDay]]=1, calendar[[#This Row],[WeekDay]]=7),P915,P915+1)</f>
        <v>654</v>
      </c>
      <c r="S916">
        <f>IF(OR(calendar[[#This Row],[PT_BH]]=1,calendar[[#This Row],[WeekDay]]=1, calendar[[#This Row],[WeekDay]]=7),P915,P915+1)</f>
        <v>654</v>
      </c>
    </row>
    <row r="917" spans="1:19" x14ac:dyDescent="0.25">
      <c r="A917" s="2">
        <v>43651</v>
      </c>
      <c r="B917" s="1">
        <f t="shared" si="73"/>
        <v>27</v>
      </c>
      <c r="C917">
        <f t="shared" si="75"/>
        <v>7</v>
      </c>
      <c r="D917" t="str">
        <f t="shared" si="76"/>
        <v>July</v>
      </c>
      <c r="E917">
        <f t="shared" si="77"/>
        <v>2019</v>
      </c>
      <c r="F917" t="str">
        <f>CONCATENATE(calendar[[#This Row],[Month]],"/",calendar[[#This Row],[Year]])</f>
        <v>7/2019</v>
      </c>
      <c r="G917">
        <f>WEEKDAY(calendar[[#This Row],[Date]],1)</f>
        <v>6</v>
      </c>
      <c r="H917" t="str">
        <f>TEXT(calendar[[#This Row],[WeekDay]],"dddd")</f>
        <v>Friday</v>
      </c>
      <c r="I917">
        <f>IF((INT(calendar[[#This Row],[Count]]/7)-calendar[[#This Row],[Count]]/7)&lt;0,I916,I916+1)</f>
        <v>131</v>
      </c>
      <c r="J917">
        <f t="shared" si="74"/>
        <v>915</v>
      </c>
      <c r="K917">
        <f>IF(calendar[[#This Row],[Month]]&lt;4,1,IF(calendar[[#This Row],[Month]]&lt;7,2,IF(calendar[[#This Row],[Month]]&lt;10,3,4)))</f>
        <v>3</v>
      </c>
      <c r="L917">
        <f>IFERROR(IF(VLOOKUP(calendar[[#This Row],[Date]],BH!A:A,1,)&lt;&gt;"",1,0),0)</f>
        <v>0</v>
      </c>
      <c r="M917">
        <f>IFERROR(IF(VLOOKUP(calendar[[#This Row],[Date]],BH!C:C,1,)&lt;&gt;"",1,0),0)</f>
        <v>0</v>
      </c>
      <c r="N917">
        <f>IFERROR(IF(VLOOKUP(calendar[[#This Row],[Date]],BH!E:E,1,)&lt;&gt;"",1,0),0)</f>
        <v>0</v>
      </c>
      <c r="O917">
        <f>IFERROR(IF(VLOOKUP(calendar[[#This Row],[Date]],BH!G:G,1,)&lt;&gt;"",1,0),0)</f>
        <v>0</v>
      </c>
      <c r="P917">
        <f>IF(OR(calendar[[#This Row],[UK_BH]]=1,calendar[[#This Row],[WeekDay]]=1, calendar[[#This Row],[WeekDay]]=7),P916,P916+1)</f>
        <v>655</v>
      </c>
      <c r="Q917">
        <f>IF(OR(calendar[[#This Row],[FR_BH]]=1,calendar[[#This Row],[WeekDay]]=1, calendar[[#This Row],[WeekDay]]=7),P916,P916+1)</f>
        <v>655</v>
      </c>
      <c r="R917">
        <f>IF(OR(calendar[[#This Row],[SP_BH]]=1,calendar[[#This Row],[WeekDay]]=1, calendar[[#This Row],[WeekDay]]=7),P916,P916+1)</f>
        <v>655</v>
      </c>
      <c r="S917">
        <f>IF(OR(calendar[[#This Row],[PT_BH]]=1,calendar[[#This Row],[WeekDay]]=1, calendar[[#This Row],[WeekDay]]=7),P916,P916+1)</f>
        <v>655</v>
      </c>
    </row>
    <row r="918" spans="1:19" x14ac:dyDescent="0.25">
      <c r="A918" s="2">
        <v>43652</v>
      </c>
      <c r="B918" s="1">
        <f t="shared" si="73"/>
        <v>27</v>
      </c>
      <c r="C918">
        <f t="shared" si="75"/>
        <v>7</v>
      </c>
      <c r="D918" t="str">
        <f t="shared" si="76"/>
        <v>July</v>
      </c>
      <c r="E918">
        <f t="shared" si="77"/>
        <v>2019</v>
      </c>
      <c r="F918" t="str">
        <f>CONCATENATE(calendar[[#This Row],[Month]],"/",calendar[[#This Row],[Year]])</f>
        <v>7/2019</v>
      </c>
      <c r="G918">
        <f>WEEKDAY(calendar[[#This Row],[Date]],1)</f>
        <v>7</v>
      </c>
      <c r="H918" t="str">
        <f>TEXT(calendar[[#This Row],[WeekDay]],"dddd")</f>
        <v>Saturday</v>
      </c>
      <c r="I918">
        <f>IF((INT(calendar[[#This Row],[Count]]/7)-calendar[[#This Row],[Count]]/7)&lt;0,I917,I917+1)</f>
        <v>131</v>
      </c>
      <c r="J918">
        <f t="shared" si="74"/>
        <v>916</v>
      </c>
      <c r="K918">
        <f>IF(calendar[[#This Row],[Month]]&lt;4,1,IF(calendar[[#This Row],[Month]]&lt;7,2,IF(calendar[[#This Row],[Month]]&lt;10,3,4)))</f>
        <v>3</v>
      </c>
      <c r="L918">
        <f>IFERROR(IF(VLOOKUP(calendar[[#This Row],[Date]],BH!A:A,1,)&lt;&gt;"",1,0),0)</f>
        <v>0</v>
      </c>
      <c r="M918">
        <f>IFERROR(IF(VLOOKUP(calendar[[#This Row],[Date]],BH!C:C,1,)&lt;&gt;"",1,0),0)</f>
        <v>0</v>
      </c>
      <c r="N918">
        <f>IFERROR(IF(VLOOKUP(calendar[[#This Row],[Date]],BH!E:E,1,)&lt;&gt;"",1,0),0)</f>
        <v>0</v>
      </c>
      <c r="O918">
        <f>IFERROR(IF(VLOOKUP(calendar[[#This Row],[Date]],BH!G:G,1,)&lt;&gt;"",1,0),0)</f>
        <v>0</v>
      </c>
      <c r="P918">
        <f>IF(OR(calendar[[#This Row],[UK_BH]]=1,calendar[[#This Row],[WeekDay]]=1, calendar[[#This Row],[WeekDay]]=7),P917,P917+1)</f>
        <v>655</v>
      </c>
      <c r="Q918">
        <f>IF(OR(calendar[[#This Row],[FR_BH]]=1,calendar[[#This Row],[WeekDay]]=1, calendar[[#This Row],[WeekDay]]=7),P917,P917+1)</f>
        <v>655</v>
      </c>
      <c r="R918">
        <f>IF(OR(calendar[[#This Row],[SP_BH]]=1,calendar[[#This Row],[WeekDay]]=1, calendar[[#This Row],[WeekDay]]=7),P917,P917+1)</f>
        <v>655</v>
      </c>
      <c r="S918">
        <f>IF(OR(calendar[[#This Row],[PT_BH]]=1,calendar[[#This Row],[WeekDay]]=1, calendar[[#This Row],[WeekDay]]=7),P917,P917+1)</f>
        <v>655</v>
      </c>
    </row>
    <row r="919" spans="1:19" x14ac:dyDescent="0.25">
      <c r="A919" s="2">
        <v>43653</v>
      </c>
      <c r="B919" s="1">
        <f t="shared" si="73"/>
        <v>28</v>
      </c>
      <c r="C919">
        <f t="shared" si="75"/>
        <v>7</v>
      </c>
      <c r="D919" t="str">
        <f t="shared" si="76"/>
        <v>July</v>
      </c>
      <c r="E919">
        <f t="shared" si="77"/>
        <v>2019</v>
      </c>
      <c r="F919" t="str">
        <f>CONCATENATE(calendar[[#This Row],[Month]],"/",calendar[[#This Row],[Year]])</f>
        <v>7/2019</v>
      </c>
      <c r="G919">
        <f>WEEKDAY(calendar[[#This Row],[Date]],1)</f>
        <v>1</v>
      </c>
      <c r="H919" t="str">
        <f>TEXT(calendar[[#This Row],[WeekDay]],"dddd")</f>
        <v>Sunday</v>
      </c>
      <c r="I919">
        <f>IF((INT(calendar[[#This Row],[Count]]/7)-calendar[[#This Row],[Count]]/7)&lt;0,I918,I918+1)</f>
        <v>132</v>
      </c>
      <c r="J919">
        <f t="shared" si="74"/>
        <v>917</v>
      </c>
      <c r="K919">
        <f>IF(calendar[[#This Row],[Month]]&lt;4,1,IF(calendar[[#This Row],[Month]]&lt;7,2,IF(calendar[[#This Row],[Month]]&lt;10,3,4)))</f>
        <v>3</v>
      </c>
      <c r="L919">
        <f>IFERROR(IF(VLOOKUP(calendar[[#This Row],[Date]],BH!A:A,1,)&lt;&gt;"",1,0),0)</f>
        <v>0</v>
      </c>
      <c r="M919">
        <f>IFERROR(IF(VLOOKUP(calendar[[#This Row],[Date]],BH!C:C,1,)&lt;&gt;"",1,0),0)</f>
        <v>0</v>
      </c>
      <c r="N919">
        <f>IFERROR(IF(VLOOKUP(calendar[[#This Row],[Date]],BH!E:E,1,)&lt;&gt;"",1,0),0)</f>
        <v>0</v>
      </c>
      <c r="O919">
        <f>IFERROR(IF(VLOOKUP(calendar[[#This Row],[Date]],BH!G:G,1,)&lt;&gt;"",1,0),0)</f>
        <v>0</v>
      </c>
      <c r="P919">
        <f>IF(OR(calendar[[#This Row],[UK_BH]]=1,calendar[[#This Row],[WeekDay]]=1, calendar[[#This Row],[WeekDay]]=7),P918,P918+1)</f>
        <v>655</v>
      </c>
      <c r="Q919">
        <f>IF(OR(calendar[[#This Row],[FR_BH]]=1,calendar[[#This Row],[WeekDay]]=1, calendar[[#This Row],[WeekDay]]=7),P918,P918+1)</f>
        <v>655</v>
      </c>
      <c r="R919">
        <f>IF(OR(calendar[[#This Row],[SP_BH]]=1,calendar[[#This Row],[WeekDay]]=1, calendar[[#This Row],[WeekDay]]=7),P918,P918+1)</f>
        <v>655</v>
      </c>
      <c r="S919">
        <f>IF(OR(calendar[[#This Row],[PT_BH]]=1,calendar[[#This Row],[WeekDay]]=1, calendar[[#This Row],[WeekDay]]=7),P918,P918+1)</f>
        <v>655</v>
      </c>
    </row>
    <row r="920" spans="1:19" x14ac:dyDescent="0.25">
      <c r="A920" s="2">
        <v>43654</v>
      </c>
      <c r="B920" s="1">
        <f t="shared" si="73"/>
        <v>28</v>
      </c>
      <c r="C920">
        <f t="shared" si="75"/>
        <v>7</v>
      </c>
      <c r="D920" t="str">
        <f t="shared" si="76"/>
        <v>July</v>
      </c>
      <c r="E920">
        <f t="shared" si="77"/>
        <v>2019</v>
      </c>
      <c r="F920" t="str">
        <f>CONCATENATE(calendar[[#This Row],[Month]],"/",calendar[[#This Row],[Year]])</f>
        <v>7/2019</v>
      </c>
      <c r="G920">
        <f>WEEKDAY(calendar[[#This Row],[Date]],1)</f>
        <v>2</v>
      </c>
      <c r="H920" t="str">
        <f>TEXT(calendar[[#This Row],[WeekDay]],"dddd")</f>
        <v>Monday</v>
      </c>
      <c r="I920">
        <f>IF((INT(calendar[[#This Row],[Count]]/7)-calendar[[#This Row],[Count]]/7)&lt;0,I919,I919+1)</f>
        <v>132</v>
      </c>
      <c r="J920">
        <f t="shared" si="74"/>
        <v>918</v>
      </c>
      <c r="K920">
        <f>IF(calendar[[#This Row],[Month]]&lt;4,1,IF(calendar[[#This Row],[Month]]&lt;7,2,IF(calendar[[#This Row],[Month]]&lt;10,3,4)))</f>
        <v>3</v>
      </c>
      <c r="L920">
        <f>IFERROR(IF(VLOOKUP(calendar[[#This Row],[Date]],BH!A:A,1,)&lt;&gt;"",1,0),0)</f>
        <v>0</v>
      </c>
      <c r="M920">
        <f>IFERROR(IF(VLOOKUP(calendar[[#This Row],[Date]],BH!C:C,1,)&lt;&gt;"",1,0),0)</f>
        <v>0</v>
      </c>
      <c r="N920">
        <f>IFERROR(IF(VLOOKUP(calendar[[#This Row],[Date]],BH!E:E,1,)&lt;&gt;"",1,0),0)</f>
        <v>0</v>
      </c>
      <c r="O920">
        <f>IFERROR(IF(VLOOKUP(calendar[[#This Row],[Date]],BH!G:G,1,)&lt;&gt;"",1,0),0)</f>
        <v>0</v>
      </c>
      <c r="P920">
        <f>IF(OR(calendar[[#This Row],[UK_BH]]=1,calendar[[#This Row],[WeekDay]]=1, calendar[[#This Row],[WeekDay]]=7),P919,P919+1)</f>
        <v>656</v>
      </c>
      <c r="Q920">
        <f>IF(OR(calendar[[#This Row],[FR_BH]]=1,calendar[[#This Row],[WeekDay]]=1, calendar[[#This Row],[WeekDay]]=7),P919,P919+1)</f>
        <v>656</v>
      </c>
      <c r="R920">
        <f>IF(OR(calendar[[#This Row],[SP_BH]]=1,calendar[[#This Row],[WeekDay]]=1, calendar[[#This Row],[WeekDay]]=7),P919,P919+1)</f>
        <v>656</v>
      </c>
      <c r="S920">
        <f>IF(OR(calendar[[#This Row],[PT_BH]]=1,calendar[[#This Row],[WeekDay]]=1, calendar[[#This Row],[WeekDay]]=7),P919,P919+1)</f>
        <v>656</v>
      </c>
    </row>
    <row r="921" spans="1:19" x14ac:dyDescent="0.25">
      <c r="A921" s="2">
        <v>43655</v>
      </c>
      <c r="B921" s="1">
        <f t="shared" si="73"/>
        <v>28</v>
      </c>
      <c r="C921">
        <f t="shared" si="75"/>
        <v>7</v>
      </c>
      <c r="D921" t="str">
        <f t="shared" si="76"/>
        <v>July</v>
      </c>
      <c r="E921">
        <f t="shared" si="77"/>
        <v>2019</v>
      </c>
      <c r="F921" t="str">
        <f>CONCATENATE(calendar[[#This Row],[Month]],"/",calendar[[#This Row],[Year]])</f>
        <v>7/2019</v>
      </c>
      <c r="G921">
        <f>WEEKDAY(calendar[[#This Row],[Date]],1)</f>
        <v>3</v>
      </c>
      <c r="H921" t="str">
        <f>TEXT(calendar[[#This Row],[WeekDay]],"dddd")</f>
        <v>Tuesday</v>
      </c>
      <c r="I921">
        <f>IF((INT(calendar[[#This Row],[Count]]/7)-calendar[[#This Row],[Count]]/7)&lt;0,I920,I920+1)</f>
        <v>132</v>
      </c>
      <c r="J921">
        <f t="shared" si="74"/>
        <v>919</v>
      </c>
      <c r="K921">
        <f>IF(calendar[[#This Row],[Month]]&lt;4,1,IF(calendar[[#This Row],[Month]]&lt;7,2,IF(calendar[[#This Row],[Month]]&lt;10,3,4)))</f>
        <v>3</v>
      </c>
      <c r="L921">
        <f>IFERROR(IF(VLOOKUP(calendar[[#This Row],[Date]],BH!A:A,1,)&lt;&gt;"",1,0),0)</f>
        <v>0</v>
      </c>
      <c r="M921">
        <f>IFERROR(IF(VLOOKUP(calendar[[#This Row],[Date]],BH!C:C,1,)&lt;&gt;"",1,0),0)</f>
        <v>0</v>
      </c>
      <c r="N921">
        <f>IFERROR(IF(VLOOKUP(calendar[[#This Row],[Date]],BH!E:E,1,)&lt;&gt;"",1,0),0)</f>
        <v>0</v>
      </c>
      <c r="O921">
        <f>IFERROR(IF(VLOOKUP(calendar[[#This Row],[Date]],BH!G:G,1,)&lt;&gt;"",1,0),0)</f>
        <v>0</v>
      </c>
      <c r="P921">
        <f>IF(OR(calendar[[#This Row],[UK_BH]]=1,calendar[[#This Row],[WeekDay]]=1, calendar[[#This Row],[WeekDay]]=7),P920,P920+1)</f>
        <v>657</v>
      </c>
      <c r="Q921">
        <f>IF(OR(calendar[[#This Row],[FR_BH]]=1,calendar[[#This Row],[WeekDay]]=1, calendar[[#This Row],[WeekDay]]=7),P920,P920+1)</f>
        <v>657</v>
      </c>
      <c r="R921">
        <f>IF(OR(calendar[[#This Row],[SP_BH]]=1,calendar[[#This Row],[WeekDay]]=1, calendar[[#This Row],[WeekDay]]=7),P920,P920+1)</f>
        <v>657</v>
      </c>
      <c r="S921">
        <f>IF(OR(calendar[[#This Row],[PT_BH]]=1,calendar[[#This Row],[WeekDay]]=1, calendar[[#This Row],[WeekDay]]=7),P920,P920+1)</f>
        <v>657</v>
      </c>
    </row>
    <row r="922" spans="1:19" x14ac:dyDescent="0.25">
      <c r="A922" s="2">
        <v>43656</v>
      </c>
      <c r="B922" s="1">
        <f t="shared" si="73"/>
        <v>28</v>
      </c>
      <c r="C922">
        <f t="shared" si="75"/>
        <v>7</v>
      </c>
      <c r="D922" t="str">
        <f t="shared" si="76"/>
        <v>July</v>
      </c>
      <c r="E922">
        <f t="shared" si="77"/>
        <v>2019</v>
      </c>
      <c r="F922" t="str">
        <f>CONCATENATE(calendar[[#This Row],[Month]],"/",calendar[[#This Row],[Year]])</f>
        <v>7/2019</v>
      </c>
      <c r="G922">
        <f>WEEKDAY(calendar[[#This Row],[Date]],1)</f>
        <v>4</v>
      </c>
      <c r="H922" t="str">
        <f>TEXT(calendar[[#This Row],[WeekDay]],"dddd")</f>
        <v>Wednesday</v>
      </c>
      <c r="I922">
        <f>IF((INT(calendar[[#This Row],[Count]]/7)-calendar[[#This Row],[Count]]/7)&lt;0,I921,I921+1)</f>
        <v>132</v>
      </c>
      <c r="J922">
        <f t="shared" si="74"/>
        <v>920</v>
      </c>
      <c r="K922">
        <f>IF(calendar[[#This Row],[Month]]&lt;4,1,IF(calendar[[#This Row],[Month]]&lt;7,2,IF(calendar[[#This Row],[Month]]&lt;10,3,4)))</f>
        <v>3</v>
      </c>
      <c r="L922">
        <f>IFERROR(IF(VLOOKUP(calendar[[#This Row],[Date]],BH!A:A,1,)&lt;&gt;"",1,0),0)</f>
        <v>0</v>
      </c>
      <c r="M922">
        <f>IFERROR(IF(VLOOKUP(calendar[[#This Row],[Date]],BH!C:C,1,)&lt;&gt;"",1,0),0)</f>
        <v>0</v>
      </c>
      <c r="N922">
        <f>IFERROR(IF(VLOOKUP(calendar[[#This Row],[Date]],BH!E:E,1,)&lt;&gt;"",1,0),0)</f>
        <v>0</v>
      </c>
      <c r="O922">
        <f>IFERROR(IF(VLOOKUP(calendar[[#This Row],[Date]],BH!G:G,1,)&lt;&gt;"",1,0),0)</f>
        <v>0</v>
      </c>
      <c r="P922">
        <f>IF(OR(calendar[[#This Row],[UK_BH]]=1,calendar[[#This Row],[WeekDay]]=1, calendar[[#This Row],[WeekDay]]=7),P921,P921+1)</f>
        <v>658</v>
      </c>
      <c r="Q922">
        <f>IF(OR(calendar[[#This Row],[FR_BH]]=1,calendar[[#This Row],[WeekDay]]=1, calendar[[#This Row],[WeekDay]]=7),P921,P921+1)</f>
        <v>658</v>
      </c>
      <c r="R922">
        <f>IF(OR(calendar[[#This Row],[SP_BH]]=1,calendar[[#This Row],[WeekDay]]=1, calendar[[#This Row],[WeekDay]]=7),P921,P921+1)</f>
        <v>658</v>
      </c>
      <c r="S922">
        <f>IF(OR(calendar[[#This Row],[PT_BH]]=1,calendar[[#This Row],[WeekDay]]=1, calendar[[#This Row],[WeekDay]]=7),P921,P921+1)</f>
        <v>658</v>
      </c>
    </row>
    <row r="923" spans="1:19" x14ac:dyDescent="0.25">
      <c r="A923" s="2">
        <v>43657</v>
      </c>
      <c r="B923" s="1">
        <f t="shared" si="73"/>
        <v>28</v>
      </c>
      <c r="C923">
        <f t="shared" si="75"/>
        <v>7</v>
      </c>
      <c r="D923" t="str">
        <f t="shared" si="76"/>
        <v>July</v>
      </c>
      <c r="E923">
        <f t="shared" si="77"/>
        <v>2019</v>
      </c>
      <c r="F923" t="str">
        <f>CONCATENATE(calendar[[#This Row],[Month]],"/",calendar[[#This Row],[Year]])</f>
        <v>7/2019</v>
      </c>
      <c r="G923">
        <f>WEEKDAY(calendar[[#This Row],[Date]],1)</f>
        <v>5</v>
      </c>
      <c r="H923" t="str">
        <f>TEXT(calendar[[#This Row],[WeekDay]],"dddd")</f>
        <v>Thursday</v>
      </c>
      <c r="I923">
        <f>IF((INT(calendar[[#This Row],[Count]]/7)-calendar[[#This Row],[Count]]/7)&lt;0,I922,I922+1)</f>
        <v>132</v>
      </c>
      <c r="J923">
        <f t="shared" si="74"/>
        <v>921</v>
      </c>
      <c r="K923">
        <f>IF(calendar[[#This Row],[Month]]&lt;4,1,IF(calendar[[#This Row],[Month]]&lt;7,2,IF(calendar[[#This Row],[Month]]&lt;10,3,4)))</f>
        <v>3</v>
      </c>
      <c r="L923">
        <f>IFERROR(IF(VLOOKUP(calendar[[#This Row],[Date]],BH!A:A,1,)&lt;&gt;"",1,0),0)</f>
        <v>0</v>
      </c>
      <c r="M923">
        <f>IFERROR(IF(VLOOKUP(calendar[[#This Row],[Date]],BH!C:C,1,)&lt;&gt;"",1,0),0)</f>
        <v>0</v>
      </c>
      <c r="N923">
        <f>IFERROR(IF(VLOOKUP(calendar[[#This Row],[Date]],BH!E:E,1,)&lt;&gt;"",1,0),0)</f>
        <v>0</v>
      </c>
      <c r="O923">
        <f>IFERROR(IF(VLOOKUP(calendar[[#This Row],[Date]],BH!G:G,1,)&lt;&gt;"",1,0),0)</f>
        <v>0</v>
      </c>
      <c r="P923">
        <f>IF(OR(calendar[[#This Row],[UK_BH]]=1,calendar[[#This Row],[WeekDay]]=1, calendar[[#This Row],[WeekDay]]=7),P922,P922+1)</f>
        <v>659</v>
      </c>
      <c r="Q923">
        <f>IF(OR(calendar[[#This Row],[FR_BH]]=1,calendar[[#This Row],[WeekDay]]=1, calendar[[#This Row],[WeekDay]]=7),P922,P922+1)</f>
        <v>659</v>
      </c>
      <c r="R923">
        <f>IF(OR(calendar[[#This Row],[SP_BH]]=1,calendar[[#This Row],[WeekDay]]=1, calendar[[#This Row],[WeekDay]]=7),P922,P922+1)</f>
        <v>659</v>
      </c>
      <c r="S923">
        <f>IF(OR(calendar[[#This Row],[PT_BH]]=1,calendar[[#This Row],[WeekDay]]=1, calendar[[#This Row],[WeekDay]]=7),P922,P922+1)</f>
        <v>659</v>
      </c>
    </row>
    <row r="924" spans="1:19" x14ac:dyDescent="0.25">
      <c r="A924" s="2">
        <v>43658</v>
      </c>
      <c r="B924" s="1">
        <f t="shared" si="73"/>
        <v>28</v>
      </c>
      <c r="C924">
        <f t="shared" si="75"/>
        <v>7</v>
      </c>
      <c r="D924" t="str">
        <f t="shared" si="76"/>
        <v>July</v>
      </c>
      <c r="E924">
        <f t="shared" si="77"/>
        <v>2019</v>
      </c>
      <c r="F924" t="str">
        <f>CONCATENATE(calendar[[#This Row],[Month]],"/",calendar[[#This Row],[Year]])</f>
        <v>7/2019</v>
      </c>
      <c r="G924">
        <f>WEEKDAY(calendar[[#This Row],[Date]],1)</f>
        <v>6</v>
      </c>
      <c r="H924" t="str">
        <f>TEXT(calendar[[#This Row],[WeekDay]],"dddd")</f>
        <v>Friday</v>
      </c>
      <c r="I924">
        <f>IF((INT(calendar[[#This Row],[Count]]/7)-calendar[[#This Row],[Count]]/7)&lt;0,I923,I923+1)</f>
        <v>132</v>
      </c>
      <c r="J924">
        <f t="shared" si="74"/>
        <v>922</v>
      </c>
      <c r="K924">
        <f>IF(calendar[[#This Row],[Month]]&lt;4,1,IF(calendar[[#This Row],[Month]]&lt;7,2,IF(calendar[[#This Row],[Month]]&lt;10,3,4)))</f>
        <v>3</v>
      </c>
      <c r="L924">
        <f>IFERROR(IF(VLOOKUP(calendar[[#This Row],[Date]],BH!A:A,1,)&lt;&gt;"",1,0),0)</f>
        <v>0</v>
      </c>
      <c r="M924">
        <f>IFERROR(IF(VLOOKUP(calendar[[#This Row],[Date]],BH!C:C,1,)&lt;&gt;"",1,0),0)</f>
        <v>0</v>
      </c>
      <c r="N924">
        <f>IFERROR(IF(VLOOKUP(calendar[[#This Row],[Date]],BH!E:E,1,)&lt;&gt;"",1,0),0)</f>
        <v>0</v>
      </c>
      <c r="O924">
        <f>IFERROR(IF(VLOOKUP(calendar[[#This Row],[Date]],BH!G:G,1,)&lt;&gt;"",1,0),0)</f>
        <v>0</v>
      </c>
      <c r="P924">
        <f>IF(OR(calendar[[#This Row],[UK_BH]]=1,calendar[[#This Row],[WeekDay]]=1, calendar[[#This Row],[WeekDay]]=7),P923,P923+1)</f>
        <v>660</v>
      </c>
      <c r="Q924">
        <f>IF(OR(calendar[[#This Row],[FR_BH]]=1,calendar[[#This Row],[WeekDay]]=1, calendar[[#This Row],[WeekDay]]=7),P923,P923+1)</f>
        <v>660</v>
      </c>
      <c r="R924">
        <f>IF(OR(calendar[[#This Row],[SP_BH]]=1,calendar[[#This Row],[WeekDay]]=1, calendar[[#This Row],[WeekDay]]=7),P923,P923+1)</f>
        <v>660</v>
      </c>
      <c r="S924">
        <f>IF(OR(calendar[[#This Row],[PT_BH]]=1,calendar[[#This Row],[WeekDay]]=1, calendar[[#This Row],[WeekDay]]=7),P923,P923+1)</f>
        <v>660</v>
      </c>
    </row>
    <row r="925" spans="1:19" x14ac:dyDescent="0.25">
      <c r="A925" s="2">
        <v>43659</v>
      </c>
      <c r="B925" s="1">
        <f t="shared" si="73"/>
        <v>28</v>
      </c>
      <c r="C925">
        <f t="shared" si="75"/>
        <v>7</v>
      </c>
      <c r="D925" t="str">
        <f t="shared" si="76"/>
        <v>July</v>
      </c>
      <c r="E925">
        <f t="shared" si="77"/>
        <v>2019</v>
      </c>
      <c r="F925" t="str">
        <f>CONCATENATE(calendar[[#This Row],[Month]],"/",calendar[[#This Row],[Year]])</f>
        <v>7/2019</v>
      </c>
      <c r="G925">
        <f>WEEKDAY(calendar[[#This Row],[Date]],1)</f>
        <v>7</v>
      </c>
      <c r="H925" t="str">
        <f>TEXT(calendar[[#This Row],[WeekDay]],"dddd")</f>
        <v>Saturday</v>
      </c>
      <c r="I925">
        <f>IF((INT(calendar[[#This Row],[Count]]/7)-calendar[[#This Row],[Count]]/7)&lt;0,I924,I924+1)</f>
        <v>132</v>
      </c>
      <c r="J925">
        <f t="shared" si="74"/>
        <v>923</v>
      </c>
      <c r="K925">
        <f>IF(calendar[[#This Row],[Month]]&lt;4,1,IF(calendar[[#This Row],[Month]]&lt;7,2,IF(calendar[[#This Row],[Month]]&lt;10,3,4)))</f>
        <v>3</v>
      </c>
      <c r="L925">
        <f>IFERROR(IF(VLOOKUP(calendar[[#This Row],[Date]],BH!A:A,1,)&lt;&gt;"",1,0),0)</f>
        <v>0</v>
      </c>
      <c r="M925">
        <f>IFERROR(IF(VLOOKUP(calendar[[#This Row],[Date]],BH!C:C,1,)&lt;&gt;"",1,0),0)</f>
        <v>0</v>
      </c>
      <c r="N925">
        <f>IFERROR(IF(VLOOKUP(calendar[[#This Row],[Date]],BH!E:E,1,)&lt;&gt;"",1,0),0)</f>
        <v>0</v>
      </c>
      <c r="O925">
        <f>IFERROR(IF(VLOOKUP(calendar[[#This Row],[Date]],BH!G:G,1,)&lt;&gt;"",1,0),0)</f>
        <v>0</v>
      </c>
      <c r="P925">
        <f>IF(OR(calendar[[#This Row],[UK_BH]]=1,calendar[[#This Row],[WeekDay]]=1, calendar[[#This Row],[WeekDay]]=7),P924,P924+1)</f>
        <v>660</v>
      </c>
      <c r="Q925">
        <f>IF(OR(calendar[[#This Row],[FR_BH]]=1,calendar[[#This Row],[WeekDay]]=1, calendar[[#This Row],[WeekDay]]=7),P924,P924+1)</f>
        <v>660</v>
      </c>
      <c r="R925">
        <f>IF(OR(calendar[[#This Row],[SP_BH]]=1,calendar[[#This Row],[WeekDay]]=1, calendar[[#This Row],[WeekDay]]=7),P924,P924+1)</f>
        <v>660</v>
      </c>
      <c r="S925">
        <f>IF(OR(calendar[[#This Row],[PT_BH]]=1,calendar[[#This Row],[WeekDay]]=1, calendar[[#This Row],[WeekDay]]=7),P924,P924+1)</f>
        <v>660</v>
      </c>
    </row>
    <row r="926" spans="1:19" x14ac:dyDescent="0.25">
      <c r="A926" s="2">
        <v>43660</v>
      </c>
      <c r="B926" s="1">
        <f t="shared" si="73"/>
        <v>29</v>
      </c>
      <c r="C926">
        <f t="shared" si="75"/>
        <v>7</v>
      </c>
      <c r="D926" t="str">
        <f t="shared" si="76"/>
        <v>July</v>
      </c>
      <c r="E926">
        <f t="shared" si="77"/>
        <v>2019</v>
      </c>
      <c r="F926" t="str">
        <f>CONCATENATE(calendar[[#This Row],[Month]],"/",calendar[[#This Row],[Year]])</f>
        <v>7/2019</v>
      </c>
      <c r="G926">
        <f>WEEKDAY(calendar[[#This Row],[Date]],1)</f>
        <v>1</v>
      </c>
      <c r="H926" t="str">
        <f>TEXT(calendar[[#This Row],[WeekDay]],"dddd")</f>
        <v>Sunday</v>
      </c>
      <c r="I926">
        <f>IF((INT(calendar[[#This Row],[Count]]/7)-calendar[[#This Row],[Count]]/7)&lt;0,I925,I925+1)</f>
        <v>133</v>
      </c>
      <c r="J926">
        <f t="shared" si="74"/>
        <v>924</v>
      </c>
      <c r="K926">
        <f>IF(calendar[[#This Row],[Month]]&lt;4,1,IF(calendar[[#This Row],[Month]]&lt;7,2,IF(calendar[[#This Row],[Month]]&lt;10,3,4)))</f>
        <v>3</v>
      </c>
      <c r="L926">
        <f>IFERROR(IF(VLOOKUP(calendar[[#This Row],[Date]],BH!A:A,1,)&lt;&gt;"",1,0),0)</f>
        <v>0</v>
      </c>
      <c r="M926">
        <f>IFERROR(IF(VLOOKUP(calendar[[#This Row],[Date]],BH!C:C,1,)&lt;&gt;"",1,0),0)</f>
        <v>0</v>
      </c>
      <c r="N926">
        <f>IFERROR(IF(VLOOKUP(calendar[[#This Row],[Date]],BH!E:E,1,)&lt;&gt;"",1,0),0)</f>
        <v>0</v>
      </c>
      <c r="O926">
        <f>IFERROR(IF(VLOOKUP(calendar[[#This Row],[Date]],BH!G:G,1,)&lt;&gt;"",1,0),0)</f>
        <v>0</v>
      </c>
      <c r="P926">
        <f>IF(OR(calendar[[#This Row],[UK_BH]]=1,calendar[[#This Row],[WeekDay]]=1, calendar[[#This Row],[WeekDay]]=7),P925,P925+1)</f>
        <v>660</v>
      </c>
      <c r="Q926">
        <f>IF(OR(calendar[[#This Row],[FR_BH]]=1,calendar[[#This Row],[WeekDay]]=1, calendar[[#This Row],[WeekDay]]=7),P925,P925+1)</f>
        <v>660</v>
      </c>
      <c r="R926">
        <f>IF(OR(calendar[[#This Row],[SP_BH]]=1,calendar[[#This Row],[WeekDay]]=1, calendar[[#This Row],[WeekDay]]=7),P925,P925+1)</f>
        <v>660</v>
      </c>
      <c r="S926">
        <f>IF(OR(calendar[[#This Row],[PT_BH]]=1,calendar[[#This Row],[WeekDay]]=1, calendar[[#This Row],[WeekDay]]=7),P925,P925+1)</f>
        <v>660</v>
      </c>
    </row>
    <row r="927" spans="1:19" x14ac:dyDescent="0.25">
      <c r="A927" s="2">
        <v>43661</v>
      </c>
      <c r="B927" s="1">
        <f t="shared" si="73"/>
        <v>29</v>
      </c>
      <c r="C927">
        <f t="shared" si="75"/>
        <v>7</v>
      </c>
      <c r="D927" t="str">
        <f t="shared" si="76"/>
        <v>July</v>
      </c>
      <c r="E927">
        <f t="shared" si="77"/>
        <v>2019</v>
      </c>
      <c r="F927" t="str">
        <f>CONCATENATE(calendar[[#This Row],[Month]],"/",calendar[[#This Row],[Year]])</f>
        <v>7/2019</v>
      </c>
      <c r="G927">
        <f>WEEKDAY(calendar[[#This Row],[Date]],1)</f>
        <v>2</v>
      </c>
      <c r="H927" t="str">
        <f>TEXT(calendar[[#This Row],[WeekDay]],"dddd")</f>
        <v>Monday</v>
      </c>
      <c r="I927">
        <f>IF((INT(calendar[[#This Row],[Count]]/7)-calendar[[#This Row],[Count]]/7)&lt;0,I926,I926+1)</f>
        <v>133</v>
      </c>
      <c r="J927">
        <f t="shared" si="74"/>
        <v>925</v>
      </c>
      <c r="K927">
        <f>IF(calendar[[#This Row],[Month]]&lt;4,1,IF(calendar[[#This Row],[Month]]&lt;7,2,IF(calendar[[#This Row],[Month]]&lt;10,3,4)))</f>
        <v>3</v>
      </c>
      <c r="L927">
        <f>IFERROR(IF(VLOOKUP(calendar[[#This Row],[Date]],BH!A:A,1,)&lt;&gt;"",1,0),0)</f>
        <v>0</v>
      </c>
      <c r="M927">
        <f>IFERROR(IF(VLOOKUP(calendar[[#This Row],[Date]],BH!C:C,1,)&lt;&gt;"",1,0),0)</f>
        <v>0</v>
      </c>
      <c r="N927">
        <f>IFERROR(IF(VLOOKUP(calendar[[#This Row],[Date]],BH!E:E,1,)&lt;&gt;"",1,0),0)</f>
        <v>0</v>
      </c>
      <c r="O927">
        <f>IFERROR(IF(VLOOKUP(calendar[[#This Row],[Date]],BH!G:G,1,)&lt;&gt;"",1,0),0)</f>
        <v>0</v>
      </c>
      <c r="P927">
        <f>IF(OR(calendar[[#This Row],[UK_BH]]=1,calendar[[#This Row],[WeekDay]]=1, calendar[[#This Row],[WeekDay]]=7),P926,P926+1)</f>
        <v>661</v>
      </c>
      <c r="Q927">
        <f>IF(OR(calendar[[#This Row],[FR_BH]]=1,calendar[[#This Row],[WeekDay]]=1, calendar[[#This Row],[WeekDay]]=7),P926,P926+1)</f>
        <v>661</v>
      </c>
      <c r="R927">
        <f>IF(OR(calendar[[#This Row],[SP_BH]]=1,calendar[[#This Row],[WeekDay]]=1, calendar[[#This Row],[WeekDay]]=7),P926,P926+1)</f>
        <v>661</v>
      </c>
      <c r="S927">
        <f>IF(OR(calendar[[#This Row],[PT_BH]]=1,calendar[[#This Row],[WeekDay]]=1, calendar[[#This Row],[WeekDay]]=7),P926,P926+1)</f>
        <v>661</v>
      </c>
    </row>
    <row r="928" spans="1:19" x14ac:dyDescent="0.25">
      <c r="A928" s="2">
        <v>43662</v>
      </c>
      <c r="B928" s="1">
        <f t="shared" si="73"/>
        <v>29</v>
      </c>
      <c r="C928">
        <f t="shared" si="75"/>
        <v>7</v>
      </c>
      <c r="D928" t="str">
        <f t="shared" si="76"/>
        <v>July</v>
      </c>
      <c r="E928">
        <f t="shared" si="77"/>
        <v>2019</v>
      </c>
      <c r="F928" t="str">
        <f>CONCATENATE(calendar[[#This Row],[Month]],"/",calendar[[#This Row],[Year]])</f>
        <v>7/2019</v>
      </c>
      <c r="G928">
        <f>WEEKDAY(calendar[[#This Row],[Date]],1)</f>
        <v>3</v>
      </c>
      <c r="H928" t="str">
        <f>TEXT(calendar[[#This Row],[WeekDay]],"dddd")</f>
        <v>Tuesday</v>
      </c>
      <c r="I928">
        <f>IF((INT(calendar[[#This Row],[Count]]/7)-calendar[[#This Row],[Count]]/7)&lt;0,I927,I927+1)</f>
        <v>133</v>
      </c>
      <c r="J928">
        <f t="shared" si="74"/>
        <v>926</v>
      </c>
      <c r="K928">
        <f>IF(calendar[[#This Row],[Month]]&lt;4,1,IF(calendar[[#This Row],[Month]]&lt;7,2,IF(calendar[[#This Row],[Month]]&lt;10,3,4)))</f>
        <v>3</v>
      </c>
      <c r="L928">
        <f>IFERROR(IF(VLOOKUP(calendar[[#This Row],[Date]],BH!A:A,1,)&lt;&gt;"",1,0),0)</f>
        <v>0</v>
      </c>
      <c r="M928">
        <f>IFERROR(IF(VLOOKUP(calendar[[#This Row],[Date]],BH!C:C,1,)&lt;&gt;"",1,0),0)</f>
        <v>0</v>
      </c>
      <c r="N928">
        <f>IFERROR(IF(VLOOKUP(calendar[[#This Row],[Date]],BH!E:E,1,)&lt;&gt;"",1,0),0)</f>
        <v>0</v>
      </c>
      <c r="O928">
        <f>IFERROR(IF(VLOOKUP(calendar[[#This Row],[Date]],BH!G:G,1,)&lt;&gt;"",1,0),0)</f>
        <v>0</v>
      </c>
      <c r="P928">
        <f>IF(OR(calendar[[#This Row],[UK_BH]]=1,calendar[[#This Row],[WeekDay]]=1, calendar[[#This Row],[WeekDay]]=7),P927,P927+1)</f>
        <v>662</v>
      </c>
      <c r="Q928">
        <f>IF(OR(calendar[[#This Row],[FR_BH]]=1,calendar[[#This Row],[WeekDay]]=1, calendar[[#This Row],[WeekDay]]=7),P927,P927+1)</f>
        <v>662</v>
      </c>
      <c r="R928">
        <f>IF(OR(calendar[[#This Row],[SP_BH]]=1,calendar[[#This Row],[WeekDay]]=1, calendar[[#This Row],[WeekDay]]=7),P927,P927+1)</f>
        <v>662</v>
      </c>
      <c r="S928">
        <f>IF(OR(calendar[[#This Row],[PT_BH]]=1,calendar[[#This Row],[WeekDay]]=1, calendar[[#This Row],[WeekDay]]=7),P927,P927+1)</f>
        <v>662</v>
      </c>
    </row>
    <row r="929" spans="1:19" x14ac:dyDescent="0.25">
      <c r="A929" s="2">
        <v>43663</v>
      </c>
      <c r="B929" s="1">
        <f t="shared" si="73"/>
        <v>29</v>
      </c>
      <c r="C929">
        <f t="shared" si="75"/>
        <v>7</v>
      </c>
      <c r="D929" t="str">
        <f t="shared" si="76"/>
        <v>July</v>
      </c>
      <c r="E929">
        <f t="shared" si="77"/>
        <v>2019</v>
      </c>
      <c r="F929" t="str">
        <f>CONCATENATE(calendar[[#This Row],[Month]],"/",calendar[[#This Row],[Year]])</f>
        <v>7/2019</v>
      </c>
      <c r="G929">
        <f>WEEKDAY(calendar[[#This Row],[Date]],1)</f>
        <v>4</v>
      </c>
      <c r="H929" t="str">
        <f>TEXT(calendar[[#This Row],[WeekDay]],"dddd")</f>
        <v>Wednesday</v>
      </c>
      <c r="I929">
        <f>IF((INT(calendar[[#This Row],[Count]]/7)-calendar[[#This Row],[Count]]/7)&lt;0,I928,I928+1)</f>
        <v>133</v>
      </c>
      <c r="J929">
        <f t="shared" si="74"/>
        <v>927</v>
      </c>
      <c r="K929">
        <f>IF(calendar[[#This Row],[Month]]&lt;4,1,IF(calendar[[#This Row],[Month]]&lt;7,2,IF(calendar[[#This Row],[Month]]&lt;10,3,4)))</f>
        <v>3</v>
      </c>
      <c r="L929">
        <f>IFERROR(IF(VLOOKUP(calendar[[#This Row],[Date]],BH!A:A,1,)&lt;&gt;"",1,0),0)</f>
        <v>0</v>
      </c>
      <c r="M929">
        <f>IFERROR(IF(VLOOKUP(calendar[[#This Row],[Date]],BH!C:C,1,)&lt;&gt;"",1,0),0)</f>
        <v>0</v>
      </c>
      <c r="N929">
        <f>IFERROR(IF(VLOOKUP(calendar[[#This Row],[Date]],BH!E:E,1,)&lt;&gt;"",1,0),0)</f>
        <v>0</v>
      </c>
      <c r="O929">
        <f>IFERROR(IF(VLOOKUP(calendar[[#This Row],[Date]],BH!G:G,1,)&lt;&gt;"",1,0),0)</f>
        <v>0</v>
      </c>
      <c r="P929">
        <f>IF(OR(calendar[[#This Row],[UK_BH]]=1,calendar[[#This Row],[WeekDay]]=1, calendar[[#This Row],[WeekDay]]=7),P928,P928+1)</f>
        <v>663</v>
      </c>
      <c r="Q929">
        <f>IF(OR(calendar[[#This Row],[FR_BH]]=1,calendar[[#This Row],[WeekDay]]=1, calendar[[#This Row],[WeekDay]]=7),P928,P928+1)</f>
        <v>663</v>
      </c>
      <c r="R929">
        <f>IF(OR(calendar[[#This Row],[SP_BH]]=1,calendar[[#This Row],[WeekDay]]=1, calendar[[#This Row],[WeekDay]]=7),P928,P928+1)</f>
        <v>663</v>
      </c>
      <c r="S929">
        <f>IF(OR(calendar[[#This Row],[PT_BH]]=1,calendar[[#This Row],[WeekDay]]=1, calendar[[#This Row],[WeekDay]]=7),P928,P928+1)</f>
        <v>663</v>
      </c>
    </row>
    <row r="930" spans="1:19" x14ac:dyDescent="0.25">
      <c r="A930" s="2">
        <v>43664</v>
      </c>
      <c r="B930" s="1">
        <f t="shared" si="73"/>
        <v>29</v>
      </c>
      <c r="C930">
        <f t="shared" si="75"/>
        <v>7</v>
      </c>
      <c r="D930" t="str">
        <f t="shared" si="76"/>
        <v>July</v>
      </c>
      <c r="E930">
        <f t="shared" si="77"/>
        <v>2019</v>
      </c>
      <c r="F930" t="str">
        <f>CONCATENATE(calendar[[#This Row],[Month]],"/",calendar[[#This Row],[Year]])</f>
        <v>7/2019</v>
      </c>
      <c r="G930">
        <f>WEEKDAY(calendar[[#This Row],[Date]],1)</f>
        <v>5</v>
      </c>
      <c r="H930" t="str">
        <f>TEXT(calendar[[#This Row],[WeekDay]],"dddd")</f>
        <v>Thursday</v>
      </c>
      <c r="I930">
        <f>IF((INT(calendar[[#This Row],[Count]]/7)-calendar[[#This Row],[Count]]/7)&lt;0,I929,I929+1)</f>
        <v>133</v>
      </c>
      <c r="J930">
        <f t="shared" si="74"/>
        <v>928</v>
      </c>
      <c r="K930">
        <f>IF(calendar[[#This Row],[Month]]&lt;4,1,IF(calendar[[#This Row],[Month]]&lt;7,2,IF(calendar[[#This Row],[Month]]&lt;10,3,4)))</f>
        <v>3</v>
      </c>
      <c r="L930">
        <f>IFERROR(IF(VLOOKUP(calendar[[#This Row],[Date]],BH!A:A,1,)&lt;&gt;"",1,0),0)</f>
        <v>0</v>
      </c>
      <c r="M930">
        <f>IFERROR(IF(VLOOKUP(calendar[[#This Row],[Date]],BH!C:C,1,)&lt;&gt;"",1,0),0)</f>
        <v>0</v>
      </c>
      <c r="N930">
        <f>IFERROR(IF(VLOOKUP(calendar[[#This Row],[Date]],BH!E:E,1,)&lt;&gt;"",1,0),0)</f>
        <v>0</v>
      </c>
      <c r="O930">
        <f>IFERROR(IF(VLOOKUP(calendar[[#This Row],[Date]],BH!G:G,1,)&lt;&gt;"",1,0),0)</f>
        <v>0</v>
      </c>
      <c r="P930">
        <f>IF(OR(calendar[[#This Row],[UK_BH]]=1,calendar[[#This Row],[WeekDay]]=1, calendar[[#This Row],[WeekDay]]=7),P929,P929+1)</f>
        <v>664</v>
      </c>
      <c r="Q930">
        <f>IF(OR(calendar[[#This Row],[FR_BH]]=1,calendar[[#This Row],[WeekDay]]=1, calendar[[#This Row],[WeekDay]]=7),P929,P929+1)</f>
        <v>664</v>
      </c>
      <c r="R930">
        <f>IF(OR(calendar[[#This Row],[SP_BH]]=1,calendar[[#This Row],[WeekDay]]=1, calendar[[#This Row],[WeekDay]]=7),P929,P929+1)</f>
        <v>664</v>
      </c>
      <c r="S930">
        <f>IF(OR(calendar[[#This Row],[PT_BH]]=1,calendar[[#This Row],[WeekDay]]=1, calendar[[#This Row],[WeekDay]]=7),P929,P929+1)</f>
        <v>664</v>
      </c>
    </row>
    <row r="931" spans="1:19" x14ac:dyDescent="0.25">
      <c r="A931" s="2">
        <v>43665</v>
      </c>
      <c r="B931" s="1">
        <f t="shared" si="73"/>
        <v>29</v>
      </c>
      <c r="C931">
        <f t="shared" si="75"/>
        <v>7</v>
      </c>
      <c r="D931" t="str">
        <f t="shared" si="76"/>
        <v>July</v>
      </c>
      <c r="E931">
        <f t="shared" si="77"/>
        <v>2019</v>
      </c>
      <c r="F931" t="str">
        <f>CONCATENATE(calendar[[#This Row],[Month]],"/",calendar[[#This Row],[Year]])</f>
        <v>7/2019</v>
      </c>
      <c r="G931">
        <f>WEEKDAY(calendar[[#This Row],[Date]],1)</f>
        <v>6</v>
      </c>
      <c r="H931" t="str">
        <f>TEXT(calendar[[#This Row],[WeekDay]],"dddd")</f>
        <v>Friday</v>
      </c>
      <c r="I931">
        <f>IF((INT(calendar[[#This Row],[Count]]/7)-calendar[[#This Row],[Count]]/7)&lt;0,I930,I930+1)</f>
        <v>133</v>
      </c>
      <c r="J931">
        <f t="shared" si="74"/>
        <v>929</v>
      </c>
      <c r="K931">
        <f>IF(calendar[[#This Row],[Month]]&lt;4,1,IF(calendar[[#This Row],[Month]]&lt;7,2,IF(calendar[[#This Row],[Month]]&lt;10,3,4)))</f>
        <v>3</v>
      </c>
      <c r="L931">
        <f>IFERROR(IF(VLOOKUP(calendar[[#This Row],[Date]],BH!A:A,1,)&lt;&gt;"",1,0),0)</f>
        <v>0</v>
      </c>
      <c r="M931">
        <f>IFERROR(IF(VLOOKUP(calendar[[#This Row],[Date]],BH!C:C,1,)&lt;&gt;"",1,0),0)</f>
        <v>0</v>
      </c>
      <c r="N931">
        <f>IFERROR(IF(VLOOKUP(calendar[[#This Row],[Date]],BH!E:E,1,)&lt;&gt;"",1,0),0)</f>
        <v>0</v>
      </c>
      <c r="O931">
        <f>IFERROR(IF(VLOOKUP(calendar[[#This Row],[Date]],BH!G:G,1,)&lt;&gt;"",1,0),0)</f>
        <v>0</v>
      </c>
      <c r="P931">
        <f>IF(OR(calendar[[#This Row],[UK_BH]]=1,calendar[[#This Row],[WeekDay]]=1, calendar[[#This Row],[WeekDay]]=7),P930,P930+1)</f>
        <v>665</v>
      </c>
      <c r="Q931">
        <f>IF(OR(calendar[[#This Row],[FR_BH]]=1,calendar[[#This Row],[WeekDay]]=1, calendar[[#This Row],[WeekDay]]=7),P930,P930+1)</f>
        <v>665</v>
      </c>
      <c r="R931">
        <f>IF(OR(calendar[[#This Row],[SP_BH]]=1,calendar[[#This Row],[WeekDay]]=1, calendar[[#This Row],[WeekDay]]=7),P930,P930+1)</f>
        <v>665</v>
      </c>
      <c r="S931">
        <f>IF(OR(calendar[[#This Row],[PT_BH]]=1,calendar[[#This Row],[WeekDay]]=1, calendar[[#This Row],[WeekDay]]=7),P930,P930+1)</f>
        <v>665</v>
      </c>
    </row>
    <row r="932" spans="1:19" x14ac:dyDescent="0.25">
      <c r="A932" s="2">
        <v>43666</v>
      </c>
      <c r="B932" s="1">
        <f t="shared" si="73"/>
        <v>29</v>
      </c>
      <c r="C932">
        <f t="shared" si="75"/>
        <v>7</v>
      </c>
      <c r="D932" t="str">
        <f t="shared" si="76"/>
        <v>July</v>
      </c>
      <c r="E932">
        <f t="shared" si="77"/>
        <v>2019</v>
      </c>
      <c r="F932" t="str">
        <f>CONCATENATE(calendar[[#This Row],[Month]],"/",calendar[[#This Row],[Year]])</f>
        <v>7/2019</v>
      </c>
      <c r="G932">
        <f>WEEKDAY(calendar[[#This Row],[Date]],1)</f>
        <v>7</v>
      </c>
      <c r="H932" t="str">
        <f>TEXT(calendar[[#This Row],[WeekDay]],"dddd")</f>
        <v>Saturday</v>
      </c>
      <c r="I932">
        <f>IF((INT(calendar[[#This Row],[Count]]/7)-calendar[[#This Row],[Count]]/7)&lt;0,I931,I931+1)</f>
        <v>133</v>
      </c>
      <c r="J932">
        <f t="shared" si="74"/>
        <v>930</v>
      </c>
      <c r="K932">
        <f>IF(calendar[[#This Row],[Month]]&lt;4,1,IF(calendar[[#This Row],[Month]]&lt;7,2,IF(calendar[[#This Row],[Month]]&lt;10,3,4)))</f>
        <v>3</v>
      </c>
      <c r="L932">
        <f>IFERROR(IF(VLOOKUP(calendar[[#This Row],[Date]],BH!A:A,1,)&lt;&gt;"",1,0),0)</f>
        <v>0</v>
      </c>
      <c r="M932">
        <f>IFERROR(IF(VLOOKUP(calendar[[#This Row],[Date]],BH!C:C,1,)&lt;&gt;"",1,0),0)</f>
        <v>0</v>
      </c>
      <c r="N932">
        <f>IFERROR(IF(VLOOKUP(calendar[[#This Row],[Date]],BH!E:E,1,)&lt;&gt;"",1,0),0)</f>
        <v>0</v>
      </c>
      <c r="O932">
        <f>IFERROR(IF(VLOOKUP(calendar[[#This Row],[Date]],BH!G:G,1,)&lt;&gt;"",1,0),0)</f>
        <v>0</v>
      </c>
      <c r="P932">
        <f>IF(OR(calendar[[#This Row],[UK_BH]]=1,calendar[[#This Row],[WeekDay]]=1, calendar[[#This Row],[WeekDay]]=7),P931,P931+1)</f>
        <v>665</v>
      </c>
      <c r="Q932">
        <f>IF(OR(calendar[[#This Row],[FR_BH]]=1,calendar[[#This Row],[WeekDay]]=1, calendar[[#This Row],[WeekDay]]=7),P931,P931+1)</f>
        <v>665</v>
      </c>
      <c r="R932">
        <f>IF(OR(calendar[[#This Row],[SP_BH]]=1,calendar[[#This Row],[WeekDay]]=1, calendar[[#This Row],[WeekDay]]=7),P931,P931+1)</f>
        <v>665</v>
      </c>
      <c r="S932">
        <f>IF(OR(calendar[[#This Row],[PT_BH]]=1,calendar[[#This Row],[WeekDay]]=1, calendar[[#This Row],[WeekDay]]=7),P931,P931+1)</f>
        <v>665</v>
      </c>
    </row>
    <row r="933" spans="1:19" x14ac:dyDescent="0.25">
      <c r="A933" s="2">
        <v>43667</v>
      </c>
      <c r="B933" s="1">
        <f t="shared" si="73"/>
        <v>30</v>
      </c>
      <c r="C933">
        <f t="shared" si="75"/>
        <v>7</v>
      </c>
      <c r="D933" t="str">
        <f t="shared" si="76"/>
        <v>July</v>
      </c>
      <c r="E933">
        <f t="shared" si="77"/>
        <v>2019</v>
      </c>
      <c r="F933" t="str">
        <f>CONCATENATE(calendar[[#This Row],[Month]],"/",calendar[[#This Row],[Year]])</f>
        <v>7/2019</v>
      </c>
      <c r="G933">
        <f>WEEKDAY(calendar[[#This Row],[Date]],1)</f>
        <v>1</v>
      </c>
      <c r="H933" t="str">
        <f>TEXT(calendar[[#This Row],[WeekDay]],"dddd")</f>
        <v>Sunday</v>
      </c>
      <c r="I933">
        <f>IF((INT(calendar[[#This Row],[Count]]/7)-calendar[[#This Row],[Count]]/7)&lt;0,I932,I932+1)</f>
        <v>134</v>
      </c>
      <c r="J933">
        <f t="shared" si="74"/>
        <v>931</v>
      </c>
      <c r="K933">
        <f>IF(calendar[[#This Row],[Month]]&lt;4,1,IF(calendar[[#This Row],[Month]]&lt;7,2,IF(calendar[[#This Row],[Month]]&lt;10,3,4)))</f>
        <v>3</v>
      </c>
      <c r="L933">
        <f>IFERROR(IF(VLOOKUP(calendar[[#This Row],[Date]],BH!A:A,1,)&lt;&gt;"",1,0),0)</f>
        <v>0</v>
      </c>
      <c r="M933">
        <f>IFERROR(IF(VLOOKUP(calendar[[#This Row],[Date]],BH!C:C,1,)&lt;&gt;"",1,0),0)</f>
        <v>0</v>
      </c>
      <c r="N933">
        <f>IFERROR(IF(VLOOKUP(calendar[[#This Row],[Date]],BH!E:E,1,)&lt;&gt;"",1,0),0)</f>
        <v>0</v>
      </c>
      <c r="O933">
        <f>IFERROR(IF(VLOOKUP(calendar[[#This Row],[Date]],BH!G:G,1,)&lt;&gt;"",1,0),0)</f>
        <v>0</v>
      </c>
      <c r="P933">
        <f>IF(OR(calendar[[#This Row],[UK_BH]]=1,calendar[[#This Row],[WeekDay]]=1, calendar[[#This Row],[WeekDay]]=7),P932,P932+1)</f>
        <v>665</v>
      </c>
      <c r="Q933">
        <f>IF(OR(calendar[[#This Row],[FR_BH]]=1,calendar[[#This Row],[WeekDay]]=1, calendar[[#This Row],[WeekDay]]=7),P932,P932+1)</f>
        <v>665</v>
      </c>
      <c r="R933">
        <f>IF(OR(calendar[[#This Row],[SP_BH]]=1,calendar[[#This Row],[WeekDay]]=1, calendar[[#This Row],[WeekDay]]=7),P932,P932+1)</f>
        <v>665</v>
      </c>
      <c r="S933">
        <f>IF(OR(calendar[[#This Row],[PT_BH]]=1,calendar[[#This Row],[WeekDay]]=1, calendar[[#This Row],[WeekDay]]=7),P932,P932+1)</f>
        <v>665</v>
      </c>
    </row>
    <row r="934" spans="1:19" x14ac:dyDescent="0.25">
      <c r="A934" s="2">
        <v>43668</v>
      </c>
      <c r="B934" s="1">
        <f t="shared" si="73"/>
        <v>30</v>
      </c>
      <c r="C934">
        <f t="shared" si="75"/>
        <v>7</v>
      </c>
      <c r="D934" t="str">
        <f t="shared" si="76"/>
        <v>July</v>
      </c>
      <c r="E934">
        <f t="shared" si="77"/>
        <v>2019</v>
      </c>
      <c r="F934" t="str">
        <f>CONCATENATE(calendar[[#This Row],[Month]],"/",calendar[[#This Row],[Year]])</f>
        <v>7/2019</v>
      </c>
      <c r="G934">
        <f>WEEKDAY(calendar[[#This Row],[Date]],1)</f>
        <v>2</v>
      </c>
      <c r="H934" t="str">
        <f>TEXT(calendar[[#This Row],[WeekDay]],"dddd")</f>
        <v>Monday</v>
      </c>
      <c r="I934">
        <f>IF((INT(calendar[[#This Row],[Count]]/7)-calendar[[#This Row],[Count]]/7)&lt;0,I933,I933+1)</f>
        <v>134</v>
      </c>
      <c r="J934">
        <f t="shared" si="74"/>
        <v>932</v>
      </c>
      <c r="K934">
        <f>IF(calendar[[#This Row],[Month]]&lt;4,1,IF(calendar[[#This Row],[Month]]&lt;7,2,IF(calendar[[#This Row],[Month]]&lt;10,3,4)))</f>
        <v>3</v>
      </c>
      <c r="L934">
        <f>IFERROR(IF(VLOOKUP(calendar[[#This Row],[Date]],BH!A:A,1,)&lt;&gt;"",1,0),0)</f>
        <v>0</v>
      </c>
      <c r="M934">
        <f>IFERROR(IF(VLOOKUP(calendar[[#This Row],[Date]],BH!C:C,1,)&lt;&gt;"",1,0),0)</f>
        <v>0</v>
      </c>
      <c r="N934">
        <f>IFERROR(IF(VLOOKUP(calendar[[#This Row],[Date]],BH!E:E,1,)&lt;&gt;"",1,0),0)</f>
        <v>0</v>
      </c>
      <c r="O934">
        <f>IFERROR(IF(VLOOKUP(calendar[[#This Row],[Date]],BH!G:G,1,)&lt;&gt;"",1,0),0)</f>
        <v>0</v>
      </c>
      <c r="P934">
        <f>IF(OR(calendar[[#This Row],[UK_BH]]=1,calendar[[#This Row],[WeekDay]]=1, calendar[[#This Row],[WeekDay]]=7),P933,P933+1)</f>
        <v>666</v>
      </c>
      <c r="Q934">
        <f>IF(OR(calendar[[#This Row],[FR_BH]]=1,calendar[[#This Row],[WeekDay]]=1, calendar[[#This Row],[WeekDay]]=7),P933,P933+1)</f>
        <v>666</v>
      </c>
      <c r="R934">
        <f>IF(OR(calendar[[#This Row],[SP_BH]]=1,calendar[[#This Row],[WeekDay]]=1, calendar[[#This Row],[WeekDay]]=7),P933,P933+1)</f>
        <v>666</v>
      </c>
      <c r="S934">
        <f>IF(OR(calendar[[#This Row],[PT_BH]]=1,calendar[[#This Row],[WeekDay]]=1, calendar[[#This Row],[WeekDay]]=7),P933,P933+1)</f>
        <v>666</v>
      </c>
    </row>
    <row r="935" spans="1:19" x14ac:dyDescent="0.25">
      <c r="A935" s="2">
        <v>43669</v>
      </c>
      <c r="B935" s="1">
        <f t="shared" si="73"/>
        <v>30</v>
      </c>
      <c r="C935">
        <f t="shared" si="75"/>
        <v>7</v>
      </c>
      <c r="D935" t="str">
        <f t="shared" si="76"/>
        <v>July</v>
      </c>
      <c r="E935">
        <f t="shared" si="77"/>
        <v>2019</v>
      </c>
      <c r="F935" t="str">
        <f>CONCATENATE(calendar[[#This Row],[Month]],"/",calendar[[#This Row],[Year]])</f>
        <v>7/2019</v>
      </c>
      <c r="G935">
        <f>WEEKDAY(calendar[[#This Row],[Date]],1)</f>
        <v>3</v>
      </c>
      <c r="H935" t="str">
        <f>TEXT(calendar[[#This Row],[WeekDay]],"dddd")</f>
        <v>Tuesday</v>
      </c>
      <c r="I935">
        <f>IF((INT(calendar[[#This Row],[Count]]/7)-calendar[[#This Row],[Count]]/7)&lt;0,I934,I934+1)</f>
        <v>134</v>
      </c>
      <c r="J935">
        <f t="shared" si="74"/>
        <v>933</v>
      </c>
      <c r="K935">
        <f>IF(calendar[[#This Row],[Month]]&lt;4,1,IF(calendar[[#This Row],[Month]]&lt;7,2,IF(calendar[[#This Row],[Month]]&lt;10,3,4)))</f>
        <v>3</v>
      </c>
      <c r="L935">
        <f>IFERROR(IF(VLOOKUP(calendar[[#This Row],[Date]],BH!A:A,1,)&lt;&gt;"",1,0),0)</f>
        <v>0</v>
      </c>
      <c r="M935">
        <f>IFERROR(IF(VLOOKUP(calendar[[#This Row],[Date]],BH!C:C,1,)&lt;&gt;"",1,0),0)</f>
        <v>0</v>
      </c>
      <c r="N935">
        <f>IFERROR(IF(VLOOKUP(calendar[[#This Row],[Date]],BH!E:E,1,)&lt;&gt;"",1,0),0)</f>
        <v>0</v>
      </c>
      <c r="O935">
        <f>IFERROR(IF(VLOOKUP(calendar[[#This Row],[Date]],BH!G:G,1,)&lt;&gt;"",1,0),0)</f>
        <v>0</v>
      </c>
      <c r="P935">
        <f>IF(OR(calendar[[#This Row],[UK_BH]]=1,calendar[[#This Row],[WeekDay]]=1, calendar[[#This Row],[WeekDay]]=7),P934,P934+1)</f>
        <v>667</v>
      </c>
      <c r="Q935">
        <f>IF(OR(calendar[[#This Row],[FR_BH]]=1,calendar[[#This Row],[WeekDay]]=1, calendar[[#This Row],[WeekDay]]=7),P934,P934+1)</f>
        <v>667</v>
      </c>
      <c r="R935">
        <f>IF(OR(calendar[[#This Row],[SP_BH]]=1,calendar[[#This Row],[WeekDay]]=1, calendar[[#This Row],[WeekDay]]=7),P934,P934+1)</f>
        <v>667</v>
      </c>
      <c r="S935">
        <f>IF(OR(calendar[[#This Row],[PT_BH]]=1,calendar[[#This Row],[WeekDay]]=1, calendar[[#This Row],[WeekDay]]=7),P934,P934+1)</f>
        <v>667</v>
      </c>
    </row>
    <row r="936" spans="1:19" x14ac:dyDescent="0.25">
      <c r="A936" s="2">
        <v>43670</v>
      </c>
      <c r="B936" s="1">
        <f t="shared" si="73"/>
        <v>30</v>
      </c>
      <c r="C936">
        <f t="shared" si="75"/>
        <v>7</v>
      </c>
      <c r="D936" t="str">
        <f t="shared" si="76"/>
        <v>July</v>
      </c>
      <c r="E936">
        <f t="shared" si="77"/>
        <v>2019</v>
      </c>
      <c r="F936" t="str">
        <f>CONCATENATE(calendar[[#This Row],[Month]],"/",calendar[[#This Row],[Year]])</f>
        <v>7/2019</v>
      </c>
      <c r="G936">
        <f>WEEKDAY(calendar[[#This Row],[Date]],1)</f>
        <v>4</v>
      </c>
      <c r="H936" t="str">
        <f>TEXT(calendar[[#This Row],[WeekDay]],"dddd")</f>
        <v>Wednesday</v>
      </c>
      <c r="I936">
        <f>IF((INT(calendar[[#This Row],[Count]]/7)-calendar[[#This Row],[Count]]/7)&lt;0,I935,I935+1)</f>
        <v>134</v>
      </c>
      <c r="J936">
        <f t="shared" si="74"/>
        <v>934</v>
      </c>
      <c r="K936">
        <f>IF(calendar[[#This Row],[Month]]&lt;4,1,IF(calendar[[#This Row],[Month]]&lt;7,2,IF(calendar[[#This Row],[Month]]&lt;10,3,4)))</f>
        <v>3</v>
      </c>
      <c r="L936">
        <f>IFERROR(IF(VLOOKUP(calendar[[#This Row],[Date]],BH!A:A,1,)&lt;&gt;"",1,0),0)</f>
        <v>0</v>
      </c>
      <c r="M936">
        <f>IFERROR(IF(VLOOKUP(calendar[[#This Row],[Date]],BH!C:C,1,)&lt;&gt;"",1,0),0)</f>
        <v>0</v>
      </c>
      <c r="N936">
        <f>IFERROR(IF(VLOOKUP(calendar[[#This Row],[Date]],BH!E:E,1,)&lt;&gt;"",1,0),0)</f>
        <v>0</v>
      </c>
      <c r="O936">
        <f>IFERROR(IF(VLOOKUP(calendar[[#This Row],[Date]],BH!G:G,1,)&lt;&gt;"",1,0),0)</f>
        <v>0</v>
      </c>
      <c r="P936">
        <f>IF(OR(calendar[[#This Row],[UK_BH]]=1,calendar[[#This Row],[WeekDay]]=1, calendar[[#This Row],[WeekDay]]=7),P935,P935+1)</f>
        <v>668</v>
      </c>
      <c r="Q936">
        <f>IF(OR(calendar[[#This Row],[FR_BH]]=1,calendar[[#This Row],[WeekDay]]=1, calendar[[#This Row],[WeekDay]]=7),P935,P935+1)</f>
        <v>668</v>
      </c>
      <c r="R936">
        <f>IF(OR(calendar[[#This Row],[SP_BH]]=1,calendar[[#This Row],[WeekDay]]=1, calendar[[#This Row],[WeekDay]]=7),P935,P935+1)</f>
        <v>668</v>
      </c>
      <c r="S936">
        <f>IF(OR(calendar[[#This Row],[PT_BH]]=1,calendar[[#This Row],[WeekDay]]=1, calendar[[#This Row],[WeekDay]]=7),P935,P935+1)</f>
        <v>668</v>
      </c>
    </row>
    <row r="937" spans="1:19" x14ac:dyDescent="0.25">
      <c r="A937" s="2">
        <v>43671</v>
      </c>
      <c r="B937" s="1">
        <f t="shared" si="73"/>
        <v>30</v>
      </c>
      <c r="C937">
        <f t="shared" si="75"/>
        <v>7</v>
      </c>
      <c r="D937" t="str">
        <f t="shared" si="76"/>
        <v>July</v>
      </c>
      <c r="E937">
        <f t="shared" si="77"/>
        <v>2019</v>
      </c>
      <c r="F937" t="str">
        <f>CONCATENATE(calendar[[#This Row],[Month]],"/",calendar[[#This Row],[Year]])</f>
        <v>7/2019</v>
      </c>
      <c r="G937">
        <f>WEEKDAY(calendar[[#This Row],[Date]],1)</f>
        <v>5</v>
      </c>
      <c r="H937" t="str">
        <f>TEXT(calendar[[#This Row],[WeekDay]],"dddd")</f>
        <v>Thursday</v>
      </c>
      <c r="I937">
        <f>IF((INT(calendar[[#This Row],[Count]]/7)-calendar[[#This Row],[Count]]/7)&lt;0,I936,I936+1)</f>
        <v>134</v>
      </c>
      <c r="J937">
        <f t="shared" si="74"/>
        <v>935</v>
      </c>
      <c r="K937">
        <f>IF(calendar[[#This Row],[Month]]&lt;4,1,IF(calendar[[#This Row],[Month]]&lt;7,2,IF(calendar[[#This Row],[Month]]&lt;10,3,4)))</f>
        <v>3</v>
      </c>
      <c r="L937">
        <f>IFERROR(IF(VLOOKUP(calendar[[#This Row],[Date]],BH!A:A,1,)&lt;&gt;"",1,0),0)</f>
        <v>0</v>
      </c>
      <c r="M937">
        <f>IFERROR(IF(VLOOKUP(calendar[[#This Row],[Date]],BH!C:C,1,)&lt;&gt;"",1,0),0)</f>
        <v>0</v>
      </c>
      <c r="N937">
        <f>IFERROR(IF(VLOOKUP(calendar[[#This Row],[Date]],BH!E:E,1,)&lt;&gt;"",1,0),0)</f>
        <v>0</v>
      </c>
      <c r="O937">
        <f>IFERROR(IF(VLOOKUP(calendar[[#This Row],[Date]],BH!G:G,1,)&lt;&gt;"",1,0),0)</f>
        <v>0</v>
      </c>
      <c r="P937">
        <f>IF(OR(calendar[[#This Row],[UK_BH]]=1,calendar[[#This Row],[WeekDay]]=1, calendar[[#This Row],[WeekDay]]=7),P936,P936+1)</f>
        <v>669</v>
      </c>
      <c r="Q937">
        <f>IF(OR(calendar[[#This Row],[FR_BH]]=1,calendar[[#This Row],[WeekDay]]=1, calendar[[#This Row],[WeekDay]]=7),P936,P936+1)</f>
        <v>669</v>
      </c>
      <c r="R937">
        <f>IF(OR(calendar[[#This Row],[SP_BH]]=1,calendar[[#This Row],[WeekDay]]=1, calendar[[#This Row],[WeekDay]]=7),P936,P936+1)</f>
        <v>669</v>
      </c>
      <c r="S937">
        <f>IF(OR(calendar[[#This Row],[PT_BH]]=1,calendar[[#This Row],[WeekDay]]=1, calendar[[#This Row],[WeekDay]]=7),P936,P936+1)</f>
        <v>669</v>
      </c>
    </row>
    <row r="938" spans="1:19" x14ac:dyDescent="0.25">
      <c r="A938" s="2">
        <v>43672</v>
      </c>
      <c r="B938" s="1">
        <f t="shared" si="73"/>
        <v>30</v>
      </c>
      <c r="C938">
        <f t="shared" si="75"/>
        <v>7</v>
      </c>
      <c r="D938" t="str">
        <f t="shared" si="76"/>
        <v>July</v>
      </c>
      <c r="E938">
        <f t="shared" si="77"/>
        <v>2019</v>
      </c>
      <c r="F938" t="str">
        <f>CONCATENATE(calendar[[#This Row],[Month]],"/",calendar[[#This Row],[Year]])</f>
        <v>7/2019</v>
      </c>
      <c r="G938">
        <f>WEEKDAY(calendar[[#This Row],[Date]],1)</f>
        <v>6</v>
      </c>
      <c r="H938" t="str">
        <f>TEXT(calendar[[#This Row],[WeekDay]],"dddd")</f>
        <v>Friday</v>
      </c>
      <c r="I938">
        <f>IF((INT(calendar[[#This Row],[Count]]/7)-calendar[[#This Row],[Count]]/7)&lt;0,I937,I937+1)</f>
        <v>134</v>
      </c>
      <c r="J938">
        <f t="shared" si="74"/>
        <v>936</v>
      </c>
      <c r="K938">
        <f>IF(calendar[[#This Row],[Month]]&lt;4,1,IF(calendar[[#This Row],[Month]]&lt;7,2,IF(calendar[[#This Row],[Month]]&lt;10,3,4)))</f>
        <v>3</v>
      </c>
      <c r="L938">
        <f>IFERROR(IF(VLOOKUP(calendar[[#This Row],[Date]],BH!A:A,1,)&lt;&gt;"",1,0),0)</f>
        <v>0</v>
      </c>
      <c r="M938">
        <f>IFERROR(IF(VLOOKUP(calendar[[#This Row],[Date]],BH!C:C,1,)&lt;&gt;"",1,0),0)</f>
        <v>0</v>
      </c>
      <c r="N938">
        <f>IFERROR(IF(VLOOKUP(calendar[[#This Row],[Date]],BH!E:E,1,)&lt;&gt;"",1,0),0)</f>
        <v>0</v>
      </c>
      <c r="O938">
        <f>IFERROR(IF(VLOOKUP(calendar[[#This Row],[Date]],BH!G:G,1,)&lt;&gt;"",1,0),0)</f>
        <v>0</v>
      </c>
      <c r="P938">
        <f>IF(OR(calendar[[#This Row],[UK_BH]]=1,calendar[[#This Row],[WeekDay]]=1, calendar[[#This Row],[WeekDay]]=7),P937,P937+1)</f>
        <v>670</v>
      </c>
      <c r="Q938">
        <f>IF(OR(calendar[[#This Row],[FR_BH]]=1,calendar[[#This Row],[WeekDay]]=1, calendar[[#This Row],[WeekDay]]=7),P937,P937+1)</f>
        <v>670</v>
      </c>
      <c r="R938">
        <f>IF(OR(calendar[[#This Row],[SP_BH]]=1,calendar[[#This Row],[WeekDay]]=1, calendar[[#This Row],[WeekDay]]=7),P937,P937+1)</f>
        <v>670</v>
      </c>
      <c r="S938">
        <f>IF(OR(calendar[[#This Row],[PT_BH]]=1,calendar[[#This Row],[WeekDay]]=1, calendar[[#This Row],[WeekDay]]=7),P937,P937+1)</f>
        <v>670</v>
      </c>
    </row>
    <row r="939" spans="1:19" x14ac:dyDescent="0.25">
      <c r="A939" s="2">
        <v>43673</v>
      </c>
      <c r="B939" s="1">
        <f t="shared" si="73"/>
        <v>30</v>
      </c>
      <c r="C939">
        <f t="shared" si="75"/>
        <v>7</v>
      </c>
      <c r="D939" t="str">
        <f t="shared" si="76"/>
        <v>July</v>
      </c>
      <c r="E939">
        <f t="shared" si="77"/>
        <v>2019</v>
      </c>
      <c r="F939" t="str">
        <f>CONCATENATE(calendar[[#This Row],[Month]],"/",calendar[[#This Row],[Year]])</f>
        <v>7/2019</v>
      </c>
      <c r="G939">
        <f>WEEKDAY(calendar[[#This Row],[Date]],1)</f>
        <v>7</v>
      </c>
      <c r="H939" t="str">
        <f>TEXT(calendar[[#This Row],[WeekDay]],"dddd")</f>
        <v>Saturday</v>
      </c>
      <c r="I939">
        <f>IF((INT(calendar[[#This Row],[Count]]/7)-calendar[[#This Row],[Count]]/7)&lt;0,I938,I938+1)</f>
        <v>134</v>
      </c>
      <c r="J939">
        <f t="shared" si="74"/>
        <v>937</v>
      </c>
      <c r="K939">
        <f>IF(calendar[[#This Row],[Month]]&lt;4,1,IF(calendar[[#This Row],[Month]]&lt;7,2,IF(calendar[[#This Row],[Month]]&lt;10,3,4)))</f>
        <v>3</v>
      </c>
      <c r="L939">
        <f>IFERROR(IF(VLOOKUP(calendar[[#This Row],[Date]],BH!A:A,1,)&lt;&gt;"",1,0),0)</f>
        <v>0</v>
      </c>
      <c r="M939">
        <f>IFERROR(IF(VLOOKUP(calendar[[#This Row],[Date]],BH!C:C,1,)&lt;&gt;"",1,0),0)</f>
        <v>0</v>
      </c>
      <c r="N939">
        <f>IFERROR(IF(VLOOKUP(calendar[[#This Row],[Date]],BH!E:E,1,)&lt;&gt;"",1,0),0)</f>
        <v>0</v>
      </c>
      <c r="O939">
        <f>IFERROR(IF(VLOOKUP(calendar[[#This Row],[Date]],BH!G:G,1,)&lt;&gt;"",1,0),0)</f>
        <v>0</v>
      </c>
      <c r="P939">
        <f>IF(OR(calendar[[#This Row],[UK_BH]]=1,calendar[[#This Row],[WeekDay]]=1, calendar[[#This Row],[WeekDay]]=7),P938,P938+1)</f>
        <v>670</v>
      </c>
      <c r="Q939">
        <f>IF(OR(calendar[[#This Row],[FR_BH]]=1,calendar[[#This Row],[WeekDay]]=1, calendar[[#This Row],[WeekDay]]=7),P938,P938+1)</f>
        <v>670</v>
      </c>
      <c r="R939">
        <f>IF(OR(calendar[[#This Row],[SP_BH]]=1,calendar[[#This Row],[WeekDay]]=1, calendar[[#This Row],[WeekDay]]=7),P938,P938+1)</f>
        <v>670</v>
      </c>
      <c r="S939">
        <f>IF(OR(calendar[[#This Row],[PT_BH]]=1,calendar[[#This Row],[WeekDay]]=1, calendar[[#This Row],[WeekDay]]=7),P938,P938+1)</f>
        <v>670</v>
      </c>
    </row>
    <row r="940" spans="1:19" x14ac:dyDescent="0.25">
      <c r="A940" s="2">
        <v>43674</v>
      </c>
      <c r="B940" s="1">
        <f t="shared" si="73"/>
        <v>31</v>
      </c>
      <c r="C940">
        <f t="shared" si="75"/>
        <v>7</v>
      </c>
      <c r="D940" t="str">
        <f t="shared" si="76"/>
        <v>July</v>
      </c>
      <c r="E940">
        <f t="shared" si="77"/>
        <v>2019</v>
      </c>
      <c r="F940" t="str">
        <f>CONCATENATE(calendar[[#This Row],[Month]],"/",calendar[[#This Row],[Year]])</f>
        <v>7/2019</v>
      </c>
      <c r="G940">
        <f>WEEKDAY(calendar[[#This Row],[Date]],1)</f>
        <v>1</v>
      </c>
      <c r="H940" t="str">
        <f>TEXT(calendar[[#This Row],[WeekDay]],"dddd")</f>
        <v>Sunday</v>
      </c>
      <c r="I940">
        <f>IF((INT(calendar[[#This Row],[Count]]/7)-calendar[[#This Row],[Count]]/7)&lt;0,I939,I939+1)</f>
        <v>135</v>
      </c>
      <c r="J940">
        <f t="shared" si="74"/>
        <v>938</v>
      </c>
      <c r="K940">
        <f>IF(calendar[[#This Row],[Month]]&lt;4,1,IF(calendar[[#This Row],[Month]]&lt;7,2,IF(calendar[[#This Row],[Month]]&lt;10,3,4)))</f>
        <v>3</v>
      </c>
      <c r="L940">
        <f>IFERROR(IF(VLOOKUP(calendar[[#This Row],[Date]],BH!A:A,1,)&lt;&gt;"",1,0),0)</f>
        <v>0</v>
      </c>
      <c r="M940">
        <f>IFERROR(IF(VLOOKUP(calendar[[#This Row],[Date]],BH!C:C,1,)&lt;&gt;"",1,0),0)</f>
        <v>0</v>
      </c>
      <c r="N940">
        <f>IFERROR(IF(VLOOKUP(calendar[[#This Row],[Date]],BH!E:E,1,)&lt;&gt;"",1,0),0)</f>
        <v>0</v>
      </c>
      <c r="O940">
        <f>IFERROR(IF(VLOOKUP(calendar[[#This Row],[Date]],BH!G:G,1,)&lt;&gt;"",1,0),0)</f>
        <v>0</v>
      </c>
      <c r="P940">
        <f>IF(OR(calendar[[#This Row],[UK_BH]]=1,calendar[[#This Row],[WeekDay]]=1, calendar[[#This Row],[WeekDay]]=7),P939,P939+1)</f>
        <v>670</v>
      </c>
      <c r="Q940">
        <f>IF(OR(calendar[[#This Row],[FR_BH]]=1,calendar[[#This Row],[WeekDay]]=1, calendar[[#This Row],[WeekDay]]=7),P939,P939+1)</f>
        <v>670</v>
      </c>
      <c r="R940">
        <f>IF(OR(calendar[[#This Row],[SP_BH]]=1,calendar[[#This Row],[WeekDay]]=1, calendar[[#This Row],[WeekDay]]=7),P939,P939+1)</f>
        <v>670</v>
      </c>
      <c r="S940">
        <f>IF(OR(calendar[[#This Row],[PT_BH]]=1,calendar[[#This Row],[WeekDay]]=1, calendar[[#This Row],[WeekDay]]=7),P939,P939+1)</f>
        <v>670</v>
      </c>
    </row>
    <row r="941" spans="1:19" x14ac:dyDescent="0.25">
      <c r="A941" s="2">
        <v>43675</v>
      </c>
      <c r="B941" s="1">
        <f t="shared" si="73"/>
        <v>31</v>
      </c>
      <c r="C941">
        <f t="shared" si="75"/>
        <v>7</v>
      </c>
      <c r="D941" t="str">
        <f t="shared" si="76"/>
        <v>July</v>
      </c>
      <c r="E941">
        <f t="shared" si="77"/>
        <v>2019</v>
      </c>
      <c r="F941" t="str">
        <f>CONCATENATE(calendar[[#This Row],[Month]],"/",calendar[[#This Row],[Year]])</f>
        <v>7/2019</v>
      </c>
      <c r="G941">
        <f>WEEKDAY(calendar[[#This Row],[Date]],1)</f>
        <v>2</v>
      </c>
      <c r="H941" t="str">
        <f>TEXT(calendar[[#This Row],[WeekDay]],"dddd")</f>
        <v>Monday</v>
      </c>
      <c r="I941">
        <f>IF((INT(calendar[[#This Row],[Count]]/7)-calendar[[#This Row],[Count]]/7)&lt;0,I940,I940+1)</f>
        <v>135</v>
      </c>
      <c r="J941">
        <f t="shared" si="74"/>
        <v>939</v>
      </c>
      <c r="K941">
        <f>IF(calendar[[#This Row],[Month]]&lt;4,1,IF(calendar[[#This Row],[Month]]&lt;7,2,IF(calendar[[#This Row],[Month]]&lt;10,3,4)))</f>
        <v>3</v>
      </c>
      <c r="L941">
        <f>IFERROR(IF(VLOOKUP(calendar[[#This Row],[Date]],BH!A:A,1,)&lt;&gt;"",1,0),0)</f>
        <v>0</v>
      </c>
      <c r="M941">
        <f>IFERROR(IF(VLOOKUP(calendar[[#This Row],[Date]],BH!C:C,1,)&lt;&gt;"",1,0),0)</f>
        <v>0</v>
      </c>
      <c r="N941">
        <f>IFERROR(IF(VLOOKUP(calendar[[#This Row],[Date]],BH!E:E,1,)&lt;&gt;"",1,0),0)</f>
        <v>0</v>
      </c>
      <c r="O941">
        <f>IFERROR(IF(VLOOKUP(calendar[[#This Row],[Date]],BH!G:G,1,)&lt;&gt;"",1,0),0)</f>
        <v>0</v>
      </c>
      <c r="P941">
        <f>IF(OR(calendar[[#This Row],[UK_BH]]=1,calendar[[#This Row],[WeekDay]]=1, calendar[[#This Row],[WeekDay]]=7),P940,P940+1)</f>
        <v>671</v>
      </c>
      <c r="Q941">
        <f>IF(OR(calendar[[#This Row],[FR_BH]]=1,calendar[[#This Row],[WeekDay]]=1, calendar[[#This Row],[WeekDay]]=7),P940,P940+1)</f>
        <v>671</v>
      </c>
      <c r="R941">
        <f>IF(OR(calendar[[#This Row],[SP_BH]]=1,calendar[[#This Row],[WeekDay]]=1, calendar[[#This Row],[WeekDay]]=7),P940,P940+1)</f>
        <v>671</v>
      </c>
      <c r="S941">
        <f>IF(OR(calendar[[#This Row],[PT_BH]]=1,calendar[[#This Row],[WeekDay]]=1, calendar[[#This Row],[WeekDay]]=7),P940,P940+1)</f>
        <v>671</v>
      </c>
    </row>
    <row r="942" spans="1:19" x14ac:dyDescent="0.25">
      <c r="A942" s="2">
        <v>43676</v>
      </c>
      <c r="B942" s="1">
        <f t="shared" si="73"/>
        <v>31</v>
      </c>
      <c r="C942">
        <f t="shared" si="75"/>
        <v>7</v>
      </c>
      <c r="D942" t="str">
        <f t="shared" si="76"/>
        <v>July</v>
      </c>
      <c r="E942">
        <f t="shared" si="77"/>
        <v>2019</v>
      </c>
      <c r="F942" t="str">
        <f>CONCATENATE(calendar[[#This Row],[Month]],"/",calendar[[#This Row],[Year]])</f>
        <v>7/2019</v>
      </c>
      <c r="G942">
        <f>WEEKDAY(calendar[[#This Row],[Date]],1)</f>
        <v>3</v>
      </c>
      <c r="H942" t="str">
        <f>TEXT(calendar[[#This Row],[WeekDay]],"dddd")</f>
        <v>Tuesday</v>
      </c>
      <c r="I942">
        <f>IF((INT(calendar[[#This Row],[Count]]/7)-calendar[[#This Row],[Count]]/7)&lt;0,I941,I941+1)</f>
        <v>135</v>
      </c>
      <c r="J942">
        <f t="shared" si="74"/>
        <v>940</v>
      </c>
      <c r="K942">
        <f>IF(calendar[[#This Row],[Month]]&lt;4,1,IF(calendar[[#This Row],[Month]]&lt;7,2,IF(calendar[[#This Row],[Month]]&lt;10,3,4)))</f>
        <v>3</v>
      </c>
      <c r="L942">
        <f>IFERROR(IF(VLOOKUP(calendar[[#This Row],[Date]],BH!A:A,1,)&lt;&gt;"",1,0),0)</f>
        <v>0</v>
      </c>
      <c r="M942">
        <f>IFERROR(IF(VLOOKUP(calendar[[#This Row],[Date]],BH!C:C,1,)&lt;&gt;"",1,0),0)</f>
        <v>0</v>
      </c>
      <c r="N942">
        <f>IFERROR(IF(VLOOKUP(calendar[[#This Row],[Date]],BH!E:E,1,)&lt;&gt;"",1,0),0)</f>
        <v>0</v>
      </c>
      <c r="O942">
        <f>IFERROR(IF(VLOOKUP(calendar[[#This Row],[Date]],BH!G:G,1,)&lt;&gt;"",1,0),0)</f>
        <v>0</v>
      </c>
      <c r="P942">
        <f>IF(OR(calendar[[#This Row],[UK_BH]]=1,calendar[[#This Row],[WeekDay]]=1, calendar[[#This Row],[WeekDay]]=7),P941,P941+1)</f>
        <v>672</v>
      </c>
      <c r="Q942">
        <f>IF(OR(calendar[[#This Row],[FR_BH]]=1,calendar[[#This Row],[WeekDay]]=1, calendar[[#This Row],[WeekDay]]=7),P941,P941+1)</f>
        <v>672</v>
      </c>
      <c r="R942">
        <f>IF(OR(calendar[[#This Row],[SP_BH]]=1,calendar[[#This Row],[WeekDay]]=1, calendar[[#This Row],[WeekDay]]=7),P941,P941+1)</f>
        <v>672</v>
      </c>
      <c r="S942">
        <f>IF(OR(calendar[[#This Row],[PT_BH]]=1,calendar[[#This Row],[WeekDay]]=1, calendar[[#This Row],[WeekDay]]=7),P941,P941+1)</f>
        <v>672</v>
      </c>
    </row>
    <row r="943" spans="1:19" x14ac:dyDescent="0.25">
      <c r="A943" s="2">
        <v>43677</v>
      </c>
      <c r="B943" s="1">
        <f t="shared" si="73"/>
        <v>31</v>
      </c>
      <c r="C943">
        <f t="shared" si="75"/>
        <v>7</v>
      </c>
      <c r="D943" t="str">
        <f t="shared" si="76"/>
        <v>July</v>
      </c>
      <c r="E943">
        <f t="shared" si="77"/>
        <v>2019</v>
      </c>
      <c r="F943" t="str">
        <f>CONCATENATE(calendar[[#This Row],[Month]],"/",calendar[[#This Row],[Year]])</f>
        <v>7/2019</v>
      </c>
      <c r="G943">
        <f>WEEKDAY(calendar[[#This Row],[Date]],1)</f>
        <v>4</v>
      </c>
      <c r="H943" t="str">
        <f>TEXT(calendar[[#This Row],[WeekDay]],"dddd")</f>
        <v>Wednesday</v>
      </c>
      <c r="I943">
        <f>IF((INT(calendar[[#This Row],[Count]]/7)-calendar[[#This Row],[Count]]/7)&lt;0,I942,I942+1)</f>
        <v>135</v>
      </c>
      <c r="J943">
        <f t="shared" si="74"/>
        <v>941</v>
      </c>
      <c r="K943">
        <f>IF(calendar[[#This Row],[Month]]&lt;4,1,IF(calendar[[#This Row],[Month]]&lt;7,2,IF(calendar[[#This Row],[Month]]&lt;10,3,4)))</f>
        <v>3</v>
      </c>
      <c r="L943">
        <f>IFERROR(IF(VLOOKUP(calendar[[#This Row],[Date]],BH!A:A,1,)&lt;&gt;"",1,0),0)</f>
        <v>0</v>
      </c>
      <c r="M943">
        <f>IFERROR(IF(VLOOKUP(calendar[[#This Row],[Date]],BH!C:C,1,)&lt;&gt;"",1,0),0)</f>
        <v>0</v>
      </c>
      <c r="N943">
        <f>IFERROR(IF(VLOOKUP(calendar[[#This Row],[Date]],BH!E:E,1,)&lt;&gt;"",1,0),0)</f>
        <v>0</v>
      </c>
      <c r="O943">
        <f>IFERROR(IF(VLOOKUP(calendar[[#This Row],[Date]],BH!G:G,1,)&lt;&gt;"",1,0),0)</f>
        <v>0</v>
      </c>
      <c r="P943">
        <f>IF(OR(calendar[[#This Row],[UK_BH]]=1,calendar[[#This Row],[WeekDay]]=1, calendar[[#This Row],[WeekDay]]=7),P942,P942+1)</f>
        <v>673</v>
      </c>
      <c r="Q943">
        <f>IF(OR(calendar[[#This Row],[FR_BH]]=1,calendar[[#This Row],[WeekDay]]=1, calendar[[#This Row],[WeekDay]]=7),P942,P942+1)</f>
        <v>673</v>
      </c>
      <c r="R943">
        <f>IF(OR(calendar[[#This Row],[SP_BH]]=1,calendar[[#This Row],[WeekDay]]=1, calendar[[#This Row],[WeekDay]]=7),P942,P942+1)</f>
        <v>673</v>
      </c>
      <c r="S943">
        <f>IF(OR(calendar[[#This Row],[PT_BH]]=1,calendar[[#This Row],[WeekDay]]=1, calendar[[#This Row],[WeekDay]]=7),P942,P942+1)</f>
        <v>673</v>
      </c>
    </row>
    <row r="944" spans="1:19" x14ac:dyDescent="0.25">
      <c r="A944" s="2">
        <v>43678</v>
      </c>
      <c r="B944" s="1">
        <f t="shared" si="73"/>
        <v>31</v>
      </c>
      <c r="C944">
        <f t="shared" si="75"/>
        <v>8</v>
      </c>
      <c r="D944" t="str">
        <f t="shared" si="76"/>
        <v>August</v>
      </c>
      <c r="E944">
        <f t="shared" si="77"/>
        <v>2019</v>
      </c>
      <c r="F944" t="str">
        <f>CONCATENATE(calendar[[#This Row],[Month]],"/",calendar[[#This Row],[Year]])</f>
        <v>8/2019</v>
      </c>
      <c r="G944">
        <f>WEEKDAY(calendar[[#This Row],[Date]],1)</f>
        <v>5</v>
      </c>
      <c r="H944" t="str">
        <f>TEXT(calendar[[#This Row],[WeekDay]],"dddd")</f>
        <v>Thursday</v>
      </c>
      <c r="I944">
        <f>IF((INT(calendar[[#This Row],[Count]]/7)-calendar[[#This Row],[Count]]/7)&lt;0,I943,I943+1)</f>
        <v>135</v>
      </c>
      <c r="J944">
        <f t="shared" si="74"/>
        <v>942</v>
      </c>
      <c r="K944">
        <f>IF(calendar[[#This Row],[Month]]&lt;4,1,IF(calendar[[#This Row],[Month]]&lt;7,2,IF(calendar[[#This Row],[Month]]&lt;10,3,4)))</f>
        <v>3</v>
      </c>
      <c r="L944">
        <f>IFERROR(IF(VLOOKUP(calendar[[#This Row],[Date]],BH!A:A,1,)&lt;&gt;"",1,0),0)</f>
        <v>0</v>
      </c>
      <c r="M944">
        <f>IFERROR(IF(VLOOKUP(calendar[[#This Row],[Date]],BH!C:C,1,)&lt;&gt;"",1,0),0)</f>
        <v>0</v>
      </c>
      <c r="N944">
        <f>IFERROR(IF(VLOOKUP(calendar[[#This Row],[Date]],BH!E:E,1,)&lt;&gt;"",1,0),0)</f>
        <v>0</v>
      </c>
      <c r="O944">
        <f>IFERROR(IF(VLOOKUP(calendar[[#This Row],[Date]],BH!G:G,1,)&lt;&gt;"",1,0),0)</f>
        <v>0</v>
      </c>
      <c r="P944">
        <f>IF(OR(calendar[[#This Row],[UK_BH]]=1,calendar[[#This Row],[WeekDay]]=1, calendar[[#This Row],[WeekDay]]=7),P943,P943+1)</f>
        <v>674</v>
      </c>
      <c r="Q944">
        <f>IF(OR(calendar[[#This Row],[FR_BH]]=1,calendar[[#This Row],[WeekDay]]=1, calendar[[#This Row],[WeekDay]]=7),P943,P943+1)</f>
        <v>674</v>
      </c>
      <c r="R944">
        <f>IF(OR(calendar[[#This Row],[SP_BH]]=1,calendar[[#This Row],[WeekDay]]=1, calendar[[#This Row],[WeekDay]]=7),P943,P943+1)</f>
        <v>674</v>
      </c>
      <c r="S944">
        <f>IF(OR(calendar[[#This Row],[PT_BH]]=1,calendar[[#This Row],[WeekDay]]=1, calendar[[#This Row],[WeekDay]]=7),P943,P943+1)</f>
        <v>674</v>
      </c>
    </row>
    <row r="945" spans="1:19" x14ac:dyDescent="0.25">
      <c r="A945" s="2">
        <v>43679</v>
      </c>
      <c r="B945" s="1">
        <f t="shared" si="73"/>
        <v>31</v>
      </c>
      <c r="C945">
        <f t="shared" si="75"/>
        <v>8</v>
      </c>
      <c r="D945" t="str">
        <f t="shared" si="76"/>
        <v>August</v>
      </c>
      <c r="E945">
        <f t="shared" si="77"/>
        <v>2019</v>
      </c>
      <c r="F945" t="str">
        <f>CONCATENATE(calendar[[#This Row],[Month]],"/",calendar[[#This Row],[Year]])</f>
        <v>8/2019</v>
      </c>
      <c r="G945">
        <f>WEEKDAY(calendar[[#This Row],[Date]],1)</f>
        <v>6</v>
      </c>
      <c r="H945" t="str">
        <f>TEXT(calendar[[#This Row],[WeekDay]],"dddd")</f>
        <v>Friday</v>
      </c>
      <c r="I945">
        <f>IF((INT(calendar[[#This Row],[Count]]/7)-calendar[[#This Row],[Count]]/7)&lt;0,I944,I944+1)</f>
        <v>135</v>
      </c>
      <c r="J945">
        <f t="shared" si="74"/>
        <v>943</v>
      </c>
      <c r="K945">
        <f>IF(calendar[[#This Row],[Month]]&lt;4,1,IF(calendar[[#This Row],[Month]]&lt;7,2,IF(calendar[[#This Row],[Month]]&lt;10,3,4)))</f>
        <v>3</v>
      </c>
      <c r="L945">
        <f>IFERROR(IF(VLOOKUP(calendar[[#This Row],[Date]],BH!A:A,1,)&lt;&gt;"",1,0),0)</f>
        <v>0</v>
      </c>
      <c r="M945">
        <f>IFERROR(IF(VLOOKUP(calendar[[#This Row],[Date]],BH!C:C,1,)&lt;&gt;"",1,0),0)</f>
        <v>0</v>
      </c>
      <c r="N945">
        <f>IFERROR(IF(VLOOKUP(calendar[[#This Row],[Date]],BH!E:E,1,)&lt;&gt;"",1,0),0)</f>
        <v>0</v>
      </c>
      <c r="O945">
        <f>IFERROR(IF(VLOOKUP(calendar[[#This Row],[Date]],BH!G:G,1,)&lt;&gt;"",1,0),0)</f>
        <v>0</v>
      </c>
      <c r="P945">
        <f>IF(OR(calendar[[#This Row],[UK_BH]]=1,calendar[[#This Row],[WeekDay]]=1, calendar[[#This Row],[WeekDay]]=7),P944,P944+1)</f>
        <v>675</v>
      </c>
      <c r="Q945">
        <f>IF(OR(calendar[[#This Row],[FR_BH]]=1,calendar[[#This Row],[WeekDay]]=1, calendar[[#This Row],[WeekDay]]=7),P944,P944+1)</f>
        <v>675</v>
      </c>
      <c r="R945">
        <f>IF(OR(calendar[[#This Row],[SP_BH]]=1,calendar[[#This Row],[WeekDay]]=1, calendar[[#This Row],[WeekDay]]=7),P944,P944+1)</f>
        <v>675</v>
      </c>
      <c r="S945">
        <f>IF(OR(calendar[[#This Row],[PT_BH]]=1,calendar[[#This Row],[WeekDay]]=1, calendar[[#This Row],[WeekDay]]=7),P944,P944+1)</f>
        <v>675</v>
      </c>
    </row>
    <row r="946" spans="1:19" x14ac:dyDescent="0.25">
      <c r="A946" s="2">
        <v>43680</v>
      </c>
      <c r="B946" s="1">
        <f t="shared" si="73"/>
        <v>31</v>
      </c>
      <c r="C946">
        <f t="shared" si="75"/>
        <v>8</v>
      </c>
      <c r="D946" t="str">
        <f t="shared" si="76"/>
        <v>August</v>
      </c>
      <c r="E946">
        <f t="shared" si="77"/>
        <v>2019</v>
      </c>
      <c r="F946" t="str">
        <f>CONCATENATE(calendar[[#This Row],[Month]],"/",calendar[[#This Row],[Year]])</f>
        <v>8/2019</v>
      </c>
      <c r="G946">
        <f>WEEKDAY(calendar[[#This Row],[Date]],1)</f>
        <v>7</v>
      </c>
      <c r="H946" t="str">
        <f>TEXT(calendar[[#This Row],[WeekDay]],"dddd")</f>
        <v>Saturday</v>
      </c>
      <c r="I946">
        <f>IF((INT(calendar[[#This Row],[Count]]/7)-calendar[[#This Row],[Count]]/7)&lt;0,I945,I945+1)</f>
        <v>135</v>
      </c>
      <c r="J946">
        <f t="shared" si="74"/>
        <v>944</v>
      </c>
      <c r="K946">
        <f>IF(calendar[[#This Row],[Month]]&lt;4,1,IF(calendar[[#This Row],[Month]]&lt;7,2,IF(calendar[[#This Row],[Month]]&lt;10,3,4)))</f>
        <v>3</v>
      </c>
      <c r="L946">
        <f>IFERROR(IF(VLOOKUP(calendar[[#This Row],[Date]],BH!A:A,1,)&lt;&gt;"",1,0),0)</f>
        <v>0</v>
      </c>
      <c r="M946">
        <f>IFERROR(IF(VLOOKUP(calendar[[#This Row],[Date]],BH!C:C,1,)&lt;&gt;"",1,0),0)</f>
        <v>0</v>
      </c>
      <c r="N946">
        <f>IFERROR(IF(VLOOKUP(calendar[[#This Row],[Date]],BH!E:E,1,)&lt;&gt;"",1,0),0)</f>
        <v>0</v>
      </c>
      <c r="O946">
        <f>IFERROR(IF(VLOOKUP(calendar[[#This Row],[Date]],BH!G:G,1,)&lt;&gt;"",1,0),0)</f>
        <v>0</v>
      </c>
      <c r="P946">
        <f>IF(OR(calendar[[#This Row],[UK_BH]]=1,calendar[[#This Row],[WeekDay]]=1, calendar[[#This Row],[WeekDay]]=7),P945,P945+1)</f>
        <v>675</v>
      </c>
      <c r="Q946">
        <f>IF(OR(calendar[[#This Row],[FR_BH]]=1,calendar[[#This Row],[WeekDay]]=1, calendar[[#This Row],[WeekDay]]=7),P945,P945+1)</f>
        <v>675</v>
      </c>
      <c r="R946">
        <f>IF(OR(calendar[[#This Row],[SP_BH]]=1,calendar[[#This Row],[WeekDay]]=1, calendar[[#This Row],[WeekDay]]=7),P945,P945+1)</f>
        <v>675</v>
      </c>
      <c r="S946">
        <f>IF(OR(calendar[[#This Row],[PT_BH]]=1,calendar[[#This Row],[WeekDay]]=1, calendar[[#This Row],[WeekDay]]=7),P945,P945+1)</f>
        <v>675</v>
      </c>
    </row>
    <row r="947" spans="1:19" x14ac:dyDescent="0.25">
      <c r="A947" s="2">
        <v>43681</v>
      </c>
      <c r="B947" s="1">
        <f t="shared" si="73"/>
        <v>32</v>
      </c>
      <c r="C947">
        <f t="shared" si="75"/>
        <v>8</v>
      </c>
      <c r="D947" t="str">
        <f t="shared" si="76"/>
        <v>August</v>
      </c>
      <c r="E947">
        <f t="shared" si="77"/>
        <v>2019</v>
      </c>
      <c r="F947" t="str">
        <f>CONCATENATE(calendar[[#This Row],[Month]],"/",calendar[[#This Row],[Year]])</f>
        <v>8/2019</v>
      </c>
      <c r="G947">
        <f>WEEKDAY(calendar[[#This Row],[Date]],1)</f>
        <v>1</v>
      </c>
      <c r="H947" t="str">
        <f>TEXT(calendar[[#This Row],[WeekDay]],"dddd")</f>
        <v>Sunday</v>
      </c>
      <c r="I947">
        <f>IF((INT(calendar[[#This Row],[Count]]/7)-calendar[[#This Row],[Count]]/7)&lt;0,I946,I946+1)</f>
        <v>136</v>
      </c>
      <c r="J947">
        <f t="shared" si="74"/>
        <v>945</v>
      </c>
      <c r="K947">
        <f>IF(calendar[[#This Row],[Month]]&lt;4,1,IF(calendar[[#This Row],[Month]]&lt;7,2,IF(calendar[[#This Row],[Month]]&lt;10,3,4)))</f>
        <v>3</v>
      </c>
      <c r="L947">
        <f>IFERROR(IF(VLOOKUP(calendar[[#This Row],[Date]],BH!A:A,1,)&lt;&gt;"",1,0),0)</f>
        <v>0</v>
      </c>
      <c r="M947">
        <f>IFERROR(IF(VLOOKUP(calendar[[#This Row],[Date]],BH!C:C,1,)&lt;&gt;"",1,0),0)</f>
        <v>0</v>
      </c>
      <c r="N947">
        <f>IFERROR(IF(VLOOKUP(calendar[[#This Row],[Date]],BH!E:E,1,)&lt;&gt;"",1,0),0)</f>
        <v>0</v>
      </c>
      <c r="O947">
        <f>IFERROR(IF(VLOOKUP(calendar[[#This Row],[Date]],BH!G:G,1,)&lt;&gt;"",1,0),0)</f>
        <v>0</v>
      </c>
      <c r="P947">
        <f>IF(OR(calendar[[#This Row],[UK_BH]]=1,calendar[[#This Row],[WeekDay]]=1, calendar[[#This Row],[WeekDay]]=7),P946,P946+1)</f>
        <v>675</v>
      </c>
      <c r="Q947">
        <f>IF(OR(calendar[[#This Row],[FR_BH]]=1,calendar[[#This Row],[WeekDay]]=1, calendar[[#This Row],[WeekDay]]=7),P946,P946+1)</f>
        <v>675</v>
      </c>
      <c r="R947">
        <f>IF(OR(calendar[[#This Row],[SP_BH]]=1,calendar[[#This Row],[WeekDay]]=1, calendar[[#This Row],[WeekDay]]=7),P946,P946+1)</f>
        <v>675</v>
      </c>
      <c r="S947">
        <f>IF(OR(calendar[[#This Row],[PT_BH]]=1,calendar[[#This Row],[WeekDay]]=1, calendar[[#This Row],[WeekDay]]=7),P946,P946+1)</f>
        <v>675</v>
      </c>
    </row>
    <row r="948" spans="1:19" x14ac:dyDescent="0.25">
      <c r="A948" s="2">
        <v>43682</v>
      </c>
      <c r="B948" s="1">
        <f t="shared" si="73"/>
        <v>32</v>
      </c>
      <c r="C948">
        <f t="shared" si="75"/>
        <v>8</v>
      </c>
      <c r="D948" t="str">
        <f t="shared" si="76"/>
        <v>August</v>
      </c>
      <c r="E948">
        <f t="shared" si="77"/>
        <v>2019</v>
      </c>
      <c r="F948" t="str">
        <f>CONCATENATE(calendar[[#This Row],[Month]],"/",calendar[[#This Row],[Year]])</f>
        <v>8/2019</v>
      </c>
      <c r="G948">
        <f>WEEKDAY(calendar[[#This Row],[Date]],1)</f>
        <v>2</v>
      </c>
      <c r="H948" t="str">
        <f>TEXT(calendar[[#This Row],[WeekDay]],"dddd")</f>
        <v>Monday</v>
      </c>
      <c r="I948">
        <f>IF((INT(calendar[[#This Row],[Count]]/7)-calendar[[#This Row],[Count]]/7)&lt;0,I947,I947+1)</f>
        <v>136</v>
      </c>
      <c r="J948">
        <f t="shared" si="74"/>
        <v>946</v>
      </c>
      <c r="K948">
        <f>IF(calendar[[#This Row],[Month]]&lt;4,1,IF(calendar[[#This Row],[Month]]&lt;7,2,IF(calendar[[#This Row],[Month]]&lt;10,3,4)))</f>
        <v>3</v>
      </c>
      <c r="L948">
        <f>IFERROR(IF(VLOOKUP(calendar[[#This Row],[Date]],BH!A:A,1,)&lt;&gt;"",1,0),0)</f>
        <v>0</v>
      </c>
      <c r="M948">
        <f>IFERROR(IF(VLOOKUP(calendar[[#This Row],[Date]],BH!C:C,1,)&lt;&gt;"",1,0),0)</f>
        <v>0</v>
      </c>
      <c r="N948">
        <f>IFERROR(IF(VLOOKUP(calendar[[#This Row],[Date]],BH!E:E,1,)&lt;&gt;"",1,0),0)</f>
        <v>0</v>
      </c>
      <c r="O948">
        <f>IFERROR(IF(VLOOKUP(calendar[[#This Row],[Date]],BH!G:G,1,)&lt;&gt;"",1,0),0)</f>
        <v>0</v>
      </c>
      <c r="P948">
        <f>IF(OR(calendar[[#This Row],[UK_BH]]=1,calendar[[#This Row],[WeekDay]]=1, calendar[[#This Row],[WeekDay]]=7),P947,P947+1)</f>
        <v>676</v>
      </c>
      <c r="Q948">
        <f>IF(OR(calendar[[#This Row],[FR_BH]]=1,calendar[[#This Row],[WeekDay]]=1, calendar[[#This Row],[WeekDay]]=7),P947,P947+1)</f>
        <v>676</v>
      </c>
      <c r="R948">
        <f>IF(OR(calendar[[#This Row],[SP_BH]]=1,calendar[[#This Row],[WeekDay]]=1, calendar[[#This Row],[WeekDay]]=7),P947,P947+1)</f>
        <v>676</v>
      </c>
      <c r="S948">
        <f>IF(OR(calendar[[#This Row],[PT_BH]]=1,calendar[[#This Row],[WeekDay]]=1, calendar[[#This Row],[WeekDay]]=7),P947,P947+1)</f>
        <v>676</v>
      </c>
    </row>
    <row r="949" spans="1:19" x14ac:dyDescent="0.25">
      <c r="A949" s="2">
        <v>43683</v>
      </c>
      <c r="B949" s="1">
        <f t="shared" si="73"/>
        <v>32</v>
      </c>
      <c r="C949">
        <f t="shared" si="75"/>
        <v>8</v>
      </c>
      <c r="D949" t="str">
        <f t="shared" si="76"/>
        <v>August</v>
      </c>
      <c r="E949">
        <f t="shared" si="77"/>
        <v>2019</v>
      </c>
      <c r="F949" t="str">
        <f>CONCATENATE(calendar[[#This Row],[Month]],"/",calendar[[#This Row],[Year]])</f>
        <v>8/2019</v>
      </c>
      <c r="G949">
        <f>WEEKDAY(calendar[[#This Row],[Date]],1)</f>
        <v>3</v>
      </c>
      <c r="H949" t="str">
        <f>TEXT(calendar[[#This Row],[WeekDay]],"dddd")</f>
        <v>Tuesday</v>
      </c>
      <c r="I949">
        <f>IF((INT(calendar[[#This Row],[Count]]/7)-calendar[[#This Row],[Count]]/7)&lt;0,I948,I948+1)</f>
        <v>136</v>
      </c>
      <c r="J949">
        <f t="shared" si="74"/>
        <v>947</v>
      </c>
      <c r="K949">
        <f>IF(calendar[[#This Row],[Month]]&lt;4,1,IF(calendar[[#This Row],[Month]]&lt;7,2,IF(calendar[[#This Row],[Month]]&lt;10,3,4)))</f>
        <v>3</v>
      </c>
      <c r="L949">
        <f>IFERROR(IF(VLOOKUP(calendar[[#This Row],[Date]],BH!A:A,1,)&lt;&gt;"",1,0),0)</f>
        <v>0</v>
      </c>
      <c r="M949">
        <f>IFERROR(IF(VLOOKUP(calendar[[#This Row],[Date]],BH!C:C,1,)&lt;&gt;"",1,0),0)</f>
        <v>0</v>
      </c>
      <c r="N949">
        <f>IFERROR(IF(VLOOKUP(calendar[[#This Row],[Date]],BH!E:E,1,)&lt;&gt;"",1,0),0)</f>
        <v>0</v>
      </c>
      <c r="O949">
        <f>IFERROR(IF(VLOOKUP(calendar[[#This Row],[Date]],BH!G:G,1,)&lt;&gt;"",1,0),0)</f>
        <v>0</v>
      </c>
      <c r="P949">
        <f>IF(OR(calendar[[#This Row],[UK_BH]]=1,calendar[[#This Row],[WeekDay]]=1, calendar[[#This Row],[WeekDay]]=7),P948,P948+1)</f>
        <v>677</v>
      </c>
      <c r="Q949">
        <f>IF(OR(calendar[[#This Row],[FR_BH]]=1,calendar[[#This Row],[WeekDay]]=1, calendar[[#This Row],[WeekDay]]=7),P948,P948+1)</f>
        <v>677</v>
      </c>
      <c r="R949">
        <f>IF(OR(calendar[[#This Row],[SP_BH]]=1,calendar[[#This Row],[WeekDay]]=1, calendar[[#This Row],[WeekDay]]=7),P948,P948+1)</f>
        <v>677</v>
      </c>
      <c r="S949">
        <f>IF(OR(calendar[[#This Row],[PT_BH]]=1,calendar[[#This Row],[WeekDay]]=1, calendar[[#This Row],[WeekDay]]=7),P948,P948+1)</f>
        <v>677</v>
      </c>
    </row>
    <row r="950" spans="1:19" x14ac:dyDescent="0.25">
      <c r="A950" s="2">
        <v>43684</v>
      </c>
      <c r="B950" s="1">
        <f t="shared" si="73"/>
        <v>32</v>
      </c>
      <c r="C950">
        <f t="shared" si="75"/>
        <v>8</v>
      </c>
      <c r="D950" t="str">
        <f t="shared" si="76"/>
        <v>August</v>
      </c>
      <c r="E950">
        <f t="shared" si="77"/>
        <v>2019</v>
      </c>
      <c r="F950" t="str">
        <f>CONCATENATE(calendar[[#This Row],[Month]],"/",calendar[[#This Row],[Year]])</f>
        <v>8/2019</v>
      </c>
      <c r="G950">
        <f>WEEKDAY(calendar[[#This Row],[Date]],1)</f>
        <v>4</v>
      </c>
      <c r="H950" t="str">
        <f>TEXT(calendar[[#This Row],[WeekDay]],"dddd")</f>
        <v>Wednesday</v>
      </c>
      <c r="I950">
        <f>IF((INT(calendar[[#This Row],[Count]]/7)-calendar[[#This Row],[Count]]/7)&lt;0,I949,I949+1)</f>
        <v>136</v>
      </c>
      <c r="J950">
        <f t="shared" si="74"/>
        <v>948</v>
      </c>
      <c r="K950">
        <f>IF(calendar[[#This Row],[Month]]&lt;4,1,IF(calendar[[#This Row],[Month]]&lt;7,2,IF(calendar[[#This Row],[Month]]&lt;10,3,4)))</f>
        <v>3</v>
      </c>
      <c r="L950">
        <f>IFERROR(IF(VLOOKUP(calendar[[#This Row],[Date]],BH!A:A,1,)&lt;&gt;"",1,0),0)</f>
        <v>0</v>
      </c>
      <c r="M950">
        <f>IFERROR(IF(VLOOKUP(calendar[[#This Row],[Date]],BH!C:C,1,)&lt;&gt;"",1,0),0)</f>
        <v>0</v>
      </c>
      <c r="N950">
        <f>IFERROR(IF(VLOOKUP(calendar[[#This Row],[Date]],BH!E:E,1,)&lt;&gt;"",1,0),0)</f>
        <v>0</v>
      </c>
      <c r="O950">
        <f>IFERROR(IF(VLOOKUP(calendar[[#This Row],[Date]],BH!G:G,1,)&lt;&gt;"",1,0),0)</f>
        <v>0</v>
      </c>
      <c r="P950">
        <f>IF(OR(calendar[[#This Row],[UK_BH]]=1,calendar[[#This Row],[WeekDay]]=1, calendar[[#This Row],[WeekDay]]=7),P949,P949+1)</f>
        <v>678</v>
      </c>
      <c r="Q950">
        <f>IF(OR(calendar[[#This Row],[FR_BH]]=1,calendar[[#This Row],[WeekDay]]=1, calendar[[#This Row],[WeekDay]]=7),P949,P949+1)</f>
        <v>678</v>
      </c>
      <c r="R950">
        <f>IF(OR(calendar[[#This Row],[SP_BH]]=1,calendar[[#This Row],[WeekDay]]=1, calendar[[#This Row],[WeekDay]]=7),P949,P949+1)</f>
        <v>678</v>
      </c>
      <c r="S950">
        <f>IF(OR(calendar[[#This Row],[PT_BH]]=1,calendar[[#This Row],[WeekDay]]=1, calendar[[#This Row],[WeekDay]]=7),P949,P949+1)</f>
        <v>678</v>
      </c>
    </row>
    <row r="951" spans="1:19" x14ac:dyDescent="0.25">
      <c r="A951" s="2">
        <v>43685</v>
      </c>
      <c r="B951" s="1">
        <f t="shared" si="73"/>
        <v>32</v>
      </c>
      <c r="C951">
        <f t="shared" si="75"/>
        <v>8</v>
      </c>
      <c r="D951" t="str">
        <f t="shared" si="76"/>
        <v>August</v>
      </c>
      <c r="E951">
        <f t="shared" si="77"/>
        <v>2019</v>
      </c>
      <c r="F951" t="str">
        <f>CONCATENATE(calendar[[#This Row],[Month]],"/",calendar[[#This Row],[Year]])</f>
        <v>8/2019</v>
      </c>
      <c r="G951">
        <f>WEEKDAY(calendar[[#This Row],[Date]],1)</f>
        <v>5</v>
      </c>
      <c r="H951" t="str">
        <f>TEXT(calendar[[#This Row],[WeekDay]],"dddd")</f>
        <v>Thursday</v>
      </c>
      <c r="I951">
        <f>IF((INT(calendar[[#This Row],[Count]]/7)-calendar[[#This Row],[Count]]/7)&lt;0,I950,I950+1)</f>
        <v>136</v>
      </c>
      <c r="J951">
        <f t="shared" si="74"/>
        <v>949</v>
      </c>
      <c r="K951">
        <f>IF(calendar[[#This Row],[Month]]&lt;4,1,IF(calendar[[#This Row],[Month]]&lt;7,2,IF(calendar[[#This Row],[Month]]&lt;10,3,4)))</f>
        <v>3</v>
      </c>
      <c r="L951">
        <f>IFERROR(IF(VLOOKUP(calendar[[#This Row],[Date]],BH!A:A,1,)&lt;&gt;"",1,0),0)</f>
        <v>0</v>
      </c>
      <c r="M951">
        <f>IFERROR(IF(VLOOKUP(calendar[[#This Row],[Date]],BH!C:C,1,)&lt;&gt;"",1,0),0)</f>
        <v>0</v>
      </c>
      <c r="N951">
        <f>IFERROR(IF(VLOOKUP(calendar[[#This Row],[Date]],BH!E:E,1,)&lt;&gt;"",1,0),0)</f>
        <v>0</v>
      </c>
      <c r="O951">
        <f>IFERROR(IF(VLOOKUP(calendar[[#This Row],[Date]],BH!G:G,1,)&lt;&gt;"",1,0),0)</f>
        <v>0</v>
      </c>
      <c r="P951">
        <f>IF(OR(calendar[[#This Row],[UK_BH]]=1,calendar[[#This Row],[WeekDay]]=1, calendar[[#This Row],[WeekDay]]=7),P950,P950+1)</f>
        <v>679</v>
      </c>
      <c r="Q951">
        <f>IF(OR(calendar[[#This Row],[FR_BH]]=1,calendar[[#This Row],[WeekDay]]=1, calendar[[#This Row],[WeekDay]]=7),P950,P950+1)</f>
        <v>679</v>
      </c>
      <c r="R951">
        <f>IF(OR(calendar[[#This Row],[SP_BH]]=1,calendar[[#This Row],[WeekDay]]=1, calendar[[#This Row],[WeekDay]]=7),P950,P950+1)</f>
        <v>679</v>
      </c>
      <c r="S951">
        <f>IF(OR(calendar[[#This Row],[PT_BH]]=1,calendar[[#This Row],[WeekDay]]=1, calendar[[#This Row],[WeekDay]]=7),P950,P950+1)</f>
        <v>679</v>
      </c>
    </row>
    <row r="952" spans="1:19" x14ac:dyDescent="0.25">
      <c r="A952" s="2">
        <v>43686</v>
      </c>
      <c r="B952" s="1">
        <f t="shared" si="73"/>
        <v>32</v>
      </c>
      <c r="C952">
        <f t="shared" si="75"/>
        <v>8</v>
      </c>
      <c r="D952" t="str">
        <f t="shared" si="76"/>
        <v>August</v>
      </c>
      <c r="E952">
        <f t="shared" si="77"/>
        <v>2019</v>
      </c>
      <c r="F952" t="str">
        <f>CONCATENATE(calendar[[#This Row],[Month]],"/",calendar[[#This Row],[Year]])</f>
        <v>8/2019</v>
      </c>
      <c r="G952">
        <f>WEEKDAY(calendar[[#This Row],[Date]],1)</f>
        <v>6</v>
      </c>
      <c r="H952" t="str">
        <f>TEXT(calendar[[#This Row],[WeekDay]],"dddd")</f>
        <v>Friday</v>
      </c>
      <c r="I952">
        <f>IF((INT(calendar[[#This Row],[Count]]/7)-calendar[[#This Row],[Count]]/7)&lt;0,I951,I951+1)</f>
        <v>136</v>
      </c>
      <c r="J952">
        <f t="shared" si="74"/>
        <v>950</v>
      </c>
      <c r="K952">
        <f>IF(calendar[[#This Row],[Month]]&lt;4,1,IF(calendar[[#This Row],[Month]]&lt;7,2,IF(calendar[[#This Row],[Month]]&lt;10,3,4)))</f>
        <v>3</v>
      </c>
      <c r="L952">
        <f>IFERROR(IF(VLOOKUP(calendar[[#This Row],[Date]],BH!A:A,1,)&lt;&gt;"",1,0),0)</f>
        <v>0</v>
      </c>
      <c r="M952">
        <f>IFERROR(IF(VLOOKUP(calendar[[#This Row],[Date]],BH!C:C,1,)&lt;&gt;"",1,0),0)</f>
        <v>0</v>
      </c>
      <c r="N952">
        <f>IFERROR(IF(VLOOKUP(calendar[[#This Row],[Date]],BH!E:E,1,)&lt;&gt;"",1,0),0)</f>
        <v>0</v>
      </c>
      <c r="O952">
        <f>IFERROR(IF(VLOOKUP(calendar[[#This Row],[Date]],BH!G:G,1,)&lt;&gt;"",1,0),0)</f>
        <v>0</v>
      </c>
      <c r="P952">
        <f>IF(OR(calendar[[#This Row],[UK_BH]]=1,calendar[[#This Row],[WeekDay]]=1, calendar[[#This Row],[WeekDay]]=7),P951,P951+1)</f>
        <v>680</v>
      </c>
      <c r="Q952">
        <f>IF(OR(calendar[[#This Row],[FR_BH]]=1,calendar[[#This Row],[WeekDay]]=1, calendar[[#This Row],[WeekDay]]=7),P951,P951+1)</f>
        <v>680</v>
      </c>
      <c r="R952">
        <f>IF(OR(calendar[[#This Row],[SP_BH]]=1,calendar[[#This Row],[WeekDay]]=1, calendar[[#This Row],[WeekDay]]=7),P951,P951+1)</f>
        <v>680</v>
      </c>
      <c r="S952">
        <f>IF(OR(calendar[[#This Row],[PT_BH]]=1,calendar[[#This Row],[WeekDay]]=1, calendar[[#This Row],[WeekDay]]=7),P951,P951+1)</f>
        <v>680</v>
      </c>
    </row>
    <row r="953" spans="1:19" x14ac:dyDescent="0.25">
      <c r="A953" s="2">
        <v>43687</v>
      </c>
      <c r="B953" s="1">
        <f t="shared" si="73"/>
        <v>32</v>
      </c>
      <c r="C953">
        <f t="shared" si="75"/>
        <v>8</v>
      </c>
      <c r="D953" t="str">
        <f t="shared" si="76"/>
        <v>August</v>
      </c>
      <c r="E953">
        <f t="shared" si="77"/>
        <v>2019</v>
      </c>
      <c r="F953" t="str">
        <f>CONCATENATE(calendar[[#This Row],[Month]],"/",calendar[[#This Row],[Year]])</f>
        <v>8/2019</v>
      </c>
      <c r="G953">
        <f>WEEKDAY(calendar[[#This Row],[Date]],1)</f>
        <v>7</v>
      </c>
      <c r="H953" t="str">
        <f>TEXT(calendar[[#This Row],[WeekDay]],"dddd")</f>
        <v>Saturday</v>
      </c>
      <c r="I953">
        <f>IF((INT(calendar[[#This Row],[Count]]/7)-calendar[[#This Row],[Count]]/7)&lt;0,I952,I952+1)</f>
        <v>136</v>
      </c>
      <c r="J953">
        <f t="shared" si="74"/>
        <v>951</v>
      </c>
      <c r="K953">
        <f>IF(calendar[[#This Row],[Month]]&lt;4,1,IF(calendar[[#This Row],[Month]]&lt;7,2,IF(calendar[[#This Row],[Month]]&lt;10,3,4)))</f>
        <v>3</v>
      </c>
      <c r="L953">
        <f>IFERROR(IF(VLOOKUP(calendar[[#This Row],[Date]],BH!A:A,1,)&lt;&gt;"",1,0),0)</f>
        <v>0</v>
      </c>
      <c r="M953">
        <f>IFERROR(IF(VLOOKUP(calendar[[#This Row],[Date]],BH!C:C,1,)&lt;&gt;"",1,0),0)</f>
        <v>0</v>
      </c>
      <c r="N953">
        <f>IFERROR(IF(VLOOKUP(calendar[[#This Row],[Date]],BH!E:E,1,)&lt;&gt;"",1,0),0)</f>
        <v>0</v>
      </c>
      <c r="O953">
        <f>IFERROR(IF(VLOOKUP(calendar[[#This Row],[Date]],BH!G:G,1,)&lt;&gt;"",1,0),0)</f>
        <v>0</v>
      </c>
      <c r="P953">
        <f>IF(OR(calendar[[#This Row],[UK_BH]]=1,calendar[[#This Row],[WeekDay]]=1, calendar[[#This Row],[WeekDay]]=7),P952,P952+1)</f>
        <v>680</v>
      </c>
      <c r="Q953">
        <f>IF(OR(calendar[[#This Row],[FR_BH]]=1,calendar[[#This Row],[WeekDay]]=1, calendar[[#This Row],[WeekDay]]=7),P952,P952+1)</f>
        <v>680</v>
      </c>
      <c r="R953">
        <f>IF(OR(calendar[[#This Row],[SP_BH]]=1,calendar[[#This Row],[WeekDay]]=1, calendar[[#This Row],[WeekDay]]=7),P952,P952+1)</f>
        <v>680</v>
      </c>
      <c r="S953">
        <f>IF(OR(calendar[[#This Row],[PT_BH]]=1,calendar[[#This Row],[WeekDay]]=1, calendar[[#This Row],[WeekDay]]=7),P952,P952+1)</f>
        <v>680</v>
      </c>
    </row>
    <row r="954" spans="1:19" x14ac:dyDescent="0.25">
      <c r="A954" s="2">
        <v>43688</v>
      </c>
      <c r="B954" s="1">
        <f t="shared" si="73"/>
        <v>33</v>
      </c>
      <c r="C954">
        <f t="shared" si="75"/>
        <v>8</v>
      </c>
      <c r="D954" t="str">
        <f t="shared" si="76"/>
        <v>August</v>
      </c>
      <c r="E954">
        <f t="shared" si="77"/>
        <v>2019</v>
      </c>
      <c r="F954" t="str">
        <f>CONCATENATE(calendar[[#This Row],[Month]],"/",calendar[[#This Row],[Year]])</f>
        <v>8/2019</v>
      </c>
      <c r="G954">
        <f>WEEKDAY(calendar[[#This Row],[Date]],1)</f>
        <v>1</v>
      </c>
      <c r="H954" t="str">
        <f>TEXT(calendar[[#This Row],[WeekDay]],"dddd")</f>
        <v>Sunday</v>
      </c>
      <c r="I954">
        <f>IF((INT(calendar[[#This Row],[Count]]/7)-calendar[[#This Row],[Count]]/7)&lt;0,I953,I953+1)</f>
        <v>137</v>
      </c>
      <c r="J954">
        <f t="shared" si="74"/>
        <v>952</v>
      </c>
      <c r="K954">
        <f>IF(calendar[[#This Row],[Month]]&lt;4,1,IF(calendar[[#This Row],[Month]]&lt;7,2,IF(calendar[[#This Row],[Month]]&lt;10,3,4)))</f>
        <v>3</v>
      </c>
      <c r="L954">
        <f>IFERROR(IF(VLOOKUP(calendar[[#This Row],[Date]],BH!A:A,1,)&lt;&gt;"",1,0),0)</f>
        <v>0</v>
      </c>
      <c r="M954">
        <f>IFERROR(IF(VLOOKUP(calendar[[#This Row],[Date]],BH!C:C,1,)&lt;&gt;"",1,0),0)</f>
        <v>0</v>
      </c>
      <c r="N954">
        <f>IFERROR(IF(VLOOKUP(calendar[[#This Row],[Date]],BH!E:E,1,)&lt;&gt;"",1,0),0)</f>
        <v>0</v>
      </c>
      <c r="O954">
        <f>IFERROR(IF(VLOOKUP(calendar[[#This Row],[Date]],BH!G:G,1,)&lt;&gt;"",1,0),0)</f>
        <v>0</v>
      </c>
      <c r="P954">
        <f>IF(OR(calendar[[#This Row],[UK_BH]]=1,calendar[[#This Row],[WeekDay]]=1, calendar[[#This Row],[WeekDay]]=7),P953,P953+1)</f>
        <v>680</v>
      </c>
      <c r="Q954">
        <f>IF(OR(calendar[[#This Row],[FR_BH]]=1,calendar[[#This Row],[WeekDay]]=1, calendar[[#This Row],[WeekDay]]=7),P953,P953+1)</f>
        <v>680</v>
      </c>
      <c r="R954">
        <f>IF(OR(calendar[[#This Row],[SP_BH]]=1,calendar[[#This Row],[WeekDay]]=1, calendar[[#This Row],[WeekDay]]=7),P953,P953+1)</f>
        <v>680</v>
      </c>
      <c r="S954">
        <f>IF(OR(calendar[[#This Row],[PT_BH]]=1,calendar[[#This Row],[WeekDay]]=1, calendar[[#This Row],[WeekDay]]=7),P953,P953+1)</f>
        <v>680</v>
      </c>
    </row>
    <row r="955" spans="1:19" x14ac:dyDescent="0.25">
      <c r="A955" s="2">
        <v>43689</v>
      </c>
      <c r="B955" s="1">
        <f t="shared" si="73"/>
        <v>33</v>
      </c>
      <c r="C955">
        <f t="shared" si="75"/>
        <v>8</v>
      </c>
      <c r="D955" t="str">
        <f t="shared" si="76"/>
        <v>August</v>
      </c>
      <c r="E955">
        <f t="shared" si="77"/>
        <v>2019</v>
      </c>
      <c r="F955" t="str">
        <f>CONCATENATE(calendar[[#This Row],[Month]],"/",calendar[[#This Row],[Year]])</f>
        <v>8/2019</v>
      </c>
      <c r="G955">
        <f>WEEKDAY(calendar[[#This Row],[Date]],1)</f>
        <v>2</v>
      </c>
      <c r="H955" t="str">
        <f>TEXT(calendar[[#This Row],[WeekDay]],"dddd")</f>
        <v>Monday</v>
      </c>
      <c r="I955">
        <f>IF((INT(calendar[[#This Row],[Count]]/7)-calendar[[#This Row],[Count]]/7)&lt;0,I954,I954+1)</f>
        <v>137</v>
      </c>
      <c r="J955">
        <f t="shared" si="74"/>
        <v>953</v>
      </c>
      <c r="K955">
        <f>IF(calendar[[#This Row],[Month]]&lt;4,1,IF(calendar[[#This Row],[Month]]&lt;7,2,IF(calendar[[#This Row],[Month]]&lt;10,3,4)))</f>
        <v>3</v>
      </c>
      <c r="L955">
        <f>IFERROR(IF(VLOOKUP(calendar[[#This Row],[Date]],BH!A:A,1,)&lt;&gt;"",1,0),0)</f>
        <v>0</v>
      </c>
      <c r="M955">
        <f>IFERROR(IF(VLOOKUP(calendar[[#This Row],[Date]],BH!C:C,1,)&lt;&gt;"",1,0),0)</f>
        <v>0</v>
      </c>
      <c r="N955">
        <f>IFERROR(IF(VLOOKUP(calendar[[#This Row],[Date]],BH!E:E,1,)&lt;&gt;"",1,0),0)</f>
        <v>0</v>
      </c>
      <c r="O955">
        <f>IFERROR(IF(VLOOKUP(calendar[[#This Row],[Date]],BH!G:G,1,)&lt;&gt;"",1,0),0)</f>
        <v>0</v>
      </c>
      <c r="P955">
        <f>IF(OR(calendar[[#This Row],[UK_BH]]=1,calendar[[#This Row],[WeekDay]]=1, calendar[[#This Row],[WeekDay]]=7),P954,P954+1)</f>
        <v>681</v>
      </c>
      <c r="Q955">
        <f>IF(OR(calendar[[#This Row],[FR_BH]]=1,calendar[[#This Row],[WeekDay]]=1, calendar[[#This Row],[WeekDay]]=7),P954,P954+1)</f>
        <v>681</v>
      </c>
      <c r="R955">
        <f>IF(OR(calendar[[#This Row],[SP_BH]]=1,calendar[[#This Row],[WeekDay]]=1, calendar[[#This Row],[WeekDay]]=7),P954,P954+1)</f>
        <v>681</v>
      </c>
      <c r="S955">
        <f>IF(OR(calendar[[#This Row],[PT_BH]]=1,calendar[[#This Row],[WeekDay]]=1, calendar[[#This Row],[WeekDay]]=7),P954,P954+1)</f>
        <v>681</v>
      </c>
    </row>
    <row r="956" spans="1:19" x14ac:dyDescent="0.25">
      <c r="A956" s="2">
        <v>43690</v>
      </c>
      <c r="B956" s="1">
        <f t="shared" si="73"/>
        <v>33</v>
      </c>
      <c r="C956">
        <f t="shared" si="75"/>
        <v>8</v>
      </c>
      <c r="D956" t="str">
        <f t="shared" si="76"/>
        <v>August</v>
      </c>
      <c r="E956">
        <f t="shared" si="77"/>
        <v>2019</v>
      </c>
      <c r="F956" t="str">
        <f>CONCATENATE(calendar[[#This Row],[Month]],"/",calendar[[#This Row],[Year]])</f>
        <v>8/2019</v>
      </c>
      <c r="G956">
        <f>WEEKDAY(calendar[[#This Row],[Date]],1)</f>
        <v>3</v>
      </c>
      <c r="H956" t="str">
        <f>TEXT(calendar[[#This Row],[WeekDay]],"dddd")</f>
        <v>Tuesday</v>
      </c>
      <c r="I956">
        <f>IF((INT(calendar[[#This Row],[Count]]/7)-calendar[[#This Row],[Count]]/7)&lt;0,I955,I955+1)</f>
        <v>137</v>
      </c>
      <c r="J956">
        <f t="shared" si="74"/>
        <v>954</v>
      </c>
      <c r="K956">
        <f>IF(calendar[[#This Row],[Month]]&lt;4,1,IF(calendar[[#This Row],[Month]]&lt;7,2,IF(calendar[[#This Row],[Month]]&lt;10,3,4)))</f>
        <v>3</v>
      </c>
      <c r="L956">
        <f>IFERROR(IF(VLOOKUP(calendar[[#This Row],[Date]],BH!A:A,1,)&lt;&gt;"",1,0),0)</f>
        <v>0</v>
      </c>
      <c r="M956">
        <f>IFERROR(IF(VLOOKUP(calendar[[#This Row],[Date]],BH!C:C,1,)&lt;&gt;"",1,0),0)</f>
        <v>0</v>
      </c>
      <c r="N956">
        <f>IFERROR(IF(VLOOKUP(calendar[[#This Row],[Date]],BH!E:E,1,)&lt;&gt;"",1,0),0)</f>
        <v>0</v>
      </c>
      <c r="O956">
        <f>IFERROR(IF(VLOOKUP(calendar[[#This Row],[Date]],BH!G:G,1,)&lt;&gt;"",1,0),0)</f>
        <v>0</v>
      </c>
      <c r="P956">
        <f>IF(OR(calendar[[#This Row],[UK_BH]]=1,calendar[[#This Row],[WeekDay]]=1, calendar[[#This Row],[WeekDay]]=7),P955,P955+1)</f>
        <v>682</v>
      </c>
      <c r="Q956">
        <f>IF(OR(calendar[[#This Row],[FR_BH]]=1,calendar[[#This Row],[WeekDay]]=1, calendar[[#This Row],[WeekDay]]=7),P955,P955+1)</f>
        <v>682</v>
      </c>
      <c r="R956">
        <f>IF(OR(calendar[[#This Row],[SP_BH]]=1,calendar[[#This Row],[WeekDay]]=1, calendar[[#This Row],[WeekDay]]=7),P955,P955+1)</f>
        <v>682</v>
      </c>
      <c r="S956">
        <f>IF(OR(calendar[[#This Row],[PT_BH]]=1,calendar[[#This Row],[WeekDay]]=1, calendar[[#This Row],[WeekDay]]=7),P955,P955+1)</f>
        <v>682</v>
      </c>
    </row>
    <row r="957" spans="1:19" x14ac:dyDescent="0.25">
      <c r="A957" s="2">
        <v>43691</v>
      </c>
      <c r="B957" s="1">
        <f t="shared" si="73"/>
        <v>33</v>
      </c>
      <c r="C957">
        <f t="shared" si="75"/>
        <v>8</v>
      </c>
      <c r="D957" t="str">
        <f t="shared" si="76"/>
        <v>August</v>
      </c>
      <c r="E957">
        <f t="shared" si="77"/>
        <v>2019</v>
      </c>
      <c r="F957" t="str">
        <f>CONCATENATE(calendar[[#This Row],[Month]],"/",calendar[[#This Row],[Year]])</f>
        <v>8/2019</v>
      </c>
      <c r="G957">
        <f>WEEKDAY(calendar[[#This Row],[Date]],1)</f>
        <v>4</v>
      </c>
      <c r="H957" t="str">
        <f>TEXT(calendar[[#This Row],[WeekDay]],"dddd")</f>
        <v>Wednesday</v>
      </c>
      <c r="I957">
        <f>IF((INT(calendar[[#This Row],[Count]]/7)-calendar[[#This Row],[Count]]/7)&lt;0,I956,I956+1)</f>
        <v>137</v>
      </c>
      <c r="J957">
        <f t="shared" si="74"/>
        <v>955</v>
      </c>
      <c r="K957">
        <f>IF(calendar[[#This Row],[Month]]&lt;4,1,IF(calendar[[#This Row],[Month]]&lt;7,2,IF(calendar[[#This Row],[Month]]&lt;10,3,4)))</f>
        <v>3</v>
      </c>
      <c r="L957">
        <f>IFERROR(IF(VLOOKUP(calendar[[#This Row],[Date]],BH!A:A,1,)&lt;&gt;"",1,0),0)</f>
        <v>0</v>
      </c>
      <c r="M957">
        <f>IFERROR(IF(VLOOKUP(calendar[[#This Row],[Date]],BH!C:C,1,)&lt;&gt;"",1,0),0)</f>
        <v>0</v>
      </c>
      <c r="N957">
        <f>IFERROR(IF(VLOOKUP(calendar[[#This Row],[Date]],BH!E:E,1,)&lt;&gt;"",1,0),0)</f>
        <v>0</v>
      </c>
      <c r="O957">
        <f>IFERROR(IF(VLOOKUP(calendar[[#This Row],[Date]],BH!G:G,1,)&lt;&gt;"",1,0),0)</f>
        <v>0</v>
      </c>
      <c r="P957">
        <f>IF(OR(calendar[[#This Row],[UK_BH]]=1,calendar[[#This Row],[WeekDay]]=1, calendar[[#This Row],[WeekDay]]=7),P956,P956+1)</f>
        <v>683</v>
      </c>
      <c r="Q957">
        <f>IF(OR(calendar[[#This Row],[FR_BH]]=1,calendar[[#This Row],[WeekDay]]=1, calendar[[#This Row],[WeekDay]]=7),P956,P956+1)</f>
        <v>683</v>
      </c>
      <c r="R957">
        <f>IF(OR(calendar[[#This Row],[SP_BH]]=1,calendar[[#This Row],[WeekDay]]=1, calendar[[#This Row],[WeekDay]]=7),P956,P956+1)</f>
        <v>683</v>
      </c>
      <c r="S957">
        <f>IF(OR(calendar[[#This Row],[PT_BH]]=1,calendar[[#This Row],[WeekDay]]=1, calendar[[#This Row],[WeekDay]]=7),P956,P956+1)</f>
        <v>683</v>
      </c>
    </row>
    <row r="958" spans="1:19" x14ac:dyDescent="0.25">
      <c r="A958" s="2">
        <v>43692</v>
      </c>
      <c r="B958" s="1">
        <f t="shared" si="73"/>
        <v>33</v>
      </c>
      <c r="C958">
        <f t="shared" si="75"/>
        <v>8</v>
      </c>
      <c r="D958" t="str">
        <f t="shared" si="76"/>
        <v>August</v>
      </c>
      <c r="E958">
        <f t="shared" si="77"/>
        <v>2019</v>
      </c>
      <c r="F958" t="str">
        <f>CONCATENATE(calendar[[#This Row],[Month]],"/",calendar[[#This Row],[Year]])</f>
        <v>8/2019</v>
      </c>
      <c r="G958">
        <f>WEEKDAY(calendar[[#This Row],[Date]],1)</f>
        <v>5</v>
      </c>
      <c r="H958" t="str">
        <f>TEXT(calendar[[#This Row],[WeekDay]],"dddd")</f>
        <v>Thursday</v>
      </c>
      <c r="I958">
        <f>IF((INT(calendar[[#This Row],[Count]]/7)-calendar[[#This Row],[Count]]/7)&lt;0,I957,I957+1)</f>
        <v>137</v>
      </c>
      <c r="J958">
        <f t="shared" si="74"/>
        <v>956</v>
      </c>
      <c r="K958">
        <f>IF(calendar[[#This Row],[Month]]&lt;4,1,IF(calendar[[#This Row],[Month]]&lt;7,2,IF(calendar[[#This Row],[Month]]&lt;10,3,4)))</f>
        <v>3</v>
      </c>
      <c r="L958">
        <f>IFERROR(IF(VLOOKUP(calendar[[#This Row],[Date]],BH!A:A,1,)&lt;&gt;"",1,0),0)</f>
        <v>0</v>
      </c>
      <c r="M958">
        <f>IFERROR(IF(VLOOKUP(calendar[[#This Row],[Date]],BH!C:C,1,)&lt;&gt;"",1,0),0)</f>
        <v>0</v>
      </c>
      <c r="N958">
        <f>IFERROR(IF(VLOOKUP(calendar[[#This Row],[Date]],BH!E:E,1,)&lt;&gt;"",1,0),0)</f>
        <v>0</v>
      </c>
      <c r="O958">
        <f>IFERROR(IF(VLOOKUP(calendar[[#This Row],[Date]],BH!G:G,1,)&lt;&gt;"",1,0),0)</f>
        <v>0</v>
      </c>
      <c r="P958">
        <f>IF(OR(calendar[[#This Row],[UK_BH]]=1,calendar[[#This Row],[WeekDay]]=1, calendar[[#This Row],[WeekDay]]=7),P957,P957+1)</f>
        <v>684</v>
      </c>
      <c r="Q958">
        <f>IF(OR(calendar[[#This Row],[FR_BH]]=1,calendar[[#This Row],[WeekDay]]=1, calendar[[#This Row],[WeekDay]]=7),P957,P957+1)</f>
        <v>684</v>
      </c>
      <c r="R958">
        <f>IF(OR(calendar[[#This Row],[SP_BH]]=1,calendar[[#This Row],[WeekDay]]=1, calendar[[#This Row],[WeekDay]]=7),P957,P957+1)</f>
        <v>684</v>
      </c>
      <c r="S958">
        <f>IF(OR(calendar[[#This Row],[PT_BH]]=1,calendar[[#This Row],[WeekDay]]=1, calendar[[#This Row],[WeekDay]]=7),P957,P957+1)</f>
        <v>684</v>
      </c>
    </row>
    <row r="959" spans="1:19" x14ac:dyDescent="0.25">
      <c r="A959" s="2">
        <v>43693</v>
      </c>
      <c r="B959" s="1">
        <f t="shared" si="73"/>
        <v>33</v>
      </c>
      <c r="C959">
        <f t="shared" si="75"/>
        <v>8</v>
      </c>
      <c r="D959" t="str">
        <f t="shared" si="76"/>
        <v>August</v>
      </c>
      <c r="E959">
        <f t="shared" si="77"/>
        <v>2019</v>
      </c>
      <c r="F959" t="str">
        <f>CONCATENATE(calendar[[#This Row],[Month]],"/",calendar[[#This Row],[Year]])</f>
        <v>8/2019</v>
      </c>
      <c r="G959">
        <f>WEEKDAY(calendar[[#This Row],[Date]],1)</f>
        <v>6</v>
      </c>
      <c r="H959" t="str">
        <f>TEXT(calendar[[#This Row],[WeekDay]],"dddd")</f>
        <v>Friday</v>
      </c>
      <c r="I959">
        <f>IF((INT(calendar[[#This Row],[Count]]/7)-calendar[[#This Row],[Count]]/7)&lt;0,I958,I958+1)</f>
        <v>137</v>
      </c>
      <c r="J959">
        <f t="shared" si="74"/>
        <v>957</v>
      </c>
      <c r="K959">
        <f>IF(calendar[[#This Row],[Month]]&lt;4,1,IF(calendar[[#This Row],[Month]]&lt;7,2,IF(calendar[[#This Row],[Month]]&lt;10,3,4)))</f>
        <v>3</v>
      </c>
      <c r="L959">
        <f>IFERROR(IF(VLOOKUP(calendar[[#This Row],[Date]],BH!A:A,1,)&lt;&gt;"",1,0),0)</f>
        <v>0</v>
      </c>
      <c r="M959">
        <f>IFERROR(IF(VLOOKUP(calendar[[#This Row],[Date]],BH!C:C,1,)&lt;&gt;"",1,0),0)</f>
        <v>0</v>
      </c>
      <c r="N959">
        <f>IFERROR(IF(VLOOKUP(calendar[[#This Row],[Date]],BH!E:E,1,)&lt;&gt;"",1,0),0)</f>
        <v>0</v>
      </c>
      <c r="O959">
        <f>IFERROR(IF(VLOOKUP(calendar[[#This Row],[Date]],BH!G:G,1,)&lt;&gt;"",1,0),0)</f>
        <v>0</v>
      </c>
      <c r="P959">
        <f>IF(OR(calendar[[#This Row],[UK_BH]]=1,calendar[[#This Row],[WeekDay]]=1, calendar[[#This Row],[WeekDay]]=7),P958,P958+1)</f>
        <v>685</v>
      </c>
      <c r="Q959">
        <f>IF(OR(calendar[[#This Row],[FR_BH]]=1,calendar[[#This Row],[WeekDay]]=1, calendar[[#This Row],[WeekDay]]=7),P958,P958+1)</f>
        <v>685</v>
      </c>
      <c r="R959">
        <f>IF(OR(calendar[[#This Row],[SP_BH]]=1,calendar[[#This Row],[WeekDay]]=1, calendar[[#This Row],[WeekDay]]=7),P958,P958+1)</f>
        <v>685</v>
      </c>
      <c r="S959">
        <f>IF(OR(calendar[[#This Row],[PT_BH]]=1,calendar[[#This Row],[WeekDay]]=1, calendar[[#This Row],[WeekDay]]=7),P958,P958+1)</f>
        <v>685</v>
      </c>
    </row>
    <row r="960" spans="1:19" x14ac:dyDescent="0.25">
      <c r="A960" s="2">
        <v>43694</v>
      </c>
      <c r="B960" s="1">
        <f t="shared" si="73"/>
        <v>33</v>
      </c>
      <c r="C960">
        <f t="shared" si="75"/>
        <v>8</v>
      </c>
      <c r="D960" t="str">
        <f t="shared" si="76"/>
        <v>August</v>
      </c>
      <c r="E960">
        <f t="shared" si="77"/>
        <v>2019</v>
      </c>
      <c r="F960" t="str">
        <f>CONCATENATE(calendar[[#This Row],[Month]],"/",calendar[[#This Row],[Year]])</f>
        <v>8/2019</v>
      </c>
      <c r="G960">
        <f>WEEKDAY(calendar[[#This Row],[Date]],1)</f>
        <v>7</v>
      </c>
      <c r="H960" t="str">
        <f>TEXT(calendar[[#This Row],[WeekDay]],"dddd")</f>
        <v>Saturday</v>
      </c>
      <c r="I960">
        <f>IF((INT(calendar[[#This Row],[Count]]/7)-calendar[[#This Row],[Count]]/7)&lt;0,I959,I959+1)</f>
        <v>137</v>
      </c>
      <c r="J960">
        <f t="shared" si="74"/>
        <v>958</v>
      </c>
      <c r="K960">
        <f>IF(calendar[[#This Row],[Month]]&lt;4,1,IF(calendar[[#This Row],[Month]]&lt;7,2,IF(calendar[[#This Row],[Month]]&lt;10,3,4)))</f>
        <v>3</v>
      </c>
      <c r="L960">
        <f>IFERROR(IF(VLOOKUP(calendar[[#This Row],[Date]],BH!A:A,1,)&lt;&gt;"",1,0),0)</f>
        <v>0</v>
      </c>
      <c r="M960">
        <f>IFERROR(IF(VLOOKUP(calendar[[#This Row],[Date]],BH!C:C,1,)&lt;&gt;"",1,0),0)</f>
        <v>0</v>
      </c>
      <c r="N960">
        <f>IFERROR(IF(VLOOKUP(calendar[[#This Row],[Date]],BH!E:E,1,)&lt;&gt;"",1,0),0)</f>
        <v>0</v>
      </c>
      <c r="O960">
        <f>IFERROR(IF(VLOOKUP(calendar[[#This Row],[Date]],BH!G:G,1,)&lt;&gt;"",1,0),0)</f>
        <v>0</v>
      </c>
      <c r="P960">
        <f>IF(OR(calendar[[#This Row],[UK_BH]]=1,calendar[[#This Row],[WeekDay]]=1, calendar[[#This Row],[WeekDay]]=7),P959,P959+1)</f>
        <v>685</v>
      </c>
      <c r="Q960">
        <f>IF(OR(calendar[[#This Row],[FR_BH]]=1,calendar[[#This Row],[WeekDay]]=1, calendar[[#This Row],[WeekDay]]=7),P959,P959+1)</f>
        <v>685</v>
      </c>
      <c r="R960">
        <f>IF(OR(calendar[[#This Row],[SP_BH]]=1,calendar[[#This Row],[WeekDay]]=1, calendar[[#This Row],[WeekDay]]=7),P959,P959+1)</f>
        <v>685</v>
      </c>
      <c r="S960">
        <f>IF(OR(calendar[[#This Row],[PT_BH]]=1,calendar[[#This Row],[WeekDay]]=1, calendar[[#This Row],[WeekDay]]=7),P959,P959+1)</f>
        <v>685</v>
      </c>
    </row>
    <row r="961" spans="1:19" x14ac:dyDescent="0.25">
      <c r="A961" s="2">
        <v>43695</v>
      </c>
      <c r="B961" s="1">
        <f t="shared" si="73"/>
        <v>34</v>
      </c>
      <c r="C961">
        <f t="shared" si="75"/>
        <v>8</v>
      </c>
      <c r="D961" t="str">
        <f t="shared" si="76"/>
        <v>August</v>
      </c>
      <c r="E961">
        <f t="shared" si="77"/>
        <v>2019</v>
      </c>
      <c r="F961" t="str">
        <f>CONCATENATE(calendar[[#This Row],[Month]],"/",calendar[[#This Row],[Year]])</f>
        <v>8/2019</v>
      </c>
      <c r="G961">
        <f>WEEKDAY(calendar[[#This Row],[Date]],1)</f>
        <v>1</v>
      </c>
      <c r="H961" t="str">
        <f>TEXT(calendar[[#This Row],[WeekDay]],"dddd")</f>
        <v>Sunday</v>
      </c>
      <c r="I961">
        <f>IF((INT(calendar[[#This Row],[Count]]/7)-calendar[[#This Row],[Count]]/7)&lt;0,I960,I960+1)</f>
        <v>138</v>
      </c>
      <c r="J961">
        <f t="shared" si="74"/>
        <v>959</v>
      </c>
      <c r="K961">
        <f>IF(calendar[[#This Row],[Month]]&lt;4,1,IF(calendar[[#This Row],[Month]]&lt;7,2,IF(calendar[[#This Row],[Month]]&lt;10,3,4)))</f>
        <v>3</v>
      </c>
      <c r="L961">
        <f>IFERROR(IF(VLOOKUP(calendar[[#This Row],[Date]],BH!A:A,1,)&lt;&gt;"",1,0),0)</f>
        <v>0</v>
      </c>
      <c r="M961">
        <f>IFERROR(IF(VLOOKUP(calendar[[#This Row],[Date]],BH!C:C,1,)&lt;&gt;"",1,0),0)</f>
        <v>0</v>
      </c>
      <c r="N961">
        <f>IFERROR(IF(VLOOKUP(calendar[[#This Row],[Date]],BH!E:E,1,)&lt;&gt;"",1,0),0)</f>
        <v>0</v>
      </c>
      <c r="O961">
        <f>IFERROR(IF(VLOOKUP(calendar[[#This Row],[Date]],BH!G:G,1,)&lt;&gt;"",1,0),0)</f>
        <v>0</v>
      </c>
      <c r="P961">
        <f>IF(OR(calendar[[#This Row],[UK_BH]]=1,calendar[[#This Row],[WeekDay]]=1, calendar[[#This Row],[WeekDay]]=7),P960,P960+1)</f>
        <v>685</v>
      </c>
      <c r="Q961">
        <f>IF(OR(calendar[[#This Row],[FR_BH]]=1,calendar[[#This Row],[WeekDay]]=1, calendar[[#This Row],[WeekDay]]=7),P960,P960+1)</f>
        <v>685</v>
      </c>
      <c r="R961">
        <f>IF(OR(calendar[[#This Row],[SP_BH]]=1,calendar[[#This Row],[WeekDay]]=1, calendar[[#This Row],[WeekDay]]=7),P960,P960+1)</f>
        <v>685</v>
      </c>
      <c r="S961">
        <f>IF(OR(calendar[[#This Row],[PT_BH]]=1,calendar[[#This Row],[WeekDay]]=1, calendar[[#This Row],[WeekDay]]=7),P960,P960+1)</f>
        <v>685</v>
      </c>
    </row>
    <row r="962" spans="1:19" x14ac:dyDescent="0.25">
      <c r="A962" s="2">
        <v>43696</v>
      </c>
      <c r="B962" s="1">
        <f t="shared" ref="B962:B1025" si="78">WEEKNUM(A962)</f>
        <v>34</v>
      </c>
      <c r="C962">
        <f t="shared" si="75"/>
        <v>8</v>
      </c>
      <c r="D962" t="str">
        <f t="shared" si="76"/>
        <v>August</v>
      </c>
      <c r="E962">
        <f t="shared" si="77"/>
        <v>2019</v>
      </c>
      <c r="F962" t="str">
        <f>CONCATENATE(calendar[[#This Row],[Month]],"/",calendar[[#This Row],[Year]])</f>
        <v>8/2019</v>
      </c>
      <c r="G962">
        <f>WEEKDAY(calendar[[#This Row],[Date]],1)</f>
        <v>2</v>
      </c>
      <c r="H962" t="str">
        <f>TEXT(calendar[[#This Row],[WeekDay]],"dddd")</f>
        <v>Monday</v>
      </c>
      <c r="I962">
        <f>IF((INT(calendar[[#This Row],[Count]]/7)-calendar[[#This Row],[Count]]/7)&lt;0,I961,I961+1)</f>
        <v>138</v>
      </c>
      <c r="J962">
        <f t="shared" si="74"/>
        <v>960</v>
      </c>
      <c r="K962">
        <f>IF(calendar[[#This Row],[Month]]&lt;4,1,IF(calendar[[#This Row],[Month]]&lt;7,2,IF(calendar[[#This Row],[Month]]&lt;10,3,4)))</f>
        <v>3</v>
      </c>
      <c r="L962">
        <f>IFERROR(IF(VLOOKUP(calendar[[#This Row],[Date]],BH!A:A,1,)&lt;&gt;"",1,0),0)</f>
        <v>0</v>
      </c>
      <c r="M962">
        <f>IFERROR(IF(VLOOKUP(calendar[[#This Row],[Date]],BH!C:C,1,)&lt;&gt;"",1,0),0)</f>
        <v>0</v>
      </c>
      <c r="N962">
        <f>IFERROR(IF(VLOOKUP(calendar[[#This Row],[Date]],BH!E:E,1,)&lt;&gt;"",1,0),0)</f>
        <v>0</v>
      </c>
      <c r="O962">
        <f>IFERROR(IF(VLOOKUP(calendar[[#This Row],[Date]],BH!G:G,1,)&lt;&gt;"",1,0),0)</f>
        <v>0</v>
      </c>
      <c r="P962">
        <f>IF(OR(calendar[[#This Row],[UK_BH]]=1,calendar[[#This Row],[WeekDay]]=1, calendar[[#This Row],[WeekDay]]=7),P961,P961+1)</f>
        <v>686</v>
      </c>
      <c r="Q962">
        <f>IF(OR(calendar[[#This Row],[FR_BH]]=1,calendar[[#This Row],[WeekDay]]=1, calendar[[#This Row],[WeekDay]]=7),P961,P961+1)</f>
        <v>686</v>
      </c>
      <c r="R962">
        <f>IF(OR(calendar[[#This Row],[SP_BH]]=1,calendar[[#This Row],[WeekDay]]=1, calendar[[#This Row],[WeekDay]]=7),P961,P961+1)</f>
        <v>686</v>
      </c>
      <c r="S962">
        <f>IF(OR(calendar[[#This Row],[PT_BH]]=1,calendar[[#This Row],[WeekDay]]=1, calendar[[#This Row],[WeekDay]]=7),P961,P961+1)</f>
        <v>686</v>
      </c>
    </row>
    <row r="963" spans="1:19" x14ac:dyDescent="0.25">
      <c r="A963" s="2">
        <v>43697</v>
      </c>
      <c r="B963" s="1">
        <f t="shared" si="78"/>
        <v>34</v>
      </c>
      <c r="C963">
        <f t="shared" si="75"/>
        <v>8</v>
      </c>
      <c r="D963" t="str">
        <f t="shared" si="76"/>
        <v>August</v>
      </c>
      <c r="E963">
        <f t="shared" si="77"/>
        <v>2019</v>
      </c>
      <c r="F963" t="str">
        <f>CONCATENATE(calendar[[#This Row],[Month]],"/",calendar[[#This Row],[Year]])</f>
        <v>8/2019</v>
      </c>
      <c r="G963">
        <f>WEEKDAY(calendar[[#This Row],[Date]],1)</f>
        <v>3</v>
      </c>
      <c r="H963" t="str">
        <f>TEXT(calendar[[#This Row],[WeekDay]],"dddd")</f>
        <v>Tuesday</v>
      </c>
      <c r="I963">
        <f>IF((INT(calendar[[#This Row],[Count]]/7)-calendar[[#This Row],[Count]]/7)&lt;0,I962,I962+1)</f>
        <v>138</v>
      </c>
      <c r="J963">
        <f t="shared" ref="J963:J1026" si="79">J962+1</f>
        <v>961</v>
      </c>
      <c r="K963">
        <f>IF(calendar[[#This Row],[Month]]&lt;4,1,IF(calendar[[#This Row],[Month]]&lt;7,2,IF(calendar[[#This Row],[Month]]&lt;10,3,4)))</f>
        <v>3</v>
      </c>
      <c r="L963">
        <f>IFERROR(IF(VLOOKUP(calendar[[#This Row],[Date]],BH!A:A,1,)&lt;&gt;"",1,0),0)</f>
        <v>0</v>
      </c>
      <c r="M963">
        <f>IFERROR(IF(VLOOKUP(calendar[[#This Row],[Date]],BH!C:C,1,)&lt;&gt;"",1,0),0)</f>
        <v>0</v>
      </c>
      <c r="N963">
        <f>IFERROR(IF(VLOOKUP(calendar[[#This Row],[Date]],BH!E:E,1,)&lt;&gt;"",1,0),0)</f>
        <v>0</v>
      </c>
      <c r="O963">
        <f>IFERROR(IF(VLOOKUP(calendar[[#This Row],[Date]],BH!G:G,1,)&lt;&gt;"",1,0),0)</f>
        <v>0</v>
      </c>
      <c r="P963">
        <f>IF(OR(calendar[[#This Row],[UK_BH]]=1,calendar[[#This Row],[WeekDay]]=1, calendar[[#This Row],[WeekDay]]=7),P962,P962+1)</f>
        <v>687</v>
      </c>
      <c r="Q963">
        <f>IF(OR(calendar[[#This Row],[FR_BH]]=1,calendar[[#This Row],[WeekDay]]=1, calendar[[#This Row],[WeekDay]]=7),P962,P962+1)</f>
        <v>687</v>
      </c>
      <c r="R963">
        <f>IF(OR(calendar[[#This Row],[SP_BH]]=1,calendar[[#This Row],[WeekDay]]=1, calendar[[#This Row],[WeekDay]]=7),P962,P962+1)</f>
        <v>687</v>
      </c>
      <c r="S963">
        <f>IF(OR(calendar[[#This Row],[PT_BH]]=1,calendar[[#This Row],[WeekDay]]=1, calendar[[#This Row],[WeekDay]]=7),P962,P962+1)</f>
        <v>687</v>
      </c>
    </row>
    <row r="964" spans="1:19" x14ac:dyDescent="0.25">
      <c r="A964" s="2">
        <v>43698</v>
      </c>
      <c r="B964" s="1">
        <f t="shared" si="78"/>
        <v>34</v>
      </c>
      <c r="C964">
        <f t="shared" si="75"/>
        <v>8</v>
      </c>
      <c r="D964" t="str">
        <f t="shared" si="76"/>
        <v>August</v>
      </c>
      <c r="E964">
        <f t="shared" si="77"/>
        <v>2019</v>
      </c>
      <c r="F964" t="str">
        <f>CONCATENATE(calendar[[#This Row],[Month]],"/",calendar[[#This Row],[Year]])</f>
        <v>8/2019</v>
      </c>
      <c r="G964">
        <f>WEEKDAY(calendar[[#This Row],[Date]],1)</f>
        <v>4</v>
      </c>
      <c r="H964" t="str">
        <f>TEXT(calendar[[#This Row],[WeekDay]],"dddd")</f>
        <v>Wednesday</v>
      </c>
      <c r="I964">
        <f>IF((INT(calendar[[#This Row],[Count]]/7)-calendar[[#This Row],[Count]]/7)&lt;0,I963,I963+1)</f>
        <v>138</v>
      </c>
      <c r="J964">
        <f t="shared" si="79"/>
        <v>962</v>
      </c>
      <c r="K964">
        <f>IF(calendar[[#This Row],[Month]]&lt;4,1,IF(calendar[[#This Row],[Month]]&lt;7,2,IF(calendar[[#This Row],[Month]]&lt;10,3,4)))</f>
        <v>3</v>
      </c>
      <c r="L964">
        <f>IFERROR(IF(VLOOKUP(calendar[[#This Row],[Date]],BH!A:A,1,)&lt;&gt;"",1,0),0)</f>
        <v>0</v>
      </c>
      <c r="M964">
        <f>IFERROR(IF(VLOOKUP(calendar[[#This Row],[Date]],BH!C:C,1,)&lt;&gt;"",1,0),0)</f>
        <v>0</v>
      </c>
      <c r="N964">
        <f>IFERROR(IF(VLOOKUP(calendar[[#This Row],[Date]],BH!E:E,1,)&lt;&gt;"",1,0),0)</f>
        <v>0</v>
      </c>
      <c r="O964">
        <f>IFERROR(IF(VLOOKUP(calendar[[#This Row],[Date]],BH!G:G,1,)&lt;&gt;"",1,0),0)</f>
        <v>0</v>
      </c>
      <c r="P964">
        <f>IF(OR(calendar[[#This Row],[UK_BH]]=1,calendar[[#This Row],[WeekDay]]=1, calendar[[#This Row],[WeekDay]]=7),P963,P963+1)</f>
        <v>688</v>
      </c>
      <c r="Q964">
        <f>IF(OR(calendar[[#This Row],[FR_BH]]=1,calendar[[#This Row],[WeekDay]]=1, calendar[[#This Row],[WeekDay]]=7),P963,P963+1)</f>
        <v>688</v>
      </c>
      <c r="R964">
        <f>IF(OR(calendar[[#This Row],[SP_BH]]=1,calendar[[#This Row],[WeekDay]]=1, calendar[[#This Row],[WeekDay]]=7),P963,P963+1)</f>
        <v>688</v>
      </c>
      <c r="S964">
        <f>IF(OR(calendar[[#This Row],[PT_BH]]=1,calendar[[#This Row],[WeekDay]]=1, calendar[[#This Row],[WeekDay]]=7),P963,P963+1)</f>
        <v>688</v>
      </c>
    </row>
    <row r="965" spans="1:19" x14ac:dyDescent="0.25">
      <c r="A965" s="2">
        <v>43699</v>
      </c>
      <c r="B965" s="1">
        <f t="shared" si="78"/>
        <v>34</v>
      </c>
      <c r="C965">
        <f t="shared" si="75"/>
        <v>8</v>
      </c>
      <c r="D965" t="str">
        <f t="shared" si="76"/>
        <v>August</v>
      </c>
      <c r="E965">
        <f t="shared" si="77"/>
        <v>2019</v>
      </c>
      <c r="F965" t="str">
        <f>CONCATENATE(calendar[[#This Row],[Month]],"/",calendar[[#This Row],[Year]])</f>
        <v>8/2019</v>
      </c>
      <c r="G965">
        <f>WEEKDAY(calendar[[#This Row],[Date]],1)</f>
        <v>5</v>
      </c>
      <c r="H965" t="str">
        <f>TEXT(calendar[[#This Row],[WeekDay]],"dddd")</f>
        <v>Thursday</v>
      </c>
      <c r="I965">
        <f>IF((INT(calendar[[#This Row],[Count]]/7)-calendar[[#This Row],[Count]]/7)&lt;0,I964,I964+1)</f>
        <v>138</v>
      </c>
      <c r="J965">
        <f t="shared" si="79"/>
        <v>963</v>
      </c>
      <c r="K965">
        <f>IF(calendar[[#This Row],[Month]]&lt;4,1,IF(calendar[[#This Row],[Month]]&lt;7,2,IF(calendar[[#This Row],[Month]]&lt;10,3,4)))</f>
        <v>3</v>
      </c>
      <c r="L965">
        <f>IFERROR(IF(VLOOKUP(calendar[[#This Row],[Date]],BH!A:A,1,)&lt;&gt;"",1,0),0)</f>
        <v>0</v>
      </c>
      <c r="M965">
        <f>IFERROR(IF(VLOOKUP(calendar[[#This Row],[Date]],BH!C:C,1,)&lt;&gt;"",1,0),0)</f>
        <v>0</v>
      </c>
      <c r="N965">
        <f>IFERROR(IF(VLOOKUP(calendar[[#This Row],[Date]],BH!E:E,1,)&lt;&gt;"",1,0),0)</f>
        <v>0</v>
      </c>
      <c r="O965">
        <f>IFERROR(IF(VLOOKUP(calendar[[#This Row],[Date]],BH!G:G,1,)&lt;&gt;"",1,0),0)</f>
        <v>0</v>
      </c>
      <c r="P965">
        <f>IF(OR(calendar[[#This Row],[UK_BH]]=1,calendar[[#This Row],[WeekDay]]=1, calendar[[#This Row],[WeekDay]]=7),P964,P964+1)</f>
        <v>689</v>
      </c>
      <c r="Q965">
        <f>IF(OR(calendar[[#This Row],[FR_BH]]=1,calendar[[#This Row],[WeekDay]]=1, calendar[[#This Row],[WeekDay]]=7),P964,P964+1)</f>
        <v>689</v>
      </c>
      <c r="R965">
        <f>IF(OR(calendar[[#This Row],[SP_BH]]=1,calendar[[#This Row],[WeekDay]]=1, calendar[[#This Row],[WeekDay]]=7),P964,P964+1)</f>
        <v>689</v>
      </c>
      <c r="S965">
        <f>IF(OR(calendar[[#This Row],[PT_BH]]=1,calendar[[#This Row],[WeekDay]]=1, calendar[[#This Row],[WeekDay]]=7),P964,P964+1)</f>
        <v>689</v>
      </c>
    </row>
    <row r="966" spans="1:19" x14ac:dyDescent="0.25">
      <c r="A966" s="2">
        <v>43700</v>
      </c>
      <c r="B966" s="1">
        <f t="shared" si="78"/>
        <v>34</v>
      </c>
      <c r="C966">
        <f t="shared" si="75"/>
        <v>8</v>
      </c>
      <c r="D966" t="str">
        <f t="shared" si="76"/>
        <v>August</v>
      </c>
      <c r="E966">
        <f t="shared" si="77"/>
        <v>2019</v>
      </c>
      <c r="F966" t="str">
        <f>CONCATENATE(calendar[[#This Row],[Month]],"/",calendar[[#This Row],[Year]])</f>
        <v>8/2019</v>
      </c>
      <c r="G966">
        <f>WEEKDAY(calendar[[#This Row],[Date]],1)</f>
        <v>6</v>
      </c>
      <c r="H966" t="str">
        <f>TEXT(calendar[[#This Row],[WeekDay]],"dddd")</f>
        <v>Friday</v>
      </c>
      <c r="I966">
        <f>IF((INT(calendar[[#This Row],[Count]]/7)-calendar[[#This Row],[Count]]/7)&lt;0,I965,I965+1)</f>
        <v>138</v>
      </c>
      <c r="J966">
        <f t="shared" si="79"/>
        <v>964</v>
      </c>
      <c r="K966">
        <f>IF(calendar[[#This Row],[Month]]&lt;4,1,IF(calendar[[#This Row],[Month]]&lt;7,2,IF(calendar[[#This Row],[Month]]&lt;10,3,4)))</f>
        <v>3</v>
      </c>
      <c r="L966">
        <f>IFERROR(IF(VLOOKUP(calendar[[#This Row],[Date]],BH!A:A,1,)&lt;&gt;"",1,0),0)</f>
        <v>0</v>
      </c>
      <c r="M966">
        <f>IFERROR(IF(VLOOKUP(calendar[[#This Row],[Date]],BH!C:C,1,)&lt;&gt;"",1,0),0)</f>
        <v>0</v>
      </c>
      <c r="N966">
        <f>IFERROR(IF(VLOOKUP(calendar[[#This Row],[Date]],BH!E:E,1,)&lt;&gt;"",1,0),0)</f>
        <v>0</v>
      </c>
      <c r="O966">
        <f>IFERROR(IF(VLOOKUP(calendar[[#This Row],[Date]],BH!G:G,1,)&lt;&gt;"",1,0),0)</f>
        <v>0</v>
      </c>
      <c r="P966">
        <f>IF(OR(calendar[[#This Row],[UK_BH]]=1,calendar[[#This Row],[WeekDay]]=1, calendar[[#This Row],[WeekDay]]=7),P965,P965+1)</f>
        <v>690</v>
      </c>
      <c r="Q966">
        <f>IF(OR(calendar[[#This Row],[FR_BH]]=1,calendar[[#This Row],[WeekDay]]=1, calendar[[#This Row],[WeekDay]]=7),P965,P965+1)</f>
        <v>690</v>
      </c>
      <c r="R966">
        <f>IF(OR(calendar[[#This Row],[SP_BH]]=1,calendar[[#This Row],[WeekDay]]=1, calendar[[#This Row],[WeekDay]]=7),P965,P965+1)</f>
        <v>690</v>
      </c>
      <c r="S966">
        <f>IF(OR(calendar[[#This Row],[PT_BH]]=1,calendar[[#This Row],[WeekDay]]=1, calendar[[#This Row],[WeekDay]]=7),P965,P965+1)</f>
        <v>690</v>
      </c>
    </row>
    <row r="967" spans="1:19" x14ac:dyDescent="0.25">
      <c r="A967" s="2">
        <v>43701</v>
      </c>
      <c r="B967" s="1">
        <f t="shared" si="78"/>
        <v>34</v>
      </c>
      <c r="C967">
        <f t="shared" si="75"/>
        <v>8</v>
      </c>
      <c r="D967" t="str">
        <f t="shared" si="76"/>
        <v>August</v>
      </c>
      <c r="E967">
        <f t="shared" si="77"/>
        <v>2019</v>
      </c>
      <c r="F967" t="str">
        <f>CONCATENATE(calendar[[#This Row],[Month]],"/",calendar[[#This Row],[Year]])</f>
        <v>8/2019</v>
      </c>
      <c r="G967">
        <f>WEEKDAY(calendar[[#This Row],[Date]],1)</f>
        <v>7</v>
      </c>
      <c r="H967" t="str">
        <f>TEXT(calendar[[#This Row],[WeekDay]],"dddd")</f>
        <v>Saturday</v>
      </c>
      <c r="I967">
        <f>IF((INT(calendar[[#This Row],[Count]]/7)-calendar[[#This Row],[Count]]/7)&lt;0,I966,I966+1)</f>
        <v>138</v>
      </c>
      <c r="J967">
        <f t="shared" si="79"/>
        <v>965</v>
      </c>
      <c r="K967">
        <f>IF(calendar[[#This Row],[Month]]&lt;4,1,IF(calendar[[#This Row],[Month]]&lt;7,2,IF(calendar[[#This Row],[Month]]&lt;10,3,4)))</f>
        <v>3</v>
      </c>
      <c r="L967">
        <f>IFERROR(IF(VLOOKUP(calendar[[#This Row],[Date]],BH!A:A,1,)&lt;&gt;"",1,0),0)</f>
        <v>0</v>
      </c>
      <c r="M967">
        <f>IFERROR(IF(VLOOKUP(calendar[[#This Row],[Date]],BH!C:C,1,)&lt;&gt;"",1,0),0)</f>
        <v>0</v>
      </c>
      <c r="N967">
        <f>IFERROR(IF(VLOOKUP(calendar[[#This Row],[Date]],BH!E:E,1,)&lt;&gt;"",1,0),0)</f>
        <v>0</v>
      </c>
      <c r="O967">
        <f>IFERROR(IF(VLOOKUP(calendar[[#This Row],[Date]],BH!G:G,1,)&lt;&gt;"",1,0),0)</f>
        <v>0</v>
      </c>
      <c r="P967">
        <f>IF(OR(calendar[[#This Row],[UK_BH]]=1,calendar[[#This Row],[WeekDay]]=1, calendar[[#This Row],[WeekDay]]=7),P966,P966+1)</f>
        <v>690</v>
      </c>
      <c r="Q967">
        <f>IF(OR(calendar[[#This Row],[FR_BH]]=1,calendar[[#This Row],[WeekDay]]=1, calendar[[#This Row],[WeekDay]]=7),P966,P966+1)</f>
        <v>690</v>
      </c>
      <c r="R967">
        <f>IF(OR(calendar[[#This Row],[SP_BH]]=1,calendar[[#This Row],[WeekDay]]=1, calendar[[#This Row],[WeekDay]]=7),P966,P966+1)</f>
        <v>690</v>
      </c>
      <c r="S967">
        <f>IF(OR(calendar[[#This Row],[PT_BH]]=1,calendar[[#This Row],[WeekDay]]=1, calendar[[#This Row],[WeekDay]]=7),P966,P966+1)</f>
        <v>690</v>
      </c>
    </row>
    <row r="968" spans="1:19" x14ac:dyDescent="0.25">
      <c r="A968" s="2">
        <v>43702</v>
      </c>
      <c r="B968" s="1">
        <f t="shared" si="78"/>
        <v>35</v>
      </c>
      <c r="C968">
        <f t="shared" si="75"/>
        <v>8</v>
      </c>
      <c r="D968" t="str">
        <f t="shared" si="76"/>
        <v>August</v>
      </c>
      <c r="E968">
        <f t="shared" si="77"/>
        <v>2019</v>
      </c>
      <c r="F968" t="str">
        <f>CONCATENATE(calendar[[#This Row],[Month]],"/",calendar[[#This Row],[Year]])</f>
        <v>8/2019</v>
      </c>
      <c r="G968">
        <f>WEEKDAY(calendar[[#This Row],[Date]],1)</f>
        <v>1</v>
      </c>
      <c r="H968" t="str">
        <f>TEXT(calendar[[#This Row],[WeekDay]],"dddd")</f>
        <v>Sunday</v>
      </c>
      <c r="I968">
        <f>IF((INT(calendar[[#This Row],[Count]]/7)-calendar[[#This Row],[Count]]/7)&lt;0,I967,I967+1)</f>
        <v>139</v>
      </c>
      <c r="J968">
        <f t="shared" si="79"/>
        <v>966</v>
      </c>
      <c r="K968">
        <f>IF(calendar[[#This Row],[Month]]&lt;4,1,IF(calendar[[#This Row],[Month]]&lt;7,2,IF(calendar[[#This Row],[Month]]&lt;10,3,4)))</f>
        <v>3</v>
      </c>
      <c r="L968">
        <f>IFERROR(IF(VLOOKUP(calendar[[#This Row],[Date]],BH!A:A,1,)&lt;&gt;"",1,0),0)</f>
        <v>0</v>
      </c>
      <c r="M968">
        <f>IFERROR(IF(VLOOKUP(calendar[[#This Row],[Date]],BH!C:C,1,)&lt;&gt;"",1,0),0)</f>
        <v>0</v>
      </c>
      <c r="N968">
        <f>IFERROR(IF(VLOOKUP(calendar[[#This Row],[Date]],BH!E:E,1,)&lt;&gt;"",1,0),0)</f>
        <v>0</v>
      </c>
      <c r="O968">
        <f>IFERROR(IF(VLOOKUP(calendar[[#This Row],[Date]],BH!G:G,1,)&lt;&gt;"",1,0),0)</f>
        <v>0</v>
      </c>
      <c r="P968">
        <f>IF(OR(calendar[[#This Row],[UK_BH]]=1,calendar[[#This Row],[WeekDay]]=1, calendar[[#This Row],[WeekDay]]=7),P967,P967+1)</f>
        <v>690</v>
      </c>
      <c r="Q968">
        <f>IF(OR(calendar[[#This Row],[FR_BH]]=1,calendar[[#This Row],[WeekDay]]=1, calendar[[#This Row],[WeekDay]]=7),P967,P967+1)</f>
        <v>690</v>
      </c>
      <c r="R968">
        <f>IF(OR(calendar[[#This Row],[SP_BH]]=1,calendar[[#This Row],[WeekDay]]=1, calendar[[#This Row],[WeekDay]]=7),P967,P967+1)</f>
        <v>690</v>
      </c>
      <c r="S968">
        <f>IF(OR(calendar[[#This Row],[PT_BH]]=1,calendar[[#This Row],[WeekDay]]=1, calendar[[#This Row],[WeekDay]]=7),P967,P967+1)</f>
        <v>690</v>
      </c>
    </row>
    <row r="969" spans="1:19" x14ac:dyDescent="0.25">
      <c r="A969" s="2">
        <v>43703</v>
      </c>
      <c r="B969" s="1">
        <f t="shared" si="78"/>
        <v>35</v>
      </c>
      <c r="C969">
        <f t="shared" si="75"/>
        <v>8</v>
      </c>
      <c r="D969" t="str">
        <f t="shared" si="76"/>
        <v>August</v>
      </c>
      <c r="E969">
        <f t="shared" si="77"/>
        <v>2019</v>
      </c>
      <c r="F969" t="str">
        <f>CONCATENATE(calendar[[#This Row],[Month]],"/",calendar[[#This Row],[Year]])</f>
        <v>8/2019</v>
      </c>
      <c r="G969">
        <f>WEEKDAY(calendar[[#This Row],[Date]],1)</f>
        <v>2</v>
      </c>
      <c r="H969" t="str">
        <f>TEXT(calendar[[#This Row],[WeekDay]],"dddd")</f>
        <v>Monday</v>
      </c>
      <c r="I969">
        <f>IF((INT(calendar[[#This Row],[Count]]/7)-calendar[[#This Row],[Count]]/7)&lt;0,I968,I968+1)</f>
        <v>139</v>
      </c>
      <c r="J969">
        <f t="shared" si="79"/>
        <v>967</v>
      </c>
      <c r="K969">
        <f>IF(calendar[[#This Row],[Month]]&lt;4,1,IF(calendar[[#This Row],[Month]]&lt;7,2,IF(calendar[[#This Row],[Month]]&lt;10,3,4)))</f>
        <v>3</v>
      </c>
      <c r="L969">
        <f>IFERROR(IF(VLOOKUP(calendar[[#This Row],[Date]],BH!A:A,1,)&lt;&gt;"",1,0),0)</f>
        <v>0</v>
      </c>
      <c r="M969">
        <f>IFERROR(IF(VLOOKUP(calendar[[#This Row],[Date]],BH!C:C,1,)&lt;&gt;"",1,0),0)</f>
        <v>0</v>
      </c>
      <c r="N969">
        <f>IFERROR(IF(VLOOKUP(calendar[[#This Row],[Date]],BH!E:E,1,)&lt;&gt;"",1,0),0)</f>
        <v>0</v>
      </c>
      <c r="O969">
        <f>IFERROR(IF(VLOOKUP(calendar[[#This Row],[Date]],BH!G:G,1,)&lt;&gt;"",1,0),0)</f>
        <v>0</v>
      </c>
      <c r="P969">
        <f>IF(OR(calendar[[#This Row],[UK_BH]]=1,calendar[[#This Row],[WeekDay]]=1, calendar[[#This Row],[WeekDay]]=7),P968,P968+1)</f>
        <v>691</v>
      </c>
      <c r="Q969">
        <f>IF(OR(calendar[[#This Row],[FR_BH]]=1,calendar[[#This Row],[WeekDay]]=1, calendar[[#This Row],[WeekDay]]=7),P968,P968+1)</f>
        <v>691</v>
      </c>
      <c r="R969">
        <f>IF(OR(calendar[[#This Row],[SP_BH]]=1,calendar[[#This Row],[WeekDay]]=1, calendar[[#This Row],[WeekDay]]=7),P968,P968+1)</f>
        <v>691</v>
      </c>
      <c r="S969">
        <f>IF(OR(calendar[[#This Row],[PT_BH]]=1,calendar[[#This Row],[WeekDay]]=1, calendar[[#This Row],[WeekDay]]=7),P968,P968+1)</f>
        <v>691</v>
      </c>
    </row>
    <row r="970" spans="1:19" x14ac:dyDescent="0.25">
      <c r="A970" s="2">
        <v>43704</v>
      </c>
      <c r="B970" s="1">
        <f t="shared" si="78"/>
        <v>35</v>
      </c>
      <c r="C970">
        <f t="shared" si="75"/>
        <v>8</v>
      </c>
      <c r="D970" t="str">
        <f t="shared" si="76"/>
        <v>August</v>
      </c>
      <c r="E970">
        <f t="shared" si="77"/>
        <v>2019</v>
      </c>
      <c r="F970" t="str">
        <f>CONCATENATE(calendar[[#This Row],[Month]],"/",calendar[[#This Row],[Year]])</f>
        <v>8/2019</v>
      </c>
      <c r="G970">
        <f>WEEKDAY(calendar[[#This Row],[Date]],1)</f>
        <v>3</v>
      </c>
      <c r="H970" t="str">
        <f>TEXT(calendar[[#This Row],[WeekDay]],"dddd")</f>
        <v>Tuesday</v>
      </c>
      <c r="I970">
        <f>IF((INT(calendar[[#This Row],[Count]]/7)-calendar[[#This Row],[Count]]/7)&lt;0,I969,I969+1)</f>
        <v>139</v>
      </c>
      <c r="J970">
        <f t="shared" si="79"/>
        <v>968</v>
      </c>
      <c r="K970">
        <f>IF(calendar[[#This Row],[Month]]&lt;4,1,IF(calendar[[#This Row],[Month]]&lt;7,2,IF(calendar[[#This Row],[Month]]&lt;10,3,4)))</f>
        <v>3</v>
      </c>
      <c r="L970">
        <f>IFERROR(IF(VLOOKUP(calendar[[#This Row],[Date]],BH!A:A,1,)&lt;&gt;"",1,0),0)</f>
        <v>0</v>
      </c>
      <c r="M970">
        <f>IFERROR(IF(VLOOKUP(calendar[[#This Row],[Date]],BH!C:C,1,)&lt;&gt;"",1,0),0)</f>
        <v>0</v>
      </c>
      <c r="N970">
        <f>IFERROR(IF(VLOOKUP(calendar[[#This Row],[Date]],BH!E:E,1,)&lt;&gt;"",1,0),0)</f>
        <v>0</v>
      </c>
      <c r="O970">
        <f>IFERROR(IF(VLOOKUP(calendar[[#This Row],[Date]],BH!G:G,1,)&lt;&gt;"",1,0),0)</f>
        <v>0</v>
      </c>
      <c r="P970">
        <f>IF(OR(calendar[[#This Row],[UK_BH]]=1,calendar[[#This Row],[WeekDay]]=1, calendar[[#This Row],[WeekDay]]=7),P969,P969+1)</f>
        <v>692</v>
      </c>
      <c r="Q970">
        <f>IF(OR(calendar[[#This Row],[FR_BH]]=1,calendar[[#This Row],[WeekDay]]=1, calendar[[#This Row],[WeekDay]]=7),P969,P969+1)</f>
        <v>692</v>
      </c>
      <c r="R970">
        <f>IF(OR(calendar[[#This Row],[SP_BH]]=1,calendar[[#This Row],[WeekDay]]=1, calendar[[#This Row],[WeekDay]]=7),P969,P969+1)</f>
        <v>692</v>
      </c>
      <c r="S970">
        <f>IF(OR(calendar[[#This Row],[PT_BH]]=1,calendar[[#This Row],[WeekDay]]=1, calendar[[#This Row],[WeekDay]]=7),P969,P969+1)</f>
        <v>692</v>
      </c>
    </row>
    <row r="971" spans="1:19" x14ac:dyDescent="0.25">
      <c r="A971" s="2">
        <v>43705</v>
      </c>
      <c r="B971" s="1">
        <f t="shared" si="78"/>
        <v>35</v>
      </c>
      <c r="C971">
        <f t="shared" si="75"/>
        <v>8</v>
      </c>
      <c r="D971" t="str">
        <f t="shared" si="76"/>
        <v>August</v>
      </c>
      <c r="E971">
        <f t="shared" si="77"/>
        <v>2019</v>
      </c>
      <c r="F971" t="str">
        <f>CONCATENATE(calendar[[#This Row],[Month]],"/",calendar[[#This Row],[Year]])</f>
        <v>8/2019</v>
      </c>
      <c r="G971">
        <f>WEEKDAY(calendar[[#This Row],[Date]],1)</f>
        <v>4</v>
      </c>
      <c r="H971" t="str">
        <f>TEXT(calendar[[#This Row],[WeekDay]],"dddd")</f>
        <v>Wednesday</v>
      </c>
      <c r="I971">
        <f>IF((INT(calendar[[#This Row],[Count]]/7)-calendar[[#This Row],[Count]]/7)&lt;0,I970,I970+1)</f>
        <v>139</v>
      </c>
      <c r="J971">
        <f t="shared" si="79"/>
        <v>969</v>
      </c>
      <c r="K971">
        <f>IF(calendar[[#This Row],[Month]]&lt;4,1,IF(calendar[[#This Row],[Month]]&lt;7,2,IF(calendar[[#This Row],[Month]]&lt;10,3,4)))</f>
        <v>3</v>
      </c>
      <c r="L971">
        <f>IFERROR(IF(VLOOKUP(calendar[[#This Row],[Date]],BH!A:A,1,)&lt;&gt;"",1,0),0)</f>
        <v>0</v>
      </c>
      <c r="M971">
        <f>IFERROR(IF(VLOOKUP(calendar[[#This Row],[Date]],BH!C:C,1,)&lt;&gt;"",1,0),0)</f>
        <v>0</v>
      </c>
      <c r="N971">
        <f>IFERROR(IF(VLOOKUP(calendar[[#This Row],[Date]],BH!E:E,1,)&lt;&gt;"",1,0),0)</f>
        <v>0</v>
      </c>
      <c r="O971">
        <f>IFERROR(IF(VLOOKUP(calendar[[#This Row],[Date]],BH!G:G,1,)&lt;&gt;"",1,0),0)</f>
        <v>0</v>
      </c>
      <c r="P971">
        <f>IF(OR(calendar[[#This Row],[UK_BH]]=1,calendar[[#This Row],[WeekDay]]=1, calendar[[#This Row],[WeekDay]]=7),P970,P970+1)</f>
        <v>693</v>
      </c>
      <c r="Q971">
        <f>IF(OR(calendar[[#This Row],[FR_BH]]=1,calendar[[#This Row],[WeekDay]]=1, calendar[[#This Row],[WeekDay]]=7),P970,P970+1)</f>
        <v>693</v>
      </c>
      <c r="R971">
        <f>IF(OR(calendar[[#This Row],[SP_BH]]=1,calendar[[#This Row],[WeekDay]]=1, calendar[[#This Row],[WeekDay]]=7),P970,P970+1)</f>
        <v>693</v>
      </c>
      <c r="S971">
        <f>IF(OR(calendar[[#This Row],[PT_BH]]=1,calendar[[#This Row],[WeekDay]]=1, calendar[[#This Row],[WeekDay]]=7),P970,P970+1)</f>
        <v>693</v>
      </c>
    </row>
    <row r="972" spans="1:19" x14ac:dyDescent="0.25">
      <c r="A972" s="2">
        <v>43706</v>
      </c>
      <c r="B972" s="1">
        <f t="shared" si="78"/>
        <v>35</v>
      </c>
      <c r="C972">
        <f t="shared" si="75"/>
        <v>8</v>
      </c>
      <c r="D972" t="str">
        <f t="shared" si="76"/>
        <v>August</v>
      </c>
      <c r="E972">
        <f t="shared" si="77"/>
        <v>2019</v>
      </c>
      <c r="F972" t="str">
        <f>CONCATENATE(calendar[[#This Row],[Month]],"/",calendar[[#This Row],[Year]])</f>
        <v>8/2019</v>
      </c>
      <c r="G972">
        <f>WEEKDAY(calendar[[#This Row],[Date]],1)</f>
        <v>5</v>
      </c>
      <c r="H972" t="str">
        <f>TEXT(calendar[[#This Row],[WeekDay]],"dddd")</f>
        <v>Thursday</v>
      </c>
      <c r="I972">
        <f>IF((INT(calendar[[#This Row],[Count]]/7)-calendar[[#This Row],[Count]]/7)&lt;0,I971,I971+1)</f>
        <v>139</v>
      </c>
      <c r="J972">
        <f t="shared" si="79"/>
        <v>970</v>
      </c>
      <c r="K972">
        <f>IF(calendar[[#This Row],[Month]]&lt;4,1,IF(calendar[[#This Row],[Month]]&lt;7,2,IF(calendar[[#This Row],[Month]]&lt;10,3,4)))</f>
        <v>3</v>
      </c>
      <c r="L972">
        <f>IFERROR(IF(VLOOKUP(calendar[[#This Row],[Date]],BH!A:A,1,)&lt;&gt;"",1,0),0)</f>
        <v>0</v>
      </c>
      <c r="M972">
        <f>IFERROR(IF(VLOOKUP(calendar[[#This Row],[Date]],BH!C:C,1,)&lt;&gt;"",1,0),0)</f>
        <v>0</v>
      </c>
      <c r="N972">
        <f>IFERROR(IF(VLOOKUP(calendar[[#This Row],[Date]],BH!E:E,1,)&lt;&gt;"",1,0),0)</f>
        <v>0</v>
      </c>
      <c r="O972">
        <f>IFERROR(IF(VLOOKUP(calendar[[#This Row],[Date]],BH!G:G,1,)&lt;&gt;"",1,0),0)</f>
        <v>0</v>
      </c>
      <c r="P972">
        <f>IF(OR(calendar[[#This Row],[UK_BH]]=1,calendar[[#This Row],[WeekDay]]=1, calendar[[#This Row],[WeekDay]]=7),P971,P971+1)</f>
        <v>694</v>
      </c>
      <c r="Q972">
        <f>IF(OR(calendar[[#This Row],[FR_BH]]=1,calendar[[#This Row],[WeekDay]]=1, calendar[[#This Row],[WeekDay]]=7),P971,P971+1)</f>
        <v>694</v>
      </c>
      <c r="R972">
        <f>IF(OR(calendar[[#This Row],[SP_BH]]=1,calendar[[#This Row],[WeekDay]]=1, calendar[[#This Row],[WeekDay]]=7),P971,P971+1)</f>
        <v>694</v>
      </c>
      <c r="S972">
        <f>IF(OR(calendar[[#This Row],[PT_BH]]=1,calendar[[#This Row],[WeekDay]]=1, calendar[[#This Row],[WeekDay]]=7),P971,P971+1)</f>
        <v>694</v>
      </c>
    </row>
    <row r="973" spans="1:19" x14ac:dyDescent="0.25">
      <c r="A973" s="2">
        <v>43707</v>
      </c>
      <c r="B973" s="1">
        <f t="shared" si="78"/>
        <v>35</v>
      </c>
      <c r="C973">
        <f t="shared" si="75"/>
        <v>8</v>
      </c>
      <c r="D973" t="str">
        <f t="shared" si="76"/>
        <v>August</v>
      </c>
      <c r="E973">
        <f t="shared" si="77"/>
        <v>2019</v>
      </c>
      <c r="F973" t="str">
        <f>CONCATENATE(calendar[[#This Row],[Month]],"/",calendar[[#This Row],[Year]])</f>
        <v>8/2019</v>
      </c>
      <c r="G973">
        <f>WEEKDAY(calendar[[#This Row],[Date]],1)</f>
        <v>6</v>
      </c>
      <c r="H973" t="str">
        <f>TEXT(calendar[[#This Row],[WeekDay]],"dddd")</f>
        <v>Friday</v>
      </c>
      <c r="I973">
        <f>IF((INT(calendar[[#This Row],[Count]]/7)-calendar[[#This Row],[Count]]/7)&lt;0,I972,I972+1)</f>
        <v>139</v>
      </c>
      <c r="J973">
        <f t="shared" si="79"/>
        <v>971</v>
      </c>
      <c r="K973">
        <f>IF(calendar[[#This Row],[Month]]&lt;4,1,IF(calendar[[#This Row],[Month]]&lt;7,2,IF(calendar[[#This Row],[Month]]&lt;10,3,4)))</f>
        <v>3</v>
      </c>
      <c r="L973">
        <f>IFERROR(IF(VLOOKUP(calendar[[#This Row],[Date]],BH!A:A,1,)&lt;&gt;"",1,0),0)</f>
        <v>0</v>
      </c>
      <c r="M973">
        <f>IFERROR(IF(VLOOKUP(calendar[[#This Row],[Date]],BH!C:C,1,)&lt;&gt;"",1,0),0)</f>
        <v>0</v>
      </c>
      <c r="N973">
        <f>IFERROR(IF(VLOOKUP(calendar[[#This Row],[Date]],BH!E:E,1,)&lt;&gt;"",1,0),0)</f>
        <v>0</v>
      </c>
      <c r="O973">
        <f>IFERROR(IF(VLOOKUP(calendar[[#This Row],[Date]],BH!G:G,1,)&lt;&gt;"",1,0),0)</f>
        <v>0</v>
      </c>
      <c r="P973">
        <f>IF(OR(calendar[[#This Row],[UK_BH]]=1,calendar[[#This Row],[WeekDay]]=1, calendar[[#This Row],[WeekDay]]=7),P972,P972+1)</f>
        <v>695</v>
      </c>
      <c r="Q973">
        <f>IF(OR(calendar[[#This Row],[FR_BH]]=1,calendar[[#This Row],[WeekDay]]=1, calendar[[#This Row],[WeekDay]]=7),P972,P972+1)</f>
        <v>695</v>
      </c>
      <c r="R973">
        <f>IF(OR(calendar[[#This Row],[SP_BH]]=1,calendar[[#This Row],[WeekDay]]=1, calendar[[#This Row],[WeekDay]]=7),P972,P972+1)</f>
        <v>695</v>
      </c>
      <c r="S973">
        <f>IF(OR(calendar[[#This Row],[PT_BH]]=1,calendar[[#This Row],[WeekDay]]=1, calendar[[#This Row],[WeekDay]]=7),P972,P972+1)</f>
        <v>695</v>
      </c>
    </row>
    <row r="974" spans="1:19" x14ac:dyDescent="0.25">
      <c r="A974" s="2">
        <v>43708</v>
      </c>
      <c r="B974" s="1">
        <f t="shared" si="78"/>
        <v>35</v>
      </c>
      <c r="C974">
        <f t="shared" si="75"/>
        <v>8</v>
      </c>
      <c r="D974" t="str">
        <f t="shared" si="76"/>
        <v>August</v>
      </c>
      <c r="E974">
        <f t="shared" si="77"/>
        <v>2019</v>
      </c>
      <c r="F974" t="str">
        <f>CONCATENATE(calendar[[#This Row],[Month]],"/",calendar[[#This Row],[Year]])</f>
        <v>8/2019</v>
      </c>
      <c r="G974">
        <f>WEEKDAY(calendar[[#This Row],[Date]],1)</f>
        <v>7</v>
      </c>
      <c r="H974" t="str">
        <f>TEXT(calendar[[#This Row],[WeekDay]],"dddd")</f>
        <v>Saturday</v>
      </c>
      <c r="I974">
        <f>IF((INT(calendar[[#This Row],[Count]]/7)-calendar[[#This Row],[Count]]/7)&lt;0,I973,I973+1)</f>
        <v>139</v>
      </c>
      <c r="J974">
        <f t="shared" si="79"/>
        <v>972</v>
      </c>
      <c r="K974">
        <f>IF(calendar[[#This Row],[Month]]&lt;4,1,IF(calendar[[#This Row],[Month]]&lt;7,2,IF(calendar[[#This Row],[Month]]&lt;10,3,4)))</f>
        <v>3</v>
      </c>
      <c r="L974">
        <f>IFERROR(IF(VLOOKUP(calendar[[#This Row],[Date]],BH!A:A,1,)&lt;&gt;"",1,0),0)</f>
        <v>0</v>
      </c>
      <c r="M974">
        <f>IFERROR(IF(VLOOKUP(calendar[[#This Row],[Date]],BH!C:C,1,)&lt;&gt;"",1,0),0)</f>
        <v>0</v>
      </c>
      <c r="N974">
        <f>IFERROR(IF(VLOOKUP(calendar[[#This Row],[Date]],BH!E:E,1,)&lt;&gt;"",1,0),0)</f>
        <v>0</v>
      </c>
      <c r="O974">
        <f>IFERROR(IF(VLOOKUP(calendar[[#This Row],[Date]],BH!G:G,1,)&lt;&gt;"",1,0),0)</f>
        <v>0</v>
      </c>
      <c r="P974">
        <f>IF(OR(calendar[[#This Row],[UK_BH]]=1,calendar[[#This Row],[WeekDay]]=1, calendar[[#This Row],[WeekDay]]=7),P973,P973+1)</f>
        <v>695</v>
      </c>
      <c r="Q974">
        <f>IF(OR(calendar[[#This Row],[FR_BH]]=1,calendar[[#This Row],[WeekDay]]=1, calendar[[#This Row],[WeekDay]]=7),P973,P973+1)</f>
        <v>695</v>
      </c>
      <c r="R974">
        <f>IF(OR(calendar[[#This Row],[SP_BH]]=1,calendar[[#This Row],[WeekDay]]=1, calendar[[#This Row],[WeekDay]]=7),P973,P973+1)</f>
        <v>695</v>
      </c>
      <c r="S974">
        <f>IF(OR(calendar[[#This Row],[PT_BH]]=1,calendar[[#This Row],[WeekDay]]=1, calendar[[#This Row],[WeekDay]]=7),P973,P973+1)</f>
        <v>695</v>
      </c>
    </row>
    <row r="975" spans="1:19" x14ac:dyDescent="0.25">
      <c r="A975" s="2">
        <v>43709</v>
      </c>
      <c r="B975" s="1">
        <f t="shared" si="78"/>
        <v>36</v>
      </c>
      <c r="C975">
        <f t="shared" si="75"/>
        <v>9</v>
      </c>
      <c r="D975" t="str">
        <f t="shared" si="76"/>
        <v>September</v>
      </c>
      <c r="E975">
        <f t="shared" si="77"/>
        <v>2019</v>
      </c>
      <c r="F975" t="str">
        <f>CONCATENATE(calendar[[#This Row],[Month]],"/",calendar[[#This Row],[Year]])</f>
        <v>9/2019</v>
      </c>
      <c r="G975">
        <f>WEEKDAY(calendar[[#This Row],[Date]],1)</f>
        <v>1</v>
      </c>
      <c r="H975" t="str">
        <f>TEXT(calendar[[#This Row],[WeekDay]],"dddd")</f>
        <v>Sunday</v>
      </c>
      <c r="I975">
        <f>IF((INT(calendar[[#This Row],[Count]]/7)-calendar[[#This Row],[Count]]/7)&lt;0,I974,I974+1)</f>
        <v>140</v>
      </c>
      <c r="J975">
        <f t="shared" si="79"/>
        <v>973</v>
      </c>
      <c r="K975">
        <f>IF(calendar[[#This Row],[Month]]&lt;4,1,IF(calendar[[#This Row],[Month]]&lt;7,2,IF(calendar[[#This Row],[Month]]&lt;10,3,4)))</f>
        <v>3</v>
      </c>
      <c r="L975">
        <f>IFERROR(IF(VLOOKUP(calendar[[#This Row],[Date]],BH!A:A,1,)&lt;&gt;"",1,0),0)</f>
        <v>0</v>
      </c>
      <c r="M975">
        <f>IFERROR(IF(VLOOKUP(calendar[[#This Row],[Date]],BH!C:C,1,)&lt;&gt;"",1,0),0)</f>
        <v>0</v>
      </c>
      <c r="N975">
        <f>IFERROR(IF(VLOOKUP(calendar[[#This Row],[Date]],BH!E:E,1,)&lt;&gt;"",1,0),0)</f>
        <v>0</v>
      </c>
      <c r="O975">
        <f>IFERROR(IF(VLOOKUP(calendar[[#This Row],[Date]],BH!G:G,1,)&lt;&gt;"",1,0),0)</f>
        <v>0</v>
      </c>
      <c r="P975">
        <f>IF(OR(calendar[[#This Row],[UK_BH]]=1,calendar[[#This Row],[WeekDay]]=1, calendar[[#This Row],[WeekDay]]=7),P974,P974+1)</f>
        <v>695</v>
      </c>
      <c r="Q975">
        <f>IF(OR(calendar[[#This Row],[FR_BH]]=1,calendar[[#This Row],[WeekDay]]=1, calendar[[#This Row],[WeekDay]]=7),P974,P974+1)</f>
        <v>695</v>
      </c>
      <c r="R975">
        <f>IF(OR(calendar[[#This Row],[SP_BH]]=1,calendar[[#This Row],[WeekDay]]=1, calendar[[#This Row],[WeekDay]]=7),P974,P974+1)</f>
        <v>695</v>
      </c>
      <c r="S975">
        <f>IF(OR(calendar[[#This Row],[PT_BH]]=1,calendar[[#This Row],[WeekDay]]=1, calendar[[#This Row],[WeekDay]]=7),P974,P974+1)</f>
        <v>695</v>
      </c>
    </row>
    <row r="976" spans="1:19" x14ac:dyDescent="0.25">
      <c r="A976" s="2">
        <v>43710</v>
      </c>
      <c r="B976" s="1">
        <f t="shared" si="78"/>
        <v>36</v>
      </c>
      <c r="C976">
        <f t="shared" ref="C976:C1039" si="80">MONTH(A976)</f>
        <v>9</v>
      </c>
      <c r="D976" t="str">
        <f t="shared" ref="D976:D1039" si="81">TEXT(A976,"mmmm")</f>
        <v>September</v>
      </c>
      <c r="E976">
        <f t="shared" ref="E976:E1039" si="82">YEAR(A976)</f>
        <v>2019</v>
      </c>
      <c r="F976" t="str">
        <f>CONCATENATE(calendar[[#This Row],[Month]],"/",calendar[[#This Row],[Year]])</f>
        <v>9/2019</v>
      </c>
      <c r="G976">
        <f>WEEKDAY(calendar[[#This Row],[Date]],1)</f>
        <v>2</v>
      </c>
      <c r="H976" t="str">
        <f>TEXT(calendar[[#This Row],[WeekDay]],"dddd")</f>
        <v>Monday</v>
      </c>
      <c r="I976">
        <f>IF((INT(calendar[[#This Row],[Count]]/7)-calendar[[#This Row],[Count]]/7)&lt;0,I975,I975+1)</f>
        <v>140</v>
      </c>
      <c r="J976">
        <f t="shared" si="79"/>
        <v>974</v>
      </c>
      <c r="K976">
        <f>IF(calendar[[#This Row],[Month]]&lt;4,1,IF(calendar[[#This Row],[Month]]&lt;7,2,IF(calendar[[#This Row],[Month]]&lt;10,3,4)))</f>
        <v>3</v>
      </c>
      <c r="L976">
        <f>IFERROR(IF(VLOOKUP(calendar[[#This Row],[Date]],BH!A:A,1,)&lt;&gt;"",1,0),0)</f>
        <v>0</v>
      </c>
      <c r="M976">
        <f>IFERROR(IF(VLOOKUP(calendar[[#This Row],[Date]],BH!C:C,1,)&lt;&gt;"",1,0),0)</f>
        <v>0</v>
      </c>
      <c r="N976">
        <f>IFERROR(IF(VLOOKUP(calendar[[#This Row],[Date]],BH!E:E,1,)&lt;&gt;"",1,0),0)</f>
        <v>0</v>
      </c>
      <c r="O976">
        <f>IFERROR(IF(VLOOKUP(calendar[[#This Row],[Date]],BH!G:G,1,)&lt;&gt;"",1,0),0)</f>
        <v>0</v>
      </c>
      <c r="P976">
        <f>IF(OR(calendar[[#This Row],[UK_BH]]=1,calendar[[#This Row],[WeekDay]]=1, calendar[[#This Row],[WeekDay]]=7),P975,P975+1)</f>
        <v>696</v>
      </c>
      <c r="Q976">
        <f>IF(OR(calendar[[#This Row],[FR_BH]]=1,calendar[[#This Row],[WeekDay]]=1, calendar[[#This Row],[WeekDay]]=7),P975,P975+1)</f>
        <v>696</v>
      </c>
      <c r="R976">
        <f>IF(OR(calendar[[#This Row],[SP_BH]]=1,calendar[[#This Row],[WeekDay]]=1, calendar[[#This Row],[WeekDay]]=7),P975,P975+1)</f>
        <v>696</v>
      </c>
      <c r="S976">
        <f>IF(OR(calendar[[#This Row],[PT_BH]]=1,calendar[[#This Row],[WeekDay]]=1, calendar[[#This Row],[WeekDay]]=7),P975,P975+1)</f>
        <v>696</v>
      </c>
    </row>
    <row r="977" spans="1:19" x14ac:dyDescent="0.25">
      <c r="A977" s="2">
        <v>43711</v>
      </c>
      <c r="B977" s="1">
        <f t="shared" si="78"/>
        <v>36</v>
      </c>
      <c r="C977">
        <f t="shared" si="80"/>
        <v>9</v>
      </c>
      <c r="D977" t="str">
        <f t="shared" si="81"/>
        <v>September</v>
      </c>
      <c r="E977">
        <f t="shared" si="82"/>
        <v>2019</v>
      </c>
      <c r="F977" t="str">
        <f>CONCATENATE(calendar[[#This Row],[Month]],"/",calendar[[#This Row],[Year]])</f>
        <v>9/2019</v>
      </c>
      <c r="G977">
        <f>WEEKDAY(calendar[[#This Row],[Date]],1)</f>
        <v>3</v>
      </c>
      <c r="H977" t="str">
        <f>TEXT(calendar[[#This Row],[WeekDay]],"dddd")</f>
        <v>Tuesday</v>
      </c>
      <c r="I977">
        <f>IF((INT(calendar[[#This Row],[Count]]/7)-calendar[[#This Row],[Count]]/7)&lt;0,I976,I976+1)</f>
        <v>140</v>
      </c>
      <c r="J977">
        <f t="shared" si="79"/>
        <v>975</v>
      </c>
      <c r="K977">
        <f>IF(calendar[[#This Row],[Month]]&lt;4,1,IF(calendar[[#This Row],[Month]]&lt;7,2,IF(calendar[[#This Row],[Month]]&lt;10,3,4)))</f>
        <v>3</v>
      </c>
      <c r="L977">
        <f>IFERROR(IF(VLOOKUP(calendar[[#This Row],[Date]],BH!A:A,1,)&lt;&gt;"",1,0),0)</f>
        <v>0</v>
      </c>
      <c r="M977">
        <f>IFERROR(IF(VLOOKUP(calendar[[#This Row],[Date]],BH!C:C,1,)&lt;&gt;"",1,0),0)</f>
        <v>0</v>
      </c>
      <c r="N977">
        <f>IFERROR(IF(VLOOKUP(calendar[[#This Row],[Date]],BH!E:E,1,)&lt;&gt;"",1,0),0)</f>
        <v>0</v>
      </c>
      <c r="O977">
        <f>IFERROR(IF(VLOOKUP(calendar[[#This Row],[Date]],BH!G:G,1,)&lt;&gt;"",1,0),0)</f>
        <v>0</v>
      </c>
      <c r="P977">
        <f>IF(OR(calendar[[#This Row],[UK_BH]]=1,calendar[[#This Row],[WeekDay]]=1, calendar[[#This Row],[WeekDay]]=7),P976,P976+1)</f>
        <v>697</v>
      </c>
      <c r="Q977">
        <f>IF(OR(calendar[[#This Row],[FR_BH]]=1,calendar[[#This Row],[WeekDay]]=1, calendar[[#This Row],[WeekDay]]=7),P976,P976+1)</f>
        <v>697</v>
      </c>
      <c r="R977">
        <f>IF(OR(calendar[[#This Row],[SP_BH]]=1,calendar[[#This Row],[WeekDay]]=1, calendar[[#This Row],[WeekDay]]=7),P976,P976+1)</f>
        <v>697</v>
      </c>
      <c r="S977">
        <f>IF(OR(calendar[[#This Row],[PT_BH]]=1,calendar[[#This Row],[WeekDay]]=1, calendar[[#This Row],[WeekDay]]=7),P976,P976+1)</f>
        <v>697</v>
      </c>
    </row>
    <row r="978" spans="1:19" x14ac:dyDescent="0.25">
      <c r="A978" s="2">
        <v>43712</v>
      </c>
      <c r="B978" s="1">
        <f t="shared" si="78"/>
        <v>36</v>
      </c>
      <c r="C978">
        <f t="shared" si="80"/>
        <v>9</v>
      </c>
      <c r="D978" t="str">
        <f t="shared" si="81"/>
        <v>September</v>
      </c>
      <c r="E978">
        <f t="shared" si="82"/>
        <v>2019</v>
      </c>
      <c r="F978" t="str">
        <f>CONCATENATE(calendar[[#This Row],[Month]],"/",calendar[[#This Row],[Year]])</f>
        <v>9/2019</v>
      </c>
      <c r="G978">
        <f>WEEKDAY(calendar[[#This Row],[Date]],1)</f>
        <v>4</v>
      </c>
      <c r="H978" t="str">
        <f>TEXT(calendar[[#This Row],[WeekDay]],"dddd")</f>
        <v>Wednesday</v>
      </c>
      <c r="I978">
        <f>IF((INT(calendar[[#This Row],[Count]]/7)-calendar[[#This Row],[Count]]/7)&lt;0,I977,I977+1)</f>
        <v>140</v>
      </c>
      <c r="J978">
        <f t="shared" si="79"/>
        <v>976</v>
      </c>
      <c r="K978">
        <f>IF(calendar[[#This Row],[Month]]&lt;4,1,IF(calendar[[#This Row],[Month]]&lt;7,2,IF(calendar[[#This Row],[Month]]&lt;10,3,4)))</f>
        <v>3</v>
      </c>
      <c r="L978">
        <f>IFERROR(IF(VLOOKUP(calendar[[#This Row],[Date]],BH!A:A,1,)&lt;&gt;"",1,0),0)</f>
        <v>0</v>
      </c>
      <c r="M978">
        <f>IFERROR(IF(VLOOKUP(calendar[[#This Row],[Date]],BH!C:C,1,)&lt;&gt;"",1,0),0)</f>
        <v>0</v>
      </c>
      <c r="N978">
        <f>IFERROR(IF(VLOOKUP(calendar[[#This Row],[Date]],BH!E:E,1,)&lt;&gt;"",1,0),0)</f>
        <v>0</v>
      </c>
      <c r="O978">
        <f>IFERROR(IF(VLOOKUP(calendar[[#This Row],[Date]],BH!G:G,1,)&lt;&gt;"",1,0),0)</f>
        <v>0</v>
      </c>
      <c r="P978">
        <f>IF(OR(calendar[[#This Row],[UK_BH]]=1,calendar[[#This Row],[WeekDay]]=1, calendar[[#This Row],[WeekDay]]=7),P977,P977+1)</f>
        <v>698</v>
      </c>
      <c r="Q978">
        <f>IF(OR(calendar[[#This Row],[FR_BH]]=1,calendar[[#This Row],[WeekDay]]=1, calendar[[#This Row],[WeekDay]]=7),P977,P977+1)</f>
        <v>698</v>
      </c>
      <c r="R978">
        <f>IF(OR(calendar[[#This Row],[SP_BH]]=1,calendar[[#This Row],[WeekDay]]=1, calendar[[#This Row],[WeekDay]]=7),P977,P977+1)</f>
        <v>698</v>
      </c>
      <c r="S978">
        <f>IF(OR(calendar[[#This Row],[PT_BH]]=1,calendar[[#This Row],[WeekDay]]=1, calendar[[#This Row],[WeekDay]]=7),P977,P977+1)</f>
        <v>698</v>
      </c>
    </row>
    <row r="979" spans="1:19" x14ac:dyDescent="0.25">
      <c r="A979" s="2">
        <v>43713</v>
      </c>
      <c r="B979" s="1">
        <f t="shared" si="78"/>
        <v>36</v>
      </c>
      <c r="C979">
        <f t="shared" si="80"/>
        <v>9</v>
      </c>
      <c r="D979" t="str">
        <f t="shared" si="81"/>
        <v>September</v>
      </c>
      <c r="E979">
        <f t="shared" si="82"/>
        <v>2019</v>
      </c>
      <c r="F979" t="str">
        <f>CONCATENATE(calendar[[#This Row],[Month]],"/",calendar[[#This Row],[Year]])</f>
        <v>9/2019</v>
      </c>
      <c r="G979">
        <f>WEEKDAY(calendar[[#This Row],[Date]],1)</f>
        <v>5</v>
      </c>
      <c r="H979" t="str">
        <f>TEXT(calendar[[#This Row],[WeekDay]],"dddd")</f>
        <v>Thursday</v>
      </c>
      <c r="I979">
        <f>IF((INT(calendar[[#This Row],[Count]]/7)-calendar[[#This Row],[Count]]/7)&lt;0,I978,I978+1)</f>
        <v>140</v>
      </c>
      <c r="J979">
        <f t="shared" si="79"/>
        <v>977</v>
      </c>
      <c r="K979">
        <f>IF(calendar[[#This Row],[Month]]&lt;4,1,IF(calendar[[#This Row],[Month]]&lt;7,2,IF(calendar[[#This Row],[Month]]&lt;10,3,4)))</f>
        <v>3</v>
      </c>
      <c r="L979">
        <f>IFERROR(IF(VLOOKUP(calendar[[#This Row],[Date]],BH!A:A,1,)&lt;&gt;"",1,0),0)</f>
        <v>0</v>
      </c>
      <c r="M979">
        <f>IFERROR(IF(VLOOKUP(calendar[[#This Row],[Date]],BH!C:C,1,)&lt;&gt;"",1,0),0)</f>
        <v>0</v>
      </c>
      <c r="N979">
        <f>IFERROR(IF(VLOOKUP(calendar[[#This Row],[Date]],BH!E:E,1,)&lt;&gt;"",1,0),0)</f>
        <v>0</v>
      </c>
      <c r="O979">
        <f>IFERROR(IF(VLOOKUP(calendar[[#This Row],[Date]],BH!G:G,1,)&lt;&gt;"",1,0),0)</f>
        <v>0</v>
      </c>
      <c r="P979">
        <f>IF(OR(calendar[[#This Row],[UK_BH]]=1,calendar[[#This Row],[WeekDay]]=1, calendar[[#This Row],[WeekDay]]=7),P978,P978+1)</f>
        <v>699</v>
      </c>
      <c r="Q979">
        <f>IF(OR(calendar[[#This Row],[FR_BH]]=1,calendar[[#This Row],[WeekDay]]=1, calendar[[#This Row],[WeekDay]]=7),P978,P978+1)</f>
        <v>699</v>
      </c>
      <c r="R979">
        <f>IF(OR(calendar[[#This Row],[SP_BH]]=1,calendar[[#This Row],[WeekDay]]=1, calendar[[#This Row],[WeekDay]]=7),P978,P978+1)</f>
        <v>699</v>
      </c>
      <c r="S979">
        <f>IF(OR(calendar[[#This Row],[PT_BH]]=1,calendar[[#This Row],[WeekDay]]=1, calendar[[#This Row],[WeekDay]]=7),P978,P978+1)</f>
        <v>699</v>
      </c>
    </row>
    <row r="980" spans="1:19" x14ac:dyDescent="0.25">
      <c r="A980" s="2">
        <v>43714</v>
      </c>
      <c r="B980" s="1">
        <f t="shared" si="78"/>
        <v>36</v>
      </c>
      <c r="C980">
        <f t="shared" si="80"/>
        <v>9</v>
      </c>
      <c r="D980" t="str">
        <f t="shared" si="81"/>
        <v>September</v>
      </c>
      <c r="E980">
        <f t="shared" si="82"/>
        <v>2019</v>
      </c>
      <c r="F980" t="str">
        <f>CONCATENATE(calendar[[#This Row],[Month]],"/",calendar[[#This Row],[Year]])</f>
        <v>9/2019</v>
      </c>
      <c r="G980">
        <f>WEEKDAY(calendar[[#This Row],[Date]],1)</f>
        <v>6</v>
      </c>
      <c r="H980" t="str">
        <f>TEXT(calendar[[#This Row],[WeekDay]],"dddd")</f>
        <v>Friday</v>
      </c>
      <c r="I980">
        <f>IF((INT(calendar[[#This Row],[Count]]/7)-calendar[[#This Row],[Count]]/7)&lt;0,I979,I979+1)</f>
        <v>140</v>
      </c>
      <c r="J980">
        <f t="shared" si="79"/>
        <v>978</v>
      </c>
      <c r="K980">
        <f>IF(calendar[[#This Row],[Month]]&lt;4,1,IF(calendar[[#This Row],[Month]]&lt;7,2,IF(calendar[[#This Row],[Month]]&lt;10,3,4)))</f>
        <v>3</v>
      </c>
      <c r="L980">
        <f>IFERROR(IF(VLOOKUP(calendar[[#This Row],[Date]],BH!A:A,1,)&lt;&gt;"",1,0),0)</f>
        <v>0</v>
      </c>
      <c r="M980">
        <f>IFERROR(IF(VLOOKUP(calendar[[#This Row],[Date]],BH!C:C,1,)&lt;&gt;"",1,0),0)</f>
        <v>0</v>
      </c>
      <c r="N980">
        <f>IFERROR(IF(VLOOKUP(calendar[[#This Row],[Date]],BH!E:E,1,)&lt;&gt;"",1,0),0)</f>
        <v>0</v>
      </c>
      <c r="O980">
        <f>IFERROR(IF(VLOOKUP(calendar[[#This Row],[Date]],BH!G:G,1,)&lt;&gt;"",1,0),0)</f>
        <v>0</v>
      </c>
      <c r="P980">
        <f>IF(OR(calendar[[#This Row],[UK_BH]]=1,calendar[[#This Row],[WeekDay]]=1, calendar[[#This Row],[WeekDay]]=7),P979,P979+1)</f>
        <v>700</v>
      </c>
      <c r="Q980">
        <f>IF(OR(calendar[[#This Row],[FR_BH]]=1,calendar[[#This Row],[WeekDay]]=1, calendar[[#This Row],[WeekDay]]=7),P979,P979+1)</f>
        <v>700</v>
      </c>
      <c r="R980">
        <f>IF(OR(calendar[[#This Row],[SP_BH]]=1,calendar[[#This Row],[WeekDay]]=1, calendar[[#This Row],[WeekDay]]=7),P979,P979+1)</f>
        <v>700</v>
      </c>
      <c r="S980">
        <f>IF(OR(calendar[[#This Row],[PT_BH]]=1,calendar[[#This Row],[WeekDay]]=1, calendar[[#This Row],[WeekDay]]=7),P979,P979+1)</f>
        <v>700</v>
      </c>
    </row>
    <row r="981" spans="1:19" x14ac:dyDescent="0.25">
      <c r="A981" s="2">
        <v>43715</v>
      </c>
      <c r="B981" s="1">
        <f t="shared" si="78"/>
        <v>36</v>
      </c>
      <c r="C981">
        <f t="shared" si="80"/>
        <v>9</v>
      </c>
      <c r="D981" t="str">
        <f t="shared" si="81"/>
        <v>September</v>
      </c>
      <c r="E981">
        <f t="shared" si="82"/>
        <v>2019</v>
      </c>
      <c r="F981" t="str">
        <f>CONCATENATE(calendar[[#This Row],[Month]],"/",calendar[[#This Row],[Year]])</f>
        <v>9/2019</v>
      </c>
      <c r="G981">
        <f>WEEKDAY(calendar[[#This Row],[Date]],1)</f>
        <v>7</v>
      </c>
      <c r="H981" t="str">
        <f>TEXT(calendar[[#This Row],[WeekDay]],"dddd")</f>
        <v>Saturday</v>
      </c>
      <c r="I981">
        <f>IF((INT(calendar[[#This Row],[Count]]/7)-calendar[[#This Row],[Count]]/7)&lt;0,I980,I980+1)</f>
        <v>140</v>
      </c>
      <c r="J981">
        <f t="shared" si="79"/>
        <v>979</v>
      </c>
      <c r="K981">
        <f>IF(calendar[[#This Row],[Month]]&lt;4,1,IF(calendar[[#This Row],[Month]]&lt;7,2,IF(calendar[[#This Row],[Month]]&lt;10,3,4)))</f>
        <v>3</v>
      </c>
      <c r="L981">
        <f>IFERROR(IF(VLOOKUP(calendar[[#This Row],[Date]],BH!A:A,1,)&lt;&gt;"",1,0),0)</f>
        <v>0</v>
      </c>
      <c r="M981">
        <f>IFERROR(IF(VLOOKUP(calendar[[#This Row],[Date]],BH!C:C,1,)&lt;&gt;"",1,0),0)</f>
        <v>0</v>
      </c>
      <c r="N981">
        <f>IFERROR(IF(VLOOKUP(calendar[[#This Row],[Date]],BH!E:E,1,)&lt;&gt;"",1,0),0)</f>
        <v>0</v>
      </c>
      <c r="O981">
        <f>IFERROR(IF(VLOOKUP(calendar[[#This Row],[Date]],BH!G:G,1,)&lt;&gt;"",1,0),0)</f>
        <v>0</v>
      </c>
      <c r="P981">
        <f>IF(OR(calendar[[#This Row],[UK_BH]]=1,calendar[[#This Row],[WeekDay]]=1, calendar[[#This Row],[WeekDay]]=7),P980,P980+1)</f>
        <v>700</v>
      </c>
      <c r="Q981">
        <f>IF(OR(calendar[[#This Row],[FR_BH]]=1,calendar[[#This Row],[WeekDay]]=1, calendar[[#This Row],[WeekDay]]=7),P980,P980+1)</f>
        <v>700</v>
      </c>
      <c r="R981">
        <f>IF(OR(calendar[[#This Row],[SP_BH]]=1,calendar[[#This Row],[WeekDay]]=1, calendar[[#This Row],[WeekDay]]=7),P980,P980+1)</f>
        <v>700</v>
      </c>
      <c r="S981">
        <f>IF(OR(calendar[[#This Row],[PT_BH]]=1,calendar[[#This Row],[WeekDay]]=1, calendar[[#This Row],[WeekDay]]=7),P980,P980+1)</f>
        <v>700</v>
      </c>
    </row>
    <row r="982" spans="1:19" x14ac:dyDescent="0.25">
      <c r="A982" s="2">
        <v>43716</v>
      </c>
      <c r="B982" s="1">
        <f t="shared" si="78"/>
        <v>37</v>
      </c>
      <c r="C982">
        <f t="shared" si="80"/>
        <v>9</v>
      </c>
      <c r="D982" t="str">
        <f t="shared" si="81"/>
        <v>September</v>
      </c>
      <c r="E982">
        <f t="shared" si="82"/>
        <v>2019</v>
      </c>
      <c r="F982" t="str">
        <f>CONCATENATE(calendar[[#This Row],[Month]],"/",calendar[[#This Row],[Year]])</f>
        <v>9/2019</v>
      </c>
      <c r="G982">
        <f>WEEKDAY(calendar[[#This Row],[Date]],1)</f>
        <v>1</v>
      </c>
      <c r="H982" t="str">
        <f>TEXT(calendar[[#This Row],[WeekDay]],"dddd")</f>
        <v>Sunday</v>
      </c>
      <c r="I982">
        <f>IF((INT(calendar[[#This Row],[Count]]/7)-calendar[[#This Row],[Count]]/7)&lt;0,I981,I981+1)</f>
        <v>141</v>
      </c>
      <c r="J982">
        <f t="shared" si="79"/>
        <v>980</v>
      </c>
      <c r="K982">
        <f>IF(calendar[[#This Row],[Month]]&lt;4,1,IF(calendar[[#This Row],[Month]]&lt;7,2,IF(calendar[[#This Row],[Month]]&lt;10,3,4)))</f>
        <v>3</v>
      </c>
      <c r="L982">
        <f>IFERROR(IF(VLOOKUP(calendar[[#This Row],[Date]],BH!A:A,1,)&lt;&gt;"",1,0),0)</f>
        <v>0</v>
      </c>
      <c r="M982">
        <f>IFERROR(IF(VLOOKUP(calendar[[#This Row],[Date]],BH!C:C,1,)&lt;&gt;"",1,0),0)</f>
        <v>0</v>
      </c>
      <c r="N982">
        <f>IFERROR(IF(VLOOKUP(calendar[[#This Row],[Date]],BH!E:E,1,)&lt;&gt;"",1,0),0)</f>
        <v>0</v>
      </c>
      <c r="O982">
        <f>IFERROR(IF(VLOOKUP(calendar[[#This Row],[Date]],BH!G:G,1,)&lt;&gt;"",1,0),0)</f>
        <v>0</v>
      </c>
      <c r="P982">
        <f>IF(OR(calendar[[#This Row],[UK_BH]]=1,calendar[[#This Row],[WeekDay]]=1, calendar[[#This Row],[WeekDay]]=7),P981,P981+1)</f>
        <v>700</v>
      </c>
      <c r="Q982">
        <f>IF(OR(calendar[[#This Row],[FR_BH]]=1,calendar[[#This Row],[WeekDay]]=1, calendar[[#This Row],[WeekDay]]=7),P981,P981+1)</f>
        <v>700</v>
      </c>
      <c r="R982">
        <f>IF(OR(calendar[[#This Row],[SP_BH]]=1,calendar[[#This Row],[WeekDay]]=1, calendar[[#This Row],[WeekDay]]=7),P981,P981+1)</f>
        <v>700</v>
      </c>
      <c r="S982">
        <f>IF(OR(calendar[[#This Row],[PT_BH]]=1,calendar[[#This Row],[WeekDay]]=1, calendar[[#This Row],[WeekDay]]=7),P981,P981+1)</f>
        <v>700</v>
      </c>
    </row>
    <row r="983" spans="1:19" x14ac:dyDescent="0.25">
      <c r="A983" s="2">
        <v>43717</v>
      </c>
      <c r="B983" s="1">
        <f t="shared" si="78"/>
        <v>37</v>
      </c>
      <c r="C983">
        <f t="shared" si="80"/>
        <v>9</v>
      </c>
      <c r="D983" t="str">
        <f t="shared" si="81"/>
        <v>September</v>
      </c>
      <c r="E983">
        <f t="shared" si="82"/>
        <v>2019</v>
      </c>
      <c r="F983" t="str">
        <f>CONCATENATE(calendar[[#This Row],[Month]],"/",calendar[[#This Row],[Year]])</f>
        <v>9/2019</v>
      </c>
      <c r="G983">
        <f>WEEKDAY(calendar[[#This Row],[Date]],1)</f>
        <v>2</v>
      </c>
      <c r="H983" t="str">
        <f>TEXT(calendar[[#This Row],[WeekDay]],"dddd")</f>
        <v>Monday</v>
      </c>
      <c r="I983">
        <f>IF((INT(calendar[[#This Row],[Count]]/7)-calendar[[#This Row],[Count]]/7)&lt;0,I982,I982+1)</f>
        <v>141</v>
      </c>
      <c r="J983">
        <f t="shared" si="79"/>
        <v>981</v>
      </c>
      <c r="K983">
        <f>IF(calendar[[#This Row],[Month]]&lt;4,1,IF(calendar[[#This Row],[Month]]&lt;7,2,IF(calendar[[#This Row],[Month]]&lt;10,3,4)))</f>
        <v>3</v>
      </c>
      <c r="L983">
        <f>IFERROR(IF(VLOOKUP(calendar[[#This Row],[Date]],BH!A:A,1,)&lt;&gt;"",1,0),0)</f>
        <v>0</v>
      </c>
      <c r="M983">
        <f>IFERROR(IF(VLOOKUP(calendar[[#This Row],[Date]],BH!C:C,1,)&lt;&gt;"",1,0),0)</f>
        <v>0</v>
      </c>
      <c r="N983">
        <f>IFERROR(IF(VLOOKUP(calendar[[#This Row],[Date]],BH!E:E,1,)&lt;&gt;"",1,0),0)</f>
        <v>0</v>
      </c>
      <c r="O983">
        <f>IFERROR(IF(VLOOKUP(calendar[[#This Row],[Date]],BH!G:G,1,)&lt;&gt;"",1,0),0)</f>
        <v>0</v>
      </c>
      <c r="P983">
        <f>IF(OR(calendar[[#This Row],[UK_BH]]=1,calendar[[#This Row],[WeekDay]]=1, calendar[[#This Row],[WeekDay]]=7),P982,P982+1)</f>
        <v>701</v>
      </c>
      <c r="Q983">
        <f>IF(OR(calendar[[#This Row],[FR_BH]]=1,calendar[[#This Row],[WeekDay]]=1, calendar[[#This Row],[WeekDay]]=7),P982,P982+1)</f>
        <v>701</v>
      </c>
      <c r="R983">
        <f>IF(OR(calendar[[#This Row],[SP_BH]]=1,calendar[[#This Row],[WeekDay]]=1, calendar[[#This Row],[WeekDay]]=7),P982,P982+1)</f>
        <v>701</v>
      </c>
      <c r="S983">
        <f>IF(OR(calendar[[#This Row],[PT_BH]]=1,calendar[[#This Row],[WeekDay]]=1, calendar[[#This Row],[WeekDay]]=7),P982,P982+1)</f>
        <v>701</v>
      </c>
    </row>
    <row r="984" spans="1:19" x14ac:dyDescent="0.25">
      <c r="A984" s="2">
        <v>43718</v>
      </c>
      <c r="B984" s="1">
        <f t="shared" si="78"/>
        <v>37</v>
      </c>
      <c r="C984">
        <f t="shared" si="80"/>
        <v>9</v>
      </c>
      <c r="D984" t="str">
        <f t="shared" si="81"/>
        <v>September</v>
      </c>
      <c r="E984">
        <f t="shared" si="82"/>
        <v>2019</v>
      </c>
      <c r="F984" t="str">
        <f>CONCATENATE(calendar[[#This Row],[Month]],"/",calendar[[#This Row],[Year]])</f>
        <v>9/2019</v>
      </c>
      <c r="G984">
        <f>WEEKDAY(calendar[[#This Row],[Date]],1)</f>
        <v>3</v>
      </c>
      <c r="H984" t="str">
        <f>TEXT(calendar[[#This Row],[WeekDay]],"dddd")</f>
        <v>Tuesday</v>
      </c>
      <c r="I984">
        <f>IF((INT(calendar[[#This Row],[Count]]/7)-calendar[[#This Row],[Count]]/7)&lt;0,I983,I983+1)</f>
        <v>141</v>
      </c>
      <c r="J984">
        <f t="shared" si="79"/>
        <v>982</v>
      </c>
      <c r="K984">
        <f>IF(calendar[[#This Row],[Month]]&lt;4,1,IF(calendar[[#This Row],[Month]]&lt;7,2,IF(calendar[[#This Row],[Month]]&lt;10,3,4)))</f>
        <v>3</v>
      </c>
      <c r="L984">
        <f>IFERROR(IF(VLOOKUP(calendar[[#This Row],[Date]],BH!A:A,1,)&lt;&gt;"",1,0),0)</f>
        <v>0</v>
      </c>
      <c r="M984">
        <f>IFERROR(IF(VLOOKUP(calendar[[#This Row],[Date]],BH!C:C,1,)&lt;&gt;"",1,0),0)</f>
        <v>0</v>
      </c>
      <c r="N984">
        <f>IFERROR(IF(VLOOKUP(calendar[[#This Row],[Date]],BH!E:E,1,)&lt;&gt;"",1,0),0)</f>
        <v>0</v>
      </c>
      <c r="O984">
        <f>IFERROR(IF(VLOOKUP(calendar[[#This Row],[Date]],BH!G:G,1,)&lt;&gt;"",1,0),0)</f>
        <v>0</v>
      </c>
      <c r="P984">
        <f>IF(OR(calendar[[#This Row],[UK_BH]]=1,calendar[[#This Row],[WeekDay]]=1, calendar[[#This Row],[WeekDay]]=7),P983,P983+1)</f>
        <v>702</v>
      </c>
      <c r="Q984">
        <f>IF(OR(calendar[[#This Row],[FR_BH]]=1,calendar[[#This Row],[WeekDay]]=1, calendar[[#This Row],[WeekDay]]=7),P983,P983+1)</f>
        <v>702</v>
      </c>
      <c r="R984">
        <f>IF(OR(calendar[[#This Row],[SP_BH]]=1,calendar[[#This Row],[WeekDay]]=1, calendar[[#This Row],[WeekDay]]=7),P983,P983+1)</f>
        <v>702</v>
      </c>
      <c r="S984">
        <f>IF(OR(calendar[[#This Row],[PT_BH]]=1,calendar[[#This Row],[WeekDay]]=1, calendar[[#This Row],[WeekDay]]=7),P983,P983+1)</f>
        <v>702</v>
      </c>
    </row>
    <row r="985" spans="1:19" x14ac:dyDescent="0.25">
      <c r="A985" s="2">
        <v>43719</v>
      </c>
      <c r="B985" s="1">
        <f t="shared" si="78"/>
        <v>37</v>
      </c>
      <c r="C985">
        <f t="shared" si="80"/>
        <v>9</v>
      </c>
      <c r="D985" t="str">
        <f t="shared" si="81"/>
        <v>September</v>
      </c>
      <c r="E985">
        <f t="shared" si="82"/>
        <v>2019</v>
      </c>
      <c r="F985" t="str">
        <f>CONCATENATE(calendar[[#This Row],[Month]],"/",calendar[[#This Row],[Year]])</f>
        <v>9/2019</v>
      </c>
      <c r="G985">
        <f>WEEKDAY(calendar[[#This Row],[Date]],1)</f>
        <v>4</v>
      </c>
      <c r="H985" t="str">
        <f>TEXT(calendar[[#This Row],[WeekDay]],"dddd")</f>
        <v>Wednesday</v>
      </c>
      <c r="I985">
        <f>IF((INT(calendar[[#This Row],[Count]]/7)-calendar[[#This Row],[Count]]/7)&lt;0,I984,I984+1)</f>
        <v>141</v>
      </c>
      <c r="J985">
        <f t="shared" si="79"/>
        <v>983</v>
      </c>
      <c r="K985">
        <f>IF(calendar[[#This Row],[Month]]&lt;4,1,IF(calendar[[#This Row],[Month]]&lt;7,2,IF(calendar[[#This Row],[Month]]&lt;10,3,4)))</f>
        <v>3</v>
      </c>
      <c r="L985">
        <f>IFERROR(IF(VLOOKUP(calendar[[#This Row],[Date]],BH!A:A,1,)&lt;&gt;"",1,0),0)</f>
        <v>0</v>
      </c>
      <c r="M985">
        <f>IFERROR(IF(VLOOKUP(calendar[[#This Row],[Date]],BH!C:C,1,)&lt;&gt;"",1,0),0)</f>
        <v>0</v>
      </c>
      <c r="N985">
        <f>IFERROR(IF(VLOOKUP(calendar[[#This Row],[Date]],BH!E:E,1,)&lt;&gt;"",1,0),0)</f>
        <v>0</v>
      </c>
      <c r="O985">
        <f>IFERROR(IF(VLOOKUP(calendar[[#This Row],[Date]],BH!G:G,1,)&lt;&gt;"",1,0),0)</f>
        <v>0</v>
      </c>
      <c r="P985">
        <f>IF(OR(calendar[[#This Row],[UK_BH]]=1,calendar[[#This Row],[WeekDay]]=1, calendar[[#This Row],[WeekDay]]=7),P984,P984+1)</f>
        <v>703</v>
      </c>
      <c r="Q985">
        <f>IF(OR(calendar[[#This Row],[FR_BH]]=1,calendar[[#This Row],[WeekDay]]=1, calendar[[#This Row],[WeekDay]]=7),P984,P984+1)</f>
        <v>703</v>
      </c>
      <c r="R985">
        <f>IF(OR(calendar[[#This Row],[SP_BH]]=1,calendar[[#This Row],[WeekDay]]=1, calendar[[#This Row],[WeekDay]]=7),P984,P984+1)</f>
        <v>703</v>
      </c>
      <c r="S985">
        <f>IF(OR(calendar[[#This Row],[PT_BH]]=1,calendar[[#This Row],[WeekDay]]=1, calendar[[#This Row],[WeekDay]]=7),P984,P984+1)</f>
        <v>703</v>
      </c>
    </row>
    <row r="986" spans="1:19" x14ac:dyDescent="0.25">
      <c r="A986" s="2">
        <v>43720</v>
      </c>
      <c r="B986" s="1">
        <f t="shared" si="78"/>
        <v>37</v>
      </c>
      <c r="C986">
        <f t="shared" si="80"/>
        <v>9</v>
      </c>
      <c r="D986" t="str">
        <f t="shared" si="81"/>
        <v>September</v>
      </c>
      <c r="E986">
        <f t="shared" si="82"/>
        <v>2019</v>
      </c>
      <c r="F986" t="str">
        <f>CONCATENATE(calendar[[#This Row],[Month]],"/",calendar[[#This Row],[Year]])</f>
        <v>9/2019</v>
      </c>
      <c r="G986">
        <f>WEEKDAY(calendar[[#This Row],[Date]],1)</f>
        <v>5</v>
      </c>
      <c r="H986" t="str">
        <f>TEXT(calendar[[#This Row],[WeekDay]],"dddd")</f>
        <v>Thursday</v>
      </c>
      <c r="I986">
        <f>IF((INT(calendar[[#This Row],[Count]]/7)-calendar[[#This Row],[Count]]/7)&lt;0,I985,I985+1)</f>
        <v>141</v>
      </c>
      <c r="J986">
        <f t="shared" si="79"/>
        <v>984</v>
      </c>
      <c r="K986">
        <f>IF(calendar[[#This Row],[Month]]&lt;4,1,IF(calendar[[#This Row],[Month]]&lt;7,2,IF(calendar[[#This Row],[Month]]&lt;10,3,4)))</f>
        <v>3</v>
      </c>
      <c r="L986">
        <f>IFERROR(IF(VLOOKUP(calendar[[#This Row],[Date]],BH!A:A,1,)&lt;&gt;"",1,0),0)</f>
        <v>0</v>
      </c>
      <c r="M986">
        <f>IFERROR(IF(VLOOKUP(calendar[[#This Row],[Date]],BH!C:C,1,)&lt;&gt;"",1,0),0)</f>
        <v>0</v>
      </c>
      <c r="N986">
        <f>IFERROR(IF(VLOOKUP(calendar[[#This Row],[Date]],BH!E:E,1,)&lt;&gt;"",1,0),0)</f>
        <v>0</v>
      </c>
      <c r="O986">
        <f>IFERROR(IF(VLOOKUP(calendar[[#This Row],[Date]],BH!G:G,1,)&lt;&gt;"",1,0),0)</f>
        <v>0</v>
      </c>
      <c r="P986">
        <f>IF(OR(calendar[[#This Row],[UK_BH]]=1,calendar[[#This Row],[WeekDay]]=1, calendar[[#This Row],[WeekDay]]=7),P985,P985+1)</f>
        <v>704</v>
      </c>
      <c r="Q986">
        <f>IF(OR(calendar[[#This Row],[FR_BH]]=1,calendar[[#This Row],[WeekDay]]=1, calendar[[#This Row],[WeekDay]]=7),P985,P985+1)</f>
        <v>704</v>
      </c>
      <c r="R986">
        <f>IF(OR(calendar[[#This Row],[SP_BH]]=1,calendar[[#This Row],[WeekDay]]=1, calendar[[#This Row],[WeekDay]]=7),P985,P985+1)</f>
        <v>704</v>
      </c>
      <c r="S986">
        <f>IF(OR(calendar[[#This Row],[PT_BH]]=1,calendar[[#This Row],[WeekDay]]=1, calendar[[#This Row],[WeekDay]]=7),P985,P985+1)</f>
        <v>704</v>
      </c>
    </row>
    <row r="987" spans="1:19" x14ac:dyDescent="0.25">
      <c r="A987" s="2">
        <v>43721</v>
      </c>
      <c r="B987" s="1">
        <f t="shared" si="78"/>
        <v>37</v>
      </c>
      <c r="C987">
        <f t="shared" si="80"/>
        <v>9</v>
      </c>
      <c r="D987" t="str">
        <f t="shared" si="81"/>
        <v>September</v>
      </c>
      <c r="E987">
        <f t="shared" si="82"/>
        <v>2019</v>
      </c>
      <c r="F987" t="str">
        <f>CONCATENATE(calendar[[#This Row],[Month]],"/",calendar[[#This Row],[Year]])</f>
        <v>9/2019</v>
      </c>
      <c r="G987">
        <f>WEEKDAY(calendar[[#This Row],[Date]],1)</f>
        <v>6</v>
      </c>
      <c r="H987" t="str">
        <f>TEXT(calendar[[#This Row],[WeekDay]],"dddd")</f>
        <v>Friday</v>
      </c>
      <c r="I987">
        <f>IF((INT(calendar[[#This Row],[Count]]/7)-calendar[[#This Row],[Count]]/7)&lt;0,I986,I986+1)</f>
        <v>141</v>
      </c>
      <c r="J987">
        <f t="shared" si="79"/>
        <v>985</v>
      </c>
      <c r="K987">
        <f>IF(calendar[[#This Row],[Month]]&lt;4,1,IF(calendar[[#This Row],[Month]]&lt;7,2,IF(calendar[[#This Row],[Month]]&lt;10,3,4)))</f>
        <v>3</v>
      </c>
      <c r="L987">
        <f>IFERROR(IF(VLOOKUP(calendar[[#This Row],[Date]],BH!A:A,1,)&lt;&gt;"",1,0),0)</f>
        <v>0</v>
      </c>
      <c r="M987">
        <f>IFERROR(IF(VLOOKUP(calendar[[#This Row],[Date]],BH!C:C,1,)&lt;&gt;"",1,0),0)</f>
        <v>0</v>
      </c>
      <c r="N987">
        <f>IFERROR(IF(VLOOKUP(calendar[[#This Row],[Date]],BH!E:E,1,)&lt;&gt;"",1,0),0)</f>
        <v>0</v>
      </c>
      <c r="O987">
        <f>IFERROR(IF(VLOOKUP(calendar[[#This Row],[Date]],BH!G:G,1,)&lt;&gt;"",1,0),0)</f>
        <v>0</v>
      </c>
      <c r="P987">
        <f>IF(OR(calendar[[#This Row],[UK_BH]]=1,calendar[[#This Row],[WeekDay]]=1, calendar[[#This Row],[WeekDay]]=7),P986,P986+1)</f>
        <v>705</v>
      </c>
      <c r="Q987">
        <f>IF(OR(calendar[[#This Row],[FR_BH]]=1,calendar[[#This Row],[WeekDay]]=1, calendar[[#This Row],[WeekDay]]=7),P986,P986+1)</f>
        <v>705</v>
      </c>
      <c r="R987">
        <f>IF(OR(calendar[[#This Row],[SP_BH]]=1,calendar[[#This Row],[WeekDay]]=1, calendar[[#This Row],[WeekDay]]=7),P986,P986+1)</f>
        <v>705</v>
      </c>
      <c r="S987">
        <f>IF(OR(calendar[[#This Row],[PT_BH]]=1,calendar[[#This Row],[WeekDay]]=1, calendar[[#This Row],[WeekDay]]=7),P986,P986+1)</f>
        <v>705</v>
      </c>
    </row>
    <row r="988" spans="1:19" x14ac:dyDescent="0.25">
      <c r="A988" s="2">
        <v>43722</v>
      </c>
      <c r="B988" s="1">
        <f t="shared" si="78"/>
        <v>37</v>
      </c>
      <c r="C988">
        <f t="shared" si="80"/>
        <v>9</v>
      </c>
      <c r="D988" t="str">
        <f t="shared" si="81"/>
        <v>September</v>
      </c>
      <c r="E988">
        <f t="shared" si="82"/>
        <v>2019</v>
      </c>
      <c r="F988" t="str">
        <f>CONCATENATE(calendar[[#This Row],[Month]],"/",calendar[[#This Row],[Year]])</f>
        <v>9/2019</v>
      </c>
      <c r="G988">
        <f>WEEKDAY(calendar[[#This Row],[Date]],1)</f>
        <v>7</v>
      </c>
      <c r="H988" t="str">
        <f>TEXT(calendar[[#This Row],[WeekDay]],"dddd")</f>
        <v>Saturday</v>
      </c>
      <c r="I988">
        <f>IF((INT(calendar[[#This Row],[Count]]/7)-calendar[[#This Row],[Count]]/7)&lt;0,I987,I987+1)</f>
        <v>141</v>
      </c>
      <c r="J988">
        <f t="shared" si="79"/>
        <v>986</v>
      </c>
      <c r="K988">
        <f>IF(calendar[[#This Row],[Month]]&lt;4,1,IF(calendar[[#This Row],[Month]]&lt;7,2,IF(calendar[[#This Row],[Month]]&lt;10,3,4)))</f>
        <v>3</v>
      </c>
      <c r="L988">
        <f>IFERROR(IF(VLOOKUP(calendar[[#This Row],[Date]],BH!A:A,1,)&lt;&gt;"",1,0),0)</f>
        <v>0</v>
      </c>
      <c r="M988">
        <f>IFERROR(IF(VLOOKUP(calendar[[#This Row],[Date]],BH!C:C,1,)&lt;&gt;"",1,0),0)</f>
        <v>0</v>
      </c>
      <c r="N988">
        <f>IFERROR(IF(VLOOKUP(calendar[[#This Row],[Date]],BH!E:E,1,)&lt;&gt;"",1,0),0)</f>
        <v>0</v>
      </c>
      <c r="O988">
        <f>IFERROR(IF(VLOOKUP(calendar[[#This Row],[Date]],BH!G:G,1,)&lt;&gt;"",1,0),0)</f>
        <v>0</v>
      </c>
      <c r="P988">
        <f>IF(OR(calendar[[#This Row],[UK_BH]]=1,calendar[[#This Row],[WeekDay]]=1, calendar[[#This Row],[WeekDay]]=7),P987,P987+1)</f>
        <v>705</v>
      </c>
      <c r="Q988">
        <f>IF(OR(calendar[[#This Row],[FR_BH]]=1,calendar[[#This Row],[WeekDay]]=1, calendar[[#This Row],[WeekDay]]=7),P987,P987+1)</f>
        <v>705</v>
      </c>
      <c r="R988">
        <f>IF(OR(calendar[[#This Row],[SP_BH]]=1,calendar[[#This Row],[WeekDay]]=1, calendar[[#This Row],[WeekDay]]=7),P987,P987+1)</f>
        <v>705</v>
      </c>
      <c r="S988">
        <f>IF(OR(calendar[[#This Row],[PT_BH]]=1,calendar[[#This Row],[WeekDay]]=1, calendar[[#This Row],[WeekDay]]=7),P987,P987+1)</f>
        <v>705</v>
      </c>
    </row>
    <row r="989" spans="1:19" x14ac:dyDescent="0.25">
      <c r="A989" s="2">
        <v>43723</v>
      </c>
      <c r="B989" s="1">
        <f t="shared" si="78"/>
        <v>38</v>
      </c>
      <c r="C989">
        <f t="shared" si="80"/>
        <v>9</v>
      </c>
      <c r="D989" t="str">
        <f t="shared" si="81"/>
        <v>September</v>
      </c>
      <c r="E989">
        <f t="shared" si="82"/>
        <v>2019</v>
      </c>
      <c r="F989" t="str">
        <f>CONCATENATE(calendar[[#This Row],[Month]],"/",calendar[[#This Row],[Year]])</f>
        <v>9/2019</v>
      </c>
      <c r="G989">
        <f>WEEKDAY(calendar[[#This Row],[Date]],1)</f>
        <v>1</v>
      </c>
      <c r="H989" t="str">
        <f>TEXT(calendar[[#This Row],[WeekDay]],"dddd")</f>
        <v>Sunday</v>
      </c>
      <c r="I989">
        <f>IF((INT(calendar[[#This Row],[Count]]/7)-calendar[[#This Row],[Count]]/7)&lt;0,I988,I988+1)</f>
        <v>142</v>
      </c>
      <c r="J989">
        <f t="shared" si="79"/>
        <v>987</v>
      </c>
      <c r="K989">
        <f>IF(calendar[[#This Row],[Month]]&lt;4,1,IF(calendar[[#This Row],[Month]]&lt;7,2,IF(calendar[[#This Row],[Month]]&lt;10,3,4)))</f>
        <v>3</v>
      </c>
      <c r="L989">
        <f>IFERROR(IF(VLOOKUP(calendar[[#This Row],[Date]],BH!A:A,1,)&lt;&gt;"",1,0),0)</f>
        <v>0</v>
      </c>
      <c r="M989">
        <f>IFERROR(IF(VLOOKUP(calendar[[#This Row],[Date]],BH!C:C,1,)&lt;&gt;"",1,0),0)</f>
        <v>0</v>
      </c>
      <c r="N989">
        <f>IFERROR(IF(VLOOKUP(calendar[[#This Row],[Date]],BH!E:E,1,)&lt;&gt;"",1,0),0)</f>
        <v>0</v>
      </c>
      <c r="O989">
        <f>IFERROR(IF(VLOOKUP(calendar[[#This Row],[Date]],BH!G:G,1,)&lt;&gt;"",1,0),0)</f>
        <v>0</v>
      </c>
      <c r="P989">
        <f>IF(OR(calendar[[#This Row],[UK_BH]]=1,calendar[[#This Row],[WeekDay]]=1, calendar[[#This Row],[WeekDay]]=7),P988,P988+1)</f>
        <v>705</v>
      </c>
      <c r="Q989">
        <f>IF(OR(calendar[[#This Row],[FR_BH]]=1,calendar[[#This Row],[WeekDay]]=1, calendar[[#This Row],[WeekDay]]=7),P988,P988+1)</f>
        <v>705</v>
      </c>
      <c r="R989">
        <f>IF(OR(calendar[[#This Row],[SP_BH]]=1,calendar[[#This Row],[WeekDay]]=1, calendar[[#This Row],[WeekDay]]=7),P988,P988+1)</f>
        <v>705</v>
      </c>
      <c r="S989">
        <f>IF(OR(calendar[[#This Row],[PT_BH]]=1,calendar[[#This Row],[WeekDay]]=1, calendar[[#This Row],[WeekDay]]=7),P988,P988+1)</f>
        <v>705</v>
      </c>
    </row>
    <row r="990" spans="1:19" x14ac:dyDescent="0.25">
      <c r="A990" s="2">
        <v>43724</v>
      </c>
      <c r="B990" s="1">
        <f t="shared" si="78"/>
        <v>38</v>
      </c>
      <c r="C990">
        <f t="shared" si="80"/>
        <v>9</v>
      </c>
      <c r="D990" t="str">
        <f t="shared" si="81"/>
        <v>September</v>
      </c>
      <c r="E990">
        <f t="shared" si="82"/>
        <v>2019</v>
      </c>
      <c r="F990" t="str">
        <f>CONCATENATE(calendar[[#This Row],[Month]],"/",calendar[[#This Row],[Year]])</f>
        <v>9/2019</v>
      </c>
      <c r="G990">
        <f>WEEKDAY(calendar[[#This Row],[Date]],1)</f>
        <v>2</v>
      </c>
      <c r="H990" t="str">
        <f>TEXT(calendar[[#This Row],[WeekDay]],"dddd")</f>
        <v>Monday</v>
      </c>
      <c r="I990">
        <f>IF((INT(calendar[[#This Row],[Count]]/7)-calendar[[#This Row],[Count]]/7)&lt;0,I989,I989+1)</f>
        <v>142</v>
      </c>
      <c r="J990">
        <f t="shared" si="79"/>
        <v>988</v>
      </c>
      <c r="K990">
        <f>IF(calendar[[#This Row],[Month]]&lt;4,1,IF(calendar[[#This Row],[Month]]&lt;7,2,IF(calendar[[#This Row],[Month]]&lt;10,3,4)))</f>
        <v>3</v>
      </c>
      <c r="L990">
        <f>IFERROR(IF(VLOOKUP(calendar[[#This Row],[Date]],BH!A:A,1,)&lt;&gt;"",1,0),0)</f>
        <v>0</v>
      </c>
      <c r="M990">
        <f>IFERROR(IF(VLOOKUP(calendar[[#This Row],[Date]],BH!C:C,1,)&lt;&gt;"",1,0),0)</f>
        <v>0</v>
      </c>
      <c r="N990">
        <f>IFERROR(IF(VLOOKUP(calendar[[#This Row],[Date]],BH!E:E,1,)&lt;&gt;"",1,0),0)</f>
        <v>0</v>
      </c>
      <c r="O990">
        <f>IFERROR(IF(VLOOKUP(calendar[[#This Row],[Date]],BH!G:G,1,)&lt;&gt;"",1,0),0)</f>
        <v>0</v>
      </c>
      <c r="P990">
        <f>IF(OR(calendar[[#This Row],[UK_BH]]=1,calendar[[#This Row],[WeekDay]]=1, calendar[[#This Row],[WeekDay]]=7),P989,P989+1)</f>
        <v>706</v>
      </c>
      <c r="Q990">
        <f>IF(OR(calendar[[#This Row],[FR_BH]]=1,calendar[[#This Row],[WeekDay]]=1, calendar[[#This Row],[WeekDay]]=7),P989,P989+1)</f>
        <v>706</v>
      </c>
      <c r="R990">
        <f>IF(OR(calendar[[#This Row],[SP_BH]]=1,calendar[[#This Row],[WeekDay]]=1, calendar[[#This Row],[WeekDay]]=7),P989,P989+1)</f>
        <v>706</v>
      </c>
      <c r="S990">
        <f>IF(OR(calendar[[#This Row],[PT_BH]]=1,calendar[[#This Row],[WeekDay]]=1, calendar[[#This Row],[WeekDay]]=7),P989,P989+1)</f>
        <v>706</v>
      </c>
    </row>
    <row r="991" spans="1:19" x14ac:dyDescent="0.25">
      <c r="A991" s="2">
        <v>43725</v>
      </c>
      <c r="B991" s="1">
        <f t="shared" si="78"/>
        <v>38</v>
      </c>
      <c r="C991">
        <f t="shared" si="80"/>
        <v>9</v>
      </c>
      <c r="D991" t="str">
        <f t="shared" si="81"/>
        <v>September</v>
      </c>
      <c r="E991">
        <f t="shared" si="82"/>
        <v>2019</v>
      </c>
      <c r="F991" t="str">
        <f>CONCATENATE(calendar[[#This Row],[Month]],"/",calendar[[#This Row],[Year]])</f>
        <v>9/2019</v>
      </c>
      <c r="G991">
        <f>WEEKDAY(calendar[[#This Row],[Date]],1)</f>
        <v>3</v>
      </c>
      <c r="H991" t="str">
        <f>TEXT(calendar[[#This Row],[WeekDay]],"dddd")</f>
        <v>Tuesday</v>
      </c>
      <c r="I991">
        <f>IF((INT(calendar[[#This Row],[Count]]/7)-calendar[[#This Row],[Count]]/7)&lt;0,I990,I990+1)</f>
        <v>142</v>
      </c>
      <c r="J991">
        <f t="shared" si="79"/>
        <v>989</v>
      </c>
      <c r="K991">
        <f>IF(calendar[[#This Row],[Month]]&lt;4,1,IF(calendar[[#This Row],[Month]]&lt;7,2,IF(calendar[[#This Row],[Month]]&lt;10,3,4)))</f>
        <v>3</v>
      </c>
      <c r="L991">
        <f>IFERROR(IF(VLOOKUP(calendar[[#This Row],[Date]],BH!A:A,1,)&lt;&gt;"",1,0),0)</f>
        <v>0</v>
      </c>
      <c r="M991">
        <f>IFERROR(IF(VLOOKUP(calendar[[#This Row],[Date]],BH!C:C,1,)&lt;&gt;"",1,0),0)</f>
        <v>0</v>
      </c>
      <c r="N991">
        <f>IFERROR(IF(VLOOKUP(calendar[[#This Row],[Date]],BH!E:E,1,)&lt;&gt;"",1,0),0)</f>
        <v>0</v>
      </c>
      <c r="O991">
        <f>IFERROR(IF(VLOOKUP(calendar[[#This Row],[Date]],BH!G:G,1,)&lt;&gt;"",1,0),0)</f>
        <v>0</v>
      </c>
      <c r="P991">
        <f>IF(OR(calendar[[#This Row],[UK_BH]]=1,calendar[[#This Row],[WeekDay]]=1, calendar[[#This Row],[WeekDay]]=7),P990,P990+1)</f>
        <v>707</v>
      </c>
      <c r="Q991">
        <f>IF(OR(calendar[[#This Row],[FR_BH]]=1,calendar[[#This Row],[WeekDay]]=1, calendar[[#This Row],[WeekDay]]=7),P990,P990+1)</f>
        <v>707</v>
      </c>
      <c r="R991">
        <f>IF(OR(calendar[[#This Row],[SP_BH]]=1,calendar[[#This Row],[WeekDay]]=1, calendar[[#This Row],[WeekDay]]=7),P990,P990+1)</f>
        <v>707</v>
      </c>
      <c r="S991">
        <f>IF(OR(calendar[[#This Row],[PT_BH]]=1,calendar[[#This Row],[WeekDay]]=1, calendar[[#This Row],[WeekDay]]=7),P990,P990+1)</f>
        <v>707</v>
      </c>
    </row>
    <row r="992" spans="1:19" x14ac:dyDescent="0.25">
      <c r="A992" s="2">
        <v>43726</v>
      </c>
      <c r="B992" s="1">
        <f t="shared" si="78"/>
        <v>38</v>
      </c>
      <c r="C992">
        <f t="shared" si="80"/>
        <v>9</v>
      </c>
      <c r="D992" t="str">
        <f t="shared" si="81"/>
        <v>September</v>
      </c>
      <c r="E992">
        <f t="shared" si="82"/>
        <v>2019</v>
      </c>
      <c r="F992" t="str">
        <f>CONCATENATE(calendar[[#This Row],[Month]],"/",calendar[[#This Row],[Year]])</f>
        <v>9/2019</v>
      </c>
      <c r="G992">
        <f>WEEKDAY(calendar[[#This Row],[Date]],1)</f>
        <v>4</v>
      </c>
      <c r="H992" t="str">
        <f>TEXT(calendar[[#This Row],[WeekDay]],"dddd")</f>
        <v>Wednesday</v>
      </c>
      <c r="I992">
        <f>IF((INT(calendar[[#This Row],[Count]]/7)-calendar[[#This Row],[Count]]/7)&lt;0,I991,I991+1)</f>
        <v>142</v>
      </c>
      <c r="J992">
        <f t="shared" si="79"/>
        <v>990</v>
      </c>
      <c r="K992">
        <f>IF(calendar[[#This Row],[Month]]&lt;4,1,IF(calendar[[#This Row],[Month]]&lt;7,2,IF(calendar[[#This Row],[Month]]&lt;10,3,4)))</f>
        <v>3</v>
      </c>
      <c r="L992">
        <f>IFERROR(IF(VLOOKUP(calendar[[#This Row],[Date]],BH!A:A,1,)&lt;&gt;"",1,0),0)</f>
        <v>0</v>
      </c>
      <c r="M992">
        <f>IFERROR(IF(VLOOKUP(calendar[[#This Row],[Date]],BH!C:C,1,)&lt;&gt;"",1,0),0)</f>
        <v>0</v>
      </c>
      <c r="N992">
        <f>IFERROR(IF(VLOOKUP(calendar[[#This Row],[Date]],BH!E:E,1,)&lt;&gt;"",1,0),0)</f>
        <v>0</v>
      </c>
      <c r="O992">
        <f>IFERROR(IF(VLOOKUP(calendar[[#This Row],[Date]],BH!G:G,1,)&lt;&gt;"",1,0),0)</f>
        <v>0</v>
      </c>
      <c r="P992">
        <f>IF(OR(calendar[[#This Row],[UK_BH]]=1,calendar[[#This Row],[WeekDay]]=1, calendar[[#This Row],[WeekDay]]=7),P991,P991+1)</f>
        <v>708</v>
      </c>
      <c r="Q992">
        <f>IF(OR(calendar[[#This Row],[FR_BH]]=1,calendar[[#This Row],[WeekDay]]=1, calendar[[#This Row],[WeekDay]]=7),P991,P991+1)</f>
        <v>708</v>
      </c>
      <c r="R992">
        <f>IF(OR(calendar[[#This Row],[SP_BH]]=1,calendar[[#This Row],[WeekDay]]=1, calendar[[#This Row],[WeekDay]]=7),P991,P991+1)</f>
        <v>708</v>
      </c>
      <c r="S992">
        <f>IF(OR(calendar[[#This Row],[PT_BH]]=1,calendar[[#This Row],[WeekDay]]=1, calendar[[#This Row],[WeekDay]]=7),P991,P991+1)</f>
        <v>708</v>
      </c>
    </row>
    <row r="993" spans="1:19" x14ac:dyDescent="0.25">
      <c r="A993" s="2">
        <v>43727</v>
      </c>
      <c r="B993" s="1">
        <f t="shared" si="78"/>
        <v>38</v>
      </c>
      <c r="C993">
        <f t="shared" si="80"/>
        <v>9</v>
      </c>
      <c r="D993" t="str">
        <f t="shared" si="81"/>
        <v>September</v>
      </c>
      <c r="E993">
        <f t="shared" si="82"/>
        <v>2019</v>
      </c>
      <c r="F993" t="str">
        <f>CONCATENATE(calendar[[#This Row],[Month]],"/",calendar[[#This Row],[Year]])</f>
        <v>9/2019</v>
      </c>
      <c r="G993">
        <f>WEEKDAY(calendar[[#This Row],[Date]],1)</f>
        <v>5</v>
      </c>
      <c r="H993" t="str">
        <f>TEXT(calendar[[#This Row],[WeekDay]],"dddd")</f>
        <v>Thursday</v>
      </c>
      <c r="I993">
        <f>IF((INT(calendar[[#This Row],[Count]]/7)-calendar[[#This Row],[Count]]/7)&lt;0,I992,I992+1)</f>
        <v>142</v>
      </c>
      <c r="J993">
        <f t="shared" si="79"/>
        <v>991</v>
      </c>
      <c r="K993">
        <f>IF(calendar[[#This Row],[Month]]&lt;4,1,IF(calendar[[#This Row],[Month]]&lt;7,2,IF(calendar[[#This Row],[Month]]&lt;10,3,4)))</f>
        <v>3</v>
      </c>
      <c r="L993">
        <f>IFERROR(IF(VLOOKUP(calendar[[#This Row],[Date]],BH!A:A,1,)&lt;&gt;"",1,0),0)</f>
        <v>0</v>
      </c>
      <c r="M993">
        <f>IFERROR(IF(VLOOKUP(calendar[[#This Row],[Date]],BH!C:C,1,)&lt;&gt;"",1,0),0)</f>
        <v>0</v>
      </c>
      <c r="N993">
        <f>IFERROR(IF(VLOOKUP(calendar[[#This Row],[Date]],BH!E:E,1,)&lt;&gt;"",1,0),0)</f>
        <v>0</v>
      </c>
      <c r="O993">
        <f>IFERROR(IF(VLOOKUP(calendar[[#This Row],[Date]],BH!G:G,1,)&lt;&gt;"",1,0),0)</f>
        <v>0</v>
      </c>
      <c r="P993">
        <f>IF(OR(calendar[[#This Row],[UK_BH]]=1,calendar[[#This Row],[WeekDay]]=1, calendar[[#This Row],[WeekDay]]=7),P992,P992+1)</f>
        <v>709</v>
      </c>
      <c r="Q993">
        <f>IF(OR(calendar[[#This Row],[FR_BH]]=1,calendar[[#This Row],[WeekDay]]=1, calendar[[#This Row],[WeekDay]]=7),P992,P992+1)</f>
        <v>709</v>
      </c>
      <c r="R993">
        <f>IF(OR(calendar[[#This Row],[SP_BH]]=1,calendar[[#This Row],[WeekDay]]=1, calendar[[#This Row],[WeekDay]]=7),P992,P992+1)</f>
        <v>709</v>
      </c>
      <c r="S993">
        <f>IF(OR(calendar[[#This Row],[PT_BH]]=1,calendar[[#This Row],[WeekDay]]=1, calendar[[#This Row],[WeekDay]]=7),P992,P992+1)</f>
        <v>709</v>
      </c>
    </row>
    <row r="994" spans="1:19" x14ac:dyDescent="0.25">
      <c r="A994" s="2">
        <v>43728</v>
      </c>
      <c r="B994" s="1">
        <f t="shared" si="78"/>
        <v>38</v>
      </c>
      <c r="C994">
        <f t="shared" si="80"/>
        <v>9</v>
      </c>
      <c r="D994" t="str">
        <f t="shared" si="81"/>
        <v>September</v>
      </c>
      <c r="E994">
        <f t="shared" si="82"/>
        <v>2019</v>
      </c>
      <c r="F994" t="str">
        <f>CONCATENATE(calendar[[#This Row],[Month]],"/",calendar[[#This Row],[Year]])</f>
        <v>9/2019</v>
      </c>
      <c r="G994">
        <f>WEEKDAY(calendar[[#This Row],[Date]],1)</f>
        <v>6</v>
      </c>
      <c r="H994" t="str">
        <f>TEXT(calendar[[#This Row],[WeekDay]],"dddd")</f>
        <v>Friday</v>
      </c>
      <c r="I994">
        <f>IF((INT(calendar[[#This Row],[Count]]/7)-calendar[[#This Row],[Count]]/7)&lt;0,I993,I993+1)</f>
        <v>142</v>
      </c>
      <c r="J994">
        <f t="shared" si="79"/>
        <v>992</v>
      </c>
      <c r="K994">
        <f>IF(calendar[[#This Row],[Month]]&lt;4,1,IF(calendar[[#This Row],[Month]]&lt;7,2,IF(calendar[[#This Row],[Month]]&lt;10,3,4)))</f>
        <v>3</v>
      </c>
      <c r="L994">
        <f>IFERROR(IF(VLOOKUP(calendar[[#This Row],[Date]],BH!A:A,1,)&lt;&gt;"",1,0),0)</f>
        <v>0</v>
      </c>
      <c r="M994">
        <f>IFERROR(IF(VLOOKUP(calendar[[#This Row],[Date]],BH!C:C,1,)&lt;&gt;"",1,0),0)</f>
        <v>0</v>
      </c>
      <c r="N994">
        <f>IFERROR(IF(VLOOKUP(calendar[[#This Row],[Date]],BH!E:E,1,)&lt;&gt;"",1,0),0)</f>
        <v>0</v>
      </c>
      <c r="O994">
        <f>IFERROR(IF(VLOOKUP(calendar[[#This Row],[Date]],BH!G:G,1,)&lt;&gt;"",1,0),0)</f>
        <v>0</v>
      </c>
      <c r="P994">
        <f>IF(OR(calendar[[#This Row],[UK_BH]]=1,calendar[[#This Row],[WeekDay]]=1, calendar[[#This Row],[WeekDay]]=7),P993,P993+1)</f>
        <v>710</v>
      </c>
      <c r="Q994">
        <f>IF(OR(calendar[[#This Row],[FR_BH]]=1,calendar[[#This Row],[WeekDay]]=1, calendar[[#This Row],[WeekDay]]=7),P993,P993+1)</f>
        <v>710</v>
      </c>
      <c r="R994">
        <f>IF(OR(calendar[[#This Row],[SP_BH]]=1,calendar[[#This Row],[WeekDay]]=1, calendar[[#This Row],[WeekDay]]=7),P993,P993+1)</f>
        <v>710</v>
      </c>
      <c r="S994">
        <f>IF(OR(calendar[[#This Row],[PT_BH]]=1,calendar[[#This Row],[WeekDay]]=1, calendar[[#This Row],[WeekDay]]=7),P993,P993+1)</f>
        <v>710</v>
      </c>
    </row>
    <row r="995" spans="1:19" x14ac:dyDescent="0.25">
      <c r="A995" s="2">
        <v>43729</v>
      </c>
      <c r="B995" s="1">
        <f t="shared" si="78"/>
        <v>38</v>
      </c>
      <c r="C995">
        <f t="shared" si="80"/>
        <v>9</v>
      </c>
      <c r="D995" t="str">
        <f t="shared" si="81"/>
        <v>September</v>
      </c>
      <c r="E995">
        <f t="shared" si="82"/>
        <v>2019</v>
      </c>
      <c r="F995" t="str">
        <f>CONCATENATE(calendar[[#This Row],[Month]],"/",calendar[[#This Row],[Year]])</f>
        <v>9/2019</v>
      </c>
      <c r="G995">
        <f>WEEKDAY(calendar[[#This Row],[Date]],1)</f>
        <v>7</v>
      </c>
      <c r="H995" t="str">
        <f>TEXT(calendar[[#This Row],[WeekDay]],"dddd")</f>
        <v>Saturday</v>
      </c>
      <c r="I995">
        <f>IF((INT(calendar[[#This Row],[Count]]/7)-calendar[[#This Row],[Count]]/7)&lt;0,I994,I994+1)</f>
        <v>142</v>
      </c>
      <c r="J995">
        <f t="shared" si="79"/>
        <v>993</v>
      </c>
      <c r="K995">
        <f>IF(calendar[[#This Row],[Month]]&lt;4,1,IF(calendar[[#This Row],[Month]]&lt;7,2,IF(calendar[[#This Row],[Month]]&lt;10,3,4)))</f>
        <v>3</v>
      </c>
      <c r="L995">
        <f>IFERROR(IF(VLOOKUP(calendar[[#This Row],[Date]],BH!A:A,1,)&lt;&gt;"",1,0),0)</f>
        <v>0</v>
      </c>
      <c r="M995">
        <f>IFERROR(IF(VLOOKUP(calendar[[#This Row],[Date]],BH!C:C,1,)&lt;&gt;"",1,0),0)</f>
        <v>0</v>
      </c>
      <c r="N995">
        <f>IFERROR(IF(VLOOKUP(calendar[[#This Row],[Date]],BH!E:E,1,)&lt;&gt;"",1,0),0)</f>
        <v>0</v>
      </c>
      <c r="O995">
        <f>IFERROR(IF(VLOOKUP(calendar[[#This Row],[Date]],BH!G:G,1,)&lt;&gt;"",1,0),0)</f>
        <v>0</v>
      </c>
      <c r="P995">
        <f>IF(OR(calendar[[#This Row],[UK_BH]]=1,calendar[[#This Row],[WeekDay]]=1, calendar[[#This Row],[WeekDay]]=7),P994,P994+1)</f>
        <v>710</v>
      </c>
      <c r="Q995">
        <f>IF(OR(calendar[[#This Row],[FR_BH]]=1,calendar[[#This Row],[WeekDay]]=1, calendar[[#This Row],[WeekDay]]=7),P994,P994+1)</f>
        <v>710</v>
      </c>
      <c r="R995">
        <f>IF(OR(calendar[[#This Row],[SP_BH]]=1,calendar[[#This Row],[WeekDay]]=1, calendar[[#This Row],[WeekDay]]=7),P994,P994+1)</f>
        <v>710</v>
      </c>
      <c r="S995">
        <f>IF(OR(calendar[[#This Row],[PT_BH]]=1,calendar[[#This Row],[WeekDay]]=1, calendar[[#This Row],[WeekDay]]=7),P994,P994+1)</f>
        <v>710</v>
      </c>
    </row>
    <row r="996" spans="1:19" x14ac:dyDescent="0.25">
      <c r="A996" s="2">
        <v>43730</v>
      </c>
      <c r="B996" s="1">
        <f t="shared" si="78"/>
        <v>39</v>
      </c>
      <c r="C996">
        <f t="shared" si="80"/>
        <v>9</v>
      </c>
      <c r="D996" t="str">
        <f t="shared" si="81"/>
        <v>September</v>
      </c>
      <c r="E996">
        <f t="shared" si="82"/>
        <v>2019</v>
      </c>
      <c r="F996" t="str">
        <f>CONCATENATE(calendar[[#This Row],[Month]],"/",calendar[[#This Row],[Year]])</f>
        <v>9/2019</v>
      </c>
      <c r="G996">
        <f>WEEKDAY(calendar[[#This Row],[Date]],1)</f>
        <v>1</v>
      </c>
      <c r="H996" t="str">
        <f>TEXT(calendar[[#This Row],[WeekDay]],"dddd")</f>
        <v>Sunday</v>
      </c>
      <c r="I996">
        <f>IF((INT(calendar[[#This Row],[Count]]/7)-calendar[[#This Row],[Count]]/7)&lt;0,I995,I995+1)</f>
        <v>143</v>
      </c>
      <c r="J996">
        <f t="shared" si="79"/>
        <v>994</v>
      </c>
      <c r="K996">
        <f>IF(calendar[[#This Row],[Month]]&lt;4,1,IF(calendar[[#This Row],[Month]]&lt;7,2,IF(calendar[[#This Row],[Month]]&lt;10,3,4)))</f>
        <v>3</v>
      </c>
      <c r="L996">
        <f>IFERROR(IF(VLOOKUP(calendar[[#This Row],[Date]],BH!A:A,1,)&lt;&gt;"",1,0),0)</f>
        <v>0</v>
      </c>
      <c r="M996">
        <f>IFERROR(IF(VLOOKUP(calendar[[#This Row],[Date]],BH!C:C,1,)&lt;&gt;"",1,0),0)</f>
        <v>0</v>
      </c>
      <c r="N996">
        <f>IFERROR(IF(VLOOKUP(calendar[[#This Row],[Date]],BH!E:E,1,)&lt;&gt;"",1,0),0)</f>
        <v>0</v>
      </c>
      <c r="O996">
        <f>IFERROR(IF(VLOOKUP(calendar[[#This Row],[Date]],BH!G:G,1,)&lt;&gt;"",1,0),0)</f>
        <v>0</v>
      </c>
      <c r="P996">
        <f>IF(OR(calendar[[#This Row],[UK_BH]]=1,calendar[[#This Row],[WeekDay]]=1, calendar[[#This Row],[WeekDay]]=7),P995,P995+1)</f>
        <v>710</v>
      </c>
      <c r="Q996">
        <f>IF(OR(calendar[[#This Row],[FR_BH]]=1,calendar[[#This Row],[WeekDay]]=1, calendar[[#This Row],[WeekDay]]=7),P995,P995+1)</f>
        <v>710</v>
      </c>
      <c r="R996">
        <f>IF(OR(calendar[[#This Row],[SP_BH]]=1,calendar[[#This Row],[WeekDay]]=1, calendar[[#This Row],[WeekDay]]=7),P995,P995+1)</f>
        <v>710</v>
      </c>
      <c r="S996">
        <f>IF(OR(calendar[[#This Row],[PT_BH]]=1,calendar[[#This Row],[WeekDay]]=1, calendar[[#This Row],[WeekDay]]=7),P995,P995+1)</f>
        <v>710</v>
      </c>
    </row>
    <row r="997" spans="1:19" x14ac:dyDescent="0.25">
      <c r="A997" s="2">
        <v>43731</v>
      </c>
      <c r="B997" s="1">
        <f t="shared" si="78"/>
        <v>39</v>
      </c>
      <c r="C997">
        <f t="shared" si="80"/>
        <v>9</v>
      </c>
      <c r="D997" t="str">
        <f t="shared" si="81"/>
        <v>September</v>
      </c>
      <c r="E997">
        <f t="shared" si="82"/>
        <v>2019</v>
      </c>
      <c r="F997" t="str">
        <f>CONCATENATE(calendar[[#This Row],[Month]],"/",calendar[[#This Row],[Year]])</f>
        <v>9/2019</v>
      </c>
      <c r="G997">
        <f>WEEKDAY(calendar[[#This Row],[Date]],1)</f>
        <v>2</v>
      </c>
      <c r="H997" t="str">
        <f>TEXT(calendar[[#This Row],[WeekDay]],"dddd")</f>
        <v>Monday</v>
      </c>
      <c r="I997">
        <f>IF((INT(calendar[[#This Row],[Count]]/7)-calendar[[#This Row],[Count]]/7)&lt;0,I996,I996+1)</f>
        <v>143</v>
      </c>
      <c r="J997">
        <f t="shared" si="79"/>
        <v>995</v>
      </c>
      <c r="K997">
        <f>IF(calendar[[#This Row],[Month]]&lt;4,1,IF(calendar[[#This Row],[Month]]&lt;7,2,IF(calendar[[#This Row],[Month]]&lt;10,3,4)))</f>
        <v>3</v>
      </c>
      <c r="L997">
        <f>IFERROR(IF(VLOOKUP(calendar[[#This Row],[Date]],BH!A:A,1,)&lt;&gt;"",1,0),0)</f>
        <v>0</v>
      </c>
      <c r="M997">
        <f>IFERROR(IF(VLOOKUP(calendar[[#This Row],[Date]],BH!C:C,1,)&lt;&gt;"",1,0),0)</f>
        <v>0</v>
      </c>
      <c r="N997">
        <f>IFERROR(IF(VLOOKUP(calendar[[#This Row],[Date]],BH!E:E,1,)&lt;&gt;"",1,0),0)</f>
        <v>0</v>
      </c>
      <c r="O997">
        <f>IFERROR(IF(VLOOKUP(calendar[[#This Row],[Date]],BH!G:G,1,)&lt;&gt;"",1,0),0)</f>
        <v>0</v>
      </c>
      <c r="P997">
        <f>IF(OR(calendar[[#This Row],[UK_BH]]=1,calendar[[#This Row],[WeekDay]]=1, calendar[[#This Row],[WeekDay]]=7),P996,P996+1)</f>
        <v>711</v>
      </c>
      <c r="Q997">
        <f>IF(OR(calendar[[#This Row],[FR_BH]]=1,calendar[[#This Row],[WeekDay]]=1, calendar[[#This Row],[WeekDay]]=7),P996,P996+1)</f>
        <v>711</v>
      </c>
      <c r="R997">
        <f>IF(OR(calendar[[#This Row],[SP_BH]]=1,calendar[[#This Row],[WeekDay]]=1, calendar[[#This Row],[WeekDay]]=7),P996,P996+1)</f>
        <v>711</v>
      </c>
      <c r="S997">
        <f>IF(OR(calendar[[#This Row],[PT_BH]]=1,calendar[[#This Row],[WeekDay]]=1, calendar[[#This Row],[WeekDay]]=7),P996,P996+1)</f>
        <v>711</v>
      </c>
    </row>
    <row r="998" spans="1:19" x14ac:dyDescent="0.25">
      <c r="A998" s="2">
        <v>43732</v>
      </c>
      <c r="B998" s="1">
        <f t="shared" si="78"/>
        <v>39</v>
      </c>
      <c r="C998">
        <f t="shared" si="80"/>
        <v>9</v>
      </c>
      <c r="D998" t="str">
        <f t="shared" si="81"/>
        <v>September</v>
      </c>
      <c r="E998">
        <f t="shared" si="82"/>
        <v>2019</v>
      </c>
      <c r="F998" t="str">
        <f>CONCATENATE(calendar[[#This Row],[Month]],"/",calendar[[#This Row],[Year]])</f>
        <v>9/2019</v>
      </c>
      <c r="G998">
        <f>WEEKDAY(calendar[[#This Row],[Date]],1)</f>
        <v>3</v>
      </c>
      <c r="H998" t="str">
        <f>TEXT(calendar[[#This Row],[WeekDay]],"dddd")</f>
        <v>Tuesday</v>
      </c>
      <c r="I998">
        <f>IF((INT(calendar[[#This Row],[Count]]/7)-calendar[[#This Row],[Count]]/7)&lt;0,I997,I997+1)</f>
        <v>143</v>
      </c>
      <c r="J998">
        <f t="shared" si="79"/>
        <v>996</v>
      </c>
      <c r="K998">
        <f>IF(calendar[[#This Row],[Month]]&lt;4,1,IF(calendar[[#This Row],[Month]]&lt;7,2,IF(calendar[[#This Row],[Month]]&lt;10,3,4)))</f>
        <v>3</v>
      </c>
      <c r="L998">
        <f>IFERROR(IF(VLOOKUP(calendar[[#This Row],[Date]],BH!A:A,1,)&lt;&gt;"",1,0),0)</f>
        <v>0</v>
      </c>
      <c r="M998">
        <f>IFERROR(IF(VLOOKUP(calendar[[#This Row],[Date]],BH!C:C,1,)&lt;&gt;"",1,0),0)</f>
        <v>0</v>
      </c>
      <c r="N998">
        <f>IFERROR(IF(VLOOKUP(calendar[[#This Row],[Date]],BH!E:E,1,)&lt;&gt;"",1,0),0)</f>
        <v>0</v>
      </c>
      <c r="O998">
        <f>IFERROR(IF(VLOOKUP(calendar[[#This Row],[Date]],BH!G:G,1,)&lt;&gt;"",1,0),0)</f>
        <v>0</v>
      </c>
      <c r="P998">
        <f>IF(OR(calendar[[#This Row],[UK_BH]]=1,calendar[[#This Row],[WeekDay]]=1, calendar[[#This Row],[WeekDay]]=7),P997,P997+1)</f>
        <v>712</v>
      </c>
      <c r="Q998">
        <f>IF(OR(calendar[[#This Row],[FR_BH]]=1,calendar[[#This Row],[WeekDay]]=1, calendar[[#This Row],[WeekDay]]=7),P997,P997+1)</f>
        <v>712</v>
      </c>
      <c r="R998">
        <f>IF(OR(calendar[[#This Row],[SP_BH]]=1,calendar[[#This Row],[WeekDay]]=1, calendar[[#This Row],[WeekDay]]=7),P997,P997+1)</f>
        <v>712</v>
      </c>
      <c r="S998">
        <f>IF(OR(calendar[[#This Row],[PT_BH]]=1,calendar[[#This Row],[WeekDay]]=1, calendar[[#This Row],[WeekDay]]=7),P997,P997+1)</f>
        <v>712</v>
      </c>
    </row>
    <row r="999" spans="1:19" x14ac:dyDescent="0.25">
      <c r="A999" s="2">
        <v>43733</v>
      </c>
      <c r="B999" s="1">
        <f t="shared" si="78"/>
        <v>39</v>
      </c>
      <c r="C999">
        <f t="shared" si="80"/>
        <v>9</v>
      </c>
      <c r="D999" t="str">
        <f t="shared" si="81"/>
        <v>September</v>
      </c>
      <c r="E999">
        <f t="shared" si="82"/>
        <v>2019</v>
      </c>
      <c r="F999" t="str">
        <f>CONCATENATE(calendar[[#This Row],[Month]],"/",calendar[[#This Row],[Year]])</f>
        <v>9/2019</v>
      </c>
      <c r="G999">
        <f>WEEKDAY(calendar[[#This Row],[Date]],1)</f>
        <v>4</v>
      </c>
      <c r="H999" t="str">
        <f>TEXT(calendar[[#This Row],[WeekDay]],"dddd")</f>
        <v>Wednesday</v>
      </c>
      <c r="I999">
        <f>IF((INT(calendar[[#This Row],[Count]]/7)-calendar[[#This Row],[Count]]/7)&lt;0,I998,I998+1)</f>
        <v>143</v>
      </c>
      <c r="J999">
        <f t="shared" si="79"/>
        <v>997</v>
      </c>
      <c r="K999">
        <f>IF(calendar[[#This Row],[Month]]&lt;4,1,IF(calendar[[#This Row],[Month]]&lt;7,2,IF(calendar[[#This Row],[Month]]&lt;10,3,4)))</f>
        <v>3</v>
      </c>
      <c r="L999">
        <f>IFERROR(IF(VLOOKUP(calendar[[#This Row],[Date]],BH!A:A,1,)&lt;&gt;"",1,0),0)</f>
        <v>0</v>
      </c>
      <c r="M999">
        <f>IFERROR(IF(VLOOKUP(calendar[[#This Row],[Date]],BH!C:C,1,)&lt;&gt;"",1,0),0)</f>
        <v>0</v>
      </c>
      <c r="N999">
        <f>IFERROR(IF(VLOOKUP(calendar[[#This Row],[Date]],BH!E:E,1,)&lt;&gt;"",1,0),0)</f>
        <v>0</v>
      </c>
      <c r="O999">
        <f>IFERROR(IF(VLOOKUP(calendar[[#This Row],[Date]],BH!G:G,1,)&lt;&gt;"",1,0),0)</f>
        <v>0</v>
      </c>
      <c r="P999">
        <f>IF(OR(calendar[[#This Row],[UK_BH]]=1,calendar[[#This Row],[WeekDay]]=1, calendar[[#This Row],[WeekDay]]=7),P998,P998+1)</f>
        <v>713</v>
      </c>
      <c r="Q999">
        <f>IF(OR(calendar[[#This Row],[FR_BH]]=1,calendar[[#This Row],[WeekDay]]=1, calendar[[#This Row],[WeekDay]]=7),P998,P998+1)</f>
        <v>713</v>
      </c>
      <c r="R999">
        <f>IF(OR(calendar[[#This Row],[SP_BH]]=1,calendar[[#This Row],[WeekDay]]=1, calendar[[#This Row],[WeekDay]]=7),P998,P998+1)</f>
        <v>713</v>
      </c>
      <c r="S999">
        <f>IF(OR(calendar[[#This Row],[PT_BH]]=1,calendar[[#This Row],[WeekDay]]=1, calendar[[#This Row],[WeekDay]]=7),P998,P998+1)</f>
        <v>713</v>
      </c>
    </row>
    <row r="1000" spans="1:19" x14ac:dyDescent="0.25">
      <c r="A1000" s="2">
        <v>43734</v>
      </c>
      <c r="B1000" s="1">
        <f t="shared" si="78"/>
        <v>39</v>
      </c>
      <c r="C1000">
        <f t="shared" si="80"/>
        <v>9</v>
      </c>
      <c r="D1000" t="str">
        <f t="shared" si="81"/>
        <v>September</v>
      </c>
      <c r="E1000">
        <f t="shared" si="82"/>
        <v>2019</v>
      </c>
      <c r="F1000" t="str">
        <f>CONCATENATE(calendar[[#This Row],[Month]],"/",calendar[[#This Row],[Year]])</f>
        <v>9/2019</v>
      </c>
      <c r="G1000">
        <f>WEEKDAY(calendar[[#This Row],[Date]],1)</f>
        <v>5</v>
      </c>
      <c r="H1000" t="str">
        <f>TEXT(calendar[[#This Row],[WeekDay]],"dddd")</f>
        <v>Thursday</v>
      </c>
      <c r="I1000">
        <f>IF((INT(calendar[[#This Row],[Count]]/7)-calendar[[#This Row],[Count]]/7)&lt;0,I999,I999+1)</f>
        <v>143</v>
      </c>
      <c r="J1000">
        <f t="shared" si="79"/>
        <v>998</v>
      </c>
      <c r="K1000">
        <f>IF(calendar[[#This Row],[Month]]&lt;4,1,IF(calendar[[#This Row],[Month]]&lt;7,2,IF(calendar[[#This Row],[Month]]&lt;10,3,4)))</f>
        <v>3</v>
      </c>
      <c r="L1000">
        <f>IFERROR(IF(VLOOKUP(calendar[[#This Row],[Date]],BH!A:A,1,)&lt;&gt;"",1,0),0)</f>
        <v>0</v>
      </c>
      <c r="M1000">
        <f>IFERROR(IF(VLOOKUP(calendar[[#This Row],[Date]],BH!C:C,1,)&lt;&gt;"",1,0),0)</f>
        <v>0</v>
      </c>
      <c r="N1000">
        <f>IFERROR(IF(VLOOKUP(calendar[[#This Row],[Date]],BH!E:E,1,)&lt;&gt;"",1,0),0)</f>
        <v>0</v>
      </c>
      <c r="O1000">
        <f>IFERROR(IF(VLOOKUP(calendar[[#This Row],[Date]],BH!G:G,1,)&lt;&gt;"",1,0),0)</f>
        <v>0</v>
      </c>
      <c r="P1000">
        <f>IF(OR(calendar[[#This Row],[UK_BH]]=1,calendar[[#This Row],[WeekDay]]=1, calendar[[#This Row],[WeekDay]]=7),P999,P999+1)</f>
        <v>714</v>
      </c>
      <c r="Q1000">
        <f>IF(OR(calendar[[#This Row],[FR_BH]]=1,calendar[[#This Row],[WeekDay]]=1, calendar[[#This Row],[WeekDay]]=7),P999,P999+1)</f>
        <v>714</v>
      </c>
      <c r="R1000">
        <f>IF(OR(calendar[[#This Row],[SP_BH]]=1,calendar[[#This Row],[WeekDay]]=1, calendar[[#This Row],[WeekDay]]=7),P999,P999+1)</f>
        <v>714</v>
      </c>
      <c r="S1000">
        <f>IF(OR(calendar[[#This Row],[PT_BH]]=1,calendar[[#This Row],[WeekDay]]=1, calendar[[#This Row],[WeekDay]]=7),P999,P999+1)</f>
        <v>714</v>
      </c>
    </row>
    <row r="1001" spans="1:19" x14ac:dyDescent="0.25">
      <c r="A1001" s="2">
        <v>43735</v>
      </c>
      <c r="B1001" s="1">
        <f t="shared" si="78"/>
        <v>39</v>
      </c>
      <c r="C1001">
        <f t="shared" si="80"/>
        <v>9</v>
      </c>
      <c r="D1001" t="str">
        <f t="shared" si="81"/>
        <v>September</v>
      </c>
      <c r="E1001">
        <f t="shared" si="82"/>
        <v>2019</v>
      </c>
      <c r="F1001" t="str">
        <f>CONCATENATE(calendar[[#This Row],[Month]],"/",calendar[[#This Row],[Year]])</f>
        <v>9/2019</v>
      </c>
      <c r="G1001">
        <f>WEEKDAY(calendar[[#This Row],[Date]],1)</f>
        <v>6</v>
      </c>
      <c r="H1001" t="str">
        <f>TEXT(calendar[[#This Row],[WeekDay]],"dddd")</f>
        <v>Friday</v>
      </c>
      <c r="I1001">
        <f>IF((INT(calendar[[#This Row],[Count]]/7)-calendar[[#This Row],[Count]]/7)&lt;0,I1000,I1000+1)</f>
        <v>143</v>
      </c>
      <c r="J1001">
        <f t="shared" si="79"/>
        <v>999</v>
      </c>
      <c r="K1001">
        <f>IF(calendar[[#This Row],[Month]]&lt;4,1,IF(calendar[[#This Row],[Month]]&lt;7,2,IF(calendar[[#This Row],[Month]]&lt;10,3,4)))</f>
        <v>3</v>
      </c>
      <c r="L1001">
        <f>IFERROR(IF(VLOOKUP(calendar[[#This Row],[Date]],BH!A:A,1,)&lt;&gt;"",1,0),0)</f>
        <v>0</v>
      </c>
      <c r="M1001">
        <f>IFERROR(IF(VLOOKUP(calendar[[#This Row],[Date]],BH!C:C,1,)&lt;&gt;"",1,0),0)</f>
        <v>0</v>
      </c>
      <c r="N1001">
        <f>IFERROR(IF(VLOOKUP(calendar[[#This Row],[Date]],BH!E:E,1,)&lt;&gt;"",1,0),0)</f>
        <v>0</v>
      </c>
      <c r="O1001">
        <f>IFERROR(IF(VLOOKUP(calendar[[#This Row],[Date]],BH!G:G,1,)&lt;&gt;"",1,0),0)</f>
        <v>0</v>
      </c>
      <c r="P1001">
        <f>IF(OR(calendar[[#This Row],[UK_BH]]=1,calendar[[#This Row],[WeekDay]]=1, calendar[[#This Row],[WeekDay]]=7),P1000,P1000+1)</f>
        <v>715</v>
      </c>
      <c r="Q1001">
        <f>IF(OR(calendar[[#This Row],[FR_BH]]=1,calendar[[#This Row],[WeekDay]]=1, calendar[[#This Row],[WeekDay]]=7),P1000,P1000+1)</f>
        <v>715</v>
      </c>
      <c r="R1001">
        <f>IF(OR(calendar[[#This Row],[SP_BH]]=1,calendar[[#This Row],[WeekDay]]=1, calendar[[#This Row],[WeekDay]]=7),P1000,P1000+1)</f>
        <v>715</v>
      </c>
      <c r="S1001">
        <f>IF(OR(calendar[[#This Row],[PT_BH]]=1,calendar[[#This Row],[WeekDay]]=1, calendar[[#This Row],[WeekDay]]=7),P1000,P1000+1)</f>
        <v>715</v>
      </c>
    </row>
    <row r="1002" spans="1:19" x14ac:dyDescent="0.25">
      <c r="A1002" s="2">
        <v>43736</v>
      </c>
      <c r="B1002" s="1">
        <f t="shared" si="78"/>
        <v>39</v>
      </c>
      <c r="C1002">
        <f t="shared" si="80"/>
        <v>9</v>
      </c>
      <c r="D1002" t="str">
        <f t="shared" si="81"/>
        <v>September</v>
      </c>
      <c r="E1002">
        <f t="shared" si="82"/>
        <v>2019</v>
      </c>
      <c r="F1002" t="str">
        <f>CONCATENATE(calendar[[#This Row],[Month]],"/",calendar[[#This Row],[Year]])</f>
        <v>9/2019</v>
      </c>
      <c r="G1002">
        <f>WEEKDAY(calendar[[#This Row],[Date]],1)</f>
        <v>7</v>
      </c>
      <c r="H1002" t="str">
        <f>TEXT(calendar[[#This Row],[WeekDay]],"dddd")</f>
        <v>Saturday</v>
      </c>
      <c r="I1002">
        <f>IF((INT(calendar[[#This Row],[Count]]/7)-calendar[[#This Row],[Count]]/7)&lt;0,I1001,I1001+1)</f>
        <v>143</v>
      </c>
      <c r="J1002">
        <f t="shared" si="79"/>
        <v>1000</v>
      </c>
      <c r="K1002">
        <f>IF(calendar[[#This Row],[Month]]&lt;4,1,IF(calendar[[#This Row],[Month]]&lt;7,2,IF(calendar[[#This Row],[Month]]&lt;10,3,4)))</f>
        <v>3</v>
      </c>
      <c r="L1002">
        <f>IFERROR(IF(VLOOKUP(calendar[[#This Row],[Date]],BH!A:A,1,)&lt;&gt;"",1,0),0)</f>
        <v>0</v>
      </c>
      <c r="M1002">
        <f>IFERROR(IF(VLOOKUP(calendar[[#This Row],[Date]],BH!C:C,1,)&lt;&gt;"",1,0),0)</f>
        <v>0</v>
      </c>
      <c r="N1002">
        <f>IFERROR(IF(VLOOKUP(calendar[[#This Row],[Date]],BH!E:E,1,)&lt;&gt;"",1,0),0)</f>
        <v>0</v>
      </c>
      <c r="O1002">
        <f>IFERROR(IF(VLOOKUP(calendar[[#This Row],[Date]],BH!G:G,1,)&lt;&gt;"",1,0),0)</f>
        <v>0</v>
      </c>
      <c r="P1002">
        <f>IF(OR(calendar[[#This Row],[UK_BH]]=1,calendar[[#This Row],[WeekDay]]=1, calendar[[#This Row],[WeekDay]]=7),P1001,P1001+1)</f>
        <v>715</v>
      </c>
      <c r="Q1002">
        <f>IF(OR(calendar[[#This Row],[FR_BH]]=1,calendar[[#This Row],[WeekDay]]=1, calendar[[#This Row],[WeekDay]]=7),P1001,P1001+1)</f>
        <v>715</v>
      </c>
      <c r="R1002">
        <f>IF(OR(calendar[[#This Row],[SP_BH]]=1,calendar[[#This Row],[WeekDay]]=1, calendar[[#This Row],[WeekDay]]=7),P1001,P1001+1)</f>
        <v>715</v>
      </c>
      <c r="S1002">
        <f>IF(OR(calendar[[#This Row],[PT_BH]]=1,calendar[[#This Row],[WeekDay]]=1, calendar[[#This Row],[WeekDay]]=7),P1001,P1001+1)</f>
        <v>715</v>
      </c>
    </row>
    <row r="1003" spans="1:19" x14ac:dyDescent="0.25">
      <c r="A1003" s="2">
        <v>43737</v>
      </c>
      <c r="B1003" s="1">
        <f t="shared" si="78"/>
        <v>40</v>
      </c>
      <c r="C1003">
        <f t="shared" si="80"/>
        <v>9</v>
      </c>
      <c r="D1003" t="str">
        <f t="shared" si="81"/>
        <v>September</v>
      </c>
      <c r="E1003">
        <f t="shared" si="82"/>
        <v>2019</v>
      </c>
      <c r="F1003" t="str">
        <f>CONCATENATE(calendar[[#This Row],[Month]],"/",calendar[[#This Row],[Year]])</f>
        <v>9/2019</v>
      </c>
      <c r="G1003">
        <f>WEEKDAY(calendar[[#This Row],[Date]],1)</f>
        <v>1</v>
      </c>
      <c r="H1003" t="str">
        <f>TEXT(calendar[[#This Row],[WeekDay]],"dddd")</f>
        <v>Sunday</v>
      </c>
      <c r="I1003">
        <f>IF((INT(calendar[[#This Row],[Count]]/7)-calendar[[#This Row],[Count]]/7)&lt;0,I1002,I1002+1)</f>
        <v>144</v>
      </c>
      <c r="J1003">
        <f t="shared" si="79"/>
        <v>1001</v>
      </c>
      <c r="K1003">
        <f>IF(calendar[[#This Row],[Month]]&lt;4,1,IF(calendar[[#This Row],[Month]]&lt;7,2,IF(calendar[[#This Row],[Month]]&lt;10,3,4)))</f>
        <v>3</v>
      </c>
      <c r="L1003">
        <f>IFERROR(IF(VLOOKUP(calendar[[#This Row],[Date]],BH!A:A,1,)&lt;&gt;"",1,0),0)</f>
        <v>0</v>
      </c>
      <c r="M1003">
        <f>IFERROR(IF(VLOOKUP(calendar[[#This Row],[Date]],BH!C:C,1,)&lt;&gt;"",1,0),0)</f>
        <v>0</v>
      </c>
      <c r="N1003">
        <f>IFERROR(IF(VLOOKUP(calendar[[#This Row],[Date]],BH!E:E,1,)&lt;&gt;"",1,0),0)</f>
        <v>0</v>
      </c>
      <c r="O1003">
        <f>IFERROR(IF(VLOOKUP(calendar[[#This Row],[Date]],BH!G:G,1,)&lt;&gt;"",1,0),0)</f>
        <v>0</v>
      </c>
      <c r="P1003">
        <f>IF(OR(calendar[[#This Row],[UK_BH]]=1,calendar[[#This Row],[WeekDay]]=1, calendar[[#This Row],[WeekDay]]=7),P1002,P1002+1)</f>
        <v>715</v>
      </c>
      <c r="Q1003">
        <f>IF(OR(calendar[[#This Row],[FR_BH]]=1,calendar[[#This Row],[WeekDay]]=1, calendar[[#This Row],[WeekDay]]=7),P1002,P1002+1)</f>
        <v>715</v>
      </c>
      <c r="R1003">
        <f>IF(OR(calendar[[#This Row],[SP_BH]]=1,calendar[[#This Row],[WeekDay]]=1, calendar[[#This Row],[WeekDay]]=7),P1002,P1002+1)</f>
        <v>715</v>
      </c>
      <c r="S1003">
        <f>IF(OR(calendar[[#This Row],[PT_BH]]=1,calendar[[#This Row],[WeekDay]]=1, calendar[[#This Row],[WeekDay]]=7),P1002,P1002+1)</f>
        <v>715</v>
      </c>
    </row>
    <row r="1004" spans="1:19" x14ac:dyDescent="0.25">
      <c r="A1004" s="2">
        <v>43738</v>
      </c>
      <c r="B1004" s="1">
        <f t="shared" si="78"/>
        <v>40</v>
      </c>
      <c r="C1004">
        <f t="shared" si="80"/>
        <v>9</v>
      </c>
      <c r="D1004" t="str">
        <f t="shared" si="81"/>
        <v>September</v>
      </c>
      <c r="E1004">
        <f t="shared" si="82"/>
        <v>2019</v>
      </c>
      <c r="F1004" t="str">
        <f>CONCATENATE(calendar[[#This Row],[Month]],"/",calendar[[#This Row],[Year]])</f>
        <v>9/2019</v>
      </c>
      <c r="G1004">
        <f>WEEKDAY(calendar[[#This Row],[Date]],1)</f>
        <v>2</v>
      </c>
      <c r="H1004" t="str">
        <f>TEXT(calendar[[#This Row],[WeekDay]],"dddd")</f>
        <v>Monday</v>
      </c>
      <c r="I1004">
        <f>IF((INT(calendar[[#This Row],[Count]]/7)-calendar[[#This Row],[Count]]/7)&lt;0,I1003,I1003+1)</f>
        <v>144</v>
      </c>
      <c r="J1004">
        <f t="shared" si="79"/>
        <v>1002</v>
      </c>
      <c r="K1004">
        <f>IF(calendar[[#This Row],[Month]]&lt;4,1,IF(calendar[[#This Row],[Month]]&lt;7,2,IF(calendar[[#This Row],[Month]]&lt;10,3,4)))</f>
        <v>3</v>
      </c>
      <c r="L1004">
        <f>IFERROR(IF(VLOOKUP(calendar[[#This Row],[Date]],BH!A:A,1,)&lt;&gt;"",1,0),0)</f>
        <v>0</v>
      </c>
      <c r="M1004">
        <f>IFERROR(IF(VLOOKUP(calendar[[#This Row],[Date]],BH!C:C,1,)&lt;&gt;"",1,0),0)</f>
        <v>0</v>
      </c>
      <c r="N1004">
        <f>IFERROR(IF(VLOOKUP(calendar[[#This Row],[Date]],BH!E:E,1,)&lt;&gt;"",1,0),0)</f>
        <v>0</v>
      </c>
      <c r="O1004">
        <f>IFERROR(IF(VLOOKUP(calendar[[#This Row],[Date]],BH!G:G,1,)&lt;&gt;"",1,0),0)</f>
        <v>0</v>
      </c>
      <c r="P1004">
        <f>IF(OR(calendar[[#This Row],[UK_BH]]=1,calendar[[#This Row],[WeekDay]]=1, calendar[[#This Row],[WeekDay]]=7),P1003,P1003+1)</f>
        <v>716</v>
      </c>
      <c r="Q1004">
        <f>IF(OR(calendar[[#This Row],[FR_BH]]=1,calendar[[#This Row],[WeekDay]]=1, calendar[[#This Row],[WeekDay]]=7),P1003,P1003+1)</f>
        <v>716</v>
      </c>
      <c r="R1004">
        <f>IF(OR(calendar[[#This Row],[SP_BH]]=1,calendar[[#This Row],[WeekDay]]=1, calendar[[#This Row],[WeekDay]]=7),P1003,P1003+1)</f>
        <v>716</v>
      </c>
      <c r="S1004">
        <f>IF(OR(calendar[[#This Row],[PT_BH]]=1,calendar[[#This Row],[WeekDay]]=1, calendar[[#This Row],[WeekDay]]=7),P1003,P1003+1)</f>
        <v>716</v>
      </c>
    </row>
    <row r="1005" spans="1:19" x14ac:dyDescent="0.25">
      <c r="A1005" s="2">
        <v>43739</v>
      </c>
      <c r="B1005" s="1">
        <f t="shared" si="78"/>
        <v>40</v>
      </c>
      <c r="C1005">
        <f t="shared" si="80"/>
        <v>10</v>
      </c>
      <c r="D1005" t="str">
        <f t="shared" si="81"/>
        <v>October</v>
      </c>
      <c r="E1005">
        <f t="shared" si="82"/>
        <v>2019</v>
      </c>
      <c r="F1005" t="str">
        <f>CONCATENATE(calendar[[#This Row],[Month]],"/",calendar[[#This Row],[Year]])</f>
        <v>10/2019</v>
      </c>
      <c r="G1005">
        <f>WEEKDAY(calendar[[#This Row],[Date]],1)</f>
        <v>3</v>
      </c>
      <c r="H1005" t="str">
        <f>TEXT(calendar[[#This Row],[WeekDay]],"dddd")</f>
        <v>Tuesday</v>
      </c>
      <c r="I1005">
        <f>IF((INT(calendar[[#This Row],[Count]]/7)-calendar[[#This Row],[Count]]/7)&lt;0,I1004,I1004+1)</f>
        <v>144</v>
      </c>
      <c r="J1005">
        <f t="shared" si="79"/>
        <v>1003</v>
      </c>
      <c r="K1005">
        <f>IF(calendar[[#This Row],[Month]]&lt;4,1,IF(calendar[[#This Row],[Month]]&lt;7,2,IF(calendar[[#This Row],[Month]]&lt;10,3,4)))</f>
        <v>4</v>
      </c>
      <c r="L1005">
        <f>IFERROR(IF(VLOOKUP(calendar[[#This Row],[Date]],BH!A:A,1,)&lt;&gt;"",1,0),0)</f>
        <v>0</v>
      </c>
      <c r="M1005">
        <f>IFERROR(IF(VLOOKUP(calendar[[#This Row],[Date]],BH!C:C,1,)&lt;&gt;"",1,0),0)</f>
        <v>0</v>
      </c>
      <c r="N1005">
        <f>IFERROR(IF(VLOOKUP(calendar[[#This Row],[Date]],BH!E:E,1,)&lt;&gt;"",1,0),0)</f>
        <v>0</v>
      </c>
      <c r="O1005">
        <f>IFERROR(IF(VLOOKUP(calendar[[#This Row],[Date]],BH!G:G,1,)&lt;&gt;"",1,0),0)</f>
        <v>0</v>
      </c>
      <c r="P1005">
        <f>IF(OR(calendar[[#This Row],[UK_BH]]=1,calendar[[#This Row],[WeekDay]]=1, calendar[[#This Row],[WeekDay]]=7),P1004,P1004+1)</f>
        <v>717</v>
      </c>
      <c r="Q1005">
        <f>IF(OR(calendar[[#This Row],[FR_BH]]=1,calendar[[#This Row],[WeekDay]]=1, calendar[[#This Row],[WeekDay]]=7),P1004,P1004+1)</f>
        <v>717</v>
      </c>
      <c r="R1005">
        <f>IF(OR(calendar[[#This Row],[SP_BH]]=1,calendar[[#This Row],[WeekDay]]=1, calendar[[#This Row],[WeekDay]]=7),P1004,P1004+1)</f>
        <v>717</v>
      </c>
      <c r="S1005">
        <f>IF(OR(calendar[[#This Row],[PT_BH]]=1,calendar[[#This Row],[WeekDay]]=1, calendar[[#This Row],[WeekDay]]=7),P1004,P1004+1)</f>
        <v>717</v>
      </c>
    </row>
    <row r="1006" spans="1:19" x14ac:dyDescent="0.25">
      <c r="A1006" s="2">
        <v>43740</v>
      </c>
      <c r="B1006" s="1">
        <f t="shared" si="78"/>
        <v>40</v>
      </c>
      <c r="C1006">
        <f t="shared" si="80"/>
        <v>10</v>
      </c>
      <c r="D1006" t="str">
        <f t="shared" si="81"/>
        <v>October</v>
      </c>
      <c r="E1006">
        <f t="shared" si="82"/>
        <v>2019</v>
      </c>
      <c r="F1006" t="str">
        <f>CONCATENATE(calendar[[#This Row],[Month]],"/",calendar[[#This Row],[Year]])</f>
        <v>10/2019</v>
      </c>
      <c r="G1006">
        <f>WEEKDAY(calendar[[#This Row],[Date]],1)</f>
        <v>4</v>
      </c>
      <c r="H1006" t="str">
        <f>TEXT(calendar[[#This Row],[WeekDay]],"dddd")</f>
        <v>Wednesday</v>
      </c>
      <c r="I1006">
        <f>IF((INT(calendar[[#This Row],[Count]]/7)-calendar[[#This Row],[Count]]/7)&lt;0,I1005,I1005+1)</f>
        <v>144</v>
      </c>
      <c r="J1006">
        <f t="shared" si="79"/>
        <v>1004</v>
      </c>
      <c r="K1006">
        <f>IF(calendar[[#This Row],[Month]]&lt;4,1,IF(calendar[[#This Row],[Month]]&lt;7,2,IF(calendar[[#This Row],[Month]]&lt;10,3,4)))</f>
        <v>4</v>
      </c>
      <c r="L1006">
        <f>IFERROR(IF(VLOOKUP(calendar[[#This Row],[Date]],BH!A:A,1,)&lt;&gt;"",1,0),0)</f>
        <v>0</v>
      </c>
      <c r="M1006">
        <f>IFERROR(IF(VLOOKUP(calendar[[#This Row],[Date]],BH!C:C,1,)&lt;&gt;"",1,0),0)</f>
        <v>0</v>
      </c>
      <c r="N1006">
        <f>IFERROR(IF(VLOOKUP(calendar[[#This Row],[Date]],BH!E:E,1,)&lt;&gt;"",1,0),0)</f>
        <v>0</v>
      </c>
      <c r="O1006">
        <f>IFERROR(IF(VLOOKUP(calendar[[#This Row],[Date]],BH!G:G,1,)&lt;&gt;"",1,0),0)</f>
        <v>0</v>
      </c>
      <c r="P1006">
        <f>IF(OR(calendar[[#This Row],[UK_BH]]=1,calendar[[#This Row],[WeekDay]]=1, calendar[[#This Row],[WeekDay]]=7),P1005,P1005+1)</f>
        <v>718</v>
      </c>
      <c r="Q1006">
        <f>IF(OR(calendar[[#This Row],[FR_BH]]=1,calendar[[#This Row],[WeekDay]]=1, calendar[[#This Row],[WeekDay]]=7),P1005,P1005+1)</f>
        <v>718</v>
      </c>
      <c r="R1006">
        <f>IF(OR(calendar[[#This Row],[SP_BH]]=1,calendar[[#This Row],[WeekDay]]=1, calendar[[#This Row],[WeekDay]]=7),P1005,P1005+1)</f>
        <v>718</v>
      </c>
      <c r="S1006">
        <f>IF(OR(calendar[[#This Row],[PT_BH]]=1,calendar[[#This Row],[WeekDay]]=1, calendar[[#This Row],[WeekDay]]=7),P1005,P1005+1)</f>
        <v>718</v>
      </c>
    </row>
    <row r="1007" spans="1:19" x14ac:dyDescent="0.25">
      <c r="A1007" s="2">
        <v>43741</v>
      </c>
      <c r="B1007" s="1">
        <f t="shared" si="78"/>
        <v>40</v>
      </c>
      <c r="C1007">
        <f t="shared" si="80"/>
        <v>10</v>
      </c>
      <c r="D1007" t="str">
        <f t="shared" si="81"/>
        <v>October</v>
      </c>
      <c r="E1007">
        <f t="shared" si="82"/>
        <v>2019</v>
      </c>
      <c r="F1007" t="str">
        <f>CONCATENATE(calendar[[#This Row],[Month]],"/",calendar[[#This Row],[Year]])</f>
        <v>10/2019</v>
      </c>
      <c r="G1007">
        <f>WEEKDAY(calendar[[#This Row],[Date]],1)</f>
        <v>5</v>
      </c>
      <c r="H1007" t="str">
        <f>TEXT(calendar[[#This Row],[WeekDay]],"dddd")</f>
        <v>Thursday</v>
      </c>
      <c r="I1007">
        <f>IF((INT(calendar[[#This Row],[Count]]/7)-calendar[[#This Row],[Count]]/7)&lt;0,I1006,I1006+1)</f>
        <v>144</v>
      </c>
      <c r="J1007">
        <f t="shared" si="79"/>
        <v>1005</v>
      </c>
      <c r="K1007">
        <f>IF(calendar[[#This Row],[Month]]&lt;4,1,IF(calendar[[#This Row],[Month]]&lt;7,2,IF(calendar[[#This Row],[Month]]&lt;10,3,4)))</f>
        <v>4</v>
      </c>
      <c r="L1007">
        <f>IFERROR(IF(VLOOKUP(calendar[[#This Row],[Date]],BH!A:A,1,)&lt;&gt;"",1,0),0)</f>
        <v>0</v>
      </c>
      <c r="M1007">
        <f>IFERROR(IF(VLOOKUP(calendar[[#This Row],[Date]],BH!C:C,1,)&lt;&gt;"",1,0),0)</f>
        <v>0</v>
      </c>
      <c r="N1007">
        <f>IFERROR(IF(VLOOKUP(calendar[[#This Row],[Date]],BH!E:E,1,)&lt;&gt;"",1,0),0)</f>
        <v>0</v>
      </c>
      <c r="O1007">
        <f>IFERROR(IF(VLOOKUP(calendar[[#This Row],[Date]],BH!G:G,1,)&lt;&gt;"",1,0),0)</f>
        <v>0</v>
      </c>
      <c r="P1007">
        <f>IF(OR(calendar[[#This Row],[UK_BH]]=1,calendar[[#This Row],[WeekDay]]=1, calendar[[#This Row],[WeekDay]]=7),P1006,P1006+1)</f>
        <v>719</v>
      </c>
      <c r="Q1007">
        <f>IF(OR(calendar[[#This Row],[FR_BH]]=1,calendar[[#This Row],[WeekDay]]=1, calendar[[#This Row],[WeekDay]]=7),P1006,P1006+1)</f>
        <v>719</v>
      </c>
      <c r="R1007">
        <f>IF(OR(calendar[[#This Row],[SP_BH]]=1,calendar[[#This Row],[WeekDay]]=1, calendar[[#This Row],[WeekDay]]=7),P1006,P1006+1)</f>
        <v>719</v>
      </c>
      <c r="S1007">
        <f>IF(OR(calendar[[#This Row],[PT_BH]]=1,calendar[[#This Row],[WeekDay]]=1, calendar[[#This Row],[WeekDay]]=7),P1006,P1006+1)</f>
        <v>719</v>
      </c>
    </row>
    <row r="1008" spans="1:19" x14ac:dyDescent="0.25">
      <c r="A1008" s="2">
        <v>43742</v>
      </c>
      <c r="B1008" s="1">
        <f t="shared" si="78"/>
        <v>40</v>
      </c>
      <c r="C1008">
        <f t="shared" si="80"/>
        <v>10</v>
      </c>
      <c r="D1008" t="str">
        <f t="shared" si="81"/>
        <v>October</v>
      </c>
      <c r="E1008">
        <f t="shared" si="82"/>
        <v>2019</v>
      </c>
      <c r="F1008" t="str">
        <f>CONCATENATE(calendar[[#This Row],[Month]],"/",calendar[[#This Row],[Year]])</f>
        <v>10/2019</v>
      </c>
      <c r="G1008">
        <f>WEEKDAY(calendar[[#This Row],[Date]],1)</f>
        <v>6</v>
      </c>
      <c r="H1008" t="str">
        <f>TEXT(calendar[[#This Row],[WeekDay]],"dddd")</f>
        <v>Friday</v>
      </c>
      <c r="I1008">
        <f>IF((INT(calendar[[#This Row],[Count]]/7)-calendar[[#This Row],[Count]]/7)&lt;0,I1007,I1007+1)</f>
        <v>144</v>
      </c>
      <c r="J1008">
        <f t="shared" si="79"/>
        <v>1006</v>
      </c>
      <c r="K1008">
        <f>IF(calendar[[#This Row],[Month]]&lt;4,1,IF(calendar[[#This Row],[Month]]&lt;7,2,IF(calendar[[#This Row],[Month]]&lt;10,3,4)))</f>
        <v>4</v>
      </c>
      <c r="L1008">
        <f>IFERROR(IF(VLOOKUP(calendar[[#This Row],[Date]],BH!A:A,1,)&lt;&gt;"",1,0),0)</f>
        <v>0</v>
      </c>
      <c r="M1008">
        <f>IFERROR(IF(VLOOKUP(calendar[[#This Row],[Date]],BH!C:C,1,)&lt;&gt;"",1,0),0)</f>
        <v>0</v>
      </c>
      <c r="N1008">
        <f>IFERROR(IF(VLOOKUP(calendar[[#This Row],[Date]],BH!E:E,1,)&lt;&gt;"",1,0),0)</f>
        <v>0</v>
      </c>
      <c r="O1008">
        <f>IFERROR(IF(VLOOKUP(calendar[[#This Row],[Date]],BH!G:G,1,)&lt;&gt;"",1,0),0)</f>
        <v>0</v>
      </c>
      <c r="P1008">
        <f>IF(OR(calendar[[#This Row],[UK_BH]]=1,calendar[[#This Row],[WeekDay]]=1, calendar[[#This Row],[WeekDay]]=7),P1007,P1007+1)</f>
        <v>720</v>
      </c>
      <c r="Q1008">
        <f>IF(OR(calendar[[#This Row],[FR_BH]]=1,calendar[[#This Row],[WeekDay]]=1, calendar[[#This Row],[WeekDay]]=7),P1007,P1007+1)</f>
        <v>720</v>
      </c>
      <c r="R1008">
        <f>IF(OR(calendar[[#This Row],[SP_BH]]=1,calendar[[#This Row],[WeekDay]]=1, calendar[[#This Row],[WeekDay]]=7),P1007,P1007+1)</f>
        <v>720</v>
      </c>
      <c r="S1008">
        <f>IF(OR(calendar[[#This Row],[PT_BH]]=1,calendar[[#This Row],[WeekDay]]=1, calendar[[#This Row],[WeekDay]]=7),P1007,P1007+1)</f>
        <v>720</v>
      </c>
    </row>
    <row r="1009" spans="1:19" x14ac:dyDescent="0.25">
      <c r="A1009" s="2">
        <v>43743</v>
      </c>
      <c r="B1009" s="1">
        <f t="shared" si="78"/>
        <v>40</v>
      </c>
      <c r="C1009">
        <f t="shared" si="80"/>
        <v>10</v>
      </c>
      <c r="D1009" t="str">
        <f t="shared" si="81"/>
        <v>October</v>
      </c>
      <c r="E1009">
        <f t="shared" si="82"/>
        <v>2019</v>
      </c>
      <c r="F1009" t="str">
        <f>CONCATENATE(calendar[[#This Row],[Month]],"/",calendar[[#This Row],[Year]])</f>
        <v>10/2019</v>
      </c>
      <c r="G1009">
        <f>WEEKDAY(calendar[[#This Row],[Date]],1)</f>
        <v>7</v>
      </c>
      <c r="H1009" t="str">
        <f>TEXT(calendar[[#This Row],[WeekDay]],"dddd")</f>
        <v>Saturday</v>
      </c>
      <c r="I1009">
        <f>IF((INT(calendar[[#This Row],[Count]]/7)-calendar[[#This Row],[Count]]/7)&lt;0,I1008,I1008+1)</f>
        <v>144</v>
      </c>
      <c r="J1009">
        <f t="shared" si="79"/>
        <v>1007</v>
      </c>
      <c r="K1009">
        <f>IF(calendar[[#This Row],[Month]]&lt;4,1,IF(calendar[[#This Row],[Month]]&lt;7,2,IF(calendar[[#This Row],[Month]]&lt;10,3,4)))</f>
        <v>4</v>
      </c>
      <c r="L1009">
        <f>IFERROR(IF(VLOOKUP(calendar[[#This Row],[Date]],BH!A:A,1,)&lt;&gt;"",1,0),0)</f>
        <v>0</v>
      </c>
      <c r="M1009">
        <f>IFERROR(IF(VLOOKUP(calendar[[#This Row],[Date]],BH!C:C,1,)&lt;&gt;"",1,0),0)</f>
        <v>0</v>
      </c>
      <c r="N1009">
        <f>IFERROR(IF(VLOOKUP(calendar[[#This Row],[Date]],BH!E:E,1,)&lt;&gt;"",1,0),0)</f>
        <v>0</v>
      </c>
      <c r="O1009">
        <f>IFERROR(IF(VLOOKUP(calendar[[#This Row],[Date]],BH!G:G,1,)&lt;&gt;"",1,0),0)</f>
        <v>0</v>
      </c>
      <c r="P1009">
        <f>IF(OR(calendar[[#This Row],[UK_BH]]=1,calendar[[#This Row],[WeekDay]]=1, calendar[[#This Row],[WeekDay]]=7),P1008,P1008+1)</f>
        <v>720</v>
      </c>
      <c r="Q1009">
        <f>IF(OR(calendar[[#This Row],[FR_BH]]=1,calendar[[#This Row],[WeekDay]]=1, calendar[[#This Row],[WeekDay]]=7),P1008,P1008+1)</f>
        <v>720</v>
      </c>
      <c r="R1009">
        <f>IF(OR(calendar[[#This Row],[SP_BH]]=1,calendar[[#This Row],[WeekDay]]=1, calendar[[#This Row],[WeekDay]]=7),P1008,P1008+1)</f>
        <v>720</v>
      </c>
      <c r="S1009">
        <f>IF(OR(calendar[[#This Row],[PT_BH]]=1,calendar[[#This Row],[WeekDay]]=1, calendar[[#This Row],[WeekDay]]=7),P1008,P1008+1)</f>
        <v>720</v>
      </c>
    </row>
    <row r="1010" spans="1:19" x14ac:dyDescent="0.25">
      <c r="A1010" s="2">
        <v>43744</v>
      </c>
      <c r="B1010" s="1">
        <f t="shared" si="78"/>
        <v>41</v>
      </c>
      <c r="C1010">
        <f t="shared" si="80"/>
        <v>10</v>
      </c>
      <c r="D1010" t="str">
        <f t="shared" si="81"/>
        <v>October</v>
      </c>
      <c r="E1010">
        <f t="shared" si="82"/>
        <v>2019</v>
      </c>
      <c r="F1010" t="str">
        <f>CONCATENATE(calendar[[#This Row],[Month]],"/",calendar[[#This Row],[Year]])</f>
        <v>10/2019</v>
      </c>
      <c r="G1010">
        <f>WEEKDAY(calendar[[#This Row],[Date]],1)</f>
        <v>1</v>
      </c>
      <c r="H1010" t="str">
        <f>TEXT(calendar[[#This Row],[WeekDay]],"dddd")</f>
        <v>Sunday</v>
      </c>
      <c r="I1010">
        <f>IF((INT(calendar[[#This Row],[Count]]/7)-calendar[[#This Row],[Count]]/7)&lt;0,I1009,I1009+1)</f>
        <v>145</v>
      </c>
      <c r="J1010">
        <f t="shared" si="79"/>
        <v>1008</v>
      </c>
      <c r="K1010">
        <f>IF(calendar[[#This Row],[Month]]&lt;4,1,IF(calendar[[#This Row],[Month]]&lt;7,2,IF(calendar[[#This Row],[Month]]&lt;10,3,4)))</f>
        <v>4</v>
      </c>
      <c r="L1010">
        <f>IFERROR(IF(VLOOKUP(calendar[[#This Row],[Date]],BH!A:A,1,)&lt;&gt;"",1,0),0)</f>
        <v>0</v>
      </c>
      <c r="M1010">
        <f>IFERROR(IF(VLOOKUP(calendar[[#This Row],[Date]],BH!C:C,1,)&lt;&gt;"",1,0),0)</f>
        <v>0</v>
      </c>
      <c r="N1010">
        <f>IFERROR(IF(VLOOKUP(calendar[[#This Row],[Date]],BH!E:E,1,)&lt;&gt;"",1,0),0)</f>
        <v>0</v>
      </c>
      <c r="O1010">
        <f>IFERROR(IF(VLOOKUP(calendar[[#This Row],[Date]],BH!G:G,1,)&lt;&gt;"",1,0),0)</f>
        <v>0</v>
      </c>
      <c r="P1010">
        <f>IF(OR(calendar[[#This Row],[UK_BH]]=1,calendar[[#This Row],[WeekDay]]=1, calendar[[#This Row],[WeekDay]]=7),P1009,P1009+1)</f>
        <v>720</v>
      </c>
      <c r="Q1010">
        <f>IF(OR(calendar[[#This Row],[FR_BH]]=1,calendar[[#This Row],[WeekDay]]=1, calendar[[#This Row],[WeekDay]]=7),P1009,P1009+1)</f>
        <v>720</v>
      </c>
      <c r="R1010">
        <f>IF(OR(calendar[[#This Row],[SP_BH]]=1,calendar[[#This Row],[WeekDay]]=1, calendar[[#This Row],[WeekDay]]=7),P1009,P1009+1)</f>
        <v>720</v>
      </c>
      <c r="S1010">
        <f>IF(OR(calendar[[#This Row],[PT_BH]]=1,calendar[[#This Row],[WeekDay]]=1, calendar[[#This Row],[WeekDay]]=7),P1009,P1009+1)</f>
        <v>720</v>
      </c>
    </row>
    <row r="1011" spans="1:19" x14ac:dyDescent="0.25">
      <c r="A1011" s="2">
        <v>43745</v>
      </c>
      <c r="B1011" s="1">
        <f t="shared" si="78"/>
        <v>41</v>
      </c>
      <c r="C1011">
        <f t="shared" si="80"/>
        <v>10</v>
      </c>
      <c r="D1011" t="str">
        <f t="shared" si="81"/>
        <v>October</v>
      </c>
      <c r="E1011">
        <f t="shared" si="82"/>
        <v>2019</v>
      </c>
      <c r="F1011" t="str">
        <f>CONCATENATE(calendar[[#This Row],[Month]],"/",calendar[[#This Row],[Year]])</f>
        <v>10/2019</v>
      </c>
      <c r="G1011">
        <f>WEEKDAY(calendar[[#This Row],[Date]],1)</f>
        <v>2</v>
      </c>
      <c r="H1011" t="str">
        <f>TEXT(calendar[[#This Row],[WeekDay]],"dddd")</f>
        <v>Monday</v>
      </c>
      <c r="I1011">
        <f>IF((INT(calendar[[#This Row],[Count]]/7)-calendar[[#This Row],[Count]]/7)&lt;0,I1010,I1010+1)</f>
        <v>145</v>
      </c>
      <c r="J1011">
        <f t="shared" si="79"/>
        <v>1009</v>
      </c>
      <c r="K1011">
        <f>IF(calendar[[#This Row],[Month]]&lt;4,1,IF(calendar[[#This Row],[Month]]&lt;7,2,IF(calendar[[#This Row],[Month]]&lt;10,3,4)))</f>
        <v>4</v>
      </c>
      <c r="L1011">
        <f>IFERROR(IF(VLOOKUP(calendar[[#This Row],[Date]],BH!A:A,1,)&lt;&gt;"",1,0),0)</f>
        <v>0</v>
      </c>
      <c r="M1011">
        <f>IFERROR(IF(VLOOKUP(calendar[[#This Row],[Date]],BH!C:C,1,)&lt;&gt;"",1,0),0)</f>
        <v>0</v>
      </c>
      <c r="N1011">
        <f>IFERROR(IF(VLOOKUP(calendar[[#This Row],[Date]],BH!E:E,1,)&lt;&gt;"",1,0),0)</f>
        <v>0</v>
      </c>
      <c r="O1011">
        <f>IFERROR(IF(VLOOKUP(calendar[[#This Row],[Date]],BH!G:G,1,)&lt;&gt;"",1,0),0)</f>
        <v>0</v>
      </c>
      <c r="P1011">
        <f>IF(OR(calendar[[#This Row],[UK_BH]]=1,calendar[[#This Row],[WeekDay]]=1, calendar[[#This Row],[WeekDay]]=7),P1010,P1010+1)</f>
        <v>721</v>
      </c>
      <c r="Q1011">
        <f>IF(OR(calendar[[#This Row],[FR_BH]]=1,calendar[[#This Row],[WeekDay]]=1, calendar[[#This Row],[WeekDay]]=7),P1010,P1010+1)</f>
        <v>721</v>
      </c>
      <c r="R1011">
        <f>IF(OR(calendar[[#This Row],[SP_BH]]=1,calendar[[#This Row],[WeekDay]]=1, calendar[[#This Row],[WeekDay]]=7),P1010,P1010+1)</f>
        <v>721</v>
      </c>
      <c r="S1011">
        <f>IF(OR(calendar[[#This Row],[PT_BH]]=1,calendar[[#This Row],[WeekDay]]=1, calendar[[#This Row],[WeekDay]]=7),P1010,P1010+1)</f>
        <v>721</v>
      </c>
    </row>
    <row r="1012" spans="1:19" x14ac:dyDescent="0.25">
      <c r="A1012" s="2">
        <v>43746</v>
      </c>
      <c r="B1012" s="1">
        <f t="shared" si="78"/>
        <v>41</v>
      </c>
      <c r="C1012">
        <f t="shared" si="80"/>
        <v>10</v>
      </c>
      <c r="D1012" t="str">
        <f t="shared" si="81"/>
        <v>October</v>
      </c>
      <c r="E1012">
        <f t="shared" si="82"/>
        <v>2019</v>
      </c>
      <c r="F1012" t="str">
        <f>CONCATENATE(calendar[[#This Row],[Month]],"/",calendar[[#This Row],[Year]])</f>
        <v>10/2019</v>
      </c>
      <c r="G1012">
        <f>WEEKDAY(calendar[[#This Row],[Date]],1)</f>
        <v>3</v>
      </c>
      <c r="H1012" t="str">
        <f>TEXT(calendar[[#This Row],[WeekDay]],"dddd")</f>
        <v>Tuesday</v>
      </c>
      <c r="I1012">
        <f>IF((INT(calendar[[#This Row],[Count]]/7)-calendar[[#This Row],[Count]]/7)&lt;0,I1011,I1011+1)</f>
        <v>145</v>
      </c>
      <c r="J1012">
        <f t="shared" si="79"/>
        <v>1010</v>
      </c>
      <c r="K1012">
        <f>IF(calendar[[#This Row],[Month]]&lt;4,1,IF(calendar[[#This Row],[Month]]&lt;7,2,IF(calendar[[#This Row],[Month]]&lt;10,3,4)))</f>
        <v>4</v>
      </c>
      <c r="L1012">
        <f>IFERROR(IF(VLOOKUP(calendar[[#This Row],[Date]],BH!A:A,1,)&lt;&gt;"",1,0),0)</f>
        <v>0</v>
      </c>
      <c r="M1012">
        <f>IFERROR(IF(VLOOKUP(calendar[[#This Row],[Date]],BH!C:C,1,)&lt;&gt;"",1,0),0)</f>
        <v>0</v>
      </c>
      <c r="N1012">
        <f>IFERROR(IF(VLOOKUP(calendar[[#This Row],[Date]],BH!E:E,1,)&lt;&gt;"",1,0),0)</f>
        <v>0</v>
      </c>
      <c r="O1012">
        <f>IFERROR(IF(VLOOKUP(calendar[[#This Row],[Date]],BH!G:G,1,)&lt;&gt;"",1,0),0)</f>
        <v>0</v>
      </c>
      <c r="P1012">
        <f>IF(OR(calendar[[#This Row],[UK_BH]]=1,calendar[[#This Row],[WeekDay]]=1, calendar[[#This Row],[WeekDay]]=7),P1011,P1011+1)</f>
        <v>722</v>
      </c>
      <c r="Q1012">
        <f>IF(OR(calendar[[#This Row],[FR_BH]]=1,calendar[[#This Row],[WeekDay]]=1, calendar[[#This Row],[WeekDay]]=7),P1011,P1011+1)</f>
        <v>722</v>
      </c>
      <c r="R1012">
        <f>IF(OR(calendar[[#This Row],[SP_BH]]=1,calendar[[#This Row],[WeekDay]]=1, calendar[[#This Row],[WeekDay]]=7),P1011,P1011+1)</f>
        <v>722</v>
      </c>
      <c r="S1012">
        <f>IF(OR(calendar[[#This Row],[PT_BH]]=1,calendar[[#This Row],[WeekDay]]=1, calendar[[#This Row],[WeekDay]]=7),P1011,P1011+1)</f>
        <v>722</v>
      </c>
    </row>
    <row r="1013" spans="1:19" x14ac:dyDescent="0.25">
      <c r="A1013" s="2">
        <v>43747</v>
      </c>
      <c r="B1013" s="1">
        <f t="shared" si="78"/>
        <v>41</v>
      </c>
      <c r="C1013">
        <f t="shared" si="80"/>
        <v>10</v>
      </c>
      <c r="D1013" t="str">
        <f t="shared" si="81"/>
        <v>October</v>
      </c>
      <c r="E1013">
        <f t="shared" si="82"/>
        <v>2019</v>
      </c>
      <c r="F1013" t="str">
        <f>CONCATENATE(calendar[[#This Row],[Month]],"/",calendar[[#This Row],[Year]])</f>
        <v>10/2019</v>
      </c>
      <c r="G1013">
        <f>WEEKDAY(calendar[[#This Row],[Date]],1)</f>
        <v>4</v>
      </c>
      <c r="H1013" t="str">
        <f>TEXT(calendar[[#This Row],[WeekDay]],"dddd")</f>
        <v>Wednesday</v>
      </c>
      <c r="I1013">
        <f>IF((INT(calendar[[#This Row],[Count]]/7)-calendar[[#This Row],[Count]]/7)&lt;0,I1012,I1012+1)</f>
        <v>145</v>
      </c>
      <c r="J1013">
        <f t="shared" si="79"/>
        <v>1011</v>
      </c>
      <c r="K1013">
        <f>IF(calendar[[#This Row],[Month]]&lt;4,1,IF(calendar[[#This Row],[Month]]&lt;7,2,IF(calendar[[#This Row],[Month]]&lt;10,3,4)))</f>
        <v>4</v>
      </c>
      <c r="L1013">
        <f>IFERROR(IF(VLOOKUP(calendar[[#This Row],[Date]],BH!A:A,1,)&lt;&gt;"",1,0),0)</f>
        <v>0</v>
      </c>
      <c r="M1013">
        <f>IFERROR(IF(VLOOKUP(calendar[[#This Row],[Date]],BH!C:C,1,)&lt;&gt;"",1,0),0)</f>
        <v>0</v>
      </c>
      <c r="N1013">
        <f>IFERROR(IF(VLOOKUP(calendar[[#This Row],[Date]],BH!E:E,1,)&lt;&gt;"",1,0),0)</f>
        <v>0</v>
      </c>
      <c r="O1013">
        <f>IFERROR(IF(VLOOKUP(calendar[[#This Row],[Date]],BH!G:G,1,)&lt;&gt;"",1,0),0)</f>
        <v>0</v>
      </c>
      <c r="P1013">
        <f>IF(OR(calendar[[#This Row],[UK_BH]]=1,calendar[[#This Row],[WeekDay]]=1, calendar[[#This Row],[WeekDay]]=7),P1012,P1012+1)</f>
        <v>723</v>
      </c>
      <c r="Q1013">
        <f>IF(OR(calendar[[#This Row],[FR_BH]]=1,calendar[[#This Row],[WeekDay]]=1, calendar[[#This Row],[WeekDay]]=7),P1012,P1012+1)</f>
        <v>723</v>
      </c>
      <c r="R1013">
        <f>IF(OR(calendar[[#This Row],[SP_BH]]=1,calendar[[#This Row],[WeekDay]]=1, calendar[[#This Row],[WeekDay]]=7),P1012,P1012+1)</f>
        <v>723</v>
      </c>
      <c r="S1013">
        <f>IF(OR(calendar[[#This Row],[PT_BH]]=1,calendar[[#This Row],[WeekDay]]=1, calendar[[#This Row],[WeekDay]]=7),P1012,P1012+1)</f>
        <v>723</v>
      </c>
    </row>
    <row r="1014" spans="1:19" x14ac:dyDescent="0.25">
      <c r="A1014" s="2">
        <v>43748</v>
      </c>
      <c r="B1014" s="1">
        <f t="shared" si="78"/>
        <v>41</v>
      </c>
      <c r="C1014">
        <f t="shared" si="80"/>
        <v>10</v>
      </c>
      <c r="D1014" t="str">
        <f t="shared" si="81"/>
        <v>October</v>
      </c>
      <c r="E1014">
        <f t="shared" si="82"/>
        <v>2019</v>
      </c>
      <c r="F1014" t="str">
        <f>CONCATENATE(calendar[[#This Row],[Month]],"/",calendar[[#This Row],[Year]])</f>
        <v>10/2019</v>
      </c>
      <c r="G1014">
        <f>WEEKDAY(calendar[[#This Row],[Date]],1)</f>
        <v>5</v>
      </c>
      <c r="H1014" t="str">
        <f>TEXT(calendar[[#This Row],[WeekDay]],"dddd")</f>
        <v>Thursday</v>
      </c>
      <c r="I1014">
        <f>IF((INT(calendar[[#This Row],[Count]]/7)-calendar[[#This Row],[Count]]/7)&lt;0,I1013,I1013+1)</f>
        <v>145</v>
      </c>
      <c r="J1014">
        <f t="shared" si="79"/>
        <v>1012</v>
      </c>
      <c r="K1014">
        <f>IF(calendar[[#This Row],[Month]]&lt;4,1,IF(calendar[[#This Row],[Month]]&lt;7,2,IF(calendar[[#This Row],[Month]]&lt;10,3,4)))</f>
        <v>4</v>
      </c>
      <c r="L1014">
        <f>IFERROR(IF(VLOOKUP(calendar[[#This Row],[Date]],BH!A:A,1,)&lt;&gt;"",1,0),0)</f>
        <v>0</v>
      </c>
      <c r="M1014">
        <f>IFERROR(IF(VLOOKUP(calendar[[#This Row],[Date]],BH!C:C,1,)&lt;&gt;"",1,0),0)</f>
        <v>0</v>
      </c>
      <c r="N1014">
        <f>IFERROR(IF(VLOOKUP(calendar[[#This Row],[Date]],BH!E:E,1,)&lt;&gt;"",1,0),0)</f>
        <v>0</v>
      </c>
      <c r="O1014">
        <f>IFERROR(IF(VLOOKUP(calendar[[#This Row],[Date]],BH!G:G,1,)&lt;&gt;"",1,0),0)</f>
        <v>0</v>
      </c>
      <c r="P1014">
        <f>IF(OR(calendar[[#This Row],[UK_BH]]=1,calendar[[#This Row],[WeekDay]]=1, calendar[[#This Row],[WeekDay]]=7),P1013,P1013+1)</f>
        <v>724</v>
      </c>
      <c r="Q1014">
        <f>IF(OR(calendar[[#This Row],[FR_BH]]=1,calendar[[#This Row],[WeekDay]]=1, calendar[[#This Row],[WeekDay]]=7),P1013,P1013+1)</f>
        <v>724</v>
      </c>
      <c r="R1014">
        <f>IF(OR(calendar[[#This Row],[SP_BH]]=1,calendar[[#This Row],[WeekDay]]=1, calendar[[#This Row],[WeekDay]]=7),P1013,P1013+1)</f>
        <v>724</v>
      </c>
      <c r="S1014">
        <f>IF(OR(calendar[[#This Row],[PT_BH]]=1,calendar[[#This Row],[WeekDay]]=1, calendar[[#This Row],[WeekDay]]=7),P1013,P1013+1)</f>
        <v>724</v>
      </c>
    </row>
    <row r="1015" spans="1:19" x14ac:dyDescent="0.25">
      <c r="A1015" s="2">
        <v>43749</v>
      </c>
      <c r="B1015" s="1">
        <f t="shared" si="78"/>
        <v>41</v>
      </c>
      <c r="C1015">
        <f t="shared" si="80"/>
        <v>10</v>
      </c>
      <c r="D1015" t="str">
        <f t="shared" si="81"/>
        <v>October</v>
      </c>
      <c r="E1015">
        <f t="shared" si="82"/>
        <v>2019</v>
      </c>
      <c r="F1015" t="str">
        <f>CONCATENATE(calendar[[#This Row],[Month]],"/",calendar[[#This Row],[Year]])</f>
        <v>10/2019</v>
      </c>
      <c r="G1015">
        <f>WEEKDAY(calendar[[#This Row],[Date]],1)</f>
        <v>6</v>
      </c>
      <c r="H1015" t="str">
        <f>TEXT(calendar[[#This Row],[WeekDay]],"dddd")</f>
        <v>Friday</v>
      </c>
      <c r="I1015">
        <f>IF((INT(calendar[[#This Row],[Count]]/7)-calendar[[#This Row],[Count]]/7)&lt;0,I1014,I1014+1)</f>
        <v>145</v>
      </c>
      <c r="J1015">
        <f t="shared" si="79"/>
        <v>1013</v>
      </c>
      <c r="K1015">
        <f>IF(calendar[[#This Row],[Month]]&lt;4,1,IF(calendar[[#This Row],[Month]]&lt;7,2,IF(calendar[[#This Row],[Month]]&lt;10,3,4)))</f>
        <v>4</v>
      </c>
      <c r="L1015">
        <f>IFERROR(IF(VLOOKUP(calendar[[#This Row],[Date]],BH!A:A,1,)&lt;&gt;"",1,0),0)</f>
        <v>0</v>
      </c>
      <c r="M1015">
        <f>IFERROR(IF(VLOOKUP(calendar[[#This Row],[Date]],BH!C:C,1,)&lt;&gt;"",1,0),0)</f>
        <v>0</v>
      </c>
      <c r="N1015">
        <f>IFERROR(IF(VLOOKUP(calendar[[#This Row],[Date]],BH!E:E,1,)&lt;&gt;"",1,0),0)</f>
        <v>0</v>
      </c>
      <c r="O1015">
        <f>IFERROR(IF(VLOOKUP(calendar[[#This Row],[Date]],BH!G:G,1,)&lt;&gt;"",1,0),0)</f>
        <v>0</v>
      </c>
      <c r="P1015">
        <f>IF(OR(calendar[[#This Row],[UK_BH]]=1,calendar[[#This Row],[WeekDay]]=1, calendar[[#This Row],[WeekDay]]=7),P1014,P1014+1)</f>
        <v>725</v>
      </c>
      <c r="Q1015">
        <f>IF(OR(calendar[[#This Row],[FR_BH]]=1,calendar[[#This Row],[WeekDay]]=1, calendar[[#This Row],[WeekDay]]=7),P1014,P1014+1)</f>
        <v>725</v>
      </c>
      <c r="R1015">
        <f>IF(OR(calendar[[#This Row],[SP_BH]]=1,calendar[[#This Row],[WeekDay]]=1, calendar[[#This Row],[WeekDay]]=7),P1014,P1014+1)</f>
        <v>725</v>
      </c>
      <c r="S1015">
        <f>IF(OR(calendar[[#This Row],[PT_BH]]=1,calendar[[#This Row],[WeekDay]]=1, calendar[[#This Row],[WeekDay]]=7),P1014,P1014+1)</f>
        <v>725</v>
      </c>
    </row>
    <row r="1016" spans="1:19" x14ac:dyDescent="0.25">
      <c r="A1016" s="2">
        <v>43750</v>
      </c>
      <c r="B1016" s="1">
        <f t="shared" si="78"/>
        <v>41</v>
      </c>
      <c r="C1016">
        <f t="shared" si="80"/>
        <v>10</v>
      </c>
      <c r="D1016" t="str">
        <f t="shared" si="81"/>
        <v>October</v>
      </c>
      <c r="E1016">
        <f t="shared" si="82"/>
        <v>2019</v>
      </c>
      <c r="F1016" t="str">
        <f>CONCATENATE(calendar[[#This Row],[Month]],"/",calendar[[#This Row],[Year]])</f>
        <v>10/2019</v>
      </c>
      <c r="G1016">
        <f>WEEKDAY(calendar[[#This Row],[Date]],1)</f>
        <v>7</v>
      </c>
      <c r="H1016" t="str">
        <f>TEXT(calendar[[#This Row],[WeekDay]],"dddd")</f>
        <v>Saturday</v>
      </c>
      <c r="I1016">
        <f>IF((INT(calendar[[#This Row],[Count]]/7)-calendar[[#This Row],[Count]]/7)&lt;0,I1015,I1015+1)</f>
        <v>145</v>
      </c>
      <c r="J1016">
        <f t="shared" si="79"/>
        <v>1014</v>
      </c>
      <c r="K1016">
        <f>IF(calendar[[#This Row],[Month]]&lt;4,1,IF(calendar[[#This Row],[Month]]&lt;7,2,IF(calendar[[#This Row],[Month]]&lt;10,3,4)))</f>
        <v>4</v>
      </c>
      <c r="L1016">
        <f>IFERROR(IF(VLOOKUP(calendar[[#This Row],[Date]],BH!A:A,1,)&lt;&gt;"",1,0),0)</f>
        <v>0</v>
      </c>
      <c r="M1016">
        <f>IFERROR(IF(VLOOKUP(calendar[[#This Row],[Date]],BH!C:C,1,)&lt;&gt;"",1,0),0)</f>
        <v>0</v>
      </c>
      <c r="N1016">
        <f>IFERROR(IF(VLOOKUP(calendar[[#This Row],[Date]],BH!E:E,1,)&lt;&gt;"",1,0),0)</f>
        <v>0</v>
      </c>
      <c r="O1016">
        <f>IFERROR(IF(VLOOKUP(calendar[[#This Row],[Date]],BH!G:G,1,)&lt;&gt;"",1,0),0)</f>
        <v>0</v>
      </c>
      <c r="P1016">
        <f>IF(OR(calendar[[#This Row],[UK_BH]]=1,calendar[[#This Row],[WeekDay]]=1, calendar[[#This Row],[WeekDay]]=7),P1015,P1015+1)</f>
        <v>725</v>
      </c>
      <c r="Q1016">
        <f>IF(OR(calendar[[#This Row],[FR_BH]]=1,calendar[[#This Row],[WeekDay]]=1, calendar[[#This Row],[WeekDay]]=7),P1015,P1015+1)</f>
        <v>725</v>
      </c>
      <c r="R1016">
        <f>IF(OR(calendar[[#This Row],[SP_BH]]=1,calendar[[#This Row],[WeekDay]]=1, calendar[[#This Row],[WeekDay]]=7),P1015,P1015+1)</f>
        <v>725</v>
      </c>
      <c r="S1016">
        <f>IF(OR(calendar[[#This Row],[PT_BH]]=1,calendar[[#This Row],[WeekDay]]=1, calendar[[#This Row],[WeekDay]]=7),P1015,P1015+1)</f>
        <v>725</v>
      </c>
    </row>
    <row r="1017" spans="1:19" x14ac:dyDescent="0.25">
      <c r="A1017" s="2">
        <v>43751</v>
      </c>
      <c r="B1017" s="1">
        <f t="shared" si="78"/>
        <v>42</v>
      </c>
      <c r="C1017">
        <f t="shared" si="80"/>
        <v>10</v>
      </c>
      <c r="D1017" t="str">
        <f t="shared" si="81"/>
        <v>October</v>
      </c>
      <c r="E1017">
        <f t="shared" si="82"/>
        <v>2019</v>
      </c>
      <c r="F1017" t="str">
        <f>CONCATENATE(calendar[[#This Row],[Month]],"/",calendar[[#This Row],[Year]])</f>
        <v>10/2019</v>
      </c>
      <c r="G1017">
        <f>WEEKDAY(calendar[[#This Row],[Date]],1)</f>
        <v>1</v>
      </c>
      <c r="H1017" t="str">
        <f>TEXT(calendar[[#This Row],[WeekDay]],"dddd")</f>
        <v>Sunday</v>
      </c>
      <c r="I1017">
        <f>IF((INT(calendar[[#This Row],[Count]]/7)-calendar[[#This Row],[Count]]/7)&lt;0,I1016,I1016+1)</f>
        <v>146</v>
      </c>
      <c r="J1017">
        <f t="shared" si="79"/>
        <v>1015</v>
      </c>
      <c r="K1017">
        <f>IF(calendar[[#This Row],[Month]]&lt;4,1,IF(calendar[[#This Row],[Month]]&lt;7,2,IF(calendar[[#This Row],[Month]]&lt;10,3,4)))</f>
        <v>4</v>
      </c>
      <c r="L1017">
        <f>IFERROR(IF(VLOOKUP(calendar[[#This Row],[Date]],BH!A:A,1,)&lt;&gt;"",1,0),0)</f>
        <v>0</v>
      </c>
      <c r="M1017">
        <f>IFERROR(IF(VLOOKUP(calendar[[#This Row],[Date]],BH!C:C,1,)&lt;&gt;"",1,0),0)</f>
        <v>0</v>
      </c>
      <c r="N1017">
        <f>IFERROR(IF(VLOOKUP(calendar[[#This Row],[Date]],BH!E:E,1,)&lt;&gt;"",1,0),0)</f>
        <v>0</v>
      </c>
      <c r="O1017">
        <f>IFERROR(IF(VLOOKUP(calendar[[#This Row],[Date]],BH!G:G,1,)&lt;&gt;"",1,0),0)</f>
        <v>0</v>
      </c>
      <c r="P1017">
        <f>IF(OR(calendar[[#This Row],[UK_BH]]=1,calendar[[#This Row],[WeekDay]]=1, calendar[[#This Row],[WeekDay]]=7),P1016,P1016+1)</f>
        <v>725</v>
      </c>
      <c r="Q1017">
        <f>IF(OR(calendar[[#This Row],[FR_BH]]=1,calendar[[#This Row],[WeekDay]]=1, calendar[[#This Row],[WeekDay]]=7),P1016,P1016+1)</f>
        <v>725</v>
      </c>
      <c r="R1017">
        <f>IF(OR(calendar[[#This Row],[SP_BH]]=1,calendar[[#This Row],[WeekDay]]=1, calendar[[#This Row],[WeekDay]]=7),P1016,P1016+1)</f>
        <v>725</v>
      </c>
      <c r="S1017">
        <f>IF(OR(calendar[[#This Row],[PT_BH]]=1,calendar[[#This Row],[WeekDay]]=1, calendar[[#This Row],[WeekDay]]=7),P1016,P1016+1)</f>
        <v>725</v>
      </c>
    </row>
    <row r="1018" spans="1:19" x14ac:dyDescent="0.25">
      <c r="A1018" s="2">
        <v>43752</v>
      </c>
      <c r="B1018" s="1">
        <f t="shared" si="78"/>
        <v>42</v>
      </c>
      <c r="C1018">
        <f t="shared" si="80"/>
        <v>10</v>
      </c>
      <c r="D1018" t="str">
        <f t="shared" si="81"/>
        <v>October</v>
      </c>
      <c r="E1018">
        <f t="shared" si="82"/>
        <v>2019</v>
      </c>
      <c r="F1018" t="str">
        <f>CONCATENATE(calendar[[#This Row],[Month]],"/",calendar[[#This Row],[Year]])</f>
        <v>10/2019</v>
      </c>
      <c r="G1018">
        <f>WEEKDAY(calendar[[#This Row],[Date]],1)</f>
        <v>2</v>
      </c>
      <c r="H1018" t="str">
        <f>TEXT(calendar[[#This Row],[WeekDay]],"dddd")</f>
        <v>Monday</v>
      </c>
      <c r="I1018">
        <f>IF((INT(calendar[[#This Row],[Count]]/7)-calendar[[#This Row],[Count]]/7)&lt;0,I1017,I1017+1)</f>
        <v>146</v>
      </c>
      <c r="J1018">
        <f t="shared" si="79"/>
        <v>1016</v>
      </c>
      <c r="K1018">
        <f>IF(calendar[[#This Row],[Month]]&lt;4,1,IF(calendar[[#This Row],[Month]]&lt;7,2,IF(calendar[[#This Row],[Month]]&lt;10,3,4)))</f>
        <v>4</v>
      </c>
      <c r="L1018">
        <f>IFERROR(IF(VLOOKUP(calendar[[#This Row],[Date]],BH!A:A,1,)&lt;&gt;"",1,0),0)</f>
        <v>0</v>
      </c>
      <c r="M1018">
        <f>IFERROR(IF(VLOOKUP(calendar[[#This Row],[Date]],BH!C:C,1,)&lt;&gt;"",1,0),0)</f>
        <v>0</v>
      </c>
      <c r="N1018">
        <f>IFERROR(IF(VLOOKUP(calendar[[#This Row],[Date]],BH!E:E,1,)&lt;&gt;"",1,0),0)</f>
        <v>0</v>
      </c>
      <c r="O1018">
        <f>IFERROR(IF(VLOOKUP(calendar[[#This Row],[Date]],BH!G:G,1,)&lt;&gt;"",1,0),0)</f>
        <v>0</v>
      </c>
      <c r="P1018">
        <f>IF(OR(calendar[[#This Row],[UK_BH]]=1,calendar[[#This Row],[WeekDay]]=1, calendar[[#This Row],[WeekDay]]=7),P1017,P1017+1)</f>
        <v>726</v>
      </c>
      <c r="Q1018">
        <f>IF(OR(calendar[[#This Row],[FR_BH]]=1,calendar[[#This Row],[WeekDay]]=1, calendar[[#This Row],[WeekDay]]=7),P1017,P1017+1)</f>
        <v>726</v>
      </c>
      <c r="R1018">
        <f>IF(OR(calendar[[#This Row],[SP_BH]]=1,calendar[[#This Row],[WeekDay]]=1, calendar[[#This Row],[WeekDay]]=7),P1017,P1017+1)</f>
        <v>726</v>
      </c>
      <c r="S1018">
        <f>IF(OR(calendar[[#This Row],[PT_BH]]=1,calendar[[#This Row],[WeekDay]]=1, calendar[[#This Row],[WeekDay]]=7),P1017,P1017+1)</f>
        <v>726</v>
      </c>
    </row>
    <row r="1019" spans="1:19" x14ac:dyDescent="0.25">
      <c r="A1019" s="2">
        <v>43753</v>
      </c>
      <c r="B1019" s="1">
        <f t="shared" si="78"/>
        <v>42</v>
      </c>
      <c r="C1019">
        <f t="shared" si="80"/>
        <v>10</v>
      </c>
      <c r="D1019" t="str">
        <f t="shared" si="81"/>
        <v>October</v>
      </c>
      <c r="E1019">
        <f t="shared" si="82"/>
        <v>2019</v>
      </c>
      <c r="F1019" t="str">
        <f>CONCATENATE(calendar[[#This Row],[Month]],"/",calendar[[#This Row],[Year]])</f>
        <v>10/2019</v>
      </c>
      <c r="G1019">
        <f>WEEKDAY(calendar[[#This Row],[Date]],1)</f>
        <v>3</v>
      </c>
      <c r="H1019" t="str">
        <f>TEXT(calendar[[#This Row],[WeekDay]],"dddd")</f>
        <v>Tuesday</v>
      </c>
      <c r="I1019">
        <f>IF((INT(calendar[[#This Row],[Count]]/7)-calendar[[#This Row],[Count]]/7)&lt;0,I1018,I1018+1)</f>
        <v>146</v>
      </c>
      <c r="J1019">
        <f t="shared" si="79"/>
        <v>1017</v>
      </c>
      <c r="K1019">
        <f>IF(calendar[[#This Row],[Month]]&lt;4,1,IF(calendar[[#This Row],[Month]]&lt;7,2,IF(calendar[[#This Row],[Month]]&lt;10,3,4)))</f>
        <v>4</v>
      </c>
      <c r="L1019">
        <f>IFERROR(IF(VLOOKUP(calendar[[#This Row],[Date]],BH!A:A,1,)&lt;&gt;"",1,0),0)</f>
        <v>0</v>
      </c>
      <c r="M1019">
        <f>IFERROR(IF(VLOOKUP(calendar[[#This Row],[Date]],BH!C:C,1,)&lt;&gt;"",1,0),0)</f>
        <v>0</v>
      </c>
      <c r="N1019">
        <f>IFERROR(IF(VLOOKUP(calendar[[#This Row],[Date]],BH!E:E,1,)&lt;&gt;"",1,0),0)</f>
        <v>0</v>
      </c>
      <c r="O1019">
        <f>IFERROR(IF(VLOOKUP(calendar[[#This Row],[Date]],BH!G:G,1,)&lt;&gt;"",1,0),0)</f>
        <v>0</v>
      </c>
      <c r="P1019">
        <f>IF(OR(calendar[[#This Row],[UK_BH]]=1,calendar[[#This Row],[WeekDay]]=1, calendar[[#This Row],[WeekDay]]=7),P1018,P1018+1)</f>
        <v>727</v>
      </c>
      <c r="Q1019">
        <f>IF(OR(calendar[[#This Row],[FR_BH]]=1,calendar[[#This Row],[WeekDay]]=1, calendar[[#This Row],[WeekDay]]=7),P1018,P1018+1)</f>
        <v>727</v>
      </c>
      <c r="R1019">
        <f>IF(OR(calendar[[#This Row],[SP_BH]]=1,calendar[[#This Row],[WeekDay]]=1, calendar[[#This Row],[WeekDay]]=7),P1018,P1018+1)</f>
        <v>727</v>
      </c>
      <c r="S1019">
        <f>IF(OR(calendar[[#This Row],[PT_BH]]=1,calendar[[#This Row],[WeekDay]]=1, calendar[[#This Row],[WeekDay]]=7),P1018,P1018+1)</f>
        <v>727</v>
      </c>
    </row>
    <row r="1020" spans="1:19" x14ac:dyDescent="0.25">
      <c r="A1020" s="2">
        <v>43754</v>
      </c>
      <c r="B1020" s="1">
        <f t="shared" si="78"/>
        <v>42</v>
      </c>
      <c r="C1020">
        <f t="shared" si="80"/>
        <v>10</v>
      </c>
      <c r="D1020" t="str">
        <f t="shared" si="81"/>
        <v>October</v>
      </c>
      <c r="E1020">
        <f t="shared" si="82"/>
        <v>2019</v>
      </c>
      <c r="F1020" t="str">
        <f>CONCATENATE(calendar[[#This Row],[Month]],"/",calendar[[#This Row],[Year]])</f>
        <v>10/2019</v>
      </c>
      <c r="G1020">
        <f>WEEKDAY(calendar[[#This Row],[Date]],1)</f>
        <v>4</v>
      </c>
      <c r="H1020" t="str">
        <f>TEXT(calendar[[#This Row],[WeekDay]],"dddd")</f>
        <v>Wednesday</v>
      </c>
      <c r="I1020">
        <f>IF((INT(calendar[[#This Row],[Count]]/7)-calendar[[#This Row],[Count]]/7)&lt;0,I1019,I1019+1)</f>
        <v>146</v>
      </c>
      <c r="J1020">
        <f t="shared" si="79"/>
        <v>1018</v>
      </c>
      <c r="K1020">
        <f>IF(calendar[[#This Row],[Month]]&lt;4,1,IF(calendar[[#This Row],[Month]]&lt;7,2,IF(calendar[[#This Row],[Month]]&lt;10,3,4)))</f>
        <v>4</v>
      </c>
      <c r="L1020">
        <f>IFERROR(IF(VLOOKUP(calendar[[#This Row],[Date]],BH!A:A,1,)&lt;&gt;"",1,0),0)</f>
        <v>0</v>
      </c>
      <c r="M1020">
        <f>IFERROR(IF(VLOOKUP(calendar[[#This Row],[Date]],BH!C:C,1,)&lt;&gt;"",1,0),0)</f>
        <v>0</v>
      </c>
      <c r="N1020">
        <f>IFERROR(IF(VLOOKUP(calendar[[#This Row],[Date]],BH!E:E,1,)&lt;&gt;"",1,0),0)</f>
        <v>0</v>
      </c>
      <c r="O1020">
        <f>IFERROR(IF(VLOOKUP(calendar[[#This Row],[Date]],BH!G:G,1,)&lt;&gt;"",1,0),0)</f>
        <v>0</v>
      </c>
      <c r="P1020">
        <f>IF(OR(calendar[[#This Row],[UK_BH]]=1,calendar[[#This Row],[WeekDay]]=1, calendar[[#This Row],[WeekDay]]=7),P1019,P1019+1)</f>
        <v>728</v>
      </c>
      <c r="Q1020">
        <f>IF(OR(calendar[[#This Row],[FR_BH]]=1,calendar[[#This Row],[WeekDay]]=1, calendar[[#This Row],[WeekDay]]=7),P1019,P1019+1)</f>
        <v>728</v>
      </c>
      <c r="R1020">
        <f>IF(OR(calendar[[#This Row],[SP_BH]]=1,calendar[[#This Row],[WeekDay]]=1, calendar[[#This Row],[WeekDay]]=7),P1019,P1019+1)</f>
        <v>728</v>
      </c>
      <c r="S1020">
        <f>IF(OR(calendar[[#This Row],[PT_BH]]=1,calendar[[#This Row],[WeekDay]]=1, calendar[[#This Row],[WeekDay]]=7),P1019,P1019+1)</f>
        <v>728</v>
      </c>
    </row>
    <row r="1021" spans="1:19" x14ac:dyDescent="0.25">
      <c r="A1021" s="2">
        <v>43755</v>
      </c>
      <c r="B1021" s="1">
        <f t="shared" si="78"/>
        <v>42</v>
      </c>
      <c r="C1021">
        <f t="shared" si="80"/>
        <v>10</v>
      </c>
      <c r="D1021" t="str">
        <f t="shared" si="81"/>
        <v>October</v>
      </c>
      <c r="E1021">
        <f t="shared" si="82"/>
        <v>2019</v>
      </c>
      <c r="F1021" t="str">
        <f>CONCATENATE(calendar[[#This Row],[Month]],"/",calendar[[#This Row],[Year]])</f>
        <v>10/2019</v>
      </c>
      <c r="G1021">
        <f>WEEKDAY(calendar[[#This Row],[Date]],1)</f>
        <v>5</v>
      </c>
      <c r="H1021" t="str">
        <f>TEXT(calendar[[#This Row],[WeekDay]],"dddd")</f>
        <v>Thursday</v>
      </c>
      <c r="I1021">
        <f>IF((INT(calendar[[#This Row],[Count]]/7)-calendar[[#This Row],[Count]]/7)&lt;0,I1020,I1020+1)</f>
        <v>146</v>
      </c>
      <c r="J1021">
        <f t="shared" si="79"/>
        <v>1019</v>
      </c>
      <c r="K1021">
        <f>IF(calendar[[#This Row],[Month]]&lt;4,1,IF(calendar[[#This Row],[Month]]&lt;7,2,IF(calendar[[#This Row],[Month]]&lt;10,3,4)))</f>
        <v>4</v>
      </c>
      <c r="L1021">
        <f>IFERROR(IF(VLOOKUP(calendar[[#This Row],[Date]],BH!A:A,1,)&lt;&gt;"",1,0),0)</f>
        <v>0</v>
      </c>
      <c r="M1021">
        <f>IFERROR(IF(VLOOKUP(calendar[[#This Row],[Date]],BH!C:C,1,)&lt;&gt;"",1,0),0)</f>
        <v>0</v>
      </c>
      <c r="N1021">
        <f>IFERROR(IF(VLOOKUP(calendar[[#This Row],[Date]],BH!E:E,1,)&lt;&gt;"",1,0),0)</f>
        <v>0</v>
      </c>
      <c r="O1021">
        <f>IFERROR(IF(VLOOKUP(calendar[[#This Row],[Date]],BH!G:G,1,)&lt;&gt;"",1,0),0)</f>
        <v>0</v>
      </c>
      <c r="P1021">
        <f>IF(OR(calendar[[#This Row],[UK_BH]]=1,calendar[[#This Row],[WeekDay]]=1, calendar[[#This Row],[WeekDay]]=7),P1020,P1020+1)</f>
        <v>729</v>
      </c>
      <c r="Q1021">
        <f>IF(OR(calendar[[#This Row],[FR_BH]]=1,calendar[[#This Row],[WeekDay]]=1, calendar[[#This Row],[WeekDay]]=7),P1020,P1020+1)</f>
        <v>729</v>
      </c>
      <c r="R1021">
        <f>IF(OR(calendar[[#This Row],[SP_BH]]=1,calendar[[#This Row],[WeekDay]]=1, calendar[[#This Row],[WeekDay]]=7),P1020,P1020+1)</f>
        <v>729</v>
      </c>
      <c r="S1021">
        <f>IF(OR(calendar[[#This Row],[PT_BH]]=1,calendar[[#This Row],[WeekDay]]=1, calendar[[#This Row],[WeekDay]]=7),P1020,P1020+1)</f>
        <v>729</v>
      </c>
    </row>
    <row r="1022" spans="1:19" x14ac:dyDescent="0.25">
      <c r="A1022" s="2">
        <v>43756</v>
      </c>
      <c r="B1022" s="1">
        <f t="shared" si="78"/>
        <v>42</v>
      </c>
      <c r="C1022">
        <f t="shared" si="80"/>
        <v>10</v>
      </c>
      <c r="D1022" t="str">
        <f t="shared" si="81"/>
        <v>October</v>
      </c>
      <c r="E1022">
        <f t="shared" si="82"/>
        <v>2019</v>
      </c>
      <c r="F1022" t="str">
        <f>CONCATENATE(calendar[[#This Row],[Month]],"/",calendar[[#This Row],[Year]])</f>
        <v>10/2019</v>
      </c>
      <c r="G1022">
        <f>WEEKDAY(calendar[[#This Row],[Date]],1)</f>
        <v>6</v>
      </c>
      <c r="H1022" t="str">
        <f>TEXT(calendar[[#This Row],[WeekDay]],"dddd")</f>
        <v>Friday</v>
      </c>
      <c r="I1022">
        <f>IF((INT(calendar[[#This Row],[Count]]/7)-calendar[[#This Row],[Count]]/7)&lt;0,I1021,I1021+1)</f>
        <v>146</v>
      </c>
      <c r="J1022">
        <f t="shared" si="79"/>
        <v>1020</v>
      </c>
      <c r="K1022">
        <f>IF(calendar[[#This Row],[Month]]&lt;4,1,IF(calendar[[#This Row],[Month]]&lt;7,2,IF(calendar[[#This Row],[Month]]&lt;10,3,4)))</f>
        <v>4</v>
      </c>
      <c r="L1022">
        <f>IFERROR(IF(VLOOKUP(calendar[[#This Row],[Date]],BH!A:A,1,)&lt;&gt;"",1,0),0)</f>
        <v>0</v>
      </c>
      <c r="M1022">
        <f>IFERROR(IF(VLOOKUP(calendar[[#This Row],[Date]],BH!C:C,1,)&lt;&gt;"",1,0),0)</f>
        <v>0</v>
      </c>
      <c r="N1022">
        <f>IFERROR(IF(VLOOKUP(calendar[[#This Row],[Date]],BH!E:E,1,)&lt;&gt;"",1,0),0)</f>
        <v>0</v>
      </c>
      <c r="O1022">
        <f>IFERROR(IF(VLOOKUP(calendar[[#This Row],[Date]],BH!G:G,1,)&lt;&gt;"",1,0),0)</f>
        <v>0</v>
      </c>
      <c r="P1022">
        <f>IF(OR(calendar[[#This Row],[UK_BH]]=1,calendar[[#This Row],[WeekDay]]=1, calendar[[#This Row],[WeekDay]]=7),P1021,P1021+1)</f>
        <v>730</v>
      </c>
      <c r="Q1022">
        <f>IF(OR(calendar[[#This Row],[FR_BH]]=1,calendar[[#This Row],[WeekDay]]=1, calendar[[#This Row],[WeekDay]]=7),P1021,P1021+1)</f>
        <v>730</v>
      </c>
      <c r="R1022">
        <f>IF(OR(calendar[[#This Row],[SP_BH]]=1,calendar[[#This Row],[WeekDay]]=1, calendar[[#This Row],[WeekDay]]=7),P1021,P1021+1)</f>
        <v>730</v>
      </c>
      <c r="S1022">
        <f>IF(OR(calendar[[#This Row],[PT_BH]]=1,calendar[[#This Row],[WeekDay]]=1, calendar[[#This Row],[WeekDay]]=7),P1021,P1021+1)</f>
        <v>730</v>
      </c>
    </row>
    <row r="1023" spans="1:19" x14ac:dyDescent="0.25">
      <c r="A1023" s="2">
        <v>43757</v>
      </c>
      <c r="B1023" s="1">
        <f t="shared" si="78"/>
        <v>42</v>
      </c>
      <c r="C1023">
        <f t="shared" si="80"/>
        <v>10</v>
      </c>
      <c r="D1023" t="str">
        <f t="shared" si="81"/>
        <v>October</v>
      </c>
      <c r="E1023">
        <f t="shared" si="82"/>
        <v>2019</v>
      </c>
      <c r="F1023" t="str">
        <f>CONCATENATE(calendar[[#This Row],[Month]],"/",calendar[[#This Row],[Year]])</f>
        <v>10/2019</v>
      </c>
      <c r="G1023">
        <f>WEEKDAY(calendar[[#This Row],[Date]],1)</f>
        <v>7</v>
      </c>
      <c r="H1023" t="str">
        <f>TEXT(calendar[[#This Row],[WeekDay]],"dddd")</f>
        <v>Saturday</v>
      </c>
      <c r="I1023">
        <f>IF((INT(calendar[[#This Row],[Count]]/7)-calendar[[#This Row],[Count]]/7)&lt;0,I1022,I1022+1)</f>
        <v>146</v>
      </c>
      <c r="J1023">
        <f t="shared" si="79"/>
        <v>1021</v>
      </c>
      <c r="K1023">
        <f>IF(calendar[[#This Row],[Month]]&lt;4,1,IF(calendar[[#This Row],[Month]]&lt;7,2,IF(calendar[[#This Row],[Month]]&lt;10,3,4)))</f>
        <v>4</v>
      </c>
      <c r="L1023">
        <f>IFERROR(IF(VLOOKUP(calendar[[#This Row],[Date]],BH!A:A,1,)&lt;&gt;"",1,0),0)</f>
        <v>0</v>
      </c>
      <c r="M1023">
        <f>IFERROR(IF(VLOOKUP(calendar[[#This Row],[Date]],BH!C:C,1,)&lt;&gt;"",1,0),0)</f>
        <v>0</v>
      </c>
      <c r="N1023">
        <f>IFERROR(IF(VLOOKUP(calendar[[#This Row],[Date]],BH!E:E,1,)&lt;&gt;"",1,0),0)</f>
        <v>0</v>
      </c>
      <c r="O1023">
        <f>IFERROR(IF(VLOOKUP(calendar[[#This Row],[Date]],BH!G:G,1,)&lt;&gt;"",1,0),0)</f>
        <v>0</v>
      </c>
      <c r="P1023">
        <f>IF(OR(calendar[[#This Row],[UK_BH]]=1,calendar[[#This Row],[WeekDay]]=1, calendar[[#This Row],[WeekDay]]=7),P1022,P1022+1)</f>
        <v>730</v>
      </c>
      <c r="Q1023">
        <f>IF(OR(calendar[[#This Row],[FR_BH]]=1,calendar[[#This Row],[WeekDay]]=1, calendar[[#This Row],[WeekDay]]=7),P1022,P1022+1)</f>
        <v>730</v>
      </c>
      <c r="R1023">
        <f>IF(OR(calendar[[#This Row],[SP_BH]]=1,calendar[[#This Row],[WeekDay]]=1, calendar[[#This Row],[WeekDay]]=7),P1022,P1022+1)</f>
        <v>730</v>
      </c>
      <c r="S1023">
        <f>IF(OR(calendar[[#This Row],[PT_BH]]=1,calendar[[#This Row],[WeekDay]]=1, calendar[[#This Row],[WeekDay]]=7),P1022,P1022+1)</f>
        <v>730</v>
      </c>
    </row>
    <row r="1024" spans="1:19" x14ac:dyDescent="0.25">
      <c r="A1024" s="2">
        <v>43758</v>
      </c>
      <c r="B1024" s="1">
        <f t="shared" si="78"/>
        <v>43</v>
      </c>
      <c r="C1024">
        <f t="shared" si="80"/>
        <v>10</v>
      </c>
      <c r="D1024" t="str">
        <f t="shared" si="81"/>
        <v>October</v>
      </c>
      <c r="E1024">
        <f t="shared" si="82"/>
        <v>2019</v>
      </c>
      <c r="F1024" t="str">
        <f>CONCATENATE(calendar[[#This Row],[Month]],"/",calendar[[#This Row],[Year]])</f>
        <v>10/2019</v>
      </c>
      <c r="G1024">
        <f>WEEKDAY(calendar[[#This Row],[Date]],1)</f>
        <v>1</v>
      </c>
      <c r="H1024" t="str">
        <f>TEXT(calendar[[#This Row],[WeekDay]],"dddd")</f>
        <v>Sunday</v>
      </c>
      <c r="I1024">
        <f>IF((INT(calendar[[#This Row],[Count]]/7)-calendar[[#This Row],[Count]]/7)&lt;0,I1023,I1023+1)</f>
        <v>147</v>
      </c>
      <c r="J1024">
        <f t="shared" si="79"/>
        <v>1022</v>
      </c>
      <c r="K1024">
        <f>IF(calendar[[#This Row],[Month]]&lt;4,1,IF(calendar[[#This Row],[Month]]&lt;7,2,IF(calendar[[#This Row],[Month]]&lt;10,3,4)))</f>
        <v>4</v>
      </c>
      <c r="L1024">
        <f>IFERROR(IF(VLOOKUP(calendar[[#This Row],[Date]],BH!A:A,1,)&lt;&gt;"",1,0),0)</f>
        <v>0</v>
      </c>
      <c r="M1024">
        <f>IFERROR(IF(VLOOKUP(calendar[[#This Row],[Date]],BH!C:C,1,)&lt;&gt;"",1,0),0)</f>
        <v>0</v>
      </c>
      <c r="N1024">
        <f>IFERROR(IF(VLOOKUP(calendar[[#This Row],[Date]],BH!E:E,1,)&lt;&gt;"",1,0),0)</f>
        <v>0</v>
      </c>
      <c r="O1024">
        <f>IFERROR(IF(VLOOKUP(calendar[[#This Row],[Date]],BH!G:G,1,)&lt;&gt;"",1,0),0)</f>
        <v>0</v>
      </c>
      <c r="P1024">
        <f>IF(OR(calendar[[#This Row],[UK_BH]]=1,calendar[[#This Row],[WeekDay]]=1, calendar[[#This Row],[WeekDay]]=7),P1023,P1023+1)</f>
        <v>730</v>
      </c>
      <c r="Q1024">
        <f>IF(OR(calendar[[#This Row],[FR_BH]]=1,calendar[[#This Row],[WeekDay]]=1, calendar[[#This Row],[WeekDay]]=7),P1023,P1023+1)</f>
        <v>730</v>
      </c>
      <c r="R1024">
        <f>IF(OR(calendar[[#This Row],[SP_BH]]=1,calendar[[#This Row],[WeekDay]]=1, calendar[[#This Row],[WeekDay]]=7),P1023,P1023+1)</f>
        <v>730</v>
      </c>
      <c r="S1024">
        <f>IF(OR(calendar[[#This Row],[PT_BH]]=1,calendar[[#This Row],[WeekDay]]=1, calendar[[#This Row],[WeekDay]]=7),P1023,P1023+1)</f>
        <v>730</v>
      </c>
    </row>
    <row r="1025" spans="1:19" x14ac:dyDescent="0.25">
      <c r="A1025" s="2">
        <v>43759</v>
      </c>
      <c r="B1025" s="1">
        <f t="shared" si="78"/>
        <v>43</v>
      </c>
      <c r="C1025">
        <f t="shared" si="80"/>
        <v>10</v>
      </c>
      <c r="D1025" t="str">
        <f t="shared" si="81"/>
        <v>October</v>
      </c>
      <c r="E1025">
        <f t="shared" si="82"/>
        <v>2019</v>
      </c>
      <c r="F1025" t="str">
        <f>CONCATENATE(calendar[[#This Row],[Month]],"/",calendar[[#This Row],[Year]])</f>
        <v>10/2019</v>
      </c>
      <c r="G1025">
        <f>WEEKDAY(calendar[[#This Row],[Date]],1)</f>
        <v>2</v>
      </c>
      <c r="H1025" t="str">
        <f>TEXT(calendar[[#This Row],[WeekDay]],"dddd")</f>
        <v>Monday</v>
      </c>
      <c r="I1025">
        <f>IF((INT(calendar[[#This Row],[Count]]/7)-calendar[[#This Row],[Count]]/7)&lt;0,I1024,I1024+1)</f>
        <v>147</v>
      </c>
      <c r="J1025">
        <f t="shared" si="79"/>
        <v>1023</v>
      </c>
      <c r="K1025">
        <f>IF(calendar[[#This Row],[Month]]&lt;4,1,IF(calendar[[#This Row],[Month]]&lt;7,2,IF(calendar[[#This Row],[Month]]&lt;10,3,4)))</f>
        <v>4</v>
      </c>
      <c r="L1025">
        <f>IFERROR(IF(VLOOKUP(calendar[[#This Row],[Date]],BH!A:A,1,)&lt;&gt;"",1,0),0)</f>
        <v>0</v>
      </c>
      <c r="M1025">
        <f>IFERROR(IF(VLOOKUP(calendar[[#This Row],[Date]],BH!C:C,1,)&lt;&gt;"",1,0),0)</f>
        <v>0</v>
      </c>
      <c r="N1025">
        <f>IFERROR(IF(VLOOKUP(calendar[[#This Row],[Date]],BH!E:E,1,)&lt;&gt;"",1,0),0)</f>
        <v>0</v>
      </c>
      <c r="O1025">
        <f>IFERROR(IF(VLOOKUP(calendar[[#This Row],[Date]],BH!G:G,1,)&lt;&gt;"",1,0),0)</f>
        <v>0</v>
      </c>
      <c r="P1025">
        <f>IF(OR(calendar[[#This Row],[UK_BH]]=1,calendar[[#This Row],[WeekDay]]=1, calendar[[#This Row],[WeekDay]]=7),P1024,P1024+1)</f>
        <v>731</v>
      </c>
      <c r="Q1025">
        <f>IF(OR(calendar[[#This Row],[FR_BH]]=1,calendar[[#This Row],[WeekDay]]=1, calendar[[#This Row],[WeekDay]]=7),P1024,P1024+1)</f>
        <v>731</v>
      </c>
      <c r="R1025">
        <f>IF(OR(calendar[[#This Row],[SP_BH]]=1,calendar[[#This Row],[WeekDay]]=1, calendar[[#This Row],[WeekDay]]=7),P1024,P1024+1)</f>
        <v>731</v>
      </c>
      <c r="S1025">
        <f>IF(OR(calendar[[#This Row],[PT_BH]]=1,calendar[[#This Row],[WeekDay]]=1, calendar[[#This Row],[WeekDay]]=7),P1024,P1024+1)</f>
        <v>731</v>
      </c>
    </row>
    <row r="1026" spans="1:19" x14ac:dyDescent="0.25">
      <c r="A1026" s="2">
        <v>43760</v>
      </c>
      <c r="B1026" s="1">
        <f t="shared" ref="B1026:B1089" si="83">WEEKNUM(A1026)</f>
        <v>43</v>
      </c>
      <c r="C1026">
        <f t="shared" si="80"/>
        <v>10</v>
      </c>
      <c r="D1026" t="str">
        <f t="shared" si="81"/>
        <v>October</v>
      </c>
      <c r="E1026">
        <f t="shared" si="82"/>
        <v>2019</v>
      </c>
      <c r="F1026" t="str">
        <f>CONCATENATE(calendar[[#This Row],[Month]],"/",calendar[[#This Row],[Year]])</f>
        <v>10/2019</v>
      </c>
      <c r="G1026">
        <f>WEEKDAY(calendar[[#This Row],[Date]],1)</f>
        <v>3</v>
      </c>
      <c r="H1026" t="str">
        <f>TEXT(calendar[[#This Row],[WeekDay]],"dddd")</f>
        <v>Tuesday</v>
      </c>
      <c r="I1026">
        <f>IF((INT(calendar[[#This Row],[Count]]/7)-calendar[[#This Row],[Count]]/7)&lt;0,I1025,I1025+1)</f>
        <v>147</v>
      </c>
      <c r="J1026">
        <f t="shared" si="79"/>
        <v>1024</v>
      </c>
      <c r="K1026">
        <f>IF(calendar[[#This Row],[Month]]&lt;4,1,IF(calendar[[#This Row],[Month]]&lt;7,2,IF(calendar[[#This Row],[Month]]&lt;10,3,4)))</f>
        <v>4</v>
      </c>
      <c r="L1026">
        <f>IFERROR(IF(VLOOKUP(calendar[[#This Row],[Date]],BH!A:A,1,)&lt;&gt;"",1,0),0)</f>
        <v>0</v>
      </c>
      <c r="M1026">
        <f>IFERROR(IF(VLOOKUP(calendar[[#This Row],[Date]],BH!C:C,1,)&lt;&gt;"",1,0),0)</f>
        <v>0</v>
      </c>
      <c r="N1026">
        <f>IFERROR(IF(VLOOKUP(calendar[[#This Row],[Date]],BH!E:E,1,)&lt;&gt;"",1,0),0)</f>
        <v>0</v>
      </c>
      <c r="O1026">
        <f>IFERROR(IF(VLOOKUP(calendar[[#This Row],[Date]],BH!G:G,1,)&lt;&gt;"",1,0),0)</f>
        <v>0</v>
      </c>
      <c r="P1026">
        <f>IF(OR(calendar[[#This Row],[UK_BH]]=1,calendar[[#This Row],[WeekDay]]=1, calendar[[#This Row],[WeekDay]]=7),P1025,P1025+1)</f>
        <v>732</v>
      </c>
      <c r="Q1026">
        <f>IF(OR(calendar[[#This Row],[FR_BH]]=1,calendar[[#This Row],[WeekDay]]=1, calendar[[#This Row],[WeekDay]]=7),P1025,P1025+1)</f>
        <v>732</v>
      </c>
      <c r="R1026">
        <f>IF(OR(calendar[[#This Row],[SP_BH]]=1,calendar[[#This Row],[WeekDay]]=1, calendar[[#This Row],[WeekDay]]=7),P1025,P1025+1)</f>
        <v>732</v>
      </c>
      <c r="S1026">
        <f>IF(OR(calendar[[#This Row],[PT_BH]]=1,calendar[[#This Row],[WeekDay]]=1, calendar[[#This Row],[WeekDay]]=7),P1025,P1025+1)</f>
        <v>732</v>
      </c>
    </row>
    <row r="1027" spans="1:19" x14ac:dyDescent="0.25">
      <c r="A1027" s="2">
        <v>43761</v>
      </c>
      <c r="B1027" s="1">
        <f t="shared" si="83"/>
        <v>43</v>
      </c>
      <c r="C1027">
        <f t="shared" si="80"/>
        <v>10</v>
      </c>
      <c r="D1027" t="str">
        <f t="shared" si="81"/>
        <v>October</v>
      </c>
      <c r="E1027">
        <f t="shared" si="82"/>
        <v>2019</v>
      </c>
      <c r="F1027" t="str">
        <f>CONCATENATE(calendar[[#This Row],[Month]],"/",calendar[[#This Row],[Year]])</f>
        <v>10/2019</v>
      </c>
      <c r="G1027">
        <f>WEEKDAY(calendar[[#This Row],[Date]],1)</f>
        <v>4</v>
      </c>
      <c r="H1027" t="str">
        <f>TEXT(calendar[[#This Row],[WeekDay]],"dddd")</f>
        <v>Wednesday</v>
      </c>
      <c r="I1027">
        <f>IF((INT(calendar[[#This Row],[Count]]/7)-calendar[[#This Row],[Count]]/7)&lt;0,I1026,I1026+1)</f>
        <v>147</v>
      </c>
      <c r="J1027">
        <f t="shared" ref="J1027:J1090" si="84">J1026+1</f>
        <v>1025</v>
      </c>
      <c r="K1027">
        <f>IF(calendar[[#This Row],[Month]]&lt;4,1,IF(calendar[[#This Row],[Month]]&lt;7,2,IF(calendar[[#This Row],[Month]]&lt;10,3,4)))</f>
        <v>4</v>
      </c>
      <c r="L1027">
        <f>IFERROR(IF(VLOOKUP(calendar[[#This Row],[Date]],BH!A:A,1,)&lt;&gt;"",1,0),0)</f>
        <v>0</v>
      </c>
      <c r="M1027">
        <f>IFERROR(IF(VLOOKUP(calendar[[#This Row],[Date]],BH!C:C,1,)&lt;&gt;"",1,0),0)</f>
        <v>0</v>
      </c>
      <c r="N1027">
        <f>IFERROR(IF(VLOOKUP(calendar[[#This Row],[Date]],BH!E:E,1,)&lt;&gt;"",1,0),0)</f>
        <v>0</v>
      </c>
      <c r="O1027">
        <f>IFERROR(IF(VLOOKUP(calendar[[#This Row],[Date]],BH!G:G,1,)&lt;&gt;"",1,0),0)</f>
        <v>0</v>
      </c>
      <c r="P1027">
        <f>IF(OR(calendar[[#This Row],[UK_BH]]=1,calendar[[#This Row],[WeekDay]]=1, calendar[[#This Row],[WeekDay]]=7),P1026,P1026+1)</f>
        <v>733</v>
      </c>
      <c r="Q1027">
        <f>IF(OR(calendar[[#This Row],[FR_BH]]=1,calendar[[#This Row],[WeekDay]]=1, calendar[[#This Row],[WeekDay]]=7),P1026,P1026+1)</f>
        <v>733</v>
      </c>
      <c r="R1027">
        <f>IF(OR(calendar[[#This Row],[SP_BH]]=1,calendar[[#This Row],[WeekDay]]=1, calendar[[#This Row],[WeekDay]]=7),P1026,P1026+1)</f>
        <v>733</v>
      </c>
      <c r="S1027">
        <f>IF(OR(calendar[[#This Row],[PT_BH]]=1,calendar[[#This Row],[WeekDay]]=1, calendar[[#This Row],[WeekDay]]=7),P1026,P1026+1)</f>
        <v>733</v>
      </c>
    </row>
    <row r="1028" spans="1:19" x14ac:dyDescent="0.25">
      <c r="A1028" s="2">
        <v>43762</v>
      </c>
      <c r="B1028" s="1">
        <f t="shared" si="83"/>
        <v>43</v>
      </c>
      <c r="C1028">
        <f t="shared" si="80"/>
        <v>10</v>
      </c>
      <c r="D1028" t="str">
        <f t="shared" si="81"/>
        <v>October</v>
      </c>
      <c r="E1028">
        <f t="shared" si="82"/>
        <v>2019</v>
      </c>
      <c r="F1028" t="str">
        <f>CONCATENATE(calendar[[#This Row],[Month]],"/",calendar[[#This Row],[Year]])</f>
        <v>10/2019</v>
      </c>
      <c r="G1028">
        <f>WEEKDAY(calendar[[#This Row],[Date]],1)</f>
        <v>5</v>
      </c>
      <c r="H1028" t="str">
        <f>TEXT(calendar[[#This Row],[WeekDay]],"dddd")</f>
        <v>Thursday</v>
      </c>
      <c r="I1028">
        <f>IF((INT(calendar[[#This Row],[Count]]/7)-calendar[[#This Row],[Count]]/7)&lt;0,I1027,I1027+1)</f>
        <v>147</v>
      </c>
      <c r="J1028">
        <f t="shared" si="84"/>
        <v>1026</v>
      </c>
      <c r="K1028">
        <f>IF(calendar[[#This Row],[Month]]&lt;4,1,IF(calendar[[#This Row],[Month]]&lt;7,2,IF(calendar[[#This Row],[Month]]&lt;10,3,4)))</f>
        <v>4</v>
      </c>
      <c r="L1028">
        <f>IFERROR(IF(VLOOKUP(calendar[[#This Row],[Date]],BH!A:A,1,)&lt;&gt;"",1,0),0)</f>
        <v>0</v>
      </c>
      <c r="M1028">
        <f>IFERROR(IF(VLOOKUP(calendar[[#This Row],[Date]],BH!C:C,1,)&lt;&gt;"",1,0),0)</f>
        <v>0</v>
      </c>
      <c r="N1028">
        <f>IFERROR(IF(VLOOKUP(calendar[[#This Row],[Date]],BH!E:E,1,)&lt;&gt;"",1,0),0)</f>
        <v>0</v>
      </c>
      <c r="O1028">
        <f>IFERROR(IF(VLOOKUP(calendar[[#This Row],[Date]],BH!G:G,1,)&lt;&gt;"",1,0),0)</f>
        <v>0</v>
      </c>
      <c r="P1028">
        <f>IF(OR(calendar[[#This Row],[UK_BH]]=1,calendar[[#This Row],[WeekDay]]=1, calendar[[#This Row],[WeekDay]]=7),P1027,P1027+1)</f>
        <v>734</v>
      </c>
      <c r="Q1028">
        <f>IF(OR(calendar[[#This Row],[FR_BH]]=1,calendar[[#This Row],[WeekDay]]=1, calendar[[#This Row],[WeekDay]]=7),P1027,P1027+1)</f>
        <v>734</v>
      </c>
      <c r="R1028">
        <f>IF(OR(calendar[[#This Row],[SP_BH]]=1,calendar[[#This Row],[WeekDay]]=1, calendar[[#This Row],[WeekDay]]=7),P1027,P1027+1)</f>
        <v>734</v>
      </c>
      <c r="S1028">
        <f>IF(OR(calendar[[#This Row],[PT_BH]]=1,calendar[[#This Row],[WeekDay]]=1, calendar[[#This Row],[WeekDay]]=7),P1027,P1027+1)</f>
        <v>734</v>
      </c>
    </row>
    <row r="1029" spans="1:19" x14ac:dyDescent="0.25">
      <c r="A1029" s="2">
        <v>43763</v>
      </c>
      <c r="B1029" s="1">
        <f t="shared" si="83"/>
        <v>43</v>
      </c>
      <c r="C1029">
        <f t="shared" si="80"/>
        <v>10</v>
      </c>
      <c r="D1029" t="str">
        <f t="shared" si="81"/>
        <v>October</v>
      </c>
      <c r="E1029">
        <f t="shared" si="82"/>
        <v>2019</v>
      </c>
      <c r="F1029" t="str">
        <f>CONCATENATE(calendar[[#This Row],[Month]],"/",calendar[[#This Row],[Year]])</f>
        <v>10/2019</v>
      </c>
      <c r="G1029">
        <f>WEEKDAY(calendar[[#This Row],[Date]],1)</f>
        <v>6</v>
      </c>
      <c r="H1029" t="str">
        <f>TEXT(calendar[[#This Row],[WeekDay]],"dddd")</f>
        <v>Friday</v>
      </c>
      <c r="I1029">
        <f>IF((INT(calendar[[#This Row],[Count]]/7)-calendar[[#This Row],[Count]]/7)&lt;0,I1028,I1028+1)</f>
        <v>147</v>
      </c>
      <c r="J1029">
        <f t="shared" si="84"/>
        <v>1027</v>
      </c>
      <c r="K1029">
        <f>IF(calendar[[#This Row],[Month]]&lt;4,1,IF(calendar[[#This Row],[Month]]&lt;7,2,IF(calendar[[#This Row],[Month]]&lt;10,3,4)))</f>
        <v>4</v>
      </c>
      <c r="L1029">
        <f>IFERROR(IF(VLOOKUP(calendar[[#This Row],[Date]],BH!A:A,1,)&lt;&gt;"",1,0),0)</f>
        <v>0</v>
      </c>
      <c r="M1029">
        <f>IFERROR(IF(VLOOKUP(calendar[[#This Row],[Date]],BH!C:C,1,)&lt;&gt;"",1,0),0)</f>
        <v>0</v>
      </c>
      <c r="N1029">
        <f>IFERROR(IF(VLOOKUP(calendar[[#This Row],[Date]],BH!E:E,1,)&lt;&gt;"",1,0),0)</f>
        <v>0</v>
      </c>
      <c r="O1029">
        <f>IFERROR(IF(VLOOKUP(calendar[[#This Row],[Date]],BH!G:G,1,)&lt;&gt;"",1,0),0)</f>
        <v>0</v>
      </c>
      <c r="P1029">
        <f>IF(OR(calendar[[#This Row],[UK_BH]]=1,calendar[[#This Row],[WeekDay]]=1, calendar[[#This Row],[WeekDay]]=7),P1028,P1028+1)</f>
        <v>735</v>
      </c>
      <c r="Q1029">
        <f>IF(OR(calendar[[#This Row],[FR_BH]]=1,calendar[[#This Row],[WeekDay]]=1, calendar[[#This Row],[WeekDay]]=7),P1028,P1028+1)</f>
        <v>735</v>
      </c>
      <c r="R1029">
        <f>IF(OR(calendar[[#This Row],[SP_BH]]=1,calendar[[#This Row],[WeekDay]]=1, calendar[[#This Row],[WeekDay]]=7),P1028,P1028+1)</f>
        <v>735</v>
      </c>
      <c r="S1029">
        <f>IF(OR(calendar[[#This Row],[PT_BH]]=1,calendar[[#This Row],[WeekDay]]=1, calendar[[#This Row],[WeekDay]]=7),P1028,P1028+1)</f>
        <v>735</v>
      </c>
    </row>
    <row r="1030" spans="1:19" x14ac:dyDescent="0.25">
      <c r="A1030" s="2">
        <v>43764</v>
      </c>
      <c r="B1030" s="1">
        <f t="shared" si="83"/>
        <v>43</v>
      </c>
      <c r="C1030">
        <f t="shared" si="80"/>
        <v>10</v>
      </c>
      <c r="D1030" t="str">
        <f t="shared" si="81"/>
        <v>October</v>
      </c>
      <c r="E1030">
        <f t="shared" si="82"/>
        <v>2019</v>
      </c>
      <c r="F1030" t="str">
        <f>CONCATENATE(calendar[[#This Row],[Month]],"/",calendar[[#This Row],[Year]])</f>
        <v>10/2019</v>
      </c>
      <c r="G1030">
        <f>WEEKDAY(calendar[[#This Row],[Date]],1)</f>
        <v>7</v>
      </c>
      <c r="H1030" t="str">
        <f>TEXT(calendar[[#This Row],[WeekDay]],"dddd")</f>
        <v>Saturday</v>
      </c>
      <c r="I1030">
        <f>IF((INT(calendar[[#This Row],[Count]]/7)-calendar[[#This Row],[Count]]/7)&lt;0,I1029,I1029+1)</f>
        <v>147</v>
      </c>
      <c r="J1030">
        <f t="shared" si="84"/>
        <v>1028</v>
      </c>
      <c r="K1030">
        <f>IF(calendar[[#This Row],[Month]]&lt;4,1,IF(calendar[[#This Row],[Month]]&lt;7,2,IF(calendar[[#This Row],[Month]]&lt;10,3,4)))</f>
        <v>4</v>
      </c>
      <c r="L1030">
        <f>IFERROR(IF(VLOOKUP(calendar[[#This Row],[Date]],BH!A:A,1,)&lt;&gt;"",1,0),0)</f>
        <v>0</v>
      </c>
      <c r="M1030">
        <f>IFERROR(IF(VLOOKUP(calendar[[#This Row],[Date]],BH!C:C,1,)&lt;&gt;"",1,0),0)</f>
        <v>0</v>
      </c>
      <c r="N1030">
        <f>IFERROR(IF(VLOOKUP(calendar[[#This Row],[Date]],BH!E:E,1,)&lt;&gt;"",1,0),0)</f>
        <v>0</v>
      </c>
      <c r="O1030">
        <f>IFERROR(IF(VLOOKUP(calendar[[#This Row],[Date]],BH!G:G,1,)&lt;&gt;"",1,0),0)</f>
        <v>0</v>
      </c>
      <c r="P1030">
        <f>IF(OR(calendar[[#This Row],[UK_BH]]=1,calendar[[#This Row],[WeekDay]]=1, calendar[[#This Row],[WeekDay]]=7),P1029,P1029+1)</f>
        <v>735</v>
      </c>
      <c r="Q1030">
        <f>IF(OR(calendar[[#This Row],[FR_BH]]=1,calendar[[#This Row],[WeekDay]]=1, calendar[[#This Row],[WeekDay]]=7),P1029,P1029+1)</f>
        <v>735</v>
      </c>
      <c r="R1030">
        <f>IF(OR(calendar[[#This Row],[SP_BH]]=1,calendar[[#This Row],[WeekDay]]=1, calendar[[#This Row],[WeekDay]]=7),P1029,P1029+1)</f>
        <v>735</v>
      </c>
      <c r="S1030">
        <f>IF(OR(calendar[[#This Row],[PT_BH]]=1,calendar[[#This Row],[WeekDay]]=1, calendar[[#This Row],[WeekDay]]=7),P1029,P1029+1)</f>
        <v>735</v>
      </c>
    </row>
    <row r="1031" spans="1:19" x14ac:dyDescent="0.25">
      <c r="A1031" s="2">
        <v>43765</v>
      </c>
      <c r="B1031" s="1">
        <f t="shared" si="83"/>
        <v>44</v>
      </c>
      <c r="C1031">
        <f t="shared" si="80"/>
        <v>10</v>
      </c>
      <c r="D1031" t="str">
        <f t="shared" si="81"/>
        <v>October</v>
      </c>
      <c r="E1031">
        <f t="shared" si="82"/>
        <v>2019</v>
      </c>
      <c r="F1031" t="str">
        <f>CONCATENATE(calendar[[#This Row],[Month]],"/",calendar[[#This Row],[Year]])</f>
        <v>10/2019</v>
      </c>
      <c r="G1031">
        <f>WEEKDAY(calendar[[#This Row],[Date]],1)</f>
        <v>1</v>
      </c>
      <c r="H1031" t="str">
        <f>TEXT(calendar[[#This Row],[WeekDay]],"dddd")</f>
        <v>Sunday</v>
      </c>
      <c r="I1031">
        <f>IF((INT(calendar[[#This Row],[Count]]/7)-calendar[[#This Row],[Count]]/7)&lt;0,I1030,I1030+1)</f>
        <v>148</v>
      </c>
      <c r="J1031">
        <f t="shared" si="84"/>
        <v>1029</v>
      </c>
      <c r="K1031">
        <f>IF(calendar[[#This Row],[Month]]&lt;4,1,IF(calendar[[#This Row],[Month]]&lt;7,2,IF(calendar[[#This Row],[Month]]&lt;10,3,4)))</f>
        <v>4</v>
      </c>
      <c r="L1031">
        <f>IFERROR(IF(VLOOKUP(calendar[[#This Row],[Date]],BH!A:A,1,)&lt;&gt;"",1,0),0)</f>
        <v>0</v>
      </c>
      <c r="M1031">
        <f>IFERROR(IF(VLOOKUP(calendar[[#This Row],[Date]],BH!C:C,1,)&lt;&gt;"",1,0),0)</f>
        <v>0</v>
      </c>
      <c r="N1031">
        <f>IFERROR(IF(VLOOKUP(calendar[[#This Row],[Date]],BH!E:E,1,)&lt;&gt;"",1,0),0)</f>
        <v>0</v>
      </c>
      <c r="O1031">
        <f>IFERROR(IF(VLOOKUP(calendar[[#This Row],[Date]],BH!G:G,1,)&lt;&gt;"",1,0),0)</f>
        <v>0</v>
      </c>
      <c r="P1031">
        <f>IF(OR(calendar[[#This Row],[UK_BH]]=1,calendar[[#This Row],[WeekDay]]=1, calendar[[#This Row],[WeekDay]]=7),P1030,P1030+1)</f>
        <v>735</v>
      </c>
      <c r="Q1031">
        <f>IF(OR(calendar[[#This Row],[FR_BH]]=1,calendar[[#This Row],[WeekDay]]=1, calendar[[#This Row],[WeekDay]]=7),P1030,P1030+1)</f>
        <v>735</v>
      </c>
      <c r="R1031">
        <f>IF(OR(calendar[[#This Row],[SP_BH]]=1,calendar[[#This Row],[WeekDay]]=1, calendar[[#This Row],[WeekDay]]=7),P1030,P1030+1)</f>
        <v>735</v>
      </c>
      <c r="S1031">
        <f>IF(OR(calendar[[#This Row],[PT_BH]]=1,calendar[[#This Row],[WeekDay]]=1, calendar[[#This Row],[WeekDay]]=7),P1030,P1030+1)</f>
        <v>735</v>
      </c>
    </row>
    <row r="1032" spans="1:19" x14ac:dyDescent="0.25">
      <c r="A1032" s="2">
        <v>43766</v>
      </c>
      <c r="B1032" s="1">
        <f t="shared" si="83"/>
        <v>44</v>
      </c>
      <c r="C1032">
        <f t="shared" si="80"/>
        <v>10</v>
      </c>
      <c r="D1032" t="str">
        <f t="shared" si="81"/>
        <v>October</v>
      </c>
      <c r="E1032">
        <f t="shared" si="82"/>
        <v>2019</v>
      </c>
      <c r="F1032" t="str">
        <f>CONCATENATE(calendar[[#This Row],[Month]],"/",calendar[[#This Row],[Year]])</f>
        <v>10/2019</v>
      </c>
      <c r="G1032">
        <f>WEEKDAY(calendar[[#This Row],[Date]],1)</f>
        <v>2</v>
      </c>
      <c r="H1032" t="str">
        <f>TEXT(calendar[[#This Row],[WeekDay]],"dddd")</f>
        <v>Monday</v>
      </c>
      <c r="I1032">
        <f>IF((INT(calendar[[#This Row],[Count]]/7)-calendar[[#This Row],[Count]]/7)&lt;0,I1031,I1031+1)</f>
        <v>148</v>
      </c>
      <c r="J1032">
        <f t="shared" si="84"/>
        <v>1030</v>
      </c>
      <c r="K1032">
        <f>IF(calendar[[#This Row],[Month]]&lt;4,1,IF(calendar[[#This Row],[Month]]&lt;7,2,IF(calendar[[#This Row],[Month]]&lt;10,3,4)))</f>
        <v>4</v>
      </c>
      <c r="L1032">
        <f>IFERROR(IF(VLOOKUP(calendar[[#This Row],[Date]],BH!A:A,1,)&lt;&gt;"",1,0),0)</f>
        <v>0</v>
      </c>
      <c r="M1032">
        <f>IFERROR(IF(VLOOKUP(calendar[[#This Row],[Date]],BH!C:C,1,)&lt;&gt;"",1,0),0)</f>
        <v>0</v>
      </c>
      <c r="N1032">
        <f>IFERROR(IF(VLOOKUP(calendar[[#This Row],[Date]],BH!E:E,1,)&lt;&gt;"",1,0),0)</f>
        <v>0</v>
      </c>
      <c r="O1032">
        <f>IFERROR(IF(VLOOKUP(calendar[[#This Row],[Date]],BH!G:G,1,)&lt;&gt;"",1,0),0)</f>
        <v>0</v>
      </c>
      <c r="P1032">
        <f>IF(OR(calendar[[#This Row],[UK_BH]]=1,calendar[[#This Row],[WeekDay]]=1, calendar[[#This Row],[WeekDay]]=7),P1031,P1031+1)</f>
        <v>736</v>
      </c>
      <c r="Q1032">
        <f>IF(OR(calendar[[#This Row],[FR_BH]]=1,calendar[[#This Row],[WeekDay]]=1, calendar[[#This Row],[WeekDay]]=7),P1031,P1031+1)</f>
        <v>736</v>
      </c>
      <c r="R1032">
        <f>IF(OR(calendar[[#This Row],[SP_BH]]=1,calendar[[#This Row],[WeekDay]]=1, calendar[[#This Row],[WeekDay]]=7),P1031,P1031+1)</f>
        <v>736</v>
      </c>
      <c r="S1032">
        <f>IF(OR(calendar[[#This Row],[PT_BH]]=1,calendar[[#This Row],[WeekDay]]=1, calendar[[#This Row],[WeekDay]]=7),P1031,P1031+1)</f>
        <v>736</v>
      </c>
    </row>
    <row r="1033" spans="1:19" x14ac:dyDescent="0.25">
      <c r="A1033" s="2">
        <v>43767</v>
      </c>
      <c r="B1033" s="1">
        <f t="shared" si="83"/>
        <v>44</v>
      </c>
      <c r="C1033">
        <f t="shared" si="80"/>
        <v>10</v>
      </c>
      <c r="D1033" t="str">
        <f t="shared" si="81"/>
        <v>October</v>
      </c>
      <c r="E1033">
        <f t="shared" si="82"/>
        <v>2019</v>
      </c>
      <c r="F1033" t="str">
        <f>CONCATENATE(calendar[[#This Row],[Month]],"/",calendar[[#This Row],[Year]])</f>
        <v>10/2019</v>
      </c>
      <c r="G1033">
        <f>WEEKDAY(calendar[[#This Row],[Date]],1)</f>
        <v>3</v>
      </c>
      <c r="H1033" t="str">
        <f>TEXT(calendar[[#This Row],[WeekDay]],"dddd")</f>
        <v>Tuesday</v>
      </c>
      <c r="I1033">
        <f>IF((INT(calendar[[#This Row],[Count]]/7)-calendar[[#This Row],[Count]]/7)&lt;0,I1032,I1032+1)</f>
        <v>148</v>
      </c>
      <c r="J1033">
        <f t="shared" si="84"/>
        <v>1031</v>
      </c>
      <c r="K1033">
        <f>IF(calendar[[#This Row],[Month]]&lt;4,1,IF(calendar[[#This Row],[Month]]&lt;7,2,IF(calendar[[#This Row],[Month]]&lt;10,3,4)))</f>
        <v>4</v>
      </c>
      <c r="L1033">
        <f>IFERROR(IF(VLOOKUP(calendar[[#This Row],[Date]],BH!A:A,1,)&lt;&gt;"",1,0),0)</f>
        <v>0</v>
      </c>
      <c r="M1033">
        <f>IFERROR(IF(VLOOKUP(calendar[[#This Row],[Date]],BH!C:C,1,)&lt;&gt;"",1,0),0)</f>
        <v>0</v>
      </c>
      <c r="N1033">
        <f>IFERROR(IF(VLOOKUP(calendar[[#This Row],[Date]],BH!E:E,1,)&lt;&gt;"",1,0),0)</f>
        <v>0</v>
      </c>
      <c r="O1033">
        <f>IFERROR(IF(VLOOKUP(calendar[[#This Row],[Date]],BH!G:G,1,)&lt;&gt;"",1,0),0)</f>
        <v>0</v>
      </c>
      <c r="P1033">
        <f>IF(OR(calendar[[#This Row],[UK_BH]]=1,calendar[[#This Row],[WeekDay]]=1, calendar[[#This Row],[WeekDay]]=7),P1032,P1032+1)</f>
        <v>737</v>
      </c>
      <c r="Q1033">
        <f>IF(OR(calendar[[#This Row],[FR_BH]]=1,calendar[[#This Row],[WeekDay]]=1, calendar[[#This Row],[WeekDay]]=7),P1032,P1032+1)</f>
        <v>737</v>
      </c>
      <c r="R1033">
        <f>IF(OR(calendar[[#This Row],[SP_BH]]=1,calendar[[#This Row],[WeekDay]]=1, calendar[[#This Row],[WeekDay]]=7),P1032,P1032+1)</f>
        <v>737</v>
      </c>
      <c r="S1033">
        <f>IF(OR(calendar[[#This Row],[PT_BH]]=1,calendar[[#This Row],[WeekDay]]=1, calendar[[#This Row],[WeekDay]]=7),P1032,P1032+1)</f>
        <v>737</v>
      </c>
    </row>
    <row r="1034" spans="1:19" x14ac:dyDescent="0.25">
      <c r="A1034" s="2">
        <v>43768</v>
      </c>
      <c r="B1034" s="1">
        <f t="shared" si="83"/>
        <v>44</v>
      </c>
      <c r="C1034">
        <f t="shared" si="80"/>
        <v>10</v>
      </c>
      <c r="D1034" t="str">
        <f t="shared" si="81"/>
        <v>October</v>
      </c>
      <c r="E1034">
        <f t="shared" si="82"/>
        <v>2019</v>
      </c>
      <c r="F1034" t="str">
        <f>CONCATENATE(calendar[[#This Row],[Month]],"/",calendar[[#This Row],[Year]])</f>
        <v>10/2019</v>
      </c>
      <c r="G1034">
        <f>WEEKDAY(calendar[[#This Row],[Date]],1)</f>
        <v>4</v>
      </c>
      <c r="H1034" t="str">
        <f>TEXT(calendar[[#This Row],[WeekDay]],"dddd")</f>
        <v>Wednesday</v>
      </c>
      <c r="I1034">
        <f>IF((INT(calendar[[#This Row],[Count]]/7)-calendar[[#This Row],[Count]]/7)&lt;0,I1033,I1033+1)</f>
        <v>148</v>
      </c>
      <c r="J1034">
        <f t="shared" si="84"/>
        <v>1032</v>
      </c>
      <c r="K1034">
        <f>IF(calendar[[#This Row],[Month]]&lt;4,1,IF(calendar[[#This Row],[Month]]&lt;7,2,IF(calendar[[#This Row],[Month]]&lt;10,3,4)))</f>
        <v>4</v>
      </c>
      <c r="L1034">
        <f>IFERROR(IF(VLOOKUP(calendar[[#This Row],[Date]],BH!A:A,1,)&lt;&gt;"",1,0),0)</f>
        <v>0</v>
      </c>
      <c r="M1034">
        <f>IFERROR(IF(VLOOKUP(calendar[[#This Row],[Date]],BH!C:C,1,)&lt;&gt;"",1,0),0)</f>
        <v>0</v>
      </c>
      <c r="N1034">
        <f>IFERROR(IF(VLOOKUP(calendar[[#This Row],[Date]],BH!E:E,1,)&lt;&gt;"",1,0),0)</f>
        <v>0</v>
      </c>
      <c r="O1034">
        <f>IFERROR(IF(VLOOKUP(calendar[[#This Row],[Date]],BH!G:G,1,)&lt;&gt;"",1,0),0)</f>
        <v>0</v>
      </c>
      <c r="P1034">
        <f>IF(OR(calendar[[#This Row],[UK_BH]]=1,calendar[[#This Row],[WeekDay]]=1, calendar[[#This Row],[WeekDay]]=7),P1033,P1033+1)</f>
        <v>738</v>
      </c>
      <c r="Q1034">
        <f>IF(OR(calendar[[#This Row],[FR_BH]]=1,calendar[[#This Row],[WeekDay]]=1, calendar[[#This Row],[WeekDay]]=7),P1033,P1033+1)</f>
        <v>738</v>
      </c>
      <c r="R1034">
        <f>IF(OR(calendar[[#This Row],[SP_BH]]=1,calendar[[#This Row],[WeekDay]]=1, calendar[[#This Row],[WeekDay]]=7),P1033,P1033+1)</f>
        <v>738</v>
      </c>
      <c r="S1034">
        <f>IF(OR(calendar[[#This Row],[PT_BH]]=1,calendar[[#This Row],[WeekDay]]=1, calendar[[#This Row],[WeekDay]]=7),P1033,P1033+1)</f>
        <v>738</v>
      </c>
    </row>
    <row r="1035" spans="1:19" x14ac:dyDescent="0.25">
      <c r="A1035" s="2">
        <v>43769</v>
      </c>
      <c r="B1035" s="1">
        <f t="shared" si="83"/>
        <v>44</v>
      </c>
      <c r="C1035">
        <f t="shared" si="80"/>
        <v>10</v>
      </c>
      <c r="D1035" t="str">
        <f t="shared" si="81"/>
        <v>October</v>
      </c>
      <c r="E1035">
        <f t="shared" si="82"/>
        <v>2019</v>
      </c>
      <c r="F1035" t="str">
        <f>CONCATENATE(calendar[[#This Row],[Month]],"/",calendar[[#This Row],[Year]])</f>
        <v>10/2019</v>
      </c>
      <c r="G1035">
        <f>WEEKDAY(calendar[[#This Row],[Date]],1)</f>
        <v>5</v>
      </c>
      <c r="H1035" t="str">
        <f>TEXT(calendar[[#This Row],[WeekDay]],"dddd")</f>
        <v>Thursday</v>
      </c>
      <c r="I1035">
        <f>IF((INT(calendar[[#This Row],[Count]]/7)-calendar[[#This Row],[Count]]/7)&lt;0,I1034,I1034+1)</f>
        <v>148</v>
      </c>
      <c r="J1035">
        <f t="shared" si="84"/>
        <v>1033</v>
      </c>
      <c r="K1035">
        <f>IF(calendar[[#This Row],[Month]]&lt;4,1,IF(calendar[[#This Row],[Month]]&lt;7,2,IF(calendar[[#This Row],[Month]]&lt;10,3,4)))</f>
        <v>4</v>
      </c>
      <c r="L1035">
        <f>IFERROR(IF(VLOOKUP(calendar[[#This Row],[Date]],BH!A:A,1,)&lt;&gt;"",1,0),0)</f>
        <v>0</v>
      </c>
      <c r="M1035">
        <f>IFERROR(IF(VLOOKUP(calendar[[#This Row],[Date]],BH!C:C,1,)&lt;&gt;"",1,0),0)</f>
        <v>0</v>
      </c>
      <c r="N1035">
        <f>IFERROR(IF(VLOOKUP(calendar[[#This Row],[Date]],BH!E:E,1,)&lt;&gt;"",1,0),0)</f>
        <v>0</v>
      </c>
      <c r="O1035">
        <f>IFERROR(IF(VLOOKUP(calendar[[#This Row],[Date]],BH!G:G,1,)&lt;&gt;"",1,0),0)</f>
        <v>0</v>
      </c>
      <c r="P1035">
        <f>IF(OR(calendar[[#This Row],[UK_BH]]=1,calendar[[#This Row],[WeekDay]]=1, calendar[[#This Row],[WeekDay]]=7),P1034,P1034+1)</f>
        <v>739</v>
      </c>
      <c r="Q1035">
        <f>IF(OR(calendar[[#This Row],[FR_BH]]=1,calendar[[#This Row],[WeekDay]]=1, calendar[[#This Row],[WeekDay]]=7),P1034,P1034+1)</f>
        <v>739</v>
      </c>
      <c r="R1035">
        <f>IF(OR(calendar[[#This Row],[SP_BH]]=1,calendar[[#This Row],[WeekDay]]=1, calendar[[#This Row],[WeekDay]]=7),P1034,P1034+1)</f>
        <v>739</v>
      </c>
      <c r="S1035">
        <f>IF(OR(calendar[[#This Row],[PT_BH]]=1,calendar[[#This Row],[WeekDay]]=1, calendar[[#This Row],[WeekDay]]=7),P1034,P1034+1)</f>
        <v>739</v>
      </c>
    </row>
    <row r="1036" spans="1:19" x14ac:dyDescent="0.25">
      <c r="A1036" s="2">
        <v>43770</v>
      </c>
      <c r="B1036" s="1">
        <f t="shared" si="83"/>
        <v>44</v>
      </c>
      <c r="C1036">
        <f t="shared" si="80"/>
        <v>11</v>
      </c>
      <c r="D1036" t="str">
        <f t="shared" si="81"/>
        <v>November</v>
      </c>
      <c r="E1036">
        <f t="shared" si="82"/>
        <v>2019</v>
      </c>
      <c r="F1036" t="str">
        <f>CONCATENATE(calendar[[#This Row],[Month]],"/",calendar[[#This Row],[Year]])</f>
        <v>11/2019</v>
      </c>
      <c r="G1036">
        <f>WEEKDAY(calendar[[#This Row],[Date]],1)</f>
        <v>6</v>
      </c>
      <c r="H1036" t="str">
        <f>TEXT(calendar[[#This Row],[WeekDay]],"dddd")</f>
        <v>Friday</v>
      </c>
      <c r="I1036">
        <f>IF((INT(calendar[[#This Row],[Count]]/7)-calendar[[#This Row],[Count]]/7)&lt;0,I1035,I1035+1)</f>
        <v>148</v>
      </c>
      <c r="J1036">
        <f t="shared" si="84"/>
        <v>1034</v>
      </c>
      <c r="K1036">
        <f>IF(calendar[[#This Row],[Month]]&lt;4,1,IF(calendar[[#This Row],[Month]]&lt;7,2,IF(calendar[[#This Row],[Month]]&lt;10,3,4)))</f>
        <v>4</v>
      </c>
      <c r="L1036">
        <f>IFERROR(IF(VLOOKUP(calendar[[#This Row],[Date]],BH!A:A,1,)&lt;&gt;"",1,0),0)</f>
        <v>0</v>
      </c>
      <c r="M1036">
        <f>IFERROR(IF(VLOOKUP(calendar[[#This Row],[Date]],BH!C:C,1,)&lt;&gt;"",1,0),0)</f>
        <v>0</v>
      </c>
      <c r="N1036">
        <f>IFERROR(IF(VLOOKUP(calendar[[#This Row],[Date]],BH!E:E,1,)&lt;&gt;"",1,0),0)</f>
        <v>0</v>
      </c>
      <c r="O1036">
        <f>IFERROR(IF(VLOOKUP(calendar[[#This Row],[Date]],BH!G:G,1,)&lt;&gt;"",1,0),0)</f>
        <v>0</v>
      </c>
      <c r="P1036">
        <f>IF(OR(calendar[[#This Row],[UK_BH]]=1,calendar[[#This Row],[WeekDay]]=1, calendar[[#This Row],[WeekDay]]=7),P1035,P1035+1)</f>
        <v>740</v>
      </c>
      <c r="Q1036">
        <f>IF(OR(calendar[[#This Row],[FR_BH]]=1,calendar[[#This Row],[WeekDay]]=1, calendar[[#This Row],[WeekDay]]=7),P1035,P1035+1)</f>
        <v>740</v>
      </c>
      <c r="R1036">
        <f>IF(OR(calendar[[#This Row],[SP_BH]]=1,calendar[[#This Row],[WeekDay]]=1, calendar[[#This Row],[WeekDay]]=7),P1035,P1035+1)</f>
        <v>740</v>
      </c>
      <c r="S1036">
        <f>IF(OR(calendar[[#This Row],[PT_BH]]=1,calendar[[#This Row],[WeekDay]]=1, calendar[[#This Row],[WeekDay]]=7),P1035,P1035+1)</f>
        <v>740</v>
      </c>
    </row>
    <row r="1037" spans="1:19" x14ac:dyDescent="0.25">
      <c r="A1037" s="2">
        <v>43771</v>
      </c>
      <c r="B1037" s="1">
        <f t="shared" si="83"/>
        <v>44</v>
      </c>
      <c r="C1037">
        <f t="shared" si="80"/>
        <v>11</v>
      </c>
      <c r="D1037" t="str">
        <f t="shared" si="81"/>
        <v>November</v>
      </c>
      <c r="E1037">
        <f t="shared" si="82"/>
        <v>2019</v>
      </c>
      <c r="F1037" t="str">
        <f>CONCATENATE(calendar[[#This Row],[Month]],"/",calendar[[#This Row],[Year]])</f>
        <v>11/2019</v>
      </c>
      <c r="G1037">
        <f>WEEKDAY(calendar[[#This Row],[Date]],1)</f>
        <v>7</v>
      </c>
      <c r="H1037" t="str">
        <f>TEXT(calendar[[#This Row],[WeekDay]],"dddd")</f>
        <v>Saturday</v>
      </c>
      <c r="I1037">
        <f>IF((INT(calendar[[#This Row],[Count]]/7)-calendar[[#This Row],[Count]]/7)&lt;0,I1036,I1036+1)</f>
        <v>148</v>
      </c>
      <c r="J1037">
        <f t="shared" si="84"/>
        <v>1035</v>
      </c>
      <c r="K1037">
        <f>IF(calendar[[#This Row],[Month]]&lt;4,1,IF(calendar[[#This Row],[Month]]&lt;7,2,IF(calendar[[#This Row],[Month]]&lt;10,3,4)))</f>
        <v>4</v>
      </c>
      <c r="L1037">
        <f>IFERROR(IF(VLOOKUP(calendar[[#This Row],[Date]],BH!A:A,1,)&lt;&gt;"",1,0),0)</f>
        <v>0</v>
      </c>
      <c r="M1037">
        <f>IFERROR(IF(VLOOKUP(calendar[[#This Row],[Date]],BH!C:C,1,)&lt;&gt;"",1,0),0)</f>
        <v>0</v>
      </c>
      <c r="N1037">
        <f>IFERROR(IF(VLOOKUP(calendar[[#This Row],[Date]],BH!E:E,1,)&lt;&gt;"",1,0),0)</f>
        <v>0</v>
      </c>
      <c r="O1037">
        <f>IFERROR(IF(VLOOKUP(calendar[[#This Row],[Date]],BH!G:G,1,)&lt;&gt;"",1,0),0)</f>
        <v>0</v>
      </c>
      <c r="P1037">
        <f>IF(OR(calendar[[#This Row],[UK_BH]]=1,calendar[[#This Row],[WeekDay]]=1, calendar[[#This Row],[WeekDay]]=7),P1036,P1036+1)</f>
        <v>740</v>
      </c>
      <c r="Q1037">
        <f>IF(OR(calendar[[#This Row],[FR_BH]]=1,calendar[[#This Row],[WeekDay]]=1, calendar[[#This Row],[WeekDay]]=7),P1036,P1036+1)</f>
        <v>740</v>
      </c>
      <c r="R1037">
        <f>IF(OR(calendar[[#This Row],[SP_BH]]=1,calendar[[#This Row],[WeekDay]]=1, calendar[[#This Row],[WeekDay]]=7),P1036,P1036+1)</f>
        <v>740</v>
      </c>
      <c r="S1037">
        <f>IF(OR(calendar[[#This Row],[PT_BH]]=1,calendar[[#This Row],[WeekDay]]=1, calendar[[#This Row],[WeekDay]]=7),P1036,P1036+1)</f>
        <v>740</v>
      </c>
    </row>
    <row r="1038" spans="1:19" x14ac:dyDescent="0.25">
      <c r="A1038" s="2">
        <v>43772</v>
      </c>
      <c r="B1038" s="1">
        <f t="shared" si="83"/>
        <v>45</v>
      </c>
      <c r="C1038">
        <f t="shared" si="80"/>
        <v>11</v>
      </c>
      <c r="D1038" t="str">
        <f t="shared" si="81"/>
        <v>November</v>
      </c>
      <c r="E1038">
        <f t="shared" si="82"/>
        <v>2019</v>
      </c>
      <c r="F1038" t="str">
        <f>CONCATENATE(calendar[[#This Row],[Month]],"/",calendar[[#This Row],[Year]])</f>
        <v>11/2019</v>
      </c>
      <c r="G1038">
        <f>WEEKDAY(calendar[[#This Row],[Date]],1)</f>
        <v>1</v>
      </c>
      <c r="H1038" t="str">
        <f>TEXT(calendar[[#This Row],[WeekDay]],"dddd")</f>
        <v>Sunday</v>
      </c>
      <c r="I1038">
        <f>IF((INT(calendar[[#This Row],[Count]]/7)-calendar[[#This Row],[Count]]/7)&lt;0,I1037,I1037+1)</f>
        <v>149</v>
      </c>
      <c r="J1038">
        <f t="shared" si="84"/>
        <v>1036</v>
      </c>
      <c r="K1038">
        <f>IF(calendar[[#This Row],[Month]]&lt;4,1,IF(calendar[[#This Row],[Month]]&lt;7,2,IF(calendar[[#This Row],[Month]]&lt;10,3,4)))</f>
        <v>4</v>
      </c>
      <c r="L1038">
        <f>IFERROR(IF(VLOOKUP(calendar[[#This Row],[Date]],BH!A:A,1,)&lt;&gt;"",1,0),0)</f>
        <v>0</v>
      </c>
      <c r="M1038">
        <f>IFERROR(IF(VLOOKUP(calendar[[#This Row],[Date]],BH!C:C,1,)&lt;&gt;"",1,0),0)</f>
        <v>0</v>
      </c>
      <c r="N1038">
        <f>IFERROR(IF(VLOOKUP(calendar[[#This Row],[Date]],BH!E:E,1,)&lt;&gt;"",1,0),0)</f>
        <v>0</v>
      </c>
      <c r="O1038">
        <f>IFERROR(IF(VLOOKUP(calendar[[#This Row],[Date]],BH!G:G,1,)&lt;&gt;"",1,0),0)</f>
        <v>0</v>
      </c>
      <c r="P1038">
        <f>IF(OR(calendar[[#This Row],[UK_BH]]=1,calendar[[#This Row],[WeekDay]]=1, calendar[[#This Row],[WeekDay]]=7),P1037,P1037+1)</f>
        <v>740</v>
      </c>
      <c r="Q1038">
        <f>IF(OR(calendar[[#This Row],[FR_BH]]=1,calendar[[#This Row],[WeekDay]]=1, calendar[[#This Row],[WeekDay]]=7),P1037,P1037+1)</f>
        <v>740</v>
      </c>
      <c r="R1038">
        <f>IF(OR(calendar[[#This Row],[SP_BH]]=1,calendar[[#This Row],[WeekDay]]=1, calendar[[#This Row],[WeekDay]]=7),P1037,P1037+1)</f>
        <v>740</v>
      </c>
      <c r="S1038">
        <f>IF(OR(calendar[[#This Row],[PT_BH]]=1,calendar[[#This Row],[WeekDay]]=1, calendar[[#This Row],[WeekDay]]=7),P1037,P1037+1)</f>
        <v>740</v>
      </c>
    </row>
    <row r="1039" spans="1:19" x14ac:dyDescent="0.25">
      <c r="A1039" s="2">
        <v>43773</v>
      </c>
      <c r="B1039" s="1">
        <f t="shared" si="83"/>
        <v>45</v>
      </c>
      <c r="C1039">
        <f t="shared" si="80"/>
        <v>11</v>
      </c>
      <c r="D1039" t="str">
        <f t="shared" si="81"/>
        <v>November</v>
      </c>
      <c r="E1039">
        <f t="shared" si="82"/>
        <v>2019</v>
      </c>
      <c r="F1039" t="str">
        <f>CONCATENATE(calendar[[#This Row],[Month]],"/",calendar[[#This Row],[Year]])</f>
        <v>11/2019</v>
      </c>
      <c r="G1039">
        <f>WEEKDAY(calendar[[#This Row],[Date]],1)</f>
        <v>2</v>
      </c>
      <c r="H1039" t="str">
        <f>TEXT(calendar[[#This Row],[WeekDay]],"dddd")</f>
        <v>Monday</v>
      </c>
      <c r="I1039">
        <f>IF((INT(calendar[[#This Row],[Count]]/7)-calendar[[#This Row],[Count]]/7)&lt;0,I1038,I1038+1)</f>
        <v>149</v>
      </c>
      <c r="J1039">
        <f t="shared" si="84"/>
        <v>1037</v>
      </c>
      <c r="K1039">
        <f>IF(calendar[[#This Row],[Month]]&lt;4,1,IF(calendar[[#This Row],[Month]]&lt;7,2,IF(calendar[[#This Row],[Month]]&lt;10,3,4)))</f>
        <v>4</v>
      </c>
      <c r="L1039">
        <f>IFERROR(IF(VLOOKUP(calendar[[#This Row],[Date]],BH!A:A,1,)&lt;&gt;"",1,0),0)</f>
        <v>0</v>
      </c>
      <c r="M1039">
        <f>IFERROR(IF(VLOOKUP(calendar[[#This Row],[Date]],BH!C:C,1,)&lt;&gt;"",1,0),0)</f>
        <v>0</v>
      </c>
      <c r="N1039">
        <f>IFERROR(IF(VLOOKUP(calendar[[#This Row],[Date]],BH!E:E,1,)&lt;&gt;"",1,0),0)</f>
        <v>0</v>
      </c>
      <c r="O1039">
        <f>IFERROR(IF(VLOOKUP(calendar[[#This Row],[Date]],BH!G:G,1,)&lt;&gt;"",1,0),0)</f>
        <v>0</v>
      </c>
      <c r="P1039">
        <f>IF(OR(calendar[[#This Row],[UK_BH]]=1,calendar[[#This Row],[WeekDay]]=1, calendar[[#This Row],[WeekDay]]=7),P1038,P1038+1)</f>
        <v>741</v>
      </c>
      <c r="Q1039">
        <f>IF(OR(calendar[[#This Row],[FR_BH]]=1,calendar[[#This Row],[WeekDay]]=1, calendar[[#This Row],[WeekDay]]=7),P1038,P1038+1)</f>
        <v>741</v>
      </c>
      <c r="R1039">
        <f>IF(OR(calendar[[#This Row],[SP_BH]]=1,calendar[[#This Row],[WeekDay]]=1, calendar[[#This Row],[WeekDay]]=7),P1038,P1038+1)</f>
        <v>741</v>
      </c>
      <c r="S1039">
        <f>IF(OR(calendar[[#This Row],[PT_BH]]=1,calendar[[#This Row],[WeekDay]]=1, calendar[[#This Row],[WeekDay]]=7),P1038,P1038+1)</f>
        <v>741</v>
      </c>
    </row>
    <row r="1040" spans="1:19" x14ac:dyDescent="0.25">
      <c r="A1040" s="2">
        <v>43774</v>
      </c>
      <c r="B1040" s="1">
        <f t="shared" si="83"/>
        <v>45</v>
      </c>
      <c r="C1040">
        <f t="shared" ref="C1040:C1103" si="85">MONTH(A1040)</f>
        <v>11</v>
      </c>
      <c r="D1040" t="str">
        <f t="shared" ref="D1040:D1103" si="86">TEXT(A1040,"mmmm")</f>
        <v>November</v>
      </c>
      <c r="E1040">
        <f t="shared" ref="E1040:E1103" si="87">YEAR(A1040)</f>
        <v>2019</v>
      </c>
      <c r="F1040" t="str">
        <f>CONCATENATE(calendar[[#This Row],[Month]],"/",calendar[[#This Row],[Year]])</f>
        <v>11/2019</v>
      </c>
      <c r="G1040">
        <f>WEEKDAY(calendar[[#This Row],[Date]],1)</f>
        <v>3</v>
      </c>
      <c r="H1040" t="str">
        <f>TEXT(calendar[[#This Row],[WeekDay]],"dddd")</f>
        <v>Tuesday</v>
      </c>
      <c r="I1040">
        <f>IF((INT(calendar[[#This Row],[Count]]/7)-calendar[[#This Row],[Count]]/7)&lt;0,I1039,I1039+1)</f>
        <v>149</v>
      </c>
      <c r="J1040">
        <f t="shared" si="84"/>
        <v>1038</v>
      </c>
      <c r="K1040">
        <f>IF(calendar[[#This Row],[Month]]&lt;4,1,IF(calendar[[#This Row],[Month]]&lt;7,2,IF(calendar[[#This Row],[Month]]&lt;10,3,4)))</f>
        <v>4</v>
      </c>
      <c r="L1040">
        <f>IFERROR(IF(VLOOKUP(calendar[[#This Row],[Date]],BH!A:A,1,)&lt;&gt;"",1,0),0)</f>
        <v>0</v>
      </c>
      <c r="M1040">
        <f>IFERROR(IF(VLOOKUP(calendar[[#This Row],[Date]],BH!C:C,1,)&lt;&gt;"",1,0),0)</f>
        <v>0</v>
      </c>
      <c r="N1040">
        <f>IFERROR(IF(VLOOKUP(calendar[[#This Row],[Date]],BH!E:E,1,)&lt;&gt;"",1,0),0)</f>
        <v>0</v>
      </c>
      <c r="O1040">
        <f>IFERROR(IF(VLOOKUP(calendar[[#This Row],[Date]],BH!G:G,1,)&lt;&gt;"",1,0),0)</f>
        <v>0</v>
      </c>
      <c r="P1040">
        <f>IF(OR(calendar[[#This Row],[UK_BH]]=1,calendar[[#This Row],[WeekDay]]=1, calendar[[#This Row],[WeekDay]]=7),P1039,P1039+1)</f>
        <v>742</v>
      </c>
      <c r="Q1040">
        <f>IF(OR(calendar[[#This Row],[FR_BH]]=1,calendar[[#This Row],[WeekDay]]=1, calendar[[#This Row],[WeekDay]]=7),P1039,P1039+1)</f>
        <v>742</v>
      </c>
      <c r="R1040">
        <f>IF(OR(calendar[[#This Row],[SP_BH]]=1,calendar[[#This Row],[WeekDay]]=1, calendar[[#This Row],[WeekDay]]=7),P1039,P1039+1)</f>
        <v>742</v>
      </c>
      <c r="S1040">
        <f>IF(OR(calendar[[#This Row],[PT_BH]]=1,calendar[[#This Row],[WeekDay]]=1, calendar[[#This Row],[WeekDay]]=7),P1039,P1039+1)</f>
        <v>742</v>
      </c>
    </row>
    <row r="1041" spans="1:19" x14ac:dyDescent="0.25">
      <c r="A1041" s="2">
        <v>43775</v>
      </c>
      <c r="B1041" s="1">
        <f t="shared" si="83"/>
        <v>45</v>
      </c>
      <c r="C1041">
        <f t="shared" si="85"/>
        <v>11</v>
      </c>
      <c r="D1041" t="str">
        <f t="shared" si="86"/>
        <v>November</v>
      </c>
      <c r="E1041">
        <f t="shared" si="87"/>
        <v>2019</v>
      </c>
      <c r="F1041" t="str">
        <f>CONCATENATE(calendar[[#This Row],[Month]],"/",calendar[[#This Row],[Year]])</f>
        <v>11/2019</v>
      </c>
      <c r="G1041">
        <f>WEEKDAY(calendar[[#This Row],[Date]],1)</f>
        <v>4</v>
      </c>
      <c r="H1041" t="str">
        <f>TEXT(calendar[[#This Row],[WeekDay]],"dddd")</f>
        <v>Wednesday</v>
      </c>
      <c r="I1041">
        <f>IF((INT(calendar[[#This Row],[Count]]/7)-calendar[[#This Row],[Count]]/7)&lt;0,I1040,I1040+1)</f>
        <v>149</v>
      </c>
      <c r="J1041">
        <f t="shared" si="84"/>
        <v>1039</v>
      </c>
      <c r="K1041">
        <f>IF(calendar[[#This Row],[Month]]&lt;4,1,IF(calendar[[#This Row],[Month]]&lt;7,2,IF(calendar[[#This Row],[Month]]&lt;10,3,4)))</f>
        <v>4</v>
      </c>
      <c r="L1041">
        <f>IFERROR(IF(VLOOKUP(calendar[[#This Row],[Date]],BH!A:A,1,)&lt;&gt;"",1,0),0)</f>
        <v>0</v>
      </c>
      <c r="M1041">
        <f>IFERROR(IF(VLOOKUP(calendar[[#This Row],[Date]],BH!C:C,1,)&lt;&gt;"",1,0),0)</f>
        <v>0</v>
      </c>
      <c r="N1041">
        <f>IFERROR(IF(VLOOKUP(calendar[[#This Row],[Date]],BH!E:E,1,)&lt;&gt;"",1,0),0)</f>
        <v>0</v>
      </c>
      <c r="O1041">
        <f>IFERROR(IF(VLOOKUP(calendar[[#This Row],[Date]],BH!G:G,1,)&lt;&gt;"",1,0),0)</f>
        <v>0</v>
      </c>
      <c r="P1041">
        <f>IF(OR(calendar[[#This Row],[UK_BH]]=1,calendar[[#This Row],[WeekDay]]=1, calendar[[#This Row],[WeekDay]]=7),P1040,P1040+1)</f>
        <v>743</v>
      </c>
      <c r="Q1041">
        <f>IF(OR(calendar[[#This Row],[FR_BH]]=1,calendar[[#This Row],[WeekDay]]=1, calendar[[#This Row],[WeekDay]]=7),P1040,P1040+1)</f>
        <v>743</v>
      </c>
      <c r="R1041">
        <f>IF(OR(calendar[[#This Row],[SP_BH]]=1,calendar[[#This Row],[WeekDay]]=1, calendar[[#This Row],[WeekDay]]=7),P1040,P1040+1)</f>
        <v>743</v>
      </c>
      <c r="S1041">
        <f>IF(OR(calendar[[#This Row],[PT_BH]]=1,calendar[[#This Row],[WeekDay]]=1, calendar[[#This Row],[WeekDay]]=7),P1040,P1040+1)</f>
        <v>743</v>
      </c>
    </row>
    <row r="1042" spans="1:19" x14ac:dyDescent="0.25">
      <c r="A1042" s="2">
        <v>43776</v>
      </c>
      <c r="B1042" s="1">
        <f t="shared" si="83"/>
        <v>45</v>
      </c>
      <c r="C1042">
        <f t="shared" si="85"/>
        <v>11</v>
      </c>
      <c r="D1042" t="str">
        <f t="shared" si="86"/>
        <v>November</v>
      </c>
      <c r="E1042">
        <f t="shared" si="87"/>
        <v>2019</v>
      </c>
      <c r="F1042" t="str">
        <f>CONCATENATE(calendar[[#This Row],[Month]],"/",calendar[[#This Row],[Year]])</f>
        <v>11/2019</v>
      </c>
      <c r="G1042">
        <f>WEEKDAY(calendar[[#This Row],[Date]],1)</f>
        <v>5</v>
      </c>
      <c r="H1042" t="str">
        <f>TEXT(calendar[[#This Row],[WeekDay]],"dddd")</f>
        <v>Thursday</v>
      </c>
      <c r="I1042">
        <f>IF((INT(calendar[[#This Row],[Count]]/7)-calendar[[#This Row],[Count]]/7)&lt;0,I1041,I1041+1)</f>
        <v>149</v>
      </c>
      <c r="J1042">
        <f t="shared" si="84"/>
        <v>1040</v>
      </c>
      <c r="K1042">
        <f>IF(calendar[[#This Row],[Month]]&lt;4,1,IF(calendar[[#This Row],[Month]]&lt;7,2,IF(calendar[[#This Row],[Month]]&lt;10,3,4)))</f>
        <v>4</v>
      </c>
      <c r="L1042">
        <f>IFERROR(IF(VLOOKUP(calendar[[#This Row],[Date]],BH!A:A,1,)&lt;&gt;"",1,0),0)</f>
        <v>0</v>
      </c>
      <c r="M1042">
        <f>IFERROR(IF(VLOOKUP(calendar[[#This Row],[Date]],BH!C:C,1,)&lt;&gt;"",1,0),0)</f>
        <v>0</v>
      </c>
      <c r="N1042">
        <f>IFERROR(IF(VLOOKUP(calendar[[#This Row],[Date]],BH!E:E,1,)&lt;&gt;"",1,0),0)</f>
        <v>0</v>
      </c>
      <c r="O1042">
        <f>IFERROR(IF(VLOOKUP(calendar[[#This Row],[Date]],BH!G:G,1,)&lt;&gt;"",1,0),0)</f>
        <v>0</v>
      </c>
      <c r="P1042">
        <f>IF(OR(calendar[[#This Row],[UK_BH]]=1,calendar[[#This Row],[WeekDay]]=1, calendar[[#This Row],[WeekDay]]=7),P1041,P1041+1)</f>
        <v>744</v>
      </c>
      <c r="Q1042">
        <f>IF(OR(calendar[[#This Row],[FR_BH]]=1,calendar[[#This Row],[WeekDay]]=1, calendar[[#This Row],[WeekDay]]=7),P1041,P1041+1)</f>
        <v>744</v>
      </c>
      <c r="R1042">
        <f>IF(OR(calendar[[#This Row],[SP_BH]]=1,calendar[[#This Row],[WeekDay]]=1, calendar[[#This Row],[WeekDay]]=7),P1041,P1041+1)</f>
        <v>744</v>
      </c>
      <c r="S1042">
        <f>IF(OR(calendar[[#This Row],[PT_BH]]=1,calendar[[#This Row],[WeekDay]]=1, calendar[[#This Row],[WeekDay]]=7),P1041,P1041+1)</f>
        <v>744</v>
      </c>
    </row>
    <row r="1043" spans="1:19" x14ac:dyDescent="0.25">
      <c r="A1043" s="2">
        <v>43777</v>
      </c>
      <c r="B1043" s="1">
        <f t="shared" si="83"/>
        <v>45</v>
      </c>
      <c r="C1043">
        <f t="shared" si="85"/>
        <v>11</v>
      </c>
      <c r="D1043" t="str">
        <f t="shared" si="86"/>
        <v>November</v>
      </c>
      <c r="E1043">
        <f t="shared" si="87"/>
        <v>2019</v>
      </c>
      <c r="F1043" t="str">
        <f>CONCATENATE(calendar[[#This Row],[Month]],"/",calendar[[#This Row],[Year]])</f>
        <v>11/2019</v>
      </c>
      <c r="G1043">
        <f>WEEKDAY(calendar[[#This Row],[Date]],1)</f>
        <v>6</v>
      </c>
      <c r="H1043" t="str">
        <f>TEXT(calendar[[#This Row],[WeekDay]],"dddd")</f>
        <v>Friday</v>
      </c>
      <c r="I1043">
        <f>IF((INT(calendar[[#This Row],[Count]]/7)-calendar[[#This Row],[Count]]/7)&lt;0,I1042,I1042+1)</f>
        <v>149</v>
      </c>
      <c r="J1043">
        <f t="shared" si="84"/>
        <v>1041</v>
      </c>
      <c r="K1043">
        <f>IF(calendar[[#This Row],[Month]]&lt;4,1,IF(calendar[[#This Row],[Month]]&lt;7,2,IF(calendar[[#This Row],[Month]]&lt;10,3,4)))</f>
        <v>4</v>
      </c>
      <c r="L1043">
        <f>IFERROR(IF(VLOOKUP(calendar[[#This Row],[Date]],BH!A:A,1,)&lt;&gt;"",1,0),0)</f>
        <v>0</v>
      </c>
      <c r="M1043">
        <f>IFERROR(IF(VLOOKUP(calendar[[#This Row],[Date]],BH!C:C,1,)&lt;&gt;"",1,0),0)</f>
        <v>0</v>
      </c>
      <c r="N1043">
        <f>IFERROR(IF(VLOOKUP(calendar[[#This Row],[Date]],BH!E:E,1,)&lt;&gt;"",1,0),0)</f>
        <v>0</v>
      </c>
      <c r="O1043">
        <f>IFERROR(IF(VLOOKUP(calendar[[#This Row],[Date]],BH!G:G,1,)&lt;&gt;"",1,0),0)</f>
        <v>0</v>
      </c>
      <c r="P1043">
        <f>IF(OR(calendar[[#This Row],[UK_BH]]=1,calendar[[#This Row],[WeekDay]]=1, calendar[[#This Row],[WeekDay]]=7),P1042,P1042+1)</f>
        <v>745</v>
      </c>
      <c r="Q1043">
        <f>IF(OR(calendar[[#This Row],[FR_BH]]=1,calendar[[#This Row],[WeekDay]]=1, calendar[[#This Row],[WeekDay]]=7),P1042,P1042+1)</f>
        <v>745</v>
      </c>
      <c r="R1043">
        <f>IF(OR(calendar[[#This Row],[SP_BH]]=1,calendar[[#This Row],[WeekDay]]=1, calendar[[#This Row],[WeekDay]]=7),P1042,P1042+1)</f>
        <v>745</v>
      </c>
      <c r="S1043">
        <f>IF(OR(calendar[[#This Row],[PT_BH]]=1,calendar[[#This Row],[WeekDay]]=1, calendar[[#This Row],[WeekDay]]=7),P1042,P1042+1)</f>
        <v>745</v>
      </c>
    </row>
    <row r="1044" spans="1:19" x14ac:dyDescent="0.25">
      <c r="A1044" s="2">
        <v>43778</v>
      </c>
      <c r="B1044" s="1">
        <f t="shared" si="83"/>
        <v>45</v>
      </c>
      <c r="C1044">
        <f t="shared" si="85"/>
        <v>11</v>
      </c>
      <c r="D1044" t="str">
        <f t="shared" si="86"/>
        <v>November</v>
      </c>
      <c r="E1044">
        <f t="shared" si="87"/>
        <v>2019</v>
      </c>
      <c r="F1044" t="str">
        <f>CONCATENATE(calendar[[#This Row],[Month]],"/",calendar[[#This Row],[Year]])</f>
        <v>11/2019</v>
      </c>
      <c r="G1044">
        <f>WEEKDAY(calendar[[#This Row],[Date]],1)</f>
        <v>7</v>
      </c>
      <c r="H1044" t="str">
        <f>TEXT(calendar[[#This Row],[WeekDay]],"dddd")</f>
        <v>Saturday</v>
      </c>
      <c r="I1044">
        <f>IF((INT(calendar[[#This Row],[Count]]/7)-calendar[[#This Row],[Count]]/7)&lt;0,I1043,I1043+1)</f>
        <v>149</v>
      </c>
      <c r="J1044">
        <f t="shared" si="84"/>
        <v>1042</v>
      </c>
      <c r="K1044">
        <f>IF(calendar[[#This Row],[Month]]&lt;4,1,IF(calendar[[#This Row],[Month]]&lt;7,2,IF(calendar[[#This Row],[Month]]&lt;10,3,4)))</f>
        <v>4</v>
      </c>
      <c r="L1044">
        <f>IFERROR(IF(VLOOKUP(calendar[[#This Row],[Date]],BH!A:A,1,)&lt;&gt;"",1,0),0)</f>
        <v>0</v>
      </c>
      <c r="M1044">
        <f>IFERROR(IF(VLOOKUP(calendar[[#This Row],[Date]],BH!C:C,1,)&lt;&gt;"",1,0),0)</f>
        <v>0</v>
      </c>
      <c r="N1044">
        <f>IFERROR(IF(VLOOKUP(calendar[[#This Row],[Date]],BH!E:E,1,)&lt;&gt;"",1,0),0)</f>
        <v>0</v>
      </c>
      <c r="O1044">
        <f>IFERROR(IF(VLOOKUP(calendar[[#This Row],[Date]],BH!G:G,1,)&lt;&gt;"",1,0),0)</f>
        <v>0</v>
      </c>
      <c r="P1044">
        <f>IF(OR(calendar[[#This Row],[UK_BH]]=1,calendar[[#This Row],[WeekDay]]=1, calendar[[#This Row],[WeekDay]]=7),P1043,P1043+1)</f>
        <v>745</v>
      </c>
      <c r="Q1044">
        <f>IF(OR(calendar[[#This Row],[FR_BH]]=1,calendar[[#This Row],[WeekDay]]=1, calendar[[#This Row],[WeekDay]]=7),P1043,P1043+1)</f>
        <v>745</v>
      </c>
      <c r="R1044">
        <f>IF(OR(calendar[[#This Row],[SP_BH]]=1,calendar[[#This Row],[WeekDay]]=1, calendar[[#This Row],[WeekDay]]=7),P1043,P1043+1)</f>
        <v>745</v>
      </c>
      <c r="S1044">
        <f>IF(OR(calendar[[#This Row],[PT_BH]]=1,calendar[[#This Row],[WeekDay]]=1, calendar[[#This Row],[WeekDay]]=7),P1043,P1043+1)</f>
        <v>745</v>
      </c>
    </row>
    <row r="1045" spans="1:19" x14ac:dyDescent="0.25">
      <c r="A1045" s="2">
        <v>43779</v>
      </c>
      <c r="B1045" s="1">
        <f t="shared" si="83"/>
        <v>46</v>
      </c>
      <c r="C1045">
        <f t="shared" si="85"/>
        <v>11</v>
      </c>
      <c r="D1045" t="str">
        <f t="shared" si="86"/>
        <v>November</v>
      </c>
      <c r="E1045">
        <f t="shared" si="87"/>
        <v>2019</v>
      </c>
      <c r="F1045" t="str">
        <f>CONCATENATE(calendar[[#This Row],[Month]],"/",calendar[[#This Row],[Year]])</f>
        <v>11/2019</v>
      </c>
      <c r="G1045">
        <f>WEEKDAY(calendar[[#This Row],[Date]],1)</f>
        <v>1</v>
      </c>
      <c r="H1045" t="str">
        <f>TEXT(calendar[[#This Row],[WeekDay]],"dddd")</f>
        <v>Sunday</v>
      </c>
      <c r="I1045">
        <f>IF((INT(calendar[[#This Row],[Count]]/7)-calendar[[#This Row],[Count]]/7)&lt;0,I1044,I1044+1)</f>
        <v>150</v>
      </c>
      <c r="J1045">
        <f t="shared" si="84"/>
        <v>1043</v>
      </c>
      <c r="K1045">
        <f>IF(calendar[[#This Row],[Month]]&lt;4,1,IF(calendar[[#This Row],[Month]]&lt;7,2,IF(calendar[[#This Row],[Month]]&lt;10,3,4)))</f>
        <v>4</v>
      </c>
      <c r="L1045">
        <f>IFERROR(IF(VLOOKUP(calendar[[#This Row],[Date]],BH!A:A,1,)&lt;&gt;"",1,0),0)</f>
        <v>0</v>
      </c>
      <c r="M1045">
        <f>IFERROR(IF(VLOOKUP(calendar[[#This Row],[Date]],BH!C:C,1,)&lt;&gt;"",1,0),0)</f>
        <v>0</v>
      </c>
      <c r="N1045">
        <f>IFERROR(IF(VLOOKUP(calendar[[#This Row],[Date]],BH!E:E,1,)&lt;&gt;"",1,0),0)</f>
        <v>0</v>
      </c>
      <c r="O1045">
        <f>IFERROR(IF(VLOOKUP(calendar[[#This Row],[Date]],BH!G:G,1,)&lt;&gt;"",1,0),0)</f>
        <v>0</v>
      </c>
      <c r="P1045">
        <f>IF(OR(calendar[[#This Row],[UK_BH]]=1,calendar[[#This Row],[WeekDay]]=1, calendar[[#This Row],[WeekDay]]=7),P1044,P1044+1)</f>
        <v>745</v>
      </c>
      <c r="Q1045">
        <f>IF(OR(calendar[[#This Row],[FR_BH]]=1,calendar[[#This Row],[WeekDay]]=1, calendar[[#This Row],[WeekDay]]=7),P1044,P1044+1)</f>
        <v>745</v>
      </c>
      <c r="R1045">
        <f>IF(OR(calendar[[#This Row],[SP_BH]]=1,calendar[[#This Row],[WeekDay]]=1, calendar[[#This Row],[WeekDay]]=7),P1044,P1044+1)</f>
        <v>745</v>
      </c>
      <c r="S1045">
        <f>IF(OR(calendar[[#This Row],[PT_BH]]=1,calendar[[#This Row],[WeekDay]]=1, calendar[[#This Row],[WeekDay]]=7),P1044,P1044+1)</f>
        <v>745</v>
      </c>
    </row>
    <row r="1046" spans="1:19" x14ac:dyDescent="0.25">
      <c r="A1046" s="2">
        <v>43780</v>
      </c>
      <c r="B1046" s="1">
        <f t="shared" si="83"/>
        <v>46</v>
      </c>
      <c r="C1046">
        <f t="shared" si="85"/>
        <v>11</v>
      </c>
      <c r="D1046" t="str">
        <f t="shared" si="86"/>
        <v>November</v>
      </c>
      <c r="E1046">
        <f t="shared" si="87"/>
        <v>2019</v>
      </c>
      <c r="F1046" t="str">
        <f>CONCATENATE(calendar[[#This Row],[Month]],"/",calendar[[#This Row],[Year]])</f>
        <v>11/2019</v>
      </c>
      <c r="G1046">
        <f>WEEKDAY(calendar[[#This Row],[Date]],1)</f>
        <v>2</v>
      </c>
      <c r="H1046" t="str">
        <f>TEXT(calendar[[#This Row],[WeekDay]],"dddd")</f>
        <v>Monday</v>
      </c>
      <c r="I1046">
        <f>IF((INT(calendar[[#This Row],[Count]]/7)-calendar[[#This Row],[Count]]/7)&lt;0,I1045,I1045+1)</f>
        <v>150</v>
      </c>
      <c r="J1046">
        <f t="shared" si="84"/>
        <v>1044</v>
      </c>
      <c r="K1046">
        <f>IF(calendar[[#This Row],[Month]]&lt;4,1,IF(calendar[[#This Row],[Month]]&lt;7,2,IF(calendar[[#This Row],[Month]]&lt;10,3,4)))</f>
        <v>4</v>
      </c>
      <c r="L1046">
        <f>IFERROR(IF(VLOOKUP(calendar[[#This Row],[Date]],BH!A:A,1,)&lt;&gt;"",1,0),0)</f>
        <v>0</v>
      </c>
      <c r="M1046">
        <f>IFERROR(IF(VLOOKUP(calendar[[#This Row],[Date]],BH!C:C,1,)&lt;&gt;"",1,0),0)</f>
        <v>0</v>
      </c>
      <c r="N1046">
        <f>IFERROR(IF(VLOOKUP(calendar[[#This Row],[Date]],BH!E:E,1,)&lt;&gt;"",1,0),0)</f>
        <v>0</v>
      </c>
      <c r="O1046">
        <f>IFERROR(IF(VLOOKUP(calendar[[#This Row],[Date]],BH!G:G,1,)&lt;&gt;"",1,0),0)</f>
        <v>0</v>
      </c>
      <c r="P1046">
        <f>IF(OR(calendar[[#This Row],[UK_BH]]=1,calendar[[#This Row],[WeekDay]]=1, calendar[[#This Row],[WeekDay]]=7),P1045,P1045+1)</f>
        <v>746</v>
      </c>
      <c r="Q1046">
        <f>IF(OR(calendar[[#This Row],[FR_BH]]=1,calendar[[#This Row],[WeekDay]]=1, calendar[[#This Row],[WeekDay]]=7),P1045,P1045+1)</f>
        <v>746</v>
      </c>
      <c r="R1046">
        <f>IF(OR(calendar[[#This Row],[SP_BH]]=1,calendar[[#This Row],[WeekDay]]=1, calendar[[#This Row],[WeekDay]]=7),P1045,P1045+1)</f>
        <v>746</v>
      </c>
      <c r="S1046">
        <f>IF(OR(calendar[[#This Row],[PT_BH]]=1,calendar[[#This Row],[WeekDay]]=1, calendar[[#This Row],[WeekDay]]=7),P1045,P1045+1)</f>
        <v>746</v>
      </c>
    </row>
    <row r="1047" spans="1:19" x14ac:dyDescent="0.25">
      <c r="A1047" s="2">
        <v>43781</v>
      </c>
      <c r="B1047" s="1">
        <f t="shared" si="83"/>
        <v>46</v>
      </c>
      <c r="C1047">
        <f t="shared" si="85"/>
        <v>11</v>
      </c>
      <c r="D1047" t="str">
        <f t="shared" si="86"/>
        <v>November</v>
      </c>
      <c r="E1047">
        <f t="shared" si="87"/>
        <v>2019</v>
      </c>
      <c r="F1047" t="str">
        <f>CONCATENATE(calendar[[#This Row],[Month]],"/",calendar[[#This Row],[Year]])</f>
        <v>11/2019</v>
      </c>
      <c r="G1047">
        <f>WEEKDAY(calendar[[#This Row],[Date]],1)</f>
        <v>3</v>
      </c>
      <c r="H1047" t="str">
        <f>TEXT(calendar[[#This Row],[WeekDay]],"dddd")</f>
        <v>Tuesday</v>
      </c>
      <c r="I1047">
        <f>IF((INT(calendar[[#This Row],[Count]]/7)-calendar[[#This Row],[Count]]/7)&lt;0,I1046,I1046+1)</f>
        <v>150</v>
      </c>
      <c r="J1047">
        <f t="shared" si="84"/>
        <v>1045</v>
      </c>
      <c r="K1047">
        <f>IF(calendar[[#This Row],[Month]]&lt;4,1,IF(calendar[[#This Row],[Month]]&lt;7,2,IF(calendar[[#This Row],[Month]]&lt;10,3,4)))</f>
        <v>4</v>
      </c>
      <c r="L1047">
        <f>IFERROR(IF(VLOOKUP(calendar[[#This Row],[Date]],BH!A:A,1,)&lt;&gt;"",1,0),0)</f>
        <v>0</v>
      </c>
      <c r="M1047">
        <f>IFERROR(IF(VLOOKUP(calendar[[#This Row],[Date]],BH!C:C,1,)&lt;&gt;"",1,0),0)</f>
        <v>0</v>
      </c>
      <c r="N1047">
        <f>IFERROR(IF(VLOOKUP(calendar[[#This Row],[Date]],BH!E:E,1,)&lt;&gt;"",1,0),0)</f>
        <v>0</v>
      </c>
      <c r="O1047">
        <f>IFERROR(IF(VLOOKUP(calendar[[#This Row],[Date]],BH!G:G,1,)&lt;&gt;"",1,0),0)</f>
        <v>0</v>
      </c>
      <c r="P1047">
        <f>IF(OR(calendar[[#This Row],[UK_BH]]=1,calendar[[#This Row],[WeekDay]]=1, calendar[[#This Row],[WeekDay]]=7),P1046,P1046+1)</f>
        <v>747</v>
      </c>
      <c r="Q1047">
        <f>IF(OR(calendar[[#This Row],[FR_BH]]=1,calendar[[#This Row],[WeekDay]]=1, calendar[[#This Row],[WeekDay]]=7),P1046,P1046+1)</f>
        <v>747</v>
      </c>
      <c r="R1047">
        <f>IF(OR(calendar[[#This Row],[SP_BH]]=1,calendar[[#This Row],[WeekDay]]=1, calendar[[#This Row],[WeekDay]]=7),P1046,P1046+1)</f>
        <v>747</v>
      </c>
      <c r="S1047">
        <f>IF(OR(calendar[[#This Row],[PT_BH]]=1,calendar[[#This Row],[WeekDay]]=1, calendar[[#This Row],[WeekDay]]=7),P1046,P1046+1)</f>
        <v>747</v>
      </c>
    </row>
    <row r="1048" spans="1:19" x14ac:dyDescent="0.25">
      <c r="A1048" s="2">
        <v>43782</v>
      </c>
      <c r="B1048" s="1">
        <f t="shared" si="83"/>
        <v>46</v>
      </c>
      <c r="C1048">
        <f t="shared" si="85"/>
        <v>11</v>
      </c>
      <c r="D1048" t="str">
        <f t="shared" si="86"/>
        <v>November</v>
      </c>
      <c r="E1048">
        <f t="shared" si="87"/>
        <v>2019</v>
      </c>
      <c r="F1048" t="str">
        <f>CONCATENATE(calendar[[#This Row],[Month]],"/",calendar[[#This Row],[Year]])</f>
        <v>11/2019</v>
      </c>
      <c r="G1048">
        <f>WEEKDAY(calendar[[#This Row],[Date]],1)</f>
        <v>4</v>
      </c>
      <c r="H1048" t="str">
        <f>TEXT(calendar[[#This Row],[WeekDay]],"dddd")</f>
        <v>Wednesday</v>
      </c>
      <c r="I1048">
        <f>IF((INT(calendar[[#This Row],[Count]]/7)-calendar[[#This Row],[Count]]/7)&lt;0,I1047,I1047+1)</f>
        <v>150</v>
      </c>
      <c r="J1048">
        <f t="shared" si="84"/>
        <v>1046</v>
      </c>
      <c r="K1048">
        <f>IF(calendar[[#This Row],[Month]]&lt;4,1,IF(calendar[[#This Row],[Month]]&lt;7,2,IF(calendar[[#This Row],[Month]]&lt;10,3,4)))</f>
        <v>4</v>
      </c>
      <c r="L1048">
        <f>IFERROR(IF(VLOOKUP(calendar[[#This Row],[Date]],BH!A:A,1,)&lt;&gt;"",1,0),0)</f>
        <v>0</v>
      </c>
      <c r="M1048">
        <f>IFERROR(IF(VLOOKUP(calendar[[#This Row],[Date]],BH!C:C,1,)&lt;&gt;"",1,0),0)</f>
        <v>0</v>
      </c>
      <c r="N1048">
        <f>IFERROR(IF(VLOOKUP(calendar[[#This Row],[Date]],BH!E:E,1,)&lt;&gt;"",1,0),0)</f>
        <v>0</v>
      </c>
      <c r="O1048">
        <f>IFERROR(IF(VLOOKUP(calendar[[#This Row],[Date]],BH!G:G,1,)&lt;&gt;"",1,0),0)</f>
        <v>0</v>
      </c>
      <c r="P1048">
        <f>IF(OR(calendar[[#This Row],[UK_BH]]=1,calendar[[#This Row],[WeekDay]]=1, calendar[[#This Row],[WeekDay]]=7),P1047,P1047+1)</f>
        <v>748</v>
      </c>
      <c r="Q1048">
        <f>IF(OR(calendar[[#This Row],[FR_BH]]=1,calendar[[#This Row],[WeekDay]]=1, calendar[[#This Row],[WeekDay]]=7),P1047,P1047+1)</f>
        <v>748</v>
      </c>
      <c r="R1048">
        <f>IF(OR(calendar[[#This Row],[SP_BH]]=1,calendar[[#This Row],[WeekDay]]=1, calendar[[#This Row],[WeekDay]]=7),P1047,P1047+1)</f>
        <v>748</v>
      </c>
      <c r="S1048">
        <f>IF(OR(calendar[[#This Row],[PT_BH]]=1,calendar[[#This Row],[WeekDay]]=1, calendar[[#This Row],[WeekDay]]=7),P1047,P1047+1)</f>
        <v>748</v>
      </c>
    </row>
    <row r="1049" spans="1:19" x14ac:dyDescent="0.25">
      <c r="A1049" s="2">
        <v>43783</v>
      </c>
      <c r="B1049" s="1">
        <f t="shared" si="83"/>
        <v>46</v>
      </c>
      <c r="C1049">
        <f t="shared" si="85"/>
        <v>11</v>
      </c>
      <c r="D1049" t="str">
        <f t="shared" si="86"/>
        <v>November</v>
      </c>
      <c r="E1049">
        <f t="shared" si="87"/>
        <v>2019</v>
      </c>
      <c r="F1049" t="str">
        <f>CONCATENATE(calendar[[#This Row],[Month]],"/",calendar[[#This Row],[Year]])</f>
        <v>11/2019</v>
      </c>
      <c r="G1049">
        <f>WEEKDAY(calendar[[#This Row],[Date]],1)</f>
        <v>5</v>
      </c>
      <c r="H1049" t="str">
        <f>TEXT(calendar[[#This Row],[WeekDay]],"dddd")</f>
        <v>Thursday</v>
      </c>
      <c r="I1049">
        <f>IF((INT(calendar[[#This Row],[Count]]/7)-calendar[[#This Row],[Count]]/7)&lt;0,I1048,I1048+1)</f>
        <v>150</v>
      </c>
      <c r="J1049">
        <f t="shared" si="84"/>
        <v>1047</v>
      </c>
      <c r="K1049">
        <f>IF(calendar[[#This Row],[Month]]&lt;4,1,IF(calendar[[#This Row],[Month]]&lt;7,2,IF(calendar[[#This Row],[Month]]&lt;10,3,4)))</f>
        <v>4</v>
      </c>
      <c r="L1049">
        <f>IFERROR(IF(VLOOKUP(calendar[[#This Row],[Date]],BH!A:A,1,)&lt;&gt;"",1,0),0)</f>
        <v>0</v>
      </c>
      <c r="M1049">
        <f>IFERROR(IF(VLOOKUP(calendar[[#This Row],[Date]],BH!C:C,1,)&lt;&gt;"",1,0),0)</f>
        <v>0</v>
      </c>
      <c r="N1049">
        <f>IFERROR(IF(VLOOKUP(calendar[[#This Row],[Date]],BH!E:E,1,)&lt;&gt;"",1,0),0)</f>
        <v>0</v>
      </c>
      <c r="O1049">
        <f>IFERROR(IF(VLOOKUP(calendar[[#This Row],[Date]],BH!G:G,1,)&lt;&gt;"",1,0),0)</f>
        <v>0</v>
      </c>
      <c r="P1049">
        <f>IF(OR(calendar[[#This Row],[UK_BH]]=1,calendar[[#This Row],[WeekDay]]=1, calendar[[#This Row],[WeekDay]]=7),P1048,P1048+1)</f>
        <v>749</v>
      </c>
      <c r="Q1049">
        <f>IF(OR(calendar[[#This Row],[FR_BH]]=1,calendar[[#This Row],[WeekDay]]=1, calendar[[#This Row],[WeekDay]]=7),P1048,P1048+1)</f>
        <v>749</v>
      </c>
      <c r="R1049">
        <f>IF(OR(calendar[[#This Row],[SP_BH]]=1,calendar[[#This Row],[WeekDay]]=1, calendar[[#This Row],[WeekDay]]=7),P1048,P1048+1)</f>
        <v>749</v>
      </c>
      <c r="S1049">
        <f>IF(OR(calendar[[#This Row],[PT_BH]]=1,calendar[[#This Row],[WeekDay]]=1, calendar[[#This Row],[WeekDay]]=7),P1048,P1048+1)</f>
        <v>749</v>
      </c>
    </row>
    <row r="1050" spans="1:19" x14ac:dyDescent="0.25">
      <c r="A1050" s="2">
        <v>43784</v>
      </c>
      <c r="B1050" s="1">
        <f t="shared" si="83"/>
        <v>46</v>
      </c>
      <c r="C1050">
        <f t="shared" si="85"/>
        <v>11</v>
      </c>
      <c r="D1050" t="str">
        <f t="shared" si="86"/>
        <v>November</v>
      </c>
      <c r="E1050">
        <f t="shared" si="87"/>
        <v>2019</v>
      </c>
      <c r="F1050" t="str">
        <f>CONCATENATE(calendar[[#This Row],[Month]],"/",calendar[[#This Row],[Year]])</f>
        <v>11/2019</v>
      </c>
      <c r="G1050">
        <f>WEEKDAY(calendar[[#This Row],[Date]],1)</f>
        <v>6</v>
      </c>
      <c r="H1050" t="str">
        <f>TEXT(calendar[[#This Row],[WeekDay]],"dddd")</f>
        <v>Friday</v>
      </c>
      <c r="I1050">
        <f>IF((INT(calendar[[#This Row],[Count]]/7)-calendar[[#This Row],[Count]]/7)&lt;0,I1049,I1049+1)</f>
        <v>150</v>
      </c>
      <c r="J1050">
        <f t="shared" si="84"/>
        <v>1048</v>
      </c>
      <c r="K1050">
        <f>IF(calendar[[#This Row],[Month]]&lt;4,1,IF(calendar[[#This Row],[Month]]&lt;7,2,IF(calendar[[#This Row],[Month]]&lt;10,3,4)))</f>
        <v>4</v>
      </c>
      <c r="L1050">
        <f>IFERROR(IF(VLOOKUP(calendar[[#This Row],[Date]],BH!A:A,1,)&lt;&gt;"",1,0),0)</f>
        <v>0</v>
      </c>
      <c r="M1050">
        <f>IFERROR(IF(VLOOKUP(calendar[[#This Row],[Date]],BH!C:C,1,)&lt;&gt;"",1,0),0)</f>
        <v>0</v>
      </c>
      <c r="N1050">
        <f>IFERROR(IF(VLOOKUP(calendar[[#This Row],[Date]],BH!E:E,1,)&lt;&gt;"",1,0),0)</f>
        <v>0</v>
      </c>
      <c r="O1050">
        <f>IFERROR(IF(VLOOKUP(calendar[[#This Row],[Date]],BH!G:G,1,)&lt;&gt;"",1,0),0)</f>
        <v>0</v>
      </c>
      <c r="P1050">
        <f>IF(OR(calendar[[#This Row],[UK_BH]]=1,calendar[[#This Row],[WeekDay]]=1, calendar[[#This Row],[WeekDay]]=7),P1049,P1049+1)</f>
        <v>750</v>
      </c>
      <c r="Q1050">
        <f>IF(OR(calendar[[#This Row],[FR_BH]]=1,calendar[[#This Row],[WeekDay]]=1, calendar[[#This Row],[WeekDay]]=7),P1049,P1049+1)</f>
        <v>750</v>
      </c>
      <c r="R1050">
        <f>IF(OR(calendar[[#This Row],[SP_BH]]=1,calendar[[#This Row],[WeekDay]]=1, calendar[[#This Row],[WeekDay]]=7),P1049,P1049+1)</f>
        <v>750</v>
      </c>
      <c r="S1050">
        <f>IF(OR(calendar[[#This Row],[PT_BH]]=1,calendar[[#This Row],[WeekDay]]=1, calendar[[#This Row],[WeekDay]]=7),P1049,P1049+1)</f>
        <v>750</v>
      </c>
    </row>
    <row r="1051" spans="1:19" x14ac:dyDescent="0.25">
      <c r="A1051" s="2">
        <v>43785</v>
      </c>
      <c r="B1051" s="1">
        <f t="shared" si="83"/>
        <v>46</v>
      </c>
      <c r="C1051">
        <f t="shared" si="85"/>
        <v>11</v>
      </c>
      <c r="D1051" t="str">
        <f t="shared" si="86"/>
        <v>November</v>
      </c>
      <c r="E1051">
        <f t="shared" si="87"/>
        <v>2019</v>
      </c>
      <c r="F1051" t="str">
        <f>CONCATENATE(calendar[[#This Row],[Month]],"/",calendar[[#This Row],[Year]])</f>
        <v>11/2019</v>
      </c>
      <c r="G1051">
        <f>WEEKDAY(calendar[[#This Row],[Date]],1)</f>
        <v>7</v>
      </c>
      <c r="H1051" t="str">
        <f>TEXT(calendar[[#This Row],[WeekDay]],"dddd")</f>
        <v>Saturday</v>
      </c>
      <c r="I1051">
        <f>IF((INT(calendar[[#This Row],[Count]]/7)-calendar[[#This Row],[Count]]/7)&lt;0,I1050,I1050+1)</f>
        <v>150</v>
      </c>
      <c r="J1051">
        <f t="shared" si="84"/>
        <v>1049</v>
      </c>
      <c r="K1051">
        <f>IF(calendar[[#This Row],[Month]]&lt;4,1,IF(calendar[[#This Row],[Month]]&lt;7,2,IF(calendar[[#This Row],[Month]]&lt;10,3,4)))</f>
        <v>4</v>
      </c>
      <c r="L1051">
        <f>IFERROR(IF(VLOOKUP(calendar[[#This Row],[Date]],BH!A:A,1,)&lt;&gt;"",1,0),0)</f>
        <v>0</v>
      </c>
      <c r="M1051">
        <f>IFERROR(IF(VLOOKUP(calendar[[#This Row],[Date]],BH!C:C,1,)&lt;&gt;"",1,0),0)</f>
        <v>0</v>
      </c>
      <c r="N1051">
        <f>IFERROR(IF(VLOOKUP(calendar[[#This Row],[Date]],BH!E:E,1,)&lt;&gt;"",1,0),0)</f>
        <v>0</v>
      </c>
      <c r="O1051">
        <f>IFERROR(IF(VLOOKUP(calendar[[#This Row],[Date]],BH!G:G,1,)&lt;&gt;"",1,0),0)</f>
        <v>0</v>
      </c>
      <c r="P1051">
        <f>IF(OR(calendar[[#This Row],[UK_BH]]=1,calendar[[#This Row],[WeekDay]]=1, calendar[[#This Row],[WeekDay]]=7),P1050,P1050+1)</f>
        <v>750</v>
      </c>
      <c r="Q1051">
        <f>IF(OR(calendar[[#This Row],[FR_BH]]=1,calendar[[#This Row],[WeekDay]]=1, calendar[[#This Row],[WeekDay]]=7),P1050,P1050+1)</f>
        <v>750</v>
      </c>
      <c r="R1051">
        <f>IF(OR(calendar[[#This Row],[SP_BH]]=1,calendar[[#This Row],[WeekDay]]=1, calendar[[#This Row],[WeekDay]]=7),P1050,P1050+1)</f>
        <v>750</v>
      </c>
      <c r="S1051">
        <f>IF(OR(calendar[[#This Row],[PT_BH]]=1,calendar[[#This Row],[WeekDay]]=1, calendar[[#This Row],[WeekDay]]=7),P1050,P1050+1)</f>
        <v>750</v>
      </c>
    </row>
    <row r="1052" spans="1:19" x14ac:dyDescent="0.25">
      <c r="A1052" s="2">
        <v>43786</v>
      </c>
      <c r="B1052" s="1">
        <f t="shared" si="83"/>
        <v>47</v>
      </c>
      <c r="C1052">
        <f t="shared" si="85"/>
        <v>11</v>
      </c>
      <c r="D1052" t="str">
        <f t="shared" si="86"/>
        <v>November</v>
      </c>
      <c r="E1052">
        <f t="shared" si="87"/>
        <v>2019</v>
      </c>
      <c r="F1052" t="str">
        <f>CONCATENATE(calendar[[#This Row],[Month]],"/",calendar[[#This Row],[Year]])</f>
        <v>11/2019</v>
      </c>
      <c r="G1052">
        <f>WEEKDAY(calendar[[#This Row],[Date]],1)</f>
        <v>1</v>
      </c>
      <c r="H1052" t="str">
        <f>TEXT(calendar[[#This Row],[WeekDay]],"dddd")</f>
        <v>Sunday</v>
      </c>
      <c r="I1052">
        <f>IF((INT(calendar[[#This Row],[Count]]/7)-calendar[[#This Row],[Count]]/7)&lt;0,I1051,I1051+1)</f>
        <v>151</v>
      </c>
      <c r="J1052">
        <f t="shared" si="84"/>
        <v>1050</v>
      </c>
      <c r="K1052">
        <f>IF(calendar[[#This Row],[Month]]&lt;4,1,IF(calendar[[#This Row],[Month]]&lt;7,2,IF(calendar[[#This Row],[Month]]&lt;10,3,4)))</f>
        <v>4</v>
      </c>
      <c r="L1052">
        <f>IFERROR(IF(VLOOKUP(calendar[[#This Row],[Date]],BH!A:A,1,)&lt;&gt;"",1,0),0)</f>
        <v>0</v>
      </c>
      <c r="M1052">
        <f>IFERROR(IF(VLOOKUP(calendar[[#This Row],[Date]],BH!C:C,1,)&lt;&gt;"",1,0),0)</f>
        <v>0</v>
      </c>
      <c r="N1052">
        <f>IFERROR(IF(VLOOKUP(calendar[[#This Row],[Date]],BH!E:E,1,)&lt;&gt;"",1,0),0)</f>
        <v>0</v>
      </c>
      <c r="O1052">
        <f>IFERROR(IF(VLOOKUP(calendar[[#This Row],[Date]],BH!G:G,1,)&lt;&gt;"",1,0),0)</f>
        <v>0</v>
      </c>
      <c r="P1052">
        <f>IF(OR(calendar[[#This Row],[UK_BH]]=1,calendar[[#This Row],[WeekDay]]=1, calendar[[#This Row],[WeekDay]]=7),P1051,P1051+1)</f>
        <v>750</v>
      </c>
      <c r="Q1052">
        <f>IF(OR(calendar[[#This Row],[FR_BH]]=1,calendar[[#This Row],[WeekDay]]=1, calendar[[#This Row],[WeekDay]]=7),P1051,P1051+1)</f>
        <v>750</v>
      </c>
      <c r="R1052">
        <f>IF(OR(calendar[[#This Row],[SP_BH]]=1,calendar[[#This Row],[WeekDay]]=1, calendar[[#This Row],[WeekDay]]=7),P1051,P1051+1)</f>
        <v>750</v>
      </c>
      <c r="S1052">
        <f>IF(OR(calendar[[#This Row],[PT_BH]]=1,calendar[[#This Row],[WeekDay]]=1, calendar[[#This Row],[WeekDay]]=7),P1051,P1051+1)</f>
        <v>750</v>
      </c>
    </row>
    <row r="1053" spans="1:19" x14ac:dyDescent="0.25">
      <c r="A1053" s="2">
        <v>43787</v>
      </c>
      <c r="B1053" s="1">
        <f t="shared" si="83"/>
        <v>47</v>
      </c>
      <c r="C1053">
        <f t="shared" si="85"/>
        <v>11</v>
      </c>
      <c r="D1053" t="str">
        <f t="shared" si="86"/>
        <v>November</v>
      </c>
      <c r="E1053">
        <f t="shared" si="87"/>
        <v>2019</v>
      </c>
      <c r="F1053" t="str">
        <f>CONCATENATE(calendar[[#This Row],[Month]],"/",calendar[[#This Row],[Year]])</f>
        <v>11/2019</v>
      </c>
      <c r="G1053">
        <f>WEEKDAY(calendar[[#This Row],[Date]],1)</f>
        <v>2</v>
      </c>
      <c r="H1053" t="str">
        <f>TEXT(calendar[[#This Row],[WeekDay]],"dddd")</f>
        <v>Monday</v>
      </c>
      <c r="I1053">
        <f>IF((INT(calendar[[#This Row],[Count]]/7)-calendar[[#This Row],[Count]]/7)&lt;0,I1052,I1052+1)</f>
        <v>151</v>
      </c>
      <c r="J1053">
        <f t="shared" si="84"/>
        <v>1051</v>
      </c>
      <c r="K1053">
        <f>IF(calendar[[#This Row],[Month]]&lt;4,1,IF(calendar[[#This Row],[Month]]&lt;7,2,IF(calendar[[#This Row],[Month]]&lt;10,3,4)))</f>
        <v>4</v>
      </c>
      <c r="L1053">
        <f>IFERROR(IF(VLOOKUP(calendar[[#This Row],[Date]],BH!A:A,1,)&lt;&gt;"",1,0),0)</f>
        <v>0</v>
      </c>
      <c r="M1053">
        <f>IFERROR(IF(VLOOKUP(calendar[[#This Row],[Date]],BH!C:C,1,)&lt;&gt;"",1,0),0)</f>
        <v>0</v>
      </c>
      <c r="N1053">
        <f>IFERROR(IF(VLOOKUP(calendar[[#This Row],[Date]],BH!E:E,1,)&lt;&gt;"",1,0),0)</f>
        <v>0</v>
      </c>
      <c r="O1053">
        <f>IFERROR(IF(VLOOKUP(calendar[[#This Row],[Date]],BH!G:G,1,)&lt;&gt;"",1,0),0)</f>
        <v>0</v>
      </c>
      <c r="P1053">
        <f>IF(OR(calendar[[#This Row],[UK_BH]]=1,calendar[[#This Row],[WeekDay]]=1, calendar[[#This Row],[WeekDay]]=7),P1052,P1052+1)</f>
        <v>751</v>
      </c>
      <c r="Q1053">
        <f>IF(OR(calendar[[#This Row],[FR_BH]]=1,calendar[[#This Row],[WeekDay]]=1, calendar[[#This Row],[WeekDay]]=7),P1052,P1052+1)</f>
        <v>751</v>
      </c>
      <c r="R1053">
        <f>IF(OR(calendar[[#This Row],[SP_BH]]=1,calendar[[#This Row],[WeekDay]]=1, calendar[[#This Row],[WeekDay]]=7),P1052,P1052+1)</f>
        <v>751</v>
      </c>
      <c r="S1053">
        <f>IF(OR(calendar[[#This Row],[PT_BH]]=1,calendar[[#This Row],[WeekDay]]=1, calendar[[#This Row],[WeekDay]]=7),P1052,P1052+1)</f>
        <v>751</v>
      </c>
    </row>
    <row r="1054" spans="1:19" x14ac:dyDescent="0.25">
      <c r="A1054" s="2">
        <v>43788</v>
      </c>
      <c r="B1054" s="1">
        <f t="shared" si="83"/>
        <v>47</v>
      </c>
      <c r="C1054">
        <f t="shared" si="85"/>
        <v>11</v>
      </c>
      <c r="D1054" t="str">
        <f t="shared" si="86"/>
        <v>November</v>
      </c>
      <c r="E1054">
        <f t="shared" si="87"/>
        <v>2019</v>
      </c>
      <c r="F1054" t="str">
        <f>CONCATENATE(calendar[[#This Row],[Month]],"/",calendar[[#This Row],[Year]])</f>
        <v>11/2019</v>
      </c>
      <c r="G1054">
        <f>WEEKDAY(calendar[[#This Row],[Date]],1)</f>
        <v>3</v>
      </c>
      <c r="H1054" t="str">
        <f>TEXT(calendar[[#This Row],[WeekDay]],"dddd")</f>
        <v>Tuesday</v>
      </c>
      <c r="I1054">
        <f>IF((INT(calendar[[#This Row],[Count]]/7)-calendar[[#This Row],[Count]]/7)&lt;0,I1053,I1053+1)</f>
        <v>151</v>
      </c>
      <c r="J1054">
        <f t="shared" si="84"/>
        <v>1052</v>
      </c>
      <c r="K1054">
        <f>IF(calendar[[#This Row],[Month]]&lt;4,1,IF(calendar[[#This Row],[Month]]&lt;7,2,IF(calendar[[#This Row],[Month]]&lt;10,3,4)))</f>
        <v>4</v>
      </c>
      <c r="L1054">
        <f>IFERROR(IF(VLOOKUP(calendar[[#This Row],[Date]],BH!A:A,1,)&lt;&gt;"",1,0),0)</f>
        <v>0</v>
      </c>
      <c r="M1054">
        <f>IFERROR(IF(VLOOKUP(calendar[[#This Row],[Date]],BH!C:C,1,)&lt;&gt;"",1,0),0)</f>
        <v>0</v>
      </c>
      <c r="N1054">
        <f>IFERROR(IF(VLOOKUP(calendar[[#This Row],[Date]],BH!E:E,1,)&lt;&gt;"",1,0),0)</f>
        <v>0</v>
      </c>
      <c r="O1054">
        <f>IFERROR(IF(VLOOKUP(calendar[[#This Row],[Date]],BH!G:G,1,)&lt;&gt;"",1,0),0)</f>
        <v>0</v>
      </c>
      <c r="P1054">
        <f>IF(OR(calendar[[#This Row],[UK_BH]]=1,calendar[[#This Row],[WeekDay]]=1, calendar[[#This Row],[WeekDay]]=7),P1053,P1053+1)</f>
        <v>752</v>
      </c>
      <c r="Q1054">
        <f>IF(OR(calendar[[#This Row],[FR_BH]]=1,calendar[[#This Row],[WeekDay]]=1, calendar[[#This Row],[WeekDay]]=7),P1053,P1053+1)</f>
        <v>752</v>
      </c>
      <c r="R1054">
        <f>IF(OR(calendar[[#This Row],[SP_BH]]=1,calendar[[#This Row],[WeekDay]]=1, calendar[[#This Row],[WeekDay]]=7),P1053,P1053+1)</f>
        <v>752</v>
      </c>
      <c r="S1054">
        <f>IF(OR(calendar[[#This Row],[PT_BH]]=1,calendar[[#This Row],[WeekDay]]=1, calendar[[#This Row],[WeekDay]]=7),P1053,P1053+1)</f>
        <v>752</v>
      </c>
    </row>
    <row r="1055" spans="1:19" x14ac:dyDescent="0.25">
      <c r="A1055" s="2">
        <v>43789</v>
      </c>
      <c r="B1055" s="1">
        <f t="shared" si="83"/>
        <v>47</v>
      </c>
      <c r="C1055">
        <f t="shared" si="85"/>
        <v>11</v>
      </c>
      <c r="D1055" t="str">
        <f t="shared" si="86"/>
        <v>November</v>
      </c>
      <c r="E1055">
        <f t="shared" si="87"/>
        <v>2019</v>
      </c>
      <c r="F1055" t="str">
        <f>CONCATENATE(calendar[[#This Row],[Month]],"/",calendar[[#This Row],[Year]])</f>
        <v>11/2019</v>
      </c>
      <c r="G1055">
        <f>WEEKDAY(calendar[[#This Row],[Date]],1)</f>
        <v>4</v>
      </c>
      <c r="H1055" t="str">
        <f>TEXT(calendar[[#This Row],[WeekDay]],"dddd")</f>
        <v>Wednesday</v>
      </c>
      <c r="I1055">
        <f>IF((INT(calendar[[#This Row],[Count]]/7)-calendar[[#This Row],[Count]]/7)&lt;0,I1054,I1054+1)</f>
        <v>151</v>
      </c>
      <c r="J1055">
        <f t="shared" si="84"/>
        <v>1053</v>
      </c>
      <c r="K1055">
        <f>IF(calendar[[#This Row],[Month]]&lt;4,1,IF(calendar[[#This Row],[Month]]&lt;7,2,IF(calendar[[#This Row],[Month]]&lt;10,3,4)))</f>
        <v>4</v>
      </c>
      <c r="L1055">
        <f>IFERROR(IF(VLOOKUP(calendar[[#This Row],[Date]],BH!A:A,1,)&lt;&gt;"",1,0),0)</f>
        <v>0</v>
      </c>
      <c r="M1055">
        <f>IFERROR(IF(VLOOKUP(calendar[[#This Row],[Date]],BH!C:C,1,)&lt;&gt;"",1,0),0)</f>
        <v>0</v>
      </c>
      <c r="N1055">
        <f>IFERROR(IF(VLOOKUP(calendar[[#This Row],[Date]],BH!E:E,1,)&lt;&gt;"",1,0),0)</f>
        <v>0</v>
      </c>
      <c r="O1055">
        <f>IFERROR(IF(VLOOKUP(calendar[[#This Row],[Date]],BH!G:G,1,)&lt;&gt;"",1,0),0)</f>
        <v>0</v>
      </c>
      <c r="P1055">
        <f>IF(OR(calendar[[#This Row],[UK_BH]]=1,calendar[[#This Row],[WeekDay]]=1, calendar[[#This Row],[WeekDay]]=7),P1054,P1054+1)</f>
        <v>753</v>
      </c>
      <c r="Q1055">
        <f>IF(OR(calendar[[#This Row],[FR_BH]]=1,calendar[[#This Row],[WeekDay]]=1, calendar[[#This Row],[WeekDay]]=7),P1054,P1054+1)</f>
        <v>753</v>
      </c>
      <c r="R1055">
        <f>IF(OR(calendar[[#This Row],[SP_BH]]=1,calendar[[#This Row],[WeekDay]]=1, calendar[[#This Row],[WeekDay]]=7),P1054,P1054+1)</f>
        <v>753</v>
      </c>
      <c r="S1055">
        <f>IF(OR(calendar[[#This Row],[PT_BH]]=1,calendar[[#This Row],[WeekDay]]=1, calendar[[#This Row],[WeekDay]]=7),P1054,P1054+1)</f>
        <v>753</v>
      </c>
    </row>
    <row r="1056" spans="1:19" x14ac:dyDescent="0.25">
      <c r="A1056" s="2">
        <v>43790</v>
      </c>
      <c r="B1056" s="1">
        <f t="shared" si="83"/>
        <v>47</v>
      </c>
      <c r="C1056">
        <f t="shared" si="85"/>
        <v>11</v>
      </c>
      <c r="D1056" t="str">
        <f t="shared" si="86"/>
        <v>November</v>
      </c>
      <c r="E1056">
        <f t="shared" si="87"/>
        <v>2019</v>
      </c>
      <c r="F1056" t="str">
        <f>CONCATENATE(calendar[[#This Row],[Month]],"/",calendar[[#This Row],[Year]])</f>
        <v>11/2019</v>
      </c>
      <c r="G1056">
        <f>WEEKDAY(calendar[[#This Row],[Date]],1)</f>
        <v>5</v>
      </c>
      <c r="H1056" t="str">
        <f>TEXT(calendar[[#This Row],[WeekDay]],"dddd")</f>
        <v>Thursday</v>
      </c>
      <c r="I1056">
        <f>IF((INT(calendar[[#This Row],[Count]]/7)-calendar[[#This Row],[Count]]/7)&lt;0,I1055,I1055+1)</f>
        <v>151</v>
      </c>
      <c r="J1056">
        <f t="shared" si="84"/>
        <v>1054</v>
      </c>
      <c r="K1056">
        <f>IF(calendar[[#This Row],[Month]]&lt;4,1,IF(calendar[[#This Row],[Month]]&lt;7,2,IF(calendar[[#This Row],[Month]]&lt;10,3,4)))</f>
        <v>4</v>
      </c>
      <c r="L1056">
        <f>IFERROR(IF(VLOOKUP(calendar[[#This Row],[Date]],BH!A:A,1,)&lt;&gt;"",1,0),0)</f>
        <v>0</v>
      </c>
      <c r="M1056">
        <f>IFERROR(IF(VLOOKUP(calendar[[#This Row],[Date]],BH!C:C,1,)&lt;&gt;"",1,0),0)</f>
        <v>0</v>
      </c>
      <c r="N1056">
        <f>IFERROR(IF(VLOOKUP(calendar[[#This Row],[Date]],BH!E:E,1,)&lt;&gt;"",1,0),0)</f>
        <v>0</v>
      </c>
      <c r="O1056">
        <f>IFERROR(IF(VLOOKUP(calendar[[#This Row],[Date]],BH!G:G,1,)&lt;&gt;"",1,0),0)</f>
        <v>0</v>
      </c>
      <c r="P1056">
        <f>IF(OR(calendar[[#This Row],[UK_BH]]=1,calendar[[#This Row],[WeekDay]]=1, calendar[[#This Row],[WeekDay]]=7),P1055,P1055+1)</f>
        <v>754</v>
      </c>
      <c r="Q1056">
        <f>IF(OR(calendar[[#This Row],[FR_BH]]=1,calendar[[#This Row],[WeekDay]]=1, calendar[[#This Row],[WeekDay]]=7),P1055,P1055+1)</f>
        <v>754</v>
      </c>
      <c r="R1056">
        <f>IF(OR(calendar[[#This Row],[SP_BH]]=1,calendar[[#This Row],[WeekDay]]=1, calendar[[#This Row],[WeekDay]]=7),P1055,P1055+1)</f>
        <v>754</v>
      </c>
      <c r="S1056">
        <f>IF(OR(calendar[[#This Row],[PT_BH]]=1,calendar[[#This Row],[WeekDay]]=1, calendar[[#This Row],[WeekDay]]=7),P1055,P1055+1)</f>
        <v>754</v>
      </c>
    </row>
    <row r="1057" spans="1:19" x14ac:dyDescent="0.25">
      <c r="A1057" s="2">
        <v>43791</v>
      </c>
      <c r="B1057" s="1">
        <f t="shared" si="83"/>
        <v>47</v>
      </c>
      <c r="C1057">
        <f t="shared" si="85"/>
        <v>11</v>
      </c>
      <c r="D1057" t="str">
        <f t="shared" si="86"/>
        <v>November</v>
      </c>
      <c r="E1057">
        <f t="shared" si="87"/>
        <v>2019</v>
      </c>
      <c r="F1057" t="str">
        <f>CONCATENATE(calendar[[#This Row],[Month]],"/",calendar[[#This Row],[Year]])</f>
        <v>11/2019</v>
      </c>
      <c r="G1057">
        <f>WEEKDAY(calendar[[#This Row],[Date]],1)</f>
        <v>6</v>
      </c>
      <c r="H1057" t="str">
        <f>TEXT(calendar[[#This Row],[WeekDay]],"dddd")</f>
        <v>Friday</v>
      </c>
      <c r="I1057">
        <f>IF((INT(calendar[[#This Row],[Count]]/7)-calendar[[#This Row],[Count]]/7)&lt;0,I1056,I1056+1)</f>
        <v>151</v>
      </c>
      <c r="J1057">
        <f t="shared" si="84"/>
        <v>1055</v>
      </c>
      <c r="K1057">
        <f>IF(calendar[[#This Row],[Month]]&lt;4,1,IF(calendar[[#This Row],[Month]]&lt;7,2,IF(calendar[[#This Row],[Month]]&lt;10,3,4)))</f>
        <v>4</v>
      </c>
      <c r="L1057">
        <f>IFERROR(IF(VLOOKUP(calendar[[#This Row],[Date]],BH!A:A,1,)&lt;&gt;"",1,0),0)</f>
        <v>0</v>
      </c>
      <c r="M1057">
        <f>IFERROR(IF(VLOOKUP(calendar[[#This Row],[Date]],BH!C:C,1,)&lt;&gt;"",1,0),0)</f>
        <v>0</v>
      </c>
      <c r="N1057">
        <f>IFERROR(IF(VLOOKUP(calendar[[#This Row],[Date]],BH!E:E,1,)&lt;&gt;"",1,0),0)</f>
        <v>0</v>
      </c>
      <c r="O1057">
        <f>IFERROR(IF(VLOOKUP(calendar[[#This Row],[Date]],BH!G:G,1,)&lt;&gt;"",1,0),0)</f>
        <v>0</v>
      </c>
      <c r="P1057">
        <f>IF(OR(calendar[[#This Row],[UK_BH]]=1,calendar[[#This Row],[WeekDay]]=1, calendar[[#This Row],[WeekDay]]=7),P1056,P1056+1)</f>
        <v>755</v>
      </c>
      <c r="Q1057">
        <f>IF(OR(calendar[[#This Row],[FR_BH]]=1,calendar[[#This Row],[WeekDay]]=1, calendar[[#This Row],[WeekDay]]=7),P1056,P1056+1)</f>
        <v>755</v>
      </c>
      <c r="R1057">
        <f>IF(OR(calendar[[#This Row],[SP_BH]]=1,calendar[[#This Row],[WeekDay]]=1, calendar[[#This Row],[WeekDay]]=7),P1056,P1056+1)</f>
        <v>755</v>
      </c>
      <c r="S1057">
        <f>IF(OR(calendar[[#This Row],[PT_BH]]=1,calendar[[#This Row],[WeekDay]]=1, calendar[[#This Row],[WeekDay]]=7),P1056,P1056+1)</f>
        <v>755</v>
      </c>
    </row>
    <row r="1058" spans="1:19" x14ac:dyDescent="0.25">
      <c r="A1058" s="2">
        <v>43792</v>
      </c>
      <c r="B1058" s="1">
        <f t="shared" si="83"/>
        <v>47</v>
      </c>
      <c r="C1058">
        <f t="shared" si="85"/>
        <v>11</v>
      </c>
      <c r="D1058" t="str">
        <f t="shared" si="86"/>
        <v>November</v>
      </c>
      <c r="E1058">
        <f t="shared" si="87"/>
        <v>2019</v>
      </c>
      <c r="F1058" t="str">
        <f>CONCATENATE(calendar[[#This Row],[Month]],"/",calendar[[#This Row],[Year]])</f>
        <v>11/2019</v>
      </c>
      <c r="G1058">
        <f>WEEKDAY(calendar[[#This Row],[Date]],1)</f>
        <v>7</v>
      </c>
      <c r="H1058" t="str">
        <f>TEXT(calendar[[#This Row],[WeekDay]],"dddd")</f>
        <v>Saturday</v>
      </c>
      <c r="I1058">
        <f>IF((INT(calendar[[#This Row],[Count]]/7)-calendar[[#This Row],[Count]]/7)&lt;0,I1057,I1057+1)</f>
        <v>151</v>
      </c>
      <c r="J1058">
        <f t="shared" si="84"/>
        <v>1056</v>
      </c>
      <c r="K1058">
        <f>IF(calendar[[#This Row],[Month]]&lt;4,1,IF(calendar[[#This Row],[Month]]&lt;7,2,IF(calendar[[#This Row],[Month]]&lt;10,3,4)))</f>
        <v>4</v>
      </c>
      <c r="L1058">
        <f>IFERROR(IF(VLOOKUP(calendar[[#This Row],[Date]],BH!A:A,1,)&lt;&gt;"",1,0),0)</f>
        <v>0</v>
      </c>
      <c r="M1058">
        <f>IFERROR(IF(VLOOKUP(calendar[[#This Row],[Date]],BH!C:C,1,)&lt;&gt;"",1,0),0)</f>
        <v>0</v>
      </c>
      <c r="N1058">
        <f>IFERROR(IF(VLOOKUP(calendar[[#This Row],[Date]],BH!E:E,1,)&lt;&gt;"",1,0),0)</f>
        <v>0</v>
      </c>
      <c r="O1058">
        <f>IFERROR(IF(VLOOKUP(calendar[[#This Row],[Date]],BH!G:G,1,)&lt;&gt;"",1,0),0)</f>
        <v>0</v>
      </c>
      <c r="P1058">
        <f>IF(OR(calendar[[#This Row],[UK_BH]]=1,calendar[[#This Row],[WeekDay]]=1, calendar[[#This Row],[WeekDay]]=7),P1057,P1057+1)</f>
        <v>755</v>
      </c>
      <c r="Q1058">
        <f>IF(OR(calendar[[#This Row],[FR_BH]]=1,calendar[[#This Row],[WeekDay]]=1, calendar[[#This Row],[WeekDay]]=7),P1057,P1057+1)</f>
        <v>755</v>
      </c>
      <c r="R1058">
        <f>IF(OR(calendar[[#This Row],[SP_BH]]=1,calendar[[#This Row],[WeekDay]]=1, calendar[[#This Row],[WeekDay]]=7),P1057,P1057+1)</f>
        <v>755</v>
      </c>
      <c r="S1058">
        <f>IF(OR(calendar[[#This Row],[PT_BH]]=1,calendar[[#This Row],[WeekDay]]=1, calendar[[#This Row],[WeekDay]]=7),P1057,P1057+1)</f>
        <v>755</v>
      </c>
    </row>
    <row r="1059" spans="1:19" x14ac:dyDescent="0.25">
      <c r="A1059" s="2">
        <v>43793</v>
      </c>
      <c r="B1059" s="1">
        <f t="shared" si="83"/>
        <v>48</v>
      </c>
      <c r="C1059">
        <f t="shared" si="85"/>
        <v>11</v>
      </c>
      <c r="D1059" t="str">
        <f t="shared" si="86"/>
        <v>November</v>
      </c>
      <c r="E1059">
        <f t="shared" si="87"/>
        <v>2019</v>
      </c>
      <c r="F1059" t="str">
        <f>CONCATENATE(calendar[[#This Row],[Month]],"/",calendar[[#This Row],[Year]])</f>
        <v>11/2019</v>
      </c>
      <c r="G1059">
        <f>WEEKDAY(calendar[[#This Row],[Date]],1)</f>
        <v>1</v>
      </c>
      <c r="H1059" t="str">
        <f>TEXT(calendar[[#This Row],[WeekDay]],"dddd")</f>
        <v>Sunday</v>
      </c>
      <c r="I1059">
        <f>IF((INT(calendar[[#This Row],[Count]]/7)-calendar[[#This Row],[Count]]/7)&lt;0,I1058,I1058+1)</f>
        <v>152</v>
      </c>
      <c r="J1059">
        <f t="shared" si="84"/>
        <v>1057</v>
      </c>
      <c r="K1059">
        <f>IF(calendar[[#This Row],[Month]]&lt;4,1,IF(calendar[[#This Row],[Month]]&lt;7,2,IF(calendar[[#This Row],[Month]]&lt;10,3,4)))</f>
        <v>4</v>
      </c>
      <c r="L1059">
        <f>IFERROR(IF(VLOOKUP(calendar[[#This Row],[Date]],BH!A:A,1,)&lt;&gt;"",1,0),0)</f>
        <v>0</v>
      </c>
      <c r="M1059">
        <f>IFERROR(IF(VLOOKUP(calendar[[#This Row],[Date]],BH!C:C,1,)&lt;&gt;"",1,0),0)</f>
        <v>0</v>
      </c>
      <c r="N1059">
        <f>IFERROR(IF(VLOOKUP(calendar[[#This Row],[Date]],BH!E:E,1,)&lt;&gt;"",1,0),0)</f>
        <v>0</v>
      </c>
      <c r="O1059">
        <f>IFERROR(IF(VLOOKUP(calendar[[#This Row],[Date]],BH!G:G,1,)&lt;&gt;"",1,0),0)</f>
        <v>0</v>
      </c>
      <c r="P1059">
        <f>IF(OR(calendar[[#This Row],[UK_BH]]=1,calendar[[#This Row],[WeekDay]]=1, calendar[[#This Row],[WeekDay]]=7),P1058,P1058+1)</f>
        <v>755</v>
      </c>
      <c r="Q1059">
        <f>IF(OR(calendar[[#This Row],[FR_BH]]=1,calendar[[#This Row],[WeekDay]]=1, calendar[[#This Row],[WeekDay]]=7),P1058,P1058+1)</f>
        <v>755</v>
      </c>
      <c r="R1059">
        <f>IF(OR(calendar[[#This Row],[SP_BH]]=1,calendar[[#This Row],[WeekDay]]=1, calendar[[#This Row],[WeekDay]]=7),P1058,P1058+1)</f>
        <v>755</v>
      </c>
      <c r="S1059">
        <f>IF(OR(calendar[[#This Row],[PT_BH]]=1,calendar[[#This Row],[WeekDay]]=1, calendar[[#This Row],[WeekDay]]=7),P1058,P1058+1)</f>
        <v>755</v>
      </c>
    </row>
    <row r="1060" spans="1:19" x14ac:dyDescent="0.25">
      <c r="A1060" s="2">
        <v>43794</v>
      </c>
      <c r="B1060" s="1">
        <f t="shared" si="83"/>
        <v>48</v>
      </c>
      <c r="C1060">
        <f t="shared" si="85"/>
        <v>11</v>
      </c>
      <c r="D1060" t="str">
        <f t="shared" si="86"/>
        <v>November</v>
      </c>
      <c r="E1060">
        <f t="shared" si="87"/>
        <v>2019</v>
      </c>
      <c r="F1060" t="str">
        <f>CONCATENATE(calendar[[#This Row],[Month]],"/",calendar[[#This Row],[Year]])</f>
        <v>11/2019</v>
      </c>
      <c r="G1060">
        <f>WEEKDAY(calendar[[#This Row],[Date]],1)</f>
        <v>2</v>
      </c>
      <c r="H1060" t="str">
        <f>TEXT(calendar[[#This Row],[WeekDay]],"dddd")</f>
        <v>Monday</v>
      </c>
      <c r="I1060">
        <f>IF((INT(calendar[[#This Row],[Count]]/7)-calendar[[#This Row],[Count]]/7)&lt;0,I1059,I1059+1)</f>
        <v>152</v>
      </c>
      <c r="J1060">
        <f t="shared" si="84"/>
        <v>1058</v>
      </c>
      <c r="K1060">
        <f>IF(calendar[[#This Row],[Month]]&lt;4,1,IF(calendar[[#This Row],[Month]]&lt;7,2,IF(calendar[[#This Row],[Month]]&lt;10,3,4)))</f>
        <v>4</v>
      </c>
      <c r="L1060">
        <f>IFERROR(IF(VLOOKUP(calendar[[#This Row],[Date]],BH!A:A,1,)&lt;&gt;"",1,0),0)</f>
        <v>0</v>
      </c>
      <c r="M1060">
        <f>IFERROR(IF(VLOOKUP(calendar[[#This Row],[Date]],BH!C:C,1,)&lt;&gt;"",1,0),0)</f>
        <v>0</v>
      </c>
      <c r="N1060">
        <f>IFERROR(IF(VLOOKUP(calendar[[#This Row],[Date]],BH!E:E,1,)&lt;&gt;"",1,0),0)</f>
        <v>0</v>
      </c>
      <c r="O1060">
        <f>IFERROR(IF(VLOOKUP(calendar[[#This Row],[Date]],BH!G:G,1,)&lt;&gt;"",1,0),0)</f>
        <v>0</v>
      </c>
      <c r="P1060">
        <f>IF(OR(calendar[[#This Row],[UK_BH]]=1,calendar[[#This Row],[WeekDay]]=1, calendar[[#This Row],[WeekDay]]=7),P1059,P1059+1)</f>
        <v>756</v>
      </c>
      <c r="Q1060">
        <f>IF(OR(calendar[[#This Row],[FR_BH]]=1,calendar[[#This Row],[WeekDay]]=1, calendar[[#This Row],[WeekDay]]=7),P1059,P1059+1)</f>
        <v>756</v>
      </c>
      <c r="R1060">
        <f>IF(OR(calendar[[#This Row],[SP_BH]]=1,calendar[[#This Row],[WeekDay]]=1, calendar[[#This Row],[WeekDay]]=7),P1059,P1059+1)</f>
        <v>756</v>
      </c>
      <c r="S1060">
        <f>IF(OR(calendar[[#This Row],[PT_BH]]=1,calendar[[#This Row],[WeekDay]]=1, calendar[[#This Row],[WeekDay]]=7),P1059,P1059+1)</f>
        <v>756</v>
      </c>
    </row>
    <row r="1061" spans="1:19" x14ac:dyDescent="0.25">
      <c r="A1061" s="2">
        <v>43795</v>
      </c>
      <c r="B1061" s="1">
        <f t="shared" si="83"/>
        <v>48</v>
      </c>
      <c r="C1061">
        <f t="shared" si="85"/>
        <v>11</v>
      </c>
      <c r="D1061" t="str">
        <f t="shared" si="86"/>
        <v>November</v>
      </c>
      <c r="E1061">
        <f t="shared" si="87"/>
        <v>2019</v>
      </c>
      <c r="F1061" t="str">
        <f>CONCATENATE(calendar[[#This Row],[Month]],"/",calendar[[#This Row],[Year]])</f>
        <v>11/2019</v>
      </c>
      <c r="G1061">
        <f>WEEKDAY(calendar[[#This Row],[Date]],1)</f>
        <v>3</v>
      </c>
      <c r="H1061" t="str">
        <f>TEXT(calendar[[#This Row],[WeekDay]],"dddd")</f>
        <v>Tuesday</v>
      </c>
      <c r="I1061">
        <f>IF((INT(calendar[[#This Row],[Count]]/7)-calendar[[#This Row],[Count]]/7)&lt;0,I1060,I1060+1)</f>
        <v>152</v>
      </c>
      <c r="J1061">
        <f t="shared" si="84"/>
        <v>1059</v>
      </c>
      <c r="K1061">
        <f>IF(calendar[[#This Row],[Month]]&lt;4,1,IF(calendar[[#This Row],[Month]]&lt;7,2,IF(calendar[[#This Row],[Month]]&lt;10,3,4)))</f>
        <v>4</v>
      </c>
      <c r="L1061">
        <f>IFERROR(IF(VLOOKUP(calendar[[#This Row],[Date]],BH!A:A,1,)&lt;&gt;"",1,0),0)</f>
        <v>0</v>
      </c>
      <c r="M1061">
        <f>IFERROR(IF(VLOOKUP(calendar[[#This Row],[Date]],BH!C:C,1,)&lt;&gt;"",1,0),0)</f>
        <v>0</v>
      </c>
      <c r="N1061">
        <f>IFERROR(IF(VLOOKUP(calendar[[#This Row],[Date]],BH!E:E,1,)&lt;&gt;"",1,0),0)</f>
        <v>0</v>
      </c>
      <c r="O1061">
        <f>IFERROR(IF(VLOOKUP(calendar[[#This Row],[Date]],BH!G:G,1,)&lt;&gt;"",1,0),0)</f>
        <v>0</v>
      </c>
      <c r="P1061">
        <f>IF(OR(calendar[[#This Row],[UK_BH]]=1,calendar[[#This Row],[WeekDay]]=1, calendar[[#This Row],[WeekDay]]=7),P1060,P1060+1)</f>
        <v>757</v>
      </c>
      <c r="Q1061">
        <f>IF(OR(calendar[[#This Row],[FR_BH]]=1,calendar[[#This Row],[WeekDay]]=1, calendar[[#This Row],[WeekDay]]=7),P1060,P1060+1)</f>
        <v>757</v>
      </c>
      <c r="R1061">
        <f>IF(OR(calendar[[#This Row],[SP_BH]]=1,calendar[[#This Row],[WeekDay]]=1, calendar[[#This Row],[WeekDay]]=7),P1060,P1060+1)</f>
        <v>757</v>
      </c>
      <c r="S1061">
        <f>IF(OR(calendar[[#This Row],[PT_BH]]=1,calendar[[#This Row],[WeekDay]]=1, calendar[[#This Row],[WeekDay]]=7),P1060,P1060+1)</f>
        <v>757</v>
      </c>
    </row>
    <row r="1062" spans="1:19" x14ac:dyDescent="0.25">
      <c r="A1062" s="2">
        <v>43796</v>
      </c>
      <c r="B1062" s="1">
        <f t="shared" si="83"/>
        <v>48</v>
      </c>
      <c r="C1062">
        <f t="shared" si="85"/>
        <v>11</v>
      </c>
      <c r="D1062" t="str">
        <f t="shared" si="86"/>
        <v>November</v>
      </c>
      <c r="E1062">
        <f t="shared" si="87"/>
        <v>2019</v>
      </c>
      <c r="F1062" t="str">
        <f>CONCATENATE(calendar[[#This Row],[Month]],"/",calendar[[#This Row],[Year]])</f>
        <v>11/2019</v>
      </c>
      <c r="G1062">
        <f>WEEKDAY(calendar[[#This Row],[Date]],1)</f>
        <v>4</v>
      </c>
      <c r="H1062" t="str">
        <f>TEXT(calendar[[#This Row],[WeekDay]],"dddd")</f>
        <v>Wednesday</v>
      </c>
      <c r="I1062">
        <f>IF((INT(calendar[[#This Row],[Count]]/7)-calendar[[#This Row],[Count]]/7)&lt;0,I1061,I1061+1)</f>
        <v>152</v>
      </c>
      <c r="J1062">
        <f t="shared" si="84"/>
        <v>1060</v>
      </c>
      <c r="K1062">
        <f>IF(calendar[[#This Row],[Month]]&lt;4,1,IF(calendar[[#This Row],[Month]]&lt;7,2,IF(calendar[[#This Row],[Month]]&lt;10,3,4)))</f>
        <v>4</v>
      </c>
      <c r="L1062">
        <f>IFERROR(IF(VLOOKUP(calendar[[#This Row],[Date]],BH!A:A,1,)&lt;&gt;"",1,0),0)</f>
        <v>0</v>
      </c>
      <c r="M1062">
        <f>IFERROR(IF(VLOOKUP(calendar[[#This Row],[Date]],BH!C:C,1,)&lt;&gt;"",1,0),0)</f>
        <v>0</v>
      </c>
      <c r="N1062">
        <f>IFERROR(IF(VLOOKUP(calendar[[#This Row],[Date]],BH!E:E,1,)&lt;&gt;"",1,0),0)</f>
        <v>0</v>
      </c>
      <c r="O1062">
        <f>IFERROR(IF(VLOOKUP(calendar[[#This Row],[Date]],BH!G:G,1,)&lt;&gt;"",1,0),0)</f>
        <v>0</v>
      </c>
      <c r="P1062">
        <f>IF(OR(calendar[[#This Row],[UK_BH]]=1,calendar[[#This Row],[WeekDay]]=1, calendar[[#This Row],[WeekDay]]=7),P1061,P1061+1)</f>
        <v>758</v>
      </c>
      <c r="Q1062">
        <f>IF(OR(calendar[[#This Row],[FR_BH]]=1,calendar[[#This Row],[WeekDay]]=1, calendar[[#This Row],[WeekDay]]=7),P1061,P1061+1)</f>
        <v>758</v>
      </c>
      <c r="R1062">
        <f>IF(OR(calendar[[#This Row],[SP_BH]]=1,calendar[[#This Row],[WeekDay]]=1, calendar[[#This Row],[WeekDay]]=7),P1061,P1061+1)</f>
        <v>758</v>
      </c>
      <c r="S1062">
        <f>IF(OR(calendar[[#This Row],[PT_BH]]=1,calendar[[#This Row],[WeekDay]]=1, calendar[[#This Row],[WeekDay]]=7),P1061,P1061+1)</f>
        <v>758</v>
      </c>
    </row>
    <row r="1063" spans="1:19" x14ac:dyDescent="0.25">
      <c r="A1063" s="2">
        <v>43797</v>
      </c>
      <c r="B1063" s="1">
        <f t="shared" si="83"/>
        <v>48</v>
      </c>
      <c r="C1063">
        <f t="shared" si="85"/>
        <v>11</v>
      </c>
      <c r="D1063" t="str">
        <f t="shared" si="86"/>
        <v>November</v>
      </c>
      <c r="E1063">
        <f t="shared" si="87"/>
        <v>2019</v>
      </c>
      <c r="F1063" t="str">
        <f>CONCATENATE(calendar[[#This Row],[Month]],"/",calendar[[#This Row],[Year]])</f>
        <v>11/2019</v>
      </c>
      <c r="G1063">
        <f>WEEKDAY(calendar[[#This Row],[Date]],1)</f>
        <v>5</v>
      </c>
      <c r="H1063" t="str">
        <f>TEXT(calendar[[#This Row],[WeekDay]],"dddd")</f>
        <v>Thursday</v>
      </c>
      <c r="I1063">
        <f>IF((INT(calendar[[#This Row],[Count]]/7)-calendar[[#This Row],[Count]]/7)&lt;0,I1062,I1062+1)</f>
        <v>152</v>
      </c>
      <c r="J1063">
        <f t="shared" si="84"/>
        <v>1061</v>
      </c>
      <c r="K1063">
        <f>IF(calendar[[#This Row],[Month]]&lt;4,1,IF(calendar[[#This Row],[Month]]&lt;7,2,IF(calendar[[#This Row],[Month]]&lt;10,3,4)))</f>
        <v>4</v>
      </c>
      <c r="L1063">
        <f>IFERROR(IF(VLOOKUP(calendar[[#This Row],[Date]],BH!A:A,1,)&lt;&gt;"",1,0),0)</f>
        <v>0</v>
      </c>
      <c r="M1063">
        <f>IFERROR(IF(VLOOKUP(calendar[[#This Row],[Date]],BH!C:C,1,)&lt;&gt;"",1,0),0)</f>
        <v>0</v>
      </c>
      <c r="N1063">
        <f>IFERROR(IF(VLOOKUP(calendar[[#This Row],[Date]],BH!E:E,1,)&lt;&gt;"",1,0),0)</f>
        <v>0</v>
      </c>
      <c r="O1063">
        <f>IFERROR(IF(VLOOKUP(calendar[[#This Row],[Date]],BH!G:G,1,)&lt;&gt;"",1,0),0)</f>
        <v>0</v>
      </c>
      <c r="P1063">
        <f>IF(OR(calendar[[#This Row],[UK_BH]]=1,calendar[[#This Row],[WeekDay]]=1, calendar[[#This Row],[WeekDay]]=7),P1062,P1062+1)</f>
        <v>759</v>
      </c>
      <c r="Q1063">
        <f>IF(OR(calendar[[#This Row],[FR_BH]]=1,calendar[[#This Row],[WeekDay]]=1, calendar[[#This Row],[WeekDay]]=7),P1062,P1062+1)</f>
        <v>759</v>
      </c>
      <c r="R1063">
        <f>IF(OR(calendar[[#This Row],[SP_BH]]=1,calendar[[#This Row],[WeekDay]]=1, calendar[[#This Row],[WeekDay]]=7),P1062,P1062+1)</f>
        <v>759</v>
      </c>
      <c r="S1063">
        <f>IF(OR(calendar[[#This Row],[PT_BH]]=1,calendar[[#This Row],[WeekDay]]=1, calendar[[#This Row],[WeekDay]]=7),P1062,P1062+1)</f>
        <v>759</v>
      </c>
    </row>
    <row r="1064" spans="1:19" x14ac:dyDescent="0.25">
      <c r="A1064" s="2">
        <v>43798</v>
      </c>
      <c r="B1064" s="1">
        <f t="shared" si="83"/>
        <v>48</v>
      </c>
      <c r="C1064">
        <f t="shared" si="85"/>
        <v>11</v>
      </c>
      <c r="D1064" t="str">
        <f t="shared" si="86"/>
        <v>November</v>
      </c>
      <c r="E1064">
        <f t="shared" si="87"/>
        <v>2019</v>
      </c>
      <c r="F1064" t="str">
        <f>CONCATENATE(calendar[[#This Row],[Month]],"/",calendar[[#This Row],[Year]])</f>
        <v>11/2019</v>
      </c>
      <c r="G1064">
        <f>WEEKDAY(calendar[[#This Row],[Date]],1)</f>
        <v>6</v>
      </c>
      <c r="H1064" t="str">
        <f>TEXT(calendar[[#This Row],[WeekDay]],"dddd")</f>
        <v>Friday</v>
      </c>
      <c r="I1064">
        <f>IF((INT(calendar[[#This Row],[Count]]/7)-calendar[[#This Row],[Count]]/7)&lt;0,I1063,I1063+1)</f>
        <v>152</v>
      </c>
      <c r="J1064">
        <f t="shared" si="84"/>
        <v>1062</v>
      </c>
      <c r="K1064">
        <f>IF(calendar[[#This Row],[Month]]&lt;4,1,IF(calendar[[#This Row],[Month]]&lt;7,2,IF(calendar[[#This Row],[Month]]&lt;10,3,4)))</f>
        <v>4</v>
      </c>
      <c r="L1064">
        <f>IFERROR(IF(VLOOKUP(calendar[[#This Row],[Date]],BH!A:A,1,)&lt;&gt;"",1,0),0)</f>
        <v>0</v>
      </c>
      <c r="M1064">
        <f>IFERROR(IF(VLOOKUP(calendar[[#This Row],[Date]],BH!C:C,1,)&lt;&gt;"",1,0),0)</f>
        <v>0</v>
      </c>
      <c r="N1064">
        <f>IFERROR(IF(VLOOKUP(calendar[[#This Row],[Date]],BH!E:E,1,)&lt;&gt;"",1,0),0)</f>
        <v>0</v>
      </c>
      <c r="O1064">
        <f>IFERROR(IF(VLOOKUP(calendar[[#This Row],[Date]],BH!G:G,1,)&lt;&gt;"",1,0),0)</f>
        <v>0</v>
      </c>
      <c r="P1064">
        <f>IF(OR(calendar[[#This Row],[UK_BH]]=1,calendar[[#This Row],[WeekDay]]=1, calendar[[#This Row],[WeekDay]]=7),P1063,P1063+1)</f>
        <v>760</v>
      </c>
      <c r="Q1064">
        <f>IF(OR(calendar[[#This Row],[FR_BH]]=1,calendar[[#This Row],[WeekDay]]=1, calendar[[#This Row],[WeekDay]]=7),P1063,P1063+1)</f>
        <v>760</v>
      </c>
      <c r="R1064">
        <f>IF(OR(calendar[[#This Row],[SP_BH]]=1,calendar[[#This Row],[WeekDay]]=1, calendar[[#This Row],[WeekDay]]=7),P1063,P1063+1)</f>
        <v>760</v>
      </c>
      <c r="S1064">
        <f>IF(OR(calendar[[#This Row],[PT_BH]]=1,calendar[[#This Row],[WeekDay]]=1, calendar[[#This Row],[WeekDay]]=7),P1063,P1063+1)</f>
        <v>760</v>
      </c>
    </row>
    <row r="1065" spans="1:19" x14ac:dyDescent="0.25">
      <c r="A1065" s="2">
        <v>43799</v>
      </c>
      <c r="B1065" s="1">
        <f t="shared" si="83"/>
        <v>48</v>
      </c>
      <c r="C1065">
        <f t="shared" si="85"/>
        <v>11</v>
      </c>
      <c r="D1065" t="str">
        <f t="shared" si="86"/>
        <v>November</v>
      </c>
      <c r="E1065">
        <f t="shared" si="87"/>
        <v>2019</v>
      </c>
      <c r="F1065" t="str">
        <f>CONCATENATE(calendar[[#This Row],[Month]],"/",calendar[[#This Row],[Year]])</f>
        <v>11/2019</v>
      </c>
      <c r="G1065">
        <f>WEEKDAY(calendar[[#This Row],[Date]],1)</f>
        <v>7</v>
      </c>
      <c r="H1065" t="str">
        <f>TEXT(calendar[[#This Row],[WeekDay]],"dddd")</f>
        <v>Saturday</v>
      </c>
      <c r="I1065">
        <f>IF((INT(calendar[[#This Row],[Count]]/7)-calendar[[#This Row],[Count]]/7)&lt;0,I1064,I1064+1)</f>
        <v>152</v>
      </c>
      <c r="J1065">
        <f t="shared" si="84"/>
        <v>1063</v>
      </c>
      <c r="K1065">
        <f>IF(calendar[[#This Row],[Month]]&lt;4,1,IF(calendar[[#This Row],[Month]]&lt;7,2,IF(calendar[[#This Row],[Month]]&lt;10,3,4)))</f>
        <v>4</v>
      </c>
      <c r="L1065">
        <f>IFERROR(IF(VLOOKUP(calendar[[#This Row],[Date]],BH!A:A,1,)&lt;&gt;"",1,0),0)</f>
        <v>0</v>
      </c>
      <c r="M1065">
        <f>IFERROR(IF(VLOOKUP(calendar[[#This Row],[Date]],BH!C:C,1,)&lt;&gt;"",1,0),0)</f>
        <v>0</v>
      </c>
      <c r="N1065">
        <f>IFERROR(IF(VLOOKUP(calendar[[#This Row],[Date]],BH!E:E,1,)&lt;&gt;"",1,0),0)</f>
        <v>0</v>
      </c>
      <c r="O1065">
        <f>IFERROR(IF(VLOOKUP(calendar[[#This Row],[Date]],BH!G:G,1,)&lt;&gt;"",1,0),0)</f>
        <v>0</v>
      </c>
      <c r="P1065">
        <f>IF(OR(calendar[[#This Row],[UK_BH]]=1,calendar[[#This Row],[WeekDay]]=1, calendar[[#This Row],[WeekDay]]=7),P1064,P1064+1)</f>
        <v>760</v>
      </c>
      <c r="Q1065">
        <f>IF(OR(calendar[[#This Row],[FR_BH]]=1,calendar[[#This Row],[WeekDay]]=1, calendar[[#This Row],[WeekDay]]=7),P1064,P1064+1)</f>
        <v>760</v>
      </c>
      <c r="R1065">
        <f>IF(OR(calendar[[#This Row],[SP_BH]]=1,calendar[[#This Row],[WeekDay]]=1, calendar[[#This Row],[WeekDay]]=7),P1064,P1064+1)</f>
        <v>760</v>
      </c>
      <c r="S1065">
        <f>IF(OR(calendar[[#This Row],[PT_BH]]=1,calendar[[#This Row],[WeekDay]]=1, calendar[[#This Row],[WeekDay]]=7),P1064,P1064+1)</f>
        <v>760</v>
      </c>
    </row>
    <row r="1066" spans="1:19" x14ac:dyDescent="0.25">
      <c r="A1066" s="2">
        <v>43800</v>
      </c>
      <c r="B1066" s="1">
        <f t="shared" si="83"/>
        <v>49</v>
      </c>
      <c r="C1066">
        <f t="shared" si="85"/>
        <v>12</v>
      </c>
      <c r="D1066" t="str">
        <f t="shared" si="86"/>
        <v>December</v>
      </c>
      <c r="E1066">
        <f t="shared" si="87"/>
        <v>2019</v>
      </c>
      <c r="F1066" t="str">
        <f>CONCATENATE(calendar[[#This Row],[Month]],"/",calendar[[#This Row],[Year]])</f>
        <v>12/2019</v>
      </c>
      <c r="G1066">
        <f>WEEKDAY(calendar[[#This Row],[Date]],1)</f>
        <v>1</v>
      </c>
      <c r="H1066" t="str">
        <f>TEXT(calendar[[#This Row],[WeekDay]],"dddd")</f>
        <v>Sunday</v>
      </c>
      <c r="I1066">
        <f>IF((INT(calendar[[#This Row],[Count]]/7)-calendar[[#This Row],[Count]]/7)&lt;0,I1065,I1065+1)</f>
        <v>153</v>
      </c>
      <c r="J1066">
        <f t="shared" si="84"/>
        <v>1064</v>
      </c>
      <c r="K1066">
        <f>IF(calendar[[#This Row],[Month]]&lt;4,1,IF(calendar[[#This Row],[Month]]&lt;7,2,IF(calendar[[#This Row],[Month]]&lt;10,3,4)))</f>
        <v>4</v>
      </c>
      <c r="L1066">
        <f>IFERROR(IF(VLOOKUP(calendar[[#This Row],[Date]],BH!A:A,1,)&lt;&gt;"",1,0),0)</f>
        <v>0</v>
      </c>
      <c r="M1066">
        <f>IFERROR(IF(VLOOKUP(calendar[[#This Row],[Date]],BH!C:C,1,)&lt;&gt;"",1,0),0)</f>
        <v>0</v>
      </c>
      <c r="N1066">
        <f>IFERROR(IF(VLOOKUP(calendar[[#This Row],[Date]],BH!E:E,1,)&lt;&gt;"",1,0),0)</f>
        <v>0</v>
      </c>
      <c r="O1066">
        <f>IFERROR(IF(VLOOKUP(calendar[[#This Row],[Date]],BH!G:G,1,)&lt;&gt;"",1,0),0)</f>
        <v>0</v>
      </c>
      <c r="P1066">
        <f>IF(OR(calendar[[#This Row],[UK_BH]]=1,calendar[[#This Row],[WeekDay]]=1, calendar[[#This Row],[WeekDay]]=7),P1065,P1065+1)</f>
        <v>760</v>
      </c>
      <c r="Q1066">
        <f>IF(OR(calendar[[#This Row],[FR_BH]]=1,calendar[[#This Row],[WeekDay]]=1, calendar[[#This Row],[WeekDay]]=7),P1065,P1065+1)</f>
        <v>760</v>
      </c>
      <c r="R1066">
        <f>IF(OR(calendar[[#This Row],[SP_BH]]=1,calendar[[#This Row],[WeekDay]]=1, calendar[[#This Row],[WeekDay]]=7),P1065,P1065+1)</f>
        <v>760</v>
      </c>
      <c r="S1066">
        <f>IF(OR(calendar[[#This Row],[PT_BH]]=1,calendar[[#This Row],[WeekDay]]=1, calendar[[#This Row],[WeekDay]]=7),P1065,P1065+1)</f>
        <v>760</v>
      </c>
    </row>
    <row r="1067" spans="1:19" x14ac:dyDescent="0.25">
      <c r="A1067" s="2">
        <v>43801</v>
      </c>
      <c r="B1067" s="1">
        <f t="shared" si="83"/>
        <v>49</v>
      </c>
      <c r="C1067">
        <f t="shared" si="85"/>
        <v>12</v>
      </c>
      <c r="D1067" t="str">
        <f t="shared" si="86"/>
        <v>December</v>
      </c>
      <c r="E1067">
        <f t="shared" si="87"/>
        <v>2019</v>
      </c>
      <c r="F1067" t="str">
        <f>CONCATENATE(calendar[[#This Row],[Month]],"/",calendar[[#This Row],[Year]])</f>
        <v>12/2019</v>
      </c>
      <c r="G1067">
        <f>WEEKDAY(calendar[[#This Row],[Date]],1)</f>
        <v>2</v>
      </c>
      <c r="H1067" t="str">
        <f>TEXT(calendar[[#This Row],[WeekDay]],"dddd")</f>
        <v>Monday</v>
      </c>
      <c r="I1067">
        <f>IF((INT(calendar[[#This Row],[Count]]/7)-calendar[[#This Row],[Count]]/7)&lt;0,I1066,I1066+1)</f>
        <v>153</v>
      </c>
      <c r="J1067">
        <f t="shared" si="84"/>
        <v>1065</v>
      </c>
      <c r="K1067">
        <f>IF(calendar[[#This Row],[Month]]&lt;4,1,IF(calendar[[#This Row],[Month]]&lt;7,2,IF(calendar[[#This Row],[Month]]&lt;10,3,4)))</f>
        <v>4</v>
      </c>
      <c r="L1067">
        <f>IFERROR(IF(VLOOKUP(calendar[[#This Row],[Date]],BH!A:A,1,)&lt;&gt;"",1,0),0)</f>
        <v>0</v>
      </c>
      <c r="M1067">
        <f>IFERROR(IF(VLOOKUP(calendar[[#This Row],[Date]],BH!C:C,1,)&lt;&gt;"",1,0),0)</f>
        <v>0</v>
      </c>
      <c r="N1067">
        <f>IFERROR(IF(VLOOKUP(calendar[[#This Row],[Date]],BH!E:E,1,)&lt;&gt;"",1,0),0)</f>
        <v>0</v>
      </c>
      <c r="O1067">
        <f>IFERROR(IF(VLOOKUP(calendar[[#This Row],[Date]],BH!G:G,1,)&lt;&gt;"",1,0),0)</f>
        <v>0</v>
      </c>
      <c r="P1067">
        <f>IF(OR(calendar[[#This Row],[UK_BH]]=1,calendar[[#This Row],[WeekDay]]=1, calendar[[#This Row],[WeekDay]]=7),P1066,P1066+1)</f>
        <v>761</v>
      </c>
      <c r="Q1067">
        <f>IF(OR(calendar[[#This Row],[FR_BH]]=1,calendar[[#This Row],[WeekDay]]=1, calendar[[#This Row],[WeekDay]]=7),P1066,P1066+1)</f>
        <v>761</v>
      </c>
      <c r="R1067">
        <f>IF(OR(calendar[[#This Row],[SP_BH]]=1,calendar[[#This Row],[WeekDay]]=1, calendar[[#This Row],[WeekDay]]=7),P1066,P1066+1)</f>
        <v>761</v>
      </c>
      <c r="S1067">
        <f>IF(OR(calendar[[#This Row],[PT_BH]]=1,calendar[[#This Row],[WeekDay]]=1, calendar[[#This Row],[WeekDay]]=7),P1066,P1066+1)</f>
        <v>761</v>
      </c>
    </row>
    <row r="1068" spans="1:19" x14ac:dyDescent="0.25">
      <c r="A1068" s="2">
        <v>43802</v>
      </c>
      <c r="B1068" s="1">
        <f t="shared" si="83"/>
        <v>49</v>
      </c>
      <c r="C1068">
        <f t="shared" si="85"/>
        <v>12</v>
      </c>
      <c r="D1068" t="str">
        <f t="shared" si="86"/>
        <v>December</v>
      </c>
      <c r="E1068">
        <f t="shared" si="87"/>
        <v>2019</v>
      </c>
      <c r="F1068" t="str">
        <f>CONCATENATE(calendar[[#This Row],[Month]],"/",calendar[[#This Row],[Year]])</f>
        <v>12/2019</v>
      </c>
      <c r="G1068">
        <f>WEEKDAY(calendar[[#This Row],[Date]],1)</f>
        <v>3</v>
      </c>
      <c r="H1068" t="str">
        <f>TEXT(calendar[[#This Row],[WeekDay]],"dddd")</f>
        <v>Tuesday</v>
      </c>
      <c r="I1068">
        <f>IF((INT(calendar[[#This Row],[Count]]/7)-calendar[[#This Row],[Count]]/7)&lt;0,I1067,I1067+1)</f>
        <v>153</v>
      </c>
      <c r="J1068">
        <f t="shared" si="84"/>
        <v>1066</v>
      </c>
      <c r="K1068">
        <f>IF(calendar[[#This Row],[Month]]&lt;4,1,IF(calendar[[#This Row],[Month]]&lt;7,2,IF(calendar[[#This Row],[Month]]&lt;10,3,4)))</f>
        <v>4</v>
      </c>
      <c r="L1068">
        <f>IFERROR(IF(VLOOKUP(calendar[[#This Row],[Date]],BH!A:A,1,)&lt;&gt;"",1,0),0)</f>
        <v>0</v>
      </c>
      <c r="M1068">
        <f>IFERROR(IF(VLOOKUP(calendar[[#This Row],[Date]],BH!C:C,1,)&lt;&gt;"",1,0),0)</f>
        <v>0</v>
      </c>
      <c r="N1068">
        <f>IFERROR(IF(VLOOKUP(calendar[[#This Row],[Date]],BH!E:E,1,)&lt;&gt;"",1,0),0)</f>
        <v>0</v>
      </c>
      <c r="O1068">
        <f>IFERROR(IF(VLOOKUP(calendar[[#This Row],[Date]],BH!G:G,1,)&lt;&gt;"",1,0),0)</f>
        <v>0</v>
      </c>
      <c r="P1068">
        <f>IF(OR(calendar[[#This Row],[UK_BH]]=1,calendar[[#This Row],[WeekDay]]=1, calendar[[#This Row],[WeekDay]]=7),P1067,P1067+1)</f>
        <v>762</v>
      </c>
      <c r="Q1068">
        <f>IF(OR(calendar[[#This Row],[FR_BH]]=1,calendar[[#This Row],[WeekDay]]=1, calendar[[#This Row],[WeekDay]]=7),P1067,P1067+1)</f>
        <v>762</v>
      </c>
      <c r="R1068">
        <f>IF(OR(calendar[[#This Row],[SP_BH]]=1,calendar[[#This Row],[WeekDay]]=1, calendar[[#This Row],[WeekDay]]=7),P1067,P1067+1)</f>
        <v>762</v>
      </c>
      <c r="S1068">
        <f>IF(OR(calendar[[#This Row],[PT_BH]]=1,calendar[[#This Row],[WeekDay]]=1, calendar[[#This Row],[WeekDay]]=7),P1067,P1067+1)</f>
        <v>762</v>
      </c>
    </row>
    <row r="1069" spans="1:19" x14ac:dyDescent="0.25">
      <c r="A1069" s="2">
        <v>43803</v>
      </c>
      <c r="B1069" s="1">
        <f t="shared" si="83"/>
        <v>49</v>
      </c>
      <c r="C1069">
        <f t="shared" si="85"/>
        <v>12</v>
      </c>
      <c r="D1069" t="str">
        <f t="shared" si="86"/>
        <v>December</v>
      </c>
      <c r="E1069">
        <f t="shared" si="87"/>
        <v>2019</v>
      </c>
      <c r="F1069" t="str">
        <f>CONCATENATE(calendar[[#This Row],[Month]],"/",calendar[[#This Row],[Year]])</f>
        <v>12/2019</v>
      </c>
      <c r="G1069">
        <f>WEEKDAY(calendar[[#This Row],[Date]],1)</f>
        <v>4</v>
      </c>
      <c r="H1069" t="str">
        <f>TEXT(calendar[[#This Row],[WeekDay]],"dddd")</f>
        <v>Wednesday</v>
      </c>
      <c r="I1069">
        <f>IF((INT(calendar[[#This Row],[Count]]/7)-calendar[[#This Row],[Count]]/7)&lt;0,I1068,I1068+1)</f>
        <v>153</v>
      </c>
      <c r="J1069">
        <f t="shared" si="84"/>
        <v>1067</v>
      </c>
      <c r="K1069">
        <f>IF(calendar[[#This Row],[Month]]&lt;4,1,IF(calendar[[#This Row],[Month]]&lt;7,2,IF(calendar[[#This Row],[Month]]&lt;10,3,4)))</f>
        <v>4</v>
      </c>
      <c r="L1069">
        <f>IFERROR(IF(VLOOKUP(calendar[[#This Row],[Date]],BH!A:A,1,)&lt;&gt;"",1,0),0)</f>
        <v>0</v>
      </c>
      <c r="M1069">
        <f>IFERROR(IF(VLOOKUP(calendar[[#This Row],[Date]],BH!C:C,1,)&lt;&gt;"",1,0),0)</f>
        <v>0</v>
      </c>
      <c r="N1069">
        <f>IFERROR(IF(VLOOKUP(calendar[[#This Row],[Date]],BH!E:E,1,)&lt;&gt;"",1,0),0)</f>
        <v>0</v>
      </c>
      <c r="O1069">
        <f>IFERROR(IF(VLOOKUP(calendar[[#This Row],[Date]],BH!G:G,1,)&lt;&gt;"",1,0),0)</f>
        <v>0</v>
      </c>
      <c r="P1069">
        <f>IF(OR(calendar[[#This Row],[UK_BH]]=1,calendar[[#This Row],[WeekDay]]=1, calendar[[#This Row],[WeekDay]]=7),P1068,P1068+1)</f>
        <v>763</v>
      </c>
      <c r="Q1069">
        <f>IF(OR(calendar[[#This Row],[FR_BH]]=1,calendar[[#This Row],[WeekDay]]=1, calendar[[#This Row],[WeekDay]]=7),P1068,P1068+1)</f>
        <v>763</v>
      </c>
      <c r="R1069">
        <f>IF(OR(calendar[[#This Row],[SP_BH]]=1,calendar[[#This Row],[WeekDay]]=1, calendar[[#This Row],[WeekDay]]=7),P1068,P1068+1)</f>
        <v>763</v>
      </c>
      <c r="S1069">
        <f>IF(OR(calendar[[#This Row],[PT_BH]]=1,calendar[[#This Row],[WeekDay]]=1, calendar[[#This Row],[WeekDay]]=7),P1068,P1068+1)</f>
        <v>763</v>
      </c>
    </row>
    <row r="1070" spans="1:19" x14ac:dyDescent="0.25">
      <c r="A1070" s="2">
        <v>43804</v>
      </c>
      <c r="B1070" s="1">
        <f t="shared" si="83"/>
        <v>49</v>
      </c>
      <c r="C1070">
        <f t="shared" si="85"/>
        <v>12</v>
      </c>
      <c r="D1070" t="str">
        <f t="shared" si="86"/>
        <v>December</v>
      </c>
      <c r="E1070">
        <f t="shared" si="87"/>
        <v>2019</v>
      </c>
      <c r="F1070" t="str">
        <f>CONCATENATE(calendar[[#This Row],[Month]],"/",calendar[[#This Row],[Year]])</f>
        <v>12/2019</v>
      </c>
      <c r="G1070">
        <f>WEEKDAY(calendar[[#This Row],[Date]],1)</f>
        <v>5</v>
      </c>
      <c r="H1070" t="str">
        <f>TEXT(calendar[[#This Row],[WeekDay]],"dddd")</f>
        <v>Thursday</v>
      </c>
      <c r="I1070">
        <f>IF((INT(calendar[[#This Row],[Count]]/7)-calendar[[#This Row],[Count]]/7)&lt;0,I1069,I1069+1)</f>
        <v>153</v>
      </c>
      <c r="J1070">
        <f t="shared" si="84"/>
        <v>1068</v>
      </c>
      <c r="K1070">
        <f>IF(calendar[[#This Row],[Month]]&lt;4,1,IF(calendar[[#This Row],[Month]]&lt;7,2,IF(calendar[[#This Row],[Month]]&lt;10,3,4)))</f>
        <v>4</v>
      </c>
      <c r="L1070">
        <f>IFERROR(IF(VLOOKUP(calendar[[#This Row],[Date]],BH!A:A,1,)&lt;&gt;"",1,0),0)</f>
        <v>0</v>
      </c>
      <c r="M1070">
        <f>IFERROR(IF(VLOOKUP(calendar[[#This Row],[Date]],BH!C:C,1,)&lt;&gt;"",1,0),0)</f>
        <v>0</v>
      </c>
      <c r="N1070">
        <f>IFERROR(IF(VLOOKUP(calendar[[#This Row],[Date]],BH!E:E,1,)&lt;&gt;"",1,0),0)</f>
        <v>0</v>
      </c>
      <c r="O1070">
        <f>IFERROR(IF(VLOOKUP(calendar[[#This Row],[Date]],BH!G:G,1,)&lt;&gt;"",1,0),0)</f>
        <v>0</v>
      </c>
      <c r="P1070">
        <f>IF(OR(calendar[[#This Row],[UK_BH]]=1,calendar[[#This Row],[WeekDay]]=1, calendar[[#This Row],[WeekDay]]=7),P1069,P1069+1)</f>
        <v>764</v>
      </c>
      <c r="Q1070">
        <f>IF(OR(calendar[[#This Row],[FR_BH]]=1,calendar[[#This Row],[WeekDay]]=1, calendar[[#This Row],[WeekDay]]=7),P1069,P1069+1)</f>
        <v>764</v>
      </c>
      <c r="R1070">
        <f>IF(OR(calendar[[#This Row],[SP_BH]]=1,calendar[[#This Row],[WeekDay]]=1, calendar[[#This Row],[WeekDay]]=7),P1069,P1069+1)</f>
        <v>764</v>
      </c>
      <c r="S1070">
        <f>IF(OR(calendar[[#This Row],[PT_BH]]=1,calendar[[#This Row],[WeekDay]]=1, calendar[[#This Row],[WeekDay]]=7),P1069,P1069+1)</f>
        <v>764</v>
      </c>
    </row>
    <row r="1071" spans="1:19" x14ac:dyDescent="0.25">
      <c r="A1071" s="2">
        <v>43805</v>
      </c>
      <c r="B1071" s="1">
        <f t="shared" si="83"/>
        <v>49</v>
      </c>
      <c r="C1071">
        <f t="shared" si="85"/>
        <v>12</v>
      </c>
      <c r="D1071" t="str">
        <f t="shared" si="86"/>
        <v>December</v>
      </c>
      <c r="E1071">
        <f t="shared" si="87"/>
        <v>2019</v>
      </c>
      <c r="F1071" t="str">
        <f>CONCATENATE(calendar[[#This Row],[Month]],"/",calendar[[#This Row],[Year]])</f>
        <v>12/2019</v>
      </c>
      <c r="G1071">
        <f>WEEKDAY(calendar[[#This Row],[Date]],1)</f>
        <v>6</v>
      </c>
      <c r="H1071" t="str">
        <f>TEXT(calendar[[#This Row],[WeekDay]],"dddd")</f>
        <v>Friday</v>
      </c>
      <c r="I1071">
        <f>IF((INT(calendar[[#This Row],[Count]]/7)-calendar[[#This Row],[Count]]/7)&lt;0,I1070,I1070+1)</f>
        <v>153</v>
      </c>
      <c r="J1071">
        <f t="shared" si="84"/>
        <v>1069</v>
      </c>
      <c r="K1071">
        <f>IF(calendar[[#This Row],[Month]]&lt;4,1,IF(calendar[[#This Row],[Month]]&lt;7,2,IF(calendar[[#This Row],[Month]]&lt;10,3,4)))</f>
        <v>4</v>
      </c>
      <c r="L1071">
        <f>IFERROR(IF(VLOOKUP(calendar[[#This Row],[Date]],BH!A:A,1,)&lt;&gt;"",1,0),0)</f>
        <v>0</v>
      </c>
      <c r="M1071">
        <f>IFERROR(IF(VLOOKUP(calendar[[#This Row],[Date]],BH!C:C,1,)&lt;&gt;"",1,0),0)</f>
        <v>0</v>
      </c>
      <c r="N1071">
        <f>IFERROR(IF(VLOOKUP(calendar[[#This Row],[Date]],BH!E:E,1,)&lt;&gt;"",1,0),0)</f>
        <v>0</v>
      </c>
      <c r="O1071">
        <f>IFERROR(IF(VLOOKUP(calendar[[#This Row],[Date]],BH!G:G,1,)&lt;&gt;"",1,0),0)</f>
        <v>0</v>
      </c>
      <c r="P1071">
        <f>IF(OR(calendar[[#This Row],[UK_BH]]=1,calendar[[#This Row],[WeekDay]]=1, calendar[[#This Row],[WeekDay]]=7),P1070,P1070+1)</f>
        <v>765</v>
      </c>
      <c r="Q1071">
        <f>IF(OR(calendar[[#This Row],[FR_BH]]=1,calendar[[#This Row],[WeekDay]]=1, calendar[[#This Row],[WeekDay]]=7),P1070,P1070+1)</f>
        <v>765</v>
      </c>
      <c r="R1071">
        <f>IF(OR(calendar[[#This Row],[SP_BH]]=1,calendar[[#This Row],[WeekDay]]=1, calendar[[#This Row],[WeekDay]]=7),P1070,P1070+1)</f>
        <v>765</v>
      </c>
      <c r="S1071">
        <f>IF(OR(calendar[[#This Row],[PT_BH]]=1,calendar[[#This Row],[WeekDay]]=1, calendar[[#This Row],[WeekDay]]=7),P1070,P1070+1)</f>
        <v>765</v>
      </c>
    </row>
    <row r="1072" spans="1:19" x14ac:dyDescent="0.25">
      <c r="A1072" s="2">
        <v>43806</v>
      </c>
      <c r="B1072" s="1">
        <f t="shared" si="83"/>
        <v>49</v>
      </c>
      <c r="C1072">
        <f t="shared" si="85"/>
        <v>12</v>
      </c>
      <c r="D1072" t="str">
        <f t="shared" si="86"/>
        <v>December</v>
      </c>
      <c r="E1072">
        <f t="shared" si="87"/>
        <v>2019</v>
      </c>
      <c r="F1072" t="str">
        <f>CONCATENATE(calendar[[#This Row],[Month]],"/",calendar[[#This Row],[Year]])</f>
        <v>12/2019</v>
      </c>
      <c r="G1072">
        <f>WEEKDAY(calendar[[#This Row],[Date]],1)</f>
        <v>7</v>
      </c>
      <c r="H1072" t="str">
        <f>TEXT(calendar[[#This Row],[WeekDay]],"dddd")</f>
        <v>Saturday</v>
      </c>
      <c r="I1072">
        <f>IF((INT(calendar[[#This Row],[Count]]/7)-calendar[[#This Row],[Count]]/7)&lt;0,I1071,I1071+1)</f>
        <v>153</v>
      </c>
      <c r="J1072">
        <f t="shared" si="84"/>
        <v>1070</v>
      </c>
      <c r="K1072">
        <f>IF(calendar[[#This Row],[Month]]&lt;4,1,IF(calendar[[#This Row],[Month]]&lt;7,2,IF(calendar[[#This Row],[Month]]&lt;10,3,4)))</f>
        <v>4</v>
      </c>
      <c r="L1072">
        <f>IFERROR(IF(VLOOKUP(calendar[[#This Row],[Date]],BH!A:A,1,)&lt;&gt;"",1,0),0)</f>
        <v>0</v>
      </c>
      <c r="M1072">
        <f>IFERROR(IF(VLOOKUP(calendar[[#This Row],[Date]],BH!C:C,1,)&lt;&gt;"",1,0),0)</f>
        <v>0</v>
      </c>
      <c r="N1072">
        <f>IFERROR(IF(VLOOKUP(calendar[[#This Row],[Date]],BH!E:E,1,)&lt;&gt;"",1,0),0)</f>
        <v>0</v>
      </c>
      <c r="O1072">
        <f>IFERROR(IF(VLOOKUP(calendar[[#This Row],[Date]],BH!G:G,1,)&lt;&gt;"",1,0),0)</f>
        <v>0</v>
      </c>
      <c r="P1072">
        <f>IF(OR(calendar[[#This Row],[UK_BH]]=1,calendar[[#This Row],[WeekDay]]=1, calendar[[#This Row],[WeekDay]]=7),P1071,P1071+1)</f>
        <v>765</v>
      </c>
      <c r="Q1072">
        <f>IF(OR(calendar[[#This Row],[FR_BH]]=1,calendar[[#This Row],[WeekDay]]=1, calendar[[#This Row],[WeekDay]]=7),P1071,P1071+1)</f>
        <v>765</v>
      </c>
      <c r="R1072">
        <f>IF(OR(calendar[[#This Row],[SP_BH]]=1,calendar[[#This Row],[WeekDay]]=1, calendar[[#This Row],[WeekDay]]=7),P1071,P1071+1)</f>
        <v>765</v>
      </c>
      <c r="S1072">
        <f>IF(OR(calendar[[#This Row],[PT_BH]]=1,calendar[[#This Row],[WeekDay]]=1, calendar[[#This Row],[WeekDay]]=7),P1071,P1071+1)</f>
        <v>765</v>
      </c>
    </row>
    <row r="1073" spans="1:19" x14ac:dyDescent="0.25">
      <c r="A1073" s="2">
        <v>43807</v>
      </c>
      <c r="B1073" s="1">
        <f t="shared" si="83"/>
        <v>50</v>
      </c>
      <c r="C1073">
        <f t="shared" si="85"/>
        <v>12</v>
      </c>
      <c r="D1073" t="str">
        <f t="shared" si="86"/>
        <v>December</v>
      </c>
      <c r="E1073">
        <f t="shared" si="87"/>
        <v>2019</v>
      </c>
      <c r="F1073" t="str">
        <f>CONCATENATE(calendar[[#This Row],[Month]],"/",calendar[[#This Row],[Year]])</f>
        <v>12/2019</v>
      </c>
      <c r="G1073">
        <f>WEEKDAY(calendar[[#This Row],[Date]],1)</f>
        <v>1</v>
      </c>
      <c r="H1073" t="str">
        <f>TEXT(calendar[[#This Row],[WeekDay]],"dddd")</f>
        <v>Sunday</v>
      </c>
      <c r="I1073">
        <f>IF((INT(calendar[[#This Row],[Count]]/7)-calendar[[#This Row],[Count]]/7)&lt;0,I1072,I1072+1)</f>
        <v>154</v>
      </c>
      <c r="J1073">
        <f t="shared" si="84"/>
        <v>1071</v>
      </c>
      <c r="K1073">
        <f>IF(calendar[[#This Row],[Month]]&lt;4,1,IF(calendar[[#This Row],[Month]]&lt;7,2,IF(calendar[[#This Row],[Month]]&lt;10,3,4)))</f>
        <v>4</v>
      </c>
      <c r="L1073">
        <f>IFERROR(IF(VLOOKUP(calendar[[#This Row],[Date]],BH!A:A,1,)&lt;&gt;"",1,0),0)</f>
        <v>0</v>
      </c>
      <c r="M1073">
        <f>IFERROR(IF(VLOOKUP(calendar[[#This Row],[Date]],BH!C:C,1,)&lt;&gt;"",1,0),0)</f>
        <v>0</v>
      </c>
      <c r="N1073">
        <f>IFERROR(IF(VLOOKUP(calendar[[#This Row],[Date]],BH!E:E,1,)&lt;&gt;"",1,0),0)</f>
        <v>0</v>
      </c>
      <c r="O1073">
        <f>IFERROR(IF(VLOOKUP(calendar[[#This Row],[Date]],BH!G:G,1,)&lt;&gt;"",1,0),0)</f>
        <v>0</v>
      </c>
      <c r="P1073">
        <f>IF(OR(calendar[[#This Row],[UK_BH]]=1,calendar[[#This Row],[WeekDay]]=1, calendar[[#This Row],[WeekDay]]=7),P1072,P1072+1)</f>
        <v>765</v>
      </c>
      <c r="Q1073">
        <f>IF(OR(calendar[[#This Row],[FR_BH]]=1,calendar[[#This Row],[WeekDay]]=1, calendar[[#This Row],[WeekDay]]=7),P1072,P1072+1)</f>
        <v>765</v>
      </c>
      <c r="R1073">
        <f>IF(OR(calendar[[#This Row],[SP_BH]]=1,calendar[[#This Row],[WeekDay]]=1, calendar[[#This Row],[WeekDay]]=7),P1072,P1072+1)</f>
        <v>765</v>
      </c>
      <c r="S1073">
        <f>IF(OR(calendar[[#This Row],[PT_BH]]=1,calendar[[#This Row],[WeekDay]]=1, calendar[[#This Row],[WeekDay]]=7),P1072,P1072+1)</f>
        <v>765</v>
      </c>
    </row>
    <row r="1074" spans="1:19" x14ac:dyDescent="0.25">
      <c r="A1074" s="2">
        <v>43808</v>
      </c>
      <c r="B1074" s="1">
        <f t="shared" si="83"/>
        <v>50</v>
      </c>
      <c r="C1074">
        <f t="shared" si="85"/>
        <v>12</v>
      </c>
      <c r="D1074" t="str">
        <f t="shared" si="86"/>
        <v>December</v>
      </c>
      <c r="E1074">
        <f t="shared" si="87"/>
        <v>2019</v>
      </c>
      <c r="F1074" t="str">
        <f>CONCATENATE(calendar[[#This Row],[Month]],"/",calendar[[#This Row],[Year]])</f>
        <v>12/2019</v>
      </c>
      <c r="G1074">
        <f>WEEKDAY(calendar[[#This Row],[Date]],1)</f>
        <v>2</v>
      </c>
      <c r="H1074" t="str">
        <f>TEXT(calendar[[#This Row],[WeekDay]],"dddd")</f>
        <v>Monday</v>
      </c>
      <c r="I1074">
        <f>IF((INT(calendar[[#This Row],[Count]]/7)-calendar[[#This Row],[Count]]/7)&lt;0,I1073,I1073+1)</f>
        <v>154</v>
      </c>
      <c r="J1074">
        <f t="shared" si="84"/>
        <v>1072</v>
      </c>
      <c r="K1074">
        <f>IF(calendar[[#This Row],[Month]]&lt;4,1,IF(calendar[[#This Row],[Month]]&lt;7,2,IF(calendar[[#This Row],[Month]]&lt;10,3,4)))</f>
        <v>4</v>
      </c>
      <c r="L1074">
        <f>IFERROR(IF(VLOOKUP(calendar[[#This Row],[Date]],BH!A:A,1,)&lt;&gt;"",1,0),0)</f>
        <v>0</v>
      </c>
      <c r="M1074">
        <f>IFERROR(IF(VLOOKUP(calendar[[#This Row],[Date]],BH!C:C,1,)&lt;&gt;"",1,0),0)</f>
        <v>0</v>
      </c>
      <c r="N1074">
        <f>IFERROR(IF(VLOOKUP(calendar[[#This Row],[Date]],BH!E:E,1,)&lt;&gt;"",1,0),0)</f>
        <v>0</v>
      </c>
      <c r="O1074">
        <f>IFERROR(IF(VLOOKUP(calendar[[#This Row],[Date]],BH!G:G,1,)&lt;&gt;"",1,0),0)</f>
        <v>0</v>
      </c>
      <c r="P1074">
        <f>IF(OR(calendar[[#This Row],[UK_BH]]=1,calendar[[#This Row],[WeekDay]]=1, calendar[[#This Row],[WeekDay]]=7),P1073,P1073+1)</f>
        <v>766</v>
      </c>
      <c r="Q1074">
        <f>IF(OR(calendar[[#This Row],[FR_BH]]=1,calendar[[#This Row],[WeekDay]]=1, calendar[[#This Row],[WeekDay]]=7),P1073,P1073+1)</f>
        <v>766</v>
      </c>
      <c r="R1074">
        <f>IF(OR(calendar[[#This Row],[SP_BH]]=1,calendar[[#This Row],[WeekDay]]=1, calendar[[#This Row],[WeekDay]]=7),P1073,P1073+1)</f>
        <v>766</v>
      </c>
      <c r="S1074">
        <f>IF(OR(calendar[[#This Row],[PT_BH]]=1,calendar[[#This Row],[WeekDay]]=1, calendar[[#This Row],[WeekDay]]=7),P1073,P1073+1)</f>
        <v>766</v>
      </c>
    </row>
    <row r="1075" spans="1:19" x14ac:dyDescent="0.25">
      <c r="A1075" s="2">
        <v>43809</v>
      </c>
      <c r="B1075" s="1">
        <f t="shared" si="83"/>
        <v>50</v>
      </c>
      <c r="C1075">
        <f t="shared" si="85"/>
        <v>12</v>
      </c>
      <c r="D1075" t="str">
        <f t="shared" si="86"/>
        <v>December</v>
      </c>
      <c r="E1075">
        <f t="shared" si="87"/>
        <v>2019</v>
      </c>
      <c r="F1075" t="str">
        <f>CONCATENATE(calendar[[#This Row],[Month]],"/",calendar[[#This Row],[Year]])</f>
        <v>12/2019</v>
      </c>
      <c r="G1075">
        <f>WEEKDAY(calendar[[#This Row],[Date]],1)</f>
        <v>3</v>
      </c>
      <c r="H1075" t="str">
        <f>TEXT(calendar[[#This Row],[WeekDay]],"dddd")</f>
        <v>Tuesday</v>
      </c>
      <c r="I1075">
        <f>IF((INT(calendar[[#This Row],[Count]]/7)-calendar[[#This Row],[Count]]/7)&lt;0,I1074,I1074+1)</f>
        <v>154</v>
      </c>
      <c r="J1075">
        <f t="shared" si="84"/>
        <v>1073</v>
      </c>
      <c r="K1075">
        <f>IF(calendar[[#This Row],[Month]]&lt;4,1,IF(calendar[[#This Row],[Month]]&lt;7,2,IF(calendar[[#This Row],[Month]]&lt;10,3,4)))</f>
        <v>4</v>
      </c>
      <c r="L1075">
        <f>IFERROR(IF(VLOOKUP(calendar[[#This Row],[Date]],BH!A:A,1,)&lt;&gt;"",1,0),0)</f>
        <v>0</v>
      </c>
      <c r="M1075">
        <f>IFERROR(IF(VLOOKUP(calendar[[#This Row],[Date]],BH!C:C,1,)&lt;&gt;"",1,0),0)</f>
        <v>0</v>
      </c>
      <c r="N1075">
        <f>IFERROR(IF(VLOOKUP(calendar[[#This Row],[Date]],BH!E:E,1,)&lt;&gt;"",1,0),0)</f>
        <v>0</v>
      </c>
      <c r="O1075">
        <f>IFERROR(IF(VLOOKUP(calendar[[#This Row],[Date]],BH!G:G,1,)&lt;&gt;"",1,0),0)</f>
        <v>0</v>
      </c>
      <c r="P1075">
        <f>IF(OR(calendar[[#This Row],[UK_BH]]=1,calendar[[#This Row],[WeekDay]]=1, calendar[[#This Row],[WeekDay]]=7),P1074,P1074+1)</f>
        <v>767</v>
      </c>
      <c r="Q1075">
        <f>IF(OR(calendar[[#This Row],[FR_BH]]=1,calendar[[#This Row],[WeekDay]]=1, calendar[[#This Row],[WeekDay]]=7),P1074,P1074+1)</f>
        <v>767</v>
      </c>
      <c r="R1075">
        <f>IF(OR(calendar[[#This Row],[SP_BH]]=1,calendar[[#This Row],[WeekDay]]=1, calendar[[#This Row],[WeekDay]]=7),P1074,P1074+1)</f>
        <v>767</v>
      </c>
      <c r="S1075">
        <f>IF(OR(calendar[[#This Row],[PT_BH]]=1,calendar[[#This Row],[WeekDay]]=1, calendar[[#This Row],[WeekDay]]=7),P1074,P1074+1)</f>
        <v>767</v>
      </c>
    </row>
    <row r="1076" spans="1:19" x14ac:dyDescent="0.25">
      <c r="A1076" s="2">
        <v>43810</v>
      </c>
      <c r="B1076" s="1">
        <f t="shared" si="83"/>
        <v>50</v>
      </c>
      <c r="C1076">
        <f t="shared" si="85"/>
        <v>12</v>
      </c>
      <c r="D1076" t="str">
        <f t="shared" si="86"/>
        <v>December</v>
      </c>
      <c r="E1076">
        <f t="shared" si="87"/>
        <v>2019</v>
      </c>
      <c r="F1076" t="str">
        <f>CONCATENATE(calendar[[#This Row],[Month]],"/",calendar[[#This Row],[Year]])</f>
        <v>12/2019</v>
      </c>
      <c r="G1076">
        <f>WEEKDAY(calendar[[#This Row],[Date]],1)</f>
        <v>4</v>
      </c>
      <c r="H1076" t="str">
        <f>TEXT(calendar[[#This Row],[WeekDay]],"dddd")</f>
        <v>Wednesday</v>
      </c>
      <c r="I1076">
        <f>IF((INT(calendar[[#This Row],[Count]]/7)-calendar[[#This Row],[Count]]/7)&lt;0,I1075,I1075+1)</f>
        <v>154</v>
      </c>
      <c r="J1076">
        <f t="shared" si="84"/>
        <v>1074</v>
      </c>
      <c r="K1076">
        <f>IF(calendar[[#This Row],[Month]]&lt;4,1,IF(calendar[[#This Row],[Month]]&lt;7,2,IF(calendar[[#This Row],[Month]]&lt;10,3,4)))</f>
        <v>4</v>
      </c>
      <c r="L1076">
        <f>IFERROR(IF(VLOOKUP(calendar[[#This Row],[Date]],BH!A:A,1,)&lt;&gt;"",1,0),0)</f>
        <v>0</v>
      </c>
      <c r="M1076">
        <f>IFERROR(IF(VLOOKUP(calendar[[#This Row],[Date]],BH!C:C,1,)&lt;&gt;"",1,0),0)</f>
        <v>0</v>
      </c>
      <c r="N1076">
        <f>IFERROR(IF(VLOOKUP(calendar[[#This Row],[Date]],BH!E:E,1,)&lt;&gt;"",1,0),0)</f>
        <v>0</v>
      </c>
      <c r="O1076">
        <f>IFERROR(IF(VLOOKUP(calendar[[#This Row],[Date]],BH!G:G,1,)&lt;&gt;"",1,0),0)</f>
        <v>0</v>
      </c>
      <c r="P1076">
        <f>IF(OR(calendar[[#This Row],[UK_BH]]=1,calendar[[#This Row],[WeekDay]]=1, calendar[[#This Row],[WeekDay]]=7),P1075,P1075+1)</f>
        <v>768</v>
      </c>
      <c r="Q1076">
        <f>IF(OR(calendar[[#This Row],[FR_BH]]=1,calendar[[#This Row],[WeekDay]]=1, calendar[[#This Row],[WeekDay]]=7),P1075,P1075+1)</f>
        <v>768</v>
      </c>
      <c r="R1076">
        <f>IF(OR(calendar[[#This Row],[SP_BH]]=1,calendar[[#This Row],[WeekDay]]=1, calendar[[#This Row],[WeekDay]]=7),P1075,P1075+1)</f>
        <v>768</v>
      </c>
      <c r="S1076">
        <f>IF(OR(calendar[[#This Row],[PT_BH]]=1,calendar[[#This Row],[WeekDay]]=1, calendar[[#This Row],[WeekDay]]=7),P1075,P1075+1)</f>
        <v>768</v>
      </c>
    </row>
    <row r="1077" spans="1:19" x14ac:dyDescent="0.25">
      <c r="A1077" s="2">
        <v>43811</v>
      </c>
      <c r="B1077" s="1">
        <f t="shared" si="83"/>
        <v>50</v>
      </c>
      <c r="C1077">
        <f t="shared" si="85"/>
        <v>12</v>
      </c>
      <c r="D1077" t="str">
        <f t="shared" si="86"/>
        <v>December</v>
      </c>
      <c r="E1077">
        <f t="shared" si="87"/>
        <v>2019</v>
      </c>
      <c r="F1077" t="str">
        <f>CONCATENATE(calendar[[#This Row],[Month]],"/",calendar[[#This Row],[Year]])</f>
        <v>12/2019</v>
      </c>
      <c r="G1077">
        <f>WEEKDAY(calendar[[#This Row],[Date]],1)</f>
        <v>5</v>
      </c>
      <c r="H1077" t="str">
        <f>TEXT(calendar[[#This Row],[WeekDay]],"dddd")</f>
        <v>Thursday</v>
      </c>
      <c r="I1077">
        <f>IF((INT(calendar[[#This Row],[Count]]/7)-calendar[[#This Row],[Count]]/7)&lt;0,I1076,I1076+1)</f>
        <v>154</v>
      </c>
      <c r="J1077">
        <f t="shared" si="84"/>
        <v>1075</v>
      </c>
      <c r="K1077">
        <f>IF(calendar[[#This Row],[Month]]&lt;4,1,IF(calendar[[#This Row],[Month]]&lt;7,2,IF(calendar[[#This Row],[Month]]&lt;10,3,4)))</f>
        <v>4</v>
      </c>
      <c r="L1077">
        <f>IFERROR(IF(VLOOKUP(calendar[[#This Row],[Date]],BH!A:A,1,)&lt;&gt;"",1,0),0)</f>
        <v>0</v>
      </c>
      <c r="M1077">
        <f>IFERROR(IF(VLOOKUP(calendar[[#This Row],[Date]],BH!C:C,1,)&lt;&gt;"",1,0),0)</f>
        <v>0</v>
      </c>
      <c r="N1077">
        <f>IFERROR(IF(VLOOKUP(calendar[[#This Row],[Date]],BH!E:E,1,)&lt;&gt;"",1,0),0)</f>
        <v>0</v>
      </c>
      <c r="O1077">
        <f>IFERROR(IF(VLOOKUP(calendar[[#This Row],[Date]],BH!G:G,1,)&lt;&gt;"",1,0),0)</f>
        <v>0</v>
      </c>
      <c r="P1077">
        <f>IF(OR(calendar[[#This Row],[UK_BH]]=1,calendar[[#This Row],[WeekDay]]=1, calendar[[#This Row],[WeekDay]]=7),P1076,P1076+1)</f>
        <v>769</v>
      </c>
      <c r="Q1077">
        <f>IF(OR(calendar[[#This Row],[FR_BH]]=1,calendar[[#This Row],[WeekDay]]=1, calendar[[#This Row],[WeekDay]]=7),P1076,P1076+1)</f>
        <v>769</v>
      </c>
      <c r="R1077">
        <f>IF(OR(calendar[[#This Row],[SP_BH]]=1,calendar[[#This Row],[WeekDay]]=1, calendar[[#This Row],[WeekDay]]=7),P1076,P1076+1)</f>
        <v>769</v>
      </c>
      <c r="S1077">
        <f>IF(OR(calendar[[#This Row],[PT_BH]]=1,calendar[[#This Row],[WeekDay]]=1, calendar[[#This Row],[WeekDay]]=7),P1076,P1076+1)</f>
        <v>769</v>
      </c>
    </row>
    <row r="1078" spans="1:19" x14ac:dyDescent="0.25">
      <c r="A1078" s="2">
        <v>43812</v>
      </c>
      <c r="B1078" s="1">
        <f t="shared" si="83"/>
        <v>50</v>
      </c>
      <c r="C1078">
        <f t="shared" si="85"/>
        <v>12</v>
      </c>
      <c r="D1078" t="str">
        <f t="shared" si="86"/>
        <v>December</v>
      </c>
      <c r="E1078">
        <f t="shared" si="87"/>
        <v>2019</v>
      </c>
      <c r="F1078" t="str">
        <f>CONCATENATE(calendar[[#This Row],[Month]],"/",calendar[[#This Row],[Year]])</f>
        <v>12/2019</v>
      </c>
      <c r="G1078">
        <f>WEEKDAY(calendar[[#This Row],[Date]],1)</f>
        <v>6</v>
      </c>
      <c r="H1078" t="str">
        <f>TEXT(calendar[[#This Row],[WeekDay]],"dddd")</f>
        <v>Friday</v>
      </c>
      <c r="I1078">
        <f>IF((INT(calendar[[#This Row],[Count]]/7)-calendar[[#This Row],[Count]]/7)&lt;0,I1077,I1077+1)</f>
        <v>154</v>
      </c>
      <c r="J1078">
        <f t="shared" si="84"/>
        <v>1076</v>
      </c>
      <c r="K1078">
        <f>IF(calendar[[#This Row],[Month]]&lt;4,1,IF(calendar[[#This Row],[Month]]&lt;7,2,IF(calendar[[#This Row],[Month]]&lt;10,3,4)))</f>
        <v>4</v>
      </c>
      <c r="L1078">
        <f>IFERROR(IF(VLOOKUP(calendar[[#This Row],[Date]],BH!A:A,1,)&lt;&gt;"",1,0),0)</f>
        <v>0</v>
      </c>
      <c r="M1078">
        <f>IFERROR(IF(VLOOKUP(calendar[[#This Row],[Date]],BH!C:C,1,)&lt;&gt;"",1,0),0)</f>
        <v>0</v>
      </c>
      <c r="N1078">
        <f>IFERROR(IF(VLOOKUP(calendar[[#This Row],[Date]],BH!E:E,1,)&lt;&gt;"",1,0),0)</f>
        <v>0</v>
      </c>
      <c r="O1078">
        <f>IFERROR(IF(VLOOKUP(calendar[[#This Row],[Date]],BH!G:G,1,)&lt;&gt;"",1,0),0)</f>
        <v>0</v>
      </c>
      <c r="P1078">
        <f>IF(OR(calendar[[#This Row],[UK_BH]]=1,calendar[[#This Row],[WeekDay]]=1, calendar[[#This Row],[WeekDay]]=7),P1077,P1077+1)</f>
        <v>770</v>
      </c>
      <c r="Q1078">
        <f>IF(OR(calendar[[#This Row],[FR_BH]]=1,calendar[[#This Row],[WeekDay]]=1, calendar[[#This Row],[WeekDay]]=7),P1077,P1077+1)</f>
        <v>770</v>
      </c>
      <c r="R1078">
        <f>IF(OR(calendar[[#This Row],[SP_BH]]=1,calendar[[#This Row],[WeekDay]]=1, calendar[[#This Row],[WeekDay]]=7),P1077,P1077+1)</f>
        <v>770</v>
      </c>
      <c r="S1078">
        <f>IF(OR(calendar[[#This Row],[PT_BH]]=1,calendar[[#This Row],[WeekDay]]=1, calendar[[#This Row],[WeekDay]]=7),P1077,P1077+1)</f>
        <v>770</v>
      </c>
    </row>
    <row r="1079" spans="1:19" x14ac:dyDescent="0.25">
      <c r="A1079" s="2">
        <v>43813</v>
      </c>
      <c r="B1079" s="1">
        <f t="shared" si="83"/>
        <v>50</v>
      </c>
      <c r="C1079">
        <f t="shared" si="85"/>
        <v>12</v>
      </c>
      <c r="D1079" t="str">
        <f t="shared" si="86"/>
        <v>December</v>
      </c>
      <c r="E1079">
        <f t="shared" si="87"/>
        <v>2019</v>
      </c>
      <c r="F1079" t="str">
        <f>CONCATENATE(calendar[[#This Row],[Month]],"/",calendar[[#This Row],[Year]])</f>
        <v>12/2019</v>
      </c>
      <c r="G1079">
        <f>WEEKDAY(calendar[[#This Row],[Date]],1)</f>
        <v>7</v>
      </c>
      <c r="H1079" t="str">
        <f>TEXT(calendar[[#This Row],[WeekDay]],"dddd")</f>
        <v>Saturday</v>
      </c>
      <c r="I1079">
        <f>IF((INT(calendar[[#This Row],[Count]]/7)-calendar[[#This Row],[Count]]/7)&lt;0,I1078,I1078+1)</f>
        <v>154</v>
      </c>
      <c r="J1079">
        <f t="shared" si="84"/>
        <v>1077</v>
      </c>
      <c r="K1079">
        <f>IF(calendar[[#This Row],[Month]]&lt;4,1,IF(calendar[[#This Row],[Month]]&lt;7,2,IF(calendar[[#This Row],[Month]]&lt;10,3,4)))</f>
        <v>4</v>
      </c>
      <c r="L1079">
        <f>IFERROR(IF(VLOOKUP(calendar[[#This Row],[Date]],BH!A:A,1,)&lt;&gt;"",1,0),0)</f>
        <v>0</v>
      </c>
      <c r="M1079">
        <f>IFERROR(IF(VLOOKUP(calendar[[#This Row],[Date]],BH!C:C,1,)&lt;&gt;"",1,0),0)</f>
        <v>0</v>
      </c>
      <c r="N1079">
        <f>IFERROR(IF(VLOOKUP(calendar[[#This Row],[Date]],BH!E:E,1,)&lt;&gt;"",1,0),0)</f>
        <v>0</v>
      </c>
      <c r="O1079">
        <f>IFERROR(IF(VLOOKUP(calendar[[#This Row],[Date]],BH!G:G,1,)&lt;&gt;"",1,0),0)</f>
        <v>0</v>
      </c>
      <c r="P1079">
        <f>IF(OR(calendar[[#This Row],[UK_BH]]=1,calendar[[#This Row],[WeekDay]]=1, calendar[[#This Row],[WeekDay]]=7),P1078,P1078+1)</f>
        <v>770</v>
      </c>
      <c r="Q1079">
        <f>IF(OR(calendar[[#This Row],[FR_BH]]=1,calendar[[#This Row],[WeekDay]]=1, calendar[[#This Row],[WeekDay]]=7),P1078,P1078+1)</f>
        <v>770</v>
      </c>
      <c r="R1079">
        <f>IF(OR(calendar[[#This Row],[SP_BH]]=1,calendar[[#This Row],[WeekDay]]=1, calendar[[#This Row],[WeekDay]]=7),P1078,P1078+1)</f>
        <v>770</v>
      </c>
      <c r="S1079">
        <f>IF(OR(calendar[[#This Row],[PT_BH]]=1,calendar[[#This Row],[WeekDay]]=1, calendar[[#This Row],[WeekDay]]=7),P1078,P1078+1)</f>
        <v>770</v>
      </c>
    </row>
    <row r="1080" spans="1:19" x14ac:dyDescent="0.25">
      <c r="A1080" s="2">
        <v>43814</v>
      </c>
      <c r="B1080" s="1">
        <f t="shared" si="83"/>
        <v>51</v>
      </c>
      <c r="C1080">
        <f t="shared" si="85"/>
        <v>12</v>
      </c>
      <c r="D1080" t="str">
        <f t="shared" si="86"/>
        <v>December</v>
      </c>
      <c r="E1080">
        <f t="shared" si="87"/>
        <v>2019</v>
      </c>
      <c r="F1080" t="str">
        <f>CONCATENATE(calendar[[#This Row],[Month]],"/",calendar[[#This Row],[Year]])</f>
        <v>12/2019</v>
      </c>
      <c r="G1080">
        <f>WEEKDAY(calendar[[#This Row],[Date]],1)</f>
        <v>1</v>
      </c>
      <c r="H1080" t="str">
        <f>TEXT(calendar[[#This Row],[WeekDay]],"dddd")</f>
        <v>Sunday</v>
      </c>
      <c r="I1080">
        <f>IF((INT(calendar[[#This Row],[Count]]/7)-calendar[[#This Row],[Count]]/7)&lt;0,I1079,I1079+1)</f>
        <v>155</v>
      </c>
      <c r="J1080">
        <f t="shared" si="84"/>
        <v>1078</v>
      </c>
      <c r="K1080">
        <f>IF(calendar[[#This Row],[Month]]&lt;4,1,IF(calendar[[#This Row],[Month]]&lt;7,2,IF(calendar[[#This Row],[Month]]&lt;10,3,4)))</f>
        <v>4</v>
      </c>
      <c r="L1080">
        <f>IFERROR(IF(VLOOKUP(calendar[[#This Row],[Date]],BH!A:A,1,)&lt;&gt;"",1,0),0)</f>
        <v>0</v>
      </c>
      <c r="M1080">
        <f>IFERROR(IF(VLOOKUP(calendar[[#This Row],[Date]],BH!C:C,1,)&lt;&gt;"",1,0),0)</f>
        <v>0</v>
      </c>
      <c r="N1080">
        <f>IFERROR(IF(VLOOKUP(calendar[[#This Row],[Date]],BH!E:E,1,)&lt;&gt;"",1,0),0)</f>
        <v>0</v>
      </c>
      <c r="O1080">
        <f>IFERROR(IF(VLOOKUP(calendar[[#This Row],[Date]],BH!G:G,1,)&lt;&gt;"",1,0),0)</f>
        <v>0</v>
      </c>
      <c r="P1080">
        <f>IF(OR(calendar[[#This Row],[UK_BH]]=1,calendar[[#This Row],[WeekDay]]=1, calendar[[#This Row],[WeekDay]]=7),P1079,P1079+1)</f>
        <v>770</v>
      </c>
      <c r="Q1080">
        <f>IF(OR(calendar[[#This Row],[FR_BH]]=1,calendar[[#This Row],[WeekDay]]=1, calendar[[#This Row],[WeekDay]]=7),P1079,P1079+1)</f>
        <v>770</v>
      </c>
      <c r="R1080">
        <f>IF(OR(calendar[[#This Row],[SP_BH]]=1,calendar[[#This Row],[WeekDay]]=1, calendar[[#This Row],[WeekDay]]=7),P1079,P1079+1)</f>
        <v>770</v>
      </c>
      <c r="S1080">
        <f>IF(OR(calendar[[#This Row],[PT_BH]]=1,calendar[[#This Row],[WeekDay]]=1, calendar[[#This Row],[WeekDay]]=7),P1079,P1079+1)</f>
        <v>770</v>
      </c>
    </row>
    <row r="1081" spans="1:19" x14ac:dyDescent="0.25">
      <c r="A1081" s="2">
        <v>43815</v>
      </c>
      <c r="B1081" s="1">
        <f t="shared" si="83"/>
        <v>51</v>
      </c>
      <c r="C1081">
        <f t="shared" si="85"/>
        <v>12</v>
      </c>
      <c r="D1081" t="str">
        <f t="shared" si="86"/>
        <v>December</v>
      </c>
      <c r="E1081">
        <f t="shared" si="87"/>
        <v>2019</v>
      </c>
      <c r="F1081" t="str">
        <f>CONCATENATE(calendar[[#This Row],[Month]],"/",calendar[[#This Row],[Year]])</f>
        <v>12/2019</v>
      </c>
      <c r="G1081">
        <f>WEEKDAY(calendar[[#This Row],[Date]],1)</f>
        <v>2</v>
      </c>
      <c r="H1081" t="str">
        <f>TEXT(calendar[[#This Row],[WeekDay]],"dddd")</f>
        <v>Monday</v>
      </c>
      <c r="I1081">
        <f>IF((INT(calendar[[#This Row],[Count]]/7)-calendar[[#This Row],[Count]]/7)&lt;0,I1080,I1080+1)</f>
        <v>155</v>
      </c>
      <c r="J1081">
        <f t="shared" si="84"/>
        <v>1079</v>
      </c>
      <c r="K1081">
        <f>IF(calendar[[#This Row],[Month]]&lt;4,1,IF(calendar[[#This Row],[Month]]&lt;7,2,IF(calendar[[#This Row],[Month]]&lt;10,3,4)))</f>
        <v>4</v>
      </c>
      <c r="L1081">
        <f>IFERROR(IF(VLOOKUP(calendar[[#This Row],[Date]],BH!A:A,1,)&lt;&gt;"",1,0),0)</f>
        <v>0</v>
      </c>
      <c r="M1081">
        <f>IFERROR(IF(VLOOKUP(calendar[[#This Row],[Date]],BH!C:C,1,)&lt;&gt;"",1,0),0)</f>
        <v>0</v>
      </c>
      <c r="N1081">
        <f>IFERROR(IF(VLOOKUP(calendar[[#This Row],[Date]],BH!E:E,1,)&lt;&gt;"",1,0),0)</f>
        <v>0</v>
      </c>
      <c r="O1081">
        <f>IFERROR(IF(VLOOKUP(calendar[[#This Row],[Date]],BH!G:G,1,)&lt;&gt;"",1,0),0)</f>
        <v>0</v>
      </c>
      <c r="P1081">
        <f>IF(OR(calendar[[#This Row],[UK_BH]]=1,calendar[[#This Row],[WeekDay]]=1, calendar[[#This Row],[WeekDay]]=7),P1080,P1080+1)</f>
        <v>771</v>
      </c>
      <c r="Q1081">
        <f>IF(OR(calendar[[#This Row],[FR_BH]]=1,calendar[[#This Row],[WeekDay]]=1, calendar[[#This Row],[WeekDay]]=7),P1080,P1080+1)</f>
        <v>771</v>
      </c>
      <c r="R1081">
        <f>IF(OR(calendar[[#This Row],[SP_BH]]=1,calendar[[#This Row],[WeekDay]]=1, calendar[[#This Row],[WeekDay]]=7),P1080,P1080+1)</f>
        <v>771</v>
      </c>
      <c r="S1081">
        <f>IF(OR(calendar[[#This Row],[PT_BH]]=1,calendar[[#This Row],[WeekDay]]=1, calendar[[#This Row],[WeekDay]]=7),P1080,P1080+1)</f>
        <v>771</v>
      </c>
    </row>
    <row r="1082" spans="1:19" x14ac:dyDescent="0.25">
      <c r="A1082" s="2">
        <v>43816</v>
      </c>
      <c r="B1082" s="1">
        <f t="shared" si="83"/>
        <v>51</v>
      </c>
      <c r="C1082">
        <f t="shared" si="85"/>
        <v>12</v>
      </c>
      <c r="D1082" t="str">
        <f t="shared" si="86"/>
        <v>December</v>
      </c>
      <c r="E1082">
        <f t="shared" si="87"/>
        <v>2019</v>
      </c>
      <c r="F1082" t="str">
        <f>CONCATENATE(calendar[[#This Row],[Month]],"/",calendar[[#This Row],[Year]])</f>
        <v>12/2019</v>
      </c>
      <c r="G1082">
        <f>WEEKDAY(calendar[[#This Row],[Date]],1)</f>
        <v>3</v>
      </c>
      <c r="H1082" t="str">
        <f>TEXT(calendar[[#This Row],[WeekDay]],"dddd")</f>
        <v>Tuesday</v>
      </c>
      <c r="I1082">
        <f>IF((INT(calendar[[#This Row],[Count]]/7)-calendar[[#This Row],[Count]]/7)&lt;0,I1081,I1081+1)</f>
        <v>155</v>
      </c>
      <c r="J1082">
        <f t="shared" si="84"/>
        <v>1080</v>
      </c>
      <c r="K1082">
        <f>IF(calendar[[#This Row],[Month]]&lt;4,1,IF(calendar[[#This Row],[Month]]&lt;7,2,IF(calendar[[#This Row],[Month]]&lt;10,3,4)))</f>
        <v>4</v>
      </c>
      <c r="L1082">
        <f>IFERROR(IF(VLOOKUP(calendar[[#This Row],[Date]],BH!A:A,1,)&lt;&gt;"",1,0),0)</f>
        <v>0</v>
      </c>
      <c r="M1082">
        <f>IFERROR(IF(VLOOKUP(calendar[[#This Row],[Date]],BH!C:C,1,)&lt;&gt;"",1,0),0)</f>
        <v>0</v>
      </c>
      <c r="N1082">
        <f>IFERROR(IF(VLOOKUP(calendar[[#This Row],[Date]],BH!E:E,1,)&lt;&gt;"",1,0),0)</f>
        <v>0</v>
      </c>
      <c r="O1082">
        <f>IFERROR(IF(VLOOKUP(calendar[[#This Row],[Date]],BH!G:G,1,)&lt;&gt;"",1,0),0)</f>
        <v>0</v>
      </c>
      <c r="P1082">
        <f>IF(OR(calendar[[#This Row],[UK_BH]]=1,calendar[[#This Row],[WeekDay]]=1, calendar[[#This Row],[WeekDay]]=7),P1081,P1081+1)</f>
        <v>772</v>
      </c>
      <c r="Q1082">
        <f>IF(OR(calendar[[#This Row],[FR_BH]]=1,calendar[[#This Row],[WeekDay]]=1, calendar[[#This Row],[WeekDay]]=7),P1081,P1081+1)</f>
        <v>772</v>
      </c>
      <c r="R1082">
        <f>IF(OR(calendar[[#This Row],[SP_BH]]=1,calendar[[#This Row],[WeekDay]]=1, calendar[[#This Row],[WeekDay]]=7),P1081,P1081+1)</f>
        <v>772</v>
      </c>
      <c r="S1082">
        <f>IF(OR(calendar[[#This Row],[PT_BH]]=1,calendar[[#This Row],[WeekDay]]=1, calendar[[#This Row],[WeekDay]]=7),P1081,P1081+1)</f>
        <v>772</v>
      </c>
    </row>
    <row r="1083" spans="1:19" x14ac:dyDescent="0.25">
      <c r="A1083" s="2">
        <v>43817</v>
      </c>
      <c r="B1083" s="1">
        <f t="shared" si="83"/>
        <v>51</v>
      </c>
      <c r="C1083">
        <f t="shared" si="85"/>
        <v>12</v>
      </c>
      <c r="D1083" t="str">
        <f t="shared" si="86"/>
        <v>December</v>
      </c>
      <c r="E1083">
        <f t="shared" si="87"/>
        <v>2019</v>
      </c>
      <c r="F1083" t="str">
        <f>CONCATENATE(calendar[[#This Row],[Month]],"/",calendar[[#This Row],[Year]])</f>
        <v>12/2019</v>
      </c>
      <c r="G1083">
        <f>WEEKDAY(calendar[[#This Row],[Date]],1)</f>
        <v>4</v>
      </c>
      <c r="H1083" t="str">
        <f>TEXT(calendar[[#This Row],[WeekDay]],"dddd")</f>
        <v>Wednesday</v>
      </c>
      <c r="I1083">
        <f>IF((INT(calendar[[#This Row],[Count]]/7)-calendar[[#This Row],[Count]]/7)&lt;0,I1082,I1082+1)</f>
        <v>155</v>
      </c>
      <c r="J1083">
        <f t="shared" si="84"/>
        <v>1081</v>
      </c>
      <c r="K1083">
        <f>IF(calendar[[#This Row],[Month]]&lt;4,1,IF(calendar[[#This Row],[Month]]&lt;7,2,IF(calendar[[#This Row],[Month]]&lt;10,3,4)))</f>
        <v>4</v>
      </c>
      <c r="L1083">
        <f>IFERROR(IF(VLOOKUP(calendar[[#This Row],[Date]],BH!A:A,1,)&lt;&gt;"",1,0),0)</f>
        <v>0</v>
      </c>
      <c r="M1083">
        <f>IFERROR(IF(VLOOKUP(calendar[[#This Row],[Date]],BH!C:C,1,)&lt;&gt;"",1,0),0)</f>
        <v>0</v>
      </c>
      <c r="N1083">
        <f>IFERROR(IF(VLOOKUP(calendar[[#This Row],[Date]],BH!E:E,1,)&lt;&gt;"",1,0),0)</f>
        <v>0</v>
      </c>
      <c r="O1083">
        <f>IFERROR(IF(VLOOKUP(calendar[[#This Row],[Date]],BH!G:G,1,)&lt;&gt;"",1,0),0)</f>
        <v>0</v>
      </c>
      <c r="P1083">
        <f>IF(OR(calendar[[#This Row],[UK_BH]]=1,calendar[[#This Row],[WeekDay]]=1, calendar[[#This Row],[WeekDay]]=7),P1082,P1082+1)</f>
        <v>773</v>
      </c>
      <c r="Q1083">
        <f>IF(OR(calendar[[#This Row],[FR_BH]]=1,calendar[[#This Row],[WeekDay]]=1, calendar[[#This Row],[WeekDay]]=7),P1082,P1082+1)</f>
        <v>773</v>
      </c>
      <c r="R1083">
        <f>IF(OR(calendar[[#This Row],[SP_BH]]=1,calendar[[#This Row],[WeekDay]]=1, calendar[[#This Row],[WeekDay]]=7),P1082,P1082+1)</f>
        <v>773</v>
      </c>
      <c r="S1083">
        <f>IF(OR(calendar[[#This Row],[PT_BH]]=1,calendar[[#This Row],[WeekDay]]=1, calendar[[#This Row],[WeekDay]]=7),P1082,P1082+1)</f>
        <v>773</v>
      </c>
    </row>
    <row r="1084" spans="1:19" x14ac:dyDescent="0.25">
      <c r="A1084" s="2">
        <v>43818</v>
      </c>
      <c r="B1084" s="1">
        <f t="shared" si="83"/>
        <v>51</v>
      </c>
      <c r="C1084">
        <f t="shared" si="85"/>
        <v>12</v>
      </c>
      <c r="D1084" t="str">
        <f t="shared" si="86"/>
        <v>December</v>
      </c>
      <c r="E1084">
        <f t="shared" si="87"/>
        <v>2019</v>
      </c>
      <c r="F1084" t="str">
        <f>CONCATENATE(calendar[[#This Row],[Month]],"/",calendar[[#This Row],[Year]])</f>
        <v>12/2019</v>
      </c>
      <c r="G1084">
        <f>WEEKDAY(calendar[[#This Row],[Date]],1)</f>
        <v>5</v>
      </c>
      <c r="H1084" t="str">
        <f>TEXT(calendar[[#This Row],[WeekDay]],"dddd")</f>
        <v>Thursday</v>
      </c>
      <c r="I1084">
        <f>IF((INT(calendar[[#This Row],[Count]]/7)-calendar[[#This Row],[Count]]/7)&lt;0,I1083,I1083+1)</f>
        <v>155</v>
      </c>
      <c r="J1084">
        <f t="shared" si="84"/>
        <v>1082</v>
      </c>
      <c r="K1084">
        <f>IF(calendar[[#This Row],[Month]]&lt;4,1,IF(calendar[[#This Row],[Month]]&lt;7,2,IF(calendar[[#This Row],[Month]]&lt;10,3,4)))</f>
        <v>4</v>
      </c>
      <c r="L1084">
        <f>IFERROR(IF(VLOOKUP(calendar[[#This Row],[Date]],BH!A:A,1,)&lt;&gt;"",1,0),0)</f>
        <v>0</v>
      </c>
      <c r="M1084">
        <f>IFERROR(IF(VLOOKUP(calendar[[#This Row],[Date]],BH!C:C,1,)&lt;&gt;"",1,0),0)</f>
        <v>0</v>
      </c>
      <c r="N1084">
        <f>IFERROR(IF(VLOOKUP(calendar[[#This Row],[Date]],BH!E:E,1,)&lt;&gt;"",1,0),0)</f>
        <v>0</v>
      </c>
      <c r="O1084">
        <f>IFERROR(IF(VLOOKUP(calendar[[#This Row],[Date]],BH!G:G,1,)&lt;&gt;"",1,0),0)</f>
        <v>0</v>
      </c>
      <c r="P1084">
        <f>IF(OR(calendar[[#This Row],[UK_BH]]=1,calendar[[#This Row],[WeekDay]]=1, calendar[[#This Row],[WeekDay]]=7),P1083,P1083+1)</f>
        <v>774</v>
      </c>
      <c r="Q1084">
        <f>IF(OR(calendar[[#This Row],[FR_BH]]=1,calendar[[#This Row],[WeekDay]]=1, calendar[[#This Row],[WeekDay]]=7),P1083,P1083+1)</f>
        <v>774</v>
      </c>
      <c r="R1084">
        <f>IF(OR(calendar[[#This Row],[SP_BH]]=1,calendar[[#This Row],[WeekDay]]=1, calendar[[#This Row],[WeekDay]]=7),P1083,P1083+1)</f>
        <v>774</v>
      </c>
      <c r="S1084">
        <f>IF(OR(calendar[[#This Row],[PT_BH]]=1,calendar[[#This Row],[WeekDay]]=1, calendar[[#This Row],[WeekDay]]=7),P1083,P1083+1)</f>
        <v>774</v>
      </c>
    </row>
    <row r="1085" spans="1:19" x14ac:dyDescent="0.25">
      <c r="A1085" s="2">
        <v>43819</v>
      </c>
      <c r="B1085" s="1">
        <f t="shared" si="83"/>
        <v>51</v>
      </c>
      <c r="C1085">
        <f t="shared" si="85"/>
        <v>12</v>
      </c>
      <c r="D1085" t="str">
        <f t="shared" si="86"/>
        <v>December</v>
      </c>
      <c r="E1085">
        <f t="shared" si="87"/>
        <v>2019</v>
      </c>
      <c r="F1085" t="str">
        <f>CONCATENATE(calendar[[#This Row],[Month]],"/",calendar[[#This Row],[Year]])</f>
        <v>12/2019</v>
      </c>
      <c r="G1085">
        <f>WEEKDAY(calendar[[#This Row],[Date]],1)</f>
        <v>6</v>
      </c>
      <c r="H1085" t="str">
        <f>TEXT(calendar[[#This Row],[WeekDay]],"dddd")</f>
        <v>Friday</v>
      </c>
      <c r="I1085">
        <f>IF((INT(calendar[[#This Row],[Count]]/7)-calendar[[#This Row],[Count]]/7)&lt;0,I1084,I1084+1)</f>
        <v>155</v>
      </c>
      <c r="J1085">
        <f t="shared" si="84"/>
        <v>1083</v>
      </c>
      <c r="K1085">
        <f>IF(calendar[[#This Row],[Month]]&lt;4,1,IF(calendar[[#This Row],[Month]]&lt;7,2,IF(calendar[[#This Row],[Month]]&lt;10,3,4)))</f>
        <v>4</v>
      </c>
      <c r="L1085">
        <f>IFERROR(IF(VLOOKUP(calendar[[#This Row],[Date]],BH!A:A,1,)&lt;&gt;"",1,0),0)</f>
        <v>0</v>
      </c>
      <c r="M1085">
        <f>IFERROR(IF(VLOOKUP(calendar[[#This Row],[Date]],BH!C:C,1,)&lt;&gt;"",1,0),0)</f>
        <v>0</v>
      </c>
      <c r="N1085">
        <f>IFERROR(IF(VLOOKUP(calendar[[#This Row],[Date]],BH!E:E,1,)&lt;&gt;"",1,0),0)</f>
        <v>0</v>
      </c>
      <c r="O1085">
        <f>IFERROR(IF(VLOOKUP(calendar[[#This Row],[Date]],BH!G:G,1,)&lt;&gt;"",1,0),0)</f>
        <v>0</v>
      </c>
      <c r="P1085">
        <f>IF(OR(calendar[[#This Row],[UK_BH]]=1,calendar[[#This Row],[WeekDay]]=1, calendar[[#This Row],[WeekDay]]=7),P1084,P1084+1)</f>
        <v>775</v>
      </c>
      <c r="Q1085">
        <f>IF(OR(calendar[[#This Row],[FR_BH]]=1,calendar[[#This Row],[WeekDay]]=1, calendar[[#This Row],[WeekDay]]=7),P1084,P1084+1)</f>
        <v>775</v>
      </c>
      <c r="R1085">
        <f>IF(OR(calendar[[#This Row],[SP_BH]]=1,calendar[[#This Row],[WeekDay]]=1, calendar[[#This Row],[WeekDay]]=7),P1084,P1084+1)</f>
        <v>775</v>
      </c>
      <c r="S1085">
        <f>IF(OR(calendar[[#This Row],[PT_BH]]=1,calendar[[#This Row],[WeekDay]]=1, calendar[[#This Row],[WeekDay]]=7),P1084,P1084+1)</f>
        <v>775</v>
      </c>
    </row>
    <row r="1086" spans="1:19" x14ac:dyDescent="0.25">
      <c r="A1086" s="2">
        <v>43820</v>
      </c>
      <c r="B1086" s="1">
        <f t="shared" si="83"/>
        <v>51</v>
      </c>
      <c r="C1086">
        <f t="shared" si="85"/>
        <v>12</v>
      </c>
      <c r="D1086" t="str">
        <f t="shared" si="86"/>
        <v>December</v>
      </c>
      <c r="E1086">
        <f t="shared" si="87"/>
        <v>2019</v>
      </c>
      <c r="F1086" t="str">
        <f>CONCATENATE(calendar[[#This Row],[Month]],"/",calendar[[#This Row],[Year]])</f>
        <v>12/2019</v>
      </c>
      <c r="G1086">
        <f>WEEKDAY(calendar[[#This Row],[Date]],1)</f>
        <v>7</v>
      </c>
      <c r="H1086" t="str">
        <f>TEXT(calendar[[#This Row],[WeekDay]],"dddd")</f>
        <v>Saturday</v>
      </c>
      <c r="I1086">
        <f>IF((INT(calendar[[#This Row],[Count]]/7)-calendar[[#This Row],[Count]]/7)&lt;0,I1085,I1085+1)</f>
        <v>155</v>
      </c>
      <c r="J1086">
        <f t="shared" si="84"/>
        <v>1084</v>
      </c>
      <c r="K1086">
        <f>IF(calendar[[#This Row],[Month]]&lt;4,1,IF(calendar[[#This Row],[Month]]&lt;7,2,IF(calendar[[#This Row],[Month]]&lt;10,3,4)))</f>
        <v>4</v>
      </c>
      <c r="L1086">
        <f>IFERROR(IF(VLOOKUP(calendar[[#This Row],[Date]],BH!A:A,1,)&lt;&gt;"",1,0),0)</f>
        <v>0</v>
      </c>
      <c r="M1086">
        <f>IFERROR(IF(VLOOKUP(calendar[[#This Row],[Date]],BH!C:C,1,)&lt;&gt;"",1,0),0)</f>
        <v>0</v>
      </c>
      <c r="N1086">
        <f>IFERROR(IF(VLOOKUP(calendar[[#This Row],[Date]],BH!E:E,1,)&lt;&gt;"",1,0),0)</f>
        <v>0</v>
      </c>
      <c r="O1086">
        <f>IFERROR(IF(VLOOKUP(calendar[[#This Row],[Date]],BH!G:G,1,)&lt;&gt;"",1,0),0)</f>
        <v>0</v>
      </c>
      <c r="P1086">
        <f>IF(OR(calendar[[#This Row],[UK_BH]]=1,calendar[[#This Row],[WeekDay]]=1, calendar[[#This Row],[WeekDay]]=7),P1085,P1085+1)</f>
        <v>775</v>
      </c>
      <c r="Q1086">
        <f>IF(OR(calendar[[#This Row],[FR_BH]]=1,calendar[[#This Row],[WeekDay]]=1, calendar[[#This Row],[WeekDay]]=7),P1085,P1085+1)</f>
        <v>775</v>
      </c>
      <c r="R1086">
        <f>IF(OR(calendar[[#This Row],[SP_BH]]=1,calendar[[#This Row],[WeekDay]]=1, calendar[[#This Row],[WeekDay]]=7),P1085,P1085+1)</f>
        <v>775</v>
      </c>
      <c r="S1086">
        <f>IF(OR(calendar[[#This Row],[PT_BH]]=1,calendar[[#This Row],[WeekDay]]=1, calendar[[#This Row],[WeekDay]]=7),P1085,P1085+1)</f>
        <v>775</v>
      </c>
    </row>
    <row r="1087" spans="1:19" x14ac:dyDescent="0.25">
      <c r="A1087" s="2">
        <v>43821</v>
      </c>
      <c r="B1087" s="1">
        <f t="shared" si="83"/>
        <v>52</v>
      </c>
      <c r="C1087">
        <f t="shared" si="85"/>
        <v>12</v>
      </c>
      <c r="D1087" t="str">
        <f t="shared" si="86"/>
        <v>December</v>
      </c>
      <c r="E1087">
        <f t="shared" si="87"/>
        <v>2019</v>
      </c>
      <c r="F1087" t="str">
        <f>CONCATENATE(calendar[[#This Row],[Month]],"/",calendar[[#This Row],[Year]])</f>
        <v>12/2019</v>
      </c>
      <c r="G1087">
        <f>WEEKDAY(calendar[[#This Row],[Date]],1)</f>
        <v>1</v>
      </c>
      <c r="H1087" t="str">
        <f>TEXT(calendar[[#This Row],[WeekDay]],"dddd")</f>
        <v>Sunday</v>
      </c>
      <c r="I1087">
        <f>IF((INT(calendar[[#This Row],[Count]]/7)-calendar[[#This Row],[Count]]/7)&lt;0,I1086,I1086+1)</f>
        <v>156</v>
      </c>
      <c r="J1087">
        <f t="shared" si="84"/>
        <v>1085</v>
      </c>
      <c r="K1087">
        <f>IF(calendar[[#This Row],[Month]]&lt;4,1,IF(calendar[[#This Row],[Month]]&lt;7,2,IF(calendar[[#This Row],[Month]]&lt;10,3,4)))</f>
        <v>4</v>
      </c>
      <c r="L1087">
        <f>IFERROR(IF(VLOOKUP(calendar[[#This Row],[Date]],BH!A:A,1,)&lt;&gt;"",1,0),0)</f>
        <v>0</v>
      </c>
      <c r="M1087">
        <f>IFERROR(IF(VLOOKUP(calendar[[#This Row],[Date]],BH!C:C,1,)&lt;&gt;"",1,0),0)</f>
        <v>0</v>
      </c>
      <c r="N1087">
        <f>IFERROR(IF(VLOOKUP(calendar[[#This Row],[Date]],BH!E:E,1,)&lt;&gt;"",1,0),0)</f>
        <v>0</v>
      </c>
      <c r="O1087">
        <f>IFERROR(IF(VLOOKUP(calendar[[#This Row],[Date]],BH!G:G,1,)&lt;&gt;"",1,0),0)</f>
        <v>0</v>
      </c>
      <c r="P1087">
        <f>IF(OR(calendar[[#This Row],[UK_BH]]=1,calendar[[#This Row],[WeekDay]]=1, calendar[[#This Row],[WeekDay]]=7),P1086,P1086+1)</f>
        <v>775</v>
      </c>
      <c r="Q1087">
        <f>IF(OR(calendar[[#This Row],[FR_BH]]=1,calendar[[#This Row],[WeekDay]]=1, calendar[[#This Row],[WeekDay]]=7),P1086,P1086+1)</f>
        <v>775</v>
      </c>
      <c r="R1087">
        <f>IF(OR(calendar[[#This Row],[SP_BH]]=1,calendar[[#This Row],[WeekDay]]=1, calendar[[#This Row],[WeekDay]]=7),P1086,P1086+1)</f>
        <v>775</v>
      </c>
      <c r="S1087">
        <f>IF(OR(calendar[[#This Row],[PT_BH]]=1,calendar[[#This Row],[WeekDay]]=1, calendar[[#This Row],[WeekDay]]=7),P1086,P1086+1)</f>
        <v>775</v>
      </c>
    </row>
    <row r="1088" spans="1:19" x14ac:dyDescent="0.25">
      <c r="A1088" s="2">
        <v>43822</v>
      </c>
      <c r="B1088" s="1">
        <f t="shared" si="83"/>
        <v>52</v>
      </c>
      <c r="C1088">
        <f t="shared" si="85"/>
        <v>12</v>
      </c>
      <c r="D1088" t="str">
        <f t="shared" si="86"/>
        <v>December</v>
      </c>
      <c r="E1088">
        <f t="shared" si="87"/>
        <v>2019</v>
      </c>
      <c r="F1088" t="str">
        <f>CONCATENATE(calendar[[#This Row],[Month]],"/",calendar[[#This Row],[Year]])</f>
        <v>12/2019</v>
      </c>
      <c r="G1088">
        <f>WEEKDAY(calendar[[#This Row],[Date]],1)</f>
        <v>2</v>
      </c>
      <c r="H1088" t="str">
        <f>TEXT(calendar[[#This Row],[WeekDay]],"dddd")</f>
        <v>Monday</v>
      </c>
      <c r="I1088">
        <f>IF((INT(calendar[[#This Row],[Count]]/7)-calendar[[#This Row],[Count]]/7)&lt;0,I1087,I1087+1)</f>
        <v>156</v>
      </c>
      <c r="J1088">
        <f t="shared" si="84"/>
        <v>1086</v>
      </c>
      <c r="K1088">
        <f>IF(calendar[[#This Row],[Month]]&lt;4,1,IF(calendar[[#This Row],[Month]]&lt;7,2,IF(calendar[[#This Row],[Month]]&lt;10,3,4)))</f>
        <v>4</v>
      </c>
      <c r="L1088">
        <f>IFERROR(IF(VLOOKUP(calendar[[#This Row],[Date]],BH!A:A,1,)&lt;&gt;"",1,0),0)</f>
        <v>0</v>
      </c>
      <c r="M1088">
        <f>IFERROR(IF(VLOOKUP(calendar[[#This Row],[Date]],BH!C:C,1,)&lt;&gt;"",1,0),0)</f>
        <v>0</v>
      </c>
      <c r="N1088">
        <f>IFERROR(IF(VLOOKUP(calendar[[#This Row],[Date]],BH!E:E,1,)&lt;&gt;"",1,0),0)</f>
        <v>0</v>
      </c>
      <c r="O1088">
        <f>IFERROR(IF(VLOOKUP(calendar[[#This Row],[Date]],BH!G:G,1,)&lt;&gt;"",1,0),0)</f>
        <v>0</v>
      </c>
      <c r="P1088">
        <f>IF(OR(calendar[[#This Row],[UK_BH]]=1,calendar[[#This Row],[WeekDay]]=1, calendar[[#This Row],[WeekDay]]=7),P1087,P1087+1)</f>
        <v>776</v>
      </c>
      <c r="Q1088">
        <f>IF(OR(calendar[[#This Row],[FR_BH]]=1,calendar[[#This Row],[WeekDay]]=1, calendar[[#This Row],[WeekDay]]=7),P1087,P1087+1)</f>
        <v>776</v>
      </c>
      <c r="R1088">
        <f>IF(OR(calendar[[#This Row],[SP_BH]]=1,calendar[[#This Row],[WeekDay]]=1, calendar[[#This Row],[WeekDay]]=7),P1087,P1087+1)</f>
        <v>776</v>
      </c>
      <c r="S1088">
        <f>IF(OR(calendar[[#This Row],[PT_BH]]=1,calendar[[#This Row],[WeekDay]]=1, calendar[[#This Row],[WeekDay]]=7),P1087,P1087+1)</f>
        <v>776</v>
      </c>
    </row>
    <row r="1089" spans="1:19" x14ac:dyDescent="0.25">
      <c r="A1089" s="2">
        <v>43823</v>
      </c>
      <c r="B1089" s="1">
        <f t="shared" si="83"/>
        <v>52</v>
      </c>
      <c r="C1089">
        <f t="shared" si="85"/>
        <v>12</v>
      </c>
      <c r="D1089" t="str">
        <f t="shared" si="86"/>
        <v>December</v>
      </c>
      <c r="E1089">
        <f t="shared" si="87"/>
        <v>2019</v>
      </c>
      <c r="F1089" t="str">
        <f>CONCATENATE(calendar[[#This Row],[Month]],"/",calendar[[#This Row],[Year]])</f>
        <v>12/2019</v>
      </c>
      <c r="G1089">
        <f>WEEKDAY(calendar[[#This Row],[Date]],1)</f>
        <v>3</v>
      </c>
      <c r="H1089" t="str">
        <f>TEXT(calendar[[#This Row],[WeekDay]],"dddd")</f>
        <v>Tuesday</v>
      </c>
      <c r="I1089">
        <f>IF((INT(calendar[[#This Row],[Count]]/7)-calendar[[#This Row],[Count]]/7)&lt;0,I1088,I1088+1)</f>
        <v>156</v>
      </c>
      <c r="J1089">
        <f t="shared" si="84"/>
        <v>1087</v>
      </c>
      <c r="K1089">
        <f>IF(calendar[[#This Row],[Month]]&lt;4,1,IF(calendar[[#This Row],[Month]]&lt;7,2,IF(calendar[[#This Row],[Month]]&lt;10,3,4)))</f>
        <v>4</v>
      </c>
      <c r="L1089">
        <f>IFERROR(IF(VLOOKUP(calendar[[#This Row],[Date]],BH!A:A,1,)&lt;&gt;"",1,0),0)</f>
        <v>0</v>
      </c>
      <c r="M1089">
        <f>IFERROR(IF(VLOOKUP(calendar[[#This Row],[Date]],BH!C:C,1,)&lt;&gt;"",1,0),0)</f>
        <v>0</v>
      </c>
      <c r="N1089">
        <f>IFERROR(IF(VLOOKUP(calendar[[#This Row],[Date]],BH!E:E,1,)&lt;&gt;"",1,0),0)</f>
        <v>0</v>
      </c>
      <c r="O1089">
        <f>IFERROR(IF(VLOOKUP(calendar[[#This Row],[Date]],BH!G:G,1,)&lt;&gt;"",1,0),0)</f>
        <v>0</v>
      </c>
      <c r="P1089">
        <f>IF(OR(calendar[[#This Row],[UK_BH]]=1,calendar[[#This Row],[WeekDay]]=1, calendar[[#This Row],[WeekDay]]=7),P1088,P1088+1)</f>
        <v>777</v>
      </c>
      <c r="Q1089">
        <f>IF(OR(calendar[[#This Row],[FR_BH]]=1,calendar[[#This Row],[WeekDay]]=1, calendar[[#This Row],[WeekDay]]=7),P1088,P1088+1)</f>
        <v>777</v>
      </c>
      <c r="R1089">
        <f>IF(OR(calendar[[#This Row],[SP_BH]]=1,calendar[[#This Row],[WeekDay]]=1, calendar[[#This Row],[WeekDay]]=7),P1088,P1088+1)</f>
        <v>777</v>
      </c>
      <c r="S1089">
        <f>IF(OR(calendar[[#This Row],[PT_BH]]=1,calendar[[#This Row],[WeekDay]]=1, calendar[[#This Row],[WeekDay]]=7),P1088,P1088+1)</f>
        <v>777</v>
      </c>
    </row>
    <row r="1090" spans="1:19" x14ac:dyDescent="0.25">
      <c r="A1090" s="2">
        <v>43824</v>
      </c>
      <c r="B1090" s="1">
        <f t="shared" ref="B1090:B1153" si="88">WEEKNUM(A1090)</f>
        <v>52</v>
      </c>
      <c r="C1090">
        <f t="shared" si="85"/>
        <v>12</v>
      </c>
      <c r="D1090" t="str">
        <f t="shared" si="86"/>
        <v>December</v>
      </c>
      <c r="E1090">
        <f t="shared" si="87"/>
        <v>2019</v>
      </c>
      <c r="F1090" t="str">
        <f>CONCATENATE(calendar[[#This Row],[Month]],"/",calendar[[#This Row],[Year]])</f>
        <v>12/2019</v>
      </c>
      <c r="G1090">
        <f>WEEKDAY(calendar[[#This Row],[Date]],1)</f>
        <v>4</v>
      </c>
      <c r="H1090" t="str">
        <f>TEXT(calendar[[#This Row],[WeekDay]],"dddd")</f>
        <v>Wednesday</v>
      </c>
      <c r="I1090">
        <f>IF((INT(calendar[[#This Row],[Count]]/7)-calendar[[#This Row],[Count]]/7)&lt;0,I1089,I1089+1)</f>
        <v>156</v>
      </c>
      <c r="J1090">
        <f t="shared" si="84"/>
        <v>1088</v>
      </c>
      <c r="K1090">
        <f>IF(calendar[[#This Row],[Month]]&lt;4,1,IF(calendar[[#This Row],[Month]]&lt;7,2,IF(calendar[[#This Row],[Month]]&lt;10,3,4)))</f>
        <v>4</v>
      </c>
      <c r="L1090">
        <f>IFERROR(IF(VLOOKUP(calendar[[#This Row],[Date]],BH!A:A,1,)&lt;&gt;"",1,0),0)</f>
        <v>0</v>
      </c>
      <c r="M1090">
        <f>IFERROR(IF(VLOOKUP(calendar[[#This Row],[Date]],BH!C:C,1,)&lt;&gt;"",1,0),0)</f>
        <v>0</v>
      </c>
      <c r="N1090">
        <f>IFERROR(IF(VLOOKUP(calendar[[#This Row],[Date]],BH!E:E,1,)&lt;&gt;"",1,0),0)</f>
        <v>0</v>
      </c>
      <c r="O1090">
        <f>IFERROR(IF(VLOOKUP(calendar[[#This Row],[Date]],BH!G:G,1,)&lt;&gt;"",1,0),0)</f>
        <v>0</v>
      </c>
      <c r="P1090">
        <f>IF(OR(calendar[[#This Row],[UK_BH]]=1,calendar[[#This Row],[WeekDay]]=1, calendar[[#This Row],[WeekDay]]=7),P1089,P1089+1)</f>
        <v>778</v>
      </c>
      <c r="Q1090">
        <f>IF(OR(calendar[[#This Row],[FR_BH]]=1,calendar[[#This Row],[WeekDay]]=1, calendar[[#This Row],[WeekDay]]=7),P1089,P1089+1)</f>
        <v>778</v>
      </c>
      <c r="R1090">
        <f>IF(OR(calendar[[#This Row],[SP_BH]]=1,calendar[[#This Row],[WeekDay]]=1, calendar[[#This Row],[WeekDay]]=7),P1089,P1089+1)</f>
        <v>778</v>
      </c>
      <c r="S1090">
        <f>IF(OR(calendar[[#This Row],[PT_BH]]=1,calendar[[#This Row],[WeekDay]]=1, calendar[[#This Row],[WeekDay]]=7),P1089,P1089+1)</f>
        <v>778</v>
      </c>
    </row>
    <row r="1091" spans="1:19" x14ac:dyDescent="0.25">
      <c r="A1091" s="2">
        <v>43825</v>
      </c>
      <c r="B1091" s="1">
        <f t="shared" si="88"/>
        <v>52</v>
      </c>
      <c r="C1091">
        <f t="shared" si="85"/>
        <v>12</v>
      </c>
      <c r="D1091" t="str">
        <f t="shared" si="86"/>
        <v>December</v>
      </c>
      <c r="E1091">
        <f t="shared" si="87"/>
        <v>2019</v>
      </c>
      <c r="F1091" t="str">
        <f>CONCATENATE(calendar[[#This Row],[Month]],"/",calendar[[#This Row],[Year]])</f>
        <v>12/2019</v>
      </c>
      <c r="G1091">
        <f>WEEKDAY(calendar[[#This Row],[Date]],1)</f>
        <v>5</v>
      </c>
      <c r="H1091" t="str">
        <f>TEXT(calendar[[#This Row],[WeekDay]],"dddd")</f>
        <v>Thursday</v>
      </c>
      <c r="I1091">
        <f>IF((INT(calendar[[#This Row],[Count]]/7)-calendar[[#This Row],[Count]]/7)&lt;0,I1090,I1090+1)</f>
        <v>156</v>
      </c>
      <c r="J1091">
        <f t="shared" ref="J1091:J1154" si="89">J1090+1</f>
        <v>1089</v>
      </c>
      <c r="K1091">
        <f>IF(calendar[[#This Row],[Month]]&lt;4,1,IF(calendar[[#This Row],[Month]]&lt;7,2,IF(calendar[[#This Row],[Month]]&lt;10,3,4)))</f>
        <v>4</v>
      </c>
      <c r="L1091">
        <f>IFERROR(IF(VLOOKUP(calendar[[#This Row],[Date]],BH!A:A,1,)&lt;&gt;"",1,0),0)</f>
        <v>0</v>
      </c>
      <c r="M1091">
        <f>IFERROR(IF(VLOOKUP(calendar[[#This Row],[Date]],BH!C:C,1,)&lt;&gt;"",1,0),0)</f>
        <v>0</v>
      </c>
      <c r="N1091">
        <f>IFERROR(IF(VLOOKUP(calendar[[#This Row],[Date]],BH!E:E,1,)&lt;&gt;"",1,0),0)</f>
        <v>0</v>
      </c>
      <c r="O1091">
        <f>IFERROR(IF(VLOOKUP(calendar[[#This Row],[Date]],BH!G:G,1,)&lt;&gt;"",1,0),0)</f>
        <v>0</v>
      </c>
      <c r="P1091">
        <f>IF(OR(calendar[[#This Row],[UK_BH]]=1,calendar[[#This Row],[WeekDay]]=1, calendar[[#This Row],[WeekDay]]=7),P1090,P1090+1)</f>
        <v>779</v>
      </c>
      <c r="Q1091">
        <f>IF(OR(calendar[[#This Row],[FR_BH]]=1,calendar[[#This Row],[WeekDay]]=1, calendar[[#This Row],[WeekDay]]=7),P1090,P1090+1)</f>
        <v>779</v>
      </c>
      <c r="R1091">
        <f>IF(OR(calendar[[#This Row],[SP_BH]]=1,calendar[[#This Row],[WeekDay]]=1, calendar[[#This Row],[WeekDay]]=7),P1090,P1090+1)</f>
        <v>779</v>
      </c>
      <c r="S1091">
        <f>IF(OR(calendar[[#This Row],[PT_BH]]=1,calendar[[#This Row],[WeekDay]]=1, calendar[[#This Row],[WeekDay]]=7),P1090,P1090+1)</f>
        <v>779</v>
      </c>
    </row>
    <row r="1092" spans="1:19" x14ac:dyDescent="0.25">
      <c r="A1092" s="2">
        <v>43826</v>
      </c>
      <c r="B1092" s="1">
        <f t="shared" si="88"/>
        <v>52</v>
      </c>
      <c r="C1092">
        <f t="shared" si="85"/>
        <v>12</v>
      </c>
      <c r="D1092" t="str">
        <f t="shared" si="86"/>
        <v>December</v>
      </c>
      <c r="E1092">
        <f t="shared" si="87"/>
        <v>2019</v>
      </c>
      <c r="F1092" t="str">
        <f>CONCATENATE(calendar[[#This Row],[Month]],"/",calendar[[#This Row],[Year]])</f>
        <v>12/2019</v>
      </c>
      <c r="G1092">
        <f>WEEKDAY(calendar[[#This Row],[Date]],1)</f>
        <v>6</v>
      </c>
      <c r="H1092" t="str">
        <f>TEXT(calendar[[#This Row],[WeekDay]],"dddd")</f>
        <v>Friday</v>
      </c>
      <c r="I1092">
        <f>IF((INT(calendar[[#This Row],[Count]]/7)-calendar[[#This Row],[Count]]/7)&lt;0,I1091,I1091+1)</f>
        <v>156</v>
      </c>
      <c r="J1092">
        <f t="shared" si="89"/>
        <v>1090</v>
      </c>
      <c r="K1092">
        <f>IF(calendar[[#This Row],[Month]]&lt;4,1,IF(calendar[[#This Row],[Month]]&lt;7,2,IF(calendar[[#This Row],[Month]]&lt;10,3,4)))</f>
        <v>4</v>
      </c>
      <c r="L1092">
        <f>IFERROR(IF(VLOOKUP(calendar[[#This Row],[Date]],BH!A:A,1,)&lt;&gt;"",1,0),0)</f>
        <v>0</v>
      </c>
      <c r="M1092">
        <f>IFERROR(IF(VLOOKUP(calendar[[#This Row],[Date]],BH!C:C,1,)&lt;&gt;"",1,0),0)</f>
        <v>0</v>
      </c>
      <c r="N1092">
        <f>IFERROR(IF(VLOOKUP(calendar[[#This Row],[Date]],BH!E:E,1,)&lt;&gt;"",1,0),0)</f>
        <v>0</v>
      </c>
      <c r="O1092">
        <f>IFERROR(IF(VLOOKUP(calendar[[#This Row],[Date]],BH!G:G,1,)&lt;&gt;"",1,0),0)</f>
        <v>0</v>
      </c>
      <c r="P1092">
        <f>IF(OR(calendar[[#This Row],[UK_BH]]=1,calendar[[#This Row],[WeekDay]]=1, calendar[[#This Row],[WeekDay]]=7),P1091,P1091+1)</f>
        <v>780</v>
      </c>
      <c r="Q1092">
        <f>IF(OR(calendar[[#This Row],[FR_BH]]=1,calendar[[#This Row],[WeekDay]]=1, calendar[[#This Row],[WeekDay]]=7),P1091,P1091+1)</f>
        <v>780</v>
      </c>
      <c r="R1092">
        <f>IF(OR(calendar[[#This Row],[SP_BH]]=1,calendar[[#This Row],[WeekDay]]=1, calendar[[#This Row],[WeekDay]]=7),P1091,P1091+1)</f>
        <v>780</v>
      </c>
      <c r="S1092">
        <f>IF(OR(calendar[[#This Row],[PT_BH]]=1,calendar[[#This Row],[WeekDay]]=1, calendar[[#This Row],[WeekDay]]=7),P1091,P1091+1)</f>
        <v>780</v>
      </c>
    </row>
    <row r="1093" spans="1:19" x14ac:dyDescent="0.25">
      <c r="A1093" s="2">
        <v>43827</v>
      </c>
      <c r="B1093" s="1">
        <f t="shared" si="88"/>
        <v>52</v>
      </c>
      <c r="C1093">
        <f t="shared" si="85"/>
        <v>12</v>
      </c>
      <c r="D1093" t="str">
        <f t="shared" si="86"/>
        <v>December</v>
      </c>
      <c r="E1093">
        <f t="shared" si="87"/>
        <v>2019</v>
      </c>
      <c r="F1093" t="str">
        <f>CONCATENATE(calendar[[#This Row],[Month]],"/",calendar[[#This Row],[Year]])</f>
        <v>12/2019</v>
      </c>
      <c r="G1093">
        <f>WEEKDAY(calendar[[#This Row],[Date]],1)</f>
        <v>7</v>
      </c>
      <c r="H1093" t="str">
        <f>TEXT(calendar[[#This Row],[WeekDay]],"dddd")</f>
        <v>Saturday</v>
      </c>
      <c r="I1093">
        <f>IF((INT(calendar[[#This Row],[Count]]/7)-calendar[[#This Row],[Count]]/7)&lt;0,I1092,I1092+1)</f>
        <v>156</v>
      </c>
      <c r="J1093">
        <f t="shared" si="89"/>
        <v>1091</v>
      </c>
      <c r="K1093">
        <f>IF(calendar[[#This Row],[Month]]&lt;4,1,IF(calendar[[#This Row],[Month]]&lt;7,2,IF(calendar[[#This Row],[Month]]&lt;10,3,4)))</f>
        <v>4</v>
      </c>
      <c r="L1093">
        <f>IFERROR(IF(VLOOKUP(calendar[[#This Row],[Date]],BH!A:A,1,)&lt;&gt;"",1,0),0)</f>
        <v>0</v>
      </c>
      <c r="M1093">
        <f>IFERROR(IF(VLOOKUP(calendar[[#This Row],[Date]],BH!C:C,1,)&lt;&gt;"",1,0),0)</f>
        <v>0</v>
      </c>
      <c r="N1093">
        <f>IFERROR(IF(VLOOKUP(calendar[[#This Row],[Date]],BH!E:E,1,)&lt;&gt;"",1,0),0)</f>
        <v>0</v>
      </c>
      <c r="O1093">
        <f>IFERROR(IF(VLOOKUP(calendar[[#This Row],[Date]],BH!G:G,1,)&lt;&gt;"",1,0),0)</f>
        <v>0</v>
      </c>
      <c r="P1093">
        <f>IF(OR(calendar[[#This Row],[UK_BH]]=1,calendar[[#This Row],[WeekDay]]=1, calendar[[#This Row],[WeekDay]]=7),P1092,P1092+1)</f>
        <v>780</v>
      </c>
      <c r="Q1093">
        <f>IF(OR(calendar[[#This Row],[FR_BH]]=1,calendar[[#This Row],[WeekDay]]=1, calendar[[#This Row],[WeekDay]]=7),P1092,P1092+1)</f>
        <v>780</v>
      </c>
      <c r="R1093">
        <f>IF(OR(calendar[[#This Row],[SP_BH]]=1,calendar[[#This Row],[WeekDay]]=1, calendar[[#This Row],[WeekDay]]=7),P1092,P1092+1)</f>
        <v>780</v>
      </c>
      <c r="S1093">
        <f>IF(OR(calendar[[#This Row],[PT_BH]]=1,calendar[[#This Row],[WeekDay]]=1, calendar[[#This Row],[WeekDay]]=7),P1092,P1092+1)</f>
        <v>780</v>
      </c>
    </row>
    <row r="1094" spans="1:19" x14ac:dyDescent="0.25">
      <c r="A1094" s="2">
        <v>43828</v>
      </c>
      <c r="B1094" s="1">
        <f t="shared" si="88"/>
        <v>53</v>
      </c>
      <c r="C1094">
        <f t="shared" si="85"/>
        <v>12</v>
      </c>
      <c r="D1094" t="str">
        <f t="shared" si="86"/>
        <v>December</v>
      </c>
      <c r="E1094">
        <f t="shared" si="87"/>
        <v>2019</v>
      </c>
      <c r="F1094" t="str">
        <f>CONCATENATE(calendar[[#This Row],[Month]],"/",calendar[[#This Row],[Year]])</f>
        <v>12/2019</v>
      </c>
      <c r="G1094">
        <f>WEEKDAY(calendar[[#This Row],[Date]],1)</f>
        <v>1</v>
      </c>
      <c r="H1094" t="str">
        <f>TEXT(calendar[[#This Row],[WeekDay]],"dddd")</f>
        <v>Sunday</v>
      </c>
      <c r="I1094">
        <f>IF((INT(calendar[[#This Row],[Count]]/7)-calendar[[#This Row],[Count]]/7)&lt;0,I1093,I1093+1)</f>
        <v>157</v>
      </c>
      <c r="J1094">
        <f t="shared" si="89"/>
        <v>1092</v>
      </c>
      <c r="K1094">
        <f>IF(calendar[[#This Row],[Month]]&lt;4,1,IF(calendar[[#This Row],[Month]]&lt;7,2,IF(calendar[[#This Row],[Month]]&lt;10,3,4)))</f>
        <v>4</v>
      </c>
      <c r="L1094">
        <f>IFERROR(IF(VLOOKUP(calendar[[#This Row],[Date]],BH!A:A,1,)&lt;&gt;"",1,0),0)</f>
        <v>0</v>
      </c>
      <c r="M1094">
        <f>IFERROR(IF(VLOOKUP(calendar[[#This Row],[Date]],BH!C:C,1,)&lt;&gt;"",1,0),0)</f>
        <v>0</v>
      </c>
      <c r="N1094">
        <f>IFERROR(IF(VLOOKUP(calendar[[#This Row],[Date]],BH!E:E,1,)&lt;&gt;"",1,0),0)</f>
        <v>0</v>
      </c>
      <c r="O1094">
        <f>IFERROR(IF(VLOOKUP(calendar[[#This Row],[Date]],BH!G:G,1,)&lt;&gt;"",1,0),0)</f>
        <v>0</v>
      </c>
      <c r="P1094">
        <f>IF(OR(calendar[[#This Row],[UK_BH]]=1,calendar[[#This Row],[WeekDay]]=1, calendar[[#This Row],[WeekDay]]=7),P1093,P1093+1)</f>
        <v>780</v>
      </c>
      <c r="Q1094">
        <f>IF(OR(calendar[[#This Row],[FR_BH]]=1,calendar[[#This Row],[WeekDay]]=1, calendar[[#This Row],[WeekDay]]=7),P1093,P1093+1)</f>
        <v>780</v>
      </c>
      <c r="R1094">
        <f>IF(OR(calendar[[#This Row],[SP_BH]]=1,calendar[[#This Row],[WeekDay]]=1, calendar[[#This Row],[WeekDay]]=7),P1093,P1093+1)</f>
        <v>780</v>
      </c>
      <c r="S1094">
        <f>IF(OR(calendar[[#This Row],[PT_BH]]=1,calendar[[#This Row],[WeekDay]]=1, calendar[[#This Row],[WeekDay]]=7),P1093,P1093+1)</f>
        <v>780</v>
      </c>
    </row>
    <row r="1095" spans="1:19" x14ac:dyDescent="0.25">
      <c r="A1095" s="2">
        <v>43829</v>
      </c>
      <c r="B1095" s="1">
        <f t="shared" si="88"/>
        <v>53</v>
      </c>
      <c r="C1095">
        <f t="shared" si="85"/>
        <v>12</v>
      </c>
      <c r="D1095" t="str">
        <f t="shared" si="86"/>
        <v>December</v>
      </c>
      <c r="E1095">
        <f t="shared" si="87"/>
        <v>2019</v>
      </c>
      <c r="F1095" t="str">
        <f>CONCATENATE(calendar[[#This Row],[Month]],"/",calendar[[#This Row],[Year]])</f>
        <v>12/2019</v>
      </c>
      <c r="G1095">
        <f>WEEKDAY(calendar[[#This Row],[Date]],1)</f>
        <v>2</v>
      </c>
      <c r="H1095" t="str">
        <f>TEXT(calendar[[#This Row],[WeekDay]],"dddd")</f>
        <v>Monday</v>
      </c>
      <c r="I1095">
        <f>IF((INT(calendar[[#This Row],[Count]]/7)-calendar[[#This Row],[Count]]/7)&lt;0,I1094,I1094+1)</f>
        <v>157</v>
      </c>
      <c r="J1095">
        <f t="shared" si="89"/>
        <v>1093</v>
      </c>
      <c r="K1095">
        <f>IF(calendar[[#This Row],[Month]]&lt;4,1,IF(calendar[[#This Row],[Month]]&lt;7,2,IF(calendar[[#This Row],[Month]]&lt;10,3,4)))</f>
        <v>4</v>
      </c>
      <c r="L1095">
        <f>IFERROR(IF(VLOOKUP(calendar[[#This Row],[Date]],BH!A:A,1,)&lt;&gt;"",1,0),0)</f>
        <v>0</v>
      </c>
      <c r="M1095">
        <f>IFERROR(IF(VLOOKUP(calendar[[#This Row],[Date]],BH!C:C,1,)&lt;&gt;"",1,0),0)</f>
        <v>0</v>
      </c>
      <c r="N1095">
        <f>IFERROR(IF(VLOOKUP(calendar[[#This Row],[Date]],BH!E:E,1,)&lt;&gt;"",1,0),0)</f>
        <v>0</v>
      </c>
      <c r="O1095">
        <f>IFERROR(IF(VLOOKUP(calendar[[#This Row],[Date]],BH!G:G,1,)&lt;&gt;"",1,0),0)</f>
        <v>0</v>
      </c>
      <c r="P1095">
        <f>IF(OR(calendar[[#This Row],[UK_BH]]=1,calendar[[#This Row],[WeekDay]]=1, calendar[[#This Row],[WeekDay]]=7),P1094,P1094+1)</f>
        <v>781</v>
      </c>
      <c r="Q1095">
        <f>IF(OR(calendar[[#This Row],[FR_BH]]=1,calendar[[#This Row],[WeekDay]]=1, calendar[[#This Row],[WeekDay]]=7),P1094,P1094+1)</f>
        <v>781</v>
      </c>
      <c r="R1095">
        <f>IF(OR(calendar[[#This Row],[SP_BH]]=1,calendar[[#This Row],[WeekDay]]=1, calendar[[#This Row],[WeekDay]]=7),P1094,P1094+1)</f>
        <v>781</v>
      </c>
      <c r="S1095">
        <f>IF(OR(calendar[[#This Row],[PT_BH]]=1,calendar[[#This Row],[WeekDay]]=1, calendar[[#This Row],[WeekDay]]=7),P1094,P1094+1)</f>
        <v>781</v>
      </c>
    </row>
    <row r="1096" spans="1:19" x14ac:dyDescent="0.25">
      <c r="A1096" s="2">
        <v>43830</v>
      </c>
      <c r="B1096" s="1">
        <f t="shared" si="88"/>
        <v>53</v>
      </c>
      <c r="C1096">
        <f t="shared" si="85"/>
        <v>12</v>
      </c>
      <c r="D1096" t="str">
        <f t="shared" si="86"/>
        <v>December</v>
      </c>
      <c r="E1096">
        <f t="shared" si="87"/>
        <v>2019</v>
      </c>
      <c r="F1096" t="str">
        <f>CONCATENATE(calendar[[#This Row],[Month]],"/",calendar[[#This Row],[Year]])</f>
        <v>12/2019</v>
      </c>
      <c r="G1096">
        <f>WEEKDAY(calendar[[#This Row],[Date]],1)</f>
        <v>3</v>
      </c>
      <c r="H1096" t="str">
        <f>TEXT(calendar[[#This Row],[WeekDay]],"dddd")</f>
        <v>Tuesday</v>
      </c>
      <c r="I1096">
        <f>IF((INT(calendar[[#This Row],[Count]]/7)-calendar[[#This Row],[Count]]/7)&lt;0,I1095,I1095+1)</f>
        <v>157</v>
      </c>
      <c r="J1096">
        <f t="shared" si="89"/>
        <v>1094</v>
      </c>
      <c r="K1096">
        <f>IF(calendar[[#This Row],[Month]]&lt;4,1,IF(calendar[[#This Row],[Month]]&lt;7,2,IF(calendar[[#This Row],[Month]]&lt;10,3,4)))</f>
        <v>4</v>
      </c>
      <c r="L1096">
        <f>IFERROR(IF(VLOOKUP(calendar[[#This Row],[Date]],BH!A:A,1,)&lt;&gt;"",1,0),0)</f>
        <v>0</v>
      </c>
      <c r="M1096">
        <f>IFERROR(IF(VLOOKUP(calendar[[#This Row],[Date]],BH!C:C,1,)&lt;&gt;"",1,0),0)</f>
        <v>0</v>
      </c>
      <c r="N1096">
        <f>IFERROR(IF(VLOOKUP(calendar[[#This Row],[Date]],BH!E:E,1,)&lt;&gt;"",1,0),0)</f>
        <v>0</v>
      </c>
      <c r="O1096">
        <f>IFERROR(IF(VLOOKUP(calendar[[#This Row],[Date]],BH!G:G,1,)&lt;&gt;"",1,0),0)</f>
        <v>0</v>
      </c>
      <c r="P1096">
        <f>IF(OR(calendar[[#This Row],[UK_BH]]=1,calendar[[#This Row],[WeekDay]]=1, calendar[[#This Row],[WeekDay]]=7),P1095,P1095+1)</f>
        <v>782</v>
      </c>
      <c r="Q1096">
        <f>IF(OR(calendar[[#This Row],[FR_BH]]=1,calendar[[#This Row],[WeekDay]]=1, calendar[[#This Row],[WeekDay]]=7),P1095,P1095+1)</f>
        <v>782</v>
      </c>
      <c r="R1096">
        <f>IF(OR(calendar[[#This Row],[SP_BH]]=1,calendar[[#This Row],[WeekDay]]=1, calendar[[#This Row],[WeekDay]]=7),P1095,P1095+1)</f>
        <v>782</v>
      </c>
      <c r="S1096">
        <f>IF(OR(calendar[[#This Row],[PT_BH]]=1,calendar[[#This Row],[WeekDay]]=1, calendar[[#This Row],[WeekDay]]=7),P1095,P1095+1)</f>
        <v>782</v>
      </c>
    </row>
    <row r="1097" spans="1:19" x14ac:dyDescent="0.25">
      <c r="A1097" s="2">
        <v>43831</v>
      </c>
      <c r="B1097" s="1">
        <f t="shared" si="88"/>
        <v>1</v>
      </c>
      <c r="C1097">
        <f t="shared" si="85"/>
        <v>1</v>
      </c>
      <c r="D1097" t="str">
        <f t="shared" si="86"/>
        <v>January</v>
      </c>
      <c r="E1097">
        <f t="shared" si="87"/>
        <v>2020</v>
      </c>
      <c r="F1097" t="str">
        <f>CONCATENATE(calendar[[#This Row],[Month]],"/",calendar[[#This Row],[Year]])</f>
        <v>1/2020</v>
      </c>
      <c r="G1097">
        <f>WEEKDAY(calendar[[#This Row],[Date]],1)</f>
        <v>4</v>
      </c>
      <c r="H1097" t="str">
        <f>TEXT(calendar[[#This Row],[WeekDay]],"dddd")</f>
        <v>Wednesday</v>
      </c>
      <c r="I1097">
        <f>IF((INT(calendar[[#This Row],[Count]]/7)-calendar[[#This Row],[Count]]/7)&lt;0,I1096,I1096+1)</f>
        <v>157</v>
      </c>
      <c r="J1097">
        <f t="shared" si="89"/>
        <v>1095</v>
      </c>
      <c r="K1097">
        <f>IF(calendar[[#This Row],[Month]]&lt;4,1,IF(calendar[[#This Row],[Month]]&lt;7,2,IF(calendar[[#This Row],[Month]]&lt;10,3,4)))</f>
        <v>1</v>
      </c>
      <c r="L1097">
        <f>IFERROR(IF(VLOOKUP(calendar[[#This Row],[Date]],BH!A:A,1,)&lt;&gt;"",1,0),0)</f>
        <v>0</v>
      </c>
      <c r="M1097">
        <f>IFERROR(IF(VLOOKUP(calendar[[#This Row],[Date]],BH!C:C,1,)&lt;&gt;"",1,0),0)</f>
        <v>0</v>
      </c>
      <c r="N1097">
        <f>IFERROR(IF(VLOOKUP(calendar[[#This Row],[Date]],BH!E:E,1,)&lt;&gt;"",1,0),0)</f>
        <v>0</v>
      </c>
      <c r="O1097">
        <f>IFERROR(IF(VLOOKUP(calendar[[#This Row],[Date]],BH!G:G,1,)&lt;&gt;"",1,0),0)</f>
        <v>0</v>
      </c>
      <c r="P1097">
        <f>IF(OR(calendar[[#This Row],[UK_BH]]=1,calendar[[#This Row],[WeekDay]]=1, calendar[[#This Row],[WeekDay]]=7),P1096,P1096+1)</f>
        <v>783</v>
      </c>
      <c r="Q1097">
        <f>IF(OR(calendar[[#This Row],[FR_BH]]=1,calendar[[#This Row],[WeekDay]]=1, calendar[[#This Row],[WeekDay]]=7),P1096,P1096+1)</f>
        <v>783</v>
      </c>
      <c r="R1097">
        <f>IF(OR(calendar[[#This Row],[SP_BH]]=1,calendar[[#This Row],[WeekDay]]=1, calendar[[#This Row],[WeekDay]]=7),P1096,P1096+1)</f>
        <v>783</v>
      </c>
      <c r="S1097">
        <f>IF(OR(calendar[[#This Row],[PT_BH]]=1,calendar[[#This Row],[WeekDay]]=1, calendar[[#This Row],[WeekDay]]=7),P1096,P1096+1)</f>
        <v>783</v>
      </c>
    </row>
    <row r="1098" spans="1:19" x14ac:dyDescent="0.25">
      <c r="A1098" s="2">
        <v>43832</v>
      </c>
      <c r="B1098" s="1">
        <f t="shared" si="88"/>
        <v>1</v>
      </c>
      <c r="C1098">
        <f t="shared" si="85"/>
        <v>1</v>
      </c>
      <c r="D1098" t="str">
        <f t="shared" si="86"/>
        <v>January</v>
      </c>
      <c r="E1098">
        <f t="shared" si="87"/>
        <v>2020</v>
      </c>
      <c r="F1098" t="str">
        <f>CONCATENATE(calendar[[#This Row],[Month]],"/",calendar[[#This Row],[Year]])</f>
        <v>1/2020</v>
      </c>
      <c r="G1098">
        <f>WEEKDAY(calendar[[#This Row],[Date]],1)</f>
        <v>5</v>
      </c>
      <c r="H1098" t="str">
        <f>TEXT(calendar[[#This Row],[WeekDay]],"dddd")</f>
        <v>Thursday</v>
      </c>
      <c r="I1098">
        <f>IF((INT(calendar[[#This Row],[Count]]/7)-calendar[[#This Row],[Count]]/7)&lt;0,I1097,I1097+1)</f>
        <v>157</v>
      </c>
      <c r="J1098">
        <f t="shared" si="89"/>
        <v>1096</v>
      </c>
      <c r="K1098">
        <f>IF(calendar[[#This Row],[Month]]&lt;4,1,IF(calendar[[#This Row],[Month]]&lt;7,2,IF(calendar[[#This Row],[Month]]&lt;10,3,4)))</f>
        <v>1</v>
      </c>
      <c r="L1098">
        <f>IFERROR(IF(VLOOKUP(calendar[[#This Row],[Date]],BH!A:A,1,)&lt;&gt;"",1,0),0)</f>
        <v>0</v>
      </c>
      <c r="M1098">
        <f>IFERROR(IF(VLOOKUP(calendar[[#This Row],[Date]],BH!C:C,1,)&lt;&gt;"",1,0),0)</f>
        <v>0</v>
      </c>
      <c r="N1098">
        <f>IFERROR(IF(VLOOKUP(calendar[[#This Row],[Date]],BH!E:E,1,)&lt;&gt;"",1,0),0)</f>
        <v>0</v>
      </c>
      <c r="O1098">
        <f>IFERROR(IF(VLOOKUP(calendar[[#This Row],[Date]],BH!G:G,1,)&lt;&gt;"",1,0),0)</f>
        <v>0</v>
      </c>
      <c r="P1098">
        <f>IF(OR(calendar[[#This Row],[UK_BH]]=1,calendar[[#This Row],[WeekDay]]=1, calendar[[#This Row],[WeekDay]]=7),P1097,P1097+1)</f>
        <v>784</v>
      </c>
      <c r="Q1098">
        <f>IF(OR(calendar[[#This Row],[FR_BH]]=1,calendar[[#This Row],[WeekDay]]=1, calendar[[#This Row],[WeekDay]]=7),P1097,P1097+1)</f>
        <v>784</v>
      </c>
      <c r="R1098">
        <f>IF(OR(calendar[[#This Row],[SP_BH]]=1,calendar[[#This Row],[WeekDay]]=1, calendar[[#This Row],[WeekDay]]=7),P1097,P1097+1)</f>
        <v>784</v>
      </c>
      <c r="S1098">
        <f>IF(OR(calendar[[#This Row],[PT_BH]]=1,calendar[[#This Row],[WeekDay]]=1, calendar[[#This Row],[WeekDay]]=7),P1097,P1097+1)</f>
        <v>784</v>
      </c>
    </row>
    <row r="1099" spans="1:19" x14ac:dyDescent="0.25">
      <c r="A1099" s="2">
        <v>43833</v>
      </c>
      <c r="B1099" s="1">
        <f t="shared" si="88"/>
        <v>1</v>
      </c>
      <c r="C1099">
        <f t="shared" si="85"/>
        <v>1</v>
      </c>
      <c r="D1099" t="str">
        <f t="shared" si="86"/>
        <v>January</v>
      </c>
      <c r="E1099">
        <f t="shared" si="87"/>
        <v>2020</v>
      </c>
      <c r="F1099" t="str">
        <f>CONCATENATE(calendar[[#This Row],[Month]],"/",calendar[[#This Row],[Year]])</f>
        <v>1/2020</v>
      </c>
      <c r="G1099">
        <f>WEEKDAY(calendar[[#This Row],[Date]],1)</f>
        <v>6</v>
      </c>
      <c r="H1099" t="str">
        <f>TEXT(calendar[[#This Row],[WeekDay]],"dddd")</f>
        <v>Friday</v>
      </c>
      <c r="I1099">
        <f>IF((INT(calendar[[#This Row],[Count]]/7)-calendar[[#This Row],[Count]]/7)&lt;0,I1098,I1098+1)</f>
        <v>157</v>
      </c>
      <c r="J1099">
        <f t="shared" si="89"/>
        <v>1097</v>
      </c>
      <c r="K1099">
        <f>IF(calendar[[#This Row],[Month]]&lt;4,1,IF(calendar[[#This Row],[Month]]&lt;7,2,IF(calendar[[#This Row],[Month]]&lt;10,3,4)))</f>
        <v>1</v>
      </c>
      <c r="L1099">
        <f>IFERROR(IF(VLOOKUP(calendar[[#This Row],[Date]],BH!A:A,1,)&lt;&gt;"",1,0),0)</f>
        <v>0</v>
      </c>
      <c r="M1099">
        <f>IFERROR(IF(VLOOKUP(calendar[[#This Row],[Date]],BH!C:C,1,)&lt;&gt;"",1,0),0)</f>
        <v>0</v>
      </c>
      <c r="N1099">
        <f>IFERROR(IF(VLOOKUP(calendar[[#This Row],[Date]],BH!E:E,1,)&lt;&gt;"",1,0),0)</f>
        <v>0</v>
      </c>
      <c r="O1099">
        <f>IFERROR(IF(VLOOKUP(calendar[[#This Row],[Date]],BH!G:G,1,)&lt;&gt;"",1,0),0)</f>
        <v>0</v>
      </c>
      <c r="P1099">
        <f>IF(OR(calendar[[#This Row],[UK_BH]]=1,calendar[[#This Row],[WeekDay]]=1, calendar[[#This Row],[WeekDay]]=7),P1098,P1098+1)</f>
        <v>785</v>
      </c>
      <c r="Q1099">
        <f>IF(OR(calendar[[#This Row],[FR_BH]]=1,calendar[[#This Row],[WeekDay]]=1, calendar[[#This Row],[WeekDay]]=7),P1098,P1098+1)</f>
        <v>785</v>
      </c>
      <c r="R1099">
        <f>IF(OR(calendar[[#This Row],[SP_BH]]=1,calendar[[#This Row],[WeekDay]]=1, calendar[[#This Row],[WeekDay]]=7),P1098,P1098+1)</f>
        <v>785</v>
      </c>
      <c r="S1099">
        <f>IF(OR(calendar[[#This Row],[PT_BH]]=1,calendar[[#This Row],[WeekDay]]=1, calendar[[#This Row],[WeekDay]]=7),P1098,P1098+1)</f>
        <v>785</v>
      </c>
    </row>
    <row r="1100" spans="1:19" x14ac:dyDescent="0.25">
      <c r="A1100" s="2">
        <v>43834</v>
      </c>
      <c r="B1100" s="1">
        <f t="shared" si="88"/>
        <v>1</v>
      </c>
      <c r="C1100">
        <f t="shared" si="85"/>
        <v>1</v>
      </c>
      <c r="D1100" t="str">
        <f t="shared" si="86"/>
        <v>January</v>
      </c>
      <c r="E1100">
        <f t="shared" si="87"/>
        <v>2020</v>
      </c>
      <c r="F1100" t="str">
        <f>CONCATENATE(calendar[[#This Row],[Month]],"/",calendar[[#This Row],[Year]])</f>
        <v>1/2020</v>
      </c>
      <c r="G1100">
        <f>WEEKDAY(calendar[[#This Row],[Date]],1)</f>
        <v>7</v>
      </c>
      <c r="H1100" t="str">
        <f>TEXT(calendar[[#This Row],[WeekDay]],"dddd")</f>
        <v>Saturday</v>
      </c>
      <c r="I1100">
        <f>IF((INT(calendar[[#This Row],[Count]]/7)-calendar[[#This Row],[Count]]/7)&lt;0,I1099,I1099+1)</f>
        <v>157</v>
      </c>
      <c r="J1100">
        <f t="shared" si="89"/>
        <v>1098</v>
      </c>
      <c r="K1100">
        <f>IF(calendar[[#This Row],[Month]]&lt;4,1,IF(calendar[[#This Row],[Month]]&lt;7,2,IF(calendar[[#This Row],[Month]]&lt;10,3,4)))</f>
        <v>1</v>
      </c>
      <c r="L1100">
        <f>IFERROR(IF(VLOOKUP(calendar[[#This Row],[Date]],BH!A:A,1,)&lt;&gt;"",1,0),0)</f>
        <v>0</v>
      </c>
      <c r="M1100">
        <f>IFERROR(IF(VLOOKUP(calendar[[#This Row],[Date]],BH!C:C,1,)&lt;&gt;"",1,0),0)</f>
        <v>0</v>
      </c>
      <c r="N1100">
        <f>IFERROR(IF(VLOOKUP(calendar[[#This Row],[Date]],BH!E:E,1,)&lt;&gt;"",1,0),0)</f>
        <v>0</v>
      </c>
      <c r="O1100">
        <f>IFERROR(IF(VLOOKUP(calendar[[#This Row],[Date]],BH!G:G,1,)&lt;&gt;"",1,0),0)</f>
        <v>0</v>
      </c>
      <c r="P1100">
        <f>IF(OR(calendar[[#This Row],[UK_BH]]=1,calendar[[#This Row],[WeekDay]]=1, calendar[[#This Row],[WeekDay]]=7),P1099,P1099+1)</f>
        <v>785</v>
      </c>
      <c r="Q1100">
        <f>IF(OR(calendar[[#This Row],[FR_BH]]=1,calendar[[#This Row],[WeekDay]]=1, calendar[[#This Row],[WeekDay]]=7),P1099,P1099+1)</f>
        <v>785</v>
      </c>
      <c r="R1100">
        <f>IF(OR(calendar[[#This Row],[SP_BH]]=1,calendar[[#This Row],[WeekDay]]=1, calendar[[#This Row],[WeekDay]]=7),P1099,P1099+1)</f>
        <v>785</v>
      </c>
      <c r="S1100">
        <f>IF(OR(calendar[[#This Row],[PT_BH]]=1,calendar[[#This Row],[WeekDay]]=1, calendar[[#This Row],[WeekDay]]=7),P1099,P1099+1)</f>
        <v>785</v>
      </c>
    </row>
    <row r="1101" spans="1:19" x14ac:dyDescent="0.25">
      <c r="A1101" s="2">
        <v>43835</v>
      </c>
      <c r="B1101" s="1">
        <f t="shared" si="88"/>
        <v>2</v>
      </c>
      <c r="C1101">
        <f t="shared" si="85"/>
        <v>1</v>
      </c>
      <c r="D1101" t="str">
        <f t="shared" si="86"/>
        <v>January</v>
      </c>
      <c r="E1101">
        <f t="shared" si="87"/>
        <v>2020</v>
      </c>
      <c r="F1101" t="str">
        <f>CONCATENATE(calendar[[#This Row],[Month]],"/",calendar[[#This Row],[Year]])</f>
        <v>1/2020</v>
      </c>
      <c r="G1101">
        <f>WEEKDAY(calendar[[#This Row],[Date]],1)</f>
        <v>1</v>
      </c>
      <c r="H1101" t="str">
        <f>TEXT(calendar[[#This Row],[WeekDay]],"dddd")</f>
        <v>Sunday</v>
      </c>
      <c r="I1101">
        <f>IF((INT(calendar[[#This Row],[Count]]/7)-calendar[[#This Row],[Count]]/7)&lt;0,I1100,I1100+1)</f>
        <v>158</v>
      </c>
      <c r="J1101">
        <f t="shared" si="89"/>
        <v>1099</v>
      </c>
      <c r="K1101">
        <f>IF(calendar[[#This Row],[Month]]&lt;4,1,IF(calendar[[#This Row],[Month]]&lt;7,2,IF(calendar[[#This Row],[Month]]&lt;10,3,4)))</f>
        <v>1</v>
      </c>
      <c r="L1101">
        <f>IFERROR(IF(VLOOKUP(calendar[[#This Row],[Date]],BH!A:A,1,)&lt;&gt;"",1,0),0)</f>
        <v>0</v>
      </c>
      <c r="M1101">
        <f>IFERROR(IF(VLOOKUP(calendar[[#This Row],[Date]],BH!C:C,1,)&lt;&gt;"",1,0),0)</f>
        <v>0</v>
      </c>
      <c r="N1101">
        <f>IFERROR(IF(VLOOKUP(calendar[[#This Row],[Date]],BH!E:E,1,)&lt;&gt;"",1,0),0)</f>
        <v>0</v>
      </c>
      <c r="O1101">
        <f>IFERROR(IF(VLOOKUP(calendar[[#This Row],[Date]],BH!G:G,1,)&lt;&gt;"",1,0),0)</f>
        <v>0</v>
      </c>
      <c r="P1101">
        <f>IF(OR(calendar[[#This Row],[UK_BH]]=1,calendar[[#This Row],[WeekDay]]=1, calendar[[#This Row],[WeekDay]]=7),P1100,P1100+1)</f>
        <v>785</v>
      </c>
      <c r="Q1101">
        <f>IF(OR(calendar[[#This Row],[FR_BH]]=1,calendar[[#This Row],[WeekDay]]=1, calendar[[#This Row],[WeekDay]]=7),P1100,P1100+1)</f>
        <v>785</v>
      </c>
      <c r="R1101">
        <f>IF(OR(calendar[[#This Row],[SP_BH]]=1,calendar[[#This Row],[WeekDay]]=1, calendar[[#This Row],[WeekDay]]=7),P1100,P1100+1)</f>
        <v>785</v>
      </c>
      <c r="S1101">
        <f>IF(OR(calendar[[#This Row],[PT_BH]]=1,calendar[[#This Row],[WeekDay]]=1, calendar[[#This Row],[WeekDay]]=7),P1100,P1100+1)</f>
        <v>785</v>
      </c>
    </row>
    <row r="1102" spans="1:19" x14ac:dyDescent="0.25">
      <c r="A1102" s="2">
        <v>43836</v>
      </c>
      <c r="B1102" s="1">
        <f t="shared" si="88"/>
        <v>2</v>
      </c>
      <c r="C1102">
        <f t="shared" si="85"/>
        <v>1</v>
      </c>
      <c r="D1102" t="str">
        <f t="shared" si="86"/>
        <v>January</v>
      </c>
      <c r="E1102">
        <f t="shared" si="87"/>
        <v>2020</v>
      </c>
      <c r="F1102" t="str">
        <f>CONCATENATE(calendar[[#This Row],[Month]],"/",calendar[[#This Row],[Year]])</f>
        <v>1/2020</v>
      </c>
      <c r="G1102">
        <f>WEEKDAY(calendar[[#This Row],[Date]],1)</f>
        <v>2</v>
      </c>
      <c r="H1102" t="str">
        <f>TEXT(calendar[[#This Row],[WeekDay]],"dddd")</f>
        <v>Monday</v>
      </c>
      <c r="I1102">
        <f>IF((INT(calendar[[#This Row],[Count]]/7)-calendar[[#This Row],[Count]]/7)&lt;0,I1101,I1101+1)</f>
        <v>158</v>
      </c>
      <c r="J1102">
        <f t="shared" si="89"/>
        <v>1100</v>
      </c>
      <c r="K1102">
        <f>IF(calendar[[#This Row],[Month]]&lt;4,1,IF(calendar[[#This Row],[Month]]&lt;7,2,IF(calendar[[#This Row],[Month]]&lt;10,3,4)))</f>
        <v>1</v>
      </c>
      <c r="L1102">
        <f>IFERROR(IF(VLOOKUP(calendar[[#This Row],[Date]],BH!A:A,1,)&lt;&gt;"",1,0),0)</f>
        <v>0</v>
      </c>
      <c r="M1102">
        <f>IFERROR(IF(VLOOKUP(calendar[[#This Row],[Date]],BH!C:C,1,)&lt;&gt;"",1,0),0)</f>
        <v>0</v>
      </c>
      <c r="N1102">
        <f>IFERROR(IF(VLOOKUP(calendar[[#This Row],[Date]],BH!E:E,1,)&lt;&gt;"",1,0),0)</f>
        <v>0</v>
      </c>
      <c r="O1102">
        <f>IFERROR(IF(VLOOKUP(calendar[[#This Row],[Date]],BH!G:G,1,)&lt;&gt;"",1,0),0)</f>
        <v>0</v>
      </c>
      <c r="P1102">
        <f>IF(OR(calendar[[#This Row],[UK_BH]]=1,calendar[[#This Row],[WeekDay]]=1, calendar[[#This Row],[WeekDay]]=7),P1101,P1101+1)</f>
        <v>786</v>
      </c>
      <c r="Q1102">
        <f>IF(OR(calendar[[#This Row],[FR_BH]]=1,calendar[[#This Row],[WeekDay]]=1, calendar[[#This Row],[WeekDay]]=7),P1101,P1101+1)</f>
        <v>786</v>
      </c>
      <c r="R1102">
        <f>IF(OR(calendar[[#This Row],[SP_BH]]=1,calendar[[#This Row],[WeekDay]]=1, calendar[[#This Row],[WeekDay]]=7),P1101,P1101+1)</f>
        <v>786</v>
      </c>
      <c r="S1102">
        <f>IF(OR(calendar[[#This Row],[PT_BH]]=1,calendar[[#This Row],[WeekDay]]=1, calendar[[#This Row],[WeekDay]]=7),P1101,P1101+1)</f>
        <v>786</v>
      </c>
    </row>
    <row r="1103" spans="1:19" x14ac:dyDescent="0.25">
      <c r="A1103" s="2">
        <v>43837</v>
      </c>
      <c r="B1103" s="1">
        <f t="shared" si="88"/>
        <v>2</v>
      </c>
      <c r="C1103">
        <f t="shared" si="85"/>
        <v>1</v>
      </c>
      <c r="D1103" t="str">
        <f t="shared" si="86"/>
        <v>January</v>
      </c>
      <c r="E1103">
        <f t="shared" si="87"/>
        <v>2020</v>
      </c>
      <c r="F1103" t="str">
        <f>CONCATENATE(calendar[[#This Row],[Month]],"/",calendar[[#This Row],[Year]])</f>
        <v>1/2020</v>
      </c>
      <c r="G1103">
        <f>WEEKDAY(calendar[[#This Row],[Date]],1)</f>
        <v>3</v>
      </c>
      <c r="H1103" t="str">
        <f>TEXT(calendar[[#This Row],[WeekDay]],"dddd")</f>
        <v>Tuesday</v>
      </c>
      <c r="I1103">
        <f>IF((INT(calendar[[#This Row],[Count]]/7)-calendar[[#This Row],[Count]]/7)&lt;0,I1102,I1102+1)</f>
        <v>158</v>
      </c>
      <c r="J1103">
        <f t="shared" si="89"/>
        <v>1101</v>
      </c>
      <c r="K1103">
        <f>IF(calendar[[#This Row],[Month]]&lt;4,1,IF(calendar[[#This Row],[Month]]&lt;7,2,IF(calendar[[#This Row],[Month]]&lt;10,3,4)))</f>
        <v>1</v>
      </c>
      <c r="L1103">
        <f>IFERROR(IF(VLOOKUP(calendar[[#This Row],[Date]],BH!A:A,1,)&lt;&gt;"",1,0),0)</f>
        <v>0</v>
      </c>
      <c r="M1103">
        <f>IFERROR(IF(VLOOKUP(calendar[[#This Row],[Date]],BH!C:C,1,)&lt;&gt;"",1,0),0)</f>
        <v>0</v>
      </c>
      <c r="N1103">
        <f>IFERROR(IF(VLOOKUP(calendar[[#This Row],[Date]],BH!E:E,1,)&lt;&gt;"",1,0),0)</f>
        <v>0</v>
      </c>
      <c r="O1103">
        <f>IFERROR(IF(VLOOKUP(calendar[[#This Row],[Date]],BH!G:G,1,)&lt;&gt;"",1,0),0)</f>
        <v>0</v>
      </c>
      <c r="P1103">
        <f>IF(OR(calendar[[#This Row],[UK_BH]]=1,calendar[[#This Row],[WeekDay]]=1, calendar[[#This Row],[WeekDay]]=7),P1102,P1102+1)</f>
        <v>787</v>
      </c>
      <c r="Q1103">
        <f>IF(OR(calendar[[#This Row],[FR_BH]]=1,calendar[[#This Row],[WeekDay]]=1, calendar[[#This Row],[WeekDay]]=7),P1102,P1102+1)</f>
        <v>787</v>
      </c>
      <c r="R1103">
        <f>IF(OR(calendar[[#This Row],[SP_BH]]=1,calendar[[#This Row],[WeekDay]]=1, calendar[[#This Row],[WeekDay]]=7),P1102,P1102+1)</f>
        <v>787</v>
      </c>
      <c r="S1103">
        <f>IF(OR(calendar[[#This Row],[PT_BH]]=1,calendar[[#This Row],[WeekDay]]=1, calendar[[#This Row],[WeekDay]]=7),P1102,P1102+1)</f>
        <v>787</v>
      </c>
    </row>
    <row r="1104" spans="1:19" x14ac:dyDescent="0.25">
      <c r="A1104" s="2">
        <v>43838</v>
      </c>
      <c r="B1104" s="1">
        <f t="shared" si="88"/>
        <v>2</v>
      </c>
      <c r="C1104">
        <f t="shared" ref="C1104:C1167" si="90">MONTH(A1104)</f>
        <v>1</v>
      </c>
      <c r="D1104" t="str">
        <f t="shared" ref="D1104:D1167" si="91">TEXT(A1104,"mmmm")</f>
        <v>January</v>
      </c>
      <c r="E1104">
        <f t="shared" ref="E1104:E1167" si="92">YEAR(A1104)</f>
        <v>2020</v>
      </c>
      <c r="F1104" t="str">
        <f>CONCATENATE(calendar[[#This Row],[Month]],"/",calendar[[#This Row],[Year]])</f>
        <v>1/2020</v>
      </c>
      <c r="G1104">
        <f>WEEKDAY(calendar[[#This Row],[Date]],1)</f>
        <v>4</v>
      </c>
      <c r="H1104" t="str">
        <f>TEXT(calendar[[#This Row],[WeekDay]],"dddd")</f>
        <v>Wednesday</v>
      </c>
      <c r="I1104">
        <f>IF((INT(calendar[[#This Row],[Count]]/7)-calendar[[#This Row],[Count]]/7)&lt;0,I1103,I1103+1)</f>
        <v>158</v>
      </c>
      <c r="J1104">
        <f t="shared" si="89"/>
        <v>1102</v>
      </c>
      <c r="K1104">
        <f>IF(calendar[[#This Row],[Month]]&lt;4,1,IF(calendar[[#This Row],[Month]]&lt;7,2,IF(calendar[[#This Row],[Month]]&lt;10,3,4)))</f>
        <v>1</v>
      </c>
      <c r="L1104">
        <f>IFERROR(IF(VLOOKUP(calendar[[#This Row],[Date]],BH!A:A,1,)&lt;&gt;"",1,0),0)</f>
        <v>0</v>
      </c>
      <c r="M1104">
        <f>IFERROR(IF(VLOOKUP(calendar[[#This Row],[Date]],BH!C:C,1,)&lt;&gt;"",1,0),0)</f>
        <v>0</v>
      </c>
      <c r="N1104">
        <f>IFERROR(IF(VLOOKUP(calendar[[#This Row],[Date]],BH!E:E,1,)&lt;&gt;"",1,0),0)</f>
        <v>0</v>
      </c>
      <c r="O1104">
        <f>IFERROR(IF(VLOOKUP(calendar[[#This Row],[Date]],BH!G:G,1,)&lt;&gt;"",1,0),0)</f>
        <v>0</v>
      </c>
      <c r="P1104">
        <f>IF(OR(calendar[[#This Row],[UK_BH]]=1,calendar[[#This Row],[WeekDay]]=1, calendar[[#This Row],[WeekDay]]=7),P1103,P1103+1)</f>
        <v>788</v>
      </c>
      <c r="Q1104">
        <f>IF(OR(calendar[[#This Row],[FR_BH]]=1,calendar[[#This Row],[WeekDay]]=1, calendar[[#This Row],[WeekDay]]=7),P1103,P1103+1)</f>
        <v>788</v>
      </c>
      <c r="R1104">
        <f>IF(OR(calendar[[#This Row],[SP_BH]]=1,calendar[[#This Row],[WeekDay]]=1, calendar[[#This Row],[WeekDay]]=7),P1103,P1103+1)</f>
        <v>788</v>
      </c>
      <c r="S1104">
        <f>IF(OR(calendar[[#This Row],[PT_BH]]=1,calendar[[#This Row],[WeekDay]]=1, calendar[[#This Row],[WeekDay]]=7),P1103,P1103+1)</f>
        <v>788</v>
      </c>
    </row>
    <row r="1105" spans="1:19" x14ac:dyDescent="0.25">
      <c r="A1105" s="2">
        <v>43839</v>
      </c>
      <c r="B1105" s="1">
        <f t="shared" si="88"/>
        <v>2</v>
      </c>
      <c r="C1105">
        <f t="shared" si="90"/>
        <v>1</v>
      </c>
      <c r="D1105" t="str">
        <f t="shared" si="91"/>
        <v>January</v>
      </c>
      <c r="E1105">
        <f t="shared" si="92"/>
        <v>2020</v>
      </c>
      <c r="F1105" t="str">
        <f>CONCATENATE(calendar[[#This Row],[Month]],"/",calendar[[#This Row],[Year]])</f>
        <v>1/2020</v>
      </c>
      <c r="G1105">
        <f>WEEKDAY(calendar[[#This Row],[Date]],1)</f>
        <v>5</v>
      </c>
      <c r="H1105" t="str">
        <f>TEXT(calendar[[#This Row],[WeekDay]],"dddd")</f>
        <v>Thursday</v>
      </c>
      <c r="I1105">
        <f>IF((INT(calendar[[#This Row],[Count]]/7)-calendar[[#This Row],[Count]]/7)&lt;0,I1104,I1104+1)</f>
        <v>158</v>
      </c>
      <c r="J1105">
        <f t="shared" si="89"/>
        <v>1103</v>
      </c>
      <c r="K1105">
        <f>IF(calendar[[#This Row],[Month]]&lt;4,1,IF(calendar[[#This Row],[Month]]&lt;7,2,IF(calendar[[#This Row],[Month]]&lt;10,3,4)))</f>
        <v>1</v>
      </c>
      <c r="L1105">
        <f>IFERROR(IF(VLOOKUP(calendar[[#This Row],[Date]],BH!A:A,1,)&lt;&gt;"",1,0),0)</f>
        <v>0</v>
      </c>
      <c r="M1105">
        <f>IFERROR(IF(VLOOKUP(calendar[[#This Row],[Date]],BH!C:C,1,)&lt;&gt;"",1,0),0)</f>
        <v>0</v>
      </c>
      <c r="N1105">
        <f>IFERROR(IF(VLOOKUP(calendar[[#This Row],[Date]],BH!E:E,1,)&lt;&gt;"",1,0),0)</f>
        <v>0</v>
      </c>
      <c r="O1105">
        <f>IFERROR(IF(VLOOKUP(calendar[[#This Row],[Date]],BH!G:G,1,)&lt;&gt;"",1,0),0)</f>
        <v>0</v>
      </c>
      <c r="P1105">
        <f>IF(OR(calendar[[#This Row],[UK_BH]]=1,calendar[[#This Row],[WeekDay]]=1, calendar[[#This Row],[WeekDay]]=7),P1104,P1104+1)</f>
        <v>789</v>
      </c>
      <c r="Q1105">
        <f>IF(OR(calendar[[#This Row],[FR_BH]]=1,calendar[[#This Row],[WeekDay]]=1, calendar[[#This Row],[WeekDay]]=7),P1104,P1104+1)</f>
        <v>789</v>
      </c>
      <c r="R1105">
        <f>IF(OR(calendar[[#This Row],[SP_BH]]=1,calendar[[#This Row],[WeekDay]]=1, calendar[[#This Row],[WeekDay]]=7),P1104,P1104+1)</f>
        <v>789</v>
      </c>
      <c r="S1105">
        <f>IF(OR(calendar[[#This Row],[PT_BH]]=1,calendar[[#This Row],[WeekDay]]=1, calendar[[#This Row],[WeekDay]]=7),P1104,P1104+1)</f>
        <v>789</v>
      </c>
    </row>
    <row r="1106" spans="1:19" x14ac:dyDescent="0.25">
      <c r="A1106" s="2">
        <v>43840</v>
      </c>
      <c r="B1106" s="1">
        <f t="shared" si="88"/>
        <v>2</v>
      </c>
      <c r="C1106">
        <f t="shared" si="90"/>
        <v>1</v>
      </c>
      <c r="D1106" t="str">
        <f t="shared" si="91"/>
        <v>January</v>
      </c>
      <c r="E1106">
        <f t="shared" si="92"/>
        <v>2020</v>
      </c>
      <c r="F1106" t="str">
        <f>CONCATENATE(calendar[[#This Row],[Month]],"/",calendar[[#This Row],[Year]])</f>
        <v>1/2020</v>
      </c>
      <c r="G1106">
        <f>WEEKDAY(calendar[[#This Row],[Date]],1)</f>
        <v>6</v>
      </c>
      <c r="H1106" t="str">
        <f>TEXT(calendar[[#This Row],[WeekDay]],"dddd")</f>
        <v>Friday</v>
      </c>
      <c r="I1106">
        <f>IF((INT(calendar[[#This Row],[Count]]/7)-calendar[[#This Row],[Count]]/7)&lt;0,I1105,I1105+1)</f>
        <v>158</v>
      </c>
      <c r="J1106">
        <f t="shared" si="89"/>
        <v>1104</v>
      </c>
      <c r="K1106">
        <f>IF(calendar[[#This Row],[Month]]&lt;4,1,IF(calendar[[#This Row],[Month]]&lt;7,2,IF(calendar[[#This Row],[Month]]&lt;10,3,4)))</f>
        <v>1</v>
      </c>
      <c r="L1106">
        <f>IFERROR(IF(VLOOKUP(calendar[[#This Row],[Date]],BH!A:A,1,)&lt;&gt;"",1,0),0)</f>
        <v>0</v>
      </c>
      <c r="M1106">
        <f>IFERROR(IF(VLOOKUP(calendar[[#This Row],[Date]],BH!C:C,1,)&lt;&gt;"",1,0),0)</f>
        <v>0</v>
      </c>
      <c r="N1106">
        <f>IFERROR(IF(VLOOKUP(calendar[[#This Row],[Date]],BH!E:E,1,)&lt;&gt;"",1,0),0)</f>
        <v>0</v>
      </c>
      <c r="O1106">
        <f>IFERROR(IF(VLOOKUP(calendar[[#This Row],[Date]],BH!G:G,1,)&lt;&gt;"",1,0),0)</f>
        <v>0</v>
      </c>
      <c r="P1106">
        <f>IF(OR(calendar[[#This Row],[UK_BH]]=1,calendar[[#This Row],[WeekDay]]=1, calendar[[#This Row],[WeekDay]]=7),P1105,P1105+1)</f>
        <v>790</v>
      </c>
      <c r="Q1106">
        <f>IF(OR(calendar[[#This Row],[FR_BH]]=1,calendar[[#This Row],[WeekDay]]=1, calendar[[#This Row],[WeekDay]]=7),P1105,P1105+1)</f>
        <v>790</v>
      </c>
      <c r="R1106">
        <f>IF(OR(calendar[[#This Row],[SP_BH]]=1,calendar[[#This Row],[WeekDay]]=1, calendar[[#This Row],[WeekDay]]=7),P1105,P1105+1)</f>
        <v>790</v>
      </c>
      <c r="S1106">
        <f>IF(OR(calendar[[#This Row],[PT_BH]]=1,calendar[[#This Row],[WeekDay]]=1, calendar[[#This Row],[WeekDay]]=7),P1105,P1105+1)</f>
        <v>790</v>
      </c>
    </row>
    <row r="1107" spans="1:19" x14ac:dyDescent="0.25">
      <c r="A1107" s="2">
        <v>43841</v>
      </c>
      <c r="B1107" s="1">
        <f t="shared" si="88"/>
        <v>2</v>
      </c>
      <c r="C1107">
        <f t="shared" si="90"/>
        <v>1</v>
      </c>
      <c r="D1107" t="str">
        <f t="shared" si="91"/>
        <v>January</v>
      </c>
      <c r="E1107">
        <f t="shared" si="92"/>
        <v>2020</v>
      </c>
      <c r="F1107" t="str">
        <f>CONCATENATE(calendar[[#This Row],[Month]],"/",calendar[[#This Row],[Year]])</f>
        <v>1/2020</v>
      </c>
      <c r="G1107">
        <f>WEEKDAY(calendar[[#This Row],[Date]],1)</f>
        <v>7</v>
      </c>
      <c r="H1107" t="str">
        <f>TEXT(calendar[[#This Row],[WeekDay]],"dddd")</f>
        <v>Saturday</v>
      </c>
      <c r="I1107">
        <f>IF((INT(calendar[[#This Row],[Count]]/7)-calendar[[#This Row],[Count]]/7)&lt;0,I1106,I1106+1)</f>
        <v>158</v>
      </c>
      <c r="J1107">
        <f t="shared" si="89"/>
        <v>1105</v>
      </c>
      <c r="K1107">
        <f>IF(calendar[[#This Row],[Month]]&lt;4,1,IF(calendar[[#This Row],[Month]]&lt;7,2,IF(calendar[[#This Row],[Month]]&lt;10,3,4)))</f>
        <v>1</v>
      </c>
      <c r="L1107">
        <f>IFERROR(IF(VLOOKUP(calendar[[#This Row],[Date]],BH!A:A,1,)&lt;&gt;"",1,0),0)</f>
        <v>0</v>
      </c>
      <c r="M1107">
        <f>IFERROR(IF(VLOOKUP(calendar[[#This Row],[Date]],BH!C:C,1,)&lt;&gt;"",1,0),0)</f>
        <v>0</v>
      </c>
      <c r="N1107">
        <f>IFERROR(IF(VLOOKUP(calendar[[#This Row],[Date]],BH!E:E,1,)&lt;&gt;"",1,0),0)</f>
        <v>0</v>
      </c>
      <c r="O1107">
        <f>IFERROR(IF(VLOOKUP(calendar[[#This Row],[Date]],BH!G:G,1,)&lt;&gt;"",1,0),0)</f>
        <v>0</v>
      </c>
      <c r="P1107">
        <f>IF(OR(calendar[[#This Row],[UK_BH]]=1,calendar[[#This Row],[WeekDay]]=1, calendar[[#This Row],[WeekDay]]=7),P1106,P1106+1)</f>
        <v>790</v>
      </c>
      <c r="Q1107">
        <f>IF(OR(calendar[[#This Row],[FR_BH]]=1,calendar[[#This Row],[WeekDay]]=1, calendar[[#This Row],[WeekDay]]=7),P1106,P1106+1)</f>
        <v>790</v>
      </c>
      <c r="R1107">
        <f>IF(OR(calendar[[#This Row],[SP_BH]]=1,calendar[[#This Row],[WeekDay]]=1, calendar[[#This Row],[WeekDay]]=7),P1106,P1106+1)</f>
        <v>790</v>
      </c>
      <c r="S1107">
        <f>IF(OR(calendar[[#This Row],[PT_BH]]=1,calendar[[#This Row],[WeekDay]]=1, calendar[[#This Row],[WeekDay]]=7),P1106,P1106+1)</f>
        <v>790</v>
      </c>
    </row>
    <row r="1108" spans="1:19" x14ac:dyDescent="0.25">
      <c r="A1108" s="2">
        <v>43842</v>
      </c>
      <c r="B1108" s="1">
        <f t="shared" si="88"/>
        <v>3</v>
      </c>
      <c r="C1108">
        <f t="shared" si="90"/>
        <v>1</v>
      </c>
      <c r="D1108" t="str">
        <f t="shared" si="91"/>
        <v>January</v>
      </c>
      <c r="E1108">
        <f t="shared" si="92"/>
        <v>2020</v>
      </c>
      <c r="F1108" t="str">
        <f>CONCATENATE(calendar[[#This Row],[Month]],"/",calendar[[#This Row],[Year]])</f>
        <v>1/2020</v>
      </c>
      <c r="G1108">
        <f>WEEKDAY(calendar[[#This Row],[Date]],1)</f>
        <v>1</v>
      </c>
      <c r="H1108" t="str">
        <f>TEXT(calendar[[#This Row],[WeekDay]],"dddd")</f>
        <v>Sunday</v>
      </c>
      <c r="I1108">
        <f>IF((INT(calendar[[#This Row],[Count]]/7)-calendar[[#This Row],[Count]]/7)&lt;0,I1107,I1107+1)</f>
        <v>159</v>
      </c>
      <c r="J1108">
        <f t="shared" si="89"/>
        <v>1106</v>
      </c>
      <c r="K1108">
        <f>IF(calendar[[#This Row],[Month]]&lt;4,1,IF(calendar[[#This Row],[Month]]&lt;7,2,IF(calendar[[#This Row],[Month]]&lt;10,3,4)))</f>
        <v>1</v>
      </c>
      <c r="L1108">
        <f>IFERROR(IF(VLOOKUP(calendar[[#This Row],[Date]],BH!A:A,1,)&lt;&gt;"",1,0),0)</f>
        <v>0</v>
      </c>
      <c r="M1108">
        <f>IFERROR(IF(VLOOKUP(calendar[[#This Row],[Date]],BH!C:C,1,)&lt;&gt;"",1,0),0)</f>
        <v>0</v>
      </c>
      <c r="N1108">
        <f>IFERROR(IF(VLOOKUP(calendar[[#This Row],[Date]],BH!E:E,1,)&lt;&gt;"",1,0),0)</f>
        <v>0</v>
      </c>
      <c r="O1108">
        <f>IFERROR(IF(VLOOKUP(calendar[[#This Row],[Date]],BH!G:G,1,)&lt;&gt;"",1,0),0)</f>
        <v>0</v>
      </c>
      <c r="P1108">
        <f>IF(OR(calendar[[#This Row],[UK_BH]]=1,calendar[[#This Row],[WeekDay]]=1, calendar[[#This Row],[WeekDay]]=7),P1107,P1107+1)</f>
        <v>790</v>
      </c>
      <c r="Q1108">
        <f>IF(OR(calendar[[#This Row],[FR_BH]]=1,calendar[[#This Row],[WeekDay]]=1, calendar[[#This Row],[WeekDay]]=7),P1107,P1107+1)</f>
        <v>790</v>
      </c>
      <c r="R1108">
        <f>IF(OR(calendar[[#This Row],[SP_BH]]=1,calendar[[#This Row],[WeekDay]]=1, calendar[[#This Row],[WeekDay]]=7),P1107,P1107+1)</f>
        <v>790</v>
      </c>
      <c r="S1108">
        <f>IF(OR(calendar[[#This Row],[PT_BH]]=1,calendar[[#This Row],[WeekDay]]=1, calendar[[#This Row],[WeekDay]]=7),P1107,P1107+1)</f>
        <v>790</v>
      </c>
    </row>
    <row r="1109" spans="1:19" x14ac:dyDescent="0.25">
      <c r="A1109" s="2">
        <v>43843</v>
      </c>
      <c r="B1109" s="1">
        <f t="shared" si="88"/>
        <v>3</v>
      </c>
      <c r="C1109">
        <f t="shared" si="90"/>
        <v>1</v>
      </c>
      <c r="D1109" t="str">
        <f t="shared" si="91"/>
        <v>January</v>
      </c>
      <c r="E1109">
        <f t="shared" si="92"/>
        <v>2020</v>
      </c>
      <c r="F1109" t="str">
        <f>CONCATENATE(calendar[[#This Row],[Month]],"/",calendar[[#This Row],[Year]])</f>
        <v>1/2020</v>
      </c>
      <c r="G1109">
        <f>WEEKDAY(calendar[[#This Row],[Date]],1)</f>
        <v>2</v>
      </c>
      <c r="H1109" t="str">
        <f>TEXT(calendar[[#This Row],[WeekDay]],"dddd")</f>
        <v>Monday</v>
      </c>
      <c r="I1109">
        <f>IF((INT(calendar[[#This Row],[Count]]/7)-calendar[[#This Row],[Count]]/7)&lt;0,I1108,I1108+1)</f>
        <v>159</v>
      </c>
      <c r="J1109">
        <f t="shared" si="89"/>
        <v>1107</v>
      </c>
      <c r="K1109">
        <f>IF(calendar[[#This Row],[Month]]&lt;4,1,IF(calendar[[#This Row],[Month]]&lt;7,2,IF(calendar[[#This Row],[Month]]&lt;10,3,4)))</f>
        <v>1</v>
      </c>
      <c r="L1109">
        <f>IFERROR(IF(VLOOKUP(calendar[[#This Row],[Date]],BH!A:A,1,)&lt;&gt;"",1,0),0)</f>
        <v>0</v>
      </c>
      <c r="M1109">
        <f>IFERROR(IF(VLOOKUP(calendar[[#This Row],[Date]],BH!C:C,1,)&lt;&gt;"",1,0),0)</f>
        <v>0</v>
      </c>
      <c r="N1109">
        <f>IFERROR(IF(VLOOKUP(calendar[[#This Row],[Date]],BH!E:E,1,)&lt;&gt;"",1,0),0)</f>
        <v>0</v>
      </c>
      <c r="O1109">
        <f>IFERROR(IF(VLOOKUP(calendar[[#This Row],[Date]],BH!G:G,1,)&lt;&gt;"",1,0),0)</f>
        <v>0</v>
      </c>
      <c r="P1109">
        <f>IF(OR(calendar[[#This Row],[UK_BH]]=1,calendar[[#This Row],[WeekDay]]=1, calendar[[#This Row],[WeekDay]]=7),P1108,P1108+1)</f>
        <v>791</v>
      </c>
      <c r="Q1109">
        <f>IF(OR(calendar[[#This Row],[FR_BH]]=1,calendar[[#This Row],[WeekDay]]=1, calendar[[#This Row],[WeekDay]]=7),P1108,P1108+1)</f>
        <v>791</v>
      </c>
      <c r="R1109">
        <f>IF(OR(calendar[[#This Row],[SP_BH]]=1,calendar[[#This Row],[WeekDay]]=1, calendar[[#This Row],[WeekDay]]=7),P1108,P1108+1)</f>
        <v>791</v>
      </c>
      <c r="S1109">
        <f>IF(OR(calendar[[#This Row],[PT_BH]]=1,calendar[[#This Row],[WeekDay]]=1, calendar[[#This Row],[WeekDay]]=7),P1108,P1108+1)</f>
        <v>791</v>
      </c>
    </row>
    <row r="1110" spans="1:19" x14ac:dyDescent="0.25">
      <c r="A1110" s="2">
        <v>43844</v>
      </c>
      <c r="B1110" s="1">
        <f t="shared" si="88"/>
        <v>3</v>
      </c>
      <c r="C1110">
        <f t="shared" si="90"/>
        <v>1</v>
      </c>
      <c r="D1110" t="str">
        <f t="shared" si="91"/>
        <v>January</v>
      </c>
      <c r="E1110">
        <f t="shared" si="92"/>
        <v>2020</v>
      </c>
      <c r="F1110" t="str">
        <f>CONCATENATE(calendar[[#This Row],[Month]],"/",calendar[[#This Row],[Year]])</f>
        <v>1/2020</v>
      </c>
      <c r="G1110">
        <f>WEEKDAY(calendar[[#This Row],[Date]],1)</f>
        <v>3</v>
      </c>
      <c r="H1110" t="str">
        <f>TEXT(calendar[[#This Row],[WeekDay]],"dddd")</f>
        <v>Tuesday</v>
      </c>
      <c r="I1110">
        <f>IF((INT(calendar[[#This Row],[Count]]/7)-calendar[[#This Row],[Count]]/7)&lt;0,I1109,I1109+1)</f>
        <v>159</v>
      </c>
      <c r="J1110">
        <f t="shared" si="89"/>
        <v>1108</v>
      </c>
      <c r="K1110">
        <f>IF(calendar[[#This Row],[Month]]&lt;4,1,IF(calendar[[#This Row],[Month]]&lt;7,2,IF(calendar[[#This Row],[Month]]&lt;10,3,4)))</f>
        <v>1</v>
      </c>
      <c r="L1110">
        <f>IFERROR(IF(VLOOKUP(calendar[[#This Row],[Date]],BH!A:A,1,)&lt;&gt;"",1,0),0)</f>
        <v>0</v>
      </c>
      <c r="M1110">
        <f>IFERROR(IF(VLOOKUP(calendar[[#This Row],[Date]],BH!C:C,1,)&lt;&gt;"",1,0),0)</f>
        <v>0</v>
      </c>
      <c r="N1110">
        <f>IFERROR(IF(VLOOKUP(calendar[[#This Row],[Date]],BH!E:E,1,)&lt;&gt;"",1,0),0)</f>
        <v>0</v>
      </c>
      <c r="O1110">
        <f>IFERROR(IF(VLOOKUP(calendar[[#This Row],[Date]],BH!G:G,1,)&lt;&gt;"",1,0),0)</f>
        <v>0</v>
      </c>
      <c r="P1110">
        <f>IF(OR(calendar[[#This Row],[UK_BH]]=1,calendar[[#This Row],[WeekDay]]=1, calendar[[#This Row],[WeekDay]]=7),P1109,P1109+1)</f>
        <v>792</v>
      </c>
      <c r="Q1110">
        <f>IF(OR(calendar[[#This Row],[FR_BH]]=1,calendar[[#This Row],[WeekDay]]=1, calendar[[#This Row],[WeekDay]]=7),P1109,P1109+1)</f>
        <v>792</v>
      </c>
      <c r="R1110">
        <f>IF(OR(calendar[[#This Row],[SP_BH]]=1,calendar[[#This Row],[WeekDay]]=1, calendar[[#This Row],[WeekDay]]=7),P1109,P1109+1)</f>
        <v>792</v>
      </c>
      <c r="S1110">
        <f>IF(OR(calendar[[#This Row],[PT_BH]]=1,calendar[[#This Row],[WeekDay]]=1, calendar[[#This Row],[WeekDay]]=7),P1109,P1109+1)</f>
        <v>792</v>
      </c>
    </row>
    <row r="1111" spans="1:19" x14ac:dyDescent="0.25">
      <c r="A1111" s="2">
        <v>43845</v>
      </c>
      <c r="B1111" s="1">
        <f t="shared" si="88"/>
        <v>3</v>
      </c>
      <c r="C1111">
        <f t="shared" si="90"/>
        <v>1</v>
      </c>
      <c r="D1111" t="str">
        <f t="shared" si="91"/>
        <v>January</v>
      </c>
      <c r="E1111">
        <f t="shared" si="92"/>
        <v>2020</v>
      </c>
      <c r="F1111" t="str">
        <f>CONCATENATE(calendar[[#This Row],[Month]],"/",calendar[[#This Row],[Year]])</f>
        <v>1/2020</v>
      </c>
      <c r="G1111">
        <f>WEEKDAY(calendar[[#This Row],[Date]],1)</f>
        <v>4</v>
      </c>
      <c r="H1111" t="str">
        <f>TEXT(calendar[[#This Row],[WeekDay]],"dddd")</f>
        <v>Wednesday</v>
      </c>
      <c r="I1111">
        <f>IF((INT(calendar[[#This Row],[Count]]/7)-calendar[[#This Row],[Count]]/7)&lt;0,I1110,I1110+1)</f>
        <v>159</v>
      </c>
      <c r="J1111">
        <f t="shared" si="89"/>
        <v>1109</v>
      </c>
      <c r="K1111">
        <f>IF(calendar[[#This Row],[Month]]&lt;4,1,IF(calendar[[#This Row],[Month]]&lt;7,2,IF(calendar[[#This Row],[Month]]&lt;10,3,4)))</f>
        <v>1</v>
      </c>
      <c r="L1111">
        <f>IFERROR(IF(VLOOKUP(calendar[[#This Row],[Date]],BH!A:A,1,)&lt;&gt;"",1,0),0)</f>
        <v>0</v>
      </c>
      <c r="M1111">
        <f>IFERROR(IF(VLOOKUP(calendar[[#This Row],[Date]],BH!C:C,1,)&lt;&gt;"",1,0),0)</f>
        <v>0</v>
      </c>
      <c r="N1111">
        <f>IFERROR(IF(VLOOKUP(calendar[[#This Row],[Date]],BH!E:E,1,)&lt;&gt;"",1,0),0)</f>
        <v>0</v>
      </c>
      <c r="O1111">
        <f>IFERROR(IF(VLOOKUP(calendar[[#This Row],[Date]],BH!G:G,1,)&lt;&gt;"",1,0),0)</f>
        <v>0</v>
      </c>
      <c r="P1111">
        <f>IF(OR(calendar[[#This Row],[UK_BH]]=1,calendar[[#This Row],[WeekDay]]=1, calendar[[#This Row],[WeekDay]]=7),P1110,P1110+1)</f>
        <v>793</v>
      </c>
      <c r="Q1111">
        <f>IF(OR(calendar[[#This Row],[FR_BH]]=1,calendar[[#This Row],[WeekDay]]=1, calendar[[#This Row],[WeekDay]]=7),P1110,P1110+1)</f>
        <v>793</v>
      </c>
      <c r="R1111">
        <f>IF(OR(calendar[[#This Row],[SP_BH]]=1,calendar[[#This Row],[WeekDay]]=1, calendar[[#This Row],[WeekDay]]=7),P1110,P1110+1)</f>
        <v>793</v>
      </c>
      <c r="S1111">
        <f>IF(OR(calendar[[#This Row],[PT_BH]]=1,calendar[[#This Row],[WeekDay]]=1, calendar[[#This Row],[WeekDay]]=7),P1110,P1110+1)</f>
        <v>793</v>
      </c>
    </row>
    <row r="1112" spans="1:19" x14ac:dyDescent="0.25">
      <c r="A1112" s="2">
        <v>43846</v>
      </c>
      <c r="B1112" s="1">
        <f t="shared" si="88"/>
        <v>3</v>
      </c>
      <c r="C1112">
        <f t="shared" si="90"/>
        <v>1</v>
      </c>
      <c r="D1112" t="str">
        <f t="shared" si="91"/>
        <v>January</v>
      </c>
      <c r="E1112">
        <f t="shared" si="92"/>
        <v>2020</v>
      </c>
      <c r="F1112" t="str">
        <f>CONCATENATE(calendar[[#This Row],[Month]],"/",calendar[[#This Row],[Year]])</f>
        <v>1/2020</v>
      </c>
      <c r="G1112">
        <f>WEEKDAY(calendar[[#This Row],[Date]],1)</f>
        <v>5</v>
      </c>
      <c r="H1112" t="str">
        <f>TEXT(calendar[[#This Row],[WeekDay]],"dddd")</f>
        <v>Thursday</v>
      </c>
      <c r="I1112">
        <f>IF((INT(calendar[[#This Row],[Count]]/7)-calendar[[#This Row],[Count]]/7)&lt;0,I1111,I1111+1)</f>
        <v>159</v>
      </c>
      <c r="J1112">
        <f t="shared" si="89"/>
        <v>1110</v>
      </c>
      <c r="K1112">
        <f>IF(calendar[[#This Row],[Month]]&lt;4,1,IF(calendar[[#This Row],[Month]]&lt;7,2,IF(calendar[[#This Row],[Month]]&lt;10,3,4)))</f>
        <v>1</v>
      </c>
      <c r="L1112">
        <f>IFERROR(IF(VLOOKUP(calendar[[#This Row],[Date]],BH!A:A,1,)&lt;&gt;"",1,0),0)</f>
        <v>0</v>
      </c>
      <c r="M1112">
        <f>IFERROR(IF(VLOOKUP(calendar[[#This Row],[Date]],BH!C:C,1,)&lt;&gt;"",1,0),0)</f>
        <v>0</v>
      </c>
      <c r="N1112">
        <f>IFERROR(IF(VLOOKUP(calendar[[#This Row],[Date]],BH!E:E,1,)&lt;&gt;"",1,0),0)</f>
        <v>0</v>
      </c>
      <c r="O1112">
        <f>IFERROR(IF(VLOOKUP(calendar[[#This Row],[Date]],BH!G:G,1,)&lt;&gt;"",1,0),0)</f>
        <v>0</v>
      </c>
      <c r="P1112">
        <f>IF(OR(calendar[[#This Row],[UK_BH]]=1,calendar[[#This Row],[WeekDay]]=1, calendar[[#This Row],[WeekDay]]=7),P1111,P1111+1)</f>
        <v>794</v>
      </c>
      <c r="Q1112">
        <f>IF(OR(calendar[[#This Row],[FR_BH]]=1,calendar[[#This Row],[WeekDay]]=1, calendar[[#This Row],[WeekDay]]=7),P1111,P1111+1)</f>
        <v>794</v>
      </c>
      <c r="R1112">
        <f>IF(OR(calendar[[#This Row],[SP_BH]]=1,calendar[[#This Row],[WeekDay]]=1, calendar[[#This Row],[WeekDay]]=7),P1111,P1111+1)</f>
        <v>794</v>
      </c>
      <c r="S1112">
        <f>IF(OR(calendar[[#This Row],[PT_BH]]=1,calendar[[#This Row],[WeekDay]]=1, calendar[[#This Row],[WeekDay]]=7),P1111,P1111+1)</f>
        <v>794</v>
      </c>
    </row>
    <row r="1113" spans="1:19" x14ac:dyDescent="0.25">
      <c r="A1113" s="2">
        <v>43847</v>
      </c>
      <c r="B1113" s="1">
        <f t="shared" si="88"/>
        <v>3</v>
      </c>
      <c r="C1113">
        <f t="shared" si="90"/>
        <v>1</v>
      </c>
      <c r="D1113" t="str">
        <f t="shared" si="91"/>
        <v>January</v>
      </c>
      <c r="E1113">
        <f t="shared" si="92"/>
        <v>2020</v>
      </c>
      <c r="F1113" t="str">
        <f>CONCATENATE(calendar[[#This Row],[Month]],"/",calendar[[#This Row],[Year]])</f>
        <v>1/2020</v>
      </c>
      <c r="G1113">
        <f>WEEKDAY(calendar[[#This Row],[Date]],1)</f>
        <v>6</v>
      </c>
      <c r="H1113" t="str">
        <f>TEXT(calendar[[#This Row],[WeekDay]],"dddd")</f>
        <v>Friday</v>
      </c>
      <c r="I1113">
        <f>IF((INT(calendar[[#This Row],[Count]]/7)-calendar[[#This Row],[Count]]/7)&lt;0,I1112,I1112+1)</f>
        <v>159</v>
      </c>
      <c r="J1113">
        <f t="shared" si="89"/>
        <v>1111</v>
      </c>
      <c r="K1113">
        <f>IF(calendar[[#This Row],[Month]]&lt;4,1,IF(calendar[[#This Row],[Month]]&lt;7,2,IF(calendar[[#This Row],[Month]]&lt;10,3,4)))</f>
        <v>1</v>
      </c>
      <c r="L1113">
        <f>IFERROR(IF(VLOOKUP(calendar[[#This Row],[Date]],BH!A:A,1,)&lt;&gt;"",1,0),0)</f>
        <v>0</v>
      </c>
      <c r="M1113">
        <f>IFERROR(IF(VLOOKUP(calendar[[#This Row],[Date]],BH!C:C,1,)&lt;&gt;"",1,0),0)</f>
        <v>0</v>
      </c>
      <c r="N1113">
        <f>IFERROR(IF(VLOOKUP(calendar[[#This Row],[Date]],BH!E:E,1,)&lt;&gt;"",1,0),0)</f>
        <v>0</v>
      </c>
      <c r="O1113">
        <f>IFERROR(IF(VLOOKUP(calendar[[#This Row],[Date]],BH!G:G,1,)&lt;&gt;"",1,0),0)</f>
        <v>0</v>
      </c>
      <c r="P1113">
        <f>IF(OR(calendar[[#This Row],[UK_BH]]=1,calendar[[#This Row],[WeekDay]]=1, calendar[[#This Row],[WeekDay]]=7),P1112,P1112+1)</f>
        <v>795</v>
      </c>
      <c r="Q1113">
        <f>IF(OR(calendar[[#This Row],[FR_BH]]=1,calendar[[#This Row],[WeekDay]]=1, calendar[[#This Row],[WeekDay]]=7),P1112,P1112+1)</f>
        <v>795</v>
      </c>
      <c r="R1113">
        <f>IF(OR(calendar[[#This Row],[SP_BH]]=1,calendar[[#This Row],[WeekDay]]=1, calendar[[#This Row],[WeekDay]]=7),P1112,P1112+1)</f>
        <v>795</v>
      </c>
      <c r="S1113">
        <f>IF(OR(calendar[[#This Row],[PT_BH]]=1,calendar[[#This Row],[WeekDay]]=1, calendar[[#This Row],[WeekDay]]=7),P1112,P1112+1)</f>
        <v>795</v>
      </c>
    </row>
    <row r="1114" spans="1:19" x14ac:dyDescent="0.25">
      <c r="A1114" s="2">
        <v>43848</v>
      </c>
      <c r="B1114" s="1">
        <f t="shared" si="88"/>
        <v>3</v>
      </c>
      <c r="C1114">
        <f t="shared" si="90"/>
        <v>1</v>
      </c>
      <c r="D1114" t="str">
        <f t="shared" si="91"/>
        <v>January</v>
      </c>
      <c r="E1114">
        <f t="shared" si="92"/>
        <v>2020</v>
      </c>
      <c r="F1114" t="str">
        <f>CONCATENATE(calendar[[#This Row],[Month]],"/",calendar[[#This Row],[Year]])</f>
        <v>1/2020</v>
      </c>
      <c r="G1114">
        <f>WEEKDAY(calendar[[#This Row],[Date]],1)</f>
        <v>7</v>
      </c>
      <c r="H1114" t="str">
        <f>TEXT(calendar[[#This Row],[WeekDay]],"dddd")</f>
        <v>Saturday</v>
      </c>
      <c r="I1114">
        <f>IF((INT(calendar[[#This Row],[Count]]/7)-calendar[[#This Row],[Count]]/7)&lt;0,I1113,I1113+1)</f>
        <v>159</v>
      </c>
      <c r="J1114">
        <f t="shared" si="89"/>
        <v>1112</v>
      </c>
      <c r="K1114">
        <f>IF(calendar[[#This Row],[Month]]&lt;4,1,IF(calendar[[#This Row],[Month]]&lt;7,2,IF(calendar[[#This Row],[Month]]&lt;10,3,4)))</f>
        <v>1</v>
      </c>
      <c r="L1114">
        <f>IFERROR(IF(VLOOKUP(calendar[[#This Row],[Date]],BH!A:A,1,)&lt;&gt;"",1,0),0)</f>
        <v>0</v>
      </c>
      <c r="M1114">
        <f>IFERROR(IF(VLOOKUP(calendar[[#This Row],[Date]],BH!C:C,1,)&lt;&gt;"",1,0),0)</f>
        <v>0</v>
      </c>
      <c r="N1114">
        <f>IFERROR(IF(VLOOKUP(calendar[[#This Row],[Date]],BH!E:E,1,)&lt;&gt;"",1,0),0)</f>
        <v>0</v>
      </c>
      <c r="O1114">
        <f>IFERROR(IF(VLOOKUP(calendar[[#This Row],[Date]],BH!G:G,1,)&lt;&gt;"",1,0),0)</f>
        <v>0</v>
      </c>
      <c r="P1114">
        <f>IF(OR(calendar[[#This Row],[UK_BH]]=1,calendar[[#This Row],[WeekDay]]=1, calendar[[#This Row],[WeekDay]]=7),P1113,P1113+1)</f>
        <v>795</v>
      </c>
      <c r="Q1114">
        <f>IF(OR(calendar[[#This Row],[FR_BH]]=1,calendar[[#This Row],[WeekDay]]=1, calendar[[#This Row],[WeekDay]]=7),P1113,P1113+1)</f>
        <v>795</v>
      </c>
      <c r="R1114">
        <f>IF(OR(calendar[[#This Row],[SP_BH]]=1,calendar[[#This Row],[WeekDay]]=1, calendar[[#This Row],[WeekDay]]=7),P1113,P1113+1)</f>
        <v>795</v>
      </c>
      <c r="S1114">
        <f>IF(OR(calendar[[#This Row],[PT_BH]]=1,calendar[[#This Row],[WeekDay]]=1, calendar[[#This Row],[WeekDay]]=7),P1113,P1113+1)</f>
        <v>795</v>
      </c>
    </row>
    <row r="1115" spans="1:19" x14ac:dyDescent="0.25">
      <c r="A1115" s="2">
        <v>43849</v>
      </c>
      <c r="B1115" s="1">
        <f t="shared" si="88"/>
        <v>4</v>
      </c>
      <c r="C1115">
        <f t="shared" si="90"/>
        <v>1</v>
      </c>
      <c r="D1115" t="str">
        <f t="shared" si="91"/>
        <v>January</v>
      </c>
      <c r="E1115">
        <f t="shared" si="92"/>
        <v>2020</v>
      </c>
      <c r="F1115" t="str">
        <f>CONCATENATE(calendar[[#This Row],[Month]],"/",calendar[[#This Row],[Year]])</f>
        <v>1/2020</v>
      </c>
      <c r="G1115">
        <f>WEEKDAY(calendar[[#This Row],[Date]],1)</f>
        <v>1</v>
      </c>
      <c r="H1115" t="str">
        <f>TEXT(calendar[[#This Row],[WeekDay]],"dddd")</f>
        <v>Sunday</v>
      </c>
      <c r="I1115">
        <f>IF((INT(calendar[[#This Row],[Count]]/7)-calendar[[#This Row],[Count]]/7)&lt;0,I1114,I1114+1)</f>
        <v>160</v>
      </c>
      <c r="J1115">
        <f t="shared" si="89"/>
        <v>1113</v>
      </c>
      <c r="K1115">
        <f>IF(calendar[[#This Row],[Month]]&lt;4,1,IF(calendar[[#This Row],[Month]]&lt;7,2,IF(calendar[[#This Row],[Month]]&lt;10,3,4)))</f>
        <v>1</v>
      </c>
      <c r="L1115">
        <f>IFERROR(IF(VLOOKUP(calendar[[#This Row],[Date]],BH!A:A,1,)&lt;&gt;"",1,0),0)</f>
        <v>0</v>
      </c>
      <c r="M1115">
        <f>IFERROR(IF(VLOOKUP(calendar[[#This Row],[Date]],BH!C:C,1,)&lt;&gt;"",1,0),0)</f>
        <v>0</v>
      </c>
      <c r="N1115">
        <f>IFERROR(IF(VLOOKUP(calendar[[#This Row],[Date]],BH!E:E,1,)&lt;&gt;"",1,0),0)</f>
        <v>0</v>
      </c>
      <c r="O1115">
        <f>IFERROR(IF(VLOOKUP(calendar[[#This Row],[Date]],BH!G:G,1,)&lt;&gt;"",1,0),0)</f>
        <v>0</v>
      </c>
      <c r="P1115">
        <f>IF(OR(calendar[[#This Row],[UK_BH]]=1,calendar[[#This Row],[WeekDay]]=1, calendar[[#This Row],[WeekDay]]=7),P1114,P1114+1)</f>
        <v>795</v>
      </c>
      <c r="Q1115">
        <f>IF(OR(calendar[[#This Row],[FR_BH]]=1,calendar[[#This Row],[WeekDay]]=1, calendar[[#This Row],[WeekDay]]=7),P1114,P1114+1)</f>
        <v>795</v>
      </c>
      <c r="R1115">
        <f>IF(OR(calendar[[#This Row],[SP_BH]]=1,calendar[[#This Row],[WeekDay]]=1, calendar[[#This Row],[WeekDay]]=7),P1114,P1114+1)</f>
        <v>795</v>
      </c>
      <c r="S1115">
        <f>IF(OR(calendar[[#This Row],[PT_BH]]=1,calendar[[#This Row],[WeekDay]]=1, calendar[[#This Row],[WeekDay]]=7),P1114,P1114+1)</f>
        <v>795</v>
      </c>
    </row>
    <row r="1116" spans="1:19" x14ac:dyDescent="0.25">
      <c r="A1116" s="2">
        <v>43850</v>
      </c>
      <c r="B1116" s="1">
        <f t="shared" si="88"/>
        <v>4</v>
      </c>
      <c r="C1116">
        <f t="shared" si="90"/>
        <v>1</v>
      </c>
      <c r="D1116" t="str">
        <f t="shared" si="91"/>
        <v>January</v>
      </c>
      <c r="E1116">
        <f t="shared" si="92"/>
        <v>2020</v>
      </c>
      <c r="F1116" t="str">
        <f>CONCATENATE(calendar[[#This Row],[Month]],"/",calendar[[#This Row],[Year]])</f>
        <v>1/2020</v>
      </c>
      <c r="G1116">
        <f>WEEKDAY(calendar[[#This Row],[Date]],1)</f>
        <v>2</v>
      </c>
      <c r="H1116" t="str">
        <f>TEXT(calendar[[#This Row],[WeekDay]],"dddd")</f>
        <v>Monday</v>
      </c>
      <c r="I1116">
        <f>IF((INT(calendar[[#This Row],[Count]]/7)-calendar[[#This Row],[Count]]/7)&lt;0,I1115,I1115+1)</f>
        <v>160</v>
      </c>
      <c r="J1116">
        <f t="shared" si="89"/>
        <v>1114</v>
      </c>
      <c r="K1116">
        <f>IF(calendar[[#This Row],[Month]]&lt;4,1,IF(calendar[[#This Row],[Month]]&lt;7,2,IF(calendar[[#This Row],[Month]]&lt;10,3,4)))</f>
        <v>1</v>
      </c>
      <c r="L1116">
        <f>IFERROR(IF(VLOOKUP(calendar[[#This Row],[Date]],BH!A:A,1,)&lt;&gt;"",1,0),0)</f>
        <v>0</v>
      </c>
      <c r="M1116">
        <f>IFERROR(IF(VLOOKUP(calendar[[#This Row],[Date]],BH!C:C,1,)&lt;&gt;"",1,0),0)</f>
        <v>0</v>
      </c>
      <c r="N1116">
        <f>IFERROR(IF(VLOOKUP(calendar[[#This Row],[Date]],BH!E:E,1,)&lt;&gt;"",1,0),0)</f>
        <v>0</v>
      </c>
      <c r="O1116">
        <f>IFERROR(IF(VLOOKUP(calendar[[#This Row],[Date]],BH!G:G,1,)&lt;&gt;"",1,0),0)</f>
        <v>0</v>
      </c>
      <c r="P1116">
        <f>IF(OR(calendar[[#This Row],[UK_BH]]=1,calendar[[#This Row],[WeekDay]]=1, calendar[[#This Row],[WeekDay]]=7),P1115,P1115+1)</f>
        <v>796</v>
      </c>
      <c r="Q1116">
        <f>IF(OR(calendar[[#This Row],[FR_BH]]=1,calendar[[#This Row],[WeekDay]]=1, calendar[[#This Row],[WeekDay]]=7),P1115,P1115+1)</f>
        <v>796</v>
      </c>
      <c r="R1116">
        <f>IF(OR(calendar[[#This Row],[SP_BH]]=1,calendar[[#This Row],[WeekDay]]=1, calendar[[#This Row],[WeekDay]]=7),P1115,P1115+1)</f>
        <v>796</v>
      </c>
      <c r="S1116">
        <f>IF(OR(calendar[[#This Row],[PT_BH]]=1,calendar[[#This Row],[WeekDay]]=1, calendar[[#This Row],[WeekDay]]=7),P1115,P1115+1)</f>
        <v>796</v>
      </c>
    </row>
    <row r="1117" spans="1:19" x14ac:dyDescent="0.25">
      <c r="A1117" s="2">
        <v>43851</v>
      </c>
      <c r="B1117" s="1">
        <f t="shared" si="88"/>
        <v>4</v>
      </c>
      <c r="C1117">
        <f t="shared" si="90"/>
        <v>1</v>
      </c>
      <c r="D1117" t="str">
        <f t="shared" si="91"/>
        <v>January</v>
      </c>
      <c r="E1117">
        <f t="shared" si="92"/>
        <v>2020</v>
      </c>
      <c r="F1117" t="str">
        <f>CONCATENATE(calendar[[#This Row],[Month]],"/",calendar[[#This Row],[Year]])</f>
        <v>1/2020</v>
      </c>
      <c r="G1117">
        <f>WEEKDAY(calendar[[#This Row],[Date]],1)</f>
        <v>3</v>
      </c>
      <c r="H1117" t="str">
        <f>TEXT(calendar[[#This Row],[WeekDay]],"dddd")</f>
        <v>Tuesday</v>
      </c>
      <c r="I1117">
        <f>IF((INT(calendar[[#This Row],[Count]]/7)-calendar[[#This Row],[Count]]/7)&lt;0,I1116,I1116+1)</f>
        <v>160</v>
      </c>
      <c r="J1117">
        <f t="shared" si="89"/>
        <v>1115</v>
      </c>
      <c r="K1117">
        <f>IF(calendar[[#This Row],[Month]]&lt;4,1,IF(calendar[[#This Row],[Month]]&lt;7,2,IF(calendar[[#This Row],[Month]]&lt;10,3,4)))</f>
        <v>1</v>
      </c>
      <c r="L1117">
        <f>IFERROR(IF(VLOOKUP(calendar[[#This Row],[Date]],BH!A:A,1,)&lt;&gt;"",1,0),0)</f>
        <v>0</v>
      </c>
      <c r="M1117">
        <f>IFERROR(IF(VLOOKUP(calendar[[#This Row],[Date]],BH!C:C,1,)&lt;&gt;"",1,0),0)</f>
        <v>0</v>
      </c>
      <c r="N1117">
        <f>IFERROR(IF(VLOOKUP(calendar[[#This Row],[Date]],BH!E:E,1,)&lt;&gt;"",1,0),0)</f>
        <v>0</v>
      </c>
      <c r="O1117">
        <f>IFERROR(IF(VLOOKUP(calendar[[#This Row],[Date]],BH!G:G,1,)&lt;&gt;"",1,0),0)</f>
        <v>0</v>
      </c>
      <c r="P1117">
        <f>IF(OR(calendar[[#This Row],[UK_BH]]=1,calendar[[#This Row],[WeekDay]]=1, calendar[[#This Row],[WeekDay]]=7),P1116,P1116+1)</f>
        <v>797</v>
      </c>
      <c r="Q1117">
        <f>IF(OR(calendar[[#This Row],[FR_BH]]=1,calendar[[#This Row],[WeekDay]]=1, calendar[[#This Row],[WeekDay]]=7),P1116,P1116+1)</f>
        <v>797</v>
      </c>
      <c r="R1117">
        <f>IF(OR(calendar[[#This Row],[SP_BH]]=1,calendar[[#This Row],[WeekDay]]=1, calendar[[#This Row],[WeekDay]]=7),P1116,P1116+1)</f>
        <v>797</v>
      </c>
      <c r="S1117">
        <f>IF(OR(calendar[[#This Row],[PT_BH]]=1,calendar[[#This Row],[WeekDay]]=1, calendar[[#This Row],[WeekDay]]=7),P1116,P1116+1)</f>
        <v>797</v>
      </c>
    </row>
    <row r="1118" spans="1:19" x14ac:dyDescent="0.25">
      <c r="A1118" s="2">
        <v>43852</v>
      </c>
      <c r="B1118" s="1">
        <f t="shared" si="88"/>
        <v>4</v>
      </c>
      <c r="C1118">
        <f t="shared" si="90"/>
        <v>1</v>
      </c>
      <c r="D1118" t="str">
        <f t="shared" si="91"/>
        <v>January</v>
      </c>
      <c r="E1118">
        <f t="shared" si="92"/>
        <v>2020</v>
      </c>
      <c r="F1118" t="str">
        <f>CONCATENATE(calendar[[#This Row],[Month]],"/",calendar[[#This Row],[Year]])</f>
        <v>1/2020</v>
      </c>
      <c r="G1118">
        <f>WEEKDAY(calendar[[#This Row],[Date]],1)</f>
        <v>4</v>
      </c>
      <c r="H1118" t="str">
        <f>TEXT(calendar[[#This Row],[WeekDay]],"dddd")</f>
        <v>Wednesday</v>
      </c>
      <c r="I1118">
        <f>IF((INT(calendar[[#This Row],[Count]]/7)-calendar[[#This Row],[Count]]/7)&lt;0,I1117,I1117+1)</f>
        <v>160</v>
      </c>
      <c r="J1118">
        <f t="shared" si="89"/>
        <v>1116</v>
      </c>
      <c r="K1118">
        <f>IF(calendar[[#This Row],[Month]]&lt;4,1,IF(calendar[[#This Row],[Month]]&lt;7,2,IF(calendar[[#This Row],[Month]]&lt;10,3,4)))</f>
        <v>1</v>
      </c>
      <c r="L1118">
        <f>IFERROR(IF(VLOOKUP(calendar[[#This Row],[Date]],BH!A:A,1,)&lt;&gt;"",1,0),0)</f>
        <v>0</v>
      </c>
      <c r="M1118">
        <f>IFERROR(IF(VLOOKUP(calendar[[#This Row],[Date]],BH!C:C,1,)&lt;&gt;"",1,0),0)</f>
        <v>0</v>
      </c>
      <c r="N1118">
        <f>IFERROR(IF(VLOOKUP(calendar[[#This Row],[Date]],BH!E:E,1,)&lt;&gt;"",1,0),0)</f>
        <v>0</v>
      </c>
      <c r="O1118">
        <f>IFERROR(IF(VLOOKUP(calendar[[#This Row],[Date]],BH!G:G,1,)&lt;&gt;"",1,0),0)</f>
        <v>0</v>
      </c>
      <c r="P1118">
        <f>IF(OR(calendar[[#This Row],[UK_BH]]=1,calendar[[#This Row],[WeekDay]]=1, calendar[[#This Row],[WeekDay]]=7),P1117,P1117+1)</f>
        <v>798</v>
      </c>
      <c r="Q1118">
        <f>IF(OR(calendar[[#This Row],[FR_BH]]=1,calendar[[#This Row],[WeekDay]]=1, calendar[[#This Row],[WeekDay]]=7),P1117,P1117+1)</f>
        <v>798</v>
      </c>
      <c r="R1118">
        <f>IF(OR(calendar[[#This Row],[SP_BH]]=1,calendar[[#This Row],[WeekDay]]=1, calendar[[#This Row],[WeekDay]]=7),P1117,P1117+1)</f>
        <v>798</v>
      </c>
      <c r="S1118">
        <f>IF(OR(calendar[[#This Row],[PT_BH]]=1,calendar[[#This Row],[WeekDay]]=1, calendar[[#This Row],[WeekDay]]=7),P1117,P1117+1)</f>
        <v>798</v>
      </c>
    </row>
    <row r="1119" spans="1:19" x14ac:dyDescent="0.25">
      <c r="A1119" s="2">
        <v>43853</v>
      </c>
      <c r="B1119" s="1">
        <f t="shared" si="88"/>
        <v>4</v>
      </c>
      <c r="C1119">
        <f t="shared" si="90"/>
        <v>1</v>
      </c>
      <c r="D1119" t="str">
        <f t="shared" si="91"/>
        <v>January</v>
      </c>
      <c r="E1119">
        <f t="shared" si="92"/>
        <v>2020</v>
      </c>
      <c r="F1119" t="str">
        <f>CONCATENATE(calendar[[#This Row],[Month]],"/",calendar[[#This Row],[Year]])</f>
        <v>1/2020</v>
      </c>
      <c r="G1119">
        <f>WEEKDAY(calendar[[#This Row],[Date]],1)</f>
        <v>5</v>
      </c>
      <c r="H1119" t="str">
        <f>TEXT(calendar[[#This Row],[WeekDay]],"dddd")</f>
        <v>Thursday</v>
      </c>
      <c r="I1119">
        <f>IF((INT(calendar[[#This Row],[Count]]/7)-calendar[[#This Row],[Count]]/7)&lt;0,I1118,I1118+1)</f>
        <v>160</v>
      </c>
      <c r="J1119">
        <f t="shared" si="89"/>
        <v>1117</v>
      </c>
      <c r="K1119">
        <f>IF(calendar[[#This Row],[Month]]&lt;4,1,IF(calendar[[#This Row],[Month]]&lt;7,2,IF(calendar[[#This Row],[Month]]&lt;10,3,4)))</f>
        <v>1</v>
      </c>
      <c r="L1119">
        <f>IFERROR(IF(VLOOKUP(calendar[[#This Row],[Date]],BH!A:A,1,)&lt;&gt;"",1,0),0)</f>
        <v>0</v>
      </c>
      <c r="M1119">
        <f>IFERROR(IF(VLOOKUP(calendar[[#This Row],[Date]],BH!C:C,1,)&lt;&gt;"",1,0),0)</f>
        <v>0</v>
      </c>
      <c r="N1119">
        <f>IFERROR(IF(VLOOKUP(calendar[[#This Row],[Date]],BH!E:E,1,)&lt;&gt;"",1,0),0)</f>
        <v>0</v>
      </c>
      <c r="O1119">
        <f>IFERROR(IF(VLOOKUP(calendar[[#This Row],[Date]],BH!G:G,1,)&lt;&gt;"",1,0),0)</f>
        <v>0</v>
      </c>
      <c r="P1119">
        <f>IF(OR(calendar[[#This Row],[UK_BH]]=1,calendar[[#This Row],[WeekDay]]=1, calendar[[#This Row],[WeekDay]]=7),P1118,P1118+1)</f>
        <v>799</v>
      </c>
      <c r="Q1119">
        <f>IF(OR(calendar[[#This Row],[FR_BH]]=1,calendar[[#This Row],[WeekDay]]=1, calendar[[#This Row],[WeekDay]]=7),P1118,P1118+1)</f>
        <v>799</v>
      </c>
      <c r="R1119">
        <f>IF(OR(calendar[[#This Row],[SP_BH]]=1,calendar[[#This Row],[WeekDay]]=1, calendar[[#This Row],[WeekDay]]=7),P1118,P1118+1)</f>
        <v>799</v>
      </c>
      <c r="S1119">
        <f>IF(OR(calendar[[#This Row],[PT_BH]]=1,calendar[[#This Row],[WeekDay]]=1, calendar[[#This Row],[WeekDay]]=7),P1118,P1118+1)</f>
        <v>799</v>
      </c>
    </row>
    <row r="1120" spans="1:19" x14ac:dyDescent="0.25">
      <c r="A1120" s="2">
        <v>43854</v>
      </c>
      <c r="B1120" s="1">
        <f t="shared" si="88"/>
        <v>4</v>
      </c>
      <c r="C1120">
        <f t="shared" si="90"/>
        <v>1</v>
      </c>
      <c r="D1120" t="str">
        <f t="shared" si="91"/>
        <v>January</v>
      </c>
      <c r="E1120">
        <f t="shared" si="92"/>
        <v>2020</v>
      </c>
      <c r="F1120" t="str">
        <f>CONCATENATE(calendar[[#This Row],[Month]],"/",calendar[[#This Row],[Year]])</f>
        <v>1/2020</v>
      </c>
      <c r="G1120">
        <f>WEEKDAY(calendar[[#This Row],[Date]],1)</f>
        <v>6</v>
      </c>
      <c r="H1120" t="str">
        <f>TEXT(calendar[[#This Row],[WeekDay]],"dddd")</f>
        <v>Friday</v>
      </c>
      <c r="I1120">
        <f>IF((INT(calendar[[#This Row],[Count]]/7)-calendar[[#This Row],[Count]]/7)&lt;0,I1119,I1119+1)</f>
        <v>160</v>
      </c>
      <c r="J1120">
        <f t="shared" si="89"/>
        <v>1118</v>
      </c>
      <c r="K1120">
        <f>IF(calendar[[#This Row],[Month]]&lt;4,1,IF(calendar[[#This Row],[Month]]&lt;7,2,IF(calendar[[#This Row],[Month]]&lt;10,3,4)))</f>
        <v>1</v>
      </c>
      <c r="L1120">
        <f>IFERROR(IF(VLOOKUP(calendar[[#This Row],[Date]],BH!A:A,1,)&lt;&gt;"",1,0),0)</f>
        <v>0</v>
      </c>
      <c r="M1120">
        <f>IFERROR(IF(VLOOKUP(calendar[[#This Row],[Date]],BH!C:C,1,)&lt;&gt;"",1,0),0)</f>
        <v>0</v>
      </c>
      <c r="N1120">
        <f>IFERROR(IF(VLOOKUP(calendar[[#This Row],[Date]],BH!E:E,1,)&lt;&gt;"",1,0),0)</f>
        <v>0</v>
      </c>
      <c r="O1120">
        <f>IFERROR(IF(VLOOKUP(calendar[[#This Row],[Date]],BH!G:G,1,)&lt;&gt;"",1,0),0)</f>
        <v>0</v>
      </c>
      <c r="P1120">
        <f>IF(OR(calendar[[#This Row],[UK_BH]]=1,calendar[[#This Row],[WeekDay]]=1, calendar[[#This Row],[WeekDay]]=7),P1119,P1119+1)</f>
        <v>800</v>
      </c>
      <c r="Q1120">
        <f>IF(OR(calendar[[#This Row],[FR_BH]]=1,calendar[[#This Row],[WeekDay]]=1, calendar[[#This Row],[WeekDay]]=7),P1119,P1119+1)</f>
        <v>800</v>
      </c>
      <c r="R1120">
        <f>IF(OR(calendar[[#This Row],[SP_BH]]=1,calendar[[#This Row],[WeekDay]]=1, calendar[[#This Row],[WeekDay]]=7),P1119,P1119+1)</f>
        <v>800</v>
      </c>
      <c r="S1120">
        <f>IF(OR(calendar[[#This Row],[PT_BH]]=1,calendar[[#This Row],[WeekDay]]=1, calendar[[#This Row],[WeekDay]]=7),P1119,P1119+1)</f>
        <v>800</v>
      </c>
    </row>
    <row r="1121" spans="1:19" x14ac:dyDescent="0.25">
      <c r="A1121" s="2">
        <v>43855</v>
      </c>
      <c r="B1121" s="1">
        <f t="shared" si="88"/>
        <v>4</v>
      </c>
      <c r="C1121">
        <f t="shared" si="90"/>
        <v>1</v>
      </c>
      <c r="D1121" t="str">
        <f t="shared" si="91"/>
        <v>January</v>
      </c>
      <c r="E1121">
        <f t="shared" si="92"/>
        <v>2020</v>
      </c>
      <c r="F1121" t="str">
        <f>CONCATENATE(calendar[[#This Row],[Month]],"/",calendar[[#This Row],[Year]])</f>
        <v>1/2020</v>
      </c>
      <c r="G1121">
        <f>WEEKDAY(calendar[[#This Row],[Date]],1)</f>
        <v>7</v>
      </c>
      <c r="H1121" t="str">
        <f>TEXT(calendar[[#This Row],[WeekDay]],"dddd")</f>
        <v>Saturday</v>
      </c>
      <c r="I1121">
        <f>IF((INT(calendar[[#This Row],[Count]]/7)-calendar[[#This Row],[Count]]/7)&lt;0,I1120,I1120+1)</f>
        <v>160</v>
      </c>
      <c r="J1121">
        <f t="shared" si="89"/>
        <v>1119</v>
      </c>
      <c r="K1121">
        <f>IF(calendar[[#This Row],[Month]]&lt;4,1,IF(calendar[[#This Row],[Month]]&lt;7,2,IF(calendar[[#This Row],[Month]]&lt;10,3,4)))</f>
        <v>1</v>
      </c>
      <c r="L1121">
        <f>IFERROR(IF(VLOOKUP(calendar[[#This Row],[Date]],BH!A:A,1,)&lt;&gt;"",1,0),0)</f>
        <v>0</v>
      </c>
      <c r="M1121">
        <f>IFERROR(IF(VLOOKUP(calendar[[#This Row],[Date]],BH!C:C,1,)&lt;&gt;"",1,0),0)</f>
        <v>0</v>
      </c>
      <c r="N1121">
        <f>IFERROR(IF(VLOOKUP(calendar[[#This Row],[Date]],BH!E:E,1,)&lt;&gt;"",1,0),0)</f>
        <v>0</v>
      </c>
      <c r="O1121">
        <f>IFERROR(IF(VLOOKUP(calendar[[#This Row],[Date]],BH!G:G,1,)&lt;&gt;"",1,0),0)</f>
        <v>0</v>
      </c>
      <c r="P1121">
        <f>IF(OR(calendar[[#This Row],[UK_BH]]=1,calendar[[#This Row],[WeekDay]]=1, calendar[[#This Row],[WeekDay]]=7),P1120,P1120+1)</f>
        <v>800</v>
      </c>
      <c r="Q1121">
        <f>IF(OR(calendar[[#This Row],[FR_BH]]=1,calendar[[#This Row],[WeekDay]]=1, calendar[[#This Row],[WeekDay]]=7),P1120,P1120+1)</f>
        <v>800</v>
      </c>
      <c r="R1121">
        <f>IF(OR(calendar[[#This Row],[SP_BH]]=1,calendar[[#This Row],[WeekDay]]=1, calendar[[#This Row],[WeekDay]]=7),P1120,P1120+1)</f>
        <v>800</v>
      </c>
      <c r="S1121">
        <f>IF(OR(calendar[[#This Row],[PT_BH]]=1,calendar[[#This Row],[WeekDay]]=1, calendar[[#This Row],[WeekDay]]=7),P1120,P1120+1)</f>
        <v>800</v>
      </c>
    </row>
    <row r="1122" spans="1:19" x14ac:dyDescent="0.25">
      <c r="A1122" s="2">
        <v>43856</v>
      </c>
      <c r="B1122" s="1">
        <f t="shared" si="88"/>
        <v>5</v>
      </c>
      <c r="C1122">
        <f t="shared" si="90"/>
        <v>1</v>
      </c>
      <c r="D1122" t="str">
        <f t="shared" si="91"/>
        <v>January</v>
      </c>
      <c r="E1122">
        <f t="shared" si="92"/>
        <v>2020</v>
      </c>
      <c r="F1122" t="str">
        <f>CONCATENATE(calendar[[#This Row],[Month]],"/",calendar[[#This Row],[Year]])</f>
        <v>1/2020</v>
      </c>
      <c r="G1122">
        <f>WEEKDAY(calendar[[#This Row],[Date]],1)</f>
        <v>1</v>
      </c>
      <c r="H1122" t="str">
        <f>TEXT(calendar[[#This Row],[WeekDay]],"dddd")</f>
        <v>Sunday</v>
      </c>
      <c r="I1122">
        <f>IF((INT(calendar[[#This Row],[Count]]/7)-calendar[[#This Row],[Count]]/7)&lt;0,I1121,I1121+1)</f>
        <v>161</v>
      </c>
      <c r="J1122">
        <f t="shared" si="89"/>
        <v>1120</v>
      </c>
      <c r="K1122">
        <f>IF(calendar[[#This Row],[Month]]&lt;4,1,IF(calendar[[#This Row],[Month]]&lt;7,2,IF(calendar[[#This Row],[Month]]&lt;10,3,4)))</f>
        <v>1</v>
      </c>
      <c r="L1122">
        <f>IFERROR(IF(VLOOKUP(calendar[[#This Row],[Date]],BH!A:A,1,)&lt;&gt;"",1,0),0)</f>
        <v>0</v>
      </c>
      <c r="M1122">
        <f>IFERROR(IF(VLOOKUP(calendar[[#This Row],[Date]],BH!C:C,1,)&lt;&gt;"",1,0),0)</f>
        <v>0</v>
      </c>
      <c r="N1122">
        <f>IFERROR(IF(VLOOKUP(calendar[[#This Row],[Date]],BH!E:E,1,)&lt;&gt;"",1,0),0)</f>
        <v>0</v>
      </c>
      <c r="O1122">
        <f>IFERROR(IF(VLOOKUP(calendar[[#This Row],[Date]],BH!G:G,1,)&lt;&gt;"",1,0),0)</f>
        <v>0</v>
      </c>
      <c r="P1122">
        <f>IF(OR(calendar[[#This Row],[UK_BH]]=1,calendar[[#This Row],[WeekDay]]=1, calendar[[#This Row],[WeekDay]]=7),P1121,P1121+1)</f>
        <v>800</v>
      </c>
      <c r="Q1122">
        <f>IF(OR(calendar[[#This Row],[FR_BH]]=1,calendar[[#This Row],[WeekDay]]=1, calendar[[#This Row],[WeekDay]]=7),P1121,P1121+1)</f>
        <v>800</v>
      </c>
      <c r="R1122">
        <f>IF(OR(calendar[[#This Row],[SP_BH]]=1,calendar[[#This Row],[WeekDay]]=1, calendar[[#This Row],[WeekDay]]=7),P1121,P1121+1)</f>
        <v>800</v>
      </c>
      <c r="S1122">
        <f>IF(OR(calendar[[#This Row],[PT_BH]]=1,calendar[[#This Row],[WeekDay]]=1, calendar[[#This Row],[WeekDay]]=7),P1121,P1121+1)</f>
        <v>800</v>
      </c>
    </row>
    <row r="1123" spans="1:19" x14ac:dyDescent="0.25">
      <c r="A1123" s="2">
        <v>43857</v>
      </c>
      <c r="B1123" s="1">
        <f t="shared" si="88"/>
        <v>5</v>
      </c>
      <c r="C1123">
        <f t="shared" si="90"/>
        <v>1</v>
      </c>
      <c r="D1123" t="str">
        <f t="shared" si="91"/>
        <v>January</v>
      </c>
      <c r="E1123">
        <f t="shared" si="92"/>
        <v>2020</v>
      </c>
      <c r="F1123" t="str">
        <f>CONCATENATE(calendar[[#This Row],[Month]],"/",calendar[[#This Row],[Year]])</f>
        <v>1/2020</v>
      </c>
      <c r="G1123">
        <f>WEEKDAY(calendar[[#This Row],[Date]],1)</f>
        <v>2</v>
      </c>
      <c r="H1123" t="str">
        <f>TEXT(calendar[[#This Row],[WeekDay]],"dddd")</f>
        <v>Monday</v>
      </c>
      <c r="I1123">
        <f>IF((INT(calendar[[#This Row],[Count]]/7)-calendar[[#This Row],[Count]]/7)&lt;0,I1122,I1122+1)</f>
        <v>161</v>
      </c>
      <c r="J1123">
        <f t="shared" si="89"/>
        <v>1121</v>
      </c>
      <c r="K1123">
        <f>IF(calendar[[#This Row],[Month]]&lt;4,1,IF(calendar[[#This Row],[Month]]&lt;7,2,IF(calendar[[#This Row],[Month]]&lt;10,3,4)))</f>
        <v>1</v>
      </c>
      <c r="L1123">
        <f>IFERROR(IF(VLOOKUP(calendar[[#This Row],[Date]],BH!A:A,1,)&lt;&gt;"",1,0),0)</f>
        <v>0</v>
      </c>
      <c r="M1123">
        <f>IFERROR(IF(VLOOKUP(calendar[[#This Row],[Date]],BH!C:C,1,)&lt;&gt;"",1,0),0)</f>
        <v>0</v>
      </c>
      <c r="N1123">
        <f>IFERROR(IF(VLOOKUP(calendar[[#This Row],[Date]],BH!E:E,1,)&lt;&gt;"",1,0),0)</f>
        <v>0</v>
      </c>
      <c r="O1123">
        <f>IFERROR(IF(VLOOKUP(calendar[[#This Row],[Date]],BH!G:G,1,)&lt;&gt;"",1,0),0)</f>
        <v>0</v>
      </c>
      <c r="P1123">
        <f>IF(OR(calendar[[#This Row],[UK_BH]]=1,calendar[[#This Row],[WeekDay]]=1, calendar[[#This Row],[WeekDay]]=7),P1122,P1122+1)</f>
        <v>801</v>
      </c>
      <c r="Q1123">
        <f>IF(OR(calendar[[#This Row],[FR_BH]]=1,calendar[[#This Row],[WeekDay]]=1, calendar[[#This Row],[WeekDay]]=7),P1122,P1122+1)</f>
        <v>801</v>
      </c>
      <c r="R1123">
        <f>IF(OR(calendar[[#This Row],[SP_BH]]=1,calendar[[#This Row],[WeekDay]]=1, calendar[[#This Row],[WeekDay]]=7),P1122,P1122+1)</f>
        <v>801</v>
      </c>
      <c r="S1123">
        <f>IF(OR(calendar[[#This Row],[PT_BH]]=1,calendar[[#This Row],[WeekDay]]=1, calendar[[#This Row],[WeekDay]]=7),P1122,P1122+1)</f>
        <v>801</v>
      </c>
    </row>
    <row r="1124" spans="1:19" x14ac:dyDescent="0.25">
      <c r="A1124" s="2">
        <v>43858</v>
      </c>
      <c r="B1124" s="1">
        <f t="shared" si="88"/>
        <v>5</v>
      </c>
      <c r="C1124">
        <f t="shared" si="90"/>
        <v>1</v>
      </c>
      <c r="D1124" t="str">
        <f t="shared" si="91"/>
        <v>January</v>
      </c>
      <c r="E1124">
        <f t="shared" si="92"/>
        <v>2020</v>
      </c>
      <c r="F1124" t="str">
        <f>CONCATENATE(calendar[[#This Row],[Month]],"/",calendar[[#This Row],[Year]])</f>
        <v>1/2020</v>
      </c>
      <c r="G1124">
        <f>WEEKDAY(calendar[[#This Row],[Date]],1)</f>
        <v>3</v>
      </c>
      <c r="H1124" t="str">
        <f>TEXT(calendar[[#This Row],[WeekDay]],"dddd")</f>
        <v>Tuesday</v>
      </c>
      <c r="I1124">
        <f>IF((INT(calendar[[#This Row],[Count]]/7)-calendar[[#This Row],[Count]]/7)&lt;0,I1123,I1123+1)</f>
        <v>161</v>
      </c>
      <c r="J1124">
        <f t="shared" si="89"/>
        <v>1122</v>
      </c>
      <c r="K1124">
        <f>IF(calendar[[#This Row],[Month]]&lt;4,1,IF(calendar[[#This Row],[Month]]&lt;7,2,IF(calendar[[#This Row],[Month]]&lt;10,3,4)))</f>
        <v>1</v>
      </c>
      <c r="L1124">
        <f>IFERROR(IF(VLOOKUP(calendar[[#This Row],[Date]],BH!A:A,1,)&lt;&gt;"",1,0),0)</f>
        <v>0</v>
      </c>
      <c r="M1124">
        <f>IFERROR(IF(VLOOKUP(calendar[[#This Row],[Date]],BH!C:C,1,)&lt;&gt;"",1,0),0)</f>
        <v>0</v>
      </c>
      <c r="N1124">
        <f>IFERROR(IF(VLOOKUP(calendar[[#This Row],[Date]],BH!E:E,1,)&lt;&gt;"",1,0),0)</f>
        <v>0</v>
      </c>
      <c r="O1124">
        <f>IFERROR(IF(VLOOKUP(calendar[[#This Row],[Date]],BH!G:G,1,)&lt;&gt;"",1,0),0)</f>
        <v>0</v>
      </c>
      <c r="P1124">
        <f>IF(OR(calendar[[#This Row],[UK_BH]]=1,calendar[[#This Row],[WeekDay]]=1, calendar[[#This Row],[WeekDay]]=7),P1123,P1123+1)</f>
        <v>802</v>
      </c>
      <c r="Q1124">
        <f>IF(OR(calendar[[#This Row],[FR_BH]]=1,calendar[[#This Row],[WeekDay]]=1, calendar[[#This Row],[WeekDay]]=7),P1123,P1123+1)</f>
        <v>802</v>
      </c>
      <c r="R1124">
        <f>IF(OR(calendar[[#This Row],[SP_BH]]=1,calendar[[#This Row],[WeekDay]]=1, calendar[[#This Row],[WeekDay]]=7),P1123,P1123+1)</f>
        <v>802</v>
      </c>
      <c r="S1124">
        <f>IF(OR(calendar[[#This Row],[PT_BH]]=1,calendar[[#This Row],[WeekDay]]=1, calendar[[#This Row],[WeekDay]]=7),P1123,P1123+1)</f>
        <v>802</v>
      </c>
    </row>
    <row r="1125" spans="1:19" x14ac:dyDescent="0.25">
      <c r="A1125" s="2">
        <v>43859</v>
      </c>
      <c r="B1125" s="1">
        <f t="shared" si="88"/>
        <v>5</v>
      </c>
      <c r="C1125">
        <f t="shared" si="90"/>
        <v>1</v>
      </c>
      <c r="D1125" t="str">
        <f t="shared" si="91"/>
        <v>January</v>
      </c>
      <c r="E1125">
        <f t="shared" si="92"/>
        <v>2020</v>
      </c>
      <c r="F1125" t="str">
        <f>CONCATENATE(calendar[[#This Row],[Month]],"/",calendar[[#This Row],[Year]])</f>
        <v>1/2020</v>
      </c>
      <c r="G1125">
        <f>WEEKDAY(calendar[[#This Row],[Date]],1)</f>
        <v>4</v>
      </c>
      <c r="H1125" t="str">
        <f>TEXT(calendar[[#This Row],[WeekDay]],"dddd")</f>
        <v>Wednesday</v>
      </c>
      <c r="I1125">
        <f>IF((INT(calendar[[#This Row],[Count]]/7)-calendar[[#This Row],[Count]]/7)&lt;0,I1124,I1124+1)</f>
        <v>161</v>
      </c>
      <c r="J1125">
        <f t="shared" si="89"/>
        <v>1123</v>
      </c>
      <c r="K1125">
        <f>IF(calendar[[#This Row],[Month]]&lt;4,1,IF(calendar[[#This Row],[Month]]&lt;7,2,IF(calendar[[#This Row],[Month]]&lt;10,3,4)))</f>
        <v>1</v>
      </c>
      <c r="L1125">
        <f>IFERROR(IF(VLOOKUP(calendar[[#This Row],[Date]],BH!A:A,1,)&lt;&gt;"",1,0),0)</f>
        <v>0</v>
      </c>
      <c r="M1125">
        <f>IFERROR(IF(VLOOKUP(calendar[[#This Row],[Date]],BH!C:C,1,)&lt;&gt;"",1,0),0)</f>
        <v>0</v>
      </c>
      <c r="N1125">
        <f>IFERROR(IF(VLOOKUP(calendar[[#This Row],[Date]],BH!E:E,1,)&lt;&gt;"",1,0),0)</f>
        <v>0</v>
      </c>
      <c r="O1125">
        <f>IFERROR(IF(VLOOKUP(calendar[[#This Row],[Date]],BH!G:G,1,)&lt;&gt;"",1,0),0)</f>
        <v>0</v>
      </c>
      <c r="P1125">
        <f>IF(OR(calendar[[#This Row],[UK_BH]]=1,calendar[[#This Row],[WeekDay]]=1, calendar[[#This Row],[WeekDay]]=7),P1124,P1124+1)</f>
        <v>803</v>
      </c>
      <c r="Q1125">
        <f>IF(OR(calendar[[#This Row],[FR_BH]]=1,calendar[[#This Row],[WeekDay]]=1, calendar[[#This Row],[WeekDay]]=7),P1124,P1124+1)</f>
        <v>803</v>
      </c>
      <c r="R1125">
        <f>IF(OR(calendar[[#This Row],[SP_BH]]=1,calendar[[#This Row],[WeekDay]]=1, calendar[[#This Row],[WeekDay]]=7),P1124,P1124+1)</f>
        <v>803</v>
      </c>
      <c r="S1125">
        <f>IF(OR(calendar[[#This Row],[PT_BH]]=1,calendar[[#This Row],[WeekDay]]=1, calendar[[#This Row],[WeekDay]]=7),P1124,P1124+1)</f>
        <v>803</v>
      </c>
    </row>
    <row r="1126" spans="1:19" x14ac:dyDescent="0.25">
      <c r="A1126" s="2">
        <v>43860</v>
      </c>
      <c r="B1126" s="1">
        <f t="shared" si="88"/>
        <v>5</v>
      </c>
      <c r="C1126">
        <f t="shared" si="90"/>
        <v>1</v>
      </c>
      <c r="D1126" t="str">
        <f t="shared" si="91"/>
        <v>January</v>
      </c>
      <c r="E1126">
        <f t="shared" si="92"/>
        <v>2020</v>
      </c>
      <c r="F1126" t="str">
        <f>CONCATENATE(calendar[[#This Row],[Month]],"/",calendar[[#This Row],[Year]])</f>
        <v>1/2020</v>
      </c>
      <c r="G1126">
        <f>WEEKDAY(calendar[[#This Row],[Date]],1)</f>
        <v>5</v>
      </c>
      <c r="H1126" t="str">
        <f>TEXT(calendar[[#This Row],[WeekDay]],"dddd")</f>
        <v>Thursday</v>
      </c>
      <c r="I1126">
        <f>IF((INT(calendar[[#This Row],[Count]]/7)-calendar[[#This Row],[Count]]/7)&lt;0,I1125,I1125+1)</f>
        <v>161</v>
      </c>
      <c r="J1126">
        <f t="shared" si="89"/>
        <v>1124</v>
      </c>
      <c r="K1126">
        <f>IF(calendar[[#This Row],[Month]]&lt;4,1,IF(calendar[[#This Row],[Month]]&lt;7,2,IF(calendar[[#This Row],[Month]]&lt;10,3,4)))</f>
        <v>1</v>
      </c>
      <c r="L1126">
        <f>IFERROR(IF(VLOOKUP(calendar[[#This Row],[Date]],BH!A:A,1,)&lt;&gt;"",1,0),0)</f>
        <v>0</v>
      </c>
      <c r="M1126">
        <f>IFERROR(IF(VLOOKUP(calendar[[#This Row],[Date]],BH!C:C,1,)&lt;&gt;"",1,0),0)</f>
        <v>0</v>
      </c>
      <c r="N1126">
        <f>IFERROR(IF(VLOOKUP(calendar[[#This Row],[Date]],BH!E:E,1,)&lt;&gt;"",1,0),0)</f>
        <v>0</v>
      </c>
      <c r="O1126">
        <f>IFERROR(IF(VLOOKUP(calendar[[#This Row],[Date]],BH!G:G,1,)&lt;&gt;"",1,0),0)</f>
        <v>0</v>
      </c>
      <c r="P1126">
        <f>IF(OR(calendar[[#This Row],[UK_BH]]=1,calendar[[#This Row],[WeekDay]]=1, calendar[[#This Row],[WeekDay]]=7),P1125,P1125+1)</f>
        <v>804</v>
      </c>
      <c r="Q1126">
        <f>IF(OR(calendar[[#This Row],[FR_BH]]=1,calendar[[#This Row],[WeekDay]]=1, calendar[[#This Row],[WeekDay]]=7),P1125,P1125+1)</f>
        <v>804</v>
      </c>
      <c r="R1126">
        <f>IF(OR(calendar[[#This Row],[SP_BH]]=1,calendar[[#This Row],[WeekDay]]=1, calendar[[#This Row],[WeekDay]]=7),P1125,P1125+1)</f>
        <v>804</v>
      </c>
      <c r="S1126">
        <f>IF(OR(calendar[[#This Row],[PT_BH]]=1,calendar[[#This Row],[WeekDay]]=1, calendar[[#This Row],[WeekDay]]=7),P1125,P1125+1)</f>
        <v>804</v>
      </c>
    </row>
    <row r="1127" spans="1:19" x14ac:dyDescent="0.25">
      <c r="A1127" s="2">
        <v>43861</v>
      </c>
      <c r="B1127" s="1">
        <f t="shared" si="88"/>
        <v>5</v>
      </c>
      <c r="C1127">
        <f t="shared" si="90"/>
        <v>1</v>
      </c>
      <c r="D1127" t="str">
        <f t="shared" si="91"/>
        <v>January</v>
      </c>
      <c r="E1127">
        <f t="shared" si="92"/>
        <v>2020</v>
      </c>
      <c r="F1127" t="str">
        <f>CONCATENATE(calendar[[#This Row],[Month]],"/",calendar[[#This Row],[Year]])</f>
        <v>1/2020</v>
      </c>
      <c r="G1127">
        <f>WEEKDAY(calendar[[#This Row],[Date]],1)</f>
        <v>6</v>
      </c>
      <c r="H1127" t="str">
        <f>TEXT(calendar[[#This Row],[WeekDay]],"dddd")</f>
        <v>Friday</v>
      </c>
      <c r="I1127">
        <f>IF((INT(calendar[[#This Row],[Count]]/7)-calendar[[#This Row],[Count]]/7)&lt;0,I1126,I1126+1)</f>
        <v>161</v>
      </c>
      <c r="J1127">
        <f t="shared" si="89"/>
        <v>1125</v>
      </c>
      <c r="K1127">
        <f>IF(calendar[[#This Row],[Month]]&lt;4,1,IF(calendar[[#This Row],[Month]]&lt;7,2,IF(calendar[[#This Row],[Month]]&lt;10,3,4)))</f>
        <v>1</v>
      </c>
      <c r="L1127">
        <f>IFERROR(IF(VLOOKUP(calendar[[#This Row],[Date]],BH!A:A,1,)&lt;&gt;"",1,0),0)</f>
        <v>0</v>
      </c>
      <c r="M1127">
        <f>IFERROR(IF(VLOOKUP(calendar[[#This Row],[Date]],BH!C:C,1,)&lt;&gt;"",1,0),0)</f>
        <v>0</v>
      </c>
      <c r="N1127">
        <f>IFERROR(IF(VLOOKUP(calendar[[#This Row],[Date]],BH!E:E,1,)&lt;&gt;"",1,0),0)</f>
        <v>0</v>
      </c>
      <c r="O1127">
        <f>IFERROR(IF(VLOOKUP(calendar[[#This Row],[Date]],BH!G:G,1,)&lt;&gt;"",1,0),0)</f>
        <v>0</v>
      </c>
      <c r="P1127">
        <f>IF(OR(calendar[[#This Row],[UK_BH]]=1,calendar[[#This Row],[WeekDay]]=1, calendar[[#This Row],[WeekDay]]=7),P1126,P1126+1)</f>
        <v>805</v>
      </c>
      <c r="Q1127">
        <f>IF(OR(calendar[[#This Row],[FR_BH]]=1,calendar[[#This Row],[WeekDay]]=1, calendar[[#This Row],[WeekDay]]=7),P1126,P1126+1)</f>
        <v>805</v>
      </c>
      <c r="R1127">
        <f>IF(OR(calendar[[#This Row],[SP_BH]]=1,calendar[[#This Row],[WeekDay]]=1, calendar[[#This Row],[WeekDay]]=7),P1126,P1126+1)</f>
        <v>805</v>
      </c>
      <c r="S1127">
        <f>IF(OR(calendar[[#This Row],[PT_BH]]=1,calendar[[#This Row],[WeekDay]]=1, calendar[[#This Row],[WeekDay]]=7),P1126,P1126+1)</f>
        <v>805</v>
      </c>
    </row>
    <row r="1128" spans="1:19" x14ac:dyDescent="0.25">
      <c r="A1128" s="2">
        <v>43862</v>
      </c>
      <c r="B1128" s="1">
        <f t="shared" si="88"/>
        <v>5</v>
      </c>
      <c r="C1128">
        <f t="shared" si="90"/>
        <v>2</v>
      </c>
      <c r="D1128" t="str">
        <f t="shared" si="91"/>
        <v>February</v>
      </c>
      <c r="E1128">
        <f t="shared" si="92"/>
        <v>2020</v>
      </c>
      <c r="F1128" t="str">
        <f>CONCATENATE(calendar[[#This Row],[Month]],"/",calendar[[#This Row],[Year]])</f>
        <v>2/2020</v>
      </c>
      <c r="G1128">
        <f>WEEKDAY(calendar[[#This Row],[Date]],1)</f>
        <v>7</v>
      </c>
      <c r="H1128" t="str">
        <f>TEXT(calendar[[#This Row],[WeekDay]],"dddd")</f>
        <v>Saturday</v>
      </c>
      <c r="I1128">
        <f>IF((INT(calendar[[#This Row],[Count]]/7)-calendar[[#This Row],[Count]]/7)&lt;0,I1127,I1127+1)</f>
        <v>161</v>
      </c>
      <c r="J1128">
        <f t="shared" si="89"/>
        <v>1126</v>
      </c>
      <c r="K1128">
        <f>IF(calendar[[#This Row],[Month]]&lt;4,1,IF(calendar[[#This Row],[Month]]&lt;7,2,IF(calendar[[#This Row],[Month]]&lt;10,3,4)))</f>
        <v>1</v>
      </c>
      <c r="L1128">
        <f>IFERROR(IF(VLOOKUP(calendar[[#This Row],[Date]],BH!A:A,1,)&lt;&gt;"",1,0),0)</f>
        <v>0</v>
      </c>
      <c r="M1128">
        <f>IFERROR(IF(VLOOKUP(calendar[[#This Row],[Date]],BH!C:C,1,)&lt;&gt;"",1,0),0)</f>
        <v>0</v>
      </c>
      <c r="N1128">
        <f>IFERROR(IF(VLOOKUP(calendar[[#This Row],[Date]],BH!E:E,1,)&lt;&gt;"",1,0),0)</f>
        <v>0</v>
      </c>
      <c r="O1128">
        <f>IFERROR(IF(VLOOKUP(calendar[[#This Row],[Date]],BH!G:G,1,)&lt;&gt;"",1,0),0)</f>
        <v>0</v>
      </c>
      <c r="P1128">
        <f>IF(OR(calendar[[#This Row],[UK_BH]]=1,calendar[[#This Row],[WeekDay]]=1, calendar[[#This Row],[WeekDay]]=7),P1127,P1127+1)</f>
        <v>805</v>
      </c>
      <c r="Q1128">
        <f>IF(OR(calendar[[#This Row],[FR_BH]]=1,calendar[[#This Row],[WeekDay]]=1, calendar[[#This Row],[WeekDay]]=7),P1127,P1127+1)</f>
        <v>805</v>
      </c>
      <c r="R1128">
        <f>IF(OR(calendar[[#This Row],[SP_BH]]=1,calendar[[#This Row],[WeekDay]]=1, calendar[[#This Row],[WeekDay]]=7),P1127,P1127+1)</f>
        <v>805</v>
      </c>
      <c r="S1128">
        <f>IF(OR(calendar[[#This Row],[PT_BH]]=1,calendar[[#This Row],[WeekDay]]=1, calendar[[#This Row],[WeekDay]]=7),P1127,P1127+1)</f>
        <v>805</v>
      </c>
    </row>
    <row r="1129" spans="1:19" x14ac:dyDescent="0.25">
      <c r="A1129" s="2">
        <v>43863</v>
      </c>
      <c r="B1129" s="1">
        <f t="shared" si="88"/>
        <v>6</v>
      </c>
      <c r="C1129">
        <f t="shared" si="90"/>
        <v>2</v>
      </c>
      <c r="D1129" t="str">
        <f t="shared" si="91"/>
        <v>February</v>
      </c>
      <c r="E1129">
        <f t="shared" si="92"/>
        <v>2020</v>
      </c>
      <c r="F1129" t="str">
        <f>CONCATENATE(calendar[[#This Row],[Month]],"/",calendar[[#This Row],[Year]])</f>
        <v>2/2020</v>
      </c>
      <c r="G1129">
        <f>WEEKDAY(calendar[[#This Row],[Date]],1)</f>
        <v>1</v>
      </c>
      <c r="H1129" t="str">
        <f>TEXT(calendar[[#This Row],[WeekDay]],"dddd")</f>
        <v>Sunday</v>
      </c>
      <c r="I1129">
        <f>IF((INT(calendar[[#This Row],[Count]]/7)-calendar[[#This Row],[Count]]/7)&lt;0,I1128,I1128+1)</f>
        <v>162</v>
      </c>
      <c r="J1129">
        <f t="shared" si="89"/>
        <v>1127</v>
      </c>
      <c r="K1129">
        <f>IF(calendar[[#This Row],[Month]]&lt;4,1,IF(calendar[[#This Row],[Month]]&lt;7,2,IF(calendar[[#This Row],[Month]]&lt;10,3,4)))</f>
        <v>1</v>
      </c>
      <c r="L1129">
        <f>IFERROR(IF(VLOOKUP(calendar[[#This Row],[Date]],BH!A:A,1,)&lt;&gt;"",1,0),0)</f>
        <v>0</v>
      </c>
      <c r="M1129">
        <f>IFERROR(IF(VLOOKUP(calendar[[#This Row],[Date]],BH!C:C,1,)&lt;&gt;"",1,0),0)</f>
        <v>0</v>
      </c>
      <c r="N1129">
        <f>IFERROR(IF(VLOOKUP(calendar[[#This Row],[Date]],BH!E:E,1,)&lt;&gt;"",1,0),0)</f>
        <v>0</v>
      </c>
      <c r="O1129">
        <f>IFERROR(IF(VLOOKUP(calendar[[#This Row],[Date]],BH!G:G,1,)&lt;&gt;"",1,0),0)</f>
        <v>0</v>
      </c>
      <c r="P1129">
        <f>IF(OR(calendar[[#This Row],[UK_BH]]=1,calendar[[#This Row],[WeekDay]]=1, calendar[[#This Row],[WeekDay]]=7),P1128,P1128+1)</f>
        <v>805</v>
      </c>
      <c r="Q1129">
        <f>IF(OR(calendar[[#This Row],[FR_BH]]=1,calendar[[#This Row],[WeekDay]]=1, calendar[[#This Row],[WeekDay]]=7),P1128,P1128+1)</f>
        <v>805</v>
      </c>
      <c r="R1129">
        <f>IF(OR(calendar[[#This Row],[SP_BH]]=1,calendar[[#This Row],[WeekDay]]=1, calendar[[#This Row],[WeekDay]]=7),P1128,P1128+1)</f>
        <v>805</v>
      </c>
      <c r="S1129">
        <f>IF(OR(calendar[[#This Row],[PT_BH]]=1,calendar[[#This Row],[WeekDay]]=1, calendar[[#This Row],[WeekDay]]=7),P1128,P1128+1)</f>
        <v>805</v>
      </c>
    </row>
    <row r="1130" spans="1:19" x14ac:dyDescent="0.25">
      <c r="A1130" s="2">
        <v>43864</v>
      </c>
      <c r="B1130" s="1">
        <f t="shared" si="88"/>
        <v>6</v>
      </c>
      <c r="C1130">
        <f t="shared" si="90"/>
        <v>2</v>
      </c>
      <c r="D1130" t="str">
        <f t="shared" si="91"/>
        <v>February</v>
      </c>
      <c r="E1130">
        <f t="shared" si="92"/>
        <v>2020</v>
      </c>
      <c r="F1130" t="str">
        <f>CONCATENATE(calendar[[#This Row],[Month]],"/",calendar[[#This Row],[Year]])</f>
        <v>2/2020</v>
      </c>
      <c r="G1130">
        <f>WEEKDAY(calendar[[#This Row],[Date]],1)</f>
        <v>2</v>
      </c>
      <c r="H1130" t="str">
        <f>TEXT(calendar[[#This Row],[WeekDay]],"dddd")</f>
        <v>Monday</v>
      </c>
      <c r="I1130">
        <f>IF((INT(calendar[[#This Row],[Count]]/7)-calendar[[#This Row],[Count]]/7)&lt;0,I1129,I1129+1)</f>
        <v>162</v>
      </c>
      <c r="J1130">
        <f t="shared" si="89"/>
        <v>1128</v>
      </c>
      <c r="K1130">
        <f>IF(calendar[[#This Row],[Month]]&lt;4,1,IF(calendar[[#This Row],[Month]]&lt;7,2,IF(calendar[[#This Row],[Month]]&lt;10,3,4)))</f>
        <v>1</v>
      </c>
      <c r="L1130">
        <f>IFERROR(IF(VLOOKUP(calendar[[#This Row],[Date]],BH!A:A,1,)&lt;&gt;"",1,0),0)</f>
        <v>0</v>
      </c>
      <c r="M1130">
        <f>IFERROR(IF(VLOOKUP(calendar[[#This Row],[Date]],BH!C:C,1,)&lt;&gt;"",1,0),0)</f>
        <v>0</v>
      </c>
      <c r="N1130">
        <f>IFERROR(IF(VLOOKUP(calendar[[#This Row],[Date]],BH!E:E,1,)&lt;&gt;"",1,0),0)</f>
        <v>0</v>
      </c>
      <c r="O1130">
        <f>IFERROR(IF(VLOOKUP(calendar[[#This Row],[Date]],BH!G:G,1,)&lt;&gt;"",1,0),0)</f>
        <v>0</v>
      </c>
      <c r="P1130">
        <f>IF(OR(calendar[[#This Row],[UK_BH]]=1,calendar[[#This Row],[WeekDay]]=1, calendar[[#This Row],[WeekDay]]=7),P1129,P1129+1)</f>
        <v>806</v>
      </c>
      <c r="Q1130">
        <f>IF(OR(calendar[[#This Row],[FR_BH]]=1,calendar[[#This Row],[WeekDay]]=1, calendar[[#This Row],[WeekDay]]=7),P1129,P1129+1)</f>
        <v>806</v>
      </c>
      <c r="R1130">
        <f>IF(OR(calendar[[#This Row],[SP_BH]]=1,calendar[[#This Row],[WeekDay]]=1, calendar[[#This Row],[WeekDay]]=7),P1129,P1129+1)</f>
        <v>806</v>
      </c>
      <c r="S1130">
        <f>IF(OR(calendar[[#This Row],[PT_BH]]=1,calendar[[#This Row],[WeekDay]]=1, calendar[[#This Row],[WeekDay]]=7),P1129,P1129+1)</f>
        <v>806</v>
      </c>
    </row>
    <row r="1131" spans="1:19" x14ac:dyDescent="0.25">
      <c r="A1131" s="2">
        <v>43865</v>
      </c>
      <c r="B1131" s="1">
        <f t="shared" si="88"/>
        <v>6</v>
      </c>
      <c r="C1131">
        <f t="shared" si="90"/>
        <v>2</v>
      </c>
      <c r="D1131" t="str">
        <f t="shared" si="91"/>
        <v>February</v>
      </c>
      <c r="E1131">
        <f t="shared" si="92"/>
        <v>2020</v>
      </c>
      <c r="F1131" t="str">
        <f>CONCATENATE(calendar[[#This Row],[Month]],"/",calendar[[#This Row],[Year]])</f>
        <v>2/2020</v>
      </c>
      <c r="G1131">
        <f>WEEKDAY(calendar[[#This Row],[Date]],1)</f>
        <v>3</v>
      </c>
      <c r="H1131" t="str">
        <f>TEXT(calendar[[#This Row],[WeekDay]],"dddd")</f>
        <v>Tuesday</v>
      </c>
      <c r="I1131">
        <f>IF((INT(calendar[[#This Row],[Count]]/7)-calendar[[#This Row],[Count]]/7)&lt;0,I1130,I1130+1)</f>
        <v>162</v>
      </c>
      <c r="J1131">
        <f t="shared" si="89"/>
        <v>1129</v>
      </c>
      <c r="K1131">
        <f>IF(calendar[[#This Row],[Month]]&lt;4,1,IF(calendar[[#This Row],[Month]]&lt;7,2,IF(calendar[[#This Row],[Month]]&lt;10,3,4)))</f>
        <v>1</v>
      </c>
      <c r="L1131">
        <f>IFERROR(IF(VLOOKUP(calendar[[#This Row],[Date]],BH!A:A,1,)&lt;&gt;"",1,0),0)</f>
        <v>0</v>
      </c>
      <c r="M1131">
        <f>IFERROR(IF(VLOOKUP(calendar[[#This Row],[Date]],BH!C:C,1,)&lt;&gt;"",1,0),0)</f>
        <v>0</v>
      </c>
      <c r="N1131">
        <f>IFERROR(IF(VLOOKUP(calendar[[#This Row],[Date]],BH!E:E,1,)&lt;&gt;"",1,0),0)</f>
        <v>0</v>
      </c>
      <c r="O1131">
        <f>IFERROR(IF(VLOOKUP(calendar[[#This Row],[Date]],BH!G:G,1,)&lt;&gt;"",1,0),0)</f>
        <v>0</v>
      </c>
      <c r="P1131">
        <f>IF(OR(calendar[[#This Row],[UK_BH]]=1,calendar[[#This Row],[WeekDay]]=1, calendar[[#This Row],[WeekDay]]=7),P1130,P1130+1)</f>
        <v>807</v>
      </c>
      <c r="Q1131">
        <f>IF(OR(calendar[[#This Row],[FR_BH]]=1,calendar[[#This Row],[WeekDay]]=1, calendar[[#This Row],[WeekDay]]=7),P1130,P1130+1)</f>
        <v>807</v>
      </c>
      <c r="R1131">
        <f>IF(OR(calendar[[#This Row],[SP_BH]]=1,calendar[[#This Row],[WeekDay]]=1, calendar[[#This Row],[WeekDay]]=7),P1130,P1130+1)</f>
        <v>807</v>
      </c>
      <c r="S1131">
        <f>IF(OR(calendar[[#This Row],[PT_BH]]=1,calendar[[#This Row],[WeekDay]]=1, calendar[[#This Row],[WeekDay]]=7),P1130,P1130+1)</f>
        <v>807</v>
      </c>
    </row>
    <row r="1132" spans="1:19" x14ac:dyDescent="0.25">
      <c r="A1132" s="2">
        <v>43866</v>
      </c>
      <c r="B1132" s="1">
        <f t="shared" si="88"/>
        <v>6</v>
      </c>
      <c r="C1132">
        <f t="shared" si="90"/>
        <v>2</v>
      </c>
      <c r="D1132" t="str">
        <f t="shared" si="91"/>
        <v>February</v>
      </c>
      <c r="E1132">
        <f t="shared" si="92"/>
        <v>2020</v>
      </c>
      <c r="F1132" t="str">
        <f>CONCATENATE(calendar[[#This Row],[Month]],"/",calendar[[#This Row],[Year]])</f>
        <v>2/2020</v>
      </c>
      <c r="G1132">
        <f>WEEKDAY(calendar[[#This Row],[Date]],1)</f>
        <v>4</v>
      </c>
      <c r="H1132" t="str">
        <f>TEXT(calendar[[#This Row],[WeekDay]],"dddd")</f>
        <v>Wednesday</v>
      </c>
      <c r="I1132">
        <f>IF((INT(calendar[[#This Row],[Count]]/7)-calendar[[#This Row],[Count]]/7)&lt;0,I1131,I1131+1)</f>
        <v>162</v>
      </c>
      <c r="J1132">
        <f t="shared" si="89"/>
        <v>1130</v>
      </c>
      <c r="K1132">
        <f>IF(calendar[[#This Row],[Month]]&lt;4,1,IF(calendar[[#This Row],[Month]]&lt;7,2,IF(calendar[[#This Row],[Month]]&lt;10,3,4)))</f>
        <v>1</v>
      </c>
      <c r="L1132">
        <f>IFERROR(IF(VLOOKUP(calendar[[#This Row],[Date]],BH!A:A,1,)&lt;&gt;"",1,0),0)</f>
        <v>0</v>
      </c>
      <c r="M1132">
        <f>IFERROR(IF(VLOOKUP(calendar[[#This Row],[Date]],BH!C:C,1,)&lt;&gt;"",1,0),0)</f>
        <v>0</v>
      </c>
      <c r="N1132">
        <f>IFERROR(IF(VLOOKUP(calendar[[#This Row],[Date]],BH!E:E,1,)&lt;&gt;"",1,0),0)</f>
        <v>0</v>
      </c>
      <c r="O1132">
        <f>IFERROR(IF(VLOOKUP(calendar[[#This Row],[Date]],BH!G:G,1,)&lt;&gt;"",1,0),0)</f>
        <v>0</v>
      </c>
      <c r="P1132">
        <f>IF(OR(calendar[[#This Row],[UK_BH]]=1,calendar[[#This Row],[WeekDay]]=1, calendar[[#This Row],[WeekDay]]=7),P1131,P1131+1)</f>
        <v>808</v>
      </c>
      <c r="Q1132">
        <f>IF(OR(calendar[[#This Row],[FR_BH]]=1,calendar[[#This Row],[WeekDay]]=1, calendar[[#This Row],[WeekDay]]=7),P1131,P1131+1)</f>
        <v>808</v>
      </c>
      <c r="R1132">
        <f>IF(OR(calendar[[#This Row],[SP_BH]]=1,calendar[[#This Row],[WeekDay]]=1, calendar[[#This Row],[WeekDay]]=7),P1131,P1131+1)</f>
        <v>808</v>
      </c>
      <c r="S1132">
        <f>IF(OR(calendar[[#This Row],[PT_BH]]=1,calendar[[#This Row],[WeekDay]]=1, calendar[[#This Row],[WeekDay]]=7),P1131,P1131+1)</f>
        <v>808</v>
      </c>
    </row>
    <row r="1133" spans="1:19" x14ac:dyDescent="0.25">
      <c r="A1133" s="2">
        <v>43867</v>
      </c>
      <c r="B1133" s="1">
        <f t="shared" si="88"/>
        <v>6</v>
      </c>
      <c r="C1133">
        <f t="shared" si="90"/>
        <v>2</v>
      </c>
      <c r="D1133" t="str">
        <f t="shared" si="91"/>
        <v>February</v>
      </c>
      <c r="E1133">
        <f t="shared" si="92"/>
        <v>2020</v>
      </c>
      <c r="F1133" t="str">
        <f>CONCATENATE(calendar[[#This Row],[Month]],"/",calendar[[#This Row],[Year]])</f>
        <v>2/2020</v>
      </c>
      <c r="G1133">
        <f>WEEKDAY(calendar[[#This Row],[Date]],1)</f>
        <v>5</v>
      </c>
      <c r="H1133" t="str">
        <f>TEXT(calendar[[#This Row],[WeekDay]],"dddd")</f>
        <v>Thursday</v>
      </c>
      <c r="I1133">
        <f>IF((INT(calendar[[#This Row],[Count]]/7)-calendar[[#This Row],[Count]]/7)&lt;0,I1132,I1132+1)</f>
        <v>162</v>
      </c>
      <c r="J1133">
        <f t="shared" si="89"/>
        <v>1131</v>
      </c>
      <c r="K1133">
        <f>IF(calendar[[#This Row],[Month]]&lt;4,1,IF(calendar[[#This Row],[Month]]&lt;7,2,IF(calendar[[#This Row],[Month]]&lt;10,3,4)))</f>
        <v>1</v>
      </c>
      <c r="L1133">
        <f>IFERROR(IF(VLOOKUP(calendar[[#This Row],[Date]],BH!A:A,1,)&lt;&gt;"",1,0),0)</f>
        <v>0</v>
      </c>
      <c r="M1133">
        <f>IFERROR(IF(VLOOKUP(calendar[[#This Row],[Date]],BH!C:C,1,)&lt;&gt;"",1,0),0)</f>
        <v>0</v>
      </c>
      <c r="N1133">
        <f>IFERROR(IF(VLOOKUP(calendar[[#This Row],[Date]],BH!E:E,1,)&lt;&gt;"",1,0),0)</f>
        <v>0</v>
      </c>
      <c r="O1133">
        <f>IFERROR(IF(VLOOKUP(calendar[[#This Row],[Date]],BH!G:G,1,)&lt;&gt;"",1,0),0)</f>
        <v>0</v>
      </c>
      <c r="P1133">
        <f>IF(OR(calendar[[#This Row],[UK_BH]]=1,calendar[[#This Row],[WeekDay]]=1, calendar[[#This Row],[WeekDay]]=7),P1132,P1132+1)</f>
        <v>809</v>
      </c>
      <c r="Q1133">
        <f>IF(OR(calendar[[#This Row],[FR_BH]]=1,calendar[[#This Row],[WeekDay]]=1, calendar[[#This Row],[WeekDay]]=7),P1132,P1132+1)</f>
        <v>809</v>
      </c>
      <c r="R1133">
        <f>IF(OR(calendar[[#This Row],[SP_BH]]=1,calendar[[#This Row],[WeekDay]]=1, calendar[[#This Row],[WeekDay]]=7),P1132,P1132+1)</f>
        <v>809</v>
      </c>
      <c r="S1133">
        <f>IF(OR(calendar[[#This Row],[PT_BH]]=1,calendar[[#This Row],[WeekDay]]=1, calendar[[#This Row],[WeekDay]]=7),P1132,P1132+1)</f>
        <v>809</v>
      </c>
    </row>
    <row r="1134" spans="1:19" x14ac:dyDescent="0.25">
      <c r="A1134" s="2">
        <v>43868</v>
      </c>
      <c r="B1134" s="1">
        <f t="shared" si="88"/>
        <v>6</v>
      </c>
      <c r="C1134">
        <f t="shared" si="90"/>
        <v>2</v>
      </c>
      <c r="D1134" t="str">
        <f t="shared" si="91"/>
        <v>February</v>
      </c>
      <c r="E1134">
        <f t="shared" si="92"/>
        <v>2020</v>
      </c>
      <c r="F1134" t="str">
        <f>CONCATENATE(calendar[[#This Row],[Month]],"/",calendar[[#This Row],[Year]])</f>
        <v>2/2020</v>
      </c>
      <c r="G1134">
        <f>WEEKDAY(calendar[[#This Row],[Date]],1)</f>
        <v>6</v>
      </c>
      <c r="H1134" t="str">
        <f>TEXT(calendar[[#This Row],[WeekDay]],"dddd")</f>
        <v>Friday</v>
      </c>
      <c r="I1134">
        <f>IF((INT(calendar[[#This Row],[Count]]/7)-calendar[[#This Row],[Count]]/7)&lt;0,I1133,I1133+1)</f>
        <v>162</v>
      </c>
      <c r="J1134">
        <f t="shared" si="89"/>
        <v>1132</v>
      </c>
      <c r="K1134">
        <f>IF(calendar[[#This Row],[Month]]&lt;4,1,IF(calendar[[#This Row],[Month]]&lt;7,2,IF(calendar[[#This Row],[Month]]&lt;10,3,4)))</f>
        <v>1</v>
      </c>
      <c r="L1134">
        <f>IFERROR(IF(VLOOKUP(calendar[[#This Row],[Date]],BH!A:A,1,)&lt;&gt;"",1,0),0)</f>
        <v>0</v>
      </c>
      <c r="M1134">
        <f>IFERROR(IF(VLOOKUP(calendar[[#This Row],[Date]],BH!C:C,1,)&lt;&gt;"",1,0),0)</f>
        <v>0</v>
      </c>
      <c r="N1134">
        <f>IFERROR(IF(VLOOKUP(calendar[[#This Row],[Date]],BH!E:E,1,)&lt;&gt;"",1,0),0)</f>
        <v>0</v>
      </c>
      <c r="O1134">
        <f>IFERROR(IF(VLOOKUP(calendar[[#This Row],[Date]],BH!G:G,1,)&lt;&gt;"",1,0),0)</f>
        <v>0</v>
      </c>
      <c r="P1134">
        <f>IF(OR(calendar[[#This Row],[UK_BH]]=1,calendar[[#This Row],[WeekDay]]=1, calendar[[#This Row],[WeekDay]]=7),P1133,P1133+1)</f>
        <v>810</v>
      </c>
      <c r="Q1134">
        <f>IF(OR(calendar[[#This Row],[FR_BH]]=1,calendar[[#This Row],[WeekDay]]=1, calendar[[#This Row],[WeekDay]]=7),P1133,P1133+1)</f>
        <v>810</v>
      </c>
      <c r="R1134">
        <f>IF(OR(calendar[[#This Row],[SP_BH]]=1,calendar[[#This Row],[WeekDay]]=1, calendar[[#This Row],[WeekDay]]=7),P1133,P1133+1)</f>
        <v>810</v>
      </c>
      <c r="S1134">
        <f>IF(OR(calendar[[#This Row],[PT_BH]]=1,calendar[[#This Row],[WeekDay]]=1, calendar[[#This Row],[WeekDay]]=7),P1133,P1133+1)</f>
        <v>810</v>
      </c>
    </row>
    <row r="1135" spans="1:19" x14ac:dyDescent="0.25">
      <c r="A1135" s="2">
        <v>43869</v>
      </c>
      <c r="B1135" s="1">
        <f t="shared" si="88"/>
        <v>6</v>
      </c>
      <c r="C1135">
        <f t="shared" si="90"/>
        <v>2</v>
      </c>
      <c r="D1135" t="str">
        <f t="shared" si="91"/>
        <v>February</v>
      </c>
      <c r="E1135">
        <f t="shared" si="92"/>
        <v>2020</v>
      </c>
      <c r="F1135" t="str">
        <f>CONCATENATE(calendar[[#This Row],[Month]],"/",calendar[[#This Row],[Year]])</f>
        <v>2/2020</v>
      </c>
      <c r="G1135">
        <f>WEEKDAY(calendar[[#This Row],[Date]],1)</f>
        <v>7</v>
      </c>
      <c r="H1135" t="str">
        <f>TEXT(calendar[[#This Row],[WeekDay]],"dddd")</f>
        <v>Saturday</v>
      </c>
      <c r="I1135">
        <f>IF((INT(calendar[[#This Row],[Count]]/7)-calendar[[#This Row],[Count]]/7)&lt;0,I1134,I1134+1)</f>
        <v>162</v>
      </c>
      <c r="J1135">
        <f t="shared" si="89"/>
        <v>1133</v>
      </c>
      <c r="K1135">
        <f>IF(calendar[[#This Row],[Month]]&lt;4,1,IF(calendar[[#This Row],[Month]]&lt;7,2,IF(calendar[[#This Row],[Month]]&lt;10,3,4)))</f>
        <v>1</v>
      </c>
      <c r="L1135">
        <f>IFERROR(IF(VLOOKUP(calendar[[#This Row],[Date]],BH!A:A,1,)&lt;&gt;"",1,0),0)</f>
        <v>0</v>
      </c>
      <c r="M1135">
        <f>IFERROR(IF(VLOOKUP(calendar[[#This Row],[Date]],BH!C:C,1,)&lt;&gt;"",1,0),0)</f>
        <v>0</v>
      </c>
      <c r="N1135">
        <f>IFERROR(IF(VLOOKUP(calendar[[#This Row],[Date]],BH!E:E,1,)&lt;&gt;"",1,0),0)</f>
        <v>0</v>
      </c>
      <c r="O1135">
        <f>IFERROR(IF(VLOOKUP(calendar[[#This Row],[Date]],BH!G:G,1,)&lt;&gt;"",1,0),0)</f>
        <v>0</v>
      </c>
      <c r="P1135">
        <f>IF(OR(calendar[[#This Row],[UK_BH]]=1,calendar[[#This Row],[WeekDay]]=1, calendar[[#This Row],[WeekDay]]=7),P1134,P1134+1)</f>
        <v>810</v>
      </c>
      <c r="Q1135">
        <f>IF(OR(calendar[[#This Row],[FR_BH]]=1,calendar[[#This Row],[WeekDay]]=1, calendar[[#This Row],[WeekDay]]=7),P1134,P1134+1)</f>
        <v>810</v>
      </c>
      <c r="R1135">
        <f>IF(OR(calendar[[#This Row],[SP_BH]]=1,calendar[[#This Row],[WeekDay]]=1, calendar[[#This Row],[WeekDay]]=7),P1134,P1134+1)</f>
        <v>810</v>
      </c>
      <c r="S1135">
        <f>IF(OR(calendar[[#This Row],[PT_BH]]=1,calendar[[#This Row],[WeekDay]]=1, calendar[[#This Row],[WeekDay]]=7),P1134,P1134+1)</f>
        <v>810</v>
      </c>
    </row>
    <row r="1136" spans="1:19" x14ac:dyDescent="0.25">
      <c r="A1136" s="2">
        <v>43870</v>
      </c>
      <c r="B1136" s="1">
        <f t="shared" si="88"/>
        <v>7</v>
      </c>
      <c r="C1136">
        <f t="shared" si="90"/>
        <v>2</v>
      </c>
      <c r="D1136" t="str">
        <f t="shared" si="91"/>
        <v>February</v>
      </c>
      <c r="E1136">
        <f t="shared" si="92"/>
        <v>2020</v>
      </c>
      <c r="F1136" t="str">
        <f>CONCATENATE(calendar[[#This Row],[Month]],"/",calendar[[#This Row],[Year]])</f>
        <v>2/2020</v>
      </c>
      <c r="G1136">
        <f>WEEKDAY(calendar[[#This Row],[Date]],1)</f>
        <v>1</v>
      </c>
      <c r="H1136" t="str">
        <f>TEXT(calendar[[#This Row],[WeekDay]],"dddd")</f>
        <v>Sunday</v>
      </c>
      <c r="I1136">
        <f>IF((INT(calendar[[#This Row],[Count]]/7)-calendar[[#This Row],[Count]]/7)&lt;0,I1135,I1135+1)</f>
        <v>163</v>
      </c>
      <c r="J1136">
        <f t="shared" si="89"/>
        <v>1134</v>
      </c>
      <c r="K1136">
        <f>IF(calendar[[#This Row],[Month]]&lt;4,1,IF(calendar[[#This Row],[Month]]&lt;7,2,IF(calendar[[#This Row],[Month]]&lt;10,3,4)))</f>
        <v>1</v>
      </c>
      <c r="L1136">
        <f>IFERROR(IF(VLOOKUP(calendar[[#This Row],[Date]],BH!A:A,1,)&lt;&gt;"",1,0),0)</f>
        <v>0</v>
      </c>
      <c r="M1136">
        <f>IFERROR(IF(VLOOKUP(calendar[[#This Row],[Date]],BH!C:C,1,)&lt;&gt;"",1,0),0)</f>
        <v>0</v>
      </c>
      <c r="N1136">
        <f>IFERROR(IF(VLOOKUP(calendar[[#This Row],[Date]],BH!E:E,1,)&lt;&gt;"",1,0),0)</f>
        <v>0</v>
      </c>
      <c r="O1136">
        <f>IFERROR(IF(VLOOKUP(calendar[[#This Row],[Date]],BH!G:G,1,)&lt;&gt;"",1,0),0)</f>
        <v>0</v>
      </c>
      <c r="P1136">
        <f>IF(OR(calendar[[#This Row],[UK_BH]]=1,calendar[[#This Row],[WeekDay]]=1, calendar[[#This Row],[WeekDay]]=7),P1135,P1135+1)</f>
        <v>810</v>
      </c>
      <c r="Q1136">
        <f>IF(OR(calendar[[#This Row],[FR_BH]]=1,calendar[[#This Row],[WeekDay]]=1, calendar[[#This Row],[WeekDay]]=7),P1135,P1135+1)</f>
        <v>810</v>
      </c>
      <c r="R1136">
        <f>IF(OR(calendar[[#This Row],[SP_BH]]=1,calendar[[#This Row],[WeekDay]]=1, calendar[[#This Row],[WeekDay]]=7),P1135,P1135+1)</f>
        <v>810</v>
      </c>
      <c r="S1136">
        <f>IF(OR(calendar[[#This Row],[PT_BH]]=1,calendar[[#This Row],[WeekDay]]=1, calendar[[#This Row],[WeekDay]]=7),P1135,P1135+1)</f>
        <v>810</v>
      </c>
    </row>
    <row r="1137" spans="1:19" x14ac:dyDescent="0.25">
      <c r="A1137" s="2">
        <v>43871</v>
      </c>
      <c r="B1137" s="1">
        <f t="shared" si="88"/>
        <v>7</v>
      </c>
      <c r="C1137">
        <f t="shared" si="90"/>
        <v>2</v>
      </c>
      <c r="D1137" t="str">
        <f t="shared" si="91"/>
        <v>February</v>
      </c>
      <c r="E1137">
        <f t="shared" si="92"/>
        <v>2020</v>
      </c>
      <c r="F1137" t="str">
        <f>CONCATENATE(calendar[[#This Row],[Month]],"/",calendar[[#This Row],[Year]])</f>
        <v>2/2020</v>
      </c>
      <c r="G1137">
        <f>WEEKDAY(calendar[[#This Row],[Date]],1)</f>
        <v>2</v>
      </c>
      <c r="H1137" t="str">
        <f>TEXT(calendar[[#This Row],[WeekDay]],"dddd")</f>
        <v>Monday</v>
      </c>
      <c r="I1137">
        <f>IF((INT(calendar[[#This Row],[Count]]/7)-calendar[[#This Row],[Count]]/7)&lt;0,I1136,I1136+1)</f>
        <v>163</v>
      </c>
      <c r="J1137">
        <f t="shared" si="89"/>
        <v>1135</v>
      </c>
      <c r="K1137">
        <f>IF(calendar[[#This Row],[Month]]&lt;4,1,IF(calendar[[#This Row],[Month]]&lt;7,2,IF(calendar[[#This Row],[Month]]&lt;10,3,4)))</f>
        <v>1</v>
      </c>
      <c r="L1137">
        <f>IFERROR(IF(VLOOKUP(calendar[[#This Row],[Date]],BH!A:A,1,)&lt;&gt;"",1,0),0)</f>
        <v>0</v>
      </c>
      <c r="M1137">
        <f>IFERROR(IF(VLOOKUP(calendar[[#This Row],[Date]],BH!C:C,1,)&lt;&gt;"",1,0),0)</f>
        <v>0</v>
      </c>
      <c r="N1137">
        <f>IFERROR(IF(VLOOKUP(calendar[[#This Row],[Date]],BH!E:E,1,)&lt;&gt;"",1,0),0)</f>
        <v>0</v>
      </c>
      <c r="O1137">
        <f>IFERROR(IF(VLOOKUP(calendar[[#This Row],[Date]],BH!G:G,1,)&lt;&gt;"",1,0),0)</f>
        <v>0</v>
      </c>
      <c r="P1137">
        <f>IF(OR(calendar[[#This Row],[UK_BH]]=1,calendar[[#This Row],[WeekDay]]=1, calendar[[#This Row],[WeekDay]]=7),P1136,P1136+1)</f>
        <v>811</v>
      </c>
      <c r="Q1137">
        <f>IF(OR(calendar[[#This Row],[FR_BH]]=1,calendar[[#This Row],[WeekDay]]=1, calendar[[#This Row],[WeekDay]]=7),P1136,P1136+1)</f>
        <v>811</v>
      </c>
      <c r="R1137">
        <f>IF(OR(calendar[[#This Row],[SP_BH]]=1,calendar[[#This Row],[WeekDay]]=1, calendar[[#This Row],[WeekDay]]=7),P1136,P1136+1)</f>
        <v>811</v>
      </c>
      <c r="S1137">
        <f>IF(OR(calendar[[#This Row],[PT_BH]]=1,calendar[[#This Row],[WeekDay]]=1, calendar[[#This Row],[WeekDay]]=7),P1136,P1136+1)</f>
        <v>811</v>
      </c>
    </row>
    <row r="1138" spans="1:19" x14ac:dyDescent="0.25">
      <c r="A1138" s="2">
        <v>43872</v>
      </c>
      <c r="B1138" s="1">
        <f t="shared" si="88"/>
        <v>7</v>
      </c>
      <c r="C1138">
        <f t="shared" si="90"/>
        <v>2</v>
      </c>
      <c r="D1138" t="str">
        <f t="shared" si="91"/>
        <v>February</v>
      </c>
      <c r="E1138">
        <f t="shared" si="92"/>
        <v>2020</v>
      </c>
      <c r="F1138" t="str">
        <f>CONCATENATE(calendar[[#This Row],[Month]],"/",calendar[[#This Row],[Year]])</f>
        <v>2/2020</v>
      </c>
      <c r="G1138">
        <f>WEEKDAY(calendar[[#This Row],[Date]],1)</f>
        <v>3</v>
      </c>
      <c r="H1138" t="str">
        <f>TEXT(calendar[[#This Row],[WeekDay]],"dddd")</f>
        <v>Tuesday</v>
      </c>
      <c r="I1138">
        <f>IF((INT(calendar[[#This Row],[Count]]/7)-calendar[[#This Row],[Count]]/7)&lt;0,I1137,I1137+1)</f>
        <v>163</v>
      </c>
      <c r="J1138">
        <f t="shared" si="89"/>
        <v>1136</v>
      </c>
      <c r="K1138">
        <f>IF(calendar[[#This Row],[Month]]&lt;4,1,IF(calendar[[#This Row],[Month]]&lt;7,2,IF(calendar[[#This Row],[Month]]&lt;10,3,4)))</f>
        <v>1</v>
      </c>
      <c r="L1138">
        <f>IFERROR(IF(VLOOKUP(calendar[[#This Row],[Date]],BH!A:A,1,)&lt;&gt;"",1,0),0)</f>
        <v>0</v>
      </c>
      <c r="M1138">
        <f>IFERROR(IF(VLOOKUP(calendar[[#This Row],[Date]],BH!C:C,1,)&lt;&gt;"",1,0),0)</f>
        <v>0</v>
      </c>
      <c r="N1138">
        <f>IFERROR(IF(VLOOKUP(calendar[[#This Row],[Date]],BH!E:E,1,)&lt;&gt;"",1,0),0)</f>
        <v>0</v>
      </c>
      <c r="O1138">
        <f>IFERROR(IF(VLOOKUP(calendar[[#This Row],[Date]],BH!G:G,1,)&lt;&gt;"",1,0),0)</f>
        <v>0</v>
      </c>
      <c r="P1138">
        <f>IF(OR(calendar[[#This Row],[UK_BH]]=1,calendar[[#This Row],[WeekDay]]=1, calendar[[#This Row],[WeekDay]]=7),P1137,P1137+1)</f>
        <v>812</v>
      </c>
      <c r="Q1138">
        <f>IF(OR(calendar[[#This Row],[FR_BH]]=1,calendar[[#This Row],[WeekDay]]=1, calendar[[#This Row],[WeekDay]]=7),P1137,P1137+1)</f>
        <v>812</v>
      </c>
      <c r="R1138">
        <f>IF(OR(calendar[[#This Row],[SP_BH]]=1,calendar[[#This Row],[WeekDay]]=1, calendar[[#This Row],[WeekDay]]=7),P1137,P1137+1)</f>
        <v>812</v>
      </c>
      <c r="S1138">
        <f>IF(OR(calendar[[#This Row],[PT_BH]]=1,calendar[[#This Row],[WeekDay]]=1, calendar[[#This Row],[WeekDay]]=7),P1137,P1137+1)</f>
        <v>812</v>
      </c>
    </row>
    <row r="1139" spans="1:19" x14ac:dyDescent="0.25">
      <c r="A1139" s="2">
        <v>43873</v>
      </c>
      <c r="B1139" s="1">
        <f t="shared" si="88"/>
        <v>7</v>
      </c>
      <c r="C1139">
        <f t="shared" si="90"/>
        <v>2</v>
      </c>
      <c r="D1139" t="str">
        <f t="shared" si="91"/>
        <v>February</v>
      </c>
      <c r="E1139">
        <f t="shared" si="92"/>
        <v>2020</v>
      </c>
      <c r="F1139" t="str">
        <f>CONCATENATE(calendar[[#This Row],[Month]],"/",calendar[[#This Row],[Year]])</f>
        <v>2/2020</v>
      </c>
      <c r="G1139">
        <f>WEEKDAY(calendar[[#This Row],[Date]],1)</f>
        <v>4</v>
      </c>
      <c r="H1139" t="str">
        <f>TEXT(calendar[[#This Row],[WeekDay]],"dddd")</f>
        <v>Wednesday</v>
      </c>
      <c r="I1139">
        <f>IF((INT(calendar[[#This Row],[Count]]/7)-calendar[[#This Row],[Count]]/7)&lt;0,I1138,I1138+1)</f>
        <v>163</v>
      </c>
      <c r="J1139">
        <f t="shared" si="89"/>
        <v>1137</v>
      </c>
      <c r="K1139">
        <f>IF(calendar[[#This Row],[Month]]&lt;4,1,IF(calendar[[#This Row],[Month]]&lt;7,2,IF(calendar[[#This Row],[Month]]&lt;10,3,4)))</f>
        <v>1</v>
      </c>
      <c r="L1139">
        <f>IFERROR(IF(VLOOKUP(calendar[[#This Row],[Date]],BH!A:A,1,)&lt;&gt;"",1,0),0)</f>
        <v>0</v>
      </c>
      <c r="M1139">
        <f>IFERROR(IF(VLOOKUP(calendar[[#This Row],[Date]],BH!C:C,1,)&lt;&gt;"",1,0),0)</f>
        <v>0</v>
      </c>
      <c r="N1139">
        <f>IFERROR(IF(VLOOKUP(calendar[[#This Row],[Date]],BH!E:E,1,)&lt;&gt;"",1,0),0)</f>
        <v>0</v>
      </c>
      <c r="O1139">
        <f>IFERROR(IF(VLOOKUP(calendar[[#This Row],[Date]],BH!G:G,1,)&lt;&gt;"",1,0),0)</f>
        <v>0</v>
      </c>
      <c r="P1139">
        <f>IF(OR(calendar[[#This Row],[UK_BH]]=1,calendar[[#This Row],[WeekDay]]=1, calendar[[#This Row],[WeekDay]]=7),P1138,P1138+1)</f>
        <v>813</v>
      </c>
      <c r="Q1139">
        <f>IF(OR(calendar[[#This Row],[FR_BH]]=1,calendar[[#This Row],[WeekDay]]=1, calendar[[#This Row],[WeekDay]]=7),P1138,P1138+1)</f>
        <v>813</v>
      </c>
      <c r="R1139">
        <f>IF(OR(calendar[[#This Row],[SP_BH]]=1,calendar[[#This Row],[WeekDay]]=1, calendar[[#This Row],[WeekDay]]=7),P1138,P1138+1)</f>
        <v>813</v>
      </c>
      <c r="S1139">
        <f>IF(OR(calendar[[#This Row],[PT_BH]]=1,calendar[[#This Row],[WeekDay]]=1, calendar[[#This Row],[WeekDay]]=7),P1138,P1138+1)</f>
        <v>813</v>
      </c>
    </row>
    <row r="1140" spans="1:19" x14ac:dyDescent="0.25">
      <c r="A1140" s="2">
        <v>43874</v>
      </c>
      <c r="B1140" s="1">
        <f t="shared" si="88"/>
        <v>7</v>
      </c>
      <c r="C1140">
        <f t="shared" si="90"/>
        <v>2</v>
      </c>
      <c r="D1140" t="str">
        <f t="shared" si="91"/>
        <v>February</v>
      </c>
      <c r="E1140">
        <f t="shared" si="92"/>
        <v>2020</v>
      </c>
      <c r="F1140" t="str">
        <f>CONCATENATE(calendar[[#This Row],[Month]],"/",calendar[[#This Row],[Year]])</f>
        <v>2/2020</v>
      </c>
      <c r="G1140">
        <f>WEEKDAY(calendar[[#This Row],[Date]],1)</f>
        <v>5</v>
      </c>
      <c r="H1140" t="str">
        <f>TEXT(calendar[[#This Row],[WeekDay]],"dddd")</f>
        <v>Thursday</v>
      </c>
      <c r="I1140">
        <f>IF((INT(calendar[[#This Row],[Count]]/7)-calendar[[#This Row],[Count]]/7)&lt;0,I1139,I1139+1)</f>
        <v>163</v>
      </c>
      <c r="J1140">
        <f t="shared" si="89"/>
        <v>1138</v>
      </c>
      <c r="K1140">
        <f>IF(calendar[[#This Row],[Month]]&lt;4,1,IF(calendar[[#This Row],[Month]]&lt;7,2,IF(calendar[[#This Row],[Month]]&lt;10,3,4)))</f>
        <v>1</v>
      </c>
      <c r="L1140">
        <f>IFERROR(IF(VLOOKUP(calendar[[#This Row],[Date]],BH!A:A,1,)&lt;&gt;"",1,0),0)</f>
        <v>0</v>
      </c>
      <c r="M1140">
        <f>IFERROR(IF(VLOOKUP(calendar[[#This Row],[Date]],BH!C:C,1,)&lt;&gt;"",1,0),0)</f>
        <v>0</v>
      </c>
      <c r="N1140">
        <f>IFERROR(IF(VLOOKUP(calendar[[#This Row],[Date]],BH!E:E,1,)&lt;&gt;"",1,0),0)</f>
        <v>0</v>
      </c>
      <c r="O1140">
        <f>IFERROR(IF(VLOOKUP(calendar[[#This Row],[Date]],BH!G:G,1,)&lt;&gt;"",1,0),0)</f>
        <v>0</v>
      </c>
      <c r="P1140">
        <f>IF(OR(calendar[[#This Row],[UK_BH]]=1,calendar[[#This Row],[WeekDay]]=1, calendar[[#This Row],[WeekDay]]=7),P1139,P1139+1)</f>
        <v>814</v>
      </c>
      <c r="Q1140">
        <f>IF(OR(calendar[[#This Row],[FR_BH]]=1,calendar[[#This Row],[WeekDay]]=1, calendar[[#This Row],[WeekDay]]=7),P1139,P1139+1)</f>
        <v>814</v>
      </c>
      <c r="R1140">
        <f>IF(OR(calendar[[#This Row],[SP_BH]]=1,calendar[[#This Row],[WeekDay]]=1, calendar[[#This Row],[WeekDay]]=7),P1139,P1139+1)</f>
        <v>814</v>
      </c>
      <c r="S1140">
        <f>IF(OR(calendar[[#This Row],[PT_BH]]=1,calendar[[#This Row],[WeekDay]]=1, calendar[[#This Row],[WeekDay]]=7),P1139,P1139+1)</f>
        <v>814</v>
      </c>
    </row>
    <row r="1141" spans="1:19" x14ac:dyDescent="0.25">
      <c r="A1141" s="2">
        <v>43875</v>
      </c>
      <c r="B1141" s="1">
        <f t="shared" si="88"/>
        <v>7</v>
      </c>
      <c r="C1141">
        <f t="shared" si="90"/>
        <v>2</v>
      </c>
      <c r="D1141" t="str">
        <f t="shared" si="91"/>
        <v>February</v>
      </c>
      <c r="E1141">
        <f t="shared" si="92"/>
        <v>2020</v>
      </c>
      <c r="F1141" t="str">
        <f>CONCATENATE(calendar[[#This Row],[Month]],"/",calendar[[#This Row],[Year]])</f>
        <v>2/2020</v>
      </c>
      <c r="G1141">
        <f>WEEKDAY(calendar[[#This Row],[Date]],1)</f>
        <v>6</v>
      </c>
      <c r="H1141" t="str">
        <f>TEXT(calendar[[#This Row],[WeekDay]],"dddd")</f>
        <v>Friday</v>
      </c>
      <c r="I1141">
        <f>IF((INT(calendar[[#This Row],[Count]]/7)-calendar[[#This Row],[Count]]/7)&lt;0,I1140,I1140+1)</f>
        <v>163</v>
      </c>
      <c r="J1141">
        <f t="shared" si="89"/>
        <v>1139</v>
      </c>
      <c r="K1141">
        <f>IF(calendar[[#This Row],[Month]]&lt;4,1,IF(calendar[[#This Row],[Month]]&lt;7,2,IF(calendar[[#This Row],[Month]]&lt;10,3,4)))</f>
        <v>1</v>
      </c>
      <c r="L1141">
        <f>IFERROR(IF(VLOOKUP(calendar[[#This Row],[Date]],BH!A:A,1,)&lt;&gt;"",1,0),0)</f>
        <v>0</v>
      </c>
      <c r="M1141">
        <f>IFERROR(IF(VLOOKUP(calendar[[#This Row],[Date]],BH!C:C,1,)&lt;&gt;"",1,0),0)</f>
        <v>0</v>
      </c>
      <c r="N1141">
        <f>IFERROR(IF(VLOOKUP(calendar[[#This Row],[Date]],BH!E:E,1,)&lt;&gt;"",1,0),0)</f>
        <v>0</v>
      </c>
      <c r="O1141">
        <f>IFERROR(IF(VLOOKUP(calendar[[#This Row],[Date]],BH!G:G,1,)&lt;&gt;"",1,0),0)</f>
        <v>0</v>
      </c>
      <c r="P1141">
        <f>IF(OR(calendar[[#This Row],[UK_BH]]=1,calendar[[#This Row],[WeekDay]]=1, calendar[[#This Row],[WeekDay]]=7),P1140,P1140+1)</f>
        <v>815</v>
      </c>
      <c r="Q1141">
        <f>IF(OR(calendar[[#This Row],[FR_BH]]=1,calendar[[#This Row],[WeekDay]]=1, calendar[[#This Row],[WeekDay]]=7),P1140,P1140+1)</f>
        <v>815</v>
      </c>
      <c r="R1141">
        <f>IF(OR(calendar[[#This Row],[SP_BH]]=1,calendar[[#This Row],[WeekDay]]=1, calendar[[#This Row],[WeekDay]]=7),P1140,P1140+1)</f>
        <v>815</v>
      </c>
      <c r="S1141">
        <f>IF(OR(calendar[[#This Row],[PT_BH]]=1,calendar[[#This Row],[WeekDay]]=1, calendar[[#This Row],[WeekDay]]=7),P1140,P1140+1)</f>
        <v>815</v>
      </c>
    </row>
    <row r="1142" spans="1:19" x14ac:dyDescent="0.25">
      <c r="A1142" s="2">
        <v>43876</v>
      </c>
      <c r="B1142" s="1">
        <f t="shared" si="88"/>
        <v>7</v>
      </c>
      <c r="C1142">
        <f t="shared" si="90"/>
        <v>2</v>
      </c>
      <c r="D1142" t="str">
        <f t="shared" si="91"/>
        <v>February</v>
      </c>
      <c r="E1142">
        <f t="shared" si="92"/>
        <v>2020</v>
      </c>
      <c r="F1142" t="str">
        <f>CONCATENATE(calendar[[#This Row],[Month]],"/",calendar[[#This Row],[Year]])</f>
        <v>2/2020</v>
      </c>
      <c r="G1142">
        <f>WEEKDAY(calendar[[#This Row],[Date]],1)</f>
        <v>7</v>
      </c>
      <c r="H1142" t="str">
        <f>TEXT(calendar[[#This Row],[WeekDay]],"dddd")</f>
        <v>Saturday</v>
      </c>
      <c r="I1142">
        <f>IF((INT(calendar[[#This Row],[Count]]/7)-calendar[[#This Row],[Count]]/7)&lt;0,I1141,I1141+1)</f>
        <v>163</v>
      </c>
      <c r="J1142">
        <f t="shared" si="89"/>
        <v>1140</v>
      </c>
      <c r="K1142">
        <f>IF(calendar[[#This Row],[Month]]&lt;4,1,IF(calendar[[#This Row],[Month]]&lt;7,2,IF(calendar[[#This Row],[Month]]&lt;10,3,4)))</f>
        <v>1</v>
      </c>
      <c r="L1142">
        <f>IFERROR(IF(VLOOKUP(calendar[[#This Row],[Date]],BH!A:A,1,)&lt;&gt;"",1,0),0)</f>
        <v>0</v>
      </c>
      <c r="M1142">
        <f>IFERROR(IF(VLOOKUP(calendar[[#This Row],[Date]],BH!C:C,1,)&lt;&gt;"",1,0),0)</f>
        <v>0</v>
      </c>
      <c r="N1142">
        <f>IFERROR(IF(VLOOKUP(calendar[[#This Row],[Date]],BH!E:E,1,)&lt;&gt;"",1,0),0)</f>
        <v>0</v>
      </c>
      <c r="O1142">
        <f>IFERROR(IF(VLOOKUP(calendar[[#This Row],[Date]],BH!G:G,1,)&lt;&gt;"",1,0),0)</f>
        <v>0</v>
      </c>
      <c r="P1142">
        <f>IF(OR(calendar[[#This Row],[UK_BH]]=1,calendar[[#This Row],[WeekDay]]=1, calendar[[#This Row],[WeekDay]]=7),P1141,P1141+1)</f>
        <v>815</v>
      </c>
      <c r="Q1142">
        <f>IF(OR(calendar[[#This Row],[FR_BH]]=1,calendar[[#This Row],[WeekDay]]=1, calendar[[#This Row],[WeekDay]]=7),P1141,P1141+1)</f>
        <v>815</v>
      </c>
      <c r="R1142">
        <f>IF(OR(calendar[[#This Row],[SP_BH]]=1,calendar[[#This Row],[WeekDay]]=1, calendar[[#This Row],[WeekDay]]=7),P1141,P1141+1)</f>
        <v>815</v>
      </c>
      <c r="S1142">
        <f>IF(OR(calendar[[#This Row],[PT_BH]]=1,calendar[[#This Row],[WeekDay]]=1, calendar[[#This Row],[WeekDay]]=7),P1141,P1141+1)</f>
        <v>815</v>
      </c>
    </row>
    <row r="1143" spans="1:19" x14ac:dyDescent="0.25">
      <c r="A1143" s="2">
        <v>43877</v>
      </c>
      <c r="B1143" s="1">
        <f t="shared" si="88"/>
        <v>8</v>
      </c>
      <c r="C1143">
        <f t="shared" si="90"/>
        <v>2</v>
      </c>
      <c r="D1143" t="str">
        <f t="shared" si="91"/>
        <v>February</v>
      </c>
      <c r="E1143">
        <f t="shared" si="92"/>
        <v>2020</v>
      </c>
      <c r="F1143" t="str">
        <f>CONCATENATE(calendar[[#This Row],[Month]],"/",calendar[[#This Row],[Year]])</f>
        <v>2/2020</v>
      </c>
      <c r="G1143">
        <f>WEEKDAY(calendar[[#This Row],[Date]],1)</f>
        <v>1</v>
      </c>
      <c r="H1143" t="str">
        <f>TEXT(calendar[[#This Row],[WeekDay]],"dddd")</f>
        <v>Sunday</v>
      </c>
      <c r="I1143">
        <f>IF((INT(calendar[[#This Row],[Count]]/7)-calendar[[#This Row],[Count]]/7)&lt;0,I1142,I1142+1)</f>
        <v>164</v>
      </c>
      <c r="J1143">
        <f t="shared" si="89"/>
        <v>1141</v>
      </c>
      <c r="K1143">
        <f>IF(calendar[[#This Row],[Month]]&lt;4,1,IF(calendar[[#This Row],[Month]]&lt;7,2,IF(calendar[[#This Row],[Month]]&lt;10,3,4)))</f>
        <v>1</v>
      </c>
      <c r="L1143">
        <f>IFERROR(IF(VLOOKUP(calendar[[#This Row],[Date]],BH!A:A,1,)&lt;&gt;"",1,0),0)</f>
        <v>0</v>
      </c>
      <c r="M1143">
        <f>IFERROR(IF(VLOOKUP(calendar[[#This Row],[Date]],BH!C:C,1,)&lt;&gt;"",1,0),0)</f>
        <v>0</v>
      </c>
      <c r="N1143">
        <f>IFERROR(IF(VLOOKUP(calendar[[#This Row],[Date]],BH!E:E,1,)&lt;&gt;"",1,0),0)</f>
        <v>0</v>
      </c>
      <c r="O1143">
        <f>IFERROR(IF(VLOOKUP(calendar[[#This Row],[Date]],BH!G:G,1,)&lt;&gt;"",1,0),0)</f>
        <v>0</v>
      </c>
      <c r="P1143">
        <f>IF(OR(calendar[[#This Row],[UK_BH]]=1,calendar[[#This Row],[WeekDay]]=1, calendar[[#This Row],[WeekDay]]=7),P1142,P1142+1)</f>
        <v>815</v>
      </c>
      <c r="Q1143">
        <f>IF(OR(calendar[[#This Row],[FR_BH]]=1,calendar[[#This Row],[WeekDay]]=1, calendar[[#This Row],[WeekDay]]=7),P1142,P1142+1)</f>
        <v>815</v>
      </c>
      <c r="R1143">
        <f>IF(OR(calendar[[#This Row],[SP_BH]]=1,calendar[[#This Row],[WeekDay]]=1, calendar[[#This Row],[WeekDay]]=7),P1142,P1142+1)</f>
        <v>815</v>
      </c>
      <c r="S1143">
        <f>IF(OR(calendar[[#This Row],[PT_BH]]=1,calendar[[#This Row],[WeekDay]]=1, calendar[[#This Row],[WeekDay]]=7),P1142,P1142+1)</f>
        <v>815</v>
      </c>
    </row>
    <row r="1144" spans="1:19" x14ac:dyDescent="0.25">
      <c r="A1144" s="2">
        <v>43878</v>
      </c>
      <c r="B1144" s="1">
        <f t="shared" si="88"/>
        <v>8</v>
      </c>
      <c r="C1144">
        <f t="shared" si="90"/>
        <v>2</v>
      </c>
      <c r="D1144" t="str">
        <f t="shared" si="91"/>
        <v>February</v>
      </c>
      <c r="E1144">
        <f t="shared" si="92"/>
        <v>2020</v>
      </c>
      <c r="F1144" t="str">
        <f>CONCATENATE(calendar[[#This Row],[Month]],"/",calendar[[#This Row],[Year]])</f>
        <v>2/2020</v>
      </c>
      <c r="G1144">
        <f>WEEKDAY(calendar[[#This Row],[Date]],1)</f>
        <v>2</v>
      </c>
      <c r="H1144" t="str">
        <f>TEXT(calendar[[#This Row],[WeekDay]],"dddd")</f>
        <v>Monday</v>
      </c>
      <c r="I1144">
        <f>IF((INT(calendar[[#This Row],[Count]]/7)-calendar[[#This Row],[Count]]/7)&lt;0,I1143,I1143+1)</f>
        <v>164</v>
      </c>
      <c r="J1144">
        <f t="shared" si="89"/>
        <v>1142</v>
      </c>
      <c r="K1144">
        <f>IF(calendar[[#This Row],[Month]]&lt;4,1,IF(calendar[[#This Row],[Month]]&lt;7,2,IF(calendar[[#This Row],[Month]]&lt;10,3,4)))</f>
        <v>1</v>
      </c>
      <c r="L1144">
        <f>IFERROR(IF(VLOOKUP(calendar[[#This Row],[Date]],BH!A:A,1,)&lt;&gt;"",1,0),0)</f>
        <v>0</v>
      </c>
      <c r="M1144">
        <f>IFERROR(IF(VLOOKUP(calendar[[#This Row],[Date]],BH!C:C,1,)&lt;&gt;"",1,0),0)</f>
        <v>0</v>
      </c>
      <c r="N1144">
        <f>IFERROR(IF(VLOOKUP(calendar[[#This Row],[Date]],BH!E:E,1,)&lt;&gt;"",1,0),0)</f>
        <v>0</v>
      </c>
      <c r="O1144">
        <f>IFERROR(IF(VLOOKUP(calendar[[#This Row],[Date]],BH!G:G,1,)&lt;&gt;"",1,0),0)</f>
        <v>0</v>
      </c>
      <c r="P1144">
        <f>IF(OR(calendar[[#This Row],[UK_BH]]=1,calendar[[#This Row],[WeekDay]]=1, calendar[[#This Row],[WeekDay]]=7),P1143,P1143+1)</f>
        <v>816</v>
      </c>
      <c r="Q1144">
        <f>IF(OR(calendar[[#This Row],[FR_BH]]=1,calendar[[#This Row],[WeekDay]]=1, calendar[[#This Row],[WeekDay]]=7),P1143,P1143+1)</f>
        <v>816</v>
      </c>
      <c r="R1144">
        <f>IF(OR(calendar[[#This Row],[SP_BH]]=1,calendar[[#This Row],[WeekDay]]=1, calendar[[#This Row],[WeekDay]]=7),P1143,P1143+1)</f>
        <v>816</v>
      </c>
      <c r="S1144">
        <f>IF(OR(calendar[[#This Row],[PT_BH]]=1,calendar[[#This Row],[WeekDay]]=1, calendar[[#This Row],[WeekDay]]=7),P1143,P1143+1)</f>
        <v>816</v>
      </c>
    </row>
    <row r="1145" spans="1:19" x14ac:dyDescent="0.25">
      <c r="A1145" s="2">
        <v>43879</v>
      </c>
      <c r="B1145" s="1">
        <f t="shared" si="88"/>
        <v>8</v>
      </c>
      <c r="C1145">
        <f t="shared" si="90"/>
        <v>2</v>
      </c>
      <c r="D1145" t="str">
        <f t="shared" si="91"/>
        <v>February</v>
      </c>
      <c r="E1145">
        <f t="shared" si="92"/>
        <v>2020</v>
      </c>
      <c r="F1145" t="str">
        <f>CONCATENATE(calendar[[#This Row],[Month]],"/",calendar[[#This Row],[Year]])</f>
        <v>2/2020</v>
      </c>
      <c r="G1145">
        <f>WEEKDAY(calendar[[#This Row],[Date]],1)</f>
        <v>3</v>
      </c>
      <c r="H1145" t="str">
        <f>TEXT(calendar[[#This Row],[WeekDay]],"dddd")</f>
        <v>Tuesday</v>
      </c>
      <c r="I1145">
        <f>IF((INT(calendar[[#This Row],[Count]]/7)-calendar[[#This Row],[Count]]/7)&lt;0,I1144,I1144+1)</f>
        <v>164</v>
      </c>
      <c r="J1145">
        <f t="shared" si="89"/>
        <v>1143</v>
      </c>
      <c r="K1145">
        <f>IF(calendar[[#This Row],[Month]]&lt;4,1,IF(calendar[[#This Row],[Month]]&lt;7,2,IF(calendar[[#This Row],[Month]]&lt;10,3,4)))</f>
        <v>1</v>
      </c>
      <c r="L1145">
        <f>IFERROR(IF(VLOOKUP(calendar[[#This Row],[Date]],BH!A:A,1,)&lt;&gt;"",1,0),0)</f>
        <v>0</v>
      </c>
      <c r="M1145">
        <f>IFERROR(IF(VLOOKUP(calendar[[#This Row],[Date]],BH!C:C,1,)&lt;&gt;"",1,0),0)</f>
        <v>0</v>
      </c>
      <c r="N1145">
        <f>IFERROR(IF(VLOOKUP(calendar[[#This Row],[Date]],BH!E:E,1,)&lt;&gt;"",1,0),0)</f>
        <v>0</v>
      </c>
      <c r="O1145">
        <f>IFERROR(IF(VLOOKUP(calendar[[#This Row],[Date]],BH!G:G,1,)&lt;&gt;"",1,0),0)</f>
        <v>0</v>
      </c>
      <c r="P1145">
        <f>IF(OR(calendar[[#This Row],[UK_BH]]=1,calendar[[#This Row],[WeekDay]]=1, calendar[[#This Row],[WeekDay]]=7),P1144,P1144+1)</f>
        <v>817</v>
      </c>
      <c r="Q1145">
        <f>IF(OR(calendar[[#This Row],[FR_BH]]=1,calendar[[#This Row],[WeekDay]]=1, calendar[[#This Row],[WeekDay]]=7),P1144,P1144+1)</f>
        <v>817</v>
      </c>
      <c r="R1145">
        <f>IF(OR(calendar[[#This Row],[SP_BH]]=1,calendar[[#This Row],[WeekDay]]=1, calendar[[#This Row],[WeekDay]]=7),P1144,P1144+1)</f>
        <v>817</v>
      </c>
      <c r="S1145">
        <f>IF(OR(calendar[[#This Row],[PT_BH]]=1,calendar[[#This Row],[WeekDay]]=1, calendar[[#This Row],[WeekDay]]=7),P1144,P1144+1)</f>
        <v>817</v>
      </c>
    </row>
    <row r="1146" spans="1:19" x14ac:dyDescent="0.25">
      <c r="A1146" s="2">
        <v>43880</v>
      </c>
      <c r="B1146" s="1">
        <f t="shared" si="88"/>
        <v>8</v>
      </c>
      <c r="C1146">
        <f t="shared" si="90"/>
        <v>2</v>
      </c>
      <c r="D1146" t="str">
        <f t="shared" si="91"/>
        <v>February</v>
      </c>
      <c r="E1146">
        <f t="shared" si="92"/>
        <v>2020</v>
      </c>
      <c r="F1146" t="str">
        <f>CONCATENATE(calendar[[#This Row],[Month]],"/",calendar[[#This Row],[Year]])</f>
        <v>2/2020</v>
      </c>
      <c r="G1146">
        <f>WEEKDAY(calendar[[#This Row],[Date]],1)</f>
        <v>4</v>
      </c>
      <c r="H1146" t="str">
        <f>TEXT(calendar[[#This Row],[WeekDay]],"dddd")</f>
        <v>Wednesday</v>
      </c>
      <c r="I1146">
        <f>IF((INT(calendar[[#This Row],[Count]]/7)-calendar[[#This Row],[Count]]/7)&lt;0,I1145,I1145+1)</f>
        <v>164</v>
      </c>
      <c r="J1146">
        <f t="shared" si="89"/>
        <v>1144</v>
      </c>
      <c r="K1146">
        <f>IF(calendar[[#This Row],[Month]]&lt;4,1,IF(calendar[[#This Row],[Month]]&lt;7,2,IF(calendar[[#This Row],[Month]]&lt;10,3,4)))</f>
        <v>1</v>
      </c>
      <c r="L1146">
        <f>IFERROR(IF(VLOOKUP(calendar[[#This Row],[Date]],BH!A:A,1,)&lt;&gt;"",1,0),0)</f>
        <v>0</v>
      </c>
      <c r="M1146">
        <f>IFERROR(IF(VLOOKUP(calendar[[#This Row],[Date]],BH!C:C,1,)&lt;&gt;"",1,0),0)</f>
        <v>0</v>
      </c>
      <c r="N1146">
        <f>IFERROR(IF(VLOOKUP(calendar[[#This Row],[Date]],BH!E:E,1,)&lt;&gt;"",1,0),0)</f>
        <v>0</v>
      </c>
      <c r="O1146">
        <f>IFERROR(IF(VLOOKUP(calendar[[#This Row],[Date]],BH!G:G,1,)&lt;&gt;"",1,0),0)</f>
        <v>0</v>
      </c>
      <c r="P1146">
        <f>IF(OR(calendar[[#This Row],[UK_BH]]=1,calendar[[#This Row],[WeekDay]]=1, calendar[[#This Row],[WeekDay]]=7),P1145,P1145+1)</f>
        <v>818</v>
      </c>
      <c r="Q1146">
        <f>IF(OR(calendar[[#This Row],[FR_BH]]=1,calendar[[#This Row],[WeekDay]]=1, calendar[[#This Row],[WeekDay]]=7),P1145,P1145+1)</f>
        <v>818</v>
      </c>
      <c r="R1146">
        <f>IF(OR(calendar[[#This Row],[SP_BH]]=1,calendar[[#This Row],[WeekDay]]=1, calendar[[#This Row],[WeekDay]]=7),P1145,P1145+1)</f>
        <v>818</v>
      </c>
      <c r="S1146">
        <f>IF(OR(calendar[[#This Row],[PT_BH]]=1,calendar[[#This Row],[WeekDay]]=1, calendar[[#This Row],[WeekDay]]=7),P1145,P1145+1)</f>
        <v>818</v>
      </c>
    </row>
    <row r="1147" spans="1:19" x14ac:dyDescent="0.25">
      <c r="A1147" s="2">
        <v>43881</v>
      </c>
      <c r="B1147" s="1">
        <f t="shared" si="88"/>
        <v>8</v>
      </c>
      <c r="C1147">
        <f t="shared" si="90"/>
        <v>2</v>
      </c>
      <c r="D1147" t="str">
        <f t="shared" si="91"/>
        <v>February</v>
      </c>
      <c r="E1147">
        <f t="shared" si="92"/>
        <v>2020</v>
      </c>
      <c r="F1147" t="str">
        <f>CONCATENATE(calendar[[#This Row],[Month]],"/",calendar[[#This Row],[Year]])</f>
        <v>2/2020</v>
      </c>
      <c r="G1147">
        <f>WEEKDAY(calendar[[#This Row],[Date]],1)</f>
        <v>5</v>
      </c>
      <c r="H1147" t="str">
        <f>TEXT(calendar[[#This Row],[WeekDay]],"dddd")</f>
        <v>Thursday</v>
      </c>
      <c r="I1147">
        <f>IF((INT(calendar[[#This Row],[Count]]/7)-calendar[[#This Row],[Count]]/7)&lt;0,I1146,I1146+1)</f>
        <v>164</v>
      </c>
      <c r="J1147">
        <f t="shared" si="89"/>
        <v>1145</v>
      </c>
      <c r="K1147">
        <f>IF(calendar[[#This Row],[Month]]&lt;4,1,IF(calendar[[#This Row],[Month]]&lt;7,2,IF(calendar[[#This Row],[Month]]&lt;10,3,4)))</f>
        <v>1</v>
      </c>
      <c r="L1147">
        <f>IFERROR(IF(VLOOKUP(calendar[[#This Row],[Date]],BH!A:A,1,)&lt;&gt;"",1,0),0)</f>
        <v>0</v>
      </c>
      <c r="M1147">
        <f>IFERROR(IF(VLOOKUP(calendar[[#This Row],[Date]],BH!C:C,1,)&lt;&gt;"",1,0),0)</f>
        <v>0</v>
      </c>
      <c r="N1147">
        <f>IFERROR(IF(VLOOKUP(calendar[[#This Row],[Date]],BH!E:E,1,)&lt;&gt;"",1,0),0)</f>
        <v>0</v>
      </c>
      <c r="O1147">
        <f>IFERROR(IF(VLOOKUP(calendar[[#This Row],[Date]],BH!G:G,1,)&lt;&gt;"",1,0),0)</f>
        <v>0</v>
      </c>
      <c r="P1147">
        <f>IF(OR(calendar[[#This Row],[UK_BH]]=1,calendar[[#This Row],[WeekDay]]=1, calendar[[#This Row],[WeekDay]]=7),P1146,P1146+1)</f>
        <v>819</v>
      </c>
      <c r="Q1147">
        <f>IF(OR(calendar[[#This Row],[FR_BH]]=1,calendar[[#This Row],[WeekDay]]=1, calendar[[#This Row],[WeekDay]]=7),P1146,P1146+1)</f>
        <v>819</v>
      </c>
      <c r="R1147">
        <f>IF(OR(calendar[[#This Row],[SP_BH]]=1,calendar[[#This Row],[WeekDay]]=1, calendar[[#This Row],[WeekDay]]=7),P1146,P1146+1)</f>
        <v>819</v>
      </c>
      <c r="S1147">
        <f>IF(OR(calendar[[#This Row],[PT_BH]]=1,calendar[[#This Row],[WeekDay]]=1, calendar[[#This Row],[WeekDay]]=7),P1146,P1146+1)</f>
        <v>819</v>
      </c>
    </row>
    <row r="1148" spans="1:19" x14ac:dyDescent="0.25">
      <c r="A1148" s="2">
        <v>43882</v>
      </c>
      <c r="B1148" s="1">
        <f t="shared" si="88"/>
        <v>8</v>
      </c>
      <c r="C1148">
        <f t="shared" si="90"/>
        <v>2</v>
      </c>
      <c r="D1148" t="str">
        <f t="shared" si="91"/>
        <v>February</v>
      </c>
      <c r="E1148">
        <f t="shared" si="92"/>
        <v>2020</v>
      </c>
      <c r="F1148" t="str">
        <f>CONCATENATE(calendar[[#This Row],[Month]],"/",calendar[[#This Row],[Year]])</f>
        <v>2/2020</v>
      </c>
      <c r="G1148">
        <f>WEEKDAY(calendar[[#This Row],[Date]],1)</f>
        <v>6</v>
      </c>
      <c r="H1148" t="str">
        <f>TEXT(calendar[[#This Row],[WeekDay]],"dddd")</f>
        <v>Friday</v>
      </c>
      <c r="I1148">
        <f>IF((INT(calendar[[#This Row],[Count]]/7)-calendar[[#This Row],[Count]]/7)&lt;0,I1147,I1147+1)</f>
        <v>164</v>
      </c>
      <c r="J1148">
        <f t="shared" si="89"/>
        <v>1146</v>
      </c>
      <c r="K1148">
        <f>IF(calendar[[#This Row],[Month]]&lt;4,1,IF(calendar[[#This Row],[Month]]&lt;7,2,IF(calendar[[#This Row],[Month]]&lt;10,3,4)))</f>
        <v>1</v>
      </c>
      <c r="L1148">
        <f>IFERROR(IF(VLOOKUP(calendar[[#This Row],[Date]],BH!A:A,1,)&lt;&gt;"",1,0),0)</f>
        <v>0</v>
      </c>
      <c r="M1148">
        <f>IFERROR(IF(VLOOKUP(calendar[[#This Row],[Date]],BH!C:C,1,)&lt;&gt;"",1,0),0)</f>
        <v>0</v>
      </c>
      <c r="N1148">
        <f>IFERROR(IF(VLOOKUP(calendar[[#This Row],[Date]],BH!E:E,1,)&lt;&gt;"",1,0),0)</f>
        <v>0</v>
      </c>
      <c r="O1148">
        <f>IFERROR(IF(VLOOKUP(calendar[[#This Row],[Date]],BH!G:G,1,)&lt;&gt;"",1,0),0)</f>
        <v>0</v>
      </c>
      <c r="P1148">
        <f>IF(OR(calendar[[#This Row],[UK_BH]]=1,calendar[[#This Row],[WeekDay]]=1, calendar[[#This Row],[WeekDay]]=7),P1147,P1147+1)</f>
        <v>820</v>
      </c>
      <c r="Q1148">
        <f>IF(OR(calendar[[#This Row],[FR_BH]]=1,calendar[[#This Row],[WeekDay]]=1, calendar[[#This Row],[WeekDay]]=7),P1147,P1147+1)</f>
        <v>820</v>
      </c>
      <c r="R1148">
        <f>IF(OR(calendar[[#This Row],[SP_BH]]=1,calendar[[#This Row],[WeekDay]]=1, calendar[[#This Row],[WeekDay]]=7),P1147,P1147+1)</f>
        <v>820</v>
      </c>
      <c r="S1148">
        <f>IF(OR(calendar[[#This Row],[PT_BH]]=1,calendar[[#This Row],[WeekDay]]=1, calendar[[#This Row],[WeekDay]]=7),P1147,P1147+1)</f>
        <v>820</v>
      </c>
    </row>
    <row r="1149" spans="1:19" x14ac:dyDescent="0.25">
      <c r="A1149" s="2">
        <v>43883</v>
      </c>
      <c r="B1149" s="1">
        <f t="shared" si="88"/>
        <v>8</v>
      </c>
      <c r="C1149">
        <f t="shared" si="90"/>
        <v>2</v>
      </c>
      <c r="D1149" t="str">
        <f t="shared" si="91"/>
        <v>February</v>
      </c>
      <c r="E1149">
        <f t="shared" si="92"/>
        <v>2020</v>
      </c>
      <c r="F1149" t="str">
        <f>CONCATENATE(calendar[[#This Row],[Month]],"/",calendar[[#This Row],[Year]])</f>
        <v>2/2020</v>
      </c>
      <c r="G1149">
        <f>WEEKDAY(calendar[[#This Row],[Date]],1)</f>
        <v>7</v>
      </c>
      <c r="H1149" t="str">
        <f>TEXT(calendar[[#This Row],[WeekDay]],"dddd")</f>
        <v>Saturday</v>
      </c>
      <c r="I1149">
        <f>IF((INT(calendar[[#This Row],[Count]]/7)-calendar[[#This Row],[Count]]/7)&lt;0,I1148,I1148+1)</f>
        <v>164</v>
      </c>
      <c r="J1149">
        <f t="shared" si="89"/>
        <v>1147</v>
      </c>
      <c r="K1149">
        <f>IF(calendar[[#This Row],[Month]]&lt;4,1,IF(calendar[[#This Row],[Month]]&lt;7,2,IF(calendar[[#This Row],[Month]]&lt;10,3,4)))</f>
        <v>1</v>
      </c>
      <c r="L1149">
        <f>IFERROR(IF(VLOOKUP(calendar[[#This Row],[Date]],BH!A:A,1,)&lt;&gt;"",1,0),0)</f>
        <v>0</v>
      </c>
      <c r="M1149">
        <f>IFERROR(IF(VLOOKUP(calendar[[#This Row],[Date]],BH!C:C,1,)&lt;&gt;"",1,0),0)</f>
        <v>0</v>
      </c>
      <c r="N1149">
        <f>IFERROR(IF(VLOOKUP(calendar[[#This Row],[Date]],BH!E:E,1,)&lt;&gt;"",1,0),0)</f>
        <v>0</v>
      </c>
      <c r="O1149">
        <f>IFERROR(IF(VLOOKUP(calendar[[#This Row],[Date]],BH!G:G,1,)&lt;&gt;"",1,0),0)</f>
        <v>0</v>
      </c>
      <c r="P1149">
        <f>IF(OR(calendar[[#This Row],[UK_BH]]=1,calendar[[#This Row],[WeekDay]]=1, calendar[[#This Row],[WeekDay]]=7),P1148,P1148+1)</f>
        <v>820</v>
      </c>
      <c r="Q1149">
        <f>IF(OR(calendar[[#This Row],[FR_BH]]=1,calendar[[#This Row],[WeekDay]]=1, calendar[[#This Row],[WeekDay]]=7),P1148,P1148+1)</f>
        <v>820</v>
      </c>
      <c r="R1149">
        <f>IF(OR(calendar[[#This Row],[SP_BH]]=1,calendar[[#This Row],[WeekDay]]=1, calendar[[#This Row],[WeekDay]]=7),P1148,P1148+1)</f>
        <v>820</v>
      </c>
      <c r="S1149">
        <f>IF(OR(calendar[[#This Row],[PT_BH]]=1,calendar[[#This Row],[WeekDay]]=1, calendar[[#This Row],[WeekDay]]=7),P1148,P1148+1)</f>
        <v>820</v>
      </c>
    </row>
    <row r="1150" spans="1:19" x14ac:dyDescent="0.25">
      <c r="A1150" s="2">
        <v>43884</v>
      </c>
      <c r="B1150" s="1">
        <f t="shared" si="88"/>
        <v>9</v>
      </c>
      <c r="C1150">
        <f t="shared" si="90"/>
        <v>2</v>
      </c>
      <c r="D1150" t="str">
        <f t="shared" si="91"/>
        <v>February</v>
      </c>
      <c r="E1150">
        <f t="shared" si="92"/>
        <v>2020</v>
      </c>
      <c r="F1150" t="str">
        <f>CONCATENATE(calendar[[#This Row],[Month]],"/",calendar[[#This Row],[Year]])</f>
        <v>2/2020</v>
      </c>
      <c r="G1150">
        <f>WEEKDAY(calendar[[#This Row],[Date]],1)</f>
        <v>1</v>
      </c>
      <c r="H1150" t="str">
        <f>TEXT(calendar[[#This Row],[WeekDay]],"dddd")</f>
        <v>Sunday</v>
      </c>
      <c r="I1150">
        <f>IF((INT(calendar[[#This Row],[Count]]/7)-calendar[[#This Row],[Count]]/7)&lt;0,I1149,I1149+1)</f>
        <v>165</v>
      </c>
      <c r="J1150">
        <f t="shared" si="89"/>
        <v>1148</v>
      </c>
      <c r="K1150">
        <f>IF(calendar[[#This Row],[Month]]&lt;4,1,IF(calendar[[#This Row],[Month]]&lt;7,2,IF(calendar[[#This Row],[Month]]&lt;10,3,4)))</f>
        <v>1</v>
      </c>
      <c r="L1150">
        <f>IFERROR(IF(VLOOKUP(calendar[[#This Row],[Date]],BH!A:A,1,)&lt;&gt;"",1,0),0)</f>
        <v>0</v>
      </c>
      <c r="M1150">
        <f>IFERROR(IF(VLOOKUP(calendar[[#This Row],[Date]],BH!C:C,1,)&lt;&gt;"",1,0),0)</f>
        <v>0</v>
      </c>
      <c r="N1150">
        <f>IFERROR(IF(VLOOKUP(calendar[[#This Row],[Date]],BH!E:E,1,)&lt;&gt;"",1,0),0)</f>
        <v>0</v>
      </c>
      <c r="O1150">
        <f>IFERROR(IF(VLOOKUP(calendar[[#This Row],[Date]],BH!G:G,1,)&lt;&gt;"",1,0),0)</f>
        <v>0</v>
      </c>
      <c r="P1150">
        <f>IF(OR(calendar[[#This Row],[UK_BH]]=1,calendar[[#This Row],[WeekDay]]=1, calendar[[#This Row],[WeekDay]]=7),P1149,P1149+1)</f>
        <v>820</v>
      </c>
      <c r="Q1150">
        <f>IF(OR(calendar[[#This Row],[FR_BH]]=1,calendar[[#This Row],[WeekDay]]=1, calendar[[#This Row],[WeekDay]]=7),P1149,P1149+1)</f>
        <v>820</v>
      </c>
      <c r="R1150">
        <f>IF(OR(calendar[[#This Row],[SP_BH]]=1,calendar[[#This Row],[WeekDay]]=1, calendar[[#This Row],[WeekDay]]=7),P1149,P1149+1)</f>
        <v>820</v>
      </c>
      <c r="S1150">
        <f>IF(OR(calendar[[#This Row],[PT_BH]]=1,calendar[[#This Row],[WeekDay]]=1, calendar[[#This Row],[WeekDay]]=7),P1149,P1149+1)</f>
        <v>820</v>
      </c>
    </row>
    <row r="1151" spans="1:19" x14ac:dyDescent="0.25">
      <c r="A1151" s="2">
        <v>43885</v>
      </c>
      <c r="B1151" s="1">
        <f t="shared" si="88"/>
        <v>9</v>
      </c>
      <c r="C1151">
        <f t="shared" si="90"/>
        <v>2</v>
      </c>
      <c r="D1151" t="str">
        <f t="shared" si="91"/>
        <v>February</v>
      </c>
      <c r="E1151">
        <f t="shared" si="92"/>
        <v>2020</v>
      </c>
      <c r="F1151" t="str">
        <f>CONCATENATE(calendar[[#This Row],[Month]],"/",calendar[[#This Row],[Year]])</f>
        <v>2/2020</v>
      </c>
      <c r="G1151">
        <f>WEEKDAY(calendar[[#This Row],[Date]],1)</f>
        <v>2</v>
      </c>
      <c r="H1151" t="str">
        <f>TEXT(calendar[[#This Row],[WeekDay]],"dddd")</f>
        <v>Monday</v>
      </c>
      <c r="I1151">
        <f>IF((INT(calendar[[#This Row],[Count]]/7)-calendar[[#This Row],[Count]]/7)&lt;0,I1150,I1150+1)</f>
        <v>165</v>
      </c>
      <c r="J1151">
        <f t="shared" si="89"/>
        <v>1149</v>
      </c>
      <c r="K1151">
        <f>IF(calendar[[#This Row],[Month]]&lt;4,1,IF(calendar[[#This Row],[Month]]&lt;7,2,IF(calendar[[#This Row],[Month]]&lt;10,3,4)))</f>
        <v>1</v>
      </c>
      <c r="L1151">
        <f>IFERROR(IF(VLOOKUP(calendar[[#This Row],[Date]],BH!A:A,1,)&lt;&gt;"",1,0),0)</f>
        <v>0</v>
      </c>
      <c r="M1151">
        <f>IFERROR(IF(VLOOKUP(calendar[[#This Row],[Date]],BH!C:C,1,)&lt;&gt;"",1,0),0)</f>
        <v>0</v>
      </c>
      <c r="N1151">
        <f>IFERROR(IF(VLOOKUP(calendar[[#This Row],[Date]],BH!E:E,1,)&lt;&gt;"",1,0),0)</f>
        <v>0</v>
      </c>
      <c r="O1151">
        <f>IFERROR(IF(VLOOKUP(calendar[[#This Row],[Date]],BH!G:G,1,)&lt;&gt;"",1,0),0)</f>
        <v>0</v>
      </c>
      <c r="P1151">
        <f>IF(OR(calendar[[#This Row],[UK_BH]]=1,calendar[[#This Row],[WeekDay]]=1, calendar[[#This Row],[WeekDay]]=7),P1150,P1150+1)</f>
        <v>821</v>
      </c>
      <c r="Q1151">
        <f>IF(OR(calendar[[#This Row],[FR_BH]]=1,calendar[[#This Row],[WeekDay]]=1, calendar[[#This Row],[WeekDay]]=7),P1150,P1150+1)</f>
        <v>821</v>
      </c>
      <c r="R1151">
        <f>IF(OR(calendar[[#This Row],[SP_BH]]=1,calendar[[#This Row],[WeekDay]]=1, calendar[[#This Row],[WeekDay]]=7),P1150,P1150+1)</f>
        <v>821</v>
      </c>
      <c r="S1151">
        <f>IF(OR(calendar[[#This Row],[PT_BH]]=1,calendar[[#This Row],[WeekDay]]=1, calendar[[#This Row],[WeekDay]]=7),P1150,P1150+1)</f>
        <v>821</v>
      </c>
    </row>
    <row r="1152" spans="1:19" x14ac:dyDescent="0.25">
      <c r="A1152" s="2">
        <v>43886</v>
      </c>
      <c r="B1152" s="1">
        <f t="shared" si="88"/>
        <v>9</v>
      </c>
      <c r="C1152">
        <f t="shared" si="90"/>
        <v>2</v>
      </c>
      <c r="D1152" t="str">
        <f t="shared" si="91"/>
        <v>February</v>
      </c>
      <c r="E1152">
        <f t="shared" si="92"/>
        <v>2020</v>
      </c>
      <c r="F1152" t="str">
        <f>CONCATENATE(calendar[[#This Row],[Month]],"/",calendar[[#This Row],[Year]])</f>
        <v>2/2020</v>
      </c>
      <c r="G1152">
        <f>WEEKDAY(calendar[[#This Row],[Date]],1)</f>
        <v>3</v>
      </c>
      <c r="H1152" t="str">
        <f>TEXT(calendar[[#This Row],[WeekDay]],"dddd")</f>
        <v>Tuesday</v>
      </c>
      <c r="I1152">
        <f>IF((INT(calendar[[#This Row],[Count]]/7)-calendar[[#This Row],[Count]]/7)&lt;0,I1151,I1151+1)</f>
        <v>165</v>
      </c>
      <c r="J1152">
        <f t="shared" si="89"/>
        <v>1150</v>
      </c>
      <c r="K1152">
        <f>IF(calendar[[#This Row],[Month]]&lt;4,1,IF(calendar[[#This Row],[Month]]&lt;7,2,IF(calendar[[#This Row],[Month]]&lt;10,3,4)))</f>
        <v>1</v>
      </c>
      <c r="L1152">
        <f>IFERROR(IF(VLOOKUP(calendar[[#This Row],[Date]],BH!A:A,1,)&lt;&gt;"",1,0),0)</f>
        <v>0</v>
      </c>
      <c r="M1152">
        <f>IFERROR(IF(VLOOKUP(calendar[[#This Row],[Date]],BH!C:C,1,)&lt;&gt;"",1,0),0)</f>
        <v>0</v>
      </c>
      <c r="N1152">
        <f>IFERROR(IF(VLOOKUP(calendar[[#This Row],[Date]],BH!E:E,1,)&lt;&gt;"",1,0),0)</f>
        <v>0</v>
      </c>
      <c r="O1152">
        <f>IFERROR(IF(VLOOKUP(calendar[[#This Row],[Date]],BH!G:G,1,)&lt;&gt;"",1,0),0)</f>
        <v>0</v>
      </c>
      <c r="P1152">
        <f>IF(OR(calendar[[#This Row],[UK_BH]]=1,calendar[[#This Row],[WeekDay]]=1, calendar[[#This Row],[WeekDay]]=7),P1151,P1151+1)</f>
        <v>822</v>
      </c>
      <c r="Q1152">
        <f>IF(OR(calendar[[#This Row],[FR_BH]]=1,calendar[[#This Row],[WeekDay]]=1, calendar[[#This Row],[WeekDay]]=7),P1151,P1151+1)</f>
        <v>822</v>
      </c>
      <c r="R1152">
        <f>IF(OR(calendar[[#This Row],[SP_BH]]=1,calendar[[#This Row],[WeekDay]]=1, calendar[[#This Row],[WeekDay]]=7),P1151,P1151+1)</f>
        <v>822</v>
      </c>
      <c r="S1152">
        <f>IF(OR(calendar[[#This Row],[PT_BH]]=1,calendar[[#This Row],[WeekDay]]=1, calendar[[#This Row],[WeekDay]]=7),P1151,P1151+1)</f>
        <v>822</v>
      </c>
    </row>
    <row r="1153" spans="1:19" x14ac:dyDescent="0.25">
      <c r="A1153" s="2">
        <v>43887</v>
      </c>
      <c r="B1153" s="1">
        <f t="shared" si="88"/>
        <v>9</v>
      </c>
      <c r="C1153">
        <f t="shared" si="90"/>
        <v>2</v>
      </c>
      <c r="D1153" t="str">
        <f t="shared" si="91"/>
        <v>February</v>
      </c>
      <c r="E1153">
        <f t="shared" si="92"/>
        <v>2020</v>
      </c>
      <c r="F1153" t="str">
        <f>CONCATENATE(calendar[[#This Row],[Month]],"/",calendar[[#This Row],[Year]])</f>
        <v>2/2020</v>
      </c>
      <c r="G1153">
        <f>WEEKDAY(calendar[[#This Row],[Date]],1)</f>
        <v>4</v>
      </c>
      <c r="H1153" t="str">
        <f>TEXT(calendar[[#This Row],[WeekDay]],"dddd")</f>
        <v>Wednesday</v>
      </c>
      <c r="I1153">
        <f>IF((INT(calendar[[#This Row],[Count]]/7)-calendar[[#This Row],[Count]]/7)&lt;0,I1152,I1152+1)</f>
        <v>165</v>
      </c>
      <c r="J1153">
        <f t="shared" si="89"/>
        <v>1151</v>
      </c>
      <c r="K1153">
        <f>IF(calendar[[#This Row],[Month]]&lt;4,1,IF(calendar[[#This Row],[Month]]&lt;7,2,IF(calendar[[#This Row],[Month]]&lt;10,3,4)))</f>
        <v>1</v>
      </c>
      <c r="L1153">
        <f>IFERROR(IF(VLOOKUP(calendar[[#This Row],[Date]],BH!A:A,1,)&lt;&gt;"",1,0),0)</f>
        <v>0</v>
      </c>
      <c r="M1153">
        <f>IFERROR(IF(VLOOKUP(calendar[[#This Row],[Date]],BH!C:C,1,)&lt;&gt;"",1,0),0)</f>
        <v>0</v>
      </c>
      <c r="N1153">
        <f>IFERROR(IF(VLOOKUP(calendar[[#This Row],[Date]],BH!E:E,1,)&lt;&gt;"",1,0),0)</f>
        <v>0</v>
      </c>
      <c r="O1153">
        <f>IFERROR(IF(VLOOKUP(calendar[[#This Row],[Date]],BH!G:G,1,)&lt;&gt;"",1,0),0)</f>
        <v>0</v>
      </c>
      <c r="P1153">
        <f>IF(OR(calendar[[#This Row],[UK_BH]]=1,calendar[[#This Row],[WeekDay]]=1, calendar[[#This Row],[WeekDay]]=7),P1152,P1152+1)</f>
        <v>823</v>
      </c>
      <c r="Q1153">
        <f>IF(OR(calendar[[#This Row],[FR_BH]]=1,calendar[[#This Row],[WeekDay]]=1, calendar[[#This Row],[WeekDay]]=7),P1152,P1152+1)</f>
        <v>823</v>
      </c>
      <c r="R1153">
        <f>IF(OR(calendar[[#This Row],[SP_BH]]=1,calendar[[#This Row],[WeekDay]]=1, calendar[[#This Row],[WeekDay]]=7),P1152,P1152+1)</f>
        <v>823</v>
      </c>
      <c r="S1153">
        <f>IF(OR(calendar[[#This Row],[PT_BH]]=1,calendar[[#This Row],[WeekDay]]=1, calendar[[#This Row],[WeekDay]]=7),P1152,P1152+1)</f>
        <v>823</v>
      </c>
    </row>
    <row r="1154" spans="1:19" x14ac:dyDescent="0.25">
      <c r="A1154" s="2">
        <v>43888</v>
      </c>
      <c r="B1154" s="1">
        <f t="shared" ref="B1154:B1217" si="93">WEEKNUM(A1154)</f>
        <v>9</v>
      </c>
      <c r="C1154">
        <f t="shared" si="90"/>
        <v>2</v>
      </c>
      <c r="D1154" t="str">
        <f t="shared" si="91"/>
        <v>February</v>
      </c>
      <c r="E1154">
        <f t="shared" si="92"/>
        <v>2020</v>
      </c>
      <c r="F1154" t="str">
        <f>CONCATENATE(calendar[[#This Row],[Month]],"/",calendar[[#This Row],[Year]])</f>
        <v>2/2020</v>
      </c>
      <c r="G1154">
        <f>WEEKDAY(calendar[[#This Row],[Date]],1)</f>
        <v>5</v>
      </c>
      <c r="H1154" t="str">
        <f>TEXT(calendar[[#This Row],[WeekDay]],"dddd")</f>
        <v>Thursday</v>
      </c>
      <c r="I1154">
        <f>IF((INT(calendar[[#This Row],[Count]]/7)-calendar[[#This Row],[Count]]/7)&lt;0,I1153,I1153+1)</f>
        <v>165</v>
      </c>
      <c r="J1154">
        <f t="shared" si="89"/>
        <v>1152</v>
      </c>
      <c r="K1154">
        <f>IF(calendar[[#This Row],[Month]]&lt;4,1,IF(calendar[[#This Row],[Month]]&lt;7,2,IF(calendar[[#This Row],[Month]]&lt;10,3,4)))</f>
        <v>1</v>
      </c>
      <c r="L1154">
        <f>IFERROR(IF(VLOOKUP(calendar[[#This Row],[Date]],BH!A:A,1,)&lt;&gt;"",1,0),0)</f>
        <v>0</v>
      </c>
      <c r="M1154">
        <f>IFERROR(IF(VLOOKUP(calendar[[#This Row],[Date]],BH!C:C,1,)&lt;&gt;"",1,0),0)</f>
        <v>0</v>
      </c>
      <c r="N1154">
        <f>IFERROR(IF(VLOOKUP(calendar[[#This Row],[Date]],BH!E:E,1,)&lt;&gt;"",1,0),0)</f>
        <v>0</v>
      </c>
      <c r="O1154">
        <f>IFERROR(IF(VLOOKUP(calendar[[#This Row],[Date]],BH!G:G,1,)&lt;&gt;"",1,0),0)</f>
        <v>0</v>
      </c>
      <c r="P1154">
        <f>IF(OR(calendar[[#This Row],[UK_BH]]=1,calendar[[#This Row],[WeekDay]]=1, calendar[[#This Row],[WeekDay]]=7),P1153,P1153+1)</f>
        <v>824</v>
      </c>
      <c r="Q1154">
        <f>IF(OR(calendar[[#This Row],[FR_BH]]=1,calendar[[#This Row],[WeekDay]]=1, calendar[[#This Row],[WeekDay]]=7),P1153,P1153+1)</f>
        <v>824</v>
      </c>
      <c r="R1154">
        <f>IF(OR(calendar[[#This Row],[SP_BH]]=1,calendar[[#This Row],[WeekDay]]=1, calendar[[#This Row],[WeekDay]]=7),P1153,P1153+1)</f>
        <v>824</v>
      </c>
      <c r="S1154">
        <f>IF(OR(calendar[[#This Row],[PT_BH]]=1,calendar[[#This Row],[WeekDay]]=1, calendar[[#This Row],[WeekDay]]=7),P1153,P1153+1)</f>
        <v>824</v>
      </c>
    </row>
    <row r="1155" spans="1:19" x14ac:dyDescent="0.25">
      <c r="A1155" s="2">
        <v>43889</v>
      </c>
      <c r="B1155" s="1">
        <f t="shared" si="93"/>
        <v>9</v>
      </c>
      <c r="C1155">
        <f t="shared" si="90"/>
        <v>2</v>
      </c>
      <c r="D1155" t="str">
        <f t="shared" si="91"/>
        <v>February</v>
      </c>
      <c r="E1155">
        <f t="shared" si="92"/>
        <v>2020</v>
      </c>
      <c r="F1155" t="str">
        <f>CONCATENATE(calendar[[#This Row],[Month]],"/",calendar[[#This Row],[Year]])</f>
        <v>2/2020</v>
      </c>
      <c r="G1155">
        <f>WEEKDAY(calendar[[#This Row],[Date]],1)</f>
        <v>6</v>
      </c>
      <c r="H1155" t="str">
        <f>TEXT(calendar[[#This Row],[WeekDay]],"dddd")</f>
        <v>Friday</v>
      </c>
      <c r="I1155">
        <f>IF((INT(calendar[[#This Row],[Count]]/7)-calendar[[#This Row],[Count]]/7)&lt;0,I1154,I1154+1)</f>
        <v>165</v>
      </c>
      <c r="J1155">
        <f t="shared" ref="J1155:J1218" si="94">J1154+1</f>
        <v>1153</v>
      </c>
      <c r="K1155">
        <f>IF(calendar[[#This Row],[Month]]&lt;4,1,IF(calendar[[#This Row],[Month]]&lt;7,2,IF(calendar[[#This Row],[Month]]&lt;10,3,4)))</f>
        <v>1</v>
      </c>
      <c r="L1155">
        <f>IFERROR(IF(VLOOKUP(calendar[[#This Row],[Date]],BH!A:A,1,)&lt;&gt;"",1,0),0)</f>
        <v>0</v>
      </c>
      <c r="M1155">
        <f>IFERROR(IF(VLOOKUP(calendar[[#This Row],[Date]],BH!C:C,1,)&lt;&gt;"",1,0),0)</f>
        <v>0</v>
      </c>
      <c r="N1155">
        <f>IFERROR(IF(VLOOKUP(calendar[[#This Row],[Date]],BH!E:E,1,)&lt;&gt;"",1,0),0)</f>
        <v>0</v>
      </c>
      <c r="O1155">
        <f>IFERROR(IF(VLOOKUP(calendar[[#This Row],[Date]],BH!G:G,1,)&lt;&gt;"",1,0),0)</f>
        <v>0</v>
      </c>
      <c r="P1155">
        <f>IF(OR(calendar[[#This Row],[UK_BH]]=1,calendar[[#This Row],[WeekDay]]=1, calendar[[#This Row],[WeekDay]]=7),P1154,P1154+1)</f>
        <v>825</v>
      </c>
      <c r="Q1155">
        <f>IF(OR(calendar[[#This Row],[FR_BH]]=1,calendar[[#This Row],[WeekDay]]=1, calendar[[#This Row],[WeekDay]]=7),P1154,P1154+1)</f>
        <v>825</v>
      </c>
      <c r="R1155">
        <f>IF(OR(calendar[[#This Row],[SP_BH]]=1,calendar[[#This Row],[WeekDay]]=1, calendar[[#This Row],[WeekDay]]=7),P1154,P1154+1)</f>
        <v>825</v>
      </c>
      <c r="S1155">
        <f>IF(OR(calendar[[#This Row],[PT_BH]]=1,calendar[[#This Row],[WeekDay]]=1, calendar[[#This Row],[WeekDay]]=7),P1154,P1154+1)</f>
        <v>825</v>
      </c>
    </row>
    <row r="1156" spans="1:19" x14ac:dyDescent="0.25">
      <c r="A1156" s="2">
        <v>43890</v>
      </c>
      <c r="B1156" s="1">
        <f t="shared" si="93"/>
        <v>9</v>
      </c>
      <c r="C1156">
        <f t="shared" si="90"/>
        <v>2</v>
      </c>
      <c r="D1156" t="str">
        <f t="shared" si="91"/>
        <v>February</v>
      </c>
      <c r="E1156">
        <f t="shared" si="92"/>
        <v>2020</v>
      </c>
      <c r="F1156" t="str">
        <f>CONCATENATE(calendar[[#This Row],[Month]],"/",calendar[[#This Row],[Year]])</f>
        <v>2/2020</v>
      </c>
      <c r="G1156">
        <f>WEEKDAY(calendar[[#This Row],[Date]],1)</f>
        <v>7</v>
      </c>
      <c r="H1156" t="str">
        <f>TEXT(calendar[[#This Row],[WeekDay]],"dddd")</f>
        <v>Saturday</v>
      </c>
      <c r="I1156">
        <f>IF((INT(calendar[[#This Row],[Count]]/7)-calendar[[#This Row],[Count]]/7)&lt;0,I1155,I1155+1)</f>
        <v>165</v>
      </c>
      <c r="J1156">
        <f t="shared" si="94"/>
        <v>1154</v>
      </c>
      <c r="K1156">
        <f>IF(calendar[[#This Row],[Month]]&lt;4,1,IF(calendar[[#This Row],[Month]]&lt;7,2,IF(calendar[[#This Row],[Month]]&lt;10,3,4)))</f>
        <v>1</v>
      </c>
      <c r="L1156">
        <f>IFERROR(IF(VLOOKUP(calendar[[#This Row],[Date]],BH!A:A,1,)&lt;&gt;"",1,0),0)</f>
        <v>0</v>
      </c>
      <c r="M1156">
        <f>IFERROR(IF(VLOOKUP(calendar[[#This Row],[Date]],BH!C:C,1,)&lt;&gt;"",1,0),0)</f>
        <v>0</v>
      </c>
      <c r="N1156">
        <f>IFERROR(IF(VLOOKUP(calendar[[#This Row],[Date]],BH!E:E,1,)&lt;&gt;"",1,0),0)</f>
        <v>0</v>
      </c>
      <c r="O1156">
        <f>IFERROR(IF(VLOOKUP(calendar[[#This Row],[Date]],BH!G:G,1,)&lt;&gt;"",1,0),0)</f>
        <v>0</v>
      </c>
      <c r="P1156">
        <f>IF(OR(calendar[[#This Row],[UK_BH]]=1,calendar[[#This Row],[WeekDay]]=1, calendar[[#This Row],[WeekDay]]=7),P1155,P1155+1)</f>
        <v>825</v>
      </c>
      <c r="Q1156">
        <f>IF(OR(calendar[[#This Row],[FR_BH]]=1,calendar[[#This Row],[WeekDay]]=1, calendar[[#This Row],[WeekDay]]=7),P1155,P1155+1)</f>
        <v>825</v>
      </c>
      <c r="R1156">
        <f>IF(OR(calendar[[#This Row],[SP_BH]]=1,calendar[[#This Row],[WeekDay]]=1, calendar[[#This Row],[WeekDay]]=7),P1155,P1155+1)</f>
        <v>825</v>
      </c>
      <c r="S1156">
        <f>IF(OR(calendar[[#This Row],[PT_BH]]=1,calendar[[#This Row],[WeekDay]]=1, calendar[[#This Row],[WeekDay]]=7),P1155,P1155+1)</f>
        <v>825</v>
      </c>
    </row>
    <row r="1157" spans="1:19" x14ac:dyDescent="0.25">
      <c r="A1157" s="2">
        <v>43891</v>
      </c>
      <c r="B1157" s="1">
        <f t="shared" si="93"/>
        <v>10</v>
      </c>
      <c r="C1157">
        <f t="shared" si="90"/>
        <v>3</v>
      </c>
      <c r="D1157" t="str">
        <f t="shared" si="91"/>
        <v>March</v>
      </c>
      <c r="E1157">
        <f t="shared" si="92"/>
        <v>2020</v>
      </c>
      <c r="F1157" t="str">
        <f>CONCATENATE(calendar[[#This Row],[Month]],"/",calendar[[#This Row],[Year]])</f>
        <v>3/2020</v>
      </c>
      <c r="G1157">
        <f>WEEKDAY(calendar[[#This Row],[Date]],1)</f>
        <v>1</v>
      </c>
      <c r="H1157" t="str">
        <f>TEXT(calendar[[#This Row],[WeekDay]],"dddd")</f>
        <v>Sunday</v>
      </c>
      <c r="I1157">
        <f>IF((INT(calendar[[#This Row],[Count]]/7)-calendar[[#This Row],[Count]]/7)&lt;0,I1156,I1156+1)</f>
        <v>166</v>
      </c>
      <c r="J1157">
        <f t="shared" si="94"/>
        <v>1155</v>
      </c>
      <c r="K1157">
        <f>IF(calendar[[#This Row],[Month]]&lt;4,1,IF(calendar[[#This Row],[Month]]&lt;7,2,IF(calendar[[#This Row],[Month]]&lt;10,3,4)))</f>
        <v>1</v>
      </c>
      <c r="L1157">
        <f>IFERROR(IF(VLOOKUP(calendar[[#This Row],[Date]],BH!A:A,1,)&lt;&gt;"",1,0),0)</f>
        <v>0</v>
      </c>
      <c r="M1157">
        <f>IFERROR(IF(VLOOKUP(calendar[[#This Row],[Date]],BH!C:C,1,)&lt;&gt;"",1,0),0)</f>
        <v>0</v>
      </c>
      <c r="N1157">
        <f>IFERROR(IF(VLOOKUP(calendar[[#This Row],[Date]],BH!E:E,1,)&lt;&gt;"",1,0),0)</f>
        <v>0</v>
      </c>
      <c r="O1157">
        <f>IFERROR(IF(VLOOKUP(calendar[[#This Row],[Date]],BH!G:G,1,)&lt;&gt;"",1,0),0)</f>
        <v>0</v>
      </c>
      <c r="P1157">
        <f>IF(OR(calendar[[#This Row],[UK_BH]]=1,calendar[[#This Row],[WeekDay]]=1, calendar[[#This Row],[WeekDay]]=7),P1156,P1156+1)</f>
        <v>825</v>
      </c>
      <c r="Q1157">
        <f>IF(OR(calendar[[#This Row],[FR_BH]]=1,calendar[[#This Row],[WeekDay]]=1, calendar[[#This Row],[WeekDay]]=7),P1156,P1156+1)</f>
        <v>825</v>
      </c>
      <c r="R1157">
        <f>IF(OR(calendar[[#This Row],[SP_BH]]=1,calendar[[#This Row],[WeekDay]]=1, calendar[[#This Row],[WeekDay]]=7),P1156,P1156+1)</f>
        <v>825</v>
      </c>
      <c r="S1157">
        <f>IF(OR(calendar[[#This Row],[PT_BH]]=1,calendar[[#This Row],[WeekDay]]=1, calendar[[#This Row],[WeekDay]]=7),P1156,P1156+1)</f>
        <v>825</v>
      </c>
    </row>
    <row r="1158" spans="1:19" x14ac:dyDescent="0.25">
      <c r="A1158" s="2">
        <v>43892</v>
      </c>
      <c r="B1158" s="1">
        <f t="shared" si="93"/>
        <v>10</v>
      </c>
      <c r="C1158">
        <f t="shared" si="90"/>
        <v>3</v>
      </c>
      <c r="D1158" t="str">
        <f t="shared" si="91"/>
        <v>March</v>
      </c>
      <c r="E1158">
        <f t="shared" si="92"/>
        <v>2020</v>
      </c>
      <c r="F1158" t="str">
        <f>CONCATENATE(calendar[[#This Row],[Month]],"/",calendar[[#This Row],[Year]])</f>
        <v>3/2020</v>
      </c>
      <c r="G1158">
        <f>WEEKDAY(calendar[[#This Row],[Date]],1)</f>
        <v>2</v>
      </c>
      <c r="H1158" t="str">
        <f>TEXT(calendar[[#This Row],[WeekDay]],"dddd")</f>
        <v>Monday</v>
      </c>
      <c r="I1158">
        <f>IF((INT(calendar[[#This Row],[Count]]/7)-calendar[[#This Row],[Count]]/7)&lt;0,I1157,I1157+1)</f>
        <v>166</v>
      </c>
      <c r="J1158">
        <f t="shared" si="94"/>
        <v>1156</v>
      </c>
      <c r="K1158">
        <f>IF(calendar[[#This Row],[Month]]&lt;4,1,IF(calendar[[#This Row],[Month]]&lt;7,2,IF(calendar[[#This Row],[Month]]&lt;10,3,4)))</f>
        <v>1</v>
      </c>
      <c r="L1158">
        <f>IFERROR(IF(VLOOKUP(calendar[[#This Row],[Date]],BH!A:A,1,)&lt;&gt;"",1,0),0)</f>
        <v>0</v>
      </c>
      <c r="M1158">
        <f>IFERROR(IF(VLOOKUP(calendar[[#This Row],[Date]],BH!C:C,1,)&lt;&gt;"",1,0),0)</f>
        <v>0</v>
      </c>
      <c r="N1158">
        <f>IFERROR(IF(VLOOKUP(calendar[[#This Row],[Date]],BH!E:E,1,)&lt;&gt;"",1,0),0)</f>
        <v>0</v>
      </c>
      <c r="O1158">
        <f>IFERROR(IF(VLOOKUP(calendar[[#This Row],[Date]],BH!G:G,1,)&lt;&gt;"",1,0),0)</f>
        <v>0</v>
      </c>
      <c r="P1158">
        <f>IF(OR(calendar[[#This Row],[UK_BH]]=1,calendar[[#This Row],[WeekDay]]=1, calendar[[#This Row],[WeekDay]]=7),P1157,P1157+1)</f>
        <v>826</v>
      </c>
      <c r="Q1158">
        <f>IF(OR(calendar[[#This Row],[FR_BH]]=1,calendar[[#This Row],[WeekDay]]=1, calendar[[#This Row],[WeekDay]]=7),P1157,P1157+1)</f>
        <v>826</v>
      </c>
      <c r="R1158">
        <f>IF(OR(calendar[[#This Row],[SP_BH]]=1,calendar[[#This Row],[WeekDay]]=1, calendar[[#This Row],[WeekDay]]=7),P1157,P1157+1)</f>
        <v>826</v>
      </c>
      <c r="S1158">
        <f>IF(OR(calendar[[#This Row],[PT_BH]]=1,calendar[[#This Row],[WeekDay]]=1, calendar[[#This Row],[WeekDay]]=7),P1157,P1157+1)</f>
        <v>826</v>
      </c>
    </row>
    <row r="1159" spans="1:19" x14ac:dyDescent="0.25">
      <c r="A1159" s="2">
        <v>43893</v>
      </c>
      <c r="B1159" s="1">
        <f t="shared" si="93"/>
        <v>10</v>
      </c>
      <c r="C1159">
        <f t="shared" si="90"/>
        <v>3</v>
      </c>
      <c r="D1159" t="str">
        <f t="shared" si="91"/>
        <v>March</v>
      </c>
      <c r="E1159">
        <f t="shared" si="92"/>
        <v>2020</v>
      </c>
      <c r="F1159" t="str">
        <f>CONCATENATE(calendar[[#This Row],[Month]],"/",calendar[[#This Row],[Year]])</f>
        <v>3/2020</v>
      </c>
      <c r="G1159">
        <f>WEEKDAY(calendar[[#This Row],[Date]],1)</f>
        <v>3</v>
      </c>
      <c r="H1159" t="str">
        <f>TEXT(calendar[[#This Row],[WeekDay]],"dddd")</f>
        <v>Tuesday</v>
      </c>
      <c r="I1159">
        <f>IF((INT(calendar[[#This Row],[Count]]/7)-calendar[[#This Row],[Count]]/7)&lt;0,I1158,I1158+1)</f>
        <v>166</v>
      </c>
      <c r="J1159">
        <f t="shared" si="94"/>
        <v>1157</v>
      </c>
      <c r="K1159">
        <f>IF(calendar[[#This Row],[Month]]&lt;4,1,IF(calendar[[#This Row],[Month]]&lt;7,2,IF(calendar[[#This Row],[Month]]&lt;10,3,4)))</f>
        <v>1</v>
      </c>
      <c r="L1159">
        <f>IFERROR(IF(VLOOKUP(calendar[[#This Row],[Date]],BH!A:A,1,)&lt;&gt;"",1,0),0)</f>
        <v>0</v>
      </c>
      <c r="M1159">
        <f>IFERROR(IF(VLOOKUP(calendar[[#This Row],[Date]],BH!C:C,1,)&lt;&gt;"",1,0),0)</f>
        <v>0</v>
      </c>
      <c r="N1159">
        <f>IFERROR(IF(VLOOKUP(calendar[[#This Row],[Date]],BH!E:E,1,)&lt;&gt;"",1,0),0)</f>
        <v>0</v>
      </c>
      <c r="O1159">
        <f>IFERROR(IF(VLOOKUP(calendar[[#This Row],[Date]],BH!G:G,1,)&lt;&gt;"",1,0),0)</f>
        <v>0</v>
      </c>
      <c r="P1159">
        <f>IF(OR(calendar[[#This Row],[UK_BH]]=1,calendar[[#This Row],[WeekDay]]=1, calendar[[#This Row],[WeekDay]]=7),P1158,P1158+1)</f>
        <v>827</v>
      </c>
      <c r="Q1159">
        <f>IF(OR(calendar[[#This Row],[FR_BH]]=1,calendar[[#This Row],[WeekDay]]=1, calendar[[#This Row],[WeekDay]]=7),P1158,P1158+1)</f>
        <v>827</v>
      </c>
      <c r="R1159">
        <f>IF(OR(calendar[[#This Row],[SP_BH]]=1,calendar[[#This Row],[WeekDay]]=1, calendar[[#This Row],[WeekDay]]=7),P1158,P1158+1)</f>
        <v>827</v>
      </c>
      <c r="S1159">
        <f>IF(OR(calendar[[#This Row],[PT_BH]]=1,calendar[[#This Row],[WeekDay]]=1, calendar[[#This Row],[WeekDay]]=7),P1158,P1158+1)</f>
        <v>827</v>
      </c>
    </row>
    <row r="1160" spans="1:19" x14ac:dyDescent="0.25">
      <c r="A1160" s="2">
        <v>43894</v>
      </c>
      <c r="B1160" s="1">
        <f t="shared" si="93"/>
        <v>10</v>
      </c>
      <c r="C1160">
        <f t="shared" si="90"/>
        <v>3</v>
      </c>
      <c r="D1160" t="str">
        <f t="shared" si="91"/>
        <v>March</v>
      </c>
      <c r="E1160">
        <f t="shared" si="92"/>
        <v>2020</v>
      </c>
      <c r="F1160" t="str">
        <f>CONCATENATE(calendar[[#This Row],[Month]],"/",calendar[[#This Row],[Year]])</f>
        <v>3/2020</v>
      </c>
      <c r="G1160">
        <f>WEEKDAY(calendar[[#This Row],[Date]],1)</f>
        <v>4</v>
      </c>
      <c r="H1160" t="str">
        <f>TEXT(calendar[[#This Row],[WeekDay]],"dddd")</f>
        <v>Wednesday</v>
      </c>
      <c r="I1160">
        <f>IF((INT(calendar[[#This Row],[Count]]/7)-calendar[[#This Row],[Count]]/7)&lt;0,I1159,I1159+1)</f>
        <v>166</v>
      </c>
      <c r="J1160">
        <f t="shared" si="94"/>
        <v>1158</v>
      </c>
      <c r="K1160">
        <f>IF(calendar[[#This Row],[Month]]&lt;4,1,IF(calendar[[#This Row],[Month]]&lt;7,2,IF(calendar[[#This Row],[Month]]&lt;10,3,4)))</f>
        <v>1</v>
      </c>
      <c r="L1160">
        <f>IFERROR(IF(VLOOKUP(calendar[[#This Row],[Date]],BH!A:A,1,)&lt;&gt;"",1,0),0)</f>
        <v>0</v>
      </c>
      <c r="M1160">
        <f>IFERROR(IF(VLOOKUP(calendar[[#This Row],[Date]],BH!C:C,1,)&lt;&gt;"",1,0),0)</f>
        <v>0</v>
      </c>
      <c r="N1160">
        <f>IFERROR(IF(VLOOKUP(calendar[[#This Row],[Date]],BH!E:E,1,)&lt;&gt;"",1,0),0)</f>
        <v>0</v>
      </c>
      <c r="O1160">
        <f>IFERROR(IF(VLOOKUP(calendar[[#This Row],[Date]],BH!G:G,1,)&lt;&gt;"",1,0),0)</f>
        <v>0</v>
      </c>
      <c r="P1160">
        <f>IF(OR(calendar[[#This Row],[UK_BH]]=1,calendar[[#This Row],[WeekDay]]=1, calendar[[#This Row],[WeekDay]]=7),P1159,P1159+1)</f>
        <v>828</v>
      </c>
      <c r="Q1160">
        <f>IF(OR(calendar[[#This Row],[FR_BH]]=1,calendar[[#This Row],[WeekDay]]=1, calendar[[#This Row],[WeekDay]]=7),P1159,P1159+1)</f>
        <v>828</v>
      </c>
      <c r="R1160">
        <f>IF(OR(calendar[[#This Row],[SP_BH]]=1,calendar[[#This Row],[WeekDay]]=1, calendar[[#This Row],[WeekDay]]=7),P1159,P1159+1)</f>
        <v>828</v>
      </c>
      <c r="S1160">
        <f>IF(OR(calendar[[#This Row],[PT_BH]]=1,calendar[[#This Row],[WeekDay]]=1, calendar[[#This Row],[WeekDay]]=7),P1159,P1159+1)</f>
        <v>828</v>
      </c>
    </row>
    <row r="1161" spans="1:19" x14ac:dyDescent="0.25">
      <c r="A1161" s="2">
        <v>43895</v>
      </c>
      <c r="B1161" s="1">
        <f t="shared" si="93"/>
        <v>10</v>
      </c>
      <c r="C1161">
        <f t="shared" si="90"/>
        <v>3</v>
      </c>
      <c r="D1161" t="str">
        <f t="shared" si="91"/>
        <v>March</v>
      </c>
      <c r="E1161">
        <f t="shared" si="92"/>
        <v>2020</v>
      </c>
      <c r="F1161" t="str">
        <f>CONCATENATE(calendar[[#This Row],[Month]],"/",calendar[[#This Row],[Year]])</f>
        <v>3/2020</v>
      </c>
      <c r="G1161">
        <f>WEEKDAY(calendar[[#This Row],[Date]],1)</f>
        <v>5</v>
      </c>
      <c r="H1161" t="str">
        <f>TEXT(calendar[[#This Row],[WeekDay]],"dddd")</f>
        <v>Thursday</v>
      </c>
      <c r="I1161">
        <f>IF((INT(calendar[[#This Row],[Count]]/7)-calendar[[#This Row],[Count]]/7)&lt;0,I1160,I1160+1)</f>
        <v>166</v>
      </c>
      <c r="J1161">
        <f t="shared" si="94"/>
        <v>1159</v>
      </c>
      <c r="K1161">
        <f>IF(calendar[[#This Row],[Month]]&lt;4,1,IF(calendar[[#This Row],[Month]]&lt;7,2,IF(calendar[[#This Row],[Month]]&lt;10,3,4)))</f>
        <v>1</v>
      </c>
      <c r="L1161">
        <f>IFERROR(IF(VLOOKUP(calendar[[#This Row],[Date]],BH!A:A,1,)&lt;&gt;"",1,0),0)</f>
        <v>0</v>
      </c>
      <c r="M1161">
        <f>IFERROR(IF(VLOOKUP(calendar[[#This Row],[Date]],BH!C:C,1,)&lt;&gt;"",1,0),0)</f>
        <v>0</v>
      </c>
      <c r="N1161">
        <f>IFERROR(IF(VLOOKUP(calendar[[#This Row],[Date]],BH!E:E,1,)&lt;&gt;"",1,0),0)</f>
        <v>0</v>
      </c>
      <c r="O1161">
        <f>IFERROR(IF(VLOOKUP(calendar[[#This Row],[Date]],BH!G:G,1,)&lt;&gt;"",1,0),0)</f>
        <v>0</v>
      </c>
      <c r="P1161">
        <f>IF(OR(calendar[[#This Row],[UK_BH]]=1,calendar[[#This Row],[WeekDay]]=1, calendar[[#This Row],[WeekDay]]=7),P1160,P1160+1)</f>
        <v>829</v>
      </c>
      <c r="Q1161">
        <f>IF(OR(calendar[[#This Row],[FR_BH]]=1,calendar[[#This Row],[WeekDay]]=1, calendar[[#This Row],[WeekDay]]=7),P1160,P1160+1)</f>
        <v>829</v>
      </c>
      <c r="R1161">
        <f>IF(OR(calendar[[#This Row],[SP_BH]]=1,calendar[[#This Row],[WeekDay]]=1, calendar[[#This Row],[WeekDay]]=7),P1160,P1160+1)</f>
        <v>829</v>
      </c>
      <c r="S1161">
        <f>IF(OR(calendar[[#This Row],[PT_BH]]=1,calendar[[#This Row],[WeekDay]]=1, calendar[[#This Row],[WeekDay]]=7),P1160,P1160+1)</f>
        <v>829</v>
      </c>
    </row>
    <row r="1162" spans="1:19" x14ac:dyDescent="0.25">
      <c r="A1162" s="2">
        <v>43896</v>
      </c>
      <c r="B1162" s="1">
        <f t="shared" si="93"/>
        <v>10</v>
      </c>
      <c r="C1162">
        <f t="shared" si="90"/>
        <v>3</v>
      </c>
      <c r="D1162" t="str">
        <f t="shared" si="91"/>
        <v>March</v>
      </c>
      <c r="E1162">
        <f t="shared" si="92"/>
        <v>2020</v>
      </c>
      <c r="F1162" t="str">
        <f>CONCATENATE(calendar[[#This Row],[Month]],"/",calendar[[#This Row],[Year]])</f>
        <v>3/2020</v>
      </c>
      <c r="G1162">
        <f>WEEKDAY(calendar[[#This Row],[Date]],1)</f>
        <v>6</v>
      </c>
      <c r="H1162" t="str">
        <f>TEXT(calendar[[#This Row],[WeekDay]],"dddd")</f>
        <v>Friday</v>
      </c>
      <c r="I1162">
        <f>IF((INT(calendar[[#This Row],[Count]]/7)-calendar[[#This Row],[Count]]/7)&lt;0,I1161,I1161+1)</f>
        <v>166</v>
      </c>
      <c r="J1162">
        <f t="shared" si="94"/>
        <v>1160</v>
      </c>
      <c r="K1162">
        <f>IF(calendar[[#This Row],[Month]]&lt;4,1,IF(calendar[[#This Row],[Month]]&lt;7,2,IF(calendar[[#This Row],[Month]]&lt;10,3,4)))</f>
        <v>1</v>
      </c>
      <c r="L1162">
        <f>IFERROR(IF(VLOOKUP(calendar[[#This Row],[Date]],BH!A:A,1,)&lt;&gt;"",1,0),0)</f>
        <v>0</v>
      </c>
      <c r="M1162">
        <f>IFERROR(IF(VLOOKUP(calendar[[#This Row],[Date]],BH!C:C,1,)&lt;&gt;"",1,0),0)</f>
        <v>0</v>
      </c>
      <c r="N1162">
        <f>IFERROR(IF(VLOOKUP(calendar[[#This Row],[Date]],BH!E:E,1,)&lt;&gt;"",1,0),0)</f>
        <v>0</v>
      </c>
      <c r="O1162">
        <f>IFERROR(IF(VLOOKUP(calendar[[#This Row],[Date]],BH!G:G,1,)&lt;&gt;"",1,0),0)</f>
        <v>0</v>
      </c>
      <c r="P1162">
        <f>IF(OR(calendar[[#This Row],[UK_BH]]=1,calendar[[#This Row],[WeekDay]]=1, calendar[[#This Row],[WeekDay]]=7),P1161,P1161+1)</f>
        <v>830</v>
      </c>
      <c r="Q1162">
        <f>IF(OR(calendar[[#This Row],[FR_BH]]=1,calendar[[#This Row],[WeekDay]]=1, calendar[[#This Row],[WeekDay]]=7),P1161,P1161+1)</f>
        <v>830</v>
      </c>
      <c r="R1162">
        <f>IF(OR(calendar[[#This Row],[SP_BH]]=1,calendar[[#This Row],[WeekDay]]=1, calendar[[#This Row],[WeekDay]]=7),P1161,P1161+1)</f>
        <v>830</v>
      </c>
      <c r="S1162">
        <f>IF(OR(calendar[[#This Row],[PT_BH]]=1,calendar[[#This Row],[WeekDay]]=1, calendar[[#This Row],[WeekDay]]=7),P1161,P1161+1)</f>
        <v>830</v>
      </c>
    </row>
    <row r="1163" spans="1:19" x14ac:dyDescent="0.25">
      <c r="A1163" s="2">
        <v>43897</v>
      </c>
      <c r="B1163" s="1">
        <f t="shared" si="93"/>
        <v>10</v>
      </c>
      <c r="C1163">
        <f t="shared" si="90"/>
        <v>3</v>
      </c>
      <c r="D1163" t="str">
        <f t="shared" si="91"/>
        <v>March</v>
      </c>
      <c r="E1163">
        <f t="shared" si="92"/>
        <v>2020</v>
      </c>
      <c r="F1163" t="str">
        <f>CONCATENATE(calendar[[#This Row],[Month]],"/",calendar[[#This Row],[Year]])</f>
        <v>3/2020</v>
      </c>
      <c r="G1163">
        <f>WEEKDAY(calendar[[#This Row],[Date]],1)</f>
        <v>7</v>
      </c>
      <c r="H1163" t="str">
        <f>TEXT(calendar[[#This Row],[WeekDay]],"dddd")</f>
        <v>Saturday</v>
      </c>
      <c r="I1163">
        <f>IF((INT(calendar[[#This Row],[Count]]/7)-calendar[[#This Row],[Count]]/7)&lt;0,I1162,I1162+1)</f>
        <v>166</v>
      </c>
      <c r="J1163">
        <f t="shared" si="94"/>
        <v>1161</v>
      </c>
      <c r="K1163">
        <f>IF(calendar[[#This Row],[Month]]&lt;4,1,IF(calendar[[#This Row],[Month]]&lt;7,2,IF(calendar[[#This Row],[Month]]&lt;10,3,4)))</f>
        <v>1</v>
      </c>
      <c r="L1163">
        <f>IFERROR(IF(VLOOKUP(calendar[[#This Row],[Date]],BH!A:A,1,)&lt;&gt;"",1,0),0)</f>
        <v>0</v>
      </c>
      <c r="M1163">
        <f>IFERROR(IF(VLOOKUP(calendar[[#This Row],[Date]],BH!C:C,1,)&lt;&gt;"",1,0),0)</f>
        <v>0</v>
      </c>
      <c r="N1163">
        <f>IFERROR(IF(VLOOKUP(calendar[[#This Row],[Date]],BH!E:E,1,)&lt;&gt;"",1,0),0)</f>
        <v>0</v>
      </c>
      <c r="O1163">
        <f>IFERROR(IF(VLOOKUP(calendar[[#This Row],[Date]],BH!G:G,1,)&lt;&gt;"",1,0),0)</f>
        <v>0</v>
      </c>
      <c r="P1163">
        <f>IF(OR(calendar[[#This Row],[UK_BH]]=1,calendar[[#This Row],[WeekDay]]=1, calendar[[#This Row],[WeekDay]]=7),P1162,P1162+1)</f>
        <v>830</v>
      </c>
      <c r="Q1163">
        <f>IF(OR(calendar[[#This Row],[FR_BH]]=1,calendar[[#This Row],[WeekDay]]=1, calendar[[#This Row],[WeekDay]]=7),P1162,P1162+1)</f>
        <v>830</v>
      </c>
      <c r="R1163">
        <f>IF(OR(calendar[[#This Row],[SP_BH]]=1,calendar[[#This Row],[WeekDay]]=1, calendar[[#This Row],[WeekDay]]=7),P1162,P1162+1)</f>
        <v>830</v>
      </c>
      <c r="S1163">
        <f>IF(OR(calendar[[#This Row],[PT_BH]]=1,calendar[[#This Row],[WeekDay]]=1, calendar[[#This Row],[WeekDay]]=7),P1162,P1162+1)</f>
        <v>830</v>
      </c>
    </row>
    <row r="1164" spans="1:19" x14ac:dyDescent="0.25">
      <c r="A1164" s="2">
        <v>43898</v>
      </c>
      <c r="B1164" s="1">
        <f t="shared" si="93"/>
        <v>11</v>
      </c>
      <c r="C1164">
        <f t="shared" si="90"/>
        <v>3</v>
      </c>
      <c r="D1164" t="str">
        <f t="shared" si="91"/>
        <v>March</v>
      </c>
      <c r="E1164">
        <f t="shared" si="92"/>
        <v>2020</v>
      </c>
      <c r="F1164" t="str">
        <f>CONCATENATE(calendar[[#This Row],[Month]],"/",calendar[[#This Row],[Year]])</f>
        <v>3/2020</v>
      </c>
      <c r="G1164">
        <f>WEEKDAY(calendar[[#This Row],[Date]],1)</f>
        <v>1</v>
      </c>
      <c r="H1164" t="str">
        <f>TEXT(calendar[[#This Row],[WeekDay]],"dddd")</f>
        <v>Sunday</v>
      </c>
      <c r="I1164">
        <f>IF((INT(calendar[[#This Row],[Count]]/7)-calendar[[#This Row],[Count]]/7)&lt;0,I1163,I1163+1)</f>
        <v>167</v>
      </c>
      <c r="J1164">
        <f t="shared" si="94"/>
        <v>1162</v>
      </c>
      <c r="K1164">
        <f>IF(calendar[[#This Row],[Month]]&lt;4,1,IF(calendar[[#This Row],[Month]]&lt;7,2,IF(calendar[[#This Row],[Month]]&lt;10,3,4)))</f>
        <v>1</v>
      </c>
      <c r="L1164">
        <f>IFERROR(IF(VLOOKUP(calendar[[#This Row],[Date]],BH!A:A,1,)&lt;&gt;"",1,0),0)</f>
        <v>0</v>
      </c>
      <c r="M1164">
        <f>IFERROR(IF(VLOOKUP(calendar[[#This Row],[Date]],BH!C:C,1,)&lt;&gt;"",1,0),0)</f>
        <v>0</v>
      </c>
      <c r="N1164">
        <f>IFERROR(IF(VLOOKUP(calendar[[#This Row],[Date]],BH!E:E,1,)&lt;&gt;"",1,0),0)</f>
        <v>0</v>
      </c>
      <c r="O1164">
        <f>IFERROR(IF(VLOOKUP(calendar[[#This Row],[Date]],BH!G:G,1,)&lt;&gt;"",1,0),0)</f>
        <v>0</v>
      </c>
      <c r="P1164">
        <f>IF(OR(calendar[[#This Row],[UK_BH]]=1,calendar[[#This Row],[WeekDay]]=1, calendar[[#This Row],[WeekDay]]=7),P1163,P1163+1)</f>
        <v>830</v>
      </c>
      <c r="Q1164">
        <f>IF(OR(calendar[[#This Row],[FR_BH]]=1,calendar[[#This Row],[WeekDay]]=1, calendar[[#This Row],[WeekDay]]=7),P1163,P1163+1)</f>
        <v>830</v>
      </c>
      <c r="R1164">
        <f>IF(OR(calendar[[#This Row],[SP_BH]]=1,calendar[[#This Row],[WeekDay]]=1, calendar[[#This Row],[WeekDay]]=7),P1163,P1163+1)</f>
        <v>830</v>
      </c>
      <c r="S1164">
        <f>IF(OR(calendar[[#This Row],[PT_BH]]=1,calendar[[#This Row],[WeekDay]]=1, calendar[[#This Row],[WeekDay]]=7),P1163,P1163+1)</f>
        <v>830</v>
      </c>
    </row>
    <row r="1165" spans="1:19" x14ac:dyDescent="0.25">
      <c r="A1165" s="2">
        <v>43899</v>
      </c>
      <c r="B1165" s="1">
        <f t="shared" si="93"/>
        <v>11</v>
      </c>
      <c r="C1165">
        <f t="shared" si="90"/>
        <v>3</v>
      </c>
      <c r="D1165" t="str">
        <f t="shared" si="91"/>
        <v>March</v>
      </c>
      <c r="E1165">
        <f t="shared" si="92"/>
        <v>2020</v>
      </c>
      <c r="F1165" t="str">
        <f>CONCATENATE(calendar[[#This Row],[Month]],"/",calendar[[#This Row],[Year]])</f>
        <v>3/2020</v>
      </c>
      <c r="G1165">
        <f>WEEKDAY(calendar[[#This Row],[Date]],1)</f>
        <v>2</v>
      </c>
      <c r="H1165" t="str">
        <f>TEXT(calendar[[#This Row],[WeekDay]],"dddd")</f>
        <v>Monday</v>
      </c>
      <c r="I1165">
        <f>IF((INT(calendar[[#This Row],[Count]]/7)-calendar[[#This Row],[Count]]/7)&lt;0,I1164,I1164+1)</f>
        <v>167</v>
      </c>
      <c r="J1165">
        <f t="shared" si="94"/>
        <v>1163</v>
      </c>
      <c r="K1165">
        <f>IF(calendar[[#This Row],[Month]]&lt;4,1,IF(calendar[[#This Row],[Month]]&lt;7,2,IF(calendar[[#This Row],[Month]]&lt;10,3,4)))</f>
        <v>1</v>
      </c>
      <c r="L1165">
        <f>IFERROR(IF(VLOOKUP(calendar[[#This Row],[Date]],BH!A:A,1,)&lt;&gt;"",1,0),0)</f>
        <v>0</v>
      </c>
      <c r="M1165">
        <f>IFERROR(IF(VLOOKUP(calendar[[#This Row],[Date]],BH!C:C,1,)&lt;&gt;"",1,0),0)</f>
        <v>0</v>
      </c>
      <c r="N1165">
        <f>IFERROR(IF(VLOOKUP(calendar[[#This Row],[Date]],BH!E:E,1,)&lt;&gt;"",1,0),0)</f>
        <v>0</v>
      </c>
      <c r="O1165">
        <f>IFERROR(IF(VLOOKUP(calendar[[#This Row],[Date]],BH!G:G,1,)&lt;&gt;"",1,0),0)</f>
        <v>0</v>
      </c>
      <c r="P1165">
        <f>IF(OR(calendar[[#This Row],[UK_BH]]=1,calendar[[#This Row],[WeekDay]]=1, calendar[[#This Row],[WeekDay]]=7),P1164,P1164+1)</f>
        <v>831</v>
      </c>
      <c r="Q1165">
        <f>IF(OR(calendar[[#This Row],[FR_BH]]=1,calendar[[#This Row],[WeekDay]]=1, calendar[[#This Row],[WeekDay]]=7),P1164,P1164+1)</f>
        <v>831</v>
      </c>
      <c r="R1165">
        <f>IF(OR(calendar[[#This Row],[SP_BH]]=1,calendar[[#This Row],[WeekDay]]=1, calendar[[#This Row],[WeekDay]]=7),P1164,P1164+1)</f>
        <v>831</v>
      </c>
      <c r="S1165">
        <f>IF(OR(calendar[[#This Row],[PT_BH]]=1,calendar[[#This Row],[WeekDay]]=1, calendar[[#This Row],[WeekDay]]=7),P1164,P1164+1)</f>
        <v>831</v>
      </c>
    </row>
    <row r="1166" spans="1:19" x14ac:dyDescent="0.25">
      <c r="A1166" s="2">
        <v>43900</v>
      </c>
      <c r="B1166" s="1">
        <f t="shared" si="93"/>
        <v>11</v>
      </c>
      <c r="C1166">
        <f t="shared" si="90"/>
        <v>3</v>
      </c>
      <c r="D1166" t="str">
        <f t="shared" si="91"/>
        <v>March</v>
      </c>
      <c r="E1166">
        <f t="shared" si="92"/>
        <v>2020</v>
      </c>
      <c r="F1166" t="str">
        <f>CONCATENATE(calendar[[#This Row],[Month]],"/",calendar[[#This Row],[Year]])</f>
        <v>3/2020</v>
      </c>
      <c r="G1166">
        <f>WEEKDAY(calendar[[#This Row],[Date]],1)</f>
        <v>3</v>
      </c>
      <c r="H1166" t="str">
        <f>TEXT(calendar[[#This Row],[WeekDay]],"dddd")</f>
        <v>Tuesday</v>
      </c>
      <c r="I1166">
        <f>IF((INT(calendar[[#This Row],[Count]]/7)-calendar[[#This Row],[Count]]/7)&lt;0,I1165,I1165+1)</f>
        <v>167</v>
      </c>
      <c r="J1166">
        <f t="shared" si="94"/>
        <v>1164</v>
      </c>
      <c r="K1166">
        <f>IF(calendar[[#This Row],[Month]]&lt;4,1,IF(calendar[[#This Row],[Month]]&lt;7,2,IF(calendar[[#This Row],[Month]]&lt;10,3,4)))</f>
        <v>1</v>
      </c>
      <c r="L1166">
        <f>IFERROR(IF(VLOOKUP(calendar[[#This Row],[Date]],BH!A:A,1,)&lt;&gt;"",1,0),0)</f>
        <v>0</v>
      </c>
      <c r="M1166">
        <f>IFERROR(IF(VLOOKUP(calendar[[#This Row],[Date]],BH!C:C,1,)&lt;&gt;"",1,0),0)</f>
        <v>0</v>
      </c>
      <c r="N1166">
        <f>IFERROR(IF(VLOOKUP(calendar[[#This Row],[Date]],BH!E:E,1,)&lt;&gt;"",1,0),0)</f>
        <v>0</v>
      </c>
      <c r="O1166">
        <f>IFERROR(IF(VLOOKUP(calendar[[#This Row],[Date]],BH!G:G,1,)&lt;&gt;"",1,0),0)</f>
        <v>0</v>
      </c>
      <c r="P1166">
        <f>IF(OR(calendar[[#This Row],[UK_BH]]=1,calendar[[#This Row],[WeekDay]]=1, calendar[[#This Row],[WeekDay]]=7),P1165,P1165+1)</f>
        <v>832</v>
      </c>
      <c r="Q1166">
        <f>IF(OR(calendar[[#This Row],[FR_BH]]=1,calendar[[#This Row],[WeekDay]]=1, calendar[[#This Row],[WeekDay]]=7),P1165,P1165+1)</f>
        <v>832</v>
      </c>
      <c r="R1166">
        <f>IF(OR(calendar[[#This Row],[SP_BH]]=1,calendar[[#This Row],[WeekDay]]=1, calendar[[#This Row],[WeekDay]]=7),P1165,P1165+1)</f>
        <v>832</v>
      </c>
      <c r="S1166">
        <f>IF(OR(calendar[[#This Row],[PT_BH]]=1,calendar[[#This Row],[WeekDay]]=1, calendar[[#This Row],[WeekDay]]=7),P1165,P1165+1)</f>
        <v>832</v>
      </c>
    </row>
    <row r="1167" spans="1:19" x14ac:dyDescent="0.25">
      <c r="A1167" s="2">
        <v>43901</v>
      </c>
      <c r="B1167" s="1">
        <f t="shared" si="93"/>
        <v>11</v>
      </c>
      <c r="C1167">
        <f t="shared" si="90"/>
        <v>3</v>
      </c>
      <c r="D1167" t="str">
        <f t="shared" si="91"/>
        <v>March</v>
      </c>
      <c r="E1167">
        <f t="shared" si="92"/>
        <v>2020</v>
      </c>
      <c r="F1167" t="str">
        <f>CONCATENATE(calendar[[#This Row],[Month]],"/",calendar[[#This Row],[Year]])</f>
        <v>3/2020</v>
      </c>
      <c r="G1167">
        <f>WEEKDAY(calendar[[#This Row],[Date]],1)</f>
        <v>4</v>
      </c>
      <c r="H1167" t="str">
        <f>TEXT(calendar[[#This Row],[WeekDay]],"dddd")</f>
        <v>Wednesday</v>
      </c>
      <c r="I1167">
        <f>IF((INT(calendar[[#This Row],[Count]]/7)-calendar[[#This Row],[Count]]/7)&lt;0,I1166,I1166+1)</f>
        <v>167</v>
      </c>
      <c r="J1167">
        <f t="shared" si="94"/>
        <v>1165</v>
      </c>
      <c r="K1167">
        <f>IF(calendar[[#This Row],[Month]]&lt;4,1,IF(calendar[[#This Row],[Month]]&lt;7,2,IF(calendar[[#This Row],[Month]]&lt;10,3,4)))</f>
        <v>1</v>
      </c>
      <c r="L1167">
        <f>IFERROR(IF(VLOOKUP(calendar[[#This Row],[Date]],BH!A:A,1,)&lt;&gt;"",1,0),0)</f>
        <v>0</v>
      </c>
      <c r="M1167">
        <f>IFERROR(IF(VLOOKUP(calendar[[#This Row],[Date]],BH!C:C,1,)&lt;&gt;"",1,0),0)</f>
        <v>0</v>
      </c>
      <c r="N1167">
        <f>IFERROR(IF(VLOOKUP(calendar[[#This Row],[Date]],BH!E:E,1,)&lt;&gt;"",1,0),0)</f>
        <v>0</v>
      </c>
      <c r="O1167">
        <f>IFERROR(IF(VLOOKUP(calendar[[#This Row],[Date]],BH!G:G,1,)&lt;&gt;"",1,0),0)</f>
        <v>0</v>
      </c>
      <c r="P1167">
        <f>IF(OR(calendar[[#This Row],[UK_BH]]=1,calendar[[#This Row],[WeekDay]]=1, calendar[[#This Row],[WeekDay]]=7),P1166,P1166+1)</f>
        <v>833</v>
      </c>
      <c r="Q1167">
        <f>IF(OR(calendar[[#This Row],[FR_BH]]=1,calendar[[#This Row],[WeekDay]]=1, calendar[[#This Row],[WeekDay]]=7),P1166,P1166+1)</f>
        <v>833</v>
      </c>
      <c r="R1167">
        <f>IF(OR(calendar[[#This Row],[SP_BH]]=1,calendar[[#This Row],[WeekDay]]=1, calendar[[#This Row],[WeekDay]]=7),P1166,P1166+1)</f>
        <v>833</v>
      </c>
      <c r="S1167">
        <f>IF(OR(calendar[[#This Row],[PT_BH]]=1,calendar[[#This Row],[WeekDay]]=1, calendar[[#This Row],[WeekDay]]=7),P1166,P1166+1)</f>
        <v>833</v>
      </c>
    </row>
    <row r="1168" spans="1:19" x14ac:dyDescent="0.25">
      <c r="A1168" s="2">
        <v>43902</v>
      </c>
      <c r="B1168" s="1">
        <f t="shared" si="93"/>
        <v>11</v>
      </c>
      <c r="C1168">
        <f t="shared" ref="C1168:C1231" si="95">MONTH(A1168)</f>
        <v>3</v>
      </c>
      <c r="D1168" t="str">
        <f t="shared" ref="D1168:D1231" si="96">TEXT(A1168,"mmmm")</f>
        <v>March</v>
      </c>
      <c r="E1168">
        <f t="shared" ref="E1168:E1231" si="97">YEAR(A1168)</f>
        <v>2020</v>
      </c>
      <c r="F1168" t="str">
        <f>CONCATENATE(calendar[[#This Row],[Month]],"/",calendar[[#This Row],[Year]])</f>
        <v>3/2020</v>
      </c>
      <c r="G1168">
        <f>WEEKDAY(calendar[[#This Row],[Date]],1)</f>
        <v>5</v>
      </c>
      <c r="H1168" t="str">
        <f>TEXT(calendar[[#This Row],[WeekDay]],"dddd")</f>
        <v>Thursday</v>
      </c>
      <c r="I1168">
        <f>IF((INT(calendar[[#This Row],[Count]]/7)-calendar[[#This Row],[Count]]/7)&lt;0,I1167,I1167+1)</f>
        <v>167</v>
      </c>
      <c r="J1168">
        <f t="shared" si="94"/>
        <v>1166</v>
      </c>
      <c r="K1168">
        <f>IF(calendar[[#This Row],[Month]]&lt;4,1,IF(calendar[[#This Row],[Month]]&lt;7,2,IF(calendar[[#This Row],[Month]]&lt;10,3,4)))</f>
        <v>1</v>
      </c>
      <c r="L1168">
        <f>IFERROR(IF(VLOOKUP(calendar[[#This Row],[Date]],BH!A:A,1,)&lt;&gt;"",1,0),0)</f>
        <v>0</v>
      </c>
      <c r="M1168">
        <f>IFERROR(IF(VLOOKUP(calendar[[#This Row],[Date]],BH!C:C,1,)&lt;&gt;"",1,0),0)</f>
        <v>0</v>
      </c>
      <c r="N1168">
        <f>IFERROR(IF(VLOOKUP(calendar[[#This Row],[Date]],BH!E:E,1,)&lt;&gt;"",1,0),0)</f>
        <v>0</v>
      </c>
      <c r="O1168">
        <f>IFERROR(IF(VLOOKUP(calendar[[#This Row],[Date]],BH!G:G,1,)&lt;&gt;"",1,0),0)</f>
        <v>0</v>
      </c>
      <c r="P1168">
        <f>IF(OR(calendar[[#This Row],[UK_BH]]=1,calendar[[#This Row],[WeekDay]]=1, calendar[[#This Row],[WeekDay]]=7),P1167,P1167+1)</f>
        <v>834</v>
      </c>
      <c r="Q1168">
        <f>IF(OR(calendar[[#This Row],[FR_BH]]=1,calendar[[#This Row],[WeekDay]]=1, calendar[[#This Row],[WeekDay]]=7),P1167,P1167+1)</f>
        <v>834</v>
      </c>
      <c r="R1168">
        <f>IF(OR(calendar[[#This Row],[SP_BH]]=1,calendar[[#This Row],[WeekDay]]=1, calendar[[#This Row],[WeekDay]]=7),P1167,P1167+1)</f>
        <v>834</v>
      </c>
      <c r="S1168">
        <f>IF(OR(calendar[[#This Row],[PT_BH]]=1,calendar[[#This Row],[WeekDay]]=1, calendar[[#This Row],[WeekDay]]=7),P1167,P1167+1)</f>
        <v>834</v>
      </c>
    </row>
    <row r="1169" spans="1:19" x14ac:dyDescent="0.25">
      <c r="A1169" s="2">
        <v>43903</v>
      </c>
      <c r="B1169" s="1">
        <f t="shared" si="93"/>
        <v>11</v>
      </c>
      <c r="C1169">
        <f t="shared" si="95"/>
        <v>3</v>
      </c>
      <c r="D1169" t="str">
        <f t="shared" si="96"/>
        <v>March</v>
      </c>
      <c r="E1169">
        <f t="shared" si="97"/>
        <v>2020</v>
      </c>
      <c r="F1169" t="str">
        <f>CONCATENATE(calendar[[#This Row],[Month]],"/",calendar[[#This Row],[Year]])</f>
        <v>3/2020</v>
      </c>
      <c r="G1169">
        <f>WEEKDAY(calendar[[#This Row],[Date]],1)</f>
        <v>6</v>
      </c>
      <c r="H1169" t="str">
        <f>TEXT(calendar[[#This Row],[WeekDay]],"dddd")</f>
        <v>Friday</v>
      </c>
      <c r="I1169">
        <f>IF((INT(calendar[[#This Row],[Count]]/7)-calendar[[#This Row],[Count]]/7)&lt;0,I1168,I1168+1)</f>
        <v>167</v>
      </c>
      <c r="J1169">
        <f t="shared" si="94"/>
        <v>1167</v>
      </c>
      <c r="K1169">
        <f>IF(calendar[[#This Row],[Month]]&lt;4,1,IF(calendar[[#This Row],[Month]]&lt;7,2,IF(calendar[[#This Row],[Month]]&lt;10,3,4)))</f>
        <v>1</v>
      </c>
      <c r="L1169">
        <f>IFERROR(IF(VLOOKUP(calendar[[#This Row],[Date]],BH!A:A,1,)&lt;&gt;"",1,0),0)</f>
        <v>0</v>
      </c>
      <c r="M1169">
        <f>IFERROR(IF(VLOOKUP(calendar[[#This Row],[Date]],BH!C:C,1,)&lt;&gt;"",1,0),0)</f>
        <v>0</v>
      </c>
      <c r="N1169">
        <f>IFERROR(IF(VLOOKUP(calendar[[#This Row],[Date]],BH!E:E,1,)&lt;&gt;"",1,0),0)</f>
        <v>0</v>
      </c>
      <c r="O1169">
        <f>IFERROR(IF(VLOOKUP(calendar[[#This Row],[Date]],BH!G:G,1,)&lt;&gt;"",1,0),0)</f>
        <v>0</v>
      </c>
      <c r="P1169">
        <f>IF(OR(calendar[[#This Row],[UK_BH]]=1,calendar[[#This Row],[WeekDay]]=1, calendar[[#This Row],[WeekDay]]=7),P1168,P1168+1)</f>
        <v>835</v>
      </c>
      <c r="Q1169">
        <f>IF(OR(calendar[[#This Row],[FR_BH]]=1,calendar[[#This Row],[WeekDay]]=1, calendar[[#This Row],[WeekDay]]=7),P1168,P1168+1)</f>
        <v>835</v>
      </c>
      <c r="R1169">
        <f>IF(OR(calendar[[#This Row],[SP_BH]]=1,calendar[[#This Row],[WeekDay]]=1, calendar[[#This Row],[WeekDay]]=7),P1168,P1168+1)</f>
        <v>835</v>
      </c>
      <c r="S1169">
        <f>IF(OR(calendar[[#This Row],[PT_BH]]=1,calendar[[#This Row],[WeekDay]]=1, calendar[[#This Row],[WeekDay]]=7),P1168,P1168+1)</f>
        <v>835</v>
      </c>
    </row>
    <row r="1170" spans="1:19" x14ac:dyDescent="0.25">
      <c r="A1170" s="2">
        <v>43904</v>
      </c>
      <c r="B1170" s="1">
        <f t="shared" si="93"/>
        <v>11</v>
      </c>
      <c r="C1170">
        <f t="shared" si="95"/>
        <v>3</v>
      </c>
      <c r="D1170" t="str">
        <f t="shared" si="96"/>
        <v>March</v>
      </c>
      <c r="E1170">
        <f t="shared" si="97"/>
        <v>2020</v>
      </c>
      <c r="F1170" t="str">
        <f>CONCATENATE(calendar[[#This Row],[Month]],"/",calendar[[#This Row],[Year]])</f>
        <v>3/2020</v>
      </c>
      <c r="G1170">
        <f>WEEKDAY(calendar[[#This Row],[Date]],1)</f>
        <v>7</v>
      </c>
      <c r="H1170" t="str">
        <f>TEXT(calendar[[#This Row],[WeekDay]],"dddd")</f>
        <v>Saturday</v>
      </c>
      <c r="I1170">
        <f>IF((INT(calendar[[#This Row],[Count]]/7)-calendar[[#This Row],[Count]]/7)&lt;0,I1169,I1169+1)</f>
        <v>167</v>
      </c>
      <c r="J1170">
        <f t="shared" si="94"/>
        <v>1168</v>
      </c>
      <c r="K1170">
        <f>IF(calendar[[#This Row],[Month]]&lt;4,1,IF(calendar[[#This Row],[Month]]&lt;7,2,IF(calendar[[#This Row],[Month]]&lt;10,3,4)))</f>
        <v>1</v>
      </c>
      <c r="L1170">
        <f>IFERROR(IF(VLOOKUP(calendar[[#This Row],[Date]],BH!A:A,1,)&lt;&gt;"",1,0),0)</f>
        <v>0</v>
      </c>
      <c r="M1170">
        <f>IFERROR(IF(VLOOKUP(calendar[[#This Row],[Date]],BH!C:C,1,)&lt;&gt;"",1,0),0)</f>
        <v>0</v>
      </c>
      <c r="N1170">
        <f>IFERROR(IF(VLOOKUP(calendar[[#This Row],[Date]],BH!E:E,1,)&lt;&gt;"",1,0),0)</f>
        <v>0</v>
      </c>
      <c r="O1170">
        <f>IFERROR(IF(VLOOKUP(calendar[[#This Row],[Date]],BH!G:G,1,)&lt;&gt;"",1,0),0)</f>
        <v>0</v>
      </c>
      <c r="P1170">
        <f>IF(OR(calendar[[#This Row],[UK_BH]]=1,calendar[[#This Row],[WeekDay]]=1, calendar[[#This Row],[WeekDay]]=7),P1169,P1169+1)</f>
        <v>835</v>
      </c>
      <c r="Q1170">
        <f>IF(OR(calendar[[#This Row],[FR_BH]]=1,calendar[[#This Row],[WeekDay]]=1, calendar[[#This Row],[WeekDay]]=7),P1169,P1169+1)</f>
        <v>835</v>
      </c>
      <c r="R1170">
        <f>IF(OR(calendar[[#This Row],[SP_BH]]=1,calendar[[#This Row],[WeekDay]]=1, calendar[[#This Row],[WeekDay]]=7),P1169,P1169+1)</f>
        <v>835</v>
      </c>
      <c r="S1170">
        <f>IF(OR(calendar[[#This Row],[PT_BH]]=1,calendar[[#This Row],[WeekDay]]=1, calendar[[#This Row],[WeekDay]]=7),P1169,P1169+1)</f>
        <v>835</v>
      </c>
    </row>
    <row r="1171" spans="1:19" x14ac:dyDescent="0.25">
      <c r="A1171" s="2">
        <v>43905</v>
      </c>
      <c r="B1171" s="1">
        <f t="shared" si="93"/>
        <v>12</v>
      </c>
      <c r="C1171">
        <f t="shared" si="95"/>
        <v>3</v>
      </c>
      <c r="D1171" t="str">
        <f t="shared" si="96"/>
        <v>March</v>
      </c>
      <c r="E1171">
        <f t="shared" si="97"/>
        <v>2020</v>
      </c>
      <c r="F1171" t="str">
        <f>CONCATENATE(calendar[[#This Row],[Month]],"/",calendar[[#This Row],[Year]])</f>
        <v>3/2020</v>
      </c>
      <c r="G1171">
        <f>WEEKDAY(calendar[[#This Row],[Date]],1)</f>
        <v>1</v>
      </c>
      <c r="H1171" t="str">
        <f>TEXT(calendar[[#This Row],[WeekDay]],"dddd")</f>
        <v>Sunday</v>
      </c>
      <c r="I1171">
        <f>IF((INT(calendar[[#This Row],[Count]]/7)-calendar[[#This Row],[Count]]/7)&lt;0,I1170,I1170+1)</f>
        <v>168</v>
      </c>
      <c r="J1171">
        <f t="shared" si="94"/>
        <v>1169</v>
      </c>
      <c r="K1171">
        <f>IF(calendar[[#This Row],[Month]]&lt;4,1,IF(calendar[[#This Row],[Month]]&lt;7,2,IF(calendar[[#This Row],[Month]]&lt;10,3,4)))</f>
        <v>1</v>
      </c>
      <c r="L1171">
        <f>IFERROR(IF(VLOOKUP(calendar[[#This Row],[Date]],BH!A:A,1,)&lt;&gt;"",1,0),0)</f>
        <v>0</v>
      </c>
      <c r="M1171">
        <f>IFERROR(IF(VLOOKUP(calendar[[#This Row],[Date]],BH!C:C,1,)&lt;&gt;"",1,0),0)</f>
        <v>0</v>
      </c>
      <c r="N1171">
        <f>IFERROR(IF(VLOOKUP(calendar[[#This Row],[Date]],BH!E:E,1,)&lt;&gt;"",1,0),0)</f>
        <v>0</v>
      </c>
      <c r="O1171">
        <f>IFERROR(IF(VLOOKUP(calendar[[#This Row],[Date]],BH!G:G,1,)&lt;&gt;"",1,0),0)</f>
        <v>0</v>
      </c>
      <c r="P1171">
        <f>IF(OR(calendar[[#This Row],[UK_BH]]=1,calendar[[#This Row],[WeekDay]]=1, calendar[[#This Row],[WeekDay]]=7),P1170,P1170+1)</f>
        <v>835</v>
      </c>
      <c r="Q1171">
        <f>IF(OR(calendar[[#This Row],[FR_BH]]=1,calendar[[#This Row],[WeekDay]]=1, calendar[[#This Row],[WeekDay]]=7),P1170,P1170+1)</f>
        <v>835</v>
      </c>
      <c r="R1171">
        <f>IF(OR(calendar[[#This Row],[SP_BH]]=1,calendar[[#This Row],[WeekDay]]=1, calendar[[#This Row],[WeekDay]]=7),P1170,P1170+1)</f>
        <v>835</v>
      </c>
      <c r="S1171">
        <f>IF(OR(calendar[[#This Row],[PT_BH]]=1,calendar[[#This Row],[WeekDay]]=1, calendar[[#This Row],[WeekDay]]=7),P1170,P1170+1)</f>
        <v>835</v>
      </c>
    </row>
    <row r="1172" spans="1:19" x14ac:dyDescent="0.25">
      <c r="A1172" s="2">
        <v>43906</v>
      </c>
      <c r="B1172" s="1">
        <f t="shared" si="93"/>
        <v>12</v>
      </c>
      <c r="C1172">
        <f t="shared" si="95"/>
        <v>3</v>
      </c>
      <c r="D1172" t="str">
        <f t="shared" si="96"/>
        <v>March</v>
      </c>
      <c r="E1172">
        <f t="shared" si="97"/>
        <v>2020</v>
      </c>
      <c r="F1172" t="str">
        <f>CONCATENATE(calendar[[#This Row],[Month]],"/",calendar[[#This Row],[Year]])</f>
        <v>3/2020</v>
      </c>
      <c r="G1172">
        <f>WEEKDAY(calendar[[#This Row],[Date]],1)</f>
        <v>2</v>
      </c>
      <c r="H1172" t="str">
        <f>TEXT(calendar[[#This Row],[WeekDay]],"dddd")</f>
        <v>Monday</v>
      </c>
      <c r="I1172">
        <f>IF((INT(calendar[[#This Row],[Count]]/7)-calendar[[#This Row],[Count]]/7)&lt;0,I1171,I1171+1)</f>
        <v>168</v>
      </c>
      <c r="J1172">
        <f t="shared" si="94"/>
        <v>1170</v>
      </c>
      <c r="K1172">
        <f>IF(calendar[[#This Row],[Month]]&lt;4,1,IF(calendar[[#This Row],[Month]]&lt;7,2,IF(calendar[[#This Row],[Month]]&lt;10,3,4)))</f>
        <v>1</v>
      </c>
      <c r="L1172">
        <f>IFERROR(IF(VLOOKUP(calendar[[#This Row],[Date]],BH!A:A,1,)&lt;&gt;"",1,0),0)</f>
        <v>0</v>
      </c>
      <c r="M1172">
        <f>IFERROR(IF(VLOOKUP(calendar[[#This Row],[Date]],BH!C:C,1,)&lt;&gt;"",1,0),0)</f>
        <v>0</v>
      </c>
      <c r="N1172">
        <f>IFERROR(IF(VLOOKUP(calendar[[#This Row],[Date]],BH!E:E,1,)&lt;&gt;"",1,0),0)</f>
        <v>0</v>
      </c>
      <c r="O1172">
        <f>IFERROR(IF(VLOOKUP(calendar[[#This Row],[Date]],BH!G:G,1,)&lt;&gt;"",1,0),0)</f>
        <v>0</v>
      </c>
      <c r="P1172">
        <f>IF(OR(calendar[[#This Row],[UK_BH]]=1,calendar[[#This Row],[WeekDay]]=1, calendar[[#This Row],[WeekDay]]=7),P1171,P1171+1)</f>
        <v>836</v>
      </c>
      <c r="Q1172">
        <f>IF(OR(calendar[[#This Row],[FR_BH]]=1,calendar[[#This Row],[WeekDay]]=1, calendar[[#This Row],[WeekDay]]=7),P1171,P1171+1)</f>
        <v>836</v>
      </c>
      <c r="R1172">
        <f>IF(OR(calendar[[#This Row],[SP_BH]]=1,calendar[[#This Row],[WeekDay]]=1, calendar[[#This Row],[WeekDay]]=7),P1171,P1171+1)</f>
        <v>836</v>
      </c>
      <c r="S1172">
        <f>IF(OR(calendar[[#This Row],[PT_BH]]=1,calendar[[#This Row],[WeekDay]]=1, calendar[[#This Row],[WeekDay]]=7),P1171,P1171+1)</f>
        <v>836</v>
      </c>
    </row>
    <row r="1173" spans="1:19" x14ac:dyDescent="0.25">
      <c r="A1173" s="2">
        <v>43907</v>
      </c>
      <c r="B1173" s="1">
        <f t="shared" si="93"/>
        <v>12</v>
      </c>
      <c r="C1173">
        <f t="shared" si="95"/>
        <v>3</v>
      </c>
      <c r="D1173" t="str">
        <f t="shared" si="96"/>
        <v>March</v>
      </c>
      <c r="E1173">
        <f t="shared" si="97"/>
        <v>2020</v>
      </c>
      <c r="F1173" t="str">
        <f>CONCATENATE(calendar[[#This Row],[Month]],"/",calendar[[#This Row],[Year]])</f>
        <v>3/2020</v>
      </c>
      <c r="G1173">
        <f>WEEKDAY(calendar[[#This Row],[Date]],1)</f>
        <v>3</v>
      </c>
      <c r="H1173" t="str">
        <f>TEXT(calendar[[#This Row],[WeekDay]],"dddd")</f>
        <v>Tuesday</v>
      </c>
      <c r="I1173">
        <f>IF((INT(calendar[[#This Row],[Count]]/7)-calendar[[#This Row],[Count]]/7)&lt;0,I1172,I1172+1)</f>
        <v>168</v>
      </c>
      <c r="J1173">
        <f t="shared" si="94"/>
        <v>1171</v>
      </c>
      <c r="K1173">
        <f>IF(calendar[[#This Row],[Month]]&lt;4,1,IF(calendar[[#This Row],[Month]]&lt;7,2,IF(calendar[[#This Row],[Month]]&lt;10,3,4)))</f>
        <v>1</v>
      </c>
      <c r="L1173">
        <f>IFERROR(IF(VLOOKUP(calendar[[#This Row],[Date]],BH!A:A,1,)&lt;&gt;"",1,0),0)</f>
        <v>0</v>
      </c>
      <c r="M1173">
        <f>IFERROR(IF(VLOOKUP(calendar[[#This Row],[Date]],BH!C:C,1,)&lt;&gt;"",1,0),0)</f>
        <v>0</v>
      </c>
      <c r="N1173">
        <f>IFERROR(IF(VLOOKUP(calendar[[#This Row],[Date]],BH!E:E,1,)&lt;&gt;"",1,0),0)</f>
        <v>0</v>
      </c>
      <c r="O1173">
        <f>IFERROR(IF(VLOOKUP(calendar[[#This Row],[Date]],BH!G:G,1,)&lt;&gt;"",1,0),0)</f>
        <v>0</v>
      </c>
      <c r="P1173">
        <f>IF(OR(calendar[[#This Row],[UK_BH]]=1,calendar[[#This Row],[WeekDay]]=1, calendar[[#This Row],[WeekDay]]=7),P1172,P1172+1)</f>
        <v>837</v>
      </c>
      <c r="Q1173">
        <f>IF(OR(calendar[[#This Row],[FR_BH]]=1,calendar[[#This Row],[WeekDay]]=1, calendar[[#This Row],[WeekDay]]=7),P1172,P1172+1)</f>
        <v>837</v>
      </c>
      <c r="R1173">
        <f>IF(OR(calendar[[#This Row],[SP_BH]]=1,calendar[[#This Row],[WeekDay]]=1, calendar[[#This Row],[WeekDay]]=7),P1172,P1172+1)</f>
        <v>837</v>
      </c>
      <c r="S1173">
        <f>IF(OR(calendar[[#This Row],[PT_BH]]=1,calendar[[#This Row],[WeekDay]]=1, calendar[[#This Row],[WeekDay]]=7),P1172,P1172+1)</f>
        <v>837</v>
      </c>
    </row>
    <row r="1174" spans="1:19" x14ac:dyDescent="0.25">
      <c r="A1174" s="2">
        <v>43908</v>
      </c>
      <c r="B1174" s="1">
        <f t="shared" si="93"/>
        <v>12</v>
      </c>
      <c r="C1174">
        <f t="shared" si="95"/>
        <v>3</v>
      </c>
      <c r="D1174" t="str">
        <f t="shared" si="96"/>
        <v>March</v>
      </c>
      <c r="E1174">
        <f t="shared" si="97"/>
        <v>2020</v>
      </c>
      <c r="F1174" t="str">
        <f>CONCATENATE(calendar[[#This Row],[Month]],"/",calendar[[#This Row],[Year]])</f>
        <v>3/2020</v>
      </c>
      <c r="G1174">
        <f>WEEKDAY(calendar[[#This Row],[Date]],1)</f>
        <v>4</v>
      </c>
      <c r="H1174" t="str">
        <f>TEXT(calendar[[#This Row],[WeekDay]],"dddd")</f>
        <v>Wednesday</v>
      </c>
      <c r="I1174">
        <f>IF((INT(calendar[[#This Row],[Count]]/7)-calendar[[#This Row],[Count]]/7)&lt;0,I1173,I1173+1)</f>
        <v>168</v>
      </c>
      <c r="J1174">
        <f t="shared" si="94"/>
        <v>1172</v>
      </c>
      <c r="K1174">
        <f>IF(calendar[[#This Row],[Month]]&lt;4,1,IF(calendar[[#This Row],[Month]]&lt;7,2,IF(calendar[[#This Row],[Month]]&lt;10,3,4)))</f>
        <v>1</v>
      </c>
      <c r="L1174">
        <f>IFERROR(IF(VLOOKUP(calendar[[#This Row],[Date]],BH!A:A,1,)&lt;&gt;"",1,0),0)</f>
        <v>0</v>
      </c>
      <c r="M1174">
        <f>IFERROR(IF(VLOOKUP(calendar[[#This Row],[Date]],BH!C:C,1,)&lt;&gt;"",1,0),0)</f>
        <v>0</v>
      </c>
      <c r="N1174">
        <f>IFERROR(IF(VLOOKUP(calendar[[#This Row],[Date]],BH!E:E,1,)&lt;&gt;"",1,0),0)</f>
        <v>0</v>
      </c>
      <c r="O1174">
        <f>IFERROR(IF(VLOOKUP(calendar[[#This Row],[Date]],BH!G:G,1,)&lt;&gt;"",1,0),0)</f>
        <v>0</v>
      </c>
      <c r="P1174">
        <f>IF(OR(calendar[[#This Row],[UK_BH]]=1,calendar[[#This Row],[WeekDay]]=1, calendar[[#This Row],[WeekDay]]=7),P1173,P1173+1)</f>
        <v>838</v>
      </c>
      <c r="Q1174">
        <f>IF(OR(calendar[[#This Row],[FR_BH]]=1,calendar[[#This Row],[WeekDay]]=1, calendar[[#This Row],[WeekDay]]=7),P1173,P1173+1)</f>
        <v>838</v>
      </c>
      <c r="R1174">
        <f>IF(OR(calendar[[#This Row],[SP_BH]]=1,calendar[[#This Row],[WeekDay]]=1, calendar[[#This Row],[WeekDay]]=7),P1173,P1173+1)</f>
        <v>838</v>
      </c>
      <c r="S1174">
        <f>IF(OR(calendar[[#This Row],[PT_BH]]=1,calendar[[#This Row],[WeekDay]]=1, calendar[[#This Row],[WeekDay]]=7),P1173,P1173+1)</f>
        <v>838</v>
      </c>
    </row>
    <row r="1175" spans="1:19" x14ac:dyDescent="0.25">
      <c r="A1175" s="2">
        <v>43909</v>
      </c>
      <c r="B1175" s="1">
        <f t="shared" si="93"/>
        <v>12</v>
      </c>
      <c r="C1175">
        <f t="shared" si="95"/>
        <v>3</v>
      </c>
      <c r="D1175" t="str">
        <f t="shared" si="96"/>
        <v>March</v>
      </c>
      <c r="E1175">
        <f t="shared" si="97"/>
        <v>2020</v>
      </c>
      <c r="F1175" t="str">
        <f>CONCATENATE(calendar[[#This Row],[Month]],"/",calendar[[#This Row],[Year]])</f>
        <v>3/2020</v>
      </c>
      <c r="G1175">
        <f>WEEKDAY(calendar[[#This Row],[Date]],1)</f>
        <v>5</v>
      </c>
      <c r="H1175" t="str">
        <f>TEXT(calendar[[#This Row],[WeekDay]],"dddd")</f>
        <v>Thursday</v>
      </c>
      <c r="I1175">
        <f>IF((INT(calendar[[#This Row],[Count]]/7)-calendar[[#This Row],[Count]]/7)&lt;0,I1174,I1174+1)</f>
        <v>168</v>
      </c>
      <c r="J1175">
        <f t="shared" si="94"/>
        <v>1173</v>
      </c>
      <c r="K1175">
        <f>IF(calendar[[#This Row],[Month]]&lt;4,1,IF(calendar[[#This Row],[Month]]&lt;7,2,IF(calendar[[#This Row],[Month]]&lt;10,3,4)))</f>
        <v>1</v>
      </c>
      <c r="L1175">
        <f>IFERROR(IF(VLOOKUP(calendar[[#This Row],[Date]],BH!A:A,1,)&lt;&gt;"",1,0),0)</f>
        <v>0</v>
      </c>
      <c r="M1175">
        <f>IFERROR(IF(VLOOKUP(calendar[[#This Row],[Date]],BH!C:C,1,)&lt;&gt;"",1,0),0)</f>
        <v>0</v>
      </c>
      <c r="N1175">
        <f>IFERROR(IF(VLOOKUP(calendar[[#This Row],[Date]],BH!E:E,1,)&lt;&gt;"",1,0),0)</f>
        <v>0</v>
      </c>
      <c r="O1175">
        <f>IFERROR(IF(VLOOKUP(calendar[[#This Row],[Date]],BH!G:G,1,)&lt;&gt;"",1,0),0)</f>
        <v>0</v>
      </c>
      <c r="P1175">
        <f>IF(OR(calendar[[#This Row],[UK_BH]]=1,calendar[[#This Row],[WeekDay]]=1, calendar[[#This Row],[WeekDay]]=7),P1174,P1174+1)</f>
        <v>839</v>
      </c>
      <c r="Q1175">
        <f>IF(OR(calendar[[#This Row],[FR_BH]]=1,calendar[[#This Row],[WeekDay]]=1, calendar[[#This Row],[WeekDay]]=7),P1174,P1174+1)</f>
        <v>839</v>
      </c>
      <c r="R1175">
        <f>IF(OR(calendar[[#This Row],[SP_BH]]=1,calendar[[#This Row],[WeekDay]]=1, calendar[[#This Row],[WeekDay]]=7),P1174,P1174+1)</f>
        <v>839</v>
      </c>
      <c r="S1175">
        <f>IF(OR(calendar[[#This Row],[PT_BH]]=1,calendar[[#This Row],[WeekDay]]=1, calendar[[#This Row],[WeekDay]]=7),P1174,P1174+1)</f>
        <v>839</v>
      </c>
    </row>
    <row r="1176" spans="1:19" x14ac:dyDescent="0.25">
      <c r="A1176" s="2">
        <v>43910</v>
      </c>
      <c r="B1176" s="1">
        <f t="shared" si="93"/>
        <v>12</v>
      </c>
      <c r="C1176">
        <f t="shared" si="95"/>
        <v>3</v>
      </c>
      <c r="D1176" t="str">
        <f t="shared" si="96"/>
        <v>March</v>
      </c>
      <c r="E1176">
        <f t="shared" si="97"/>
        <v>2020</v>
      </c>
      <c r="F1176" t="str">
        <f>CONCATENATE(calendar[[#This Row],[Month]],"/",calendar[[#This Row],[Year]])</f>
        <v>3/2020</v>
      </c>
      <c r="G1176">
        <f>WEEKDAY(calendar[[#This Row],[Date]],1)</f>
        <v>6</v>
      </c>
      <c r="H1176" t="str">
        <f>TEXT(calendar[[#This Row],[WeekDay]],"dddd")</f>
        <v>Friday</v>
      </c>
      <c r="I1176">
        <f>IF((INT(calendar[[#This Row],[Count]]/7)-calendar[[#This Row],[Count]]/7)&lt;0,I1175,I1175+1)</f>
        <v>168</v>
      </c>
      <c r="J1176">
        <f t="shared" si="94"/>
        <v>1174</v>
      </c>
      <c r="K1176">
        <f>IF(calendar[[#This Row],[Month]]&lt;4,1,IF(calendar[[#This Row],[Month]]&lt;7,2,IF(calendar[[#This Row],[Month]]&lt;10,3,4)))</f>
        <v>1</v>
      </c>
      <c r="L1176">
        <f>IFERROR(IF(VLOOKUP(calendar[[#This Row],[Date]],BH!A:A,1,)&lt;&gt;"",1,0),0)</f>
        <v>0</v>
      </c>
      <c r="M1176">
        <f>IFERROR(IF(VLOOKUP(calendar[[#This Row],[Date]],BH!C:C,1,)&lt;&gt;"",1,0),0)</f>
        <v>0</v>
      </c>
      <c r="N1176">
        <f>IFERROR(IF(VLOOKUP(calendar[[#This Row],[Date]],BH!E:E,1,)&lt;&gt;"",1,0),0)</f>
        <v>0</v>
      </c>
      <c r="O1176">
        <f>IFERROR(IF(VLOOKUP(calendar[[#This Row],[Date]],BH!G:G,1,)&lt;&gt;"",1,0),0)</f>
        <v>0</v>
      </c>
      <c r="P1176">
        <f>IF(OR(calendar[[#This Row],[UK_BH]]=1,calendar[[#This Row],[WeekDay]]=1, calendar[[#This Row],[WeekDay]]=7),P1175,P1175+1)</f>
        <v>840</v>
      </c>
      <c r="Q1176">
        <f>IF(OR(calendar[[#This Row],[FR_BH]]=1,calendar[[#This Row],[WeekDay]]=1, calendar[[#This Row],[WeekDay]]=7),P1175,P1175+1)</f>
        <v>840</v>
      </c>
      <c r="R1176">
        <f>IF(OR(calendar[[#This Row],[SP_BH]]=1,calendar[[#This Row],[WeekDay]]=1, calendar[[#This Row],[WeekDay]]=7),P1175,P1175+1)</f>
        <v>840</v>
      </c>
      <c r="S1176">
        <f>IF(OR(calendar[[#This Row],[PT_BH]]=1,calendar[[#This Row],[WeekDay]]=1, calendar[[#This Row],[WeekDay]]=7),P1175,P1175+1)</f>
        <v>840</v>
      </c>
    </row>
    <row r="1177" spans="1:19" x14ac:dyDescent="0.25">
      <c r="A1177" s="2">
        <v>43911</v>
      </c>
      <c r="B1177" s="1">
        <f t="shared" si="93"/>
        <v>12</v>
      </c>
      <c r="C1177">
        <f t="shared" si="95"/>
        <v>3</v>
      </c>
      <c r="D1177" t="str">
        <f t="shared" si="96"/>
        <v>March</v>
      </c>
      <c r="E1177">
        <f t="shared" si="97"/>
        <v>2020</v>
      </c>
      <c r="F1177" t="str">
        <f>CONCATENATE(calendar[[#This Row],[Month]],"/",calendar[[#This Row],[Year]])</f>
        <v>3/2020</v>
      </c>
      <c r="G1177">
        <f>WEEKDAY(calendar[[#This Row],[Date]],1)</f>
        <v>7</v>
      </c>
      <c r="H1177" t="str">
        <f>TEXT(calendar[[#This Row],[WeekDay]],"dddd")</f>
        <v>Saturday</v>
      </c>
      <c r="I1177">
        <f>IF((INT(calendar[[#This Row],[Count]]/7)-calendar[[#This Row],[Count]]/7)&lt;0,I1176,I1176+1)</f>
        <v>168</v>
      </c>
      <c r="J1177">
        <f t="shared" si="94"/>
        <v>1175</v>
      </c>
      <c r="K1177">
        <f>IF(calendar[[#This Row],[Month]]&lt;4,1,IF(calendar[[#This Row],[Month]]&lt;7,2,IF(calendar[[#This Row],[Month]]&lt;10,3,4)))</f>
        <v>1</v>
      </c>
      <c r="L1177">
        <f>IFERROR(IF(VLOOKUP(calendar[[#This Row],[Date]],BH!A:A,1,)&lt;&gt;"",1,0),0)</f>
        <v>0</v>
      </c>
      <c r="M1177">
        <f>IFERROR(IF(VLOOKUP(calendar[[#This Row],[Date]],BH!C:C,1,)&lt;&gt;"",1,0),0)</f>
        <v>0</v>
      </c>
      <c r="N1177">
        <f>IFERROR(IF(VLOOKUP(calendar[[#This Row],[Date]],BH!E:E,1,)&lt;&gt;"",1,0),0)</f>
        <v>0</v>
      </c>
      <c r="O1177">
        <f>IFERROR(IF(VLOOKUP(calendar[[#This Row],[Date]],BH!G:G,1,)&lt;&gt;"",1,0),0)</f>
        <v>0</v>
      </c>
      <c r="P1177">
        <f>IF(OR(calendar[[#This Row],[UK_BH]]=1,calendar[[#This Row],[WeekDay]]=1, calendar[[#This Row],[WeekDay]]=7),P1176,P1176+1)</f>
        <v>840</v>
      </c>
      <c r="Q1177">
        <f>IF(OR(calendar[[#This Row],[FR_BH]]=1,calendar[[#This Row],[WeekDay]]=1, calendar[[#This Row],[WeekDay]]=7),P1176,P1176+1)</f>
        <v>840</v>
      </c>
      <c r="R1177">
        <f>IF(OR(calendar[[#This Row],[SP_BH]]=1,calendar[[#This Row],[WeekDay]]=1, calendar[[#This Row],[WeekDay]]=7),P1176,P1176+1)</f>
        <v>840</v>
      </c>
      <c r="S1177">
        <f>IF(OR(calendar[[#This Row],[PT_BH]]=1,calendar[[#This Row],[WeekDay]]=1, calendar[[#This Row],[WeekDay]]=7),P1176,P1176+1)</f>
        <v>840</v>
      </c>
    </row>
    <row r="1178" spans="1:19" x14ac:dyDescent="0.25">
      <c r="A1178" s="2">
        <v>43912</v>
      </c>
      <c r="B1178" s="1">
        <f t="shared" si="93"/>
        <v>13</v>
      </c>
      <c r="C1178">
        <f t="shared" si="95"/>
        <v>3</v>
      </c>
      <c r="D1178" t="str">
        <f t="shared" si="96"/>
        <v>March</v>
      </c>
      <c r="E1178">
        <f t="shared" si="97"/>
        <v>2020</v>
      </c>
      <c r="F1178" t="str">
        <f>CONCATENATE(calendar[[#This Row],[Month]],"/",calendar[[#This Row],[Year]])</f>
        <v>3/2020</v>
      </c>
      <c r="G1178">
        <f>WEEKDAY(calendar[[#This Row],[Date]],1)</f>
        <v>1</v>
      </c>
      <c r="H1178" t="str">
        <f>TEXT(calendar[[#This Row],[WeekDay]],"dddd")</f>
        <v>Sunday</v>
      </c>
      <c r="I1178">
        <f>IF((INT(calendar[[#This Row],[Count]]/7)-calendar[[#This Row],[Count]]/7)&lt;0,I1177,I1177+1)</f>
        <v>169</v>
      </c>
      <c r="J1178">
        <f t="shared" si="94"/>
        <v>1176</v>
      </c>
      <c r="K1178">
        <f>IF(calendar[[#This Row],[Month]]&lt;4,1,IF(calendar[[#This Row],[Month]]&lt;7,2,IF(calendar[[#This Row],[Month]]&lt;10,3,4)))</f>
        <v>1</v>
      </c>
      <c r="L1178">
        <f>IFERROR(IF(VLOOKUP(calendar[[#This Row],[Date]],BH!A:A,1,)&lt;&gt;"",1,0),0)</f>
        <v>0</v>
      </c>
      <c r="M1178">
        <f>IFERROR(IF(VLOOKUP(calendar[[#This Row],[Date]],BH!C:C,1,)&lt;&gt;"",1,0),0)</f>
        <v>0</v>
      </c>
      <c r="N1178">
        <f>IFERROR(IF(VLOOKUP(calendar[[#This Row],[Date]],BH!E:E,1,)&lt;&gt;"",1,0),0)</f>
        <v>0</v>
      </c>
      <c r="O1178">
        <f>IFERROR(IF(VLOOKUP(calendar[[#This Row],[Date]],BH!G:G,1,)&lt;&gt;"",1,0),0)</f>
        <v>0</v>
      </c>
      <c r="P1178">
        <f>IF(OR(calendar[[#This Row],[UK_BH]]=1,calendar[[#This Row],[WeekDay]]=1, calendar[[#This Row],[WeekDay]]=7),P1177,P1177+1)</f>
        <v>840</v>
      </c>
      <c r="Q1178">
        <f>IF(OR(calendar[[#This Row],[FR_BH]]=1,calendar[[#This Row],[WeekDay]]=1, calendar[[#This Row],[WeekDay]]=7),P1177,P1177+1)</f>
        <v>840</v>
      </c>
      <c r="R1178">
        <f>IF(OR(calendar[[#This Row],[SP_BH]]=1,calendar[[#This Row],[WeekDay]]=1, calendar[[#This Row],[WeekDay]]=7),P1177,P1177+1)</f>
        <v>840</v>
      </c>
      <c r="S1178">
        <f>IF(OR(calendar[[#This Row],[PT_BH]]=1,calendar[[#This Row],[WeekDay]]=1, calendar[[#This Row],[WeekDay]]=7),P1177,P1177+1)</f>
        <v>840</v>
      </c>
    </row>
    <row r="1179" spans="1:19" x14ac:dyDescent="0.25">
      <c r="A1179" s="2">
        <v>43913</v>
      </c>
      <c r="B1179" s="1">
        <f t="shared" si="93"/>
        <v>13</v>
      </c>
      <c r="C1179">
        <f t="shared" si="95"/>
        <v>3</v>
      </c>
      <c r="D1179" t="str">
        <f t="shared" si="96"/>
        <v>March</v>
      </c>
      <c r="E1179">
        <f t="shared" si="97"/>
        <v>2020</v>
      </c>
      <c r="F1179" t="str">
        <f>CONCATENATE(calendar[[#This Row],[Month]],"/",calendar[[#This Row],[Year]])</f>
        <v>3/2020</v>
      </c>
      <c r="G1179">
        <f>WEEKDAY(calendar[[#This Row],[Date]],1)</f>
        <v>2</v>
      </c>
      <c r="H1179" t="str">
        <f>TEXT(calendar[[#This Row],[WeekDay]],"dddd")</f>
        <v>Monday</v>
      </c>
      <c r="I1179">
        <f>IF((INT(calendar[[#This Row],[Count]]/7)-calendar[[#This Row],[Count]]/7)&lt;0,I1178,I1178+1)</f>
        <v>169</v>
      </c>
      <c r="J1179">
        <f t="shared" si="94"/>
        <v>1177</v>
      </c>
      <c r="K1179">
        <f>IF(calendar[[#This Row],[Month]]&lt;4,1,IF(calendar[[#This Row],[Month]]&lt;7,2,IF(calendar[[#This Row],[Month]]&lt;10,3,4)))</f>
        <v>1</v>
      </c>
      <c r="L1179">
        <f>IFERROR(IF(VLOOKUP(calendar[[#This Row],[Date]],BH!A:A,1,)&lt;&gt;"",1,0),0)</f>
        <v>0</v>
      </c>
      <c r="M1179">
        <f>IFERROR(IF(VLOOKUP(calendar[[#This Row],[Date]],BH!C:C,1,)&lt;&gt;"",1,0),0)</f>
        <v>0</v>
      </c>
      <c r="N1179">
        <f>IFERROR(IF(VLOOKUP(calendar[[#This Row],[Date]],BH!E:E,1,)&lt;&gt;"",1,0),0)</f>
        <v>0</v>
      </c>
      <c r="O1179">
        <f>IFERROR(IF(VLOOKUP(calendar[[#This Row],[Date]],BH!G:G,1,)&lt;&gt;"",1,0),0)</f>
        <v>0</v>
      </c>
      <c r="P1179">
        <f>IF(OR(calendar[[#This Row],[UK_BH]]=1,calendar[[#This Row],[WeekDay]]=1, calendar[[#This Row],[WeekDay]]=7),P1178,P1178+1)</f>
        <v>841</v>
      </c>
      <c r="Q1179">
        <f>IF(OR(calendar[[#This Row],[FR_BH]]=1,calendar[[#This Row],[WeekDay]]=1, calendar[[#This Row],[WeekDay]]=7),P1178,P1178+1)</f>
        <v>841</v>
      </c>
      <c r="R1179">
        <f>IF(OR(calendar[[#This Row],[SP_BH]]=1,calendar[[#This Row],[WeekDay]]=1, calendar[[#This Row],[WeekDay]]=7),P1178,P1178+1)</f>
        <v>841</v>
      </c>
      <c r="S1179">
        <f>IF(OR(calendar[[#This Row],[PT_BH]]=1,calendar[[#This Row],[WeekDay]]=1, calendar[[#This Row],[WeekDay]]=7),P1178,P1178+1)</f>
        <v>841</v>
      </c>
    </row>
    <row r="1180" spans="1:19" x14ac:dyDescent="0.25">
      <c r="A1180" s="2">
        <v>43914</v>
      </c>
      <c r="B1180" s="1">
        <f t="shared" si="93"/>
        <v>13</v>
      </c>
      <c r="C1180">
        <f t="shared" si="95"/>
        <v>3</v>
      </c>
      <c r="D1180" t="str">
        <f t="shared" si="96"/>
        <v>March</v>
      </c>
      <c r="E1180">
        <f t="shared" si="97"/>
        <v>2020</v>
      </c>
      <c r="F1180" t="str">
        <f>CONCATENATE(calendar[[#This Row],[Month]],"/",calendar[[#This Row],[Year]])</f>
        <v>3/2020</v>
      </c>
      <c r="G1180">
        <f>WEEKDAY(calendar[[#This Row],[Date]],1)</f>
        <v>3</v>
      </c>
      <c r="H1180" t="str">
        <f>TEXT(calendar[[#This Row],[WeekDay]],"dddd")</f>
        <v>Tuesday</v>
      </c>
      <c r="I1180">
        <f>IF((INT(calendar[[#This Row],[Count]]/7)-calendar[[#This Row],[Count]]/7)&lt;0,I1179,I1179+1)</f>
        <v>169</v>
      </c>
      <c r="J1180">
        <f t="shared" si="94"/>
        <v>1178</v>
      </c>
      <c r="K1180">
        <f>IF(calendar[[#This Row],[Month]]&lt;4,1,IF(calendar[[#This Row],[Month]]&lt;7,2,IF(calendar[[#This Row],[Month]]&lt;10,3,4)))</f>
        <v>1</v>
      </c>
      <c r="L1180">
        <f>IFERROR(IF(VLOOKUP(calendar[[#This Row],[Date]],BH!A:A,1,)&lt;&gt;"",1,0),0)</f>
        <v>0</v>
      </c>
      <c r="M1180">
        <f>IFERROR(IF(VLOOKUP(calendar[[#This Row],[Date]],BH!C:C,1,)&lt;&gt;"",1,0),0)</f>
        <v>0</v>
      </c>
      <c r="N1180">
        <f>IFERROR(IF(VLOOKUP(calendar[[#This Row],[Date]],BH!E:E,1,)&lt;&gt;"",1,0),0)</f>
        <v>0</v>
      </c>
      <c r="O1180">
        <f>IFERROR(IF(VLOOKUP(calendar[[#This Row],[Date]],BH!G:G,1,)&lt;&gt;"",1,0),0)</f>
        <v>0</v>
      </c>
      <c r="P1180">
        <f>IF(OR(calendar[[#This Row],[UK_BH]]=1,calendar[[#This Row],[WeekDay]]=1, calendar[[#This Row],[WeekDay]]=7),P1179,P1179+1)</f>
        <v>842</v>
      </c>
      <c r="Q1180">
        <f>IF(OR(calendar[[#This Row],[FR_BH]]=1,calendar[[#This Row],[WeekDay]]=1, calendar[[#This Row],[WeekDay]]=7),P1179,P1179+1)</f>
        <v>842</v>
      </c>
      <c r="R1180">
        <f>IF(OR(calendar[[#This Row],[SP_BH]]=1,calendar[[#This Row],[WeekDay]]=1, calendar[[#This Row],[WeekDay]]=7),P1179,P1179+1)</f>
        <v>842</v>
      </c>
      <c r="S1180">
        <f>IF(OR(calendar[[#This Row],[PT_BH]]=1,calendar[[#This Row],[WeekDay]]=1, calendar[[#This Row],[WeekDay]]=7),P1179,P1179+1)</f>
        <v>842</v>
      </c>
    </row>
    <row r="1181" spans="1:19" x14ac:dyDescent="0.25">
      <c r="A1181" s="2">
        <v>43915</v>
      </c>
      <c r="B1181" s="1">
        <f t="shared" si="93"/>
        <v>13</v>
      </c>
      <c r="C1181">
        <f t="shared" si="95"/>
        <v>3</v>
      </c>
      <c r="D1181" t="str">
        <f t="shared" si="96"/>
        <v>March</v>
      </c>
      <c r="E1181">
        <f t="shared" si="97"/>
        <v>2020</v>
      </c>
      <c r="F1181" t="str">
        <f>CONCATENATE(calendar[[#This Row],[Month]],"/",calendar[[#This Row],[Year]])</f>
        <v>3/2020</v>
      </c>
      <c r="G1181">
        <f>WEEKDAY(calendar[[#This Row],[Date]],1)</f>
        <v>4</v>
      </c>
      <c r="H1181" t="str">
        <f>TEXT(calendar[[#This Row],[WeekDay]],"dddd")</f>
        <v>Wednesday</v>
      </c>
      <c r="I1181">
        <f>IF((INT(calendar[[#This Row],[Count]]/7)-calendar[[#This Row],[Count]]/7)&lt;0,I1180,I1180+1)</f>
        <v>169</v>
      </c>
      <c r="J1181">
        <f t="shared" si="94"/>
        <v>1179</v>
      </c>
      <c r="K1181">
        <f>IF(calendar[[#This Row],[Month]]&lt;4,1,IF(calendar[[#This Row],[Month]]&lt;7,2,IF(calendar[[#This Row],[Month]]&lt;10,3,4)))</f>
        <v>1</v>
      </c>
      <c r="L1181">
        <f>IFERROR(IF(VLOOKUP(calendar[[#This Row],[Date]],BH!A:A,1,)&lt;&gt;"",1,0),0)</f>
        <v>0</v>
      </c>
      <c r="M1181">
        <f>IFERROR(IF(VLOOKUP(calendar[[#This Row],[Date]],BH!C:C,1,)&lt;&gt;"",1,0),0)</f>
        <v>0</v>
      </c>
      <c r="N1181">
        <f>IFERROR(IF(VLOOKUP(calendar[[#This Row],[Date]],BH!E:E,1,)&lt;&gt;"",1,0),0)</f>
        <v>0</v>
      </c>
      <c r="O1181">
        <f>IFERROR(IF(VLOOKUP(calendar[[#This Row],[Date]],BH!G:G,1,)&lt;&gt;"",1,0),0)</f>
        <v>0</v>
      </c>
      <c r="P1181">
        <f>IF(OR(calendar[[#This Row],[UK_BH]]=1,calendar[[#This Row],[WeekDay]]=1, calendar[[#This Row],[WeekDay]]=7),P1180,P1180+1)</f>
        <v>843</v>
      </c>
      <c r="Q1181">
        <f>IF(OR(calendar[[#This Row],[FR_BH]]=1,calendar[[#This Row],[WeekDay]]=1, calendar[[#This Row],[WeekDay]]=7),P1180,P1180+1)</f>
        <v>843</v>
      </c>
      <c r="R1181">
        <f>IF(OR(calendar[[#This Row],[SP_BH]]=1,calendar[[#This Row],[WeekDay]]=1, calendar[[#This Row],[WeekDay]]=7),P1180,P1180+1)</f>
        <v>843</v>
      </c>
      <c r="S1181">
        <f>IF(OR(calendar[[#This Row],[PT_BH]]=1,calendar[[#This Row],[WeekDay]]=1, calendar[[#This Row],[WeekDay]]=7),P1180,P1180+1)</f>
        <v>843</v>
      </c>
    </row>
    <row r="1182" spans="1:19" x14ac:dyDescent="0.25">
      <c r="A1182" s="2">
        <v>43916</v>
      </c>
      <c r="B1182" s="1">
        <f t="shared" si="93"/>
        <v>13</v>
      </c>
      <c r="C1182">
        <f t="shared" si="95"/>
        <v>3</v>
      </c>
      <c r="D1182" t="str">
        <f t="shared" si="96"/>
        <v>March</v>
      </c>
      <c r="E1182">
        <f t="shared" si="97"/>
        <v>2020</v>
      </c>
      <c r="F1182" t="str">
        <f>CONCATENATE(calendar[[#This Row],[Month]],"/",calendar[[#This Row],[Year]])</f>
        <v>3/2020</v>
      </c>
      <c r="G1182">
        <f>WEEKDAY(calendar[[#This Row],[Date]],1)</f>
        <v>5</v>
      </c>
      <c r="H1182" t="str">
        <f>TEXT(calendar[[#This Row],[WeekDay]],"dddd")</f>
        <v>Thursday</v>
      </c>
      <c r="I1182">
        <f>IF((INT(calendar[[#This Row],[Count]]/7)-calendar[[#This Row],[Count]]/7)&lt;0,I1181,I1181+1)</f>
        <v>169</v>
      </c>
      <c r="J1182">
        <f t="shared" si="94"/>
        <v>1180</v>
      </c>
      <c r="K1182">
        <f>IF(calendar[[#This Row],[Month]]&lt;4,1,IF(calendar[[#This Row],[Month]]&lt;7,2,IF(calendar[[#This Row],[Month]]&lt;10,3,4)))</f>
        <v>1</v>
      </c>
      <c r="L1182">
        <f>IFERROR(IF(VLOOKUP(calendar[[#This Row],[Date]],BH!A:A,1,)&lt;&gt;"",1,0),0)</f>
        <v>0</v>
      </c>
      <c r="M1182">
        <f>IFERROR(IF(VLOOKUP(calendar[[#This Row],[Date]],BH!C:C,1,)&lt;&gt;"",1,0),0)</f>
        <v>0</v>
      </c>
      <c r="N1182">
        <f>IFERROR(IF(VLOOKUP(calendar[[#This Row],[Date]],BH!E:E,1,)&lt;&gt;"",1,0),0)</f>
        <v>0</v>
      </c>
      <c r="O1182">
        <f>IFERROR(IF(VLOOKUP(calendar[[#This Row],[Date]],BH!G:G,1,)&lt;&gt;"",1,0),0)</f>
        <v>0</v>
      </c>
      <c r="P1182">
        <f>IF(OR(calendar[[#This Row],[UK_BH]]=1,calendar[[#This Row],[WeekDay]]=1, calendar[[#This Row],[WeekDay]]=7),P1181,P1181+1)</f>
        <v>844</v>
      </c>
      <c r="Q1182">
        <f>IF(OR(calendar[[#This Row],[FR_BH]]=1,calendar[[#This Row],[WeekDay]]=1, calendar[[#This Row],[WeekDay]]=7),P1181,P1181+1)</f>
        <v>844</v>
      </c>
      <c r="R1182">
        <f>IF(OR(calendar[[#This Row],[SP_BH]]=1,calendar[[#This Row],[WeekDay]]=1, calendar[[#This Row],[WeekDay]]=7),P1181,P1181+1)</f>
        <v>844</v>
      </c>
      <c r="S1182">
        <f>IF(OR(calendar[[#This Row],[PT_BH]]=1,calendar[[#This Row],[WeekDay]]=1, calendar[[#This Row],[WeekDay]]=7),P1181,P1181+1)</f>
        <v>844</v>
      </c>
    </row>
    <row r="1183" spans="1:19" x14ac:dyDescent="0.25">
      <c r="A1183" s="2">
        <v>43917</v>
      </c>
      <c r="B1183" s="1">
        <f t="shared" si="93"/>
        <v>13</v>
      </c>
      <c r="C1183">
        <f t="shared" si="95"/>
        <v>3</v>
      </c>
      <c r="D1183" t="str">
        <f t="shared" si="96"/>
        <v>March</v>
      </c>
      <c r="E1183">
        <f t="shared" si="97"/>
        <v>2020</v>
      </c>
      <c r="F1183" t="str">
        <f>CONCATENATE(calendar[[#This Row],[Month]],"/",calendar[[#This Row],[Year]])</f>
        <v>3/2020</v>
      </c>
      <c r="G1183">
        <f>WEEKDAY(calendar[[#This Row],[Date]],1)</f>
        <v>6</v>
      </c>
      <c r="H1183" t="str">
        <f>TEXT(calendar[[#This Row],[WeekDay]],"dddd")</f>
        <v>Friday</v>
      </c>
      <c r="I1183">
        <f>IF((INT(calendar[[#This Row],[Count]]/7)-calendar[[#This Row],[Count]]/7)&lt;0,I1182,I1182+1)</f>
        <v>169</v>
      </c>
      <c r="J1183">
        <f t="shared" si="94"/>
        <v>1181</v>
      </c>
      <c r="K1183">
        <f>IF(calendar[[#This Row],[Month]]&lt;4,1,IF(calendar[[#This Row],[Month]]&lt;7,2,IF(calendar[[#This Row],[Month]]&lt;10,3,4)))</f>
        <v>1</v>
      </c>
      <c r="L1183">
        <f>IFERROR(IF(VLOOKUP(calendar[[#This Row],[Date]],BH!A:A,1,)&lt;&gt;"",1,0),0)</f>
        <v>0</v>
      </c>
      <c r="M1183">
        <f>IFERROR(IF(VLOOKUP(calendar[[#This Row],[Date]],BH!C:C,1,)&lt;&gt;"",1,0),0)</f>
        <v>0</v>
      </c>
      <c r="N1183">
        <f>IFERROR(IF(VLOOKUP(calendar[[#This Row],[Date]],BH!E:E,1,)&lt;&gt;"",1,0),0)</f>
        <v>0</v>
      </c>
      <c r="O1183">
        <f>IFERROR(IF(VLOOKUP(calendar[[#This Row],[Date]],BH!G:G,1,)&lt;&gt;"",1,0),0)</f>
        <v>0</v>
      </c>
      <c r="P1183">
        <f>IF(OR(calendar[[#This Row],[UK_BH]]=1,calendar[[#This Row],[WeekDay]]=1, calendar[[#This Row],[WeekDay]]=7),P1182,P1182+1)</f>
        <v>845</v>
      </c>
      <c r="Q1183">
        <f>IF(OR(calendar[[#This Row],[FR_BH]]=1,calendar[[#This Row],[WeekDay]]=1, calendar[[#This Row],[WeekDay]]=7),P1182,P1182+1)</f>
        <v>845</v>
      </c>
      <c r="R1183">
        <f>IF(OR(calendar[[#This Row],[SP_BH]]=1,calendar[[#This Row],[WeekDay]]=1, calendar[[#This Row],[WeekDay]]=7),P1182,P1182+1)</f>
        <v>845</v>
      </c>
      <c r="S1183">
        <f>IF(OR(calendar[[#This Row],[PT_BH]]=1,calendar[[#This Row],[WeekDay]]=1, calendar[[#This Row],[WeekDay]]=7),P1182,P1182+1)</f>
        <v>845</v>
      </c>
    </row>
    <row r="1184" spans="1:19" x14ac:dyDescent="0.25">
      <c r="A1184" s="2">
        <v>43918</v>
      </c>
      <c r="B1184" s="1">
        <f t="shared" si="93"/>
        <v>13</v>
      </c>
      <c r="C1184">
        <f t="shared" si="95"/>
        <v>3</v>
      </c>
      <c r="D1184" t="str">
        <f t="shared" si="96"/>
        <v>March</v>
      </c>
      <c r="E1184">
        <f t="shared" si="97"/>
        <v>2020</v>
      </c>
      <c r="F1184" t="str">
        <f>CONCATENATE(calendar[[#This Row],[Month]],"/",calendar[[#This Row],[Year]])</f>
        <v>3/2020</v>
      </c>
      <c r="G1184">
        <f>WEEKDAY(calendar[[#This Row],[Date]],1)</f>
        <v>7</v>
      </c>
      <c r="H1184" t="str">
        <f>TEXT(calendar[[#This Row],[WeekDay]],"dddd")</f>
        <v>Saturday</v>
      </c>
      <c r="I1184">
        <f>IF((INT(calendar[[#This Row],[Count]]/7)-calendar[[#This Row],[Count]]/7)&lt;0,I1183,I1183+1)</f>
        <v>169</v>
      </c>
      <c r="J1184">
        <f t="shared" si="94"/>
        <v>1182</v>
      </c>
      <c r="K1184">
        <f>IF(calendar[[#This Row],[Month]]&lt;4,1,IF(calendar[[#This Row],[Month]]&lt;7,2,IF(calendar[[#This Row],[Month]]&lt;10,3,4)))</f>
        <v>1</v>
      </c>
      <c r="L1184">
        <f>IFERROR(IF(VLOOKUP(calendar[[#This Row],[Date]],BH!A:A,1,)&lt;&gt;"",1,0),0)</f>
        <v>0</v>
      </c>
      <c r="M1184">
        <f>IFERROR(IF(VLOOKUP(calendar[[#This Row],[Date]],BH!C:C,1,)&lt;&gt;"",1,0),0)</f>
        <v>0</v>
      </c>
      <c r="N1184">
        <f>IFERROR(IF(VLOOKUP(calendar[[#This Row],[Date]],BH!E:E,1,)&lt;&gt;"",1,0),0)</f>
        <v>0</v>
      </c>
      <c r="O1184">
        <f>IFERROR(IF(VLOOKUP(calendar[[#This Row],[Date]],BH!G:G,1,)&lt;&gt;"",1,0),0)</f>
        <v>0</v>
      </c>
      <c r="P1184">
        <f>IF(OR(calendar[[#This Row],[UK_BH]]=1,calendar[[#This Row],[WeekDay]]=1, calendar[[#This Row],[WeekDay]]=7),P1183,P1183+1)</f>
        <v>845</v>
      </c>
      <c r="Q1184">
        <f>IF(OR(calendar[[#This Row],[FR_BH]]=1,calendar[[#This Row],[WeekDay]]=1, calendar[[#This Row],[WeekDay]]=7),P1183,P1183+1)</f>
        <v>845</v>
      </c>
      <c r="R1184">
        <f>IF(OR(calendar[[#This Row],[SP_BH]]=1,calendar[[#This Row],[WeekDay]]=1, calendar[[#This Row],[WeekDay]]=7),P1183,P1183+1)</f>
        <v>845</v>
      </c>
      <c r="S1184">
        <f>IF(OR(calendar[[#This Row],[PT_BH]]=1,calendar[[#This Row],[WeekDay]]=1, calendar[[#This Row],[WeekDay]]=7),P1183,P1183+1)</f>
        <v>845</v>
      </c>
    </row>
    <row r="1185" spans="1:19" x14ac:dyDescent="0.25">
      <c r="A1185" s="2">
        <v>43919</v>
      </c>
      <c r="B1185" s="1">
        <f t="shared" si="93"/>
        <v>14</v>
      </c>
      <c r="C1185">
        <f t="shared" si="95"/>
        <v>3</v>
      </c>
      <c r="D1185" t="str">
        <f t="shared" si="96"/>
        <v>March</v>
      </c>
      <c r="E1185">
        <f t="shared" si="97"/>
        <v>2020</v>
      </c>
      <c r="F1185" t="str">
        <f>CONCATENATE(calendar[[#This Row],[Month]],"/",calendar[[#This Row],[Year]])</f>
        <v>3/2020</v>
      </c>
      <c r="G1185">
        <f>WEEKDAY(calendar[[#This Row],[Date]],1)</f>
        <v>1</v>
      </c>
      <c r="H1185" t="str">
        <f>TEXT(calendar[[#This Row],[WeekDay]],"dddd")</f>
        <v>Sunday</v>
      </c>
      <c r="I1185">
        <f>IF((INT(calendar[[#This Row],[Count]]/7)-calendar[[#This Row],[Count]]/7)&lt;0,I1184,I1184+1)</f>
        <v>170</v>
      </c>
      <c r="J1185">
        <f t="shared" si="94"/>
        <v>1183</v>
      </c>
      <c r="K1185">
        <f>IF(calendar[[#This Row],[Month]]&lt;4,1,IF(calendar[[#This Row],[Month]]&lt;7,2,IF(calendar[[#This Row],[Month]]&lt;10,3,4)))</f>
        <v>1</v>
      </c>
      <c r="L1185">
        <f>IFERROR(IF(VLOOKUP(calendar[[#This Row],[Date]],BH!A:A,1,)&lt;&gt;"",1,0),0)</f>
        <v>0</v>
      </c>
      <c r="M1185">
        <f>IFERROR(IF(VLOOKUP(calendar[[#This Row],[Date]],BH!C:C,1,)&lt;&gt;"",1,0),0)</f>
        <v>0</v>
      </c>
      <c r="N1185">
        <f>IFERROR(IF(VLOOKUP(calendar[[#This Row],[Date]],BH!E:E,1,)&lt;&gt;"",1,0),0)</f>
        <v>0</v>
      </c>
      <c r="O1185">
        <f>IFERROR(IF(VLOOKUP(calendar[[#This Row],[Date]],BH!G:G,1,)&lt;&gt;"",1,0),0)</f>
        <v>0</v>
      </c>
      <c r="P1185">
        <f>IF(OR(calendar[[#This Row],[UK_BH]]=1,calendar[[#This Row],[WeekDay]]=1, calendar[[#This Row],[WeekDay]]=7),P1184,P1184+1)</f>
        <v>845</v>
      </c>
      <c r="Q1185">
        <f>IF(OR(calendar[[#This Row],[FR_BH]]=1,calendar[[#This Row],[WeekDay]]=1, calendar[[#This Row],[WeekDay]]=7),P1184,P1184+1)</f>
        <v>845</v>
      </c>
      <c r="R1185">
        <f>IF(OR(calendar[[#This Row],[SP_BH]]=1,calendar[[#This Row],[WeekDay]]=1, calendar[[#This Row],[WeekDay]]=7),P1184,P1184+1)</f>
        <v>845</v>
      </c>
      <c r="S1185">
        <f>IF(OR(calendar[[#This Row],[PT_BH]]=1,calendar[[#This Row],[WeekDay]]=1, calendar[[#This Row],[WeekDay]]=7),P1184,P1184+1)</f>
        <v>845</v>
      </c>
    </row>
    <row r="1186" spans="1:19" x14ac:dyDescent="0.25">
      <c r="A1186" s="2">
        <v>43920</v>
      </c>
      <c r="B1186" s="1">
        <f t="shared" si="93"/>
        <v>14</v>
      </c>
      <c r="C1186">
        <f t="shared" si="95"/>
        <v>3</v>
      </c>
      <c r="D1186" t="str">
        <f t="shared" si="96"/>
        <v>March</v>
      </c>
      <c r="E1186">
        <f t="shared" si="97"/>
        <v>2020</v>
      </c>
      <c r="F1186" t="str">
        <f>CONCATENATE(calendar[[#This Row],[Month]],"/",calendar[[#This Row],[Year]])</f>
        <v>3/2020</v>
      </c>
      <c r="G1186">
        <f>WEEKDAY(calendar[[#This Row],[Date]],1)</f>
        <v>2</v>
      </c>
      <c r="H1186" t="str">
        <f>TEXT(calendar[[#This Row],[WeekDay]],"dddd")</f>
        <v>Monday</v>
      </c>
      <c r="I1186">
        <f>IF((INT(calendar[[#This Row],[Count]]/7)-calendar[[#This Row],[Count]]/7)&lt;0,I1185,I1185+1)</f>
        <v>170</v>
      </c>
      <c r="J1186">
        <f t="shared" si="94"/>
        <v>1184</v>
      </c>
      <c r="K1186">
        <f>IF(calendar[[#This Row],[Month]]&lt;4,1,IF(calendar[[#This Row],[Month]]&lt;7,2,IF(calendar[[#This Row],[Month]]&lt;10,3,4)))</f>
        <v>1</v>
      </c>
      <c r="L1186">
        <f>IFERROR(IF(VLOOKUP(calendar[[#This Row],[Date]],BH!A:A,1,)&lt;&gt;"",1,0),0)</f>
        <v>0</v>
      </c>
      <c r="M1186">
        <f>IFERROR(IF(VLOOKUP(calendar[[#This Row],[Date]],BH!C:C,1,)&lt;&gt;"",1,0),0)</f>
        <v>0</v>
      </c>
      <c r="N1186">
        <f>IFERROR(IF(VLOOKUP(calendar[[#This Row],[Date]],BH!E:E,1,)&lt;&gt;"",1,0),0)</f>
        <v>0</v>
      </c>
      <c r="O1186">
        <f>IFERROR(IF(VLOOKUP(calendar[[#This Row],[Date]],BH!G:G,1,)&lt;&gt;"",1,0),0)</f>
        <v>0</v>
      </c>
      <c r="P1186">
        <f>IF(OR(calendar[[#This Row],[UK_BH]]=1,calendar[[#This Row],[WeekDay]]=1, calendar[[#This Row],[WeekDay]]=7),P1185,P1185+1)</f>
        <v>846</v>
      </c>
      <c r="Q1186">
        <f>IF(OR(calendar[[#This Row],[FR_BH]]=1,calendar[[#This Row],[WeekDay]]=1, calendar[[#This Row],[WeekDay]]=7),P1185,P1185+1)</f>
        <v>846</v>
      </c>
      <c r="R1186">
        <f>IF(OR(calendar[[#This Row],[SP_BH]]=1,calendar[[#This Row],[WeekDay]]=1, calendar[[#This Row],[WeekDay]]=7),P1185,P1185+1)</f>
        <v>846</v>
      </c>
      <c r="S1186">
        <f>IF(OR(calendar[[#This Row],[PT_BH]]=1,calendar[[#This Row],[WeekDay]]=1, calendar[[#This Row],[WeekDay]]=7),P1185,P1185+1)</f>
        <v>846</v>
      </c>
    </row>
    <row r="1187" spans="1:19" x14ac:dyDescent="0.25">
      <c r="A1187" s="2">
        <v>43921</v>
      </c>
      <c r="B1187" s="1">
        <f t="shared" si="93"/>
        <v>14</v>
      </c>
      <c r="C1187">
        <f t="shared" si="95"/>
        <v>3</v>
      </c>
      <c r="D1187" t="str">
        <f t="shared" si="96"/>
        <v>March</v>
      </c>
      <c r="E1187">
        <f t="shared" si="97"/>
        <v>2020</v>
      </c>
      <c r="F1187" t="str">
        <f>CONCATENATE(calendar[[#This Row],[Month]],"/",calendar[[#This Row],[Year]])</f>
        <v>3/2020</v>
      </c>
      <c r="G1187">
        <f>WEEKDAY(calendar[[#This Row],[Date]],1)</f>
        <v>3</v>
      </c>
      <c r="H1187" t="str">
        <f>TEXT(calendar[[#This Row],[WeekDay]],"dddd")</f>
        <v>Tuesday</v>
      </c>
      <c r="I1187">
        <f>IF((INT(calendar[[#This Row],[Count]]/7)-calendar[[#This Row],[Count]]/7)&lt;0,I1186,I1186+1)</f>
        <v>170</v>
      </c>
      <c r="J1187">
        <f t="shared" si="94"/>
        <v>1185</v>
      </c>
      <c r="K1187">
        <f>IF(calendar[[#This Row],[Month]]&lt;4,1,IF(calendar[[#This Row],[Month]]&lt;7,2,IF(calendar[[#This Row],[Month]]&lt;10,3,4)))</f>
        <v>1</v>
      </c>
      <c r="L1187">
        <f>IFERROR(IF(VLOOKUP(calendar[[#This Row],[Date]],BH!A:A,1,)&lt;&gt;"",1,0),0)</f>
        <v>0</v>
      </c>
      <c r="M1187">
        <f>IFERROR(IF(VLOOKUP(calendar[[#This Row],[Date]],BH!C:C,1,)&lt;&gt;"",1,0),0)</f>
        <v>0</v>
      </c>
      <c r="N1187">
        <f>IFERROR(IF(VLOOKUP(calendar[[#This Row],[Date]],BH!E:E,1,)&lt;&gt;"",1,0),0)</f>
        <v>0</v>
      </c>
      <c r="O1187">
        <f>IFERROR(IF(VLOOKUP(calendar[[#This Row],[Date]],BH!G:G,1,)&lt;&gt;"",1,0),0)</f>
        <v>0</v>
      </c>
      <c r="P1187">
        <f>IF(OR(calendar[[#This Row],[UK_BH]]=1,calendar[[#This Row],[WeekDay]]=1, calendar[[#This Row],[WeekDay]]=7),P1186,P1186+1)</f>
        <v>847</v>
      </c>
      <c r="Q1187">
        <f>IF(OR(calendar[[#This Row],[FR_BH]]=1,calendar[[#This Row],[WeekDay]]=1, calendar[[#This Row],[WeekDay]]=7),P1186,P1186+1)</f>
        <v>847</v>
      </c>
      <c r="R1187">
        <f>IF(OR(calendar[[#This Row],[SP_BH]]=1,calendar[[#This Row],[WeekDay]]=1, calendar[[#This Row],[WeekDay]]=7),P1186,P1186+1)</f>
        <v>847</v>
      </c>
      <c r="S1187">
        <f>IF(OR(calendar[[#This Row],[PT_BH]]=1,calendar[[#This Row],[WeekDay]]=1, calendar[[#This Row],[WeekDay]]=7),P1186,P1186+1)</f>
        <v>847</v>
      </c>
    </row>
    <row r="1188" spans="1:19" x14ac:dyDescent="0.25">
      <c r="A1188" s="2">
        <v>43922</v>
      </c>
      <c r="B1188" s="1">
        <f t="shared" si="93"/>
        <v>14</v>
      </c>
      <c r="C1188">
        <f t="shared" si="95"/>
        <v>4</v>
      </c>
      <c r="D1188" t="str">
        <f t="shared" si="96"/>
        <v>April</v>
      </c>
      <c r="E1188">
        <f t="shared" si="97"/>
        <v>2020</v>
      </c>
      <c r="F1188" t="str">
        <f>CONCATENATE(calendar[[#This Row],[Month]],"/",calendar[[#This Row],[Year]])</f>
        <v>4/2020</v>
      </c>
      <c r="G1188">
        <f>WEEKDAY(calendar[[#This Row],[Date]],1)</f>
        <v>4</v>
      </c>
      <c r="H1188" t="str">
        <f>TEXT(calendar[[#This Row],[WeekDay]],"dddd")</f>
        <v>Wednesday</v>
      </c>
      <c r="I1188">
        <f>IF((INT(calendar[[#This Row],[Count]]/7)-calendar[[#This Row],[Count]]/7)&lt;0,I1187,I1187+1)</f>
        <v>170</v>
      </c>
      <c r="J1188">
        <f t="shared" si="94"/>
        <v>1186</v>
      </c>
      <c r="K1188">
        <f>IF(calendar[[#This Row],[Month]]&lt;4,1,IF(calendar[[#This Row],[Month]]&lt;7,2,IF(calendar[[#This Row],[Month]]&lt;10,3,4)))</f>
        <v>2</v>
      </c>
      <c r="L1188">
        <f>IFERROR(IF(VLOOKUP(calendar[[#This Row],[Date]],BH!A:A,1,)&lt;&gt;"",1,0),0)</f>
        <v>0</v>
      </c>
      <c r="M1188">
        <f>IFERROR(IF(VLOOKUP(calendar[[#This Row],[Date]],BH!C:C,1,)&lt;&gt;"",1,0),0)</f>
        <v>0</v>
      </c>
      <c r="N1188">
        <f>IFERROR(IF(VLOOKUP(calendar[[#This Row],[Date]],BH!E:E,1,)&lt;&gt;"",1,0),0)</f>
        <v>0</v>
      </c>
      <c r="O1188">
        <f>IFERROR(IF(VLOOKUP(calendar[[#This Row],[Date]],BH!G:G,1,)&lt;&gt;"",1,0),0)</f>
        <v>0</v>
      </c>
      <c r="P1188">
        <f>IF(OR(calendar[[#This Row],[UK_BH]]=1,calendar[[#This Row],[WeekDay]]=1, calendar[[#This Row],[WeekDay]]=7),P1187,P1187+1)</f>
        <v>848</v>
      </c>
      <c r="Q1188">
        <f>IF(OR(calendar[[#This Row],[FR_BH]]=1,calendar[[#This Row],[WeekDay]]=1, calendar[[#This Row],[WeekDay]]=7),P1187,P1187+1)</f>
        <v>848</v>
      </c>
      <c r="R1188">
        <f>IF(OR(calendar[[#This Row],[SP_BH]]=1,calendar[[#This Row],[WeekDay]]=1, calendar[[#This Row],[WeekDay]]=7),P1187,P1187+1)</f>
        <v>848</v>
      </c>
      <c r="S1188">
        <f>IF(OR(calendar[[#This Row],[PT_BH]]=1,calendar[[#This Row],[WeekDay]]=1, calendar[[#This Row],[WeekDay]]=7),P1187,P1187+1)</f>
        <v>848</v>
      </c>
    </row>
    <row r="1189" spans="1:19" x14ac:dyDescent="0.25">
      <c r="A1189" s="2">
        <v>43923</v>
      </c>
      <c r="B1189" s="1">
        <f t="shared" si="93"/>
        <v>14</v>
      </c>
      <c r="C1189">
        <f t="shared" si="95"/>
        <v>4</v>
      </c>
      <c r="D1189" t="str">
        <f t="shared" si="96"/>
        <v>April</v>
      </c>
      <c r="E1189">
        <f t="shared" si="97"/>
        <v>2020</v>
      </c>
      <c r="F1189" t="str">
        <f>CONCATENATE(calendar[[#This Row],[Month]],"/",calendar[[#This Row],[Year]])</f>
        <v>4/2020</v>
      </c>
      <c r="G1189">
        <f>WEEKDAY(calendar[[#This Row],[Date]],1)</f>
        <v>5</v>
      </c>
      <c r="H1189" t="str">
        <f>TEXT(calendar[[#This Row],[WeekDay]],"dddd")</f>
        <v>Thursday</v>
      </c>
      <c r="I1189">
        <f>IF((INT(calendar[[#This Row],[Count]]/7)-calendar[[#This Row],[Count]]/7)&lt;0,I1188,I1188+1)</f>
        <v>170</v>
      </c>
      <c r="J1189">
        <f t="shared" si="94"/>
        <v>1187</v>
      </c>
      <c r="K1189">
        <f>IF(calendar[[#This Row],[Month]]&lt;4,1,IF(calendar[[#This Row],[Month]]&lt;7,2,IF(calendar[[#This Row],[Month]]&lt;10,3,4)))</f>
        <v>2</v>
      </c>
      <c r="L1189">
        <f>IFERROR(IF(VLOOKUP(calendar[[#This Row],[Date]],BH!A:A,1,)&lt;&gt;"",1,0),0)</f>
        <v>0</v>
      </c>
      <c r="M1189">
        <f>IFERROR(IF(VLOOKUP(calendar[[#This Row],[Date]],BH!C:C,1,)&lt;&gt;"",1,0),0)</f>
        <v>0</v>
      </c>
      <c r="N1189">
        <f>IFERROR(IF(VLOOKUP(calendar[[#This Row],[Date]],BH!E:E,1,)&lt;&gt;"",1,0),0)</f>
        <v>0</v>
      </c>
      <c r="O1189">
        <f>IFERROR(IF(VLOOKUP(calendar[[#This Row],[Date]],BH!G:G,1,)&lt;&gt;"",1,0),0)</f>
        <v>0</v>
      </c>
      <c r="P1189">
        <f>IF(OR(calendar[[#This Row],[UK_BH]]=1,calendar[[#This Row],[WeekDay]]=1, calendar[[#This Row],[WeekDay]]=7),P1188,P1188+1)</f>
        <v>849</v>
      </c>
      <c r="Q1189">
        <f>IF(OR(calendar[[#This Row],[FR_BH]]=1,calendar[[#This Row],[WeekDay]]=1, calendar[[#This Row],[WeekDay]]=7),P1188,P1188+1)</f>
        <v>849</v>
      </c>
      <c r="R1189">
        <f>IF(OR(calendar[[#This Row],[SP_BH]]=1,calendar[[#This Row],[WeekDay]]=1, calendar[[#This Row],[WeekDay]]=7),P1188,P1188+1)</f>
        <v>849</v>
      </c>
      <c r="S1189">
        <f>IF(OR(calendar[[#This Row],[PT_BH]]=1,calendar[[#This Row],[WeekDay]]=1, calendar[[#This Row],[WeekDay]]=7),P1188,P1188+1)</f>
        <v>849</v>
      </c>
    </row>
    <row r="1190" spans="1:19" x14ac:dyDescent="0.25">
      <c r="A1190" s="2">
        <v>43924</v>
      </c>
      <c r="B1190" s="1">
        <f t="shared" si="93"/>
        <v>14</v>
      </c>
      <c r="C1190">
        <f t="shared" si="95"/>
        <v>4</v>
      </c>
      <c r="D1190" t="str">
        <f t="shared" si="96"/>
        <v>April</v>
      </c>
      <c r="E1190">
        <f t="shared" si="97"/>
        <v>2020</v>
      </c>
      <c r="F1190" t="str">
        <f>CONCATENATE(calendar[[#This Row],[Month]],"/",calendar[[#This Row],[Year]])</f>
        <v>4/2020</v>
      </c>
      <c r="G1190">
        <f>WEEKDAY(calendar[[#This Row],[Date]],1)</f>
        <v>6</v>
      </c>
      <c r="H1190" t="str">
        <f>TEXT(calendar[[#This Row],[WeekDay]],"dddd")</f>
        <v>Friday</v>
      </c>
      <c r="I1190">
        <f>IF((INT(calendar[[#This Row],[Count]]/7)-calendar[[#This Row],[Count]]/7)&lt;0,I1189,I1189+1)</f>
        <v>170</v>
      </c>
      <c r="J1190">
        <f t="shared" si="94"/>
        <v>1188</v>
      </c>
      <c r="K1190">
        <f>IF(calendar[[#This Row],[Month]]&lt;4,1,IF(calendar[[#This Row],[Month]]&lt;7,2,IF(calendar[[#This Row],[Month]]&lt;10,3,4)))</f>
        <v>2</v>
      </c>
      <c r="L1190">
        <f>IFERROR(IF(VLOOKUP(calendar[[#This Row],[Date]],BH!A:A,1,)&lt;&gt;"",1,0),0)</f>
        <v>0</v>
      </c>
      <c r="M1190">
        <f>IFERROR(IF(VLOOKUP(calendar[[#This Row],[Date]],BH!C:C,1,)&lt;&gt;"",1,0),0)</f>
        <v>0</v>
      </c>
      <c r="N1190">
        <f>IFERROR(IF(VLOOKUP(calendar[[#This Row],[Date]],BH!E:E,1,)&lt;&gt;"",1,0),0)</f>
        <v>0</v>
      </c>
      <c r="O1190">
        <f>IFERROR(IF(VLOOKUP(calendar[[#This Row],[Date]],BH!G:G,1,)&lt;&gt;"",1,0),0)</f>
        <v>0</v>
      </c>
      <c r="P1190">
        <f>IF(OR(calendar[[#This Row],[UK_BH]]=1,calendar[[#This Row],[WeekDay]]=1, calendar[[#This Row],[WeekDay]]=7),P1189,P1189+1)</f>
        <v>850</v>
      </c>
      <c r="Q1190">
        <f>IF(OR(calendar[[#This Row],[FR_BH]]=1,calendar[[#This Row],[WeekDay]]=1, calendar[[#This Row],[WeekDay]]=7),P1189,P1189+1)</f>
        <v>850</v>
      </c>
      <c r="R1190">
        <f>IF(OR(calendar[[#This Row],[SP_BH]]=1,calendar[[#This Row],[WeekDay]]=1, calendar[[#This Row],[WeekDay]]=7),P1189,P1189+1)</f>
        <v>850</v>
      </c>
      <c r="S1190">
        <f>IF(OR(calendar[[#This Row],[PT_BH]]=1,calendar[[#This Row],[WeekDay]]=1, calendar[[#This Row],[WeekDay]]=7),P1189,P1189+1)</f>
        <v>850</v>
      </c>
    </row>
    <row r="1191" spans="1:19" x14ac:dyDescent="0.25">
      <c r="A1191" s="2">
        <v>43925</v>
      </c>
      <c r="B1191" s="1">
        <f t="shared" si="93"/>
        <v>14</v>
      </c>
      <c r="C1191">
        <f t="shared" si="95"/>
        <v>4</v>
      </c>
      <c r="D1191" t="str">
        <f t="shared" si="96"/>
        <v>April</v>
      </c>
      <c r="E1191">
        <f t="shared" si="97"/>
        <v>2020</v>
      </c>
      <c r="F1191" t="str">
        <f>CONCATENATE(calendar[[#This Row],[Month]],"/",calendar[[#This Row],[Year]])</f>
        <v>4/2020</v>
      </c>
      <c r="G1191">
        <f>WEEKDAY(calendar[[#This Row],[Date]],1)</f>
        <v>7</v>
      </c>
      <c r="H1191" t="str">
        <f>TEXT(calendar[[#This Row],[WeekDay]],"dddd")</f>
        <v>Saturday</v>
      </c>
      <c r="I1191">
        <f>IF((INT(calendar[[#This Row],[Count]]/7)-calendar[[#This Row],[Count]]/7)&lt;0,I1190,I1190+1)</f>
        <v>170</v>
      </c>
      <c r="J1191">
        <f t="shared" si="94"/>
        <v>1189</v>
      </c>
      <c r="K1191">
        <f>IF(calendar[[#This Row],[Month]]&lt;4,1,IF(calendar[[#This Row],[Month]]&lt;7,2,IF(calendar[[#This Row],[Month]]&lt;10,3,4)))</f>
        <v>2</v>
      </c>
      <c r="L1191">
        <f>IFERROR(IF(VLOOKUP(calendar[[#This Row],[Date]],BH!A:A,1,)&lt;&gt;"",1,0),0)</f>
        <v>0</v>
      </c>
      <c r="M1191">
        <f>IFERROR(IF(VLOOKUP(calendar[[#This Row],[Date]],BH!C:C,1,)&lt;&gt;"",1,0),0)</f>
        <v>0</v>
      </c>
      <c r="N1191">
        <f>IFERROR(IF(VLOOKUP(calendar[[#This Row],[Date]],BH!E:E,1,)&lt;&gt;"",1,0),0)</f>
        <v>0</v>
      </c>
      <c r="O1191">
        <f>IFERROR(IF(VLOOKUP(calendar[[#This Row],[Date]],BH!G:G,1,)&lt;&gt;"",1,0),0)</f>
        <v>0</v>
      </c>
      <c r="P1191">
        <f>IF(OR(calendar[[#This Row],[UK_BH]]=1,calendar[[#This Row],[WeekDay]]=1, calendar[[#This Row],[WeekDay]]=7),P1190,P1190+1)</f>
        <v>850</v>
      </c>
      <c r="Q1191">
        <f>IF(OR(calendar[[#This Row],[FR_BH]]=1,calendar[[#This Row],[WeekDay]]=1, calendar[[#This Row],[WeekDay]]=7),P1190,P1190+1)</f>
        <v>850</v>
      </c>
      <c r="R1191">
        <f>IF(OR(calendar[[#This Row],[SP_BH]]=1,calendar[[#This Row],[WeekDay]]=1, calendar[[#This Row],[WeekDay]]=7),P1190,P1190+1)</f>
        <v>850</v>
      </c>
      <c r="S1191">
        <f>IF(OR(calendar[[#This Row],[PT_BH]]=1,calendar[[#This Row],[WeekDay]]=1, calendar[[#This Row],[WeekDay]]=7),P1190,P1190+1)</f>
        <v>850</v>
      </c>
    </row>
    <row r="1192" spans="1:19" x14ac:dyDescent="0.25">
      <c r="A1192" s="2">
        <v>43926</v>
      </c>
      <c r="B1192" s="1">
        <f t="shared" si="93"/>
        <v>15</v>
      </c>
      <c r="C1192">
        <f t="shared" si="95"/>
        <v>4</v>
      </c>
      <c r="D1192" t="str">
        <f t="shared" si="96"/>
        <v>April</v>
      </c>
      <c r="E1192">
        <f t="shared" si="97"/>
        <v>2020</v>
      </c>
      <c r="F1192" t="str">
        <f>CONCATENATE(calendar[[#This Row],[Month]],"/",calendar[[#This Row],[Year]])</f>
        <v>4/2020</v>
      </c>
      <c r="G1192">
        <f>WEEKDAY(calendar[[#This Row],[Date]],1)</f>
        <v>1</v>
      </c>
      <c r="H1192" t="str">
        <f>TEXT(calendar[[#This Row],[WeekDay]],"dddd")</f>
        <v>Sunday</v>
      </c>
      <c r="I1192">
        <f>IF((INT(calendar[[#This Row],[Count]]/7)-calendar[[#This Row],[Count]]/7)&lt;0,I1191,I1191+1)</f>
        <v>171</v>
      </c>
      <c r="J1192">
        <f t="shared" si="94"/>
        <v>1190</v>
      </c>
      <c r="K1192">
        <f>IF(calendar[[#This Row],[Month]]&lt;4,1,IF(calendar[[#This Row],[Month]]&lt;7,2,IF(calendar[[#This Row],[Month]]&lt;10,3,4)))</f>
        <v>2</v>
      </c>
      <c r="L1192">
        <f>IFERROR(IF(VLOOKUP(calendar[[#This Row],[Date]],BH!A:A,1,)&lt;&gt;"",1,0),0)</f>
        <v>0</v>
      </c>
      <c r="M1192">
        <f>IFERROR(IF(VLOOKUP(calendar[[#This Row],[Date]],BH!C:C,1,)&lt;&gt;"",1,0),0)</f>
        <v>0</v>
      </c>
      <c r="N1192">
        <f>IFERROR(IF(VLOOKUP(calendar[[#This Row],[Date]],BH!E:E,1,)&lt;&gt;"",1,0),0)</f>
        <v>0</v>
      </c>
      <c r="O1192">
        <f>IFERROR(IF(VLOOKUP(calendar[[#This Row],[Date]],BH!G:G,1,)&lt;&gt;"",1,0),0)</f>
        <v>0</v>
      </c>
      <c r="P1192">
        <f>IF(OR(calendar[[#This Row],[UK_BH]]=1,calendar[[#This Row],[WeekDay]]=1, calendar[[#This Row],[WeekDay]]=7),P1191,P1191+1)</f>
        <v>850</v>
      </c>
      <c r="Q1192">
        <f>IF(OR(calendar[[#This Row],[FR_BH]]=1,calendar[[#This Row],[WeekDay]]=1, calendar[[#This Row],[WeekDay]]=7),P1191,P1191+1)</f>
        <v>850</v>
      </c>
      <c r="R1192">
        <f>IF(OR(calendar[[#This Row],[SP_BH]]=1,calendar[[#This Row],[WeekDay]]=1, calendar[[#This Row],[WeekDay]]=7),P1191,P1191+1)</f>
        <v>850</v>
      </c>
      <c r="S1192">
        <f>IF(OR(calendar[[#This Row],[PT_BH]]=1,calendar[[#This Row],[WeekDay]]=1, calendar[[#This Row],[WeekDay]]=7),P1191,P1191+1)</f>
        <v>850</v>
      </c>
    </row>
    <row r="1193" spans="1:19" x14ac:dyDescent="0.25">
      <c r="A1193" s="2">
        <v>43927</v>
      </c>
      <c r="B1193" s="1">
        <f t="shared" si="93"/>
        <v>15</v>
      </c>
      <c r="C1193">
        <f t="shared" si="95"/>
        <v>4</v>
      </c>
      <c r="D1193" t="str">
        <f t="shared" si="96"/>
        <v>April</v>
      </c>
      <c r="E1193">
        <f t="shared" si="97"/>
        <v>2020</v>
      </c>
      <c r="F1193" t="str">
        <f>CONCATENATE(calendar[[#This Row],[Month]],"/",calendar[[#This Row],[Year]])</f>
        <v>4/2020</v>
      </c>
      <c r="G1193">
        <f>WEEKDAY(calendar[[#This Row],[Date]],1)</f>
        <v>2</v>
      </c>
      <c r="H1193" t="str">
        <f>TEXT(calendar[[#This Row],[WeekDay]],"dddd")</f>
        <v>Monday</v>
      </c>
      <c r="I1193">
        <f>IF((INT(calendar[[#This Row],[Count]]/7)-calendar[[#This Row],[Count]]/7)&lt;0,I1192,I1192+1)</f>
        <v>171</v>
      </c>
      <c r="J1193">
        <f t="shared" si="94"/>
        <v>1191</v>
      </c>
      <c r="K1193">
        <f>IF(calendar[[#This Row],[Month]]&lt;4,1,IF(calendar[[#This Row],[Month]]&lt;7,2,IF(calendar[[#This Row],[Month]]&lt;10,3,4)))</f>
        <v>2</v>
      </c>
      <c r="L1193">
        <f>IFERROR(IF(VLOOKUP(calendar[[#This Row],[Date]],BH!A:A,1,)&lt;&gt;"",1,0),0)</f>
        <v>0</v>
      </c>
      <c r="M1193">
        <f>IFERROR(IF(VLOOKUP(calendar[[#This Row],[Date]],BH!C:C,1,)&lt;&gt;"",1,0),0)</f>
        <v>0</v>
      </c>
      <c r="N1193">
        <f>IFERROR(IF(VLOOKUP(calendar[[#This Row],[Date]],BH!E:E,1,)&lt;&gt;"",1,0),0)</f>
        <v>0</v>
      </c>
      <c r="O1193">
        <f>IFERROR(IF(VLOOKUP(calendar[[#This Row],[Date]],BH!G:G,1,)&lt;&gt;"",1,0),0)</f>
        <v>0</v>
      </c>
      <c r="P1193">
        <f>IF(OR(calendar[[#This Row],[UK_BH]]=1,calendar[[#This Row],[WeekDay]]=1, calendar[[#This Row],[WeekDay]]=7),P1192,P1192+1)</f>
        <v>851</v>
      </c>
      <c r="Q1193">
        <f>IF(OR(calendar[[#This Row],[FR_BH]]=1,calendar[[#This Row],[WeekDay]]=1, calendar[[#This Row],[WeekDay]]=7),P1192,P1192+1)</f>
        <v>851</v>
      </c>
      <c r="R1193">
        <f>IF(OR(calendar[[#This Row],[SP_BH]]=1,calendar[[#This Row],[WeekDay]]=1, calendar[[#This Row],[WeekDay]]=7),P1192,P1192+1)</f>
        <v>851</v>
      </c>
      <c r="S1193">
        <f>IF(OR(calendar[[#This Row],[PT_BH]]=1,calendar[[#This Row],[WeekDay]]=1, calendar[[#This Row],[WeekDay]]=7),P1192,P1192+1)</f>
        <v>851</v>
      </c>
    </row>
    <row r="1194" spans="1:19" x14ac:dyDescent="0.25">
      <c r="A1194" s="2">
        <v>43928</v>
      </c>
      <c r="B1194" s="1">
        <f t="shared" si="93"/>
        <v>15</v>
      </c>
      <c r="C1194">
        <f t="shared" si="95"/>
        <v>4</v>
      </c>
      <c r="D1194" t="str">
        <f t="shared" si="96"/>
        <v>April</v>
      </c>
      <c r="E1194">
        <f t="shared" si="97"/>
        <v>2020</v>
      </c>
      <c r="F1194" t="str">
        <f>CONCATENATE(calendar[[#This Row],[Month]],"/",calendar[[#This Row],[Year]])</f>
        <v>4/2020</v>
      </c>
      <c r="G1194">
        <f>WEEKDAY(calendar[[#This Row],[Date]],1)</f>
        <v>3</v>
      </c>
      <c r="H1194" t="str">
        <f>TEXT(calendar[[#This Row],[WeekDay]],"dddd")</f>
        <v>Tuesday</v>
      </c>
      <c r="I1194">
        <f>IF((INT(calendar[[#This Row],[Count]]/7)-calendar[[#This Row],[Count]]/7)&lt;0,I1193,I1193+1)</f>
        <v>171</v>
      </c>
      <c r="J1194">
        <f t="shared" si="94"/>
        <v>1192</v>
      </c>
      <c r="K1194">
        <f>IF(calendar[[#This Row],[Month]]&lt;4,1,IF(calendar[[#This Row],[Month]]&lt;7,2,IF(calendar[[#This Row],[Month]]&lt;10,3,4)))</f>
        <v>2</v>
      </c>
      <c r="L1194">
        <f>IFERROR(IF(VLOOKUP(calendar[[#This Row],[Date]],BH!A:A,1,)&lt;&gt;"",1,0),0)</f>
        <v>0</v>
      </c>
      <c r="M1194">
        <f>IFERROR(IF(VLOOKUP(calendar[[#This Row],[Date]],BH!C:C,1,)&lt;&gt;"",1,0),0)</f>
        <v>0</v>
      </c>
      <c r="N1194">
        <f>IFERROR(IF(VLOOKUP(calendar[[#This Row],[Date]],BH!E:E,1,)&lt;&gt;"",1,0),0)</f>
        <v>0</v>
      </c>
      <c r="O1194">
        <f>IFERROR(IF(VLOOKUP(calendar[[#This Row],[Date]],BH!G:G,1,)&lt;&gt;"",1,0),0)</f>
        <v>0</v>
      </c>
      <c r="P1194">
        <f>IF(OR(calendar[[#This Row],[UK_BH]]=1,calendar[[#This Row],[WeekDay]]=1, calendar[[#This Row],[WeekDay]]=7),P1193,P1193+1)</f>
        <v>852</v>
      </c>
      <c r="Q1194">
        <f>IF(OR(calendar[[#This Row],[FR_BH]]=1,calendar[[#This Row],[WeekDay]]=1, calendar[[#This Row],[WeekDay]]=7),P1193,P1193+1)</f>
        <v>852</v>
      </c>
      <c r="R1194">
        <f>IF(OR(calendar[[#This Row],[SP_BH]]=1,calendar[[#This Row],[WeekDay]]=1, calendar[[#This Row],[WeekDay]]=7),P1193,P1193+1)</f>
        <v>852</v>
      </c>
      <c r="S1194">
        <f>IF(OR(calendar[[#This Row],[PT_BH]]=1,calendar[[#This Row],[WeekDay]]=1, calendar[[#This Row],[WeekDay]]=7),P1193,P1193+1)</f>
        <v>852</v>
      </c>
    </row>
    <row r="1195" spans="1:19" x14ac:dyDescent="0.25">
      <c r="A1195" s="2">
        <v>43929</v>
      </c>
      <c r="B1195" s="1">
        <f t="shared" si="93"/>
        <v>15</v>
      </c>
      <c r="C1195">
        <f t="shared" si="95"/>
        <v>4</v>
      </c>
      <c r="D1195" t="str">
        <f t="shared" si="96"/>
        <v>April</v>
      </c>
      <c r="E1195">
        <f t="shared" si="97"/>
        <v>2020</v>
      </c>
      <c r="F1195" t="str">
        <f>CONCATENATE(calendar[[#This Row],[Month]],"/",calendar[[#This Row],[Year]])</f>
        <v>4/2020</v>
      </c>
      <c r="G1195">
        <f>WEEKDAY(calendar[[#This Row],[Date]],1)</f>
        <v>4</v>
      </c>
      <c r="H1195" t="str">
        <f>TEXT(calendar[[#This Row],[WeekDay]],"dddd")</f>
        <v>Wednesday</v>
      </c>
      <c r="I1195">
        <f>IF((INT(calendar[[#This Row],[Count]]/7)-calendar[[#This Row],[Count]]/7)&lt;0,I1194,I1194+1)</f>
        <v>171</v>
      </c>
      <c r="J1195">
        <f t="shared" si="94"/>
        <v>1193</v>
      </c>
      <c r="K1195">
        <f>IF(calendar[[#This Row],[Month]]&lt;4,1,IF(calendar[[#This Row],[Month]]&lt;7,2,IF(calendar[[#This Row],[Month]]&lt;10,3,4)))</f>
        <v>2</v>
      </c>
      <c r="L1195">
        <f>IFERROR(IF(VLOOKUP(calendar[[#This Row],[Date]],BH!A:A,1,)&lt;&gt;"",1,0),0)</f>
        <v>0</v>
      </c>
      <c r="M1195">
        <f>IFERROR(IF(VLOOKUP(calendar[[#This Row],[Date]],BH!C:C,1,)&lt;&gt;"",1,0),0)</f>
        <v>0</v>
      </c>
      <c r="N1195">
        <f>IFERROR(IF(VLOOKUP(calendar[[#This Row],[Date]],BH!E:E,1,)&lt;&gt;"",1,0),0)</f>
        <v>0</v>
      </c>
      <c r="O1195">
        <f>IFERROR(IF(VLOOKUP(calendar[[#This Row],[Date]],BH!G:G,1,)&lt;&gt;"",1,0),0)</f>
        <v>0</v>
      </c>
      <c r="P1195">
        <f>IF(OR(calendar[[#This Row],[UK_BH]]=1,calendar[[#This Row],[WeekDay]]=1, calendar[[#This Row],[WeekDay]]=7),P1194,P1194+1)</f>
        <v>853</v>
      </c>
      <c r="Q1195">
        <f>IF(OR(calendar[[#This Row],[FR_BH]]=1,calendar[[#This Row],[WeekDay]]=1, calendar[[#This Row],[WeekDay]]=7),P1194,P1194+1)</f>
        <v>853</v>
      </c>
      <c r="R1195">
        <f>IF(OR(calendar[[#This Row],[SP_BH]]=1,calendar[[#This Row],[WeekDay]]=1, calendar[[#This Row],[WeekDay]]=7),P1194,P1194+1)</f>
        <v>853</v>
      </c>
      <c r="S1195">
        <f>IF(OR(calendar[[#This Row],[PT_BH]]=1,calendar[[#This Row],[WeekDay]]=1, calendar[[#This Row],[WeekDay]]=7),P1194,P1194+1)</f>
        <v>853</v>
      </c>
    </row>
    <row r="1196" spans="1:19" x14ac:dyDescent="0.25">
      <c r="A1196" s="2">
        <v>43930</v>
      </c>
      <c r="B1196" s="1">
        <f t="shared" si="93"/>
        <v>15</v>
      </c>
      <c r="C1196">
        <f t="shared" si="95"/>
        <v>4</v>
      </c>
      <c r="D1196" t="str">
        <f t="shared" si="96"/>
        <v>April</v>
      </c>
      <c r="E1196">
        <f t="shared" si="97"/>
        <v>2020</v>
      </c>
      <c r="F1196" t="str">
        <f>CONCATENATE(calendar[[#This Row],[Month]],"/",calendar[[#This Row],[Year]])</f>
        <v>4/2020</v>
      </c>
      <c r="G1196">
        <f>WEEKDAY(calendar[[#This Row],[Date]],1)</f>
        <v>5</v>
      </c>
      <c r="H1196" t="str">
        <f>TEXT(calendar[[#This Row],[WeekDay]],"dddd")</f>
        <v>Thursday</v>
      </c>
      <c r="I1196">
        <f>IF((INT(calendar[[#This Row],[Count]]/7)-calendar[[#This Row],[Count]]/7)&lt;0,I1195,I1195+1)</f>
        <v>171</v>
      </c>
      <c r="J1196">
        <f t="shared" si="94"/>
        <v>1194</v>
      </c>
      <c r="K1196">
        <f>IF(calendar[[#This Row],[Month]]&lt;4,1,IF(calendar[[#This Row],[Month]]&lt;7,2,IF(calendar[[#This Row],[Month]]&lt;10,3,4)))</f>
        <v>2</v>
      </c>
      <c r="L1196">
        <f>IFERROR(IF(VLOOKUP(calendar[[#This Row],[Date]],BH!A:A,1,)&lt;&gt;"",1,0),0)</f>
        <v>0</v>
      </c>
      <c r="M1196">
        <f>IFERROR(IF(VLOOKUP(calendar[[#This Row],[Date]],BH!C:C,1,)&lt;&gt;"",1,0),0)</f>
        <v>0</v>
      </c>
      <c r="N1196">
        <f>IFERROR(IF(VLOOKUP(calendar[[#This Row],[Date]],BH!E:E,1,)&lt;&gt;"",1,0),0)</f>
        <v>0</v>
      </c>
      <c r="O1196">
        <f>IFERROR(IF(VLOOKUP(calendar[[#This Row],[Date]],BH!G:G,1,)&lt;&gt;"",1,0),0)</f>
        <v>0</v>
      </c>
      <c r="P1196">
        <f>IF(OR(calendar[[#This Row],[UK_BH]]=1,calendar[[#This Row],[WeekDay]]=1, calendar[[#This Row],[WeekDay]]=7),P1195,P1195+1)</f>
        <v>854</v>
      </c>
      <c r="Q1196">
        <f>IF(OR(calendar[[#This Row],[FR_BH]]=1,calendar[[#This Row],[WeekDay]]=1, calendar[[#This Row],[WeekDay]]=7),P1195,P1195+1)</f>
        <v>854</v>
      </c>
      <c r="R1196">
        <f>IF(OR(calendar[[#This Row],[SP_BH]]=1,calendar[[#This Row],[WeekDay]]=1, calendar[[#This Row],[WeekDay]]=7),P1195,P1195+1)</f>
        <v>854</v>
      </c>
      <c r="S1196">
        <f>IF(OR(calendar[[#This Row],[PT_BH]]=1,calendar[[#This Row],[WeekDay]]=1, calendar[[#This Row],[WeekDay]]=7),P1195,P1195+1)</f>
        <v>854</v>
      </c>
    </row>
    <row r="1197" spans="1:19" x14ac:dyDescent="0.25">
      <c r="A1197" s="2">
        <v>43931</v>
      </c>
      <c r="B1197" s="1">
        <f t="shared" si="93"/>
        <v>15</v>
      </c>
      <c r="C1197">
        <f t="shared" si="95"/>
        <v>4</v>
      </c>
      <c r="D1197" t="str">
        <f t="shared" si="96"/>
        <v>April</v>
      </c>
      <c r="E1197">
        <f t="shared" si="97"/>
        <v>2020</v>
      </c>
      <c r="F1197" t="str">
        <f>CONCATENATE(calendar[[#This Row],[Month]],"/",calendar[[#This Row],[Year]])</f>
        <v>4/2020</v>
      </c>
      <c r="G1197">
        <f>WEEKDAY(calendar[[#This Row],[Date]],1)</f>
        <v>6</v>
      </c>
      <c r="H1197" t="str">
        <f>TEXT(calendar[[#This Row],[WeekDay]],"dddd")</f>
        <v>Friday</v>
      </c>
      <c r="I1197">
        <f>IF((INT(calendar[[#This Row],[Count]]/7)-calendar[[#This Row],[Count]]/7)&lt;0,I1196,I1196+1)</f>
        <v>171</v>
      </c>
      <c r="J1197">
        <f t="shared" si="94"/>
        <v>1195</v>
      </c>
      <c r="K1197">
        <f>IF(calendar[[#This Row],[Month]]&lt;4,1,IF(calendar[[#This Row],[Month]]&lt;7,2,IF(calendar[[#This Row],[Month]]&lt;10,3,4)))</f>
        <v>2</v>
      </c>
      <c r="L1197">
        <f>IFERROR(IF(VLOOKUP(calendar[[#This Row],[Date]],BH!A:A,1,)&lt;&gt;"",1,0),0)</f>
        <v>0</v>
      </c>
      <c r="M1197">
        <f>IFERROR(IF(VLOOKUP(calendar[[#This Row],[Date]],BH!C:C,1,)&lt;&gt;"",1,0),0)</f>
        <v>0</v>
      </c>
      <c r="N1197">
        <f>IFERROR(IF(VLOOKUP(calendar[[#This Row],[Date]],BH!E:E,1,)&lt;&gt;"",1,0),0)</f>
        <v>0</v>
      </c>
      <c r="O1197">
        <f>IFERROR(IF(VLOOKUP(calendar[[#This Row],[Date]],BH!G:G,1,)&lt;&gt;"",1,0),0)</f>
        <v>0</v>
      </c>
      <c r="P1197">
        <f>IF(OR(calendar[[#This Row],[UK_BH]]=1,calendar[[#This Row],[WeekDay]]=1, calendar[[#This Row],[WeekDay]]=7),P1196,P1196+1)</f>
        <v>855</v>
      </c>
      <c r="Q1197">
        <f>IF(OR(calendar[[#This Row],[FR_BH]]=1,calendar[[#This Row],[WeekDay]]=1, calendar[[#This Row],[WeekDay]]=7),P1196,P1196+1)</f>
        <v>855</v>
      </c>
      <c r="R1197">
        <f>IF(OR(calendar[[#This Row],[SP_BH]]=1,calendar[[#This Row],[WeekDay]]=1, calendar[[#This Row],[WeekDay]]=7),P1196,P1196+1)</f>
        <v>855</v>
      </c>
      <c r="S1197">
        <f>IF(OR(calendar[[#This Row],[PT_BH]]=1,calendar[[#This Row],[WeekDay]]=1, calendar[[#This Row],[WeekDay]]=7),P1196,P1196+1)</f>
        <v>855</v>
      </c>
    </row>
    <row r="1198" spans="1:19" x14ac:dyDescent="0.25">
      <c r="A1198" s="2">
        <v>43932</v>
      </c>
      <c r="B1198" s="1">
        <f t="shared" si="93"/>
        <v>15</v>
      </c>
      <c r="C1198">
        <f t="shared" si="95"/>
        <v>4</v>
      </c>
      <c r="D1198" t="str">
        <f t="shared" si="96"/>
        <v>April</v>
      </c>
      <c r="E1198">
        <f t="shared" si="97"/>
        <v>2020</v>
      </c>
      <c r="F1198" t="str">
        <f>CONCATENATE(calendar[[#This Row],[Month]],"/",calendar[[#This Row],[Year]])</f>
        <v>4/2020</v>
      </c>
      <c r="G1198">
        <f>WEEKDAY(calendar[[#This Row],[Date]],1)</f>
        <v>7</v>
      </c>
      <c r="H1198" t="str">
        <f>TEXT(calendar[[#This Row],[WeekDay]],"dddd")</f>
        <v>Saturday</v>
      </c>
      <c r="I1198">
        <f>IF((INT(calendar[[#This Row],[Count]]/7)-calendar[[#This Row],[Count]]/7)&lt;0,I1197,I1197+1)</f>
        <v>171</v>
      </c>
      <c r="J1198">
        <f t="shared" si="94"/>
        <v>1196</v>
      </c>
      <c r="K1198">
        <f>IF(calendar[[#This Row],[Month]]&lt;4,1,IF(calendar[[#This Row],[Month]]&lt;7,2,IF(calendar[[#This Row],[Month]]&lt;10,3,4)))</f>
        <v>2</v>
      </c>
      <c r="L1198">
        <f>IFERROR(IF(VLOOKUP(calendar[[#This Row],[Date]],BH!A:A,1,)&lt;&gt;"",1,0),0)</f>
        <v>0</v>
      </c>
      <c r="M1198">
        <f>IFERROR(IF(VLOOKUP(calendar[[#This Row],[Date]],BH!C:C,1,)&lt;&gt;"",1,0),0)</f>
        <v>0</v>
      </c>
      <c r="N1198">
        <f>IFERROR(IF(VLOOKUP(calendar[[#This Row],[Date]],BH!E:E,1,)&lt;&gt;"",1,0),0)</f>
        <v>0</v>
      </c>
      <c r="O1198">
        <f>IFERROR(IF(VLOOKUP(calendar[[#This Row],[Date]],BH!G:G,1,)&lt;&gt;"",1,0),0)</f>
        <v>0</v>
      </c>
      <c r="P1198">
        <f>IF(OR(calendar[[#This Row],[UK_BH]]=1,calendar[[#This Row],[WeekDay]]=1, calendar[[#This Row],[WeekDay]]=7),P1197,P1197+1)</f>
        <v>855</v>
      </c>
      <c r="Q1198">
        <f>IF(OR(calendar[[#This Row],[FR_BH]]=1,calendar[[#This Row],[WeekDay]]=1, calendar[[#This Row],[WeekDay]]=7),P1197,P1197+1)</f>
        <v>855</v>
      </c>
      <c r="R1198">
        <f>IF(OR(calendar[[#This Row],[SP_BH]]=1,calendar[[#This Row],[WeekDay]]=1, calendar[[#This Row],[WeekDay]]=7),P1197,P1197+1)</f>
        <v>855</v>
      </c>
      <c r="S1198">
        <f>IF(OR(calendar[[#This Row],[PT_BH]]=1,calendar[[#This Row],[WeekDay]]=1, calendar[[#This Row],[WeekDay]]=7),P1197,P1197+1)</f>
        <v>855</v>
      </c>
    </row>
    <row r="1199" spans="1:19" x14ac:dyDescent="0.25">
      <c r="A1199" s="2">
        <v>43933</v>
      </c>
      <c r="B1199" s="1">
        <f t="shared" si="93"/>
        <v>16</v>
      </c>
      <c r="C1199">
        <f t="shared" si="95"/>
        <v>4</v>
      </c>
      <c r="D1199" t="str">
        <f t="shared" si="96"/>
        <v>April</v>
      </c>
      <c r="E1199">
        <f t="shared" si="97"/>
        <v>2020</v>
      </c>
      <c r="F1199" t="str">
        <f>CONCATENATE(calendar[[#This Row],[Month]],"/",calendar[[#This Row],[Year]])</f>
        <v>4/2020</v>
      </c>
      <c r="G1199">
        <f>WEEKDAY(calendar[[#This Row],[Date]],1)</f>
        <v>1</v>
      </c>
      <c r="H1199" t="str">
        <f>TEXT(calendar[[#This Row],[WeekDay]],"dddd")</f>
        <v>Sunday</v>
      </c>
      <c r="I1199">
        <f>IF((INT(calendar[[#This Row],[Count]]/7)-calendar[[#This Row],[Count]]/7)&lt;0,I1198,I1198+1)</f>
        <v>172</v>
      </c>
      <c r="J1199">
        <f t="shared" si="94"/>
        <v>1197</v>
      </c>
      <c r="K1199">
        <f>IF(calendar[[#This Row],[Month]]&lt;4,1,IF(calendar[[#This Row],[Month]]&lt;7,2,IF(calendar[[#This Row],[Month]]&lt;10,3,4)))</f>
        <v>2</v>
      </c>
      <c r="L1199">
        <f>IFERROR(IF(VLOOKUP(calendar[[#This Row],[Date]],BH!A:A,1,)&lt;&gt;"",1,0),0)</f>
        <v>0</v>
      </c>
      <c r="M1199">
        <f>IFERROR(IF(VLOOKUP(calendar[[#This Row],[Date]],BH!C:C,1,)&lt;&gt;"",1,0),0)</f>
        <v>0</v>
      </c>
      <c r="N1199">
        <f>IFERROR(IF(VLOOKUP(calendar[[#This Row],[Date]],BH!E:E,1,)&lt;&gt;"",1,0),0)</f>
        <v>0</v>
      </c>
      <c r="O1199">
        <f>IFERROR(IF(VLOOKUP(calendar[[#This Row],[Date]],BH!G:G,1,)&lt;&gt;"",1,0),0)</f>
        <v>0</v>
      </c>
      <c r="P1199">
        <f>IF(OR(calendar[[#This Row],[UK_BH]]=1,calendar[[#This Row],[WeekDay]]=1, calendar[[#This Row],[WeekDay]]=7),P1198,P1198+1)</f>
        <v>855</v>
      </c>
      <c r="Q1199">
        <f>IF(OR(calendar[[#This Row],[FR_BH]]=1,calendar[[#This Row],[WeekDay]]=1, calendar[[#This Row],[WeekDay]]=7),P1198,P1198+1)</f>
        <v>855</v>
      </c>
      <c r="R1199">
        <f>IF(OR(calendar[[#This Row],[SP_BH]]=1,calendar[[#This Row],[WeekDay]]=1, calendar[[#This Row],[WeekDay]]=7),P1198,P1198+1)</f>
        <v>855</v>
      </c>
      <c r="S1199">
        <f>IF(OR(calendar[[#This Row],[PT_BH]]=1,calendar[[#This Row],[WeekDay]]=1, calendar[[#This Row],[WeekDay]]=7),P1198,P1198+1)</f>
        <v>855</v>
      </c>
    </row>
    <row r="1200" spans="1:19" x14ac:dyDescent="0.25">
      <c r="A1200" s="2">
        <v>43934</v>
      </c>
      <c r="B1200" s="1">
        <f t="shared" si="93"/>
        <v>16</v>
      </c>
      <c r="C1200">
        <f t="shared" si="95"/>
        <v>4</v>
      </c>
      <c r="D1200" t="str">
        <f t="shared" si="96"/>
        <v>April</v>
      </c>
      <c r="E1200">
        <f t="shared" si="97"/>
        <v>2020</v>
      </c>
      <c r="F1200" t="str">
        <f>CONCATENATE(calendar[[#This Row],[Month]],"/",calendar[[#This Row],[Year]])</f>
        <v>4/2020</v>
      </c>
      <c r="G1200">
        <f>WEEKDAY(calendar[[#This Row],[Date]],1)</f>
        <v>2</v>
      </c>
      <c r="H1200" t="str">
        <f>TEXT(calendar[[#This Row],[WeekDay]],"dddd")</f>
        <v>Monday</v>
      </c>
      <c r="I1200">
        <f>IF((INT(calendar[[#This Row],[Count]]/7)-calendar[[#This Row],[Count]]/7)&lt;0,I1199,I1199+1)</f>
        <v>172</v>
      </c>
      <c r="J1200">
        <f t="shared" si="94"/>
        <v>1198</v>
      </c>
      <c r="K1200">
        <f>IF(calendar[[#This Row],[Month]]&lt;4,1,IF(calendar[[#This Row],[Month]]&lt;7,2,IF(calendar[[#This Row],[Month]]&lt;10,3,4)))</f>
        <v>2</v>
      </c>
      <c r="L1200">
        <f>IFERROR(IF(VLOOKUP(calendar[[#This Row],[Date]],BH!A:A,1,)&lt;&gt;"",1,0),0)</f>
        <v>0</v>
      </c>
      <c r="M1200">
        <f>IFERROR(IF(VLOOKUP(calendar[[#This Row],[Date]],BH!C:C,1,)&lt;&gt;"",1,0),0)</f>
        <v>0</v>
      </c>
      <c r="N1200">
        <f>IFERROR(IF(VLOOKUP(calendar[[#This Row],[Date]],BH!E:E,1,)&lt;&gt;"",1,0),0)</f>
        <v>0</v>
      </c>
      <c r="O1200">
        <f>IFERROR(IF(VLOOKUP(calendar[[#This Row],[Date]],BH!G:G,1,)&lt;&gt;"",1,0),0)</f>
        <v>0</v>
      </c>
      <c r="P1200">
        <f>IF(OR(calendar[[#This Row],[UK_BH]]=1,calendar[[#This Row],[WeekDay]]=1, calendar[[#This Row],[WeekDay]]=7),P1199,P1199+1)</f>
        <v>856</v>
      </c>
      <c r="Q1200">
        <f>IF(OR(calendar[[#This Row],[FR_BH]]=1,calendar[[#This Row],[WeekDay]]=1, calendar[[#This Row],[WeekDay]]=7),P1199,P1199+1)</f>
        <v>856</v>
      </c>
      <c r="R1200">
        <f>IF(OR(calendar[[#This Row],[SP_BH]]=1,calendar[[#This Row],[WeekDay]]=1, calendar[[#This Row],[WeekDay]]=7),P1199,P1199+1)</f>
        <v>856</v>
      </c>
      <c r="S1200">
        <f>IF(OR(calendar[[#This Row],[PT_BH]]=1,calendar[[#This Row],[WeekDay]]=1, calendar[[#This Row],[WeekDay]]=7),P1199,P1199+1)</f>
        <v>856</v>
      </c>
    </row>
    <row r="1201" spans="1:19" x14ac:dyDescent="0.25">
      <c r="A1201" s="2">
        <v>43935</v>
      </c>
      <c r="B1201" s="1">
        <f t="shared" si="93"/>
        <v>16</v>
      </c>
      <c r="C1201">
        <f t="shared" si="95"/>
        <v>4</v>
      </c>
      <c r="D1201" t="str">
        <f t="shared" si="96"/>
        <v>April</v>
      </c>
      <c r="E1201">
        <f t="shared" si="97"/>
        <v>2020</v>
      </c>
      <c r="F1201" t="str">
        <f>CONCATENATE(calendar[[#This Row],[Month]],"/",calendar[[#This Row],[Year]])</f>
        <v>4/2020</v>
      </c>
      <c r="G1201">
        <f>WEEKDAY(calendar[[#This Row],[Date]],1)</f>
        <v>3</v>
      </c>
      <c r="H1201" t="str">
        <f>TEXT(calendar[[#This Row],[WeekDay]],"dddd")</f>
        <v>Tuesday</v>
      </c>
      <c r="I1201">
        <f>IF((INT(calendar[[#This Row],[Count]]/7)-calendar[[#This Row],[Count]]/7)&lt;0,I1200,I1200+1)</f>
        <v>172</v>
      </c>
      <c r="J1201">
        <f t="shared" si="94"/>
        <v>1199</v>
      </c>
      <c r="K1201">
        <f>IF(calendar[[#This Row],[Month]]&lt;4,1,IF(calendar[[#This Row],[Month]]&lt;7,2,IF(calendar[[#This Row],[Month]]&lt;10,3,4)))</f>
        <v>2</v>
      </c>
      <c r="L1201">
        <f>IFERROR(IF(VLOOKUP(calendar[[#This Row],[Date]],BH!A:A,1,)&lt;&gt;"",1,0),0)</f>
        <v>0</v>
      </c>
      <c r="M1201">
        <f>IFERROR(IF(VLOOKUP(calendar[[#This Row],[Date]],BH!C:C,1,)&lt;&gt;"",1,0),0)</f>
        <v>0</v>
      </c>
      <c r="N1201">
        <f>IFERROR(IF(VLOOKUP(calendar[[#This Row],[Date]],BH!E:E,1,)&lt;&gt;"",1,0),0)</f>
        <v>0</v>
      </c>
      <c r="O1201">
        <f>IFERROR(IF(VLOOKUP(calendar[[#This Row],[Date]],BH!G:G,1,)&lt;&gt;"",1,0),0)</f>
        <v>0</v>
      </c>
      <c r="P1201">
        <f>IF(OR(calendar[[#This Row],[UK_BH]]=1,calendar[[#This Row],[WeekDay]]=1, calendar[[#This Row],[WeekDay]]=7),P1200,P1200+1)</f>
        <v>857</v>
      </c>
      <c r="Q1201">
        <f>IF(OR(calendar[[#This Row],[FR_BH]]=1,calendar[[#This Row],[WeekDay]]=1, calendar[[#This Row],[WeekDay]]=7),P1200,P1200+1)</f>
        <v>857</v>
      </c>
      <c r="R1201">
        <f>IF(OR(calendar[[#This Row],[SP_BH]]=1,calendar[[#This Row],[WeekDay]]=1, calendar[[#This Row],[WeekDay]]=7),P1200,P1200+1)</f>
        <v>857</v>
      </c>
      <c r="S1201">
        <f>IF(OR(calendar[[#This Row],[PT_BH]]=1,calendar[[#This Row],[WeekDay]]=1, calendar[[#This Row],[WeekDay]]=7),P1200,P1200+1)</f>
        <v>857</v>
      </c>
    </row>
    <row r="1202" spans="1:19" x14ac:dyDescent="0.25">
      <c r="A1202" s="2">
        <v>43936</v>
      </c>
      <c r="B1202" s="1">
        <f t="shared" si="93"/>
        <v>16</v>
      </c>
      <c r="C1202">
        <f t="shared" si="95"/>
        <v>4</v>
      </c>
      <c r="D1202" t="str">
        <f t="shared" si="96"/>
        <v>April</v>
      </c>
      <c r="E1202">
        <f t="shared" si="97"/>
        <v>2020</v>
      </c>
      <c r="F1202" t="str">
        <f>CONCATENATE(calendar[[#This Row],[Month]],"/",calendar[[#This Row],[Year]])</f>
        <v>4/2020</v>
      </c>
      <c r="G1202">
        <f>WEEKDAY(calendar[[#This Row],[Date]],1)</f>
        <v>4</v>
      </c>
      <c r="H1202" t="str">
        <f>TEXT(calendar[[#This Row],[WeekDay]],"dddd")</f>
        <v>Wednesday</v>
      </c>
      <c r="I1202">
        <f>IF((INT(calendar[[#This Row],[Count]]/7)-calendar[[#This Row],[Count]]/7)&lt;0,I1201,I1201+1)</f>
        <v>172</v>
      </c>
      <c r="J1202">
        <f t="shared" si="94"/>
        <v>1200</v>
      </c>
      <c r="K1202">
        <f>IF(calendar[[#This Row],[Month]]&lt;4,1,IF(calendar[[#This Row],[Month]]&lt;7,2,IF(calendar[[#This Row],[Month]]&lt;10,3,4)))</f>
        <v>2</v>
      </c>
      <c r="L1202">
        <f>IFERROR(IF(VLOOKUP(calendar[[#This Row],[Date]],BH!A:A,1,)&lt;&gt;"",1,0),0)</f>
        <v>0</v>
      </c>
      <c r="M1202">
        <f>IFERROR(IF(VLOOKUP(calendar[[#This Row],[Date]],BH!C:C,1,)&lt;&gt;"",1,0),0)</f>
        <v>0</v>
      </c>
      <c r="N1202">
        <f>IFERROR(IF(VLOOKUP(calendar[[#This Row],[Date]],BH!E:E,1,)&lt;&gt;"",1,0),0)</f>
        <v>0</v>
      </c>
      <c r="O1202">
        <f>IFERROR(IF(VLOOKUP(calendar[[#This Row],[Date]],BH!G:G,1,)&lt;&gt;"",1,0),0)</f>
        <v>0</v>
      </c>
      <c r="P1202">
        <f>IF(OR(calendar[[#This Row],[UK_BH]]=1,calendar[[#This Row],[WeekDay]]=1, calendar[[#This Row],[WeekDay]]=7),P1201,P1201+1)</f>
        <v>858</v>
      </c>
      <c r="Q1202">
        <f>IF(OR(calendar[[#This Row],[FR_BH]]=1,calendar[[#This Row],[WeekDay]]=1, calendar[[#This Row],[WeekDay]]=7),P1201,P1201+1)</f>
        <v>858</v>
      </c>
      <c r="R1202">
        <f>IF(OR(calendar[[#This Row],[SP_BH]]=1,calendar[[#This Row],[WeekDay]]=1, calendar[[#This Row],[WeekDay]]=7),P1201,P1201+1)</f>
        <v>858</v>
      </c>
      <c r="S1202">
        <f>IF(OR(calendar[[#This Row],[PT_BH]]=1,calendar[[#This Row],[WeekDay]]=1, calendar[[#This Row],[WeekDay]]=7),P1201,P1201+1)</f>
        <v>858</v>
      </c>
    </row>
    <row r="1203" spans="1:19" x14ac:dyDescent="0.25">
      <c r="A1203" s="2">
        <v>43937</v>
      </c>
      <c r="B1203" s="1">
        <f t="shared" si="93"/>
        <v>16</v>
      </c>
      <c r="C1203">
        <f t="shared" si="95"/>
        <v>4</v>
      </c>
      <c r="D1203" t="str">
        <f t="shared" si="96"/>
        <v>April</v>
      </c>
      <c r="E1203">
        <f t="shared" si="97"/>
        <v>2020</v>
      </c>
      <c r="F1203" t="str">
        <f>CONCATENATE(calendar[[#This Row],[Month]],"/",calendar[[#This Row],[Year]])</f>
        <v>4/2020</v>
      </c>
      <c r="G1203">
        <f>WEEKDAY(calendar[[#This Row],[Date]],1)</f>
        <v>5</v>
      </c>
      <c r="H1203" t="str">
        <f>TEXT(calendar[[#This Row],[WeekDay]],"dddd")</f>
        <v>Thursday</v>
      </c>
      <c r="I1203">
        <f>IF((INT(calendar[[#This Row],[Count]]/7)-calendar[[#This Row],[Count]]/7)&lt;0,I1202,I1202+1)</f>
        <v>172</v>
      </c>
      <c r="J1203">
        <f t="shared" si="94"/>
        <v>1201</v>
      </c>
      <c r="K1203">
        <f>IF(calendar[[#This Row],[Month]]&lt;4,1,IF(calendar[[#This Row],[Month]]&lt;7,2,IF(calendar[[#This Row],[Month]]&lt;10,3,4)))</f>
        <v>2</v>
      </c>
      <c r="L1203">
        <f>IFERROR(IF(VLOOKUP(calendar[[#This Row],[Date]],BH!A:A,1,)&lt;&gt;"",1,0),0)</f>
        <v>0</v>
      </c>
      <c r="M1203">
        <f>IFERROR(IF(VLOOKUP(calendar[[#This Row],[Date]],BH!C:C,1,)&lt;&gt;"",1,0),0)</f>
        <v>0</v>
      </c>
      <c r="N1203">
        <f>IFERROR(IF(VLOOKUP(calendar[[#This Row],[Date]],BH!E:E,1,)&lt;&gt;"",1,0),0)</f>
        <v>0</v>
      </c>
      <c r="O1203">
        <f>IFERROR(IF(VLOOKUP(calendar[[#This Row],[Date]],BH!G:G,1,)&lt;&gt;"",1,0),0)</f>
        <v>0</v>
      </c>
      <c r="P1203">
        <f>IF(OR(calendar[[#This Row],[UK_BH]]=1,calendar[[#This Row],[WeekDay]]=1, calendar[[#This Row],[WeekDay]]=7),P1202,P1202+1)</f>
        <v>859</v>
      </c>
      <c r="Q1203">
        <f>IF(OR(calendar[[#This Row],[FR_BH]]=1,calendar[[#This Row],[WeekDay]]=1, calendar[[#This Row],[WeekDay]]=7),P1202,P1202+1)</f>
        <v>859</v>
      </c>
      <c r="R1203">
        <f>IF(OR(calendar[[#This Row],[SP_BH]]=1,calendar[[#This Row],[WeekDay]]=1, calendar[[#This Row],[WeekDay]]=7),P1202,P1202+1)</f>
        <v>859</v>
      </c>
      <c r="S1203">
        <f>IF(OR(calendar[[#This Row],[PT_BH]]=1,calendar[[#This Row],[WeekDay]]=1, calendar[[#This Row],[WeekDay]]=7),P1202,P1202+1)</f>
        <v>859</v>
      </c>
    </row>
    <row r="1204" spans="1:19" x14ac:dyDescent="0.25">
      <c r="A1204" s="2">
        <v>43938</v>
      </c>
      <c r="B1204" s="1">
        <f t="shared" si="93"/>
        <v>16</v>
      </c>
      <c r="C1204">
        <f t="shared" si="95"/>
        <v>4</v>
      </c>
      <c r="D1204" t="str">
        <f t="shared" si="96"/>
        <v>April</v>
      </c>
      <c r="E1204">
        <f t="shared" si="97"/>
        <v>2020</v>
      </c>
      <c r="F1204" t="str">
        <f>CONCATENATE(calendar[[#This Row],[Month]],"/",calendar[[#This Row],[Year]])</f>
        <v>4/2020</v>
      </c>
      <c r="G1204">
        <f>WEEKDAY(calendar[[#This Row],[Date]],1)</f>
        <v>6</v>
      </c>
      <c r="H1204" t="str">
        <f>TEXT(calendar[[#This Row],[WeekDay]],"dddd")</f>
        <v>Friday</v>
      </c>
      <c r="I1204">
        <f>IF((INT(calendar[[#This Row],[Count]]/7)-calendar[[#This Row],[Count]]/7)&lt;0,I1203,I1203+1)</f>
        <v>172</v>
      </c>
      <c r="J1204">
        <f t="shared" si="94"/>
        <v>1202</v>
      </c>
      <c r="K1204">
        <f>IF(calendar[[#This Row],[Month]]&lt;4,1,IF(calendar[[#This Row],[Month]]&lt;7,2,IF(calendar[[#This Row],[Month]]&lt;10,3,4)))</f>
        <v>2</v>
      </c>
      <c r="L1204">
        <f>IFERROR(IF(VLOOKUP(calendar[[#This Row],[Date]],BH!A:A,1,)&lt;&gt;"",1,0),0)</f>
        <v>0</v>
      </c>
      <c r="M1204">
        <f>IFERROR(IF(VLOOKUP(calendar[[#This Row],[Date]],BH!C:C,1,)&lt;&gt;"",1,0),0)</f>
        <v>0</v>
      </c>
      <c r="N1204">
        <f>IFERROR(IF(VLOOKUP(calendar[[#This Row],[Date]],BH!E:E,1,)&lt;&gt;"",1,0),0)</f>
        <v>0</v>
      </c>
      <c r="O1204">
        <f>IFERROR(IF(VLOOKUP(calendar[[#This Row],[Date]],BH!G:G,1,)&lt;&gt;"",1,0),0)</f>
        <v>0</v>
      </c>
      <c r="P1204">
        <f>IF(OR(calendar[[#This Row],[UK_BH]]=1,calendar[[#This Row],[WeekDay]]=1, calendar[[#This Row],[WeekDay]]=7),P1203,P1203+1)</f>
        <v>860</v>
      </c>
      <c r="Q1204">
        <f>IF(OR(calendar[[#This Row],[FR_BH]]=1,calendar[[#This Row],[WeekDay]]=1, calendar[[#This Row],[WeekDay]]=7),P1203,P1203+1)</f>
        <v>860</v>
      </c>
      <c r="R1204">
        <f>IF(OR(calendar[[#This Row],[SP_BH]]=1,calendar[[#This Row],[WeekDay]]=1, calendar[[#This Row],[WeekDay]]=7),P1203,P1203+1)</f>
        <v>860</v>
      </c>
      <c r="S1204">
        <f>IF(OR(calendar[[#This Row],[PT_BH]]=1,calendar[[#This Row],[WeekDay]]=1, calendar[[#This Row],[WeekDay]]=7),P1203,P1203+1)</f>
        <v>860</v>
      </c>
    </row>
    <row r="1205" spans="1:19" x14ac:dyDescent="0.25">
      <c r="A1205" s="2">
        <v>43939</v>
      </c>
      <c r="B1205" s="1">
        <f t="shared" si="93"/>
        <v>16</v>
      </c>
      <c r="C1205">
        <f t="shared" si="95"/>
        <v>4</v>
      </c>
      <c r="D1205" t="str">
        <f t="shared" si="96"/>
        <v>April</v>
      </c>
      <c r="E1205">
        <f t="shared" si="97"/>
        <v>2020</v>
      </c>
      <c r="F1205" t="str">
        <f>CONCATENATE(calendar[[#This Row],[Month]],"/",calendar[[#This Row],[Year]])</f>
        <v>4/2020</v>
      </c>
      <c r="G1205">
        <f>WEEKDAY(calendar[[#This Row],[Date]],1)</f>
        <v>7</v>
      </c>
      <c r="H1205" t="str">
        <f>TEXT(calendar[[#This Row],[WeekDay]],"dddd")</f>
        <v>Saturday</v>
      </c>
      <c r="I1205">
        <f>IF((INT(calendar[[#This Row],[Count]]/7)-calendar[[#This Row],[Count]]/7)&lt;0,I1204,I1204+1)</f>
        <v>172</v>
      </c>
      <c r="J1205">
        <f t="shared" si="94"/>
        <v>1203</v>
      </c>
      <c r="K1205">
        <f>IF(calendar[[#This Row],[Month]]&lt;4,1,IF(calendar[[#This Row],[Month]]&lt;7,2,IF(calendar[[#This Row],[Month]]&lt;10,3,4)))</f>
        <v>2</v>
      </c>
      <c r="L1205">
        <f>IFERROR(IF(VLOOKUP(calendar[[#This Row],[Date]],BH!A:A,1,)&lt;&gt;"",1,0),0)</f>
        <v>0</v>
      </c>
      <c r="M1205">
        <f>IFERROR(IF(VLOOKUP(calendar[[#This Row],[Date]],BH!C:C,1,)&lt;&gt;"",1,0),0)</f>
        <v>0</v>
      </c>
      <c r="N1205">
        <f>IFERROR(IF(VLOOKUP(calendar[[#This Row],[Date]],BH!E:E,1,)&lt;&gt;"",1,0),0)</f>
        <v>0</v>
      </c>
      <c r="O1205">
        <f>IFERROR(IF(VLOOKUP(calendar[[#This Row],[Date]],BH!G:G,1,)&lt;&gt;"",1,0),0)</f>
        <v>0</v>
      </c>
      <c r="P1205">
        <f>IF(OR(calendar[[#This Row],[UK_BH]]=1,calendar[[#This Row],[WeekDay]]=1, calendar[[#This Row],[WeekDay]]=7),P1204,P1204+1)</f>
        <v>860</v>
      </c>
      <c r="Q1205">
        <f>IF(OR(calendar[[#This Row],[FR_BH]]=1,calendar[[#This Row],[WeekDay]]=1, calendar[[#This Row],[WeekDay]]=7),P1204,P1204+1)</f>
        <v>860</v>
      </c>
      <c r="R1205">
        <f>IF(OR(calendar[[#This Row],[SP_BH]]=1,calendar[[#This Row],[WeekDay]]=1, calendar[[#This Row],[WeekDay]]=7),P1204,P1204+1)</f>
        <v>860</v>
      </c>
      <c r="S1205">
        <f>IF(OR(calendar[[#This Row],[PT_BH]]=1,calendar[[#This Row],[WeekDay]]=1, calendar[[#This Row],[WeekDay]]=7),P1204,P1204+1)</f>
        <v>860</v>
      </c>
    </row>
    <row r="1206" spans="1:19" x14ac:dyDescent="0.25">
      <c r="A1206" s="2">
        <v>43940</v>
      </c>
      <c r="B1206" s="1">
        <f t="shared" si="93"/>
        <v>17</v>
      </c>
      <c r="C1206">
        <f t="shared" si="95"/>
        <v>4</v>
      </c>
      <c r="D1206" t="str">
        <f t="shared" si="96"/>
        <v>April</v>
      </c>
      <c r="E1206">
        <f t="shared" si="97"/>
        <v>2020</v>
      </c>
      <c r="F1206" t="str">
        <f>CONCATENATE(calendar[[#This Row],[Month]],"/",calendar[[#This Row],[Year]])</f>
        <v>4/2020</v>
      </c>
      <c r="G1206">
        <f>WEEKDAY(calendar[[#This Row],[Date]],1)</f>
        <v>1</v>
      </c>
      <c r="H1206" t="str">
        <f>TEXT(calendar[[#This Row],[WeekDay]],"dddd")</f>
        <v>Sunday</v>
      </c>
      <c r="I1206">
        <f>IF((INT(calendar[[#This Row],[Count]]/7)-calendar[[#This Row],[Count]]/7)&lt;0,I1205,I1205+1)</f>
        <v>173</v>
      </c>
      <c r="J1206">
        <f t="shared" si="94"/>
        <v>1204</v>
      </c>
      <c r="K1206">
        <f>IF(calendar[[#This Row],[Month]]&lt;4,1,IF(calendar[[#This Row],[Month]]&lt;7,2,IF(calendar[[#This Row],[Month]]&lt;10,3,4)))</f>
        <v>2</v>
      </c>
      <c r="L1206">
        <f>IFERROR(IF(VLOOKUP(calendar[[#This Row],[Date]],BH!A:A,1,)&lt;&gt;"",1,0),0)</f>
        <v>0</v>
      </c>
      <c r="M1206">
        <f>IFERROR(IF(VLOOKUP(calendar[[#This Row],[Date]],BH!C:C,1,)&lt;&gt;"",1,0),0)</f>
        <v>0</v>
      </c>
      <c r="N1206">
        <f>IFERROR(IF(VLOOKUP(calendar[[#This Row],[Date]],BH!E:E,1,)&lt;&gt;"",1,0),0)</f>
        <v>0</v>
      </c>
      <c r="O1206">
        <f>IFERROR(IF(VLOOKUP(calendar[[#This Row],[Date]],BH!G:G,1,)&lt;&gt;"",1,0),0)</f>
        <v>0</v>
      </c>
      <c r="P1206">
        <f>IF(OR(calendar[[#This Row],[UK_BH]]=1,calendar[[#This Row],[WeekDay]]=1, calendar[[#This Row],[WeekDay]]=7),P1205,P1205+1)</f>
        <v>860</v>
      </c>
      <c r="Q1206">
        <f>IF(OR(calendar[[#This Row],[FR_BH]]=1,calendar[[#This Row],[WeekDay]]=1, calendar[[#This Row],[WeekDay]]=7),P1205,P1205+1)</f>
        <v>860</v>
      </c>
      <c r="R1206">
        <f>IF(OR(calendar[[#This Row],[SP_BH]]=1,calendar[[#This Row],[WeekDay]]=1, calendar[[#This Row],[WeekDay]]=7),P1205,P1205+1)</f>
        <v>860</v>
      </c>
      <c r="S1206">
        <f>IF(OR(calendar[[#This Row],[PT_BH]]=1,calendar[[#This Row],[WeekDay]]=1, calendar[[#This Row],[WeekDay]]=7),P1205,P1205+1)</f>
        <v>860</v>
      </c>
    </row>
    <row r="1207" spans="1:19" x14ac:dyDescent="0.25">
      <c r="A1207" s="2">
        <v>43941</v>
      </c>
      <c r="B1207" s="1">
        <f t="shared" si="93"/>
        <v>17</v>
      </c>
      <c r="C1207">
        <f t="shared" si="95"/>
        <v>4</v>
      </c>
      <c r="D1207" t="str">
        <f t="shared" si="96"/>
        <v>April</v>
      </c>
      <c r="E1207">
        <f t="shared" si="97"/>
        <v>2020</v>
      </c>
      <c r="F1207" t="str">
        <f>CONCATENATE(calendar[[#This Row],[Month]],"/",calendar[[#This Row],[Year]])</f>
        <v>4/2020</v>
      </c>
      <c r="G1207">
        <f>WEEKDAY(calendar[[#This Row],[Date]],1)</f>
        <v>2</v>
      </c>
      <c r="H1207" t="str">
        <f>TEXT(calendar[[#This Row],[WeekDay]],"dddd")</f>
        <v>Monday</v>
      </c>
      <c r="I1207">
        <f>IF((INT(calendar[[#This Row],[Count]]/7)-calendar[[#This Row],[Count]]/7)&lt;0,I1206,I1206+1)</f>
        <v>173</v>
      </c>
      <c r="J1207">
        <f t="shared" si="94"/>
        <v>1205</v>
      </c>
      <c r="K1207">
        <f>IF(calendar[[#This Row],[Month]]&lt;4,1,IF(calendar[[#This Row],[Month]]&lt;7,2,IF(calendar[[#This Row],[Month]]&lt;10,3,4)))</f>
        <v>2</v>
      </c>
      <c r="L1207">
        <f>IFERROR(IF(VLOOKUP(calendar[[#This Row],[Date]],BH!A:A,1,)&lt;&gt;"",1,0),0)</f>
        <v>0</v>
      </c>
      <c r="M1207">
        <f>IFERROR(IF(VLOOKUP(calendar[[#This Row],[Date]],BH!C:C,1,)&lt;&gt;"",1,0),0)</f>
        <v>0</v>
      </c>
      <c r="N1207">
        <f>IFERROR(IF(VLOOKUP(calendar[[#This Row],[Date]],BH!E:E,1,)&lt;&gt;"",1,0),0)</f>
        <v>0</v>
      </c>
      <c r="O1207">
        <f>IFERROR(IF(VLOOKUP(calendar[[#This Row],[Date]],BH!G:G,1,)&lt;&gt;"",1,0),0)</f>
        <v>0</v>
      </c>
      <c r="P1207">
        <f>IF(OR(calendar[[#This Row],[UK_BH]]=1,calendar[[#This Row],[WeekDay]]=1, calendar[[#This Row],[WeekDay]]=7),P1206,P1206+1)</f>
        <v>861</v>
      </c>
      <c r="Q1207">
        <f>IF(OR(calendar[[#This Row],[FR_BH]]=1,calendar[[#This Row],[WeekDay]]=1, calendar[[#This Row],[WeekDay]]=7),P1206,P1206+1)</f>
        <v>861</v>
      </c>
      <c r="R1207">
        <f>IF(OR(calendar[[#This Row],[SP_BH]]=1,calendar[[#This Row],[WeekDay]]=1, calendar[[#This Row],[WeekDay]]=7),P1206,P1206+1)</f>
        <v>861</v>
      </c>
      <c r="S1207">
        <f>IF(OR(calendar[[#This Row],[PT_BH]]=1,calendar[[#This Row],[WeekDay]]=1, calendar[[#This Row],[WeekDay]]=7),P1206,P1206+1)</f>
        <v>861</v>
      </c>
    </row>
    <row r="1208" spans="1:19" x14ac:dyDescent="0.25">
      <c r="A1208" s="2">
        <v>43942</v>
      </c>
      <c r="B1208" s="1">
        <f t="shared" si="93"/>
        <v>17</v>
      </c>
      <c r="C1208">
        <f t="shared" si="95"/>
        <v>4</v>
      </c>
      <c r="D1208" t="str">
        <f t="shared" si="96"/>
        <v>April</v>
      </c>
      <c r="E1208">
        <f t="shared" si="97"/>
        <v>2020</v>
      </c>
      <c r="F1208" t="str">
        <f>CONCATENATE(calendar[[#This Row],[Month]],"/",calendar[[#This Row],[Year]])</f>
        <v>4/2020</v>
      </c>
      <c r="G1208">
        <f>WEEKDAY(calendar[[#This Row],[Date]],1)</f>
        <v>3</v>
      </c>
      <c r="H1208" t="str">
        <f>TEXT(calendar[[#This Row],[WeekDay]],"dddd")</f>
        <v>Tuesday</v>
      </c>
      <c r="I1208">
        <f>IF((INT(calendar[[#This Row],[Count]]/7)-calendar[[#This Row],[Count]]/7)&lt;0,I1207,I1207+1)</f>
        <v>173</v>
      </c>
      <c r="J1208">
        <f t="shared" si="94"/>
        <v>1206</v>
      </c>
      <c r="K1208">
        <f>IF(calendar[[#This Row],[Month]]&lt;4,1,IF(calendar[[#This Row],[Month]]&lt;7,2,IF(calendar[[#This Row],[Month]]&lt;10,3,4)))</f>
        <v>2</v>
      </c>
      <c r="L1208">
        <f>IFERROR(IF(VLOOKUP(calendar[[#This Row],[Date]],BH!A:A,1,)&lt;&gt;"",1,0),0)</f>
        <v>0</v>
      </c>
      <c r="M1208">
        <f>IFERROR(IF(VLOOKUP(calendar[[#This Row],[Date]],BH!C:C,1,)&lt;&gt;"",1,0),0)</f>
        <v>0</v>
      </c>
      <c r="N1208">
        <f>IFERROR(IF(VLOOKUP(calendar[[#This Row],[Date]],BH!E:E,1,)&lt;&gt;"",1,0),0)</f>
        <v>0</v>
      </c>
      <c r="O1208">
        <f>IFERROR(IF(VLOOKUP(calendar[[#This Row],[Date]],BH!G:G,1,)&lt;&gt;"",1,0),0)</f>
        <v>0</v>
      </c>
      <c r="P1208">
        <f>IF(OR(calendar[[#This Row],[UK_BH]]=1,calendar[[#This Row],[WeekDay]]=1, calendar[[#This Row],[WeekDay]]=7),P1207,P1207+1)</f>
        <v>862</v>
      </c>
      <c r="Q1208">
        <f>IF(OR(calendar[[#This Row],[FR_BH]]=1,calendar[[#This Row],[WeekDay]]=1, calendar[[#This Row],[WeekDay]]=7),P1207,P1207+1)</f>
        <v>862</v>
      </c>
      <c r="R1208">
        <f>IF(OR(calendar[[#This Row],[SP_BH]]=1,calendar[[#This Row],[WeekDay]]=1, calendar[[#This Row],[WeekDay]]=7),P1207,P1207+1)</f>
        <v>862</v>
      </c>
      <c r="S1208">
        <f>IF(OR(calendar[[#This Row],[PT_BH]]=1,calendar[[#This Row],[WeekDay]]=1, calendar[[#This Row],[WeekDay]]=7),P1207,P1207+1)</f>
        <v>862</v>
      </c>
    </row>
    <row r="1209" spans="1:19" x14ac:dyDescent="0.25">
      <c r="A1209" s="2">
        <v>43943</v>
      </c>
      <c r="B1209" s="1">
        <f t="shared" si="93"/>
        <v>17</v>
      </c>
      <c r="C1209">
        <f t="shared" si="95"/>
        <v>4</v>
      </c>
      <c r="D1209" t="str">
        <f t="shared" si="96"/>
        <v>April</v>
      </c>
      <c r="E1209">
        <f t="shared" si="97"/>
        <v>2020</v>
      </c>
      <c r="F1209" t="str">
        <f>CONCATENATE(calendar[[#This Row],[Month]],"/",calendar[[#This Row],[Year]])</f>
        <v>4/2020</v>
      </c>
      <c r="G1209">
        <f>WEEKDAY(calendar[[#This Row],[Date]],1)</f>
        <v>4</v>
      </c>
      <c r="H1209" t="str">
        <f>TEXT(calendar[[#This Row],[WeekDay]],"dddd")</f>
        <v>Wednesday</v>
      </c>
      <c r="I1209">
        <f>IF((INT(calendar[[#This Row],[Count]]/7)-calendar[[#This Row],[Count]]/7)&lt;0,I1208,I1208+1)</f>
        <v>173</v>
      </c>
      <c r="J1209">
        <f t="shared" si="94"/>
        <v>1207</v>
      </c>
      <c r="K1209">
        <f>IF(calendar[[#This Row],[Month]]&lt;4,1,IF(calendar[[#This Row],[Month]]&lt;7,2,IF(calendar[[#This Row],[Month]]&lt;10,3,4)))</f>
        <v>2</v>
      </c>
      <c r="L1209">
        <f>IFERROR(IF(VLOOKUP(calendar[[#This Row],[Date]],BH!A:A,1,)&lt;&gt;"",1,0),0)</f>
        <v>0</v>
      </c>
      <c r="M1209">
        <f>IFERROR(IF(VLOOKUP(calendar[[#This Row],[Date]],BH!C:C,1,)&lt;&gt;"",1,0),0)</f>
        <v>0</v>
      </c>
      <c r="N1209">
        <f>IFERROR(IF(VLOOKUP(calendar[[#This Row],[Date]],BH!E:E,1,)&lt;&gt;"",1,0),0)</f>
        <v>0</v>
      </c>
      <c r="O1209">
        <f>IFERROR(IF(VLOOKUP(calendar[[#This Row],[Date]],BH!G:G,1,)&lt;&gt;"",1,0),0)</f>
        <v>0</v>
      </c>
      <c r="P1209">
        <f>IF(OR(calendar[[#This Row],[UK_BH]]=1,calendar[[#This Row],[WeekDay]]=1, calendar[[#This Row],[WeekDay]]=7),P1208,P1208+1)</f>
        <v>863</v>
      </c>
      <c r="Q1209">
        <f>IF(OR(calendar[[#This Row],[FR_BH]]=1,calendar[[#This Row],[WeekDay]]=1, calendar[[#This Row],[WeekDay]]=7),P1208,P1208+1)</f>
        <v>863</v>
      </c>
      <c r="R1209">
        <f>IF(OR(calendar[[#This Row],[SP_BH]]=1,calendar[[#This Row],[WeekDay]]=1, calendar[[#This Row],[WeekDay]]=7),P1208,P1208+1)</f>
        <v>863</v>
      </c>
      <c r="S1209">
        <f>IF(OR(calendar[[#This Row],[PT_BH]]=1,calendar[[#This Row],[WeekDay]]=1, calendar[[#This Row],[WeekDay]]=7),P1208,P1208+1)</f>
        <v>863</v>
      </c>
    </row>
    <row r="1210" spans="1:19" x14ac:dyDescent="0.25">
      <c r="A1210" s="2">
        <v>43944</v>
      </c>
      <c r="B1210" s="1">
        <f t="shared" si="93"/>
        <v>17</v>
      </c>
      <c r="C1210">
        <f t="shared" si="95"/>
        <v>4</v>
      </c>
      <c r="D1210" t="str">
        <f t="shared" si="96"/>
        <v>April</v>
      </c>
      <c r="E1210">
        <f t="shared" si="97"/>
        <v>2020</v>
      </c>
      <c r="F1210" t="str">
        <f>CONCATENATE(calendar[[#This Row],[Month]],"/",calendar[[#This Row],[Year]])</f>
        <v>4/2020</v>
      </c>
      <c r="G1210">
        <f>WEEKDAY(calendar[[#This Row],[Date]],1)</f>
        <v>5</v>
      </c>
      <c r="H1210" t="str">
        <f>TEXT(calendar[[#This Row],[WeekDay]],"dddd")</f>
        <v>Thursday</v>
      </c>
      <c r="I1210">
        <f>IF((INT(calendar[[#This Row],[Count]]/7)-calendar[[#This Row],[Count]]/7)&lt;0,I1209,I1209+1)</f>
        <v>173</v>
      </c>
      <c r="J1210">
        <f t="shared" si="94"/>
        <v>1208</v>
      </c>
      <c r="K1210">
        <f>IF(calendar[[#This Row],[Month]]&lt;4,1,IF(calendar[[#This Row],[Month]]&lt;7,2,IF(calendar[[#This Row],[Month]]&lt;10,3,4)))</f>
        <v>2</v>
      </c>
      <c r="L1210">
        <f>IFERROR(IF(VLOOKUP(calendar[[#This Row],[Date]],BH!A:A,1,)&lt;&gt;"",1,0),0)</f>
        <v>0</v>
      </c>
      <c r="M1210">
        <f>IFERROR(IF(VLOOKUP(calendar[[#This Row],[Date]],BH!C:C,1,)&lt;&gt;"",1,0),0)</f>
        <v>0</v>
      </c>
      <c r="N1210">
        <f>IFERROR(IF(VLOOKUP(calendar[[#This Row],[Date]],BH!E:E,1,)&lt;&gt;"",1,0),0)</f>
        <v>0</v>
      </c>
      <c r="O1210">
        <f>IFERROR(IF(VLOOKUP(calendar[[#This Row],[Date]],BH!G:G,1,)&lt;&gt;"",1,0),0)</f>
        <v>0</v>
      </c>
      <c r="P1210">
        <f>IF(OR(calendar[[#This Row],[UK_BH]]=1,calendar[[#This Row],[WeekDay]]=1, calendar[[#This Row],[WeekDay]]=7),P1209,P1209+1)</f>
        <v>864</v>
      </c>
      <c r="Q1210">
        <f>IF(OR(calendar[[#This Row],[FR_BH]]=1,calendar[[#This Row],[WeekDay]]=1, calendar[[#This Row],[WeekDay]]=7),P1209,P1209+1)</f>
        <v>864</v>
      </c>
      <c r="R1210">
        <f>IF(OR(calendar[[#This Row],[SP_BH]]=1,calendar[[#This Row],[WeekDay]]=1, calendar[[#This Row],[WeekDay]]=7),P1209,P1209+1)</f>
        <v>864</v>
      </c>
      <c r="S1210">
        <f>IF(OR(calendar[[#This Row],[PT_BH]]=1,calendar[[#This Row],[WeekDay]]=1, calendar[[#This Row],[WeekDay]]=7),P1209,P1209+1)</f>
        <v>864</v>
      </c>
    </row>
    <row r="1211" spans="1:19" x14ac:dyDescent="0.25">
      <c r="A1211" s="2">
        <v>43945</v>
      </c>
      <c r="B1211" s="1">
        <f t="shared" si="93"/>
        <v>17</v>
      </c>
      <c r="C1211">
        <f t="shared" si="95"/>
        <v>4</v>
      </c>
      <c r="D1211" t="str">
        <f t="shared" si="96"/>
        <v>April</v>
      </c>
      <c r="E1211">
        <f t="shared" si="97"/>
        <v>2020</v>
      </c>
      <c r="F1211" t="str">
        <f>CONCATENATE(calendar[[#This Row],[Month]],"/",calendar[[#This Row],[Year]])</f>
        <v>4/2020</v>
      </c>
      <c r="G1211">
        <f>WEEKDAY(calendar[[#This Row],[Date]],1)</f>
        <v>6</v>
      </c>
      <c r="H1211" t="str">
        <f>TEXT(calendar[[#This Row],[WeekDay]],"dddd")</f>
        <v>Friday</v>
      </c>
      <c r="I1211">
        <f>IF((INT(calendar[[#This Row],[Count]]/7)-calendar[[#This Row],[Count]]/7)&lt;0,I1210,I1210+1)</f>
        <v>173</v>
      </c>
      <c r="J1211">
        <f t="shared" si="94"/>
        <v>1209</v>
      </c>
      <c r="K1211">
        <f>IF(calendar[[#This Row],[Month]]&lt;4,1,IF(calendar[[#This Row],[Month]]&lt;7,2,IF(calendar[[#This Row],[Month]]&lt;10,3,4)))</f>
        <v>2</v>
      </c>
      <c r="L1211">
        <f>IFERROR(IF(VLOOKUP(calendar[[#This Row],[Date]],BH!A:A,1,)&lt;&gt;"",1,0),0)</f>
        <v>0</v>
      </c>
      <c r="M1211">
        <f>IFERROR(IF(VLOOKUP(calendar[[#This Row],[Date]],BH!C:C,1,)&lt;&gt;"",1,0),0)</f>
        <v>0</v>
      </c>
      <c r="N1211">
        <f>IFERROR(IF(VLOOKUP(calendar[[#This Row],[Date]],BH!E:E,1,)&lt;&gt;"",1,0),0)</f>
        <v>0</v>
      </c>
      <c r="O1211">
        <f>IFERROR(IF(VLOOKUP(calendar[[#This Row],[Date]],BH!G:G,1,)&lt;&gt;"",1,0),0)</f>
        <v>0</v>
      </c>
      <c r="P1211">
        <f>IF(OR(calendar[[#This Row],[UK_BH]]=1,calendar[[#This Row],[WeekDay]]=1, calendar[[#This Row],[WeekDay]]=7),P1210,P1210+1)</f>
        <v>865</v>
      </c>
      <c r="Q1211">
        <f>IF(OR(calendar[[#This Row],[FR_BH]]=1,calendar[[#This Row],[WeekDay]]=1, calendar[[#This Row],[WeekDay]]=7),P1210,P1210+1)</f>
        <v>865</v>
      </c>
      <c r="R1211">
        <f>IF(OR(calendar[[#This Row],[SP_BH]]=1,calendar[[#This Row],[WeekDay]]=1, calendar[[#This Row],[WeekDay]]=7),P1210,P1210+1)</f>
        <v>865</v>
      </c>
      <c r="S1211">
        <f>IF(OR(calendar[[#This Row],[PT_BH]]=1,calendar[[#This Row],[WeekDay]]=1, calendar[[#This Row],[WeekDay]]=7),P1210,P1210+1)</f>
        <v>865</v>
      </c>
    </row>
    <row r="1212" spans="1:19" x14ac:dyDescent="0.25">
      <c r="A1212" s="2">
        <v>43946</v>
      </c>
      <c r="B1212" s="1">
        <f t="shared" si="93"/>
        <v>17</v>
      </c>
      <c r="C1212">
        <f t="shared" si="95"/>
        <v>4</v>
      </c>
      <c r="D1212" t="str">
        <f t="shared" si="96"/>
        <v>April</v>
      </c>
      <c r="E1212">
        <f t="shared" si="97"/>
        <v>2020</v>
      </c>
      <c r="F1212" t="str">
        <f>CONCATENATE(calendar[[#This Row],[Month]],"/",calendar[[#This Row],[Year]])</f>
        <v>4/2020</v>
      </c>
      <c r="G1212">
        <f>WEEKDAY(calendar[[#This Row],[Date]],1)</f>
        <v>7</v>
      </c>
      <c r="H1212" t="str">
        <f>TEXT(calendar[[#This Row],[WeekDay]],"dddd")</f>
        <v>Saturday</v>
      </c>
      <c r="I1212">
        <f>IF((INT(calendar[[#This Row],[Count]]/7)-calendar[[#This Row],[Count]]/7)&lt;0,I1211,I1211+1)</f>
        <v>173</v>
      </c>
      <c r="J1212">
        <f t="shared" si="94"/>
        <v>1210</v>
      </c>
      <c r="K1212">
        <f>IF(calendar[[#This Row],[Month]]&lt;4,1,IF(calendar[[#This Row],[Month]]&lt;7,2,IF(calendar[[#This Row],[Month]]&lt;10,3,4)))</f>
        <v>2</v>
      </c>
      <c r="L1212">
        <f>IFERROR(IF(VLOOKUP(calendar[[#This Row],[Date]],BH!A:A,1,)&lt;&gt;"",1,0),0)</f>
        <v>0</v>
      </c>
      <c r="M1212">
        <f>IFERROR(IF(VLOOKUP(calendar[[#This Row],[Date]],BH!C:C,1,)&lt;&gt;"",1,0),0)</f>
        <v>0</v>
      </c>
      <c r="N1212">
        <f>IFERROR(IF(VLOOKUP(calendar[[#This Row],[Date]],BH!E:E,1,)&lt;&gt;"",1,0),0)</f>
        <v>0</v>
      </c>
      <c r="O1212">
        <f>IFERROR(IF(VLOOKUP(calendar[[#This Row],[Date]],BH!G:G,1,)&lt;&gt;"",1,0),0)</f>
        <v>0</v>
      </c>
      <c r="P1212">
        <f>IF(OR(calendar[[#This Row],[UK_BH]]=1,calendar[[#This Row],[WeekDay]]=1, calendar[[#This Row],[WeekDay]]=7),P1211,P1211+1)</f>
        <v>865</v>
      </c>
      <c r="Q1212">
        <f>IF(OR(calendar[[#This Row],[FR_BH]]=1,calendar[[#This Row],[WeekDay]]=1, calendar[[#This Row],[WeekDay]]=7),P1211,P1211+1)</f>
        <v>865</v>
      </c>
      <c r="R1212">
        <f>IF(OR(calendar[[#This Row],[SP_BH]]=1,calendar[[#This Row],[WeekDay]]=1, calendar[[#This Row],[WeekDay]]=7),P1211,P1211+1)</f>
        <v>865</v>
      </c>
      <c r="S1212">
        <f>IF(OR(calendar[[#This Row],[PT_BH]]=1,calendar[[#This Row],[WeekDay]]=1, calendar[[#This Row],[WeekDay]]=7),P1211,P1211+1)</f>
        <v>865</v>
      </c>
    </row>
    <row r="1213" spans="1:19" x14ac:dyDescent="0.25">
      <c r="A1213" s="2">
        <v>43947</v>
      </c>
      <c r="B1213" s="1">
        <f t="shared" si="93"/>
        <v>18</v>
      </c>
      <c r="C1213">
        <f t="shared" si="95"/>
        <v>4</v>
      </c>
      <c r="D1213" t="str">
        <f t="shared" si="96"/>
        <v>April</v>
      </c>
      <c r="E1213">
        <f t="shared" si="97"/>
        <v>2020</v>
      </c>
      <c r="F1213" t="str">
        <f>CONCATENATE(calendar[[#This Row],[Month]],"/",calendar[[#This Row],[Year]])</f>
        <v>4/2020</v>
      </c>
      <c r="G1213">
        <f>WEEKDAY(calendar[[#This Row],[Date]],1)</f>
        <v>1</v>
      </c>
      <c r="H1213" t="str">
        <f>TEXT(calendar[[#This Row],[WeekDay]],"dddd")</f>
        <v>Sunday</v>
      </c>
      <c r="I1213">
        <f>IF((INT(calendar[[#This Row],[Count]]/7)-calendar[[#This Row],[Count]]/7)&lt;0,I1212,I1212+1)</f>
        <v>174</v>
      </c>
      <c r="J1213">
        <f t="shared" si="94"/>
        <v>1211</v>
      </c>
      <c r="K1213">
        <f>IF(calendar[[#This Row],[Month]]&lt;4,1,IF(calendar[[#This Row],[Month]]&lt;7,2,IF(calendar[[#This Row],[Month]]&lt;10,3,4)))</f>
        <v>2</v>
      </c>
      <c r="L1213">
        <f>IFERROR(IF(VLOOKUP(calendar[[#This Row],[Date]],BH!A:A,1,)&lt;&gt;"",1,0),0)</f>
        <v>0</v>
      </c>
      <c r="M1213">
        <f>IFERROR(IF(VLOOKUP(calendar[[#This Row],[Date]],BH!C:C,1,)&lt;&gt;"",1,0),0)</f>
        <v>0</v>
      </c>
      <c r="N1213">
        <f>IFERROR(IF(VLOOKUP(calendar[[#This Row],[Date]],BH!E:E,1,)&lt;&gt;"",1,0),0)</f>
        <v>0</v>
      </c>
      <c r="O1213">
        <f>IFERROR(IF(VLOOKUP(calendar[[#This Row],[Date]],BH!G:G,1,)&lt;&gt;"",1,0),0)</f>
        <v>0</v>
      </c>
      <c r="P1213">
        <f>IF(OR(calendar[[#This Row],[UK_BH]]=1,calendar[[#This Row],[WeekDay]]=1, calendar[[#This Row],[WeekDay]]=7),P1212,P1212+1)</f>
        <v>865</v>
      </c>
      <c r="Q1213">
        <f>IF(OR(calendar[[#This Row],[FR_BH]]=1,calendar[[#This Row],[WeekDay]]=1, calendar[[#This Row],[WeekDay]]=7),P1212,P1212+1)</f>
        <v>865</v>
      </c>
      <c r="R1213">
        <f>IF(OR(calendar[[#This Row],[SP_BH]]=1,calendar[[#This Row],[WeekDay]]=1, calendar[[#This Row],[WeekDay]]=7),P1212,P1212+1)</f>
        <v>865</v>
      </c>
      <c r="S1213">
        <f>IF(OR(calendar[[#This Row],[PT_BH]]=1,calendar[[#This Row],[WeekDay]]=1, calendar[[#This Row],[WeekDay]]=7),P1212,P1212+1)</f>
        <v>865</v>
      </c>
    </row>
    <row r="1214" spans="1:19" x14ac:dyDescent="0.25">
      <c r="A1214" s="2">
        <v>43948</v>
      </c>
      <c r="B1214" s="1">
        <f t="shared" si="93"/>
        <v>18</v>
      </c>
      <c r="C1214">
        <f t="shared" si="95"/>
        <v>4</v>
      </c>
      <c r="D1214" t="str">
        <f t="shared" si="96"/>
        <v>April</v>
      </c>
      <c r="E1214">
        <f t="shared" si="97"/>
        <v>2020</v>
      </c>
      <c r="F1214" t="str">
        <f>CONCATENATE(calendar[[#This Row],[Month]],"/",calendar[[#This Row],[Year]])</f>
        <v>4/2020</v>
      </c>
      <c r="G1214">
        <f>WEEKDAY(calendar[[#This Row],[Date]],1)</f>
        <v>2</v>
      </c>
      <c r="H1214" t="str">
        <f>TEXT(calendar[[#This Row],[WeekDay]],"dddd")</f>
        <v>Monday</v>
      </c>
      <c r="I1214">
        <f>IF((INT(calendar[[#This Row],[Count]]/7)-calendar[[#This Row],[Count]]/7)&lt;0,I1213,I1213+1)</f>
        <v>174</v>
      </c>
      <c r="J1214">
        <f t="shared" si="94"/>
        <v>1212</v>
      </c>
      <c r="K1214">
        <f>IF(calendar[[#This Row],[Month]]&lt;4,1,IF(calendar[[#This Row],[Month]]&lt;7,2,IF(calendar[[#This Row],[Month]]&lt;10,3,4)))</f>
        <v>2</v>
      </c>
      <c r="L1214">
        <f>IFERROR(IF(VLOOKUP(calendar[[#This Row],[Date]],BH!A:A,1,)&lt;&gt;"",1,0),0)</f>
        <v>0</v>
      </c>
      <c r="M1214">
        <f>IFERROR(IF(VLOOKUP(calendar[[#This Row],[Date]],BH!C:C,1,)&lt;&gt;"",1,0),0)</f>
        <v>0</v>
      </c>
      <c r="N1214">
        <f>IFERROR(IF(VLOOKUP(calendar[[#This Row],[Date]],BH!E:E,1,)&lt;&gt;"",1,0),0)</f>
        <v>0</v>
      </c>
      <c r="O1214">
        <f>IFERROR(IF(VLOOKUP(calendar[[#This Row],[Date]],BH!G:G,1,)&lt;&gt;"",1,0),0)</f>
        <v>0</v>
      </c>
      <c r="P1214">
        <f>IF(OR(calendar[[#This Row],[UK_BH]]=1,calendar[[#This Row],[WeekDay]]=1, calendar[[#This Row],[WeekDay]]=7),P1213,P1213+1)</f>
        <v>866</v>
      </c>
      <c r="Q1214">
        <f>IF(OR(calendar[[#This Row],[FR_BH]]=1,calendar[[#This Row],[WeekDay]]=1, calendar[[#This Row],[WeekDay]]=7),P1213,P1213+1)</f>
        <v>866</v>
      </c>
      <c r="R1214">
        <f>IF(OR(calendar[[#This Row],[SP_BH]]=1,calendar[[#This Row],[WeekDay]]=1, calendar[[#This Row],[WeekDay]]=7),P1213,P1213+1)</f>
        <v>866</v>
      </c>
      <c r="S1214">
        <f>IF(OR(calendar[[#This Row],[PT_BH]]=1,calendar[[#This Row],[WeekDay]]=1, calendar[[#This Row],[WeekDay]]=7),P1213,P1213+1)</f>
        <v>866</v>
      </c>
    </row>
    <row r="1215" spans="1:19" x14ac:dyDescent="0.25">
      <c r="A1215" s="2">
        <v>43949</v>
      </c>
      <c r="B1215" s="1">
        <f t="shared" si="93"/>
        <v>18</v>
      </c>
      <c r="C1215">
        <f t="shared" si="95"/>
        <v>4</v>
      </c>
      <c r="D1215" t="str">
        <f t="shared" si="96"/>
        <v>April</v>
      </c>
      <c r="E1215">
        <f t="shared" si="97"/>
        <v>2020</v>
      </c>
      <c r="F1215" t="str">
        <f>CONCATENATE(calendar[[#This Row],[Month]],"/",calendar[[#This Row],[Year]])</f>
        <v>4/2020</v>
      </c>
      <c r="G1215">
        <f>WEEKDAY(calendar[[#This Row],[Date]],1)</f>
        <v>3</v>
      </c>
      <c r="H1215" t="str">
        <f>TEXT(calendar[[#This Row],[WeekDay]],"dddd")</f>
        <v>Tuesday</v>
      </c>
      <c r="I1215">
        <f>IF((INT(calendar[[#This Row],[Count]]/7)-calendar[[#This Row],[Count]]/7)&lt;0,I1214,I1214+1)</f>
        <v>174</v>
      </c>
      <c r="J1215">
        <f t="shared" si="94"/>
        <v>1213</v>
      </c>
      <c r="K1215">
        <f>IF(calendar[[#This Row],[Month]]&lt;4,1,IF(calendar[[#This Row],[Month]]&lt;7,2,IF(calendar[[#This Row],[Month]]&lt;10,3,4)))</f>
        <v>2</v>
      </c>
      <c r="L1215">
        <f>IFERROR(IF(VLOOKUP(calendar[[#This Row],[Date]],BH!A:A,1,)&lt;&gt;"",1,0),0)</f>
        <v>0</v>
      </c>
      <c r="M1215">
        <f>IFERROR(IF(VLOOKUP(calendar[[#This Row],[Date]],BH!C:C,1,)&lt;&gt;"",1,0),0)</f>
        <v>0</v>
      </c>
      <c r="N1215">
        <f>IFERROR(IF(VLOOKUP(calendar[[#This Row],[Date]],BH!E:E,1,)&lt;&gt;"",1,0),0)</f>
        <v>0</v>
      </c>
      <c r="O1215">
        <f>IFERROR(IF(VLOOKUP(calendar[[#This Row],[Date]],BH!G:G,1,)&lt;&gt;"",1,0),0)</f>
        <v>0</v>
      </c>
      <c r="P1215">
        <f>IF(OR(calendar[[#This Row],[UK_BH]]=1,calendar[[#This Row],[WeekDay]]=1, calendar[[#This Row],[WeekDay]]=7),P1214,P1214+1)</f>
        <v>867</v>
      </c>
      <c r="Q1215">
        <f>IF(OR(calendar[[#This Row],[FR_BH]]=1,calendar[[#This Row],[WeekDay]]=1, calendar[[#This Row],[WeekDay]]=7),P1214,P1214+1)</f>
        <v>867</v>
      </c>
      <c r="R1215">
        <f>IF(OR(calendar[[#This Row],[SP_BH]]=1,calendar[[#This Row],[WeekDay]]=1, calendar[[#This Row],[WeekDay]]=7),P1214,P1214+1)</f>
        <v>867</v>
      </c>
      <c r="S1215">
        <f>IF(OR(calendar[[#This Row],[PT_BH]]=1,calendar[[#This Row],[WeekDay]]=1, calendar[[#This Row],[WeekDay]]=7),P1214,P1214+1)</f>
        <v>867</v>
      </c>
    </row>
    <row r="1216" spans="1:19" x14ac:dyDescent="0.25">
      <c r="A1216" s="2">
        <v>43950</v>
      </c>
      <c r="B1216" s="1">
        <f t="shared" si="93"/>
        <v>18</v>
      </c>
      <c r="C1216">
        <f t="shared" si="95"/>
        <v>4</v>
      </c>
      <c r="D1216" t="str">
        <f t="shared" si="96"/>
        <v>April</v>
      </c>
      <c r="E1216">
        <f t="shared" si="97"/>
        <v>2020</v>
      </c>
      <c r="F1216" t="str">
        <f>CONCATENATE(calendar[[#This Row],[Month]],"/",calendar[[#This Row],[Year]])</f>
        <v>4/2020</v>
      </c>
      <c r="G1216">
        <f>WEEKDAY(calendar[[#This Row],[Date]],1)</f>
        <v>4</v>
      </c>
      <c r="H1216" t="str">
        <f>TEXT(calendar[[#This Row],[WeekDay]],"dddd")</f>
        <v>Wednesday</v>
      </c>
      <c r="I1216">
        <f>IF((INT(calendar[[#This Row],[Count]]/7)-calendar[[#This Row],[Count]]/7)&lt;0,I1215,I1215+1)</f>
        <v>174</v>
      </c>
      <c r="J1216">
        <f t="shared" si="94"/>
        <v>1214</v>
      </c>
      <c r="K1216">
        <f>IF(calendar[[#This Row],[Month]]&lt;4,1,IF(calendar[[#This Row],[Month]]&lt;7,2,IF(calendar[[#This Row],[Month]]&lt;10,3,4)))</f>
        <v>2</v>
      </c>
      <c r="L1216">
        <f>IFERROR(IF(VLOOKUP(calendar[[#This Row],[Date]],BH!A:A,1,)&lt;&gt;"",1,0),0)</f>
        <v>0</v>
      </c>
      <c r="M1216">
        <f>IFERROR(IF(VLOOKUP(calendar[[#This Row],[Date]],BH!C:C,1,)&lt;&gt;"",1,0),0)</f>
        <v>0</v>
      </c>
      <c r="N1216">
        <f>IFERROR(IF(VLOOKUP(calendar[[#This Row],[Date]],BH!E:E,1,)&lt;&gt;"",1,0),0)</f>
        <v>0</v>
      </c>
      <c r="O1216">
        <f>IFERROR(IF(VLOOKUP(calendar[[#This Row],[Date]],BH!G:G,1,)&lt;&gt;"",1,0),0)</f>
        <v>0</v>
      </c>
      <c r="P1216">
        <f>IF(OR(calendar[[#This Row],[UK_BH]]=1,calendar[[#This Row],[WeekDay]]=1, calendar[[#This Row],[WeekDay]]=7),P1215,P1215+1)</f>
        <v>868</v>
      </c>
      <c r="Q1216">
        <f>IF(OR(calendar[[#This Row],[FR_BH]]=1,calendar[[#This Row],[WeekDay]]=1, calendar[[#This Row],[WeekDay]]=7),P1215,P1215+1)</f>
        <v>868</v>
      </c>
      <c r="R1216">
        <f>IF(OR(calendar[[#This Row],[SP_BH]]=1,calendar[[#This Row],[WeekDay]]=1, calendar[[#This Row],[WeekDay]]=7),P1215,P1215+1)</f>
        <v>868</v>
      </c>
      <c r="S1216">
        <f>IF(OR(calendar[[#This Row],[PT_BH]]=1,calendar[[#This Row],[WeekDay]]=1, calendar[[#This Row],[WeekDay]]=7),P1215,P1215+1)</f>
        <v>868</v>
      </c>
    </row>
    <row r="1217" spans="1:19" x14ac:dyDescent="0.25">
      <c r="A1217" s="2">
        <v>43951</v>
      </c>
      <c r="B1217" s="1">
        <f t="shared" si="93"/>
        <v>18</v>
      </c>
      <c r="C1217">
        <f t="shared" si="95"/>
        <v>4</v>
      </c>
      <c r="D1217" t="str">
        <f t="shared" si="96"/>
        <v>April</v>
      </c>
      <c r="E1217">
        <f t="shared" si="97"/>
        <v>2020</v>
      </c>
      <c r="F1217" t="str">
        <f>CONCATENATE(calendar[[#This Row],[Month]],"/",calendar[[#This Row],[Year]])</f>
        <v>4/2020</v>
      </c>
      <c r="G1217">
        <f>WEEKDAY(calendar[[#This Row],[Date]],1)</f>
        <v>5</v>
      </c>
      <c r="H1217" t="str">
        <f>TEXT(calendar[[#This Row],[WeekDay]],"dddd")</f>
        <v>Thursday</v>
      </c>
      <c r="I1217">
        <f>IF((INT(calendar[[#This Row],[Count]]/7)-calendar[[#This Row],[Count]]/7)&lt;0,I1216,I1216+1)</f>
        <v>174</v>
      </c>
      <c r="J1217">
        <f t="shared" si="94"/>
        <v>1215</v>
      </c>
      <c r="K1217">
        <f>IF(calendar[[#This Row],[Month]]&lt;4,1,IF(calendar[[#This Row],[Month]]&lt;7,2,IF(calendar[[#This Row],[Month]]&lt;10,3,4)))</f>
        <v>2</v>
      </c>
      <c r="L1217">
        <f>IFERROR(IF(VLOOKUP(calendar[[#This Row],[Date]],BH!A:A,1,)&lt;&gt;"",1,0),0)</f>
        <v>0</v>
      </c>
      <c r="M1217">
        <f>IFERROR(IF(VLOOKUP(calendar[[#This Row],[Date]],BH!C:C,1,)&lt;&gt;"",1,0),0)</f>
        <v>0</v>
      </c>
      <c r="N1217">
        <f>IFERROR(IF(VLOOKUP(calendar[[#This Row],[Date]],BH!E:E,1,)&lt;&gt;"",1,0),0)</f>
        <v>0</v>
      </c>
      <c r="O1217">
        <f>IFERROR(IF(VLOOKUP(calendar[[#This Row],[Date]],BH!G:G,1,)&lt;&gt;"",1,0),0)</f>
        <v>0</v>
      </c>
      <c r="P1217">
        <f>IF(OR(calendar[[#This Row],[UK_BH]]=1,calendar[[#This Row],[WeekDay]]=1, calendar[[#This Row],[WeekDay]]=7),P1216,P1216+1)</f>
        <v>869</v>
      </c>
      <c r="Q1217">
        <f>IF(OR(calendar[[#This Row],[FR_BH]]=1,calendar[[#This Row],[WeekDay]]=1, calendar[[#This Row],[WeekDay]]=7),P1216,P1216+1)</f>
        <v>869</v>
      </c>
      <c r="R1217">
        <f>IF(OR(calendar[[#This Row],[SP_BH]]=1,calendar[[#This Row],[WeekDay]]=1, calendar[[#This Row],[WeekDay]]=7),P1216,P1216+1)</f>
        <v>869</v>
      </c>
      <c r="S1217">
        <f>IF(OR(calendar[[#This Row],[PT_BH]]=1,calendar[[#This Row],[WeekDay]]=1, calendar[[#This Row],[WeekDay]]=7),P1216,P1216+1)</f>
        <v>869</v>
      </c>
    </row>
    <row r="1218" spans="1:19" x14ac:dyDescent="0.25">
      <c r="A1218" s="2">
        <v>43952</v>
      </c>
      <c r="B1218" s="1">
        <f t="shared" ref="B1218:B1281" si="98">WEEKNUM(A1218)</f>
        <v>18</v>
      </c>
      <c r="C1218">
        <f t="shared" si="95"/>
        <v>5</v>
      </c>
      <c r="D1218" t="str">
        <f t="shared" si="96"/>
        <v>May</v>
      </c>
      <c r="E1218">
        <f t="shared" si="97"/>
        <v>2020</v>
      </c>
      <c r="F1218" t="str">
        <f>CONCATENATE(calendar[[#This Row],[Month]],"/",calendar[[#This Row],[Year]])</f>
        <v>5/2020</v>
      </c>
      <c r="G1218">
        <f>WEEKDAY(calendar[[#This Row],[Date]],1)</f>
        <v>6</v>
      </c>
      <c r="H1218" t="str">
        <f>TEXT(calendar[[#This Row],[WeekDay]],"dddd")</f>
        <v>Friday</v>
      </c>
      <c r="I1218">
        <f>IF((INT(calendar[[#This Row],[Count]]/7)-calendar[[#This Row],[Count]]/7)&lt;0,I1217,I1217+1)</f>
        <v>174</v>
      </c>
      <c r="J1218">
        <f t="shared" si="94"/>
        <v>1216</v>
      </c>
      <c r="K1218">
        <f>IF(calendar[[#This Row],[Month]]&lt;4,1,IF(calendar[[#This Row],[Month]]&lt;7,2,IF(calendar[[#This Row],[Month]]&lt;10,3,4)))</f>
        <v>2</v>
      </c>
      <c r="L1218">
        <f>IFERROR(IF(VLOOKUP(calendar[[#This Row],[Date]],BH!A:A,1,)&lt;&gt;"",1,0),0)</f>
        <v>0</v>
      </c>
      <c r="M1218">
        <f>IFERROR(IF(VLOOKUP(calendar[[#This Row],[Date]],BH!C:C,1,)&lt;&gt;"",1,0),0)</f>
        <v>0</v>
      </c>
      <c r="N1218">
        <f>IFERROR(IF(VLOOKUP(calendar[[#This Row],[Date]],BH!E:E,1,)&lt;&gt;"",1,0),0)</f>
        <v>0</v>
      </c>
      <c r="O1218">
        <f>IFERROR(IF(VLOOKUP(calendar[[#This Row],[Date]],BH!G:G,1,)&lt;&gt;"",1,0),0)</f>
        <v>0</v>
      </c>
      <c r="P1218">
        <f>IF(OR(calendar[[#This Row],[UK_BH]]=1,calendar[[#This Row],[WeekDay]]=1, calendar[[#This Row],[WeekDay]]=7),P1217,P1217+1)</f>
        <v>870</v>
      </c>
      <c r="Q1218">
        <f>IF(OR(calendar[[#This Row],[FR_BH]]=1,calendar[[#This Row],[WeekDay]]=1, calendar[[#This Row],[WeekDay]]=7),P1217,P1217+1)</f>
        <v>870</v>
      </c>
      <c r="R1218">
        <f>IF(OR(calendar[[#This Row],[SP_BH]]=1,calendar[[#This Row],[WeekDay]]=1, calendar[[#This Row],[WeekDay]]=7),P1217,P1217+1)</f>
        <v>870</v>
      </c>
      <c r="S1218">
        <f>IF(OR(calendar[[#This Row],[PT_BH]]=1,calendar[[#This Row],[WeekDay]]=1, calendar[[#This Row],[WeekDay]]=7),P1217,P1217+1)</f>
        <v>870</v>
      </c>
    </row>
    <row r="1219" spans="1:19" x14ac:dyDescent="0.25">
      <c r="A1219" s="2">
        <v>43953</v>
      </c>
      <c r="B1219" s="1">
        <f t="shared" si="98"/>
        <v>18</v>
      </c>
      <c r="C1219">
        <f t="shared" si="95"/>
        <v>5</v>
      </c>
      <c r="D1219" t="str">
        <f t="shared" si="96"/>
        <v>May</v>
      </c>
      <c r="E1219">
        <f t="shared" si="97"/>
        <v>2020</v>
      </c>
      <c r="F1219" t="str">
        <f>CONCATENATE(calendar[[#This Row],[Month]],"/",calendar[[#This Row],[Year]])</f>
        <v>5/2020</v>
      </c>
      <c r="G1219">
        <f>WEEKDAY(calendar[[#This Row],[Date]],1)</f>
        <v>7</v>
      </c>
      <c r="H1219" t="str">
        <f>TEXT(calendar[[#This Row],[WeekDay]],"dddd")</f>
        <v>Saturday</v>
      </c>
      <c r="I1219">
        <f>IF((INT(calendar[[#This Row],[Count]]/7)-calendar[[#This Row],[Count]]/7)&lt;0,I1218,I1218+1)</f>
        <v>174</v>
      </c>
      <c r="J1219">
        <f t="shared" ref="J1219:J1282" si="99">J1218+1</f>
        <v>1217</v>
      </c>
      <c r="K1219">
        <f>IF(calendar[[#This Row],[Month]]&lt;4,1,IF(calendar[[#This Row],[Month]]&lt;7,2,IF(calendar[[#This Row],[Month]]&lt;10,3,4)))</f>
        <v>2</v>
      </c>
      <c r="L1219">
        <f>IFERROR(IF(VLOOKUP(calendar[[#This Row],[Date]],BH!A:A,1,)&lt;&gt;"",1,0),0)</f>
        <v>0</v>
      </c>
      <c r="M1219">
        <f>IFERROR(IF(VLOOKUP(calendar[[#This Row],[Date]],BH!C:C,1,)&lt;&gt;"",1,0),0)</f>
        <v>0</v>
      </c>
      <c r="N1219">
        <f>IFERROR(IF(VLOOKUP(calendar[[#This Row],[Date]],BH!E:E,1,)&lt;&gt;"",1,0),0)</f>
        <v>0</v>
      </c>
      <c r="O1219">
        <f>IFERROR(IF(VLOOKUP(calendar[[#This Row],[Date]],BH!G:G,1,)&lt;&gt;"",1,0),0)</f>
        <v>0</v>
      </c>
      <c r="P1219">
        <f>IF(OR(calendar[[#This Row],[UK_BH]]=1,calendar[[#This Row],[WeekDay]]=1, calendar[[#This Row],[WeekDay]]=7),P1218,P1218+1)</f>
        <v>870</v>
      </c>
      <c r="Q1219">
        <f>IF(OR(calendar[[#This Row],[FR_BH]]=1,calendar[[#This Row],[WeekDay]]=1, calendar[[#This Row],[WeekDay]]=7),P1218,P1218+1)</f>
        <v>870</v>
      </c>
      <c r="R1219">
        <f>IF(OR(calendar[[#This Row],[SP_BH]]=1,calendar[[#This Row],[WeekDay]]=1, calendar[[#This Row],[WeekDay]]=7),P1218,P1218+1)</f>
        <v>870</v>
      </c>
      <c r="S1219">
        <f>IF(OR(calendar[[#This Row],[PT_BH]]=1,calendar[[#This Row],[WeekDay]]=1, calendar[[#This Row],[WeekDay]]=7),P1218,P1218+1)</f>
        <v>870</v>
      </c>
    </row>
    <row r="1220" spans="1:19" x14ac:dyDescent="0.25">
      <c r="A1220" s="2">
        <v>43954</v>
      </c>
      <c r="B1220" s="1">
        <f t="shared" si="98"/>
        <v>19</v>
      </c>
      <c r="C1220">
        <f t="shared" si="95"/>
        <v>5</v>
      </c>
      <c r="D1220" t="str">
        <f t="shared" si="96"/>
        <v>May</v>
      </c>
      <c r="E1220">
        <f t="shared" si="97"/>
        <v>2020</v>
      </c>
      <c r="F1220" t="str">
        <f>CONCATENATE(calendar[[#This Row],[Month]],"/",calendar[[#This Row],[Year]])</f>
        <v>5/2020</v>
      </c>
      <c r="G1220">
        <f>WEEKDAY(calendar[[#This Row],[Date]],1)</f>
        <v>1</v>
      </c>
      <c r="H1220" t="str">
        <f>TEXT(calendar[[#This Row],[WeekDay]],"dddd")</f>
        <v>Sunday</v>
      </c>
      <c r="I1220">
        <f>IF((INT(calendar[[#This Row],[Count]]/7)-calendar[[#This Row],[Count]]/7)&lt;0,I1219,I1219+1)</f>
        <v>175</v>
      </c>
      <c r="J1220">
        <f t="shared" si="99"/>
        <v>1218</v>
      </c>
      <c r="K1220">
        <f>IF(calendar[[#This Row],[Month]]&lt;4,1,IF(calendar[[#This Row],[Month]]&lt;7,2,IF(calendar[[#This Row],[Month]]&lt;10,3,4)))</f>
        <v>2</v>
      </c>
      <c r="L1220">
        <f>IFERROR(IF(VLOOKUP(calendar[[#This Row],[Date]],BH!A:A,1,)&lt;&gt;"",1,0),0)</f>
        <v>0</v>
      </c>
      <c r="M1220">
        <f>IFERROR(IF(VLOOKUP(calendar[[#This Row],[Date]],BH!C:C,1,)&lt;&gt;"",1,0),0)</f>
        <v>0</v>
      </c>
      <c r="N1220">
        <f>IFERROR(IF(VLOOKUP(calendar[[#This Row],[Date]],BH!E:E,1,)&lt;&gt;"",1,0),0)</f>
        <v>0</v>
      </c>
      <c r="O1220">
        <f>IFERROR(IF(VLOOKUP(calendar[[#This Row],[Date]],BH!G:G,1,)&lt;&gt;"",1,0),0)</f>
        <v>0</v>
      </c>
      <c r="P1220">
        <f>IF(OR(calendar[[#This Row],[UK_BH]]=1,calendar[[#This Row],[WeekDay]]=1, calendar[[#This Row],[WeekDay]]=7),P1219,P1219+1)</f>
        <v>870</v>
      </c>
      <c r="Q1220">
        <f>IF(OR(calendar[[#This Row],[FR_BH]]=1,calendar[[#This Row],[WeekDay]]=1, calendar[[#This Row],[WeekDay]]=7),P1219,P1219+1)</f>
        <v>870</v>
      </c>
      <c r="R1220">
        <f>IF(OR(calendar[[#This Row],[SP_BH]]=1,calendar[[#This Row],[WeekDay]]=1, calendar[[#This Row],[WeekDay]]=7),P1219,P1219+1)</f>
        <v>870</v>
      </c>
      <c r="S1220">
        <f>IF(OR(calendar[[#This Row],[PT_BH]]=1,calendar[[#This Row],[WeekDay]]=1, calendar[[#This Row],[WeekDay]]=7),P1219,P1219+1)</f>
        <v>870</v>
      </c>
    </row>
    <row r="1221" spans="1:19" x14ac:dyDescent="0.25">
      <c r="A1221" s="2">
        <v>43955</v>
      </c>
      <c r="B1221" s="1">
        <f t="shared" si="98"/>
        <v>19</v>
      </c>
      <c r="C1221">
        <f t="shared" si="95"/>
        <v>5</v>
      </c>
      <c r="D1221" t="str">
        <f t="shared" si="96"/>
        <v>May</v>
      </c>
      <c r="E1221">
        <f t="shared" si="97"/>
        <v>2020</v>
      </c>
      <c r="F1221" t="str">
        <f>CONCATENATE(calendar[[#This Row],[Month]],"/",calendar[[#This Row],[Year]])</f>
        <v>5/2020</v>
      </c>
      <c r="G1221">
        <f>WEEKDAY(calendar[[#This Row],[Date]],1)</f>
        <v>2</v>
      </c>
      <c r="H1221" t="str">
        <f>TEXT(calendar[[#This Row],[WeekDay]],"dddd")</f>
        <v>Monday</v>
      </c>
      <c r="I1221">
        <f>IF((INT(calendar[[#This Row],[Count]]/7)-calendar[[#This Row],[Count]]/7)&lt;0,I1220,I1220+1)</f>
        <v>175</v>
      </c>
      <c r="J1221">
        <f t="shared" si="99"/>
        <v>1219</v>
      </c>
      <c r="K1221">
        <f>IF(calendar[[#This Row],[Month]]&lt;4,1,IF(calendar[[#This Row],[Month]]&lt;7,2,IF(calendar[[#This Row],[Month]]&lt;10,3,4)))</f>
        <v>2</v>
      </c>
      <c r="L1221">
        <f>IFERROR(IF(VLOOKUP(calendar[[#This Row],[Date]],BH!A:A,1,)&lt;&gt;"",1,0),0)</f>
        <v>0</v>
      </c>
      <c r="M1221">
        <f>IFERROR(IF(VLOOKUP(calendar[[#This Row],[Date]],BH!C:C,1,)&lt;&gt;"",1,0),0)</f>
        <v>0</v>
      </c>
      <c r="N1221">
        <f>IFERROR(IF(VLOOKUP(calendar[[#This Row],[Date]],BH!E:E,1,)&lt;&gt;"",1,0),0)</f>
        <v>0</v>
      </c>
      <c r="O1221">
        <f>IFERROR(IF(VLOOKUP(calendar[[#This Row],[Date]],BH!G:G,1,)&lt;&gt;"",1,0),0)</f>
        <v>0</v>
      </c>
      <c r="P1221">
        <f>IF(OR(calendar[[#This Row],[UK_BH]]=1,calendar[[#This Row],[WeekDay]]=1, calendar[[#This Row],[WeekDay]]=7),P1220,P1220+1)</f>
        <v>871</v>
      </c>
      <c r="Q1221">
        <f>IF(OR(calendar[[#This Row],[FR_BH]]=1,calendar[[#This Row],[WeekDay]]=1, calendar[[#This Row],[WeekDay]]=7),P1220,P1220+1)</f>
        <v>871</v>
      </c>
      <c r="R1221">
        <f>IF(OR(calendar[[#This Row],[SP_BH]]=1,calendar[[#This Row],[WeekDay]]=1, calendar[[#This Row],[WeekDay]]=7),P1220,P1220+1)</f>
        <v>871</v>
      </c>
      <c r="S1221">
        <f>IF(OR(calendar[[#This Row],[PT_BH]]=1,calendar[[#This Row],[WeekDay]]=1, calendar[[#This Row],[WeekDay]]=7),P1220,P1220+1)</f>
        <v>871</v>
      </c>
    </row>
    <row r="1222" spans="1:19" x14ac:dyDescent="0.25">
      <c r="A1222" s="2">
        <v>43956</v>
      </c>
      <c r="B1222" s="1">
        <f t="shared" si="98"/>
        <v>19</v>
      </c>
      <c r="C1222">
        <f t="shared" si="95"/>
        <v>5</v>
      </c>
      <c r="D1222" t="str">
        <f t="shared" si="96"/>
        <v>May</v>
      </c>
      <c r="E1222">
        <f t="shared" si="97"/>
        <v>2020</v>
      </c>
      <c r="F1222" t="str">
        <f>CONCATENATE(calendar[[#This Row],[Month]],"/",calendar[[#This Row],[Year]])</f>
        <v>5/2020</v>
      </c>
      <c r="G1222">
        <f>WEEKDAY(calendar[[#This Row],[Date]],1)</f>
        <v>3</v>
      </c>
      <c r="H1222" t="str">
        <f>TEXT(calendar[[#This Row],[WeekDay]],"dddd")</f>
        <v>Tuesday</v>
      </c>
      <c r="I1222">
        <f>IF((INT(calendar[[#This Row],[Count]]/7)-calendar[[#This Row],[Count]]/7)&lt;0,I1221,I1221+1)</f>
        <v>175</v>
      </c>
      <c r="J1222">
        <f t="shared" si="99"/>
        <v>1220</v>
      </c>
      <c r="K1222">
        <f>IF(calendar[[#This Row],[Month]]&lt;4,1,IF(calendar[[#This Row],[Month]]&lt;7,2,IF(calendar[[#This Row],[Month]]&lt;10,3,4)))</f>
        <v>2</v>
      </c>
      <c r="L1222">
        <f>IFERROR(IF(VLOOKUP(calendar[[#This Row],[Date]],BH!A:A,1,)&lt;&gt;"",1,0),0)</f>
        <v>0</v>
      </c>
      <c r="M1222">
        <f>IFERROR(IF(VLOOKUP(calendar[[#This Row],[Date]],BH!C:C,1,)&lt;&gt;"",1,0),0)</f>
        <v>0</v>
      </c>
      <c r="N1222">
        <f>IFERROR(IF(VLOOKUP(calendar[[#This Row],[Date]],BH!E:E,1,)&lt;&gt;"",1,0),0)</f>
        <v>0</v>
      </c>
      <c r="O1222">
        <f>IFERROR(IF(VLOOKUP(calendar[[#This Row],[Date]],BH!G:G,1,)&lt;&gt;"",1,0),0)</f>
        <v>0</v>
      </c>
      <c r="P1222">
        <f>IF(OR(calendar[[#This Row],[UK_BH]]=1,calendar[[#This Row],[WeekDay]]=1, calendar[[#This Row],[WeekDay]]=7),P1221,P1221+1)</f>
        <v>872</v>
      </c>
      <c r="Q1222">
        <f>IF(OR(calendar[[#This Row],[FR_BH]]=1,calendar[[#This Row],[WeekDay]]=1, calendar[[#This Row],[WeekDay]]=7),P1221,P1221+1)</f>
        <v>872</v>
      </c>
      <c r="R1222">
        <f>IF(OR(calendar[[#This Row],[SP_BH]]=1,calendar[[#This Row],[WeekDay]]=1, calendar[[#This Row],[WeekDay]]=7),P1221,P1221+1)</f>
        <v>872</v>
      </c>
      <c r="S1222">
        <f>IF(OR(calendar[[#This Row],[PT_BH]]=1,calendar[[#This Row],[WeekDay]]=1, calendar[[#This Row],[WeekDay]]=7),P1221,P1221+1)</f>
        <v>872</v>
      </c>
    </row>
    <row r="1223" spans="1:19" x14ac:dyDescent="0.25">
      <c r="A1223" s="2">
        <v>43957</v>
      </c>
      <c r="B1223" s="1">
        <f t="shared" si="98"/>
        <v>19</v>
      </c>
      <c r="C1223">
        <f t="shared" si="95"/>
        <v>5</v>
      </c>
      <c r="D1223" t="str">
        <f t="shared" si="96"/>
        <v>May</v>
      </c>
      <c r="E1223">
        <f t="shared" si="97"/>
        <v>2020</v>
      </c>
      <c r="F1223" t="str">
        <f>CONCATENATE(calendar[[#This Row],[Month]],"/",calendar[[#This Row],[Year]])</f>
        <v>5/2020</v>
      </c>
      <c r="G1223">
        <f>WEEKDAY(calendar[[#This Row],[Date]],1)</f>
        <v>4</v>
      </c>
      <c r="H1223" t="str">
        <f>TEXT(calendar[[#This Row],[WeekDay]],"dddd")</f>
        <v>Wednesday</v>
      </c>
      <c r="I1223">
        <f>IF((INT(calendar[[#This Row],[Count]]/7)-calendar[[#This Row],[Count]]/7)&lt;0,I1222,I1222+1)</f>
        <v>175</v>
      </c>
      <c r="J1223">
        <f t="shared" si="99"/>
        <v>1221</v>
      </c>
      <c r="K1223">
        <f>IF(calendar[[#This Row],[Month]]&lt;4,1,IF(calendar[[#This Row],[Month]]&lt;7,2,IF(calendar[[#This Row],[Month]]&lt;10,3,4)))</f>
        <v>2</v>
      </c>
      <c r="L1223">
        <f>IFERROR(IF(VLOOKUP(calendar[[#This Row],[Date]],BH!A:A,1,)&lt;&gt;"",1,0),0)</f>
        <v>0</v>
      </c>
      <c r="M1223">
        <f>IFERROR(IF(VLOOKUP(calendar[[#This Row],[Date]],BH!C:C,1,)&lt;&gt;"",1,0),0)</f>
        <v>0</v>
      </c>
      <c r="N1223">
        <f>IFERROR(IF(VLOOKUP(calendar[[#This Row],[Date]],BH!E:E,1,)&lt;&gt;"",1,0),0)</f>
        <v>0</v>
      </c>
      <c r="O1223">
        <f>IFERROR(IF(VLOOKUP(calendar[[#This Row],[Date]],BH!G:G,1,)&lt;&gt;"",1,0),0)</f>
        <v>0</v>
      </c>
      <c r="P1223">
        <f>IF(OR(calendar[[#This Row],[UK_BH]]=1,calendar[[#This Row],[WeekDay]]=1, calendar[[#This Row],[WeekDay]]=7),P1222,P1222+1)</f>
        <v>873</v>
      </c>
      <c r="Q1223">
        <f>IF(OR(calendar[[#This Row],[FR_BH]]=1,calendar[[#This Row],[WeekDay]]=1, calendar[[#This Row],[WeekDay]]=7),P1222,P1222+1)</f>
        <v>873</v>
      </c>
      <c r="R1223">
        <f>IF(OR(calendar[[#This Row],[SP_BH]]=1,calendar[[#This Row],[WeekDay]]=1, calendar[[#This Row],[WeekDay]]=7),P1222,P1222+1)</f>
        <v>873</v>
      </c>
      <c r="S1223">
        <f>IF(OR(calendar[[#This Row],[PT_BH]]=1,calendar[[#This Row],[WeekDay]]=1, calendar[[#This Row],[WeekDay]]=7),P1222,P1222+1)</f>
        <v>873</v>
      </c>
    </row>
    <row r="1224" spans="1:19" x14ac:dyDescent="0.25">
      <c r="A1224" s="2">
        <v>43958</v>
      </c>
      <c r="B1224" s="1">
        <f t="shared" si="98"/>
        <v>19</v>
      </c>
      <c r="C1224">
        <f t="shared" si="95"/>
        <v>5</v>
      </c>
      <c r="D1224" t="str">
        <f t="shared" si="96"/>
        <v>May</v>
      </c>
      <c r="E1224">
        <f t="shared" si="97"/>
        <v>2020</v>
      </c>
      <c r="F1224" t="str">
        <f>CONCATENATE(calendar[[#This Row],[Month]],"/",calendar[[#This Row],[Year]])</f>
        <v>5/2020</v>
      </c>
      <c r="G1224">
        <f>WEEKDAY(calendar[[#This Row],[Date]],1)</f>
        <v>5</v>
      </c>
      <c r="H1224" t="str">
        <f>TEXT(calendar[[#This Row],[WeekDay]],"dddd")</f>
        <v>Thursday</v>
      </c>
      <c r="I1224">
        <f>IF((INT(calendar[[#This Row],[Count]]/7)-calendar[[#This Row],[Count]]/7)&lt;0,I1223,I1223+1)</f>
        <v>175</v>
      </c>
      <c r="J1224">
        <f t="shared" si="99"/>
        <v>1222</v>
      </c>
      <c r="K1224">
        <f>IF(calendar[[#This Row],[Month]]&lt;4,1,IF(calendar[[#This Row],[Month]]&lt;7,2,IF(calendar[[#This Row],[Month]]&lt;10,3,4)))</f>
        <v>2</v>
      </c>
      <c r="L1224">
        <f>IFERROR(IF(VLOOKUP(calendar[[#This Row],[Date]],BH!A:A,1,)&lt;&gt;"",1,0),0)</f>
        <v>0</v>
      </c>
      <c r="M1224">
        <f>IFERROR(IF(VLOOKUP(calendar[[#This Row],[Date]],BH!C:C,1,)&lt;&gt;"",1,0),0)</f>
        <v>0</v>
      </c>
      <c r="N1224">
        <f>IFERROR(IF(VLOOKUP(calendar[[#This Row],[Date]],BH!E:E,1,)&lt;&gt;"",1,0),0)</f>
        <v>0</v>
      </c>
      <c r="O1224">
        <f>IFERROR(IF(VLOOKUP(calendar[[#This Row],[Date]],BH!G:G,1,)&lt;&gt;"",1,0),0)</f>
        <v>0</v>
      </c>
      <c r="P1224">
        <f>IF(OR(calendar[[#This Row],[UK_BH]]=1,calendar[[#This Row],[WeekDay]]=1, calendar[[#This Row],[WeekDay]]=7),P1223,P1223+1)</f>
        <v>874</v>
      </c>
      <c r="Q1224">
        <f>IF(OR(calendar[[#This Row],[FR_BH]]=1,calendar[[#This Row],[WeekDay]]=1, calendar[[#This Row],[WeekDay]]=7),P1223,P1223+1)</f>
        <v>874</v>
      </c>
      <c r="R1224">
        <f>IF(OR(calendar[[#This Row],[SP_BH]]=1,calendar[[#This Row],[WeekDay]]=1, calendar[[#This Row],[WeekDay]]=7),P1223,P1223+1)</f>
        <v>874</v>
      </c>
      <c r="S1224">
        <f>IF(OR(calendar[[#This Row],[PT_BH]]=1,calendar[[#This Row],[WeekDay]]=1, calendar[[#This Row],[WeekDay]]=7),P1223,P1223+1)</f>
        <v>874</v>
      </c>
    </row>
    <row r="1225" spans="1:19" x14ac:dyDescent="0.25">
      <c r="A1225" s="2">
        <v>43959</v>
      </c>
      <c r="B1225" s="1">
        <f t="shared" si="98"/>
        <v>19</v>
      </c>
      <c r="C1225">
        <f t="shared" si="95"/>
        <v>5</v>
      </c>
      <c r="D1225" t="str">
        <f t="shared" si="96"/>
        <v>May</v>
      </c>
      <c r="E1225">
        <f t="shared" si="97"/>
        <v>2020</v>
      </c>
      <c r="F1225" t="str">
        <f>CONCATENATE(calendar[[#This Row],[Month]],"/",calendar[[#This Row],[Year]])</f>
        <v>5/2020</v>
      </c>
      <c r="G1225">
        <f>WEEKDAY(calendar[[#This Row],[Date]],1)</f>
        <v>6</v>
      </c>
      <c r="H1225" t="str">
        <f>TEXT(calendar[[#This Row],[WeekDay]],"dddd")</f>
        <v>Friday</v>
      </c>
      <c r="I1225">
        <f>IF((INT(calendar[[#This Row],[Count]]/7)-calendar[[#This Row],[Count]]/7)&lt;0,I1224,I1224+1)</f>
        <v>175</v>
      </c>
      <c r="J1225">
        <f t="shared" si="99"/>
        <v>1223</v>
      </c>
      <c r="K1225">
        <f>IF(calendar[[#This Row],[Month]]&lt;4,1,IF(calendar[[#This Row],[Month]]&lt;7,2,IF(calendar[[#This Row],[Month]]&lt;10,3,4)))</f>
        <v>2</v>
      </c>
      <c r="L1225">
        <f>IFERROR(IF(VLOOKUP(calendar[[#This Row],[Date]],BH!A:A,1,)&lt;&gt;"",1,0),0)</f>
        <v>0</v>
      </c>
      <c r="M1225">
        <f>IFERROR(IF(VLOOKUP(calendar[[#This Row],[Date]],BH!C:C,1,)&lt;&gt;"",1,0),0)</f>
        <v>0</v>
      </c>
      <c r="N1225">
        <f>IFERROR(IF(VLOOKUP(calendar[[#This Row],[Date]],BH!E:E,1,)&lt;&gt;"",1,0),0)</f>
        <v>0</v>
      </c>
      <c r="O1225">
        <f>IFERROR(IF(VLOOKUP(calendar[[#This Row],[Date]],BH!G:G,1,)&lt;&gt;"",1,0),0)</f>
        <v>0</v>
      </c>
      <c r="P1225">
        <f>IF(OR(calendar[[#This Row],[UK_BH]]=1,calendar[[#This Row],[WeekDay]]=1, calendar[[#This Row],[WeekDay]]=7),P1224,P1224+1)</f>
        <v>875</v>
      </c>
      <c r="Q1225">
        <f>IF(OR(calendar[[#This Row],[FR_BH]]=1,calendar[[#This Row],[WeekDay]]=1, calendar[[#This Row],[WeekDay]]=7),P1224,P1224+1)</f>
        <v>875</v>
      </c>
      <c r="R1225">
        <f>IF(OR(calendar[[#This Row],[SP_BH]]=1,calendar[[#This Row],[WeekDay]]=1, calendar[[#This Row],[WeekDay]]=7),P1224,P1224+1)</f>
        <v>875</v>
      </c>
      <c r="S1225">
        <f>IF(OR(calendar[[#This Row],[PT_BH]]=1,calendar[[#This Row],[WeekDay]]=1, calendar[[#This Row],[WeekDay]]=7),P1224,P1224+1)</f>
        <v>875</v>
      </c>
    </row>
    <row r="1226" spans="1:19" x14ac:dyDescent="0.25">
      <c r="A1226" s="2">
        <v>43960</v>
      </c>
      <c r="B1226" s="1">
        <f t="shared" si="98"/>
        <v>19</v>
      </c>
      <c r="C1226">
        <f t="shared" si="95"/>
        <v>5</v>
      </c>
      <c r="D1226" t="str">
        <f t="shared" si="96"/>
        <v>May</v>
      </c>
      <c r="E1226">
        <f t="shared" si="97"/>
        <v>2020</v>
      </c>
      <c r="F1226" t="str">
        <f>CONCATENATE(calendar[[#This Row],[Month]],"/",calendar[[#This Row],[Year]])</f>
        <v>5/2020</v>
      </c>
      <c r="G1226">
        <f>WEEKDAY(calendar[[#This Row],[Date]],1)</f>
        <v>7</v>
      </c>
      <c r="H1226" t="str">
        <f>TEXT(calendar[[#This Row],[WeekDay]],"dddd")</f>
        <v>Saturday</v>
      </c>
      <c r="I1226">
        <f>IF((INT(calendar[[#This Row],[Count]]/7)-calendar[[#This Row],[Count]]/7)&lt;0,I1225,I1225+1)</f>
        <v>175</v>
      </c>
      <c r="J1226">
        <f t="shared" si="99"/>
        <v>1224</v>
      </c>
      <c r="K1226">
        <f>IF(calendar[[#This Row],[Month]]&lt;4,1,IF(calendar[[#This Row],[Month]]&lt;7,2,IF(calendar[[#This Row],[Month]]&lt;10,3,4)))</f>
        <v>2</v>
      </c>
      <c r="L1226">
        <f>IFERROR(IF(VLOOKUP(calendar[[#This Row],[Date]],BH!A:A,1,)&lt;&gt;"",1,0),0)</f>
        <v>0</v>
      </c>
      <c r="M1226">
        <f>IFERROR(IF(VLOOKUP(calendar[[#This Row],[Date]],BH!C:C,1,)&lt;&gt;"",1,0),0)</f>
        <v>0</v>
      </c>
      <c r="N1226">
        <f>IFERROR(IF(VLOOKUP(calendar[[#This Row],[Date]],BH!E:E,1,)&lt;&gt;"",1,0),0)</f>
        <v>0</v>
      </c>
      <c r="O1226">
        <f>IFERROR(IF(VLOOKUP(calendar[[#This Row],[Date]],BH!G:G,1,)&lt;&gt;"",1,0),0)</f>
        <v>0</v>
      </c>
      <c r="P1226">
        <f>IF(OR(calendar[[#This Row],[UK_BH]]=1,calendar[[#This Row],[WeekDay]]=1, calendar[[#This Row],[WeekDay]]=7),P1225,P1225+1)</f>
        <v>875</v>
      </c>
      <c r="Q1226">
        <f>IF(OR(calendar[[#This Row],[FR_BH]]=1,calendar[[#This Row],[WeekDay]]=1, calendar[[#This Row],[WeekDay]]=7),P1225,P1225+1)</f>
        <v>875</v>
      </c>
      <c r="R1226">
        <f>IF(OR(calendar[[#This Row],[SP_BH]]=1,calendar[[#This Row],[WeekDay]]=1, calendar[[#This Row],[WeekDay]]=7),P1225,P1225+1)</f>
        <v>875</v>
      </c>
      <c r="S1226">
        <f>IF(OR(calendar[[#This Row],[PT_BH]]=1,calendar[[#This Row],[WeekDay]]=1, calendar[[#This Row],[WeekDay]]=7),P1225,P1225+1)</f>
        <v>875</v>
      </c>
    </row>
    <row r="1227" spans="1:19" x14ac:dyDescent="0.25">
      <c r="A1227" s="2">
        <v>43961</v>
      </c>
      <c r="B1227" s="1">
        <f t="shared" si="98"/>
        <v>20</v>
      </c>
      <c r="C1227">
        <f t="shared" si="95"/>
        <v>5</v>
      </c>
      <c r="D1227" t="str">
        <f t="shared" si="96"/>
        <v>May</v>
      </c>
      <c r="E1227">
        <f t="shared" si="97"/>
        <v>2020</v>
      </c>
      <c r="F1227" t="str">
        <f>CONCATENATE(calendar[[#This Row],[Month]],"/",calendar[[#This Row],[Year]])</f>
        <v>5/2020</v>
      </c>
      <c r="G1227">
        <f>WEEKDAY(calendar[[#This Row],[Date]],1)</f>
        <v>1</v>
      </c>
      <c r="H1227" t="str">
        <f>TEXT(calendar[[#This Row],[WeekDay]],"dddd")</f>
        <v>Sunday</v>
      </c>
      <c r="I1227">
        <f>IF((INT(calendar[[#This Row],[Count]]/7)-calendar[[#This Row],[Count]]/7)&lt;0,I1226,I1226+1)</f>
        <v>176</v>
      </c>
      <c r="J1227">
        <f t="shared" si="99"/>
        <v>1225</v>
      </c>
      <c r="K1227">
        <f>IF(calendar[[#This Row],[Month]]&lt;4,1,IF(calendar[[#This Row],[Month]]&lt;7,2,IF(calendar[[#This Row],[Month]]&lt;10,3,4)))</f>
        <v>2</v>
      </c>
      <c r="L1227">
        <f>IFERROR(IF(VLOOKUP(calendar[[#This Row],[Date]],BH!A:A,1,)&lt;&gt;"",1,0),0)</f>
        <v>0</v>
      </c>
      <c r="M1227">
        <f>IFERROR(IF(VLOOKUP(calendar[[#This Row],[Date]],BH!C:C,1,)&lt;&gt;"",1,0),0)</f>
        <v>0</v>
      </c>
      <c r="N1227">
        <f>IFERROR(IF(VLOOKUP(calendar[[#This Row],[Date]],BH!E:E,1,)&lt;&gt;"",1,0),0)</f>
        <v>0</v>
      </c>
      <c r="O1227">
        <f>IFERROR(IF(VLOOKUP(calendar[[#This Row],[Date]],BH!G:G,1,)&lt;&gt;"",1,0),0)</f>
        <v>0</v>
      </c>
      <c r="P1227">
        <f>IF(OR(calendar[[#This Row],[UK_BH]]=1,calendar[[#This Row],[WeekDay]]=1, calendar[[#This Row],[WeekDay]]=7),P1226,P1226+1)</f>
        <v>875</v>
      </c>
      <c r="Q1227">
        <f>IF(OR(calendar[[#This Row],[FR_BH]]=1,calendar[[#This Row],[WeekDay]]=1, calendar[[#This Row],[WeekDay]]=7),P1226,P1226+1)</f>
        <v>875</v>
      </c>
      <c r="R1227">
        <f>IF(OR(calendar[[#This Row],[SP_BH]]=1,calendar[[#This Row],[WeekDay]]=1, calendar[[#This Row],[WeekDay]]=7),P1226,P1226+1)</f>
        <v>875</v>
      </c>
      <c r="S1227">
        <f>IF(OR(calendar[[#This Row],[PT_BH]]=1,calendar[[#This Row],[WeekDay]]=1, calendar[[#This Row],[WeekDay]]=7),P1226,P1226+1)</f>
        <v>875</v>
      </c>
    </row>
    <row r="1228" spans="1:19" x14ac:dyDescent="0.25">
      <c r="A1228" s="2">
        <v>43962</v>
      </c>
      <c r="B1228" s="1">
        <f t="shared" si="98"/>
        <v>20</v>
      </c>
      <c r="C1228">
        <f t="shared" si="95"/>
        <v>5</v>
      </c>
      <c r="D1228" t="str">
        <f t="shared" si="96"/>
        <v>May</v>
      </c>
      <c r="E1228">
        <f t="shared" si="97"/>
        <v>2020</v>
      </c>
      <c r="F1228" t="str">
        <f>CONCATENATE(calendar[[#This Row],[Month]],"/",calendar[[#This Row],[Year]])</f>
        <v>5/2020</v>
      </c>
      <c r="G1228">
        <f>WEEKDAY(calendar[[#This Row],[Date]],1)</f>
        <v>2</v>
      </c>
      <c r="H1228" t="str">
        <f>TEXT(calendar[[#This Row],[WeekDay]],"dddd")</f>
        <v>Monday</v>
      </c>
      <c r="I1228">
        <f>IF((INT(calendar[[#This Row],[Count]]/7)-calendar[[#This Row],[Count]]/7)&lt;0,I1227,I1227+1)</f>
        <v>176</v>
      </c>
      <c r="J1228">
        <f t="shared" si="99"/>
        <v>1226</v>
      </c>
      <c r="K1228">
        <f>IF(calendar[[#This Row],[Month]]&lt;4,1,IF(calendar[[#This Row],[Month]]&lt;7,2,IF(calendar[[#This Row],[Month]]&lt;10,3,4)))</f>
        <v>2</v>
      </c>
      <c r="L1228">
        <f>IFERROR(IF(VLOOKUP(calendar[[#This Row],[Date]],BH!A:A,1,)&lt;&gt;"",1,0),0)</f>
        <v>0</v>
      </c>
      <c r="M1228">
        <f>IFERROR(IF(VLOOKUP(calendar[[#This Row],[Date]],BH!C:C,1,)&lt;&gt;"",1,0),0)</f>
        <v>0</v>
      </c>
      <c r="N1228">
        <f>IFERROR(IF(VLOOKUP(calendar[[#This Row],[Date]],BH!E:E,1,)&lt;&gt;"",1,0),0)</f>
        <v>0</v>
      </c>
      <c r="O1228">
        <f>IFERROR(IF(VLOOKUP(calendar[[#This Row],[Date]],BH!G:G,1,)&lt;&gt;"",1,0),0)</f>
        <v>0</v>
      </c>
      <c r="P1228">
        <f>IF(OR(calendar[[#This Row],[UK_BH]]=1,calendar[[#This Row],[WeekDay]]=1, calendar[[#This Row],[WeekDay]]=7),P1227,P1227+1)</f>
        <v>876</v>
      </c>
      <c r="Q1228">
        <f>IF(OR(calendar[[#This Row],[FR_BH]]=1,calendar[[#This Row],[WeekDay]]=1, calendar[[#This Row],[WeekDay]]=7),P1227,P1227+1)</f>
        <v>876</v>
      </c>
      <c r="R1228">
        <f>IF(OR(calendar[[#This Row],[SP_BH]]=1,calendar[[#This Row],[WeekDay]]=1, calendar[[#This Row],[WeekDay]]=7),P1227,P1227+1)</f>
        <v>876</v>
      </c>
      <c r="S1228">
        <f>IF(OR(calendar[[#This Row],[PT_BH]]=1,calendar[[#This Row],[WeekDay]]=1, calendar[[#This Row],[WeekDay]]=7),P1227,P1227+1)</f>
        <v>876</v>
      </c>
    </row>
    <row r="1229" spans="1:19" x14ac:dyDescent="0.25">
      <c r="A1229" s="2">
        <v>43963</v>
      </c>
      <c r="B1229" s="1">
        <f t="shared" si="98"/>
        <v>20</v>
      </c>
      <c r="C1229">
        <f t="shared" si="95"/>
        <v>5</v>
      </c>
      <c r="D1229" t="str">
        <f t="shared" si="96"/>
        <v>May</v>
      </c>
      <c r="E1229">
        <f t="shared" si="97"/>
        <v>2020</v>
      </c>
      <c r="F1229" t="str">
        <f>CONCATENATE(calendar[[#This Row],[Month]],"/",calendar[[#This Row],[Year]])</f>
        <v>5/2020</v>
      </c>
      <c r="G1229">
        <f>WEEKDAY(calendar[[#This Row],[Date]],1)</f>
        <v>3</v>
      </c>
      <c r="H1229" t="str">
        <f>TEXT(calendar[[#This Row],[WeekDay]],"dddd")</f>
        <v>Tuesday</v>
      </c>
      <c r="I1229">
        <f>IF((INT(calendar[[#This Row],[Count]]/7)-calendar[[#This Row],[Count]]/7)&lt;0,I1228,I1228+1)</f>
        <v>176</v>
      </c>
      <c r="J1229">
        <f t="shared" si="99"/>
        <v>1227</v>
      </c>
      <c r="K1229">
        <f>IF(calendar[[#This Row],[Month]]&lt;4,1,IF(calendar[[#This Row],[Month]]&lt;7,2,IF(calendar[[#This Row],[Month]]&lt;10,3,4)))</f>
        <v>2</v>
      </c>
      <c r="L1229">
        <f>IFERROR(IF(VLOOKUP(calendar[[#This Row],[Date]],BH!A:A,1,)&lt;&gt;"",1,0),0)</f>
        <v>0</v>
      </c>
      <c r="M1229">
        <f>IFERROR(IF(VLOOKUP(calendar[[#This Row],[Date]],BH!C:C,1,)&lt;&gt;"",1,0),0)</f>
        <v>0</v>
      </c>
      <c r="N1229">
        <f>IFERROR(IF(VLOOKUP(calendar[[#This Row],[Date]],BH!E:E,1,)&lt;&gt;"",1,0),0)</f>
        <v>0</v>
      </c>
      <c r="O1229">
        <f>IFERROR(IF(VLOOKUP(calendar[[#This Row],[Date]],BH!G:G,1,)&lt;&gt;"",1,0),0)</f>
        <v>0</v>
      </c>
      <c r="P1229">
        <f>IF(OR(calendar[[#This Row],[UK_BH]]=1,calendar[[#This Row],[WeekDay]]=1, calendar[[#This Row],[WeekDay]]=7),P1228,P1228+1)</f>
        <v>877</v>
      </c>
      <c r="Q1229">
        <f>IF(OR(calendar[[#This Row],[FR_BH]]=1,calendar[[#This Row],[WeekDay]]=1, calendar[[#This Row],[WeekDay]]=7),P1228,P1228+1)</f>
        <v>877</v>
      </c>
      <c r="R1229">
        <f>IF(OR(calendar[[#This Row],[SP_BH]]=1,calendar[[#This Row],[WeekDay]]=1, calendar[[#This Row],[WeekDay]]=7),P1228,P1228+1)</f>
        <v>877</v>
      </c>
      <c r="S1229">
        <f>IF(OR(calendar[[#This Row],[PT_BH]]=1,calendar[[#This Row],[WeekDay]]=1, calendar[[#This Row],[WeekDay]]=7),P1228,P1228+1)</f>
        <v>877</v>
      </c>
    </row>
    <row r="1230" spans="1:19" x14ac:dyDescent="0.25">
      <c r="A1230" s="2">
        <v>43964</v>
      </c>
      <c r="B1230" s="1">
        <f t="shared" si="98"/>
        <v>20</v>
      </c>
      <c r="C1230">
        <f t="shared" si="95"/>
        <v>5</v>
      </c>
      <c r="D1230" t="str">
        <f t="shared" si="96"/>
        <v>May</v>
      </c>
      <c r="E1230">
        <f t="shared" si="97"/>
        <v>2020</v>
      </c>
      <c r="F1230" t="str">
        <f>CONCATENATE(calendar[[#This Row],[Month]],"/",calendar[[#This Row],[Year]])</f>
        <v>5/2020</v>
      </c>
      <c r="G1230">
        <f>WEEKDAY(calendar[[#This Row],[Date]],1)</f>
        <v>4</v>
      </c>
      <c r="H1230" t="str">
        <f>TEXT(calendar[[#This Row],[WeekDay]],"dddd")</f>
        <v>Wednesday</v>
      </c>
      <c r="I1230">
        <f>IF((INT(calendar[[#This Row],[Count]]/7)-calendar[[#This Row],[Count]]/7)&lt;0,I1229,I1229+1)</f>
        <v>176</v>
      </c>
      <c r="J1230">
        <f t="shared" si="99"/>
        <v>1228</v>
      </c>
      <c r="K1230">
        <f>IF(calendar[[#This Row],[Month]]&lt;4,1,IF(calendar[[#This Row],[Month]]&lt;7,2,IF(calendar[[#This Row],[Month]]&lt;10,3,4)))</f>
        <v>2</v>
      </c>
      <c r="L1230">
        <f>IFERROR(IF(VLOOKUP(calendar[[#This Row],[Date]],BH!A:A,1,)&lt;&gt;"",1,0),0)</f>
        <v>0</v>
      </c>
      <c r="M1230">
        <f>IFERROR(IF(VLOOKUP(calendar[[#This Row],[Date]],BH!C:C,1,)&lt;&gt;"",1,0),0)</f>
        <v>0</v>
      </c>
      <c r="N1230">
        <f>IFERROR(IF(VLOOKUP(calendar[[#This Row],[Date]],BH!E:E,1,)&lt;&gt;"",1,0),0)</f>
        <v>0</v>
      </c>
      <c r="O1230">
        <f>IFERROR(IF(VLOOKUP(calendar[[#This Row],[Date]],BH!G:G,1,)&lt;&gt;"",1,0),0)</f>
        <v>0</v>
      </c>
      <c r="P1230">
        <f>IF(OR(calendar[[#This Row],[UK_BH]]=1,calendar[[#This Row],[WeekDay]]=1, calendar[[#This Row],[WeekDay]]=7),P1229,P1229+1)</f>
        <v>878</v>
      </c>
      <c r="Q1230">
        <f>IF(OR(calendar[[#This Row],[FR_BH]]=1,calendar[[#This Row],[WeekDay]]=1, calendar[[#This Row],[WeekDay]]=7),P1229,P1229+1)</f>
        <v>878</v>
      </c>
      <c r="R1230">
        <f>IF(OR(calendar[[#This Row],[SP_BH]]=1,calendar[[#This Row],[WeekDay]]=1, calendar[[#This Row],[WeekDay]]=7),P1229,P1229+1)</f>
        <v>878</v>
      </c>
      <c r="S1230">
        <f>IF(OR(calendar[[#This Row],[PT_BH]]=1,calendar[[#This Row],[WeekDay]]=1, calendar[[#This Row],[WeekDay]]=7),P1229,P1229+1)</f>
        <v>878</v>
      </c>
    </row>
    <row r="1231" spans="1:19" x14ac:dyDescent="0.25">
      <c r="A1231" s="2">
        <v>43965</v>
      </c>
      <c r="B1231" s="1">
        <f t="shared" si="98"/>
        <v>20</v>
      </c>
      <c r="C1231">
        <f t="shared" si="95"/>
        <v>5</v>
      </c>
      <c r="D1231" t="str">
        <f t="shared" si="96"/>
        <v>May</v>
      </c>
      <c r="E1231">
        <f t="shared" si="97"/>
        <v>2020</v>
      </c>
      <c r="F1231" t="str">
        <f>CONCATENATE(calendar[[#This Row],[Month]],"/",calendar[[#This Row],[Year]])</f>
        <v>5/2020</v>
      </c>
      <c r="G1231">
        <f>WEEKDAY(calendar[[#This Row],[Date]],1)</f>
        <v>5</v>
      </c>
      <c r="H1231" t="str">
        <f>TEXT(calendar[[#This Row],[WeekDay]],"dddd")</f>
        <v>Thursday</v>
      </c>
      <c r="I1231">
        <f>IF((INT(calendar[[#This Row],[Count]]/7)-calendar[[#This Row],[Count]]/7)&lt;0,I1230,I1230+1)</f>
        <v>176</v>
      </c>
      <c r="J1231">
        <f t="shared" si="99"/>
        <v>1229</v>
      </c>
      <c r="K1231">
        <f>IF(calendar[[#This Row],[Month]]&lt;4,1,IF(calendar[[#This Row],[Month]]&lt;7,2,IF(calendar[[#This Row],[Month]]&lt;10,3,4)))</f>
        <v>2</v>
      </c>
      <c r="L1231">
        <f>IFERROR(IF(VLOOKUP(calendar[[#This Row],[Date]],BH!A:A,1,)&lt;&gt;"",1,0),0)</f>
        <v>0</v>
      </c>
      <c r="M1231">
        <f>IFERROR(IF(VLOOKUP(calendar[[#This Row],[Date]],BH!C:C,1,)&lt;&gt;"",1,0),0)</f>
        <v>0</v>
      </c>
      <c r="N1231">
        <f>IFERROR(IF(VLOOKUP(calendar[[#This Row],[Date]],BH!E:E,1,)&lt;&gt;"",1,0),0)</f>
        <v>0</v>
      </c>
      <c r="O1231">
        <f>IFERROR(IF(VLOOKUP(calendar[[#This Row],[Date]],BH!G:G,1,)&lt;&gt;"",1,0),0)</f>
        <v>0</v>
      </c>
      <c r="P1231">
        <f>IF(OR(calendar[[#This Row],[UK_BH]]=1,calendar[[#This Row],[WeekDay]]=1, calendar[[#This Row],[WeekDay]]=7),P1230,P1230+1)</f>
        <v>879</v>
      </c>
      <c r="Q1231">
        <f>IF(OR(calendar[[#This Row],[FR_BH]]=1,calendar[[#This Row],[WeekDay]]=1, calendar[[#This Row],[WeekDay]]=7),P1230,P1230+1)</f>
        <v>879</v>
      </c>
      <c r="R1231">
        <f>IF(OR(calendar[[#This Row],[SP_BH]]=1,calendar[[#This Row],[WeekDay]]=1, calendar[[#This Row],[WeekDay]]=7),P1230,P1230+1)</f>
        <v>879</v>
      </c>
      <c r="S1231">
        <f>IF(OR(calendar[[#This Row],[PT_BH]]=1,calendar[[#This Row],[WeekDay]]=1, calendar[[#This Row],[WeekDay]]=7),P1230,P1230+1)</f>
        <v>879</v>
      </c>
    </row>
    <row r="1232" spans="1:19" x14ac:dyDescent="0.25">
      <c r="A1232" s="2">
        <v>43966</v>
      </c>
      <c r="B1232" s="1">
        <f t="shared" si="98"/>
        <v>20</v>
      </c>
      <c r="C1232">
        <f t="shared" ref="C1232:C1295" si="100">MONTH(A1232)</f>
        <v>5</v>
      </c>
      <c r="D1232" t="str">
        <f t="shared" ref="D1232:D1295" si="101">TEXT(A1232,"mmmm")</f>
        <v>May</v>
      </c>
      <c r="E1232">
        <f t="shared" ref="E1232:E1295" si="102">YEAR(A1232)</f>
        <v>2020</v>
      </c>
      <c r="F1232" t="str">
        <f>CONCATENATE(calendar[[#This Row],[Month]],"/",calendar[[#This Row],[Year]])</f>
        <v>5/2020</v>
      </c>
      <c r="G1232">
        <f>WEEKDAY(calendar[[#This Row],[Date]],1)</f>
        <v>6</v>
      </c>
      <c r="H1232" t="str">
        <f>TEXT(calendar[[#This Row],[WeekDay]],"dddd")</f>
        <v>Friday</v>
      </c>
      <c r="I1232">
        <f>IF((INT(calendar[[#This Row],[Count]]/7)-calendar[[#This Row],[Count]]/7)&lt;0,I1231,I1231+1)</f>
        <v>176</v>
      </c>
      <c r="J1232">
        <f t="shared" si="99"/>
        <v>1230</v>
      </c>
      <c r="K1232">
        <f>IF(calendar[[#This Row],[Month]]&lt;4,1,IF(calendar[[#This Row],[Month]]&lt;7,2,IF(calendar[[#This Row],[Month]]&lt;10,3,4)))</f>
        <v>2</v>
      </c>
      <c r="L1232">
        <f>IFERROR(IF(VLOOKUP(calendar[[#This Row],[Date]],BH!A:A,1,)&lt;&gt;"",1,0),0)</f>
        <v>0</v>
      </c>
      <c r="M1232">
        <f>IFERROR(IF(VLOOKUP(calendar[[#This Row],[Date]],BH!C:C,1,)&lt;&gt;"",1,0),0)</f>
        <v>0</v>
      </c>
      <c r="N1232">
        <f>IFERROR(IF(VLOOKUP(calendar[[#This Row],[Date]],BH!E:E,1,)&lt;&gt;"",1,0),0)</f>
        <v>0</v>
      </c>
      <c r="O1232">
        <f>IFERROR(IF(VLOOKUP(calendar[[#This Row],[Date]],BH!G:G,1,)&lt;&gt;"",1,0),0)</f>
        <v>0</v>
      </c>
      <c r="P1232">
        <f>IF(OR(calendar[[#This Row],[UK_BH]]=1,calendar[[#This Row],[WeekDay]]=1, calendar[[#This Row],[WeekDay]]=7),P1231,P1231+1)</f>
        <v>880</v>
      </c>
      <c r="Q1232">
        <f>IF(OR(calendar[[#This Row],[FR_BH]]=1,calendar[[#This Row],[WeekDay]]=1, calendar[[#This Row],[WeekDay]]=7),P1231,P1231+1)</f>
        <v>880</v>
      </c>
      <c r="R1232">
        <f>IF(OR(calendar[[#This Row],[SP_BH]]=1,calendar[[#This Row],[WeekDay]]=1, calendar[[#This Row],[WeekDay]]=7),P1231,P1231+1)</f>
        <v>880</v>
      </c>
      <c r="S1232">
        <f>IF(OR(calendar[[#This Row],[PT_BH]]=1,calendar[[#This Row],[WeekDay]]=1, calendar[[#This Row],[WeekDay]]=7),P1231,P1231+1)</f>
        <v>880</v>
      </c>
    </row>
    <row r="1233" spans="1:19" x14ac:dyDescent="0.25">
      <c r="A1233" s="2">
        <v>43967</v>
      </c>
      <c r="B1233" s="1">
        <f t="shared" si="98"/>
        <v>20</v>
      </c>
      <c r="C1233">
        <f t="shared" si="100"/>
        <v>5</v>
      </c>
      <c r="D1233" t="str">
        <f t="shared" si="101"/>
        <v>May</v>
      </c>
      <c r="E1233">
        <f t="shared" si="102"/>
        <v>2020</v>
      </c>
      <c r="F1233" t="str">
        <f>CONCATENATE(calendar[[#This Row],[Month]],"/",calendar[[#This Row],[Year]])</f>
        <v>5/2020</v>
      </c>
      <c r="G1233">
        <f>WEEKDAY(calendar[[#This Row],[Date]],1)</f>
        <v>7</v>
      </c>
      <c r="H1233" t="str">
        <f>TEXT(calendar[[#This Row],[WeekDay]],"dddd")</f>
        <v>Saturday</v>
      </c>
      <c r="I1233">
        <f>IF((INT(calendar[[#This Row],[Count]]/7)-calendar[[#This Row],[Count]]/7)&lt;0,I1232,I1232+1)</f>
        <v>176</v>
      </c>
      <c r="J1233">
        <f t="shared" si="99"/>
        <v>1231</v>
      </c>
      <c r="K1233">
        <f>IF(calendar[[#This Row],[Month]]&lt;4,1,IF(calendar[[#This Row],[Month]]&lt;7,2,IF(calendar[[#This Row],[Month]]&lt;10,3,4)))</f>
        <v>2</v>
      </c>
      <c r="L1233">
        <f>IFERROR(IF(VLOOKUP(calendar[[#This Row],[Date]],BH!A:A,1,)&lt;&gt;"",1,0),0)</f>
        <v>0</v>
      </c>
      <c r="M1233">
        <f>IFERROR(IF(VLOOKUP(calendar[[#This Row],[Date]],BH!C:C,1,)&lt;&gt;"",1,0),0)</f>
        <v>0</v>
      </c>
      <c r="N1233">
        <f>IFERROR(IF(VLOOKUP(calendar[[#This Row],[Date]],BH!E:E,1,)&lt;&gt;"",1,0),0)</f>
        <v>0</v>
      </c>
      <c r="O1233">
        <f>IFERROR(IF(VLOOKUP(calendar[[#This Row],[Date]],BH!G:G,1,)&lt;&gt;"",1,0),0)</f>
        <v>0</v>
      </c>
      <c r="P1233">
        <f>IF(OR(calendar[[#This Row],[UK_BH]]=1,calendar[[#This Row],[WeekDay]]=1, calendar[[#This Row],[WeekDay]]=7),P1232,P1232+1)</f>
        <v>880</v>
      </c>
      <c r="Q1233">
        <f>IF(OR(calendar[[#This Row],[FR_BH]]=1,calendar[[#This Row],[WeekDay]]=1, calendar[[#This Row],[WeekDay]]=7),P1232,P1232+1)</f>
        <v>880</v>
      </c>
      <c r="R1233">
        <f>IF(OR(calendar[[#This Row],[SP_BH]]=1,calendar[[#This Row],[WeekDay]]=1, calendar[[#This Row],[WeekDay]]=7),P1232,P1232+1)</f>
        <v>880</v>
      </c>
      <c r="S1233">
        <f>IF(OR(calendar[[#This Row],[PT_BH]]=1,calendar[[#This Row],[WeekDay]]=1, calendar[[#This Row],[WeekDay]]=7),P1232,P1232+1)</f>
        <v>880</v>
      </c>
    </row>
    <row r="1234" spans="1:19" x14ac:dyDescent="0.25">
      <c r="A1234" s="2">
        <v>43968</v>
      </c>
      <c r="B1234" s="1">
        <f t="shared" si="98"/>
        <v>21</v>
      </c>
      <c r="C1234">
        <f t="shared" si="100"/>
        <v>5</v>
      </c>
      <c r="D1234" t="str">
        <f t="shared" si="101"/>
        <v>May</v>
      </c>
      <c r="E1234">
        <f t="shared" si="102"/>
        <v>2020</v>
      </c>
      <c r="F1234" t="str">
        <f>CONCATENATE(calendar[[#This Row],[Month]],"/",calendar[[#This Row],[Year]])</f>
        <v>5/2020</v>
      </c>
      <c r="G1234">
        <f>WEEKDAY(calendar[[#This Row],[Date]],1)</f>
        <v>1</v>
      </c>
      <c r="H1234" t="str">
        <f>TEXT(calendar[[#This Row],[WeekDay]],"dddd")</f>
        <v>Sunday</v>
      </c>
      <c r="I1234">
        <f>IF((INT(calendar[[#This Row],[Count]]/7)-calendar[[#This Row],[Count]]/7)&lt;0,I1233,I1233+1)</f>
        <v>177</v>
      </c>
      <c r="J1234">
        <f t="shared" si="99"/>
        <v>1232</v>
      </c>
      <c r="K1234">
        <f>IF(calendar[[#This Row],[Month]]&lt;4,1,IF(calendar[[#This Row],[Month]]&lt;7,2,IF(calendar[[#This Row],[Month]]&lt;10,3,4)))</f>
        <v>2</v>
      </c>
      <c r="L1234">
        <f>IFERROR(IF(VLOOKUP(calendar[[#This Row],[Date]],BH!A:A,1,)&lt;&gt;"",1,0),0)</f>
        <v>0</v>
      </c>
      <c r="M1234">
        <f>IFERROR(IF(VLOOKUP(calendar[[#This Row],[Date]],BH!C:C,1,)&lt;&gt;"",1,0),0)</f>
        <v>0</v>
      </c>
      <c r="N1234">
        <f>IFERROR(IF(VLOOKUP(calendar[[#This Row],[Date]],BH!E:E,1,)&lt;&gt;"",1,0),0)</f>
        <v>0</v>
      </c>
      <c r="O1234">
        <f>IFERROR(IF(VLOOKUP(calendar[[#This Row],[Date]],BH!G:G,1,)&lt;&gt;"",1,0),0)</f>
        <v>0</v>
      </c>
      <c r="P1234">
        <f>IF(OR(calendar[[#This Row],[UK_BH]]=1,calendar[[#This Row],[WeekDay]]=1, calendar[[#This Row],[WeekDay]]=7),P1233,P1233+1)</f>
        <v>880</v>
      </c>
      <c r="Q1234">
        <f>IF(OR(calendar[[#This Row],[FR_BH]]=1,calendar[[#This Row],[WeekDay]]=1, calendar[[#This Row],[WeekDay]]=7),P1233,P1233+1)</f>
        <v>880</v>
      </c>
      <c r="R1234">
        <f>IF(OR(calendar[[#This Row],[SP_BH]]=1,calendar[[#This Row],[WeekDay]]=1, calendar[[#This Row],[WeekDay]]=7),P1233,P1233+1)</f>
        <v>880</v>
      </c>
      <c r="S1234">
        <f>IF(OR(calendar[[#This Row],[PT_BH]]=1,calendar[[#This Row],[WeekDay]]=1, calendar[[#This Row],[WeekDay]]=7),P1233,P1233+1)</f>
        <v>880</v>
      </c>
    </row>
    <row r="1235" spans="1:19" x14ac:dyDescent="0.25">
      <c r="A1235" s="2">
        <v>43969</v>
      </c>
      <c r="B1235" s="1">
        <f t="shared" si="98"/>
        <v>21</v>
      </c>
      <c r="C1235">
        <f t="shared" si="100"/>
        <v>5</v>
      </c>
      <c r="D1235" t="str">
        <f t="shared" si="101"/>
        <v>May</v>
      </c>
      <c r="E1235">
        <f t="shared" si="102"/>
        <v>2020</v>
      </c>
      <c r="F1235" t="str">
        <f>CONCATENATE(calendar[[#This Row],[Month]],"/",calendar[[#This Row],[Year]])</f>
        <v>5/2020</v>
      </c>
      <c r="G1235">
        <f>WEEKDAY(calendar[[#This Row],[Date]],1)</f>
        <v>2</v>
      </c>
      <c r="H1235" t="str">
        <f>TEXT(calendar[[#This Row],[WeekDay]],"dddd")</f>
        <v>Monday</v>
      </c>
      <c r="I1235">
        <f>IF((INT(calendar[[#This Row],[Count]]/7)-calendar[[#This Row],[Count]]/7)&lt;0,I1234,I1234+1)</f>
        <v>177</v>
      </c>
      <c r="J1235">
        <f t="shared" si="99"/>
        <v>1233</v>
      </c>
      <c r="K1235">
        <f>IF(calendar[[#This Row],[Month]]&lt;4,1,IF(calendar[[#This Row],[Month]]&lt;7,2,IF(calendar[[#This Row],[Month]]&lt;10,3,4)))</f>
        <v>2</v>
      </c>
      <c r="L1235">
        <f>IFERROR(IF(VLOOKUP(calendar[[#This Row],[Date]],BH!A:A,1,)&lt;&gt;"",1,0),0)</f>
        <v>0</v>
      </c>
      <c r="M1235">
        <f>IFERROR(IF(VLOOKUP(calendar[[#This Row],[Date]],BH!C:C,1,)&lt;&gt;"",1,0),0)</f>
        <v>0</v>
      </c>
      <c r="N1235">
        <f>IFERROR(IF(VLOOKUP(calendar[[#This Row],[Date]],BH!E:E,1,)&lt;&gt;"",1,0),0)</f>
        <v>0</v>
      </c>
      <c r="O1235">
        <f>IFERROR(IF(VLOOKUP(calendar[[#This Row],[Date]],BH!G:G,1,)&lt;&gt;"",1,0),0)</f>
        <v>0</v>
      </c>
      <c r="P1235">
        <f>IF(OR(calendar[[#This Row],[UK_BH]]=1,calendar[[#This Row],[WeekDay]]=1, calendar[[#This Row],[WeekDay]]=7),P1234,P1234+1)</f>
        <v>881</v>
      </c>
      <c r="Q1235">
        <f>IF(OR(calendar[[#This Row],[FR_BH]]=1,calendar[[#This Row],[WeekDay]]=1, calendar[[#This Row],[WeekDay]]=7),P1234,P1234+1)</f>
        <v>881</v>
      </c>
      <c r="R1235">
        <f>IF(OR(calendar[[#This Row],[SP_BH]]=1,calendar[[#This Row],[WeekDay]]=1, calendar[[#This Row],[WeekDay]]=7),P1234,P1234+1)</f>
        <v>881</v>
      </c>
      <c r="S1235">
        <f>IF(OR(calendar[[#This Row],[PT_BH]]=1,calendar[[#This Row],[WeekDay]]=1, calendar[[#This Row],[WeekDay]]=7),P1234,P1234+1)</f>
        <v>881</v>
      </c>
    </row>
    <row r="1236" spans="1:19" x14ac:dyDescent="0.25">
      <c r="A1236" s="2">
        <v>43970</v>
      </c>
      <c r="B1236" s="1">
        <f t="shared" si="98"/>
        <v>21</v>
      </c>
      <c r="C1236">
        <f t="shared" si="100"/>
        <v>5</v>
      </c>
      <c r="D1236" t="str">
        <f t="shared" si="101"/>
        <v>May</v>
      </c>
      <c r="E1236">
        <f t="shared" si="102"/>
        <v>2020</v>
      </c>
      <c r="F1236" t="str">
        <f>CONCATENATE(calendar[[#This Row],[Month]],"/",calendar[[#This Row],[Year]])</f>
        <v>5/2020</v>
      </c>
      <c r="G1236">
        <f>WEEKDAY(calendar[[#This Row],[Date]],1)</f>
        <v>3</v>
      </c>
      <c r="H1236" t="str">
        <f>TEXT(calendar[[#This Row],[WeekDay]],"dddd")</f>
        <v>Tuesday</v>
      </c>
      <c r="I1236">
        <f>IF((INT(calendar[[#This Row],[Count]]/7)-calendar[[#This Row],[Count]]/7)&lt;0,I1235,I1235+1)</f>
        <v>177</v>
      </c>
      <c r="J1236">
        <f t="shared" si="99"/>
        <v>1234</v>
      </c>
      <c r="K1236">
        <f>IF(calendar[[#This Row],[Month]]&lt;4,1,IF(calendar[[#This Row],[Month]]&lt;7,2,IF(calendar[[#This Row],[Month]]&lt;10,3,4)))</f>
        <v>2</v>
      </c>
      <c r="L1236">
        <f>IFERROR(IF(VLOOKUP(calendar[[#This Row],[Date]],BH!A:A,1,)&lt;&gt;"",1,0),0)</f>
        <v>0</v>
      </c>
      <c r="M1236">
        <f>IFERROR(IF(VLOOKUP(calendar[[#This Row],[Date]],BH!C:C,1,)&lt;&gt;"",1,0),0)</f>
        <v>0</v>
      </c>
      <c r="N1236">
        <f>IFERROR(IF(VLOOKUP(calendar[[#This Row],[Date]],BH!E:E,1,)&lt;&gt;"",1,0),0)</f>
        <v>0</v>
      </c>
      <c r="O1236">
        <f>IFERROR(IF(VLOOKUP(calendar[[#This Row],[Date]],BH!G:G,1,)&lt;&gt;"",1,0),0)</f>
        <v>0</v>
      </c>
      <c r="P1236">
        <f>IF(OR(calendar[[#This Row],[UK_BH]]=1,calendar[[#This Row],[WeekDay]]=1, calendar[[#This Row],[WeekDay]]=7),P1235,P1235+1)</f>
        <v>882</v>
      </c>
      <c r="Q1236">
        <f>IF(OR(calendar[[#This Row],[FR_BH]]=1,calendar[[#This Row],[WeekDay]]=1, calendar[[#This Row],[WeekDay]]=7),P1235,P1235+1)</f>
        <v>882</v>
      </c>
      <c r="R1236">
        <f>IF(OR(calendar[[#This Row],[SP_BH]]=1,calendar[[#This Row],[WeekDay]]=1, calendar[[#This Row],[WeekDay]]=7),P1235,P1235+1)</f>
        <v>882</v>
      </c>
      <c r="S1236">
        <f>IF(OR(calendar[[#This Row],[PT_BH]]=1,calendar[[#This Row],[WeekDay]]=1, calendar[[#This Row],[WeekDay]]=7),P1235,P1235+1)</f>
        <v>882</v>
      </c>
    </row>
    <row r="1237" spans="1:19" x14ac:dyDescent="0.25">
      <c r="A1237" s="2">
        <v>43971</v>
      </c>
      <c r="B1237" s="1">
        <f t="shared" si="98"/>
        <v>21</v>
      </c>
      <c r="C1237">
        <f t="shared" si="100"/>
        <v>5</v>
      </c>
      <c r="D1237" t="str">
        <f t="shared" si="101"/>
        <v>May</v>
      </c>
      <c r="E1237">
        <f t="shared" si="102"/>
        <v>2020</v>
      </c>
      <c r="F1237" t="str">
        <f>CONCATENATE(calendar[[#This Row],[Month]],"/",calendar[[#This Row],[Year]])</f>
        <v>5/2020</v>
      </c>
      <c r="G1237">
        <f>WEEKDAY(calendar[[#This Row],[Date]],1)</f>
        <v>4</v>
      </c>
      <c r="H1237" t="str">
        <f>TEXT(calendar[[#This Row],[WeekDay]],"dddd")</f>
        <v>Wednesday</v>
      </c>
      <c r="I1237">
        <f>IF((INT(calendar[[#This Row],[Count]]/7)-calendar[[#This Row],[Count]]/7)&lt;0,I1236,I1236+1)</f>
        <v>177</v>
      </c>
      <c r="J1237">
        <f t="shared" si="99"/>
        <v>1235</v>
      </c>
      <c r="K1237">
        <f>IF(calendar[[#This Row],[Month]]&lt;4,1,IF(calendar[[#This Row],[Month]]&lt;7,2,IF(calendar[[#This Row],[Month]]&lt;10,3,4)))</f>
        <v>2</v>
      </c>
      <c r="L1237">
        <f>IFERROR(IF(VLOOKUP(calendar[[#This Row],[Date]],BH!A:A,1,)&lt;&gt;"",1,0),0)</f>
        <v>0</v>
      </c>
      <c r="M1237">
        <f>IFERROR(IF(VLOOKUP(calendar[[#This Row],[Date]],BH!C:C,1,)&lt;&gt;"",1,0),0)</f>
        <v>0</v>
      </c>
      <c r="N1237">
        <f>IFERROR(IF(VLOOKUP(calendar[[#This Row],[Date]],BH!E:E,1,)&lt;&gt;"",1,0),0)</f>
        <v>0</v>
      </c>
      <c r="O1237">
        <f>IFERROR(IF(VLOOKUP(calendar[[#This Row],[Date]],BH!G:G,1,)&lt;&gt;"",1,0),0)</f>
        <v>0</v>
      </c>
      <c r="P1237">
        <f>IF(OR(calendar[[#This Row],[UK_BH]]=1,calendar[[#This Row],[WeekDay]]=1, calendar[[#This Row],[WeekDay]]=7),P1236,P1236+1)</f>
        <v>883</v>
      </c>
      <c r="Q1237">
        <f>IF(OR(calendar[[#This Row],[FR_BH]]=1,calendar[[#This Row],[WeekDay]]=1, calendar[[#This Row],[WeekDay]]=7),P1236,P1236+1)</f>
        <v>883</v>
      </c>
      <c r="R1237">
        <f>IF(OR(calendar[[#This Row],[SP_BH]]=1,calendar[[#This Row],[WeekDay]]=1, calendar[[#This Row],[WeekDay]]=7),P1236,P1236+1)</f>
        <v>883</v>
      </c>
      <c r="S1237">
        <f>IF(OR(calendar[[#This Row],[PT_BH]]=1,calendar[[#This Row],[WeekDay]]=1, calendar[[#This Row],[WeekDay]]=7),P1236,P1236+1)</f>
        <v>883</v>
      </c>
    </row>
    <row r="1238" spans="1:19" x14ac:dyDescent="0.25">
      <c r="A1238" s="2">
        <v>43972</v>
      </c>
      <c r="B1238" s="1">
        <f t="shared" si="98"/>
        <v>21</v>
      </c>
      <c r="C1238">
        <f t="shared" si="100"/>
        <v>5</v>
      </c>
      <c r="D1238" t="str">
        <f t="shared" si="101"/>
        <v>May</v>
      </c>
      <c r="E1238">
        <f t="shared" si="102"/>
        <v>2020</v>
      </c>
      <c r="F1238" t="str">
        <f>CONCATENATE(calendar[[#This Row],[Month]],"/",calendar[[#This Row],[Year]])</f>
        <v>5/2020</v>
      </c>
      <c r="G1238">
        <f>WEEKDAY(calendar[[#This Row],[Date]],1)</f>
        <v>5</v>
      </c>
      <c r="H1238" t="str">
        <f>TEXT(calendar[[#This Row],[WeekDay]],"dddd")</f>
        <v>Thursday</v>
      </c>
      <c r="I1238">
        <f>IF((INT(calendar[[#This Row],[Count]]/7)-calendar[[#This Row],[Count]]/7)&lt;0,I1237,I1237+1)</f>
        <v>177</v>
      </c>
      <c r="J1238">
        <f t="shared" si="99"/>
        <v>1236</v>
      </c>
      <c r="K1238">
        <f>IF(calendar[[#This Row],[Month]]&lt;4,1,IF(calendar[[#This Row],[Month]]&lt;7,2,IF(calendar[[#This Row],[Month]]&lt;10,3,4)))</f>
        <v>2</v>
      </c>
      <c r="L1238">
        <f>IFERROR(IF(VLOOKUP(calendar[[#This Row],[Date]],BH!A:A,1,)&lt;&gt;"",1,0),0)</f>
        <v>0</v>
      </c>
      <c r="M1238">
        <f>IFERROR(IF(VLOOKUP(calendar[[#This Row],[Date]],BH!C:C,1,)&lt;&gt;"",1,0),0)</f>
        <v>0</v>
      </c>
      <c r="N1238">
        <f>IFERROR(IF(VLOOKUP(calendar[[#This Row],[Date]],BH!E:E,1,)&lt;&gt;"",1,0),0)</f>
        <v>0</v>
      </c>
      <c r="O1238">
        <f>IFERROR(IF(VLOOKUP(calendar[[#This Row],[Date]],BH!G:G,1,)&lt;&gt;"",1,0),0)</f>
        <v>0</v>
      </c>
      <c r="P1238">
        <f>IF(OR(calendar[[#This Row],[UK_BH]]=1,calendar[[#This Row],[WeekDay]]=1, calendar[[#This Row],[WeekDay]]=7),P1237,P1237+1)</f>
        <v>884</v>
      </c>
      <c r="Q1238">
        <f>IF(OR(calendar[[#This Row],[FR_BH]]=1,calendar[[#This Row],[WeekDay]]=1, calendar[[#This Row],[WeekDay]]=7),P1237,P1237+1)</f>
        <v>884</v>
      </c>
      <c r="R1238">
        <f>IF(OR(calendar[[#This Row],[SP_BH]]=1,calendar[[#This Row],[WeekDay]]=1, calendar[[#This Row],[WeekDay]]=7),P1237,P1237+1)</f>
        <v>884</v>
      </c>
      <c r="S1238">
        <f>IF(OR(calendar[[#This Row],[PT_BH]]=1,calendar[[#This Row],[WeekDay]]=1, calendar[[#This Row],[WeekDay]]=7),P1237,P1237+1)</f>
        <v>884</v>
      </c>
    </row>
    <row r="1239" spans="1:19" x14ac:dyDescent="0.25">
      <c r="A1239" s="2">
        <v>43973</v>
      </c>
      <c r="B1239" s="1">
        <f t="shared" si="98"/>
        <v>21</v>
      </c>
      <c r="C1239">
        <f t="shared" si="100"/>
        <v>5</v>
      </c>
      <c r="D1239" t="str">
        <f t="shared" si="101"/>
        <v>May</v>
      </c>
      <c r="E1239">
        <f t="shared" si="102"/>
        <v>2020</v>
      </c>
      <c r="F1239" t="str">
        <f>CONCATENATE(calendar[[#This Row],[Month]],"/",calendar[[#This Row],[Year]])</f>
        <v>5/2020</v>
      </c>
      <c r="G1239">
        <f>WEEKDAY(calendar[[#This Row],[Date]],1)</f>
        <v>6</v>
      </c>
      <c r="H1239" t="str">
        <f>TEXT(calendar[[#This Row],[WeekDay]],"dddd")</f>
        <v>Friday</v>
      </c>
      <c r="I1239">
        <f>IF((INT(calendar[[#This Row],[Count]]/7)-calendar[[#This Row],[Count]]/7)&lt;0,I1238,I1238+1)</f>
        <v>177</v>
      </c>
      <c r="J1239">
        <f t="shared" si="99"/>
        <v>1237</v>
      </c>
      <c r="K1239">
        <f>IF(calendar[[#This Row],[Month]]&lt;4,1,IF(calendar[[#This Row],[Month]]&lt;7,2,IF(calendar[[#This Row],[Month]]&lt;10,3,4)))</f>
        <v>2</v>
      </c>
      <c r="L1239">
        <f>IFERROR(IF(VLOOKUP(calendar[[#This Row],[Date]],BH!A:A,1,)&lt;&gt;"",1,0),0)</f>
        <v>0</v>
      </c>
      <c r="M1239">
        <f>IFERROR(IF(VLOOKUP(calendar[[#This Row],[Date]],BH!C:C,1,)&lt;&gt;"",1,0),0)</f>
        <v>0</v>
      </c>
      <c r="N1239">
        <f>IFERROR(IF(VLOOKUP(calendar[[#This Row],[Date]],BH!E:E,1,)&lt;&gt;"",1,0),0)</f>
        <v>0</v>
      </c>
      <c r="O1239">
        <f>IFERROR(IF(VLOOKUP(calendar[[#This Row],[Date]],BH!G:G,1,)&lt;&gt;"",1,0),0)</f>
        <v>0</v>
      </c>
      <c r="P1239">
        <f>IF(OR(calendar[[#This Row],[UK_BH]]=1,calendar[[#This Row],[WeekDay]]=1, calendar[[#This Row],[WeekDay]]=7),P1238,P1238+1)</f>
        <v>885</v>
      </c>
      <c r="Q1239">
        <f>IF(OR(calendar[[#This Row],[FR_BH]]=1,calendar[[#This Row],[WeekDay]]=1, calendar[[#This Row],[WeekDay]]=7),P1238,P1238+1)</f>
        <v>885</v>
      </c>
      <c r="R1239">
        <f>IF(OR(calendar[[#This Row],[SP_BH]]=1,calendar[[#This Row],[WeekDay]]=1, calendar[[#This Row],[WeekDay]]=7),P1238,P1238+1)</f>
        <v>885</v>
      </c>
      <c r="S1239">
        <f>IF(OR(calendar[[#This Row],[PT_BH]]=1,calendar[[#This Row],[WeekDay]]=1, calendar[[#This Row],[WeekDay]]=7),P1238,P1238+1)</f>
        <v>885</v>
      </c>
    </row>
    <row r="1240" spans="1:19" x14ac:dyDescent="0.25">
      <c r="A1240" s="2">
        <v>43974</v>
      </c>
      <c r="B1240" s="1">
        <f t="shared" si="98"/>
        <v>21</v>
      </c>
      <c r="C1240">
        <f t="shared" si="100"/>
        <v>5</v>
      </c>
      <c r="D1240" t="str">
        <f t="shared" si="101"/>
        <v>May</v>
      </c>
      <c r="E1240">
        <f t="shared" si="102"/>
        <v>2020</v>
      </c>
      <c r="F1240" t="str">
        <f>CONCATENATE(calendar[[#This Row],[Month]],"/",calendar[[#This Row],[Year]])</f>
        <v>5/2020</v>
      </c>
      <c r="G1240">
        <f>WEEKDAY(calendar[[#This Row],[Date]],1)</f>
        <v>7</v>
      </c>
      <c r="H1240" t="str">
        <f>TEXT(calendar[[#This Row],[WeekDay]],"dddd")</f>
        <v>Saturday</v>
      </c>
      <c r="I1240">
        <f>IF((INT(calendar[[#This Row],[Count]]/7)-calendar[[#This Row],[Count]]/7)&lt;0,I1239,I1239+1)</f>
        <v>177</v>
      </c>
      <c r="J1240">
        <f t="shared" si="99"/>
        <v>1238</v>
      </c>
      <c r="K1240">
        <f>IF(calendar[[#This Row],[Month]]&lt;4,1,IF(calendar[[#This Row],[Month]]&lt;7,2,IF(calendar[[#This Row],[Month]]&lt;10,3,4)))</f>
        <v>2</v>
      </c>
      <c r="L1240">
        <f>IFERROR(IF(VLOOKUP(calendar[[#This Row],[Date]],BH!A:A,1,)&lt;&gt;"",1,0),0)</f>
        <v>0</v>
      </c>
      <c r="M1240">
        <f>IFERROR(IF(VLOOKUP(calendar[[#This Row],[Date]],BH!C:C,1,)&lt;&gt;"",1,0),0)</f>
        <v>0</v>
      </c>
      <c r="N1240">
        <f>IFERROR(IF(VLOOKUP(calendar[[#This Row],[Date]],BH!E:E,1,)&lt;&gt;"",1,0),0)</f>
        <v>0</v>
      </c>
      <c r="O1240">
        <f>IFERROR(IF(VLOOKUP(calendar[[#This Row],[Date]],BH!G:G,1,)&lt;&gt;"",1,0),0)</f>
        <v>0</v>
      </c>
      <c r="P1240">
        <f>IF(OR(calendar[[#This Row],[UK_BH]]=1,calendar[[#This Row],[WeekDay]]=1, calendar[[#This Row],[WeekDay]]=7),P1239,P1239+1)</f>
        <v>885</v>
      </c>
      <c r="Q1240">
        <f>IF(OR(calendar[[#This Row],[FR_BH]]=1,calendar[[#This Row],[WeekDay]]=1, calendar[[#This Row],[WeekDay]]=7),P1239,P1239+1)</f>
        <v>885</v>
      </c>
      <c r="R1240">
        <f>IF(OR(calendar[[#This Row],[SP_BH]]=1,calendar[[#This Row],[WeekDay]]=1, calendar[[#This Row],[WeekDay]]=7),P1239,P1239+1)</f>
        <v>885</v>
      </c>
      <c r="S1240">
        <f>IF(OR(calendar[[#This Row],[PT_BH]]=1,calendar[[#This Row],[WeekDay]]=1, calendar[[#This Row],[WeekDay]]=7),P1239,P1239+1)</f>
        <v>885</v>
      </c>
    </row>
    <row r="1241" spans="1:19" x14ac:dyDescent="0.25">
      <c r="A1241" s="2">
        <v>43975</v>
      </c>
      <c r="B1241" s="1">
        <f t="shared" si="98"/>
        <v>22</v>
      </c>
      <c r="C1241">
        <f t="shared" si="100"/>
        <v>5</v>
      </c>
      <c r="D1241" t="str">
        <f t="shared" si="101"/>
        <v>May</v>
      </c>
      <c r="E1241">
        <f t="shared" si="102"/>
        <v>2020</v>
      </c>
      <c r="F1241" t="str">
        <f>CONCATENATE(calendar[[#This Row],[Month]],"/",calendar[[#This Row],[Year]])</f>
        <v>5/2020</v>
      </c>
      <c r="G1241">
        <f>WEEKDAY(calendar[[#This Row],[Date]],1)</f>
        <v>1</v>
      </c>
      <c r="H1241" t="str">
        <f>TEXT(calendar[[#This Row],[WeekDay]],"dddd")</f>
        <v>Sunday</v>
      </c>
      <c r="I1241">
        <f>IF((INT(calendar[[#This Row],[Count]]/7)-calendar[[#This Row],[Count]]/7)&lt;0,I1240,I1240+1)</f>
        <v>178</v>
      </c>
      <c r="J1241">
        <f t="shared" si="99"/>
        <v>1239</v>
      </c>
      <c r="K1241">
        <f>IF(calendar[[#This Row],[Month]]&lt;4,1,IF(calendar[[#This Row],[Month]]&lt;7,2,IF(calendar[[#This Row],[Month]]&lt;10,3,4)))</f>
        <v>2</v>
      </c>
      <c r="L1241">
        <f>IFERROR(IF(VLOOKUP(calendar[[#This Row],[Date]],BH!A:A,1,)&lt;&gt;"",1,0),0)</f>
        <v>0</v>
      </c>
      <c r="M1241">
        <f>IFERROR(IF(VLOOKUP(calendar[[#This Row],[Date]],BH!C:C,1,)&lt;&gt;"",1,0),0)</f>
        <v>0</v>
      </c>
      <c r="N1241">
        <f>IFERROR(IF(VLOOKUP(calendar[[#This Row],[Date]],BH!E:E,1,)&lt;&gt;"",1,0),0)</f>
        <v>0</v>
      </c>
      <c r="O1241">
        <f>IFERROR(IF(VLOOKUP(calendar[[#This Row],[Date]],BH!G:G,1,)&lt;&gt;"",1,0),0)</f>
        <v>0</v>
      </c>
      <c r="P1241">
        <f>IF(OR(calendar[[#This Row],[UK_BH]]=1,calendar[[#This Row],[WeekDay]]=1, calendar[[#This Row],[WeekDay]]=7),P1240,P1240+1)</f>
        <v>885</v>
      </c>
      <c r="Q1241">
        <f>IF(OR(calendar[[#This Row],[FR_BH]]=1,calendar[[#This Row],[WeekDay]]=1, calendar[[#This Row],[WeekDay]]=7),P1240,P1240+1)</f>
        <v>885</v>
      </c>
      <c r="R1241">
        <f>IF(OR(calendar[[#This Row],[SP_BH]]=1,calendar[[#This Row],[WeekDay]]=1, calendar[[#This Row],[WeekDay]]=7),P1240,P1240+1)</f>
        <v>885</v>
      </c>
      <c r="S1241">
        <f>IF(OR(calendar[[#This Row],[PT_BH]]=1,calendar[[#This Row],[WeekDay]]=1, calendar[[#This Row],[WeekDay]]=7),P1240,P1240+1)</f>
        <v>885</v>
      </c>
    </row>
    <row r="1242" spans="1:19" x14ac:dyDescent="0.25">
      <c r="A1242" s="2">
        <v>43976</v>
      </c>
      <c r="B1242" s="1">
        <f t="shared" si="98"/>
        <v>22</v>
      </c>
      <c r="C1242">
        <f t="shared" si="100"/>
        <v>5</v>
      </c>
      <c r="D1242" t="str">
        <f t="shared" si="101"/>
        <v>May</v>
      </c>
      <c r="E1242">
        <f t="shared" si="102"/>
        <v>2020</v>
      </c>
      <c r="F1242" t="str">
        <f>CONCATENATE(calendar[[#This Row],[Month]],"/",calendar[[#This Row],[Year]])</f>
        <v>5/2020</v>
      </c>
      <c r="G1242">
        <f>WEEKDAY(calendar[[#This Row],[Date]],1)</f>
        <v>2</v>
      </c>
      <c r="H1242" t="str">
        <f>TEXT(calendar[[#This Row],[WeekDay]],"dddd")</f>
        <v>Monday</v>
      </c>
      <c r="I1242">
        <f>IF((INT(calendar[[#This Row],[Count]]/7)-calendar[[#This Row],[Count]]/7)&lt;0,I1241,I1241+1)</f>
        <v>178</v>
      </c>
      <c r="J1242">
        <f t="shared" si="99"/>
        <v>1240</v>
      </c>
      <c r="K1242">
        <f>IF(calendar[[#This Row],[Month]]&lt;4,1,IF(calendar[[#This Row],[Month]]&lt;7,2,IF(calendar[[#This Row],[Month]]&lt;10,3,4)))</f>
        <v>2</v>
      </c>
      <c r="L1242">
        <f>IFERROR(IF(VLOOKUP(calendar[[#This Row],[Date]],BH!A:A,1,)&lt;&gt;"",1,0),0)</f>
        <v>0</v>
      </c>
      <c r="M1242">
        <f>IFERROR(IF(VLOOKUP(calendar[[#This Row],[Date]],BH!C:C,1,)&lt;&gt;"",1,0),0)</f>
        <v>0</v>
      </c>
      <c r="N1242">
        <f>IFERROR(IF(VLOOKUP(calendar[[#This Row],[Date]],BH!E:E,1,)&lt;&gt;"",1,0),0)</f>
        <v>0</v>
      </c>
      <c r="O1242">
        <f>IFERROR(IF(VLOOKUP(calendar[[#This Row],[Date]],BH!G:G,1,)&lt;&gt;"",1,0),0)</f>
        <v>0</v>
      </c>
      <c r="P1242">
        <f>IF(OR(calendar[[#This Row],[UK_BH]]=1,calendar[[#This Row],[WeekDay]]=1, calendar[[#This Row],[WeekDay]]=7),P1241,P1241+1)</f>
        <v>886</v>
      </c>
      <c r="Q1242">
        <f>IF(OR(calendar[[#This Row],[FR_BH]]=1,calendar[[#This Row],[WeekDay]]=1, calendar[[#This Row],[WeekDay]]=7),P1241,P1241+1)</f>
        <v>886</v>
      </c>
      <c r="R1242">
        <f>IF(OR(calendar[[#This Row],[SP_BH]]=1,calendar[[#This Row],[WeekDay]]=1, calendar[[#This Row],[WeekDay]]=7),P1241,P1241+1)</f>
        <v>886</v>
      </c>
      <c r="S1242">
        <f>IF(OR(calendar[[#This Row],[PT_BH]]=1,calendar[[#This Row],[WeekDay]]=1, calendar[[#This Row],[WeekDay]]=7),P1241,P1241+1)</f>
        <v>886</v>
      </c>
    </row>
    <row r="1243" spans="1:19" x14ac:dyDescent="0.25">
      <c r="A1243" s="2">
        <v>43977</v>
      </c>
      <c r="B1243" s="1">
        <f t="shared" si="98"/>
        <v>22</v>
      </c>
      <c r="C1243">
        <f t="shared" si="100"/>
        <v>5</v>
      </c>
      <c r="D1243" t="str">
        <f t="shared" si="101"/>
        <v>May</v>
      </c>
      <c r="E1243">
        <f t="shared" si="102"/>
        <v>2020</v>
      </c>
      <c r="F1243" t="str">
        <f>CONCATENATE(calendar[[#This Row],[Month]],"/",calendar[[#This Row],[Year]])</f>
        <v>5/2020</v>
      </c>
      <c r="G1243">
        <f>WEEKDAY(calendar[[#This Row],[Date]],1)</f>
        <v>3</v>
      </c>
      <c r="H1243" t="str">
        <f>TEXT(calendar[[#This Row],[WeekDay]],"dddd")</f>
        <v>Tuesday</v>
      </c>
      <c r="I1243">
        <f>IF((INT(calendar[[#This Row],[Count]]/7)-calendar[[#This Row],[Count]]/7)&lt;0,I1242,I1242+1)</f>
        <v>178</v>
      </c>
      <c r="J1243">
        <f t="shared" si="99"/>
        <v>1241</v>
      </c>
      <c r="K1243">
        <f>IF(calendar[[#This Row],[Month]]&lt;4,1,IF(calendar[[#This Row],[Month]]&lt;7,2,IF(calendar[[#This Row],[Month]]&lt;10,3,4)))</f>
        <v>2</v>
      </c>
      <c r="L1243">
        <f>IFERROR(IF(VLOOKUP(calendar[[#This Row],[Date]],BH!A:A,1,)&lt;&gt;"",1,0),0)</f>
        <v>0</v>
      </c>
      <c r="M1243">
        <f>IFERROR(IF(VLOOKUP(calendar[[#This Row],[Date]],BH!C:C,1,)&lt;&gt;"",1,0),0)</f>
        <v>0</v>
      </c>
      <c r="N1243">
        <f>IFERROR(IF(VLOOKUP(calendar[[#This Row],[Date]],BH!E:E,1,)&lt;&gt;"",1,0),0)</f>
        <v>0</v>
      </c>
      <c r="O1243">
        <f>IFERROR(IF(VLOOKUP(calendar[[#This Row],[Date]],BH!G:G,1,)&lt;&gt;"",1,0),0)</f>
        <v>0</v>
      </c>
      <c r="P1243">
        <f>IF(OR(calendar[[#This Row],[UK_BH]]=1,calendar[[#This Row],[WeekDay]]=1, calendar[[#This Row],[WeekDay]]=7),P1242,P1242+1)</f>
        <v>887</v>
      </c>
      <c r="Q1243">
        <f>IF(OR(calendar[[#This Row],[FR_BH]]=1,calendar[[#This Row],[WeekDay]]=1, calendar[[#This Row],[WeekDay]]=7),P1242,P1242+1)</f>
        <v>887</v>
      </c>
      <c r="R1243">
        <f>IF(OR(calendar[[#This Row],[SP_BH]]=1,calendar[[#This Row],[WeekDay]]=1, calendar[[#This Row],[WeekDay]]=7),P1242,P1242+1)</f>
        <v>887</v>
      </c>
      <c r="S1243">
        <f>IF(OR(calendar[[#This Row],[PT_BH]]=1,calendar[[#This Row],[WeekDay]]=1, calendar[[#This Row],[WeekDay]]=7),P1242,P1242+1)</f>
        <v>887</v>
      </c>
    </row>
    <row r="1244" spans="1:19" x14ac:dyDescent="0.25">
      <c r="A1244" s="2">
        <v>43978</v>
      </c>
      <c r="B1244" s="1">
        <f t="shared" si="98"/>
        <v>22</v>
      </c>
      <c r="C1244">
        <f t="shared" si="100"/>
        <v>5</v>
      </c>
      <c r="D1244" t="str">
        <f t="shared" si="101"/>
        <v>May</v>
      </c>
      <c r="E1244">
        <f t="shared" si="102"/>
        <v>2020</v>
      </c>
      <c r="F1244" t="str">
        <f>CONCATENATE(calendar[[#This Row],[Month]],"/",calendar[[#This Row],[Year]])</f>
        <v>5/2020</v>
      </c>
      <c r="G1244">
        <f>WEEKDAY(calendar[[#This Row],[Date]],1)</f>
        <v>4</v>
      </c>
      <c r="H1244" t="str">
        <f>TEXT(calendar[[#This Row],[WeekDay]],"dddd")</f>
        <v>Wednesday</v>
      </c>
      <c r="I1244">
        <f>IF((INT(calendar[[#This Row],[Count]]/7)-calendar[[#This Row],[Count]]/7)&lt;0,I1243,I1243+1)</f>
        <v>178</v>
      </c>
      <c r="J1244">
        <f t="shared" si="99"/>
        <v>1242</v>
      </c>
      <c r="K1244">
        <f>IF(calendar[[#This Row],[Month]]&lt;4,1,IF(calendar[[#This Row],[Month]]&lt;7,2,IF(calendar[[#This Row],[Month]]&lt;10,3,4)))</f>
        <v>2</v>
      </c>
      <c r="L1244">
        <f>IFERROR(IF(VLOOKUP(calendar[[#This Row],[Date]],BH!A:A,1,)&lt;&gt;"",1,0),0)</f>
        <v>0</v>
      </c>
      <c r="M1244">
        <f>IFERROR(IF(VLOOKUP(calendar[[#This Row],[Date]],BH!C:C,1,)&lt;&gt;"",1,0),0)</f>
        <v>0</v>
      </c>
      <c r="N1244">
        <f>IFERROR(IF(VLOOKUP(calendar[[#This Row],[Date]],BH!E:E,1,)&lt;&gt;"",1,0),0)</f>
        <v>0</v>
      </c>
      <c r="O1244">
        <f>IFERROR(IF(VLOOKUP(calendar[[#This Row],[Date]],BH!G:G,1,)&lt;&gt;"",1,0),0)</f>
        <v>0</v>
      </c>
      <c r="P1244">
        <f>IF(OR(calendar[[#This Row],[UK_BH]]=1,calendar[[#This Row],[WeekDay]]=1, calendar[[#This Row],[WeekDay]]=7),P1243,P1243+1)</f>
        <v>888</v>
      </c>
      <c r="Q1244">
        <f>IF(OR(calendar[[#This Row],[FR_BH]]=1,calendar[[#This Row],[WeekDay]]=1, calendar[[#This Row],[WeekDay]]=7),P1243,P1243+1)</f>
        <v>888</v>
      </c>
      <c r="R1244">
        <f>IF(OR(calendar[[#This Row],[SP_BH]]=1,calendar[[#This Row],[WeekDay]]=1, calendar[[#This Row],[WeekDay]]=7),P1243,P1243+1)</f>
        <v>888</v>
      </c>
      <c r="S1244">
        <f>IF(OR(calendar[[#This Row],[PT_BH]]=1,calendar[[#This Row],[WeekDay]]=1, calendar[[#This Row],[WeekDay]]=7),P1243,P1243+1)</f>
        <v>888</v>
      </c>
    </row>
    <row r="1245" spans="1:19" x14ac:dyDescent="0.25">
      <c r="A1245" s="2">
        <v>43979</v>
      </c>
      <c r="B1245" s="1">
        <f t="shared" si="98"/>
        <v>22</v>
      </c>
      <c r="C1245">
        <f t="shared" si="100"/>
        <v>5</v>
      </c>
      <c r="D1245" t="str">
        <f t="shared" si="101"/>
        <v>May</v>
      </c>
      <c r="E1245">
        <f t="shared" si="102"/>
        <v>2020</v>
      </c>
      <c r="F1245" t="str">
        <f>CONCATENATE(calendar[[#This Row],[Month]],"/",calendar[[#This Row],[Year]])</f>
        <v>5/2020</v>
      </c>
      <c r="G1245">
        <f>WEEKDAY(calendar[[#This Row],[Date]],1)</f>
        <v>5</v>
      </c>
      <c r="H1245" t="str">
        <f>TEXT(calendar[[#This Row],[WeekDay]],"dddd")</f>
        <v>Thursday</v>
      </c>
      <c r="I1245">
        <f>IF((INT(calendar[[#This Row],[Count]]/7)-calendar[[#This Row],[Count]]/7)&lt;0,I1244,I1244+1)</f>
        <v>178</v>
      </c>
      <c r="J1245">
        <f t="shared" si="99"/>
        <v>1243</v>
      </c>
      <c r="K1245">
        <f>IF(calendar[[#This Row],[Month]]&lt;4,1,IF(calendar[[#This Row],[Month]]&lt;7,2,IF(calendar[[#This Row],[Month]]&lt;10,3,4)))</f>
        <v>2</v>
      </c>
      <c r="L1245">
        <f>IFERROR(IF(VLOOKUP(calendar[[#This Row],[Date]],BH!A:A,1,)&lt;&gt;"",1,0),0)</f>
        <v>0</v>
      </c>
      <c r="M1245">
        <f>IFERROR(IF(VLOOKUP(calendar[[#This Row],[Date]],BH!C:C,1,)&lt;&gt;"",1,0),0)</f>
        <v>0</v>
      </c>
      <c r="N1245">
        <f>IFERROR(IF(VLOOKUP(calendar[[#This Row],[Date]],BH!E:E,1,)&lt;&gt;"",1,0),0)</f>
        <v>0</v>
      </c>
      <c r="O1245">
        <f>IFERROR(IF(VLOOKUP(calendar[[#This Row],[Date]],BH!G:G,1,)&lt;&gt;"",1,0),0)</f>
        <v>0</v>
      </c>
      <c r="P1245">
        <f>IF(OR(calendar[[#This Row],[UK_BH]]=1,calendar[[#This Row],[WeekDay]]=1, calendar[[#This Row],[WeekDay]]=7),P1244,P1244+1)</f>
        <v>889</v>
      </c>
      <c r="Q1245">
        <f>IF(OR(calendar[[#This Row],[FR_BH]]=1,calendar[[#This Row],[WeekDay]]=1, calendar[[#This Row],[WeekDay]]=7),P1244,P1244+1)</f>
        <v>889</v>
      </c>
      <c r="R1245">
        <f>IF(OR(calendar[[#This Row],[SP_BH]]=1,calendar[[#This Row],[WeekDay]]=1, calendar[[#This Row],[WeekDay]]=7),P1244,P1244+1)</f>
        <v>889</v>
      </c>
      <c r="S1245">
        <f>IF(OR(calendar[[#This Row],[PT_BH]]=1,calendar[[#This Row],[WeekDay]]=1, calendar[[#This Row],[WeekDay]]=7),P1244,P1244+1)</f>
        <v>889</v>
      </c>
    </row>
    <row r="1246" spans="1:19" x14ac:dyDescent="0.25">
      <c r="A1246" s="2">
        <v>43980</v>
      </c>
      <c r="B1246" s="1">
        <f t="shared" si="98"/>
        <v>22</v>
      </c>
      <c r="C1246">
        <f t="shared" si="100"/>
        <v>5</v>
      </c>
      <c r="D1246" t="str">
        <f t="shared" si="101"/>
        <v>May</v>
      </c>
      <c r="E1246">
        <f t="shared" si="102"/>
        <v>2020</v>
      </c>
      <c r="F1246" t="str">
        <f>CONCATENATE(calendar[[#This Row],[Month]],"/",calendar[[#This Row],[Year]])</f>
        <v>5/2020</v>
      </c>
      <c r="G1246">
        <f>WEEKDAY(calendar[[#This Row],[Date]],1)</f>
        <v>6</v>
      </c>
      <c r="H1246" t="str">
        <f>TEXT(calendar[[#This Row],[WeekDay]],"dddd")</f>
        <v>Friday</v>
      </c>
      <c r="I1246">
        <f>IF((INT(calendar[[#This Row],[Count]]/7)-calendar[[#This Row],[Count]]/7)&lt;0,I1245,I1245+1)</f>
        <v>178</v>
      </c>
      <c r="J1246">
        <f t="shared" si="99"/>
        <v>1244</v>
      </c>
      <c r="K1246">
        <f>IF(calendar[[#This Row],[Month]]&lt;4,1,IF(calendar[[#This Row],[Month]]&lt;7,2,IF(calendar[[#This Row],[Month]]&lt;10,3,4)))</f>
        <v>2</v>
      </c>
      <c r="L1246">
        <f>IFERROR(IF(VLOOKUP(calendar[[#This Row],[Date]],BH!A:A,1,)&lt;&gt;"",1,0),0)</f>
        <v>0</v>
      </c>
      <c r="M1246">
        <f>IFERROR(IF(VLOOKUP(calendar[[#This Row],[Date]],BH!C:C,1,)&lt;&gt;"",1,0),0)</f>
        <v>0</v>
      </c>
      <c r="N1246">
        <f>IFERROR(IF(VLOOKUP(calendar[[#This Row],[Date]],BH!E:E,1,)&lt;&gt;"",1,0),0)</f>
        <v>0</v>
      </c>
      <c r="O1246">
        <f>IFERROR(IF(VLOOKUP(calendar[[#This Row],[Date]],BH!G:G,1,)&lt;&gt;"",1,0),0)</f>
        <v>0</v>
      </c>
      <c r="P1246">
        <f>IF(OR(calendar[[#This Row],[UK_BH]]=1,calendar[[#This Row],[WeekDay]]=1, calendar[[#This Row],[WeekDay]]=7),P1245,P1245+1)</f>
        <v>890</v>
      </c>
      <c r="Q1246">
        <f>IF(OR(calendar[[#This Row],[FR_BH]]=1,calendar[[#This Row],[WeekDay]]=1, calendar[[#This Row],[WeekDay]]=7),P1245,P1245+1)</f>
        <v>890</v>
      </c>
      <c r="R1246">
        <f>IF(OR(calendar[[#This Row],[SP_BH]]=1,calendar[[#This Row],[WeekDay]]=1, calendar[[#This Row],[WeekDay]]=7),P1245,P1245+1)</f>
        <v>890</v>
      </c>
      <c r="S1246">
        <f>IF(OR(calendar[[#This Row],[PT_BH]]=1,calendar[[#This Row],[WeekDay]]=1, calendar[[#This Row],[WeekDay]]=7),P1245,P1245+1)</f>
        <v>890</v>
      </c>
    </row>
    <row r="1247" spans="1:19" x14ac:dyDescent="0.25">
      <c r="A1247" s="2">
        <v>43981</v>
      </c>
      <c r="B1247" s="1">
        <f t="shared" si="98"/>
        <v>22</v>
      </c>
      <c r="C1247">
        <f t="shared" si="100"/>
        <v>5</v>
      </c>
      <c r="D1247" t="str">
        <f t="shared" si="101"/>
        <v>May</v>
      </c>
      <c r="E1247">
        <f t="shared" si="102"/>
        <v>2020</v>
      </c>
      <c r="F1247" t="str">
        <f>CONCATENATE(calendar[[#This Row],[Month]],"/",calendar[[#This Row],[Year]])</f>
        <v>5/2020</v>
      </c>
      <c r="G1247">
        <f>WEEKDAY(calendar[[#This Row],[Date]],1)</f>
        <v>7</v>
      </c>
      <c r="H1247" t="str">
        <f>TEXT(calendar[[#This Row],[WeekDay]],"dddd")</f>
        <v>Saturday</v>
      </c>
      <c r="I1247">
        <f>IF((INT(calendar[[#This Row],[Count]]/7)-calendar[[#This Row],[Count]]/7)&lt;0,I1246,I1246+1)</f>
        <v>178</v>
      </c>
      <c r="J1247">
        <f t="shared" si="99"/>
        <v>1245</v>
      </c>
      <c r="K1247">
        <f>IF(calendar[[#This Row],[Month]]&lt;4,1,IF(calendar[[#This Row],[Month]]&lt;7,2,IF(calendar[[#This Row],[Month]]&lt;10,3,4)))</f>
        <v>2</v>
      </c>
      <c r="L1247">
        <f>IFERROR(IF(VLOOKUP(calendar[[#This Row],[Date]],BH!A:A,1,)&lt;&gt;"",1,0),0)</f>
        <v>0</v>
      </c>
      <c r="M1247">
        <f>IFERROR(IF(VLOOKUP(calendar[[#This Row],[Date]],BH!C:C,1,)&lt;&gt;"",1,0),0)</f>
        <v>0</v>
      </c>
      <c r="N1247">
        <f>IFERROR(IF(VLOOKUP(calendar[[#This Row],[Date]],BH!E:E,1,)&lt;&gt;"",1,0),0)</f>
        <v>0</v>
      </c>
      <c r="O1247">
        <f>IFERROR(IF(VLOOKUP(calendar[[#This Row],[Date]],BH!G:G,1,)&lt;&gt;"",1,0),0)</f>
        <v>0</v>
      </c>
      <c r="P1247">
        <f>IF(OR(calendar[[#This Row],[UK_BH]]=1,calendar[[#This Row],[WeekDay]]=1, calendar[[#This Row],[WeekDay]]=7),P1246,P1246+1)</f>
        <v>890</v>
      </c>
      <c r="Q1247">
        <f>IF(OR(calendar[[#This Row],[FR_BH]]=1,calendar[[#This Row],[WeekDay]]=1, calendar[[#This Row],[WeekDay]]=7),P1246,P1246+1)</f>
        <v>890</v>
      </c>
      <c r="R1247">
        <f>IF(OR(calendar[[#This Row],[SP_BH]]=1,calendar[[#This Row],[WeekDay]]=1, calendar[[#This Row],[WeekDay]]=7),P1246,P1246+1)</f>
        <v>890</v>
      </c>
      <c r="S1247">
        <f>IF(OR(calendar[[#This Row],[PT_BH]]=1,calendar[[#This Row],[WeekDay]]=1, calendar[[#This Row],[WeekDay]]=7),P1246,P1246+1)</f>
        <v>890</v>
      </c>
    </row>
    <row r="1248" spans="1:19" x14ac:dyDescent="0.25">
      <c r="A1248" s="2">
        <v>43982</v>
      </c>
      <c r="B1248" s="1">
        <f t="shared" si="98"/>
        <v>23</v>
      </c>
      <c r="C1248">
        <f t="shared" si="100"/>
        <v>5</v>
      </c>
      <c r="D1248" t="str">
        <f t="shared" si="101"/>
        <v>May</v>
      </c>
      <c r="E1248">
        <f t="shared" si="102"/>
        <v>2020</v>
      </c>
      <c r="F1248" t="str">
        <f>CONCATENATE(calendar[[#This Row],[Month]],"/",calendar[[#This Row],[Year]])</f>
        <v>5/2020</v>
      </c>
      <c r="G1248">
        <f>WEEKDAY(calendar[[#This Row],[Date]],1)</f>
        <v>1</v>
      </c>
      <c r="H1248" t="str">
        <f>TEXT(calendar[[#This Row],[WeekDay]],"dddd")</f>
        <v>Sunday</v>
      </c>
      <c r="I1248">
        <f>IF((INT(calendar[[#This Row],[Count]]/7)-calendar[[#This Row],[Count]]/7)&lt;0,I1247,I1247+1)</f>
        <v>179</v>
      </c>
      <c r="J1248">
        <f t="shared" si="99"/>
        <v>1246</v>
      </c>
      <c r="K1248">
        <f>IF(calendar[[#This Row],[Month]]&lt;4,1,IF(calendar[[#This Row],[Month]]&lt;7,2,IF(calendar[[#This Row],[Month]]&lt;10,3,4)))</f>
        <v>2</v>
      </c>
      <c r="L1248">
        <f>IFERROR(IF(VLOOKUP(calendar[[#This Row],[Date]],BH!A:A,1,)&lt;&gt;"",1,0),0)</f>
        <v>0</v>
      </c>
      <c r="M1248">
        <f>IFERROR(IF(VLOOKUP(calendar[[#This Row],[Date]],BH!C:C,1,)&lt;&gt;"",1,0),0)</f>
        <v>0</v>
      </c>
      <c r="N1248">
        <f>IFERROR(IF(VLOOKUP(calendar[[#This Row],[Date]],BH!E:E,1,)&lt;&gt;"",1,0),0)</f>
        <v>0</v>
      </c>
      <c r="O1248">
        <f>IFERROR(IF(VLOOKUP(calendar[[#This Row],[Date]],BH!G:G,1,)&lt;&gt;"",1,0),0)</f>
        <v>0</v>
      </c>
      <c r="P1248">
        <f>IF(OR(calendar[[#This Row],[UK_BH]]=1,calendar[[#This Row],[WeekDay]]=1, calendar[[#This Row],[WeekDay]]=7),P1247,P1247+1)</f>
        <v>890</v>
      </c>
      <c r="Q1248">
        <f>IF(OR(calendar[[#This Row],[FR_BH]]=1,calendar[[#This Row],[WeekDay]]=1, calendar[[#This Row],[WeekDay]]=7),P1247,P1247+1)</f>
        <v>890</v>
      </c>
      <c r="R1248">
        <f>IF(OR(calendar[[#This Row],[SP_BH]]=1,calendar[[#This Row],[WeekDay]]=1, calendar[[#This Row],[WeekDay]]=7),P1247,P1247+1)</f>
        <v>890</v>
      </c>
      <c r="S1248">
        <f>IF(OR(calendar[[#This Row],[PT_BH]]=1,calendar[[#This Row],[WeekDay]]=1, calendar[[#This Row],[WeekDay]]=7),P1247,P1247+1)</f>
        <v>890</v>
      </c>
    </row>
    <row r="1249" spans="1:19" x14ac:dyDescent="0.25">
      <c r="A1249" s="2">
        <v>43983</v>
      </c>
      <c r="B1249" s="1">
        <f t="shared" si="98"/>
        <v>23</v>
      </c>
      <c r="C1249">
        <f t="shared" si="100"/>
        <v>6</v>
      </c>
      <c r="D1249" t="str">
        <f t="shared" si="101"/>
        <v>June</v>
      </c>
      <c r="E1249">
        <f t="shared" si="102"/>
        <v>2020</v>
      </c>
      <c r="F1249" t="str">
        <f>CONCATENATE(calendar[[#This Row],[Month]],"/",calendar[[#This Row],[Year]])</f>
        <v>6/2020</v>
      </c>
      <c r="G1249">
        <f>WEEKDAY(calendar[[#This Row],[Date]],1)</f>
        <v>2</v>
      </c>
      <c r="H1249" t="str">
        <f>TEXT(calendar[[#This Row],[WeekDay]],"dddd")</f>
        <v>Monday</v>
      </c>
      <c r="I1249">
        <f>IF((INT(calendar[[#This Row],[Count]]/7)-calendar[[#This Row],[Count]]/7)&lt;0,I1248,I1248+1)</f>
        <v>179</v>
      </c>
      <c r="J1249">
        <f t="shared" si="99"/>
        <v>1247</v>
      </c>
      <c r="K1249">
        <f>IF(calendar[[#This Row],[Month]]&lt;4,1,IF(calendar[[#This Row],[Month]]&lt;7,2,IF(calendar[[#This Row],[Month]]&lt;10,3,4)))</f>
        <v>2</v>
      </c>
      <c r="L1249">
        <f>IFERROR(IF(VLOOKUP(calendar[[#This Row],[Date]],BH!A:A,1,)&lt;&gt;"",1,0),0)</f>
        <v>0</v>
      </c>
      <c r="M1249">
        <f>IFERROR(IF(VLOOKUP(calendar[[#This Row],[Date]],BH!C:C,1,)&lt;&gt;"",1,0),0)</f>
        <v>0</v>
      </c>
      <c r="N1249">
        <f>IFERROR(IF(VLOOKUP(calendar[[#This Row],[Date]],BH!E:E,1,)&lt;&gt;"",1,0),0)</f>
        <v>0</v>
      </c>
      <c r="O1249">
        <f>IFERROR(IF(VLOOKUP(calendar[[#This Row],[Date]],BH!G:G,1,)&lt;&gt;"",1,0),0)</f>
        <v>0</v>
      </c>
      <c r="P1249">
        <f>IF(OR(calendar[[#This Row],[UK_BH]]=1,calendar[[#This Row],[WeekDay]]=1, calendar[[#This Row],[WeekDay]]=7),P1248,P1248+1)</f>
        <v>891</v>
      </c>
      <c r="Q1249">
        <f>IF(OR(calendar[[#This Row],[FR_BH]]=1,calendar[[#This Row],[WeekDay]]=1, calendar[[#This Row],[WeekDay]]=7),P1248,P1248+1)</f>
        <v>891</v>
      </c>
      <c r="R1249">
        <f>IF(OR(calendar[[#This Row],[SP_BH]]=1,calendar[[#This Row],[WeekDay]]=1, calendar[[#This Row],[WeekDay]]=7),P1248,P1248+1)</f>
        <v>891</v>
      </c>
      <c r="S1249">
        <f>IF(OR(calendar[[#This Row],[PT_BH]]=1,calendar[[#This Row],[WeekDay]]=1, calendar[[#This Row],[WeekDay]]=7),P1248,P1248+1)</f>
        <v>891</v>
      </c>
    </row>
    <row r="1250" spans="1:19" x14ac:dyDescent="0.25">
      <c r="A1250" s="2">
        <v>43984</v>
      </c>
      <c r="B1250" s="1">
        <f t="shared" si="98"/>
        <v>23</v>
      </c>
      <c r="C1250">
        <f t="shared" si="100"/>
        <v>6</v>
      </c>
      <c r="D1250" t="str">
        <f t="shared" si="101"/>
        <v>June</v>
      </c>
      <c r="E1250">
        <f t="shared" si="102"/>
        <v>2020</v>
      </c>
      <c r="F1250" t="str">
        <f>CONCATENATE(calendar[[#This Row],[Month]],"/",calendar[[#This Row],[Year]])</f>
        <v>6/2020</v>
      </c>
      <c r="G1250">
        <f>WEEKDAY(calendar[[#This Row],[Date]],1)</f>
        <v>3</v>
      </c>
      <c r="H1250" t="str">
        <f>TEXT(calendar[[#This Row],[WeekDay]],"dddd")</f>
        <v>Tuesday</v>
      </c>
      <c r="I1250">
        <f>IF((INT(calendar[[#This Row],[Count]]/7)-calendar[[#This Row],[Count]]/7)&lt;0,I1249,I1249+1)</f>
        <v>179</v>
      </c>
      <c r="J1250">
        <f t="shared" si="99"/>
        <v>1248</v>
      </c>
      <c r="K1250">
        <f>IF(calendar[[#This Row],[Month]]&lt;4,1,IF(calendar[[#This Row],[Month]]&lt;7,2,IF(calendar[[#This Row],[Month]]&lt;10,3,4)))</f>
        <v>2</v>
      </c>
      <c r="L1250">
        <f>IFERROR(IF(VLOOKUP(calendar[[#This Row],[Date]],BH!A:A,1,)&lt;&gt;"",1,0),0)</f>
        <v>0</v>
      </c>
      <c r="M1250">
        <f>IFERROR(IF(VLOOKUP(calendar[[#This Row],[Date]],BH!C:C,1,)&lt;&gt;"",1,0),0)</f>
        <v>0</v>
      </c>
      <c r="N1250">
        <f>IFERROR(IF(VLOOKUP(calendar[[#This Row],[Date]],BH!E:E,1,)&lt;&gt;"",1,0),0)</f>
        <v>0</v>
      </c>
      <c r="O1250">
        <f>IFERROR(IF(VLOOKUP(calendar[[#This Row],[Date]],BH!G:G,1,)&lt;&gt;"",1,0),0)</f>
        <v>0</v>
      </c>
      <c r="P1250">
        <f>IF(OR(calendar[[#This Row],[UK_BH]]=1,calendar[[#This Row],[WeekDay]]=1, calendar[[#This Row],[WeekDay]]=7),P1249,P1249+1)</f>
        <v>892</v>
      </c>
      <c r="Q1250">
        <f>IF(OR(calendar[[#This Row],[FR_BH]]=1,calendar[[#This Row],[WeekDay]]=1, calendar[[#This Row],[WeekDay]]=7),P1249,P1249+1)</f>
        <v>892</v>
      </c>
      <c r="R1250">
        <f>IF(OR(calendar[[#This Row],[SP_BH]]=1,calendar[[#This Row],[WeekDay]]=1, calendar[[#This Row],[WeekDay]]=7),P1249,P1249+1)</f>
        <v>892</v>
      </c>
      <c r="S1250">
        <f>IF(OR(calendar[[#This Row],[PT_BH]]=1,calendar[[#This Row],[WeekDay]]=1, calendar[[#This Row],[WeekDay]]=7),P1249,P1249+1)</f>
        <v>892</v>
      </c>
    </row>
    <row r="1251" spans="1:19" x14ac:dyDescent="0.25">
      <c r="A1251" s="2">
        <v>43985</v>
      </c>
      <c r="B1251" s="1">
        <f t="shared" si="98"/>
        <v>23</v>
      </c>
      <c r="C1251">
        <f t="shared" si="100"/>
        <v>6</v>
      </c>
      <c r="D1251" t="str">
        <f t="shared" si="101"/>
        <v>June</v>
      </c>
      <c r="E1251">
        <f t="shared" si="102"/>
        <v>2020</v>
      </c>
      <c r="F1251" t="str">
        <f>CONCATENATE(calendar[[#This Row],[Month]],"/",calendar[[#This Row],[Year]])</f>
        <v>6/2020</v>
      </c>
      <c r="G1251">
        <f>WEEKDAY(calendar[[#This Row],[Date]],1)</f>
        <v>4</v>
      </c>
      <c r="H1251" t="str">
        <f>TEXT(calendar[[#This Row],[WeekDay]],"dddd")</f>
        <v>Wednesday</v>
      </c>
      <c r="I1251">
        <f>IF((INT(calendar[[#This Row],[Count]]/7)-calendar[[#This Row],[Count]]/7)&lt;0,I1250,I1250+1)</f>
        <v>179</v>
      </c>
      <c r="J1251">
        <f t="shared" si="99"/>
        <v>1249</v>
      </c>
      <c r="K1251">
        <f>IF(calendar[[#This Row],[Month]]&lt;4,1,IF(calendar[[#This Row],[Month]]&lt;7,2,IF(calendar[[#This Row],[Month]]&lt;10,3,4)))</f>
        <v>2</v>
      </c>
      <c r="L1251">
        <f>IFERROR(IF(VLOOKUP(calendar[[#This Row],[Date]],BH!A:A,1,)&lt;&gt;"",1,0),0)</f>
        <v>0</v>
      </c>
      <c r="M1251">
        <f>IFERROR(IF(VLOOKUP(calendar[[#This Row],[Date]],BH!C:C,1,)&lt;&gt;"",1,0),0)</f>
        <v>0</v>
      </c>
      <c r="N1251">
        <f>IFERROR(IF(VLOOKUP(calendar[[#This Row],[Date]],BH!E:E,1,)&lt;&gt;"",1,0),0)</f>
        <v>0</v>
      </c>
      <c r="O1251">
        <f>IFERROR(IF(VLOOKUP(calendar[[#This Row],[Date]],BH!G:G,1,)&lt;&gt;"",1,0),0)</f>
        <v>0</v>
      </c>
      <c r="P1251">
        <f>IF(OR(calendar[[#This Row],[UK_BH]]=1,calendar[[#This Row],[WeekDay]]=1, calendar[[#This Row],[WeekDay]]=7),P1250,P1250+1)</f>
        <v>893</v>
      </c>
      <c r="Q1251">
        <f>IF(OR(calendar[[#This Row],[FR_BH]]=1,calendar[[#This Row],[WeekDay]]=1, calendar[[#This Row],[WeekDay]]=7),P1250,P1250+1)</f>
        <v>893</v>
      </c>
      <c r="R1251">
        <f>IF(OR(calendar[[#This Row],[SP_BH]]=1,calendar[[#This Row],[WeekDay]]=1, calendar[[#This Row],[WeekDay]]=7),P1250,P1250+1)</f>
        <v>893</v>
      </c>
      <c r="S1251">
        <f>IF(OR(calendar[[#This Row],[PT_BH]]=1,calendar[[#This Row],[WeekDay]]=1, calendar[[#This Row],[WeekDay]]=7),P1250,P1250+1)</f>
        <v>893</v>
      </c>
    </row>
    <row r="1252" spans="1:19" x14ac:dyDescent="0.25">
      <c r="A1252" s="2">
        <v>43986</v>
      </c>
      <c r="B1252" s="1">
        <f t="shared" si="98"/>
        <v>23</v>
      </c>
      <c r="C1252">
        <f t="shared" si="100"/>
        <v>6</v>
      </c>
      <c r="D1252" t="str">
        <f t="shared" si="101"/>
        <v>June</v>
      </c>
      <c r="E1252">
        <f t="shared" si="102"/>
        <v>2020</v>
      </c>
      <c r="F1252" t="str">
        <f>CONCATENATE(calendar[[#This Row],[Month]],"/",calendar[[#This Row],[Year]])</f>
        <v>6/2020</v>
      </c>
      <c r="G1252">
        <f>WEEKDAY(calendar[[#This Row],[Date]],1)</f>
        <v>5</v>
      </c>
      <c r="H1252" t="str">
        <f>TEXT(calendar[[#This Row],[WeekDay]],"dddd")</f>
        <v>Thursday</v>
      </c>
      <c r="I1252">
        <f>IF((INT(calendar[[#This Row],[Count]]/7)-calendar[[#This Row],[Count]]/7)&lt;0,I1251,I1251+1)</f>
        <v>179</v>
      </c>
      <c r="J1252">
        <f t="shared" si="99"/>
        <v>1250</v>
      </c>
      <c r="K1252">
        <f>IF(calendar[[#This Row],[Month]]&lt;4,1,IF(calendar[[#This Row],[Month]]&lt;7,2,IF(calendar[[#This Row],[Month]]&lt;10,3,4)))</f>
        <v>2</v>
      </c>
      <c r="L1252">
        <f>IFERROR(IF(VLOOKUP(calendar[[#This Row],[Date]],BH!A:A,1,)&lt;&gt;"",1,0),0)</f>
        <v>0</v>
      </c>
      <c r="M1252">
        <f>IFERROR(IF(VLOOKUP(calendar[[#This Row],[Date]],BH!C:C,1,)&lt;&gt;"",1,0),0)</f>
        <v>0</v>
      </c>
      <c r="N1252">
        <f>IFERROR(IF(VLOOKUP(calendar[[#This Row],[Date]],BH!E:E,1,)&lt;&gt;"",1,0),0)</f>
        <v>0</v>
      </c>
      <c r="O1252">
        <f>IFERROR(IF(VLOOKUP(calendar[[#This Row],[Date]],BH!G:G,1,)&lt;&gt;"",1,0),0)</f>
        <v>0</v>
      </c>
      <c r="P1252">
        <f>IF(OR(calendar[[#This Row],[UK_BH]]=1,calendar[[#This Row],[WeekDay]]=1, calendar[[#This Row],[WeekDay]]=7),P1251,P1251+1)</f>
        <v>894</v>
      </c>
      <c r="Q1252">
        <f>IF(OR(calendar[[#This Row],[FR_BH]]=1,calendar[[#This Row],[WeekDay]]=1, calendar[[#This Row],[WeekDay]]=7),P1251,P1251+1)</f>
        <v>894</v>
      </c>
      <c r="R1252">
        <f>IF(OR(calendar[[#This Row],[SP_BH]]=1,calendar[[#This Row],[WeekDay]]=1, calendar[[#This Row],[WeekDay]]=7),P1251,P1251+1)</f>
        <v>894</v>
      </c>
      <c r="S1252">
        <f>IF(OR(calendar[[#This Row],[PT_BH]]=1,calendar[[#This Row],[WeekDay]]=1, calendar[[#This Row],[WeekDay]]=7),P1251,P1251+1)</f>
        <v>894</v>
      </c>
    </row>
    <row r="1253" spans="1:19" x14ac:dyDescent="0.25">
      <c r="A1253" s="2">
        <v>43987</v>
      </c>
      <c r="B1253" s="1">
        <f t="shared" si="98"/>
        <v>23</v>
      </c>
      <c r="C1253">
        <f t="shared" si="100"/>
        <v>6</v>
      </c>
      <c r="D1253" t="str">
        <f t="shared" si="101"/>
        <v>June</v>
      </c>
      <c r="E1253">
        <f t="shared" si="102"/>
        <v>2020</v>
      </c>
      <c r="F1253" t="str">
        <f>CONCATENATE(calendar[[#This Row],[Month]],"/",calendar[[#This Row],[Year]])</f>
        <v>6/2020</v>
      </c>
      <c r="G1253">
        <f>WEEKDAY(calendar[[#This Row],[Date]],1)</f>
        <v>6</v>
      </c>
      <c r="H1253" t="str">
        <f>TEXT(calendar[[#This Row],[WeekDay]],"dddd")</f>
        <v>Friday</v>
      </c>
      <c r="I1253">
        <f>IF((INT(calendar[[#This Row],[Count]]/7)-calendar[[#This Row],[Count]]/7)&lt;0,I1252,I1252+1)</f>
        <v>179</v>
      </c>
      <c r="J1253">
        <f t="shared" si="99"/>
        <v>1251</v>
      </c>
      <c r="K1253">
        <f>IF(calendar[[#This Row],[Month]]&lt;4,1,IF(calendar[[#This Row],[Month]]&lt;7,2,IF(calendar[[#This Row],[Month]]&lt;10,3,4)))</f>
        <v>2</v>
      </c>
      <c r="L1253">
        <f>IFERROR(IF(VLOOKUP(calendar[[#This Row],[Date]],BH!A:A,1,)&lt;&gt;"",1,0),0)</f>
        <v>0</v>
      </c>
      <c r="M1253">
        <f>IFERROR(IF(VLOOKUP(calendar[[#This Row],[Date]],BH!C:C,1,)&lt;&gt;"",1,0),0)</f>
        <v>0</v>
      </c>
      <c r="N1253">
        <f>IFERROR(IF(VLOOKUP(calendar[[#This Row],[Date]],BH!E:E,1,)&lt;&gt;"",1,0),0)</f>
        <v>0</v>
      </c>
      <c r="O1253">
        <f>IFERROR(IF(VLOOKUP(calendar[[#This Row],[Date]],BH!G:G,1,)&lt;&gt;"",1,0),0)</f>
        <v>0</v>
      </c>
      <c r="P1253">
        <f>IF(OR(calendar[[#This Row],[UK_BH]]=1,calendar[[#This Row],[WeekDay]]=1, calendar[[#This Row],[WeekDay]]=7),P1252,P1252+1)</f>
        <v>895</v>
      </c>
      <c r="Q1253">
        <f>IF(OR(calendar[[#This Row],[FR_BH]]=1,calendar[[#This Row],[WeekDay]]=1, calendar[[#This Row],[WeekDay]]=7),P1252,P1252+1)</f>
        <v>895</v>
      </c>
      <c r="R1253">
        <f>IF(OR(calendar[[#This Row],[SP_BH]]=1,calendar[[#This Row],[WeekDay]]=1, calendar[[#This Row],[WeekDay]]=7),P1252,P1252+1)</f>
        <v>895</v>
      </c>
      <c r="S1253">
        <f>IF(OR(calendar[[#This Row],[PT_BH]]=1,calendar[[#This Row],[WeekDay]]=1, calendar[[#This Row],[WeekDay]]=7),P1252,P1252+1)</f>
        <v>895</v>
      </c>
    </row>
    <row r="1254" spans="1:19" x14ac:dyDescent="0.25">
      <c r="A1254" s="2">
        <v>43988</v>
      </c>
      <c r="B1254" s="1">
        <f t="shared" si="98"/>
        <v>23</v>
      </c>
      <c r="C1254">
        <f t="shared" si="100"/>
        <v>6</v>
      </c>
      <c r="D1254" t="str">
        <f t="shared" si="101"/>
        <v>June</v>
      </c>
      <c r="E1254">
        <f t="shared" si="102"/>
        <v>2020</v>
      </c>
      <c r="F1254" t="str">
        <f>CONCATENATE(calendar[[#This Row],[Month]],"/",calendar[[#This Row],[Year]])</f>
        <v>6/2020</v>
      </c>
      <c r="G1254">
        <f>WEEKDAY(calendar[[#This Row],[Date]],1)</f>
        <v>7</v>
      </c>
      <c r="H1254" t="str">
        <f>TEXT(calendar[[#This Row],[WeekDay]],"dddd")</f>
        <v>Saturday</v>
      </c>
      <c r="I1254">
        <f>IF((INT(calendar[[#This Row],[Count]]/7)-calendar[[#This Row],[Count]]/7)&lt;0,I1253,I1253+1)</f>
        <v>179</v>
      </c>
      <c r="J1254">
        <f t="shared" si="99"/>
        <v>1252</v>
      </c>
      <c r="K1254">
        <f>IF(calendar[[#This Row],[Month]]&lt;4,1,IF(calendar[[#This Row],[Month]]&lt;7,2,IF(calendar[[#This Row],[Month]]&lt;10,3,4)))</f>
        <v>2</v>
      </c>
      <c r="L1254">
        <f>IFERROR(IF(VLOOKUP(calendar[[#This Row],[Date]],BH!A:A,1,)&lt;&gt;"",1,0),0)</f>
        <v>0</v>
      </c>
      <c r="M1254">
        <f>IFERROR(IF(VLOOKUP(calendar[[#This Row],[Date]],BH!C:C,1,)&lt;&gt;"",1,0),0)</f>
        <v>0</v>
      </c>
      <c r="N1254">
        <f>IFERROR(IF(VLOOKUP(calendar[[#This Row],[Date]],BH!E:E,1,)&lt;&gt;"",1,0),0)</f>
        <v>0</v>
      </c>
      <c r="O1254">
        <f>IFERROR(IF(VLOOKUP(calendar[[#This Row],[Date]],BH!G:G,1,)&lt;&gt;"",1,0),0)</f>
        <v>0</v>
      </c>
      <c r="P1254">
        <f>IF(OR(calendar[[#This Row],[UK_BH]]=1,calendar[[#This Row],[WeekDay]]=1, calendar[[#This Row],[WeekDay]]=7),P1253,P1253+1)</f>
        <v>895</v>
      </c>
      <c r="Q1254">
        <f>IF(OR(calendar[[#This Row],[FR_BH]]=1,calendar[[#This Row],[WeekDay]]=1, calendar[[#This Row],[WeekDay]]=7),P1253,P1253+1)</f>
        <v>895</v>
      </c>
      <c r="R1254">
        <f>IF(OR(calendar[[#This Row],[SP_BH]]=1,calendar[[#This Row],[WeekDay]]=1, calendar[[#This Row],[WeekDay]]=7),P1253,P1253+1)</f>
        <v>895</v>
      </c>
      <c r="S1254">
        <f>IF(OR(calendar[[#This Row],[PT_BH]]=1,calendar[[#This Row],[WeekDay]]=1, calendar[[#This Row],[WeekDay]]=7),P1253,P1253+1)</f>
        <v>895</v>
      </c>
    </row>
    <row r="1255" spans="1:19" x14ac:dyDescent="0.25">
      <c r="A1255" s="2">
        <v>43989</v>
      </c>
      <c r="B1255" s="1">
        <f t="shared" si="98"/>
        <v>24</v>
      </c>
      <c r="C1255">
        <f t="shared" si="100"/>
        <v>6</v>
      </c>
      <c r="D1255" t="str">
        <f t="shared" si="101"/>
        <v>June</v>
      </c>
      <c r="E1255">
        <f t="shared" si="102"/>
        <v>2020</v>
      </c>
      <c r="F1255" t="str">
        <f>CONCATENATE(calendar[[#This Row],[Month]],"/",calendar[[#This Row],[Year]])</f>
        <v>6/2020</v>
      </c>
      <c r="G1255">
        <f>WEEKDAY(calendar[[#This Row],[Date]],1)</f>
        <v>1</v>
      </c>
      <c r="H1255" t="str">
        <f>TEXT(calendar[[#This Row],[WeekDay]],"dddd")</f>
        <v>Sunday</v>
      </c>
      <c r="I1255">
        <f>IF((INT(calendar[[#This Row],[Count]]/7)-calendar[[#This Row],[Count]]/7)&lt;0,I1254,I1254+1)</f>
        <v>180</v>
      </c>
      <c r="J1255">
        <f t="shared" si="99"/>
        <v>1253</v>
      </c>
      <c r="K1255">
        <f>IF(calendar[[#This Row],[Month]]&lt;4,1,IF(calendar[[#This Row],[Month]]&lt;7,2,IF(calendar[[#This Row],[Month]]&lt;10,3,4)))</f>
        <v>2</v>
      </c>
      <c r="L1255">
        <f>IFERROR(IF(VLOOKUP(calendar[[#This Row],[Date]],BH!A:A,1,)&lt;&gt;"",1,0),0)</f>
        <v>0</v>
      </c>
      <c r="M1255">
        <f>IFERROR(IF(VLOOKUP(calendar[[#This Row],[Date]],BH!C:C,1,)&lt;&gt;"",1,0),0)</f>
        <v>0</v>
      </c>
      <c r="N1255">
        <f>IFERROR(IF(VLOOKUP(calendar[[#This Row],[Date]],BH!E:E,1,)&lt;&gt;"",1,0),0)</f>
        <v>0</v>
      </c>
      <c r="O1255">
        <f>IFERROR(IF(VLOOKUP(calendar[[#This Row],[Date]],BH!G:G,1,)&lt;&gt;"",1,0),0)</f>
        <v>0</v>
      </c>
      <c r="P1255">
        <f>IF(OR(calendar[[#This Row],[UK_BH]]=1,calendar[[#This Row],[WeekDay]]=1, calendar[[#This Row],[WeekDay]]=7),P1254,P1254+1)</f>
        <v>895</v>
      </c>
      <c r="Q1255">
        <f>IF(OR(calendar[[#This Row],[FR_BH]]=1,calendar[[#This Row],[WeekDay]]=1, calendar[[#This Row],[WeekDay]]=7),P1254,P1254+1)</f>
        <v>895</v>
      </c>
      <c r="R1255">
        <f>IF(OR(calendar[[#This Row],[SP_BH]]=1,calendar[[#This Row],[WeekDay]]=1, calendar[[#This Row],[WeekDay]]=7),P1254,P1254+1)</f>
        <v>895</v>
      </c>
      <c r="S1255">
        <f>IF(OR(calendar[[#This Row],[PT_BH]]=1,calendar[[#This Row],[WeekDay]]=1, calendar[[#This Row],[WeekDay]]=7),P1254,P1254+1)</f>
        <v>895</v>
      </c>
    </row>
    <row r="1256" spans="1:19" x14ac:dyDescent="0.25">
      <c r="A1256" s="2">
        <v>43990</v>
      </c>
      <c r="B1256" s="1">
        <f t="shared" si="98"/>
        <v>24</v>
      </c>
      <c r="C1256">
        <f t="shared" si="100"/>
        <v>6</v>
      </c>
      <c r="D1256" t="str">
        <f t="shared" si="101"/>
        <v>June</v>
      </c>
      <c r="E1256">
        <f t="shared" si="102"/>
        <v>2020</v>
      </c>
      <c r="F1256" t="str">
        <f>CONCATENATE(calendar[[#This Row],[Month]],"/",calendar[[#This Row],[Year]])</f>
        <v>6/2020</v>
      </c>
      <c r="G1256">
        <f>WEEKDAY(calendar[[#This Row],[Date]],1)</f>
        <v>2</v>
      </c>
      <c r="H1256" t="str">
        <f>TEXT(calendar[[#This Row],[WeekDay]],"dddd")</f>
        <v>Monday</v>
      </c>
      <c r="I1256">
        <f>IF((INT(calendar[[#This Row],[Count]]/7)-calendar[[#This Row],[Count]]/7)&lt;0,I1255,I1255+1)</f>
        <v>180</v>
      </c>
      <c r="J1256">
        <f t="shared" si="99"/>
        <v>1254</v>
      </c>
      <c r="K1256">
        <f>IF(calendar[[#This Row],[Month]]&lt;4,1,IF(calendar[[#This Row],[Month]]&lt;7,2,IF(calendar[[#This Row],[Month]]&lt;10,3,4)))</f>
        <v>2</v>
      </c>
      <c r="L1256">
        <f>IFERROR(IF(VLOOKUP(calendar[[#This Row],[Date]],BH!A:A,1,)&lt;&gt;"",1,0),0)</f>
        <v>0</v>
      </c>
      <c r="M1256">
        <f>IFERROR(IF(VLOOKUP(calendar[[#This Row],[Date]],BH!C:C,1,)&lt;&gt;"",1,0),0)</f>
        <v>0</v>
      </c>
      <c r="N1256">
        <f>IFERROR(IF(VLOOKUP(calendar[[#This Row],[Date]],BH!E:E,1,)&lt;&gt;"",1,0),0)</f>
        <v>0</v>
      </c>
      <c r="O1256">
        <f>IFERROR(IF(VLOOKUP(calendar[[#This Row],[Date]],BH!G:G,1,)&lt;&gt;"",1,0),0)</f>
        <v>0</v>
      </c>
      <c r="P1256">
        <f>IF(OR(calendar[[#This Row],[UK_BH]]=1,calendar[[#This Row],[WeekDay]]=1, calendar[[#This Row],[WeekDay]]=7),P1255,P1255+1)</f>
        <v>896</v>
      </c>
      <c r="Q1256">
        <f>IF(OR(calendar[[#This Row],[FR_BH]]=1,calendar[[#This Row],[WeekDay]]=1, calendar[[#This Row],[WeekDay]]=7),P1255,P1255+1)</f>
        <v>896</v>
      </c>
      <c r="R1256">
        <f>IF(OR(calendar[[#This Row],[SP_BH]]=1,calendar[[#This Row],[WeekDay]]=1, calendar[[#This Row],[WeekDay]]=7),P1255,P1255+1)</f>
        <v>896</v>
      </c>
      <c r="S1256">
        <f>IF(OR(calendar[[#This Row],[PT_BH]]=1,calendar[[#This Row],[WeekDay]]=1, calendar[[#This Row],[WeekDay]]=7),P1255,P1255+1)</f>
        <v>896</v>
      </c>
    </row>
    <row r="1257" spans="1:19" x14ac:dyDescent="0.25">
      <c r="A1257" s="2">
        <v>43991</v>
      </c>
      <c r="B1257" s="1">
        <f t="shared" si="98"/>
        <v>24</v>
      </c>
      <c r="C1257">
        <f t="shared" si="100"/>
        <v>6</v>
      </c>
      <c r="D1257" t="str">
        <f t="shared" si="101"/>
        <v>June</v>
      </c>
      <c r="E1257">
        <f t="shared" si="102"/>
        <v>2020</v>
      </c>
      <c r="F1257" t="str">
        <f>CONCATENATE(calendar[[#This Row],[Month]],"/",calendar[[#This Row],[Year]])</f>
        <v>6/2020</v>
      </c>
      <c r="G1257">
        <f>WEEKDAY(calendar[[#This Row],[Date]],1)</f>
        <v>3</v>
      </c>
      <c r="H1257" t="str">
        <f>TEXT(calendar[[#This Row],[WeekDay]],"dddd")</f>
        <v>Tuesday</v>
      </c>
      <c r="I1257">
        <f>IF((INT(calendar[[#This Row],[Count]]/7)-calendar[[#This Row],[Count]]/7)&lt;0,I1256,I1256+1)</f>
        <v>180</v>
      </c>
      <c r="J1257">
        <f t="shared" si="99"/>
        <v>1255</v>
      </c>
      <c r="K1257">
        <f>IF(calendar[[#This Row],[Month]]&lt;4,1,IF(calendar[[#This Row],[Month]]&lt;7,2,IF(calendar[[#This Row],[Month]]&lt;10,3,4)))</f>
        <v>2</v>
      </c>
      <c r="L1257">
        <f>IFERROR(IF(VLOOKUP(calendar[[#This Row],[Date]],BH!A:A,1,)&lt;&gt;"",1,0),0)</f>
        <v>0</v>
      </c>
      <c r="M1257">
        <f>IFERROR(IF(VLOOKUP(calendar[[#This Row],[Date]],BH!C:C,1,)&lt;&gt;"",1,0),0)</f>
        <v>0</v>
      </c>
      <c r="N1257">
        <f>IFERROR(IF(VLOOKUP(calendar[[#This Row],[Date]],BH!E:E,1,)&lt;&gt;"",1,0),0)</f>
        <v>0</v>
      </c>
      <c r="O1257">
        <f>IFERROR(IF(VLOOKUP(calendar[[#This Row],[Date]],BH!G:G,1,)&lt;&gt;"",1,0),0)</f>
        <v>0</v>
      </c>
      <c r="P1257">
        <f>IF(OR(calendar[[#This Row],[UK_BH]]=1,calendar[[#This Row],[WeekDay]]=1, calendar[[#This Row],[WeekDay]]=7),P1256,P1256+1)</f>
        <v>897</v>
      </c>
      <c r="Q1257">
        <f>IF(OR(calendar[[#This Row],[FR_BH]]=1,calendar[[#This Row],[WeekDay]]=1, calendar[[#This Row],[WeekDay]]=7),P1256,P1256+1)</f>
        <v>897</v>
      </c>
      <c r="R1257">
        <f>IF(OR(calendar[[#This Row],[SP_BH]]=1,calendar[[#This Row],[WeekDay]]=1, calendar[[#This Row],[WeekDay]]=7),P1256,P1256+1)</f>
        <v>897</v>
      </c>
      <c r="S1257">
        <f>IF(OR(calendar[[#This Row],[PT_BH]]=1,calendar[[#This Row],[WeekDay]]=1, calendar[[#This Row],[WeekDay]]=7),P1256,P1256+1)</f>
        <v>897</v>
      </c>
    </row>
    <row r="1258" spans="1:19" x14ac:dyDescent="0.25">
      <c r="A1258" s="2">
        <v>43992</v>
      </c>
      <c r="B1258" s="1">
        <f t="shared" si="98"/>
        <v>24</v>
      </c>
      <c r="C1258">
        <f t="shared" si="100"/>
        <v>6</v>
      </c>
      <c r="D1258" t="str">
        <f t="shared" si="101"/>
        <v>June</v>
      </c>
      <c r="E1258">
        <f t="shared" si="102"/>
        <v>2020</v>
      </c>
      <c r="F1258" t="str">
        <f>CONCATENATE(calendar[[#This Row],[Month]],"/",calendar[[#This Row],[Year]])</f>
        <v>6/2020</v>
      </c>
      <c r="G1258">
        <f>WEEKDAY(calendar[[#This Row],[Date]],1)</f>
        <v>4</v>
      </c>
      <c r="H1258" t="str">
        <f>TEXT(calendar[[#This Row],[WeekDay]],"dddd")</f>
        <v>Wednesday</v>
      </c>
      <c r="I1258">
        <f>IF((INT(calendar[[#This Row],[Count]]/7)-calendar[[#This Row],[Count]]/7)&lt;0,I1257,I1257+1)</f>
        <v>180</v>
      </c>
      <c r="J1258">
        <f t="shared" si="99"/>
        <v>1256</v>
      </c>
      <c r="K1258">
        <f>IF(calendar[[#This Row],[Month]]&lt;4,1,IF(calendar[[#This Row],[Month]]&lt;7,2,IF(calendar[[#This Row],[Month]]&lt;10,3,4)))</f>
        <v>2</v>
      </c>
      <c r="L1258">
        <f>IFERROR(IF(VLOOKUP(calendar[[#This Row],[Date]],BH!A:A,1,)&lt;&gt;"",1,0),0)</f>
        <v>0</v>
      </c>
      <c r="M1258">
        <f>IFERROR(IF(VLOOKUP(calendar[[#This Row],[Date]],BH!C:C,1,)&lt;&gt;"",1,0),0)</f>
        <v>0</v>
      </c>
      <c r="N1258">
        <f>IFERROR(IF(VLOOKUP(calendar[[#This Row],[Date]],BH!E:E,1,)&lt;&gt;"",1,0),0)</f>
        <v>0</v>
      </c>
      <c r="O1258">
        <f>IFERROR(IF(VLOOKUP(calendar[[#This Row],[Date]],BH!G:G,1,)&lt;&gt;"",1,0),0)</f>
        <v>0</v>
      </c>
      <c r="P1258">
        <f>IF(OR(calendar[[#This Row],[UK_BH]]=1,calendar[[#This Row],[WeekDay]]=1, calendar[[#This Row],[WeekDay]]=7),P1257,P1257+1)</f>
        <v>898</v>
      </c>
      <c r="Q1258">
        <f>IF(OR(calendar[[#This Row],[FR_BH]]=1,calendar[[#This Row],[WeekDay]]=1, calendar[[#This Row],[WeekDay]]=7),P1257,P1257+1)</f>
        <v>898</v>
      </c>
      <c r="R1258">
        <f>IF(OR(calendar[[#This Row],[SP_BH]]=1,calendar[[#This Row],[WeekDay]]=1, calendar[[#This Row],[WeekDay]]=7),P1257,P1257+1)</f>
        <v>898</v>
      </c>
      <c r="S1258">
        <f>IF(OR(calendar[[#This Row],[PT_BH]]=1,calendar[[#This Row],[WeekDay]]=1, calendar[[#This Row],[WeekDay]]=7),P1257,P1257+1)</f>
        <v>898</v>
      </c>
    </row>
    <row r="1259" spans="1:19" x14ac:dyDescent="0.25">
      <c r="A1259" s="2">
        <v>43993</v>
      </c>
      <c r="B1259" s="1">
        <f t="shared" si="98"/>
        <v>24</v>
      </c>
      <c r="C1259">
        <f t="shared" si="100"/>
        <v>6</v>
      </c>
      <c r="D1259" t="str">
        <f t="shared" si="101"/>
        <v>June</v>
      </c>
      <c r="E1259">
        <f t="shared" si="102"/>
        <v>2020</v>
      </c>
      <c r="F1259" t="str">
        <f>CONCATENATE(calendar[[#This Row],[Month]],"/",calendar[[#This Row],[Year]])</f>
        <v>6/2020</v>
      </c>
      <c r="G1259">
        <f>WEEKDAY(calendar[[#This Row],[Date]],1)</f>
        <v>5</v>
      </c>
      <c r="H1259" t="str">
        <f>TEXT(calendar[[#This Row],[WeekDay]],"dddd")</f>
        <v>Thursday</v>
      </c>
      <c r="I1259">
        <f>IF((INT(calendar[[#This Row],[Count]]/7)-calendar[[#This Row],[Count]]/7)&lt;0,I1258,I1258+1)</f>
        <v>180</v>
      </c>
      <c r="J1259">
        <f t="shared" si="99"/>
        <v>1257</v>
      </c>
      <c r="K1259">
        <f>IF(calendar[[#This Row],[Month]]&lt;4,1,IF(calendar[[#This Row],[Month]]&lt;7,2,IF(calendar[[#This Row],[Month]]&lt;10,3,4)))</f>
        <v>2</v>
      </c>
      <c r="L1259">
        <f>IFERROR(IF(VLOOKUP(calendar[[#This Row],[Date]],BH!A:A,1,)&lt;&gt;"",1,0),0)</f>
        <v>0</v>
      </c>
      <c r="M1259">
        <f>IFERROR(IF(VLOOKUP(calendar[[#This Row],[Date]],BH!C:C,1,)&lt;&gt;"",1,0),0)</f>
        <v>0</v>
      </c>
      <c r="N1259">
        <f>IFERROR(IF(VLOOKUP(calendar[[#This Row],[Date]],BH!E:E,1,)&lt;&gt;"",1,0),0)</f>
        <v>0</v>
      </c>
      <c r="O1259">
        <f>IFERROR(IF(VLOOKUP(calendar[[#This Row],[Date]],BH!G:G,1,)&lt;&gt;"",1,0),0)</f>
        <v>0</v>
      </c>
      <c r="P1259">
        <f>IF(OR(calendar[[#This Row],[UK_BH]]=1,calendar[[#This Row],[WeekDay]]=1, calendar[[#This Row],[WeekDay]]=7),P1258,P1258+1)</f>
        <v>899</v>
      </c>
      <c r="Q1259">
        <f>IF(OR(calendar[[#This Row],[FR_BH]]=1,calendar[[#This Row],[WeekDay]]=1, calendar[[#This Row],[WeekDay]]=7),P1258,P1258+1)</f>
        <v>899</v>
      </c>
      <c r="R1259">
        <f>IF(OR(calendar[[#This Row],[SP_BH]]=1,calendar[[#This Row],[WeekDay]]=1, calendar[[#This Row],[WeekDay]]=7),P1258,P1258+1)</f>
        <v>899</v>
      </c>
      <c r="S1259">
        <f>IF(OR(calendar[[#This Row],[PT_BH]]=1,calendar[[#This Row],[WeekDay]]=1, calendar[[#This Row],[WeekDay]]=7),P1258,P1258+1)</f>
        <v>899</v>
      </c>
    </row>
    <row r="1260" spans="1:19" x14ac:dyDescent="0.25">
      <c r="A1260" s="2">
        <v>43994</v>
      </c>
      <c r="B1260" s="1">
        <f t="shared" si="98"/>
        <v>24</v>
      </c>
      <c r="C1260">
        <f t="shared" si="100"/>
        <v>6</v>
      </c>
      <c r="D1260" t="str">
        <f t="shared" si="101"/>
        <v>June</v>
      </c>
      <c r="E1260">
        <f t="shared" si="102"/>
        <v>2020</v>
      </c>
      <c r="F1260" t="str">
        <f>CONCATENATE(calendar[[#This Row],[Month]],"/",calendar[[#This Row],[Year]])</f>
        <v>6/2020</v>
      </c>
      <c r="G1260">
        <f>WEEKDAY(calendar[[#This Row],[Date]],1)</f>
        <v>6</v>
      </c>
      <c r="H1260" t="str">
        <f>TEXT(calendar[[#This Row],[WeekDay]],"dddd")</f>
        <v>Friday</v>
      </c>
      <c r="I1260">
        <f>IF((INT(calendar[[#This Row],[Count]]/7)-calendar[[#This Row],[Count]]/7)&lt;0,I1259,I1259+1)</f>
        <v>180</v>
      </c>
      <c r="J1260">
        <f t="shared" si="99"/>
        <v>1258</v>
      </c>
      <c r="K1260">
        <f>IF(calendar[[#This Row],[Month]]&lt;4,1,IF(calendar[[#This Row],[Month]]&lt;7,2,IF(calendar[[#This Row],[Month]]&lt;10,3,4)))</f>
        <v>2</v>
      </c>
      <c r="L1260">
        <f>IFERROR(IF(VLOOKUP(calendar[[#This Row],[Date]],BH!A:A,1,)&lt;&gt;"",1,0),0)</f>
        <v>0</v>
      </c>
      <c r="M1260">
        <f>IFERROR(IF(VLOOKUP(calendar[[#This Row],[Date]],BH!C:C,1,)&lt;&gt;"",1,0),0)</f>
        <v>0</v>
      </c>
      <c r="N1260">
        <f>IFERROR(IF(VLOOKUP(calendar[[#This Row],[Date]],BH!E:E,1,)&lt;&gt;"",1,0),0)</f>
        <v>0</v>
      </c>
      <c r="O1260">
        <f>IFERROR(IF(VLOOKUP(calendar[[#This Row],[Date]],BH!G:G,1,)&lt;&gt;"",1,0),0)</f>
        <v>0</v>
      </c>
      <c r="P1260">
        <f>IF(OR(calendar[[#This Row],[UK_BH]]=1,calendar[[#This Row],[WeekDay]]=1, calendar[[#This Row],[WeekDay]]=7),P1259,P1259+1)</f>
        <v>900</v>
      </c>
      <c r="Q1260">
        <f>IF(OR(calendar[[#This Row],[FR_BH]]=1,calendar[[#This Row],[WeekDay]]=1, calendar[[#This Row],[WeekDay]]=7),P1259,P1259+1)</f>
        <v>900</v>
      </c>
      <c r="R1260">
        <f>IF(OR(calendar[[#This Row],[SP_BH]]=1,calendar[[#This Row],[WeekDay]]=1, calendar[[#This Row],[WeekDay]]=7),P1259,P1259+1)</f>
        <v>900</v>
      </c>
      <c r="S1260">
        <f>IF(OR(calendar[[#This Row],[PT_BH]]=1,calendar[[#This Row],[WeekDay]]=1, calendar[[#This Row],[WeekDay]]=7),P1259,P1259+1)</f>
        <v>900</v>
      </c>
    </row>
    <row r="1261" spans="1:19" x14ac:dyDescent="0.25">
      <c r="A1261" s="2">
        <v>43995</v>
      </c>
      <c r="B1261" s="1">
        <f t="shared" si="98"/>
        <v>24</v>
      </c>
      <c r="C1261">
        <f t="shared" si="100"/>
        <v>6</v>
      </c>
      <c r="D1261" t="str">
        <f t="shared" si="101"/>
        <v>June</v>
      </c>
      <c r="E1261">
        <f t="shared" si="102"/>
        <v>2020</v>
      </c>
      <c r="F1261" t="str">
        <f>CONCATENATE(calendar[[#This Row],[Month]],"/",calendar[[#This Row],[Year]])</f>
        <v>6/2020</v>
      </c>
      <c r="G1261">
        <f>WEEKDAY(calendar[[#This Row],[Date]],1)</f>
        <v>7</v>
      </c>
      <c r="H1261" t="str">
        <f>TEXT(calendar[[#This Row],[WeekDay]],"dddd")</f>
        <v>Saturday</v>
      </c>
      <c r="I1261">
        <f>IF((INT(calendar[[#This Row],[Count]]/7)-calendar[[#This Row],[Count]]/7)&lt;0,I1260,I1260+1)</f>
        <v>180</v>
      </c>
      <c r="J1261">
        <f t="shared" si="99"/>
        <v>1259</v>
      </c>
      <c r="K1261">
        <f>IF(calendar[[#This Row],[Month]]&lt;4,1,IF(calendar[[#This Row],[Month]]&lt;7,2,IF(calendar[[#This Row],[Month]]&lt;10,3,4)))</f>
        <v>2</v>
      </c>
      <c r="L1261">
        <f>IFERROR(IF(VLOOKUP(calendar[[#This Row],[Date]],BH!A:A,1,)&lt;&gt;"",1,0),0)</f>
        <v>0</v>
      </c>
      <c r="M1261">
        <f>IFERROR(IF(VLOOKUP(calendar[[#This Row],[Date]],BH!C:C,1,)&lt;&gt;"",1,0),0)</f>
        <v>0</v>
      </c>
      <c r="N1261">
        <f>IFERROR(IF(VLOOKUP(calendar[[#This Row],[Date]],BH!E:E,1,)&lt;&gt;"",1,0),0)</f>
        <v>0</v>
      </c>
      <c r="O1261">
        <f>IFERROR(IF(VLOOKUP(calendar[[#This Row],[Date]],BH!G:G,1,)&lt;&gt;"",1,0),0)</f>
        <v>0</v>
      </c>
      <c r="P1261">
        <f>IF(OR(calendar[[#This Row],[UK_BH]]=1,calendar[[#This Row],[WeekDay]]=1, calendar[[#This Row],[WeekDay]]=7),P1260,P1260+1)</f>
        <v>900</v>
      </c>
      <c r="Q1261">
        <f>IF(OR(calendar[[#This Row],[FR_BH]]=1,calendar[[#This Row],[WeekDay]]=1, calendar[[#This Row],[WeekDay]]=7),P1260,P1260+1)</f>
        <v>900</v>
      </c>
      <c r="R1261">
        <f>IF(OR(calendar[[#This Row],[SP_BH]]=1,calendar[[#This Row],[WeekDay]]=1, calendar[[#This Row],[WeekDay]]=7),P1260,P1260+1)</f>
        <v>900</v>
      </c>
      <c r="S1261">
        <f>IF(OR(calendar[[#This Row],[PT_BH]]=1,calendar[[#This Row],[WeekDay]]=1, calendar[[#This Row],[WeekDay]]=7),P1260,P1260+1)</f>
        <v>900</v>
      </c>
    </row>
    <row r="1262" spans="1:19" x14ac:dyDescent="0.25">
      <c r="A1262" s="2">
        <v>43996</v>
      </c>
      <c r="B1262" s="1">
        <f t="shared" si="98"/>
        <v>25</v>
      </c>
      <c r="C1262">
        <f t="shared" si="100"/>
        <v>6</v>
      </c>
      <c r="D1262" t="str">
        <f t="shared" si="101"/>
        <v>June</v>
      </c>
      <c r="E1262">
        <f t="shared" si="102"/>
        <v>2020</v>
      </c>
      <c r="F1262" t="str">
        <f>CONCATENATE(calendar[[#This Row],[Month]],"/",calendar[[#This Row],[Year]])</f>
        <v>6/2020</v>
      </c>
      <c r="G1262">
        <f>WEEKDAY(calendar[[#This Row],[Date]],1)</f>
        <v>1</v>
      </c>
      <c r="H1262" t="str">
        <f>TEXT(calendar[[#This Row],[WeekDay]],"dddd")</f>
        <v>Sunday</v>
      </c>
      <c r="I1262">
        <f>IF((INT(calendar[[#This Row],[Count]]/7)-calendar[[#This Row],[Count]]/7)&lt;0,I1261,I1261+1)</f>
        <v>181</v>
      </c>
      <c r="J1262">
        <f t="shared" si="99"/>
        <v>1260</v>
      </c>
      <c r="K1262">
        <f>IF(calendar[[#This Row],[Month]]&lt;4,1,IF(calendar[[#This Row],[Month]]&lt;7,2,IF(calendar[[#This Row],[Month]]&lt;10,3,4)))</f>
        <v>2</v>
      </c>
      <c r="L1262">
        <f>IFERROR(IF(VLOOKUP(calendar[[#This Row],[Date]],BH!A:A,1,)&lt;&gt;"",1,0),0)</f>
        <v>0</v>
      </c>
      <c r="M1262">
        <f>IFERROR(IF(VLOOKUP(calendar[[#This Row],[Date]],BH!C:C,1,)&lt;&gt;"",1,0),0)</f>
        <v>0</v>
      </c>
      <c r="N1262">
        <f>IFERROR(IF(VLOOKUP(calendar[[#This Row],[Date]],BH!E:E,1,)&lt;&gt;"",1,0),0)</f>
        <v>0</v>
      </c>
      <c r="O1262">
        <f>IFERROR(IF(VLOOKUP(calendar[[#This Row],[Date]],BH!G:G,1,)&lt;&gt;"",1,0),0)</f>
        <v>0</v>
      </c>
      <c r="P1262">
        <f>IF(OR(calendar[[#This Row],[UK_BH]]=1,calendar[[#This Row],[WeekDay]]=1, calendar[[#This Row],[WeekDay]]=7),P1261,P1261+1)</f>
        <v>900</v>
      </c>
      <c r="Q1262">
        <f>IF(OR(calendar[[#This Row],[FR_BH]]=1,calendar[[#This Row],[WeekDay]]=1, calendar[[#This Row],[WeekDay]]=7),P1261,P1261+1)</f>
        <v>900</v>
      </c>
      <c r="R1262">
        <f>IF(OR(calendar[[#This Row],[SP_BH]]=1,calendar[[#This Row],[WeekDay]]=1, calendar[[#This Row],[WeekDay]]=7),P1261,P1261+1)</f>
        <v>900</v>
      </c>
      <c r="S1262">
        <f>IF(OR(calendar[[#This Row],[PT_BH]]=1,calendar[[#This Row],[WeekDay]]=1, calendar[[#This Row],[WeekDay]]=7),P1261,P1261+1)</f>
        <v>900</v>
      </c>
    </row>
    <row r="1263" spans="1:19" x14ac:dyDescent="0.25">
      <c r="A1263" s="2">
        <v>43997</v>
      </c>
      <c r="B1263" s="1">
        <f t="shared" si="98"/>
        <v>25</v>
      </c>
      <c r="C1263">
        <f t="shared" si="100"/>
        <v>6</v>
      </c>
      <c r="D1263" t="str">
        <f t="shared" si="101"/>
        <v>June</v>
      </c>
      <c r="E1263">
        <f t="shared" si="102"/>
        <v>2020</v>
      </c>
      <c r="F1263" t="str">
        <f>CONCATENATE(calendar[[#This Row],[Month]],"/",calendar[[#This Row],[Year]])</f>
        <v>6/2020</v>
      </c>
      <c r="G1263">
        <f>WEEKDAY(calendar[[#This Row],[Date]],1)</f>
        <v>2</v>
      </c>
      <c r="H1263" t="str">
        <f>TEXT(calendar[[#This Row],[WeekDay]],"dddd")</f>
        <v>Monday</v>
      </c>
      <c r="I1263">
        <f>IF((INT(calendar[[#This Row],[Count]]/7)-calendar[[#This Row],[Count]]/7)&lt;0,I1262,I1262+1)</f>
        <v>181</v>
      </c>
      <c r="J1263">
        <f t="shared" si="99"/>
        <v>1261</v>
      </c>
      <c r="K1263">
        <f>IF(calendar[[#This Row],[Month]]&lt;4,1,IF(calendar[[#This Row],[Month]]&lt;7,2,IF(calendar[[#This Row],[Month]]&lt;10,3,4)))</f>
        <v>2</v>
      </c>
      <c r="L1263">
        <f>IFERROR(IF(VLOOKUP(calendar[[#This Row],[Date]],BH!A:A,1,)&lt;&gt;"",1,0),0)</f>
        <v>0</v>
      </c>
      <c r="M1263">
        <f>IFERROR(IF(VLOOKUP(calendar[[#This Row],[Date]],BH!C:C,1,)&lt;&gt;"",1,0),0)</f>
        <v>0</v>
      </c>
      <c r="N1263">
        <f>IFERROR(IF(VLOOKUP(calendar[[#This Row],[Date]],BH!E:E,1,)&lt;&gt;"",1,0),0)</f>
        <v>0</v>
      </c>
      <c r="O1263">
        <f>IFERROR(IF(VLOOKUP(calendar[[#This Row],[Date]],BH!G:G,1,)&lt;&gt;"",1,0),0)</f>
        <v>0</v>
      </c>
      <c r="P1263">
        <f>IF(OR(calendar[[#This Row],[UK_BH]]=1,calendar[[#This Row],[WeekDay]]=1, calendar[[#This Row],[WeekDay]]=7),P1262,P1262+1)</f>
        <v>901</v>
      </c>
      <c r="Q1263">
        <f>IF(OR(calendar[[#This Row],[FR_BH]]=1,calendar[[#This Row],[WeekDay]]=1, calendar[[#This Row],[WeekDay]]=7),P1262,P1262+1)</f>
        <v>901</v>
      </c>
      <c r="R1263">
        <f>IF(OR(calendar[[#This Row],[SP_BH]]=1,calendar[[#This Row],[WeekDay]]=1, calendar[[#This Row],[WeekDay]]=7),P1262,P1262+1)</f>
        <v>901</v>
      </c>
      <c r="S1263">
        <f>IF(OR(calendar[[#This Row],[PT_BH]]=1,calendar[[#This Row],[WeekDay]]=1, calendar[[#This Row],[WeekDay]]=7),P1262,P1262+1)</f>
        <v>901</v>
      </c>
    </row>
    <row r="1264" spans="1:19" x14ac:dyDescent="0.25">
      <c r="A1264" s="2">
        <v>43998</v>
      </c>
      <c r="B1264" s="1">
        <f t="shared" si="98"/>
        <v>25</v>
      </c>
      <c r="C1264">
        <f t="shared" si="100"/>
        <v>6</v>
      </c>
      <c r="D1264" t="str">
        <f t="shared" si="101"/>
        <v>June</v>
      </c>
      <c r="E1264">
        <f t="shared" si="102"/>
        <v>2020</v>
      </c>
      <c r="F1264" t="str">
        <f>CONCATENATE(calendar[[#This Row],[Month]],"/",calendar[[#This Row],[Year]])</f>
        <v>6/2020</v>
      </c>
      <c r="G1264">
        <f>WEEKDAY(calendar[[#This Row],[Date]],1)</f>
        <v>3</v>
      </c>
      <c r="H1264" t="str">
        <f>TEXT(calendar[[#This Row],[WeekDay]],"dddd")</f>
        <v>Tuesday</v>
      </c>
      <c r="I1264">
        <f>IF((INT(calendar[[#This Row],[Count]]/7)-calendar[[#This Row],[Count]]/7)&lt;0,I1263,I1263+1)</f>
        <v>181</v>
      </c>
      <c r="J1264">
        <f t="shared" si="99"/>
        <v>1262</v>
      </c>
      <c r="K1264">
        <f>IF(calendar[[#This Row],[Month]]&lt;4,1,IF(calendar[[#This Row],[Month]]&lt;7,2,IF(calendar[[#This Row],[Month]]&lt;10,3,4)))</f>
        <v>2</v>
      </c>
      <c r="L1264">
        <f>IFERROR(IF(VLOOKUP(calendar[[#This Row],[Date]],BH!A:A,1,)&lt;&gt;"",1,0),0)</f>
        <v>0</v>
      </c>
      <c r="M1264">
        <f>IFERROR(IF(VLOOKUP(calendar[[#This Row],[Date]],BH!C:C,1,)&lt;&gt;"",1,0),0)</f>
        <v>0</v>
      </c>
      <c r="N1264">
        <f>IFERROR(IF(VLOOKUP(calendar[[#This Row],[Date]],BH!E:E,1,)&lt;&gt;"",1,0),0)</f>
        <v>0</v>
      </c>
      <c r="O1264">
        <f>IFERROR(IF(VLOOKUP(calendar[[#This Row],[Date]],BH!G:G,1,)&lt;&gt;"",1,0),0)</f>
        <v>0</v>
      </c>
      <c r="P1264">
        <f>IF(OR(calendar[[#This Row],[UK_BH]]=1,calendar[[#This Row],[WeekDay]]=1, calendar[[#This Row],[WeekDay]]=7),P1263,P1263+1)</f>
        <v>902</v>
      </c>
      <c r="Q1264">
        <f>IF(OR(calendar[[#This Row],[FR_BH]]=1,calendar[[#This Row],[WeekDay]]=1, calendar[[#This Row],[WeekDay]]=7),P1263,P1263+1)</f>
        <v>902</v>
      </c>
      <c r="R1264">
        <f>IF(OR(calendar[[#This Row],[SP_BH]]=1,calendar[[#This Row],[WeekDay]]=1, calendar[[#This Row],[WeekDay]]=7),P1263,P1263+1)</f>
        <v>902</v>
      </c>
      <c r="S1264">
        <f>IF(OR(calendar[[#This Row],[PT_BH]]=1,calendar[[#This Row],[WeekDay]]=1, calendar[[#This Row],[WeekDay]]=7),P1263,P1263+1)</f>
        <v>902</v>
      </c>
    </row>
    <row r="1265" spans="1:19" x14ac:dyDescent="0.25">
      <c r="A1265" s="2">
        <v>43999</v>
      </c>
      <c r="B1265" s="1">
        <f t="shared" si="98"/>
        <v>25</v>
      </c>
      <c r="C1265">
        <f t="shared" si="100"/>
        <v>6</v>
      </c>
      <c r="D1265" t="str">
        <f t="shared" si="101"/>
        <v>June</v>
      </c>
      <c r="E1265">
        <f t="shared" si="102"/>
        <v>2020</v>
      </c>
      <c r="F1265" t="str">
        <f>CONCATENATE(calendar[[#This Row],[Month]],"/",calendar[[#This Row],[Year]])</f>
        <v>6/2020</v>
      </c>
      <c r="G1265">
        <f>WEEKDAY(calendar[[#This Row],[Date]],1)</f>
        <v>4</v>
      </c>
      <c r="H1265" t="str">
        <f>TEXT(calendar[[#This Row],[WeekDay]],"dddd")</f>
        <v>Wednesday</v>
      </c>
      <c r="I1265">
        <f>IF((INT(calendar[[#This Row],[Count]]/7)-calendar[[#This Row],[Count]]/7)&lt;0,I1264,I1264+1)</f>
        <v>181</v>
      </c>
      <c r="J1265">
        <f t="shared" si="99"/>
        <v>1263</v>
      </c>
      <c r="K1265">
        <f>IF(calendar[[#This Row],[Month]]&lt;4,1,IF(calendar[[#This Row],[Month]]&lt;7,2,IF(calendar[[#This Row],[Month]]&lt;10,3,4)))</f>
        <v>2</v>
      </c>
      <c r="L1265">
        <f>IFERROR(IF(VLOOKUP(calendar[[#This Row],[Date]],BH!A:A,1,)&lt;&gt;"",1,0),0)</f>
        <v>0</v>
      </c>
      <c r="M1265">
        <f>IFERROR(IF(VLOOKUP(calendar[[#This Row],[Date]],BH!C:C,1,)&lt;&gt;"",1,0),0)</f>
        <v>0</v>
      </c>
      <c r="N1265">
        <f>IFERROR(IF(VLOOKUP(calendar[[#This Row],[Date]],BH!E:E,1,)&lt;&gt;"",1,0),0)</f>
        <v>0</v>
      </c>
      <c r="O1265">
        <f>IFERROR(IF(VLOOKUP(calendar[[#This Row],[Date]],BH!G:G,1,)&lt;&gt;"",1,0),0)</f>
        <v>0</v>
      </c>
      <c r="P1265">
        <f>IF(OR(calendar[[#This Row],[UK_BH]]=1,calendar[[#This Row],[WeekDay]]=1, calendar[[#This Row],[WeekDay]]=7),P1264,P1264+1)</f>
        <v>903</v>
      </c>
      <c r="Q1265">
        <f>IF(OR(calendar[[#This Row],[FR_BH]]=1,calendar[[#This Row],[WeekDay]]=1, calendar[[#This Row],[WeekDay]]=7),P1264,P1264+1)</f>
        <v>903</v>
      </c>
      <c r="R1265">
        <f>IF(OR(calendar[[#This Row],[SP_BH]]=1,calendar[[#This Row],[WeekDay]]=1, calendar[[#This Row],[WeekDay]]=7),P1264,P1264+1)</f>
        <v>903</v>
      </c>
      <c r="S1265">
        <f>IF(OR(calendar[[#This Row],[PT_BH]]=1,calendar[[#This Row],[WeekDay]]=1, calendar[[#This Row],[WeekDay]]=7),P1264,P1264+1)</f>
        <v>903</v>
      </c>
    </row>
    <row r="1266" spans="1:19" x14ac:dyDescent="0.25">
      <c r="A1266" s="2">
        <v>44000</v>
      </c>
      <c r="B1266" s="1">
        <f t="shared" si="98"/>
        <v>25</v>
      </c>
      <c r="C1266">
        <f t="shared" si="100"/>
        <v>6</v>
      </c>
      <c r="D1266" t="str">
        <f t="shared" si="101"/>
        <v>June</v>
      </c>
      <c r="E1266">
        <f t="shared" si="102"/>
        <v>2020</v>
      </c>
      <c r="F1266" t="str">
        <f>CONCATENATE(calendar[[#This Row],[Month]],"/",calendar[[#This Row],[Year]])</f>
        <v>6/2020</v>
      </c>
      <c r="G1266">
        <f>WEEKDAY(calendar[[#This Row],[Date]],1)</f>
        <v>5</v>
      </c>
      <c r="H1266" t="str">
        <f>TEXT(calendar[[#This Row],[WeekDay]],"dddd")</f>
        <v>Thursday</v>
      </c>
      <c r="I1266">
        <f>IF((INT(calendar[[#This Row],[Count]]/7)-calendar[[#This Row],[Count]]/7)&lt;0,I1265,I1265+1)</f>
        <v>181</v>
      </c>
      <c r="J1266">
        <f t="shared" si="99"/>
        <v>1264</v>
      </c>
      <c r="K1266">
        <f>IF(calendar[[#This Row],[Month]]&lt;4,1,IF(calendar[[#This Row],[Month]]&lt;7,2,IF(calendar[[#This Row],[Month]]&lt;10,3,4)))</f>
        <v>2</v>
      </c>
      <c r="L1266">
        <f>IFERROR(IF(VLOOKUP(calendar[[#This Row],[Date]],BH!A:A,1,)&lt;&gt;"",1,0),0)</f>
        <v>0</v>
      </c>
      <c r="M1266">
        <f>IFERROR(IF(VLOOKUP(calendar[[#This Row],[Date]],BH!C:C,1,)&lt;&gt;"",1,0),0)</f>
        <v>0</v>
      </c>
      <c r="N1266">
        <f>IFERROR(IF(VLOOKUP(calendar[[#This Row],[Date]],BH!E:E,1,)&lt;&gt;"",1,0),0)</f>
        <v>0</v>
      </c>
      <c r="O1266">
        <f>IFERROR(IF(VLOOKUP(calendar[[#This Row],[Date]],BH!G:G,1,)&lt;&gt;"",1,0),0)</f>
        <v>0</v>
      </c>
      <c r="P1266">
        <f>IF(OR(calendar[[#This Row],[UK_BH]]=1,calendar[[#This Row],[WeekDay]]=1, calendar[[#This Row],[WeekDay]]=7),P1265,P1265+1)</f>
        <v>904</v>
      </c>
      <c r="Q1266">
        <f>IF(OR(calendar[[#This Row],[FR_BH]]=1,calendar[[#This Row],[WeekDay]]=1, calendar[[#This Row],[WeekDay]]=7),P1265,P1265+1)</f>
        <v>904</v>
      </c>
      <c r="R1266">
        <f>IF(OR(calendar[[#This Row],[SP_BH]]=1,calendar[[#This Row],[WeekDay]]=1, calendar[[#This Row],[WeekDay]]=7),P1265,P1265+1)</f>
        <v>904</v>
      </c>
      <c r="S1266">
        <f>IF(OR(calendar[[#This Row],[PT_BH]]=1,calendar[[#This Row],[WeekDay]]=1, calendar[[#This Row],[WeekDay]]=7),P1265,P1265+1)</f>
        <v>904</v>
      </c>
    </row>
    <row r="1267" spans="1:19" x14ac:dyDescent="0.25">
      <c r="A1267" s="2">
        <v>44001</v>
      </c>
      <c r="B1267" s="1">
        <f t="shared" si="98"/>
        <v>25</v>
      </c>
      <c r="C1267">
        <f t="shared" si="100"/>
        <v>6</v>
      </c>
      <c r="D1267" t="str">
        <f t="shared" si="101"/>
        <v>June</v>
      </c>
      <c r="E1267">
        <f t="shared" si="102"/>
        <v>2020</v>
      </c>
      <c r="F1267" t="str">
        <f>CONCATENATE(calendar[[#This Row],[Month]],"/",calendar[[#This Row],[Year]])</f>
        <v>6/2020</v>
      </c>
      <c r="G1267">
        <f>WEEKDAY(calendar[[#This Row],[Date]],1)</f>
        <v>6</v>
      </c>
      <c r="H1267" t="str">
        <f>TEXT(calendar[[#This Row],[WeekDay]],"dddd")</f>
        <v>Friday</v>
      </c>
      <c r="I1267">
        <f>IF((INT(calendar[[#This Row],[Count]]/7)-calendar[[#This Row],[Count]]/7)&lt;0,I1266,I1266+1)</f>
        <v>181</v>
      </c>
      <c r="J1267">
        <f t="shared" si="99"/>
        <v>1265</v>
      </c>
      <c r="K1267">
        <f>IF(calendar[[#This Row],[Month]]&lt;4,1,IF(calendar[[#This Row],[Month]]&lt;7,2,IF(calendar[[#This Row],[Month]]&lt;10,3,4)))</f>
        <v>2</v>
      </c>
      <c r="L1267">
        <f>IFERROR(IF(VLOOKUP(calendar[[#This Row],[Date]],BH!A:A,1,)&lt;&gt;"",1,0),0)</f>
        <v>0</v>
      </c>
      <c r="M1267">
        <f>IFERROR(IF(VLOOKUP(calendar[[#This Row],[Date]],BH!C:C,1,)&lt;&gt;"",1,0),0)</f>
        <v>0</v>
      </c>
      <c r="N1267">
        <f>IFERROR(IF(VLOOKUP(calendar[[#This Row],[Date]],BH!E:E,1,)&lt;&gt;"",1,0),0)</f>
        <v>0</v>
      </c>
      <c r="O1267">
        <f>IFERROR(IF(VLOOKUP(calendar[[#This Row],[Date]],BH!G:G,1,)&lt;&gt;"",1,0),0)</f>
        <v>0</v>
      </c>
      <c r="P1267">
        <f>IF(OR(calendar[[#This Row],[UK_BH]]=1,calendar[[#This Row],[WeekDay]]=1, calendar[[#This Row],[WeekDay]]=7),P1266,P1266+1)</f>
        <v>905</v>
      </c>
      <c r="Q1267">
        <f>IF(OR(calendar[[#This Row],[FR_BH]]=1,calendar[[#This Row],[WeekDay]]=1, calendar[[#This Row],[WeekDay]]=7),P1266,P1266+1)</f>
        <v>905</v>
      </c>
      <c r="R1267">
        <f>IF(OR(calendar[[#This Row],[SP_BH]]=1,calendar[[#This Row],[WeekDay]]=1, calendar[[#This Row],[WeekDay]]=7),P1266,P1266+1)</f>
        <v>905</v>
      </c>
      <c r="S1267">
        <f>IF(OR(calendar[[#This Row],[PT_BH]]=1,calendar[[#This Row],[WeekDay]]=1, calendar[[#This Row],[WeekDay]]=7),P1266,P1266+1)</f>
        <v>905</v>
      </c>
    </row>
    <row r="1268" spans="1:19" x14ac:dyDescent="0.25">
      <c r="A1268" s="2">
        <v>44002</v>
      </c>
      <c r="B1268" s="1">
        <f t="shared" si="98"/>
        <v>25</v>
      </c>
      <c r="C1268">
        <f t="shared" si="100"/>
        <v>6</v>
      </c>
      <c r="D1268" t="str">
        <f t="shared" si="101"/>
        <v>June</v>
      </c>
      <c r="E1268">
        <f t="shared" si="102"/>
        <v>2020</v>
      </c>
      <c r="F1268" t="str">
        <f>CONCATENATE(calendar[[#This Row],[Month]],"/",calendar[[#This Row],[Year]])</f>
        <v>6/2020</v>
      </c>
      <c r="G1268">
        <f>WEEKDAY(calendar[[#This Row],[Date]],1)</f>
        <v>7</v>
      </c>
      <c r="H1268" t="str">
        <f>TEXT(calendar[[#This Row],[WeekDay]],"dddd")</f>
        <v>Saturday</v>
      </c>
      <c r="I1268">
        <f>IF((INT(calendar[[#This Row],[Count]]/7)-calendar[[#This Row],[Count]]/7)&lt;0,I1267,I1267+1)</f>
        <v>181</v>
      </c>
      <c r="J1268">
        <f t="shared" si="99"/>
        <v>1266</v>
      </c>
      <c r="K1268">
        <f>IF(calendar[[#This Row],[Month]]&lt;4,1,IF(calendar[[#This Row],[Month]]&lt;7,2,IF(calendar[[#This Row],[Month]]&lt;10,3,4)))</f>
        <v>2</v>
      </c>
      <c r="L1268">
        <f>IFERROR(IF(VLOOKUP(calendar[[#This Row],[Date]],BH!A:A,1,)&lt;&gt;"",1,0),0)</f>
        <v>0</v>
      </c>
      <c r="M1268">
        <f>IFERROR(IF(VLOOKUP(calendar[[#This Row],[Date]],BH!C:C,1,)&lt;&gt;"",1,0),0)</f>
        <v>0</v>
      </c>
      <c r="N1268">
        <f>IFERROR(IF(VLOOKUP(calendar[[#This Row],[Date]],BH!E:E,1,)&lt;&gt;"",1,0),0)</f>
        <v>0</v>
      </c>
      <c r="O1268">
        <f>IFERROR(IF(VLOOKUP(calendar[[#This Row],[Date]],BH!G:G,1,)&lt;&gt;"",1,0),0)</f>
        <v>0</v>
      </c>
      <c r="P1268">
        <f>IF(OR(calendar[[#This Row],[UK_BH]]=1,calendar[[#This Row],[WeekDay]]=1, calendar[[#This Row],[WeekDay]]=7),P1267,P1267+1)</f>
        <v>905</v>
      </c>
      <c r="Q1268">
        <f>IF(OR(calendar[[#This Row],[FR_BH]]=1,calendar[[#This Row],[WeekDay]]=1, calendar[[#This Row],[WeekDay]]=7),P1267,P1267+1)</f>
        <v>905</v>
      </c>
      <c r="R1268">
        <f>IF(OR(calendar[[#This Row],[SP_BH]]=1,calendar[[#This Row],[WeekDay]]=1, calendar[[#This Row],[WeekDay]]=7),P1267,P1267+1)</f>
        <v>905</v>
      </c>
      <c r="S1268">
        <f>IF(OR(calendar[[#This Row],[PT_BH]]=1,calendar[[#This Row],[WeekDay]]=1, calendar[[#This Row],[WeekDay]]=7),P1267,P1267+1)</f>
        <v>905</v>
      </c>
    </row>
    <row r="1269" spans="1:19" x14ac:dyDescent="0.25">
      <c r="A1269" s="2">
        <v>44003</v>
      </c>
      <c r="B1269" s="1">
        <f t="shared" si="98"/>
        <v>26</v>
      </c>
      <c r="C1269">
        <f t="shared" si="100"/>
        <v>6</v>
      </c>
      <c r="D1269" t="str">
        <f t="shared" si="101"/>
        <v>June</v>
      </c>
      <c r="E1269">
        <f t="shared" si="102"/>
        <v>2020</v>
      </c>
      <c r="F1269" t="str">
        <f>CONCATENATE(calendar[[#This Row],[Month]],"/",calendar[[#This Row],[Year]])</f>
        <v>6/2020</v>
      </c>
      <c r="G1269">
        <f>WEEKDAY(calendar[[#This Row],[Date]],1)</f>
        <v>1</v>
      </c>
      <c r="H1269" t="str">
        <f>TEXT(calendar[[#This Row],[WeekDay]],"dddd")</f>
        <v>Sunday</v>
      </c>
      <c r="I1269">
        <f>IF((INT(calendar[[#This Row],[Count]]/7)-calendar[[#This Row],[Count]]/7)&lt;0,I1268,I1268+1)</f>
        <v>182</v>
      </c>
      <c r="J1269">
        <f t="shared" si="99"/>
        <v>1267</v>
      </c>
      <c r="K1269">
        <f>IF(calendar[[#This Row],[Month]]&lt;4,1,IF(calendar[[#This Row],[Month]]&lt;7,2,IF(calendar[[#This Row],[Month]]&lt;10,3,4)))</f>
        <v>2</v>
      </c>
      <c r="L1269">
        <f>IFERROR(IF(VLOOKUP(calendar[[#This Row],[Date]],BH!A:A,1,)&lt;&gt;"",1,0),0)</f>
        <v>0</v>
      </c>
      <c r="M1269">
        <f>IFERROR(IF(VLOOKUP(calendar[[#This Row],[Date]],BH!C:C,1,)&lt;&gt;"",1,0),0)</f>
        <v>0</v>
      </c>
      <c r="N1269">
        <f>IFERROR(IF(VLOOKUP(calendar[[#This Row],[Date]],BH!E:E,1,)&lt;&gt;"",1,0),0)</f>
        <v>0</v>
      </c>
      <c r="O1269">
        <f>IFERROR(IF(VLOOKUP(calendar[[#This Row],[Date]],BH!G:G,1,)&lt;&gt;"",1,0),0)</f>
        <v>0</v>
      </c>
      <c r="P1269">
        <f>IF(OR(calendar[[#This Row],[UK_BH]]=1,calendar[[#This Row],[WeekDay]]=1, calendar[[#This Row],[WeekDay]]=7),P1268,P1268+1)</f>
        <v>905</v>
      </c>
      <c r="Q1269">
        <f>IF(OR(calendar[[#This Row],[FR_BH]]=1,calendar[[#This Row],[WeekDay]]=1, calendar[[#This Row],[WeekDay]]=7),P1268,P1268+1)</f>
        <v>905</v>
      </c>
      <c r="R1269">
        <f>IF(OR(calendar[[#This Row],[SP_BH]]=1,calendar[[#This Row],[WeekDay]]=1, calendar[[#This Row],[WeekDay]]=7),P1268,P1268+1)</f>
        <v>905</v>
      </c>
      <c r="S1269">
        <f>IF(OR(calendar[[#This Row],[PT_BH]]=1,calendar[[#This Row],[WeekDay]]=1, calendar[[#This Row],[WeekDay]]=7),P1268,P1268+1)</f>
        <v>905</v>
      </c>
    </row>
    <row r="1270" spans="1:19" x14ac:dyDescent="0.25">
      <c r="A1270" s="2">
        <v>44004</v>
      </c>
      <c r="B1270" s="1">
        <f t="shared" si="98"/>
        <v>26</v>
      </c>
      <c r="C1270">
        <f t="shared" si="100"/>
        <v>6</v>
      </c>
      <c r="D1270" t="str">
        <f t="shared" si="101"/>
        <v>June</v>
      </c>
      <c r="E1270">
        <f t="shared" si="102"/>
        <v>2020</v>
      </c>
      <c r="F1270" t="str">
        <f>CONCATENATE(calendar[[#This Row],[Month]],"/",calendar[[#This Row],[Year]])</f>
        <v>6/2020</v>
      </c>
      <c r="G1270">
        <f>WEEKDAY(calendar[[#This Row],[Date]],1)</f>
        <v>2</v>
      </c>
      <c r="H1270" t="str">
        <f>TEXT(calendar[[#This Row],[WeekDay]],"dddd")</f>
        <v>Monday</v>
      </c>
      <c r="I1270">
        <f>IF((INT(calendar[[#This Row],[Count]]/7)-calendar[[#This Row],[Count]]/7)&lt;0,I1269,I1269+1)</f>
        <v>182</v>
      </c>
      <c r="J1270">
        <f t="shared" si="99"/>
        <v>1268</v>
      </c>
      <c r="K1270">
        <f>IF(calendar[[#This Row],[Month]]&lt;4,1,IF(calendar[[#This Row],[Month]]&lt;7,2,IF(calendar[[#This Row],[Month]]&lt;10,3,4)))</f>
        <v>2</v>
      </c>
      <c r="L1270">
        <f>IFERROR(IF(VLOOKUP(calendar[[#This Row],[Date]],BH!A:A,1,)&lt;&gt;"",1,0),0)</f>
        <v>0</v>
      </c>
      <c r="M1270">
        <f>IFERROR(IF(VLOOKUP(calendar[[#This Row],[Date]],BH!C:C,1,)&lt;&gt;"",1,0),0)</f>
        <v>0</v>
      </c>
      <c r="N1270">
        <f>IFERROR(IF(VLOOKUP(calendar[[#This Row],[Date]],BH!E:E,1,)&lt;&gt;"",1,0),0)</f>
        <v>0</v>
      </c>
      <c r="O1270">
        <f>IFERROR(IF(VLOOKUP(calendar[[#This Row],[Date]],BH!G:G,1,)&lt;&gt;"",1,0),0)</f>
        <v>0</v>
      </c>
      <c r="P1270">
        <f>IF(OR(calendar[[#This Row],[UK_BH]]=1,calendar[[#This Row],[WeekDay]]=1, calendar[[#This Row],[WeekDay]]=7),P1269,P1269+1)</f>
        <v>906</v>
      </c>
      <c r="Q1270">
        <f>IF(OR(calendar[[#This Row],[FR_BH]]=1,calendar[[#This Row],[WeekDay]]=1, calendar[[#This Row],[WeekDay]]=7),P1269,P1269+1)</f>
        <v>906</v>
      </c>
      <c r="R1270">
        <f>IF(OR(calendar[[#This Row],[SP_BH]]=1,calendar[[#This Row],[WeekDay]]=1, calendar[[#This Row],[WeekDay]]=7),P1269,P1269+1)</f>
        <v>906</v>
      </c>
      <c r="S1270">
        <f>IF(OR(calendar[[#This Row],[PT_BH]]=1,calendar[[#This Row],[WeekDay]]=1, calendar[[#This Row],[WeekDay]]=7),P1269,P1269+1)</f>
        <v>906</v>
      </c>
    </row>
    <row r="1271" spans="1:19" x14ac:dyDescent="0.25">
      <c r="A1271" s="2">
        <v>44005</v>
      </c>
      <c r="B1271" s="1">
        <f t="shared" si="98"/>
        <v>26</v>
      </c>
      <c r="C1271">
        <f t="shared" si="100"/>
        <v>6</v>
      </c>
      <c r="D1271" t="str">
        <f t="shared" si="101"/>
        <v>June</v>
      </c>
      <c r="E1271">
        <f t="shared" si="102"/>
        <v>2020</v>
      </c>
      <c r="F1271" t="str">
        <f>CONCATENATE(calendar[[#This Row],[Month]],"/",calendar[[#This Row],[Year]])</f>
        <v>6/2020</v>
      </c>
      <c r="G1271">
        <f>WEEKDAY(calendar[[#This Row],[Date]],1)</f>
        <v>3</v>
      </c>
      <c r="H1271" t="str">
        <f>TEXT(calendar[[#This Row],[WeekDay]],"dddd")</f>
        <v>Tuesday</v>
      </c>
      <c r="I1271">
        <f>IF((INT(calendar[[#This Row],[Count]]/7)-calendar[[#This Row],[Count]]/7)&lt;0,I1270,I1270+1)</f>
        <v>182</v>
      </c>
      <c r="J1271">
        <f t="shared" si="99"/>
        <v>1269</v>
      </c>
      <c r="K1271">
        <f>IF(calendar[[#This Row],[Month]]&lt;4,1,IF(calendar[[#This Row],[Month]]&lt;7,2,IF(calendar[[#This Row],[Month]]&lt;10,3,4)))</f>
        <v>2</v>
      </c>
      <c r="L1271">
        <f>IFERROR(IF(VLOOKUP(calendar[[#This Row],[Date]],BH!A:A,1,)&lt;&gt;"",1,0),0)</f>
        <v>0</v>
      </c>
      <c r="M1271">
        <f>IFERROR(IF(VLOOKUP(calendar[[#This Row],[Date]],BH!C:C,1,)&lt;&gt;"",1,0),0)</f>
        <v>0</v>
      </c>
      <c r="N1271">
        <f>IFERROR(IF(VLOOKUP(calendar[[#This Row],[Date]],BH!E:E,1,)&lt;&gt;"",1,0),0)</f>
        <v>0</v>
      </c>
      <c r="O1271">
        <f>IFERROR(IF(VLOOKUP(calendar[[#This Row],[Date]],BH!G:G,1,)&lt;&gt;"",1,0),0)</f>
        <v>0</v>
      </c>
      <c r="P1271">
        <f>IF(OR(calendar[[#This Row],[UK_BH]]=1,calendar[[#This Row],[WeekDay]]=1, calendar[[#This Row],[WeekDay]]=7),P1270,P1270+1)</f>
        <v>907</v>
      </c>
      <c r="Q1271">
        <f>IF(OR(calendar[[#This Row],[FR_BH]]=1,calendar[[#This Row],[WeekDay]]=1, calendar[[#This Row],[WeekDay]]=7),P1270,P1270+1)</f>
        <v>907</v>
      </c>
      <c r="R1271">
        <f>IF(OR(calendar[[#This Row],[SP_BH]]=1,calendar[[#This Row],[WeekDay]]=1, calendar[[#This Row],[WeekDay]]=7),P1270,P1270+1)</f>
        <v>907</v>
      </c>
      <c r="S1271">
        <f>IF(OR(calendar[[#This Row],[PT_BH]]=1,calendar[[#This Row],[WeekDay]]=1, calendar[[#This Row],[WeekDay]]=7),P1270,P1270+1)</f>
        <v>907</v>
      </c>
    </row>
    <row r="1272" spans="1:19" x14ac:dyDescent="0.25">
      <c r="A1272" s="2">
        <v>44006</v>
      </c>
      <c r="B1272" s="1">
        <f t="shared" si="98"/>
        <v>26</v>
      </c>
      <c r="C1272">
        <f t="shared" si="100"/>
        <v>6</v>
      </c>
      <c r="D1272" t="str">
        <f t="shared" si="101"/>
        <v>June</v>
      </c>
      <c r="E1272">
        <f t="shared" si="102"/>
        <v>2020</v>
      </c>
      <c r="F1272" t="str">
        <f>CONCATENATE(calendar[[#This Row],[Month]],"/",calendar[[#This Row],[Year]])</f>
        <v>6/2020</v>
      </c>
      <c r="G1272">
        <f>WEEKDAY(calendar[[#This Row],[Date]],1)</f>
        <v>4</v>
      </c>
      <c r="H1272" t="str">
        <f>TEXT(calendar[[#This Row],[WeekDay]],"dddd")</f>
        <v>Wednesday</v>
      </c>
      <c r="I1272">
        <f>IF((INT(calendar[[#This Row],[Count]]/7)-calendar[[#This Row],[Count]]/7)&lt;0,I1271,I1271+1)</f>
        <v>182</v>
      </c>
      <c r="J1272">
        <f t="shared" si="99"/>
        <v>1270</v>
      </c>
      <c r="K1272">
        <f>IF(calendar[[#This Row],[Month]]&lt;4,1,IF(calendar[[#This Row],[Month]]&lt;7,2,IF(calendar[[#This Row],[Month]]&lt;10,3,4)))</f>
        <v>2</v>
      </c>
      <c r="L1272">
        <f>IFERROR(IF(VLOOKUP(calendar[[#This Row],[Date]],BH!A:A,1,)&lt;&gt;"",1,0),0)</f>
        <v>0</v>
      </c>
      <c r="M1272">
        <f>IFERROR(IF(VLOOKUP(calendar[[#This Row],[Date]],BH!C:C,1,)&lt;&gt;"",1,0),0)</f>
        <v>0</v>
      </c>
      <c r="N1272">
        <f>IFERROR(IF(VLOOKUP(calendar[[#This Row],[Date]],BH!E:E,1,)&lt;&gt;"",1,0),0)</f>
        <v>0</v>
      </c>
      <c r="O1272">
        <f>IFERROR(IF(VLOOKUP(calendar[[#This Row],[Date]],BH!G:G,1,)&lt;&gt;"",1,0),0)</f>
        <v>0</v>
      </c>
      <c r="P1272">
        <f>IF(OR(calendar[[#This Row],[UK_BH]]=1,calendar[[#This Row],[WeekDay]]=1, calendar[[#This Row],[WeekDay]]=7),P1271,P1271+1)</f>
        <v>908</v>
      </c>
      <c r="Q1272">
        <f>IF(OR(calendar[[#This Row],[FR_BH]]=1,calendar[[#This Row],[WeekDay]]=1, calendar[[#This Row],[WeekDay]]=7),P1271,P1271+1)</f>
        <v>908</v>
      </c>
      <c r="R1272">
        <f>IF(OR(calendar[[#This Row],[SP_BH]]=1,calendar[[#This Row],[WeekDay]]=1, calendar[[#This Row],[WeekDay]]=7),P1271,P1271+1)</f>
        <v>908</v>
      </c>
      <c r="S1272">
        <f>IF(OR(calendar[[#This Row],[PT_BH]]=1,calendar[[#This Row],[WeekDay]]=1, calendar[[#This Row],[WeekDay]]=7),P1271,P1271+1)</f>
        <v>908</v>
      </c>
    </row>
    <row r="1273" spans="1:19" x14ac:dyDescent="0.25">
      <c r="A1273" s="2">
        <v>44007</v>
      </c>
      <c r="B1273" s="1">
        <f t="shared" si="98"/>
        <v>26</v>
      </c>
      <c r="C1273">
        <f t="shared" si="100"/>
        <v>6</v>
      </c>
      <c r="D1273" t="str">
        <f t="shared" si="101"/>
        <v>June</v>
      </c>
      <c r="E1273">
        <f t="shared" si="102"/>
        <v>2020</v>
      </c>
      <c r="F1273" t="str">
        <f>CONCATENATE(calendar[[#This Row],[Month]],"/",calendar[[#This Row],[Year]])</f>
        <v>6/2020</v>
      </c>
      <c r="G1273">
        <f>WEEKDAY(calendar[[#This Row],[Date]],1)</f>
        <v>5</v>
      </c>
      <c r="H1273" t="str">
        <f>TEXT(calendar[[#This Row],[WeekDay]],"dddd")</f>
        <v>Thursday</v>
      </c>
      <c r="I1273">
        <f>IF((INT(calendar[[#This Row],[Count]]/7)-calendar[[#This Row],[Count]]/7)&lt;0,I1272,I1272+1)</f>
        <v>182</v>
      </c>
      <c r="J1273">
        <f t="shared" si="99"/>
        <v>1271</v>
      </c>
      <c r="K1273">
        <f>IF(calendar[[#This Row],[Month]]&lt;4,1,IF(calendar[[#This Row],[Month]]&lt;7,2,IF(calendar[[#This Row],[Month]]&lt;10,3,4)))</f>
        <v>2</v>
      </c>
      <c r="L1273">
        <f>IFERROR(IF(VLOOKUP(calendar[[#This Row],[Date]],BH!A:A,1,)&lt;&gt;"",1,0),0)</f>
        <v>0</v>
      </c>
      <c r="M1273">
        <f>IFERROR(IF(VLOOKUP(calendar[[#This Row],[Date]],BH!C:C,1,)&lt;&gt;"",1,0),0)</f>
        <v>0</v>
      </c>
      <c r="N1273">
        <f>IFERROR(IF(VLOOKUP(calendar[[#This Row],[Date]],BH!E:E,1,)&lt;&gt;"",1,0),0)</f>
        <v>0</v>
      </c>
      <c r="O1273">
        <f>IFERROR(IF(VLOOKUP(calendar[[#This Row],[Date]],BH!G:G,1,)&lt;&gt;"",1,0),0)</f>
        <v>0</v>
      </c>
      <c r="P1273">
        <f>IF(OR(calendar[[#This Row],[UK_BH]]=1,calendar[[#This Row],[WeekDay]]=1, calendar[[#This Row],[WeekDay]]=7),P1272,P1272+1)</f>
        <v>909</v>
      </c>
      <c r="Q1273">
        <f>IF(OR(calendar[[#This Row],[FR_BH]]=1,calendar[[#This Row],[WeekDay]]=1, calendar[[#This Row],[WeekDay]]=7),P1272,P1272+1)</f>
        <v>909</v>
      </c>
      <c r="R1273">
        <f>IF(OR(calendar[[#This Row],[SP_BH]]=1,calendar[[#This Row],[WeekDay]]=1, calendar[[#This Row],[WeekDay]]=7),P1272,P1272+1)</f>
        <v>909</v>
      </c>
      <c r="S1273">
        <f>IF(OR(calendar[[#This Row],[PT_BH]]=1,calendar[[#This Row],[WeekDay]]=1, calendar[[#This Row],[WeekDay]]=7),P1272,P1272+1)</f>
        <v>909</v>
      </c>
    </row>
    <row r="1274" spans="1:19" x14ac:dyDescent="0.25">
      <c r="A1274" s="2">
        <v>44008</v>
      </c>
      <c r="B1274" s="1">
        <f t="shared" si="98"/>
        <v>26</v>
      </c>
      <c r="C1274">
        <f t="shared" si="100"/>
        <v>6</v>
      </c>
      <c r="D1274" t="str">
        <f t="shared" si="101"/>
        <v>June</v>
      </c>
      <c r="E1274">
        <f t="shared" si="102"/>
        <v>2020</v>
      </c>
      <c r="F1274" t="str">
        <f>CONCATENATE(calendar[[#This Row],[Month]],"/",calendar[[#This Row],[Year]])</f>
        <v>6/2020</v>
      </c>
      <c r="G1274">
        <f>WEEKDAY(calendar[[#This Row],[Date]],1)</f>
        <v>6</v>
      </c>
      <c r="H1274" t="str">
        <f>TEXT(calendar[[#This Row],[WeekDay]],"dddd")</f>
        <v>Friday</v>
      </c>
      <c r="I1274">
        <f>IF((INT(calendar[[#This Row],[Count]]/7)-calendar[[#This Row],[Count]]/7)&lt;0,I1273,I1273+1)</f>
        <v>182</v>
      </c>
      <c r="J1274">
        <f t="shared" si="99"/>
        <v>1272</v>
      </c>
      <c r="K1274">
        <f>IF(calendar[[#This Row],[Month]]&lt;4,1,IF(calendar[[#This Row],[Month]]&lt;7,2,IF(calendar[[#This Row],[Month]]&lt;10,3,4)))</f>
        <v>2</v>
      </c>
      <c r="L1274">
        <f>IFERROR(IF(VLOOKUP(calendar[[#This Row],[Date]],BH!A:A,1,)&lt;&gt;"",1,0),0)</f>
        <v>0</v>
      </c>
      <c r="M1274">
        <f>IFERROR(IF(VLOOKUP(calendar[[#This Row],[Date]],BH!C:C,1,)&lt;&gt;"",1,0),0)</f>
        <v>0</v>
      </c>
      <c r="N1274">
        <f>IFERROR(IF(VLOOKUP(calendar[[#This Row],[Date]],BH!E:E,1,)&lt;&gt;"",1,0),0)</f>
        <v>0</v>
      </c>
      <c r="O1274">
        <f>IFERROR(IF(VLOOKUP(calendar[[#This Row],[Date]],BH!G:G,1,)&lt;&gt;"",1,0),0)</f>
        <v>0</v>
      </c>
      <c r="P1274">
        <f>IF(OR(calendar[[#This Row],[UK_BH]]=1,calendar[[#This Row],[WeekDay]]=1, calendar[[#This Row],[WeekDay]]=7),P1273,P1273+1)</f>
        <v>910</v>
      </c>
      <c r="Q1274">
        <f>IF(OR(calendar[[#This Row],[FR_BH]]=1,calendar[[#This Row],[WeekDay]]=1, calendar[[#This Row],[WeekDay]]=7),P1273,P1273+1)</f>
        <v>910</v>
      </c>
      <c r="R1274">
        <f>IF(OR(calendar[[#This Row],[SP_BH]]=1,calendar[[#This Row],[WeekDay]]=1, calendar[[#This Row],[WeekDay]]=7),P1273,P1273+1)</f>
        <v>910</v>
      </c>
      <c r="S1274">
        <f>IF(OR(calendar[[#This Row],[PT_BH]]=1,calendar[[#This Row],[WeekDay]]=1, calendar[[#This Row],[WeekDay]]=7),P1273,P1273+1)</f>
        <v>910</v>
      </c>
    </row>
    <row r="1275" spans="1:19" x14ac:dyDescent="0.25">
      <c r="A1275" s="2">
        <v>44009</v>
      </c>
      <c r="B1275" s="1">
        <f t="shared" si="98"/>
        <v>26</v>
      </c>
      <c r="C1275">
        <f t="shared" si="100"/>
        <v>6</v>
      </c>
      <c r="D1275" t="str">
        <f t="shared" si="101"/>
        <v>June</v>
      </c>
      <c r="E1275">
        <f t="shared" si="102"/>
        <v>2020</v>
      </c>
      <c r="F1275" t="str">
        <f>CONCATENATE(calendar[[#This Row],[Month]],"/",calendar[[#This Row],[Year]])</f>
        <v>6/2020</v>
      </c>
      <c r="G1275">
        <f>WEEKDAY(calendar[[#This Row],[Date]],1)</f>
        <v>7</v>
      </c>
      <c r="H1275" t="str">
        <f>TEXT(calendar[[#This Row],[WeekDay]],"dddd")</f>
        <v>Saturday</v>
      </c>
      <c r="I1275">
        <f>IF((INT(calendar[[#This Row],[Count]]/7)-calendar[[#This Row],[Count]]/7)&lt;0,I1274,I1274+1)</f>
        <v>182</v>
      </c>
      <c r="J1275">
        <f t="shared" si="99"/>
        <v>1273</v>
      </c>
      <c r="K1275">
        <f>IF(calendar[[#This Row],[Month]]&lt;4,1,IF(calendar[[#This Row],[Month]]&lt;7,2,IF(calendar[[#This Row],[Month]]&lt;10,3,4)))</f>
        <v>2</v>
      </c>
      <c r="L1275">
        <f>IFERROR(IF(VLOOKUP(calendar[[#This Row],[Date]],BH!A:A,1,)&lt;&gt;"",1,0),0)</f>
        <v>0</v>
      </c>
      <c r="M1275">
        <f>IFERROR(IF(VLOOKUP(calendar[[#This Row],[Date]],BH!C:C,1,)&lt;&gt;"",1,0),0)</f>
        <v>0</v>
      </c>
      <c r="N1275">
        <f>IFERROR(IF(VLOOKUP(calendar[[#This Row],[Date]],BH!E:E,1,)&lt;&gt;"",1,0),0)</f>
        <v>0</v>
      </c>
      <c r="O1275">
        <f>IFERROR(IF(VLOOKUP(calendar[[#This Row],[Date]],BH!G:G,1,)&lt;&gt;"",1,0),0)</f>
        <v>0</v>
      </c>
      <c r="P1275">
        <f>IF(OR(calendar[[#This Row],[UK_BH]]=1,calendar[[#This Row],[WeekDay]]=1, calendar[[#This Row],[WeekDay]]=7),P1274,P1274+1)</f>
        <v>910</v>
      </c>
      <c r="Q1275">
        <f>IF(OR(calendar[[#This Row],[FR_BH]]=1,calendar[[#This Row],[WeekDay]]=1, calendar[[#This Row],[WeekDay]]=7),P1274,P1274+1)</f>
        <v>910</v>
      </c>
      <c r="R1275">
        <f>IF(OR(calendar[[#This Row],[SP_BH]]=1,calendar[[#This Row],[WeekDay]]=1, calendar[[#This Row],[WeekDay]]=7),P1274,P1274+1)</f>
        <v>910</v>
      </c>
      <c r="S1275">
        <f>IF(OR(calendar[[#This Row],[PT_BH]]=1,calendar[[#This Row],[WeekDay]]=1, calendar[[#This Row],[WeekDay]]=7),P1274,P1274+1)</f>
        <v>910</v>
      </c>
    </row>
    <row r="1276" spans="1:19" x14ac:dyDescent="0.25">
      <c r="A1276" s="2">
        <v>44010</v>
      </c>
      <c r="B1276" s="1">
        <f t="shared" si="98"/>
        <v>27</v>
      </c>
      <c r="C1276">
        <f t="shared" si="100"/>
        <v>6</v>
      </c>
      <c r="D1276" t="str">
        <f t="shared" si="101"/>
        <v>June</v>
      </c>
      <c r="E1276">
        <f t="shared" si="102"/>
        <v>2020</v>
      </c>
      <c r="F1276" t="str">
        <f>CONCATENATE(calendar[[#This Row],[Month]],"/",calendar[[#This Row],[Year]])</f>
        <v>6/2020</v>
      </c>
      <c r="G1276">
        <f>WEEKDAY(calendar[[#This Row],[Date]],1)</f>
        <v>1</v>
      </c>
      <c r="H1276" t="str">
        <f>TEXT(calendar[[#This Row],[WeekDay]],"dddd")</f>
        <v>Sunday</v>
      </c>
      <c r="I1276">
        <f>IF((INT(calendar[[#This Row],[Count]]/7)-calendar[[#This Row],[Count]]/7)&lt;0,I1275,I1275+1)</f>
        <v>183</v>
      </c>
      <c r="J1276">
        <f t="shared" si="99"/>
        <v>1274</v>
      </c>
      <c r="K1276">
        <f>IF(calendar[[#This Row],[Month]]&lt;4,1,IF(calendar[[#This Row],[Month]]&lt;7,2,IF(calendar[[#This Row],[Month]]&lt;10,3,4)))</f>
        <v>2</v>
      </c>
      <c r="L1276">
        <f>IFERROR(IF(VLOOKUP(calendar[[#This Row],[Date]],BH!A:A,1,)&lt;&gt;"",1,0),0)</f>
        <v>0</v>
      </c>
      <c r="M1276">
        <f>IFERROR(IF(VLOOKUP(calendar[[#This Row],[Date]],BH!C:C,1,)&lt;&gt;"",1,0),0)</f>
        <v>0</v>
      </c>
      <c r="N1276">
        <f>IFERROR(IF(VLOOKUP(calendar[[#This Row],[Date]],BH!E:E,1,)&lt;&gt;"",1,0),0)</f>
        <v>0</v>
      </c>
      <c r="O1276">
        <f>IFERROR(IF(VLOOKUP(calendar[[#This Row],[Date]],BH!G:G,1,)&lt;&gt;"",1,0),0)</f>
        <v>0</v>
      </c>
      <c r="P1276">
        <f>IF(OR(calendar[[#This Row],[UK_BH]]=1,calendar[[#This Row],[WeekDay]]=1, calendar[[#This Row],[WeekDay]]=7),P1275,P1275+1)</f>
        <v>910</v>
      </c>
      <c r="Q1276">
        <f>IF(OR(calendar[[#This Row],[FR_BH]]=1,calendar[[#This Row],[WeekDay]]=1, calendar[[#This Row],[WeekDay]]=7),P1275,P1275+1)</f>
        <v>910</v>
      </c>
      <c r="R1276">
        <f>IF(OR(calendar[[#This Row],[SP_BH]]=1,calendar[[#This Row],[WeekDay]]=1, calendar[[#This Row],[WeekDay]]=7),P1275,P1275+1)</f>
        <v>910</v>
      </c>
      <c r="S1276">
        <f>IF(OR(calendar[[#This Row],[PT_BH]]=1,calendar[[#This Row],[WeekDay]]=1, calendar[[#This Row],[WeekDay]]=7),P1275,P1275+1)</f>
        <v>910</v>
      </c>
    </row>
    <row r="1277" spans="1:19" x14ac:dyDescent="0.25">
      <c r="A1277" s="2">
        <v>44011</v>
      </c>
      <c r="B1277" s="1">
        <f t="shared" si="98"/>
        <v>27</v>
      </c>
      <c r="C1277">
        <f t="shared" si="100"/>
        <v>6</v>
      </c>
      <c r="D1277" t="str">
        <f t="shared" si="101"/>
        <v>June</v>
      </c>
      <c r="E1277">
        <f t="shared" si="102"/>
        <v>2020</v>
      </c>
      <c r="F1277" t="str">
        <f>CONCATENATE(calendar[[#This Row],[Month]],"/",calendar[[#This Row],[Year]])</f>
        <v>6/2020</v>
      </c>
      <c r="G1277">
        <f>WEEKDAY(calendar[[#This Row],[Date]],1)</f>
        <v>2</v>
      </c>
      <c r="H1277" t="str">
        <f>TEXT(calendar[[#This Row],[WeekDay]],"dddd")</f>
        <v>Monday</v>
      </c>
      <c r="I1277">
        <f>IF((INT(calendar[[#This Row],[Count]]/7)-calendar[[#This Row],[Count]]/7)&lt;0,I1276,I1276+1)</f>
        <v>183</v>
      </c>
      <c r="J1277">
        <f t="shared" si="99"/>
        <v>1275</v>
      </c>
      <c r="K1277">
        <f>IF(calendar[[#This Row],[Month]]&lt;4,1,IF(calendar[[#This Row],[Month]]&lt;7,2,IF(calendar[[#This Row],[Month]]&lt;10,3,4)))</f>
        <v>2</v>
      </c>
      <c r="L1277">
        <f>IFERROR(IF(VLOOKUP(calendar[[#This Row],[Date]],BH!A:A,1,)&lt;&gt;"",1,0),0)</f>
        <v>0</v>
      </c>
      <c r="M1277">
        <f>IFERROR(IF(VLOOKUP(calendar[[#This Row],[Date]],BH!C:C,1,)&lt;&gt;"",1,0),0)</f>
        <v>0</v>
      </c>
      <c r="N1277">
        <f>IFERROR(IF(VLOOKUP(calendar[[#This Row],[Date]],BH!E:E,1,)&lt;&gt;"",1,0),0)</f>
        <v>0</v>
      </c>
      <c r="O1277">
        <f>IFERROR(IF(VLOOKUP(calendar[[#This Row],[Date]],BH!G:G,1,)&lt;&gt;"",1,0),0)</f>
        <v>0</v>
      </c>
      <c r="P1277">
        <f>IF(OR(calendar[[#This Row],[UK_BH]]=1,calendar[[#This Row],[WeekDay]]=1, calendar[[#This Row],[WeekDay]]=7),P1276,P1276+1)</f>
        <v>911</v>
      </c>
      <c r="Q1277">
        <f>IF(OR(calendar[[#This Row],[FR_BH]]=1,calendar[[#This Row],[WeekDay]]=1, calendar[[#This Row],[WeekDay]]=7),P1276,P1276+1)</f>
        <v>911</v>
      </c>
      <c r="R1277">
        <f>IF(OR(calendar[[#This Row],[SP_BH]]=1,calendar[[#This Row],[WeekDay]]=1, calendar[[#This Row],[WeekDay]]=7),P1276,P1276+1)</f>
        <v>911</v>
      </c>
      <c r="S1277">
        <f>IF(OR(calendar[[#This Row],[PT_BH]]=1,calendar[[#This Row],[WeekDay]]=1, calendar[[#This Row],[WeekDay]]=7),P1276,P1276+1)</f>
        <v>911</v>
      </c>
    </row>
    <row r="1278" spans="1:19" x14ac:dyDescent="0.25">
      <c r="A1278" s="2">
        <v>44012</v>
      </c>
      <c r="B1278" s="1">
        <f t="shared" si="98"/>
        <v>27</v>
      </c>
      <c r="C1278">
        <f t="shared" si="100"/>
        <v>6</v>
      </c>
      <c r="D1278" t="str">
        <f t="shared" si="101"/>
        <v>June</v>
      </c>
      <c r="E1278">
        <f t="shared" si="102"/>
        <v>2020</v>
      </c>
      <c r="F1278" t="str">
        <f>CONCATENATE(calendar[[#This Row],[Month]],"/",calendar[[#This Row],[Year]])</f>
        <v>6/2020</v>
      </c>
      <c r="G1278">
        <f>WEEKDAY(calendar[[#This Row],[Date]],1)</f>
        <v>3</v>
      </c>
      <c r="H1278" t="str">
        <f>TEXT(calendar[[#This Row],[WeekDay]],"dddd")</f>
        <v>Tuesday</v>
      </c>
      <c r="I1278">
        <f>IF((INT(calendar[[#This Row],[Count]]/7)-calendar[[#This Row],[Count]]/7)&lt;0,I1277,I1277+1)</f>
        <v>183</v>
      </c>
      <c r="J1278">
        <f t="shared" si="99"/>
        <v>1276</v>
      </c>
      <c r="K1278">
        <f>IF(calendar[[#This Row],[Month]]&lt;4,1,IF(calendar[[#This Row],[Month]]&lt;7,2,IF(calendar[[#This Row],[Month]]&lt;10,3,4)))</f>
        <v>2</v>
      </c>
      <c r="L1278">
        <f>IFERROR(IF(VLOOKUP(calendar[[#This Row],[Date]],BH!A:A,1,)&lt;&gt;"",1,0),0)</f>
        <v>0</v>
      </c>
      <c r="M1278">
        <f>IFERROR(IF(VLOOKUP(calendar[[#This Row],[Date]],BH!C:C,1,)&lt;&gt;"",1,0),0)</f>
        <v>0</v>
      </c>
      <c r="N1278">
        <f>IFERROR(IF(VLOOKUP(calendar[[#This Row],[Date]],BH!E:E,1,)&lt;&gt;"",1,0),0)</f>
        <v>0</v>
      </c>
      <c r="O1278">
        <f>IFERROR(IF(VLOOKUP(calendar[[#This Row],[Date]],BH!G:G,1,)&lt;&gt;"",1,0),0)</f>
        <v>0</v>
      </c>
      <c r="P1278">
        <f>IF(OR(calendar[[#This Row],[UK_BH]]=1,calendar[[#This Row],[WeekDay]]=1, calendar[[#This Row],[WeekDay]]=7),P1277,P1277+1)</f>
        <v>912</v>
      </c>
      <c r="Q1278">
        <f>IF(OR(calendar[[#This Row],[FR_BH]]=1,calendar[[#This Row],[WeekDay]]=1, calendar[[#This Row],[WeekDay]]=7),P1277,P1277+1)</f>
        <v>912</v>
      </c>
      <c r="R1278">
        <f>IF(OR(calendar[[#This Row],[SP_BH]]=1,calendar[[#This Row],[WeekDay]]=1, calendar[[#This Row],[WeekDay]]=7),P1277,P1277+1)</f>
        <v>912</v>
      </c>
      <c r="S1278">
        <f>IF(OR(calendar[[#This Row],[PT_BH]]=1,calendar[[#This Row],[WeekDay]]=1, calendar[[#This Row],[WeekDay]]=7),P1277,P1277+1)</f>
        <v>912</v>
      </c>
    </row>
    <row r="1279" spans="1:19" x14ac:dyDescent="0.25">
      <c r="A1279" s="2">
        <v>44013</v>
      </c>
      <c r="B1279" s="1">
        <f t="shared" si="98"/>
        <v>27</v>
      </c>
      <c r="C1279">
        <f t="shared" si="100"/>
        <v>7</v>
      </c>
      <c r="D1279" t="str">
        <f t="shared" si="101"/>
        <v>July</v>
      </c>
      <c r="E1279">
        <f t="shared" si="102"/>
        <v>2020</v>
      </c>
      <c r="F1279" t="str">
        <f>CONCATENATE(calendar[[#This Row],[Month]],"/",calendar[[#This Row],[Year]])</f>
        <v>7/2020</v>
      </c>
      <c r="G1279">
        <f>WEEKDAY(calendar[[#This Row],[Date]],1)</f>
        <v>4</v>
      </c>
      <c r="H1279" t="str">
        <f>TEXT(calendar[[#This Row],[WeekDay]],"dddd")</f>
        <v>Wednesday</v>
      </c>
      <c r="I1279">
        <f>IF((INT(calendar[[#This Row],[Count]]/7)-calendar[[#This Row],[Count]]/7)&lt;0,I1278,I1278+1)</f>
        <v>183</v>
      </c>
      <c r="J1279">
        <f t="shared" si="99"/>
        <v>1277</v>
      </c>
      <c r="K1279">
        <f>IF(calendar[[#This Row],[Month]]&lt;4,1,IF(calendar[[#This Row],[Month]]&lt;7,2,IF(calendar[[#This Row],[Month]]&lt;10,3,4)))</f>
        <v>3</v>
      </c>
      <c r="L1279">
        <f>IFERROR(IF(VLOOKUP(calendar[[#This Row],[Date]],BH!A:A,1,)&lt;&gt;"",1,0),0)</f>
        <v>0</v>
      </c>
      <c r="M1279">
        <f>IFERROR(IF(VLOOKUP(calendar[[#This Row],[Date]],BH!C:C,1,)&lt;&gt;"",1,0),0)</f>
        <v>0</v>
      </c>
      <c r="N1279">
        <f>IFERROR(IF(VLOOKUP(calendar[[#This Row],[Date]],BH!E:E,1,)&lt;&gt;"",1,0),0)</f>
        <v>0</v>
      </c>
      <c r="O1279">
        <f>IFERROR(IF(VLOOKUP(calendar[[#This Row],[Date]],BH!G:G,1,)&lt;&gt;"",1,0),0)</f>
        <v>0</v>
      </c>
      <c r="P1279">
        <f>IF(OR(calendar[[#This Row],[UK_BH]]=1,calendar[[#This Row],[WeekDay]]=1, calendar[[#This Row],[WeekDay]]=7),P1278,P1278+1)</f>
        <v>913</v>
      </c>
      <c r="Q1279">
        <f>IF(OR(calendar[[#This Row],[FR_BH]]=1,calendar[[#This Row],[WeekDay]]=1, calendar[[#This Row],[WeekDay]]=7),P1278,P1278+1)</f>
        <v>913</v>
      </c>
      <c r="R1279">
        <f>IF(OR(calendar[[#This Row],[SP_BH]]=1,calendar[[#This Row],[WeekDay]]=1, calendar[[#This Row],[WeekDay]]=7),P1278,P1278+1)</f>
        <v>913</v>
      </c>
      <c r="S1279">
        <f>IF(OR(calendar[[#This Row],[PT_BH]]=1,calendar[[#This Row],[WeekDay]]=1, calendar[[#This Row],[WeekDay]]=7),P1278,P1278+1)</f>
        <v>913</v>
      </c>
    </row>
    <row r="1280" spans="1:19" x14ac:dyDescent="0.25">
      <c r="A1280" s="2">
        <v>44014</v>
      </c>
      <c r="B1280" s="1">
        <f t="shared" si="98"/>
        <v>27</v>
      </c>
      <c r="C1280">
        <f t="shared" si="100"/>
        <v>7</v>
      </c>
      <c r="D1280" t="str">
        <f t="shared" si="101"/>
        <v>July</v>
      </c>
      <c r="E1280">
        <f t="shared" si="102"/>
        <v>2020</v>
      </c>
      <c r="F1280" t="str">
        <f>CONCATENATE(calendar[[#This Row],[Month]],"/",calendar[[#This Row],[Year]])</f>
        <v>7/2020</v>
      </c>
      <c r="G1280">
        <f>WEEKDAY(calendar[[#This Row],[Date]],1)</f>
        <v>5</v>
      </c>
      <c r="H1280" t="str">
        <f>TEXT(calendar[[#This Row],[WeekDay]],"dddd")</f>
        <v>Thursday</v>
      </c>
      <c r="I1280">
        <f>IF((INT(calendar[[#This Row],[Count]]/7)-calendar[[#This Row],[Count]]/7)&lt;0,I1279,I1279+1)</f>
        <v>183</v>
      </c>
      <c r="J1280">
        <f t="shared" si="99"/>
        <v>1278</v>
      </c>
      <c r="K1280">
        <f>IF(calendar[[#This Row],[Month]]&lt;4,1,IF(calendar[[#This Row],[Month]]&lt;7,2,IF(calendar[[#This Row],[Month]]&lt;10,3,4)))</f>
        <v>3</v>
      </c>
      <c r="L1280">
        <f>IFERROR(IF(VLOOKUP(calendar[[#This Row],[Date]],BH!A:A,1,)&lt;&gt;"",1,0),0)</f>
        <v>0</v>
      </c>
      <c r="M1280">
        <f>IFERROR(IF(VLOOKUP(calendar[[#This Row],[Date]],BH!C:C,1,)&lt;&gt;"",1,0),0)</f>
        <v>0</v>
      </c>
      <c r="N1280">
        <f>IFERROR(IF(VLOOKUP(calendar[[#This Row],[Date]],BH!E:E,1,)&lt;&gt;"",1,0),0)</f>
        <v>0</v>
      </c>
      <c r="O1280">
        <f>IFERROR(IF(VLOOKUP(calendar[[#This Row],[Date]],BH!G:G,1,)&lt;&gt;"",1,0),0)</f>
        <v>0</v>
      </c>
      <c r="P1280">
        <f>IF(OR(calendar[[#This Row],[UK_BH]]=1,calendar[[#This Row],[WeekDay]]=1, calendar[[#This Row],[WeekDay]]=7),P1279,P1279+1)</f>
        <v>914</v>
      </c>
      <c r="Q1280">
        <f>IF(OR(calendar[[#This Row],[FR_BH]]=1,calendar[[#This Row],[WeekDay]]=1, calendar[[#This Row],[WeekDay]]=7),P1279,P1279+1)</f>
        <v>914</v>
      </c>
      <c r="R1280">
        <f>IF(OR(calendar[[#This Row],[SP_BH]]=1,calendar[[#This Row],[WeekDay]]=1, calendar[[#This Row],[WeekDay]]=7),P1279,P1279+1)</f>
        <v>914</v>
      </c>
      <c r="S1280">
        <f>IF(OR(calendar[[#This Row],[PT_BH]]=1,calendar[[#This Row],[WeekDay]]=1, calendar[[#This Row],[WeekDay]]=7),P1279,P1279+1)</f>
        <v>914</v>
      </c>
    </row>
    <row r="1281" spans="1:19" x14ac:dyDescent="0.25">
      <c r="A1281" s="2">
        <v>44015</v>
      </c>
      <c r="B1281" s="1">
        <f t="shared" si="98"/>
        <v>27</v>
      </c>
      <c r="C1281">
        <f t="shared" si="100"/>
        <v>7</v>
      </c>
      <c r="D1281" t="str">
        <f t="shared" si="101"/>
        <v>July</v>
      </c>
      <c r="E1281">
        <f t="shared" si="102"/>
        <v>2020</v>
      </c>
      <c r="F1281" t="str">
        <f>CONCATENATE(calendar[[#This Row],[Month]],"/",calendar[[#This Row],[Year]])</f>
        <v>7/2020</v>
      </c>
      <c r="G1281">
        <f>WEEKDAY(calendar[[#This Row],[Date]],1)</f>
        <v>6</v>
      </c>
      <c r="H1281" t="str">
        <f>TEXT(calendar[[#This Row],[WeekDay]],"dddd")</f>
        <v>Friday</v>
      </c>
      <c r="I1281">
        <f>IF((INT(calendar[[#This Row],[Count]]/7)-calendar[[#This Row],[Count]]/7)&lt;0,I1280,I1280+1)</f>
        <v>183</v>
      </c>
      <c r="J1281">
        <f t="shared" si="99"/>
        <v>1279</v>
      </c>
      <c r="K1281">
        <f>IF(calendar[[#This Row],[Month]]&lt;4,1,IF(calendar[[#This Row],[Month]]&lt;7,2,IF(calendar[[#This Row],[Month]]&lt;10,3,4)))</f>
        <v>3</v>
      </c>
      <c r="L1281">
        <f>IFERROR(IF(VLOOKUP(calendar[[#This Row],[Date]],BH!A:A,1,)&lt;&gt;"",1,0),0)</f>
        <v>0</v>
      </c>
      <c r="M1281">
        <f>IFERROR(IF(VLOOKUP(calendar[[#This Row],[Date]],BH!C:C,1,)&lt;&gt;"",1,0),0)</f>
        <v>0</v>
      </c>
      <c r="N1281">
        <f>IFERROR(IF(VLOOKUP(calendar[[#This Row],[Date]],BH!E:E,1,)&lt;&gt;"",1,0),0)</f>
        <v>0</v>
      </c>
      <c r="O1281">
        <f>IFERROR(IF(VLOOKUP(calendar[[#This Row],[Date]],BH!G:G,1,)&lt;&gt;"",1,0),0)</f>
        <v>0</v>
      </c>
      <c r="P1281">
        <f>IF(OR(calendar[[#This Row],[UK_BH]]=1,calendar[[#This Row],[WeekDay]]=1, calendar[[#This Row],[WeekDay]]=7),P1280,P1280+1)</f>
        <v>915</v>
      </c>
      <c r="Q1281">
        <f>IF(OR(calendar[[#This Row],[FR_BH]]=1,calendar[[#This Row],[WeekDay]]=1, calendar[[#This Row],[WeekDay]]=7),P1280,P1280+1)</f>
        <v>915</v>
      </c>
      <c r="R1281">
        <f>IF(OR(calendar[[#This Row],[SP_BH]]=1,calendar[[#This Row],[WeekDay]]=1, calendar[[#This Row],[WeekDay]]=7),P1280,P1280+1)</f>
        <v>915</v>
      </c>
      <c r="S1281">
        <f>IF(OR(calendar[[#This Row],[PT_BH]]=1,calendar[[#This Row],[WeekDay]]=1, calendar[[#This Row],[WeekDay]]=7),P1280,P1280+1)</f>
        <v>915</v>
      </c>
    </row>
    <row r="1282" spans="1:19" x14ac:dyDescent="0.25">
      <c r="A1282" s="2">
        <v>44016</v>
      </c>
      <c r="B1282" s="1">
        <f t="shared" ref="B1282:B1345" si="103">WEEKNUM(A1282)</f>
        <v>27</v>
      </c>
      <c r="C1282">
        <f t="shared" si="100"/>
        <v>7</v>
      </c>
      <c r="D1282" t="str">
        <f t="shared" si="101"/>
        <v>July</v>
      </c>
      <c r="E1282">
        <f t="shared" si="102"/>
        <v>2020</v>
      </c>
      <c r="F1282" t="str">
        <f>CONCATENATE(calendar[[#This Row],[Month]],"/",calendar[[#This Row],[Year]])</f>
        <v>7/2020</v>
      </c>
      <c r="G1282">
        <f>WEEKDAY(calendar[[#This Row],[Date]],1)</f>
        <v>7</v>
      </c>
      <c r="H1282" t="str">
        <f>TEXT(calendar[[#This Row],[WeekDay]],"dddd")</f>
        <v>Saturday</v>
      </c>
      <c r="I1282">
        <f>IF((INT(calendar[[#This Row],[Count]]/7)-calendar[[#This Row],[Count]]/7)&lt;0,I1281,I1281+1)</f>
        <v>183</v>
      </c>
      <c r="J1282">
        <f t="shared" si="99"/>
        <v>1280</v>
      </c>
      <c r="K1282">
        <f>IF(calendar[[#This Row],[Month]]&lt;4,1,IF(calendar[[#This Row],[Month]]&lt;7,2,IF(calendar[[#This Row],[Month]]&lt;10,3,4)))</f>
        <v>3</v>
      </c>
      <c r="L1282">
        <f>IFERROR(IF(VLOOKUP(calendar[[#This Row],[Date]],BH!A:A,1,)&lt;&gt;"",1,0),0)</f>
        <v>0</v>
      </c>
      <c r="M1282">
        <f>IFERROR(IF(VLOOKUP(calendar[[#This Row],[Date]],BH!C:C,1,)&lt;&gt;"",1,0),0)</f>
        <v>0</v>
      </c>
      <c r="N1282">
        <f>IFERROR(IF(VLOOKUP(calendar[[#This Row],[Date]],BH!E:E,1,)&lt;&gt;"",1,0),0)</f>
        <v>0</v>
      </c>
      <c r="O1282">
        <f>IFERROR(IF(VLOOKUP(calendar[[#This Row],[Date]],BH!G:G,1,)&lt;&gt;"",1,0),0)</f>
        <v>0</v>
      </c>
      <c r="P1282">
        <f>IF(OR(calendar[[#This Row],[UK_BH]]=1,calendar[[#This Row],[WeekDay]]=1, calendar[[#This Row],[WeekDay]]=7),P1281,P1281+1)</f>
        <v>915</v>
      </c>
      <c r="Q1282">
        <f>IF(OR(calendar[[#This Row],[FR_BH]]=1,calendar[[#This Row],[WeekDay]]=1, calendar[[#This Row],[WeekDay]]=7),P1281,P1281+1)</f>
        <v>915</v>
      </c>
      <c r="R1282">
        <f>IF(OR(calendar[[#This Row],[SP_BH]]=1,calendar[[#This Row],[WeekDay]]=1, calendar[[#This Row],[WeekDay]]=7),P1281,P1281+1)</f>
        <v>915</v>
      </c>
      <c r="S1282">
        <f>IF(OR(calendar[[#This Row],[PT_BH]]=1,calendar[[#This Row],[WeekDay]]=1, calendar[[#This Row],[WeekDay]]=7),P1281,P1281+1)</f>
        <v>915</v>
      </c>
    </row>
    <row r="1283" spans="1:19" x14ac:dyDescent="0.25">
      <c r="A1283" s="2">
        <v>44017</v>
      </c>
      <c r="B1283" s="1">
        <f t="shared" si="103"/>
        <v>28</v>
      </c>
      <c r="C1283">
        <f t="shared" si="100"/>
        <v>7</v>
      </c>
      <c r="D1283" t="str">
        <f t="shared" si="101"/>
        <v>July</v>
      </c>
      <c r="E1283">
        <f t="shared" si="102"/>
        <v>2020</v>
      </c>
      <c r="F1283" t="str">
        <f>CONCATENATE(calendar[[#This Row],[Month]],"/",calendar[[#This Row],[Year]])</f>
        <v>7/2020</v>
      </c>
      <c r="G1283">
        <f>WEEKDAY(calendar[[#This Row],[Date]],1)</f>
        <v>1</v>
      </c>
      <c r="H1283" t="str">
        <f>TEXT(calendar[[#This Row],[WeekDay]],"dddd")</f>
        <v>Sunday</v>
      </c>
      <c r="I1283">
        <f>IF((INT(calendar[[#This Row],[Count]]/7)-calendar[[#This Row],[Count]]/7)&lt;0,I1282,I1282+1)</f>
        <v>184</v>
      </c>
      <c r="J1283">
        <f t="shared" ref="J1283:J1346" si="104">J1282+1</f>
        <v>1281</v>
      </c>
      <c r="K1283">
        <f>IF(calendar[[#This Row],[Month]]&lt;4,1,IF(calendar[[#This Row],[Month]]&lt;7,2,IF(calendar[[#This Row],[Month]]&lt;10,3,4)))</f>
        <v>3</v>
      </c>
      <c r="L1283">
        <f>IFERROR(IF(VLOOKUP(calendar[[#This Row],[Date]],BH!A:A,1,)&lt;&gt;"",1,0),0)</f>
        <v>0</v>
      </c>
      <c r="M1283">
        <f>IFERROR(IF(VLOOKUP(calendar[[#This Row],[Date]],BH!C:C,1,)&lt;&gt;"",1,0),0)</f>
        <v>0</v>
      </c>
      <c r="N1283">
        <f>IFERROR(IF(VLOOKUP(calendar[[#This Row],[Date]],BH!E:E,1,)&lt;&gt;"",1,0),0)</f>
        <v>0</v>
      </c>
      <c r="O1283">
        <f>IFERROR(IF(VLOOKUP(calendar[[#This Row],[Date]],BH!G:G,1,)&lt;&gt;"",1,0),0)</f>
        <v>0</v>
      </c>
      <c r="P1283">
        <f>IF(OR(calendar[[#This Row],[UK_BH]]=1,calendar[[#This Row],[WeekDay]]=1, calendar[[#This Row],[WeekDay]]=7),P1282,P1282+1)</f>
        <v>915</v>
      </c>
      <c r="Q1283">
        <f>IF(OR(calendar[[#This Row],[FR_BH]]=1,calendar[[#This Row],[WeekDay]]=1, calendar[[#This Row],[WeekDay]]=7),P1282,P1282+1)</f>
        <v>915</v>
      </c>
      <c r="R1283">
        <f>IF(OR(calendar[[#This Row],[SP_BH]]=1,calendar[[#This Row],[WeekDay]]=1, calendar[[#This Row],[WeekDay]]=7),P1282,P1282+1)</f>
        <v>915</v>
      </c>
      <c r="S1283">
        <f>IF(OR(calendar[[#This Row],[PT_BH]]=1,calendar[[#This Row],[WeekDay]]=1, calendar[[#This Row],[WeekDay]]=7),P1282,P1282+1)</f>
        <v>915</v>
      </c>
    </row>
    <row r="1284" spans="1:19" x14ac:dyDescent="0.25">
      <c r="A1284" s="2">
        <v>44018</v>
      </c>
      <c r="B1284" s="1">
        <f t="shared" si="103"/>
        <v>28</v>
      </c>
      <c r="C1284">
        <f t="shared" si="100"/>
        <v>7</v>
      </c>
      <c r="D1284" t="str">
        <f t="shared" si="101"/>
        <v>July</v>
      </c>
      <c r="E1284">
        <f t="shared" si="102"/>
        <v>2020</v>
      </c>
      <c r="F1284" t="str">
        <f>CONCATENATE(calendar[[#This Row],[Month]],"/",calendar[[#This Row],[Year]])</f>
        <v>7/2020</v>
      </c>
      <c r="G1284">
        <f>WEEKDAY(calendar[[#This Row],[Date]],1)</f>
        <v>2</v>
      </c>
      <c r="H1284" t="str">
        <f>TEXT(calendar[[#This Row],[WeekDay]],"dddd")</f>
        <v>Monday</v>
      </c>
      <c r="I1284">
        <f>IF((INT(calendar[[#This Row],[Count]]/7)-calendar[[#This Row],[Count]]/7)&lt;0,I1283,I1283+1)</f>
        <v>184</v>
      </c>
      <c r="J1284">
        <f t="shared" si="104"/>
        <v>1282</v>
      </c>
      <c r="K1284">
        <f>IF(calendar[[#This Row],[Month]]&lt;4,1,IF(calendar[[#This Row],[Month]]&lt;7,2,IF(calendar[[#This Row],[Month]]&lt;10,3,4)))</f>
        <v>3</v>
      </c>
      <c r="L1284">
        <f>IFERROR(IF(VLOOKUP(calendar[[#This Row],[Date]],BH!A:A,1,)&lt;&gt;"",1,0),0)</f>
        <v>0</v>
      </c>
      <c r="M1284">
        <f>IFERROR(IF(VLOOKUP(calendar[[#This Row],[Date]],BH!C:C,1,)&lt;&gt;"",1,0),0)</f>
        <v>0</v>
      </c>
      <c r="N1284">
        <f>IFERROR(IF(VLOOKUP(calendar[[#This Row],[Date]],BH!E:E,1,)&lt;&gt;"",1,0),0)</f>
        <v>0</v>
      </c>
      <c r="O1284">
        <f>IFERROR(IF(VLOOKUP(calendar[[#This Row],[Date]],BH!G:G,1,)&lt;&gt;"",1,0),0)</f>
        <v>0</v>
      </c>
      <c r="P1284">
        <f>IF(OR(calendar[[#This Row],[UK_BH]]=1,calendar[[#This Row],[WeekDay]]=1, calendar[[#This Row],[WeekDay]]=7),P1283,P1283+1)</f>
        <v>916</v>
      </c>
      <c r="Q1284">
        <f>IF(OR(calendar[[#This Row],[FR_BH]]=1,calendar[[#This Row],[WeekDay]]=1, calendar[[#This Row],[WeekDay]]=7),P1283,P1283+1)</f>
        <v>916</v>
      </c>
      <c r="R1284">
        <f>IF(OR(calendar[[#This Row],[SP_BH]]=1,calendar[[#This Row],[WeekDay]]=1, calendar[[#This Row],[WeekDay]]=7),P1283,P1283+1)</f>
        <v>916</v>
      </c>
      <c r="S1284">
        <f>IF(OR(calendar[[#This Row],[PT_BH]]=1,calendar[[#This Row],[WeekDay]]=1, calendar[[#This Row],[WeekDay]]=7),P1283,P1283+1)</f>
        <v>916</v>
      </c>
    </row>
    <row r="1285" spans="1:19" x14ac:dyDescent="0.25">
      <c r="A1285" s="2">
        <v>44019</v>
      </c>
      <c r="B1285" s="1">
        <f t="shared" si="103"/>
        <v>28</v>
      </c>
      <c r="C1285">
        <f t="shared" si="100"/>
        <v>7</v>
      </c>
      <c r="D1285" t="str">
        <f t="shared" si="101"/>
        <v>July</v>
      </c>
      <c r="E1285">
        <f t="shared" si="102"/>
        <v>2020</v>
      </c>
      <c r="F1285" t="str">
        <f>CONCATENATE(calendar[[#This Row],[Month]],"/",calendar[[#This Row],[Year]])</f>
        <v>7/2020</v>
      </c>
      <c r="G1285">
        <f>WEEKDAY(calendar[[#This Row],[Date]],1)</f>
        <v>3</v>
      </c>
      <c r="H1285" t="str">
        <f>TEXT(calendar[[#This Row],[WeekDay]],"dddd")</f>
        <v>Tuesday</v>
      </c>
      <c r="I1285">
        <f>IF((INT(calendar[[#This Row],[Count]]/7)-calendar[[#This Row],[Count]]/7)&lt;0,I1284,I1284+1)</f>
        <v>184</v>
      </c>
      <c r="J1285">
        <f t="shared" si="104"/>
        <v>1283</v>
      </c>
      <c r="K1285">
        <f>IF(calendar[[#This Row],[Month]]&lt;4,1,IF(calendar[[#This Row],[Month]]&lt;7,2,IF(calendar[[#This Row],[Month]]&lt;10,3,4)))</f>
        <v>3</v>
      </c>
      <c r="L1285">
        <f>IFERROR(IF(VLOOKUP(calendar[[#This Row],[Date]],BH!A:A,1,)&lt;&gt;"",1,0),0)</f>
        <v>0</v>
      </c>
      <c r="M1285">
        <f>IFERROR(IF(VLOOKUP(calendar[[#This Row],[Date]],BH!C:C,1,)&lt;&gt;"",1,0),0)</f>
        <v>0</v>
      </c>
      <c r="N1285">
        <f>IFERROR(IF(VLOOKUP(calendar[[#This Row],[Date]],BH!E:E,1,)&lt;&gt;"",1,0),0)</f>
        <v>0</v>
      </c>
      <c r="O1285">
        <f>IFERROR(IF(VLOOKUP(calendar[[#This Row],[Date]],BH!G:G,1,)&lt;&gt;"",1,0),0)</f>
        <v>0</v>
      </c>
      <c r="P1285">
        <f>IF(OR(calendar[[#This Row],[UK_BH]]=1,calendar[[#This Row],[WeekDay]]=1, calendar[[#This Row],[WeekDay]]=7),P1284,P1284+1)</f>
        <v>917</v>
      </c>
      <c r="Q1285">
        <f>IF(OR(calendar[[#This Row],[FR_BH]]=1,calendar[[#This Row],[WeekDay]]=1, calendar[[#This Row],[WeekDay]]=7),P1284,P1284+1)</f>
        <v>917</v>
      </c>
      <c r="R1285">
        <f>IF(OR(calendar[[#This Row],[SP_BH]]=1,calendar[[#This Row],[WeekDay]]=1, calendar[[#This Row],[WeekDay]]=7),P1284,P1284+1)</f>
        <v>917</v>
      </c>
      <c r="S1285">
        <f>IF(OR(calendar[[#This Row],[PT_BH]]=1,calendar[[#This Row],[WeekDay]]=1, calendar[[#This Row],[WeekDay]]=7),P1284,P1284+1)</f>
        <v>917</v>
      </c>
    </row>
    <row r="1286" spans="1:19" x14ac:dyDescent="0.25">
      <c r="A1286" s="2">
        <v>44020</v>
      </c>
      <c r="B1286" s="1">
        <f t="shared" si="103"/>
        <v>28</v>
      </c>
      <c r="C1286">
        <f t="shared" si="100"/>
        <v>7</v>
      </c>
      <c r="D1286" t="str">
        <f t="shared" si="101"/>
        <v>July</v>
      </c>
      <c r="E1286">
        <f t="shared" si="102"/>
        <v>2020</v>
      </c>
      <c r="F1286" t="str">
        <f>CONCATENATE(calendar[[#This Row],[Month]],"/",calendar[[#This Row],[Year]])</f>
        <v>7/2020</v>
      </c>
      <c r="G1286">
        <f>WEEKDAY(calendar[[#This Row],[Date]],1)</f>
        <v>4</v>
      </c>
      <c r="H1286" t="str">
        <f>TEXT(calendar[[#This Row],[WeekDay]],"dddd")</f>
        <v>Wednesday</v>
      </c>
      <c r="I1286">
        <f>IF((INT(calendar[[#This Row],[Count]]/7)-calendar[[#This Row],[Count]]/7)&lt;0,I1285,I1285+1)</f>
        <v>184</v>
      </c>
      <c r="J1286">
        <f t="shared" si="104"/>
        <v>1284</v>
      </c>
      <c r="K1286">
        <f>IF(calendar[[#This Row],[Month]]&lt;4,1,IF(calendar[[#This Row],[Month]]&lt;7,2,IF(calendar[[#This Row],[Month]]&lt;10,3,4)))</f>
        <v>3</v>
      </c>
      <c r="L1286">
        <f>IFERROR(IF(VLOOKUP(calendar[[#This Row],[Date]],BH!A:A,1,)&lt;&gt;"",1,0),0)</f>
        <v>0</v>
      </c>
      <c r="M1286">
        <f>IFERROR(IF(VLOOKUP(calendar[[#This Row],[Date]],BH!C:C,1,)&lt;&gt;"",1,0),0)</f>
        <v>0</v>
      </c>
      <c r="N1286">
        <f>IFERROR(IF(VLOOKUP(calendar[[#This Row],[Date]],BH!E:E,1,)&lt;&gt;"",1,0),0)</f>
        <v>0</v>
      </c>
      <c r="O1286">
        <f>IFERROR(IF(VLOOKUP(calendar[[#This Row],[Date]],BH!G:G,1,)&lt;&gt;"",1,0),0)</f>
        <v>0</v>
      </c>
      <c r="P1286">
        <f>IF(OR(calendar[[#This Row],[UK_BH]]=1,calendar[[#This Row],[WeekDay]]=1, calendar[[#This Row],[WeekDay]]=7),P1285,P1285+1)</f>
        <v>918</v>
      </c>
      <c r="Q1286">
        <f>IF(OR(calendar[[#This Row],[FR_BH]]=1,calendar[[#This Row],[WeekDay]]=1, calendar[[#This Row],[WeekDay]]=7),P1285,P1285+1)</f>
        <v>918</v>
      </c>
      <c r="R1286">
        <f>IF(OR(calendar[[#This Row],[SP_BH]]=1,calendar[[#This Row],[WeekDay]]=1, calendar[[#This Row],[WeekDay]]=7),P1285,P1285+1)</f>
        <v>918</v>
      </c>
      <c r="S1286">
        <f>IF(OR(calendar[[#This Row],[PT_BH]]=1,calendar[[#This Row],[WeekDay]]=1, calendar[[#This Row],[WeekDay]]=7),P1285,P1285+1)</f>
        <v>918</v>
      </c>
    </row>
    <row r="1287" spans="1:19" x14ac:dyDescent="0.25">
      <c r="A1287" s="2">
        <v>44021</v>
      </c>
      <c r="B1287" s="1">
        <f t="shared" si="103"/>
        <v>28</v>
      </c>
      <c r="C1287">
        <f t="shared" si="100"/>
        <v>7</v>
      </c>
      <c r="D1287" t="str">
        <f t="shared" si="101"/>
        <v>July</v>
      </c>
      <c r="E1287">
        <f t="shared" si="102"/>
        <v>2020</v>
      </c>
      <c r="F1287" t="str">
        <f>CONCATENATE(calendar[[#This Row],[Month]],"/",calendar[[#This Row],[Year]])</f>
        <v>7/2020</v>
      </c>
      <c r="G1287">
        <f>WEEKDAY(calendar[[#This Row],[Date]],1)</f>
        <v>5</v>
      </c>
      <c r="H1287" t="str">
        <f>TEXT(calendar[[#This Row],[WeekDay]],"dddd")</f>
        <v>Thursday</v>
      </c>
      <c r="I1287">
        <f>IF((INT(calendar[[#This Row],[Count]]/7)-calendar[[#This Row],[Count]]/7)&lt;0,I1286,I1286+1)</f>
        <v>184</v>
      </c>
      <c r="J1287">
        <f t="shared" si="104"/>
        <v>1285</v>
      </c>
      <c r="K1287">
        <f>IF(calendar[[#This Row],[Month]]&lt;4,1,IF(calendar[[#This Row],[Month]]&lt;7,2,IF(calendar[[#This Row],[Month]]&lt;10,3,4)))</f>
        <v>3</v>
      </c>
      <c r="L1287">
        <f>IFERROR(IF(VLOOKUP(calendar[[#This Row],[Date]],BH!A:A,1,)&lt;&gt;"",1,0),0)</f>
        <v>0</v>
      </c>
      <c r="M1287">
        <f>IFERROR(IF(VLOOKUP(calendar[[#This Row],[Date]],BH!C:C,1,)&lt;&gt;"",1,0),0)</f>
        <v>0</v>
      </c>
      <c r="N1287">
        <f>IFERROR(IF(VLOOKUP(calendar[[#This Row],[Date]],BH!E:E,1,)&lt;&gt;"",1,0),0)</f>
        <v>0</v>
      </c>
      <c r="O1287">
        <f>IFERROR(IF(VLOOKUP(calendar[[#This Row],[Date]],BH!G:G,1,)&lt;&gt;"",1,0),0)</f>
        <v>0</v>
      </c>
      <c r="P1287">
        <f>IF(OR(calendar[[#This Row],[UK_BH]]=1,calendar[[#This Row],[WeekDay]]=1, calendar[[#This Row],[WeekDay]]=7),P1286,P1286+1)</f>
        <v>919</v>
      </c>
      <c r="Q1287">
        <f>IF(OR(calendar[[#This Row],[FR_BH]]=1,calendar[[#This Row],[WeekDay]]=1, calendar[[#This Row],[WeekDay]]=7),P1286,P1286+1)</f>
        <v>919</v>
      </c>
      <c r="R1287">
        <f>IF(OR(calendar[[#This Row],[SP_BH]]=1,calendar[[#This Row],[WeekDay]]=1, calendar[[#This Row],[WeekDay]]=7),P1286,P1286+1)</f>
        <v>919</v>
      </c>
      <c r="S1287">
        <f>IF(OR(calendar[[#This Row],[PT_BH]]=1,calendar[[#This Row],[WeekDay]]=1, calendar[[#This Row],[WeekDay]]=7),P1286,P1286+1)</f>
        <v>919</v>
      </c>
    </row>
    <row r="1288" spans="1:19" x14ac:dyDescent="0.25">
      <c r="A1288" s="2">
        <v>44022</v>
      </c>
      <c r="B1288" s="1">
        <f t="shared" si="103"/>
        <v>28</v>
      </c>
      <c r="C1288">
        <f t="shared" si="100"/>
        <v>7</v>
      </c>
      <c r="D1288" t="str">
        <f t="shared" si="101"/>
        <v>July</v>
      </c>
      <c r="E1288">
        <f t="shared" si="102"/>
        <v>2020</v>
      </c>
      <c r="F1288" t="str">
        <f>CONCATENATE(calendar[[#This Row],[Month]],"/",calendar[[#This Row],[Year]])</f>
        <v>7/2020</v>
      </c>
      <c r="G1288">
        <f>WEEKDAY(calendar[[#This Row],[Date]],1)</f>
        <v>6</v>
      </c>
      <c r="H1288" t="str">
        <f>TEXT(calendar[[#This Row],[WeekDay]],"dddd")</f>
        <v>Friday</v>
      </c>
      <c r="I1288">
        <f>IF((INT(calendar[[#This Row],[Count]]/7)-calendar[[#This Row],[Count]]/7)&lt;0,I1287,I1287+1)</f>
        <v>184</v>
      </c>
      <c r="J1288">
        <f t="shared" si="104"/>
        <v>1286</v>
      </c>
      <c r="K1288">
        <f>IF(calendar[[#This Row],[Month]]&lt;4,1,IF(calendar[[#This Row],[Month]]&lt;7,2,IF(calendar[[#This Row],[Month]]&lt;10,3,4)))</f>
        <v>3</v>
      </c>
      <c r="L1288">
        <f>IFERROR(IF(VLOOKUP(calendar[[#This Row],[Date]],BH!A:A,1,)&lt;&gt;"",1,0),0)</f>
        <v>0</v>
      </c>
      <c r="M1288">
        <f>IFERROR(IF(VLOOKUP(calendar[[#This Row],[Date]],BH!C:C,1,)&lt;&gt;"",1,0),0)</f>
        <v>0</v>
      </c>
      <c r="N1288">
        <f>IFERROR(IF(VLOOKUP(calendar[[#This Row],[Date]],BH!E:E,1,)&lt;&gt;"",1,0),0)</f>
        <v>0</v>
      </c>
      <c r="O1288">
        <f>IFERROR(IF(VLOOKUP(calendar[[#This Row],[Date]],BH!G:G,1,)&lt;&gt;"",1,0),0)</f>
        <v>0</v>
      </c>
      <c r="P1288">
        <f>IF(OR(calendar[[#This Row],[UK_BH]]=1,calendar[[#This Row],[WeekDay]]=1, calendar[[#This Row],[WeekDay]]=7),P1287,P1287+1)</f>
        <v>920</v>
      </c>
      <c r="Q1288">
        <f>IF(OR(calendar[[#This Row],[FR_BH]]=1,calendar[[#This Row],[WeekDay]]=1, calendar[[#This Row],[WeekDay]]=7),P1287,P1287+1)</f>
        <v>920</v>
      </c>
      <c r="R1288">
        <f>IF(OR(calendar[[#This Row],[SP_BH]]=1,calendar[[#This Row],[WeekDay]]=1, calendar[[#This Row],[WeekDay]]=7),P1287,P1287+1)</f>
        <v>920</v>
      </c>
      <c r="S1288">
        <f>IF(OR(calendar[[#This Row],[PT_BH]]=1,calendar[[#This Row],[WeekDay]]=1, calendar[[#This Row],[WeekDay]]=7),P1287,P1287+1)</f>
        <v>920</v>
      </c>
    </row>
    <row r="1289" spans="1:19" x14ac:dyDescent="0.25">
      <c r="A1289" s="2">
        <v>44023</v>
      </c>
      <c r="B1289" s="1">
        <f t="shared" si="103"/>
        <v>28</v>
      </c>
      <c r="C1289">
        <f t="shared" si="100"/>
        <v>7</v>
      </c>
      <c r="D1289" t="str">
        <f t="shared" si="101"/>
        <v>July</v>
      </c>
      <c r="E1289">
        <f t="shared" si="102"/>
        <v>2020</v>
      </c>
      <c r="F1289" t="str">
        <f>CONCATENATE(calendar[[#This Row],[Month]],"/",calendar[[#This Row],[Year]])</f>
        <v>7/2020</v>
      </c>
      <c r="G1289">
        <f>WEEKDAY(calendar[[#This Row],[Date]],1)</f>
        <v>7</v>
      </c>
      <c r="H1289" t="str">
        <f>TEXT(calendar[[#This Row],[WeekDay]],"dddd")</f>
        <v>Saturday</v>
      </c>
      <c r="I1289">
        <f>IF((INT(calendar[[#This Row],[Count]]/7)-calendar[[#This Row],[Count]]/7)&lt;0,I1288,I1288+1)</f>
        <v>184</v>
      </c>
      <c r="J1289">
        <f t="shared" si="104"/>
        <v>1287</v>
      </c>
      <c r="K1289">
        <f>IF(calendar[[#This Row],[Month]]&lt;4,1,IF(calendar[[#This Row],[Month]]&lt;7,2,IF(calendar[[#This Row],[Month]]&lt;10,3,4)))</f>
        <v>3</v>
      </c>
      <c r="L1289">
        <f>IFERROR(IF(VLOOKUP(calendar[[#This Row],[Date]],BH!A:A,1,)&lt;&gt;"",1,0),0)</f>
        <v>0</v>
      </c>
      <c r="M1289">
        <f>IFERROR(IF(VLOOKUP(calendar[[#This Row],[Date]],BH!C:C,1,)&lt;&gt;"",1,0),0)</f>
        <v>0</v>
      </c>
      <c r="N1289">
        <f>IFERROR(IF(VLOOKUP(calendar[[#This Row],[Date]],BH!E:E,1,)&lt;&gt;"",1,0),0)</f>
        <v>0</v>
      </c>
      <c r="O1289">
        <f>IFERROR(IF(VLOOKUP(calendar[[#This Row],[Date]],BH!G:G,1,)&lt;&gt;"",1,0),0)</f>
        <v>0</v>
      </c>
      <c r="P1289">
        <f>IF(OR(calendar[[#This Row],[UK_BH]]=1,calendar[[#This Row],[WeekDay]]=1, calendar[[#This Row],[WeekDay]]=7),P1288,P1288+1)</f>
        <v>920</v>
      </c>
      <c r="Q1289">
        <f>IF(OR(calendar[[#This Row],[FR_BH]]=1,calendar[[#This Row],[WeekDay]]=1, calendar[[#This Row],[WeekDay]]=7),P1288,P1288+1)</f>
        <v>920</v>
      </c>
      <c r="R1289">
        <f>IF(OR(calendar[[#This Row],[SP_BH]]=1,calendar[[#This Row],[WeekDay]]=1, calendar[[#This Row],[WeekDay]]=7),P1288,P1288+1)</f>
        <v>920</v>
      </c>
      <c r="S1289">
        <f>IF(OR(calendar[[#This Row],[PT_BH]]=1,calendar[[#This Row],[WeekDay]]=1, calendar[[#This Row],[WeekDay]]=7),P1288,P1288+1)</f>
        <v>920</v>
      </c>
    </row>
    <row r="1290" spans="1:19" x14ac:dyDescent="0.25">
      <c r="A1290" s="2">
        <v>44024</v>
      </c>
      <c r="B1290" s="1">
        <f t="shared" si="103"/>
        <v>29</v>
      </c>
      <c r="C1290">
        <f t="shared" si="100"/>
        <v>7</v>
      </c>
      <c r="D1290" t="str">
        <f t="shared" si="101"/>
        <v>July</v>
      </c>
      <c r="E1290">
        <f t="shared" si="102"/>
        <v>2020</v>
      </c>
      <c r="F1290" t="str">
        <f>CONCATENATE(calendar[[#This Row],[Month]],"/",calendar[[#This Row],[Year]])</f>
        <v>7/2020</v>
      </c>
      <c r="G1290">
        <f>WEEKDAY(calendar[[#This Row],[Date]],1)</f>
        <v>1</v>
      </c>
      <c r="H1290" t="str">
        <f>TEXT(calendar[[#This Row],[WeekDay]],"dddd")</f>
        <v>Sunday</v>
      </c>
      <c r="I1290">
        <f>IF((INT(calendar[[#This Row],[Count]]/7)-calendar[[#This Row],[Count]]/7)&lt;0,I1289,I1289+1)</f>
        <v>185</v>
      </c>
      <c r="J1290">
        <f t="shared" si="104"/>
        <v>1288</v>
      </c>
      <c r="K1290">
        <f>IF(calendar[[#This Row],[Month]]&lt;4,1,IF(calendar[[#This Row],[Month]]&lt;7,2,IF(calendar[[#This Row],[Month]]&lt;10,3,4)))</f>
        <v>3</v>
      </c>
      <c r="L1290">
        <f>IFERROR(IF(VLOOKUP(calendar[[#This Row],[Date]],BH!A:A,1,)&lt;&gt;"",1,0),0)</f>
        <v>0</v>
      </c>
      <c r="M1290">
        <f>IFERROR(IF(VLOOKUP(calendar[[#This Row],[Date]],BH!C:C,1,)&lt;&gt;"",1,0),0)</f>
        <v>0</v>
      </c>
      <c r="N1290">
        <f>IFERROR(IF(VLOOKUP(calendar[[#This Row],[Date]],BH!E:E,1,)&lt;&gt;"",1,0),0)</f>
        <v>0</v>
      </c>
      <c r="O1290">
        <f>IFERROR(IF(VLOOKUP(calendar[[#This Row],[Date]],BH!G:G,1,)&lt;&gt;"",1,0),0)</f>
        <v>0</v>
      </c>
      <c r="P1290">
        <f>IF(OR(calendar[[#This Row],[UK_BH]]=1,calendar[[#This Row],[WeekDay]]=1, calendar[[#This Row],[WeekDay]]=7),P1289,P1289+1)</f>
        <v>920</v>
      </c>
      <c r="Q1290">
        <f>IF(OR(calendar[[#This Row],[FR_BH]]=1,calendar[[#This Row],[WeekDay]]=1, calendar[[#This Row],[WeekDay]]=7),P1289,P1289+1)</f>
        <v>920</v>
      </c>
      <c r="R1290">
        <f>IF(OR(calendar[[#This Row],[SP_BH]]=1,calendar[[#This Row],[WeekDay]]=1, calendar[[#This Row],[WeekDay]]=7),P1289,P1289+1)</f>
        <v>920</v>
      </c>
      <c r="S1290">
        <f>IF(OR(calendar[[#This Row],[PT_BH]]=1,calendar[[#This Row],[WeekDay]]=1, calendar[[#This Row],[WeekDay]]=7),P1289,P1289+1)</f>
        <v>920</v>
      </c>
    </row>
    <row r="1291" spans="1:19" x14ac:dyDescent="0.25">
      <c r="A1291" s="2">
        <v>44025</v>
      </c>
      <c r="B1291" s="1">
        <f t="shared" si="103"/>
        <v>29</v>
      </c>
      <c r="C1291">
        <f t="shared" si="100"/>
        <v>7</v>
      </c>
      <c r="D1291" t="str">
        <f t="shared" si="101"/>
        <v>July</v>
      </c>
      <c r="E1291">
        <f t="shared" si="102"/>
        <v>2020</v>
      </c>
      <c r="F1291" t="str">
        <f>CONCATENATE(calendar[[#This Row],[Month]],"/",calendar[[#This Row],[Year]])</f>
        <v>7/2020</v>
      </c>
      <c r="G1291">
        <f>WEEKDAY(calendar[[#This Row],[Date]],1)</f>
        <v>2</v>
      </c>
      <c r="H1291" t="str">
        <f>TEXT(calendar[[#This Row],[WeekDay]],"dddd")</f>
        <v>Monday</v>
      </c>
      <c r="I1291">
        <f>IF((INT(calendar[[#This Row],[Count]]/7)-calendar[[#This Row],[Count]]/7)&lt;0,I1290,I1290+1)</f>
        <v>185</v>
      </c>
      <c r="J1291">
        <f t="shared" si="104"/>
        <v>1289</v>
      </c>
      <c r="K1291">
        <f>IF(calendar[[#This Row],[Month]]&lt;4,1,IF(calendar[[#This Row],[Month]]&lt;7,2,IF(calendar[[#This Row],[Month]]&lt;10,3,4)))</f>
        <v>3</v>
      </c>
      <c r="L1291">
        <f>IFERROR(IF(VLOOKUP(calendar[[#This Row],[Date]],BH!A:A,1,)&lt;&gt;"",1,0),0)</f>
        <v>0</v>
      </c>
      <c r="M1291">
        <f>IFERROR(IF(VLOOKUP(calendar[[#This Row],[Date]],BH!C:C,1,)&lt;&gt;"",1,0),0)</f>
        <v>0</v>
      </c>
      <c r="N1291">
        <f>IFERROR(IF(VLOOKUP(calendar[[#This Row],[Date]],BH!E:E,1,)&lt;&gt;"",1,0),0)</f>
        <v>0</v>
      </c>
      <c r="O1291">
        <f>IFERROR(IF(VLOOKUP(calendar[[#This Row],[Date]],BH!G:G,1,)&lt;&gt;"",1,0),0)</f>
        <v>0</v>
      </c>
      <c r="P1291">
        <f>IF(OR(calendar[[#This Row],[UK_BH]]=1,calendar[[#This Row],[WeekDay]]=1, calendar[[#This Row],[WeekDay]]=7),P1290,P1290+1)</f>
        <v>921</v>
      </c>
      <c r="Q1291">
        <f>IF(OR(calendar[[#This Row],[FR_BH]]=1,calendar[[#This Row],[WeekDay]]=1, calendar[[#This Row],[WeekDay]]=7),P1290,P1290+1)</f>
        <v>921</v>
      </c>
      <c r="R1291">
        <f>IF(OR(calendar[[#This Row],[SP_BH]]=1,calendar[[#This Row],[WeekDay]]=1, calendar[[#This Row],[WeekDay]]=7),P1290,P1290+1)</f>
        <v>921</v>
      </c>
      <c r="S1291">
        <f>IF(OR(calendar[[#This Row],[PT_BH]]=1,calendar[[#This Row],[WeekDay]]=1, calendar[[#This Row],[WeekDay]]=7),P1290,P1290+1)</f>
        <v>921</v>
      </c>
    </row>
    <row r="1292" spans="1:19" x14ac:dyDescent="0.25">
      <c r="A1292" s="2">
        <v>44026</v>
      </c>
      <c r="B1292" s="1">
        <f t="shared" si="103"/>
        <v>29</v>
      </c>
      <c r="C1292">
        <f t="shared" si="100"/>
        <v>7</v>
      </c>
      <c r="D1292" t="str">
        <f t="shared" si="101"/>
        <v>July</v>
      </c>
      <c r="E1292">
        <f t="shared" si="102"/>
        <v>2020</v>
      </c>
      <c r="F1292" t="str">
        <f>CONCATENATE(calendar[[#This Row],[Month]],"/",calendar[[#This Row],[Year]])</f>
        <v>7/2020</v>
      </c>
      <c r="G1292">
        <f>WEEKDAY(calendar[[#This Row],[Date]],1)</f>
        <v>3</v>
      </c>
      <c r="H1292" t="str">
        <f>TEXT(calendar[[#This Row],[WeekDay]],"dddd")</f>
        <v>Tuesday</v>
      </c>
      <c r="I1292">
        <f>IF((INT(calendar[[#This Row],[Count]]/7)-calendar[[#This Row],[Count]]/7)&lt;0,I1291,I1291+1)</f>
        <v>185</v>
      </c>
      <c r="J1292">
        <f t="shared" si="104"/>
        <v>1290</v>
      </c>
      <c r="K1292">
        <f>IF(calendar[[#This Row],[Month]]&lt;4,1,IF(calendar[[#This Row],[Month]]&lt;7,2,IF(calendar[[#This Row],[Month]]&lt;10,3,4)))</f>
        <v>3</v>
      </c>
      <c r="L1292">
        <f>IFERROR(IF(VLOOKUP(calendar[[#This Row],[Date]],BH!A:A,1,)&lt;&gt;"",1,0),0)</f>
        <v>0</v>
      </c>
      <c r="M1292">
        <f>IFERROR(IF(VLOOKUP(calendar[[#This Row],[Date]],BH!C:C,1,)&lt;&gt;"",1,0),0)</f>
        <v>0</v>
      </c>
      <c r="N1292">
        <f>IFERROR(IF(VLOOKUP(calendar[[#This Row],[Date]],BH!E:E,1,)&lt;&gt;"",1,0),0)</f>
        <v>0</v>
      </c>
      <c r="O1292">
        <f>IFERROR(IF(VLOOKUP(calendar[[#This Row],[Date]],BH!G:G,1,)&lt;&gt;"",1,0),0)</f>
        <v>0</v>
      </c>
      <c r="P1292">
        <f>IF(OR(calendar[[#This Row],[UK_BH]]=1,calendar[[#This Row],[WeekDay]]=1, calendar[[#This Row],[WeekDay]]=7),P1291,P1291+1)</f>
        <v>922</v>
      </c>
      <c r="Q1292">
        <f>IF(OR(calendar[[#This Row],[FR_BH]]=1,calendar[[#This Row],[WeekDay]]=1, calendar[[#This Row],[WeekDay]]=7),P1291,P1291+1)</f>
        <v>922</v>
      </c>
      <c r="R1292">
        <f>IF(OR(calendar[[#This Row],[SP_BH]]=1,calendar[[#This Row],[WeekDay]]=1, calendar[[#This Row],[WeekDay]]=7),P1291,P1291+1)</f>
        <v>922</v>
      </c>
      <c r="S1292">
        <f>IF(OR(calendar[[#This Row],[PT_BH]]=1,calendar[[#This Row],[WeekDay]]=1, calendar[[#This Row],[WeekDay]]=7),P1291,P1291+1)</f>
        <v>922</v>
      </c>
    </row>
    <row r="1293" spans="1:19" x14ac:dyDescent="0.25">
      <c r="A1293" s="2">
        <v>44027</v>
      </c>
      <c r="B1293" s="1">
        <f t="shared" si="103"/>
        <v>29</v>
      </c>
      <c r="C1293">
        <f t="shared" si="100"/>
        <v>7</v>
      </c>
      <c r="D1293" t="str">
        <f t="shared" si="101"/>
        <v>July</v>
      </c>
      <c r="E1293">
        <f t="shared" si="102"/>
        <v>2020</v>
      </c>
      <c r="F1293" t="str">
        <f>CONCATENATE(calendar[[#This Row],[Month]],"/",calendar[[#This Row],[Year]])</f>
        <v>7/2020</v>
      </c>
      <c r="G1293">
        <f>WEEKDAY(calendar[[#This Row],[Date]],1)</f>
        <v>4</v>
      </c>
      <c r="H1293" t="str">
        <f>TEXT(calendar[[#This Row],[WeekDay]],"dddd")</f>
        <v>Wednesday</v>
      </c>
      <c r="I1293">
        <f>IF((INT(calendar[[#This Row],[Count]]/7)-calendar[[#This Row],[Count]]/7)&lt;0,I1292,I1292+1)</f>
        <v>185</v>
      </c>
      <c r="J1293">
        <f t="shared" si="104"/>
        <v>1291</v>
      </c>
      <c r="K1293">
        <f>IF(calendar[[#This Row],[Month]]&lt;4,1,IF(calendar[[#This Row],[Month]]&lt;7,2,IF(calendar[[#This Row],[Month]]&lt;10,3,4)))</f>
        <v>3</v>
      </c>
      <c r="L1293">
        <f>IFERROR(IF(VLOOKUP(calendar[[#This Row],[Date]],BH!A:A,1,)&lt;&gt;"",1,0),0)</f>
        <v>0</v>
      </c>
      <c r="M1293">
        <f>IFERROR(IF(VLOOKUP(calendar[[#This Row],[Date]],BH!C:C,1,)&lt;&gt;"",1,0),0)</f>
        <v>0</v>
      </c>
      <c r="N1293">
        <f>IFERROR(IF(VLOOKUP(calendar[[#This Row],[Date]],BH!E:E,1,)&lt;&gt;"",1,0),0)</f>
        <v>0</v>
      </c>
      <c r="O1293">
        <f>IFERROR(IF(VLOOKUP(calendar[[#This Row],[Date]],BH!G:G,1,)&lt;&gt;"",1,0),0)</f>
        <v>0</v>
      </c>
      <c r="P1293">
        <f>IF(OR(calendar[[#This Row],[UK_BH]]=1,calendar[[#This Row],[WeekDay]]=1, calendar[[#This Row],[WeekDay]]=7),P1292,P1292+1)</f>
        <v>923</v>
      </c>
      <c r="Q1293">
        <f>IF(OR(calendar[[#This Row],[FR_BH]]=1,calendar[[#This Row],[WeekDay]]=1, calendar[[#This Row],[WeekDay]]=7),P1292,P1292+1)</f>
        <v>923</v>
      </c>
      <c r="R1293">
        <f>IF(OR(calendar[[#This Row],[SP_BH]]=1,calendar[[#This Row],[WeekDay]]=1, calendar[[#This Row],[WeekDay]]=7),P1292,P1292+1)</f>
        <v>923</v>
      </c>
      <c r="S1293">
        <f>IF(OR(calendar[[#This Row],[PT_BH]]=1,calendar[[#This Row],[WeekDay]]=1, calendar[[#This Row],[WeekDay]]=7),P1292,P1292+1)</f>
        <v>923</v>
      </c>
    </row>
    <row r="1294" spans="1:19" x14ac:dyDescent="0.25">
      <c r="A1294" s="2">
        <v>44028</v>
      </c>
      <c r="B1294" s="1">
        <f t="shared" si="103"/>
        <v>29</v>
      </c>
      <c r="C1294">
        <f t="shared" si="100"/>
        <v>7</v>
      </c>
      <c r="D1294" t="str">
        <f t="shared" si="101"/>
        <v>July</v>
      </c>
      <c r="E1294">
        <f t="shared" si="102"/>
        <v>2020</v>
      </c>
      <c r="F1294" t="str">
        <f>CONCATENATE(calendar[[#This Row],[Month]],"/",calendar[[#This Row],[Year]])</f>
        <v>7/2020</v>
      </c>
      <c r="G1294">
        <f>WEEKDAY(calendar[[#This Row],[Date]],1)</f>
        <v>5</v>
      </c>
      <c r="H1294" t="str">
        <f>TEXT(calendar[[#This Row],[WeekDay]],"dddd")</f>
        <v>Thursday</v>
      </c>
      <c r="I1294">
        <f>IF((INT(calendar[[#This Row],[Count]]/7)-calendar[[#This Row],[Count]]/7)&lt;0,I1293,I1293+1)</f>
        <v>185</v>
      </c>
      <c r="J1294">
        <f t="shared" si="104"/>
        <v>1292</v>
      </c>
      <c r="K1294">
        <f>IF(calendar[[#This Row],[Month]]&lt;4,1,IF(calendar[[#This Row],[Month]]&lt;7,2,IF(calendar[[#This Row],[Month]]&lt;10,3,4)))</f>
        <v>3</v>
      </c>
      <c r="L1294">
        <f>IFERROR(IF(VLOOKUP(calendar[[#This Row],[Date]],BH!A:A,1,)&lt;&gt;"",1,0),0)</f>
        <v>0</v>
      </c>
      <c r="M1294">
        <f>IFERROR(IF(VLOOKUP(calendar[[#This Row],[Date]],BH!C:C,1,)&lt;&gt;"",1,0),0)</f>
        <v>0</v>
      </c>
      <c r="N1294">
        <f>IFERROR(IF(VLOOKUP(calendar[[#This Row],[Date]],BH!E:E,1,)&lt;&gt;"",1,0),0)</f>
        <v>0</v>
      </c>
      <c r="O1294">
        <f>IFERROR(IF(VLOOKUP(calendar[[#This Row],[Date]],BH!G:G,1,)&lt;&gt;"",1,0),0)</f>
        <v>0</v>
      </c>
      <c r="P1294">
        <f>IF(OR(calendar[[#This Row],[UK_BH]]=1,calendar[[#This Row],[WeekDay]]=1, calendar[[#This Row],[WeekDay]]=7),P1293,P1293+1)</f>
        <v>924</v>
      </c>
      <c r="Q1294">
        <f>IF(OR(calendar[[#This Row],[FR_BH]]=1,calendar[[#This Row],[WeekDay]]=1, calendar[[#This Row],[WeekDay]]=7),P1293,P1293+1)</f>
        <v>924</v>
      </c>
      <c r="R1294">
        <f>IF(OR(calendar[[#This Row],[SP_BH]]=1,calendar[[#This Row],[WeekDay]]=1, calendar[[#This Row],[WeekDay]]=7),P1293,P1293+1)</f>
        <v>924</v>
      </c>
      <c r="S1294">
        <f>IF(OR(calendar[[#This Row],[PT_BH]]=1,calendar[[#This Row],[WeekDay]]=1, calendar[[#This Row],[WeekDay]]=7),P1293,P1293+1)</f>
        <v>924</v>
      </c>
    </row>
    <row r="1295" spans="1:19" x14ac:dyDescent="0.25">
      <c r="A1295" s="2">
        <v>44029</v>
      </c>
      <c r="B1295" s="1">
        <f t="shared" si="103"/>
        <v>29</v>
      </c>
      <c r="C1295">
        <f t="shared" si="100"/>
        <v>7</v>
      </c>
      <c r="D1295" t="str">
        <f t="shared" si="101"/>
        <v>July</v>
      </c>
      <c r="E1295">
        <f t="shared" si="102"/>
        <v>2020</v>
      </c>
      <c r="F1295" t="str">
        <f>CONCATENATE(calendar[[#This Row],[Month]],"/",calendar[[#This Row],[Year]])</f>
        <v>7/2020</v>
      </c>
      <c r="G1295">
        <f>WEEKDAY(calendar[[#This Row],[Date]],1)</f>
        <v>6</v>
      </c>
      <c r="H1295" t="str">
        <f>TEXT(calendar[[#This Row],[WeekDay]],"dddd")</f>
        <v>Friday</v>
      </c>
      <c r="I1295">
        <f>IF((INT(calendar[[#This Row],[Count]]/7)-calendar[[#This Row],[Count]]/7)&lt;0,I1294,I1294+1)</f>
        <v>185</v>
      </c>
      <c r="J1295">
        <f t="shared" si="104"/>
        <v>1293</v>
      </c>
      <c r="K1295">
        <f>IF(calendar[[#This Row],[Month]]&lt;4,1,IF(calendar[[#This Row],[Month]]&lt;7,2,IF(calendar[[#This Row],[Month]]&lt;10,3,4)))</f>
        <v>3</v>
      </c>
      <c r="L1295">
        <f>IFERROR(IF(VLOOKUP(calendar[[#This Row],[Date]],BH!A:A,1,)&lt;&gt;"",1,0),0)</f>
        <v>0</v>
      </c>
      <c r="M1295">
        <f>IFERROR(IF(VLOOKUP(calendar[[#This Row],[Date]],BH!C:C,1,)&lt;&gt;"",1,0),0)</f>
        <v>0</v>
      </c>
      <c r="N1295">
        <f>IFERROR(IF(VLOOKUP(calendar[[#This Row],[Date]],BH!E:E,1,)&lt;&gt;"",1,0),0)</f>
        <v>0</v>
      </c>
      <c r="O1295">
        <f>IFERROR(IF(VLOOKUP(calendar[[#This Row],[Date]],BH!G:G,1,)&lt;&gt;"",1,0),0)</f>
        <v>0</v>
      </c>
      <c r="P1295">
        <f>IF(OR(calendar[[#This Row],[UK_BH]]=1,calendar[[#This Row],[WeekDay]]=1, calendar[[#This Row],[WeekDay]]=7),P1294,P1294+1)</f>
        <v>925</v>
      </c>
      <c r="Q1295">
        <f>IF(OR(calendar[[#This Row],[FR_BH]]=1,calendar[[#This Row],[WeekDay]]=1, calendar[[#This Row],[WeekDay]]=7),P1294,P1294+1)</f>
        <v>925</v>
      </c>
      <c r="R1295">
        <f>IF(OR(calendar[[#This Row],[SP_BH]]=1,calendar[[#This Row],[WeekDay]]=1, calendar[[#This Row],[WeekDay]]=7),P1294,P1294+1)</f>
        <v>925</v>
      </c>
      <c r="S1295">
        <f>IF(OR(calendar[[#This Row],[PT_BH]]=1,calendar[[#This Row],[WeekDay]]=1, calendar[[#This Row],[WeekDay]]=7),P1294,P1294+1)</f>
        <v>925</v>
      </c>
    </row>
    <row r="1296" spans="1:19" x14ac:dyDescent="0.25">
      <c r="A1296" s="2">
        <v>44030</v>
      </c>
      <c r="B1296" s="1">
        <f t="shared" si="103"/>
        <v>29</v>
      </c>
      <c r="C1296">
        <f t="shared" ref="C1296:C1359" si="105">MONTH(A1296)</f>
        <v>7</v>
      </c>
      <c r="D1296" t="str">
        <f t="shared" ref="D1296:D1359" si="106">TEXT(A1296,"mmmm")</f>
        <v>July</v>
      </c>
      <c r="E1296">
        <f t="shared" ref="E1296:E1359" si="107">YEAR(A1296)</f>
        <v>2020</v>
      </c>
      <c r="F1296" t="str">
        <f>CONCATENATE(calendar[[#This Row],[Month]],"/",calendar[[#This Row],[Year]])</f>
        <v>7/2020</v>
      </c>
      <c r="G1296">
        <f>WEEKDAY(calendar[[#This Row],[Date]],1)</f>
        <v>7</v>
      </c>
      <c r="H1296" t="str">
        <f>TEXT(calendar[[#This Row],[WeekDay]],"dddd")</f>
        <v>Saturday</v>
      </c>
      <c r="I1296">
        <f>IF((INT(calendar[[#This Row],[Count]]/7)-calendar[[#This Row],[Count]]/7)&lt;0,I1295,I1295+1)</f>
        <v>185</v>
      </c>
      <c r="J1296">
        <f t="shared" si="104"/>
        <v>1294</v>
      </c>
      <c r="K1296">
        <f>IF(calendar[[#This Row],[Month]]&lt;4,1,IF(calendar[[#This Row],[Month]]&lt;7,2,IF(calendar[[#This Row],[Month]]&lt;10,3,4)))</f>
        <v>3</v>
      </c>
      <c r="L1296">
        <f>IFERROR(IF(VLOOKUP(calendar[[#This Row],[Date]],BH!A:A,1,)&lt;&gt;"",1,0),0)</f>
        <v>0</v>
      </c>
      <c r="M1296">
        <f>IFERROR(IF(VLOOKUP(calendar[[#This Row],[Date]],BH!C:C,1,)&lt;&gt;"",1,0),0)</f>
        <v>0</v>
      </c>
      <c r="N1296">
        <f>IFERROR(IF(VLOOKUP(calendar[[#This Row],[Date]],BH!E:E,1,)&lt;&gt;"",1,0),0)</f>
        <v>0</v>
      </c>
      <c r="O1296">
        <f>IFERROR(IF(VLOOKUP(calendar[[#This Row],[Date]],BH!G:G,1,)&lt;&gt;"",1,0),0)</f>
        <v>0</v>
      </c>
      <c r="P1296">
        <f>IF(OR(calendar[[#This Row],[UK_BH]]=1,calendar[[#This Row],[WeekDay]]=1, calendar[[#This Row],[WeekDay]]=7),P1295,P1295+1)</f>
        <v>925</v>
      </c>
      <c r="Q1296">
        <f>IF(OR(calendar[[#This Row],[FR_BH]]=1,calendar[[#This Row],[WeekDay]]=1, calendar[[#This Row],[WeekDay]]=7),P1295,P1295+1)</f>
        <v>925</v>
      </c>
      <c r="R1296">
        <f>IF(OR(calendar[[#This Row],[SP_BH]]=1,calendar[[#This Row],[WeekDay]]=1, calendar[[#This Row],[WeekDay]]=7),P1295,P1295+1)</f>
        <v>925</v>
      </c>
      <c r="S1296">
        <f>IF(OR(calendar[[#This Row],[PT_BH]]=1,calendar[[#This Row],[WeekDay]]=1, calendar[[#This Row],[WeekDay]]=7),P1295,P1295+1)</f>
        <v>925</v>
      </c>
    </row>
    <row r="1297" spans="1:19" x14ac:dyDescent="0.25">
      <c r="A1297" s="2">
        <v>44031</v>
      </c>
      <c r="B1297" s="1">
        <f t="shared" si="103"/>
        <v>30</v>
      </c>
      <c r="C1297">
        <f t="shared" si="105"/>
        <v>7</v>
      </c>
      <c r="D1297" t="str">
        <f t="shared" si="106"/>
        <v>July</v>
      </c>
      <c r="E1297">
        <f t="shared" si="107"/>
        <v>2020</v>
      </c>
      <c r="F1297" t="str">
        <f>CONCATENATE(calendar[[#This Row],[Month]],"/",calendar[[#This Row],[Year]])</f>
        <v>7/2020</v>
      </c>
      <c r="G1297">
        <f>WEEKDAY(calendar[[#This Row],[Date]],1)</f>
        <v>1</v>
      </c>
      <c r="H1297" t="str">
        <f>TEXT(calendar[[#This Row],[WeekDay]],"dddd")</f>
        <v>Sunday</v>
      </c>
      <c r="I1297">
        <f>IF((INT(calendar[[#This Row],[Count]]/7)-calendar[[#This Row],[Count]]/7)&lt;0,I1296,I1296+1)</f>
        <v>186</v>
      </c>
      <c r="J1297">
        <f t="shared" si="104"/>
        <v>1295</v>
      </c>
      <c r="K1297">
        <f>IF(calendar[[#This Row],[Month]]&lt;4,1,IF(calendar[[#This Row],[Month]]&lt;7,2,IF(calendar[[#This Row],[Month]]&lt;10,3,4)))</f>
        <v>3</v>
      </c>
      <c r="L1297">
        <f>IFERROR(IF(VLOOKUP(calendar[[#This Row],[Date]],BH!A:A,1,)&lt;&gt;"",1,0),0)</f>
        <v>0</v>
      </c>
      <c r="M1297">
        <f>IFERROR(IF(VLOOKUP(calendar[[#This Row],[Date]],BH!C:C,1,)&lt;&gt;"",1,0),0)</f>
        <v>0</v>
      </c>
      <c r="N1297">
        <f>IFERROR(IF(VLOOKUP(calendar[[#This Row],[Date]],BH!E:E,1,)&lt;&gt;"",1,0),0)</f>
        <v>0</v>
      </c>
      <c r="O1297">
        <f>IFERROR(IF(VLOOKUP(calendar[[#This Row],[Date]],BH!G:G,1,)&lt;&gt;"",1,0),0)</f>
        <v>0</v>
      </c>
      <c r="P1297">
        <f>IF(OR(calendar[[#This Row],[UK_BH]]=1,calendar[[#This Row],[WeekDay]]=1, calendar[[#This Row],[WeekDay]]=7),P1296,P1296+1)</f>
        <v>925</v>
      </c>
      <c r="Q1297">
        <f>IF(OR(calendar[[#This Row],[FR_BH]]=1,calendar[[#This Row],[WeekDay]]=1, calendar[[#This Row],[WeekDay]]=7),P1296,P1296+1)</f>
        <v>925</v>
      </c>
      <c r="R1297">
        <f>IF(OR(calendar[[#This Row],[SP_BH]]=1,calendar[[#This Row],[WeekDay]]=1, calendar[[#This Row],[WeekDay]]=7),P1296,P1296+1)</f>
        <v>925</v>
      </c>
      <c r="S1297">
        <f>IF(OR(calendar[[#This Row],[PT_BH]]=1,calendar[[#This Row],[WeekDay]]=1, calendar[[#This Row],[WeekDay]]=7),P1296,P1296+1)</f>
        <v>925</v>
      </c>
    </row>
    <row r="1298" spans="1:19" x14ac:dyDescent="0.25">
      <c r="A1298" s="2">
        <v>44032</v>
      </c>
      <c r="B1298" s="1">
        <f t="shared" si="103"/>
        <v>30</v>
      </c>
      <c r="C1298">
        <f t="shared" si="105"/>
        <v>7</v>
      </c>
      <c r="D1298" t="str">
        <f t="shared" si="106"/>
        <v>July</v>
      </c>
      <c r="E1298">
        <f t="shared" si="107"/>
        <v>2020</v>
      </c>
      <c r="F1298" t="str">
        <f>CONCATENATE(calendar[[#This Row],[Month]],"/",calendar[[#This Row],[Year]])</f>
        <v>7/2020</v>
      </c>
      <c r="G1298">
        <f>WEEKDAY(calendar[[#This Row],[Date]],1)</f>
        <v>2</v>
      </c>
      <c r="H1298" t="str">
        <f>TEXT(calendar[[#This Row],[WeekDay]],"dddd")</f>
        <v>Monday</v>
      </c>
      <c r="I1298">
        <f>IF((INT(calendar[[#This Row],[Count]]/7)-calendar[[#This Row],[Count]]/7)&lt;0,I1297,I1297+1)</f>
        <v>186</v>
      </c>
      <c r="J1298">
        <f t="shared" si="104"/>
        <v>1296</v>
      </c>
      <c r="K1298">
        <f>IF(calendar[[#This Row],[Month]]&lt;4,1,IF(calendar[[#This Row],[Month]]&lt;7,2,IF(calendar[[#This Row],[Month]]&lt;10,3,4)))</f>
        <v>3</v>
      </c>
      <c r="L1298">
        <f>IFERROR(IF(VLOOKUP(calendar[[#This Row],[Date]],BH!A:A,1,)&lt;&gt;"",1,0),0)</f>
        <v>0</v>
      </c>
      <c r="M1298">
        <f>IFERROR(IF(VLOOKUP(calendar[[#This Row],[Date]],BH!C:C,1,)&lt;&gt;"",1,0),0)</f>
        <v>0</v>
      </c>
      <c r="N1298">
        <f>IFERROR(IF(VLOOKUP(calendar[[#This Row],[Date]],BH!E:E,1,)&lt;&gt;"",1,0),0)</f>
        <v>0</v>
      </c>
      <c r="O1298">
        <f>IFERROR(IF(VLOOKUP(calendar[[#This Row],[Date]],BH!G:G,1,)&lt;&gt;"",1,0),0)</f>
        <v>0</v>
      </c>
      <c r="P1298">
        <f>IF(OR(calendar[[#This Row],[UK_BH]]=1,calendar[[#This Row],[WeekDay]]=1, calendar[[#This Row],[WeekDay]]=7),P1297,P1297+1)</f>
        <v>926</v>
      </c>
      <c r="Q1298">
        <f>IF(OR(calendar[[#This Row],[FR_BH]]=1,calendar[[#This Row],[WeekDay]]=1, calendar[[#This Row],[WeekDay]]=7),P1297,P1297+1)</f>
        <v>926</v>
      </c>
      <c r="R1298">
        <f>IF(OR(calendar[[#This Row],[SP_BH]]=1,calendar[[#This Row],[WeekDay]]=1, calendar[[#This Row],[WeekDay]]=7),P1297,P1297+1)</f>
        <v>926</v>
      </c>
      <c r="S1298">
        <f>IF(OR(calendar[[#This Row],[PT_BH]]=1,calendar[[#This Row],[WeekDay]]=1, calendar[[#This Row],[WeekDay]]=7),P1297,P1297+1)</f>
        <v>926</v>
      </c>
    </row>
    <row r="1299" spans="1:19" x14ac:dyDescent="0.25">
      <c r="A1299" s="2">
        <v>44033</v>
      </c>
      <c r="B1299" s="1">
        <f t="shared" si="103"/>
        <v>30</v>
      </c>
      <c r="C1299">
        <f t="shared" si="105"/>
        <v>7</v>
      </c>
      <c r="D1299" t="str">
        <f t="shared" si="106"/>
        <v>July</v>
      </c>
      <c r="E1299">
        <f t="shared" si="107"/>
        <v>2020</v>
      </c>
      <c r="F1299" t="str">
        <f>CONCATENATE(calendar[[#This Row],[Month]],"/",calendar[[#This Row],[Year]])</f>
        <v>7/2020</v>
      </c>
      <c r="G1299">
        <f>WEEKDAY(calendar[[#This Row],[Date]],1)</f>
        <v>3</v>
      </c>
      <c r="H1299" t="str">
        <f>TEXT(calendar[[#This Row],[WeekDay]],"dddd")</f>
        <v>Tuesday</v>
      </c>
      <c r="I1299">
        <f>IF((INT(calendar[[#This Row],[Count]]/7)-calendar[[#This Row],[Count]]/7)&lt;0,I1298,I1298+1)</f>
        <v>186</v>
      </c>
      <c r="J1299">
        <f t="shared" si="104"/>
        <v>1297</v>
      </c>
      <c r="K1299">
        <f>IF(calendar[[#This Row],[Month]]&lt;4,1,IF(calendar[[#This Row],[Month]]&lt;7,2,IF(calendar[[#This Row],[Month]]&lt;10,3,4)))</f>
        <v>3</v>
      </c>
      <c r="L1299">
        <f>IFERROR(IF(VLOOKUP(calendar[[#This Row],[Date]],BH!A:A,1,)&lt;&gt;"",1,0),0)</f>
        <v>0</v>
      </c>
      <c r="M1299">
        <f>IFERROR(IF(VLOOKUP(calendar[[#This Row],[Date]],BH!C:C,1,)&lt;&gt;"",1,0),0)</f>
        <v>0</v>
      </c>
      <c r="N1299">
        <f>IFERROR(IF(VLOOKUP(calendar[[#This Row],[Date]],BH!E:E,1,)&lt;&gt;"",1,0),0)</f>
        <v>0</v>
      </c>
      <c r="O1299">
        <f>IFERROR(IF(VLOOKUP(calendar[[#This Row],[Date]],BH!G:G,1,)&lt;&gt;"",1,0),0)</f>
        <v>0</v>
      </c>
      <c r="P1299">
        <f>IF(OR(calendar[[#This Row],[UK_BH]]=1,calendar[[#This Row],[WeekDay]]=1, calendar[[#This Row],[WeekDay]]=7),P1298,P1298+1)</f>
        <v>927</v>
      </c>
      <c r="Q1299">
        <f>IF(OR(calendar[[#This Row],[FR_BH]]=1,calendar[[#This Row],[WeekDay]]=1, calendar[[#This Row],[WeekDay]]=7),P1298,P1298+1)</f>
        <v>927</v>
      </c>
      <c r="R1299">
        <f>IF(OR(calendar[[#This Row],[SP_BH]]=1,calendar[[#This Row],[WeekDay]]=1, calendar[[#This Row],[WeekDay]]=7),P1298,P1298+1)</f>
        <v>927</v>
      </c>
      <c r="S1299">
        <f>IF(OR(calendar[[#This Row],[PT_BH]]=1,calendar[[#This Row],[WeekDay]]=1, calendar[[#This Row],[WeekDay]]=7),P1298,P1298+1)</f>
        <v>927</v>
      </c>
    </row>
    <row r="1300" spans="1:19" x14ac:dyDescent="0.25">
      <c r="A1300" s="2">
        <v>44034</v>
      </c>
      <c r="B1300" s="1">
        <f t="shared" si="103"/>
        <v>30</v>
      </c>
      <c r="C1300">
        <f t="shared" si="105"/>
        <v>7</v>
      </c>
      <c r="D1300" t="str">
        <f t="shared" si="106"/>
        <v>July</v>
      </c>
      <c r="E1300">
        <f t="shared" si="107"/>
        <v>2020</v>
      </c>
      <c r="F1300" t="str">
        <f>CONCATENATE(calendar[[#This Row],[Month]],"/",calendar[[#This Row],[Year]])</f>
        <v>7/2020</v>
      </c>
      <c r="G1300">
        <f>WEEKDAY(calendar[[#This Row],[Date]],1)</f>
        <v>4</v>
      </c>
      <c r="H1300" t="str">
        <f>TEXT(calendar[[#This Row],[WeekDay]],"dddd")</f>
        <v>Wednesday</v>
      </c>
      <c r="I1300">
        <f>IF((INT(calendar[[#This Row],[Count]]/7)-calendar[[#This Row],[Count]]/7)&lt;0,I1299,I1299+1)</f>
        <v>186</v>
      </c>
      <c r="J1300">
        <f t="shared" si="104"/>
        <v>1298</v>
      </c>
      <c r="K1300">
        <f>IF(calendar[[#This Row],[Month]]&lt;4,1,IF(calendar[[#This Row],[Month]]&lt;7,2,IF(calendar[[#This Row],[Month]]&lt;10,3,4)))</f>
        <v>3</v>
      </c>
      <c r="L1300">
        <f>IFERROR(IF(VLOOKUP(calendar[[#This Row],[Date]],BH!A:A,1,)&lt;&gt;"",1,0),0)</f>
        <v>0</v>
      </c>
      <c r="M1300">
        <f>IFERROR(IF(VLOOKUP(calendar[[#This Row],[Date]],BH!C:C,1,)&lt;&gt;"",1,0),0)</f>
        <v>0</v>
      </c>
      <c r="N1300">
        <f>IFERROR(IF(VLOOKUP(calendar[[#This Row],[Date]],BH!E:E,1,)&lt;&gt;"",1,0),0)</f>
        <v>0</v>
      </c>
      <c r="O1300">
        <f>IFERROR(IF(VLOOKUP(calendar[[#This Row],[Date]],BH!G:G,1,)&lt;&gt;"",1,0),0)</f>
        <v>0</v>
      </c>
      <c r="P1300">
        <f>IF(OR(calendar[[#This Row],[UK_BH]]=1,calendar[[#This Row],[WeekDay]]=1, calendar[[#This Row],[WeekDay]]=7),P1299,P1299+1)</f>
        <v>928</v>
      </c>
      <c r="Q1300">
        <f>IF(OR(calendar[[#This Row],[FR_BH]]=1,calendar[[#This Row],[WeekDay]]=1, calendar[[#This Row],[WeekDay]]=7),P1299,P1299+1)</f>
        <v>928</v>
      </c>
      <c r="R1300">
        <f>IF(OR(calendar[[#This Row],[SP_BH]]=1,calendar[[#This Row],[WeekDay]]=1, calendar[[#This Row],[WeekDay]]=7),P1299,P1299+1)</f>
        <v>928</v>
      </c>
      <c r="S1300">
        <f>IF(OR(calendar[[#This Row],[PT_BH]]=1,calendar[[#This Row],[WeekDay]]=1, calendar[[#This Row],[WeekDay]]=7),P1299,P1299+1)</f>
        <v>928</v>
      </c>
    </row>
    <row r="1301" spans="1:19" x14ac:dyDescent="0.25">
      <c r="A1301" s="2">
        <v>44035</v>
      </c>
      <c r="B1301" s="1">
        <f t="shared" si="103"/>
        <v>30</v>
      </c>
      <c r="C1301">
        <f t="shared" si="105"/>
        <v>7</v>
      </c>
      <c r="D1301" t="str">
        <f t="shared" si="106"/>
        <v>July</v>
      </c>
      <c r="E1301">
        <f t="shared" si="107"/>
        <v>2020</v>
      </c>
      <c r="F1301" t="str">
        <f>CONCATENATE(calendar[[#This Row],[Month]],"/",calendar[[#This Row],[Year]])</f>
        <v>7/2020</v>
      </c>
      <c r="G1301">
        <f>WEEKDAY(calendar[[#This Row],[Date]],1)</f>
        <v>5</v>
      </c>
      <c r="H1301" t="str">
        <f>TEXT(calendar[[#This Row],[WeekDay]],"dddd")</f>
        <v>Thursday</v>
      </c>
      <c r="I1301">
        <f>IF((INT(calendar[[#This Row],[Count]]/7)-calendar[[#This Row],[Count]]/7)&lt;0,I1300,I1300+1)</f>
        <v>186</v>
      </c>
      <c r="J1301">
        <f t="shared" si="104"/>
        <v>1299</v>
      </c>
      <c r="K1301">
        <f>IF(calendar[[#This Row],[Month]]&lt;4,1,IF(calendar[[#This Row],[Month]]&lt;7,2,IF(calendar[[#This Row],[Month]]&lt;10,3,4)))</f>
        <v>3</v>
      </c>
      <c r="L1301">
        <f>IFERROR(IF(VLOOKUP(calendar[[#This Row],[Date]],BH!A:A,1,)&lt;&gt;"",1,0),0)</f>
        <v>0</v>
      </c>
      <c r="M1301">
        <f>IFERROR(IF(VLOOKUP(calendar[[#This Row],[Date]],BH!C:C,1,)&lt;&gt;"",1,0),0)</f>
        <v>0</v>
      </c>
      <c r="N1301">
        <f>IFERROR(IF(VLOOKUP(calendar[[#This Row],[Date]],BH!E:E,1,)&lt;&gt;"",1,0),0)</f>
        <v>0</v>
      </c>
      <c r="O1301">
        <f>IFERROR(IF(VLOOKUP(calendar[[#This Row],[Date]],BH!G:G,1,)&lt;&gt;"",1,0),0)</f>
        <v>0</v>
      </c>
      <c r="P1301">
        <f>IF(OR(calendar[[#This Row],[UK_BH]]=1,calendar[[#This Row],[WeekDay]]=1, calendar[[#This Row],[WeekDay]]=7),P1300,P1300+1)</f>
        <v>929</v>
      </c>
      <c r="Q1301">
        <f>IF(OR(calendar[[#This Row],[FR_BH]]=1,calendar[[#This Row],[WeekDay]]=1, calendar[[#This Row],[WeekDay]]=7),P1300,P1300+1)</f>
        <v>929</v>
      </c>
      <c r="R1301">
        <f>IF(OR(calendar[[#This Row],[SP_BH]]=1,calendar[[#This Row],[WeekDay]]=1, calendar[[#This Row],[WeekDay]]=7),P1300,P1300+1)</f>
        <v>929</v>
      </c>
      <c r="S1301">
        <f>IF(OR(calendar[[#This Row],[PT_BH]]=1,calendar[[#This Row],[WeekDay]]=1, calendar[[#This Row],[WeekDay]]=7),P1300,P1300+1)</f>
        <v>929</v>
      </c>
    </row>
    <row r="1302" spans="1:19" x14ac:dyDescent="0.25">
      <c r="A1302" s="2">
        <v>44036</v>
      </c>
      <c r="B1302" s="1">
        <f t="shared" si="103"/>
        <v>30</v>
      </c>
      <c r="C1302">
        <f t="shared" si="105"/>
        <v>7</v>
      </c>
      <c r="D1302" t="str">
        <f t="shared" si="106"/>
        <v>July</v>
      </c>
      <c r="E1302">
        <f t="shared" si="107"/>
        <v>2020</v>
      </c>
      <c r="F1302" t="str">
        <f>CONCATENATE(calendar[[#This Row],[Month]],"/",calendar[[#This Row],[Year]])</f>
        <v>7/2020</v>
      </c>
      <c r="G1302">
        <f>WEEKDAY(calendar[[#This Row],[Date]],1)</f>
        <v>6</v>
      </c>
      <c r="H1302" t="str">
        <f>TEXT(calendar[[#This Row],[WeekDay]],"dddd")</f>
        <v>Friday</v>
      </c>
      <c r="I1302">
        <f>IF((INT(calendar[[#This Row],[Count]]/7)-calendar[[#This Row],[Count]]/7)&lt;0,I1301,I1301+1)</f>
        <v>186</v>
      </c>
      <c r="J1302">
        <f t="shared" si="104"/>
        <v>1300</v>
      </c>
      <c r="K1302">
        <f>IF(calendar[[#This Row],[Month]]&lt;4,1,IF(calendar[[#This Row],[Month]]&lt;7,2,IF(calendar[[#This Row],[Month]]&lt;10,3,4)))</f>
        <v>3</v>
      </c>
      <c r="L1302">
        <f>IFERROR(IF(VLOOKUP(calendar[[#This Row],[Date]],BH!A:A,1,)&lt;&gt;"",1,0),0)</f>
        <v>0</v>
      </c>
      <c r="M1302">
        <f>IFERROR(IF(VLOOKUP(calendar[[#This Row],[Date]],BH!C:C,1,)&lt;&gt;"",1,0),0)</f>
        <v>0</v>
      </c>
      <c r="N1302">
        <f>IFERROR(IF(VLOOKUP(calendar[[#This Row],[Date]],BH!E:E,1,)&lt;&gt;"",1,0),0)</f>
        <v>0</v>
      </c>
      <c r="O1302">
        <f>IFERROR(IF(VLOOKUP(calendar[[#This Row],[Date]],BH!G:G,1,)&lt;&gt;"",1,0),0)</f>
        <v>0</v>
      </c>
      <c r="P1302">
        <f>IF(OR(calendar[[#This Row],[UK_BH]]=1,calendar[[#This Row],[WeekDay]]=1, calendar[[#This Row],[WeekDay]]=7),P1301,P1301+1)</f>
        <v>930</v>
      </c>
      <c r="Q1302">
        <f>IF(OR(calendar[[#This Row],[FR_BH]]=1,calendar[[#This Row],[WeekDay]]=1, calendar[[#This Row],[WeekDay]]=7),P1301,P1301+1)</f>
        <v>930</v>
      </c>
      <c r="R1302">
        <f>IF(OR(calendar[[#This Row],[SP_BH]]=1,calendar[[#This Row],[WeekDay]]=1, calendar[[#This Row],[WeekDay]]=7),P1301,P1301+1)</f>
        <v>930</v>
      </c>
      <c r="S1302">
        <f>IF(OR(calendar[[#This Row],[PT_BH]]=1,calendar[[#This Row],[WeekDay]]=1, calendar[[#This Row],[WeekDay]]=7),P1301,P1301+1)</f>
        <v>930</v>
      </c>
    </row>
    <row r="1303" spans="1:19" x14ac:dyDescent="0.25">
      <c r="A1303" s="2">
        <v>44037</v>
      </c>
      <c r="B1303" s="1">
        <f t="shared" si="103"/>
        <v>30</v>
      </c>
      <c r="C1303">
        <f t="shared" si="105"/>
        <v>7</v>
      </c>
      <c r="D1303" t="str">
        <f t="shared" si="106"/>
        <v>July</v>
      </c>
      <c r="E1303">
        <f t="shared" si="107"/>
        <v>2020</v>
      </c>
      <c r="F1303" t="str">
        <f>CONCATENATE(calendar[[#This Row],[Month]],"/",calendar[[#This Row],[Year]])</f>
        <v>7/2020</v>
      </c>
      <c r="G1303">
        <f>WEEKDAY(calendar[[#This Row],[Date]],1)</f>
        <v>7</v>
      </c>
      <c r="H1303" t="str">
        <f>TEXT(calendar[[#This Row],[WeekDay]],"dddd")</f>
        <v>Saturday</v>
      </c>
      <c r="I1303">
        <f>IF((INT(calendar[[#This Row],[Count]]/7)-calendar[[#This Row],[Count]]/7)&lt;0,I1302,I1302+1)</f>
        <v>186</v>
      </c>
      <c r="J1303">
        <f t="shared" si="104"/>
        <v>1301</v>
      </c>
      <c r="K1303">
        <f>IF(calendar[[#This Row],[Month]]&lt;4,1,IF(calendar[[#This Row],[Month]]&lt;7,2,IF(calendar[[#This Row],[Month]]&lt;10,3,4)))</f>
        <v>3</v>
      </c>
      <c r="L1303">
        <f>IFERROR(IF(VLOOKUP(calendar[[#This Row],[Date]],BH!A:A,1,)&lt;&gt;"",1,0),0)</f>
        <v>0</v>
      </c>
      <c r="M1303">
        <f>IFERROR(IF(VLOOKUP(calendar[[#This Row],[Date]],BH!C:C,1,)&lt;&gt;"",1,0),0)</f>
        <v>0</v>
      </c>
      <c r="N1303">
        <f>IFERROR(IF(VLOOKUP(calendar[[#This Row],[Date]],BH!E:E,1,)&lt;&gt;"",1,0),0)</f>
        <v>0</v>
      </c>
      <c r="O1303">
        <f>IFERROR(IF(VLOOKUP(calendar[[#This Row],[Date]],BH!G:G,1,)&lt;&gt;"",1,0),0)</f>
        <v>0</v>
      </c>
      <c r="P1303">
        <f>IF(OR(calendar[[#This Row],[UK_BH]]=1,calendar[[#This Row],[WeekDay]]=1, calendar[[#This Row],[WeekDay]]=7),P1302,P1302+1)</f>
        <v>930</v>
      </c>
      <c r="Q1303">
        <f>IF(OR(calendar[[#This Row],[FR_BH]]=1,calendar[[#This Row],[WeekDay]]=1, calendar[[#This Row],[WeekDay]]=7),P1302,P1302+1)</f>
        <v>930</v>
      </c>
      <c r="R1303">
        <f>IF(OR(calendar[[#This Row],[SP_BH]]=1,calendar[[#This Row],[WeekDay]]=1, calendar[[#This Row],[WeekDay]]=7),P1302,P1302+1)</f>
        <v>930</v>
      </c>
      <c r="S1303">
        <f>IF(OR(calendar[[#This Row],[PT_BH]]=1,calendar[[#This Row],[WeekDay]]=1, calendar[[#This Row],[WeekDay]]=7),P1302,P1302+1)</f>
        <v>930</v>
      </c>
    </row>
    <row r="1304" spans="1:19" x14ac:dyDescent="0.25">
      <c r="A1304" s="2">
        <v>44038</v>
      </c>
      <c r="B1304" s="1">
        <f t="shared" si="103"/>
        <v>31</v>
      </c>
      <c r="C1304">
        <f t="shared" si="105"/>
        <v>7</v>
      </c>
      <c r="D1304" t="str">
        <f t="shared" si="106"/>
        <v>July</v>
      </c>
      <c r="E1304">
        <f t="shared" si="107"/>
        <v>2020</v>
      </c>
      <c r="F1304" t="str">
        <f>CONCATENATE(calendar[[#This Row],[Month]],"/",calendar[[#This Row],[Year]])</f>
        <v>7/2020</v>
      </c>
      <c r="G1304">
        <f>WEEKDAY(calendar[[#This Row],[Date]],1)</f>
        <v>1</v>
      </c>
      <c r="H1304" t="str">
        <f>TEXT(calendar[[#This Row],[WeekDay]],"dddd")</f>
        <v>Sunday</v>
      </c>
      <c r="I1304">
        <f>IF((INT(calendar[[#This Row],[Count]]/7)-calendar[[#This Row],[Count]]/7)&lt;0,I1303,I1303+1)</f>
        <v>187</v>
      </c>
      <c r="J1304">
        <f t="shared" si="104"/>
        <v>1302</v>
      </c>
      <c r="K1304">
        <f>IF(calendar[[#This Row],[Month]]&lt;4,1,IF(calendar[[#This Row],[Month]]&lt;7,2,IF(calendar[[#This Row],[Month]]&lt;10,3,4)))</f>
        <v>3</v>
      </c>
      <c r="L1304">
        <f>IFERROR(IF(VLOOKUP(calendar[[#This Row],[Date]],BH!A:A,1,)&lt;&gt;"",1,0),0)</f>
        <v>0</v>
      </c>
      <c r="M1304">
        <f>IFERROR(IF(VLOOKUP(calendar[[#This Row],[Date]],BH!C:C,1,)&lt;&gt;"",1,0),0)</f>
        <v>0</v>
      </c>
      <c r="N1304">
        <f>IFERROR(IF(VLOOKUP(calendar[[#This Row],[Date]],BH!E:E,1,)&lt;&gt;"",1,0),0)</f>
        <v>0</v>
      </c>
      <c r="O1304">
        <f>IFERROR(IF(VLOOKUP(calendar[[#This Row],[Date]],BH!G:G,1,)&lt;&gt;"",1,0),0)</f>
        <v>0</v>
      </c>
      <c r="P1304">
        <f>IF(OR(calendar[[#This Row],[UK_BH]]=1,calendar[[#This Row],[WeekDay]]=1, calendar[[#This Row],[WeekDay]]=7),P1303,P1303+1)</f>
        <v>930</v>
      </c>
      <c r="Q1304">
        <f>IF(OR(calendar[[#This Row],[FR_BH]]=1,calendar[[#This Row],[WeekDay]]=1, calendar[[#This Row],[WeekDay]]=7),P1303,P1303+1)</f>
        <v>930</v>
      </c>
      <c r="R1304">
        <f>IF(OR(calendar[[#This Row],[SP_BH]]=1,calendar[[#This Row],[WeekDay]]=1, calendar[[#This Row],[WeekDay]]=7),P1303,P1303+1)</f>
        <v>930</v>
      </c>
      <c r="S1304">
        <f>IF(OR(calendar[[#This Row],[PT_BH]]=1,calendar[[#This Row],[WeekDay]]=1, calendar[[#This Row],[WeekDay]]=7),P1303,P1303+1)</f>
        <v>930</v>
      </c>
    </row>
    <row r="1305" spans="1:19" x14ac:dyDescent="0.25">
      <c r="A1305" s="2">
        <v>44039</v>
      </c>
      <c r="B1305" s="1">
        <f t="shared" si="103"/>
        <v>31</v>
      </c>
      <c r="C1305">
        <f t="shared" si="105"/>
        <v>7</v>
      </c>
      <c r="D1305" t="str">
        <f t="shared" si="106"/>
        <v>July</v>
      </c>
      <c r="E1305">
        <f t="shared" si="107"/>
        <v>2020</v>
      </c>
      <c r="F1305" t="str">
        <f>CONCATENATE(calendar[[#This Row],[Month]],"/",calendar[[#This Row],[Year]])</f>
        <v>7/2020</v>
      </c>
      <c r="G1305">
        <f>WEEKDAY(calendar[[#This Row],[Date]],1)</f>
        <v>2</v>
      </c>
      <c r="H1305" t="str">
        <f>TEXT(calendar[[#This Row],[WeekDay]],"dddd")</f>
        <v>Monday</v>
      </c>
      <c r="I1305">
        <f>IF((INT(calendar[[#This Row],[Count]]/7)-calendar[[#This Row],[Count]]/7)&lt;0,I1304,I1304+1)</f>
        <v>187</v>
      </c>
      <c r="J1305">
        <f t="shared" si="104"/>
        <v>1303</v>
      </c>
      <c r="K1305">
        <f>IF(calendar[[#This Row],[Month]]&lt;4,1,IF(calendar[[#This Row],[Month]]&lt;7,2,IF(calendar[[#This Row],[Month]]&lt;10,3,4)))</f>
        <v>3</v>
      </c>
      <c r="L1305">
        <f>IFERROR(IF(VLOOKUP(calendar[[#This Row],[Date]],BH!A:A,1,)&lt;&gt;"",1,0),0)</f>
        <v>0</v>
      </c>
      <c r="M1305">
        <f>IFERROR(IF(VLOOKUP(calendar[[#This Row],[Date]],BH!C:C,1,)&lt;&gt;"",1,0),0)</f>
        <v>0</v>
      </c>
      <c r="N1305">
        <f>IFERROR(IF(VLOOKUP(calendar[[#This Row],[Date]],BH!E:E,1,)&lt;&gt;"",1,0),0)</f>
        <v>0</v>
      </c>
      <c r="O1305">
        <f>IFERROR(IF(VLOOKUP(calendar[[#This Row],[Date]],BH!G:G,1,)&lt;&gt;"",1,0),0)</f>
        <v>0</v>
      </c>
      <c r="P1305">
        <f>IF(OR(calendar[[#This Row],[UK_BH]]=1,calendar[[#This Row],[WeekDay]]=1, calendar[[#This Row],[WeekDay]]=7),P1304,P1304+1)</f>
        <v>931</v>
      </c>
      <c r="Q1305">
        <f>IF(OR(calendar[[#This Row],[FR_BH]]=1,calendar[[#This Row],[WeekDay]]=1, calendar[[#This Row],[WeekDay]]=7),P1304,P1304+1)</f>
        <v>931</v>
      </c>
      <c r="R1305">
        <f>IF(OR(calendar[[#This Row],[SP_BH]]=1,calendar[[#This Row],[WeekDay]]=1, calendar[[#This Row],[WeekDay]]=7),P1304,P1304+1)</f>
        <v>931</v>
      </c>
      <c r="S1305">
        <f>IF(OR(calendar[[#This Row],[PT_BH]]=1,calendar[[#This Row],[WeekDay]]=1, calendar[[#This Row],[WeekDay]]=7),P1304,P1304+1)</f>
        <v>931</v>
      </c>
    </row>
    <row r="1306" spans="1:19" x14ac:dyDescent="0.25">
      <c r="A1306" s="2">
        <v>44040</v>
      </c>
      <c r="B1306" s="1">
        <f t="shared" si="103"/>
        <v>31</v>
      </c>
      <c r="C1306">
        <f t="shared" si="105"/>
        <v>7</v>
      </c>
      <c r="D1306" t="str">
        <f t="shared" si="106"/>
        <v>July</v>
      </c>
      <c r="E1306">
        <f t="shared" si="107"/>
        <v>2020</v>
      </c>
      <c r="F1306" t="str">
        <f>CONCATENATE(calendar[[#This Row],[Month]],"/",calendar[[#This Row],[Year]])</f>
        <v>7/2020</v>
      </c>
      <c r="G1306">
        <f>WEEKDAY(calendar[[#This Row],[Date]],1)</f>
        <v>3</v>
      </c>
      <c r="H1306" t="str">
        <f>TEXT(calendar[[#This Row],[WeekDay]],"dddd")</f>
        <v>Tuesday</v>
      </c>
      <c r="I1306">
        <f>IF((INT(calendar[[#This Row],[Count]]/7)-calendar[[#This Row],[Count]]/7)&lt;0,I1305,I1305+1)</f>
        <v>187</v>
      </c>
      <c r="J1306">
        <f t="shared" si="104"/>
        <v>1304</v>
      </c>
      <c r="K1306">
        <f>IF(calendar[[#This Row],[Month]]&lt;4,1,IF(calendar[[#This Row],[Month]]&lt;7,2,IF(calendar[[#This Row],[Month]]&lt;10,3,4)))</f>
        <v>3</v>
      </c>
      <c r="L1306">
        <f>IFERROR(IF(VLOOKUP(calendar[[#This Row],[Date]],BH!A:A,1,)&lt;&gt;"",1,0),0)</f>
        <v>0</v>
      </c>
      <c r="M1306">
        <f>IFERROR(IF(VLOOKUP(calendar[[#This Row],[Date]],BH!C:C,1,)&lt;&gt;"",1,0),0)</f>
        <v>0</v>
      </c>
      <c r="N1306">
        <f>IFERROR(IF(VLOOKUP(calendar[[#This Row],[Date]],BH!E:E,1,)&lt;&gt;"",1,0),0)</f>
        <v>0</v>
      </c>
      <c r="O1306">
        <f>IFERROR(IF(VLOOKUP(calendar[[#This Row],[Date]],BH!G:G,1,)&lt;&gt;"",1,0),0)</f>
        <v>0</v>
      </c>
      <c r="P1306">
        <f>IF(OR(calendar[[#This Row],[UK_BH]]=1,calendar[[#This Row],[WeekDay]]=1, calendar[[#This Row],[WeekDay]]=7),P1305,P1305+1)</f>
        <v>932</v>
      </c>
      <c r="Q1306">
        <f>IF(OR(calendar[[#This Row],[FR_BH]]=1,calendar[[#This Row],[WeekDay]]=1, calendar[[#This Row],[WeekDay]]=7),P1305,P1305+1)</f>
        <v>932</v>
      </c>
      <c r="R1306">
        <f>IF(OR(calendar[[#This Row],[SP_BH]]=1,calendar[[#This Row],[WeekDay]]=1, calendar[[#This Row],[WeekDay]]=7),P1305,P1305+1)</f>
        <v>932</v>
      </c>
      <c r="S1306">
        <f>IF(OR(calendar[[#This Row],[PT_BH]]=1,calendar[[#This Row],[WeekDay]]=1, calendar[[#This Row],[WeekDay]]=7),P1305,P1305+1)</f>
        <v>932</v>
      </c>
    </row>
    <row r="1307" spans="1:19" x14ac:dyDescent="0.25">
      <c r="A1307" s="2">
        <v>44041</v>
      </c>
      <c r="B1307" s="1">
        <f t="shared" si="103"/>
        <v>31</v>
      </c>
      <c r="C1307">
        <f t="shared" si="105"/>
        <v>7</v>
      </c>
      <c r="D1307" t="str">
        <f t="shared" si="106"/>
        <v>July</v>
      </c>
      <c r="E1307">
        <f t="shared" si="107"/>
        <v>2020</v>
      </c>
      <c r="F1307" t="str">
        <f>CONCATENATE(calendar[[#This Row],[Month]],"/",calendar[[#This Row],[Year]])</f>
        <v>7/2020</v>
      </c>
      <c r="G1307">
        <f>WEEKDAY(calendar[[#This Row],[Date]],1)</f>
        <v>4</v>
      </c>
      <c r="H1307" t="str">
        <f>TEXT(calendar[[#This Row],[WeekDay]],"dddd")</f>
        <v>Wednesday</v>
      </c>
      <c r="I1307">
        <f>IF((INT(calendar[[#This Row],[Count]]/7)-calendar[[#This Row],[Count]]/7)&lt;0,I1306,I1306+1)</f>
        <v>187</v>
      </c>
      <c r="J1307">
        <f t="shared" si="104"/>
        <v>1305</v>
      </c>
      <c r="K1307">
        <f>IF(calendar[[#This Row],[Month]]&lt;4,1,IF(calendar[[#This Row],[Month]]&lt;7,2,IF(calendar[[#This Row],[Month]]&lt;10,3,4)))</f>
        <v>3</v>
      </c>
      <c r="L1307">
        <f>IFERROR(IF(VLOOKUP(calendar[[#This Row],[Date]],BH!A:A,1,)&lt;&gt;"",1,0),0)</f>
        <v>0</v>
      </c>
      <c r="M1307">
        <f>IFERROR(IF(VLOOKUP(calendar[[#This Row],[Date]],BH!C:C,1,)&lt;&gt;"",1,0),0)</f>
        <v>0</v>
      </c>
      <c r="N1307">
        <f>IFERROR(IF(VLOOKUP(calendar[[#This Row],[Date]],BH!E:E,1,)&lt;&gt;"",1,0),0)</f>
        <v>0</v>
      </c>
      <c r="O1307">
        <f>IFERROR(IF(VLOOKUP(calendar[[#This Row],[Date]],BH!G:G,1,)&lt;&gt;"",1,0),0)</f>
        <v>0</v>
      </c>
      <c r="P1307">
        <f>IF(OR(calendar[[#This Row],[UK_BH]]=1,calendar[[#This Row],[WeekDay]]=1, calendar[[#This Row],[WeekDay]]=7),P1306,P1306+1)</f>
        <v>933</v>
      </c>
      <c r="Q1307">
        <f>IF(OR(calendar[[#This Row],[FR_BH]]=1,calendar[[#This Row],[WeekDay]]=1, calendar[[#This Row],[WeekDay]]=7),P1306,P1306+1)</f>
        <v>933</v>
      </c>
      <c r="R1307">
        <f>IF(OR(calendar[[#This Row],[SP_BH]]=1,calendar[[#This Row],[WeekDay]]=1, calendar[[#This Row],[WeekDay]]=7),P1306,P1306+1)</f>
        <v>933</v>
      </c>
      <c r="S1307">
        <f>IF(OR(calendar[[#This Row],[PT_BH]]=1,calendar[[#This Row],[WeekDay]]=1, calendar[[#This Row],[WeekDay]]=7),P1306,P1306+1)</f>
        <v>933</v>
      </c>
    </row>
    <row r="1308" spans="1:19" x14ac:dyDescent="0.25">
      <c r="A1308" s="2">
        <v>44042</v>
      </c>
      <c r="B1308" s="1">
        <f t="shared" si="103"/>
        <v>31</v>
      </c>
      <c r="C1308">
        <f t="shared" si="105"/>
        <v>7</v>
      </c>
      <c r="D1308" t="str">
        <f t="shared" si="106"/>
        <v>July</v>
      </c>
      <c r="E1308">
        <f t="shared" si="107"/>
        <v>2020</v>
      </c>
      <c r="F1308" t="str">
        <f>CONCATENATE(calendar[[#This Row],[Month]],"/",calendar[[#This Row],[Year]])</f>
        <v>7/2020</v>
      </c>
      <c r="G1308">
        <f>WEEKDAY(calendar[[#This Row],[Date]],1)</f>
        <v>5</v>
      </c>
      <c r="H1308" t="str">
        <f>TEXT(calendar[[#This Row],[WeekDay]],"dddd")</f>
        <v>Thursday</v>
      </c>
      <c r="I1308">
        <f>IF((INT(calendar[[#This Row],[Count]]/7)-calendar[[#This Row],[Count]]/7)&lt;0,I1307,I1307+1)</f>
        <v>187</v>
      </c>
      <c r="J1308">
        <f t="shared" si="104"/>
        <v>1306</v>
      </c>
      <c r="K1308">
        <f>IF(calendar[[#This Row],[Month]]&lt;4,1,IF(calendar[[#This Row],[Month]]&lt;7,2,IF(calendar[[#This Row],[Month]]&lt;10,3,4)))</f>
        <v>3</v>
      </c>
      <c r="L1308">
        <f>IFERROR(IF(VLOOKUP(calendar[[#This Row],[Date]],BH!A:A,1,)&lt;&gt;"",1,0),0)</f>
        <v>0</v>
      </c>
      <c r="M1308">
        <f>IFERROR(IF(VLOOKUP(calendar[[#This Row],[Date]],BH!C:C,1,)&lt;&gt;"",1,0),0)</f>
        <v>0</v>
      </c>
      <c r="N1308">
        <f>IFERROR(IF(VLOOKUP(calendar[[#This Row],[Date]],BH!E:E,1,)&lt;&gt;"",1,0),0)</f>
        <v>0</v>
      </c>
      <c r="O1308">
        <f>IFERROR(IF(VLOOKUP(calendar[[#This Row],[Date]],BH!G:G,1,)&lt;&gt;"",1,0),0)</f>
        <v>0</v>
      </c>
      <c r="P1308">
        <f>IF(OR(calendar[[#This Row],[UK_BH]]=1,calendar[[#This Row],[WeekDay]]=1, calendar[[#This Row],[WeekDay]]=7),P1307,P1307+1)</f>
        <v>934</v>
      </c>
      <c r="Q1308">
        <f>IF(OR(calendar[[#This Row],[FR_BH]]=1,calendar[[#This Row],[WeekDay]]=1, calendar[[#This Row],[WeekDay]]=7),P1307,P1307+1)</f>
        <v>934</v>
      </c>
      <c r="R1308">
        <f>IF(OR(calendar[[#This Row],[SP_BH]]=1,calendar[[#This Row],[WeekDay]]=1, calendar[[#This Row],[WeekDay]]=7),P1307,P1307+1)</f>
        <v>934</v>
      </c>
      <c r="S1308">
        <f>IF(OR(calendar[[#This Row],[PT_BH]]=1,calendar[[#This Row],[WeekDay]]=1, calendar[[#This Row],[WeekDay]]=7),P1307,P1307+1)</f>
        <v>934</v>
      </c>
    </row>
    <row r="1309" spans="1:19" x14ac:dyDescent="0.25">
      <c r="A1309" s="2">
        <v>44043</v>
      </c>
      <c r="B1309" s="1">
        <f t="shared" si="103"/>
        <v>31</v>
      </c>
      <c r="C1309">
        <f t="shared" si="105"/>
        <v>7</v>
      </c>
      <c r="D1309" t="str">
        <f t="shared" si="106"/>
        <v>July</v>
      </c>
      <c r="E1309">
        <f t="shared" si="107"/>
        <v>2020</v>
      </c>
      <c r="F1309" t="str">
        <f>CONCATENATE(calendar[[#This Row],[Month]],"/",calendar[[#This Row],[Year]])</f>
        <v>7/2020</v>
      </c>
      <c r="G1309">
        <f>WEEKDAY(calendar[[#This Row],[Date]],1)</f>
        <v>6</v>
      </c>
      <c r="H1309" t="str">
        <f>TEXT(calendar[[#This Row],[WeekDay]],"dddd")</f>
        <v>Friday</v>
      </c>
      <c r="I1309">
        <f>IF((INT(calendar[[#This Row],[Count]]/7)-calendar[[#This Row],[Count]]/7)&lt;0,I1308,I1308+1)</f>
        <v>187</v>
      </c>
      <c r="J1309">
        <f t="shared" si="104"/>
        <v>1307</v>
      </c>
      <c r="K1309">
        <f>IF(calendar[[#This Row],[Month]]&lt;4,1,IF(calendar[[#This Row],[Month]]&lt;7,2,IF(calendar[[#This Row],[Month]]&lt;10,3,4)))</f>
        <v>3</v>
      </c>
      <c r="L1309">
        <f>IFERROR(IF(VLOOKUP(calendar[[#This Row],[Date]],BH!A:A,1,)&lt;&gt;"",1,0),0)</f>
        <v>0</v>
      </c>
      <c r="M1309">
        <f>IFERROR(IF(VLOOKUP(calendar[[#This Row],[Date]],BH!C:C,1,)&lt;&gt;"",1,0),0)</f>
        <v>0</v>
      </c>
      <c r="N1309">
        <f>IFERROR(IF(VLOOKUP(calendar[[#This Row],[Date]],BH!E:E,1,)&lt;&gt;"",1,0),0)</f>
        <v>0</v>
      </c>
      <c r="O1309">
        <f>IFERROR(IF(VLOOKUP(calendar[[#This Row],[Date]],BH!G:G,1,)&lt;&gt;"",1,0),0)</f>
        <v>0</v>
      </c>
      <c r="P1309">
        <f>IF(OR(calendar[[#This Row],[UK_BH]]=1,calendar[[#This Row],[WeekDay]]=1, calendar[[#This Row],[WeekDay]]=7),P1308,P1308+1)</f>
        <v>935</v>
      </c>
      <c r="Q1309">
        <f>IF(OR(calendar[[#This Row],[FR_BH]]=1,calendar[[#This Row],[WeekDay]]=1, calendar[[#This Row],[WeekDay]]=7),P1308,P1308+1)</f>
        <v>935</v>
      </c>
      <c r="R1309">
        <f>IF(OR(calendar[[#This Row],[SP_BH]]=1,calendar[[#This Row],[WeekDay]]=1, calendar[[#This Row],[WeekDay]]=7),P1308,P1308+1)</f>
        <v>935</v>
      </c>
      <c r="S1309">
        <f>IF(OR(calendar[[#This Row],[PT_BH]]=1,calendar[[#This Row],[WeekDay]]=1, calendar[[#This Row],[WeekDay]]=7),P1308,P1308+1)</f>
        <v>935</v>
      </c>
    </row>
    <row r="1310" spans="1:19" x14ac:dyDescent="0.25">
      <c r="A1310" s="2">
        <v>44044</v>
      </c>
      <c r="B1310" s="1">
        <f t="shared" si="103"/>
        <v>31</v>
      </c>
      <c r="C1310">
        <f t="shared" si="105"/>
        <v>8</v>
      </c>
      <c r="D1310" t="str">
        <f t="shared" si="106"/>
        <v>August</v>
      </c>
      <c r="E1310">
        <f t="shared" si="107"/>
        <v>2020</v>
      </c>
      <c r="F1310" t="str">
        <f>CONCATENATE(calendar[[#This Row],[Month]],"/",calendar[[#This Row],[Year]])</f>
        <v>8/2020</v>
      </c>
      <c r="G1310">
        <f>WEEKDAY(calendar[[#This Row],[Date]],1)</f>
        <v>7</v>
      </c>
      <c r="H1310" t="str">
        <f>TEXT(calendar[[#This Row],[WeekDay]],"dddd")</f>
        <v>Saturday</v>
      </c>
      <c r="I1310">
        <f>IF((INT(calendar[[#This Row],[Count]]/7)-calendar[[#This Row],[Count]]/7)&lt;0,I1309,I1309+1)</f>
        <v>187</v>
      </c>
      <c r="J1310">
        <f t="shared" si="104"/>
        <v>1308</v>
      </c>
      <c r="K1310">
        <f>IF(calendar[[#This Row],[Month]]&lt;4,1,IF(calendar[[#This Row],[Month]]&lt;7,2,IF(calendar[[#This Row],[Month]]&lt;10,3,4)))</f>
        <v>3</v>
      </c>
      <c r="L1310">
        <f>IFERROR(IF(VLOOKUP(calendar[[#This Row],[Date]],BH!A:A,1,)&lt;&gt;"",1,0),0)</f>
        <v>0</v>
      </c>
      <c r="M1310">
        <f>IFERROR(IF(VLOOKUP(calendar[[#This Row],[Date]],BH!C:C,1,)&lt;&gt;"",1,0),0)</f>
        <v>0</v>
      </c>
      <c r="N1310">
        <f>IFERROR(IF(VLOOKUP(calendar[[#This Row],[Date]],BH!E:E,1,)&lt;&gt;"",1,0),0)</f>
        <v>0</v>
      </c>
      <c r="O1310">
        <f>IFERROR(IF(VLOOKUP(calendar[[#This Row],[Date]],BH!G:G,1,)&lt;&gt;"",1,0),0)</f>
        <v>0</v>
      </c>
      <c r="P1310">
        <f>IF(OR(calendar[[#This Row],[UK_BH]]=1,calendar[[#This Row],[WeekDay]]=1, calendar[[#This Row],[WeekDay]]=7),P1309,P1309+1)</f>
        <v>935</v>
      </c>
      <c r="Q1310">
        <f>IF(OR(calendar[[#This Row],[FR_BH]]=1,calendar[[#This Row],[WeekDay]]=1, calendar[[#This Row],[WeekDay]]=7),P1309,P1309+1)</f>
        <v>935</v>
      </c>
      <c r="R1310">
        <f>IF(OR(calendar[[#This Row],[SP_BH]]=1,calendar[[#This Row],[WeekDay]]=1, calendar[[#This Row],[WeekDay]]=7),P1309,P1309+1)</f>
        <v>935</v>
      </c>
      <c r="S1310">
        <f>IF(OR(calendar[[#This Row],[PT_BH]]=1,calendar[[#This Row],[WeekDay]]=1, calendar[[#This Row],[WeekDay]]=7),P1309,P1309+1)</f>
        <v>935</v>
      </c>
    </row>
    <row r="1311" spans="1:19" x14ac:dyDescent="0.25">
      <c r="A1311" s="2">
        <v>44045</v>
      </c>
      <c r="B1311" s="1">
        <f t="shared" si="103"/>
        <v>32</v>
      </c>
      <c r="C1311">
        <f t="shared" si="105"/>
        <v>8</v>
      </c>
      <c r="D1311" t="str">
        <f t="shared" si="106"/>
        <v>August</v>
      </c>
      <c r="E1311">
        <f t="shared" si="107"/>
        <v>2020</v>
      </c>
      <c r="F1311" t="str">
        <f>CONCATENATE(calendar[[#This Row],[Month]],"/",calendar[[#This Row],[Year]])</f>
        <v>8/2020</v>
      </c>
      <c r="G1311">
        <f>WEEKDAY(calendar[[#This Row],[Date]],1)</f>
        <v>1</v>
      </c>
      <c r="H1311" t="str">
        <f>TEXT(calendar[[#This Row],[WeekDay]],"dddd")</f>
        <v>Sunday</v>
      </c>
      <c r="I1311">
        <f>IF((INT(calendar[[#This Row],[Count]]/7)-calendar[[#This Row],[Count]]/7)&lt;0,I1310,I1310+1)</f>
        <v>188</v>
      </c>
      <c r="J1311">
        <f t="shared" si="104"/>
        <v>1309</v>
      </c>
      <c r="K1311">
        <f>IF(calendar[[#This Row],[Month]]&lt;4,1,IF(calendar[[#This Row],[Month]]&lt;7,2,IF(calendar[[#This Row],[Month]]&lt;10,3,4)))</f>
        <v>3</v>
      </c>
      <c r="L1311">
        <f>IFERROR(IF(VLOOKUP(calendar[[#This Row],[Date]],BH!A:A,1,)&lt;&gt;"",1,0),0)</f>
        <v>0</v>
      </c>
      <c r="M1311">
        <f>IFERROR(IF(VLOOKUP(calendar[[#This Row],[Date]],BH!C:C,1,)&lt;&gt;"",1,0),0)</f>
        <v>0</v>
      </c>
      <c r="N1311">
        <f>IFERROR(IF(VLOOKUP(calendar[[#This Row],[Date]],BH!E:E,1,)&lt;&gt;"",1,0),0)</f>
        <v>0</v>
      </c>
      <c r="O1311">
        <f>IFERROR(IF(VLOOKUP(calendar[[#This Row],[Date]],BH!G:G,1,)&lt;&gt;"",1,0),0)</f>
        <v>0</v>
      </c>
      <c r="P1311">
        <f>IF(OR(calendar[[#This Row],[UK_BH]]=1,calendar[[#This Row],[WeekDay]]=1, calendar[[#This Row],[WeekDay]]=7),P1310,P1310+1)</f>
        <v>935</v>
      </c>
      <c r="Q1311">
        <f>IF(OR(calendar[[#This Row],[FR_BH]]=1,calendar[[#This Row],[WeekDay]]=1, calendar[[#This Row],[WeekDay]]=7),P1310,P1310+1)</f>
        <v>935</v>
      </c>
      <c r="R1311">
        <f>IF(OR(calendar[[#This Row],[SP_BH]]=1,calendar[[#This Row],[WeekDay]]=1, calendar[[#This Row],[WeekDay]]=7),P1310,P1310+1)</f>
        <v>935</v>
      </c>
      <c r="S1311">
        <f>IF(OR(calendar[[#This Row],[PT_BH]]=1,calendar[[#This Row],[WeekDay]]=1, calendar[[#This Row],[WeekDay]]=7),P1310,P1310+1)</f>
        <v>935</v>
      </c>
    </row>
    <row r="1312" spans="1:19" x14ac:dyDescent="0.25">
      <c r="A1312" s="2">
        <v>44046</v>
      </c>
      <c r="B1312" s="1">
        <f t="shared" si="103"/>
        <v>32</v>
      </c>
      <c r="C1312">
        <f t="shared" si="105"/>
        <v>8</v>
      </c>
      <c r="D1312" t="str">
        <f t="shared" si="106"/>
        <v>August</v>
      </c>
      <c r="E1312">
        <f t="shared" si="107"/>
        <v>2020</v>
      </c>
      <c r="F1312" t="str">
        <f>CONCATENATE(calendar[[#This Row],[Month]],"/",calendar[[#This Row],[Year]])</f>
        <v>8/2020</v>
      </c>
      <c r="G1312">
        <f>WEEKDAY(calendar[[#This Row],[Date]],1)</f>
        <v>2</v>
      </c>
      <c r="H1312" t="str">
        <f>TEXT(calendar[[#This Row],[WeekDay]],"dddd")</f>
        <v>Monday</v>
      </c>
      <c r="I1312">
        <f>IF((INT(calendar[[#This Row],[Count]]/7)-calendar[[#This Row],[Count]]/7)&lt;0,I1311,I1311+1)</f>
        <v>188</v>
      </c>
      <c r="J1312">
        <f t="shared" si="104"/>
        <v>1310</v>
      </c>
      <c r="K1312">
        <f>IF(calendar[[#This Row],[Month]]&lt;4,1,IF(calendar[[#This Row],[Month]]&lt;7,2,IF(calendar[[#This Row],[Month]]&lt;10,3,4)))</f>
        <v>3</v>
      </c>
      <c r="L1312">
        <f>IFERROR(IF(VLOOKUP(calendar[[#This Row],[Date]],BH!A:A,1,)&lt;&gt;"",1,0),0)</f>
        <v>0</v>
      </c>
      <c r="M1312">
        <f>IFERROR(IF(VLOOKUP(calendar[[#This Row],[Date]],BH!C:C,1,)&lt;&gt;"",1,0),0)</f>
        <v>0</v>
      </c>
      <c r="N1312">
        <f>IFERROR(IF(VLOOKUP(calendar[[#This Row],[Date]],BH!E:E,1,)&lt;&gt;"",1,0),0)</f>
        <v>0</v>
      </c>
      <c r="O1312">
        <f>IFERROR(IF(VLOOKUP(calendar[[#This Row],[Date]],BH!G:G,1,)&lt;&gt;"",1,0),0)</f>
        <v>0</v>
      </c>
      <c r="P1312">
        <f>IF(OR(calendar[[#This Row],[UK_BH]]=1,calendar[[#This Row],[WeekDay]]=1, calendar[[#This Row],[WeekDay]]=7),P1311,P1311+1)</f>
        <v>936</v>
      </c>
      <c r="Q1312">
        <f>IF(OR(calendar[[#This Row],[FR_BH]]=1,calendar[[#This Row],[WeekDay]]=1, calendar[[#This Row],[WeekDay]]=7),P1311,P1311+1)</f>
        <v>936</v>
      </c>
      <c r="R1312">
        <f>IF(OR(calendar[[#This Row],[SP_BH]]=1,calendar[[#This Row],[WeekDay]]=1, calendar[[#This Row],[WeekDay]]=7),P1311,P1311+1)</f>
        <v>936</v>
      </c>
      <c r="S1312">
        <f>IF(OR(calendar[[#This Row],[PT_BH]]=1,calendar[[#This Row],[WeekDay]]=1, calendar[[#This Row],[WeekDay]]=7),P1311,P1311+1)</f>
        <v>936</v>
      </c>
    </row>
    <row r="1313" spans="1:19" x14ac:dyDescent="0.25">
      <c r="A1313" s="2">
        <v>44047</v>
      </c>
      <c r="B1313" s="1">
        <f t="shared" si="103"/>
        <v>32</v>
      </c>
      <c r="C1313">
        <f t="shared" si="105"/>
        <v>8</v>
      </c>
      <c r="D1313" t="str">
        <f t="shared" si="106"/>
        <v>August</v>
      </c>
      <c r="E1313">
        <f t="shared" si="107"/>
        <v>2020</v>
      </c>
      <c r="F1313" t="str">
        <f>CONCATENATE(calendar[[#This Row],[Month]],"/",calendar[[#This Row],[Year]])</f>
        <v>8/2020</v>
      </c>
      <c r="G1313">
        <f>WEEKDAY(calendar[[#This Row],[Date]],1)</f>
        <v>3</v>
      </c>
      <c r="H1313" t="str">
        <f>TEXT(calendar[[#This Row],[WeekDay]],"dddd")</f>
        <v>Tuesday</v>
      </c>
      <c r="I1313">
        <f>IF((INT(calendar[[#This Row],[Count]]/7)-calendar[[#This Row],[Count]]/7)&lt;0,I1312,I1312+1)</f>
        <v>188</v>
      </c>
      <c r="J1313">
        <f t="shared" si="104"/>
        <v>1311</v>
      </c>
      <c r="K1313">
        <f>IF(calendar[[#This Row],[Month]]&lt;4,1,IF(calendar[[#This Row],[Month]]&lt;7,2,IF(calendar[[#This Row],[Month]]&lt;10,3,4)))</f>
        <v>3</v>
      </c>
      <c r="L1313">
        <f>IFERROR(IF(VLOOKUP(calendar[[#This Row],[Date]],BH!A:A,1,)&lt;&gt;"",1,0),0)</f>
        <v>0</v>
      </c>
      <c r="M1313">
        <f>IFERROR(IF(VLOOKUP(calendar[[#This Row],[Date]],BH!C:C,1,)&lt;&gt;"",1,0),0)</f>
        <v>0</v>
      </c>
      <c r="N1313">
        <f>IFERROR(IF(VLOOKUP(calendar[[#This Row],[Date]],BH!E:E,1,)&lt;&gt;"",1,0),0)</f>
        <v>0</v>
      </c>
      <c r="O1313">
        <f>IFERROR(IF(VLOOKUP(calendar[[#This Row],[Date]],BH!G:G,1,)&lt;&gt;"",1,0),0)</f>
        <v>0</v>
      </c>
      <c r="P1313">
        <f>IF(OR(calendar[[#This Row],[UK_BH]]=1,calendar[[#This Row],[WeekDay]]=1, calendar[[#This Row],[WeekDay]]=7),P1312,P1312+1)</f>
        <v>937</v>
      </c>
      <c r="Q1313">
        <f>IF(OR(calendar[[#This Row],[FR_BH]]=1,calendar[[#This Row],[WeekDay]]=1, calendar[[#This Row],[WeekDay]]=7),P1312,P1312+1)</f>
        <v>937</v>
      </c>
      <c r="R1313">
        <f>IF(OR(calendar[[#This Row],[SP_BH]]=1,calendar[[#This Row],[WeekDay]]=1, calendar[[#This Row],[WeekDay]]=7),P1312,P1312+1)</f>
        <v>937</v>
      </c>
      <c r="S1313">
        <f>IF(OR(calendar[[#This Row],[PT_BH]]=1,calendar[[#This Row],[WeekDay]]=1, calendar[[#This Row],[WeekDay]]=7),P1312,P1312+1)</f>
        <v>937</v>
      </c>
    </row>
    <row r="1314" spans="1:19" x14ac:dyDescent="0.25">
      <c r="A1314" s="2">
        <v>44048</v>
      </c>
      <c r="B1314" s="1">
        <f t="shared" si="103"/>
        <v>32</v>
      </c>
      <c r="C1314">
        <f t="shared" si="105"/>
        <v>8</v>
      </c>
      <c r="D1314" t="str">
        <f t="shared" si="106"/>
        <v>August</v>
      </c>
      <c r="E1314">
        <f t="shared" si="107"/>
        <v>2020</v>
      </c>
      <c r="F1314" t="str">
        <f>CONCATENATE(calendar[[#This Row],[Month]],"/",calendar[[#This Row],[Year]])</f>
        <v>8/2020</v>
      </c>
      <c r="G1314">
        <f>WEEKDAY(calendar[[#This Row],[Date]],1)</f>
        <v>4</v>
      </c>
      <c r="H1314" t="str">
        <f>TEXT(calendar[[#This Row],[WeekDay]],"dddd")</f>
        <v>Wednesday</v>
      </c>
      <c r="I1314">
        <f>IF((INT(calendar[[#This Row],[Count]]/7)-calendar[[#This Row],[Count]]/7)&lt;0,I1313,I1313+1)</f>
        <v>188</v>
      </c>
      <c r="J1314">
        <f t="shared" si="104"/>
        <v>1312</v>
      </c>
      <c r="K1314">
        <f>IF(calendar[[#This Row],[Month]]&lt;4,1,IF(calendar[[#This Row],[Month]]&lt;7,2,IF(calendar[[#This Row],[Month]]&lt;10,3,4)))</f>
        <v>3</v>
      </c>
      <c r="L1314">
        <f>IFERROR(IF(VLOOKUP(calendar[[#This Row],[Date]],BH!A:A,1,)&lt;&gt;"",1,0),0)</f>
        <v>0</v>
      </c>
      <c r="M1314">
        <f>IFERROR(IF(VLOOKUP(calendar[[#This Row],[Date]],BH!C:C,1,)&lt;&gt;"",1,0),0)</f>
        <v>0</v>
      </c>
      <c r="N1314">
        <f>IFERROR(IF(VLOOKUP(calendar[[#This Row],[Date]],BH!E:E,1,)&lt;&gt;"",1,0),0)</f>
        <v>0</v>
      </c>
      <c r="O1314">
        <f>IFERROR(IF(VLOOKUP(calendar[[#This Row],[Date]],BH!G:G,1,)&lt;&gt;"",1,0),0)</f>
        <v>0</v>
      </c>
      <c r="P1314">
        <f>IF(OR(calendar[[#This Row],[UK_BH]]=1,calendar[[#This Row],[WeekDay]]=1, calendar[[#This Row],[WeekDay]]=7),P1313,P1313+1)</f>
        <v>938</v>
      </c>
      <c r="Q1314">
        <f>IF(OR(calendar[[#This Row],[FR_BH]]=1,calendar[[#This Row],[WeekDay]]=1, calendar[[#This Row],[WeekDay]]=7),P1313,P1313+1)</f>
        <v>938</v>
      </c>
      <c r="R1314">
        <f>IF(OR(calendar[[#This Row],[SP_BH]]=1,calendar[[#This Row],[WeekDay]]=1, calendar[[#This Row],[WeekDay]]=7),P1313,P1313+1)</f>
        <v>938</v>
      </c>
      <c r="S1314">
        <f>IF(OR(calendar[[#This Row],[PT_BH]]=1,calendar[[#This Row],[WeekDay]]=1, calendar[[#This Row],[WeekDay]]=7),P1313,P1313+1)</f>
        <v>938</v>
      </c>
    </row>
    <row r="1315" spans="1:19" x14ac:dyDescent="0.25">
      <c r="A1315" s="2">
        <v>44049</v>
      </c>
      <c r="B1315" s="1">
        <f t="shared" si="103"/>
        <v>32</v>
      </c>
      <c r="C1315">
        <f t="shared" si="105"/>
        <v>8</v>
      </c>
      <c r="D1315" t="str">
        <f t="shared" si="106"/>
        <v>August</v>
      </c>
      <c r="E1315">
        <f t="shared" si="107"/>
        <v>2020</v>
      </c>
      <c r="F1315" t="str">
        <f>CONCATENATE(calendar[[#This Row],[Month]],"/",calendar[[#This Row],[Year]])</f>
        <v>8/2020</v>
      </c>
      <c r="G1315">
        <f>WEEKDAY(calendar[[#This Row],[Date]],1)</f>
        <v>5</v>
      </c>
      <c r="H1315" t="str">
        <f>TEXT(calendar[[#This Row],[WeekDay]],"dddd")</f>
        <v>Thursday</v>
      </c>
      <c r="I1315">
        <f>IF((INT(calendar[[#This Row],[Count]]/7)-calendar[[#This Row],[Count]]/7)&lt;0,I1314,I1314+1)</f>
        <v>188</v>
      </c>
      <c r="J1315">
        <f t="shared" si="104"/>
        <v>1313</v>
      </c>
      <c r="K1315">
        <f>IF(calendar[[#This Row],[Month]]&lt;4,1,IF(calendar[[#This Row],[Month]]&lt;7,2,IF(calendar[[#This Row],[Month]]&lt;10,3,4)))</f>
        <v>3</v>
      </c>
      <c r="L1315">
        <f>IFERROR(IF(VLOOKUP(calendar[[#This Row],[Date]],BH!A:A,1,)&lt;&gt;"",1,0),0)</f>
        <v>0</v>
      </c>
      <c r="M1315">
        <f>IFERROR(IF(VLOOKUP(calendar[[#This Row],[Date]],BH!C:C,1,)&lt;&gt;"",1,0),0)</f>
        <v>0</v>
      </c>
      <c r="N1315">
        <f>IFERROR(IF(VLOOKUP(calendar[[#This Row],[Date]],BH!E:E,1,)&lt;&gt;"",1,0),0)</f>
        <v>0</v>
      </c>
      <c r="O1315">
        <f>IFERROR(IF(VLOOKUP(calendar[[#This Row],[Date]],BH!G:G,1,)&lt;&gt;"",1,0),0)</f>
        <v>0</v>
      </c>
      <c r="P1315">
        <f>IF(OR(calendar[[#This Row],[UK_BH]]=1,calendar[[#This Row],[WeekDay]]=1, calendar[[#This Row],[WeekDay]]=7),P1314,P1314+1)</f>
        <v>939</v>
      </c>
      <c r="Q1315">
        <f>IF(OR(calendar[[#This Row],[FR_BH]]=1,calendar[[#This Row],[WeekDay]]=1, calendar[[#This Row],[WeekDay]]=7),P1314,P1314+1)</f>
        <v>939</v>
      </c>
      <c r="R1315">
        <f>IF(OR(calendar[[#This Row],[SP_BH]]=1,calendar[[#This Row],[WeekDay]]=1, calendar[[#This Row],[WeekDay]]=7),P1314,P1314+1)</f>
        <v>939</v>
      </c>
      <c r="S1315">
        <f>IF(OR(calendar[[#This Row],[PT_BH]]=1,calendar[[#This Row],[WeekDay]]=1, calendar[[#This Row],[WeekDay]]=7),P1314,P1314+1)</f>
        <v>939</v>
      </c>
    </row>
    <row r="1316" spans="1:19" x14ac:dyDescent="0.25">
      <c r="A1316" s="2">
        <v>44050</v>
      </c>
      <c r="B1316" s="1">
        <f t="shared" si="103"/>
        <v>32</v>
      </c>
      <c r="C1316">
        <f t="shared" si="105"/>
        <v>8</v>
      </c>
      <c r="D1316" t="str">
        <f t="shared" si="106"/>
        <v>August</v>
      </c>
      <c r="E1316">
        <f t="shared" si="107"/>
        <v>2020</v>
      </c>
      <c r="F1316" t="str">
        <f>CONCATENATE(calendar[[#This Row],[Month]],"/",calendar[[#This Row],[Year]])</f>
        <v>8/2020</v>
      </c>
      <c r="G1316">
        <f>WEEKDAY(calendar[[#This Row],[Date]],1)</f>
        <v>6</v>
      </c>
      <c r="H1316" t="str">
        <f>TEXT(calendar[[#This Row],[WeekDay]],"dddd")</f>
        <v>Friday</v>
      </c>
      <c r="I1316">
        <f>IF((INT(calendar[[#This Row],[Count]]/7)-calendar[[#This Row],[Count]]/7)&lt;0,I1315,I1315+1)</f>
        <v>188</v>
      </c>
      <c r="J1316">
        <f t="shared" si="104"/>
        <v>1314</v>
      </c>
      <c r="K1316">
        <f>IF(calendar[[#This Row],[Month]]&lt;4,1,IF(calendar[[#This Row],[Month]]&lt;7,2,IF(calendar[[#This Row],[Month]]&lt;10,3,4)))</f>
        <v>3</v>
      </c>
      <c r="L1316">
        <f>IFERROR(IF(VLOOKUP(calendar[[#This Row],[Date]],BH!A:A,1,)&lt;&gt;"",1,0),0)</f>
        <v>0</v>
      </c>
      <c r="M1316">
        <f>IFERROR(IF(VLOOKUP(calendar[[#This Row],[Date]],BH!C:C,1,)&lt;&gt;"",1,0),0)</f>
        <v>0</v>
      </c>
      <c r="N1316">
        <f>IFERROR(IF(VLOOKUP(calendar[[#This Row],[Date]],BH!E:E,1,)&lt;&gt;"",1,0),0)</f>
        <v>0</v>
      </c>
      <c r="O1316">
        <f>IFERROR(IF(VLOOKUP(calendar[[#This Row],[Date]],BH!G:G,1,)&lt;&gt;"",1,0),0)</f>
        <v>0</v>
      </c>
      <c r="P1316">
        <f>IF(OR(calendar[[#This Row],[UK_BH]]=1,calendar[[#This Row],[WeekDay]]=1, calendar[[#This Row],[WeekDay]]=7),P1315,P1315+1)</f>
        <v>940</v>
      </c>
      <c r="Q1316">
        <f>IF(OR(calendar[[#This Row],[FR_BH]]=1,calendar[[#This Row],[WeekDay]]=1, calendar[[#This Row],[WeekDay]]=7),P1315,P1315+1)</f>
        <v>940</v>
      </c>
      <c r="R1316">
        <f>IF(OR(calendar[[#This Row],[SP_BH]]=1,calendar[[#This Row],[WeekDay]]=1, calendar[[#This Row],[WeekDay]]=7),P1315,P1315+1)</f>
        <v>940</v>
      </c>
      <c r="S1316">
        <f>IF(OR(calendar[[#This Row],[PT_BH]]=1,calendar[[#This Row],[WeekDay]]=1, calendar[[#This Row],[WeekDay]]=7),P1315,P1315+1)</f>
        <v>940</v>
      </c>
    </row>
    <row r="1317" spans="1:19" x14ac:dyDescent="0.25">
      <c r="A1317" s="2">
        <v>44051</v>
      </c>
      <c r="B1317" s="1">
        <f t="shared" si="103"/>
        <v>32</v>
      </c>
      <c r="C1317">
        <f t="shared" si="105"/>
        <v>8</v>
      </c>
      <c r="D1317" t="str">
        <f t="shared" si="106"/>
        <v>August</v>
      </c>
      <c r="E1317">
        <f t="shared" si="107"/>
        <v>2020</v>
      </c>
      <c r="F1317" t="str">
        <f>CONCATENATE(calendar[[#This Row],[Month]],"/",calendar[[#This Row],[Year]])</f>
        <v>8/2020</v>
      </c>
      <c r="G1317">
        <f>WEEKDAY(calendar[[#This Row],[Date]],1)</f>
        <v>7</v>
      </c>
      <c r="H1317" t="str">
        <f>TEXT(calendar[[#This Row],[WeekDay]],"dddd")</f>
        <v>Saturday</v>
      </c>
      <c r="I1317">
        <f>IF((INT(calendar[[#This Row],[Count]]/7)-calendar[[#This Row],[Count]]/7)&lt;0,I1316,I1316+1)</f>
        <v>188</v>
      </c>
      <c r="J1317">
        <f t="shared" si="104"/>
        <v>1315</v>
      </c>
      <c r="K1317">
        <f>IF(calendar[[#This Row],[Month]]&lt;4,1,IF(calendar[[#This Row],[Month]]&lt;7,2,IF(calendar[[#This Row],[Month]]&lt;10,3,4)))</f>
        <v>3</v>
      </c>
      <c r="L1317">
        <f>IFERROR(IF(VLOOKUP(calendar[[#This Row],[Date]],BH!A:A,1,)&lt;&gt;"",1,0),0)</f>
        <v>0</v>
      </c>
      <c r="M1317">
        <f>IFERROR(IF(VLOOKUP(calendar[[#This Row],[Date]],BH!C:C,1,)&lt;&gt;"",1,0),0)</f>
        <v>0</v>
      </c>
      <c r="N1317">
        <f>IFERROR(IF(VLOOKUP(calendar[[#This Row],[Date]],BH!E:E,1,)&lt;&gt;"",1,0),0)</f>
        <v>0</v>
      </c>
      <c r="O1317">
        <f>IFERROR(IF(VLOOKUP(calendar[[#This Row],[Date]],BH!G:G,1,)&lt;&gt;"",1,0),0)</f>
        <v>0</v>
      </c>
      <c r="P1317">
        <f>IF(OR(calendar[[#This Row],[UK_BH]]=1,calendar[[#This Row],[WeekDay]]=1, calendar[[#This Row],[WeekDay]]=7),P1316,P1316+1)</f>
        <v>940</v>
      </c>
      <c r="Q1317">
        <f>IF(OR(calendar[[#This Row],[FR_BH]]=1,calendar[[#This Row],[WeekDay]]=1, calendar[[#This Row],[WeekDay]]=7),P1316,P1316+1)</f>
        <v>940</v>
      </c>
      <c r="R1317">
        <f>IF(OR(calendar[[#This Row],[SP_BH]]=1,calendar[[#This Row],[WeekDay]]=1, calendar[[#This Row],[WeekDay]]=7),P1316,P1316+1)</f>
        <v>940</v>
      </c>
      <c r="S1317">
        <f>IF(OR(calendar[[#This Row],[PT_BH]]=1,calendar[[#This Row],[WeekDay]]=1, calendar[[#This Row],[WeekDay]]=7),P1316,P1316+1)</f>
        <v>940</v>
      </c>
    </row>
    <row r="1318" spans="1:19" x14ac:dyDescent="0.25">
      <c r="A1318" s="2">
        <v>44052</v>
      </c>
      <c r="B1318" s="1">
        <f t="shared" si="103"/>
        <v>33</v>
      </c>
      <c r="C1318">
        <f t="shared" si="105"/>
        <v>8</v>
      </c>
      <c r="D1318" t="str">
        <f t="shared" si="106"/>
        <v>August</v>
      </c>
      <c r="E1318">
        <f t="shared" si="107"/>
        <v>2020</v>
      </c>
      <c r="F1318" t="str">
        <f>CONCATENATE(calendar[[#This Row],[Month]],"/",calendar[[#This Row],[Year]])</f>
        <v>8/2020</v>
      </c>
      <c r="G1318">
        <f>WEEKDAY(calendar[[#This Row],[Date]],1)</f>
        <v>1</v>
      </c>
      <c r="H1318" t="str">
        <f>TEXT(calendar[[#This Row],[WeekDay]],"dddd")</f>
        <v>Sunday</v>
      </c>
      <c r="I1318">
        <f>IF((INT(calendar[[#This Row],[Count]]/7)-calendar[[#This Row],[Count]]/7)&lt;0,I1317,I1317+1)</f>
        <v>189</v>
      </c>
      <c r="J1318">
        <f t="shared" si="104"/>
        <v>1316</v>
      </c>
      <c r="K1318">
        <f>IF(calendar[[#This Row],[Month]]&lt;4,1,IF(calendar[[#This Row],[Month]]&lt;7,2,IF(calendar[[#This Row],[Month]]&lt;10,3,4)))</f>
        <v>3</v>
      </c>
      <c r="L1318">
        <f>IFERROR(IF(VLOOKUP(calendar[[#This Row],[Date]],BH!A:A,1,)&lt;&gt;"",1,0),0)</f>
        <v>0</v>
      </c>
      <c r="M1318">
        <f>IFERROR(IF(VLOOKUP(calendar[[#This Row],[Date]],BH!C:C,1,)&lt;&gt;"",1,0),0)</f>
        <v>0</v>
      </c>
      <c r="N1318">
        <f>IFERROR(IF(VLOOKUP(calendar[[#This Row],[Date]],BH!E:E,1,)&lt;&gt;"",1,0),0)</f>
        <v>0</v>
      </c>
      <c r="O1318">
        <f>IFERROR(IF(VLOOKUP(calendar[[#This Row],[Date]],BH!G:G,1,)&lt;&gt;"",1,0),0)</f>
        <v>0</v>
      </c>
      <c r="P1318">
        <f>IF(OR(calendar[[#This Row],[UK_BH]]=1,calendar[[#This Row],[WeekDay]]=1, calendar[[#This Row],[WeekDay]]=7),P1317,P1317+1)</f>
        <v>940</v>
      </c>
      <c r="Q1318">
        <f>IF(OR(calendar[[#This Row],[FR_BH]]=1,calendar[[#This Row],[WeekDay]]=1, calendar[[#This Row],[WeekDay]]=7),P1317,P1317+1)</f>
        <v>940</v>
      </c>
      <c r="R1318">
        <f>IF(OR(calendar[[#This Row],[SP_BH]]=1,calendar[[#This Row],[WeekDay]]=1, calendar[[#This Row],[WeekDay]]=7),P1317,P1317+1)</f>
        <v>940</v>
      </c>
      <c r="S1318">
        <f>IF(OR(calendar[[#This Row],[PT_BH]]=1,calendar[[#This Row],[WeekDay]]=1, calendar[[#This Row],[WeekDay]]=7),P1317,P1317+1)</f>
        <v>940</v>
      </c>
    </row>
    <row r="1319" spans="1:19" x14ac:dyDescent="0.25">
      <c r="A1319" s="2">
        <v>44053</v>
      </c>
      <c r="B1319" s="1">
        <f t="shared" si="103"/>
        <v>33</v>
      </c>
      <c r="C1319">
        <f t="shared" si="105"/>
        <v>8</v>
      </c>
      <c r="D1319" t="str">
        <f t="shared" si="106"/>
        <v>August</v>
      </c>
      <c r="E1319">
        <f t="shared" si="107"/>
        <v>2020</v>
      </c>
      <c r="F1319" t="str">
        <f>CONCATENATE(calendar[[#This Row],[Month]],"/",calendar[[#This Row],[Year]])</f>
        <v>8/2020</v>
      </c>
      <c r="G1319">
        <f>WEEKDAY(calendar[[#This Row],[Date]],1)</f>
        <v>2</v>
      </c>
      <c r="H1319" t="str">
        <f>TEXT(calendar[[#This Row],[WeekDay]],"dddd")</f>
        <v>Monday</v>
      </c>
      <c r="I1319">
        <f>IF((INT(calendar[[#This Row],[Count]]/7)-calendar[[#This Row],[Count]]/7)&lt;0,I1318,I1318+1)</f>
        <v>189</v>
      </c>
      <c r="J1319">
        <f t="shared" si="104"/>
        <v>1317</v>
      </c>
      <c r="K1319">
        <f>IF(calendar[[#This Row],[Month]]&lt;4,1,IF(calendar[[#This Row],[Month]]&lt;7,2,IF(calendar[[#This Row],[Month]]&lt;10,3,4)))</f>
        <v>3</v>
      </c>
      <c r="L1319">
        <f>IFERROR(IF(VLOOKUP(calendar[[#This Row],[Date]],BH!A:A,1,)&lt;&gt;"",1,0),0)</f>
        <v>0</v>
      </c>
      <c r="M1319">
        <f>IFERROR(IF(VLOOKUP(calendar[[#This Row],[Date]],BH!C:C,1,)&lt;&gt;"",1,0),0)</f>
        <v>0</v>
      </c>
      <c r="N1319">
        <f>IFERROR(IF(VLOOKUP(calendar[[#This Row],[Date]],BH!E:E,1,)&lt;&gt;"",1,0),0)</f>
        <v>0</v>
      </c>
      <c r="O1319">
        <f>IFERROR(IF(VLOOKUP(calendar[[#This Row],[Date]],BH!G:G,1,)&lt;&gt;"",1,0),0)</f>
        <v>0</v>
      </c>
      <c r="P1319">
        <f>IF(OR(calendar[[#This Row],[UK_BH]]=1,calendar[[#This Row],[WeekDay]]=1, calendar[[#This Row],[WeekDay]]=7),P1318,P1318+1)</f>
        <v>941</v>
      </c>
      <c r="Q1319">
        <f>IF(OR(calendar[[#This Row],[FR_BH]]=1,calendar[[#This Row],[WeekDay]]=1, calendar[[#This Row],[WeekDay]]=7),P1318,P1318+1)</f>
        <v>941</v>
      </c>
      <c r="R1319">
        <f>IF(OR(calendar[[#This Row],[SP_BH]]=1,calendar[[#This Row],[WeekDay]]=1, calendar[[#This Row],[WeekDay]]=7),P1318,P1318+1)</f>
        <v>941</v>
      </c>
      <c r="S1319">
        <f>IF(OR(calendar[[#This Row],[PT_BH]]=1,calendar[[#This Row],[WeekDay]]=1, calendar[[#This Row],[WeekDay]]=7),P1318,P1318+1)</f>
        <v>941</v>
      </c>
    </row>
    <row r="1320" spans="1:19" x14ac:dyDescent="0.25">
      <c r="A1320" s="2">
        <v>44054</v>
      </c>
      <c r="B1320" s="1">
        <f t="shared" si="103"/>
        <v>33</v>
      </c>
      <c r="C1320">
        <f t="shared" si="105"/>
        <v>8</v>
      </c>
      <c r="D1320" t="str">
        <f t="shared" si="106"/>
        <v>August</v>
      </c>
      <c r="E1320">
        <f t="shared" si="107"/>
        <v>2020</v>
      </c>
      <c r="F1320" t="str">
        <f>CONCATENATE(calendar[[#This Row],[Month]],"/",calendar[[#This Row],[Year]])</f>
        <v>8/2020</v>
      </c>
      <c r="G1320">
        <f>WEEKDAY(calendar[[#This Row],[Date]],1)</f>
        <v>3</v>
      </c>
      <c r="H1320" t="str">
        <f>TEXT(calendar[[#This Row],[WeekDay]],"dddd")</f>
        <v>Tuesday</v>
      </c>
      <c r="I1320">
        <f>IF((INT(calendar[[#This Row],[Count]]/7)-calendar[[#This Row],[Count]]/7)&lt;0,I1319,I1319+1)</f>
        <v>189</v>
      </c>
      <c r="J1320">
        <f t="shared" si="104"/>
        <v>1318</v>
      </c>
      <c r="K1320">
        <f>IF(calendar[[#This Row],[Month]]&lt;4,1,IF(calendar[[#This Row],[Month]]&lt;7,2,IF(calendar[[#This Row],[Month]]&lt;10,3,4)))</f>
        <v>3</v>
      </c>
      <c r="L1320">
        <f>IFERROR(IF(VLOOKUP(calendar[[#This Row],[Date]],BH!A:A,1,)&lt;&gt;"",1,0),0)</f>
        <v>0</v>
      </c>
      <c r="M1320">
        <f>IFERROR(IF(VLOOKUP(calendar[[#This Row],[Date]],BH!C:C,1,)&lt;&gt;"",1,0),0)</f>
        <v>0</v>
      </c>
      <c r="N1320">
        <f>IFERROR(IF(VLOOKUP(calendar[[#This Row],[Date]],BH!E:E,1,)&lt;&gt;"",1,0),0)</f>
        <v>0</v>
      </c>
      <c r="O1320">
        <f>IFERROR(IF(VLOOKUP(calendar[[#This Row],[Date]],BH!G:G,1,)&lt;&gt;"",1,0),0)</f>
        <v>0</v>
      </c>
      <c r="P1320">
        <f>IF(OR(calendar[[#This Row],[UK_BH]]=1,calendar[[#This Row],[WeekDay]]=1, calendar[[#This Row],[WeekDay]]=7),P1319,P1319+1)</f>
        <v>942</v>
      </c>
      <c r="Q1320">
        <f>IF(OR(calendar[[#This Row],[FR_BH]]=1,calendar[[#This Row],[WeekDay]]=1, calendar[[#This Row],[WeekDay]]=7),P1319,P1319+1)</f>
        <v>942</v>
      </c>
      <c r="R1320">
        <f>IF(OR(calendar[[#This Row],[SP_BH]]=1,calendar[[#This Row],[WeekDay]]=1, calendar[[#This Row],[WeekDay]]=7),P1319,P1319+1)</f>
        <v>942</v>
      </c>
      <c r="S1320">
        <f>IF(OR(calendar[[#This Row],[PT_BH]]=1,calendar[[#This Row],[WeekDay]]=1, calendar[[#This Row],[WeekDay]]=7),P1319,P1319+1)</f>
        <v>942</v>
      </c>
    </row>
    <row r="1321" spans="1:19" x14ac:dyDescent="0.25">
      <c r="A1321" s="2">
        <v>44055</v>
      </c>
      <c r="B1321" s="1">
        <f t="shared" si="103"/>
        <v>33</v>
      </c>
      <c r="C1321">
        <f t="shared" si="105"/>
        <v>8</v>
      </c>
      <c r="D1321" t="str">
        <f t="shared" si="106"/>
        <v>August</v>
      </c>
      <c r="E1321">
        <f t="shared" si="107"/>
        <v>2020</v>
      </c>
      <c r="F1321" t="str">
        <f>CONCATENATE(calendar[[#This Row],[Month]],"/",calendar[[#This Row],[Year]])</f>
        <v>8/2020</v>
      </c>
      <c r="G1321">
        <f>WEEKDAY(calendar[[#This Row],[Date]],1)</f>
        <v>4</v>
      </c>
      <c r="H1321" t="str">
        <f>TEXT(calendar[[#This Row],[WeekDay]],"dddd")</f>
        <v>Wednesday</v>
      </c>
      <c r="I1321">
        <f>IF((INT(calendar[[#This Row],[Count]]/7)-calendar[[#This Row],[Count]]/7)&lt;0,I1320,I1320+1)</f>
        <v>189</v>
      </c>
      <c r="J1321">
        <f t="shared" si="104"/>
        <v>1319</v>
      </c>
      <c r="K1321">
        <f>IF(calendar[[#This Row],[Month]]&lt;4,1,IF(calendar[[#This Row],[Month]]&lt;7,2,IF(calendar[[#This Row],[Month]]&lt;10,3,4)))</f>
        <v>3</v>
      </c>
      <c r="L1321">
        <f>IFERROR(IF(VLOOKUP(calendar[[#This Row],[Date]],BH!A:A,1,)&lt;&gt;"",1,0),0)</f>
        <v>0</v>
      </c>
      <c r="M1321">
        <f>IFERROR(IF(VLOOKUP(calendar[[#This Row],[Date]],BH!C:C,1,)&lt;&gt;"",1,0),0)</f>
        <v>0</v>
      </c>
      <c r="N1321">
        <f>IFERROR(IF(VLOOKUP(calendar[[#This Row],[Date]],BH!E:E,1,)&lt;&gt;"",1,0),0)</f>
        <v>0</v>
      </c>
      <c r="O1321">
        <f>IFERROR(IF(VLOOKUP(calendar[[#This Row],[Date]],BH!G:G,1,)&lt;&gt;"",1,0),0)</f>
        <v>0</v>
      </c>
      <c r="P1321">
        <f>IF(OR(calendar[[#This Row],[UK_BH]]=1,calendar[[#This Row],[WeekDay]]=1, calendar[[#This Row],[WeekDay]]=7),P1320,P1320+1)</f>
        <v>943</v>
      </c>
      <c r="Q1321">
        <f>IF(OR(calendar[[#This Row],[FR_BH]]=1,calendar[[#This Row],[WeekDay]]=1, calendar[[#This Row],[WeekDay]]=7),P1320,P1320+1)</f>
        <v>943</v>
      </c>
      <c r="R1321">
        <f>IF(OR(calendar[[#This Row],[SP_BH]]=1,calendar[[#This Row],[WeekDay]]=1, calendar[[#This Row],[WeekDay]]=7),P1320,P1320+1)</f>
        <v>943</v>
      </c>
      <c r="S1321">
        <f>IF(OR(calendar[[#This Row],[PT_BH]]=1,calendar[[#This Row],[WeekDay]]=1, calendar[[#This Row],[WeekDay]]=7),P1320,P1320+1)</f>
        <v>943</v>
      </c>
    </row>
    <row r="1322" spans="1:19" x14ac:dyDescent="0.25">
      <c r="A1322" s="2">
        <v>44056</v>
      </c>
      <c r="B1322" s="1">
        <f t="shared" si="103"/>
        <v>33</v>
      </c>
      <c r="C1322">
        <f t="shared" si="105"/>
        <v>8</v>
      </c>
      <c r="D1322" t="str">
        <f t="shared" si="106"/>
        <v>August</v>
      </c>
      <c r="E1322">
        <f t="shared" si="107"/>
        <v>2020</v>
      </c>
      <c r="F1322" t="str">
        <f>CONCATENATE(calendar[[#This Row],[Month]],"/",calendar[[#This Row],[Year]])</f>
        <v>8/2020</v>
      </c>
      <c r="G1322">
        <f>WEEKDAY(calendar[[#This Row],[Date]],1)</f>
        <v>5</v>
      </c>
      <c r="H1322" t="str">
        <f>TEXT(calendar[[#This Row],[WeekDay]],"dddd")</f>
        <v>Thursday</v>
      </c>
      <c r="I1322">
        <f>IF((INT(calendar[[#This Row],[Count]]/7)-calendar[[#This Row],[Count]]/7)&lt;0,I1321,I1321+1)</f>
        <v>189</v>
      </c>
      <c r="J1322">
        <f t="shared" si="104"/>
        <v>1320</v>
      </c>
      <c r="K1322">
        <f>IF(calendar[[#This Row],[Month]]&lt;4,1,IF(calendar[[#This Row],[Month]]&lt;7,2,IF(calendar[[#This Row],[Month]]&lt;10,3,4)))</f>
        <v>3</v>
      </c>
      <c r="L1322">
        <f>IFERROR(IF(VLOOKUP(calendar[[#This Row],[Date]],BH!A:A,1,)&lt;&gt;"",1,0),0)</f>
        <v>0</v>
      </c>
      <c r="M1322">
        <f>IFERROR(IF(VLOOKUP(calendar[[#This Row],[Date]],BH!C:C,1,)&lt;&gt;"",1,0),0)</f>
        <v>0</v>
      </c>
      <c r="N1322">
        <f>IFERROR(IF(VLOOKUP(calendar[[#This Row],[Date]],BH!E:E,1,)&lt;&gt;"",1,0),0)</f>
        <v>0</v>
      </c>
      <c r="O1322">
        <f>IFERROR(IF(VLOOKUP(calendar[[#This Row],[Date]],BH!G:G,1,)&lt;&gt;"",1,0),0)</f>
        <v>0</v>
      </c>
      <c r="P1322">
        <f>IF(OR(calendar[[#This Row],[UK_BH]]=1,calendar[[#This Row],[WeekDay]]=1, calendar[[#This Row],[WeekDay]]=7),P1321,P1321+1)</f>
        <v>944</v>
      </c>
      <c r="Q1322">
        <f>IF(OR(calendar[[#This Row],[FR_BH]]=1,calendar[[#This Row],[WeekDay]]=1, calendar[[#This Row],[WeekDay]]=7),P1321,P1321+1)</f>
        <v>944</v>
      </c>
      <c r="R1322">
        <f>IF(OR(calendar[[#This Row],[SP_BH]]=1,calendar[[#This Row],[WeekDay]]=1, calendar[[#This Row],[WeekDay]]=7),P1321,P1321+1)</f>
        <v>944</v>
      </c>
      <c r="S1322">
        <f>IF(OR(calendar[[#This Row],[PT_BH]]=1,calendar[[#This Row],[WeekDay]]=1, calendar[[#This Row],[WeekDay]]=7),P1321,P1321+1)</f>
        <v>944</v>
      </c>
    </row>
    <row r="1323" spans="1:19" x14ac:dyDescent="0.25">
      <c r="A1323" s="2">
        <v>44057</v>
      </c>
      <c r="B1323" s="1">
        <f t="shared" si="103"/>
        <v>33</v>
      </c>
      <c r="C1323">
        <f t="shared" si="105"/>
        <v>8</v>
      </c>
      <c r="D1323" t="str">
        <f t="shared" si="106"/>
        <v>August</v>
      </c>
      <c r="E1323">
        <f t="shared" si="107"/>
        <v>2020</v>
      </c>
      <c r="F1323" t="str">
        <f>CONCATENATE(calendar[[#This Row],[Month]],"/",calendar[[#This Row],[Year]])</f>
        <v>8/2020</v>
      </c>
      <c r="G1323">
        <f>WEEKDAY(calendar[[#This Row],[Date]],1)</f>
        <v>6</v>
      </c>
      <c r="H1323" t="str">
        <f>TEXT(calendar[[#This Row],[WeekDay]],"dddd")</f>
        <v>Friday</v>
      </c>
      <c r="I1323">
        <f>IF((INT(calendar[[#This Row],[Count]]/7)-calendar[[#This Row],[Count]]/7)&lt;0,I1322,I1322+1)</f>
        <v>189</v>
      </c>
      <c r="J1323">
        <f t="shared" si="104"/>
        <v>1321</v>
      </c>
      <c r="K1323">
        <f>IF(calendar[[#This Row],[Month]]&lt;4,1,IF(calendar[[#This Row],[Month]]&lt;7,2,IF(calendar[[#This Row],[Month]]&lt;10,3,4)))</f>
        <v>3</v>
      </c>
      <c r="L1323">
        <f>IFERROR(IF(VLOOKUP(calendar[[#This Row],[Date]],BH!A:A,1,)&lt;&gt;"",1,0),0)</f>
        <v>0</v>
      </c>
      <c r="M1323">
        <f>IFERROR(IF(VLOOKUP(calendar[[#This Row],[Date]],BH!C:C,1,)&lt;&gt;"",1,0),0)</f>
        <v>0</v>
      </c>
      <c r="N1323">
        <f>IFERROR(IF(VLOOKUP(calendar[[#This Row],[Date]],BH!E:E,1,)&lt;&gt;"",1,0),0)</f>
        <v>0</v>
      </c>
      <c r="O1323">
        <f>IFERROR(IF(VLOOKUP(calendar[[#This Row],[Date]],BH!G:G,1,)&lt;&gt;"",1,0),0)</f>
        <v>0</v>
      </c>
      <c r="P1323">
        <f>IF(OR(calendar[[#This Row],[UK_BH]]=1,calendar[[#This Row],[WeekDay]]=1, calendar[[#This Row],[WeekDay]]=7),P1322,P1322+1)</f>
        <v>945</v>
      </c>
      <c r="Q1323">
        <f>IF(OR(calendar[[#This Row],[FR_BH]]=1,calendar[[#This Row],[WeekDay]]=1, calendar[[#This Row],[WeekDay]]=7),P1322,P1322+1)</f>
        <v>945</v>
      </c>
      <c r="R1323">
        <f>IF(OR(calendar[[#This Row],[SP_BH]]=1,calendar[[#This Row],[WeekDay]]=1, calendar[[#This Row],[WeekDay]]=7),P1322,P1322+1)</f>
        <v>945</v>
      </c>
      <c r="S1323">
        <f>IF(OR(calendar[[#This Row],[PT_BH]]=1,calendar[[#This Row],[WeekDay]]=1, calendar[[#This Row],[WeekDay]]=7),P1322,P1322+1)</f>
        <v>945</v>
      </c>
    </row>
    <row r="1324" spans="1:19" x14ac:dyDescent="0.25">
      <c r="A1324" s="2">
        <v>44058</v>
      </c>
      <c r="B1324" s="1">
        <f t="shared" si="103"/>
        <v>33</v>
      </c>
      <c r="C1324">
        <f t="shared" si="105"/>
        <v>8</v>
      </c>
      <c r="D1324" t="str">
        <f t="shared" si="106"/>
        <v>August</v>
      </c>
      <c r="E1324">
        <f t="shared" si="107"/>
        <v>2020</v>
      </c>
      <c r="F1324" t="str">
        <f>CONCATENATE(calendar[[#This Row],[Month]],"/",calendar[[#This Row],[Year]])</f>
        <v>8/2020</v>
      </c>
      <c r="G1324">
        <f>WEEKDAY(calendar[[#This Row],[Date]],1)</f>
        <v>7</v>
      </c>
      <c r="H1324" t="str">
        <f>TEXT(calendar[[#This Row],[WeekDay]],"dddd")</f>
        <v>Saturday</v>
      </c>
      <c r="I1324">
        <f>IF((INT(calendar[[#This Row],[Count]]/7)-calendar[[#This Row],[Count]]/7)&lt;0,I1323,I1323+1)</f>
        <v>189</v>
      </c>
      <c r="J1324">
        <f t="shared" si="104"/>
        <v>1322</v>
      </c>
      <c r="K1324">
        <f>IF(calendar[[#This Row],[Month]]&lt;4,1,IF(calendar[[#This Row],[Month]]&lt;7,2,IF(calendar[[#This Row],[Month]]&lt;10,3,4)))</f>
        <v>3</v>
      </c>
      <c r="L1324">
        <f>IFERROR(IF(VLOOKUP(calendar[[#This Row],[Date]],BH!A:A,1,)&lt;&gt;"",1,0),0)</f>
        <v>0</v>
      </c>
      <c r="M1324">
        <f>IFERROR(IF(VLOOKUP(calendar[[#This Row],[Date]],BH!C:C,1,)&lt;&gt;"",1,0),0)</f>
        <v>0</v>
      </c>
      <c r="N1324">
        <f>IFERROR(IF(VLOOKUP(calendar[[#This Row],[Date]],BH!E:E,1,)&lt;&gt;"",1,0),0)</f>
        <v>0</v>
      </c>
      <c r="O1324">
        <f>IFERROR(IF(VLOOKUP(calendar[[#This Row],[Date]],BH!G:G,1,)&lt;&gt;"",1,0),0)</f>
        <v>0</v>
      </c>
      <c r="P1324">
        <f>IF(OR(calendar[[#This Row],[UK_BH]]=1,calendar[[#This Row],[WeekDay]]=1, calendar[[#This Row],[WeekDay]]=7),P1323,P1323+1)</f>
        <v>945</v>
      </c>
      <c r="Q1324">
        <f>IF(OR(calendar[[#This Row],[FR_BH]]=1,calendar[[#This Row],[WeekDay]]=1, calendar[[#This Row],[WeekDay]]=7),P1323,P1323+1)</f>
        <v>945</v>
      </c>
      <c r="R1324">
        <f>IF(OR(calendar[[#This Row],[SP_BH]]=1,calendar[[#This Row],[WeekDay]]=1, calendar[[#This Row],[WeekDay]]=7),P1323,P1323+1)</f>
        <v>945</v>
      </c>
      <c r="S1324">
        <f>IF(OR(calendar[[#This Row],[PT_BH]]=1,calendar[[#This Row],[WeekDay]]=1, calendar[[#This Row],[WeekDay]]=7),P1323,P1323+1)</f>
        <v>945</v>
      </c>
    </row>
    <row r="1325" spans="1:19" x14ac:dyDescent="0.25">
      <c r="A1325" s="2">
        <v>44059</v>
      </c>
      <c r="B1325" s="1">
        <f t="shared" si="103"/>
        <v>34</v>
      </c>
      <c r="C1325">
        <f t="shared" si="105"/>
        <v>8</v>
      </c>
      <c r="D1325" t="str">
        <f t="shared" si="106"/>
        <v>August</v>
      </c>
      <c r="E1325">
        <f t="shared" si="107"/>
        <v>2020</v>
      </c>
      <c r="F1325" t="str">
        <f>CONCATENATE(calendar[[#This Row],[Month]],"/",calendar[[#This Row],[Year]])</f>
        <v>8/2020</v>
      </c>
      <c r="G1325">
        <f>WEEKDAY(calendar[[#This Row],[Date]],1)</f>
        <v>1</v>
      </c>
      <c r="H1325" t="str">
        <f>TEXT(calendar[[#This Row],[WeekDay]],"dddd")</f>
        <v>Sunday</v>
      </c>
      <c r="I1325">
        <f>IF((INT(calendar[[#This Row],[Count]]/7)-calendar[[#This Row],[Count]]/7)&lt;0,I1324,I1324+1)</f>
        <v>190</v>
      </c>
      <c r="J1325">
        <f t="shared" si="104"/>
        <v>1323</v>
      </c>
      <c r="K1325">
        <f>IF(calendar[[#This Row],[Month]]&lt;4,1,IF(calendar[[#This Row],[Month]]&lt;7,2,IF(calendar[[#This Row],[Month]]&lt;10,3,4)))</f>
        <v>3</v>
      </c>
      <c r="L1325">
        <f>IFERROR(IF(VLOOKUP(calendar[[#This Row],[Date]],BH!A:A,1,)&lt;&gt;"",1,0),0)</f>
        <v>0</v>
      </c>
      <c r="M1325">
        <f>IFERROR(IF(VLOOKUP(calendar[[#This Row],[Date]],BH!C:C,1,)&lt;&gt;"",1,0),0)</f>
        <v>0</v>
      </c>
      <c r="N1325">
        <f>IFERROR(IF(VLOOKUP(calendar[[#This Row],[Date]],BH!E:E,1,)&lt;&gt;"",1,0),0)</f>
        <v>0</v>
      </c>
      <c r="O1325">
        <f>IFERROR(IF(VLOOKUP(calendar[[#This Row],[Date]],BH!G:G,1,)&lt;&gt;"",1,0),0)</f>
        <v>0</v>
      </c>
      <c r="P1325">
        <f>IF(OR(calendar[[#This Row],[UK_BH]]=1,calendar[[#This Row],[WeekDay]]=1, calendar[[#This Row],[WeekDay]]=7),P1324,P1324+1)</f>
        <v>945</v>
      </c>
      <c r="Q1325">
        <f>IF(OR(calendar[[#This Row],[FR_BH]]=1,calendar[[#This Row],[WeekDay]]=1, calendar[[#This Row],[WeekDay]]=7),P1324,P1324+1)</f>
        <v>945</v>
      </c>
      <c r="R1325">
        <f>IF(OR(calendar[[#This Row],[SP_BH]]=1,calendar[[#This Row],[WeekDay]]=1, calendar[[#This Row],[WeekDay]]=7),P1324,P1324+1)</f>
        <v>945</v>
      </c>
      <c r="S1325">
        <f>IF(OR(calendar[[#This Row],[PT_BH]]=1,calendar[[#This Row],[WeekDay]]=1, calendar[[#This Row],[WeekDay]]=7),P1324,P1324+1)</f>
        <v>945</v>
      </c>
    </row>
    <row r="1326" spans="1:19" x14ac:dyDescent="0.25">
      <c r="A1326" s="2">
        <v>44060</v>
      </c>
      <c r="B1326" s="1">
        <f t="shared" si="103"/>
        <v>34</v>
      </c>
      <c r="C1326">
        <f t="shared" si="105"/>
        <v>8</v>
      </c>
      <c r="D1326" t="str">
        <f t="shared" si="106"/>
        <v>August</v>
      </c>
      <c r="E1326">
        <f t="shared" si="107"/>
        <v>2020</v>
      </c>
      <c r="F1326" t="str">
        <f>CONCATENATE(calendar[[#This Row],[Month]],"/",calendar[[#This Row],[Year]])</f>
        <v>8/2020</v>
      </c>
      <c r="G1326">
        <f>WEEKDAY(calendar[[#This Row],[Date]],1)</f>
        <v>2</v>
      </c>
      <c r="H1326" t="str">
        <f>TEXT(calendar[[#This Row],[WeekDay]],"dddd")</f>
        <v>Monday</v>
      </c>
      <c r="I1326">
        <f>IF((INT(calendar[[#This Row],[Count]]/7)-calendar[[#This Row],[Count]]/7)&lt;0,I1325,I1325+1)</f>
        <v>190</v>
      </c>
      <c r="J1326">
        <f t="shared" si="104"/>
        <v>1324</v>
      </c>
      <c r="K1326">
        <f>IF(calendar[[#This Row],[Month]]&lt;4,1,IF(calendar[[#This Row],[Month]]&lt;7,2,IF(calendar[[#This Row],[Month]]&lt;10,3,4)))</f>
        <v>3</v>
      </c>
      <c r="L1326">
        <f>IFERROR(IF(VLOOKUP(calendar[[#This Row],[Date]],BH!A:A,1,)&lt;&gt;"",1,0),0)</f>
        <v>0</v>
      </c>
      <c r="M1326">
        <f>IFERROR(IF(VLOOKUP(calendar[[#This Row],[Date]],BH!C:C,1,)&lt;&gt;"",1,0),0)</f>
        <v>0</v>
      </c>
      <c r="N1326">
        <f>IFERROR(IF(VLOOKUP(calendar[[#This Row],[Date]],BH!E:E,1,)&lt;&gt;"",1,0),0)</f>
        <v>0</v>
      </c>
      <c r="O1326">
        <f>IFERROR(IF(VLOOKUP(calendar[[#This Row],[Date]],BH!G:G,1,)&lt;&gt;"",1,0),0)</f>
        <v>0</v>
      </c>
      <c r="P1326">
        <f>IF(OR(calendar[[#This Row],[UK_BH]]=1,calendar[[#This Row],[WeekDay]]=1, calendar[[#This Row],[WeekDay]]=7),P1325,P1325+1)</f>
        <v>946</v>
      </c>
      <c r="Q1326">
        <f>IF(OR(calendar[[#This Row],[FR_BH]]=1,calendar[[#This Row],[WeekDay]]=1, calendar[[#This Row],[WeekDay]]=7),P1325,P1325+1)</f>
        <v>946</v>
      </c>
      <c r="R1326">
        <f>IF(OR(calendar[[#This Row],[SP_BH]]=1,calendar[[#This Row],[WeekDay]]=1, calendar[[#This Row],[WeekDay]]=7),P1325,P1325+1)</f>
        <v>946</v>
      </c>
      <c r="S1326">
        <f>IF(OR(calendar[[#This Row],[PT_BH]]=1,calendar[[#This Row],[WeekDay]]=1, calendar[[#This Row],[WeekDay]]=7),P1325,P1325+1)</f>
        <v>946</v>
      </c>
    </row>
    <row r="1327" spans="1:19" x14ac:dyDescent="0.25">
      <c r="A1327" s="2">
        <v>44061</v>
      </c>
      <c r="B1327" s="1">
        <f t="shared" si="103"/>
        <v>34</v>
      </c>
      <c r="C1327">
        <f t="shared" si="105"/>
        <v>8</v>
      </c>
      <c r="D1327" t="str">
        <f t="shared" si="106"/>
        <v>August</v>
      </c>
      <c r="E1327">
        <f t="shared" si="107"/>
        <v>2020</v>
      </c>
      <c r="F1327" t="str">
        <f>CONCATENATE(calendar[[#This Row],[Month]],"/",calendar[[#This Row],[Year]])</f>
        <v>8/2020</v>
      </c>
      <c r="G1327">
        <f>WEEKDAY(calendar[[#This Row],[Date]],1)</f>
        <v>3</v>
      </c>
      <c r="H1327" t="str">
        <f>TEXT(calendar[[#This Row],[WeekDay]],"dddd")</f>
        <v>Tuesday</v>
      </c>
      <c r="I1327">
        <f>IF((INT(calendar[[#This Row],[Count]]/7)-calendar[[#This Row],[Count]]/7)&lt;0,I1326,I1326+1)</f>
        <v>190</v>
      </c>
      <c r="J1327">
        <f t="shared" si="104"/>
        <v>1325</v>
      </c>
      <c r="K1327">
        <f>IF(calendar[[#This Row],[Month]]&lt;4,1,IF(calendar[[#This Row],[Month]]&lt;7,2,IF(calendar[[#This Row],[Month]]&lt;10,3,4)))</f>
        <v>3</v>
      </c>
      <c r="L1327">
        <f>IFERROR(IF(VLOOKUP(calendar[[#This Row],[Date]],BH!A:A,1,)&lt;&gt;"",1,0),0)</f>
        <v>0</v>
      </c>
      <c r="M1327">
        <f>IFERROR(IF(VLOOKUP(calendar[[#This Row],[Date]],BH!C:C,1,)&lt;&gt;"",1,0),0)</f>
        <v>0</v>
      </c>
      <c r="N1327">
        <f>IFERROR(IF(VLOOKUP(calendar[[#This Row],[Date]],BH!E:E,1,)&lt;&gt;"",1,0),0)</f>
        <v>0</v>
      </c>
      <c r="O1327">
        <f>IFERROR(IF(VLOOKUP(calendar[[#This Row],[Date]],BH!G:G,1,)&lt;&gt;"",1,0),0)</f>
        <v>0</v>
      </c>
      <c r="P1327">
        <f>IF(OR(calendar[[#This Row],[UK_BH]]=1,calendar[[#This Row],[WeekDay]]=1, calendar[[#This Row],[WeekDay]]=7),P1326,P1326+1)</f>
        <v>947</v>
      </c>
      <c r="Q1327">
        <f>IF(OR(calendar[[#This Row],[FR_BH]]=1,calendar[[#This Row],[WeekDay]]=1, calendar[[#This Row],[WeekDay]]=7),P1326,P1326+1)</f>
        <v>947</v>
      </c>
      <c r="R1327">
        <f>IF(OR(calendar[[#This Row],[SP_BH]]=1,calendar[[#This Row],[WeekDay]]=1, calendar[[#This Row],[WeekDay]]=7),P1326,P1326+1)</f>
        <v>947</v>
      </c>
      <c r="S1327">
        <f>IF(OR(calendar[[#This Row],[PT_BH]]=1,calendar[[#This Row],[WeekDay]]=1, calendar[[#This Row],[WeekDay]]=7),P1326,P1326+1)</f>
        <v>947</v>
      </c>
    </row>
    <row r="1328" spans="1:19" x14ac:dyDescent="0.25">
      <c r="A1328" s="2">
        <v>44062</v>
      </c>
      <c r="B1328" s="1">
        <f t="shared" si="103"/>
        <v>34</v>
      </c>
      <c r="C1328">
        <f t="shared" si="105"/>
        <v>8</v>
      </c>
      <c r="D1328" t="str">
        <f t="shared" si="106"/>
        <v>August</v>
      </c>
      <c r="E1328">
        <f t="shared" si="107"/>
        <v>2020</v>
      </c>
      <c r="F1328" t="str">
        <f>CONCATENATE(calendar[[#This Row],[Month]],"/",calendar[[#This Row],[Year]])</f>
        <v>8/2020</v>
      </c>
      <c r="G1328">
        <f>WEEKDAY(calendar[[#This Row],[Date]],1)</f>
        <v>4</v>
      </c>
      <c r="H1328" t="str">
        <f>TEXT(calendar[[#This Row],[WeekDay]],"dddd")</f>
        <v>Wednesday</v>
      </c>
      <c r="I1328">
        <f>IF((INT(calendar[[#This Row],[Count]]/7)-calendar[[#This Row],[Count]]/7)&lt;0,I1327,I1327+1)</f>
        <v>190</v>
      </c>
      <c r="J1328">
        <f t="shared" si="104"/>
        <v>1326</v>
      </c>
      <c r="K1328">
        <f>IF(calendar[[#This Row],[Month]]&lt;4,1,IF(calendar[[#This Row],[Month]]&lt;7,2,IF(calendar[[#This Row],[Month]]&lt;10,3,4)))</f>
        <v>3</v>
      </c>
      <c r="L1328">
        <f>IFERROR(IF(VLOOKUP(calendar[[#This Row],[Date]],BH!A:A,1,)&lt;&gt;"",1,0),0)</f>
        <v>0</v>
      </c>
      <c r="M1328">
        <f>IFERROR(IF(VLOOKUP(calendar[[#This Row],[Date]],BH!C:C,1,)&lt;&gt;"",1,0),0)</f>
        <v>0</v>
      </c>
      <c r="N1328">
        <f>IFERROR(IF(VLOOKUP(calendar[[#This Row],[Date]],BH!E:E,1,)&lt;&gt;"",1,0),0)</f>
        <v>0</v>
      </c>
      <c r="O1328">
        <f>IFERROR(IF(VLOOKUP(calendar[[#This Row],[Date]],BH!G:G,1,)&lt;&gt;"",1,0),0)</f>
        <v>0</v>
      </c>
      <c r="P1328">
        <f>IF(OR(calendar[[#This Row],[UK_BH]]=1,calendar[[#This Row],[WeekDay]]=1, calendar[[#This Row],[WeekDay]]=7),P1327,P1327+1)</f>
        <v>948</v>
      </c>
      <c r="Q1328">
        <f>IF(OR(calendar[[#This Row],[FR_BH]]=1,calendar[[#This Row],[WeekDay]]=1, calendar[[#This Row],[WeekDay]]=7),P1327,P1327+1)</f>
        <v>948</v>
      </c>
      <c r="R1328">
        <f>IF(OR(calendar[[#This Row],[SP_BH]]=1,calendar[[#This Row],[WeekDay]]=1, calendar[[#This Row],[WeekDay]]=7),P1327,P1327+1)</f>
        <v>948</v>
      </c>
      <c r="S1328">
        <f>IF(OR(calendar[[#This Row],[PT_BH]]=1,calendar[[#This Row],[WeekDay]]=1, calendar[[#This Row],[WeekDay]]=7),P1327,P1327+1)</f>
        <v>948</v>
      </c>
    </row>
    <row r="1329" spans="1:19" x14ac:dyDescent="0.25">
      <c r="A1329" s="2">
        <v>44063</v>
      </c>
      <c r="B1329" s="1">
        <f t="shared" si="103"/>
        <v>34</v>
      </c>
      <c r="C1329">
        <f t="shared" si="105"/>
        <v>8</v>
      </c>
      <c r="D1329" t="str">
        <f t="shared" si="106"/>
        <v>August</v>
      </c>
      <c r="E1329">
        <f t="shared" si="107"/>
        <v>2020</v>
      </c>
      <c r="F1329" t="str">
        <f>CONCATENATE(calendar[[#This Row],[Month]],"/",calendar[[#This Row],[Year]])</f>
        <v>8/2020</v>
      </c>
      <c r="G1329">
        <f>WEEKDAY(calendar[[#This Row],[Date]],1)</f>
        <v>5</v>
      </c>
      <c r="H1329" t="str">
        <f>TEXT(calendar[[#This Row],[WeekDay]],"dddd")</f>
        <v>Thursday</v>
      </c>
      <c r="I1329">
        <f>IF((INT(calendar[[#This Row],[Count]]/7)-calendar[[#This Row],[Count]]/7)&lt;0,I1328,I1328+1)</f>
        <v>190</v>
      </c>
      <c r="J1329">
        <f t="shared" si="104"/>
        <v>1327</v>
      </c>
      <c r="K1329">
        <f>IF(calendar[[#This Row],[Month]]&lt;4,1,IF(calendar[[#This Row],[Month]]&lt;7,2,IF(calendar[[#This Row],[Month]]&lt;10,3,4)))</f>
        <v>3</v>
      </c>
      <c r="L1329">
        <f>IFERROR(IF(VLOOKUP(calendar[[#This Row],[Date]],BH!A:A,1,)&lt;&gt;"",1,0),0)</f>
        <v>0</v>
      </c>
      <c r="M1329">
        <f>IFERROR(IF(VLOOKUP(calendar[[#This Row],[Date]],BH!C:C,1,)&lt;&gt;"",1,0),0)</f>
        <v>0</v>
      </c>
      <c r="N1329">
        <f>IFERROR(IF(VLOOKUP(calendar[[#This Row],[Date]],BH!E:E,1,)&lt;&gt;"",1,0),0)</f>
        <v>0</v>
      </c>
      <c r="O1329">
        <f>IFERROR(IF(VLOOKUP(calendar[[#This Row],[Date]],BH!G:G,1,)&lt;&gt;"",1,0),0)</f>
        <v>0</v>
      </c>
      <c r="P1329">
        <f>IF(OR(calendar[[#This Row],[UK_BH]]=1,calendar[[#This Row],[WeekDay]]=1, calendar[[#This Row],[WeekDay]]=7),P1328,P1328+1)</f>
        <v>949</v>
      </c>
      <c r="Q1329">
        <f>IF(OR(calendar[[#This Row],[FR_BH]]=1,calendar[[#This Row],[WeekDay]]=1, calendar[[#This Row],[WeekDay]]=7),P1328,P1328+1)</f>
        <v>949</v>
      </c>
      <c r="R1329">
        <f>IF(OR(calendar[[#This Row],[SP_BH]]=1,calendar[[#This Row],[WeekDay]]=1, calendar[[#This Row],[WeekDay]]=7),P1328,P1328+1)</f>
        <v>949</v>
      </c>
      <c r="S1329">
        <f>IF(OR(calendar[[#This Row],[PT_BH]]=1,calendar[[#This Row],[WeekDay]]=1, calendar[[#This Row],[WeekDay]]=7),P1328,P1328+1)</f>
        <v>949</v>
      </c>
    </row>
    <row r="1330" spans="1:19" x14ac:dyDescent="0.25">
      <c r="A1330" s="2">
        <v>44064</v>
      </c>
      <c r="B1330" s="1">
        <f t="shared" si="103"/>
        <v>34</v>
      </c>
      <c r="C1330">
        <f t="shared" si="105"/>
        <v>8</v>
      </c>
      <c r="D1330" t="str">
        <f t="shared" si="106"/>
        <v>August</v>
      </c>
      <c r="E1330">
        <f t="shared" si="107"/>
        <v>2020</v>
      </c>
      <c r="F1330" t="str">
        <f>CONCATENATE(calendar[[#This Row],[Month]],"/",calendar[[#This Row],[Year]])</f>
        <v>8/2020</v>
      </c>
      <c r="G1330">
        <f>WEEKDAY(calendar[[#This Row],[Date]],1)</f>
        <v>6</v>
      </c>
      <c r="H1330" t="str">
        <f>TEXT(calendar[[#This Row],[WeekDay]],"dddd")</f>
        <v>Friday</v>
      </c>
      <c r="I1330">
        <f>IF((INT(calendar[[#This Row],[Count]]/7)-calendar[[#This Row],[Count]]/7)&lt;0,I1329,I1329+1)</f>
        <v>190</v>
      </c>
      <c r="J1330">
        <f t="shared" si="104"/>
        <v>1328</v>
      </c>
      <c r="K1330">
        <f>IF(calendar[[#This Row],[Month]]&lt;4,1,IF(calendar[[#This Row],[Month]]&lt;7,2,IF(calendar[[#This Row],[Month]]&lt;10,3,4)))</f>
        <v>3</v>
      </c>
      <c r="L1330">
        <f>IFERROR(IF(VLOOKUP(calendar[[#This Row],[Date]],BH!A:A,1,)&lt;&gt;"",1,0),0)</f>
        <v>0</v>
      </c>
      <c r="M1330">
        <f>IFERROR(IF(VLOOKUP(calendar[[#This Row],[Date]],BH!C:C,1,)&lt;&gt;"",1,0),0)</f>
        <v>0</v>
      </c>
      <c r="N1330">
        <f>IFERROR(IF(VLOOKUP(calendar[[#This Row],[Date]],BH!E:E,1,)&lt;&gt;"",1,0),0)</f>
        <v>0</v>
      </c>
      <c r="O1330">
        <f>IFERROR(IF(VLOOKUP(calendar[[#This Row],[Date]],BH!G:G,1,)&lt;&gt;"",1,0),0)</f>
        <v>0</v>
      </c>
      <c r="P1330">
        <f>IF(OR(calendar[[#This Row],[UK_BH]]=1,calendar[[#This Row],[WeekDay]]=1, calendar[[#This Row],[WeekDay]]=7),P1329,P1329+1)</f>
        <v>950</v>
      </c>
      <c r="Q1330">
        <f>IF(OR(calendar[[#This Row],[FR_BH]]=1,calendar[[#This Row],[WeekDay]]=1, calendar[[#This Row],[WeekDay]]=7),P1329,P1329+1)</f>
        <v>950</v>
      </c>
      <c r="R1330">
        <f>IF(OR(calendar[[#This Row],[SP_BH]]=1,calendar[[#This Row],[WeekDay]]=1, calendar[[#This Row],[WeekDay]]=7),P1329,P1329+1)</f>
        <v>950</v>
      </c>
      <c r="S1330">
        <f>IF(OR(calendar[[#This Row],[PT_BH]]=1,calendar[[#This Row],[WeekDay]]=1, calendar[[#This Row],[WeekDay]]=7),P1329,P1329+1)</f>
        <v>950</v>
      </c>
    </row>
    <row r="1331" spans="1:19" x14ac:dyDescent="0.25">
      <c r="A1331" s="2">
        <v>44065</v>
      </c>
      <c r="B1331" s="1">
        <f t="shared" si="103"/>
        <v>34</v>
      </c>
      <c r="C1331">
        <f t="shared" si="105"/>
        <v>8</v>
      </c>
      <c r="D1331" t="str">
        <f t="shared" si="106"/>
        <v>August</v>
      </c>
      <c r="E1331">
        <f t="shared" si="107"/>
        <v>2020</v>
      </c>
      <c r="F1331" t="str">
        <f>CONCATENATE(calendar[[#This Row],[Month]],"/",calendar[[#This Row],[Year]])</f>
        <v>8/2020</v>
      </c>
      <c r="G1331">
        <f>WEEKDAY(calendar[[#This Row],[Date]],1)</f>
        <v>7</v>
      </c>
      <c r="H1331" t="str">
        <f>TEXT(calendar[[#This Row],[WeekDay]],"dddd")</f>
        <v>Saturday</v>
      </c>
      <c r="I1331">
        <f>IF((INT(calendar[[#This Row],[Count]]/7)-calendar[[#This Row],[Count]]/7)&lt;0,I1330,I1330+1)</f>
        <v>190</v>
      </c>
      <c r="J1331">
        <f t="shared" si="104"/>
        <v>1329</v>
      </c>
      <c r="K1331">
        <f>IF(calendar[[#This Row],[Month]]&lt;4,1,IF(calendar[[#This Row],[Month]]&lt;7,2,IF(calendar[[#This Row],[Month]]&lt;10,3,4)))</f>
        <v>3</v>
      </c>
      <c r="L1331">
        <f>IFERROR(IF(VLOOKUP(calendar[[#This Row],[Date]],BH!A:A,1,)&lt;&gt;"",1,0),0)</f>
        <v>0</v>
      </c>
      <c r="M1331">
        <f>IFERROR(IF(VLOOKUP(calendar[[#This Row],[Date]],BH!C:C,1,)&lt;&gt;"",1,0),0)</f>
        <v>0</v>
      </c>
      <c r="N1331">
        <f>IFERROR(IF(VLOOKUP(calendar[[#This Row],[Date]],BH!E:E,1,)&lt;&gt;"",1,0),0)</f>
        <v>0</v>
      </c>
      <c r="O1331">
        <f>IFERROR(IF(VLOOKUP(calendar[[#This Row],[Date]],BH!G:G,1,)&lt;&gt;"",1,0),0)</f>
        <v>0</v>
      </c>
      <c r="P1331">
        <f>IF(OR(calendar[[#This Row],[UK_BH]]=1,calendar[[#This Row],[WeekDay]]=1, calendar[[#This Row],[WeekDay]]=7),P1330,P1330+1)</f>
        <v>950</v>
      </c>
      <c r="Q1331">
        <f>IF(OR(calendar[[#This Row],[FR_BH]]=1,calendar[[#This Row],[WeekDay]]=1, calendar[[#This Row],[WeekDay]]=7),P1330,P1330+1)</f>
        <v>950</v>
      </c>
      <c r="R1331">
        <f>IF(OR(calendar[[#This Row],[SP_BH]]=1,calendar[[#This Row],[WeekDay]]=1, calendar[[#This Row],[WeekDay]]=7),P1330,P1330+1)</f>
        <v>950</v>
      </c>
      <c r="S1331">
        <f>IF(OR(calendar[[#This Row],[PT_BH]]=1,calendar[[#This Row],[WeekDay]]=1, calendar[[#This Row],[WeekDay]]=7),P1330,P1330+1)</f>
        <v>950</v>
      </c>
    </row>
    <row r="1332" spans="1:19" x14ac:dyDescent="0.25">
      <c r="A1332" s="2">
        <v>44066</v>
      </c>
      <c r="B1332" s="1">
        <f t="shared" si="103"/>
        <v>35</v>
      </c>
      <c r="C1332">
        <f t="shared" si="105"/>
        <v>8</v>
      </c>
      <c r="D1332" t="str">
        <f t="shared" si="106"/>
        <v>August</v>
      </c>
      <c r="E1332">
        <f t="shared" si="107"/>
        <v>2020</v>
      </c>
      <c r="F1332" t="str">
        <f>CONCATENATE(calendar[[#This Row],[Month]],"/",calendar[[#This Row],[Year]])</f>
        <v>8/2020</v>
      </c>
      <c r="G1332">
        <f>WEEKDAY(calendar[[#This Row],[Date]],1)</f>
        <v>1</v>
      </c>
      <c r="H1332" t="str">
        <f>TEXT(calendar[[#This Row],[WeekDay]],"dddd")</f>
        <v>Sunday</v>
      </c>
      <c r="I1332">
        <f>IF((INT(calendar[[#This Row],[Count]]/7)-calendar[[#This Row],[Count]]/7)&lt;0,I1331,I1331+1)</f>
        <v>191</v>
      </c>
      <c r="J1332">
        <f t="shared" si="104"/>
        <v>1330</v>
      </c>
      <c r="K1332">
        <f>IF(calendar[[#This Row],[Month]]&lt;4,1,IF(calendar[[#This Row],[Month]]&lt;7,2,IF(calendar[[#This Row],[Month]]&lt;10,3,4)))</f>
        <v>3</v>
      </c>
      <c r="L1332">
        <f>IFERROR(IF(VLOOKUP(calendar[[#This Row],[Date]],BH!A:A,1,)&lt;&gt;"",1,0),0)</f>
        <v>0</v>
      </c>
      <c r="M1332">
        <f>IFERROR(IF(VLOOKUP(calendar[[#This Row],[Date]],BH!C:C,1,)&lt;&gt;"",1,0),0)</f>
        <v>0</v>
      </c>
      <c r="N1332">
        <f>IFERROR(IF(VLOOKUP(calendar[[#This Row],[Date]],BH!E:E,1,)&lt;&gt;"",1,0),0)</f>
        <v>0</v>
      </c>
      <c r="O1332">
        <f>IFERROR(IF(VLOOKUP(calendar[[#This Row],[Date]],BH!G:G,1,)&lt;&gt;"",1,0),0)</f>
        <v>0</v>
      </c>
      <c r="P1332">
        <f>IF(OR(calendar[[#This Row],[UK_BH]]=1,calendar[[#This Row],[WeekDay]]=1, calendar[[#This Row],[WeekDay]]=7),P1331,P1331+1)</f>
        <v>950</v>
      </c>
      <c r="Q1332">
        <f>IF(OR(calendar[[#This Row],[FR_BH]]=1,calendar[[#This Row],[WeekDay]]=1, calendar[[#This Row],[WeekDay]]=7),P1331,P1331+1)</f>
        <v>950</v>
      </c>
      <c r="R1332">
        <f>IF(OR(calendar[[#This Row],[SP_BH]]=1,calendar[[#This Row],[WeekDay]]=1, calendar[[#This Row],[WeekDay]]=7),P1331,P1331+1)</f>
        <v>950</v>
      </c>
      <c r="S1332">
        <f>IF(OR(calendar[[#This Row],[PT_BH]]=1,calendar[[#This Row],[WeekDay]]=1, calendar[[#This Row],[WeekDay]]=7),P1331,P1331+1)</f>
        <v>950</v>
      </c>
    </row>
    <row r="1333" spans="1:19" x14ac:dyDescent="0.25">
      <c r="A1333" s="2">
        <v>44067</v>
      </c>
      <c r="B1333" s="1">
        <f t="shared" si="103"/>
        <v>35</v>
      </c>
      <c r="C1333">
        <f t="shared" si="105"/>
        <v>8</v>
      </c>
      <c r="D1333" t="str">
        <f t="shared" si="106"/>
        <v>August</v>
      </c>
      <c r="E1333">
        <f t="shared" si="107"/>
        <v>2020</v>
      </c>
      <c r="F1333" t="str">
        <f>CONCATENATE(calendar[[#This Row],[Month]],"/",calendar[[#This Row],[Year]])</f>
        <v>8/2020</v>
      </c>
      <c r="G1333">
        <f>WEEKDAY(calendar[[#This Row],[Date]],1)</f>
        <v>2</v>
      </c>
      <c r="H1333" t="str">
        <f>TEXT(calendar[[#This Row],[WeekDay]],"dddd")</f>
        <v>Monday</v>
      </c>
      <c r="I1333">
        <f>IF((INT(calendar[[#This Row],[Count]]/7)-calendar[[#This Row],[Count]]/7)&lt;0,I1332,I1332+1)</f>
        <v>191</v>
      </c>
      <c r="J1333">
        <f t="shared" si="104"/>
        <v>1331</v>
      </c>
      <c r="K1333">
        <f>IF(calendar[[#This Row],[Month]]&lt;4,1,IF(calendar[[#This Row],[Month]]&lt;7,2,IF(calendar[[#This Row],[Month]]&lt;10,3,4)))</f>
        <v>3</v>
      </c>
      <c r="L1333">
        <f>IFERROR(IF(VLOOKUP(calendar[[#This Row],[Date]],BH!A:A,1,)&lt;&gt;"",1,0),0)</f>
        <v>0</v>
      </c>
      <c r="M1333">
        <f>IFERROR(IF(VLOOKUP(calendar[[#This Row],[Date]],BH!C:C,1,)&lt;&gt;"",1,0),0)</f>
        <v>0</v>
      </c>
      <c r="N1333">
        <f>IFERROR(IF(VLOOKUP(calendar[[#This Row],[Date]],BH!E:E,1,)&lt;&gt;"",1,0),0)</f>
        <v>0</v>
      </c>
      <c r="O1333">
        <f>IFERROR(IF(VLOOKUP(calendar[[#This Row],[Date]],BH!G:G,1,)&lt;&gt;"",1,0),0)</f>
        <v>0</v>
      </c>
      <c r="P1333">
        <f>IF(OR(calendar[[#This Row],[UK_BH]]=1,calendar[[#This Row],[WeekDay]]=1, calendar[[#This Row],[WeekDay]]=7),P1332,P1332+1)</f>
        <v>951</v>
      </c>
      <c r="Q1333">
        <f>IF(OR(calendar[[#This Row],[FR_BH]]=1,calendar[[#This Row],[WeekDay]]=1, calendar[[#This Row],[WeekDay]]=7),P1332,P1332+1)</f>
        <v>951</v>
      </c>
      <c r="R1333">
        <f>IF(OR(calendar[[#This Row],[SP_BH]]=1,calendar[[#This Row],[WeekDay]]=1, calendar[[#This Row],[WeekDay]]=7),P1332,P1332+1)</f>
        <v>951</v>
      </c>
      <c r="S1333">
        <f>IF(OR(calendar[[#This Row],[PT_BH]]=1,calendar[[#This Row],[WeekDay]]=1, calendar[[#This Row],[WeekDay]]=7),P1332,P1332+1)</f>
        <v>951</v>
      </c>
    </row>
    <row r="1334" spans="1:19" x14ac:dyDescent="0.25">
      <c r="A1334" s="2">
        <v>44068</v>
      </c>
      <c r="B1334" s="1">
        <f t="shared" si="103"/>
        <v>35</v>
      </c>
      <c r="C1334">
        <f t="shared" si="105"/>
        <v>8</v>
      </c>
      <c r="D1334" t="str">
        <f t="shared" si="106"/>
        <v>August</v>
      </c>
      <c r="E1334">
        <f t="shared" si="107"/>
        <v>2020</v>
      </c>
      <c r="F1334" t="str">
        <f>CONCATENATE(calendar[[#This Row],[Month]],"/",calendar[[#This Row],[Year]])</f>
        <v>8/2020</v>
      </c>
      <c r="G1334">
        <f>WEEKDAY(calendar[[#This Row],[Date]],1)</f>
        <v>3</v>
      </c>
      <c r="H1334" t="str">
        <f>TEXT(calendar[[#This Row],[WeekDay]],"dddd")</f>
        <v>Tuesday</v>
      </c>
      <c r="I1334">
        <f>IF((INT(calendar[[#This Row],[Count]]/7)-calendar[[#This Row],[Count]]/7)&lt;0,I1333,I1333+1)</f>
        <v>191</v>
      </c>
      <c r="J1334">
        <f t="shared" si="104"/>
        <v>1332</v>
      </c>
      <c r="K1334">
        <f>IF(calendar[[#This Row],[Month]]&lt;4,1,IF(calendar[[#This Row],[Month]]&lt;7,2,IF(calendar[[#This Row],[Month]]&lt;10,3,4)))</f>
        <v>3</v>
      </c>
      <c r="L1334">
        <f>IFERROR(IF(VLOOKUP(calendar[[#This Row],[Date]],BH!A:A,1,)&lt;&gt;"",1,0),0)</f>
        <v>0</v>
      </c>
      <c r="M1334">
        <f>IFERROR(IF(VLOOKUP(calendar[[#This Row],[Date]],BH!C:C,1,)&lt;&gt;"",1,0),0)</f>
        <v>0</v>
      </c>
      <c r="N1334">
        <f>IFERROR(IF(VLOOKUP(calendar[[#This Row],[Date]],BH!E:E,1,)&lt;&gt;"",1,0),0)</f>
        <v>0</v>
      </c>
      <c r="O1334">
        <f>IFERROR(IF(VLOOKUP(calendar[[#This Row],[Date]],BH!G:G,1,)&lt;&gt;"",1,0),0)</f>
        <v>0</v>
      </c>
      <c r="P1334">
        <f>IF(OR(calendar[[#This Row],[UK_BH]]=1,calendar[[#This Row],[WeekDay]]=1, calendar[[#This Row],[WeekDay]]=7),P1333,P1333+1)</f>
        <v>952</v>
      </c>
      <c r="Q1334">
        <f>IF(OR(calendar[[#This Row],[FR_BH]]=1,calendar[[#This Row],[WeekDay]]=1, calendar[[#This Row],[WeekDay]]=7),P1333,P1333+1)</f>
        <v>952</v>
      </c>
      <c r="R1334">
        <f>IF(OR(calendar[[#This Row],[SP_BH]]=1,calendar[[#This Row],[WeekDay]]=1, calendar[[#This Row],[WeekDay]]=7),P1333,P1333+1)</f>
        <v>952</v>
      </c>
      <c r="S1334">
        <f>IF(OR(calendar[[#This Row],[PT_BH]]=1,calendar[[#This Row],[WeekDay]]=1, calendar[[#This Row],[WeekDay]]=7),P1333,P1333+1)</f>
        <v>952</v>
      </c>
    </row>
    <row r="1335" spans="1:19" x14ac:dyDescent="0.25">
      <c r="A1335" s="2">
        <v>44069</v>
      </c>
      <c r="B1335" s="1">
        <f t="shared" si="103"/>
        <v>35</v>
      </c>
      <c r="C1335">
        <f t="shared" si="105"/>
        <v>8</v>
      </c>
      <c r="D1335" t="str">
        <f t="shared" si="106"/>
        <v>August</v>
      </c>
      <c r="E1335">
        <f t="shared" si="107"/>
        <v>2020</v>
      </c>
      <c r="F1335" t="str">
        <f>CONCATENATE(calendar[[#This Row],[Month]],"/",calendar[[#This Row],[Year]])</f>
        <v>8/2020</v>
      </c>
      <c r="G1335">
        <f>WEEKDAY(calendar[[#This Row],[Date]],1)</f>
        <v>4</v>
      </c>
      <c r="H1335" t="str">
        <f>TEXT(calendar[[#This Row],[WeekDay]],"dddd")</f>
        <v>Wednesday</v>
      </c>
      <c r="I1335">
        <f>IF((INT(calendar[[#This Row],[Count]]/7)-calendar[[#This Row],[Count]]/7)&lt;0,I1334,I1334+1)</f>
        <v>191</v>
      </c>
      <c r="J1335">
        <f t="shared" si="104"/>
        <v>1333</v>
      </c>
      <c r="K1335">
        <f>IF(calendar[[#This Row],[Month]]&lt;4,1,IF(calendar[[#This Row],[Month]]&lt;7,2,IF(calendar[[#This Row],[Month]]&lt;10,3,4)))</f>
        <v>3</v>
      </c>
      <c r="L1335">
        <f>IFERROR(IF(VLOOKUP(calendar[[#This Row],[Date]],BH!A:A,1,)&lt;&gt;"",1,0),0)</f>
        <v>0</v>
      </c>
      <c r="M1335">
        <f>IFERROR(IF(VLOOKUP(calendar[[#This Row],[Date]],BH!C:C,1,)&lt;&gt;"",1,0),0)</f>
        <v>0</v>
      </c>
      <c r="N1335">
        <f>IFERROR(IF(VLOOKUP(calendar[[#This Row],[Date]],BH!E:E,1,)&lt;&gt;"",1,0),0)</f>
        <v>0</v>
      </c>
      <c r="O1335">
        <f>IFERROR(IF(VLOOKUP(calendar[[#This Row],[Date]],BH!G:G,1,)&lt;&gt;"",1,0),0)</f>
        <v>0</v>
      </c>
      <c r="P1335">
        <f>IF(OR(calendar[[#This Row],[UK_BH]]=1,calendar[[#This Row],[WeekDay]]=1, calendar[[#This Row],[WeekDay]]=7),P1334,P1334+1)</f>
        <v>953</v>
      </c>
      <c r="Q1335">
        <f>IF(OR(calendar[[#This Row],[FR_BH]]=1,calendar[[#This Row],[WeekDay]]=1, calendar[[#This Row],[WeekDay]]=7),P1334,P1334+1)</f>
        <v>953</v>
      </c>
      <c r="R1335">
        <f>IF(OR(calendar[[#This Row],[SP_BH]]=1,calendar[[#This Row],[WeekDay]]=1, calendar[[#This Row],[WeekDay]]=7),P1334,P1334+1)</f>
        <v>953</v>
      </c>
      <c r="S1335">
        <f>IF(OR(calendar[[#This Row],[PT_BH]]=1,calendar[[#This Row],[WeekDay]]=1, calendar[[#This Row],[WeekDay]]=7),P1334,P1334+1)</f>
        <v>953</v>
      </c>
    </row>
    <row r="1336" spans="1:19" x14ac:dyDescent="0.25">
      <c r="A1336" s="2">
        <v>44070</v>
      </c>
      <c r="B1336" s="1">
        <f t="shared" si="103"/>
        <v>35</v>
      </c>
      <c r="C1336">
        <f t="shared" si="105"/>
        <v>8</v>
      </c>
      <c r="D1336" t="str">
        <f t="shared" si="106"/>
        <v>August</v>
      </c>
      <c r="E1336">
        <f t="shared" si="107"/>
        <v>2020</v>
      </c>
      <c r="F1336" t="str">
        <f>CONCATENATE(calendar[[#This Row],[Month]],"/",calendar[[#This Row],[Year]])</f>
        <v>8/2020</v>
      </c>
      <c r="G1336">
        <f>WEEKDAY(calendar[[#This Row],[Date]],1)</f>
        <v>5</v>
      </c>
      <c r="H1336" t="str">
        <f>TEXT(calendar[[#This Row],[WeekDay]],"dddd")</f>
        <v>Thursday</v>
      </c>
      <c r="I1336">
        <f>IF((INT(calendar[[#This Row],[Count]]/7)-calendar[[#This Row],[Count]]/7)&lt;0,I1335,I1335+1)</f>
        <v>191</v>
      </c>
      <c r="J1336">
        <f t="shared" si="104"/>
        <v>1334</v>
      </c>
      <c r="K1336">
        <f>IF(calendar[[#This Row],[Month]]&lt;4,1,IF(calendar[[#This Row],[Month]]&lt;7,2,IF(calendar[[#This Row],[Month]]&lt;10,3,4)))</f>
        <v>3</v>
      </c>
      <c r="L1336">
        <f>IFERROR(IF(VLOOKUP(calendar[[#This Row],[Date]],BH!A:A,1,)&lt;&gt;"",1,0),0)</f>
        <v>0</v>
      </c>
      <c r="M1336">
        <f>IFERROR(IF(VLOOKUP(calendar[[#This Row],[Date]],BH!C:C,1,)&lt;&gt;"",1,0),0)</f>
        <v>0</v>
      </c>
      <c r="N1336">
        <f>IFERROR(IF(VLOOKUP(calendar[[#This Row],[Date]],BH!E:E,1,)&lt;&gt;"",1,0),0)</f>
        <v>0</v>
      </c>
      <c r="O1336">
        <f>IFERROR(IF(VLOOKUP(calendar[[#This Row],[Date]],BH!G:G,1,)&lt;&gt;"",1,0),0)</f>
        <v>0</v>
      </c>
      <c r="P1336">
        <f>IF(OR(calendar[[#This Row],[UK_BH]]=1,calendar[[#This Row],[WeekDay]]=1, calendar[[#This Row],[WeekDay]]=7),P1335,P1335+1)</f>
        <v>954</v>
      </c>
      <c r="Q1336">
        <f>IF(OR(calendar[[#This Row],[FR_BH]]=1,calendar[[#This Row],[WeekDay]]=1, calendar[[#This Row],[WeekDay]]=7),P1335,P1335+1)</f>
        <v>954</v>
      </c>
      <c r="R1336">
        <f>IF(OR(calendar[[#This Row],[SP_BH]]=1,calendar[[#This Row],[WeekDay]]=1, calendar[[#This Row],[WeekDay]]=7),P1335,P1335+1)</f>
        <v>954</v>
      </c>
      <c r="S1336">
        <f>IF(OR(calendar[[#This Row],[PT_BH]]=1,calendar[[#This Row],[WeekDay]]=1, calendar[[#This Row],[WeekDay]]=7),P1335,P1335+1)</f>
        <v>954</v>
      </c>
    </row>
    <row r="1337" spans="1:19" x14ac:dyDescent="0.25">
      <c r="A1337" s="2">
        <v>44071</v>
      </c>
      <c r="B1337" s="1">
        <f t="shared" si="103"/>
        <v>35</v>
      </c>
      <c r="C1337">
        <f t="shared" si="105"/>
        <v>8</v>
      </c>
      <c r="D1337" t="str">
        <f t="shared" si="106"/>
        <v>August</v>
      </c>
      <c r="E1337">
        <f t="shared" si="107"/>
        <v>2020</v>
      </c>
      <c r="F1337" t="str">
        <f>CONCATENATE(calendar[[#This Row],[Month]],"/",calendar[[#This Row],[Year]])</f>
        <v>8/2020</v>
      </c>
      <c r="G1337">
        <f>WEEKDAY(calendar[[#This Row],[Date]],1)</f>
        <v>6</v>
      </c>
      <c r="H1337" t="str">
        <f>TEXT(calendar[[#This Row],[WeekDay]],"dddd")</f>
        <v>Friday</v>
      </c>
      <c r="I1337">
        <f>IF((INT(calendar[[#This Row],[Count]]/7)-calendar[[#This Row],[Count]]/7)&lt;0,I1336,I1336+1)</f>
        <v>191</v>
      </c>
      <c r="J1337">
        <f t="shared" si="104"/>
        <v>1335</v>
      </c>
      <c r="K1337">
        <f>IF(calendar[[#This Row],[Month]]&lt;4,1,IF(calendar[[#This Row],[Month]]&lt;7,2,IF(calendar[[#This Row],[Month]]&lt;10,3,4)))</f>
        <v>3</v>
      </c>
      <c r="L1337">
        <f>IFERROR(IF(VLOOKUP(calendar[[#This Row],[Date]],BH!A:A,1,)&lt;&gt;"",1,0),0)</f>
        <v>0</v>
      </c>
      <c r="M1337">
        <f>IFERROR(IF(VLOOKUP(calendar[[#This Row],[Date]],BH!C:C,1,)&lt;&gt;"",1,0),0)</f>
        <v>0</v>
      </c>
      <c r="N1337">
        <f>IFERROR(IF(VLOOKUP(calendar[[#This Row],[Date]],BH!E:E,1,)&lt;&gt;"",1,0),0)</f>
        <v>0</v>
      </c>
      <c r="O1337">
        <f>IFERROR(IF(VLOOKUP(calendar[[#This Row],[Date]],BH!G:G,1,)&lt;&gt;"",1,0),0)</f>
        <v>0</v>
      </c>
      <c r="P1337">
        <f>IF(OR(calendar[[#This Row],[UK_BH]]=1,calendar[[#This Row],[WeekDay]]=1, calendar[[#This Row],[WeekDay]]=7),P1336,P1336+1)</f>
        <v>955</v>
      </c>
      <c r="Q1337">
        <f>IF(OR(calendar[[#This Row],[FR_BH]]=1,calendar[[#This Row],[WeekDay]]=1, calendar[[#This Row],[WeekDay]]=7),P1336,P1336+1)</f>
        <v>955</v>
      </c>
      <c r="R1337">
        <f>IF(OR(calendar[[#This Row],[SP_BH]]=1,calendar[[#This Row],[WeekDay]]=1, calendar[[#This Row],[WeekDay]]=7),P1336,P1336+1)</f>
        <v>955</v>
      </c>
      <c r="S1337">
        <f>IF(OR(calendar[[#This Row],[PT_BH]]=1,calendar[[#This Row],[WeekDay]]=1, calendar[[#This Row],[WeekDay]]=7),P1336,P1336+1)</f>
        <v>955</v>
      </c>
    </row>
    <row r="1338" spans="1:19" x14ac:dyDescent="0.25">
      <c r="A1338" s="2">
        <v>44072</v>
      </c>
      <c r="B1338" s="1">
        <f t="shared" si="103"/>
        <v>35</v>
      </c>
      <c r="C1338">
        <f t="shared" si="105"/>
        <v>8</v>
      </c>
      <c r="D1338" t="str">
        <f t="shared" si="106"/>
        <v>August</v>
      </c>
      <c r="E1338">
        <f t="shared" si="107"/>
        <v>2020</v>
      </c>
      <c r="F1338" t="str">
        <f>CONCATENATE(calendar[[#This Row],[Month]],"/",calendar[[#This Row],[Year]])</f>
        <v>8/2020</v>
      </c>
      <c r="G1338">
        <f>WEEKDAY(calendar[[#This Row],[Date]],1)</f>
        <v>7</v>
      </c>
      <c r="H1338" t="str">
        <f>TEXT(calendar[[#This Row],[WeekDay]],"dddd")</f>
        <v>Saturday</v>
      </c>
      <c r="I1338">
        <f>IF((INT(calendar[[#This Row],[Count]]/7)-calendar[[#This Row],[Count]]/7)&lt;0,I1337,I1337+1)</f>
        <v>191</v>
      </c>
      <c r="J1338">
        <f t="shared" si="104"/>
        <v>1336</v>
      </c>
      <c r="K1338">
        <f>IF(calendar[[#This Row],[Month]]&lt;4,1,IF(calendar[[#This Row],[Month]]&lt;7,2,IF(calendar[[#This Row],[Month]]&lt;10,3,4)))</f>
        <v>3</v>
      </c>
      <c r="L1338">
        <f>IFERROR(IF(VLOOKUP(calendar[[#This Row],[Date]],BH!A:A,1,)&lt;&gt;"",1,0),0)</f>
        <v>0</v>
      </c>
      <c r="M1338">
        <f>IFERROR(IF(VLOOKUP(calendar[[#This Row],[Date]],BH!C:C,1,)&lt;&gt;"",1,0),0)</f>
        <v>0</v>
      </c>
      <c r="N1338">
        <f>IFERROR(IF(VLOOKUP(calendar[[#This Row],[Date]],BH!E:E,1,)&lt;&gt;"",1,0),0)</f>
        <v>0</v>
      </c>
      <c r="O1338">
        <f>IFERROR(IF(VLOOKUP(calendar[[#This Row],[Date]],BH!G:G,1,)&lt;&gt;"",1,0),0)</f>
        <v>0</v>
      </c>
      <c r="P1338">
        <f>IF(OR(calendar[[#This Row],[UK_BH]]=1,calendar[[#This Row],[WeekDay]]=1, calendar[[#This Row],[WeekDay]]=7),P1337,P1337+1)</f>
        <v>955</v>
      </c>
      <c r="Q1338">
        <f>IF(OR(calendar[[#This Row],[FR_BH]]=1,calendar[[#This Row],[WeekDay]]=1, calendar[[#This Row],[WeekDay]]=7),P1337,P1337+1)</f>
        <v>955</v>
      </c>
      <c r="R1338">
        <f>IF(OR(calendar[[#This Row],[SP_BH]]=1,calendar[[#This Row],[WeekDay]]=1, calendar[[#This Row],[WeekDay]]=7),P1337,P1337+1)</f>
        <v>955</v>
      </c>
      <c r="S1338">
        <f>IF(OR(calendar[[#This Row],[PT_BH]]=1,calendar[[#This Row],[WeekDay]]=1, calendar[[#This Row],[WeekDay]]=7),P1337,P1337+1)</f>
        <v>955</v>
      </c>
    </row>
    <row r="1339" spans="1:19" x14ac:dyDescent="0.25">
      <c r="A1339" s="2">
        <v>44073</v>
      </c>
      <c r="B1339" s="1">
        <f t="shared" si="103"/>
        <v>36</v>
      </c>
      <c r="C1339">
        <f t="shared" si="105"/>
        <v>8</v>
      </c>
      <c r="D1339" t="str">
        <f t="shared" si="106"/>
        <v>August</v>
      </c>
      <c r="E1339">
        <f t="shared" si="107"/>
        <v>2020</v>
      </c>
      <c r="F1339" t="str">
        <f>CONCATENATE(calendar[[#This Row],[Month]],"/",calendar[[#This Row],[Year]])</f>
        <v>8/2020</v>
      </c>
      <c r="G1339">
        <f>WEEKDAY(calendar[[#This Row],[Date]],1)</f>
        <v>1</v>
      </c>
      <c r="H1339" t="str">
        <f>TEXT(calendar[[#This Row],[WeekDay]],"dddd")</f>
        <v>Sunday</v>
      </c>
      <c r="I1339">
        <f>IF((INT(calendar[[#This Row],[Count]]/7)-calendar[[#This Row],[Count]]/7)&lt;0,I1338,I1338+1)</f>
        <v>192</v>
      </c>
      <c r="J1339">
        <f t="shared" si="104"/>
        <v>1337</v>
      </c>
      <c r="K1339">
        <f>IF(calendar[[#This Row],[Month]]&lt;4,1,IF(calendar[[#This Row],[Month]]&lt;7,2,IF(calendar[[#This Row],[Month]]&lt;10,3,4)))</f>
        <v>3</v>
      </c>
      <c r="L1339">
        <f>IFERROR(IF(VLOOKUP(calendar[[#This Row],[Date]],BH!A:A,1,)&lt;&gt;"",1,0),0)</f>
        <v>0</v>
      </c>
      <c r="M1339">
        <f>IFERROR(IF(VLOOKUP(calendar[[#This Row],[Date]],BH!C:C,1,)&lt;&gt;"",1,0),0)</f>
        <v>0</v>
      </c>
      <c r="N1339">
        <f>IFERROR(IF(VLOOKUP(calendar[[#This Row],[Date]],BH!E:E,1,)&lt;&gt;"",1,0),0)</f>
        <v>0</v>
      </c>
      <c r="O1339">
        <f>IFERROR(IF(VLOOKUP(calendar[[#This Row],[Date]],BH!G:G,1,)&lt;&gt;"",1,0),0)</f>
        <v>0</v>
      </c>
      <c r="P1339">
        <f>IF(OR(calendar[[#This Row],[UK_BH]]=1,calendar[[#This Row],[WeekDay]]=1, calendar[[#This Row],[WeekDay]]=7),P1338,P1338+1)</f>
        <v>955</v>
      </c>
      <c r="Q1339">
        <f>IF(OR(calendar[[#This Row],[FR_BH]]=1,calendar[[#This Row],[WeekDay]]=1, calendar[[#This Row],[WeekDay]]=7),P1338,P1338+1)</f>
        <v>955</v>
      </c>
      <c r="R1339">
        <f>IF(OR(calendar[[#This Row],[SP_BH]]=1,calendar[[#This Row],[WeekDay]]=1, calendar[[#This Row],[WeekDay]]=7),P1338,P1338+1)</f>
        <v>955</v>
      </c>
      <c r="S1339">
        <f>IF(OR(calendar[[#This Row],[PT_BH]]=1,calendar[[#This Row],[WeekDay]]=1, calendar[[#This Row],[WeekDay]]=7),P1338,P1338+1)</f>
        <v>955</v>
      </c>
    </row>
    <row r="1340" spans="1:19" x14ac:dyDescent="0.25">
      <c r="A1340" s="2">
        <v>44074</v>
      </c>
      <c r="B1340" s="1">
        <f t="shared" si="103"/>
        <v>36</v>
      </c>
      <c r="C1340">
        <f t="shared" si="105"/>
        <v>8</v>
      </c>
      <c r="D1340" t="str">
        <f t="shared" si="106"/>
        <v>August</v>
      </c>
      <c r="E1340">
        <f t="shared" si="107"/>
        <v>2020</v>
      </c>
      <c r="F1340" t="str">
        <f>CONCATENATE(calendar[[#This Row],[Month]],"/",calendar[[#This Row],[Year]])</f>
        <v>8/2020</v>
      </c>
      <c r="G1340">
        <f>WEEKDAY(calendar[[#This Row],[Date]],1)</f>
        <v>2</v>
      </c>
      <c r="H1340" t="str">
        <f>TEXT(calendar[[#This Row],[WeekDay]],"dddd")</f>
        <v>Monday</v>
      </c>
      <c r="I1340">
        <f>IF((INT(calendar[[#This Row],[Count]]/7)-calendar[[#This Row],[Count]]/7)&lt;0,I1339,I1339+1)</f>
        <v>192</v>
      </c>
      <c r="J1340">
        <f t="shared" si="104"/>
        <v>1338</v>
      </c>
      <c r="K1340">
        <f>IF(calendar[[#This Row],[Month]]&lt;4,1,IF(calendar[[#This Row],[Month]]&lt;7,2,IF(calendar[[#This Row],[Month]]&lt;10,3,4)))</f>
        <v>3</v>
      </c>
      <c r="L1340">
        <f>IFERROR(IF(VLOOKUP(calendar[[#This Row],[Date]],BH!A:A,1,)&lt;&gt;"",1,0),0)</f>
        <v>0</v>
      </c>
      <c r="M1340">
        <f>IFERROR(IF(VLOOKUP(calendar[[#This Row],[Date]],BH!C:C,1,)&lt;&gt;"",1,0),0)</f>
        <v>0</v>
      </c>
      <c r="N1340">
        <f>IFERROR(IF(VLOOKUP(calendar[[#This Row],[Date]],BH!E:E,1,)&lt;&gt;"",1,0),0)</f>
        <v>0</v>
      </c>
      <c r="O1340">
        <f>IFERROR(IF(VLOOKUP(calendar[[#This Row],[Date]],BH!G:G,1,)&lt;&gt;"",1,0),0)</f>
        <v>0</v>
      </c>
      <c r="P1340">
        <f>IF(OR(calendar[[#This Row],[UK_BH]]=1,calendar[[#This Row],[WeekDay]]=1, calendar[[#This Row],[WeekDay]]=7),P1339,P1339+1)</f>
        <v>956</v>
      </c>
      <c r="Q1340">
        <f>IF(OR(calendar[[#This Row],[FR_BH]]=1,calendar[[#This Row],[WeekDay]]=1, calendar[[#This Row],[WeekDay]]=7),P1339,P1339+1)</f>
        <v>956</v>
      </c>
      <c r="R1340">
        <f>IF(OR(calendar[[#This Row],[SP_BH]]=1,calendar[[#This Row],[WeekDay]]=1, calendar[[#This Row],[WeekDay]]=7),P1339,P1339+1)</f>
        <v>956</v>
      </c>
      <c r="S1340">
        <f>IF(OR(calendar[[#This Row],[PT_BH]]=1,calendar[[#This Row],[WeekDay]]=1, calendar[[#This Row],[WeekDay]]=7),P1339,P1339+1)</f>
        <v>956</v>
      </c>
    </row>
    <row r="1341" spans="1:19" x14ac:dyDescent="0.25">
      <c r="A1341" s="2">
        <v>44075</v>
      </c>
      <c r="B1341" s="1">
        <f t="shared" si="103"/>
        <v>36</v>
      </c>
      <c r="C1341">
        <f t="shared" si="105"/>
        <v>9</v>
      </c>
      <c r="D1341" t="str">
        <f t="shared" si="106"/>
        <v>September</v>
      </c>
      <c r="E1341">
        <f t="shared" si="107"/>
        <v>2020</v>
      </c>
      <c r="F1341" t="str">
        <f>CONCATENATE(calendar[[#This Row],[Month]],"/",calendar[[#This Row],[Year]])</f>
        <v>9/2020</v>
      </c>
      <c r="G1341">
        <f>WEEKDAY(calendar[[#This Row],[Date]],1)</f>
        <v>3</v>
      </c>
      <c r="H1341" t="str">
        <f>TEXT(calendar[[#This Row],[WeekDay]],"dddd")</f>
        <v>Tuesday</v>
      </c>
      <c r="I1341">
        <f>IF((INT(calendar[[#This Row],[Count]]/7)-calendar[[#This Row],[Count]]/7)&lt;0,I1340,I1340+1)</f>
        <v>192</v>
      </c>
      <c r="J1341">
        <f t="shared" si="104"/>
        <v>1339</v>
      </c>
      <c r="K1341">
        <f>IF(calendar[[#This Row],[Month]]&lt;4,1,IF(calendar[[#This Row],[Month]]&lt;7,2,IF(calendar[[#This Row],[Month]]&lt;10,3,4)))</f>
        <v>3</v>
      </c>
      <c r="L1341">
        <f>IFERROR(IF(VLOOKUP(calendar[[#This Row],[Date]],BH!A:A,1,)&lt;&gt;"",1,0),0)</f>
        <v>0</v>
      </c>
      <c r="M1341">
        <f>IFERROR(IF(VLOOKUP(calendar[[#This Row],[Date]],BH!C:C,1,)&lt;&gt;"",1,0),0)</f>
        <v>0</v>
      </c>
      <c r="N1341">
        <f>IFERROR(IF(VLOOKUP(calendar[[#This Row],[Date]],BH!E:E,1,)&lt;&gt;"",1,0),0)</f>
        <v>0</v>
      </c>
      <c r="O1341">
        <f>IFERROR(IF(VLOOKUP(calendar[[#This Row],[Date]],BH!G:G,1,)&lt;&gt;"",1,0),0)</f>
        <v>0</v>
      </c>
      <c r="P1341">
        <f>IF(OR(calendar[[#This Row],[UK_BH]]=1,calendar[[#This Row],[WeekDay]]=1, calendar[[#This Row],[WeekDay]]=7),P1340,P1340+1)</f>
        <v>957</v>
      </c>
      <c r="Q1341">
        <f>IF(OR(calendar[[#This Row],[FR_BH]]=1,calendar[[#This Row],[WeekDay]]=1, calendar[[#This Row],[WeekDay]]=7),P1340,P1340+1)</f>
        <v>957</v>
      </c>
      <c r="R1341">
        <f>IF(OR(calendar[[#This Row],[SP_BH]]=1,calendar[[#This Row],[WeekDay]]=1, calendar[[#This Row],[WeekDay]]=7),P1340,P1340+1)</f>
        <v>957</v>
      </c>
      <c r="S1341">
        <f>IF(OR(calendar[[#This Row],[PT_BH]]=1,calendar[[#This Row],[WeekDay]]=1, calendar[[#This Row],[WeekDay]]=7),P1340,P1340+1)</f>
        <v>957</v>
      </c>
    </row>
    <row r="1342" spans="1:19" x14ac:dyDescent="0.25">
      <c r="A1342" s="2">
        <v>44076</v>
      </c>
      <c r="B1342" s="1">
        <f t="shared" si="103"/>
        <v>36</v>
      </c>
      <c r="C1342">
        <f t="shared" si="105"/>
        <v>9</v>
      </c>
      <c r="D1342" t="str">
        <f t="shared" si="106"/>
        <v>September</v>
      </c>
      <c r="E1342">
        <f t="shared" si="107"/>
        <v>2020</v>
      </c>
      <c r="F1342" t="str">
        <f>CONCATENATE(calendar[[#This Row],[Month]],"/",calendar[[#This Row],[Year]])</f>
        <v>9/2020</v>
      </c>
      <c r="G1342">
        <f>WEEKDAY(calendar[[#This Row],[Date]],1)</f>
        <v>4</v>
      </c>
      <c r="H1342" t="str">
        <f>TEXT(calendar[[#This Row],[WeekDay]],"dddd")</f>
        <v>Wednesday</v>
      </c>
      <c r="I1342">
        <f>IF((INT(calendar[[#This Row],[Count]]/7)-calendar[[#This Row],[Count]]/7)&lt;0,I1341,I1341+1)</f>
        <v>192</v>
      </c>
      <c r="J1342">
        <f t="shared" si="104"/>
        <v>1340</v>
      </c>
      <c r="K1342">
        <f>IF(calendar[[#This Row],[Month]]&lt;4,1,IF(calendar[[#This Row],[Month]]&lt;7,2,IF(calendar[[#This Row],[Month]]&lt;10,3,4)))</f>
        <v>3</v>
      </c>
      <c r="L1342">
        <f>IFERROR(IF(VLOOKUP(calendar[[#This Row],[Date]],BH!A:A,1,)&lt;&gt;"",1,0),0)</f>
        <v>0</v>
      </c>
      <c r="M1342">
        <f>IFERROR(IF(VLOOKUP(calendar[[#This Row],[Date]],BH!C:C,1,)&lt;&gt;"",1,0),0)</f>
        <v>0</v>
      </c>
      <c r="N1342">
        <f>IFERROR(IF(VLOOKUP(calendar[[#This Row],[Date]],BH!E:E,1,)&lt;&gt;"",1,0),0)</f>
        <v>0</v>
      </c>
      <c r="O1342">
        <f>IFERROR(IF(VLOOKUP(calendar[[#This Row],[Date]],BH!G:G,1,)&lt;&gt;"",1,0),0)</f>
        <v>0</v>
      </c>
      <c r="P1342">
        <f>IF(OR(calendar[[#This Row],[UK_BH]]=1,calendar[[#This Row],[WeekDay]]=1, calendar[[#This Row],[WeekDay]]=7),P1341,P1341+1)</f>
        <v>958</v>
      </c>
      <c r="Q1342">
        <f>IF(OR(calendar[[#This Row],[FR_BH]]=1,calendar[[#This Row],[WeekDay]]=1, calendar[[#This Row],[WeekDay]]=7),P1341,P1341+1)</f>
        <v>958</v>
      </c>
      <c r="R1342">
        <f>IF(OR(calendar[[#This Row],[SP_BH]]=1,calendar[[#This Row],[WeekDay]]=1, calendar[[#This Row],[WeekDay]]=7),P1341,P1341+1)</f>
        <v>958</v>
      </c>
      <c r="S1342">
        <f>IF(OR(calendar[[#This Row],[PT_BH]]=1,calendar[[#This Row],[WeekDay]]=1, calendar[[#This Row],[WeekDay]]=7),P1341,P1341+1)</f>
        <v>958</v>
      </c>
    </row>
    <row r="1343" spans="1:19" x14ac:dyDescent="0.25">
      <c r="A1343" s="2">
        <v>44077</v>
      </c>
      <c r="B1343" s="1">
        <f t="shared" si="103"/>
        <v>36</v>
      </c>
      <c r="C1343">
        <f t="shared" si="105"/>
        <v>9</v>
      </c>
      <c r="D1343" t="str">
        <f t="shared" si="106"/>
        <v>September</v>
      </c>
      <c r="E1343">
        <f t="shared" si="107"/>
        <v>2020</v>
      </c>
      <c r="F1343" t="str">
        <f>CONCATENATE(calendar[[#This Row],[Month]],"/",calendar[[#This Row],[Year]])</f>
        <v>9/2020</v>
      </c>
      <c r="G1343">
        <f>WEEKDAY(calendar[[#This Row],[Date]],1)</f>
        <v>5</v>
      </c>
      <c r="H1343" t="str">
        <f>TEXT(calendar[[#This Row],[WeekDay]],"dddd")</f>
        <v>Thursday</v>
      </c>
      <c r="I1343">
        <f>IF((INT(calendar[[#This Row],[Count]]/7)-calendar[[#This Row],[Count]]/7)&lt;0,I1342,I1342+1)</f>
        <v>192</v>
      </c>
      <c r="J1343">
        <f t="shared" si="104"/>
        <v>1341</v>
      </c>
      <c r="K1343">
        <f>IF(calendar[[#This Row],[Month]]&lt;4,1,IF(calendar[[#This Row],[Month]]&lt;7,2,IF(calendar[[#This Row],[Month]]&lt;10,3,4)))</f>
        <v>3</v>
      </c>
      <c r="L1343">
        <f>IFERROR(IF(VLOOKUP(calendar[[#This Row],[Date]],BH!A:A,1,)&lt;&gt;"",1,0),0)</f>
        <v>0</v>
      </c>
      <c r="M1343">
        <f>IFERROR(IF(VLOOKUP(calendar[[#This Row],[Date]],BH!C:C,1,)&lt;&gt;"",1,0),0)</f>
        <v>0</v>
      </c>
      <c r="N1343">
        <f>IFERROR(IF(VLOOKUP(calendar[[#This Row],[Date]],BH!E:E,1,)&lt;&gt;"",1,0),0)</f>
        <v>0</v>
      </c>
      <c r="O1343">
        <f>IFERROR(IF(VLOOKUP(calendar[[#This Row],[Date]],BH!G:G,1,)&lt;&gt;"",1,0),0)</f>
        <v>0</v>
      </c>
      <c r="P1343">
        <f>IF(OR(calendar[[#This Row],[UK_BH]]=1,calendar[[#This Row],[WeekDay]]=1, calendar[[#This Row],[WeekDay]]=7),P1342,P1342+1)</f>
        <v>959</v>
      </c>
      <c r="Q1343">
        <f>IF(OR(calendar[[#This Row],[FR_BH]]=1,calendar[[#This Row],[WeekDay]]=1, calendar[[#This Row],[WeekDay]]=7),P1342,P1342+1)</f>
        <v>959</v>
      </c>
      <c r="R1343">
        <f>IF(OR(calendar[[#This Row],[SP_BH]]=1,calendar[[#This Row],[WeekDay]]=1, calendar[[#This Row],[WeekDay]]=7),P1342,P1342+1)</f>
        <v>959</v>
      </c>
      <c r="S1343">
        <f>IF(OR(calendar[[#This Row],[PT_BH]]=1,calendar[[#This Row],[WeekDay]]=1, calendar[[#This Row],[WeekDay]]=7),P1342,P1342+1)</f>
        <v>959</v>
      </c>
    </row>
    <row r="1344" spans="1:19" x14ac:dyDescent="0.25">
      <c r="A1344" s="2">
        <v>44078</v>
      </c>
      <c r="B1344" s="1">
        <f t="shared" si="103"/>
        <v>36</v>
      </c>
      <c r="C1344">
        <f t="shared" si="105"/>
        <v>9</v>
      </c>
      <c r="D1344" t="str">
        <f t="shared" si="106"/>
        <v>September</v>
      </c>
      <c r="E1344">
        <f t="shared" si="107"/>
        <v>2020</v>
      </c>
      <c r="F1344" t="str">
        <f>CONCATENATE(calendar[[#This Row],[Month]],"/",calendar[[#This Row],[Year]])</f>
        <v>9/2020</v>
      </c>
      <c r="G1344">
        <f>WEEKDAY(calendar[[#This Row],[Date]],1)</f>
        <v>6</v>
      </c>
      <c r="H1344" t="str">
        <f>TEXT(calendar[[#This Row],[WeekDay]],"dddd")</f>
        <v>Friday</v>
      </c>
      <c r="I1344">
        <f>IF((INT(calendar[[#This Row],[Count]]/7)-calendar[[#This Row],[Count]]/7)&lt;0,I1343,I1343+1)</f>
        <v>192</v>
      </c>
      <c r="J1344">
        <f t="shared" si="104"/>
        <v>1342</v>
      </c>
      <c r="K1344">
        <f>IF(calendar[[#This Row],[Month]]&lt;4,1,IF(calendar[[#This Row],[Month]]&lt;7,2,IF(calendar[[#This Row],[Month]]&lt;10,3,4)))</f>
        <v>3</v>
      </c>
      <c r="L1344">
        <f>IFERROR(IF(VLOOKUP(calendar[[#This Row],[Date]],BH!A:A,1,)&lt;&gt;"",1,0),0)</f>
        <v>0</v>
      </c>
      <c r="M1344">
        <f>IFERROR(IF(VLOOKUP(calendar[[#This Row],[Date]],BH!C:C,1,)&lt;&gt;"",1,0),0)</f>
        <v>0</v>
      </c>
      <c r="N1344">
        <f>IFERROR(IF(VLOOKUP(calendar[[#This Row],[Date]],BH!E:E,1,)&lt;&gt;"",1,0),0)</f>
        <v>0</v>
      </c>
      <c r="O1344">
        <f>IFERROR(IF(VLOOKUP(calendar[[#This Row],[Date]],BH!G:G,1,)&lt;&gt;"",1,0),0)</f>
        <v>0</v>
      </c>
      <c r="P1344">
        <f>IF(OR(calendar[[#This Row],[UK_BH]]=1,calendar[[#This Row],[WeekDay]]=1, calendar[[#This Row],[WeekDay]]=7),P1343,P1343+1)</f>
        <v>960</v>
      </c>
      <c r="Q1344">
        <f>IF(OR(calendar[[#This Row],[FR_BH]]=1,calendar[[#This Row],[WeekDay]]=1, calendar[[#This Row],[WeekDay]]=7),P1343,P1343+1)</f>
        <v>960</v>
      </c>
      <c r="R1344">
        <f>IF(OR(calendar[[#This Row],[SP_BH]]=1,calendar[[#This Row],[WeekDay]]=1, calendar[[#This Row],[WeekDay]]=7),P1343,P1343+1)</f>
        <v>960</v>
      </c>
      <c r="S1344">
        <f>IF(OR(calendar[[#This Row],[PT_BH]]=1,calendar[[#This Row],[WeekDay]]=1, calendar[[#This Row],[WeekDay]]=7),P1343,P1343+1)</f>
        <v>960</v>
      </c>
    </row>
    <row r="1345" spans="1:19" x14ac:dyDescent="0.25">
      <c r="A1345" s="2">
        <v>44079</v>
      </c>
      <c r="B1345" s="1">
        <f t="shared" si="103"/>
        <v>36</v>
      </c>
      <c r="C1345">
        <f t="shared" si="105"/>
        <v>9</v>
      </c>
      <c r="D1345" t="str">
        <f t="shared" si="106"/>
        <v>September</v>
      </c>
      <c r="E1345">
        <f t="shared" si="107"/>
        <v>2020</v>
      </c>
      <c r="F1345" t="str">
        <f>CONCATENATE(calendar[[#This Row],[Month]],"/",calendar[[#This Row],[Year]])</f>
        <v>9/2020</v>
      </c>
      <c r="G1345">
        <f>WEEKDAY(calendar[[#This Row],[Date]],1)</f>
        <v>7</v>
      </c>
      <c r="H1345" t="str">
        <f>TEXT(calendar[[#This Row],[WeekDay]],"dddd")</f>
        <v>Saturday</v>
      </c>
      <c r="I1345">
        <f>IF((INT(calendar[[#This Row],[Count]]/7)-calendar[[#This Row],[Count]]/7)&lt;0,I1344,I1344+1)</f>
        <v>192</v>
      </c>
      <c r="J1345">
        <f t="shared" si="104"/>
        <v>1343</v>
      </c>
      <c r="K1345">
        <f>IF(calendar[[#This Row],[Month]]&lt;4,1,IF(calendar[[#This Row],[Month]]&lt;7,2,IF(calendar[[#This Row],[Month]]&lt;10,3,4)))</f>
        <v>3</v>
      </c>
      <c r="L1345">
        <f>IFERROR(IF(VLOOKUP(calendar[[#This Row],[Date]],BH!A:A,1,)&lt;&gt;"",1,0),0)</f>
        <v>0</v>
      </c>
      <c r="M1345">
        <f>IFERROR(IF(VLOOKUP(calendar[[#This Row],[Date]],BH!C:C,1,)&lt;&gt;"",1,0),0)</f>
        <v>0</v>
      </c>
      <c r="N1345">
        <f>IFERROR(IF(VLOOKUP(calendar[[#This Row],[Date]],BH!E:E,1,)&lt;&gt;"",1,0),0)</f>
        <v>0</v>
      </c>
      <c r="O1345">
        <f>IFERROR(IF(VLOOKUP(calendar[[#This Row],[Date]],BH!G:G,1,)&lt;&gt;"",1,0),0)</f>
        <v>0</v>
      </c>
      <c r="P1345">
        <f>IF(OR(calendar[[#This Row],[UK_BH]]=1,calendar[[#This Row],[WeekDay]]=1, calendar[[#This Row],[WeekDay]]=7),P1344,P1344+1)</f>
        <v>960</v>
      </c>
      <c r="Q1345">
        <f>IF(OR(calendar[[#This Row],[FR_BH]]=1,calendar[[#This Row],[WeekDay]]=1, calendar[[#This Row],[WeekDay]]=7),P1344,P1344+1)</f>
        <v>960</v>
      </c>
      <c r="R1345">
        <f>IF(OR(calendar[[#This Row],[SP_BH]]=1,calendar[[#This Row],[WeekDay]]=1, calendar[[#This Row],[WeekDay]]=7),P1344,P1344+1)</f>
        <v>960</v>
      </c>
      <c r="S1345">
        <f>IF(OR(calendar[[#This Row],[PT_BH]]=1,calendar[[#This Row],[WeekDay]]=1, calendar[[#This Row],[WeekDay]]=7),P1344,P1344+1)</f>
        <v>960</v>
      </c>
    </row>
    <row r="1346" spans="1:19" x14ac:dyDescent="0.25">
      <c r="A1346" s="2">
        <v>44080</v>
      </c>
      <c r="B1346" s="1">
        <f t="shared" ref="B1346:B1409" si="108">WEEKNUM(A1346)</f>
        <v>37</v>
      </c>
      <c r="C1346">
        <f t="shared" si="105"/>
        <v>9</v>
      </c>
      <c r="D1346" t="str">
        <f t="shared" si="106"/>
        <v>September</v>
      </c>
      <c r="E1346">
        <f t="shared" si="107"/>
        <v>2020</v>
      </c>
      <c r="F1346" t="str">
        <f>CONCATENATE(calendar[[#This Row],[Month]],"/",calendar[[#This Row],[Year]])</f>
        <v>9/2020</v>
      </c>
      <c r="G1346">
        <f>WEEKDAY(calendar[[#This Row],[Date]],1)</f>
        <v>1</v>
      </c>
      <c r="H1346" t="str">
        <f>TEXT(calendar[[#This Row],[WeekDay]],"dddd")</f>
        <v>Sunday</v>
      </c>
      <c r="I1346">
        <f>IF((INT(calendar[[#This Row],[Count]]/7)-calendar[[#This Row],[Count]]/7)&lt;0,I1345,I1345+1)</f>
        <v>193</v>
      </c>
      <c r="J1346">
        <f t="shared" si="104"/>
        <v>1344</v>
      </c>
      <c r="K1346">
        <f>IF(calendar[[#This Row],[Month]]&lt;4,1,IF(calendar[[#This Row],[Month]]&lt;7,2,IF(calendar[[#This Row],[Month]]&lt;10,3,4)))</f>
        <v>3</v>
      </c>
      <c r="L1346">
        <f>IFERROR(IF(VLOOKUP(calendar[[#This Row],[Date]],BH!A:A,1,)&lt;&gt;"",1,0),0)</f>
        <v>0</v>
      </c>
      <c r="M1346">
        <f>IFERROR(IF(VLOOKUP(calendar[[#This Row],[Date]],BH!C:C,1,)&lt;&gt;"",1,0),0)</f>
        <v>0</v>
      </c>
      <c r="N1346">
        <f>IFERROR(IF(VLOOKUP(calendar[[#This Row],[Date]],BH!E:E,1,)&lt;&gt;"",1,0),0)</f>
        <v>0</v>
      </c>
      <c r="O1346">
        <f>IFERROR(IF(VLOOKUP(calendar[[#This Row],[Date]],BH!G:G,1,)&lt;&gt;"",1,0),0)</f>
        <v>0</v>
      </c>
      <c r="P1346">
        <f>IF(OR(calendar[[#This Row],[UK_BH]]=1,calendar[[#This Row],[WeekDay]]=1, calendar[[#This Row],[WeekDay]]=7),P1345,P1345+1)</f>
        <v>960</v>
      </c>
      <c r="Q1346">
        <f>IF(OR(calendar[[#This Row],[FR_BH]]=1,calendar[[#This Row],[WeekDay]]=1, calendar[[#This Row],[WeekDay]]=7),P1345,P1345+1)</f>
        <v>960</v>
      </c>
      <c r="R1346">
        <f>IF(OR(calendar[[#This Row],[SP_BH]]=1,calendar[[#This Row],[WeekDay]]=1, calendar[[#This Row],[WeekDay]]=7),P1345,P1345+1)</f>
        <v>960</v>
      </c>
      <c r="S1346">
        <f>IF(OR(calendar[[#This Row],[PT_BH]]=1,calendar[[#This Row],[WeekDay]]=1, calendar[[#This Row],[WeekDay]]=7),P1345,P1345+1)</f>
        <v>960</v>
      </c>
    </row>
    <row r="1347" spans="1:19" x14ac:dyDescent="0.25">
      <c r="A1347" s="2">
        <v>44081</v>
      </c>
      <c r="B1347" s="1">
        <f t="shared" si="108"/>
        <v>37</v>
      </c>
      <c r="C1347">
        <f t="shared" si="105"/>
        <v>9</v>
      </c>
      <c r="D1347" t="str">
        <f t="shared" si="106"/>
        <v>September</v>
      </c>
      <c r="E1347">
        <f t="shared" si="107"/>
        <v>2020</v>
      </c>
      <c r="F1347" t="str">
        <f>CONCATENATE(calendar[[#This Row],[Month]],"/",calendar[[#This Row],[Year]])</f>
        <v>9/2020</v>
      </c>
      <c r="G1347">
        <f>WEEKDAY(calendar[[#This Row],[Date]],1)</f>
        <v>2</v>
      </c>
      <c r="H1347" t="str">
        <f>TEXT(calendar[[#This Row],[WeekDay]],"dddd")</f>
        <v>Monday</v>
      </c>
      <c r="I1347">
        <f>IF((INT(calendar[[#This Row],[Count]]/7)-calendar[[#This Row],[Count]]/7)&lt;0,I1346,I1346+1)</f>
        <v>193</v>
      </c>
      <c r="J1347">
        <f t="shared" ref="J1347:J1410" si="109">J1346+1</f>
        <v>1345</v>
      </c>
      <c r="K1347">
        <f>IF(calendar[[#This Row],[Month]]&lt;4,1,IF(calendar[[#This Row],[Month]]&lt;7,2,IF(calendar[[#This Row],[Month]]&lt;10,3,4)))</f>
        <v>3</v>
      </c>
      <c r="L1347">
        <f>IFERROR(IF(VLOOKUP(calendar[[#This Row],[Date]],BH!A:A,1,)&lt;&gt;"",1,0),0)</f>
        <v>0</v>
      </c>
      <c r="M1347">
        <f>IFERROR(IF(VLOOKUP(calendar[[#This Row],[Date]],BH!C:C,1,)&lt;&gt;"",1,0),0)</f>
        <v>0</v>
      </c>
      <c r="N1347">
        <f>IFERROR(IF(VLOOKUP(calendar[[#This Row],[Date]],BH!E:E,1,)&lt;&gt;"",1,0),0)</f>
        <v>0</v>
      </c>
      <c r="O1347">
        <f>IFERROR(IF(VLOOKUP(calendar[[#This Row],[Date]],BH!G:G,1,)&lt;&gt;"",1,0),0)</f>
        <v>0</v>
      </c>
      <c r="P1347">
        <f>IF(OR(calendar[[#This Row],[UK_BH]]=1,calendar[[#This Row],[WeekDay]]=1, calendar[[#This Row],[WeekDay]]=7),P1346,P1346+1)</f>
        <v>961</v>
      </c>
      <c r="Q1347">
        <f>IF(OR(calendar[[#This Row],[FR_BH]]=1,calendar[[#This Row],[WeekDay]]=1, calendar[[#This Row],[WeekDay]]=7),P1346,P1346+1)</f>
        <v>961</v>
      </c>
      <c r="R1347">
        <f>IF(OR(calendar[[#This Row],[SP_BH]]=1,calendar[[#This Row],[WeekDay]]=1, calendar[[#This Row],[WeekDay]]=7),P1346,P1346+1)</f>
        <v>961</v>
      </c>
      <c r="S1347">
        <f>IF(OR(calendar[[#This Row],[PT_BH]]=1,calendar[[#This Row],[WeekDay]]=1, calendar[[#This Row],[WeekDay]]=7),P1346,P1346+1)</f>
        <v>961</v>
      </c>
    </row>
    <row r="1348" spans="1:19" x14ac:dyDescent="0.25">
      <c r="A1348" s="2">
        <v>44082</v>
      </c>
      <c r="B1348" s="1">
        <f t="shared" si="108"/>
        <v>37</v>
      </c>
      <c r="C1348">
        <f t="shared" si="105"/>
        <v>9</v>
      </c>
      <c r="D1348" t="str">
        <f t="shared" si="106"/>
        <v>September</v>
      </c>
      <c r="E1348">
        <f t="shared" si="107"/>
        <v>2020</v>
      </c>
      <c r="F1348" t="str">
        <f>CONCATENATE(calendar[[#This Row],[Month]],"/",calendar[[#This Row],[Year]])</f>
        <v>9/2020</v>
      </c>
      <c r="G1348">
        <f>WEEKDAY(calendar[[#This Row],[Date]],1)</f>
        <v>3</v>
      </c>
      <c r="H1348" t="str">
        <f>TEXT(calendar[[#This Row],[WeekDay]],"dddd")</f>
        <v>Tuesday</v>
      </c>
      <c r="I1348">
        <f>IF((INT(calendar[[#This Row],[Count]]/7)-calendar[[#This Row],[Count]]/7)&lt;0,I1347,I1347+1)</f>
        <v>193</v>
      </c>
      <c r="J1348">
        <f t="shared" si="109"/>
        <v>1346</v>
      </c>
      <c r="K1348">
        <f>IF(calendar[[#This Row],[Month]]&lt;4,1,IF(calendar[[#This Row],[Month]]&lt;7,2,IF(calendar[[#This Row],[Month]]&lt;10,3,4)))</f>
        <v>3</v>
      </c>
      <c r="L1348">
        <f>IFERROR(IF(VLOOKUP(calendar[[#This Row],[Date]],BH!A:A,1,)&lt;&gt;"",1,0),0)</f>
        <v>0</v>
      </c>
      <c r="M1348">
        <f>IFERROR(IF(VLOOKUP(calendar[[#This Row],[Date]],BH!C:C,1,)&lt;&gt;"",1,0),0)</f>
        <v>0</v>
      </c>
      <c r="N1348">
        <f>IFERROR(IF(VLOOKUP(calendar[[#This Row],[Date]],BH!E:E,1,)&lt;&gt;"",1,0),0)</f>
        <v>0</v>
      </c>
      <c r="O1348">
        <f>IFERROR(IF(VLOOKUP(calendar[[#This Row],[Date]],BH!G:G,1,)&lt;&gt;"",1,0),0)</f>
        <v>0</v>
      </c>
      <c r="P1348">
        <f>IF(OR(calendar[[#This Row],[UK_BH]]=1,calendar[[#This Row],[WeekDay]]=1, calendar[[#This Row],[WeekDay]]=7),P1347,P1347+1)</f>
        <v>962</v>
      </c>
      <c r="Q1348">
        <f>IF(OR(calendar[[#This Row],[FR_BH]]=1,calendar[[#This Row],[WeekDay]]=1, calendar[[#This Row],[WeekDay]]=7),P1347,P1347+1)</f>
        <v>962</v>
      </c>
      <c r="R1348">
        <f>IF(OR(calendar[[#This Row],[SP_BH]]=1,calendar[[#This Row],[WeekDay]]=1, calendar[[#This Row],[WeekDay]]=7),P1347,P1347+1)</f>
        <v>962</v>
      </c>
      <c r="S1348">
        <f>IF(OR(calendar[[#This Row],[PT_BH]]=1,calendar[[#This Row],[WeekDay]]=1, calendar[[#This Row],[WeekDay]]=7),P1347,P1347+1)</f>
        <v>962</v>
      </c>
    </row>
    <row r="1349" spans="1:19" x14ac:dyDescent="0.25">
      <c r="A1349" s="2">
        <v>44083</v>
      </c>
      <c r="B1349" s="1">
        <f t="shared" si="108"/>
        <v>37</v>
      </c>
      <c r="C1349">
        <f t="shared" si="105"/>
        <v>9</v>
      </c>
      <c r="D1349" t="str">
        <f t="shared" si="106"/>
        <v>September</v>
      </c>
      <c r="E1349">
        <f t="shared" si="107"/>
        <v>2020</v>
      </c>
      <c r="F1349" t="str">
        <f>CONCATENATE(calendar[[#This Row],[Month]],"/",calendar[[#This Row],[Year]])</f>
        <v>9/2020</v>
      </c>
      <c r="G1349">
        <f>WEEKDAY(calendar[[#This Row],[Date]],1)</f>
        <v>4</v>
      </c>
      <c r="H1349" t="str">
        <f>TEXT(calendar[[#This Row],[WeekDay]],"dddd")</f>
        <v>Wednesday</v>
      </c>
      <c r="I1349">
        <f>IF((INT(calendar[[#This Row],[Count]]/7)-calendar[[#This Row],[Count]]/7)&lt;0,I1348,I1348+1)</f>
        <v>193</v>
      </c>
      <c r="J1349">
        <f t="shared" si="109"/>
        <v>1347</v>
      </c>
      <c r="K1349">
        <f>IF(calendar[[#This Row],[Month]]&lt;4,1,IF(calendar[[#This Row],[Month]]&lt;7,2,IF(calendar[[#This Row],[Month]]&lt;10,3,4)))</f>
        <v>3</v>
      </c>
      <c r="L1349">
        <f>IFERROR(IF(VLOOKUP(calendar[[#This Row],[Date]],BH!A:A,1,)&lt;&gt;"",1,0),0)</f>
        <v>0</v>
      </c>
      <c r="M1349">
        <f>IFERROR(IF(VLOOKUP(calendar[[#This Row],[Date]],BH!C:C,1,)&lt;&gt;"",1,0),0)</f>
        <v>0</v>
      </c>
      <c r="N1349">
        <f>IFERROR(IF(VLOOKUP(calendar[[#This Row],[Date]],BH!E:E,1,)&lt;&gt;"",1,0),0)</f>
        <v>0</v>
      </c>
      <c r="O1349">
        <f>IFERROR(IF(VLOOKUP(calendar[[#This Row],[Date]],BH!G:G,1,)&lt;&gt;"",1,0),0)</f>
        <v>0</v>
      </c>
      <c r="P1349">
        <f>IF(OR(calendar[[#This Row],[UK_BH]]=1,calendar[[#This Row],[WeekDay]]=1, calendar[[#This Row],[WeekDay]]=7),P1348,P1348+1)</f>
        <v>963</v>
      </c>
      <c r="Q1349">
        <f>IF(OR(calendar[[#This Row],[FR_BH]]=1,calendar[[#This Row],[WeekDay]]=1, calendar[[#This Row],[WeekDay]]=7),P1348,P1348+1)</f>
        <v>963</v>
      </c>
      <c r="R1349">
        <f>IF(OR(calendar[[#This Row],[SP_BH]]=1,calendar[[#This Row],[WeekDay]]=1, calendar[[#This Row],[WeekDay]]=7),P1348,P1348+1)</f>
        <v>963</v>
      </c>
      <c r="S1349">
        <f>IF(OR(calendar[[#This Row],[PT_BH]]=1,calendar[[#This Row],[WeekDay]]=1, calendar[[#This Row],[WeekDay]]=7),P1348,P1348+1)</f>
        <v>963</v>
      </c>
    </row>
    <row r="1350" spans="1:19" x14ac:dyDescent="0.25">
      <c r="A1350" s="2">
        <v>44084</v>
      </c>
      <c r="B1350" s="1">
        <f t="shared" si="108"/>
        <v>37</v>
      </c>
      <c r="C1350">
        <f t="shared" si="105"/>
        <v>9</v>
      </c>
      <c r="D1350" t="str">
        <f t="shared" si="106"/>
        <v>September</v>
      </c>
      <c r="E1350">
        <f t="shared" si="107"/>
        <v>2020</v>
      </c>
      <c r="F1350" t="str">
        <f>CONCATENATE(calendar[[#This Row],[Month]],"/",calendar[[#This Row],[Year]])</f>
        <v>9/2020</v>
      </c>
      <c r="G1350">
        <f>WEEKDAY(calendar[[#This Row],[Date]],1)</f>
        <v>5</v>
      </c>
      <c r="H1350" t="str">
        <f>TEXT(calendar[[#This Row],[WeekDay]],"dddd")</f>
        <v>Thursday</v>
      </c>
      <c r="I1350">
        <f>IF((INT(calendar[[#This Row],[Count]]/7)-calendar[[#This Row],[Count]]/7)&lt;0,I1349,I1349+1)</f>
        <v>193</v>
      </c>
      <c r="J1350">
        <f t="shared" si="109"/>
        <v>1348</v>
      </c>
      <c r="K1350">
        <f>IF(calendar[[#This Row],[Month]]&lt;4,1,IF(calendar[[#This Row],[Month]]&lt;7,2,IF(calendar[[#This Row],[Month]]&lt;10,3,4)))</f>
        <v>3</v>
      </c>
      <c r="L1350">
        <f>IFERROR(IF(VLOOKUP(calendar[[#This Row],[Date]],BH!A:A,1,)&lt;&gt;"",1,0),0)</f>
        <v>0</v>
      </c>
      <c r="M1350">
        <f>IFERROR(IF(VLOOKUP(calendar[[#This Row],[Date]],BH!C:C,1,)&lt;&gt;"",1,0),0)</f>
        <v>0</v>
      </c>
      <c r="N1350">
        <f>IFERROR(IF(VLOOKUP(calendar[[#This Row],[Date]],BH!E:E,1,)&lt;&gt;"",1,0),0)</f>
        <v>0</v>
      </c>
      <c r="O1350">
        <f>IFERROR(IF(VLOOKUP(calendar[[#This Row],[Date]],BH!G:G,1,)&lt;&gt;"",1,0),0)</f>
        <v>0</v>
      </c>
      <c r="P1350">
        <f>IF(OR(calendar[[#This Row],[UK_BH]]=1,calendar[[#This Row],[WeekDay]]=1, calendar[[#This Row],[WeekDay]]=7),P1349,P1349+1)</f>
        <v>964</v>
      </c>
      <c r="Q1350">
        <f>IF(OR(calendar[[#This Row],[FR_BH]]=1,calendar[[#This Row],[WeekDay]]=1, calendar[[#This Row],[WeekDay]]=7),P1349,P1349+1)</f>
        <v>964</v>
      </c>
      <c r="R1350">
        <f>IF(OR(calendar[[#This Row],[SP_BH]]=1,calendar[[#This Row],[WeekDay]]=1, calendar[[#This Row],[WeekDay]]=7),P1349,P1349+1)</f>
        <v>964</v>
      </c>
      <c r="S1350">
        <f>IF(OR(calendar[[#This Row],[PT_BH]]=1,calendar[[#This Row],[WeekDay]]=1, calendar[[#This Row],[WeekDay]]=7),P1349,P1349+1)</f>
        <v>964</v>
      </c>
    </row>
    <row r="1351" spans="1:19" x14ac:dyDescent="0.25">
      <c r="A1351" s="2">
        <v>44085</v>
      </c>
      <c r="B1351" s="1">
        <f t="shared" si="108"/>
        <v>37</v>
      </c>
      <c r="C1351">
        <f t="shared" si="105"/>
        <v>9</v>
      </c>
      <c r="D1351" t="str">
        <f t="shared" si="106"/>
        <v>September</v>
      </c>
      <c r="E1351">
        <f t="shared" si="107"/>
        <v>2020</v>
      </c>
      <c r="F1351" t="str">
        <f>CONCATENATE(calendar[[#This Row],[Month]],"/",calendar[[#This Row],[Year]])</f>
        <v>9/2020</v>
      </c>
      <c r="G1351">
        <f>WEEKDAY(calendar[[#This Row],[Date]],1)</f>
        <v>6</v>
      </c>
      <c r="H1351" t="str">
        <f>TEXT(calendar[[#This Row],[WeekDay]],"dddd")</f>
        <v>Friday</v>
      </c>
      <c r="I1351">
        <f>IF((INT(calendar[[#This Row],[Count]]/7)-calendar[[#This Row],[Count]]/7)&lt;0,I1350,I1350+1)</f>
        <v>193</v>
      </c>
      <c r="J1351">
        <f t="shared" si="109"/>
        <v>1349</v>
      </c>
      <c r="K1351">
        <f>IF(calendar[[#This Row],[Month]]&lt;4,1,IF(calendar[[#This Row],[Month]]&lt;7,2,IF(calendar[[#This Row],[Month]]&lt;10,3,4)))</f>
        <v>3</v>
      </c>
      <c r="L1351">
        <f>IFERROR(IF(VLOOKUP(calendar[[#This Row],[Date]],BH!A:A,1,)&lt;&gt;"",1,0),0)</f>
        <v>0</v>
      </c>
      <c r="M1351">
        <f>IFERROR(IF(VLOOKUP(calendar[[#This Row],[Date]],BH!C:C,1,)&lt;&gt;"",1,0),0)</f>
        <v>0</v>
      </c>
      <c r="N1351">
        <f>IFERROR(IF(VLOOKUP(calendar[[#This Row],[Date]],BH!E:E,1,)&lt;&gt;"",1,0),0)</f>
        <v>0</v>
      </c>
      <c r="O1351">
        <f>IFERROR(IF(VLOOKUP(calendar[[#This Row],[Date]],BH!G:G,1,)&lt;&gt;"",1,0),0)</f>
        <v>0</v>
      </c>
      <c r="P1351">
        <f>IF(OR(calendar[[#This Row],[UK_BH]]=1,calendar[[#This Row],[WeekDay]]=1, calendar[[#This Row],[WeekDay]]=7),P1350,P1350+1)</f>
        <v>965</v>
      </c>
      <c r="Q1351">
        <f>IF(OR(calendar[[#This Row],[FR_BH]]=1,calendar[[#This Row],[WeekDay]]=1, calendar[[#This Row],[WeekDay]]=7),P1350,P1350+1)</f>
        <v>965</v>
      </c>
      <c r="R1351">
        <f>IF(OR(calendar[[#This Row],[SP_BH]]=1,calendar[[#This Row],[WeekDay]]=1, calendar[[#This Row],[WeekDay]]=7),P1350,P1350+1)</f>
        <v>965</v>
      </c>
      <c r="S1351">
        <f>IF(OR(calendar[[#This Row],[PT_BH]]=1,calendar[[#This Row],[WeekDay]]=1, calendar[[#This Row],[WeekDay]]=7),P1350,P1350+1)</f>
        <v>965</v>
      </c>
    </row>
    <row r="1352" spans="1:19" x14ac:dyDescent="0.25">
      <c r="A1352" s="2">
        <v>44086</v>
      </c>
      <c r="B1352" s="1">
        <f t="shared" si="108"/>
        <v>37</v>
      </c>
      <c r="C1352">
        <f t="shared" si="105"/>
        <v>9</v>
      </c>
      <c r="D1352" t="str">
        <f t="shared" si="106"/>
        <v>September</v>
      </c>
      <c r="E1352">
        <f t="shared" si="107"/>
        <v>2020</v>
      </c>
      <c r="F1352" t="str">
        <f>CONCATENATE(calendar[[#This Row],[Month]],"/",calendar[[#This Row],[Year]])</f>
        <v>9/2020</v>
      </c>
      <c r="G1352">
        <f>WEEKDAY(calendar[[#This Row],[Date]],1)</f>
        <v>7</v>
      </c>
      <c r="H1352" t="str">
        <f>TEXT(calendar[[#This Row],[WeekDay]],"dddd")</f>
        <v>Saturday</v>
      </c>
      <c r="I1352">
        <f>IF((INT(calendar[[#This Row],[Count]]/7)-calendar[[#This Row],[Count]]/7)&lt;0,I1351,I1351+1)</f>
        <v>193</v>
      </c>
      <c r="J1352">
        <f t="shared" si="109"/>
        <v>1350</v>
      </c>
      <c r="K1352">
        <f>IF(calendar[[#This Row],[Month]]&lt;4,1,IF(calendar[[#This Row],[Month]]&lt;7,2,IF(calendar[[#This Row],[Month]]&lt;10,3,4)))</f>
        <v>3</v>
      </c>
      <c r="L1352">
        <f>IFERROR(IF(VLOOKUP(calendar[[#This Row],[Date]],BH!A:A,1,)&lt;&gt;"",1,0),0)</f>
        <v>0</v>
      </c>
      <c r="M1352">
        <f>IFERROR(IF(VLOOKUP(calendar[[#This Row],[Date]],BH!C:C,1,)&lt;&gt;"",1,0),0)</f>
        <v>0</v>
      </c>
      <c r="N1352">
        <f>IFERROR(IF(VLOOKUP(calendar[[#This Row],[Date]],BH!E:E,1,)&lt;&gt;"",1,0),0)</f>
        <v>0</v>
      </c>
      <c r="O1352">
        <f>IFERROR(IF(VLOOKUP(calendar[[#This Row],[Date]],BH!G:G,1,)&lt;&gt;"",1,0),0)</f>
        <v>0</v>
      </c>
      <c r="P1352">
        <f>IF(OR(calendar[[#This Row],[UK_BH]]=1,calendar[[#This Row],[WeekDay]]=1, calendar[[#This Row],[WeekDay]]=7),P1351,P1351+1)</f>
        <v>965</v>
      </c>
      <c r="Q1352">
        <f>IF(OR(calendar[[#This Row],[FR_BH]]=1,calendar[[#This Row],[WeekDay]]=1, calendar[[#This Row],[WeekDay]]=7),P1351,P1351+1)</f>
        <v>965</v>
      </c>
      <c r="R1352">
        <f>IF(OR(calendar[[#This Row],[SP_BH]]=1,calendar[[#This Row],[WeekDay]]=1, calendar[[#This Row],[WeekDay]]=7),P1351,P1351+1)</f>
        <v>965</v>
      </c>
      <c r="S1352">
        <f>IF(OR(calendar[[#This Row],[PT_BH]]=1,calendar[[#This Row],[WeekDay]]=1, calendar[[#This Row],[WeekDay]]=7),P1351,P1351+1)</f>
        <v>965</v>
      </c>
    </row>
    <row r="1353" spans="1:19" x14ac:dyDescent="0.25">
      <c r="A1353" s="2">
        <v>44087</v>
      </c>
      <c r="B1353" s="1">
        <f t="shared" si="108"/>
        <v>38</v>
      </c>
      <c r="C1353">
        <f t="shared" si="105"/>
        <v>9</v>
      </c>
      <c r="D1353" t="str">
        <f t="shared" si="106"/>
        <v>September</v>
      </c>
      <c r="E1353">
        <f t="shared" si="107"/>
        <v>2020</v>
      </c>
      <c r="F1353" t="str">
        <f>CONCATENATE(calendar[[#This Row],[Month]],"/",calendar[[#This Row],[Year]])</f>
        <v>9/2020</v>
      </c>
      <c r="G1353">
        <f>WEEKDAY(calendar[[#This Row],[Date]],1)</f>
        <v>1</v>
      </c>
      <c r="H1353" t="str">
        <f>TEXT(calendar[[#This Row],[WeekDay]],"dddd")</f>
        <v>Sunday</v>
      </c>
      <c r="I1353">
        <f>IF((INT(calendar[[#This Row],[Count]]/7)-calendar[[#This Row],[Count]]/7)&lt;0,I1352,I1352+1)</f>
        <v>194</v>
      </c>
      <c r="J1353">
        <f t="shared" si="109"/>
        <v>1351</v>
      </c>
      <c r="K1353">
        <f>IF(calendar[[#This Row],[Month]]&lt;4,1,IF(calendar[[#This Row],[Month]]&lt;7,2,IF(calendar[[#This Row],[Month]]&lt;10,3,4)))</f>
        <v>3</v>
      </c>
      <c r="L1353">
        <f>IFERROR(IF(VLOOKUP(calendar[[#This Row],[Date]],BH!A:A,1,)&lt;&gt;"",1,0),0)</f>
        <v>0</v>
      </c>
      <c r="M1353">
        <f>IFERROR(IF(VLOOKUP(calendar[[#This Row],[Date]],BH!C:C,1,)&lt;&gt;"",1,0),0)</f>
        <v>0</v>
      </c>
      <c r="N1353">
        <f>IFERROR(IF(VLOOKUP(calendar[[#This Row],[Date]],BH!E:E,1,)&lt;&gt;"",1,0),0)</f>
        <v>0</v>
      </c>
      <c r="O1353">
        <f>IFERROR(IF(VLOOKUP(calendar[[#This Row],[Date]],BH!G:G,1,)&lt;&gt;"",1,0),0)</f>
        <v>0</v>
      </c>
      <c r="P1353">
        <f>IF(OR(calendar[[#This Row],[UK_BH]]=1,calendar[[#This Row],[WeekDay]]=1, calendar[[#This Row],[WeekDay]]=7),P1352,P1352+1)</f>
        <v>965</v>
      </c>
      <c r="Q1353">
        <f>IF(OR(calendar[[#This Row],[FR_BH]]=1,calendar[[#This Row],[WeekDay]]=1, calendar[[#This Row],[WeekDay]]=7),P1352,P1352+1)</f>
        <v>965</v>
      </c>
      <c r="R1353">
        <f>IF(OR(calendar[[#This Row],[SP_BH]]=1,calendar[[#This Row],[WeekDay]]=1, calendar[[#This Row],[WeekDay]]=7),P1352,P1352+1)</f>
        <v>965</v>
      </c>
      <c r="S1353">
        <f>IF(OR(calendar[[#This Row],[PT_BH]]=1,calendar[[#This Row],[WeekDay]]=1, calendar[[#This Row],[WeekDay]]=7),P1352,P1352+1)</f>
        <v>965</v>
      </c>
    </row>
    <row r="1354" spans="1:19" x14ac:dyDescent="0.25">
      <c r="A1354" s="2">
        <v>44088</v>
      </c>
      <c r="B1354" s="1">
        <f t="shared" si="108"/>
        <v>38</v>
      </c>
      <c r="C1354">
        <f t="shared" si="105"/>
        <v>9</v>
      </c>
      <c r="D1354" t="str">
        <f t="shared" si="106"/>
        <v>September</v>
      </c>
      <c r="E1354">
        <f t="shared" si="107"/>
        <v>2020</v>
      </c>
      <c r="F1354" t="str">
        <f>CONCATENATE(calendar[[#This Row],[Month]],"/",calendar[[#This Row],[Year]])</f>
        <v>9/2020</v>
      </c>
      <c r="G1354">
        <f>WEEKDAY(calendar[[#This Row],[Date]],1)</f>
        <v>2</v>
      </c>
      <c r="H1354" t="str">
        <f>TEXT(calendar[[#This Row],[WeekDay]],"dddd")</f>
        <v>Monday</v>
      </c>
      <c r="I1354">
        <f>IF((INT(calendar[[#This Row],[Count]]/7)-calendar[[#This Row],[Count]]/7)&lt;0,I1353,I1353+1)</f>
        <v>194</v>
      </c>
      <c r="J1354">
        <f t="shared" si="109"/>
        <v>1352</v>
      </c>
      <c r="K1354">
        <f>IF(calendar[[#This Row],[Month]]&lt;4,1,IF(calendar[[#This Row],[Month]]&lt;7,2,IF(calendar[[#This Row],[Month]]&lt;10,3,4)))</f>
        <v>3</v>
      </c>
      <c r="L1354">
        <f>IFERROR(IF(VLOOKUP(calendar[[#This Row],[Date]],BH!A:A,1,)&lt;&gt;"",1,0),0)</f>
        <v>0</v>
      </c>
      <c r="M1354">
        <f>IFERROR(IF(VLOOKUP(calendar[[#This Row],[Date]],BH!C:C,1,)&lt;&gt;"",1,0),0)</f>
        <v>0</v>
      </c>
      <c r="N1354">
        <f>IFERROR(IF(VLOOKUP(calendar[[#This Row],[Date]],BH!E:E,1,)&lt;&gt;"",1,0),0)</f>
        <v>0</v>
      </c>
      <c r="O1354">
        <f>IFERROR(IF(VLOOKUP(calendar[[#This Row],[Date]],BH!G:G,1,)&lt;&gt;"",1,0),0)</f>
        <v>0</v>
      </c>
      <c r="P1354">
        <f>IF(OR(calendar[[#This Row],[UK_BH]]=1,calendar[[#This Row],[WeekDay]]=1, calendar[[#This Row],[WeekDay]]=7),P1353,P1353+1)</f>
        <v>966</v>
      </c>
      <c r="Q1354">
        <f>IF(OR(calendar[[#This Row],[FR_BH]]=1,calendar[[#This Row],[WeekDay]]=1, calendar[[#This Row],[WeekDay]]=7),P1353,P1353+1)</f>
        <v>966</v>
      </c>
      <c r="R1354">
        <f>IF(OR(calendar[[#This Row],[SP_BH]]=1,calendar[[#This Row],[WeekDay]]=1, calendar[[#This Row],[WeekDay]]=7),P1353,P1353+1)</f>
        <v>966</v>
      </c>
      <c r="S1354">
        <f>IF(OR(calendar[[#This Row],[PT_BH]]=1,calendar[[#This Row],[WeekDay]]=1, calendar[[#This Row],[WeekDay]]=7),P1353,P1353+1)</f>
        <v>966</v>
      </c>
    </row>
    <row r="1355" spans="1:19" x14ac:dyDescent="0.25">
      <c r="A1355" s="2">
        <v>44089</v>
      </c>
      <c r="B1355" s="1">
        <f t="shared" si="108"/>
        <v>38</v>
      </c>
      <c r="C1355">
        <f t="shared" si="105"/>
        <v>9</v>
      </c>
      <c r="D1355" t="str">
        <f t="shared" si="106"/>
        <v>September</v>
      </c>
      <c r="E1355">
        <f t="shared" si="107"/>
        <v>2020</v>
      </c>
      <c r="F1355" t="str">
        <f>CONCATENATE(calendar[[#This Row],[Month]],"/",calendar[[#This Row],[Year]])</f>
        <v>9/2020</v>
      </c>
      <c r="G1355">
        <f>WEEKDAY(calendar[[#This Row],[Date]],1)</f>
        <v>3</v>
      </c>
      <c r="H1355" t="str">
        <f>TEXT(calendar[[#This Row],[WeekDay]],"dddd")</f>
        <v>Tuesday</v>
      </c>
      <c r="I1355">
        <f>IF((INT(calendar[[#This Row],[Count]]/7)-calendar[[#This Row],[Count]]/7)&lt;0,I1354,I1354+1)</f>
        <v>194</v>
      </c>
      <c r="J1355">
        <f t="shared" si="109"/>
        <v>1353</v>
      </c>
      <c r="K1355">
        <f>IF(calendar[[#This Row],[Month]]&lt;4,1,IF(calendar[[#This Row],[Month]]&lt;7,2,IF(calendar[[#This Row],[Month]]&lt;10,3,4)))</f>
        <v>3</v>
      </c>
      <c r="L1355">
        <f>IFERROR(IF(VLOOKUP(calendar[[#This Row],[Date]],BH!A:A,1,)&lt;&gt;"",1,0),0)</f>
        <v>0</v>
      </c>
      <c r="M1355">
        <f>IFERROR(IF(VLOOKUP(calendar[[#This Row],[Date]],BH!C:C,1,)&lt;&gt;"",1,0),0)</f>
        <v>0</v>
      </c>
      <c r="N1355">
        <f>IFERROR(IF(VLOOKUP(calendar[[#This Row],[Date]],BH!E:E,1,)&lt;&gt;"",1,0),0)</f>
        <v>0</v>
      </c>
      <c r="O1355">
        <f>IFERROR(IF(VLOOKUP(calendar[[#This Row],[Date]],BH!G:G,1,)&lt;&gt;"",1,0),0)</f>
        <v>0</v>
      </c>
      <c r="P1355">
        <f>IF(OR(calendar[[#This Row],[UK_BH]]=1,calendar[[#This Row],[WeekDay]]=1, calendar[[#This Row],[WeekDay]]=7),P1354,P1354+1)</f>
        <v>967</v>
      </c>
      <c r="Q1355">
        <f>IF(OR(calendar[[#This Row],[FR_BH]]=1,calendar[[#This Row],[WeekDay]]=1, calendar[[#This Row],[WeekDay]]=7),P1354,P1354+1)</f>
        <v>967</v>
      </c>
      <c r="R1355">
        <f>IF(OR(calendar[[#This Row],[SP_BH]]=1,calendar[[#This Row],[WeekDay]]=1, calendar[[#This Row],[WeekDay]]=7),P1354,P1354+1)</f>
        <v>967</v>
      </c>
      <c r="S1355">
        <f>IF(OR(calendar[[#This Row],[PT_BH]]=1,calendar[[#This Row],[WeekDay]]=1, calendar[[#This Row],[WeekDay]]=7),P1354,P1354+1)</f>
        <v>967</v>
      </c>
    </row>
    <row r="1356" spans="1:19" x14ac:dyDescent="0.25">
      <c r="A1356" s="2">
        <v>44090</v>
      </c>
      <c r="B1356" s="1">
        <f t="shared" si="108"/>
        <v>38</v>
      </c>
      <c r="C1356">
        <f t="shared" si="105"/>
        <v>9</v>
      </c>
      <c r="D1356" t="str">
        <f t="shared" si="106"/>
        <v>September</v>
      </c>
      <c r="E1356">
        <f t="shared" si="107"/>
        <v>2020</v>
      </c>
      <c r="F1356" t="str">
        <f>CONCATENATE(calendar[[#This Row],[Month]],"/",calendar[[#This Row],[Year]])</f>
        <v>9/2020</v>
      </c>
      <c r="G1356">
        <f>WEEKDAY(calendar[[#This Row],[Date]],1)</f>
        <v>4</v>
      </c>
      <c r="H1356" t="str">
        <f>TEXT(calendar[[#This Row],[WeekDay]],"dddd")</f>
        <v>Wednesday</v>
      </c>
      <c r="I1356">
        <f>IF((INT(calendar[[#This Row],[Count]]/7)-calendar[[#This Row],[Count]]/7)&lt;0,I1355,I1355+1)</f>
        <v>194</v>
      </c>
      <c r="J1356">
        <f t="shared" si="109"/>
        <v>1354</v>
      </c>
      <c r="K1356">
        <f>IF(calendar[[#This Row],[Month]]&lt;4,1,IF(calendar[[#This Row],[Month]]&lt;7,2,IF(calendar[[#This Row],[Month]]&lt;10,3,4)))</f>
        <v>3</v>
      </c>
      <c r="L1356">
        <f>IFERROR(IF(VLOOKUP(calendar[[#This Row],[Date]],BH!A:A,1,)&lt;&gt;"",1,0),0)</f>
        <v>0</v>
      </c>
      <c r="M1356">
        <f>IFERROR(IF(VLOOKUP(calendar[[#This Row],[Date]],BH!C:C,1,)&lt;&gt;"",1,0),0)</f>
        <v>0</v>
      </c>
      <c r="N1356">
        <f>IFERROR(IF(VLOOKUP(calendar[[#This Row],[Date]],BH!E:E,1,)&lt;&gt;"",1,0),0)</f>
        <v>0</v>
      </c>
      <c r="O1356">
        <f>IFERROR(IF(VLOOKUP(calendar[[#This Row],[Date]],BH!G:G,1,)&lt;&gt;"",1,0),0)</f>
        <v>0</v>
      </c>
      <c r="P1356">
        <f>IF(OR(calendar[[#This Row],[UK_BH]]=1,calendar[[#This Row],[WeekDay]]=1, calendar[[#This Row],[WeekDay]]=7),P1355,P1355+1)</f>
        <v>968</v>
      </c>
      <c r="Q1356">
        <f>IF(OR(calendar[[#This Row],[FR_BH]]=1,calendar[[#This Row],[WeekDay]]=1, calendar[[#This Row],[WeekDay]]=7),P1355,P1355+1)</f>
        <v>968</v>
      </c>
      <c r="R1356">
        <f>IF(OR(calendar[[#This Row],[SP_BH]]=1,calendar[[#This Row],[WeekDay]]=1, calendar[[#This Row],[WeekDay]]=7),P1355,P1355+1)</f>
        <v>968</v>
      </c>
      <c r="S1356">
        <f>IF(OR(calendar[[#This Row],[PT_BH]]=1,calendar[[#This Row],[WeekDay]]=1, calendar[[#This Row],[WeekDay]]=7),P1355,P1355+1)</f>
        <v>968</v>
      </c>
    </row>
    <row r="1357" spans="1:19" x14ac:dyDescent="0.25">
      <c r="A1357" s="2">
        <v>44091</v>
      </c>
      <c r="B1357" s="1">
        <f t="shared" si="108"/>
        <v>38</v>
      </c>
      <c r="C1357">
        <f t="shared" si="105"/>
        <v>9</v>
      </c>
      <c r="D1357" t="str">
        <f t="shared" si="106"/>
        <v>September</v>
      </c>
      <c r="E1357">
        <f t="shared" si="107"/>
        <v>2020</v>
      </c>
      <c r="F1357" t="str">
        <f>CONCATENATE(calendar[[#This Row],[Month]],"/",calendar[[#This Row],[Year]])</f>
        <v>9/2020</v>
      </c>
      <c r="G1357">
        <f>WEEKDAY(calendar[[#This Row],[Date]],1)</f>
        <v>5</v>
      </c>
      <c r="H1357" t="str">
        <f>TEXT(calendar[[#This Row],[WeekDay]],"dddd")</f>
        <v>Thursday</v>
      </c>
      <c r="I1357">
        <f>IF((INT(calendar[[#This Row],[Count]]/7)-calendar[[#This Row],[Count]]/7)&lt;0,I1356,I1356+1)</f>
        <v>194</v>
      </c>
      <c r="J1357">
        <f t="shared" si="109"/>
        <v>1355</v>
      </c>
      <c r="K1357">
        <f>IF(calendar[[#This Row],[Month]]&lt;4,1,IF(calendar[[#This Row],[Month]]&lt;7,2,IF(calendar[[#This Row],[Month]]&lt;10,3,4)))</f>
        <v>3</v>
      </c>
      <c r="L1357">
        <f>IFERROR(IF(VLOOKUP(calendar[[#This Row],[Date]],BH!A:A,1,)&lt;&gt;"",1,0),0)</f>
        <v>0</v>
      </c>
      <c r="M1357">
        <f>IFERROR(IF(VLOOKUP(calendar[[#This Row],[Date]],BH!C:C,1,)&lt;&gt;"",1,0),0)</f>
        <v>0</v>
      </c>
      <c r="N1357">
        <f>IFERROR(IF(VLOOKUP(calendar[[#This Row],[Date]],BH!E:E,1,)&lt;&gt;"",1,0),0)</f>
        <v>0</v>
      </c>
      <c r="O1357">
        <f>IFERROR(IF(VLOOKUP(calendar[[#This Row],[Date]],BH!G:G,1,)&lt;&gt;"",1,0),0)</f>
        <v>0</v>
      </c>
      <c r="P1357">
        <f>IF(OR(calendar[[#This Row],[UK_BH]]=1,calendar[[#This Row],[WeekDay]]=1, calendar[[#This Row],[WeekDay]]=7),P1356,P1356+1)</f>
        <v>969</v>
      </c>
      <c r="Q1357">
        <f>IF(OR(calendar[[#This Row],[FR_BH]]=1,calendar[[#This Row],[WeekDay]]=1, calendar[[#This Row],[WeekDay]]=7),P1356,P1356+1)</f>
        <v>969</v>
      </c>
      <c r="R1357">
        <f>IF(OR(calendar[[#This Row],[SP_BH]]=1,calendar[[#This Row],[WeekDay]]=1, calendar[[#This Row],[WeekDay]]=7),P1356,P1356+1)</f>
        <v>969</v>
      </c>
      <c r="S1357">
        <f>IF(OR(calendar[[#This Row],[PT_BH]]=1,calendar[[#This Row],[WeekDay]]=1, calendar[[#This Row],[WeekDay]]=7),P1356,P1356+1)</f>
        <v>969</v>
      </c>
    </row>
    <row r="1358" spans="1:19" x14ac:dyDescent="0.25">
      <c r="A1358" s="2">
        <v>44092</v>
      </c>
      <c r="B1358" s="1">
        <f t="shared" si="108"/>
        <v>38</v>
      </c>
      <c r="C1358">
        <f t="shared" si="105"/>
        <v>9</v>
      </c>
      <c r="D1358" t="str">
        <f t="shared" si="106"/>
        <v>September</v>
      </c>
      <c r="E1358">
        <f t="shared" si="107"/>
        <v>2020</v>
      </c>
      <c r="F1358" t="str">
        <f>CONCATENATE(calendar[[#This Row],[Month]],"/",calendar[[#This Row],[Year]])</f>
        <v>9/2020</v>
      </c>
      <c r="G1358">
        <f>WEEKDAY(calendar[[#This Row],[Date]],1)</f>
        <v>6</v>
      </c>
      <c r="H1358" t="str">
        <f>TEXT(calendar[[#This Row],[WeekDay]],"dddd")</f>
        <v>Friday</v>
      </c>
      <c r="I1358">
        <f>IF((INT(calendar[[#This Row],[Count]]/7)-calendar[[#This Row],[Count]]/7)&lt;0,I1357,I1357+1)</f>
        <v>194</v>
      </c>
      <c r="J1358">
        <f t="shared" si="109"/>
        <v>1356</v>
      </c>
      <c r="K1358">
        <f>IF(calendar[[#This Row],[Month]]&lt;4,1,IF(calendar[[#This Row],[Month]]&lt;7,2,IF(calendar[[#This Row],[Month]]&lt;10,3,4)))</f>
        <v>3</v>
      </c>
      <c r="L1358">
        <f>IFERROR(IF(VLOOKUP(calendar[[#This Row],[Date]],BH!A:A,1,)&lt;&gt;"",1,0),0)</f>
        <v>0</v>
      </c>
      <c r="M1358">
        <f>IFERROR(IF(VLOOKUP(calendar[[#This Row],[Date]],BH!C:C,1,)&lt;&gt;"",1,0),0)</f>
        <v>0</v>
      </c>
      <c r="N1358">
        <f>IFERROR(IF(VLOOKUP(calendar[[#This Row],[Date]],BH!E:E,1,)&lt;&gt;"",1,0),0)</f>
        <v>0</v>
      </c>
      <c r="O1358">
        <f>IFERROR(IF(VLOOKUP(calendar[[#This Row],[Date]],BH!G:G,1,)&lt;&gt;"",1,0),0)</f>
        <v>0</v>
      </c>
      <c r="P1358">
        <f>IF(OR(calendar[[#This Row],[UK_BH]]=1,calendar[[#This Row],[WeekDay]]=1, calendar[[#This Row],[WeekDay]]=7),P1357,P1357+1)</f>
        <v>970</v>
      </c>
      <c r="Q1358">
        <f>IF(OR(calendar[[#This Row],[FR_BH]]=1,calendar[[#This Row],[WeekDay]]=1, calendar[[#This Row],[WeekDay]]=7),P1357,P1357+1)</f>
        <v>970</v>
      </c>
      <c r="R1358">
        <f>IF(OR(calendar[[#This Row],[SP_BH]]=1,calendar[[#This Row],[WeekDay]]=1, calendar[[#This Row],[WeekDay]]=7),P1357,P1357+1)</f>
        <v>970</v>
      </c>
      <c r="S1358">
        <f>IF(OR(calendar[[#This Row],[PT_BH]]=1,calendar[[#This Row],[WeekDay]]=1, calendar[[#This Row],[WeekDay]]=7),P1357,P1357+1)</f>
        <v>970</v>
      </c>
    </row>
    <row r="1359" spans="1:19" x14ac:dyDescent="0.25">
      <c r="A1359" s="2">
        <v>44093</v>
      </c>
      <c r="B1359" s="1">
        <f t="shared" si="108"/>
        <v>38</v>
      </c>
      <c r="C1359">
        <f t="shared" si="105"/>
        <v>9</v>
      </c>
      <c r="D1359" t="str">
        <f t="shared" si="106"/>
        <v>September</v>
      </c>
      <c r="E1359">
        <f t="shared" si="107"/>
        <v>2020</v>
      </c>
      <c r="F1359" t="str">
        <f>CONCATENATE(calendar[[#This Row],[Month]],"/",calendar[[#This Row],[Year]])</f>
        <v>9/2020</v>
      </c>
      <c r="G1359">
        <f>WEEKDAY(calendar[[#This Row],[Date]],1)</f>
        <v>7</v>
      </c>
      <c r="H1359" t="str">
        <f>TEXT(calendar[[#This Row],[WeekDay]],"dddd")</f>
        <v>Saturday</v>
      </c>
      <c r="I1359">
        <f>IF((INT(calendar[[#This Row],[Count]]/7)-calendar[[#This Row],[Count]]/7)&lt;0,I1358,I1358+1)</f>
        <v>194</v>
      </c>
      <c r="J1359">
        <f t="shared" si="109"/>
        <v>1357</v>
      </c>
      <c r="K1359">
        <f>IF(calendar[[#This Row],[Month]]&lt;4,1,IF(calendar[[#This Row],[Month]]&lt;7,2,IF(calendar[[#This Row],[Month]]&lt;10,3,4)))</f>
        <v>3</v>
      </c>
      <c r="L1359">
        <f>IFERROR(IF(VLOOKUP(calendar[[#This Row],[Date]],BH!A:A,1,)&lt;&gt;"",1,0),0)</f>
        <v>0</v>
      </c>
      <c r="M1359">
        <f>IFERROR(IF(VLOOKUP(calendar[[#This Row],[Date]],BH!C:C,1,)&lt;&gt;"",1,0),0)</f>
        <v>0</v>
      </c>
      <c r="N1359">
        <f>IFERROR(IF(VLOOKUP(calendar[[#This Row],[Date]],BH!E:E,1,)&lt;&gt;"",1,0),0)</f>
        <v>0</v>
      </c>
      <c r="O1359">
        <f>IFERROR(IF(VLOOKUP(calendar[[#This Row],[Date]],BH!G:G,1,)&lt;&gt;"",1,0),0)</f>
        <v>0</v>
      </c>
      <c r="P1359">
        <f>IF(OR(calendar[[#This Row],[UK_BH]]=1,calendar[[#This Row],[WeekDay]]=1, calendar[[#This Row],[WeekDay]]=7),P1358,P1358+1)</f>
        <v>970</v>
      </c>
      <c r="Q1359">
        <f>IF(OR(calendar[[#This Row],[FR_BH]]=1,calendar[[#This Row],[WeekDay]]=1, calendar[[#This Row],[WeekDay]]=7),P1358,P1358+1)</f>
        <v>970</v>
      </c>
      <c r="R1359">
        <f>IF(OR(calendar[[#This Row],[SP_BH]]=1,calendar[[#This Row],[WeekDay]]=1, calendar[[#This Row],[WeekDay]]=7),P1358,P1358+1)</f>
        <v>970</v>
      </c>
      <c r="S1359">
        <f>IF(OR(calendar[[#This Row],[PT_BH]]=1,calendar[[#This Row],[WeekDay]]=1, calendar[[#This Row],[WeekDay]]=7),P1358,P1358+1)</f>
        <v>970</v>
      </c>
    </row>
    <row r="1360" spans="1:19" x14ac:dyDescent="0.25">
      <c r="A1360" s="2">
        <v>44094</v>
      </c>
      <c r="B1360" s="1">
        <f t="shared" si="108"/>
        <v>39</v>
      </c>
      <c r="C1360">
        <f t="shared" ref="C1360:C1423" si="110">MONTH(A1360)</f>
        <v>9</v>
      </c>
      <c r="D1360" t="str">
        <f t="shared" ref="D1360:D1423" si="111">TEXT(A1360,"mmmm")</f>
        <v>September</v>
      </c>
      <c r="E1360">
        <f t="shared" ref="E1360:E1423" si="112">YEAR(A1360)</f>
        <v>2020</v>
      </c>
      <c r="F1360" t="str">
        <f>CONCATENATE(calendar[[#This Row],[Month]],"/",calendar[[#This Row],[Year]])</f>
        <v>9/2020</v>
      </c>
      <c r="G1360">
        <f>WEEKDAY(calendar[[#This Row],[Date]],1)</f>
        <v>1</v>
      </c>
      <c r="H1360" t="str">
        <f>TEXT(calendar[[#This Row],[WeekDay]],"dddd")</f>
        <v>Sunday</v>
      </c>
      <c r="I1360">
        <f>IF((INT(calendar[[#This Row],[Count]]/7)-calendar[[#This Row],[Count]]/7)&lt;0,I1359,I1359+1)</f>
        <v>195</v>
      </c>
      <c r="J1360">
        <f t="shared" si="109"/>
        <v>1358</v>
      </c>
      <c r="K1360">
        <f>IF(calendar[[#This Row],[Month]]&lt;4,1,IF(calendar[[#This Row],[Month]]&lt;7,2,IF(calendar[[#This Row],[Month]]&lt;10,3,4)))</f>
        <v>3</v>
      </c>
      <c r="L1360">
        <f>IFERROR(IF(VLOOKUP(calendar[[#This Row],[Date]],BH!A:A,1,)&lt;&gt;"",1,0),0)</f>
        <v>0</v>
      </c>
      <c r="M1360">
        <f>IFERROR(IF(VLOOKUP(calendar[[#This Row],[Date]],BH!C:C,1,)&lt;&gt;"",1,0),0)</f>
        <v>0</v>
      </c>
      <c r="N1360">
        <f>IFERROR(IF(VLOOKUP(calendar[[#This Row],[Date]],BH!E:E,1,)&lt;&gt;"",1,0),0)</f>
        <v>0</v>
      </c>
      <c r="O1360">
        <f>IFERROR(IF(VLOOKUP(calendar[[#This Row],[Date]],BH!G:G,1,)&lt;&gt;"",1,0),0)</f>
        <v>0</v>
      </c>
      <c r="P1360">
        <f>IF(OR(calendar[[#This Row],[UK_BH]]=1,calendar[[#This Row],[WeekDay]]=1, calendar[[#This Row],[WeekDay]]=7),P1359,P1359+1)</f>
        <v>970</v>
      </c>
      <c r="Q1360">
        <f>IF(OR(calendar[[#This Row],[FR_BH]]=1,calendar[[#This Row],[WeekDay]]=1, calendar[[#This Row],[WeekDay]]=7),P1359,P1359+1)</f>
        <v>970</v>
      </c>
      <c r="R1360">
        <f>IF(OR(calendar[[#This Row],[SP_BH]]=1,calendar[[#This Row],[WeekDay]]=1, calendar[[#This Row],[WeekDay]]=7),P1359,P1359+1)</f>
        <v>970</v>
      </c>
      <c r="S1360">
        <f>IF(OR(calendar[[#This Row],[PT_BH]]=1,calendar[[#This Row],[WeekDay]]=1, calendar[[#This Row],[WeekDay]]=7),P1359,P1359+1)</f>
        <v>970</v>
      </c>
    </row>
    <row r="1361" spans="1:19" x14ac:dyDescent="0.25">
      <c r="A1361" s="2">
        <v>44095</v>
      </c>
      <c r="B1361" s="1">
        <f t="shared" si="108"/>
        <v>39</v>
      </c>
      <c r="C1361">
        <f t="shared" si="110"/>
        <v>9</v>
      </c>
      <c r="D1361" t="str">
        <f t="shared" si="111"/>
        <v>September</v>
      </c>
      <c r="E1361">
        <f t="shared" si="112"/>
        <v>2020</v>
      </c>
      <c r="F1361" t="str">
        <f>CONCATENATE(calendar[[#This Row],[Month]],"/",calendar[[#This Row],[Year]])</f>
        <v>9/2020</v>
      </c>
      <c r="G1361">
        <f>WEEKDAY(calendar[[#This Row],[Date]],1)</f>
        <v>2</v>
      </c>
      <c r="H1361" t="str">
        <f>TEXT(calendar[[#This Row],[WeekDay]],"dddd")</f>
        <v>Monday</v>
      </c>
      <c r="I1361">
        <f>IF((INT(calendar[[#This Row],[Count]]/7)-calendar[[#This Row],[Count]]/7)&lt;0,I1360,I1360+1)</f>
        <v>195</v>
      </c>
      <c r="J1361">
        <f t="shared" si="109"/>
        <v>1359</v>
      </c>
      <c r="K1361">
        <f>IF(calendar[[#This Row],[Month]]&lt;4,1,IF(calendar[[#This Row],[Month]]&lt;7,2,IF(calendar[[#This Row],[Month]]&lt;10,3,4)))</f>
        <v>3</v>
      </c>
      <c r="L1361">
        <f>IFERROR(IF(VLOOKUP(calendar[[#This Row],[Date]],BH!A:A,1,)&lt;&gt;"",1,0),0)</f>
        <v>0</v>
      </c>
      <c r="M1361">
        <f>IFERROR(IF(VLOOKUP(calendar[[#This Row],[Date]],BH!C:C,1,)&lt;&gt;"",1,0),0)</f>
        <v>0</v>
      </c>
      <c r="N1361">
        <f>IFERROR(IF(VLOOKUP(calendar[[#This Row],[Date]],BH!E:E,1,)&lt;&gt;"",1,0),0)</f>
        <v>0</v>
      </c>
      <c r="O1361">
        <f>IFERROR(IF(VLOOKUP(calendar[[#This Row],[Date]],BH!G:G,1,)&lt;&gt;"",1,0),0)</f>
        <v>0</v>
      </c>
      <c r="P1361">
        <f>IF(OR(calendar[[#This Row],[UK_BH]]=1,calendar[[#This Row],[WeekDay]]=1, calendar[[#This Row],[WeekDay]]=7),P1360,P1360+1)</f>
        <v>971</v>
      </c>
      <c r="Q1361">
        <f>IF(OR(calendar[[#This Row],[FR_BH]]=1,calendar[[#This Row],[WeekDay]]=1, calendar[[#This Row],[WeekDay]]=7),P1360,P1360+1)</f>
        <v>971</v>
      </c>
      <c r="R1361">
        <f>IF(OR(calendar[[#This Row],[SP_BH]]=1,calendar[[#This Row],[WeekDay]]=1, calendar[[#This Row],[WeekDay]]=7),P1360,P1360+1)</f>
        <v>971</v>
      </c>
      <c r="S1361">
        <f>IF(OR(calendar[[#This Row],[PT_BH]]=1,calendar[[#This Row],[WeekDay]]=1, calendar[[#This Row],[WeekDay]]=7),P1360,P1360+1)</f>
        <v>971</v>
      </c>
    </row>
    <row r="1362" spans="1:19" x14ac:dyDescent="0.25">
      <c r="A1362" s="2">
        <v>44096</v>
      </c>
      <c r="B1362" s="1">
        <f t="shared" si="108"/>
        <v>39</v>
      </c>
      <c r="C1362">
        <f t="shared" si="110"/>
        <v>9</v>
      </c>
      <c r="D1362" t="str">
        <f t="shared" si="111"/>
        <v>September</v>
      </c>
      <c r="E1362">
        <f t="shared" si="112"/>
        <v>2020</v>
      </c>
      <c r="F1362" t="str">
        <f>CONCATENATE(calendar[[#This Row],[Month]],"/",calendar[[#This Row],[Year]])</f>
        <v>9/2020</v>
      </c>
      <c r="G1362">
        <f>WEEKDAY(calendar[[#This Row],[Date]],1)</f>
        <v>3</v>
      </c>
      <c r="H1362" t="str">
        <f>TEXT(calendar[[#This Row],[WeekDay]],"dddd")</f>
        <v>Tuesday</v>
      </c>
      <c r="I1362">
        <f>IF((INT(calendar[[#This Row],[Count]]/7)-calendar[[#This Row],[Count]]/7)&lt;0,I1361,I1361+1)</f>
        <v>195</v>
      </c>
      <c r="J1362">
        <f t="shared" si="109"/>
        <v>1360</v>
      </c>
      <c r="K1362">
        <f>IF(calendar[[#This Row],[Month]]&lt;4,1,IF(calendar[[#This Row],[Month]]&lt;7,2,IF(calendar[[#This Row],[Month]]&lt;10,3,4)))</f>
        <v>3</v>
      </c>
      <c r="L1362">
        <f>IFERROR(IF(VLOOKUP(calendar[[#This Row],[Date]],BH!A:A,1,)&lt;&gt;"",1,0),0)</f>
        <v>0</v>
      </c>
      <c r="M1362">
        <f>IFERROR(IF(VLOOKUP(calendar[[#This Row],[Date]],BH!C:C,1,)&lt;&gt;"",1,0),0)</f>
        <v>0</v>
      </c>
      <c r="N1362">
        <f>IFERROR(IF(VLOOKUP(calendar[[#This Row],[Date]],BH!E:E,1,)&lt;&gt;"",1,0),0)</f>
        <v>0</v>
      </c>
      <c r="O1362">
        <f>IFERROR(IF(VLOOKUP(calendar[[#This Row],[Date]],BH!G:G,1,)&lt;&gt;"",1,0),0)</f>
        <v>0</v>
      </c>
      <c r="P1362">
        <f>IF(OR(calendar[[#This Row],[UK_BH]]=1,calendar[[#This Row],[WeekDay]]=1, calendar[[#This Row],[WeekDay]]=7),P1361,P1361+1)</f>
        <v>972</v>
      </c>
      <c r="Q1362">
        <f>IF(OR(calendar[[#This Row],[FR_BH]]=1,calendar[[#This Row],[WeekDay]]=1, calendar[[#This Row],[WeekDay]]=7),P1361,P1361+1)</f>
        <v>972</v>
      </c>
      <c r="R1362">
        <f>IF(OR(calendar[[#This Row],[SP_BH]]=1,calendar[[#This Row],[WeekDay]]=1, calendar[[#This Row],[WeekDay]]=7),P1361,P1361+1)</f>
        <v>972</v>
      </c>
      <c r="S1362">
        <f>IF(OR(calendar[[#This Row],[PT_BH]]=1,calendar[[#This Row],[WeekDay]]=1, calendar[[#This Row],[WeekDay]]=7),P1361,P1361+1)</f>
        <v>972</v>
      </c>
    </row>
    <row r="1363" spans="1:19" x14ac:dyDescent="0.25">
      <c r="A1363" s="2">
        <v>44097</v>
      </c>
      <c r="B1363" s="1">
        <f t="shared" si="108"/>
        <v>39</v>
      </c>
      <c r="C1363">
        <f t="shared" si="110"/>
        <v>9</v>
      </c>
      <c r="D1363" t="str">
        <f t="shared" si="111"/>
        <v>September</v>
      </c>
      <c r="E1363">
        <f t="shared" si="112"/>
        <v>2020</v>
      </c>
      <c r="F1363" t="str">
        <f>CONCATENATE(calendar[[#This Row],[Month]],"/",calendar[[#This Row],[Year]])</f>
        <v>9/2020</v>
      </c>
      <c r="G1363">
        <f>WEEKDAY(calendar[[#This Row],[Date]],1)</f>
        <v>4</v>
      </c>
      <c r="H1363" t="str">
        <f>TEXT(calendar[[#This Row],[WeekDay]],"dddd")</f>
        <v>Wednesday</v>
      </c>
      <c r="I1363">
        <f>IF((INT(calendar[[#This Row],[Count]]/7)-calendar[[#This Row],[Count]]/7)&lt;0,I1362,I1362+1)</f>
        <v>195</v>
      </c>
      <c r="J1363">
        <f t="shared" si="109"/>
        <v>1361</v>
      </c>
      <c r="K1363">
        <f>IF(calendar[[#This Row],[Month]]&lt;4,1,IF(calendar[[#This Row],[Month]]&lt;7,2,IF(calendar[[#This Row],[Month]]&lt;10,3,4)))</f>
        <v>3</v>
      </c>
      <c r="L1363">
        <f>IFERROR(IF(VLOOKUP(calendar[[#This Row],[Date]],BH!A:A,1,)&lt;&gt;"",1,0),0)</f>
        <v>0</v>
      </c>
      <c r="M1363">
        <f>IFERROR(IF(VLOOKUP(calendar[[#This Row],[Date]],BH!C:C,1,)&lt;&gt;"",1,0),0)</f>
        <v>0</v>
      </c>
      <c r="N1363">
        <f>IFERROR(IF(VLOOKUP(calendar[[#This Row],[Date]],BH!E:E,1,)&lt;&gt;"",1,0),0)</f>
        <v>0</v>
      </c>
      <c r="O1363">
        <f>IFERROR(IF(VLOOKUP(calendar[[#This Row],[Date]],BH!G:G,1,)&lt;&gt;"",1,0),0)</f>
        <v>0</v>
      </c>
      <c r="P1363">
        <f>IF(OR(calendar[[#This Row],[UK_BH]]=1,calendar[[#This Row],[WeekDay]]=1, calendar[[#This Row],[WeekDay]]=7),P1362,P1362+1)</f>
        <v>973</v>
      </c>
      <c r="Q1363">
        <f>IF(OR(calendar[[#This Row],[FR_BH]]=1,calendar[[#This Row],[WeekDay]]=1, calendar[[#This Row],[WeekDay]]=7),P1362,P1362+1)</f>
        <v>973</v>
      </c>
      <c r="R1363">
        <f>IF(OR(calendar[[#This Row],[SP_BH]]=1,calendar[[#This Row],[WeekDay]]=1, calendar[[#This Row],[WeekDay]]=7),P1362,P1362+1)</f>
        <v>973</v>
      </c>
      <c r="S1363">
        <f>IF(OR(calendar[[#This Row],[PT_BH]]=1,calendar[[#This Row],[WeekDay]]=1, calendar[[#This Row],[WeekDay]]=7),P1362,P1362+1)</f>
        <v>973</v>
      </c>
    </row>
    <row r="1364" spans="1:19" x14ac:dyDescent="0.25">
      <c r="A1364" s="2">
        <v>44098</v>
      </c>
      <c r="B1364" s="1">
        <f t="shared" si="108"/>
        <v>39</v>
      </c>
      <c r="C1364">
        <f t="shared" si="110"/>
        <v>9</v>
      </c>
      <c r="D1364" t="str">
        <f t="shared" si="111"/>
        <v>September</v>
      </c>
      <c r="E1364">
        <f t="shared" si="112"/>
        <v>2020</v>
      </c>
      <c r="F1364" t="str">
        <f>CONCATENATE(calendar[[#This Row],[Month]],"/",calendar[[#This Row],[Year]])</f>
        <v>9/2020</v>
      </c>
      <c r="G1364">
        <f>WEEKDAY(calendar[[#This Row],[Date]],1)</f>
        <v>5</v>
      </c>
      <c r="H1364" t="str">
        <f>TEXT(calendar[[#This Row],[WeekDay]],"dddd")</f>
        <v>Thursday</v>
      </c>
      <c r="I1364">
        <f>IF((INT(calendar[[#This Row],[Count]]/7)-calendar[[#This Row],[Count]]/7)&lt;0,I1363,I1363+1)</f>
        <v>195</v>
      </c>
      <c r="J1364">
        <f t="shared" si="109"/>
        <v>1362</v>
      </c>
      <c r="K1364">
        <f>IF(calendar[[#This Row],[Month]]&lt;4,1,IF(calendar[[#This Row],[Month]]&lt;7,2,IF(calendar[[#This Row],[Month]]&lt;10,3,4)))</f>
        <v>3</v>
      </c>
      <c r="L1364">
        <f>IFERROR(IF(VLOOKUP(calendar[[#This Row],[Date]],BH!A:A,1,)&lt;&gt;"",1,0),0)</f>
        <v>0</v>
      </c>
      <c r="M1364">
        <f>IFERROR(IF(VLOOKUP(calendar[[#This Row],[Date]],BH!C:C,1,)&lt;&gt;"",1,0),0)</f>
        <v>0</v>
      </c>
      <c r="N1364">
        <f>IFERROR(IF(VLOOKUP(calendar[[#This Row],[Date]],BH!E:E,1,)&lt;&gt;"",1,0),0)</f>
        <v>0</v>
      </c>
      <c r="O1364">
        <f>IFERROR(IF(VLOOKUP(calendar[[#This Row],[Date]],BH!G:G,1,)&lt;&gt;"",1,0),0)</f>
        <v>0</v>
      </c>
      <c r="P1364">
        <f>IF(OR(calendar[[#This Row],[UK_BH]]=1,calendar[[#This Row],[WeekDay]]=1, calendar[[#This Row],[WeekDay]]=7),P1363,P1363+1)</f>
        <v>974</v>
      </c>
      <c r="Q1364">
        <f>IF(OR(calendar[[#This Row],[FR_BH]]=1,calendar[[#This Row],[WeekDay]]=1, calendar[[#This Row],[WeekDay]]=7),P1363,P1363+1)</f>
        <v>974</v>
      </c>
      <c r="R1364">
        <f>IF(OR(calendar[[#This Row],[SP_BH]]=1,calendar[[#This Row],[WeekDay]]=1, calendar[[#This Row],[WeekDay]]=7),P1363,P1363+1)</f>
        <v>974</v>
      </c>
      <c r="S1364">
        <f>IF(OR(calendar[[#This Row],[PT_BH]]=1,calendar[[#This Row],[WeekDay]]=1, calendar[[#This Row],[WeekDay]]=7),P1363,P1363+1)</f>
        <v>974</v>
      </c>
    </row>
    <row r="1365" spans="1:19" x14ac:dyDescent="0.25">
      <c r="A1365" s="2">
        <v>44099</v>
      </c>
      <c r="B1365" s="1">
        <f t="shared" si="108"/>
        <v>39</v>
      </c>
      <c r="C1365">
        <f t="shared" si="110"/>
        <v>9</v>
      </c>
      <c r="D1365" t="str">
        <f t="shared" si="111"/>
        <v>September</v>
      </c>
      <c r="E1365">
        <f t="shared" si="112"/>
        <v>2020</v>
      </c>
      <c r="F1365" t="str">
        <f>CONCATENATE(calendar[[#This Row],[Month]],"/",calendar[[#This Row],[Year]])</f>
        <v>9/2020</v>
      </c>
      <c r="G1365">
        <f>WEEKDAY(calendar[[#This Row],[Date]],1)</f>
        <v>6</v>
      </c>
      <c r="H1365" t="str">
        <f>TEXT(calendar[[#This Row],[WeekDay]],"dddd")</f>
        <v>Friday</v>
      </c>
      <c r="I1365">
        <f>IF((INT(calendar[[#This Row],[Count]]/7)-calendar[[#This Row],[Count]]/7)&lt;0,I1364,I1364+1)</f>
        <v>195</v>
      </c>
      <c r="J1365">
        <f t="shared" si="109"/>
        <v>1363</v>
      </c>
      <c r="K1365">
        <f>IF(calendar[[#This Row],[Month]]&lt;4,1,IF(calendar[[#This Row],[Month]]&lt;7,2,IF(calendar[[#This Row],[Month]]&lt;10,3,4)))</f>
        <v>3</v>
      </c>
      <c r="L1365">
        <f>IFERROR(IF(VLOOKUP(calendar[[#This Row],[Date]],BH!A:A,1,)&lt;&gt;"",1,0),0)</f>
        <v>0</v>
      </c>
      <c r="M1365">
        <f>IFERROR(IF(VLOOKUP(calendar[[#This Row],[Date]],BH!C:C,1,)&lt;&gt;"",1,0),0)</f>
        <v>0</v>
      </c>
      <c r="N1365">
        <f>IFERROR(IF(VLOOKUP(calendar[[#This Row],[Date]],BH!E:E,1,)&lt;&gt;"",1,0),0)</f>
        <v>0</v>
      </c>
      <c r="O1365">
        <f>IFERROR(IF(VLOOKUP(calendar[[#This Row],[Date]],BH!G:G,1,)&lt;&gt;"",1,0),0)</f>
        <v>0</v>
      </c>
      <c r="P1365">
        <f>IF(OR(calendar[[#This Row],[UK_BH]]=1,calendar[[#This Row],[WeekDay]]=1, calendar[[#This Row],[WeekDay]]=7),P1364,P1364+1)</f>
        <v>975</v>
      </c>
      <c r="Q1365">
        <f>IF(OR(calendar[[#This Row],[FR_BH]]=1,calendar[[#This Row],[WeekDay]]=1, calendar[[#This Row],[WeekDay]]=7),P1364,P1364+1)</f>
        <v>975</v>
      </c>
      <c r="R1365">
        <f>IF(OR(calendar[[#This Row],[SP_BH]]=1,calendar[[#This Row],[WeekDay]]=1, calendar[[#This Row],[WeekDay]]=7),P1364,P1364+1)</f>
        <v>975</v>
      </c>
      <c r="S1365">
        <f>IF(OR(calendar[[#This Row],[PT_BH]]=1,calendar[[#This Row],[WeekDay]]=1, calendar[[#This Row],[WeekDay]]=7),P1364,P1364+1)</f>
        <v>975</v>
      </c>
    </row>
    <row r="1366" spans="1:19" x14ac:dyDescent="0.25">
      <c r="A1366" s="2">
        <v>44100</v>
      </c>
      <c r="B1366" s="1">
        <f t="shared" si="108"/>
        <v>39</v>
      </c>
      <c r="C1366">
        <f t="shared" si="110"/>
        <v>9</v>
      </c>
      <c r="D1366" t="str">
        <f t="shared" si="111"/>
        <v>September</v>
      </c>
      <c r="E1366">
        <f t="shared" si="112"/>
        <v>2020</v>
      </c>
      <c r="F1366" t="str">
        <f>CONCATENATE(calendar[[#This Row],[Month]],"/",calendar[[#This Row],[Year]])</f>
        <v>9/2020</v>
      </c>
      <c r="G1366">
        <f>WEEKDAY(calendar[[#This Row],[Date]],1)</f>
        <v>7</v>
      </c>
      <c r="H1366" t="str">
        <f>TEXT(calendar[[#This Row],[WeekDay]],"dddd")</f>
        <v>Saturday</v>
      </c>
      <c r="I1366">
        <f>IF((INT(calendar[[#This Row],[Count]]/7)-calendar[[#This Row],[Count]]/7)&lt;0,I1365,I1365+1)</f>
        <v>195</v>
      </c>
      <c r="J1366">
        <f t="shared" si="109"/>
        <v>1364</v>
      </c>
      <c r="K1366">
        <f>IF(calendar[[#This Row],[Month]]&lt;4,1,IF(calendar[[#This Row],[Month]]&lt;7,2,IF(calendar[[#This Row],[Month]]&lt;10,3,4)))</f>
        <v>3</v>
      </c>
      <c r="L1366">
        <f>IFERROR(IF(VLOOKUP(calendar[[#This Row],[Date]],BH!A:A,1,)&lt;&gt;"",1,0),0)</f>
        <v>0</v>
      </c>
      <c r="M1366">
        <f>IFERROR(IF(VLOOKUP(calendar[[#This Row],[Date]],BH!C:C,1,)&lt;&gt;"",1,0),0)</f>
        <v>0</v>
      </c>
      <c r="N1366">
        <f>IFERROR(IF(VLOOKUP(calendar[[#This Row],[Date]],BH!E:E,1,)&lt;&gt;"",1,0),0)</f>
        <v>0</v>
      </c>
      <c r="O1366">
        <f>IFERROR(IF(VLOOKUP(calendar[[#This Row],[Date]],BH!G:G,1,)&lt;&gt;"",1,0),0)</f>
        <v>0</v>
      </c>
      <c r="P1366">
        <f>IF(OR(calendar[[#This Row],[UK_BH]]=1,calendar[[#This Row],[WeekDay]]=1, calendar[[#This Row],[WeekDay]]=7),P1365,P1365+1)</f>
        <v>975</v>
      </c>
      <c r="Q1366">
        <f>IF(OR(calendar[[#This Row],[FR_BH]]=1,calendar[[#This Row],[WeekDay]]=1, calendar[[#This Row],[WeekDay]]=7),P1365,P1365+1)</f>
        <v>975</v>
      </c>
      <c r="R1366">
        <f>IF(OR(calendar[[#This Row],[SP_BH]]=1,calendar[[#This Row],[WeekDay]]=1, calendar[[#This Row],[WeekDay]]=7),P1365,P1365+1)</f>
        <v>975</v>
      </c>
      <c r="S1366">
        <f>IF(OR(calendar[[#This Row],[PT_BH]]=1,calendar[[#This Row],[WeekDay]]=1, calendar[[#This Row],[WeekDay]]=7),P1365,P1365+1)</f>
        <v>975</v>
      </c>
    </row>
    <row r="1367" spans="1:19" x14ac:dyDescent="0.25">
      <c r="A1367" s="2">
        <v>44101</v>
      </c>
      <c r="B1367" s="1">
        <f t="shared" si="108"/>
        <v>40</v>
      </c>
      <c r="C1367">
        <f t="shared" si="110"/>
        <v>9</v>
      </c>
      <c r="D1367" t="str">
        <f t="shared" si="111"/>
        <v>September</v>
      </c>
      <c r="E1367">
        <f t="shared" si="112"/>
        <v>2020</v>
      </c>
      <c r="F1367" t="str">
        <f>CONCATENATE(calendar[[#This Row],[Month]],"/",calendar[[#This Row],[Year]])</f>
        <v>9/2020</v>
      </c>
      <c r="G1367">
        <f>WEEKDAY(calendar[[#This Row],[Date]],1)</f>
        <v>1</v>
      </c>
      <c r="H1367" t="str">
        <f>TEXT(calendar[[#This Row],[WeekDay]],"dddd")</f>
        <v>Sunday</v>
      </c>
      <c r="I1367">
        <f>IF((INT(calendar[[#This Row],[Count]]/7)-calendar[[#This Row],[Count]]/7)&lt;0,I1366,I1366+1)</f>
        <v>196</v>
      </c>
      <c r="J1367">
        <f t="shared" si="109"/>
        <v>1365</v>
      </c>
      <c r="K1367">
        <f>IF(calendar[[#This Row],[Month]]&lt;4,1,IF(calendar[[#This Row],[Month]]&lt;7,2,IF(calendar[[#This Row],[Month]]&lt;10,3,4)))</f>
        <v>3</v>
      </c>
      <c r="L1367">
        <f>IFERROR(IF(VLOOKUP(calendar[[#This Row],[Date]],BH!A:A,1,)&lt;&gt;"",1,0),0)</f>
        <v>0</v>
      </c>
      <c r="M1367">
        <f>IFERROR(IF(VLOOKUP(calendar[[#This Row],[Date]],BH!C:C,1,)&lt;&gt;"",1,0),0)</f>
        <v>0</v>
      </c>
      <c r="N1367">
        <f>IFERROR(IF(VLOOKUP(calendar[[#This Row],[Date]],BH!E:E,1,)&lt;&gt;"",1,0),0)</f>
        <v>0</v>
      </c>
      <c r="O1367">
        <f>IFERROR(IF(VLOOKUP(calendar[[#This Row],[Date]],BH!G:G,1,)&lt;&gt;"",1,0),0)</f>
        <v>0</v>
      </c>
      <c r="P1367">
        <f>IF(OR(calendar[[#This Row],[UK_BH]]=1,calendar[[#This Row],[WeekDay]]=1, calendar[[#This Row],[WeekDay]]=7),P1366,P1366+1)</f>
        <v>975</v>
      </c>
      <c r="Q1367">
        <f>IF(OR(calendar[[#This Row],[FR_BH]]=1,calendar[[#This Row],[WeekDay]]=1, calendar[[#This Row],[WeekDay]]=7),P1366,P1366+1)</f>
        <v>975</v>
      </c>
      <c r="R1367">
        <f>IF(OR(calendar[[#This Row],[SP_BH]]=1,calendar[[#This Row],[WeekDay]]=1, calendar[[#This Row],[WeekDay]]=7),P1366,P1366+1)</f>
        <v>975</v>
      </c>
      <c r="S1367">
        <f>IF(OR(calendar[[#This Row],[PT_BH]]=1,calendar[[#This Row],[WeekDay]]=1, calendar[[#This Row],[WeekDay]]=7),P1366,P1366+1)</f>
        <v>975</v>
      </c>
    </row>
    <row r="1368" spans="1:19" x14ac:dyDescent="0.25">
      <c r="A1368" s="2">
        <v>44102</v>
      </c>
      <c r="B1368" s="1">
        <f t="shared" si="108"/>
        <v>40</v>
      </c>
      <c r="C1368">
        <f t="shared" si="110"/>
        <v>9</v>
      </c>
      <c r="D1368" t="str">
        <f t="shared" si="111"/>
        <v>September</v>
      </c>
      <c r="E1368">
        <f t="shared" si="112"/>
        <v>2020</v>
      </c>
      <c r="F1368" t="str">
        <f>CONCATENATE(calendar[[#This Row],[Month]],"/",calendar[[#This Row],[Year]])</f>
        <v>9/2020</v>
      </c>
      <c r="G1368">
        <f>WEEKDAY(calendar[[#This Row],[Date]],1)</f>
        <v>2</v>
      </c>
      <c r="H1368" t="str">
        <f>TEXT(calendar[[#This Row],[WeekDay]],"dddd")</f>
        <v>Monday</v>
      </c>
      <c r="I1368">
        <f>IF((INT(calendar[[#This Row],[Count]]/7)-calendar[[#This Row],[Count]]/7)&lt;0,I1367,I1367+1)</f>
        <v>196</v>
      </c>
      <c r="J1368">
        <f t="shared" si="109"/>
        <v>1366</v>
      </c>
      <c r="K1368">
        <f>IF(calendar[[#This Row],[Month]]&lt;4,1,IF(calendar[[#This Row],[Month]]&lt;7,2,IF(calendar[[#This Row],[Month]]&lt;10,3,4)))</f>
        <v>3</v>
      </c>
      <c r="L1368">
        <f>IFERROR(IF(VLOOKUP(calendar[[#This Row],[Date]],BH!A:A,1,)&lt;&gt;"",1,0),0)</f>
        <v>0</v>
      </c>
      <c r="M1368">
        <f>IFERROR(IF(VLOOKUP(calendar[[#This Row],[Date]],BH!C:C,1,)&lt;&gt;"",1,0),0)</f>
        <v>0</v>
      </c>
      <c r="N1368">
        <f>IFERROR(IF(VLOOKUP(calendar[[#This Row],[Date]],BH!E:E,1,)&lt;&gt;"",1,0),0)</f>
        <v>0</v>
      </c>
      <c r="O1368">
        <f>IFERROR(IF(VLOOKUP(calendar[[#This Row],[Date]],BH!G:G,1,)&lt;&gt;"",1,0),0)</f>
        <v>0</v>
      </c>
      <c r="P1368">
        <f>IF(OR(calendar[[#This Row],[UK_BH]]=1,calendar[[#This Row],[WeekDay]]=1, calendar[[#This Row],[WeekDay]]=7),P1367,P1367+1)</f>
        <v>976</v>
      </c>
      <c r="Q1368">
        <f>IF(OR(calendar[[#This Row],[FR_BH]]=1,calendar[[#This Row],[WeekDay]]=1, calendar[[#This Row],[WeekDay]]=7),P1367,P1367+1)</f>
        <v>976</v>
      </c>
      <c r="R1368">
        <f>IF(OR(calendar[[#This Row],[SP_BH]]=1,calendar[[#This Row],[WeekDay]]=1, calendar[[#This Row],[WeekDay]]=7),P1367,P1367+1)</f>
        <v>976</v>
      </c>
      <c r="S1368">
        <f>IF(OR(calendar[[#This Row],[PT_BH]]=1,calendar[[#This Row],[WeekDay]]=1, calendar[[#This Row],[WeekDay]]=7),P1367,P1367+1)</f>
        <v>976</v>
      </c>
    </row>
    <row r="1369" spans="1:19" x14ac:dyDescent="0.25">
      <c r="A1369" s="2">
        <v>44103</v>
      </c>
      <c r="B1369" s="1">
        <f t="shared" si="108"/>
        <v>40</v>
      </c>
      <c r="C1369">
        <f t="shared" si="110"/>
        <v>9</v>
      </c>
      <c r="D1369" t="str">
        <f t="shared" si="111"/>
        <v>September</v>
      </c>
      <c r="E1369">
        <f t="shared" si="112"/>
        <v>2020</v>
      </c>
      <c r="F1369" t="str">
        <f>CONCATENATE(calendar[[#This Row],[Month]],"/",calendar[[#This Row],[Year]])</f>
        <v>9/2020</v>
      </c>
      <c r="G1369">
        <f>WEEKDAY(calendar[[#This Row],[Date]],1)</f>
        <v>3</v>
      </c>
      <c r="H1369" t="str">
        <f>TEXT(calendar[[#This Row],[WeekDay]],"dddd")</f>
        <v>Tuesday</v>
      </c>
      <c r="I1369">
        <f>IF((INT(calendar[[#This Row],[Count]]/7)-calendar[[#This Row],[Count]]/7)&lt;0,I1368,I1368+1)</f>
        <v>196</v>
      </c>
      <c r="J1369">
        <f t="shared" si="109"/>
        <v>1367</v>
      </c>
      <c r="K1369">
        <f>IF(calendar[[#This Row],[Month]]&lt;4,1,IF(calendar[[#This Row],[Month]]&lt;7,2,IF(calendar[[#This Row],[Month]]&lt;10,3,4)))</f>
        <v>3</v>
      </c>
      <c r="L1369">
        <f>IFERROR(IF(VLOOKUP(calendar[[#This Row],[Date]],BH!A:A,1,)&lt;&gt;"",1,0),0)</f>
        <v>0</v>
      </c>
      <c r="M1369">
        <f>IFERROR(IF(VLOOKUP(calendar[[#This Row],[Date]],BH!C:C,1,)&lt;&gt;"",1,0),0)</f>
        <v>0</v>
      </c>
      <c r="N1369">
        <f>IFERROR(IF(VLOOKUP(calendar[[#This Row],[Date]],BH!E:E,1,)&lt;&gt;"",1,0),0)</f>
        <v>0</v>
      </c>
      <c r="O1369">
        <f>IFERROR(IF(VLOOKUP(calendar[[#This Row],[Date]],BH!G:G,1,)&lt;&gt;"",1,0),0)</f>
        <v>0</v>
      </c>
      <c r="P1369">
        <f>IF(OR(calendar[[#This Row],[UK_BH]]=1,calendar[[#This Row],[WeekDay]]=1, calendar[[#This Row],[WeekDay]]=7),P1368,P1368+1)</f>
        <v>977</v>
      </c>
      <c r="Q1369">
        <f>IF(OR(calendar[[#This Row],[FR_BH]]=1,calendar[[#This Row],[WeekDay]]=1, calendar[[#This Row],[WeekDay]]=7),P1368,P1368+1)</f>
        <v>977</v>
      </c>
      <c r="R1369">
        <f>IF(OR(calendar[[#This Row],[SP_BH]]=1,calendar[[#This Row],[WeekDay]]=1, calendar[[#This Row],[WeekDay]]=7),P1368,P1368+1)</f>
        <v>977</v>
      </c>
      <c r="S1369">
        <f>IF(OR(calendar[[#This Row],[PT_BH]]=1,calendar[[#This Row],[WeekDay]]=1, calendar[[#This Row],[WeekDay]]=7),P1368,P1368+1)</f>
        <v>977</v>
      </c>
    </row>
    <row r="1370" spans="1:19" x14ac:dyDescent="0.25">
      <c r="A1370" s="2">
        <v>44104</v>
      </c>
      <c r="B1370" s="1">
        <f t="shared" si="108"/>
        <v>40</v>
      </c>
      <c r="C1370">
        <f t="shared" si="110"/>
        <v>9</v>
      </c>
      <c r="D1370" t="str">
        <f t="shared" si="111"/>
        <v>September</v>
      </c>
      <c r="E1370">
        <f t="shared" si="112"/>
        <v>2020</v>
      </c>
      <c r="F1370" t="str">
        <f>CONCATENATE(calendar[[#This Row],[Month]],"/",calendar[[#This Row],[Year]])</f>
        <v>9/2020</v>
      </c>
      <c r="G1370">
        <f>WEEKDAY(calendar[[#This Row],[Date]],1)</f>
        <v>4</v>
      </c>
      <c r="H1370" t="str">
        <f>TEXT(calendar[[#This Row],[WeekDay]],"dddd")</f>
        <v>Wednesday</v>
      </c>
      <c r="I1370">
        <f>IF((INT(calendar[[#This Row],[Count]]/7)-calendar[[#This Row],[Count]]/7)&lt;0,I1369,I1369+1)</f>
        <v>196</v>
      </c>
      <c r="J1370">
        <f t="shared" si="109"/>
        <v>1368</v>
      </c>
      <c r="K1370">
        <f>IF(calendar[[#This Row],[Month]]&lt;4,1,IF(calendar[[#This Row],[Month]]&lt;7,2,IF(calendar[[#This Row],[Month]]&lt;10,3,4)))</f>
        <v>3</v>
      </c>
      <c r="L1370">
        <f>IFERROR(IF(VLOOKUP(calendar[[#This Row],[Date]],BH!A:A,1,)&lt;&gt;"",1,0),0)</f>
        <v>0</v>
      </c>
      <c r="M1370">
        <f>IFERROR(IF(VLOOKUP(calendar[[#This Row],[Date]],BH!C:C,1,)&lt;&gt;"",1,0),0)</f>
        <v>0</v>
      </c>
      <c r="N1370">
        <f>IFERROR(IF(VLOOKUP(calendar[[#This Row],[Date]],BH!E:E,1,)&lt;&gt;"",1,0),0)</f>
        <v>0</v>
      </c>
      <c r="O1370">
        <f>IFERROR(IF(VLOOKUP(calendar[[#This Row],[Date]],BH!G:G,1,)&lt;&gt;"",1,0),0)</f>
        <v>0</v>
      </c>
      <c r="P1370">
        <f>IF(OR(calendar[[#This Row],[UK_BH]]=1,calendar[[#This Row],[WeekDay]]=1, calendar[[#This Row],[WeekDay]]=7),P1369,P1369+1)</f>
        <v>978</v>
      </c>
      <c r="Q1370">
        <f>IF(OR(calendar[[#This Row],[FR_BH]]=1,calendar[[#This Row],[WeekDay]]=1, calendar[[#This Row],[WeekDay]]=7),P1369,P1369+1)</f>
        <v>978</v>
      </c>
      <c r="R1370">
        <f>IF(OR(calendar[[#This Row],[SP_BH]]=1,calendar[[#This Row],[WeekDay]]=1, calendar[[#This Row],[WeekDay]]=7),P1369,P1369+1)</f>
        <v>978</v>
      </c>
      <c r="S1370">
        <f>IF(OR(calendar[[#This Row],[PT_BH]]=1,calendar[[#This Row],[WeekDay]]=1, calendar[[#This Row],[WeekDay]]=7),P1369,P1369+1)</f>
        <v>978</v>
      </c>
    </row>
    <row r="1371" spans="1:19" x14ac:dyDescent="0.25">
      <c r="A1371" s="2">
        <v>44105</v>
      </c>
      <c r="B1371" s="1">
        <f t="shared" si="108"/>
        <v>40</v>
      </c>
      <c r="C1371">
        <f t="shared" si="110"/>
        <v>10</v>
      </c>
      <c r="D1371" t="str">
        <f t="shared" si="111"/>
        <v>October</v>
      </c>
      <c r="E1371">
        <f t="shared" si="112"/>
        <v>2020</v>
      </c>
      <c r="F1371" t="str">
        <f>CONCATENATE(calendar[[#This Row],[Month]],"/",calendar[[#This Row],[Year]])</f>
        <v>10/2020</v>
      </c>
      <c r="G1371">
        <f>WEEKDAY(calendar[[#This Row],[Date]],1)</f>
        <v>5</v>
      </c>
      <c r="H1371" t="str">
        <f>TEXT(calendar[[#This Row],[WeekDay]],"dddd")</f>
        <v>Thursday</v>
      </c>
      <c r="I1371">
        <f>IF((INT(calendar[[#This Row],[Count]]/7)-calendar[[#This Row],[Count]]/7)&lt;0,I1370,I1370+1)</f>
        <v>196</v>
      </c>
      <c r="J1371">
        <f t="shared" si="109"/>
        <v>1369</v>
      </c>
      <c r="K1371">
        <f>IF(calendar[[#This Row],[Month]]&lt;4,1,IF(calendar[[#This Row],[Month]]&lt;7,2,IF(calendar[[#This Row],[Month]]&lt;10,3,4)))</f>
        <v>4</v>
      </c>
      <c r="L1371">
        <f>IFERROR(IF(VLOOKUP(calendar[[#This Row],[Date]],BH!A:A,1,)&lt;&gt;"",1,0),0)</f>
        <v>0</v>
      </c>
      <c r="M1371">
        <f>IFERROR(IF(VLOOKUP(calendar[[#This Row],[Date]],BH!C:C,1,)&lt;&gt;"",1,0),0)</f>
        <v>0</v>
      </c>
      <c r="N1371">
        <f>IFERROR(IF(VLOOKUP(calendar[[#This Row],[Date]],BH!E:E,1,)&lt;&gt;"",1,0),0)</f>
        <v>0</v>
      </c>
      <c r="O1371">
        <f>IFERROR(IF(VLOOKUP(calendar[[#This Row],[Date]],BH!G:G,1,)&lt;&gt;"",1,0),0)</f>
        <v>0</v>
      </c>
      <c r="P1371">
        <f>IF(OR(calendar[[#This Row],[UK_BH]]=1,calendar[[#This Row],[WeekDay]]=1, calendar[[#This Row],[WeekDay]]=7),P1370,P1370+1)</f>
        <v>979</v>
      </c>
      <c r="Q1371">
        <f>IF(OR(calendar[[#This Row],[FR_BH]]=1,calendar[[#This Row],[WeekDay]]=1, calendar[[#This Row],[WeekDay]]=7),P1370,P1370+1)</f>
        <v>979</v>
      </c>
      <c r="R1371">
        <f>IF(OR(calendar[[#This Row],[SP_BH]]=1,calendar[[#This Row],[WeekDay]]=1, calendar[[#This Row],[WeekDay]]=7),P1370,P1370+1)</f>
        <v>979</v>
      </c>
      <c r="S1371">
        <f>IF(OR(calendar[[#This Row],[PT_BH]]=1,calendar[[#This Row],[WeekDay]]=1, calendar[[#This Row],[WeekDay]]=7),P1370,P1370+1)</f>
        <v>979</v>
      </c>
    </row>
    <row r="1372" spans="1:19" x14ac:dyDescent="0.25">
      <c r="A1372" s="2">
        <v>44106</v>
      </c>
      <c r="B1372" s="1">
        <f t="shared" si="108"/>
        <v>40</v>
      </c>
      <c r="C1372">
        <f t="shared" si="110"/>
        <v>10</v>
      </c>
      <c r="D1372" t="str">
        <f t="shared" si="111"/>
        <v>October</v>
      </c>
      <c r="E1372">
        <f t="shared" si="112"/>
        <v>2020</v>
      </c>
      <c r="F1372" t="str">
        <f>CONCATENATE(calendar[[#This Row],[Month]],"/",calendar[[#This Row],[Year]])</f>
        <v>10/2020</v>
      </c>
      <c r="G1372">
        <f>WEEKDAY(calendar[[#This Row],[Date]],1)</f>
        <v>6</v>
      </c>
      <c r="H1372" t="str">
        <f>TEXT(calendar[[#This Row],[WeekDay]],"dddd")</f>
        <v>Friday</v>
      </c>
      <c r="I1372">
        <f>IF((INT(calendar[[#This Row],[Count]]/7)-calendar[[#This Row],[Count]]/7)&lt;0,I1371,I1371+1)</f>
        <v>196</v>
      </c>
      <c r="J1372">
        <f t="shared" si="109"/>
        <v>1370</v>
      </c>
      <c r="K1372">
        <f>IF(calendar[[#This Row],[Month]]&lt;4,1,IF(calendar[[#This Row],[Month]]&lt;7,2,IF(calendar[[#This Row],[Month]]&lt;10,3,4)))</f>
        <v>4</v>
      </c>
      <c r="L1372">
        <f>IFERROR(IF(VLOOKUP(calendar[[#This Row],[Date]],BH!A:A,1,)&lt;&gt;"",1,0),0)</f>
        <v>0</v>
      </c>
      <c r="M1372">
        <f>IFERROR(IF(VLOOKUP(calendar[[#This Row],[Date]],BH!C:C,1,)&lt;&gt;"",1,0),0)</f>
        <v>0</v>
      </c>
      <c r="N1372">
        <f>IFERROR(IF(VLOOKUP(calendar[[#This Row],[Date]],BH!E:E,1,)&lt;&gt;"",1,0),0)</f>
        <v>0</v>
      </c>
      <c r="O1372">
        <f>IFERROR(IF(VLOOKUP(calendar[[#This Row],[Date]],BH!G:G,1,)&lt;&gt;"",1,0),0)</f>
        <v>0</v>
      </c>
      <c r="P1372">
        <f>IF(OR(calendar[[#This Row],[UK_BH]]=1,calendar[[#This Row],[WeekDay]]=1, calendar[[#This Row],[WeekDay]]=7),P1371,P1371+1)</f>
        <v>980</v>
      </c>
      <c r="Q1372">
        <f>IF(OR(calendar[[#This Row],[FR_BH]]=1,calendar[[#This Row],[WeekDay]]=1, calendar[[#This Row],[WeekDay]]=7),P1371,P1371+1)</f>
        <v>980</v>
      </c>
      <c r="R1372">
        <f>IF(OR(calendar[[#This Row],[SP_BH]]=1,calendar[[#This Row],[WeekDay]]=1, calendar[[#This Row],[WeekDay]]=7),P1371,P1371+1)</f>
        <v>980</v>
      </c>
      <c r="S1372">
        <f>IF(OR(calendar[[#This Row],[PT_BH]]=1,calendar[[#This Row],[WeekDay]]=1, calendar[[#This Row],[WeekDay]]=7),P1371,P1371+1)</f>
        <v>980</v>
      </c>
    </row>
    <row r="1373" spans="1:19" x14ac:dyDescent="0.25">
      <c r="A1373" s="2">
        <v>44107</v>
      </c>
      <c r="B1373" s="1">
        <f t="shared" si="108"/>
        <v>40</v>
      </c>
      <c r="C1373">
        <f t="shared" si="110"/>
        <v>10</v>
      </c>
      <c r="D1373" t="str">
        <f t="shared" si="111"/>
        <v>October</v>
      </c>
      <c r="E1373">
        <f t="shared" si="112"/>
        <v>2020</v>
      </c>
      <c r="F1373" t="str">
        <f>CONCATENATE(calendar[[#This Row],[Month]],"/",calendar[[#This Row],[Year]])</f>
        <v>10/2020</v>
      </c>
      <c r="G1373">
        <f>WEEKDAY(calendar[[#This Row],[Date]],1)</f>
        <v>7</v>
      </c>
      <c r="H1373" t="str">
        <f>TEXT(calendar[[#This Row],[WeekDay]],"dddd")</f>
        <v>Saturday</v>
      </c>
      <c r="I1373">
        <f>IF((INT(calendar[[#This Row],[Count]]/7)-calendar[[#This Row],[Count]]/7)&lt;0,I1372,I1372+1)</f>
        <v>196</v>
      </c>
      <c r="J1373">
        <f t="shared" si="109"/>
        <v>1371</v>
      </c>
      <c r="K1373">
        <f>IF(calendar[[#This Row],[Month]]&lt;4,1,IF(calendar[[#This Row],[Month]]&lt;7,2,IF(calendar[[#This Row],[Month]]&lt;10,3,4)))</f>
        <v>4</v>
      </c>
      <c r="L1373">
        <f>IFERROR(IF(VLOOKUP(calendar[[#This Row],[Date]],BH!A:A,1,)&lt;&gt;"",1,0),0)</f>
        <v>0</v>
      </c>
      <c r="M1373">
        <f>IFERROR(IF(VLOOKUP(calendar[[#This Row],[Date]],BH!C:C,1,)&lt;&gt;"",1,0),0)</f>
        <v>0</v>
      </c>
      <c r="N1373">
        <f>IFERROR(IF(VLOOKUP(calendar[[#This Row],[Date]],BH!E:E,1,)&lt;&gt;"",1,0),0)</f>
        <v>0</v>
      </c>
      <c r="O1373">
        <f>IFERROR(IF(VLOOKUP(calendar[[#This Row],[Date]],BH!G:G,1,)&lt;&gt;"",1,0),0)</f>
        <v>0</v>
      </c>
      <c r="P1373">
        <f>IF(OR(calendar[[#This Row],[UK_BH]]=1,calendar[[#This Row],[WeekDay]]=1, calendar[[#This Row],[WeekDay]]=7),P1372,P1372+1)</f>
        <v>980</v>
      </c>
      <c r="Q1373">
        <f>IF(OR(calendar[[#This Row],[FR_BH]]=1,calendar[[#This Row],[WeekDay]]=1, calendar[[#This Row],[WeekDay]]=7),P1372,P1372+1)</f>
        <v>980</v>
      </c>
      <c r="R1373">
        <f>IF(OR(calendar[[#This Row],[SP_BH]]=1,calendar[[#This Row],[WeekDay]]=1, calendar[[#This Row],[WeekDay]]=7),P1372,P1372+1)</f>
        <v>980</v>
      </c>
      <c r="S1373">
        <f>IF(OR(calendar[[#This Row],[PT_BH]]=1,calendar[[#This Row],[WeekDay]]=1, calendar[[#This Row],[WeekDay]]=7),P1372,P1372+1)</f>
        <v>980</v>
      </c>
    </row>
    <row r="1374" spans="1:19" x14ac:dyDescent="0.25">
      <c r="A1374" s="2">
        <v>44108</v>
      </c>
      <c r="B1374" s="1">
        <f t="shared" si="108"/>
        <v>41</v>
      </c>
      <c r="C1374">
        <f t="shared" si="110"/>
        <v>10</v>
      </c>
      <c r="D1374" t="str">
        <f t="shared" si="111"/>
        <v>October</v>
      </c>
      <c r="E1374">
        <f t="shared" si="112"/>
        <v>2020</v>
      </c>
      <c r="F1374" t="str">
        <f>CONCATENATE(calendar[[#This Row],[Month]],"/",calendar[[#This Row],[Year]])</f>
        <v>10/2020</v>
      </c>
      <c r="G1374">
        <f>WEEKDAY(calendar[[#This Row],[Date]],1)</f>
        <v>1</v>
      </c>
      <c r="H1374" t="str">
        <f>TEXT(calendar[[#This Row],[WeekDay]],"dddd")</f>
        <v>Sunday</v>
      </c>
      <c r="I1374">
        <f>IF((INT(calendar[[#This Row],[Count]]/7)-calendar[[#This Row],[Count]]/7)&lt;0,I1373,I1373+1)</f>
        <v>197</v>
      </c>
      <c r="J1374">
        <f t="shared" si="109"/>
        <v>1372</v>
      </c>
      <c r="K1374">
        <f>IF(calendar[[#This Row],[Month]]&lt;4,1,IF(calendar[[#This Row],[Month]]&lt;7,2,IF(calendar[[#This Row],[Month]]&lt;10,3,4)))</f>
        <v>4</v>
      </c>
      <c r="L1374">
        <f>IFERROR(IF(VLOOKUP(calendar[[#This Row],[Date]],BH!A:A,1,)&lt;&gt;"",1,0),0)</f>
        <v>0</v>
      </c>
      <c r="M1374">
        <f>IFERROR(IF(VLOOKUP(calendar[[#This Row],[Date]],BH!C:C,1,)&lt;&gt;"",1,0),0)</f>
        <v>0</v>
      </c>
      <c r="N1374">
        <f>IFERROR(IF(VLOOKUP(calendar[[#This Row],[Date]],BH!E:E,1,)&lt;&gt;"",1,0),0)</f>
        <v>0</v>
      </c>
      <c r="O1374">
        <f>IFERROR(IF(VLOOKUP(calendar[[#This Row],[Date]],BH!G:G,1,)&lt;&gt;"",1,0),0)</f>
        <v>0</v>
      </c>
      <c r="P1374">
        <f>IF(OR(calendar[[#This Row],[UK_BH]]=1,calendar[[#This Row],[WeekDay]]=1, calendar[[#This Row],[WeekDay]]=7),P1373,P1373+1)</f>
        <v>980</v>
      </c>
      <c r="Q1374">
        <f>IF(OR(calendar[[#This Row],[FR_BH]]=1,calendar[[#This Row],[WeekDay]]=1, calendar[[#This Row],[WeekDay]]=7),P1373,P1373+1)</f>
        <v>980</v>
      </c>
      <c r="R1374">
        <f>IF(OR(calendar[[#This Row],[SP_BH]]=1,calendar[[#This Row],[WeekDay]]=1, calendar[[#This Row],[WeekDay]]=7),P1373,P1373+1)</f>
        <v>980</v>
      </c>
      <c r="S1374">
        <f>IF(OR(calendar[[#This Row],[PT_BH]]=1,calendar[[#This Row],[WeekDay]]=1, calendar[[#This Row],[WeekDay]]=7),P1373,P1373+1)</f>
        <v>980</v>
      </c>
    </row>
    <row r="1375" spans="1:19" x14ac:dyDescent="0.25">
      <c r="A1375" s="2">
        <v>44109</v>
      </c>
      <c r="B1375" s="1">
        <f t="shared" si="108"/>
        <v>41</v>
      </c>
      <c r="C1375">
        <f t="shared" si="110"/>
        <v>10</v>
      </c>
      <c r="D1375" t="str">
        <f t="shared" si="111"/>
        <v>October</v>
      </c>
      <c r="E1375">
        <f t="shared" si="112"/>
        <v>2020</v>
      </c>
      <c r="F1375" t="str">
        <f>CONCATENATE(calendar[[#This Row],[Month]],"/",calendar[[#This Row],[Year]])</f>
        <v>10/2020</v>
      </c>
      <c r="G1375">
        <f>WEEKDAY(calendar[[#This Row],[Date]],1)</f>
        <v>2</v>
      </c>
      <c r="H1375" t="str">
        <f>TEXT(calendar[[#This Row],[WeekDay]],"dddd")</f>
        <v>Monday</v>
      </c>
      <c r="I1375">
        <f>IF((INT(calendar[[#This Row],[Count]]/7)-calendar[[#This Row],[Count]]/7)&lt;0,I1374,I1374+1)</f>
        <v>197</v>
      </c>
      <c r="J1375">
        <f t="shared" si="109"/>
        <v>1373</v>
      </c>
      <c r="K1375">
        <f>IF(calendar[[#This Row],[Month]]&lt;4,1,IF(calendar[[#This Row],[Month]]&lt;7,2,IF(calendar[[#This Row],[Month]]&lt;10,3,4)))</f>
        <v>4</v>
      </c>
      <c r="L1375">
        <f>IFERROR(IF(VLOOKUP(calendar[[#This Row],[Date]],BH!A:A,1,)&lt;&gt;"",1,0),0)</f>
        <v>0</v>
      </c>
      <c r="M1375">
        <f>IFERROR(IF(VLOOKUP(calendar[[#This Row],[Date]],BH!C:C,1,)&lt;&gt;"",1,0),0)</f>
        <v>0</v>
      </c>
      <c r="N1375">
        <f>IFERROR(IF(VLOOKUP(calendar[[#This Row],[Date]],BH!E:E,1,)&lt;&gt;"",1,0),0)</f>
        <v>0</v>
      </c>
      <c r="O1375">
        <f>IFERROR(IF(VLOOKUP(calendar[[#This Row],[Date]],BH!G:G,1,)&lt;&gt;"",1,0),0)</f>
        <v>0</v>
      </c>
      <c r="P1375">
        <f>IF(OR(calendar[[#This Row],[UK_BH]]=1,calendar[[#This Row],[WeekDay]]=1, calendar[[#This Row],[WeekDay]]=7),P1374,P1374+1)</f>
        <v>981</v>
      </c>
      <c r="Q1375">
        <f>IF(OR(calendar[[#This Row],[FR_BH]]=1,calendar[[#This Row],[WeekDay]]=1, calendar[[#This Row],[WeekDay]]=7),P1374,P1374+1)</f>
        <v>981</v>
      </c>
      <c r="R1375">
        <f>IF(OR(calendar[[#This Row],[SP_BH]]=1,calendar[[#This Row],[WeekDay]]=1, calendar[[#This Row],[WeekDay]]=7),P1374,P1374+1)</f>
        <v>981</v>
      </c>
      <c r="S1375">
        <f>IF(OR(calendar[[#This Row],[PT_BH]]=1,calendar[[#This Row],[WeekDay]]=1, calendar[[#This Row],[WeekDay]]=7),P1374,P1374+1)</f>
        <v>981</v>
      </c>
    </row>
    <row r="1376" spans="1:19" x14ac:dyDescent="0.25">
      <c r="A1376" s="2">
        <v>44110</v>
      </c>
      <c r="B1376" s="1">
        <f t="shared" si="108"/>
        <v>41</v>
      </c>
      <c r="C1376">
        <f t="shared" si="110"/>
        <v>10</v>
      </c>
      <c r="D1376" t="str">
        <f t="shared" si="111"/>
        <v>October</v>
      </c>
      <c r="E1376">
        <f t="shared" si="112"/>
        <v>2020</v>
      </c>
      <c r="F1376" t="str">
        <f>CONCATENATE(calendar[[#This Row],[Month]],"/",calendar[[#This Row],[Year]])</f>
        <v>10/2020</v>
      </c>
      <c r="G1376">
        <f>WEEKDAY(calendar[[#This Row],[Date]],1)</f>
        <v>3</v>
      </c>
      <c r="H1376" t="str">
        <f>TEXT(calendar[[#This Row],[WeekDay]],"dddd")</f>
        <v>Tuesday</v>
      </c>
      <c r="I1376">
        <f>IF((INT(calendar[[#This Row],[Count]]/7)-calendar[[#This Row],[Count]]/7)&lt;0,I1375,I1375+1)</f>
        <v>197</v>
      </c>
      <c r="J1376">
        <f t="shared" si="109"/>
        <v>1374</v>
      </c>
      <c r="K1376">
        <f>IF(calendar[[#This Row],[Month]]&lt;4,1,IF(calendar[[#This Row],[Month]]&lt;7,2,IF(calendar[[#This Row],[Month]]&lt;10,3,4)))</f>
        <v>4</v>
      </c>
      <c r="L1376">
        <f>IFERROR(IF(VLOOKUP(calendar[[#This Row],[Date]],BH!A:A,1,)&lt;&gt;"",1,0),0)</f>
        <v>0</v>
      </c>
      <c r="M1376">
        <f>IFERROR(IF(VLOOKUP(calendar[[#This Row],[Date]],BH!C:C,1,)&lt;&gt;"",1,0),0)</f>
        <v>0</v>
      </c>
      <c r="N1376">
        <f>IFERROR(IF(VLOOKUP(calendar[[#This Row],[Date]],BH!E:E,1,)&lt;&gt;"",1,0),0)</f>
        <v>0</v>
      </c>
      <c r="O1376">
        <f>IFERROR(IF(VLOOKUP(calendar[[#This Row],[Date]],BH!G:G,1,)&lt;&gt;"",1,0),0)</f>
        <v>0</v>
      </c>
      <c r="P1376">
        <f>IF(OR(calendar[[#This Row],[UK_BH]]=1,calendar[[#This Row],[WeekDay]]=1, calendar[[#This Row],[WeekDay]]=7),P1375,P1375+1)</f>
        <v>982</v>
      </c>
      <c r="Q1376">
        <f>IF(OR(calendar[[#This Row],[FR_BH]]=1,calendar[[#This Row],[WeekDay]]=1, calendar[[#This Row],[WeekDay]]=7),P1375,P1375+1)</f>
        <v>982</v>
      </c>
      <c r="R1376">
        <f>IF(OR(calendar[[#This Row],[SP_BH]]=1,calendar[[#This Row],[WeekDay]]=1, calendar[[#This Row],[WeekDay]]=7),P1375,P1375+1)</f>
        <v>982</v>
      </c>
      <c r="S1376">
        <f>IF(OR(calendar[[#This Row],[PT_BH]]=1,calendar[[#This Row],[WeekDay]]=1, calendar[[#This Row],[WeekDay]]=7),P1375,P1375+1)</f>
        <v>982</v>
      </c>
    </row>
    <row r="1377" spans="1:19" x14ac:dyDescent="0.25">
      <c r="A1377" s="2">
        <v>44111</v>
      </c>
      <c r="B1377" s="1">
        <f t="shared" si="108"/>
        <v>41</v>
      </c>
      <c r="C1377">
        <f t="shared" si="110"/>
        <v>10</v>
      </c>
      <c r="D1377" t="str">
        <f t="shared" si="111"/>
        <v>October</v>
      </c>
      <c r="E1377">
        <f t="shared" si="112"/>
        <v>2020</v>
      </c>
      <c r="F1377" t="str">
        <f>CONCATENATE(calendar[[#This Row],[Month]],"/",calendar[[#This Row],[Year]])</f>
        <v>10/2020</v>
      </c>
      <c r="G1377">
        <f>WEEKDAY(calendar[[#This Row],[Date]],1)</f>
        <v>4</v>
      </c>
      <c r="H1377" t="str">
        <f>TEXT(calendar[[#This Row],[WeekDay]],"dddd")</f>
        <v>Wednesday</v>
      </c>
      <c r="I1377">
        <f>IF((INT(calendar[[#This Row],[Count]]/7)-calendar[[#This Row],[Count]]/7)&lt;0,I1376,I1376+1)</f>
        <v>197</v>
      </c>
      <c r="J1377">
        <f t="shared" si="109"/>
        <v>1375</v>
      </c>
      <c r="K1377">
        <f>IF(calendar[[#This Row],[Month]]&lt;4,1,IF(calendar[[#This Row],[Month]]&lt;7,2,IF(calendar[[#This Row],[Month]]&lt;10,3,4)))</f>
        <v>4</v>
      </c>
      <c r="L1377">
        <f>IFERROR(IF(VLOOKUP(calendar[[#This Row],[Date]],BH!A:A,1,)&lt;&gt;"",1,0),0)</f>
        <v>0</v>
      </c>
      <c r="M1377">
        <f>IFERROR(IF(VLOOKUP(calendar[[#This Row],[Date]],BH!C:C,1,)&lt;&gt;"",1,0),0)</f>
        <v>0</v>
      </c>
      <c r="N1377">
        <f>IFERROR(IF(VLOOKUP(calendar[[#This Row],[Date]],BH!E:E,1,)&lt;&gt;"",1,0),0)</f>
        <v>0</v>
      </c>
      <c r="O1377">
        <f>IFERROR(IF(VLOOKUP(calendar[[#This Row],[Date]],BH!G:G,1,)&lt;&gt;"",1,0),0)</f>
        <v>0</v>
      </c>
      <c r="P1377">
        <f>IF(OR(calendar[[#This Row],[UK_BH]]=1,calendar[[#This Row],[WeekDay]]=1, calendar[[#This Row],[WeekDay]]=7),P1376,P1376+1)</f>
        <v>983</v>
      </c>
      <c r="Q1377">
        <f>IF(OR(calendar[[#This Row],[FR_BH]]=1,calendar[[#This Row],[WeekDay]]=1, calendar[[#This Row],[WeekDay]]=7),P1376,P1376+1)</f>
        <v>983</v>
      </c>
      <c r="R1377">
        <f>IF(OR(calendar[[#This Row],[SP_BH]]=1,calendar[[#This Row],[WeekDay]]=1, calendar[[#This Row],[WeekDay]]=7),P1376,P1376+1)</f>
        <v>983</v>
      </c>
      <c r="S1377">
        <f>IF(OR(calendar[[#This Row],[PT_BH]]=1,calendar[[#This Row],[WeekDay]]=1, calendar[[#This Row],[WeekDay]]=7),P1376,P1376+1)</f>
        <v>983</v>
      </c>
    </row>
    <row r="1378" spans="1:19" x14ac:dyDescent="0.25">
      <c r="A1378" s="2">
        <v>44112</v>
      </c>
      <c r="B1378" s="1">
        <f t="shared" si="108"/>
        <v>41</v>
      </c>
      <c r="C1378">
        <f t="shared" si="110"/>
        <v>10</v>
      </c>
      <c r="D1378" t="str">
        <f t="shared" si="111"/>
        <v>October</v>
      </c>
      <c r="E1378">
        <f t="shared" si="112"/>
        <v>2020</v>
      </c>
      <c r="F1378" t="str">
        <f>CONCATENATE(calendar[[#This Row],[Month]],"/",calendar[[#This Row],[Year]])</f>
        <v>10/2020</v>
      </c>
      <c r="G1378">
        <f>WEEKDAY(calendar[[#This Row],[Date]],1)</f>
        <v>5</v>
      </c>
      <c r="H1378" t="str">
        <f>TEXT(calendar[[#This Row],[WeekDay]],"dddd")</f>
        <v>Thursday</v>
      </c>
      <c r="I1378">
        <f>IF((INT(calendar[[#This Row],[Count]]/7)-calendar[[#This Row],[Count]]/7)&lt;0,I1377,I1377+1)</f>
        <v>197</v>
      </c>
      <c r="J1378">
        <f t="shared" si="109"/>
        <v>1376</v>
      </c>
      <c r="K1378">
        <f>IF(calendar[[#This Row],[Month]]&lt;4,1,IF(calendar[[#This Row],[Month]]&lt;7,2,IF(calendar[[#This Row],[Month]]&lt;10,3,4)))</f>
        <v>4</v>
      </c>
      <c r="L1378">
        <f>IFERROR(IF(VLOOKUP(calendar[[#This Row],[Date]],BH!A:A,1,)&lt;&gt;"",1,0),0)</f>
        <v>0</v>
      </c>
      <c r="M1378">
        <f>IFERROR(IF(VLOOKUP(calendar[[#This Row],[Date]],BH!C:C,1,)&lt;&gt;"",1,0),0)</f>
        <v>0</v>
      </c>
      <c r="N1378">
        <f>IFERROR(IF(VLOOKUP(calendar[[#This Row],[Date]],BH!E:E,1,)&lt;&gt;"",1,0),0)</f>
        <v>0</v>
      </c>
      <c r="O1378">
        <f>IFERROR(IF(VLOOKUP(calendar[[#This Row],[Date]],BH!G:G,1,)&lt;&gt;"",1,0),0)</f>
        <v>0</v>
      </c>
      <c r="P1378">
        <f>IF(OR(calendar[[#This Row],[UK_BH]]=1,calendar[[#This Row],[WeekDay]]=1, calendar[[#This Row],[WeekDay]]=7),P1377,P1377+1)</f>
        <v>984</v>
      </c>
      <c r="Q1378">
        <f>IF(OR(calendar[[#This Row],[FR_BH]]=1,calendar[[#This Row],[WeekDay]]=1, calendar[[#This Row],[WeekDay]]=7),P1377,P1377+1)</f>
        <v>984</v>
      </c>
      <c r="R1378">
        <f>IF(OR(calendar[[#This Row],[SP_BH]]=1,calendar[[#This Row],[WeekDay]]=1, calendar[[#This Row],[WeekDay]]=7),P1377,P1377+1)</f>
        <v>984</v>
      </c>
      <c r="S1378">
        <f>IF(OR(calendar[[#This Row],[PT_BH]]=1,calendar[[#This Row],[WeekDay]]=1, calendar[[#This Row],[WeekDay]]=7),P1377,P1377+1)</f>
        <v>984</v>
      </c>
    </row>
    <row r="1379" spans="1:19" x14ac:dyDescent="0.25">
      <c r="A1379" s="2">
        <v>44113</v>
      </c>
      <c r="B1379" s="1">
        <f t="shared" si="108"/>
        <v>41</v>
      </c>
      <c r="C1379">
        <f t="shared" si="110"/>
        <v>10</v>
      </c>
      <c r="D1379" t="str">
        <f t="shared" si="111"/>
        <v>October</v>
      </c>
      <c r="E1379">
        <f t="shared" si="112"/>
        <v>2020</v>
      </c>
      <c r="F1379" t="str">
        <f>CONCATENATE(calendar[[#This Row],[Month]],"/",calendar[[#This Row],[Year]])</f>
        <v>10/2020</v>
      </c>
      <c r="G1379">
        <f>WEEKDAY(calendar[[#This Row],[Date]],1)</f>
        <v>6</v>
      </c>
      <c r="H1379" t="str">
        <f>TEXT(calendar[[#This Row],[WeekDay]],"dddd")</f>
        <v>Friday</v>
      </c>
      <c r="I1379">
        <f>IF((INT(calendar[[#This Row],[Count]]/7)-calendar[[#This Row],[Count]]/7)&lt;0,I1378,I1378+1)</f>
        <v>197</v>
      </c>
      <c r="J1379">
        <f t="shared" si="109"/>
        <v>1377</v>
      </c>
      <c r="K1379">
        <f>IF(calendar[[#This Row],[Month]]&lt;4,1,IF(calendar[[#This Row],[Month]]&lt;7,2,IF(calendar[[#This Row],[Month]]&lt;10,3,4)))</f>
        <v>4</v>
      </c>
      <c r="L1379">
        <f>IFERROR(IF(VLOOKUP(calendar[[#This Row],[Date]],BH!A:A,1,)&lt;&gt;"",1,0),0)</f>
        <v>0</v>
      </c>
      <c r="M1379">
        <f>IFERROR(IF(VLOOKUP(calendar[[#This Row],[Date]],BH!C:C,1,)&lt;&gt;"",1,0),0)</f>
        <v>0</v>
      </c>
      <c r="N1379">
        <f>IFERROR(IF(VLOOKUP(calendar[[#This Row],[Date]],BH!E:E,1,)&lt;&gt;"",1,0),0)</f>
        <v>0</v>
      </c>
      <c r="O1379">
        <f>IFERROR(IF(VLOOKUP(calendar[[#This Row],[Date]],BH!G:G,1,)&lt;&gt;"",1,0),0)</f>
        <v>0</v>
      </c>
      <c r="P1379">
        <f>IF(OR(calendar[[#This Row],[UK_BH]]=1,calendar[[#This Row],[WeekDay]]=1, calendar[[#This Row],[WeekDay]]=7),P1378,P1378+1)</f>
        <v>985</v>
      </c>
      <c r="Q1379">
        <f>IF(OR(calendar[[#This Row],[FR_BH]]=1,calendar[[#This Row],[WeekDay]]=1, calendar[[#This Row],[WeekDay]]=7),P1378,P1378+1)</f>
        <v>985</v>
      </c>
      <c r="R1379">
        <f>IF(OR(calendar[[#This Row],[SP_BH]]=1,calendar[[#This Row],[WeekDay]]=1, calendar[[#This Row],[WeekDay]]=7),P1378,P1378+1)</f>
        <v>985</v>
      </c>
      <c r="S1379">
        <f>IF(OR(calendar[[#This Row],[PT_BH]]=1,calendar[[#This Row],[WeekDay]]=1, calendar[[#This Row],[WeekDay]]=7),P1378,P1378+1)</f>
        <v>985</v>
      </c>
    </row>
    <row r="1380" spans="1:19" x14ac:dyDescent="0.25">
      <c r="A1380" s="2">
        <v>44114</v>
      </c>
      <c r="B1380" s="1">
        <f t="shared" si="108"/>
        <v>41</v>
      </c>
      <c r="C1380">
        <f t="shared" si="110"/>
        <v>10</v>
      </c>
      <c r="D1380" t="str">
        <f t="shared" si="111"/>
        <v>October</v>
      </c>
      <c r="E1380">
        <f t="shared" si="112"/>
        <v>2020</v>
      </c>
      <c r="F1380" t="str">
        <f>CONCATENATE(calendar[[#This Row],[Month]],"/",calendar[[#This Row],[Year]])</f>
        <v>10/2020</v>
      </c>
      <c r="G1380">
        <f>WEEKDAY(calendar[[#This Row],[Date]],1)</f>
        <v>7</v>
      </c>
      <c r="H1380" t="str">
        <f>TEXT(calendar[[#This Row],[WeekDay]],"dddd")</f>
        <v>Saturday</v>
      </c>
      <c r="I1380">
        <f>IF((INT(calendar[[#This Row],[Count]]/7)-calendar[[#This Row],[Count]]/7)&lt;0,I1379,I1379+1)</f>
        <v>197</v>
      </c>
      <c r="J1380">
        <f t="shared" si="109"/>
        <v>1378</v>
      </c>
      <c r="K1380">
        <f>IF(calendar[[#This Row],[Month]]&lt;4,1,IF(calendar[[#This Row],[Month]]&lt;7,2,IF(calendar[[#This Row],[Month]]&lt;10,3,4)))</f>
        <v>4</v>
      </c>
      <c r="L1380">
        <f>IFERROR(IF(VLOOKUP(calendar[[#This Row],[Date]],BH!A:A,1,)&lt;&gt;"",1,0),0)</f>
        <v>0</v>
      </c>
      <c r="M1380">
        <f>IFERROR(IF(VLOOKUP(calendar[[#This Row],[Date]],BH!C:C,1,)&lt;&gt;"",1,0),0)</f>
        <v>0</v>
      </c>
      <c r="N1380">
        <f>IFERROR(IF(VLOOKUP(calendar[[#This Row],[Date]],BH!E:E,1,)&lt;&gt;"",1,0),0)</f>
        <v>0</v>
      </c>
      <c r="O1380">
        <f>IFERROR(IF(VLOOKUP(calendar[[#This Row],[Date]],BH!G:G,1,)&lt;&gt;"",1,0),0)</f>
        <v>0</v>
      </c>
      <c r="P1380">
        <f>IF(OR(calendar[[#This Row],[UK_BH]]=1,calendar[[#This Row],[WeekDay]]=1, calendar[[#This Row],[WeekDay]]=7),P1379,P1379+1)</f>
        <v>985</v>
      </c>
      <c r="Q1380">
        <f>IF(OR(calendar[[#This Row],[FR_BH]]=1,calendar[[#This Row],[WeekDay]]=1, calendar[[#This Row],[WeekDay]]=7),P1379,P1379+1)</f>
        <v>985</v>
      </c>
      <c r="R1380">
        <f>IF(OR(calendar[[#This Row],[SP_BH]]=1,calendar[[#This Row],[WeekDay]]=1, calendar[[#This Row],[WeekDay]]=7),P1379,P1379+1)</f>
        <v>985</v>
      </c>
      <c r="S1380">
        <f>IF(OR(calendar[[#This Row],[PT_BH]]=1,calendar[[#This Row],[WeekDay]]=1, calendar[[#This Row],[WeekDay]]=7),P1379,P1379+1)</f>
        <v>985</v>
      </c>
    </row>
    <row r="1381" spans="1:19" x14ac:dyDescent="0.25">
      <c r="A1381" s="2">
        <v>44115</v>
      </c>
      <c r="B1381" s="1">
        <f t="shared" si="108"/>
        <v>42</v>
      </c>
      <c r="C1381">
        <f t="shared" si="110"/>
        <v>10</v>
      </c>
      <c r="D1381" t="str">
        <f t="shared" si="111"/>
        <v>October</v>
      </c>
      <c r="E1381">
        <f t="shared" si="112"/>
        <v>2020</v>
      </c>
      <c r="F1381" t="str">
        <f>CONCATENATE(calendar[[#This Row],[Month]],"/",calendar[[#This Row],[Year]])</f>
        <v>10/2020</v>
      </c>
      <c r="G1381">
        <f>WEEKDAY(calendar[[#This Row],[Date]],1)</f>
        <v>1</v>
      </c>
      <c r="H1381" t="str">
        <f>TEXT(calendar[[#This Row],[WeekDay]],"dddd")</f>
        <v>Sunday</v>
      </c>
      <c r="I1381">
        <f>IF((INT(calendar[[#This Row],[Count]]/7)-calendar[[#This Row],[Count]]/7)&lt;0,I1380,I1380+1)</f>
        <v>198</v>
      </c>
      <c r="J1381">
        <f t="shared" si="109"/>
        <v>1379</v>
      </c>
      <c r="K1381">
        <f>IF(calendar[[#This Row],[Month]]&lt;4,1,IF(calendar[[#This Row],[Month]]&lt;7,2,IF(calendar[[#This Row],[Month]]&lt;10,3,4)))</f>
        <v>4</v>
      </c>
      <c r="L1381">
        <f>IFERROR(IF(VLOOKUP(calendar[[#This Row],[Date]],BH!A:A,1,)&lt;&gt;"",1,0),0)</f>
        <v>0</v>
      </c>
      <c r="M1381">
        <f>IFERROR(IF(VLOOKUP(calendar[[#This Row],[Date]],BH!C:C,1,)&lt;&gt;"",1,0),0)</f>
        <v>0</v>
      </c>
      <c r="N1381">
        <f>IFERROR(IF(VLOOKUP(calendar[[#This Row],[Date]],BH!E:E,1,)&lt;&gt;"",1,0),0)</f>
        <v>0</v>
      </c>
      <c r="O1381">
        <f>IFERROR(IF(VLOOKUP(calendar[[#This Row],[Date]],BH!G:G,1,)&lt;&gt;"",1,0),0)</f>
        <v>0</v>
      </c>
      <c r="P1381">
        <f>IF(OR(calendar[[#This Row],[UK_BH]]=1,calendar[[#This Row],[WeekDay]]=1, calendar[[#This Row],[WeekDay]]=7),P1380,P1380+1)</f>
        <v>985</v>
      </c>
      <c r="Q1381">
        <f>IF(OR(calendar[[#This Row],[FR_BH]]=1,calendar[[#This Row],[WeekDay]]=1, calendar[[#This Row],[WeekDay]]=7),P1380,P1380+1)</f>
        <v>985</v>
      </c>
      <c r="R1381">
        <f>IF(OR(calendar[[#This Row],[SP_BH]]=1,calendar[[#This Row],[WeekDay]]=1, calendar[[#This Row],[WeekDay]]=7),P1380,P1380+1)</f>
        <v>985</v>
      </c>
      <c r="S1381">
        <f>IF(OR(calendar[[#This Row],[PT_BH]]=1,calendar[[#This Row],[WeekDay]]=1, calendar[[#This Row],[WeekDay]]=7),P1380,P1380+1)</f>
        <v>985</v>
      </c>
    </row>
    <row r="1382" spans="1:19" x14ac:dyDescent="0.25">
      <c r="A1382" s="2">
        <v>44116</v>
      </c>
      <c r="B1382" s="1">
        <f t="shared" si="108"/>
        <v>42</v>
      </c>
      <c r="C1382">
        <f t="shared" si="110"/>
        <v>10</v>
      </c>
      <c r="D1382" t="str">
        <f t="shared" si="111"/>
        <v>October</v>
      </c>
      <c r="E1382">
        <f t="shared" si="112"/>
        <v>2020</v>
      </c>
      <c r="F1382" t="str">
        <f>CONCATENATE(calendar[[#This Row],[Month]],"/",calendar[[#This Row],[Year]])</f>
        <v>10/2020</v>
      </c>
      <c r="G1382">
        <f>WEEKDAY(calendar[[#This Row],[Date]],1)</f>
        <v>2</v>
      </c>
      <c r="H1382" t="str">
        <f>TEXT(calendar[[#This Row],[WeekDay]],"dddd")</f>
        <v>Monday</v>
      </c>
      <c r="I1382">
        <f>IF((INT(calendar[[#This Row],[Count]]/7)-calendar[[#This Row],[Count]]/7)&lt;0,I1381,I1381+1)</f>
        <v>198</v>
      </c>
      <c r="J1382">
        <f t="shared" si="109"/>
        <v>1380</v>
      </c>
      <c r="K1382">
        <f>IF(calendar[[#This Row],[Month]]&lt;4,1,IF(calendar[[#This Row],[Month]]&lt;7,2,IF(calendar[[#This Row],[Month]]&lt;10,3,4)))</f>
        <v>4</v>
      </c>
      <c r="L1382">
        <f>IFERROR(IF(VLOOKUP(calendar[[#This Row],[Date]],BH!A:A,1,)&lt;&gt;"",1,0),0)</f>
        <v>0</v>
      </c>
      <c r="M1382">
        <f>IFERROR(IF(VLOOKUP(calendar[[#This Row],[Date]],BH!C:C,1,)&lt;&gt;"",1,0),0)</f>
        <v>0</v>
      </c>
      <c r="N1382">
        <f>IFERROR(IF(VLOOKUP(calendar[[#This Row],[Date]],BH!E:E,1,)&lt;&gt;"",1,0),0)</f>
        <v>0</v>
      </c>
      <c r="O1382">
        <f>IFERROR(IF(VLOOKUP(calendar[[#This Row],[Date]],BH!G:G,1,)&lt;&gt;"",1,0),0)</f>
        <v>0</v>
      </c>
      <c r="P1382">
        <f>IF(OR(calendar[[#This Row],[UK_BH]]=1,calendar[[#This Row],[WeekDay]]=1, calendar[[#This Row],[WeekDay]]=7),P1381,P1381+1)</f>
        <v>986</v>
      </c>
      <c r="Q1382">
        <f>IF(OR(calendar[[#This Row],[FR_BH]]=1,calendar[[#This Row],[WeekDay]]=1, calendar[[#This Row],[WeekDay]]=7),P1381,P1381+1)</f>
        <v>986</v>
      </c>
      <c r="R1382">
        <f>IF(OR(calendar[[#This Row],[SP_BH]]=1,calendar[[#This Row],[WeekDay]]=1, calendar[[#This Row],[WeekDay]]=7),P1381,P1381+1)</f>
        <v>986</v>
      </c>
      <c r="S1382">
        <f>IF(OR(calendar[[#This Row],[PT_BH]]=1,calendar[[#This Row],[WeekDay]]=1, calendar[[#This Row],[WeekDay]]=7),P1381,P1381+1)</f>
        <v>986</v>
      </c>
    </row>
    <row r="1383" spans="1:19" x14ac:dyDescent="0.25">
      <c r="A1383" s="2">
        <v>44117</v>
      </c>
      <c r="B1383" s="1">
        <f t="shared" si="108"/>
        <v>42</v>
      </c>
      <c r="C1383">
        <f t="shared" si="110"/>
        <v>10</v>
      </c>
      <c r="D1383" t="str">
        <f t="shared" si="111"/>
        <v>October</v>
      </c>
      <c r="E1383">
        <f t="shared" si="112"/>
        <v>2020</v>
      </c>
      <c r="F1383" t="str">
        <f>CONCATENATE(calendar[[#This Row],[Month]],"/",calendar[[#This Row],[Year]])</f>
        <v>10/2020</v>
      </c>
      <c r="G1383">
        <f>WEEKDAY(calendar[[#This Row],[Date]],1)</f>
        <v>3</v>
      </c>
      <c r="H1383" t="str">
        <f>TEXT(calendar[[#This Row],[WeekDay]],"dddd")</f>
        <v>Tuesday</v>
      </c>
      <c r="I1383">
        <f>IF((INT(calendar[[#This Row],[Count]]/7)-calendar[[#This Row],[Count]]/7)&lt;0,I1382,I1382+1)</f>
        <v>198</v>
      </c>
      <c r="J1383">
        <f t="shared" si="109"/>
        <v>1381</v>
      </c>
      <c r="K1383">
        <f>IF(calendar[[#This Row],[Month]]&lt;4,1,IF(calendar[[#This Row],[Month]]&lt;7,2,IF(calendar[[#This Row],[Month]]&lt;10,3,4)))</f>
        <v>4</v>
      </c>
      <c r="L1383">
        <f>IFERROR(IF(VLOOKUP(calendar[[#This Row],[Date]],BH!A:A,1,)&lt;&gt;"",1,0),0)</f>
        <v>0</v>
      </c>
      <c r="M1383">
        <f>IFERROR(IF(VLOOKUP(calendar[[#This Row],[Date]],BH!C:C,1,)&lt;&gt;"",1,0),0)</f>
        <v>0</v>
      </c>
      <c r="N1383">
        <f>IFERROR(IF(VLOOKUP(calendar[[#This Row],[Date]],BH!E:E,1,)&lt;&gt;"",1,0),0)</f>
        <v>0</v>
      </c>
      <c r="O1383">
        <f>IFERROR(IF(VLOOKUP(calendar[[#This Row],[Date]],BH!G:G,1,)&lt;&gt;"",1,0),0)</f>
        <v>0</v>
      </c>
      <c r="P1383">
        <f>IF(OR(calendar[[#This Row],[UK_BH]]=1,calendar[[#This Row],[WeekDay]]=1, calendar[[#This Row],[WeekDay]]=7),P1382,P1382+1)</f>
        <v>987</v>
      </c>
      <c r="Q1383">
        <f>IF(OR(calendar[[#This Row],[FR_BH]]=1,calendar[[#This Row],[WeekDay]]=1, calendar[[#This Row],[WeekDay]]=7),P1382,P1382+1)</f>
        <v>987</v>
      </c>
      <c r="R1383">
        <f>IF(OR(calendar[[#This Row],[SP_BH]]=1,calendar[[#This Row],[WeekDay]]=1, calendar[[#This Row],[WeekDay]]=7),P1382,P1382+1)</f>
        <v>987</v>
      </c>
      <c r="S1383">
        <f>IF(OR(calendar[[#This Row],[PT_BH]]=1,calendar[[#This Row],[WeekDay]]=1, calendar[[#This Row],[WeekDay]]=7),P1382,P1382+1)</f>
        <v>987</v>
      </c>
    </row>
    <row r="1384" spans="1:19" x14ac:dyDescent="0.25">
      <c r="A1384" s="2">
        <v>44118</v>
      </c>
      <c r="B1384" s="1">
        <f t="shared" si="108"/>
        <v>42</v>
      </c>
      <c r="C1384">
        <f t="shared" si="110"/>
        <v>10</v>
      </c>
      <c r="D1384" t="str">
        <f t="shared" si="111"/>
        <v>October</v>
      </c>
      <c r="E1384">
        <f t="shared" si="112"/>
        <v>2020</v>
      </c>
      <c r="F1384" t="str">
        <f>CONCATENATE(calendar[[#This Row],[Month]],"/",calendar[[#This Row],[Year]])</f>
        <v>10/2020</v>
      </c>
      <c r="G1384">
        <f>WEEKDAY(calendar[[#This Row],[Date]],1)</f>
        <v>4</v>
      </c>
      <c r="H1384" t="str">
        <f>TEXT(calendar[[#This Row],[WeekDay]],"dddd")</f>
        <v>Wednesday</v>
      </c>
      <c r="I1384">
        <f>IF((INT(calendar[[#This Row],[Count]]/7)-calendar[[#This Row],[Count]]/7)&lt;0,I1383,I1383+1)</f>
        <v>198</v>
      </c>
      <c r="J1384">
        <f t="shared" si="109"/>
        <v>1382</v>
      </c>
      <c r="K1384">
        <f>IF(calendar[[#This Row],[Month]]&lt;4,1,IF(calendar[[#This Row],[Month]]&lt;7,2,IF(calendar[[#This Row],[Month]]&lt;10,3,4)))</f>
        <v>4</v>
      </c>
      <c r="L1384">
        <f>IFERROR(IF(VLOOKUP(calendar[[#This Row],[Date]],BH!A:A,1,)&lt;&gt;"",1,0),0)</f>
        <v>0</v>
      </c>
      <c r="M1384">
        <f>IFERROR(IF(VLOOKUP(calendar[[#This Row],[Date]],BH!C:C,1,)&lt;&gt;"",1,0),0)</f>
        <v>0</v>
      </c>
      <c r="N1384">
        <f>IFERROR(IF(VLOOKUP(calendar[[#This Row],[Date]],BH!E:E,1,)&lt;&gt;"",1,0),0)</f>
        <v>0</v>
      </c>
      <c r="O1384">
        <f>IFERROR(IF(VLOOKUP(calendar[[#This Row],[Date]],BH!G:G,1,)&lt;&gt;"",1,0),0)</f>
        <v>0</v>
      </c>
      <c r="P1384">
        <f>IF(OR(calendar[[#This Row],[UK_BH]]=1,calendar[[#This Row],[WeekDay]]=1, calendar[[#This Row],[WeekDay]]=7),P1383,P1383+1)</f>
        <v>988</v>
      </c>
      <c r="Q1384">
        <f>IF(OR(calendar[[#This Row],[FR_BH]]=1,calendar[[#This Row],[WeekDay]]=1, calendar[[#This Row],[WeekDay]]=7),P1383,P1383+1)</f>
        <v>988</v>
      </c>
      <c r="R1384">
        <f>IF(OR(calendar[[#This Row],[SP_BH]]=1,calendar[[#This Row],[WeekDay]]=1, calendar[[#This Row],[WeekDay]]=7),P1383,P1383+1)</f>
        <v>988</v>
      </c>
      <c r="S1384">
        <f>IF(OR(calendar[[#This Row],[PT_BH]]=1,calendar[[#This Row],[WeekDay]]=1, calendar[[#This Row],[WeekDay]]=7),P1383,P1383+1)</f>
        <v>988</v>
      </c>
    </row>
    <row r="1385" spans="1:19" x14ac:dyDescent="0.25">
      <c r="A1385" s="2">
        <v>44119</v>
      </c>
      <c r="B1385" s="1">
        <f t="shared" si="108"/>
        <v>42</v>
      </c>
      <c r="C1385">
        <f t="shared" si="110"/>
        <v>10</v>
      </c>
      <c r="D1385" t="str">
        <f t="shared" si="111"/>
        <v>October</v>
      </c>
      <c r="E1385">
        <f t="shared" si="112"/>
        <v>2020</v>
      </c>
      <c r="F1385" t="str">
        <f>CONCATENATE(calendar[[#This Row],[Month]],"/",calendar[[#This Row],[Year]])</f>
        <v>10/2020</v>
      </c>
      <c r="G1385">
        <f>WEEKDAY(calendar[[#This Row],[Date]],1)</f>
        <v>5</v>
      </c>
      <c r="H1385" t="str">
        <f>TEXT(calendar[[#This Row],[WeekDay]],"dddd")</f>
        <v>Thursday</v>
      </c>
      <c r="I1385">
        <f>IF((INT(calendar[[#This Row],[Count]]/7)-calendar[[#This Row],[Count]]/7)&lt;0,I1384,I1384+1)</f>
        <v>198</v>
      </c>
      <c r="J1385">
        <f t="shared" si="109"/>
        <v>1383</v>
      </c>
      <c r="K1385">
        <f>IF(calendar[[#This Row],[Month]]&lt;4,1,IF(calendar[[#This Row],[Month]]&lt;7,2,IF(calendar[[#This Row],[Month]]&lt;10,3,4)))</f>
        <v>4</v>
      </c>
      <c r="L1385">
        <f>IFERROR(IF(VLOOKUP(calendar[[#This Row],[Date]],BH!A:A,1,)&lt;&gt;"",1,0),0)</f>
        <v>0</v>
      </c>
      <c r="M1385">
        <f>IFERROR(IF(VLOOKUP(calendar[[#This Row],[Date]],BH!C:C,1,)&lt;&gt;"",1,0),0)</f>
        <v>0</v>
      </c>
      <c r="N1385">
        <f>IFERROR(IF(VLOOKUP(calendar[[#This Row],[Date]],BH!E:E,1,)&lt;&gt;"",1,0),0)</f>
        <v>0</v>
      </c>
      <c r="O1385">
        <f>IFERROR(IF(VLOOKUP(calendar[[#This Row],[Date]],BH!G:G,1,)&lt;&gt;"",1,0),0)</f>
        <v>0</v>
      </c>
      <c r="P1385">
        <f>IF(OR(calendar[[#This Row],[UK_BH]]=1,calendar[[#This Row],[WeekDay]]=1, calendar[[#This Row],[WeekDay]]=7),P1384,P1384+1)</f>
        <v>989</v>
      </c>
      <c r="Q1385">
        <f>IF(OR(calendar[[#This Row],[FR_BH]]=1,calendar[[#This Row],[WeekDay]]=1, calendar[[#This Row],[WeekDay]]=7),P1384,P1384+1)</f>
        <v>989</v>
      </c>
      <c r="R1385">
        <f>IF(OR(calendar[[#This Row],[SP_BH]]=1,calendar[[#This Row],[WeekDay]]=1, calendar[[#This Row],[WeekDay]]=7),P1384,P1384+1)</f>
        <v>989</v>
      </c>
      <c r="S1385">
        <f>IF(OR(calendar[[#This Row],[PT_BH]]=1,calendar[[#This Row],[WeekDay]]=1, calendar[[#This Row],[WeekDay]]=7),P1384,P1384+1)</f>
        <v>989</v>
      </c>
    </row>
    <row r="1386" spans="1:19" x14ac:dyDescent="0.25">
      <c r="A1386" s="2">
        <v>44120</v>
      </c>
      <c r="B1386" s="1">
        <f t="shared" si="108"/>
        <v>42</v>
      </c>
      <c r="C1386">
        <f t="shared" si="110"/>
        <v>10</v>
      </c>
      <c r="D1386" t="str">
        <f t="shared" si="111"/>
        <v>October</v>
      </c>
      <c r="E1386">
        <f t="shared" si="112"/>
        <v>2020</v>
      </c>
      <c r="F1386" t="str">
        <f>CONCATENATE(calendar[[#This Row],[Month]],"/",calendar[[#This Row],[Year]])</f>
        <v>10/2020</v>
      </c>
      <c r="G1386">
        <f>WEEKDAY(calendar[[#This Row],[Date]],1)</f>
        <v>6</v>
      </c>
      <c r="H1386" t="str">
        <f>TEXT(calendar[[#This Row],[WeekDay]],"dddd")</f>
        <v>Friday</v>
      </c>
      <c r="I1386">
        <f>IF((INT(calendar[[#This Row],[Count]]/7)-calendar[[#This Row],[Count]]/7)&lt;0,I1385,I1385+1)</f>
        <v>198</v>
      </c>
      <c r="J1386">
        <f t="shared" si="109"/>
        <v>1384</v>
      </c>
      <c r="K1386">
        <f>IF(calendar[[#This Row],[Month]]&lt;4,1,IF(calendar[[#This Row],[Month]]&lt;7,2,IF(calendar[[#This Row],[Month]]&lt;10,3,4)))</f>
        <v>4</v>
      </c>
      <c r="L1386">
        <f>IFERROR(IF(VLOOKUP(calendar[[#This Row],[Date]],BH!A:A,1,)&lt;&gt;"",1,0),0)</f>
        <v>0</v>
      </c>
      <c r="M1386">
        <f>IFERROR(IF(VLOOKUP(calendar[[#This Row],[Date]],BH!C:C,1,)&lt;&gt;"",1,0),0)</f>
        <v>0</v>
      </c>
      <c r="N1386">
        <f>IFERROR(IF(VLOOKUP(calendar[[#This Row],[Date]],BH!E:E,1,)&lt;&gt;"",1,0),0)</f>
        <v>0</v>
      </c>
      <c r="O1386">
        <f>IFERROR(IF(VLOOKUP(calendar[[#This Row],[Date]],BH!G:G,1,)&lt;&gt;"",1,0),0)</f>
        <v>0</v>
      </c>
      <c r="P1386">
        <f>IF(OR(calendar[[#This Row],[UK_BH]]=1,calendar[[#This Row],[WeekDay]]=1, calendar[[#This Row],[WeekDay]]=7),P1385,P1385+1)</f>
        <v>990</v>
      </c>
      <c r="Q1386">
        <f>IF(OR(calendar[[#This Row],[FR_BH]]=1,calendar[[#This Row],[WeekDay]]=1, calendar[[#This Row],[WeekDay]]=7),P1385,P1385+1)</f>
        <v>990</v>
      </c>
      <c r="R1386">
        <f>IF(OR(calendar[[#This Row],[SP_BH]]=1,calendar[[#This Row],[WeekDay]]=1, calendar[[#This Row],[WeekDay]]=7),P1385,P1385+1)</f>
        <v>990</v>
      </c>
      <c r="S1386">
        <f>IF(OR(calendar[[#This Row],[PT_BH]]=1,calendar[[#This Row],[WeekDay]]=1, calendar[[#This Row],[WeekDay]]=7),P1385,P1385+1)</f>
        <v>990</v>
      </c>
    </row>
    <row r="1387" spans="1:19" x14ac:dyDescent="0.25">
      <c r="A1387" s="2">
        <v>44121</v>
      </c>
      <c r="B1387" s="1">
        <f t="shared" si="108"/>
        <v>42</v>
      </c>
      <c r="C1387">
        <f t="shared" si="110"/>
        <v>10</v>
      </c>
      <c r="D1387" t="str">
        <f t="shared" si="111"/>
        <v>October</v>
      </c>
      <c r="E1387">
        <f t="shared" si="112"/>
        <v>2020</v>
      </c>
      <c r="F1387" t="str">
        <f>CONCATENATE(calendar[[#This Row],[Month]],"/",calendar[[#This Row],[Year]])</f>
        <v>10/2020</v>
      </c>
      <c r="G1387">
        <f>WEEKDAY(calendar[[#This Row],[Date]],1)</f>
        <v>7</v>
      </c>
      <c r="H1387" t="str">
        <f>TEXT(calendar[[#This Row],[WeekDay]],"dddd")</f>
        <v>Saturday</v>
      </c>
      <c r="I1387">
        <f>IF((INT(calendar[[#This Row],[Count]]/7)-calendar[[#This Row],[Count]]/7)&lt;0,I1386,I1386+1)</f>
        <v>198</v>
      </c>
      <c r="J1387">
        <f t="shared" si="109"/>
        <v>1385</v>
      </c>
      <c r="K1387">
        <f>IF(calendar[[#This Row],[Month]]&lt;4,1,IF(calendar[[#This Row],[Month]]&lt;7,2,IF(calendar[[#This Row],[Month]]&lt;10,3,4)))</f>
        <v>4</v>
      </c>
      <c r="L1387">
        <f>IFERROR(IF(VLOOKUP(calendar[[#This Row],[Date]],BH!A:A,1,)&lt;&gt;"",1,0),0)</f>
        <v>0</v>
      </c>
      <c r="M1387">
        <f>IFERROR(IF(VLOOKUP(calendar[[#This Row],[Date]],BH!C:C,1,)&lt;&gt;"",1,0),0)</f>
        <v>0</v>
      </c>
      <c r="N1387">
        <f>IFERROR(IF(VLOOKUP(calendar[[#This Row],[Date]],BH!E:E,1,)&lt;&gt;"",1,0),0)</f>
        <v>0</v>
      </c>
      <c r="O1387">
        <f>IFERROR(IF(VLOOKUP(calendar[[#This Row],[Date]],BH!G:G,1,)&lt;&gt;"",1,0),0)</f>
        <v>0</v>
      </c>
      <c r="P1387">
        <f>IF(OR(calendar[[#This Row],[UK_BH]]=1,calendar[[#This Row],[WeekDay]]=1, calendar[[#This Row],[WeekDay]]=7),P1386,P1386+1)</f>
        <v>990</v>
      </c>
      <c r="Q1387">
        <f>IF(OR(calendar[[#This Row],[FR_BH]]=1,calendar[[#This Row],[WeekDay]]=1, calendar[[#This Row],[WeekDay]]=7),P1386,P1386+1)</f>
        <v>990</v>
      </c>
      <c r="R1387">
        <f>IF(OR(calendar[[#This Row],[SP_BH]]=1,calendar[[#This Row],[WeekDay]]=1, calendar[[#This Row],[WeekDay]]=7),P1386,P1386+1)</f>
        <v>990</v>
      </c>
      <c r="S1387">
        <f>IF(OR(calendar[[#This Row],[PT_BH]]=1,calendar[[#This Row],[WeekDay]]=1, calendar[[#This Row],[WeekDay]]=7),P1386,P1386+1)</f>
        <v>990</v>
      </c>
    </row>
    <row r="1388" spans="1:19" x14ac:dyDescent="0.25">
      <c r="A1388" s="2">
        <v>44122</v>
      </c>
      <c r="B1388" s="1">
        <f t="shared" si="108"/>
        <v>43</v>
      </c>
      <c r="C1388">
        <f t="shared" si="110"/>
        <v>10</v>
      </c>
      <c r="D1388" t="str">
        <f t="shared" si="111"/>
        <v>October</v>
      </c>
      <c r="E1388">
        <f t="shared" si="112"/>
        <v>2020</v>
      </c>
      <c r="F1388" t="str">
        <f>CONCATENATE(calendar[[#This Row],[Month]],"/",calendar[[#This Row],[Year]])</f>
        <v>10/2020</v>
      </c>
      <c r="G1388">
        <f>WEEKDAY(calendar[[#This Row],[Date]],1)</f>
        <v>1</v>
      </c>
      <c r="H1388" t="str">
        <f>TEXT(calendar[[#This Row],[WeekDay]],"dddd")</f>
        <v>Sunday</v>
      </c>
      <c r="I1388">
        <f>IF((INT(calendar[[#This Row],[Count]]/7)-calendar[[#This Row],[Count]]/7)&lt;0,I1387,I1387+1)</f>
        <v>199</v>
      </c>
      <c r="J1388">
        <f t="shared" si="109"/>
        <v>1386</v>
      </c>
      <c r="K1388">
        <f>IF(calendar[[#This Row],[Month]]&lt;4,1,IF(calendar[[#This Row],[Month]]&lt;7,2,IF(calendar[[#This Row],[Month]]&lt;10,3,4)))</f>
        <v>4</v>
      </c>
      <c r="L1388">
        <f>IFERROR(IF(VLOOKUP(calendar[[#This Row],[Date]],BH!A:A,1,)&lt;&gt;"",1,0),0)</f>
        <v>0</v>
      </c>
      <c r="M1388">
        <f>IFERROR(IF(VLOOKUP(calendar[[#This Row],[Date]],BH!C:C,1,)&lt;&gt;"",1,0),0)</f>
        <v>0</v>
      </c>
      <c r="N1388">
        <f>IFERROR(IF(VLOOKUP(calendar[[#This Row],[Date]],BH!E:E,1,)&lt;&gt;"",1,0),0)</f>
        <v>0</v>
      </c>
      <c r="O1388">
        <f>IFERROR(IF(VLOOKUP(calendar[[#This Row],[Date]],BH!G:G,1,)&lt;&gt;"",1,0),0)</f>
        <v>0</v>
      </c>
      <c r="P1388">
        <f>IF(OR(calendar[[#This Row],[UK_BH]]=1,calendar[[#This Row],[WeekDay]]=1, calendar[[#This Row],[WeekDay]]=7),P1387,P1387+1)</f>
        <v>990</v>
      </c>
      <c r="Q1388">
        <f>IF(OR(calendar[[#This Row],[FR_BH]]=1,calendar[[#This Row],[WeekDay]]=1, calendar[[#This Row],[WeekDay]]=7),P1387,P1387+1)</f>
        <v>990</v>
      </c>
      <c r="R1388">
        <f>IF(OR(calendar[[#This Row],[SP_BH]]=1,calendar[[#This Row],[WeekDay]]=1, calendar[[#This Row],[WeekDay]]=7),P1387,P1387+1)</f>
        <v>990</v>
      </c>
      <c r="S1388">
        <f>IF(OR(calendar[[#This Row],[PT_BH]]=1,calendar[[#This Row],[WeekDay]]=1, calendar[[#This Row],[WeekDay]]=7),P1387,P1387+1)</f>
        <v>990</v>
      </c>
    </row>
    <row r="1389" spans="1:19" x14ac:dyDescent="0.25">
      <c r="A1389" s="2">
        <v>44123</v>
      </c>
      <c r="B1389" s="1">
        <f t="shared" si="108"/>
        <v>43</v>
      </c>
      <c r="C1389">
        <f t="shared" si="110"/>
        <v>10</v>
      </c>
      <c r="D1389" t="str">
        <f t="shared" si="111"/>
        <v>October</v>
      </c>
      <c r="E1389">
        <f t="shared" si="112"/>
        <v>2020</v>
      </c>
      <c r="F1389" t="str">
        <f>CONCATENATE(calendar[[#This Row],[Month]],"/",calendar[[#This Row],[Year]])</f>
        <v>10/2020</v>
      </c>
      <c r="G1389">
        <f>WEEKDAY(calendar[[#This Row],[Date]],1)</f>
        <v>2</v>
      </c>
      <c r="H1389" t="str">
        <f>TEXT(calendar[[#This Row],[WeekDay]],"dddd")</f>
        <v>Monday</v>
      </c>
      <c r="I1389">
        <f>IF((INT(calendar[[#This Row],[Count]]/7)-calendar[[#This Row],[Count]]/7)&lt;0,I1388,I1388+1)</f>
        <v>199</v>
      </c>
      <c r="J1389">
        <f t="shared" si="109"/>
        <v>1387</v>
      </c>
      <c r="K1389">
        <f>IF(calendar[[#This Row],[Month]]&lt;4,1,IF(calendar[[#This Row],[Month]]&lt;7,2,IF(calendar[[#This Row],[Month]]&lt;10,3,4)))</f>
        <v>4</v>
      </c>
      <c r="L1389">
        <f>IFERROR(IF(VLOOKUP(calendar[[#This Row],[Date]],BH!A:A,1,)&lt;&gt;"",1,0),0)</f>
        <v>0</v>
      </c>
      <c r="M1389">
        <f>IFERROR(IF(VLOOKUP(calendar[[#This Row],[Date]],BH!C:C,1,)&lt;&gt;"",1,0),0)</f>
        <v>0</v>
      </c>
      <c r="N1389">
        <f>IFERROR(IF(VLOOKUP(calendar[[#This Row],[Date]],BH!E:E,1,)&lt;&gt;"",1,0),0)</f>
        <v>0</v>
      </c>
      <c r="O1389">
        <f>IFERROR(IF(VLOOKUP(calendar[[#This Row],[Date]],BH!G:G,1,)&lt;&gt;"",1,0),0)</f>
        <v>0</v>
      </c>
      <c r="P1389">
        <f>IF(OR(calendar[[#This Row],[UK_BH]]=1,calendar[[#This Row],[WeekDay]]=1, calendar[[#This Row],[WeekDay]]=7),P1388,P1388+1)</f>
        <v>991</v>
      </c>
      <c r="Q1389">
        <f>IF(OR(calendar[[#This Row],[FR_BH]]=1,calendar[[#This Row],[WeekDay]]=1, calendar[[#This Row],[WeekDay]]=7),P1388,P1388+1)</f>
        <v>991</v>
      </c>
      <c r="R1389">
        <f>IF(OR(calendar[[#This Row],[SP_BH]]=1,calendar[[#This Row],[WeekDay]]=1, calendar[[#This Row],[WeekDay]]=7),P1388,P1388+1)</f>
        <v>991</v>
      </c>
      <c r="S1389">
        <f>IF(OR(calendar[[#This Row],[PT_BH]]=1,calendar[[#This Row],[WeekDay]]=1, calendar[[#This Row],[WeekDay]]=7),P1388,P1388+1)</f>
        <v>991</v>
      </c>
    </row>
    <row r="1390" spans="1:19" x14ac:dyDescent="0.25">
      <c r="A1390" s="2">
        <v>44124</v>
      </c>
      <c r="B1390" s="1">
        <f t="shared" si="108"/>
        <v>43</v>
      </c>
      <c r="C1390">
        <f t="shared" si="110"/>
        <v>10</v>
      </c>
      <c r="D1390" t="str">
        <f t="shared" si="111"/>
        <v>October</v>
      </c>
      <c r="E1390">
        <f t="shared" si="112"/>
        <v>2020</v>
      </c>
      <c r="F1390" t="str">
        <f>CONCATENATE(calendar[[#This Row],[Month]],"/",calendar[[#This Row],[Year]])</f>
        <v>10/2020</v>
      </c>
      <c r="G1390">
        <f>WEEKDAY(calendar[[#This Row],[Date]],1)</f>
        <v>3</v>
      </c>
      <c r="H1390" t="str">
        <f>TEXT(calendar[[#This Row],[WeekDay]],"dddd")</f>
        <v>Tuesday</v>
      </c>
      <c r="I1390">
        <f>IF((INT(calendar[[#This Row],[Count]]/7)-calendar[[#This Row],[Count]]/7)&lt;0,I1389,I1389+1)</f>
        <v>199</v>
      </c>
      <c r="J1390">
        <f t="shared" si="109"/>
        <v>1388</v>
      </c>
      <c r="K1390">
        <f>IF(calendar[[#This Row],[Month]]&lt;4,1,IF(calendar[[#This Row],[Month]]&lt;7,2,IF(calendar[[#This Row],[Month]]&lt;10,3,4)))</f>
        <v>4</v>
      </c>
      <c r="L1390">
        <f>IFERROR(IF(VLOOKUP(calendar[[#This Row],[Date]],BH!A:A,1,)&lt;&gt;"",1,0),0)</f>
        <v>0</v>
      </c>
      <c r="M1390">
        <f>IFERROR(IF(VLOOKUP(calendar[[#This Row],[Date]],BH!C:C,1,)&lt;&gt;"",1,0),0)</f>
        <v>0</v>
      </c>
      <c r="N1390">
        <f>IFERROR(IF(VLOOKUP(calendar[[#This Row],[Date]],BH!E:E,1,)&lt;&gt;"",1,0),0)</f>
        <v>0</v>
      </c>
      <c r="O1390">
        <f>IFERROR(IF(VLOOKUP(calendar[[#This Row],[Date]],BH!G:G,1,)&lt;&gt;"",1,0),0)</f>
        <v>0</v>
      </c>
      <c r="P1390">
        <f>IF(OR(calendar[[#This Row],[UK_BH]]=1,calendar[[#This Row],[WeekDay]]=1, calendar[[#This Row],[WeekDay]]=7),P1389,P1389+1)</f>
        <v>992</v>
      </c>
      <c r="Q1390">
        <f>IF(OR(calendar[[#This Row],[FR_BH]]=1,calendar[[#This Row],[WeekDay]]=1, calendar[[#This Row],[WeekDay]]=7),P1389,P1389+1)</f>
        <v>992</v>
      </c>
      <c r="R1390">
        <f>IF(OR(calendar[[#This Row],[SP_BH]]=1,calendar[[#This Row],[WeekDay]]=1, calendar[[#This Row],[WeekDay]]=7),P1389,P1389+1)</f>
        <v>992</v>
      </c>
      <c r="S1390">
        <f>IF(OR(calendar[[#This Row],[PT_BH]]=1,calendar[[#This Row],[WeekDay]]=1, calendar[[#This Row],[WeekDay]]=7),P1389,P1389+1)</f>
        <v>992</v>
      </c>
    </row>
    <row r="1391" spans="1:19" x14ac:dyDescent="0.25">
      <c r="A1391" s="2">
        <v>44125</v>
      </c>
      <c r="B1391" s="1">
        <f t="shared" si="108"/>
        <v>43</v>
      </c>
      <c r="C1391">
        <f t="shared" si="110"/>
        <v>10</v>
      </c>
      <c r="D1391" t="str">
        <f t="shared" si="111"/>
        <v>October</v>
      </c>
      <c r="E1391">
        <f t="shared" si="112"/>
        <v>2020</v>
      </c>
      <c r="F1391" t="str">
        <f>CONCATENATE(calendar[[#This Row],[Month]],"/",calendar[[#This Row],[Year]])</f>
        <v>10/2020</v>
      </c>
      <c r="G1391">
        <f>WEEKDAY(calendar[[#This Row],[Date]],1)</f>
        <v>4</v>
      </c>
      <c r="H1391" t="str">
        <f>TEXT(calendar[[#This Row],[WeekDay]],"dddd")</f>
        <v>Wednesday</v>
      </c>
      <c r="I1391">
        <f>IF((INT(calendar[[#This Row],[Count]]/7)-calendar[[#This Row],[Count]]/7)&lt;0,I1390,I1390+1)</f>
        <v>199</v>
      </c>
      <c r="J1391">
        <f t="shared" si="109"/>
        <v>1389</v>
      </c>
      <c r="K1391">
        <f>IF(calendar[[#This Row],[Month]]&lt;4,1,IF(calendar[[#This Row],[Month]]&lt;7,2,IF(calendar[[#This Row],[Month]]&lt;10,3,4)))</f>
        <v>4</v>
      </c>
      <c r="L1391">
        <f>IFERROR(IF(VLOOKUP(calendar[[#This Row],[Date]],BH!A:A,1,)&lt;&gt;"",1,0),0)</f>
        <v>0</v>
      </c>
      <c r="M1391">
        <f>IFERROR(IF(VLOOKUP(calendar[[#This Row],[Date]],BH!C:C,1,)&lt;&gt;"",1,0),0)</f>
        <v>0</v>
      </c>
      <c r="N1391">
        <f>IFERROR(IF(VLOOKUP(calendar[[#This Row],[Date]],BH!E:E,1,)&lt;&gt;"",1,0),0)</f>
        <v>0</v>
      </c>
      <c r="O1391">
        <f>IFERROR(IF(VLOOKUP(calendar[[#This Row],[Date]],BH!G:G,1,)&lt;&gt;"",1,0),0)</f>
        <v>0</v>
      </c>
      <c r="P1391">
        <f>IF(OR(calendar[[#This Row],[UK_BH]]=1,calendar[[#This Row],[WeekDay]]=1, calendar[[#This Row],[WeekDay]]=7),P1390,P1390+1)</f>
        <v>993</v>
      </c>
      <c r="Q1391">
        <f>IF(OR(calendar[[#This Row],[FR_BH]]=1,calendar[[#This Row],[WeekDay]]=1, calendar[[#This Row],[WeekDay]]=7),P1390,P1390+1)</f>
        <v>993</v>
      </c>
      <c r="R1391">
        <f>IF(OR(calendar[[#This Row],[SP_BH]]=1,calendar[[#This Row],[WeekDay]]=1, calendar[[#This Row],[WeekDay]]=7),P1390,P1390+1)</f>
        <v>993</v>
      </c>
      <c r="S1391">
        <f>IF(OR(calendar[[#This Row],[PT_BH]]=1,calendar[[#This Row],[WeekDay]]=1, calendar[[#This Row],[WeekDay]]=7),P1390,P1390+1)</f>
        <v>993</v>
      </c>
    </row>
    <row r="1392" spans="1:19" x14ac:dyDescent="0.25">
      <c r="A1392" s="2">
        <v>44126</v>
      </c>
      <c r="B1392" s="1">
        <f t="shared" si="108"/>
        <v>43</v>
      </c>
      <c r="C1392">
        <f t="shared" si="110"/>
        <v>10</v>
      </c>
      <c r="D1392" t="str">
        <f t="shared" si="111"/>
        <v>October</v>
      </c>
      <c r="E1392">
        <f t="shared" si="112"/>
        <v>2020</v>
      </c>
      <c r="F1392" t="str">
        <f>CONCATENATE(calendar[[#This Row],[Month]],"/",calendar[[#This Row],[Year]])</f>
        <v>10/2020</v>
      </c>
      <c r="G1392">
        <f>WEEKDAY(calendar[[#This Row],[Date]],1)</f>
        <v>5</v>
      </c>
      <c r="H1392" t="str">
        <f>TEXT(calendar[[#This Row],[WeekDay]],"dddd")</f>
        <v>Thursday</v>
      </c>
      <c r="I1392">
        <f>IF((INT(calendar[[#This Row],[Count]]/7)-calendar[[#This Row],[Count]]/7)&lt;0,I1391,I1391+1)</f>
        <v>199</v>
      </c>
      <c r="J1392">
        <f t="shared" si="109"/>
        <v>1390</v>
      </c>
      <c r="K1392">
        <f>IF(calendar[[#This Row],[Month]]&lt;4,1,IF(calendar[[#This Row],[Month]]&lt;7,2,IF(calendar[[#This Row],[Month]]&lt;10,3,4)))</f>
        <v>4</v>
      </c>
      <c r="L1392">
        <f>IFERROR(IF(VLOOKUP(calendar[[#This Row],[Date]],BH!A:A,1,)&lt;&gt;"",1,0),0)</f>
        <v>0</v>
      </c>
      <c r="M1392">
        <f>IFERROR(IF(VLOOKUP(calendar[[#This Row],[Date]],BH!C:C,1,)&lt;&gt;"",1,0),0)</f>
        <v>0</v>
      </c>
      <c r="N1392">
        <f>IFERROR(IF(VLOOKUP(calendar[[#This Row],[Date]],BH!E:E,1,)&lt;&gt;"",1,0),0)</f>
        <v>0</v>
      </c>
      <c r="O1392">
        <f>IFERROR(IF(VLOOKUP(calendar[[#This Row],[Date]],BH!G:G,1,)&lt;&gt;"",1,0),0)</f>
        <v>0</v>
      </c>
      <c r="P1392">
        <f>IF(OR(calendar[[#This Row],[UK_BH]]=1,calendar[[#This Row],[WeekDay]]=1, calendar[[#This Row],[WeekDay]]=7),P1391,P1391+1)</f>
        <v>994</v>
      </c>
      <c r="Q1392">
        <f>IF(OR(calendar[[#This Row],[FR_BH]]=1,calendar[[#This Row],[WeekDay]]=1, calendar[[#This Row],[WeekDay]]=7),P1391,P1391+1)</f>
        <v>994</v>
      </c>
      <c r="R1392">
        <f>IF(OR(calendar[[#This Row],[SP_BH]]=1,calendar[[#This Row],[WeekDay]]=1, calendar[[#This Row],[WeekDay]]=7),P1391,P1391+1)</f>
        <v>994</v>
      </c>
      <c r="S1392">
        <f>IF(OR(calendar[[#This Row],[PT_BH]]=1,calendar[[#This Row],[WeekDay]]=1, calendar[[#This Row],[WeekDay]]=7),P1391,P1391+1)</f>
        <v>994</v>
      </c>
    </row>
    <row r="1393" spans="1:19" x14ac:dyDescent="0.25">
      <c r="A1393" s="2">
        <v>44127</v>
      </c>
      <c r="B1393" s="1">
        <f t="shared" si="108"/>
        <v>43</v>
      </c>
      <c r="C1393">
        <f t="shared" si="110"/>
        <v>10</v>
      </c>
      <c r="D1393" t="str">
        <f t="shared" si="111"/>
        <v>October</v>
      </c>
      <c r="E1393">
        <f t="shared" si="112"/>
        <v>2020</v>
      </c>
      <c r="F1393" t="str">
        <f>CONCATENATE(calendar[[#This Row],[Month]],"/",calendar[[#This Row],[Year]])</f>
        <v>10/2020</v>
      </c>
      <c r="G1393">
        <f>WEEKDAY(calendar[[#This Row],[Date]],1)</f>
        <v>6</v>
      </c>
      <c r="H1393" t="str">
        <f>TEXT(calendar[[#This Row],[WeekDay]],"dddd")</f>
        <v>Friday</v>
      </c>
      <c r="I1393">
        <f>IF((INT(calendar[[#This Row],[Count]]/7)-calendar[[#This Row],[Count]]/7)&lt;0,I1392,I1392+1)</f>
        <v>199</v>
      </c>
      <c r="J1393">
        <f t="shared" si="109"/>
        <v>1391</v>
      </c>
      <c r="K1393">
        <f>IF(calendar[[#This Row],[Month]]&lt;4,1,IF(calendar[[#This Row],[Month]]&lt;7,2,IF(calendar[[#This Row],[Month]]&lt;10,3,4)))</f>
        <v>4</v>
      </c>
      <c r="L1393">
        <f>IFERROR(IF(VLOOKUP(calendar[[#This Row],[Date]],BH!A:A,1,)&lt;&gt;"",1,0),0)</f>
        <v>0</v>
      </c>
      <c r="M1393">
        <f>IFERROR(IF(VLOOKUP(calendar[[#This Row],[Date]],BH!C:C,1,)&lt;&gt;"",1,0),0)</f>
        <v>0</v>
      </c>
      <c r="N1393">
        <f>IFERROR(IF(VLOOKUP(calendar[[#This Row],[Date]],BH!E:E,1,)&lt;&gt;"",1,0),0)</f>
        <v>0</v>
      </c>
      <c r="O1393">
        <f>IFERROR(IF(VLOOKUP(calendar[[#This Row],[Date]],BH!G:G,1,)&lt;&gt;"",1,0),0)</f>
        <v>0</v>
      </c>
      <c r="P1393">
        <f>IF(OR(calendar[[#This Row],[UK_BH]]=1,calendar[[#This Row],[WeekDay]]=1, calendar[[#This Row],[WeekDay]]=7),P1392,P1392+1)</f>
        <v>995</v>
      </c>
      <c r="Q1393">
        <f>IF(OR(calendar[[#This Row],[FR_BH]]=1,calendar[[#This Row],[WeekDay]]=1, calendar[[#This Row],[WeekDay]]=7),P1392,P1392+1)</f>
        <v>995</v>
      </c>
      <c r="R1393">
        <f>IF(OR(calendar[[#This Row],[SP_BH]]=1,calendar[[#This Row],[WeekDay]]=1, calendar[[#This Row],[WeekDay]]=7),P1392,P1392+1)</f>
        <v>995</v>
      </c>
      <c r="S1393">
        <f>IF(OR(calendar[[#This Row],[PT_BH]]=1,calendar[[#This Row],[WeekDay]]=1, calendar[[#This Row],[WeekDay]]=7),P1392,P1392+1)</f>
        <v>995</v>
      </c>
    </row>
    <row r="1394" spans="1:19" x14ac:dyDescent="0.25">
      <c r="A1394" s="2">
        <v>44128</v>
      </c>
      <c r="B1394" s="1">
        <f t="shared" si="108"/>
        <v>43</v>
      </c>
      <c r="C1394">
        <f t="shared" si="110"/>
        <v>10</v>
      </c>
      <c r="D1394" t="str">
        <f t="shared" si="111"/>
        <v>October</v>
      </c>
      <c r="E1394">
        <f t="shared" si="112"/>
        <v>2020</v>
      </c>
      <c r="F1394" t="str">
        <f>CONCATENATE(calendar[[#This Row],[Month]],"/",calendar[[#This Row],[Year]])</f>
        <v>10/2020</v>
      </c>
      <c r="G1394">
        <f>WEEKDAY(calendar[[#This Row],[Date]],1)</f>
        <v>7</v>
      </c>
      <c r="H1394" t="str">
        <f>TEXT(calendar[[#This Row],[WeekDay]],"dddd")</f>
        <v>Saturday</v>
      </c>
      <c r="I1394">
        <f>IF((INT(calendar[[#This Row],[Count]]/7)-calendar[[#This Row],[Count]]/7)&lt;0,I1393,I1393+1)</f>
        <v>199</v>
      </c>
      <c r="J1394">
        <f t="shared" si="109"/>
        <v>1392</v>
      </c>
      <c r="K1394">
        <f>IF(calendar[[#This Row],[Month]]&lt;4,1,IF(calendar[[#This Row],[Month]]&lt;7,2,IF(calendar[[#This Row],[Month]]&lt;10,3,4)))</f>
        <v>4</v>
      </c>
      <c r="L1394">
        <f>IFERROR(IF(VLOOKUP(calendar[[#This Row],[Date]],BH!A:A,1,)&lt;&gt;"",1,0),0)</f>
        <v>0</v>
      </c>
      <c r="M1394">
        <f>IFERROR(IF(VLOOKUP(calendar[[#This Row],[Date]],BH!C:C,1,)&lt;&gt;"",1,0),0)</f>
        <v>0</v>
      </c>
      <c r="N1394">
        <f>IFERROR(IF(VLOOKUP(calendar[[#This Row],[Date]],BH!E:E,1,)&lt;&gt;"",1,0),0)</f>
        <v>0</v>
      </c>
      <c r="O1394">
        <f>IFERROR(IF(VLOOKUP(calendar[[#This Row],[Date]],BH!G:G,1,)&lt;&gt;"",1,0),0)</f>
        <v>0</v>
      </c>
      <c r="P1394">
        <f>IF(OR(calendar[[#This Row],[UK_BH]]=1,calendar[[#This Row],[WeekDay]]=1, calendar[[#This Row],[WeekDay]]=7),P1393,P1393+1)</f>
        <v>995</v>
      </c>
      <c r="Q1394">
        <f>IF(OR(calendar[[#This Row],[FR_BH]]=1,calendar[[#This Row],[WeekDay]]=1, calendar[[#This Row],[WeekDay]]=7),P1393,P1393+1)</f>
        <v>995</v>
      </c>
      <c r="R1394">
        <f>IF(OR(calendar[[#This Row],[SP_BH]]=1,calendar[[#This Row],[WeekDay]]=1, calendar[[#This Row],[WeekDay]]=7),P1393,P1393+1)</f>
        <v>995</v>
      </c>
      <c r="S1394">
        <f>IF(OR(calendar[[#This Row],[PT_BH]]=1,calendar[[#This Row],[WeekDay]]=1, calendar[[#This Row],[WeekDay]]=7),P1393,P1393+1)</f>
        <v>995</v>
      </c>
    </row>
    <row r="1395" spans="1:19" x14ac:dyDescent="0.25">
      <c r="A1395" s="2">
        <v>44129</v>
      </c>
      <c r="B1395" s="1">
        <f t="shared" si="108"/>
        <v>44</v>
      </c>
      <c r="C1395">
        <f t="shared" si="110"/>
        <v>10</v>
      </c>
      <c r="D1395" t="str">
        <f t="shared" si="111"/>
        <v>October</v>
      </c>
      <c r="E1395">
        <f t="shared" si="112"/>
        <v>2020</v>
      </c>
      <c r="F1395" t="str">
        <f>CONCATENATE(calendar[[#This Row],[Month]],"/",calendar[[#This Row],[Year]])</f>
        <v>10/2020</v>
      </c>
      <c r="G1395">
        <f>WEEKDAY(calendar[[#This Row],[Date]],1)</f>
        <v>1</v>
      </c>
      <c r="H1395" t="str">
        <f>TEXT(calendar[[#This Row],[WeekDay]],"dddd")</f>
        <v>Sunday</v>
      </c>
      <c r="I1395">
        <f>IF((INT(calendar[[#This Row],[Count]]/7)-calendar[[#This Row],[Count]]/7)&lt;0,I1394,I1394+1)</f>
        <v>200</v>
      </c>
      <c r="J1395">
        <f t="shared" si="109"/>
        <v>1393</v>
      </c>
      <c r="K1395">
        <f>IF(calendar[[#This Row],[Month]]&lt;4,1,IF(calendar[[#This Row],[Month]]&lt;7,2,IF(calendar[[#This Row],[Month]]&lt;10,3,4)))</f>
        <v>4</v>
      </c>
      <c r="L1395">
        <f>IFERROR(IF(VLOOKUP(calendar[[#This Row],[Date]],BH!A:A,1,)&lt;&gt;"",1,0),0)</f>
        <v>0</v>
      </c>
      <c r="M1395">
        <f>IFERROR(IF(VLOOKUP(calendar[[#This Row],[Date]],BH!C:C,1,)&lt;&gt;"",1,0),0)</f>
        <v>0</v>
      </c>
      <c r="N1395">
        <f>IFERROR(IF(VLOOKUP(calendar[[#This Row],[Date]],BH!E:E,1,)&lt;&gt;"",1,0),0)</f>
        <v>0</v>
      </c>
      <c r="O1395">
        <f>IFERROR(IF(VLOOKUP(calendar[[#This Row],[Date]],BH!G:G,1,)&lt;&gt;"",1,0),0)</f>
        <v>0</v>
      </c>
      <c r="P1395">
        <f>IF(OR(calendar[[#This Row],[UK_BH]]=1,calendar[[#This Row],[WeekDay]]=1, calendar[[#This Row],[WeekDay]]=7),P1394,P1394+1)</f>
        <v>995</v>
      </c>
      <c r="Q1395">
        <f>IF(OR(calendar[[#This Row],[FR_BH]]=1,calendar[[#This Row],[WeekDay]]=1, calendar[[#This Row],[WeekDay]]=7),P1394,P1394+1)</f>
        <v>995</v>
      </c>
      <c r="R1395">
        <f>IF(OR(calendar[[#This Row],[SP_BH]]=1,calendar[[#This Row],[WeekDay]]=1, calendar[[#This Row],[WeekDay]]=7),P1394,P1394+1)</f>
        <v>995</v>
      </c>
      <c r="S1395">
        <f>IF(OR(calendar[[#This Row],[PT_BH]]=1,calendar[[#This Row],[WeekDay]]=1, calendar[[#This Row],[WeekDay]]=7),P1394,P1394+1)</f>
        <v>995</v>
      </c>
    </row>
    <row r="1396" spans="1:19" x14ac:dyDescent="0.25">
      <c r="A1396" s="2">
        <v>44130</v>
      </c>
      <c r="B1396" s="1">
        <f t="shared" si="108"/>
        <v>44</v>
      </c>
      <c r="C1396">
        <f t="shared" si="110"/>
        <v>10</v>
      </c>
      <c r="D1396" t="str">
        <f t="shared" si="111"/>
        <v>October</v>
      </c>
      <c r="E1396">
        <f t="shared" si="112"/>
        <v>2020</v>
      </c>
      <c r="F1396" t="str">
        <f>CONCATENATE(calendar[[#This Row],[Month]],"/",calendar[[#This Row],[Year]])</f>
        <v>10/2020</v>
      </c>
      <c r="G1396">
        <f>WEEKDAY(calendar[[#This Row],[Date]],1)</f>
        <v>2</v>
      </c>
      <c r="H1396" t="str">
        <f>TEXT(calendar[[#This Row],[WeekDay]],"dddd")</f>
        <v>Monday</v>
      </c>
      <c r="I1396">
        <f>IF((INT(calendar[[#This Row],[Count]]/7)-calendar[[#This Row],[Count]]/7)&lt;0,I1395,I1395+1)</f>
        <v>200</v>
      </c>
      <c r="J1396">
        <f t="shared" si="109"/>
        <v>1394</v>
      </c>
      <c r="K1396">
        <f>IF(calendar[[#This Row],[Month]]&lt;4,1,IF(calendar[[#This Row],[Month]]&lt;7,2,IF(calendar[[#This Row],[Month]]&lt;10,3,4)))</f>
        <v>4</v>
      </c>
      <c r="L1396">
        <f>IFERROR(IF(VLOOKUP(calendar[[#This Row],[Date]],BH!A:A,1,)&lt;&gt;"",1,0),0)</f>
        <v>0</v>
      </c>
      <c r="M1396">
        <f>IFERROR(IF(VLOOKUP(calendar[[#This Row],[Date]],BH!C:C,1,)&lt;&gt;"",1,0),0)</f>
        <v>0</v>
      </c>
      <c r="N1396">
        <f>IFERROR(IF(VLOOKUP(calendar[[#This Row],[Date]],BH!E:E,1,)&lt;&gt;"",1,0),0)</f>
        <v>0</v>
      </c>
      <c r="O1396">
        <f>IFERROR(IF(VLOOKUP(calendar[[#This Row],[Date]],BH!G:G,1,)&lt;&gt;"",1,0),0)</f>
        <v>0</v>
      </c>
      <c r="P1396">
        <f>IF(OR(calendar[[#This Row],[UK_BH]]=1,calendar[[#This Row],[WeekDay]]=1, calendar[[#This Row],[WeekDay]]=7),P1395,P1395+1)</f>
        <v>996</v>
      </c>
      <c r="Q1396">
        <f>IF(OR(calendar[[#This Row],[FR_BH]]=1,calendar[[#This Row],[WeekDay]]=1, calendar[[#This Row],[WeekDay]]=7),P1395,P1395+1)</f>
        <v>996</v>
      </c>
      <c r="R1396">
        <f>IF(OR(calendar[[#This Row],[SP_BH]]=1,calendar[[#This Row],[WeekDay]]=1, calendar[[#This Row],[WeekDay]]=7),P1395,P1395+1)</f>
        <v>996</v>
      </c>
      <c r="S1396">
        <f>IF(OR(calendar[[#This Row],[PT_BH]]=1,calendar[[#This Row],[WeekDay]]=1, calendar[[#This Row],[WeekDay]]=7),P1395,P1395+1)</f>
        <v>996</v>
      </c>
    </row>
    <row r="1397" spans="1:19" x14ac:dyDescent="0.25">
      <c r="A1397" s="2">
        <v>44131</v>
      </c>
      <c r="B1397" s="1">
        <f t="shared" si="108"/>
        <v>44</v>
      </c>
      <c r="C1397">
        <f t="shared" si="110"/>
        <v>10</v>
      </c>
      <c r="D1397" t="str">
        <f t="shared" si="111"/>
        <v>October</v>
      </c>
      <c r="E1397">
        <f t="shared" si="112"/>
        <v>2020</v>
      </c>
      <c r="F1397" t="str">
        <f>CONCATENATE(calendar[[#This Row],[Month]],"/",calendar[[#This Row],[Year]])</f>
        <v>10/2020</v>
      </c>
      <c r="G1397">
        <f>WEEKDAY(calendar[[#This Row],[Date]],1)</f>
        <v>3</v>
      </c>
      <c r="H1397" t="str">
        <f>TEXT(calendar[[#This Row],[WeekDay]],"dddd")</f>
        <v>Tuesday</v>
      </c>
      <c r="I1397">
        <f>IF((INT(calendar[[#This Row],[Count]]/7)-calendar[[#This Row],[Count]]/7)&lt;0,I1396,I1396+1)</f>
        <v>200</v>
      </c>
      <c r="J1397">
        <f t="shared" si="109"/>
        <v>1395</v>
      </c>
      <c r="K1397">
        <f>IF(calendar[[#This Row],[Month]]&lt;4,1,IF(calendar[[#This Row],[Month]]&lt;7,2,IF(calendar[[#This Row],[Month]]&lt;10,3,4)))</f>
        <v>4</v>
      </c>
      <c r="L1397">
        <f>IFERROR(IF(VLOOKUP(calendar[[#This Row],[Date]],BH!A:A,1,)&lt;&gt;"",1,0),0)</f>
        <v>0</v>
      </c>
      <c r="M1397">
        <f>IFERROR(IF(VLOOKUP(calendar[[#This Row],[Date]],BH!C:C,1,)&lt;&gt;"",1,0),0)</f>
        <v>0</v>
      </c>
      <c r="N1397">
        <f>IFERROR(IF(VLOOKUP(calendar[[#This Row],[Date]],BH!E:E,1,)&lt;&gt;"",1,0),0)</f>
        <v>0</v>
      </c>
      <c r="O1397">
        <f>IFERROR(IF(VLOOKUP(calendar[[#This Row],[Date]],BH!G:G,1,)&lt;&gt;"",1,0),0)</f>
        <v>0</v>
      </c>
      <c r="P1397">
        <f>IF(OR(calendar[[#This Row],[UK_BH]]=1,calendar[[#This Row],[WeekDay]]=1, calendar[[#This Row],[WeekDay]]=7),P1396,P1396+1)</f>
        <v>997</v>
      </c>
      <c r="Q1397">
        <f>IF(OR(calendar[[#This Row],[FR_BH]]=1,calendar[[#This Row],[WeekDay]]=1, calendar[[#This Row],[WeekDay]]=7),P1396,P1396+1)</f>
        <v>997</v>
      </c>
      <c r="R1397">
        <f>IF(OR(calendar[[#This Row],[SP_BH]]=1,calendar[[#This Row],[WeekDay]]=1, calendar[[#This Row],[WeekDay]]=7),P1396,P1396+1)</f>
        <v>997</v>
      </c>
      <c r="S1397">
        <f>IF(OR(calendar[[#This Row],[PT_BH]]=1,calendar[[#This Row],[WeekDay]]=1, calendar[[#This Row],[WeekDay]]=7),P1396,P1396+1)</f>
        <v>997</v>
      </c>
    </row>
    <row r="1398" spans="1:19" x14ac:dyDescent="0.25">
      <c r="A1398" s="2">
        <v>44132</v>
      </c>
      <c r="B1398" s="1">
        <f t="shared" si="108"/>
        <v>44</v>
      </c>
      <c r="C1398">
        <f t="shared" si="110"/>
        <v>10</v>
      </c>
      <c r="D1398" t="str">
        <f t="shared" si="111"/>
        <v>October</v>
      </c>
      <c r="E1398">
        <f t="shared" si="112"/>
        <v>2020</v>
      </c>
      <c r="F1398" t="str">
        <f>CONCATENATE(calendar[[#This Row],[Month]],"/",calendar[[#This Row],[Year]])</f>
        <v>10/2020</v>
      </c>
      <c r="G1398">
        <f>WEEKDAY(calendar[[#This Row],[Date]],1)</f>
        <v>4</v>
      </c>
      <c r="H1398" t="str">
        <f>TEXT(calendar[[#This Row],[WeekDay]],"dddd")</f>
        <v>Wednesday</v>
      </c>
      <c r="I1398">
        <f>IF((INT(calendar[[#This Row],[Count]]/7)-calendar[[#This Row],[Count]]/7)&lt;0,I1397,I1397+1)</f>
        <v>200</v>
      </c>
      <c r="J1398">
        <f t="shared" si="109"/>
        <v>1396</v>
      </c>
      <c r="K1398">
        <f>IF(calendar[[#This Row],[Month]]&lt;4,1,IF(calendar[[#This Row],[Month]]&lt;7,2,IF(calendar[[#This Row],[Month]]&lt;10,3,4)))</f>
        <v>4</v>
      </c>
      <c r="L1398">
        <f>IFERROR(IF(VLOOKUP(calendar[[#This Row],[Date]],BH!A:A,1,)&lt;&gt;"",1,0),0)</f>
        <v>0</v>
      </c>
      <c r="M1398">
        <f>IFERROR(IF(VLOOKUP(calendar[[#This Row],[Date]],BH!C:C,1,)&lt;&gt;"",1,0),0)</f>
        <v>0</v>
      </c>
      <c r="N1398">
        <f>IFERROR(IF(VLOOKUP(calendar[[#This Row],[Date]],BH!E:E,1,)&lt;&gt;"",1,0),0)</f>
        <v>0</v>
      </c>
      <c r="O1398">
        <f>IFERROR(IF(VLOOKUP(calendar[[#This Row],[Date]],BH!G:G,1,)&lt;&gt;"",1,0),0)</f>
        <v>0</v>
      </c>
      <c r="P1398">
        <f>IF(OR(calendar[[#This Row],[UK_BH]]=1,calendar[[#This Row],[WeekDay]]=1, calendar[[#This Row],[WeekDay]]=7),P1397,P1397+1)</f>
        <v>998</v>
      </c>
      <c r="Q1398">
        <f>IF(OR(calendar[[#This Row],[FR_BH]]=1,calendar[[#This Row],[WeekDay]]=1, calendar[[#This Row],[WeekDay]]=7),P1397,P1397+1)</f>
        <v>998</v>
      </c>
      <c r="R1398">
        <f>IF(OR(calendar[[#This Row],[SP_BH]]=1,calendar[[#This Row],[WeekDay]]=1, calendar[[#This Row],[WeekDay]]=7),P1397,P1397+1)</f>
        <v>998</v>
      </c>
      <c r="S1398">
        <f>IF(OR(calendar[[#This Row],[PT_BH]]=1,calendar[[#This Row],[WeekDay]]=1, calendar[[#This Row],[WeekDay]]=7),P1397,P1397+1)</f>
        <v>998</v>
      </c>
    </row>
    <row r="1399" spans="1:19" x14ac:dyDescent="0.25">
      <c r="A1399" s="2">
        <v>44133</v>
      </c>
      <c r="B1399" s="1">
        <f t="shared" si="108"/>
        <v>44</v>
      </c>
      <c r="C1399">
        <f t="shared" si="110"/>
        <v>10</v>
      </c>
      <c r="D1399" t="str">
        <f t="shared" si="111"/>
        <v>October</v>
      </c>
      <c r="E1399">
        <f t="shared" si="112"/>
        <v>2020</v>
      </c>
      <c r="F1399" t="str">
        <f>CONCATENATE(calendar[[#This Row],[Month]],"/",calendar[[#This Row],[Year]])</f>
        <v>10/2020</v>
      </c>
      <c r="G1399">
        <f>WEEKDAY(calendar[[#This Row],[Date]],1)</f>
        <v>5</v>
      </c>
      <c r="H1399" t="str">
        <f>TEXT(calendar[[#This Row],[WeekDay]],"dddd")</f>
        <v>Thursday</v>
      </c>
      <c r="I1399">
        <f>IF((INT(calendar[[#This Row],[Count]]/7)-calendar[[#This Row],[Count]]/7)&lt;0,I1398,I1398+1)</f>
        <v>200</v>
      </c>
      <c r="J1399">
        <f t="shared" si="109"/>
        <v>1397</v>
      </c>
      <c r="K1399">
        <f>IF(calendar[[#This Row],[Month]]&lt;4,1,IF(calendar[[#This Row],[Month]]&lt;7,2,IF(calendar[[#This Row],[Month]]&lt;10,3,4)))</f>
        <v>4</v>
      </c>
      <c r="L1399">
        <f>IFERROR(IF(VLOOKUP(calendar[[#This Row],[Date]],BH!A:A,1,)&lt;&gt;"",1,0),0)</f>
        <v>0</v>
      </c>
      <c r="M1399">
        <f>IFERROR(IF(VLOOKUP(calendar[[#This Row],[Date]],BH!C:C,1,)&lt;&gt;"",1,0),0)</f>
        <v>0</v>
      </c>
      <c r="N1399">
        <f>IFERROR(IF(VLOOKUP(calendar[[#This Row],[Date]],BH!E:E,1,)&lt;&gt;"",1,0),0)</f>
        <v>0</v>
      </c>
      <c r="O1399">
        <f>IFERROR(IF(VLOOKUP(calendar[[#This Row],[Date]],BH!G:G,1,)&lt;&gt;"",1,0),0)</f>
        <v>0</v>
      </c>
      <c r="P1399">
        <f>IF(OR(calendar[[#This Row],[UK_BH]]=1,calendar[[#This Row],[WeekDay]]=1, calendar[[#This Row],[WeekDay]]=7),P1398,P1398+1)</f>
        <v>999</v>
      </c>
      <c r="Q1399">
        <f>IF(OR(calendar[[#This Row],[FR_BH]]=1,calendar[[#This Row],[WeekDay]]=1, calendar[[#This Row],[WeekDay]]=7),P1398,P1398+1)</f>
        <v>999</v>
      </c>
      <c r="R1399">
        <f>IF(OR(calendar[[#This Row],[SP_BH]]=1,calendar[[#This Row],[WeekDay]]=1, calendar[[#This Row],[WeekDay]]=7),P1398,P1398+1)</f>
        <v>999</v>
      </c>
      <c r="S1399">
        <f>IF(OR(calendar[[#This Row],[PT_BH]]=1,calendar[[#This Row],[WeekDay]]=1, calendar[[#This Row],[WeekDay]]=7),P1398,P1398+1)</f>
        <v>999</v>
      </c>
    </row>
    <row r="1400" spans="1:19" x14ac:dyDescent="0.25">
      <c r="A1400" s="2">
        <v>44134</v>
      </c>
      <c r="B1400" s="1">
        <f t="shared" si="108"/>
        <v>44</v>
      </c>
      <c r="C1400">
        <f t="shared" si="110"/>
        <v>10</v>
      </c>
      <c r="D1400" t="str">
        <f t="shared" si="111"/>
        <v>October</v>
      </c>
      <c r="E1400">
        <f t="shared" si="112"/>
        <v>2020</v>
      </c>
      <c r="F1400" t="str">
        <f>CONCATENATE(calendar[[#This Row],[Month]],"/",calendar[[#This Row],[Year]])</f>
        <v>10/2020</v>
      </c>
      <c r="G1400">
        <f>WEEKDAY(calendar[[#This Row],[Date]],1)</f>
        <v>6</v>
      </c>
      <c r="H1400" t="str">
        <f>TEXT(calendar[[#This Row],[WeekDay]],"dddd")</f>
        <v>Friday</v>
      </c>
      <c r="I1400">
        <f>IF((INT(calendar[[#This Row],[Count]]/7)-calendar[[#This Row],[Count]]/7)&lt;0,I1399,I1399+1)</f>
        <v>200</v>
      </c>
      <c r="J1400">
        <f t="shared" si="109"/>
        <v>1398</v>
      </c>
      <c r="K1400">
        <f>IF(calendar[[#This Row],[Month]]&lt;4,1,IF(calendar[[#This Row],[Month]]&lt;7,2,IF(calendar[[#This Row],[Month]]&lt;10,3,4)))</f>
        <v>4</v>
      </c>
      <c r="L1400">
        <f>IFERROR(IF(VLOOKUP(calendar[[#This Row],[Date]],BH!A:A,1,)&lt;&gt;"",1,0),0)</f>
        <v>0</v>
      </c>
      <c r="M1400">
        <f>IFERROR(IF(VLOOKUP(calendar[[#This Row],[Date]],BH!C:C,1,)&lt;&gt;"",1,0),0)</f>
        <v>0</v>
      </c>
      <c r="N1400">
        <f>IFERROR(IF(VLOOKUP(calendar[[#This Row],[Date]],BH!E:E,1,)&lt;&gt;"",1,0),0)</f>
        <v>0</v>
      </c>
      <c r="O1400">
        <f>IFERROR(IF(VLOOKUP(calendar[[#This Row],[Date]],BH!G:G,1,)&lt;&gt;"",1,0),0)</f>
        <v>0</v>
      </c>
      <c r="P1400">
        <f>IF(OR(calendar[[#This Row],[UK_BH]]=1,calendar[[#This Row],[WeekDay]]=1, calendar[[#This Row],[WeekDay]]=7),P1399,P1399+1)</f>
        <v>1000</v>
      </c>
      <c r="Q1400">
        <f>IF(OR(calendar[[#This Row],[FR_BH]]=1,calendar[[#This Row],[WeekDay]]=1, calendar[[#This Row],[WeekDay]]=7),P1399,P1399+1)</f>
        <v>1000</v>
      </c>
      <c r="R1400">
        <f>IF(OR(calendar[[#This Row],[SP_BH]]=1,calendar[[#This Row],[WeekDay]]=1, calendar[[#This Row],[WeekDay]]=7),P1399,P1399+1)</f>
        <v>1000</v>
      </c>
      <c r="S1400">
        <f>IF(OR(calendar[[#This Row],[PT_BH]]=1,calendar[[#This Row],[WeekDay]]=1, calendar[[#This Row],[WeekDay]]=7),P1399,P1399+1)</f>
        <v>1000</v>
      </c>
    </row>
    <row r="1401" spans="1:19" x14ac:dyDescent="0.25">
      <c r="A1401" s="2">
        <v>44135</v>
      </c>
      <c r="B1401" s="1">
        <f t="shared" si="108"/>
        <v>44</v>
      </c>
      <c r="C1401">
        <f t="shared" si="110"/>
        <v>10</v>
      </c>
      <c r="D1401" t="str">
        <f t="shared" si="111"/>
        <v>October</v>
      </c>
      <c r="E1401">
        <f t="shared" si="112"/>
        <v>2020</v>
      </c>
      <c r="F1401" t="str">
        <f>CONCATENATE(calendar[[#This Row],[Month]],"/",calendar[[#This Row],[Year]])</f>
        <v>10/2020</v>
      </c>
      <c r="G1401">
        <f>WEEKDAY(calendar[[#This Row],[Date]],1)</f>
        <v>7</v>
      </c>
      <c r="H1401" t="str">
        <f>TEXT(calendar[[#This Row],[WeekDay]],"dddd")</f>
        <v>Saturday</v>
      </c>
      <c r="I1401">
        <f>IF((INT(calendar[[#This Row],[Count]]/7)-calendar[[#This Row],[Count]]/7)&lt;0,I1400,I1400+1)</f>
        <v>200</v>
      </c>
      <c r="J1401">
        <f t="shared" si="109"/>
        <v>1399</v>
      </c>
      <c r="K1401">
        <f>IF(calendar[[#This Row],[Month]]&lt;4,1,IF(calendar[[#This Row],[Month]]&lt;7,2,IF(calendar[[#This Row],[Month]]&lt;10,3,4)))</f>
        <v>4</v>
      </c>
      <c r="L1401">
        <f>IFERROR(IF(VLOOKUP(calendar[[#This Row],[Date]],BH!A:A,1,)&lt;&gt;"",1,0),0)</f>
        <v>0</v>
      </c>
      <c r="M1401">
        <f>IFERROR(IF(VLOOKUP(calendar[[#This Row],[Date]],BH!C:C,1,)&lt;&gt;"",1,0),0)</f>
        <v>0</v>
      </c>
      <c r="N1401">
        <f>IFERROR(IF(VLOOKUP(calendar[[#This Row],[Date]],BH!E:E,1,)&lt;&gt;"",1,0),0)</f>
        <v>0</v>
      </c>
      <c r="O1401">
        <f>IFERROR(IF(VLOOKUP(calendar[[#This Row],[Date]],BH!G:G,1,)&lt;&gt;"",1,0),0)</f>
        <v>0</v>
      </c>
      <c r="P1401">
        <f>IF(OR(calendar[[#This Row],[UK_BH]]=1,calendar[[#This Row],[WeekDay]]=1, calendar[[#This Row],[WeekDay]]=7),P1400,P1400+1)</f>
        <v>1000</v>
      </c>
      <c r="Q1401">
        <f>IF(OR(calendar[[#This Row],[FR_BH]]=1,calendar[[#This Row],[WeekDay]]=1, calendar[[#This Row],[WeekDay]]=7),P1400,P1400+1)</f>
        <v>1000</v>
      </c>
      <c r="R1401">
        <f>IF(OR(calendar[[#This Row],[SP_BH]]=1,calendar[[#This Row],[WeekDay]]=1, calendar[[#This Row],[WeekDay]]=7),P1400,P1400+1)</f>
        <v>1000</v>
      </c>
      <c r="S1401">
        <f>IF(OR(calendar[[#This Row],[PT_BH]]=1,calendar[[#This Row],[WeekDay]]=1, calendar[[#This Row],[WeekDay]]=7),P1400,P1400+1)</f>
        <v>1000</v>
      </c>
    </row>
    <row r="1402" spans="1:19" x14ac:dyDescent="0.25">
      <c r="A1402" s="2">
        <v>44136</v>
      </c>
      <c r="B1402" s="1">
        <f t="shared" si="108"/>
        <v>45</v>
      </c>
      <c r="C1402">
        <f t="shared" si="110"/>
        <v>11</v>
      </c>
      <c r="D1402" t="str">
        <f t="shared" si="111"/>
        <v>November</v>
      </c>
      <c r="E1402">
        <f t="shared" si="112"/>
        <v>2020</v>
      </c>
      <c r="F1402" t="str">
        <f>CONCATENATE(calendar[[#This Row],[Month]],"/",calendar[[#This Row],[Year]])</f>
        <v>11/2020</v>
      </c>
      <c r="G1402">
        <f>WEEKDAY(calendar[[#This Row],[Date]],1)</f>
        <v>1</v>
      </c>
      <c r="H1402" t="str">
        <f>TEXT(calendar[[#This Row],[WeekDay]],"dddd")</f>
        <v>Sunday</v>
      </c>
      <c r="I1402">
        <f>IF((INT(calendar[[#This Row],[Count]]/7)-calendar[[#This Row],[Count]]/7)&lt;0,I1401,I1401+1)</f>
        <v>201</v>
      </c>
      <c r="J1402">
        <f t="shared" si="109"/>
        <v>1400</v>
      </c>
      <c r="K1402">
        <f>IF(calendar[[#This Row],[Month]]&lt;4,1,IF(calendar[[#This Row],[Month]]&lt;7,2,IF(calendar[[#This Row],[Month]]&lt;10,3,4)))</f>
        <v>4</v>
      </c>
      <c r="L1402">
        <f>IFERROR(IF(VLOOKUP(calendar[[#This Row],[Date]],BH!A:A,1,)&lt;&gt;"",1,0),0)</f>
        <v>0</v>
      </c>
      <c r="M1402">
        <f>IFERROR(IF(VLOOKUP(calendar[[#This Row],[Date]],BH!C:C,1,)&lt;&gt;"",1,0),0)</f>
        <v>0</v>
      </c>
      <c r="N1402">
        <f>IFERROR(IF(VLOOKUP(calendar[[#This Row],[Date]],BH!E:E,1,)&lt;&gt;"",1,0),0)</f>
        <v>0</v>
      </c>
      <c r="O1402">
        <f>IFERROR(IF(VLOOKUP(calendar[[#This Row],[Date]],BH!G:G,1,)&lt;&gt;"",1,0),0)</f>
        <v>0</v>
      </c>
      <c r="P1402">
        <f>IF(OR(calendar[[#This Row],[UK_BH]]=1,calendar[[#This Row],[WeekDay]]=1, calendar[[#This Row],[WeekDay]]=7),P1401,P1401+1)</f>
        <v>1000</v>
      </c>
      <c r="Q1402">
        <f>IF(OR(calendar[[#This Row],[FR_BH]]=1,calendar[[#This Row],[WeekDay]]=1, calendar[[#This Row],[WeekDay]]=7),P1401,P1401+1)</f>
        <v>1000</v>
      </c>
      <c r="R1402">
        <f>IF(OR(calendar[[#This Row],[SP_BH]]=1,calendar[[#This Row],[WeekDay]]=1, calendar[[#This Row],[WeekDay]]=7),P1401,P1401+1)</f>
        <v>1000</v>
      </c>
      <c r="S1402">
        <f>IF(OR(calendar[[#This Row],[PT_BH]]=1,calendar[[#This Row],[WeekDay]]=1, calendar[[#This Row],[WeekDay]]=7),P1401,P1401+1)</f>
        <v>1000</v>
      </c>
    </row>
    <row r="1403" spans="1:19" x14ac:dyDescent="0.25">
      <c r="A1403" s="2">
        <v>44137</v>
      </c>
      <c r="B1403" s="1">
        <f t="shared" si="108"/>
        <v>45</v>
      </c>
      <c r="C1403">
        <f t="shared" si="110"/>
        <v>11</v>
      </c>
      <c r="D1403" t="str">
        <f t="shared" si="111"/>
        <v>November</v>
      </c>
      <c r="E1403">
        <f t="shared" si="112"/>
        <v>2020</v>
      </c>
      <c r="F1403" t="str">
        <f>CONCATENATE(calendar[[#This Row],[Month]],"/",calendar[[#This Row],[Year]])</f>
        <v>11/2020</v>
      </c>
      <c r="G1403">
        <f>WEEKDAY(calendar[[#This Row],[Date]],1)</f>
        <v>2</v>
      </c>
      <c r="H1403" t="str">
        <f>TEXT(calendar[[#This Row],[WeekDay]],"dddd")</f>
        <v>Monday</v>
      </c>
      <c r="I1403">
        <f>IF((INT(calendar[[#This Row],[Count]]/7)-calendar[[#This Row],[Count]]/7)&lt;0,I1402,I1402+1)</f>
        <v>201</v>
      </c>
      <c r="J1403">
        <f t="shared" si="109"/>
        <v>1401</v>
      </c>
      <c r="K1403">
        <f>IF(calendar[[#This Row],[Month]]&lt;4,1,IF(calendar[[#This Row],[Month]]&lt;7,2,IF(calendar[[#This Row],[Month]]&lt;10,3,4)))</f>
        <v>4</v>
      </c>
      <c r="L1403">
        <f>IFERROR(IF(VLOOKUP(calendar[[#This Row],[Date]],BH!A:A,1,)&lt;&gt;"",1,0),0)</f>
        <v>0</v>
      </c>
      <c r="M1403">
        <f>IFERROR(IF(VLOOKUP(calendar[[#This Row],[Date]],BH!C:C,1,)&lt;&gt;"",1,0),0)</f>
        <v>0</v>
      </c>
      <c r="N1403">
        <f>IFERROR(IF(VLOOKUP(calendar[[#This Row],[Date]],BH!E:E,1,)&lt;&gt;"",1,0),0)</f>
        <v>0</v>
      </c>
      <c r="O1403">
        <f>IFERROR(IF(VLOOKUP(calendar[[#This Row],[Date]],BH!G:G,1,)&lt;&gt;"",1,0),0)</f>
        <v>0</v>
      </c>
      <c r="P1403">
        <f>IF(OR(calendar[[#This Row],[UK_BH]]=1,calendar[[#This Row],[WeekDay]]=1, calendar[[#This Row],[WeekDay]]=7),P1402,P1402+1)</f>
        <v>1001</v>
      </c>
      <c r="Q1403">
        <f>IF(OR(calendar[[#This Row],[FR_BH]]=1,calendar[[#This Row],[WeekDay]]=1, calendar[[#This Row],[WeekDay]]=7),P1402,P1402+1)</f>
        <v>1001</v>
      </c>
      <c r="R1403">
        <f>IF(OR(calendar[[#This Row],[SP_BH]]=1,calendar[[#This Row],[WeekDay]]=1, calendar[[#This Row],[WeekDay]]=7),P1402,P1402+1)</f>
        <v>1001</v>
      </c>
      <c r="S1403">
        <f>IF(OR(calendar[[#This Row],[PT_BH]]=1,calendar[[#This Row],[WeekDay]]=1, calendar[[#This Row],[WeekDay]]=7),P1402,P1402+1)</f>
        <v>1001</v>
      </c>
    </row>
    <row r="1404" spans="1:19" x14ac:dyDescent="0.25">
      <c r="A1404" s="2">
        <v>44138</v>
      </c>
      <c r="B1404" s="1">
        <f t="shared" si="108"/>
        <v>45</v>
      </c>
      <c r="C1404">
        <f t="shared" si="110"/>
        <v>11</v>
      </c>
      <c r="D1404" t="str">
        <f t="shared" si="111"/>
        <v>November</v>
      </c>
      <c r="E1404">
        <f t="shared" si="112"/>
        <v>2020</v>
      </c>
      <c r="F1404" t="str">
        <f>CONCATENATE(calendar[[#This Row],[Month]],"/",calendar[[#This Row],[Year]])</f>
        <v>11/2020</v>
      </c>
      <c r="G1404">
        <f>WEEKDAY(calendar[[#This Row],[Date]],1)</f>
        <v>3</v>
      </c>
      <c r="H1404" t="str">
        <f>TEXT(calendar[[#This Row],[WeekDay]],"dddd")</f>
        <v>Tuesday</v>
      </c>
      <c r="I1404">
        <f>IF((INT(calendar[[#This Row],[Count]]/7)-calendar[[#This Row],[Count]]/7)&lt;0,I1403,I1403+1)</f>
        <v>201</v>
      </c>
      <c r="J1404">
        <f t="shared" si="109"/>
        <v>1402</v>
      </c>
      <c r="K1404">
        <f>IF(calendar[[#This Row],[Month]]&lt;4,1,IF(calendar[[#This Row],[Month]]&lt;7,2,IF(calendar[[#This Row],[Month]]&lt;10,3,4)))</f>
        <v>4</v>
      </c>
      <c r="L1404">
        <f>IFERROR(IF(VLOOKUP(calendar[[#This Row],[Date]],BH!A:A,1,)&lt;&gt;"",1,0),0)</f>
        <v>0</v>
      </c>
      <c r="M1404">
        <f>IFERROR(IF(VLOOKUP(calendar[[#This Row],[Date]],BH!C:C,1,)&lt;&gt;"",1,0),0)</f>
        <v>0</v>
      </c>
      <c r="N1404">
        <f>IFERROR(IF(VLOOKUP(calendar[[#This Row],[Date]],BH!E:E,1,)&lt;&gt;"",1,0),0)</f>
        <v>0</v>
      </c>
      <c r="O1404">
        <f>IFERROR(IF(VLOOKUP(calendar[[#This Row],[Date]],BH!G:G,1,)&lt;&gt;"",1,0),0)</f>
        <v>0</v>
      </c>
      <c r="P1404">
        <f>IF(OR(calendar[[#This Row],[UK_BH]]=1,calendar[[#This Row],[WeekDay]]=1, calendar[[#This Row],[WeekDay]]=7),P1403,P1403+1)</f>
        <v>1002</v>
      </c>
      <c r="Q1404">
        <f>IF(OR(calendar[[#This Row],[FR_BH]]=1,calendar[[#This Row],[WeekDay]]=1, calendar[[#This Row],[WeekDay]]=7),P1403,P1403+1)</f>
        <v>1002</v>
      </c>
      <c r="R1404">
        <f>IF(OR(calendar[[#This Row],[SP_BH]]=1,calendar[[#This Row],[WeekDay]]=1, calendar[[#This Row],[WeekDay]]=7),P1403,P1403+1)</f>
        <v>1002</v>
      </c>
      <c r="S1404">
        <f>IF(OR(calendar[[#This Row],[PT_BH]]=1,calendar[[#This Row],[WeekDay]]=1, calendar[[#This Row],[WeekDay]]=7),P1403,P1403+1)</f>
        <v>1002</v>
      </c>
    </row>
    <row r="1405" spans="1:19" x14ac:dyDescent="0.25">
      <c r="A1405" s="2">
        <v>44139</v>
      </c>
      <c r="B1405" s="1">
        <f t="shared" si="108"/>
        <v>45</v>
      </c>
      <c r="C1405">
        <f t="shared" si="110"/>
        <v>11</v>
      </c>
      <c r="D1405" t="str">
        <f t="shared" si="111"/>
        <v>November</v>
      </c>
      <c r="E1405">
        <f t="shared" si="112"/>
        <v>2020</v>
      </c>
      <c r="F1405" t="str">
        <f>CONCATENATE(calendar[[#This Row],[Month]],"/",calendar[[#This Row],[Year]])</f>
        <v>11/2020</v>
      </c>
      <c r="G1405">
        <f>WEEKDAY(calendar[[#This Row],[Date]],1)</f>
        <v>4</v>
      </c>
      <c r="H1405" t="str">
        <f>TEXT(calendar[[#This Row],[WeekDay]],"dddd")</f>
        <v>Wednesday</v>
      </c>
      <c r="I1405">
        <f>IF((INT(calendar[[#This Row],[Count]]/7)-calendar[[#This Row],[Count]]/7)&lt;0,I1404,I1404+1)</f>
        <v>201</v>
      </c>
      <c r="J1405">
        <f t="shared" si="109"/>
        <v>1403</v>
      </c>
      <c r="K1405">
        <f>IF(calendar[[#This Row],[Month]]&lt;4,1,IF(calendar[[#This Row],[Month]]&lt;7,2,IF(calendar[[#This Row],[Month]]&lt;10,3,4)))</f>
        <v>4</v>
      </c>
      <c r="L1405">
        <f>IFERROR(IF(VLOOKUP(calendar[[#This Row],[Date]],BH!A:A,1,)&lt;&gt;"",1,0),0)</f>
        <v>0</v>
      </c>
      <c r="M1405">
        <f>IFERROR(IF(VLOOKUP(calendar[[#This Row],[Date]],BH!C:C,1,)&lt;&gt;"",1,0),0)</f>
        <v>0</v>
      </c>
      <c r="N1405">
        <f>IFERROR(IF(VLOOKUP(calendar[[#This Row],[Date]],BH!E:E,1,)&lt;&gt;"",1,0),0)</f>
        <v>0</v>
      </c>
      <c r="O1405">
        <f>IFERROR(IF(VLOOKUP(calendar[[#This Row],[Date]],BH!G:G,1,)&lt;&gt;"",1,0),0)</f>
        <v>0</v>
      </c>
      <c r="P1405">
        <f>IF(OR(calendar[[#This Row],[UK_BH]]=1,calendar[[#This Row],[WeekDay]]=1, calendar[[#This Row],[WeekDay]]=7),P1404,P1404+1)</f>
        <v>1003</v>
      </c>
      <c r="Q1405">
        <f>IF(OR(calendar[[#This Row],[FR_BH]]=1,calendar[[#This Row],[WeekDay]]=1, calendar[[#This Row],[WeekDay]]=7),P1404,P1404+1)</f>
        <v>1003</v>
      </c>
      <c r="R1405">
        <f>IF(OR(calendar[[#This Row],[SP_BH]]=1,calendar[[#This Row],[WeekDay]]=1, calendar[[#This Row],[WeekDay]]=7),P1404,P1404+1)</f>
        <v>1003</v>
      </c>
      <c r="S1405">
        <f>IF(OR(calendar[[#This Row],[PT_BH]]=1,calendar[[#This Row],[WeekDay]]=1, calendar[[#This Row],[WeekDay]]=7),P1404,P1404+1)</f>
        <v>1003</v>
      </c>
    </row>
    <row r="1406" spans="1:19" x14ac:dyDescent="0.25">
      <c r="A1406" s="2">
        <v>44140</v>
      </c>
      <c r="B1406" s="1">
        <f t="shared" si="108"/>
        <v>45</v>
      </c>
      <c r="C1406">
        <f t="shared" si="110"/>
        <v>11</v>
      </c>
      <c r="D1406" t="str">
        <f t="shared" si="111"/>
        <v>November</v>
      </c>
      <c r="E1406">
        <f t="shared" si="112"/>
        <v>2020</v>
      </c>
      <c r="F1406" t="str">
        <f>CONCATENATE(calendar[[#This Row],[Month]],"/",calendar[[#This Row],[Year]])</f>
        <v>11/2020</v>
      </c>
      <c r="G1406">
        <f>WEEKDAY(calendar[[#This Row],[Date]],1)</f>
        <v>5</v>
      </c>
      <c r="H1406" t="str">
        <f>TEXT(calendar[[#This Row],[WeekDay]],"dddd")</f>
        <v>Thursday</v>
      </c>
      <c r="I1406">
        <f>IF((INT(calendar[[#This Row],[Count]]/7)-calendar[[#This Row],[Count]]/7)&lt;0,I1405,I1405+1)</f>
        <v>201</v>
      </c>
      <c r="J1406">
        <f t="shared" si="109"/>
        <v>1404</v>
      </c>
      <c r="K1406">
        <f>IF(calendar[[#This Row],[Month]]&lt;4,1,IF(calendar[[#This Row],[Month]]&lt;7,2,IF(calendar[[#This Row],[Month]]&lt;10,3,4)))</f>
        <v>4</v>
      </c>
      <c r="L1406">
        <f>IFERROR(IF(VLOOKUP(calendar[[#This Row],[Date]],BH!A:A,1,)&lt;&gt;"",1,0),0)</f>
        <v>0</v>
      </c>
      <c r="M1406">
        <f>IFERROR(IF(VLOOKUP(calendar[[#This Row],[Date]],BH!C:C,1,)&lt;&gt;"",1,0),0)</f>
        <v>0</v>
      </c>
      <c r="N1406">
        <f>IFERROR(IF(VLOOKUP(calendar[[#This Row],[Date]],BH!E:E,1,)&lt;&gt;"",1,0),0)</f>
        <v>0</v>
      </c>
      <c r="O1406">
        <f>IFERROR(IF(VLOOKUP(calendar[[#This Row],[Date]],BH!G:G,1,)&lt;&gt;"",1,0),0)</f>
        <v>0</v>
      </c>
      <c r="P1406">
        <f>IF(OR(calendar[[#This Row],[UK_BH]]=1,calendar[[#This Row],[WeekDay]]=1, calendar[[#This Row],[WeekDay]]=7),P1405,P1405+1)</f>
        <v>1004</v>
      </c>
      <c r="Q1406">
        <f>IF(OR(calendar[[#This Row],[FR_BH]]=1,calendar[[#This Row],[WeekDay]]=1, calendar[[#This Row],[WeekDay]]=7),P1405,P1405+1)</f>
        <v>1004</v>
      </c>
      <c r="R1406">
        <f>IF(OR(calendar[[#This Row],[SP_BH]]=1,calendar[[#This Row],[WeekDay]]=1, calendar[[#This Row],[WeekDay]]=7),P1405,P1405+1)</f>
        <v>1004</v>
      </c>
      <c r="S1406">
        <f>IF(OR(calendar[[#This Row],[PT_BH]]=1,calendar[[#This Row],[WeekDay]]=1, calendar[[#This Row],[WeekDay]]=7),P1405,P1405+1)</f>
        <v>1004</v>
      </c>
    </row>
    <row r="1407" spans="1:19" x14ac:dyDescent="0.25">
      <c r="A1407" s="2">
        <v>44141</v>
      </c>
      <c r="B1407" s="1">
        <f t="shared" si="108"/>
        <v>45</v>
      </c>
      <c r="C1407">
        <f t="shared" si="110"/>
        <v>11</v>
      </c>
      <c r="D1407" t="str">
        <f t="shared" si="111"/>
        <v>November</v>
      </c>
      <c r="E1407">
        <f t="shared" si="112"/>
        <v>2020</v>
      </c>
      <c r="F1407" t="str">
        <f>CONCATENATE(calendar[[#This Row],[Month]],"/",calendar[[#This Row],[Year]])</f>
        <v>11/2020</v>
      </c>
      <c r="G1407">
        <f>WEEKDAY(calendar[[#This Row],[Date]],1)</f>
        <v>6</v>
      </c>
      <c r="H1407" t="str">
        <f>TEXT(calendar[[#This Row],[WeekDay]],"dddd")</f>
        <v>Friday</v>
      </c>
      <c r="I1407">
        <f>IF((INT(calendar[[#This Row],[Count]]/7)-calendar[[#This Row],[Count]]/7)&lt;0,I1406,I1406+1)</f>
        <v>201</v>
      </c>
      <c r="J1407">
        <f t="shared" si="109"/>
        <v>1405</v>
      </c>
      <c r="K1407">
        <f>IF(calendar[[#This Row],[Month]]&lt;4,1,IF(calendar[[#This Row],[Month]]&lt;7,2,IF(calendar[[#This Row],[Month]]&lt;10,3,4)))</f>
        <v>4</v>
      </c>
      <c r="L1407">
        <f>IFERROR(IF(VLOOKUP(calendar[[#This Row],[Date]],BH!A:A,1,)&lt;&gt;"",1,0),0)</f>
        <v>0</v>
      </c>
      <c r="M1407">
        <f>IFERROR(IF(VLOOKUP(calendar[[#This Row],[Date]],BH!C:C,1,)&lt;&gt;"",1,0),0)</f>
        <v>0</v>
      </c>
      <c r="N1407">
        <f>IFERROR(IF(VLOOKUP(calendar[[#This Row],[Date]],BH!E:E,1,)&lt;&gt;"",1,0),0)</f>
        <v>0</v>
      </c>
      <c r="O1407">
        <f>IFERROR(IF(VLOOKUP(calendar[[#This Row],[Date]],BH!G:G,1,)&lt;&gt;"",1,0),0)</f>
        <v>0</v>
      </c>
      <c r="P1407">
        <f>IF(OR(calendar[[#This Row],[UK_BH]]=1,calendar[[#This Row],[WeekDay]]=1, calendar[[#This Row],[WeekDay]]=7),P1406,P1406+1)</f>
        <v>1005</v>
      </c>
      <c r="Q1407">
        <f>IF(OR(calendar[[#This Row],[FR_BH]]=1,calendar[[#This Row],[WeekDay]]=1, calendar[[#This Row],[WeekDay]]=7),P1406,P1406+1)</f>
        <v>1005</v>
      </c>
      <c r="R1407">
        <f>IF(OR(calendar[[#This Row],[SP_BH]]=1,calendar[[#This Row],[WeekDay]]=1, calendar[[#This Row],[WeekDay]]=7),P1406,P1406+1)</f>
        <v>1005</v>
      </c>
      <c r="S1407">
        <f>IF(OR(calendar[[#This Row],[PT_BH]]=1,calendar[[#This Row],[WeekDay]]=1, calendar[[#This Row],[WeekDay]]=7),P1406,P1406+1)</f>
        <v>1005</v>
      </c>
    </row>
    <row r="1408" spans="1:19" x14ac:dyDescent="0.25">
      <c r="A1408" s="2">
        <v>44142</v>
      </c>
      <c r="B1408" s="1">
        <f t="shared" si="108"/>
        <v>45</v>
      </c>
      <c r="C1408">
        <f t="shared" si="110"/>
        <v>11</v>
      </c>
      <c r="D1408" t="str">
        <f t="shared" si="111"/>
        <v>November</v>
      </c>
      <c r="E1408">
        <f t="shared" si="112"/>
        <v>2020</v>
      </c>
      <c r="F1408" t="str">
        <f>CONCATENATE(calendar[[#This Row],[Month]],"/",calendar[[#This Row],[Year]])</f>
        <v>11/2020</v>
      </c>
      <c r="G1408">
        <f>WEEKDAY(calendar[[#This Row],[Date]],1)</f>
        <v>7</v>
      </c>
      <c r="H1408" t="str">
        <f>TEXT(calendar[[#This Row],[WeekDay]],"dddd")</f>
        <v>Saturday</v>
      </c>
      <c r="I1408">
        <f>IF((INT(calendar[[#This Row],[Count]]/7)-calendar[[#This Row],[Count]]/7)&lt;0,I1407,I1407+1)</f>
        <v>201</v>
      </c>
      <c r="J1408">
        <f t="shared" si="109"/>
        <v>1406</v>
      </c>
      <c r="K1408">
        <f>IF(calendar[[#This Row],[Month]]&lt;4,1,IF(calendar[[#This Row],[Month]]&lt;7,2,IF(calendar[[#This Row],[Month]]&lt;10,3,4)))</f>
        <v>4</v>
      </c>
      <c r="L1408">
        <f>IFERROR(IF(VLOOKUP(calendar[[#This Row],[Date]],BH!A:A,1,)&lt;&gt;"",1,0),0)</f>
        <v>0</v>
      </c>
      <c r="M1408">
        <f>IFERROR(IF(VLOOKUP(calendar[[#This Row],[Date]],BH!C:C,1,)&lt;&gt;"",1,0),0)</f>
        <v>0</v>
      </c>
      <c r="N1408">
        <f>IFERROR(IF(VLOOKUP(calendar[[#This Row],[Date]],BH!E:E,1,)&lt;&gt;"",1,0),0)</f>
        <v>0</v>
      </c>
      <c r="O1408">
        <f>IFERROR(IF(VLOOKUP(calendar[[#This Row],[Date]],BH!G:G,1,)&lt;&gt;"",1,0),0)</f>
        <v>0</v>
      </c>
      <c r="P1408">
        <f>IF(OR(calendar[[#This Row],[UK_BH]]=1,calendar[[#This Row],[WeekDay]]=1, calendar[[#This Row],[WeekDay]]=7),P1407,P1407+1)</f>
        <v>1005</v>
      </c>
      <c r="Q1408">
        <f>IF(OR(calendar[[#This Row],[FR_BH]]=1,calendar[[#This Row],[WeekDay]]=1, calendar[[#This Row],[WeekDay]]=7),P1407,P1407+1)</f>
        <v>1005</v>
      </c>
      <c r="R1408">
        <f>IF(OR(calendar[[#This Row],[SP_BH]]=1,calendar[[#This Row],[WeekDay]]=1, calendar[[#This Row],[WeekDay]]=7),P1407,P1407+1)</f>
        <v>1005</v>
      </c>
      <c r="S1408">
        <f>IF(OR(calendar[[#This Row],[PT_BH]]=1,calendar[[#This Row],[WeekDay]]=1, calendar[[#This Row],[WeekDay]]=7),P1407,P1407+1)</f>
        <v>1005</v>
      </c>
    </row>
    <row r="1409" spans="1:19" x14ac:dyDescent="0.25">
      <c r="A1409" s="2">
        <v>44143</v>
      </c>
      <c r="B1409" s="1">
        <f t="shared" si="108"/>
        <v>46</v>
      </c>
      <c r="C1409">
        <f t="shared" si="110"/>
        <v>11</v>
      </c>
      <c r="D1409" t="str">
        <f t="shared" si="111"/>
        <v>November</v>
      </c>
      <c r="E1409">
        <f t="shared" si="112"/>
        <v>2020</v>
      </c>
      <c r="F1409" t="str">
        <f>CONCATENATE(calendar[[#This Row],[Month]],"/",calendar[[#This Row],[Year]])</f>
        <v>11/2020</v>
      </c>
      <c r="G1409">
        <f>WEEKDAY(calendar[[#This Row],[Date]],1)</f>
        <v>1</v>
      </c>
      <c r="H1409" t="str">
        <f>TEXT(calendar[[#This Row],[WeekDay]],"dddd")</f>
        <v>Sunday</v>
      </c>
      <c r="I1409">
        <f>IF((INT(calendar[[#This Row],[Count]]/7)-calendar[[#This Row],[Count]]/7)&lt;0,I1408,I1408+1)</f>
        <v>202</v>
      </c>
      <c r="J1409">
        <f t="shared" si="109"/>
        <v>1407</v>
      </c>
      <c r="K1409">
        <f>IF(calendar[[#This Row],[Month]]&lt;4,1,IF(calendar[[#This Row],[Month]]&lt;7,2,IF(calendar[[#This Row],[Month]]&lt;10,3,4)))</f>
        <v>4</v>
      </c>
      <c r="L1409">
        <f>IFERROR(IF(VLOOKUP(calendar[[#This Row],[Date]],BH!A:A,1,)&lt;&gt;"",1,0),0)</f>
        <v>0</v>
      </c>
      <c r="M1409">
        <f>IFERROR(IF(VLOOKUP(calendar[[#This Row],[Date]],BH!C:C,1,)&lt;&gt;"",1,0),0)</f>
        <v>0</v>
      </c>
      <c r="N1409">
        <f>IFERROR(IF(VLOOKUP(calendar[[#This Row],[Date]],BH!E:E,1,)&lt;&gt;"",1,0),0)</f>
        <v>0</v>
      </c>
      <c r="O1409">
        <f>IFERROR(IF(VLOOKUP(calendar[[#This Row],[Date]],BH!G:G,1,)&lt;&gt;"",1,0),0)</f>
        <v>0</v>
      </c>
      <c r="P1409">
        <f>IF(OR(calendar[[#This Row],[UK_BH]]=1,calendar[[#This Row],[WeekDay]]=1, calendar[[#This Row],[WeekDay]]=7),P1408,P1408+1)</f>
        <v>1005</v>
      </c>
      <c r="Q1409">
        <f>IF(OR(calendar[[#This Row],[FR_BH]]=1,calendar[[#This Row],[WeekDay]]=1, calendar[[#This Row],[WeekDay]]=7),P1408,P1408+1)</f>
        <v>1005</v>
      </c>
      <c r="R1409">
        <f>IF(OR(calendar[[#This Row],[SP_BH]]=1,calendar[[#This Row],[WeekDay]]=1, calendar[[#This Row],[WeekDay]]=7),P1408,P1408+1)</f>
        <v>1005</v>
      </c>
      <c r="S1409">
        <f>IF(OR(calendar[[#This Row],[PT_BH]]=1,calendar[[#This Row],[WeekDay]]=1, calendar[[#This Row],[WeekDay]]=7),P1408,P1408+1)</f>
        <v>1005</v>
      </c>
    </row>
    <row r="1410" spans="1:19" x14ac:dyDescent="0.25">
      <c r="A1410" s="2">
        <v>44144</v>
      </c>
      <c r="B1410" s="1">
        <f t="shared" ref="B1410:B1473" si="113">WEEKNUM(A1410)</f>
        <v>46</v>
      </c>
      <c r="C1410">
        <f t="shared" si="110"/>
        <v>11</v>
      </c>
      <c r="D1410" t="str">
        <f t="shared" si="111"/>
        <v>November</v>
      </c>
      <c r="E1410">
        <f t="shared" si="112"/>
        <v>2020</v>
      </c>
      <c r="F1410" t="str">
        <f>CONCATENATE(calendar[[#This Row],[Month]],"/",calendar[[#This Row],[Year]])</f>
        <v>11/2020</v>
      </c>
      <c r="G1410">
        <f>WEEKDAY(calendar[[#This Row],[Date]],1)</f>
        <v>2</v>
      </c>
      <c r="H1410" t="str">
        <f>TEXT(calendar[[#This Row],[WeekDay]],"dddd")</f>
        <v>Monday</v>
      </c>
      <c r="I1410">
        <f>IF((INT(calendar[[#This Row],[Count]]/7)-calendar[[#This Row],[Count]]/7)&lt;0,I1409,I1409+1)</f>
        <v>202</v>
      </c>
      <c r="J1410">
        <f t="shared" si="109"/>
        <v>1408</v>
      </c>
      <c r="K1410">
        <f>IF(calendar[[#This Row],[Month]]&lt;4,1,IF(calendar[[#This Row],[Month]]&lt;7,2,IF(calendar[[#This Row],[Month]]&lt;10,3,4)))</f>
        <v>4</v>
      </c>
      <c r="L1410">
        <f>IFERROR(IF(VLOOKUP(calendar[[#This Row],[Date]],BH!A:A,1,)&lt;&gt;"",1,0),0)</f>
        <v>0</v>
      </c>
      <c r="M1410">
        <f>IFERROR(IF(VLOOKUP(calendar[[#This Row],[Date]],BH!C:C,1,)&lt;&gt;"",1,0),0)</f>
        <v>0</v>
      </c>
      <c r="N1410">
        <f>IFERROR(IF(VLOOKUP(calendar[[#This Row],[Date]],BH!E:E,1,)&lt;&gt;"",1,0),0)</f>
        <v>0</v>
      </c>
      <c r="O1410">
        <f>IFERROR(IF(VLOOKUP(calendar[[#This Row],[Date]],BH!G:G,1,)&lt;&gt;"",1,0),0)</f>
        <v>0</v>
      </c>
      <c r="P1410">
        <f>IF(OR(calendar[[#This Row],[UK_BH]]=1,calendar[[#This Row],[WeekDay]]=1, calendar[[#This Row],[WeekDay]]=7),P1409,P1409+1)</f>
        <v>1006</v>
      </c>
      <c r="Q1410">
        <f>IF(OR(calendar[[#This Row],[FR_BH]]=1,calendar[[#This Row],[WeekDay]]=1, calendar[[#This Row],[WeekDay]]=7),P1409,P1409+1)</f>
        <v>1006</v>
      </c>
      <c r="R1410">
        <f>IF(OR(calendar[[#This Row],[SP_BH]]=1,calendar[[#This Row],[WeekDay]]=1, calendar[[#This Row],[WeekDay]]=7),P1409,P1409+1)</f>
        <v>1006</v>
      </c>
      <c r="S1410">
        <f>IF(OR(calendar[[#This Row],[PT_BH]]=1,calendar[[#This Row],[WeekDay]]=1, calendar[[#This Row],[WeekDay]]=7),P1409,P1409+1)</f>
        <v>1006</v>
      </c>
    </row>
    <row r="1411" spans="1:19" x14ac:dyDescent="0.25">
      <c r="A1411" s="2">
        <v>44145</v>
      </c>
      <c r="B1411" s="1">
        <f t="shared" si="113"/>
        <v>46</v>
      </c>
      <c r="C1411">
        <f t="shared" si="110"/>
        <v>11</v>
      </c>
      <c r="D1411" t="str">
        <f t="shared" si="111"/>
        <v>November</v>
      </c>
      <c r="E1411">
        <f t="shared" si="112"/>
        <v>2020</v>
      </c>
      <c r="F1411" t="str">
        <f>CONCATENATE(calendar[[#This Row],[Month]],"/",calendar[[#This Row],[Year]])</f>
        <v>11/2020</v>
      </c>
      <c r="G1411">
        <f>WEEKDAY(calendar[[#This Row],[Date]],1)</f>
        <v>3</v>
      </c>
      <c r="H1411" t="str">
        <f>TEXT(calendar[[#This Row],[WeekDay]],"dddd")</f>
        <v>Tuesday</v>
      </c>
      <c r="I1411">
        <f>IF((INT(calendar[[#This Row],[Count]]/7)-calendar[[#This Row],[Count]]/7)&lt;0,I1410,I1410+1)</f>
        <v>202</v>
      </c>
      <c r="J1411">
        <f t="shared" ref="J1411:J1474" si="114">J1410+1</f>
        <v>1409</v>
      </c>
      <c r="K1411">
        <f>IF(calendar[[#This Row],[Month]]&lt;4,1,IF(calendar[[#This Row],[Month]]&lt;7,2,IF(calendar[[#This Row],[Month]]&lt;10,3,4)))</f>
        <v>4</v>
      </c>
      <c r="L1411">
        <f>IFERROR(IF(VLOOKUP(calendar[[#This Row],[Date]],BH!A:A,1,)&lt;&gt;"",1,0),0)</f>
        <v>0</v>
      </c>
      <c r="M1411">
        <f>IFERROR(IF(VLOOKUP(calendar[[#This Row],[Date]],BH!C:C,1,)&lt;&gt;"",1,0),0)</f>
        <v>0</v>
      </c>
      <c r="N1411">
        <f>IFERROR(IF(VLOOKUP(calendar[[#This Row],[Date]],BH!E:E,1,)&lt;&gt;"",1,0),0)</f>
        <v>0</v>
      </c>
      <c r="O1411">
        <f>IFERROR(IF(VLOOKUP(calendar[[#This Row],[Date]],BH!G:G,1,)&lt;&gt;"",1,0),0)</f>
        <v>0</v>
      </c>
      <c r="P1411">
        <f>IF(OR(calendar[[#This Row],[UK_BH]]=1,calendar[[#This Row],[WeekDay]]=1, calendar[[#This Row],[WeekDay]]=7),P1410,P1410+1)</f>
        <v>1007</v>
      </c>
      <c r="Q1411">
        <f>IF(OR(calendar[[#This Row],[FR_BH]]=1,calendar[[#This Row],[WeekDay]]=1, calendar[[#This Row],[WeekDay]]=7),P1410,P1410+1)</f>
        <v>1007</v>
      </c>
      <c r="R1411">
        <f>IF(OR(calendar[[#This Row],[SP_BH]]=1,calendar[[#This Row],[WeekDay]]=1, calendar[[#This Row],[WeekDay]]=7),P1410,P1410+1)</f>
        <v>1007</v>
      </c>
      <c r="S1411">
        <f>IF(OR(calendar[[#This Row],[PT_BH]]=1,calendar[[#This Row],[WeekDay]]=1, calendar[[#This Row],[WeekDay]]=7),P1410,P1410+1)</f>
        <v>1007</v>
      </c>
    </row>
    <row r="1412" spans="1:19" x14ac:dyDescent="0.25">
      <c r="A1412" s="2">
        <v>44146</v>
      </c>
      <c r="B1412" s="1">
        <f t="shared" si="113"/>
        <v>46</v>
      </c>
      <c r="C1412">
        <f t="shared" si="110"/>
        <v>11</v>
      </c>
      <c r="D1412" t="str">
        <f t="shared" si="111"/>
        <v>November</v>
      </c>
      <c r="E1412">
        <f t="shared" si="112"/>
        <v>2020</v>
      </c>
      <c r="F1412" t="str">
        <f>CONCATENATE(calendar[[#This Row],[Month]],"/",calendar[[#This Row],[Year]])</f>
        <v>11/2020</v>
      </c>
      <c r="G1412">
        <f>WEEKDAY(calendar[[#This Row],[Date]],1)</f>
        <v>4</v>
      </c>
      <c r="H1412" t="str">
        <f>TEXT(calendar[[#This Row],[WeekDay]],"dddd")</f>
        <v>Wednesday</v>
      </c>
      <c r="I1412">
        <f>IF((INT(calendar[[#This Row],[Count]]/7)-calendar[[#This Row],[Count]]/7)&lt;0,I1411,I1411+1)</f>
        <v>202</v>
      </c>
      <c r="J1412">
        <f t="shared" si="114"/>
        <v>1410</v>
      </c>
      <c r="K1412">
        <f>IF(calendar[[#This Row],[Month]]&lt;4,1,IF(calendar[[#This Row],[Month]]&lt;7,2,IF(calendar[[#This Row],[Month]]&lt;10,3,4)))</f>
        <v>4</v>
      </c>
      <c r="L1412">
        <f>IFERROR(IF(VLOOKUP(calendar[[#This Row],[Date]],BH!A:A,1,)&lt;&gt;"",1,0),0)</f>
        <v>0</v>
      </c>
      <c r="M1412">
        <f>IFERROR(IF(VLOOKUP(calendar[[#This Row],[Date]],BH!C:C,1,)&lt;&gt;"",1,0),0)</f>
        <v>0</v>
      </c>
      <c r="N1412">
        <f>IFERROR(IF(VLOOKUP(calendar[[#This Row],[Date]],BH!E:E,1,)&lt;&gt;"",1,0),0)</f>
        <v>0</v>
      </c>
      <c r="O1412">
        <f>IFERROR(IF(VLOOKUP(calendar[[#This Row],[Date]],BH!G:G,1,)&lt;&gt;"",1,0),0)</f>
        <v>0</v>
      </c>
      <c r="P1412">
        <f>IF(OR(calendar[[#This Row],[UK_BH]]=1,calendar[[#This Row],[WeekDay]]=1, calendar[[#This Row],[WeekDay]]=7),P1411,P1411+1)</f>
        <v>1008</v>
      </c>
      <c r="Q1412">
        <f>IF(OR(calendar[[#This Row],[FR_BH]]=1,calendar[[#This Row],[WeekDay]]=1, calendar[[#This Row],[WeekDay]]=7),P1411,P1411+1)</f>
        <v>1008</v>
      </c>
      <c r="R1412">
        <f>IF(OR(calendar[[#This Row],[SP_BH]]=1,calendar[[#This Row],[WeekDay]]=1, calendar[[#This Row],[WeekDay]]=7),P1411,P1411+1)</f>
        <v>1008</v>
      </c>
      <c r="S1412">
        <f>IF(OR(calendar[[#This Row],[PT_BH]]=1,calendar[[#This Row],[WeekDay]]=1, calendar[[#This Row],[WeekDay]]=7),P1411,P1411+1)</f>
        <v>1008</v>
      </c>
    </row>
    <row r="1413" spans="1:19" x14ac:dyDescent="0.25">
      <c r="A1413" s="2">
        <v>44147</v>
      </c>
      <c r="B1413" s="1">
        <f t="shared" si="113"/>
        <v>46</v>
      </c>
      <c r="C1413">
        <f t="shared" si="110"/>
        <v>11</v>
      </c>
      <c r="D1413" t="str">
        <f t="shared" si="111"/>
        <v>November</v>
      </c>
      <c r="E1413">
        <f t="shared" si="112"/>
        <v>2020</v>
      </c>
      <c r="F1413" t="str">
        <f>CONCATENATE(calendar[[#This Row],[Month]],"/",calendar[[#This Row],[Year]])</f>
        <v>11/2020</v>
      </c>
      <c r="G1413">
        <f>WEEKDAY(calendar[[#This Row],[Date]],1)</f>
        <v>5</v>
      </c>
      <c r="H1413" t="str">
        <f>TEXT(calendar[[#This Row],[WeekDay]],"dddd")</f>
        <v>Thursday</v>
      </c>
      <c r="I1413">
        <f>IF((INT(calendar[[#This Row],[Count]]/7)-calendar[[#This Row],[Count]]/7)&lt;0,I1412,I1412+1)</f>
        <v>202</v>
      </c>
      <c r="J1413">
        <f t="shared" si="114"/>
        <v>1411</v>
      </c>
      <c r="K1413">
        <f>IF(calendar[[#This Row],[Month]]&lt;4,1,IF(calendar[[#This Row],[Month]]&lt;7,2,IF(calendar[[#This Row],[Month]]&lt;10,3,4)))</f>
        <v>4</v>
      </c>
      <c r="L1413">
        <f>IFERROR(IF(VLOOKUP(calendar[[#This Row],[Date]],BH!A:A,1,)&lt;&gt;"",1,0),0)</f>
        <v>0</v>
      </c>
      <c r="M1413">
        <f>IFERROR(IF(VLOOKUP(calendar[[#This Row],[Date]],BH!C:C,1,)&lt;&gt;"",1,0),0)</f>
        <v>0</v>
      </c>
      <c r="N1413">
        <f>IFERROR(IF(VLOOKUP(calendar[[#This Row],[Date]],BH!E:E,1,)&lt;&gt;"",1,0),0)</f>
        <v>0</v>
      </c>
      <c r="O1413">
        <f>IFERROR(IF(VLOOKUP(calendar[[#This Row],[Date]],BH!G:G,1,)&lt;&gt;"",1,0),0)</f>
        <v>0</v>
      </c>
      <c r="P1413">
        <f>IF(OR(calendar[[#This Row],[UK_BH]]=1,calendar[[#This Row],[WeekDay]]=1, calendar[[#This Row],[WeekDay]]=7),P1412,P1412+1)</f>
        <v>1009</v>
      </c>
      <c r="Q1413">
        <f>IF(OR(calendar[[#This Row],[FR_BH]]=1,calendar[[#This Row],[WeekDay]]=1, calendar[[#This Row],[WeekDay]]=7),P1412,P1412+1)</f>
        <v>1009</v>
      </c>
      <c r="R1413">
        <f>IF(OR(calendar[[#This Row],[SP_BH]]=1,calendar[[#This Row],[WeekDay]]=1, calendar[[#This Row],[WeekDay]]=7),P1412,P1412+1)</f>
        <v>1009</v>
      </c>
      <c r="S1413">
        <f>IF(OR(calendar[[#This Row],[PT_BH]]=1,calendar[[#This Row],[WeekDay]]=1, calendar[[#This Row],[WeekDay]]=7),P1412,P1412+1)</f>
        <v>1009</v>
      </c>
    </row>
    <row r="1414" spans="1:19" x14ac:dyDescent="0.25">
      <c r="A1414" s="2">
        <v>44148</v>
      </c>
      <c r="B1414" s="1">
        <f t="shared" si="113"/>
        <v>46</v>
      </c>
      <c r="C1414">
        <f t="shared" si="110"/>
        <v>11</v>
      </c>
      <c r="D1414" t="str">
        <f t="shared" si="111"/>
        <v>November</v>
      </c>
      <c r="E1414">
        <f t="shared" si="112"/>
        <v>2020</v>
      </c>
      <c r="F1414" t="str">
        <f>CONCATENATE(calendar[[#This Row],[Month]],"/",calendar[[#This Row],[Year]])</f>
        <v>11/2020</v>
      </c>
      <c r="G1414">
        <f>WEEKDAY(calendar[[#This Row],[Date]],1)</f>
        <v>6</v>
      </c>
      <c r="H1414" t="str">
        <f>TEXT(calendar[[#This Row],[WeekDay]],"dddd")</f>
        <v>Friday</v>
      </c>
      <c r="I1414">
        <f>IF((INT(calendar[[#This Row],[Count]]/7)-calendar[[#This Row],[Count]]/7)&lt;0,I1413,I1413+1)</f>
        <v>202</v>
      </c>
      <c r="J1414">
        <f t="shared" si="114"/>
        <v>1412</v>
      </c>
      <c r="K1414">
        <f>IF(calendar[[#This Row],[Month]]&lt;4,1,IF(calendar[[#This Row],[Month]]&lt;7,2,IF(calendar[[#This Row],[Month]]&lt;10,3,4)))</f>
        <v>4</v>
      </c>
      <c r="L1414">
        <f>IFERROR(IF(VLOOKUP(calendar[[#This Row],[Date]],BH!A:A,1,)&lt;&gt;"",1,0),0)</f>
        <v>0</v>
      </c>
      <c r="M1414">
        <f>IFERROR(IF(VLOOKUP(calendar[[#This Row],[Date]],BH!C:C,1,)&lt;&gt;"",1,0),0)</f>
        <v>0</v>
      </c>
      <c r="N1414">
        <f>IFERROR(IF(VLOOKUP(calendar[[#This Row],[Date]],BH!E:E,1,)&lt;&gt;"",1,0),0)</f>
        <v>0</v>
      </c>
      <c r="O1414">
        <f>IFERROR(IF(VLOOKUP(calendar[[#This Row],[Date]],BH!G:G,1,)&lt;&gt;"",1,0),0)</f>
        <v>0</v>
      </c>
      <c r="P1414">
        <f>IF(OR(calendar[[#This Row],[UK_BH]]=1,calendar[[#This Row],[WeekDay]]=1, calendar[[#This Row],[WeekDay]]=7),P1413,P1413+1)</f>
        <v>1010</v>
      </c>
      <c r="Q1414">
        <f>IF(OR(calendar[[#This Row],[FR_BH]]=1,calendar[[#This Row],[WeekDay]]=1, calendar[[#This Row],[WeekDay]]=7),P1413,P1413+1)</f>
        <v>1010</v>
      </c>
      <c r="R1414">
        <f>IF(OR(calendar[[#This Row],[SP_BH]]=1,calendar[[#This Row],[WeekDay]]=1, calendar[[#This Row],[WeekDay]]=7),P1413,P1413+1)</f>
        <v>1010</v>
      </c>
      <c r="S1414">
        <f>IF(OR(calendar[[#This Row],[PT_BH]]=1,calendar[[#This Row],[WeekDay]]=1, calendar[[#This Row],[WeekDay]]=7),P1413,P1413+1)</f>
        <v>1010</v>
      </c>
    </row>
    <row r="1415" spans="1:19" x14ac:dyDescent="0.25">
      <c r="A1415" s="2">
        <v>44149</v>
      </c>
      <c r="B1415" s="1">
        <f t="shared" si="113"/>
        <v>46</v>
      </c>
      <c r="C1415">
        <f t="shared" si="110"/>
        <v>11</v>
      </c>
      <c r="D1415" t="str">
        <f t="shared" si="111"/>
        <v>November</v>
      </c>
      <c r="E1415">
        <f t="shared" si="112"/>
        <v>2020</v>
      </c>
      <c r="F1415" t="str">
        <f>CONCATENATE(calendar[[#This Row],[Month]],"/",calendar[[#This Row],[Year]])</f>
        <v>11/2020</v>
      </c>
      <c r="G1415">
        <f>WEEKDAY(calendar[[#This Row],[Date]],1)</f>
        <v>7</v>
      </c>
      <c r="H1415" t="str">
        <f>TEXT(calendar[[#This Row],[WeekDay]],"dddd")</f>
        <v>Saturday</v>
      </c>
      <c r="I1415">
        <f>IF((INT(calendar[[#This Row],[Count]]/7)-calendar[[#This Row],[Count]]/7)&lt;0,I1414,I1414+1)</f>
        <v>202</v>
      </c>
      <c r="J1415">
        <f t="shared" si="114"/>
        <v>1413</v>
      </c>
      <c r="K1415">
        <f>IF(calendar[[#This Row],[Month]]&lt;4,1,IF(calendar[[#This Row],[Month]]&lt;7,2,IF(calendar[[#This Row],[Month]]&lt;10,3,4)))</f>
        <v>4</v>
      </c>
      <c r="L1415">
        <f>IFERROR(IF(VLOOKUP(calendar[[#This Row],[Date]],BH!A:A,1,)&lt;&gt;"",1,0),0)</f>
        <v>0</v>
      </c>
      <c r="M1415">
        <f>IFERROR(IF(VLOOKUP(calendar[[#This Row],[Date]],BH!C:C,1,)&lt;&gt;"",1,0),0)</f>
        <v>0</v>
      </c>
      <c r="N1415">
        <f>IFERROR(IF(VLOOKUP(calendar[[#This Row],[Date]],BH!E:E,1,)&lt;&gt;"",1,0),0)</f>
        <v>0</v>
      </c>
      <c r="O1415">
        <f>IFERROR(IF(VLOOKUP(calendar[[#This Row],[Date]],BH!G:G,1,)&lt;&gt;"",1,0),0)</f>
        <v>0</v>
      </c>
      <c r="P1415">
        <f>IF(OR(calendar[[#This Row],[UK_BH]]=1,calendar[[#This Row],[WeekDay]]=1, calendar[[#This Row],[WeekDay]]=7),P1414,P1414+1)</f>
        <v>1010</v>
      </c>
      <c r="Q1415">
        <f>IF(OR(calendar[[#This Row],[FR_BH]]=1,calendar[[#This Row],[WeekDay]]=1, calendar[[#This Row],[WeekDay]]=7),P1414,P1414+1)</f>
        <v>1010</v>
      </c>
      <c r="R1415">
        <f>IF(OR(calendar[[#This Row],[SP_BH]]=1,calendar[[#This Row],[WeekDay]]=1, calendar[[#This Row],[WeekDay]]=7),P1414,P1414+1)</f>
        <v>1010</v>
      </c>
      <c r="S1415">
        <f>IF(OR(calendar[[#This Row],[PT_BH]]=1,calendar[[#This Row],[WeekDay]]=1, calendar[[#This Row],[WeekDay]]=7),P1414,P1414+1)</f>
        <v>1010</v>
      </c>
    </row>
    <row r="1416" spans="1:19" x14ac:dyDescent="0.25">
      <c r="A1416" s="2">
        <v>44150</v>
      </c>
      <c r="B1416" s="1">
        <f t="shared" si="113"/>
        <v>47</v>
      </c>
      <c r="C1416">
        <f t="shared" si="110"/>
        <v>11</v>
      </c>
      <c r="D1416" t="str">
        <f t="shared" si="111"/>
        <v>November</v>
      </c>
      <c r="E1416">
        <f t="shared" si="112"/>
        <v>2020</v>
      </c>
      <c r="F1416" t="str">
        <f>CONCATENATE(calendar[[#This Row],[Month]],"/",calendar[[#This Row],[Year]])</f>
        <v>11/2020</v>
      </c>
      <c r="G1416">
        <f>WEEKDAY(calendar[[#This Row],[Date]],1)</f>
        <v>1</v>
      </c>
      <c r="H1416" t="str">
        <f>TEXT(calendar[[#This Row],[WeekDay]],"dddd")</f>
        <v>Sunday</v>
      </c>
      <c r="I1416">
        <f>IF((INT(calendar[[#This Row],[Count]]/7)-calendar[[#This Row],[Count]]/7)&lt;0,I1415,I1415+1)</f>
        <v>203</v>
      </c>
      <c r="J1416">
        <f t="shared" si="114"/>
        <v>1414</v>
      </c>
      <c r="K1416">
        <f>IF(calendar[[#This Row],[Month]]&lt;4,1,IF(calendar[[#This Row],[Month]]&lt;7,2,IF(calendar[[#This Row],[Month]]&lt;10,3,4)))</f>
        <v>4</v>
      </c>
      <c r="L1416">
        <f>IFERROR(IF(VLOOKUP(calendar[[#This Row],[Date]],BH!A:A,1,)&lt;&gt;"",1,0),0)</f>
        <v>0</v>
      </c>
      <c r="M1416">
        <f>IFERROR(IF(VLOOKUP(calendar[[#This Row],[Date]],BH!C:C,1,)&lt;&gt;"",1,0),0)</f>
        <v>0</v>
      </c>
      <c r="N1416">
        <f>IFERROR(IF(VLOOKUP(calendar[[#This Row],[Date]],BH!E:E,1,)&lt;&gt;"",1,0),0)</f>
        <v>0</v>
      </c>
      <c r="O1416">
        <f>IFERROR(IF(VLOOKUP(calendar[[#This Row],[Date]],BH!G:G,1,)&lt;&gt;"",1,0),0)</f>
        <v>0</v>
      </c>
      <c r="P1416">
        <f>IF(OR(calendar[[#This Row],[UK_BH]]=1,calendar[[#This Row],[WeekDay]]=1, calendar[[#This Row],[WeekDay]]=7),P1415,P1415+1)</f>
        <v>1010</v>
      </c>
      <c r="Q1416">
        <f>IF(OR(calendar[[#This Row],[FR_BH]]=1,calendar[[#This Row],[WeekDay]]=1, calendar[[#This Row],[WeekDay]]=7),P1415,P1415+1)</f>
        <v>1010</v>
      </c>
      <c r="R1416">
        <f>IF(OR(calendar[[#This Row],[SP_BH]]=1,calendar[[#This Row],[WeekDay]]=1, calendar[[#This Row],[WeekDay]]=7),P1415,P1415+1)</f>
        <v>1010</v>
      </c>
      <c r="S1416">
        <f>IF(OR(calendar[[#This Row],[PT_BH]]=1,calendar[[#This Row],[WeekDay]]=1, calendar[[#This Row],[WeekDay]]=7),P1415,P1415+1)</f>
        <v>1010</v>
      </c>
    </row>
    <row r="1417" spans="1:19" x14ac:dyDescent="0.25">
      <c r="A1417" s="2">
        <v>44151</v>
      </c>
      <c r="B1417" s="1">
        <f t="shared" si="113"/>
        <v>47</v>
      </c>
      <c r="C1417">
        <f t="shared" si="110"/>
        <v>11</v>
      </c>
      <c r="D1417" t="str">
        <f t="shared" si="111"/>
        <v>November</v>
      </c>
      <c r="E1417">
        <f t="shared" si="112"/>
        <v>2020</v>
      </c>
      <c r="F1417" t="str">
        <f>CONCATENATE(calendar[[#This Row],[Month]],"/",calendar[[#This Row],[Year]])</f>
        <v>11/2020</v>
      </c>
      <c r="G1417">
        <f>WEEKDAY(calendar[[#This Row],[Date]],1)</f>
        <v>2</v>
      </c>
      <c r="H1417" t="str">
        <f>TEXT(calendar[[#This Row],[WeekDay]],"dddd")</f>
        <v>Monday</v>
      </c>
      <c r="I1417">
        <f>IF((INT(calendar[[#This Row],[Count]]/7)-calendar[[#This Row],[Count]]/7)&lt;0,I1416,I1416+1)</f>
        <v>203</v>
      </c>
      <c r="J1417">
        <f t="shared" si="114"/>
        <v>1415</v>
      </c>
      <c r="K1417">
        <f>IF(calendar[[#This Row],[Month]]&lt;4,1,IF(calendar[[#This Row],[Month]]&lt;7,2,IF(calendar[[#This Row],[Month]]&lt;10,3,4)))</f>
        <v>4</v>
      </c>
      <c r="L1417">
        <f>IFERROR(IF(VLOOKUP(calendar[[#This Row],[Date]],BH!A:A,1,)&lt;&gt;"",1,0),0)</f>
        <v>0</v>
      </c>
      <c r="M1417">
        <f>IFERROR(IF(VLOOKUP(calendar[[#This Row],[Date]],BH!C:C,1,)&lt;&gt;"",1,0),0)</f>
        <v>0</v>
      </c>
      <c r="N1417">
        <f>IFERROR(IF(VLOOKUP(calendar[[#This Row],[Date]],BH!E:E,1,)&lt;&gt;"",1,0),0)</f>
        <v>0</v>
      </c>
      <c r="O1417">
        <f>IFERROR(IF(VLOOKUP(calendar[[#This Row],[Date]],BH!G:G,1,)&lt;&gt;"",1,0),0)</f>
        <v>0</v>
      </c>
      <c r="P1417">
        <f>IF(OR(calendar[[#This Row],[UK_BH]]=1,calendar[[#This Row],[WeekDay]]=1, calendar[[#This Row],[WeekDay]]=7),P1416,P1416+1)</f>
        <v>1011</v>
      </c>
      <c r="Q1417">
        <f>IF(OR(calendar[[#This Row],[FR_BH]]=1,calendar[[#This Row],[WeekDay]]=1, calendar[[#This Row],[WeekDay]]=7),P1416,P1416+1)</f>
        <v>1011</v>
      </c>
      <c r="R1417">
        <f>IF(OR(calendar[[#This Row],[SP_BH]]=1,calendar[[#This Row],[WeekDay]]=1, calendar[[#This Row],[WeekDay]]=7),P1416,P1416+1)</f>
        <v>1011</v>
      </c>
      <c r="S1417">
        <f>IF(OR(calendar[[#This Row],[PT_BH]]=1,calendar[[#This Row],[WeekDay]]=1, calendar[[#This Row],[WeekDay]]=7),P1416,P1416+1)</f>
        <v>1011</v>
      </c>
    </row>
    <row r="1418" spans="1:19" x14ac:dyDescent="0.25">
      <c r="A1418" s="2">
        <v>44152</v>
      </c>
      <c r="B1418" s="1">
        <f t="shared" si="113"/>
        <v>47</v>
      </c>
      <c r="C1418">
        <f t="shared" si="110"/>
        <v>11</v>
      </c>
      <c r="D1418" t="str">
        <f t="shared" si="111"/>
        <v>November</v>
      </c>
      <c r="E1418">
        <f t="shared" si="112"/>
        <v>2020</v>
      </c>
      <c r="F1418" t="str">
        <f>CONCATENATE(calendar[[#This Row],[Month]],"/",calendar[[#This Row],[Year]])</f>
        <v>11/2020</v>
      </c>
      <c r="G1418">
        <f>WEEKDAY(calendar[[#This Row],[Date]],1)</f>
        <v>3</v>
      </c>
      <c r="H1418" t="str">
        <f>TEXT(calendar[[#This Row],[WeekDay]],"dddd")</f>
        <v>Tuesday</v>
      </c>
      <c r="I1418">
        <f>IF((INT(calendar[[#This Row],[Count]]/7)-calendar[[#This Row],[Count]]/7)&lt;0,I1417,I1417+1)</f>
        <v>203</v>
      </c>
      <c r="J1418">
        <f t="shared" si="114"/>
        <v>1416</v>
      </c>
      <c r="K1418">
        <f>IF(calendar[[#This Row],[Month]]&lt;4,1,IF(calendar[[#This Row],[Month]]&lt;7,2,IF(calendar[[#This Row],[Month]]&lt;10,3,4)))</f>
        <v>4</v>
      </c>
      <c r="L1418">
        <f>IFERROR(IF(VLOOKUP(calendar[[#This Row],[Date]],BH!A:A,1,)&lt;&gt;"",1,0),0)</f>
        <v>0</v>
      </c>
      <c r="M1418">
        <f>IFERROR(IF(VLOOKUP(calendar[[#This Row],[Date]],BH!C:C,1,)&lt;&gt;"",1,0),0)</f>
        <v>0</v>
      </c>
      <c r="N1418">
        <f>IFERROR(IF(VLOOKUP(calendar[[#This Row],[Date]],BH!E:E,1,)&lt;&gt;"",1,0),0)</f>
        <v>0</v>
      </c>
      <c r="O1418">
        <f>IFERROR(IF(VLOOKUP(calendar[[#This Row],[Date]],BH!G:G,1,)&lt;&gt;"",1,0),0)</f>
        <v>0</v>
      </c>
      <c r="P1418">
        <f>IF(OR(calendar[[#This Row],[UK_BH]]=1,calendar[[#This Row],[WeekDay]]=1, calendar[[#This Row],[WeekDay]]=7),P1417,P1417+1)</f>
        <v>1012</v>
      </c>
      <c r="Q1418">
        <f>IF(OR(calendar[[#This Row],[FR_BH]]=1,calendar[[#This Row],[WeekDay]]=1, calendar[[#This Row],[WeekDay]]=7),P1417,P1417+1)</f>
        <v>1012</v>
      </c>
      <c r="R1418">
        <f>IF(OR(calendar[[#This Row],[SP_BH]]=1,calendar[[#This Row],[WeekDay]]=1, calendar[[#This Row],[WeekDay]]=7),P1417,P1417+1)</f>
        <v>1012</v>
      </c>
      <c r="S1418">
        <f>IF(OR(calendar[[#This Row],[PT_BH]]=1,calendar[[#This Row],[WeekDay]]=1, calendar[[#This Row],[WeekDay]]=7),P1417,P1417+1)</f>
        <v>1012</v>
      </c>
    </row>
    <row r="1419" spans="1:19" x14ac:dyDescent="0.25">
      <c r="A1419" s="2">
        <v>44153</v>
      </c>
      <c r="B1419" s="1">
        <f t="shared" si="113"/>
        <v>47</v>
      </c>
      <c r="C1419">
        <f t="shared" si="110"/>
        <v>11</v>
      </c>
      <c r="D1419" t="str">
        <f t="shared" si="111"/>
        <v>November</v>
      </c>
      <c r="E1419">
        <f t="shared" si="112"/>
        <v>2020</v>
      </c>
      <c r="F1419" t="str">
        <f>CONCATENATE(calendar[[#This Row],[Month]],"/",calendar[[#This Row],[Year]])</f>
        <v>11/2020</v>
      </c>
      <c r="G1419">
        <f>WEEKDAY(calendar[[#This Row],[Date]],1)</f>
        <v>4</v>
      </c>
      <c r="H1419" t="str">
        <f>TEXT(calendar[[#This Row],[WeekDay]],"dddd")</f>
        <v>Wednesday</v>
      </c>
      <c r="I1419">
        <f>IF((INT(calendar[[#This Row],[Count]]/7)-calendar[[#This Row],[Count]]/7)&lt;0,I1418,I1418+1)</f>
        <v>203</v>
      </c>
      <c r="J1419">
        <f t="shared" si="114"/>
        <v>1417</v>
      </c>
      <c r="K1419">
        <f>IF(calendar[[#This Row],[Month]]&lt;4,1,IF(calendar[[#This Row],[Month]]&lt;7,2,IF(calendar[[#This Row],[Month]]&lt;10,3,4)))</f>
        <v>4</v>
      </c>
      <c r="L1419">
        <f>IFERROR(IF(VLOOKUP(calendar[[#This Row],[Date]],BH!A:A,1,)&lt;&gt;"",1,0),0)</f>
        <v>0</v>
      </c>
      <c r="M1419">
        <f>IFERROR(IF(VLOOKUP(calendar[[#This Row],[Date]],BH!C:C,1,)&lt;&gt;"",1,0),0)</f>
        <v>0</v>
      </c>
      <c r="N1419">
        <f>IFERROR(IF(VLOOKUP(calendar[[#This Row],[Date]],BH!E:E,1,)&lt;&gt;"",1,0),0)</f>
        <v>0</v>
      </c>
      <c r="O1419">
        <f>IFERROR(IF(VLOOKUP(calendar[[#This Row],[Date]],BH!G:G,1,)&lt;&gt;"",1,0),0)</f>
        <v>0</v>
      </c>
      <c r="P1419">
        <f>IF(OR(calendar[[#This Row],[UK_BH]]=1,calendar[[#This Row],[WeekDay]]=1, calendar[[#This Row],[WeekDay]]=7),P1418,P1418+1)</f>
        <v>1013</v>
      </c>
      <c r="Q1419">
        <f>IF(OR(calendar[[#This Row],[FR_BH]]=1,calendar[[#This Row],[WeekDay]]=1, calendar[[#This Row],[WeekDay]]=7),P1418,P1418+1)</f>
        <v>1013</v>
      </c>
      <c r="R1419">
        <f>IF(OR(calendar[[#This Row],[SP_BH]]=1,calendar[[#This Row],[WeekDay]]=1, calendar[[#This Row],[WeekDay]]=7),P1418,P1418+1)</f>
        <v>1013</v>
      </c>
      <c r="S1419">
        <f>IF(OR(calendar[[#This Row],[PT_BH]]=1,calendar[[#This Row],[WeekDay]]=1, calendar[[#This Row],[WeekDay]]=7),P1418,P1418+1)</f>
        <v>1013</v>
      </c>
    </row>
    <row r="1420" spans="1:19" x14ac:dyDescent="0.25">
      <c r="A1420" s="2">
        <v>44154</v>
      </c>
      <c r="B1420" s="1">
        <f t="shared" si="113"/>
        <v>47</v>
      </c>
      <c r="C1420">
        <f t="shared" si="110"/>
        <v>11</v>
      </c>
      <c r="D1420" t="str">
        <f t="shared" si="111"/>
        <v>November</v>
      </c>
      <c r="E1420">
        <f t="shared" si="112"/>
        <v>2020</v>
      </c>
      <c r="F1420" t="str">
        <f>CONCATENATE(calendar[[#This Row],[Month]],"/",calendar[[#This Row],[Year]])</f>
        <v>11/2020</v>
      </c>
      <c r="G1420">
        <f>WEEKDAY(calendar[[#This Row],[Date]],1)</f>
        <v>5</v>
      </c>
      <c r="H1420" t="str">
        <f>TEXT(calendar[[#This Row],[WeekDay]],"dddd")</f>
        <v>Thursday</v>
      </c>
      <c r="I1420">
        <f>IF((INT(calendar[[#This Row],[Count]]/7)-calendar[[#This Row],[Count]]/7)&lt;0,I1419,I1419+1)</f>
        <v>203</v>
      </c>
      <c r="J1420">
        <f t="shared" si="114"/>
        <v>1418</v>
      </c>
      <c r="K1420">
        <f>IF(calendar[[#This Row],[Month]]&lt;4,1,IF(calendar[[#This Row],[Month]]&lt;7,2,IF(calendar[[#This Row],[Month]]&lt;10,3,4)))</f>
        <v>4</v>
      </c>
      <c r="L1420">
        <f>IFERROR(IF(VLOOKUP(calendar[[#This Row],[Date]],BH!A:A,1,)&lt;&gt;"",1,0),0)</f>
        <v>0</v>
      </c>
      <c r="M1420">
        <f>IFERROR(IF(VLOOKUP(calendar[[#This Row],[Date]],BH!C:C,1,)&lt;&gt;"",1,0),0)</f>
        <v>0</v>
      </c>
      <c r="N1420">
        <f>IFERROR(IF(VLOOKUP(calendar[[#This Row],[Date]],BH!E:E,1,)&lt;&gt;"",1,0),0)</f>
        <v>0</v>
      </c>
      <c r="O1420">
        <f>IFERROR(IF(VLOOKUP(calendar[[#This Row],[Date]],BH!G:G,1,)&lt;&gt;"",1,0),0)</f>
        <v>0</v>
      </c>
      <c r="P1420">
        <f>IF(OR(calendar[[#This Row],[UK_BH]]=1,calendar[[#This Row],[WeekDay]]=1, calendar[[#This Row],[WeekDay]]=7),P1419,P1419+1)</f>
        <v>1014</v>
      </c>
      <c r="Q1420">
        <f>IF(OR(calendar[[#This Row],[FR_BH]]=1,calendar[[#This Row],[WeekDay]]=1, calendar[[#This Row],[WeekDay]]=7),P1419,P1419+1)</f>
        <v>1014</v>
      </c>
      <c r="R1420">
        <f>IF(OR(calendar[[#This Row],[SP_BH]]=1,calendar[[#This Row],[WeekDay]]=1, calendar[[#This Row],[WeekDay]]=7),P1419,P1419+1)</f>
        <v>1014</v>
      </c>
      <c r="S1420">
        <f>IF(OR(calendar[[#This Row],[PT_BH]]=1,calendar[[#This Row],[WeekDay]]=1, calendar[[#This Row],[WeekDay]]=7),P1419,P1419+1)</f>
        <v>1014</v>
      </c>
    </row>
    <row r="1421" spans="1:19" x14ac:dyDescent="0.25">
      <c r="A1421" s="2">
        <v>44155</v>
      </c>
      <c r="B1421" s="1">
        <f t="shared" si="113"/>
        <v>47</v>
      </c>
      <c r="C1421">
        <f t="shared" si="110"/>
        <v>11</v>
      </c>
      <c r="D1421" t="str">
        <f t="shared" si="111"/>
        <v>November</v>
      </c>
      <c r="E1421">
        <f t="shared" si="112"/>
        <v>2020</v>
      </c>
      <c r="F1421" t="str">
        <f>CONCATENATE(calendar[[#This Row],[Month]],"/",calendar[[#This Row],[Year]])</f>
        <v>11/2020</v>
      </c>
      <c r="G1421">
        <f>WEEKDAY(calendar[[#This Row],[Date]],1)</f>
        <v>6</v>
      </c>
      <c r="H1421" t="str">
        <f>TEXT(calendar[[#This Row],[WeekDay]],"dddd")</f>
        <v>Friday</v>
      </c>
      <c r="I1421">
        <f>IF((INT(calendar[[#This Row],[Count]]/7)-calendar[[#This Row],[Count]]/7)&lt;0,I1420,I1420+1)</f>
        <v>203</v>
      </c>
      <c r="J1421">
        <f t="shared" si="114"/>
        <v>1419</v>
      </c>
      <c r="K1421">
        <f>IF(calendar[[#This Row],[Month]]&lt;4,1,IF(calendar[[#This Row],[Month]]&lt;7,2,IF(calendar[[#This Row],[Month]]&lt;10,3,4)))</f>
        <v>4</v>
      </c>
      <c r="L1421">
        <f>IFERROR(IF(VLOOKUP(calendar[[#This Row],[Date]],BH!A:A,1,)&lt;&gt;"",1,0),0)</f>
        <v>0</v>
      </c>
      <c r="M1421">
        <f>IFERROR(IF(VLOOKUP(calendar[[#This Row],[Date]],BH!C:C,1,)&lt;&gt;"",1,0),0)</f>
        <v>0</v>
      </c>
      <c r="N1421">
        <f>IFERROR(IF(VLOOKUP(calendar[[#This Row],[Date]],BH!E:E,1,)&lt;&gt;"",1,0),0)</f>
        <v>0</v>
      </c>
      <c r="O1421">
        <f>IFERROR(IF(VLOOKUP(calendar[[#This Row],[Date]],BH!G:G,1,)&lt;&gt;"",1,0),0)</f>
        <v>0</v>
      </c>
      <c r="P1421">
        <f>IF(OR(calendar[[#This Row],[UK_BH]]=1,calendar[[#This Row],[WeekDay]]=1, calendar[[#This Row],[WeekDay]]=7),P1420,P1420+1)</f>
        <v>1015</v>
      </c>
      <c r="Q1421">
        <f>IF(OR(calendar[[#This Row],[FR_BH]]=1,calendar[[#This Row],[WeekDay]]=1, calendar[[#This Row],[WeekDay]]=7),P1420,P1420+1)</f>
        <v>1015</v>
      </c>
      <c r="R1421">
        <f>IF(OR(calendar[[#This Row],[SP_BH]]=1,calendar[[#This Row],[WeekDay]]=1, calendar[[#This Row],[WeekDay]]=7),P1420,P1420+1)</f>
        <v>1015</v>
      </c>
      <c r="S1421">
        <f>IF(OR(calendar[[#This Row],[PT_BH]]=1,calendar[[#This Row],[WeekDay]]=1, calendar[[#This Row],[WeekDay]]=7),P1420,P1420+1)</f>
        <v>1015</v>
      </c>
    </row>
    <row r="1422" spans="1:19" x14ac:dyDescent="0.25">
      <c r="A1422" s="2">
        <v>44156</v>
      </c>
      <c r="B1422" s="1">
        <f t="shared" si="113"/>
        <v>47</v>
      </c>
      <c r="C1422">
        <f t="shared" si="110"/>
        <v>11</v>
      </c>
      <c r="D1422" t="str">
        <f t="shared" si="111"/>
        <v>November</v>
      </c>
      <c r="E1422">
        <f t="shared" si="112"/>
        <v>2020</v>
      </c>
      <c r="F1422" t="str">
        <f>CONCATENATE(calendar[[#This Row],[Month]],"/",calendar[[#This Row],[Year]])</f>
        <v>11/2020</v>
      </c>
      <c r="G1422">
        <f>WEEKDAY(calendar[[#This Row],[Date]],1)</f>
        <v>7</v>
      </c>
      <c r="H1422" t="str">
        <f>TEXT(calendar[[#This Row],[WeekDay]],"dddd")</f>
        <v>Saturday</v>
      </c>
      <c r="I1422">
        <f>IF((INT(calendar[[#This Row],[Count]]/7)-calendar[[#This Row],[Count]]/7)&lt;0,I1421,I1421+1)</f>
        <v>203</v>
      </c>
      <c r="J1422">
        <f t="shared" si="114"/>
        <v>1420</v>
      </c>
      <c r="K1422">
        <f>IF(calendar[[#This Row],[Month]]&lt;4,1,IF(calendar[[#This Row],[Month]]&lt;7,2,IF(calendar[[#This Row],[Month]]&lt;10,3,4)))</f>
        <v>4</v>
      </c>
      <c r="L1422">
        <f>IFERROR(IF(VLOOKUP(calendar[[#This Row],[Date]],BH!A:A,1,)&lt;&gt;"",1,0),0)</f>
        <v>0</v>
      </c>
      <c r="M1422">
        <f>IFERROR(IF(VLOOKUP(calendar[[#This Row],[Date]],BH!C:C,1,)&lt;&gt;"",1,0),0)</f>
        <v>0</v>
      </c>
      <c r="N1422">
        <f>IFERROR(IF(VLOOKUP(calendar[[#This Row],[Date]],BH!E:E,1,)&lt;&gt;"",1,0),0)</f>
        <v>0</v>
      </c>
      <c r="O1422">
        <f>IFERROR(IF(VLOOKUP(calendar[[#This Row],[Date]],BH!G:G,1,)&lt;&gt;"",1,0),0)</f>
        <v>0</v>
      </c>
      <c r="P1422">
        <f>IF(OR(calendar[[#This Row],[UK_BH]]=1,calendar[[#This Row],[WeekDay]]=1, calendar[[#This Row],[WeekDay]]=7),P1421,P1421+1)</f>
        <v>1015</v>
      </c>
      <c r="Q1422">
        <f>IF(OR(calendar[[#This Row],[FR_BH]]=1,calendar[[#This Row],[WeekDay]]=1, calendar[[#This Row],[WeekDay]]=7),P1421,P1421+1)</f>
        <v>1015</v>
      </c>
      <c r="R1422">
        <f>IF(OR(calendar[[#This Row],[SP_BH]]=1,calendar[[#This Row],[WeekDay]]=1, calendar[[#This Row],[WeekDay]]=7),P1421,P1421+1)</f>
        <v>1015</v>
      </c>
      <c r="S1422">
        <f>IF(OR(calendar[[#This Row],[PT_BH]]=1,calendar[[#This Row],[WeekDay]]=1, calendar[[#This Row],[WeekDay]]=7),P1421,P1421+1)</f>
        <v>1015</v>
      </c>
    </row>
    <row r="1423" spans="1:19" x14ac:dyDescent="0.25">
      <c r="A1423" s="2">
        <v>44157</v>
      </c>
      <c r="B1423" s="1">
        <f t="shared" si="113"/>
        <v>48</v>
      </c>
      <c r="C1423">
        <f t="shared" si="110"/>
        <v>11</v>
      </c>
      <c r="D1423" t="str">
        <f t="shared" si="111"/>
        <v>November</v>
      </c>
      <c r="E1423">
        <f t="shared" si="112"/>
        <v>2020</v>
      </c>
      <c r="F1423" t="str">
        <f>CONCATENATE(calendar[[#This Row],[Month]],"/",calendar[[#This Row],[Year]])</f>
        <v>11/2020</v>
      </c>
      <c r="G1423">
        <f>WEEKDAY(calendar[[#This Row],[Date]],1)</f>
        <v>1</v>
      </c>
      <c r="H1423" t="str">
        <f>TEXT(calendar[[#This Row],[WeekDay]],"dddd")</f>
        <v>Sunday</v>
      </c>
      <c r="I1423">
        <f>IF((INT(calendar[[#This Row],[Count]]/7)-calendar[[#This Row],[Count]]/7)&lt;0,I1422,I1422+1)</f>
        <v>204</v>
      </c>
      <c r="J1423">
        <f t="shared" si="114"/>
        <v>1421</v>
      </c>
      <c r="K1423">
        <f>IF(calendar[[#This Row],[Month]]&lt;4,1,IF(calendar[[#This Row],[Month]]&lt;7,2,IF(calendar[[#This Row],[Month]]&lt;10,3,4)))</f>
        <v>4</v>
      </c>
      <c r="L1423">
        <f>IFERROR(IF(VLOOKUP(calendar[[#This Row],[Date]],BH!A:A,1,)&lt;&gt;"",1,0),0)</f>
        <v>0</v>
      </c>
      <c r="M1423">
        <f>IFERROR(IF(VLOOKUP(calendar[[#This Row],[Date]],BH!C:C,1,)&lt;&gt;"",1,0),0)</f>
        <v>0</v>
      </c>
      <c r="N1423">
        <f>IFERROR(IF(VLOOKUP(calendar[[#This Row],[Date]],BH!E:E,1,)&lt;&gt;"",1,0),0)</f>
        <v>0</v>
      </c>
      <c r="O1423">
        <f>IFERROR(IF(VLOOKUP(calendar[[#This Row],[Date]],BH!G:G,1,)&lt;&gt;"",1,0),0)</f>
        <v>0</v>
      </c>
      <c r="P1423">
        <f>IF(OR(calendar[[#This Row],[UK_BH]]=1,calendar[[#This Row],[WeekDay]]=1, calendar[[#This Row],[WeekDay]]=7),P1422,P1422+1)</f>
        <v>1015</v>
      </c>
      <c r="Q1423">
        <f>IF(OR(calendar[[#This Row],[FR_BH]]=1,calendar[[#This Row],[WeekDay]]=1, calendar[[#This Row],[WeekDay]]=7),P1422,P1422+1)</f>
        <v>1015</v>
      </c>
      <c r="R1423">
        <f>IF(OR(calendar[[#This Row],[SP_BH]]=1,calendar[[#This Row],[WeekDay]]=1, calendar[[#This Row],[WeekDay]]=7),P1422,P1422+1)</f>
        <v>1015</v>
      </c>
      <c r="S1423">
        <f>IF(OR(calendar[[#This Row],[PT_BH]]=1,calendar[[#This Row],[WeekDay]]=1, calendar[[#This Row],[WeekDay]]=7),P1422,P1422+1)</f>
        <v>1015</v>
      </c>
    </row>
    <row r="1424" spans="1:19" x14ac:dyDescent="0.25">
      <c r="A1424" s="2">
        <v>44158</v>
      </c>
      <c r="B1424" s="1">
        <f t="shared" si="113"/>
        <v>48</v>
      </c>
      <c r="C1424">
        <f t="shared" ref="C1424:C1487" si="115">MONTH(A1424)</f>
        <v>11</v>
      </c>
      <c r="D1424" t="str">
        <f t="shared" ref="D1424:D1487" si="116">TEXT(A1424,"mmmm")</f>
        <v>November</v>
      </c>
      <c r="E1424">
        <f t="shared" ref="E1424:E1487" si="117">YEAR(A1424)</f>
        <v>2020</v>
      </c>
      <c r="F1424" t="str">
        <f>CONCATENATE(calendar[[#This Row],[Month]],"/",calendar[[#This Row],[Year]])</f>
        <v>11/2020</v>
      </c>
      <c r="G1424">
        <f>WEEKDAY(calendar[[#This Row],[Date]],1)</f>
        <v>2</v>
      </c>
      <c r="H1424" t="str">
        <f>TEXT(calendar[[#This Row],[WeekDay]],"dddd")</f>
        <v>Monday</v>
      </c>
      <c r="I1424">
        <f>IF((INT(calendar[[#This Row],[Count]]/7)-calendar[[#This Row],[Count]]/7)&lt;0,I1423,I1423+1)</f>
        <v>204</v>
      </c>
      <c r="J1424">
        <f t="shared" si="114"/>
        <v>1422</v>
      </c>
      <c r="K1424">
        <f>IF(calendar[[#This Row],[Month]]&lt;4,1,IF(calendar[[#This Row],[Month]]&lt;7,2,IF(calendar[[#This Row],[Month]]&lt;10,3,4)))</f>
        <v>4</v>
      </c>
      <c r="L1424">
        <f>IFERROR(IF(VLOOKUP(calendar[[#This Row],[Date]],BH!A:A,1,)&lt;&gt;"",1,0),0)</f>
        <v>0</v>
      </c>
      <c r="M1424">
        <f>IFERROR(IF(VLOOKUP(calendar[[#This Row],[Date]],BH!C:C,1,)&lt;&gt;"",1,0),0)</f>
        <v>0</v>
      </c>
      <c r="N1424">
        <f>IFERROR(IF(VLOOKUP(calendar[[#This Row],[Date]],BH!E:E,1,)&lt;&gt;"",1,0),0)</f>
        <v>0</v>
      </c>
      <c r="O1424">
        <f>IFERROR(IF(VLOOKUP(calendar[[#This Row],[Date]],BH!G:G,1,)&lt;&gt;"",1,0),0)</f>
        <v>0</v>
      </c>
      <c r="P1424">
        <f>IF(OR(calendar[[#This Row],[UK_BH]]=1,calendar[[#This Row],[WeekDay]]=1, calendar[[#This Row],[WeekDay]]=7),P1423,P1423+1)</f>
        <v>1016</v>
      </c>
      <c r="Q1424">
        <f>IF(OR(calendar[[#This Row],[FR_BH]]=1,calendar[[#This Row],[WeekDay]]=1, calendar[[#This Row],[WeekDay]]=7),P1423,P1423+1)</f>
        <v>1016</v>
      </c>
      <c r="R1424">
        <f>IF(OR(calendar[[#This Row],[SP_BH]]=1,calendar[[#This Row],[WeekDay]]=1, calendar[[#This Row],[WeekDay]]=7),P1423,P1423+1)</f>
        <v>1016</v>
      </c>
      <c r="S1424">
        <f>IF(OR(calendar[[#This Row],[PT_BH]]=1,calendar[[#This Row],[WeekDay]]=1, calendar[[#This Row],[WeekDay]]=7),P1423,P1423+1)</f>
        <v>1016</v>
      </c>
    </row>
    <row r="1425" spans="1:19" x14ac:dyDescent="0.25">
      <c r="A1425" s="2">
        <v>44159</v>
      </c>
      <c r="B1425" s="1">
        <f t="shared" si="113"/>
        <v>48</v>
      </c>
      <c r="C1425">
        <f t="shared" si="115"/>
        <v>11</v>
      </c>
      <c r="D1425" t="str">
        <f t="shared" si="116"/>
        <v>November</v>
      </c>
      <c r="E1425">
        <f t="shared" si="117"/>
        <v>2020</v>
      </c>
      <c r="F1425" t="str">
        <f>CONCATENATE(calendar[[#This Row],[Month]],"/",calendar[[#This Row],[Year]])</f>
        <v>11/2020</v>
      </c>
      <c r="G1425">
        <f>WEEKDAY(calendar[[#This Row],[Date]],1)</f>
        <v>3</v>
      </c>
      <c r="H1425" t="str">
        <f>TEXT(calendar[[#This Row],[WeekDay]],"dddd")</f>
        <v>Tuesday</v>
      </c>
      <c r="I1425">
        <f>IF((INT(calendar[[#This Row],[Count]]/7)-calendar[[#This Row],[Count]]/7)&lt;0,I1424,I1424+1)</f>
        <v>204</v>
      </c>
      <c r="J1425">
        <f t="shared" si="114"/>
        <v>1423</v>
      </c>
      <c r="K1425">
        <f>IF(calendar[[#This Row],[Month]]&lt;4,1,IF(calendar[[#This Row],[Month]]&lt;7,2,IF(calendar[[#This Row],[Month]]&lt;10,3,4)))</f>
        <v>4</v>
      </c>
      <c r="L1425">
        <f>IFERROR(IF(VLOOKUP(calendar[[#This Row],[Date]],BH!A:A,1,)&lt;&gt;"",1,0),0)</f>
        <v>0</v>
      </c>
      <c r="M1425">
        <f>IFERROR(IF(VLOOKUP(calendar[[#This Row],[Date]],BH!C:C,1,)&lt;&gt;"",1,0),0)</f>
        <v>0</v>
      </c>
      <c r="N1425">
        <f>IFERROR(IF(VLOOKUP(calendar[[#This Row],[Date]],BH!E:E,1,)&lt;&gt;"",1,0),0)</f>
        <v>0</v>
      </c>
      <c r="O1425">
        <f>IFERROR(IF(VLOOKUP(calendar[[#This Row],[Date]],BH!G:G,1,)&lt;&gt;"",1,0),0)</f>
        <v>0</v>
      </c>
      <c r="P1425">
        <f>IF(OR(calendar[[#This Row],[UK_BH]]=1,calendar[[#This Row],[WeekDay]]=1, calendar[[#This Row],[WeekDay]]=7),P1424,P1424+1)</f>
        <v>1017</v>
      </c>
      <c r="Q1425">
        <f>IF(OR(calendar[[#This Row],[FR_BH]]=1,calendar[[#This Row],[WeekDay]]=1, calendar[[#This Row],[WeekDay]]=7),P1424,P1424+1)</f>
        <v>1017</v>
      </c>
      <c r="R1425">
        <f>IF(OR(calendar[[#This Row],[SP_BH]]=1,calendar[[#This Row],[WeekDay]]=1, calendar[[#This Row],[WeekDay]]=7),P1424,P1424+1)</f>
        <v>1017</v>
      </c>
      <c r="S1425">
        <f>IF(OR(calendar[[#This Row],[PT_BH]]=1,calendar[[#This Row],[WeekDay]]=1, calendar[[#This Row],[WeekDay]]=7),P1424,P1424+1)</f>
        <v>1017</v>
      </c>
    </row>
    <row r="1426" spans="1:19" x14ac:dyDescent="0.25">
      <c r="A1426" s="2">
        <v>44160</v>
      </c>
      <c r="B1426" s="1">
        <f t="shared" si="113"/>
        <v>48</v>
      </c>
      <c r="C1426">
        <f t="shared" si="115"/>
        <v>11</v>
      </c>
      <c r="D1426" t="str">
        <f t="shared" si="116"/>
        <v>November</v>
      </c>
      <c r="E1426">
        <f t="shared" si="117"/>
        <v>2020</v>
      </c>
      <c r="F1426" t="str">
        <f>CONCATENATE(calendar[[#This Row],[Month]],"/",calendar[[#This Row],[Year]])</f>
        <v>11/2020</v>
      </c>
      <c r="G1426">
        <f>WEEKDAY(calendar[[#This Row],[Date]],1)</f>
        <v>4</v>
      </c>
      <c r="H1426" t="str">
        <f>TEXT(calendar[[#This Row],[WeekDay]],"dddd")</f>
        <v>Wednesday</v>
      </c>
      <c r="I1426">
        <f>IF((INT(calendar[[#This Row],[Count]]/7)-calendar[[#This Row],[Count]]/7)&lt;0,I1425,I1425+1)</f>
        <v>204</v>
      </c>
      <c r="J1426">
        <f t="shared" si="114"/>
        <v>1424</v>
      </c>
      <c r="K1426">
        <f>IF(calendar[[#This Row],[Month]]&lt;4,1,IF(calendar[[#This Row],[Month]]&lt;7,2,IF(calendar[[#This Row],[Month]]&lt;10,3,4)))</f>
        <v>4</v>
      </c>
      <c r="L1426">
        <f>IFERROR(IF(VLOOKUP(calendar[[#This Row],[Date]],BH!A:A,1,)&lt;&gt;"",1,0),0)</f>
        <v>0</v>
      </c>
      <c r="M1426">
        <f>IFERROR(IF(VLOOKUP(calendar[[#This Row],[Date]],BH!C:C,1,)&lt;&gt;"",1,0),0)</f>
        <v>0</v>
      </c>
      <c r="N1426">
        <f>IFERROR(IF(VLOOKUP(calendar[[#This Row],[Date]],BH!E:E,1,)&lt;&gt;"",1,0),0)</f>
        <v>0</v>
      </c>
      <c r="O1426">
        <f>IFERROR(IF(VLOOKUP(calendar[[#This Row],[Date]],BH!G:G,1,)&lt;&gt;"",1,0),0)</f>
        <v>0</v>
      </c>
      <c r="P1426">
        <f>IF(OR(calendar[[#This Row],[UK_BH]]=1,calendar[[#This Row],[WeekDay]]=1, calendar[[#This Row],[WeekDay]]=7),P1425,P1425+1)</f>
        <v>1018</v>
      </c>
      <c r="Q1426">
        <f>IF(OR(calendar[[#This Row],[FR_BH]]=1,calendar[[#This Row],[WeekDay]]=1, calendar[[#This Row],[WeekDay]]=7),P1425,P1425+1)</f>
        <v>1018</v>
      </c>
      <c r="R1426">
        <f>IF(OR(calendar[[#This Row],[SP_BH]]=1,calendar[[#This Row],[WeekDay]]=1, calendar[[#This Row],[WeekDay]]=7),P1425,P1425+1)</f>
        <v>1018</v>
      </c>
      <c r="S1426">
        <f>IF(OR(calendar[[#This Row],[PT_BH]]=1,calendar[[#This Row],[WeekDay]]=1, calendar[[#This Row],[WeekDay]]=7),P1425,P1425+1)</f>
        <v>1018</v>
      </c>
    </row>
    <row r="1427" spans="1:19" x14ac:dyDescent="0.25">
      <c r="A1427" s="2">
        <v>44161</v>
      </c>
      <c r="B1427" s="1">
        <f t="shared" si="113"/>
        <v>48</v>
      </c>
      <c r="C1427">
        <f t="shared" si="115"/>
        <v>11</v>
      </c>
      <c r="D1427" t="str">
        <f t="shared" si="116"/>
        <v>November</v>
      </c>
      <c r="E1427">
        <f t="shared" si="117"/>
        <v>2020</v>
      </c>
      <c r="F1427" t="str">
        <f>CONCATENATE(calendar[[#This Row],[Month]],"/",calendar[[#This Row],[Year]])</f>
        <v>11/2020</v>
      </c>
      <c r="G1427">
        <f>WEEKDAY(calendar[[#This Row],[Date]],1)</f>
        <v>5</v>
      </c>
      <c r="H1427" t="str">
        <f>TEXT(calendar[[#This Row],[WeekDay]],"dddd")</f>
        <v>Thursday</v>
      </c>
      <c r="I1427">
        <f>IF((INT(calendar[[#This Row],[Count]]/7)-calendar[[#This Row],[Count]]/7)&lt;0,I1426,I1426+1)</f>
        <v>204</v>
      </c>
      <c r="J1427">
        <f t="shared" si="114"/>
        <v>1425</v>
      </c>
      <c r="K1427">
        <f>IF(calendar[[#This Row],[Month]]&lt;4,1,IF(calendar[[#This Row],[Month]]&lt;7,2,IF(calendar[[#This Row],[Month]]&lt;10,3,4)))</f>
        <v>4</v>
      </c>
      <c r="L1427">
        <f>IFERROR(IF(VLOOKUP(calendar[[#This Row],[Date]],BH!A:A,1,)&lt;&gt;"",1,0),0)</f>
        <v>0</v>
      </c>
      <c r="M1427">
        <f>IFERROR(IF(VLOOKUP(calendar[[#This Row],[Date]],BH!C:C,1,)&lt;&gt;"",1,0),0)</f>
        <v>0</v>
      </c>
      <c r="N1427">
        <f>IFERROR(IF(VLOOKUP(calendar[[#This Row],[Date]],BH!E:E,1,)&lt;&gt;"",1,0),0)</f>
        <v>0</v>
      </c>
      <c r="O1427">
        <f>IFERROR(IF(VLOOKUP(calendar[[#This Row],[Date]],BH!G:G,1,)&lt;&gt;"",1,0),0)</f>
        <v>0</v>
      </c>
      <c r="P1427">
        <f>IF(OR(calendar[[#This Row],[UK_BH]]=1,calendar[[#This Row],[WeekDay]]=1, calendar[[#This Row],[WeekDay]]=7),P1426,P1426+1)</f>
        <v>1019</v>
      </c>
      <c r="Q1427">
        <f>IF(OR(calendar[[#This Row],[FR_BH]]=1,calendar[[#This Row],[WeekDay]]=1, calendar[[#This Row],[WeekDay]]=7),P1426,P1426+1)</f>
        <v>1019</v>
      </c>
      <c r="R1427">
        <f>IF(OR(calendar[[#This Row],[SP_BH]]=1,calendar[[#This Row],[WeekDay]]=1, calendar[[#This Row],[WeekDay]]=7),P1426,P1426+1)</f>
        <v>1019</v>
      </c>
      <c r="S1427">
        <f>IF(OR(calendar[[#This Row],[PT_BH]]=1,calendar[[#This Row],[WeekDay]]=1, calendar[[#This Row],[WeekDay]]=7),P1426,P1426+1)</f>
        <v>1019</v>
      </c>
    </row>
    <row r="1428" spans="1:19" x14ac:dyDescent="0.25">
      <c r="A1428" s="2">
        <v>44162</v>
      </c>
      <c r="B1428" s="1">
        <f t="shared" si="113"/>
        <v>48</v>
      </c>
      <c r="C1428">
        <f t="shared" si="115"/>
        <v>11</v>
      </c>
      <c r="D1428" t="str">
        <f t="shared" si="116"/>
        <v>November</v>
      </c>
      <c r="E1428">
        <f t="shared" si="117"/>
        <v>2020</v>
      </c>
      <c r="F1428" t="str">
        <f>CONCATENATE(calendar[[#This Row],[Month]],"/",calendar[[#This Row],[Year]])</f>
        <v>11/2020</v>
      </c>
      <c r="G1428">
        <f>WEEKDAY(calendar[[#This Row],[Date]],1)</f>
        <v>6</v>
      </c>
      <c r="H1428" t="str">
        <f>TEXT(calendar[[#This Row],[WeekDay]],"dddd")</f>
        <v>Friday</v>
      </c>
      <c r="I1428">
        <f>IF((INT(calendar[[#This Row],[Count]]/7)-calendar[[#This Row],[Count]]/7)&lt;0,I1427,I1427+1)</f>
        <v>204</v>
      </c>
      <c r="J1428">
        <f t="shared" si="114"/>
        <v>1426</v>
      </c>
      <c r="K1428">
        <f>IF(calendar[[#This Row],[Month]]&lt;4,1,IF(calendar[[#This Row],[Month]]&lt;7,2,IF(calendar[[#This Row],[Month]]&lt;10,3,4)))</f>
        <v>4</v>
      </c>
      <c r="L1428">
        <f>IFERROR(IF(VLOOKUP(calendar[[#This Row],[Date]],BH!A:A,1,)&lt;&gt;"",1,0),0)</f>
        <v>0</v>
      </c>
      <c r="M1428">
        <f>IFERROR(IF(VLOOKUP(calendar[[#This Row],[Date]],BH!C:C,1,)&lt;&gt;"",1,0),0)</f>
        <v>0</v>
      </c>
      <c r="N1428">
        <f>IFERROR(IF(VLOOKUP(calendar[[#This Row],[Date]],BH!E:E,1,)&lt;&gt;"",1,0),0)</f>
        <v>0</v>
      </c>
      <c r="O1428">
        <f>IFERROR(IF(VLOOKUP(calendar[[#This Row],[Date]],BH!G:G,1,)&lt;&gt;"",1,0),0)</f>
        <v>0</v>
      </c>
      <c r="P1428">
        <f>IF(OR(calendar[[#This Row],[UK_BH]]=1,calendar[[#This Row],[WeekDay]]=1, calendar[[#This Row],[WeekDay]]=7),P1427,P1427+1)</f>
        <v>1020</v>
      </c>
      <c r="Q1428">
        <f>IF(OR(calendar[[#This Row],[FR_BH]]=1,calendar[[#This Row],[WeekDay]]=1, calendar[[#This Row],[WeekDay]]=7),P1427,P1427+1)</f>
        <v>1020</v>
      </c>
      <c r="R1428">
        <f>IF(OR(calendar[[#This Row],[SP_BH]]=1,calendar[[#This Row],[WeekDay]]=1, calendar[[#This Row],[WeekDay]]=7),P1427,P1427+1)</f>
        <v>1020</v>
      </c>
      <c r="S1428">
        <f>IF(OR(calendar[[#This Row],[PT_BH]]=1,calendar[[#This Row],[WeekDay]]=1, calendar[[#This Row],[WeekDay]]=7),P1427,P1427+1)</f>
        <v>1020</v>
      </c>
    </row>
    <row r="1429" spans="1:19" x14ac:dyDescent="0.25">
      <c r="A1429" s="2">
        <v>44163</v>
      </c>
      <c r="B1429" s="1">
        <f t="shared" si="113"/>
        <v>48</v>
      </c>
      <c r="C1429">
        <f t="shared" si="115"/>
        <v>11</v>
      </c>
      <c r="D1429" t="str">
        <f t="shared" si="116"/>
        <v>November</v>
      </c>
      <c r="E1429">
        <f t="shared" si="117"/>
        <v>2020</v>
      </c>
      <c r="F1429" t="str">
        <f>CONCATENATE(calendar[[#This Row],[Month]],"/",calendar[[#This Row],[Year]])</f>
        <v>11/2020</v>
      </c>
      <c r="G1429">
        <f>WEEKDAY(calendar[[#This Row],[Date]],1)</f>
        <v>7</v>
      </c>
      <c r="H1429" t="str">
        <f>TEXT(calendar[[#This Row],[WeekDay]],"dddd")</f>
        <v>Saturday</v>
      </c>
      <c r="I1429">
        <f>IF((INT(calendar[[#This Row],[Count]]/7)-calendar[[#This Row],[Count]]/7)&lt;0,I1428,I1428+1)</f>
        <v>204</v>
      </c>
      <c r="J1429">
        <f t="shared" si="114"/>
        <v>1427</v>
      </c>
      <c r="K1429">
        <f>IF(calendar[[#This Row],[Month]]&lt;4,1,IF(calendar[[#This Row],[Month]]&lt;7,2,IF(calendar[[#This Row],[Month]]&lt;10,3,4)))</f>
        <v>4</v>
      </c>
      <c r="L1429">
        <f>IFERROR(IF(VLOOKUP(calendar[[#This Row],[Date]],BH!A:A,1,)&lt;&gt;"",1,0),0)</f>
        <v>0</v>
      </c>
      <c r="M1429">
        <f>IFERROR(IF(VLOOKUP(calendar[[#This Row],[Date]],BH!C:C,1,)&lt;&gt;"",1,0),0)</f>
        <v>0</v>
      </c>
      <c r="N1429">
        <f>IFERROR(IF(VLOOKUP(calendar[[#This Row],[Date]],BH!E:E,1,)&lt;&gt;"",1,0),0)</f>
        <v>0</v>
      </c>
      <c r="O1429">
        <f>IFERROR(IF(VLOOKUP(calendar[[#This Row],[Date]],BH!G:G,1,)&lt;&gt;"",1,0),0)</f>
        <v>0</v>
      </c>
      <c r="P1429">
        <f>IF(OR(calendar[[#This Row],[UK_BH]]=1,calendar[[#This Row],[WeekDay]]=1, calendar[[#This Row],[WeekDay]]=7),P1428,P1428+1)</f>
        <v>1020</v>
      </c>
      <c r="Q1429">
        <f>IF(OR(calendar[[#This Row],[FR_BH]]=1,calendar[[#This Row],[WeekDay]]=1, calendar[[#This Row],[WeekDay]]=7),P1428,P1428+1)</f>
        <v>1020</v>
      </c>
      <c r="R1429">
        <f>IF(OR(calendar[[#This Row],[SP_BH]]=1,calendar[[#This Row],[WeekDay]]=1, calendar[[#This Row],[WeekDay]]=7),P1428,P1428+1)</f>
        <v>1020</v>
      </c>
      <c r="S1429">
        <f>IF(OR(calendar[[#This Row],[PT_BH]]=1,calendar[[#This Row],[WeekDay]]=1, calendar[[#This Row],[WeekDay]]=7),P1428,P1428+1)</f>
        <v>1020</v>
      </c>
    </row>
    <row r="1430" spans="1:19" x14ac:dyDescent="0.25">
      <c r="A1430" s="2">
        <v>44164</v>
      </c>
      <c r="B1430" s="1">
        <f t="shared" si="113"/>
        <v>49</v>
      </c>
      <c r="C1430">
        <f t="shared" si="115"/>
        <v>11</v>
      </c>
      <c r="D1430" t="str">
        <f t="shared" si="116"/>
        <v>November</v>
      </c>
      <c r="E1430">
        <f t="shared" si="117"/>
        <v>2020</v>
      </c>
      <c r="F1430" t="str">
        <f>CONCATENATE(calendar[[#This Row],[Month]],"/",calendar[[#This Row],[Year]])</f>
        <v>11/2020</v>
      </c>
      <c r="G1430">
        <f>WEEKDAY(calendar[[#This Row],[Date]],1)</f>
        <v>1</v>
      </c>
      <c r="H1430" t="str">
        <f>TEXT(calendar[[#This Row],[WeekDay]],"dddd")</f>
        <v>Sunday</v>
      </c>
      <c r="I1430">
        <f>IF((INT(calendar[[#This Row],[Count]]/7)-calendar[[#This Row],[Count]]/7)&lt;0,I1429,I1429+1)</f>
        <v>205</v>
      </c>
      <c r="J1430">
        <f t="shared" si="114"/>
        <v>1428</v>
      </c>
      <c r="K1430">
        <f>IF(calendar[[#This Row],[Month]]&lt;4,1,IF(calendar[[#This Row],[Month]]&lt;7,2,IF(calendar[[#This Row],[Month]]&lt;10,3,4)))</f>
        <v>4</v>
      </c>
      <c r="L1430">
        <f>IFERROR(IF(VLOOKUP(calendar[[#This Row],[Date]],BH!A:A,1,)&lt;&gt;"",1,0),0)</f>
        <v>0</v>
      </c>
      <c r="M1430">
        <f>IFERROR(IF(VLOOKUP(calendar[[#This Row],[Date]],BH!C:C,1,)&lt;&gt;"",1,0),0)</f>
        <v>0</v>
      </c>
      <c r="N1430">
        <f>IFERROR(IF(VLOOKUP(calendar[[#This Row],[Date]],BH!E:E,1,)&lt;&gt;"",1,0),0)</f>
        <v>0</v>
      </c>
      <c r="O1430">
        <f>IFERROR(IF(VLOOKUP(calendar[[#This Row],[Date]],BH!G:G,1,)&lt;&gt;"",1,0),0)</f>
        <v>0</v>
      </c>
      <c r="P1430">
        <f>IF(OR(calendar[[#This Row],[UK_BH]]=1,calendar[[#This Row],[WeekDay]]=1, calendar[[#This Row],[WeekDay]]=7),P1429,P1429+1)</f>
        <v>1020</v>
      </c>
      <c r="Q1430">
        <f>IF(OR(calendar[[#This Row],[FR_BH]]=1,calendar[[#This Row],[WeekDay]]=1, calendar[[#This Row],[WeekDay]]=7),P1429,P1429+1)</f>
        <v>1020</v>
      </c>
      <c r="R1430">
        <f>IF(OR(calendar[[#This Row],[SP_BH]]=1,calendar[[#This Row],[WeekDay]]=1, calendar[[#This Row],[WeekDay]]=7),P1429,P1429+1)</f>
        <v>1020</v>
      </c>
      <c r="S1430">
        <f>IF(OR(calendar[[#This Row],[PT_BH]]=1,calendar[[#This Row],[WeekDay]]=1, calendar[[#This Row],[WeekDay]]=7),P1429,P1429+1)</f>
        <v>1020</v>
      </c>
    </row>
    <row r="1431" spans="1:19" x14ac:dyDescent="0.25">
      <c r="A1431" s="2">
        <v>44165</v>
      </c>
      <c r="B1431" s="1">
        <f t="shared" si="113"/>
        <v>49</v>
      </c>
      <c r="C1431">
        <f t="shared" si="115"/>
        <v>11</v>
      </c>
      <c r="D1431" t="str">
        <f t="shared" si="116"/>
        <v>November</v>
      </c>
      <c r="E1431">
        <f t="shared" si="117"/>
        <v>2020</v>
      </c>
      <c r="F1431" t="str">
        <f>CONCATENATE(calendar[[#This Row],[Month]],"/",calendar[[#This Row],[Year]])</f>
        <v>11/2020</v>
      </c>
      <c r="G1431">
        <f>WEEKDAY(calendar[[#This Row],[Date]],1)</f>
        <v>2</v>
      </c>
      <c r="H1431" t="str">
        <f>TEXT(calendar[[#This Row],[WeekDay]],"dddd")</f>
        <v>Monday</v>
      </c>
      <c r="I1431">
        <f>IF((INT(calendar[[#This Row],[Count]]/7)-calendar[[#This Row],[Count]]/7)&lt;0,I1430,I1430+1)</f>
        <v>205</v>
      </c>
      <c r="J1431">
        <f t="shared" si="114"/>
        <v>1429</v>
      </c>
      <c r="K1431">
        <f>IF(calendar[[#This Row],[Month]]&lt;4,1,IF(calendar[[#This Row],[Month]]&lt;7,2,IF(calendar[[#This Row],[Month]]&lt;10,3,4)))</f>
        <v>4</v>
      </c>
      <c r="L1431">
        <f>IFERROR(IF(VLOOKUP(calendar[[#This Row],[Date]],BH!A:A,1,)&lt;&gt;"",1,0),0)</f>
        <v>0</v>
      </c>
      <c r="M1431">
        <f>IFERROR(IF(VLOOKUP(calendar[[#This Row],[Date]],BH!C:C,1,)&lt;&gt;"",1,0),0)</f>
        <v>0</v>
      </c>
      <c r="N1431">
        <f>IFERROR(IF(VLOOKUP(calendar[[#This Row],[Date]],BH!E:E,1,)&lt;&gt;"",1,0),0)</f>
        <v>0</v>
      </c>
      <c r="O1431">
        <f>IFERROR(IF(VLOOKUP(calendar[[#This Row],[Date]],BH!G:G,1,)&lt;&gt;"",1,0),0)</f>
        <v>0</v>
      </c>
      <c r="P1431">
        <f>IF(OR(calendar[[#This Row],[UK_BH]]=1,calendar[[#This Row],[WeekDay]]=1, calendar[[#This Row],[WeekDay]]=7),P1430,P1430+1)</f>
        <v>1021</v>
      </c>
      <c r="Q1431">
        <f>IF(OR(calendar[[#This Row],[FR_BH]]=1,calendar[[#This Row],[WeekDay]]=1, calendar[[#This Row],[WeekDay]]=7),P1430,P1430+1)</f>
        <v>1021</v>
      </c>
      <c r="R1431">
        <f>IF(OR(calendar[[#This Row],[SP_BH]]=1,calendar[[#This Row],[WeekDay]]=1, calendar[[#This Row],[WeekDay]]=7),P1430,P1430+1)</f>
        <v>1021</v>
      </c>
      <c r="S1431">
        <f>IF(OR(calendar[[#This Row],[PT_BH]]=1,calendar[[#This Row],[WeekDay]]=1, calendar[[#This Row],[WeekDay]]=7),P1430,P1430+1)</f>
        <v>1021</v>
      </c>
    </row>
    <row r="1432" spans="1:19" x14ac:dyDescent="0.25">
      <c r="A1432" s="2">
        <v>44166</v>
      </c>
      <c r="B1432" s="1">
        <f t="shared" si="113"/>
        <v>49</v>
      </c>
      <c r="C1432">
        <f t="shared" si="115"/>
        <v>12</v>
      </c>
      <c r="D1432" t="str">
        <f t="shared" si="116"/>
        <v>December</v>
      </c>
      <c r="E1432">
        <f t="shared" si="117"/>
        <v>2020</v>
      </c>
      <c r="F1432" t="str">
        <f>CONCATENATE(calendar[[#This Row],[Month]],"/",calendar[[#This Row],[Year]])</f>
        <v>12/2020</v>
      </c>
      <c r="G1432">
        <f>WEEKDAY(calendar[[#This Row],[Date]],1)</f>
        <v>3</v>
      </c>
      <c r="H1432" t="str">
        <f>TEXT(calendar[[#This Row],[WeekDay]],"dddd")</f>
        <v>Tuesday</v>
      </c>
      <c r="I1432">
        <f>IF((INT(calendar[[#This Row],[Count]]/7)-calendar[[#This Row],[Count]]/7)&lt;0,I1431,I1431+1)</f>
        <v>205</v>
      </c>
      <c r="J1432">
        <f t="shared" si="114"/>
        <v>1430</v>
      </c>
      <c r="K1432">
        <f>IF(calendar[[#This Row],[Month]]&lt;4,1,IF(calendar[[#This Row],[Month]]&lt;7,2,IF(calendar[[#This Row],[Month]]&lt;10,3,4)))</f>
        <v>4</v>
      </c>
      <c r="L1432">
        <f>IFERROR(IF(VLOOKUP(calendar[[#This Row],[Date]],BH!A:A,1,)&lt;&gt;"",1,0),0)</f>
        <v>0</v>
      </c>
      <c r="M1432">
        <f>IFERROR(IF(VLOOKUP(calendar[[#This Row],[Date]],BH!C:C,1,)&lt;&gt;"",1,0),0)</f>
        <v>0</v>
      </c>
      <c r="N1432">
        <f>IFERROR(IF(VLOOKUP(calendar[[#This Row],[Date]],BH!E:E,1,)&lt;&gt;"",1,0),0)</f>
        <v>0</v>
      </c>
      <c r="O1432">
        <f>IFERROR(IF(VLOOKUP(calendar[[#This Row],[Date]],BH!G:G,1,)&lt;&gt;"",1,0),0)</f>
        <v>0</v>
      </c>
      <c r="P1432">
        <f>IF(OR(calendar[[#This Row],[UK_BH]]=1,calendar[[#This Row],[WeekDay]]=1, calendar[[#This Row],[WeekDay]]=7),P1431,P1431+1)</f>
        <v>1022</v>
      </c>
      <c r="Q1432">
        <f>IF(OR(calendar[[#This Row],[FR_BH]]=1,calendar[[#This Row],[WeekDay]]=1, calendar[[#This Row],[WeekDay]]=7),P1431,P1431+1)</f>
        <v>1022</v>
      </c>
      <c r="R1432">
        <f>IF(OR(calendar[[#This Row],[SP_BH]]=1,calendar[[#This Row],[WeekDay]]=1, calendar[[#This Row],[WeekDay]]=7),P1431,P1431+1)</f>
        <v>1022</v>
      </c>
      <c r="S1432">
        <f>IF(OR(calendar[[#This Row],[PT_BH]]=1,calendar[[#This Row],[WeekDay]]=1, calendar[[#This Row],[WeekDay]]=7),P1431,P1431+1)</f>
        <v>1022</v>
      </c>
    </row>
    <row r="1433" spans="1:19" x14ac:dyDescent="0.25">
      <c r="A1433" s="2">
        <v>44167</v>
      </c>
      <c r="B1433" s="1">
        <f t="shared" si="113"/>
        <v>49</v>
      </c>
      <c r="C1433">
        <f t="shared" si="115"/>
        <v>12</v>
      </c>
      <c r="D1433" t="str">
        <f t="shared" si="116"/>
        <v>December</v>
      </c>
      <c r="E1433">
        <f t="shared" si="117"/>
        <v>2020</v>
      </c>
      <c r="F1433" t="str">
        <f>CONCATENATE(calendar[[#This Row],[Month]],"/",calendar[[#This Row],[Year]])</f>
        <v>12/2020</v>
      </c>
      <c r="G1433">
        <f>WEEKDAY(calendar[[#This Row],[Date]],1)</f>
        <v>4</v>
      </c>
      <c r="H1433" t="str">
        <f>TEXT(calendar[[#This Row],[WeekDay]],"dddd")</f>
        <v>Wednesday</v>
      </c>
      <c r="I1433">
        <f>IF((INT(calendar[[#This Row],[Count]]/7)-calendar[[#This Row],[Count]]/7)&lt;0,I1432,I1432+1)</f>
        <v>205</v>
      </c>
      <c r="J1433">
        <f t="shared" si="114"/>
        <v>1431</v>
      </c>
      <c r="K1433">
        <f>IF(calendar[[#This Row],[Month]]&lt;4,1,IF(calendar[[#This Row],[Month]]&lt;7,2,IF(calendar[[#This Row],[Month]]&lt;10,3,4)))</f>
        <v>4</v>
      </c>
      <c r="L1433">
        <f>IFERROR(IF(VLOOKUP(calendar[[#This Row],[Date]],BH!A:A,1,)&lt;&gt;"",1,0),0)</f>
        <v>0</v>
      </c>
      <c r="M1433">
        <f>IFERROR(IF(VLOOKUP(calendar[[#This Row],[Date]],BH!C:C,1,)&lt;&gt;"",1,0),0)</f>
        <v>0</v>
      </c>
      <c r="N1433">
        <f>IFERROR(IF(VLOOKUP(calendar[[#This Row],[Date]],BH!E:E,1,)&lt;&gt;"",1,0),0)</f>
        <v>0</v>
      </c>
      <c r="O1433">
        <f>IFERROR(IF(VLOOKUP(calendar[[#This Row],[Date]],BH!G:G,1,)&lt;&gt;"",1,0),0)</f>
        <v>0</v>
      </c>
      <c r="P1433">
        <f>IF(OR(calendar[[#This Row],[UK_BH]]=1,calendar[[#This Row],[WeekDay]]=1, calendar[[#This Row],[WeekDay]]=7),P1432,P1432+1)</f>
        <v>1023</v>
      </c>
      <c r="Q1433">
        <f>IF(OR(calendar[[#This Row],[FR_BH]]=1,calendar[[#This Row],[WeekDay]]=1, calendar[[#This Row],[WeekDay]]=7),P1432,P1432+1)</f>
        <v>1023</v>
      </c>
      <c r="R1433">
        <f>IF(OR(calendar[[#This Row],[SP_BH]]=1,calendar[[#This Row],[WeekDay]]=1, calendar[[#This Row],[WeekDay]]=7),P1432,P1432+1)</f>
        <v>1023</v>
      </c>
      <c r="S1433">
        <f>IF(OR(calendar[[#This Row],[PT_BH]]=1,calendar[[#This Row],[WeekDay]]=1, calendar[[#This Row],[WeekDay]]=7),P1432,P1432+1)</f>
        <v>1023</v>
      </c>
    </row>
    <row r="1434" spans="1:19" x14ac:dyDescent="0.25">
      <c r="A1434" s="2">
        <v>44168</v>
      </c>
      <c r="B1434" s="1">
        <f t="shared" si="113"/>
        <v>49</v>
      </c>
      <c r="C1434">
        <f t="shared" si="115"/>
        <v>12</v>
      </c>
      <c r="D1434" t="str">
        <f t="shared" si="116"/>
        <v>December</v>
      </c>
      <c r="E1434">
        <f t="shared" si="117"/>
        <v>2020</v>
      </c>
      <c r="F1434" t="str">
        <f>CONCATENATE(calendar[[#This Row],[Month]],"/",calendar[[#This Row],[Year]])</f>
        <v>12/2020</v>
      </c>
      <c r="G1434">
        <f>WEEKDAY(calendar[[#This Row],[Date]],1)</f>
        <v>5</v>
      </c>
      <c r="H1434" t="str">
        <f>TEXT(calendar[[#This Row],[WeekDay]],"dddd")</f>
        <v>Thursday</v>
      </c>
      <c r="I1434">
        <f>IF((INT(calendar[[#This Row],[Count]]/7)-calendar[[#This Row],[Count]]/7)&lt;0,I1433,I1433+1)</f>
        <v>205</v>
      </c>
      <c r="J1434">
        <f t="shared" si="114"/>
        <v>1432</v>
      </c>
      <c r="K1434">
        <f>IF(calendar[[#This Row],[Month]]&lt;4,1,IF(calendar[[#This Row],[Month]]&lt;7,2,IF(calendar[[#This Row],[Month]]&lt;10,3,4)))</f>
        <v>4</v>
      </c>
      <c r="L1434">
        <f>IFERROR(IF(VLOOKUP(calendar[[#This Row],[Date]],BH!A:A,1,)&lt;&gt;"",1,0),0)</f>
        <v>0</v>
      </c>
      <c r="M1434">
        <f>IFERROR(IF(VLOOKUP(calendar[[#This Row],[Date]],BH!C:C,1,)&lt;&gt;"",1,0),0)</f>
        <v>0</v>
      </c>
      <c r="N1434">
        <f>IFERROR(IF(VLOOKUP(calendar[[#This Row],[Date]],BH!E:E,1,)&lt;&gt;"",1,0),0)</f>
        <v>0</v>
      </c>
      <c r="O1434">
        <f>IFERROR(IF(VLOOKUP(calendar[[#This Row],[Date]],BH!G:G,1,)&lt;&gt;"",1,0),0)</f>
        <v>0</v>
      </c>
      <c r="P1434">
        <f>IF(OR(calendar[[#This Row],[UK_BH]]=1,calendar[[#This Row],[WeekDay]]=1, calendar[[#This Row],[WeekDay]]=7),P1433,P1433+1)</f>
        <v>1024</v>
      </c>
      <c r="Q1434">
        <f>IF(OR(calendar[[#This Row],[FR_BH]]=1,calendar[[#This Row],[WeekDay]]=1, calendar[[#This Row],[WeekDay]]=7),P1433,P1433+1)</f>
        <v>1024</v>
      </c>
      <c r="R1434">
        <f>IF(OR(calendar[[#This Row],[SP_BH]]=1,calendar[[#This Row],[WeekDay]]=1, calendar[[#This Row],[WeekDay]]=7),P1433,P1433+1)</f>
        <v>1024</v>
      </c>
      <c r="S1434">
        <f>IF(OR(calendar[[#This Row],[PT_BH]]=1,calendar[[#This Row],[WeekDay]]=1, calendar[[#This Row],[WeekDay]]=7),P1433,P1433+1)</f>
        <v>1024</v>
      </c>
    </row>
    <row r="1435" spans="1:19" x14ac:dyDescent="0.25">
      <c r="A1435" s="2">
        <v>44169</v>
      </c>
      <c r="B1435" s="1">
        <f t="shared" si="113"/>
        <v>49</v>
      </c>
      <c r="C1435">
        <f t="shared" si="115"/>
        <v>12</v>
      </c>
      <c r="D1435" t="str">
        <f t="shared" si="116"/>
        <v>December</v>
      </c>
      <c r="E1435">
        <f t="shared" si="117"/>
        <v>2020</v>
      </c>
      <c r="F1435" t="str">
        <f>CONCATENATE(calendar[[#This Row],[Month]],"/",calendar[[#This Row],[Year]])</f>
        <v>12/2020</v>
      </c>
      <c r="G1435">
        <f>WEEKDAY(calendar[[#This Row],[Date]],1)</f>
        <v>6</v>
      </c>
      <c r="H1435" t="str">
        <f>TEXT(calendar[[#This Row],[WeekDay]],"dddd")</f>
        <v>Friday</v>
      </c>
      <c r="I1435">
        <f>IF((INT(calendar[[#This Row],[Count]]/7)-calendar[[#This Row],[Count]]/7)&lt;0,I1434,I1434+1)</f>
        <v>205</v>
      </c>
      <c r="J1435">
        <f t="shared" si="114"/>
        <v>1433</v>
      </c>
      <c r="K1435">
        <f>IF(calendar[[#This Row],[Month]]&lt;4,1,IF(calendar[[#This Row],[Month]]&lt;7,2,IF(calendar[[#This Row],[Month]]&lt;10,3,4)))</f>
        <v>4</v>
      </c>
      <c r="L1435">
        <f>IFERROR(IF(VLOOKUP(calendar[[#This Row],[Date]],BH!A:A,1,)&lt;&gt;"",1,0),0)</f>
        <v>0</v>
      </c>
      <c r="M1435">
        <f>IFERROR(IF(VLOOKUP(calendar[[#This Row],[Date]],BH!C:C,1,)&lt;&gt;"",1,0),0)</f>
        <v>0</v>
      </c>
      <c r="N1435">
        <f>IFERROR(IF(VLOOKUP(calendar[[#This Row],[Date]],BH!E:E,1,)&lt;&gt;"",1,0),0)</f>
        <v>0</v>
      </c>
      <c r="O1435">
        <f>IFERROR(IF(VLOOKUP(calendar[[#This Row],[Date]],BH!G:G,1,)&lt;&gt;"",1,0),0)</f>
        <v>0</v>
      </c>
      <c r="P1435">
        <f>IF(OR(calendar[[#This Row],[UK_BH]]=1,calendar[[#This Row],[WeekDay]]=1, calendar[[#This Row],[WeekDay]]=7),P1434,P1434+1)</f>
        <v>1025</v>
      </c>
      <c r="Q1435">
        <f>IF(OR(calendar[[#This Row],[FR_BH]]=1,calendar[[#This Row],[WeekDay]]=1, calendar[[#This Row],[WeekDay]]=7),P1434,P1434+1)</f>
        <v>1025</v>
      </c>
      <c r="R1435">
        <f>IF(OR(calendar[[#This Row],[SP_BH]]=1,calendar[[#This Row],[WeekDay]]=1, calendar[[#This Row],[WeekDay]]=7),P1434,P1434+1)</f>
        <v>1025</v>
      </c>
      <c r="S1435">
        <f>IF(OR(calendar[[#This Row],[PT_BH]]=1,calendar[[#This Row],[WeekDay]]=1, calendar[[#This Row],[WeekDay]]=7),P1434,P1434+1)</f>
        <v>1025</v>
      </c>
    </row>
    <row r="1436" spans="1:19" x14ac:dyDescent="0.25">
      <c r="A1436" s="2">
        <v>44170</v>
      </c>
      <c r="B1436" s="1">
        <f t="shared" si="113"/>
        <v>49</v>
      </c>
      <c r="C1436">
        <f t="shared" si="115"/>
        <v>12</v>
      </c>
      <c r="D1436" t="str">
        <f t="shared" si="116"/>
        <v>December</v>
      </c>
      <c r="E1436">
        <f t="shared" si="117"/>
        <v>2020</v>
      </c>
      <c r="F1436" t="str">
        <f>CONCATENATE(calendar[[#This Row],[Month]],"/",calendar[[#This Row],[Year]])</f>
        <v>12/2020</v>
      </c>
      <c r="G1436">
        <f>WEEKDAY(calendar[[#This Row],[Date]],1)</f>
        <v>7</v>
      </c>
      <c r="H1436" t="str">
        <f>TEXT(calendar[[#This Row],[WeekDay]],"dddd")</f>
        <v>Saturday</v>
      </c>
      <c r="I1436">
        <f>IF((INT(calendar[[#This Row],[Count]]/7)-calendar[[#This Row],[Count]]/7)&lt;0,I1435,I1435+1)</f>
        <v>205</v>
      </c>
      <c r="J1436">
        <f t="shared" si="114"/>
        <v>1434</v>
      </c>
      <c r="K1436">
        <f>IF(calendar[[#This Row],[Month]]&lt;4,1,IF(calendar[[#This Row],[Month]]&lt;7,2,IF(calendar[[#This Row],[Month]]&lt;10,3,4)))</f>
        <v>4</v>
      </c>
      <c r="L1436">
        <f>IFERROR(IF(VLOOKUP(calendar[[#This Row],[Date]],BH!A:A,1,)&lt;&gt;"",1,0),0)</f>
        <v>0</v>
      </c>
      <c r="M1436">
        <f>IFERROR(IF(VLOOKUP(calendar[[#This Row],[Date]],BH!C:C,1,)&lt;&gt;"",1,0),0)</f>
        <v>0</v>
      </c>
      <c r="N1436">
        <f>IFERROR(IF(VLOOKUP(calendar[[#This Row],[Date]],BH!E:E,1,)&lt;&gt;"",1,0),0)</f>
        <v>0</v>
      </c>
      <c r="O1436">
        <f>IFERROR(IF(VLOOKUP(calendar[[#This Row],[Date]],BH!G:G,1,)&lt;&gt;"",1,0),0)</f>
        <v>0</v>
      </c>
      <c r="P1436">
        <f>IF(OR(calendar[[#This Row],[UK_BH]]=1,calendar[[#This Row],[WeekDay]]=1, calendar[[#This Row],[WeekDay]]=7),P1435,P1435+1)</f>
        <v>1025</v>
      </c>
      <c r="Q1436">
        <f>IF(OR(calendar[[#This Row],[FR_BH]]=1,calendar[[#This Row],[WeekDay]]=1, calendar[[#This Row],[WeekDay]]=7),P1435,P1435+1)</f>
        <v>1025</v>
      </c>
      <c r="R1436">
        <f>IF(OR(calendar[[#This Row],[SP_BH]]=1,calendar[[#This Row],[WeekDay]]=1, calendar[[#This Row],[WeekDay]]=7),P1435,P1435+1)</f>
        <v>1025</v>
      </c>
      <c r="S1436">
        <f>IF(OR(calendar[[#This Row],[PT_BH]]=1,calendar[[#This Row],[WeekDay]]=1, calendar[[#This Row],[WeekDay]]=7),P1435,P1435+1)</f>
        <v>1025</v>
      </c>
    </row>
    <row r="1437" spans="1:19" x14ac:dyDescent="0.25">
      <c r="A1437" s="2">
        <v>44171</v>
      </c>
      <c r="B1437" s="1">
        <f t="shared" si="113"/>
        <v>50</v>
      </c>
      <c r="C1437">
        <f t="shared" si="115"/>
        <v>12</v>
      </c>
      <c r="D1437" t="str">
        <f t="shared" si="116"/>
        <v>December</v>
      </c>
      <c r="E1437">
        <f t="shared" si="117"/>
        <v>2020</v>
      </c>
      <c r="F1437" t="str">
        <f>CONCATENATE(calendar[[#This Row],[Month]],"/",calendar[[#This Row],[Year]])</f>
        <v>12/2020</v>
      </c>
      <c r="G1437">
        <f>WEEKDAY(calendar[[#This Row],[Date]],1)</f>
        <v>1</v>
      </c>
      <c r="H1437" t="str">
        <f>TEXT(calendar[[#This Row],[WeekDay]],"dddd")</f>
        <v>Sunday</v>
      </c>
      <c r="I1437">
        <f>IF((INT(calendar[[#This Row],[Count]]/7)-calendar[[#This Row],[Count]]/7)&lt;0,I1436,I1436+1)</f>
        <v>206</v>
      </c>
      <c r="J1437">
        <f t="shared" si="114"/>
        <v>1435</v>
      </c>
      <c r="K1437">
        <f>IF(calendar[[#This Row],[Month]]&lt;4,1,IF(calendar[[#This Row],[Month]]&lt;7,2,IF(calendar[[#This Row],[Month]]&lt;10,3,4)))</f>
        <v>4</v>
      </c>
      <c r="L1437">
        <f>IFERROR(IF(VLOOKUP(calendar[[#This Row],[Date]],BH!A:A,1,)&lt;&gt;"",1,0),0)</f>
        <v>0</v>
      </c>
      <c r="M1437">
        <f>IFERROR(IF(VLOOKUP(calendar[[#This Row],[Date]],BH!C:C,1,)&lt;&gt;"",1,0),0)</f>
        <v>0</v>
      </c>
      <c r="N1437">
        <f>IFERROR(IF(VLOOKUP(calendar[[#This Row],[Date]],BH!E:E,1,)&lt;&gt;"",1,0),0)</f>
        <v>0</v>
      </c>
      <c r="O1437">
        <f>IFERROR(IF(VLOOKUP(calendar[[#This Row],[Date]],BH!G:G,1,)&lt;&gt;"",1,0),0)</f>
        <v>0</v>
      </c>
      <c r="P1437">
        <f>IF(OR(calendar[[#This Row],[UK_BH]]=1,calendar[[#This Row],[WeekDay]]=1, calendar[[#This Row],[WeekDay]]=7),P1436,P1436+1)</f>
        <v>1025</v>
      </c>
      <c r="Q1437">
        <f>IF(OR(calendar[[#This Row],[FR_BH]]=1,calendar[[#This Row],[WeekDay]]=1, calendar[[#This Row],[WeekDay]]=7),P1436,P1436+1)</f>
        <v>1025</v>
      </c>
      <c r="R1437">
        <f>IF(OR(calendar[[#This Row],[SP_BH]]=1,calendar[[#This Row],[WeekDay]]=1, calendar[[#This Row],[WeekDay]]=7),P1436,P1436+1)</f>
        <v>1025</v>
      </c>
      <c r="S1437">
        <f>IF(OR(calendar[[#This Row],[PT_BH]]=1,calendar[[#This Row],[WeekDay]]=1, calendar[[#This Row],[WeekDay]]=7),P1436,P1436+1)</f>
        <v>1025</v>
      </c>
    </row>
    <row r="1438" spans="1:19" x14ac:dyDescent="0.25">
      <c r="A1438" s="2">
        <v>44172</v>
      </c>
      <c r="B1438" s="1">
        <f t="shared" si="113"/>
        <v>50</v>
      </c>
      <c r="C1438">
        <f t="shared" si="115"/>
        <v>12</v>
      </c>
      <c r="D1438" t="str">
        <f t="shared" si="116"/>
        <v>December</v>
      </c>
      <c r="E1438">
        <f t="shared" si="117"/>
        <v>2020</v>
      </c>
      <c r="F1438" t="str">
        <f>CONCATENATE(calendar[[#This Row],[Month]],"/",calendar[[#This Row],[Year]])</f>
        <v>12/2020</v>
      </c>
      <c r="G1438">
        <f>WEEKDAY(calendar[[#This Row],[Date]],1)</f>
        <v>2</v>
      </c>
      <c r="H1438" t="str">
        <f>TEXT(calendar[[#This Row],[WeekDay]],"dddd")</f>
        <v>Monday</v>
      </c>
      <c r="I1438">
        <f>IF((INT(calendar[[#This Row],[Count]]/7)-calendar[[#This Row],[Count]]/7)&lt;0,I1437,I1437+1)</f>
        <v>206</v>
      </c>
      <c r="J1438">
        <f t="shared" si="114"/>
        <v>1436</v>
      </c>
      <c r="K1438">
        <f>IF(calendar[[#This Row],[Month]]&lt;4,1,IF(calendar[[#This Row],[Month]]&lt;7,2,IF(calendar[[#This Row],[Month]]&lt;10,3,4)))</f>
        <v>4</v>
      </c>
      <c r="L1438">
        <f>IFERROR(IF(VLOOKUP(calendar[[#This Row],[Date]],BH!A:A,1,)&lt;&gt;"",1,0),0)</f>
        <v>0</v>
      </c>
      <c r="M1438">
        <f>IFERROR(IF(VLOOKUP(calendar[[#This Row],[Date]],BH!C:C,1,)&lt;&gt;"",1,0),0)</f>
        <v>0</v>
      </c>
      <c r="N1438">
        <f>IFERROR(IF(VLOOKUP(calendar[[#This Row],[Date]],BH!E:E,1,)&lt;&gt;"",1,0),0)</f>
        <v>0</v>
      </c>
      <c r="O1438">
        <f>IFERROR(IF(VLOOKUP(calendar[[#This Row],[Date]],BH!G:G,1,)&lt;&gt;"",1,0),0)</f>
        <v>0</v>
      </c>
      <c r="P1438">
        <f>IF(OR(calendar[[#This Row],[UK_BH]]=1,calendar[[#This Row],[WeekDay]]=1, calendar[[#This Row],[WeekDay]]=7),P1437,P1437+1)</f>
        <v>1026</v>
      </c>
      <c r="Q1438">
        <f>IF(OR(calendar[[#This Row],[FR_BH]]=1,calendar[[#This Row],[WeekDay]]=1, calendar[[#This Row],[WeekDay]]=7),P1437,P1437+1)</f>
        <v>1026</v>
      </c>
      <c r="R1438">
        <f>IF(OR(calendar[[#This Row],[SP_BH]]=1,calendar[[#This Row],[WeekDay]]=1, calendar[[#This Row],[WeekDay]]=7),P1437,P1437+1)</f>
        <v>1026</v>
      </c>
      <c r="S1438">
        <f>IF(OR(calendar[[#This Row],[PT_BH]]=1,calendar[[#This Row],[WeekDay]]=1, calendar[[#This Row],[WeekDay]]=7),P1437,P1437+1)</f>
        <v>1026</v>
      </c>
    </row>
    <row r="1439" spans="1:19" x14ac:dyDescent="0.25">
      <c r="A1439" s="2">
        <v>44173</v>
      </c>
      <c r="B1439" s="1">
        <f t="shared" si="113"/>
        <v>50</v>
      </c>
      <c r="C1439">
        <f t="shared" si="115"/>
        <v>12</v>
      </c>
      <c r="D1439" t="str">
        <f t="shared" si="116"/>
        <v>December</v>
      </c>
      <c r="E1439">
        <f t="shared" si="117"/>
        <v>2020</v>
      </c>
      <c r="F1439" t="str">
        <f>CONCATENATE(calendar[[#This Row],[Month]],"/",calendar[[#This Row],[Year]])</f>
        <v>12/2020</v>
      </c>
      <c r="G1439">
        <f>WEEKDAY(calendar[[#This Row],[Date]],1)</f>
        <v>3</v>
      </c>
      <c r="H1439" t="str">
        <f>TEXT(calendar[[#This Row],[WeekDay]],"dddd")</f>
        <v>Tuesday</v>
      </c>
      <c r="I1439">
        <f>IF((INT(calendar[[#This Row],[Count]]/7)-calendar[[#This Row],[Count]]/7)&lt;0,I1438,I1438+1)</f>
        <v>206</v>
      </c>
      <c r="J1439">
        <f t="shared" si="114"/>
        <v>1437</v>
      </c>
      <c r="K1439">
        <f>IF(calendar[[#This Row],[Month]]&lt;4,1,IF(calendar[[#This Row],[Month]]&lt;7,2,IF(calendar[[#This Row],[Month]]&lt;10,3,4)))</f>
        <v>4</v>
      </c>
      <c r="L1439">
        <f>IFERROR(IF(VLOOKUP(calendar[[#This Row],[Date]],BH!A:A,1,)&lt;&gt;"",1,0),0)</f>
        <v>0</v>
      </c>
      <c r="M1439">
        <f>IFERROR(IF(VLOOKUP(calendar[[#This Row],[Date]],BH!C:C,1,)&lt;&gt;"",1,0),0)</f>
        <v>0</v>
      </c>
      <c r="N1439">
        <f>IFERROR(IF(VLOOKUP(calendar[[#This Row],[Date]],BH!E:E,1,)&lt;&gt;"",1,0),0)</f>
        <v>0</v>
      </c>
      <c r="O1439">
        <f>IFERROR(IF(VLOOKUP(calendar[[#This Row],[Date]],BH!G:G,1,)&lt;&gt;"",1,0),0)</f>
        <v>0</v>
      </c>
      <c r="P1439">
        <f>IF(OR(calendar[[#This Row],[UK_BH]]=1,calendar[[#This Row],[WeekDay]]=1, calendar[[#This Row],[WeekDay]]=7),P1438,P1438+1)</f>
        <v>1027</v>
      </c>
      <c r="Q1439">
        <f>IF(OR(calendar[[#This Row],[FR_BH]]=1,calendar[[#This Row],[WeekDay]]=1, calendar[[#This Row],[WeekDay]]=7),P1438,P1438+1)</f>
        <v>1027</v>
      </c>
      <c r="R1439">
        <f>IF(OR(calendar[[#This Row],[SP_BH]]=1,calendar[[#This Row],[WeekDay]]=1, calendar[[#This Row],[WeekDay]]=7),P1438,P1438+1)</f>
        <v>1027</v>
      </c>
      <c r="S1439">
        <f>IF(OR(calendar[[#This Row],[PT_BH]]=1,calendar[[#This Row],[WeekDay]]=1, calendar[[#This Row],[WeekDay]]=7),P1438,P1438+1)</f>
        <v>1027</v>
      </c>
    </row>
    <row r="1440" spans="1:19" x14ac:dyDescent="0.25">
      <c r="A1440" s="2">
        <v>44174</v>
      </c>
      <c r="B1440" s="1">
        <f t="shared" si="113"/>
        <v>50</v>
      </c>
      <c r="C1440">
        <f t="shared" si="115"/>
        <v>12</v>
      </c>
      <c r="D1440" t="str">
        <f t="shared" si="116"/>
        <v>December</v>
      </c>
      <c r="E1440">
        <f t="shared" si="117"/>
        <v>2020</v>
      </c>
      <c r="F1440" t="str">
        <f>CONCATENATE(calendar[[#This Row],[Month]],"/",calendar[[#This Row],[Year]])</f>
        <v>12/2020</v>
      </c>
      <c r="G1440">
        <f>WEEKDAY(calendar[[#This Row],[Date]],1)</f>
        <v>4</v>
      </c>
      <c r="H1440" t="str">
        <f>TEXT(calendar[[#This Row],[WeekDay]],"dddd")</f>
        <v>Wednesday</v>
      </c>
      <c r="I1440">
        <f>IF((INT(calendar[[#This Row],[Count]]/7)-calendar[[#This Row],[Count]]/7)&lt;0,I1439,I1439+1)</f>
        <v>206</v>
      </c>
      <c r="J1440">
        <f t="shared" si="114"/>
        <v>1438</v>
      </c>
      <c r="K1440">
        <f>IF(calendar[[#This Row],[Month]]&lt;4,1,IF(calendar[[#This Row],[Month]]&lt;7,2,IF(calendar[[#This Row],[Month]]&lt;10,3,4)))</f>
        <v>4</v>
      </c>
      <c r="L1440">
        <f>IFERROR(IF(VLOOKUP(calendar[[#This Row],[Date]],BH!A:A,1,)&lt;&gt;"",1,0),0)</f>
        <v>0</v>
      </c>
      <c r="M1440">
        <f>IFERROR(IF(VLOOKUP(calendar[[#This Row],[Date]],BH!C:C,1,)&lt;&gt;"",1,0),0)</f>
        <v>0</v>
      </c>
      <c r="N1440">
        <f>IFERROR(IF(VLOOKUP(calendar[[#This Row],[Date]],BH!E:E,1,)&lt;&gt;"",1,0),0)</f>
        <v>0</v>
      </c>
      <c r="O1440">
        <f>IFERROR(IF(VLOOKUP(calendar[[#This Row],[Date]],BH!G:G,1,)&lt;&gt;"",1,0),0)</f>
        <v>0</v>
      </c>
      <c r="P1440">
        <f>IF(OR(calendar[[#This Row],[UK_BH]]=1,calendar[[#This Row],[WeekDay]]=1, calendar[[#This Row],[WeekDay]]=7),P1439,P1439+1)</f>
        <v>1028</v>
      </c>
      <c r="Q1440">
        <f>IF(OR(calendar[[#This Row],[FR_BH]]=1,calendar[[#This Row],[WeekDay]]=1, calendar[[#This Row],[WeekDay]]=7),P1439,P1439+1)</f>
        <v>1028</v>
      </c>
      <c r="R1440">
        <f>IF(OR(calendar[[#This Row],[SP_BH]]=1,calendar[[#This Row],[WeekDay]]=1, calendar[[#This Row],[WeekDay]]=7),P1439,P1439+1)</f>
        <v>1028</v>
      </c>
      <c r="S1440">
        <f>IF(OR(calendar[[#This Row],[PT_BH]]=1,calendar[[#This Row],[WeekDay]]=1, calendar[[#This Row],[WeekDay]]=7),P1439,P1439+1)</f>
        <v>1028</v>
      </c>
    </row>
    <row r="1441" spans="1:19" x14ac:dyDescent="0.25">
      <c r="A1441" s="2">
        <v>44175</v>
      </c>
      <c r="B1441" s="1">
        <f t="shared" si="113"/>
        <v>50</v>
      </c>
      <c r="C1441">
        <f t="shared" si="115"/>
        <v>12</v>
      </c>
      <c r="D1441" t="str">
        <f t="shared" si="116"/>
        <v>December</v>
      </c>
      <c r="E1441">
        <f t="shared" si="117"/>
        <v>2020</v>
      </c>
      <c r="F1441" t="str">
        <f>CONCATENATE(calendar[[#This Row],[Month]],"/",calendar[[#This Row],[Year]])</f>
        <v>12/2020</v>
      </c>
      <c r="G1441">
        <f>WEEKDAY(calendar[[#This Row],[Date]],1)</f>
        <v>5</v>
      </c>
      <c r="H1441" t="str">
        <f>TEXT(calendar[[#This Row],[WeekDay]],"dddd")</f>
        <v>Thursday</v>
      </c>
      <c r="I1441">
        <f>IF((INT(calendar[[#This Row],[Count]]/7)-calendar[[#This Row],[Count]]/7)&lt;0,I1440,I1440+1)</f>
        <v>206</v>
      </c>
      <c r="J1441">
        <f t="shared" si="114"/>
        <v>1439</v>
      </c>
      <c r="K1441">
        <f>IF(calendar[[#This Row],[Month]]&lt;4,1,IF(calendar[[#This Row],[Month]]&lt;7,2,IF(calendar[[#This Row],[Month]]&lt;10,3,4)))</f>
        <v>4</v>
      </c>
      <c r="L1441">
        <f>IFERROR(IF(VLOOKUP(calendar[[#This Row],[Date]],BH!A:A,1,)&lt;&gt;"",1,0),0)</f>
        <v>0</v>
      </c>
      <c r="M1441">
        <f>IFERROR(IF(VLOOKUP(calendar[[#This Row],[Date]],BH!C:C,1,)&lt;&gt;"",1,0),0)</f>
        <v>0</v>
      </c>
      <c r="N1441">
        <f>IFERROR(IF(VLOOKUP(calendar[[#This Row],[Date]],BH!E:E,1,)&lt;&gt;"",1,0),0)</f>
        <v>0</v>
      </c>
      <c r="O1441">
        <f>IFERROR(IF(VLOOKUP(calendar[[#This Row],[Date]],BH!G:G,1,)&lt;&gt;"",1,0),0)</f>
        <v>0</v>
      </c>
      <c r="P1441">
        <f>IF(OR(calendar[[#This Row],[UK_BH]]=1,calendar[[#This Row],[WeekDay]]=1, calendar[[#This Row],[WeekDay]]=7),P1440,P1440+1)</f>
        <v>1029</v>
      </c>
      <c r="Q1441">
        <f>IF(OR(calendar[[#This Row],[FR_BH]]=1,calendar[[#This Row],[WeekDay]]=1, calendar[[#This Row],[WeekDay]]=7),P1440,P1440+1)</f>
        <v>1029</v>
      </c>
      <c r="R1441">
        <f>IF(OR(calendar[[#This Row],[SP_BH]]=1,calendar[[#This Row],[WeekDay]]=1, calendar[[#This Row],[WeekDay]]=7),P1440,P1440+1)</f>
        <v>1029</v>
      </c>
      <c r="S1441">
        <f>IF(OR(calendar[[#This Row],[PT_BH]]=1,calendar[[#This Row],[WeekDay]]=1, calendar[[#This Row],[WeekDay]]=7),P1440,P1440+1)</f>
        <v>1029</v>
      </c>
    </row>
    <row r="1442" spans="1:19" x14ac:dyDescent="0.25">
      <c r="A1442" s="2">
        <v>44176</v>
      </c>
      <c r="B1442" s="1">
        <f t="shared" si="113"/>
        <v>50</v>
      </c>
      <c r="C1442">
        <f t="shared" si="115"/>
        <v>12</v>
      </c>
      <c r="D1442" t="str">
        <f t="shared" si="116"/>
        <v>December</v>
      </c>
      <c r="E1442">
        <f t="shared" si="117"/>
        <v>2020</v>
      </c>
      <c r="F1442" t="str">
        <f>CONCATENATE(calendar[[#This Row],[Month]],"/",calendar[[#This Row],[Year]])</f>
        <v>12/2020</v>
      </c>
      <c r="G1442">
        <f>WEEKDAY(calendar[[#This Row],[Date]],1)</f>
        <v>6</v>
      </c>
      <c r="H1442" t="str">
        <f>TEXT(calendar[[#This Row],[WeekDay]],"dddd")</f>
        <v>Friday</v>
      </c>
      <c r="I1442">
        <f>IF((INT(calendar[[#This Row],[Count]]/7)-calendar[[#This Row],[Count]]/7)&lt;0,I1441,I1441+1)</f>
        <v>206</v>
      </c>
      <c r="J1442">
        <f t="shared" si="114"/>
        <v>1440</v>
      </c>
      <c r="K1442">
        <f>IF(calendar[[#This Row],[Month]]&lt;4,1,IF(calendar[[#This Row],[Month]]&lt;7,2,IF(calendar[[#This Row],[Month]]&lt;10,3,4)))</f>
        <v>4</v>
      </c>
      <c r="L1442">
        <f>IFERROR(IF(VLOOKUP(calendar[[#This Row],[Date]],BH!A:A,1,)&lt;&gt;"",1,0),0)</f>
        <v>0</v>
      </c>
      <c r="M1442">
        <f>IFERROR(IF(VLOOKUP(calendar[[#This Row],[Date]],BH!C:C,1,)&lt;&gt;"",1,0),0)</f>
        <v>0</v>
      </c>
      <c r="N1442">
        <f>IFERROR(IF(VLOOKUP(calendar[[#This Row],[Date]],BH!E:E,1,)&lt;&gt;"",1,0),0)</f>
        <v>0</v>
      </c>
      <c r="O1442">
        <f>IFERROR(IF(VLOOKUP(calendar[[#This Row],[Date]],BH!G:G,1,)&lt;&gt;"",1,0),0)</f>
        <v>0</v>
      </c>
      <c r="P1442">
        <f>IF(OR(calendar[[#This Row],[UK_BH]]=1,calendar[[#This Row],[WeekDay]]=1, calendar[[#This Row],[WeekDay]]=7),P1441,P1441+1)</f>
        <v>1030</v>
      </c>
      <c r="Q1442">
        <f>IF(OR(calendar[[#This Row],[FR_BH]]=1,calendar[[#This Row],[WeekDay]]=1, calendar[[#This Row],[WeekDay]]=7),P1441,P1441+1)</f>
        <v>1030</v>
      </c>
      <c r="R1442">
        <f>IF(OR(calendar[[#This Row],[SP_BH]]=1,calendar[[#This Row],[WeekDay]]=1, calendar[[#This Row],[WeekDay]]=7),P1441,P1441+1)</f>
        <v>1030</v>
      </c>
      <c r="S1442">
        <f>IF(OR(calendar[[#This Row],[PT_BH]]=1,calendar[[#This Row],[WeekDay]]=1, calendar[[#This Row],[WeekDay]]=7),P1441,P1441+1)</f>
        <v>1030</v>
      </c>
    </row>
    <row r="1443" spans="1:19" x14ac:dyDescent="0.25">
      <c r="A1443" s="2">
        <v>44177</v>
      </c>
      <c r="B1443" s="1">
        <f t="shared" si="113"/>
        <v>50</v>
      </c>
      <c r="C1443">
        <f t="shared" si="115"/>
        <v>12</v>
      </c>
      <c r="D1443" t="str">
        <f t="shared" si="116"/>
        <v>December</v>
      </c>
      <c r="E1443">
        <f t="shared" si="117"/>
        <v>2020</v>
      </c>
      <c r="F1443" t="str">
        <f>CONCATENATE(calendar[[#This Row],[Month]],"/",calendar[[#This Row],[Year]])</f>
        <v>12/2020</v>
      </c>
      <c r="G1443">
        <f>WEEKDAY(calendar[[#This Row],[Date]],1)</f>
        <v>7</v>
      </c>
      <c r="H1443" t="str">
        <f>TEXT(calendar[[#This Row],[WeekDay]],"dddd")</f>
        <v>Saturday</v>
      </c>
      <c r="I1443">
        <f>IF((INT(calendar[[#This Row],[Count]]/7)-calendar[[#This Row],[Count]]/7)&lt;0,I1442,I1442+1)</f>
        <v>206</v>
      </c>
      <c r="J1443">
        <f t="shared" si="114"/>
        <v>1441</v>
      </c>
      <c r="K1443">
        <f>IF(calendar[[#This Row],[Month]]&lt;4,1,IF(calendar[[#This Row],[Month]]&lt;7,2,IF(calendar[[#This Row],[Month]]&lt;10,3,4)))</f>
        <v>4</v>
      </c>
      <c r="L1443">
        <f>IFERROR(IF(VLOOKUP(calendar[[#This Row],[Date]],BH!A:A,1,)&lt;&gt;"",1,0),0)</f>
        <v>0</v>
      </c>
      <c r="M1443">
        <f>IFERROR(IF(VLOOKUP(calendar[[#This Row],[Date]],BH!C:C,1,)&lt;&gt;"",1,0),0)</f>
        <v>0</v>
      </c>
      <c r="N1443">
        <f>IFERROR(IF(VLOOKUP(calendar[[#This Row],[Date]],BH!E:E,1,)&lt;&gt;"",1,0),0)</f>
        <v>0</v>
      </c>
      <c r="O1443">
        <f>IFERROR(IF(VLOOKUP(calendar[[#This Row],[Date]],BH!G:G,1,)&lt;&gt;"",1,0),0)</f>
        <v>0</v>
      </c>
      <c r="P1443">
        <f>IF(OR(calendar[[#This Row],[UK_BH]]=1,calendar[[#This Row],[WeekDay]]=1, calendar[[#This Row],[WeekDay]]=7),P1442,P1442+1)</f>
        <v>1030</v>
      </c>
      <c r="Q1443">
        <f>IF(OR(calendar[[#This Row],[FR_BH]]=1,calendar[[#This Row],[WeekDay]]=1, calendar[[#This Row],[WeekDay]]=7),P1442,P1442+1)</f>
        <v>1030</v>
      </c>
      <c r="R1443">
        <f>IF(OR(calendar[[#This Row],[SP_BH]]=1,calendar[[#This Row],[WeekDay]]=1, calendar[[#This Row],[WeekDay]]=7),P1442,P1442+1)</f>
        <v>1030</v>
      </c>
      <c r="S1443">
        <f>IF(OR(calendar[[#This Row],[PT_BH]]=1,calendar[[#This Row],[WeekDay]]=1, calendar[[#This Row],[WeekDay]]=7),P1442,P1442+1)</f>
        <v>1030</v>
      </c>
    </row>
    <row r="1444" spans="1:19" x14ac:dyDescent="0.25">
      <c r="A1444" s="2">
        <v>44178</v>
      </c>
      <c r="B1444" s="1">
        <f t="shared" si="113"/>
        <v>51</v>
      </c>
      <c r="C1444">
        <f t="shared" si="115"/>
        <v>12</v>
      </c>
      <c r="D1444" t="str">
        <f t="shared" si="116"/>
        <v>December</v>
      </c>
      <c r="E1444">
        <f t="shared" si="117"/>
        <v>2020</v>
      </c>
      <c r="F1444" t="str">
        <f>CONCATENATE(calendar[[#This Row],[Month]],"/",calendar[[#This Row],[Year]])</f>
        <v>12/2020</v>
      </c>
      <c r="G1444">
        <f>WEEKDAY(calendar[[#This Row],[Date]],1)</f>
        <v>1</v>
      </c>
      <c r="H1444" t="str">
        <f>TEXT(calendar[[#This Row],[WeekDay]],"dddd")</f>
        <v>Sunday</v>
      </c>
      <c r="I1444">
        <f>IF((INT(calendar[[#This Row],[Count]]/7)-calendar[[#This Row],[Count]]/7)&lt;0,I1443,I1443+1)</f>
        <v>207</v>
      </c>
      <c r="J1444">
        <f t="shared" si="114"/>
        <v>1442</v>
      </c>
      <c r="K1444">
        <f>IF(calendar[[#This Row],[Month]]&lt;4,1,IF(calendar[[#This Row],[Month]]&lt;7,2,IF(calendar[[#This Row],[Month]]&lt;10,3,4)))</f>
        <v>4</v>
      </c>
      <c r="L1444">
        <f>IFERROR(IF(VLOOKUP(calendar[[#This Row],[Date]],BH!A:A,1,)&lt;&gt;"",1,0),0)</f>
        <v>0</v>
      </c>
      <c r="M1444">
        <f>IFERROR(IF(VLOOKUP(calendar[[#This Row],[Date]],BH!C:C,1,)&lt;&gt;"",1,0),0)</f>
        <v>0</v>
      </c>
      <c r="N1444">
        <f>IFERROR(IF(VLOOKUP(calendar[[#This Row],[Date]],BH!E:E,1,)&lt;&gt;"",1,0),0)</f>
        <v>0</v>
      </c>
      <c r="O1444">
        <f>IFERROR(IF(VLOOKUP(calendar[[#This Row],[Date]],BH!G:G,1,)&lt;&gt;"",1,0),0)</f>
        <v>0</v>
      </c>
      <c r="P1444">
        <f>IF(OR(calendar[[#This Row],[UK_BH]]=1,calendar[[#This Row],[WeekDay]]=1, calendar[[#This Row],[WeekDay]]=7),P1443,P1443+1)</f>
        <v>1030</v>
      </c>
      <c r="Q1444">
        <f>IF(OR(calendar[[#This Row],[FR_BH]]=1,calendar[[#This Row],[WeekDay]]=1, calendar[[#This Row],[WeekDay]]=7),P1443,P1443+1)</f>
        <v>1030</v>
      </c>
      <c r="R1444">
        <f>IF(OR(calendar[[#This Row],[SP_BH]]=1,calendar[[#This Row],[WeekDay]]=1, calendar[[#This Row],[WeekDay]]=7),P1443,P1443+1)</f>
        <v>1030</v>
      </c>
      <c r="S1444">
        <f>IF(OR(calendar[[#This Row],[PT_BH]]=1,calendar[[#This Row],[WeekDay]]=1, calendar[[#This Row],[WeekDay]]=7),P1443,P1443+1)</f>
        <v>1030</v>
      </c>
    </row>
    <row r="1445" spans="1:19" x14ac:dyDescent="0.25">
      <c r="A1445" s="2">
        <v>44179</v>
      </c>
      <c r="B1445" s="1">
        <f t="shared" si="113"/>
        <v>51</v>
      </c>
      <c r="C1445">
        <f t="shared" si="115"/>
        <v>12</v>
      </c>
      <c r="D1445" t="str">
        <f t="shared" si="116"/>
        <v>December</v>
      </c>
      <c r="E1445">
        <f t="shared" si="117"/>
        <v>2020</v>
      </c>
      <c r="F1445" t="str">
        <f>CONCATENATE(calendar[[#This Row],[Month]],"/",calendar[[#This Row],[Year]])</f>
        <v>12/2020</v>
      </c>
      <c r="G1445">
        <f>WEEKDAY(calendar[[#This Row],[Date]],1)</f>
        <v>2</v>
      </c>
      <c r="H1445" t="str">
        <f>TEXT(calendar[[#This Row],[WeekDay]],"dddd")</f>
        <v>Monday</v>
      </c>
      <c r="I1445">
        <f>IF((INT(calendar[[#This Row],[Count]]/7)-calendar[[#This Row],[Count]]/7)&lt;0,I1444,I1444+1)</f>
        <v>207</v>
      </c>
      <c r="J1445">
        <f t="shared" si="114"/>
        <v>1443</v>
      </c>
      <c r="K1445">
        <f>IF(calendar[[#This Row],[Month]]&lt;4,1,IF(calendar[[#This Row],[Month]]&lt;7,2,IF(calendar[[#This Row],[Month]]&lt;10,3,4)))</f>
        <v>4</v>
      </c>
      <c r="L1445">
        <f>IFERROR(IF(VLOOKUP(calendar[[#This Row],[Date]],BH!A:A,1,)&lt;&gt;"",1,0),0)</f>
        <v>0</v>
      </c>
      <c r="M1445">
        <f>IFERROR(IF(VLOOKUP(calendar[[#This Row],[Date]],BH!C:C,1,)&lt;&gt;"",1,0),0)</f>
        <v>0</v>
      </c>
      <c r="N1445">
        <f>IFERROR(IF(VLOOKUP(calendar[[#This Row],[Date]],BH!E:E,1,)&lt;&gt;"",1,0),0)</f>
        <v>0</v>
      </c>
      <c r="O1445">
        <f>IFERROR(IF(VLOOKUP(calendar[[#This Row],[Date]],BH!G:G,1,)&lt;&gt;"",1,0),0)</f>
        <v>0</v>
      </c>
      <c r="P1445">
        <f>IF(OR(calendar[[#This Row],[UK_BH]]=1,calendar[[#This Row],[WeekDay]]=1, calendar[[#This Row],[WeekDay]]=7),P1444,P1444+1)</f>
        <v>1031</v>
      </c>
      <c r="Q1445">
        <f>IF(OR(calendar[[#This Row],[FR_BH]]=1,calendar[[#This Row],[WeekDay]]=1, calendar[[#This Row],[WeekDay]]=7),P1444,P1444+1)</f>
        <v>1031</v>
      </c>
      <c r="R1445">
        <f>IF(OR(calendar[[#This Row],[SP_BH]]=1,calendar[[#This Row],[WeekDay]]=1, calendar[[#This Row],[WeekDay]]=7),P1444,P1444+1)</f>
        <v>1031</v>
      </c>
      <c r="S1445">
        <f>IF(OR(calendar[[#This Row],[PT_BH]]=1,calendar[[#This Row],[WeekDay]]=1, calendar[[#This Row],[WeekDay]]=7),P1444,P1444+1)</f>
        <v>1031</v>
      </c>
    </row>
    <row r="1446" spans="1:19" x14ac:dyDescent="0.25">
      <c r="A1446" s="2">
        <v>44180</v>
      </c>
      <c r="B1446" s="1">
        <f t="shared" si="113"/>
        <v>51</v>
      </c>
      <c r="C1446">
        <f t="shared" si="115"/>
        <v>12</v>
      </c>
      <c r="D1446" t="str">
        <f t="shared" si="116"/>
        <v>December</v>
      </c>
      <c r="E1446">
        <f t="shared" si="117"/>
        <v>2020</v>
      </c>
      <c r="F1446" t="str">
        <f>CONCATENATE(calendar[[#This Row],[Month]],"/",calendar[[#This Row],[Year]])</f>
        <v>12/2020</v>
      </c>
      <c r="G1446">
        <f>WEEKDAY(calendar[[#This Row],[Date]],1)</f>
        <v>3</v>
      </c>
      <c r="H1446" t="str">
        <f>TEXT(calendar[[#This Row],[WeekDay]],"dddd")</f>
        <v>Tuesday</v>
      </c>
      <c r="I1446">
        <f>IF((INT(calendar[[#This Row],[Count]]/7)-calendar[[#This Row],[Count]]/7)&lt;0,I1445,I1445+1)</f>
        <v>207</v>
      </c>
      <c r="J1446">
        <f t="shared" si="114"/>
        <v>1444</v>
      </c>
      <c r="K1446">
        <f>IF(calendar[[#This Row],[Month]]&lt;4,1,IF(calendar[[#This Row],[Month]]&lt;7,2,IF(calendar[[#This Row],[Month]]&lt;10,3,4)))</f>
        <v>4</v>
      </c>
      <c r="L1446">
        <f>IFERROR(IF(VLOOKUP(calendar[[#This Row],[Date]],BH!A:A,1,)&lt;&gt;"",1,0),0)</f>
        <v>0</v>
      </c>
      <c r="M1446">
        <f>IFERROR(IF(VLOOKUP(calendar[[#This Row],[Date]],BH!C:C,1,)&lt;&gt;"",1,0),0)</f>
        <v>0</v>
      </c>
      <c r="N1446">
        <f>IFERROR(IF(VLOOKUP(calendar[[#This Row],[Date]],BH!E:E,1,)&lt;&gt;"",1,0),0)</f>
        <v>0</v>
      </c>
      <c r="O1446">
        <f>IFERROR(IF(VLOOKUP(calendar[[#This Row],[Date]],BH!G:G,1,)&lt;&gt;"",1,0),0)</f>
        <v>0</v>
      </c>
      <c r="P1446">
        <f>IF(OR(calendar[[#This Row],[UK_BH]]=1,calendar[[#This Row],[WeekDay]]=1, calendar[[#This Row],[WeekDay]]=7),P1445,P1445+1)</f>
        <v>1032</v>
      </c>
      <c r="Q1446">
        <f>IF(OR(calendar[[#This Row],[FR_BH]]=1,calendar[[#This Row],[WeekDay]]=1, calendar[[#This Row],[WeekDay]]=7),P1445,P1445+1)</f>
        <v>1032</v>
      </c>
      <c r="R1446">
        <f>IF(OR(calendar[[#This Row],[SP_BH]]=1,calendar[[#This Row],[WeekDay]]=1, calendar[[#This Row],[WeekDay]]=7),P1445,P1445+1)</f>
        <v>1032</v>
      </c>
      <c r="S1446">
        <f>IF(OR(calendar[[#This Row],[PT_BH]]=1,calendar[[#This Row],[WeekDay]]=1, calendar[[#This Row],[WeekDay]]=7),P1445,P1445+1)</f>
        <v>1032</v>
      </c>
    </row>
    <row r="1447" spans="1:19" x14ac:dyDescent="0.25">
      <c r="A1447" s="2">
        <v>44181</v>
      </c>
      <c r="B1447" s="1">
        <f t="shared" si="113"/>
        <v>51</v>
      </c>
      <c r="C1447">
        <f t="shared" si="115"/>
        <v>12</v>
      </c>
      <c r="D1447" t="str">
        <f t="shared" si="116"/>
        <v>December</v>
      </c>
      <c r="E1447">
        <f t="shared" si="117"/>
        <v>2020</v>
      </c>
      <c r="F1447" t="str">
        <f>CONCATENATE(calendar[[#This Row],[Month]],"/",calendar[[#This Row],[Year]])</f>
        <v>12/2020</v>
      </c>
      <c r="G1447">
        <f>WEEKDAY(calendar[[#This Row],[Date]],1)</f>
        <v>4</v>
      </c>
      <c r="H1447" t="str">
        <f>TEXT(calendar[[#This Row],[WeekDay]],"dddd")</f>
        <v>Wednesday</v>
      </c>
      <c r="I1447">
        <f>IF((INT(calendar[[#This Row],[Count]]/7)-calendar[[#This Row],[Count]]/7)&lt;0,I1446,I1446+1)</f>
        <v>207</v>
      </c>
      <c r="J1447">
        <f t="shared" si="114"/>
        <v>1445</v>
      </c>
      <c r="K1447">
        <f>IF(calendar[[#This Row],[Month]]&lt;4,1,IF(calendar[[#This Row],[Month]]&lt;7,2,IF(calendar[[#This Row],[Month]]&lt;10,3,4)))</f>
        <v>4</v>
      </c>
      <c r="L1447">
        <f>IFERROR(IF(VLOOKUP(calendar[[#This Row],[Date]],BH!A:A,1,)&lt;&gt;"",1,0),0)</f>
        <v>0</v>
      </c>
      <c r="M1447">
        <f>IFERROR(IF(VLOOKUP(calendar[[#This Row],[Date]],BH!C:C,1,)&lt;&gt;"",1,0),0)</f>
        <v>0</v>
      </c>
      <c r="N1447">
        <f>IFERROR(IF(VLOOKUP(calendar[[#This Row],[Date]],BH!E:E,1,)&lt;&gt;"",1,0),0)</f>
        <v>0</v>
      </c>
      <c r="O1447">
        <f>IFERROR(IF(VLOOKUP(calendar[[#This Row],[Date]],BH!G:G,1,)&lt;&gt;"",1,0),0)</f>
        <v>0</v>
      </c>
      <c r="P1447">
        <f>IF(OR(calendar[[#This Row],[UK_BH]]=1,calendar[[#This Row],[WeekDay]]=1, calendar[[#This Row],[WeekDay]]=7),P1446,P1446+1)</f>
        <v>1033</v>
      </c>
      <c r="Q1447">
        <f>IF(OR(calendar[[#This Row],[FR_BH]]=1,calendar[[#This Row],[WeekDay]]=1, calendar[[#This Row],[WeekDay]]=7),P1446,P1446+1)</f>
        <v>1033</v>
      </c>
      <c r="R1447">
        <f>IF(OR(calendar[[#This Row],[SP_BH]]=1,calendar[[#This Row],[WeekDay]]=1, calendar[[#This Row],[WeekDay]]=7),P1446,P1446+1)</f>
        <v>1033</v>
      </c>
      <c r="S1447">
        <f>IF(OR(calendar[[#This Row],[PT_BH]]=1,calendar[[#This Row],[WeekDay]]=1, calendar[[#This Row],[WeekDay]]=7),P1446,P1446+1)</f>
        <v>1033</v>
      </c>
    </row>
    <row r="1448" spans="1:19" x14ac:dyDescent="0.25">
      <c r="A1448" s="2">
        <v>44182</v>
      </c>
      <c r="B1448" s="1">
        <f t="shared" si="113"/>
        <v>51</v>
      </c>
      <c r="C1448">
        <f t="shared" si="115"/>
        <v>12</v>
      </c>
      <c r="D1448" t="str">
        <f t="shared" si="116"/>
        <v>December</v>
      </c>
      <c r="E1448">
        <f t="shared" si="117"/>
        <v>2020</v>
      </c>
      <c r="F1448" t="str">
        <f>CONCATENATE(calendar[[#This Row],[Month]],"/",calendar[[#This Row],[Year]])</f>
        <v>12/2020</v>
      </c>
      <c r="G1448">
        <f>WEEKDAY(calendar[[#This Row],[Date]],1)</f>
        <v>5</v>
      </c>
      <c r="H1448" t="str">
        <f>TEXT(calendar[[#This Row],[WeekDay]],"dddd")</f>
        <v>Thursday</v>
      </c>
      <c r="I1448">
        <f>IF((INT(calendar[[#This Row],[Count]]/7)-calendar[[#This Row],[Count]]/7)&lt;0,I1447,I1447+1)</f>
        <v>207</v>
      </c>
      <c r="J1448">
        <f t="shared" si="114"/>
        <v>1446</v>
      </c>
      <c r="K1448">
        <f>IF(calendar[[#This Row],[Month]]&lt;4,1,IF(calendar[[#This Row],[Month]]&lt;7,2,IF(calendar[[#This Row],[Month]]&lt;10,3,4)))</f>
        <v>4</v>
      </c>
      <c r="L1448">
        <f>IFERROR(IF(VLOOKUP(calendar[[#This Row],[Date]],BH!A:A,1,)&lt;&gt;"",1,0),0)</f>
        <v>0</v>
      </c>
      <c r="M1448">
        <f>IFERROR(IF(VLOOKUP(calendar[[#This Row],[Date]],BH!C:C,1,)&lt;&gt;"",1,0),0)</f>
        <v>0</v>
      </c>
      <c r="N1448">
        <f>IFERROR(IF(VLOOKUP(calendar[[#This Row],[Date]],BH!E:E,1,)&lt;&gt;"",1,0),0)</f>
        <v>0</v>
      </c>
      <c r="O1448">
        <f>IFERROR(IF(VLOOKUP(calendar[[#This Row],[Date]],BH!G:G,1,)&lt;&gt;"",1,0),0)</f>
        <v>0</v>
      </c>
      <c r="P1448">
        <f>IF(OR(calendar[[#This Row],[UK_BH]]=1,calendar[[#This Row],[WeekDay]]=1, calendar[[#This Row],[WeekDay]]=7),P1447,P1447+1)</f>
        <v>1034</v>
      </c>
      <c r="Q1448">
        <f>IF(OR(calendar[[#This Row],[FR_BH]]=1,calendar[[#This Row],[WeekDay]]=1, calendar[[#This Row],[WeekDay]]=7),P1447,P1447+1)</f>
        <v>1034</v>
      </c>
      <c r="R1448">
        <f>IF(OR(calendar[[#This Row],[SP_BH]]=1,calendar[[#This Row],[WeekDay]]=1, calendar[[#This Row],[WeekDay]]=7),P1447,P1447+1)</f>
        <v>1034</v>
      </c>
      <c r="S1448">
        <f>IF(OR(calendar[[#This Row],[PT_BH]]=1,calendar[[#This Row],[WeekDay]]=1, calendar[[#This Row],[WeekDay]]=7),P1447,P1447+1)</f>
        <v>1034</v>
      </c>
    </row>
    <row r="1449" spans="1:19" x14ac:dyDescent="0.25">
      <c r="A1449" s="2">
        <v>44183</v>
      </c>
      <c r="B1449" s="1">
        <f t="shared" si="113"/>
        <v>51</v>
      </c>
      <c r="C1449">
        <f t="shared" si="115"/>
        <v>12</v>
      </c>
      <c r="D1449" t="str">
        <f t="shared" si="116"/>
        <v>December</v>
      </c>
      <c r="E1449">
        <f t="shared" si="117"/>
        <v>2020</v>
      </c>
      <c r="F1449" t="str">
        <f>CONCATENATE(calendar[[#This Row],[Month]],"/",calendar[[#This Row],[Year]])</f>
        <v>12/2020</v>
      </c>
      <c r="G1449">
        <f>WEEKDAY(calendar[[#This Row],[Date]],1)</f>
        <v>6</v>
      </c>
      <c r="H1449" t="str">
        <f>TEXT(calendar[[#This Row],[WeekDay]],"dddd")</f>
        <v>Friday</v>
      </c>
      <c r="I1449">
        <f>IF((INT(calendar[[#This Row],[Count]]/7)-calendar[[#This Row],[Count]]/7)&lt;0,I1448,I1448+1)</f>
        <v>207</v>
      </c>
      <c r="J1449">
        <f t="shared" si="114"/>
        <v>1447</v>
      </c>
      <c r="K1449">
        <f>IF(calendar[[#This Row],[Month]]&lt;4,1,IF(calendar[[#This Row],[Month]]&lt;7,2,IF(calendar[[#This Row],[Month]]&lt;10,3,4)))</f>
        <v>4</v>
      </c>
      <c r="L1449">
        <f>IFERROR(IF(VLOOKUP(calendar[[#This Row],[Date]],BH!A:A,1,)&lt;&gt;"",1,0),0)</f>
        <v>0</v>
      </c>
      <c r="M1449">
        <f>IFERROR(IF(VLOOKUP(calendar[[#This Row],[Date]],BH!C:C,1,)&lt;&gt;"",1,0),0)</f>
        <v>0</v>
      </c>
      <c r="N1449">
        <f>IFERROR(IF(VLOOKUP(calendar[[#This Row],[Date]],BH!E:E,1,)&lt;&gt;"",1,0),0)</f>
        <v>0</v>
      </c>
      <c r="O1449">
        <f>IFERROR(IF(VLOOKUP(calendar[[#This Row],[Date]],BH!G:G,1,)&lt;&gt;"",1,0),0)</f>
        <v>0</v>
      </c>
      <c r="P1449">
        <f>IF(OR(calendar[[#This Row],[UK_BH]]=1,calendar[[#This Row],[WeekDay]]=1, calendar[[#This Row],[WeekDay]]=7),P1448,P1448+1)</f>
        <v>1035</v>
      </c>
      <c r="Q1449">
        <f>IF(OR(calendar[[#This Row],[FR_BH]]=1,calendar[[#This Row],[WeekDay]]=1, calendar[[#This Row],[WeekDay]]=7),P1448,P1448+1)</f>
        <v>1035</v>
      </c>
      <c r="R1449">
        <f>IF(OR(calendar[[#This Row],[SP_BH]]=1,calendar[[#This Row],[WeekDay]]=1, calendar[[#This Row],[WeekDay]]=7),P1448,P1448+1)</f>
        <v>1035</v>
      </c>
      <c r="S1449">
        <f>IF(OR(calendar[[#This Row],[PT_BH]]=1,calendar[[#This Row],[WeekDay]]=1, calendar[[#This Row],[WeekDay]]=7),P1448,P1448+1)</f>
        <v>1035</v>
      </c>
    </row>
    <row r="1450" spans="1:19" x14ac:dyDescent="0.25">
      <c r="A1450" s="2">
        <v>44184</v>
      </c>
      <c r="B1450" s="1">
        <f t="shared" si="113"/>
        <v>51</v>
      </c>
      <c r="C1450">
        <f t="shared" si="115"/>
        <v>12</v>
      </c>
      <c r="D1450" t="str">
        <f t="shared" si="116"/>
        <v>December</v>
      </c>
      <c r="E1450">
        <f t="shared" si="117"/>
        <v>2020</v>
      </c>
      <c r="F1450" t="str">
        <f>CONCATENATE(calendar[[#This Row],[Month]],"/",calendar[[#This Row],[Year]])</f>
        <v>12/2020</v>
      </c>
      <c r="G1450">
        <f>WEEKDAY(calendar[[#This Row],[Date]],1)</f>
        <v>7</v>
      </c>
      <c r="H1450" t="str">
        <f>TEXT(calendar[[#This Row],[WeekDay]],"dddd")</f>
        <v>Saturday</v>
      </c>
      <c r="I1450">
        <f>IF((INT(calendar[[#This Row],[Count]]/7)-calendar[[#This Row],[Count]]/7)&lt;0,I1449,I1449+1)</f>
        <v>207</v>
      </c>
      <c r="J1450">
        <f t="shared" si="114"/>
        <v>1448</v>
      </c>
      <c r="K1450">
        <f>IF(calendar[[#This Row],[Month]]&lt;4,1,IF(calendar[[#This Row],[Month]]&lt;7,2,IF(calendar[[#This Row],[Month]]&lt;10,3,4)))</f>
        <v>4</v>
      </c>
      <c r="L1450">
        <f>IFERROR(IF(VLOOKUP(calendar[[#This Row],[Date]],BH!A:A,1,)&lt;&gt;"",1,0),0)</f>
        <v>0</v>
      </c>
      <c r="M1450">
        <f>IFERROR(IF(VLOOKUP(calendar[[#This Row],[Date]],BH!C:C,1,)&lt;&gt;"",1,0),0)</f>
        <v>0</v>
      </c>
      <c r="N1450">
        <f>IFERROR(IF(VLOOKUP(calendar[[#This Row],[Date]],BH!E:E,1,)&lt;&gt;"",1,0),0)</f>
        <v>0</v>
      </c>
      <c r="O1450">
        <f>IFERROR(IF(VLOOKUP(calendar[[#This Row],[Date]],BH!G:G,1,)&lt;&gt;"",1,0),0)</f>
        <v>0</v>
      </c>
      <c r="P1450">
        <f>IF(OR(calendar[[#This Row],[UK_BH]]=1,calendar[[#This Row],[WeekDay]]=1, calendar[[#This Row],[WeekDay]]=7),P1449,P1449+1)</f>
        <v>1035</v>
      </c>
      <c r="Q1450">
        <f>IF(OR(calendar[[#This Row],[FR_BH]]=1,calendar[[#This Row],[WeekDay]]=1, calendar[[#This Row],[WeekDay]]=7),P1449,P1449+1)</f>
        <v>1035</v>
      </c>
      <c r="R1450">
        <f>IF(OR(calendar[[#This Row],[SP_BH]]=1,calendar[[#This Row],[WeekDay]]=1, calendar[[#This Row],[WeekDay]]=7),P1449,P1449+1)</f>
        <v>1035</v>
      </c>
      <c r="S1450">
        <f>IF(OR(calendar[[#This Row],[PT_BH]]=1,calendar[[#This Row],[WeekDay]]=1, calendar[[#This Row],[WeekDay]]=7),P1449,P1449+1)</f>
        <v>1035</v>
      </c>
    </row>
    <row r="1451" spans="1:19" x14ac:dyDescent="0.25">
      <c r="A1451" s="2">
        <v>44185</v>
      </c>
      <c r="B1451" s="1">
        <f t="shared" si="113"/>
        <v>52</v>
      </c>
      <c r="C1451">
        <f t="shared" si="115"/>
        <v>12</v>
      </c>
      <c r="D1451" t="str">
        <f t="shared" si="116"/>
        <v>December</v>
      </c>
      <c r="E1451">
        <f t="shared" si="117"/>
        <v>2020</v>
      </c>
      <c r="F1451" t="str">
        <f>CONCATENATE(calendar[[#This Row],[Month]],"/",calendar[[#This Row],[Year]])</f>
        <v>12/2020</v>
      </c>
      <c r="G1451">
        <f>WEEKDAY(calendar[[#This Row],[Date]],1)</f>
        <v>1</v>
      </c>
      <c r="H1451" t="str">
        <f>TEXT(calendar[[#This Row],[WeekDay]],"dddd")</f>
        <v>Sunday</v>
      </c>
      <c r="I1451">
        <f>IF((INT(calendar[[#This Row],[Count]]/7)-calendar[[#This Row],[Count]]/7)&lt;0,I1450,I1450+1)</f>
        <v>208</v>
      </c>
      <c r="J1451">
        <f t="shared" si="114"/>
        <v>1449</v>
      </c>
      <c r="K1451">
        <f>IF(calendar[[#This Row],[Month]]&lt;4,1,IF(calendar[[#This Row],[Month]]&lt;7,2,IF(calendar[[#This Row],[Month]]&lt;10,3,4)))</f>
        <v>4</v>
      </c>
      <c r="L1451">
        <f>IFERROR(IF(VLOOKUP(calendar[[#This Row],[Date]],BH!A:A,1,)&lt;&gt;"",1,0),0)</f>
        <v>0</v>
      </c>
      <c r="M1451">
        <f>IFERROR(IF(VLOOKUP(calendar[[#This Row],[Date]],BH!C:C,1,)&lt;&gt;"",1,0),0)</f>
        <v>0</v>
      </c>
      <c r="N1451">
        <f>IFERROR(IF(VLOOKUP(calendar[[#This Row],[Date]],BH!E:E,1,)&lt;&gt;"",1,0),0)</f>
        <v>0</v>
      </c>
      <c r="O1451">
        <f>IFERROR(IF(VLOOKUP(calendar[[#This Row],[Date]],BH!G:G,1,)&lt;&gt;"",1,0),0)</f>
        <v>0</v>
      </c>
      <c r="P1451">
        <f>IF(OR(calendar[[#This Row],[UK_BH]]=1,calendar[[#This Row],[WeekDay]]=1, calendar[[#This Row],[WeekDay]]=7),P1450,P1450+1)</f>
        <v>1035</v>
      </c>
      <c r="Q1451">
        <f>IF(OR(calendar[[#This Row],[FR_BH]]=1,calendar[[#This Row],[WeekDay]]=1, calendar[[#This Row],[WeekDay]]=7),P1450,P1450+1)</f>
        <v>1035</v>
      </c>
      <c r="R1451">
        <f>IF(OR(calendar[[#This Row],[SP_BH]]=1,calendar[[#This Row],[WeekDay]]=1, calendar[[#This Row],[WeekDay]]=7),P1450,P1450+1)</f>
        <v>1035</v>
      </c>
      <c r="S1451">
        <f>IF(OR(calendar[[#This Row],[PT_BH]]=1,calendar[[#This Row],[WeekDay]]=1, calendar[[#This Row],[WeekDay]]=7),P1450,P1450+1)</f>
        <v>1035</v>
      </c>
    </row>
    <row r="1452" spans="1:19" x14ac:dyDescent="0.25">
      <c r="A1452" s="2">
        <v>44186</v>
      </c>
      <c r="B1452" s="1">
        <f t="shared" si="113"/>
        <v>52</v>
      </c>
      <c r="C1452">
        <f t="shared" si="115"/>
        <v>12</v>
      </c>
      <c r="D1452" t="str">
        <f t="shared" si="116"/>
        <v>December</v>
      </c>
      <c r="E1452">
        <f t="shared" si="117"/>
        <v>2020</v>
      </c>
      <c r="F1452" t="str">
        <f>CONCATENATE(calendar[[#This Row],[Month]],"/",calendar[[#This Row],[Year]])</f>
        <v>12/2020</v>
      </c>
      <c r="G1452">
        <f>WEEKDAY(calendar[[#This Row],[Date]],1)</f>
        <v>2</v>
      </c>
      <c r="H1452" t="str">
        <f>TEXT(calendar[[#This Row],[WeekDay]],"dddd")</f>
        <v>Monday</v>
      </c>
      <c r="I1452">
        <f>IF((INT(calendar[[#This Row],[Count]]/7)-calendar[[#This Row],[Count]]/7)&lt;0,I1451,I1451+1)</f>
        <v>208</v>
      </c>
      <c r="J1452">
        <f t="shared" si="114"/>
        <v>1450</v>
      </c>
      <c r="K1452">
        <f>IF(calendar[[#This Row],[Month]]&lt;4,1,IF(calendar[[#This Row],[Month]]&lt;7,2,IF(calendar[[#This Row],[Month]]&lt;10,3,4)))</f>
        <v>4</v>
      </c>
      <c r="L1452">
        <f>IFERROR(IF(VLOOKUP(calendar[[#This Row],[Date]],BH!A:A,1,)&lt;&gt;"",1,0),0)</f>
        <v>0</v>
      </c>
      <c r="M1452">
        <f>IFERROR(IF(VLOOKUP(calendar[[#This Row],[Date]],BH!C:C,1,)&lt;&gt;"",1,0),0)</f>
        <v>0</v>
      </c>
      <c r="N1452">
        <f>IFERROR(IF(VLOOKUP(calendar[[#This Row],[Date]],BH!E:E,1,)&lt;&gt;"",1,0),0)</f>
        <v>0</v>
      </c>
      <c r="O1452">
        <f>IFERROR(IF(VLOOKUP(calendar[[#This Row],[Date]],BH!G:G,1,)&lt;&gt;"",1,0),0)</f>
        <v>0</v>
      </c>
      <c r="P1452">
        <f>IF(OR(calendar[[#This Row],[UK_BH]]=1,calendar[[#This Row],[WeekDay]]=1, calendar[[#This Row],[WeekDay]]=7),P1451,P1451+1)</f>
        <v>1036</v>
      </c>
      <c r="Q1452">
        <f>IF(OR(calendar[[#This Row],[FR_BH]]=1,calendar[[#This Row],[WeekDay]]=1, calendar[[#This Row],[WeekDay]]=7),P1451,P1451+1)</f>
        <v>1036</v>
      </c>
      <c r="R1452">
        <f>IF(OR(calendar[[#This Row],[SP_BH]]=1,calendar[[#This Row],[WeekDay]]=1, calendar[[#This Row],[WeekDay]]=7),P1451,P1451+1)</f>
        <v>1036</v>
      </c>
      <c r="S1452">
        <f>IF(OR(calendar[[#This Row],[PT_BH]]=1,calendar[[#This Row],[WeekDay]]=1, calendar[[#This Row],[WeekDay]]=7),P1451,P1451+1)</f>
        <v>1036</v>
      </c>
    </row>
    <row r="1453" spans="1:19" x14ac:dyDescent="0.25">
      <c r="A1453" s="2">
        <v>44187</v>
      </c>
      <c r="B1453" s="1">
        <f t="shared" si="113"/>
        <v>52</v>
      </c>
      <c r="C1453">
        <f t="shared" si="115"/>
        <v>12</v>
      </c>
      <c r="D1453" t="str">
        <f t="shared" si="116"/>
        <v>December</v>
      </c>
      <c r="E1453">
        <f t="shared" si="117"/>
        <v>2020</v>
      </c>
      <c r="F1453" t="str">
        <f>CONCATENATE(calendar[[#This Row],[Month]],"/",calendar[[#This Row],[Year]])</f>
        <v>12/2020</v>
      </c>
      <c r="G1453">
        <f>WEEKDAY(calendar[[#This Row],[Date]],1)</f>
        <v>3</v>
      </c>
      <c r="H1453" t="str">
        <f>TEXT(calendar[[#This Row],[WeekDay]],"dddd")</f>
        <v>Tuesday</v>
      </c>
      <c r="I1453">
        <f>IF((INT(calendar[[#This Row],[Count]]/7)-calendar[[#This Row],[Count]]/7)&lt;0,I1452,I1452+1)</f>
        <v>208</v>
      </c>
      <c r="J1453">
        <f t="shared" si="114"/>
        <v>1451</v>
      </c>
      <c r="K1453">
        <f>IF(calendar[[#This Row],[Month]]&lt;4,1,IF(calendar[[#This Row],[Month]]&lt;7,2,IF(calendar[[#This Row],[Month]]&lt;10,3,4)))</f>
        <v>4</v>
      </c>
      <c r="L1453">
        <f>IFERROR(IF(VLOOKUP(calendar[[#This Row],[Date]],BH!A:A,1,)&lt;&gt;"",1,0),0)</f>
        <v>0</v>
      </c>
      <c r="M1453">
        <f>IFERROR(IF(VLOOKUP(calendar[[#This Row],[Date]],BH!C:C,1,)&lt;&gt;"",1,0),0)</f>
        <v>0</v>
      </c>
      <c r="N1453">
        <f>IFERROR(IF(VLOOKUP(calendar[[#This Row],[Date]],BH!E:E,1,)&lt;&gt;"",1,0),0)</f>
        <v>0</v>
      </c>
      <c r="O1453">
        <f>IFERROR(IF(VLOOKUP(calendar[[#This Row],[Date]],BH!G:G,1,)&lt;&gt;"",1,0),0)</f>
        <v>0</v>
      </c>
      <c r="P1453">
        <f>IF(OR(calendar[[#This Row],[UK_BH]]=1,calendar[[#This Row],[WeekDay]]=1, calendar[[#This Row],[WeekDay]]=7),P1452,P1452+1)</f>
        <v>1037</v>
      </c>
      <c r="Q1453">
        <f>IF(OR(calendar[[#This Row],[FR_BH]]=1,calendar[[#This Row],[WeekDay]]=1, calendar[[#This Row],[WeekDay]]=7),P1452,P1452+1)</f>
        <v>1037</v>
      </c>
      <c r="R1453">
        <f>IF(OR(calendar[[#This Row],[SP_BH]]=1,calendar[[#This Row],[WeekDay]]=1, calendar[[#This Row],[WeekDay]]=7),P1452,P1452+1)</f>
        <v>1037</v>
      </c>
      <c r="S1453">
        <f>IF(OR(calendar[[#This Row],[PT_BH]]=1,calendar[[#This Row],[WeekDay]]=1, calendar[[#This Row],[WeekDay]]=7),P1452,P1452+1)</f>
        <v>1037</v>
      </c>
    </row>
    <row r="1454" spans="1:19" x14ac:dyDescent="0.25">
      <c r="A1454" s="2">
        <v>44188</v>
      </c>
      <c r="B1454" s="1">
        <f t="shared" si="113"/>
        <v>52</v>
      </c>
      <c r="C1454">
        <f t="shared" si="115"/>
        <v>12</v>
      </c>
      <c r="D1454" t="str">
        <f t="shared" si="116"/>
        <v>December</v>
      </c>
      <c r="E1454">
        <f t="shared" si="117"/>
        <v>2020</v>
      </c>
      <c r="F1454" t="str">
        <f>CONCATENATE(calendar[[#This Row],[Month]],"/",calendar[[#This Row],[Year]])</f>
        <v>12/2020</v>
      </c>
      <c r="G1454">
        <f>WEEKDAY(calendar[[#This Row],[Date]],1)</f>
        <v>4</v>
      </c>
      <c r="H1454" t="str">
        <f>TEXT(calendar[[#This Row],[WeekDay]],"dddd")</f>
        <v>Wednesday</v>
      </c>
      <c r="I1454">
        <f>IF((INT(calendar[[#This Row],[Count]]/7)-calendar[[#This Row],[Count]]/7)&lt;0,I1453,I1453+1)</f>
        <v>208</v>
      </c>
      <c r="J1454">
        <f t="shared" si="114"/>
        <v>1452</v>
      </c>
      <c r="K1454">
        <f>IF(calendar[[#This Row],[Month]]&lt;4,1,IF(calendar[[#This Row],[Month]]&lt;7,2,IF(calendar[[#This Row],[Month]]&lt;10,3,4)))</f>
        <v>4</v>
      </c>
      <c r="L1454">
        <f>IFERROR(IF(VLOOKUP(calendar[[#This Row],[Date]],BH!A:A,1,)&lt;&gt;"",1,0),0)</f>
        <v>0</v>
      </c>
      <c r="M1454">
        <f>IFERROR(IF(VLOOKUP(calendar[[#This Row],[Date]],BH!C:C,1,)&lt;&gt;"",1,0),0)</f>
        <v>0</v>
      </c>
      <c r="N1454">
        <f>IFERROR(IF(VLOOKUP(calendar[[#This Row],[Date]],BH!E:E,1,)&lt;&gt;"",1,0),0)</f>
        <v>0</v>
      </c>
      <c r="O1454">
        <f>IFERROR(IF(VLOOKUP(calendar[[#This Row],[Date]],BH!G:G,1,)&lt;&gt;"",1,0),0)</f>
        <v>0</v>
      </c>
      <c r="P1454">
        <f>IF(OR(calendar[[#This Row],[UK_BH]]=1,calendar[[#This Row],[WeekDay]]=1, calendar[[#This Row],[WeekDay]]=7),P1453,P1453+1)</f>
        <v>1038</v>
      </c>
      <c r="Q1454">
        <f>IF(OR(calendar[[#This Row],[FR_BH]]=1,calendar[[#This Row],[WeekDay]]=1, calendar[[#This Row],[WeekDay]]=7),P1453,P1453+1)</f>
        <v>1038</v>
      </c>
      <c r="R1454">
        <f>IF(OR(calendar[[#This Row],[SP_BH]]=1,calendar[[#This Row],[WeekDay]]=1, calendar[[#This Row],[WeekDay]]=7),P1453,P1453+1)</f>
        <v>1038</v>
      </c>
      <c r="S1454">
        <f>IF(OR(calendar[[#This Row],[PT_BH]]=1,calendar[[#This Row],[WeekDay]]=1, calendar[[#This Row],[WeekDay]]=7),P1453,P1453+1)</f>
        <v>1038</v>
      </c>
    </row>
    <row r="1455" spans="1:19" x14ac:dyDescent="0.25">
      <c r="A1455" s="2">
        <v>44189</v>
      </c>
      <c r="B1455" s="1">
        <f t="shared" si="113"/>
        <v>52</v>
      </c>
      <c r="C1455">
        <f t="shared" si="115"/>
        <v>12</v>
      </c>
      <c r="D1455" t="str">
        <f t="shared" si="116"/>
        <v>December</v>
      </c>
      <c r="E1455">
        <f t="shared" si="117"/>
        <v>2020</v>
      </c>
      <c r="F1455" t="str">
        <f>CONCATENATE(calendar[[#This Row],[Month]],"/",calendar[[#This Row],[Year]])</f>
        <v>12/2020</v>
      </c>
      <c r="G1455">
        <f>WEEKDAY(calendar[[#This Row],[Date]],1)</f>
        <v>5</v>
      </c>
      <c r="H1455" t="str">
        <f>TEXT(calendar[[#This Row],[WeekDay]],"dddd")</f>
        <v>Thursday</v>
      </c>
      <c r="I1455">
        <f>IF((INT(calendar[[#This Row],[Count]]/7)-calendar[[#This Row],[Count]]/7)&lt;0,I1454,I1454+1)</f>
        <v>208</v>
      </c>
      <c r="J1455">
        <f t="shared" si="114"/>
        <v>1453</v>
      </c>
      <c r="K1455">
        <f>IF(calendar[[#This Row],[Month]]&lt;4,1,IF(calendar[[#This Row],[Month]]&lt;7,2,IF(calendar[[#This Row],[Month]]&lt;10,3,4)))</f>
        <v>4</v>
      </c>
      <c r="L1455">
        <f>IFERROR(IF(VLOOKUP(calendar[[#This Row],[Date]],BH!A:A,1,)&lt;&gt;"",1,0),0)</f>
        <v>0</v>
      </c>
      <c r="M1455">
        <f>IFERROR(IF(VLOOKUP(calendar[[#This Row],[Date]],BH!C:C,1,)&lt;&gt;"",1,0),0)</f>
        <v>0</v>
      </c>
      <c r="N1455">
        <f>IFERROR(IF(VLOOKUP(calendar[[#This Row],[Date]],BH!E:E,1,)&lt;&gt;"",1,0),0)</f>
        <v>0</v>
      </c>
      <c r="O1455">
        <f>IFERROR(IF(VLOOKUP(calendar[[#This Row],[Date]],BH!G:G,1,)&lt;&gt;"",1,0),0)</f>
        <v>0</v>
      </c>
      <c r="P1455">
        <f>IF(OR(calendar[[#This Row],[UK_BH]]=1,calendar[[#This Row],[WeekDay]]=1, calendar[[#This Row],[WeekDay]]=7),P1454,P1454+1)</f>
        <v>1039</v>
      </c>
      <c r="Q1455">
        <f>IF(OR(calendar[[#This Row],[FR_BH]]=1,calendar[[#This Row],[WeekDay]]=1, calendar[[#This Row],[WeekDay]]=7),P1454,P1454+1)</f>
        <v>1039</v>
      </c>
      <c r="R1455">
        <f>IF(OR(calendar[[#This Row],[SP_BH]]=1,calendar[[#This Row],[WeekDay]]=1, calendar[[#This Row],[WeekDay]]=7),P1454,P1454+1)</f>
        <v>1039</v>
      </c>
      <c r="S1455">
        <f>IF(OR(calendar[[#This Row],[PT_BH]]=1,calendar[[#This Row],[WeekDay]]=1, calendar[[#This Row],[WeekDay]]=7),P1454,P1454+1)</f>
        <v>1039</v>
      </c>
    </row>
    <row r="1456" spans="1:19" x14ac:dyDescent="0.25">
      <c r="A1456" s="2">
        <v>44190</v>
      </c>
      <c r="B1456" s="1">
        <f t="shared" si="113"/>
        <v>52</v>
      </c>
      <c r="C1456">
        <f t="shared" si="115"/>
        <v>12</v>
      </c>
      <c r="D1456" t="str">
        <f t="shared" si="116"/>
        <v>December</v>
      </c>
      <c r="E1456">
        <f t="shared" si="117"/>
        <v>2020</v>
      </c>
      <c r="F1456" t="str">
        <f>CONCATENATE(calendar[[#This Row],[Month]],"/",calendar[[#This Row],[Year]])</f>
        <v>12/2020</v>
      </c>
      <c r="G1456">
        <f>WEEKDAY(calendar[[#This Row],[Date]],1)</f>
        <v>6</v>
      </c>
      <c r="H1456" t="str">
        <f>TEXT(calendar[[#This Row],[WeekDay]],"dddd")</f>
        <v>Friday</v>
      </c>
      <c r="I1456">
        <f>IF((INT(calendar[[#This Row],[Count]]/7)-calendar[[#This Row],[Count]]/7)&lt;0,I1455,I1455+1)</f>
        <v>208</v>
      </c>
      <c r="J1456">
        <f t="shared" si="114"/>
        <v>1454</v>
      </c>
      <c r="K1456">
        <f>IF(calendar[[#This Row],[Month]]&lt;4,1,IF(calendar[[#This Row],[Month]]&lt;7,2,IF(calendar[[#This Row],[Month]]&lt;10,3,4)))</f>
        <v>4</v>
      </c>
      <c r="L1456">
        <f>IFERROR(IF(VLOOKUP(calendar[[#This Row],[Date]],BH!A:A,1,)&lt;&gt;"",1,0),0)</f>
        <v>0</v>
      </c>
      <c r="M1456">
        <f>IFERROR(IF(VLOOKUP(calendar[[#This Row],[Date]],BH!C:C,1,)&lt;&gt;"",1,0),0)</f>
        <v>0</v>
      </c>
      <c r="N1456">
        <f>IFERROR(IF(VLOOKUP(calendar[[#This Row],[Date]],BH!E:E,1,)&lt;&gt;"",1,0),0)</f>
        <v>0</v>
      </c>
      <c r="O1456">
        <f>IFERROR(IF(VLOOKUP(calendar[[#This Row],[Date]],BH!G:G,1,)&lt;&gt;"",1,0),0)</f>
        <v>0</v>
      </c>
      <c r="P1456">
        <f>IF(OR(calendar[[#This Row],[UK_BH]]=1,calendar[[#This Row],[WeekDay]]=1, calendar[[#This Row],[WeekDay]]=7),P1455,P1455+1)</f>
        <v>1040</v>
      </c>
      <c r="Q1456">
        <f>IF(OR(calendar[[#This Row],[FR_BH]]=1,calendar[[#This Row],[WeekDay]]=1, calendar[[#This Row],[WeekDay]]=7),P1455,P1455+1)</f>
        <v>1040</v>
      </c>
      <c r="R1456">
        <f>IF(OR(calendar[[#This Row],[SP_BH]]=1,calendar[[#This Row],[WeekDay]]=1, calendar[[#This Row],[WeekDay]]=7),P1455,P1455+1)</f>
        <v>1040</v>
      </c>
      <c r="S1456">
        <f>IF(OR(calendar[[#This Row],[PT_BH]]=1,calendar[[#This Row],[WeekDay]]=1, calendar[[#This Row],[WeekDay]]=7),P1455,P1455+1)</f>
        <v>1040</v>
      </c>
    </row>
    <row r="1457" spans="1:19" x14ac:dyDescent="0.25">
      <c r="A1457" s="2">
        <v>44191</v>
      </c>
      <c r="B1457" s="1">
        <f t="shared" si="113"/>
        <v>52</v>
      </c>
      <c r="C1457">
        <f t="shared" si="115"/>
        <v>12</v>
      </c>
      <c r="D1457" t="str">
        <f t="shared" si="116"/>
        <v>December</v>
      </c>
      <c r="E1457">
        <f t="shared" si="117"/>
        <v>2020</v>
      </c>
      <c r="F1457" t="str">
        <f>CONCATENATE(calendar[[#This Row],[Month]],"/",calendar[[#This Row],[Year]])</f>
        <v>12/2020</v>
      </c>
      <c r="G1457">
        <f>WEEKDAY(calendar[[#This Row],[Date]],1)</f>
        <v>7</v>
      </c>
      <c r="H1457" t="str">
        <f>TEXT(calendar[[#This Row],[WeekDay]],"dddd")</f>
        <v>Saturday</v>
      </c>
      <c r="I1457">
        <f>IF((INT(calendar[[#This Row],[Count]]/7)-calendar[[#This Row],[Count]]/7)&lt;0,I1456,I1456+1)</f>
        <v>208</v>
      </c>
      <c r="J1457">
        <f t="shared" si="114"/>
        <v>1455</v>
      </c>
      <c r="K1457">
        <f>IF(calendar[[#This Row],[Month]]&lt;4,1,IF(calendar[[#This Row],[Month]]&lt;7,2,IF(calendar[[#This Row],[Month]]&lt;10,3,4)))</f>
        <v>4</v>
      </c>
      <c r="L1457">
        <f>IFERROR(IF(VLOOKUP(calendar[[#This Row],[Date]],BH!A:A,1,)&lt;&gt;"",1,0),0)</f>
        <v>0</v>
      </c>
      <c r="M1457">
        <f>IFERROR(IF(VLOOKUP(calendar[[#This Row],[Date]],BH!C:C,1,)&lt;&gt;"",1,0),0)</f>
        <v>0</v>
      </c>
      <c r="N1457">
        <f>IFERROR(IF(VLOOKUP(calendar[[#This Row],[Date]],BH!E:E,1,)&lt;&gt;"",1,0),0)</f>
        <v>0</v>
      </c>
      <c r="O1457">
        <f>IFERROR(IF(VLOOKUP(calendar[[#This Row],[Date]],BH!G:G,1,)&lt;&gt;"",1,0),0)</f>
        <v>0</v>
      </c>
      <c r="P1457">
        <f>IF(OR(calendar[[#This Row],[UK_BH]]=1,calendar[[#This Row],[WeekDay]]=1, calendar[[#This Row],[WeekDay]]=7),P1456,P1456+1)</f>
        <v>1040</v>
      </c>
      <c r="Q1457">
        <f>IF(OR(calendar[[#This Row],[FR_BH]]=1,calendar[[#This Row],[WeekDay]]=1, calendar[[#This Row],[WeekDay]]=7),P1456,P1456+1)</f>
        <v>1040</v>
      </c>
      <c r="R1457">
        <f>IF(OR(calendar[[#This Row],[SP_BH]]=1,calendar[[#This Row],[WeekDay]]=1, calendar[[#This Row],[WeekDay]]=7),P1456,P1456+1)</f>
        <v>1040</v>
      </c>
      <c r="S1457">
        <f>IF(OR(calendar[[#This Row],[PT_BH]]=1,calendar[[#This Row],[WeekDay]]=1, calendar[[#This Row],[WeekDay]]=7),P1456,P1456+1)</f>
        <v>1040</v>
      </c>
    </row>
    <row r="1458" spans="1:19" x14ac:dyDescent="0.25">
      <c r="A1458" s="2">
        <v>44192</v>
      </c>
      <c r="B1458" s="1">
        <f t="shared" si="113"/>
        <v>53</v>
      </c>
      <c r="C1458">
        <f t="shared" si="115"/>
        <v>12</v>
      </c>
      <c r="D1458" t="str">
        <f t="shared" si="116"/>
        <v>December</v>
      </c>
      <c r="E1458">
        <f t="shared" si="117"/>
        <v>2020</v>
      </c>
      <c r="F1458" t="str">
        <f>CONCATENATE(calendar[[#This Row],[Month]],"/",calendar[[#This Row],[Year]])</f>
        <v>12/2020</v>
      </c>
      <c r="G1458">
        <f>WEEKDAY(calendar[[#This Row],[Date]],1)</f>
        <v>1</v>
      </c>
      <c r="H1458" t="str">
        <f>TEXT(calendar[[#This Row],[WeekDay]],"dddd")</f>
        <v>Sunday</v>
      </c>
      <c r="I1458">
        <f>IF((INT(calendar[[#This Row],[Count]]/7)-calendar[[#This Row],[Count]]/7)&lt;0,I1457,I1457+1)</f>
        <v>209</v>
      </c>
      <c r="J1458">
        <f t="shared" si="114"/>
        <v>1456</v>
      </c>
      <c r="K1458">
        <f>IF(calendar[[#This Row],[Month]]&lt;4,1,IF(calendar[[#This Row],[Month]]&lt;7,2,IF(calendar[[#This Row],[Month]]&lt;10,3,4)))</f>
        <v>4</v>
      </c>
      <c r="L1458">
        <f>IFERROR(IF(VLOOKUP(calendar[[#This Row],[Date]],BH!A:A,1,)&lt;&gt;"",1,0),0)</f>
        <v>0</v>
      </c>
      <c r="M1458">
        <f>IFERROR(IF(VLOOKUP(calendar[[#This Row],[Date]],BH!C:C,1,)&lt;&gt;"",1,0),0)</f>
        <v>0</v>
      </c>
      <c r="N1458">
        <f>IFERROR(IF(VLOOKUP(calendar[[#This Row],[Date]],BH!E:E,1,)&lt;&gt;"",1,0),0)</f>
        <v>0</v>
      </c>
      <c r="O1458">
        <f>IFERROR(IF(VLOOKUP(calendar[[#This Row],[Date]],BH!G:G,1,)&lt;&gt;"",1,0),0)</f>
        <v>0</v>
      </c>
      <c r="P1458">
        <f>IF(OR(calendar[[#This Row],[UK_BH]]=1,calendar[[#This Row],[WeekDay]]=1, calendar[[#This Row],[WeekDay]]=7),P1457,P1457+1)</f>
        <v>1040</v>
      </c>
      <c r="Q1458">
        <f>IF(OR(calendar[[#This Row],[FR_BH]]=1,calendar[[#This Row],[WeekDay]]=1, calendar[[#This Row],[WeekDay]]=7),P1457,P1457+1)</f>
        <v>1040</v>
      </c>
      <c r="R1458">
        <f>IF(OR(calendar[[#This Row],[SP_BH]]=1,calendar[[#This Row],[WeekDay]]=1, calendar[[#This Row],[WeekDay]]=7),P1457,P1457+1)</f>
        <v>1040</v>
      </c>
      <c r="S1458">
        <f>IF(OR(calendar[[#This Row],[PT_BH]]=1,calendar[[#This Row],[WeekDay]]=1, calendar[[#This Row],[WeekDay]]=7),P1457,P1457+1)</f>
        <v>1040</v>
      </c>
    </row>
    <row r="1459" spans="1:19" x14ac:dyDescent="0.25">
      <c r="A1459" s="2">
        <v>44193</v>
      </c>
      <c r="B1459" s="1">
        <f t="shared" si="113"/>
        <v>53</v>
      </c>
      <c r="C1459">
        <f t="shared" si="115"/>
        <v>12</v>
      </c>
      <c r="D1459" t="str">
        <f t="shared" si="116"/>
        <v>December</v>
      </c>
      <c r="E1459">
        <f t="shared" si="117"/>
        <v>2020</v>
      </c>
      <c r="F1459" t="str">
        <f>CONCATENATE(calendar[[#This Row],[Month]],"/",calendar[[#This Row],[Year]])</f>
        <v>12/2020</v>
      </c>
      <c r="G1459">
        <f>WEEKDAY(calendar[[#This Row],[Date]],1)</f>
        <v>2</v>
      </c>
      <c r="H1459" t="str">
        <f>TEXT(calendar[[#This Row],[WeekDay]],"dddd")</f>
        <v>Monday</v>
      </c>
      <c r="I1459">
        <f>IF((INT(calendar[[#This Row],[Count]]/7)-calendar[[#This Row],[Count]]/7)&lt;0,I1458,I1458+1)</f>
        <v>209</v>
      </c>
      <c r="J1459">
        <f t="shared" si="114"/>
        <v>1457</v>
      </c>
      <c r="K1459">
        <f>IF(calendar[[#This Row],[Month]]&lt;4,1,IF(calendar[[#This Row],[Month]]&lt;7,2,IF(calendar[[#This Row],[Month]]&lt;10,3,4)))</f>
        <v>4</v>
      </c>
      <c r="L1459">
        <f>IFERROR(IF(VLOOKUP(calendar[[#This Row],[Date]],BH!A:A,1,)&lt;&gt;"",1,0),0)</f>
        <v>0</v>
      </c>
      <c r="M1459">
        <f>IFERROR(IF(VLOOKUP(calendar[[#This Row],[Date]],BH!C:C,1,)&lt;&gt;"",1,0),0)</f>
        <v>0</v>
      </c>
      <c r="N1459">
        <f>IFERROR(IF(VLOOKUP(calendar[[#This Row],[Date]],BH!E:E,1,)&lt;&gt;"",1,0),0)</f>
        <v>0</v>
      </c>
      <c r="O1459">
        <f>IFERROR(IF(VLOOKUP(calendar[[#This Row],[Date]],BH!G:G,1,)&lt;&gt;"",1,0),0)</f>
        <v>0</v>
      </c>
      <c r="P1459">
        <f>IF(OR(calendar[[#This Row],[UK_BH]]=1,calendar[[#This Row],[WeekDay]]=1, calendar[[#This Row],[WeekDay]]=7),P1458,P1458+1)</f>
        <v>1041</v>
      </c>
      <c r="Q1459">
        <f>IF(OR(calendar[[#This Row],[FR_BH]]=1,calendar[[#This Row],[WeekDay]]=1, calendar[[#This Row],[WeekDay]]=7),P1458,P1458+1)</f>
        <v>1041</v>
      </c>
      <c r="R1459">
        <f>IF(OR(calendar[[#This Row],[SP_BH]]=1,calendar[[#This Row],[WeekDay]]=1, calendar[[#This Row],[WeekDay]]=7),P1458,P1458+1)</f>
        <v>1041</v>
      </c>
      <c r="S1459">
        <f>IF(OR(calendar[[#This Row],[PT_BH]]=1,calendar[[#This Row],[WeekDay]]=1, calendar[[#This Row],[WeekDay]]=7),P1458,P1458+1)</f>
        <v>1041</v>
      </c>
    </row>
    <row r="1460" spans="1:19" x14ac:dyDescent="0.25">
      <c r="A1460" s="2">
        <v>44194</v>
      </c>
      <c r="B1460" s="1">
        <f t="shared" si="113"/>
        <v>53</v>
      </c>
      <c r="C1460">
        <f t="shared" si="115"/>
        <v>12</v>
      </c>
      <c r="D1460" t="str">
        <f t="shared" si="116"/>
        <v>December</v>
      </c>
      <c r="E1460">
        <f t="shared" si="117"/>
        <v>2020</v>
      </c>
      <c r="F1460" t="str">
        <f>CONCATENATE(calendar[[#This Row],[Month]],"/",calendar[[#This Row],[Year]])</f>
        <v>12/2020</v>
      </c>
      <c r="G1460">
        <f>WEEKDAY(calendar[[#This Row],[Date]],1)</f>
        <v>3</v>
      </c>
      <c r="H1460" t="str">
        <f>TEXT(calendar[[#This Row],[WeekDay]],"dddd")</f>
        <v>Tuesday</v>
      </c>
      <c r="I1460">
        <f>IF((INT(calendar[[#This Row],[Count]]/7)-calendar[[#This Row],[Count]]/7)&lt;0,I1459,I1459+1)</f>
        <v>209</v>
      </c>
      <c r="J1460">
        <f t="shared" si="114"/>
        <v>1458</v>
      </c>
      <c r="K1460">
        <f>IF(calendar[[#This Row],[Month]]&lt;4,1,IF(calendar[[#This Row],[Month]]&lt;7,2,IF(calendar[[#This Row],[Month]]&lt;10,3,4)))</f>
        <v>4</v>
      </c>
      <c r="L1460">
        <f>IFERROR(IF(VLOOKUP(calendar[[#This Row],[Date]],BH!A:A,1,)&lt;&gt;"",1,0),0)</f>
        <v>0</v>
      </c>
      <c r="M1460">
        <f>IFERROR(IF(VLOOKUP(calendar[[#This Row],[Date]],BH!C:C,1,)&lt;&gt;"",1,0),0)</f>
        <v>0</v>
      </c>
      <c r="N1460">
        <f>IFERROR(IF(VLOOKUP(calendar[[#This Row],[Date]],BH!E:E,1,)&lt;&gt;"",1,0),0)</f>
        <v>0</v>
      </c>
      <c r="O1460">
        <f>IFERROR(IF(VLOOKUP(calendar[[#This Row],[Date]],BH!G:G,1,)&lt;&gt;"",1,0),0)</f>
        <v>0</v>
      </c>
      <c r="P1460">
        <f>IF(OR(calendar[[#This Row],[UK_BH]]=1,calendar[[#This Row],[WeekDay]]=1, calendar[[#This Row],[WeekDay]]=7),P1459,P1459+1)</f>
        <v>1042</v>
      </c>
      <c r="Q1460">
        <f>IF(OR(calendar[[#This Row],[FR_BH]]=1,calendar[[#This Row],[WeekDay]]=1, calendar[[#This Row],[WeekDay]]=7),P1459,P1459+1)</f>
        <v>1042</v>
      </c>
      <c r="R1460">
        <f>IF(OR(calendar[[#This Row],[SP_BH]]=1,calendar[[#This Row],[WeekDay]]=1, calendar[[#This Row],[WeekDay]]=7),P1459,P1459+1)</f>
        <v>1042</v>
      </c>
      <c r="S1460">
        <f>IF(OR(calendar[[#This Row],[PT_BH]]=1,calendar[[#This Row],[WeekDay]]=1, calendar[[#This Row],[WeekDay]]=7),P1459,P1459+1)</f>
        <v>1042</v>
      </c>
    </row>
    <row r="1461" spans="1:19" x14ac:dyDescent="0.25">
      <c r="A1461" s="2">
        <v>44195</v>
      </c>
      <c r="B1461" s="1">
        <f t="shared" si="113"/>
        <v>53</v>
      </c>
      <c r="C1461">
        <f t="shared" si="115"/>
        <v>12</v>
      </c>
      <c r="D1461" t="str">
        <f t="shared" si="116"/>
        <v>December</v>
      </c>
      <c r="E1461">
        <f t="shared" si="117"/>
        <v>2020</v>
      </c>
      <c r="F1461" t="str">
        <f>CONCATENATE(calendar[[#This Row],[Month]],"/",calendar[[#This Row],[Year]])</f>
        <v>12/2020</v>
      </c>
      <c r="G1461">
        <f>WEEKDAY(calendar[[#This Row],[Date]],1)</f>
        <v>4</v>
      </c>
      <c r="H1461" t="str">
        <f>TEXT(calendar[[#This Row],[WeekDay]],"dddd")</f>
        <v>Wednesday</v>
      </c>
      <c r="I1461">
        <f>IF((INT(calendar[[#This Row],[Count]]/7)-calendar[[#This Row],[Count]]/7)&lt;0,I1460,I1460+1)</f>
        <v>209</v>
      </c>
      <c r="J1461">
        <f t="shared" si="114"/>
        <v>1459</v>
      </c>
      <c r="K1461">
        <f>IF(calendar[[#This Row],[Month]]&lt;4,1,IF(calendar[[#This Row],[Month]]&lt;7,2,IF(calendar[[#This Row],[Month]]&lt;10,3,4)))</f>
        <v>4</v>
      </c>
      <c r="L1461">
        <f>IFERROR(IF(VLOOKUP(calendar[[#This Row],[Date]],BH!A:A,1,)&lt;&gt;"",1,0),0)</f>
        <v>0</v>
      </c>
      <c r="M1461">
        <f>IFERROR(IF(VLOOKUP(calendar[[#This Row],[Date]],BH!C:C,1,)&lt;&gt;"",1,0),0)</f>
        <v>0</v>
      </c>
      <c r="N1461">
        <f>IFERROR(IF(VLOOKUP(calendar[[#This Row],[Date]],BH!E:E,1,)&lt;&gt;"",1,0),0)</f>
        <v>0</v>
      </c>
      <c r="O1461">
        <f>IFERROR(IF(VLOOKUP(calendar[[#This Row],[Date]],BH!G:G,1,)&lt;&gt;"",1,0),0)</f>
        <v>0</v>
      </c>
      <c r="P1461">
        <f>IF(OR(calendar[[#This Row],[UK_BH]]=1,calendar[[#This Row],[WeekDay]]=1, calendar[[#This Row],[WeekDay]]=7),P1460,P1460+1)</f>
        <v>1043</v>
      </c>
      <c r="Q1461">
        <f>IF(OR(calendar[[#This Row],[FR_BH]]=1,calendar[[#This Row],[WeekDay]]=1, calendar[[#This Row],[WeekDay]]=7),P1460,P1460+1)</f>
        <v>1043</v>
      </c>
      <c r="R1461">
        <f>IF(OR(calendar[[#This Row],[SP_BH]]=1,calendar[[#This Row],[WeekDay]]=1, calendar[[#This Row],[WeekDay]]=7),P1460,P1460+1)</f>
        <v>1043</v>
      </c>
      <c r="S1461">
        <f>IF(OR(calendar[[#This Row],[PT_BH]]=1,calendar[[#This Row],[WeekDay]]=1, calendar[[#This Row],[WeekDay]]=7),P1460,P1460+1)</f>
        <v>1043</v>
      </c>
    </row>
    <row r="1462" spans="1:19" x14ac:dyDescent="0.25">
      <c r="A1462" s="2">
        <v>44196</v>
      </c>
      <c r="B1462" s="1">
        <f t="shared" si="113"/>
        <v>53</v>
      </c>
      <c r="C1462">
        <f t="shared" si="115"/>
        <v>12</v>
      </c>
      <c r="D1462" t="str">
        <f t="shared" si="116"/>
        <v>December</v>
      </c>
      <c r="E1462">
        <f t="shared" si="117"/>
        <v>2020</v>
      </c>
      <c r="F1462" t="str">
        <f>CONCATENATE(calendar[[#This Row],[Month]],"/",calendar[[#This Row],[Year]])</f>
        <v>12/2020</v>
      </c>
      <c r="G1462">
        <f>WEEKDAY(calendar[[#This Row],[Date]],1)</f>
        <v>5</v>
      </c>
      <c r="H1462" t="str">
        <f>TEXT(calendar[[#This Row],[WeekDay]],"dddd")</f>
        <v>Thursday</v>
      </c>
      <c r="I1462">
        <f>IF((INT(calendar[[#This Row],[Count]]/7)-calendar[[#This Row],[Count]]/7)&lt;0,I1461,I1461+1)</f>
        <v>209</v>
      </c>
      <c r="J1462">
        <f t="shared" si="114"/>
        <v>1460</v>
      </c>
      <c r="K1462">
        <f>IF(calendar[[#This Row],[Month]]&lt;4,1,IF(calendar[[#This Row],[Month]]&lt;7,2,IF(calendar[[#This Row],[Month]]&lt;10,3,4)))</f>
        <v>4</v>
      </c>
      <c r="L1462">
        <f>IFERROR(IF(VLOOKUP(calendar[[#This Row],[Date]],BH!A:A,1,)&lt;&gt;"",1,0),0)</f>
        <v>0</v>
      </c>
      <c r="M1462">
        <f>IFERROR(IF(VLOOKUP(calendar[[#This Row],[Date]],BH!C:C,1,)&lt;&gt;"",1,0),0)</f>
        <v>0</v>
      </c>
      <c r="N1462">
        <f>IFERROR(IF(VLOOKUP(calendar[[#This Row],[Date]],BH!E:E,1,)&lt;&gt;"",1,0),0)</f>
        <v>0</v>
      </c>
      <c r="O1462">
        <f>IFERROR(IF(VLOOKUP(calendar[[#This Row],[Date]],BH!G:G,1,)&lt;&gt;"",1,0),0)</f>
        <v>0</v>
      </c>
      <c r="P1462">
        <f>IF(OR(calendar[[#This Row],[UK_BH]]=1,calendar[[#This Row],[WeekDay]]=1, calendar[[#This Row],[WeekDay]]=7),P1461,P1461+1)</f>
        <v>1044</v>
      </c>
      <c r="Q1462">
        <f>IF(OR(calendar[[#This Row],[FR_BH]]=1,calendar[[#This Row],[WeekDay]]=1, calendar[[#This Row],[WeekDay]]=7),P1461,P1461+1)</f>
        <v>1044</v>
      </c>
      <c r="R1462">
        <f>IF(OR(calendar[[#This Row],[SP_BH]]=1,calendar[[#This Row],[WeekDay]]=1, calendar[[#This Row],[WeekDay]]=7),P1461,P1461+1)</f>
        <v>1044</v>
      </c>
      <c r="S1462">
        <f>IF(OR(calendar[[#This Row],[PT_BH]]=1,calendar[[#This Row],[WeekDay]]=1, calendar[[#This Row],[WeekDay]]=7),P1461,P1461+1)</f>
        <v>1044</v>
      </c>
    </row>
    <row r="1463" spans="1:19" x14ac:dyDescent="0.25">
      <c r="A1463" s="2">
        <v>44197</v>
      </c>
      <c r="B1463" s="1">
        <f t="shared" si="113"/>
        <v>1</v>
      </c>
      <c r="C1463">
        <f t="shared" si="115"/>
        <v>1</v>
      </c>
      <c r="D1463" t="str">
        <f t="shared" si="116"/>
        <v>January</v>
      </c>
      <c r="E1463">
        <f t="shared" si="117"/>
        <v>2021</v>
      </c>
      <c r="F1463" t="str">
        <f>CONCATENATE(calendar[[#This Row],[Month]],"/",calendar[[#This Row],[Year]])</f>
        <v>1/2021</v>
      </c>
      <c r="G1463">
        <f>WEEKDAY(calendar[[#This Row],[Date]],1)</f>
        <v>6</v>
      </c>
      <c r="H1463" t="str">
        <f>TEXT(calendar[[#This Row],[WeekDay]],"dddd")</f>
        <v>Friday</v>
      </c>
      <c r="I1463">
        <f>IF((INT(calendar[[#This Row],[Count]]/7)-calendar[[#This Row],[Count]]/7)&lt;0,I1462,I1462+1)</f>
        <v>209</v>
      </c>
      <c r="J1463">
        <f t="shared" si="114"/>
        <v>1461</v>
      </c>
      <c r="K1463">
        <f>IF(calendar[[#This Row],[Month]]&lt;4,1,IF(calendar[[#This Row],[Month]]&lt;7,2,IF(calendar[[#This Row],[Month]]&lt;10,3,4)))</f>
        <v>1</v>
      </c>
      <c r="L1463">
        <f>IFERROR(IF(VLOOKUP(calendar[[#This Row],[Date]],BH!A:A,1,)&lt;&gt;"",1,0),0)</f>
        <v>0</v>
      </c>
      <c r="M1463">
        <f>IFERROR(IF(VLOOKUP(calendar[[#This Row],[Date]],BH!C:C,1,)&lt;&gt;"",1,0),0)</f>
        <v>0</v>
      </c>
      <c r="N1463">
        <f>IFERROR(IF(VLOOKUP(calendar[[#This Row],[Date]],BH!E:E,1,)&lt;&gt;"",1,0),0)</f>
        <v>0</v>
      </c>
      <c r="O1463">
        <f>IFERROR(IF(VLOOKUP(calendar[[#This Row],[Date]],BH!G:G,1,)&lt;&gt;"",1,0),0)</f>
        <v>0</v>
      </c>
      <c r="P1463">
        <f>IF(OR(calendar[[#This Row],[UK_BH]]=1,calendar[[#This Row],[WeekDay]]=1, calendar[[#This Row],[WeekDay]]=7),P1462,P1462+1)</f>
        <v>1045</v>
      </c>
      <c r="Q1463">
        <f>IF(OR(calendar[[#This Row],[FR_BH]]=1,calendar[[#This Row],[WeekDay]]=1, calendar[[#This Row],[WeekDay]]=7),P1462,P1462+1)</f>
        <v>1045</v>
      </c>
      <c r="R1463">
        <f>IF(OR(calendar[[#This Row],[SP_BH]]=1,calendar[[#This Row],[WeekDay]]=1, calendar[[#This Row],[WeekDay]]=7),P1462,P1462+1)</f>
        <v>1045</v>
      </c>
      <c r="S1463">
        <f>IF(OR(calendar[[#This Row],[PT_BH]]=1,calendar[[#This Row],[WeekDay]]=1, calendar[[#This Row],[WeekDay]]=7),P1462,P1462+1)</f>
        <v>1045</v>
      </c>
    </row>
    <row r="1464" spans="1:19" x14ac:dyDescent="0.25">
      <c r="A1464" s="2">
        <v>44198</v>
      </c>
      <c r="B1464" s="1">
        <f t="shared" si="113"/>
        <v>1</v>
      </c>
      <c r="C1464">
        <f t="shared" si="115"/>
        <v>1</v>
      </c>
      <c r="D1464" t="str">
        <f t="shared" si="116"/>
        <v>January</v>
      </c>
      <c r="E1464">
        <f t="shared" si="117"/>
        <v>2021</v>
      </c>
      <c r="F1464" t="str">
        <f>CONCATENATE(calendar[[#This Row],[Month]],"/",calendar[[#This Row],[Year]])</f>
        <v>1/2021</v>
      </c>
      <c r="G1464">
        <f>WEEKDAY(calendar[[#This Row],[Date]],1)</f>
        <v>7</v>
      </c>
      <c r="H1464" t="str">
        <f>TEXT(calendar[[#This Row],[WeekDay]],"dddd")</f>
        <v>Saturday</v>
      </c>
      <c r="I1464">
        <f>IF((INT(calendar[[#This Row],[Count]]/7)-calendar[[#This Row],[Count]]/7)&lt;0,I1463,I1463+1)</f>
        <v>209</v>
      </c>
      <c r="J1464">
        <f t="shared" si="114"/>
        <v>1462</v>
      </c>
      <c r="K1464">
        <f>IF(calendar[[#This Row],[Month]]&lt;4,1,IF(calendar[[#This Row],[Month]]&lt;7,2,IF(calendar[[#This Row],[Month]]&lt;10,3,4)))</f>
        <v>1</v>
      </c>
      <c r="L1464">
        <f>IFERROR(IF(VLOOKUP(calendar[[#This Row],[Date]],BH!A:A,1,)&lt;&gt;"",1,0),0)</f>
        <v>0</v>
      </c>
      <c r="M1464">
        <f>IFERROR(IF(VLOOKUP(calendar[[#This Row],[Date]],BH!C:C,1,)&lt;&gt;"",1,0),0)</f>
        <v>0</v>
      </c>
      <c r="N1464">
        <f>IFERROR(IF(VLOOKUP(calendar[[#This Row],[Date]],BH!E:E,1,)&lt;&gt;"",1,0),0)</f>
        <v>0</v>
      </c>
      <c r="O1464">
        <f>IFERROR(IF(VLOOKUP(calendar[[#This Row],[Date]],BH!G:G,1,)&lt;&gt;"",1,0),0)</f>
        <v>0</v>
      </c>
      <c r="P1464">
        <f>IF(OR(calendar[[#This Row],[UK_BH]]=1,calendar[[#This Row],[WeekDay]]=1, calendar[[#This Row],[WeekDay]]=7),P1463,P1463+1)</f>
        <v>1045</v>
      </c>
      <c r="Q1464">
        <f>IF(OR(calendar[[#This Row],[FR_BH]]=1,calendar[[#This Row],[WeekDay]]=1, calendar[[#This Row],[WeekDay]]=7),P1463,P1463+1)</f>
        <v>1045</v>
      </c>
      <c r="R1464">
        <f>IF(OR(calendar[[#This Row],[SP_BH]]=1,calendar[[#This Row],[WeekDay]]=1, calendar[[#This Row],[WeekDay]]=7),P1463,P1463+1)</f>
        <v>1045</v>
      </c>
      <c r="S1464">
        <f>IF(OR(calendar[[#This Row],[PT_BH]]=1,calendar[[#This Row],[WeekDay]]=1, calendar[[#This Row],[WeekDay]]=7),P1463,P1463+1)</f>
        <v>1045</v>
      </c>
    </row>
    <row r="1465" spans="1:19" x14ac:dyDescent="0.25">
      <c r="A1465" s="2">
        <v>44199</v>
      </c>
      <c r="B1465" s="1">
        <f t="shared" si="113"/>
        <v>2</v>
      </c>
      <c r="C1465">
        <f t="shared" si="115"/>
        <v>1</v>
      </c>
      <c r="D1465" t="str">
        <f t="shared" si="116"/>
        <v>January</v>
      </c>
      <c r="E1465">
        <f t="shared" si="117"/>
        <v>2021</v>
      </c>
      <c r="F1465" t="str">
        <f>CONCATENATE(calendar[[#This Row],[Month]],"/",calendar[[#This Row],[Year]])</f>
        <v>1/2021</v>
      </c>
      <c r="G1465">
        <f>WEEKDAY(calendar[[#This Row],[Date]],1)</f>
        <v>1</v>
      </c>
      <c r="H1465" t="str">
        <f>TEXT(calendar[[#This Row],[WeekDay]],"dddd")</f>
        <v>Sunday</v>
      </c>
      <c r="I1465">
        <f>IF((INT(calendar[[#This Row],[Count]]/7)-calendar[[#This Row],[Count]]/7)&lt;0,I1464,I1464+1)</f>
        <v>210</v>
      </c>
      <c r="J1465">
        <f t="shared" si="114"/>
        <v>1463</v>
      </c>
      <c r="K1465">
        <f>IF(calendar[[#This Row],[Month]]&lt;4,1,IF(calendar[[#This Row],[Month]]&lt;7,2,IF(calendar[[#This Row],[Month]]&lt;10,3,4)))</f>
        <v>1</v>
      </c>
      <c r="L1465">
        <f>IFERROR(IF(VLOOKUP(calendar[[#This Row],[Date]],BH!A:A,1,)&lt;&gt;"",1,0),0)</f>
        <v>0</v>
      </c>
      <c r="M1465">
        <f>IFERROR(IF(VLOOKUP(calendar[[#This Row],[Date]],BH!C:C,1,)&lt;&gt;"",1,0),0)</f>
        <v>0</v>
      </c>
      <c r="N1465">
        <f>IFERROR(IF(VLOOKUP(calendar[[#This Row],[Date]],BH!E:E,1,)&lt;&gt;"",1,0),0)</f>
        <v>0</v>
      </c>
      <c r="O1465">
        <f>IFERROR(IF(VLOOKUP(calendar[[#This Row],[Date]],BH!G:G,1,)&lt;&gt;"",1,0),0)</f>
        <v>0</v>
      </c>
      <c r="P1465">
        <f>IF(OR(calendar[[#This Row],[UK_BH]]=1,calendar[[#This Row],[WeekDay]]=1, calendar[[#This Row],[WeekDay]]=7),P1464,P1464+1)</f>
        <v>1045</v>
      </c>
      <c r="Q1465">
        <f>IF(OR(calendar[[#This Row],[FR_BH]]=1,calendar[[#This Row],[WeekDay]]=1, calendar[[#This Row],[WeekDay]]=7),P1464,P1464+1)</f>
        <v>1045</v>
      </c>
      <c r="R1465">
        <f>IF(OR(calendar[[#This Row],[SP_BH]]=1,calendar[[#This Row],[WeekDay]]=1, calendar[[#This Row],[WeekDay]]=7),P1464,P1464+1)</f>
        <v>1045</v>
      </c>
      <c r="S1465">
        <f>IF(OR(calendar[[#This Row],[PT_BH]]=1,calendar[[#This Row],[WeekDay]]=1, calendar[[#This Row],[WeekDay]]=7),P1464,P1464+1)</f>
        <v>1045</v>
      </c>
    </row>
    <row r="1466" spans="1:19" x14ac:dyDescent="0.25">
      <c r="A1466" s="2">
        <v>44200</v>
      </c>
      <c r="B1466" s="1">
        <f t="shared" si="113"/>
        <v>2</v>
      </c>
      <c r="C1466">
        <f t="shared" si="115"/>
        <v>1</v>
      </c>
      <c r="D1466" t="str">
        <f t="shared" si="116"/>
        <v>January</v>
      </c>
      <c r="E1466">
        <f t="shared" si="117"/>
        <v>2021</v>
      </c>
      <c r="F1466" t="str">
        <f>CONCATENATE(calendar[[#This Row],[Month]],"/",calendar[[#This Row],[Year]])</f>
        <v>1/2021</v>
      </c>
      <c r="G1466">
        <f>WEEKDAY(calendar[[#This Row],[Date]],1)</f>
        <v>2</v>
      </c>
      <c r="H1466" t="str">
        <f>TEXT(calendar[[#This Row],[WeekDay]],"dddd")</f>
        <v>Monday</v>
      </c>
      <c r="I1466">
        <f>IF((INT(calendar[[#This Row],[Count]]/7)-calendar[[#This Row],[Count]]/7)&lt;0,I1465,I1465+1)</f>
        <v>210</v>
      </c>
      <c r="J1466">
        <f t="shared" si="114"/>
        <v>1464</v>
      </c>
      <c r="K1466">
        <f>IF(calendar[[#This Row],[Month]]&lt;4,1,IF(calendar[[#This Row],[Month]]&lt;7,2,IF(calendar[[#This Row],[Month]]&lt;10,3,4)))</f>
        <v>1</v>
      </c>
      <c r="L1466">
        <f>IFERROR(IF(VLOOKUP(calendar[[#This Row],[Date]],BH!A:A,1,)&lt;&gt;"",1,0),0)</f>
        <v>0</v>
      </c>
      <c r="M1466">
        <f>IFERROR(IF(VLOOKUP(calendar[[#This Row],[Date]],BH!C:C,1,)&lt;&gt;"",1,0),0)</f>
        <v>0</v>
      </c>
      <c r="N1466">
        <f>IFERROR(IF(VLOOKUP(calendar[[#This Row],[Date]],BH!E:E,1,)&lt;&gt;"",1,0),0)</f>
        <v>0</v>
      </c>
      <c r="O1466">
        <f>IFERROR(IF(VLOOKUP(calendar[[#This Row],[Date]],BH!G:G,1,)&lt;&gt;"",1,0),0)</f>
        <v>0</v>
      </c>
      <c r="P1466">
        <f>IF(OR(calendar[[#This Row],[UK_BH]]=1,calendar[[#This Row],[WeekDay]]=1, calendar[[#This Row],[WeekDay]]=7),P1465,P1465+1)</f>
        <v>1046</v>
      </c>
      <c r="Q1466">
        <f>IF(OR(calendar[[#This Row],[FR_BH]]=1,calendar[[#This Row],[WeekDay]]=1, calendar[[#This Row],[WeekDay]]=7),P1465,P1465+1)</f>
        <v>1046</v>
      </c>
      <c r="R1466">
        <f>IF(OR(calendar[[#This Row],[SP_BH]]=1,calendar[[#This Row],[WeekDay]]=1, calendar[[#This Row],[WeekDay]]=7),P1465,P1465+1)</f>
        <v>1046</v>
      </c>
      <c r="S1466">
        <f>IF(OR(calendar[[#This Row],[PT_BH]]=1,calendar[[#This Row],[WeekDay]]=1, calendar[[#This Row],[WeekDay]]=7),P1465,P1465+1)</f>
        <v>1046</v>
      </c>
    </row>
    <row r="1467" spans="1:19" x14ac:dyDescent="0.25">
      <c r="A1467" s="2">
        <v>44201</v>
      </c>
      <c r="B1467" s="1">
        <f t="shared" si="113"/>
        <v>2</v>
      </c>
      <c r="C1467">
        <f t="shared" si="115"/>
        <v>1</v>
      </c>
      <c r="D1467" t="str">
        <f t="shared" si="116"/>
        <v>January</v>
      </c>
      <c r="E1467">
        <f t="shared" si="117"/>
        <v>2021</v>
      </c>
      <c r="F1467" t="str">
        <f>CONCATENATE(calendar[[#This Row],[Month]],"/",calendar[[#This Row],[Year]])</f>
        <v>1/2021</v>
      </c>
      <c r="G1467">
        <f>WEEKDAY(calendar[[#This Row],[Date]],1)</f>
        <v>3</v>
      </c>
      <c r="H1467" t="str">
        <f>TEXT(calendar[[#This Row],[WeekDay]],"dddd")</f>
        <v>Tuesday</v>
      </c>
      <c r="I1467">
        <f>IF((INT(calendar[[#This Row],[Count]]/7)-calendar[[#This Row],[Count]]/7)&lt;0,I1466,I1466+1)</f>
        <v>210</v>
      </c>
      <c r="J1467">
        <f t="shared" si="114"/>
        <v>1465</v>
      </c>
      <c r="K1467">
        <f>IF(calendar[[#This Row],[Month]]&lt;4,1,IF(calendar[[#This Row],[Month]]&lt;7,2,IF(calendar[[#This Row],[Month]]&lt;10,3,4)))</f>
        <v>1</v>
      </c>
      <c r="L1467">
        <f>IFERROR(IF(VLOOKUP(calendar[[#This Row],[Date]],BH!A:A,1,)&lt;&gt;"",1,0),0)</f>
        <v>0</v>
      </c>
      <c r="M1467">
        <f>IFERROR(IF(VLOOKUP(calendar[[#This Row],[Date]],BH!C:C,1,)&lt;&gt;"",1,0),0)</f>
        <v>0</v>
      </c>
      <c r="N1467">
        <f>IFERROR(IF(VLOOKUP(calendar[[#This Row],[Date]],BH!E:E,1,)&lt;&gt;"",1,0),0)</f>
        <v>0</v>
      </c>
      <c r="O1467">
        <f>IFERROR(IF(VLOOKUP(calendar[[#This Row],[Date]],BH!G:G,1,)&lt;&gt;"",1,0),0)</f>
        <v>0</v>
      </c>
      <c r="P1467">
        <f>IF(OR(calendar[[#This Row],[UK_BH]]=1,calendar[[#This Row],[WeekDay]]=1, calendar[[#This Row],[WeekDay]]=7),P1466,P1466+1)</f>
        <v>1047</v>
      </c>
      <c r="Q1467">
        <f>IF(OR(calendar[[#This Row],[FR_BH]]=1,calendar[[#This Row],[WeekDay]]=1, calendar[[#This Row],[WeekDay]]=7),P1466,P1466+1)</f>
        <v>1047</v>
      </c>
      <c r="R1467">
        <f>IF(OR(calendar[[#This Row],[SP_BH]]=1,calendar[[#This Row],[WeekDay]]=1, calendar[[#This Row],[WeekDay]]=7),P1466,P1466+1)</f>
        <v>1047</v>
      </c>
      <c r="S1467">
        <f>IF(OR(calendar[[#This Row],[PT_BH]]=1,calendar[[#This Row],[WeekDay]]=1, calendar[[#This Row],[WeekDay]]=7),P1466,P1466+1)</f>
        <v>1047</v>
      </c>
    </row>
    <row r="1468" spans="1:19" x14ac:dyDescent="0.25">
      <c r="A1468" s="2">
        <v>44202</v>
      </c>
      <c r="B1468" s="1">
        <f t="shared" si="113"/>
        <v>2</v>
      </c>
      <c r="C1468">
        <f t="shared" si="115"/>
        <v>1</v>
      </c>
      <c r="D1468" t="str">
        <f t="shared" si="116"/>
        <v>January</v>
      </c>
      <c r="E1468">
        <f t="shared" si="117"/>
        <v>2021</v>
      </c>
      <c r="F1468" t="str">
        <f>CONCATENATE(calendar[[#This Row],[Month]],"/",calendar[[#This Row],[Year]])</f>
        <v>1/2021</v>
      </c>
      <c r="G1468">
        <f>WEEKDAY(calendar[[#This Row],[Date]],1)</f>
        <v>4</v>
      </c>
      <c r="H1468" t="str">
        <f>TEXT(calendar[[#This Row],[WeekDay]],"dddd")</f>
        <v>Wednesday</v>
      </c>
      <c r="I1468">
        <f>IF((INT(calendar[[#This Row],[Count]]/7)-calendar[[#This Row],[Count]]/7)&lt;0,I1467,I1467+1)</f>
        <v>210</v>
      </c>
      <c r="J1468">
        <f t="shared" si="114"/>
        <v>1466</v>
      </c>
      <c r="K1468">
        <f>IF(calendar[[#This Row],[Month]]&lt;4,1,IF(calendar[[#This Row],[Month]]&lt;7,2,IF(calendar[[#This Row],[Month]]&lt;10,3,4)))</f>
        <v>1</v>
      </c>
      <c r="L1468">
        <f>IFERROR(IF(VLOOKUP(calendar[[#This Row],[Date]],BH!A:A,1,)&lt;&gt;"",1,0),0)</f>
        <v>0</v>
      </c>
      <c r="M1468">
        <f>IFERROR(IF(VLOOKUP(calendar[[#This Row],[Date]],BH!C:C,1,)&lt;&gt;"",1,0),0)</f>
        <v>0</v>
      </c>
      <c r="N1468">
        <f>IFERROR(IF(VLOOKUP(calendar[[#This Row],[Date]],BH!E:E,1,)&lt;&gt;"",1,0),0)</f>
        <v>0</v>
      </c>
      <c r="O1468">
        <f>IFERROR(IF(VLOOKUP(calendar[[#This Row],[Date]],BH!G:G,1,)&lt;&gt;"",1,0),0)</f>
        <v>0</v>
      </c>
      <c r="P1468">
        <f>IF(OR(calendar[[#This Row],[UK_BH]]=1,calendar[[#This Row],[WeekDay]]=1, calendar[[#This Row],[WeekDay]]=7),P1467,P1467+1)</f>
        <v>1048</v>
      </c>
      <c r="Q1468">
        <f>IF(OR(calendar[[#This Row],[FR_BH]]=1,calendar[[#This Row],[WeekDay]]=1, calendar[[#This Row],[WeekDay]]=7),P1467,P1467+1)</f>
        <v>1048</v>
      </c>
      <c r="R1468">
        <f>IF(OR(calendar[[#This Row],[SP_BH]]=1,calendar[[#This Row],[WeekDay]]=1, calendar[[#This Row],[WeekDay]]=7),P1467,P1467+1)</f>
        <v>1048</v>
      </c>
      <c r="S1468">
        <f>IF(OR(calendar[[#This Row],[PT_BH]]=1,calendar[[#This Row],[WeekDay]]=1, calendar[[#This Row],[WeekDay]]=7),P1467,P1467+1)</f>
        <v>1048</v>
      </c>
    </row>
    <row r="1469" spans="1:19" x14ac:dyDescent="0.25">
      <c r="A1469" s="2">
        <v>44203</v>
      </c>
      <c r="B1469" s="1">
        <f t="shared" si="113"/>
        <v>2</v>
      </c>
      <c r="C1469">
        <f t="shared" si="115"/>
        <v>1</v>
      </c>
      <c r="D1469" t="str">
        <f t="shared" si="116"/>
        <v>January</v>
      </c>
      <c r="E1469">
        <f t="shared" si="117"/>
        <v>2021</v>
      </c>
      <c r="F1469" t="str">
        <f>CONCATENATE(calendar[[#This Row],[Month]],"/",calendar[[#This Row],[Year]])</f>
        <v>1/2021</v>
      </c>
      <c r="G1469">
        <f>WEEKDAY(calendar[[#This Row],[Date]],1)</f>
        <v>5</v>
      </c>
      <c r="H1469" t="str">
        <f>TEXT(calendar[[#This Row],[WeekDay]],"dddd")</f>
        <v>Thursday</v>
      </c>
      <c r="I1469">
        <f>IF((INT(calendar[[#This Row],[Count]]/7)-calendar[[#This Row],[Count]]/7)&lt;0,I1468,I1468+1)</f>
        <v>210</v>
      </c>
      <c r="J1469">
        <f t="shared" si="114"/>
        <v>1467</v>
      </c>
      <c r="K1469">
        <f>IF(calendar[[#This Row],[Month]]&lt;4,1,IF(calendar[[#This Row],[Month]]&lt;7,2,IF(calendar[[#This Row],[Month]]&lt;10,3,4)))</f>
        <v>1</v>
      </c>
      <c r="L1469">
        <f>IFERROR(IF(VLOOKUP(calendar[[#This Row],[Date]],BH!A:A,1,)&lt;&gt;"",1,0),0)</f>
        <v>0</v>
      </c>
      <c r="M1469">
        <f>IFERROR(IF(VLOOKUP(calendar[[#This Row],[Date]],BH!C:C,1,)&lt;&gt;"",1,0),0)</f>
        <v>0</v>
      </c>
      <c r="N1469">
        <f>IFERROR(IF(VLOOKUP(calendar[[#This Row],[Date]],BH!E:E,1,)&lt;&gt;"",1,0),0)</f>
        <v>0</v>
      </c>
      <c r="O1469">
        <f>IFERROR(IF(VLOOKUP(calendar[[#This Row],[Date]],BH!G:G,1,)&lt;&gt;"",1,0),0)</f>
        <v>0</v>
      </c>
      <c r="P1469">
        <f>IF(OR(calendar[[#This Row],[UK_BH]]=1,calendar[[#This Row],[WeekDay]]=1, calendar[[#This Row],[WeekDay]]=7),P1468,P1468+1)</f>
        <v>1049</v>
      </c>
      <c r="Q1469">
        <f>IF(OR(calendar[[#This Row],[FR_BH]]=1,calendar[[#This Row],[WeekDay]]=1, calendar[[#This Row],[WeekDay]]=7),P1468,P1468+1)</f>
        <v>1049</v>
      </c>
      <c r="R1469">
        <f>IF(OR(calendar[[#This Row],[SP_BH]]=1,calendar[[#This Row],[WeekDay]]=1, calendar[[#This Row],[WeekDay]]=7),P1468,P1468+1)</f>
        <v>1049</v>
      </c>
      <c r="S1469">
        <f>IF(OR(calendar[[#This Row],[PT_BH]]=1,calendar[[#This Row],[WeekDay]]=1, calendar[[#This Row],[WeekDay]]=7),P1468,P1468+1)</f>
        <v>1049</v>
      </c>
    </row>
    <row r="1470" spans="1:19" x14ac:dyDescent="0.25">
      <c r="A1470" s="2">
        <v>44204</v>
      </c>
      <c r="B1470" s="1">
        <f t="shared" si="113"/>
        <v>2</v>
      </c>
      <c r="C1470">
        <f t="shared" si="115"/>
        <v>1</v>
      </c>
      <c r="D1470" t="str">
        <f t="shared" si="116"/>
        <v>January</v>
      </c>
      <c r="E1470">
        <f t="shared" si="117"/>
        <v>2021</v>
      </c>
      <c r="F1470" t="str">
        <f>CONCATENATE(calendar[[#This Row],[Month]],"/",calendar[[#This Row],[Year]])</f>
        <v>1/2021</v>
      </c>
      <c r="G1470">
        <f>WEEKDAY(calendar[[#This Row],[Date]],1)</f>
        <v>6</v>
      </c>
      <c r="H1470" t="str">
        <f>TEXT(calendar[[#This Row],[WeekDay]],"dddd")</f>
        <v>Friday</v>
      </c>
      <c r="I1470">
        <f>IF((INT(calendar[[#This Row],[Count]]/7)-calendar[[#This Row],[Count]]/7)&lt;0,I1469,I1469+1)</f>
        <v>210</v>
      </c>
      <c r="J1470">
        <f t="shared" si="114"/>
        <v>1468</v>
      </c>
      <c r="K1470">
        <f>IF(calendar[[#This Row],[Month]]&lt;4,1,IF(calendar[[#This Row],[Month]]&lt;7,2,IF(calendar[[#This Row],[Month]]&lt;10,3,4)))</f>
        <v>1</v>
      </c>
      <c r="L1470">
        <f>IFERROR(IF(VLOOKUP(calendar[[#This Row],[Date]],BH!A:A,1,)&lt;&gt;"",1,0),0)</f>
        <v>0</v>
      </c>
      <c r="M1470">
        <f>IFERROR(IF(VLOOKUP(calendar[[#This Row],[Date]],BH!C:C,1,)&lt;&gt;"",1,0),0)</f>
        <v>0</v>
      </c>
      <c r="N1470">
        <f>IFERROR(IF(VLOOKUP(calendar[[#This Row],[Date]],BH!E:E,1,)&lt;&gt;"",1,0),0)</f>
        <v>0</v>
      </c>
      <c r="O1470">
        <f>IFERROR(IF(VLOOKUP(calendar[[#This Row],[Date]],BH!G:G,1,)&lt;&gt;"",1,0),0)</f>
        <v>0</v>
      </c>
      <c r="P1470">
        <f>IF(OR(calendar[[#This Row],[UK_BH]]=1,calendar[[#This Row],[WeekDay]]=1, calendar[[#This Row],[WeekDay]]=7),P1469,P1469+1)</f>
        <v>1050</v>
      </c>
      <c r="Q1470">
        <f>IF(OR(calendar[[#This Row],[FR_BH]]=1,calendar[[#This Row],[WeekDay]]=1, calendar[[#This Row],[WeekDay]]=7),P1469,P1469+1)</f>
        <v>1050</v>
      </c>
      <c r="R1470">
        <f>IF(OR(calendar[[#This Row],[SP_BH]]=1,calendar[[#This Row],[WeekDay]]=1, calendar[[#This Row],[WeekDay]]=7),P1469,P1469+1)</f>
        <v>1050</v>
      </c>
      <c r="S1470">
        <f>IF(OR(calendar[[#This Row],[PT_BH]]=1,calendar[[#This Row],[WeekDay]]=1, calendar[[#This Row],[WeekDay]]=7),P1469,P1469+1)</f>
        <v>1050</v>
      </c>
    </row>
    <row r="1471" spans="1:19" x14ac:dyDescent="0.25">
      <c r="A1471" s="2">
        <v>44205</v>
      </c>
      <c r="B1471" s="1">
        <f t="shared" si="113"/>
        <v>2</v>
      </c>
      <c r="C1471">
        <f t="shared" si="115"/>
        <v>1</v>
      </c>
      <c r="D1471" t="str">
        <f t="shared" si="116"/>
        <v>January</v>
      </c>
      <c r="E1471">
        <f t="shared" si="117"/>
        <v>2021</v>
      </c>
      <c r="F1471" t="str">
        <f>CONCATENATE(calendar[[#This Row],[Month]],"/",calendar[[#This Row],[Year]])</f>
        <v>1/2021</v>
      </c>
      <c r="G1471">
        <f>WEEKDAY(calendar[[#This Row],[Date]],1)</f>
        <v>7</v>
      </c>
      <c r="H1471" t="str">
        <f>TEXT(calendar[[#This Row],[WeekDay]],"dddd")</f>
        <v>Saturday</v>
      </c>
      <c r="I1471">
        <f>IF((INT(calendar[[#This Row],[Count]]/7)-calendar[[#This Row],[Count]]/7)&lt;0,I1470,I1470+1)</f>
        <v>210</v>
      </c>
      <c r="J1471">
        <f t="shared" si="114"/>
        <v>1469</v>
      </c>
      <c r="K1471">
        <f>IF(calendar[[#This Row],[Month]]&lt;4,1,IF(calendar[[#This Row],[Month]]&lt;7,2,IF(calendar[[#This Row],[Month]]&lt;10,3,4)))</f>
        <v>1</v>
      </c>
      <c r="L1471">
        <f>IFERROR(IF(VLOOKUP(calendar[[#This Row],[Date]],BH!A:A,1,)&lt;&gt;"",1,0),0)</f>
        <v>0</v>
      </c>
      <c r="M1471">
        <f>IFERROR(IF(VLOOKUP(calendar[[#This Row],[Date]],BH!C:C,1,)&lt;&gt;"",1,0),0)</f>
        <v>0</v>
      </c>
      <c r="N1471">
        <f>IFERROR(IF(VLOOKUP(calendar[[#This Row],[Date]],BH!E:E,1,)&lt;&gt;"",1,0),0)</f>
        <v>0</v>
      </c>
      <c r="O1471">
        <f>IFERROR(IF(VLOOKUP(calendar[[#This Row],[Date]],BH!G:G,1,)&lt;&gt;"",1,0),0)</f>
        <v>0</v>
      </c>
      <c r="P1471">
        <f>IF(OR(calendar[[#This Row],[UK_BH]]=1,calendar[[#This Row],[WeekDay]]=1, calendar[[#This Row],[WeekDay]]=7),P1470,P1470+1)</f>
        <v>1050</v>
      </c>
      <c r="Q1471">
        <f>IF(OR(calendar[[#This Row],[FR_BH]]=1,calendar[[#This Row],[WeekDay]]=1, calendar[[#This Row],[WeekDay]]=7),P1470,P1470+1)</f>
        <v>1050</v>
      </c>
      <c r="R1471">
        <f>IF(OR(calendar[[#This Row],[SP_BH]]=1,calendar[[#This Row],[WeekDay]]=1, calendar[[#This Row],[WeekDay]]=7),P1470,P1470+1)</f>
        <v>1050</v>
      </c>
      <c r="S1471">
        <f>IF(OR(calendar[[#This Row],[PT_BH]]=1,calendar[[#This Row],[WeekDay]]=1, calendar[[#This Row],[WeekDay]]=7),P1470,P1470+1)</f>
        <v>1050</v>
      </c>
    </row>
    <row r="1472" spans="1:19" x14ac:dyDescent="0.25">
      <c r="A1472" s="2">
        <v>44206</v>
      </c>
      <c r="B1472" s="1">
        <f t="shared" si="113"/>
        <v>3</v>
      </c>
      <c r="C1472">
        <f t="shared" si="115"/>
        <v>1</v>
      </c>
      <c r="D1472" t="str">
        <f t="shared" si="116"/>
        <v>January</v>
      </c>
      <c r="E1472">
        <f t="shared" si="117"/>
        <v>2021</v>
      </c>
      <c r="F1472" t="str">
        <f>CONCATENATE(calendar[[#This Row],[Month]],"/",calendar[[#This Row],[Year]])</f>
        <v>1/2021</v>
      </c>
      <c r="G1472">
        <f>WEEKDAY(calendar[[#This Row],[Date]],1)</f>
        <v>1</v>
      </c>
      <c r="H1472" t="str">
        <f>TEXT(calendar[[#This Row],[WeekDay]],"dddd")</f>
        <v>Sunday</v>
      </c>
      <c r="I1472">
        <f>IF((INT(calendar[[#This Row],[Count]]/7)-calendar[[#This Row],[Count]]/7)&lt;0,I1471,I1471+1)</f>
        <v>211</v>
      </c>
      <c r="J1472">
        <f t="shared" si="114"/>
        <v>1470</v>
      </c>
      <c r="K1472">
        <f>IF(calendar[[#This Row],[Month]]&lt;4,1,IF(calendar[[#This Row],[Month]]&lt;7,2,IF(calendar[[#This Row],[Month]]&lt;10,3,4)))</f>
        <v>1</v>
      </c>
      <c r="L1472">
        <f>IFERROR(IF(VLOOKUP(calendar[[#This Row],[Date]],BH!A:A,1,)&lt;&gt;"",1,0),0)</f>
        <v>0</v>
      </c>
      <c r="M1472">
        <f>IFERROR(IF(VLOOKUP(calendar[[#This Row],[Date]],BH!C:C,1,)&lt;&gt;"",1,0),0)</f>
        <v>0</v>
      </c>
      <c r="N1472">
        <f>IFERROR(IF(VLOOKUP(calendar[[#This Row],[Date]],BH!E:E,1,)&lt;&gt;"",1,0),0)</f>
        <v>0</v>
      </c>
      <c r="O1472">
        <f>IFERROR(IF(VLOOKUP(calendar[[#This Row],[Date]],BH!G:G,1,)&lt;&gt;"",1,0),0)</f>
        <v>0</v>
      </c>
      <c r="P1472">
        <f>IF(OR(calendar[[#This Row],[UK_BH]]=1,calendar[[#This Row],[WeekDay]]=1, calendar[[#This Row],[WeekDay]]=7),P1471,P1471+1)</f>
        <v>1050</v>
      </c>
      <c r="Q1472">
        <f>IF(OR(calendar[[#This Row],[FR_BH]]=1,calendar[[#This Row],[WeekDay]]=1, calendar[[#This Row],[WeekDay]]=7),P1471,P1471+1)</f>
        <v>1050</v>
      </c>
      <c r="R1472">
        <f>IF(OR(calendar[[#This Row],[SP_BH]]=1,calendar[[#This Row],[WeekDay]]=1, calendar[[#This Row],[WeekDay]]=7),P1471,P1471+1)</f>
        <v>1050</v>
      </c>
      <c r="S1472">
        <f>IF(OR(calendar[[#This Row],[PT_BH]]=1,calendar[[#This Row],[WeekDay]]=1, calendar[[#This Row],[WeekDay]]=7),P1471,P1471+1)</f>
        <v>1050</v>
      </c>
    </row>
    <row r="1473" spans="1:19" x14ac:dyDescent="0.25">
      <c r="A1473" s="2">
        <v>44207</v>
      </c>
      <c r="B1473" s="1">
        <f t="shared" si="113"/>
        <v>3</v>
      </c>
      <c r="C1473">
        <f t="shared" si="115"/>
        <v>1</v>
      </c>
      <c r="D1473" t="str">
        <f t="shared" si="116"/>
        <v>January</v>
      </c>
      <c r="E1473">
        <f t="shared" si="117"/>
        <v>2021</v>
      </c>
      <c r="F1473" t="str">
        <f>CONCATENATE(calendar[[#This Row],[Month]],"/",calendar[[#This Row],[Year]])</f>
        <v>1/2021</v>
      </c>
      <c r="G1473">
        <f>WEEKDAY(calendar[[#This Row],[Date]],1)</f>
        <v>2</v>
      </c>
      <c r="H1473" t="str">
        <f>TEXT(calendar[[#This Row],[WeekDay]],"dddd")</f>
        <v>Monday</v>
      </c>
      <c r="I1473">
        <f>IF((INT(calendar[[#This Row],[Count]]/7)-calendar[[#This Row],[Count]]/7)&lt;0,I1472,I1472+1)</f>
        <v>211</v>
      </c>
      <c r="J1473">
        <f t="shared" si="114"/>
        <v>1471</v>
      </c>
      <c r="K1473">
        <f>IF(calendar[[#This Row],[Month]]&lt;4,1,IF(calendar[[#This Row],[Month]]&lt;7,2,IF(calendar[[#This Row],[Month]]&lt;10,3,4)))</f>
        <v>1</v>
      </c>
      <c r="L1473">
        <f>IFERROR(IF(VLOOKUP(calendar[[#This Row],[Date]],BH!A:A,1,)&lt;&gt;"",1,0),0)</f>
        <v>0</v>
      </c>
      <c r="M1473">
        <f>IFERROR(IF(VLOOKUP(calendar[[#This Row],[Date]],BH!C:C,1,)&lt;&gt;"",1,0),0)</f>
        <v>0</v>
      </c>
      <c r="N1473">
        <f>IFERROR(IF(VLOOKUP(calendar[[#This Row],[Date]],BH!E:E,1,)&lt;&gt;"",1,0),0)</f>
        <v>0</v>
      </c>
      <c r="O1473">
        <f>IFERROR(IF(VLOOKUP(calendar[[#This Row],[Date]],BH!G:G,1,)&lt;&gt;"",1,0),0)</f>
        <v>0</v>
      </c>
      <c r="P1473">
        <f>IF(OR(calendar[[#This Row],[UK_BH]]=1,calendar[[#This Row],[WeekDay]]=1, calendar[[#This Row],[WeekDay]]=7),P1472,P1472+1)</f>
        <v>1051</v>
      </c>
      <c r="Q1473">
        <f>IF(OR(calendar[[#This Row],[FR_BH]]=1,calendar[[#This Row],[WeekDay]]=1, calendar[[#This Row],[WeekDay]]=7),P1472,P1472+1)</f>
        <v>1051</v>
      </c>
      <c r="R1473">
        <f>IF(OR(calendar[[#This Row],[SP_BH]]=1,calendar[[#This Row],[WeekDay]]=1, calendar[[#This Row],[WeekDay]]=7),P1472,P1472+1)</f>
        <v>1051</v>
      </c>
      <c r="S1473">
        <f>IF(OR(calendar[[#This Row],[PT_BH]]=1,calendar[[#This Row],[WeekDay]]=1, calendar[[#This Row],[WeekDay]]=7),P1472,P1472+1)</f>
        <v>1051</v>
      </c>
    </row>
    <row r="1474" spans="1:19" x14ac:dyDescent="0.25">
      <c r="A1474" s="2">
        <v>44208</v>
      </c>
      <c r="B1474" s="1">
        <f t="shared" ref="B1474:B1537" si="118">WEEKNUM(A1474)</f>
        <v>3</v>
      </c>
      <c r="C1474">
        <f t="shared" si="115"/>
        <v>1</v>
      </c>
      <c r="D1474" t="str">
        <f t="shared" si="116"/>
        <v>January</v>
      </c>
      <c r="E1474">
        <f t="shared" si="117"/>
        <v>2021</v>
      </c>
      <c r="F1474" t="str">
        <f>CONCATENATE(calendar[[#This Row],[Month]],"/",calendar[[#This Row],[Year]])</f>
        <v>1/2021</v>
      </c>
      <c r="G1474">
        <f>WEEKDAY(calendar[[#This Row],[Date]],1)</f>
        <v>3</v>
      </c>
      <c r="H1474" t="str">
        <f>TEXT(calendar[[#This Row],[WeekDay]],"dddd")</f>
        <v>Tuesday</v>
      </c>
      <c r="I1474">
        <f>IF((INT(calendar[[#This Row],[Count]]/7)-calendar[[#This Row],[Count]]/7)&lt;0,I1473,I1473+1)</f>
        <v>211</v>
      </c>
      <c r="J1474">
        <f t="shared" si="114"/>
        <v>1472</v>
      </c>
      <c r="K1474">
        <f>IF(calendar[[#This Row],[Month]]&lt;4,1,IF(calendar[[#This Row],[Month]]&lt;7,2,IF(calendar[[#This Row],[Month]]&lt;10,3,4)))</f>
        <v>1</v>
      </c>
      <c r="L1474">
        <f>IFERROR(IF(VLOOKUP(calendar[[#This Row],[Date]],BH!A:A,1,)&lt;&gt;"",1,0),0)</f>
        <v>0</v>
      </c>
      <c r="M1474">
        <f>IFERROR(IF(VLOOKUP(calendar[[#This Row],[Date]],BH!C:C,1,)&lt;&gt;"",1,0),0)</f>
        <v>0</v>
      </c>
      <c r="N1474">
        <f>IFERROR(IF(VLOOKUP(calendar[[#This Row],[Date]],BH!E:E,1,)&lt;&gt;"",1,0),0)</f>
        <v>0</v>
      </c>
      <c r="O1474">
        <f>IFERROR(IF(VLOOKUP(calendar[[#This Row],[Date]],BH!G:G,1,)&lt;&gt;"",1,0),0)</f>
        <v>0</v>
      </c>
      <c r="P1474">
        <f>IF(OR(calendar[[#This Row],[UK_BH]]=1,calendar[[#This Row],[WeekDay]]=1, calendar[[#This Row],[WeekDay]]=7),P1473,P1473+1)</f>
        <v>1052</v>
      </c>
      <c r="Q1474">
        <f>IF(OR(calendar[[#This Row],[FR_BH]]=1,calendar[[#This Row],[WeekDay]]=1, calendar[[#This Row],[WeekDay]]=7),P1473,P1473+1)</f>
        <v>1052</v>
      </c>
      <c r="R1474">
        <f>IF(OR(calendar[[#This Row],[SP_BH]]=1,calendar[[#This Row],[WeekDay]]=1, calendar[[#This Row],[WeekDay]]=7),P1473,P1473+1)</f>
        <v>1052</v>
      </c>
      <c r="S1474">
        <f>IF(OR(calendar[[#This Row],[PT_BH]]=1,calendar[[#This Row],[WeekDay]]=1, calendar[[#This Row],[WeekDay]]=7),P1473,P1473+1)</f>
        <v>1052</v>
      </c>
    </row>
    <row r="1475" spans="1:19" x14ac:dyDescent="0.25">
      <c r="A1475" s="2">
        <v>44209</v>
      </c>
      <c r="B1475" s="1">
        <f t="shared" si="118"/>
        <v>3</v>
      </c>
      <c r="C1475">
        <f t="shared" si="115"/>
        <v>1</v>
      </c>
      <c r="D1475" t="str">
        <f t="shared" si="116"/>
        <v>January</v>
      </c>
      <c r="E1475">
        <f t="shared" si="117"/>
        <v>2021</v>
      </c>
      <c r="F1475" t="str">
        <f>CONCATENATE(calendar[[#This Row],[Month]],"/",calendar[[#This Row],[Year]])</f>
        <v>1/2021</v>
      </c>
      <c r="G1475">
        <f>WEEKDAY(calendar[[#This Row],[Date]],1)</f>
        <v>4</v>
      </c>
      <c r="H1475" t="str">
        <f>TEXT(calendar[[#This Row],[WeekDay]],"dddd")</f>
        <v>Wednesday</v>
      </c>
      <c r="I1475">
        <f>IF((INT(calendar[[#This Row],[Count]]/7)-calendar[[#This Row],[Count]]/7)&lt;0,I1474,I1474+1)</f>
        <v>211</v>
      </c>
      <c r="J1475">
        <f t="shared" ref="J1475:J1538" si="119">J1474+1</f>
        <v>1473</v>
      </c>
      <c r="K1475">
        <f>IF(calendar[[#This Row],[Month]]&lt;4,1,IF(calendar[[#This Row],[Month]]&lt;7,2,IF(calendar[[#This Row],[Month]]&lt;10,3,4)))</f>
        <v>1</v>
      </c>
      <c r="L1475">
        <f>IFERROR(IF(VLOOKUP(calendar[[#This Row],[Date]],BH!A:A,1,)&lt;&gt;"",1,0),0)</f>
        <v>0</v>
      </c>
      <c r="M1475">
        <f>IFERROR(IF(VLOOKUP(calendar[[#This Row],[Date]],BH!C:C,1,)&lt;&gt;"",1,0),0)</f>
        <v>0</v>
      </c>
      <c r="N1475">
        <f>IFERROR(IF(VLOOKUP(calendar[[#This Row],[Date]],BH!E:E,1,)&lt;&gt;"",1,0),0)</f>
        <v>0</v>
      </c>
      <c r="O1475">
        <f>IFERROR(IF(VLOOKUP(calendar[[#This Row],[Date]],BH!G:G,1,)&lt;&gt;"",1,0),0)</f>
        <v>0</v>
      </c>
      <c r="P1475">
        <f>IF(OR(calendar[[#This Row],[UK_BH]]=1,calendar[[#This Row],[WeekDay]]=1, calendar[[#This Row],[WeekDay]]=7),P1474,P1474+1)</f>
        <v>1053</v>
      </c>
      <c r="Q1475">
        <f>IF(OR(calendar[[#This Row],[FR_BH]]=1,calendar[[#This Row],[WeekDay]]=1, calendar[[#This Row],[WeekDay]]=7),P1474,P1474+1)</f>
        <v>1053</v>
      </c>
      <c r="R1475">
        <f>IF(OR(calendar[[#This Row],[SP_BH]]=1,calendar[[#This Row],[WeekDay]]=1, calendar[[#This Row],[WeekDay]]=7),P1474,P1474+1)</f>
        <v>1053</v>
      </c>
      <c r="S1475">
        <f>IF(OR(calendar[[#This Row],[PT_BH]]=1,calendar[[#This Row],[WeekDay]]=1, calendar[[#This Row],[WeekDay]]=7),P1474,P1474+1)</f>
        <v>1053</v>
      </c>
    </row>
    <row r="1476" spans="1:19" x14ac:dyDescent="0.25">
      <c r="A1476" s="2">
        <v>44210</v>
      </c>
      <c r="B1476" s="1">
        <f t="shared" si="118"/>
        <v>3</v>
      </c>
      <c r="C1476">
        <f t="shared" si="115"/>
        <v>1</v>
      </c>
      <c r="D1476" t="str">
        <f t="shared" si="116"/>
        <v>January</v>
      </c>
      <c r="E1476">
        <f t="shared" si="117"/>
        <v>2021</v>
      </c>
      <c r="F1476" t="str">
        <f>CONCATENATE(calendar[[#This Row],[Month]],"/",calendar[[#This Row],[Year]])</f>
        <v>1/2021</v>
      </c>
      <c r="G1476">
        <f>WEEKDAY(calendar[[#This Row],[Date]],1)</f>
        <v>5</v>
      </c>
      <c r="H1476" t="str">
        <f>TEXT(calendar[[#This Row],[WeekDay]],"dddd")</f>
        <v>Thursday</v>
      </c>
      <c r="I1476">
        <f>IF((INT(calendar[[#This Row],[Count]]/7)-calendar[[#This Row],[Count]]/7)&lt;0,I1475,I1475+1)</f>
        <v>211</v>
      </c>
      <c r="J1476">
        <f t="shared" si="119"/>
        <v>1474</v>
      </c>
      <c r="K1476">
        <f>IF(calendar[[#This Row],[Month]]&lt;4,1,IF(calendar[[#This Row],[Month]]&lt;7,2,IF(calendar[[#This Row],[Month]]&lt;10,3,4)))</f>
        <v>1</v>
      </c>
      <c r="L1476">
        <f>IFERROR(IF(VLOOKUP(calendar[[#This Row],[Date]],BH!A:A,1,)&lt;&gt;"",1,0),0)</f>
        <v>0</v>
      </c>
      <c r="M1476">
        <f>IFERROR(IF(VLOOKUP(calendar[[#This Row],[Date]],BH!C:C,1,)&lt;&gt;"",1,0),0)</f>
        <v>0</v>
      </c>
      <c r="N1476">
        <f>IFERROR(IF(VLOOKUP(calendar[[#This Row],[Date]],BH!E:E,1,)&lt;&gt;"",1,0),0)</f>
        <v>0</v>
      </c>
      <c r="O1476">
        <f>IFERROR(IF(VLOOKUP(calendar[[#This Row],[Date]],BH!G:G,1,)&lt;&gt;"",1,0),0)</f>
        <v>0</v>
      </c>
      <c r="P1476">
        <f>IF(OR(calendar[[#This Row],[UK_BH]]=1,calendar[[#This Row],[WeekDay]]=1, calendar[[#This Row],[WeekDay]]=7),P1475,P1475+1)</f>
        <v>1054</v>
      </c>
      <c r="Q1476">
        <f>IF(OR(calendar[[#This Row],[FR_BH]]=1,calendar[[#This Row],[WeekDay]]=1, calendar[[#This Row],[WeekDay]]=7),P1475,P1475+1)</f>
        <v>1054</v>
      </c>
      <c r="R1476">
        <f>IF(OR(calendar[[#This Row],[SP_BH]]=1,calendar[[#This Row],[WeekDay]]=1, calendar[[#This Row],[WeekDay]]=7),P1475,P1475+1)</f>
        <v>1054</v>
      </c>
      <c r="S1476">
        <f>IF(OR(calendar[[#This Row],[PT_BH]]=1,calendar[[#This Row],[WeekDay]]=1, calendar[[#This Row],[WeekDay]]=7),P1475,P1475+1)</f>
        <v>1054</v>
      </c>
    </row>
    <row r="1477" spans="1:19" x14ac:dyDescent="0.25">
      <c r="A1477" s="2">
        <v>44211</v>
      </c>
      <c r="B1477" s="1">
        <f t="shared" si="118"/>
        <v>3</v>
      </c>
      <c r="C1477">
        <f t="shared" si="115"/>
        <v>1</v>
      </c>
      <c r="D1477" t="str">
        <f t="shared" si="116"/>
        <v>January</v>
      </c>
      <c r="E1477">
        <f t="shared" si="117"/>
        <v>2021</v>
      </c>
      <c r="F1477" t="str">
        <f>CONCATENATE(calendar[[#This Row],[Month]],"/",calendar[[#This Row],[Year]])</f>
        <v>1/2021</v>
      </c>
      <c r="G1477">
        <f>WEEKDAY(calendar[[#This Row],[Date]],1)</f>
        <v>6</v>
      </c>
      <c r="H1477" t="str">
        <f>TEXT(calendar[[#This Row],[WeekDay]],"dddd")</f>
        <v>Friday</v>
      </c>
      <c r="I1477">
        <f>IF((INT(calendar[[#This Row],[Count]]/7)-calendar[[#This Row],[Count]]/7)&lt;0,I1476,I1476+1)</f>
        <v>211</v>
      </c>
      <c r="J1477">
        <f t="shared" si="119"/>
        <v>1475</v>
      </c>
      <c r="K1477">
        <f>IF(calendar[[#This Row],[Month]]&lt;4,1,IF(calendar[[#This Row],[Month]]&lt;7,2,IF(calendar[[#This Row],[Month]]&lt;10,3,4)))</f>
        <v>1</v>
      </c>
      <c r="L1477">
        <f>IFERROR(IF(VLOOKUP(calendar[[#This Row],[Date]],BH!A:A,1,)&lt;&gt;"",1,0),0)</f>
        <v>0</v>
      </c>
      <c r="M1477">
        <f>IFERROR(IF(VLOOKUP(calendar[[#This Row],[Date]],BH!C:C,1,)&lt;&gt;"",1,0),0)</f>
        <v>0</v>
      </c>
      <c r="N1477">
        <f>IFERROR(IF(VLOOKUP(calendar[[#This Row],[Date]],BH!E:E,1,)&lt;&gt;"",1,0),0)</f>
        <v>0</v>
      </c>
      <c r="O1477">
        <f>IFERROR(IF(VLOOKUP(calendar[[#This Row],[Date]],BH!G:G,1,)&lt;&gt;"",1,0),0)</f>
        <v>0</v>
      </c>
      <c r="P1477">
        <f>IF(OR(calendar[[#This Row],[UK_BH]]=1,calendar[[#This Row],[WeekDay]]=1, calendar[[#This Row],[WeekDay]]=7),P1476,P1476+1)</f>
        <v>1055</v>
      </c>
      <c r="Q1477">
        <f>IF(OR(calendar[[#This Row],[FR_BH]]=1,calendar[[#This Row],[WeekDay]]=1, calendar[[#This Row],[WeekDay]]=7),P1476,P1476+1)</f>
        <v>1055</v>
      </c>
      <c r="R1477">
        <f>IF(OR(calendar[[#This Row],[SP_BH]]=1,calendar[[#This Row],[WeekDay]]=1, calendar[[#This Row],[WeekDay]]=7),P1476,P1476+1)</f>
        <v>1055</v>
      </c>
      <c r="S1477">
        <f>IF(OR(calendar[[#This Row],[PT_BH]]=1,calendar[[#This Row],[WeekDay]]=1, calendar[[#This Row],[WeekDay]]=7),P1476,P1476+1)</f>
        <v>1055</v>
      </c>
    </row>
    <row r="1478" spans="1:19" x14ac:dyDescent="0.25">
      <c r="A1478" s="2">
        <v>44212</v>
      </c>
      <c r="B1478" s="1">
        <f t="shared" si="118"/>
        <v>3</v>
      </c>
      <c r="C1478">
        <f t="shared" si="115"/>
        <v>1</v>
      </c>
      <c r="D1478" t="str">
        <f t="shared" si="116"/>
        <v>January</v>
      </c>
      <c r="E1478">
        <f t="shared" si="117"/>
        <v>2021</v>
      </c>
      <c r="F1478" t="str">
        <f>CONCATENATE(calendar[[#This Row],[Month]],"/",calendar[[#This Row],[Year]])</f>
        <v>1/2021</v>
      </c>
      <c r="G1478">
        <f>WEEKDAY(calendar[[#This Row],[Date]],1)</f>
        <v>7</v>
      </c>
      <c r="H1478" t="str">
        <f>TEXT(calendar[[#This Row],[WeekDay]],"dddd")</f>
        <v>Saturday</v>
      </c>
      <c r="I1478">
        <f>IF((INT(calendar[[#This Row],[Count]]/7)-calendar[[#This Row],[Count]]/7)&lt;0,I1477,I1477+1)</f>
        <v>211</v>
      </c>
      <c r="J1478">
        <f t="shared" si="119"/>
        <v>1476</v>
      </c>
      <c r="K1478">
        <f>IF(calendar[[#This Row],[Month]]&lt;4,1,IF(calendar[[#This Row],[Month]]&lt;7,2,IF(calendar[[#This Row],[Month]]&lt;10,3,4)))</f>
        <v>1</v>
      </c>
      <c r="L1478">
        <f>IFERROR(IF(VLOOKUP(calendar[[#This Row],[Date]],BH!A:A,1,)&lt;&gt;"",1,0),0)</f>
        <v>0</v>
      </c>
      <c r="M1478">
        <f>IFERROR(IF(VLOOKUP(calendar[[#This Row],[Date]],BH!C:C,1,)&lt;&gt;"",1,0),0)</f>
        <v>0</v>
      </c>
      <c r="N1478">
        <f>IFERROR(IF(VLOOKUP(calendar[[#This Row],[Date]],BH!E:E,1,)&lt;&gt;"",1,0),0)</f>
        <v>0</v>
      </c>
      <c r="O1478">
        <f>IFERROR(IF(VLOOKUP(calendar[[#This Row],[Date]],BH!G:G,1,)&lt;&gt;"",1,0),0)</f>
        <v>0</v>
      </c>
      <c r="P1478">
        <f>IF(OR(calendar[[#This Row],[UK_BH]]=1,calendar[[#This Row],[WeekDay]]=1, calendar[[#This Row],[WeekDay]]=7),P1477,P1477+1)</f>
        <v>1055</v>
      </c>
      <c r="Q1478">
        <f>IF(OR(calendar[[#This Row],[FR_BH]]=1,calendar[[#This Row],[WeekDay]]=1, calendar[[#This Row],[WeekDay]]=7),P1477,P1477+1)</f>
        <v>1055</v>
      </c>
      <c r="R1478">
        <f>IF(OR(calendar[[#This Row],[SP_BH]]=1,calendar[[#This Row],[WeekDay]]=1, calendar[[#This Row],[WeekDay]]=7),P1477,P1477+1)</f>
        <v>1055</v>
      </c>
      <c r="S1478">
        <f>IF(OR(calendar[[#This Row],[PT_BH]]=1,calendar[[#This Row],[WeekDay]]=1, calendar[[#This Row],[WeekDay]]=7),P1477,P1477+1)</f>
        <v>1055</v>
      </c>
    </row>
    <row r="1479" spans="1:19" x14ac:dyDescent="0.25">
      <c r="A1479" s="2">
        <v>44213</v>
      </c>
      <c r="B1479" s="1">
        <f t="shared" si="118"/>
        <v>4</v>
      </c>
      <c r="C1479">
        <f t="shared" si="115"/>
        <v>1</v>
      </c>
      <c r="D1479" t="str">
        <f t="shared" si="116"/>
        <v>January</v>
      </c>
      <c r="E1479">
        <f t="shared" si="117"/>
        <v>2021</v>
      </c>
      <c r="F1479" t="str">
        <f>CONCATENATE(calendar[[#This Row],[Month]],"/",calendar[[#This Row],[Year]])</f>
        <v>1/2021</v>
      </c>
      <c r="G1479">
        <f>WEEKDAY(calendar[[#This Row],[Date]],1)</f>
        <v>1</v>
      </c>
      <c r="H1479" t="str">
        <f>TEXT(calendar[[#This Row],[WeekDay]],"dddd")</f>
        <v>Sunday</v>
      </c>
      <c r="I1479">
        <f>IF((INT(calendar[[#This Row],[Count]]/7)-calendar[[#This Row],[Count]]/7)&lt;0,I1478,I1478+1)</f>
        <v>212</v>
      </c>
      <c r="J1479">
        <f t="shared" si="119"/>
        <v>1477</v>
      </c>
      <c r="K1479">
        <f>IF(calendar[[#This Row],[Month]]&lt;4,1,IF(calendar[[#This Row],[Month]]&lt;7,2,IF(calendar[[#This Row],[Month]]&lt;10,3,4)))</f>
        <v>1</v>
      </c>
      <c r="L1479">
        <f>IFERROR(IF(VLOOKUP(calendar[[#This Row],[Date]],BH!A:A,1,)&lt;&gt;"",1,0),0)</f>
        <v>0</v>
      </c>
      <c r="M1479">
        <f>IFERROR(IF(VLOOKUP(calendar[[#This Row],[Date]],BH!C:C,1,)&lt;&gt;"",1,0),0)</f>
        <v>0</v>
      </c>
      <c r="N1479">
        <f>IFERROR(IF(VLOOKUP(calendar[[#This Row],[Date]],BH!E:E,1,)&lt;&gt;"",1,0),0)</f>
        <v>0</v>
      </c>
      <c r="O1479">
        <f>IFERROR(IF(VLOOKUP(calendar[[#This Row],[Date]],BH!G:G,1,)&lt;&gt;"",1,0),0)</f>
        <v>0</v>
      </c>
      <c r="P1479">
        <f>IF(OR(calendar[[#This Row],[UK_BH]]=1,calendar[[#This Row],[WeekDay]]=1, calendar[[#This Row],[WeekDay]]=7),P1478,P1478+1)</f>
        <v>1055</v>
      </c>
      <c r="Q1479">
        <f>IF(OR(calendar[[#This Row],[FR_BH]]=1,calendar[[#This Row],[WeekDay]]=1, calendar[[#This Row],[WeekDay]]=7),P1478,P1478+1)</f>
        <v>1055</v>
      </c>
      <c r="R1479">
        <f>IF(OR(calendar[[#This Row],[SP_BH]]=1,calendar[[#This Row],[WeekDay]]=1, calendar[[#This Row],[WeekDay]]=7),P1478,P1478+1)</f>
        <v>1055</v>
      </c>
      <c r="S1479">
        <f>IF(OR(calendar[[#This Row],[PT_BH]]=1,calendar[[#This Row],[WeekDay]]=1, calendar[[#This Row],[WeekDay]]=7),P1478,P1478+1)</f>
        <v>1055</v>
      </c>
    </row>
    <row r="1480" spans="1:19" x14ac:dyDescent="0.25">
      <c r="A1480" s="2">
        <v>44214</v>
      </c>
      <c r="B1480" s="1">
        <f t="shared" si="118"/>
        <v>4</v>
      </c>
      <c r="C1480">
        <f t="shared" si="115"/>
        <v>1</v>
      </c>
      <c r="D1480" t="str">
        <f t="shared" si="116"/>
        <v>January</v>
      </c>
      <c r="E1480">
        <f t="shared" si="117"/>
        <v>2021</v>
      </c>
      <c r="F1480" t="str">
        <f>CONCATENATE(calendar[[#This Row],[Month]],"/",calendar[[#This Row],[Year]])</f>
        <v>1/2021</v>
      </c>
      <c r="G1480">
        <f>WEEKDAY(calendar[[#This Row],[Date]],1)</f>
        <v>2</v>
      </c>
      <c r="H1480" t="str">
        <f>TEXT(calendar[[#This Row],[WeekDay]],"dddd")</f>
        <v>Monday</v>
      </c>
      <c r="I1480">
        <f>IF((INT(calendar[[#This Row],[Count]]/7)-calendar[[#This Row],[Count]]/7)&lt;0,I1479,I1479+1)</f>
        <v>212</v>
      </c>
      <c r="J1480">
        <f t="shared" si="119"/>
        <v>1478</v>
      </c>
      <c r="K1480">
        <f>IF(calendar[[#This Row],[Month]]&lt;4,1,IF(calendar[[#This Row],[Month]]&lt;7,2,IF(calendar[[#This Row],[Month]]&lt;10,3,4)))</f>
        <v>1</v>
      </c>
      <c r="L1480">
        <f>IFERROR(IF(VLOOKUP(calendar[[#This Row],[Date]],BH!A:A,1,)&lt;&gt;"",1,0),0)</f>
        <v>0</v>
      </c>
      <c r="M1480">
        <f>IFERROR(IF(VLOOKUP(calendar[[#This Row],[Date]],BH!C:C,1,)&lt;&gt;"",1,0),0)</f>
        <v>0</v>
      </c>
      <c r="N1480">
        <f>IFERROR(IF(VLOOKUP(calendar[[#This Row],[Date]],BH!E:E,1,)&lt;&gt;"",1,0),0)</f>
        <v>0</v>
      </c>
      <c r="O1480">
        <f>IFERROR(IF(VLOOKUP(calendar[[#This Row],[Date]],BH!G:G,1,)&lt;&gt;"",1,0),0)</f>
        <v>0</v>
      </c>
      <c r="P1480">
        <f>IF(OR(calendar[[#This Row],[UK_BH]]=1,calendar[[#This Row],[WeekDay]]=1, calendar[[#This Row],[WeekDay]]=7),P1479,P1479+1)</f>
        <v>1056</v>
      </c>
      <c r="Q1480">
        <f>IF(OR(calendar[[#This Row],[FR_BH]]=1,calendar[[#This Row],[WeekDay]]=1, calendar[[#This Row],[WeekDay]]=7),P1479,P1479+1)</f>
        <v>1056</v>
      </c>
      <c r="R1480">
        <f>IF(OR(calendar[[#This Row],[SP_BH]]=1,calendar[[#This Row],[WeekDay]]=1, calendar[[#This Row],[WeekDay]]=7),P1479,P1479+1)</f>
        <v>1056</v>
      </c>
      <c r="S1480">
        <f>IF(OR(calendar[[#This Row],[PT_BH]]=1,calendar[[#This Row],[WeekDay]]=1, calendar[[#This Row],[WeekDay]]=7),P1479,P1479+1)</f>
        <v>1056</v>
      </c>
    </row>
    <row r="1481" spans="1:19" x14ac:dyDescent="0.25">
      <c r="A1481" s="2">
        <v>44215</v>
      </c>
      <c r="B1481" s="1">
        <f t="shared" si="118"/>
        <v>4</v>
      </c>
      <c r="C1481">
        <f t="shared" si="115"/>
        <v>1</v>
      </c>
      <c r="D1481" t="str">
        <f t="shared" si="116"/>
        <v>January</v>
      </c>
      <c r="E1481">
        <f t="shared" si="117"/>
        <v>2021</v>
      </c>
      <c r="F1481" t="str">
        <f>CONCATENATE(calendar[[#This Row],[Month]],"/",calendar[[#This Row],[Year]])</f>
        <v>1/2021</v>
      </c>
      <c r="G1481">
        <f>WEEKDAY(calendar[[#This Row],[Date]],1)</f>
        <v>3</v>
      </c>
      <c r="H1481" t="str">
        <f>TEXT(calendar[[#This Row],[WeekDay]],"dddd")</f>
        <v>Tuesday</v>
      </c>
      <c r="I1481">
        <f>IF((INT(calendar[[#This Row],[Count]]/7)-calendar[[#This Row],[Count]]/7)&lt;0,I1480,I1480+1)</f>
        <v>212</v>
      </c>
      <c r="J1481">
        <f t="shared" si="119"/>
        <v>1479</v>
      </c>
      <c r="K1481">
        <f>IF(calendar[[#This Row],[Month]]&lt;4,1,IF(calendar[[#This Row],[Month]]&lt;7,2,IF(calendar[[#This Row],[Month]]&lt;10,3,4)))</f>
        <v>1</v>
      </c>
      <c r="L1481">
        <f>IFERROR(IF(VLOOKUP(calendar[[#This Row],[Date]],BH!A:A,1,)&lt;&gt;"",1,0),0)</f>
        <v>0</v>
      </c>
      <c r="M1481">
        <f>IFERROR(IF(VLOOKUP(calendar[[#This Row],[Date]],BH!C:C,1,)&lt;&gt;"",1,0),0)</f>
        <v>0</v>
      </c>
      <c r="N1481">
        <f>IFERROR(IF(VLOOKUP(calendar[[#This Row],[Date]],BH!E:E,1,)&lt;&gt;"",1,0),0)</f>
        <v>0</v>
      </c>
      <c r="O1481">
        <f>IFERROR(IF(VLOOKUP(calendar[[#This Row],[Date]],BH!G:G,1,)&lt;&gt;"",1,0),0)</f>
        <v>0</v>
      </c>
      <c r="P1481">
        <f>IF(OR(calendar[[#This Row],[UK_BH]]=1,calendar[[#This Row],[WeekDay]]=1, calendar[[#This Row],[WeekDay]]=7),P1480,P1480+1)</f>
        <v>1057</v>
      </c>
      <c r="Q1481">
        <f>IF(OR(calendar[[#This Row],[FR_BH]]=1,calendar[[#This Row],[WeekDay]]=1, calendar[[#This Row],[WeekDay]]=7),P1480,P1480+1)</f>
        <v>1057</v>
      </c>
      <c r="R1481">
        <f>IF(OR(calendar[[#This Row],[SP_BH]]=1,calendar[[#This Row],[WeekDay]]=1, calendar[[#This Row],[WeekDay]]=7),P1480,P1480+1)</f>
        <v>1057</v>
      </c>
      <c r="S1481">
        <f>IF(OR(calendar[[#This Row],[PT_BH]]=1,calendar[[#This Row],[WeekDay]]=1, calendar[[#This Row],[WeekDay]]=7),P1480,P1480+1)</f>
        <v>1057</v>
      </c>
    </row>
    <row r="1482" spans="1:19" x14ac:dyDescent="0.25">
      <c r="A1482" s="2">
        <v>44216</v>
      </c>
      <c r="B1482" s="1">
        <f t="shared" si="118"/>
        <v>4</v>
      </c>
      <c r="C1482">
        <f t="shared" si="115"/>
        <v>1</v>
      </c>
      <c r="D1482" t="str">
        <f t="shared" si="116"/>
        <v>January</v>
      </c>
      <c r="E1482">
        <f t="shared" si="117"/>
        <v>2021</v>
      </c>
      <c r="F1482" t="str">
        <f>CONCATENATE(calendar[[#This Row],[Month]],"/",calendar[[#This Row],[Year]])</f>
        <v>1/2021</v>
      </c>
      <c r="G1482">
        <f>WEEKDAY(calendar[[#This Row],[Date]],1)</f>
        <v>4</v>
      </c>
      <c r="H1482" t="str">
        <f>TEXT(calendar[[#This Row],[WeekDay]],"dddd")</f>
        <v>Wednesday</v>
      </c>
      <c r="I1482">
        <f>IF((INT(calendar[[#This Row],[Count]]/7)-calendar[[#This Row],[Count]]/7)&lt;0,I1481,I1481+1)</f>
        <v>212</v>
      </c>
      <c r="J1482">
        <f t="shared" si="119"/>
        <v>1480</v>
      </c>
      <c r="K1482">
        <f>IF(calendar[[#This Row],[Month]]&lt;4,1,IF(calendar[[#This Row],[Month]]&lt;7,2,IF(calendar[[#This Row],[Month]]&lt;10,3,4)))</f>
        <v>1</v>
      </c>
      <c r="L1482">
        <f>IFERROR(IF(VLOOKUP(calendar[[#This Row],[Date]],BH!A:A,1,)&lt;&gt;"",1,0),0)</f>
        <v>0</v>
      </c>
      <c r="M1482">
        <f>IFERROR(IF(VLOOKUP(calendar[[#This Row],[Date]],BH!C:C,1,)&lt;&gt;"",1,0),0)</f>
        <v>0</v>
      </c>
      <c r="N1482">
        <f>IFERROR(IF(VLOOKUP(calendar[[#This Row],[Date]],BH!E:E,1,)&lt;&gt;"",1,0),0)</f>
        <v>0</v>
      </c>
      <c r="O1482">
        <f>IFERROR(IF(VLOOKUP(calendar[[#This Row],[Date]],BH!G:G,1,)&lt;&gt;"",1,0),0)</f>
        <v>0</v>
      </c>
      <c r="P1482">
        <f>IF(OR(calendar[[#This Row],[UK_BH]]=1,calendar[[#This Row],[WeekDay]]=1, calendar[[#This Row],[WeekDay]]=7),P1481,P1481+1)</f>
        <v>1058</v>
      </c>
      <c r="Q1482">
        <f>IF(OR(calendar[[#This Row],[FR_BH]]=1,calendar[[#This Row],[WeekDay]]=1, calendar[[#This Row],[WeekDay]]=7),P1481,P1481+1)</f>
        <v>1058</v>
      </c>
      <c r="R1482">
        <f>IF(OR(calendar[[#This Row],[SP_BH]]=1,calendar[[#This Row],[WeekDay]]=1, calendar[[#This Row],[WeekDay]]=7),P1481,P1481+1)</f>
        <v>1058</v>
      </c>
      <c r="S1482">
        <f>IF(OR(calendar[[#This Row],[PT_BH]]=1,calendar[[#This Row],[WeekDay]]=1, calendar[[#This Row],[WeekDay]]=7),P1481,P1481+1)</f>
        <v>1058</v>
      </c>
    </row>
    <row r="1483" spans="1:19" x14ac:dyDescent="0.25">
      <c r="A1483" s="2">
        <v>44217</v>
      </c>
      <c r="B1483" s="1">
        <f t="shared" si="118"/>
        <v>4</v>
      </c>
      <c r="C1483">
        <f t="shared" si="115"/>
        <v>1</v>
      </c>
      <c r="D1483" t="str">
        <f t="shared" si="116"/>
        <v>January</v>
      </c>
      <c r="E1483">
        <f t="shared" si="117"/>
        <v>2021</v>
      </c>
      <c r="F1483" t="str">
        <f>CONCATENATE(calendar[[#This Row],[Month]],"/",calendar[[#This Row],[Year]])</f>
        <v>1/2021</v>
      </c>
      <c r="G1483">
        <f>WEEKDAY(calendar[[#This Row],[Date]],1)</f>
        <v>5</v>
      </c>
      <c r="H1483" t="str">
        <f>TEXT(calendar[[#This Row],[WeekDay]],"dddd")</f>
        <v>Thursday</v>
      </c>
      <c r="I1483">
        <f>IF((INT(calendar[[#This Row],[Count]]/7)-calendar[[#This Row],[Count]]/7)&lt;0,I1482,I1482+1)</f>
        <v>212</v>
      </c>
      <c r="J1483">
        <f t="shared" si="119"/>
        <v>1481</v>
      </c>
      <c r="K1483">
        <f>IF(calendar[[#This Row],[Month]]&lt;4,1,IF(calendar[[#This Row],[Month]]&lt;7,2,IF(calendar[[#This Row],[Month]]&lt;10,3,4)))</f>
        <v>1</v>
      </c>
      <c r="L1483">
        <f>IFERROR(IF(VLOOKUP(calendar[[#This Row],[Date]],BH!A:A,1,)&lt;&gt;"",1,0),0)</f>
        <v>0</v>
      </c>
      <c r="M1483">
        <f>IFERROR(IF(VLOOKUP(calendar[[#This Row],[Date]],BH!C:C,1,)&lt;&gt;"",1,0),0)</f>
        <v>0</v>
      </c>
      <c r="N1483">
        <f>IFERROR(IF(VLOOKUP(calendar[[#This Row],[Date]],BH!E:E,1,)&lt;&gt;"",1,0),0)</f>
        <v>0</v>
      </c>
      <c r="O1483">
        <f>IFERROR(IF(VLOOKUP(calendar[[#This Row],[Date]],BH!G:G,1,)&lt;&gt;"",1,0),0)</f>
        <v>0</v>
      </c>
      <c r="P1483">
        <f>IF(OR(calendar[[#This Row],[UK_BH]]=1,calendar[[#This Row],[WeekDay]]=1, calendar[[#This Row],[WeekDay]]=7),P1482,P1482+1)</f>
        <v>1059</v>
      </c>
      <c r="Q1483">
        <f>IF(OR(calendar[[#This Row],[FR_BH]]=1,calendar[[#This Row],[WeekDay]]=1, calendar[[#This Row],[WeekDay]]=7),P1482,P1482+1)</f>
        <v>1059</v>
      </c>
      <c r="R1483">
        <f>IF(OR(calendar[[#This Row],[SP_BH]]=1,calendar[[#This Row],[WeekDay]]=1, calendar[[#This Row],[WeekDay]]=7),P1482,P1482+1)</f>
        <v>1059</v>
      </c>
      <c r="S1483">
        <f>IF(OR(calendar[[#This Row],[PT_BH]]=1,calendar[[#This Row],[WeekDay]]=1, calendar[[#This Row],[WeekDay]]=7),P1482,P1482+1)</f>
        <v>1059</v>
      </c>
    </row>
    <row r="1484" spans="1:19" x14ac:dyDescent="0.25">
      <c r="A1484" s="2">
        <v>44218</v>
      </c>
      <c r="B1484" s="1">
        <f t="shared" si="118"/>
        <v>4</v>
      </c>
      <c r="C1484">
        <f t="shared" si="115"/>
        <v>1</v>
      </c>
      <c r="D1484" t="str">
        <f t="shared" si="116"/>
        <v>January</v>
      </c>
      <c r="E1484">
        <f t="shared" si="117"/>
        <v>2021</v>
      </c>
      <c r="F1484" t="str">
        <f>CONCATENATE(calendar[[#This Row],[Month]],"/",calendar[[#This Row],[Year]])</f>
        <v>1/2021</v>
      </c>
      <c r="G1484">
        <f>WEEKDAY(calendar[[#This Row],[Date]],1)</f>
        <v>6</v>
      </c>
      <c r="H1484" t="str">
        <f>TEXT(calendar[[#This Row],[WeekDay]],"dddd")</f>
        <v>Friday</v>
      </c>
      <c r="I1484">
        <f>IF((INT(calendar[[#This Row],[Count]]/7)-calendar[[#This Row],[Count]]/7)&lt;0,I1483,I1483+1)</f>
        <v>212</v>
      </c>
      <c r="J1484">
        <f t="shared" si="119"/>
        <v>1482</v>
      </c>
      <c r="K1484">
        <f>IF(calendar[[#This Row],[Month]]&lt;4,1,IF(calendar[[#This Row],[Month]]&lt;7,2,IF(calendar[[#This Row],[Month]]&lt;10,3,4)))</f>
        <v>1</v>
      </c>
      <c r="L1484">
        <f>IFERROR(IF(VLOOKUP(calendar[[#This Row],[Date]],BH!A:A,1,)&lt;&gt;"",1,0),0)</f>
        <v>0</v>
      </c>
      <c r="M1484">
        <f>IFERROR(IF(VLOOKUP(calendar[[#This Row],[Date]],BH!C:C,1,)&lt;&gt;"",1,0),0)</f>
        <v>0</v>
      </c>
      <c r="N1484">
        <f>IFERROR(IF(VLOOKUP(calendar[[#This Row],[Date]],BH!E:E,1,)&lt;&gt;"",1,0),0)</f>
        <v>0</v>
      </c>
      <c r="O1484">
        <f>IFERROR(IF(VLOOKUP(calendar[[#This Row],[Date]],BH!G:G,1,)&lt;&gt;"",1,0),0)</f>
        <v>0</v>
      </c>
      <c r="P1484">
        <f>IF(OR(calendar[[#This Row],[UK_BH]]=1,calendar[[#This Row],[WeekDay]]=1, calendar[[#This Row],[WeekDay]]=7),P1483,P1483+1)</f>
        <v>1060</v>
      </c>
      <c r="Q1484">
        <f>IF(OR(calendar[[#This Row],[FR_BH]]=1,calendar[[#This Row],[WeekDay]]=1, calendar[[#This Row],[WeekDay]]=7),P1483,P1483+1)</f>
        <v>1060</v>
      </c>
      <c r="R1484">
        <f>IF(OR(calendar[[#This Row],[SP_BH]]=1,calendar[[#This Row],[WeekDay]]=1, calendar[[#This Row],[WeekDay]]=7),P1483,P1483+1)</f>
        <v>1060</v>
      </c>
      <c r="S1484">
        <f>IF(OR(calendar[[#This Row],[PT_BH]]=1,calendar[[#This Row],[WeekDay]]=1, calendar[[#This Row],[WeekDay]]=7),P1483,P1483+1)</f>
        <v>1060</v>
      </c>
    </row>
    <row r="1485" spans="1:19" x14ac:dyDescent="0.25">
      <c r="A1485" s="2">
        <v>44219</v>
      </c>
      <c r="B1485" s="1">
        <f t="shared" si="118"/>
        <v>4</v>
      </c>
      <c r="C1485">
        <f t="shared" si="115"/>
        <v>1</v>
      </c>
      <c r="D1485" t="str">
        <f t="shared" si="116"/>
        <v>January</v>
      </c>
      <c r="E1485">
        <f t="shared" si="117"/>
        <v>2021</v>
      </c>
      <c r="F1485" t="str">
        <f>CONCATENATE(calendar[[#This Row],[Month]],"/",calendar[[#This Row],[Year]])</f>
        <v>1/2021</v>
      </c>
      <c r="G1485">
        <f>WEEKDAY(calendar[[#This Row],[Date]],1)</f>
        <v>7</v>
      </c>
      <c r="H1485" t="str">
        <f>TEXT(calendar[[#This Row],[WeekDay]],"dddd")</f>
        <v>Saturday</v>
      </c>
      <c r="I1485">
        <f>IF((INT(calendar[[#This Row],[Count]]/7)-calendar[[#This Row],[Count]]/7)&lt;0,I1484,I1484+1)</f>
        <v>212</v>
      </c>
      <c r="J1485">
        <f t="shared" si="119"/>
        <v>1483</v>
      </c>
      <c r="K1485">
        <f>IF(calendar[[#This Row],[Month]]&lt;4,1,IF(calendar[[#This Row],[Month]]&lt;7,2,IF(calendar[[#This Row],[Month]]&lt;10,3,4)))</f>
        <v>1</v>
      </c>
      <c r="L1485">
        <f>IFERROR(IF(VLOOKUP(calendar[[#This Row],[Date]],BH!A:A,1,)&lt;&gt;"",1,0),0)</f>
        <v>0</v>
      </c>
      <c r="M1485">
        <f>IFERROR(IF(VLOOKUP(calendar[[#This Row],[Date]],BH!C:C,1,)&lt;&gt;"",1,0),0)</f>
        <v>0</v>
      </c>
      <c r="N1485">
        <f>IFERROR(IF(VLOOKUP(calendar[[#This Row],[Date]],BH!E:E,1,)&lt;&gt;"",1,0),0)</f>
        <v>0</v>
      </c>
      <c r="O1485">
        <f>IFERROR(IF(VLOOKUP(calendar[[#This Row],[Date]],BH!G:G,1,)&lt;&gt;"",1,0),0)</f>
        <v>0</v>
      </c>
      <c r="P1485">
        <f>IF(OR(calendar[[#This Row],[UK_BH]]=1,calendar[[#This Row],[WeekDay]]=1, calendar[[#This Row],[WeekDay]]=7),P1484,P1484+1)</f>
        <v>1060</v>
      </c>
      <c r="Q1485">
        <f>IF(OR(calendar[[#This Row],[FR_BH]]=1,calendar[[#This Row],[WeekDay]]=1, calendar[[#This Row],[WeekDay]]=7),P1484,P1484+1)</f>
        <v>1060</v>
      </c>
      <c r="R1485">
        <f>IF(OR(calendar[[#This Row],[SP_BH]]=1,calendar[[#This Row],[WeekDay]]=1, calendar[[#This Row],[WeekDay]]=7),P1484,P1484+1)</f>
        <v>1060</v>
      </c>
      <c r="S1485">
        <f>IF(OR(calendar[[#This Row],[PT_BH]]=1,calendar[[#This Row],[WeekDay]]=1, calendar[[#This Row],[WeekDay]]=7),P1484,P1484+1)</f>
        <v>1060</v>
      </c>
    </row>
    <row r="1486" spans="1:19" x14ac:dyDescent="0.25">
      <c r="A1486" s="2">
        <v>44220</v>
      </c>
      <c r="B1486" s="1">
        <f t="shared" si="118"/>
        <v>5</v>
      </c>
      <c r="C1486">
        <f t="shared" si="115"/>
        <v>1</v>
      </c>
      <c r="D1486" t="str">
        <f t="shared" si="116"/>
        <v>January</v>
      </c>
      <c r="E1486">
        <f t="shared" si="117"/>
        <v>2021</v>
      </c>
      <c r="F1486" t="str">
        <f>CONCATENATE(calendar[[#This Row],[Month]],"/",calendar[[#This Row],[Year]])</f>
        <v>1/2021</v>
      </c>
      <c r="G1486">
        <f>WEEKDAY(calendar[[#This Row],[Date]],1)</f>
        <v>1</v>
      </c>
      <c r="H1486" t="str">
        <f>TEXT(calendar[[#This Row],[WeekDay]],"dddd")</f>
        <v>Sunday</v>
      </c>
      <c r="I1486">
        <f>IF((INT(calendar[[#This Row],[Count]]/7)-calendar[[#This Row],[Count]]/7)&lt;0,I1485,I1485+1)</f>
        <v>213</v>
      </c>
      <c r="J1486">
        <f t="shared" si="119"/>
        <v>1484</v>
      </c>
      <c r="K1486">
        <f>IF(calendar[[#This Row],[Month]]&lt;4,1,IF(calendar[[#This Row],[Month]]&lt;7,2,IF(calendar[[#This Row],[Month]]&lt;10,3,4)))</f>
        <v>1</v>
      </c>
      <c r="L1486">
        <f>IFERROR(IF(VLOOKUP(calendar[[#This Row],[Date]],BH!A:A,1,)&lt;&gt;"",1,0),0)</f>
        <v>0</v>
      </c>
      <c r="M1486">
        <f>IFERROR(IF(VLOOKUP(calendar[[#This Row],[Date]],BH!C:C,1,)&lt;&gt;"",1,0),0)</f>
        <v>0</v>
      </c>
      <c r="N1486">
        <f>IFERROR(IF(VLOOKUP(calendar[[#This Row],[Date]],BH!E:E,1,)&lt;&gt;"",1,0),0)</f>
        <v>0</v>
      </c>
      <c r="O1486">
        <f>IFERROR(IF(VLOOKUP(calendar[[#This Row],[Date]],BH!G:G,1,)&lt;&gt;"",1,0),0)</f>
        <v>0</v>
      </c>
      <c r="P1486">
        <f>IF(OR(calendar[[#This Row],[UK_BH]]=1,calendar[[#This Row],[WeekDay]]=1, calendar[[#This Row],[WeekDay]]=7),P1485,P1485+1)</f>
        <v>1060</v>
      </c>
      <c r="Q1486">
        <f>IF(OR(calendar[[#This Row],[FR_BH]]=1,calendar[[#This Row],[WeekDay]]=1, calendar[[#This Row],[WeekDay]]=7),P1485,P1485+1)</f>
        <v>1060</v>
      </c>
      <c r="R1486">
        <f>IF(OR(calendar[[#This Row],[SP_BH]]=1,calendar[[#This Row],[WeekDay]]=1, calendar[[#This Row],[WeekDay]]=7),P1485,P1485+1)</f>
        <v>1060</v>
      </c>
      <c r="S1486">
        <f>IF(OR(calendar[[#This Row],[PT_BH]]=1,calendar[[#This Row],[WeekDay]]=1, calendar[[#This Row],[WeekDay]]=7),P1485,P1485+1)</f>
        <v>1060</v>
      </c>
    </row>
    <row r="1487" spans="1:19" x14ac:dyDescent="0.25">
      <c r="A1487" s="2">
        <v>44221</v>
      </c>
      <c r="B1487" s="1">
        <f t="shared" si="118"/>
        <v>5</v>
      </c>
      <c r="C1487">
        <f t="shared" si="115"/>
        <v>1</v>
      </c>
      <c r="D1487" t="str">
        <f t="shared" si="116"/>
        <v>January</v>
      </c>
      <c r="E1487">
        <f t="shared" si="117"/>
        <v>2021</v>
      </c>
      <c r="F1487" t="str">
        <f>CONCATENATE(calendar[[#This Row],[Month]],"/",calendar[[#This Row],[Year]])</f>
        <v>1/2021</v>
      </c>
      <c r="G1487">
        <f>WEEKDAY(calendar[[#This Row],[Date]],1)</f>
        <v>2</v>
      </c>
      <c r="H1487" t="str">
        <f>TEXT(calendar[[#This Row],[WeekDay]],"dddd")</f>
        <v>Monday</v>
      </c>
      <c r="I1487">
        <f>IF((INT(calendar[[#This Row],[Count]]/7)-calendar[[#This Row],[Count]]/7)&lt;0,I1486,I1486+1)</f>
        <v>213</v>
      </c>
      <c r="J1487">
        <f t="shared" si="119"/>
        <v>1485</v>
      </c>
      <c r="K1487">
        <f>IF(calendar[[#This Row],[Month]]&lt;4,1,IF(calendar[[#This Row],[Month]]&lt;7,2,IF(calendar[[#This Row],[Month]]&lt;10,3,4)))</f>
        <v>1</v>
      </c>
      <c r="L1487">
        <f>IFERROR(IF(VLOOKUP(calendar[[#This Row],[Date]],BH!A:A,1,)&lt;&gt;"",1,0),0)</f>
        <v>0</v>
      </c>
      <c r="M1487">
        <f>IFERROR(IF(VLOOKUP(calendar[[#This Row],[Date]],BH!C:C,1,)&lt;&gt;"",1,0),0)</f>
        <v>0</v>
      </c>
      <c r="N1487">
        <f>IFERROR(IF(VLOOKUP(calendar[[#This Row],[Date]],BH!E:E,1,)&lt;&gt;"",1,0),0)</f>
        <v>0</v>
      </c>
      <c r="O1487">
        <f>IFERROR(IF(VLOOKUP(calendar[[#This Row],[Date]],BH!G:G,1,)&lt;&gt;"",1,0),0)</f>
        <v>0</v>
      </c>
      <c r="P1487">
        <f>IF(OR(calendar[[#This Row],[UK_BH]]=1,calendar[[#This Row],[WeekDay]]=1, calendar[[#This Row],[WeekDay]]=7),P1486,P1486+1)</f>
        <v>1061</v>
      </c>
      <c r="Q1487">
        <f>IF(OR(calendar[[#This Row],[FR_BH]]=1,calendar[[#This Row],[WeekDay]]=1, calendar[[#This Row],[WeekDay]]=7),P1486,P1486+1)</f>
        <v>1061</v>
      </c>
      <c r="R1487">
        <f>IF(OR(calendar[[#This Row],[SP_BH]]=1,calendar[[#This Row],[WeekDay]]=1, calendar[[#This Row],[WeekDay]]=7),P1486,P1486+1)</f>
        <v>1061</v>
      </c>
      <c r="S1487">
        <f>IF(OR(calendar[[#This Row],[PT_BH]]=1,calendar[[#This Row],[WeekDay]]=1, calendar[[#This Row],[WeekDay]]=7),P1486,P1486+1)</f>
        <v>1061</v>
      </c>
    </row>
    <row r="1488" spans="1:19" x14ac:dyDescent="0.25">
      <c r="A1488" s="2">
        <v>44222</v>
      </c>
      <c r="B1488" s="1">
        <f t="shared" si="118"/>
        <v>5</v>
      </c>
      <c r="C1488">
        <f t="shared" ref="C1488:C1551" si="120">MONTH(A1488)</f>
        <v>1</v>
      </c>
      <c r="D1488" t="str">
        <f t="shared" ref="D1488:D1551" si="121">TEXT(A1488,"mmmm")</f>
        <v>January</v>
      </c>
      <c r="E1488">
        <f t="shared" ref="E1488:E1551" si="122">YEAR(A1488)</f>
        <v>2021</v>
      </c>
      <c r="F1488" t="str">
        <f>CONCATENATE(calendar[[#This Row],[Month]],"/",calendar[[#This Row],[Year]])</f>
        <v>1/2021</v>
      </c>
      <c r="G1488">
        <f>WEEKDAY(calendar[[#This Row],[Date]],1)</f>
        <v>3</v>
      </c>
      <c r="H1488" t="str">
        <f>TEXT(calendar[[#This Row],[WeekDay]],"dddd")</f>
        <v>Tuesday</v>
      </c>
      <c r="I1488">
        <f>IF((INT(calendar[[#This Row],[Count]]/7)-calendar[[#This Row],[Count]]/7)&lt;0,I1487,I1487+1)</f>
        <v>213</v>
      </c>
      <c r="J1488">
        <f t="shared" si="119"/>
        <v>1486</v>
      </c>
      <c r="K1488">
        <f>IF(calendar[[#This Row],[Month]]&lt;4,1,IF(calendar[[#This Row],[Month]]&lt;7,2,IF(calendar[[#This Row],[Month]]&lt;10,3,4)))</f>
        <v>1</v>
      </c>
      <c r="L1488">
        <f>IFERROR(IF(VLOOKUP(calendar[[#This Row],[Date]],BH!A:A,1,)&lt;&gt;"",1,0),0)</f>
        <v>0</v>
      </c>
      <c r="M1488">
        <f>IFERROR(IF(VLOOKUP(calendar[[#This Row],[Date]],BH!C:C,1,)&lt;&gt;"",1,0),0)</f>
        <v>0</v>
      </c>
      <c r="N1488">
        <f>IFERROR(IF(VLOOKUP(calendar[[#This Row],[Date]],BH!E:E,1,)&lt;&gt;"",1,0),0)</f>
        <v>0</v>
      </c>
      <c r="O1488">
        <f>IFERROR(IF(VLOOKUP(calendar[[#This Row],[Date]],BH!G:G,1,)&lt;&gt;"",1,0),0)</f>
        <v>0</v>
      </c>
      <c r="P1488">
        <f>IF(OR(calendar[[#This Row],[UK_BH]]=1,calendar[[#This Row],[WeekDay]]=1, calendar[[#This Row],[WeekDay]]=7),P1487,P1487+1)</f>
        <v>1062</v>
      </c>
      <c r="Q1488">
        <f>IF(OR(calendar[[#This Row],[FR_BH]]=1,calendar[[#This Row],[WeekDay]]=1, calendar[[#This Row],[WeekDay]]=7),P1487,P1487+1)</f>
        <v>1062</v>
      </c>
      <c r="R1488">
        <f>IF(OR(calendar[[#This Row],[SP_BH]]=1,calendar[[#This Row],[WeekDay]]=1, calendar[[#This Row],[WeekDay]]=7),P1487,P1487+1)</f>
        <v>1062</v>
      </c>
      <c r="S1488">
        <f>IF(OR(calendar[[#This Row],[PT_BH]]=1,calendar[[#This Row],[WeekDay]]=1, calendar[[#This Row],[WeekDay]]=7),P1487,P1487+1)</f>
        <v>1062</v>
      </c>
    </row>
    <row r="1489" spans="1:19" x14ac:dyDescent="0.25">
      <c r="A1489" s="2">
        <v>44223</v>
      </c>
      <c r="B1489" s="1">
        <f t="shared" si="118"/>
        <v>5</v>
      </c>
      <c r="C1489">
        <f t="shared" si="120"/>
        <v>1</v>
      </c>
      <c r="D1489" t="str">
        <f t="shared" si="121"/>
        <v>January</v>
      </c>
      <c r="E1489">
        <f t="shared" si="122"/>
        <v>2021</v>
      </c>
      <c r="F1489" t="str">
        <f>CONCATENATE(calendar[[#This Row],[Month]],"/",calendar[[#This Row],[Year]])</f>
        <v>1/2021</v>
      </c>
      <c r="G1489">
        <f>WEEKDAY(calendar[[#This Row],[Date]],1)</f>
        <v>4</v>
      </c>
      <c r="H1489" t="str">
        <f>TEXT(calendar[[#This Row],[WeekDay]],"dddd")</f>
        <v>Wednesday</v>
      </c>
      <c r="I1489">
        <f>IF((INT(calendar[[#This Row],[Count]]/7)-calendar[[#This Row],[Count]]/7)&lt;0,I1488,I1488+1)</f>
        <v>213</v>
      </c>
      <c r="J1489">
        <f t="shared" si="119"/>
        <v>1487</v>
      </c>
      <c r="K1489">
        <f>IF(calendar[[#This Row],[Month]]&lt;4,1,IF(calendar[[#This Row],[Month]]&lt;7,2,IF(calendar[[#This Row],[Month]]&lt;10,3,4)))</f>
        <v>1</v>
      </c>
      <c r="L1489">
        <f>IFERROR(IF(VLOOKUP(calendar[[#This Row],[Date]],BH!A:A,1,)&lt;&gt;"",1,0),0)</f>
        <v>0</v>
      </c>
      <c r="M1489">
        <f>IFERROR(IF(VLOOKUP(calendar[[#This Row],[Date]],BH!C:C,1,)&lt;&gt;"",1,0),0)</f>
        <v>0</v>
      </c>
      <c r="N1489">
        <f>IFERROR(IF(VLOOKUP(calendar[[#This Row],[Date]],BH!E:E,1,)&lt;&gt;"",1,0),0)</f>
        <v>0</v>
      </c>
      <c r="O1489">
        <f>IFERROR(IF(VLOOKUP(calendar[[#This Row],[Date]],BH!G:G,1,)&lt;&gt;"",1,0),0)</f>
        <v>0</v>
      </c>
      <c r="P1489">
        <f>IF(OR(calendar[[#This Row],[UK_BH]]=1,calendar[[#This Row],[WeekDay]]=1, calendar[[#This Row],[WeekDay]]=7),P1488,P1488+1)</f>
        <v>1063</v>
      </c>
      <c r="Q1489">
        <f>IF(OR(calendar[[#This Row],[FR_BH]]=1,calendar[[#This Row],[WeekDay]]=1, calendar[[#This Row],[WeekDay]]=7),P1488,P1488+1)</f>
        <v>1063</v>
      </c>
      <c r="R1489">
        <f>IF(OR(calendar[[#This Row],[SP_BH]]=1,calendar[[#This Row],[WeekDay]]=1, calendar[[#This Row],[WeekDay]]=7),P1488,P1488+1)</f>
        <v>1063</v>
      </c>
      <c r="S1489">
        <f>IF(OR(calendar[[#This Row],[PT_BH]]=1,calendar[[#This Row],[WeekDay]]=1, calendar[[#This Row],[WeekDay]]=7),P1488,P1488+1)</f>
        <v>1063</v>
      </c>
    </row>
    <row r="1490" spans="1:19" x14ac:dyDescent="0.25">
      <c r="A1490" s="2">
        <v>44224</v>
      </c>
      <c r="B1490" s="1">
        <f t="shared" si="118"/>
        <v>5</v>
      </c>
      <c r="C1490">
        <f t="shared" si="120"/>
        <v>1</v>
      </c>
      <c r="D1490" t="str">
        <f t="shared" si="121"/>
        <v>January</v>
      </c>
      <c r="E1490">
        <f t="shared" si="122"/>
        <v>2021</v>
      </c>
      <c r="F1490" t="str">
        <f>CONCATENATE(calendar[[#This Row],[Month]],"/",calendar[[#This Row],[Year]])</f>
        <v>1/2021</v>
      </c>
      <c r="G1490">
        <f>WEEKDAY(calendar[[#This Row],[Date]],1)</f>
        <v>5</v>
      </c>
      <c r="H1490" t="str">
        <f>TEXT(calendar[[#This Row],[WeekDay]],"dddd")</f>
        <v>Thursday</v>
      </c>
      <c r="I1490">
        <f>IF((INT(calendar[[#This Row],[Count]]/7)-calendar[[#This Row],[Count]]/7)&lt;0,I1489,I1489+1)</f>
        <v>213</v>
      </c>
      <c r="J1490">
        <f t="shared" si="119"/>
        <v>1488</v>
      </c>
      <c r="K1490">
        <f>IF(calendar[[#This Row],[Month]]&lt;4,1,IF(calendar[[#This Row],[Month]]&lt;7,2,IF(calendar[[#This Row],[Month]]&lt;10,3,4)))</f>
        <v>1</v>
      </c>
      <c r="L1490">
        <f>IFERROR(IF(VLOOKUP(calendar[[#This Row],[Date]],BH!A:A,1,)&lt;&gt;"",1,0),0)</f>
        <v>0</v>
      </c>
      <c r="M1490">
        <f>IFERROR(IF(VLOOKUP(calendar[[#This Row],[Date]],BH!C:C,1,)&lt;&gt;"",1,0),0)</f>
        <v>0</v>
      </c>
      <c r="N1490">
        <f>IFERROR(IF(VLOOKUP(calendar[[#This Row],[Date]],BH!E:E,1,)&lt;&gt;"",1,0),0)</f>
        <v>0</v>
      </c>
      <c r="O1490">
        <f>IFERROR(IF(VLOOKUP(calendar[[#This Row],[Date]],BH!G:G,1,)&lt;&gt;"",1,0),0)</f>
        <v>0</v>
      </c>
      <c r="P1490">
        <f>IF(OR(calendar[[#This Row],[UK_BH]]=1,calendar[[#This Row],[WeekDay]]=1, calendar[[#This Row],[WeekDay]]=7),P1489,P1489+1)</f>
        <v>1064</v>
      </c>
      <c r="Q1490">
        <f>IF(OR(calendar[[#This Row],[FR_BH]]=1,calendar[[#This Row],[WeekDay]]=1, calendar[[#This Row],[WeekDay]]=7),P1489,P1489+1)</f>
        <v>1064</v>
      </c>
      <c r="R1490">
        <f>IF(OR(calendar[[#This Row],[SP_BH]]=1,calendar[[#This Row],[WeekDay]]=1, calendar[[#This Row],[WeekDay]]=7),P1489,P1489+1)</f>
        <v>1064</v>
      </c>
      <c r="S1490">
        <f>IF(OR(calendar[[#This Row],[PT_BH]]=1,calendar[[#This Row],[WeekDay]]=1, calendar[[#This Row],[WeekDay]]=7),P1489,P1489+1)</f>
        <v>1064</v>
      </c>
    </row>
    <row r="1491" spans="1:19" x14ac:dyDescent="0.25">
      <c r="A1491" s="2">
        <v>44225</v>
      </c>
      <c r="B1491" s="1">
        <f t="shared" si="118"/>
        <v>5</v>
      </c>
      <c r="C1491">
        <f t="shared" si="120"/>
        <v>1</v>
      </c>
      <c r="D1491" t="str">
        <f t="shared" si="121"/>
        <v>January</v>
      </c>
      <c r="E1491">
        <f t="shared" si="122"/>
        <v>2021</v>
      </c>
      <c r="F1491" t="str">
        <f>CONCATENATE(calendar[[#This Row],[Month]],"/",calendar[[#This Row],[Year]])</f>
        <v>1/2021</v>
      </c>
      <c r="G1491">
        <f>WEEKDAY(calendar[[#This Row],[Date]],1)</f>
        <v>6</v>
      </c>
      <c r="H1491" t="str">
        <f>TEXT(calendar[[#This Row],[WeekDay]],"dddd")</f>
        <v>Friday</v>
      </c>
      <c r="I1491">
        <f>IF((INT(calendar[[#This Row],[Count]]/7)-calendar[[#This Row],[Count]]/7)&lt;0,I1490,I1490+1)</f>
        <v>213</v>
      </c>
      <c r="J1491">
        <f t="shared" si="119"/>
        <v>1489</v>
      </c>
      <c r="K1491">
        <f>IF(calendar[[#This Row],[Month]]&lt;4,1,IF(calendar[[#This Row],[Month]]&lt;7,2,IF(calendar[[#This Row],[Month]]&lt;10,3,4)))</f>
        <v>1</v>
      </c>
      <c r="L1491">
        <f>IFERROR(IF(VLOOKUP(calendar[[#This Row],[Date]],BH!A:A,1,)&lt;&gt;"",1,0),0)</f>
        <v>0</v>
      </c>
      <c r="M1491">
        <f>IFERROR(IF(VLOOKUP(calendar[[#This Row],[Date]],BH!C:C,1,)&lt;&gt;"",1,0),0)</f>
        <v>0</v>
      </c>
      <c r="N1491">
        <f>IFERROR(IF(VLOOKUP(calendar[[#This Row],[Date]],BH!E:E,1,)&lt;&gt;"",1,0),0)</f>
        <v>0</v>
      </c>
      <c r="O1491">
        <f>IFERROR(IF(VLOOKUP(calendar[[#This Row],[Date]],BH!G:G,1,)&lt;&gt;"",1,0),0)</f>
        <v>0</v>
      </c>
      <c r="P1491">
        <f>IF(OR(calendar[[#This Row],[UK_BH]]=1,calendar[[#This Row],[WeekDay]]=1, calendar[[#This Row],[WeekDay]]=7),P1490,P1490+1)</f>
        <v>1065</v>
      </c>
      <c r="Q1491">
        <f>IF(OR(calendar[[#This Row],[FR_BH]]=1,calendar[[#This Row],[WeekDay]]=1, calendar[[#This Row],[WeekDay]]=7),P1490,P1490+1)</f>
        <v>1065</v>
      </c>
      <c r="R1491">
        <f>IF(OR(calendar[[#This Row],[SP_BH]]=1,calendar[[#This Row],[WeekDay]]=1, calendar[[#This Row],[WeekDay]]=7),P1490,P1490+1)</f>
        <v>1065</v>
      </c>
      <c r="S1491">
        <f>IF(OR(calendar[[#This Row],[PT_BH]]=1,calendar[[#This Row],[WeekDay]]=1, calendar[[#This Row],[WeekDay]]=7),P1490,P1490+1)</f>
        <v>1065</v>
      </c>
    </row>
    <row r="1492" spans="1:19" x14ac:dyDescent="0.25">
      <c r="A1492" s="2">
        <v>44226</v>
      </c>
      <c r="B1492" s="1">
        <f t="shared" si="118"/>
        <v>5</v>
      </c>
      <c r="C1492">
        <f t="shared" si="120"/>
        <v>1</v>
      </c>
      <c r="D1492" t="str">
        <f t="shared" si="121"/>
        <v>January</v>
      </c>
      <c r="E1492">
        <f t="shared" si="122"/>
        <v>2021</v>
      </c>
      <c r="F1492" t="str">
        <f>CONCATENATE(calendar[[#This Row],[Month]],"/",calendar[[#This Row],[Year]])</f>
        <v>1/2021</v>
      </c>
      <c r="G1492">
        <f>WEEKDAY(calendar[[#This Row],[Date]],1)</f>
        <v>7</v>
      </c>
      <c r="H1492" t="str">
        <f>TEXT(calendar[[#This Row],[WeekDay]],"dddd")</f>
        <v>Saturday</v>
      </c>
      <c r="I1492">
        <f>IF((INT(calendar[[#This Row],[Count]]/7)-calendar[[#This Row],[Count]]/7)&lt;0,I1491,I1491+1)</f>
        <v>213</v>
      </c>
      <c r="J1492">
        <f t="shared" si="119"/>
        <v>1490</v>
      </c>
      <c r="K1492">
        <f>IF(calendar[[#This Row],[Month]]&lt;4,1,IF(calendar[[#This Row],[Month]]&lt;7,2,IF(calendar[[#This Row],[Month]]&lt;10,3,4)))</f>
        <v>1</v>
      </c>
      <c r="L1492">
        <f>IFERROR(IF(VLOOKUP(calendar[[#This Row],[Date]],BH!A:A,1,)&lt;&gt;"",1,0),0)</f>
        <v>0</v>
      </c>
      <c r="M1492">
        <f>IFERROR(IF(VLOOKUP(calendar[[#This Row],[Date]],BH!C:C,1,)&lt;&gt;"",1,0),0)</f>
        <v>0</v>
      </c>
      <c r="N1492">
        <f>IFERROR(IF(VLOOKUP(calendar[[#This Row],[Date]],BH!E:E,1,)&lt;&gt;"",1,0),0)</f>
        <v>0</v>
      </c>
      <c r="O1492">
        <f>IFERROR(IF(VLOOKUP(calendar[[#This Row],[Date]],BH!G:G,1,)&lt;&gt;"",1,0),0)</f>
        <v>0</v>
      </c>
      <c r="P1492">
        <f>IF(OR(calendar[[#This Row],[UK_BH]]=1,calendar[[#This Row],[WeekDay]]=1, calendar[[#This Row],[WeekDay]]=7),P1491,P1491+1)</f>
        <v>1065</v>
      </c>
      <c r="Q1492">
        <f>IF(OR(calendar[[#This Row],[FR_BH]]=1,calendar[[#This Row],[WeekDay]]=1, calendar[[#This Row],[WeekDay]]=7),P1491,P1491+1)</f>
        <v>1065</v>
      </c>
      <c r="R1492">
        <f>IF(OR(calendar[[#This Row],[SP_BH]]=1,calendar[[#This Row],[WeekDay]]=1, calendar[[#This Row],[WeekDay]]=7),P1491,P1491+1)</f>
        <v>1065</v>
      </c>
      <c r="S1492">
        <f>IF(OR(calendar[[#This Row],[PT_BH]]=1,calendar[[#This Row],[WeekDay]]=1, calendar[[#This Row],[WeekDay]]=7),P1491,P1491+1)</f>
        <v>1065</v>
      </c>
    </row>
    <row r="1493" spans="1:19" x14ac:dyDescent="0.25">
      <c r="A1493" s="2">
        <v>44227</v>
      </c>
      <c r="B1493" s="1">
        <f t="shared" si="118"/>
        <v>6</v>
      </c>
      <c r="C1493">
        <f t="shared" si="120"/>
        <v>1</v>
      </c>
      <c r="D1493" t="str">
        <f t="shared" si="121"/>
        <v>January</v>
      </c>
      <c r="E1493">
        <f t="shared" si="122"/>
        <v>2021</v>
      </c>
      <c r="F1493" t="str">
        <f>CONCATENATE(calendar[[#This Row],[Month]],"/",calendar[[#This Row],[Year]])</f>
        <v>1/2021</v>
      </c>
      <c r="G1493">
        <f>WEEKDAY(calendar[[#This Row],[Date]],1)</f>
        <v>1</v>
      </c>
      <c r="H1493" t="str">
        <f>TEXT(calendar[[#This Row],[WeekDay]],"dddd")</f>
        <v>Sunday</v>
      </c>
      <c r="I1493">
        <f>IF((INT(calendar[[#This Row],[Count]]/7)-calendar[[#This Row],[Count]]/7)&lt;0,I1492,I1492+1)</f>
        <v>214</v>
      </c>
      <c r="J1493">
        <f t="shared" si="119"/>
        <v>1491</v>
      </c>
      <c r="K1493">
        <f>IF(calendar[[#This Row],[Month]]&lt;4,1,IF(calendar[[#This Row],[Month]]&lt;7,2,IF(calendar[[#This Row],[Month]]&lt;10,3,4)))</f>
        <v>1</v>
      </c>
      <c r="L1493">
        <f>IFERROR(IF(VLOOKUP(calendar[[#This Row],[Date]],BH!A:A,1,)&lt;&gt;"",1,0),0)</f>
        <v>0</v>
      </c>
      <c r="M1493">
        <f>IFERROR(IF(VLOOKUP(calendar[[#This Row],[Date]],BH!C:C,1,)&lt;&gt;"",1,0),0)</f>
        <v>0</v>
      </c>
      <c r="N1493">
        <f>IFERROR(IF(VLOOKUP(calendar[[#This Row],[Date]],BH!E:E,1,)&lt;&gt;"",1,0),0)</f>
        <v>0</v>
      </c>
      <c r="O1493">
        <f>IFERROR(IF(VLOOKUP(calendar[[#This Row],[Date]],BH!G:G,1,)&lt;&gt;"",1,0),0)</f>
        <v>0</v>
      </c>
      <c r="P1493">
        <f>IF(OR(calendar[[#This Row],[UK_BH]]=1,calendar[[#This Row],[WeekDay]]=1, calendar[[#This Row],[WeekDay]]=7),P1492,P1492+1)</f>
        <v>1065</v>
      </c>
      <c r="Q1493">
        <f>IF(OR(calendar[[#This Row],[FR_BH]]=1,calendar[[#This Row],[WeekDay]]=1, calendar[[#This Row],[WeekDay]]=7),P1492,P1492+1)</f>
        <v>1065</v>
      </c>
      <c r="R1493">
        <f>IF(OR(calendar[[#This Row],[SP_BH]]=1,calendar[[#This Row],[WeekDay]]=1, calendar[[#This Row],[WeekDay]]=7),P1492,P1492+1)</f>
        <v>1065</v>
      </c>
      <c r="S1493">
        <f>IF(OR(calendar[[#This Row],[PT_BH]]=1,calendar[[#This Row],[WeekDay]]=1, calendar[[#This Row],[WeekDay]]=7),P1492,P1492+1)</f>
        <v>1065</v>
      </c>
    </row>
    <row r="1494" spans="1:19" x14ac:dyDescent="0.25">
      <c r="A1494" s="2">
        <v>44228</v>
      </c>
      <c r="B1494" s="1">
        <f t="shared" si="118"/>
        <v>6</v>
      </c>
      <c r="C1494">
        <f t="shared" si="120"/>
        <v>2</v>
      </c>
      <c r="D1494" t="str">
        <f t="shared" si="121"/>
        <v>February</v>
      </c>
      <c r="E1494">
        <f t="shared" si="122"/>
        <v>2021</v>
      </c>
      <c r="F1494" t="str">
        <f>CONCATENATE(calendar[[#This Row],[Month]],"/",calendar[[#This Row],[Year]])</f>
        <v>2/2021</v>
      </c>
      <c r="G1494">
        <f>WEEKDAY(calendar[[#This Row],[Date]],1)</f>
        <v>2</v>
      </c>
      <c r="H1494" t="str">
        <f>TEXT(calendar[[#This Row],[WeekDay]],"dddd")</f>
        <v>Monday</v>
      </c>
      <c r="I1494">
        <f>IF((INT(calendar[[#This Row],[Count]]/7)-calendar[[#This Row],[Count]]/7)&lt;0,I1493,I1493+1)</f>
        <v>214</v>
      </c>
      <c r="J1494">
        <f t="shared" si="119"/>
        <v>1492</v>
      </c>
      <c r="K1494">
        <f>IF(calendar[[#This Row],[Month]]&lt;4,1,IF(calendar[[#This Row],[Month]]&lt;7,2,IF(calendar[[#This Row],[Month]]&lt;10,3,4)))</f>
        <v>1</v>
      </c>
      <c r="L1494">
        <f>IFERROR(IF(VLOOKUP(calendar[[#This Row],[Date]],BH!A:A,1,)&lt;&gt;"",1,0),0)</f>
        <v>0</v>
      </c>
      <c r="M1494">
        <f>IFERROR(IF(VLOOKUP(calendar[[#This Row],[Date]],BH!C:C,1,)&lt;&gt;"",1,0),0)</f>
        <v>0</v>
      </c>
      <c r="N1494">
        <f>IFERROR(IF(VLOOKUP(calendar[[#This Row],[Date]],BH!E:E,1,)&lt;&gt;"",1,0),0)</f>
        <v>0</v>
      </c>
      <c r="O1494">
        <f>IFERROR(IF(VLOOKUP(calendar[[#This Row],[Date]],BH!G:G,1,)&lt;&gt;"",1,0),0)</f>
        <v>0</v>
      </c>
      <c r="P1494">
        <f>IF(OR(calendar[[#This Row],[UK_BH]]=1,calendar[[#This Row],[WeekDay]]=1, calendar[[#This Row],[WeekDay]]=7),P1493,P1493+1)</f>
        <v>1066</v>
      </c>
      <c r="Q1494">
        <f>IF(OR(calendar[[#This Row],[FR_BH]]=1,calendar[[#This Row],[WeekDay]]=1, calendar[[#This Row],[WeekDay]]=7),P1493,P1493+1)</f>
        <v>1066</v>
      </c>
      <c r="R1494">
        <f>IF(OR(calendar[[#This Row],[SP_BH]]=1,calendar[[#This Row],[WeekDay]]=1, calendar[[#This Row],[WeekDay]]=7),P1493,P1493+1)</f>
        <v>1066</v>
      </c>
      <c r="S1494">
        <f>IF(OR(calendar[[#This Row],[PT_BH]]=1,calendar[[#This Row],[WeekDay]]=1, calendar[[#This Row],[WeekDay]]=7),P1493,P1493+1)</f>
        <v>1066</v>
      </c>
    </row>
    <row r="1495" spans="1:19" x14ac:dyDescent="0.25">
      <c r="A1495" s="2">
        <v>44229</v>
      </c>
      <c r="B1495" s="1">
        <f t="shared" si="118"/>
        <v>6</v>
      </c>
      <c r="C1495">
        <f t="shared" si="120"/>
        <v>2</v>
      </c>
      <c r="D1495" t="str">
        <f t="shared" si="121"/>
        <v>February</v>
      </c>
      <c r="E1495">
        <f t="shared" si="122"/>
        <v>2021</v>
      </c>
      <c r="F1495" t="str">
        <f>CONCATENATE(calendar[[#This Row],[Month]],"/",calendar[[#This Row],[Year]])</f>
        <v>2/2021</v>
      </c>
      <c r="G1495">
        <f>WEEKDAY(calendar[[#This Row],[Date]],1)</f>
        <v>3</v>
      </c>
      <c r="H1495" t="str">
        <f>TEXT(calendar[[#This Row],[WeekDay]],"dddd")</f>
        <v>Tuesday</v>
      </c>
      <c r="I1495">
        <f>IF((INT(calendar[[#This Row],[Count]]/7)-calendar[[#This Row],[Count]]/7)&lt;0,I1494,I1494+1)</f>
        <v>214</v>
      </c>
      <c r="J1495">
        <f t="shared" si="119"/>
        <v>1493</v>
      </c>
      <c r="K1495">
        <f>IF(calendar[[#This Row],[Month]]&lt;4,1,IF(calendar[[#This Row],[Month]]&lt;7,2,IF(calendar[[#This Row],[Month]]&lt;10,3,4)))</f>
        <v>1</v>
      </c>
      <c r="L1495">
        <f>IFERROR(IF(VLOOKUP(calendar[[#This Row],[Date]],BH!A:A,1,)&lt;&gt;"",1,0),0)</f>
        <v>0</v>
      </c>
      <c r="M1495">
        <f>IFERROR(IF(VLOOKUP(calendar[[#This Row],[Date]],BH!C:C,1,)&lt;&gt;"",1,0),0)</f>
        <v>0</v>
      </c>
      <c r="N1495">
        <f>IFERROR(IF(VLOOKUP(calendar[[#This Row],[Date]],BH!E:E,1,)&lt;&gt;"",1,0),0)</f>
        <v>0</v>
      </c>
      <c r="O1495">
        <f>IFERROR(IF(VLOOKUP(calendar[[#This Row],[Date]],BH!G:G,1,)&lt;&gt;"",1,0),0)</f>
        <v>0</v>
      </c>
      <c r="P1495">
        <f>IF(OR(calendar[[#This Row],[UK_BH]]=1,calendar[[#This Row],[WeekDay]]=1, calendar[[#This Row],[WeekDay]]=7),P1494,P1494+1)</f>
        <v>1067</v>
      </c>
      <c r="Q1495">
        <f>IF(OR(calendar[[#This Row],[FR_BH]]=1,calendar[[#This Row],[WeekDay]]=1, calendar[[#This Row],[WeekDay]]=7),P1494,P1494+1)</f>
        <v>1067</v>
      </c>
      <c r="R1495">
        <f>IF(OR(calendar[[#This Row],[SP_BH]]=1,calendar[[#This Row],[WeekDay]]=1, calendar[[#This Row],[WeekDay]]=7),P1494,P1494+1)</f>
        <v>1067</v>
      </c>
      <c r="S1495">
        <f>IF(OR(calendar[[#This Row],[PT_BH]]=1,calendar[[#This Row],[WeekDay]]=1, calendar[[#This Row],[WeekDay]]=7),P1494,P1494+1)</f>
        <v>1067</v>
      </c>
    </row>
    <row r="1496" spans="1:19" x14ac:dyDescent="0.25">
      <c r="A1496" s="2">
        <v>44230</v>
      </c>
      <c r="B1496" s="1">
        <f t="shared" si="118"/>
        <v>6</v>
      </c>
      <c r="C1496">
        <f t="shared" si="120"/>
        <v>2</v>
      </c>
      <c r="D1496" t="str">
        <f t="shared" si="121"/>
        <v>February</v>
      </c>
      <c r="E1496">
        <f t="shared" si="122"/>
        <v>2021</v>
      </c>
      <c r="F1496" t="str">
        <f>CONCATENATE(calendar[[#This Row],[Month]],"/",calendar[[#This Row],[Year]])</f>
        <v>2/2021</v>
      </c>
      <c r="G1496">
        <f>WEEKDAY(calendar[[#This Row],[Date]],1)</f>
        <v>4</v>
      </c>
      <c r="H1496" t="str">
        <f>TEXT(calendar[[#This Row],[WeekDay]],"dddd")</f>
        <v>Wednesday</v>
      </c>
      <c r="I1496">
        <f>IF((INT(calendar[[#This Row],[Count]]/7)-calendar[[#This Row],[Count]]/7)&lt;0,I1495,I1495+1)</f>
        <v>214</v>
      </c>
      <c r="J1496">
        <f t="shared" si="119"/>
        <v>1494</v>
      </c>
      <c r="K1496">
        <f>IF(calendar[[#This Row],[Month]]&lt;4,1,IF(calendar[[#This Row],[Month]]&lt;7,2,IF(calendar[[#This Row],[Month]]&lt;10,3,4)))</f>
        <v>1</v>
      </c>
      <c r="L1496">
        <f>IFERROR(IF(VLOOKUP(calendar[[#This Row],[Date]],BH!A:A,1,)&lt;&gt;"",1,0),0)</f>
        <v>0</v>
      </c>
      <c r="M1496">
        <f>IFERROR(IF(VLOOKUP(calendar[[#This Row],[Date]],BH!C:C,1,)&lt;&gt;"",1,0),0)</f>
        <v>0</v>
      </c>
      <c r="N1496">
        <f>IFERROR(IF(VLOOKUP(calendar[[#This Row],[Date]],BH!E:E,1,)&lt;&gt;"",1,0),0)</f>
        <v>0</v>
      </c>
      <c r="O1496">
        <f>IFERROR(IF(VLOOKUP(calendar[[#This Row],[Date]],BH!G:G,1,)&lt;&gt;"",1,0),0)</f>
        <v>0</v>
      </c>
      <c r="P1496">
        <f>IF(OR(calendar[[#This Row],[UK_BH]]=1,calendar[[#This Row],[WeekDay]]=1, calendar[[#This Row],[WeekDay]]=7),P1495,P1495+1)</f>
        <v>1068</v>
      </c>
      <c r="Q1496">
        <f>IF(OR(calendar[[#This Row],[FR_BH]]=1,calendar[[#This Row],[WeekDay]]=1, calendar[[#This Row],[WeekDay]]=7),P1495,P1495+1)</f>
        <v>1068</v>
      </c>
      <c r="R1496">
        <f>IF(OR(calendar[[#This Row],[SP_BH]]=1,calendar[[#This Row],[WeekDay]]=1, calendar[[#This Row],[WeekDay]]=7),P1495,P1495+1)</f>
        <v>1068</v>
      </c>
      <c r="S1496">
        <f>IF(OR(calendar[[#This Row],[PT_BH]]=1,calendar[[#This Row],[WeekDay]]=1, calendar[[#This Row],[WeekDay]]=7),P1495,P1495+1)</f>
        <v>1068</v>
      </c>
    </row>
    <row r="1497" spans="1:19" x14ac:dyDescent="0.25">
      <c r="A1497" s="2">
        <v>44231</v>
      </c>
      <c r="B1497" s="1">
        <f t="shared" si="118"/>
        <v>6</v>
      </c>
      <c r="C1497">
        <f t="shared" si="120"/>
        <v>2</v>
      </c>
      <c r="D1497" t="str">
        <f t="shared" si="121"/>
        <v>February</v>
      </c>
      <c r="E1497">
        <f t="shared" si="122"/>
        <v>2021</v>
      </c>
      <c r="F1497" t="str">
        <f>CONCATENATE(calendar[[#This Row],[Month]],"/",calendar[[#This Row],[Year]])</f>
        <v>2/2021</v>
      </c>
      <c r="G1497">
        <f>WEEKDAY(calendar[[#This Row],[Date]],1)</f>
        <v>5</v>
      </c>
      <c r="H1497" t="str">
        <f>TEXT(calendar[[#This Row],[WeekDay]],"dddd")</f>
        <v>Thursday</v>
      </c>
      <c r="I1497">
        <f>IF((INT(calendar[[#This Row],[Count]]/7)-calendar[[#This Row],[Count]]/7)&lt;0,I1496,I1496+1)</f>
        <v>214</v>
      </c>
      <c r="J1497">
        <f t="shared" si="119"/>
        <v>1495</v>
      </c>
      <c r="K1497">
        <f>IF(calendar[[#This Row],[Month]]&lt;4,1,IF(calendar[[#This Row],[Month]]&lt;7,2,IF(calendar[[#This Row],[Month]]&lt;10,3,4)))</f>
        <v>1</v>
      </c>
      <c r="L1497">
        <f>IFERROR(IF(VLOOKUP(calendar[[#This Row],[Date]],BH!A:A,1,)&lt;&gt;"",1,0),0)</f>
        <v>0</v>
      </c>
      <c r="M1497">
        <f>IFERROR(IF(VLOOKUP(calendar[[#This Row],[Date]],BH!C:C,1,)&lt;&gt;"",1,0),0)</f>
        <v>0</v>
      </c>
      <c r="N1497">
        <f>IFERROR(IF(VLOOKUP(calendar[[#This Row],[Date]],BH!E:E,1,)&lt;&gt;"",1,0),0)</f>
        <v>0</v>
      </c>
      <c r="O1497">
        <f>IFERROR(IF(VLOOKUP(calendar[[#This Row],[Date]],BH!G:G,1,)&lt;&gt;"",1,0),0)</f>
        <v>0</v>
      </c>
      <c r="P1497">
        <f>IF(OR(calendar[[#This Row],[UK_BH]]=1,calendar[[#This Row],[WeekDay]]=1, calendar[[#This Row],[WeekDay]]=7),P1496,P1496+1)</f>
        <v>1069</v>
      </c>
      <c r="Q1497">
        <f>IF(OR(calendar[[#This Row],[FR_BH]]=1,calendar[[#This Row],[WeekDay]]=1, calendar[[#This Row],[WeekDay]]=7),P1496,P1496+1)</f>
        <v>1069</v>
      </c>
      <c r="R1497">
        <f>IF(OR(calendar[[#This Row],[SP_BH]]=1,calendar[[#This Row],[WeekDay]]=1, calendar[[#This Row],[WeekDay]]=7),P1496,P1496+1)</f>
        <v>1069</v>
      </c>
      <c r="S1497">
        <f>IF(OR(calendar[[#This Row],[PT_BH]]=1,calendar[[#This Row],[WeekDay]]=1, calendar[[#This Row],[WeekDay]]=7),P1496,P1496+1)</f>
        <v>1069</v>
      </c>
    </row>
    <row r="1498" spans="1:19" x14ac:dyDescent="0.25">
      <c r="A1498" s="2">
        <v>44232</v>
      </c>
      <c r="B1498" s="1">
        <f t="shared" si="118"/>
        <v>6</v>
      </c>
      <c r="C1498">
        <f t="shared" si="120"/>
        <v>2</v>
      </c>
      <c r="D1498" t="str">
        <f t="shared" si="121"/>
        <v>February</v>
      </c>
      <c r="E1498">
        <f t="shared" si="122"/>
        <v>2021</v>
      </c>
      <c r="F1498" t="str">
        <f>CONCATENATE(calendar[[#This Row],[Month]],"/",calendar[[#This Row],[Year]])</f>
        <v>2/2021</v>
      </c>
      <c r="G1498">
        <f>WEEKDAY(calendar[[#This Row],[Date]],1)</f>
        <v>6</v>
      </c>
      <c r="H1498" t="str">
        <f>TEXT(calendar[[#This Row],[WeekDay]],"dddd")</f>
        <v>Friday</v>
      </c>
      <c r="I1498">
        <f>IF((INT(calendar[[#This Row],[Count]]/7)-calendar[[#This Row],[Count]]/7)&lt;0,I1497,I1497+1)</f>
        <v>214</v>
      </c>
      <c r="J1498">
        <f t="shared" si="119"/>
        <v>1496</v>
      </c>
      <c r="K1498">
        <f>IF(calendar[[#This Row],[Month]]&lt;4,1,IF(calendar[[#This Row],[Month]]&lt;7,2,IF(calendar[[#This Row],[Month]]&lt;10,3,4)))</f>
        <v>1</v>
      </c>
      <c r="L1498">
        <f>IFERROR(IF(VLOOKUP(calendar[[#This Row],[Date]],BH!A:A,1,)&lt;&gt;"",1,0),0)</f>
        <v>0</v>
      </c>
      <c r="M1498">
        <f>IFERROR(IF(VLOOKUP(calendar[[#This Row],[Date]],BH!C:C,1,)&lt;&gt;"",1,0),0)</f>
        <v>0</v>
      </c>
      <c r="N1498">
        <f>IFERROR(IF(VLOOKUP(calendar[[#This Row],[Date]],BH!E:E,1,)&lt;&gt;"",1,0),0)</f>
        <v>0</v>
      </c>
      <c r="O1498">
        <f>IFERROR(IF(VLOOKUP(calendar[[#This Row],[Date]],BH!G:G,1,)&lt;&gt;"",1,0),0)</f>
        <v>0</v>
      </c>
      <c r="P1498">
        <f>IF(OR(calendar[[#This Row],[UK_BH]]=1,calendar[[#This Row],[WeekDay]]=1, calendar[[#This Row],[WeekDay]]=7),P1497,P1497+1)</f>
        <v>1070</v>
      </c>
      <c r="Q1498">
        <f>IF(OR(calendar[[#This Row],[FR_BH]]=1,calendar[[#This Row],[WeekDay]]=1, calendar[[#This Row],[WeekDay]]=7),P1497,P1497+1)</f>
        <v>1070</v>
      </c>
      <c r="R1498">
        <f>IF(OR(calendar[[#This Row],[SP_BH]]=1,calendar[[#This Row],[WeekDay]]=1, calendar[[#This Row],[WeekDay]]=7),P1497,P1497+1)</f>
        <v>1070</v>
      </c>
      <c r="S1498">
        <f>IF(OR(calendar[[#This Row],[PT_BH]]=1,calendar[[#This Row],[WeekDay]]=1, calendar[[#This Row],[WeekDay]]=7),P1497,P1497+1)</f>
        <v>1070</v>
      </c>
    </row>
    <row r="1499" spans="1:19" x14ac:dyDescent="0.25">
      <c r="A1499" s="2">
        <v>44233</v>
      </c>
      <c r="B1499" s="1">
        <f t="shared" si="118"/>
        <v>6</v>
      </c>
      <c r="C1499">
        <f t="shared" si="120"/>
        <v>2</v>
      </c>
      <c r="D1499" t="str">
        <f t="shared" si="121"/>
        <v>February</v>
      </c>
      <c r="E1499">
        <f t="shared" si="122"/>
        <v>2021</v>
      </c>
      <c r="F1499" t="str">
        <f>CONCATENATE(calendar[[#This Row],[Month]],"/",calendar[[#This Row],[Year]])</f>
        <v>2/2021</v>
      </c>
      <c r="G1499">
        <f>WEEKDAY(calendar[[#This Row],[Date]],1)</f>
        <v>7</v>
      </c>
      <c r="H1499" t="str">
        <f>TEXT(calendar[[#This Row],[WeekDay]],"dddd")</f>
        <v>Saturday</v>
      </c>
      <c r="I1499">
        <f>IF((INT(calendar[[#This Row],[Count]]/7)-calendar[[#This Row],[Count]]/7)&lt;0,I1498,I1498+1)</f>
        <v>214</v>
      </c>
      <c r="J1499">
        <f t="shared" si="119"/>
        <v>1497</v>
      </c>
      <c r="K1499">
        <f>IF(calendar[[#This Row],[Month]]&lt;4,1,IF(calendar[[#This Row],[Month]]&lt;7,2,IF(calendar[[#This Row],[Month]]&lt;10,3,4)))</f>
        <v>1</v>
      </c>
      <c r="L1499">
        <f>IFERROR(IF(VLOOKUP(calendar[[#This Row],[Date]],BH!A:A,1,)&lt;&gt;"",1,0),0)</f>
        <v>0</v>
      </c>
      <c r="M1499">
        <f>IFERROR(IF(VLOOKUP(calendar[[#This Row],[Date]],BH!C:C,1,)&lt;&gt;"",1,0),0)</f>
        <v>0</v>
      </c>
      <c r="N1499">
        <f>IFERROR(IF(VLOOKUP(calendar[[#This Row],[Date]],BH!E:E,1,)&lt;&gt;"",1,0),0)</f>
        <v>0</v>
      </c>
      <c r="O1499">
        <f>IFERROR(IF(VLOOKUP(calendar[[#This Row],[Date]],BH!G:G,1,)&lt;&gt;"",1,0),0)</f>
        <v>0</v>
      </c>
      <c r="P1499">
        <f>IF(OR(calendar[[#This Row],[UK_BH]]=1,calendar[[#This Row],[WeekDay]]=1, calendar[[#This Row],[WeekDay]]=7),P1498,P1498+1)</f>
        <v>1070</v>
      </c>
      <c r="Q1499">
        <f>IF(OR(calendar[[#This Row],[FR_BH]]=1,calendar[[#This Row],[WeekDay]]=1, calendar[[#This Row],[WeekDay]]=7),P1498,P1498+1)</f>
        <v>1070</v>
      </c>
      <c r="R1499">
        <f>IF(OR(calendar[[#This Row],[SP_BH]]=1,calendar[[#This Row],[WeekDay]]=1, calendar[[#This Row],[WeekDay]]=7),P1498,P1498+1)</f>
        <v>1070</v>
      </c>
      <c r="S1499">
        <f>IF(OR(calendar[[#This Row],[PT_BH]]=1,calendar[[#This Row],[WeekDay]]=1, calendar[[#This Row],[WeekDay]]=7),P1498,P1498+1)</f>
        <v>1070</v>
      </c>
    </row>
    <row r="1500" spans="1:19" x14ac:dyDescent="0.25">
      <c r="A1500" s="2">
        <v>44234</v>
      </c>
      <c r="B1500" s="1">
        <f t="shared" si="118"/>
        <v>7</v>
      </c>
      <c r="C1500">
        <f t="shared" si="120"/>
        <v>2</v>
      </c>
      <c r="D1500" t="str">
        <f t="shared" si="121"/>
        <v>February</v>
      </c>
      <c r="E1500">
        <f t="shared" si="122"/>
        <v>2021</v>
      </c>
      <c r="F1500" t="str">
        <f>CONCATENATE(calendar[[#This Row],[Month]],"/",calendar[[#This Row],[Year]])</f>
        <v>2/2021</v>
      </c>
      <c r="G1500">
        <f>WEEKDAY(calendar[[#This Row],[Date]],1)</f>
        <v>1</v>
      </c>
      <c r="H1500" t="str">
        <f>TEXT(calendar[[#This Row],[WeekDay]],"dddd")</f>
        <v>Sunday</v>
      </c>
      <c r="I1500">
        <f>IF((INT(calendar[[#This Row],[Count]]/7)-calendar[[#This Row],[Count]]/7)&lt;0,I1499,I1499+1)</f>
        <v>215</v>
      </c>
      <c r="J1500">
        <f t="shared" si="119"/>
        <v>1498</v>
      </c>
      <c r="K1500">
        <f>IF(calendar[[#This Row],[Month]]&lt;4,1,IF(calendar[[#This Row],[Month]]&lt;7,2,IF(calendar[[#This Row],[Month]]&lt;10,3,4)))</f>
        <v>1</v>
      </c>
      <c r="L1500">
        <f>IFERROR(IF(VLOOKUP(calendar[[#This Row],[Date]],BH!A:A,1,)&lt;&gt;"",1,0),0)</f>
        <v>0</v>
      </c>
      <c r="M1500">
        <f>IFERROR(IF(VLOOKUP(calendar[[#This Row],[Date]],BH!C:C,1,)&lt;&gt;"",1,0),0)</f>
        <v>0</v>
      </c>
      <c r="N1500">
        <f>IFERROR(IF(VLOOKUP(calendar[[#This Row],[Date]],BH!E:E,1,)&lt;&gt;"",1,0),0)</f>
        <v>0</v>
      </c>
      <c r="O1500">
        <f>IFERROR(IF(VLOOKUP(calendar[[#This Row],[Date]],BH!G:G,1,)&lt;&gt;"",1,0),0)</f>
        <v>0</v>
      </c>
      <c r="P1500">
        <f>IF(OR(calendar[[#This Row],[UK_BH]]=1,calendar[[#This Row],[WeekDay]]=1, calendar[[#This Row],[WeekDay]]=7),P1499,P1499+1)</f>
        <v>1070</v>
      </c>
      <c r="Q1500">
        <f>IF(OR(calendar[[#This Row],[FR_BH]]=1,calendar[[#This Row],[WeekDay]]=1, calendar[[#This Row],[WeekDay]]=7),P1499,P1499+1)</f>
        <v>1070</v>
      </c>
      <c r="R1500">
        <f>IF(OR(calendar[[#This Row],[SP_BH]]=1,calendar[[#This Row],[WeekDay]]=1, calendar[[#This Row],[WeekDay]]=7),P1499,P1499+1)</f>
        <v>1070</v>
      </c>
      <c r="S1500">
        <f>IF(OR(calendar[[#This Row],[PT_BH]]=1,calendar[[#This Row],[WeekDay]]=1, calendar[[#This Row],[WeekDay]]=7),P1499,P1499+1)</f>
        <v>1070</v>
      </c>
    </row>
    <row r="1501" spans="1:19" x14ac:dyDescent="0.25">
      <c r="A1501" s="2">
        <v>44235</v>
      </c>
      <c r="B1501" s="1">
        <f t="shared" si="118"/>
        <v>7</v>
      </c>
      <c r="C1501">
        <f t="shared" si="120"/>
        <v>2</v>
      </c>
      <c r="D1501" t="str">
        <f t="shared" si="121"/>
        <v>February</v>
      </c>
      <c r="E1501">
        <f t="shared" si="122"/>
        <v>2021</v>
      </c>
      <c r="F1501" t="str">
        <f>CONCATENATE(calendar[[#This Row],[Month]],"/",calendar[[#This Row],[Year]])</f>
        <v>2/2021</v>
      </c>
      <c r="G1501">
        <f>WEEKDAY(calendar[[#This Row],[Date]],1)</f>
        <v>2</v>
      </c>
      <c r="H1501" t="str">
        <f>TEXT(calendar[[#This Row],[WeekDay]],"dddd")</f>
        <v>Monday</v>
      </c>
      <c r="I1501">
        <f>IF((INT(calendar[[#This Row],[Count]]/7)-calendar[[#This Row],[Count]]/7)&lt;0,I1500,I1500+1)</f>
        <v>215</v>
      </c>
      <c r="J1501">
        <f t="shared" si="119"/>
        <v>1499</v>
      </c>
      <c r="K1501">
        <f>IF(calendar[[#This Row],[Month]]&lt;4,1,IF(calendar[[#This Row],[Month]]&lt;7,2,IF(calendar[[#This Row],[Month]]&lt;10,3,4)))</f>
        <v>1</v>
      </c>
      <c r="L1501">
        <f>IFERROR(IF(VLOOKUP(calendar[[#This Row],[Date]],BH!A:A,1,)&lt;&gt;"",1,0),0)</f>
        <v>0</v>
      </c>
      <c r="M1501">
        <f>IFERROR(IF(VLOOKUP(calendar[[#This Row],[Date]],BH!C:C,1,)&lt;&gt;"",1,0),0)</f>
        <v>0</v>
      </c>
      <c r="N1501">
        <f>IFERROR(IF(VLOOKUP(calendar[[#This Row],[Date]],BH!E:E,1,)&lt;&gt;"",1,0),0)</f>
        <v>0</v>
      </c>
      <c r="O1501">
        <f>IFERROR(IF(VLOOKUP(calendar[[#This Row],[Date]],BH!G:G,1,)&lt;&gt;"",1,0),0)</f>
        <v>0</v>
      </c>
      <c r="P1501">
        <f>IF(OR(calendar[[#This Row],[UK_BH]]=1,calendar[[#This Row],[WeekDay]]=1, calendar[[#This Row],[WeekDay]]=7),P1500,P1500+1)</f>
        <v>1071</v>
      </c>
      <c r="Q1501">
        <f>IF(OR(calendar[[#This Row],[FR_BH]]=1,calendar[[#This Row],[WeekDay]]=1, calendar[[#This Row],[WeekDay]]=7),P1500,P1500+1)</f>
        <v>1071</v>
      </c>
      <c r="R1501">
        <f>IF(OR(calendar[[#This Row],[SP_BH]]=1,calendar[[#This Row],[WeekDay]]=1, calendar[[#This Row],[WeekDay]]=7),P1500,P1500+1)</f>
        <v>1071</v>
      </c>
      <c r="S1501">
        <f>IF(OR(calendar[[#This Row],[PT_BH]]=1,calendar[[#This Row],[WeekDay]]=1, calendar[[#This Row],[WeekDay]]=7),P1500,P1500+1)</f>
        <v>1071</v>
      </c>
    </row>
    <row r="1502" spans="1:19" x14ac:dyDescent="0.25">
      <c r="A1502" s="2">
        <v>44236</v>
      </c>
      <c r="B1502" s="1">
        <f t="shared" si="118"/>
        <v>7</v>
      </c>
      <c r="C1502">
        <f t="shared" si="120"/>
        <v>2</v>
      </c>
      <c r="D1502" t="str">
        <f t="shared" si="121"/>
        <v>February</v>
      </c>
      <c r="E1502">
        <f t="shared" si="122"/>
        <v>2021</v>
      </c>
      <c r="F1502" t="str">
        <f>CONCATENATE(calendar[[#This Row],[Month]],"/",calendar[[#This Row],[Year]])</f>
        <v>2/2021</v>
      </c>
      <c r="G1502">
        <f>WEEKDAY(calendar[[#This Row],[Date]],1)</f>
        <v>3</v>
      </c>
      <c r="H1502" t="str">
        <f>TEXT(calendar[[#This Row],[WeekDay]],"dddd")</f>
        <v>Tuesday</v>
      </c>
      <c r="I1502">
        <f>IF((INT(calendar[[#This Row],[Count]]/7)-calendar[[#This Row],[Count]]/7)&lt;0,I1501,I1501+1)</f>
        <v>215</v>
      </c>
      <c r="J1502">
        <f t="shared" si="119"/>
        <v>1500</v>
      </c>
      <c r="K1502">
        <f>IF(calendar[[#This Row],[Month]]&lt;4,1,IF(calendar[[#This Row],[Month]]&lt;7,2,IF(calendar[[#This Row],[Month]]&lt;10,3,4)))</f>
        <v>1</v>
      </c>
      <c r="L1502">
        <f>IFERROR(IF(VLOOKUP(calendar[[#This Row],[Date]],BH!A:A,1,)&lt;&gt;"",1,0),0)</f>
        <v>0</v>
      </c>
      <c r="M1502">
        <f>IFERROR(IF(VLOOKUP(calendar[[#This Row],[Date]],BH!C:C,1,)&lt;&gt;"",1,0),0)</f>
        <v>0</v>
      </c>
      <c r="N1502">
        <f>IFERROR(IF(VLOOKUP(calendar[[#This Row],[Date]],BH!E:E,1,)&lt;&gt;"",1,0),0)</f>
        <v>0</v>
      </c>
      <c r="O1502">
        <f>IFERROR(IF(VLOOKUP(calendar[[#This Row],[Date]],BH!G:G,1,)&lt;&gt;"",1,0),0)</f>
        <v>0</v>
      </c>
      <c r="P1502">
        <f>IF(OR(calendar[[#This Row],[UK_BH]]=1,calendar[[#This Row],[WeekDay]]=1, calendar[[#This Row],[WeekDay]]=7),P1501,P1501+1)</f>
        <v>1072</v>
      </c>
      <c r="Q1502">
        <f>IF(OR(calendar[[#This Row],[FR_BH]]=1,calendar[[#This Row],[WeekDay]]=1, calendar[[#This Row],[WeekDay]]=7),P1501,P1501+1)</f>
        <v>1072</v>
      </c>
      <c r="R1502">
        <f>IF(OR(calendar[[#This Row],[SP_BH]]=1,calendar[[#This Row],[WeekDay]]=1, calendar[[#This Row],[WeekDay]]=7),P1501,P1501+1)</f>
        <v>1072</v>
      </c>
      <c r="S1502">
        <f>IF(OR(calendar[[#This Row],[PT_BH]]=1,calendar[[#This Row],[WeekDay]]=1, calendar[[#This Row],[WeekDay]]=7),P1501,P1501+1)</f>
        <v>1072</v>
      </c>
    </row>
    <row r="1503" spans="1:19" x14ac:dyDescent="0.25">
      <c r="A1503" s="2">
        <v>44237</v>
      </c>
      <c r="B1503" s="1">
        <f t="shared" si="118"/>
        <v>7</v>
      </c>
      <c r="C1503">
        <f t="shared" si="120"/>
        <v>2</v>
      </c>
      <c r="D1503" t="str">
        <f t="shared" si="121"/>
        <v>February</v>
      </c>
      <c r="E1503">
        <f t="shared" si="122"/>
        <v>2021</v>
      </c>
      <c r="F1503" t="str">
        <f>CONCATENATE(calendar[[#This Row],[Month]],"/",calendar[[#This Row],[Year]])</f>
        <v>2/2021</v>
      </c>
      <c r="G1503">
        <f>WEEKDAY(calendar[[#This Row],[Date]],1)</f>
        <v>4</v>
      </c>
      <c r="H1503" t="str">
        <f>TEXT(calendar[[#This Row],[WeekDay]],"dddd")</f>
        <v>Wednesday</v>
      </c>
      <c r="I1503">
        <f>IF((INT(calendar[[#This Row],[Count]]/7)-calendar[[#This Row],[Count]]/7)&lt;0,I1502,I1502+1)</f>
        <v>215</v>
      </c>
      <c r="J1503">
        <f t="shared" si="119"/>
        <v>1501</v>
      </c>
      <c r="K1503">
        <f>IF(calendar[[#This Row],[Month]]&lt;4,1,IF(calendar[[#This Row],[Month]]&lt;7,2,IF(calendar[[#This Row],[Month]]&lt;10,3,4)))</f>
        <v>1</v>
      </c>
      <c r="L1503">
        <f>IFERROR(IF(VLOOKUP(calendar[[#This Row],[Date]],BH!A:A,1,)&lt;&gt;"",1,0),0)</f>
        <v>0</v>
      </c>
      <c r="M1503">
        <f>IFERROR(IF(VLOOKUP(calendar[[#This Row],[Date]],BH!C:C,1,)&lt;&gt;"",1,0),0)</f>
        <v>0</v>
      </c>
      <c r="N1503">
        <f>IFERROR(IF(VLOOKUP(calendar[[#This Row],[Date]],BH!E:E,1,)&lt;&gt;"",1,0),0)</f>
        <v>0</v>
      </c>
      <c r="O1503">
        <f>IFERROR(IF(VLOOKUP(calendar[[#This Row],[Date]],BH!G:G,1,)&lt;&gt;"",1,0),0)</f>
        <v>0</v>
      </c>
      <c r="P1503">
        <f>IF(OR(calendar[[#This Row],[UK_BH]]=1,calendar[[#This Row],[WeekDay]]=1, calendar[[#This Row],[WeekDay]]=7),P1502,P1502+1)</f>
        <v>1073</v>
      </c>
      <c r="Q1503">
        <f>IF(OR(calendar[[#This Row],[FR_BH]]=1,calendar[[#This Row],[WeekDay]]=1, calendar[[#This Row],[WeekDay]]=7),P1502,P1502+1)</f>
        <v>1073</v>
      </c>
      <c r="R1503">
        <f>IF(OR(calendar[[#This Row],[SP_BH]]=1,calendar[[#This Row],[WeekDay]]=1, calendar[[#This Row],[WeekDay]]=7),P1502,P1502+1)</f>
        <v>1073</v>
      </c>
      <c r="S1503">
        <f>IF(OR(calendar[[#This Row],[PT_BH]]=1,calendar[[#This Row],[WeekDay]]=1, calendar[[#This Row],[WeekDay]]=7),P1502,P1502+1)</f>
        <v>1073</v>
      </c>
    </row>
    <row r="1504" spans="1:19" x14ac:dyDescent="0.25">
      <c r="A1504" s="2">
        <v>44238</v>
      </c>
      <c r="B1504" s="1">
        <f t="shared" si="118"/>
        <v>7</v>
      </c>
      <c r="C1504">
        <f t="shared" si="120"/>
        <v>2</v>
      </c>
      <c r="D1504" t="str">
        <f t="shared" si="121"/>
        <v>February</v>
      </c>
      <c r="E1504">
        <f t="shared" si="122"/>
        <v>2021</v>
      </c>
      <c r="F1504" t="str">
        <f>CONCATENATE(calendar[[#This Row],[Month]],"/",calendar[[#This Row],[Year]])</f>
        <v>2/2021</v>
      </c>
      <c r="G1504">
        <f>WEEKDAY(calendar[[#This Row],[Date]],1)</f>
        <v>5</v>
      </c>
      <c r="H1504" t="str">
        <f>TEXT(calendar[[#This Row],[WeekDay]],"dddd")</f>
        <v>Thursday</v>
      </c>
      <c r="I1504">
        <f>IF((INT(calendar[[#This Row],[Count]]/7)-calendar[[#This Row],[Count]]/7)&lt;0,I1503,I1503+1)</f>
        <v>215</v>
      </c>
      <c r="J1504">
        <f t="shared" si="119"/>
        <v>1502</v>
      </c>
      <c r="K1504">
        <f>IF(calendar[[#This Row],[Month]]&lt;4,1,IF(calendar[[#This Row],[Month]]&lt;7,2,IF(calendar[[#This Row],[Month]]&lt;10,3,4)))</f>
        <v>1</v>
      </c>
      <c r="L1504">
        <f>IFERROR(IF(VLOOKUP(calendar[[#This Row],[Date]],BH!A:A,1,)&lt;&gt;"",1,0),0)</f>
        <v>0</v>
      </c>
      <c r="M1504">
        <f>IFERROR(IF(VLOOKUP(calendar[[#This Row],[Date]],BH!C:C,1,)&lt;&gt;"",1,0),0)</f>
        <v>0</v>
      </c>
      <c r="N1504">
        <f>IFERROR(IF(VLOOKUP(calendar[[#This Row],[Date]],BH!E:E,1,)&lt;&gt;"",1,0),0)</f>
        <v>0</v>
      </c>
      <c r="O1504">
        <f>IFERROR(IF(VLOOKUP(calendar[[#This Row],[Date]],BH!G:G,1,)&lt;&gt;"",1,0),0)</f>
        <v>0</v>
      </c>
      <c r="P1504">
        <f>IF(OR(calendar[[#This Row],[UK_BH]]=1,calendar[[#This Row],[WeekDay]]=1, calendar[[#This Row],[WeekDay]]=7),P1503,P1503+1)</f>
        <v>1074</v>
      </c>
      <c r="Q1504">
        <f>IF(OR(calendar[[#This Row],[FR_BH]]=1,calendar[[#This Row],[WeekDay]]=1, calendar[[#This Row],[WeekDay]]=7),P1503,P1503+1)</f>
        <v>1074</v>
      </c>
      <c r="R1504">
        <f>IF(OR(calendar[[#This Row],[SP_BH]]=1,calendar[[#This Row],[WeekDay]]=1, calendar[[#This Row],[WeekDay]]=7),P1503,P1503+1)</f>
        <v>1074</v>
      </c>
      <c r="S1504">
        <f>IF(OR(calendar[[#This Row],[PT_BH]]=1,calendar[[#This Row],[WeekDay]]=1, calendar[[#This Row],[WeekDay]]=7),P1503,P1503+1)</f>
        <v>1074</v>
      </c>
    </row>
    <row r="1505" spans="1:19" x14ac:dyDescent="0.25">
      <c r="A1505" s="2">
        <v>44239</v>
      </c>
      <c r="B1505" s="1">
        <f t="shared" si="118"/>
        <v>7</v>
      </c>
      <c r="C1505">
        <f t="shared" si="120"/>
        <v>2</v>
      </c>
      <c r="D1505" t="str">
        <f t="shared" si="121"/>
        <v>February</v>
      </c>
      <c r="E1505">
        <f t="shared" si="122"/>
        <v>2021</v>
      </c>
      <c r="F1505" t="str">
        <f>CONCATENATE(calendar[[#This Row],[Month]],"/",calendar[[#This Row],[Year]])</f>
        <v>2/2021</v>
      </c>
      <c r="G1505">
        <f>WEEKDAY(calendar[[#This Row],[Date]],1)</f>
        <v>6</v>
      </c>
      <c r="H1505" t="str">
        <f>TEXT(calendar[[#This Row],[WeekDay]],"dddd")</f>
        <v>Friday</v>
      </c>
      <c r="I1505">
        <f>IF((INT(calendar[[#This Row],[Count]]/7)-calendar[[#This Row],[Count]]/7)&lt;0,I1504,I1504+1)</f>
        <v>215</v>
      </c>
      <c r="J1505">
        <f t="shared" si="119"/>
        <v>1503</v>
      </c>
      <c r="K1505">
        <f>IF(calendar[[#This Row],[Month]]&lt;4,1,IF(calendar[[#This Row],[Month]]&lt;7,2,IF(calendar[[#This Row],[Month]]&lt;10,3,4)))</f>
        <v>1</v>
      </c>
      <c r="L1505">
        <f>IFERROR(IF(VLOOKUP(calendar[[#This Row],[Date]],BH!A:A,1,)&lt;&gt;"",1,0),0)</f>
        <v>0</v>
      </c>
      <c r="M1505">
        <f>IFERROR(IF(VLOOKUP(calendar[[#This Row],[Date]],BH!C:C,1,)&lt;&gt;"",1,0),0)</f>
        <v>0</v>
      </c>
      <c r="N1505">
        <f>IFERROR(IF(VLOOKUP(calendar[[#This Row],[Date]],BH!E:E,1,)&lt;&gt;"",1,0),0)</f>
        <v>0</v>
      </c>
      <c r="O1505">
        <f>IFERROR(IF(VLOOKUP(calendar[[#This Row],[Date]],BH!G:G,1,)&lt;&gt;"",1,0),0)</f>
        <v>0</v>
      </c>
      <c r="P1505">
        <f>IF(OR(calendar[[#This Row],[UK_BH]]=1,calendar[[#This Row],[WeekDay]]=1, calendar[[#This Row],[WeekDay]]=7),P1504,P1504+1)</f>
        <v>1075</v>
      </c>
      <c r="Q1505">
        <f>IF(OR(calendar[[#This Row],[FR_BH]]=1,calendar[[#This Row],[WeekDay]]=1, calendar[[#This Row],[WeekDay]]=7),P1504,P1504+1)</f>
        <v>1075</v>
      </c>
      <c r="R1505">
        <f>IF(OR(calendar[[#This Row],[SP_BH]]=1,calendar[[#This Row],[WeekDay]]=1, calendar[[#This Row],[WeekDay]]=7),P1504,P1504+1)</f>
        <v>1075</v>
      </c>
      <c r="S1505">
        <f>IF(OR(calendar[[#This Row],[PT_BH]]=1,calendar[[#This Row],[WeekDay]]=1, calendar[[#This Row],[WeekDay]]=7),P1504,P1504+1)</f>
        <v>1075</v>
      </c>
    </row>
    <row r="1506" spans="1:19" x14ac:dyDescent="0.25">
      <c r="A1506" s="2">
        <v>44240</v>
      </c>
      <c r="B1506" s="1">
        <f t="shared" si="118"/>
        <v>7</v>
      </c>
      <c r="C1506">
        <f t="shared" si="120"/>
        <v>2</v>
      </c>
      <c r="D1506" t="str">
        <f t="shared" si="121"/>
        <v>February</v>
      </c>
      <c r="E1506">
        <f t="shared" si="122"/>
        <v>2021</v>
      </c>
      <c r="F1506" t="str">
        <f>CONCATENATE(calendar[[#This Row],[Month]],"/",calendar[[#This Row],[Year]])</f>
        <v>2/2021</v>
      </c>
      <c r="G1506">
        <f>WEEKDAY(calendar[[#This Row],[Date]],1)</f>
        <v>7</v>
      </c>
      <c r="H1506" t="str">
        <f>TEXT(calendar[[#This Row],[WeekDay]],"dddd")</f>
        <v>Saturday</v>
      </c>
      <c r="I1506">
        <f>IF((INT(calendar[[#This Row],[Count]]/7)-calendar[[#This Row],[Count]]/7)&lt;0,I1505,I1505+1)</f>
        <v>215</v>
      </c>
      <c r="J1506">
        <f t="shared" si="119"/>
        <v>1504</v>
      </c>
      <c r="K1506">
        <f>IF(calendar[[#This Row],[Month]]&lt;4,1,IF(calendar[[#This Row],[Month]]&lt;7,2,IF(calendar[[#This Row],[Month]]&lt;10,3,4)))</f>
        <v>1</v>
      </c>
      <c r="L1506">
        <f>IFERROR(IF(VLOOKUP(calendar[[#This Row],[Date]],BH!A:A,1,)&lt;&gt;"",1,0),0)</f>
        <v>0</v>
      </c>
      <c r="M1506">
        <f>IFERROR(IF(VLOOKUP(calendar[[#This Row],[Date]],BH!C:C,1,)&lt;&gt;"",1,0),0)</f>
        <v>0</v>
      </c>
      <c r="N1506">
        <f>IFERROR(IF(VLOOKUP(calendar[[#This Row],[Date]],BH!E:E,1,)&lt;&gt;"",1,0),0)</f>
        <v>0</v>
      </c>
      <c r="O1506">
        <f>IFERROR(IF(VLOOKUP(calendar[[#This Row],[Date]],BH!G:G,1,)&lt;&gt;"",1,0),0)</f>
        <v>0</v>
      </c>
      <c r="P1506">
        <f>IF(OR(calendar[[#This Row],[UK_BH]]=1,calendar[[#This Row],[WeekDay]]=1, calendar[[#This Row],[WeekDay]]=7),P1505,P1505+1)</f>
        <v>1075</v>
      </c>
      <c r="Q1506">
        <f>IF(OR(calendar[[#This Row],[FR_BH]]=1,calendar[[#This Row],[WeekDay]]=1, calendar[[#This Row],[WeekDay]]=7),P1505,P1505+1)</f>
        <v>1075</v>
      </c>
      <c r="R1506">
        <f>IF(OR(calendar[[#This Row],[SP_BH]]=1,calendar[[#This Row],[WeekDay]]=1, calendar[[#This Row],[WeekDay]]=7),P1505,P1505+1)</f>
        <v>1075</v>
      </c>
      <c r="S1506">
        <f>IF(OR(calendar[[#This Row],[PT_BH]]=1,calendar[[#This Row],[WeekDay]]=1, calendar[[#This Row],[WeekDay]]=7),P1505,P1505+1)</f>
        <v>1075</v>
      </c>
    </row>
    <row r="1507" spans="1:19" x14ac:dyDescent="0.25">
      <c r="A1507" s="2">
        <v>44241</v>
      </c>
      <c r="B1507" s="1">
        <f t="shared" si="118"/>
        <v>8</v>
      </c>
      <c r="C1507">
        <f t="shared" si="120"/>
        <v>2</v>
      </c>
      <c r="D1507" t="str">
        <f t="shared" si="121"/>
        <v>February</v>
      </c>
      <c r="E1507">
        <f t="shared" si="122"/>
        <v>2021</v>
      </c>
      <c r="F1507" t="str">
        <f>CONCATENATE(calendar[[#This Row],[Month]],"/",calendar[[#This Row],[Year]])</f>
        <v>2/2021</v>
      </c>
      <c r="G1507">
        <f>WEEKDAY(calendar[[#This Row],[Date]],1)</f>
        <v>1</v>
      </c>
      <c r="H1507" t="str">
        <f>TEXT(calendar[[#This Row],[WeekDay]],"dddd")</f>
        <v>Sunday</v>
      </c>
      <c r="I1507">
        <f>IF((INT(calendar[[#This Row],[Count]]/7)-calendar[[#This Row],[Count]]/7)&lt;0,I1506,I1506+1)</f>
        <v>216</v>
      </c>
      <c r="J1507">
        <f t="shared" si="119"/>
        <v>1505</v>
      </c>
      <c r="K1507">
        <f>IF(calendar[[#This Row],[Month]]&lt;4,1,IF(calendar[[#This Row],[Month]]&lt;7,2,IF(calendar[[#This Row],[Month]]&lt;10,3,4)))</f>
        <v>1</v>
      </c>
      <c r="L1507">
        <f>IFERROR(IF(VLOOKUP(calendar[[#This Row],[Date]],BH!A:A,1,)&lt;&gt;"",1,0),0)</f>
        <v>0</v>
      </c>
      <c r="M1507">
        <f>IFERROR(IF(VLOOKUP(calendar[[#This Row],[Date]],BH!C:C,1,)&lt;&gt;"",1,0),0)</f>
        <v>0</v>
      </c>
      <c r="N1507">
        <f>IFERROR(IF(VLOOKUP(calendar[[#This Row],[Date]],BH!E:E,1,)&lt;&gt;"",1,0),0)</f>
        <v>0</v>
      </c>
      <c r="O1507">
        <f>IFERROR(IF(VLOOKUP(calendar[[#This Row],[Date]],BH!G:G,1,)&lt;&gt;"",1,0),0)</f>
        <v>0</v>
      </c>
      <c r="P1507">
        <f>IF(OR(calendar[[#This Row],[UK_BH]]=1,calendar[[#This Row],[WeekDay]]=1, calendar[[#This Row],[WeekDay]]=7),P1506,P1506+1)</f>
        <v>1075</v>
      </c>
      <c r="Q1507">
        <f>IF(OR(calendar[[#This Row],[FR_BH]]=1,calendar[[#This Row],[WeekDay]]=1, calendar[[#This Row],[WeekDay]]=7),P1506,P1506+1)</f>
        <v>1075</v>
      </c>
      <c r="R1507">
        <f>IF(OR(calendar[[#This Row],[SP_BH]]=1,calendar[[#This Row],[WeekDay]]=1, calendar[[#This Row],[WeekDay]]=7),P1506,P1506+1)</f>
        <v>1075</v>
      </c>
      <c r="S1507">
        <f>IF(OR(calendar[[#This Row],[PT_BH]]=1,calendar[[#This Row],[WeekDay]]=1, calendar[[#This Row],[WeekDay]]=7),P1506,P1506+1)</f>
        <v>1075</v>
      </c>
    </row>
    <row r="1508" spans="1:19" x14ac:dyDescent="0.25">
      <c r="A1508" s="2">
        <v>44242</v>
      </c>
      <c r="B1508" s="1">
        <f t="shared" si="118"/>
        <v>8</v>
      </c>
      <c r="C1508">
        <f t="shared" si="120"/>
        <v>2</v>
      </c>
      <c r="D1508" t="str">
        <f t="shared" si="121"/>
        <v>February</v>
      </c>
      <c r="E1508">
        <f t="shared" si="122"/>
        <v>2021</v>
      </c>
      <c r="F1508" t="str">
        <f>CONCATENATE(calendar[[#This Row],[Month]],"/",calendar[[#This Row],[Year]])</f>
        <v>2/2021</v>
      </c>
      <c r="G1508">
        <f>WEEKDAY(calendar[[#This Row],[Date]],1)</f>
        <v>2</v>
      </c>
      <c r="H1508" t="str">
        <f>TEXT(calendar[[#This Row],[WeekDay]],"dddd")</f>
        <v>Monday</v>
      </c>
      <c r="I1508">
        <f>IF((INT(calendar[[#This Row],[Count]]/7)-calendar[[#This Row],[Count]]/7)&lt;0,I1507,I1507+1)</f>
        <v>216</v>
      </c>
      <c r="J1508">
        <f t="shared" si="119"/>
        <v>1506</v>
      </c>
      <c r="K1508">
        <f>IF(calendar[[#This Row],[Month]]&lt;4,1,IF(calendar[[#This Row],[Month]]&lt;7,2,IF(calendar[[#This Row],[Month]]&lt;10,3,4)))</f>
        <v>1</v>
      </c>
      <c r="L1508">
        <f>IFERROR(IF(VLOOKUP(calendar[[#This Row],[Date]],BH!A:A,1,)&lt;&gt;"",1,0),0)</f>
        <v>0</v>
      </c>
      <c r="M1508">
        <f>IFERROR(IF(VLOOKUP(calendar[[#This Row],[Date]],BH!C:C,1,)&lt;&gt;"",1,0),0)</f>
        <v>0</v>
      </c>
      <c r="N1508">
        <f>IFERROR(IF(VLOOKUP(calendar[[#This Row],[Date]],BH!E:E,1,)&lt;&gt;"",1,0),0)</f>
        <v>0</v>
      </c>
      <c r="O1508">
        <f>IFERROR(IF(VLOOKUP(calendar[[#This Row],[Date]],BH!G:G,1,)&lt;&gt;"",1,0),0)</f>
        <v>0</v>
      </c>
      <c r="P1508">
        <f>IF(OR(calendar[[#This Row],[UK_BH]]=1,calendar[[#This Row],[WeekDay]]=1, calendar[[#This Row],[WeekDay]]=7),P1507,P1507+1)</f>
        <v>1076</v>
      </c>
      <c r="Q1508">
        <f>IF(OR(calendar[[#This Row],[FR_BH]]=1,calendar[[#This Row],[WeekDay]]=1, calendar[[#This Row],[WeekDay]]=7),P1507,P1507+1)</f>
        <v>1076</v>
      </c>
      <c r="R1508">
        <f>IF(OR(calendar[[#This Row],[SP_BH]]=1,calendar[[#This Row],[WeekDay]]=1, calendar[[#This Row],[WeekDay]]=7),P1507,P1507+1)</f>
        <v>1076</v>
      </c>
      <c r="S1508">
        <f>IF(OR(calendar[[#This Row],[PT_BH]]=1,calendar[[#This Row],[WeekDay]]=1, calendar[[#This Row],[WeekDay]]=7),P1507,P1507+1)</f>
        <v>1076</v>
      </c>
    </row>
    <row r="1509" spans="1:19" x14ac:dyDescent="0.25">
      <c r="A1509" s="2">
        <v>44243</v>
      </c>
      <c r="B1509" s="1">
        <f t="shared" si="118"/>
        <v>8</v>
      </c>
      <c r="C1509">
        <f t="shared" si="120"/>
        <v>2</v>
      </c>
      <c r="D1509" t="str">
        <f t="shared" si="121"/>
        <v>February</v>
      </c>
      <c r="E1509">
        <f t="shared" si="122"/>
        <v>2021</v>
      </c>
      <c r="F1509" t="str">
        <f>CONCATENATE(calendar[[#This Row],[Month]],"/",calendar[[#This Row],[Year]])</f>
        <v>2/2021</v>
      </c>
      <c r="G1509">
        <f>WEEKDAY(calendar[[#This Row],[Date]],1)</f>
        <v>3</v>
      </c>
      <c r="H1509" t="str">
        <f>TEXT(calendar[[#This Row],[WeekDay]],"dddd")</f>
        <v>Tuesday</v>
      </c>
      <c r="I1509">
        <f>IF((INT(calendar[[#This Row],[Count]]/7)-calendar[[#This Row],[Count]]/7)&lt;0,I1508,I1508+1)</f>
        <v>216</v>
      </c>
      <c r="J1509">
        <f t="shared" si="119"/>
        <v>1507</v>
      </c>
      <c r="K1509">
        <f>IF(calendar[[#This Row],[Month]]&lt;4,1,IF(calendar[[#This Row],[Month]]&lt;7,2,IF(calendar[[#This Row],[Month]]&lt;10,3,4)))</f>
        <v>1</v>
      </c>
      <c r="L1509">
        <f>IFERROR(IF(VLOOKUP(calendar[[#This Row],[Date]],BH!A:A,1,)&lt;&gt;"",1,0),0)</f>
        <v>0</v>
      </c>
      <c r="M1509">
        <f>IFERROR(IF(VLOOKUP(calendar[[#This Row],[Date]],BH!C:C,1,)&lt;&gt;"",1,0),0)</f>
        <v>0</v>
      </c>
      <c r="N1509">
        <f>IFERROR(IF(VLOOKUP(calendar[[#This Row],[Date]],BH!E:E,1,)&lt;&gt;"",1,0),0)</f>
        <v>0</v>
      </c>
      <c r="O1509">
        <f>IFERROR(IF(VLOOKUP(calendar[[#This Row],[Date]],BH!G:G,1,)&lt;&gt;"",1,0),0)</f>
        <v>0</v>
      </c>
      <c r="P1509">
        <f>IF(OR(calendar[[#This Row],[UK_BH]]=1,calendar[[#This Row],[WeekDay]]=1, calendar[[#This Row],[WeekDay]]=7),P1508,P1508+1)</f>
        <v>1077</v>
      </c>
      <c r="Q1509">
        <f>IF(OR(calendar[[#This Row],[FR_BH]]=1,calendar[[#This Row],[WeekDay]]=1, calendar[[#This Row],[WeekDay]]=7),P1508,P1508+1)</f>
        <v>1077</v>
      </c>
      <c r="R1509">
        <f>IF(OR(calendar[[#This Row],[SP_BH]]=1,calendar[[#This Row],[WeekDay]]=1, calendar[[#This Row],[WeekDay]]=7),P1508,P1508+1)</f>
        <v>1077</v>
      </c>
      <c r="S1509">
        <f>IF(OR(calendar[[#This Row],[PT_BH]]=1,calendar[[#This Row],[WeekDay]]=1, calendar[[#This Row],[WeekDay]]=7),P1508,P1508+1)</f>
        <v>1077</v>
      </c>
    </row>
    <row r="1510" spans="1:19" x14ac:dyDescent="0.25">
      <c r="A1510" s="2">
        <v>44244</v>
      </c>
      <c r="B1510" s="1">
        <f t="shared" si="118"/>
        <v>8</v>
      </c>
      <c r="C1510">
        <f t="shared" si="120"/>
        <v>2</v>
      </c>
      <c r="D1510" t="str">
        <f t="shared" si="121"/>
        <v>February</v>
      </c>
      <c r="E1510">
        <f t="shared" si="122"/>
        <v>2021</v>
      </c>
      <c r="F1510" t="str">
        <f>CONCATENATE(calendar[[#This Row],[Month]],"/",calendar[[#This Row],[Year]])</f>
        <v>2/2021</v>
      </c>
      <c r="G1510">
        <f>WEEKDAY(calendar[[#This Row],[Date]],1)</f>
        <v>4</v>
      </c>
      <c r="H1510" t="str">
        <f>TEXT(calendar[[#This Row],[WeekDay]],"dddd")</f>
        <v>Wednesday</v>
      </c>
      <c r="I1510">
        <f>IF((INT(calendar[[#This Row],[Count]]/7)-calendar[[#This Row],[Count]]/7)&lt;0,I1509,I1509+1)</f>
        <v>216</v>
      </c>
      <c r="J1510">
        <f t="shared" si="119"/>
        <v>1508</v>
      </c>
      <c r="K1510">
        <f>IF(calendar[[#This Row],[Month]]&lt;4,1,IF(calendar[[#This Row],[Month]]&lt;7,2,IF(calendar[[#This Row],[Month]]&lt;10,3,4)))</f>
        <v>1</v>
      </c>
      <c r="L1510">
        <f>IFERROR(IF(VLOOKUP(calendar[[#This Row],[Date]],BH!A:A,1,)&lt;&gt;"",1,0),0)</f>
        <v>0</v>
      </c>
      <c r="M1510">
        <f>IFERROR(IF(VLOOKUP(calendar[[#This Row],[Date]],BH!C:C,1,)&lt;&gt;"",1,0),0)</f>
        <v>0</v>
      </c>
      <c r="N1510">
        <f>IFERROR(IF(VLOOKUP(calendar[[#This Row],[Date]],BH!E:E,1,)&lt;&gt;"",1,0),0)</f>
        <v>0</v>
      </c>
      <c r="O1510">
        <f>IFERROR(IF(VLOOKUP(calendar[[#This Row],[Date]],BH!G:G,1,)&lt;&gt;"",1,0),0)</f>
        <v>0</v>
      </c>
      <c r="P1510">
        <f>IF(OR(calendar[[#This Row],[UK_BH]]=1,calendar[[#This Row],[WeekDay]]=1, calendar[[#This Row],[WeekDay]]=7),P1509,P1509+1)</f>
        <v>1078</v>
      </c>
      <c r="Q1510">
        <f>IF(OR(calendar[[#This Row],[FR_BH]]=1,calendar[[#This Row],[WeekDay]]=1, calendar[[#This Row],[WeekDay]]=7),P1509,P1509+1)</f>
        <v>1078</v>
      </c>
      <c r="R1510">
        <f>IF(OR(calendar[[#This Row],[SP_BH]]=1,calendar[[#This Row],[WeekDay]]=1, calendar[[#This Row],[WeekDay]]=7),P1509,P1509+1)</f>
        <v>1078</v>
      </c>
      <c r="S1510">
        <f>IF(OR(calendar[[#This Row],[PT_BH]]=1,calendar[[#This Row],[WeekDay]]=1, calendar[[#This Row],[WeekDay]]=7),P1509,P1509+1)</f>
        <v>1078</v>
      </c>
    </row>
    <row r="1511" spans="1:19" x14ac:dyDescent="0.25">
      <c r="A1511" s="2">
        <v>44245</v>
      </c>
      <c r="B1511" s="1">
        <f t="shared" si="118"/>
        <v>8</v>
      </c>
      <c r="C1511">
        <f t="shared" si="120"/>
        <v>2</v>
      </c>
      <c r="D1511" t="str">
        <f t="shared" si="121"/>
        <v>February</v>
      </c>
      <c r="E1511">
        <f t="shared" si="122"/>
        <v>2021</v>
      </c>
      <c r="F1511" t="str">
        <f>CONCATENATE(calendar[[#This Row],[Month]],"/",calendar[[#This Row],[Year]])</f>
        <v>2/2021</v>
      </c>
      <c r="G1511">
        <f>WEEKDAY(calendar[[#This Row],[Date]],1)</f>
        <v>5</v>
      </c>
      <c r="H1511" t="str">
        <f>TEXT(calendar[[#This Row],[WeekDay]],"dddd")</f>
        <v>Thursday</v>
      </c>
      <c r="I1511">
        <f>IF((INT(calendar[[#This Row],[Count]]/7)-calendar[[#This Row],[Count]]/7)&lt;0,I1510,I1510+1)</f>
        <v>216</v>
      </c>
      <c r="J1511">
        <f t="shared" si="119"/>
        <v>1509</v>
      </c>
      <c r="K1511">
        <f>IF(calendar[[#This Row],[Month]]&lt;4,1,IF(calendar[[#This Row],[Month]]&lt;7,2,IF(calendar[[#This Row],[Month]]&lt;10,3,4)))</f>
        <v>1</v>
      </c>
      <c r="L1511">
        <f>IFERROR(IF(VLOOKUP(calendar[[#This Row],[Date]],BH!A:A,1,)&lt;&gt;"",1,0),0)</f>
        <v>0</v>
      </c>
      <c r="M1511">
        <f>IFERROR(IF(VLOOKUP(calendar[[#This Row],[Date]],BH!C:C,1,)&lt;&gt;"",1,0),0)</f>
        <v>0</v>
      </c>
      <c r="N1511">
        <f>IFERROR(IF(VLOOKUP(calendar[[#This Row],[Date]],BH!E:E,1,)&lt;&gt;"",1,0),0)</f>
        <v>0</v>
      </c>
      <c r="O1511">
        <f>IFERROR(IF(VLOOKUP(calendar[[#This Row],[Date]],BH!G:G,1,)&lt;&gt;"",1,0),0)</f>
        <v>0</v>
      </c>
      <c r="P1511">
        <f>IF(OR(calendar[[#This Row],[UK_BH]]=1,calendar[[#This Row],[WeekDay]]=1, calendar[[#This Row],[WeekDay]]=7),P1510,P1510+1)</f>
        <v>1079</v>
      </c>
      <c r="Q1511">
        <f>IF(OR(calendar[[#This Row],[FR_BH]]=1,calendar[[#This Row],[WeekDay]]=1, calendar[[#This Row],[WeekDay]]=7),P1510,P1510+1)</f>
        <v>1079</v>
      </c>
      <c r="R1511">
        <f>IF(OR(calendar[[#This Row],[SP_BH]]=1,calendar[[#This Row],[WeekDay]]=1, calendar[[#This Row],[WeekDay]]=7),P1510,P1510+1)</f>
        <v>1079</v>
      </c>
      <c r="S1511">
        <f>IF(OR(calendar[[#This Row],[PT_BH]]=1,calendar[[#This Row],[WeekDay]]=1, calendar[[#This Row],[WeekDay]]=7),P1510,P1510+1)</f>
        <v>1079</v>
      </c>
    </row>
    <row r="1512" spans="1:19" x14ac:dyDescent="0.25">
      <c r="A1512" s="2">
        <v>44246</v>
      </c>
      <c r="B1512" s="1">
        <f t="shared" si="118"/>
        <v>8</v>
      </c>
      <c r="C1512">
        <f t="shared" si="120"/>
        <v>2</v>
      </c>
      <c r="D1512" t="str">
        <f t="shared" si="121"/>
        <v>February</v>
      </c>
      <c r="E1512">
        <f t="shared" si="122"/>
        <v>2021</v>
      </c>
      <c r="F1512" t="str">
        <f>CONCATENATE(calendar[[#This Row],[Month]],"/",calendar[[#This Row],[Year]])</f>
        <v>2/2021</v>
      </c>
      <c r="G1512">
        <f>WEEKDAY(calendar[[#This Row],[Date]],1)</f>
        <v>6</v>
      </c>
      <c r="H1512" t="str">
        <f>TEXT(calendar[[#This Row],[WeekDay]],"dddd")</f>
        <v>Friday</v>
      </c>
      <c r="I1512">
        <f>IF((INT(calendar[[#This Row],[Count]]/7)-calendar[[#This Row],[Count]]/7)&lt;0,I1511,I1511+1)</f>
        <v>216</v>
      </c>
      <c r="J1512">
        <f t="shared" si="119"/>
        <v>1510</v>
      </c>
      <c r="K1512">
        <f>IF(calendar[[#This Row],[Month]]&lt;4,1,IF(calendar[[#This Row],[Month]]&lt;7,2,IF(calendar[[#This Row],[Month]]&lt;10,3,4)))</f>
        <v>1</v>
      </c>
      <c r="L1512">
        <f>IFERROR(IF(VLOOKUP(calendar[[#This Row],[Date]],BH!A:A,1,)&lt;&gt;"",1,0),0)</f>
        <v>0</v>
      </c>
      <c r="M1512">
        <f>IFERROR(IF(VLOOKUP(calendar[[#This Row],[Date]],BH!C:C,1,)&lt;&gt;"",1,0),0)</f>
        <v>0</v>
      </c>
      <c r="N1512">
        <f>IFERROR(IF(VLOOKUP(calendar[[#This Row],[Date]],BH!E:E,1,)&lt;&gt;"",1,0),0)</f>
        <v>0</v>
      </c>
      <c r="O1512">
        <f>IFERROR(IF(VLOOKUP(calendar[[#This Row],[Date]],BH!G:G,1,)&lt;&gt;"",1,0),0)</f>
        <v>0</v>
      </c>
      <c r="P1512">
        <f>IF(OR(calendar[[#This Row],[UK_BH]]=1,calendar[[#This Row],[WeekDay]]=1, calendar[[#This Row],[WeekDay]]=7),P1511,P1511+1)</f>
        <v>1080</v>
      </c>
      <c r="Q1512">
        <f>IF(OR(calendar[[#This Row],[FR_BH]]=1,calendar[[#This Row],[WeekDay]]=1, calendar[[#This Row],[WeekDay]]=7),P1511,P1511+1)</f>
        <v>1080</v>
      </c>
      <c r="R1512">
        <f>IF(OR(calendar[[#This Row],[SP_BH]]=1,calendar[[#This Row],[WeekDay]]=1, calendar[[#This Row],[WeekDay]]=7),P1511,P1511+1)</f>
        <v>1080</v>
      </c>
      <c r="S1512">
        <f>IF(OR(calendar[[#This Row],[PT_BH]]=1,calendar[[#This Row],[WeekDay]]=1, calendar[[#This Row],[WeekDay]]=7),P1511,P1511+1)</f>
        <v>1080</v>
      </c>
    </row>
    <row r="1513" spans="1:19" x14ac:dyDescent="0.25">
      <c r="A1513" s="2">
        <v>44247</v>
      </c>
      <c r="B1513" s="1">
        <f t="shared" si="118"/>
        <v>8</v>
      </c>
      <c r="C1513">
        <f t="shared" si="120"/>
        <v>2</v>
      </c>
      <c r="D1513" t="str">
        <f t="shared" si="121"/>
        <v>February</v>
      </c>
      <c r="E1513">
        <f t="shared" si="122"/>
        <v>2021</v>
      </c>
      <c r="F1513" t="str">
        <f>CONCATENATE(calendar[[#This Row],[Month]],"/",calendar[[#This Row],[Year]])</f>
        <v>2/2021</v>
      </c>
      <c r="G1513">
        <f>WEEKDAY(calendar[[#This Row],[Date]],1)</f>
        <v>7</v>
      </c>
      <c r="H1513" t="str">
        <f>TEXT(calendar[[#This Row],[WeekDay]],"dddd")</f>
        <v>Saturday</v>
      </c>
      <c r="I1513">
        <f>IF((INT(calendar[[#This Row],[Count]]/7)-calendar[[#This Row],[Count]]/7)&lt;0,I1512,I1512+1)</f>
        <v>216</v>
      </c>
      <c r="J1513">
        <f t="shared" si="119"/>
        <v>1511</v>
      </c>
      <c r="K1513">
        <f>IF(calendar[[#This Row],[Month]]&lt;4,1,IF(calendar[[#This Row],[Month]]&lt;7,2,IF(calendar[[#This Row],[Month]]&lt;10,3,4)))</f>
        <v>1</v>
      </c>
      <c r="L1513">
        <f>IFERROR(IF(VLOOKUP(calendar[[#This Row],[Date]],BH!A:A,1,)&lt;&gt;"",1,0),0)</f>
        <v>0</v>
      </c>
      <c r="M1513">
        <f>IFERROR(IF(VLOOKUP(calendar[[#This Row],[Date]],BH!C:C,1,)&lt;&gt;"",1,0),0)</f>
        <v>0</v>
      </c>
      <c r="N1513">
        <f>IFERROR(IF(VLOOKUP(calendar[[#This Row],[Date]],BH!E:E,1,)&lt;&gt;"",1,0),0)</f>
        <v>0</v>
      </c>
      <c r="O1513">
        <f>IFERROR(IF(VLOOKUP(calendar[[#This Row],[Date]],BH!G:G,1,)&lt;&gt;"",1,0),0)</f>
        <v>0</v>
      </c>
      <c r="P1513">
        <f>IF(OR(calendar[[#This Row],[UK_BH]]=1,calendar[[#This Row],[WeekDay]]=1, calendar[[#This Row],[WeekDay]]=7),P1512,P1512+1)</f>
        <v>1080</v>
      </c>
      <c r="Q1513">
        <f>IF(OR(calendar[[#This Row],[FR_BH]]=1,calendar[[#This Row],[WeekDay]]=1, calendar[[#This Row],[WeekDay]]=7),P1512,P1512+1)</f>
        <v>1080</v>
      </c>
      <c r="R1513">
        <f>IF(OR(calendar[[#This Row],[SP_BH]]=1,calendar[[#This Row],[WeekDay]]=1, calendar[[#This Row],[WeekDay]]=7),P1512,P1512+1)</f>
        <v>1080</v>
      </c>
      <c r="S1513">
        <f>IF(OR(calendar[[#This Row],[PT_BH]]=1,calendar[[#This Row],[WeekDay]]=1, calendar[[#This Row],[WeekDay]]=7),P1512,P1512+1)</f>
        <v>1080</v>
      </c>
    </row>
    <row r="1514" spans="1:19" x14ac:dyDescent="0.25">
      <c r="A1514" s="2">
        <v>44248</v>
      </c>
      <c r="B1514" s="1">
        <f t="shared" si="118"/>
        <v>9</v>
      </c>
      <c r="C1514">
        <f t="shared" si="120"/>
        <v>2</v>
      </c>
      <c r="D1514" t="str">
        <f t="shared" si="121"/>
        <v>February</v>
      </c>
      <c r="E1514">
        <f t="shared" si="122"/>
        <v>2021</v>
      </c>
      <c r="F1514" t="str">
        <f>CONCATENATE(calendar[[#This Row],[Month]],"/",calendar[[#This Row],[Year]])</f>
        <v>2/2021</v>
      </c>
      <c r="G1514">
        <f>WEEKDAY(calendar[[#This Row],[Date]],1)</f>
        <v>1</v>
      </c>
      <c r="H1514" t="str">
        <f>TEXT(calendar[[#This Row],[WeekDay]],"dddd")</f>
        <v>Sunday</v>
      </c>
      <c r="I1514">
        <f>IF((INT(calendar[[#This Row],[Count]]/7)-calendar[[#This Row],[Count]]/7)&lt;0,I1513,I1513+1)</f>
        <v>217</v>
      </c>
      <c r="J1514">
        <f t="shared" si="119"/>
        <v>1512</v>
      </c>
      <c r="K1514">
        <f>IF(calendar[[#This Row],[Month]]&lt;4,1,IF(calendar[[#This Row],[Month]]&lt;7,2,IF(calendar[[#This Row],[Month]]&lt;10,3,4)))</f>
        <v>1</v>
      </c>
      <c r="L1514">
        <f>IFERROR(IF(VLOOKUP(calendar[[#This Row],[Date]],BH!A:A,1,)&lt;&gt;"",1,0),0)</f>
        <v>0</v>
      </c>
      <c r="M1514">
        <f>IFERROR(IF(VLOOKUP(calendar[[#This Row],[Date]],BH!C:C,1,)&lt;&gt;"",1,0),0)</f>
        <v>0</v>
      </c>
      <c r="N1514">
        <f>IFERROR(IF(VLOOKUP(calendar[[#This Row],[Date]],BH!E:E,1,)&lt;&gt;"",1,0),0)</f>
        <v>0</v>
      </c>
      <c r="O1514">
        <f>IFERROR(IF(VLOOKUP(calendar[[#This Row],[Date]],BH!G:G,1,)&lt;&gt;"",1,0),0)</f>
        <v>0</v>
      </c>
      <c r="P1514">
        <f>IF(OR(calendar[[#This Row],[UK_BH]]=1,calendar[[#This Row],[WeekDay]]=1, calendar[[#This Row],[WeekDay]]=7),P1513,P1513+1)</f>
        <v>1080</v>
      </c>
      <c r="Q1514">
        <f>IF(OR(calendar[[#This Row],[FR_BH]]=1,calendar[[#This Row],[WeekDay]]=1, calendar[[#This Row],[WeekDay]]=7),P1513,P1513+1)</f>
        <v>1080</v>
      </c>
      <c r="R1514">
        <f>IF(OR(calendar[[#This Row],[SP_BH]]=1,calendar[[#This Row],[WeekDay]]=1, calendar[[#This Row],[WeekDay]]=7),P1513,P1513+1)</f>
        <v>1080</v>
      </c>
      <c r="S1514">
        <f>IF(OR(calendar[[#This Row],[PT_BH]]=1,calendar[[#This Row],[WeekDay]]=1, calendar[[#This Row],[WeekDay]]=7),P1513,P1513+1)</f>
        <v>1080</v>
      </c>
    </row>
    <row r="1515" spans="1:19" x14ac:dyDescent="0.25">
      <c r="A1515" s="2">
        <v>44249</v>
      </c>
      <c r="B1515" s="1">
        <f t="shared" si="118"/>
        <v>9</v>
      </c>
      <c r="C1515">
        <f t="shared" si="120"/>
        <v>2</v>
      </c>
      <c r="D1515" t="str">
        <f t="shared" si="121"/>
        <v>February</v>
      </c>
      <c r="E1515">
        <f t="shared" si="122"/>
        <v>2021</v>
      </c>
      <c r="F1515" t="str">
        <f>CONCATENATE(calendar[[#This Row],[Month]],"/",calendar[[#This Row],[Year]])</f>
        <v>2/2021</v>
      </c>
      <c r="G1515">
        <f>WEEKDAY(calendar[[#This Row],[Date]],1)</f>
        <v>2</v>
      </c>
      <c r="H1515" t="str">
        <f>TEXT(calendar[[#This Row],[WeekDay]],"dddd")</f>
        <v>Monday</v>
      </c>
      <c r="I1515">
        <f>IF((INT(calendar[[#This Row],[Count]]/7)-calendar[[#This Row],[Count]]/7)&lt;0,I1514,I1514+1)</f>
        <v>217</v>
      </c>
      <c r="J1515">
        <f t="shared" si="119"/>
        <v>1513</v>
      </c>
      <c r="K1515">
        <f>IF(calendar[[#This Row],[Month]]&lt;4,1,IF(calendar[[#This Row],[Month]]&lt;7,2,IF(calendar[[#This Row],[Month]]&lt;10,3,4)))</f>
        <v>1</v>
      </c>
      <c r="L1515">
        <f>IFERROR(IF(VLOOKUP(calendar[[#This Row],[Date]],BH!A:A,1,)&lt;&gt;"",1,0),0)</f>
        <v>0</v>
      </c>
      <c r="M1515">
        <f>IFERROR(IF(VLOOKUP(calendar[[#This Row],[Date]],BH!C:C,1,)&lt;&gt;"",1,0),0)</f>
        <v>0</v>
      </c>
      <c r="N1515">
        <f>IFERROR(IF(VLOOKUP(calendar[[#This Row],[Date]],BH!E:E,1,)&lt;&gt;"",1,0),0)</f>
        <v>0</v>
      </c>
      <c r="O1515">
        <f>IFERROR(IF(VLOOKUP(calendar[[#This Row],[Date]],BH!G:G,1,)&lt;&gt;"",1,0),0)</f>
        <v>0</v>
      </c>
      <c r="P1515">
        <f>IF(OR(calendar[[#This Row],[UK_BH]]=1,calendar[[#This Row],[WeekDay]]=1, calendar[[#This Row],[WeekDay]]=7),P1514,P1514+1)</f>
        <v>1081</v>
      </c>
      <c r="Q1515">
        <f>IF(OR(calendar[[#This Row],[FR_BH]]=1,calendar[[#This Row],[WeekDay]]=1, calendar[[#This Row],[WeekDay]]=7),P1514,P1514+1)</f>
        <v>1081</v>
      </c>
      <c r="R1515">
        <f>IF(OR(calendar[[#This Row],[SP_BH]]=1,calendar[[#This Row],[WeekDay]]=1, calendar[[#This Row],[WeekDay]]=7),P1514,P1514+1)</f>
        <v>1081</v>
      </c>
      <c r="S1515">
        <f>IF(OR(calendar[[#This Row],[PT_BH]]=1,calendar[[#This Row],[WeekDay]]=1, calendar[[#This Row],[WeekDay]]=7),P1514,P1514+1)</f>
        <v>1081</v>
      </c>
    </row>
    <row r="1516" spans="1:19" x14ac:dyDescent="0.25">
      <c r="A1516" s="2">
        <v>44250</v>
      </c>
      <c r="B1516" s="1">
        <f t="shared" si="118"/>
        <v>9</v>
      </c>
      <c r="C1516">
        <f t="shared" si="120"/>
        <v>2</v>
      </c>
      <c r="D1516" t="str">
        <f t="shared" si="121"/>
        <v>February</v>
      </c>
      <c r="E1516">
        <f t="shared" si="122"/>
        <v>2021</v>
      </c>
      <c r="F1516" t="str">
        <f>CONCATENATE(calendar[[#This Row],[Month]],"/",calendar[[#This Row],[Year]])</f>
        <v>2/2021</v>
      </c>
      <c r="G1516">
        <f>WEEKDAY(calendar[[#This Row],[Date]],1)</f>
        <v>3</v>
      </c>
      <c r="H1516" t="str">
        <f>TEXT(calendar[[#This Row],[WeekDay]],"dddd")</f>
        <v>Tuesday</v>
      </c>
      <c r="I1516">
        <f>IF((INT(calendar[[#This Row],[Count]]/7)-calendar[[#This Row],[Count]]/7)&lt;0,I1515,I1515+1)</f>
        <v>217</v>
      </c>
      <c r="J1516">
        <f t="shared" si="119"/>
        <v>1514</v>
      </c>
      <c r="K1516">
        <f>IF(calendar[[#This Row],[Month]]&lt;4,1,IF(calendar[[#This Row],[Month]]&lt;7,2,IF(calendar[[#This Row],[Month]]&lt;10,3,4)))</f>
        <v>1</v>
      </c>
      <c r="L1516">
        <f>IFERROR(IF(VLOOKUP(calendar[[#This Row],[Date]],BH!A:A,1,)&lt;&gt;"",1,0),0)</f>
        <v>0</v>
      </c>
      <c r="M1516">
        <f>IFERROR(IF(VLOOKUP(calendar[[#This Row],[Date]],BH!C:C,1,)&lt;&gt;"",1,0),0)</f>
        <v>0</v>
      </c>
      <c r="N1516">
        <f>IFERROR(IF(VLOOKUP(calendar[[#This Row],[Date]],BH!E:E,1,)&lt;&gt;"",1,0),0)</f>
        <v>0</v>
      </c>
      <c r="O1516">
        <f>IFERROR(IF(VLOOKUP(calendar[[#This Row],[Date]],BH!G:G,1,)&lt;&gt;"",1,0),0)</f>
        <v>0</v>
      </c>
      <c r="P1516">
        <f>IF(OR(calendar[[#This Row],[UK_BH]]=1,calendar[[#This Row],[WeekDay]]=1, calendar[[#This Row],[WeekDay]]=7),P1515,P1515+1)</f>
        <v>1082</v>
      </c>
      <c r="Q1516">
        <f>IF(OR(calendar[[#This Row],[FR_BH]]=1,calendar[[#This Row],[WeekDay]]=1, calendar[[#This Row],[WeekDay]]=7),P1515,P1515+1)</f>
        <v>1082</v>
      </c>
      <c r="R1516">
        <f>IF(OR(calendar[[#This Row],[SP_BH]]=1,calendar[[#This Row],[WeekDay]]=1, calendar[[#This Row],[WeekDay]]=7),P1515,P1515+1)</f>
        <v>1082</v>
      </c>
      <c r="S1516">
        <f>IF(OR(calendar[[#This Row],[PT_BH]]=1,calendar[[#This Row],[WeekDay]]=1, calendar[[#This Row],[WeekDay]]=7),P1515,P1515+1)</f>
        <v>1082</v>
      </c>
    </row>
    <row r="1517" spans="1:19" x14ac:dyDescent="0.25">
      <c r="A1517" s="2">
        <v>44251</v>
      </c>
      <c r="B1517" s="1">
        <f t="shared" si="118"/>
        <v>9</v>
      </c>
      <c r="C1517">
        <f t="shared" si="120"/>
        <v>2</v>
      </c>
      <c r="D1517" t="str">
        <f t="shared" si="121"/>
        <v>February</v>
      </c>
      <c r="E1517">
        <f t="shared" si="122"/>
        <v>2021</v>
      </c>
      <c r="F1517" t="str">
        <f>CONCATENATE(calendar[[#This Row],[Month]],"/",calendar[[#This Row],[Year]])</f>
        <v>2/2021</v>
      </c>
      <c r="G1517">
        <f>WEEKDAY(calendar[[#This Row],[Date]],1)</f>
        <v>4</v>
      </c>
      <c r="H1517" t="str">
        <f>TEXT(calendar[[#This Row],[WeekDay]],"dddd")</f>
        <v>Wednesday</v>
      </c>
      <c r="I1517">
        <f>IF((INT(calendar[[#This Row],[Count]]/7)-calendar[[#This Row],[Count]]/7)&lt;0,I1516,I1516+1)</f>
        <v>217</v>
      </c>
      <c r="J1517">
        <f t="shared" si="119"/>
        <v>1515</v>
      </c>
      <c r="K1517">
        <f>IF(calendar[[#This Row],[Month]]&lt;4,1,IF(calendar[[#This Row],[Month]]&lt;7,2,IF(calendar[[#This Row],[Month]]&lt;10,3,4)))</f>
        <v>1</v>
      </c>
      <c r="L1517">
        <f>IFERROR(IF(VLOOKUP(calendar[[#This Row],[Date]],BH!A:A,1,)&lt;&gt;"",1,0),0)</f>
        <v>0</v>
      </c>
      <c r="M1517">
        <f>IFERROR(IF(VLOOKUP(calendar[[#This Row],[Date]],BH!C:C,1,)&lt;&gt;"",1,0),0)</f>
        <v>0</v>
      </c>
      <c r="N1517">
        <f>IFERROR(IF(VLOOKUP(calendar[[#This Row],[Date]],BH!E:E,1,)&lt;&gt;"",1,0),0)</f>
        <v>0</v>
      </c>
      <c r="O1517">
        <f>IFERROR(IF(VLOOKUP(calendar[[#This Row],[Date]],BH!G:G,1,)&lt;&gt;"",1,0),0)</f>
        <v>0</v>
      </c>
      <c r="P1517">
        <f>IF(OR(calendar[[#This Row],[UK_BH]]=1,calendar[[#This Row],[WeekDay]]=1, calendar[[#This Row],[WeekDay]]=7),P1516,P1516+1)</f>
        <v>1083</v>
      </c>
      <c r="Q1517">
        <f>IF(OR(calendar[[#This Row],[FR_BH]]=1,calendar[[#This Row],[WeekDay]]=1, calendar[[#This Row],[WeekDay]]=7),P1516,P1516+1)</f>
        <v>1083</v>
      </c>
      <c r="R1517">
        <f>IF(OR(calendar[[#This Row],[SP_BH]]=1,calendar[[#This Row],[WeekDay]]=1, calendar[[#This Row],[WeekDay]]=7),P1516,P1516+1)</f>
        <v>1083</v>
      </c>
      <c r="S1517">
        <f>IF(OR(calendar[[#This Row],[PT_BH]]=1,calendar[[#This Row],[WeekDay]]=1, calendar[[#This Row],[WeekDay]]=7),P1516,P1516+1)</f>
        <v>1083</v>
      </c>
    </row>
    <row r="1518" spans="1:19" x14ac:dyDescent="0.25">
      <c r="A1518" s="2">
        <v>44252</v>
      </c>
      <c r="B1518" s="1">
        <f t="shared" si="118"/>
        <v>9</v>
      </c>
      <c r="C1518">
        <f t="shared" si="120"/>
        <v>2</v>
      </c>
      <c r="D1518" t="str">
        <f t="shared" si="121"/>
        <v>February</v>
      </c>
      <c r="E1518">
        <f t="shared" si="122"/>
        <v>2021</v>
      </c>
      <c r="F1518" t="str">
        <f>CONCATENATE(calendar[[#This Row],[Month]],"/",calendar[[#This Row],[Year]])</f>
        <v>2/2021</v>
      </c>
      <c r="G1518">
        <f>WEEKDAY(calendar[[#This Row],[Date]],1)</f>
        <v>5</v>
      </c>
      <c r="H1518" t="str">
        <f>TEXT(calendar[[#This Row],[WeekDay]],"dddd")</f>
        <v>Thursday</v>
      </c>
      <c r="I1518">
        <f>IF((INT(calendar[[#This Row],[Count]]/7)-calendar[[#This Row],[Count]]/7)&lt;0,I1517,I1517+1)</f>
        <v>217</v>
      </c>
      <c r="J1518">
        <f t="shared" si="119"/>
        <v>1516</v>
      </c>
      <c r="K1518">
        <f>IF(calendar[[#This Row],[Month]]&lt;4,1,IF(calendar[[#This Row],[Month]]&lt;7,2,IF(calendar[[#This Row],[Month]]&lt;10,3,4)))</f>
        <v>1</v>
      </c>
      <c r="L1518">
        <f>IFERROR(IF(VLOOKUP(calendar[[#This Row],[Date]],BH!A:A,1,)&lt;&gt;"",1,0),0)</f>
        <v>0</v>
      </c>
      <c r="M1518">
        <f>IFERROR(IF(VLOOKUP(calendar[[#This Row],[Date]],BH!C:C,1,)&lt;&gt;"",1,0),0)</f>
        <v>0</v>
      </c>
      <c r="N1518">
        <f>IFERROR(IF(VLOOKUP(calendar[[#This Row],[Date]],BH!E:E,1,)&lt;&gt;"",1,0),0)</f>
        <v>0</v>
      </c>
      <c r="O1518">
        <f>IFERROR(IF(VLOOKUP(calendar[[#This Row],[Date]],BH!G:G,1,)&lt;&gt;"",1,0),0)</f>
        <v>0</v>
      </c>
      <c r="P1518">
        <f>IF(OR(calendar[[#This Row],[UK_BH]]=1,calendar[[#This Row],[WeekDay]]=1, calendar[[#This Row],[WeekDay]]=7),P1517,P1517+1)</f>
        <v>1084</v>
      </c>
      <c r="Q1518">
        <f>IF(OR(calendar[[#This Row],[FR_BH]]=1,calendar[[#This Row],[WeekDay]]=1, calendar[[#This Row],[WeekDay]]=7),P1517,P1517+1)</f>
        <v>1084</v>
      </c>
      <c r="R1518">
        <f>IF(OR(calendar[[#This Row],[SP_BH]]=1,calendar[[#This Row],[WeekDay]]=1, calendar[[#This Row],[WeekDay]]=7),P1517,P1517+1)</f>
        <v>1084</v>
      </c>
      <c r="S1518">
        <f>IF(OR(calendar[[#This Row],[PT_BH]]=1,calendar[[#This Row],[WeekDay]]=1, calendar[[#This Row],[WeekDay]]=7),P1517,P1517+1)</f>
        <v>1084</v>
      </c>
    </row>
    <row r="1519" spans="1:19" x14ac:dyDescent="0.25">
      <c r="A1519" s="2">
        <v>44253</v>
      </c>
      <c r="B1519" s="1">
        <f t="shared" si="118"/>
        <v>9</v>
      </c>
      <c r="C1519">
        <f t="shared" si="120"/>
        <v>2</v>
      </c>
      <c r="D1519" t="str">
        <f t="shared" si="121"/>
        <v>February</v>
      </c>
      <c r="E1519">
        <f t="shared" si="122"/>
        <v>2021</v>
      </c>
      <c r="F1519" t="str">
        <f>CONCATENATE(calendar[[#This Row],[Month]],"/",calendar[[#This Row],[Year]])</f>
        <v>2/2021</v>
      </c>
      <c r="G1519">
        <f>WEEKDAY(calendar[[#This Row],[Date]],1)</f>
        <v>6</v>
      </c>
      <c r="H1519" t="str">
        <f>TEXT(calendar[[#This Row],[WeekDay]],"dddd")</f>
        <v>Friday</v>
      </c>
      <c r="I1519">
        <f>IF((INT(calendar[[#This Row],[Count]]/7)-calendar[[#This Row],[Count]]/7)&lt;0,I1518,I1518+1)</f>
        <v>217</v>
      </c>
      <c r="J1519">
        <f t="shared" si="119"/>
        <v>1517</v>
      </c>
      <c r="K1519">
        <f>IF(calendar[[#This Row],[Month]]&lt;4,1,IF(calendar[[#This Row],[Month]]&lt;7,2,IF(calendar[[#This Row],[Month]]&lt;10,3,4)))</f>
        <v>1</v>
      </c>
      <c r="L1519">
        <f>IFERROR(IF(VLOOKUP(calendar[[#This Row],[Date]],BH!A:A,1,)&lt;&gt;"",1,0),0)</f>
        <v>0</v>
      </c>
      <c r="M1519">
        <f>IFERROR(IF(VLOOKUP(calendar[[#This Row],[Date]],BH!C:C,1,)&lt;&gt;"",1,0),0)</f>
        <v>0</v>
      </c>
      <c r="N1519">
        <f>IFERROR(IF(VLOOKUP(calendar[[#This Row],[Date]],BH!E:E,1,)&lt;&gt;"",1,0),0)</f>
        <v>0</v>
      </c>
      <c r="O1519">
        <f>IFERROR(IF(VLOOKUP(calendar[[#This Row],[Date]],BH!G:G,1,)&lt;&gt;"",1,0),0)</f>
        <v>0</v>
      </c>
      <c r="P1519">
        <f>IF(OR(calendar[[#This Row],[UK_BH]]=1,calendar[[#This Row],[WeekDay]]=1, calendar[[#This Row],[WeekDay]]=7),P1518,P1518+1)</f>
        <v>1085</v>
      </c>
      <c r="Q1519">
        <f>IF(OR(calendar[[#This Row],[FR_BH]]=1,calendar[[#This Row],[WeekDay]]=1, calendar[[#This Row],[WeekDay]]=7),P1518,P1518+1)</f>
        <v>1085</v>
      </c>
      <c r="R1519">
        <f>IF(OR(calendar[[#This Row],[SP_BH]]=1,calendar[[#This Row],[WeekDay]]=1, calendar[[#This Row],[WeekDay]]=7),P1518,P1518+1)</f>
        <v>1085</v>
      </c>
      <c r="S1519">
        <f>IF(OR(calendar[[#This Row],[PT_BH]]=1,calendar[[#This Row],[WeekDay]]=1, calendar[[#This Row],[WeekDay]]=7),P1518,P1518+1)</f>
        <v>1085</v>
      </c>
    </row>
    <row r="1520" spans="1:19" x14ac:dyDescent="0.25">
      <c r="A1520" s="2">
        <v>44254</v>
      </c>
      <c r="B1520" s="1">
        <f t="shared" si="118"/>
        <v>9</v>
      </c>
      <c r="C1520">
        <f t="shared" si="120"/>
        <v>2</v>
      </c>
      <c r="D1520" t="str">
        <f t="shared" si="121"/>
        <v>February</v>
      </c>
      <c r="E1520">
        <f t="shared" si="122"/>
        <v>2021</v>
      </c>
      <c r="F1520" t="str">
        <f>CONCATENATE(calendar[[#This Row],[Month]],"/",calendar[[#This Row],[Year]])</f>
        <v>2/2021</v>
      </c>
      <c r="G1520">
        <f>WEEKDAY(calendar[[#This Row],[Date]],1)</f>
        <v>7</v>
      </c>
      <c r="H1520" t="str">
        <f>TEXT(calendar[[#This Row],[WeekDay]],"dddd")</f>
        <v>Saturday</v>
      </c>
      <c r="I1520">
        <f>IF((INT(calendar[[#This Row],[Count]]/7)-calendar[[#This Row],[Count]]/7)&lt;0,I1519,I1519+1)</f>
        <v>217</v>
      </c>
      <c r="J1520">
        <f t="shared" si="119"/>
        <v>1518</v>
      </c>
      <c r="K1520">
        <f>IF(calendar[[#This Row],[Month]]&lt;4,1,IF(calendar[[#This Row],[Month]]&lt;7,2,IF(calendar[[#This Row],[Month]]&lt;10,3,4)))</f>
        <v>1</v>
      </c>
      <c r="L1520">
        <f>IFERROR(IF(VLOOKUP(calendar[[#This Row],[Date]],BH!A:A,1,)&lt;&gt;"",1,0),0)</f>
        <v>0</v>
      </c>
      <c r="M1520">
        <f>IFERROR(IF(VLOOKUP(calendar[[#This Row],[Date]],BH!C:C,1,)&lt;&gt;"",1,0),0)</f>
        <v>0</v>
      </c>
      <c r="N1520">
        <f>IFERROR(IF(VLOOKUP(calendar[[#This Row],[Date]],BH!E:E,1,)&lt;&gt;"",1,0),0)</f>
        <v>0</v>
      </c>
      <c r="O1520">
        <f>IFERROR(IF(VLOOKUP(calendar[[#This Row],[Date]],BH!G:G,1,)&lt;&gt;"",1,0),0)</f>
        <v>0</v>
      </c>
      <c r="P1520">
        <f>IF(OR(calendar[[#This Row],[UK_BH]]=1,calendar[[#This Row],[WeekDay]]=1, calendar[[#This Row],[WeekDay]]=7),P1519,P1519+1)</f>
        <v>1085</v>
      </c>
      <c r="Q1520">
        <f>IF(OR(calendar[[#This Row],[FR_BH]]=1,calendar[[#This Row],[WeekDay]]=1, calendar[[#This Row],[WeekDay]]=7),P1519,P1519+1)</f>
        <v>1085</v>
      </c>
      <c r="R1520">
        <f>IF(OR(calendar[[#This Row],[SP_BH]]=1,calendar[[#This Row],[WeekDay]]=1, calendar[[#This Row],[WeekDay]]=7),P1519,P1519+1)</f>
        <v>1085</v>
      </c>
      <c r="S1520">
        <f>IF(OR(calendar[[#This Row],[PT_BH]]=1,calendar[[#This Row],[WeekDay]]=1, calendar[[#This Row],[WeekDay]]=7),P1519,P1519+1)</f>
        <v>1085</v>
      </c>
    </row>
    <row r="1521" spans="1:19" x14ac:dyDescent="0.25">
      <c r="A1521" s="2">
        <v>44255</v>
      </c>
      <c r="B1521" s="1">
        <f t="shared" si="118"/>
        <v>10</v>
      </c>
      <c r="C1521">
        <f t="shared" si="120"/>
        <v>2</v>
      </c>
      <c r="D1521" t="str">
        <f t="shared" si="121"/>
        <v>February</v>
      </c>
      <c r="E1521">
        <f t="shared" si="122"/>
        <v>2021</v>
      </c>
      <c r="F1521" t="str">
        <f>CONCATENATE(calendar[[#This Row],[Month]],"/",calendar[[#This Row],[Year]])</f>
        <v>2/2021</v>
      </c>
      <c r="G1521">
        <f>WEEKDAY(calendar[[#This Row],[Date]],1)</f>
        <v>1</v>
      </c>
      <c r="H1521" t="str">
        <f>TEXT(calendar[[#This Row],[WeekDay]],"dddd")</f>
        <v>Sunday</v>
      </c>
      <c r="I1521">
        <f>IF((INT(calendar[[#This Row],[Count]]/7)-calendar[[#This Row],[Count]]/7)&lt;0,I1520,I1520+1)</f>
        <v>218</v>
      </c>
      <c r="J1521">
        <f t="shared" si="119"/>
        <v>1519</v>
      </c>
      <c r="K1521">
        <f>IF(calendar[[#This Row],[Month]]&lt;4,1,IF(calendar[[#This Row],[Month]]&lt;7,2,IF(calendar[[#This Row],[Month]]&lt;10,3,4)))</f>
        <v>1</v>
      </c>
      <c r="L1521">
        <f>IFERROR(IF(VLOOKUP(calendar[[#This Row],[Date]],BH!A:A,1,)&lt;&gt;"",1,0),0)</f>
        <v>0</v>
      </c>
      <c r="M1521">
        <f>IFERROR(IF(VLOOKUP(calendar[[#This Row],[Date]],BH!C:C,1,)&lt;&gt;"",1,0),0)</f>
        <v>0</v>
      </c>
      <c r="N1521">
        <f>IFERROR(IF(VLOOKUP(calendar[[#This Row],[Date]],BH!E:E,1,)&lt;&gt;"",1,0),0)</f>
        <v>0</v>
      </c>
      <c r="O1521">
        <f>IFERROR(IF(VLOOKUP(calendar[[#This Row],[Date]],BH!G:G,1,)&lt;&gt;"",1,0),0)</f>
        <v>0</v>
      </c>
      <c r="P1521">
        <f>IF(OR(calendar[[#This Row],[UK_BH]]=1,calendar[[#This Row],[WeekDay]]=1, calendar[[#This Row],[WeekDay]]=7),P1520,P1520+1)</f>
        <v>1085</v>
      </c>
      <c r="Q1521">
        <f>IF(OR(calendar[[#This Row],[FR_BH]]=1,calendar[[#This Row],[WeekDay]]=1, calendar[[#This Row],[WeekDay]]=7),P1520,P1520+1)</f>
        <v>1085</v>
      </c>
      <c r="R1521">
        <f>IF(OR(calendar[[#This Row],[SP_BH]]=1,calendar[[#This Row],[WeekDay]]=1, calendar[[#This Row],[WeekDay]]=7),P1520,P1520+1)</f>
        <v>1085</v>
      </c>
      <c r="S1521">
        <f>IF(OR(calendar[[#This Row],[PT_BH]]=1,calendar[[#This Row],[WeekDay]]=1, calendar[[#This Row],[WeekDay]]=7),P1520,P1520+1)</f>
        <v>1085</v>
      </c>
    </row>
    <row r="1522" spans="1:19" x14ac:dyDescent="0.25">
      <c r="A1522" s="2">
        <v>44256</v>
      </c>
      <c r="B1522" s="1">
        <f t="shared" si="118"/>
        <v>10</v>
      </c>
      <c r="C1522">
        <f t="shared" si="120"/>
        <v>3</v>
      </c>
      <c r="D1522" t="str">
        <f t="shared" si="121"/>
        <v>March</v>
      </c>
      <c r="E1522">
        <f t="shared" si="122"/>
        <v>2021</v>
      </c>
      <c r="F1522" t="str">
        <f>CONCATENATE(calendar[[#This Row],[Month]],"/",calendar[[#This Row],[Year]])</f>
        <v>3/2021</v>
      </c>
      <c r="G1522">
        <f>WEEKDAY(calendar[[#This Row],[Date]],1)</f>
        <v>2</v>
      </c>
      <c r="H1522" t="str">
        <f>TEXT(calendar[[#This Row],[WeekDay]],"dddd")</f>
        <v>Monday</v>
      </c>
      <c r="I1522">
        <f>IF((INT(calendar[[#This Row],[Count]]/7)-calendar[[#This Row],[Count]]/7)&lt;0,I1521,I1521+1)</f>
        <v>218</v>
      </c>
      <c r="J1522">
        <f t="shared" si="119"/>
        <v>1520</v>
      </c>
      <c r="K1522">
        <f>IF(calendar[[#This Row],[Month]]&lt;4,1,IF(calendar[[#This Row],[Month]]&lt;7,2,IF(calendar[[#This Row],[Month]]&lt;10,3,4)))</f>
        <v>1</v>
      </c>
      <c r="L1522">
        <f>IFERROR(IF(VLOOKUP(calendar[[#This Row],[Date]],BH!A:A,1,)&lt;&gt;"",1,0),0)</f>
        <v>0</v>
      </c>
      <c r="M1522">
        <f>IFERROR(IF(VLOOKUP(calendar[[#This Row],[Date]],BH!C:C,1,)&lt;&gt;"",1,0),0)</f>
        <v>0</v>
      </c>
      <c r="N1522">
        <f>IFERROR(IF(VLOOKUP(calendar[[#This Row],[Date]],BH!E:E,1,)&lt;&gt;"",1,0),0)</f>
        <v>0</v>
      </c>
      <c r="O1522">
        <f>IFERROR(IF(VLOOKUP(calendar[[#This Row],[Date]],BH!G:G,1,)&lt;&gt;"",1,0),0)</f>
        <v>0</v>
      </c>
      <c r="P1522">
        <f>IF(OR(calendar[[#This Row],[UK_BH]]=1,calendar[[#This Row],[WeekDay]]=1, calendar[[#This Row],[WeekDay]]=7),P1521,P1521+1)</f>
        <v>1086</v>
      </c>
      <c r="Q1522">
        <f>IF(OR(calendar[[#This Row],[FR_BH]]=1,calendar[[#This Row],[WeekDay]]=1, calendar[[#This Row],[WeekDay]]=7),P1521,P1521+1)</f>
        <v>1086</v>
      </c>
      <c r="R1522">
        <f>IF(OR(calendar[[#This Row],[SP_BH]]=1,calendar[[#This Row],[WeekDay]]=1, calendar[[#This Row],[WeekDay]]=7),P1521,P1521+1)</f>
        <v>1086</v>
      </c>
      <c r="S1522">
        <f>IF(OR(calendar[[#This Row],[PT_BH]]=1,calendar[[#This Row],[WeekDay]]=1, calendar[[#This Row],[WeekDay]]=7),P1521,P1521+1)</f>
        <v>1086</v>
      </c>
    </row>
    <row r="1523" spans="1:19" x14ac:dyDescent="0.25">
      <c r="A1523" s="2">
        <v>44257</v>
      </c>
      <c r="B1523" s="1">
        <f t="shared" si="118"/>
        <v>10</v>
      </c>
      <c r="C1523">
        <f t="shared" si="120"/>
        <v>3</v>
      </c>
      <c r="D1523" t="str">
        <f t="shared" si="121"/>
        <v>March</v>
      </c>
      <c r="E1523">
        <f t="shared" si="122"/>
        <v>2021</v>
      </c>
      <c r="F1523" t="str">
        <f>CONCATENATE(calendar[[#This Row],[Month]],"/",calendar[[#This Row],[Year]])</f>
        <v>3/2021</v>
      </c>
      <c r="G1523">
        <f>WEEKDAY(calendar[[#This Row],[Date]],1)</f>
        <v>3</v>
      </c>
      <c r="H1523" t="str">
        <f>TEXT(calendar[[#This Row],[WeekDay]],"dddd")</f>
        <v>Tuesday</v>
      </c>
      <c r="I1523">
        <f>IF((INT(calendar[[#This Row],[Count]]/7)-calendar[[#This Row],[Count]]/7)&lt;0,I1522,I1522+1)</f>
        <v>218</v>
      </c>
      <c r="J1523">
        <f t="shared" si="119"/>
        <v>1521</v>
      </c>
      <c r="K1523">
        <f>IF(calendar[[#This Row],[Month]]&lt;4,1,IF(calendar[[#This Row],[Month]]&lt;7,2,IF(calendar[[#This Row],[Month]]&lt;10,3,4)))</f>
        <v>1</v>
      </c>
      <c r="L1523">
        <f>IFERROR(IF(VLOOKUP(calendar[[#This Row],[Date]],BH!A:A,1,)&lt;&gt;"",1,0),0)</f>
        <v>0</v>
      </c>
      <c r="M1523">
        <f>IFERROR(IF(VLOOKUP(calendar[[#This Row],[Date]],BH!C:C,1,)&lt;&gt;"",1,0),0)</f>
        <v>0</v>
      </c>
      <c r="N1523">
        <f>IFERROR(IF(VLOOKUP(calendar[[#This Row],[Date]],BH!E:E,1,)&lt;&gt;"",1,0),0)</f>
        <v>0</v>
      </c>
      <c r="O1523">
        <f>IFERROR(IF(VLOOKUP(calendar[[#This Row],[Date]],BH!G:G,1,)&lt;&gt;"",1,0),0)</f>
        <v>0</v>
      </c>
      <c r="P1523">
        <f>IF(OR(calendar[[#This Row],[UK_BH]]=1,calendar[[#This Row],[WeekDay]]=1, calendar[[#This Row],[WeekDay]]=7),P1522,P1522+1)</f>
        <v>1087</v>
      </c>
      <c r="Q1523">
        <f>IF(OR(calendar[[#This Row],[FR_BH]]=1,calendar[[#This Row],[WeekDay]]=1, calendar[[#This Row],[WeekDay]]=7),P1522,P1522+1)</f>
        <v>1087</v>
      </c>
      <c r="R1523">
        <f>IF(OR(calendar[[#This Row],[SP_BH]]=1,calendar[[#This Row],[WeekDay]]=1, calendar[[#This Row],[WeekDay]]=7),P1522,P1522+1)</f>
        <v>1087</v>
      </c>
      <c r="S1523">
        <f>IF(OR(calendar[[#This Row],[PT_BH]]=1,calendar[[#This Row],[WeekDay]]=1, calendar[[#This Row],[WeekDay]]=7),P1522,P1522+1)</f>
        <v>1087</v>
      </c>
    </row>
    <row r="1524" spans="1:19" x14ac:dyDescent="0.25">
      <c r="A1524" s="2">
        <v>44258</v>
      </c>
      <c r="B1524" s="1">
        <f t="shared" si="118"/>
        <v>10</v>
      </c>
      <c r="C1524">
        <f t="shared" si="120"/>
        <v>3</v>
      </c>
      <c r="D1524" t="str">
        <f t="shared" si="121"/>
        <v>March</v>
      </c>
      <c r="E1524">
        <f t="shared" si="122"/>
        <v>2021</v>
      </c>
      <c r="F1524" t="str">
        <f>CONCATENATE(calendar[[#This Row],[Month]],"/",calendar[[#This Row],[Year]])</f>
        <v>3/2021</v>
      </c>
      <c r="G1524">
        <f>WEEKDAY(calendar[[#This Row],[Date]],1)</f>
        <v>4</v>
      </c>
      <c r="H1524" t="str">
        <f>TEXT(calendar[[#This Row],[WeekDay]],"dddd")</f>
        <v>Wednesday</v>
      </c>
      <c r="I1524">
        <f>IF((INT(calendar[[#This Row],[Count]]/7)-calendar[[#This Row],[Count]]/7)&lt;0,I1523,I1523+1)</f>
        <v>218</v>
      </c>
      <c r="J1524">
        <f t="shared" si="119"/>
        <v>1522</v>
      </c>
      <c r="K1524">
        <f>IF(calendar[[#This Row],[Month]]&lt;4,1,IF(calendar[[#This Row],[Month]]&lt;7,2,IF(calendar[[#This Row],[Month]]&lt;10,3,4)))</f>
        <v>1</v>
      </c>
      <c r="L1524">
        <f>IFERROR(IF(VLOOKUP(calendar[[#This Row],[Date]],BH!A:A,1,)&lt;&gt;"",1,0),0)</f>
        <v>0</v>
      </c>
      <c r="M1524">
        <f>IFERROR(IF(VLOOKUP(calendar[[#This Row],[Date]],BH!C:C,1,)&lt;&gt;"",1,0),0)</f>
        <v>0</v>
      </c>
      <c r="N1524">
        <f>IFERROR(IF(VLOOKUP(calendar[[#This Row],[Date]],BH!E:E,1,)&lt;&gt;"",1,0),0)</f>
        <v>0</v>
      </c>
      <c r="O1524">
        <f>IFERROR(IF(VLOOKUP(calendar[[#This Row],[Date]],BH!G:G,1,)&lt;&gt;"",1,0),0)</f>
        <v>0</v>
      </c>
      <c r="P1524">
        <f>IF(OR(calendar[[#This Row],[UK_BH]]=1,calendar[[#This Row],[WeekDay]]=1, calendar[[#This Row],[WeekDay]]=7),P1523,P1523+1)</f>
        <v>1088</v>
      </c>
      <c r="Q1524">
        <f>IF(OR(calendar[[#This Row],[FR_BH]]=1,calendar[[#This Row],[WeekDay]]=1, calendar[[#This Row],[WeekDay]]=7),P1523,P1523+1)</f>
        <v>1088</v>
      </c>
      <c r="R1524">
        <f>IF(OR(calendar[[#This Row],[SP_BH]]=1,calendar[[#This Row],[WeekDay]]=1, calendar[[#This Row],[WeekDay]]=7),P1523,P1523+1)</f>
        <v>1088</v>
      </c>
      <c r="S1524">
        <f>IF(OR(calendar[[#This Row],[PT_BH]]=1,calendar[[#This Row],[WeekDay]]=1, calendar[[#This Row],[WeekDay]]=7),P1523,P1523+1)</f>
        <v>1088</v>
      </c>
    </row>
    <row r="1525" spans="1:19" x14ac:dyDescent="0.25">
      <c r="A1525" s="2">
        <v>44259</v>
      </c>
      <c r="B1525" s="1">
        <f t="shared" si="118"/>
        <v>10</v>
      </c>
      <c r="C1525">
        <f t="shared" si="120"/>
        <v>3</v>
      </c>
      <c r="D1525" t="str">
        <f t="shared" si="121"/>
        <v>March</v>
      </c>
      <c r="E1525">
        <f t="shared" si="122"/>
        <v>2021</v>
      </c>
      <c r="F1525" t="str">
        <f>CONCATENATE(calendar[[#This Row],[Month]],"/",calendar[[#This Row],[Year]])</f>
        <v>3/2021</v>
      </c>
      <c r="G1525">
        <f>WEEKDAY(calendar[[#This Row],[Date]],1)</f>
        <v>5</v>
      </c>
      <c r="H1525" t="str">
        <f>TEXT(calendar[[#This Row],[WeekDay]],"dddd")</f>
        <v>Thursday</v>
      </c>
      <c r="I1525">
        <f>IF((INT(calendar[[#This Row],[Count]]/7)-calendar[[#This Row],[Count]]/7)&lt;0,I1524,I1524+1)</f>
        <v>218</v>
      </c>
      <c r="J1525">
        <f t="shared" si="119"/>
        <v>1523</v>
      </c>
      <c r="K1525">
        <f>IF(calendar[[#This Row],[Month]]&lt;4,1,IF(calendar[[#This Row],[Month]]&lt;7,2,IF(calendar[[#This Row],[Month]]&lt;10,3,4)))</f>
        <v>1</v>
      </c>
      <c r="L1525">
        <f>IFERROR(IF(VLOOKUP(calendar[[#This Row],[Date]],BH!A:A,1,)&lt;&gt;"",1,0),0)</f>
        <v>0</v>
      </c>
      <c r="M1525">
        <f>IFERROR(IF(VLOOKUP(calendar[[#This Row],[Date]],BH!C:C,1,)&lt;&gt;"",1,0),0)</f>
        <v>0</v>
      </c>
      <c r="N1525">
        <f>IFERROR(IF(VLOOKUP(calendar[[#This Row],[Date]],BH!E:E,1,)&lt;&gt;"",1,0),0)</f>
        <v>0</v>
      </c>
      <c r="O1525">
        <f>IFERROR(IF(VLOOKUP(calendar[[#This Row],[Date]],BH!G:G,1,)&lt;&gt;"",1,0),0)</f>
        <v>0</v>
      </c>
      <c r="P1525">
        <f>IF(OR(calendar[[#This Row],[UK_BH]]=1,calendar[[#This Row],[WeekDay]]=1, calendar[[#This Row],[WeekDay]]=7),P1524,P1524+1)</f>
        <v>1089</v>
      </c>
      <c r="Q1525">
        <f>IF(OR(calendar[[#This Row],[FR_BH]]=1,calendar[[#This Row],[WeekDay]]=1, calendar[[#This Row],[WeekDay]]=7),P1524,P1524+1)</f>
        <v>1089</v>
      </c>
      <c r="R1525">
        <f>IF(OR(calendar[[#This Row],[SP_BH]]=1,calendar[[#This Row],[WeekDay]]=1, calendar[[#This Row],[WeekDay]]=7),P1524,P1524+1)</f>
        <v>1089</v>
      </c>
      <c r="S1525">
        <f>IF(OR(calendar[[#This Row],[PT_BH]]=1,calendar[[#This Row],[WeekDay]]=1, calendar[[#This Row],[WeekDay]]=7),P1524,P1524+1)</f>
        <v>1089</v>
      </c>
    </row>
    <row r="1526" spans="1:19" x14ac:dyDescent="0.25">
      <c r="A1526" s="2">
        <v>44260</v>
      </c>
      <c r="B1526" s="1">
        <f t="shared" si="118"/>
        <v>10</v>
      </c>
      <c r="C1526">
        <f t="shared" si="120"/>
        <v>3</v>
      </c>
      <c r="D1526" t="str">
        <f t="shared" si="121"/>
        <v>March</v>
      </c>
      <c r="E1526">
        <f t="shared" si="122"/>
        <v>2021</v>
      </c>
      <c r="F1526" t="str">
        <f>CONCATENATE(calendar[[#This Row],[Month]],"/",calendar[[#This Row],[Year]])</f>
        <v>3/2021</v>
      </c>
      <c r="G1526">
        <f>WEEKDAY(calendar[[#This Row],[Date]],1)</f>
        <v>6</v>
      </c>
      <c r="H1526" t="str">
        <f>TEXT(calendar[[#This Row],[WeekDay]],"dddd")</f>
        <v>Friday</v>
      </c>
      <c r="I1526">
        <f>IF((INT(calendar[[#This Row],[Count]]/7)-calendar[[#This Row],[Count]]/7)&lt;0,I1525,I1525+1)</f>
        <v>218</v>
      </c>
      <c r="J1526">
        <f t="shared" si="119"/>
        <v>1524</v>
      </c>
      <c r="K1526">
        <f>IF(calendar[[#This Row],[Month]]&lt;4,1,IF(calendar[[#This Row],[Month]]&lt;7,2,IF(calendar[[#This Row],[Month]]&lt;10,3,4)))</f>
        <v>1</v>
      </c>
      <c r="L1526">
        <f>IFERROR(IF(VLOOKUP(calendar[[#This Row],[Date]],BH!A:A,1,)&lt;&gt;"",1,0),0)</f>
        <v>0</v>
      </c>
      <c r="M1526">
        <f>IFERROR(IF(VLOOKUP(calendar[[#This Row],[Date]],BH!C:C,1,)&lt;&gt;"",1,0),0)</f>
        <v>0</v>
      </c>
      <c r="N1526">
        <f>IFERROR(IF(VLOOKUP(calendar[[#This Row],[Date]],BH!E:E,1,)&lt;&gt;"",1,0),0)</f>
        <v>0</v>
      </c>
      <c r="O1526">
        <f>IFERROR(IF(VLOOKUP(calendar[[#This Row],[Date]],BH!G:G,1,)&lt;&gt;"",1,0),0)</f>
        <v>0</v>
      </c>
      <c r="P1526">
        <f>IF(OR(calendar[[#This Row],[UK_BH]]=1,calendar[[#This Row],[WeekDay]]=1, calendar[[#This Row],[WeekDay]]=7),P1525,P1525+1)</f>
        <v>1090</v>
      </c>
      <c r="Q1526">
        <f>IF(OR(calendar[[#This Row],[FR_BH]]=1,calendar[[#This Row],[WeekDay]]=1, calendar[[#This Row],[WeekDay]]=7),P1525,P1525+1)</f>
        <v>1090</v>
      </c>
      <c r="R1526">
        <f>IF(OR(calendar[[#This Row],[SP_BH]]=1,calendar[[#This Row],[WeekDay]]=1, calendar[[#This Row],[WeekDay]]=7),P1525,P1525+1)</f>
        <v>1090</v>
      </c>
      <c r="S1526">
        <f>IF(OR(calendar[[#This Row],[PT_BH]]=1,calendar[[#This Row],[WeekDay]]=1, calendar[[#This Row],[WeekDay]]=7),P1525,P1525+1)</f>
        <v>1090</v>
      </c>
    </row>
    <row r="1527" spans="1:19" x14ac:dyDescent="0.25">
      <c r="A1527" s="2">
        <v>44261</v>
      </c>
      <c r="B1527" s="1">
        <f t="shared" si="118"/>
        <v>10</v>
      </c>
      <c r="C1527">
        <f t="shared" si="120"/>
        <v>3</v>
      </c>
      <c r="D1527" t="str">
        <f t="shared" si="121"/>
        <v>March</v>
      </c>
      <c r="E1527">
        <f t="shared" si="122"/>
        <v>2021</v>
      </c>
      <c r="F1527" t="str">
        <f>CONCATENATE(calendar[[#This Row],[Month]],"/",calendar[[#This Row],[Year]])</f>
        <v>3/2021</v>
      </c>
      <c r="G1527">
        <f>WEEKDAY(calendar[[#This Row],[Date]],1)</f>
        <v>7</v>
      </c>
      <c r="H1527" t="str">
        <f>TEXT(calendar[[#This Row],[WeekDay]],"dddd")</f>
        <v>Saturday</v>
      </c>
      <c r="I1527">
        <f>IF((INT(calendar[[#This Row],[Count]]/7)-calendar[[#This Row],[Count]]/7)&lt;0,I1526,I1526+1)</f>
        <v>218</v>
      </c>
      <c r="J1527">
        <f t="shared" si="119"/>
        <v>1525</v>
      </c>
      <c r="K1527">
        <f>IF(calendar[[#This Row],[Month]]&lt;4,1,IF(calendar[[#This Row],[Month]]&lt;7,2,IF(calendar[[#This Row],[Month]]&lt;10,3,4)))</f>
        <v>1</v>
      </c>
      <c r="L1527">
        <f>IFERROR(IF(VLOOKUP(calendar[[#This Row],[Date]],BH!A:A,1,)&lt;&gt;"",1,0),0)</f>
        <v>0</v>
      </c>
      <c r="M1527">
        <f>IFERROR(IF(VLOOKUP(calendar[[#This Row],[Date]],BH!C:C,1,)&lt;&gt;"",1,0),0)</f>
        <v>0</v>
      </c>
      <c r="N1527">
        <f>IFERROR(IF(VLOOKUP(calendar[[#This Row],[Date]],BH!E:E,1,)&lt;&gt;"",1,0),0)</f>
        <v>0</v>
      </c>
      <c r="O1527">
        <f>IFERROR(IF(VLOOKUP(calendar[[#This Row],[Date]],BH!G:G,1,)&lt;&gt;"",1,0),0)</f>
        <v>0</v>
      </c>
      <c r="P1527">
        <f>IF(OR(calendar[[#This Row],[UK_BH]]=1,calendar[[#This Row],[WeekDay]]=1, calendar[[#This Row],[WeekDay]]=7),P1526,P1526+1)</f>
        <v>1090</v>
      </c>
      <c r="Q1527">
        <f>IF(OR(calendar[[#This Row],[FR_BH]]=1,calendar[[#This Row],[WeekDay]]=1, calendar[[#This Row],[WeekDay]]=7),P1526,P1526+1)</f>
        <v>1090</v>
      </c>
      <c r="R1527">
        <f>IF(OR(calendar[[#This Row],[SP_BH]]=1,calendar[[#This Row],[WeekDay]]=1, calendar[[#This Row],[WeekDay]]=7),P1526,P1526+1)</f>
        <v>1090</v>
      </c>
      <c r="S1527">
        <f>IF(OR(calendar[[#This Row],[PT_BH]]=1,calendar[[#This Row],[WeekDay]]=1, calendar[[#This Row],[WeekDay]]=7),P1526,P1526+1)</f>
        <v>1090</v>
      </c>
    </row>
    <row r="1528" spans="1:19" x14ac:dyDescent="0.25">
      <c r="A1528" s="2">
        <v>44262</v>
      </c>
      <c r="B1528" s="1">
        <f t="shared" si="118"/>
        <v>11</v>
      </c>
      <c r="C1528">
        <f t="shared" si="120"/>
        <v>3</v>
      </c>
      <c r="D1528" t="str">
        <f t="shared" si="121"/>
        <v>March</v>
      </c>
      <c r="E1528">
        <f t="shared" si="122"/>
        <v>2021</v>
      </c>
      <c r="F1528" t="str">
        <f>CONCATENATE(calendar[[#This Row],[Month]],"/",calendar[[#This Row],[Year]])</f>
        <v>3/2021</v>
      </c>
      <c r="G1528">
        <f>WEEKDAY(calendar[[#This Row],[Date]],1)</f>
        <v>1</v>
      </c>
      <c r="H1528" t="str">
        <f>TEXT(calendar[[#This Row],[WeekDay]],"dddd")</f>
        <v>Sunday</v>
      </c>
      <c r="I1528">
        <f>IF((INT(calendar[[#This Row],[Count]]/7)-calendar[[#This Row],[Count]]/7)&lt;0,I1527,I1527+1)</f>
        <v>219</v>
      </c>
      <c r="J1528">
        <f t="shared" si="119"/>
        <v>1526</v>
      </c>
      <c r="K1528">
        <f>IF(calendar[[#This Row],[Month]]&lt;4,1,IF(calendar[[#This Row],[Month]]&lt;7,2,IF(calendar[[#This Row],[Month]]&lt;10,3,4)))</f>
        <v>1</v>
      </c>
      <c r="L1528">
        <f>IFERROR(IF(VLOOKUP(calendar[[#This Row],[Date]],BH!A:A,1,)&lt;&gt;"",1,0),0)</f>
        <v>0</v>
      </c>
      <c r="M1528">
        <f>IFERROR(IF(VLOOKUP(calendar[[#This Row],[Date]],BH!C:C,1,)&lt;&gt;"",1,0),0)</f>
        <v>0</v>
      </c>
      <c r="N1528">
        <f>IFERROR(IF(VLOOKUP(calendar[[#This Row],[Date]],BH!E:E,1,)&lt;&gt;"",1,0),0)</f>
        <v>0</v>
      </c>
      <c r="O1528">
        <f>IFERROR(IF(VLOOKUP(calendar[[#This Row],[Date]],BH!G:G,1,)&lt;&gt;"",1,0),0)</f>
        <v>0</v>
      </c>
      <c r="P1528">
        <f>IF(OR(calendar[[#This Row],[UK_BH]]=1,calendar[[#This Row],[WeekDay]]=1, calendar[[#This Row],[WeekDay]]=7),P1527,P1527+1)</f>
        <v>1090</v>
      </c>
      <c r="Q1528">
        <f>IF(OR(calendar[[#This Row],[FR_BH]]=1,calendar[[#This Row],[WeekDay]]=1, calendar[[#This Row],[WeekDay]]=7),P1527,P1527+1)</f>
        <v>1090</v>
      </c>
      <c r="R1528">
        <f>IF(OR(calendar[[#This Row],[SP_BH]]=1,calendar[[#This Row],[WeekDay]]=1, calendar[[#This Row],[WeekDay]]=7),P1527,P1527+1)</f>
        <v>1090</v>
      </c>
      <c r="S1528">
        <f>IF(OR(calendar[[#This Row],[PT_BH]]=1,calendar[[#This Row],[WeekDay]]=1, calendar[[#This Row],[WeekDay]]=7),P1527,P1527+1)</f>
        <v>1090</v>
      </c>
    </row>
    <row r="1529" spans="1:19" x14ac:dyDescent="0.25">
      <c r="A1529" s="2">
        <v>44263</v>
      </c>
      <c r="B1529" s="1">
        <f t="shared" si="118"/>
        <v>11</v>
      </c>
      <c r="C1529">
        <f t="shared" si="120"/>
        <v>3</v>
      </c>
      <c r="D1529" t="str">
        <f t="shared" si="121"/>
        <v>March</v>
      </c>
      <c r="E1529">
        <f t="shared" si="122"/>
        <v>2021</v>
      </c>
      <c r="F1529" t="str">
        <f>CONCATENATE(calendar[[#This Row],[Month]],"/",calendar[[#This Row],[Year]])</f>
        <v>3/2021</v>
      </c>
      <c r="G1529">
        <f>WEEKDAY(calendar[[#This Row],[Date]],1)</f>
        <v>2</v>
      </c>
      <c r="H1529" t="str">
        <f>TEXT(calendar[[#This Row],[WeekDay]],"dddd")</f>
        <v>Monday</v>
      </c>
      <c r="I1529">
        <f>IF((INT(calendar[[#This Row],[Count]]/7)-calendar[[#This Row],[Count]]/7)&lt;0,I1528,I1528+1)</f>
        <v>219</v>
      </c>
      <c r="J1529">
        <f t="shared" si="119"/>
        <v>1527</v>
      </c>
      <c r="K1529">
        <f>IF(calendar[[#This Row],[Month]]&lt;4,1,IF(calendar[[#This Row],[Month]]&lt;7,2,IF(calendar[[#This Row],[Month]]&lt;10,3,4)))</f>
        <v>1</v>
      </c>
      <c r="L1529">
        <f>IFERROR(IF(VLOOKUP(calendar[[#This Row],[Date]],BH!A:A,1,)&lt;&gt;"",1,0),0)</f>
        <v>0</v>
      </c>
      <c r="M1529">
        <f>IFERROR(IF(VLOOKUP(calendar[[#This Row],[Date]],BH!C:C,1,)&lt;&gt;"",1,0),0)</f>
        <v>0</v>
      </c>
      <c r="N1529">
        <f>IFERROR(IF(VLOOKUP(calendar[[#This Row],[Date]],BH!E:E,1,)&lt;&gt;"",1,0),0)</f>
        <v>0</v>
      </c>
      <c r="O1529">
        <f>IFERROR(IF(VLOOKUP(calendar[[#This Row],[Date]],BH!G:G,1,)&lt;&gt;"",1,0),0)</f>
        <v>0</v>
      </c>
      <c r="P1529">
        <f>IF(OR(calendar[[#This Row],[UK_BH]]=1,calendar[[#This Row],[WeekDay]]=1, calendar[[#This Row],[WeekDay]]=7),P1528,P1528+1)</f>
        <v>1091</v>
      </c>
      <c r="Q1529">
        <f>IF(OR(calendar[[#This Row],[FR_BH]]=1,calendar[[#This Row],[WeekDay]]=1, calendar[[#This Row],[WeekDay]]=7),P1528,P1528+1)</f>
        <v>1091</v>
      </c>
      <c r="R1529">
        <f>IF(OR(calendar[[#This Row],[SP_BH]]=1,calendar[[#This Row],[WeekDay]]=1, calendar[[#This Row],[WeekDay]]=7),P1528,P1528+1)</f>
        <v>1091</v>
      </c>
      <c r="S1529">
        <f>IF(OR(calendar[[#This Row],[PT_BH]]=1,calendar[[#This Row],[WeekDay]]=1, calendar[[#This Row],[WeekDay]]=7),P1528,P1528+1)</f>
        <v>1091</v>
      </c>
    </row>
    <row r="1530" spans="1:19" x14ac:dyDescent="0.25">
      <c r="A1530" s="2">
        <v>44264</v>
      </c>
      <c r="B1530" s="1">
        <f t="shared" si="118"/>
        <v>11</v>
      </c>
      <c r="C1530">
        <f t="shared" si="120"/>
        <v>3</v>
      </c>
      <c r="D1530" t="str">
        <f t="shared" si="121"/>
        <v>March</v>
      </c>
      <c r="E1530">
        <f t="shared" si="122"/>
        <v>2021</v>
      </c>
      <c r="F1530" t="str">
        <f>CONCATENATE(calendar[[#This Row],[Month]],"/",calendar[[#This Row],[Year]])</f>
        <v>3/2021</v>
      </c>
      <c r="G1530">
        <f>WEEKDAY(calendar[[#This Row],[Date]],1)</f>
        <v>3</v>
      </c>
      <c r="H1530" t="str">
        <f>TEXT(calendar[[#This Row],[WeekDay]],"dddd")</f>
        <v>Tuesday</v>
      </c>
      <c r="I1530">
        <f>IF((INT(calendar[[#This Row],[Count]]/7)-calendar[[#This Row],[Count]]/7)&lt;0,I1529,I1529+1)</f>
        <v>219</v>
      </c>
      <c r="J1530">
        <f t="shared" si="119"/>
        <v>1528</v>
      </c>
      <c r="K1530">
        <f>IF(calendar[[#This Row],[Month]]&lt;4,1,IF(calendar[[#This Row],[Month]]&lt;7,2,IF(calendar[[#This Row],[Month]]&lt;10,3,4)))</f>
        <v>1</v>
      </c>
      <c r="L1530">
        <f>IFERROR(IF(VLOOKUP(calendar[[#This Row],[Date]],BH!A:A,1,)&lt;&gt;"",1,0),0)</f>
        <v>0</v>
      </c>
      <c r="M1530">
        <f>IFERROR(IF(VLOOKUP(calendar[[#This Row],[Date]],BH!C:C,1,)&lt;&gt;"",1,0),0)</f>
        <v>0</v>
      </c>
      <c r="N1530">
        <f>IFERROR(IF(VLOOKUP(calendar[[#This Row],[Date]],BH!E:E,1,)&lt;&gt;"",1,0),0)</f>
        <v>0</v>
      </c>
      <c r="O1530">
        <f>IFERROR(IF(VLOOKUP(calendar[[#This Row],[Date]],BH!G:G,1,)&lt;&gt;"",1,0),0)</f>
        <v>0</v>
      </c>
      <c r="P1530">
        <f>IF(OR(calendar[[#This Row],[UK_BH]]=1,calendar[[#This Row],[WeekDay]]=1, calendar[[#This Row],[WeekDay]]=7),P1529,P1529+1)</f>
        <v>1092</v>
      </c>
      <c r="Q1530">
        <f>IF(OR(calendar[[#This Row],[FR_BH]]=1,calendar[[#This Row],[WeekDay]]=1, calendar[[#This Row],[WeekDay]]=7),P1529,P1529+1)</f>
        <v>1092</v>
      </c>
      <c r="R1530">
        <f>IF(OR(calendar[[#This Row],[SP_BH]]=1,calendar[[#This Row],[WeekDay]]=1, calendar[[#This Row],[WeekDay]]=7),P1529,P1529+1)</f>
        <v>1092</v>
      </c>
      <c r="S1530">
        <f>IF(OR(calendar[[#This Row],[PT_BH]]=1,calendar[[#This Row],[WeekDay]]=1, calendar[[#This Row],[WeekDay]]=7),P1529,P1529+1)</f>
        <v>1092</v>
      </c>
    </row>
    <row r="1531" spans="1:19" x14ac:dyDescent="0.25">
      <c r="A1531" s="2">
        <v>44265</v>
      </c>
      <c r="B1531" s="1">
        <f t="shared" si="118"/>
        <v>11</v>
      </c>
      <c r="C1531">
        <f t="shared" si="120"/>
        <v>3</v>
      </c>
      <c r="D1531" t="str">
        <f t="shared" si="121"/>
        <v>March</v>
      </c>
      <c r="E1531">
        <f t="shared" si="122"/>
        <v>2021</v>
      </c>
      <c r="F1531" t="str">
        <f>CONCATENATE(calendar[[#This Row],[Month]],"/",calendar[[#This Row],[Year]])</f>
        <v>3/2021</v>
      </c>
      <c r="G1531">
        <f>WEEKDAY(calendar[[#This Row],[Date]],1)</f>
        <v>4</v>
      </c>
      <c r="H1531" t="str">
        <f>TEXT(calendar[[#This Row],[WeekDay]],"dddd")</f>
        <v>Wednesday</v>
      </c>
      <c r="I1531">
        <f>IF((INT(calendar[[#This Row],[Count]]/7)-calendar[[#This Row],[Count]]/7)&lt;0,I1530,I1530+1)</f>
        <v>219</v>
      </c>
      <c r="J1531">
        <f t="shared" si="119"/>
        <v>1529</v>
      </c>
      <c r="K1531">
        <f>IF(calendar[[#This Row],[Month]]&lt;4,1,IF(calendar[[#This Row],[Month]]&lt;7,2,IF(calendar[[#This Row],[Month]]&lt;10,3,4)))</f>
        <v>1</v>
      </c>
      <c r="L1531">
        <f>IFERROR(IF(VLOOKUP(calendar[[#This Row],[Date]],BH!A:A,1,)&lt;&gt;"",1,0),0)</f>
        <v>0</v>
      </c>
      <c r="M1531">
        <f>IFERROR(IF(VLOOKUP(calendar[[#This Row],[Date]],BH!C:C,1,)&lt;&gt;"",1,0),0)</f>
        <v>0</v>
      </c>
      <c r="N1531">
        <f>IFERROR(IF(VLOOKUP(calendar[[#This Row],[Date]],BH!E:E,1,)&lt;&gt;"",1,0),0)</f>
        <v>0</v>
      </c>
      <c r="O1531">
        <f>IFERROR(IF(VLOOKUP(calendar[[#This Row],[Date]],BH!G:G,1,)&lt;&gt;"",1,0),0)</f>
        <v>0</v>
      </c>
      <c r="P1531">
        <f>IF(OR(calendar[[#This Row],[UK_BH]]=1,calendar[[#This Row],[WeekDay]]=1, calendar[[#This Row],[WeekDay]]=7),P1530,P1530+1)</f>
        <v>1093</v>
      </c>
      <c r="Q1531">
        <f>IF(OR(calendar[[#This Row],[FR_BH]]=1,calendar[[#This Row],[WeekDay]]=1, calendar[[#This Row],[WeekDay]]=7),P1530,P1530+1)</f>
        <v>1093</v>
      </c>
      <c r="R1531">
        <f>IF(OR(calendar[[#This Row],[SP_BH]]=1,calendar[[#This Row],[WeekDay]]=1, calendar[[#This Row],[WeekDay]]=7),P1530,P1530+1)</f>
        <v>1093</v>
      </c>
      <c r="S1531">
        <f>IF(OR(calendar[[#This Row],[PT_BH]]=1,calendar[[#This Row],[WeekDay]]=1, calendar[[#This Row],[WeekDay]]=7),P1530,P1530+1)</f>
        <v>1093</v>
      </c>
    </row>
    <row r="1532" spans="1:19" x14ac:dyDescent="0.25">
      <c r="A1532" s="2">
        <v>44266</v>
      </c>
      <c r="B1532" s="1">
        <f t="shared" si="118"/>
        <v>11</v>
      </c>
      <c r="C1532">
        <f t="shared" si="120"/>
        <v>3</v>
      </c>
      <c r="D1532" t="str">
        <f t="shared" si="121"/>
        <v>March</v>
      </c>
      <c r="E1532">
        <f t="shared" si="122"/>
        <v>2021</v>
      </c>
      <c r="F1532" t="str">
        <f>CONCATENATE(calendar[[#This Row],[Month]],"/",calendar[[#This Row],[Year]])</f>
        <v>3/2021</v>
      </c>
      <c r="G1532">
        <f>WEEKDAY(calendar[[#This Row],[Date]],1)</f>
        <v>5</v>
      </c>
      <c r="H1532" t="str">
        <f>TEXT(calendar[[#This Row],[WeekDay]],"dddd")</f>
        <v>Thursday</v>
      </c>
      <c r="I1532">
        <f>IF((INT(calendar[[#This Row],[Count]]/7)-calendar[[#This Row],[Count]]/7)&lt;0,I1531,I1531+1)</f>
        <v>219</v>
      </c>
      <c r="J1532">
        <f t="shared" si="119"/>
        <v>1530</v>
      </c>
      <c r="K1532">
        <f>IF(calendar[[#This Row],[Month]]&lt;4,1,IF(calendar[[#This Row],[Month]]&lt;7,2,IF(calendar[[#This Row],[Month]]&lt;10,3,4)))</f>
        <v>1</v>
      </c>
      <c r="L1532">
        <f>IFERROR(IF(VLOOKUP(calendar[[#This Row],[Date]],BH!A:A,1,)&lt;&gt;"",1,0),0)</f>
        <v>0</v>
      </c>
      <c r="M1532">
        <f>IFERROR(IF(VLOOKUP(calendar[[#This Row],[Date]],BH!C:C,1,)&lt;&gt;"",1,0),0)</f>
        <v>0</v>
      </c>
      <c r="N1532">
        <f>IFERROR(IF(VLOOKUP(calendar[[#This Row],[Date]],BH!E:E,1,)&lt;&gt;"",1,0),0)</f>
        <v>0</v>
      </c>
      <c r="O1532">
        <f>IFERROR(IF(VLOOKUP(calendar[[#This Row],[Date]],BH!G:G,1,)&lt;&gt;"",1,0),0)</f>
        <v>0</v>
      </c>
      <c r="P1532">
        <f>IF(OR(calendar[[#This Row],[UK_BH]]=1,calendar[[#This Row],[WeekDay]]=1, calendar[[#This Row],[WeekDay]]=7),P1531,P1531+1)</f>
        <v>1094</v>
      </c>
      <c r="Q1532">
        <f>IF(OR(calendar[[#This Row],[FR_BH]]=1,calendar[[#This Row],[WeekDay]]=1, calendar[[#This Row],[WeekDay]]=7),P1531,P1531+1)</f>
        <v>1094</v>
      </c>
      <c r="R1532">
        <f>IF(OR(calendar[[#This Row],[SP_BH]]=1,calendar[[#This Row],[WeekDay]]=1, calendar[[#This Row],[WeekDay]]=7),P1531,P1531+1)</f>
        <v>1094</v>
      </c>
      <c r="S1532">
        <f>IF(OR(calendar[[#This Row],[PT_BH]]=1,calendar[[#This Row],[WeekDay]]=1, calendar[[#This Row],[WeekDay]]=7),P1531,P1531+1)</f>
        <v>1094</v>
      </c>
    </row>
    <row r="1533" spans="1:19" x14ac:dyDescent="0.25">
      <c r="A1533" s="2">
        <v>44267</v>
      </c>
      <c r="B1533" s="1">
        <f t="shared" si="118"/>
        <v>11</v>
      </c>
      <c r="C1533">
        <f t="shared" si="120"/>
        <v>3</v>
      </c>
      <c r="D1533" t="str">
        <f t="shared" si="121"/>
        <v>March</v>
      </c>
      <c r="E1533">
        <f t="shared" si="122"/>
        <v>2021</v>
      </c>
      <c r="F1533" t="str">
        <f>CONCATENATE(calendar[[#This Row],[Month]],"/",calendar[[#This Row],[Year]])</f>
        <v>3/2021</v>
      </c>
      <c r="G1533">
        <f>WEEKDAY(calendar[[#This Row],[Date]],1)</f>
        <v>6</v>
      </c>
      <c r="H1533" t="str">
        <f>TEXT(calendar[[#This Row],[WeekDay]],"dddd")</f>
        <v>Friday</v>
      </c>
      <c r="I1533">
        <f>IF((INT(calendar[[#This Row],[Count]]/7)-calendar[[#This Row],[Count]]/7)&lt;0,I1532,I1532+1)</f>
        <v>219</v>
      </c>
      <c r="J1533">
        <f t="shared" si="119"/>
        <v>1531</v>
      </c>
      <c r="K1533">
        <f>IF(calendar[[#This Row],[Month]]&lt;4,1,IF(calendar[[#This Row],[Month]]&lt;7,2,IF(calendar[[#This Row],[Month]]&lt;10,3,4)))</f>
        <v>1</v>
      </c>
      <c r="L1533">
        <f>IFERROR(IF(VLOOKUP(calendar[[#This Row],[Date]],BH!A:A,1,)&lt;&gt;"",1,0),0)</f>
        <v>0</v>
      </c>
      <c r="M1533">
        <f>IFERROR(IF(VLOOKUP(calendar[[#This Row],[Date]],BH!C:C,1,)&lt;&gt;"",1,0),0)</f>
        <v>0</v>
      </c>
      <c r="N1533">
        <f>IFERROR(IF(VLOOKUP(calendar[[#This Row],[Date]],BH!E:E,1,)&lt;&gt;"",1,0),0)</f>
        <v>0</v>
      </c>
      <c r="O1533">
        <f>IFERROR(IF(VLOOKUP(calendar[[#This Row],[Date]],BH!G:G,1,)&lt;&gt;"",1,0),0)</f>
        <v>0</v>
      </c>
      <c r="P1533">
        <f>IF(OR(calendar[[#This Row],[UK_BH]]=1,calendar[[#This Row],[WeekDay]]=1, calendar[[#This Row],[WeekDay]]=7),P1532,P1532+1)</f>
        <v>1095</v>
      </c>
      <c r="Q1533">
        <f>IF(OR(calendar[[#This Row],[FR_BH]]=1,calendar[[#This Row],[WeekDay]]=1, calendar[[#This Row],[WeekDay]]=7),P1532,P1532+1)</f>
        <v>1095</v>
      </c>
      <c r="R1533">
        <f>IF(OR(calendar[[#This Row],[SP_BH]]=1,calendar[[#This Row],[WeekDay]]=1, calendar[[#This Row],[WeekDay]]=7),P1532,P1532+1)</f>
        <v>1095</v>
      </c>
      <c r="S1533">
        <f>IF(OR(calendar[[#This Row],[PT_BH]]=1,calendar[[#This Row],[WeekDay]]=1, calendar[[#This Row],[WeekDay]]=7),P1532,P1532+1)</f>
        <v>1095</v>
      </c>
    </row>
    <row r="1534" spans="1:19" x14ac:dyDescent="0.25">
      <c r="A1534" s="2">
        <v>44268</v>
      </c>
      <c r="B1534" s="1">
        <f t="shared" si="118"/>
        <v>11</v>
      </c>
      <c r="C1534">
        <f t="shared" si="120"/>
        <v>3</v>
      </c>
      <c r="D1534" t="str">
        <f t="shared" si="121"/>
        <v>March</v>
      </c>
      <c r="E1534">
        <f t="shared" si="122"/>
        <v>2021</v>
      </c>
      <c r="F1534" t="str">
        <f>CONCATENATE(calendar[[#This Row],[Month]],"/",calendar[[#This Row],[Year]])</f>
        <v>3/2021</v>
      </c>
      <c r="G1534">
        <f>WEEKDAY(calendar[[#This Row],[Date]],1)</f>
        <v>7</v>
      </c>
      <c r="H1534" t="str">
        <f>TEXT(calendar[[#This Row],[WeekDay]],"dddd")</f>
        <v>Saturday</v>
      </c>
      <c r="I1534">
        <f>IF((INT(calendar[[#This Row],[Count]]/7)-calendar[[#This Row],[Count]]/7)&lt;0,I1533,I1533+1)</f>
        <v>219</v>
      </c>
      <c r="J1534">
        <f t="shared" si="119"/>
        <v>1532</v>
      </c>
      <c r="K1534">
        <f>IF(calendar[[#This Row],[Month]]&lt;4,1,IF(calendar[[#This Row],[Month]]&lt;7,2,IF(calendar[[#This Row],[Month]]&lt;10,3,4)))</f>
        <v>1</v>
      </c>
      <c r="L1534">
        <f>IFERROR(IF(VLOOKUP(calendar[[#This Row],[Date]],BH!A:A,1,)&lt;&gt;"",1,0),0)</f>
        <v>0</v>
      </c>
      <c r="M1534">
        <f>IFERROR(IF(VLOOKUP(calendar[[#This Row],[Date]],BH!C:C,1,)&lt;&gt;"",1,0),0)</f>
        <v>0</v>
      </c>
      <c r="N1534">
        <f>IFERROR(IF(VLOOKUP(calendar[[#This Row],[Date]],BH!E:E,1,)&lt;&gt;"",1,0),0)</f>
        <v>0</v>
      </c>
      <c r="O1534">
        <f>IFERROR(IF(VLOOKUP(calendar[[#This Row],[Date]],BH!G:G,1,)&lt;&gt;"",1,0),0)</f>
        <v>0</v>
      </c>
      <c r="P1534">
        <f>IF(OR(calendar[[#This Row],[UK_BH]]=1,calendar[[#This Row],[WeekDay]]=1, calendar[[#This Row],[WeekDay]]=7),P1533,P1533+1)</f>
        <v>1095</v>
      </c>
      <c r="Q1534">
        <f>IF(OR(calendar[[#This Row],[FR_BH]]=1,calendar[[#This Row],[WeekDay]]=1, calendar[[#This Row],[WeekDay]]=7),P1533,P1533+1)</f>
        <v>1095</v>
      </c>
      <c r="R1534">
        <f>IF(OR(calendar[[#This Row],[SP_BH]]=1,calendar[[#This Row],[WeekDay]]=1, calendar[[#This Row],[WeekDay]]=7),P1533,P1533+1)</f>
        <v>1095</v>
      </c>
      <c r="S1534">
        <f>IF(OR(calendar[[#This Row],[PT_BH]]=1,calendar[[#This Row],[WeekDay]]=1, calendar[[#This Row],[WeekDay]]=7),P1533,P1533+1)</f>
        <v>1095</v>
      </c>
    </row>
    <row r="1535" spans="1:19" x14ac:dyDescent="0.25">
      <c r="A1535" s="2">
        <v>44269</v>
      </c>
      <c r="B1535" s="1">
        <f t="shared" si="118"/>
        <v>12</v>
      </c>
      <c r="C1535">
        <f t="shared" si="120"/>
        <v>3</v>
      </c>
      <c r="D1535" t="str">
        <f t="shared" si="121"/>
        <v>March</v>
      </c>
      <c r="E1535">
        <f t="shared" si="122"/>
        <v>2021</v>
      </c>
      <c r="F1535" t="str">
        <f>CONCATENATE(calendar[[#This Row],[Month]],"/",calendar[[#This Row],[Year]])</f>
        <v>3/2021</v>
      </c>
      <c r="G1535">
        <f>WEEKDAY(calendar[[#This Row],[Date]],1)</f>
        <v>1</v>
      </c>
      <c r="H1535" t="str">
        <f>TEXT(calendar[[#This Row],[WeekDay]],"dddd")</f>
        <v>Sunday</v>
      </c>
      <c r="I1535">
        <f>IF((INT(calendar[[#This Row],[Count]]/7)-calendar[[#This Row],[Count]]/7)&lt;0,I1534,I1534+1)</f>
        <v>220</v>
      </c>
      <c r="J1535">
        <f t="shared" si="119"/>
        <v>1533</v>
      </c>
      <c r="K1535">
        <f>IF(calendar[[#This Row],[Month]]&lt;4,1,IF(calendar[[#This Row],[Month]]&lt;7,2,IF(calendar[[#This Row],[Month]]&lt;10,3,4)))</f>
        <v>1</v>
      </c>
      <c r="L1535">
        <f>IFERROR(IF(VLOOKUP(calendar[[#This Row],[Date]],BH!A:A,1,)&lt;&gt;"",1,0),0)</f>
        <v>0</v>
      </c>
      <c r="M1535">
        <f>IFERROR(IF(VLOOKUP(calendar[[#This Row],[Date]],BH!C:C,1,)&lt;&gt;"",1,0),0)</f>
        <v>0</v>
      </c>
      <c r="N1535">
        <f>IFERROR(IF(VLOOKUP(calendar[[#This Row],[Date]],BH!E:E,1,)&lt;&gt;"",1,0),0)</f>
        <v>0</v>
      </c>
      <c r="O1535">
        <f>IFERROR(IF(VLOOKUP(calendar[[#This Row],[Date]],BH!G:G,1,)&lt;&gt;"",1,0),0)</f>
        <v>0</v>
      </c>
      <c r="P1535">
        <f>IF(OR(calendar[[#This Row],[UK_BH]]=1,calendar[[#This Row],[WeekDay]]=1, calendar[[#This Row],[WeekDay]]=7),P1534,P1534+1)</f>
        <v>1095</v>
      </c>
      <c r="Q1535">
        <f>IF(OR(calendar[[#This Row],[FR_BH]]=1,calendar[[#This Row],[WeekDay]]=1, calendar[[#This Row],[WeekDay]]=7),P1534,P1534+1)</f>
        <v>1095</v>
      </c>
      <c r="R1535">
        <f>IF(OR(calendar[[#This Row],[SP_BH]]=1,calendar[[#This Row],[WeekDay]]=1, calendar[[#This Row],[WeekDay]]=7),P1534,P1534+1)</f>
        <v>1095</v>
      </c>
      <c r="S1535">
        <f>IF(OR(calendar[[#This Row],[PT_BH]]=1,calendar[[#This Row],[WeekDay]]=1, calendar[[#This Row],[WeekDay]]=7),P1534,P1534+1)</f>
        <v>1095</v>
      </c>
    </row>
    <row r="1536" spans="1:19" x14ac:dyDescent="0.25">
      <c r="A1536" s="2">
        <v>44270</v>
      </c>
      <c r="B1536" s="1">
        <f t="shared" si="118"/>
        <v>12</v>
      </c>
      <c r="C1536">
        <f t="shared" si="120"/>
        <v>3</v>
      </c>
      <c r="D1536" t="str">
        <f t="shared" si="121"/>
        <v>March</v>
      </c>
      <c r="E1536">
        <f t="shared" si="122"/>
        <v>2021</v>
      </c>
      <c r="F1536" t="str">
        <f>CONCATENATE(calendar[[#This Row],[Month]],"/",calendar[[#This Row],[Year]])</f>
        <v>3/2021</v>
      </c>
      <c r="G1536">
        <f>WEEKDAY(calendar[[#This Row],[Date]],1)</f>
        <v>2</v>
      </c>
      <c r="H1536" t="str">
        <f>TEXT(calendar[[#This Row],[WeekDay]],"dddd")</f>
        <v>Monday</v>
      </c>
      <c r="I1536">
        <f>IF((INT(calendar[[#This Row],[Count]]/7)-calendar[[#This Row],[Count]]/7)&lt;0,I1535,I1535+1)</f>
        <v>220</v>
      </c>
      <c r="J1536">
        <f t="shared" si="119"/>
        <v>1534</v>
      </c>
      <c r="K1536">
        <f>IF(calendar[[#This Row],[Month]]&lt;4,1,IF(calendar[[#This Row],[Month]]&lt;7,2,IF(calendar[[#This Row],[Month]]&lt;10,3,4)))</f>
        <v>1</v>
      </c>
      <c r="L1536">
        <f>IFERROR(IF(VLOOKUP(calendar[[#This Row],[Date]],BH!A:A,1,)&lt;&gt;"",1,0),0)</f>
        <v>0</v>
      </c>
      <c r="M1536">
        <f>IFERROR(IF(VLOOKUP(calendar[[#This Row],[Date]],BH!C:C,1,)&lt;&gt;"",1,0),0)</f>
        <v>0</v>
      </c>
      <c r="N1536">
        <f>IFERROR(IF(VLOOKUP(calendar[[#This Row],[Date]],BH!E:E,1,)&lt;&gt;"",1,0),0)</f>
        <v>0</v>
      </c>
      <c r="O1536">
        <f>IFERROR(IF(VLOOKUP(calendar[[#This Row],[Date]],BH!G:G,1,)&lt;&gt;"",1,0),0)</f>
        <v>0</v>
      </c>
      <c r="P1536">
        <f>IF(OR(calendar[[#This Row],[UK_BH]]=1,calendar[[#This Row],[WeekDay]]=1, calendar[[#This Row],[WeekDay]]=7),P1535,P1535+1)</f>
        <v>1096</v>
      </c>
      <c r="Q1536">
        <f>IF(OR(calendar[[#This Row],[FR_BH]]=1,calendar[[#This Row],[WeekDay]]=1, calendar[[#This Row],[WeekDay]]=7),P1535,P1535+1)</f>
        <v>1096</v>
      </c>
      <c r="R1536">
        <f>IF(OR(calendar[[#This Row],[SP_BH]]=1,calendar[[#This Row],[WeekDay]]=1, calendar[[#This Row],[WeekDay]]=7),P1535,P1535+1)</f>
        <v>1096</v>
      </c>
      <c r="S1536">
        <f>IF(OR(calendar[[#This Row],[PT_BH]]=1,calendar[[#This Row],[WeekDay]]=1, calendar[[#This Row],[WeekDay]]=7),P1535,P1535+1)</f>
        <v>1096</v>
      </c>
    </row>
    <row r="1537" spans="1:19" x14ac:dyDescent="0.25">
      <c r="A1537" s="2">
        <v>44271</v>
      </c>
      <c r="B1537" s="1">
        <f t="shared" si="118"/>
        <v>12</v>
      </c>
      <c r="C1537">
        <f t="shared" si="120"/>
        <v>3</v>
      </c>
      <c r="D1537" t="str">
        <f t="shared" si="121"/>
        <v>March</v>
      </c>
      <c r="E1537">
        <f t="shared" si="122"/>
        <v>2021</v>
      </c>
      <c r="F1537" t="str">
        <f>CONCATENATE(calendar[[#This Row],[Month]],"/",calendar[[#This Row],[Year]])</f>
        <v>3/2021</v>
      </c>
      <c r="G1537">
        <f>WEEKDAY(calendar[[#This Row],[Date]],1)</f>
        <v>3</v>
      </c>
      <c r="H1537" t="str">
        <f>TEXT(calendar[[#This Row],[WeekDay]],"dddd")</f>
        <v>Tuesday</v>
      </c>
      <c r="I1537">
        <f>IF((INT(calendar[[#This Row],[Count]]/7)-calendar[[#This Row],[Count]]/7)&lt;0,I1536,I1536+1)</f>
        <v>220</v>
      </c>
      <c r="J1537">
        <f t="shared" si="119"/>
        <v>1535</v>
      </c>
      <c r="K1537">
        <f>IF(calendar[[#This Row],[Month]]&lt;4,1,IF(calendar[[#This Row],[Month]]&lt;7,2,IF(calendar[[#This Row],[Month]]&lt;10,3,4)))</f>
        <v>1</v>
      </c>
      <c r="L1537">
        <f>IFERROR(IF(VLOOKUP(calendar[[#This Row],[Date]],BH!A:A,1,)&lt;&gt;"",1,0),0)</f>
        <v>0</v>
      </c>
      <c r="M1537">
        <f>IFERROR(IF(VLOOKUP(calendar[[#This Row],[Date]],BH!C:C,1,)&lt;&gt;"",1,0),0)</f>
        <v>0</v>
      </c>
      <c r="N1537">
        <f>IFERROR(IF(VLOOKUP(calendar[[#This Row],[Date]],BH!E:E,1,)&lt;&gt;"",1,0),0)</f>
        <v>0</v>
      </c>
      <c r="O1537">
        <f>IFERROR(IF(VLOOKUP(calendar[[#This Row],[Date]],BH!G:G,1,)&lt;&gt;"",1,0),0)</f>
        <v>0</v>
      </c>
      <c r="P1537">
        <f>IF(OR(calendar[[#This Row],[UK_BH]]=1,calendar[[#This Row],[WeekDay]]=1, calendar[[#This Row],[WeekDay]]=7),P1536,P1536+1)</f>
        <v>1097</v>
      </c>
      <c r="Q1537">
        <f>IF(OR(calendar[[#This Row],[FR_BH]]=1,calendar[[#This Row],[WeekDay]]=1, calendar[[#This Row],[WeekDay]]=7),P1536,P1536+1)</f>
        <v>1097</v>
      </c>
      <c r="R1537">
        <f>IF(OR(calendar[[#This Row],[SP_BH]]=1,calendar[[#This Row],[WeekDay]]=1, calendar[[#This Row],[WeekDay]]=7),P1536,P1536+1)</f>
        <v>1097</v>
      </c>
      <c r="S1537">
        <f>IF(OR(calendar[[#This Row],[PT_BH]]=1,calendar[[#This Row],[WeekDay]]=1, calendar[[#This Row],[WeekDay]]=7),P1536,P1536+1)</f>
        <v>1097</v>
      </c>
    </row>
    <row r="1538" spans="1:19" x14ac:dyDescent="0.25">
      <c r="A1538" s="2">
        <v>44272</v>
      </c>
      <c r="B1538" s="1">
        <f t="shared" ref="B1538:B1601" si="123">WEEKNUM(A1538)</f>
        <v>12</v>
      </c>
      <c r="C1538">
        <f t="shared" si="120"/>
        <v>3</v>
      </c>
      <c r="D1538" t="str">
        <f t="shared" si="121"/>
        <v>March</v>
      </c>
      <c r="E1538">
        <f t="shared" si="122"/>
        <v>2021</v>
      </c>
      <c r="F1538" t="str">
        <f>CONCATENATE(calendar[[#This Row],[Month]],"/",calendar[[#This Row],[Year]])</f>
        <v>3/2021</v>
      </c>
      <c r="G1538">
        <f>WEEKDAY(calendar[[#This Row],[Date]],1)</f>
        <v>4</v>
      </c>
      <c r="H1538" t="str">
        <f>TEXT(calendar[[#This Row],[WeekDay]],"dddd")</f>
        <v>Wednesday</v>
      </c>
      <c r="I1538">
        <f>IF((INT(calendar[[#This Row],[Count]]/7)-calendar[[#This Row],[Count]]/7)&lt;0,I1537,I1537+1)</f>
        <v>220</v>
      </c>
      <c r="J1538">
        <f t="shared" si="119"/>
        <v>1536</v>
      </c>
      <c r="K1538">
        <f>IF(calendar[[#This Row],[Month]]&lt;4,1,IF(calendar[[#This Row],[Month]]&lt;7,2,IF(calendar[[#This Row],[Month]]&lt;10,3,4)))</f>
        <v>1</v>
      </c>
      <c r="L1538">
        <f>IFERROR(IF(VLOOKUP(calendar[[#This Row],[Date]],BH!A:A,1,)&lt;&gt;"",1,0),0)</f>
        <v>0</v>
      </c>
      <c r="M1538">
        <f>IFERROR(IF(VLOOKUP(calendar[[#This Row],[Date]],BH!C:C,1,)&lt;&gt;"",1,0),0)</f>
        <v>0</v>
      </c>
      <c r="N1538">
        <f>IFERROR(IF(VLOOKUP(calendar[[#This Row],[Date]],BH!E:E,1,)&lt;&gt;"",1,0),0)</f>
        <v>0</v>
      </c>
      <c r="O1538">
        <f>IFERROR(IF(VLOOKUP(calendar[[#This Row],[Date]],BH!G:G,1,)&lt;&gt;"",1,0),0)</f>
        <v>0</v>
      </c>
      <c r="P1538">
        <f>IF(OR(calendar[[#This Row],[UK_BH]]=1,calendar[[#This Row],[WeekDay]]=1, calendar[[#This Row],[WeekDay]]=7),P1537,P1537+1)</f>
        <v>1098</v>
      </c>
      <c r="Q1538">
        <f>IF(OR(calendar[[#This Row],[FR_BH]]=1,calendar[[#This Row],[WeekDay]]=1, calendar[[#This Row],[WeekDay]]=7),P1537,P1537+1)</f>
        <v>1098</v>
      </c>
      <c r="R1538">
        <f>IF(OR(calendar[[#This Row],[SP_BH]]=1,calendar[[#This Row],[WeekDay]]=1, calendar[[#This Row],[WeekDay]]=7),P1537,P1537+1)</f>
        <v>1098</v>
      </c>
      <c r="S1538">
        <f>IF(OR(calendar[[#This Row],[PT_BH]]=1,calendar[[#This Row],[WeekDay]]=1, calendar[[#This Row],[WeekDay]]=7),P1537,P1537+1)</f>
        <v>1098</v>
      </c>
    </row>
    <row r="1539" spans="1:19" x14ac:dyDescent="0.25">
      <c r="A1539" s="2">
        <v>44273</v>
      </c>
      <c r="B1539" s="1">
        <f t="shared" si="123"/>
        <v>12</v>
      </c>
      <c r="C1539">
        <f t="shared" si="120"/>
        <v>3</v>
      </c>
      <c r="D1539" t="str">
        <f t="shared" si="121"/>
        <v>March</v>
      </c>
      <c r="E1539">
        <f t="shared" si="122"/>
        <v>2021</v>
      </c>
      <c r="F1539" t="str">
        <f>CONCATENATE(calendar[[#This Row],[Month]],"/",calendar[[#This Row],[Year]])</f>
        <v>3/2021</v>
      </c>
      <c r="G1539">
        <f>WEEKDAY(calendar[[#This Row],[Date]],1)</f>
        <v>5</v>
      </c>
      <c r="H1539" t="str">
        <f>TEXT(calendar[[#This Row],[WeekDay]],"dddd")</f>
        <v>Thursday</v>
      </c>
      <c r="I1539">
        <f>IF((INT(calendar[[#This Row],[Count]]/7)-calendar[[#This Row],[Count]]/7)&lt;0,I1538,I1538+1)</f>
        <v>220</v>
      </c>
      <c r="J1539">
        <f t="shared" ref="J1539:J1602" si="124">J1538+1</f>
        <v>1537</v>
      </c>
      <c r="K1539">
        <f>IF(calendar[[#This Row],[Month]]&lt;4,1,IF(calendar[[#This Row],[Month]]&lt;7,2,IF(calendar[[#This Row],[Month]]&lt;10,3,4)))</f>
        <v>1</v>
      </c>
      <c r="L1539">
        <f>IFERROR(IF(VLOOKUP(calendar[[#This Row],[Date]],BH!A:A,1,)&lt;&gt;"",1,0),0)</f>
        <v>0</v>
      </c>
      <c r="M1539">
        <f>IFERROR(IF(VLOOKUP(calendar[[#This Row],[Date]],BH!C:C,1,)&lt;&gt;"",1,0),0)</f>
        <v>0</v>
      </c>
      <c r="N1539">
        <f>IFERROR(IF(VLOOKUP(calendar[[#This Row],[Date]],BH!E:E,1,)&lt;&gt;"",1,0),0)</f>
        <v>0</v>
      </c>
      <c r="O1539">
        <f>IFERROR(IF(VLOOKUP(calendar[[#This Row],[Date]],BH!G:G,1,)&lt;&gt;"",1,0),0)</f>
        <v>0</v>
      </c>
      <c r="P1539">
        <f>IF(OR(calendar[[#This Row],[UK_BH]]=1,calendar[[#This Row],[WeekDay]]=1, calendar[[#This Row],[WeekDay]]=7),P1538,P1538+1)</f>
        <v>1099</v>
      </c>
      <c r="Q1539">
        <f>IF(OR(calendar[[#This Row],[FR_BH]]=1,calendar[[#This Row],[WeekDay]]=1, calendar[[#This Row],[WeekDay]]=7),P1538,P1538+1)</f>
        <v>1099</v>
      </c>
      <c r="R1539">
        <f>IF(OR(calendar[[#This Row],[SP_BH]]=1,calendar[[#This Row],[WeekDay]]=1, calendar[[#This Row],[WeekDay]]=7),P1538,P1538+1)</f>
        <v>1099</v>
      </c>
      <c r="S1539">
        <f>IF(OR(calendar[[#This Row],[PT_BH]]=1,calendar[[#This Row],[WeekDay]]=1, calendar[[#This Row],[WeekDay]]=7),P1538,P1538+1)</f>
        <v>1099</v>
      </c>
    </row>
    <row r="1540" spans="1:19" x14ac:dyDescent="0.25">
      <c r="A1540" s="2">
        <v>44274</v>
      </c>
      <c r="B1540" s="1">
        <f t="shared" si="123"/>
        <v>12</v>
      </c>
      <c r="C1540">
        <f t="shared" si="120"/>
        <v>3</v>
      </c>
      <c r="D1540" t="str">
        <f t="shared" si="121"/>
        <v>March</v>
      </c>
      <c r="E1540">
        <f t="shared" si="122"/>
        <v>2021</v>
      </c>
      <c r="F1540" t="str">
        <f>CONCATENATE(calendar[[#This Row],[Month]],"/",calendar[[#This Row],[Year]])</f>
        <v>3/2021</v>
      </c>
      <c r="G1540">
        <f>WEEKDAY(calendar[[#This Row],[Date]],1)</f>
        <v>6</v>
      </c>
      <c r="H1540" t="str">
        <f>TEXT(calendar[[#This Row],[WeekDay]],"dddd")</f>
        <v>Friday</v>
      </c>
      <c r="I1540">
        <f>IF((INT(calendar[[#This Row],[Count]]/7)-calendar[[#This Row],[Count]]/7)&lt;0,I1539,I1539+1)</f>
        <v>220</v>
      </c>
      <c r="J1540">
        <f t="shared" si="124"/>
        <v>1538</v>
      </c>
      <c r="K1540">
        <f>IF(calendar[[#This Row],[Month]]&lt;4,1,IF(calendar[[#This Row],[Month]]&lt;7,2,IF(calendar[[#This Row],[Month]]&lt;10,3,4)))</f>
        <v>1</v>
      </c>
      <c r="L1540">
        <f>IFERROR(IF(VLOOKUP(calendar[[#This Row],[Date]],BH!A:A,1,)&lt;&gt;"",1,0),0)</f>
        <v>0</v>
      </c>
      <c r="M1540">
        <f>IFERROR(IF(VLOOKUP(calendar[[#This Row],[Date]],BH!C:C,1,)&lt;&gt;"",1,0),0)</f>
        <v>0</v>
      </c>
      <c r="N1540">
        <f>IFERROR(IF(VLOOKUP(calendar[[#This Row],[Date]],BH!E:E,1,)&lt;&gt;"",1,0),0)</f>
        <v>0</v>
      </c>
      <c r="O1540">
        <f>IFERROR(IF(VLOOKUP(calendar[[#This Row],[Date]],BH!G:G,1,)&lt;&gt;"",1,0),0)</f>
        <v>0</v>
      </c>
      <c r="P1540">
        <f>IF(OR(calendar[[#This Row],[UK_BH]]=1,calendar[[#This Row],[WeekDay]]=1, calendar[[#This Row],[WeekDay]]=7),P1539,P1539+1)</f>
        <v>1100</v>
      </c>
      <c r="Q1540">
        <f>IF(OR(calendar[[#This Row],[FR_BH]]=1,calendar[[#This Row],[WeekDay]]=1, calendar[[#This Row],[WeekDay]]=7),P1539,P1539+1)</f>
        <v>1100</v>
      </c>
      <c r="R1540">
        <f>IF(OR(calendar[[#This Row],[SP_BH]]=1,calendar[[#This Row],[WeekDay]]=1, calendar[[#This Row],[WeekDay]]=7),P1539,P1539+1)</f>
        <v>1100</v>
      </c>
      <c r="S1540">
        <f>IF(OR(calendar[[#This Row],[PT_BH]]=1,calendar[[#This Row],[WeekDay]]=1, calendar[[#This Row],[WeekDay]]=7),P1539,P1539+1)</f>
        <v>1100</v>
      </c>
    </row>
    <row r="1541" spans="1:19" x14ac:dyDescent="0.25">
      <c r="A1541" s="2">
        <v>44275</v>
      </c>
      <c r="B1541" s="1">
        <f t="shared" si="123"/>
        <v>12</v>
      </c>
      <c r="C1541">
        <f t="shared" si="120"/>
        <v>3</v>
      </c>
      <c r="D1541" t="str">
        <f t="shared" si="121"/>
        <v>March</v>
      </c>
      <c r="E1541">
        <f t="shared" si="122"/>
        <v>2021</v>
      </c>
      <c r="F1541" t="str">
        <f>CONCATENATE(calendar[[#This Row],[Month]],"/",calendar[[#This Row],[Year]])</f>
        <v>3/2021</v>
      </c>
      <c r="G1541">
        <f>WEEKDAY(calendar[[#This Row],[Date]],1)</f>
        <v>7</v>
      </c>
      <c r="H1541" t="str">
        <f>TEXT(calendar[[#This Row],[WeekDay]],"dddd")</f>
        <v>Saturday</v>
      </c>
      <c r="I1541">
        <f>IF((INT(calendar[[#This Row],[Count]]/7)-calendar[[#This Row],[Count]]/7)&lt;0,I1540,I1540+1)</f>
        <v>220</v>
      </c>
      <c r="J1541">
        <f t="shared" si="124"/>
        <v>1539</v>
      </c>
      <c r="K1541">
        <f>IF(calendar[[#This Row],[Month]]&lt;4,1,IF(calendar[[#This Row],[Month]]&lt;7,2,IF(calendar[[#This Row],[Month]]&lt;10,3,4)))</f>
        <v>1</v>
      </c>
      <c r="L1541">
        <f>IFERROR(IF(VLOOKUP(calendar[[#This Row],[Date]],BH!A:A,1,)&lt;&gt;"",1,0),0)</f>
        <v>0</v>
      </c>
      <c r="M1541">
        <f>IFERROR(IF(VLOOKUP(calendar[[#This Row],[Date]],BH!C:C,1,)&lt;&gt;"",1,0),0)</f>
        <v>0</v>
      </c>
      <c r="N1541">
        <f>IFERROR(IF(VLOOKUP(calendar[[#This Row],[Date]],BH!E:E,1,)&lt;&gt;"",1,0),0)</f>
        <v>0</v>
      </c>
      <c r="O1541">
        <f>IFERROR(IF(VLOOKUP(calendar[[#This Row],[Date]],BH!G:G,1,)&lt;&gt;"",1,0),0)</f>
        <v>0</v>
      </c>
      <c r="P1541">
        <f>IF(OR(calendar[[#This Row],[UK_BH]]=1,calendar[[#This Row],[WeekDay]]=1, calendar[[#This Row],[WeekDay]]=7),P1540,P1540+1)</f>
        <v>1100</v>
      </c>
      <c r="Q1541">
        <f>IF(OR(calendar[[#This Row],[FR_BH]]=1,calendar[[#This Row],[WeekDay]]=1, calendar[[#This Row],[WeekDay]]=7),P1540,P1540+1)</f>
        <v>1100</v>
      </c>
      <c r="R1541">
        <f>IF(OR(calendar[[#This Row],[SP_BH]]=1,calendar[[#This Row],[WeekDay]]=1, calendar[[#This Row],[WeekDay]]=7),P1540,P1540+1)</f>
        <v>1100</v>
      </c>
      <c r="S1541">
        <f>IF(OR(calendar[[#This Row],[PT_BH]]=1,calendar[[#This Row],[WeekDay]]=1, calendar[[#This Row],[WeekDay]]=7),P1540,P1540+1)</f>
        <v>1100</v>
      </c>
    </row>
    <row r="1542" spans="1:19" x14ac:dyDescent="0.25">
      <c r="A1542" s="2">
        <v>44276</v>
      </c>
      <c r="B1542" s="1">
        <f t="shared" si="123"/>
        <v>13</v>
      </c>
      <c r="C1542">
        <f t="shared" si="120"/>
        <v>3</v>
      </c>
      <c r="D1542" t="str">
        <f t="shared" si="121"/>
        <v>March</v>
      </c>
      <c r="E1542">
        <f t="shared" si="122"/>
        <v>2021</v>
      </c>
      <c r="F1542" t="str">
        <f>CONCATENATE(calendar[[#This Row],[Month]],"/",calendar[[#This Row],[Year]])</f>
        <v>3/2021</v>
      </c>
      <c r="G1542">
        <f>WEEKDAY(calendar[[#This Row],[Date]],1)</f>
        <v>1</v>
      </c>
      <c r="H1542" t="str">
        <f>TEXT(calendar[[#This Row],[WeekDay]],"dddd")</f>
        <v>Sunday</v>
      </c>
      <c r="I1542">
        <f>IF((INT(calendar[[#This Row],[Count]]/7)-calendar[[#This Row],[Count]]/7)&lt;0,I1541,I1541+1)</f>
        <v>221</v>
      </c>
      <c r="J1542">
        <f t="shared" si="124"/>
        <v>1540</v>
      </c>
      <c r="K1542">
        <f>IF(calendar[[#This Row],[Month]]&lt;4,1,IF(calendar[[#This Row],[Month]]&lt;7,2,IF(calendar[[#This Row],[Month]]&lt;10,3,4)))</f>
        <v>1</v>
      </c>
      <c r="L1542">
        <f>IFERROR(IF(VLOOKUP(calendar[[#This Row],[Date]],BH!A:A,1,)&lt;&gt;"",1,0),0)</f>
        <v>0</v>
      </c>
      <c r="M1542">
        <f>IFERROR(IF(VLOOKUP(calendar[[#This Row],[Date]],BH!C:C,1,)&lt;&gt;"",1,0),0)</f>
        <v>0</v>
      </c>
      <c r="N1542">
        <f>IFERROR(IF(VLOOKUP(calendar[[#This Row],[Date]],BH!E:E,1,)&lt;&gt;"",1,0),0)</f>
        <v>0</v>
      </c>
      <c r="O1542">
        <f>IFERROR(IF(VLOOKUP(calendar[[#This Row],[Date]],BH!G:G,1,)&lt;&gt;"",1,0),0)</f>
        <v>0</v>
      </c>
      <c r="P1542">
        <f>IF(OR(calendar[[#This Row],[UK_BH]]=1,calendar[[#This Row],[WeekDay]]=1, calendar[[#This Row],[WeekDay]]=7),P1541,P1541+1)</f>
        <v>1100</v>
      </c>
      <c r="Q1542">
        <f>IF(OR(calendar[[#This Row],[FR_BH]]=1,calendar[[#This Row],[WeekDay]]=1, calendar[[#This Row],[WeekDay]]=7),P1541,P1541+1)</f>
        <v>1100</v>
      </c>
      <c r="R1542">
        <f>IF(OR(calendar[[#This Row],[SP_BH]]=1,calendar[[#This Row],[WeekDay]]=1, calendar[[#This Row],[WeekDay]]=7),P1541,P1541+1)</f>
        <v>1100</v>
      </c>
      <c r="S1542">
        <f>IF(OR(calendar[[#This Row],[PT_BH]]=1,calendar[[#This Row],[WeekDay]]=1, calendar[[#This Row],[WeekDay]]=7),P1541,P1541+1)</f>
        <v>1100</v>
      </c>
    </row>
    <row r="1543" spans="1:19" x14ac:dyDescent="0.25">
      <c r="A1543" s="2">
        <v>44277</v>
      </c>
      <c r="B1543" s="1">
        <f t="shared" si="123"/>
        <v>13</v>
      </c>
      <c r="C1543">
        <f t="shared" si="120"/>
        <v>3</v>
      </c>
      <c r="D1543" t="str">
        <f t="shared" si="121"/>
        <v>March</v>
      </c>
      <c r="E1543">
        <f t="shared" si="122"/>
        <v>2021</v>
      </c>
      <c r="F1543" t="str">
        <f>CONCATENATE(calendar[[#This Row],[Month]],"/",calendar[[#This Row],[Year]])</f>
        <v>3/2021</v>
      </c>
      <c r="G1543">
        <f>WEEKDAY(calendar[[#This Row],[Date]],1)</f>
        <v>2</v>
      </c>
      <c r="H1543" t="str">
        <f>TEXT(calendar[[#This Row],[WeekDay]],"dddd")</f>
        <v>Monday</v>
      </c>
      <c r="I1543">
        <f>IF((INT(calendar[[#This Row],[Count]]/7)-calendar[[#This Row],[Count]]/7)&lt;0,I1542,I1542+1)</f>
        <v>221</v>
      </c>
      <c r="J1543">
        <f t="shared" si="124"/>
        <v>1541</v>
      </c>
      <c r="K1543">
        <f>IF(calendar[[#This Row],[Month]]&lt;4,1,IF(calendar[[#This Row],[Month]]&lt;7,2,IF(calendar[[#This Row],[Month]]&lt;10,3,4)))</f>
        <v>1</v>
      </c>
      <c r="L1543">
        <f>IFERROR(IF(VLOOKUP(calendar[[#This Row],[Date]],BH!A:A,1,)&lt;&gt;"",1,0),0)</f>
        <v>0</v>
      </c>
      <c r="M1543">
        <f>IFERROR(IF(VLOOKUP(calendar[[#This Row],[Date]],BH!C:C,1,)&lt;&gt;"",1,0),0)</f>
        <v>0</v>
      </c>
      <c r="N1543">
        <f>IFERROR(IF(VLOOKUP(calendar[[#This Row],[Date]],BH!E:E,1,)&lt;&gt;"",1,0),0)</f>
        <v>0</v>
      </c>
      <c r="O1543">
        <f>IFERROR(IF(VLOOKUP(calendar[[#This Row],[Date]],BH!G:G,1,)&lt;&gt;"",1,0),0)</f>
        <v>0</v>
      </c>
      <c r="P1543">
        <f>IF(OR(calendar[[#This Row],[UK_BH]]=1,calendar[[#This Row],[WeekDay]]=1, calendar[[#This Row],[WeekDay]]=7),P1542,P1542+1)</f>
        <v>1101</v>
      </c>
      <c r="Q1543">
        <f>IF(OR(calendar[[#This Row],[FR_BH]]=1,calendar[[#This Row],[WeekDay]]=1, calendar[[#This Row],[WeekDay]]=7),P1542,P1542+1)</f>
        <v>1101</v>
      </c>
      <c r="R1543">
        <f>IF(OR(calendar[[#This Row],[SP_BH]]=1,calendar[[#This Row],[WeekDay]]=1, calendar[[#This Row],[WeekDay]]=7),P1542,P1542+1)</f>
        <v>1101</v>
      </c>
      <c r="S1543">
        <f>IF(OR(calendar[[#This Row],[PT_BH]]=1,calendar[[#This Row],[WeekDay]]=1, calendar[[#This Row],[WeekDay]]=7),P1542,P1542+1)</f>
        <v>1101</v>
      </c>
    </row>
    <row r="1544" spans="1:19" x14ac:dyDescent="0.25">
      <c r="A1544" s="2">
        <v>44278</v>
      </c>
      <c r="B1544" s="1">
        <f t="shared" si="123"/>
        <v>13</v>
      </c>
      <c r="C1544">
        <f t="shared" si="120"/>
        <v>3</v>
      </c>
      <c r="D1544" t="str">
        <f t="shared" si="121"/>
        <v>March</v>
      </c>
      <c r="E1544">
        <f t="shared" si="122"/>
        <v>2021</v>
      </c>
      <c r="F1544" t="str">
        <f>CONCATENATE(calendar[[#This Row],[Month]],"/",calendar[[#This Row],[Year]])</f>
        <v>3/2021</v>
      </c>
      <c r="G1544">
        <f>WEEKDAY(calendar[[#This Row],[Date]],1)</f>
        <v>3</v>
      </c>
      <c r="H1544" t="str">
        <f>TEXT(calendar[[#This Row],[WeekDay]],"dddd")</f>
        <v>Tuesday</v>
      </c>
      <c r="I1544">
        <f>IF((INT(calendar[[#This Row],[Count]]/7)-calendar[[#This Row],[Count]]/7)&lt;0,I1543,I1543+1)</f>
        <v>221</v>
      </c>
      <c r="J1544">
        <f t="shared" si="124"/>
        <v>1542</v>
      </c>
      <c r="K1544">
        <f>IF(calendar[[#This Row],[Month]]&lt;4,1,IF(calendar[[#This Row],[Month]]&lt;7,2,IF(calendar[[#This Row],[Month]]&lt;10,3,4)))</f>
        <v>1</v>
      </c>
      <c r="L1544">
        <f>IFERROR(IF(VLOOKUP(calendar[[#This Row],[Date]],BH!A:A,1,)&lt;&gt;"",1,0),0)</f>
        <v>0</v>
      </c>
      <c r="M1544">
        <f>IFERROR(IF(VLOOKUP(calendar[[#This Row],[Date]],BH!C:C,1,)&lt;&gt;"",1,0),0)</f>
        <v>0</v>
      </c>
      <c r="N1544">
        <f>IFERROR(IF(VLOOKUP(calendar[[#This Row],[Date]],BH!E:E,1,)&lt;&gt;"",1,0),0)</f>
        <v>0</v>
      </c>
      <c r="O1544">
        <f>IFERROR(IF(VLOOKUP(calendar[[#This Row],[Date]],BH!G:G,1,)&lt;&gt;"",1,0),0)</f>
        <v>0</v>
      </c>
      <c r="P1544">
        <f>IF(OR(calendar[[#This Row],[UK_BH]]=1,calendar[[#This Row],[WeekDay]]=1, calendar[[#This Row],[WeekDay]]=7),P1543,P1543+1)</f>
        <v>1102</v>
      </c>
      <c r="Q1544">
        <f>IF(OR(calendar[[#This Row],[FR_BH]]=1,calendar[[#This Row],[WeekDay]]=1, calendar[[#This Row],[WeekDay]]=7),P1543,P1543+1)</f>
        <v>1102</v>
      </c>
      <c r="R1544">
        <f>IF(OR(calendar[[#This Row],[SP_BH]]=1,calendar[[#This Row],[WeekDay]]=1, calendar[[#This Row],[WeekDay]]=7),P1543,P1543+1)</f>
        <v>1102</v>
      </c>
      <c r="S1544">
        <f>IF(OR(calendar[[#This Row],[PT_BH]]=1,calendar[[#This Row],[WeekDay]]=1, calendar[[#This Row],[WeekDay]]=7),P1543,P1543+1)</f>
        <v>1102</v>
      </c>
    </row>
    <row r="1545" spans="1:19" x14ac:dyDescent="0.25">
      <c r="A1545" s="2">
        <v>44279</v>
      </c>
      <c r="B1545" s="1">
        <f t="shared" si="123"/>
        <v>13</v>
      </c>
      <c r="C1545">
        <f t="shared" si="120"/>
        <v>3</v>
      </c>
      <c r="D1545" t="str">
        <f t="shared" si="121"/>
        <v>March</v>
      </c>
      <c r="E1545">
        <f t="shared" si="122"/>
        <v>2021</v>
      </c>
      <c r="F1545" t="str">
        <f>CONCATENATE(calendar[[#This Row],[Month]],"/",calendar[[#This Row],[Year]])</f>
        <v>3/2021</v>
      </c>
      <c r="G1545">
        <f>WEEKDAY(calendar[[#This Row],[Date]],1)</f>
        <v>4</v>
      </c>
      <c r="H1545" t="str">
        <f>TEXT(calendar[[#This Row],[WeekDay]],"dddd")</f>
        <v>Wednesday</v>
      </c>
      <c r="I1545">
        <f>IF((INT(calendar[[#This Row],[Count]]/7)-calendar[[#This Row],[Count]]/7)&lt;0,I1544,I1544+1)</f>
        <v>221</v>
      </c>
      <c r="J1545">
        <f t="shared" si="124"/>
        <v>1543</v>
      </c>
      <c r="K1545">
        <f>IF(calendar[[#This Row],[Month]]&lt;4,1,IF(calendar[[#This Row],[Month]]&lt;7,2,IF(calendar[[#This Row],[Month]]&lt;10,3,4)))</f>
        <v>1</v>
      </c>
      <c r="L1545">
        <f>IFERROR(IF(VLOOKUP(calendar[[#This Row],[Date]],BH!A:A,1,)&lt;&gt;"",1,0),0)</f>
        <v>0</v>
      </c>
      <c r="M1545">
        <f>IFERROR(IF(VLOOKUP(calendar[[#This Row],[Date]],BH!C:C,1,)&lt;&gt;"",1,0),0)</f>
        <v>0</v>
      </c>
      <c r="N1545">
        <f>IFERROR(IF(VLOOKUP(calendar[[#This Row],[Date]],BH!E:E,1,)&lt;&gt;"",1,0),0)</f>
        <v>0</v>
      </c>
      <c r="O1545">
        <f>IFERROR(IF(VLOOKUP(calendar[[#This Row],[Date]],BH!G:G,1,)&lt;&gt;"",1,0),0)</f>
        <v>0</v>
      </c>
      <c r="P1545">
        <f>IF(OR(calendar[[#This Row],[UK_BH]]=1,calendar[[#This Row],[WeekDay]]=1, calendar[[#This Row],[WeekDay]]=7),P1544,P1544+1)</f>
        <v>1103</v>
      </c>
      <c r="Q1545">
        <f>IF(OR(calendar[[#This Row],[FR_BH]]=1,calendar[[#This Row],[WeekDay]]=1, calendar[[#This Row],[WeekDay]]=7),P1544,P1544+1)</f>
        <v>1103</v>
      </c>
      <c r="R1545">
        <f>IF(OR(calendar[[#This Row],[SP_BH]]=1,calendar[[#This Row],[WeekDay]]=1, calendar[[#This Row],[WeekDay]]=7),P1544,P1544+1)</f>
        <v>1103</v>
      </c>
      <c r="S1545">
        <f>IF(OR(calendar[[#This Row],[PT_BH]]=1,calendar[[#This Row],[WeekDay]]=1, calendar[[#This Row],[WeekDay]]=7),P1544,P1544+1)</f>
        <v>1103</v>
      </c>
    </row>
    <row r="1546" spans="1:19" x14ac:dyDescent="0.25">
      <c r="A1546" s="2">
        <v>44280</v>
      </c>
      <c r="B1546" s="1">
        <f t="shared" si="123"/>
        <v>13</v>
      </c>
      <c r="C1546">
        <f t="shared" si="120"/>
        <v>3</v>
      </c>
      <c r="D1546" t="str">
        <f t="shared" si="121"/>
        <v>March</v>
      </c>
      <c r="E1546">
        <f t="shared" si="122"/>
        <v>2021</v>
      </c>
      <c r="F1546" t="str">
        <f>CONCATENATE(calendar[[#This Row],[Month]],"/",calendar[[#This Row],[Year]])</f>
        <v>3/2021</v>
      </c>
      <c r="G1546">
        <f>WEEKDAY(calendar[[#This Row],[Date]],1)</f>
        <v>5</v>
      </c>
      <c r="H1546" t="str">
        <f>TEXT(calendar[[#This Row],[WeekDay]],"dddd")</f>
        <v>Thursday</v>
      </c>
      <c r="I1546">
        <f>IF((INT(calendar[[#This Row],[Count]]/7)-calendar[[#This Row],[Count]]/7)&lt;0,I1545,I1545+1)</f>
        <v>221</v>
      </c>
      <c r="J1546">
        <f t="shared" si="124"/>
        <v>1544</v>
      </c>
      <c r="K1546">
        <f>IF(calendar[[#This Row],[Month]]&lt;4,1,IF(calendar[[#This Row],[Month]]&lt;7,2,IF(calendar[[#This Row],[Month]]&lt;10,3,4)))</f>
        <v>1</v>
      </c>
      <c r="L1546">
        <f>IFERROR(IF(VLOOKUP(calendar[[#This Row],[Date]],BH!A:A,1,)&lt;&gt;"",1,0),0)</f>
        <v>0</v>
      </c>
      <c r="M1546">
        <f>IFERROR(IF(VLOOKUP(calendar[[#This Row],[Date]],BH!C:C,1,)&lt;&gt;"",1,0),0)</f>
        <v>0</v>
      </c>
      <c r="N1546">
        <f>IFERROR(IF(VLOOKUP(calendar[[#This Row],[Date]],BH!E:E,1,)&lt;&gt;"",1,0),0)</f>
        <v>0</v>
      </c>
      <c r="O1546">
        <f>IFERROR(IF(VLOOKUP(calendar[[#This Row],[Date]],BH!G:G,1,)&lt;&gt;"",1,0),0)</f>
        <v>0</v>
      </c>
      <c r="P1546">
        <f>IF(OR(calendar[[#This Row],[UK_BH]]=1,calendar[[#This Row],[WeekDay]]=1, calendar[[#This Row],[WeekDay]]=7),P1545,P1545+1)</f>
        <v>1104</v>
      </c>
      <c r="Q1546">
        <f>IF(OR(calendar[[#This Row],[FR_BH]]=1,calendar[[#This Row],[WeekDay]]=1, calendar[[#This Row],[WeekDay]]=7),P1545,P1545+1)</f>
        <v>1104</v>
      </c>
      <c r="R1546">
        <f>IF(OR(calendar[[#This Row],[SP_BH]]=1,calendar[[#This Row],[WeekDay]]=1, calendar[[#This Row],[WeekDay]]=7),P1545,P1545+1)</f>
        <v>1104</v>
      </c>
      <c r="S1546">
        <f>IF(OR(calendar[[#This Row],[PT_BH]]=1,calendar[[#This Row],[WeekDay]]=1, calendar[[#This Row],[WeekDay]]=7),P1545,P1545+1)</f>
        <v>1104</v>
      </c>
    </row>
    <row r="1547" spans="1:19" x14ac:dyDescent="0.25">
      <c r="A1547" s="2">
        <v>44281</v>
      </c>
      <c r="B1547" s="1">
        <f t="shared" si="123"/>
        <v>13</v>
      </c>
      <c r="C1547">
        <f t="shared" si="120"/>
        <v>3</v>
      </c>
      <c r="D1547" t="str">
        <f t="shared" si="121"/>
        <v>March</v>
      </c>
      <c r="E1547">
        <f t="shared" si="122"/>
        <v>2021</v>
      </c>
      <c r="F1547" t="str">
        <f>CONCATENATE(calendar[[#This Row],[Month]],"/",calendar[[#This Row],[Year]])</f>
        <v>3/2021</v>
      </c>
      <c r="G1547">
        <f>WEEKDAY(calendar[[#This Row],[Date]],1)</f>
        <v>6</v>
      </c>
      <c r="H1547" t="str">
        <f>TEXT(calendar[[#This Row],[WeekDay]],"dddd")</f>
        <v>Friday</v>
      </c>
      <c r="I1547">
        <f>IF((INT(calendar[[#This Row],[Count]]/7)-calendar[[#This Row],[Count]]/7)&lt;0,I1546,I1546+1)</f>
        <v>221</v>
      </c>
      <c r="J1547">
        <f t="shared" si="124"/>
        <v>1545</v>
      </c>
      <c r="K1547">
        <f>IF(calendar[[#This Row],[Month]]&lt;4,1,IF(calendar[[#This Row],[Month]]&lt;7,2,IF(calendar[[#This Row],[Month]]&lt;10,3,4)))</f>
        <v>1</v>
      </c>
      <c r="L1547">
        <f>IFERROR(IF(VLOOKUP(calendar[[#This Row],[Date]],BH!A:A,1,)&lt;&gt;"",1,0),0)</f>
        <v>0</v>
      </c>
      <c r="M1547">
        <f>IFERROR(IF(VLOOKUP(calendar[[#This Row],[Date]],BH!C:C,1,)&lt;&gt;"",1,0),0)</f>
        <v>0</v>
      </c>
      <c r="N1547">
        <f>IFERROR(IF(VLOOKUP(calendar[[#This Row],[Date]],BH!E:E,1,)&lt;&gt;"",1,0),0)</f>
        <v>0</v>
      </c>
      <c r="O1547">
        <f>IFERROR(IF(VLOOKUP(calendar[[#This Row],[Date]],BH!G:G,1,)&lt;&gt;"",1,0),0)</f>
        <v>0</v>
      </c>
      <c r="P1547">
        <f>IF(OR(calendar[[#This Row],[UK_BH]]=1,calendar[[#This Row],[WeekDay]]=1, calendar[[#This Row],[WeekDay]]=7),P1546,P1546+1)</f>
        <v>1105</v>
      </c>
      <c r="Q1547">
        <f>IF(OR(calendar[[#This Row],[FR_BH]]=1,calendar[[#This Row],[WeekDay]]=1, calendar[[#This Row],[WeekDay]]=7),P1546,P1546+1)</f>
        <v>1105</v>
      </c>
      <c r="R1547">
        <f>IF(OR(calendar[[#This Row],[SP_BH]]=1,calendar[[#This Row],[WeekDay]]=1, calendar[[#This Row],[WeekDay]]=7),P1546,P1546+1)</f>
        <v>1105</v>
      </c>
      <c r="S1547">
        <f>IF(OR(calendar[[#This Row],[PT_BH]]=1,calendar[[#This Row],[WeekDay]]=1, calendar[[#This Row],[WeekDay]]=7),P1546,P1546+1)</f>
        <v>1105</v>
      </c>
    </row>
    <row r="1548" spans="1:19" x14ac:dyDescent="0.25">
      <c r="A1548" s="2">
        <v>44282</v>
      </c>
      <c r="B1548" s="1">
        <f t="shared" si="123"/>
        <v>13</v>
      </c>
      <c r="C1548">
        <f t="shared" si="120"/>
        <v>3</v>
      </c>
      <c r="D1548" t="str">
        <f t="shared" si="121"/>
        <v>March</v>
      </c>
      <c r="E1548">
        <f t="shared" si="122"/>
        <v>2021</v>
      </c>
      <c r="F1548" t="str">
        <f>CONCATENATE(calendar[[#This Row],[Month]],"/",calendar[[#This Row],[Year]])</f>
        <v>3/2021</v>
      </c>
      <c r="G1548">
        <f>WEEKDAY(calendar[[#This Row],[Date]],1)</f>
        <v>7</v>
      </c>
      <c r="H1548" t="str">
        <f>TEXT(calendar[[#This Row],[WeekDay]],"dddd")</f>
        <v>Saturday</v>
      </c>
      <c r="I1548">
        <f>IF((INT(calendar[[#This Row],[Count]]/7)-calendar[[#This Row],[Count]]/7)&lt;0,I1547,I1547+1)</f>
        <v>221</v>
      </c>
      <c r="J1548">
        <f t="shared" si="124"/>
        <v>1546</v>
      </c>
      <c r="K1548">
        <f>IF(calendar[[#This Row],[Month]]&lt;4,1,IF(calendar[[#This Row],[Month]]&lt;7,2,IF(calendar[[#This Row],[Month]]&lt;10,3,4)))</f>
        <v>1</v>
      </c>
      <c r="L1548">
        <f>IFERROR(IF(VLOOKUP(calendar[[#This Row],[Date]],BH!A:A,1,)&lt;&gt;"",1,0),0)</f>
        <v>0</v>
      </c>
      <c r="M1548">
        <f>IFERROR(IF(VLOOKUP(calendar[[#This Row],[Date]],BH!C:C,1,)&lt;&gt;"",1,0),0)</f>
        <v>0</v>
      </c>
      <c r="N1548">
        <f>IFERROR(IF(VLOOKUP(calendar[[#This Row],[Date]],BH!E:E,1,)&lt;&gt;"",1,0),0)</f>
        <v>0</v>
      </c>
      <c r="O1548">
        <f>IFERROR(IF(VLOOKUP(calendar[[#This Row],[Date]],BH!G:G,1,)&lt;&gt;"",1,0),0)</f>
        <v>0</v>
      </c>
      <c r="P1548">
        <f>IF(OR(calendar[[#This Row],[UK_BH]]=1,calendar[[#This Row],[WeekDay]]=1, calendar[[#This Row],[WeekDay]]=7),P1547,P1547+1)</f>
        <v>1105</v>
      </c>
      <c r="Q1548">
        <f>IF(OR(calendar[[#This Row],[FR_BH]]=1,calendar[[#This Row],[WeekDay]]=1, calendar[[#This Row],[WeekDay]]=7),P1547,P1547+1)</f>
        <v>1105</v>
      </c>
      <c r="R1548">
        <f>IF(OR(calendar[[#This Row],[SP_BH]]=1,calendar[[#This Row],[WeekDay]]=1, calendar[[#This Row],[WeekDay]]=7),P1547,P1547+1)</f>
        <v>1105</v>
      </c>
      <c r="S1548">
        <f>IF(OR(calendar[[#This Row],[PT_BH]]=1,calendar[[#This Row],[WeekDay]]=1, calendar[[#This Row],[WeekDay]]=7),P1547,P1547+1)</f>
        <v>1105</v>
      </c>
    </row>
    <row r="1549" spans="1:19" x14ac:dyDescent="0.25">
      <c r="A1549" s="2">
        <v>44283</v>
      </c>
      <c r="B1549" s="1">
        <f t="shared" si="123"/>
        <v>14</v>
      </c>
      <c r="C1549">
        <f t="shared" si="120"/>
        <v>3</v>
      </c>
      <c r="D1549" t="str">
        <f t="shared" si="121"/>
        <v>March</v>
      </c>
      <c r="E1549">
        <f t="shared" si="122"/>
        <v>2021</v>
      </c>
      <c r="F1549" t="str">
        <f>CONCATENATE(calendar[[#This Row],[Month]],"/",calendar[[#This Row],[Year]])</f>
        <v>3/2021</v>
      </c>
      <c r="G1549">
        <f>WEEKDAY(calendar[[#This Row],[Date]],1)</f>
        <v>1</v>
      </c>
      <c r="H1549" t="str">
        <f>TEXT(calendar[[#This Row],[WeekDay]],"dddd")</f>
        <v>Sunday</v>
      </c>
      <c r="I1549">
        <f>IF((INT(calendar[[#This Row],[Count]]/7)-calendar[[#This Row],[Count]]/7)&lt;0,I1548,I1548+1)</f>
        <v>222</v>
      </c>
      <c r="J1549">
        <f t="shared" si="124"/>
        <v>1547</v>
      </c>
      <c r="K1549">
        <f>IF(calendar[[#This Row],[Month]]&lt;4,1,IF(calendar[[#This Row],[Month]]&lt;7,2,IF(calendar[[#This Row],[Month]]&lt;10,3,4)))</f>
        <v>1</v>
      </c>
      <c r="L1549">
        <f>IFERROR(IF(VLOOKUP(calendar[[#This Row],[Date]],BH!A:A,1,)&lt;&gt;"",1,0),0)</f>
        <v>0</v>
      </c>
      <c r="M1549">
        <f>IFERROR(IF(VLOOKUP(calendar[[#This Row],[Date]],BH!C:C,1,)&lt;&gt;"",1,0),0)</f>
        <v>0</v>
      </c>
      <c r="N1549">
        <f>IFERROR(IF(VLOOKUP(calendar[[#This Row],[Date]],BH!E:E,1,)&lt;&gt;"",1,0),0)</f>
        <v>0</v>
      </c>
      <c r="O1549">
        <f>IFERROR(IF(VLOOKUP(calendar[[#This Row],[Date]],BH!G:G,1,)&lt;&gt;"",1,0),0)</f>
        <v>0</v>
      </c>
      <c r="P1549">
        <f>IF(OR(calendar[[#This Row],[UK_BH]]=1,calendar[[#This Row],[WeekDay]]=1, calendar[[#This Row],[WeekDay]]=7),P1548,P1548+1)</f>
        <v>1105</v>
      </c>
      <c r="Q1549">
        <f>IF(OR(calendar[[#This Row],[FR_BH]]=1,calendar[[#This Row],[WeekDay]]=1, calendar[[#This Row],[WeekDay]]=7),P1548,P1548+1)</f>
        <v>1105</v>
      </c>
      <c r="R1549">
        <f>IF(OR(calendar[[#This Row],[SP_BH]]=1,calendar[[#This Row],[WeekDay]]=1, calendar[[#This Row],[WeekDay]]=7),P1548,P1548+1)</f>
        <v>1105</v>
      </c>
      <c r="S1549">
        <f>IF(OR(calendar[[#This Row],[PT_BH]]=1,calendar[[#This Row],[WeekDay]]=1, calendar[[#This Row],[WeekDay]]=7),P1548,P1548+1)</f>
        <v>1105</v>
      </c>
    </row>
    <row r="1550" spans="1:19" x14ac:dyDescent="0.25">
      <c r="A1550" s="2">
        <v>44284</v>
      </c>
      <c r="B1550" s="1">
        <f t="shared" si="123"/>
        <v>14</v>
      </c>
      <c r="C1550">
        <f t="shared" si="120"/>
        <v>3</v>
      </c>
      <c r="D1550" t="str">
        <f t="shared" si="121"/>
        <v>March</v>
      </c>
      <c r="E1550">
        <f t="shared" si="122"/>
        <v>2021</v>
      </c>
      <c r="F1550" t="str">
        <f>CONCATENATE(calendar[[#This Row],[Month]],"/",calendar[[#This Row],[Year]])</f>
        <v>3/2021</v>
      </c>
      <c r="G1550">
        <f>WEEKDAY(calendar[[#This Row],[Date]],1)</f>
        <v>2</v>
      </c>
      <c r="H1550" t="str">
        <f>TEXT(calendar[[#This Row],[WeekDay]],"dddd")</f>
        <v>Monday</v>
      </c>
      <c r="I1550">
        <f>IF((INT(calendar[[#This Row],[Count]]/7)-calendar[[#This Row],[Count]]/7)&lt;0,I1549,I1549+1)</f>
        <v>222</v>
      </c>
      <c r="J1550">
        <f t="shared" si="124"/>
        <v>1548</v>
      </c>
      <c r="K1550">
        <f>IF(calendar[[#This Row],[Month]]&lt;4,1,IF(calendar[[#This Row],[Month]]&lt;7,2,IF(calendar[[#This Row],[Month]]&lt;10,3,4)))</f>
        <v>1</v>
      </c>
      <c r="L1550">
        <f>IFERROR(IF(VLOOKUP(calendar[[#This Row],[Date]],BH!A:A,1,)&lt;&gt;"",1,0),0)</f>
        <v>0</v>
      </c>
      <c r="M1550">
        <f>IFERROR(IF(VLOOKUP(calendar[[#This Row],[Date]],BH!C:C,1,)&lt;&gt;"",1,0),0)</f>
        <v>0</v>
      </c>
      <c r="N1550">
        <f>IFERROR(IF(VLOOKUP(calendar[[#This Row],[Date]],BH!E:E,1,)&lt;&gt;"",1,0),0)</f>
        <v>0</v>
      </c>
      <c r="O1550">
        <f>IFERROR(IF(VLOOKUP(calendar[[#This Row],[Date]],BH!G:G,1,)&lt;&gt;"",1,0),0)</f>
        <v>0</v>
      </c>
      <c r="P1550">
        <f>IF(OR(calendar[[#This Row],[UK_BH]]=1,calendar[[#This Row],[WeekDay]]=1, calendar[[#This Row],[WeekDay]]=7),P1549,P1549+1)</f>
        <v>1106</v>
      </c>
      <c r="Q1550">
        <f>IF(OR(calendar[[#This Row],[FR_BH]]=1,calendar[[#This Row],[WeekDay]]=1, calendar[[#This Row],[WeekDay]]=7),P1549,P1549+1)</f>
        <v>1106</v>
      </c>
      <c r="R1550">
        <f>IF(OR(calendar[[#This Row],[SP_BH]]=1,calendar[[#This Row],[WeekDay]]=1, calendar[[#This Row],[WeekDay]]=7),P1549,P1549+1)</f>
        <v>1106</v>
      </c>
      <c r="S1550">
        <f>IF(OR(calendar[[#This Row],[PT_BH]]=1,calendar[[#This Row],[WeekDay]]=1, calendar[[#This Row],[WeekDay]]=7),P1549,P1549+1)</f>
        <v>1106</v>
      </c>
    </row>
    <row r="1551" spans="1:19" x14ac:dyDescent="0.25">
      <c r="A1551" s="2">
        <v>44285</v>
      </c>
      <c r="B1551" s="1">
        <f t="shared" si="123"/>
        <v>14</v>
      </c>
      <c r="C1551">
        <f t="shared" si="120"/>
        <v>3</v>
      </c>
      <c r="D1551" t="str">
        <f t="shared" si="121"/>
        <v>March</v>
      </c>
      <c r="E1551">
        <f t="shared" si="122"/>
        <v>2021</v>
      </c>
      <c r="F1551" t="str">
        <f>CONCATENATE(calendar[[#This Row],[Month]],"/",calendar[[#This Row],[Year]])</f>
        <v>3/2021</v>
      </c>
      <c r="G1551">
        <f>WEEKDAY(calendar[[#This Row],[Date]],1)</f>
        <v>3</v>
      </c>
      <c r="H1551" t="str">
        <f>TEXT(calendar[[#This Row],[WeekDay]],"dddd")</f>
        <v>Tuesday</v>
      </c>
      <c r="I1551">
        <f>IF((INT(calendar[[#This Row],[Count]]/7)-calendar[[#This Row],[Count]]/7)&lt;0,I1550,I1550+1)</f>
        <v>222</v>
      </c>
      <c r="J1551">
        <f t="shared" si="124"/>
        <v>1549</v>
      </c>
      <c r="K1551">
        <f>IF(calendar[[#This Row],[Month]]&lt;4,1,IF(calendar[[#This Row],[Month]]&lt;7,2,IF(calendar[[#This Row],[Month]]&lt;10,3,4)))</f>
        <v>1</v>
      </c>
      <c r="L1551">
        <f>IFERROR(IF(VLOOKUP(calendar[[#This Row],[Date]],BH!A:A,1,)&lt;&gt;"",1,0),0)</f>
        <v>0</v>
      </c>
      <c r="M1551">
        <f>IFERROR(IF(VLOOKUP(calendar[[#This Row],[Date]],BH!C:C,1,)&lt;&gt;"",1,0),0)</f>
        <v>0</v>
      </c>
      <c r="N1551">
        <f>IFERROR(IF(VLOOKUP(calendar[[#This Row],[Date]],BH!E:E,1,)&lt;&gt;"",1,0),0)</f>
        <v>0</v>
      </c>
      <c r="O1551">
        <f>IFERROR(IF(VLOOKUP(calendar[[#This Row],[Date]],BH!G:G,1,)&lt;&gt;"",1,0),0)</f>
        <v>0</v>
      </c>
      <c r="P1551">
        <f>IF(OR(calendar[[#This Row],[UK_BH]]=1,calendar[[#This Row],[WeekDay]]=1, calendar[[#This Row],[WeekDay]]=7),P1550,P1550+1)</f>
        <v>1107</v>
      </c>
      <c r="Q1551">
        <f>IF(OR(calendar[[#This Row],[FR_BH]]=1,calendar[[#This Row],[WeekDay]]=1, calendar[[#This Row],[WeekDay]]=7),P1550,P1550+1)</f>
        <v>1107</v>
      </c>
      <c r="R1551">
        <f>IF(OR(calendar[[#This Row],[SP_BH]]=1,calendar[[#This Row],[WeekDay]]=1, calendar[[#This Row],[WeekDay]]=7),P1550,P1550+1)</f>
        <v>1107</v>
      </c>
      <c r="S1551">
        <f>IF(OR(calendar[[#This Row],[PT_BH]]=1,calendar[[#This Row],[WeekDay]]=1, calendar[[#This Row],[WeekDay]]=7),P1550,P1550+1)</f>
        <v>1107</v>
      </c>
    </row>
    <row r="1552" spans="1:19" x14ac:dyDescent="0.25">
      <c r="A1552" s="2">
        <v>44286</v>
      </c>
      <c r="B1552" s="1">
        <f t="shared" si="123"/>
        <v>14</v>
      </c>
      <c r="C1552">
        <f t="shared" ref="C1552:C1615" si="125">MONTH(A1552)</f>
        <v>3</v>
      </c>
      <c r="D1552" t="str">
        <f t="shared" ref="D1552:D1615" si="126">TEXT(A1552,"mmmm")</f>
        <v>March</v>
      </c>
      <c r="E1552">
        <f t="shared" ref="E1552:E1615" si="127">YEAR(A1552)</f>
        <v>2021</v>
      </c>
      <c r="F1552" t="str">
        <f>CONCATENATE(calendar[[#This Row],[Month]],"/",calendar[[#This Row],[Year]])</f>
        <v>3/2021</v>
      </c>
      <c r="G1552">
        <f>WEEKDAY(calendar[[#This Row],[Date]],1)</f>
        <v>4</v>
      </c>
      <c r="H1552" t="str">
        <f>TEXT(calendar[[#This Row],[WeekDay]],"dddd")</f>
        <v>Wednesday</v>
      </c>
      <c r="I1552">
        <f>IF((INT(calendar[[#This Row],[Count]]/7)-calendar[[#This Row],[Count]]/7)&lt;0,I1551,I1551+1)</f>
        <v>222</v>
      </c>
      <c r="J1552">
        <f t="shared" si="124"/>
        <v>1550</v>
      </c>
      <c r="K1552">
        <f>IF(calendar[[#This Row],[Month]]&lt;4,1,IF(calendar[[#This Row],[Month]]&lt;7,2,IF(calendar[[#This Row],[Month]]&lt;10,3,4)))</f>
        <v>1</v>
      </c>
      <c r="L1552">
        <f>IFERROR(IF(VLOOKUP(calendar[[#This Row],[Date]],BH!A:A,1,)&lt;&gt;"",1,0),0)</f>
        <v>0</v>
      </c>
      <c r="M1552">
        <f>IFERROR(IF(VLOOKUP(calendar[[#This Row],[Date]],BH!C:C,1,)&lt;&gt;"",1,0),0)</f>
        <v>0</v>
      </c>
      <c r="N1552">
        <f>IFERROR(IF(VLOOKUP(calendar[[#This Row],[Date]],BH!E:E,1,)&lt;&gt;"",1,0),0)</f>
        <v>0</v>
      </c>
      <c r="O1552">
        <f>IFERROR(IF(VLOOKUP(calendar[[#This Row],[Date]],BH!G:G,1,)&lt;&gt;"",1,0),0)</f>
        <v>0</v>
      </c>
      <c r="P1552">
        <f>IF(OR(calendar[[#This Row],[UK_BH]]=1,calendar[[#This Row],[WeekDay]]=1, calendar[[#This Row],[WeekDay]]=7),P1551,P1551+1)</f>
        <v>1108</v>
      </c>
      <c r="Q1552">
        <f>IF(OR(calendar[[#This Row],[FR_BH]]=1,calendar[[#This Row],[WeekDay]]=1, calendar[[#This Row],[WeekDay]]=7),P1551,P1551+1)</f>
        <v>1108</v>
      </c>
      <c r="R1552">
        <f>IF(OR(calendar[[#This Row],[SP_BH]]=1,calendar[[#This Row],[WeekDay]]=1, calendar[[#This Row],[WeekDay]]=7),P1551,P1551+1)</f>
        <v>1108</v>
      </c>
      <c r="S1552">
        <f>IF(OR(calendar[[#This Row],[PT_BH]]=1,calendar[[#This Row],[WeekDay]]=1, calendar[[#This Row],[WeekDay]]=7),P1551,P1551+1)</f>
        <v>1108</v>
      </c>
    </row>
    <row r="1553" spans="1:19" x14ac:dyDescent="0.25">
      <c r="A1553" s="2">
        <v>44287</v>
      </c>
      <c r="B1553" s="1">
        <f t="shared" si="123"/>
        <v>14</v>
      </c>
      <c r="C1553">
        <f t="shared" si="125"/>
        <v>4</v>
      </c>
      <c r="D1553" t="str">
        <f t="shared" si="126"/>
        <v>April</v>
      </c>
      <c r="E1553">
        <f t="shared" si="127"/>
        <v>2021</v>
      </c>
      <c r="F1553" t="str">
        <f>CONCATENATE(calendar[[#This Row],[Month]],"/",calendar[[#This Row],[Year]])</f>
        <v>4/2021</v>
      </c>
      <c r="G1553">
        <f>WEEKDAY(calendar[[#This Row],[Date]],1)</f>
        <v>5</v>
      </c>
      <c r="H1553" t="str">
        <f>TEXT(calendar[[#This Row],[WeekDay]],"dddd")</f>
        <v>Thursday</v>
      </c>
      <c r="I1553">
        <f>IF((INT(calendar[[#This Row],[Count]]/7)-calendar[[#This Row],[Count]]/7)&lt;0,I1552,I1552+1)</f>
        <v>222</v>
      </c>
      <c r="J1553">
        <f t="shared" si="124"/>
        <v>1551</v>
      </c>
      <c r="K1553">
        <f>IF(calendar[[#This Row],[Month]]&lt;4,1,IF(calendar[[#This Row],[Month]]&lt;7,2,IF(calendar[[#This Row],[Month]]&lt;10,3,4)))</f>
        <v>2</v>
      </c>
      <c r="L1553">
        <f>IFERROR(IF(VLOOKUP(calendar[[#This Row],[Date]],BH!A:A,1,)&lt;&gt;"",1,0),0)</f>
        <v>0</v>
      </c>
      <c r="M1553">
        <f>IFERROR(IF(VLOOKUP(calendar[[#This Row],[Date]],BH!C:C,1,)&lt;&gt;"",1,0),0)</f>
        <v>0</v>
      </c>
      <c r="N1553">
        <f>IFERROR(IF(VLOOKUP(calendar[[#This Row],[Date]],BH!E:E,1,)&lt;&gt;"",1,0),0)</f>
        <v>0</v>
      </c>
      <c r="O1553">
        <f>IFERROR(IF(VLOOKUP(calendar[[#This Row],[Date]],BH!G:G,1,)&lt;&gt;"",1,0),0)</f>
        <v>0</v>
      </c>
      <c r="P1553">
        <f>IF(OR(calendar[[#This Row],[UK_BH]]=1,calendar[[#This Row],[WeekDay]]=1, calendar[[#This Row],[WeekDay]]=7),P1552,P1552+1)</f>
        <v>1109</v>
      </c>
      <c r="Q1553">
        <f>IF(OR(calendar[[#This Row],[FR_BH]]=1,calendar[[#This Row],[WeekDay]]=1, calendar[[#This Row],[WeekDay]]=7),P1552,P1552+1)</f>
        <v>1109</v>
      </c>
      <c r="R1553">
        <f>IF(OR(calendar[[#This Row],[SP_BH]]=1,calendar[[#This Row],[WeekDay]]=1, calendar[[#This Row],[WeekDay]]=7),P1552,P1552+1)</f>
        <v>1109</v>
      </c>
      <c r="S1553">
        <f>IF(OR(calendar[[#This Row],[PT_BH]]=1,calendar[[#This Row],[WeekDay]]=1, calendar[[#This Row],[WeekDay]]=7),P1552,P1552+1)</f>
        <v>1109</v>
      </c>
    </row>
    <row r="1554" spans="1:19" x14ac:dyDescent="0.25">
      <c r="A1554" s="2">
        <v>44288</v>
      </c>
      <c r="B1554" s="1">
        <f t="shared" si="123"/>
        <v>14</v>
      </c>
      <c r="C1554">
        <f t="shared" si="125"/>
        <v>4</v>
      </c>
      <c r="D1554" t="str">
        <f t="shared" si="126"/>
        <v>April</v>
      </c>
      <c r="E1554">
        <f t="shared" si="127"/>
        <v>2021</v>
      </c>
      <c r="F1554" t="str">
        <f>CONCATENATE(calendar[[#This Row],[Month]],"/",calendar[[#This Row],[Year]])</f>
        <v>4/2021</v>
      </c>
      <c r="G1554">
        <f>WEEKDAY(calendar[[#This Row],[Date]],1)</f>
        <v>6</v>
      </c>
      <c r="H1554" t="str">
        <f>TEXT(calendar[[#This Row],[WeekDay]],"dddd")</f>
        <v>Friday</v>
      </c>
      <c r="I1554">
        <f>IF((INT(calendar[[#This Row],[Count]]/7)-calendar[[#This Row],[Count]]/7)&lt;0,I1553,I1553+1)</f>
        <v>222</v>
      </c>
      <c r="J1554">
        <f t="shared" si="124"/>
        <v>1552</v>
      </c>
      <c r="K1554">
        <f>IF(calendar[[#This Row],[Month]]&lt;4,1,IF(calendar[[#This Row],[Month]]&lt;7,2,IF(calendar[[#This Row],[Month]]&lt;10,3,4)))</f>
        <v>2</v>
      </c>
      <c r="L1554">
        <f>IFERROR(IF(VLOOKUP(calendar[[#This Row],[Date]],BH!A:A,1,)&lt;&gt;"",1,0),0)</f>
        <v>0</v>
      </c>
      <c r="M1554">
        <f>IFERROR(IF(VLOOKUP(calendar[[#This Row],[Date]],BH!C:C,1,)&lt;&gt;"",1,0),0)</f>
        <v>0</v>
      </c>
      <c r="N1554">
        <f>IFERROR(IF(VLOOKUP(calendar[[#This Row],[Date]],BH!E:E,1,)&lt;&gt;"",1,0),0)</f>
        <v>0</v>
      </c>
      <c r="O1554">
        <f>IFERROR(IF(VLOOKUP(calendar[[#This Row],[Date]],BH!G:G,1,)&lt;&gt;"",1,0),0)</f>
        <v>0</v>
      </c>
      <c r="P1554">
        <f>IF(OR(calendar[[#This Row],[UK_BH]]=1,calendar[[#This Row],[WeekDay]]=1, calendar[[#This Row],[WeekDay]]=7),P1553,P1553+1)</f>
        <v>1110</v>
      </c>
      <c r="Q1554">
        <f>IF(OR(calendar[[#This Row],[FR_BH]]=1,calendar[[#This Row],[WeekDay]]=1, calendar[[#This Row],[WeekDay]]=7),P1553,P1553+1)</f>
        <v>1110</v>
      </c>
      <c r="R1554">
        <f>IF(OR(calendar[[#This Row],[SP_BH]]=1,calendar[[#This Row],[WeekDay]]=1, calendar[[#This Row],[WeekDay]]=7),P1553,P1553+1)</f>
        <v>1110</v>
      </c>
      <c r="S1554">
        <f>IF(OR(calendar[[#This Row],[PT_BH]]=1,calendar[[#This Row],[WeekDay]]=1, calendar[[#This Row],[WeekDay]]=7),P1553,P1553+1)</f>
        <v>1110</v>
      </c>
    </row>
    <row r="1555" spans="1:19" x14ac:dyDescent="0.25">
      <c r="A1555" s="2">
        <v>44289</v>
      </c>
      <c r="B1555" s="1">
        <f t="shared" si="123"/>
        <v>14</v>
      </c>
      <c r="C1555">
        <f t="shared" si="125"/>
        <v>4</v>
      </c>
      <c r="D1555" t="str">
        <f t="shared" si="126"/>
        <v>April</v>
      </c>
      <c r="E1555">
        <f t="shared" si="127"/>
        <v>2021</v>
      </c>
      <c r="F1555" t="str">
        <f>CONCATENATE(calendar[[#This Row],[Month]],"/",calendar[[#This Row],[Year]])</f>
        <v>4/2021</v>
      </c>
      <c r="G1555">
        <f>WEEKDAY(calendar[[#This Row],[Date]],1)</f>
        <v>7</v>
      </c>
      <c r="H1555" t="str">
        <f>TEXT(calendar[[#This Row],[WeekDay]],"dddd")</f>
        <v>Saturday</v>
      </c>
      <c r="I1555">
        <f>IF((INT(calendar[[#This Row],[Count]]/7)-calendar[[#This Row],[Count]]/7)&lt;0,I1554,I1554+1)</f>
        <v>222</v>
      </c>
      <c r="J1555">
        <f t="shared" si="124"/>
        <v>1553</v>
      </c>
      <c r="K1555">
        <f>IF(calendar[[#This Row],[Month]]&lt;4,1,IF(calendar[[#This Row],[Month]]&lt;7,2,IF(calendar[[#This Row],[Month]]&lt;10,3,4)))</f>
        <v>2</v>
      </c>
      <c r="L1555">
        <f>IFERROR(IF(VLOOKUP(calendar[[#This Row],[Date]],BH!A:A,1,)&lt;&gt;"",1,0),0)</f>
        <v>0</v>
      </c>
      <c r="M1555">
        <f>IFERROR(IF(VLOOKUP(calendar[[#This Row],[Date]],BH!C:C,1,)&lt;&gt;"",1,0),0)</f>
        <v>0</v>
      </c>
      <c r="N1555">
        <f>IFERROR(IF(VLOOKUP(calendar[[#This Row],[Date]],BH!E:E,1,)&lt;&gt;"",1,0),0)</f>
        <v>0</v>
      </c>
      <c r="O1555">
        <f>IFERROR(IF(VLOOKUP(calendar[[#This Row],[Date]],BH!G:G,1,)&lt;&gt;"",1,0),0)</f>
        <v>0</v>
      </c>
      <c r="P1555">
        <f>IF(OR(calendar[[#This Row],[UK_BH]]=1,calendar[[#This Row],[WeekDay]]=1, calendar[[#This Row],[WeekDay]]=7),P1554,P1554+1)</f>
        <v>1110</v>
      </c>
      <c r="Q1555">
        <f>IF(OR(calendar[[#This Row],[FR_BH]]=1,calendar[[#This Row],[WeekDay]]=1, calendar[[#This Row],[WeekDay]]=7),P1554,P1554+1)</f>
        <v>1110</v>
      </c>
      <c r="R1555">
        <f>IF(OR(calendar[[#This Row],[SP_BH]]=1,calendar[[#This Row],[WeekDay]]=1, calendar[[#This Row],[WeekDay]]=7),P1554,P1554+1)</f>
        <v>1110</v>
      </c>
      <c r="S1555">
        <f>IF(OR(calendar[[#This Row],[PT_BH]]=1,calendar[[#This Row],[WeekDay]]=1, calendar[[#This Row],[WeekDay]]=7),P1554,P1554+1)</f>
        <v>1110</v>
      </c>
    </row>
    <row r="1556" spans="1:19" x14ac:dyDescent="0.25">
      <c r="A1556" s="2">
        <v>44290</v>
      </c>
      <c r="B1556" s="1">
        <f t="shared" si="123"/>
        <v>15</v>
      </c>
      <c r="C1556">
        <f t="shared" si="125"/>
        <v>4</v>
      </c>
      <c r="D1556" t="str">
        <f t="shared" si="126"/>
        <v>April</v>
      </c>
      <c r="E1556">
        <f t="shared" si="127"/>
        <v>2021</v>
      </c>
      <c r="F1556" t="str">
        <f>CONCATENATE(calendar[[#This Row],[Month]],"/",calendar[[#This Row],[Year]])</f>
        <v>4/2021</v>
      </c>
      <c r="G1556">
        <f>WEEKDAY(calendar[[#This Row],[Date]],1)</f>
        <v>1</v>
      </c>
      <c r="H1556" t="str">
        <f>TEXT(calendar[[#This Row],[WeekDay]],"dddd")</f>
        <v>Sunday</v>
      </c>
      <c r="I1556">
        <f>IF((INT(calendar[[#This Row],[Count]]/7)-calendar[[#This Row],[Count]]/7)&lt;0,I1555,I1555+1)</f>
        <v>223</v>
      </c>
      <c r="J1556">
        <f t="shared" si="124"/>
        <v>1554</v>
      </c>
      <c r="K1556">
        <f>IF(calendar[[#This Row],[Month]]&lt;4,1,IF(calendar[[#This Row],[Month]]&lt;7,2,IF(calendar[[#This Row],[Month]]&lt;10,3,4)))</f>
        <v>2</v>
      </c>
      <c r="L1556">
        <f>IFERROR(IF(VLOOKUP(calendar[[#This Row],[Date]],BH!A:A,1,)&lt;&gt;"",1,0),0)</f>
        <v>0</v>
      </c>
      <c r="M1556">
        <f>IFERROR(IF(VLOOKUP(calendar[[#This Row],[Date]],BH!C:C,1,)&lt;&gt;"",1,0),0)</f>
        <v>0</v>
      </c>
      <c r="N1556">
        <f>IFERROR(IF(VLOOKUP(calendar[[#This Row],[Date]],BH!E:E,1,)&lt;&gt;"",1,0),0)</f>
        <v>0</v>
      </c>
      <c r="O1556">
        <f>IFERROR(IF(VLOOKUP(calendar[[#This Row],[Date]],BH!G:G,1,)&lt;&gt;"",1,0),0)</f>
        <v>0</v>
      </c>
      <c r="P1556">
        <f>IF(OR(calendar[[#This Row],[UK_BH]]=1,calendar[[#This Row],[WeekDay]]=1, calendar[[#This Row],[WeekDay]]=7),P1555,P1555+1)</f>
        <v>1110</v>
      </c>
      <c r="Q1556">
        <f>IF(OR(calendar[[#This Row],[FR_BH]]=1,calendar[[#This Row],[WeekDay]]=1, calendar[[#This Row],[WeekDay]]=7),P1555,P1555+1)</f>
        <v>1110</v>
      </c>
      <c r="R1556">
        <f>IF(OR(calendar[[#This Row],[SP_BH]]=1,calendar[[#This Row],[WeekDay]]=1, calendar[[#This Row],[WeekDay]]=7),P1555,P1555+1)</f>
        <v>1110</v>
      </c>
      <c r="S1556">
        <f>IF(OR(calendar[[#This Row],[PT_BH]]=1,calendar[[#This Row],[WeekDay]]=1, calendar[[#This Row],[WeekDay]]=7),P1555,P1555+1)</f>
        <v>1110</v>
      </c>
    </row>
    <row r="1557" spans="1:19" x14ac:dyDescent="0.25">
      <c r="A1557" s="2">
        <v>44291</v>
      </c>
      <c r="B1557" s="1">
        <f t="shared" si="123"/>
        <v>15</v>
      </c>
      <c r="C1557">
        <f t="shared" si="125"/>
        <v>4</v>
      </c>
      <c r="D1557" t="str">
        <f t="shared" si="126"/>
        <v>April</v>
      </c>
      <c r="E1557">
        <f t="shared" si="127"/>
        <v>2021</v>
      </c>
      <c r="F1557" t="str">
        <f>CONCATENATE(calendar[[#This Row],[Month]],"/",calendar[[#This Row],[Year]])</f>
        <v>4/2021</v>
      </c>
      <c r="G1557">
        <f>WEEKDAY(calendar[[#This Row],[Date]],1)</f>
        <v>2</v>
      </c>
      <c r="H1557" t="str">
        <f>TEXT(calendar[[#This Row],[WeekDay]],"dddd")</f>
        <v>Monday</v>
      </c>
      <c r="I1557">
        <f>IF((INT(calendar[[#This Row],[Count]]/7)-calendar[[#This Row],[Count]]/7)&lt;0,I1556,I1556+1)</f>
        <v>223</v>
      </c>
      <c r="J1557">
        <f t="shared" si="124"/>
        <v>1555</v>
      </c>
      <c r="K1557">
        <f>IF(calendar[[#This Row],[Month]]&lt;4,1,IF(calendar[[#This Row],[Month]]&lt;7,2,IF(calendar[[#This Row],[Month]]&lt;10,3,4)))</f>
        <v>2</v>
      </c>
      <c r="L1557">
        <f>IFERROR(IF(VLOOKUP(calendar[[#This Row],[Date]],BH!A:A,1,)&lt;&gt;"",1,0),0)</f>
        <v>0</v>
      </c>
      <c r="M1557">
        <f>IFERROR(IF(VLOOKUP(calendar[[#This Row],[Date]],BH!C:C,1,)&lt;&gt;"",1,0),0)</f>
        <v>0</v>
      </c>
      <c r="N1557">
        <f>IFERROR(IF(VLOOKUP(calendar[[#This Row],[Date]],BH!E:E,1,)&lt;&gt;"",1,0),0)</f>
        <v>0</v>
      </c>
      <c r="O1557">
        <f>IFERROR(IF(VLOOKUP(calendar[[#This Row],[Date]],BH!G:G,1,)&lt;&gt;"",1,0),0)</f>
        <v>0</v>
      </c>
      <c r="P1557">
        <f>IF(OR(calendar[[#This Row],[UK_BH]]=1,calendar[[#This Row],[WeekDay]]=1, calendar[[#This Row],[WeekDay]]=7),P1556,P1556+1)</f>
        <v>1111</v>
      </c>
      <c r="Q1557">
        <f>IF(OR(calendar[[#This Row],[FR_BH]]=1,calendar[[#This Row],[WeekDay]]=1, calendar[[#This Row],[WeekDay]]=7),P1556,P1556+1)</f>
        <v>1111</v>
      </c>
      <c r="R1557">
        <f>IF(OR(calendar[[#This Row],[SP_BH]]=1,calendar[[#This Row],[WeekDay]]=1, calendar[[#This Row],[WeekDay]]=7),P1556,P1556+1)</f>
        <v>1111</v>
      </c>
      <c r="S1557">
        <f>IF(OR(calendar[[#This Row],[PT_BH]]=1,calendar[[#This Row],[WeekDay]]=1, calendar[[#This Row],[WeekDay]]=7),P1556,P1556+1)</f>
        <v>1111</v>
      </c>
    </row>
    <row r="1558" spans="1:19" x14ac:dyDescent="0.25">
      <c r="A1558" s="2">
        <v>44292</v>
      </c>
      <c r="B1558" s="1">
        <f t="shared" si="123"/>
        <v>15</v>
      </c>
      <c r="C1558">
        <f t="shared" si="125"/>
        <v>4</v>
      </c>
      <c r="D1558" t="str">
        <f t="shared" si="126"/>
        <v>April</v>
      </c>
      <c r="E1558">
        <f t="shared" si="127"/>
        <v>2021</v>
      </c>
      <c r="F1558" t="str">
        <f>CONCATENATE(calendar[[#This Row],[Month]],"/",calendar[[#This Row],[Year]])</f>
        <v>4/2021</v>
      </c>
      <c r="G1558">
        <f>WEEKDAY(calendar[[#This Row],[Date]],1)</f>
        <v>3</v>
      </c>
      <c r="H1558" t="str">
        <f>TEXT(calendar[[#This Row],[WeekDay]],"dddd")</f>
        <v>Tuesday</v>
      </c>
      <c r="I1558">
        <f>IF((INT(calendar[[#This Row],[Count]]/7)-calendar[[#This Row],[Count]]/7)&lt;0,I1557,I1557+1)</f>
        <v>223</v>
      </c>
      <c r="J1558">
        <f t="shared" si="124"/>
        <v>1556</v>
      </c>
      <c r="K1558">
        <f>IF(calendar[[#This Row],[Month]]&lt;4,1,IF(calendar[[#This Row],[Month]]&lt;7,2,IF(calendar[[#This Row],[Month]]&lt;10,3,4)))</f>
        <v>2</v>
      </c>
      <c r="L1558">
        <f>IFERROR(IF(VLOOKUP(calendar[[#This Row],[Date]],BH!A:A,1,)&lt;&gt;"",1,0),0)</f>
        <v>0</v>
      </c>
      <c r="M1558">
        <f>IFERROR(IF(VLOOKUP(calendar[[#This Row],[Date]],BH!C:C,1,)&lt;&gt;"",1,0),0)</f>
        <v>0</v>
      </c>
      <c r="N1558">
        <f>IFERROR(IF(VLOOKUP(calendar[[#This Row],[Date]],BH!E:E,1,)&lt;&gt;"",1,0),0)</f>
        <v>0</v>
      </c>
      <c r="O1558">
        <f>IFERROR(IF(VLOOKUP(calendar[[#This Row],[Date]],BH!G:G,1,)&lt;&gt;"",1,0),0)</f>
        <v>0</v>
      </c>
      <c r="P1558">
        <f>IF(OR(calendar[[#This Row],[UK_BH]]=1,calendar[[#This Row],[WeekDay]]=1, calendar[[#This Row],[WeekDay]]=7),P1557,P1557+1)</f>
        <v>1112</v>
      </c>
      <c r="Q1558">
        <f>IF(OR(calendar[[#This Row],[FR_BH]]=1,calendar[[#This Row],[WeekDay]]=1, calendar[[#This Row],[WeekDay]]=7),P1557,P1557+1)</f>
        <v>1112</v>
      </c>
      <c r="R1558">
        <f>IF(OR(calendar[[#This Row],[SP_BH]]=1,calendar[[#This Row],[WeekDay]]=1, calendar[[#This Row],[WeekDay]]=7),P1557,P1557+1)</f>
        <v>1112</v>
      </c>
      <c r="S1558">
        <f>IF(OR(calendar[[#This Row],[PT_BH]]=1,calendar[[#This Row],[WeekDay]]=1, calendar[[#This Row],[WeekDay]]=7),P1557,P1557+1)</f>
        <v>1112</v>
      </c>
    </row>
    <row r="1559" spans="1:19" x14ac:dyDescent="0.25">
      <c r="A1559" s="2">
        <v>44293</v>
      </c>
      <c r="B1559" s="1">
        <f t="shared" si="123"/>
        <v>15</v>
      </c>
      <c r="C1559">
        <f t="shared" si="125"/>
        <v>4</v>
      </c>
      <c r="D1559" t="str">
        <f t="shared" si="126"/>
        <v>April</v>
      </c>
      <c r="E1559">
        <f t="shared" si="127"/>
        <v>2021</v>
      </c>
      <c r="F1559" t="str">
        <f>CONCATENATE(calendar[[#This Row],[Month]],"/",calendar[[#This Row],[Year]])</f>
        <v>4/2021</v>
      </c>
      <c r="G1559">
        <f>WEEKDAY(calendar[[#This Row],[Date]],1)</f>
        <v>4</v>
      </c>
      <c r="H1559" t="str">
        <f>TEXT(calendar[[#This Row],[WeekDay]],"dddd")</f>
        <v>Wednesday</v>
      </c>
      <c r="I1559">
        <f>IF((INT(calendar[[#This Row],[Count]]/7)-calendar[[#This Row],[Count]]/7)&lt;0,I1558,I1558+1)</f>
        <v>223</v>
      </c>
      <c r="J1559">
        <f t="shared" si="124"/>
        <v>1557</v>
      </c>
      <c r="K1559">
        <f>IF(calendar[[#This Row],[Month]]&lt;4,1,IF(calendar[[#This Row],[Month]]&lt;7,2,IF(calendar[[#This Row],[Month]]&lt;10,3,4)))</f>
        <v>2</v>
      </c>
      <c r="L1559">
        <f>IFERROR(IF(VLOOKUP(calendar[[#This Row],[Date]],BH!A:A,1,)&lt;&gt;"",1,0),0)</f>
        <v>0</v>
      </c>
      <c r="M1559">
        <f>IFERROR(IF(VLOOKUP(calendar[[#This Row],[Date]],BH!C:C,1,)&lt;&gt;"",1,0),0)</f>
        <v>0</v>
      </c>
      <c r="N1559">
        <f>IFERROR(IF(VLOOKUP(calendar[[#This Row],[Date]],BH!E:E,1,)&lt;&gt;"",1,0),0)</f>
        <v>0</v>
      </c>
      <c r="O1559">
        <f>IFERROR(IF(VLOOKUP(calendar[[#This Row],[Date]],BH!G:G,1,)&lt;&gt;"",1,0),0)</f>
        <v>0</v>
      </c>
      <c r="P1559">
        <f>IF(OR(calendar[[#This Row],[UK_BH]]=1,calendar[[#This Row],[WeekDay]]=1, calendar[[#This Row],[WeekDay]]=7),P1558,P1558+1)</f>
        <v>1113</v>
      </c>
      <c r="Q1559">
        <f>IF(OR(calendar[[#This Row],[FR_BH]]=1,calendar[[#This Row],[WeekDay]]=1, calendar[[#This Row],[WeekDay]]=7),P1558,P1558+1)</f>
        <v>1113</v>
      </c>
      <c r="R1559">
        <f>IF(OR(calendar[[#This Row],[SP_BH]]=1,calendar[[#This Row],[WeekDay]]=1, calendar[[#This Row],[WeekDay]]=7),P1558,P1558+1)</f>
        <v>1113</v>
      </c>
      <c r="S1559">
        <f>IF(OR(calendar[[#This Row],[PT_BH]]=1,calendar[[#This Row],[WeekDay]]=1, calendar[[#This Row],[WeekDay]]=7),P1558,P1558+1)</f>
        <v>1113</v>
      </c>
    </row>
    <row r="1560" spans="1:19" x14ac:dyDescent="0.25">
      <c r="A1560" s="2">
        <v>44294</v>
      </c>
      <c r="B1560" s="1">
        <f t="shared" si="123"/>
        <v>15</v>
      </c>
      <c r="C1560">
        <f t="shared" si="125"/>
        <v>4</v>
      </c>
      <c r="D1560" t="str">
        <f t="shared" si="126"/>
        <v>April</v>
      </c>
      <c r="E1560">
        <f t="shared" si="127"/>
        <v>2021</v>
      </c>
      <c r="F1560" t="str">
        <f>CONCATENATE(calendar[[#This Row],[Month]],"/",calendar[[#This Row],[Year]])</f>
        <v>4/2021</v>
      </c>
      <c r="G1560">
        <f>WEEKDAY(calendar[[#This Row],[Date]],1)</f>
        <v>5</v>
      </c>
      <c r="H1560" t="str">
        <f>TEXT(calendar[[#This Row],[WeekDay]],"dddd")</f>
        <v>Thursday</v>
      </c>
      <c r="I1560">
        <f>IF((INT(calendar[[#This Row],[Count]]/7)-calendar[[#This Row],[Count]]/7)&lt;0,I1559,I1559+1)</f>
        <v>223</v>
      </c>
      <c r="J1560">
        <f t="shared" si="124"/>
        <v>1558</v>
      </c>
      <c r="K1560">
        <f>IF(calendar[[#This Row],[Month]]&lt;4,1,IF(calendar[[#This Row],[Month]]&lt;7,2,IF(calendar[[#This Row],[Month]]&lt;10,3,4)))</f>
        <v>2</v>
      </c>
      <c r="L1560">
        <f>IFERROR(IF(VLOOKUP(calendar[[#This Row],[Date]],BH!A:A,1,)&lt;&gt;"",1,0),0)</f>
        <v>0</v>
      </c>
      <c r="M1560">
        <f>IFERROR(IF(VLOOKUP(calendar[[#This Row],[Date]],BH!C:C,1,)&lt;&gt;"",1,0),0)</f>
        <v>0</v>
      </c>
      <c r="N1560">
        <f>IFERROR(IF(VLOOKUP(calendar[[#This Row],[Date]],BH!E:E,1,)&lt;&gt;"",1,0),0)</f>
        <v>0</v>
      </c>
      <c r="O1560">
        <f>IFERROR(IF(VLOOKUP(calendar[[#This Row],[Date]],BH!G:G,1,)&lt;&gt;"",1,0),0)</f>
        <v>0</v>
      </c>
      <c r="P1560">
        <f>IF(OR(calendar[[#This Row],[UK_BH]]=1,calendar[[#This Row],[WeekDay]]=1, calendar[[#This Row],[WeekDay]]=7),P1559,P1559+1)</f>
        <v>1114</v>
      </c>
      <c r="Q1560">
        <f>IF(OR(calendar[[#This Row],[FR_BH]]=1,calendar[[#This Row],[WeekDay]]=1, calendar[[#This Row],[WeekDay]]=7),P1559,P1559+1)</f>
        <v>1114</v>
      </c>
      <c r="R1560">
        <f>IF(OR(calendar[[#This Row],[SP_BH]]=1,calendar[[#This Row],[WeekDay]]=1, calendar[[#This Row],[WeekDay]]=7),P1559,P1559+1)</f>
        <v>1114</v>
      </c>
      <c r="S1560">
        <f>IF(OR(calendar[[#This Row],[PT_BH]]=1,calendar[[#This Row],[WeekDay]]=1, calendar[[#This Row],[WeekDay]]=7),P1559,P1559+1)</f>
        <v>1114</v>
      </c>
    </row>
    <row r="1561" spans="1:19" x14ac:dyDescent="0.25">
      <c r="A1561" s="2">
        <v>44295</v>
      </c>
      <c r="B1561" s="1">
        <f t="shared" si="123"/>
        <v>15</v>
      </c>
      <c r="C1561">
        <f t="shared" si="125"/>
        <v>4</v>
      </c>
      <c r="D1561" t="str">
        <f t="shared" si="126"/>
        <v>April</v>
      </c>
      <c r="E1561">
        <f t="shared" si="127"/>
        <v>2021</v>
      </c>
      <c r="F1561" t="str">
        <f>CONCATENATE(calendar[[#This Row],[Month]],"/",calendar[[#This Row],[Year]])</f>
        <v>4/2021</v>
      </c>
      <c r="G1561">
        <f>WEEKDAY(calendar[[#This Row],[Date]],1)</f>
        <v>6</v>
      </c>
      <c r="H1561" t="str">
        <f>TEXT(calendar[[#This Row],[WeekDay]],"dddd")</f>
        <v>Friday</v>
      </c>
      <c r="I1561">
        <f>IF((INT(calendar[[#This Row],[Count]]/7)-calendar[[#This Row],[Count]]/7)&lt;0,I1560,I1560+1)</f>
        <v>223</v>
      </c>
      <c r="J1561">
        <f t="shared" si="124"/>
        <v>1559</v>
      </c>
      <c r="K1561">
        <f>IF(calendar[[#This Row],[Month]]&lt;4,1,IF(calendar[[#This Row],[Month]]&lt;7,2,IF(calendar[[#This Row],[Month]]&lt;10,3,4)))</f>
        <v>2</v>
      </c>
      <c r="L1561">
        <f>IFERROR(IF(VLOOKUP(calendar[[#This Row],[Date]],BH!A:A,1,)&lt;&gt;"",1,0),0)</f>
        <v>0</v>
      </c>
      <c r="M1561">
        <f>IFERROR(IF(VLOOKUP(calendar[[#This Row],[Date]],BH!C:C,1,)&lt;&gt;"",1,0),0)</f>
        <v>0</v>
      </c>
      <c r="N1561">
        <f>IFERROR(IF(VLOOKUP(calendar[[#This Row],[Date]],BH!E:E,1,)&lt;&gt;"",1,0),0)</f>
        <v>0</v>
      </c>
      <c r="O1561">
        <f>IFERROR(IF(VLOOKUP(calendar[[#This Row],[Date]],BH!G:G,1,)&lt;&gt;"",1,0),0)</f>
        <v>0</v>
      </c>
      <c r="P1561">
        <f>IF(OR(calendar[[#This Row],[UK_BH]]=1,calendar[[#This Row],[WeekDay]]=1, calendar[[#This Row],[WeekDay]]=7),P1560,P1560+1)</f>
        <v>1115</v>
      </c>
      <c r="Q1561">
        <f>IF(OR(calendar[[#This Row],[FR_BH]]=1,calendar[[#This Row],[WeekDay]]=1, calendar[[#This Row],[WeekDay]]=7),P1560,P1560+1)</f>
        <v>1115</v>
      </c>
      <c r="R1561">
        <f>IF(OR(calendar[[#This Row],[SP_BH]]=1,calendar[[#This Row],[WeekDay]]=1, calendar[[#This Row],[WeekDay]]=7),P1560,P1560+1)</f>
        <v>1115</v>
      </c>
      <c r="S1561">
        <f>IF(OR(calendar[[#This Row],[PT_BH]]=1,calendar[[#This Row],[WeekDay]]=1, calendar[[#This Row],[WeekDay]]=7),P1560,P1560+1)</f>
        <v>1115</v>
      </c>
    </row>
    <row r="1562" spans="1:19" x14ac:dyDescent="0.25">
      <c r="A1562" s="2">
        <v>44296</v>
      </c>
      <c r="B1562" s="1">
        <f t="shared" si="123"/>
        <v>15</v>
      </c>
      <c r="C1562">
        <f t="shared" si="125"/>
        <v>4</v>
      </c>
      <c r="D1562" t="str">
        <f t="shared" si="126"/>
        <v>April</v>
      </c>
      <c r="E1562">
        <f t="shared" si="127"/>
        <v>2021</v>
      </c>
      <c r="F1562" t="str">
        <f>CONCATENATE(calendar[[#This Row],[Month]],"/",calendar[[#This Row],[Year]])</f>
        <v>4/2021</v>
      </c>
      <c r="G1562">
        <f>WEEKDAY(calendar[[#This Row],[Date]],1)</f>
        <v>7</v>
      </c>
      <c r="H1562" t="str">
        <f>TEXT(calendar[[#This Row],[WeekDay]],"dddd")</f>
        <v>Saturday</v>
      </c>
      <c r="I1562">
        <f>IF((INT(calendar[[#This Row],[Count]]/7)-calendar[[#This Row],[Count]]/7)&lt;0,I1561,I1561+1)</f>
        <v>223</v>
      </c>
      <c r="J1562">
        <f t="shared" si="124"/>
        <v>1560</v>
      </c>
      <c r="K1562">
        <f>IF(calendar[[#This Row],[Month]]&lt;4,1,IF(calendar[[#This Row],[Month]]&lt;7,2,IF(calendar[[#This Row],[Month]]&lt;10,3,4)))</f>
        <v>2</v>
      </c>
      <c r="L1562">
        <f>IFERROR(IF(VLOOKUP(calendar[[#This Row],[Date]],BH!A:A,1,)&lt;&gt;"",1,0),0)</f>
        <v>0</v>
      </c>
      <c r="M1562">
        <f>IFERROR(IF(VLOOKUP(calendar[[#This Row],[Date]],BH!C:C,1,)&lt;&gt;"",1,0),0)</f>
        <v>0</v>
      </c>
      <c r="N1562">
        <f>IFERROR(IF(VLOOKUP(calendar[[#This Row],[Date]],BH!E:E,1,)&lt;&gt;"",1,0),0)</f>
        <v>0</v>
      </c>
      <c r="O1562">
        <f>IFERROR(IF(VLOOKUP(calendar[[#This Row],[Date]],BH!G:G,1,)&lt;&gt;"",1,0),0)</f>
        <v>0</v>
      </c>
      <c r="P1562">
        <f>IF(OR(calendar[[#This Row],[UK_BH]]=1,calendar[[#This Row],[WeekDay]]=1, calendar[[#This Row],[WeekDay]]=7),P1561,P1561+1)</f>
        <v>1115</v>
      </c>
      <c r="Q1562">
        <f>IF(OR(calendar[[#This Row],[FR_BH]]=1,calendar[[#This Row],[WeekDay]]=1, calendar[[#This Row],[WeekDay]]=7),P1561,P1561+1)</f>
        <v>1115</v>
      </c>
      <c r="R1562">
        <f>IF(OR(calendar[[#This Row],[SP_BH]]=1,calendar[[#This Row],[WeekDay]]=1, calendar[[#This Row],[WeekDay]]=7),P1561,P1561+1)</f>
        <v>1115</v>
      </c>
      <c r="S1562">
        <f>IF(OR(calendar[[#This Row],[PT_BH]]=1,calendar[[#This Row],[WeekDay]]=1, calendar[[#This Row],[WeekDay]]=7),P1561,P1561+1)</f>
        <v>1115</v>
      </c>
    </row>
    <row r="1563" spans="1:19" x14ac:dyDescent="0.25">
      <c r="A1563" s="2">
        <v>44297</v>
      </c>
      <c r="B1563" s="1">
        <f t="shared" si="123"/>
        <v>16</v>
      </c>
      <c r="C1563">
        <f t="shared" si="125"/>
        <v>4</v>
      </c>
      <c r="D1563" t="str">
        <f t="shared" si="126"/>
        <v>April</v>
      </c>
      <c r="E1563">
        <f t="shared" si="127"/>
        <v>2021</v>
      </c>
      <c r="F1563" t="str">
        <f>CONCATENATE(calendar[[#This Row],[Month]],"/",calendar[[#This Row],[Year]])</f>
        <v>4/2021</v>
      </c>
      <c r="G1563">
        <f>WEEKDAY(calendar[[#This Row],[Date]],1)</f>
        <v>1</v>
      </c>
      <c r="H1563" t="str">
        <f>TEXT(calendar[[#This Row],[WeekDay]],"dddd")</f>
        <v>Sunday</v>
      </c>
      <c r="I1563">
        <f>IF((INT(calendar[[#This Row],[Count]]/7)-calendar[[#This Row],[Count]]/7)&lt;0,I1562,I1562+1)</f>
        <v>224</v>
      </c>
      <c r="J1563">
        <f t="shared" si="124"/>
        <v>1561</v>
      </c>
      <c r="K1563">
        <f>IF(calendar[[#This Row],[Month]]&lt;4,1,IF(calendar[[#This Row],[Month]]&lt;7,2,IF(calendar[[#This Row],[Month]]&lt;10,3,4)))</f>
        <v>2</v>
      </c>
      <c r="L1563">
        <f>IFERROR(IF(VLOOKUP(calendar[[#This Row],[Date]],BH!A:A,1,)&lt;&gt;"",1,0),0)</f>
        <v>0</v>
      </c>
      <c r="M1563">
        <f>IFERROR(IF(VLOOKUP(calendar[[#This Row],[Date]],BH!C:C,1,)&lt;&gt;"",1,0),0)</f>
        <v>0</v>
      </c>
      <c r="N1563">
        <f>IFERROR(IF(VLOOKUP(calendar[[#This Row],[Date]],BH!E:E,1,)&lt;&gt;"",1,0),0)</f>
        <v>0</v>
      </c>
      <c r="O1563">
        <f>IFERROR(IF(VLOOKUP(calendar[[#This Row],[Date]],BH!G:G,1,)&lt;&gt;"",1,0),0)</f>
        <v>0</v>
      </c>
      <c r="P1563">
        <f>IF(OR(calendar[[#This Row],[UK_BH]]=1,calendar[[#This Row],[WeekDay]]=1, calendar[[#This Row],[WeekDay]]=7),P1562,P1562+1)</f>
        <v>1115</v>
      </c>
      <c r="Q1563">
        <f>IF(OR(calendar[[#This Row],[FR_BH]]=1,calendar[[#This Row],[WeekDay]]=1, calendar[[#This Row],[WeekDay]]=7),P1562,P1562+1)</f>
        <v>1115</v>
      </c>
      <c r="R1563">
        <f>IF(OR(calendar[[#This Row],[SP_BH]]=1,calendar[[#This Row],[WeekDay]]=1, calendar[[#This Row],[WeekDay]]=7),P1562,P1562+1)</f>
        <v>1115</v>
      </c>
      <c r="S1563">
        <f>IF(OR(calendar[[#This Row],[PT_BH]]=1,calendar[[#This Row],[WeekDay]]=1, calendar[[#This Row],[WeekDay]]=7),P1562,P1562+1)</f>
        <v>1115</v>
      </c>
    </row>
    <row r="1564" spans="1:19" x14ac:dyDescent="0.25">
      <c r="A1564" s="2">
        <v>44298</v>
      </c>
      <c r="B1564" s="1">
        <f t="shared" si="123"/>
        <v>16</v>
      </c>
      <c r="C1564">
        <f t="shared" si="125"/>
        <v>4</v>
      </c>
      <c r="D1564" t="str">
        <f t="shared" si="126"/>
        <v>April</v>
      </c>
      <c r="E1564">
        <f t="shared" si="127"/>
        <v>2021</v>
      </c>
      <c r="F1564" t="str">
        <f>CONCATENATE(calendar[[#This Row],[Month]],"/",calendar[[#This Row],[Year]])</f>
        <v>4/2021</v>
      </c>
      <c r="G1564">
        <f>WEEKDAY(calendar[[#This Row],[Date]],1)</f>
        <v>2</v>
      </c>
      <c r="H1564" t="str">
        <f>TEXT(calendar[[#This Row],[WeekDay]],"dddd")</f>
        <v>Monday</v>
      </c>
      <c r="I1564">
        <f>IF((INT(calendar[[#This Row],[Count]]/7)-calendar[[#This Row],[Count]]/7)&lt;0,I1563,I1563+1)</f>
        <v>224</v>
      </c>
      <c r="J1564">
        <f t="shared" si="124"/>
        <v>1562</v>
      </c>
      <c r="K1564">
        <f>IF(calendar[[#This Row],[Month]]&lt;4,1,IF(calendar[[#This Row],[Month]]&lt;7,2,IF(calendar[[#This Row],[Month]]&lt;10,3,4)))</f>
        <v>2</v>
      </c>
      <c r="L1564">
        <f>IFERROR(IF(VLOOKUP(calendar[[#This Row],[Date]],BH!A:A,1,)&lt;&gt;"",1,0),0)</f>
        <v>0</v>
      </c>
      <c r="M1564">
        <f>IFERROR(IF(VLOOKUP(calendar[[#This Row],[Date]],BH!C:C,1,)&lt;&gt;"",1,0),0)</f>
        <v>0</v>
      </c>
      <c r="N1564">
        <f>IFERROR(IF(VLOOKUP(calendar[[#This Row],[Date]],BH!E:E,1,)&lt;&gt;"",1,0),0)</f>
        <v>0</v>
      </c>
      <c r="O1564">
        <f>IFERROR(IF(VLOOKUP(calendar[[#This Row],[Date]],BH!G:G,1,)&lt;&gt;"",1,0),0)</f>
        <v>0</v>
      </c>
      <c r="P1564">
        <f>IF(OR(calendar[[#This Row],[UK_BH]]=1,calendar[[#This Row],[WeekDay]]=1, calendar[[#This Row],[WeekDay]]=7),P1563,P1563+1)</f>
        <v>1116</v>
      </c>
      <c r="Q1564">
        <f>IF(OR(calendar[[#This Row],[FR_BH]]=1,calendar[[#This Row],[WeekDay]]=1, calendar[[#This Row],[WeekDay]]=7),P1563,P1563+1)</f>
        <v>1116</v>
      </c>
      <c r="R1564">
        <f>IF(OR(calendar[[#This Row],[SP_BH]]=1,calendar[[#This Row],[WeekDay]]=1, calendar[[#This Row],[WeekDay]]=7),P1563,P1563+1)</f>
        <v>1116</v>
      </c>
      <c r="S1564">
        <f>IF(OR(calendar[[#This Row],[PT_BH]]=1,calendar[[#This Row],[WeekDay]]=1, calendar[[#This Row],[WeekDay]]=7),P1563,P1563+1)</f>
        <v>1116</v>
      </c>
    </row>
    <row r="1565" spans="1:19" x14ac:dyDescent="0.25">
      <c r="A1565" s="2">
        <v>44299</v>
      </c>
      <c r="B1565" s="1">
        <f t="shared" si="123"/>
        <v>16</v>
      </c>
      <c r="C1565">
        <f t="shared" si="125"/>
        <v>4</v>
      </c>
      <c r="D1565" t="str">
        <f t="shared" si="126"/>
        <v>April</v>
      </c>
      <c r="E1565">
        <f t="shared" si="127"/>
        <v>2021</v>
      </c>
      <c r="F1565" t="str">
        <f>CONCATENATE(calendar[[#This Row],[Month]],"/",calendar[[#This Row],[Year]])</f>
        <v>4/2021</v>
      </c>
      <c r="G1565">
        <f>WEEKDAY(calendar[[#This Row],[Date]],1)</f>
        <v>3</v>
      </c>
      <c r="H1565" t="str">
        <f>TEXT(calendar[[#This Row],[WeekDay]],"dddd")</f>
        <v>Tuesday</v>
      </c>
      <c r="I1565">
        <f>IF((INT(calendar[[#This Row],[Count]]/7)-calendar[[#This Row],[Count]]/7)&lt;0,I1564,I1564+1)</f>
        <v>224</v>
      </c>
      <c r="J1565">
        <f t="shared" si="124"/>
        <v>1563</v>
      </c>
      <c r="K1565">
        <f>IF(calendar[[#This Row],[Month]]&lt;4,1,IF(calendar[[#This Row],[Month]]&lt;7,2,IF(calendar[[#This Row],[Month]]&lt;10,3,4)))</f>
        <v>2</v>
      </c>
      <c r="L1565">
        <f>IFERROR(IF(VLOOKUP(calendar[[#This Row],[Date]],BH!A:A,1,)&lt;&gt;"",1,0),0)</f>
        <v>0</v>
      </c>
      <c r="M1565">
        <f>IFERROR(IF(VLOOKUP(calendar[[#This Row],[Date]],BH!C:C,1,)&lt;&gt;"",1,0),0)</f>
        <v>0</v>
      </c>
      <c r="N1565">
        <f>IFERROR(IF(VLOOKUP(calendar[[#This Row],[Date]],BH!E:E,1,)&lt;&gt;"",1,0),0)</f>
        <v>0</v>
      </c>
      <c r="O1565">
        <f>IFERROR(IF(VLOOKUP(calendar[[#This Row],[Date]],BH!G:G,1,)&lt;&gt;"",1,0),0)</f>
        <v>0</v>
      </c>
      <c r="P1565">
        <f>IF(OR(calendar[[#This Row],[UK_BH]]=1,calendar[[#This Row],[WeekDay]]=1, calendar[[#This Row],[WeekDay]]=7),P1564,P1564+1)</f>
        <v>1117</v>
      </c>
      <c r="Q1565">
        <f>IF(OR(calendar[[#This Row],[FR_BH]]=1,calendar[[#This Row],[WeekDay]]=1, calendar[[#This Row],[WeekDay]]=7),P1564,P1564+1)</f>
        <v>1117</v>
      </c>
      <c r="R1565">
        <f>IF(OR(calendar[[#This Row],[SP_BH]]=1,calendar[[#This Row],[WeekDay]]=1, calendar[[#This Row],[WeekDay]]=7),P1564,P1564+1)</f>
        <v>1117</v>
      </c>
      <c r="S1565">
        <f>IF(OR(calendar[[#This Row],[PT_BH]]=1,calendar[[#This Row],[WeekDay]]=1, calendar[[#This Row],[WeekDay]]=7),P1564,P1564+1)</f>
        <v>1117</v>
      </c>
    </row>
    <row r="1566" spans="1:19" x14ac:dyDescent="0.25">
      <c r="A1566" s="2">
        <v>44300</v>
      </c>
      <c r="B1566" s="1">
        <f t="shared" si="123"/>
        <v>16</v>
      </c>
      <c r="C1566">
        <f t="shared" si="125"/>
        <v>4</v>
      </c>
      <c r="D1566" t="str">
        <f t="shared" si="126"/>
        <v>April</v>
      </c>
      <c r="E1566">
        <f t="shared" si="127"/>
        <v>2021</v>
      </c>
      <c r="F1566" t="str">
        <f>CONCATENATE(calendar[[#This Row],[Month]],"/",calendar[[#This Row],[Year]])</f>
        <v>4/2021</v>
      </c>
      <c r="G1566">
        <f>WEEKDAY(calendar[[#This Row],[Date]],1)</f>
        <v>4</v>
      </c>
      <c r="H1566" t="str">
        <f>TEXT(calendar[[#This Row],[WeekDay]],"dddd")</f>
        <v>Wednesday</v>
      </c>
      <c r="I1566">
        <f>IF((INT(calendar[[#This Row],[Count]]/7)-calendar[[#This Row],[Count]]/7)&lt;0,I1565,I1565+1)</f>
        <v>224</v>
      </c>
      <c r="J1566">
        <f t="shared" si="124"/>
        <v>1564</v>
      </c>
      <c r="K1566">
        <f>IF(calendar[[#This Row],[Month]]&lt;4,1,IF(calendar[[#This Row],[Month]]&lt;7,2,IF(calendar[[#This Row],[Month]]&lt;10,3,4)))</f>
        <v>2</v>
      </c>
      <c r="L1566">
        <f>IFERROR(IF(VLOOKUP(calendar[[#This Row],[Date]],BH!A:A,1,)&lt;&gt;"",1,0),0)</f>
        <v>0</v>
      </c>
      <c r="M1566">
        <f>IFERROR(IF(VLOOKUP(calendar[[#This Row],[Date]],BH!C:C,1,)&lt;&gt;"",1,0),0)</f>
        <v>0</v>
      </c>
      <c r="N1566">
        <f>IFERROR(IF(VLOOKUP(calendar[[#This Row],[Date]],BH!E:E,1,)&lt;&gt;"",1,0),0)</f>
        <v>0</v>
      </c>
      <c r="O1566">
        <f>IFERROR(IF(VLOOKUP(calendar[[#This Row],[Date]],BH!G:G,1,)&lt;&gt;"",1,0),0)</f>
        <v>0</v>
      </c>
      <c r="P1566">
        <f>IF(OR(calendar[[#This Row],[UK_BH]]=1,calendar[[#This Row],[WeekDay]]=1, calendar[[#This Row],[WeekDay]]=7),P1565,P1565+1)</f>
        <v>1118</v>
      </c>
      <c r="Q1566">
        <f>IF(OR(calendar[[#This Row],[FR_BH]]=1,calendar[[#This Row],[WeekDay]]=1, calendar[[#This Row],[WeekDay]]=7),P1565,P1565+1)</f>
        <v>1118</v>
      </c>
      <c r="R1566">
        <f>IF(OR(calendar[[#This Row],[SP_BH]]=1,calendar[[#This Row],[WeekDay]]=1, calendar[[#This Row],[WeekDay]]=7),P1565,P1565+1)</f>
        <v>1118</v>
      </c>
      <c r="S1566">
        <f>IF(OR(calendar[[#This Row],[PT_BH]]=1,calendar[[#This Row],[WeekDay]]=1, calendar[[#This Row],[WeekDay]]=7),P1565,P1565+1)</f>
        <v>1118</v>
      </c>
    </row>
    <row r="1567" spans="1:19" x14ac:dyDescent="0.25">
      <c r="A1567" s="2">
        <v>44301</v>
      </c>
      <c r="B1567" s="1">
        <f t="shared" si="123"/>
        <v>16</v>
      </c>
      <c r="C1567">
        <f t="shared" si="125"/>
        <v>4</v>
      </c>
      <c r="D1567" t="str">
        <f t="shared" si="126"/>
        <v>April</v>
      </c>
      <c r="E1567">
        <f t="shared" si="127"/>
        <v>2021</v>
      </c>
      <c r="F1567" t="str">
        <f>CONCATENATE(calendar[[#This Row],[Month]],"/",calendar[[#This Row],[Year]])</f>
        <v>4/2021</v>
      </c>
      <c r="G1567">
        <f>WEEKDAY(calendar[[#This Row],[Date]],1)</f>
        <v>5</v>
      </c>
      <c r="H1567" t="str">
        <f>TEXT(calendar[[#This Row],[WeekDay]],"dddd")</f>
        <v>Thursday</v>
      </c>
      <c r="I1567">
        <f>IF((INT(calendar[[#This Row],[Count]]/7)-calendar[[#This Row],[Count]]/7)&lt;0,I1566,I1566+1)</f>
        <v>224</v>
      </c>
      <c r="J1567">
        <f t="shared" si="124"/>
        <v>1565</v>
      </c>
      <c r="K1567">
        <f>IF(calendar[[#This Row],[Month]]&lt;4,1,IF(calendar[[#This Row],[Month]]&lt;7,2,IF(calendar[[#This Row],[Month]]&lt;10,3,4)))</f>
        <v>2</v>
      </c>
      <c r="L1567">
        <f>IFERROR(IF(VLOOKUP(calendar[[#This Row],[Date]],BH!A:A,1,)&lt;&gt;"",1,0),0)</f>
        <v>0</v>
      </c>
      <c r="M1567">
        <f>IFERROR(IF(VLOOKUP(calendar[[#This Row],[Date]],BH!C:C,1,)&lt;&gt;"",1,0),0)</f>
        <v>0</v>
      </c>
      <c r="N1567">
        <f>IFERROR(IF(VLOOKUP(calendar[[#This Row],[Date]],BH!E:E,1,)&lt;&gt;"",1,0),0)</f>
        <v>0</v>
      </c>
      <c r="O1567">
        <f>IFERROR(IF(VLOOKUP(calendar[[#This Row],[Date]],BH!G:G,1,)&lt;&gt;"",1,0),0)</f>
        <v>0</v>
      </c>
      <c r="P1567">
        <f>IF(OR(calendar[[#This Row],[UK_BH]]=1,calendar[[#This Row],[WeekDay]]=1, calendar[[#This Row],[WeekDay]]=7),P1566,P1566+1)</f>
        <v>1119</v>
      </c>
      <c r="Q1567">
        <f>IF(OR(calendar[[#This Row],[FR_BH]]=1,calendar[[#This Row],[WeekDay]]=1, calendar[[#This Row],[WeekDay]]=7),P1566,P1566+1)</f>
        <v>1119</v>
      </c>
      <c r="R1567">
        <f>IF(OR(calendar[[#This Row],[SP_BH]]=1,calendar[[#This Row],[WeekDay]]=1, calendar[[#This Row],[WeekDay]]=7),P1566,P1566+1)</f>
        <v>1119</v>
      </c>
      <c r="S1567">
        <f>IF(OR(calendar[[#This Row],[PT_BH]]=1,calendar[[#This Row],[WeekDay]]=1, calendar[[#This Row],[WeekDay]]=7),P1566,P1566+1)</f>
        <v>1119</v>
      </c>
    </row>
    <row r="1568" spans="1:19" x14ac:dyDescent="0.25">
      <c r="A1568" s="2">
        <v>44302</v>
      </c>
      <c r="B1568" s="1">
        <f t="shared" si="123"/>
        <v>16</v>
      </c>
      <c r="C1568">
        <f t="shared" si="125"/>
        <v>4</v>
      </c>
      <c r="D1568" t="str">
        <f t="shared" si="126"/>
        <v>April</v>
      </c>
      <c r="E1568">
        <f t="shared" si="127"/>
        <v>2021</v>
      </c>
      <c r="F1568" t="str">
        <f>CONCATENATE(calendar[[#This Row],[Month]],"/",calendar[[#This Row],[Year]])</f>
        <v>4/2021</v>
      </c>
      <c r="G1568">
        <f>WEEKDAY(calendar[[#This Row],[Date]],1)</f>
        <v>6</v>
      </c>
      <c r="H1568" t="str">
        <f>TEXT(calendar[[#This Row],[WeekDay]],"dddd")</f>
        <v>Friday</v>
      </c>
      <c r="I1568">
        <f>IF((INT(calendar[[#This Row],[Count]]/7)-calendar[[#This Row],[Count]]/7)&lt;0,I1567,I1567+1)</f>
        <v>224</v>
      </c>
      <c r="J1568">
        <f t="shared" si="124"/>
        <v>1566</v>
      </c>
      <c r="K1568">
        <f>IF(calendar[[#This Row],[Month]]&lt;4,1,IF(calendar[[#This Row],[Month]]&lt;7,2,IF(calendar[[#This Row],[Month]]&lt;10,3,4)))</f>
        <v>2</v>
      </c>
      <c r="L1568">
        <f>IFERROR(IF(VLOOKUP(calendar[[#This Row],[Date]],BH!A:A,1,)&lt;&gt;"",1,0),0)</f>
        <v>0</v>
      </c>
      <c r="M1568">
        <f>IFERROR(IF(VLOOKUP(calendar[[#This Row],[Date]],BH!C:C,1,)&lt;&gt;"",1,0),0)</f>
        <v>0</v>
      </c>
      <c r="N1568">
        <f>IFERROR(IF(VLOOKUP(calendar[[#This Row],[Date]],BH!E:E,1,)&lt;&gt;"",1,0),0)</f>
        <v>0</v>
      </c>
      <c r="O1568">
        <f>IFERROR(IF(VLOOKUP(calendar[[#This Row],[Date]],BH!G:G,1,)&lt;&gt;"",1,0),0)</f>
        <v>0</v>
      </c>
      <c r="P1568">
        <f>IF(OR(calendar[[#This Row],[UK_BH]]=1,calendar[[#This Row],[WeekDay]]=1, calendar[[#This Row],[WeekDay]]=7),P1567,P1567+1)</f>
        <v>1120</v>
      </c>
      <c r="Q1568">
        <f>IF(OR(calendar[[#This Row],[FR_BH]]=1,calendar[[#This Row],[WeekDay]]=1, calendar[[#This Row],[WeekDay]]=7),P1567,P1567+1)</f>
        <v>1120</v>
      </c>
      <c r="R1568">
        <f>IF(OR(calendar[[#This Row],[SP_BH]]=1,calendar[[#This Row],[WeekDay]]=1, calendar[[#This Row],[WeekDay]]=7),P1567,P1567+1)</f>
        <v>1120</v>
      </c>
      <c r="S1568">
        <f>IF(OR(calendar[[#This Row],[PT_BH]]=1,calendar[[#This Row],[WeekDay]]=1, calendar[[#This Row],[WeekDay]]=7),P1567,P1567+1)</f>
        <v>1120</v>
      </c>
    </row>
    <row r="1569" spans="1:19" x14ac:dyDescent="0.25">
      <c r="A1569" s="2">
        <v>44303</v>
      </c>
      <c r="B1569" s="1">
        <f t="shared" si="123"/>
        <v>16</v>
      </c>
      <c r="C1569">
        <f t="shared" si="125"/>
        <v>4</v>
      </c>
      <c r="D1569" t="str">
        <f t="shared" si="126"/>
        <v>April</v>
      </c>
      <c r="E1569">
        <f t="shared" si="127"/>
        <v>2021</v>
      </c>
      <c r="F1569" t="str">
        <f>CONCATENATE(calendar[[#This Row],[Month]],"/",calendar[[#This Row],[Year]])</f>
        <v>4/2021</v>
      </c>
      <c r="G1569">
        <f>WEEKDAY(calendar[[#This Row],[Date]],1)</f>
        <v>7</v>
      </c>
      <c r="H1569" t="str">
        <f>TEXT(calendar[[#This Row],[WeekDay]],"dddd")</f>
        <v>Saturday</v>
      </c>
      <c r="I1569">
        <f>IF((INT(calendar[[#This Row],[Count]]/7)-calendar[[#This Row],[Count]]/7)&lt;0,I1568,I1568+1)</f>
        <v>224</v>
      </c>
      <c r="J1569">
        <f t="shared" si="124"/>
        <v>1567</v>
      </c>
      <c r="K1569">
        <f>IF(calendar[[#This Row],[Month]]&lt;4,1,IF(calendar[[#This Row],[Month]]&lt;7,2,IF(calendar[[#This Row],[Month]]&lt;10,3,4)))</f>
        <v>2</v>
      </c>
      <c r="L1569">
        <f>IFERROR(IF(VLOOKUP(calendar[[#This Row],[Date]],BH!A:A,1,)&lt;&gt;"",1,0),0)</f>
        <v>0</v>
      </c>
      <c r="M1569">
        <f>IFERROR(IF(VLOOKUP(calendar[[#This Row],[Date]],BH!C:C,1,)&lt;&gt;"",1,0),0)</f>
        <v>0</v>
      </c>
      <c r="N1569">
        <f>IFERROR(IF(VLOOKUP(calendar[[#This Row],[Date]],BH!E:E,1,)&lt;&gt;"",1,0),0)</f>
        <v>0</v>
      </c>
      <c r="O1569">
        <f>IFERROR(IF(VLOOKUP(calendar[[#This Row],[Date]],BH!G:G,1,)&lt;&gt;"",1,0),0)</f>
        <v>0</v>
      </c>
      <c r="P1569">
        <f>IF(OR(calendar[[#This Row],[UK_BH]]=1,calendar[[#This Row],[WeekDay]]=1, calendar[[#This Row],[WeekDay]]=7),P1568,P1568+1)</f>
        <v>1120</v>
      </c>
      <c r="Q1569">
        <f>IF(OR(calendar[[#This Row],[FR_BH]]=1,calendar[[#This Row],[WeekDay]]=1, calendar[[#This Row],[WeekDay]]=7),P1568,P1568+1)</f>
        <v>1120</v>
      </c>
      <c r="R1569">
        <f>IF(OR(calendar[[#This Row],[SP_BH]]=1,calendar[[#This Row],[WeekDay]]=1, calendar[[#This Row],[WeekDay]]=7),P1568,P1568+1)</f>
        <v>1120</v>
      </c>
      <c r="S1569">
        <f>IF(OR(calendar[[#This Row],[PT_BH]]=1,calendar[[#This Row],[WeekDay]]=1, calendar[[#This Row],[WeekDay]]=7),P1568,P1568+1)</f>
        <v>1120</v>
      </c>
    </row>
    <row r="1570" spans="1:19" x14ac:dyDescent="0.25">
      <c r="A1570" s="2">
        <v>44304</v>
      </c>
      <c r="B1570" s="1">
        <f t="shared" si="123"/>
        <v>17</v>
      </c>
      <c r="C1570">
        <f t="shared" si="125"/>
        <v>4</v>
      </c>
      <c r="D1570" t="str">
        <f t="shared" si="126"/>
        <v>April</v>
      </c>
      <c r="E1570">
        <f t="shared" si="127"/>
        <v>2021</v>
      </c>
      <c r="F1570" t="str">
        <f>CONCATENATE(calendar[[#This Row],[Month]],"/",calendar[[#This Row],[Year]])</f>
        <v>4/2021</v>
      </c>
      <c r="G1570">
        <f>WEEKDAY(calendar[[#This Row],[Date]],1)</f>
        <v>1</v>
      </c>
      <c r="H1570" t="str">
        <f>TEXT(calendar[[#This Row],[WeekDay]],"dddd")</f>
        <v>Sunday</v>
      </c>
      <c r="I1570">
        <f>IF((INT(calendar[[#This Row],[Count]]/7)-calendar[[#This Row],[Count]]/7)&lt;0,I1569,I1569+1)</f>
        <v>225</v>
      </c>
      <c r="J1570">
        <f t="shared" si="124"/>
        <v>1568</v>
      </c>
      <c r="K1570">
        <f>IF(calendar[[#This Row],[Month]]&lt;4,1,IF(calendar[[#This Row],[Month]]&lt;7,2,IF(calendar[[#This Row],[Month]]&lt;10,3,4)))</f>
        <v>2</v>
      </c>
      <c r="L1570">
        <f>IFERROR(IF(VLOOKUP(calendar[[#This Row],[Date]],BH!A:A,1,)&lt;&gt;"",1,0),0)</f>
        <v>0</v>
      </c>
      <c r="M1570">
        <f>IFERROR(IF(VLOOKUP(calendar[[#This Row],[Date]],BH!C:C,1,)&lt;&gt;"",1,0),0)</f>
        <v>0</v>
      </c>
      <c r="N1570">
        <f>IFERROR(IF(VLOOKUP(calendar[[#This Row],[Date]],BH!E:E,1,)&lt;&gt;"",1,0),0)</f>
        <v>0</v>
      </c>
      <c r="O1570">
        <f>IFERROR(IF(VLOOKUP(calendar[[#This Row],[Date]],BH!G:G,1,)&lt;&gt;"",1,0),0)</f>
        <v>0</v>
      </c>
      <c r="P1570">
        <f>IF(OR(calendar[[#This Row],[UK_BH]]=1,calendar[[#This Row],[WeekDay]]=1, calendar[[#This Row],[WeekDay]]=7),P1569,P1569+1)</f>
        <v>1120</v>
      </c>
      <c r="Q1570">
        <f>IF(OR(calendar[[#This Row],[FR_BH]]=1,calendar[[#This Row],[WeekDay]]=1, calendar[[#This Row],[WeekDay]]=7),P1569,P1569+1)</f>
        <v>1120</v>
      </c>
      <c r="R1570">
        <f>IF(OR(calendar[[#This Row],[SP_BH]]=1,calendar[[#This Row],[WeekDay]]=1, calendar[[#This Row],[WeekDay]]=7),P1569,P1569+1)</f>
        <v>1120</v>
      </c>
      <c r="S1570">
        <f>IF(OR(calendar[[#This Row],[PT_BH]]=1,calendar[[#This Row],[WeekDay]]=1, calendar[[#This Row],[WeekDay]]=7),P1569,P1569+1)</f>
        <v>1120</v>
      </c>
    </row>
    <row r="1571" spans="1:19" x14ac:dyDescent="0.25">
      <c r="A1571" s="2">
        <v>44305</v>
      </c>
      <c r="B1571" s="1">
        <f t="shared" si="123"/>
        <v>17</v>
      </c>
      <c r="C1571">
        <f t="shared" si="125"/>
        <v>4</v>
      </c>
      <c r="D1571" t="str">
        <f t="shared" si="126"/>
        <v>April</v>
      </c>
      <c r="E1571">
        <f t="shared" si="127"/>
        <v>2021</v>
      </c>
      <c r="F1571" t="str">
        <f>CONCATENATE(calendar[[#This Row],[Month]],"/",calendar[[#This Row],[Year]])</f>
        <v>4/2021</v>
      </c>
      <c r="G1571">
        <f>WEEKDAY(calendar[[#This Row],[Date]],1)</f>
        <v>2</v>
      </c>
      <c r="H1571" t="str">
        <f>TEXT(calendar[[#This Row],[WeekDay]],"dddd")</f>
        <v>Monday</v>
      </c>
      <c r="I1571">
        <f>IF((INT(calendar[[#This Row],[Count]]/7)-calendar[[#This Row],[Count]]/7)&lt;0,I1570,I1570+1)</f>
        <v>225</v>
      </c>
      <c r="J1571">
        <f t="shared" si="124"/>
        <v>1569</v>
      </c>
      <c r="K1571">
        <f>IF(calendar[[#This Row],[Month]]&lt;4,1,IF(calendar[[#This Row],[Month]]&lt;7,2,IF(calendar[[#This Row],[Month]]&lt;10,3,4)))</f>
        <v>2</v>
      </c>
      <c r="L1571">
        <f>IFERROR(IF(VLOOKUP(calendar[[#This Row],[Date]],BH!A:A,1,)&lt;&gt;"",1,0),0)</f>
        <v>0</v>
      </c>
      <c r="M1571">
        <f>IFERROR(IF(VLOOKUP(calendar[[#This Row],[Date]],BH!C:C,1,)&lt;&gt;"",1,0),0)</f>
        <v>0</v>
      </c>
      <c r="N1571">
        <f>IFERROR(IF(VLOOKUP(calendar[[#This Row],[Date]],BH!E:E,1,)&lt;&gt;"",1,0),0)</f>
        <v>0</v>
      </c>
      <c r="O1571">
        <f>IFERROR(IF(VLOOKUP(calendar[[#This Row],[Date]],BH!G:G,1,)&lt;&gt;"",1,0),0)</f>
        <v>0</v>
      </c>
      <c r="P1571">
        <f>IF(OR(calendar[[#This Row],[UK_BH]]=1,calendar[[#This Row],[WeekDay]]=1, calendar[[#This Row],[WeekDay]]=7),P1570,P1570+1)</f>
        <v>1121</v>
      </c>
      <c r="Q1571">
        <f>IF(OR(calendar[[#This Row],[FR_BH]]=1,calendar[[#This Row],[WeekDay]]=1, calendar[[#This Row],[WeekDay]]=7),P1570,P1570+1)</f>
        <v>1121</v>
      </c>
      <c r="R1571">
        <f>IF(OR(calendar[[#This Row],[SP_BH]]=1,calendar[[#This Row],[WeekDay]]=1, calendar[[#This Row],[WeekDay]]=7),P1570,P1570+1)</f>
        <v>1121</v>
      </c>
      <c r="S1571">
        <f>IF(OR(calendar[[#This Row],[PT_BH]]=1,calendar[[#This Row],[WeekDay]]=1, calendar[[#This Row],[WeekDay]]=7),P1570,P1570+1)</f>
        <v>1121</v>
      </c>
    </row>
    <row r="1572" spans="1:19" x14ac:dyDescent="0.25">
      <c r="A1572" s="2">
        <v>44306</v>
      </c>
      <c r="B1572" s="1">
        <f t="shared" si="123"/>
        <v>17</v>
      </c>
      <c r="C1572">
        <f t="shared" si="125"/>
        <v>4</v>
      </c>
      <c r="D1572" t="str">
        <f t="shared" si="126"/>
        <v>April</v>
      </c>
      <c r="E1572">
        <f t="shared" si="127"/>
        <v>2021</v>
      </c>
      <c r="F1572" t="str">
        <f>CONCATENATE(calendar[[#This Row],[Month]],"/",calendar[[#This Row],[Year]])</f>
        <v>4/2021</v>
      </c>
      <c r="G1572">
        <f>WEEKDAY(calendar[[#This Row],[Date]],1)</f>
        <v>3</v>
      </c>
      <c r="H1572" t="str">
        <f>TEXT(calendar[[#This Row],[WeekDay]],"dddd")</f>
        <v>Tuesday</v>
      </c>
      <c r="I1572">
        <f>IF((INT(calendar[[#This Row],[Count]]/7)-calendar[[#This Row],[Count]]/7)&lt;0,I1571,I1571+1)</f>
        <v>225</v>
      </c>
      <c r="J1572">
        <f t="shared" si="124"/>
        <v>1570</v>
      </c>
      <c r="K1572">
        <f>IF(calendar[[#This Row],[Month]]&lt;4,1,IF(calendar[[#This Row],[Month]]&lt;7,2,IF(calendar[[#This Row],[Month]]&lt;10,3,4)))</f>
        <v>2</v>
      </c>
      <c r="L1572">
        <f>IFERROR(IF(VLOOKUP(calendar[[#This Row],[Date]],BH!A:A,1,)&lt;&gt;"",1,0),0)</f>
        <v>0</v>
      </c>
      <c r="M1572">
        <f>IFERROR(IF(VLOOKUP(calendar[[#This Row],[Date]],BH!C:C,1,)&lt;&gt;"",1,0),0)</f>
        <v>0</v>
      </c>
      <c r="N1572">
        <f>IFERROR(IF(VLOOKUP(calendar[[#This Row],[Date]],BH!E:E,1,)&lt;&gt;"",1,0),0)</f>
        <v>0</v>
      </c>
      <c r="O1572">
        <f>IFERROR(IF(VLOOKUP(calendar[[#This Row],[Date]],BH!G:G,1,)&lt;&gt;"",1,0),0)</f>
        <v>0</v>
      </c>
      <c r="P1572">
        <f>IF(OR(calendar[[#This Row],[UK_BH]]=1,calendar[[#This Row],[WeekDay]]=1, calendar[[#This Row],[WeekDay]]=7),P1571,P1571+1)</f>
        <v>1122</v>
      </c>
      <c r="Q1572">
        <f>IF(OR(calendar[[#This Row],[FR_BH]]=1,calendar[[#This Row],[WeekDay]]=1, calendar[[#This Row],[WeekDay]]=7),P1571,P1571+1)</f>
        <v>1122</v>
      </c>
      <c r="R1572">
        <f>IF(OR(calendar[[#This Row],[SP_BH]]=1,calendar[[#This Row],[WeekDay]]=1, calendar[[#This Row],[WeekDay]]=7),P1571,P1571+1)</f>
        <v>1122</v>
      </c>
      <c r="S1572">
        <f>IF(OR(calendar[[#This Row],[PT_BH]]=1,calendar[[#This Row],[WeekDay]]=1, calendar[[#This Row],[WeekDay]]=7),P1571,P1571+1)</f>
        <v>1122</v>
      </c>
    </row>
    <row r="1573" spans="1:19" x14ac:dyDescent="0.25">
      <c r="A1573" s="2">
        <v>44307</v>
      </c>
      <c r="B1573" s="1">
        <f t="shared" si="123"/>
        <v>17</v>
      </c>
      <c r="C1573">
        <f t="shared" si="125"/>
        <v>4</v>
      </c>
      <c r="D1573" t="str">
        <f t="shared" si="126"/>
        <v>April</v>
      </c>
      <c r="E1573">
        <f t="shared" si="127"/>
        <v>2021</v>
      </c>
      <c r="F1573" t="str">
        <f>CONCATENATE(calendar[[#This Row],[Month]],"/",calendar[[#This Row],[Year]])</f>
        <v>4/2021</v>
      </c>
      <c r="G1573">
        <f>WEEKDAY(calendar[[#This Row],[Date]],1)</f>
        <v>4</v>
      </c>
      <c r="H1573" t="str">
        <f>TEXT(calendar[[#This Row],[WeekDay]],"dddd")</f>
        <v>Wednesday</v>
      </c>
      <c r="I1573">
        <f>IF((INT(calendar[[#This Row],[Count]]/7)-calendar[[#This Row],[Count]]/7)&lt;0,I1572,I1572+1)</f>
        <v>225</v>
      </c>
      <c r="J1573">
        <f t="shared" si="124"/>
        <v>1571</v>
      </c>
      <c r="K1573">
        <f>IF(calendar[[#This Row],[Month]]&lt;4,1,IF(calendar[[#This Row],[Month]]&lt;7,2,IF(calendar[[#This Row],[Month]]&lt;10,3,4)))</f>
        <v>2</v>
      </c>
      <c r="L1573">
        <f>IFERROR(IF(VLOOKUP(calendar[[#This Row],[Date]],BH!A:A,1,)&lt;&gt;"",1,0),0)</f>
        <v>0</v>
      </c>
      <c r="M1573">
        <f>IFERROR(IF(VLOOKUP(calendar[[#This Row],[Date]],BH!C:C,1,)&lt;&gt;"",1,0),0)</f>
        <v>0</v>
      </c>
      <c r="N1573">
        <f>IFERROR(IF(VLOOKUP(calendar[[#This Row],[Date]],BH!E:E,1,)&lt;&gt;"",1,0),0)</f>
        <v>0</v>
      </c>
      <c r="O1573">
        <f>IFERROR(IF(VLOOKUP(calendar[[#This Row],[Date]],BH!G:G,1,)&lt;&gt;"",1,0),0)</f>
        <v>0</v>
      </c>
      <c r="P1573">
        <f>IF(OR(calendar[[#This Row],[UK_BH]]=1,calendar[[#This Row],[WeekDay]]=1, calendar[[#This Row],[WeekDay]]=7),P1572,P1572+1)</f>
        <v>1123</v>
      </c>
      <c r="Q1573">
        <f>IF(OR(calendar[[#This Row],[FR_BH]]=1,calendar[[#This Row],[WeekDay]]=1, calendar[[#This Row],[WeekDay]]=7),P1572,P1572+1)</f>
        <v>1123</v>
      </c>
      <c r="R1573">
        <f>IF(OR(calendar[[#This Row],[SP_BH]]=1,calendar[[#This Row],[WeekDay]]=1, calendar[[#This Row],[WeekDay]]=7),P1572,P1572+1)</f>
        <v>1123</v>
      </c>
      <c r="S1573">
        <f>IF(OR(calendar[[#This Row],[PT_BH]]=1,calendar[[#This Row],[WeekDay]]=1, calendar[[#This Row],[WeekDay]]=7),P1572,P1572+1)</f>
        <v>1123</v>
      </c>
    </row>
    <row r="1574" spans="1:19" x14ac:dyDescent="0.25">
      <c r="A1574" s="2">
        <v>44308</v>
      </c>
      <c r="B1574" s="1">
        <f t="shared" si="123"/>
        <v>17</v>
      </c>
      <c r="C1574">
        <f t="shared" si="125"/>
        <v>4</v>
      </c>
      <c r="D1574" t="str">
        <f t="shared" si="126"/>
        <v>April</v>
      </c>
      <c r="E1574">
        <f t="shared" si="127"/>
        <v>2021</v>
      </c>
      <c r="F1574" t="str">
        <f>CONCATENATE(calendar[[#This Row],[Month]],"/",calendar[[#This Row],[Year]])</f>
        <v>4/2021</v>
      </c>
      <c r="G1574">
        <f>WEEKDAY(calendar[[#This Row],[Date]],1)</f>
        <v>5</v>
      </c>
      <c r="H1574" t="str">
        <f>TEXT(calendar[[#This Row],[WeekDay]],"dddd")</f>
        <v>Thursday</v>
      </c>
      <c r="I1574">
        <f>IF((INT(calendar[[#This Row],[Count]]/7)-calendar[[#This Row],[Count]]/7)&lt;0,I1573,I1573+1)</f>
        <v>225</v>
      </c>
      <c r="J1574">
        <f t="shared" si="124"/>
        <v>1572</v>
      </c>
      <c r="K1574">
        <f>IF(calendar[[#This Row],[Month]]&lt;4,1,IF(calendar[[#This Row],[Month]]&lt;7,2,IF(calendar[[#This Row],[Month]]&lt;10,3,4)))</f>
        <v>2</v>
      </c>
      <c r="L1574">
        <f>IFERROR(IF(VLOOKUP(calendar[[#This Row],[Date]],BH!A:A,1,)&lt;&gt;"",1,0),0)</f>
        <v>0</v>
      </c>
      <c r="M1574">
        <f>IFERROR(IF(VLOOKUP(calendar[[#This Row],[Date]],BH!C:C,1,)&lt;&gt;"",1,0),0)</f>
        <v>0</v>
      </c>
      <c r="N1574">
        <f>IFERROR(IF(VLOOKUP(calendar[[#This Row],[Date]],BH!E:E,1,)&lt;&gt;"",1,0),0)</f>
        <v>0</v>
      </c>
      <c r="O1574">
        <f>IFERROR(IF(VLOOKUP(calendar[[#This Row],[Date]],BH!G:G,1,)&lt;&gt;"",1,0),0)</f>
        <v>0</v>
      </c>
      <c r="P1574">
        <f>IF(OR(calendar[[#This Row],[UK_BH]]=1,calendar[[#This Row],[WeekDay]]=1, calendar[[#This Row],[WeekDay]]=7),P1573,P1573+1)</f>
        <v>1124</v>
      </c>
      <c r="Q1574">
        <f>IF(OR(calendar[[#This Row],[FR_BH]]=1,calendar[[#This Row],[WeekDay]]=1, calendar[[#This Row],[WeekDay]]=7),P1573,P1573+1)</f>
        <v>1124</v>
      </c>
      <c r="R1574">
        <f>IF(OR(calendar[[#This Row],[SP_BH]]=1,calendar[[#This Row],[WeekDay]]=1, calendar[[#This Row],[WeekDay]]=7),P1573,P1573+1)</f>
        <v>1124</v>
      </c>
      <c r="S1574">
        <f>IF(OR(calendar[[#This Row],[PT_BH]]=1,calendar[[#This Row],[WeekDay]]=1, calendar[[#This Row],[WeekDay]]=7),P1573,P1573+1)</f>
        <v>1124</v>
      </c>
    </row>
    <row r="1575" spans="1:19" x14ac:dyDescent="0.25">
      <c r="A1575" s="2">
        <v>44309</v>
      </c>
      <c r="B1575" s="1">
        <f t="shared" si="123"/>
        <v>17</v>
      </c>
      <c r="C1575">
        <f t="shared" si="125"/>
        <v>4</v>
      </c>
      <c r="D1575" t="str">
        <f t="shared" si="126"/>
        <v>April</v>
      </c>
      <c r="E1575">
        <f t="shared" si="127"/>
        <v>2021</v>
      </c>
      <c r="F1575" t="str">
        <f>CONCATENATE(calendar[[#This Row],[Month]],"/",calendar[[#This Row],[Year]])</f>
        <v>4/2021</v>
      </c>
      <c r="G1575">
        <f>WEEKDAY(calendar[[#This Row],[Date]],1)</f>
        <v>6</v>
      </c>
      <c r="H1575" t="str">
        <f>TEXT(calendar[[#This Row],[WeekDay]],"dddd")</f>
        <v>Friday</v>
      </c>
      <c r="I1575">
        <f>IF((INT(calendar[[#This Row],[Count]]/7)-calendar[[#This Row],[Count]]/7)&lt;0,I1574,I1574+1)</f>
        <v>225</v>
      </c>
      <c r="J1575">
        <f t="shared" si="124"/>
        <v>1573</v>
      </c>
      <c r="K1575">
        <f>IF(calendar[[#This Row],[Month]]&lt;4,1,IF(calendar[[#This Row],[Month]]&lt;7,2,IF(calendar[[#This Row],[Month]]&lt;10,3,4)))</f>
        <v>2</v>
      </c>
      <c r="L1575">
        <f>IFERROR(IF(VLOOKUP(calendar[[#This Row],[Date]],BH!A:A,1,)&lt;&gt;"",1,0),0)</f>
        <v>0</v>
      </c>
      <c r="M1575">
        <f>IFERROR(IF(VLOOKUP(calendar[[#This Row],[Date]],BH!C:C,1,)&lt;&gt;"",1,0),0)</f>
        <v>0</v>
      </c>
      <c r="N1575">
        <f>IFERROR(IF(VLOOKUP(calendar[[#This Row],[Date]],BH!E:E,1,)&lt;&gt;"",1,0),0)</f>
        <v>0</v>
      </c>
      <c r="O1575">
        <f>IFERROR(IF(VLOOKUP(calendar[[#This Row],[Date]],BH!G:G,1,)&lt;&gt;"",1,0),0)</f>
        <v>0</v>
      </c>
      <c r="P1575">
        <f>IF(OR(calendar[[#This Row],[UK_BH]]=1,calendar[[#This Row],[WeekDay]]=1, calendar[[#This Row],[WeekDay]]=7),P1574,P1574+1)</f>
        <v>1125</v>
      </c>
      <c r="Q1575">
        <f>IF(OR(calendar[[#This Row],[FR_BH]]=1,calendar[[#This Row],[WeekDay]]=1, calendar[[#This Row],[WeekDay]]=7),P1574,P1574+1)</f>
        <v>1125</v>
      </c>
      <c r="R1575">
        <f>IF(OR(calendar[[#This Row],[SP_BH]]=1,calendar[[#This Row],[WeekDay]]=1, calendar[[#This Row],[WeekDay]]=7),P1574,P1574+1)</f>
        <v>1125</v>
      </c>
      <c r="S1575">
        <f>IF(OR(calendar[[#This Row],[PT_BH]]=1,calendar[[#This Row],[WeekDay]]=1, calendar[[#This Row],[WeekDay]]=7),P1574,P1574+1)</f>
        <v>1125</v>
      </c>
    </row>
    <row r="1576" spans="1:19" x14ac:dyDescent="0.25">
      <c r="A1576" s="2">
        <v>44310</v>
      </c>
      <c r="B1576" s="1">
        <f t="shared" si="123"/>
        <v>17</v>
      </c>
      <c r="C1576">
        <f t="shared" si="125"/>
        <v>4</v>
      </c>
      <c r="D1576" t="str">
        <f t="shared" si="126"/>
        <v>April</v>
      </c>
      <c r="E1576">
        <f t="shared" si="127"/>
        <v>2021</v>
      </c>
      <c r="F1576" t="str">
        <f>CONCATENATE(calendar[[#This Row],[Month]],"/",calendar[[#This Row],[Year]])</f>
        <v>4/2021</v>
      </c>
      <c r="G1576">
        <f>WEEKDAY(calendar[[#This Row],[Date]],1)</f>
        <v>7</v>
      </c>
      <c r="H1576" t="str">
        <f>TEXT(calendar[[#This Row],[WeekDay]],"dddd")</f>
        <v>Saturday</v>
      </c>
      <c r="I1576">
        <f>IF((INT(calendar[[#This Row],[Count]]/7)-calendar[[#This Row],[Count]]/7)&lt;0,I1575,I1575+1)</f>
        <v>225</v>
      </c>
      <c r="J1576">
        <f t="shared" si="124"/>
        <v>1574</v>
      </c>
      <c r="K1576">
        <f>IF(calendar[[#This Row],[Month]]&lt;4,1,IF(calendar[[#This Row],[Month]]&lt;7,2,IF(calendar[[#This Row],[Month]]&lt;10,3,4)))</f>
        <v>2</v>
      </c>
      <c r="L1576">
        <f>IFERROR(IF(VLOOKUP(calendar[[#This Row],[Date]],BH!A:A,1,)&lt;&gt;"",1,0),0)</f>
        <v>0</v>
      </c>
      <c r="M1576">
        <f>IFERROR(IF(VLOOKUP(calendar[[#This Row],[Date]],BH!C:C,1,)&lt;&gt;"",1,0),0)</f>
        <v>0</v>
      </c>
      <c r="N1576">
        <f>IFERROR(IF(VLOOKUP(calendar[[#This Row],[Date]],BH!E:E,1,)&lt;&gt;"",1,0),0)</f>
        <v>0</v>
      </c>
      <c r="O1576">
        <f>IFERROR(IF(VLOOKUP(calendar[[#This Row],[Date]],BH!G:G,1,)&lt;&gt;"",1,0),0)</f>
        <v>0</v>
      </c>
      <c r="P1576">
        <f>IF(OR(calendar[[#This Row],[UK_BH]]=1,calendar[[#This Row],[WeekDay]]=1, calendar[[#This Row],[WeekDay]]=7),P1575,P1575+1)</f>
        <v>1125</v>
      </c>
      <c r="Q1576">
        <f>IF(OR(calendar[[#This Row],[FR_BH]]=1,calendar[[#This Row],[WeekDay]]=1, calendar[[#This Row],[WeekDay]]=7),P1575,P1575+1)</f>
        <v>1125</v>
      </c>
      <c r="R1576">
        <f>IF(OR(calendar[[#This Row],[SP_BH]]=1,calendar[[#This Row],[WeekDay]]=1, calendar[[#This Row],[WeekDay]]=7),P1575,P1575+1)</f>
        <v>1125</v>
      </c>
      <c r="S1576">
        <f>IF(OR(calendar[[#This Row],[PT_BH]]=1,calendar[[#This Row],[WeekDay]]=1, calendar[[#This Row],[WeekDay]]=7),P1575,P1575+1)</f>
        <v>1125</v>
      </c>
    </row>
    <row r="1577" spans="1:19" x14ac:dyDescent="0.25">
      <c r="A1577" s="2">
        <v>44311</v>
      </c>
      <c r="B1577" s="1">
        <f t="shared" si="123"/>
        <v>18</v>
      </c>
      <c r="C1577">
        <f t="shared" si="125"/>
        <v>4</v>
      </c>
      <c r="D1577" t="str">
        <f t="shared" si="126"/>
        <v>April</v>
      </c>
      <c r="E1577">
        <f t="shared" si="127"/>
        <v>2021</v>
      </c>
      <c r="F1577" t="str">
        <f>CONCATENATE(calendar[[#This Row],[Month]],"/",calendar[[#This Row],[Year]])</f>
        <v>4/2021</v>
      </c>
      <c r="G1577">
        <f>WEEKDAY(calendar[[#This Row],[Date]],1)</f>
        <v>1</v>
      </c>
      <c r="H1577" t="str">
        <f>TEXT(calendar[[#This Row],[WeekDay]],"dddd")</f>
        <v>Sunday</v>
      </c>
      <c r="I1577">
        <f>IF((INT(calendar[[#This Row],[Count]]/7)-calendar[[#This Row],[Count]]/7)&lt;0,I1576,I1576+1)</f>
        <v>226</v>
      </c>
      <c r="J1577">
        <f t="shared" si="124"/>
        <v>1575</v>
      </c>
      <c r="K1577">
        <f>IF(calendar[[#This Row],[Month]]&lt;4,1,IF(calendar[[#This Row],[Month]]&lt;7,2,IF(calendar[[#This Row],[Month]]&lt;10,3,4)))</f>
        <v>2</v>
      </c>
      <c r="L1577">
        <f>IFERROR(IF(VLOOKUP(calendar[[#This Row],[Date]],BH!A:A,1,)&lt;&gt;"",1,0),0)</f>
        <v>0</v>
      </c>
      <c r="M1577">
        <f>IFERROR(IF(VLOOKUP(calendar[[#This Row],[Date]],BH!C:C,1,)&lt;&gt;"",1,0),0)</f>
        <v>0</v>
      </c>
      <c r="N1577">
        <f>IFERROR(IF(VLOOKUP(calendar[[#This Row],[Date]],BH!E:E,1,)&lt;&gt;"",1,0),0)</f>
        <v>0</v>
      </c>
      <c r="O1577">
        <f>IFERROR(IF(VLOOKUP(calendar[[#This Row],[Date]],BH!G:G,1,)&lt;&gt;"",1,0),0)</f>
        <v>0</v>
      </c>
      <c r="P1577">
        <f>IF(OR(calendar[[#This Row],[UK_BH]]=1,calendar[[#This Row],[WeekDay]]=1, calendar[[#This Row],[WeekDay]]=7),P1576,P1576+1)</f>
        <v>1125</v>
      </c>
      <c r="Q1577">
        <f>IF(OR(calendar[[#This Row],[FR_BH]]=1,calendar[[#This Row],[WeekDay]]=1, calendar[[#This Row],[WeekDay]]=7),P1576,P1576+1)</f>
        <v>1125</v>
      </c>
      <c r="R1577">
        <f>IF(OR(calendar[[#This Row],[SP_BH]]=1,calendar[[#This Row],[WeekDay]]=1, calendar[[#This Row],[WeekDay]]=7),P1576,P1576+1)</f>
        <v>1125</v>
      </c>
      <c r="S1577">
        <f>IF(OR(calendar[[#This Row],[PT_BH]]=1,calendar[[#This Row],[WeekDay]]=1, calendar[[#This Row],[WeekDay]]=7),P1576,P1576+1)</f>
        <v>1125</v>
      </c>
    </row>
    <row r="1578" spans="1:19" x14ac:dyDescent="0.25">
      <c r="A1578" s="2">
        <v>44312</v>
      </c>
      <c r="B1578" s="1">
        <f t="shared" si="123"/>
        <v>18</v>
      </c>
      <c r="C1578">
        <f t="shared" si="125"/>
        <v>4</v>
      </c>
      <c r="D1578" t="str">
        <f t="shared" si="126"/>
        <v>April</v>
      </c>
      <c r="E1578">
        <f t="shared" si="127"/>
        <v>2021</v>
      </c>
      <c r="F1578" t="str">
        <f>CONCATENATE(calendar[[#This Row],[Month]],"/",calendar[[#This Row],[Year]])</f>
        <v>4/2021</v>
      </c>
      <c r="G1578">
        <f>WEEKDAY(calendar[[#This Row],[Date]],1)</f>
        <v>2</v>
      </c>
      <c r="H1578" t="str">
        <f>TEXT(calendar[[#This Row],[WeekDay]],"dddd")</f>
        <v>Monday</v>
      </c>
      <c r="I1578">
        <f>IF((INT(calendar[[#This Row],[Count]]/7)-calendar[[#This Row],[Count]]/7)&lt;0,I1577,I1577+1)</f>
        <v>226</v>
      </c>
      <c r="J1578">
        <f t="shared" si="124"/>
        <v>1576</v>
      </c>
      <c r="K1578">
        <f>IF(calendar[[#This Row],[Month]]&lt;4,1,IF(calendar[[#This Row],[Month]]&lt;7,2,IF(calendar[[#This Row],[Month]]&lt;10,3,4)))</f>
        <v>2</v>
      </c>
      <c r="L1578">
        <f>IFERROR(IF(VLOOKUP(calendar[[#This Row],[Date]],BH!A:A,1,)&lt;&gt;"",1,0),0)</f>
        <v>0</v>
      </c>
      <c r="M1578">
        <f>IFERROR(IF(VLOOKUP(calendar[[#This Row],[Date]],BH!C:C,1,)&lt;&gt;"",1,0),0)</f>
        <v>0</v>
      </c>
      <c r="N1578">
        <f>IFERROR(IF(VLOOKUP(calendar[[#This Row],[Date]],BH!E:E,1,)&lt;&gt;"",1,0),0)</f>
        <v>0</v>
      </c>
      <c r="O1578">
        <f>IFERROR(IF(VLOOKUP(calendar[[#This Row],[Date]],BH!G:G,1,)&lt;&gt;"",1,0),0)</f>
        <v>0</v>
      </c>
      <c r="P1578">
        <f>IF(OR(calendar[[#This Row],[UK_BH]]=1,calendar[[#This Row],[WeekDay]]=1, calendar[[#This Row],[WeekDay]]=7),P1577,P1577+1)</f>
        <v>1126</v>
      </c>
      <c r="Q1578">
        <f>IF(OR(calendar[[#This Row],[FR_BH]]=1,calendar[[#This Row],[WeekDay]]=1, calendar[[#This Row],[WeekDay]]=7),P1577,P1577+1)</f>
        <v>1126</v>
      </c>
      <c r="R1578">
        <f>IF(OR(calendar[[#This Row],[SP_BH]]=1,calendar[[#This Row],[WeekDay]]=1, calendar[[#This Row],[WeekDay]]=7),P1577,P1577+1)</f>
        <v>1126</v>
      </c>
      <c r="S1578">
        <f>IF(OR(calendar[[#This Row],[PT_BH]]=1,calendar[[#This Row],[WeekDay]]=1, calendar[[#This Row],[WeekDay]]=7),P1577,P1577+1)</f>
        <v>1126</v>
      </c>
    </row>
    <row r="1579" spans="1:19" x14ac:dyDescent="0.25">
      <c r="A1579" s="2">
        <v>44313</v>
      </c>
      <c r="B1579" s="1">
        <f t="shared" si="123"/>
        <v>18</v>
      </c>
      <c r="C1579">
        <f t="shared" si="125"/>
        <v>4</v>
      </c>
      <c r="D1579" t="str">
        <f t="shared" si="126"/>
        <v>April</v>
      </c>
      <c r="E1579">
        <f t="shared" si="127"/>
        <v>2021</v>
      </c>
      <c r="F1579" t="str">
        <f>CONCATENATE(calendar[[#This Row],[Month]],"/",calendar[[#This Row],[Year]])</f>
        <v>4/2021</v>
      </c>
      <c r="G1579">
        <f>WEEKDAY(calendar[[#This Row],[Date]],1)</f>
        <v>3</v>
      </c>
      <c r="H1579" t="str">
        <f>TEXT(calendar[[#This Row],[WeekDay]],"dddd")</f>
        <v>Tuesday</v>
      </c>
      <c r="I1579">
        <f>IF((INT(calendar[[#This Row],[Count]]/7)-calendar[[#This Row],[Count]]/7)&lt;0,I1578,I1578+1)</f>
        <v>226</v>
      </c>
      <c r="J1579">
        <f t="shared" si="124"/>
        <v>1577</v>
      </c>
      <c r="K1579">
        <f>IF(calendar[[#This Row],[Month]]&lt;4,1,IF(calendar[[#This Row],[Month]]&lt;7,2,IF(calendar[[#This Row],[Month]]&lt;10,3,4)))</f>
        <v>2</v>
      </c>
      <c r="L1579">
        <f>IFERROR(IF(VLOOKUP(calendar[[#This Row],[Date]],BH!A:A,1,)&lt;&gt;"",1,0),0)</f>
        <v>0</v>
      </c>
      <c r="M1579">
        <f>IFERROR(IF(VLOOKUP(calendar[[#This Row],[Date]],BH!C:C,1,)&lt;&gt;"",1,0),0)</f>
        <v>0</v>
      </c>
      <c r="N1579">
        <f>IFERROR(IF(VLOOKUP(calendar[[#This Row],[Date]],BH!E:E,1,)&lt;&gt;"",1,0),0)</f>
        <v>0</v>
      </c>
      <c r="O1579">
        <f>IFERROR(IF(VLOOKUP(calendar[[#This Row],[Date]],BH!G:G,1,)&lt;&gt;"",1,0),0)</f>
        <v>0</v>
      </c>
      <c r="P1579">
        <f>IF(OR(calendar[[#This Row],[UK_BH]]=1,calendar[[#This Row],[WeekDay]]=1, calendar[[#This Row],[WeekDay]]=7),P1578,P1578+1)</f>
        <v>1127</v>
      </c>
      <c r="Q1579">
        <f>IF(OR(calendar[[#This Row],[FR_BH]]=1,calendar[[#This Row],[WeekDay]]=1, calendar[[#This Row],[WeekDay]]=7),P1578,P1578+1)</f>
        <v>1127</v>
      </c>
      <c r="R1579">
        <f>IF(OR(calendar[[#This Row],[SP_BH]]=1,calendar[[#This Row],[WeekDay]]=1, calendar[[#This Row],[WeekDay]]=7),P1578,P1578+1)</f>
        <v>1127</v>
      </c>
      <c r="S1579">
        <f>IF(OR(calendar[[#This Row],[PT_BH]]=1,calendar[[#This Row],[WeekDay]]=1, calendar[[#This Row],[WeekDay]]=7),P1578,P1578+1)</f>
        <v>1127</v>
      </c>
    </row>
    <row r="1580" spans="1:19" x14ac:dyDescent="0.25">
      <c r="A1580" s="2">
        <v>44314</v>
      </c>
      <c r="B1580" s="1">
        <f t="shared" si="123"/>
        <v>18</v>
      </c>
      <c r="C1580">
        <f t="shared" si="125"/>
        <v>4</v>
      </c>
      <c r="D1580" t="str">
        <f t="shared" si="126"/>
        <v>April</v>
      </c>
      <c r="E1580">
        <f t="shared" si="127"/>
        <v>2021</v>
      </c>
      <c r="F1580" t="str">
        <f>CONCATENATE(calendar[[#This Row],[Month]],"/",calendar[[#This Row],[Year]])</f>
        <v>4/2021</v>
      </c>
      <c r="G1580">
        <f>WEEKDAY(calendar[[#This Row],[Date]],1)</f>
        <v>4</v>
      </c>
      <c r="H1580" t="str">
        <f>TEXT(calendar[[#This Row],[WeekDay]],"dddd")</f>
        <v>Wednesday</v>
      </c>
      <c r="I1580">
        <f>IF((INT(calendar[[#This Row],[Count]]/7)-calendar[[#This Row],[Count]]/7)&lt;0,I1579,I1579+1)</f>
        <v>226</v>
      </c>
      <c r="J1580">
        <f t="shared" si="124"/>
        <v>1578</v>
      </c>
      <c r="K1580">
        <f>IF(calendar[[#This Row],[Month]]&lt;4,1,IF(calendar[[#This Row],[Month]]&lt;7,2,IF(calendar[[#This Row],[Month]]&lt;10,3,4)))</f>
        <v>2</v>
      </c>
      <c r="L1580">
        <f>IFERROR(IF(VLOOKUP(calendar[[#This Row],[Date]],BH!A:A,1,)&lt;&gt;"",1,0),0)</f>
        <v>0</v>
      </c>
      <c r="M1580">
        <f>IFERROR(IF(VLOOKUP(calendar[[#This Row],[Date]],BH!C:C,1,)&lt;&gt;"",1,0),0)</f>
        <v>0</v>
      </c>
      <c r="N1580">
        <f>IFERROR(IF(VLOOKUP(calendar[[#This Row],[Date]],BH!E:E,1,)&lt;&gt;"",1,0),0)</f>
        <v>0</v>
      </c>
      <c r="O1580">
        <f>IFERROR(IF(VLOOKUP(calendar[[#This Row],[Date]],BH!G:G,1,)&lt;&gt;"",1,0),0)</f>
        <v>0</v>
      </c>
      <c r="P1580">
        <f>IF(OR(calendar[[#This Row],[UK_BH]]=1,calendar[[#This Row],[WeekDay]]=1, calendar[[#This Row],[WeekDay]]=7),P1579,P1579+1)</f>
        <v>1128</v>
      </c>
      <c r="Q1580">
        <f>IF(OR(calendar[[#This Row],[FR_BH]]=1,calendar[[#This Row],[WeekDay]]=1, calendar[[#This Row],[WeekDay]]=7),P1579,P1579+1)</f>
        <v>1128</v>
      </c>
      <c r="R1580">
        <f>IF(OR(calendar[[#This Row],[SP_BH]]=1,calendar[[#This Row],[WeekDay]]=1, calendar[[#This Row],[WeekDay]]=7),P1579,P1579+1)</f>
        <v>1128</v>
      </c>
      <c r="S1580">
        <f>IF(OR(calendar[[#This Row],[PT_BH]]=1,calendar[[#This Row],[WeekDay]]=1, calendar[[#This Row],[WeekDay]]=7),P1579,P1579+1)</f>
        <v>1128</v>
      </c>
    </row>
    <row r="1581" spans="1:19" x14ac:dyDescent="0.25">
      <c r="A1581" s="2">
        <v>44315</v>
      </c>
      <c r="B1581" s="1">
        <f t="shared" si="123"/>
        <v>18</v>
      </c>
      <c r="C1581">
        <f t="shared" si="125"/>
        <v>4</v>
      </c>
      <c r="D1581" t="str">
        <f t="shared" si="126"/>
        <v>April</v>
      </c>
      <c r="E1581">
        <f t="shared" si="127"/>
        <v>2021</v>
      </c>
      <c r="F1581" t="str">
        <f>CONCATENATE(calendar[[#This Row],[Month]],"/",calendar[[#This Row],[Year]])</f>
        <v>4/2021</v>
      </c>
      <c r="G1581">
        <f>WEEKDAY(calendar[[#This Row],[Date]],1)</f>
        <v>5</v>
      </c>
      <c r="H1581" t="str">
        <f>TEXT(calendar[[#This Row],[WeekDay]],"dddd")</f>
        <v>Thursday</v>
      </c>
      <c r="I1581">
        <f>IF((INT(calendar[[#This Row],[Count]]/7)-calendar[[#This Row],[Count]]/7)&lt;0,I1580,I1580+1)</f>
        <v>226</v>
      </c>
      <c r="J1581">
        <f t="shared" si="124"/>
        <v>1579</v>
      </c>
      <c r="K1581">
        <f>IF(calendar[[#This Row],[Month]]&lt;4,1,IF(calendar[[#This Row],[Month]]&lt;7,2,IF(calendar[[#This Row],[Month]]&lt;10,3,4)))</f>
        <v>2</v>
      </c>
      <c r="L1581">
        <f>IFERROR(IF(VLOOKUP(calendar[[#This Row],[Date]],BH!A:A,1,)&lt;&gt;"",1,0),0)</f>
        <v>0</v>
      </c>
      <c r="M1581">
        <f>IFERROR(IF(VLOOKUP(calendar[[#This Row],[Date]],BH!C:C,1,)&lt;&gt;"",1,0),0)</f>
        <v>0</v>
      </c>
      <c r="N1581">
        <f>IFERROR(IF(VLOOKUP(calendar[[#This Row],[Date]],BH!E:E,1,)&lt;&gt;"",1,0),0)</f>
        <v>0</v>
      </c>
      <c r="O1581">
        <f>IFERROR(IF(VLOOKUP(calendar[[#This Row],[Date]],BH!G:G,1,)&lt;&gt;"",1,0),0)</f>
        <v>0</v>
      </c>
      <c r="P1581">
        <f>IF(OR(calendar[[#This Row],[UK_BH]]=1,calendar[[#This Row],[WeekDay]]=1, calendar[[#This Row],[WeekDay]]=7),P1580,P1580+1)</f>
        <v>1129</v>
      </c>
      <c r="Q1581">
        <f>IF(OR(calendar[[#This Row],[FR_BH]]=1,calendar[[#This Row],[WeekDay]]=1, calendar[[#This Row],[WeekDay]]=7),P1580,P1580+1)</f>
        <v>1129</v>
      </c>
      <c r="R1581">
        <f>IF(OR(calendar[[#This Row],[SP_BH]]=1,calendar[[#This Row],[WeekDay]]=1, calendar[[#This Row],[WeekDay]]=7),P1580,P1580+1)</f>
        <v>1129</v>
      </c>
      <c r="S1581">
        <f>IF(OR(calendar[[#This Row],[PT_BH]]=1,calendar[[#This Row],[WeekDay]]=1, calendar[[#This Row],[WeekDay]]=7),P1580,P1580+1)</f>
        <v>1129</v>
      </c>
    </row>
    <row r="1582" spans="1:19" x14ac:dyDescent="0.25">
      <c r="A1582" s="2">
        <v>44316</v>
      </c>
      <c r="B1582" s="1">
        <f t="shared" si="123"/>
        <v>18</v>
      </c>
      <c r="C1582">
        <f t="shared" si="125"/>
        <v>4</v>
      </c>
      <c r="D1582" t="str">
        <f t="shared" si="126"/>
        <v>April</v>
      </c>
      <c r="E1582">
        <f t="shared" si="127"/>
        <v>2021</v>
      </c>
      <c r="F1582" t="str">
        <f>CONCATENATE(calendar[[#This Row],[Month]],"/",calendar[[#This Row],[Year]])</f>
        <v>4/2021</v>
      </c>
      <c r="G1582">
        <f>WEEKDAY(calendar[[#This Row],[Date]],1)</f>
        <v>6</v>
      </c>
      <c r="H1582" t="str">
        <f>TEXT(calendar[[#This Row],[WeekDay]],"dddd")</f>
        <v>Friday</v>
      </c>
      <c r="I1582">
        <f>IF((INT(calendar[[#This Row],[Count]]/7)-calendar[[#This Row],[Count]]/7)&lt;0,I1581,I1581+1)</f>
        <v>226</v>
      </c>
      <c r="J1582">
        <f t="shared" si="124"/>
        <v>1580</v>
      </c>
      <c r="K1582">
        <f>IF(calendar[[#This Row],[Month]]&lt;4,1,IF(calendar[[#This Row],[Month]]&lt;7,2,IF(calendar[[#This Row],[Month]]&lt;10,3,4)))</f>
        <v>2</v>
      </c>
      <c r="L1582">
        <f>IFERROR(IF(VLOOKUP(calendar[[#This Row],[Date]],BH!A:A,1,)&lt;&gt;"",1,0),0)</f>
        <v>0</v>
      </c>
      <c r="M1582">
        <f>IFERROR(IF(VLOOKUP(calendar[[#This Row],[Date]],BH!C:C,1,)&lt;&gt;"",1,0),0)</f>
        <v>0</v>
      </c>
      <c r="N1582">
        <f>IFERROR(IF(VLOOKUP(calendar[[#This Row],[Date]],BH!E:E,1,)&lt;&gt;"",1,0),0)</f>
        <v>0</v>
      </c>
      <c r="O1582">
        <f>IFERROR(IF(VLOOKUP(calendar[[#This Row],[Date]],BH!G:G,1,)&lt;&gt;"",1,0),0)</f>
        <v>0</v>
      </c>
      <c r="P1582">
        <f>IF(OR(calendar[[#This Row],[UK_BH]]=1,calendar[[#This Row],[WeekDay]]=1, calendar[[#This Row],[WeekDay]]=7),P1581,P1581+1)</f>
        <v>1130</v>
      </c>
      <c r="Q1582">
        <f>IF(OR(calendar[[#This Row],[FR_BH]]=1,calendar[[#This Row],[WeekDay]]=1, calendar[[#This Row],[WeekDay]]=7),P1581,P1581+1)</f>
        <v>1130</v>
      </c>
      <c r="R1582">
        <f>IF(OR(calendar[[#This Row],[SP_BH]]=1,calendar[[#This Row],[WeekDay]]=1, calendar[[#This Row],[WeekDay]]=7),P1581,P1581+1)</f>
        <v>1130</v>
      </c>
      <c r="S1582">
        <f>IF(OR(calendar[[#This Row],[PT_BH]]=1,calendar[[#This Row],[WeekDay]]=1, calendar[[#This Row],[WeekDay]]=7),P1581,P1581+1)</f>
        <v>1130</v>
      </c>
    </row>
    <row r="1583" spans="1:19" x14ac:dyDescent="0.25">
      <c r="A1583" s="2">
        <v>44317</v>
      </c>
      <c r="B1583" s="1">
        <f t="shared" si="123"/>
        <v>18</v>
      </c>
      <c r="C1583">
        <f t="shared" si="125"/>
        <v>5</v>
      </c>
      <c r="D1583" t="str">
        <f t="shared" si="126"/>
        <v>May</v>
      </c>
      <c r="E1583">
        <f t="shared" si="127"/>
        <v>2021</v>
      </c>
      <c r="F1583" t="str">
        <f>CONCATENATE(calendar[[#This Row],[Month]],"/",calendar[[#This Row],[Year]])</f>
        <v>5/2021</v>
      </c>
      <c r="G1583">
        <f>WEEKDAY(calendar[[#This Row],[Date]],1)</f>
        <v>7</v>
      </c>
      <c r="H1583" t="str">
        <f>TEXT(calendar[[#This Row],[WeekDay]],"dddd")</f>
        <v>Saturday</v>
      </c>
      <c r="I1583">
        <f>IF((INT(calendar[[#This Row],[Count]]/7)-calendar[[#This Row],[Count]]/7)&lt;0,I1582,I1582+1)</f>
        <v>226</v>
      </c>
      <c r="J1583">
        <f t="shared" si="124"/>
        <v>1581</v>
      </c>
      <c r="K1583">
        <f>IF(calendar[[#This Row],[Month]]&lt;4,1,IF(calendar[[#This Row],[Month]]&lt;7,2,IF(calendar[[#This Row],[Month]]&lt;10,3,4)))</f>
        <v>2</v>
      </c>
      <c r="L1583">
        <f>IFERROR(IF(VLOOKUP(calendar[[#This Row],[Date]],BH!A:A,1,)&lt;&gt;"",1,0),0)</f>
        <v>0</v>
      </c>
      <c r="M1583">
        <f>IFERROR(IF(VLOOKUP(calendar[[#This Row],[Date]],BH!C:C,1,)&lt;&gt;"",1,0),0)</f>
        <v>0</v>
      </c>
      <c r="N1583">
        <f>IFERROR(IF(VLOOKUP(calendar[[#This Row],[Date]],BH!E:E,1,)&lt;&gt;"",1,0),0)</f>
        <v>0</v>
      </c>
      <c r="O1583">
        <f>IFERROR(IF(VLOOKUP(calendar[[#This Row],[Date]],BH!G:G,1,)&lt;&gt;"",1,0),0)</f>
        <v>0</v>
      </c>
      <c r="P1583">
        <f>IF(OR(calendar[[#This Row],[UK_BH]]=1,calendar[[#This Row],[WeekDay]]=1, calendar[[#This Row],[WeekDay]]=7),P1582,P1582+1)</f>
        <v>1130</v>
      </c>
      <c r="Q1583">
        <f>IF(OR(calendar[[#This Row],[FR_BH]]=1,calendar[[#This Row],[WeekDay]]=1, calendar[[#This Row],[WeekDay]]=7),P1582,P1582+1)</f>
        <v>1130</v>
      </c>
      <c r="R1583">
        <f>IF(OR(calendar[[#This Row],[SP_BH]]=1,calendar[[#This Row],[WeekDay]]=1, calendar[[#This Row],[WeekDay]]=7),P1582,P1582+1)</f>
        <v>1130</v>
      </c>
      <c r="S1583">
        <f>IF(OR(calendar[[#This Row],[PT_BH]]=1,calendar[[#This Row],[WeekDay]]=1, calendar[[#This Row],[WeekDay]]=7),P1582,P1582+1)</f>
        <v>1130</v>
      </c>
    </row>
    <row r="1584" spans="1:19" x14ac:dyDescent="0.25">
      <c r="A1584" s="2">
        <v>44318</v>
      </c>
      <c r="B1584" s="1">
        <f t="shared" si="123"/>
        <v>19</v>
      </c>
      <c r="C1584">
        <f t="shared" si="125"/>
        <v>5</v>
      </c>
      <c r="D1584" t="str">
        <f t="shared" si="126"/>
        <v>May</v>
      </c>
      <c r="E1584">
        <f t="shared" si="127"/>
        <v>2021</v>
      </c>
      <c r="F1584" t="str">
        <f>CONCATENATE(calendar[[#This Row],[Month]],"/",calendar[[#This Row],[Year]])</f>
        <v>5/2021</v>
      </c>
      <c r="G1584">
        <f>WEEKDAY(calendar[[#This Row],[Date]],1)</f>
        <v>1</v>
      </c>
      <c r="H1584" t="str">
        <f>TEXT(calendar[[#This Row],[WeekDay]],"dddd")</f>
        <v>Sunday</v>
      </c>
      <c r="I1584">
        <f>IF((INT(calendar[[#This Row],[Count]]/7)-calendar[[#This Row],[Count]]/7)&lt;0,I1583,I1583+1)</f>
        <v>227</v>
      </c>
      <c r="J1584">
        <f t="shared" si="124"/>
        <v>1582</v>
      </c>
      <c r="K1584">
        <f>IF(calendar[[#This Row],[Month]]&lt;4,1,IF(calendar[[#This Row],[Month]]&lt;7,2,IF(calendar[[#This Row],[Month]]&lt;10,3,4)))</f>
        <v>2</v>
      </c>
      <c r="L1584">
        <f>IFERROR(IF(VLOOKUP(calendar[[#This Row],[Date]],BH!A:A,1,)&lt;&gt;"",1,0),0)</f>
        <v>0</v>
      </c>
      <c r="M1584">
        <f>IFERROR(IF(VLOOKUP(calendar[[#This Row],[Date]],BH!C:C,1,)&lt;&gt;"",1,0),0)</f>
        <v>0</v>
      </c>
      <c r="N1584">
        <f>IFERROR(IF(VLOOKUP(calendar[[#This Row],[Date]],BH!E:E,1,)&lt;&gt;"",1,0),0)</f>
        <v>0</v>
      </c>
      <c r="O1584">
        <f>IFERROR(IF(VLOOKUP(calendar[[#This Row],[Date]],BH!G:G,1,)&lt;&gt;"",1,0),0)</f>
        <v>0</v>
      </c>
      <c r="P1584">
        <f>IF(OR(calendar[[#This Row],[UK_BH]]=1,calendar[[#This Row],[WeekDay]]=1, calendar[[#This Row],[WeekDay]]=7),P1583,P1583+1)</f>
        <v>1130</v>
      </c>
      <c r="Q1584">
        <f>IF(OR(calendar[[#This Row],[FR_BH]]=1,calendar[[#This Row],[WeekDay]]=1, calendar[[#This Row],[WeekDay]]=7),P1583,P1583+1)</f>
        <v>1130</v>
      </c>
      <c r="R1584">
        <f>IF(OR(calendar[[#This Row],[SP_BH]]=1,calendar[[#This Row],[WeekDay]]=1, calendar[[#This Row],[WeekDay]]=7),P1583,P1583+1)</f>
        <v>1130</v>
      </c>
      <c r="S1584">
        <f>IF(OR(calendar[[#This Row],[PT_BH]]=1,calendar[[#This Row],[WeekDay]]=1, calendar[[#This Row],[WeekDay]]=7),P1583,P1583+1)</f>
        <v>1130</v>
      </c>
    </row>
    <row r="1585" spans="1:19" x14ac:dyDescent="0.25">
      <c r="A1585" s="2">
        <v>44319</v>
      </c>
      <c r="B1585" s="1">
        <f t="shared" si="123"/>
        <v>19</v>
      </c>
      <c r="C1585">
        <f t="shared" si="125"/>
        <v>5</v>
      </c>
      <c r="D1585" t="str">
        <f t="shared" si="126"/>
        <v>May</v>
      </c>
      <c r="E1585">
        <f t="shared" si="127"/>
        <v>2021</v>
      </c>
      <c r="F1585" t="str">
        <f>CONCATENATE(calendar[[#This Row],[Month]],"/",calendar[[#This Row],[Year]])</f>
        <v>5/2021</v>
      </c>
      <c r="G1585">
        <f>WEEKDAY(calendar[[#This Row],[Date]],1)</f>
        <v>2</v>
      </c>
      <c r="H1585" t="str">
        <f>TEXT(calendar[[#This Row],[WeekDay]],"dddd")</f>
        <v>Monday</v>
      </c>
      <c r="I1585">
        <f>IF((INT(calendar[[#This Row],[Count]]/7)-calendar[[#This Row],[Count]]/7)&lt;0,I1584,I1584+1)</f>
        <v>227</v>
      </c>
      <c r="J1585">
        <f t="shared" si="124"/>
        <v>1583</v>
      </c>
      <c r="K1585">
        <f>IF(calendar[[#This Row],[Month]]&lt;4,1,IF(calendar[[#This Row],[Month]]&lt;7,2,IF(calendar[[#This Row],[Month]]&lt;10,3,4)))</f>
        <v>2</v>
      </c>
      <c r="L1585">
        <f>IFERROR(IF(VLOOKUP(calendar[[#This Row],[Date]],BH!A:A,1,)&lt;&gt;"",1,0),0)</f>
        <v>0</v>
      </c>
      <c r="M1585">
        <f>IFERROR(IF(VLOOKUP(calendar[[#This Row],[Date]],BH!C:C,1,)&lt;&gt;"",1,0),0)</f>
        <v>0</v>
      </c>
      <c r="N1585">
        <f>IFERROR(IF(VLOOKUP(calendar[[#This Row],[Date]],BH!E:E,1,)&lt;&gt;"",1,0),0)</f>
        <v>0</v>
      </c>
      <c r="O1585">
        <f>IFERROR(IF(VLOOKUP(calendar[[#This Row],[Date]],BH!G:G,1,)&lt;&gt;"",1,0),0)</f>
        <v>0</v>
      </c>
      <c r="P1585">
        <f>IF(OR(calendar[[#This Row],[UK_BH]]=1,calendar[[#This Row],[WeekDay]]=1, calendar[[#This Row],[WeekDay]]=7),P1584,P1584+1)</f>
        <v>1131</v>
      </c>
      <c r="Q1585">
        <f>IF(OR(calendar[[#This Row],[FR_BH]]=1,calendar[[#This Row],[WeekDay]]=1, calendar[[#This Row],[WeekDay]]=7),P1584,P1584+1)</f>
        <v>1131</v>
      </c>
      <c r="R1585">
        <f>IF(OR(calendar[[#This Row],[SP_BH]]=1,calendar[[#This Row],[WeekDay]]=1, calendar[[#This Row],[WeekDay]]=7),P1584,P1584+1)</f>
        <v>1131</v>
      </c>
      <c r="S1585">
        <f>IF(OR(calendar[[#This Row],[PT_BH]]=1,calendar[[#This Row],[WeekDay]]=1, calendar[[#This Row],[WeekDay]]=7),P1584,P1584+1)</f>
        <v>1131</v>
      </c>
    </row>
    <row r="1586" spans="1:19" x14ac:dyDescent="0.25">
      <c r="A1586" s="2">
        <v>44320</v>
      </c>
      <c r="B1586" s="1">
        <f t="shared" si="123"/>
        <v>19</v>
      </c>
      <c r="C1586">
        <f t="shared" si="125"/>
        <v>5</v>
      </c>
      <c r="D1586" t="str">
        <f t="shared" si="126"/>
        <v>May</v>
      </c>
      <c r="E1586">
        <f t="shared" si="127"/>
        <v>2021</v>
      </c>
      <c r="F1586" t="str">
        <f>CONCATENATE(calendar[[#This Row],[Month]],"/",calendar[[#This Row],[Year]])</f>
        <v>5/2021</v>
      </c>
      <c r="G1586">
        <f>WEEKDAY(calendar[[#This Row],[Date]],1)</f>
        <v>3</v>
      </c>
      <c r="H1586" t="str">
        <f>TEXT(calendar[[#This Row],[WeekDay]],"dddd")</f>
        <v>Tuesday</v>
      </c>
      <c r="I1586">
        <f>IF((INT(calendar[[#This Row],[Count]]/7)-calendar[[#This Row],[Count]]/7)&lt;0,I1585,I1585+1)</f>
        <v>227</v>
      </c>
      <c r="J1586">
        <f t="shared" si="124"/>
        <v>1584</v>
      </c>
      <c r="K1586">
        <f>IF(calendar[[#This Row],[Month]]&lt;4,1,IF(calendar[[#This Row],[Month]]&lt;7,2,IF(calendar[[#This Row],[Month]]&lt;10,3,4)))</f>
        <v>2</v>
      </c>
      <c r="L1586">
        <f>IFERROR(IF(VLOOKUP(calendar[[#This Row],[Date]],BH!A:A,1,)&lt;&gt;"",1,0),0)</f>
        <v>0</v>
      </c>
      <c r="M1586">
        <f>IFERROR(IF(VLOOKUP(calendar[[#This Row],[Date]],BH!C:C,1,)&lt;&gt;"",1,0),0)</f>
        <v>0</v>
      </c>
      <c r="N1586">
        <f>IFERROR(IF(VLOOKUP(calendar[[#This Row],[Date]],BH!E:E,1,)&lt;&gt;"",1,0),0)</f>
        <v>0</v>
      </c>
      <c r="O1586">
        <f>IFERROR(IF(VLOOKUP(calendar[[#This Row],[Date]],BH!G:G,1,)&lt;&gt;"",1,0),0)</f>
        <v>0</v>
      </c>
      <c r="P1586">
        <f>IF(OR(calendar[[#This Row],[UK_BH]]=1,calendar[[#This Row],[WeekDay]]=1, calendar[[#This Row],[WeekDay]]=7),P1585,P1585+1)</f>
        <v>1132</v>
      </c>
      <c r="Q1586">
        <f>IF(OR(calendar[[#This Row],[FR_BH]]=1,calendar[[#This Row],[WeekDay]]=1, calendar[[#This Row],[WeekDay]]=7),P1585,P1585+1)</f>
        <v>1132</v>
      </c>
      <c r="R1586">
        <f>IF(OR(calendar[[#This Row],[SP_BH]]=1,calendar[[#This Row],[WeekDay]]=1, calendar[[#This Row],[WeekDay]]=7),P1585,P1585+1)</f>
        <v>1132</v>
      </c>
      <c r="S1586">
        <f>IF(OR(calendar[[#This Row],[PT_BH]]=1,calendar[[#This Row],[WeekDay]]=1, calendar[[#This Row],[WeekDay]]=7),P1585,P1585+1)</f>
        <v>1132</v>
      </c>
    </row>
    <row r="1587" spans="1:19" x14ac:dyDescent="0.25">
      <c r="A1587" s="2">
        <v>44321</v>
      </c>
      <c r="B1587" s="1">
        <f t="shared" si="123"/>
        <v>19</v>
      </c>
      <c r="C1587">
        <f t="shared" si="125"/>
        <v>5</v>
      </c>
      <c r="D1587" t="str">
        <f t="shared" si="126"/>
        <v>May</v>
      </c>
      <c r="E1587">
        <f t="shared" si="127"/>
        <v>2021</v>
      </c>
      <c r="F1587" t="str">
        <f>CONCATENATE(calendar[[#This Row],[Month]],"/",calendar[[#This Row],[Year]])</f>
        <v>5/2021</v>
      </c>
      <c r="G1587">
        <f>WEEKDAY(calendar[[#This Row],[Date]],1)</f>
        <v>4</v>
      </c>
      <c r="H1587" t="str">
        <f>TEXT(calendar[[#This Row],[WeekDay]],"dddd")</f>
        <v>Wednesday</v>
      </c>
      <c r="I1587">
        <f>IF((INT(calendar[[#This Row],[Count]]/7)-calendar[[#This Row],[Count]]/7)&lt;0,I1586,I1586+1)</f>
        <v>227</v>
      </c>
      <c r="J1587">
        <f t="shared" si="124"/>
        <v>1585</v>
      </c>
      <c r="K1587">
        <f>IF(calendar[[#This Row],[Month]]&lt;4,1,IF(calendar[[#This Row],[Month]]&lt;7,2,IF(calendar[[#This Row],[Month]]&lt;10,3,4)))</f>
        <v>2</v>
      </c>
      <c r="L1587">
        <f>IFERROR(IF(VLOOKUP(calendar[[#This Row],[Date]],BH!A:A,1,)&lt;&gt;"",1,0),0)</f>
        <v>0</v>
      </c>
      <c r="M1587">
        <f>IFERROR(IF(VLOOKUP(calendar[[#This Row],[Date]],BH!C:C,1,)&lt;&gt;"",1,0),0)</f>
        <v>0</v>
      </c>
      <c r="N1587">
        <f>IFERROR(IF(VLOOKUP(calendar[[#This Row],[Date]],BH!E:E,1,)&lt;&gt;"",1,0),0)</f>
        <v>0</v>
      </c>
      <c r="O1587">
        <f>IFERROR(IF(VLOOKUP(calendar[[#This Row],[Date]],BH!G:G,1,)&lt;&gt;"",1,0),0)</f>
        <v>0</v>
      </c>
      <c r="P1587">
        <f>IF(OR(calendar[[#This Row],[UK_BH]]=1,calendar[[#This Row],[WeekDay]]=1, calendar[[#This Row],[WeekDay]]=7),P1586,P1586+1)</f>
        <v>1133</v>
      </c>
      <c r="Q1587">
        <f>IF(OR(calendar[[#This Row],[FR_BH]]=1,calendar[[#This Row],[WeekDay]]=1, calendar[[#This Row],[WeekDay]]=7),P1586,P1586+1)</f>
        <v>1133</v>
      </c>
      <c r="R1587">
        <f>IF(OR(calendar[[#This Row],[SP_BH]]=1,calendar[[#This Row],[WeekDay]]=1, calendar[[#This Row],[WeekDay]]=7),P1586,P1586+1)</f>
        <v>1133</v>
      </c>
      <c r="S1587">
        <f>IF(OR(calendar[[#This Row],[PT_BH]]=1,calendar[[#This Row],[WeekDay]]=1, calendar[[#This Row],[WeekDay]]=7),P1586,P1586+1)</f>
        <v>1133</v>
      </c>
    </row>
    <row r="1588" spans="1:19" x14ac:dyDescent="0.25">
      <c r="A1588" s="2">
        <v>44322</v>
      </c>
      <c r="B1588" s="1">
        <f t="shared" si="123"/>
        <v>19</v>
      </c>
      <c r="C1588">
        <f t="shared" si="125"/>
        <v>5</v>
      </c>
      <c r="D1588" t="str">
        <f t="shared" si="126"/>
        <v>May</v>
      </c>
      <c r="E1588">
        <f t="shared" si="127"/>
        <v>2021</v>
      </c>
      <c r="F1588" t="str">
        <f>CONCATENATE(calendar[[#This Row],[Month]],"/",calendar[[#This Row],[Year]])</f>
        <v>5/2021</v>
      </c>
      <c r="G1588">
        <f>WEEKDAY(calendar[[#This Row],[Date]],1)</f>
        <v>5</v>
      </c>
      <c r="H1588" t="str">
        <f>TEXT(calendar[[#This Row],[WeekDay]],"dddd")</f>
        <v>Thursday</v>
      </c>
      <c r="I1588">
        <f>IF((INT(calendar[[#This Row],[Count]]/7)-calendar[[#This Row],[Count]]/7)&lt;0,I1587,I1587+1)</f>
        <v>227</v>
      </c>
      <c r="J1588">
        <f t="shared" si="124"/>
        <v>1586</v>
      </c>
      <c r="K1588">
        <f>IF(calendar[[#This Row],[Month]]&lt;4,1,IF(calendar[[#This Row],[Month]]&lt;7,2,IF(calendar[[#This Row],[Month]]&lt;10,3,4)))</f>
        <v>2</v>
      </c>
      <c r="L1588">
        <f>IFERROR(IF(VLOOKUP(calendar[[#This Row],[Date]],BH!A:A,1,)&lt;&gt;"",1,0),0)</f>
        <v>0</v>
      </c>
      <c r="M1588">
        <f>IFERROR(IF(VLOOKUP(calendar[[#This Row],[Date]],BH!C:C,1,)&lt;&gt;"",1,0),0)</f>
        <v>0</v>
      </c>
      <c r="N1588">
        <f>IFERROR(IF(VLOOKUP(calendar[[#This Row],[Date]],BH!E:E,1,)&lt;&gt;"",1,0),0)</f>
        <v>0</v>
      </c>
      <c r="O1588">
        <f>IFERROR(IF(VLOOKUP(calendar[[#This Row],[Date]],BH!G:G,1,)&lt;&gt;"",1,0),0)</f>
        <v>0</v>
      </c>
      <c r="P1588">
        <f>IF(OR(calendar[[#This Row],[UK_BH]]=1,calendar[[#This Row],[WeekDay]]=1, calendar[[#This Row],[WeekDay]]=7),P1587,P1587+1)</f>
        <v>1134</v>
      </c>
      <c r="Q1588">
        <f>IF(OR(calendar[[#This Row],[FR_BH]]=1,calendar[[#This Row],[WeekDay]]=1, calendar[[#This Row],[WeekDay]]=7),P1587,P1587+1)</f>
        <v>1134</v>
      </c>
      <c r="R1588">
        <f>IF(OR(calendar[[#This Row],[SP_BH]]=1,calendar[[#This Row],[WeekDay]]=1, calendar[[#This Row],[WeekDay]]=7),P1587,P1587+1)</f>
        <v>1134</v>
      </c>
      <c r="S1588">
        <f>IF(OR(calendar[[#This Row],[PT_BH]]=1,calendar[[#This Row],[WeekDay]]=1, calendar[[#This Row],[WeekDay]]=7),P1587,P1587+1)</f>
        <v>1134</v>
      </c>
    </row>
    <row r="1589" spans="1:19" x14ac:dyDescent="0.25">
      <c r="A1589" s="2">
        <v>44323</v>
      </c>
      <c r="B1589" s="1">
        <f t="shared" si="123"/>
        <v>19</v>
      </c>
      <c r="C1589">
        <f t="shared" si="125"/>
        <v>5</v>
      </c>
      <c r="D1589" t="str">
        <f t="shared" si="126"/>
        <v>May</v>
      </c>
      <c r="E1589">
        <f t="shared" si="127"/>
        <v>2021</v>
      </c>
      <c r="F1589" t="str">
        <f>CONCATENATE(calendar[[#This Row],[Month]],"/",calendar[[#This Row],[Year]])</f>
        <v>5/2021</v>
      </c>
      <c r="G1589">
        <f>WEEKDAY(calendar[[#This Row],[Date]],1)</f>
        <v>6</v>
      </c>
      <c r="H1589" t="str">
        <f>TEXT(calendar[[#This Row],[WeekDay]],"dddd")</f>
        <v>Friday</v>
      </c>
      <c r="I1589">
        <f>IF((INT(calendar[[#This Row],[Count]]/7)-calendar[[#This Row],[Count]]/7)&lt;0,I1588,I1588+1)</f>
        <v>227</v>
      </c>
      <c r="J1589">
        <f t="shared" si="124"/>
        <v>1587</v>
      </c>
      <c r="K1589">
        <f>IF(calendar[[#This Row],[Month]]&lt;4,1,IF(calendar[[#This Row],[Month]]&lt;7,2,IF(calendar[[#This Row],[Month]]&lt;10,3,4)))</f>
        <v>2</v>
      </c>
      <c r="L1589">
        <f>IFERROR(IF(VLOOKUP(calendar[[#This Row],[Date]],BH!A:A,1,)&lt;&gt;"",1,0),0)</f>
        <v>0</v>
      </c>
      <c r="M1589">
        <f>IFERROR(IF(VLOOKUP(calendar[[#This Row],[Date]],BH!C:C,1,)&lt;&gt;"",1,0),0)</f>
        <v>0</v>
      </c>
      <c r="N1589">
        <f>IFERROR(IF(VLOOKUP(calendar[[#This Row],[Date]],BH!E:E,1,)&lt;&gt;"",1,0),0)</f>
        <v>0</v>
      </c>
      <c r="O1589">
        <f>IFERROR(IF(VLOOKUP(calendar[[#This Row],[Date]],BH!G:G,1,)&lt;&gt;"",1,0),0)</f>
        <v>0</v>
      </c>
      <c r="P1589">
        <f>IF(OR(calendar[[#This Row],[UK_BH]]=1,calendar[[#This Row],[WeekDay]]=1, calendar[[#This Row],[WeekDay]]=7),P1588,P1588+1)</f>
        <v>1135</v>
      </c>
      <c r="Q1589">
        <f>IF(OR(calendar[[#This Row],[FR_BH]]=1,calendar[[#This Row],[WeekDay]]=1, calendar[[#This Row],[WeekDay]]=7),P1588,P1588+1)</f>
        <v>1135</v>
      </c>
      <c r="R1589">
        <f>IF(OR(calendar[[#This Row],[SP_BH]]=1,calendar[[#This Row],[WeekDay]]=1, calendar[[#This Row],[WeekDay]]=7),P1588,P1588+1)</f>
        <v>1135</v>
      </c>
      <c r="S1589">
        <f>IF(OR(calendar[[#This Row],[PT_BH]]=1,calendar[[#This Row],[WeekDay]]=1, calendar[[#This Row],[WeekDay]]=7),P1588,P1588+1)</f>
        <v>1135</v>
      </c>
    </row>
    <row r="1590" spans="1:19" x14ac:dyDescent="0.25">
      <c r="A1590" s="2">
        <v>44324</v>
      </c>
      <c r="B1590" s="1">
        <f t="shared" si="123"/>
        <v>19</v>
      </c>
      <c r="C1590">
        <f t="shared" si="125"/>
        <v>5</v>
      </c>
      <c r="D1590" t="str">
        <f t="shared" si="126"/>
        <v>May</v>
      </c>
      <c r="E1590">
        <f t="shared" si="127"/>
        <v>2021</v>
      </c>
      <c r="F1590" t="str">
        <f>CONCATENATE(calendar[[#This Row],[Month]],"/",calendar[[#This Row],[Year]])</f>
        <v>5/2021</v>
      </c>
      <c r="G1590">
        <f>WEEKDAY(calendar[[#This Row],[Date]],1)</f>
        <v>7</v>
      </c>
      <c r="H1590" t="str">
        <f>TEXT(calendar[[#This Row],[WeekDay]],"dddd")</f>
        <v>Saturday</v>
      </c>
      <c r="I1590">
        <f>IF((INT(calendar[[#This Row],[Count]]/7)-calendar[[#This Row],[Count]]/7)&lt;0,I1589,I1589+1)</f>
        <v>227</v>
      </c>
      <c r="J1590">
        <f t="shared" si="124"/>
        <v>1588</v>
      </c>
      <c r="K1590">
        <f>IF(calendar[[#This Row],[Month]]&lt;4,1,IF(calendar[[#This Row],[Month]]&lt;7,2,IF(calendar[[#This Row],[Month]]&lt;10,3,4)))</f>
        <v>2</v>
      </c>
      <c r="L1590">
        <f>IFERROR(IF(VLOOKUP(calendar[[#This Row],[Date]],BH!A:A,1,)&lt;&gt;"",1,0),0)</f>
        <v>0</v>
      </c>
      <c r="M1590">
        <f>IFERROR(IF(VLOOKUP(calendar[[#This Row],[Date]],BH!C:C,1,)&lt;&gt;"",1,0),0)</f>
        <v>0</v>
      </c>
      <c r="N1590">
        <f>IFERROR(IF(VLOOKUP(calendar[[#This Row],[Date]],BH!E:E,1,)&lt;&gt;"",1,0),0)</f>
        <v>0</v>
      </c>
      <c r="O1590">
        <f>IFERROR(IF(VLOOKUP(calendar[[#This Row],[Date]],BH!G:G,1,)&lt;&gt;"",1,0),0)</f>
        <v>0</v>
      </c>
      <c r="P1590">
        <f>IF(OR(calendar[[#This Row],[UK_BH]]=1,calendar[[#This Row],[WeekDay]]=1, calendar[[#This Row],[WeekDay]]=7),P1589,P1589+1)</f>
        <v>1135</v>
      </c>
      <c r="Q1590">
        <f>IF(OR(calendar[[#This Row],[FR_BH]]=1,calendar[[#This Row],[WeekDay]]=1, calendar[[#This Row],[WeekDay]]=7),P1589,P1589+1)</f>
        <v>1135</v>
      </c>
      <c r="R1590">
        <f>IF(OR(calendar[[#This Row],[SP_BH]]=1,calendar[[#This Row],[WeekDay]]=1, calendar[[#This Row],[WeekDay]]=7),P1589,P1589+1)</f>
        <v>1135</v>
      </c>
      <c r="S1590">
        <f>IF(OR(calendar[[#This Row],[PT_BH]]=1,calendar[[#This Row],[WeekDay]]=1, calendar[[#This Row],[WeekDay]]=7),P1589,P1589+1)</f>
        <v>1135</v>
      </c>
    </row>
    <row r="1591" spans="1:19" x14ac:dyDescent="0.25">
      <c r="A1591" s="2">
        <v>44325</v>
      </c>
      <c r="B1591" s="1">
        <f t="shared" si="123"/>
        <v>20</v>
      </c>
      <c r="C1591">
        <f t="shared" si="125"/>
        <v>5</v>
      </c>
      <c r="D1591" t="str">
        <f t="shared" si="126"/>
        <v>May</v>
      </c>
      <c r="E1591">
        <f t="shared" si="127"/>
        <v>2021</v>
      </c>
      <c r="F1591" t="str">
        <f>CONCATENATE(calendar[[#This Row],[Month]],"/",calendar[[#This Row],[Year]])</f>
        <v>5/2021</v>
      </c>
      <c r="G1591">
        <f>WEEKDAY(calendar[[#This Row],[Date]],1)</f>
        <v>1</v>
      </c>
      <c r="H1591" t="str">
        <f>TEXT(calendar[[#This Row],[WeekDay]],"dddd")</f>
        <v>Sunday</v>
      </c>
      <c r="I1591">
        <f>IF((INT(calendar[[#This Row],[Count]]/7)-calendar[[#This Row],[Count]]/7)&lt;0,I1590,I1590+1)</f>
        <v>228</v>
      </c>
      <c r="J1591">
        <f t="shared" si="124"/>
        <v>1589</v>
      </c>
      <c r="K1591">
        <f>IF(calendar[[#This Row],[Month]]&lt;4,1,IF(calendar[[#This Row],[Month]]&lt;7,2,IF(calendar[[#This Row],[Month]]&lt;10,3,4)))</f>
        <v>2</v>
      </c>
      <c r="L1591">
        <f>IFERROR(IF(VLOOKUP(calendar[[#This Row],[Date]],BH!A:A,1,)&lt;&gt;"",1,0),0)</f>
        <v>0</v>
      </c>
      <c r="M1591">
        <f>IFERROR(IF(VLOOKUP(calendar[[#This Row],[Date]],BH!C:C,1,)&lt;&gt;"",1,0),0)</f>
        <v>0</v>
      </c>
      <c r="N1591">
        <f>IFERROR(IF(VLOOKUP(calendar[[#This Row],[Date]],BH!E:E,1,)&lt;&gt;"",1,0),0)</f>
        <v>0</v>
      </c>
      <c r="O1591">
        <f>IFERROR(IF(VLOOKUP(calendar[[#This Row],[Date]],BH!G:G,1,)&lt;&gt;"",1,0),0)</f>
        <v>0</v>
      </c>
      <c r="P1591">
        <f>IF(OR(calendar[[#This Row],[UK_BH]]=1,calendar[[#This Row],[WeekDay]]=1, calendar[[#This Row],[WeekDay]]=7),P1590,P1590+1)</f>
        <v>1135</v>
      </c>
      <c r="Q1591">
        <f>IF(OR(calendar[[#This Row],[FR_BH]]=1,calendar[[#This Row],[WeekDay]]=1, calendar[[#This Row],[WeekDay]]=7),P1590,P1590+1)</f>
        <v>1135</v>
      </c>
      <c r="R1591">
        <f>IF(OR(calendar[[#This Row],[SP_BH]]=1,calendar[[#This Row],[WeekDay]]=1, calendar[[#This Row],[WeekDay]]=7),P1590,P1590+1)</f>
        <v>1135</v>
      </c>
      <c r="S1591">
        <f>IF(OR(calendar[[#This Row],[PT_BH]]=1,calendar[[#This Row],[WeekDay]]=1, calendar[[#This Row],[WeekDay]]=7),P1590,P1590+1)</f>
        <v>1135</v>
      </c>
    </row>
    <row r="1592" spans="1:19" x14ac:dyDescent="0.25">
      <c r="A1592" s="2">
        <v>44326</v>
      </c>
      <c r="B1592" s="1">
        <f t="shared" si="123"/>
        <v>20</v>
      </c>
      <c r="C1592">
        <f t="shared" si="125"/>
        <v>5</v>
      </c>
      <c r="D1592" t="str">
        <f t="shared" si="126"/>
        <v>May</v>
      </c>
      <c r="E1592">
        <f t="shared" si="127"/>
        <v>2021</v>
      </c>
      <c r="F1592" t="str">
        <f>CONCATENATE(calendar[[#This Row],[Month]],"/",calendar[[#This Row],[Year]])</f>
        <v>5/2021</v>
      </c>
      <c r="G1592">
        <f>WEEKDAY(calendar[[#This Row],[Date]],1)</f>
        <v>2</v>
      </c>
      <c r="H1592" t="str">
        <f>TEXT(calendar[[#This Row],[WeekDay]],"dddd")</f>
        <v>Monday</v>
      </c>
      <c r="I1592">
        <f>IF((INT(calendar[[#This Row],[Count]]/7)-calendar[[#This Row],[Count]]/7)&lt;0,I1591,I1591+1)</f>
        <v>228</v>
      </c>
      <c r="J1592">
        <f t="shared" si="124"/>
        <v>1590</v>
      </c>
      <c r="K1592">
        <f>IF(calendar[[#This Row],[Month]]&lt;4,1,IF(calendar[[#This Row],[Month]]&lt;7,2,IF(calendar[[#This Row],[Month]]&lt;10,3,4)))</f>
        <v>2</v>
      </c>
      <c r="L1592">
        <f>IFERROR(IF(VLOOKUP(calendar[[#This Row],[Date]],BH!A:A,1,)&lt;&gt;"",1,0),0)</f>
        <v>0</v>
      </c>
      <c r="M1592">
        <f>IFERROR(IF(VLOOKUP(calendar[[#This Row],[Date]],BH!C:C,1,)&lt;&gt;"",1,0),0)</f>
        <v>0</v>
      </c>
      <c r="N1592">
        <f>IFERROR(IF(VLOOKUP(calendar[[#This Row],[Date]],BH!E:E,1,)&lt;&gt;"",1,0),0)</f>
        <v>0</v>
      </c>
      <c r="O1592">
        <f>IFERROR(IF(VLOOKUP(calendar[[#This Row],[Date]],BH!G:G,1,)&lt;&gt;"",1,0),0)</f>
        <v>0</v>
      </c>
      <c r="P1592">
        <f>IF(OR(calendar[[#This Row],[UK_BH]]=1,calendar[[#This Row],[WeekDay]]=1, calendar[[#This Row],[WeekDay]]=7),P1591,P1591+1)</f>
        <v>1136</v>
      </c>
      <c r="Q1592">
        <f>IF(OR(calendar[[#This Row],[FR_BH]]=1,calendar[[#This Row],[WeekDay]]=1, calendar[[#This Row],[WeekDay]]=7),P1591,P1591+1)</f>
        <v>1136</v>
      </c>
      <c r="R1592">
        <f>IF(OR(calendar[[#This Row],[SP_BH]]=1,calendar[[#This Row],[WeekDay]]=1, calendar[[#This Row],[WeekDay]]=7),P1591,P1591+1)</f>
        <v>1136</v>
      </c>
      <c r="S1592">
        <f>IF(OR(calendar[[#This Row],[PT_BH]]=1,calendar[[#This Row],[WeekDay]]=1, calendar[[#This Row],[WeekDay]]=7),P1591,P1591+1)</f>
        <v>1136</v>
      </c>
    </row>
    <row r="1593" spans="1:19" x14ac:dyDescent="0.25">
      <c r="A1593" s="2">
        <v>44327</v>
      </c>
      <c r="B1593" s="1">
        <f t="shared" si="123"/>
        <v>20</v>
      </c>
      <c r="C1593">
        <f t="shared" si="125"/>
        <v>5</v>
      </c>
      <c r="D1593" t="str">
        <f t="shared" si="126"/>
        <v>May</v>
      </c>
      <c r="E1593">
        <f t="shared" si="127"/>
        <v>2021</v>
      </c>
      <c r="F1593" t="str">
        <f>CONCATENATE(calendar[[#This Row],[Month]],"/",calendar[[#This Row],[Year]])</f>
        <v>5/2021</v>
      </c>
      <c r="G1593">
        <f>WEEKDAY(calendar[[#This Row],[Date]],1)</f>
        <v>3</v>
      </c>
      <c r="H1593" t="str">
        <f>TEXT(calendar[[#This Row],[WeekDay]],"dddd")</f>
        <v>Tuesday</v>
      </c>
      <c r="I1593">
        <f>IF((INT(calendar[[#This Row],[Count]]/7)-calendar[[#This Row],[Count]]/7)&lt;0,I1592,I1592+1)</f>
        <v>228</v>
      </c>
      <c r="J1593">
        <f t="shared" si="124"/>
        <v>1591</v>
      </c>
      <c r="K1593">
        <f>IF(calendar[[#This Row],[Month]]&lt;4,1,IF(calendar[[#This Row],[Month]]&lt;7,2,IF(calendar[[#This Row],[Month]]&lt;10,3,4)))</f>
        <v>2</v>
      </c>
      <c r="L1593">
        <f>IFERROR(IF(VLOOKUP(calendar[[#This Row],[Date]],BH!A:A,1,)&lt;&gt;"",1,0),0)</f>
        <v>0</v>
      </c>
      <c r="M1593">
        <f>IFERROR(IF(VLOOKUP(calendar[[#This Row],[Date]],BH!C:C,1,)&lt;&gt;"",1,0),0)</f>
        <v>0</v>
      </c>
      <c r="N1593">
        <f>IFERROR(IF(VLOOKUP(calendar[[#This Row],[Date]],BH!E:E,1,)&lt;&gt;"",1,0),0)</f>
        <v>0</v>
      </c>
      <c r="O1593">
        <f>IFERROR(IF(VLOOKUP(calendar[[#This Row],[Date]],BH!G:G,1,)&lt;&gt;"",1,0),0)</f>
        <v>0</v>
      </c>
      <c r="P1593">
        <f>IF(OR(calendar[[#This Row],[UK_BH]]=1,calendar[[#This Row],[WeekDay]]=1, calendar[[#This Row],[WeekDay]]=7),P1592,P1592+1)</f>
        <v>1137</v>
      </c>
      <c r="Q1593">
        <f>IF(OR(calendar[[#This Row],[FR_BH]]=1,calendar[[#This Row],[WeekDay]]=1, calendar[[#This Row],[WeekDay]]=7),P1592,P1592+1)</f>
        <v>1137</v>
      </c>
      <c r="R1593">
        <f>IF(OR(calendar[[#This Row],[SP_BH]]=1,calendar[[#This Row],[WeekDay]]=1, calendar[[#This Row],[WeekDay]]=7),P1592,P1592+1)</f>
        <v>1137</v>
      </c>
      <c r="S1593">
        <f>IF(OR(calendar[[#This Row],[PT_BH]]=1,calendar[[#This Row],[WeekDay]]=1, calendar[[#This Row],[WeekDay]]=7),P1592,P1592+1)</f>
        <v>1137</v>
      </c>
    </row>
    <row r="1594" spans="1:19" x14ac:dyDescent="0.25">
      <c r="A1594" s="2">
        <v>44328</v>
      </c>
      <c r="B1594" s="1">
        <f t="shared" si="123"/>
        <v>20</v>
      </c>
      <c r="C1594">
        <f t="shared" si="125"/>
        <v>5</v>
      </c>
      <c r="D1594" t="str">
        <f t="shared" si="126"/>
        <v>May</v>
      </c>
      <c r="E1594">
        <f t="shared" si="127"/>
        <v>2021</v>
      </c>
      <c r="F1594" t="str">
        <f>CONCATENATE(calendar[[#This Row],[Month]],"/",calendar[[#This Row],[Year]])</f>
        <v>5/2021</v>
      </c>
      <c r="G1594">
        <f>WEEKDAY(calendar[[#This Row],[Date]],1)</f>
        <v>4</v>
      </c>
      <c r="H1594" t="str">
        <f>TEXT(calendar[[#This Row],[WeekDay]],"dddd")</f>
        <v>Wednesday</v>
      </c>
      <c r="I1594">
        <f>IF((INT(calendar[[#This Row],[Count]]/7)-calendar[[#This Row],[Count]]/7)&lt;0,I1593,I1593+1)</f>
        <v>228</v>
      </c>
      <c r="J1594">
        <f t="shared" si="124"/>
        <v>1592</v>
      </c>
      <c r="K1594">
        <f>IF(calendar[[#This Row],[Month]]&lt;4,1,IF(calendar[[#This Row],[Month]]&lt;7,2,IF(calendar[[#This Row],[Month]]&lt;10,3,4)))</f>
        <v>2</v>
      </c>
      <c r="L1594">
        <f>IFERROR(IF(VLOOKUP(calendar[[#This Row],[Date]],BH!A:A,1,)&lt;&gt;"",1,0),0)</f>
        <v>0</v>
      </c>
      <c r="M1594">
        <f>IFERROR(IF(VLOOKUP(calendar[[#This Row],[Date]],BH!C:C,1,)&lt;&gt;"",1,0),0)</f>
        <v>0</v>
      </c>
      <c r="N1594">
        <f>IFERROR(IF(VLOOKUP(calendar[[#This Row],[Date]],BH!E:E,1,)&lt;&gt;"",1,0),0)</f>
        <v>0</v>
      </c>
      <c r="O1594">
        <f>IFERROR(IF(VLOOKUP(calendar[[#This Row],[Date]],BH!G:G,1,)&lt;&gt;"",1,0),0)</f>
        <v>0</v>
      </c>
      <c r="P1594">
        <f>IF(OR(calendar[[#This Row],[UK_BH]]=1,calendar[[#This Row],[WeekDay]]=1, calendar[[#This Row],[WeekDay]]=7),P1593,P1593+1)</f>
        <v>1138</v>
      </c>
      <c r="Q1594">
        <f>IF(OR(calendar[[#This Row],[FR_BH]]=1,calendar[[#This Row],[WeekDay]]=1, calendar[[#This Row],[WeekDay]]=7),P1593,P1593+1)</f>
        <v>1138</v>
      </c>
      <c r="R1594">
        <f>IF(OR(calendar[[#This Row],[SP_BH]]=1,calendar[[#This Row],[WeekDay]]=1, calendar[[#This Row],[WeekDay]]=7),P1593,P1593+1)</f>
        <v>1138</v>
      </c>
      <c r="S1594">
        <f>IF(OR(calendar[[#This Row],[PT_BH]]=1,calendar[[#This Row],[WeekDay]]=1, calendar[[#This Row],[WeekDay]]=7),P1593,P1593+1)</f>
        <v>1138</v>
      </c>
    </row>
    <row r="1595" spans="1:19" x14ac:dyDescent="0.25">
      <c r="A1595" s="2">
        <v>44329</v>
      </c>
      <c r="B1595" s="1">
        <f t="shared" si="123"/>
        <v>20</v>
      </c>
      <c r="C1595">
        <f t="shared" si="125"/>
        <v>5</v>
      </c>
      <c r="D1595" t="str">
        <f t="shared" si="126"/>
        <v>May</v>
      </c>
      <c r="E1595">
        <f t="shared" si="127"/>
        <v>2021</v>
      </c>
      <c r="F1595" t="str">
        <f>CONCATENATE(calendar[[#This Row],[Month]],"/",calendar[[#This Row],[Year]])</f>
        <v>5/2021</v>
      </c>
      <c r="G1595">
        <f>WEEKDAY(calendar[[#This Row],[Date]],1)</f>
        <v>5</v>
      </c>
      <c r="H1595" t="str">
        <f>TEXT(calendar[[#This Row],[WeekDay]],"dddd")</f>
        <v>Thursday</v>
      </c>
      <c r="I1595">
        <f>IF((INT(calendar[[#This Row],[Count]]/7)-calendar[[#This Row],[Count]]/7)&lt;0,I1594,I1594+1)</f>
        <v>228</v>
      </c>
      <c r="J1595">
        <f t="shared" si="124"/>
        <v>1593</v>
      </c>
      <c r="K1595">
        <f>IF(calendar[[#This Row],[Month]]&lt;4,1,IF(calendar[[#This Row],[Month]]&lt;7,2,IF(calendar[[#This Row],[Month]]&lt;10,3,4)))</f>
        <v>2</v>
      </c>
      <c r="L1595">
        <f>IFERROR(IF(VLOOKUP(calendar[[#This Row],[Date]],BH!A:A,1,)&lt;&gt;"",1,0),0)</f>
        <v>0</v>
      </c>
      <c r="M1595">
        <f>IFERROR(IF(VLOOKUP(calendar[[#This Row],[Date]],BH!C:C,1,)&lt;&gt;"",1,0),0)</f>
        <v>0</v>
      </c>
      <c r="N1595">
        <f>IFERROR(IF(VLOOKUP(calendar[[#This Row],[Date]],BH!E:E,1,)&lt;&gt;"",1,0),0)</f>
        <v>0</v>
      </c>
      <c r="O1595">
        <f>IFERROR(IF(VLOOKUP(calendar[[#This Row],[Date]],BH!G:G,1,)&lt;&gt;"",1,0),0)</f>
        <v>0</v>
      </c>
      <c r="P1595">
        <f>IF(OR(calendar[[#This Row],[UK_BH]]=1,calendar[[#This Row],[WeekDay]]=1, calendar[[#This Row],[WeekDay]]=7),P1594,P1594+1)</f>
        <v>1139</v>
      </c>
      <c r="Q1595">
        <f>IF(OR(calendar[[#This Row],[FR_BH]]=1,calendar[[#This Row],[WeekDay]]=1, calendar[[#This Row],[WeekDay]]=7),P1594,P1594+1)</f>
        <v>1139</v>
      </c>
      <c r="R1595">
        <f>IF(OR(calendar[[#This Row],[SP_BH]]=1,calendar[[#This Row],[WeekDay]]=1, calendar[[#This Row],[WeekDay]]=7),P1594,P1594+1)</f>
        <v>1139</v>
      </c>
      <c r="S1595">
        <f>IF(OR(calendar[[#This Row],[PT_BH]]=1,calendar[[#This Row],[WeekDay]]=1, calendar[[#This Row],[WeekDay]]=7),P1594,P1594+1)</f>
        <v>1139</v>
      </c>
    </row>
    <row r="1596" spans="1:19" x14ac:dyDescent="0.25">
      <c r="A1596" s="2">
        <v>44330</v>
      </c>
      <c r="B1596" s="1">
        <f t="shared" si="123"/>
        <v>20</v>
      </c>
      <c r="C1596">
        <f t="shared" si="125"/>
        <v>5</v>
      </c>
      <c r="D1596" t="str">
        <f t="shared" si="126"/>
        <v>May</v>
      </c>
      <c r="E1596">
        <f t="shared" si="127"/>
        <v>2021</v>
      </c>
      <c r="F1596" t="str">
        <f>CONCATENATE(calendar[[#This Row],[Month]],"/",calendar[[#This Row],[Year]])</f>
        <v>5/2021</v>
      </c>
      <c r="G1596">
        <f>WEEKDAY(calendar[[#This Row],[Date]],1)</f>
        <v>6</v>
      </c>
      <c r="H1596" t="str">
        <f>TEXT(calendar[[#This Row],[WeekDay]],"dddd")</f>
        <v>Friday</v>
      </c>
      <c r="I1596">
        <f>IF((INT(calendar[[#This Row],[Count]]/7)-calendar[[#This Row],[Count]]/7)&lt;0,I1595,I1595+1)</f>
        <v>228</v>
      </c>
      <c r="J1596">
        <f t="shared" si="124"/>
        <v>1594</v>
      </c>
      <c r="K1596">
        <f>IF(calendar[[#This Row],[Month]]&lt;4,1,IF(calendar[[#This Row],[Month]]&lt;7,2,IF(calendar[[#This Row],[Month]]&lt;10,3,4)))</f>
        <v>2</v>
      </c>
      <c r="L1596">
        <f>IFERROR(IF(VLOOKUP(calendar[[#This Row],[Date]],BH!A:A,1,)&lt;&gt;"",1,0),0)</f>
        <v>0</v>
      </c>
      <c r="M1596">
        <f>IFERROR(IF(VLOOKUP(calendar[[#This Row],[Date]],BH!C:C,1,)&lt;&gt;"",1,0),0)</f>
        <v>0</v>
      </c>
      <c r="N1596">
        <f>IFERROR(IF(VLOOKUP(calendar[[#This Row],[Date]],BH!E:E,1,)&lt;&gt;"",1,0),0)</f>
        <v>0</v>
      </c>
      <c r="O1596">
        <f>IFERROR(IF(VLOOKUP(calendar[[#This Row],[Date]],BH!G:G,1,)&lt;&gt;"",1,0),0)</f>
        <v>0</v>
      </c>
      <c r="P1596">
        <f>IF(OR(calendar[[#This Row],[UK_BH]]=1,calendar[[#This Row],[WeekDay]]=1, calendar[[#This Row],[WeekDay]]=7),P1595,P1595+1)</f>
        <v>1140</v>
      </c>
      <c r="Q1596">
        <f>IF(OR(calendar[[#This Row],[FR_BH]]=1,calendar[[#This Row],[WeekDay]]=1, calendar[[#This Row],[WeekDay]]=7),P1595,P1595+1)</f>
        <v>1140</v>
      </c>
      <c r="R1596">
        <f>IF(OR(calendar[[#This Row],[SP_BH]]=1,calendar[[#This Row],[WeekDay]]=1, calendar[[#This Row],[WeekDay]]=7),P1595,P1595+1)</f>
        <v>1140</v>
      </c>
      <c r="S1596">
        <f>IF(OR(calendar[[#This Row],[PT_BH]]=1,calendar[[#This Row],[WeekDay]]=1, calendar[[#This Row],[WeekDay]]=7),P1595,P1595+1)</f>
        <v>1140</v>
      </c>
    </row>
    <row r="1597" spans="1:19" x14ac:dyDescent="0.25">
      <c r="A1597" s="2">
        <v>44331</v>
      </c>
      <c r="B1597" s="1">
        <f t="shared" si="123"/>
        <v>20</v>
      </c>
      <c r="C1597">
        <f t="shared" si="125"/>
        <v>5</v>
      </c>
      <c r="D1597" t="str">
        <f t="shared" si="126"/>
        <v>May</v>
      </c>
      <c r="E1597">
        <f t="shared" si="127"/>
        <v>2021</v>
      </c>
      <c r="F1597" t="str">
        <f>CONCATENATE(calendar[[#This Row],[Month]],"/",calendar[[#This Row],[Year]])</f>
        <v>5/2021</v>
      </c>
      <c r="G1597">
        <f>WEEKDAY(calendar[[#This Row],[Date]],1)</f>
        <v>7</v>
      </c>
      <c r="H1597" t="str">
        <f>TEXT(calendar[[#This Row],[WeekDay]],"dddd")</f>
        <v>Saturday</v>
      </c>
      <c r="I1597">
        <f>IF((INT(calendar[[#This Row],[Count]]/7)-calendar[[#This Row],[Count]]/7)&lt;0,I1596,I1596+1)</f>
        <v>228</v>
      </c>
      <c r="J1597">
        <f t="shared" si="124"/>
        <v>1595</v>
      </c>
      <c r="K1597">
        <f>IF(calendar[[#This Row],[Month]]&lt;4,1,IF(calendar[[#This Row],[Month]]&lt;7,2,IF(calendar[[#This Row],[Month]]&lt;10,3,4)))</f>
        <v>2</v>
      </c>
      <c r="L1597">
        <f>IFERROR(IF(VLOOKUP(calendar[[#This Row],[Date]],BH!A:A,1,)&lt;&gt;"",1,0),0)</f>
        <v>0</v>
      </c>
      <c r="M1597">
        <f>IFERROR(IF(VLOOKUP(calendar[[#This Row],[Date]],BH!C:C,1,)&lt;&gt;"",1,0),0)</f>
        <v>0</v>
      </c>
      <c r="N1597">
        <f>IFERROR(IF(VLOOKUP(calendar[[#This Row],[Date]],BH!E:E,1,)&lt;&gt;"",1,0),0)</f>
        <v>0</v>
      </c>
      <c r="O1597">
        <f>IFERROR(IF(VLOOKUP(calendar[[#This Row],[Date]],BH!G:G,1,)&lt;&gt;"",1,0),0)</f>
        <v>0</v>
      </c>
      <c r="P1597">
        <f>IF(OR(calendar[[#This Row],[UK_BH]]=1,calendar[[#This Row],[WeekDay]]=1, calendar[[#This Row],[WeekDay]]=7),P1596,P1596+1)</f>
        <v>1140</v>
      </c>
      <c r="Q1597">
        <f>IF(OR(calendar[[#This Row],[FR_BH]]=1,calendar[[#This Row],[WeekDay]]=1, calendar[[#This Row],[WeekDay]]=7),P1596,P1596+1)</f>
        <v>1140</v>
      </c>
      <c r="R1597">
        <f>IF(OR(calendar[[#This Row],[SP_BH]]=1,calendar[[#This Row],[WeekDay]]=1, calendar[[#This Row],[WeekDay]]=7),P1596,P1596+1)</f>
        <v>1140</v>
      </c>
      <c r="S1597">
        <f>IF(OR(calendar[[#This Row],[PT_BH]]=1,calendar[[#This Row],[WeekDay]]=1, calendar[[#This Row],[WeekDay]]=7),P1596,P1596+1)</f>
        <v>1140</v>
      </c>
    </row>
    <row r="1598" spans="1:19" x14ac:dyDescent="0.25">
      <c r="A1598" s="2">
        <v>44332</v>
      </c>
      <c r="B1598" s="1">
        <f t="shared" si="123"/>
        <v>21</v>
      </c>
      <c r="C1598">
        <f t="shared" si="125"/>
        <v>5</v>
      </c>
      <c r="D1598" t="str">
        <f t="shared" si="126"/>
        <v>May</v>
      </c>
      <c r="E1598">
        <f t="shared" si="127"/>
        <v>2021</v>
      </c>
      <c r="F1598" t="str">
        <f>CONCATENATE(calendar[[#This Row],[Month]],"/",calendar[[#This Row],[Year]])</f>
        <v>5/2021</v>
      </c>
      <c r="G1598">
        <f>WEEKDAY(calendar[[#This Row],[Date]],1)</f>
        <v>1</v>
      </c>
      <c r="H1598" t="str">
        <f>TEXT(calendar[[#This Row],[WeekDay]],"dddd")</f>
        <v>Sunday</v>
      </c>
      <c r="I1598">
        <f>IF((INT(calendar[[#This Row],[Count]]/7)-calendar[[#This Row],[Count]]/7)&lt;0,I1597,I1597+1)</f>
        <v>229</v>
      </c>
      <c r="J1598">
        <f t="shared" si="124"/>
        <v>1596</v>
      </c>
      <c r="K1598">
        <f>IF(calendar[[#This Row],[Month]]&lt;4,1,IF(calendar[[#This Row],[Month]]&lt;7,2,IF(calendar[[#This Row],[Month]]&lt;10,3,4)))</f>
        <v>2</v>
      </c>
      <c r="L1598">
        <f>IFERROR(IF(VLOOKUP(calendar[[#This Row],[Date]],BH!A:A,1,)&lt;&gt;"",1,0),0)</f>
        <v>0</v>
      </c>
      <c r="M1598">
        <f>IFERROR(IF(VLOOKUP(calendar[[#This Row],[Date]],BH!C:C,1,)&lt;&gt;"",1,0),0)</f>
        <v>0</v>
      </c>
      <c r="N1598">
        <f>IFERROR(IF(VLOOKUP(calendar[[#This Row],[Date]],BH!E:E,1,)&lt;&gt;"",1,0),0)</f>
        <v>0</v>
      </c>
      <c r="O1598">
        <f>IFERROR(IF(VLOOKUP(calendar[[#This Row],[Date]],BH!G:G,1,)&lt;&gt;"",1,0),0)</f>
        <v>0</v>
      </c>
      <c r="P1598">
        <f>IF(OR(calendar[[#This Row],[UK_BH]]=1,calendar[[#This Row],[WeekDay]]=1, calendar[[#This Row],[WeekDay]]=7),P1597,P1597+1)</f>
        <v>1140</v>
      </c>
      <c r="Q1598">
        <f>IF(OR(calendar[[#This Row],[FR_BH]]=1,calendar[[#This Row],[WeekDay]]=1, calendar[[#This Row],[WeekDay]]=7),P1597,P1597+1)</f>
        <v>1140</v>
      </c>
      <c r="R1598">
        <f>IF(OR(calendar[[#This Row],[SP_BH]]=1,calendar[[#This Row],[WeekDay]]=1, calendar[[#This Row],[WeekDay]]=7),P1597,P1597+1)</f>
        <v>1140</v>
      </c>
      <c r="S1598">
        <f>IF(OR(calendar[[#This Row],[PT_BH]]=1,calendar[[#This Row],[WeekDay]]=1, calendar[[#This Row],[WeekDay]]=7),P1597,P1597+1)</f>
        <v>1140</v>
      </c>
    </row>
    <row r="1599" spans="1:19" x14ac:dyDescent="0.25">
      <c r="A1599" s="2">
        <v>44333</v>
      </c>
      <c r="B1599" s="1">
        <f t="shared" si="123"/>
        <v>21</v>
      </c>
      <c r="C1599">
        <f t="shared" si="125"/>
        <v>5</v>
      </c>
      <c r="D1599" t="str">
        <f t="shared" si="126"/>
        <v>May</v>
      </c>
      <c r="E1599">
        <f t="shared" si="127"/>
        <v>2021</v>
      </c>
      <c r="F1599" t="str">
        <f>CONCATENATE(calendar[[#This Row],[Month]],"/",calendar[[#This Row],[Year]])</f>
        <v>5/2021</v>
      </c>
      <c r="G1599">
        <f>WEEKDAY(calendar[[#This Row],[Date]],1)</f>
        <v>2</v>
      </c>
      <c r="H1599" t="str">
        <f>TEXT(calendar[[#This Row],[WeekDay]],"dddd")</f>
        <v>Monday</v>
      </c>
      <c r="I1599">
        <f>IF((INT(calendar[[#This Row],[Count]]/7)-calendar[[#This Row],[Count]]/7)&lt;0,I1598,I1598+1)</f>
        <v>229</v>
      </c>
      <c r="J1599">
        <f t="shared" si="124"/>
        <v>1597</v>
      </c>
      <c r="K1599">
        <f>IF(calendar[[#This Row],[Month]]&lt;4,1,IF(calendar[[#This Row],[Month]]&lt;7,2,IF(calendar[[#This Row],[Month]]&lt;10,3,4)))</f>
        <v>2</v>
      </c>
      <c r="L1599">
        <f>IFERROR(IF(VLOOKUP(calendar[[#This Row],[Date]],BH!A:A,1,)&lt;&gt;"",1,0),0)</f>
        <v>0</v>
      </c>
      <c r="M1599">
        <f>IFERROR(IF(VLOOKUP(calendar[[#This Row],[Date]],BH!C:C,1,)&lt;&gt;"",1,0),0)</f>
        <v>0</v>
      </c>
      <c r="N1599">
        <f>IFERROR(IF(VLOOKUP(calendar[[#This Row],[Date]],BH!E:E,1,)&lt;&gt;"",1,0),0)</f>
        <v>0</v>
      </c>
      <c r="O1599">
        <f>IFERROR(IF(VLOOKUP(calendar[[#This Row],[Date]],BH!G:G,1,)&lt;&gt;"",1,0),0)</f>
        <v>0</v>
      </c>
      <c r="P1599">
        <f>IF(OR(calendar[[#This Row],[UK_BH]]=1,calendar[[#This Row],[WeekDay]]=1, calendar[[#This Row],[WeekDay]]=7),P1598,P1598+1)</f>
        <v>1141</v>
      </c>
      <c r="Q1599">
        <f>IF(OR(calendar[[#This Row],[FR_BH]]=1,calendar[[#This Row],[WeekDay]]=1, calendar[[#This Row],[WeekDay]]=7),P1598,P1598+1)</f>
        <v>1141</v>
      </c>
      <c r="R1599">
        <f>IF(OR(calendar[[#This Row],[SP_BH]]=1,calendar[[#This Row],[WeekDay]]=1, calendar[[#This Row],[WeekDay]]=7),P1598,P1598+1)</f>
        <v>1141</v>
      </c>
      <c r="S1599">
        <f>IF(OR(calendar[[#This Row],[PT_BH]]=1,calendar[[#This Row],[WeekDay]]=1, calendar[[#This Row],[WeekDay]]=7),P1598,P1598+1)</f>
        <v>1141</v>
      </c>
    </row>
    <row r="1600" spans="1:19" x14ac:dyDescent="0.25">
      <c r="A1600" s="2">
        <v>44334</v>
      </c>
      <c r="B1600" s="1">
        <f t="shared" si="123"/>
        <v>21</v>
      </c>
      <c r="C1600">
        <f t="shared" si="125"/>
        <v>5</v>
      </c>
      <c r="D1600" t="str">
        <f t="shared" si="126"/>
        <v>May</v>
      </c>
      <c r="E1600">
        <f t="shared" si="127"/>
        <v>2021</v>
      </c>
      <c r="F1600" t="str">
        <f>CONCATENATE(calendar[[#This Row],[Month]],"/",calendar[[#This Row],[Year]])</f>
        <v>5/2021</v>
      </c>
      <c r="G1600">
        <f>WEEKDAY(calendar[[#This Row],[Date]],1)</f>
        <v>3</v>
      </c>
      <c r="H1600" t="str">
        <f>TEXT(calendar[[#This Row],[WeekDay]],"dddd")</f>
        <v>Tuesday</v>
      </c>
      <c r="I1600">
        <f>IF((INT(calendar[[#This Row],[Count]]/7)-calendar[[#This Row],[Count]]/7)&lt;0,I1599,I1599+1)</f>
        <v>229</v>
      </c>
      <c r="J1600">
        <f t="shared" si="124"/>
        <v>1598</v>
      </c>
      <c r="K1600">
        <f>IF(calendar[[#This Row],[Month]]&lt;4,1,IF(calendar[[#This Row],[Month]]&lt;7,2,IF(calendar[[#This Row],[Month]]&lt;10,3,4)))</f>
        <v>2</v>
      </c>
      <c r="L1600">
        <f>IFERROR(IF(VLOOKUP(calendar[[#This Row],[Date]],BH!A:A,1,)&lt;&gt;"",1,0),0)</f>
        <v>0</v>
      </c>
      <c r="M1600">
        <f>IFERROR(IF(VLOOKUP(calendar[[#This Row],[Date]],BH!C:C,1,)&lt;&gt;"",1,0),0)</f>
        <v>0</v>
      </c>
      <c r="N1600">
        <f>IFERROR(IF(VLOOKUP(calendar[[#This Row],[Date]],BH!E:E,1,)&lt;&gt;"",1,0),0)</f>
        <v>0</v>
      </c>
      <c r="O1600">
        <f>IFERROR(IF(VLOOKUP(calendar[[#This Row],[Date]],BH!G:G,1,)&lt;&gt;"",1,0),0)</f>
        <v>0</v>
      </c>
      <c r="P1600">
        <f>IF(OR(calendar[[#This Row],[UK_BH]]=1,calendar[[#This Row],[WeekDay]]=1, calendar[[#This Row],[WeekDay]]=7),P1599,P1599+1)</f>
        <v>1142</v>
      </c>
      <c r="Q1600">
        <f>IF(OR(calendar[[#This Row],[FR_BH]]=1,calendar[[#This Row],[WeekDay]]=1, calendar[[#This Row],[WeekDay]]=7),P1599,P1599+1)</f>
        <v>1142</v>
      </c>
      <c r="R1600">
        <f>IF(OR(calendar[[#This Row],[SP_BH]]=1,calendar[[#This Row],[WeekDay]]=1, calendar[[#This Row],[WeekDay]]=7),P1599,P1599+1)</f>
        <v>1142</v>
      </c>
      <c r="S1600">
        <f>IF(OR(calendar[[#This Row],[PT_BH]]=1,calendar[[#This Row],[WeekDay]]=1, calendar[[#This Row],[WeekDay]]=7),P1599,P1599+1)</f>
        <v>1142</v>
      </c>
    </row>
    <row r="1601" spans="1:19" x14ac:dyDescent="0.25">
      <c r="A1601" s="2">
        <v>44335</v>
      </c>
      <c r="B1601" s="1">
        <f t="shared" si="123"/>
        <v>21</v>
      </c>
      <c r="C1601">
        <f t="shared" si="125"/>
        <v>5</v>
      </c>
      <c r="D1601" t="str">
        <f t="shared" si="126"/>
        <v>May</v>
      </c>
      <c r="E1601">
        <f t="shared" si="127"/>
        <v>2021</v>
      </c>
      <c r="F1601" t="str">
        <f>CONCATENATE(calendar[[#This Row],[Month]],"/",calendar[[#This Row],[Year]])</f>
        <v>5/2021</v>
      </c>
      <c r="G1601">
        <f>WEEKDAY(calendar[[#This Row],[Date]],1)</f>
        <v>4</v>
      </c>
      <c r="H1601" t="str">
        <f>TEXT(calendar[[#This Row],[WeekDay]],"dddd")</f>
        <v>Wednesday</v>
      </c>
      <c r="I1601">
        <f>IF((INT(calendar[[#This Row],[Count]]/7)-calendar[[#This Row],[Count]]/7)&lt;0,I1600,I1600+1)</f>
        <v>229</v>
      </c>
      <c r="J1601">
        <f t="shared" si="124"/>
        <v>1599</v>
      </c>
      <c r="K1601">
        <f>IF(calendar[[#This Row],[Month]]&lt;4,1,IF(calendar[[#This Row],[Month]]&lt;7,2,IF(calendar[[#This Row],[Month]]&lt;10,3,4)))</f>
        <v>2</v>
      </c>
      <c r="L1601">
        <f>IFERROR(IF(VLOOKUP(calendar[[#This Row],[Date]],BH!A:A,1,)&lt;&gt;"",1,0),0)</f>
        <v>0</v>
      </c>
      <c r="M1601">
        <f>IFERROR(IF(VLOOKUP(calendar[[#This Row],[Date]],BH!C:C,1,)&lt;&gt;"",1,0),0)</f>
        <v>0</v>
      </c>
      <c r="N1601">
        <f>IFERROR(IF(VLOOKUP(calendar[[#This Row],[Date]],BH!E:E,1,)&lt;&gt;"",1,0),0)</f>
        <v>0</v>
      </c>
      <c r="O1601">
        <f>IFERROR(IF(VLOOKUP(calendar[[#This Row],[Date]],BH!G:G,1,)&lt;&gt;"",1,0),0)</f>
        <v>0</v>
      </c>
      <c r="P1601">
        <f>IF(OR(calendar[[#This Row],[UK_BH]]=1,calendar[[#This Row],[WeekDay]]=1, calendar[[#This Row],[WeekDay]]=7),P1600,P1600+1)</f>
        <v>1143</v>
      </c>
      <c r="Q1601">
        <f>IF(OR(calendar[[#This Row],[FR_BH]]=1,calendar[[#This Row],[WeekDay]]=1, calendar[[#This Row],[WeekDay]]=7),P1600,P1600+1)</f>
        <v>1143</v>
      </c>
      <c r="R1601">
        <f>IF(OR(calendar[[#This Row],[SP_BH]]=1,calendar[[#This Row],[WeekDay]]=1, calendar[[#This Row],[WeekDay]]=7),P1600,P1600+1)</f>
        <v>1143</v>
      </c>
      <c r="S1601">
        <f>IF(OR(calendar[[#This Row],[PT_BH]]=1,calendar[[#This Row],[WeekDay]]=1, calendar[[#This Row],[WeekDay]]=7),P1600,P1600+1)</f>
        <v>1143</v>
      </c>
    </row>
    <row r="1602" spans="1:19" x14ac:dyDescent="0.25">
      <c r="A1602" s="2">
        <v>44336</v>
      </c>
      <c r="B1602" s="1">
        <f t="shared" ref="B1602:B1665" si="128">WEEKNUM(A1602)</f>
        <v>21</v>
      </c>
      <c r="C1602">
        <f t="shared" si="125"/>
        <v>5</v>
      </c>
      <c r="D1602" t="str">
        <f t="shared" si="126"/>
        <v>May</v>
      </c>
      <c r="E1602">
        <f t="shared" si="127"/>
        <v>2021</v>
      </c>
      <c r="F1602" t="str">
        <f>CONCATENATE(calendar[[#This Row],[Month]],"/",calendar[[#This Row],[Year]])</f>
        <v>5/2021</v>
      </c>
      <c r="G1602">
        <f>WEEKDAY(calendar[[#This Row],[Date]],1)</f>
        <v>5</v>
      </c>
      <c r="H1602" t="str">
        <f>TEXT(calendar[[#This Row],[WeekDay]],"dddd")</f>
        <v>Thursday</v>
      </c>
      <c r="I1602">
        <f>IF((INT(calendar[[#This Row],[Count]]/7)-calendar[[#This Row],[Count]]/7)&lt;0,I1601,I1601+1)</f>
        <v>229</v>
      </c>
      <c r="J1602">
        <f t="shared" si="124"/>
        <v>1600</v>
      </c>
      <c r="K1602">
        <f>IF(calendar[[#This Row],[Month]]&lt;4,1,IF(calendar[[#This Row],[Month]]&lt;7,2,IF(calendar[[#This Row],[Month]]&lt;10,3,4)))</f>
        <v>2</v>
      </c>
      <c r="L1602">
        <f>IFERROR(IF(VLOOKUP(calendar[[#This Row],[Date]],BH!A:A,1,)&lt;&gt;"",1,0),0)</f>
        <v>0</v>
      </c>
      <c r="M1602">
        <f>IFERROR(IF(VLOOKUP(calendar[[#This Row],[Date]],BH!C:C,1,)&lt;&gt;"",1,0),0)</f>
        <v>0</v>
      </c>
      <c r="N1602">
        <f>IFERROR(IF(VLOOKUP(calendar[[#This Row],[Date]],BH!E:E,1,)&lt;&gt;"",1,0),0)</f>
        <v>0</v>
      </c>
      <c r="O1602">
        <f>IFERROR(IF(VLOOKUP(calendar[[#This Row],[Date]],BH!G:G,1,)&lt;&gt;"",1,0),0)</f>
        <v>0</v>
      </c>
      <c r="P1602">
        <f>IF(OR(calendar[[#This Row],[UK_BH]]=1,calendar[[#This Row],[WeekDay]]=1, calendar[[#This Row],[WeekDay]]=7),P1601,P1601+1)</f>
        <v>1144</v>
      </c>
      <c r="Q1602">
        <f>IF(OR(calendar[[#This Row],[FR_BH]]=1,calendar[[#This Row],[WeekDay]]=1, calendar[[#This Row],[WeekDay]]=7),P1601,P1601+1)</f>
        <v>1144</v>
      </c>
      <c r="R1602">
        <f>IF(OR(calendar[[#This Row],[SP_BH]]=1,calendar[[#This Row],[WeekDay]]=1, calendar[[#This Row],[WeekDay]]=7),P1601,P1601+1)</f>
        <v>1144</v>
      </c>
      <c r="S1602">
        <f>IF(OR(calendar[[#This Row],[PT_BH]]=1,calendar[[#This Row],[WeekDay]]=1, calendar[[#This Row],[WeekDay]]=7),P1601,P1601+1)</f>
        <v>1144</v>
      </c>
    </row>
    <row r="1603" spans="1:19" x14ac:dyDescent="0.25">
      <c r="A1603" s="2">
        <v>44337</v>
      </c>
      <c r="B1603" s="1">
        <f t="shared" si="128"/>
        <v>21</v>
      </c>
      <c r="C1603">
        <f t="shared" si="125"/>
        <v>5</v>
      </c>
      <c r="D1603" t="str">
        <f t="shared" si="126"/>
        <v>May</v>
      </c>
      <c r="E1603">
        <f t="shared" si="127"/>
        <v>2021</v>
      </c>
      <c r="F1603" t="str">
        <f>CONCATENATE(calendar[[#This Row],[Month]],"/",calendar[[#This Row],[Year]])</f>
        <v>5/2021</v>
      </c>
      <c r="G1603">
        <f>WEEKDAY(calendar[[#This Row],[Date]],1)</f>
        <v>6</v>
      </c>
      <c r="H1603" t="str">
        <f>TEXT(calendar[[#This Row],[WeekDay]],"dddd")</f>
        <v>Friday</v>
      </c>
      <c r="I1603">
        <f>IF((INT(calendar[[#This Row],[Count]]/7)-calendar[[#This Row],[Count]]/7)&lt;0,I1602,I1602+1)</f>
        <v>229</v>
      </c>
      <c r="J1603">
        <f t="shared" ref="J1603:J1666" si="129">J1602+1</f>
        <v>1601</v>
      </c>
      <c r="K1603">
        <f>IF(calendar[[#This Row],[Month]]&lt;4,1,IF(calendar[[#This Row],[Month]]&lt;7,2,IF(calendar[[#This Row],[Month]]&lt;10,3,4)))</f>
        <v>2</v>
      </c>
      <c r="L1603">
        <f>IFERROR(IF(VLOOKUP(calendar[[#This Row],[Date]],BH!A:A,1,)&lt;&gt;"",1,0),0)</f>
        <v>0</v>
      </c>
      <c r="M1603">
        <f>IFERROR(IF(VLOOKUP(calendar[[#This Row],[Date]],BH!C:C,1,)&lt;&gt;"",1,0),0)</f>
        <v>0</v>
      </c>
      <c r="N1603">
        <f>IFERROR(IF(VLOOKUP(calendar[[#This Row],[Date]],BH!E:E,1,)&lt;&gt;"",1,0),0)</f>
        <v>0</v>
      </c>
      <c r="O1603">
        <f>IFERROR(IF(VLOOKUP(calendar[[#This Row],[Date]],BH!G:G,1,)&lt;&gt;"",1,0),0)</f>
        <v>0</v>
      </c>
      <c r="P1603">
        <f>IF(OR(calendar[[#This Row],[UK_BH]]=1,calendar[[#This Row],[WeekDay]]=1, calendar[[#This Row],[WeekDay]]=7),P1602,P1602+1)</f>
        <v>1145</v>
      </c>
      <c r="Q1603">
        <f>IF(OR(calendar[[#This Row],[FR_BH]]=1,calendar[[#This Row],[WeekDay]]=1, calendar[[#This Row],[WeekDay]]=7),P1602,P1602+1)</f>
        <v>1145</v>
      </c>
      <c r="R1603">
        <f>IF(OR(calendar[[#This Row],[SP_BH]]=1,calendar[[#This Row],[WeekDay]]=1, calendar[[#This Row],[WeekDay]]=7),P1602,P1602+1)</f>
        <v>1145</v>
      </c>
      <c r="S1603">
        <f>IF(OR(calendar[[#This Row],[PT_BH]]=1,calendar[[#This Row],[WeekDay]]=1, calendar[[#This Row],[WeekDay]]=7),P1602,P1602+1)</f>
        <v>1145</v>
      </c>
    </row>
    <row r="1604" spans="1:19" x14ac:dyDescent="0.25">
      <c r="A1604" s="2">
        <v>44338</v>
      </c>
      <c r="B1604" s="1">
        <f t="shared" si="128"/>
        <v>21</v>
      </c>
      <c r="C1604">
        <f t="shared" si="125"/>
        <v>5</v>
      </c>
      <c r="D1604" t="str">
        <f t="shared" si="126"/>
        <v>May</v>
      </c>
      <c r="E1604">
        <f t="shared" si="127"/>
        <v>2021</v>
      </c>
      <c r="F1604" t="str">
        <f>CONCATENATE(calendar[[#This Row],[Month]],"/",calendar[[#This Row],[Year]])</f>
        <v>5/2021</v>
      </c>
      <c r="G1604">
        <f>WEEKDAY(calendar[[#This Row],[Date]],1)</f>
        <v>7</v>
      </c>
      <c r="H1604" t="str">
        <f>TEXT(calendar[[#This Row],[WeekDay]],"dddd")</f>
        <v>Saturday</v>
      </c>
      <c r="I1604">
        <f>IF((INT(calendar[[#This Row],[Count]]/7)-calendar[[#This Row],[Count]]/7)&lt;0,I1603,I1603+1)</f>
        <v>229</v>
      </c>
      <c r="J1604">
        <f t="shared" si="129"/>
        <v>1602</v>
      </c>
      <c r="K1604">
        <f>IF(calendar[[#This Row],[Month]]&lt;4,1,IF(calendar[[#This Row],[Month]]&lt;7,2,IF(calendar[[#This Row],[Month]]&lt;10,3,4)))</f>
        <v>2</v>
      </c>
      <c r="L1604">
        <f>IFERROR(IF(VLOOKUP(calendar[[#This Row],[Date]],BH!A:A,1,)&lt;&gt;"",1,0),0)</f>
        <v>0</v>
      </c>
      <c r="M1604">
        <f>IFERROR(IF(VLOOKUP(calendar[[#This Row],[Date]],BH!C:C,1,)&lt;&gt;"",1,0),0)</f>
        <v>0</v>
      </c>
      <c r="N1604">
        <f>IFERROR(IF(VLOOKUP(calendar[[#This Row],[Date]],BH!E:E,1,)&lt;&gt;"",1,0),0)</f>
        <v>0</v>
      </c>
      <c r="O1604">
        <f>IFERROR(IF(VLOOKUP(calendar[[#This Row],[Date]],BH!G:G,1,)&lt;&gt;"",1,0),0)</f>
        <v>0</v>
      </c>
      <c r="P1604">
        <f>IF(OR(calendar[[#This Row],[UK_BH]]=1,calendar[[#This Row],[WeekDay]]=1, calendar[[#This Row],[WeekDay]]=7),P1603,P1603+1)</f>
        <v>1145</v>
      </c>
      <c r="Q1604">
        <f>IF(OR(calendar[[#This Row],[FR_BH]]=1,calendar[[#This Row],[WeekDay]]=1, calendar[[#This Row],[WeekDay]]=7),P1603,P1603+1)</f>
        <v>1145</v>
      </c>
      <c r="R1604">
        <f>IF(OR(calendar[[#This Row],[SP_BH]]=1,calendar[[#This Row],[WeekDay]]=1, calendar[[#This Row],[WeekDay]]=7),P1603,P1603+1)</f>
        <v>1145</v>
      </c>
      <c r="S1604">
        <f>IF(OR(calendar[[#This Row],[PT_BH]]=1,calendar[[#This Row],[WeekDay]]=1, calendar[[#This Row],[WeekDay]]=7),P1603,P1603+1)</f>
        <v>1145</v>
      </c>
    </row>
    <row r="1605" spans="1:19" x14ac:dyDescent="0.25">
      <c r="A1605" s="2">
        <v>44339</v>
      </c>
      <c r="B1605" s="1">
        <f t="shared" si="128"/>
        <v>22</v>
      </c>
      <c r="C1605">
        <f t="shared" si="125"/>
        <v>5</v>
      </c>
      <c r="D1605" t="str">
        <f t="shared" si="126"/>
        <v>May</v>
      </c>
      <c r="E1605">
        <f t="shared" si="127"/>
        <v>2021</v>
      </c>
      <c r="F1605" t="str">
        <f>CONCATENATE(calendar[[#This Row],[Month]],"/",calendar[[#This Row],[Year]])</f>
        <v>5/2021</v>
      </c>
      <c r="G1605">
        <f>WEEKDAY(calendar[[#This Row],[Date]],1)</f>
        <v>1</v>
      </c>
      <c r="H1605" t="str">
        <f>TEXT(calendar[[#This Row],[WeekDay]],"dddd")</f>
        <v>Sunday</v>
      </c>
      <c r="I1605">
        <f>IF((INT(calendar[[#This Row],[Count]]/7)-calendar[[#This Row],[Count]]/7)&lt;0,I1604,I1604+1)</f>
        <v>230</v>
      </c>
      <c r="J1605">
        <f t="shared" si="129"/>
        <v>1603</v>
      </c>
      <c r="K1605">
        <f>IF(calendar[[#This Row],[Month]]&lt;4,1,IF(calendar[[#This Row],[Month]]&lt;7,2,IF(calendar[[#This Row],[Month]]&lt;10,3,4)))</f>
        <v>2</v>
      </c>
      <c r="L1605">
        <f>IFERROR(IF(VLOOKUP(calendar[[#This Row],[Date]],BH!A:A,1,)&lt;&gt;"",1,0),0)</f>
        <v>0</v>
      </c>
      <c r="M1605">
        <f>IFERROR(IF(VLOOKUP(calendar[[#This Row],[Date]],BH!C:C,1,)&lt;&gt;"",1,0),0)</f>
        <v>0</v>
      </c>
      <c r="N1605">
        <f>IFERROR(IF(VLOOKUP(calendar[[#This Row],[Date]],BH!E:E,1,)&lt;&gt;"",1,0),0)</f>
        <v>0</v>
      </c>
      <c r="O1605">
        <f>IFERROR(IF(VLOOKUP(calendar[[#This Row],[Date]],BH!G:G,1,)&lt;&gt;"",1,0),0)</f>
        <v>0</v>
      </c>
      <c r="P1605">
        <f>IF(OR(calendar[[#This Row],[UK_BH]]=1,calendar[[#This Row],[WeekDay]]=1, calendar[[#This Row],[WeekDay]]=7),P1604,P1604+1)</f>
        <v>1145</v>
      </c>
      <c r="Q1605">
        <f>IF(OR(calendar[[#This Row],[FR_BH]]=1,calendar[[#This Row],[WeekDay]]=1, calendar[[#This Row],[WeekDay]]=7),P1604,P1604+1)</f>
        <v>1145</v>
      </c>
      <c r="R1605">
        <f>IF(OR(calendar[[#This Row],[SP_BH]]=1,calendar[[#This Row],[WeekDay]]=1, calendar[[#This Row],[WeekDay]]=7),P1604,P1604+1)</f>
        <v>1145</v>
      </c>
      <c r="S1605">
        <f>IF(OR(calendar[[#This Row],[PT_BH]]=1,calendar[[#This Row],[WeekDay]]=1, calendar[[#This Row],[WeekDay]]=7),P1604,P1604+1)</f>
        <v>1145</v>
      </c>
    </row>
    <row r="1606" spans="1:19" x14ac:dyDescent="0.25">
      <c r="A1606" s="2">
        <v>44340</v>
      </c>
      <c r="B1606" s="1">
        <f t="shared" si="128"/>
        <v>22</v>
      </c>
      <c r="C1606">
        <f t="shared" si="125"/>
        <v>5</v>
      </c>
      <c r="D1606" t="str">
        <f t="shared" si="126"/>
        <v>May</v>
      </c>
      <c r="E1606">
        <f t="shared" si="127"/>
        <v>2021</v>
      </c>
      <c r="F1606" t="str">
        <f>CONCATENATE(calendar[[#This Row],[Month]],"/",calendar[[#This Row],[Year]])</f>
        <v>5/2021</v>
      </c>
      <c r="G1606">
        <f>WEEKDAY(calendar[[#This Row],[Date]],1)</f>
        <v>2</v>
      </c>
      <c r="H1606" t="str">
        <f>TEXT(calendar[[#This Row],[WeekDay]],"dddd")</f>
        <v>Monday</v>
      </c>
      <c r="I1606">
        <f>IF((INT(calendar[[#This Row],[Count]]/7)-calendar[[#This Row],[Count]]/7)&lt;0,I1605,I1605+1)</f>
        <v>230</v>
      </c>
      <c r="J1606">
        <f t="shared" si="129"/>
        <v>1604</v>
      </c>
      <c r="K1606">
        <f>IF(calendar[[#This Row],[Month]]&lt;4,1,IF(calendar[[#This Row],[Month]]&lt;7,2,IF(calendar[[#This Row],[Month]]&lt;10,3,4)))</f>
        <v>2</v>
      </c>
      <c r="L1606">
        <f>IFERROR(IF(VLOOKUP(calendar[[#This Row],[Date]],BH!A:A,1,)&lt;&gt;"",1,0),0)</f>
        <v>0</v>
      </c>
      <c r="M1606">
        <f>IFERROR(IF(VLOOKUP(calendar[[#This Row],[Date]],BH!C:C,1,)&lt;&gt;"",1,0),0)</f>
        <v>0</v>
      </c>
      <c r="N1606">
        <f>IFERROR(IF(VLOOKUP(calendar[[#This Row],[Date]],BH!E:E,1,)&lt;&gt;"",1,0),0)</f>
        <v>0</v>
      </c>
      <c r="O1606">
        <f>IFERROR(IF(VLOOKUP(calendar[[#This Row],[Date]],BH!G:G,1,)&lt;&gt;"",1,0),0)</f>
        <v>0</v>
      </c>
      <c r="P1606">
        <f>IF(OR(calendar[[#This Row],[UK_BH]]=1,calendar[[#This Row],[WeekDay]]=1, calendar[[#This Row],[WeekDay]]=7),P1605,P1605+1)</f>
        <v>1146</v>
      </c>
      <c r="Q1606">
        <f>IF(OR(calendar[[#This Row],[FR_BH]]=1,calendar[[#This Row],[WeekDay]]=1, calendar[[#This Row],[WeekDay]]=7),P1605,P1605+1)</f>
        <v>1146</v>
      </c>
      <c r="R1606">
        <f>IF(OR(calendar[[#This Row],[SP_BH]]=1,calendar[[#This Row],[WeekDay]]=1, calendar[[#This Row],[WeekDay]]=7),P1605,P1605+1)</f>
        <v>1146</v>
      </c>
      <c r="S1606">
        <f>IF(OR(calendar[[#This Row],[PT_BH]]=1,calendar[[#This Row],[WeekDay]]=1, calendar[[#This Row],[WeekDay]]=7),P1605,P1605+1)</f>
        <v>1146</v>
      </c>
    </row>
    <row r="1607" spans="1:19" x14ac:dyDescent="0.25">
      <c r="A1607" s="2">
        <v>44341</v>
      </c>
      <c r="B1607" s="1">
        <f t="shared" si="128"/>
        <v>22</v>
      </c>
      <c r="C1607">
        <f t="shared" si="125"/>
        <v>5</v>
      </c>
      <c r="D1607" t="str">
        <f t="shared" si="126"/>
        <v>May</v>
      </c>
      <c r="E1607">
        <f t="shared" si="127"/>
        <v>2021</v>
      </c>
      <c r="F1607" t="str">
        <f>CONCATENATE(calendar[[#This Row],[Month]],"/",calendar[[#This Row],[Year]])</f>
        <v>5/2021</v>
      </c>
      <c r="G1607">
        <f>WEEKDAY(calendar[[#This Row],[Date]],1)</f>
        <v>3</v>
      </c>
      <c r="H1607" t="str">
        <f>TEXT(calendar[[#This Row],[WeekDay]],"dddd")</f>
        <v>Tuesday</v>
      </c>
      <c r="I1607">
        <f>IF((INT(calendar[[#This Row],[Count]]/7)-calendar[[#This Row],[Count]]/7)&lt;0,I1606,I1606+1)</f>
        <v>230</v>
      </c>
      <c r="J1607">
        <f t="shared" si="129"/>
        <v>1605</v>
      </c>
      <c r="K1607">
        <f>IF(calendar[[#This Row],[Month]]&lt;4,1,IF(calendar[[#This Row],[Month]]&lt;7,2,IF(calendar[[#This Row],[Month]]&lt;10,3,4)))</f>
        <v>2</v>
      </c>
      <c r="L1607">
        <f>IFERROR(IF(VLOOKUP(calendar[[#This Row],[Date]],BH!A:A,1,)&lt;&gt;"",1,0),0)</f>
        <v>0</v>
      </c>
      <c r="M1607">
        <f>IFERROR(IF(VLOOKUP(calendar[[#This Row],[Date]],BH!C:C,1,)&lt;&gt;"",1,0),0)</f>
        <v>0</v>
      </c>
      <c r="N1607">
        <f>IFERROR(IF(VLOOKUP(calendar[[#This Row],[Date]],BH!E:E,1,)&lt;&gt;"",1,0),0)</f>
        <v>0</v>
      </c>
      <c r="O1607">
        <f>IFERROR(IF(VLOOKUP(calendar[[#This Row],[Date]],BH!G:G,1,)&lt;&gt;"",1,0),0)</f>
        <v>0</v>
      </c>
      <c r="P1607">
        <f>IF(OR(calendar[[#This Row],[UK_BH]]=1,calendar[[#This Row],[WeekDay]]=1, calendar[[#This Row],[WeekDay]]=7),P1606,P1606+1)</f>
        <v>1147</v>
      </c>
      <c r="Q1607">
        <f>IF(OR(calendar[[#This Row],[FR_BH]]=1,calendar[[#This Row],[WeekDay]]=1, calendar[[#This Row],[WeekDay]]=7),P1606,P1606+1)</f>
        <v>1147</v>
      </c>
      <c r="R1607">
        <f>IF(OR(calendar[[#This Row],[SP_BH]]=1,calendar[[#This Row],[WeekDay]]=1, calendar[[#This Row],[WeekDay]]=7),P1606,P1606+1)</f>
        <v>1147</v>
      </c>
      <c r="S1607">
        <f>IF(OR(calendar[[#This Row],[PT_BH]]=1,calendar[[#This Row],[WeekDay]]=1, calendar[[#This Row],[WeekDay]]=7),P1606,P1606+1)</f>
        <v>1147</v>
      </c>
    </row>
    <row r="1608" spans="1:19" x14ac:dyDescent="0.25">
      <c r="A1608" s="2">
        <v>44342</v>
      </c>
      <c r="B1608" s="1">
        <f t="shared" si="128"/>
        <v>22</v>
      </c>
      <c r="C1608">
        <f t="shared" si="125"/>
        <v>5</v>
      </c>
      <c r="D1608" t="str">
        <f t="shared" si="126"/>
        <v>May</v>
      </c>
      <c r="E1608">
        <f t="shared" si="127"/>
        <v>2021</v>
      </c>
      <c r="F1608" t="str">
        <f>CONCATENATE(calendar[[#This Row],[Month]],"/",calendar[[#This Row],[Year]])</f>
        <v>5/2021</v>
      </c>
      <c r="G1608">
        <f>WEEKDAY(calendar[[#This Row],[Date]],1)</f>
        <v>4</v>
      </c>
      <c r="H1608" t="str">
        <f>TEXT(calendar[[#This Row],[WeekDay]],"dddd")</f>
        <v>Wednesday</v>
      </c>
      <c r="I1608">
        <f>IF((INT(calendar[[#This Row],[Count]]/7)-calendar[[#This Row],[Count]]/7)&lt;0,I1607,I1607+1)</f>
        <v>230</v>
      </c>
      <c r="J1608">
        <f t="shared" si="129"/>
        <v>1606</v>
      </c>
      <c r="K1608">
        <f>IF(calendar[[#This Row],[Month]]&lt;4,1,IF(calendar[[#This Row],[Month]]&lt;7,2,IF(calendar[[#This Row],[Month]]&lt;10,3,4)))</f>
        <v>2</v>
      </c>
      <c r="L1608">
        <f>IFERROR(IF(VLOOKUP(calendar[[#This Row],[Date]],BH!A:A,1,)&lt;&gt;"",1,0),0)</f>
        <v>0</v>
      </c>
      <c r="M1608">
        <f>IFERROR(IF(VLOOKUP(calendar[[#This Row],[Date]],BH!C:C,1,)&lt;&gt;"",1,0),0)</f>
        <v>0</v>
      </c>
      <c r="N1608">
        <f>IFERROR(IF(VLOOKUP(calendar[[#This Row],[Date]],BH!E:E,1,)&lt;&gt;"",1,0),0)</f>
        <v>0</v>
      </c>
      <c r="O1608">
        <f>IFERROR(IF(VLOOKUP(calendar[[#This Row],[Date]],BH!G:G,1,)&lt;&gt;"",1,0),0)</f>
        <v>0</v>
      </c>
      <c r="P1608">
        <f>IF(OR(calendar[[#This Row],[UK_BH]]=1,calendar[[#This Row],[WeekDay]]=1, calendar[[#This Row],[WeekDay]]=7),P1607,P1607+1)</f>
        <v>1148</v>
      </c>
      <c r="Q1608">
        <f>IF(OR(calendar[[#This Row],[FR_BH]]=1,calendar[[#This Row],[WeekDay]]=1, calendar[[#This Row],[WeekDay]]=7),P1607,P1607+1)</f>
        <v>1148</v>
      </c>
      <c r="R1608">
        <f>IF(OR(calendar[[#This Row],[SP_BH]]=1,calendar[[#This Row],[WeekDay]]=1, calendar[[#This Row],[WeekDay]]=7),P1607,P1607+1)</f>
        <v>1148</v>
      </c>
      <c r="S1608">
        <f>IF(OR(calendar[[#This Row],[PT_BH]]=1,calendar[[#This Row],[WeekDay]]=1, calendar[[#This Row],[WeekDay]]=7),P1607,P1607+1)</f>
        <v>1148</v>
      </c>
    </row>
    <row r="1609" spans="1:19" x14ac:dyDescent="0.25">
      <c r="A1609" s="2">
        <v>44343</v>
      </c>
      <c r="B1609" s="1">
        <f t="shared" si="128"/>
        <v>22</v>
      </c>
      <c r="C1609">
        <f t="shared" si="125"/>
        <v>5</v>
      </c>
      <c r="D1609" t="str">
        <f t="shared" si="126"/>
        <v>May</v>
      </c>
      <c r="E1609">
        <f t="shared" si="127"/>
        <v>2021</v>
      </c>
      <c r="F1609" t="str">
        <f>CONCATENATE(calendar[[#This Row],[Month]],"/",calendar[[#This Row],[Year]])</f>
        <v>5/2021</v>
      </c>
      <c r="G1609">
        <f>WEEKDAY(calendar[[#This Row],[Date]],1)</f>
        <v>5</v>
      </c>
      <c r="H1609" t="str">
        <f>TEXT(calendar[[#This Row],[WeekDay]],"dddd")</f>
        <v>Thursday</v>
      </c>
      <c r="I1609">
        <f>IF((INT(calendar[[#This Row],[Count]]/7)-calendar[[#This Row],[Count]]/7)&lt;0,I1608,I1608+1)</f>
        <v>230</v>
      </c>
      <c r="J1609">
        <f t="shared" si="129"/>
        <v>1607</v>
      </c>
      <c r="K1609">
        <f>IF(calendar[[#This Row],[Month]]&lt;4,1,IF(calendar[[#This Row],[Month]]&lt;7,2,IF(calendar[[#This Row],[Month]]&lt;10,3,4)))</f>
        <v>2</v>
      </c>
      <c r="L1609">
        <f>IFERROR(IF(VLOOKUP(calendar[[#This Row],[Date]],BH!A:A,1,)&lt;&gt;"",1,0),0)</f>
        <v>0</v>
      </c>
      <c r="M1609">
        <f>IFERROR(IF(VLOOKUP(calendar[[#This Row],[Date]],BH!C:C,1,)&lt;&gt;"",1,0),0)</f>
        <v>0</v>
      </c>
      <c r="N1609">
        <f>IFERROR(IF(VLOOKUP(calendar[[#This Row],[Date]],BH!E:E,1,)&lt;&gt;"",1,0),0)</f>
        <v>0</v>
      </c>
      <c r="O1609">
        <f>IFERROR(IF(VLOOKUP(calendar[[#This Row],[Date]],BH!G:G,1,)&lt;&gt;"",1,0),0)</f>
        <v>0</v>
      </c>
      <c r="P1609">
        <f>IF(OR(calendar[[#This Row],[UK_BH]]=1,calendar[[#This Row],[WeekDay]]=1, calendar[[#This Row],[WeekDay]]=7),P1608,P1608+1)</f>
        <v>1149</v>
      </c>
      <c r="Q1609">
        <f>IF(OR(calendar[[#This Row],[FR_BH]]=1,calendar[[#This Row],[WeekDay]]=1, calendar[[#This Row],[WeekDay]]=7),P1608,P1608+1)</f>
        <v>1149</v>
      </c>
      <c r="R1609">
        <f>IF(OR(calendar[[#This Row],[SP_BH]]=1,calendar[[#This Row],[WeekDay]]=1, calendar[[#This Row],[WeekDay]]=7),P1608,P1608+1)</f>
        <v>1149</v>
      </c>
      <c r="S1609">
        <f>IF(OR(calendar[[#This Row],[PT_BH]]=1,calendar[[#This Row],[WeekDay]]=1, calendar[[#This Row],[WeekDay]]=7),P1608,P1608+1)</f>
        <v>1149</v>
      </c>
    </row>
    <row r="1610" spans="1:19" x14ac:dyDescent="0.25">
      <c r="A1610" s="2">
        <v>44344</v>
      </c>
      <c r="B1610" s="1">
        <f t="shared" si="128"/>
        <v>22</v>
      </c>
      <c r="C1610">
        <f t="shared" si="125"/>
        <v>5</v>
      </c>
      <c r="D1610" t="str">
        <f t="shared" si="126"/>
        <v>May</v>
      </c>
      <c r="E1610">
        <f t="shared" si="127"/>
        <v>2021</v>
      </c>
      <c r="F1610" t="str">
        <f>CONCATENATE(calendar[[#This Row],[Month]],"/",calendar[[#This Row],[Year]])</f>
        <v>5/2021</v>
      </c>
      <c r="G1610">
        <f>WEEKDAY(calendar[[#This Row],[Date]],1)</f>
        <v>6</v>
      </c>
      <c r="H1610" t="str">
        <f>TEXT(calendar[[#This Row],[WeekDay]],"dddd")</f>
        <v>Friday</v>
      </c>
      <c r="I1610">
        <f>IF((INT(calendar[[#This Row],[Count]]/7)-calendar[[#This Row],[Count]]/7)&lt;0,I1609,I1609+1)</f>
        <v>230</v>
      </c>
      <c r="J1610">
        <f t="shared" si="129"/>
        <v>1608</v>
      </c>
      <c r="K1610">
        <f>IF(calendar[[#This Row],[Month]]&lt;4,1,IF(calendar[[#This Row],[Month]]&lt;7,2,IF(calendar[[#This Row],[Month]]&lt;10,3,4)))</f>
        <v>2</v>
      </c>
      <c r="L1610">
        <f>IFERROR(IF(VLOOKUP(calendar[[#This Row],[Date]],BH!A:A,1,)&lt;&gt;"",1,0),0)</f>
        <v>0</v>
      </c>
      <c r="M1610">
        <f>IFERROR(IF(VLOOKUP(calendar[[#This Row],[Date]],BH!C:C,1,)&lt;&gt;"",1,0),0)</f>
        <v>0</v>
      </c>
      <c r="N1610">
        <f>IFERROR(IF(VLOOKUP(calendar[[#This Row],[Date]],BH!E:E,1,)&lt;&gt;"",1,0),0)</f>
        <v>0</v>
      </c>
      <c r="O1610">
        <f>IFERROR(IF(VLOOKUP(calendar[[#This Row],[Date]],BH!G:G,1,)&lt;&gt;"",1,0),0)</f>
        <v>0</v>
      </c>
      <c r="P1610">
        <f>IF(OR(calendar[[#This Row],[UK_BH]]=1,calendar[[#This Row],[WeekDay]]=1, calendar[[#This Row],[WeekDay]]=7),P1609,P1609+1)</f>
        <v>1150</v>
      </c>
      <c r="Q1610">
        <f>IF(OR(calendar[[#This Row],[FR_BH]]=1,calendar[[#This Row],[WeekDay]]=1, calendar[[#This Row],[WeekDay]]=7),P1609,P1609+1)</f>
        <v>1150</v>
      </c>
      <c r="R1610">
        <f>IF(OR(calendar[[#This Row],[SP_BH]]=1,calendar[[#This Row],[WeekDay]]=1, calendar[[#This Row],[WeekDay]]=7),P1609,P1609+1)</f>
        <v>1150</v>
      </c>
      <c r="S1610">
        <f>IF(OR(calendar[[#This Row],[PT_BH]]=1,calendar[[#This Row],[WeekDay]]=1, calendar[[#This Row],[WeekDay]]=7),P1609,P1609+1)</f>
        <v>1150</v>
      </c>
    </row>
    <row r="1611" spans="1:19" x14ac:dyDescent="0.25">
      <c r="A1611" s="2">
        <v>44345</v>
      </c>
      <c r="B1611" s="1">
        <f t="shared" si="128"/>
        <v>22</v>
      </c>
      <c r="C1611">
        <f t="shared" si="125"/>
        <v>5</v>
      </c>
      <c r="D1611" t="str">
        <f t="shared" si="126"/>
        <v>May</v>
      </c>
      <c r="E1611">
        <f t="shared" si="127"/>
        <v>2021</v>
      </c>
      <c r="F1611" t="str">
        <f>CONCATENATE(calendar[[#This Row],[Month]],"/",calendar[[#This Row],[Year]])</f>
        <v>5/2021</v>
      </c>
      <c r="G1611">
        <f>WEEKDAY(calendar[[#This Row],[Date]],1)</f>
        <v>7</v>
      </c>
      <c r="H1611" t="str">
        <f>TEXT(calendar[[#This Row],[WeekDay]],"dddd")</f>
        <v>Saturday</v>
      </c>
      <c r="I1611">
        <f>IF((INT(calendar[[#This Row],[Count]]/7)-calendar[[#This Row],[Count]]/7)&lt;0,I1610,I1610+1)</f>
        <v>230</v>
      </c>
      <c r="J1611">
        <f t="shared" si="129"/>
        <v>1609</v>
      </c>
      <c r="K1611">
        <f>IF(calendar[[#This Row],[Month]]&lt;4,1,IF(calendar[[#This Row],[Month]]&lt;7,2,IF(calendar[[#This Row],[Month]]&lt;10,3,4)))</f>
        <v>2</v>
      </c>
      <c r="L1611">
        <f>IFERROR(IF(VLOOKUP(calendar[[#This Row],[Date]],BH!A:A,1,)&lt;&gt;"",1,0),0)</f>
        <v>0</v>
      </c>
      <c r="M1611">
        <f>IFERROR(IF(VLOOKUP(calendar[[#This Row],[Date]],BH!C:C,1,)&lt;&gt;"",1,0),0)</f>
        <v>0</v>
      </c>
      <c r="N1611">
        <f>IFERROR(IF(VLOOKUP(calendar[[#This Row],[Date]],BH!E:E,1,)&lt;&gt;"",1,0),0)</f>
        <v>0</v>
      </c>
      <c r="O1611">
        <f>IFERROR(IF(VLOOKUP(calendar[[#This Row],[Date]],BH!G:G,1,)&lt;&gt;"",1,0),0)</f>
        <v>0</v>
      </c>
      <c r="P1611">
        <f>IF(OR(calendar[[#This Row],[UK_BH]]=1,calendar[[#This Row],[WeekDay]]=1, calendar[[#This Row],[WeekDay]]=7),P1610,P1610+1)</f>
        <v>1150</v>
      </c>
      <c r="Q1611">
        <f>IF(OR(calendar[[#This Row],[FR_BH]]=1,calendar[[#This Row],[WeekDay]]=1, calendar[[#This Row],[WeekDay]]=7),P1610,P1610+1)</f>
        <v>1150</v>
      </c>
      <c r="R1611">
        <f>IF(OR(calendar[[#This Row],[SP_BH]]=1,calendar[[#This Row],[WeekDay]]=1, calendar[[#This Row],[WeekDay]]=7),P1610,P1610+1)</f>
        <v>1150</v>
      </c>
      <c r="S1611">
        <f>IF(OR(calendar[[#This Row],[PT_BH]]=1,calendar[[#This Row],[WeekDay]]=1, calendar[[#This Row],[WeekDay]]=7),P1610,P1610+1)</f>
        <v>1150</v>
      </c>
    </row>
    <row r="1612" spans="1:19" x14ac:dyDescent="0.25">
      <c r="A1612" s="2">
        <v>44346</v>
      </c>
      <c r="B1612" s="1">
        <f t="shared" si="128"/>
        <v>23</v>
      </c>
      <c r="C1612">
        <f t="shared" si="125"/>
        <v>5</v>
      </c>
      <c r="D1612" t="str">
        <f t="shared" si="126"/>
        <v>May</v>
      </c>
      <c r="E1612">
        <f t="shared" si="127"/>
        <v>2021</v>
      </c>
      <c r="F1612" t="str">
        <f>CONCATENATE(calendar[[#This Row],[Month]],"/",calendar[[#This Row],[Year]])</f>
        <v>5/2021</v>
      </c>
      <c r="G1612">
        <f>WEEKDAY(calendar[[#This Row],[Date]],1)</f>
        <v>1</v>
      </c>
      <c r="H1612" t="str">
        <f>TEXT(calendar[[#This Row],[WeekDay]],"dddd")</f>
        <v>Sunday</v>
      </c>
      <c r="I1612">
        <f>IF((INT(calendar[[#This Row],[Count]]/7)-calendar[[#This Row],[Count]]/7)&lt;0,I1611,I1611+1)</f>
        <v>231</v>
      </c>
      <c r="J1612">
        <f t="shared" si="129"/>
        <v>1610</v>
      </c>
      <c r="K1612">
        <f>IF(calendar[[#This Row],[Month]]&lt;4,1,IF(calendar[[#This Row],[Month]]&lt;7,2,IF(calendar[[#This Row],[Month]]&lt;10,3,4)))</f>
        <v>2</v>
      </c>
      <c r="L1612">
        <f>IFERROR(IF(VLOOKUP(calendar[[#This Row],[Date]],BH!A:A,1,)&lt;&gt;"",1,0),0)</f>
        <v>0</v>
      </c>
      <c r="M1612">
        <f>IFERROR(IF(VLOOKUP(calendar[[#This Row],[Date]],BH!C:C,1,)&lt;&gt;"",1,0),0)</f>
        <v>0</v>
      </c>
      <c r="N1612">
        <f>IFERROR(IF(VLOOKUP(calendar[[#This Row],[Date]],BH!E:E,1,)&lt;&gt;"",1,0),0)</f>
        <v>0</v>
      </c>
      <c r="O1612">
        <f>IFERROR(IF(VLOOKUP(calendar[[#This Row],[Date]],BH!G:G,1,)&lt;&gt;"",1,0),0)</f>
        <v>0</v>
      </c>
      <c r="P1612">
        <f>IF(OR(calendar[[#This Row],[UK_BH]]=1,calendar[[#This Row],[WeekDay]]=1, calendar[[#This Row],[WeekDay]]=7),P1611,P1611+1)</f>
        <v>1150</v>
      </c>
      <c r="Q1612">
        <f>IF(OR(calendar[[#This Row],[FR_BH]]=1,calendar[[#This Row],[WeekDay]]=1, calendar[[#This Row],[WeekDay]]=7),P1611,P1611+1)</f>
        <v>1150</v>
      </c>
      <c r="R1612">
        <f>IF(OR(calendar[[#This Row],[SP_BH]]=1,calendar[[#This Row],[WeekDay]]=1, calendar[[#This Row],[WeekDay]]=7),P1611,P1611+1)</f>
        <v>1150</v>
      </c>
      <c r="S1612">
        <f>IF(OR(calendar[[#This Row],[PT_BH]]=1,calendar[[#This Row],[WeekDay]]=1, calendar[[#This Row],[WeekDay]]=7),P1611,P1611+1)</f>
        <v>1150</v>
      </c>
    </row>
    <row r="1613" spans="1:19" x14ac:dyDescent="0.25">
      <c r="A1613" s="2">
        <v>44347</v>
      </c>
      <c r="B1613" s="1">
        <f t="shared" si="128"/>
        <v>23</v>
      </c>
      <c r="C1613">
        <f t="shared" si="125"/>
        <v>5</v>
      </c>
      <c r="D1613" t="str">
        <f t="shared" si="126"/>
        <v>May</v>
      </c>
      <c r="E1613">
        <f t="shared" si="127"/>
        <v>2021</v>
      </c>
      <c r="F1613" t="str">
        <f>CONCATENATE(calendar[[#This Row],[Month]],"/",calendar[[#This Row],[Year]])</f>
        <v>5/2021</v>
      </c>
      <c r="G1613">
        <f>WEEKDAY(calendar[[#This Row],[Date]],1)</f>
        <v>2</v>
      </c>
      <c r="H1613" t="str">
        <f>TEXT(calendar[[#This Row],[WeekDay]],"dddd")</f>
        <v>Monday</v>
      </c>
      <c r="I1613">
        <f>IF((INT(calendar[[#This Row],[Count]]/7)-calendar[[#This Row],[Count]]/7)&lt;0,I1612,I1612+1)</f>
        <v>231</v>
      </c>
      <c r="J1613">
        <f t="shared" si="129"/>
        <v>1611</v>
      </c>
      <c r="K1613">
        <f>IF(calendar[[#This Row],[Month]]&lt;4,1,IF(calendar[[#This Row],[Month]]&lt;7,2,IF(calendar[[#This Row],[Month]]&lt;10,3,4)))</f>
        <v>2</v>
      </c>
      <c r="L1613">
        <f>IFERROR(IF(VLOOKUP(calendar[[#This Row],[Date]],BH!A:A,1,)&lt;&gt;"",1,0),0)</f>
        <v>0</v>
      </c>
      <c r="M1613">
        <f>IFERROR(IF(VLOOKUP(calendar[[#This Row],[Date]],BH!C:C,1,)&lt;&gt;"",1,0),0)</f>
        <v>0</v>
      </c>
      <c r="N1613">
        <f>IFERROR(IF(VLOOKUP(calendar[[#This Row],[Date]],BH!E:E,1,)&lt;&gt;"",1,0),0)</f>
        <v>0</v>
      </c>
      <c r="O1613">
        <f>IFERROR(IF(VLOOKUP(calendar[[#This Row],[Date]],BH!G:G,1,)&lt;&gt;"",1,0),0)</f>
        <v>0</v>
      </c>
      <c r="P1613">
        <f>IF(OR(calendar[[#This Row],[UK_BH]]=1,calendar[[#This Row],[WeekDay]]=1, calendar[[#This Row],[WeekDay]]=7),P1612,P1612+1)</f>
        <v>1151</v>
      </c>
      <c r="Q1613">
        <f>IF(OR(calendar[[#This Row],[FR_BH]]=1,calendar[[#This Row],[WeekDay]]=1, calendar[[#This Row],[WeekDay]]=7),P1612,P1612+1)</f>
        <v>1151</v>
      </c>
      <c r="R1613">
        <f>IF(OR(calendar[[#This Row],[SP_BH]]=1,calendar[[#This Row],[WeekDay]]=1, calendar[[#This Row],[WeekDay]]=7),P1612,P1612+1)</f>
        <v>1151</v>
      </c>
      <c r="S1613">
        <f>IF(OR(calendar[[#This Row],[PT_BH]]=1,calendar[[#This Row],[WeekDay]]=1, calendar[[#This Row],[WeekDay]]=7),P1612,P1612+1)</f>
        <v>1151</v>
      </c>
    </row>
    <row r="1614" spans="1:19" x14ac:dyDescent="0.25">
      <c r="A1614" s="2">
        <v>44348</v>
      </c>
      <c r="B1614" s="1">
        <f t="shared" si="128"/>
        <v>23</v>
      </c>
      <c r="C1614">
        <f t="shared" si="125"/>
        <v>6</v>
      </c>
      <c r="D1614" t="str">
        <f t="shared" si="126"/>
        <v>June</v>
      </c>
      <c r="E1614">
        <f t="shared" si="127"/>
        <v>2021</v>
      </c>
      <c r="F1614" t="str">
        <f>CONCATENATE(calendar[[#This Row],[Month]],"/",calendar[[#This Row],[Year]])</f>
        <v>6/2021</v>
      </c>
      <c r="G1614">
        <f>WEEKDAY(calendar[[#This Row],[Date]],1)</f>
        <v>3</v>
      </c>
      <c r="H1614" t="str">
        <f>TEXT(calendar[[#This Row],[WeekDay]],"dddd")</f>
        <v>Tuesday</v>
      </c>
      <c r="I1614">
        <f>IF((INT(calendar[[#This Row],[Count]]/7)-calendar[[#This Row],[Count]]/7)&lt;0,I1613,I1613+1)</f>
        <v>231</v>
      </c>
      <c r="J1614">
        <f t="shared" si="129"/>
        <v>1612</v>
      </c>
      <c r="K1614">
        <f>IF(calendar[[#This Row],[Month]]&lt;4,1,IF(calendar[[#This Row],[Month]]&lt;7,2,IF(calendar[[#This Row],[Month]]&lt;10,3,4)))</f>
        <v>2</v>
      </c>
      <c r="L1614">
        <f>IFERROR(IF(VLOOKUP(calendar[[#This Row],[Date]],BH!A:A,1,)&lt;&gt;"",1,0),0)</f>
        <v>0</v>
      </c>
      <c r="M1614">
        <f>IFERROR(IF(VLOOKUP(calendar[[#This Row],[Date]],BH!C:C,1,)&lt;&gt;"",1,0),0)</f>
        <v>0</v>
      </c>
      <c r="N1614">
        <f>IFERROR(IF(VLOOKUP(calendar[[#This Row],[Date]],BH!E:E,1,)&lt;&gt;"",1,0),0)</f>
        <v>0</v>
      </c>
      <c r="O1614">
        <f>IFERROR(IF(VLOOKUP(calendar[[#This Row],[Date]],BH!G:G,1,)&lt;&gt;"",1,0),0)</f>
        <v>0</v>
      </c>
      <c r="P1614">
        <f>IF(OR(calendar[[#This Row],[UK_BH]]=1,calendar[[#This Row],[WeekDay]]=1, calendar[[#This Row],[WeekDay]]=7),P1613,P1613+1)</f>
        <v>1152</v>
      </c>
      <c r="Q1614">
        <f>IF(OR(calendar[[#This Row],[FR_BH]]=1,calendar[[#This Row],[WeekDay]]=1, calendar[[#This Row],[WeekDay]]=7),P1613,P1613+1)</f>
        <v>1152</v>
      </c>
      <c r="R1614">
        <f>IF(OR(calendar[[#This Row],[SP_BH]]=1,calendar[[#This Row],[WeekDay]]=1, calendar[[#This Row],[WeekDay]]=7),P1613,P1613+1)</f>
        <v>1152</v>
      </c>
      <c r="S1614">
        <f>IF(OR(calendar[[#This Row],[PT_BH]]=1,calendar[[#This Row],[WeekDay]]=1, calendar[[#This Row],[WeekDay]]=7),P1613,P1613+1)</f>
        <v>1152</v>
      </c>
    </row>
    <row r="1615" spans="1:19" x14ac:dyDescent="0.25">
      <c r="A1615" s="2">
        <v>44349</v>
      </c>
      <c r="B1615" s="1">
        <f t="shared" si="128"/>
        <v>23</v>
      </c>
      <c r="C1615">
        <f t="shared" si="125"/>
        <v>6</v>
      </c>
      <c r="D1615" t="str">
        <f t="shared" si="126"/>
        <v>June</v>
      </c>
      <c r="E1615">
        <f t="shared" si="127"/>
        <v>2021</v>
      </c>
      <c r="F1615" t="str">
        <f>CONCATENATE(calendar[[#This Row],[Month]],"/",calendar[[#This Row],[Year]])</f>
        <v>6/2021</v>
      </c>
      <c r="G1615">
        <f>WEEKDAY(calendar[[#This Row],[Date]],1)</f>
        <v>4</v>
      </c>
      <c r="H1615" t="str">
        <f>TEXT(calendar[[#This Row],[WeekDay]],"dddd")</f>
        <v>Wednesday</v>
      </c>
      <c r="I1615">
        <f>IF((INT(calendar[[#This Row],[Count]]/7)-calendar[[#This Row],[Count]]/7)&lt;0,I1614,I1614+1)</f>
        <v>231</v>
      </c>
      <c r="J1615">
        <f t="shared" si="129"/>
        <v>1613</v>
      </c>
      <c r="K1615">
        <f>IF(calendar[[#This Row],[Month]]&lt;4,1,IF(calendar[[#This Row],[Month]]&lt;7,2,IF(calendar[[#This Row],[Month]]&lt;10,3,4)))</f>
        <v>2</v>
      </c>
      <c r="L1615">
        <f>IFERROR(IF(VLOOKUP(calendar[[#This Row],[Date]],BH!A:A,1,)&lt;&gt;"",1,0),0)</f>
        <v>0</v>
      </c>
      <c r="M1615">
        <f>IFERROR(IF(VLOOKUP(calendar[[#This Row],[Date]],BH!C:C,1,)&lt;&gt;"",1,0),0)</f>
        <v>0</v>
      </c>
      <c r="N1615">
        <f>IFERROR(IF(VLOOKUP(calendar[[#This Row],[Date]],BH!E:E,1,)&lt;&gt;"",1,0),0)</f>
        <v>0</v>
      </c>
      <c r="O1615">
        <f>IFERROR(IF(VLOOKUP(calendar[[#This Row],[Date]],BH!G:G,1,)&lt;&gt;"",1,0),0)</f>
        <v>0</v>
      </c>
      <c r="P1615">
        <f>IF(OR(calendar[[#This Row],[UK_BH]]=1,calendar[[#This Row],[WeekDay]]=1, calendar[[#This Row],[WeekDay]]=7),P1614,P1614+1)</f>
        <v>1153</v>
      </c>
      <c r="Q1615">
        <f>IF(OR(calendar[[#This Row],[FR_BH]]=1,calendar[[#This Row],[WeekDay]]=1, calendar[[#This Row],[WeekDay]]=7),P1614,P1614+1)</f>
        <v>1153</v>
      </c>
      <c r="R1615">
        <f>IF(OR(calendar[[#This Row],[SP_BH]]=1,calendar[[#This Row],[WeekDay]]=1, calendar[[#This Row],[WeekDay]]=7),P1614,P1614+1)</f>
        <v>1153</v>
      </c>
      <c r="S1615">
        <f>IF(OR(calendar[[#This Row],[PT_BH]]=1,calendar[[#This Row],[WeekDay]]=1, calendar[[#This Row],[WeekDay]]=7),P1614,P1614+1)</f>
        <v>1153</v>
      </c>
    </row>
    <row r="1616" spans="1:19" x14ac:dyDescent="0.25">
      <c r="A1616" s="2">
        <v>44350</v>
      </c>
      <c r="B1616" s="1">
        <f t="shared" si="128"/>
        <v>23</v>
      </c>
      <c r="C1616">
        <f t="shared" ref="C1616:C1679" si="130">MONTH(A1616)</f>
        <v>6</v>
      </c>
      <c r="D1616" t="str">
        <f t="shared" ref="D1616:D1679" si="131">TEXT(A1616,"mmmm")</f>
        <v>June</v>
      </c>
      <c r="E1616">
        <f t="shared" ref="E1616:E1679" si="132">YEAR(A1616)</f>
        <v>2021</v>
      </c>
      <c r="F1616" t="str">
        <f>CONCATENATE(calendar[[#This Row],[Month]],"/",calendar[[#This Row],[Year]])</f>
        <v>6/2021</v>
      </c>
      <c r="G1616">
        <f>WEEKDAY(calendar[[#This Row],[Date]],1)</f>
        <v>5</v>
      </c>
      <c r="H1616" t="str">
        <f>TEXT(calendar[[#This Row],[WeekDay]],"dddd")</f>
        <v>Thursday</v>
      </c>
      <c r="I1616">
        <f>IF((INT(calendar[[#This Row],[Count]]/7)-calendar[[#This Row],[Count]]/7)&lt;0,I1615,I1615+1)</f>
        <v>231</v>
      </c>
      <c r="J1616">
        <f t="shared" si="129"/>
        <v>1614</v>
      </c>
      <c r="K1616">
        <f>IF(calendar[[#This Row],[Month]]&lt;4,1,IF(calendar[[#This Row],[Month]]&lt;7,2,IF(calendar[[#This Row],[Month]]&lt;10,3,4)))</f>
        <v>2</v>
      </c>
      <c r="L1616">
        <f>IFERROR(IF(VLOOKUP(calendar[[#This Row],[Date]],BH!A:A,1,)&lt;&gt;"",1,0),0)</f>
        <v>0</v>
      </c>
      <c r="M1616">
        <f>IFERROR(IF(VLOOKUP(calendar[[#This Row],[Date]],BH!C:C,1,)&lt;&gt;"",1,0),0)</f>
        <v>0</v>
      </c>
      <c r="N1616">
        <f>IFERROR(IF(VLOOKUP(calendar[[#This Row],[Date]],BH!E:E,1,)&lt;&gt;"",1,0),0)</f>
        <v>0</v>
      </c>
      <c r="O1616">
        <f>IFERROR(IF(VLOOKUP(calendar[[#This Row],[Date]],BH!G:G,1,)&lt;&gt;"",1,0),0)</f>
        <v>0</v>
      </c>
      <c r="P1616">
        <f>IF(OR(calendar[[#This Row],[UK_BH]]=1,calendar[[#This Row],[WeekDay]]=1, calendar[[#This Row],[WeekDay]]=7),P1615,P1615+1)</f>
        <v>1154</v>
      </c>
      <c r="Q1616">
        <f>IF(OR(calendar[[#This Row],[FR_BH]]=1,calendar[[#This Row],[WeekDay]]=1, calendar[[#This Row],[WeekDay]]=7),P1615,P1615+1)</f>
        <v>1154</v>
      </c>
      <c r="R1616">
        <f>IF(OR(calendar[[#This Row],[SP_BH]]=1,calendar[[#This Row],[WeekDay]]=1, calendar[[#This Row],[WeekDay]]=7),P1615,P1615+1)</f>
        <v>1154</v>
      </c>
      <c r="S1616">
        <f>IF(OR(calendar[[#This Row],[PT_BH]]=1,calendar[[#This Row],[WeekDay]]=1, calendar[[#This Row],[WeekDay]]=7),P1615,P1615+1)</f>
        <v>1154</v>
      </c>
    </row>
    <row r="1617" spans="1:19" x14ac:dyDescent="0.25">
      <c r="A1617" s="2">
        <v>44351</v>
      </c>
      <c r="B1617" s="1">
        <f t="shared" si="128"/>
        <v>23</v>
      </c>
      <c r="C1617">
        <f t="shared" si="130"/>
        <v>6</v>
      </c>
      <c r="D1617" t="str">
        <f t="shared" si="131"/>
        <v>June</v>
      </c>
      <c r="E1617">
        <f t="shared" si="132"/>
        <v>2021</v>
      </c>
      <c r="F1617" t="str">
        <f>CONCATENATE(calendar[[#This Row],[Month]],"/",calendar[[#This Row],[Year]])</f>
        <v>6/2021</v>
      </c>
      <c r="G1617">
        <f>WEEKDAY(calendar[[#This Row],[Date]],1)</f>
        <v>6</v>
      </c>
      <c r="H1617" t="str">
        <f>TEXT(calendar[[#This Row],[WeekDay]],"dddd")</f>
        <v>Friday</v>
      </c>
      <c r="I1617">
        <f>IF((INT(calendar[[#This Row],[Count]]/7)-calendar[[#This Row],[Count]]/7)&lt;0,I1616,I1616+1)</f>
        <v>231</v>
      </c>
      <c r="J1617">
        <f t="shared" si="129"/>
        <v>1615</v>
      </c>
      <c r="K1617">
        <f>IF(calendar[[#This Row],[Month]]&lt;4,1,IF(calendar[[#This Row],[Month]]&lt;7,2,IF(calendar[[#This Row],[Month]]&lt;10,3,4)))</f>
        <v>2</v>
      </c>
      <c r="L1617">
        <f>IFERROR(IF(VLOOKUP(calendar[[#This Row],[Date]],BH!A:A,1,)&lt;&gt;"",1,0),0)</f>
        <v>0</v>
      </c>
      <c r="M1617">
        <f>IFERROR(IF(VLOOKUP(calendar[[#This Row],[Date]],BH!C:C,1,)&lt;&gt;"",1,0),0)</f>
        <v>0</v>
      </c>
      <c r="N1617">
        <f>IFERROR(IF(VLOOKUP(calendar[[#This Row],[Date]],BH!E:E,1,)&lt;&gt;"",1,0),0)</f>
        <v>0</v>
      </c>
      <c r="O1617">
        <f>IFERROR(IF(VLOOKUP(calendar[[#This Row],[Date]],BH!G:G,1,)&lt;&gt;"",1,0),0)</f>
        <v>0</v>
      </c>
      <c r="P1617">
        <f>IF(OR(calendar[[#This Row],[UK_BH]]=1,calendar[[#This Row],[WeekDay]]=1, calendar[[#This Row],[WeekDay]]=7),P1616,P1616+1)</f>
        <v>1155</v>
      </c>
      <c r="Q1617">
        <f>IF(OR(calendar[[#This Row],[FR_BH]]=1,calendar[[#This Row],[WeekDay]]=1, calendar[[#This Row],[WeekDay]]=7),P1616,P1616+1)</f>
        <v>1155</v>
      </c>
      <c r="R1617">
        <f>IF(OR(calendar[[#This Row],[SP_BH]]=1,calendar[[#This Row],[WeekDay]]=1, calendar[[#This Row],[WeekDay]]=7),P1616,P1616+1)</f>
        <v>1155</v>
      </c>
      <c r="S1617">
        <f>IF(OR(calendar[[#This Row],[PT_BH]]=1,calendar[[#This Row],[WeekDay]]=1, calendar[[#This Row],[WeekDay]]=7),P1616,P1616+1)</f>
        <v>1155</v>
      </c>
    </row>
    <row r="1618" spans="1:19" x14ac:dyDescent="0.25">
      <c r="A1618" s="2">
        <v>44352</v>
      </c>
      <c r="B1618" s="1">
        <f t="shared" si="128"/>
        <v>23</v>
      </c>
      <c r="C1618">
        <f t="shared" si="130"/>
        <v>6</v>
      </c>
      <c r="D1618" t="str">
        <f t="shared" si="131"/>
        <v>June</v>
      </c>
      <c r="E1618">
        <f t="shared" si="132"/>
        <v>2021</v>
      </c>
      <c r="F1618" t="str">
        <f>CONCATENATE(calendar[[#This Row],[Month]],"/",calendar[[#This Row],[Year]])</f>
        <v>6/2021</v>
      </c>
      <c r="G1618">
        <f>WEEKDAY(calendar[[#This Row],[Date]],1)</f>
        <v>7</v>
      </c>
      <c r="H1618" t="str">
        <f>TEXT(calendar[[#This Row],[WeekDay]],"dddd")</f>
        <v>Saturday</v>
      </c>
      <c r="I1618">
        <f>IF((INT(calendar[[#This Row],[Count]]/7)-calendar[[#This Row],[Count]]/7)&lt;0,I1617,I1617+1)</f>
        <v>231</v>
      </c>
      <c r="J1618">
        <f t="shared" si="129"/>
        <v>1616</v>
      </c>
      <c r="K1618">
        <f>IF(calendar[[#This Row],[Month]]&lt;4,1,IF(calendar[[#This Row],[Month]]&lt;7,2,IF(calendar[[#This Row],[Month]]&lt;10,3,4)))</f>
        <v>2</v>
      </c>
      <c r="L1618">
        <f>IFERROR(IF(VLOOKUP(calendar[[#This Row],[Date]],BH!A:A,1,)&lt;&gt;"",1,0),0)</f>
        <v>0</v>
      </c>
      <c r="M1618">
        <f>IFERROR(IF(VLOOKUP(calendar[[#This Row],[Date]],BH!C:C,1,)&lt;&gt;"",1,0),0)</f>
        <v>0</v>
      </c>
      <c r="N1618">
        <f>IFERROR(IF(VLOOKUP(calendar[[#This Row],[Date]],BH!E:E,1,)&lt;&gt;"",1,0),0)</f>
        <v>0</v>
      </c>
      <c r="O1618">
        <f>IFERROR(IF(VLOOKUP(calendar[[#This Row],[Date]],BH!G:G,1,)&lt;&gt;"",1,0),0)</f>
        <v>0</v>
      </c>
      <c r="P1618">
        <f>IF(OR(calendar[[#This Row],[UK_BH]]=1,calendar[[#This Row],[WeekDay]]=1, calendar[[#This Row],[WeekDay]]=7),P1617,P1617+1)</f>
        <v>1155</v>
      </c>
      <c r="Q1618">
        <f>IF(OR(calendar[[#This Row],[FR_BH]]=1,calendar[[#This Row],[WeekDay]]=1, calendar[[#This Row],[WeekDay]]=7),P1617,P1617+1)</f>
        <v>1155</v>
      </c>
      <c r="R1618">
        <f>IF(OR(calendar[[#This Row],[SP_BH]]=1,calendar[[#This Row],[WeekDay]]=1, calendar[[#This Row],[WeekDay]]=7),P1617,P1617+1)</f>
        <v>1155</v>
      </c>
      <c r="S1618">
        <f>IF(OR(calendar[[#This Row],[PT_BH]]=1,calendar[[#This Row],[WeekDay]]=1, calendar[[#This Row],[WeekDay]]=7),P1617,P1617+1)</f>
        <v>1155</v>
      </c>
    </row>
    <row r="1619" spans="1:19" x14ac:dyDescent="0.25">
      <c r="A1619" s="2">
        <v>44353</v>
      </c>
      <c r="B1619" s="1">
        <f t="shared" si="128"/>
        <v>24</v>
      </c>
      <c r="C1619">
        <f t="shared" si="130"/>
        <v>6</v>
      </c>
      <c r="D1619" t="str">
        <f t="shared" si="131"/>
        <v>June</v>
      </c>
      <c r="E1619">
        <f t="shared" si="132"/>
        <v>2021</v>
      </c>
      <c r="F1619" t="str">
        <f>CONCATENATE(calendar[[#This Row],[Month]],"/",calendar[[#This Row],[Year]])</f>
        <v>6/2021</v>
      </c>
      <c r="G1619">
        <f>WEEKDAY(calendar[[#This Row],[Date]],1)</f>
        <v>1</v>
      </c>
      <c r="H1619" t="str">
        <f>TEXT(calendar[[#This Row],[WeekDay]],"dddd")</f>
        <v>Sunday</v>
      </c>
      <c r="I1619">
        <f>IF((INT(calendar[[#This Row],[Count]]/7)-calendar[[#This Row],[Count]]/7)&lt;0,I1618,I1618+1)</f>
        <v>232</v>
      </c>
      <c r="J1619">
        <f t="shared" si="129"/>
        <v>1617</v>
      </c>
      <c r="K1619">
        <f>IF(calendar[[#This Row],[Month]]&lt;4,1,IF(calendar[[#This Row],[Month]]&lt;7,2,IF(calendar[[#This Row],[Month]]&lt;10,3,4)))</f>
        <v>2</v>
      </c>
      <c r="L1619">
        <f>IFERROR(IF(VLOOKUP(calendar[[#This Row],[Date]],BH!A:A,1,)&lt;&gt;"",1,0),0)</f>
        <v>0</v>
      </c>
      <c r="M1619">
        <f>IFERROR(IF(VLOOKUP(calendar[[#This Row],[Date]],BH!C:C,1,)&lt;&gt;"",1,0),0)</f>
        <v>0</v>
      </c>
      <c r="N1619">
        <f>IFERROR(IF(VLOOKUP(calendar[[#This Row],[Date]],BH!E:E,1,)&lt;&gt;"",1,0),0)</f>
        <v>0</v>
      </c>
      <c r="O1619">
        <f>IFERROR(IF(VLOOKUP(calendar[[#This Row],[Date]],BH!G:G,1,)&lt;&gt;"",1,0),0)</f>
        <v>0</v>
      </c>
      <c r="P1619">
        <f>IF(OR(calendar[[#This Row],[UK_BH]]=1,calendar[[#This Row],[WeekDay]]=1, calendar[[#This Row],[WeekDay]]=7),P1618,P1618+1)</f>
        <v>1155</v>
      </c>
      <c r="Q1619">
        <f>IF(OR(calendar[[#This Row],[FR_BH]]=1,calendar[[#This Row],[WeekDay]]=1, calendar[[#This Row],[WeekDay]]=7),P1618,P1618+1)</f>
        <v>1155</v>
      </c>
      <c r="R1619">
        <f>IF(OR(calendar[[#This Row],[SP_BH]]=1,calendar[[#This Row],[WeekDay]]=1, calendar[[#This Row],[WeekDay]]=7),P1618,P1618+1)</f>
        <v>1155</v>
      </c>
      <c r="S1619">
        <f>IF(OR(calendar[[#This Row],[PT_BH]]=1,calendar[[#This Row],[WeekDay]]=1, calendar[[#This Row],[WeekDay]]=7),P1618,P1618+1)</f>
        <v>1155</v>
      </c>
    </row>
    <row r="1620" spans="1:19" x14ac:dyDescent="0.25">
      <c r="A1620" s="2">
        <v>44354</v>
      </c>
      <c r="B1620" s="1">
        <f t="shared" si="128"/>
        <v>24</v>
      </c>
      <c r="C1620">
        <f t="shared" si="130"/>
        <v>6</v>
      </c>
      <c r="D1620" t="str">
        <f t="shared" si="131"/>
        <v>June</v>
      </c>
      <c r="E1620">
        <f t="shared" si="132"/>
        <v>2021</v>
      </c>
      <c r="F1620" t="str">
        <f>CONCATENATE(calendar[[#This Row],[Month]],"/",calendar[[#This Row],[Year]])</f>
        <v>6/2021</v>
      </c>
      <c r="G1620">
        <f>WEEKDAY(calendar[[#This Row],[Date]],1)</f>
        <v>2</v>
      </c>
      <c r="H1620" t="str">
        <f>TEXT(calendar[[#This Row],[WeekDay]],"dddd")</f>
        <v>Monday</v>
      </c>
      <c r="I1620">
        <f>IF((INT(calendar[[#This Row],[Count]]/7)-calendar[[#This Row],[Count]]/7)&lt;0,I1619,I1619+1)</f>
        <v>232</v>
      </c>
      <c r="J1620">
        <f t="shared" si="129"/>
        <v>1618</v>
      </c>
      <c r="K1620">
        <f>IF(calendar[[#This Row],[Month]]&lt;4,1,IF(calendar[[#This Row],[Month]]&lt;7,2,IF(calendar[[#This Row],[Month]]&lt;10,3,4)))</f>
        <v>2</v>
      </c>
      <c r="L1620">
        <f>IFERROR(IF(VLOOKUP(calendar[[#This Row],[Date]],BH!A:A,1,)&lt;&gt;"",1,0),0)</f>
        <v>0</v>
      </c>
      <c r="M1620">
        <f>IFERROR(IF(VLOOKUP(calendar[[#This Row],[Date]],BH!C:C,1,)&lt;&gt;"",1,0),0)</f>
        <v>0</v>
      </c>
      <c r="N1620">
        <f>IFERROR(IF(VLOOKUP(calendar[[#This Row],[Date]],BH!E:E,1,)&lt;&gt;"",1,0),0)</f>
        <v>0</v>
      </c>
      <c r="O1620">
        <f>IFERROR(IF(VLOOKUP(calendar[[#This Row],[Date]],BH!G:G,1,)&lt;&gt;"",1,0),0)</f>
        <v>0</v>
      </c>
      <c r="P1620">
        <f>IF(OR(calendar[[#This Row],[UK_BH]]=1,calendar[[#This Row],[WeekDay]]=1, calendar[[#This Row],[WeekDay]]=7),P1619,P1619+1)</f>
        <v>1156</v>
      </c>
      <c r="Q1620">
        <f>IF(OR(calendar[[#This Row],[FR_BH]]=1,calendar[[#This Row],[WeekDay]]=1, calendar[[#This Row],[WeekDay]]=7),P1619,P1619+1)</f>
        <v>1156</v>
      </c>
      <c r="R1620">
        <f>IF(OR(calendar[[#This Row],[SP_BH]]=1,calendar[[#This Row],[WeekDay]]=1, calendar[[#This Row],[WeekDay]]=7),P1619,P1619+1)</f>
        <v>1156</v>
      </c>
      <c r="S1620">
        <f>IF(OR(calendar[[#This Row],[PT_BH]]=1,calendar[[#This Row],[WeekDay]]=1, calendar[[#This Row],[WeekDay]]=7),P1619,P1619+1)</f>
        <v>1156</v>
      </c>
    </row>
    <row r="1621" spans="1:19" x14ac:dyDescent="0.25">
      <c r="A1621" s="2">
        <v>44355</v>
      </c>
      <c r="B1621" s="1">
        <f t="shared" si="128"/>
        <v>24</v>
      </c>
      <c r="C1621">
        <f t="shared" si="130"/>
        <v>6</v>
      </c>
      <c r="D1621" t="str">
        <f t="shared" si="131"/>
        <v>June</v>
      </c>
      <c r="E1621">
        <f t="shared" si="132"/>
        <v>2021</v>
      </c>
      <c r="F1621" t="str">
        <f>CONCATENATE(calendar[[#This Row],[Month]],"/",calendar[[#This Row],[Year]])</f>
        <v>6/2021</v>
      </c>
      <c r="G1621">
        <f>WEEKDAY(calendar[[#This Row],[Date]],1)</f>
        <v>3</v>
      </c>
      <c r="H1621" t="str">
        <f>TEXT(calendar[[#This Row],[WeekDay]],"dddd")</f>
        <v>Tuesday</v>
      </c>
      <c r="I1621">
        <f>IF((INT(calendar[[#This Row],[Count]]/7)-calendar[[#This Row],[Count]]/7)&lt;0,I1620,I1620+1)</f>
        <v>232</v>
      </c>
      <c r="J1621">
        <f t="shared" si="129"/>
        <v>1619</v>
      </c>
      <c r="K1621">
        <f>IF(calendar[[#This Row],[Month]]&lt;4,1,IF(calendar[[#This Row],[Month]]&lt;7,2,IF(calendar[[#This Row],[Month]]&lt;10,3,4)))</f>
        <v>2</v>
      </c>
      <c r="L1621">
        <f>IFERROR(IF(VLOOKUP(calendar[[#This Row],[Date]],BH!A:A,1,)&lt;&gt;"",1,0),0)</f>
        <v>0</v>
      </c>
      <c r="M1621">
        <f>IFERROR(IF(VLOOKUP(calendar[[#This Row],[Date]],BH!C:C,1,)&lt;&gt;"",1,0),0)</f>
        <v>0</v>
      </c>
      <c r="N1621">
        <f>IFERROR(IF(VLOOKUP(calendar[[#This Row],[Date]],BH!E:E,1,)&lt;&gt;"",1,0),0)</f>
        <v>0</v>
      </c>
      <c r="O1621">
        <f>IFERROR(IF(VLOOKUP(calendar[[#This Row],[Date]],BH!G:G,1,)&lt;&gt;"",1,0),0)</f>
        <v>0</v>
      </c>
      <c r="P1621">
        <f>IF(OR(calendar[[#This Row],[UK_BH]]=1,calendar[[#This Row],[WeekDay]]=1, calendar[[#This Row],[WeekDay]]=7),P1620,P1620+1)</f>
        <v>1157</v>
      </c>
      <c r="Q1621">
        <f>IF(OR(calendar[[#This Row],[FR_BH]]=1,calendar[[#This Row],[WeekDay]]=1, calendar[[#This Row],[WeekDay]]=7),P1620,P1620+1)</f>
        <v>1157</v>
      </c>
      <c r="R1621">
        <f>IF(OR(calendar[[#This Row],[SP_BH]]=1,calendar[[#This Row],[WeekDay]]=1, calendar[[#This Row],[WeekDay]]=7),P1620,P1620+1)</f>
        <v>1157</v>
      </c>
      <c r="S1621">
        <f>IF(OR(calendar[[#This Row],[PT_BH]]=1,calendar[[#This Row],[WeekDay]]=1, calendar[[#This Row],[WeekDay]]=7),P1620,P1620+1)</f>
        <v>1157</v>
      </c>
    </row>
    <row r="1622" spans="1:19" x14ac:dyDescent="0.25">
      <c r="A1622" s="2">
        <v>44356</v>
      </c>
      <c r="B1622" s="1">
        <f t="shared" si="128"/>
        <v>24</v>
      </c>
      <c r="C1622">
        <f t="shared" si="130"/>
        <v>6</v>
      </c>
      <c r="D1622" t="str">
        <f t="shared" si="131"/>
        <v>June</v>
      </c>
      <c r="E1622">
        <f t="shared" si="132"/>
        <v>2021</v>
      </c>
      <c r="F1622" t="str">
        <f>CONCATENATE(calendar[[#This Row],[Month]],"/",calendar[[#This Row],[Year]])</f>
        <v>6/2021</v>
      </c>
      <c r="G1622">
        <f>WEEKDAY(calendar[[#This Row],[Date]],1)</f>
        <v>4</v>
      </c>
      <c r="H1622" t="str">
        <f>TEXT(calendar[[#This Row],[WeekDay]],"dddd")</f>
        <v>Wednesday</v>
      </c>
      <c r="I1622">
        <f>IF((INT(calendar[[#This Row],[Count]]/7)-calendar[[#This Row],[Count]]/7)&lt;0,I1621,I1621+1)</f>
        <v>232</v>
      </c>
      <c r="J1622">
        <f t="shared" si="129"/>
        <v>1620</v>
      </c>
      <c r="K1622">
        <f>IF(calendar[[#This Row],[Month]]&lt;4,1,IF(calendar[[#This Row],[Month]]&lt;7,2,IF(calendar[[#This Row],[Month]]&lt;10,3,4)))</f>
        <v>2</v>
      </c>
      <c r="L1622">
        <f>IFERROR(IF(VLOOKUP(calendar[[#This Row],[Date]],BH!A:A,1,)&lt;&gt;"",1,0),0)</f>
        <v>0</v>
      </c>
      <c r="M1622">
        <f>IFERROR(IF(VLOOKUP(calendar[[#This Row],[Date]],BH!C:C,1,)&lt;&gt;"",1,0),0)</f>
        <v>0</v>
      </c>
      <c r="N1622">
        <f>IFERROR(IF(VLOOKUP(calendar[[#This Row],[Date]],BH!E:E,1,)&lt;&gt;"",1,0),0)</f>
        <v>0</v>
      </c>
      <c r="O1622">
        <f>IFERROR(IF(VLOOKUP(calendar[[#This Row],[Date]],BH!G:G,1,)&lt;&gt;"",1,0),0)</f>
        <v>0</v>
      </c>
      <c r="P1622">
        <f>IF(OR(calendar[[#This Row],[UK_BH]]=1,calendar[[#This Row],[WeekDay]]=1, calendar[[#This Row],[WeekDay]]=7),P1621,P1621+1)</f>
        <v>1158</v>
      </c>
      <c r="Q1622">
        <f>IF(OR(calendar[[#This Row],[FR_BH]]=1,calendar[[#This Row],[WeekDay]]=1, calendar[[#This Row],[WeekDay]]=7),P1621,P1621+1)</f>
        <v>1158</v>
      </c>
      <c r="R1622">
        <f>IF(OR(calendar[[#This Row],[SP_BH]]=1,calendar[[#This Row],[WeekDay]]=1, calendar[[#This Row],[WeekDay]]=7),P1621,P1621+1)</f>
        <v>1158</v>
      </c>
      <c r="S1622">
        <f>IF(OR(calendar[[#This Row],[PT_BH]]=1,calendar[[#This Row],[WeekDay]]=1, calendar[[#This Row],[WeekDay]]=7),P1621,P1621+1)</f>
        <v>1158</v>
      </c>
    </row>
    <row r="1623" spans="1:19" x14ac:dyDescent="0.25">
      <c r="A1623" s="2">
        <v>44357</v>
      </c>
      <c r="B1623" s="1">
        <f t="shared" si="128"/>
        <v>24</v>
      </c>
      <c r="C1623">
        <f t="shared" si="130"/>
        <v>6</v>
      </c>
      <c r="D1623" t="str">
        <f t="shared" si="131"/>
        <v>June</v>
      </c>
      <c r="E1623">
        <f t="shared" si="132"/>
        <v>2021</v>
      </c>
      <c r="F1623" t="str">
        <f>CONCATENATE(calendar[[#This Row],[Month]],"/",calendar[[#This Row],[Year]])</f>
        <v>6/2021</v>
      </c>
      <c r="G1623">
        <f>WEEKDAY(calendar[[#This Row],[Date]],1)</f>
        <v>5</v>
      </c>
      <c r="H1623" t="str">
        <f>TEXT(calendar[[#This Row],[WeekDay]],"dddd")</f>
        <v>Thursday</v>
      </c>
      <c r="I1623">
        <f>IF((INT(calendar[[#This Row],[Count]]/7)-calendar[[#This Row],[Count]]/7)&lt;0,I1622,I1622+1)</f>
        <v>232</v>
      </c>
      <c r="J1623">
        <f t="shared" si="129"/>
        <v>1621</v>
      </c>
      <c r="K1623">
        <f>IF(calendar[[#This Row],[Month]]&lt;4,1,IF(calendar[[#This Row],[Month]]&lt;7,2,IF(calendar[[#This Row],[Month]]&lt;10,3,4)))</f>
        <v>2</v>
      </c>
      <c r="L1623">
        <f>IFERROR(IF(VLOOKUP(calendar[[#This Row],[Date]],BH!A:A,1,)&lt;&gt;"",1,0),0)</f>
        <v>0</v>
      </c>
      <c r="M1623">
        <f>IFERROR(IF(VLOOKUP(calendar[[#This Row],[Date]],BH!C:C,1,)&lt;&gt;"",1,0),0)</f>
        <v>0</v>
      </c>
      <c r="N1623">
        <f>IFERROR(IF(VLOOKUP(calendar[[#This Row],[Date]],BH!E:E,1,)&lt;&gt;"",1,0),0)</f>
        <v>0</v>
      </c>
      <c r="O1623">
        <f>IFERROR(IF(VLOOKUP(calendar[[#This Row],[Date]],BH!G:G,1,)&lt;&gt;"",1,0),0)</f>
        <v>0</v>
      </c>
      <c r="P1623">
        <f>IF(OR(calendar[[#This Row],[UK_BH]]=1,calendar[[#This Row],[WeekDay]]=1, calendar[[#This Row],[WeekDay]]=7),P1622,P1622+1)</f>
        <v>1159</v>
      </c>
      <c r="Q1623">
        <f>IF(OR(calendar[[#This Row],[FR_BH]]=1,calendar[[#This Row],[WeekDay]]=1, calendar[[#This Row],[WeekDay]]=7),P1622,P1622+1)</f>
        <v>1159</v>
      </c>
      <c r="R1623">
        <f>IF(OR(calendar[[#This Row],[SP_BH]]=1,calendar[[#This Row],[WeekDay]]=1, calendar[[#This Row],[WeekDay]]=7),P1622,P1622+1)</f>
        <v>1159</v>
      </c>
      <c r="S1623">
        <f>IF(OR(calendar[[#This Row],[PT_BH]]=1,calendar[[#This Row],[WeekDay]]=1, calendar[[#This Row],[WeekDay]]=7),P1622,P1622+1)</f>
        <v>1159</v>
      </c>
    </row>
    <row r="1624" spans="1:19" x14ac:dyDescent="0.25">
      <c r="A1624" s="2">
        <v>44358</v>
      </c>
      <c r="B1624" s="1">
        <f t="shared" si="128"/>
        <v>24</v>
      </c>
      <c r="C1624">
        <f t="shared" si="130"/>
        <v>6</v>
      </c>
      <c r="D1624" t="str">
        <f t="shared" si="131"/>
        <v>June</v>
      </c>
      <c r="E1624">
        <f t="shared" si="132"/>
        <v>2021</v>
      </c>
      <c r="F1624" t="str">
        <f>CONCATENATE(calendar[[#This Row],[Month]],"/",calendar[[#This Row],[Year]])</f>
        <v>6/2021</v>
      </c>
      <c r="G1624">
        <f>WEEKDAY(calendar[[#This Row],[Date]],1)</f>
        <v>6</v>
      </c>
      <c r="H1624" t="str">
        <f>TEXT(calendar[[#This Row],[WeekDay]],"dddd")</f>
        <v>Friday</v>
      </c>
      <c r="I1624">
        <f>IF((INT(calendar[[#This Row],[Count]]/7)-calendar[[#This Row],[Count]]/7)&lt;0,I1623,I1623+1)</f>
        <v>232</v>
      </c>
      <c r="J1624">
        <f t="shared" si="129"/>
        <v>1622</v>
      </c>
      <c r="K1624">
        <f>IF(calendar[[#This Row],[Month]]&lt;4,1,IF(calendar[[#This Row],[Month]]&lt;7,2,IF(calendar[[#This Row],[Month]]&lt;10,3,4)))</f>
        <v>2</v>
      </c>
      <c r="L1624">
        <f>IFERROR(IF(VLOOKUP(calendar[[#This Row],[Date]],BH!A:A,1,)&lt;&gt;"",1,0),0)</f>
        <v>0</v>
      </c>
      <c r="M1624">
        <f>IFERROR(IF(VLOOKUP(calendar[[#This Row],[Date]],BH!C:C,1,)&lt;&gt;"",1,0),0)</f>
        <v>0</v>
      </c>
      <c r="N1624">
        <f>IFERROR(IF(VLOOKUP(calendar[[#This Row],[Date]],BH!E:E,1,)&lt;&gt;"",1,0),0)</f>
        <v>0</v>
      </c>
      <c r="O1624">
        <f>IFERROR(IF(VLOOKUP(calendar[[#This Row],[Date]],BH!G:G,1,)&lt;&gt;"",1,0),0)</f>
        <v>0</v>
      </c>
      <c r="P1624">
        <f>IF(OR(calendar[[#This Row],[UK_BH]]=1,calendar[[#This Row],[WeekDay]]=1, calendar[[#This Row],[WeekDay]]=7),P1623,P1623+1)</f>
        <v>1160</v>
      </c>
      <c r="Q1624">
        <f>IF(OR(calendar[[#This Row],[FR_BH]]=1,calendar[[#This Row],[WeekDay]]=1, calendar[[#This Row],[WeekDay]]=7),P1623,P1623+1)</f>
        <v>1160</v>
      </c>
      <c r="R1624">
        <f>IF(OR(calendar[[#This Row],[SP_BH]]=1,calendar[[#This Row],[WeekDay]]=1, calendar[[#This Row],[WeekDay]]=7),P1623,P1623+1)</f>
        <v>1160</v>
      </c>
      <c r="S1624">
        <f>IF(OR(calendar[[#This Row],[PT_BH]]=1,calendar[[#This Row],[WeekDay]]=1, calendar[[#This Row],[WeekDay]]=7),P1623,P1623+1)</f>
        <v>1160</v>
      </c>
    </row>
    <row r="1625" spans="1:19" x14ac:dyDescent="0.25">
      <c r="A1625" s="2">
        <v>44359</v>
      </c>
      <c r="B1625" s="1">
        <f t="shared" si="128"/>
        <v>24</v>
      </c>
      <c r="C1625">
        <f t="shared" si="130"/>
        <v>6</v>
      </c>
      <c r="D1625" t="str">
        <f t="shared" si="131"/>
        <v>June</v>
      </c>
      <c r="E1625">
        <f t="shared" si="132"/>
        <v>2021</v>
      </c>
      <c r="F1625" t="str">
        <f>CONCATENATE(calendar[[#This Row],[Month]],"/",calendar[[#This Row],[Year]])</f>
        <v>6/2021</v>
      </c>
      <c r="G1625">
        <f>WEEKDAY(calendar[[#This Row],[Date]],1)</f>
        <v>7</v>
      </c>
      <c r="H1625" t="str">
        <f>TEXT(calendar[[#This Row],[WeekDay]],"dddd")</f>
        <v>Saturday</v>
      </c>
      <c r="I1625">
        <f>IF((INT(calendar[[#This Row],[Count]]/7)-calendar[[#This Row],[Count]]/7)&lt;0,I1624,I1624+1)</f>
        <v>232</v>
      </c>
      <c r="J1625">
        <f t="shared" si="129"/>
        <v>1623</v>
      </c>
      <c r="K1625">
        <f>IF(calendar[[#This Row],[Month]]&lt;4,1,IF(calendar[[#This Row],[Month]]&lt;7,2,IF(calendar[[#This Row],[Month]]&lt;10,3,4)))</f>
        <v>2</v>
      </c>
      <c r="L1625">
        <f>IFERROR(IF(VLOOKUP(calendar[[#This Row],[Date]],BH!A:A,1,)&lt;&gt;"",1,0),0)</f>
        <v>0</v>
      </c>
      <c r="M1625">
        <f>IFERROR(IF(VLOOKUP(calendar[[#This Row],[Date]],BH!C:C,1,)&lt;&gt;"",1,0),0)</f>
        <v>0</v>
      </c>
      <c r="N1625">
        <f>IFERROR(IF(VLOOKUP(calendar[[#This Row],[Date]],BH!E:E,1,)&lt;&gt;"",1,0),0)</f>
        <v>0</v>
      </c>
      <c r="O1625">
        <f>IFERROR(IF(VLOOKUP(calendar[[#This Row],[Date]],BH!G:G,1,)&lt;&gt;"",1,0),0)</f>
        <v>0</v>
      </c>
      <c r="P1625">
        <f>IF(OR(calendar[[#This Row],[UK_BH]]=1,calendar[[#This Row],[WeekDay]]=1, calendar[[#This Row],[WeekDay]]=7),P1624,P1624+1)</f>
        <v>1160</v>
      </c>
      <c r="Q1625">
        <f>IF(OR(calendar[[#This Row],[FR_BH]]=1,calendar[[#This Row],[WeekDay]]=1, calendar[[#This Row],[WeekDay]]=7),P1624,P1624+1)</f>
        <v>1160</v>
      </c>
      <c r="R1625">
        <f>IF(OR(calendar[[#This Row],[SP_BH]]=1,calendar[[#This Row],[WeekDay]]=1, calendar[[#This Row],[WeekDay]]=7),P1624,P1624+1)</f>
        <v>1160</v>
      </c>
      <c r="S1625">
        <f>IF(OR(calendar[[#This Row],[PT_BH]]=1,calendar[[#This Row],[WeekDay]]=1, calendar[[#This Row],[WeekDay]]=7),P1624,P1624+1)</f>
        <v>1160</v>
      </c>
    </row>
    <row r="1626" spans="1:19" x14ac:dyDescent="0.25">
      <c r="A1626" s="2">
        <v>44360</v>
      </c>
      <c r="B1626" s="1">
        <f t="shared" si="128"/>
        <v>25</v>
      </c>
      <c r="C1626">
        <f t="shared" si="130"/>
        <v>6</v>
      </c>
      <c r="D1626" t="str">
        <f t="shared" si="131"/>
        <v>June</v>
      </c>
      <c r="E1626">
        <f t="shared" si="132"/>
        <v>2021</v>
      </c>
      <c r="F1626" t="str">
        <f>CONCATENATE(calendar[[#This Row],[Month]],"/",calendar[[#This Row],[Year]])</f>
        <v>6/2021</v>
      </c>
      <c r="G1626">
        <f>WEEKDAY(calendar[[#This Row],[Date]],1)</f>
        <v>1</v>
      </c>
      <c r="H1626" t="str">
        <f>TEXT(calendar[[#This Row],[WeekDay]],"dddd")</f>
        <v>Sunday</v>
      </c>
      <c r="I1626">
        <f>IF((INT(calendar[[#This Row],[Count]]/7)-calendar[[#This Row],[Count]]/7)&lt;0,I1625,I1625+1)</f>
        <v>233</v>
      </c>
      <c r="J1626">
        <f t="shared" si="129"/>
        <v>1624</v>
      </c>
      <c r="K1626">
        <f>IF(calendar[[#This Row],[Month]]&lt;4,1,IF(calendar[[#This Row],[Month]]&lt;7,2,IF(calendar[[#This Row],[Month]]&lt;10,3,4)))</f>
        <v>2</v>
      </c>
      <c r="L1626">
        <f>IFERROR(IF(VLOOKUP(calendar[[#This Row],[Date]],BH!A:A,1,)&lt;&gt;"",1,0),0)</f>
        <v>0</v>
      </c>
      <c r="M1626">
        <f>IFERROR(IF(VLOOKUP(calendar[[#This Row],[Date]],BH!C:C,1,)&lt;&gt;"",1,0),0)</f>
        <v>0</v>
      </c>
      <c r="N1626">
        <f>IFERROR(IF(VLOOKUP(calendar[[#This Row],[Date]],BH!E:E,1,)&lt;&gt;"",1,0),0)</f>
        <v>0</v>
      </c>
      <c r="O1626">
        <f>IFERROR(IF(VLOOKUP(calendar[[#This Row],[Date]],BH!G:G,1,)&lt;&gt;"",1,0),0)</f>
        <v>0</v>
      </c>
      <c r="P1626">
        <f>IF(OR(calendar[[#This Row],[UK_BH]]=1,calendar[[#This Row],[WeekDay]]=1, calendar[[#This Row],[WeekDay]]=7),P1625,P1625+1)</f>
        <v>1160</v>
      </c>
      <c r="Q1626">
        <f>IF(OR(calendar[[#This Row],[FR_BH]]=1,calendar[[#This Row],[WeekDay]]=1, calendar[[#This Row],[WeekDay]]=7),P1625,P1625+1)</f>
        <v>1160</v>
      </c>
      <c r="R1626">
        <f>IF(OR(calendar[[#This Row],[SP_BH]]=1,calendar[[#This Row],[WeekDay]]=1, calendar[[#This Row],[WeekDay]]=7),P1625,P1625+1)</f>
        <v>1160</v>
      </c>
      <c r="S1626">
        <f>IF(OR(calendar[[#This Row],[PT_BH]]=1,calendar[[#This Row],[WeekDay]]=1, calendar[[#This Row],[WeekDay]]=7),P1625,P1625+1)</f>
        <v>1160</v>
      </c>
    </row>
    <row r="1627" spans="1:19" x14ac:dyDescent="0.25">
      <c r="A1627" s="2">
        <v>44361</v>
      </c>
      <c r="B1627" s="1">
        <f t="shared" si="128"/>
        <v>25</v>
      </c>
      <c r="C1627">
        <f t="shared" si="130"/>
        <v>6</v>
      </c>
      <c r="D1627" t="str">
        <f t="shared" si="131"/>
        <v>June</v>
      </c>
      <c r="E1627">
        <f t="shared" si="132"/>
        <v>2021</v>
      </c>
      <c r="F1627" t="str">
        <f>CONCATENATE(calendar[[#This Row],[Month]],"/",calendar[[#This Row],[Year]])</f>
        <v>6/2021</v>
      </c>
      <c r="G1627">
        <f>WEEKDAY(calendar[[#This Row],[Date]],1)</f>
        <v>2</v>
      </c>
      <c r="H1627" t="str">
        <f>TEXT(calendar[[#This Row],[WeekDay]],"dddd")</f>
        <v>Monday</v>
      </c>
      <c r="I1627">
        <f>IF((INT(calendar[[#This Row],[Count]]/7)-calendar[[#This Row],[Count]]/7)&lt;0,I1626,I1626+1)</f>
        <v>233</v>
      </c>
      <c r="J1627">
        <f t="shared" si="129"/>
        <v>1625</v>
      </c>
      <c r="K1627">
        <f>IF(calendar[[#This Row],[Month]]&lt;4,1,IF(calendar[[#This Row],[Month]]&lt;7,2,IF(calendar[[#This Row],[Month]]&lt;10,3,4)))</f>
        <v>2</v>
      </c>
      <c r="L1627">
        <f>IFERROR(IF(VLOOKUP(calendar[[#This Row],[Date]],BH!A:A,1,)&lt;&gt;"",1,0),0)</f>
        <v>0</v>
      </c>
      <c r="M1627">
        <f>IFERROR(IF(VLOOKUP(calendar[[#This Row],[Date]],BH!C:C,1,)&lt;&gt;"",1,0),0)</f>
        <v>0</v>
      </c>
      <c r="N1627">
        <f>IFERROR(IF(VLOOKUP(calendar[[#This Row],[Date]],BH!E:E,1,)&lt;&gt;"",1,0),0)</f>
        <v>0</v>
      </c>
      <c r="O1627">
        <f>IFERROR(IF(VLOOKUP(calendar[[#This Row],[Date]],BH!G:G,1,)&lt;&gt;"",1,0),0)</f>
        <v>0</v>
      </c>
      <c r="P1627">
        <f>IF(OR(calendar[[#This Row],[UK_BH]]=1,calendar[[#This Row],[WeekDay]]=1, calendar[[#This Row],[WeekDay]]=7),P1626,P1626+1)</f>
        <v>1161</v>
      </c>
      <c r="Q1627">
        <f>IF(OR(calendar[[#This Row],[FR_BH]]=1,calendar[[#This Row],[WeekDay]]=1, calendar[[#This Row],[WeekDay]]=7),P1626,P1626+1)</f>
        <v>1161</v>
      </c>
      <c r="R1627">
        <f>IF(OR(calendar[[#This Row],[SP_BH]]=1,calendar[[#This Row],[WeekDay]]=1, calendar[[#This Row],[WeekDay]]=7),P1626,P1626+1)</f>
        <v>1161</v>
      </c>
      <c r="S1627">
        <f>IF(OR(calendar[[#This Row],[PT_BH]]=1,calendar[[#This Row],[WeekDay]]=1, calendar[[#This Row],[WeekDay]]=7),P1626,P1626+1)</f>
        <v>1161</v>
      </c>
    </row>
    <row r="1628" spans="1:19" x14ac:dyDescent="0.25">
      <c r="A1628" s="2">
        <v>44362</v>
      </c>
      <c r="B1628" s="1">
        <f t="shared" si="128"/>
        <v>25</v>
      </c>
      <c r="C1628">
        <f t="shared" si="130"/>
        <v>6</v>
      </c>
      <c r="D1628" t="str">
        <f t="shared" si="131"/>
        <v>June</v>
      </c>
      <c r="E1628">
        <f t="shared" si="132"/>
        <v>2021</v>
      </c>
      <c r="F1628" t="str">
        <f>CONCATENATE(calendar[[#This Row],[Month]],"/",calendar[[#This Row],[Year]])</f>
        <v>6/2021</v>
      </c>
      <c r="G1628">
        <f>WEEKDAY(calendar[[#This Row],[Date]],1)</f>
        <v>3</v>
      </c>
      <c r="H1628" t="str">
        <f>TEXT(calendar[[#This Row],[WeekDay]],"dddd")</f>
        <v>Tuesday</v>
      </c>
      <c r="I1628">
        <f>IF((INT(calendar[[#This Row],[Count]]/7)-calendar[[#This Row],[Count]]/7)&lt;0,I1627,I1627+1)</f>
        <v>233</v>
      </c>
      <c r="J1628">
        <f t="shared" si="129"/>
        <v>1626</v>
      </c>
      <c r="K1628">
        <f>IF(calendar[[#This Row],[Month]]&lt;4,1,IF(calendar[[#This Row],[Month]]&lt;7,2,IF(calendar[[#This Row],[Month]]&lt;10,3,4)))</f>
        <v>2</v>
      </c>
      <c r="L1628">
        <f>IFERROR(IF(VLOOKUP(calendar[[#This Row],[Date]],BH!A:A,1,)&lt;&gt;"",1,0),0)</f>
        <v>0</v>
      </c>
      <c r="M1628">
        <f>IFERROR(IF(VLOOKUP(calendar[[#This Row],[Date]],BH!C:C,1,)&lt;&gt;"",1,0),0)</f>
        <v>0</v>
      </c>
      <c r="N1628">
        <f>IFERROR(IF(VLOOKUP(calendar[[#This Row],[Date]],BH!E:E,1,)&lt;&gt;"",1,0),0)</f>
        <v>0</v>
      </c>
      <c r="O1628">
        <f>IFERROR(IF(VLOOKUP(calendar[[#This Row],[Date]],BH!G:G,1,)&lt;&gt;"",1,0),0)</f>
        <v>0</v>
      </c>
      <c r="P1628">
        <f>IF(OR(calendar[[#This Row],[UK_BH]]=1,calendar[[#This Row],[WeekDay]]=1, calendar[[#This Row],[WeekDay]]=7),P1627,P1627+1)</f>
        <v>1162</v>
      </c>
      <c r="Q1628">
        <f>IF(OR(calendar[[#This Row],[FR_BH]]=1,calendar[[#This Row],[WeekDay]]=1, calendar[[#This Row],[WeekDay]]=7),P1627,P1627+1)</f>
        <v>1162</v>
      </c>
      <c r="R1628">
        <f>IF(OR(calendar[[#This Row],[SP_BH]]=1,calendar[[#This Row],[WeekDay]]=1, calendar[[#This Row],[WeekDay]]=7),P1627,P1627+1)</f>
        <v>1162</v>
      </c>
      <c r="S1628">
        <f>IF(OR(calendar[[#This Row],[PT_BH]]=1,calendar[[#This Row],[WeekDay]]=1, calendar[[#This Row],[WeekDay]]=7),P1627,P1627+1)</f>
        <v>1162</v>
      </c>
    </row>
    <row r="1629" spans="1:19" x14ac:dyDescent="0.25">
      <c r="A1629" s="2">
        <v>44363</v>
      </c>
      <c r="B1629" s="1">
        <f t="shared" si="128"/>
        <v>25</v>
      </c>
      <c r="C1629">
        <f t="shared" si="130"/>
        <v>6</v>
      </c>
      <c r="D1629" t="str">
        <f t="shared" si="131"/>
        <v>June</v>
      </c>
      <c r="E1629">
        <f t="shared" si="132"/>
        <v>2021</v>
      </c>
      <c r="F1629" t="str">
        <f>CONCATENATE(calendar[[#This Row],[Month]],"/",calendar[[#This Row],[Year]])</f>
        <v>6/2021</v>
      </c>
      <c r="G1629">
        <f>WEEKDAY(calendar[[#This Row],[Date]],1)</f>
        <v>4</v>
      </c>
      <c r="H1629" t="str">
        <f>TEXT(calendar[[#This Row],[WeekDay]],"dddd")</f>
        <v>Wednesday</v>
      </c>
      <c r="I1629">
        <f>IF((INT(calendar[[#This Row],[Count]]/7)-calendar[[#This Row],[Count]]/7)&lt;0,I1628,I1628+1)</f>
        <v>233</v>
      </c>
      <c r="J1629">
        <f t="shared" si="129"/>
        <v>1627</v>
      </c>
      <c r="K1629">
        <f>IF(calendar[[#This Row],[Month]]&lt;4,1,IF(calendar[[#This Row],[Month]]&lt;7,2,IF(calendar[[#This Row],[Month]]&lt;10,3,4)))</f>
        <v>2</v>
      </c>
      <c r="L1629">
        <f>IFERROR(IF(VLOOKUP(calendar[[#This Row],[Date]],BH!A:A,1,)&lt;&gt;"",1,0),0)</f>
        <v>0</v>
      </c>
      <c r="M1629">
        <f>IFERROR(IF(VLOOKUP(calendar[[#This Row],[Date]],BH!C:C,1,)&lt;&gt;"",1,0),0)</f>
        <v>0</v>
      </c>
      <c r="N1629">
        <f>IFERROR(IF(VLOOKUP(calendar[[#This Row],[Date]],BH!E:E,1,)&lt;&gt;"",1,0),0)</f>
        <v>0</v>
      </c>
      <c r="O1629">
        <f>IFERROR(IF(VLOOKUP(calendar[[#This Row],[Date]],BH!G:G,1,)&lt;&gt;"",1,0),0)</f>
        <v>0</v>
      </c>
      <c r="P1629">
        <f>IF(OR(calendar[[#This Row],[UK_BH]]=1,calendar[[#This Row],[WeekDay]]=1, calendar[[#This Row],[WeekDay]]=7),P1628,P1628+1)</f>
        <v>1163</v>
      </c>
      <c r="Q1629">
        <f>IF(OR(calendar[[#This Row],[FR_BH]]=1,calendar[[#This Row],[WeekDay]]=1, calendar[[#This Row],[WeekDay]]=7),P1628,P1628+1)</f>
        <v>1163</v>
      </c>
      <c r="R1629">
        <f>IF(OR(calendar[[#This Row],[SP_BH]]=1,calendar[[#This Row],[WeekDay]]=1, calendar[[#This Row],[WeekDay]]=7),P1628,P1628+1)</f>
        <v>1163</v>
      </c>
      <c r="S1629">
        <f>IF(OR(calendar[[#This Row],[PT_BH]]=1,calendar[[#This Row],[WeekDay]]=1, calendar[[#This Row],[WeekDay]]=7),P1628,P1628+1)</f>
        <v>1163</v>
      </c>
    </row>
    <row r="1630" spans="1:19" x14ac:dyDescent="0.25">
      <c r="A1630" s="2">
        <v>44364</v>
      </c>
      <c r="B1630" s="1">
        <f t="shared" si="128"/>
        <v>25</v>
      </c>
      <c r="C1630">
        <f t="shared" si="130"/>
        <v>6</v>
      </c>
      <c r="D1630" t="str">
        <f t="shared" si="131"/>
        <v>June</v>
      </c>
      <c r="E1630">
        <f t="shared" si="132"/>
        <v>2021</v>
      </c>
      <c r="F1630" t="str">
        <f>CONCATENATE(calendar[[#This Row],[Month]],"/",calendar[[#This Row],[Year]])</f>
        <v>6/2021</v>
      </c>
      <c r="G1630">
        <f>WEEKDAY(calendar[[#This Row],[Date]],1)</f>
        <v>5</v>
      </c>
      <c r="H1630" t="str">
        <f>TEXT(calendar[[#This Row],[WeekDay]],"dddd")</f>
        <v>Thursday</v>
      </c>
      <c r="I1630">
        <f>IF((INT(calendar[[#This Row],[Count]]/7)-calendar[[#This Row],[Count]]/7)&lt;0,I1629,I1629+1)</f>
        <v>233</v>
      </c>
      <c r="J1630">
        <f t="shared" si="129"/>
        <v>1628</v>
      </c>
      <c r="K1630">
        <f>IF(calendar[[#This Row],[Month]]&lt;4,1,IF(calendar[[#This Row],[Month]]&lt;7,2,IF(calendar[[#This Row],[Month]]&lt;10,3,4)))</f>
        <v>2</v>
      </c>
      <c r="L1630">
        <f>IFERROR(IF(VLOOKUP(calendar[[#This Row],[Date]],BH!A:A,1,)&lt;&gt;"",1,0),0)</f>
        <v>0</v>
      </c>
      <c r="M1630">
        <f>IFERROR(IF(VLOOKUP(calendar[[#This Row],[Date]],BH!C:C,1,)&lt;&gt;"",1,0),0)</f>
        <v>0</v>
      </c>
      <c r="N1630">
        <f>IFERROR(IF(VLOOKUP(calendar[[#This Row],[Date]],BH!E:E,1,)&lt;&gt;"",1,0),0)</f>
        <v>0</v>
      </c>
      <c r="O1630">
        <f>IFERROR(IF(VLOOKUP(calendar[[#This Row],[Date]],BH!G:G,1,)&lt;&gt;"",1,0),0)</f>
        <v>0</v>
      </c>
      <c r="P1630">
        <f>IF(OR(calendar[[#This Row],[UK_BH]]=1,calendar[[#This Row],[WeekDay]]=1, calendar[[#This Row],[WeekDay]]=7),P1629,P1629+1)</f>
        <v>1164</v>
      </c>
      <c r="Q1630">
        <f>IF(OR(calendar[[#This Row],[FR_BH]]=1,calendar[[#This Row],[WeekDay]]=1, calendar[[#This Row],[WeekDay]]=7),P1629,P1629+1)</f>
        <v>1164</v>
      </c>
      <c r="R1630">
        <f>IF(OR(calendar[[#This Row],[SP_BH]]=1,calendar[[#This Row],[WeekDay]]=1, calendar[[#This Row],[WeekDay]]=7),P1629,P1629+1)</f>
        <v>1164</v>
      </c>
      <c r="S1630">
        <f>IF(OR(calendar[[#This Row],[PT_BH]]=1,calendar[[#This Row],[WeekDay]]=1, calendar[[#This Row],[WeekDay]]=7),P1629,P1629+1)</f>
        <v>1164</v>
      </c>
    </row>
    <row r="1631" spans="1:19" x14ac:dyDescent="0.25">
      <c r="A1631" s="2">
        <v>44365</v>
      </c>
      <c r="B1631" s="1">
        <f t="shared" si="128"/>
        <v>25</v>
      </c>
      <c r="C1631">
        <f t="shared" si="130"/>
        <v>6</v>
      </c>
      <c r="D1631" t="str">
        <f t="shared" si="131"/>
        <v>June</v>
      </c>
      <c r="E1631">
        <f t="shared" si="132"/>
        <v>2021</v>
      </c>
      <c r="F1631" t="str">
        <f>CONCATENATE(calendar[[#This Row],[Month]],"/",calendar[[#This Row],[Year]])</f>
        <v>6/2021</v>
      </c>
      <c r="G1631">
        <f>WEEKDAY(calendar[[#This Row],[Date]],1)</f>
        <v>6</v>
      </c>
      <c r="H1631" t="str">
        <f>TEXT(calendar[[#This Row],[WeekDay]],"dddd")</f>
        <v>Friday</v>
      </c>
      <c r="I1631">
        <f>IF((INT(calendar[[#This Row],[Count]]/7)-calendar[[#This Row],[Count]]/7)&lt;0,I1630,I1630+1)</f>
        <v>233</v>
      </c>
      <c r="J1631">
        <f t="shared" si="129"/>
        <v>1629</v>
      </c>
      <c r="K1631">
        <f>IF(calendar[[#This Row],[Month]]&lt;4,1,IF(calendar[[#This Row],[Month]]&lt;7,2,IF(calendar[[#This Row],[Month]]&lt;10,3,4)))</f>
        <v>2</v>
      </c>
      <c r="L1631">
        <f>IFERROR(IF(VLOOKUP(calendar[[#This Row],[Date]],BH!A:A,1,)&lt;&gt;"",1,0),0)</f>
        <v>0</v>
      </c>
      <c r="M1631">
        <f>IFERROR(IF(VLOOKUP(calendar[[#This Row],[Date]],BH!C:C,1,)&lt;&gt;"",1,0),0)</f>
        <v>0</v>
      </c>
      <c r="N1631">
        <f>IFERROR(IF(VLOOKUP(calendar[[#This Row],[Date]],BH!E:E,1,)&lt;&gt;"",1,0),0)</f>
        <v>0</v>
      </c>
      <c r="O1631">
        <f>IFERROR(IF(VLOOKUP(calendar[[#This Row],[Date]],BH!G:G,1,)&lt;&gt;"",1,0),0)</f>
        <v>0</v>
      </c>
      <c r="P1631">
        <f>IF(OR(calendar[[#This Row],[UK_BH]]=1,calendar[[#This Row],[WeekDay]]=1, calendar[[#This Row],[WeekDay]]=7),P1630,P1630+1)</f>
        <v>1165</v>
      </c>
      <c r="Q1631">
        <f>IF(OR(calendar[[#This Row],[FR_BH]]=1,calendar[[#This Row],[WeekDay]]=1, calendar[[#This Row],[WeekDay]]=7),P1630,P1630+1)</f>
        <v>1165</v>
      </c>
      <c r="R1631">
        <f>IF(OR(calendar[[#This Row],[SP_BH]]=1,calendar[[#This Row],[WeekDay]]=1, calendar[[#This Row],[WeekDay]]=7),P1630,P1630+1)</f>
        <v>1165</v>
      </c>
      <c r="S1631">
        <f>IF(OR(calendar[[#This Row],[PT_BH]]=1,calendar[[#This Row],[WeekDay]]=1, calendar[[#This Row],[WeekDay]]=7),P1630,P1630+1)</f>
        <v>1165</v>
      </c>
    </row>
    <row r="1632" spans="1:19" x14ac:dyDescent="0.25">
      <c r="A1632" s="2">
        <v>44366</v>
      </c>
      <c r="B1632" s="1">
        <f t="shared" si="128"/>
        <v>25</v>
      </c>
      <c r="C1632">
        <f t="shared" si="130"/>
        <v>6</v>
      </c>
      <c r="D1632" t="str">
        <f t="shared" si="131"/>
        <v>June</v>
      </c>
      <c r="E1632">
        <f t="shared" si="132"/>
        <v>2021</v>
      </c>
      <c r="F1632" t="str">
        <f>CONCATENATE(calendar[[#This Row],[Month]],"/",calendar[[#This Row],[Year]])</f>
        <v>6/2021</v>
      </c>
      <c r="G1632">
        <f>WEEKDAY(calendar[[#This Row],[Date]],1)</f>
        <v>7</v>
      </c>
      <c r="H1632" t="str">
        <f>TEXT(calendar[[#This Row],[WeekDay]],"dddd")</f>
        <v>Saturday</v>
      </c>
      <c r="I1632">
        <f>IF((INT(calendar[[#This Row],[Count]]/7)-calendar[[#This Row],[Count]]/7)&lt;0,I1631,I1631+1)</f>
        <v>233</v>
      </c>
      <c r="J1632">
        <f t="shared" si="129"/>
        <v>1630</v>
      </c>
      <c r="K1632">
        <f>IF(calendar[[#This Row],[Month]]&lt;4,1,IF(calendar[[#This Row],[Month]]&lt;7,2,IF(calendar[[#This Row],[Month]]&lt;10,3,4)))</f>
        <v>2</v>
      </c>
      <c r="L1632">
        <f>IFERROR(IF(VLOOKUP(calendar[[#This Row],[Date]],BH!A:A,1,)&lt;&gt;"",1,0),0)</f>
        <v>0</v>
      </c>
      <c r="M1632">
        <f>IFERROR(IF(VLOOKUP(calendar[[#This Row],[Date]],BH!C:C,1,)&lt;&gt;"",1,0),0)</f>
        <v>0</v>
      </c>
      <c r="N1632">
        <f>IFERROR(IF(VLOOKUP(calendar[[#This Row],[Date]],BH!E:E,1,)&lt;&gt;"",1,0),0)</f>
        <v>0</v>
      </c>
      <c r="O1632">
        <f>IFERROR(IF(VLOOKUP(calendar[[#This Row],[Date]],BH!G:G,1,)&lt;&gt;"",1,0),0)</f>
        <v>0</v>
      </c>
      <c r="P1632">
        <f>IF(OR(calendar[[#This Row],[UK_BH]]=1,calendar[[#This Row],[WeekDay]]=1, calendar[[#This Row],[WeekDay]]=7),P1631,P1631+1)</f>
        <v>1165</v>
      </c>
      <c r="Q1632">
        <f>IF(OR(calendar[[#This Row],[FR_BH]]=1,calendar[[#This Row],[WeekDay]]=1, calendar[[#This Row],[WeekDay]]=7),P1631,P1631+1)</f>
        <v>1165</v>
      </c>
      <c r="R1632">
        <f>IF(OR(calendar[[#This Row],[SP_BH]]=1,calendar[[#This Row],[WeekDay]]=1, calendar[[#This Row],[WeekDay]]=7),P1631,P1631+1)</f>
        <v>1165</v>
      </c>
      <c r="S1632">
        <f>IF(OR(calendar[[#This Row],[PT_BH]]=1,calendar[[#This Row],[WeekDay]]=1, calendar[[#This Row],[WeekDay]]=7),P1631,P1631+1)</f>
        <v>1165</v>
      </c>
    </row>
    <row r="1633" spans="1:19" x14ac:dyDescent="0.25">
      <c r="A1633" s="2">
        <v>44367</v>
      </c>
      <c r="B1633" s="1">
        <f t="shared" si="128"/>
        <v>26</v>
      </c>
      <c r="C1633">
        <f t="shared" si="130"/>
        <v>6</v>
      </c>
      <c r="D1633" t="str">
        <f t="shared" si="131"/>
        <v>June</v>
      </c>
      <c r="E1633">
        <f t="shared" si="132"/>
        <v>2021</v>
      </c>
      <c r="F1633" t="str">
        <f>CONCATENATE(calendar[[#This Row],[Month]],"/",calendar[[#This Row],[Year]])</f>
        <v>6/2021</v>
      </c>
      <c r="G1633">
        <f>WEEKDAY(calendar[[#This Row],[Date]],1)</f>
        <v>1</v>
      </c>
      <c r="H1633" t="str">
        <f>TEXT(calendar[[#This Row],[WeekDay]],"dddd")</f>
        <v>Sunday</v>
      </c>
      <c r="I1633">
        <f>IF((INT(calendar[[#This Row],[Count]]/7)-calendar[[#This Row],[Count]]/7)&lt;0,I1632,I1632+1)</f>
        <v>234</v>
      </c>
      <c r="J1633">
        <f t="shared" si="129"/>
        <v>1631</v>
      </c>
      <c r="K1633">
        <f>IF(calendar[[#This Row],[Month]]&lt;4,1,IF(calendar[[#This Row],[Month]]&lt;7,2,IF(calendar[[#This Row],[Month]]&lt;10,3,4)))</f>
        <v>2</v>
      </c>
      <c r="L1633">
        <f>IFERROR(IF(VLOOKUP(calendar[[#This Row],[Date]],BH!A:A,1,)&lt;&gt;"",1,0),0)</f>
        <v>0</v>
      </c>
      <c r="M1633">
        <f>IFERROR(IF(VLOOKUP(calendar[[#This Row],[Date]],BH!C:C,1,)&lt;&gt;"",1,0),0)</f>
        <v>0</v>
      </c>
      <c r="N1633">
        <f>IFERROR(IF(VLOOKUP(calendar[[#This Row],[Date]],BH!E:E,1,)&lt;&gt;"",1,0),0)</f>
        <v>0</v>
      </c>
      <c r="O1633">
        <f>IFERROR(IF(VLOOKUP(calendar[[#This Row],[Date]],BH!G:G,1,)&lt;&gt;"",1,0),0)</f>
        <v>0</v>
      </c>
      <c r="P1633">
        <f>IF(OR(calendar[[#This Row],[UK_BH]]=1,calendar[[#This Row],[WeekDay]]=1, calendar[[#This Row],[WeekDay]]=7),P1632,P1632+1)</f>
        <v>1165</v>
      </c>
      <c r="Q1633">
        <f>IF(OR(calendar[[#This Row],[FR_BH]]=1,calendar[[#This Row],[WeekDay]]=1, calendar[[#This Row],[WeekDay]]=7),P1632,P1632+1)</f>
        <v>1165</v>
      </c>
      <c r="R1633">
        <f>IF(OR(calendar[[#This Row],[SP_BH]]=1,calendar[[#This Row],[WeekDay]]=1, calendar[[#This Row],[WeekDay]]=7),P1632,P1632+1)</f>
        <v>1165</v>
      </c>
      <c r="S1633">
        <f>IF(OR(calendar[[#This Row],[PT_BH]]=1,calendar[[#This Row],[WeekDay]]=1, calendar[[#This Row],[WeekDay]]=7),P1632,P1632+1)</f>
        <v>1165</v>
      </c>
    </row>
    <row r="1634" spans="1:19" x14ac:dyDescent="0.25">
      <c r="A1634" s="2">
        <v>44368</v>
      </c>
      <c r="B1634" s="1">
        <f t="shared" si="128"/>
        <v>26</v>
      </c>
      <c r="C1634">
        <f t="shared" si="130"/>
        <v>6</v>
      </c>
      <c r="D1634" t="str">
        <f t="shared" si="131"/>
        <v>June</v>
      </c>
      <c r="E1634">
        <f t="shared" si="132"/>
        <v>2021</v>
      </c>
      <c r="F1634" t="str">
        <f>CONCATENATE(calendar[[#This Row],[Month]],"/",calendar[[#This Row],[Year]])</f>
        <v>6/2021</v>
      </c>
      <c r="G1634">
        <f>WEEKDAY(calendar[[#This Row],[Date]],1)</f>
        <v>2</v>
      </c>
      <c r="H1634" t="str">
        <f>TEXT(calendar[[#This Row],[WeekDay]],"dddd")</f>
        <v>Monday</v>
      </c>
      <c r="I1634">
        <f>IF((INT(calendar[[#This Row],[Count]]/7)-calendar[[#This Row],[Count]]/7)&lt;0,I1633,I1633+1)</f>
        <v>234</v>
      </c>
      <c r="J1634">
        <f t="shared" si="129"/>
        <v>1632</v>
      </c>
      <c r="K1634">
        <f>IF(calendar[[#This Row],[Month]]&lt;4,1,IF(calendar[[#This Row],[Month]]&lt;7,2,IF(calendar[[#This Row],[Month]]&lt;10,3,4)))</f>
        <v>2</v>
      </c>
      <c r="L1634">
        <f>IFERROR(IF(VLOOKUP(calendar[[#This Row],[Date]],BH!A:A,1,)&lt;&gt;"",1,0),0)</f>
        <v>0</v>
      </c>
      <c r="M1634">
        <f>IFERROR(IF(VLOOKUP(calendar[[#This Row],[Date]],BH!C:C,1,)&lt;&gt;"",1,0),0)</f>
        <v>0</v>
      </c>
      <c r="N1634">
        <f>IFERROR(IF(VLOOKUP(calendar[[#This Row],[Date]],BH!E:E,1,)&lt;&gt;"",1,0),0)</f>
        <v>0</v>
      </c>
      <c r="O1634">
        <f>IFERROR(IF(VLOOKUP(calendar[[#This Row],[Date]],BH!G:G,1,)&lt;&gt;"",1,0),0)</f>
        <v>0</v>
      </c>
      <c r="P1634">
        <f>IF(OR(calendar[[#This Row],[UK_BH]]=1,calendar[[#This Row],[WeekDay]]=1, calendar[[#This Row],[WeekDay]]=7),P1633,P1633+1)</f>
        <v>1166</v>
      </c>
      <c r="Q1634">
        <f>IF(OR(calendar[[#This Row],[FR_BH]]=1,calendar[[#This Row],[WeekDay]]=1, calendar[[#This Row],[WeekDay]]=7),P1633,P1633+1)</f>
        <v>1166</v>
      </c>
      <c r="R1634">
        <f>IF(OR(calendar[[#This Row],[SP_BH]]=1,calendar[[#This Row],[WeekDay]]=1, calendar[[#This Row],[WeekDay]]=7),P1633,P1633+1)</f>
        <v>1166</v>
      </c>
      <c r="S1634">
        <f>IF(OR(calendar[[#This Row],[PT_BH]]=1,calendar[[#This Row],[WeekDay]]=1, calendar[[#This Row],[WeekDay]]=7),P1633,P1633+1)</f>
        <v>1166</v>
      </c>
    </row>
    <row r="1635" spans="1:19" x14ac:dyDescent="0.25">
      <c r="A1635" s="2">
        <v>44369</v>
      </c>
      <c r="B1635" s="1">
        <f t="shared" si="128"/>
        <v>26</v>
      </c>
      <c r="C1635">
        <f t="shared" si="130"/>
        <v>6</v>
      </c>
      <c r="D1635" t="str">
        <f t="shared" si="131"/>
        <v>June</v>
      </c>
      <c r="E1635">
        <f t="shared" si="132"/>
        <v>2021</v>
      </c>
      <c r="F1635" t="str">
        <f>CONCATENATE(calendar[[#This Row],[Month]],"/",calendar[[#This Row],[Year]])</f>
        <v>6/2021</v>
      </c>
      <c r="G1635">
        <f>WEEKDAY(calendar[[#This Row],[Date]],1)</f>
        <v>3</v>
      </c>
      <c r="H1635" t="str">
        <f>TEXT(calendar[[#This Row],[WeekDay]],"dddd")</f>
        <v>Tuesday</v>
      </c>
      <c r="I1635">
        <f>IF((INT(calendar[[#This Row],[Count]]/7)-calendar[[#This Row],[Count]]/7)&lt;0,I1634,I1634+1)</f>
        <v>234</v>
      </c>
      <c r="J1635">
        <f t="shared" si="129"/>
        <v>1633</v>
      </c>
      <c r="K1635">
        <f>IF(calendar[[#This Row],[Month]]&lt;4,1,IF(calendar[[#This Row],[Month]]&lt;7,2,IF(calendar[[#This Row],[Month]]&lt;10,3,4)))</f>
        <v>2</v>
      </c>
      <c r="L1635">
        <f>IFERROR(IF(VLOOKUP(calendar[[#This Row],[Date]],BH!A:A,1,)&lt;&gt;"",1,0),0)</f>
        <v>0</v>
      </c>
      <c r="M1635">
        <f>IFERROR(IF(VLOOKUP(calendar[[#This Row],[Date]],BH!C:C,1,)&lt;&gt;"",1,0),0)</f>
        <v>0</v>
      </c>
      <c r="N1635">
        <f>IFERROR(IF(VLOOKUP(calendar[[#This Row],[Date]],BH!E:E,1,)&lt;&gt;"",1,0),0)</f>
        <v>0</v>
      </c>
      <c r="O1635">
        <f>IFERROR(IF(VLOOKUP(calendar[[#This Row],[Date]],BH!G:G,1,)&lt;&gt;"",1,0),0)</f>
        <v>0</v>
      </c>
      <c r="P1635">
        <f>IF(OR(calendar[[#This Row],[UK_BH]]=1,calendar[[#This Row],[WeekDay]]=1, calendar[[#This Row],[WeekDay]]=7),P1634,P1634+1)</f>
        <v>1167</v>
      </c>
      <c r="Q1635">
        <f>IF(OR(calendar[[#This Row],[FR_BH]]=1,calendar[[#This Row],[WeekDay]]=1, calendar[[#This Row],[WeekDay]]=7),P1634,P1634+1)</f>
        <v>1167</v>
      </c>
      <c r="R1635">
        <f>IF(OR(calendar[[#This Row],[SP_BH]]=1,calendar[[#This Row],[WeekDay]]=1, calendar[[#This Row],[WeekDay]]=7),P1634,P1634+1)</f>
        <v>1167</v>
      </c>
      <c r="S1635">
        <f>IF(OR(calendar[[#This Row],[PT_BH]]=1,calendar[[#This Row],[WeekDay]]=1, calendar[[#This Row],[WeekDay]]=7),P1634,P1634+1)</f>
        <v>1167</v>
      </c>
    </row>
    <row r="1636" spans="1:19" x14ac:dyDescent="0.25">
      <c r="A1636" s="2">
        <v>44370</v>
      </c>
      <c r="B1636" s="1">
        <f t="shared" si="128"/>
        <v>26</v>
      </c>
      <c r="C1636">
        <f t="shared" si="130"/>
        <v>6</v>
      </c>
      <c r="D1636" t="str">
        <f t="shared" si="131"/>
        <v>June</v>
      </c>
      <c r="E1636">
        <f t="shared" si="132"/>
        <v>2021</v>
      </c>
      <c r="F1636" t="str">
        <f>CONCATENATE(calendar[[#This Row],[Month]],"/",calendar[[#This Row],[Year]])</f>
        <v>6/2021</v>
      </c>
      <c r="G1636">
        <f>WEEKDAY(calendar[[#This Row],[Date]],1)</f>
        <v>4</v>
      </c>
      <c r="H1636" t="str">
        <f>TEXT(calendar[[#This Row],[WeekDay]],"dddd")</f>
        <v>Wednesday</v>
      </c>
      <c r="I1636">
        <f>IF((INT(calendar[[#This Row],[Count]]/7)-calendar[[#This Row],[Count]]/7)&lt;0,I1635,I1635+1)</f>
        <v>234</v>
      </c>
      <c r="J1636">
        <f t="shared" si="129"/>
        <v>1634</v>
      </c>
      <c r="K1636">
        <f>IF(calendar[[#This Row],[Month]]&lt;4,1,IF(calendar[[#This Row],[Month]]&lt;7,2,IF(calendar[[#This Row],[Month]]&lt;10,3,4)))</f>
        <v>2</v>
      </c>
      <c r="L1636">
        <f>IFERROR(IF(VLOOKUP(calendar[[#This Row],[Date]],BH!A:A,1,)&lt;&gt;"",1,0),0)</f>
        <v>0</v>
      </c>
      <c r="M1636">
        <f>IFERROR(IF(VLOOKUP(calendar[[#This Row],[Date]],BH!C:C,1,)&lt;&gt;"",1,0),0)</f>
        <v>0</v>
      </c>
      <c r="N1636">
        <f>IFERROR(IF(VLOOKUP(calendar[[#This Row],[Date]],BH!E:E,1,)&lt;&gt;"",1,0),0)</f>
        <v>0</v>
      </c>
      <c r="O1636">
        <f>IFERROR(IF(VLOOKUP(calendar[[#This Row],[Date]],BH!G:G,1,)&lt;&gt;"",1,0),0)</f>
        <v>0</v>
      </c>
      <c r="P1636">
        <f>IF(OR(calendar[[#This Row],[UK_BH]]=1,calendar[[#This Row],[WeekDay]]=1, calendar[[#This Row],[WeekDay]]=7),P1635,P1635+1)</f>
        <v>1168</v>
      </c>
      <c r="Q1636">
        <f>IF(OR(calendar[[#This Row],[FR_BH]]=1,calendar[[#This Row],[WeekDay]]=1, calendar[[#This Row],[WeekDay]]=7),P1635,P1635+1)</f>
        <v>1168</v>
      </c>
      <c r="R1636">
        <f>IF(OR(calendar[[#This Row],[SP_BH]]=1,calendar[[#This Row],[WeekDay]]=1, calendar[[#This Row],[WeekDay]]=7),P1635,P1635+1)</f>
        <v>1168</v>
      </c>
      <c r="S1636">
        <f>IF(OR(calendar[[#This Row],[PT_BH]]=1,calendar[[#This Row],[WeekDay]]=1, calendar[[#This Row],[WeekDay]]=7),P1635,P1635+1)</f>
        <v>1168</v>
      </c>
    </row>
    <row r="1637" spans="1:19" x14ac:dyDescent="0.25">
      <c r="A1637" s="2">
        <v>44371</v>
      </c>
      <c r="B1637" s="1">
        <f t="shared" si="128"/>
        <v>26</v>
      </c>
      <c r="C1637">
        <f t="shared" si="130"/>
        <v>6</v>
      </c>
      <c r="D1637" t="str">
        <f t="shared" si="131"/>
        <v>June</v>
      </c>
      <c r="E1637">
        <f t="shared" si="132"/>
        <v>2021</v>
      </c>
      <c r="F1637" t="str">
        <f>CONCATENATE(calendar[[#This Row],[Month]],"/",calendar[[#This Row],[Year]])</f>
        <v>6/2021</v>
      </c>
      <c r="G1637">
        <f>WEEKDAY(calendar[[#This Row],[Date]],1)</f>
        <v>5</v>
      </c>
      <c r="H1637" t="str">
        <f>TEXT(calendar[[#This Row],[WeekDay]],"dddd")</f>
        <v>Thursday</v>
      </c>
      <c r="I1637">
        <f>IF((INT(calendar[[#This Row],[Count]]/7)-calendar[[#This Row],[Count]]/7)&lt;0,I1636,I1636+1)</f>
        <v>234</v>
      </c>
      <c r="J1637">
        <f t="shared" si="129"/>
        <v>1635</v>
      </c>
      <c r="K1637">
        <f>IF(calendar[[#This Row],[Month]]&lt;4,1,IF(calendar[[#This Row],[Month]]&lt;7,2,IF(calendar[[#This Row],[Month]]&lt;10,3,4)))</f>
        <v>2</v>
      </c>
      <c r="L1637">
        <f>IFERROR(IF(VLOOKUP(calendar[[#This Row],[Date]],BH!A:A,1,)&lt;&gt;"",1,0),0)</f>
        <v>0</v>
      </c>
      <c r="M1637">
        <f>IFERROR(IF(VLOOKUP(calendar[[#This Row],[Date]],BH!C:C,1,)&lt;&gt;"",1,0),0)</f>
        <v>0</v>
      </c>
      <c r="N1637">
        <f>IFERROR(IF(VLOOKUP(calendar[[#This Row],[Date]],BH!E:E,1,)&lt;&gt;"",1,0),0)</f>
        <v>0</v>
      </c>
      <c r="O1637">
        <f>IFERROR(IF(VLOOKUP(calendar[[#This Row],[Date]],BH!G:G,1,)&lt;&gt;"",1,0),0)</f>
        <v>0</v>
      </c>
      <c r="P1637">
        <f>IF(OR(calendar[[#This Row],[UK_BH]]=1,calendar[[#This Row],[WeekDay]]=1, calendar[[#This Row],[WeekDay]]=7),P1636,P1636+1)</f>
        <v>1169</v>
      </c>
      <c r="Q1637">
        <f>IF(OR(calendar[[#This Row],[FR_BH]]=1,calendar[[#This Row],[WeekDay]]=1, calendar[[#This Row],[WeekDay]]=7),P1636,P1636+1)</f>
        <v>1169</v>
      </c>
      <c r="R1637">
        <f>IF(OR(calendar[[#This Row],[SP_BH]]=1,calendar[[#This Row],[WeekDay]]=1, calendar[[#This Row],[WeekDay]]=7),P1636,P1636+1)</f>
        <v>1169</v>
      </c>
      <c r="S1637">
        <f>IF(OR(calendar[[#This Row],[PT_BH]]=1,calendar[[#This Row],[WeekDay]]=1, calendar[[#This Row],[WeekDay]]=7),P1636,P1636+1)</f>
        <v>1169</v>
      </c>
    </row>
    <row r="1638" spans="1:19" x14ac:dyDescent="0.25">
      <c r="A1638" s="2">
        <v>44372</v>
      </c>
      <c r="B1638" s="1">
        <f t="shared" si="128"/>
        <v>26</v>
      </c>
      <c r="C1638">
        <f t="shared" si="130"/>
        <v>6</v>
      </c>
      <c r="D1638" t="str">
        <f t="shared" si="131"/>
        <v>June</v>
      </c>
      <c r="E1638">
        <f t="shared" si="132"/>
        <v>2021</v>
      </c>
      <c r="F1638" t="str">
        <f>CONCATENATE(calendar[[#This Row],[Month]],"/",calendar[[#This Row],[Year]])</f>
        <v>6/2021</v>
      </c>
      <c r="G1638">
        <f>WEEKDAY(calendar[[#This Row],[Date]],1)</f>
        <v>6</v>
      </c>
      <c r="H1638" t="str">
        <f>TEXT(calendar[[#This Row],[WeekDay]],"dddd")</f>
        <v>Friday</v>
      </c>
      <c r="I1638">
        <f>IF((INT(calendar[[#This Row],[Count]]/7)-calendar[[#This Row],[Count]]/7)&lt;0,I1637,I1637+1)</f>
        <v>234</v>
      </c>
      <c r="J1638">
        <f t="shared" si="129"/>
        <v>1636</v>
      </c>
      <c r="K1638">
        <f>IF(calendar[[#This Row],[Month]]&lt;4,1,IF(calendar[[#This Row],[Month]]&lt;7,2,IF(calendar[[#This Row],[Month]]&lt;10,3,4)))</f>
        <v>2</v>
      </c>
      <c r="L1638">
        <f>IFERROR(IF(VLOOKUP(calendar[[#This Row],[Date]],BH!A:A,1,)&lt;&gt;"",1,0),0)</f>
        <v>0</v>
      </c>
      <c r="M1638">
        <f>IFERROR(IF(VLOOKUP(calendar[[#This Row],[Date]],BH!C:C,1,)&lt;&gt;"",1,0),0)</f>
        <v>0</v>
      </c>
      <c r="N1638">
        <f>IFERROR(IF(VLOOKUP(calendar[[#This Row],[Date]],BH!E:E,1,)&lt;&gt;"",1,0),0)</f>
        <v>0</v>
      </c>
      <c r="O1638">
        <f>IFERROR(IF(VLOOKUP(calendar[[#This Row],[Date]],BH!G:G,1,)&lt;&gt;"",1,0),0)</f>
        <v>0</v>
      </c>
      <c r="P1638">
        <f>IF(OR(calendar[[#This Row],[UK_BH]]=1,calendar[[#This Row],[WeekDay]]=1, calendar[[#This Row],[WeekDay]]=7),P1637,P1637+1)</f>
        <v>1170</v>
      </c>
      <c r="Q1638">
        <f>IF(OR(calendar[[#This Row],[FR_BH]]=1,calendar[[#This Row],[WeekDay]]=1, calendar[[#This Row],[WeekDay]]=7),P1637,P1637+1)</f>
        <v>1170</v>
      </c>
      <c r="R1638">
        <f>IF(OR(calendar[[#This Row],[SP_BH]]=1,calendar[[#This Row],[WeekDay]]=1, calendar[[#This Row],[WeekDay]]=7),P1637,P1637+1)</f>
        <v>1170</v>
      </c>
      <c r="S1638">
        <f>IF(OR(calendar[[#This Row],[PT_BH]]=1,calendar[[#This Row],[WeekDay]]=1, calendar[[#This Row],[WeekDay]]=7),P1637,P1637+1)</f>
        <v>1170</v>
      </c>
    </row>
    <row r="1639" spans="1:19" x14ac:dyDescent="0.25">
      <c r="A1639" s="2">
        <v>44373</v>
      </c>
      <c r="B1639" s="1">
        <f t="shared" si="128"/>
        <v>26</v>
      </c>
      <c r="C1639">
        <f t="shared" si="130"/>
        <v>6</v>
      </c>
      <c r="D1639" t="str">
        <f t="shared" si="131"/>
        <v>June</v>
      </c>
      <c r="E1639">
        <f t="shared" si="132"/>
        <v>2021</v>
      </c>
      <c r="F1639" t="str">
        <f>CONCATENATE(calendar[[#This Row],[Month]],"/",calendar[[#This Row],[Year]])</f>
        <v>6/2021</v>
      </c>
      <c r="G1639">
        <f>WEEKDAY(calendar[[#This Row],[Date]],1)</f>
        <v>7</v>
      </c>
      <c r="H1639" t="str">
        <f>TEXT(calendar[[#This Row],[WeekDay]],"dddd")</f>
        <v>Saturday</v>
      </c>
      <c r="I1639">
        <f>IF((INT(calendar[[#This Row],[Count]]/7)-calendar[[#This Row],[Count]]/7)&lt;0,I1638,I1638+1)</f>
        <v>234</v>
      </c>
      <c r="J1639">
        <f t="shared" si="129"/>
        <v>1637</v>
      </c>
      <c r="K1639">
        <f>IF(calendar[[#This Row],[Month]]&lt;4,1,IF(calendar[[#This Row],[Month]]&lt;7,2,IF(calendar[[#This Row],[Month]]&lt;10,3,4)))</f>
        <v>2</v>
      </c>
      <c r="L1639">
        <f>IFERROR(IF(VLOOKUP(calendar[[#This Row],[Date]],BH!A:A,1,)&lt;&gt;"",1,0),0)</f>
        <v>0</v>
      </c>
      <c r="M1639">
        <f>IFERROR(IF(VLOOKUP(calendar[[#This Row],[Date]],BH!C:C,1,)&lt;&gt;"",1,0),0)</f>
        <v>0</v>
      </c>
      <c r="N1639">
        <f>IFERROR(IF(VLOOKUP(calendar[[#This Row],[Date]],BH!E:E,1,)&lt;&gt;"",1,0),0)</f>
        <v>0</v>
      </c>
      <c r="O1639">
        <f>IFERROR(IF(VLOOKUP(calendar[[#This Row],[Date]],BH!G:G,1,)&lt;&gt;"",1,0),0)</f>
        <v>0</v>
      </c>
      <c r="P1639">
        <f>IF(OR(calendar[[#This Row],[UK_BH]]=1,calendar[[#This Row],[WeekDay]]=1, calendar[[#This Row],[WeekDay]]=7),P1638,P1638+1)</f>
        <v>1170</v>
      </c>
      <c r="Q1639">
        <f>IF(OR(calendar[[#This Row],[FR_BH]]=1,calendar[[#This Row],[WeekDay]]=1, calendar[[#This Row],[WeekDay]]=7),P1638,P1638+1)</f>
        <v>1170</v>
      </c>
      <c r="R1639">
        <f>IF(OR(calendar[[#This Row],[SP_BH]]=1,calendar[[#This Row],[WeekDay]]=1, calendar[[#This Row],[WeekDay]]=7),P1638,P1638+1)</f>
        <v>1170</v>
      </c>
      <c r="S1639">
        <f>IF(OR(calendar[[#This Row],[PT_BH]]=1,calendar[[#This Row],[WeekDay]]=1, calendar[[#This Row],[WeekDay]]=7),P1638,P1638+1)</f>
        <v>1170</v>
      </c>
    </row>
    <row r="1640" spans="1:19" x14ac:dyDescent="0.25">
      <c r="A1640" s="2">
        <v>44374</v>
      </c>
      <c r="B1640" s="1">
        <f t="shared" si="128"/>
        <v>27</v>
      </c>
      <c r="C1640">
        <f t="shared" si="130"/>
        <v>6</v>
      </c>
      <c r="D1640" t="str">
        <f t="shared" si="131"/>
        <v>June</v>
      </c>
      <c r="E1640">
        <f t="shared" si="132"/>
        <v>2021</v>
      </c>
      <c r="F1640" t="str">
        <f>CONCATENATE(calendar[[#This Row],[Month]],"/",calendar[[#This Row],[Year]])</f>
        <v>6/2021</v>
      </c>
      <c r="G1640">
        <f>WEEKDAY(calendar[[#This Row],[Date]],1)</f>
        <v>1</v>
      </c>
      <c r="H1640" t="str">
        <f>TEXT(calendar[[#This Row],[WeekDay]],"dddd")</f>
        <v>Sunday</v>
      </c>
      <c r="I1640">
        <f>IF((INT(calendar[[#This Row],[Count]]/7)-calendar[[#This Row],[Count]]/7)&lt;0,I1639,I1639+1)</f>
        <v>235</v>
      </c>
      <c r="J1640">
        <f t="shared" si="129"/>
        <v>1638</v>
      </c>
      <c r="K1640">
        <f>IF(calendar[[#This Row],[Month]]&lt;4,1,IF(calendar[[#This Row],[Month]]&lt;7,2,IF(calendar[[#This Row],[Month]]&lt;10,3,4)))</f>
        <v>2</v>
      </c>
      <c r="L1640">
        <f>IFERROR(IF(VLOOKUP(calendar[[#This Row],[Date]],BH!A:A,1,)&lt;&gt;"",1,0),0)</f>
        <v>0</v>
      </c>
      <c r="M1640">
        <f>IFERROR(IF(VLOOKUP(calendar[[#This Row],[Date]],BH!C:C,1,)&lt;&gt;"",1,0),0)</f>
        <v>0</v>
      </c>
      <c r="N1640">
        <f>IFERROR(IF(VLOOKUP(calendar[[#This Row],[Date]],BH!E:E,1,)&lt;&gt;"",1,0),0)</f>
        <v>0</v>
      </c>
      <c r="O1640">
        <f>IFERROR(IF(VLOOKUP(calendar[[#This Row],[Date]],BH!G:G,1,)&lt;&gt;"",1,0),0)</f>
        <v>0</v>
      </c>
      <c r="P1640">
        <f>IF(OR(calendar[[#This Row],[UK_BH]]=1,calendar[[#This Row],[WeekDay]]=1, calendar[[#This Row],[WeekDay]]=7),P1639,P1639+1)</f>
        <v>1170</v>
      </c>
      <c r="Q1640">
        <f>IF(OR(calendar[[#This Row],[FR_BH]]=1,calendar[[#This Row],[WeekDay]]=1, calendar[[#This Row],[WeekDay]]=7),P1639,P1639+1)</f>
        <v>1170</v>
      </c>
      <c r="R1640">
        <f>IF(OR(calendar[[#This Row],[SP_BH]]=1,calendar[[#This Row],[WeekDay]]=1, calendar[[#This Row],[WeekDay]]=7),P1639,P1639+1)</f>
        <v>1170</v>
      </c>
      <c r="S1640">
        <f>IF(OR(calendar[[#This Row],[PT_BH]]=1,calendar[[#This Row],[WeekDay]]=1, calendar[[#This Row],[WeekDay]]=7),P1639,P1639+1)</f>
        <v>1170</v>
      </c>
    </row>
    <row r="1641" spans="1:19" x14ac:dyDescent="0.25">
      <c r="A1641" s="2">
        <v>44375</v>
      </c>
      <c r="B1641" s="1">
        <f t="shared" si="128"/>
        <v>27</v>
      </c>
      <c r="C1641">
        <f t="shared" si="130"/>
        <v>6</v>
      </c>
      <c r="D1641" t="str">
        <f t="shared" si="131"/>
        <v>June</v>
      </c>
      <c r="E1641">
        <f t="shared" si="132"/>
        <v>2021</v>
      </c>
      <c r="F1641" t="str">
        <f>CONCATENATE(calendar[[#This Row],[Month]],"/",calendar[[#This Row],[Year]])</f>
        <v>6/2021</v>
      </c>
      <c r="G1641">
        <f>WEEKDAY(calendar[[#This Row],[Date]],1)</f>
        <v>2</v>
      </c>
      <c r="H1641" t="str">
        <f>TEXT(calendar[[#This Row],[WeekDay]],"dddd")</f>
        <v>Monday</v>
      </c>
      <c r="I1641">
        <f>IF((INT(calendar[[#This Row],[Count]]/7)-calendar[[#This Row],[Count]]/7)&lt;0,I1640,I1640+1)</f>
        <v>235</v>
      </c>
      <c r="J1641">
        <f t="shared" si="129"/>
        <v>1639</v>
      </c>
      <c r="K1641">
        <f>IF(calendar[[#This Row],[Month]]&lt;4,1,IF(calendar[[#This Row],[Month]]&lt;7,2,IF(calendar[[#This Row],[Month]]&lt;10,3,4)))</f>
        <v>2</v>
      </c>
      <c r="L1641">
        <f>IFERROR(IF(VLOOKUP(calendar[[#This Row],[Date]],BH!A:A,1,)&lt;&gt;"",1,0),0)</f>
        <v>0</v>
      </c>
      <c r="M1641">
        <f>IFERROR(IF(VLOOKUP(calendar[[#This Row],[Date]],BH!C:C,1,)&lt;&gt;"",1,0),0)</f>
        <v>0</v>
      </c>
      <c r="N1641">
        <f>IFERROR(IF(VLOOKUP(calendar[[#This Row],[Date]],BH!E:E,1,)&lt;&gt;"",1,0),0)</f>
        <v>0</v>
      </c>
      <c r="O1641">
        <f>IFERROR(IF(VLOOKUP(calendar[[#This Row],[Date]],BH!G:G,1,)&lt;&gt;"",1,0),0)</f>
        <v>0</v>
      </c>
      <c r="P1641">
        <f>IF(OR(calendar[[#This Row],[UK_BH]]=1,calendar[[#This Row],[WeekDay]]=1, calendar[[#This Row],[WeekDay]]=7),P1640,P1640+1)</f>
        <v>1171</v>
      </c>
      <c r="Q1641">
        <f>IF(OR(calendar[[#This Row],[FR_BH]]=1,calendar[[#This Row],[WeekDay]]=1, calendar[[#This Row],[WeekDay]]=7),P1640,P1640+1)</f>
        <v>1171</v>
      </c>
      <c r="R1641">
        <f>IF(OR(calendar[[#This Row],[SP_BH]]=1,calendar[[#This Row],[WeekDay]]=1, calendar[[#This Row],[WeekDay]]=7),P1640,P1640+1)</f>
        <v>1171</v>
      </c>
      <c r="S1641">
        <f>IF(OR(calendar[[#This Row],[PT_BH]]=1,calendar[[#This Row],[WeekDay]]=1, calendar[[#This Row],[WeekDay]]=7),P1640,P1640+1)</f>
        <v>1171</v>
      </c>
    </row>
    <row r="1642" spans="1:19" x14ac:dyDescent="0.25">
      <c r="A1642" s="2">
        <v>44376</v>
      </c>
      <c r="B1642" s="1">
        <f t="shared" si="128"/>
        <v>27</v>
      </c>
      <c r="C1642">
        <f t="shared" si="130"/>
        <v>6</v>
      </c>
      <c r="D1642" t="str">
        <f t="shared" si="131"/>
        <v>June</v>
      </c>
      <c r="E1642">
        <f t="shared" si="132"/>
        <v>2021</v>
      </c>
      <c r="F1642" t="str">
        <f>CONCATENATE(calendar[[#This Row],[Month]],"/",calendar[[#This Row],[Year]])</f>
        <v>6/2021</v>
      </c>
      <c r="G1642">
        <f>WEEKDAY(calendar[[#This Row],[Date]],1)</f>
        <v>3</v>
      </c>
      <c r="H1642" t="str">
        <f>TEXT(calendar[[#This Row],[WeekDay]],"dddd")</f>
        <v>Tuesday</v>
      </c>
      <c r="I1642">
        <f>IF((INT(calendar[[#This Row],[Count]]/7)-calendar[[#This Row],[Count]]/7)&lt;0,I1641,I1641+1)</f>
        <v>235</v>
      </c>
      <c r="J1642">
        <f t="shared" si="129"/>
        <v>1640</v>
      </c>
      <c r="K1642">
        <f>IF(calendar[[#This Row],[Month]]&lt;4,1,IF(calendar[[#This Row],[Month]]&lt;7,2,IF(calendar[[#This Row],[Month]]&lt;10,3,4)))</f>
        <v>2</v>
      </c>
      <c r="L1642">
        <f>IFERROR(IF(VLOOKUP(calendar[[#This Row],[Date]],BH!A:A,1,)&lt;&gt;"",1,0),0)</f>
        <v>0</v>
      </c>
      <c r="M1642">
        <f>IFERROR(IF(VLOOKUP(calendar[[#This Row],[Date]],BH!C:C,1,)&lt;&gt;"",1,0),0)</f>
        <v>0</v>
      </c>
      <c r="N1642">
        <f>IFERROR(IF(VLOOKUP(calendar[[#This Row],[Date]],BH!E:E,1,)&lt;&gt;"",1,0),0)</f>
        <v>0</v>
      </c>
      <c r="O1642">
        <f>IFERROR(IF(VLOOKUP(calendar[[#This Row],[Date]],BH!G:G,1,)&lt;&gt;"",1,0),0)</f>
        <v>0</v>
      </c>
      <c r="P1642">
        <f>IF(OR(calendar[[#This Row],[UK_BH]]=1,calendar[[#This Row],[WeekDay]]=1, calendar[[#This Row],[WeekDay]]=7),P1641,P1641+1)</f>
        <v>1172</v>
      </c>
      <c r="Q1642">
        <f>IF(OR(calendar[[#This Row],[FR_BH]]=1,calendar[[#This Row],[WeekDay]]=1, calendar[[#This Row],[WeekDay]]=7),P1641,P1641+1)</f>
        <v>1172</v>
      </c>
      <c r="R1642">
        <f>IF(OR(calendar[[#This Row],[SP_BH]]=1,calendar[[#This Row],[WeekDay]]=1, calendar[[#This Row],[WeekDay]]=7),P1641,P1641+1)</f>
        <v>1172</v>
      </c>
      <c r="S1642">
        <f>IF(OR(calendar[[#This Row],[PT_BH]]=1,calendar[[#This Row],[WeekDay]]=1, calendar[[#This Row],[WeekDay]]=7),P1641,P1641+1)</f>
        <v>1172</v>
      </c>
    </row>
    <row r="1643" spans="1:19" x14ac:dyDescent="0.25">
      <c r="A1643" s="2">
        <v>44377</v>
      </c>
      <c r="B1643" s="1">
        <f t="shared" si="128"/>
        <v>27</v>
      </c>
      <c r="C1643">
        <f t="shared" si="130"/>
        <v>6</v>
      </c>
      <c r="D1643" t="str">
        <f t="shared" si="131"/>
        <v>June</v>
      </c>
      <c r="E1643">
        <f t="shared" si="132"/>
        <v>2021</v>
      </c>
      <c r="F1643" t="str">
        <f>CONCATENATE(calendar[[#This Row],[Month]],"/",calendar[[#This Row],[Year]])</f>
        <v>6/2021</v>
      </c>
      <c r="G1643">
        <f>WEEKDAY(calendar[[#This Row],[Date]],1)</f>
        <v>4</v>
      </c>
      <c r="H1643" t="str">
        <f>TEXT(calendar[[#This Row],[WeekDay]],"dddd")</f>
        <v>Wednesday</v>
      </c>
      <c r="I1643">
        <f>IF((INT(calendar[[#This Row],[Count]]/7)-calendar[[#This Row],[Count]]/7)&lt;0,I1642,I1642+1)</f>
        <v>235</v>
      </c>
      <c r="J1643">
        <f t="shared" si="129"/>
        <v>1641</v>
      </c>
      <c r="K1643">
        <f>IF(calendar[[#This Row],[Month]]&lt;4,1,IF(calendar[[#This Row],[Month]]&lt;7,2,IF(calendar[[#This Row],[Month]]&lt;10,3,4)))</f>
        <v>2</v>
      </c>
      <c r="L1643">
        <f>IFERROR(IF(VLOOKUP(calendar[[#This Row],[Date]],BH!A:A,1,)&lt;&gt;"",1,0),0)</f>
        <v>0</v>
      </c>
      <c r="M1643">
        <f>IFERROR(IF(VLOOKUP(calendar[[#This Row],[Date]],BH!C:C,1,)&lt;&gt;"",1,0),0)</f>
        <v>0</v>
      </c>
      <c r="N1643">
        <f>IFERROR(IF(VLOOKUP(calendar[[#This Row],[Date]],BH!E:E,1,)&lt;&gt;"",1,0),0)</f>
        <v>0</v>
      </c>
      <c r="O1643">
        <f>IFERROR(IF(VLOOKUP(calendar[[#This Row],[Date]],BH!G:G,1,)&lt;&gt;"",1,0),0)</f>
        <v>0</v>
      </c>
      <c r="P1643">
        <f>IF(OR(calendar[[#This Row],[UK_BH]]=1,calendar[[#This Row],[WeekDay]]=1, calendar[[#This Row],[WeekDay]]=7),P1642,P1642+1)</f>
        <v>1173</v>
      </c>
      <c r="Q1643">
        <f>IF(OR(calendar[[#This Row],[FR_BH]]=1,calendar[[#This Row],[WeekDay]]=1, calendar[[#This Row],[WeekDay]]=7),P1642,P1642+1)</f>
        <v>1173</v>
      </c>
      <c r="R1643">
        <f>IF(OR(calendar[[#This Row],[SP_BH]]=1,calendar[[#This Row],[WeekDay]]=1, calendar[[#This Row],[WeekDay]]=7),P1642,P1642+1)</f>
        <v>1173</v>
      </c>
      <c r="S1643">
        <f>IF(OR(calendar[[#This Row],[PT_BH]]=1,calendar[[#This Row],[WeekDay]]=1, calendar[[#This Row],[WeekDay]]=7),P1642,P1642+1)</f>
        <v>1173</v>
      </c>
    </row>
    <row r="1644" spans="1:19" x14ac:dyDescent="0.25">
      <c r="A1644" s="2">
        <v>44378</v>
      </c>
      <c r="B1644" s="1">
        <f t="shared" si="128"/>
        <v>27</v>
      </c>
      <c r="C1644">
        <f t="shared" si="130"/>
        <v>7</v>
      </c>
      <c r="D1644" t="str">
        <f t="shared" si="131"/>
        <v>July</v>
      </c>
      <c r="E1644">
        <f t="shared" si="132"/>
        <v>2021</v>
      </c>
      <c r="F1644" t="str">
        <f>CONCATENATE(calendar[[#This Row],[Month]],"/",calendar[[#This Row],[Year]])</f>
        <v>7/2021</v>
      </c>
      <c r="G1644">
        <f>WEEKDAY(calendar[[#This Row],[Date]],1)</f>
        <v>5</v>
      </c>
      <c r="H1644" t="str">
        <f>TEXT(calendar[[#This Row],[WeekDay]],"dddd")</f>
        <v>Thursday</v>
      </c>
      <c r="I1644">
        <f>IF((INT(calendar[[#This Row],[Count]]/7)-calendar[[#This Row],[Count]]/7)&lt;0,I1643,I1643+1)</f>
        <v>235</v>
      </c>
      <c r="J1644">
        <f t="shared" si="129"/>
        <v>1642</v>
      </c>
      <c r="K1644">
        <f>IF(calendar[[#This Row],[Month]]&lt;4,1,IF(calendar[[#This Row],[Month]]&lt;7,2,IF(calendar[[#This Row],[Month]]&lt;10,3,4)))</f>
        <v>3</v>
      </c>
      <c r="L1644">
        <f>IFERROR(IF(VLOOKUP(calendar[[#This Row],[Date]],BH!A:A,1,)&lt;&gt;"",1,0),0)</f>
        <v>0</v>
      </c>
      <c r="M1644">
        <f>IFERROR(IF(VLOOKUP(calendar[[#This Row],[Date]],BH!C:C,1,)&lt;&gt;"",1,0),0)</f>
        <v>0</v>
      </c>
      <c r="N1644">
        <f>IFERROR(IF(VLOOKUP(calendar[[#This Row],[Date]],BH!E:E,1,)&lt;&gt;"",1,0),0)</f>
        <v>0</v>
      </c>
      <c r="O1644">
        <f>IFERROR(IF(VLOOKUP(calendar[[#This Row],[Date]],BH!G:G,1,)&lt;&gt;"",1,0),0)</f>
        <v>0</v>
      </c>
      <c r="P1644">
        <f>IF(OR(calendar[[#This Row],[UK_BH]]=1,calendar[[#This Row],[WeekDay]]=1, calendar[[#This Row],[WeekDay]]=7),P1643,P1643+1)</f>
        <v>1174</v>
      </c>
      <c r="Q1644">
        <f>IF(OR(calendar[[#This Row],[FR_BH]]=1,calendar[[#This Row],[WeekDay]]=1, calendar[[#This Row],[WeekDay]]=7),P1643,P1643+1)</f>
        <v>1174</v>
      </c>
      <c r="R1644">
        <f>IF(OR(calendar[[#This Row],[SP_BH]]=1,calendar[[#This Row],[WeekDay]]=1, calendar[[#This Row],[WeekDay]]=7),P1643,P1643+1)</f>
        <v>1174</v>
      </c>
      <c r="S1644">
        <f>IF(OR(calendar[[#This Row],[PT_BH]]=1,calendar[[#This Row],[WeekDay]]=1, calendar[[#This Row],[WeekDay]]=7),P1643,P1643+1)</f>
        <v>1174</v>
      </c>
    </row>
    <row r="1645" spans="1:19" x14ac:dyDescent="0.25">
      <c r="A1645" s="2">
        <v>44379</v>
      </c>
      <c r="B1645" s="1">
        <f t="shared" si="128"/>
        <v>27</v>
      </c>
      <c r="C1645">
        <f t="shared" si="130"/>
        <v>7</v>
      </c>
      <c r="D1645" t="str">
        <f t="shared" si="131"/>
        <v>July</v>
      </c>
      <c r="E1645">
        <f t="shared" si="132"/>
        <v>2021</v>
      </c>
      <c r="F1645" t="str">
        <f>CONCATENATE(calendar[[#This Row],[Month]],"/",calendar[[#This Row],[Year]])</f>
        <v>7/2021</v>
      </c>
      <c r="G1645">
        <f>WEEKDAY(calendar[[#This Row],[Date]],1)</f>
        <v>6</v>
      </c>
      <c r="H1645" t="str">
        <f>TEXT(calendar[[#This Row],[WeekDay]],"dddd")</f>
        <v>Friday</v>
      </c>
      <c r="I1645">
        <f>IF((INT(calendar[[#This Row],[Count]]/7)-calendar[[#This Row],[Count]]/7)&lt;0,I1644,I1644+1)</f>
        <v>235</v>
      </c>
      <c r="J1645">
        <f t="shared" si="129"/>
        <v>1643</v>
      </c>
      <c r="K1645">
        <f>IF(calendar[[#This Row],[Month]]&lt;4,1,IF(calendar[[#This Row],[Month]]&lt;7,2,IF(calendar[[#This Row],[Month]]&lt;10,3,4)))</f>
        <v>3</v>
      </c>
      <c r="L1645">
        <f>IFERROR(IF(VLOOKUP(calendar[[#This Row],[Date]],BH!A:A,1,)&lt;&gt;"",1,0),0)</f>
        <v>0</v>
      </c>
      <c r="M1645">
        <f>IFERROR(IF(VLOOKUP(calendar[[#This Row],[Date]],BH!C:C,1,)&lt;&gt;"",1,0),0)</f>
        <v>0</v>
      </c>
      <c r="N1645">
        <f>IFERROR(IF(VLOOKUP(calendar[[#This Row],[Date]],BH!E:E,1,)&lt;&gt;"",1,0),0)</f>
        <v>0</v>
      </c>
      <c r="O1645">
        <f>IFERROR(IF(VLOOKUP(calendar[[#This Row],[Date]],BH!G:G,1,)&lt;&gt;"",1,0),0)</f>
        <v>0</v>
      </c>
      <c r="P1645">
        <f>IF(OR(calendar[[#This Row],[UK_BH]]=1,calendar[[#This Row],[WeekDay]]=1, calendar[[#This Row],[WeekDay]]=7),P1644,P1644+1)</f>
        <v>1175</v>
      </c>
      <c r="Q1645">
        <f>IF(OR(calendar[[#This Row],[FR_BH]]=1,calendar[[#This Row],[WeekDay]]=1, calendar[[#This Row],[WeekDay]]=7),P1644,P1644+1)</f>
        <v>1175</v>
      </c>
      <c r="R1645">
        <f>IF(OR(calendar[[#This Row],[SP_BH]]=1,calendar[[#This Row],[WeekDay]]=1, calendar[[#This Row],[WeekDay]]=7),P1644,P1644+1)</f>
        <v>1175</v>
      </c>
      <c r="S1645">
        <f>IF(OR(calendar[[#This Row],[PT_BH]]=1,calendar[[#This Row],[WeekDay]]=1, calendar[[#This Row],[WeekDay]]=7),P1644,P1644+1)</f>
        <v>1175</v>
      </c>
    </row>
    <row r="1646" spans="1:19" x14ac:dyDescent="0.25">
      <c r="A1646" s="2">
        <v>44380</v>
      </c>
      <c r="B1646" s="1">
        <f t="shared" si="128"/>
        <v>27</v>
      </c>
      <c r="C1646">
        <f t="shared" si="130"/>
        <v>7</v>
      </c>
      <c r="D1646" t="str">
        <f t="shared" si="131"/>
        <v>July</v>
      </c>
      <c r="E1646">
        <f t="shared" si="132"/>
        <v>2021</v>
      </c>
      <c r="F1646" t="str">
        <f>CONCATENATE(calendar[[#This Row],[Month]],"/",calendar[[#This Row],[Year]])</f>
        <v>7/2021</v>
      </c>
      <c r="G1646">
        <f>WEEKDAY(calendar[[#This Row],[Date]],1)</f>
        <v>7</v>
      </c>
      <c r="H1646" t="str">
        <f>TEXT(calendar[[#This Row],[WeekDay]],"dddd")</f>
        <v>Saturday</v>
      </c>
      <c r="I1646">
        <f>IF((INT(calendar[[#This Row],[Count]]/7)-calendar[[#This Row],[Count]]/7)&lt;0,I1645,I1645+1)</f>
        <v>235</v>
      </c>
      <c r="J1646">
        <f t="shared" si="129"/>
        <v>1644</v>
      </c>
      <c r="K1646">
        <f>IF(calendar[[#This Row],[Month]]&lt;4,1,IF(calendar[[#This Row],[Month]]&lt;7,2,IF(calendar[[#This Row],[Month]]&lt;10,3,4)))</f>
        <v>3</v>
      </c>
      <c r="L1646">
        <f>IFERROR(IF(VLOOKUP(calendar[[#This Row],[Date]],BH!A:A,1,)&lt;&gt;"",1,0),0)</f>
        <v>0</v>
      </c>
      <c r="M1646">
        <f>IFERROR(IF(VLOOKUP(calendar[[#This Row],[Date]],BH!C:C,1,)&lt;&gt;"",1,0),0)</f>
        <v>0</v>
      </c>
      <c r="N1646">
        <f>IFERROR(IF(VLOOKUP(calendar[[#This Row],[Date]],BH!E:E,1,)&lt;&gt;"",1,0),0)</f>
        <v>0</v>
      </c>
      <c r="O1646">
        <f>IFERROR(IF(VLOOKUP(calendar[[#This Row],[Date]],BH!G:G,1,)&lt;&gt;"",1,0),0)</f>
        <v>0</v>
      </c>
      <c r="P1646">
        <f>IF(OR(calendar[[#This Row],[UK_BH]]=1,calendar[[#This Row],[WeekDay]]=1, calendar[[#This Row],[WeekDay]]=7),P1645,P1645+1)</f>
        <v>1175</v>
      </c>
      <c r="Q1646">
        <f>IF(OR(calendar[[#This Row],[FR_BH]]=1,calendar[[#This Row],[WeekDay]]=1, calendar[[#This Row],[WeekDay]]=7),P1645,P1645+1)</f>
        <v>1175</v>
      </c>
      <c r="R1646">
        <f>IF(OR(calendar[[#This Row],[SP_BH]]=1,calendar[[#This Row],[WeekDay]]=1, calendar[[#This Row],[WeekDay]]=7),P1645,P1645+1)</f>
        <v>1175</v>
      </c>
      <c r="S1646">
        <f>IF(OR(calendar[[#This Row],[PT_BH]]=1,calendar[[#This Row],[WeekDay]]=1, calendar[[#This Row],[WeekDay]]=7),P1645,P1645+1)</f>
        <v>1175</v>
      </c>
    </row>
    <row r="1647" spans="1:19" x14ac:dyDescent="0.25">
      <c r="A1647" s="2">
        <v>44381</v>
      </c>
      <c r="B1647" s="1">
        <f t="shared" si="128"/>
        <v>28</v>
      </c>
      <c r="C1647">
        <f t="shared" si="130"/>
        <v>7</v>
      </c>
      <c r="D1647" t="str">
        <f t="shared" si="131"/>
        <v>July</v>
      </c>
      <c r="E1647">
        <f t="shared" si="132"/>
        <v>2021</v>
      </c>
      <c r="F1647" t="str">
        <f>CONCATENATE(calendar[[#This Row],[Month]],"/",calendar[[#This Row],[Year]])</f>
        <v>7/2021</v>
      </c>
      <c r="G1647">
        <f>WEEKDAY(calendar[[#This Row],[Date]],1)</f>
        <v>1</v>
      </c>
      <c r="H1647" t="str">
        <f>TEXT(calendar[[#This Row],[WeekDay]],"dddd")</f>
        <v>Sunday</v>
      </c>
      <c r="I1647">
        <f>IF((INT(calendar[[#This Row],[Count]]/7)-calendar[[#This Row],[Count]]/7)&lt;0,I1646,I1646+1)</f>
        <v>236</v>
      </c>
      <c r="J1647">
        <f t="shared" si="129"/>
        <v>1645</v>
      </c>
      <c r="K1647">
        <f>IF(calendar[[#This Row],[Month]]&lt;4,1,IF(calendar[[#This Row],[Month]]&lt;7,2,IF(calendar[[#This Row],[Month]]&lt;10,3,4)))</f>
        <v>3</v>
      </c>
      <c r="L1647">
        <f>IFERROR(IF(VLOOKUP(calendar[[#This Row],[Date]],BH!A:A,1,)&lt;&gt;"",1,0),0)</f>
        <v>0</v>
      </c>
      <c r="M1647">
        <f>IFERROR(IF(VLOOKUP(calendar[[#This Row],[Date]],BH!C:C,1,)&lt;&gt;"",1,0),0)</f>
        <v>0</v>
      </c>
      <c r="N1647">
        <f>IFERROR(IF(VLOOKUP(calendar[[#This Row],[Date]],BH!E:E,1,)&lt;&gt;"",1,0),0)</f>
        <v>0</v>
      </c>
      <c r="O1647">
        <f>IFERROR(IF(VLOOKUP(calendar[[#This Row],[Date]],BH!G:G,1,)&lt;&gt;"",1,0),0)</f>
        <v>0</v>
      </c>
      <c r="P1647">
        <f>IF(OR(calendar[[#This Row],[UK_BH]]=1,calendar[[#This Row],[WeekDay]]=1, calendar[[#This Row],[WeekDay]]=7),P1646,P1646+1)</f>
        <v>1175</v>
      </c>
      <c r="Q1647">
        <f>IF(OR(calendar[[#This Row],[FR_BH]]=1,calendar[[#This Row],[WeekDay]]=1, calendar[[#This Row],[WeekDay]]=7),P1646,P1646+1)</f>
        <v>1175</v>
      </c>
      <c r="R1647">
        <f>IF(OR(calendar[[#This Row],[SP_BH]]=1,calendar[[#This Row],[WeekDay]]=1, calendar[[#This Row],[WeekDay]]=7),P1646,P1646+1)</f>
        <v>1175</v>
      </c>
      <c r="S1647">
        <f>IF(OR(calendar[[#This Row],[PT_BH]]=1,calendar[[#This Row],[WeekDay]]=1, calendar[[#This Row],[WeekDay]]=7),P1646,P1646+1)</f>
        <v>1175</v>
      </c>
    </row>
    <row r="1648" spans="1:19" x14ac:dyDescent="0.25">
      <c r="A1648" s="2">
        <v>44382</v>
      </c>
      <c r="B1648" s="1">
        <f t="shared" si="128"/>
        <v>28</v>
      </c>
      <c r="C1648">
        <f t="shared" si="130"/>
        <v>7</v>
      </c>
      <c r="D1648" t="str">
        <f t="shared" si="131"/>
        <v>July</v>
      </c>
      <c r="E1648">
        <f t="shared" si="132"/>
        <v>2021</v>
      </c>
      <c r="F1648" t="str">
        <f>CONCATENATE(calendar[[#This Row],[Month]],"/",calendar[[#This Row],[Year]])</f>
        <v>7/2021</v>
      </c>
      <c r="G1648">
        <f>WEEKDAY(calendar[[#This Row],[Date]],1)</f>
        <v>2</v>
      </c>
      <c r="H1648" t="str">
        <f>TEXT(calendar[[#This Row],[WeekDay]],"dddd")</f>
        <v>Monday</v>
      </c>
      <c r="I1648">
        <f>IF((INT(calendar[[#This Row],[Count]]/7)-calendar[[#This Row],[Count]]/7)&lt;0,I1647,I1647+1)</f>
        <v>236</v>
      </c>
      <c r="J1648">
        <f t="shared" si="129"/>
        <v>1646</v>
      </c>
      <c r="K1648">
        <f>IF(calendar[[#This Row],[Month]]&lt;4,1,IF(calendar[[#This Row],[Month]]&lt;7,2,IF(calendar[[#This Row],[Month]]&lt;10,3,4)))</f>
        <v>3</v>
      </c>
      <c r="L1648">
        <f>IFERROR(IF(VLOOKUP(calendar[[#This Row],[Date]],BH!A:A,1,)&lt;&gt;"",1,0),0)</f>
        <v>0</v>
      </c>
      <c r="M1648">
        <f>IFERROR(IF(VLOOKUP(calendar[[#This Row],[Date]],BH!C:C,1,)&lt;&gt;"",1,0),0)</f>
        <v>0</v>
      </c>
      <c r="N1648">
        <f>IFERROR(IF(VLOOKUP(calendar[[#This Row],[Date]],BH!E:E,1,)&lt;&gt;"",1,0),0)</f>
        <v>0</v>
      </c>
      <c r="O1648">
        <f>IFERROR(IF(VLOOKUP(calendar[[#This Row],[Date]],BH!G:G,1,)&lt;&gt;"",1,0),0)</f>
        <v>0</v>
      </c>
      <c r="P1648">
        <f>IF(OR(calendar[[#This Row],[UK_BH]]=1,calendar[[#This Row],[WeekDay]]=1, calendar[[#This Row],[WeekDay]]=7),P1647,P1647+1)</f>
        <v>1176</v>
      </c>
      <c r="Q1648">
        <f>IF(OR(calendar[[#This Row],[FR_BH]]=1,calendar[[#This Row],[WeekDay]]=1, calendar[[#This Row],[WeekDay]]=7),P1647,P1647+1)</f>
        <v>1176</v>
      </c>
      <c r="R1648">
        <f>IF(OR(calendar[[#This Row],[SP_BH]]=1,calendar[[#This Row],[WeekDay]]=1, calendar[[#This Row],[WeekDay]]=7),P1647,P1647+1)</f>
        <v>1176</v>
      </c>
      <c r="S1648">
        <f>IF(OR(calendar[[#This Row],[PT_BH]]=1,calendar[[#This Row],[WeekDay]]=1, calendar[[#This Row],[WeekDay]]=7),P1647,P1647+1)</f>
        <v>1176</v>
      </c>
    </row>
    <row r="1649" spans="1:19" x14ac:dyDescent="0.25">
      <c r="A1649" s="2">
        <v>44383</v>
      </c>
      <c r="B1649" s="1">
        <f t="shared" si="128"/>
        <v>28</v>
      </c>
      <c r="C1649">
        <f t="shared" si="130"/>
        <v>7</v>
      </c>
      <c r="D1649" t="str">
        <f t="shared" si="131"/>
        <v>July</v>
      </c>
      <c r="E1649">
        <f t="shared" si="132"/>
        <v>2021</v>
      </c>
      <c r="F1649" t="str">
        <f>CONCATENATE(calendar[[#This Row],[Month]],"/",calendar[[#This Row],[Year]])</f>
        <v>7/2021</v>
      </c>
      <c r="G1649">
        <f>WEEKDAY(calendar[[#This Row],[Date]],1)</f>
        <v>3</v>
      </c>
      <c r="H1649" t="str">
        <f>TEXT(calendar[[#This Row],[WeekDay]],"dddd")</f>
        <v>Tuesday</v>
      </c>
      <c r="I1649">
        <f>IF((INT(calendar[[#This Row],[Count]]/7)-calendar[[#This Row],[Count]]/7)&lt;0,I1648,I1648+1)</f>
        <v>236</v>
      </c>
      <c r="J1649">
        <f t="shared" si="129"/>
        <v>1647</v>
      </c>
      <c r="K1649">
        <f>IF(calendar[[#This Row],[Month]]&lt;4,1,IF(calendar[[#This Row],[Month]]&lt;7,2,IF(calendar[[#This Row],[Month]]&lt;10,3,4)))</f>
        <v>3</v>
      </c>
      <c r="L1649">
        <f>IFERROR(IF(VLOOKUP(calendar[[#This Row],[Date]],BH!A:A,1,)&lt;&gt;"",1,0),0)</f>
        <v>0</v>
      </c>
      <c r="M1649">
        <f>IFERROR(IF(VLOOKUP(calendar[[#This Row],[Date]],BH!C:C,1,)&lt;&gt;"",1,0),0)</f>
        <v>0</v>
      </c>
      <c r="N1649">
        <f>IFERROR(IF(VLOOKUP(calendar[[#This Row],[Date]],BH!E:E,1,)&lt;&gt;"",1,0),0)</f>
        <v>0</v>
      </c>
      <c r="O1649">
        <f>IFERROR(IF(VLOOKUP(calendar[[#This Row],[Date]],BH!G:G,1,)&lt;&gt;"",1,0),0)</f>
        <v>0</v>
      </c>
      <c r="P1649">
        <f>IF(OR(calendar[[#This Row],[UK_BH]]=1,calendar[[#This Row],[WeekDay]]=1, calendar[[#This Row],[WeekDay]]=7),P1648,P1648+1)</f>
        <v>1177</v>
      </c>
      <c r="Q1649">
        <f>IF(OR(calendar[[#This Row],[FR_BH]]=1,calendar[[#This Row],[WeekDay]]=1, calendar[[#This Row],[WeekDay]]=7),P1648,P1648+1)</f>
        <v>1177</v>
      </c>
      <c r="R1649">
        <f>IF(OR(calendar[[#This Row],[SP_BH]]=1,calendar[[#This Row],[WeekDay]]=1, calendar[[#This Row],[WeekDay]]=7),P1648,P1648+1)</f>
        <v>1177</v>
      </c>
      <c r="S1649">
        <f>IF(OR(calendar[[#This Row],[PT_BH]]=1,calendar[[#This Row],[WeekDay]]=1, calendar[[#This Row],[WeekDay]]=7),P1648,P1648+1)</f>
        <v>1177</v>
      </c>
    </row>
    <row r="1650" spans="1:19" x14ac:dyDescent="0.25">
      <c r="A1650" s="2">
        <v>44384</v>
      </c>
      <c r="B1650" s="1">
        <f t="shared" si="128"/>
        <v>28</v>
      </c>
      <c r="C1650">
        <f t="shared" si="130"/>
        <v>7</v>
      </c>
      <c r="D1650" t="str">
        <f t="shared" si="131"/>
        <v>July</v>
      </c>
      <c r="E1650">
        <f t="shared" si="132"/>
        <v>2021</v>
      </c>
      <c r="F1650" t="str">
        <f>CONCATENATE(calendar[[#This Row],[Month]],"/",calendar[[#This Row],[Year]])</f>
        <v>7/2021</v>
      </c>
      <c r="G1650">
        <f>WEEKDAY(calendar[[#This Row],[Date]],1)</f>
        <v>4</v>
      </c>
      <c r="H1650" t="str">
        <f>TEXT(calendar[[#This Row],[WeekDay]],"dddd")</f>
        <v>Wednesday</v>
      </c>
      <c r="I1650">
        <f>IF((INT(calendar[[#This Row],[Count]]/7)-calendar[[#This Row],[Count]]/7)&lt;0,I1649,I1649+1)</f>
        <v>236</v>
      </c>
      <c r="J1650">
        <f t="shared" si="129"/>
        <v>1648</v>
      </c>
      <c r="K1650">
        <f>IF(calendar[[#This Row],[Month]]&lt;4,1,IF(calendar[[#This Row],[Month]]&lt;7,2,IF(calendar[[#This Row],[Month]]&lt;10,3,4)))</f>
        <v>3</v>
      </c>
      <c r="L1650">
        <f>IFERROR(IF(VLOOKUP(calendar[[#This Row],[Date]],BH!A:A,1,)&lt;&gt;"",1,0),0)</f>
        <v>0</v>
      </c>
      <c r="M1650">
        <f>IFERROR(IF(VLOOKUP(calendar[[#This Row],[Date]],BH!C:C,1,)&lt;&gt;"",1,0),0)</f>
        <v>0</v>
      </c>
      <c r="N1650">
        <f>IFERROR(IF(VLOOKUP(calendar[[#This Row],[Date]],BH!E:E,1,)&lt;&gt;"",1,0),0)</f>
        <v>0</v>
      </c>
      <c r="O1650">
        <f>IFERROR(IF(VLOOKUP(calendar[[#This Row],[Date]],BH!G:G,1,)&lt;&gt;"",1,0),0)</f>
        <v>0</v>
      </c>
      <c r="P1650">
        <f>IF(OR(calendar[[#This Row],[UK_BH]]=1,calendar[[#This Row],[WeekDay]]=1, calendar[[#This Row],[WeekDay]]=7),P1649,P1649+1)</f>
        <v>1178</v>
      </c>
      <c r="Q1650">
        <f>IF(OR(calendar[[#This Row],[FR_BH]]=1,calendar[[#This Row],[WeekDay]]=1, calendar[[#This Row],[WeekDay]]=7),P1649,P1649+1)</f>
        <v>1178</v>
      </c>
      <c r="R1650">
        <f>IF(OR(calendar[[#This Row],[SP_BH]]=1,calendar[[#This Row],[WeekDay]]=1, calendar[[#This Row],[WeekDay]]=7),P1649,P1649+1)</f>
        <v>1178</v>
      </c>
      <c r="S1650">
        <f>IF(OR(calendar[[#This Row],[PT_BH]]=1,calendar[[#This Row],[WeekDay]]=1, calendar[[#This Row],[WeekDay]]=7),P1649,P1649+1)</f>
        <v>1178</v>
      </c>
    </row>
    <row r="1651" spans="1:19" x14ac:dyDescent="0.25">
      <c r="A1651" s="2">
        <v>44385</v>
      </c>
      <c r="B1651" s="1">
        <f t="shared" si="128"/>
        <v>28</v>
      </c>
      <c r="C1651">
        <f t="shared" si="130"/>
        <v>7</v>
      </c>
      <c r="D1651" t="str">
        <f t="shared" si="131"/>
        <v>July</v>
      </c>
      <c r="E1651">
        <f t="shared" si="132"/>
        <v>2021</v>
      </c>
      <c r="F1651" t="str">
        <f>CONCATENATE(calendar[[#This Row],[Month]],"/",calendar[[#This Row],[Year]])</f>
        <v>7/2021</v>
      </c>
      <c r="G1651">
        <f>WEEKDAY(calendar[[#This Row],[Date]],1)</f>
        <v>5</v>
      </c>
      <c r="H1651" t="str">
        <f>TEXT(calendar[[#This Row],[WeekDay]],"dddd")</f>
        <v>Thursday</v>
      </c>
      <c r="I1651">
        <f>IF((INT(calendar[[#This Row],[Count]]/7)-calendar[[#This Row],[Count]]/7)&lt;0,I1650,I1650+1)</f>
        <v>236</v>
      </c>
      <c r="J1651">
        <f t="shared" si="129"/>
        <v>1649</v>
      </c>
      <c r="K1651">
        <f>IF(calendar[[#This Row],[Month]]&lt;4,1,IF(calendar[[#This Row],[Month]]&lt;7,2,IF(calendar[[#This Row],[Month]]&lt;10,3,4)))</f>
        <v>3</v>
      </c>
      <c r="L1651">
        <f>IFERROR(IF(VLOOKUP(calendar[[#This Row],[Date]],BH!A:A,1,)&lt;&gt;"",1,0),0)</f>
        <v>0</v>
      </c>
      <c r="M1651">
        <f>IFERROR(IF(VLOOKUP(calendar[[#This Row],[Date]],BH!C:C,1,)&lt;&gt;"",1,0),0)</f>
        <v>0</v>
      </c>
      <c r="N1651">
        <f>IFERROR(IF(VLOOKUP(calendar[[#This Row],[Date]],BH!E:E,1,)&lt;&gt;"",1,0),0)</f>
        <v>0</v>
      </c>
      <c r="O1651">
        <f>IFERROR(IF(VLOOKUP(calendar[[#This Row],[Date]],BH!G:G,1,)&lt;&gt;"",1,0),0)</f>
        <v>0</v>
      </c>
      <c r="P1651">
        <f>IF(OR(calendar[[#This Row],[UK_BH]]=1,calendar[[#This Row],[WeekDay]]=1, calendar[[#This Row],[WeekDay]]=7),P1650,P1650+1)</f>
        <v>1179</v>
      </c>
      <c r="Q1651">
        <f>IF(OR(calendar[[#This Row],[FR_BH]]=1,calendar[[#This Row],[WeekDay]]=1, calendar[[#This Row],[WeekDay]]=7),P1650,P1650+1)</f>
        <v>1179</v>
      </c>
      <c r="R1651">
        <f>IF(OR(calendar[[#This Row],[SP_BH]]=1,calendar[[#This Row],[WeekDay]]=1, calendar[[#This Row],[WeekDay]]=7),P1650,P1650+1)</f>
        <v>1179</v>
      </c>
      <c r="S1651">
        <f>IF(OR(calendar[[#This Row],[PT_BH]]=1,calendar[[#This Row],[WeekDay]]=1, calendar[[#This Row],[WeekDay]]=7),P1650,P1650+1)</f>
        <v>1179</v>
      </c>
    </row>
    <row r="1652" spans="1:19" x14ac:dyDescent="0.25">
      <c r="A1652" s="2">
        <v>44386</v>
      </c>
      <c r="B1652" s="1">
        <f t="shared" si="128"/>
        <v>28</v>
      </c>
      <c r="C1652">
        <f t="shared" si="130"/>
        <v>7</v>
      </c>
      <c r="D1652" t="str">
        <f t="shared" si="131"/>
        <v>July</v>
      </c>
      <c r="E1652">
        <f t="shared" si="132"/>
        <v>2021</v>
      </c>
      <c r="F1652" t="str">
        <f>CONCATENATE(calendar[[#This Row],[Month]],"/",calendar[[#This Row],[Year]])</f>
        <v>7/2021</v>
      </c>
      <c r="G1652">
        <f>WEEKDAY(calendar[[#This Row],[Date]],1)</f>
        <v>6</v>
      </c>
      <c r="H1652" t="str">
        <f>TEXT(calendar[[#This Row],[WeekDay]],"dddd")</f>
        <v>Friday</v>
      </c>
      <c r="I1652">
        <f>IF((INT(calendar[[#This Row],[Count]]/7)-calendar[[#This Row],[Count]]/7)&lt;0,I1651,I1651+1)</f>
        <v>236</v>
      </c>
      <c r="J1652">
        <f t="shared" si="129"/>
        <v>1650</v>
      </c>
      <c r="K1652">
        <f>IF(calendar[[#This Row],[Month]]&lt;4,1,IF(calendar[[#This Row],[Month]]&lt;7,2,IF(calendar[[#This Row],[Month]]&lt;10,3,4)))</f>
        <v>3</v>
      </c>
      <c r="L1652">
        <f>IFERROR(IF(VLOOKUP(calendar[[#This Row],[Date]],BH!A:A,1,)&lt;&gt;"",1,0),0)</f>
        <v>0</v>
      </c>
      <c r="M1652">
        <f>IFERROR(IF(VLOOKUP(calendar[[#This Row],[Date]],BH!C:C,1,)&lt;&gt;"",1,0),0)</f>
        <v>0</v>
      </c>
      <c r="N1652">
        <f>IFERROR(IF(VLOOKUP(calendar[[#This Row],[Date]],BH!E:E,1,)&lt;&gt;"",1,0),0)</f>
        <v>0</v>
      </c>
      <c r="O1652">
        <f>IFERROR(IF(VLOOKUP(calendar[[#This Row],[Date]],BH!G:G,1,)&lt;&gt;"",1,0),0)</f>
        <v>0</v>
      </c>
      <c r="P1652">
        <f>IF(OR(calendar[[#This Row],[UK_BH]]=1,calendar[[#This Row],[WeekDay]]=1, calendar[[#This Row],[WeekDay]]=7),P1651,P1651+1)</f>
        <v>1180</v>
      </c>
      <c r="Q1652">
        <f>IF(OR(calendar[[#This Row],[FR_BH]]=1,calendar[[#This Row],[WeekDay]]=1, calendar[[#This Row],[WeekDay]]=7),P1651,P1651+1)</f>
        <v>1180</v>
      </c>
      <c r="R1652">
        <f>IF(OR(calendar[[#This Row],[SP_BH]]=1,calendar[[#This Row],[WeekDay]]=1, calendar[[#This Row],[WeekDay]]=7),P1651,P1651+1)</f>
        <v>1180</v>
      </c>
      <c r="S1652">
        <f>IF(OR(calendar[[#This Row],[PT_BH]]=1,calendar[[#This Row],[WeekDay]]=1, calendar[[#This Row],[WeekDay]]=7),P1651,P1651+1)</f>
        <v>1180</v>
      </c>
    </row>
    <row r="1653" spans="1:19" x14ac:dyDescent="0.25">
      <c r="A1653" s="2">
        <v>44387</v>
      </c>
      <c r="B1653" s="1">
        <f t="shared" si="128"/>
        <v>28</v>
      </c>
      <c r="C1653">
        <f t="shared" si="130"/>
        <v>7</v>
      </c>
      <c r="D1653" t="str">
        <f t="shared" si="131"/>
        <v>July</v>
      </c>
      <c r="E1653">
        <f t="shared" si="132"/>
        <v>2021</v>
      </c>
      <c r="F1653" t="str">
        <f>CONCATENATE(calendar[[#This Row],[Month]],"/",calendar[[#This Row],[Year]])</f>
        <v>7/2021</v>
      </c>
      <c r="G1653">
        <f>WEEKDAY(calendar[[#This Row],[Date]],1)</f>
        <v>7</v>
      </c>
      <c r="H1653" t="str">
        <f>TEXT(calendar[[#This Row],[WeekDay]],"dddd")</f>
        <v>Saturday</v>
      </c>
      <c r="I1653">
        <f>IF((INT(calendar[[#This Row],[Count]]/7)-calendar[[#This Row],[Count]]/7)&lt;0,I1652,I1652+1)</f>
        <v>236</v>
      </c>
      <c r="J1653">
        <f t="shared" si="129"/>
        <v>1651</v>
      </c>
      <c r="K1653">
        <f>IF(calendar[[#This Row],[Month]]&lt;4,1,IF(calendar[[#This Row],[Month]]&lt;7,2,IF(calendar[[#This Row],[Month]]&lt;10,3,4)))</f>
        <v>3</v>
      </c>
      <c r="L1653">
        <f>IFERROR(IF(VLOOKUP(calendar[[#This Row],[Date]],BH!A:A,1,)&lt;&gt;"",1,0),0)</f>
        <v>0</v>
      </c>
      <c r="M1653">
        <f>IFERROR(IF(VLOOKUP(calendar[[#This Row],[Date]],BH!C:C,1,)&lt;&gt;"",1,0),0)</f>
        <v>0</v>
      </c>
      <c r="N1653">
        <f>IFERROR(IF(VLOOKUP(calendar[[#This Row],[Date]],BH!E:E,1,)&lt;&gt;"",1,0),0)</f>
        <v>0</v>
      </c>
      <c r="O1653">
        <f>IFERROR(IF(VLOOKUP(calendar[[#This Row],[Date]],BH!G:G,1,)&lt;&gt;"",1,0),0)</f>
        <v>0</v>
      </c>
      <c r="P1653">
        <f>IF(OR(calendar[[#This Row],[UK_BH]]=1,calendar[[#This Row],[WeekDay]]=1, calendar[[#This Row],[WeekDay]]=7),P1652,P1652+1)</f>
        <v>1180</v>
      </c>
      <c r="Q1653">
        <f>IF(OR(calendar[[#This Row],[FR_BH]]=1,calendar[[#This Row],[WeekDay]]=1, calendar[[#This Row],[WeekDay]]=7),P1652,P1652+1)</f>
        <v>1180</v>
      </c>
      <c r="R1653">
        <f>IF(OR(calendar[[#This Row],[SP_BH]]=1,calendar[[#This Row],[WeekDay]]=1, calendar[[#This Row],[WeekDay]]=7),P1652,P1652+1)</f>
        <v>1180</v>
      </c>
      <c r="S1653">
        <f>IF(OR(calendar[[#This Row],[PT_BH]]=1,calendar[[#This Row],[WeekDay]]=1, calendar[[#This Row],[WeekDay]]=7),P1652,P1652+1)</f>
        <v>1180</v>
      </c>
    </row>
    <row r="1654" spans="1:19" x14ac:dyDescent="0.25">
      <c r="A1654" s="2">
        <v>44388</v>
      </c>
      <c r="B1654" s="1">
        <f t="shared" si="128"/>
        <v>29</v>
      </c>
      <c r="C1654">
        <f t="shared" si="130"/>
        <v>7</v>
      </c>
      <c r="D1654" t="str">
        <f t="shared" si="131"/>
        <v>July</v>
      </c>
      <c r="E1654">
        <f t="shared" si="132"/>
        <v>2021</v>
      </c>
      <c r="F1654" t="str">
        <f>CONCATENATE(calendar[[#This Row],[Month]],"/",calendar[[#This Row],[Year]])</f>
        <v>7/2021</v>
      </c>
      <c r="G1654">
        <f>WEEKDAY(calendar[[#This Row],[Date]],1)</f>
        <v>1</v>
      </c>
      <c r="H1654" t="str">
        <f>TEXT(calendar[[#This Row],[WeekDay]],"dddd")</f>
        <v>Sunday</v>
      </c>
      <c r="I1654">
        <f>IF((INT(calendar[[#This Row],[Count]]/7)-calendar[[#This Row],[Count]]/7)&lt;0,I1653,I1653+1)</f>
        <v>237</v>
      </c>
      <c r="J1654">
        <f t="shared" si="129"/>
        <v>1652</v>
      </c>
      <c r="K1654">
        <f>IF(calendar[[#This Row],[Month]]&lt;4,1,IF(calendar[[#This Row],[Month]]&lt;7,2,IF(calendar[[#This Row],[Month]]&lt;10,3,4)))</f>
        <v>3</v>
      </c>
      <c r="L1654">
        <f>IFERROR(IF(VLOOKUP(calendar[[#This Row],[Date]],BH!A:A,1,)&lt;&gt;"",1,0),0)</f>
        <v>0</v>
      </c>
      <c r="M1654">
        <f>IFERROR(IF(VLOOKUP(calendar[[#This Row],[Date]],BH!C:C,1,)&lt;&gt;"",1,0),0)</f>
        <v>0</v>
      </c>
      <c r="N1654">
        <f>IFERROR(IF(VLOOKUP(calendar[[#This Row],[Date]],BH!E:E,1,)&lt;&gt;"",1,0),0)</f>
        <v>0</v>
      </c>
      <c r="O1654">
        <f>IFERROR(IF(VLOOKUP(calendar[[#This Row],[Date]],BH!G:G,1,)&lt;&gt;"",1,0),0)</f>
        <v>0</v>
      </c>
      <c r="P1654">
        <f>IF(OR(calendar[[#This Row],[UK_BH]]=1,calendar[[#This Row],[WeekDay]]=1, calendar[[#This Row],[WeekDay]]=7),P1653,P1653+1)</f>
        <v>1180</v>
      </c>
      <c r="Q1654">
        <f>IF(OR(calendar[[#This Row],[FR_BH]]=1,calendar[[#This Row],[WeekDay]]=1, calendar[[#This Row],[WeekDay]]=7),P1653,P1653+1)</f>
        <v>1180</v>
      </c>
      <c r="R1654">
        <f>IF(OR(calendar[[#This Row],[SP_BH]]=1,calendar[[#This Row],[WeekDay]]=1, calendar[[#This Row],[WeekDay]]=7),P1653,P1653+1)</f>
        <v>1180</v>
      </c>
      <c r="S1654">
        <f>IF(OR(calendar[[#This Row],[PT_BH]]=1,calendar[[#This Row],[WeekDay]]=1, calendar[[#This Row],[WeekDay]]=7),P1653,P1653+1)</f>
        <v>1180</v>
      </c>
    </row>
    <row r="1655" spans="1:19" x14ac:dyDescent="0.25">
      <c r="A1655" s="2">
        <v>44389</v>
      </c>
      <c r="B1655" s="1">
        <f t="shared" si="128"/>
        <v>29</v>
      </c>
      <c r="C1655">
        <f t="shared" si="130"/>
        <v>7</v>
      </c>
      <c r="D1655" t="str">
        <f t="shared" si="131"/>
        <v>July</v>
      </c>
      <c r="E1655">
        <f t="shared" si="132"/>
        <v>2021</v>
      </c>
      <c r="F1655" t="str">
        <f>CONCATENATE(calendar[[#This Row],[Month]],"/",calendar[[#This Row],[Year]])</f>
        <v>7/2021</v>
      </c>
      <c r="G1655">
        <f>WEEKDAY(calendar[[#This Row],[Date]],1)</f>
        <v>2</v>
      </c>
      <c r="H1655" t="str">
        <f>TEXT(calendar[[#This Row],[WeekDay]],"dddd")</f>
        <v>Monday</v>
      </c>
      <c r="I1655">
        <f>IF((INT(calendar[[#This Row],[Count]]/7)-calendar[[#This Row],[Count]]/7)&lt;0,I1654,I1654+1)</f>
        <v>237</v>
      </c>
      <c r="J1655">
        <f t="shared" si="129"/>
        <v>1653</v>
      </c>
      <c r="K1655">
        <f>IF(calendar[[#This Row],[Month]]&lt;4,1,IF(calendar[[#This Row],[Month]]&lt;7,2,IF(calendar[[#This Row],[Month]]&lt;10,3,4)))</f>
        <v>3</v>
      </c>
      <c r="L1655">
        <f>IFERROR(IF(VLOOKUP(calendar[[#This Row],[Date]],BH!A:A,1,)&lt;&gt;"",1,0),0)</f>
        <v>0</v>
      </c>
      <c r="M1655">
        <f>IFERROR(IF(VLOOKUP(calendar[[#This Row],[Date]],BH!C:C,1,)&lt;&gt;"",1,0),0)</f>
        <v>0</v>
      </c>
      <c r="N1655">
        <f>IFERROR(IF(VLOOKUP(calendar[[#This Row],[Date]],BH!E:E,1,)&lt;&gt;"",1,0),0)</f>
        <v>0</v>
      </c>
      <c r="O1655">
        <f>IFERROR(IF(VLOOKUP(calendar[[#This Row],[Date]],BH!G:G,1,)&lt;&gt;"",1,0),0)</f>
        <v>0</v>
      </c>
      <c r="P1655">
        <f>IF(OR(calendar[[#This Row],[UK_BH]]=1,calendar[[#This Row],[WeekDay]]=1, calendar[[#This Row],[WeekDay]]=7),P1654,P1654+1)</f>
        <v>1181</v>
      </c>
      <c r="Q1655">
        <f>IF(OR(calendar[[#This Row],[FR_BH]]=1,calendar[[#This Row],[WeekDay]]=1, calendar[[#This Row],[WeekDay]]=7),P1654,P1654+1)</f>
        <v>1181</v>
      </c>
      <c r="R1655">
        <f>IF(OR(calendar[[#This Row],[SP_BH]]=1,calendar[[#This Row],[WeekDay]]=1, calendar[[#This Row],[WeekDay]]=7),P1654,P1654+1)</f>
        <v>1181</v>
      </c>
      <c r="S1655">
        <f>IF(OR(calendar[[#This Row],[PT_BH]]=1,calendar[[#This Row],[WeekDay]]=1, calendar[[#This Row],[WeekDay]]=7),P1654,P1654+1)</f>
        <v>1181</v>
      </c>
    </row>
    <row r="1656" spans="1:19" x14ac:dyDescent="0.25">
      <c r="A1656" s="2">
        <v>44390</v>
      </c>
      <c r="B1656" s="1">
        <f t="shared" si="128"/>
        <v>29</v>
      </c>
      <c r="C1656">
        <f t="shared" si="130"/>
        <v>7</v>
      </c>
      <c r="D1656" t="str">
        <f t="shared" si="131"/>
        <v>July</v>
      </c>
      <c r="E1656">
        <f t="shared" si="132"/>
        <v>2021</v>
      </c>
      <c r="F1656" t="str">
        <f>CONCATENATE(calendar[[#This Row],[Month]],"/",calendar[[#This Row],[Year]])</f>
        <v>7/2021</v>
      </c>
      <c r="G1656">
        <f>WEEKDAY(calendar[[#This Row],[Date]],1)</f>
        <v>3</v>
      </c>
      <c r="H1656" t="str">
        <f>TEXT(calendar[[#This Row],[WeekDay]],"dddd")</f>
        <v>Tuesday</v>
      </c>
      <c r="I1656">
        <f>IF((INT(calendar[[#This Row],[Count]]/7)-calendar[[#This Row],[Count]]/7)&lt;0,I1655,I1655+1)</f>
        <v>237</v>
      </c>
      <c r="J1656">
        <f t="shared" si="129"/>
        <v>1654</v>
      </c>
      <c r="K1656">
        <f>IF(calendar[[#This Row],[Month]]&lt;4,1,IF(calendar[[#This Row],[Month]]&lt;7,2,IF(calendar[[#This Row],[Month]]&lt;10,3,4)))</f>
        <v>3</v>
      </c>
      <c r="L1656">
        <f>IFERROR(IF(VLOOKUP(calendar[[#This Row],[Date]],BH!A:A,1,)&lt;&gt;"",1,0),0)</f>
        <v>0</v>
      </c>
      <c r="M1656">
        <f>IFERROR(IF(VLOOKUP(calendar[[#This Row],[Date]],BH!C:C,1,)&lt;&gt;"",1,0),0)</f>
        <v>0</v>
      </c>
      <c r="N1656">
        <f>IFERROR(IF(VLOOKUP(calendar[[#This Row],[Date]],BH!E:E,1,)&lt;&gt;"",1,0),0)</f>
        <v>0</v>
      </c>
      <c r="O1656">
        <f>IFERROR(IF(VLOOKUP(calendar[[#This Row],[Date]],BH!G:G,1,)&lt;&gt;"",1,0),0)</f>
        <v>0</v>
      </c>
      <c r="P1656">
        <f>IF(OR(calendar[[#This Row],[UK_BH]]=1,calendar[[#This Row],[WeekDay]]=1, calendar[[#This Row],[WeekDay]]=7),P1655,P1655+1)</f>
        <v>1182</v>
      </c>
      <c r="Q1656">
        <f>IF(OR(calendar[[#This Row],[FR_BH]]=1,calendar[[#This Row],[WeekDay]]=1, calendar[[#This Row],[WeekDay]]=7),P1655,P1655+1)</f>
        <v>1182</v>
      </c>
      <c r="R1656">
        <f>IF(OR(calendar[[#This Row],[SP_BH]]=1,calendar[[#This Row],[WeekDay]]=1, calendar[[#This Row],[WeekDay]]=7),P1655,P1655+1)</f>
        <v>1182</v>
      </c>
      <c r="S1656">
        <f>IF(OR(calendar[[#This Row],[PT_BH]]=1,calendar[[#This Row],[WeekDay]]=1, calendar[[#This Row],[WeekDay]]=7),P1655,P1655+1)</f>
        <v>1182</v>
      </c>
    </row>
    <row r="1657" spans="1:19" x14ac:dyDescent="0.25">
      <c r="A1657" s="2">
        <v>44391</v>
      </c>
      <c r="B1657" s="1">
        <f t="shared" si="128"/>
        <v>29</v>
      </c>
      <c r="C1657">
        <f t="shared" si="130"/>
        <v>7</v>
      </c>
      <c r="D1657" t="str">
        <f t="shared" si="131"/>
        <v>July</v>
      </c>
      <c r="E1657">
        <f t="shared" si="132"/>
        <v>2021</v>
      </c>
      <c r="F1657" t="str">
        <f>CONCATENATE(calendar[[#This Row],[Month]],"/",calendar[[#This Row],[Year]])</f>
        <v>7/2021</v>
      </c>
      <c r="G1657">
        <f>WEEKDAY(calendar[[#This Row],[Date]],1)</f>
        <v>4</v>
      </c>
      <c r="H1657" t="str">
        <f>TEXT(calendar[[#This Row],[WeekDay]],"dddd")</f>
        <v>Wednesday</v>
      </c>
      <c r="I1657">
        <f>IF((INT(calendar[[#This Row],[Count]]/7)-calendar[[#This Row],[Count]]/7)&lt;0,I1656,I1656+1)</f>
        <v>237</v>
      </c>
      <c r="J1657">
        <f t="shared" si="129"/>
        <v>1655</v>
      </c>
      <c r="K1657">
        <f>IF(calendar[[#This Row],[Month]]&lt;4,1,IF(calendar[[#This Row],[Month]]&lt;7,2,IF(calendar[[#This Row],[Month]]&lt;10,3,4)))</f>
        <v>3</v>
      </c>
      <c r="L1657">
        <f>IFERROR(IF(VLOOKUP(calendar[[#This Row],[Date]],BH!A:A,1,)&lt;&gt;"",1,0),0)</f>
        <v>0</v>
      </c>
      <c r="M1657">
        <f>IFERROR(IF(VLOOKUP(calendar[[#This Row],[Date]],BH!C:C,1,)&lt;&gt;"",1,0),0)</f>
        <v>0</v>
      </c>
      <c r="N1657">
        <f>IFERROR(IF(VLOOKUP(calendar[[#This Row],[Date]],BH!E:E,1,)&lt;&gt;"",1,0),0)</f>
        <v>0</v>
      </c>
      <c r="O1657">
        <f>IFERROR(IF(VLOOKUP(calendar[[#This Row],[Date]],BH!G:G,1,)&lt;&gt;"",1,0),0)</f>
        <v>0</v>
      </c>
      <c r="P1657">
        <f>IF(OR(calendar[[#This Row],[UK_BH]]=1,calendar[[#This Row],[WeekDay]]=1, calendar[[#This Row],[WeekDay]]=7),P1656,P1656+1)</f>
        <v>1183</v>
      </c>
      <c r="Q1657">
        <f>IF(OR(calendar[[#This Row],[FR_BH]]=1,calendar[[#This Row],[WeekDay]]=1, calendar[[#This Row],[WeekDay]]=7),P1656,P1656+1)</f>
        <v>1183</v>
      </c>
      <c r="R1657">
        <f>IF(OR(calendar[[#This Row],[SP_BH]]=1,calendar[[#This Row],[WeekDay]]=1, calendar[[#This Row],[WeekDay]]=7),P1656,P1656+1)</f>
        <v>1183</v>
      </c>
      <c r="S1657">
        <f>IF(OR(calendar[[#This Row],[PT_BH]]=1,calendar[[#This Row],[WeekDay]]=1, calendar[[#This Row],[WeekDay]]=7),P1656,P1656+1)</f>
        <v>1183</v>
      </c>
    </row>
    <row r="1658" spans="1:19" x14ac:dyDescent="0.25">
      <c r="A1658" s="2">
        <v>44392</v>
      </c>
      <c r="B1658" s="1">
        <f t="shared" si="128"/>
        <v>29</v>
      </c>
      <c r="C1658">
        <f t="shared" si="130"/>
        <v>7</v>
      </c>
      <c r="D1658" t="str">
        <f t="shared" si="131"/>
        <v>July</v>
      </c>
      <c r="E1658">
        <f t="shared" si="132"/>
        <v>2021</v>
      </c>
      <c r="F1658" t="str">
        <f>CONCATENATE(calendar[[#This Row],[Month]],"/",calendar[[#This Row],[Year]])</f>
        <v>7/2021</v>
      </c>
      <c r="G1658">
        <f>WEEKDAY(calendar[[#This Row],[Date]],1)</f>
        <v>5</v>
      </c>
      <c r="H1658" t="str">
        <f>TEXT(calendar[[#This Row],[WeekDay]],"dddd")</f>
        <v>Thursday</v>
      </c>
      <c r="I1658">
        <f>IF((INT(calendar[[#This Row],[Count]]/7)-calendar[[#This Row],[Count]]/7)&lt;0,I1657,I1657+1)</f>
        <v>237</v>
      </c>
      <c r="J1658">
        <f t="shared" si="129"/>
        <v>1656</v>
      </c>
      <c r="K1658">
        <f>IF(calendar[[#This Row],[Month]]&lt;4,1,IF(calendar[[#This Row],[Month]]&lt;7,2,IF(calendar[[#This Row],[Month]]&lt;10,3,4)))</f>
        <v>3</v>
      </c>
      <c r="L1658">
        <f>IFERROR(IF(VLOOKUP(calendar[[#This Row],[Date]],BH!A:A,1,)&lt;&gt;"",1,0),0)</f>
        <v>0</v>
      </c>
      <c r="M1658">
        <f>IFERROR(IF(VLOOKUP(calendar[[#This Row],[Date]],BH!C:C,1,)&lt;&gt;"",1,0),0)</f>
        <v>0</v>
      </c>
      <c r="N1658">
        <f>IFERROR(IF(VLOOKUP(calendar[[#This Row],[Date]],BH!E:E,1,)&lt;&gt;"",1,0),0)</f>
        <v>0</v>
      </c>
      <c r="O1658">
        <f>IFERROR(IF(VLOOKUP(calendar[[#This Row],[Date]],BH!G:G,1,)&lt;&gt;"",1,0),0)</f>
        <v>0</v>
      </c>
      <c r="P1658">
        <f>IF(OR(calendar[[#This Row],[UK_BH]]=1,calendar[[#This Row],[WeekDay]]=1, calendar[[#This Row],[WeekDay]]=7),P1657,P1657+1)</f>
        <v>1184</v>
      </c>
      <c r="Q1658">
        <f>IF(OR(calendar[[#This Row],[FR_BH]]=1,calendar[[#This Row],[WeekDay]]=1, calendar[[#This Row],[WeekDay]]=7),P1657,P1657+1)</f>
        <v>1184</v>
      </c>
      <c r="R1658">
        <f>IF(OR(calendar[[#This Row],[SP_BH]]=1,calendar[[#This Row],[WeekDay]]=1, calendar[[#This Row],[WeekDay]]=7),P1657,P1657+1)</f>
        <v>1184</v>
      </c>
      <c r="S1658">
        <f>IF(OR(calendar[[#This Row],[PT_BH]]=1,calendar[[#This Row],[WeekDay]]=1, calendar[[#This Row],[WeekDay]]=7),P1657,P1657+1)</f>
        <v>1184</v>
      </c>
    </row>
    <row r="1659" spans="1:19" x14ac:dyDescent="0.25">
      <c r="A1659" s="2">
        <v>44393</v>
      </c>
      <c r="B1659" s="1">
        <f t="shared" si="128"/>
        <v>29</v>
      </c>
      <c r="C1659">
        <f t="shared" si="130"/>
        <v>7</v>
      </c>
      <c r="D1659" t="str">
        <f t="shared" si="131"/>
        <v>July</v>
      </c>
      <c r="E1659">
        <f t="shared" si="132"/>
        <v>2021</v>
      </c>
      <c r="F1659" t="str">
        <f>CONCATENATE(calendar[[#This Row],[Month]],"/",calendar[[#This Row],[Year]])</f>
        <v>7/2021</v>
      </c>
      <c r="G1659">
        <f>WEEKDAY(calendar[[#This Row],[Date]],1)</f>
        <v>6</v>
      </c>
      <c r="H1659" t="str">
        <f>TEXT(calendar[[#This Row],[WeekDay]],"dddd")</f>
        <v>Friday</v>
      </c>
      <c r="I1659">
        <f>IF((INT(calendar[[#This Row],[Count]]/7)-calendar[[#This Row],[Count]]/7)&lt;0,I1658,I1658+1)</f>
        <v>237</v>
      </c>
      <c r="J1659">
        <f t="shared" si="129"/>
        <v>1657</v>
      </c>
      <c r="K1659">
        <f>IF(calendar[[#This Row],[Month]]&lt;4,1,IF(calendar[[#This Row],[Month]]&lt;7,2,IF(calendar[[#This Row],[Month]]&lt;10,3,4)))</f>
        <v>3</v>
      </c>
      <c r="L1659">
        <f>IFERROR(IF(VLOOKUP(calendar[[#This Row],[Date]],BH!A:A,1,)&lt;&gt;"",1,0),0)</f>
        <v>0</v>
      </c>
      <c r="M1659">
        <f>IFERROR(IF(VLOOKUP(calendar[[#This Row],[Date]],BH!C:C,1,)&lt;&gt;"",1,0),0)</f>
        <v>0</v>
      </c>
      <c r="N1659">
        <f>IFERROR(IF(VLOOKUP(calendar[[#This Row],[Date]],BH!E:E,1,)&lt;&gt;"",1,0),0)</f>
        <v>0</v>
      </c>
      <c r="O1659">
        <f>IFERROR(IF(VLOOKUP(calendar[[#This Row],[Date]],BH!G:G,1,)&lt;&gt;"",1,0),0)</f>
        <v>0</v>
      </c>
      <c r="P1659">
        <f>IF(OR(calendar[[#This Row],[UK_BH]]=1,calendar[[#This Row],[WeekDay]]=1, calendar[[#This Row],[WeekDay]]=7),P1658,P1658+1)</f>
        <v>1185</v>
      </c>
      <c r="Q1659">
        <f>IF(OR(calendar[[#This Row],[FR_BH]]=1,calendar[[#This Row],[WeekDay]]=1, calendar[[#This Row],[WeekDay]]=7),P1658,P1658+1)</f>
        <v>1185</v>
      </c>
      <c r="R1659">
        <f>IF(OR(calendar[[#This Row],[SP_BH]]=1,calendar[[#This Row],[WeekDay]]=1, calendar[[#This Row],[WeekDay]]=7),P1658,P1658+1)</f>
        <v>1185</v>
      </c>
      <c r="S1659">
        <f>IF(OR(calendar[[#This Row],[PT_BH]]=1,calendar[[#This Row],[WeekDay]]=1, calendar[[#This Row],[WeekDay]]=7),P1658,P1658+1)</f>
        <v>1185</v>
      </c>
    </row>
    <row r="1660" spans="1:19" x14ac:dyDescent="0.25">
      <c r="A1660" s="2">
        <v>44394</v>
      </c>
      <c r="B1660" s="1">
        <f t="shared" si="128"/>
        <v>29</v>
      </c>
      <c r="C1660">
        <f t="shared" si="130"/>
        <v>7</v>
      </c>
      <c r="D1660" t="str">
        <f t="shared" si="131"/>
        <v>July</v>
      </c>
      <c r="E1660">
        <f t="shared" si="132"/>
        <v>2021</v>
      </c>
      <c r="F1660" t="str">
        <f>CONCATENATE(calendar[[#This Row],[Month]],"/",calendar[[#This Row],[Year]])</f>
        <v>7/2021</v>
      </c>
      <c r="G1660">
        <f>WEEKDAY(calendar[[#This Row],[Date]],1)</f>
        <v>7</v>
      </c>
      <c r="H1660" t="str">
        <f>TEXT(calendar[[#This Row],[WeekDay]],"dddd")</f>
        <v>Saturday</v>
      </c>
      <c r="I1660">
        <f>IF((INT(calendar[[#This Row],[Count]]/7)-calendar[[#This Row],[Count]]/7)&lt;0,I1659,I1659+1)</f>
        <v>237</v>
      </c>
      <c r="J1660">
        <f t="shared" si="129"/>
        <v>1658</v>
      </c>
      <c r="K1660">
        <f>IF(calendar[[#This Row],[Month]]&lt;4,1,IF(calendar[[#This Row],[Month]]&lt;7,2,IF(calendar[[#This Row],[Month]]&lt;10,3,4)))</f>
        <v>3</v>
      </c>
      <c r="L1660">
        <f>IFERROR(IF(VLOOKUP(calendar[[#This Row],[Date]],BH!A:A,1,)&lt;&gt;"",1,0),0)</f>
        <v>0</v>
      </c>
      <c r="M1660">
        <f>IFERROR(IF(VLOOKUP(calendar[[#This Row],[Date]],BH!C:C,1,)&lt;&gt;"",1,0),0)</f>
        <v>0</v>
      </c>
      <c r="N1660">
        <f>IFERROR(IF(VLOOKUP(calendar[[#This Row],[Date]],BH!E:E,1,)&lt;&gt;"",1,0),0)</f>
        <v>0</v>
      </c>
      <c r="O1660">
        <f>IFERROR(IF(VLOOKUP(calendar[[#This Row],[Date]],BH!G:G,1,)&lt;&gt;"",1,0),0)</f>
        <v>0</v>
      </c>
      <c r="P1660">
        <f>IF(OR(calendar[[#This Row],[UK_BH]]=1,calendar[[#This Row],[WeekDay]]=1, calendar[[#This Row],[WeekDay]]=7),P1659,P1659+1)</f>
        <v>1185</v>
      </c>
      <c r="Q1660">
        <f>IF(OR(calendar[[#This Row],[FR_BH]]=1,calendar[[#This Row],[WeekDay]]=1, calendar[[#This Row],[WeekDay]]=7),P1659,P1659+1)</f>
        <v>1185</v>
      </c>
      <c r="R1660">
        <f>IF(OR(calendar[[#This Row],[SP_BH]]=1,calendar[[#This Row],[WeekDay]]=1, calendar[[#This Row],[WeekDay]]=7),P1659,P1659+1)</f>
        <v>1185</v>
      </c>
      <c r="S1660">
        <f>IF(OR(calendar[[#This Row],[PT_BH]]=1,calendar[[#This Row],[WeekDay]]=1, calendar[[#This Row],[WeekDay]]=7),P1659,P1659+1)</f>
        <v>1185</v>
      </c>
    </row>
    <row r="1661" spans="1:19" x14ac:dyDescent="0.25">
      <c r="A1661" s="2">
        <v>44395</v>
      </c>
      <c r="B1661" s="1">
        <f t="shared" si="128"/>
        <v>30</v>
      </c>
      <c r="C1661">
        <f t="shared" si="130"/>
        <v>7</v>
      </c>
      <c r="D1661" t="str">
        <f t="shared" si="131"/>
        <v>July</v>
      </c>
      <c r="E1661">
        <f t="shared" si="132"/>
        <v>2021</v>
      </c>
      <c r="F1661" t="str">
        <f>CONCATENATE(calendar[[#This Row],[Month]],"/",calendar[[#This Row],[Year]])</f>
        <v>7/2021</v>
      </c>
      <c r="G1661">
        <f>WEEKDAY(calendar[[#This Row],[Date]],1)</f>
        <v>1</v>
      </c>
      <c r="H1661" t="str">
        <f>TEXT(calendar[[#This Row],[WeekDay]],"dddd")</f>
        <v>Sunday</v>
      </c>
      <c r="I1661">
        <f>IF((INT(calendar[[#This Row],[Count]]/7)-calendar[[#This Row],[Count]]/7)&lt;0,I1660,I1660+1)</f>
        <v>238</v>
      </c>
      <c r="J1661">
        <f t="shared" si="129"/>
        <v>1659</v>
      </c>
      <c r="K1661">
        <f>IF(calendar[[#This Row],[Month]]&lt;4,1,IF(calendar[[#This Row],[Month]]&lt;7,2,IF(calendar[[#This Row],[Month]]&lt;10,3,4)))</f>
        <v>3</v>
      </c>
      <c r="L1661">
        <f>IFERROR(IF(VLOOKUP(calendar[[#This Row],[Date]],BH!A:A,1,)&lt;&gt;"",1,0),0)</f>
        <v>0</v>
      </c>
      <c r="M1661">
        <f>IFERROR(IF(VLOOKUP(calendar[[#This Row],[Date]],BH!C:C,1,)&lt;&gt;"",1,0),0)</f>
        <v>0</v>
      </c>
      <c r="N1661">
        <f>IFERROR(IF(VLOOKUP(calendar[[#This Row],[Date]],BH!E:E,1,)&lt;&gt;"",1,0),0)</f>
        <v>0</v>
      </c>
      <c r="O1661">
        <f>IFERROR(IF(VLOOKUP(calendar[[#This Row],[Date]],BH!G:G,1,)&lt;&gt;"",1,0),0)</f>
        <v>0</v>
      </c>
      <c r="P1661">
        <f>IF(OR(calendar[[#This Row],[UK_BH]]=1,calendar[[#This Row],[WeekDay]]=1, calendar[[#This Row],[WeekDay]]=7),P1660,P1660+1)</f>
        <v>1185</v>
      </c>
      <c r="Q1661">
        <f>IF(OR(calendar[[#This Row],[FR_BH]]=1,calendar[[#This Row],[WeekDay]]=1, calendar[[#This Row],[WeekDay]]=7),P1660,P1660+1)</f>
        <v>1185</v>
      </c>
      <c r="R1661">
        <f>IF(OR(calendar[[#This Row],[SP_BH]]=1,calendar[[#This Row],[WeekDay]]=1, calendar[[#This Row],[WeekDay]]=7),P1660,P1660+1)</f>
        <v>1185</v>
      </c>
      <c r="S1661">
        <f>IF(OR(calendar[[#This Row],[PT_BH]]=1,calendar[[#This Row],[WeekDay]]=1, calendar[[#This Row],[WeekDay]]=7),P1660,P1660+1)</f>
        <v>1185</v>
      </c>
    </row>
    <row r="1662" spans="1:19" x14ac:dyDescent="0.25">
      <c r="A1662" s="2">
        <v>44396</v>
      </c>
      <c r="B1662" s="1">
        <f t="shared" si="128"/>
        <v>30</v>
      </c>
      <c r="C1662">
        <f t="shared" si="130"/>
        <v>7</v>
      </c>
      <c r="D1662" t="str">
        <f t="shared" si="131"/>
        <v>July</v>
      </c>
      <c r="E1662">
        <f t="shared" si="132"/>
        <v>2021</v>
      </c>
      <c r="F1662" t="str">
        <f>CONCATENATE(calendar[[#This Row],[Month]],"/",calendar[[#This Row],[Year]])</f>
        <v>7/2021</v>
      </c>
      <c r="G1662">
        <f>WEEKDAY(calendar[[#This Row],[Date]],1)</f>
        <v>2</v>
      </c>
      <c r="H1662" t="str">
        <f>TEXT(calendar[[#This Row],[WeekDay]],"dddd")</f>
        <v>Monday</v>
      </c>
      <c r="I1662">
        <f>IF((INT(calendar[[#This Row],[Count]]/7)-calendar[[#This Row],[Count]]/7)&lt;0,I1661,I1661+1)</f>
        <v>238</v>
      </c>
      <c r="J1662">
        <f t="shared" si="129"/>
        <v>1660</v>
      </c>
      <c r="K1662">
        <f>IF(calendar[[#This Row],[Month]]&lt;4,1,IF(calendar[[#This Row],[Month]]&lt;7,2,IF(calendar[[#This Row],[Month]]&lt;10,3,4)))</f>
        <v>3</v>
      </c>
      <c r="L1662">
        <f>IFERROR(IF(VLOOKUP(calendar[[#This Row],[Date]],BH!A:A,1,)&lt;&gt;"",1,0),0)</f>
        <v>0</v>
      </c>
      <c r="M1662">
        <f>IFERROR(IF(VLOOKUP(calendar[[#This Row],[Date]],BH!C:C,1,)&lt;&gt;"",1,0),0)</f>
        <v>0</v>
      </c>
      <c r="N1662">
        <f>IFERROR(IF(VLOOKUP(calendar[[#This Row],[Date]],BH!E:E,1,)&lt;&gt;"",1,0),0)</f>
        <v>0</v>
      </c>
      <c r="O1662">
        <f>IFERROR(IF(VLOOKUP(calendar[[#This Row],[Date]],BH!G:G,1,)&lt;&gt;"",1,0),0)</f>
        <v>0</v>
      </c>
      <c r="P1662">
        <f>IF(OR(calendar[[#This Row],[UK_BH]]=1,calendar[[#This Row],[WeekDay]]=1, calendar[[#This Row],[WeekDay]]=7),P1661,P1661+1)</f>
        <v>1186</v>
      </c>
      <c r="Q1662">
        <f>IF(OR(calendar[[#This Row],[FR_BH]]=1,calendar[[#This Row],[WeekDay]]=1, calendar[[#This Row],[WeekDay]]=7),P1661,P1661+1)</f>
        <v>1186</v>
      </c>
      <c r="R1662">
        <f>IF(OR(calendar[[#This Row],[SP_BH]]=1,calendar[[#This Row],[WeekDay]]=1, calendar[[#This Row],[WeekDay]]=7),P1661,P1661+1)</f>
        <v>1186</v>
      </c>
      <c r="S1662">
        <f>IF(OR(calendar[[#This Row],[PT_BH]]=1,calendar[[#This Row],[WeekDay]]=1, calendar[[#This Row],[WeekDay]]=7),P1661,P1661+1)</f>
        <v>1186</v>
      </c>
    </row>
    <row r="1663" spans="1:19" x14ac:dyDescent="0.25">
      <c r="A1663" s="2">
        <v>44397</v>
      </c>
      <c r="B1663" s="1">
        <f t="shared" si="128"/>
        <v>30</v>
      </c>
      <c r="C1663">
        <f t="shared" si="130"/>
        <v>7</v>
      </c>
      <c r="D1663" t="str">
        <f t="shared" si="131"/>
        <v>July</v>
      </c>
      <c r="E1663">
        <f t="shared" si="132"/>
        <v>2021</v>
      </c>
      <c r="F1663" t="str">
        <f>CONCATENATE(calendar[[#This Row],[Month]],"/",calendar[[#This Row],[Year]])</f>
        <v>7/2021</v>
      </c>
      <c r="G1663">
        <f>WEEKDAY(calendar[[#This Row],[Date]],1)</f>
        <v>3</v>
      </c>
      <c r="H1663" t="str">
        <f>TEXT(calendar[[#This Row],[WeekDay]],"dddd")</f>
        <v>Tuesday</v>
      </c>
      <c r="I1663">
        <f>IF((INT(calendar[[#This Row],[Count]]/7)-calendar[[#This Row],[Count]]/7)&lt;0,I1662,I1662+1)</f>
        <v>238</v>
      </c>
      <c r="J1663">
        <f t="shared" si="129"/>
        <v>1661</v>
      </c>
      <c r="K1663">
        <f>IF(calendar[[#This Row],[Month]]&lt;4,1,IF(calendar[[#This Row],[Month]]&lt;7,2,IF(calendar[[#This Row],[Month]]&lt;10,3,4)))</f>
        <v>3</v>
      </c>
      <c r="L1663">
        <f>IFERROR(IF(VLOOKUP(calendar[[#This Row],[Date]],BH!A:A,1,)&lt;&gt;"",1,0),0)</f>
        <v>0</v>
      </c>
      <c r="M1663">
        <f>IFERROR(IF(VLOOKUP(calendar[[#This Row],[Date]],BH!C:C,1,)&lt;&gt;"",1,0),0)</f>
        <v>0</v>
      </c>
      <c r="N1663">
        <f>IFERROR(IF(VLOOKUP(calendar[[#This Row],[Date]],BH!E:E,1,)&lt;&gt;"",1,0),0)</f>
        <v>0</v>
      </c>
      <c r="O1663">
        <f>IFERROR(IF(VLOOKUP(calendar[[#This Row],[Date]],BH!G:G,1,)&lt;&gt;"",1,0),0)</f>
        <v>0</v>
      </c>
      <c r="P1663">
        <f>IF(OR(calendar[[#This Row],[UK_BH]]=1,calendar[[#This Row],[WeekDay]]=1, calendar[[#This Row],[WeekDay]]=7),P1662,P1662+1)</f>
        <v>1187</v>
      </c>
      <c r="Q1663">
        <f>IF(OR(calendar[[#This Row],[FR_BH]]=1,calendar[[#This Row],[WeekDay]]=1, calendar[[#This Row],[WeekDay]]=7),P1662,P1662+1)</f>
        <v>1187</v>
      </c>
      <c r="R1663">
        <f>IF(OR(calendar[[#This Row],[SP_BH]]=1,calendar[[#This Row],[WeekDay]]=1, calendar[[#This Row],[WeekDay]]=7),P1662,P1662+1)</f>
        <v>1187</v>
      </c>
      <c r="S1663">
        <f>IF(OR(calendar[[#This Row],[PT_BH]]=1,calendar[[#This Row],[WeekDay]]=1, calendar[[#This Row],[WeekDay]]=7),P1662,P1662+1)</f>
        <v>1187</v>
      </c>
    </row>
    <row r="1664" spans="1:19" x14ac:dyDescent="0.25">
      <c r="A1664" s="2">
        <v>44398</v>
      </c>
      <c r="B1664" s="1">
        <f t="shared" si="128"/>
        <v>30</v>
      </c>
      <c r="C1664">
        <f t="shared" si="130"/>
        <v>7</v>
      </c>
      <c r="D1664" t="str">
        <f t="shared" si="131"/>
        <v>July</v>
      </c>
      <c r="E1664">
        <f t="shared" si="132"/>
        <v>2021</v>
      </c>
      <c r="F1664" t="str">
        <f>CONCATENATE(calendar[[#This Row],[Month]],"/",calendar[[#This Row],[Year]])</f>
        <v>7/2021</v>
      </c>
      <c r="G1664">
        <f>WEEKDAY(calendar[[#This Row],[Date]],1)</f>
        <v>4</v>
      </c>
      <c r="H1664" t="str">
        <f>TEXT(calendar[[#This Row],[WeekDay]],"dddd")</f>
        <v>Wednesday</v>
      </c>
      <c r="I1664">
        <f>IF((INT(calendar[[#This Row],[Count]]/7)-calendar[[#This Row],[Count]]/7)&lt;0,I1663,I1663+1)</f>
        <v>238</v>
      </c>
      <c r="J1664">
        <f t="shared" si="129"/>
        <v>1662</v>
      </c>
      <c r="K1664">
        <f>IF(calendar[[#This Row],[Month]]&lt;4,1,IF(calendar[[#This Row],[Month]]&lt;7,2,IF(calendar[[#This Row],[Month]]&lt;10,3,4)))</f>
        <v>3</v>
      </c>
      <c r="L1664">
        <f>IFERROR(IF(VLOOKUP(calendar[[#This Row],[Date]],BH!A:A,1,)&lt;&gt;"",1,0),0)</f>
        <v>0</v>
      </c>
      <c r="M1664">
        <f>IFERROR(IF(VLOOKUP(calendar[[#This Row],[Date]],BH!C:C,1,)&lt;&gt;"",1,0),0)</f>
        <v>0</v>
      </c>
      <c r="N1664">
        <f>IFERROR(IF(VLOOKUP(calendar[[#This Row],[Date]],BH!E:E,1,)&lt;&gt;"",1,0),0)</f>
        <v>0</v>
      </c>
      <c r="O1664">
        <f>IFERROR(IF(VLOOKUP(calendar[[#This Row],[Date]],BH!G:G,1,)&lt;&gt;"",1,0),0)</f>
        <v>0</v>
      </c>
      <c r="P1664">
        <f>IF(OR(calendar[[#This Row],[UK_BH]]=1,calendar[[#This Row],[WeekDay]]=1, calendar[[#This Row],[WeekDay]]=7),P1663,P1663+1)</f>
        <v>1188</v>
      </c>
      <c r="Q1664">
        <f>IF(OR(calendar[[#This Row],[FR_BH]]=1,calendar[[#This Row],[WeekDay]]=1, calendar[[#This Row],[WeekDay]]=7),P1663,P1663+1)</f>
        <v>1188</v>
      </c>
      <c r="R1664">
        <f>IF(OR(calendar[[#This Row],[SP_BH]]=1,calendar[[#This Row],[WeekDay]]=1, calendar[[#This Row],[WeekDay]]=7),P1663,P1663+1)</f>
        <v>1188</v>
      </c>
      <c r="S1664">
        <f>IF(OR(calendar[[#This Row],[PT_BH]]=1,calendar[[#This Row],[WeekDay]]=1, calendar[[#This Row],[WeekDay]]=7),P1663,P1663+1)</f>
        <v>1188</v>
      </c>
    </row>
    <row r="1665" spans="1:19" x14ac:dyDescent="0.25">
      <c r="A1665" s="2">
        <v>44399</v>
      </c>
      <c r="B1665" s="1">
        <f t="shared" si="128"/>
        <v>30</v>
      </c>
      <c r="C1665">
        <f t="shared" si="130"/>
        <v>7</v>
      </c>
      <c r="D1665" t="str">
        <f t="shared" si="131"/>
        <v>July</v>
      </c>
      <c r="E1665">
        <f t="shared" si="132"/>
        <v>2021</v>
      </c>
      <c r="F1665" t="str">
        <f>CONCATENATE(calendar[[#This Row],[Month]],"/",calendar[[#This Row],[Year]])</f>
        <v>7/2021</v>
      </c>
      <c r="G1665">
        <f>WEEKDAY(calendar[[#This Row],[Date]],1)</f>
        <v>5</v>
      </c>
      <c r="H1665" t="str">
        <f>TEXT(calendar[[#This Row],[WeekDay]],"dddd")</f>
        <v>Thursday</v>
      </c>
      <c r="I1665">
        <f>IF((INT(calendar[[#This Row],[Count]]/7)-calendar[[#This Row],[Count]]/7)&lt;0,I1664,I1664+1)</f>
        <v>238</v>
      </c>
      <c r="J1665">
        <f t="shared" si="129"/>
        <v>1663</v>
      </c>
      <c r="K1665">
        <f>IF(calendar[[#This Row],[Month]]&lt;4,1,IF(calendar[[#This Row],[Month]]&lt;7,2,IF(calendar[[#This Row],[Month]]&lt;10,3,4)))</f>
        <v>3</v>
      </c>
      <c r="L1665">
        <f>IFERROR(IF(VLOOKUP(calendar[[#This Row],[Date]],BH!A:A,1,)&lt;&gt;"",1,0),0)</f>
        <v>0</v>
      </c>
      <c r="M1665">
        <f>IFERROR(IF(VLOOKUP(calendar[[#This Row],[Date]],BH!C:C,1,)&lt;&gt;"",1,0),0)</f>
        <v>0</v>
      </c>
      <c r="N1665">
        <f>IFERROR(IF(VLOOKUP(calendar[[#This Row],[Date]],BH!E:E,1,)&lt;&gt;"",1,0),0)</f>
        <v>0</v>
      </c>
      <c r="O1665">
        <f>IFERROR(IF(VLOOKUP(calendar[[#This Row],[Date]],BH!G:G,1,)&lt;&gt;"",1,0),0)</f>
        <v>0</v>
      </c>
      <c r="P1665">
        <f>IF(OR(calendar[[#This Row],[UK_BH]]=1,calendar[[#This Row],[WeekDay]]=1, calendar[[#This Row],[WeekDay]]=7),P1664,P1664+1)</f>
        <v>1189</v>
      </c>
      <c r="Q1665">
        <f>IF(OR(calendar[[#This Row],[FR_BH]]=1,calendar[[#This Row],[WeekDay]]=1, calendar[[#This Row],[WeekDay]]=7),P1664,P1664+1)</f>
        <v>1189</v>
      </c>
      <c r="R1665">
        <f>IF(OR(calendar[[#This Row],[SP_BH]]=1,calendar[[#This Row],[WeekDay]]=1, calendar[[#This Row],[WeekDay]]=7),P1664,P1664+1)</f>
        <v>1189</v>
      </c>
      <c r="S1665">
        <f>IF(OR(calendar[[#This Row],[PT_BH]]=1,calendar[[#This Row],[WeekDay]]=1, calendar[[#This Row],[WeekDay]]=7),P1664,P1664+1)</f>
        <v>1189</v>
      </c>
    </row>
    <row r="1666" spans="1:19" x14ac:dyDescent="0.25">
      <c r="A1666" s="2">
        <v>44400</v>
      </c>
      <c r="B1666" s="1">
        <f t="shared" ref="B1666:B1729" si="133">WEEKNUM(A1666)</f>
        <v>30</v>
      </c>
      <c r="C1666">
        <f t="shared" si="130"/>
        <v>7</v>
      </c>
      <c r="D1666" t="str">
        <f t="shared" si="131"/>
        <v>July</v>
      </c>
      <c r="E1666">
        <f t="shared" si="132"/>
        <v>2021</v>
      </c>
      <c r="F1666" t="str">
        <f>CONCATENATE(calendar[[#This Row],[Month]],"/",calendar[[#This Row],[Year]])</f>
        <v>7/2021</v>
      </c>
      <c r="G1666">
        <f>WEEKDAY(calendar[[#This Row],[Date]],1)</f>
        <v>6</v>
      </c>
      <c r="H1666" t="str">
        <f>TEXT(calendar[[#This Row],[WeekDay]],"dddd")</f>
        <v>Friday</v>
      </c>
      <c r="I1666">
        <f>IF((INT(calendar[[#This Row],[Count]]/7)-calendar[[#This Row],[Count]]/7)&lt;0,I1665,I1665+1)</f>
        <v>238</v>
      </c>
      <c r="J1666">
        <f t="shared" si="129"/>
        <v>1664</v>
      </c>
      <c r="K1666">
        <f>IF(calendar[[#This Row],[Month]]&lt;4,1,IF(calendar[[#This Row],[Month]]&lt;7,2,IF(calendar[[#This Row],[Month]]&lt;10,3,4)))</f>
        <v>3</v>
      </c>
      <c r="L1666">
        <f>IFERROR(IF(VLOOKUP(calendar[[#This Row],[Date]],BH!A:A,1,)&lt;&gt;"",1,0),0)</f>
        <v>0</v>
      </c>
      <c r="M1666">
        <f>IFERROR(IF(VLOOKUP(calendar[[#This Row],[Date]],BH!C:C,1,)&lt;&gt;"",1,0),0)</f>
        <v>0</v>
      </c>
      <c r="N1666">
        <f>IFERROR(IF(VLOOKUP(calendar[[#This Row],[Date]],BH!E:E,1,)&lt;&gt;"",1,0),0)</f>
        <v>0</v>
      </c>
      <c r="O1666">
        <f>IFERROR(IF(VLOOKUP(calendar[[#This Row],[Date]],BH!G:G,1,)&lt;&gt;"",1,0),0)</f>
        <v>0</v>
      </c>
      <c r="P1666">
        <f>IF(OR(calendar[[#This Row],[UK_BH]]=1,calendar[[#This Row],[WeekDay]]=1, calendar[[#This Row],[WeekDay]]=7),P1665,P1665+1)</f>
        <v>1190</v>
      </c>
      <c r="Q1666">
        <f>IF(OR(calendar[[#This Row],[FR_BH]]=1,calendar[[#This Row],[WeekDay]]=1, calendar[[#This Row],[WeekDay]]=7),P1665,P1665+1)</f>
        <v>1190</v>
      </c>
      <c r="R1666">
        <f>IF(OR(calendar[[#This Row],[SP_BH]]=1,calendar[[#This Row],[WeekDay]]=1, calendar[[#This Row],[WeekDay]]=7),P1665,P1665+1)</f>
        <v>1190</v>
      </c>
      <c r="S1666">
        <f>IF(OR(calendar[[#This Row],[PT_BH]]=1,calendar[[#This Row],[WeekDay]]=1, calendar[[#This Row],[WeekDay]]=7),P1665,P1665+1)</f>
        <v>1190</v>
      </c>
    </row>
    <row r="1667" spans="1:19" x14ac:dyDescent="0.25">
      <c r="A1667" s="2">
        <v>44401</v>
      </c>
      <c r="B1667" s="1">
        <f t="shared" si="133"/>
        <v>30</v>
      </c>
      <c r="C1667">
        <f t="shared" si="130"/>
        <v>7</v>
      </c>
      <c r="D1667" t="str">
        <f t="shared" si="131"/>
        <v>July</v>
      </c>
      <c r="E1667">
        <f t="shared" si="132"/>
        <v>2021</v>
      </c>
      <c r="F1667" t="str">
        <f>CONCATENATE(calendar[[#This Row],[Month]],"/",calendar[[#This Row],[Year]])</f>
        <v>7/2021</v>
      </c>
      <c r="G1667">
        <f>WEEKDAY(calendar[[#This Row],[Date]],1)</f>
        <v>7</v>
      </c>
      <c r="H1667" t="str">
        <f>TEXT(calendar[[#This Row],[WeekDay]],"dddd")</f>
        <v>Saturday</v>
      </c>
      <c r="I1667">
        <f>IF((INT(calendar[[#This Row],[Count]]/7)-calendar[[#This Row],[Count]]/7)&lt;0,I1666,I1666+1)</f>
        <v>238</v>
      </c>
      <c r="J1667">
        <f t="shared" ref="J1667:J1730" si="134">J1666+1</f>
        <v>1665</v>
      </c>
      <c r="K1667">
        <f>IF(calendar[[#This Row],[Month]]&lt;4,1,IF(calendar[[#This Row],[Month]]&lt;7,2,IF(calendar[[#This Row],[Month]]&lt;10,3,4)))</f>
        <v>3</v>
      </c>
      <c r="L1667">
        <f>IFERROR(IF(VLOOKUP(calendar[[#This Row],[Date]],BH!A:A,1,)&lt;&gt;"",1,0),0)</f>
        <v>0</v>
      </c>
      <c r="M1667">
        <f>IFERROR(IF(VLOOKUP(calendar[[#This Row],[Date]],BH!C:C,1,)&lt;&gt;"",1,0),0)</f>
        <v>0</v>
      </c>
      <c r="N1667">
        <f>IFERROR(IF(VLOOKUP(calendar[[#This Row],[Date]],BH!E:E,1,)&lt;&gt;"",1,0),0)</f>
        <v>0</v>
      </c>
      <c r="O1667">
        <f>IFERROR(IF(VLOOKUP(calendar[[#This Row],[Date]],BH!G:G,1,)&lt;&gt;"",1,0),0)</f>
        <v>0</v>
      </c>
      <c r="P1667">
        <f>IF(OR(calendar[[#This Row],[UK_BH]]=1,calendar[[#This Row],[WeekDay]]=1, calendar[[#This Row],[WeekDay]]=7),P1666,P1666+1)</f>
        <v>1190</v>
      </c>
      <c r="Q1667">
        <f>IF(OR(calendar[[#This Row],[FR_BH]]=1,calendar[[#This Row],[WeekDay]]=1, calendar[[#This Row],[WeekDay]]=7),P1666,P1666+1)</f>
        <v>1190</v>
      </c>
      <c r="R1667">
        <f>IF(OR(calendar[[#This Row],[SP_BH]]=1,calendar[[#This Row],[WeekDay]]=1, calendar[[#This Row],[WeekDay]]=7),P1666,P1666+1)</f>
        <v>1190</v>
      </c>
      <c r="S1667">
        <f>IF(OR(calendar[[#This Row],[PT_BH]]=1,calendar[[#This Row],[WeekDay]]=1, calendar[[#This Row],[WeekDay]]=7),P1666,P1666+1)</f>
        <v>1190</v>
      </c>
    </row>
    <row r="1668" spans="1:19" x14ac:dyDescent="0.25">
      <c r="A1668" s="2">
        <v>44402</v>
      </c>
      <c r="B1668" s="1">
        <f t="shared" si="133"/>
        <v>31</v>
      </c>
      <c r="C1668">
        <f t="shared" si="130"/>
        <v>7</v>
      </c>
      <c r="D1668" t="str">
        <f t="shared" si="131"/>
        <v>July</v>
      </c>
      <c r="E1668">
        <f t="shared" si="132"/>
        <v>2021</v>
      </c>
      <c r="F1668" t="str">
        <f>CONCATENATE(calendar[[#This Row],[Month]],"/",calendar[[#This Row],[Year]])</f>
        <v>7/2021</v>
      </c>
      <c r="G1668">
        <f>WEEKDAY(calendar[[#This Row],[Date]],1)</f>
        <v>1</v>
      </c>
      <c r="H1668" t="str">
        <f>TEXT(calendar[[#This Row],[WeekDay]],"dddd")</f>
        <v>Sunday</v>
      </c>
      <c r="I1668">
        <f>IF((INT(calendar[[#This Row],[Count]]/7)-calendar[[#This Row],[Count]]/7)&lt;0,I1667,I1667+1)</f>
        <v>239</v>
      </c>
      <c r="J1668">
        <f t="shared" si="134"/>
        <v>1666</v>
      </c>
      <c r="K1668">
        <f>IF(calendar[[#This Row],[Month]]&lt;4,1,IF(calendar[[#This Row],[Month]]&lt;7,2,IF(calendar[[#This Row],[Month]]&lt;10,3,4)))</f>
        <v>3</v>
      </c>
      <c r="L1668">
        <f>IFERROR(IF(VLOOKUP(calendar[[#This Row],[Date]],BH!A:A,1,)&lt;&gt;"",1,0),0)</f>
        <v>0</v>
      </c>
      <c r="M1668">
        <f>IFERROR(IF(VLOOKUP(calendar[[#This Row],[Date]],BH!C:C,1,)&lt;&gt;"",1,0),0)</f>
        <v>0</v>
      </c>
      <c r="N1668">
        <f>IFERROR(IF(VLOOKUP(calendar[[#This Row],[Date]],BH!E:E,1,)&lt;&gt;"",1,0),0)</f>
        <v>0</v>
      </c>
      <c r="O1668">
        <f>IFERROR(IF(VLOOKUP(calendar[[#This Row],[Date]],BH!G:G,1,)&lt;&gt;"",1,0),0)</f>
        <v>0</v>
      </c>
      <c r="P1668">
        <f>IF(OR(calendar[[#This Row],[UK_BH]]=1,calendar[[#This Row],[WeekDay]]=1, calendar[[#This Row],[WeekDay]]=7),P1667,P1667+1)</f>
        <v>1190</v>
      </c>
      <c r="Q1668">
        <f>IF(OR(calendar[[#This Row],[FR_BH]]=1,calendar[[#This Row],[WeekDay]]=1, calendar[[#This Row],[WeekDay]]=7),P1667,P1667+1)</f>
        <v>1190</v>
      </c>
      <c r="R1668">
        <f>IF(OR(calendar[[#This Row],[SP_BH]]=1,calendar[[#This Row],[WeekDay]]=1, calendar[[#This Row],[WeekDay]]=7),P1667,P1667+1)</f>
        <v>1190</v>
      </c>
      <c r="S1668">
        <f>IF(OR(calendar[[#This Row],[PT_BH]]=1,calendar[[#This Row],[WeekDay]]=1, calendar[[#This Row],[WeekDay]]=7),P1667,P1667+1)</f>
        <v>1190</v>
      </c>
    </row>
    <row r="1669" spans="1:19" x14ac:dyDescent="0.25">
      <c r="A1669" s="2">
        <v>44403</v>
      </c>
      <c r="B1669" s="1">
        <f t="shared" si="133"/>
        <v>31</v>
      </c>
      <c r="C1669">
        <f t="shared" si="130"/>
        <v>7</v>
      </c>
      <c r="D1669" t="str">
        <f t="shared" si="131"/>
        <v>July</v>
      </c>
      <c r="E1669">
        <f t="shared" si="132"/>
        <v>2021</v>
      </c>
      <c r="F1669" t="str">
        <f>CONCATENATE(calendar[[#This Row],[Month]],"/",calendar[[#This Row],[Year]])</f>
        <v>7/2021</v>
      </c>
      <c r="G1669">
        <f>WEEKDAY(calendar[[#This Row],[Date]],1)</f>
        <v>2</v>
      </c>
      <c r="H1669" t="str">
        <f>TEXT(calendar[[#This Row],[WeekDay]],"dddd")</f>
        <v>Monday</v>
      </c>
      <c r="I1669">
        <f>IF((INT(calendar[[#This Row],[Count]]/7)-calendar[[#This Row],[Count]]/7)&lt;0,I1668,I1668+1)</f>
        <v>239</v>
      </c>
      <c r="J1669">
        <f t="shared" si="134"/>
        <v>1667</v>
      </c>
      <c r="K1669">
        <f>IF(calendar[[#This Row],[Month]]&lt;4,1,IF(calendar[[#This Row],[Month]]&lt;7,2,IF(calendar[[#This Row],[Month]]&lt;10,3,4)))</f>
        <v>3</v>
      </c>
      <c r="L1669">
        <f>IFERROR(IF(VLOOKUP(calendar[[#This Row],[Date]],BH!A:A,1,)&lt;&gt;"",1,0),0)</f>
        <v>0</v>
      </c>
      <c r="M1669">
        <f>IFERROR(IF(VLOOKUP(calendar[[#This Row],[Date]],BH!C:C,1,)&lt;&gt;"",1,0),0)</f>
        <v>0</v>
      </c>
      <c r="N1669">
        <f>IFERROR(IF(VLOOKUP(calendar[[#This Row],[Date]],BH!E:E,1,)&lt;&gt;"",1,0),0)</f>
        <v>0</v>
      </c>
      <c r="O1669">
        <f>IFERROR(IF(VLOOKUP(calendar[[#This Row],[Date]],BH!G:G,1,)&lt;&gt;"",1,0),0)</f>
        <v>0</v>
      </c>
      <c r="P1669">
        <f>IF(OR(calendar[[#This Row],[UK_BH]]=1,calendar[[#This Row],[WeekDay]]=1, calendar[[#This Row],[WeekDay]]=7),P1668,P1668+1)</f>
        <v>1191</v>
      </c>
      <c r="Q1669">
        <f>IF(OR(calendar[[#This Row],[FR_BH]]=1,calendar[[#This Row],[WeekDay]]=1, calendar[[#This Row],[WeekDay]]=7),P1668,P1668+1)</f>
        <v>1191</v>
      </c>
      <c r="R1669">
        <f>IF(OR(calendar[[#This Row],[SP_BH]]=1,calendar[[#This Row],[WeekDay]]=1, calendar[[#This Row],[WeekDay]]=7),P1668,P1668+1)</f>
        <v>1191</v>
      </c>
      <c r="S1669">
        <f>IF(OR(calendar[[#This Row],[PT_BH]]=1,calendar[[#This Row],[WeekDay]]=1, calendar[[#This Row],[WeekDay]]=7),P1668,P1668+1)</f>
        <v>1191</v>
      </c>
    </row>
    <row r="1670" spans="1:19" x14ac:dyDescent="0.25">
      <c r="A1670" s="2">
        <v>44404</v>
      </c>
      <c r="B1670" s="1">
        <f t="shared" si="133"/>
        <v>31</v>
      </c>
      <c r="C1670">
        <f t="shared" si="130"/>
        <v>7</v>
      </c>
      <c r="D1670" t="str">
        <f t="shared" si="131"/>
        <v>July</v>
      </c>
      <c r="E1670">
        <f t="shared" si="132"/>
        <v>2021</v>
      </c>
      <c r="F1670" t="str">
        <f>CONCATENATE(calendar[[#This Row],[Month]],"/",calendar[[#This Row],[Year]])</f>
        <v>7/2021</v>
      </c>
      <c r="G1670">
        <f>WEEKDAY(calendar[[#This Row],[Date]],1)</f>
        <v>3</v>
      </c>
      <c r="H1670" t="str">
        <f>TEXT(calendar[[#This Row],[WeekDay]],"dddd")</f>
        <v>Tuesday</v>
      </c>
      <c r="I1670">
        <f>IF((INT(calendar[[#This Row],[Count]]/7)-calendar[[#This Row],[Count]]/7)&lt;0,I1669,I1669+1)</f>
        <v>239</v>
      </c>
      <c r="J1670">
        <f t="shared" si="134"/>
        <v>1668</v>
      </c>
      <c r="K1670">
        <f>IF(calendar[[#This Row],[Month]]&lt;4,1,IF(calendar[[#This Row],[Month]]&lt;7,2,IF(calendar[[#This Row],[Month]]&lt;10,3,4)))</f>
        <v>3</v>
      </c>
      <c r="L1670">
        <f>IFERROR(IF(VLOOKUP(calendar[[#This Row],[Date]],BH!A:A,1,)&lt;&gt;"",1,0),0)</f>
        <v>0</v>
      </c>
      <c r="M1670">
        <f>IFERROR(IF(VLOOKUP(calendar[[#This Row],[Date]],BH!C:C,1,)&lt;&gt;"",1,0),0)</f>
        <v>0</v>
      </c>
      <c r="N1670">
        <f>IFERROR(IF(VLOOKUP(calendar[[#This Row],[Date]],BH!E:E,1,)&lt;&gt;"",1,0),0)</f>
        <v>0</v>
      </c>
      <c r="O1670">
        <f>IFERROR(IF(VLOOKUP(calendar[[#This Row],[Date]],BH!G:G,1,)&lt;&gt;"",1,0),0)</f>
        <v>0</v>
      </c>
      <c r="P1670">
        <f>IF(OR(calendar[[#This Row],[UK_BH]]=1,calendar[[#This Row],[WeekDay]]=1, calendar[[#This Row],[WeekDay]]=7),P1669,P1669+1)</f>
        <v>1192</v>
      </c>
      <c r="Q1670">
        <f>IF(OR(calendar[[#This Row],[FR_BH]]=1,calendar[[#This Row],[WeekDay]]=1, calendar[[#This Row],[WeekDay]]=7),P1669,P1669+1)</f>
        <v>1192</v>
      </c>
      <c r="R1670">
        <f>IF(OR(calendar[[#This Row],[SP_BH]]=1,calendar[[#This Row],[WeekDay]]=1, calendar[[#This Row],[WeekDay]]=7),P1669,P1669+1)</f>
        <v>1192</v>
      </c>
      <c r="S1670">
        <f>IF(OR(calendar[[#This Row],[PT_BH]]=1,calendar[[#This Row],[WeekDay]]=1, calendar[[#This Row],[WeekDay]]=7),P1669,P1669+1)</f>
        <v>1192</v>
      </c>
    </row>
    <row r="1671" spans="1:19" x14ac:dyDescent="0.25">
      <c r="A1671" s="2">
        <v>44405</v>
      </c>
      <c r="B1671" s="1">
        <f t="shared" si="133"/>
        <v>31</v>
      </c>
      <c r="C1671">
        <f t="shared" si="130"/>
        <v>7</v>
      </c>
      <c r="D1671" t="str">
        <f t="shared" si="131"/>
        <v>July</v>
      </c>
      <c r="E1671">
        <f t="shared" si="132"/>
        <v>2021</v>
      </c>
      <c r="F1671" t="str">
        <f>CONCATENATE(calendar[[#This Row],[Month]],"/",calendar[[#This Row],[Year]])</f>
        <v>7/2021</v>
      </c>
      <c r="G1671">
        <f>WEEKDAY(calendar[[#This Row],[Date]],1)</f>
        <v>4</v>
      </c>
      <c r="H1671" t="str">
        <f>TEXT(calendar[[#This Row],[WeekDay]],"dddd")</f>
        <v>Wednesday</v>
      </c>
      <c r="I1671">
        <f>IF((INT(calendar[[#This Row],[Count]]/7)-calendar[[#This Row],[Count]]/7)&lt;0,I1670,I1670+1)</f>
        <v>239</v>
      </c>
      <c r="J1671">
        <f t="shared" si="134"/>
        <v>1669</v>
      </c>
      <c r="K1671">
        <f>IF(calendar[[#This Row],[Month]]&lt;4,1,IF(calendar[[#This Row],[Month]]&lt;7,2,IF(calendar[[#This Row],[Month]]&lt;10,3,4)))</f>
        <v>3</v>
      </c>
      <c r="L1671">
        <f>IFERROR(IF(VLOOKUP(calendar[[#This Row],[Date]],BH!A:A,1,)&lt;&gt;"",1,0),0)</f>
        <v>0</v>
      </c>
      <c r="M1671">
        <f>IFERROR(IF(VLOOKUP(calendar[[#This Row],[Date]],BH!C:C,1,)&lt;&gt;"",1,0),0)</f>
        <v>0</v>
      </c>
      <c r="N1671">
        <f>IFERROR(IF(VLOOKUP(calendar[[#This Row],[Date]],BH!E:E,1,)&lt;&gt;"",1,0),0)</f>
        <v>0</v>
      </c>
      <c r="O1671">
        <f>IFERROR(IF(VLOOKUP(calendar[[#This Row],[Date]],BH!G:G,1,)&lt;&gt;"",1,0),0)</f>
        <v>0</v>
      </c>
      <c r="P1671">
        <f>IF(OR(calendar[[#This Row],[UK_BH]]=1,calendar[[#This Row],[WeekDay]]=1, calendar[[#This Row],[WeekDay]]=7),P1670,P1670+1)</f>
        <v>1193</v>
      </c>
      <c r="Q1671">
        <f>IF(OR(calendar[[#This Row],[FR_BH]]=1,calendar[[#This Row],[WeekDay]]=1, calendar[[#This Row],[WeekDay]]=7),P1670,P1670+1)</f>
        <v>1193</v>
      </c>
      <c r="R1671">
        <f>IF(OR(calendar[[#This Row],[SP_BH]]=1,calendar[[#This Row],[WeekDay]]=1, calendar[[#This Row],[WeekDay]]=7),P1670,P1670+1)</f>
        <v>1193</v>
      </c>
      <c r="S1671">
        <f>IF(OR(calendar[[#This Row],[PT_BH]]=1,calendar[[#This Row],[WeekDay]]=1, calendar[[#This Row],[WeekDay]]=7),P1670,P1670+1)</f>
        <v>1193</v>
      </c>
    </row>
    <row r="1672" spans="1:19" x14ac:dyDescent="0.25">
      <c r="A1672" s="2">
        <v>44406</v>
      </c>
      <c r="B1672" s="1">
        <f t="shared" si="133"/>
        <v>31</v>
      </c>
      <c r="C1672">
        <f t="shared" si="130"/>
        <v>7</v>
      </c>
      <c r="D1672" t="str">
        <f t="shared" si="131"/>
        <v>July</v>
      </c>
      <c r="E1672">
        <f t="shared" si="132"/>
        <v>2021</v>
      </c>
      <c r="F1672" t="str">
        <f>CONCATENATE(calendar[[#This Row],[Month]],"/",calendar[[#This Row],[Year]])</f>
        <v>7/2021</v>
      </c>
      <c r="G1672">
        <f>WEEKDAY(calendar[[#This Row],[Date]],1)</f>
        <v>5</v>
      </c>
      <c r="H1672" t="str">
        <f>TEXT(calendar[[#This Row],[WeekDay]],"dddd")</f>
        <v>Thursday</v>
      </c>
      <c r="I1672">
        <f>IF((INT(calendar[[#This Row],[Count]]/7)-calendar[[#This Row],[Count]]/7)&lt;0,I1671,I1671+1)</f>
        <v>239</v>
      </c>
      <c r="J1672">
        <f t="shared" si="134"/>
        <v>1670</v>
      </c>
      <c r="K1672">
        <f>IF(calendar[[#This Row],[Month]]&lt;4,1,IF(calendar[[#This Row],[Month]]&lt;7,2,IF(calendar[[#This Row],[Month]]&lt;10,3,4)))</f>
        <v>3</v>
      </c>
      <c r="L1672">
        <f>IFERROR(IF(VLOOKUP(calendar[[#This Row],[Date]],BH!A:A,1,)&lt;&gt;"",1,0),0)</f>
        <v>0</v>
      </c>
      <c r="M1672">
        <f>IFERROR(IF(VLOOKUP(calendar[[#This Row],[Date]],BH!C:C,1,)&lt;&gt;"",1,0),0)</f>
        <v>0</v>
      </c>
      <c r="N1672">
        <f>IFERROR(IF(VLOOKUP(calendar[[#This Row],[Date]],BH!E:E,1,)&lt;&gt;"",1,0),0)</f>
        <v>0</v>
      </c>
      <c r="O1672">
        <f>IFERROR(IF(VLOOKUP(calendar[[#This Row],[Date]],BH!G:G,1,)&lt;&gt;"",1,0),0)</f>
        <v>0</v>
      </c>
      <c r="P1672">
        <f>IF(OR(calendar[[#This Row],[UK_BH]]=1,calendar[[#This Row],[WeekDay]]=1, calendar[[#This Row],[WeekDay]]=7),P1671,P1671+1)</f>
        <v>1194</v>
      </c>
      <c r="Q1672">
        <f>IF(OR(calendar[[#This Row],[FR_BH]]=1,calendar[[#This Row],[WeekDay]]=1, calendar[[#This Row],[WeekDay]]=7),P1671,P1671+1)</f>
        <v>1194</v>
      </c>
      <c r="R1672">
        <f>IF(OR(calendar[[#This Row],[SP_BH]]=1,calendar[[#This Row],[WeekDay]]=1, calendar[[#This Row],[WeekDay]]=7),P1671,P1671+1)</f>
        <v>1194</v>
      </c>
      <c r="S1672">
        <f>IF(OR(calendar[[#This Row],[PT_BH]]=1,calendar[[#This Row],[WeekDay]]=1, calendar[[#This Row],[WeekDay]]=7),P1671,P1671+1)</f>
        <v>1194</v>
      </c>
    </row>
    <row r="1673" spans="1:19" x14ac:dyDescent="0.25">
      <c r="A1673" s="2">
        <v>44407</v>
      </c>
      <c r="B1673" s="1">
        <f t="shared" si="133"/>
        <v>31</v>
      </c>
      <c r="C1673">
        <f t="shared" si="130"/>
        <v>7</v>
      </c>
      <c r="D1673" t="str">
        <f t="shared" si="131"/>
        <v>July</v>
      </c>
      <c r="E1673">
        <f t="shared" si="132"/>
        <v>2021</v>
      </c>
      <c r="F1673" t="str">
        <f>CONCATENATE(calendar[[#This Row],[Month]],"/",calendar[[#This Row],[Year]])</f>
        <v>7/2021</v>
      </c>
      <c r="G1673">
        <f>WEEKDAY(calendar[[#This Row],[Date]],1)</f>
        <v>6</v>
      </c>
      <c r="H1673" t="str">
        <f>TEXT(calendar[[#This Row],[WeekDay]],"dddd")</f>
        <v>Friday</v>
      </c>
      <c r="I1673">
        <f>IF((INT(calendar[[#This Row],[Count]]/7)-calendar[[#This Row],[Count]]/7)&lt;0,I1672,I1672+1)</f>
        <v>239</v>
      </c>
      <c r="J1673">
        <f t="shared" si="134"/>
        <v>1671</v>
      </c>
      <c r="K1673">
        <f>IF(calendar[[#This Row],[Month]]&lt;4,1,IF(calendar[[#This Row],[Month]]&lt;7,2,IF(calendar[[#This Row],[Month]]&lt;10,3,4)))</f>
        <v>3</v>
      </c>
      <c r="L1673">
        <f>IFERROR(IF(VLOOKUP(calendar[[#This Row],[Date]],BH!A:A,1,)&lt;&gt;"",1,0),0)</f>
        <v>0</v>
      </c>
      <c r="M1673">
        <f>IFERROR(IF(VLOOKUP(calendar[[#This Row],[Date]],BH!C:C,1,)&lt;&gt;"",1,0),0)</f>
        <v>0</v>
      </c>
      <c r="N1673">
        <f>IFERROR(IF(VLOOKUP(calendar[[#This Row],[Date]],BH!E:E,1,)&lt;&gt;"",1,0),0)</f>
        <v>0</v>
      </c>
      <c r="O1673">
        <f>IFERROR(IF(VLOOKUP(calendar[[#This Row],[Date]],BH!G:G,1,)&lt;&gt;"",1,0),0)</f>
        <v>0</v>
      </c>
      <c r="P1673">
        <f>IF(OR(calendar[[#This Row],[UK_BH]]=1,calendar[[#This Row],[WeekDay]]=1, calendar[[#This Row],[WeekDay]]=7),P1672,P1672+1)</f>
        <v>1195</v>
      </c>
      <c r="Q1673">
        <f>IF(OR(calendar[[#This Row],[FR_BH]]=1,calendar[[#This Row],[WeekDay]]=1, calendar[[#This Row],[WeekDay]]=7),P1672,P1672+1)</f>
        <v>1195</v>
      </c>
      <c r="R1673">
        <f>IF(OR(calendar[[#This Row],[SP_BH]]=1,calendar[[#This Row],[WeekDay]]=1, calendar[[#This Row],[WeekDay]]=7),P1672,P1672+1)</f>
        <v>1195</v>
      </c>
      <c r="S1673">
        <f>IF(OR(calendar[[#This Row],[PT_BH]]=1,calendar[[#This Row],[WeekDay]]=1, calendar[[#This Row],[WeekDay]]=7),P1672,P1672+1)</f>
        <v>1195</v>
      </c>
    </row>
    <row r="1674" spans="1:19" x14ac:dyDescent="0.25">
      <c r="A1674" s="2">
        <v>44408</v>
      </c>
      <c r="B1674" s="1">
        <f t="shared" si="133"/>
        <v>31</v>
      </c>
      <c r="C1674">
        <f t="shared" si="130"/>
        <v>7</v>
      </c>
      <c r="D1674" t="str">
        <f t="shared" si="131"/>
        <v>July</v>
      </c>
      <c r="E1674">
        <f t="shared" si="132"/>
        <v>2021</v>
      </c>
      <c r="F1674" t="str">
        <f>CONCATENATE(calendar[[#This Row],[Month]],"/",calendar[[#This Row],[Year]])</f>
        <v>7/2021</v>
      </c>
      <c r="G1674">
        <f>WEEKDAY(calendar[[#This Row],[Date]],1)</f>
        <v>7</v>
      </c>
      <c r="H1674" t="str">
        <f>TEXT(calendar[[#This Row],[WeekDay]],"dddd")</f>
        <v>Saturday</v>
      </c>
      <c r="I1674">
        <f>IF((INT(calendar[[#This Row],[Count]]/7)-calendar[[#This Row],[Count]]/7)&lt;0,I1673,I1673+1)</f>
        <v>239</v>
      </c>
      <c r="J1674">
        <f t="shared" si="134"/>
        <v>1672</v>
      </c>
      <c r="K1674">
        <f>IF(calendar[[#This Row],[Month]]&lt;4,1,IF(calendar[[#This Row],[Month]]&lt;7,2,IF(calendar[[#This Row],[Month]]&lt;10,3,4)))</f>
        <v>3</v>
      </c>
      <c r="L1674">
        <f>IFERROR(IF(VLOOKUP(calendar[[#This Row],[Date]],BH!A:A,1,)&lt;&gt;"",1,0),0)</f>
        <v>0</v>
      </c>
      <c r="M1674">
        <f>IFERROR(IF(VLOOKUP(calendar[[#This Row],[Date]],BH!C:C,1,)&lt;&gt;"",1,0),0)</f>
        <v>0</v>
      </c>
      <c r="N1674">
        <f>IFERROR(IF(VLOOKUP(calendar[[#This Row],[Date]],BH!E:E,1,)&lt;&gt;"",1,0),0)</f>
        <v>0</v>
      </c>
      <c r="O1674">
        <f>IFERROR(IF(VLOOKUP(calendar[[#This Row],[Date]],BH!G:G,1,)&lt;&gt;"",1,0),0)</f>
        <v>0</v>
      </c>
      <c r="P1674">
        <f>IF(OR(calendar[[#This Row],[UK_BH]]=1,calendar[[#This Row],[WeekDay]]=1, calendar[[#This Row],[WeekDay]]=7),P1673,P1673+1)</f>
        <v>1195</v>
      </c>
      <c r="Q1674">
        <f>IF(OR(calendar[[#This Row],[FR_BH]]=1,calendar[[#This Row],[WeekDay]]=1, calendar[[#This Row],[WeekDay]]=7),P1673,P1673+1)</f>
        <v>1195</v>
      </c>
      <c r="R1674">
        <f>IF(OR(calendar[[#This Row],[SP_BH]]=1,calendar[[#This Row],[WeekDay]]=1, calendar[[#This Row],[WeekDay]]=7),P1673,P1673+1)</f>
        <v>1195</v>
      </c>
      <c r="S1674">
        <f>IF(OR(calendar[[#This Row],[PT_BH]]=1,calendar[[#This Row],[WeekDay]]=1, calendar[[#This Row],[WeekDay]]=7),P1673,P1673+1)</f>
        <v>1195</v>
      </c>
    </row>
    <row r="1675" spans="1:19" x14ac:dyDescent="0.25">
      <c r="A1675" s="2">
        <v>44409</v>
      </c>
      <c r="B1675" s="1">
        <f t="shared" si="133"/>
        <v>32</v>
      </c>
      <c r="C1675">
        <f t="shared" si="130"/>
        <v>8</v>
      </c>
      <c r="D1675" t="str">
        <f t="shared" si="131"/>
        <v>August</v>
      </c>
      <c r="E1675">
        <f t="shared" si="132"/>
        <v>2021</v>
      </c>
      <c r="F1675" t="str">
        <f>CONCATENATE(calendar[[#This Row],[Month]],"/",calendar[[#This Row],[Year]])</f>
        <v>8/2021</v>
      </c>
      <c r="G1675">
        <f>WEEKDAY(calendar[[#This Row],[Date]],1)</f>
        <v>1</v>
      </c>
      <c r="H1675" t="str">
        <f>TEXT(calendar[[#This Row],[WeekDay]],"dddd")</f>
        <v>Sunday</v>
      </c>
      <c r="I1675">
        <f>IF((INT(calendar[[#This Row],[Count]]/7)-calendar[[#This Row],[Count]]/7)&lt;0,I1674,I1674+1)</f>
        <v>240</v>
      </c>
      <c r="J1675">
        <f t="shared" si="134"/>
        <v>1673</v>
      </c>
      <c r="K1675">
        <f>IF(calendar[[#This Row],[Month]]&lt;4,1,IF(calendar[[#This Row],[Month]]&lt;7,2,IF(calendar[[#This Row],[Month]]&lt;10,3,4)))</f>
        <v>3</v>
      </c>
      <c r="L1675">
        <f>IFERROR(IF(VLOOKUP(calendar[[#This Row],[Date]],BH!A:A,1,)&lt;&gt;"",1,0),0)</f>
        <v>0</v>
      </c>
      <c r="M1675">
        <f>IFERROR(IF(VLOOKUP(calendar[[#This Row],[Date]],BH!C:C,1,)&lt;&gt;"",1,0),0)</f>
        <v>0</v>
      </c>
      <c r="N1675">
        <f>IFERROR(IF(VLOOKUP(calendar[[#This Row],[Date]],BH!E:E,1,)&lt;&gt;"",1,0),0)</f>
        <v>0</v>
      </c>
      <c r="O1675">
        <f>IFERROR(IF(VLOOKUP(calendar[[#This Row],[Date]],BH!G:G,1,)&lt;&gt;"",1,0),0)</f>
        <v>0</v>
      </c>
      <c r="P1675">
        <f>IF(OR(calendar[[#This Row],[UK_BH]]=1,calendar[[#This Row],[WeekDay]]=1, calendar[[#This Row],[WeekDay]]=7),P1674,P1674+1)</f>
        <v>1195</v>
      </c>
      <c r="Q1675">
        <f>IF(OR(calendar[[#This Row],[FR_BH]]=1,calendar[[#This Row],[WeekDay]]=1, calendar[[#This Row],[WeekDay]]=7),P1674,P1674+1)</f>
        <v>1195</v>
      </c>
      <c r="R1675">
        <f>IF(OR(calendar[[#This Row],[SP_BH]]=1,calendar[[#This Row],[WeekDay]]=1, calendar[[#This Row],[WeekDay]]=7),P1674,P1674+1)</f>
        <v>1195</v>
      </c>
      <c r="S1675">
        <f>IF(OR(calendar[[#This Row],[PT_BH]]=1,calendar[[#This Row],[WeekDay]]=1, calendar[[#This Row],[WeekDay]]=7),P1674,P1674+1)</f>
        <v>1195</v>
      </c>
    </row>
    <row r="1676" spans="1:19" x14ac:dyDescent="0.25">
      <c r="A1676" s="2">
        <v>44410</v>
      </c>
      <c r="B1676" s="1">
        <f t="shared" si="133"/>
        <v>32</v>
      </c>
      <c r="C1676">
        <f t="shared" si="130"/>
        <v>8</v>
      </c>
      <c r="D1676" t="str">
        <f t="shared" si="131"/>
        <v>August</v>
      </c>
      <c r="E1676">
        <f t="shared" si="132"/>
        <v>2021</v>
      </c>
      <c r="F1676" t="str">
        <f>CONCATENATE(calendar[[#This Row],[Month]],"/",calendar[[#This Row],[Year]])</f>
        <v>8/2021</v>
      </c>
      <c r="G1676">
        <f>WEEKDAY(calendar[[#This Row],[Date]],1)</f>
        <v>2</v>
      </c>
      <c r="H1676" t="str">
        <f>TEXT(calendar[[#This Row],[WeekDay]],"dddd")</f>
        <v>Monday</v>
      </c>
      <c r="I1676">
        <f>IF((INT(calendar[[#This Row],[Count]]/7)-calendar[[#This Row],[Count]]/7)&lt;0,I1675,I1675+1)</f>
        <v>240</v>
      </c>
      <c r="J1676">
        <f t="shared" si="134"/>
        <v>1674</v>
      </c>
      <c r="K1676">
        <f>IF(calendar[[#This Row],[Month]]&lt;4,1,IF(calendar[[#This Row],[Month]]&lt;7,2,IF(calendar[[#This Row],[Month]]&lt;10,3,4)))</f>
        <v>3</v>
      </c>
      <c r="L1676">
        <f>IFERROR(IF(VLOOKUP(calendar[[#This Row],[Date]],BH!A:A,1,)&lt;&gt;"",1,0),0)</f>
        <v>0</v>
      </c>
      <c r="M1676">
        <f>IFERROR(IF(VLOOKUP(calendar[[#This Row],[Date]],BH!C:C,1,)&lt;&gt;"",1,0),0)</f>
        <v>0</v>
      </c>
      <c r="N1676">
        <f>IFERROR(IF(VLOOKUP(calendar[[#This Row],[Date]],BH!E:E,1,)&lt;&gt;"",1,0),0)</f>
        <v>0</v>
      </c>
      <c r="O1676">
        <f>IFERROR(IF(VLOOKUP(calendar[[#This Row],[Date]],BH!G:G,1,)&lt;&gt;"",1,0),0)</f>
        <v>0</v>
      </c>
      <c r="P1676">
        <f>IF(OR(calendar[[#This Row],[UK_BH]]=1,calendar[[#This Row],[WeekDay]]=1, calendar[[#This Row],[WeekDay]]=7),P1675,P1675+1)</f>
        <v>1196</v>
      </c>
      <c r="Q1676">
        <f>IF(OR(calendar[[#This Row],[FR_BH]]=1,calendar[[#This Row],[WeekDay]]=1, calendar[[#This Row],[WeekDay]]=7),P1675,P1675+1)</f>
        <v>1196</v>
      </c>
      <c r="R1676">
        <f>IF(OR(calendar[[#This Row],[SP_BH]]=1,calendar[[#This Row],[WeekDay]]=1, calendar[[#This Row],[WeekDay]]=7),P1675,P1675+1)</f>
        <v>1196</v>
      </c>
      <c r="S1676">
        <f>IF(OR(calendar[[#This Row],[PT_BH]]=1,calendar[[#This Row],[WeekDay]]=1, calendar[[#This Row],[WeekDay]]=7),P1675,P1675+1)</f>
        <v>1196</v>
      </c>
    </row>
    <row r="1677" spans="1:19" x14ac:dyDescent="0.25">
      <c r="A1677" s="2">
        <v>44411</v>
      </c>
      <c r="B1677" s="1">
        <f t="shared" si="133"/>
        <v>32</v>
      </c>
      <c r="C1677">
        <f t="shared" si="130"/>
        <v>8</v>
      </c>
      <c r="D1677" t="str">
        <f t="shared" si="131"/>
        <v>August</v>
      </c>
      <c r="E1677">
        <f t="shared" si="132"/>
        <v>2021</v>
      </c>
      <c r="F1677" t="str">
        <f>CONCATENATE(calendar[[#This Row],[Month]],"/",calendar[[#This Row],[Year]])</f>
        <v>8/2021</v>
      </c>
      <c r="G1677">
        <f>WEEKDAY(calendar[[#This Row],[Date]],1)</f>
        <v>3</v>
      </c>
      <c r="H1677" t="str">
        <f>TEXT(calendar[[#This Row],[WeekDay]],"dddd")</f>
        <v>Tuesday</v>
      </c>
      <c r="I1677">
        <f>IF((INT(calendar[[#This Row],[Count]]/7)-calendar[[#This Row],[Count]]/7)&lt;0,I1676,I1676+1)</f>
        <v>240</v>
      </c>
      <c r="J1677">
        <f t="shared" si="134"/>
        <v>1675</v>
      </c>
      <c r="K1677">
        <f>IF(calendar[[#This Row],[Month]]&lt;4,1,IF(calendar[[#This Row],[Month]]&lt;7,2,IF(calendar[[#This Row],[Month]]&lt;10,3,4)))</f>
        <v>3</v>
      </c>
      <c r="L1677">
        <f>IFERROR(IF(VLOOKUP(calendar[[#This Row],[Date]],BH!A:A,1,)&lt;&gt;"",1,0),0)</f>
        <v>0</v>
      </c>
      <c r="M1677">
        <f>IFERROR(IF(VLOOKUP(calendar[[#This Row],[Date]],BH!C:C,1,)&lt;&gt;"",1,0),0)</f>
        <v>0</v>
      </c>
      <c r="N1677">
        <f>IFERROR(IF(VLOOKUP(calendar[[#This Row],[Date]],BH!E:E,1,)&lt;&gt;"",1,0),0)</f>
        <v>0</v>
      </c>
      <c r="O1677">
        <f>IFERROR(IF(VLOOKUP(calendar[[#This Row],[Date]],BH!G:G,1,)&lt;&gt;"",1,0),0)</f>
        <v>0</v>
      </c>
      <c r="P1677">
        <f>IF(OR(calendar[[#This Row],[UK_BH]]=1,calendar[[#This Row],[WeekDay]]=1, calendar[[#This Row],[WeekDay]]=7),P1676,P1676+1)</f>
        <v>1197</v>
      </c>
      <c r="Q1677">
        <f>IF(OR(calendar[[#This Row],[FR_BH]]=1,calendar[[#This Row],[WeekDay]]=1, calendar[[#This Row],[WeekDay]]=7),P1676,P1676+1)</f>
        <v>1197</v>
      </c>
      <c r="R1677">
        <f>IF(OR(calendar[[#This Row],[SP_BH]]=1,calendar[[#This Row],[WeekDay]]=1, calendar[[#This Row],[WeekDay]]=7),P1676,P1676+1)</f>
        <v>1197</v>
      </c>
      <c r="S1677">
        <f>IF(OR(calendar[[#This Row],[PT_BH]]=1,calendar[[#This Row],[WeekDay]]=1, calendar[[#This Row],[WeekDay]]=7),P1676,P1676+1)</f>
        <v>1197</v>
      </c>
    </row>
    <row r="1678" spans="1:19" x14ac:dyDescent="0.25">
      <c r="A1678" s="2">
        <v>44412</v>
      </c>
      <c r="B1678" s="1">
        <f t="shared" si="133"/>
        <v>32</v>
      </c>
      <c r="C1678">
        <f t="shared" si="130"/>
        <v>8</v>
      </c>
      <c r="D1678" t="str">
        <f t="shared" si="131"/>
        <v>August</v>
      </c>
      <c r="E1678">
        <f t="shared" si="132"/>
        <v>2021</v>
      </c>
      <c r="F1678" t="str">
        <f>CONCATENATE(calendar[[#This Row],[Month]],"/",calendar[[#This Row],[Year]])</f>
        <v>8/2021</v>
      </c>
      <c r="G1678">
        <f>WEEKDAY(calendar[[#This Row],[Date]],1)</f>
        <v>4</v>
      </c>
      <c r="H1678" t="str">
        <f>TEXT(calendar[[#This Row],[WeekDay]],"dddd")</f>
        <v>Wednesday</v>
      </c>
      <c r="I1678">
        <f>IF((INT(calendar[[#This Row],[Count]]/7)-calendar[[#This Row],[Count]]/7)&lt;0,I1677,I1677+1)</f>
        <v>240</v>
      </c>
      <c r="J1678">
        <f t="shared" si="134"/>
        <v>1676</v>
      </c>
      <c r="K1678">
        <f>IF(calendar[[#This Row],[Month]]&lt;4,1,IF(calendar[[#This Row],[Month]]&lt;7,2,IF(calendar[[#This Row],[Month]]&lt;10,3,4)))</f>
        <v>3</v>
      </c>
      <c r="L1678">
        <f>IFERROR(IF(VLOOKUP(calendar[[#This Row],[Date]],BH!A:A,1,)&lt;&gt;"",1,0),0)</f>
        <v>0</v>
      </c>
      <c r="M1678">
        <f>IFERROR(IF(VLOOKUP(calendar[[#This Row],[Date]],BH!C:C,1,)&lt;&gt;"",1,0),0)</f>
        <v>0</v>
      </c>
      <c r="N1678">
        <f>IFERROR(IF(VLOOKUP(calendar[[#This Row],[Date]],BH!E:E,1,)&lt;&gt;"",1,0),0)</f>
        <v>0</v>
      </c>
      <c r="O1678">
        <f>IFERROR(IF(VLOOKUP(calendar[[#This Row],[Date]],BH!G:G,1,)&lt;&gt;"",1,0),0)</f>
        <v>0</v>
      </c>
      <c r="P1678">
        <f>IF(OR(calendar[[#This Row],[UK_BH]]=1,calendar[[#This Row],[WeekDay]]=1, calendar[[#This Row],[WeekDay]]=7),P1677,P1677+1)</f>
        <v>1198</v>
      </c>
      <c r="Q1678">
        <f>IF(OR(calendar[[#This Row],[FR_BH]]=1,calendar[[#This Row],[WeekDay]]=1, calendar[[#This Row],[WeekDay]]=7),P1677,P1677+1)</f>
        <v>1198</v>
      </c>
      <c r="R1678">
        <f>IF(OR(calendar[[#This Row],[SP_BH]]=1,calendar[[#This Row],[WeekDay]]=1, calendar[[#This Row],[WeekDay]]=7),P1677,P1677+1)</f>
        <v>1198</v>
      </c>
      <c r="S1678">
        <f>IF(OR(calendar[[#This Row],[PT_BH]]=1,calendar[[#This Row],[WeekDay]]=1, calendar[[#This Row],[WeekDay]]=7),P1677,P1677+1)</f>
        <v>1198</v>
      </c>
    </row>
    <row r="1679" spans="1:19" x14ac:dyDescent="0.25">
      <c r="A1679" s="2">
        <v>44413</v>
      </c>
      <c r="B1679" s="1">
        <f t="shared" si="133"/>
        <v>32</v>
      </c>
      <c r="C1679">
        <f t="shared" si="130"/>
        <v>8</v>
      </c>
      <c r="D1679" t="str">
        <f t="shared" si="131"/>
        <v>August</v>
      </c>
      <c r="E1679">
        <f t="shared" si="132"/>
        <v>2021</v>
      </c>
      <c r="F1679" t="str">
        <f>CONCATENATE(calendar[[#This Row],[Month]],"/",calendar[[#This Row],[Year]])</f>
        <v>8/2021</v>
      </c>
      <c r="G1679">
        <f>WEEKDAY(calendar[[#This Row],[Date]],1)</f>
        <v>5</v>
      </c>
      <c r="H1679" t="str">
        <f>TEXT(calendar[[#This Row],[WeekDay]],"dddd")</f>
        <v>Thursday</v>
      </c>
      <c r="I1679">
        <f>IF((INT(calendar[[#This Row],[Count]]/7)-calendar[[#This Row],[Count]]/7)&lt;0,I1678,I1678+1)</f>
        <v>240</v>
      </c>
      <c r="J1679">
        <f t="shared" si="134"/>
        <v>1677</v>
      </c>
      <c r="K1679">
        <f>IF(calendar[[#This Row],[Month]]&lt;4,1,IF(calendar[[#This Row],[Month]]&lt;7,2,IF(calendar[[#This Row],[Month]]&lt;10,3,4)))</f>
        <v>3</v>
      </c>
      <c r="L1679">
        <f>IFERROR(IF(VLOOKUP(calendar[[#This Row],[Date]],BH!A:A,1,)&lt;&gt;"",1,0),0)</f>
        <v>0</v>
      </c>
      <c r="M1679">
        <f>IFERROR(IF(VLOOKUP(calendar[[#This Row],[Date]],BH!C:C,1,)&lt;&gt;"",1,0),0)</f>
        <v>0</v>
      </c>
      <c r="N1679">
        <f>IFERROR(IF(VLOOKUP(calendar[[#This Row],[Date]],BH!E:E,1,)&lt;&gt;"",1,0),0)</f>
        <v>0</v>
      </c>
      <c r="O1679">
        <f>IFERROR(IF(VLOOKUP(calendar[[#This Row],[Date]],BH!G:G,1,)&lt;&gt;"",1,0),0)</f>
        <v>0</v>
      </c>
      <c r="P1679">
        <f>IF(OR(calendar[[#This Row],[UK_BH]]=1,calendar[[#This Row],[WeekDay]]=1, calendar[[#This Row],[WeekDay]]=7),P1678,P1678+1)</f>
        <v>1199</v>
      </c>
      <c r="Q1679">
        <f>IF(OR(calendar[[#This Row],[FR_BH]]=1,calendar[[#This Row],[WeekDay]]=1, calendar[[#This Row],[WeekDay]]=7),P1678,P1678+1)</f>
        <v>1199</v>
      </c>
      <c r="R1679">
        <f>IF(OR(calendar[[#This Row],[SP_BH]]=1,calendar[[#This Row],[WeekDay]]=1, calendar[[#This Row],[WeekDay]]=7),P1678,P1678+1)</f>
        <v>1199</v>
      </c>
      <c r="S1679">
        <f>IF(OR(calendar[[#This Row],[PT_BH]]=1,calendar[[#This Row],[WeekDay]]=1, calendar[[#This Row],[WeekDay]]=7),P1678,P1678+1)</f>
        <v>1199</v>
      </c>
    </row>
    <row r="1680" spans="1:19" x14ac:dyDescent="0.25">
      <c r="A1680" s="2">
        <v>44414</v>
      </c>
      <c r="B1680" s="1">
        <f t="shared" si="133"/>
        <v>32</v>
      </c>
      <c r="C1680">
        <f t="shared" ref="C1680:C1743" si="135">MONTH(A1680)</f>
        <v>8</v>
      </c>
      <c r="D1680" t="str">
        <f t="shared" ref="D1680:D1743" si="136">TEXT(A1680,"mmmm")</f>
        <v>August</v>
      </c>
      <c r="E1680">
        <f t="shared" ref="E1680:E1743" si="137">YEAR(A1680)</f>
        <v>2021</v>
      </c>
      <c r="F1680" t="str">
        <f>CONCATENATE(calendar[[#This Row],[Month]],"/",calendar[[#This Row],[Year]])</f>
        <v>8/2021</v>
      </c>
      <c r="G1680">
        <f>WEEKDAY(calendar[[#This Row],[Date]],1)</f>
        <v>6</v>
      </c>
      <c r="H1680" t="str">
        <f>TEXT(calendar[[#This Row],[WeekDay]],"dddd")</f>
        <v>Friday</v>
      </c>
      <c r="I1680">
        <f>IF((INT(calendar[[#This Row],[Count]]/7)-calendar[[#This Row],[Count]]/7)&lt;0,I1679,I1679+1)</f>
        <v>240</v>
      </c>
      <c r="J1680">
        <f t="shared" si="134"/>
        <v>1678</v>
      </c>
      <c r="K1680">
        <f>IF(calendar[[#This Row],[Month]]&lt;4,1,IF(calendar[[#This Row],[Month]]&lt;7,2,IF(calendar[[#This Row],[Month]]&lt;10,3,4)))</f>
        <v>3</v>
      </c>
      <c r="L1680">
        <f>IFERROR(IF(VLOOKUP(calendar[[#This Row],[Date]],BH!A:A,1,)&lt;&gt;"",1,0),0)</f>
        <v>0</v>
      </c>
      <c r="M1680">
        <f>IFERROR(IF(VLOOKUP(calendar[[#This Row],[Date]],BH!C:C,1,)&lt;&gt;"",1,0),0)</f>
        <v>0</v>
      </c>
      <c r="N1680">
        <f>IFERROR(IF(VLOOKUP(calendar[[#This Row],[Date]],BH!E:E,1,)&lt;&gt;"",1,0),0)</f>
        <v>0</v>
      </c>
      <c r="O1680">
        <f>IFERROR(IF(VLOOKUP(calendar[[#This Row],[Date]],BH!G:G,1,)&lt;&gt;"",1,0),0)</f>
        <v>0</v>
      </c>
      <c r="P1680">
        <f>IF(OR(calendar[[#This Row],[UK_BH]]=1,calendar[[#This Row],[WeekDay]]=1, calendar[[#This Row],[WeekDay]]=7),P1679,P1679+1)</f>
        <v>1200</v>
      </c>
      <c r="Q1680">
        <f>IF(OR(calendar[[#This Row],[FR_BH]]=1,calendar[[#This Row],[WeekDay]]=1, calendar[[#This Row],[WeekDay]]=7),P1679,P1679+1)</f>
        <v>1200</v>
      </c>
      <c r="R1680">
        <f>IF(OR(calendar[[#This Row],[SP_BH]]=1,calendar[[#This Row],[WeekDay]]=1, calendar[[#This Row],[WeekDay]]=7),P1679,P1679+1)</f>
        <v>1200</v>
      </c>
      <c r="S1680">
        <f>IF(OR(calendar[[#This Row],[PT_BH]]=1,calendar[[#This Row],[WeekDay]]=1, calendar[[#This Row],[WeekDay]]=7),P1679,P1679+1)</f>
        <v>1200</v>
      </c>
    </row>
    <row r="1681" spans="1:19" x14ac:dyDescent="0.25">
      <c r="A1681" s="2">
        <v>44415</v>
      </c>
      <c r="B1681" s="1">
        <f t="shared" si="133"/>
        <v>32</v>
      </c>
      <c r="C1681">
        <f t="shared" si="135"/>
        <v>8</v>
      </c>
      <c r="D1681" t="str">
        <f t="shared" si="136"/>
        <v>August</v>
      </c>
      <c r="E1681">
        <f t="shared" si="137"/>
        <v>2021</v>
      </c>
      <c r="F1681" t="str">
        <f>CONCATENATE(calendar[[#This Row],[Month]],"/",calendar[[#This Row],[Year]])</f>
        <v>8/2021</v>
      </c>
      <c r="G1681">
        <f>WEEKDAY(calendar[[#This Row],[Date]],1)</f>
        <v>7</v>
      </c>
      <c r="H1681" t="str">
        <f>TEXT(calendar[[#This Row],[WeekDay]],"dddd")</f>
        <v>Saturday</v>
      </c>
      <c r="I1681">
        <f>IF((INT(calendar[[#This Row],[Count]]/7)-calendar[[#This Row],[Count]]/7)&lt;0,I1680,I1680+1)</f>
        <v>240</v>
      </c>
      <c r="J1681">
        <f t="shared" si="134"/>
        <v>1679</v>
      </c>
      <c r="K1681">
        <f>IF(calendar[[#This Row],[Month]]&lt;4,1,IF(calendar[[#This Row],[Month]]&lt;7,2,IF(calendar[[#This Row],[Month]]&lt;10,3,4)))</f>
        <v>3</v>
      </c>
      <c r="L1681">
        <f>IFERROR(IF(VLOOKUP(calendar[[#This Row],[Date]],BH!A:A,1,)&lt;&gt;"",1,0),0)</f>
        <v>0</v>
      </c>
      <c r="M1681">
        <f>IFERROR(IF(VLOOKUP(calendar[[#This Row],[Date]],BH!C:C,1,)&lt;&gt;"",1,0),0)</f>
        <v>0</v>
      </c>
      <c r="N1681">
        <f>IFERROR(IF(VLOOKUP(calendar[[#This Row],[Date]],BH!E:E,1,)&lt;&gt;"",1,0),0)</f>
        <v>0</v>
      </c>
      <c r="O1681">
        <f>IFERROR(IF(VLOOKUP(calendar[[#This Row],[Date]],BH!G:G,1,)&lt;&gt;"",1,0),0)</f>
        <v>0</v>
      </c>
      <c r="P1681">
        <f>IF(OR(calendar[[#This Row],[UK_BH]]=1,calendar[[#This Row],[WeekDay]]=1, calendar[[#This Row],[WeekDay]]=7),P1680,P1680+1)</f>
        <v>1200</v>
      </c>
      <c r="Q1681">
        <f>IF(OR(calendar[[#This Row],[FR_BH]]=1,calendar[[#This Row],[WeekDay]]=1, calendar[[#This Row],[WeekDay]]=7),P1680,P1680+1)</f>
        <v>1200</v>
      </c>
      <c r="R1681">
        <f>IF(OR(calendar[[#This Row],[SP_BH]]=1,calendar[[#This Row],[WeekDay]]=1, calendar[[#This Row],[WeekDay]]=7),P1680,P1680+1)</f>
        <v>1200</v>
      </c>
      <c r="S1681">
        <f>IF(OR(calendar[[#This Row],[PT_BH]]=1,calendar[[#This Row],[WeekDay]]=1, calendar[[#This Row],[WeekDay]]=7),P1680,P1680+1)</f>
        <v>1200</v>
      </c>
    </row>
    <row r="1682" spans="1:19" x14ac:dyDescent="0.25">
      <c r="A1682" s="2">
        <v>44416</v>
      </c>
      <c r="B1682" s="1">
        <f t="shared" si="133"/>
        <v>33</v>
      </c>
      <c r="C1682">
        <f t="shared" si="135"/>
        <v>8</v>
      </c>
      <c r="D1682" t="str">
        <f t="shared" si="136"/>
        <v>August</v>
      </c>
      <c r="E1682">
        <f t="shared" si="137"/>
        <v>2021</v>
      </c>
      <c r="F1682" t="str">
        <f>CONCATENATE(calendar[[#This Row],[Month]],"/",calendar[[#This Row],[Year]])</f>
        <v>8/2021</v>
      </c>
      <c r="G1682">
        <f>WEEKDAY(calendar[[#This Row],[Date]],1)</f>
        <v>1</v>
      </c>
      <c r="H1682" t="str">
        <f>TEXT(calendar[[#This Row],[WeekDay]],"dddd")</f>
        <v>Sunday</v>
      </c>
      <c r="I1682">
        <f>IF((INT(calendar[[#This Row],[Count]]/7)-calendar[[#This Row],[Count]]/7)&lt;0,I1681,I1681+1)</f>
        <v>241</v>
      </c>
      <c r="J1682">
        <f t="shared" si="134"/>
        <v>1680</v>
      </c>
      <c r="K1682">
        <f>IF(calendar[[#This Row],[Month]]&lt;4,1,IF(calendar[[#This Row],[Month]]&lt;7,2,IF(calendar[[#This Row],[Month]]&lt;10,3,4)))</f>
        <v>3</v>
      </c>
      <c r="L1682">
        <f>IFERROR(IF(VLOOKUP(calendar[[#This Row],[Date]],BH!A:A,1,)&lt;&gt;"",1,0),0)</f>
        <v>0</v>
      </c>
      <c r="M1682">
        <f>IFERROR(IF(VLOOKUP(calendar[[#This Row],[Date]],BH!C:C,1,)&lt;&gt;"",1,0),0)</f>
        <v>0</v>
      </c>
      <c r="N1682">
        <f>IFERROR(IF(VLOOKUP(calendar[[#This Row],[Date]],BH!E:E,1,)&lt;&gt;"",1,0),0)</f>
        <v>0</v>
      </c>
      <c r="O1682">
        <f>IFERROR(IF(VLOOKUP(calendar[[#This Row],[Date]],BH!G:G,1,)&lt;&gt;"",1,0),0)</f>
        <v>0</v>
      </c>
      <c r="P1682">
        <f>IF(OR(calendar[[#This Row],[UK_BH]]=1,calendar[[#This Row],[WeekDay]]=1, calendar[[#This Row],[WeekDay]]=7),P1681,P1681+1)</f>
        <v>1200</v>
      </c>
      <c r="Q1682">
        <f>IF(OR(calendar[[#This Row],[FR_BH]]=1,calendar[[#This Row],[WeekDay]]=1, calendar[[#This Row],[WeekDay]]=7),P1681,P1681+1)</f>
        <v>1200</v>
      </c>
      <c r="R1682">
        <f>IF(OR(calendar[[#This Row],[SP_BH]]=1,calendar[[#This Row],[WeekDay]]=1, calendar[[#This Row],[WeekDay]]=7),P1681,P1681+1)</f>
        <v>1200</v>
      </c>
      <c r="S1682">
        <f>IF(OR(calendar[[#This Row],[PT_BH]]=1,calendar[[#This Row],[WeekDay]]=1, calendar[[#This Row],[WeekDay]]=7),P1681,P1681+1)</f>
        <v>1200</v>
      </c>
    </row>
    <row r="1683" spans="1:19" x14ac:dyDescent="0.25">
      <c r="A1683" s="2">
        <v>44417</v>
      </c>
      <c r="B1683" s="1">
        <f t="shared" si="133"/>
        <v>33</v>
      </c>
      <c r="C1683">
        <f t="shared" si="135"/>
        <v>8</v>
      </c>
      <c r="D1683" t="str">
        <f t="shared" si="136"/>
        <v>August</v>
      </c>
      <c r="E1683">
        <f t="shared" si="137"/>
        <v>2021</v>
      </c>
      <c r="F1683" t="str">
        <f>CONCATENATE(calendar[[#This Row],[Month]],"/",calendar[[#This Row],[Year]])</f>
        <v>8/2021</v>
      </c>
      <c r="G1683">
        <f>WEEKDAY(calendar[[#This Row],[Date]],1)</f>
        <v>2</v>
      </c>
      <c r="H1683" t="str">
        <f>TEXT(calendar[[#This Row],[WeekDay]],"dddd")</f>
        <v>Monday</v>
      </c>
      <c r="I1683">
        <f>IF((INT(calendar[[#This Row],[Count]]/7)-calendar[[#This Row],[Count]]/7)&lt;0,I1682,I1682+1)</f>
        <v>241</v>
      </c>
      <c r="J1683">
        <f t="shared" si="134"/>
        <v>1681</v>
      </c>
      <c r="K1683">
        <f>IF(calendar[[#This Row],[Month]]&lt;4,1,IF(calendar[[#This Row],[Month]]&lt;7,2,IF(calendar[[#This Row],[Month]]&lt;10,3,4)))</f>
        <v>3</v>
      </c>
      <c r="L1683">
        <f>IFERROR(IF(VLOOKUP(calendar[[#This Row],[Date]],BH!A:A,1,)&lt;&gt;"",1,0),0)</f>
        <v>0</v>
      </c>
      <c r="M1683">
        <f>IFERROR(IF(VLOOKUP(calendar[[#This Row],[Date]],BH!C:C,1,)&lt;&gt;"",1,0),0)</f>
        <v>0</v>
      </c>
      <c r="N1683">
        <f>IFERROR(IF(VLOOKUP(calendar[[#This Row],[Date]],BH!E:E,1,)&lt;&gt;"",1,0),0)</f>
        <v>0</v>
      </c>
      <c r="O1683">
        <f>IFERROR(IF(VLOOKUP(calendar[[#This Row],[Date]],BH!G:G,1,)&lt;&gt;"",1,0),0)</f>
        <v>0</v>
      </c>
      <c r="P1683">
        <f>IF(OR(calendar[[#This Row],[UK_BH]]=1,calendar[[#This Row],[WeekDay]]=1, calendar[[#This Row],[WeekDay]]=7),P1682,P1682+1)</f>
        <v>1201</v>
      </c>
      <c r="Q1683">
        <f>IF(OR(calendar[[#This Row],[FR_BH]]=1,calendar[[#This Row],[WeekDay]]=1, calendar[[#This Row],[WeekDay]]=7),P1682,P1682+1)</f>
        <v>1201</v>
      </c>
      <c r="R1683">
        <f>IF(OR(calendar[[#This Row],[SP_BH]]=1,calendar[[#This Row],[WeekDay]]=1, calendar[[#This Row],[WeekDay]]=7),P1682,P1682+1)</f>
        <v>1201</v>
      </c>
      <c r="S1683">
        <f>IF(OR(calendar[[#This Row],[PT_BH]]=1,calendar[[#This Row],[WeekDay]]=1, calendar[[#This Row],[WeekDay]]=7),P1682,P1682+1)</f>
        <v>1201</v>
      </c>
    </row>
    <row r="1684" spans="1:19" x14ac:dyDescent="0.25">
      <c r="A1684" s="2">
        <v>44418</v>
      </c>
      <c r="B1684" s="1">
        <f t="shared" si="133"/>
        <v>33</v>
      </c>
      <c r="C1684">
        <f t="shared" si="135"/>
        <v>8</v>
      </c>
      <c r="D1684" t="str">
        <f t="shared" si="136"/>
        <v>August</v>
      </c>
      <c r="E1684">
        <f t="shared" si="137"/>
        <v>2021</v>
      </c>
      <c r="F1684" t="str">
        <f>CONCATENATE(calendar[[#This Row],[Month]],"/",calendar[[#This Row],[Year]])</f>
        <v>8/2021</v>
      </c>
      <c r="G1684">
        <f>WEEKDAY(calendar[[#This Row],[Date]],1)</f>
        <v>3</v>
      </c>
      <c r="H1684" t="str">
        <f>TEXT(calendar[[#This Row],[WeekDay]],"dddd")</f>
        <v>Tuesday</v>
      </c>
      <c r="I1684">
        <f>IF((INT(calendar[[#This Row],[Count]]/7)-calendar[[#This Row],[Count]]/7)&lt;0,I1683,I1683+1)</f>
        <v>241</v>
      </c>
      <c r="J1684">
        <f t="shared" si="134"/>
        <v>1682</v>
      </c>
      <c r="K1684">
        <f>IF(calendar[[#This Row],[Month]]&lt;4,1,IF(calendar[[#This Row],[Month]]&lt;7,2,IF(calendar[[#This Row],[Month]]&lt;10,3,4)))</f>
        <v>3</v>
      </c>
      <c r="L1684">
        <f>IFERROR(IF(VLOOKUP(calendar[[#This Row],[Date]],BH!A:A,1,)&lt;&gt;"",1,0),0)</f>
        <v>0</v>
      </c>
      <c r="M1684">
        <f>IFERROR(IF(VLOOKUP(calendar[[#This Row],[Date]],BH!C:C,1,)&lt;&gt;"",1,0),0)</f>
        <v>0</v>
      </c>
      <c r="N1684">
        <f>IFERROR(IF(VLOOKUP(calendar[[#This Row],[Date]],BH!E:E,1,)&lt;&gt;"",1,0),0)</f>
        <v>0</v>
      </c>
      <c r="O1684">
        <f>IFERROR(IF(VLOOKUP(calendar[[#This Row],[Date]],BH!G:G,1,)&lt;&gt;"",1,0),0)</f>
        <v>0</v>
      </c>
      <c r="P1684">
        <f>IF(OR(calendar[[#This Row],[UK_BH]]=1,calendar[[#This Row],[WeekDay]]=1, calendar[[#This Row],[WeekDay]]=7),P1683,P1683+1)</f>
        <v>1202</v>
      </c>
      <c r="Q1684">
        <f>IF(OR(calendar[[#This Row],[FR_BH]]=1,calendar[[#This Row],[WeekDay]]=1, calendar[[#This Row],[WeekDay]]=7),P1683,P1683+1)</f>
        <v>1202</v>
      </c>
      <c r="R1684">
        <f>IF(OR(calendar[[#This Row],[SP_BH]]=1,calendar[[#This Row],[WeekDay]]=1, calendar[[#This Row],[WeekDay]]=7),P1683,P1683+1)</f>
        <v>1202</v>
      </c>
      <c r="S1684">
        <f>IF(OR(calendar[[#This Row],[PT_BH]]=1,calendar[[#This Row],[WeekDay]]=1, calendar[[#This Row],[WeekDay]]=7),P1683,P1683+1)</f>
        <v>1202</v>
      </c>
    </row>
    <row r="1685" spans="1:19" x14ac:dyDescent="0.25">
      <c r="A1685" s="2">
        <v>44419</v>
      </c>
      <c r="B1685" s="1">
        <f t="shared" si="133"/>
        <v>33</v>
      </c>
      <c r="C1685">
        <f t="shared" si="135"/>
        <v>8</v>
      </c>
      <c r="D1685" t="str">
        <f t="shared" si="136"/>
        <v>August</v>
      </c>
      <c r="E1685">
        <f t="shared" si="137"/>
        <v>2021</v>
      </c>
      <c r="F1685" t="str">
        <f>CONCATENATE(calendar[[#This Row],[Month]],"/",calendar[[#This Row],[Year]])</f>
        <v>8/2021</v>
      </c>
      <c r="G1685">
        <f>WEEKDAY(calendar[[#This Row],[Date]],1)</f>
        <v>4</v>
      </c>
      <c r="H1685" t="str">
        <f>TEXT(calendar[[#This Row],[WeekDay]],"dddd")</f>
        <v>Wednesday</v>
      </c>
      <c r="I1685">
        <f>IF((INT(calendar[[#This Row],[Count]]/7)-calendar[[#This Row],[Count]]/7)&lt;0,I1684,I1684+1)</f>
        <v>241</v>
      </c>
      <c r="J1685">
        <f t="shared" si="134"/>
        <v>1683</v>
      </c>
      <c r="K1685">
        <f>IF(calendar[[#This Row],[Month]]&lt;4,1,IF(calendar[[#This Row],[Month]]&lt;7,2,IF(calendar[[#This Row],[Month]]&lt;10,3,4)))</f>
        <v>3</v>
      </c>
      <c r="L1685">
        <f>IFERROR(IF(VLOOKUP(calendar[[#This Row],[Date]],BH!A:A,1,)&lt;&gt;"",1,0),0)</f>
        <v>0</v>
      </c>
      <c r="M1685">
        <f>IFERROR(IF(VLOOKUP(calendar[[#This Row],[Date]],BH!C:C,1,)&lt;&gt;"",1,0),0)</f>
        <v>0</v>
      </c>
      <c r="N1685">
        <f>IFERROR(IF(VLOOKUP(calendar[[#This Row],[Date]],BH!E:E,1,)&lt;&gt;"",1,0),0)</f>
        <v>0</v>
      </c>
      <c r="O1685">
        <f>IFERROR(IF(VLOOKUP(calendar[[#This Row],[Date]],BH!G:G,1,)&lt;&gt;"",1,0),0)</f>
        <v>0</v>
      </c>
      <c r="P1685">
        <f>IF(OR(calendar[[#This Row],[UK_BH]]=1,calendar[[#This Row],[WeekDay]]=1, calendar[[#This Row],[WeekDay]]=7),P1684,P1684+1)</f>
        <v>1203</v>
      </c>
      <c r="Q1685">
        <f>IF(OR(calendar[[#This Row],[FR_BH]]=1,calendar[[#This Row],[WeekDay]]=1, calendar[[#This Row],[WeekDay]]=7),P1684,P1684+1)</f>
        <v>1203</v>
      </c>
      <c r="R1685">
        <f>IF(OR(calendar[[#This Row],[SP_BH]]=1,calendar[[#This Row],[WeekDay]]=1, calendar[[#This Row],[WeekDay]]=7),P1684,P1684+1)</f>
        <v>1203</v>
      </c>
      <c r="S1685">
        <f>IF(OR(calendar[[#This Row],[PT_BH]]=1,calendar[[#This Row],[WeekDay]]=1, calendar[[#This Row],[WeekDay]]=7),P1684,P1684+1)</f>
        <v>1203</v>
      </c>
    </row>
    <row r="1686" spans="1:19" x14ac:dyDescent="0.25">
      <c r="A1686" s="2">
        <v>44420</v>
      </c>
      <c r="B1686" s="1">
        <f t="shared" si="133"/>
        <v>33</v>
      </c>
      <c r="C1686">
        <f t="shared" si="135"/>
        <v>8</v>
      </c>
      <c r="D1686" t="str">
        <f t="shared" si="136"/>
        <v>August</v>
      </c>
      <c r="E1686">
        <f t="shared" si="137"/>
        <v>2021</v>
      </c>
      <c r="F1686" t="str">
        <f>CONCATENATE(calendar[[#This Row],[Month]],"/",calendar[[#This Row],[Year]])</f>
        <v>8/2021</v>
      </c>
      <c r="G1686">
        <f>WEEKDAY(calendar[[#This Row],[Date]],1)</f>
        <v>5</v>
      </c>
      <c r="H1686" t="str">
        <f>TEXT(calendar[[#This Row],[WeekDay]],"dddd")</f>
        <v>Thursday</v>
      </c>
      <c r="I1686">
        <f>IF((INT(calendar[[#This Row],[Count]]/7)-calendar[[#This Row],[Count]]/7)&lt;0,I1685,I1685+1)</f>
        <v>241</v>
      </c>
      <c r="J1686">
        <f t="shared" si="134"/>
        <v>1684</v>
      </c>
      <c r="K1686">
        <f>IF(calendar[[#This Row],[Month]]&lt;4,1,IF(calendar[[#This Row],[Month]]&lt;7,2,IF(calendar[[#This Row],[Month]]&lt;10,3,4)))</f>
        <v>3</v>
      </c>
      <c r="L1686">
        <f>IFERROR(IF(VLOOKUP(calendar[[#This Row],[Date]],BH!A:A,1,)&lt;&gt;"",1,0),0)</f>
        <v>0</v>
      </c>
      <c r="M1686">
        <f>IFERROR(IF(VLOOKUP(calendar[[#This Row],[Date]],BH!C:C,1,)&lt;&gt;"",1,0),0)</f>
        <v>0</v>
      </c>
      <c r="N1686">
        <f>IFERROR(IF(VLOOKUP(calendar[[#This Row],[Date]],BH!E:E,1,)&lt;&gt;"",1,0),0)</f>
        <v>0</v>
      </c>
      <c r="O1686">
        <f>IFERROR(IF(VLOOKUP(calendar[[#This Row],[Date]],BH!G:G,1,)&lt;&gt;"",1,0),0)</f>
        <v>0</v>
      </c>
      <c r="P1686">
        <f>IF(OR(calendar[[#This Row],[UK_BH]]=1,calendar[[#This Row],[WeekDay]]=1, calendar[[#This Row],[WeekDay]]=7),P1685,P1685+1)</f>
        <v>1204</v>
      </c>
      <c r="Q1686">
        <f>IF(OR(calendar[[#This Row],[FR_BH]]=1,calendar[[#This Row],[WeekDay]]=1, calendar[[#This Row],[WeekDay]]=7),P1685,P1685+1)</f>
        <v>1204</v>
      </c>
      <c r="R1686">
        <f>IF(OR(calendar[[#This Row],[SP_BH]]=1,calendar[[#This Row],[WeekDay]]=1, calendar[[#This Row],[WeekDay]]=7),P1685,P1685+1)</f>
        <v>1204</v>
      </c>
      <c r="S1686">
        <f>IF(OR(calendar[[#This Row],[PT_BH]]=1,calendar[[#This Row],[WeekDay]]=1, calendar[[#This Row],[WeekDay]]=7),P1685,P1685+1)</f>
        <v>1204</v>
      </c>
    </row>
    <row r="1687" spans="1:19" x14ac:dyDescent="0.25">
      <c r="A1687" s="2">
        <v>44421</v>
      </c>
      <c r="B1687" s="1">
        <f t="shared" si="133"/>
        <v>33</v>
      </c>
      <c r="C1687">
        <f t="shared" si="135"/>
        <v>8</v>
      </c>
      <c r="D1687" t="str">
        <f t="shared" si="136"/>
        <v>August</v>
      </c>
      <c r="E1687">
        <f t="shared" si="137"/>
        <v>2021</v>
      </c>
      <c r="F1687" t="str">
        <f>CONCATENATE(calendar[[#This Row],[Month]],"/",calendar[[#This Row],[Year]])</f>
        <v>8/2021</v>
      </c>
      <c r="G1687">
        <f>WEEKDAY(calendar[[#This Row],[Date]],1)</f>
        <v>6</v>
      </c>
      <c r="H1687" t="str">
        <f>TEXT(calendar[[#This Row],[WeekDay]],"dddd")</f>
        <v>Friday</v>
      </c>
      <c r="I1687">
        <f>IF((INT(calendar[[#This Row],[Count]]/7)-calendar[[#This Row],[Count]]/7)&lt;0,I1686,I1686+1)</f>
        <v>241</v>
      </c>
      <c r="J1687">
        <f t="shared" si="134"/>
        <v>1685</v>
      </c>
      <c r="K1687">
        <f>IF(calendar[[#This Row],[Month]]&lt;4,1,IF(calendar[[#This Row],[Month]]&lt;7,2,IF(calendar[[#This Row],[Month]]&lt;10,3,4)))</f>
        <v>3</v>
      </c>
      <c r="L1687">
        <f>IFERROR(IF(VLOOKUP(calendar[[#This Row],[Date]],BH!A:A,1,)&lt;&gt;"",1,0),0)</f>
        <v>0</v>
      </c>
      <c r="M1687">
        <f>IFERROR(IF(VLOOKUP(calendar[[#This Row],[Date]],BH!C:C,1,)&lt;&gt;"",1,0),0)</f>
        <v>0</v>
      </c>
      <c r="N1687">
        <f>IFERROR(IF(VLOOKUP(calendar[[#This Row],[Date]],BH!E:E,1,)&lt;&gt;"",1,0),0)</f>
        <v>0</v>
      </c>
      <c r="O1687">
        <f>IFERROR(IF(VLOOKUP(calendar[[#This Row],[Date]],BH!G:G,1,)&lt;&gt;"",1,0),0)</f>
        <v>0</v>
      </c>
      <c r="P1687">
        <f>IF(OR(calendar[[#This Row],[UK_BH]]=1,calendar[[#This Row],[WeekDay]]=1, calendar[[#This Row],[WeekDay]]=7),P1686,P1686+1)</f>
        <v>1205</v>
      </c>
      <c r="Q1687">
        <f>IF(OR(calendar[[#This Row],[FR_BH]]=1,calendar[[#This Row],[WeekDay]]=1, calendar[[#This Row],[WeekDay]]=7),P1686,P1686+1)</f>
        <v>1205</v>
      </c>
      <c r="R1687">
        <f>IF(OR(calendar[[#This Row],[SP_BH]]=1,calendar[[#This Row],[WeekDay]]=1, calendar[[#This Row],[WeekDay]]=7),P1686,P1686+1)</f>
        <v>1205</v>
      </c>
      <c r="S1687">
        <f>IF(OR(calendar[[#This Row],[PT_BH]]=1,calendar[[#This Row],[WeekDay]]=1, calendar[[#This Row],[WeekDay]]=7),P1686,P1686+1)</f>
        <v>1205</v>
      </c>
    </row>
    <row r="1688" spans="1:19" x14ac:dyDescent="0.25">
      <c r="A1688" s="2">
        <v>44422</v>
      </c>
      <c r="B1688" s="1">
        <f t="shared" si="133"/>
        <v>33</v>
      </c>
      <c r="C1688">
        <f t="shared" si="135"/>
        <v>8</v>
      </c>
      <c r="D1688" t="str">
        <f t="shared" si="136"/>
        <v>August</v>
      </c>
      <c r="E1688">
        <f t="shared" si="137"/>
        <v>2021</v>
      </c>
      <c r="F1688" t="str">
        <f>CONCATENATE(calendar[[#This Row],[Month]],"/",calendar[[#This Row],[Year]])</f>
        <v>8/2021</v>
      </c>
      <c r="G1688">
        <f>WEEKDAY(calendar[[#This Row],[Date]],1)</f>
        <v>7</v>
      </c>
      <c r="H1688" t="str">
        <f>TEXT(calendar[[#This Row],[WeekDay]],"dddd")</f>
        <v>Saturday</v>
      </c>
      <c r="I1688">
        <f>IF((INT(calendar[[#This Row],[Count]]/7)-calendar[[#This Row],[Count]]/7)&lt;0,I1687,I1687+1)</f>
        <v>241</v>
      </c>
      <c r="J1688">
        <f t="shared" si="134"/>
        <v>1686</v>
      </c>
      <c r="K1688">
        <f>IF(calendar[[#This Row],[Month]]&lt;4,1,IF(calendar[[#This Row],[Month]]&lt;7,2,IF(calendar[[#This Row],[Month]]&lt;10,3,4)))</f>
        <v>3</v>
      </c>
      <c r="L1688">
        <f>IFERROR(IF(VLOOKUP(calendar[[#This Row],[Date]],BH!A:A,1,)&lt;&gt;"",1,0),0)</f>
        <v>0</v>
      </c>
      <c r="M1688">
        <f>IFERROR(IF(VLOOKUP(calendar[[#This Row],[Date]],BH!C:C,1,)&lt;&gt;"",1,0),0)</f>
        <v>0</v>
      </c>
      <c r="N1688">
        <f>IFERROR(IF(VLOOKUP(calendar[[#This Row],[Date]],BH!E:E,1,)&lt;&gt;"",1,0),0)</f>
        <v>0</v>
      </c>
      <c r="O1688">
        <f>IFERROR(IF(VLOOKUP(calendar[[#This Row],[Date]],BH!G:G,1,)&lt;&gt;"",1,0),0)</f>
        <v>0</v>
      </c>
      <c r="P1688">
        <f>IF(OR(calendar[[#This Row],[UK_BH]]=1,calendar[[#This Row],[WeekDay]]=1, calendar[[#This Row],[WeekDay]]=7),P1687,P1687+1)</f>
        <v>1205</v>
      </c>
      <c r="Q1688">
        <f>IF(OR(calendar[[#This Row],[FR_BH]]=1,calendar[[#This Row],[WeekDay]]=1, calendar[[#This Row],[WeekDay]]=7),P1687,P1687+1)</f>
        <v>1205</v>
      </c>
      <c r="R1688">
        <f>IF(OR(calendar[[#This Row],[SP_BH]]=1,calendar[[#This Row],[WeekDay]]=1, calendar[[#This Row],[WeekDay]]=7),P1687,P1687+1)</f>
        <v>1205</v>
      </c>
      <c r="S1688">
        <f>IF(OR(calendar[[#This Row],[PT_BH]]=1,calendar[[#This Row],[WeekDay]]=1, calendar[[#This Row],[WeekDay]]=7),P1687,P1687+1)</f>
        <v>1205</v>
      </c>
    </row>
    <row r="1689" spans="1:19" x14ac:dyDescent="0.25">
      <c r="A1689" s="2">
        <v>44423</v>
      </c>
      <c r="B1689" s="1">
        <f t="shared" si="133"/>
        <v>34</v>
      </c>
      <c r="C1689">
        <f t="shared" si="135"/>
        <v>8</v>
      </c>
      <c r="D1689" t="str">
        <f t="shared" si="136"/>
        <v>August</v>
      </c>
      <c r="E1689">
        <f t="shared" si="137"/>
        <v>2021</v>
      </c>
      <c r="F1689" t="str">
        <f>CONCATENATE(calendar[[#This Row],[Month]],"/",calendar[[#This Row],[Year]])</f>
        <v>8/2021</v>
      </c>
      <c r="G1689">
        <f>WEEKDAY(calendar[[#This Row],[Date]],1)</f>
        <v>1</v>
      </c>
      <c r="H1689" t="str">
        <f>TEXT(calendar[[#This Row],[WeekDay]],"dddd")</f>
        <v>Sunday</v>
      </c>
      <c r="I1689">
        <f>IF((INT(calendar[[#This Row],[Count]]/7)-calendar[[#This Row],[Count]]/7)&lt;0,I1688,I1688+1)</f>
        <v>242</v>
      </c>
      <c r="J1689">
        <f t="shared" si="134"/>
        <v>1687</v>
      </c>
      <c r="K1689">
        <f>IF(calendar[[#This Row],[Month]]&lt;4,1,IF(calendar[[#This Row],[Month]]&lt;7,2,IF(calendar[[#This Row],[Month]]&lt;10,3,4)))</f>
        <v>3</v>
      </c>
      <c r="L1689">
        <f>IFERROR(IF(VLOOKUP(calendar[[#This Row],[Date]],BH!A:A,1,)&lt;&gt;"",1,0),0)</f>
        <v>0</v>
      </c>
      <c r="M1689">
        <f>IFERROR(IF(VLOOKUP(calendar[[#This Row],[Date]],BH!C:C,1,)&lt;&gt;"",1,0),0)</f>
        <v>0</v>
      </c>
      <c r="N1689">
        <f>IFERROR(IF(VLOOKUP(calendar[[#This Row],[Date]],BH!E:E,1,)&lt;&gt;"",1,0),0)</f>
        <v>0</v>
      </c>
      <c r="O1689">
        <f>IFERROR(IF(VLOOKUP(calendar[[#This Row],[Date]],BH!G:G,1,)&lt;&gt;"",1,0),0)</f>
        <v>0</v>
      </c>
      <c r="P1689">
        <f>IF(OR(calendar[[#This Row],[UK_BH]]=1,calendar[[#This Row],[WeekDay]]=1, calendar[[#This Row],[WeekDay]]=7),P1688,P1688+1)</f>
        <v>1205</v>
      </c>
      <c r="Q1689">
        <f>IF(OR(calendar[[#This Row],[FR_BH]]=1,calendar[[#This Row],[WeekDay]]=1, calendar[[#This Row],[WeekDay]]=7),P1688,P1688+1)</f>
        <v>1205</v>
      </c>
      <c r="R1689">
        <f>IF(OR(calendar[[#This Row],[SP_BH]]=1,calendar[[#This Row],[WeekDay]]=1, calendar[[#This Row],[WeekDay]]=7),P1688,P1688+1)</f>
        <v>1205</v>
      </c>
      <c r="S1689">
        <f>IF(OR(calendar[[#This Row],[PT_BH]]=1,calendar[[#This Row],[WeekDay]]=1, calendar[[#This Row],[WeekDay]]=7),P1688,P1688+1)</f>
        <v>1205</v>
      </c>
    </row>
    <row r="1690" spans="1:19" x14ac:dyDescent="0.25">
      <c r="A1690" s="2">
        <v>44424</v>
      </c>
      <c r="B1690" s="1">
        <f t="shared" si="133"/>
        <v>34</v>
      </c>
      <c r="C1690">
        <f t="shared" si="135"/>
        <v>8</v>
      </c>
      <c r="D1690" t="str">
        <f t="shared" si="136"/>
        <v>August</v>
      </c>
      <c r="E1690">
        <f t="shared" si="137"/>
        <v>2021</v>
      </c>
      <c r="F1690" t="str">
        <f>CONCATENATE(calendar[[#This Row],[Month]],"/",calendar[[#This Row],[Year]])</f>
        <v>8/2021</v>
      </c>
      <c r="G1690">
        <f>WEEKDAY(calendar[[#This Row],[Date]],1)</f>
        <v>2</v>
      </c>
      <c r="H1690" t="str">
        <f>TEXT(calendar[[#This Row],[WeekDay]],"dddd")</f>
        <v>Monday</v>
      </c>
      <c r="I1690">
        <f>IF((INT(calendar[[#This Row],[Count]]/7)-calendar[[#This Row],[Count]]/7)&lt;0,I1689,I1689+1)</f>
        <v>242</v>
      </c>
      <c r="J1690">
        <f t="shared" si="134"/>
        <v>1688</v>
      </c>
      <c r="K1690">
        <f>IF(calendar[[#This Row],[Month]]&lt;4,1,IF(calendar[[#This Row],[Month]]&lt;7,2,IF(calendar[[#This Row],[Month]]&lt;10,3,4)))</f>
        <v>3</v>
      </c>
      <c r="L1690">
        <f>IFERROR(IF(VLOOKUP(calendar[[#This Row],[Date]],BH!A:A,1,)&lt;&gt;"",1,0),0)</f>
        <v>0</v>
      </c>
      <c r="M1690">
        <f>IFERROR(IF(VLOOKUP(calendar[[#This Row],[Date]],BH!C:C,1,)&lt;&gt;"",1,0),0)</f>
        <v>0</v>
      </c>
      <c r="N1690">
        <f>IFERROR(IF(VLOOKUP(calendar[[#This Row],[Date]],BH!E:E,1,)&lt;&gt;"",1,0),0)</f>
        <v>0</v>
      </c>
      <c r="O1690">
        <f>IFERROR(IF(VLOOKUP(calendar[[#This Row],[Date]],BH!G:G,1,)&lt;&gt;"",1,0),0)</f>
        <v>0</v>
      </c>
      <c r="P1690">
        <f>IF(OR(calendar[[#This Row],[UK_BH]]=1,calendar[[#This Row],[WeekDay]]=1, calendar[[#This Row],[WeekDay]]=7),P1689,P1689+1)</f>
        <v>1206</v>
      </c>
      <c r="Q1690">
        <f>IF(OR(calendar[[#This Row],[FR_BH]]=1,calendar[[#This Row],[WeekDay]]=1, calendar[[#This Row],[WeekDay]]=7),P1689,P1689+1)</f>
        <v>1206</v>
      </c>
      <c r="R1690">
        <f>IF(OR(calendar[[#This Row],[SP_BH]]=1,calendar[[#This Row],[WeekDay]]=1, calendar[[#This Row],[WeekDay]]=7),P1689,P1689+1)</f>
        <v>1206</v>
      </c>
      <c r="S1690">
        <f>IF(OR(calendar[[#This Row],[PT_BH]]=1,calendar[[#This Row],[WeekDay]]=1, calendar[[#This Row],[WeekDay]]=7),P1689,P1689+1)</f>
        <v>1206</v>
      </c>
    </row>
    <row r="1691" spans="1:19" x14ac:dyDescent="0.25">
      <c r="A1691" s="2">
        <v>44425</v>
      </c>
      <c r="B1691" s="1">
        <f t="shared" si="133"/>
        <v>34</v>
      </c>
      <c r="C1691">
        <f t="shared" si="135"/>
        <v>8</v>
      </c>
      <c r="D1691" t="str">
        <f t="shared" si="136"/>
        <v>August</v>
      </c>
      <c r="E1691">
        <f t="shared" si="137"/>
        <v>2021</v>
      </c>
      <c r="F1691" t="str">
        <f>CONCATENATE(calendar[[#This Row],[Month]],"/",calendar[[#This Row],[Year]])</f>
        <v>8/2021</v>
      </c>
      <c r="G1691">
        <f>WEEKDAY(calendar[[#This Row],[Date]],1)</f>
        <v>3</v>
      </c>
      <c r="H1691" t="str">
        <f>TEXT(calendar[[#This Row],[WeekDay]],"dddd")</f>
        <v>Tuesday</v>
      </c>
      <c r="I1691">
        <f>IF((INT(calendar[[#This Row],[Count]]/7)-calendar[[#This Row],[Count]]/7)&lt;0,I1690,I1690+1)</f>
        <v>242</v>
      </c>
      <c r="J1691">
        <f t="shared" si="134"/>
        <v>1689</v>
      </c>
      <c r="K1691">
        <f>IF(calendar[[#This Row],[Month]]&lt;4,1,IF(calendar[[#This Row],[Month]]&lt;7,2,IF(calendar[[#This Row],[Month]]&lt;10,3,4)))</f>
        <v>3</v>
      </c>
      <c r="L1691">
        <f>IFERROR(IF(VLOOKUP(calendar[[#This Row],[Date]],BH!A:A,1,)&lt;&gt;"",1,0),0)</f>
        <v>0</v>
      </c>
      <c r="M1691">
        <f>IFERROR(IF(VLOOKUP(calendar[[#This Row],[Date]],BH!C:C,1,)&lt;&gt;"",1,0),0)</f>
        <v>0</v>
      </c>
      <c r="N1691">
        <f>IFERROR(IF(VLOOKUP(calendar[[#This Row],[Date]],BH!E:E,1,)&lt;&gt;"",1,0),0)</f>
        <v>0</v>
      </c>
      <c r="O1691">
        <f>IFERROR(IF(VLOOKUP(calendar[[#This Row],[Date]],BH!G:G,1,)&lt;&gt;"",1,0),0)</f>
        <v>0</v>
      </c>
      <c r="P1691">
        <f>IF(OR(calendar[[#This Row],[UK_BH]]=1,calendar[[#This Row],[WeekDay]]=1, calendar[[#This Row],[WeekDay]]=7),P1690,P1690+1)</f>
        <v>1207</v>
      </c>
      <c r="Q1691">
        <f>IF(OR(calendar[[#This Row],[FR_BH]]=1,calendar[[#This Row],[WeekDay]]=1, calendar[[#This Row],[WeekDay]]=7),P1690,P1690+1)</f>
        <v>1207</v>
      </c>
      <c r="R1691">
        <f>IF(OR(calendar[[#This Row],[SP_BH]]=1,calendar[[#This Row],[WeekDay]]=1, calendar[[#This Row],[WeekDay]]=7),P1690,P1690+1)</f>
        <v>1207</v>
      </c>
      <c r="S1691">
        <f>IF(OR(calendar[[#This Row],[PT_BH]]=1,calendar[[#This Row],[WeekDay]]=1, calendar[[#This Row],[WeekDay]]=7),P1690,P1690+1)</f>
        <v>1207</v>
      </c>
    </row>
    <row r="1692" spans="1:19" x14ac:dyDescent="0.25">
      <c r="A1692" s="2">
        <v>44426</v>
      </c>
      <c r="B1692" s="1">
        <f t="shared" si="133"/>
        <v>34</v>
      </c>
      <c r="C1692">
        <f t="shared" si="135"/>
        <v>8</v>
      </c>
      <c r="D1692" t="str">
        <f t="shared" si="136"/>
        <v>August</v>
      </c>
      <c r="E1692">
        <f t="shared" si="137"/>
        <v>2021</v>
      </c>
      <c r="F1692" t="str">
        <f>CONCATENATE(calendar[[#This Row],[Month]],"/",calendar[[#This Row],[Year]])</f>
        <v>8/2021</v>
      </c>
      <c r="G1692">
        <f>WEEKDAY(calendar[[#This Row],[Date]],1)</f>
        <v>4</v>
      </c>
      <c r="H1692" t="str">
        <f>TEXT(calendar[[#This Row],[WeekDay]],"dddd")</f>
        <v>Wednesday</v>
      </c>
      <c r="I1692">
        <f>IF((INT(calendar[[#This Row],[Count]]/7)-calendar[[#This Row],[Count]]/7)&lt;0,I1691,I1691+1)</f>
        <v>242</v>
      </c>
      <c r="J1692">
        <f t="shared" si="134"/>
        <v>1690</v>
      </c>
      <c r="K1692">
        <f>IF(calendar[[#This Row],[Month]]&lt;4,1,IF(calendar[[#This Row],[Month]]&lt;7,2,IF(calendar[[#This Row],[Month]]&lt;10,3,4)))</f>
        <v>3</v>
      </c>
      <c r="L1692">
        <f>IFERROR(IF(VLOOKUP(calendar[[#This Row],[Date]],BH!A:A,1,)&lt;&gt;"",1,0),0)</f>
        <v>0</v>
      </c>
      <c r="M1692">
        <f>IFERROR(IF(VLOOKUP(calendar[[#This Row],[Date]],BH!C:C,1,)&lt;&gt;"",1,0),0)</f>
        <v>0</v>
      </c>
      <c r="N1692">
        <f>IFERROR(IF(VLOOKUP(calendar[[#This Row],[Date]],BH!E:E,1,)&lt;&gt;"",1,0),0)</f>
        <v>0</v>
      </c>
      <c r="O1692">
        <f>IFERROR(IF(VLOOKUP(calendar[[#This Row],[Date]],BH!G:G,1,)&lt;&gt;"",1,0),0)</f>
        <v>0</v>
      </c>
      <c r="P1692">
        <f>IF(OR(calendar[[#This Row],[UK_BH]]=1,calendar[[#This Row],[WeekDay]]=1, calendar[[#This Row],[WeekDay]]=7),P1691,P1691+1)</f>
        <v>1208</v>
      </c>
      <c r="Q1692">
        <f>IF(OR(calendar[[#This Row],[FR_BH]]=1,calendar[[#This Row],[WeekDay]]=1, calendar[[#This Row],[WeekDay]]=7),P1691,P1691+1)</f>
        <v>1208</v>
      </c>
      <c r="R1692">
        <f>IF(OR(calendar[[#This Row],[SP_BH]]=1,calendar[[#This Row],[WeekDay]]=1, calendar[[#This Row],[WeekDay]]=7),P1691,P1691+1)</f>
        <v>1208</v>
      </c>
      <c r="S1692">
        <f>IF(OR(calendar[[#This Row],[PT_BH]]=1,calendar[[#This Row],[WeekDay]]=1, calendar[[#This Row],[WeekDay]]=7),P1691,P1691+1)</f>
        <v>1208</v>
      </c>
    </row>
    <row r="1693" spans="1:19" x14ac:dyDescent="0.25">
      <c r="A1693" s="2">
        <v>44427</v>
      </c>
      <c r="B1693" s="1">
        <f t="shared" si="133"/>
        <v>34</v>
      </c>
      <c r="C1693">
        <f t="shared" si="135"/>
        <v>8</v>
      </c>
      <c r="D1693" t="str">
        <f t="shared" si="136"/>
        <v>August</v>
      </c>
      <c r="E1693">
        <f t="shared" si="137"/>
        <v>2021</v>
      </c>
      <c r="F1693" t="str">
        <f>CONCATENATE(calendar[[#This Row],[Month]],"/",calendar[[#This Row],[Year]])</f>
        <v>8/2021</v>
      </c>
      <c r="G1693">
        <f>WEEKDAY(calendar[[#This Row],[Date]],1)</f>
        <v>5</v>
      </c>
      <c r="H1693" t="str">
        <f>TEXT(calendar[[#This Row],[WeekDay]],"dddd")</f>
        <v>Thursday</v>
      </c>
      <c r="I1693">
        <f>IF((INT(calendar[[#This Row],[Count]]/7)-calendar[[#This Row],[Count]]/7)&lt;0,I1692,I1692+1)</f>
        <v>242</v>
      </c>
      <c r="J1693">
        <f t="shared" si="134"/>
        <v>1691</v>
      </c>
      <c r="K1693">
        <f>IF(calendar[[#This Row],[Month]]&lt;4,1,IF(calendar[[#This Row],[Month]]&lt;7,2,IF(calendar[[#This Row],[Month]]&lt;10,3,4)))</f>
        <v>3</v>
      </c>
      <c r="L1693">
        <f>IFERROR(IF(VLOOKUP(calendar[[#This Row],[Date]],BH!A:A,1,)&lt;&gt;"",1,0),0)</f>
        <v>0</v>
      </c>
      <c r="M1693">
        <f>IFERROR(IF(VLOOKUP(calendar[[#This Row],[Date]],BH!C:C,1,)&lt;&gt;"",1,0),0)</f>
        <v>0</v>
      </c>
      <c r="N1693">
        <f>IFERROR(IF(VLOOKUP(calendar[[#This Row],[Date]],BH!E:E,1,)&lt;&gt;"",1,0),0)</f>
        <v>0</v>
      </c>
      <c r="O1693">
        <f>IFERROR(IF(VLOOKUP(calendar[[#This Row],[Date]],BH!G:G,1,)&lt;&gt;"",1,0),0)</f>
        <v>0</v>
      </c>
      <c r="P1693">
        <f>IF(OR(calendar[[#This Row],[UK_BH]]=1,calendar[[#This Row],[WeekDay]]=1, calendar[[#This Row],[WeekDay]]=7),P1692,P1692+1)</f>
        <v>1209</v>
      </c>
      <c r="Q1693">
        <f>IF(OR(calendar[[#This Row],[FR_BH]]=1,calendar[[#This Row],[WeekDay]]=1, calendar[[#This Row],[WeekDay]]=7),P1692,P1692+1)</f>
        <v>1209</v>
      </c>
      <c r="R1693">
        <f>IF(OR(calendar[[#This Row],[SP_BH]]=1,calendar[[#This Row],[WeekDay]]=1, calendar[[#This Row],[WeekDay]]=7),P1692,P1692+1)</f>
        <v>1209</v>
      </c>
      <c r="S1693">
        <f>IF(OR(calendar[[#This Row],[PT_BH]]=1,calendar[[#This Row],[WeekDay]]=1, calendar[[#This Row],[WeekDay]]=7),P1692,P1692+1)</f>
        <v>1209</v>
      </c>
    </row>
    <row r="1694" spans="1:19" x14ac:dyDescent="0.25">
      <c r="A1694" s="2">
        <v>44428</v>
      </c>
      <c r="B1694" s="1">
        <f t="shared" si="133"/>
        <v>34</v>
      </c>
      <c r="C1694">
        <f t="shared" si="135"/>
        <v>8</v>
      </c>
      <c r="D1694" t="str">
        <f t="shared" si="136"/>
        <v>August</v>
      </c>
      <c r="E1694">
        <f t="shared" si="137"/>
        <v>2021</v>
      </c>
      <c r="F1694" t="str">
        <f>CONCATENATE(calendar[[#This Row],[Month]],"/",calendar[[#This Row],[Year]])</f>
        <v>8/2021</v>
      </c>
      <c r="G1694">
        <f>WEEKDAY(calendar[[#This Row],[Date]],1)</f>
        <v>6</v>
      </c>
      <c r="H1694" t="str">
        <f>TEXT(calendar[[#This Row],[WeekDay]],"dddd")</f>
        <v>Friday</v>
      </c>
      <c r="I1694">
        <f>IF((INT(calendar[[#This Row],[Count]]/7)-calendar[[#This Row],[Count]]/7)&lt;0,I1693,I1693+1)</f>
        <v>242</v>
      </c>
      <c r="J1694">
        <f t="shared" si="134"/>
        <v>1692</v>
      </c>
      <c r="K1694">
        <f>IF(calendar[[#This Row],[Month]]&lt;4,1,IF(calendar[[#This Row],[Month]]&lt;7,2,IF(calendar[[#This Row],[Month]]&lt;10,3,4)))</f>
        <v>3</v>
      </c>
      <c r="L1694">
        <f>IFERROR(IF(VLOOKUP(calendar[[#This Row],[Date]],BH!A:A,1,)&lt;&gt;"",1,0),0)</f>
        <v>0</v>
      </c>
      <c r="M1694">
        <f>IFERROR(IF(VLOOKUP(calendar[[#This Row],[Date]],BH!C:C,1,)&lt;&gt;"",1,0),0)</f>
        <v>0</v>
      </c>
      <c r="N1694">
        <f>IFERROR(IF(VLOOKUP(calendar[[#This Row],[Date]],BH!E:E,1,)&lt;&gt;"",1,0),0)</f>
        <v>0</v>
      </c>
      <c r="O1694">
        <f>IFERROR(IF(VLOOKUP(calendar[[#This Row],[Date]],BH!G:G,1,)&lt;&gt;"",1,0),0)</f>
        <v>0</v>
      </c>
      <c r="P1694">
        <f>IF(OR(calendar[[#This Row],[UK_BH]]=1,calendar[[#This Row],[WeekDay]]=1, calendar[[#This Row],[WeekDay]]=7),P1693,P1693+1)</f>
        <v>1210</v>
      </c>
      <c r="Q1694">
        <f>IF(OR(calendar[[#This Row],[FR_BH]]=1,calendar[[#This Row],[WeekDay]]=1, calendar[[#This Row],[WeekDay]]=7),P1693,P1693+1)</f>
        <v>1210</v>
      </c>
      <c r="R1694">
        <f>IF(OR(calendar[[#This Row],[SP_BH]]=1,calendar[[#This Row],[WeekDay]]=1, calendar[[#This Row],[WeekDay]]=7),P1693,P1693+1)</f>
        <v>1210</v>
      </c>
      <c r="S1694">
        <f>IF(OR(calendar[[#This Row],[PT_BH]]=1,calendar[[#This Row],[WeekDay]]=1, calendar[[#This Row],[WeekDay]]=7),P1693,P1693+1)</f>
        <v>1210</v>
      </c>
    </row>
    <row r="1695" spans="1:19" x14ac:dyDescent="0.25">
      <c r="A1695" s="2">
        <v>44429</v>
      </c>
      <c r="B1695" s="1">
        <f t="shared" si="133"/>
        <v>34</v>
      </c>
      <c r="C1695">
        <f t="shared" si="135"/>
        <v>8</v>
      </c>
      <c r="D1695" t="str">
        <f t="shared" si="136"/>
        <v>August</v>
      </c>
      <c r="E1695">
        <f t="shared" si="137"/>
        <v>2021</v>
      </c>
      <c r="F1695" t="str">
        <f>CONCATENATE(calendar[[#This Row],[Month]],"/",calendar[[#This Row],[Year]])</f>
        <v>8/2021</v>
      </c>
      <c r="G1695">
        <f>WEEKDAY(calendar[[#This Row],[Date]],1)</f>
        <v>7</v>
      </c>
      <c r="H1695" t="str">
        <f>TEXT(calendar[[#This Row],[WeekDay]],"dddd")</f>
        <v>Saturday</v>
      </c>
      <c r="I1695">
        <f>IF((INT(calendar[[#This Row],[Count]]/7)-calendar[[#This Row],[Count]]/7)&lt;0,I1694,I1694+1)</f>
        <v>242</v>
      </c>
      <c r="J1695">
        <f t="shared" si="134"/>
        <v>1693</v>
      </c>
      <c r="K1695">
        <f>IF(calendar[[#This Row],[Month]]&lt;4,1,IF(calendar[[#This Row],[Month]]&lt;7,2,IF(calendar[[#This Row],[Month]]&lt;10,3,4)))</f>
        <v>3</v>
      </c>
      <c r="L1695">
        <f>IFERROR(IF(VLOOKUP(calendar[[#This Row],[Date]],BH!A:A,1,)&lt;&gt;"",1,0),0)</f>
        <v>0</v>
      </c>
      <c r="M1695">
        <f>IFERROR(IF(VLOOKUP(calendar[[#This Row],[Date]],BH!C:C,1,)&lt;&gt;"",1,0),0)</f>
        <v>0</v>
      </c>
      <c r="N1695">
        <f>IFERROR(IF(VLOOKUP(calendar[[#This Row],[Date]],BH!E:E,1,)&lt;&gt;"",1,0),0)</f>
        <v>0</v>
      </c>
      <c r="O1695">
        <f>IFERROR(IF(VLOOKUP(calendar[[#This Row],[Date]],BH!G:G,1,)&lt;&gt;"",1,0),0)</f>
        <v>0</v>
      </c>
      <c r="P1695">
        <f>IF(OR(calendar[[#This Row],[UK_BH]]=1,calendar[[#This Row],[WeekDay]]=1, calendar[[#This Row],[WeekDay]]=7),P1694,P1694+1)</f>
        <v>1210</v>
      </c>
      <c r="Q1695">
        <f>IF(OR(calendar[[#This Row],[FR_BH]]=1,calendar[[#This Row],[WeekDay]]=1, calendar[[#This Row],[WeekDay]]=7),P1694,P1694+1)</f>
        <v>1210</v>
      </c>
      <c r="R1695">
        <f>IF(OR(calendar[[#This Row],[SP_BH]]=1,calendar[[#This Row],[WeekDay]]=1, calendar[[#This Row],[WeekDay]]=7),P1694,P1694+1)</f>
        <v>1210</v>
      </c>
      <c r="S1695">
        <f>IF(OR(calendar[[#This Row],[PT_BH]]=1,calendar[[#This Row],[WeekDay]]=1, calendar[[#This Row],[WeekDay]]=7),P1694,P1694+1)</f>
        <v>1210</v>
      </c>
    </row>
    <row r="1696" spans="1:19" x14ac:dyDescent="0.25">
      <c r="A1696" s="2">
        <v>44430</v>
      </c>
      <c r="B1696" s="1">
        <f t="shared" si="133"/>
        <v>35</v>
      </c>
      <c r="C1696">
        <f t="shared" si="135"/>
        <v>8</v>
      </c>
      <c r="D1696" t="str">
        <f t="shared" si="136"/>
        <v>August</v>
      </c>
      <c r="E1696">
        <f t="shared" si="137"/>
        <v>2021</v>
      </c>
      <c r="F1696" t="str">
        <f>CONCATENATE(calendar[[#This Row],[Month]],"/",calendar[[#This Row],[Year]])</f>
        <v>8/2021</v>
      </c>
      <c r="G1696">
        <f>WEEKDAY(calendar[[#This Row],[Date]],1)</f>
        <v>1</v>
      </c>
      <c r="H1696" t="str">
        <f>TEXT(calendar[[#This Row],[WeekDay]],"dddd")</f>
        <v>Sunday</v>
      </c>
      <c r="I1696">
        <f>IF((INT(calendar[[#This Row],[Count]]/7)-calendar[[#This Row],[Count]]/7)&lt;0,I1695,I1695+1)</f>
        <v>243</v>
      </c>
      <c r="J1696">
        <f t="shared" si="134"/>
        <v>1694</v>
      </c>
      <c r="K1696">
        <f>IF(calendar[[#This Row],[Month]]&lt;4,1,IF(calendar[[#This Row],[Month]]&lt;7,2,IF(calendar[[#This Row],[Month]]&lt;10,3,4)))</f>
        <v>3</v>
      </c>
      <c r="L1696">
        <f>IFERROR(IF(VLOOKUP(calendar[[#This Row],[Date]],BH!A:A,1,)&lt;&gt;"",1,0),0)</f>
        <v>0</v>
      </c>
      <c r="M1696">
        <f>IFERROR(IF(VLOOKUP(calendar[[#This Row],[Date]],BH!C:C,1,)&lt;&gt;"",1,0),0)</f>
        <v>0</v>
      </c>
      <c r="N1696">
        <f>IFERROR(IF(VLOOKUP(calendar[[#This Row],[Date]],BH!E:E,1,)&lt;&gt;"",1,0),0)</f>
        <v>0</v>
      </c>
      <c r="O1696">
        <f>IFERROR(IF(VLOOKUP(calendar[[#This Row],[Date]],BH!G:G,1,)&lt;&gt;"",1,0),0)</f>
        <v>0</v>
      </c>
      <c r="P1696">
        <f>IF(OR(calendar[[#This Row],[UK_BH]]=1,calendar[[#This Row],[WeekDay]]=1, calendar[[#This Row],[WeekDay]]=7),P1695,P1695+1)</f>
        <v>1210</v>
      </c>
      <c r="Q1696">
        <f>IF(OR(calendar[[#This Row],[FR_BH]]=1,calendar[[#This Row],[WeekDay]]=1, calendar[[#This Row],[WeekDay]]=7),P1695,P1695+1)</f>
        <v>1210</v>
      </c>
      <c r="R1696">
        <f>IF(OR(calendar[[#This Row],[SP_BH]]=1,calendar[[#This Row],[WeekDay]]=1, calendar[[#This Row],[WeekDay]]=7),P1695,P1695+1)</f>
        <v>1210</v>
      </c>
      <c r="S1696">
        <f>IF(OR(calendar[[#This Row],[PT_BH]]=1,calendar[[#This Row],[WeekDay]]=1, calendar[[#This Row],[WeekDay]]=7),P1695,P1695+1)</f>
        <v>1210</v>
      </c>
    </row>
    <row r="1697" spans="1:19" x14ac:dyDescent="0.25">
      <c r="A1697" s="2">
        <v>44431</v>
      </c>
      <c r="B1697" s="1">
        <f t="shared" si="133"/>
        <v>35</v>
      </c>
      <c r="C1697">
        <f t="shared" si="135"/>
        <v>8</v>
      </c>
      <c r="D1697" t="str">
        <f t="shared" si="136"/>
        <v>August</v>
      </c>
      <c r="E1697">
        <f t="shared" si="137"/>
        <v>2021</v>
      </c>
      <c r="F1697" t="str">
        <f>CONCATENATE(calendar[[#This Row],[Month]],"/",calendar[[#This Row],[Year]])</f>
        <v>8/2021</v>
      </c>
      <c r="G1697">
        <f>WEEKDAY(calendar[[#This Row],[Date]],1)</f>
        <v>2</v>
      </c>
      <c r="H1697" t="str">
        <f>TEXT(calendar[[#This Row],[WeekDay]],"dddd")</f>
        <v>Monday</v>
      </c>
      <c r="I1697">
        <f>IF((INT(calendar[[#This Row],[Count]]/7)-calendar[[#This Row],[Count]]/7)&lt;0,I1696,I1696+1)</f>
        <v>243</v>
      </c>
      <c r="J1697">
        <f t="shared" si="134"/>
        <v>1695</v>
      </c>
      <c r="K1697">
        <f>IF(calendar[[#This Row],[Month]]&lt;4,1,IF(calendar[[#This Row],[Month]]&lt;7,2,IF(calendar[[#This Row],[Month]]&lt;10,3,4)))</f>
        <v>3</v>
      </c>
      <c r="L1697">
        <f>IFERROR(IF(VLOOKUP(calendar[[#This Row],[Date]],BH!A:A,1,)&lt;&gt;"",1,0),0)</f>
        <v>0</v>
      </c>
      <c r="M1697">
        <f>IFERROR(IF(VLOOKUP(calendar[[#This Row],[Date]],BH!C:C,1,)&lt;&gt;"",1,0),0)</f>
        <v>0</v>
      </c>
      <c r="N1697">
        <f>IFERROR(IF(VLOOKUP(calendar[[#This Row],[Date]],BH!E:E,1,)&lt;&gt;"",1,0),0)</f>
        <v>0</v>
      </c>
      <c r="O1697">
        <f>IFERROR(IF(VLOOKUP(calendar[[#This Row],[Date]],BH!G:G,1,)&lt;&gt;"",1,0),0)</f>
        <v>0</v>
      </c>
      <c r="P1697">
        <f>IF(OR(calendar[[#This Row],[UK_BH]]=1,calendar[[#This Row],[WeekDay]]=1, calendar[[#This Row],[WeekDay]]=7),P1696,P1696+1)</f>
        <v>1211</v>
      </c>
      <c r="Q1697">
        <f>IF(OR(calendar[[#This Row],[FR_BH]]=1,calendar[[#This Row],[WeekDay]]=1, calendar[[#This Row],[WeekDay]]=7),P1696,P1696+1)</f>
        <v>1211</v>
      </c>
      <c r="R1697">
        <f>IF(OR(calendar[[#This Row],[SP_BH]]=1,calendar[[#This Row],[WeekDay]]=1, calendar[[#This Row],[WeekDay]]=7),P1696,P1696+1)</f>
        <v>1211</v>
      </c>
      <c r="S1697">
        <f>IF(OR(calendar[[#This Row],[PT_BH]]=1,calendar[[#This Row],[WeekDay]]=1, calendar[[#This Row],[WeekDay]]=7),P1696,P1696+1)</f>
        <v>1211</v>
      </c>
    </row>
    <row r="1698" spans="1:19" x14ac:dyDescent="0.25">
      <c r="A1698" s="2">
        <v>44432</v>
      </c>
      <c r="B1698" s="1">
        <f t="shared" si="133"/>
        <v>35</v>
      </c>
      <c r="C1698">
        <f t="shared" si="135"/>
        <v>8</v>
      </c>
      <c r="D1698" t="str">
        <f t="shared" si="136"/>
        <v>August</v>
      </c>
      <c r="E1698">
        <f t="shared" si="137"/>
        <v>2021</v>
      </c>
      <c r="F1698" t="str">
        <f>CONCATENATE(calendar[[#This Row],[Month]],"/",calendar[[#This Row],[Year]])</f>
        <v>8/2021</v>
      </c>
      <c r="G1698">
        <f>WEEKDAY(calendar[[#This Row],[Date]],1)</f>
        <v>3</v>
      </c>
      <c r="H1698" t="str">
        <f>TEXT(calendar[[#This Row],[WeekDay]],"dddd")</f>
        <v>Tuesday</v>
      </c>
      <c r="I1698">
        <f>IF((INT(calendar[[#This Row],[Count]]/7)-calendar[[#This Row],[Count]]/7)&lt;0,I1697,I1697+1)</f>
        <v>243</v>
      </c>
      <c r="J1698">
        <f t="shared" si="134"/>
        <v>1696</v>
      </c>
      <c r="K1698">
        <f>IF(calendar[[#This Row],[Month]]&lt;4,1,IF(calendar[[#This Row],[Month]]&lt;7,2,IF(calendar[[#This Row],[Month]]&lt;10,3,4)))</f>
        <v>3</v>
      </c>
      <c r="L1698">
        <f>IFERROR(IF(VLOOKUP(calendar[[#This Row],[Date]],BH!A:A,1,)&lt;&gt;"",1,0),0)</f>
        <v>0</v>
      </c>
      <c r="M1698">
        <f>IFERROR(IF(VLOOKUP(calendar[[#This Row],[Date]],BH!C:C,1,)&lt;&gt;"",1,0),0)</f>
        <v>0</v>
      </c>
      <c r="N1698">
        <f>IFERROR(IF(VLOOKUP(calendar[[#This Row],[Date]],BH!E:E,1,)&lt;&gt;"",1,0),0)</f>
        <v>0</v>
      </c>
      <c r="O1698">
        <f>IFERROR(IF(VLOOKUP(calendar[[#This Row],[Date]],BH!G:G,1,)&lt;&gt;"",1,0),0)</f>
        <v>0</v>
      </c>
      <c r="P1698">
        <f>IF(OR(calendar[[#This Row],[UK_BH]]=1,calendar[[#This Row],[WeekDay]]=1, calendar[[#This Row],[WeekDay]]=7),P1697,P1697+1)</f>
        <v>1212</v>
      </c>
      <c r="Q1698">
        <f>IF(OR(calendar[[#This Row],[FR_BH]]=1,calendar[[#This Row],[WeekDay]]=1, calendar[[#This Row],[WeekDay]]=7),P1697,P1697+1)</f>
        <v>1212</v>
      </c>
      <c r="R1698">
        <f>IF(OR(calendar[[#This Row],[SP_BH]]=1,calendar[[#This Row],[WeekDay]]=1, calendar[[#This Row],[WeekDay]]=7),P1697,P1697+1)</f>
        <v>1212</v>
      </c>
      <c r="S1698">
        <f>IF(OR(calendar[[#This Row],[PT_BH]]=1,calendar[[#This Row],[WeekDay]]=1, calendar[[#This Row],[WeekDay]]=7),P1697,P1697+1)</f>
        <v>1212</v>
      </c>
    </row>
    <row r="1699" spans="1:19" x14ac:dyDescent="0.25">
      <c r="A1699" s="2">
        <v>44433</v>
      </c>
      <c r="B1699" s="1">
        <f t="shared" si="133"/>
        <v>35</v>
      </c>
      <c r="C1699">
        <f t="shared" si="135"/>
        <v>8</v>
      </c>
      <c r="D1699" t="str">
        <f t="shared" si="136"/>
        <v>August</v>
      </c>
      <c r="E1699">
        <f t="shared" si="137"/>
        <v>2021</v>
      </c>
      <c r="F1699" t="str">
        <f>CONCATENATE(calendar[[#This Row],[Month]],"/",calendar[[#This Row],[Year]])</f>
        <v>8/2021</v>
      </c>
      <c r="G1699">
        <f>WEEKDAY(calendar[[#This Row],[Date]],1)</f>
        <v>4</v>
      </c>
      <c r="H1699" t="str">
        <f>TEXT(calendar[[#This Row],[WeekDay]],"dddd")</f>
        <v>Wednesday</v>
      </c>
      <c r="I1699">
        <f>IF((INT(calendar[[#This Row],[Count]]/7)-calendar[[#This Row],[Count]]/7)&lt;0,I1698,I1698+1)</f>
        <v>243</v>
      </c>
      <c r="J1699">
        <f t="shared" si="134"/>
        <v>1697</v>
      </c>
      <c r="K1699">
        <f>IF(calendar[[#This Row],[Month]]&lt;4,1,IF(calendar[[#This Row],[Month]]&lt;7,2,IF(calendar[[#This Row],[Month]]&lt;10,3,4)))</f>
        <v>3</v>
      </c>
      <c r="L1699">
        <f>IFERROR(IF(VLOOKUP(calendar[[#This Row],[Date]],BH!A:A,1,)&lt;&gt;"",1,0),0)</f>
        <v>0</v>
      </c>
      <c r="M1699">
        <f>IFERROR(IF(VLOOKUP(calendar[[#This Row],[Date]],BH!C:C,1,)&lt;&gt;"",1,0),0)</f>
        <v>0</v>
      </c>
      <c r="N1699">
        <f>IFERROR(IF(VLOOKUP(calendar[[#This Row],[Date]],BH!E:E,1,)&lt;&gt;"",1,0),0)</f>
        <v>0</v>
      </c>
      <c r="O1699">
        <f>IFERROR(IF(VLOOKUP(calendar[[#This Row],[Date]],BH!G:G,1,)&lt;&gt;"",1,0),0)</f>
        <v>0</v>
      </c>
      <c r="P1699">
        <f>IF(OR(calendar[[#This Row],[UK_BH]]=1,calendar[[#This Row],[WeekDay]]=1, calendar[[#This Row],[WeekDay]]=7),P1698,P1698+1)</f>
        <v>1213</v>
      </c>
      <c r="Q1699">
        <f>IF(OR(calendar[[#This Row],[FR_BH]]=1,calendar[[#This Row],[WeekDay]]=1, calendar[[#This Row],[WeekDay]]=7),P1698,P1698+1)</f>
        <v>1213</v>
      </c>
      <c r="R1699">
        <f>IF(OR(calendar[[#This Row],[SP_BH]]=1,calendar[[#This Row],[WeekDay]]=1, calendar[[#This Row],[WeekDay]]=7),P1698,P1698+1)</f>
        <v>1213</v>
      </c>
      <c r="S1699">
        <f>IF(OR(calendar[[#This Row],[PT_BH]]=1,calendar[[#This Row],[WeekDay]]=1, calendar[[#This Row],[WeekDay]]=7),P1698,P1698+1)</f>
        <v>1213</v>
      </c>
    </row>
    <row r="1700" spans="1:19" x14ac:dyDescent="0.25">
      <c r="A1700" s="2">
        <v>44434</v>
      </c>
      <c r="B1700" s="1">
        <f t="shared" si="133"/>
        <v>35</v>
      </c>
      <c r="C1700">
        <f t="shared" si="135"/>
        <v>8</v>
      </c>
      <c r="D1700" t="str">
        <f t="shared" si="136"/>
        <v>August</v>
      </c>
      <c r="E1700">
        <f t="shared" si="137"/>
        <v>2021</v>
      </c>
      <c r="F1700" t="str">
        <f>CONCATENATE(calendar[[#This Row],[Month]],"/",calendar[[#This Row],[Year]])</f>
        <v>8/2021</v>
      </c>
      <c r="G1700">
        <f>WEEKDAY(calendar[[#This Row],[Date]],1)</f>
        <v>5</v>
      </c>
      <c r="H1700" t="str">
        <f>TEXT(calendar[[#This Row],[WeekDay]],"dddd")</f>
        <v>Thursday</v>
      </c>
      <c r="I1700">
        <f>IF((INT(calendar[[#This Row],[Count]]/7)-calendar[[#This Row],[Count]]/7)&lt;0,I1699,I1699+1)</f>
        <v>243</v>
      </c>
      <c r="J1700">
        <f t="shared" si="134"/>
        <v>1698</v>
      </c>
      <c r="K1700">
        <f>IF(calendar[[#This Row],[Month]]&lt;4,1,IF(calendar[[#This Row],[Month]]&lt;7,2,IF(calendar[[#This Row],[Month]]&lt;10,3,4)))</f>
        <v>3</v>
      </c>
      <c r="L1700">
        <f>IFERROR(IF(VLOOKUP(calendar[[#This Row],[Date]],BH!A:A,1,)&lt;&gt;"",1,0),0)</f>
        <v>0</v>
      </c>
      <c r="M1700">
        <f>IFERROR(IF(VLOOKUP(calendar[[#This Row],[Date]],BH!C:C,1,)&lt;&gt;"",1,0),0)</f>
        <v>0</v>
      </c>
      <c r="N1700">
        <f>IFERROR(IF(VLOOKUP(calendar[[#This Row],[Date]],BH!E:E,1,)&lt;&gt;"",1,0),0)</f>
        <v>0</v>
      </c>
      <c r="O1700">
        <f>IFERROR(IF(VLOOKUP(calendar[[#This Row],[Date]],BH!G:G,1,)&lt;&gt;"",1,0),0)</f>
        <v>0</v>
      </c>
      <c r="P1700">
        <f>IF(OR(calendar[[#This Row],[UK_BH]]=1,calendar[[#This Row],[WeekDay]]=1, calendar[[#This Row],[WeekDay]]=7),P1699,P1699+1)</f>
        <v>1214</v>
      </c>
      <c r="Q1700">
        <f>IF(OR(calendar[[#This Row],[FR_BH]]=1,calendar[[#This Row],[WeekDay]]=1, calendar[[#This Row],[WeekDay]]=7),P1699,P1699+1)</f>
        <v>1214</v>
      </c>
      <c r="R1700">
        <f>IF(OR(calendar[[#This Row],[SP_BH]]=1,calendar[[#This Row],[WeekDay]]=1, calendar[[#This Row],[WeekDay]]=7),P1699,P1699+1)</f>
        <v>1214</v>
      </c>
      <c r="S1700">
        <f>IF(OR(calendar[[#This Row],[PT_BH]]=1,calendar[[#This Row],[WeekDay]]=1, calendar[[#This Row],[WeekDay]]=7),P1699,P1699+1)</f>
        <v>1214</v>
      </c>
    </row>
    <row r="1701" spans="1:19" x14ac:dyDescent="0.25">
      <c r="A1701" s="2">
        <v>44435</v>
      </c>
      <c r="B1701" s="1">
        <f t="shared" si="133"/>
        <v>35</v>
      </c>
      <c r="C1701">
        <f t="shared" si="135"/>
        <v>8</v>
      </c>
      <c r="D1701" t="str">
        <f t="shared" si="136"/>
        <v>August</v>
      </c>
      <c r="E1701">
        <f t="shared" si="137"/>
        <v>2021</v>
      </c>
      <c r="F1701" t="str">
        <f>CONCATENATE(calendar[[#This Row],[Month]],"/",calendar[[#This Row],[Year]])</f>
        <v>8/2021</v>
      </c>
      <c r="G1701">
        <f>WEEKDAY(calendar[[#This Row],[Date]],1)</f>
        <v>6</v>
      </c>
      <c r="H1701" t="str">
        <f>TEXT(calendar[[#This Row],[WeekDay]],"dddd")</f>
        <v>Friday</v>
      </c>
      <c r="I1701">
        <f>IF((INT(calendar[[#This Row],[Count]]/7)-calendar[[#This Row],[Count]]/7)&lt;0,I1700,I1700+1)</f>
        <v>243</v>
      </c>
      <c r="J1701">
        <f t="shared" si="134"/>
        <v>1699</v>
      </c>
      <c r="K1701">
        <f>IF(calendar[[#This Row],[Month]]&lt;4,1,IF(calendar[[#This Row],[Month]]&lt;7,2,IF(calendar[[#This Row],[Month]]&lt;10,3,4)))</f>
        <v>3</v>
      </c>
      <c r="L1701">
        <f>IFERROR(IF(VLOOKUP(calendar[[#This Row],[Date]],BH!A:A,1,)&lt;&gt;"",1,0),0)</f>
        <v>0</v>
      </c>
      <c r="M1701">
        <f>IFERROR(IF(VLOOKUP(calendar[[#This Row],[Date]],BH!C:C,1,)&lt;&gt;"",1,0),0)</f>
        <v>0</v>
      </c>
      <c r="N1701">
        <f>IFERROR(IF(VLOOKUP(calendar[[#This Row],[Date]],BH!E:E,1,)&lt;&gt;"",1,0),0)</f>
        <v>0</v>
      </c>
      <c r="O1701">
        <f>IFERROR(IF(VLOOKUP(calendar[[#This Row],[Date]],BH!G:G,1,)&lt;&gt;"",1,0),0)</f>
        <v>0</v>
      </c>
      <c r="P1701">
        <f>IF(OR(calendar[[#This Row],[UK_BH]]=1,calendar[[#This Row],[WeekDay]]=1, calendar[[#This Row],[WeekDay]]=7),P1700,P1700+1)</f>
        <v>1215</v>
      </c>
      <c r="Q1701">
        <f>IF(OR(calendar[[#This Row],[FR_BH]]=1,calendar[[#This Row],[WeekDay]]=1, calendar[[#This Row],[WeekDay]]=7),P1700,P1700+1)</f>
        <v>1215</v>
      </c>
      <c r="R1701">
        <f>IF(OR(calendar[[#This Row],[SP_BH]]=1,calendar[[#This Row],[WeekDay]]=1, calendar[[#This Row],[WeekDay]]=7),P1700,P1700+1)</f>
        <v>1215</v>
      </c>
      <c r="S1701">
        <f>IF(OR(calendar[[#This Row],[PT_BH]]=1,calendar[[#This Row],[WeekDay]]=1, calendar[[#This Row],[WeekDay]]=7),P1700,P1700+1)</f>
        <v>1215</v>
      </c>
    </row>
    <row r="1702" spans="1:19" x14ac:dyDescent="0.25">
      <c r="A1702" s="2">
        <v>44436</v>
      </c>
      <c r="B1702" s="1">
        <f t="shared" si="133"/>
        <v>35</v>
      </c>
      <c r="C1702">
        <f t="shared" si="135"/>
        <v>8</v>
      </c>
      <c r="D1702" t="str">
        <f t="shared" si="136"/>
        <v>August</v>
      </c>
      <c r="E1702">
        <f t="shared" si="137"/>
        <v>2021</v>
      </c>
      <c r="F1702" t="str">
        <f>CONCATENATE(calendar[[#This Row],[Month]],"/",calendar[[#This Row],[Year]])</f>
        <v>8/2021</v>
      </c>
      <c r="G1702">
        <f>WEEKDAY(calendar[[#This Row],[Date]],1)</f>
        <v>7</v>
      </c>
      <c r="H1702" t="str">
        <f>TEXT(calendar[[#This Row],[WeekDay]],"dddd")</f>
        <v>Saturday</v>
      </c>
      <c r="I1702">
        <f>IF((INT(calendar[[#This Row],[Count]]/7)-calendar[[#This Row],[Count]]/7)&lt;0,I1701,I1701+1)</f>
        <v>243</v>
      </c>
      <c r="J1702">
        <f t="shared" si="134"/>
        <v>1700</v>
      </c>
      <c r="K1702">
        <f>IF(calendar[[#This Row],[Month]]&lt;4,1,IF(calendar[[#This Row],[Month]]&lt;7,2,IF(calendar[[#This Row],[Month]]&lt;10,3,4)))</f>
        <v>3</v>
      </c>
      <c r="L1702">
        <f>IFERROR(IF(VLOOKUP(calendar[[#This Row],[Date]],BH!A:A,1,)&lt;&gt;"",1,0),0)</f>
        <v>0</v>
      </c>
      <c r="M1702">
        <f>IFERROR(IF(VLOOKUP(calendar[[#This Row],[Date]],BH!C:C,1,)&lt;&gt;"",1,0),0)</f>
        <v>0</v>
      </c>
      <c r="N1702">
        <f>IFERROR(IF(VLOOKUP(calendar[[#This Row],[Date]],BH!E:E,1,)&lt;&gt;"",1,0),0)</f>
        <v>0</v>
      </c>
      <c r="O1702">
        <f>IFERROR(IF(VLOOKUP(calendar[[#This Row],[Date]],BH!G:G,1,)&lt;&gt;"",1,0),0)</f>
        <v>0</v>
      </c>
      <c r="P1702">
        <f>IF(OR(calendar[[#This Row],[UK_BH]]=1,calendar[[#This Row],[WeekDay]]=1, calendar[[#This Row],[WeekDay]]=7),P1701,P1701+1)</f>
        <v>1215</v>
      </c>
      <c r="Q1702">
        <f>IF(OR(calendar[[#This Row],[FR_BH]]=1,calendar[[#This Row],[WeekDay]]=1, calendar[[#This Row],[WeekDay]]=7),P1701,P1701+1)</f>
        <v>1215</v>
      </c>
      <c r="R1702">
        <f>IF(OR(calendar[[#This Row],[SP_BH]]=1,calendar[[#This Row],[WeekDay]]=1, calendar[[#This Row],[WeekDay]]=7),P1701,P1701+1)</f>
        <v>1215</v>
      </c>
      <c r="S1702">
        <f>IF(OR(calendar[[#This Row],[PT_BH]]=1,calendar[[#This Row],[WeekDay]]=1, calendar[[#This Row],[WeekDay]]=7),P1701,P1701+1)</f>
        <v>1215</v>
      </c>
    </row>
    <row r="1703" spans="1:19" x14ac:dyDescent="0.25">
      <c r="A1703" s="2">
        <v>44437</v>
      </c>
      <c r="B1703" s="1">
        <f t="shared" si="133"/>
        <v>36</v>
      </c>
      <c r="C1703">
        <f t="shared" si="135"/>
        <v>8</v>
      </c>
      <c r="D1703" t="str">
        <f t="shared" si="136"/>
        <v>August</v>
      </c>
      <c r="E1703">
        <f t="shared" si="137"/>
        <v>2021</v>
      </c>
      <c r="F1703" t="str">
        <f>CONCATENATE(calendar[[#This Row],[Month]],"/",calendar[[#This Row],[Year]])</f>
        <v>8/2021</v>
      </c>
      <c r="G1703">
        <f>WEEKDAY(calendar[[#This Row],[Date]],1)</f>
        <v>1</v>
      </c>
      <c r="H1703" t="str">
        <f>TEXT(calendar[[#This Row],[WeekDay]],"dddd")</f>
        <v>Sunday</v>
      </c>
      <c r="I1703">
        <f>IF((INT(calendar[[#This Row],[Count]]/7)-calendar[[#This Row],[Count]]/7)&lt;0,I1702,I1702+1)</f>
        <v>244</v>
      </c>
      <c r="J1703">
        <f t="shared" si="134"/>
        <v>1701</v>
      </c>
      <c r="K1703">
        <f>IF(calendar[[#This Row],[Month]]&lt;4,1,IF(calendar[[#This Row],[Month]]&lt;7,2,IF(calendar[[#This Row],[Month]]&lt;10,3,4)))</f>
        <v>3</v>
      </c>
      <c r="L1703">
        <f>IFERROR(IF(VLOOKUP(calendar[[#This Row],[Date]],BH!A:A,1,)&lt;&gt;"",1,0),0)</f>
        <v>0</v>
      </c>
      <c r="M1703">
        <f>IFERROR(IF(VLOOKUP(calendar[[#This Row],[Date]],BH!C:C,1,)&lt;&gt;"",1,0),0)</f>
        <v>0</v>
      </c>
      <c r="N1703">
        <f>IFERROR(IF(VLOOKUP(calendar[[#This Row],[Date]],BH!E:E,1,)&lt;&gt;"",1,0),0)</f>
        <v>0</v>
      </c>
      <c r="O1703">
        <f>IFERROR(IF(VLOOKUP(calendar[[#This Row],[Date]],BH!G:G,1,)&lt;&gt;"",1,0),0)</f>
        <v>0</v>
      </c>
      <c r="P1703">
        <f>IF(OR(calendar[[#This Row],[UK_BH]]=1,calendar[[#This Row],[WeekDay]]=1, calendar[[#This Row],[WeekDay]]=7),P1702,P1702+1)</f>
        <v>1215</v>
      </c>
      <c r="Q1703">
        <f>IF(OR(calendar[[#This Row],[FR_BH]]=1,calendar[[#This Row],[WeekDay]]=1, calendar[[#This Row],[WeekDay]]=7),P1702,P1702+1)</f>
        <v>1215</v>
      </c>
      <c r="R1703">
        <f>IF(OR(calendar[[#This Row],[SP_BH]]=1,calendar[[#This Row],[WeekDay]]=1, calendar[[#This Row],[WeekDay]]=7),P1702,P1702+1)</f>
        <v>1215</v>
      </c>
      <c r="S1703">
        <f>IF(OR(calendar[[#This Row],[PT_BH]]=1,calendar[[#This Row],[WeekDay]]=1, calendar[[#This Row],[WeekDay]]=7),P1702,P1702+1)</f>
        <v>1215</v>
      </c>
    </row>
    <row r="1704" spans="1:19" x14ac:dyDescent="0.25">
      <c r="A1704" s="2">
        <v>44438</v>
      </c>
      <c r="B1704" s="1">
        <f t="shared" si="133"/>
        <v>36</v>
      </c>
      <c r="C1704">
        <f t="shared" si="135"/>
        <v>8</v>
      </c>
      <c r="D1704" t="str">
        <f t="shared" si="136"/>
        <v>August</v>
      </c>
      <c r="E1704">
        <f t="shared" si="137"/>
        <v>2021</v>
      </c>
      <c r="F1704" t="str">
        <f>CONCATENATE(calendar[[#This Row],[Month]],"/",calendar[[#This Row],[Year]])</f>
        <v>8/2021</v>
      </c>
      <c r="G1704">
        <f>WEEKDAY(calendar[[#This Row],[Date]],1)</f>
        <v>2</v>
      </c>
      <c r="H1704" t="str">
        <f>TEXT(calendar[[#This Row],[WeekDay]],"dddd")</f>
        <v>Monday</v>
      </c>
      <c r="I1704">
        <f>IF((INT(calendar[[#This Row],[Count]]/7)-calendar[[#This Row],[Count]]/7)&lt;0,I1703,I1703+1)</f>
        <v>244</v>
      </c>
      <c r="J1704">
        <f t="shared" si="134"/>
        <v>1702</v>
      </c>
      <c r="K1704">
        <f>IF(calendar[[#This Row],[Month]]&lt;4,1,IF(calendar[[#This Row],[Month]]&lt;7,2,IF(calendar[[#This Row],[Month]]&lt;10,3,4)))</f>
        <v>3</v>
      </c>
      <c r="L1704">
        <f>IFERROR(IF(VLOOKUP(calendar[[#This Row],[Date]],BH!A:A,1,)&lt;&gt;"",1,0),0)</f>
        <v>0</v>
      </c>
      <c r="M1704">
        <f>IFERROR(IF(VLOOKUP(calendar[[#This Row],[Date]],BH!C:C,1,)&lt;&gt;"",1,0),0)</f>
        <v>0</v>
      </c>
      <c r="N1704">
        <f>IFERROR(IF(VLOOKUP(calendar[[#This Row],[Date]],BH!E:E,1,)&lt;&gt;"",1,0),0)</f>
        <v>0</v>
      </c>
      <c r="O1704">
        <f>IFERROR(IF(VLOOKUP(calendar[[#This Row],[Date]],BH!G:G,1,)&lt;&gt;"",1,0),0)</f>
        <v>0</v>
      </c>
      <c r="P1704">
        <f>IF(OR(calendar[[#This Row],[UK_BH]]=1,calendar[[#This Row],[WeekDay]]=1, calendar[[#This Row],[WeekDay]]=7),P1703,P1703+1)</f>
        <v>1216</v>
      </c>
      <c r="Q1704">
        <f>IF(OR(calendar[[#This Row],[FR_BH]]=1,calendar[[#This Row],[WeekDay]]=1, calendar[[#This Row],[WeekDay]]=7),P1703,P1703+1)</f>
        <v>1216</v>
      </c>
      <c r="R1704">
        <f>IF(OR(calendar[[#This Row],[SP_BH]]=1,calendar[[#This Row],[WeekDay]]=1, calendar[[#This Row],[WeekDay]]=7),P1703,P1703+1)</f>
        <v>1216</v>
      </c>
      <c r="S1704">
        <f>IF(OR(calendar[[#This Row],[PT_BH]]=1,calendar[[#This Row],[WeekDay]]=1, calendar[[#This Row],[WeekDay]]=7),P1703,P1703+1)</f>
        <v>1216</v>
      </c>
    </row>
    <row r="1705" spans="1:19" x14ac:dyDescent="0.25">
      <c r="A1705" s="2">
        <v>44439</v>
      </c>
      <c r="B1705" s="1">
        <f t="shared" si="133"/>
        <v>36</v>
      </c>
      <c r="C1705">
        <f t="shared" si="135"/>
        <v>8</v>
      </c>
      <c r="D1705" t="str">
        <f t="shared" si="136"/>
        <v>August</v>
      </c>
      <c r="E1705">
        <f t="shared" si="137"/>
        <v>2021</v>
      </c>
      <c r="F1705" t="str">
        <f>CONCATENATE(calendar[[#This Row],[Month]],"/",calendar[[#This Row],[Year]])</f>
        <v>8/2021</v>
      </c>
      <c r="G1705">
        <f>WEEKDAY(calendar[[#This Row],[Date]],1)</f>
        <v>3</v>
      </c>
      <c r="H1705" t="str">
        <f>TEXT(calendar[[#This Row],[WeekDay]],"dddd")</f>
        <v>Tuesday</v>
      </c>
      <c r="I1705">
        <f>IF((INT(calendar[[#This Row],[Count]]/7)-calendar[[#This Row],[Count]]/7)&lt;0,I1704,I1704+1)</f>
        <v>244</v>
      </c>
      <c r="J1705">
        <f t="shared" si="134"/>
        <v>1703</v>
      </c>
      <c r="K1705">
        <f>IF(calendar[[#This Row],[Month]]&lt;4,1,IF(calendar[[#This Row],[Month]]&lt;7,2,IF(calendar[[#This Row],[Month]]&lt;10,3,4)))</f>
        <v>3</v>
      </c>
      <c r="L1705">
        <f>IFERROR(IF(VLOOKUP(calendar[[#This Row],[Date]],BH!A:A,1,)&lt;&gt;"",1,0),0)</f>
        <v>0</v>
      </c>
      <c r="M1705">
        <f>IFERROR(IF(VLOOKUP(calendar[[#This Row],[Date]],BH!C:C,1,)&lt;&gt;"",1,0),0)</f>
        <v>0</v>
      </c>
      <c r="N1705">
        <f>IFERROR(IF(VLOOKUP(calendar[[#This Row],[Date]],BH!E:E,1,)&lt;&gt;"",1,0),0)</f>
        <v>0</v>
      </c>
      <c r="O1705">
        <f>IFERROR(IF(VLOOKUP(calendar[[#This Row],[Date]],BH!G:G,1,)&lt;&gt;"",1,0),0)</f>
        <v>0</v>
      </c>
      <c r="P1705">
        <f>IF(OR(calendar[[#This Row],[UK_BH]]=1,calendar[[#This Row],[WeekDay]]=1, calendar[[#This Row],[WeekDay]]=7),P1704,P1704+1)</f>
        <v>1217</v>
      </c>
      <c r="Q1705">
        <f>IF(OR(calendar[[#This Row],[FR_BH]]=1,calendar[[#This Row],[WeekDay]]=1, calendar[[#This Row],[WeekDay]]=7),P1704,P1704+1)</f>
        <v>1217</v>
      </c>
      <c r="R1705">
        <f>IF(OR(calendar[[#This Row],[SP_BH]]=1,calendar[[#This Row],[WeekDay]]=1, calendar[[#This Row],[WeekDay]]=7),P1704,P1704+1)</f>
        <v>1217</v>
      </c>
      <c r="S1705">
        <f>IF(OR(calendar[[#This Row],[PT_BH]]=1,calendar[[#This Row],[WeekDay]]=1, calendar[[#This Row],[WeekDay]]=7),P1704,P1704+1)</f>
        <v>1217</v>
      </c>
    </row>
    <row r="1706" spans="1:19" x14ac:dyDescent="0.25">
      <c r="A1706" s="2">
        <v>44440</v>
      </c>
      <c r="B1706" s="1">
        <f t="shared" si="133"/>
        <v>36</v>
      </c>
      <c r="C1706">
        <f t="shared" si="135"/>
        <v>9</v>
      </c>
      <c r="D1706" t="str">
        <f t="shared" si="136"/>
        <v>September</v>
      </c>
      <c r="E1706">
        <f t="shared" si="137"/>
        <v>2021</v>
      </c>
      <c r="F1706" t="str">
        <f>CONCATENATE(calendar[[#This Row],[Month]],"/",calendar[[#This Row],[Year]])</f>
        <v>9/2021</v>
      </c>
      <c r="G1706">
        <f>WEEKDAY(calendar[[#This Row],[Date]],1)</f>
        <v>4</v>
      </c>
      <c r="H1706" t="str">
        <f>TEXT(calendar[[#This Row],[WeekDay]],"dddd")</f>
        <v>Wednesday</v>
      </c>
      <c r="I1706">
        <f>IF((INT(calendar[[#This Row],[Count]]/7)-calendar[[#This Row],[Count]]/7)&lt;0,I1705,I1705+1)</f>
        <v>244</v>
      </c>
      <c r="J1706">
        <f t="shared" si="134"/>
        <v>1704</v>
      </c>
      <c r="K1706">
        <f>IF(calendar[[#This Row],[Month]]&lt;4,1,IF(calendar[[#This Row],[Month]]&lt;7,2,IF(calendar[[#This Row],[Month]]&lt;10,3,4)))</f>
        <v>3</v>
      </c>
      <c r="L1706">
        <f>IFERROR(IF(VLOOKUP(calendar[[#This Row],[Date]],BH!A:A,1,)&lt;&gt;"",1,0),0)</f>
        <v>0</v>
      </c>
      <c r="M1706">
        <f>IFERROR(IF(VLOOKUP(calendar[[#This Row],[Date]],BH!C:C,1,)&lt;&gt;"",1,0),0)</f>
        <v>0</v>
      </c>
      <c r="N1706">
        <f>IFERROR(IF(VLOOKUP(calendar[[#This Row],[Date]],BH!E:E,1,)&lt;&gt;"",1,0),0)</f>
        <v>0</v>
      </c>
      <c r="O1706">
        <f>IFERROR(IF(VLOOKUP(calendar[[#This Row],[Date]],BH!G:G,1,)&lt;&gt;"",1,0),0)</f>
        <v>0</v>
      </c>
      <c r="P1706">
        <f>IF(OR(calendar[[#This Row],[UK_BH]]=1,calendar[[#This Row],[WeekDay]]=1, calendar[[#This Row],[WeekDay]]=7),P1705,P1705+1)</f>
        <v>1218</v>
      </c>
      <c r="Q1706">
        <f>IF(OR(calendar[[#This Row],[FR_BH]]=1,calendar[[#This Row],[WeekDay]]=1, calendar[[#This Row],[WeekDay]]=7),P1705,P1705+1)</f>
        <v>1218</v>
      </c>
      <c r="R1706">
        <f>IF(OR(calendar[[#This Row],[SP_BH]]=1,calendar[[#This Row],[WeekDay]]=1, calendar[[#This Row],[WeekDay]]=7),P1705,P1705+1)</f>
        <v>1218</v>
      </c>
      <c r="S1706">
        <f>IF(OR(calendar[[#This Row],[PT_BH]]=1,calendar[[#This Row],[WeekDay]]=1, calendar[[#This Row],[WeekDay]]=7),P1705,P1705+1)</f>
        <v>1218</v>
      </c>
    </row>
    <row r="1707" spans="1:19" x14ac:dyDescent="0.25">
      <c r="A1707" s="2">
        <v>44441</v>
      </c>
      <c r="B1707" s="1">
        <f t="shared" si="133"/>
        <v>36</v>
      </c>
      <c r="C1707">
        <f t="shared" si="135"/>
        <v>9</v>
      </c>
      <c r="D1707" t="str">
        <f t="shared" si="136"/>
        <v>September</v>
      </c>
      <c r="E1707">
        <f t="shared" si="137"/>
        <v>2021</v>
      </c>
      <c r="F1707" t="str">
        <f>CONCATENATE(calendar[[#This Row],[Month]],"/",calendar[[#This Row],[Year]])</f>
        <v>9/2021</v>
      </c>
      <c r="G1707">
        <f>WEEKDAY(calendar[[#This Row],[Date]],1)</f>
        <v>5</v>
      </c>
      <c r="H1707" t="str">
        <f>TEXT(calendar[[#This Row],[WeekDay]],"dddd")</f>
        <v>Thursday</v>
      </c>
      <c r="I1707">
        <f>IF((INT(calendar[[#This Row],[Count]]/7)-calendar[[#This Row],[Count]]/7)&lt;0,I1706,I1706+1)</f>
        <v>244</v>
      </c>
      <c r="J1707">
        <f t="shared" si="134"/>
        <v>1705</v>
      </c>
      <c r="K1707">
        <f>IF(calendar[[#This Row],[Month]]&lt;4,1,IF(calendar[[#This Row],[Month]]&lt;7,2,IF(calendar[[#This Row],[Month]]&lt;10,3,4)))</f>
        <v>3</v>
      </c>
      <c r="L1707">
        <f>IFERROR(IF(VLOOKUP(calendar[[#This Row],[Date]],BH!A:A,1,)&lt;&gt;"",1,0),0)</f>
        <v>0</v>
      </c>
      <c r="M1707">
        <f>IFERROR(IF(VLOOKUP(calendar[[#This Row],[Date]],BH!C:C,1,)&lt;&gt;"",1,0),0)</f>
        <v>0</v>
      </c>
      <c r="N1707">
        <f>IFERROR(IF(VLOOKUP(calendar[[#This Row],[Date]],BH!E:E,1,)&lt;&gt;"",1,0),0)</f>
        <v>0</v>
      </c>
      <c r="O1707">
        <f>IFERROR(IF(VLOOKUP(calendar[[#This Row],[Date]],BH!G:G,1,)&lt;&gt;"",1,0),0)</f>
        <v>0</v>
      </c>
      <c r="P1707">
        <f>IF(OR(calendar[[#This Row],[UK_BH]]=1,calendar[[#This Row],[WeekDay]]=1, calendar[[#This Row],[WeekDay]]=7),P1706,P1706+1)</f>
        <v>1219</v>
      </c>
      <c r="Q1707">
        <f>IF(OR(calendar[[#This Row],[FR_BH]]=1,calendar[[#This Row],[WeekDay]]=1, calendar[[#This Row],[WeekDay]]=7),P1706,P1706+1)</f>
        <v>1219</v>
      </c>
      <c r="R1707">
        <f>IF(OR(calendar[[#This Row],[SP_BH]]=1,calendar[[#This Row],[WeekDay]]=1, calendar[[#This Row],[WeekDay]]=7),P1706,P1706+1)</f>
        <v>1219</v>
      </c>
      <c r="S1707">
        <f>IF(OR(calendar[[#This Row],[PT_BH]]=1,calendar[[#This Row],[WeekDay]]=1, calendar[[#This Row],[WeekDay]]=7),P1706,P1706+1)</f>
        <v>1219</v>
      </c>
    </row>
    <row r="1708" spans="1:19" x14ac:dyDescent="0.25">
      <c r="A1708" s="2">
        <v>44442</v>
      </c>
      <c r="B1708" s="1">
        <f t="shared" si="133"/>
        <v>36</v>
      </c>
      <c r="C1708">
        <f t="shared" si="135"/>
        <v>9</v>
      </c>
      <c r="D1708" t="str">
        <f t="shared" si="136"/>
        <v>September</v>
      </c>
      <c r="E1708">
        <f t="shared" si="137"/>
        <v>2021</v>
      </c>
      <c r="F1708" t="str">
        <f>CONCATENATE(calendar[[#This Row],[Month]],"/",calendar[[#This Row],[Year]])</f>
        <v>9/2021</v>
      </c>
      <c r="G1708">
        <f>WEEKDAY(calendar[[#This Row],[Date]],1)</f>
        <v>6</v>
      </c>
      <c r="H1708" t="str">
        <f>TEXT(calendar[[#This Row],[WeekDay]],"dddd")</f>
        <v>Friday</v>
      </c>
      <c r="I1708">
        <f>IF((INT(calendar[[#This Row],[Count]]/7)-calendar[[#This Row],[Count]]/7)&lt;0,I1707,I1707+1)</f>
        <v>244</v>
      </c>
      <c r="J1708">
        <f t="shared" si="134"/>
        <v>1706</v>
      </c>
      <c r="K1708">
        <f>IF(calendar[[#This Row],[Month]]&lt;4,1,IF(calendar[[#This Row],[Month]]&lt;7,2,IF(calendar[[#This Row],[Month]]&lt;10,3,4)))</f>
        <v>3</v>
      </c>
      <c r="L1708">
        <f>IFERROR(IF(VLOOKUP(calendar[[#This Row],[Date]],BH!A:A,1,)&lt;&gt;"",1,0),0)</f>
        <v>0</v>
      </c>
      <c r="M1708">
        <f>IFERROR(IF(VLOOKUP(calendar[[#This Row],[Date]],BH!C:C,1,)&lt;&gt;"",1,0),0)</f>
        <v>0</v>
      </c>
      <c r="N1708">
        <f>IFERROR(IF(VLOOKUP(calendar[[#This Row],[Date]],BH!E:E,1,)&lt;&gt;"",1,0),0)</f>
        <v>0</v>
      </c>
      <c r="O1708">
        <f>IFERROR(IF(VLOOKUP(calendar[[#This Row],[Date]],BH!G:G,1,)&lt;&gt;"",1,0),0)</f>
        <v>0</v>
      </c>
      <c r="P1708">
        <f>IF(OR(calendar[[#This Row],[UK_BH]]=1,calendar[[#This Row],[WeekDay]]=1, calendar[[#This Row],[WeekDay]]=7),P1707,P1707+1)</f>
        <v>1220</v>
      </c>
      <c r="Q1708">
        <f>IF(OR(calendar[[#This Row],[FR_BH]]=1,calendar[[#This Row],[WeekDay]]=1, calendar[[#This Row],[WeekDay]]=7),P1707,P1707+1)</f>
        <v>1220</v>
      </c>
      <c r="R1708">
        <f>IF(OR(calendar[[#This Row],[SP_BH]]=1,calendar[[#This Row],[WeekDay]]=1, calendar[[#This Row],[WeekDay]]=7),P1707,P1707+1)</f>
        <v>1220</v>
      </c>
      <c r="S1708">
        <f>IF(OR(calendar[[#This Row],[PT_BH]]=1,calendar[[#This Row],[WeekDay]]=1, calendar[[#This Row],[WeekDay]]=7),P1707,P1707+1)</f>
        <v>1220</v>
      </c>
    </row>
    <row r="1709" spans="1:19" x14ac:dyDescent="0.25">
      <c r="A1709" s="2">
        <v>44443</v>
      </c>
      <c r="B1709" s="1">
        <f t="shared" si="133"/>
        <v>36</v>
      </c>
      <c r="C1709">
        <f t="shared" si="135"/>
        <v>9</v>
      </c>
      <c r="D1709" t="str">
        <f t="shared" si="136"/>
        <v>September</v>
      </c>
      <c r="E1709">
        <f t="shared" si="137"/>
        <v>2021</v>
      </c>
      <c r="F1709" t="str">
        <f>CONCATENATE(calendar[[#This Row],[Month]],"/",calendar[[#This Row],[Year]])</f>
        <v>9/2021</v>
      </c>
      <c r="G1709">
        <f>WEEKDAY(calendar[[#This Row],[Date]],1)</f>
        <v>7</v>
      </c>
      <c r="H1709" t="str">
        <f>TEXT(calendar[[#This Row],[WeekDay]],"dddd")</f>
        <v>Saturday</v>
      </c>
      <c r="I1709">
        <f>IF((INT(calendar[[#This Row],[Count]]/7)-calendar[[#This Row],[Count]]/7)&lt;0,I1708,I1708+1)</f>
        <v>244</v>
      </c>
      <c r="J1709">
        <f t="shared" si="134"/>
        <v>1707</v>
      </c>
      <c r="K1709">
        <f>IF(calendar[[#This Row],[Month]]&lt;4,1,IF(calendar[[#This Row],[Month]]&lt;7,2,IF(calendar[[#This Row],[Month]]&lt;10,3,4)))</f>
        <v>3</v>
      </c>
      <c r="L1709">
        <f>IFERROR(IF(VLOOKUP(calendar[[#This Row],[Date]],BH!A:A,1,)&lt;&gt;"",1,0),0)</f>
        <v>0</v>
      </c>
      <c r="M1709">
        <f>IFERROR(IF(VLOOKUP(calendar[[#This Row],[Date]],BH!C:C,1,)&lt;&gt;"",1,0),0)</f>
        <v>0</v>
      </c>
      <c r="N1709">
        <f>IFERROR(IF(VLOOKUP(calendar[[#This Row],[Date]],BH!E:E,1,)&lt;&gt;"",1,0),0)</f>
        <v>0</v>
      </c>
      <c r="O1709">
        <f>IFERROR(IF(VLOOKUP(calendar[[#This Row],[Date]],BH!G:G,1,)&lt;&gt;"",1,0),0)</f>
        <v>0</v>
      </c>
      <c r="P1709">
        <f>IF(OR(calendar[[#This Row],[UK_BH]]=1,calendar[[#This Row],[WeekDay]]=1, calendar[[#This Row],[WeekDay]]=7),P1708,P1708+1)</f>
        <v>1220</v>
      </c>
      <c r="Q1709">
        <f>IF(OR(calendar[[#This Row],[FR_BH]]=1,calendar[[#This Row],[WeekDay]]=1, calendar[[#This Row],[WeekDay]]=7),P1708,P1708+1)</f>
        <v>1220</v>
      </c>
      <c r="R1709">
        <f>IF(OR(calendar[[#This Row],[SP_BH]]=1,calendar[[#This Row],[WeekDay]]=1, calendar[[#This Row],[WeekDay]]=7),P1708,P1708+1)</f>
        <v>1220</v>
      </c>
      <c r="S1709">
        <f>IF(OR(calendar[[#This Row],[PT_BH]]=1,calendar[[#This Row],[WeekDay]]=1, calendar[[#This Row],[WeekDay]]=7),P1708,P1708+1)</f>
        <v>1220</v>
      </c>
    </row>
    <row r="1710" spans="1:19" x14ac:dyDescent="0.25">
      <c r="A1710" s="2">
        <v>44444</v>
      </c>
      <c r="B1710" s="1">
        <f t="shared" si="133"/>
        <v>37</v>
      </c>
      <c r="C1710">
        <f t="shared" si="135"/>
        <v>9</v>
      </c>
      <c r="D1710" t="str">
        <f t="shared" si="136"/>
        <v>September</v>
      </c>
      <c r="E1710">
        <f t="shared" si="137"/>
        <v>2021</v>
      </c>
      <c r="F1710" t="str">
        <f>CONCATENATE(calendar[[#This Row],[Month]],"/",calendar[[#This Row],[Year]])</f>
        <v>9/2021</v>
      </c>
      <c r="G1710">
        <f>WEEKDAY(calendar[[#This Row],[Date]],1)</f>
        <v>1</v>
      </c>
      <c r="H1710" t="str">
        <f>TEXT(calendar[[#This Row],[WeekDay]],"dddd")</f>
        <v>Sunday</v>
      </c>
      <c r="I1710">
        <f>IF((INT(calendar[[#This Row],[Count]]/7)-calendar[[#This Row],[Count]]/7)&lt;0,I1709,I1709+1)</f>
        <v>245</v>
      </c>
      <c r="J1710">
        <f t="shared" si="134"/>
        <v>1708</v>
      </c>
      <c r="K1710">
        <f>IF(calendar[[#This Row],[Month]]&lt;4,1,IF(calendar[[#This Row],[Month]]&lt;7,2,IF(calendar[[#This Row],[Month]]&lt;10,3,4)))</f>
        <v>3</v>
      </c>
      <c r="L1710">
        <f>IFERROR(IF(VLOOKUP(calendar[[#This Row],[Date]],BH!A:A,1,)&lt;&gt;"",1,0),0)</f>
        <v>0</v>
      </c>
      <c r="M1710">
        <f>IFERROR(IF(VLOOKUP(calendar[[#This Row],[Date]],BH!C:C,1,)&lt;&gt;"",1,0),0)</f>
        <v>0</v>
      </c>
      <c r="N1710">
        <f>IFERROR(IF(VLOOKUP(calendar[[#This Row],[Date]],BH!E:E,1,)&lt;&gt;"",1,0),0)</f>
        <v>0</v>
      </c>
      <c r="O1710">
        <f>IFERROR(IF(VLOOKUP(calendar[[#This Row],[Date]],BH!G:G,1,)&lt;&gt;"",1,0),0)</f>
        <v>0</v>
      </c>
      <c r="P1710">
        <f>IF(OR(calendar[[#This Row],[UK_BH]]=1,calendar[[#This Row],[WeekDay]]=1, calendar[[#This Row],[WeekDay]]=7),P1709,P1709+1)</f>
        <v>1220</v>
      </c>
      <c r="Q1710">
        <f>IF(OR(calendar[[#This Row],[FR_BH]]=1,calendar[[#This Row],[WeekDay]]=1, calendar[[#This Row],[WeekDay]]=7),P1709,P1709+1)</f>
        <v>1220</v>
      </c>
      <c r="R1710">
        <f>IF(OR(calendar[[#This Row],[SP_BH]]=1,calendar[[#This Row],[WeekDay]]=1, calendar[[#This Row],[WeekDay]]=7),P1709,P1709+1)</f>
        <v>1220</v>
      </c>
      <c r="S1710">
        <f>IF(OR(calendar[[#This Row],[PT_BH]]=1,calendar[[#This Row],[WeekDay]]=1, calendar[[#This Row],[WeekDay]]=7),P1709,P1709+1)</f>
        <v>1220</v>
      </c>
    </row>
    <row r="1711" spans="1:19" x14ac:dyDescent="0.25">
      <c r="A1711" s="2">
        <v>44445</v>
      </c>
      <c r="B1711" s="1">
        <f t="shared" si="133"/>
        <v>37</v>
      </c>
      <c r="C1711">
        <f t="shared" si="135"/>
        <v>9</v>
      </c>
      <c r="D1711" t="str">
        <f t="shared" si="136"/>
        <v>September</v>
      </c>
      <c r="E1711">
        <f t="shared" si="137"/>
        <v>2021</v>
      </c>
      <c r="F1711" t="str">
        <f>CONCATENATE(calendar[[#This Row],[Month]],"/",calendar[[#This Row],[Year]])</f>
        <v>9/2021</v>
      </c>
      <c r="G1711">
        <f>WEEKDAY(calendar[[#This Row],[Date]],1)</f>
        <v>2</v>
      </c>
      <c r="H1711" t="str">
        <f>TEXT(calendar[[#This Row],[WeekDay]],"dddd")</f>
        <v>Monday</v>
      </c>
      <c r="I1711">
        <f>IF((INT(calendar[[#This Row],[Count]]/7)-calendar[[#This Row],[Count]]/7)&lt;0,I1710,I1710+1)</f>
        <v>245</v>
      </c>
      <c r="J1711">
        <f t="shared" si="134"/>
        <v>1709</v>
      </c>
      <c r="K1711">
        <f>IF(calendar[[#This Row],[Month]]&lt;4,1,IF(calendar[[#This Row],[Month]]&lt;7,2,IF(calendar[[#This Row],[Month]]&lt;10,3,4)))</f>
        <v>3</v>
      </c>
      <c r="L1711">
        <f>IFERROR(IF(VLOOKUP(calendar[[#This Row],[Date]],BH!A:A,1,)&lt;&gt;"",1,0),0)</f>
        <v>0</v>
      </c>
      <c r="M1711">
        <f>IFERROR(IF(VLOOKUP(calendar[[#This Row],[Date]],BH!C:C,1,)&lt;&gt;"",1,0),0)</f>
        <v>0</v>
      </c>
      <c r="N1711">
        <f>IFERROR(IF(VLOOKUP(calendar[[#This Row],[Date]],BH!E:E,1,)&lt;&gt;"",1,0),0)</f>
        <v>0</v>
      </c>
      <c r="O1711">
        <f>IFERROR(IF(VLOOKUP(calendar[[#This Row],[Date]],BH!G:G,1,)&lt;&gt;"",1,0),0)</f>
        <v>0</v>
      </c>
      <c r="P1711">
        <f>IF(OR(calendar[[#This Row],[UK_BH]]=1,calendar[[#This Row],[WeekDay]]=1, calendar[[#This Row],[WeekDay]]=7),P1710,P1710+1)</f>
        <v>1221</v>
      </c>
      <c r="Q1711">
        <f>IF(OR(calendar[[#This Row],[FR_BH]]=1,calendar[[#This Row],[WeekDay]]=1, calendar[[#This Row],[WeekDay]]=7),P1710,P1710+1)</f>
        <v>1221</v>
      </c>
      <c r="R1711">
        <f>IF(OR(calendar[[#This Row],[SP_BH]]=1,calendar[[#This Row],[WeekDay]]=1, calendar[[#This Row],[WeekDay]]=7),P1710,P1710+1)</f>
        <v>1221</v>
      </c>
      <c r="S1711">
        <f>IF(OR(calendar[[#This Row],[PT_BH]]=1,calendar[[#This Row],[WeekDay]]=1, calendar[[#This Row],[WeekDay]]=7),P1710,P1710+1)</f>
        <v>1221</v>
      </c>
    </row>
    <row r="1712" spans="1:19" x14ac:dyDescent="0.25">
      <c r="A1712" s="2">
        <v>44446</v>
      </c>
      <c r="B1712" s="1">
        <f t="shared" si="133"/>
        <v>37</v>
      </c>
      <c r="C1712">
        <f t="shared" si="135"/>
        <v>9</v>
      </c>
      <c r="D1712" t="str">
        <f t="shared" si="136"/>
        <v>September</v>
      </c>
      <c r="E1712">
        <f t="shared" si="137"/>
        <v>2021</v>
      </c>
      <c r="F1712" t="str">
        <f>CONCATENATE(calendar[[#This Row],[Month]],"/",calendar[[#This Row],[Year]])</f>
        <v>9/2021</v>
      </c>
      <c r="G1712">
        <f>WEEKDAY(calendar[[#This Row],[Date]],1)</f>
        <v>3</v>
      </c>
      <c r="H1712" t="str">
        <f>TEXT(calendar[[#This Row],[WeekDay]],"dddd")</f>
        <v>Tuesday</v>
      </c>
      <c r="I1712">
        <f>IF((INT(calendar[[#This Row],[Count]]/7)-calendar[[#This Row],[Count]]/7)&lt;0,I1711,I1711+1)</f>
        <v>245</v>
      </c>
      <c r="J1712">
        <f t="shared" si="134"/>
        <v>1710</v>
      </c>
      <c r="K1712">
        <f>IF(calendar[[#This Row],[Month]]&lt;4,1,IF(calendar[[#This Row],[Month]]&lt;7,2,IF(calendar[[#This Row],[Month]]&lt;10,3,4)))</f>
        <v>3</v>
      </c>
      <c r="L1712">
        <f>IFERROR(IF(VLOOKUP(calendar[[#This Row],[Date]],BH!A:A,1,)&lt;&gt;"",1,0),0)</f>
        <v>0</v>
      </c>
      <c r="M1712">
        <f>IFERROR(IF(VLOOKUP(calendar[[#This Row],[Date]],BH!C:C,1,)&lt;&gt;"",1,0),0)</f>
        <v>0</v>
      </c>
      <c r="N1712">
        <f>IFERROR(IF(VLOOKUP(calendar[[#This Row],[Date]],BH!E:E,1,)&lt;&gt;"",1,0),0)</f>
        <v>0</v>
      </c>
      <c r="O1712">
        <f>IFERROR(IF(VLOOKUP(calendar[[#This Row],[Date]],BH!G:G,1,)&lt;&gt;"",1,0),0)</f>
        <v>0</v>
      </c>
      <c r="P1712">
        <f>IF(OR(calendar[[#This Row],[UK_BH]]=1,calendar[[#This Row],[WeekDay]]=1, calendar[[#This Row],[WeekDay]]=7),P1711,P1711+1)</f>
        <v>1222</v>
      </c>
      <c r="Q1712">
        <f>IF(OR(calendar[[#This Row],[FR_BH]]=1,calendar[[#This Row],[WeekDay]]=1, calendar[[#This Row],[WeekDay]]=7),P1711,P1711+1)</f>
        <v>1222</v>
      </c>
      <c r="R1712">
        <f>IF(OR(calendar[[#This Row],[SP_BH]]=1,calendar[[#This Row],[WeekDay]]=1, calendar[[#This Row],[WeekDay]]=7),P1711,P1711+1)</f>
        <v>1222</v>
      </c>
      <c r="S1712">
        <f>IF(OR(calendar[[#This Row],[PT_BH]]=1,calendar[[#This Row],[WeekDay]]=1, calendar[[#This Row],[WeekDay]]=7),P1711,P1711+1)</f>
        <v>1222</v>
      </c>
    </row>
    <row r="1713" spans="1:19" x14ac:dyDescent="0.25">
      <c r="A1713" s="2">
        <v>44447</v>
      </c>
      <c r="B1713" s="1">
        <f t="shared" si="133"/>
        <v>37</v>
      </c>
      <c r="C1713">
        <f t="shared" si="135"/>
        <v>9</v>
      </c>
      <c r="D1713" t="str">
        <f t="shared" si="136"/>
        <v>September</v>
      </c>
      <c r="E1713">
        <f t="shared" si="137"/>
        <v>2021</v>
      </c>
      <c r="F1713" t="str">
        <f>CONCATENATE(calendar[[#This Row],[Month]],"/",calendar[[#This Row],[Year]])</f>
        <v>9/2021</v>
      </c>
      <c r="G1713">
        <f>WEEKDAY(calendar[[#This Row],[Date]],1)</f>
        <v>4</v>
      </c>
      <c r="H1713" t="str">
        <f>TEXT(calendar[[#This Row],[WeekDay]],"dddd")</f>
        <v>Wednesday</v>
      </c>
      <c r="I1713">
        <f>IF((INT(calendar[[#This Row],[Count]]/7)-calendar[[#This Row],[Count]]/7)&lt;0,I1712,I1712+1)</f>
        <v>245</v>
      </c>
      <c r="J1713">
        <f t="shared" si="134"/>
        <v>1711</v>
      </c>
      <c r="K1713">
        <f>IF(calendar[[#This Row],[Month]]&lt;4,1,IF(calendar[[#This Row],[Month]]&lt;7,2,IF(calendar[[#This Row],[Month]]&lt;10,3,4)))</f>
        <v>3</v>
      </c>
      <c r="L1713">
        <f>IFERROR(IF(VLOOKUP(calendar[[#This Row],[Date]],BH!A:A,1,)&lt;&gt;"",1,0),0)</f>
        <v>0</v>
      </c>
      <c r="M1713">
        <f>IFERROR(IF(VLOOKUP(calendar[[#This Row],[Date]],BH!C:C,1,)&lt;&gt;"",1,0),0)</f>
        <v>0</v>
      </c>
      <c r="N1713">
        <f>IFERROR(IF(VLOOKUP(calendar[[#This Row],[Date]],BH!E:E,1,)&lt;&gt;"",1,0),0)</f>
        <v>0</v>
      </c>
      <c r="O1713">
        <f>IFERROR(IF(VLOOKUP(calendar[[#This Row],[Date]],BH!G:G,1,)&lt;&gt;"",1,0),0)</f>
        <v>0</v>
      </c>
      <c r="P1713">
        <f>IF(OR(calendar[[#This Row],[UK_BH]]=1,calendar[[#This Row],[WeekDay]]=1, calendar[[#This Row],[WeekDay]]=7),P1712,P1712+1)</f>
        <v>1223</v>
      </c>
      <c r="Q1713">
        <f>IF(OR(calendar[[#This Row],[FR_BH]]=1,calendar[[#This Row],[WeekDay]]=1, calendar[[#This Row],[WeekDay]]=7),P1712,P1712+1)</f>
        <v>1223</v>
      </c>
      <c r="R1713">
        <f>IF(OR(calendar[[#This Row],[SP_BH]]=1,calendar[[#This Row],[WeekDay]]=1, calendar[[#This Row],[WeekDay]]=7),P1712,P1712+1)</f>
        <v>1223</v>
      </c>
      <c r="S1713">
        <f>IF(OR(calendar[[#This Row],[PT_BH]]=1,calendar[[#This Row],[WeekDay]]=1, calendar[[#This Row],[WeekDay]]=7),P1712,P1712+1)</f>
        <v>1223</v>
      </c>
    </row>
    <row r="1714" spans="1:19" x14ac:dyDescent="0.25">
      <c r="A1714" s="2">
        <v>44448</v>
      </c>
      <c r="B1714" s="1">
        <f t="shared" si="133"/>
        <v>37</v>
      </c>
      <c r="C1714">
        <f t="shared" si="135"/>
        <v>9</v>
      </c>
      <c r="D1714" t="str">
        <f t="shared" si="136"/>
        <v>September</v>
      </c>
      <c r="E1714">
        <f t="shared" si="137"/>
        <v>2021</v>
      </c>
      <c r="F1714" t="str">
        <f>CONCATENATE(calendar[[#This Row],[Month]],"/",calendar[[#This Row],[Year]])</f>
        <v>9/2021</v>
      </c>
      <c r="G1714">
        <f>WEEKDAY(calendar[[#This Row],[Date]],1)</f>
        <v>5</v>
      </c>
      <c r="H1714" t="str">
        <f>TEXT(calendar[[#This Row],[WeekDay]],"dddd")</f>
        <v>Thursday</v>
      </c>
      <c r="I1714">
        <f>IF((INT(calendar[[#This Row],[Count]]/7)-calendar[[#This Row],[Count]]/7)&lt;0,I1713,I1713+1)</f>
        <v>245</v>
      </c>
      <c r="J1714">
        <f t="shared" si="134"/>
        <v>1712</v>
      </c>
      <c r="K1714">
        <f>IF(calendar[[#This Row],[Month]]&lt;4,1,IF(calendar[[#This Row],[Month]]&lt;7,2,IF(calendar[[#This Row],[Month]]&lt;10,3,4)))</f>
        <v>3</v>
      </c>
      <c r="L1714">
        <f>IFERROR(IF(VLOOKUP(calendar[[#This Row],[Date]],BH!A:A,1,)&lt;&gt;"",1,0),0)</f>
        <v>0</v>
      </c>
      <c r="M1714">
        <f>IFERROR(IF(VLOOKUP(calendar[[#This Row],[Date]],BH!C:C,1,)&lt;&gt;"",1,0),0)</f>
        <v>0</v>
      </c>
      <c r="N1714">
        <f>IFERROR(IF(VLOOKUP(calendar[[#This Row],[Date]],BH!E:E,1,)&lt;&gt;"",1,0),0)</f>
        <v>0</v>
      </c>
      <c r="O1714">
        <f>IFERROR(IF(VLOOKUP(calendar[[#This Row],[Date]],BH!G:G,1,)&lt;&gt;"",1,0),0)</f>
        <v>0</v>
      </c>
      <c r="P1714">
        <f>IF(OR(calendar[[#This Row],[UK_BH]]=1,calendar[[#This Row],[WeekDay]]=1, calendar[[#This Row],[WeekDay]]=7),P1713,P1713+1)</f>
        <v>1224</v>
      </c>
      <c r="Q1714">
        <f>IF(OR(calendar[[#This Row],[FR_BH]]=1,calendar[[#This Row],[WeekDay]]=1, calendar[[#This Row],[WeekDay]]=7),P1713,P1713+1)</f>
        <v>1224</v>
      </c>
      <c r="R1714">
        <f>IF(OR(calendar[[#This Row],[SP_BH]]=1,calendar[[#This Row],[WeekDay]]=1, calendar[[#This Row],[WeekDay]]=7),P1713,P1713+1)</f>
        <v>1224</v>
      </c>
      <c r="S1714">
        <f>IF(OR(calendar[[#This Row],[PT_BH]]=1,calendar[[#This Row],[WeekDay]]=1, calendar[[#This Row],[WeekDay]]=7),P1713,P1713+1)</f>
        <v>1224</v>
      </c>
    </row>
    <row r="1715" spans="1:19" x14ac:dyDescent="0.25">
      <c r="A1715" s="2">
        <v>44449</v>
      </c>
      <c r="B1715" s="1">
        <f t="shared" si="133"/>
        <v>37</v>
      </c>
      <c r="C1715">
        <f t="shared" si="135"/>
        <v>9</v>
      </c>
      <c r="D1715" t="str">
        <f t="shared" si="136"/>
        <v>September</v>
      </c>
      <c r="E1715">
        <f t="shared" si="137"/>
        <v>2021</v>
      </c>
      <c r="F1715" t="str">
        <f>CONCATENATE(calendar[[#This Row],[Month]],"/",calendar[[#This Row],[Year]])</f>
        <v>9/2021</v>
      </c>
      <c r="G1715">
        <f>WEEKDAY(calendar[[#This Row],[Date]],1)</f>
        <v>6</v>
      </c>
      <c r="H1715" t="str">
        <f>TEXT(calendar[[#This Row],[WeekDay]],"dddd")</f>
        <v>Friday</v>
      </c>
      <c r="I1715">
        <f>IF((INT(calendar[[#This Row],[Count]]/7)-calendar[[#This Row],[Count]]/7)&lt;0,I1714,I1714+1)</f>
        <v>245</v>
      </c>
      <c r="J1715">
        <f t="shared" si="134"/>
        <v>1713</v>
      </c>
      <c r="K1715">
        <f>IF(calendar[[#This Row],[Month]]&lt;4,1,IF(calendar[[#This Row],[Month]]&lt;7,2,IF(calendar[[#This Row],[Month]]&lt;10,3,4)))</f>
        <v>3</v>
      </c>
      <c r="L1715">
        <f>IFERROR(IF(VLOOKUP(calendar[[#This Row],[Date]],BH!A:A,1,)&lt;&gt;"",1,0),0)</f>
        <v>0</v>
      </c>
      <c r="M1715">
        <f>IFERROR(IF(VLOOKUP(calendar[[#This Row],[Date]],BH!C:C,1,)&lt;&gt;"",1,0),0)</f>
        <v>0</v>
      </c>
      <c r="N1715">
        <f>IFERROR(IF(VLOOKUP(calendar[[#This Row],[Date]],BH!E:E,1,)&lt;&gt;"",1,0),0)</f>
        <v>0</v>
      </c>
      <c r="O1715">
        <f>IFERROR(IF(VLOOKUP(calendar[[#This Row],[Date]],BH!G:G,1,)&lt;&gt;"",1,0),0)</f>
        <v>0</v>
      </c>
      <c r="P1715">
        <f>IF(OR(calendar[[#This Row],[UK_BH]]=1,calendar[[#This Row],[WeekDay]]=1, calendar[[#This Row],[WeekDay]]=7),P1714,P1714+1)</f>
        <v>1225</v>
      </c>
      <c r="Q1715">
        <f>IF(OR(calendar[[#This Row],[FR_BH]]=1,calendar[[#This Row],[WeekDay]]=1, calendar[[#This Row],[WeekDay]]=7),P1714,P1714+1)</f>
        <v>1225</v>
      </c>
      <c r="R1715">
        <f>IF(OR(calendar[[#This Row],[SP_BH]]=1,calendar[[#This Row],[WeekDay]]=1, calendar[[#This Row],[WeekDay]]=7),P1714,P1714+1)</f>
        <v>1225</v>
      </c>
      <c r="S1715">
        <f>IF(OR(calendar[[#This Row],[PT_BH]]=1,calendar[[#This Row],[WeekDay]]=1, calendar[[#This Row],[WeekDay]]=7),P1714,P1714+1)</f>
        <v>1225</v>
      </c>
    </row>
    <row r="1716" spans="1:19" x14ac:dyDescent="0.25">
      <c r="A1716" s="2">
        <v>44450</v>
      </c>
      <c r="B1716" s="1">
        <f t="shared" si="133"/>
        <v>37</v>
      </c>
      <c r="C1716">
        <f t="shared" si="135"/>
        <v>9</v>
      </c>
      <c r="D1716" t="str">
        <f t="shared" si="136"/>
        <v>September</v>
      </c>
      <c r="E1716">
        <f t="shared" si="137"/>
        <v>2021</v>
      </c>
      <c r="F1716" t="str">
        <f>CONCATENATE(calendar[[#This Row],[Month]],"/",calendar[[#This Row],[Year]])</f>
        <v>9/2021</v>
      </c>
      <c r="G1716">
        <f>WEEKDAY(calendar[[#This Row],[Date]],1)</f>
        <v>7</v>
      </c>
      <c r="H1716" t="str">
        <f>TEXT(calendar[[#This Row],[WeekDay]],"dddd")</f>
        <v>Saturday</v>
      </c>
      <c r="I1716">
        <f>IF((INT(calendar[[#This Row],[Count]]/7)-calendar[[#This Row],[Count]]/7)&lt;0,I1715,I1715+1)</f>
        <v>245</v>
      </c>
      <c r="J1716">
        <f t="shared" si="134"/>
        <v>1714</v>
      </c>
      <c r="K1716">
        <f>IF(calendar[[#This Row],[Month]]&lt;4,1,IF(calendar[[#This Row],[Month]]&lt;7,2,IF(calendar[[#This Row],[Month]]&lt;10,3,4)))</f>
        <v>3</v>
      </c>
      <c r="L1716">
        <f>IFERROR(IF(VLOOKUP(calendar[[#This Row],[Date]],BH!A:A,1,)&lt;&gt;"",1,0),0)</f>
        <v>0</v>
      </c>
      <c r="M1716">
        <f>IFERROR(IF(VLOOKUP(calendar[[#This Row],[Date]],BH!C:C,1,)&lt;&gt;"",1,0),0)</f>
        <v>0</v>
      </c>
      <c r="N1716">
        <f>IFERROR(IF(VLOOKUP(calendar[[#This Row],[Date]],BH!E:E,1,)&lt;&gt;"",1,0),0)</f>
        <v>0</v>
      </c>
      <c r="O1716">
        <f>IFERROR(IF(VLOOKUP(calendar[[#This Row],[Date]],BH!G:G,1,)&lt;&gt;"",1,0),0)</f>
        <v>0</v>
      </c>
      <c r="P1716">
        <f>IF(OR(calendar[[#This Row],[UK_BH]]=1,calendar[[#This Row],[WeekDay]]=1, calendar[[#This Row],[WeekDay]]=7),P1715,P1715+1)</f>
        <v>1225</v>
      </c>
      <c r="Q1716">
        <f>IF(OR(calendar[[#This Row],[FR_BH]]=1,calendar[[#This Row],[WeekDay]]=1, calendar[[#This Row],[WeekDay]]=7),P1715,P1715+1)</f>
        <v>1225</v>
      </c>
      <c r="R1716">
        <f>IF(OR(calendar[[#This Row],[SP_BH]]=1,calendar[[#This Row],[WeekDay]]=1, calendar[[#This Row],[WeekDay]]=7),P1715,P1715+1)</f>
        <v>1225</v>
      </c>
      <c r="S1716">
        <f>IF(OR(calendar[[#This Row],[PT_BH]]=1,calendar[[#This Row],[WeekDay]]=1, calendar[[#This Row],[WeekDay]]=7),P1715,P1715+1)</f>
        <v>1225</v>
      </c>
    </row>
    <row r="1717" spans="1:19" x14ac:dyDescent="0.25">
      <c r="A1717" s="2">
        <v>44451</v>
      </c>
      <c r="B1717" s="1">
        <f t="shared" si="133"/>
        <v>38</v>
      </c>
      <c r="C1717">
        <f t="shared" si="135"/>
        <v>9</v>
      </c>
      <c r="D1717" t="str">
        <f t="shared" si="136"/>
        <v>September</v>
      </c>
      <c r="E1717">
        <f t="shared" si="137"/>
        <v>2021</v>
      </c>
      <c r="F1717" t="str">
        <f>CONCATENATE(calendar[[#This Row],[Month]],"/",calendar[[#This Row],[Year]])</f>
        <v>9/2021</v>
      </c>
      <c r="G1717">
        <f>WEEKDAY(calendar[[#This Row],[Date]],1)</f>
        <v>1</v>
      </c>
      <c r="H1717" t="str">
        <f>TEXT(calendar[[#This Row],[WeekDay]],"dddd")</f>
        <v>Sunday</v>
      </c>
      <c r="I1717">
        <f>IF((INT(calendar[[#This Row],[Count]]/7)-calendar[[#This Row],[Count]]/7)&lt;0,I1716,I1716+1)</f>
        <v>246</v>
      </c>
      <c r="J1717">
        <f t="shared" si="134"/>
        <v>1715</v>
      </c>
      <c r="K1717">
        <f>IF(calendar[[#This Row],[Month]]&lt;4,1,IF(calendar[[#This Row],[Month]]&lt;7,2,IF(calendar[[#This Row],[Month]]&lt;10,3,4)))</f>
        <v>3</v>
      </c>
      <c r="L1717">
        <f>IFERROR(IF(VLOOKUP(calendar[[#This Row],[Date]],BH!A:A,1,)&lt;&gt;"",1,0),0)</f>
        <v>0</v>
      </c>
      <c r="M1717">
        <f>IFERROR(IF(VLOOKUP(calendar[[#This Row],[Date]],BH!C:C,1,)&lt;&gt;"",1,0),0)</f>
        <v>0</v>
      </c>
      <c r="N1717">
        <f>IFERROR(IF(VLOOKUP(calendar[[#This Row],[Date]],BH!E:E,1,)&lt;&gt;"",1,0),0)</f>
        <v>0</v>
      </c>
      <c r="O1717">
        <f>IFERROR(IF(VLOOKUP(calendar[[#This Row],[Date]],BH!G:G,1,)&lt;&gt;"",1,0),0)</f>
        <v>0</v>
      </c>
      <c r="P1717">
        <f>IF(OR(calendar[[#This Row],[UK_BH]]=1,calendar[[#This Row],[WeekDay]]=1, calendar[[#This Row],[WeekDay]]=7),P1716,P1716+1)</f>
        <v>1225</v>
      </c>
      <c r="Q1717">
        <f>IF(OR(calendar[[#This Row],[FR_BH]]=1,calendar[[#This Row],[WeekDay]]=1, calendar[[#This Row],[WeekDay]]=7),P1716,P1716+1)</f>
        <v>1225</v>
      </c>
      <c r="R1717">
        <f>IF(OR(calendar[[#This Row],[SP_BH]]=1,calendar[[#This Row],[WeekDay]]=1, calendar[[#This Row],[WeekDay]]=7),P1716,P1716+1)</f>
        <v>1225</v>
      </c>
      <c r="S1717">
        <f>IF(OR(calendar[[#This Row],[PT_BH]]=1,calendar[[#This Row],[WeekDay]]=1, calendar[[#This Row],[WeekDay]]=7),P1716,P1716+1)</f>
        <v>1225</v>
      </c>
    </row>
    <row r="1718" spans="1:19" x14ac:dyDescent="0.25">
      <c r="A1718" s="2">
        <v>44452</v>
      </c>
      <c r="B1718" s="1">
        <f t="shared" si="133"/>
        <v>38</v>
      </c>
      <c r="C1718">
        <f t="shared" si="135"/>
        <v>9</v>
      </c>
      <c r="D1718" t="str">
        <f t="shared" si="136"/>
        <v>September</v>
      </c>
      <c r="E1718">
        <f t="shared" si="137"/>
        <v>2021</v>
      </c>
      <c r="F1718" t="str">
        <f>CONCATENATE(calendar[[#This Row],[Month]],"/",calendar[[#This Row],[Year]])</f>
        <v>9/2021</v>
      </c>
      <c r="G1718">
        <f>WEEKDAY(calendar[[#This Row],[Date]],1)</f>
        <v>2</v>
      </c>
      <c r="H1718" t="str">
        <f>TEXT(calendar[[#This Row],[WeekDay]],"dddd")</f>
        <v>Monday</v>
      </c>
      <c r="I1718">
        <f>IF((INT(calendar[[#This Row],[Count]]/7)-calendar[[#This Row],[Count]]/7)&lt;0,I1717,I1717+1)</f>
        <v>246</v>
      </c>
      <c r="J1718">
        <f t="shared" si="134"/>
        <v>1716</v>
      </c>
      <c r="K1718">
        <f>IF(calendar[[#This Row],[Month]]&lt;4,1,IF(calendar[[#This Row],[Month]]&lt;7,2,IF(calendar[[#This Row],[Month]]&lt;10,3,4)))</f>
        <v>3</v>
      </c>
      <c r="L1718">
        <f>IFERROR(IF(VLOOKUP(calendar[[#This Row],[Date]],BH!A:A,1,)&lt;&gt;"",1,0),0)</f>
        <v>0</v>
      </c>
      <c r="M1718">
        <f>IFERROR(IF(VLOOKUP(calendar[[#This Row],[Date]],BH!C:C,1,)&lt;&gt;"",1,0),0)</f>
        <v>0</v>
      </c>
      <c r="N1718">
        <f>IFERROR(IF(VLOOKUP(calendar[[#This Row],[Date]],BH!E:E,1,)&lt;&gt;"",1,0),0)</f>
        <v>0</v>
      </c>
      <c r="O1718">
        <f>IFERROR(IF(VLOOKUP(calendar[[#This Row],[Date]],BH!G:G,1,)&lt;&gt;"",1,0),0)</f>
        <v>0</v>
      </c>
      <c r="P1718">
        <f>IF(OR(calendar[[#This Row],[UK_BH]]=1,calendar[[#This Row],[WeekDay]]=1, calendar[[#This Row],[WeekDay]]=7),P1717,P1717+1)</f>
        <v>1226</v>
      </c>
      <c r="Q1718">
        <f>IF(OR(calendar[[#This Row],[FR_BH]]=1,calendar[[#This Row],[WeekDay]]=1, calendar[[#This Row],[WeekDay]]=7),P1717,P1717+1)</f>
        <v>1226</v>
      </c>
      <c r="R1718">
        <f>IF(OR(calendar[[#This Row],[SP_BH]]=1,calendar[[#This Row],[WeekDay]]=1, calendar[[#This Row],[WeekDay]]=7),P1717,P1717+1)</f>
        <v>1226</v>
      </c>
      <c r="S1718">
        <f>IF(OR(calendar[[#This Row],[PT_BH]]=1,calendar[[#This Row],[WeekDay]]=1, calendar[[#This Row],[WeekDay]]=7),P1717,P1717+1)</f>
        <v>1226</v>
      </c>
    </row>
    <row r="1719" spans="1:19" x14ac:dyDescent="0.25">
      <c r="A1719" s="2">
        <v>44453</v>
      </c>
      <c r="B1719" s="1">
        <f t="shared" si="133"/>
        <v>38</v>
      </c>
      <c r="C1719">
        <f t="shared" si="135"/>
        <v>9</v>
      </c>
      <c r="D1719" t="str">
        <f t="shared" si="136"/>
        <v>September</v>
      </c>
      <c r="E1719">
        <f t="shared" si="137"/>
        <v>2021</v>
      </c>
      <c r="F1719" t="str">
        <f>CONCATENATE(calendar[[#This Row],[Month]],"/",calendar[[#This Row],[Year]])</f>
        <v>9/2021</v>
      </c>
      <c r="G1719">
        <f>WEEKDAY(calendar[[#This Row],[Date]],1)</f>
        <v>3</v>
      </c>
      <c r="H1719" t="str">
        <f>TEXT(calendar[[#This Row],[WeekDay]],"dddd")</f>
        <v>Tuesday</v>
      </c>
      <c r="I1719">
        <f>IF((INT(calendar[[#This Row],[Count]]/7)-calendar[[#This Row],[Count]]/7)&lt;0,I1718,I1718+1)</f>
        <v>246</v>
      </c>
      <c r="J1719">
        <f t="shared" si="134"/>
        <v>1717</v>
      </c>
      <c r="K1719">
        <f>IF(calendar[[#This Row],[Month]]&lt;4,1,IF(calendar[[#This Row],[Month]]&lt;7,2,IF(calendar[[#This Row],[Month]]&lt;10,3,4)))</f>
        <v>3</v>
      </c>
      <c r="L1719">
        <f>IFERROR(IF(VLOOKUP(calendar[[#This Row],[Date]],BH!A:A,1,)&lt;&gt;"",1,0),0)</f>
        <v>0</v>
      </c>
      <c r="M1719">
        <f>IFERROR(IF(VLOOKUP(calendar[[#This Row],[Date]],BH!C:C,1,)&lt;&gt;"",1,0),0)</f>
        <v>0</v>
      </c>
      <c r="N1719">
        <f>IFERROR(IF(VLOOKUP(calendar[[#This Row],[Date]],BH!E:E,1,)&lt;&gt;"",1,0),0)</f>
        <v>0</v>
      </c>
      <c r="O1719">
        <f>IFERROR(IF(VLOOKUP(calendar[[#This Row],[Date]],BH!G:G,1,)&lt;&gt;"",1,0),0)</f>
        <v>0</v>
      </c>
      <c r="P1719">
        <f>IF(OR(calendar[[#This Row],[UK_BH]]=1,calendar[[#This Row],[WeekDay]]=1, calendar[[#This Row],[WeekDay]]=7),P1718,P1718+1)</f>
        <v>1227</v>
      </c>
      <c r="Q1719">
        <f>IF(OR(calendar[[#This Row],[FR_BH]]=1,calendar[[#This Row],[WeekDay]]=1, calendar[[#This Row],[WeekDay]]=7),P1718,P1718+1)</f>
        <v>1227</v>
      </c>
      <c r="R1719">
        <f>IF(OR(calendar[[#This Row],[SP_BH]]=1,calendar[[#This Row],[WeekDay]]=1, calendar[[#This Row],[WeekDay]]=7),P1718,P1718+1)</f>
        <v>1227</v>
      </c>
      <c r="S1719">
        <f>IF(OR(calendar[[#This Row],[PT_BH]]=1,calendar[[#This Row],[WeekDay]]=1, calendar[[#This Row],[WeekDay]]=7),P1718,P1718+1)</f>
        <v>1227</v>
      </c>
    </row>
    <row r="1720" spans="1:19" x14ac:dyDescent="0.25">
      <c r="A1720" s="2">
        <v>44454</v>
      </c>
      <c r="B1720" s="1">
        <f t="shared" si="133"/>
        <v>38</v>
      </c>
      <c r="C1720">
        <f t="shared" si="135"/>
        <v>9</v>
      </c>
      <c r="D1720" t="str">
        <f t="shared" si="136"/>
        <v>September</v>
      </c>
      <c r="E1720">
        <f t="shared" si="137"/>
        <v>2021</v>
      </c>
      <c r="F1720" t="str">
        <f>CONCATENATE(calendar[[#This Row],[Month]],"/",calendar[[#This Row],[Year]])</f>
        <v>9/2021</v>
      </c>
      <c r="G1720">
        <f>WEEKDAY(calendar[[#This Row],[Date]],1)</f>
        <v>4</v>
      </c>
      <c r="H1720" t="str">
        <f>TEXT(calendar[[#This Row],[WeekDay]],"dddd")</f>
        <v>Wednesday</v>
      </c>
      <c r="I1720">
        <f>IF((INT(calendar[[#This Row],[Count]]/7)-calendar[[#This Row],[Count]]/7)&lt;0,I1719,I1719+1)</f>
        <v>246</v>
      </c>
      <c r="J1720">
        <f t="shared" si="134"/>
        <v>1718</v>
      </c>
      <c r="K1720">
        <f>IF(calendar[[#This Row],[Month]]&lt;4,1,IF(calendar[[#This Row],[Month]]&lt;7,2,IF(calendar[[#This Row],[Month]]&lt;10,3,4)))</f>
        <v>3</v>
      </c>
      <c r="L1720">
        <f>IFERROR(IF(VLOOKUP(calendar[[#This Row],[Date]],BH!A:A,1,)&lt;&gt;"",1,0),0)</f>
        <v>0</v>
      </c>
      <c r="M1720">
        <f>IFERROR(IF(VLOOKUP(calendar[[#This Row],[Date]],BH!C:C,1,)&lt;&gt;"",1,0),0)</f>
        <v>0</v>
      </c>
      <c r="N1720">
        <f>IFERROR(IF(VLOOKUP(calendar[[#This Row],[Date]],BH!E:E,1,)&lt;&gt;"",1,0),0)</f>
        <v>0</v>
      </c>
      <c r="O1720">
        <f>IFERROR(IF(VLOOKUP(calendar[[#This Row],[Date]],BH!G:G,1,)&lt;&gt;"",1,0),0)</f>
        <v>0</v>
      </c>
      <c r="P1720">
        <f>IF(OR(calendar[[#This Row],[UK_BH]]=1,calendar[[#This Row],[WeekDay]]=1, calendar[[#This Row],[WeekDay]]=7),P1719,P1719+1)</f>
        <v>1228</v>
      </c>
      <c r="Q1720">
        <f>IF(OR(calendar[[#This Row],[FR_BH]]=1,calendar[[#This Row],[WeekDay]]=1, calendar[[#This Row],[WeekDay]]=7),P1719,P1719+1)</f>
        <v>1228</v>
      </c>
      <c r="R1720">
        <f>IF(OR(calendar[[#This Row],[SP_BH]]=1,calendar[[#This Row],[WeekDay]]=1, calendar[[#This Row],[WeekDay]]=7),P1719,P1719+1)</f>
        <v>1228</v>
      </c>
      <c r="S1720">
        <f>IF(OR(calendar[[#This Row],[PT_BH]]=1,calendar[[#This Row],[WeekDay]]=1, calendar[[#This Row],[WeekDay]]=7),P1719,P1719+1)</f>
        <v>1228</v>
      </c>
    </row>
    <row r="1721" spans="1:19" x14ac:dyDescent="0.25">
      <c r="A1721" s="2">
        <v>44455</v>
      </c>
      <c r="B1721" s="1">
        <f t="shared" si="133"/>
        <v>38</v>
      </c>
      <c r="C1721">
        <f t="shared" si="135"/>
        <v>9</v>
      </c>
      <c r="D1721" t="str">
        <f t="shared" si="136"/>
        <v>September</v>
      </c>
      <c r="E1721">
        <f t="shared" si="137"/>
        <v>2021</v>
      </c>
      <c r="F1721" t="str">
        <f>CONCATENATE(calendar[[#This Row],[Month]],"/",calendar[[#This Row],[Year]])</f>
        <v>9/2021</v>
      </c>
      <c r="G1721">
        <f>WEEKDAY(calendar[[#This Row],[Date]],1)</f>
        <v>5</v>
      </c>
      <c r="H1721" t="str">
        <f>TEXT(calendar[[#This Row],[WeekDay]],"dddd")</f>
        <v>Thursday</v>
      </c>
      <c r="I1721">
        <f>IF((INT(calendar[[#This Row],[Count]]/7)-calendar[[#This Row],[Count]]/7)&lt;0,I1720,I1720+1)</f>
        <v>246</v>
      </c>
      <c r="J1721">
        <f t="shared" si="134"/>
        <v>1719</v>
      </c>
      <c r="K1721">
        <f>IF(calendar[[#This Row],[Month]]&lt;4,1,IF(calendar[[#This Row],[Month]]&lt;7,2,IF(calendar[[#This Row],[Month]]&lt;10,3,4)))</f>
        <v>3</v>
      </c>
      <c r="L1721">
        <f>IFERROR(IF(VLOOKUP(calendar[[#This Row],[Date]],BH!A:A,1,)&lt;&gt;"",1,0),0)</f>
        <v>0</v>
      </c>
      <c r="M1721">
        <f>IFERROR(IF(VLOOKUP(calendar[[#This Row],[Date]],BH!C:C,1,)&lt;&gt;"",1,0),0)</f>
        <v>0</v>
      </c>
      <c r="N1721">
        <f>IFERROR(IF(VLOOKUP(calendar[[#This Row],[Date]],BH!E:E,1,)&lt;&gt;"",1,0),0)</f>
        <v>0</v>
      </c>
      <c r="O1721">
        <f>IFERROR(IF(VLOOKUP(calendar[[#This Row],[Date]],BH!G:G,1,)&lt;&gt;"",1,0),0)</f>
        <v>0</v>
      </c>
      <c r="P1721">
        <f>IF(OR(calendar[[#This Row],[UK_BH]]=1,calendar[[#This Row],[WeekDay]]=1, calendar[[#This Row],[WeekDay]]=7),P1720,P1720+1)</f>
        <v>1229</v>
      </c>
      <c r="Q1721">
        <f>IF(OR(calendar[[#This Row],[FR_BH]]=1,calendar[[#This Row],[WeekDay]]=1, calendar[[#This Row],[WeekDay]]=7),P1720,P1720+1)</f>
        <v>1229</v>
      </c>
      <c r="R1721">
        <f>IF(OR(calendar[[#This Row],[SP_BH]]=1,calendar[[#This Row],[WeekDay]]=1, calendar[[#This Row],[WeekDay]]=7),P1720,P1720+1)</f>
        <v>1229</v>
      </c>
      <c r="S1721">
        <f>IF(OR(calendar[[#This Row],[PT_BH]]=1,calendar[[#This Row],[WeekDay]]=1, calendar[[#This Row],[WeekDay]]=7),P1720,P1720+1)</f>
        <v>1229</v>
      </c>
    </row>
    <row r="1722" spans="1:19" x14ac:dyDescent="0.25">
      <c r="A1722" s="2">
        <v>44456</v>
      </c>
      <c r="B1722" s="1">
        <f t="shared" si="133"/>
        <v>38</v>
      </c>
      <c r="C1722">
        <f t="shared" si="135"/>
        <v>9</v>
      </c>
      <c r="D1722" t="str">
        <f t="shared" si="136"/>
        <v>September</v>
      </c>
      <c r="E1722">
        <f t="shared" si="137"/>
        <v>2021</v>
      </c>
      <c r="F1722" t="str">
        <f>CONCATENATE(calendar[[#This Row],[Month]],"/",calendar[[#This Row],[Year]])</f>
        <v>9/2021</v>
      </c>
      <c r="G1722">
        <f>WEEKDAY(calendar[[#This Row],[Date]],1)</f>
        <v>6</v>
      </c>
      <c r="H1722" t="str">
        <f>TEXT(calendar[[#This Row],[WeekDay]],"dddd")</f>
        <v>Friday</v>
      </c>
      <c r="I1722">
        <f>IF((INT(calendar[[#This Row],[Count]]/7)-calendar[[#This Row],[Count]]/7)&lt;0,I1721,I1721+1)</f>
        <v>246</v>
      </c>
      <c r="J1722">
        <f t="shared" si="134"/>
        <v>1720</v>
      </c>
      <c r="K1722">
        <f>IF(calendar[[#This Row],[Month]]&lt;4,1,IF(calendar[[#This Row],[Month]]&lt;7,2,IF(calendar[[#This Row],[Month]]&lt;10,3,4)))</f>
        <v>3</v>
      </c>
      <c r="L1722">
        <f>IFERROR(IF(VLOOKUP(calendar[[#This Row],[Date]],BH!A:A,1,)&lt;&gt;"",1,0),0)</f>
        <v>0</v>
      </c>
      <c r="M1722">
        <f>IFERROR(IF(VLOOKUP(calendar[[#This Row],[Date]],BH!C:C,1,)&lt;&gt;"",1,0),0)</f>
        <v>0</v>
      </c>
      <c r="N1722">
        <f>IFERROR(IF(VLOOKUP(calendar[[#This Row],[Date]],BH!E:E,1,)&lt;&gt;"",1,0),0)</f>
        <v>0</v>
      </c>
      <c r="O1722">
        <f>IFERROR(IF(VLOOKUP(calendar[[#This Row],[Date]],BH!G:G,1,)&lt;&gt;"",1,0),0)</f>
        <v>0</v>
      </c>
      <c r="P1722">
        <f>IF(OR(calendar[[#This Row],[UK_BH]]=1,calendar[[#This Row],[WeekDay]]=1, calendar[[#This Row],[WeekDay]]=7),P1721,P1721+1)</f>
        <v>1230</v>
      </c>
      <c r="Q1722">
        <f>IF(OR(calendar[[#This Row],[FR_BH]]=1,calendar[[#This Row],[WeekDay]]=1, calendar[[#This Row],[WeekDay]]=7),P1721,P1721+1)</f>
        <v>1230</v>
      </c>
      <c r="R1722">
        <f>IF(OR(calendar[[#This Row],[SP_BH]]=1,calendar[[#This Row],[WeekDay]]=1, calendar[[#This Row],[WeekDay]]=7),P1721,P1721+1)</f>
        <v>1230</v>
      </c>
      <c r="S1722">
        <f>IF(OR(calendar[[#This Row],[PT_BH]]=1,calendar[[#This Row],[WeekDay]]=1, calendar[[#This Row],[WeekDay]]=7),P1721,P1721+1)</f>
        <v>1230</v>
      </c>
    </row>
    <row r="1723" spans="1:19" x14ac:dyDescent="0.25">
      <c r="A1723" s="2">
        <v>44457</v>
      </c>
      <c r="B1723" s="1">
        <f t="shared" si="133"/>
        <v>38</v>
      </c>
      <c r="C1723">
        <f t="shared" si="135"/>
        <v>9</v>
      </c>
      <c r="D1723" t="str">
        <f t="shared" si="136"/>
        <v>September</v>
      </c>
      <c r="E1723">
        <f t="shared" si="137"/>
        <v>2021</v>
      </c>
      <c r="F1723" t="str">
        <f>CONCATENATE(calendar[[#This Row],[Month]],"/",calendar[[#This Row],[Year]])</f>
        <v>9/2021</v>
      </c>
      <c r="G1723">
        <f>WEEKDAY(calendar[[#This Row],[Date]],1)</f>
        <v>7</v>
      </c>
      <c r="H1723" t="str">
        <f>TEXT(calendar[[#This Row],[WeekDay]],"dddd")</f>
        <v>Saturday</v>
      </c>
      <c r="I1723">
        <f>IF((INT(calendar[[#This Row],[Count]]/7)-calendar[[#This Row],[Count]]/7)&lt;0,I1722,I1722+1)</f>
        <v>246</v>
      </c>
      <c r="J1723">
        <f t="shared" si="134"/>
        <v>1721</v>
      </c>
      <c r="K1723">
        <f>IF(calendar[[#This Row],[Month]]&lt;4,1,IF(calendar[[#This Row],[Month]]&lt;7,2,IF(calendar[[#This Row],[Month]]&lt;10,3,4)))</f>
        <v>3</v>
      </c>
      <c r="L1723">
        <f>IFERROR(IF(VLOOKUP(calendar[[#This Row],[Date]],BH!A:A,1,)&lt;&gt;"",1,0),0)</f>
        <v>0</v>
      </c>
      <c r="M1723">
        <f>IFERROR(IF(VLOOKUP(calendar[[#This Row],[Date]],BH!C:C,1,)&lt;&gt;"",1,0),0)</f>
        <v>0</v>
      </c>
      <c r="N1723">
        <f>IFERROR(IF(VLOOKUP(calendar[[#This Row],[Date]],BH!E:E,1,)&lt;&gt;"",1,0),0)</f>
        <v>0</v>
      </c>
      <c r="O1723">
        <f>IFERROR(IF(VLOOKUP(calendar[[#This Row],[Date]],BH!G:G,1,)&lt;&gt;"",1,0),0)</f>
        <v>0</v>
      </c>
      <c r="P1723">
        <f>IF(OR(calendar[[#This Row],[UK_BH]]=1,calendar[[#This Row],[WeekDay]]=1, calendar[[#This Row],[WeekDay]]=7),P1722,P1722+1)</f>
        <v>1230</v>
      </c>
      <c r="Q1723">
        <f>IF(OR(calendar[[#This Row],[FR_BH]]=1,calendar[[#This Row],[WeekDay]]=1, calendar[[#This Row],[WeekDay]]=7),P1722,P1722+1)</f>
        <v>1230</v>
      </c>
      <c r="R1723">
        <f>IF(OR(calendar[[#This Row],[SP_BH]]=1,calendar[[#This Row],[WeekDay]]=1, calendar[[#This Row],[WeekDay]]=7),P1722,P1722+1)</f>
        <v>1230</v>
      </c>
      <c r="S1723">
        <f>IF(OR(calendar[[#This Row],[PT_BH]]=1,calendar[[#This Row],[WeekDay]]=1, calendar[[#This Row],[WeekDay]]=7),P1722,P1722+1)</f>
        <v>1230</v>
      </c>
    </row>
    <row r="1724" spans="1:19" x14ac:dyDescent="0.25">
      <c r="A1724" s="2">
        <v>44458</v>
      </c>
      <c r="B1724" s="1">
        <f t="shared" si="133"/>
        <v>39</v>
      </c>
      <c r="C1724">
        <f t="shared" si="135"/>
        <v>9</v>
      </c>
      <c r="D1724" t="str">
        <f t="shared" si="136"/>
        <v>September</v>
      </c>
      <c r="E1724">
        <f t="shared" si="137"/>
        <v>2021</v>
      </c>
      <c r="F1724" t="str">
        <f>CONCATENATE(calendar[[#This Row],[Month]],"/",calendar[[#This Row],[Year]])</f>
        <v>9/2021</v>
      </c>
      <c r="G1724">
        <f>WEEKDAY(calendar[[#This Row],[Date]],1)</f>
        <v>1</v>
      </c>
      <c r="H1724" t="str">
        <f>TEXT(calendar[[#This Row],[WeekDay]],"dddd")</f>
        <v>Sunday</v>
      </c>
      <c r="I1724">
        <f>IF((INT(calendar[[#This Row],[Count]]/7)-calendar[[#This Row],[Count]]/7)&lt;0,I1723,I1723+1)</f>
        <v>247</v>
      </c>
      <c r="J1724">
        <f t="shared" si="134"/>
        <v>1722</v>
      </c>
      <c r="K1724">
        <f>IF(calendar[[#This Row],[Month]]&lt;4,1,IF(calendar[[#This Row],[Month]]&lt;7,2,IF(calendar[[#This Row],[Month]]&lt;10,3,4)))</f>
        <v>3</v>
      </c>
      <c r="L1724">
        <f>IFERROR(IF(VLOOKUP(calendar[[#This Row],[Date]],BH!A:A,1,)&lt;&gt;"",1,0),0)</f>
        <v>0</v>
      </c>
      <c r="M1724">
        <f>IFERROR(IF(VLOOKUP(calendar[[#This Row],[Date]],BH!C:C,1,)&lt;&gt;"",1,0),0)</f>
        <v>0</v>
      </c>
      <c r="N1724">
        <f>IFERROR(IF(VLOOKUP(calendar[[#This Row],[Date]],BH!E:E,1,)&lt;&gt;"",1,0),0)</f>
        <v>0</v>
      </c>
      <c r="O1724">
        <f>IFERROR(IF(VLOOKUP(calendar[[#This Row],[Date]],BH!G:G,1,)&lt;&gt;"",1,0),0)</f>
        <v>0</v>
      </c>
      <c r="P1724">
        <f>IF(OR(calendar[[#This Row],[UK_BH]]=1,calendar[[#This Row],[WeekDay]]=1, calendar[[#This Row],[WeekDay]]=7),P1723,P1723+1)</f>
        <v>1230</v>
      </c>
      <c r="Q1724">
        <f>IF(OR(calendar[[#This Row],[FR_BH]]=1,calendar[[#This Row],[WeekDay]]=1, calendar[[#This Row],[WeekDay]]=7),P1723,P1723+1)</f>
        <v>1230</v>
      </c>
      <c r="R1724">
        <f>IF(OR(calendar[[#This Row],[SP_BH]]=1,calendar[[#This Row],[WeekDay]]=1, calendar[[#This Row],[WeekDay]]=7),P1723,P1723+1)</f>
        <v>1230</v>
      </c>
      <c r="S1724">
        <f>IF(OR(calendar[[#This Row],[PT_BH]]=1,calendar[[#This Row],[WeekDay]]=1, calendar[[#This Row],[WeekDay]]=7),P1723,P1723+1)</f>
        <v>1230</v>
      </c>
    </row>
    <row r="1725" spans="1:19" x14ac:dyDescent="0.25">
      <c r="A1725" s="2">
        <v>44459</v>
      </c>
      <c r="B1725" s="1">
        <f t="shared" si="133"/>
        <v>39</v>
      </c>
      <c r="C1725">
        <f t="shared" si="135"/>
        <v>9</v>
      </c>
      <c r="D1725" t="str">
        <f t="shared" si="136"/>
        <v>September</v>
      </c>
      <c r="E1725">
        <f t="shared" si="137"/>
        <v>2021</v>
      </c>
      <c r="F1725" t="str">
        <f>CONCATENATE(calendar[[#This Row],[Month]],"/",calendar[[#This Row],[Year]])</f>
        <v>9/2021</v>
      </c>
      <c r="G1725">
        <f>WEEKDAY(calendar[[#This Row],[Date]],1)</f>
        <v>2</v>
      </c>
      <c r="H1725" t="str">
        <f>TEXT(calendar[[#This Row],[WeekDay]],"dddd")</f>
        <v>Monday</v>
      </c>
      <c r="I1725">
        <f>IF((INT(calendar[[#This Row],[Count]]/7)-calendar[[#This Row],[Count]]/7)&lt;0,I1724,I1724+1)</f>
        <v>247</v>
      </c>
      <c r="J1725">
        <f t="shared" si="134"/>
        <v>1723</v>
      </c>
      <c r="K1725">
        <f>IF(calendar[[#This Row],[Month]]&lt;4,1,IF(calendar[[#This Row],[Month]]&lt;7,2,IF(calendar[[#This Row],[Month]]&lt;10,3,4)))</f>
        <v>3</v>
      </c>
      <c r="L1725">
        <f>IFERROR(IF(VLOOKUP(calendar[[#This Row],[Date]],BH!A:A,1,)&lt;&gt;"",1,0),0)</f>
        <v>0</v>
      </c>
      <c r="M1725">
        <f>IFERROR(IF(VLOOKUP(calendar[[#This Row],[Date]],BH!C:C,1,)&lt;&gt;"",1,0),0)</f>
        <v>0</v>
      </c>
      <c r="N1725">
        <f>IFERROR(IF(VLOOKUP(calendar[[#This Row],[Date]],BH!E:E,1,)&lt;&gt;"",1,0),0)</f>
        <v>0</v>
      </c>
      <c r="O1725">
        <f>IFERROR(IF(VLOOKUP(calendar[[#This Row],[Date]],BH!G:G,1,)&lt;&gt;"",1,0),0)</f>
        <v>0</v>
      </c>
      <c r="P1725">
        <f>IF(OR(calendar[[#This Row],[UK_BH]]=1,calendar[[#This Row],[WeekDay]]=1, calendar[[#This Row],[WeekDay]]=7),P1724,P1724+1)</f>
        <v>1231</v>
      </c>
      <c r="Q1725">
        <f>IF(OR(calendar[[#This Row],[FR_BH]]=1,calendar[[#This Row],[WeekDay]]=1, calendar[[#This Row],[WeekDay]]=7),P1724,P1724+1)</f>
        <v>1231</v>
      </c>
      <c r="R1725">
        <f>IF(OR(calendar[[#This Row],[SP_BH]]=1,calendar[[#This Row],[WeekDay]]=1, calendar[[#This Row],[WeekDay]]=7),P1724,P1724+1)</f>
        <v>1231</v>
      </c>
      <c r="S1725">
        <f>IF(OR(calendar[[#This Row],[PT_BH]]=1,calendar[[#This Row],[WeekDay]]=1, calendar[[#This Row],[WeekDay]]=7),P1724,P1724+1)</f>
        <v>1231</v>
      </c>
    </row>
    <row r="1726" spans="1:19" x14ac:dyDescent="0.25">
      <c r="A1726" s="2">
        <v>44460</v>
      </c>
      <c r="B1726" s="1">
        <f t="shared" si="133"/>
        <v>39</v>
      </c>
      <c r="C1726">
        <f t="shared" si="135"/>
        <v>9</v>
      </c>
      <c r="D1726" t="str">
        <f t="shared" si="136"/>
        <v>September</v>
      </c>
      <c r="E1726">
        <f t="shared" si="137"/>
        <v>2021</v>
      </c>
      <c r="F1726" t="str">
        <f>CONCATENATE(calendar[[#This Row],[Month]],"/",calendar[[#This Row],[Year]])</f>
        <v>9/2021</v>
      </c>
      <c r="G1726">
        <f>WEEKDAY(calendar[[#This Row],[Date]],1)</f>
        <v>3</v>
      </c>
      <c r="H1726" t="str">
        <f>TEXT(calendar[[#This Row],[WeekDay]],"dddd")</f>
        <v>Tuesday</v>
      </c>
      <c r="I1726">
        <f>IF((INT(calendar[[#This Row],[Count]]/7)-calendar[[#This Row],[Count]]/7)&lt;0,I1725,I1725+1)</f>
        <v>247</v>
      </c>
      <c r="J1726">
        <f t="shared" si="134"/>
        <v>1724</v>
      </c>
      <c r="K1726">
        <f>IF(calendar[[#This Row],[Month]]&lt;4,1,IF(calendar[[#This Row],[Month]]&lt;7,2,IF(calendar[[#This Row],[Month]]&lt;10,3,4)))</f>
        <v>3</v>
      </c>
      <c r="L1726">
        <f>IFERROR(IF(VLOOKUP(calendar[[#This Row],[Date]],BH!A:A,1,)&lt;&gt;"",1,0),0)</f>
        <v>0</v>
      </c>
      <c r="M1726">
        <f>IFERROR(IF(VLOOKUP(calendar[[#This Row],[Date]],BH!C:C,1,)&lt;&gt;"",1,0),0)</f>
        <v>0</v>
      </c>
      <c r="N1726">
        <f>IFERROR(IF(VLOOKUP(calendar[[#This Row],[Date]],BH!E:E,1,)&lt;&gt;"",1,0),0)</f>
        <v>0</v>
      </c>
      <c r="O1726">
        <f>IFERROR(IF(VLOOKUP(calendar[[#This Row],[Date]],BH!G:G,1,)&lt;&gt;"",1,0),0)</f>
        <v>0</v>
      </c>
      <c r="P1726">
        <f>IF(OR(calendar[[#This Row],[UK_BH]]=1,calendar[[#This Row],[WeekDay]]=1, calendar[[#This Row],[WeekDay]]=7),P1725,P1725+1)</f>
        <v>1232</v>
      </c>
      <c r="Q1726">
        <f>IF(OR(calendar[[#This Row],[FR_BH]]=1,calendar[[#This Row],[WeekDay]]=1, calendar[[#This Row],[WeekDay]]=7),P1725,P1725+1)</f>
        <v>1232</v>
      </c>
      <c r="R1726">
        <f>IF(OR(calendar[[#This Row],[SP_BH]]=1,calendar[[#This Row],[WeekDay]]=1, calendar[[#This Row],[WeekDay]]=7),P1725,P1725+1)</f>
        <v>1232</v>
      </c>
      <c r="S1726">
        <f>IF(OR(calendar[[#This Row],[PT_BH]]=1,calendar[[#This Row],[WeekDay]]=1, calendar[[#This Row],[WeekDay]]=7),P1725,P1725+1)</f>
        <v>1232</v>
      </c>
    </row>
    <row r="1727" spans="1:19" x14ac:dyDescent="0.25">
      <c r="A1727" s="2">
        <v>44461</v>
      </c>
      <c r="B1727" s="1">
        <f t="shared" si="133"/>
        <v>39</v>
      </c>
      <c r="C1727">
        <f t="shared" si="135"/>
        <v>9</v>
      </c>
      <c r="D1727" t="str">
        <f t="shared" si="136"/>
        <v>September</v>
      </c>
      <c r="E1727">
        <f t="shared" si="137"/>
        <v>2021</v>
      </c>
      <c r="F1727" t="str">
        <f>CONCATENATE(calendar[[#This Row],[Month]],"/",calendar[[#This Row],[Year]])</f>
        <v>9/2021</v>
      </c>
      <c r="G1727">
        <f>WEEKDAY(calendar[[#This Row],[Date]],1)</f>
        <v>4</v>
      </c>
      <c r="H1727" t="str">
        <f>TEXT(calendar[[#This Row],[WeekDay]],"dddd")</f>
        <v>Wednesday</v>
      </c>
      <c r="I1727">
        <f>IF((INT(calendar[[#This Row],[Count]]/7)-calendar[[#This Row],[Count]]/7)&lt;0,I1726,I1726+1)</f>
        <v>247</v>
      </c>
      <c r="J1727">
        <f t="shared" si="134"/>
        <v>1725</v>
      </c>
      <c r="K1727">
        <f>IF(calendar[[#This Row],[Month]]&lt;4,1,IF(calendar[[#This Row],[Month]]&lt;7,2,IF(calendar[[#This Row],[Month]]&lt;10,3,4)))</f>
        <v>3</v>
      </c>
      <c r="L1727">
        <f>IFERROR(IF(VLOOKUP(calendar[[#This Row],[Date]],BH!A:A,1,)&lt;&gt;"",1,0),0)</f>
        <v>0</v>
      </c>
      <c r="M1727">
        <f>IFERROR(IF(VLOOKUP(calendar[[#This Row],[Date]],BH!C:C,1,)&lt;&gt;"",1,0),0)</f>
        <v>0</v>
      </c>
      <c r="N1727">
        <f>IFERROR(IF(VLOOKUP(calendar[[#This Row],[Date]],BH!E:E,1,)&lt;&gt;"",1,0),0)</f>
        <v>0</v>
      </c>
      <c r="O1727">
        <f>IFERROR(IF(VLOOKUP(calendar[[#This Row],[Date]],BH!G:G,1,)&lt;&gt;"",1,0),0)</f>
        <v>0</v>
      </c>
      <c r="P1727">
        <f>IF(OR(calendar[[#This Row],[UK_BH]]=1,calendar[[#This Row],[WeekDay]]=1, calendar[[#This Row],[WeekDay]]=7),P1726,P1726+1)</f>
        <v>1233</v>
      </c>
      <c r="Q1727">
        <f>IF(OR(calendar[[#This Row],[FR_BH]]=1,calendar[[#This Row],[WeekDay]]=1, calendar[[#This Row],[WeekDay]]=7),P1726,P1726+1)</f>
        <v>1233</v>
      </c>
      <c r="R1727">
        <f>IF(OR(calendar[[#This Row],[SP_BH]]=1,calendar[[#This Row],[WeekDay]]=1, calendar[[#This Row],[WeekDay]]=7),P1726,P1726+1)</f>
        <v>1233</v>
      </c>
      <c r="S1727">
        <f>IF(OR(calendar[[#This Row],[PT_BH]]=1,calendar[[#This Row],[WeekDay]]=1, calendar[[#This Row],[WeekDay]]=7),P1726,P1726+1)</f>
        <v>1233</v>
      </c>
    </row>
    <row r="1728" spans="1:19" x14ac:dyDescent="0.25">
      <c r="A1728" s="2">
        <v>44462</v>
      </c>
      <c r="B1728" s="1">
        <f t="shared" si="133"/>
        <v>39</v>
      </c>
      <c r="C1728">
        <f t="shared" si="135"/>
        <v>9</v>
      </c>
      <c r="D1728" t="str">
        <f t="shared" si="136"/>
        <v>September</v>
      </c>
      <c r="E1728">
        <f t="shared" si="137"/>
        <v>2021</v>
      </c>
      <c r="F1728" t="str">
        <f>CONCATENATE(calendar[[#This Row],[Month]],"/",calendar[[#This Row],[Year]])</f>
        <v>9/2021</v>
      </c>
      <c r="G1728">
        <f>WEEKDAY(calendar[[#This Row],[Date]],1)</f>
        <v>5</v>
      </c>
      <c r="H1728" t="str">
        <f>TEXT(calendar[[#This Row],[WeekDay]],"dddd")</f>
        <v>Thursday</v>
      </c>
      <c r="I1728">
        <f>IF((INT(calendar[[#This Row],[Count]]/7)-calendar[[#This Row],[Count]]/7)&lt;0,I1727,I1727+1)</f>
        <v>247</v>
      </c>
      <c r="J1728">
        <f t="shared" si="134"/>
        <v>1726</v>
      </c>
      <c r="K1728">
        <f>IF(calendar[[#This Row],[Month]]&lt;4,1,IF(calendar[[#This Row],[Month]]&lt;7,2,IF(calendar[[#This Row],[Month]]&lt;10,3,4)))</f>
        <v>3</v>
      </c>
      <c r="L1728">
        <f>IFERROR(IF(VLOOKUP(calendar[[#This Row],[Date]],BH!A:A,1,)&lt;&gt;"",1,0),0)</f>
        <v>0</v>
      </c>
      <c r="M1728">
        <f>IFERROR(IF(VLOOKUP(calendar[[#This Row],[Date]],BH!C:C,1,)&lt;&gt;"",1,0),0)</f>
        <v>0</v>
      </c>
      <c r="N1728">
        <f>IFERROR(IF(VLOOKUP(calendar[[#This Row],[Date]],BH!E:E,1,)&lt;&gt;"",1,0),0)</f>
        <v>0</v>
      </c>
      <c r="O1728">
        <f>IFERROR(IF(VLOOKUP(calendar[[#This Row],[Date]],BH!G:G,1,)&lt;&gt;"",1,0),0)</f>
        <v>0</v>
      </c>
      <c r="P1728">
        <f>IF(OR(calendar[[#This Row],[UK_BH]]=1,calendar[[#This Row],[WeekDay]]=1, calendar[[#This Row],[WeekDay]]=7),P1727,P1727+1)</f>
        <v>1234</v>
      </c>
      <c r="Q1728">
        <f>IF(OR(calendar[[#This Row],[FR_BH]]=1,calendar[[#This Row],[WeekDay]]=1, calendar[[#This Row],[WeekDay]]=7),P1727,P1727+1)</f>
        <v>1234</v>
      </c>
      <c r="R1728">
        <f>IF(OR(calendar[[#This Row],[SP_BH]]=1,calendar[[#This Row],[WeekDay]]=1, calendar[[#This Row],[WeekDay]]=7),P1727,P1727+1)</f>
        <v>1234</v>
      </c>
      <c r="S1728">
        <f>IF(OR(calendar[[#This Row],[PT_BH]]=1,calendar[[#This Row],[WeekDay]]=1, calendar[[#This Row],[WeekDay]]=7),P1727,P1727+1)</f>
        <v>1234</v>
      </c>
    </row>
    <row r="1729" spans="1:19" x14ac:dyDescent="0.25">
      <c r="A1729" s="2">
        <v>44463</v>
      </c>
      <c r="B1729" s="1">
        <f t="shared" si="133"/>
        <v>39</v>
      </c>
      <c r="C1729">
        <f t="shared" si="135"/>
        <v>9</v>
      </c>
      <c r="D1729" t="str">
        <f t="shared" si="136"/>
        <v>September</v>
      </c>
      <c r="E1729">
        <f t="shared" si="137"/>
        <v>2021</v>
      </c>
      <c r="F1729" t="str">
        <f>CONCATENATE(calendar[[#This Row],[Month]],"/",calendar[[#This Row],[Year]])</f>
        <v>9/2021</v>
      </c>
      <c r="G1729">
        <f>WEEKDAY(calendar[[#This Row],[Date]],1)</f>
        <v>6</v>
      </c>
      <c r="H1729" t="str">
        <f>TEXT(calendar[[#This Row],[WeekDay]],"dddd")</f>
        <v>Friday</v>
      </c>
      <c r="I1729">
        <f>IF((INT(calendar[[#This Row],[Count]]/7)-calendar[[#This Row],[Count]]/7)&lt;0,I1728,I1728+1)</f>
        <v>247</v>
      </c>
      <c r="J1729">
        <f t="shared" si="134"/>
        <v>1727</v>
      </c>
      <c r="K1729">
        <f>IF(calendar[[#This Row],[Month]]&lt;4,1,IF(calendar[[#This Row],[Month]]&lt;7,2,IF(calendar[[#This Row],[Month]]&lt;10,3,4)))</f>
        <v>3</v>
      </c>
      <c r="L1729">
        <f>IFERROR(IF(VLOOKUP(calendar[[#This Row],[Date]],BH!A:A,1,)&lt;&gt;"",1,0),0)</f>
        <v>0</v>
      </c>
      <c r="M1729">
        <f>IFERROR(IF(VLOOKUP(calendar[[#This Row],[Date]],BH!C:C,1,)&lt;&gt;"",1,0),0)</f>
        <v>0</v>
      </c>
      <c r="N1729">
        <f>IFERROR(IF(VLOOKUP(calendar[[#This Row],[Date]],BH!E:E,1,)&lt;&gt;"",1,0),0)</f>
        <v>0</v>
      </c>
      <c r="O1729">
        <f>IFERROR(IF(VLOOKUP(calendar[[#This Row],[Date]],BH!G:G,1,)&lt;&gt;"",1,0),0)</f>
        <v>0</v>
      </c>
      <c r="P1729">
        <f>IF(OR(calendar[[#This Row],[UK_BH]]=1,calendar[[#This Row],[WeekDay]]=1, calendar[[#This Row],[WeekDay]]=7),P1728,P1728+1)</f>
        <v>1235</v>
      </c>
      <c r="Q1729">
        <f>IF(OR(calendar[[#This Row],[FR_BH]]=1,calendar[[#This Row],[WeekDay]]=1, calendar[[#This Row],[WeekDay]]=7),P1728,P1728+1)</f>
        <v>1235</v>
      </c>
      <c r="R1729">
        <f>IF(OR(calendar[[#This Row],[SP_BH]]=1,calendar[[#This Row],[WeekDay]]=1, calendar[[#This Row],[WeekDay]]=7),P1728,P1728+1)</f>
        <v>1235</v>
      </c>
      <c r="S1729">
        <f>IF(OR(calendar[[#This Row],[PT_BH]]=1,calendar[[#This Row],[WeekDay]]=1, calendar[[#This Row],[WeekDay]]=7),P1728,P1728+1)</f>
        <v>1235</v>
      </c>
    </row>
    <row r="1730" spans="1:19" x14ac:dyDescent="0.25">
      <c r="A1730" s="2">
        <v>44464</v>
      </c>
      <c r="B1730" s="1">
        <f t="shared" ref="B1730:B1793" si="138">WEEKNUM(A1730)</f>
        <v>39</v>
      </c>
      <c r="C1730">
        <f t="shared" si="135"/>
        <v>9</v>
      </c>
      <c r="D1730" t="str">
        <f t="shared" si="136"/>
        <v>September</v>
      </c>
      <c r="E1730">
        <f t="shared" si="137"/>
        <v>2021</v>
      </c>
      <c r="F1730" t="str">
        <f>CONCATENATE(calendar[[#This Row],[Month]],"/",calendar[[#This Row],[Year]])</f>
        <v>9/2021</v>
      </c>
      <c r="G1730">
        <f>WEEKDAY(calendar[[#This Row],[Date]],1)</f>
        <v>7</v>
      </c>
      <c r="H1730" t="str">
        <f>TEXT(calendar[[#This Row],[WeekDay]],"dddd")</f>
        <v>Saturday</v>
      </c>
      <c r="I1730">
        <f>IF((INT(calendar[[#This Row],[Count]]/7)-calendar[[#This Row],[Count]]/7)&lt;0,I1729,I1729+1)</f>
        <v>247</v>
      </c>
      <c r="J1730">
        <f t="shared" si="134"/>
        <v>1728</v>
      </c>
      <c r="K1730">
        <f>IF(calendar[[#This Row],[Month]]&lt;4,1,IF(calendar[[#This Row],[Month]]&lt;7,2,IF(calendar[[#This Row],[Month]]&lt;10,3,4)))</f>
        <v>3</v>
      </c>
      <c r="L1730">
        <f>IFERROR(IF(VLOOKUP(calendar[[#This Row],[Date]],BH!A:A,1,)&lt;&gt;"",1,0),0)</f>
        <v>0</v>
      </c>
      <c r="M1730">
        <f>IFERROR(IF(VLOOKUP(calendar[[#This Row],[Date]],BH!C:C,1,)&lt;&gt;"",1,0),0)</f>
        <v>0</v>
      </c>
      <c r="N1730">
        <f>IFERROR(IF(VLOOKUP(calendar[[#This Row],[Date]],BH!E:E,1,)&lt;&gt;"",1,0),0)</f>
        <v>0</v>
      </c>
      <c r="O1730">
        <f>IFERROR(IF(VLOOKUP(calendar[[#This Row],[Date]],BH!G:G,1,)&lt;&gt;"",1,0),0)</f>
        <v>0</v>
      </c>
      <c r="P1730">
        <f>IF(OR(calendar[[#This Row],[UK_BH]]=1,calendar[[#This Row],[WeekDay]]=1, calendar[[#This Row],[WeekDay]]=7),P1729,P1729+1)</f>
        <v>1235</v>
      </c>
      <c r="Q1730">
        <f>IF(OR(calendar[[#This Row],[FR_BH]]=1,calendar[[#This Row],[WeekDay]]=1, calendar[[#This Row],[WeekDay]]=7),P1729,P1729+1)</f>
        <v>1235</v>
      </c>
      <c r="R1730">
        <f>IF(OR(calendar[[#This Row],[SP_BH]]=1,calendar[[#This Row],[WeekDay]]=1, calendar[[#This Row],[WeekDay]]=7),P1729,P1729+1)</f>
        <v>1235</v>
      </c>
      <c r="S1730">
        <f>IF(OR(calendar[[#This Row],[PT_BH]]=1,calendar[[#This Row],[WeekDay]]=1, calendar[[#This Row],[WeekDay]]=7),P1729,P1729+1)</f>
        <v>1235</v>
      </c>
    </row>
    <row r="1731" spans="1:19" x14ac:dyDescent="0.25">
      <c r="A1731" s="2">
        <v>44465</v>
      </c>
      <c r="B1731" s="1">
        <f t="shared" si="138"/>
        <v>40</v>
      </c>
      <c r="C1731">
        <f t="shared" si="135"/>
        <v>9</v>
      </c>
      <c r="D1731" t="str">
        <f t="shared" si="136"/>
        <v>September</v>
      </c>
      <c r="E1731">
        <f t="shared" si="137"/>
        <v>2021</v>
      </c>
      <c r="F1731" t="str">
        <f>CONCATENATE(calendar[[#This Row],[Month]],"/",calendar[[#This Row],[Year]])</f>
        <v>9/2021</v>
      </c>
      <c r="G1731">
        <f>WEEKDAY(calendar[[#This Row],[Date]],1)</f>
        <v>1</v>
      </c>
      <c r="H1731" t="str">
        <f>TEXT(calendar[[#This Row],[WeekDay]],"dddd")</f>
        <v>Sunday</v>
      </c>
      <c r="I1731">
        <f>IF((INT(calendar[[#This Row],[Count]]/7)-calendar[[#This Row],[Count]]/7)&lt;0,I1730,I1730+1)</f>
        <v>248</v>
      </c>
      <c r="J1731">
        <f t="shared" ref="J1731:J1794" si="139">J1730+1</f>
        <v>1729</v>
      </c>
      <c r="K1731">
        <f>IF(calendar[[#This Row],[Month]]&lt;4,1,IF(calendar[[#This Row],[Month]]&lt;7,2,IF(calendar[[#This Row],[Month]]&lt;10,3,4)))</f>
        <v>3</v>
      </c>
      <c r="L1731">
        <f>IFERROR(IF(VLOOKUP(calendar[[#This Row],[Date]],BH!A:A,1,)&lt;&gt;"",1,0),0)</f>
        <v>0</v>
      </c>
      <c r="M1731">
        <f>IFERROR(IF(VLOOKUP(calendar[[#This Row],[Date]],BH!C:C,1,)&lt;&gt;"",1,0),0)</f>
        <v>0</v>
      </c>
      <c r="N1731">
        <f>IFERROR(IF(VLOOKUP(calendar[[#This Row],[Date]],BH!E:E,1,)&lt;&gt;"",1,0),0)</f>
        <v>0</v>
      </c>
      <c r="O1731">
        <f>IFERROR(IF(VLOOKUP(calendar[[#This Row],[Date]],BH!G:G,1,)&lt;&gt;"",1,0),0)</f>
        <v>0</v>
      </c>
      <c r="P1731">
        <f>IF(OR(calendar[[#This Row],[UK_BH]]=1,calendar[[#This Row],[WeekDay]]=1, calendar[[#This Row],[WeekDay]]=7),P1730,P1730+1)</f>
        <v>1235</v>
      </c>
      <c r="Q1731">
        <f>IF(OR(calendar[[#This Row],[FR_BH]]=1,calendar[[#This Row],[WeekDay]]=1, calendar[[#This Row],[WeekDay]]=7),P1730,P1730+1)</f>
        <v>1235</v>
      </c>
      <c r="R1731">
        <f>IF(OR(calendar[[#This Row],[SP_BH]]=1,calendar[[#This Row],[WeekDay]]=1, calendar[[#This Row],[WeekDay]]=7),P1730,P1730+1)</f>
        <v>1235</v>
      </c>
      <c r="S1731">
        <f>IF(OR(calendar[[#This Row],[PT_BH]]=1,calendar[[#This Row],[WeekDay]]=1, calendar[[#This Row],[WeekDay]]=7),P1730,P1730+1)</f>
        <v>1235</v>
      </c>
    </row>
    <row r="1732" spans="1:19" x14ac:dyDescent="0.25">
      <c r="A1732" s="2">
        <v>44466</v>
      </c>
      <c r="B1732" s="1">
        <f t="shared" si="138"/>
        <v>40</v>
      </c>
      <c r="C1732">
        <f t="shared" si="135"/>
        <v>9</v>
      </c>
      <c r="D1732" t="str">
        <f t="shared" si="136"/>
        <v>September</v>
      </c>
      <c r="E1732">
        <f t="shared" si="137"/>
        <v>2021</v>
      </c>
      <c r="F1732" t="str">
        <f>CONCATENATE(calendar[[#This Row],[Month]],"/",calendar[[#This Row],[Year]])</f>
        <v>9/2021</v>
      </c>
      <c r="G1732">
        <f>WEEKDAY(calendar[[#This Row],[Date]],1)</f>
        <v>2</v>
      </c>
      <c r="H1732" t="str">
        <f>TEXT(calendar[[#This Row],[WeekDay]],"dddd")</f>
        <v>Monday</v>
      </c>
      <c r="I1732">
        <f>IF((INT(calendar[[#This Row],[Count]]/7)-calendar[[#This Row],[Count]]/7)&lt;0,I1731,I1731+1)</f>
        <v>248</v>
      </c>
      <c r="J1732">
        <f t="shared" si="139"/>
        <v>1730</v>
      </c>
      <c r="K1732">
        <f>IF(calendar[[#This Row],[Month]]&lt;4,1,IF(calendar[[#This Row],[Month]]&lt;7,2,IF(calendar[[#This Row],[Month]]&lt;10,3,4)))</f>
        <v>3</v>
      </c>
      <c r="L1732">
        <f>IFERROR(IF(VLOOKUP(calendar[[#This Row],[Date]],BH!A:A,1,)&lt;&gt;"",1,0),0)</f>
        <v>0</v>
      </c>
      <c r="M1732">
        <f>IFERROR(IF(VLOOKUP(calendar[[#This Row],[Date]],BH!C:C,1,)&lt;&gt;"",1,0),0)</f>
        <v>0</v>
      </c>
      <c r="N1732">
        <f>IFERROR(IF(VLOOKUP(calendar[[#This Row],[Date]],BH!E:E,1,)&lt;&gt;"",1,0),0)</f>
        <v>0</v>
      </c>
      <c r="O1732">
        <f>IFERROR(IF(VLOOKUP(calendar[[#This Row],[Date]],BH!G:G,1,)&lt;&gt;"",1,0),0)</f>
        <v>0</v>
      </c>
      <c r="P1732">
        <f>IF(OR(calendar[[#This Row],[UK_BH]]=1,calendar[[#This Row],[WeekDay]]=1, calendar[[#This Row],[WeekDay]]=7),P1731,P1731+1)</f>
        <v>1236</v>
      </c>
      <c r="Q1732">
        <f>IF(OR(calendar[[#This Row],[FR_BH]]=1,calendar[[#This Row],[WeekDay]]=1, calendar[[#This Row],[WeekDay]]=7),P1731,P1731+1)</f>
        <v>1236</v>
      </c>
      <c r="R1732">
        <f>IF(OR(calendar[[#This Row],[SP_BH]]=1,calendar[[#This Row],[WeekDay]]=1, calendar[[#This Row],[WeekDay]]=7),P1731,P1731+1)</f>
        <v>1236</v>
      </c>
      <c r="S1732">
        <f>IF(OR(calendar[[#This Row],[PT_BH]]=1,calendar[[#This Row],[WeekDay]]=1, calendar[[#This Row],[WeekDay]]=7),P1731,P1731+1)</f>
        <v>1236</v>
      </c>
    </row>
    <row r="1733" spans="1:19" x14ac:dyDescent="0.25">
      <c r="A1733" s="2">
        <v>44467</v>
      </c>
      <c r="B1733" s="1">
        <f t="shared" si="138"/>
        <v>40</v>
      </c>
      <c r="C1733">
        <f t="shared" si="135"/>
        <v>9</v>
      </c>
      <c r="D1733" t="str">
        <f t="shared" si="136"/>
        <v>September</v>
      </c>
      <c r="E1733">
        <f t="shared" si="137"/>
        <v>2021</v>
      </c>
      <c r="F1733" t="str">
        <f>CONCATENATE(calendar[[#This Row],[Month]],"/",calendar[[#This Row],[Year]])</f>
        <v>9/2021</v>
      </c>
      <c r="G1733">
        <f>WEEKDAY(calendar[[#This Row],[Date]],1)</f>
        <v>3</v>
      </c>
      <c r="H1733" t="str">
        <f>TEXT(calendar[[#This Row],[WeekDay]],"dddd")</f>
        <v>Tuesday</v>
      </c>
      <c r="I1733">
        <f>IF((INT(calendar[[#This Row],[Count]]/7)-calendar[[#This Row],[Count]]/7)&lt;0,I1732,I1732+1)</f>
        <v>248</v>
      </c>
      <c r="J1733">
        <f t="shared" si="139"/>
        <v>1731</v>
      </c>
      <c r="K1733">
        <f>IF(calendar[[#This Row],[Month]]&lt;4,1,IF(calendar[[#This Row],[Month]]&lt;7,2,IF(calendar[[#This Row],[Month]]&lt;10,3,4)))</f>
        <v>3</v>
      </c>
      <c r="L1733">
        <f>IFERROR(IF(VLOOKUP(calendar[[#This Row],[Date]],BH!A:A,1,)&lt;&gt;"",1,0),0)</f>
        <v>0</v>
      </c>
      <c r="M1733">
        <f>IFERROR(IF(VLOOKUP(calendar[[#This Row],[Date]],BH!C:C,1,)&lt;&gt;"",1,0),0)</f>
        <v>0</v>
      </c>
      <c r="N1733">
        <f>IFERROR(IF(VLOOKUP(calendar[[#This Row],[Date]],BH!E:E,1,)&lt;&gt;"",1,0),0)</f>
        <v>0</v>
      </c>
      <c r="O1733">
        <f>IFERROR(IF(VLOOKUP(calendar[[#This Row],[Date]],BH!G:G,1,)&lt;&gt;"",1,0),0)</f>
        <v>0</v>
      </c>
      <c r="P1733">
        <f>IF(OR(calendar[[#This Row],[UK_BH]]=1,calendar[[#This Row],[WeekDay]]=1, calendar[[#This Row],[WeekDay]]=7),P1732,P1732+1)</f>
        <v>1237</v>
      </c>
      <c r="Q1733">
        <f>IF(OR(calendar[[#This Row],[FR_BH]]=1,calendar[[#This Row],[WeekDay]]=1, calendar[[#This Row],[WeekDay]]=7),P1732,P1732+1)</f>
        <v>1237</v>
      </c>
      <c r="R1733">
        <f>IF(OR(calendar[[#This Row],[SP_BH]]=1,calendar[[#This Row],[WeekDay]]=1, calendar[[#This Row],[WeekDay]]=7),P1732,P1732+1)</f>
        <v>1237</v>
      </c>
      <c r="S1733">
        <f>IF(OR(calendar[[#This Row],[PT_BH]]=1,calendar[[#This Row],[WeekDay]]=1, calendar[[#This Row],[WeekDay]]=7),P1732,P1732+1)</f>
        <v>1237</v>
      </c>
    </row>
    <row r="1734" spans="1:19" x14ac:dyDescent="0.25">
      <c r="A1734" s="2">
        <v>44468</v>
      </c>
      <c r="B1734" s="1">
        <f t="shared" si="138"/>
        <v>40</v>
      </c>
      <c r="C1734">
        <f t="shared" si="135"/>
        <v>9</v>
      </c>
      <c r="D1734" t="str">
        <f t="shared" si="136"/>
        <v>September</v>
      </c>
      <c r="E1734">
        <f t="shared" si="137"/>
        <v>2021</v>
      </c>
      <c r="F1734" t="str">
        <f>CONCATENATE(calendar[[#This Row],[Month]],"/",calendar[[#This Row],[Year]])</f>
        <v>9/2021</v>
      </c>
      <c r="G1734">
        <f>WEEKDAY(calendar[[#This Row],[Date]],1)</f>
        <v>4</v>
      </c>
      <c r="H1734" t="str">
        <f>TEXT(calendar[[#This Row],[WeekDay]],"dddd")</f>
        <v>Wednesday</v>
      </c>
      <c r="I1734">
        <f>IF((INT(calendar[[#This Row],[Count]]/7)-calendar[[#This Row],[Count]]/7)&lt;0,I1733,I1733+1)</f>
        <v>248</v>
      </c>
      <c r="J1734">
        <f t="shared" si="139"/>
        <v>1732</v>
      </c>
      <c r="K1734">
        <f>IF(calendar[[#This Row],[Month]]&lt;4,1,IF(calendar[[#This Row],[Month]]&lt;7,2,IF(calendar[[#This Row],[Month]]&lt;10,3,4)))</f>
        <v>3</v>
      </c>
      <c r="L1734">
        <f>IFERROR(IF(VLOOKUP(calendar[[#This Row],[Date]],BH!A:A,1,)&lt;&gt;"",1,0),0)</f>
        <v>0</v>
      </c>
      <c r="M1734">
        <f>IFERROR(IF(VLOOKUP(calendar[[#This Row],[Date]],BH!C:C,1,)&lt;&gt;"",1,0),0)</f>
        <v>0</v>
      </c>
      <c r="N1734">
        <f>IFERROR(IF(VLOOKUP(calendar[[#This Row],[Date]],BH!E:E,1,)&lt;&gt;"",1,0),0)</f>
        <v>0</v>
      </c>
      <c r="O1734">
        <f>IFERROR(IF(VLOOKUP(calendar[[#This Row],[Date]],BH!G:G,1,)&lt;&gt;"",1,0),0)</f>
        <v>0</v>
      </c>
      <c r="P1734">
        <f>IF(OR(calendar[[#This Row],[UK_BH]]=1,calendar[[#This Row],[WeekDay]]=1, calendar[[#This Row],[WeekDay]]=7),P1733,P1733+1)</f>
        <v>1238</v>
      </c>
      <c r="Q1734">
        <f>IF(OR(calendar[[#This Row],[FR_BH]]=1,calendar[[#This Row],[WeekDay]]=1, calendar[[#This Row],[WeekDay]]=7),P1733,P1733+1)</f>
        <v>1238</v>
      </c>
      <c r="R1734">
        <f>IF(OR(calendar[[#This Row],[SP_BH]]=1,calendar[[#This Row],[WeekDay]]=1, calendar[[#This Row],[WeekDay]]=7),P1733,P1733+1)</f>
        <v>1238</v>
      </c>
      <c r="S1734">
        <f>IF(OR(calendar[[#This Row],[PT_BH]]=1,calendar[[#This Row],[WeekDay]]=1, calendar[[#This Row],[WeekDay]]=7),P1733,P1733+1)</f>
        <v>1238</v>
      </c>
    </row>
    <row r="1735" spans="1:19" x14ac:dyDescent="0.25">
      <c r="A1735" s="2">
        <v>44469</v>
      </c>
      <c r="B1735" s="1">
        <f t="shared" si="138"/>
        <v>40</v>
      </c>
      <c r="C1735">
        <f t="shared" si="135"/>
        <v>9</v>
      </c>
      <c r="D1735" t="str">
        <f t="shared" si="136"/>
        <v>September</v>
      </c>
      <c r="E1735">
        <f t="shared" si="137"/>
        <v>2021</v>
      </c>
      <c r="F1735" t="str">
        <f>CONCATENATE(calendar[[#This Row],[Month]],"/",calendar[[#This Row],[Year]])</f>
        <v>9/2021</v>
      </c>
      <c r="G1735">
        <f>WEEKDAY(calendar[[#This Row],[Date]],1)</f>
        <v>5</v>
      </c>
      <c r="H1735" t="str">
        <f>TEXT(calendar[[#This Row],[WeekDay]],"dddd")</f>
        <v>Thursday</v>
      </c>
      <c r="I1735">
        <f>IF((INT(calendar[[#This Row],[Count]]/7)-calendar[[#This Row],[Count]]/7)&lt;0,I1734,I1734+1)</f>
        <v>248</v>
      </c>
      <c r="J1735">
        <f t="shared" si="139"/>
        <v>1733</v>
      </c>
      <c r="K1735">
        <f>IF(calendar[[#This Row],[Month]]&lt;4,1,IF(calendar[[#This Row],[Month]]&lt;7,2,IF(calendar[[#This Row],[Month]]&lt;10,3,4)))</f>
        <v>3</v>
      </c>
      <c r="L1735">
        <f>IFERROR(IF(VLOOKUP(calendar[[#This Row],[Date]],BH!A:A,1,)&lt;&gt;"",1,0),0)</f>
        <v>0</v>
      </c>
      <c r="M1735">
        <f>IFERROR(IF(VLOOKUP(calendar[[#This Row],[Date]],BH!C:C,1,)&lt;&gt;"",1,0),0)</f>
        <v>0</v>
      </c>
      <c r="N1735">
        <f>IFERROR(IF(VLOOKUP(calendar[[#This Row],[Date]],BH!E:E,1,)&lt;&gt;"",1,0),0)</f>
        <v>0</v>
      </c>
      <c r="O1735">
        <f>IFERROR(IF(VLOOKUP(calendar[[#This Row],[Date]],BH!G:G,1,)&lt;&gt;"",1,0),0)</f>
        <v>0</v>
      </c>
      <c r="P1735">
        <f>IF(OR(calendar[[#This Row],[UK_BH]]=1,calendar[[#This Row],[WeekDay]]=1, calendar[[#This Row],[WeekDay]]=7),P1734,P1734+1)</f>
        <v>1239</v>
      </c>
      <c r="Q1735">
        <f>IF(OR(calendar[[#This Row],[FR_BH]]=1,calendar[[#This Row],[WeekDay]]=1, calendar[[#This Row],[WeekDay]]=7),P1734,P1734+1)</f>
        <v>1239</v>
      </c>
      <c r="R1735">
        <f>IF(OR(calendar[[#This Row],[SP_BH]]=1,calendar[[#This Row],[WeekDay]]=1, calendar[[#This Row],[WeekDay]]=7),P1734,P1734+1)</f>
        <v>1239</v>
      </c>
      <c r="S1735">
        <f>IF(OR(calendar[[#This Row],[PT_BH]]=1,calendar[[#This Row],[WeekDay]]=1, calendar[[#This Row],[WeekDay]]=7),P1734,P1734+1)</f>
        <v>1239</v>
      </c>
    </row>
    <row r="1736" spans="1:19" x14ac:dyDescent="0.25">
      <c r="A1736" s="2">
        <v>44470</v>
      </c>
      <c r="B1736" s="1">
        <f t="shared" si="138"/>
        <v>40</v>
      </c>
      <c r="C1736">
        <f t="shared" si="135"/>
        <v>10</v>
      </c>
      <c r="D1736" t="str">
        <f t="shared" si="136"/>
        <v>October</v>
      </c>
      <c r="E1736">
        <f t="shared" si="137"/>
        <v>2021</v>
      </c>
      <c r="F1736" t="str">
        <f>CONCATENATE(calendar[[#This Row],[Month]],"/",calendar[[#This Row],[Year]])</f>
        <v>10/2021</v>
      </c>
      <c r="G1736">
        <f>WEEKDAY(calendar[[#This Row],[Date]],1)</f>
        <v>6</v>
      </c>
      <c r="H1736" t="str">
        <f>TEXT(calendar[[#This Row],[WeekDay]],"dddd")</f>
        <v>Friday</v>
      </c>
      <c r="I1736">
        <f>IF((INT(calendar[[#This Row],[Count]]/7)-calendar[[#This Row],[Count]]/7)&lt;0,I1735,I1735+1)</f>
        <v>248</v>
      </c>
      <c r="J1736">
        <f t="shared" si="139"/>
        <v>1734</v>
      </c>
      <c r="K1736">
        <f>IF(calendar[[#This Row],[Month]]&lt;4,1,IF(calendar[[#This Row],[Month]]&lt;7,2,IF(calendar[[#This Row],[Month]]&lt;10,3,4)))</f>
        <v>4</v>
      </c>
      <c r="L1736">
        <f>IFERROR(IF(VLOOKUP(calendar[[#This Row],[Date]],BH!A:A,1,)&lt;&gt;"",1,0),0)</f>
        <v>0</v>
      </c>
      <c r="M1736">
        <f>IFERROR(IF(VLOOKUP(calendar[[#This Row],[Date]],BH!C:C,1,)&lt;&gt;"",1,0),0)</f>
        <v>0</v>
      </c>
      <c r="N1736">
        <f>IFERROR(IF(VLOOKUP(calendar[[#This Row],[Date]],BH!E:E,1,)&lt;&gt;"",1,0),0)</f>
        <v>0</v>
      </c>
      <c r="O1736">
        <f>IFERROR(IF(VLOOKUP(calendar[[#This Row],[Date]],BH!G:G,1,)&lt;&gt;"",1,0),0)</f>
        <v>0</v>
      </c>
      <c r="P1736">
        <f>IF(OR(calendar[[#This Row],[UK_BH]]=1,calendar[[#This Row],[WeekDay]]=1, calendar[[#This Row],[WeekDay]]=7),P1735,P1735+1)</f>
        <v>1240</v>
      </c>
      <c r="Q1736">
        <f>IF(OR(calendar[[#This Row],[FR_BH]]=1,calendar[[#This Row],[WeekDay]]=1, calendar[[#This Row],[WeekDay]]=7),P1735,P1735+1)</f>
        <v>1240</v>
      </c>
      <c r="R1736">
        <f>IF(OR(calendar[[#This Row],[SP_BH]]=1,calendar[[#This Row],[WeekDay]]=1, calendar[[#This Row],[WeekDay]]=7),P1735,P1735+1)</f>
        <v>1240</v>
      </c>
      <c r="S1736">
        <f>IF(OR(calendar[[#This Row],[PT_BH]]=1,calendar[[#This Row],[WeekDay]]=1, calendar[[#This Row],[WeekDay]]=7),P1735,P1735+1)</f>
        <v>1240</v>
      </c>
    </row>
    <row r="1737" spans="1:19" x14ac:dyDescent="0.25">
      <c r="A1737" s="2">
        <v>44471</v>
      </c>
      <c r="B1737" s="1">
        <f t="shared" si="138"/>
        <v>40</v>
      </c>
      <c r="C1737">
        <f t="shared" si="135"/>
        <v>10</v>
      </c>
      <c r="D1737" t="str">
        <f t="shared" si="136"/>
        <v>October</v>
      </c>
      <c r="E1737">
        <f t="shared" si="137"/>
        <v>2021</v>
      </c>
      <c r="F1737" t="str">
        <f>CONCATENATE(calendar[[#This Row],[Month]],"/",calendar[[#This Row],[Year]])</f>
        <v>10/2021</v>
      </c>
      <c r="G1737">
        <f>WEEKDAY(calendar[[#This Row],[Date]],1)</f>
        <v>7</v>
      </c>
      <c r="H1737" t="str">
        <f>TEXT(calendar[[#This Row],[WeekDay]],"dddd")</f>
        <v>Saturday</v>
      </c>
      <c r="I1737">
        <f>IF((INT(calendar[[#This Row],[Count]]/7)-calendar[[#This Row],[Count]]/7)&lt;0,I1736,I1736+1)</f>
        <v>248</v>
      </c>
      <c r="J1737">
        <f t="shared" si="139"/>
        <v>1735</v>
      </c>
      <c r="K1737">
        <f>IF(calendar[[#This Row],[Month]]&lt;4,1,IF(calendar[[#This Row],[Month]]&lt;7,2,IF(calendar[[#This Row],[Month]]&lt;10,3,4)))</f>
        <v>4</v>
      </c>
      <c r="L1737">
        <f>IFERROR(IF(VLOOKUP(calendar[[#This Row],[Date]],BH!A:A,1,)&lt;&gt;"",1,0),0)</f>
        <v>0</v>
      </c>
      <c r="M1737">
        <f>IFERROR(IF(VLOOKUP(calendar[[#This Row],[Date]],BH!C:C,1,)&lt;&gt;"",1,0),0)</f>
        <v>0</v>
      </c>
      <c r="N1737">
        <f>IFERROR(IF(VLOOKUP(calendar[[#This Row],[Date]],BH!E:E,1,)&lt;&gt;"",1,0),0)</f>
        <v>0</v>
      </c>
      <c r="O1737">
        <f>IFERROR(IF(VLOOKUP(calendar[[#This Row],[Date]],BH!G:G,1,)&lt;&gt;"",1,0),0)</f>
        <v>0</v>
      </c>
      <c r="P1737">
        <f>IF(OR(calendar[[#This Row],[UK_BH]]=1,calendar[[#This Row],[WeekDay]]=1, calendar[[#This Row],[WeekDay]]=7),P1736,P1736+1)</f>
        <v>1240</v>
      </c>
      <c r="Q1737">
        <f>IF(OR(calendar[[#This Row],[FR_BH]]=1,calendar[[#This Row],[WeekDay]]=1, calendar[[#This Row],[WeekDay]]=7),P1736,P1736+1)</f>
        <v>1240</v>
      </c>
      <c r="R1737">
        <f>IF(OR(calendar[[#This Row],[SP_BH]]=1,calendar[[#This Row],[WeekDay]]=1, calendar[[#This Row],[WeekDay]]=7),P1736,P1736+1)</f>
        <v>1240</v>
      </c>
      <c r="S1737">
        <f>IF(OR(calendar[[#This Row],[PT_BH]]=1,calendar[[#This Row],[WeekDay]]=1, calendar[[#This Row],[WeekDay]]=7),P1736,P1736+1)</f>
        <v>1240</v>
      </c>
    </row>
    <row r="1738" spans="1:19" x14ac:dyDescent="0.25">
      <c r="A1738" s="2">
        <v>44472</v>
      </c>
      <c r="B1738" s="1">
        <f t="shared" si="138"/>
        <v>41</v>
      </c>
      <c r="C1738">
        <f t="shared" si="135"/>
        <v>10</v>
      </c>
      <c r="D1738" t="str">
        <f t="shared" si="136"/>
        <v>October</v>
      </c>
      <c r="E1738">
        <f t="shared" si="137"/>
        <v>2021</v>
      </c>
      <c r="F1738" t="str">
        <f>CONCATENATE(calendar[[#This Row],[Month]],"/",calendar[[#This Row],[Year]])</f>
        <v>10/2021</v>
      </c>
      <c r="G1738">
        <f>WEEKDAY(calendar[[#This Row],[Date]],1)</f>
        <v>1</v>
      </c>
      <c r="H1738" t="str">
        <f>TEXT(calendar[[#This Row],[WeekDay]],"dddd")</f>
        <v>Sunday</v>
      </c>
      <c r="I1738">
        <f>IF((INT(calendar[[#This Row],[Count]]/7)-calendar[[#This Row],[Count]]/7)&lt;0,I1737,I1737+1)</f>
        <v>249</v>
      </c>
      <c r="J1738">
        <f t="shared" si="139"/>
        <v>1736</v>
      </c>
      <c r="K1738">
        <f>IF(calendar[[#This Row],[Month]]&lt;4,1,IF(calendar[[#This Row],[Month]]&lt;7,2,IF(calendar[[#This Row],[Month]]&lt;10,3,4)))</f>
        <v>4</v>
      </c>
      <c r="L1738">
        <f>IFERROR(IF(VLOOKUP(calendar[[#This Row],[Date]],BH!A:A,1,)&lt;&gt;"",1,0),0)</f>
        <v>0</v>
      </c>
      <c r="M1738">
        <f>IFERROR(IF(VLOOKUP(calendar[[#This Row],[Date]],BH!C:C,1,)&lt;&gt;"",1,0),0)</f>
        <v>0</v>
      </c>
      <c r="N1738">
        <f>IFERROR(IF(VLOOKUP(calendar[[#This Row],[Date]],BH!E:E,1,)&lt;&gt;"",1,0),0)</f>
        <v>0</v>
      </c>
      <c r="O1738">
        <f>IFERROR(IF(VLOOKUP(calendar[[#This Row],[Date]],BH!G:G,1,)&lt;&gt;"",1,0),0)</f>
        <v>0</v>
      </c>
      <c r="P1738">
        <f>IF(OR(calendar[[#This Row],[UK_BH]]=1,calendar[[#This Row],[WeekDay]]=1, calendar[[#This Row],[WeekDay]]=7),P1737,P1737+1)</f>
        <v>1240</v>
      </c>
      <c r="Q1738">
        <f>IF(OR(calendar[[#This Row],[FR_BH]]=1,calendar[[#This Row],[WeekDay]]=1, calendar[[#This Row],[WeekDay]]=7),P1737,P1737+1)</f>
        <v>1240</v>
      </c>
      <c r="R1738">
        <f>IF(OR(calendar[[#This Row],[SP_BH]]=1,calendar[[#This Row],[WeekDay]]=1, calendar[[#This Row],[WeekDay]]=7),P1737,P1737+1)</f>
        <v>1240</v>
      </c>
      <c r="S1738">
        <f>IF(OR(calendar[[#This Row],[PT_BH]]=1,calendar[[#This Row],[WeekDay]]=1, calendar[[#This Row],[WeekDay]]=7),P1737,P1737+1)</f>
        <v>1240</v>
      </c>
    </row>
    <row r="1739" spans="1:19" x14ac:dyDescent="0.25">
      <c r="A1739" s="2">
        <v>44473</v>
      </c>
      <c r="B1739" s="1">
        <f t="shared" si="138"/>
        <v>41</v>
      </c>
      <c r="C1739">
        <f t="shared" si="135"/>
        <v>10</v>
      </c>
      <c r="D1739" t="str">
        <f t="shared" si="136"/>
        <v>October</v>
      </c>
      <c r="E1739">
        <f t="shared" si="137"/>
        <v>2021</v>
      </c>
      <c r="F1739" t="str">
        <f>CONCATENATE(calendar[[#This Row],[Month]],"/",calendar[[#This Row],[Year]])</f>
        <v>10/2021</v>
      </c>
      <c r="G1739">
        <f>WEEKDAY(calendar[[#This Row],[Date]],1)</f>
        <v>2</v>
      </c>
      <c r="H1739" t="str">
        <f>TEXT(calendar[[#This Row],[WeekDay]],"dddd")</f>
        <v>Monday</v>
      </c>
      <c r="I1739">
        <f>IF((INT(calendar[[#This Row],[Count]]/7)-calendar[[#This Row],[Count]]/7)&lt;0,I1738,I1738+1)</f>
        <v>249</v>
      </c>
      <c r="J1739">
        <f t="shared" si="139"/>
        <v>1737</v>
      </c>
      <c r="K1739">
        <f>IF(calendar[[#This Row],[Month]]&lt;4,1,IF(calendar[[#This Row],[Month]]&lt;7,2,IF(calendar[[#This Row],[Month]]&lt;10,3,4)))</f>
        <v>4</v>
      </c>
      <c r="L1739">
        <f>IFERROR(IF(VLOOKUP(calendar[[#This Row],[Date]],BH!A:A,1,)&lt;&gt;"",1,0),0)</f>
        <v>0</v>
      </c>
      <c r="M1739">
        <f>IFERROR(IF(VLOOKUP(calendar[[#This Row],[Date]],BH!C:C,1,)&lt;&gt;"",1,0),0)</f>
        <v>0</v>
      </c>
      <c r="N1739">
        <f>IFERROR(IF(VLOOKUP(calendar[[#This Row],[Date]],BH!E:E,1,)&lt;&gt;"",1,0),0)</f>
        <v>0</v>
      </c>
      <c r="O1739">
        <f>IFERROR(IF(VLOOKUP(calendar[[#This Row],[Date]],BH!G:G,1,)&lt;&gt;"",1,0),0)</f>
        <v>0</v>
      </c>
      <c r="P1739">
        <f>IF(OR(calendar[[#This Row],[UK_BH]]=1,calendar[[#This Row],[WeekDay]]=1, calendar[[#This Row],[WeekDay]]=7),P1738,P1738+1)</f>
        <v>1241</v>
      </c>
      <c r="Q1739">
        <f>IF(OR(calendar[[#This Row],[FR_BH]]=1,calendar[[#This Row],[WeekDay]]=1, calendar[[#This Row],[WeekDay]]=7),P1738,P1738+1)</f>
        <v>1241</v>
      </c>
      <c r="R1739">
        <f>IF(OR(calendar[[#This Row],[SP_BH]]=1,calendar[[#This Row],[WeekDay]]=1, calendar[[#This Row],[WeekDay]]=7),P1738,P1738+1)</f>
        <v>1241</v>
      </c>
      <c r="S1739">
        <f>IF(OR(calendar[[#This Row],[PT_BH]]=1,calendar[[#This Row],[WeekDay]]=1, calendar[[#This Row],[WeekDay]]=7),P1738,P1738+1)</f>
        <v>1241</v>
      </c>
    </row>
    <row r="1740" spans="1:19" x14ac:dyDescent="0.25">
      <c r="A1740" s="2">
        <v>44474</v>
      </c>
      <c r="B1740" s="1">
        <f t="shared" si="138"/>
        <v>41</v>
      </c>
      <c r="C1740">
        <f t="shared" si="135"/>
        <v>10</v>
      </c>
      <c r="D1740" t="str">
        <f t="shared" si="136"/>
        <v>October</v>
      </c>
      <c r="E1740">
        <f t="shared" si="137"/>
        <v>2021</v>
      </c>
      <c r="F1740" t="str">
        <f>CONCATENATE(calendar[[#This Row],[Month]],"/",calendar[[#This Row],[Year]])</f>
        <v>10/2021</v>
      </c>
      <c r="G1740">
        <f>WEEKDAY(calendar[[#This Row],[Date]],1)</f>
        <v>3</v>
      </c>
      <c r="H1740" t="str">
        <f>TEXT(calendar[[#This Row],[WeekDay]],"dddd")</f>
        <v>Tuesday</v>
      </c>
      <c r="I1740">
        <f>IF((INT(calendar[[#This Row],[Count]]/7)-calendar[[#This Row],[Count]]/7)&lt;0,I1739,I1739+1)</f>
        <v>249</v>
      </c>
      <c r="J1740">
        <f t="shared" si="139"/>
        <v>1738</v>
      </c>
      <c r="K1740">
        <f>IF(calendar[[#This Row],[Month]]&lt;4,1,IF(calendar[[#This Row],[Month]]&lt;7,2,IF(calendar[[#This Row],[Month]]&lt;10,3,4)))</f>
        <v>4</v>
      </c>
      <c r="L1740">
        <f>IFERROR(IF(VLOOKUP(calendar[[#This Row],[Date]],BH!A:A,1,)&lt;&gt;"",1,0),0)</f>
        <v>0</v>
      </c>
      <c r="M1740">
        <f>IFERROR(IF(VLOOKUP(calendar[[#This Row],[Date]],BH!C:C,1,)&lt;&gt;"",1,0),0)</f>
        <v>0</v>
      </c>
      <c r="N1740">
        <f>IFERROR(IF(VLOOKUP(calendar[[#This Row],[Date]],BH!E:E,1,)&lt;&gt;"",1,0),0)</f>
        <v>0</v>
      </c>
      <c r="O1740">
        <f>IFERROR(IF(VLOOKUP(calendar[[#This Row],[Date]],BH!G:G,1,)&lt;&gt;"",1,0),0)</f>
        <v>0</v>
      </c>
      <c r="P1740">
        <f>IF(OR(calendar[[#This Row],[UK_BH]]=1,calendar[[#This Row],[WeekDay]]=1, calendar[[#This Row],[WeekDay]]=7),P1739,P1739+1)</f>
        <v>1242</v>
      </c>
      <c r="Q1740">
        <f>IF(OR(calendar[[#This Row],[FR_BH]]=1,calendar[[#This Row],[WeekDay]]=1, calendar[[#This Row],[WeekDay]]=7),P1739,P1739+1)</f>
        <v>1242</v>
      </c>
      <c r="R1740">
        <f>IF(OR(calendar[[#This Row],[SP_BH]]=1,calendar[[#This Row],[WeekDay]]=1, calendar[[#This Row],[WeekDay]]=7),P1739,P1739+1)</f>
        <v>1242</v>
      </c>
      <c r="S1740">
        <f>IF(OR(calendar[[#This Row],[PT_BH]]=1,calendar[[#This Row],[WeekDay]]=1, calendar[[#This Row],[WeekDay]]=7),P1739,P1739+1)</f>
        <v>1242</v>
      </c>
    </row>
    <row r="1741" spans="1:19" x14ac:dyDescent="0.25">
      <c r="A1741" s="2">
        <v>44475</v>
      </c>
      <c r="B1741" s="1">
        <f t="shared" si="138"/>
        <v>41</v>
      </c>
      <c r="C1741">
        <f t="shared" si="135"/>
        <v>10</v>
      </c>
      <c r="D1741" t="str">
        <f t="shared" si="136"/>
        <v>October</v>
      </c>
      <c r="E1741">
        <f t="shared" si="137"/>
        <v>2021</v>
      </c>
      <c r="F1741" t="str">
        <f>CONCATENATE(calendar[[#This Row],[Month]],"/",calendar[[#This Row],[Year]])</f>
        <v>10/2021</v>
      </c>
      <c r="G1741">
        <f>WEEKDAY(calendar[[#This Row],[Date]],1)</f>
        <v>4</v>
      </c>
      <c r="H1741" t="str">
        <f>TEXT(calendar[[#This Row],[WeekDay]],"dddd")</f>
        <v>Wednesday</v>
      </c>
      <c r="I1741">
        <f>IF((INT(calendar[[#This Row],[Count]]/7)-calendar[[#This Row],[Count]]/7)&lt;0,I1740,I1740+1)</f>
        <v>249</v>
      </c>
      <c r="J1741">
        <f t="shared" si="139"/>
        <v>1739</v>
      </c>
      <c r="K1741">
        <f>IF(calendar[[#This Row],[Month]]&lt;4,1,IF(calendar[[#This Row],[Month]]&lt;7,2,IF(calendar[[#This Row],[Month]]&lt;10,3,4)))</f>
        <v>4</v>
      </c>
      <c r="L1741">
        <f>IFERROR(IF(VLOOKUP(calendar[[#This Row],[Date]],BH!A:A,1,)&lt;&gt;"",1,0),0)</f>
        <v>0</v>
      </c>
      <c r="M1741">
        <f>IFERROR(IF(VLOOKUP(calendar[[#This Row],[Date]],BH!C:C,1,)&lt;&gt;"",1,0),0)</f>
        <v>0</v>
      </c>
      <c r="N1741">
        <f>IFERROR(IF(VLOOKUP(calendar[[#This Row],[Date]],BH!E:E,1,)&lt;&gt;"",1,0),0)</f>
        <v>0</v>
      </c>
      <c r="O1741">
        <f>IFERROR(IF(VLOOKUP(calendar[[#This Row],[Date]],BH!G:G,1,)&lt;&gt;"",1,0),0)</f>
        <v>0</v>
      </c>
      <c r="P1741">
        <f>IF(OR(calendar[[#This Row],[UK_BH]]=1,calendar[[#This Row],[WeekDay]]=1, calendar[[#This Row],[WeekDay]]=7),P1740,P1740+1)</f>
        <v>1243</v>
      </c>
      <c r="Q1741">
        <f>IF(OR(calendar[[#This Row],[FR_BH]]=1,calendar[[#This Row],[WeekDay]]=1, calendar[[#This Row],[WeekDay]]=7),P1740,P1740+1)</f>
        <v>1243</v>
      </c>
      <c r="R1741">
        <f>IF(OR(calendar[[#This Row],[SP_BH]]=1,calendar[[#This Row],[WeekDay]]=1, calendar[[#This Row],[WeekDay]]=7),P1740,P1740+1)</f>
        <v>1243</v>
      </c>
      <c r="S1741">
        <f>IF(OR(calendar[[#This Row],[PT_BH]]=1,calendar[[#This Row],[WeekDay]]=1, calendar[[#This Row],[WeekDay]]=7),P1740,P1740+1)</f>
        <v>1243</v>
      </c>
    </row>
    <row r="1742" spans="1:19" x14ac:dyDescent="0.25">
      <c r="A1742" s="2">
        <v>44476</v>
      </c>
      <c r="B1742" s="1">
        <f t="shared" si="138"/>
        <v>41</v>
      </c>
      <c r="C1742">
        <f t="shared" si="135"/>
        <v>10</v>
      </c>
      <c r="D1742" t="str">
        <f t="shared" si="136"/>
        <v>October</v>
      </c>
      <c r="E1742">
        <f t="shared" si="137"/>
        <v>2021</v>
      </c>
      <c r="F1742" t="str">
        <f>CONCATENATE(calendar[[#This Row],[Month]],"/",calendar[[#This Row],[Year]])</f>
        <v>10/2021</v>
      </c>
      <c r="G1742">
        <f>WEEKDAY(calendar[[#This Row],[Date]],1)</f>
        <v>5</v>
      </c>
      <c r="H1742" t="str">
        <f>TEXT(calendar[[#This Row],[WeekDay]],"dddd")</f>
        <v>Thursday</v>
      </c>
      <c r="I1742">
        <f>IF((INT(calendar[[#This Row],[Count]]/7)-calendar[[#This Row],[Count]]/7)&lt;0,I1741,I1741+1)</f>
        <v>249</v>
      </c>
      <c r="J1742">
        <f t="shared" si="139"/>
        <v>1740</v>
      </c>
      <c r="K1742">
        <f>IF(calendar[[#This Row],[Month]]&lt;4,1,IF(calendar[[#This Row],[Month]]&lt;7,2,IF(calendar[[#This Row],[Month]]&lt;10,3,4)))</f>
        <v>4</v>
      </c>
      <c r="L1742">
        <f>IFERROR(IF(VLOOKUP(calendar[[#This Row],[Date]],BH!A:A,1,)&lt;&gt;"",1,0),0)</f>
        <v>0</v>
      </c>
      <c r="M1742">
        <f>IFERROR(IF(VLOOKUP(calendar[[#This Row],[Date]],BH!C:C,1,)&lt;&gt;"",1,0),0)</f>
        <v>0</v>
      </c>
      <c r="N1742">
        <f>IFERROR(IF(VLOOKUP(calendar[[#This Row],[Date]],BH!E:E,1,)&lt;&gt;"",1,0),0)</f>
        <v>0</v>
      </c>
      <c r="O1742">
        <f>IFERROR(IF(VLOOKUP(calendar[[#This Row],[Date]],BH!G:G,1,)&lt;&gt;"",1,0),0)</f>
        <v>0</v>
      </c>
      <c r="P1742">
        <f>IF(OR(calendar[[#This Row],[UK_BH]]=1,calendar[[#This Row],[WeekDay]]=1, calendar[[#This Row],[WeekDay]]=7),P1741,P1741+1)</f>
        <v>1244</v>
      </c>
      <c r="Q1742">
        <f>IF(OR(calendar[[#This Row],[FR_BH]]=1,calendar[[#This Row],[WeekDay]]=1, calendar[[#This Row],[WeekDay]]=7),P1741,P1741+1)</f>
        <v>1244</v>
      </c>
      <c r="R1742">
        <f>IF(OR(calendar[[#This Row],[SP_BH]]=1,calendar[[#This Row],[WeekDay]]=1, calendar[[#This Row],[WeekDay]]=7),P1741,P1741+1)</f>
        <v>1244</v>
      </c>
      <c r="S1742">
        <f>IF(OR(calendar[[#This Row],[PT_BH]]=1,calendar[[#This Row],[WeekDay]]=1, calendar[[#This Row],[WeekDay]]=7),P1741,P1741+1)</f>
        <v>1244</v>
      </c>
    </row>
    <row r="1743" spans="1:19" x14ac:dyDescent="0.25">
      <c r="A1743" s="2">
        <v>44477</v>
      </c>
      <c r="B1743" s="1">
        <f t="shared" si="138"/>
        <v>41</v>
      </c>
      <c r="C1743">
        <f t="shared" si="135"/>
        <v>10</v>
      </c>
      <c r="D1743" t="str">
        <f t="shared" si="136"/>
        <v>October</v>
      </c>
      <c r="E1743">
        <f t="shared" si="137"/>
        <v>2021</v>
      </c>
      <c r="F1743" t="str">
        <f>CONCATENATE(calendar[[#This Row],[Month]],"/",calendar[[#This Row],[Year]])</f>
        <v>10/2021</v>
      </c>
      <c r="G1743">
        <f>WEEKDAY(calendar[[#This Row],[Date]],1)</f>
        <v>6</v>
      </c>
      <c r="H1743" t="str">
        <f>TEXT(calendar[[#This Row],[WeekDay]],"dddd")</f>
        <v>Friday</v>
      </c>
      <c r="I1743">
        <f>IF((INT(calendar[[#This Row],[Count]]/7)-calendar[[#This Row],[Count]]/7)&lt;0,I1742,I1742+1)</f>
        <v>249</v>
      </c>
      <c r="J1743">
        <f t="shared" si="139"/>
        <v>1741</v>
      </c>
      <c r="K1743">
        <f>IF(calendar[[#This Row],[Month]]&lt;4,1,IF(calendar[[#This Row],[Month]]&lt;7,2,IF(calendar[[#This Row],[Month]]&lt;10,3,4)))</f>
        <v>4</v>
      </c>
      <c r="L1743">
        <f>IFERROR(IF(VLOOKUP(calendar[[#This Row],[Date]],BH!A:A,1,)&lt;&gt;"",1,0),0)</f>
        <v>0</v>
      </c>
      <c r="M1743">
        <f>IFERROR(IF(VLOOKUP(calendar[[#This Row],[Date]],BH!C:C,1,)&lt;&gt;"",1,0),0)</f>
        <v>0</v>
      </c>
      <c r="N1743">
        <f>IFERROR(IF(VLOOKUP(calendar[[#This Row],[Date]],BH!E:E,1,)&lt;&gt;"",1,0),0)</f>
        <v>0</v>
      </c>
      <c r="O1743">
        <f>IFERROR(IF(VLOOKUP(calendar[[#This Row],[Date]],BH!G:G,1,)&lt;&gt;"",1,0),0)</f>
        <v>0</v>
      </c>
      <c r="P1743">
        <f>IF(OR(calendar[[#This Row],[UK_BH]]=1,calendar[[#This Row],[WeekDay]]=1, calendar[[#This Row],[WeekDay]]=7),P1742,P1742+1)</f>
        <v>1245</v>
      </c>
      <c r="Q1743">
        <f>IF(OR(calendar[[#This Row],[FR_BH]]=1,calendar[[#This Row],[WeekDay]]=1, calendar[[#This Row],[WeekDay]]=7),P1742,P1742+1)</f>
        <v>1245</v>
      </c>
      <c r="R1743">
        <f>IF(OR(calendar[[#This Row],[SP_BH]]=1,calendar[[#This Row],[WeekDay]]=1, calendar[[#This Row],[WeekDay]]=7),P1742,P1742+1)</f>
        <v>1245</v>
      </c>
      <c r="S1743">
        <f>IF(OR(calendar[[#This Row],[PT_BH]]=1,calendar[[#This Row],[WeekDay]]=1, calendar[[#This Row],[WeekDay]]=7),P1742,P1742+1)</f>
        <v>1245</v>
      </c>
    </row>
    <row r="1744" spans="1:19" x14ac:dyDescent="0.25">
      <c r="A1744" s="2">
        <v>44478</v>
      </c>
      <c r="B1744" s="1">
        <f t="shared" si="138"/>
        <v>41</v>
      </c>
      <c r="C1744">
        <f t="shared" ref="C1744:C1807" si="140">MONTH(A1744)</f>
        <v>10</v>
      </c>
      <c r="D1744" t="str">
        <f t="shared" ref="D1744:D1807" si="141">TEXT(A1744,"mmmm")</f>
        <v>October</v>
      </c>
      <c r="E1744">
        <f t="shared" ref="E1744:E1807" si="142">YEAR(A1744)</f>
        <v>2021</v>
      </c>
      <c r="F1744" t="str">
        <f>CONCATENATE(calendar[[#This Row],[Month]],"/",calendar[[#This Row],[Year]])</f>
        <v>10/2021</v>
      </c>
      <c r="G1744">
        <f>WEEKDAY(calendar[[#This Row],[Date]],1)</f>
        <v>7</v>
      </c>
      <c r="H1744" t="str">
        <f>TEXT(calendar[[#This Row],[WeekDay]],"dddd")</f>
        <v>Saturday</v>
      </c>
      <c r="I1744">
        <f>IF((INT(calendar[[#This Row],[Count]]/7)-calendar[[#This Row],[Count]]/7)&lt;0,I1743,I1743+1)</f>
        <v>249</v>
      </c>
      <c r="J1744">
        <f t="shared" si="139"/>
        <v>1742</v>
      </c>
      <c r="K1744">
        <f>IF(calendar[[#This Row],[Month]]&lt;4,1,IF(calendar[[#This Row],[Month]]&lt;7,2,IF(calendar[[#This Row],[Month]]&lt;10,3,4)))</f>
        <v>4</v>
      </c>
      <c r="L1744">
        <f>IFERROR(IF(VLOOKUP(calendar[[#This Row],[Date]],BH!A:A,1,)&lt;&gt;"",1,0),0)</f>
        <v>0</v>
      </c>
      <c r="M1744">
        <f>IFERROR(IF(VLOOKUP(calendar[[#This Row],[Date]],BH!C:C,1,)&lt;&gt;"",1,0),0)</f>
        <v>0</v>
      </c>
      <c r="N1744">
        <f>IFERROR(IF(VLOOKUP(calendar[[#This Row],[Date]],BH!E:E,1,)&lt;&gt;"",1,0),0)</f>
        <v>0</v>
      </c>
      <c r="O1744">
        <f>IFERROR(IF(VLOOKUP(calendar[[#This Row],[Date]],BH!G:G,1,)&lt;&gt;"",1,0),0)</f>
        <v>0</v>
      </c>
      <c r="P1744">
        <f>IF(OR(calendar[[#This Row],[UK_BH]]=1,calendar[[#This Row],[WeekDay]]=1, calendar[[#This Row],[WeekDay]]=7),P1743,P1743+1)</f>
        <v>1245</v>
      </c>
      <c r="Q1744">
        <f>IF(OR(calendar[[#This Row],[FR_BH]]=1,calendar[[#This Row],[WeekDay]]=1, calendar[[#This Row],[WeekDay]]=7),P1743,P1743+1)</f>
        <v>1245</v>
      </c>
      <c r="R1744">
        <f>IF(OR(calendar[[#This Row],[SP_BH]]=1,calendar[[#This Row],[WeekDay]]=1, calendar[[#This Row],[WeekDay]]=7),P1743,P1743+1)</f>
        <v>1245</v>
      </c>
      <c r="S1744">
        <f>IF(OR(calendar[[#This Row],[PT_BH]]=1,calendar[[#This Row],[WeekDay]]=1, calendar[[#This Row],[WeekDay]]=7),P1743,P1743+1)</f>
        <v>1245</v>
      </c>
    </row>
    <row r="1745" spans="1:19" x14ac:dyDescent="0.25">
      <c r="A1745" s="2">
        <v>44479</v>
      </c>
      <c r="B1745" s="1">
        <f t="shared" si="138"/>
        <v>42</v>
      </c>
      <c r="C1745">
        <f t="shared" si="140"/>
        <v>10</v>
      </c>
      <c r="D1745" t="str">
        <f t="shared" si="141"/>
        <v>October</v>
      </c>
      <c r="E1745">
        <f t="shared" si="142"/>
        <v>2021</v>
      </c>
      <c r="F1745" t="str">
        <f>CONCATENATE(calendar[[#This Row],[Month]],"/",calendar[[#This Row],[Year]])</f>
        <v>10/2021</v>
      </c>
      <c r="G1745">
        <f>WEEKDAY(calendar[[#This Row],[Date]],1)</f>
        <v>1</v>
      </c>
      <c r="H1745" t="str">
        <f>TEXT(calendar[[#This Row],[WeekDay]],"dddd")</f>
        <v>Sunday</v>
      </c>
      <c r="I1745">
        <f>IF((INT(calendar[[#This Row],[Count]]/7)-calendar[[#This Row],[Count]]/7)&lt;0,I1744,I1744+1)</f>
        <v>250</v>
      </c>
      <c r="J1745">
        <f t="shared" si="139"/>
        <v>1743</v>
      </c>
      <c r="K1745">
        <f>IF(calendar[[#This Row],[Month]]&lt;4,1,IF(calendar[[#This Row],[Month]]&lt;7,2,IF(calendar[[#This Row],[Month]]&lt;10,3,4)))</f>
        <v>4</v>
      </c>
      <c r="L1745">
        <f>IFERROR(IF(VLOOKUP(calendar[[#This Row],[Date]],BH!A:A,1,)&lt;&gt;"",1,0),0)</f>
        <v>0</v>
      </c>
      <c r="M1745">
        <f>IFERROR(IF(VLOOKUP(calendar[[#This Row],[Date]],BH!C:C,1,)&lt;&gt;"",1,0),0)</f>
        <v>0</v>
      </c>
      <c r="N1745">
        <f>IFERROR(IF(VLOOKUP(calendar[[#This Row],[Date]],BH!E:E,1,)&lt;&gt;"",1,0),0)</f>
        <v>0</v>
      </c>
      <c r="O1745">
        <f>IFERROR(IF(VLOOKUP(calendar[[#This Row],[Date]],BH!G:G,1,)&lt;&gt;"",1,0),0)</f>
        <v>0</v>
      </c>
      <c r="P1745">
        <f>IF(OR(calendar[[#This Row],[UK_BH]]=1,calendar[[#This Row],[WeekDay]]=1, calendar[[#This Row],[WeekDay]]=7),P1744,P1744+1)</f>
        <v>1245</v>
      </c>
      <c r="Q1745">
        <f>IF(OR(calendar[[#This Row],[FR_BH]]=1,calendar[[#This Row],[WeekDay]]=1, calendar[[#This Row],[WeekDay]]=7),P1744,P1744+1)</f>
        <v>1245</v>
      </c>
      <c r="R1745">
        <f>IF(OR(calendar[[#This Row],[SP_BH]]=1,calendar[[#This Row],[WeekDay]]=1, calendar[[#This Row],[WeekDay]]=7),P1744,P1744+1)</f>
        <v>1245</v>
      </c>
      <c r="S1745">
        <f>IF(OR(calendar[[#This Row],[PT_BH]]=1,calendar[[#This Row],[WeekDay]]=1, calendar[[#This Row],[WeekDay]]=7),P1744,P1744+1)</f>
        <v>1245</v>
      </c>
    </row>
    <row r="1746" spans="1:19" x14ac:dyDescent="0.25">
      <c r="A1746" s="2">
        <v>44480</v>
      </c>
      <c r="B1746" s="1">
        <f t="shared" si="138"/>
        <v>42</v>
      </c>
      <c r="C1746">
        <f t="shared" si="140"/>
        <v>10</v>
      </c>
      <c r="D1746" t="str">
        <f t="shared" si="141"/>
        <v>October</v>
      </c>
      <c r="E1746">
        <f t="shared" si="142"/>
        <v>2021</v>
      </c>
      <c r="F1746" t="str">
        <f>CONCATENATE(calendar[[#This Row],[Month]],"/",calendar[[#This Row],[Year]])</f>
        <v>10/2021</v>
      </c>
      <c r="G1746">
        <f>WEEKDAY(calendar[[#This Row],[Date]],1)</f>
        <v>2</v>
      </c>
      <c r="H1746" t="str">
        <f>TEXT(calendar[[#This Row],[WeekDay]],"dddd")</f>
        <v>Monday</v>
      </c>
      <c r="I1746">
        <f>IF((INT(calendar[[#This Row],[Count]]/7)-calendar[[#This Row],[Count]]/7)&lt;0,I1745,I1745+1)</f>
        <v>250</v>
      </c>
      <c r="J1746">
        <f t="shared" si="139"/>
        <v>1744</v>
      </c>
      <c r="K1746">
        <f>IF(calendar[[#This Row],[Month]]&lt;4,1,IF(calendar[[#This Row],[Month]]&lt;7,2,IF(calendar[[#This Row],[Month]]&lt;10,3,4)))</f>
        <v>4</v>
      </c>
      <c r="L1746">
        <f>IFERROR(IF(VLOOKUP(calendar[[#This Row],[Date]],BH!A:A,1,)&lt;&gt;"",1,0),0)</f>
        <v>0</v>
      </c>
      <c r="M1746">
        <f>IFERROR(IF(VLOOKUP(calendar[[#This Row],[Date]],BH!C:C,1,)&lt;&gt;"",1,0),0)</f>
        <v>0</v>
      </c>
      <c r="N1746">
        <f>IFERROR(IF(VLOOKUP(calendar[[#This Row],[Date]],BH!E:E,1,)&lt;&gt;"",1,0),0)</f>
        <v>0</v>
      </c>
      <c r="O1746">
        <f>IFERROR(IF(VLOOKUP(calendar[[#This Row],[Date]],BH!G:G,1,)&lt;&gt;"",1,0),0)</f>
        <v>0</v>
      </c>
      <c r="P1746">
        <f>IF(OR(calendar[[#This Row],[UK_BH]]=1,calendar[[#This Row],[WeekDay]]=1, calendar[[#This Row],[WeekDay]]=7),P1745,P1745+1)</f>
        <v>1246</v>
      </c>
      <c r="Q1746">
        <f>IF(OR(calendar[[#This Row],[FR_BH]]=1,calendar[[#This Row],[WeekDay]]=1, calendar[[#This Row],[WeekDay]]=7),P1745,P1745+1)</f>
        <v>1246</v>
      </c>
      <c r="R1746">
        <f>IF(OR(calendar[[#This Row],[SP_BH]]=1,calendar[[#This Row],[WeekDay]]=1, calendar[[#This Row],[WeekDay]]=7),P1745,P1745+1)</f>
        <v>1246</v>
      </c>
      <c r="S1746">
        <f>IF(OR(calendar[[#This Row],[PT_BH]]=1,calendar[[#This Row],[WeekDay]]=1, calendar[[#This Row],[WeekDay]]=7),P1745,P1745+1)</f>
        <v>1246</v>
      </c>
    </row>
    <row r="1747" spans="1:19" x14ac:dyDescent="0.25">
      <c r="A1747" s="2">
        <v>44481</v>
      </c>
      <c r="B1747" s="1">
        <f t="shared" si="138"/>
        <v>42</v>
      </c>
      <c r="C1747">
        <f t="shared" si="140"/>
        <v>10</v>
      </c>
      <c r="D1747" t="str">
        <f t="shared" si="141"/>
        <v>October</v>
      </c>
      <c r="E1747">
        <f t="shared" si="142"/>
        <v>2021</v>
      </c>
      <c r="F1747" t="str">
        <f>CONCATENATE(calendar[[#This Row],[Month]],"/",calendar[[#This Row],[Year]])</f>
        <v>10/2021</v>
      </c>
      <c r="G1747">
        <f>WEEKDAY(calendar[[#This Row],[Date]],1)</f>
        <v>3</v>
      </c>
      <c r="H1747" t="str">
        <f>TEXT(calendar[[#This Row],[WeekDay]],"dddd")</f>
        <v>Tuesday</v>
      </c>
      <c r="I1747">
        <f>IF((INT(calendar[[#This Row],[Count]]/7)-calendar[[#This Row],[Count]]/7)&lt;0,I1746,I1746+1)</f>
        <v>250</v>
      </c>
      <c r="J1747">
        <f t="shared" si="139"/>
        <v>1745</v>
      </c>
      <c r="K1747">
        <f>IF(calendar[[#This Row],[Month]]&lt;4,1,IF(calendar[[#This Row],[Month]]&lt;7,2,IF(calendar[[#This Row],[Month]]&lt;10,3,4)))</f>
        <v>4</v>
      </c>
      <c r="L1747">
        <f>IFERROR(IF(VLOOKUP(calendar[[#This Row],[Date]],BH!A:A,1,)&lt;&gt;"",1,0),0)</f>
        <v>0</v>
      </c>
      <c r="M1747">
        <f>IFERROR(IF(VLOOKUP(calendar[[#This Row],[Date]],BH!C:C,1,)&lt;&gt;"",1,0),0)</f>
        <v>0</v>
      </c>
      <c r="N1747">
        <f>IFERROR(IF(VLOOKUP(calendar[[#This Row],[Date]],BH!E:E,1,)&lt;&gt;"",1,0),0)</f>
        <v>0</v>
      </c>
      <c r="O1747">
        <f>IFERROR(IF(VLOOKUP(calendar[[#This Row],[Date]],BH!G:G,1,)&lt;&gt;"",1,0),0)</f>
        <v>0</v>
      </c>
      <c r="P1747">
        <f>IF(OR(calendar[[#This Row],[UK_BH]]=1,calendar[[#This Row],[WeekDay]]=1, calendar[[#This Row],[WeekDay]]=7),P1746,P1746+1)</f>
        <v>1247</v>
      </c>
      <c r="Q1747">
        <f>IF(OR(calendar[[#This Row],[FR_BH]]=1,calendar[[#This Row],[WeekDay]]=1, calendar[[#This Row],[WeekDay]]=7),P1746,P1746+1)</f>
        <v>1247</v>
      </c>
      <c r="R1747">
        <f>IF(OR(calendar[[#This Row],[SP_BH]]=1,calendar[[#This Row],[WeekDay]]=1, calendar[[#This Row],[WeekDay]]=7),P1746,P1746+1)</f>
        <v>1247</v>
      </c>
      <c r="S1747">
        <f>IF(OR(calendar[[#This Row],[PT_BH]]=1,calendar[[#This Row],[WeekDay]]=1, calendar[[#This Row],[WeekDay]]=7),P1746,P1746+1)</f>
        <v>1247</v>
      </c>
    </row>
    <row r="1748" spans="1:19" x14ac:dyDescent="0.25">
      <c r="A1748" s="2">
        <v>44482</v>
      </c>
      <c r="B1748" s="1">
        <f t="shared" si="138"/>
        <v>42</v>
      </c>
      <c r="C1748">
        <f t="shared" si="140"/>
        <v>10</v>
      </c>
      <c r="D1748" t="str">
        <f t="shared" si="141"/>
        <v>October</v>
      </c>
      <c r="E1748">
        <f t="shared" si="142"/>
        <v>2021</v>
      </c>
      <c r="F1748" t="str">
        <f>CONCATENATE(calendar[[#This Row],[Month]],"/",calendar[[#This Row],[Year]])</f>
        <v>10/2021</v>
      </c>
      <c r="G1748">
        <f>WEEKDAY(calendar[[#This Row],[Date]],1)</f>
        <v>4</v>
      </c>
      <c r="H1748" t="str">
        <f>TEXT(calendar[[#This Row],[WeekDay]],"dddd")</f>
        <v>Wednesday</v>
      </c>
      <c r="I1748">
        <f>IF((INT(calendar[[#This Row],[Count]]/7)-calendar[[#This Row],[Count]]/7)&lt;0,I1747,I1747+1)</f>
        <v>250</v>
      </c>
      <c r="J1748">
        <f t="shared" si="139"/>
        <v>1746</v>
      </c>
      <c r="K1748">
        <f>IF(calendar[[#This Row],[Month]]&lt;4,1,IF(calendar[[#This Row],[Month]]&lt;7,2,IF(calendar[[#This Row],[Month]]&lt;10,3,4)))</f>
        <v>4</v>
      </c>
      <c r="L1748">
        <f>IFERROR(IF(VLOOKUP(calendar[[#This Row],[Date]],BH!A:A,1,)&lt;&gt;"",1,0),0)</f>
        <v>0</v>
      </c>
      <c r="M1748">
        <f>IFERROR(IF(VLOOKUP(calendar[[#This Row],[Date]],BH!C:C,1,)&lt;&gt;"",1,0),0)</f>
        <v>0</v>
      </c>
      <c r="N1748">
        <f>IFERROR(IF(VLOOKUP(calendar[[#This Row],[Date]],BH!E:E,1,)&lt;&gt;"",1,0),0)</f>
        <v>0</v>
      </c>
      <c r="O1748">
        <f>IFERROR(IF(VLOOKUP(calendar[[#This Row],[Date]],BH!G:G,1,)&lt;&gt;"",1,0),0)</f>
        <v>0</v>
      </c>
      <c r="P1748">
        <f>IF(OR(calendar[[#This Row],[UK_BH]]=1,calendar[[#This Row],[WeekDay]]=1, calendar[[#This Row],[WeekDay]]=7),P1747,P1747+1)</f>
        <v>1248</v>
      </c>
      <c r="Q1748">
        <f>IF(OR(calendar[[#This Row],[FR_BH]]=1,calendar[[#This Row],[WeekDay]]=1, calendar[[#This Row],[WeekDay]]=7),P1747,P1747+1)</f>
        <v>1248</v>
      </c>
      <c r="R1748">
        <f>IF(OR(calendar[[#This Row],[SP_BH]]=1,calendar[[#This Row],[WeekDay]]=1, calendar[[#This Row],[WeekDay]]=7),P1747,P1747+1)</f>
        <v>1248</v>
      </c>
      <c r="S1748">
        <f>IF(OR(calendar[[#This Row],[PT_BH]]=1,calendar[[#This Row],[WeekDay]]=1, calendar[[#This Row],[WeekDay]]=7),P1747,P1747+1)</f>
        <v>1248</v>
      </c>
    </row>
    <row r="1749" spans="1:19" x14ac:dyDescent="0.25">
      <c r="A1749" s="2">
        <v>44483</v>
      </c>
      <c r="B1749" s="1">
        <f t="shared" si="138"/>
        <v>42</v>
      </c>
      <c r="C1749">
        <f t="shared" si="140"/>
        <v>10</v>
      </c>
      <c r="D1749" t="str">
        <f t="shared" si="141"/>
        <v>October</v>
      </c>
      <c r="E1749">
        <f t="shared" si="142"/>
        <v>2021</v>
      </c>
      <c r="F1749" t="str">
        <f>CONCATENATE(calendar[[#This Row],[Month]],"/",calendar[[#This Row],[Year]])</f>
        <v>10/2021</v>
      </c>
      <c r="G1749">
        <f>WEEKDAY(calendar[[#This Row],[Date]],1)</f>
        <v>5</v>
      </c>
      <c r="H1749" t="str">
        <f>TEXT(calendar[[#This Row],[WeekDay]],"dddd")</f>
        <v>Thursday</v>
      </c>
      <c r="I1749">
        <f>IF((INT(calendar[[#This Row],[Count]]/7)-calendar[[#This Row],[Count]]/7)&lt;0,I1748,I1748+1)</f>
        <v>250</v>
      </c>
      <c r="J1749">
        <f t="shared" si="139"/>
        <v>1747</v>
      </c>
      <c r="K1749">
        <f>IF(calendar[[#This Row],[Month]]&lt;4,1,IF(calendar[[#This Row],[Month]]&lt;7,2,IF(calendar[[#This Row],[Month]]&lt;10,3,4)))</f>
        <v>4</v>
      </c>
      <c r="L1749">
        <f>IFERROR(IF(VLOOKUP(calendar[[#This Row],[Date]],BH!A:A,1,)&lt;&gt;"",1,0),0)</f>
        <v>0</v>
      </c>
      <c r="M1749">
        <f>IFERROR(IF(VLOOKUP(calendar[[#This Row],[Date]],BH!C:C,1,)&lt;&gt;"",1,0),0)</f>
        <v>0</v>
      </c>
      <c r="N1749">
        <f>IFERROR(IF(VLOOKUP(calendar[[#This Row],[Date]],BH!E:E,1,)&lt;&gt;"",1,0),0)</f>
        <v>0</v>
      </c>
      <c r="O1749">
        <f>IFERROR(IF(VLOOKUP(calendar[[#This Row],[Date]],BH!G:G,1,)&lt;&gt;"",1,0),0)</f>
        <v>0</v>
      </c>
      <c r="P1749">
        <f>IF(OR(calendar[[#This Row],[UK_BH]]=1,calendar[[#This Row],[WeekDay]]=1, calendar[[#This Row],[WeekDay]]=7),P1748,P1748+1)</f>
        <v>1249</v>
      </c>
      <c r="Q1749">
        <f>IF(OR(calendar[[#This Row],[FR_BH]]=1,calendar[[#This Row],[WeekDay]]=1, calendar[[#This Row],[WeekDay]]=7),P1748,P1748+1)</f>
        <v>1249</v>
      </c>
      <c r="R1749">
        <f>IF(OR(calendar[[#This Row],[SP_BH]]=1,calendar[[#This Row],[WeekDay]]=1, calendar[[#This Row],[WeekDay]]=7),P1748,P1748+1)</f>
        <v>1249</v>
      </c>
      <c r="S1749">
        <f>IF(OR(calendar[[#This Row],[PT_BH]]=1,calendar[[#This Row],[WeekDay]]=1, calendar[[#This Row],[WeekDay]]=7),P1748,P1748+1)</f>
        <v>1249</v>
      </c>
    </row>
    <row r="1750" spans="1:19" x14ac:dyDescent="0.25">
      <c r="A1750" s="2">
        <v>44484</v>
      </c>
      <c r="B1750" s="1">
        <f t="shared" si="138"/>
        <v>42</v>
      </c>
      <c r="C1750">
        <f t="shared" si="140"/>
        <v>10</v>
      </c>
      <c r="D1750" t="str">
        <f t="shared" si="141"/>
        <v>October</v>
      </c>
      <c r="E1750">
        <f t="shared" si="142"/>
        <v>2021</v>
      </c>
      <c r="F1750" t="str">
        <f>CONCATENATE(calendar[[#This Row],[Month]],"/",calendar[[#This Row],[Year]])</f>
        <v>10/2021</v>
      </c>
      <c r="G1750">
        <f>WEEKDAY(calendar[[#This Row],[Date]],1)</f>
        <v>6</v>
      </c>
      <c r="H1750" t="str">
        <f>TEXT(calendar[[#This Row],[WeekDay]],"dddd")</f>
        <v>Friday</v>
      </c>
      <c r="I1750">
        <f>IF((INT(calendar[[#This Row],[Count]]/7)-calendar[[#This Row],[Count]]/7)&lt;0,I1749,I1749+1)</f>
        <v>250</v>
      </c>
      <c r="J1750">
        <f t="shared" si="139"/>
        <v>1748</v>
      </c>
      <c r="K1750">
        <f>IF(calendar[[#This Row],[Month]]&lt;4,1,IF(calendar[[#This Row],[Month]]&lt;7,2,IF(calendar[[#This Row],[Month]]&lt;10,3,4)))</f>
        <v>4</v>
      </c>
      <c r="L1750">
        <f>IFERROR(IF(VLOOKUP(calendar[[#This Row],[Date]],BH!A:A,1,)&lt;&gt;"",1,0),0)</f>
        <v>0</v>
      </c>
      <c r="M1750">
        <f>IFERROR(IF(VLOOKUP(calendar[[#This Row],[Date]],BH!C:C,1,)&lt;&gt;"",1,0),0)</f>
        <v>0</v>
      </c>
      <c r="N1750">
        <f>IFERROR(IF(VLOOKUP(calendar[[#This Row],[Date]],BH!E:E,1,)&lt;&gt;"",1,0),0)</f>
        <v>0</v>
      </c>
      <c r="O1750">
        <f>IFERROR(IF(VLOOKUP(calendar[[#This Row],[Date]],BH!G:G,1,)&lt;&gt;"",1,0),0)</f>
        <v>0</v>
      </c>
      <c r="P1750">
        <f>IF(OR(calendar[[#This Row],[UK_BH]]=1,calendar[[#This Row],[WeekDay]]=1, calendar[[#This Row],[WeekDay]]=7),P1749,P1749+1)</f>
        <v>1250</v>
      </c>
      <c r="Q1750">
        <f>IF(OR(calendar[[#This Row],[FR_BH]]=1,calendar[[#This Row],[WeekDay]]=1, calendar[[#This Row],[WeekDay]]=7),P1749,P1749+1)</f>
        <v>1250</v>
      </c>
      <c r="R1750">
        <f>IF(OR(calendar[[#This Row],[SP_BH]]=1,calendar[[#This Row],[WeekDay]]=1, calendar[[#This Row],[WeekDay]]=7),P1749,P1749+1)</f>
        <v>1250</v>
      </c>
      <c r="S1750">
        <f>IF(OR(calendar[[#This Row],[PT_BH]]=1,calendar[[#This Row],[WeekDay]]=1, calendar[[#This Row],[WeekDay]]=7),P1749,P1749+1)</f>
        <v>1250</v>
      </c>
    </row>
    <row r="1751" spans="1:19" x14ac:dyDescent="0.25">
      <c r="A1751" s="2">
        <v>44485</v>
      </c>
      <c r="B1751" s="1">
        <f t="shared" si="138"/>
        <v>42</v>
      </c>
      <c r="C1751">
        <f t="shared" si="140"/>
        <v>10</v>
      </c>
      <c r="D1751" t="str">
        <f t="shared" si="141"/>
        <v>October</v>
      </c>
      <c r="E1751">
        <f t="shared" si="142"/>
        <v>2021</v>
      </c>
      <c r="F1751" t="str">
        <f>CONCATENATE(calendar[[#This Row],[Month]],"/",calendar[[#This Row],[Year]])</f>
        <v>10/2021</v>
      </c>
      <c r="G1751">
        <f>WEEKDAY(calendar[[#This Row],[Date]],1)</f>
        <v>7</v>
      </c>
      <c r="H1751" t="str">
        <f>TEXT(calendar[[#This Row],[WeekDay]],"dddd")</f>
        <v>Saturday</v>
      </c>
      <c r="I1751">
        <f>IF((INT(calendar[[#This Row],[Count]]/7)-calendar[[#This Row],[Count]]/7)&lt;0,I1750,I1750+1)</f>
        <v>250</v>
      </c>
      <c r="J1751">
        <f t="shared" si="139"/>
        <v>1749</v>
      </c>
      <c r="K1751">
        <f>IF(calendar[[#This Row],[Month]]&lt;4,1,IF(calendar[[#This Row],[Month]]&lt;7,2,IF(calendar[[#This Row],[Month]]&lt;10,3,4)))</f>
        <v>4</v>
      </c>
      <c r="L1751">
        <f>IFERROR(IF(VLOOKUP(calendar[[#This Row],[Date]],BH!A:A,1,)&lt;&gt;"",1,0),0)</f>
        <v>0</v>
      </c>
      <c r="M1751">
        <f>IFERROR(IF(VLOOKUP(calendar[[#This Row],[Date]],BH!C:C,1,)&lt;&gt;"",1,0),0)</f>
        <v>0</v>
      </c>
      <c r="N1751">
        <f>IFERROR(IF(VLOOKUP(calendar[[#This Row],[Date]],BH!E:E,1,)&lt;&gt;"",1,0),0)</f>
        <v>0</v>
      </c>
      <c r="O1751">
        <f>IFERROR(IF(VLOOKUP(calendar[[#This Row],[Date]],BH!G:G,1,)&lt;&gt;"",1,0),0)</f>
        <v>0</v>
      </c>
      <c r="P1751">
        <f>IF(OR(calendar[[#This Row],[UK_BH]]=1,calendar[[#This Row],[WeekDay]]=1, calendar[[#This Row],[WeekDay]]=7),P1750,P1750+1)</f>
        <v>1250</v>
      </c>
      <c r="Q1751">
        <f>IF(OR(calendar[[#This Row],[FR_BH]]=1,calendar[[#This Row],[WeekDay]]=1, calendar[[#This Row],[WeekDay]]=7),P1750,P1750+1)</f>
        <v>1250</v>
      </c>
      <c r="R1751">
        <f>IF(OR(calendar[[#This Row],[SP_BH]]=1,calendar[[#This Row],[WeekDay]]=1, calendar[[#This Row],[WeekDay]]=7),P1750,P1750+1)</f>
        <v>1250</v>
      </c>
      <c r="S1751">
        <f>IF(OR(calendar[[#This Row],[PT_BH]]=1,calendar[[#This Row],[WeekDay]]=1, calendar[[#This Row],[WeekDay]]=7),P1750,P1750+1)</f>
        <v>1250</v>
      </c>
    </row>
    <row r="1752" spans="1:19" x14ac:dyDescent="0.25">
      <c r="A1752" s="2">
        <v>44486</v>
      </c>
      <c r="B1752" s="1">
        <f t="shared" si="138"/>
        <v>43</v>
      </c>
      <c r="C1752">
        <f t="shared" si="140"/>
        <v>10</v>
      </c>
      <c r="D1752" t="str">
        <f t="shared" si="141"/>
        <v>October</v>
      </c>
      <c r="E1752">
        <f t="shared" si="142"/>
        <v>2021</v>
      </c>
      <c r="F1752" t="str">
        <f>CONCATENATE(calendar[[#This Row],[Month]],"/",calendar[[#This Row],[Year]])</f>
        <v>10/2021</v>
      </c>
      <c r="G1752">
        <f>WEEKDAY(calendar[[#This Row],[Date]],1)</f>
        <v>1</v>
      </c>
      <c r="H1752" t="str">
        <f>TEXT(calendar[[#This Row],[WeekDay]],"dddd")</f>
        <v>Sunday</v>
      </c>
      <c r="I1752">
        <f>IF((INT(calendar[[#This Row],[Count]]/7)-calendar[[#This Row],[Count]]/7)&lt;0,I1751,I1751+1)</f>
        <v>251</v>
      </c>
      <c r="J1752">
        <f t="shared" si="139"/>
        <v>1750</v>
      </c>
      <c r="K1752">
        <f>IF(calendar[[#This Row],[Month]]&lt;4,1,IF(calendar[[#This Row],[Month]]&lt;7,2,IF(calendar[[#This Row],[Month]]&lt;10,3,4)))</f>
        <v>4</v>
      </c>
      <c r="L1752">
        <f>IFERROR(IF(VLOOKUP(calendar[[#This Row],[Date]],BH!A:A,1,)&lt;&gt;"",1,0),0)</f>
        <v>0</v>
      </c>
      <c r="M1752">
        <f>IFERROR(IF(VLOOKUP(calendar[[#This Row],[Date]],BH!C:C,1,)&lt;&gt;"",1,0),0)</f>
        <v>0</v>
      </c>
      <c r="N1752">
        <f>IFERROR(IF(VLOOKUP(calendar[[#This Row],[Date]],BH!E:E,1,)&lt;&gt;"",1,0),0)</f>
        <v>0</v>
      </c>
      <c r="O1752">
        <f>IFERROR(IF(VLOOKUP(calendar[[#This Row],[Date]],BH!G:G,1,)&lt;&gt;"",1,0),0)</f>
        <v>0</v>
      </c>
      <c r="P1752">
        <f>IF(OR(calendar[[#This Row],[UK_BH]]=1,calendar[[#This Row],[WeekDay]]=1, calendar[[#This Row],[WeekDay]]=7),P1751,P1751+1)</f>
        <v>1250</v>
      </c>
      <c r="Q1752">
        <f>IF(OR(calendar[[#This Row],[FR_BH]]=1,calendar[[#This Row],[WeekDay]]=1, calendar[[#This Row],[WeekDay]]=7),P1751,P1751+1)</f>
        <v>1250</v>
      </c>
      <c r="R1752">
        <f>IF(OR(calendar[[#This Row],[SP_BH]]=1,calendar[[#This Row],[WeekDay]]=1, calendar[[#This Row],[WeekDay]]=7),P1751,P1751+1)</f>
        <v>1250</v>
      </c>
      <c r="S1752">
        <f>IF(OR(calendar[[#This Row],[PT_BH]]=1,calendar[[#This Row],[WeekDay]]=1, calendar[[#This Row],[WeekDay]]=7),P1751,P1751+1)</f>
        <v>1250</v>
      </c>
    </row>
    <row r="1753" spans="1:19" x14ac:dyDescent="0.25">
      <c r="A1753" s="2">
        <v>44487</v>
      </c>
      <c r="B1753" s="1">
        <f t="shared" si="138"/>
        <v>43</v>
      </c>
      <c r="C1753">
        <f t="shared" si="140"/>
        <v>10</v>
      </c>
      <c r="D1753" t="str">
        <f t="shared" si="141"/>
        <v>October</v>
      </c>
      <c r="E1753">
        <f t="shared" si="142"/>
        <v>2021</v>
      </c>
      <c r="F1753" t="str">
        <f>CONCATENATE(calendar[[#This Row],[Month]],"/",calendar[[#This Row],[Year]])</f>
        <v>10/2021</v>
      </c>
      <c r="G1753">
        <f>WEEKDAY(calendar[[#This Row],[Date]],1)</f>
        <v>2</v>
      </c>
      <c r="H1753" t="str">
        <f>TEXT(calendar[[#This Row],[WeekDay]],"dddd")</f>
        <v>Monday</v>
      </c>
      <c r="I1753">
        <f>IF((INT(calendar[[#This Row],[Count]]/7)-calendar[[#This Row],[Count]]/7)&lt;0,I1752,I1752+1)</f>
        <v>251</v>
      </c>
      <c r="J1753">
        <f t="shared" si="139"/>
        <v>1751</v>
      </c>
      <c r="K1753">
        <f>IF(calendar[[#This Row],[Month]]&lt;4,1,IF(calendar[[#This Row],[Month]]&lt;7,2,IF(calendar[[#This Row],[Month]]&lt;10,3,4)))</f>
        <v>4</v>
      </c>
      <c r="L1753">
        <f>IFERROR(IF(VLOOKUP(calendar[[#This Row],[Date]],BH!A:A,1,)&lt;&gt;"",1,0),0)</f>
        <v>0</v>
      </c>
      <c r="M1753">
        <f>IFERROR(IF(VLOOKUP(calendar[[#This Row],[Date]],BH!C:C,1,)&lt;&gt;"",1,0),0)</f>
        <v>0</v>
      </c>
      <c r="N1753">
        <f>IFERROR(IF(VLOOKUP(calendar[[#This Row],[Date]],BH!E:E,1,)&lt;&gt;"",1,0),0)</f>
        <v>0</v>
      </c>
      <c r="O1753">
        <f>IFERROR(IF(VLOOKUP(calendar[[#This Row],[Date]],BH!G:G,1,)&lt;&gt;"",1,0),0)</f>
        <v>0</v>
      </c>
      <c r="P1753">
        <f>IF(OR(calendar[[#This Row],[UK_BH]]=1,calendar[[#This Row],[WeekDay]]=1, calendar[[#This Row],[WeekDay]]=7),P1752,P1752+1)</f>
        <v>1251</v>
      </c>
      <c r="Q1753">
        <f>IF(OR(calendar[[#This Row],[FR_BH]]=1,calendar[[#This Row],[WeekDay]]=1, calendar[[#This Row],[WeekDay]]=7),P1752,P1752+1)</f>
        <v>1251</v>
      </c>
      <c r="R1753">
        <f>IF(OR(calendar[[#This Row],[SP_BH]]=1,calendar[[#This Row],[WeekDay]]=1, calendar[[#This Row],[WeekDay]]=7),P1752,P1752+1)</f>
        <v>1251</v>
      </c>
      <c r="S1753">
        <f>IF(OR(calendar[[#This Row],[PT_BH]]=1,calendar[[#This Row],[WeekDay]]=1, calendar[[#This Row],[WeekDay]]=7),P1752,P1752+1)</f>
        <v>1251</v>
      </c>
    </row>
    <row r="1754" spans="1:19" x14ac:dyDescent="0.25">
      <c r="A1754" s="2">
        <v>44488</v>
      </c>
      <c r="B1754" s="1">
        <f t="shared" si="138"/>
        <v>43</v>
      </c>
      <c r="C1754">
        <f t="shared" si="140"/>
        <v>10</v>
      </c>
      <c r="D1754" t="str">
        <f t="shared" si="141"/>
        <v>October</v>
      </c>
      <c r="E1754">
        <f t="shared" si="142"/>
        <v>2021</v>
      </c>
      <c r="F1754" t="str">
        <f>CONCATENATE(calendar[[#This Row],[Month]],"/",calendar[[#This Row],[Year]])</f>
        <v>10/2021</v>
      </c>
      <c r="G1754">
        <f>WEEKDAY(calendar[[#This Row],[Date]],1)</f>
        <v>3</v>
      </c>
      <c r="H1754" t="str">
        <f>TEXT(calendar[[#This Row],[WeekDay]],"dddd")</f>
        <v>Tuesday</v>
      </c>
      <c r="I1754">
        <f>IF((INT(calendar[[#This Row],[Count]]/7)-calendar[[#This Row],[Count]]/7)&lt;0,I1753,I1753+1)</f>
        <v>251</v>
      </c>
      <c r="J1754">
        <f t="shared" si="139"/>
        <v>1752</v>
      </c>
      <c r="K1754">
        <f>IF(calendar[[#This Row],[Month]]&lt;4,1,IF(calendar[[#This Row],[Month]]&lt;7,2,IF(calendar[[#This Row],[Month]]&lt;10,3,4)))</f>
        <v>4</v>
      </c>
      <c r="L1754">
        <f>IFERROR(IF(VLOOKUP(calendar[[#This Row],[Date]],BH!A:A,1,)&lt;&gt;"",1,0),0)</f>
        <v>0</v>
      </c>
      <c r="M1754">
        <f>IFERROR(IF(VLOOKUP(calendar[[#This Row],[Date]],BH!C:C,1,)&lt;&gt;"",1,0),0)</f>
        <v>0</v>
      </c>
      <c r="N1754">
        <f>IFERROR(IF(VLOOKUP(calendar[[#This Row],[Date]],BH!E:E,1,)&lt;&gt;"",1,0),0)</f>
        <v>0</v>
      </c>
      <c r="O1754">
        <f>IFERROR(IF(VLOOKUP(calendar[[#This Row],[Date]],BH!G:G,1,)&lt;&gt;"",1,0),0)</f>
        <v>0</v>
      </c>
      <c r="P1754">
        <f>IF(OR(calendar[[#This Row],[UK_BH]]=1,calendar[[#This Row],[WeekDay]]=1, calendar[[#This Row],[WeekDay]]=7),P1753,P1753+1)</f>
        <v>1252</v>
      </c>
      <c r="Q1754">
        <f>IF(OR(calendar[[#This Row],[FR_BH]]=1,calendar[[#This Row],[WeekDay]]=1, calendar[[#This Row],[WeekDay]]=7),P1753,P1753+1)</f>
        <v>1252</v>
      </c>
      <c r="R1754">
        <f>IF(OR(calendar[[#This Row],[SP_BH]]=1,calendar[[#This Row],[WeekDay]]=1, calendar[[#This Row],[WeekDay]]=7),P1753,P1753+1)</f>
        <v>1252</v>
      </c>
      <c r="S1754">
        <f>IF(OR(calendar[[#This Row],[PT_BH]]=1,calendar[[#This Row],[WeekDay]]=1, calendar[[#This Row],[WeekDay]]=7),P1753,P1753+1)</f>
        <v>1252</v>
      </c>
    </row>
    <row r="1755" spans="1:19" x14ac:dyDescent="0.25">
      <c r="A1755" s="2">
        <v>44489</v>
      </c>
      <c r="B1755" s="1">
        <f t="shared" si="138"/>
        <v>43</v>
      </c>
      <c r="C1755">
        <f t="shared" si="140"/>
        <v>10</v>
      </c>
      <c r="D1755" t="str">
        <f t="shared" si="141"/>
        <v>October</v>
      </c>
      <c r="E1755">
        <f t="shared" si="142"/>
        <v>2021</v>
      </c>
      <c r="F1755" t="str">
        <f>CONCATENATE(calendar[[#This Row],[Month]],"/",calendar[[#This Row],[Year]])</f>
        <v>10/2021</v>
      </c>
      <c r="G1755">
        <f>WEEKDAY(calendar[[#This Row],[Date]],1)</f>
        <v>4</v>
      </c>
      <c r="H1755" t="str">
        <f>TEXT(calendar[[#This Row],[WeekDay]],"dddd")</f>
        <v>Wednesday</v>
      </c>
      <c r="I1755">
        <f>IF((INT(calendar[[#This Row],[Count]]/7)-calendar[[#This Row],[Count]]/7)&lt;0,I1754,I1754+1)</f>
        <v>251</v>
      </c>
      <c r="J1755">
        <f t="shared" si="139"/>
        <v>1753</v>
      </c>
      <c r="K1755">
        <f>IF(calendar[[#This Row],[Month]]&lt;4,1,IF(calendar[[#This Row],[Month]]&lt;7,2,IF(calendar[[#This Row],[Month]]&lt;10,3,4)))</f>
        <v>4</v>
      </c>
      <c r="L1755">
        <f>IFERROR(IF(VLOOKUP(calendar[[#This Row],[Date]],BH!A:A,1,)&lt;&gt;"",1,0),0)</f>
        <v>0</v>
      </c>
      <c r="M1755">
        <f>IFERROR(IF(VLOOKUP(calendar[[#This Row],[Date]],BH!C:C,1,)&lt;&gt;"",1,0),0)</f>
        <v>0</v>
      </c>
      <c r="N1755">
        <f>IFERROR(IF(VLOOKUP(calendar[[#This Row],[Date]],BH!E:E,1,)&lt;&gt;"",1,0),0)</f>
        <v>0</v>
      </c>
      <c r="O1755">
        <f>IFERROR(IF(VLOOKUP(calendar[[#This Row],[Date]],BH!G:G,1,)&lt;&gt;"",1,0),0)</f>
        <v>0</v>
      </c>
      <c r="P1755">
        <f>IF(OR(calendar[[#This Row],[UK_BH]]=1,calendar[[#This Row],[WeekDay]]=1, calendar[[#This Row],[WeekDay]]=7),P1754,P1754+1)</f>
        <v>1253</v>
      </c>
      <c r="Q1755">
        <f>IF(OR(calendar[[#This Row],[FR_BH]]=1,calendar[[#This Row],[WeekDay]]=1, calendar[[#This Row],[WeekDay]]=7),P1754,P1754+1)</f>
        <v>1253</v>
      </c>
      <c r="R1755">
        <f>IF(OR(calendar[[#This Row],[SP_BH]]=1,calendar[[#This Row],[WeekDay]]=1, calendar[[#This Row],[WeekDay]]=7),P1754,P1754+1)</f>
        <v>1253</v>
      </c>
      <c r="S1755">
        <f>IF(OR(calendar[[#This Row],[PT_BH]]=1,calendar[[#This Row],[WeekDay]]=1, calendar[[#This Row],[WeekDay]]=7),P1754,P1754+1)</f>
        <v>1253</v>
      </c>
    </row>
    <row r="1756" spans="1:19" x14ac:dyDescent="0.25">
      <c r="A1756" s="2">
        <v>44490</v>
      </c>
      <c r="B1756" s="1">
        <f t="shared" si="138"/>
        <v>43</v>
      </c>
      <c r="C1756">
        <f t="shared" si="140"/>
        <v>10</v>
      </c>
      <c r="D1756" t="str">
        <f t="shared" si="141"/>
        <v>October</v>
      </c>
      <c r="E1756">
        <f t="shared" si="142"/>
        <v>2021</v>
      </c>
      <c r="F1756" t="str">
        <f>CONCATENATE(calendar[[#This Row],[Month]],"/",calendar[[#This Row],[Year]])</f>
        <v>10/2021</v>
      </c>
      <c r="G1756">
        <f>WEEKDAY(calendar[[#This Row],[Date]],1)</f>
        <v>5</v>
      </c>
      <c r="H1756" t="str">
        <f>TEXT(calendar[[#This Row],[WeekDay]],"dddd")</f>
        <v>Thursday</v>
      </c>
      <c r="I1756">
        <f>IF((INT(calendar[[#This Row],[Count]]/7)-calendar[[#This Row],[Count]]/7)&lt;0,I1755,I1755+1)</f>
        <v>251</v>
      </c>
      <c r="J1756">
        <f t="shared" si="139"/>
        <v>1754</v>
      </c>
      <c r="K1756">
        <f>IF(calendar[[#This Row],[Month]]&lt;4,1,IF(calendar[[#This Row],[Month]]&lt;7,2,IF(calendar[[#This Row],[Month]]&lt;10,3,4)))</f>
        <v>4</v>
      </c>
      <c r="L1756">
        <f>IFERROR(IF(VLOOKUP(calendar[[#This Row],[Date]],BH!A:A,1,)&lt;&gt;"",1,0),0)</f>
        <v>0</v>
      </c>
      <c r="M1756">
        <f>IFERROR(IF(VLOOKUP(calendar[[#This Row],[Date]],BH!C:C,1,)&lt;&gt;"",1,0),0)</f>
        <v>0</v>
      </c>
      <c r="N1756">
        <f>IFERROR(IF(VLOOKUP(calendar[[#This Row],[Date]],BH!E:E,1,)&lt;&gt;"",1,0),0)</f>
        <v>0</v>
      </c>
      <c r="O1756">
        <f>IFERROR(IF(VLOOKUP(calendar[[#This Row],[Date]],BH!G:G,1,)&lt;&gt;"",1,0),0)</f>
        <v>0</v>
      </c>
      <c r="P1756">
        <f>IF(OR(calendar[[#This Row],[UK_BH]]=1,calendar[[#This Row],[WeekDay]]=1, calendar[[#This Row],[WeekDay]]=7),P1755,P1755+1)</f>
        <v>1254</v>
      </c>
      <c r="Q1756">
        <f>IF(OR(calendar[[#This Row],[FR_BH]]=1,calendar[[#This Row],[WeekDay]]=1, calendar[[#This Row],[WeekDay]]=7),P1755,P1755+1)</f>
        <v>1254</v>
      </c>
      <c r="R1756">
        <f>IF(OR(calendar[[#This Row],[SP_BH]]=1,calendar[[#This Row],[WeekDay]]=1, calendar[[#This Row],[WeekDay]]=7),P1755,P1755+1)</f>
        <v>1254</v>
      </c>
      <c r="S1756">
        <f>IF(OR(calendar[[#This Row],[PT_BH]]=1,calendar[[#This Row],[WeekDay]]=1, calendar[[#This Row],[WeekDay]]=7),P1755,P1755+1)</f>
        <v>1254</v>
      </c>
    </row>
    <row r="1757" spans="1:19" x14ac:dyDescent="0.25">
      <c r="A1757" s="2">
        <v>44491</v>
      </c>
      <c r="B1757" s="1">
        <f t="shared" si="138"/>
        <v>43</v>
      </c>
      <c r="C1757">
        <f t="shared" si="140"/>
        <v>10</v>
      </c>
      <c r="D1757" t="str">
        <f t="shared" si="141"/>
        <v>October</v>
      </c>
      <c r="E1757">
        <f t="shared" si="142"/>
        <v>2021</v>
      </c>
      <c r="F1757" t="str">
        <f>CONCATENATE(calendar[[#This Row],[Month]],"/",calendar[[#This Row],[Year]])</f>
        <v>10/2021</v>
      </c>
      <c r="G1757">
        <f>WEEKDAY(calendar[[#This Row],[Date]],1)</f>
        <v>6</v>
      </c>
      <c r="H1757" t="str">
        <f>TEXT(calendar[[#This Row],[WeekDay]],"dddd")</f>
        <v>Friday</v>
      </c>
      <c r="I1757">
        <f>IF((INT(calendar[[#This Row],[Count]]/7)-calendar[[#This Row],[Count]]/7)&lt;0,I1756,I1756+1)</f>
        <v>251</v>
      </c>
      <c r="J1757">
        <f t="shared" si="139"/>
        <v>1755</v>
      </c>
      <c r="K1757">
        <f>IF(calendar[[#This Row],[Month]]&lt;4,1,IF(calendar[[#This Row],[Month]]&lt;7,2,IF(calendar[[#This Row],[Month]]&lt;10,3,4)))</f>
        <v>4</v>
      </c>
      <c r="L1757">
        <f>IFERROR(IF(VLOOKUP(calendar[[#This Row],[Date]],BH!A:A,1,)&lt;&gt;"",1,0),0)</f>
        <v>0</v>
      </c>
      <c r="M1757">
        <f>IFERROR(IF(VLOOKUP(calendar[[#This Row],[Date]],BH!C:C,1,)&lt;&gt;"",1,0),0)</f>
        <v>0</v>
      </c>
      <c r="N1757">
        <f>IFERROR(IF(VLOOKUP(calendar[[#This Row],[Date]],BH!E:E,1,)&lt;&gt;"",1,0),0)</f>
        <v>0</v>
      </c>
      <c r="O1757">
        <f>IFERROR(IF(VLOOKUP(calendar[[#This Row],[Date]],BH!G:G,1,)&lt;&gt;"",1,0),0)</f>
        <v>0</v>
      </c>
      <c r="P1757">
        <f>IF(OR(calendar[[#This Row],[UK_BH]]=1,calendar[[#This Row],[WeekDay]]=1, calendar[[#This Row],[WeekDay]]=7),P1756,P1756+1)</f>
        <v>1255</v>
      </c>
      <c r="Q1757">
        <f>IF(OR(calendar[[#This Row],[FR_BH]]=1,calendar[[#This Row],[WeekDay]]=1, calendar[[#This Row],[WeekDay]]=7),P1756,P1756+1)</f>
        <v>1255</v>
      </c>
      <c r="R1757">
        <f>IF(OR(calendar[[#This Row],[SP_BH]]=1,calendar[[#This Row],[WeekDay]]=1, calendar[[#This Row],[WeekDay]]=7),P1756,P1756+1)</f>
        <v>1255</v>
      </c>
      <c r="S1757">
        <f>IF(OR(calendar[[#This Row],[PT_BH]]=1,calendar[[#This Row],[WeekDay]]=1, calendar[[#This Row],[WeekDay]]=7),P1756,P1756+1)</f>
        <v>1255</v>
      </c>
    </row>
    <row r="1758" spans="1:19" x14ac:dyDescent="0.25">
      <c r="A1758" s="2">
        <v>44492</v>
      </c>
      <c r="B1758" s="1">
        <f t="shared" si="138"/>
        <v>43</v>
      </c>
      <c r="C1758">
        <f t="shared" si="140"/>
        <v>10</v>
      </c>
      <c r="D1758" t="str">
        <f t="shared" si="141"/>
        <v>October</v>
      </c>
      <c r="E1758">
        <f t="shared" si="142"/>
        <v>2021</v>
      </c>
      <c r="F1758" t="str">
        <f>CONCATENATE(calendar[[#This Row],[Month]],"/",calendar[[#This Row],[Year]])</f>
        <v>10/2021</v>
      </c>
      <c r="G1758">
        <f>WEEKDAY(calendar[[#This Row],[Date]],1)</f>
        <v>7</v>
      </c>
      <c r="H1758" t="str">
        <f>TEXT(calendar[[#This Row],[WeekDay]],"dddd")</f>
        <v>Saturday</v>
      </c>
      <c r="I1758">
        <f>IF((INT(calendar[[#This Row],[Count]]/7)-calendar[[#This Row],[Count]]/7)&lt;0,I1757,I1757+1)</f>
        <v>251</v>
      </c>
      <c r="J1758">
        <f t="shared" si="139"/>
        <v>1756</v>
      </c>
      <c r="K1758">
        <f>IF(calendar[[#This Row],[Month]]&lt;4,1,IF(calendar[[#This Row],[Month]]&lt;7,2,IF(calendar[[#This Row],[Month]]&lt;10,3,4)))</f>
        <v>4</v>
      </c>
      <c r="L1758">
        <f>IFERROR(IF(VLOOKUP(calendar[[#This Row],[Date]],BH!A:A,1,)&lt;&gt;"",1,0),0)</f>
        <v>0</v>
      </c>
      <c r="M1758">
        <f>IFERROR(IF(VLOOKUP(calendar[[#This Row],[Date]],BH!C:C,1,)&lt;&gt;"",1,0),0)</f>
        <v>0</v>
      </c>
      <c r="N1758">
        <f>IFERROR(IF(VLOOKUP(calendar[[#This Row],[Date]],BH!E:E,1,)&lt;&gt;"",1,0),0)</f>
        <v>0</v>
      </c>
      <c r="O1758">
        <f>IFERROR(IF(VLOOKUP(calendar[[#This Row],[Date]],BH!G:G,1,)&lt;&gt;"",1,0),0)</f>
        <v>0</v>
      </c>
      <c r="P1758">
        <f>IF(OR(calendar[[#This Row],[UK_BH]]=1,calendar[[#This Row],[WeekDay]]=1, calendar[[#This Row],[WeekDay]]=7),P1757,P1757+1)</f>
        <v>1255</v>
      </c>
      <c r="Q1758">
        <f>IF(OR(calendar[[#This Row],[FR_BH]]=1,calendar[[#This Row],[WeekDay]]=1, calendar[[#This Row],[WeekDay]]=7),P1757,P1757+1)</f>
        <v>1255</v>
      </c>
      <c r="R1758">
        <f>IF(OR(calendar[[#This Row],[SP_BH]]=1,calendar[[#This Row],[WeekDay]]=1, calendar[[#This Row],[WeekDay]]=7),P1757,P1757+1)</f>
        <v>1255</v>
      </c>
      <c r="S1758">
        <f>IF(OR(calendar[[#This Row],[PT_BH]]=1,calendar[[#This Row],[WeekDay]]=1, calendar[[#This Row],[WeekDay]]=7),P1757,P1757+1)</f>
        <v>1255</v>
      </c>
    </row>
    <row r="1759" spans="1:19" x14ac:dyDescent="0.25">
      <c r="A1759" s="2">
        <v>44493</v>
      </c>
      <c r="B1759" s="1">
        <f t="shared" si="138"/>
        <v>44</v>
      </c>
      <c r="C1759">
        <f t="shared" si="140"/>
        <v>10</v>
      </c>
      <c r="D1759" t="str">
        <f t="shared" si="141"/>
        <v>October</v>
      </c>
      <c r="E1759">
        <f t="shared" si="142"/>
        <v>2021</v>
      </c>
      <c r="F1759" t="str">
        <f>CONCATENATE(calendar[[#This Row],[Month]],"/",calendar[[#This Row],[Year]])</f>
        <v>10/2021</v>
      </c>
      <c r="G1759">
        <f>WEEKDAY(calendar[[#This Row],[Date]],1)</f>
        <v>1</v>
      </c>
      <c r="H1759" t="str">
        <f>TEXT(calendar[[#This Row],[WeekDay]],"dddd")</f>
        <v>Sunday</v>
      </c>
      <c r="I1759">
        <f>IF((INT(calendar[[#This Row],[Count]]/7)-calendar[[#This Row],[Count]]/7)&lt;0,I1758,I1758+1)</f>
        <v>252</v>
      </c>
      <c r="J1759">
        <f t="shared" si="139"/>
        <v>1757</v>
      </c>
      <c r="K1759">
        <f>IF(calendar[[#This Row],[Month]]&lt;4,1,IF(calendar[[#This Row],[Month]]&lt;7,2,IF(calendar[[#This Row],[Month]]&lt;10,3,4)))</f>
        <v>4</v>
      </c>
      <c r="L1759">
        <f>IFERROR(IF(VLOOKUP(calendar[[#This Row],[Date]],BH!A:A,1,)&lt;&gt;"",1,0),0)</f>
        <v>0</v>
      </c>
      <c r="M1759">
        <f>IFERROR(IF(VLOOKUP(calendar[[#This Row],[Date]],BH!C:C,1,)&lt;&gt;"",1,0),0)</f>
        <v>0</v>
      </c>
      <c r="N1759">
        <f>IFERROR(IF(VLOOKUP(calendar[[#This Row],[Date]],BH!E:E,1,)&lt;&gt;"",1,0),0)</f>
        <v>0</v>
      </c>
      <c r="O1759">
        <f>IFERROR(IF(VLOOKUP(calendar[[#This Row],[Date]],BH!G:G,1,)&lt;&gt;"",1,0),0)</f>
        <v>0</v>
      </c>
      <c r="P1759">
        <f>IF(OR(calendar[[#This Row],[UK_BH]]=1,calendar[[#This Row],[WeekDay]]=1, calendar[[#This Row],[WeekDay]]=7),P1758,P1758+1)</f>
        <v>1255</v>
      </c>
      <c r="Q1759">
        <f>IF(OR(calendar[[#This Row],[FR_BH]]=1,calendar[[#This Row],[WeekDay]]=1, calendar[[#This Row],[WeekDay]]=7),P1758,P1758+1)</f>
        <v>1255</v>
      </c>
      <c r="R1759">
        <f>IF(OR(calendar[[#This Row],[SP_BH]]=1,calendar[[#This Row],[WeekDay]]=1, calendar[[#This Row],[WeekDay]]=7),P1758,P1758+1)</f>
        <v>1255</v>
      </c>
      <c r="S1759">
        <f>IF(OR(calendar[[#This Row],[PT_BH]]=1,calendar[[#This Row],[WeekDay]]=1, calendar[[#This Row],[WeekDay]]=7),P1758,P1758+1)</f>
        <v>1255</v>
      </c>
    </row>
    <row r="1760" spans="1:19" x14ac:dyDescent="0.25">
      <c r="A1760" s="2">
        <v>44494</v>
      </c>
      <c r="B1760" s="1">
        <f t="shared" si="138"/>
        <v>44</v>
      </c>
      <c r="C1760">
        <f t="shared" si="140"/>
        <v>10</v>
      </c>
      <c r="D1760" t="str">
        <f t="shared" si="141"/>
        <v>October</v>
      </c>
      <c r="E1760">
        <f t="shared" si="142"/>
        <v>2021</v>
      </c>
      <c r="F1760" t="str">
        <f>CONCATENATE(calendar[[#This Row],[Month]],"/",calendar[[#This Row],[Year]])</f>
        <v>10/2021</v>
      </c>
      <c r="G1760">
        <f>WEEKDAY(calendar[[#This Row],[Date]],1)</f>
        <v>2</v>
      </c>
      <c r="H1760" t="str">
        <f>TEXT(calendar[[#This Row],[WeekDay]],"dddd")</f>
        <v>Monday</v>
      </c>
      <c r="I1760">
        <f>IF((INT(calendar[[#This Row],[Count]]/7)-calendar[[#This Row],[Count]]/7)&lt;0,I1759,I1759+1)</f>
        <v>252</v>
      </c>
      <c r="J1760">
        <f t="shared" si="139"/>
        <v>1758</v>
      </c>
      <c r="K1760">
        <f>IF(calendar[[#This Row],[Month]]&lt;4,1,IF(calendar[[#This Row],[Month]]&lt;7,2,IF(calendar[[#This Row],[Month]]&lt;10,3,4)))</f>
        <v>4</v>
      </c>
      <c r="L1760">
        <f>IFERROR(IF(VLOOKUP(calendar[[#This Row],[Date]],BH!A:A,1,)&lt;&gt;"",1,0),0)</f>
        <v>0</v>
      </c>
      <c r="M1760">
        <f>IFERROR(IF(VLOOKUP(calendar[[#This Row],[Date]],BH!C:C,1,)&lt;&gt;"",1,0),0)</f>
        <v>0</v>
      </c>
      <c r="N1760">
        <f>IFERROR(IF(VLOOKUP(calendar[[#This Row],[Date]],BH!E:E,1,)&lt;&gt;"",1,0),0)</f>
        <v>0</v>
      </c>
      <c r="O1760">
        <f>IFERROR(IF(VLOOKUP(calendar[[#This Row],[Date]],BH!G:G,1,)&lt;&gt;"",1,0),0)</f>
        <v>0</v>
      </c>
      <c r="P1760">
        <f>IF(OR(calendar[[#This Row],[UK_BH]]=1,calendar[[#This Row],[WeekDay]]=1, calendar[[#This Row],[WeekDay]]=7),P1759,P1759+1)</f>
        <v>1256</v>
      </c>
      <c r="Q1760">
        <f>IF(OR(calendar[[#This Row],[FR_BH]]=1,calendar[[#This Row],[WeekDay]]=1, calendar[[#This Row],[WeekDay]]=7),P1759,P1759+1)</f>
        <v>1256</v>
      </c>
      <c r="R1760">
        <f>IF(OR(calendar[[#This Row],[SP_BH]]=1,calendar[[#This Row],[WeekDay]]=1, calendar[[#This Row],[WeekDay]]=7),P1759,P1759+1)</f>
        <v>1256</v>
      </c>
      <c r="S1760">
        <f>IF(OR(calendar[[#This Row],[PT_BH]]=1,calendar[[#This Row],[WeekDay]]=1, calendar[[#This Row],[WeekDay]]=7),P1759,P1759+1)</f>
        <v>1256</v>
      </c>
    </row>
    <row r="1761" spans="1:19" x14ac:dyDescent="0.25">
      <c r="A1761" s="2">
        <v>44495</v>
      </c>
      <c r="B1761" s="1">
        <f t="shared" si="138"/>
        <v>44</v>
      </c>
      <c r="C1761">
        <f t="shared" si="140"/>
        <v>10</v>
      </c>
      <c r="D1761" t="str">
        <f t="shared" si="141"/>
        <v>October</v>
      </c>
      <c r="E1761">
        <f t="shared" si="142"/>
        <v>2021</v>
      </c>
      <c r="F1761" t="str">
        <f>CONCATENATE(calendar[[#This Row],[Month]],"/",calendar[[#This Row],[Year]])</f>
        <v>10/2021</v>
      </c>
      <c r="G1761">
        <f>WEEKDAY(calendar[[#This Row],[Date]],1)</f>
        <v>3</v>
      </c>
      <c r="H1761" t="str">
        <f>TEXT(calendar[[#This Row],[WeekDay]],"dddd")</f>
        <v>Tuesday</v>
      </c>
      <c r="I1761">
        <f>IF((INT(calendar[[#This Row],[Count]]/7)-calendar[[#This Row],[Count]]/7)&lt;0,I1760,I1760+1)</f>
        <v>252</v>
      </c>
      <c r="J1761">
        <f t="shared" si="139"/>
        <v>1759</v>
      </c>
      <c r="K1761">
        <f>IF(calendar[[#This Row],[Month]]&lt;4,1,IF(calendar[[#This Row],[Month]]&lt;7,2,IF(calendar[[#This Row],[Month]]&lt;10,3,4)))</f>
        <v>4</v>
      </c>
      <c r="L1761">
        <f>IFERROR(IF(VLOOKUP(calendar[[#This Row],[Date]],BH!A:A,1,)&lt;&gt;"",1,0),0)</f>
        <v>0</v>
      </c>
      <c r="M1761">
        <f>IFERROR(IF(VLOOKUP(calendar[[#This Row],[Date]],BH!C:C,1,)&lt;&gt;"",1,0),0)</f>
        <v>0</v>
      </c>
      <c r="N1761">
        <f>IFERROR(IF(VLOOKUP(calendar[[#This Row],[Date]],BH!E:E,1,)&lt;&gt;"",1,0),0)</f>
        <v>0</v>
      </c>
      <c r="O1761">
        <f>IFERROR(IF(VLOOKUP(calendar[[#This Row],[Date]],BH!G:G,1,)&lt;&gt;"",1,0),0)</f>
        <v>0</v>
      </c>
      <c r="P1761">
        <f>IF(OR(calendar[[#This Row],[UK_BH]]=1,calendar[[#This Row],[WeekDay]]=1, calendar[[#This Row],[WeekDay]]=7),P1760,P1760+1)</f>
        <v>1257</v>
      </c>
      <c r="Q1761">
        <f>IF(OR(calendar[[#This Row],[FR_BH]]=1,calendar[[#This Row],[WeekDay]]=1, calendar[[#This Row],[WeekDay]]=7),P1760,P1760+1)</f>
        <v>1257</v>
      </c>
      <c r="R1761">
        <f>IF(OR(calendar[[#This Row],[SP_BH]]=1,calendar[[#This Row],[WeekDay]]=1, calendar[[#This Row],[WeekDay]]=7),P1760,P1760+1)</f>
        <v>1257</v>
      </c>
      <c r="S1761">
        <f>IF(OR(calendar[[#This Row],[PT_BH]]=1,calendar[[#This Row],[WeekDay]]=1, calendar[[#This Row],[WeekDay]]=7),P1760,P1760+1)</f>
        <v>1257</v>
      </c>
    </row>
    <row r="1762" spans="1:19" x14ac:dyDescent="0.25">
      <c r="A1762" s="2">
        <v>44496</v>
      </c>
      <c r="B1762" s="1">
        <f t="shared" si="138"/>
        <v>44</v>
      </c>
      <c r="C1762">
        <f t="shared" si="140"/>
        <v>10</v>
      </c>
      <c r="D1762" t="str">
        <f t="shared" si="141"/>
        <v>October</v>
      </c>
      <c r="E1762">
        <f t="shared" si="142"/>
        <v>2021</v>
      </c>
      <c r="F1762" t="str">
        <f>CONCATENATE(calendar[[#This Row],[Month]],"/",calendar[[#This Row],[Year]])</f>
        <v>10/2021</v>
      </c>
      <c r="G1762">
        <f>WEEKDAY(calendar[[#This Row],[Date]],1)</f>
        <v>4</v>
      </c>
      <c r="H1762" t="str">
        <f>TEXT(calendar[[#This Row],[WeekDay]],"dddd")</f>
        <v>Wednesday</v>
      </c>
      <c r="I1762">
        <f>IF((INT(calendar[[#This Row],[Count]]/7)-calendar[[#This Row],[Count]]/7)&lt;0,I1761,I1761+1)</f>
        <v>252</v>
      </c>
      <c r="J1762">
        <f t="shared" si="139"/>
        <v>1760</v>
      </c>
      <c r="K1762">
        <f>IF(calendar[[#This Row],[Month]]&lt;4,1,IF(calendar[[#This Row],[Month]]&lt;7,2,IF(calendar[[#This Row],[Month]]&lt;10,3,4)))</f>
        <v>4</v>
      </c>
      <c r="L1762">
        <f>IFERROR(IF(VLOOKUP(calendar[[#This Row],[Date]],BH!A:A,1,)&lt;&gt;"",1,0),0)</f>
        <v>0</v>
      </c>
      <c r="M1762">
        <f>IFERROR(IF(VLOOKUP(calendar[[#This Row],[Date]],BH!C:C,1,)&lt;&gt;"",1,0),0)</f>
        <v>0</v>
      </c>
      <c r="N1762">
        <f>IFERROR(IF(VLOOKUP(calendar[[#This Row],[Date]],BH!E:E,1,)&lt;&gt;"",1,0),0)</f>
        <v>0</v>
      </c>
      <c r="O1762">
        <f>IFERROR(IF(VLOOKUP(calendar[[#This Row],[Date]],BH!G:G,1,)&lt;&gt;"",1,0),0)</f>
        <v>0</v>
      </c>
      <c r="P1762">
        <f>IF(OR(calendar[[#This Row],[UK_BH]]=1,calendar[[#This Row],[WeekDay]]=1, calendar[[#This Row],[WeekDay]]=7),P1761,P1761+1)</f>
        <v>1258</v>
      </c>
      <c r="Q1762">
        <f>IF(OR(calendar[[#This Row],[FR_BH]]=1,calendar[[#This Row],[WeekDay]]=1, calendar[[#This Row],[WeekDay]]=7),P1761,P1761+1)</f>
        <v>1258</v>
      </c>
      <c r="R1762">
        <f>IF(OR(calendar[[#This Row],[SP_BH]]=1,calendar[[#This Row],[WeekDay]]=1, calendar[[#This Row],[WeekDay]]=7),P1761,P1761+1)</f>
        <v>1258</v>
      </c>
      <c r="S1762">
        <f>IF(OR(calendar[[#This Row],[PT_BH]]=1,calendar[[#This Row],[WeekDay]]=1, calendar[[#This Row],[WeekDay]]=7),P1761,P1761+1)</f>
        <v>1258</v>
      </c>
    </row>
    <row r="1763" spans="1:19" x14ac:dyDescent="0.25">
      <c r="A1763" s="2">
        <v>44497</v>
      </c>
      <c r="B1763" s="1">
        <f t="shared" si="138"/>
        <v>44</v>
      </c>
      <c r="C1763">
        <f t="shared" si="140"/>
        <v>10</v>
      </c>
      <c r="D1763" t="str">
        <f t="shared" si="141"/>
        <v>October</v>
      </c>
      <c r="E1763">
        <f t="shared" si="142"/>
        <v>2021</v>
      </c>
      <c r="F1763" t="str">
        <f>CONCATENATE(calendar[[#This Row],[Month]],"/",calendar[[#This Row],[Year]])</f>
        <v>10/2021</v>
      </c>
      <c r="G1763">
        <f>WEEKDAY(calendar[[#This Row],[Date]],1)</f>
        <v>5</v>
      </c>
      <c r="H1763" t="str">
        <f>TEXT(calendar[[#This Row],[WeekDay]],"dddd")</f>
        <v>Thursday</v>
      </c>
      <c r="I1763">
        <f>IF((INT(calendar[[#This Row],[Count]]/7)-calendar[[#This Row],[Count]]/7)&lt;0,I1762,I1762+1)</f>
        <v>252</v>
      </c>
      <c r="J1763">
        <f t="shared" si="139"/>
        <v>1761</v>
      </c>
      <c r="K1763">
        <f>IF(calendar[[#This Row],[Month]]&lt;4,1,IF(calendar[[#This Row],[Month]]&lt;7,2,IF(calendar[[#This Row],[Month]]&lt;10,3,4)))</f>
        <v>4</v>
      </c>
      <c r="L1763">
        <f>IFERROR(IF(VLOOKUP(calendar[[#This Row],[Date]],BH!A:A,1,)&lt;&gt;"",1,0),0)</f>
        <v>0</v>
      </c>
      <c r="M1763">
        <f>IFERROR(IF(VLOOKUP(calendar[[#This Row],[Date]],BH!C:C,1,)&lt;&gt;"",1,0),0)</f>
        <v>0</v>
      </c>
      <c r="N1763">
        <f>IFERROR(IF(VLOOKUP(calendar[[#This Row],[Date]],BH!E:E,1,)&lt;&gt;"",1,0),0)</f>
        <v>0</v>
      </c>
      <c r="O1763">
        <f>IFERROR(IF(VLOOKUP(calendar[[#This Row],[Date]],BH!G:G,1,)&lt;&gt;"",1,0),0)</f>
        <v>0</v>
      </c>
      <c r="P1763">
        <f>IF(OR(calendar[[#This Row],[UK_BH]]=1,calendar[[#This Row],[WeekDay]]=1, calendar[[#This Row],[WeekDay]]=7),P1762,P1762+1)</f>
        <v>1259</v>
      </c>
      <c r="Q1763">
        <f>IF(OR(calendar[[#This Row],[FR_BH]]=1,calendar[[#This Row],[WeekDay]]=1, calendar[[#This Row],[WeekDay]]=7),P1762,P1762+1)</f>
        <v>1259</v>
      </c>
      <c r="R1763">
        <f>IF(OR(calendar[[#This Row],[SP_BH]]=1,calendar[[#This Row],[WeekDay]]=1, calendar[[#This Row],[WeekDay]]=7),P1762,P1762+1)</f>
        <v>1259</v>
      </c>
      <c r="S1763">
        <f>IF(OR(calendar[[#This Row],[PT_BH]]=1,calendar[[#This Row],[WeekDay]]=1, calendar[[#This Row],[WeekDay]]=7),P1762,P1762+1)</f>
        <v>1259</v>
      </c>
    </row>
    <row r="1764" spans="1:19" x14ac:dyDescent="0.25">
      <c r="A1764" s="2">
        <v>44498</v>
      </c>
      <c r="B1764" s="1">
        <f t="shared" si="138"/>
        <v>44</v>
      </c>
      <c r="C1764">
        <f t="shared" si="140"/>
        <v>10</v>
      </c>
      <c r="D1764" t="str">
        <f t="shared" si="141"/>
        <v>October</v>
      </c>
      <c r="E1764">
        <f t="shared" si="142"/>
        <v>2021</v>
      </c>
      <c r="F1764" t="str">
        <f>CONCATENATE(calendar[[#This Row],[Month]],"/",calendar[[#This Row],[Year]])</f>
        <v>10/2021</v>
      </c>
      <c r="G1764">
        <f>WEEKDAY(calendar[[#This Row],[Date]],1)</f>
        <v>6</v>
      </c>
      <c r="H1764" t="str">
        <f>TEXT(calendar[[#This Row],[WeekDay]],"dddd")</f>
        <v>Friday</v>
      </c>
      <c r="I1764">
        <f>IF((INT(calendar[[#This Row],[Count]]/7)-calendar[[#This Row],[Count]]/7)&lt;0,I1763,I1763+1)</f>
        <v>252</v>
      </c>
      <c r="J1764">
        <f t="shared" si="139"/>
        <v>1762</v>
      </c>
      <c r="K1764">
        <f>IF(calendar[[#This Row],[Month]]&lt;4,1,IF(calendar[[#This Row],[Month]]&lt;7,2,IF(calendar[[#This Row],[Month]]&lt;10,3,4)))</f>
        <v>4</v>
      </c>
      <c r="L1764">
        <f>IFERROR(IF(VLOOKUP(calendar[[#This Row],[Date]],BH!A:A,1,)&lt;&gt;"",1,0),0)</f>
        <v>0</v>
      </c>
      <c r="M1764">
        <f>IFERROR(IF(VLOOKUP(calendar[[#This Row],[Date]],BH!C:C,1,)&lt;&gt;"",1,0),0)</f>
        <v>0</v>
      </c>
      <c r="N1764">
        <f>IFERROR(IF(VLOOKUP(calendar[[#This Row],[Date]],BH!E:E,1,)&lt;&gt;"",1,0),0)</f>
        <v>0</v>
      </c>
      <c r="O1764">
        <f>IFERROR(IF(VLOOKUP(calendar[[#This Row],[Date]],BH!G:G,1,)&lt;&gt;"",1,0),0)</f>
        <v>0</v>
      </c>
      <c r="P1764">
        <f>IF(OR(calendar[[#This Row],[UK_BH]]=1,calendar[[#This Row],[WeekDay]]=1, calendar[[#This Row],[WeekDay]]=7),P1763,P1763+1)</f>
        <v>1260</v>
      </c>
      <c r="Q1764">
        <f>IF(OR(calendar[[#This Row],[FR_BH]]=1,calendar[[#This Row],[WeekDay]]=1, calendar[[#This Row],[WeekDay]]=7),P1763,P1763+1)</f>
        <v>1260</v>
      </c>
      <c r="R1764">
        <f>IF(OR(calendar[[#This Row],[SP_BH]]=1,calendar[[#This Row],[WeekDay]]=1, calendar[[#This Row],[WeekDay]]=7),P1763,P1763+1)</f>
        <v>1260</v>
      </c>
      <c r="S1764">
        <f>IF(OR(calendar[[#This Row],[PT_BH]]=1,calendar[[#This Row],[WeekDay]]=1, calendar[[#This Row],[WeekDay]]=7),P1763,P1763+1)</f>
        <v>1260</v>
      </c>
    </row>
    <row r="1765" spans="1:19" x14ac:dyDescent="0.25">
      <c r="A1765" s="2">
        <v>44499</v>
      </c>
      <c r="B1765" s="1">
        <f t="shared" si="138"/>
        <v>44</v>
      </c>
      <c r="C1765">
        <f t="shared" si="140"/>
        <v>10</v>
      </c>
      <c r="D1765" t="str">
        <f t="shared" si="141"/>
        <v>October</v>
      </c>
      <c r="E1765">
        <f t="shared" si="142"/>
        <v>2021</v>
      </c>
      <c r="F1765" t="str">
        <f>CONCATENATE(calendar[[#This Row],[Month]],"/",calendar[[#This Row],[Year]])</f>
        <v>10/2021</v>
      </c>
      <c r="G1765">
        <f>WEEKDAY(calendar[[#This Row],[Date]],1)</f>
        <v>7</v>
      </c>
      <c r="H1765" t="str">
        <f>TEXT(calendar[[#This Row],[WeekDay]],"dddd")</f>
        <v>Saturday</v>
      </c>
      <c r="I1765">
        <f>IF((INT(calendar[[#This Row],[Count]]/7)-calendar[[#This Row],[Count]]/7)&lt;0,I1764,I1764+1)</f>
        <v>252</v>
      </c>
      <c r="J1765">
        <f t="shared" si="139"/>
        <v>1763</v>
      </c>
      <c r="K1765">
        <f>IF(calendar[[#This Row],[Month]]&lt;4,1,IF(calendar[[#This Row],[Month]]&lt;7,2,IF(calendar[[#This Row],[Month]]&lt;10,3,4)))</f>
        <v>4</v>
      </c>
      <c r="L1765">
        <f>IFERROR(IF(VLOOKUP(calendar[[#This Row],[Date]],BH!A:A,1,)&lt;&gt;"",1,0),0)</f>
        <v>0</v>
      </c>
      <c r="M1765">
        <f>IFERROR(IF(VLOOKUP(calendar[[#This Row],[Date]],BH!C:C,1,)&lt;&gt;"",1,0),0)</f>
        <v>0</v>
      </c>
      <c r="N1765">
        <f>IFERROR(IF(VLOOKUP(calendar[[#This Row],[Date]],BH!E:E,1,)&lt;&gt;"",1,0),0)</f>
        <v>0</v>
      </c>
      <c r="O1765">
        <f>IFERROR(IF(VLOOKUP(calendar[[#This Row],[Date]],BH!G:G,1,)&lt;&gt;"",1,0),0)</f>
        <v>0</v>
      </c>
      <c r="P1765">
        <f>IF(OR(calendar[[#This Row],[UK_BH]]=1,calendar[[#This Row],[WeekDay]]=1, calendar[[#This Row],[WeekDay]]=7),P1764,P1764+1)</f>
        <v>1260</v>
      </c>
      <c r="Q1765">
        <f>IF(OR(calendar[[#This Row],[FR_BH]]=1,calendar[[#This Row],[WeekDay]]=1, calendar[[#This Row],[WeekDay]]=7),P1764,P1764+1)</f>
        <v>1260</v>
      </c>
      <c r="R1765">
        <f>IF(OR(calendar[[#This Row],[SP_BH]]=1,calendar[[#This Row],[WeekDay]]=1, calendar[[#This Row],[WeekDay]]=7),P1764,P1764+1)</f>
        <v>1260</v>
      </c>
      <c r="S1765">
        <f>IF(OR(calendar[[#This Row],[PT_BH]]=1,calendar[[#This Row],[WeekDay]]=1, calendar[[#This Row],[WeekDay]]=7),P1764,P1764+1)</f>
        <v>1260</v>
      </c>
    </row>
    <row r="1766" spans="1:19" x14ac:dyDescent="0.25">
      <c r="A1766" s="2">
        <v>44500</v>
      </c>
      <c r="B1766" s="1">
        <f t="shared" si="138"/>
        <v>45</v>
      </c>
      <c r="C1766">
        <f t="shared" si="140"/>
        <v>10</v>
      </c>
      <c r="D1766" t="str">
        <f t="shared" si="141"/>
        <v>October</v>
      </c>
      <c r="E1766">
        <f t="shared" si="142"/>
        <v>2021</v>
      </c>
      <c r="F1766" t="str">
        <f>CONCATENATE(calendar[[#This Row],[Month]],"/",calendar[[#This Row],[Year]])</f>
        <v>10/2021</v>
      </c>
      <c r="G1766">
        <f>WEEKDAY(calendar[[#This Row],[Date]],1)</f>
        <v>1</v>
      </c>
      <c r="H1766" t="str">
        <f>TEXT(calendar[[#This Row],[WeekDay]],"dddd")</f>
        <v>Sunday</v>
      </c>
      <c r="I1766">
        <f>IF((INT(calendar[[#This Row],[Count]]/7)-calendar[[#This Row],[Count]]/7)&lt;0,I1765,I1765+1)</f>
        <v>253</v>
      </c>
      <c r="J1766">
        <f t="shared" si="139"/>
        <v>1764</v>
      </c>
      <c r="K1766">
        <f>IF(calendar[[#This Row],[Month]]&lt;4,1,IF(calendar[[#This Row],[Month]]&lt;7,2,IF(calendar[[#This Row],[Month]]&lt;10,3,4)))</f>
        <v>4</v>
      </c>
      <c r="L1766">
        <f>IFERROR(IF(VLOOKUP(calendar[[#This Row],[Date]],BH!A:A,1,)&lt;&gt;"",1,0),0)</f>
        <v>0</v>
      </c>
      <c r="M1766">
        <f>IFERROR(IF(VLOOKUP(calendar[[#This Row],[Date]],BH!C:C,1,)&lt;&gt;"",1,0),0)</f>
        <v>0</v>
      </c>
      <c r="N1766">
        <f>IFERROR(IF(VLOOKUP(calendar[[#This Row],[Date]],BH!E:E,1,)&lt;&gt;"",1,0),0)</f>
        <v>0</v>
      </c>
      <c r="O1766">
        <f>IFERROR(IF(VLOOKUP(calendar[[#This Row],[Date]],BH!G:G,1,)&lt;&gt;"",1,0),0)</f>
        <v>0</v>
      </c>
      <c r="P1766">
        <f>IF(OR(calendar[[#This Row],[UK_BH]]=1,calendar[[#This Row],[WeekDay]]=1, calendar[[#This Row],[WeekDay]]=7),P1765,P1765+1)</f>
        <v>1260</v>
      </c>
      <c r="Q1766">
        <f>IF(OR(calendar[[#This Row],[FR_BH]]=1,calendar[[#This Row],[WeekDay]]=1, calendar[[#This Row],[WeekDay]]=7),P1765,P1765+1)</f>
        <v>1260</v>
      </c>
      <c r="R1766">
        <f>IF(OR(calendar[[#This Row],[SP_BH]]=1,calendar[[#This Row],[WeekDay]]=1, calendar[[#This Row],[WeekDay]]=7),P1765,P1765+1)</f>
        <v>1260</v>
      </c>
      <c r="S1766">
        <f>IF(OR(calendar[[#This Row],[PT_BH]]=1,calendar[[#This Row],[WeekDay]]=1, calendar[[#This Row],[WeekDay]]=7),P1765,P1765+1)</f>
        <v>1260</v>
      </c>
    </row>
    <row r="1767" spans="1:19" x14ac:dyDescent="0.25">
      <c r="A1767" s="2">
        <v>44501</v>
      </c>
      <c r="B1767" s="1">
        <f t="shared" si="138"/>
        <v>45</v>
      </c>
      <c r="C1767">
        <f t="shared" si="140"/>
        <v>11</v>
      </c>
      <c r="D1767" t="str">
        <f t="shared" si="141"/>
        <v>November</v>
      </c>
      <c r="E1767">
        <f t="shared" si="142"/>
        <v>2021</v>
      </c>
      <c r="F1767" t="str">
        <f>CONCATENATE(calendar[[#This Row],[Month]],"/",calendar[[#This Row],[Year]])</f>
        <v>11/2021</v>
      </c>
      <c r="G1767">
        <f>WEEKDAY(calendar[[#This Row],[Date]],1)</f>
        <v>2</v>
      </c>
      <c r="H1767" t="str">
        <f>TEXT(calendar[[#This Row],[WeekDay]],"dddd")</f>
        <v>Monday</v>
      </c>
      <c r="I1767">
        <f>IF((INT(calendar[[#This Row],[Count]]/7)-calendar[[#This Row],[Count]]/7)&lt;0,I1766,I1766+1)</f>
        <v>253</v>
      </c>
      <c r="J1767">
        <f t="shared" si="139"/>
        <v>1765</v>
      </c>
      <c r="K1767">
        <f>IF(calendar[[#This Row],[Month]]&lt;4,1,IF(calendar[[#This Row],[Month]]&lt;7,2,IF(calendar[[#This Row],[Month]]&lt;10,3,4)))</f>
        <v>4</v>
      </c>
      <c r="L1767">
        <f>IFERROR(IF(VLOOKUP(calendar[[#This Row],[Date]],BH!A:A,1,)&lt;&gt;"",1,0),0)</f>
        <v>0</v>
      </c>
      <c r="M1767">
        <f>IFERROR(IF(VLOOKUP(calendar[[#This Row],[Date]],BH!C:C,1,)&lt;&gt;"",1,0),0)</f>
        <v>0</v>
      </c>
      <c r="N1767">
        <f>IFERROR(IF(VLOOKUP(calendar[[#This Row],[Date]],BH!E:E,1,)&lt;&gt;"",1,0),0)</f>
        <v>0</v>
      </c>
      <c r="O1767">
        <f>IFERROR(IF(VLOOKUP(calendar[[#This Row],[Date]],BH!G:G,1,)&lt;&gt;"",1,0),0)</f>
        <v>0</v>
      </c>
      <c r="P1767">
        <f>IF(OR(calendar[[#This Row],[UK_BH]]=1,calendar[[#This Row],[WeekDay]]=1, calendar[[#This Row],[WeekDay]]=7),P1766,P1766+1)</f>
        <v>1261</v>
      </c>
      <c r="Q1767">
        <f>IF(OR(calendar[[#This Row],[FR_BH]]=1,calendar[[#This Row],[WeekDay]]=1, calendar[[#This Row],[WeekDay]]=7),P1766,P1766+1)</f>
        <v>1261</v>
      </c>
      <c r="R1767">
        <f>IF(OR(calendar[[#This Row],[SP_BH]]=1,calendar[[#This Row],[WeekDay]]=1, calendar[[#This Row],[WeekDay]]=7),P1766,P1766+1)</f>
        <v>1261</v>
      </c>
      <c r="S1767">
        <f>IF(OR(calendar[[#This Row],[PT_BH]]=1,calendar[[#This Row],[WeekDay]]=1, calendar[[#This Row],[WeekDay]]=7),P1766,P1766+1)</f>
        <v>1261</v>
      </c>
    </row>
    <row r="1768" spans="1:19" x14ac:dyDescent="0.25">
      <c r="A1768" s="2">
        <v>44502</v>
      </c>
      <c r="B1768" s="1">
        <f t="shared" si="138"/>
        <v>45</v>
      </c>
      <c r="C1768">
        <f t="shared" si="140"/>
        <v>11</v>
      </c>
      <c r="D1768" t="str">
        <f t="shared" si="141"/>
        <v>November</v>
      </c>
      <c r="E1768">
        <f t="shared" si="142"/>
        <v>2021</v>
      </c>
      <c r="F1768" t="str">
        <f>CONCATENATE(calendar[[#This Row],[Month]],"/",calendar[[#This Row],[Year]])</f>
        <v>11/2021</v>
      </c>
      <c r="G1768">
        <f>WEEKDAY(calendar[[#This Row],[Date]],1)</f>
        <v>3</v>
      </c>
      <c r="H1768" t="str">
        <f>TEXT(calendar[[#This Row],[WeekDay]],"dddd")</f>
        <v>Tuesday</v>
      </c>
      <c r="I1768">
        <f>IF((INT(calendar[[#This Row],[Count]]/7)-calendar[[#This Row],[Count]]/7)&lt;0,I1767,I1767+1)</f>
        <v>253</v>
      </c>
      <c r="J1768">
        <f t="shared" si="139"/>
        <v>1766</v>
      </c>
      <c r="K1768">
        <f>IF(calendar[[#This Row],[Month]]&lt;4,1,IF(calendar[[#This Row],[Month]]&lt;7,2,IF(calendar[[#This Row],[Month]]&lt;10,3,4)))</f>
        <v>4</v>
      </c>
      <c r="L1768">
        <f>IFERROR(IF(VLOOKUP(calendar[[#This Row],[Date]],BH!A:A,1,)&lt;&gt;"",1,0),0)</f>
        <v>0</v>
      </c>
      <c r="M1768">
        <f>IFERROR(IF(VLOOKUP(calendar[[#This Row],[Date]],BH!C:C,1,)&lt;&gt;"",1,0),0)</f>
        <v>0</v>
      </c>
      <c r="N1768">
        <f>IFERROR(IF(VLOOKUP(calendar[[#This Row],[Date]],BH!E:E,1,)&lt;&gt;"",1,0),0)</f>
        <v>0</v>
      </c>
      <c r="O1768">
        <f>IFERROR(IF(VLOOKUP(calendar[[#This Row],[Date]],BH!G:G,1,)&lt;&gt;"",1,0),0)</f>
        <v>0</v>
      </c>
      <c r="P1768">
        <f>IF(OR(calendar[[#This Row],[UK_BH]]=1,calendar[[#This Row],[WeekDay]]=1, calendar[[#This Row],[WeekDay]]=7),P1767,P1767+1)</f>
        <v>1262</v>
      </c>
      <c r="Q1768">
        <f>IF(OR(calendar[[#This Row],[FR_BH]]=1,calendar[[#This Row],[WeekDay]]=1, calendar[[#This Row],[WeekDay]]=7),P1767,P1767+1)</f>
        <v>1262</v>
      </c>
      <c r="R1768">
        <f>IF(OR(calendar[[#This Row],[SP_BH]]=1,calendar[[#This Row],[WeekDay]]=1, calendar[[#This Row],[WeekDay]]=7),P1767,P1767+1)</f>
        <v>1262</v>
      </c>
      <c r="S1768">
        <f>IF(OR(calendar[[#This Row],[PT_BH]]=1,calendar[[#This Row],[WeekDay]]=1, calendar[[#This Row],[WeekDay]]=7),P1767,P1767+1)</f>
        <v>1262</v>
      </c>
    </row>
    <row r="1769" spans="1:19" x14ac:dyDescent="0.25">
      <c r="A1769" s="2">
        <v>44503</v>
      </c>
      <c r="B1769" s="1">
        <f t="shared" si="138"/>
        <v>45</v>
      </c>
      <c r="C1769">
        <f t="shared" si="140"/>
        <v>11</v>
      </c>
      <c r="D1769" t="str">
        <f t="shared" si="141"/>
        <v>November</v>
      </c>
      <c r="E1769">
        <f t="shared" si="142"/>
        <v>2021</v>
      </c>
      <c r="F1769" t="str">
        <f>CONCATENATE(calendar[[#This Row],[Month]],"/",calendar[[#This Row],[Year]])</f>
        <v>11/2021</v>
      </c>
      <c r="G1769">
        <f>WEEKDAY(calendar[[#This Row],[Date]],1)</f>
        <v>4</v>
      </c>
      <c r="H1769" t="str">
        <f>TEXT(calendar[[#This Row],[WeekDay]],"dddd")</f>
        <v>Wednesday</v>
      </c>
      <c r="I1769">
        <f>IF((INT(calendar[[#This Row],[Count]]/7)-calendar[[#This Row],[Count]]/7)&lt;0,I1768,I1768+1)</f>
        <v>253</v>
      </c>
      <c r="J1769">
        <f t="shared" si="139"/>
        <v>1767</v>
      </c>
      <c r="K1769">
        <f>IF(calendar[[#This Row],[Month]]&lt;4,1,IF(calendar[[#This Row],[Month]]&lt;7,2,IF(calendar[[#This Row],[Month]]&lt;10,3,4)))</f>
        <v>4</v>
      </c>
      <c r="L1769">
        <f>IFERROR(IF(VLOOKUP(calendar[[#This Row],[Date]],BH!A:A,1,)&lt;&gt;"",1,0),0)</f>
        <v>0</v>
      </c>
      <c r="M1769">
        <f>IFERROR(IF(VLOOKUP(calendar[[#This Row],[Date]],BH!C:C,1,)&lt;&gt;"",1,0),0)</f>
        <v>0</v>
      </c>
      <c r="N1769">
        <f>IFERROR(IF(VLOOKUP(calendar[[#This Row],[Date]],BH!E:E,1,)&lt;&gt;"",1,0),0)</f>
        <v>0</v>
      </c>
      <c r="O1769">
        <f>IFERROR(IF(VLOOKUP(calendar[[#This Row],[Date]],BH!G:G,1,)&lt;&gt;"",1,0),0)</f>
        <v>0</v>
      </c>
      <c r="P1769">
        <f>IF(OR(calendar[[#This Row],[UK_BH]]=1,calendar[[#This Row],[WeekDay]]=1, calendar[[#This Row],[WeekDay]]=7),P1768,P1768+1)</f>
        <v>1263</v>
      </c>
      <c r="Q1769">
        <f>IF(OR(calendar[[#This Row],[FR_BH]]=1,calendar[[#This Row],[WeekDay]]=1, calendar[[#This Row],[WeekDay]]=7),P1768,P1768+1)</f>
        <v>1263</v>
      </c>
      <c r="R1769">
        <f>IF(OR(calendar[[#This Row],[SP_BH]]=1,calendar[[#This Row],[WeekDay]]=1, calendar[[#This Row],[WeekDay]]=7),P1768,P1768+1)</f>
        <v>1263</v>
      </c>
      <c r="S1769">
        <f>IF(OR(calendar[[#This Row],[PT_BH]]=1,calendar[[#This Row],[WeekDay]]=1, calendar[[#This Row],[WeekDay]]=7),P1768,P1768+1)</f>
        <v>1263</v>
      </c>
    </row>
    <row r="1770" spans="1:19" x14ac:dyDescent="0.25">
      <c r="A1770" s="2">
        <v>44504</v>
      </c>
      <c r="B1770" s="1">
        <f t="shared" si="138"/>
        <v>45</v>
      </c>
      <c r="C1770">
        <f t="shared" si="140"/>
        <v>11</v>
      </c>
      <c r="D1770" t="str">
        <f t="shared" si="141"/>
        <v>November</v>
      </c>
      <c r="E1770">
        <f t="shared" si="142"/>
        <v>2021</v>
      </c>
      <c r="F1770" t="str">
        <f>CONCATENATE(calendar[[#This Row],[Month]],"/",calendar[[#This Row],[Year]])</f>
        <v>11/2021</v>
      </c>
      <c r="G1770">
        <f>WEEKDAY(calendar[[#This Row],[Date]],1)</f>
        <v>5</v>
      </c>
      <c r="H1770" t="str">
        <f>TEXT(calendar[[#This Row],[WeekDay]],"dddd")</f>
        <v>Thursday</v>
      </c>
      <c r="I1770">
        <f>IF((INT(calendar[[#This Row],[Count]]/7)-calendar[[#This Row],[Count]]/7)&lt;0,I1769,I1769+1)</f>
        <v>253</v>
      </c>
      <c r="J1770">
        <f t="shared" si="139"/>
        <v>1768</v>
      </c>
      <c r="K1770">
        <f>IF(calendar[[#This Row],[Month]]&lt;4,1,IF(calendar[[#This Row],[Month]]&lt;7,2,IF(calendar[[#This Row],[Month]]&lt;10,3,4)))</f>
        <v>4</v>
      </c>
      <c r="L1770">
        <f>IFERROR(IF(VLOOKUP(calendar[[#This Row],[Date]],BH!A:A,1,)&lt;&gt;"",1,0),0)</f>
        <v>0</v>
      </c>
      <c r="M1770">
        <f>IFERROR(IF(VLOOKUP(calendar[[#This Row],[Date]],BH!C:C,1,)&lt;&gt;"",1,0),0)</f>
        <v>0</v>
      </c>
      <c r="N1770">
        <f>IFERROR(IF(VLOOKUP(calendar[[#This Row],[Date]],BH!E:E,1,)&lt;&gt;"",1,0),0)</f>
        <v>0</v>
      </c>
      <c r="O1770">
        <f>IFERROR(IF(VLOOKUP(calendar[[#This Row],[Date]],BH!G:G,1,)&lt;&gt;"",1,0),0)</f>
        <v>0</v>
      </c>
      <c r="P1770">
        <f>IF(OR(calendar[[#This Row],[UK_BH]]=1,calendar[[#This Row],[WeekDay]]=1, calendar[[#This Row],[WeekDay]]=7),P1769,P1769+1)</f>
        <v>1264</v>
      </c>
      <c r="Q1770">
        <f>IF(OR(calendar[[#This Row],[FR_BH]]=1,calendar[[#This Row],[WeekDay]]=1, calendar[[#This Row],[WeekDay]]=7),P1769,P1769+1)</f>
        <v>1264</v>
      </c>
      <c r="R1770">
        <f>IF(OR(calendar[[#This Row],[SP_BH]]=1,calendar[[#This Row],[WeekDay]]=1, calendar[[#This Row],[WeekDay]]=7),P1769,P1769+1)</f>
        <v>1264</v>
      </c>
      <c r="S1770">
        <f>IF(OR(calendar[[#This Row],[PT_BH]]=1,calendar[[#This Row],[WeekDay]]=1, calendar[[#This Row],[WeekDay]]=7),P1769,P1769+1)</f>
        <v>1264</v>
      </c>
    </row>
    <row r="1771" spans="1:19" x14ac:dyDescent="0.25">
      <c r="A1771" s="2">
        <v>44505</v>
      </c>
      <c r="B1771" s="1">
        <f t="shared" si="138"/>
        <v>45</v>
      </c>
      <c r="C1771">
        <f t="shared" si="140"/>
        <v>11</v>
      </c>
      <c r="D1771" t="str">
        <f t="shared" si="141"/>
        <v>November</v>
      </c>
      <c r="E1771">
        <f t="shared" si="142"/>
        <v>2021</v>
      </c>
      <c r="F1771" t="str">
        <f>CONCATENATE(calendar[[#This Row],[Month]],"/",calendar[[#This Row],[Year]])</f>
        <v>11/2021</v>
      </c>
      <c r="G1771">
        <f>WEEKDAY(calendar[[#This Row],[Date]],1)</f>
        <v>6</v>
      </c>
      <c r="H1771" t="str">
        <f>TEXT(calendar[[#This Row],[WeekDay]],"dddd")</f>
        <v>Friday</v>
      </c>
      <c r="I1771">
        <f>IF((INT(calendar[[#This Row],[Count]]/7)-calendar[[#This Row],[Count]]/7)&lt;0,I1770,I1770+1)</f>
        <v>253</v>
      </c>
      <c r="J1771">
        <f t="shared" si="139"/>
        <v>1769</v>
      </c>
      <c r="K1771">
        <f>IF(calendar[[#This Row],[Month]]&lt;4,1,IF(calendar[[#This Row],[Month]]&lt;7,2,IF(calendar[[#This Row],[Month]]&lt;10,3,4)))</f>
        <v>4</v>
      </c>
      <c r="L1771">
        <f>IFERROR(IF(VLOOKUP(calendar[[#This Row],[Date]],BH!A:A,1,)&lt;&gt;"",1,0),0)</f>
        <v>0</v>
      </c>
      <c r="M1771">
        <f>IFERROR(IF(VLOOKUP(calendar[[#This Row],[Date]],BH!C:C,1,)&lt;&gt;"",1,0),0)</f>
        <v>0</v>
      </c>
      <c r="N1771">
        <f>IFERROR(IF(VLOOKUP(calendar[[#This Row],[Date]],BH!E:E,1,)&lt;&gt;"",1,0),0)</f>
        <v>0</v>
      </c>
      <c r="O1771">
        <f>IFERROR(IF(VLOOKUP(calendar[[#This Row],[Date]],BH!G:G,1,)&lt;&gt;"",1,0),0)</f>
        <v>0</v>
      </c>
      <c r="P1771">
        <f>IF(OR(calendar[[#This Row],[UK_BH]]=1,calendar[[#This Row],[WeekDay]]=1, calendar[[#This Row],[WeekDay]]=7),P1770,P1770+1)</f>
        <v>1265</v>
      </c>
      <c r="Q1771">
        <f>IF(OR(calendar[[#This Row],[FR_BH]]=1,calendar[[#This Row],[WeekDay]]=1, calendar[[#This Row],[WeekDay]]=7),P1770,P1770+1)</f>
        <v>1265</v>
      </c>
      <c r="R1771">
        <f>IF(OR(calendar[[#This Row],[SP_BH]]=1,calendar[[#This Row],[WeekDay]]=1, calendar[[#This Row],[WeekDay]]=7),P1770,P1770+1)</f>
        <v>1265</v>
      </c>
      <c r="S1771">
        <f>IF(OR(calendar[[#This Row],[PT_BH]]=1,calendar[[#This Row],[WeekDay]]=1, calendar[[#This Row],[WeekDay]]=7),P1770,P1770+1)</f>
        <v>1265</v>
      </c>
    </row>
    <row r="1772" spans="1:19" x14ac:dyDescent="0.25">
      <c r="A1772" s="2">
        <v>44506</v>
      </c>
      <c r="B1772" s="1">
        <f t="shared" si="138"/>
        <v>45</v>
      </c>
      <c r="C1772">
        <f t="shared" si="140"/>
        <v>11</v>
      </c>
      <c r="D1772" t="str">
        <f t="shared" si="141"/>
        <v>November</v>
      </c>
      <c r="E1772">
        <f t="shared" si="142"/>
        <v>2021</v>
      </c>
      <c r="F1772" t="str">
        <f>CONCATENATE(calendar[[#This Row],[Month]],"/",calendar[[#This Row],[Year]])</f>
        <v>11/2021</v>
      </c>
      <c r="G1772">
        <f>WEEKDAY(calendar[[#This Row],[Date]],1)</f>
        <v>7</v>
      </c>
      <c r="H1772" t="str">
        <f>TEXT(calendar[[#This Row],[WeekDay]],"dddd")</f>
        <v>Saturday</v>
      </c>
      <c r="I1772">
        <f>IF((INT(calendar[[#This Row],[Count]]/7)-calendar[[#This Row],[Count]]/7)&lt;0,I1771,I1771+1)</f>
        <v>253</v>
      </c>
      <c r="J1772">
        <f t="shared" si="139"/>
        <v>1770</v>
      </c>
      <c r="K1772">
        <f>IF(calendar[[#This Row],[Month]]&lt;4,1,IF(calendar[[#This Row],[Month]]&lt;7,2,IF(calendar[[#This Row],[Month]]&lt;10,3,4)))</f>
        <v>4</v>
      </c>
      <c r="L1772">
        <f>IFERROR(IF(VLOOKUP(calendar[[#This Row],[Date]],BH!A:A,1,)&lt;&gt;"",1,0),0)</f>
        <v>0</v>
      </c>
      <c r="M1772">
        <f>IFERROR(IF(VLOOKUP(calendar[[#This Row],[Date]],BH!C:C,1,)&lt;&gt;"",1,0),0)</f>
        <v>0</v>
      </c>
      <c r="N1772">
        <f>IFERROR(IF(VLOOKUP(calendar[[#This Row],[Date]],BH!E:E,1,)&lt;&gt;"",1,0),0)</f>
        <v>0</v>
      </c>
      <c r="O1772">
        <f>IFERROR(IF(VLOOKUP(calendar[[#This Row],[Date]],BH!G:G,1,)&lt;&gt;"",1,0),0)</f>
        <v>0</v>
      </c>
      <c r="P1772">
        <f>IF(OR(calendar[[#This Row],[UK_BH]]=1,calendar[[#This Row],[WeekDay]]=1, calendar[[#This Row],[WeekDay]]=7),P1771,P1771+1)</f>
        <v>1265</v>
      </c>
      <c r="Q1772">
        <f>IF(OR(calendar[[#This Row],[FR_BH]]=1,calendar[[#This Row],[WeekDay]]=1, calendar[[#This Row],[WeekDay]]=7),P1771,P1771+1)</f>
        <v>1265</v>
      </c>
      <c r="R1772">
        <f>IF(OR(calendar[[#This Row],[SP_BH]]=1,calendar[[#This Row],[WeekDay]]=1, calendar[[#This Row],[WeekDay]]=7),P1771,P1771+1)</f>
        <v>1265</v>
      </c>
      <c r="S1772">
        <f>IF(OR(calendar[[#This Row],[PT_BH]]=1,calendar[[#This Row],[WeekDay]]=1, calendar[[#This Row],[WeekDay]]=7),P1771,P1771+1)</f>
        <v>1265</v>
      </c>
    </row>
    <row r="1773" spans="1:19" x14ac:dyDescent="0.25">
      <c r="A1773" s="2">
        <v>44507</v>
      </c>
      <c r="B1773" s="1">
        <f t="shared" si="138"/>
        <v>46</v>
      </c>
      <c r="C1773">
        <f t="shared" si="140"/>
        <v>11</v>
      </c>
      <c r="D1773" t="str">
        <f t="shared" si="141"/>
        <v>November</v>
      </c>
      <c r="E1773">
        <f t="shared" si="142"/>
        <v>2021</v>
      </c>
      <c r="F1773" t="str">
        <f>CONCATENATE(calendar[[#This Row],[Month]],"/",calendar[[#This Row],[Year]])</f>
        <v>11/2021</v>
      </c>
      <c r="G1773">
        <f>WEEKDAY(calendar[[#This Row],[Date]],1)</f>
        <v>1</v>
      </c>
      <c r="H1773" t="str">
        <f>TEXT(calendar[[#This Row],[WeekDay]],"dddd")</f>
        <v>Sunday</v>
      </c>
      <c r="I1773">
        <f>IF((INT(calendar[[#This Row],[Count]]/7)-calendar[[#This Row],[Count]]/7)&lt;0,I1772,I1772+1)</f>
        <v>254</v>
      </c>
      <c r="J1773">
        <f t="shared" si="139"/>
        <v>1771</v>
      </c>
      <c r="K1773">
        <f>IF(calendar[[#This Row],[Month]]&lt;4,1,IF(calendar[[#This Row],[Month]]&lt;7,2,IF(calendar[[#This Row],[Month]]&lt;10,3,4)))</f>
        <v>4</v>
      </c>
      <c r="L1773">
        <f>IFERROR(IF(VLOOKUP(calendar[[#This Row],[Date]],BH!A:A,1,)&lt;&gt;"",1,0),0)</f>
        <v>0</v>
      </c>
      <c r="M1773">
        <f>IFERROR(IF(VLOOKUP(calendar[[#This Row],[Date]],BH!C:C,1,)&lt;&gt;"",1,0),0)</f>
        <v>0</v>
      </c>
      <c r="N1773">
        <f>IFERROR(IF(VLOOKUP(calendar[[#This Row],[Date]],BH!E:E,1,)&lt;&gt;"",1,0),0)</f>
        <v>0</v>
      </c>
      <c r="O1773">
        <f>IFERROR(IF(VLOOKUP(calendar[[#This Row],[Date]],BH!G:G,1,)&lt;&gt;"",1,0),0)</f>
        <v>0</v>
      </c>
      <c r="P1773">
        <f>IF(OR(calendar[[#This Row],[UK_BH]]=1,calendar[[#This Row],[WeekDay]]=1, calendar[[#This Row],[WeekDay]]=7),P1772,P1772+1)</f>
        <v>1265</v>
      </c>
      <c r="Q1773">
        <f>IF(OR(calendar[[#This Row],[FR_BH]]=1,calendar[[#This Row],[WeekDay]]=1, calendar[[#This Row],[WeekDay]]=7),P1772,P1772+1)</f>
        <v>1265</v>
      </c>
      <c r="R1773">
        <f>IF(OR(calendar[[#This Row],[SP_BH]]=1,calendar[[#This Row],[WeekDay]]=1, calendar[[#This Row],[WeekDay]]=7),P1772,P1772+1)</f>
        <v>1265</v>
      </c>
      <c r="S1773">
        <f>IF(OR(calendar[[#This Row],[PT_BH]]=1,calendar[[#This Row],[WeekDay]]=1, calendar[[#This Row],[WeekDay]]=7),P1772,P1772+1)</f>
        <v>1265</v>
      </c>
    </row>
    <row r="1774" spans="1:19" x14ac:dyDescent="0.25">
      <c r="A1774" s="2">
        <v>44508</v>
      </c>
      <c r="B1774" s="1">
        <f t="shared" si="138"/>
        <v>46</v>
      </c>
      <c r="C1774">
        <f t="shared" si="140"/>
        <v>11</v>
      </c>
      <c r="D1774" t="str">
        <f t="shared" si="141"/>
        <v>November</v>
      </c>
      <c r="E1774">
        <f t="shared" si="142"/>
        <v>2021</v>
      </c>
      <c r="F1774" t="str">
        <f>CONCATENATE(calendar[[#This Row],[Month]],"/",calendar[[#This Row],[Year]])</f>
        <v>11/2021</v>
      </c>
      <c r="G1774">
        <f>WEEKDAY(calendar[[#This Row],[Date]],1)</f>
        <v>2</v>
      </c>
      <c r="H1774" t="str">
        <f>TEXT(calendar[[#This Row],[WeekDay]],"dddd")</f>
        <v>Monday</v>
      </c>
      <c r="I1774">
        <f>IF((INT(calendar[[#This Row],[Count]]/7)-calendar[[#This Row],[Count]]/7)&lt;0,I1773,I1773+1)</f>
        <v>254</v>
      </c>
      <c r="J1774">
        <f t="shared" si="139"/>
        <v>1772</v>
      </c>
      <c r="K1774">
        <f>IF(calendar[[#This Row],[Month]]&lt;4,1,IF(calendar[[#This Row],[Month]]&lt;7,2,IF(calendar[[#This Row],[Month]]&lt;10,3,4)))</f>
        <v>4</v>
      </c>
      <c r="L1774">
        <f>IFERROR(IF(VLOOKUP(calendar[[#This Row],[Date]],BH!A:A,1,)&lt;&gt;"",1,0),0)</f>
        <v>0</v>
      </c>
      <c r="M1774">
        <f>IFERROR(IF(VLOOKUP(calendar[[#This Row],[Date]],BH!C:C,1,)&lt;&gt;"",1,0),0)</f>
        <v>0</v>
      </c>
      <c r="N1774">
        <f>IFERROR(IF(VLOOKUP(calendar[[#This Row],[Date]],BH!E:E,1,)&lt;&gt;"",1,0),0)</f>
        <v>0</v>
      </c>
      <c r="O1774">
        <f>IFERROR(IF(VLOOKUP(calendar[[#This Row],[Date]],BH!G:G,1,)&lt;&gt;"",1,0),0)</f>
        <v>0</v>
      </c>
      <c r="P1774">
        <f>IF(OR(calendar[[#This Row],[UK_BH]]=1,calendar[[#This Row],[WeekDay]]=1, calendar[[#This Row],[WeekDay]]=7),P1773,P1773+1)</f>
        <v>1266</v>
      </c>
      <c r="Q1774">
        <f>IF(OR(calendar[[#This Row],[FR_BH]]=1,calendar[[#This Row],[WeekDay]]=1, calendar[[#This Row],[WeekDay]]=7),P1773,P1773+1)</f>
        <v>1266</v>
      </c>
      <c r="R1774">
        <f>IF(OR(calendar[[#This Row],[SP_BH]]=1,calendar[[#This Row],[WeekDay]]=1, calendar[[#This Row],[WeekDay]]=7),P1773,P1773+1)</f>
        <v>1266</v>
      </c>
      <c r="S1774">
        <f>IF(OR(calendar[[#This Row],[PT_BH]]=1,calendar[[#This Row],[WeekDay]]=1, calendar[[#This Row],[WeekDay]]=7),P1773,P1773+1)</f>
        <v>1266</v>
      </c>
    </row>
    <row r="1775" spans="1:19" x14ac:dyDescent="0.25">
      <c r="A1775" s="2">
        <v>44509</v>
      </c>
      <c r="B1775" s="1">
        <f t="shared" si="138"/>
        <v>46</v>
      </c>
      <c r="C1775">
        <f t="shared" si="140"/>
        <v>11</v>
      </c>
      <c r="D1775" t="str">
        <f t="shared" si="141"/>
        <v>November</v>
      </c>
      <c r="E1775">
        <f t="shared" si="142"/>
        <v>2021</v>
      </c>
      <c r="F1775" t="str">
        <f>CONCATENATE(calendar[[#This Row],[Month]],"/",calendar[[#This Row],[Year]])</f>
        <v>11/2021</v>
      </c>
      <c r="G1775">
        <f>WEEKDAY(calendar[[#This Row],[Date]],1)</f>
        <v>3</v>
      </c>
      <c r="H1775" t="str">
        <f>TEXT(calendar[[#This Row],[WeekDay]],"dddd")</f>
        <v>Tuesday</v>
      </c>
      <c r="I1775">
        <f>IF((INT(calendar[[#This Row],[Count]]/7)-calendar[[#This Row],[Count]]/7)&lt;0,I1774,I1774+1)</f>
        <v>254</v>
      </c>
      <c r="J1775">
        <f t="shared" si="139"/>
        <v>1773</v>
      </c>
      <c r="K1775">
        <f>IF(calendar[[#This Row],[Month]]&lt;4,1,IF(calendar[[#This Row],[Month]]&lt;7,2,IF(calendar[[#This Row],[Month]]&lt;10,3,4)))</f>
        <v>4</v>
      </c>
      <c r="L1775">
        <f>IFERROR(IF(VLOOKUP(calendar[[#This Row],[Date]],BH!A:A,1,)&lt;&gt;"",1,0),0)</f>
        <v>0</v>
      </c>
      <c r="M1775">
        <f>IFERROR(IF(VLOOKUP(calendar[[#This Row],[Date]],BH!C:C,1,)&lt;&gt;"",1,0),0)</f>
        <v>0</v>
      </c>
      <c r="N1775">
        <f>IFERROR(IF(VLOOKUP(calendar[[#This Row],[Date]],BH!E:E,1,)&lt;&gt;"",1,0),0)</f>
        <v>0</v>
      </c>
      <c r="O1775">
        <f>IFERROR(IF(VLOOKUP(calendar[[#This Row],[Date]],BH!G:G,1,)&lt;&gt;"",1,0),0)</f>
        <v>0</v>
      </c>
      <c r="P1775">
        <f>IF(OR(calendar[[#This Row],[UK_BH]]=1,calendar[[#This Row],[WeekDay]]=1, calendar[[#This Row],[WeekDay]]=7),P1774,P1774+1)</f>
        <v>1267</v>
      </c>
      <c r="Q1775">
        <f>IF(OR(calendar[[#This Row],[FR_BH]]=1,calendar[[#This Row],[WeekDay]]=1, calendar[[#This Row],[WeekDay]]=7),P1774,P1774+1)</f>
        <v>1267</v>
      </c>
      <c r="R1775">
        <f>IF(OR(calendar[[#This Row],[SP_BH]]=1,calendar[[#This Row],[WeekDay]]=1, calendar[[#This Row],[WeekDay]]=7),P1774,P1774+1)</f>
        <v>1267</v>
      </c>
      <c r="S1775">
        <f>IF(OR(calendar[[#This Row],[PT_BH]]=1,calendar[[#This Row],[WeekDay]]=1, calendar[[#This Row],[WeekDay]]=7),P1774,P1774+1)</f>
        <v>1267</v>
      </c>
    </row>
    <row r="1776" spans="1:19" x14ac:dyDescent="0.25">
      <c r="A1776" s="2">
        <v>44510</v>
      </c>
      <c r="B1776" s="1">
        <f t="shared" si="138"/>
        <v>46</v>
      </c>
      <c r="C1776">
        <f t="shared" si="140"/>
        <v>11</v>
      </c>
      <c r="D1776" t="str">
        <f t="shared" si="141"/>
        <v>November</v>
      </c>
      <c r="E1776">
        <f t="shared" si="142"/>
        <v>2021</v>
      </c>
      <c r="F1776" t="str">
        <f>CONCATENATE(calendar[[#This Row],[Month]],"/",calendar[[#This Row],[Year]])</f>
        <v>11/2021</v>
      </c>
      <c r="G1776">
        <f>WEEKDAY(calendar[[#This Row],[Date]],1)</f>
        <v>4</v>
      </c>
      <c r="H1776" t="str">
        <f>TEXT(calendar[[#This Row],[WeekDay]],"dddd")</f>
        <v>Wednesday</v>
      </c>
      <c r="I1776">
        <f>IF((INT(calendar[[#This Row],[Count]]/7)-calendar[[#This Row],[Count]]/7)&lt;0,I1775,I1775+1)</f>
        <v>254</v>
      </c>
      <c r="J1776">
        <f t="shared" si="139"/>
        <v>1774</v>
      </c>
      <c r="K1776">
        <f>IF(calendar[[#This Row],[Month]]&lt;4,1,IF(calendar[[#This Row],[Month]]&lt;7,2,IF(calendar[[#This Row],[Month]]&lt;10,3,4)))</f>
        <v>4</v>
      </c>
      <c r="L1776">
        <f>IFERROR(IF(VLOOKUP(calendar[[#This Row],[Date]],BH!A:A,1,)&lt;&gt;"",1,0),0)</f>
        <v>0</v>
      </c>
      <c r="M1776">
        <f>IFERROR(IF(VLOOKUP(calendar[[#This Row],[Date]],BH!C:C,1,)&lt;&gt;"",1,0),0)</f>
        <v>0</v>
      </c>
      <c r="N1776">
        <f>IFERROR(IF(VLOOKUP(calendar[[#This Row],[Date]],BH!E:E,1,)&lt;&gt;"",1,0),0)</f>
        <v>0</v>
      </c>
      <c r="O1776">
        <f>IFERROR(IF(VLOOKUP(calendar[[#This Row],[Date]],BH!G:G,1,)&lt;&gt;"",1,0),0)</f>
        <v>0</v>
      </c>
      <c r="P1776">
        <f>IF(OR(calendar[[#This Row],[UK_BH]]=1,calendar[[#This Row],[WeekDay]]=1, calendar[[#This Row],[WeekDay]]=7),P1775,P1775+1)</f>
        <v>1268</v>
      </c>
      <c r="Q1776">
        <f>IF(OR(calendar[[#This Row],[FR_BH]]=1,calendar[[#This Row],[WeekDay]]=1, calendar[[#This Row],[WeekDay]]=7),P1775,P1775+1)</f>
        <v>1268</v>
      </c>
      <c r="R1776">
        <f>IF(OR(calendar[[#This Row],[SP_BH]]=1,calendar[[#This Row],[WeekDay]]=1, calendar[[#This Row],[WeekDay]]=7),P1775,P1775+1)</f>
        <v>1268</v>
      </c>
      <c r="S1776">
        <f>IF(OR(calendar[[#This Row],[PT_BH]]=1,calendar[[#This Row],[WeekDay]]=1, calendar[[#This Row],[WeekDay]]=7),P1775,P1775+1)</f>
        <v>1268</v>
      </c>
    </row>
    <row r="1777" spans="1:19" x14ac:dyDescent="0.25">
      <c r="A1777" s="2">
        <v>44511</v>
      </c>
      <c r="B1777" s="1">
        <f t="shared" si="138"/>
        <v>46</v>
      </c>
      <c r="C1777">
        <f t="shared" si="140"/>
        <v>11</v>
      </c>
      <c r="D1777" t="str">
        <f t="shared" si="141"/>
        <v>November</v>
      </c>
      <c r="E1777">
        <f t="shared" si="142"/>
        <v>2021</v>
      </c>
      <c r="F1777" t="str">
        <f>CONCATENATE(calendar[[#This Row],[Month]],"/",calendar[[#This Row],[Year]])</f>
        <v>11/2021</v>
      </c>
      <c r="G1777">
        <f>WEEKDAY(calendar[[#This Row],[Date]],1)</f>
        <v>5</v>
      </c>
      <c r="H1777" t="str">
        <f>TEXT(calendar[[#This Row],[WeekDay]],"dddd")</f>
        <v>Thursday</v>
      </c>
      <c r="I1777">
        <f>IF((INT(calendar[[#This Row],[Count]]/7)-calendar[[#This Row],[Count]]/7)&lt;0,I1776,I1776+1)</f>
        <v>254</v>
      </c>
      <c r="J1777">
        <f t="shared" si="139"/>
        <v>1775</v>
      </c>
      <c r="K1777">
        <f>IF(calendar[[#This Row],[Month]]&lt;4,1,IF(calendar[[#This Row],[Month]]&lt;7,2,IF(calendar[[#This Row],[Month]]&lt;10,3,4)))</f>
        <v>4</v>
      </c>
      <c r="L1777">
        <f>IFERROR(IF(VLOOKUP(calendar[[#This Row],[Date]],BH!A:A,1,)&lt;&gt;"",1,0),0)</f>
        <v>0</v>
      </c>
      <c r="M1777">
        <f>IFERROR(IF(VLOOKUP(calendar[[#This Row],[Date]],BH!C:C,1,)&lt;&gt;"",1,0),0)</f>
        <v>0</v>
      </c>
      <c r="N1777">
        <f>IFERROR(IF(VLOOKUP(calendar[[#This Row],[Date]],BH!E:E,1,)&lt;&gt;"",1,0),0)</f>
        <v>0</v>
      </c>
      <c r="O1777">
        <f>IFERROR(IF(VLOOKUP(calendar[[#This Row],[Date]],BH!G:G,1,)&lt;&gt;"",1,0),0)</f>
        <v>0</v>
      </c>
      <c r="P1777">
        <f>IF(OR(calendar[[#This Row],[UK_BH]]=1,calendar[[#This Row],[WeekDay]]=1, calendar[[#This Row],[WeekDay]]=7),P1776,P1776+1)</f>
        <v>1269</v>
      </c>
      <c r="Q1777">
        <f>IF(OR(calendar[[#This Row],[FR_BH]]=1,calendar[[#This Row],[WeekDay]]=1, calendar[[#This Row],[WeekDay]]=7),P1776,P1776+1)</f>
        <v>1269</v>
      </c>
      <c r="R1777">
        <f>IF(OR(calendar[[#This Row],[SP_BH]]=1,calendar[[#This Row],[WeekDay]]=1, calendar[[#This Row],[WeekDay]]=7),P1776,P1776+1)</f>
        <v>1269</v>
      </c>
      <c r="S1777">
        <f>IF(OR(calendar[[#This Row],[PT_BH]]=1,calendar[[#This Row],[WeekDay]]=1, calendar[[#This Row],[WeekDay]]=7),P1776,P1776+1)</f>
        <v>1269</v>
      </c>
    </row>
    <row r="1778" spans="1:19" x14ac:dyDescent="0.25">
      <c r="A1778" s="2">
        <v>44512</v>
      </c>
      <c r="B1778" s="1">
        <f t="shared" si="138"/>
        <v>46</v>
      </c>
      <c r="C1778">
        <f t="shared" si="140"/>
        <v>11</v>
      </c>
      <c r="D1778" t="str">
        <f t="shared" si="141"/>
        <v>November</v>
      </c>
      <c r="E1778">
        <f t="shared" si="142"/>
        <v>2021</v>
      </c>
      <c r="F1778" t="str">
        <f>CONCATENATE(calendar[[#This Row],[Month]],"/",calendar[[#This Row],[Year]])</f>
        <v>11/2021</v>
      </c>
      <c r="G1778">
        <f>WEEKDAY(calendar[[#This Row],[Date]],1)</f>
        <v>6</v>
      </c>
      <c r="H1778" t="str">
        <f>TEXT(calendar[[#This Row],[WeekDay]],"dddd")</f>
        <v>Friday</v>
      </c>
      <c r="I1778">
        <f>IF((INT(calendar[[#This Row],[Count]]/7)-calendar[[#This Row],[Count]]/7)&lt;0,I1777,I1777+1)</f>
        <v>254</v>
      </c>
      <c r="J1778">
        <f t="shared" si="139"/>
        <v>1776</v>
      </c>
      <c r="K1778">
        <f>IF(calendar[[#This Row],[Month]]&lt;4,1,IF(calendar[[#This Row],[Month]]&lt;7,2,IF(calendar[[#This Row],[Month]]&lt;10,3,4)))</f>
        <v>4</v>
      </c>
      <c r="L1778">
        <f>IFERROR(IF(VLOOKUP(calendar[[#This Row],[Date]],BH!A:A,1,)&lt;&gt;"",1,0),0)</f>
        <v>0</v>
      </c>
      <c r="M1778">
        <f>IFERROR(IF(VLOOKUP(calendar[[#This Row],[Date]],BH!C:C,1,)&lt;&gt;"",1,0),0)</f>
        <v>0</v>
      </c>
      <c r="N1778">
        <f>IFERROR(IF(VLOOKUP(calendar[[#This Row],[Date]],BH!E:E,1,)&lt;&gt;"",1,0),0)</f>
        <v>0</v>
      </c>
      <c r="O1778">
        <f>IFERROR(IF(VLOOKUP(calendar[[#This Row],[Date]],BH!G:G,1,)&lt;&gt;"",1,0),0)</f>
        <v>0</v>
      </c>
      <c r="P1778">
        <f>IF(OR(calendar[[#This Row],[UK_BH]]=1,calendar[[#This Row],[WeekDay]]=1, calendar[[#This Row],[WeekDay]]=7),P1777,P1777+1)</f>
        <v>1270</v>
      </c>
      <c r="Q1778">
        <f>IF(OR(calendar[[#This Row],[FR_BH]]=1,calendar[[#This Row],[WeekDay]]=1, calendar[[#This Row],[WeekDay]]=7),P1777,P1777+1)</f>
        <v>1270</v>
      </c>
      <c r="R1778">
        <f>IF(OR(calendar[[#This Row],[SP_BH]]=1,calendar[[#This Row],[WeekDay]]=1, calendar[[#This Row],[WeekDay]]=7),P1777,P1777+1)</f>
        <v>1270</v>
      </c>
      <c r="S1778">
        <f>IF(OR(calendar[[#This Row],[PT_BH]]=1,calendar[[#This Row],[WeekDay]]=1, calendar[[#This Row],[WeekDay]]=7),P1777,P1777+1)</f>
        <v>1270</v>
      </c>
    </row>
    <row r="1779" spans="1:19" x14ac:dyDescent="0.25">
      <c r="A1779" s="2">
        <v>44513</v>
      </c>
      <c r="B1779" s="1">
        <f t="shared" si="138"/>
        <v>46</v>
      </c>
      <c r="C1779">
        <f t="shared" si="140"/>
        <v>11</v>
      </c>
      <c r="D1779" t="str">
        <f t="shared" si="141"/>
        <v>November</v>
      </c>
      <c r="E1779">
        <f t="shared" si="142"/>
        <v>2021</v>
      </c>
      <c r="F1779" t="str">
        <f>CONCATENATE(calendar[[#This Row],[Month]],"/",calendar[[#This Row],[Year]])</f>
        <v>11/2021</v>
      </c>
      <c r="G1779">
        <f>WEEKDAY(calendar[[#This Row],[Date]],1)</f>
        <v>7</v>
      </c>
      <c r="H1779" t="str">
        <f>TEXT(calendar[[#This Row],[WeekDay]],"dddd")</f>
        <v>Saturday</v>
      </c>
      <c r="I1779">
        <f>IF((INT(calendar[[#This Row],[Count]]/7)-calendar[[#This Row],[Count]]/7)&lt;0,I1778,I1778+1)</f>
        <v>254</v>
      </c>
      <c r="J1779">
        <f t="shared" si="139"/>
        <v>1777</v>
      </c>
      <c r="K1779">
        <f>IF(calendar[[#This Row],[Month]]&lt;4,1,IF(calendar[[#This Row],[Month]]&lt;7,2,IF(calendar[[#This Row],[Month]]&lt;10,3,4)))</f>
        <v>4</v>
      </c>
      <c r="L1779">
        <f>IFERROR(IF(VLOOKUP(calendar[[#This Row],[Date]],BH!A:A,1,)&lt;&gt;"",1,0),0)</f>
        <v>0</v>
      </c>
      <c r="M1779">
        <f>IFERROR(IF(VLOOKUP(calendar[[#This Row],[Date]],BH!C:C,1,)&lt;&gt;"",1,0),0)</f>
        <v>0</v>
      </c>
      <c r="N1779">
        <f>IFERROR(IF(VLOOKUP(calendar[[#This Row],[Date]],BH!E:E,1,)&lt;&gt;"",1,0),0)</f>
        <v>0</v>
      </c>
      <c r="O1779">
        <f>IFERROR(IF(VLOOKUP(calendar[[#This Row],[Date]],BH!G:G,1,)&lt;&gt;"",1,0),0)</f>
        <v>0</v>
      </c>
      <c r="P1779">
        <f>IF(OR(calendar[[#This Row],[UK_BH]]=1,calendar[[#This Row],[WeekDay]]=1, calendar[[#This Row],[WeekDay]]=7),P1778,P1778+1)</f>
        <v>1270</v>
      </c>
      <c r="Q1779">
        <f>IF(OR(calendar[[#This Row],[FR_BH]]=1,calendar[[#This Row],[WeekDay]]=1, calendar[[#This Row],[WeekDay]]=7),P1778,P1778+1)</f>
        <v>1270</v>
      </c>
      <c r="R1779">
        <f>IF(OR(calendar[[#This Row],[SP_BH]]=1,calendar[[#This Row],[WeekDay]]=1, calendar[[#This Row],[WeekDay]]=7),P1778,P1778+1)</f>
        <v>1270</v>
      </c>
      <c r="S1779">
        <f>IF(OR(calendar[[#This Row],[PT_BH]]=1,calendar[[#This Row],[WeekDay]]=1, calendar[[#This Row],[WeekDay]]=7),P1778,P1778+1)</f>
        <v>1270</v>
      </c>
    </row>
    <row r="1780" spans="1:19" x14ac:dyDescent="0.25">
      <c r="A1780" s="2">
        <v>44514</v>
      </c>
      <c r="B1780" s="1">
        <f t="shared" si="138"/>
        <v>47</v>
      </c>
      <c r="C1780">
        <f t="shared" si="140"/>
        <v>11</v>
      </c>
      <c r="D1780" t="str">
        <f t="shared" si="141"/>
        <v>November</v>
      </c>
      <c r="E1780">
        <f t="shared" si="142"/>
        <v>2021</v>
      </c>
      <c r="F1780" t="str">
        <f>CONCATENATE(calendar[[#This Row],[Month]],"/",calendar[[#This Row],[Year]])</f>
        <v>11/2021</v>
      </c>
      <c r="G1780">
        <f>WEEKDAY(calendar[[#This Row],[Date]],1)</f>
        <v>1</v>
      </c>
      <c r="H1780" t="str">
        <f>TEXT(calendar[[#This Row],[WeekDay]],"dddd")</f>
        <v>Sunday</v>
      </c>
      <c r="I1780">
        <f>IF((INT(calendar[[#This Row],[Count]]/7)-calendar[[#This Row],[Count]]/7)&lt;0,I1779,I1779+1)</f>
        <v>255</v>
      </c>
      <c r="J1780">
        <f t="shared" si="139"/>
        <v>1778</v>
      </c>
      <c r="K1780">
        <f>IF(calendar[[#This Row],[Month]]&lt;4,1,IF(calendar[[#This Row],[Month]]&lt;7,2,IF(calendar[[#This Row],[Month]]&lt;10,3,4)))</f>
        <v>4</v>
      </c>
      <c r="L1780">
        <f>IFERROR(IF(VLOOKUP(calendar[[#This Row],[Date]],BH!A:A,1,)&lt;&gt;"",1,0),0)</f>
        <v>0</v>
      </c>
      <c r="M1780">
        <f>IFERROR(IF(VLOOKUP(calendar[[#This Row],[Date]],BH!C:C,1,)&lt;&gt;"",1,0),0)</f>
        <v>0</v>
      </c>
      <c r="N1780">
        <f>IFERROR(IF(VLOOKUP(calendar[[#This Row],[Date]],BH!E:E,1,)&lt;&gt;"",1,0),0)</f>
        <v>0</v>
      </c>
      <c r="O1780">
        <f>IFERROR(IF(VLOOKUP(calendar[[#This Row],[Date]],BH!G:G,1,)&lt;&gt;"",1,0),0)</f>
        <v>0</v>
      </c>
      <c r="P1780">
        <f>IF(OR(calendar[[#This Row],[UK_BH]]=1,calendar[[#This Row],[WeekDay]]=1, calendar[[#This Row],[WeekDay]]=7),P1779,P1779+1)</f>
        <v>1270</v>
      </c>
      <c r="Q1780">
        <f>IF(OR(calendar[[#This Row],[FR_BH]]=1,calendar[[#This Row],[WeekDay]]=1, calendar[[#This Row],[WeekDay]]=7),P1779,P1779+1)</f>
        <v>1270</v>
      </c>
      <c r="R1780">
        <f>IF(OR(calendar[[#This Row],[SP_BH]]=1,calendar[[#This Row],[WeekDay]]=1, calendar[[#This Row],[WeekDay]]=7),P1779,P1779+1)</f>
        <v>1270</v>
      </c>
      <c r="S1780">
        <f>IF(OR(calendar[[#This Row],[PT_BH]]=1,calendar[[#This Row],[WeekDay]]=1, calendar[[#This Row],[WeekDay]]=7),P1779,P1779+1)</f>
        <v>1270</v>
      </c>
    </row>
    <row r="1781" spans="1:19" x14ac:dyDescent="0.25">
      <c r="A1781" s="2">
        <v>44515</v>
      </c>
      <c r="B1781" s="1">
        <f t="shared" si="138"/>
        <v>47</v>
      </c>
      <c r="C1781">
        <f t="shared" si="140"/>
        <v>11</v>
      </c>
      <c r="D1781" t="str">
        <f t="shared" si="141"/>
        <v>November</v>
      </c>
      <c r="E1781">
        <f t="shared" si="142"/>
        <v>2021</v>
      </c>
      <c r="F1781" t="str">
        <f>CONCATENATE(calendar[[#This Row],[Month]],"/",calendar[[#This Row],[Year]])</f>
        <v>11/2021</v>
      </c>
      <c r="G1781">
        <f>WEEKDAY(calendar[[#This Row],[Date]],1)</f>
        <v>2</v>
      </c>
      <c r="H1781" t="str">
        <f>TEXT(calendar[[#This Row],[WeekDay]],"dddd")</f>
        <v>Monday</v>
      </c>
      <c r="I1781">
        <f>IF((INT(calendar[[#This Row],[Count]]/7)-calendar[[#This Row],[Count]]/7)&lt;0,I1780,I1780+1)</f>
        <v>255</v>
      </c>
      <c r="J1781">
        <f t="shared" si="139"/>
        <v>1779</v>
      </c>
      <c r="K1781">
        <f>IF(calendar[[#This Row],[Month]]&lt;4,1,IF(calendar[[#This Row],[Month]]&lt;7,2,IF(calendar[[#This Row],[Month]]&lt;10,3,4)))</f>
        <v>4</v>
      </c>
      <c r="L1781">
        <f>IFERROR(IF(VLOOKUP(calendar[[#This Row],[Date]],BH!A:A,1,)&lt;&gt;"",1,0),0)</f>
        <v>0</v>
      </c>
      <c r="M1781">
        <f>IFERROR(IF(VLOOKUP(calendar[[#This Row],[Date]],BH!C:C,1,)&lt;&gt;"",1,0),0)</f>
        <v>0</v>
      </c>
      <c r="N1781">
        <f>IFERROR(IF(VLOOKUP(calendar[[#This Row],[Date]],BH!E:E,1,)&lt;&gt;"",1,0),0)</f>
        <v>0</v>
      </c>
      <c r="O1781">
        <f>IFERROR(IF(VLOOKUP(calendar[[#This Row],[Date]],BH!G:G,1,)&lt;&gt;"",1,0),0)</f>
        <v>0</v>
      </c>
      <c r="P1781">
        <f>IF(OR(calendar[[#This Row],[UK_BH]]=1,calendar[[#This Row],[WeekDay]]=1, calendar[[#This Row],[WeekDay]]=7),P1780,P1780+1)</f>
        <v>1271</v>
      </c>
      <c r="Q1781">
        <f>IF(OR(calendar[[#This Row],[FR_BH]]=1,calendar[[#This Row],[WeekDay]]=1, calendar[[#This Row],[WeekDay]]=7),P1780,P1780+1)</f>
        <v>1271</v>
      </c>
      <c r="R1781">
        <f>IF(OR(calendar[[#This Row],[SP_BH]]=1,calendar[[#This Row],[WeekDay]]=1, calendar[[#This Row],[WeekDay]]=7),P1780,P1780+1)</f>
        <v>1271</v>
      </c>
      <c r="S1781">
        <f>IF(OR(calendar[[#This Row],[PT_BH]]=1,calendar[[#This Row],[WeekDay]]=1, calendar[[#This Row],[WeekDay]]=7),P1780,P1780+1)</f>
        <v>1271</v>
      </c>
    </row>
    <row r="1782" spans="1:19" x14ac:dyDescent="0.25">
      <c r="A1782" s="2">
        <v>44516</v>
      </c>
      <c r="B1782" s="1">
        <f t="shared" si="138"/>
        <v>47</v>
      </c>
      <c r="C1782">
        <f t="shared" si="140"/>
        <v>11</v>
      </c>
      <c r="D1782" t="str">
        <f t="shared" si="141"/>
        <v>November</v>
      </c>
      <c r="E1782">
        <f t="shared" si="142"/>
        <v>2021</v>
      </c>
      <c r="F1782" t="str">
        <f>CONCATENATE(calendar[[#This Row],[Month]],"/",calendar[[#This Row],[Year]])</f>
        <v>11/2021</v>
      </c>
      <c r="G1782">
        <f>WEEKDAY(calendar[[#This Row],[Date]],1)</f>
        <v>3</v>
      </c>
      <c r="H1782" t="str">
        <f>TEXT(calendar[[#This Row],[WeekDay]],"dddd")</f>
        <v>Tuesday</v>
      </c>
      <c r="I1782">
        <f>IF((INT(calendar[[#This Row],[Count]]/7)-calendar[[#This Row],[Count]]/7)&lt;0,I1781,I1781+1)</f>
        <v>255</v>
      </c>
      <c r="J1782">
        <f t="shared" si="139"/>
        <v>1780</v>
      </c>
      <c r="K1782">
        <f>IF(calendar[[#This Row],[Month]]&lt;4,1,IF(calendar[[#This Row],[Month]]&lt;7,2,IF(calendar[[#This Row],[Month]]&lt;10,3,4)))</f>
        <v>4</v>
      </c>
      <c r="L1782">
        <f>IFERROR(IF(VLOOKUP(calendar[[#This Row],[Date]],BH!A:A,1,)&lt;&gt;"",1,0),0)</f>
        <v>0</v>
      </c>
      <c r="M1782">
        <f>IFERROR(IF(VLOOKUP(calendar[[#This Row],[Date]],BH!C:C,1,)&lt;&gt;"",1,0),0)</f>
        <v>0</v>
      </c>
      <c r="N1782">
        <f>IFERROR(IF(VLOOKUP(calendar[[#This Row],[Date]],BH!E:E,1,)&lt;&gt;"",1,0),0)</f>
        <v>0</v>
      </c>
      <c r="O1782">
        <f>IFERROR(IF(VLOOKUP(calendar[[#This Row],[Date]],BH!G:G,1,)&lt;&gt;"",1,0),0)</f>
        <v>0</v>
      </c>
      <c r="P1782">
        <f>IF(OR(calendar[[#This Row],[UK_BH]]=1,calendar[[#This Row],[WeekDay]]=1, calendar[[#This Row],[WeekDay]]=7),P1781,P1781+1)</f>
        <v>1272</v>
      </c>
      <c r="Q1782">
        <f>IF(OR(calendar[[#This Row],[FR_BH]]=1,calendar[[#This Row],[WeekDay]]=1, calendar[[#This Row],[WeekDay]]=7),P1781,P1781+1)</f>
        <v>1272</v>
      </c>
      <c r="R1782">
        <f>IF(OR(calendar[[#This Row],[SP_BH]]=1,calendar[[#This Row],[WeekDay]]=1, calendar[[#This Row],[WeekDay]]=7),P1781,P1781+1)</f>
        <v>1272</v>
      </c>
      <c r="S1782">
        <f>IF(OR(calendar[[#This Row],[PT_BH]]=1,calendar[[#This Row],[WeekDay]]=1, calendar[[#This Row],[WeekDay]]=7),P1781,P1781+1)</f>
        <v>1272</v>
      </c>
    </row>
    <row r="1783" spans="1:19" x14ac:dyDescent="0.25">
      <c r="A1783" s="2">
        <v>44517</v>
      </c>
      <c r="B1783" s="1">
        <f t="shared" si="138"/>
        <v>47</v>
      </c>
      <c r="C1783">
        <f t="shared" si="140"/>
        <v>11</v>
      </c>
      <c r="D1783" t="str">
        <f t="shared" si="141"/>
        <v>November</v>
      </c>
      <c r="E1783">
        <f t="shared" si="142"/>
        <v>2021</v>
      </c>
      <c r="F1783" t="str">
        <f>CONCATENATE(calendar[[#This Row],[Month]],"/",calendar[[#This Row],[Year]])</f>
        <v>11/2021</v>
      </c>
      <c r="G1783">
        <f>WEEKDAY(calendar[[#This Row],[Date]],1)</f>
        <v>4</v>
      </c>
      <c r="H1783" t="str">
        <f>TEXT(calendar[[#This Row],[WeekDay]],"dddd")</f>
        <v>Wednesday</v>
      </c>
      <c r="I1783">
        <f>IF((INT(calendar[[#This Row],[Count]]/7)-calendar[[#This Row],[Count]]/7)&lt;0,I1782,I1782+1)</f>
        <v>255</v>
      </c>
      <c r="J1783">
        <f t="shared" si="139"/>
        <v>1781</v>
      </c>
      <c r="K1783">
        <f>IF(calendar[[#This Row],[Month]]&lt;4,1,IF(calendar[[#This Row],[Month]]&lt;7,2,IF(calendar[[#This Row],[Month]]&lt;10,3,4)))</f>
        <v>4</v>
      </c>
      <c r="L1783">
        <f>IFERROR(IF(VLOOKUP(calendar[[#This Row],[Date]],BH!A:A,1,)&lt;&gt;"",1,0),0)</f>
        <v>0</v>
      </c>
      <c r="M1783">
        <f>IFERROR(IF(VLOOKUP(calendar[[#This Row],[Date]],BH!C:C,1,)&lt;&gt;"",1,0),0)</f>
        <v>0</v>
      </c>
      <c r="N1783">
        <f>IFERROR(IF(VLOOKUP(calendar[[#This Row],[Date]],BH!E:E,1,)&lt;&gt;"",1,0),0)</f>
        <v>0</v>
      </c>
      <c r="O1783">
        <f>IFERROR(IF(VLOOKUP(calendar[[#This Row],[Date]],BH!G:G,1,)&lt;&gt;"",1,0),0)</f>
        <v>0</v>
      </c>
      <c r="P1783">
        <f>IF(OR(calendar[[#This Row],[UK_BH]]=1,calendar[[#This Row],[WeekDay]]=1, calendar[[#This Row],[WeekDay]]=7),P1782,P1782+1)</f>
        <v>1273</v>
      </c>
      <c r="Q1783">
        <f>IF(OR(calendar[[#This Row],[FR_BH]]=1,calendar[[#This Row],[WeekDay]]=1, calendar[[#This Row],[WeekDay]]=7),P1782,P1782+1)</f>
        <v>1273</v>
      </c>
      <c r="R1783">
        <f>IF(OR(calendar[[#This Row],[SP_BH]]=1,calendar[[#This Row],[WeekDay]]=1, calendar[[#This Row],[WeekDay]]=7),P1782,P1782+1)</f>
        <v>1273</v>
      </c>
      <c r="S1783">
        <f>IF(OR(calendar[[#This Row],[PT_BH]]=1,calendar[[#This Row],[WeekDay]]=1, calendar[[#This Row],[WeekDay]]=7),P1782,P1782+1)</f>
        <v>1273</v>
      </c>
    </row>
    <row r="1784" spans="1:19" x14ac:dyDescent="0.25">
      <c r="A1784" s="2">
        <v>44518</v>
      </c>
      <c r="B1784" s="1">
        <f t="shared" si="138"/>
        <v>47</v>
      </c>
      <c r="C1784">
        <f t="shared" si="140"/>
        <v>11</v>
      </c>
      <c r="D1784" t="str">
        <f t="shared" si="141"/>
        <v>November</v>
      </c>
      <c r="E1784">
        <f t="shared" si="142"/>
        <v>2021</v>
      </c>
      <c r="F1784" t="str">
        <f>CONCATENATE(calendar[[#This Row],[Month]],"/",calendar[[#This Row],[Year]])</f>
        <v>11/2021</v>
      </c>
      <c r="G1784">
        <f>WEEKDAY(calendar[[#This Row],[Date]],1)</f>
        <v>5</v>
      </c>
      <c r="H1784" t="str">
        <f>TEXT(calendar[[#This Row],[WeekDay]],"dddd")</f>
        <v>Thursday</v>
      </c>
      <c r="I1784">
        <f>IF((INT(calendar[[#This Row],[Count]]/7)-calendar[[#This Row],[Count]]/7)&lt;0,I1783,I1783+1)</f>
        <v>255</v>
      </c>
      <c r="J1784">
        <f t="shared" si="139"/>
        <v>1782</v>
      </c>
      <c r="K1784">
        <f>IF(calendar[[#This Row],[Month]]&lt;4,1,IF(calendar[[#This Row],[Month]]&lt;7,2,IF(calendar[[#This Row],[Month]]&lt;10,3,4)))</f>
        <v>4</v>
      </c>
      <c r="L1784">
        <f>IFERROR(IF(VLOOKUP(calendar[[#This Row],[Date]],BH!A:A,1,)&lt;&gt;"",1,0),0)</f>
        <v>0</v>
      </c>
      <c r="M1784">
        <f>IFERROR(IF(VLOOKUP(calendar[[#This Row],[Date]],BH!C:C,1,)&lt;&gt;"",1,0),0)</f>
        <v>0</v>
      </c>
      <c r="N1784">
        <f>IFERROR(IF(VLOOKUP(calendar[[#This Row],[Date]],BH!E:E,1,)&lt;&gt;"",1,0),0)</f>
        <v>0</v>
      </c>
      <c r="O1784">
        <f>IFERROR(IF(VLOOKUP(calendar[[#This Row],[Date]],BH!G:G,1,)&lt;&gt;"",1,0),0)</f>
        <v>0</v>
      </c>
      <c r="P1784">
        <f>IF(OR(calendar[[#This Row],[UK_BH]]=1,calendar[[#This Row],[WeekDay]]=1, calendar[[#This Row],[WeekDay]]=7),P1783,P1783+1)</f>
        <v>1274</v>
      </c>
      <c r="Q1784">
        <f>IF(OR(calendar[[#This Row],[FR_BH]]=1,calendar[[#This Row],[WeekDay]]=1, calendar[[#This Row],[WeekDay]]=7),P1783,P1783+1)</f>
        <v>1274</v>
      </c>
      <c r="R1784">
        <f>IF(OR(calendar[[#This Row],[SP_BH]]=1,calendar[[#This Row],[WeekDay]]=1, calendar[[#This Row],[WeekDay]]=7),P1783,P1783+1)</f>
        <v>1274</v>
      </c>
      <c r="S1784">
        <f>IF(OR(calendar[[#This Row],[PT_BH]]=1,calendar[[#This Row],[WeekDay]]=1, calendar[[#This Row],[WeekDay]]=7),P1783,P1783+1)</f>
        <v>1274</v>
      </c>
    </row>
    <row r="1785" spans="1:19" x14ac:dyDescent="0.25">
      <c r="A1785" s="2">
        <v>44519</v>
      </c>
      <c r="B1785" s="1">
        <f t="shared" si="138"/>
        <v>47</v>
      </c>
      <c r="C1785">
        <f t="shared" si="140"/>
        <v>11</v>
      </c>
      <c r="D1785" t="str">
        <f t="shared" si="141"/>
        <v>November</v>
      </c>
      <c r="E1785">
        <f t="shared" si="142"/>
        <v>2021</v>
      </c>
      <c r="F1785" t="str">
        <f>CONCATENATE(calendar[[#This Row],[Month]],"/",calendar[[#This Row],[Year]])</f>
        <v>11/2021</v>
      </c>
      <c r="G1785">
        <f>WEEKDAY(calendar[[#This Row],[Date]],1)</f>
        <v>6</v>
      </c>
      <c r="H1785" t="str">
        <f>TEXT(calendar[[#This Row],[WeekDay]],"dddd")</f>
        <v>Friday</v>
      </c>
      <c r="I1785">
        <f>IF((INT(calendar[[#This Row],[Count]]/7)-calendar[[#This Row],[Count]]/7)&lt;0,I1784,I1784+1)</f>
        <v>255</v>
      </c>
      <c r="J1785">
        <f t="shared" si="139"/>
        <v>1783</v>
      </c>
      <c r="K1785">
        <f>IF(calendar[[#This Row],[Month]]&lt;4,1,IF(calendar[[#This Row],[Month]]&lt;7,2,IF(calendar[[#This Row],[Month]]&lt;10,3,4)))</f>
        <v>4</v>
      </c>
      <c r="L1785">
        <f>IFERROR(IF(VLOOKUP(calendar[[#This Row],[Date]],BH!A:A,1,)&lt;&gt;"",1,0),0)</f>
        <v>0</v>
      </c>
      <c r="M1785">
        <f>IFERROR(IF(VLOOKUP(calendar[[#This Row],[Date]],BH!C:C,1,)&lt;&gt;"",1,0),0)</f>
        <v>0</v>
      </c>
      <c r="N1785">
        <f>IFERROR(IF(VLOOKUP(calendar[[#This Row],[Date]],BH!E:E,1,)&lt;&gt;"",1,0),0)</f>
        <v>0</v>
      </c>
      <c r="O1785">
        <f>IFERROR(IF(VLOOKUP(calendar[[#This Row],[Date]],BH!G:G,1,)&lt;&gt;"",1,0),0)</f>
        <v>0</v>
      </c>
      <c r="P1785">
        <f>IF(OR(calendar[[#This Row],[UK_BH]]=1,calendar[[#This Row],[WeekDay]]=1, calendar[[#This Row],[WeekDay]]=7),P1784,P1784+1)</f>
        <v>1275</v>
      </c>
      <c r="Q1785">
        <f>IF(OR(calendar[[#This Row],[FR_BH]]=1,calendar[[#This Row],[WeekDay]]=1, calendar[[#This Row],[WeekDay]]=7),P1784,P1784+1)</f>
        <v>1275</v>
      </c>
      <c r="R1785">
        <f>IF(OR(calendar[[#This Row],[SP_BH]]=1,calendar[[#This Row],[WeekDay]]=1, calendar[[#This Row],[WeekDay]]=7),P1784,P1784+1)</f>
        <v>1275</v>
      </c>
      <c r="S1785">
        <f>IF(OR(calendar[[#This Row],[PT_BH]]=1,calendar[[#This Row],[WeekDay]]=1, calendar[[#This Row],[WeekDay]]=7),P1784,P1784+1)</f>
        <v>1275</v>
      </c>
    </row>
    <row r="1786" spans="1:19" x14ac:dyDescent="0.25">
      <c r="A1786" s="2">
        <v>44520</v>
      </c>
      <c r="B1786" s="1">
        <f t="shared" si="138"/>
        <v>47</v>
      </c>
      <c r="C1786">
        <f t="shared" si="140"/>
        <v>11</v>
      </c>
      <c r="D1786" t="str">
        <f t="shared" si="141"/>
        <v>November</v>
      </c>
      <c r="E1786">
        <f t="shared" si="142"/>
        <v>2021</v>
      </c>
      <c r="F1786" t="str">
        <f>CONCATENATE(calendar[[#This Row],[Month]],"/",calendar[[#This Row],[Year]])</f>
        <v>11/2021</v>
      </c>
      <c r="G1786">
        <f>WEEKDAY(calendar[[#This Row],[Date]],1)</f>
        <v>7</v>
      </c>
      <c r="H1786" t="str">
        <f>TEXT(calendar[[#This Row],[WeekDay]],"dddd")</f>
        <v>Saturday</v>
      </c>
      <c r="I1786">
        <f>IF((INT(calendar[[#This Row],[Count]]/7)-calendar[[#This Row],[Count]]/7)&lt;0,I1785,I1785+1)</f>
        <v>255</v>
      </c>
      <c r="J1786">
        <f t="shared" si="139"/>
        <v>1784</v>
      </c>
      <c r="K1786">
        <f>IF(calendar[[#This Row],[Month]]&lt;4,1,IF(calendar[[#This Row],[Month]]&lt;7,2,IF(calendar[[#This Row],[Month]]&lt;10,3,4)))</f>
        <v>4</v>
      </c>
      <c r="L1786">
        <f>IFERROR(IF(VLOOKUP(calendar[[#This Row],[Date]],BH!A:A,1,)&lt;&gt;"",1,0),0)</f>
        <v>0</v>
      </c>
      <c r="M1786">
        <f>IFERROR(IF(VLOOKUP(calendar[[#This Row],[Date]],BH!C:C,1,)&lt;&gt;"",1,0),0)</f>
        <v>0</v>
      </c>
      <c r="N1786">
        <f>IFERROR(IF(VLOOKUP(calendar[[#This Row],[Date]],BH!E:E,1,)&lt;&gt;"",1,0),0)</f>
        <v>0</v>
      </c>
      <c r="O1786">
        <f>IFERROR(IF(VLOOKUP(calendar[[#This Row],[Date]],BH!G:G,1,)&lt;&gt;"",1,0),0)</f>
        <v>0</v>
      </c>
      <c r="P1786">
        <f>IF(OR(calendar[[#This Row],[UK_BH]]=1,calendar[[#This Row],[WeekDay]]=1, calendar[[#This Row],[WeekDay]]=7),P1785,P1785+1)</f>
        <v>1275</v>
      </c>
      <c r="Q1786">
        <f>IF(OR(calendar[[#This Row],[FR_BH]]=1,calendar[[#This Row],[WeekDay]]=1, calendar[[#This Row],[WeekDay]]=7),P1785,P1785+1)</f>
        <v>1275</v>
      </c>
      <c r="R1786">
        <f>IF(OR(calendar[[#This Row],[SP_BH]]=1,calendar[[#This Row],[WeekDay]]=1, calendar[[#This Row],[WeekDay]]=7),P1785,P1785+1)</f>
        <v>1275</v>
      </c>
      <c r="S1786">
        <f>IF(OR(calendar[[#This Row],[PT_BH]]=1,calendar[[#This Row],[WeekDay]]=1, calendar[[#This Row],[WeekDay]]=7),P1785,P1785+1)</f>
        <v>1275</v>
      </c>
    </row>
    <row r="1787" spans="1:19" x14ac:dyDescent="0.25">
      <c r="A1787" s="2">
        <v>44521</v>
      </c>
      <c r="B1787" s="1">
        <f t="shared" si="138"/>
        <v>48</v>
      </c>
      <c r="C1787">
        <f t="shared" si="140"/>
        <v>11</v>
      </c>
      <c r="D1787" t="str">
        <f t="shared" si="141"/>
        <v>November</v>
      </c>
      <c r="E1787">
        <f t="shared" si="142"/>
        <v>2021</v>
      </c>
      <c r="F1787" t="str">
        <f>CONCATENATE(calendar[[#This Row],[Month]],"/",calendar[[#This Row],[Year]])</f>
        <v>11/2021</v>
      </c>
      <c r="G1787">
        <f>WEEKDAY(calendar[[#This Row],[Date]],1)</f>
        <v>1</v>
      </c>
      <c r="H1787" t="str">
        <f>TEXT(calendar[[#This Row],[WeekDay]],"dddd")</f>
        <v>Sunday</v>
      </c>
      <c r="I1787">
        <f>IF((INT(calendar[[#This Row],[Count]]/7)-calendar[[#This Row],[Count]]/7)&lt;0,I1786,I1786+1)</f>
        <v>256</v>
      </c>
      <c r="J1787">
        <f t="shared" si="139"/>
        <v>1785</v>
      </c>
      <c r="K1787">
        <f>IF(calendar[[#This Row],[Month]]&lt;4,1,IF(calendar[[#This Row],[Month]]&lt;7,2,IF(calendar[[#This Row],[Month]]&lt;10,3,4)))</f>
        <v>4</v>
      </c>
      <c r="L1787">
        <f>IFERROR(IF(VLOOKUP(calendar[[#This Row],[Date]],BH!A:A,1,)&lt;&gt;"",1,0),0)</f>
        <v>0</v>
      </c>
      <c r="M1787">
        <f>IFERROR(IF(VLOOKUP(calendar[[#This Row],[Date]],BH!C:C,1,)&lt;&gt;"",1,0),0)</f>
        <v>0</v>
      </c>
      <c r="N1787">
        <f>IFERROR(IF(VLOOKUP(calendar[[#This Row],[Date]],BH!E:E,1,)&lt;&gt;"",1,0),0)</f>
        <v>0</v>
      </c>
      <c r="O1787">
        <f>IFERROR(IF(VLOOKUP(calendar[[#This Row],[Date]],BH!G:G,1,)&lt;&gt;"",1,0),0)</f>
        <v>0</v>
      </c>
      <c r="P1787">
        <f>IF(OR(calendar[[#This Row],[UK_BH]]=1,calendar[[#This Row],[WeekDay]]=1, calendar[[#This Row],[WeekDay]]=7),P1786,P1786+1)</f>
        <v>1275</v>
      </c>
      <c r="Q1787">
        <f>IF(OR(calendar[[#This Row],[FR_BH]]=1,calendar[[#This Row],[WeekDay]]=1, calendar[[#This Row],[WeekDay]]=7),P1786,P1786+1)</f>
        <v>1275</v>
      </c>
      <c r="R1787">
        <f>IF(OR(calendar[[#This Row],[SP_BH]]=1,calendar[[#This Row],[WeekDay]]=1, calendar[[#This Row],[WeekDay]]=7),P1786,P1786+1)</f>
        <v>1275</v>
      </c>
      <c r="S1787">
        <f>IF(OR(calendar[[#This Row],[PT_BH]]=1,calendar[[#This Row],[WeekDay]]=1, calendar[[#This Row],[WeekDay]]=7),P1786,P1786+1)</f>
        <v>1275</v>
      </c>
    </row>
    <row r="1788" spans="1:19" x14ac:dyDescent="0.25">
      <c r="A1788" s="2">
        <v>44522</v>
      </c>
      <c r="B1788" s="1">
        <f t="shared" si="138"/>
        <v>48</v>
      </c>
      <c r="C1788">
        <f t="shared" si="140"/>
        <v>11</v>
      </c>
      <c r="D1788" t="str">
        <f t="shared" si="141"/>
        <v>November</v>
      </c>
      <c r="E1788">
        <f t="shared" si="142"/>
        <v>2021</v>
      </c>
      <c r="F1788" t="str">
        <f>CONCATENATE(calendar[[#This Row],[Month]],"/",calendar[[#This Row],[Year]])</f>
        <v>11/2021</v>
      </c>
      <c r="G1788">
        <f>WEEKDAY(calendar[[#This Row],[Date]],1)</f>
        <v>2</v>
      </c>
      <c r="H1788" t="str">
        <f>TEXT(calendar[[#This Row],[WeekDay]],"dddd")</f>
        <v>Monday</v>
      </c>
      <c r="I1788">
        <f>IF((INT(calendar[[#This Row],[Count]]/7)-calendar[[#This Row],[Count]]/7)&lt;0,I1787,I1787+1)</f>
        <v>256</v>
      </c>
      <c r="J1788">
        <f t="shared" si="139"/>
        <v>1786</v>
      </c>
      <c r="K1788">
        <f>IF(calendar[[#This Row],[Month]]&lt;4,1,IF(calendar[[#This Row],[Month]]&lt;7,2,IF(calendar[[#This Row],[Month]]&lt;10,3,4)))</f>
        <v>4</v>
      </c>
      <c r="L1788">
        <f>IFERROR(IF(VLOOKUP(calendar[[#This Row],[Date]],BH!A:A,1,)&lt;&gt;"",1,0),0)</f>
        <v>0</v>
      </c>
      <c r="M1788">
        <f>IFERROR(IF(VLOOKUP(calendar[[#This Row],[Date]],BH!C:C,1,)&lt;&gt;"",1,0),0)</f>
        <v>0</v>
      </c>
      <c r="N1788">
        <f>IFERROR(IF(VLOOKUP(calendar[[#This Row],[Date]],BH!E:E,1,)&lt;&gt;"",1,0),0)</f>
        <v>0</v>
      </c>
      <c r="O1788">
        <f>IFERROR(IF(VLOOKUP(calendar[[#This Row],[Date]],BH!G:G,1,)&lt;&gt;"",1,0),0)</f>
        <v>0</v>
      </c>
      <c r="P1788">
        <f>IF(OR(calendar[[#This Row],[UK_BH]]=1,calendar[[#This Row],[WeekDay]]=1, calendar[[#This Row],[WeekDay]]=7),P1787,P1787+1)</f>
        <v>1276</v>
      </c>
      <c r="Q1788">
        <f>IF(OR(calendar[[#This Row],[FR_BH]]=1,calendar[[#This Row],[WeekDay]]=1, calendar[[#This Row],[WeekDay]]=7),P1787,P1787+1)</f>
        <v>1276</v>
      </c>
      <c r="R1788">
        <f>IF(OR(calendar[[#This Row],[SP_BH]]=1,calendar[[#This Row],[WeekDay]]=1, calendar[[#This Row],[WeekDay]]=7),P1787,P1787+1)</f>
        <v>1276</v>
      </c>
      <c r="S1788">
        <f>IF(OR(calendar[[#This Row],[PT_BH]]=1,calendar[[#This Row],[WeekDay]]=1, calendar[[#This Row],[WeekDay]]=7),P1787,P1787+1)</f>
        <v>1276</v>
      </c>
    </row>
    <row r="1789" spans="1:19" x14ac:dyDescent="0.25">
      <c r="A1789" s="2">
        <v>44523</v>
      </c>
      <c r="B1789" s="1">
        <f t="shared" si="138"/>
        <v>48</v>
      </c>
      <c r="C1789">
        <f t="shared" si="140"/>
        <v>11</v>
      </c>
      <c r="D1789" t="str">
        <f t="shared" si="141"/>
        <v>November</v>
      </c>
      <c r="E1789">
        <f t="shared" si="142"/>
        <v>2021</v>
      </c>
      <c r="F1789" t="str">
        <f>CONCATENATE(calendar[[#This Row],[Month]],"/",calendar[[#This Row],[Year]])</f>
        <v>11/2021</v>
      </c>
      <c r="G1789">
        <f>WEEKDAY(calendar[[#This Row],[Date]],1)</f>
        <v>3</v>
      </c>
      <c r="H1789" t="str">
        <f>TEXT(calendar[[#This Row],[WeekDay]],"dddd")</f>
        <v>Tuesday</v>
      </c>
      <c r="I1789">
        <f>IF((INT(calendar[[#This Row],[Count]]/7)-calendar[[#This Row],[Count]]/7)&lt;0,I1788,I1788+1)</f>
        <v>256</v>
      </c>
      <c r="J1789">
        <f t="shared" si="139"/>
        <v>1787</v>
      </c>
      <c r="K1789">
        <f>IF(calendar[[#This Row],[Month]]&lt;4,1,IF(calendar[[#This Row],[Month]]&lt;7,2,IF(calendar[[#This Row],[Month]]&lt;10,3,4)))</f>
        <v>4</v>
      </c>
      <c r="L1789">
        <f>IFERROR(IF(VLOOKUP(calendar[[#This Row],[Date]],BH!A:A,1,)&lt;&gt;"",1,0),0)</f>
        <v>0</v>
      </c>
      <c r="M1789">
        <f>IFERROR(IF(VLOOKUP(calendar[[#This Row],[Date]],BH!C:C,1,)&lt;&gt;"",1,0),0)</f>
        <v>0</v>
      </c>
      <c r="N1789">
        <f>IFERROR(IF(VLOOKUP(calendar[[#This Row],[Date]],BH!E:E,1,)&lt;&gt;"",1,0),0)</f>
        <v>0</v>
      </c>
      <c r="O1789">
        <f>IFERROR(IF(VLOOKUP(calendar[[#This Row],[Date]],BH!G:G,1,)&lt;&gt;"",1,0),0)</f>
        <v>0</v>
      </c>
      <c r="P1789">
        <f>IF(OR(calendar[[#This Row],[UK_BH]]=1,calendar[[#This Row],[WeekDay]]=1, calendar[[#This Row],[WeekDay]]=7),P1788,P1788+1)</f>
        <v>1277</v>
      </c>
      <c r="Q1789">
        <f>IF(OR(calendar[[#This Row],[FR_BH]]=1,calendar[[#This Row],[WeekDay]]=1, calendar[[#This Row],[WeekDay]]=7),P1788,P1788+1)</f>
        <v>1277</v>
      </c>
      <c r="R1789">
        <f>IF(OR(calendar[[#This Row],[SP_BH]]=1,calendar[[#This Row],[WeekDay]]=1, calendar[[#This Row],[WeekDay]]=7),P1788,P1788+1)</f>
        <v>1277</v>
      </c>
      <c r="S1789">
        <f>IF(OR(calendar[[#This Row],[PT_BH]]=1,calendar[[#This Row],[WeekDay]]=1, calendar[[#This Row],[WeekDay]]=7),P1788,P1788+1)</f>
        <v>1277</v>
      </c>
    </row>
    <row r="1790" spans="1:19" x14ac:dyDescent="0.25">
      <c r="A1790" s="2">
        <v>44524</v>
      </c>
      <c r="B1790" s="1">
        <f t="shared" si="138"/>
        <v>48</v>
      </c>
      <c r="C1790">
        <f t="shared" si="140"/>
        <v>11</v>
      </c>
      <c r="D1790" t="str">
        <f t="shared" si="141"/>
        <v>November</v>
      </c>
      <c r="E1790">
        <f t="shared" si="142"/>
        <v>2021</v>
      </c>
      <c r="F1790" t="str">
        <f>CONCATENATE(calendar[[#This Row],[Month]],"/",calendar[[#This Row],[Year]])</f>
        <v>11/2021</v>
      </c>
      <c r="G1790">
        <f>WEEKDAY(calendar[[#This Row],[Date]],1)</f>
        <v>4</v>
      </c>
      <c r="H1790" t="str">
        <f>TEXT(calendar[[#This Row],[WeekDay]],"dddd")</f>
        <v>Wednesday</v>
      </c>
      <c r="I1790">
        <f>IF((INT(calendar[[#This Row],[Count]]/7)-calendar[[#This Row],[Count]]/7)&lt;0,I1789,I1789+1)</f>
        <v>256</v>
      </c>
      <c r="J1790">
        <f t="shared" si="139"/>
        <v>1788</v>
      </c>
      <c r="K1790">
        <f>IF(calendar[[#This Row],[Month]]&lt;4,1,IF(calendar[[#This Row],[Month]]&lt;7,2,IF(calendar[[#This Row],[Month]]&lt;10,3,4)))</f>
        <v>4</v>
      </c>
      <c r="L1790">
        <f>IFERROR(IF(VLOOKUP(calendar[[#This Row],[Date]],BH!A:A,1,)&lt;&gt;"",1,0),0)</f>
        <v>0</v>
      </c>
      <c r="M1790">
        <f>IFERROR(IF(VLOOKUP(calendar[[#This Row],[Date]],BH!C:C,1,)&lt;&gt;"",1,0),0)</f>
        <v>0</v>
      </c>
      <c r="N1790">
        <f>IFERROR(IF(VLOOKUP(calendar[[#This Row],[Date]],BH!E:E,1,)&lt;&gt;"",1,0),0)</f>
        <v>0</v>
      </c>
      <c r="O1790">
        <f>IFERROR(IF(VLOOKUP(calendar[[#This Row],[Date]],BH!G:G,1,)&lt;&gt;"",1,0),0)</f>
        <v>0</v>
      </c>
      <c r="P1790">
        <f>IF(OR(calendar[[#This Row],[UK_BH]]=1,calendar[[#This Row],[WeekDay]]=1, calendar[[#This Row],[WeekDay]]=7),P1789,P1789+1)</f>
        <v>1278</v>
      </c>
      <c r="Q1790">
        <f>IF(OR(calendar[[#This Row],[FR_BH]]=1,calendar[[#This Row],[WeekDay]]=1, calendar[[#This Row],[WeekDay]]=7),P1789,P1789+1)</f>
        <v>1278</v>
      </c>
      <c r="R1790">
        <f>IF(OR(calendar[[#This Row],[SP_BH]]=1,calendar[[#This Row],[WeekDay]]=1, calendar[[#This Row],[WeekDay]]=7),P1789,P1789+1)</f>
        <v>1278</v>
      </c>
      <c r="S1790">
        <f>IF(OR(calendar[[#This Row],[PT_BH]]=1,calendar[[#This Row],[WeekDay]]=1, calendar[[#This Row],[WeekDay]]=7),P1789,P1789+1)</f>
        <v>1278</v>
      </c>
    </row>
    <row r="1791" spans="1:19" x14ac:dyDescent="0.25">
      <c r="A1791" s="2">
        <v>44525</v>
      </c>
      <c r="B1791" s="1">
        <f t="shared" si="138"/>
        <v>48</v>
      </c>
      <c r="C1791">
        <f t="shared" si="140"/>
        <v>11</v>
      </c>
      <c r="D1791" t="str">
        <f t="shared" si="141"/>
        <v>November</v>
      </c>
      <c r="E1791">
        <f t="shared" si="142"/>
        <v>2021</v>
      </c>
      <c r="F1791" t="str">
        <f>CONCATENATE(calendar[[#This Row],[Month]],"/",calendar[[#This Row],[Year]])</f>
        <v>11/2021</v>
      </c>
      <c r="G1791">
        <f>WEEKDAY(calendar[[#This Row],[Date]],1)</f>
        <v>5</v>
      </c>
      <c r="H1791" t="str">
        <f>TEXT(calendar[[#This Row],[WeekDay]],"dddd")</f>
        <v>Thursday</v>
      </c>
      <c r="I1791">
        <f>IF((INT(calendar[[#This Row],[Count]]/7)-calendar[[#This Row],[Count]]/7)&lt;0,I1790,I1790+1)</f>
        <v>256</v>
      </c>
      <c r="J1791">
        <f t="shared" si="139"/>
        <v>1789</v>
      </c>
      <c r="K1791">
        <f>IF(calendar[[#This Row],[Month]]&lt;4,1,IF(calendar[[#This Row],[Month]]&lt;7,2,IF(calendar[[#This Row],[Month]]&lt;10,3,4)))</f>
        <v>4</v>
      </c>
      <c r="L1791">
        <f>IFERROR(IF(VLOOKUP(calendar[[#This Row],[Date]],BH!A:A,1,)&lt;&gt;"",1,0),0)</f>
        <v>0</v>
      </c>
      <c r="M1791">
        <f>IFERROR(IF(VLOOKUP(calendar[[#This Row],[Date]],BH!C:C,1,)&lt;&gt;"",1,0),0)</f>
        <v>0</v>
      </c>
      <c r="N1791">
        <f>IFERROR(IF(VLOOKUP(calendar[[#This Row],[Date]],BH!E:E,1,)&lt;&gt;"",1,0),0)</f>
        <v>0</v>
      </c>
      <c r="O1791">
        <f>IFERROR(IF(VLOOKUP(calendar[[#This Row],[Date]],BH!G:G,1,)&lt;&gt;"",1,0),0)</f>
        <v>0</v>
      </c>
      <c r="P1791">
        <f>IF(OR(calendar[[#This Row],[UK_BH]]=1,calendar[[#This Row],[WeekDay]]=1, calendar[[#This Row],[WeekDay]]=7),P1790,P1790+1)</f>
        <v>1279</v>
      </c>
      <c r="Q1791">
        <f>IF(OR(calendar[[#This Row],[FR_BH]]=1,calendar[[#This Row],[WeekDay]]=1, calendar[[#This Row],[WeekDay]]=7),P1790,P1790+1)</f>
        <v>1279</v>
      </c>
      <c r="R1791">
        <f>IF(OR(calendar[[#This Row],[SP_BH]]=1,calendar[[#This Row],[WeekDay]]=1, calendar[[#This Row],[WeekDay]]=7),P1790,P1790+1)</f>
        <v>1279</v>
      </c>
      <c r="S1791">
        <f>IF(OR(calendar[[#This Row],[PT_BH]]=1,calendar[[#This Row],[WeekDay]]=1, calendar[[#This Row],[WeekDay]]=7),P1790,P1790+1)</f>
        <v>1279</v>
      </c>
    </row>
    <row r="1792" spans="1:19" x14ac:dyDescent="0.25">
      <c r="A1792" s="2">
        <v>44526</v>
      </c>
      <c r="B1792" s="1">
        <f t="shared" si="138"/>
        <v>48</v>
      </c>
      <c r="C1792">
        <f t="shared" si="140"/>
        <v>11</v>
      </c>
      <c r="D1792" t="str">
        <f t="shared" si="141"/>
        <v>November</v>
      </c>
      <c r="E1792">
        <f t="shared" si="142"/>
        <v>2021</v>
      </c>
      <c r="F1792" t="str">
        <f>CONCATENATE(calendar[[#This Row],[Month]],"/",calendar[[#This Row],[Year]])</f>
        <v>11/2021</v>
      </c>
      <c r="G1792">
        <f>WEEKDAY(calendar[[#This Row],[Date]],1)</f>
        <v>6</v>
      </c>
      <c r="H1792" t="str">
        <f>TEXT(calendar[[#This Row],[WeekDay]],"dddd")</f>
        <v>Friday</v>
      </c>
      <c r="I1792">
        <f>IF((INT(calendar[[#This Row],[Count]]/7)-calendar[[#This Row],[Count]]/7)&lt;0,I1791,I1791+1)</f>
        <v>256</v>
      </c>
      <c r="J1792">
        <f t="shared" si="139"/>
        <v>1790</v>
      </c>
      <c r="K1792">
        <f>IF(calendar[[#This Row],[Month]]&lt;4,1,IF(calendar[[#This Row],[Month]]&lt;7,2,IF(calendar[[#This Row],[Month]]&lt;10,3,4)))</f>
        <v>4</v>
      </c>
      <c r="L1792">
        <f>IFERROR(IF(VLOOKUP(calendar[[#This Row],[Date]],BH!A:A,1,)&lt;&gt;"",1,0),0)</f>
        <v>0</v>
      </c>
      <c r="M1792">
        <f>IFERROR(IF(VLOOKUP(calendar[[#This Row],[Date]],BH!C:C,1,)&lt;&gt;"",1,0),0)</f>
        <v>0</v>
      </c>
      <c r="N1792">
        <f>IFERROR(IF(VLOOKUP(calendar[[#This Row],[Date]],BH!E:E,1,)&lt;&gt;"",1,0),0)</f>
        <v>0</v>
      </c>
      <c r="O1792">
        <f>IFERROR(IF(VLOOKUP(calendar[[#This Row],[Date]],BH!G:G,1,)&lt;&gt;"",1,0),0)</f>
        <v>0</v>
      </c>
      <c r="P1792">
        <f>IF(OR(calendar[[#This Row],[UK_BH]]=1,calendar[[#This Row],[WeekDay]]=1, calendar[[#This Row],[WeekDay]]=7),P1791,P1791+1)</f>
        <v>1280</v>
      </c>
      <c r="Q1792">
        <f>IF(OR(calendar[[#This Row],[FR_BH]]=1,calendar[[#This Row],[WeekDay]]=1, calendar[[#This Row],[WeekDay]]=7),P1791,P1791+1)</f>
        <v>1280</v>
      </c>
      <c r="R1792">
        <f>IF(OR(calendar[[#This Row],[SP_BH]]=1,calendar[[#This Row],[WeekDay]]=1, calendar[[#This Row],[WeekDay]]=7),P1791,P1791+1)</f>
        <v>1280</v>
      </c>
      <c r="S1792">
        <f>IF(OR(calendar[[#This Row],[PT_BH]]=1,calendar[[#This Row],[WeekDay]]=1, calendar[[#This Row],[WeekDay]]=7),P1791,P1791+1)</f>
        <v>1280</v>
      </c>
    </row>
    <row r="1793" spans="1:19" x14ac:dyDescent="0.25">
      <c r="A1793" s="2">
        <v>44527</v>
      </c>
      <c r="B1793" s="1">
        <f t="shared" si="138"/>
        <v>48</v>
      </c>
      <c r="C1793">
        <f t="shared" si="140"/>
        <v>11</v>
      </c>
      <c r="D1793" t="str">
        <f t="shared" si="141"/>
        <v>November</v>
      </c>
      <c r="E1793">
        <f t="shared" si="142"/>
        <v>2021</v>
      </c>
      <c r="F1793" t="str">
        <f>CONCATENATE(calendar[[#This Row],[Month]],"/",calendar[[#This Row],[Year]])</f>
        <v>11/2021</v>
      </c>
      <c r="G1793">
        <f>WEEKDAY(calendar[[#This Row],[Date]],1)</f>
        <v>7</v>
      </c>
      <c r="H1793" t="str">
        <f>TEXT(calendar[[#This Row],[WeekDay]],"dddd")</f>
        <v>Saturday</v>
      </c>
      <c r="I1793">
        <f>IF((INT(calendar[[#This Row],[Count]]/7)-calendar[[#This Row],[Count]]/7)&lt;0,I1792,I1792+1)</f>
        <v>256</v>
      </c>
      <c r="J1793">
        <f t="shared" si="139"/>
        <v>1791</v>
      </c>
      <c r="K1793">
        <f>IF(calendar[[#This Row],[Month]]&lt;4,1,IF(calendar[[#This Row],[Month]]&lt;7,2,IF(calendar[[#This Row],[Month]]&lt;10,3,4)))</f>
        <v>4</v>
      </c>
      <c r="L1793">
        <f>IFERROR(IF(VLOOKUP(calendar[[#This Row],[Date]],BH!A:A,1,)&lt;&gt;"",1,0),0)</f>
        <v>0</v>
      </c>
      <c r="M1793">
        <f>IFERROR(IF(VLOOKUP(calendar[[#This Row],[Date]],BH!C:C,1,)&lt;&gt;"",1,0),0)</f>
        <v>0</v>
      </c>
      <c r="N1793">
        <f>IFERROR(IF(VLOOKUP(calendar[[#This Row],[Date]],BH!E:E,1,)&lt;&gt;"",1,0),0)</f>
        <v>0</v>
      </c>
      <c r="O1793">
        <f>IFERROR(IF(VLOOKUP(calendar[[#This Row],[Date]],BH!G:G,1,)&lt;&gt;"",1,0),0)</f>
        <v>0</v>
      </c>
      <c r="P1793">
        <f>IF(OR(calendar[[#This Row],[UK_BH]]=1,calendar[[#This Row],[WeekDay]]=1, calendar[[#This Row],[WeekDay]]=7),P1792,P1792+1)</f>
        <v>1280</v>
      </c>
      <c r="Q1793">
        <f>IF(OR(calendar[[#This Row],[FR_BH]]=1,calendar[[#This Row],[WeekDay]]=1, calendar[[#This Row],[WeekDay]]=7),P1792,P1792+1)</f>
        <v>1280</v>
      </c>
      <c r="R1793">
        <f>IF(OR(calendar[[#This Row],[SP_BH]]=1,calendar[[#This Row],[WeekDay]]=1, calendar[[#This Row],[WeekDay]]=7),P1792,P1792+1)</f>
        <v>1280</v>
      </c>
      <c r="S1793">
        <f>IF(OR(calendar[[#This Row],[PT_BH]]=1,calendar[[#This Row],[WeekDay]]=1, calendar[[#This Row],[WeekDay]]=7),P1792,P1792+1)</f>
        <v>1280</v>
      </c>
    </row>
    <row r="1794" spans="1:19" x14ac:dyDescent="0.25">
      <c r="A1794" s="2">
        <v>44528</v>
      </c>
      <c r="B1794" s="1">
        <f t="shared" ref="B1794:B1857" si="143">WEEKNUM(A1794)</f>
        <v>49</v>
      </c>
      <c r="C1794">
        <f t="shared" si="140"/>
        <v>11</v>
      </c>
      <c r="D1794" t="str">
        <f t="shared" si="141"/>
        <v>November</v>
      </c>
      <c r="E1794">
        <f t="shared" si="142"/>
        <v>2021</v>
      </c>
      <c r="F1794" t="str">
        <f>CONCATENATE(calendar[[#This Row],[Month]],"/",calendar[[#This Row],[Year]])</f>
        <v>11/2021</v>
      </c>
      <c r="G1794">
        <f>WEEKDAY(calendar[[#This Row],[Date]],1)</f>
        <v>1</v>
      </c>
      <c r="H1794" t="str">
        <f>TEXT(calendar[[#This Row],[WeekDay]],"dddd")</f>
        <v>Sunday</v>
      </c>
      <c r="I1794">
        <f>IF((INT(calendar[[#This Row],[Count]]/7)-calendar[[#This Row],[Count]]/7)&lt;0,I1793,I1793+1)</f>
        <v>257</v>
      </c>
      <c r="J1794">
        <f t="shared" si="139"/>
        <v>1792</v>
      </c>
      <c r="K1794">
        <f>IF(calendar[[#This Row],[Month]]&lt;4,1,IF(calendar[[#This Row],[Month]]&lt;7,2,IF(calendar[[#This Row],[Month]]&lt;10,3,4)))</f>
        <v>4</v>
      </c>
      <c r="L1794">
        <f>IFERROR(IF(VLOOKUP(calendar[[#This Row],[Date]],BH!A:A,1,)&lt;&gt;"",1,0),0)</f>
        <v>0</v>
      </c>
      <c r="M1794">
        <f>IFERROR(IF(VLOOKUP(calendar[[#This Row],[Date]],BH!C:C,1,)&lt;&gt;"",1,0),0)</f>
        <v>0</v>
      </c>
      <c r="N1794">
        <f>IFERROR(IF(VLOOKUP(calendar[[#This Row],[Date]],BH!E:E,1,)&lt;&gt;"",1,0),0)</f>
        <v>0</v>
      </c>
      <c r="O1794">
        <f>IFERROR(IF(VLOOKUP(calendar[[#This Row],[Date]],BH!G:G,1,)&lt;&gt;"",1,0),0)</f>
        <v>0</v>
      </c>
      <c r="P1794">
        <f>IF(OR(calendar[[#This Row],[UK_BH]]=1,calendar[[#This Row],[WeekDay]]=1, calendar[[#This Row],[WeekDay]]=7),P1793,P1793+1)</f>
        <v>1280</v>
      </c>
      <c r="Q1794">
        <f>IF(OR(calendar[[#This Row],[FR_BH]]=1,calendar[[#This Row],[WeekDay]]=1, calendar[[#This Row],[WeekDay]]=7),P1793,P1793+1)</f>
        <v>1280</v>
      </c>
      <c r="R1794">
        <f>IF(OR(calendar[[#This Row],[SP_BH]]=1,calendar[[#This Row],[WeekDay]]=1, calendar[[#This Row],[WeekDay]]=7),P1793,P1793+1)</f>
        <v>1280</v>
      </c>
      <c r="S1794">
        <f>IF(OR(calendar[[#This Row],[PT_BH]]=1,calendar[[#This Row],[WeekDay]]=1, calendar[[#This Row],[WeekDay]]=7),P1793,P1793+1)</f>
        <v>1280</v>
      </c>
    </row>
    <row r="1795" spans="1:19" x14ac:dyDescent="0.25">
      <c r="A1795" s="2">
        <v>44529</v>
      </c>
      <c r="B1795" s="1">
        <f t="shared" si="143"/>
        <v>49</v>
      </c>
      <c r="C1795">
        <f t="shared" si="140"/>
        <v>11</v>
      </c>
      <c r="D1795" t="str">
        <f t="shared" si="141"/>
        <v>November</v>
      </c>
      <c r="E1795">
        <f t="shared" si="142"/>
        <v>2021</v>
      </c>
      <c r="F1795" t="str">
        <f>CONCATENATE(calendar[[#This Row],[Month]],"/",calendar[[#This Row],[Year]])</f>
        <v>11/2021</v>
      </c>
      <c r="G1795">
        <f>WEEKDAY(calendar[[#This Row],[Date]],1)</f>
        <v>2</v>
      </c>
      <c r="H1795" t="str">
        <f>TEXT(calendar[[#This Row],[WeekDay]],"dddd")</f>
        <v>Monday</v>
      </c>
      <c r="I1795">
        <f>IF((INT(calendar[[#This Row],[Count]]/7)-calendar[[#This Row],[Count]]/7)&lt;0,I1794,I1794+1)</f>
        <v>257</v>
      </c>
      <c r="J1795">
        <f t="shared" ref="J1795:J1858" si="144">J1794+1</f>
        <v>1793</v>
      </c>
      <c r="K1795">
        <f>IF(calendar[[#This Row],[Month]]&lt;4,1,IF(calendar[[#This Row],[Month]]&lt;7,2,IF(calendar[[#This Row],[Month]]&lt;10,3,4)))</f>
        <v>4</v>
      </c>
      <c r="L1795">
        <f>IFERROR(IF(VLOOKUP(calendar[[#This Row],[Date]],BH!A:A,1,)&lt;&gt;"",1,0),0)</f>
        <v>0</v>
      </c>
      <c r="M1795">
        <f>IFERROR(IF(VLOOKUP(calendar[[#This Row],[Date]],BH!C:C,1,)&lt;&gt;"",1,0),0)</f>
        <v>0</v>
      </c>
      <c r="N1795">
        <f>IFERROR(IF(VLOOKUP(calendar[[#This Row],[Date]],BH!E:E,1,)&lt;&gt;"",1,0),0)</f>
        <v>0</v>
      </c>
      <c r="O1795">
        <f>IFERROR(IF(VLOOKUP(calendar[[#This Row],[Date]],BH!G:G,1,)&lt;&gt;"",1,0),0)</f>
        <v>0</v>
      </c>
      <c r="P1795">
        <f>IF(OR(calendar[[#This Row],[UK_BH]]=1,calendar[[#This Row],[WeekDay]]=1, calendar[[#This Row],[WeekDay]]=7),P1794,P1794+1)</f>
        <v>1281</v>
      </c>
      <c r="Q1795">
        <f>IF(OR(calendar[[#This Row],[FR_BH]]=1,calendar[[#This Row],[WeekDay]]=1, calendar[[#This Row],[WeekDay]]=7),P1794,P1794+1)</f>
        <v>1281</v>
      </c>
      <c r="R1795">
        <f>IF(OR(calendar[[#This Row],[SP_BH]]=1,calendar[[#This Row],[WeekDay]]=1, calendar[[#This Row],[WeekDay]]=7),P1794,P1794+1)</f>
        <v>1281</v>
      </c>
      <c r="S1795">
        <f>IF(OR(calendar[[#This Row],[PT_BH]]=1,calendar[[#This Row],[WeekDay]]=1, calendar[[#This Row],[WeekDay]]=7),P1794,P1794+1)</f>
        <v>1281</v>
      </c>
    </row>
    <row r="1796" spans="1:19" x14ac:dyDescent="0.25">
      <c r="A1796" s="2">
        <v>44530</v>
      </c>
      <c r="B1796" s="1">
        <f t="shared" si="143"/>
        <v>49</v>
      </c>
      <c r="C1796">
        <f t="shared" si="140"/>
        <v>11</v>
      </c>
      <c r="D1796" t="str">
        <f t="shared" si="141"/>
        <v>November</v>
      </c>
      <c r="E1796">
        <f t="shared" si="142"/>
        <v>2021</v>
      </c>
      <c r="F1796" t="str">
        <f>CONCATENATE(calendar[[#This Row],[Month]],"/",calendar[[#This Row],[Year]])</f>
        <v>11/2021</v>
      </c>
      <c r="G1796">
        <f>WEEKDAY(calendar[[#This Row],[Date]],1)</f>
        <v>3</v>
      </c>
      <c r="H1796" t="str">
        <f>TEXT(calendar[[#This Row],[WeekDay]],"dddd")</f>
        <v>Tuesday</v>
      </c>
      <c r="I1796">
        <f>IF((INT(calendar[[#This Row],[Count]]/7)-calendar[[#This Row],[Count]]/7)&lt;0,I1795,I1795+1)</f>
        <v>257</v>
      </c>
      <c r="J1796">
        <f t="shared" si="144"/>
        <v>1794</v>
      </c>
      <c r="K1796">
        <f>IF(calendar[[#This Row],[Month]]&lt;4,1,IF(calendar[[#This Row],[Month]]&lt;7,2,IF(calendar[[#This Row],[Month]]&lt;10,3,4)))</f>
        <v>4</v>
      </c>
      <c r="L1796">
        <f>IFERROR(IF(VLOOKUP(calendar[[#This Row],[Date]],BH!A:A,1,)&lt;&gt;"",1,0),0)</f>
        <v>0</v>
      </c>
      <c r="M1796">
        <f>IFERROR(IF(VLOOKUP(calendar[[#This Row],[Date]],BH!C:C,1,)&lt;&gt;"",1,0),0)</f>
        <v>0</v>
      </c>
      <c r="N1796">
        <f>IFERROR(IF(VLOOKUP(calendar[[#This Row],[Date]],BH!E:E,1,)&lt;&gt;"",1,0),0)</f>
        <v>0</v>
      </c>
      <c r="O1796">
        <f>IFERROR(IF(VLOOKUP(calendar[[#This Row],[Date]],BH!G:G,1,)&lt;&gt;"",1,0),0)</f>
        <v>0</v>
      </c>
      <c r="P1796">
        <f>IF(OR(calendar[[#This Row],[UK_BH]]=1,calendar[[#This Row],[WeekDay]]=1, calendar[[#This Row],[WeekDay]]=7),P1795,P1795+1)</f>
        <v>1282</v>
      </c>
      <c r="Q1796">
        <f>IF(OR(calendar[[#This Row],[FR_BH]]=1,calendar[[#This Row],[WeekDay]]=1, calendar[[#This Row],[WeekDay]]=7),P1795,P1795+1)</f>
        <v>1282</v>
      </c>
      <c r="R1796">
        <f>IF(OR(calendar[[#This Row],[SP_BH]]=1,calendar[[#This Row],[WeekDay]]=1, calendar[[#This Row],[WeekDay]]=7),P1795,P1795+1)</f>
        <v>1282</v>
      </c>
      <c r="S1796">
        <f>IF(OR(calendar[[#This Row],[PT_BH]]=1,calendar[[#This Row],[WeekDay]]=1, calendar[[#This Row],[WeekDay]]=7),P1795,P1795+1)</f>
        <v>1282</v>
      </c>
    </row>
    <row r="1797" spans="1:19" x14ac:dyDescent="0.25">
      <c r="A1797" s="2">
        <v>44531</v>
      </c>
      <c r="B1797" s="1">
        <f t="shared" si="143"/>
        <v>49</v>
      </c>
      <c r="C1797">
        <f t="shared" si="140"/>
        <v>12</v>
      </c>
      <c r="D1797" t="str">
        <f t="shared" si="141"/>
        <v>December</v>
      </c>
      <c r="E1797">
        <f t="shared" si="142"/>
        <v>2021</v>
      </c>
      <c r="F1797" t="str">
        <f>CONCATENATE(calendar[[#This Row],[Month]],"/",calendar[[#This Row],[Year]])</f>
        <v>12/2021</v>
      </c>
      <c r="G1797">
        <f>WEEKDAY(calendar[[#This Row],[Date]],1)</f>
        <v>4</v>
      </c>
      <c r="H1797" t="str">
        <f>TEXT(calendar[[#This Row],[WeekDay]],"dddd")</f>
        <v>Wednesday</v>
      </c>
      <c r="I1797">
        <f>IF((INT(calendar[[#This Row],[Count]]/7)-calendar[[#This Row],[Count]]/7)&lt;0,I1796,I1796+1)</f>
        <v>257</v>
      </c>
      <c r="J1797">
        <f t="shared" si="144"/>
        <v>1795</v>
      </c>
      <c r="K1797">
        <f>IF(calendar[[#This Row],[Month]]&lt;4,1,IF(calendar[[#This Row],[Month]]&lt;7,2,IF(calendar[[#This Row],[Month]]&lt;10,3,4)))</f>
        <v>4</v>
      </c>
      <c r="L1797">
        <f>IFERROR(IF(VLOOKUP(calendar[[#This Row],[Date]],BH!A:A,1,)&lt;&gt;"",1,0),0)</f>
        <v>0</v>
      </c>
      <c r="M1797">
        <f>IFERROR(IF(VLOOKUP(calendar[[#This Row],[Date]],BH!C:C,1,)&lt;&gt;"",1,0),0)</f>
        <v>0</v>
      </c>
      <c r="N1797">
        <f>IFERROR(IF(VLOOKUP(calendar[[#This Row],[Date]],BH!E:E,1,)&lt;&gt;"",1,0),0)</f>
        <v>0</v>
      </c>
      <c r="O1797">
        <f>IFERROR(IF(VLOOKUP(calendar[[#This Row],[Date]],BH!G:G,1,)&lt;&gt;"",1,0),0)</f>
        <v>0</v>
      </c>
      <c r="P1797">
        <f>IF(OR(calendar[[#This Row],[UK_BH]]=1,calendar[[#This Row],[WeekDay]]=1, calendar[[#This Row],[WeekDay]]=7),P1796,P1796+1)</f>
        <v>1283</v>
      </c>
      <c r="Q1797">
        <f>IF(OR(calendar[[#This Row],[FR_BH]]=1,calendar[[#This Row],[WeekDay]]=1, calendar[[#This Row],[WeekDay]]=7),P1796,P1796+1)</f>
        <v>1283</v>
      </c>
      <c r="R1797">
        <f>IF(OR(calendar[[#This Row],[SP_BH]]=1,calendar[[#This Row],[WeekDay]]=1, calendar[[#This Row],[WeekDay]]=7),P1796,P1796+1)</f>
        <v>1283</v>
      </c>
      <c r="S1797">
        <f>IF(OR(calendar[[#This Row],[PT_BH]]=1,calendar[[#This Row],[WeekDay]]=1, calendar[[#This Row],[WeekDay]]=7),P1796,P1796+1)</f>
        <v>1283</v>
      </c>
    </row>
    <row r="1798" spans="1:19" x14ac:dyDescent="0.25">
      <c r="A1798" s="2">
        <v>44532</v>
      </c>
      <c r="B1798" s="1">
        <f t="shared" si="143"/>
        <v>49</v>
      </c>
      <c r="C1798">
        <f t="shared" si="140"/>
        <v>12</v>
      </c>
      <c r="D1798" t="str">
        <f t="shared" si="141"/>
        <v>December</v>
      </c>
      <c r="E1798">
        <f t="shared" si="142"/>
        <v>2021</v>
      </c>
      <c r="F1798" t="str">
        <f>CONCATENATE(calendar[[#This Row],[Month]],"/",calendar[[#This Row],[Year]])</f>
        <v>12/2021</v>
      </c>
      <c r="G1798">
        <f>WEEKDAY(calendar[[#This Row],[Date]],1)</f>
        <v>5</v>
      </c>
      <c r="H1798" t="str">
        <f>TEXT(calendar[[#This Row],[WeekDay]],"dddd")</f>
        <v>Thursday</v>
      </c>
      <c r="I1798">
        <f>IF((INT(calendar[[#This Row],[Count]]/7)-calendar[[#This Row],[Count]]/7)&lt;0,I1797,I1797+1)</f>
        <v>257</v>
      </c>
      <c r="J1798">
        <f t="shared" si="144"/>
        <v>1796</v>
      </c>
      <c r="K1798">
        <f>IF(calendar[[#This Row],[Month]]&lt;4,1,IF(calendar[[#This Row],[Month]]&lt;7,2,IF(calendar[[#This Row],[Month]]&lt;10,3,4)))</f>
        <v>4</v>
      </c>
      <c r="L1798">
        <f>IFERROR(IF(VLOOKUP(calendar[[#This Row],[Date]],BH!A:A,1,)&lt;&gt;"",1,0),0)</f>
        <v>0</v>
      </c>
      <c r="M1798">
        <f>IFERROR(IF(VLOOKUP(calendar[[#This Row],[Date]],BH!C:C,1,)&lt;&gt;"",1,0),0)</f>
        <v>0</v>
      </c>
      <c r="N1798">
        <f>IFERROR(IF(VLOOKUP(calendar[[#This Row],[Date]],BH!E:E,1,)&lt;&gt;"",1,0),0)</f>
        <v>0</v>
      </c>
      <c r="O1798">
        <f>IFERROR(IF(VLOOKUP(calendar[[#This Row],[Date]],BH!G:G,1,)&lt;&gt;"",1,0),0)</f>
        <v>0</v>
      </c>
      <c r="P1798">
        <f>IF(OR(calendar[[#This Row],[UK_BH]]=1,calendar[[#This Row],[WeekDay]]=1, calendar[[#This Row],[WeekDay]]=7),P1797,P1797+1)</f>
        <v>1284</v>
      </c>
      <c r="Q1798">
        <f>IF(OR(calendar[[#This Row],[FR_BH]]=1,calendar[[#This Row],[WeekDay]]=1, calendar[[#This Row],[WeekDay]]=7),P1797,P1797+1)</f>
        <v>1284</v>
      </c>
      <c r="R1798">
        <f>IF(OR(calendar[[#This Row],[SP_BH]]=1,calendar[[#This Row],[WeekDay]]=1, calendar[[#This Row],[WeekDay]]=7),P1797,P1797+1)</f>
        <v>1284</v>
      </c>
      <c r="S1798">
        <f>IF(OR(calendar[[#This Row],[PT_BH]]=1,calendar[[#This Row],[WeekDay]]=1, calendar[[#This Row],[WeekDay]]=7),P1797,P1797+1)</f>
        <v>1284</v>
      </c>
    </row>
    <row r="1799" spans="1:19" x14ac:dyDescent="0.25">
      <c r="A1799" s="2">
        <v>44533</v>
      </c>
      <c r="B1799" s="1">
        <f t="shared" si="143"/>
        <v>49</v>
      </c>
      <c r="C1799">
        <f t="shared" si="140"/>
        <v>12</v>
      </c>
      <c r="D1799" t="str">
        <f t="shared" si="141"/>
        <v>December</v>
      </c>
      <c r="E1799">
        <f t="shared" si="142"/>
        <v>2021</v>
      </c>
      <c r="F1799" t="str">
        <f>CONCATENATE(calendar[[#This Row],[Month]],"/",calendar[[#This Row],[Year]])</f>
        <v>12/2021</v>
      </c>
      <c r="G1799">
        <f>WEEKDAY(calendar[[#This Row],[Date]],1)</f>
        <v>6</v>
      </c>
      <c r="H1799" t="str">
        <f>TEXT(calendar[[#This Row],[WeekDay]],"dddd")</f>
        <v>Friday</v>
      </c>
      <c r="I1799">
        <f>IF((INT(calendar[[#This Row],[Count]]/7)-calendar[[#This Row],[Count]]/7)&lt;0,I1798,I1798+1)</f>
        <v>257</v>
      </c>
      <c r="J1799">
        <f t="shared" si="144"/>
        <v>1797</v>
      </c>
      <c r="K1799">
        <f>IF(calendar[[#This Row],[Month]]&lt;4,1,IF(calendar[[#This Row],[Month]]&lt;7,2,IF(calendar[[#This Row],[Month]]&lt;10,3,4)))</f>
        <v>4</v>
      </c>
      <c r="L1799">
        <f>IFERROR(IF(VLOOKUP(calendar[[#This Row],[Date]],BH!A:A,1,)&lt;&gt;"",1,0),0)</f>
        <v>0</v>
      </c>
      <c r="M1799">
        <f>IFERROR(IF(VLOOKUP(calendar[[#This Row],[Date]],BH!C:C,1,)&lt;&gt;"",1,0),0)</f>
        <v>0</v>
      </c>
      <c r="N1799">
        <f>IFERROR(IF(VLOOKUP(calendar[[#This Row],[Date]],BH!E:E,1,)&lt;&gt;"",1,0),0)</f>
        <v>0</v>
      </c>
      <c r="O1799">
        <f>IFERROR(IF(VLOOKUP(calendar[[#This Row],[Date]],BH!G:G,1,)&lt;&gt;"",1,0),0)</f>
        <v>0</v>
      </c>
      <c r="P1799">
        <f>IF(OR(calendar[[#This Row],[UK_BH]]=1,calendar[[#This Row],[WeekDay]]=1, calendar[[#This Row],[WeekDay]]=7),P1798,P1798+1)</f>
        <v>1285</v>
      </c>
      <c r="Q1799">
        <f>IF(OR(calendar[[#This Row],[FR_BH]]=1,calendar[[#This Row],[WeekDay]]=1, calendar[[#This Row],[WeekDay]]=7),P1798,P1798+1)</f>
        <v>1285</v>
      </c>
      <c r="R1799">
        <f>IF(OR(calendar[[#This Row],[SP_BH]]=1,calendar[[#This Row],[WeekDay]]=1, calendar[[#This Row],[WeekDay]]=7),P1798,P1798+1)</f>
        <v>1285</v>
      </c>
      <c r="S1799">
        <f>IF(OR(calendar[[#This Row],[PT_BH]]=1,calendar[[#This Row],[WeekDay]]=1, calendar[[#This Row],[WeekDay]]=7),P1798,P1798+1)</f>
        <v>1285</v>
      </c>
    </row>
    <row r="1800" spans="1:19" x14ac:dyDescent="0.25">
      <c r="A1800" s="2">
        <v>44534</v>
      </c>
      <c r="B1800" s="1">
        <f t="shared" si="143"/>
        <v>49</v>
      </c>
      <c r="C1800">
        <f t="shared" si="140"/>
        <v>12</v>
      </c>
      <c r="D1800" t="str">
        <f t="shared" si="141"/>
        <v>December</v>
      </c>
      <c r="E1800">
        <f t="shared" si="142"/>
        <v>2021</v>
      </c>
      <c r="F1800" t="str">
        <f>CONCATENATE(calendar[[#This Row],[Month]],"/",calendar[[#This Row],[Year]])</f>
        <v>12/2021</v>
      </c>
      <c r="G1800">
        <f>WEEKDAY(calendar[[#This Row],[Date]],1)</f>
        <v>7</v>
      </c>
      <c r="H1800" t="str">
        <f>TEXT(calendar[[#This Row],[WeekDay]],"dddd")</f>
        <v>Saturday</v>
      </c>
      <c r="I1800">
        <f>IF((INT(calendar[[#This Row],[Count]]/7)-calendar[[#This Row],[Count]]/7)&lt;0,I1799,I1799+1)</f>
        <v>257</v>
      </c>
      <c r="J1800">
        <f t="shared" si="144"/>
        <v>1798</v>
      </c>
      <c r="K1800">
        <f>IF(calendar[[#This Row],[Month]]&lt;4,1,IF(calendar[[#This Row],[Month]]&lt;7,2,IF(calendar[[#This Row],[Month]]&lt;10,3,4)))</f>
        <v>4</v>
      </c>
      <c r="L1800">
        <f>IFERROR(IF(VLOOKUP(calendar[[#This Row],[Date]],BH!A:A,1,)&lt;&gt;"",1,0),0)</f>
        <v>0</v>
      </c>
      <c r="M1800">
        <f>IFERROR(IF(VLOOKUP(calendar[[#This Row],[Date]],BH!C:C,1,)&lt;&gt;"",1,0),0)</f>
        <v>0</v>
      </c>
      <c r="N1800">
        <f>IFERROR(IF(VLOOKUP(calendar[[#This Row],[Date]],BH!E:E,1,)&lt;&gt;"",1,0),0)</f>
        <v>0</v>
      </c>
      <c r="O1800">
        <f>IFERROR(IF(VLOOKUP(calendar[[#This Row],[Date]],BH!G:G,1,)&lt;&gt;"",1,0),0)</f>
        <v>0</v>
      </c>
      <c r="P1800">
        <f>IF(OR(calendar[[#This Row],[UK_BH]]=1,calendar[[#This Row],[WeekDay]]=1, calendar[[#This Row],[WeekDay]]=7),P1799,P1799+1)</f>
        <v>1285</v>
      </c>
      <c r="Q1800">
        <f>IF(OR(calendar[[#This Row],[FR_BH]]=1,calendar[[#This Row],[WeekDay]]=1, calendar[[#This Row],[WeekDay]]=7),P1799,P1799+1)</f>
        <v>1285</v>
      </c>
      <c r="R1800">
        <f>IF(OR(calendar[[#This Row],[SP_BH]]=1,calendar[[#This Row],[WeekDay]]=1, calendar[[#This Row],[WeekDay]]=7),P1799,P1799+1)</f>
        <v>1285</v>
      </c>
      <c r="S1800">
        <f>IF(OR(calendar[[#This Row],[PT_BH]]=1,calendar[[#This Row],[WeekDay]]=1, calendar[[#This Row],[WeekDay]]=7),P1799,P1799+1)</f>
        <v>1285</v>
      </c>
    </row>
    <row r="1801" spans="1:19" x14ac:dyDescent="0.25">
      <c r="A1801" s="2">
        <v>44535</v>
      </c>
      <c r="B1801" s="1">
        <f t="shared" si="143"/>
        <v>50</v>
      </c>
      <c r="C1801">
        <f t="shared" si="140"/>
        <v>12</v>
      </c>
      <c r="D1801" t="str">
        <f t="shared" si="141"/>
        <v>December</v>
      </c>
      <c r="E1801">
        <f t="shared" si="142"/>
        <v>2021</v>
      </c>
      <c r="F1801" t="str">
        <f>CONCATENATE(calendar[[#This Row],[Month]],"/",calendar[[#This Row],[Year]])</f>
        <v>12/2021</v>
      </c>
      <c r="G1801">
        <f>WEEKDAY(calendar[[#This Row],[Date]],1)</f>
        <v>1</v>
      </c>
      <c r="H1801" t="str">
        <f>TEXT(calendar[[#This Row],[WeekDay]],"dddd")</f>
        <v>Sunday</v>
      </c>
      <c r="I1801">
        <f>IF((INT(calendar[[#This Row],[Count]]/7)-calendar[[#This Row],[Count]]/7)&lt;0,I1800,I1800+1)</f>
        <v>258</v>
      </c>
      <c r="J1801">
        <f t="shared" si="144"/>
        <v>1799</v>
      </c>
      <c r="K1801">
        <f>IF(calendar[[#This Row],[Month]]&lt;4,1,IF(calendar[[#This Row],[Month]]&lt;7,2,IF(calendar[[#This Row],[Month]]&lt;10,3,4)))</f>
        <v>4</v>
      </c>
      <c r="L1801">
        <f>IFERROR(IF(VLOOKUP(calendar[[#This Row],[Date]],BH!A:A,1,)&lt;&gt;"",1,0),0)</f>
        <v>0</v>
      </c>
      <c r="M1801">
        <f>IFERROR(IF(VLOOKUP(calendar[[#This Row],[Date]],BH!C:C,1,)&lt;&gt;"",1,0),0)</f>
        <v>0</v>
      </c>
      <c r="N1801">
        <f>IFERROR(IF(VLOOKUP(calendar[[#This Row],[Date]],BH!E:E,1,)&lt;&gt;"",1,0),0)</f>
        <v>0</v>
      </c>
      <c r="O1801">
        <f>IFERROR(IF(VLOOKUP(calendar[[#This Row],[Date]],BH!G:G,1,)&lt;&gt;"",1,0),0)</f>
        <v>0</v>
      </c>
      <c r="P1801">
        <f>IF(OR(calendar[[#This Row],[UK_BH]]=1,calendar[[#This Row],[WeekDay]]=1, calendar[[#This Row],[WeekDay]]=7),P1800,P1800+1)</f>
        <v>1285</v>
      </c>
      <c r="Q1801">
        <f>IF(OR(calendar[[#This Row],[FR_BH]]=1,calendar[[#This Row],[WeekDay]]=1, calendar[[#This Row],[WeekDay]]=7),P1800,P1800+1)</f>
        <v>1285</v>
      </c>
      <c r="R1801">
        <f>IF(OR(calendar[[#This Row],[SP_BH]]=1,calendar[[#This Row],[WeekDay]]=1, calendar[[#This Row],[WeekDay]]=7),P1800,P1800+1)</f>
        <v>1285</v>
      </c>
      <c r="S1801">
        <f>IF(OR(calendar[[#This Row],[PT_BH]]=1,calendar[[#This Row],[WeekDay]]=1, calendar[[#This Row],[WeekDay]]=7),P1800,P1800+1)</f>
        <v>1285</v>
      </c>
    </row>
    <row r="1802" spans="1:19" x14ac:dyDescent="0.25">
      <c r="A1802" s="2">
        <v>44536</v>
      </c>
      <c r="B1802" s="1">
        <f t="shared" si="143"/>
        <v>50</v>
      </c>
      <c r="C1802">
        <f t="shared" si="140"/>
        <v>12</v>
      </c>
      <c r="D1802" t="str">
        <f t="shared" si="141"/>
        <v>December</v>
      </c>
      <c r="E1802">
        <f t="shared" si="142"/>
        <v>2021</v>
      </c>
      <c r="F1802" t="str">
        <f>CONCATENATE(calendar[[#This Row],[Month]],"/",calendar[[#This Row],[Year]])</f>
        <v>12/2021</v>
      </c>
      <c r="G1802">
        <f>WEEKDAY(calendar[[#This Row],[Date]],1)</f>
        <v>2</v>
      </c>
      <c r="H1802" t="str">
        <f>TEXT(calendar[[#This Row],[WeekDay]],"dddd")</f>
        <v>Monday</v>
      </c>
      <c r="I1802">
        <f>IF((INT(calendar[[#This Row],[Count]]/7)-calendar[[#This Row],[Count]]/7)&lt;0,I1801,I1801+1)</f>
        <v>258</v>
      </c>
      <c r="J1802">
        <f t="shared" si="144"/>
        <v>1800</v>
      </c>
      <c r="K1802">
        <f>IF(calendar[[#This Row],[Month]]&lt;4,1,IF(calendar[[#This Row],[Month]]&lt;7,2,IF(calendar[[#This Row],[Month]]&lt;10,3,4)))</f>
        <v>4</v>
      </c>
      <c r="L1802">
        <f>IFERROR(IF(VLOOKUP(calendar[[#This Row],[Date]],BH!A:A,1,)&lt;&gt;"",1,0),0)</f>
        <v>0</v>
      </c>
      <c r="M1802">
        <f>IFERROR(IF(VLOOKUP(calendar[[#This Row],[Date]],BH!C:C,1,)&lt;&gt;"",1,0),0)</f>
        <v>0</v>
      </c>
      <c r="N1802">
        <f>IFERROR(IF(VLOOKUP(calendar[[#This Row],[Date]],BH!E:E,1,)&lt;&gt;"",1,0),0)</f>
        <v>0</v>
      </c>
      <c r="O1802">
        <f>IFERROR(IF(VLOOKUP(calendar[[#This Row],[Date]],BH!G:G,1,)&lt;&gt;"",1,0),0)</f>
        <v>0</v>
      </c>
      <c r="P1802">
        <f>IF(OR(calendar[[#This Row],[UK_BH]]=1,calendar[[#This Row],[WeekDay]]=1, calendar[[#This Row],[WeekDay]]=7),P1801,P1801+1)</f>
        <v>1286</v>
      </c>
      <c r="Q1802">
        <f>IF(OR(calendar[[#This Row],[FR_BH]]=1,calendar[[#This Row],[WeekDay]]=1, calendar[[#This Row],[WeekDay]]=7),P1801,P1801+1)</f>
        <v>1286</v>
      </c>
      <c r="R1802">
        <f>IF(OR(calendar[[#This Row],[SP_BH]]=1,calendar[[#This Row],[WeekDay]]=1, calendar[[#This Row],[WeekDay]]=7),P1801,P1801+1)</f>
        <v>1286</v>
      </c>
      <c r="S1802">
        <f>IF(OR(calendar[[#This Row],[PT_BH]]=1,calendar[[#This Row],[WeekDay]]=1, calendar[[#This Row],[WeekDay]]=7),P1801,P1801+1)</f>
        <v>1286</v>
      </c>
    </row>
    <row r="1803" spans="1:19" x14ac:dyDescent="0.25">
      <c r="A1803" s="2">
        <v>44537</v>
      </c>
      <c r="B1803" s="1">
        <f t="shared" si="143"/>
        <v>50</v>
      </c>
      <c r="C1803">
        <f t="shared" si="140"/>
        <v>12</v>
      </c>
      <c r="D1803" t="str">
        <f t="shared" si="141"/>
        <v>December</v>
      </c>
      <c r="E1803">
        <f t="shared" si="142"/>
        <v>2021</v>
      </c>
      <c r="F1803" t="str">
        <f>CONCATENATE(calendar[[#This Row],[Month]],"/",calendar[[#This Row],[Year]])</f>
        <v>12/2021</v>
      </c>
      <c r="G1803">
        <f>WEEKDAY(calendar[[#This Row],[Date]],1)</f>
        <v>3</v>
      </c>
      <c r="H1803" t="str">
        <f>TEXT(calendar[[#This Row],[WeekDay]],"dddd")</f>
        <v>Tuesday</v>
      </c>
      <c r="I1803">
        <f>IF((INT(calendar[[#This Row],[Count]]/7)-calendar[[#This Row],[Count]]/7)&lt;0,I1802,I1802+1)</f>
        <v>258</v>
      </c>
      <c r="J1803">
        <f t="shared" si="144"/>
        <v>1801</v>
      </c>
      <c r="K1803">
        <f>IF(calendar[[#This Row],[Month]]&lt;4,1,IF(calendar[[#This Row],[Month]]&lt;7,2,IF(calendar[[#This Row],[Month]]&lt;10,3,4)))</f>
        <v>4</v>
      </c>
      <c r="L1803">
        <f>IFERROR(IF(VLOOKUP(calendar[[#This Row],[Date]],BH!A:A,1,)&lt;&gt;"",1,0),0)</f>
        <v>0</v>
      </c>
      <c r="M1803">
        <f>IFERROR(IF(VLOOKUP(calendar[[#This Row],[Date]],BH!C:C,1,)&lt;&gt;"",1,0),0)</f>
        <v>0</v>
      </c>
      <c r="N1803">
        <f>IFERROR(IF(VLOOKUP(calendar[[#This Row],[Date]],BH!E:E,1,)&lt;&gt;"",1,0),0)</f>
        <v>0</v>
      </c>
      <c r="O1803">
        <f>IFERROR(IF(VLOOKUP(calendar[[#This Row],[Date]],BH!G:G,1,)&lt;&gt;"",1,0),0)</f>
        <v>0</v>
      </c>
      <c r="P1803">
        <f>IF(OR(calendar[[#This Row],[UK_BH]]=1,calendar[[#This Row],[WeekDay]]=1, calendar[[#This Row],[WeekDay]]=7),P1802,P1802+1)</f>
        <v>1287</v>
      </c>
      <c r="Q1803">
        <f>IF(OR(calendar[[#This Row],[FR_BH]]=1,calendar[[#This Row],[WeekDay]]=1, calendar[[#This Row],[WeekDay]]=7),P1802,P1802+1)</f>
        <v>1287</v>
      </c>
      <c r="R1803">
        <f>IF(OR(calendar[[#This Row],[SP_BH]]=1,calendar[[#This Row],[WeekDay]]=1, calendar[[#This Row],[WeekDay]]=7),P1802,P1802+1)</f>
        <v>1287</v>
      </c>
      <c r="S1803">
        <f>IF(OR(calendar[[#This Row],[PT_BH]]=1,calendar[[#This Row],[WeekDay]]=1, calendar[[#This Row],[WeekDay]]=7),P1802,P1802+1)</f>
        <v>1287</v>
      </c>
    </row>
    <row r="1804" spans="1:19" x14ac:dyDescent="0.25">
      <c r="A1804" s="2">
        <v>44538</v>
      </c>
      <c r="B1804" s="1">
        <f t="shared" si="143"/>
        <v>50</v>
      </c>
      <c r="C1804">
        <f t="shared" si="140"/>
        <v>12</v>
      </c>
      <c r="D1804" t="str">
        <f t="shared" si="141"/>
        <v>December</v>
      </c>
      <c r="E1804">
        <f t="shared" si="142"/>
        <v>2021</v>
      </c>
      <c r="F1804" t="str">
        <f>CONCATENATE(calendar[[#This Row],[Month]],"/",calendar[[#This Row],[Year]])</f>
        <v>12/2021</v>
      </c>
      <c r="G1804">
        <f>WEEKDAY(calendar[[#This Row],[Date]],1)</f>
        <v>4</v>
      </c>
      <c r="H1804" t="str">
        <f>TEXT(calendar[[#This Row],[WeekDay]],"dddd")</f>
        <v>Wednesday</v>
      </c>
      <c r="I1804">
        <f>IF((INT(calendar[[#This Row],[Count]]/7)-calendar[[#This Row],[Count]]/7)&lt;0,I1803,I1803+1)</f>
        <v>258</v>
      </c>
      <c r="J1804">
        <f t="shared" si="144"/>
        <v>1802</v>
      </c>
      <c r="K1804">
        <f>IF(calendar[[#This Row],[Month]]&lt;4,1,IF(calendar[[#This Row],[Month]]&lt;7,2,IF(calendar[[#This Row],[Month]]&lt;10,3,4)))</f>
        <v>4</v>
      </c>
      <c r="L1804">
        <f>IFERROR(IF(VLOOKUP(calendar[[#This Row],[Date]],BH!A:A,1,)&lt;&gt;"",1,0),0)</f>
        <v>0</v>
      </c>
      <c r="M1804">
        <f>IFERROR(IF(VLOOKUP(calendar[[#This Row],[Date]],BH!C:C,1,)&lt;&gt;"",1,0),0)</f>
        <v>0</v>
      </c>
      <c r="N1804">
        <f>IFERROR(IF(VLOOKUP(calendar[[#This Row],[Date]],BH!E:E,1,)&lt;&gt;"",1,0),0)</f>
        <v>0</v>
      </c>
      <c r="O1804">
        <f>IFERROR(IF(VLOOKUP(calendar[[#This Row],[Date]],BH!G:G,1,)&lt;&gt;"",1,0),0)</f>
        <v>0</v>
      </c>
      <c r="P1804">
        <f>IF(OR(calendar[[#This Row],[UK_BH]]=1,calendar[[#This Row],[WeekDay]]=1, calendar[[#This Row],[WeekDay]]=7),P1803,P1803+1)</f>
        <v>1288</v>
      </c>
      <c r="Q1804">
        <f>IF(OR(calendar[[#This Row],[FR_BH]]=1,calendar[[#This Row],[WeekDay]]=1, calendar[[#This Row],[WeekDay]]=7),P1803,P1803+1)</f>
        <v>1288</v>
      </c>
      <c r="R1804">
        <f>IF(OR(calendar[[#This Row],[SP_BH]]=1,calendar[[#This Row],[WeekDay]]=1, calendar[[#This Row],[WeekDay]]=7),P1803,P1803+1)</f>
        <v>1288</v>
      </c>
      <c r="S1804">
        <f>IF(OR(calendar[[#This Row],[PT_BH]]=1,calendar[[#This Row],[WeekDay]]=1, calendar[[#This Row],[WeekDay]]=7),P1803,P1803+1)</f>
        <v>1288</v>
      </c>
    </row>
    <row r="1805" spans="1:19" x14ac:dyDescent="0.25">
      <c r="A1805" s="2">
        <v>44539</v>
      </c>
      <c r="B1805" s="1">
        <f t="shared" si="143"/>
        <v>50</v>
      </c>
      <c r="C1805">
        <f t="shared" si="140"/>
        <v>12</v>
      </c>
      <c r="D1805" t="str">
        <f t="shared" si="141"/>
        <v>December</v>
      </c>
      <c r="E1805">
        <f t="shared" si="142"/>
        <v>2021</v>
      </c>
      <c r="F1805" t="str">
        <f>CONCATENATE(calendar[[#This Row],[Month]],"/",calendar[[#This Row],[Year]])</f>
        <v>12/2021</v>
      </c>
      <c r="G1805">
        <f>WEEKDAY(calendar[[#This Row],[Date]],1)</f>
        <v>5</v>
      </c>
      <c r="H1805" t="str">
        <f>TEXT(calendar[[#This Row],[WeekDay]],"dddd")</f>
        <v>Thursday</v>
      </c>
      <c r="I1805">
        <f>IF((INT(calendar[[#This Row],[Count]]/7)-calendar[[#This Row],[Count]]/7)&lt;0,I1804,I1804+1)</f>
        <v>258</v>
      </c>
      <c r="J1805">
        <f t="shared" si="144"/>
        <v>1803</v>
      </c>
      <c r="K1805">
        <f>IF(calendar[[#This Row],[Month]]&lt;4,1,IF(calendar[[#This Row],[Month]]&lt;7,2,IF(calendar[[#This Row],[Month]]&lt;10,3,4)))</f>
        <v>4</v>
      </c>
      <c r="L1805">
        <f>IFERROR(IF(VLOOKUP(calendar[[#This Row],[Date]],BH!A:A,1,)&lt;&gt;"",1,0),0)</f>
        <v>0</v>
      </c>
      <c r="M1805">
        <f>IFERROR(IF(VLOOKUP(calendar[[#This Row],[Date]],BH!C:C,1,)&lt;&gt;"",1,0),0)</f>
        <v>0</v>
      </c>
      <c r="N1805">
        <f>IFERROR(IF(VLOOKUP(calendar[[#This Row],[Date]],BH!E:E,1,)&lt;&gt;"",1,0),0)</f>
        <v>0</v>
      </c>
      <c r="O1805">
        <f>IFERROR(IF(VLOOKUP(calendar[[#This Row],[Date]],BH!G:G,1,)&lt;&gt;"",1,0),0)</f>
        <v>0</v>
      </c>
      <c r="P1805">
        <f>IF(OR(calendar[[#This Row],[UK_BH]]=1,calendar[[#This Row],[WeekDay]]=1, calendar[[#This Row],[WeekDay]]=7),P1804,P1804+1)</f>
        <v>1289</v>
      </c>
      <c r="Q1805">
        <f>IF(OR(calendar[[#This Row],[FR_BH]]=1,calendar[[#This Row],[WeekDay]]=1, calendar[[#This Row],[WeekDay]]=7),P1804,P1804+1)</f>
        <v>1289</v>
      </c>
      <c r="R1805">
        <f>IF(OR(calendar[[#This Row],[SP_BH]]=1,calendar[[#This Row],[WeekDay]]=1, calendar[[#This Row],[WeekDay]]=7),P1804,P1804+1)</f>
        <v>1289</v>
      </c>
      <c r="S1805">
        <f>IF(OR(calendar[[#This Row],[PT_BH]]=1,calendar[[#This Row],[WeekDay]]=1, calendar[[#This Row],[WeekDay]]=7),P1804,P1804+1)</f>
        <v>1289</v>
      </c>
    </row>
    <row r="1806" spans="1:19" x14ac:dyDescent="0.25">
      <c r="A1806" s="2">
        <v>44540</v>
      </c>
      <c r="B1806" s="1">
        <f t="shared" si="143"/>
        <v>50</v>
      </c>
      <c r="C1806">
        <f t="shared" si="140"/>
        <v>12</v>
      </c>
      <c r="D1806" t="str">
        <f t="shared" si="141"/>
        <v>December</v>
      </c>
      <c r="E1806">
        <f t="shared" si="142"/>
        <v>2021</v>
      </c>
      <c r="F1806" t="str">
        <f>CONCATENATE(calendar[[#This Row],[Month]],"/",calendar[[#This Row],[Year]])</f>
        <v>12/2021</v>
      </c>
      <c r="G1806">
        <f>WEEKDAY(calendar[[#This Row],[Date]],1)</f>
        <v>6</v>
      </c>
      <c r="H1806" t="str">
        <f>TEXT(calendar[[#This Row],[WeekDay]],"dddd")</f>
        <v>Friday</v>
      </c>
      <c r="I1806">
        <f>IF((INT(calendar[[#This Row],[Count]]/7)-calendar[[#This Row],[Count]]/7)&lt;0,I1805,I1805+1)</f>
        <v>258</v>
      </c>
      <c r="J1806">
        <f t="shared" si="144"/>
        <v>1804</v>
      </c>
      <c r="K1806">
        <f>IF(calendar[[#This Row],[Month]]&lt;4,1,IF(calendar[[#This Row],[Month]]&lt;7,2,IF(calendar[[#This Row],[Month]]&lt;10,3,4)))</f>
        <v>4</v>
      </c>
      <c r="L1806">
        <f>IFERROR(IF(VLOOKUP(calendar[[#This Row],[Date]],BH!A:A,1,)&lt;&gt;"",1,0),0)</f>
        <v>0</v>
      </c>
      <c r="M1806">
        <f>IFERROR(IF(VLOOKUP(calendar[[#This Row],[Date]],BH!C:C,1,)&lt;&gt;"",1,0),0)</f>
        <v>0</v>
      </c>
      <c r="N1806">
        <f>IFERROR(IF(VLOOKUP(calendar[[#This Row],[Date]],BH!E:E,1,)&lt;&gt;"",1,0),0)</f>
        <v>0</v>
      </c>
      <c r="O1806">
        <f>IFERROR(IF(VLOOKUP(calendar[[#This Row],[Date]],BH!G:G,1,)&lt;&gt;"",1,0),0)</f>
        <v>0</v>
      </c>
      <c r="P1806">
        <f>IF(OR(calendar[[#This Row],[UK_BH]]=1,calendar[[#This Row],[WeekDay]]=1, calendar[[#This Row],[WeekDay]]=7),P1805,P1805+1)</f>
        <v>1290</v>
      </c>
      <c r="Q1806">
        <f>IF(OR(calendar[[#This Row],[FR_BH]]=1,calendar[[#This Row],[WeekDay]]=1, calendar[[#This Row],[WeekDay]]=7),P1805,P1805+1)</f>
        <v>1290</v>
      </c>
      <c r="R1806">
        <f>IF(OR(calendar[[#This Row],[SP_BH]]=1,calendar[[#This Row],[WeekDay]]=1, calendar[[#This Row],[WeekDay]]=7),P1805,P1805+1)</f>
        <v>1290</v>
      </c>
      <c r="S1806">
        <f>IF(OR(calendar[[#This Row],[PT_BH]]=1,calendar[[#This Row],[WeekDay]]=1, calendar[[#This Row],[WeekDay]]=7),P1805,P1805+1)</f>
        <v>1290</v>
      </c>
    </row>
    <row r="1807" spans="1:19" x14ac:dyDescent="0.25">
      <c r="A1807" s="2">
        <v>44541</v>
      </c>
      <c r="B1807" s="1">
        <f t="shared" si="143"/>
        <v>50</v>
      </c>
      <c r="C1807">
        <f t="shared" si="140"/>
        <v>12</v>
      </c>
      <c r="D1807" t="str">
        <f t="shared" si="141"/>
        <v>December</v>
      </c>
      <c r="E1807">
        <f t="shared" si="142"/>
        <v>2021</v>
      </c>
      <c r="F1807" t="str">
        <f>CONCATENATE(calendar[[#This Row],[Month]],"/",calendar[[#This Row],[Year]])</f>
        <v>12/2021</v>
      </c>
      <c r="G1807">
        <f>WEEKDAY(calendar[[#This Row],[Date]],1)</f>
        <v>7</v>
      </c>
      <c r="H1807" t="str">
        <f>TEXT(calendar[[#This Row],[WeekDay]],"dddd")</f>
        <v>Saturday</v>
      </c>
      <c r="I1807">
        <f>IF((INT(calendar[[#This Row],[Count]]/7)-calendar[[#This Row],[Count]]/7)&lt;0,I1806,I1806+1)</f>
        <v>258</v>
      </c>
      <c r="J1807">
        <f t="shared" si="144"/>
        <v>1805</v>
      </c>
      <c r="K1807">
        <f>IF(calendar[[#This Row],[Month]]&lt;4,1,IF(calendar[[#This Row],[Month]]&lt;7,2,IF(calendar[[#This Row],[Month]]&lt;10,3,4)))</f>
        <v>4</v>
      </c>
      <c r="L1807">
        <f>IFERROR(IF(VLOOKUP(calendar[[#This Row],[Date]],BH!A:A,1,)&lt;&gt;"",1,0),0)</f>
        <v>0</v>
      </c>
      <c r="M1807">
        <f>IFERROR(IF(VLOOKUP(calendar[[#This Row],[Date]],BH!C:C,1,)&lt;&gt;"",1,0),0)</f>
        <v>0</v>
      </c>
      <c r="N1807">
        <f>IFERROR(IF(VLOOKUP(calendar[[#This Row],[Date]],BH!E:E,1,)&lt;&gt;"",1,0),0)</f>
        <v>0</v>
      </c>
      <c r="O1807">
        <f>IFERROR(IF(VLOOKUP(calendar[[#This Row],[Date]],BH!G:G,1,)&lt;&gt;"",1,0),0)</f>
        <v>0</v>
      </c>
      <c r="P1807">
        <f>IF(OR(calendar[[#This Row],[UK_BH]]=1,calendar[[#This Row],[WeekDay]]=1, calendar[[#This Row],[WeekDay]]=7),P1806,P1806+1)</f>
        <v>1290</v>
      </c>
      <c r="Q1807">
        <f>IF(OR(calendar[[#This Row],[FR_BH]]=1,calendar[[#This Row],[WeekDay]]=1, calendar[[#This Row],[WeekDay]]=7),P1806,P1806+1)</f>
        <v>1290</v>
      </c>
      <c r="R1807">
        <f>IF(OR(calendar[[#This Row],[SP_BH]]=1,calendar[[#This Row],[WeekDay]]=1, calendar[[#This Row],[WeekDay]]=7),P1806,P1806+1)</f>
        <v>1290</v>
      </c>
      <c r="S1807">
        <f>IF(OR(calendar[[#This Row],[PT_BH]]=1,calendar[[#This Row],[WeekDay]]=1, calendar[[#This Row],[WeekDay]]=7),P1806,P1806+1)</f>
        <v>1290</v>
      </c>
    </row>
    <row r="1808" spans="1:19" x14ac:dyDescent="0.25">
      <c r="A1808" s="2">
        <v>44542</v>
      </c>
      <c r="B1808" s="1">
        <f t="shared" si="143"/>
        <v>51</v>
      </c>
      <c r="C1808">
        <f t="shared" ref="C1808:C1871" si="145">MONTH(A1808)</f>
        <v>12</v>
      </c>
      <c r="D1808" t="str">
        <f t="shared" ref="D1808:D1871" si="146">TEXT(A1808,"mmmm")</f>
        <v>December</v>
      </c>
      <c r="E1808">
        <f t="shared" ref="E1808:E1871" si="147">YEAR(A1808)</f>
        <v>2021</v>
      </c>
      <c r="F1808" t="str">
        <f>CONCATENATE(calendar[[#This Row],[Month]],"/",calendar[[#This Row],[Year]])</f>
        <v>12/2021</v>
      </c>
      <c r="G1808">
        <f>WEEKDAY(calendar[[#This Row],[Date]],1)</f>
        <v>1</v>
      </c>
      <c r="H1808" t="str">
        <f>TEXT(calendar[[#This Row],[WeekDay]],"dddd")</f>
        <v>Sunday</v>
      </c>
      <c r="I1808">
        <f>IF((INT(calendar[[#This Row],[Count]]/7)-calendar[[#This Row],[Count]]/7)&lt;0,I1807,I1807+1)</f>
        <v>259</v>
      </c>
      <c r="J1808">
        <f t="shared" si="144"/>
        <v>1806</v>
      </c>
      <c r="K1808">
        <f>IF(calendar[[#This Row],[Month]]&lt;4,1,IF(calendar[[#This Row],[Month]]&lt;7,2,IF(calendar[[#This Row],[Month]]&lt;10,3,4)))</f>
        <v>4</v>
      </c>
      <c r="L1808">
        <f>IFERROR(IF(VLOOKUP(calendar[[#This Row],[Date]],BH!A:A,1,)&lt;&gt;"",1,0),0)</f>
        <v>0</v>
      </c>
      <c r="M1808">
        <f>IFERROR(IF(VLOOKUP(calendar[[#This Row],[Date]],BH!C:C,1,)&lt;&gt;"",1,0),0)</f>
        <v>0</v>
      </c>
      <c r="N1808">
        <f>IFERROR(IF(VLOOKUP(calendar[[#This Row],[Date]],BH!E:E,1,)&lt;&gt;"",1,0),0)</f>
        <v>0</v>
      </c>
      <c r="O1808">
        <f>IFERROR(IF(VLOOKUP(calendar[[#This Row],[Date]],BH!G:G,1,)&lt;&gt;"",1,0),0)</f>
        <v>0</v>
      </c>
      <c r="P1808">
        <f>IF(OR(calendar[[#This Row],[UK_BH]]=1,calendar[[#This Row],[WeekDay]]=1, calendar[[#This Row],[WeekDay]]=7),P1807,P1807+1)</f>
        <v>1290</v>
      </c>
      <c r="Q1808">
        <f>IF(OR(calendar[[#This Row],[FR_BH]]=1,calendar[[#This Row],[WeekDay]]=1, calendar[[#This Row],[WeekDay]]=7),P1807,P1807+1)</f>
        <v>1290</v>
      </c>
      <c r="R1808">
        <f>IF(OR(calendar[[#This Row],[SP_BH]]=1,calendar[[#This Row],[WeekDay]]=1, calendar[[#This Row],[WeekDay]]=7),P1807,P1807+1)</f>
        <v>1290</v>
      </c>
      <c r="S1808">
        <f>IF(OR(calendar[[#This Row],[PT_BH]]=1,calendar[[#This Row],[WeekDay]]=1, calendar[[#This Row],[WeekDay]]=7),P1807,P1807+1)</f>
        <v>1290</v>
      </c>
    </row>
    <row r="1809" spans="1:19" x14ac:dyDescent="0.25">
      <c r="A1809" s="2">
        <v>44543</v>
      </c>
      <c r="B1809" s="1">
        <f t="shared" si="143"/>
        <v>51</v>
      </c>
      <c r="C1809">
        <f t="shared" si="145"/>
        <v>12</v>
      </c>
      <c r="D1809" t="str">
        <f t="shared" si="146"/>
        <v>December</v>
      </c>
      <c r="E1809">
        <f t="shared" si="147"/>
        <v>2021</v>
      </c>
      <c r="F1809" t="str">
        <f>CONCATENATE(calendar[[#This Row],[Month]],"/",calendar[[#This Row],[Year]])</f>
        <v>12/2021</v>
      </c>
      <c r="G1809">
        <f>WEEKDAY(calendar[[#This Row],[Date]],1)</f>
        <v>2</v>
      </c>
      <c r="H1809" t="str">
        <f>TEXT(calendar[[#This Row],[WeekDay]],"dddd")</f>
        <v>Monday</v>
      </c>
      <c r="I1809">
        <f>IF((INT(calendar[[#This Row],[Count]]/7)-calendar[[#This Row],[Count]]/7)&lt;0,I1808,I1808+1)</f>
        <v>259</v>
      </c>
      <c r="J1809">
        <f t="shared" si="144"/>
        <v>1807</v>
      </c>
      <c r="K1809">
        <f>IF(calendar[[#This Row],[Month]]&lt;4,1,IF(calendar[[#This Row],[Month]]&lt;7,2,IF(calendar[[#This Row],[Month]]&lt;10,3,4)))</f>
        <v>4</v>
      </c>
      <c r="L1809">
        <f>IFERROR(IF(VLOOKUP(calendar[[#This Row],[Date]],BH!A:A,1,)&lt;&gt;"",1,0),0)</f>
        <v>0</v>
      </c>
      <c r="M1809">
        <f>IFERROR(IF(VLOOKUP(calendar[[#This Row],[Date]],BH!C:C,1,)&lt;&gt;"",1,0),0)</f>
        <v>0</v>
      </c>
      <c r="N1809">
        <f>IFERROR(IF(VLOOKUP(calendar[[#This Row],[Date]],BH!E:E,1,)&lt;&gt;"",1,0),0)</f>
        <v>0</v>
      </c>
      <c r="O1809">
        <f>IFERROR(IF(VLOOKUP(calendar[[#This Row],[Date]],BH!G:G,1,)&lt;&gt;"",1,0),0)</f>
        <v>0</v>
      </c>
      <c r="P1809">
        <f>IF(OR(calendar[[#This Row],[UK_BH]]=1,calendar[[#This Row],[WeekDay]]=1, calendar[[#This Row],[WeekDay]]=7),P1808,P1808+1)</f>
        <v>1291</v>
      </c>
      <c r="Q1809">
        <f>IF(OR(calendar[[#This Row],[FR_BH]]=1,calendar[[#This Row],[WeekDay]]=1, calendar[[#This Row],[WeekDay]]=7),P1808,P1808+1)</f>
        <v>1291</v>
      </c>
      <c r="R1809">
        <f>IF(OR(calendar[[#This Row],[SP_BH]]=1,calendar[[#This Row],[WeekDay]]=1, calendar[[#This Row],[WeekDay]]=7),P1808,P1808+1)</f>
        <v>1291</v>
      </c>
      <c r="S1809">
        <f>IF(OR(calendar[[#This Row],[PT_BH]]=1,calendar[[#This Row],[WeekDay]]=1, calendar[[#This Row],[WeekDay]]=7),P1808,P1808+1)</f>
        <v>1291</v>
      </c>
    </row>
    <row r="1810" spans="1:19" x14ac:dyDescent="0.25">
      <c r="A1810" s="2">
        <v>44544</v>
      </c>
      <c r="B1810" s="1">
        <f t="shared" si="143"/>
        <v>51</v>
      </c>
      <c r="C1810">
        <f t="shared" si="145"/>
        <v>12</v>
      </c>
      <c r="D1810" t="str">
        <f t="shared" si="146"/>
        <v>December</v>
      </c>
      <c r="E1810">
        <f t="shared" si="147"/>
        <v>2021</v>
      </c>
      <c r="F1810" t="str">
        <f>CONCATENATE(calendar[[#This Row],[Month]],"/",calendar[[#This Row],[Year]])</f>
        <v>12/2021</v>
      </c>
      <c r="G1810">
        <f>WEEKDAY(calendar[[#This Row],[Date]],1)</f>
        <v>3</v>
      </c>
      <c r="H1810" t="str">
        <f>TEXT(calendar[[#This Row],[WeekDay]],"dddd")</f>
        <v>Tuesday</v>
      </c>
      <c r="I1810">
        <f>IF((INT(calendar[[#This Row],[Count]]/7)-calendar[[#This Row],[Count]]/7)&lt;0,I1809,I1809+1)</f>
        <v>259</v>
      </c>
      <c r="J1810">
        <f t="shared" si="144"/>
        <v>1808</v>
      </c>
      <c r="K1810">
        <f>IF(calendar[[#This Row],[Month]]&lt;4,1,IF(calendar[[#This Row],[Month]]&lt;7,2,IF(calendar[[#This Row],[Month]]&lt;10,3,4)))</f>
        <v>4</v>
      </c>
      <c r="L1810">
        <f>IFERROR(IF(VLOOKUP(calendar[[#This Row],[Date]],BH!A:A,1,)&lt;&gt;"",1,0),0)</f>
        <v>0</v>
      </c>
      <c r="M1810">
        <f>IFERROR(IF(VLOOKUP(calendar[[#This Row],[Date]],BH!C:C,1,)&lt;&gt;"",1,0),0)</f>
        <v>0</v>
      </c>
      <c r="N1810">
        <f>IFERROR(IF(VLOOKUP(calendar[[#This Row],[Date]],BH!E:E,1,)&lt;&gt;"",1,0),0)</f>
        <v>0</v>
      </c>
      <c r="O1810">
        <f>IFERROR(IF(VLOOKUP(calendar[[#This Row],[Date]],BH!G:G,1,)&lt;&gt;"",1,0),0)</f>
        <v>0</v>
      </c>
      <c r="P1810">
        <f>IF(OR(calendar[[#This Row],[UK_BH]]=1,calendar[[#This Row],[WeekDay]]=1, calendar[[#This Row],[WeekDay]]=7),P1809,P1809+1)</f>
        <v>1292</v>
      </c>
      <c r="Q1810">
        <f>IF(OR(calendar[[#This Row],[FR_BH]]=1,calendar[[#This Row],[WeekDay]]=1, calendar[[#This Row],[WeekDay]]=7),P1809,P1809+1)</f>
        <v>1292</v>
      </c>
      <c r="R1810">
        <f>IF(OR(calendar[[#This Row],[SP_BH]]=1,calendar[[#This Row],[WeekDay]]=1, calendar[[#This Row],[WeekDay]]=7),P1809,P1809+1)</f>
        <v>1292</v>
      </c>
      <c r="S1810">
        <f>IF(OR(calendar[[#This Row],[PT_BH]]=1,calendar[[#This Row],[WeekDay]]=1, calendar[[#This Row],[WeekDay]]=7),P1809,P1809+1)</f>
        <v>1292</v>
      </c>
    </row>
    <row r="1811" spans="1:19" x14ac:dyDescent="0.25">
      <c r="A1811" s="2">
        <v>44545</v>
      </c>
      <c r="B1811" s="1">
        <f t="shared" si="143"/>
        <v>51</v>
      </c>
      <c r="C1811">
        <f t="shared" si="145"/>
        <v>12</v>
      </c>
      <c r="D1811" t="str">
        <f t="shared" si="146"/>
        <v>December</v>
      </c>
      <c r="E1811">
        <f t="shared" si="147"/>
        <v>2021</v>
      </c>
      <c r="F1811" t="str">
        <f>CONCATENATE(calendar[[#This Row],[Month]],"/",calendar[[#This Row],[Year]])</f>
        <v>12/2021</v>
      </c>
      <c r="G1811">
        <f>WEEKDAY(calendar[[#This Row],[Date]],1)</f>
        <v>4</v>
      </c>
      <c r="H1811" t="str">
        <f>TEXT(calendar[[#This Row],[WeekDay]],"dddd")</f>
        <v>Wednesday</v>
      </c>
      <c r="I1811">
        <f>IF((INT(calendar[[#This Row],[Count]]/7)-calendar[[#This Row],[Count]]/7)&lt;0,I1810,I1810+1)</f>
        <v>259</v>
      </c>
      <c r="J1811">
        <f t="shared" si="144"/>
        <v>1809</v>
      </c>
      <c r="K1811">
        <f>IF(calendar[[#This Row],[Month]]&lt;4,1,IF(calendar[[#This Row],[Month]]&lt;7,2,IF(calendar[[#This Row],[Month]]&lt;10,3,4)))</f>
        <v>4</v>
      </c>
      <c r="L1811">
        <f>IFERROR(IF(VLOOKUP(calendar[[#This Row],[Date]],BH!A:A,1,)&lt;&gt;"",1,0),0)</f>
        <v>0</v>
      </c>
      <c r="M1811">
        <f>IFERROR(IF(VLOOKUP(calendar[[#This Row],[Date]],BH!C:C,1,)&lt;&gt;"",1,0),0)</f>
        <v>0</v>
      </c>
      <c r="N1811">
        <f>IFERROR(IF(VLOOKUP(calendar[[#This Row],[Date]],BH!E:E,1,)&lt;&gt;"",1,0),0)</f>
        <v>0</v>
      </c>
      <c r="O1811">
        <f>IFERROR(IF(VLOOKUP(calendar[[#This Row],[Date]],BH!G:G,1,)&lt;&gt;"",1,0),0)</f>
        <v>0</v>
      </c>
      <c r="P1811">
        <f>IF(OR(calendar[[#This Row],[UK_BH]]=1,calendar[[#This Row],[WeekDay]]=1, calendar[[#This Row],[WeekDay]]=7),P1810,P1810+1)</f>
        <v>1293</v>
      </c>
      <c r="Q1811">
        <f>IF(OR(calendar[[#This Row],[FR_BH]]=1,calendar[[#This Row],[WeekDay]]=1, calendar[[#This Row],[WeekDay]]=7),P1810,P1810+1)</f>
        <v>1293</v>
      </c>
      <c r="R1811">
        <f>IF(OR(calendar[[#This Row],[SP_BH]]=1,calendar[[#This Row],[WeekDay]]=1, calendar[[#This Row],[WeekDay]]=7),P1810,P1810+1)</f>
        <v>1293</v>
      </c>
      <c r="S1811">
        <f>IF(OR(calendar[[#This Row],[PT_BH]]=1,calendar[[#This Row],[WeekDay]]=1, calendar[[#This Row],[WeekDay]]=7),P1810,P1810+1)</f>
        <v>1293</v>
      </c>
    </row>
    <row r="1812" spans="1:19" x14ac:dyDescent="0.25">
      <c r="A1812" s="2">
        <v>44546</v>
      </c>
      <c r="B1812" s="1">
        <f t="shared" si="143"/>
        <v>51</v>
      </c>
      <c r="C1812">
        <f t="shared" si="145"/>
        <v>12</v>
      </c>
      <c r="D1812" t="str">
        <f t="shared" si="146"/>
        <v>December</v>
      </c>
      <c r="E1812">
        <f t="shared" si="147"/>
        <v>2021</v>
      </c>
      <c r="F1812" t="str">
        <f>CONCATENATE(calendar[[#This Row],[Month]],"/",calendar[[#This Row],[Year]])</f>
        <v>12/2021</v>
      </c>
      <c r="G1812">
        <f>WEEKDAY(calendar[[#This Row],[Date]],1)</f>
        <v>5</v>
      </c>
      <c r="H1812" t="str">
        <f>TEXT(calendar[[#This Row],[WeekDay]],"dddd")</f>
        <v>Thursday</v>
      </c>
      <c r="I1812">
        <f>IF((INT(calendar[[#This Row],[Count]]/7)-calendar[[#This Row],[Count]]/7)&lt;0,I1811,I1811+1)</f>
        <v>259</v>
      </c>
      <c r="J1812">
        <f t="shared" si="144"/>
        <v>1810</v>
      </c>
      <c r="K1812">
        <f>IF(calendar[[#This Row],[Month]]&lt;4,1,IF(calendar[[#This Row],[Month]]&lt;7,2,IF(calendar[[#This Row],[Month]]&lt;10,3,4)))</f>
        <v>4</v>
      </c>
      <c r="L1812">
        <f>IFERROR(IF(VLOOKUP(calendar[[#This Row],[Date]],BH!A:A,1,)&lt;&gt;"",1,0),0)</f>
        <v>0</v>
      </c>
      <c r="M1812">
        <f>IFERROR(IF(VLOOKUP(calendar[[#This Row],[Date]],BH!C:C,1,)&lt;&gt;"",1,0),0)</f>
        <v>0</v>
      </c>
      <c r="N1812">
        <f>IFERROR(IF(VLOOKUP(calendar[[#This Row],[Date]],BH!E:E,1,)&lt;&gt;"",1,0),0)</f>
        <v>0</v>
      </c>
      <c r="O1812">
        <f>IFERROR(IF(VLOOKUP(calendar[[#This Row],[Date]],BH!G:G,1,)&lt;&gt;"",1,0),0)</f>
        <v>0</v>
      </c>
      <c r="P1812">
        <f>IF(OR(calendar[[#This Row],[UK_BH]]=1,calendar[[#This Row],[WeekDay]]=1, calendar[[#This Row],[WeekDay]]=7),P1811,P1811+1)</f>
        <v>1294</v>
      </c>
      <c r="Q1812">
        <f>IF(OR(calendar[[#This Row],[FR_BH]]=1,calendar[[#This Row],[WeekDay]]=1, calendar[[#This Row],[WeekDay]]=7),P1811,P1811+1)</f>
        <v>1294</v>
      </c>
      <c r="R1812">
        <f>IF(OR(calendar[[#This Row],[SP_BH]]=1,calendar[[#This Row],[WeekDay]]=1, calendar[[#This Row],[WeekDay]]=7),P1811,P1811+1)</f>
        <v>1294</v>
      </c>
      <c r="S1812">
        <f>IF(OR(calendar[[#This Row],[PT_BH]]=1,calendar[[#This Row],[WeekDay]]=1, calendar[[#This Row],[WeekDay]]=7),P1811,P1811+1)</f>
        <v>1294</v>
      </c>
    </row>
    <row r="1813" spans="1:19" x14ac:dyDescent="0.25">
      <c r="A1813" s="2">
        <v>44547</v>
      </c>
      <c r="B1813" s="1">
        <f t="shared" si="143"/>
        <v>51</v>
      </c>
      <c r="C1813">
        <f t="shared" si="145"/>
        <v>12</v>
      </c>
      <c r="D1813" t="str">
        <f t="shared" si="146"/>
        <v>December</v>
      </c>
      <c r="E1813">
        <f t="shared" si="147"/>
        <v>2021</v>
      </c>
      <c r="F1813" t="str">
        <f>CONCATENATE(calendar[[#This Row],[Month]],"/",calendar[[#This Row],[Year]])</f>
        <v>12/2021</v>
      </c>
      <c r="G1813">
        <f>WEEKDAY(calendar[[#This Row],[Date]],1)</f>
        <v>6</v>
      </c>
      <c r="H1813" t="str">
        <f>TEXT(calendar[[#This Row],[WeekDay]],"dddd")</f>
        <v>Friday</v>
      </c>
      <c r="I1813">
        <f>IF((INT(calendar[[#This Row],[Count]]/7)-calendar[[#This Row],[Count]]/7)&lt;0,I1812,I1812+1)</f>
        <v>259</v>
      </c>
      <c r="J1813">
        <f t="shared" si="144"/>
        <v>1811</v>
      </c>
      <c r="K1813">
        <f>IF(calendar[[#This Row],[Month]]&lt;4,1,IF(calendar[[#This Row],[Month]]&lt;7,2,IF(calendar[[#This Row],[Month]]&lt;10,3,4)))</f>
        <v>4</v>
      </c>
      <c r="L1813">
        <f>IFERROR(IF(VLOOKUP(calendar[[#This Row],[Date]],BH!A:A,1,)&lt;&gt;"",1,0),0)</f>
        <v>0</v>
      </c>
      <c r="M1813">
        <f>IFERROR(IF(VLOOKUP(calendar[[#This Row],[Date]],BH!C:C,1,)&lt;&gt;"",1,0),0)</f>
        <v>0</v>
      </c>
      <c r="N1813">
        <f>IFERROR(IF(VLOOKUP(calendar[[#This Row],[Date]],BH!E:E,1,)&lt;&gt;"",1,0),0)</f>
        <v>0</v>
      </c>
      <c r="O1813">
        <f>IFERROR(IF(VLOOKUP(calendar[[#This Row],[Date]],BH!G:G,1,)&lt;&gt;"",1,0),0)</f>
        <v>0</v>
      </c>
      <c r="P1813">
        <f>IF(OR(calendar[[#This Row],[UK_BH]]=1,calendar[[#This Row],[WeekDay]]=1, calendar[[#This Row],[WeekDay]]=7),P1812,P1812+1)</f>
        <v>1295</v>
      </c>
      <c r="Q1813">
        <f>IF(OR(calendar[[#This Row],[FR_BH]]=1,calendar[[#This Row],[WeekDay]]=1, calendar[[#This Row],[WeekDay]]=7),P1812,P1812+1)</f>
        <v>1295</v>
      </c>
      <c r="R1813">
        <f>IF(OR(calendar[[#This Row],[SP_BH]]=1,calendar[[#This Row],[WeekDay]]=1, calendar[[#This Row],[WeekDay]]=7),P1812,P1812+1)</f>
        <v>1295</v>
      </c>
      <c r="S1813">
        <f>IF(OR(calendar[[#This Row],[PT_BH]]=1,calendar[[#This Row],[WeekDay]]=1, calendar[[#This Row],[WeekDay]]=7),P1812,P1812+1)</f>
        <v>1295</v>
      </c>
    </row>
    <row r="1814" spans="1:19" x14ac:dyDescent="0.25">
      <c r="A1814" s="2">
        <v>44548</v>
      </c>
      <c r="B1814" s="1">
        <f t="shared" si="143"/>
        <v>51</v>
      </c>
      <c r="C1814">
        <f t="shared" si="145"/>
        <v>12</v>
      </c>
      <c r="D1814" t="str">
        <f t="shared" si="146"/>
        <v>December</v>
      </c>
      <c r="E1814">
        <f t="shared" si="147"/>
        <v>2021</v>
      </c>
      <c r="F1814" t="str">
        <f>CONCATENATE(calendar[[#This Row],[Month]],"/",calendar[[#This Row],[Year]])</f>
        <v>12/2021</v>
      </c>
      <c r="G1814">
        <f>WEEKDAY(calendar[[#This Row],[Date]],1)</f>
        <v>7</v>
      </c>
      <c r="H1814" t="str">
        <f>TEXT(calendar[[#This Row],[WeekDay]],"dddd")</f>
        <v>Saturday</v>
      </c>
      <c r="I1814">
        <f>IF((INT(calendar[[#This Row],[Count]]/7)-calendar[[#This Row],[Count]]/7)&lt;0,I1813,I1813+1)</f>
        <v>259</v>
      </c>
      <c r="J1814">
        <f t="shared" si="144"/>
        <v>1812</v>
      </c>
      <c r="K1814">
        <f>IF(calendar[[#This Row],[Month]]&lt;4,1,IF(calendar[[#This Row],[Month]]&lt;7,2,IF(calendar[[#This Row],[Month]]&lt;10,3,4)))</f>
        <v>4</v>
      </c>
      <c r="L1814">
        <f>IFERROR(IF(VLOOKUP(calendar[[#This Row],[Date]],BH!A:A,1,)&lt;&gt;"",1,0),0)</f>
        <v>0</v>
      </c>
      <c r="M1814">
        <f>IFERROR(IF(VLOOKUP(calendar[[#This Row],[Date]],BH!C:C,1,)&lt;&gt;"",1,0),0)</f>
        <v>0</v>
      </c>
      <c r="N1814">
        <f>IFERROR(IF(VLOOKUP(calendar[[#This Row],[Date]],BH!E:E,1,)&lt;&gt;"",1,0),0)</f>
        <v>0</v>
      </c>
      <c r="O1814">
        <f>IFERROR(IF(VLOOKUP(calendar[[#This Row],[Date]],BH!G:G,1,)&lt;&gt;"",1,0),0)</f>
        <v>0</v>
      </c>
      <c r="P1814">
        <f>IF(OR(calendar[[#This Row],[UK_BH]]=1,calendar[[#This Row],[WeekDay]]=1, calendar[[#This Row],[WeekDay]]=7),P1813,P1813+1)</f>
        <v>1295</v>
      </c>
      <c r="Q1814">
        <f>IF(OR(calendar[[#This Row],[FR_BH]]=1,calendar[[#This Row],[WeekDay]]=1, calendar[[#This Row],[WeekDay]]=7),P1813,P1813+1)</f>
        <v>1295</v>
      </c>
      <c r="R1814">
        <f>IF(OR(calendar[[#This Row],[SP_BH]]=1,calendar[[#This Row],[WeekDay]]=1, calendar[[#This Row],[WeekDay]]=7),P1813,P1813+1)</f>
        <v>1295</v>
      </c>
      <c r="S1814">
        <f>IF(OR(calendar[[#This Row],[PT_BH]]=1,calendar[[#This Row],[WeekDay]]=1, calendar[[#This Row],[WeekDay]]=7),P1813,P1813+1)</f>
        <v>1295</v>
      </c>
    </row>
    <row r="1815" spans="1:19" x14ac:dyDescent="0.25">
      <c r="A1815" s="2">
        <v>44549</v>
      </c>
      <c r="B1815" s="1">
        <f t="shared" si="143"/>
        <v>52</v>
      </c>
      <c r="C1815">
        <f t="shared" si="145"/>
        <v>12</v>
      </c>
      <c r="D1815" t="str">
        <f t="shared" si="146"/>
        <v>December</v>
      </c>
      <c r="E1815">
        <f t="shared" si="147"/>
        <v>2021</v>
      </c>
      <c r="F1815" t="str">
        <f>CONCATENATE(calendar[[#This Row],[Month]],"/",calendar[[#This Row],[Year]])</f>
        <v>12/2021</v>
      </c>
      <c r="G1815">
        <f>WEEKDAY(calendar[[#This Row],[Date]],1)</f>
        <v>1</v>
      </c>
      <c r="H1815" t="str">
        <f>TEXT(calendar[[#This Row],[WeekDay]],"dddd")</f>
        <v>Sunday</v>
      </c>
      <c r="I1815">
        <f>IF((INT(calendar[[#This Row],[Count]]/7)-calendar[[#This Row],[Count]]/7)&lt;0,I1814,I1814+1)</f>
        <v>260</v>
      </c>
      <c r="J1815">
        <f t="shared" si="144"/>
        <v>1813</v>
      </c>
      <c r="K1815">
        <f>IF(calendar[[#This Row],[Month]]&lt;4,1,IF(calendar[[#This Row],[Month]]&lt;7,2,IF(calendar[[#This Row],[Month]]&lt;10,3,4)))</f>
        <v>4</v>
      </c>
      <c r="L1815">
        <f>IFERROR(IF(VLOOKUP(calendar[[#This Row],[Date]],BH!A:A,1,)&lt;&gt;"",1,0),0)</f>
        <v>0</v>
      </c>
      <c r="M1815">
        <f>IFERROR(IF(VLOOKUP(calendar[[#This Row],[Date]],BH!C:C,1,)&lt;&gt;"",1,0),0)</f>
        <v>0</v>
      </c>
      <c r="N1815">
        <f>IFERROR(IF(VLOOKUP(calendar[[#This Row],[Date]],BH!E:E,1,)&lt;&gt;"",1,0),0)</f>
        <v>0</v>
      </c>
      <c r="O1815">
        <f>IFERROR(IF(VLOOKUP(calendar[[#This Row],[Date]],BH!G:G,1,)&lt;&gt;"",1,0),0)</f>
        <v>0</v>
      </c>
      <c r="P1815">
        <f>IF(OR(calendar[[#This Row],[UK_BH]]=1,calendar[[#This Row],[WeekDay]]=1, calendar[[#This Row],[WeekDay]]=7),P1814,P1814+1)</f>
        <v>1295</v>
      </c>
      <c r="Q1815">
        <f>IF(OR(calendar[[#This Row],[FR_BH]]=1,calendar[[#This Row],[WeekDay]]=1, calendar[[#This Row],[WeekDay]]=7),P1814,P1814+1)</f>
        <v>1295</v>
      </c>
      <c r="R1815">
        <f>IF(OR(calendar[[#This Row],[SP_BH]]=1,calendar[[#This Row],[WeekDay]]=1, calendar[[#This Row],[WeekDay]]=7),P1814,P1814+1)</f>
        <v>1295</v>
      </c>
      <c r="S1815">
        <f>IF(OR(calendar[[#This Row],[PT_BH]]=1,calendar[[#This Row],[WeekDay]]=1, calendar[[#This Row],[WeekDay]]=7),P1814,P1814+1)</f>
        <v>1295</v>
      </c>
    </row>
    <row r="1816" spans="1:19" x14ac:dyDescent="0.25">
      <c r="A1816" s="2">
        <v>44550</v>
      </c>
      <c r="B1816" s="1">
        <f t="shared" si="143"/>
        <v>52</v>
      </c>
      <c r="C1816">
        <f t="shared" si="145"/>
        <v>12</v>
      </c>
      <c r="D1816" t="str">
        <f t="shared" si="146"/>
        <v>December</v>
      </c>
      <c r="E1816">
        <f t="shared" si="147"/>
        <v>2021</v>
      </c>
      <c r="F1816" t="str">
        <f>CONCATENATE(calendar[[#This Row],[Month]],"/",calendar[[#This Row],[Year]])</f>
        <v>12/2021</v>
      </c>
      <c r="G1816">
        <f>WEEKDAY(calendar[[#This Row],[Date]],1)</f>
        <v>2</v>
      </c>
      <c r="H1816" t="str">
        <f>TEXT(calendar[[#This Row],[WeekDay]],"dddd")</f>
        <v>Monday</v>
      </c>
      <c r="I1816">
        <f>IF((INT(calendar[[#This Row],[Count]]/7)-calendar[[#This Row],[Count]]/7)&lt;0,I1815,I1815+1)</f>
        <v>260</v>
      </c>
      <c r="J1816">
        <f t="shared" si="144"/>
        <v>1814</v>
      </c>
      <c r="K1816">
        <f>IF(calendar[[#This Row],[Month]]&lt;4,1,IF(calendar[[#This Row],[Month]]&lt;7,2,IF(calendar[[#This Row],[Month]]&lt;10,3,4)))</f>
        <v>4</v>
      </c>
      <c r="L1816">
        <f>IFERROR(IF(VLOOKUP(calendar[[#This Row],[Date]],BH!A:A,1,)&lt;&gt;"",1,0),0)</f>
        <v>0</v>
      </c>
      <c r="M1816">
        <f>IFERROR(IF(VLOOKUP(calendar[[#This Row],[Date]],BH!C:C,1,)&lt;&gt;"",1,0),0)</f>
        <v>0</v>
      </c>
      <c r="N1816">
        <f>IFERROR(IF(VLOOKUP(calendar[[#This Row],[Date]],BH!E:E,1,)&lt;&gt;"",1,0),0)</f>
        <v>0</v>
      </c>
      <c r="O1816">
        <f>IFERROR(IF(VLOOKUP(calendar[[#This Row],[Date]],BH!G:G,1,)&lt;&gt;"",1,0),0)</f>
        <v>0</v>
      </c>
      <c r="P1816">
        <f>IF(OR(calendar[[#This Row],[UK_BH]]=1,calendar[[#This Row],[WeekDay]]=1, calendar[[#This Row],[WeekDay]]=7),P1815,P1815+1)</f>
        <v>1296</v>
      </c>
      <c r="Q1816">
        <f>IF(OR(calendar[[#This Row],[FR_BH]]=1,calendar[[#This Row],[WeekDay]]=1, calendar[[#This Row],[WeekDay]]=7),P1815,P1815+1)</f>
        <v>1296</v>
      </c>
      <c r="R1816">
        <f>IF(OR(calendar[[#This Row],[SP_BH]]=1,calendar[[#This Row],[WeekDay]]=1, calendar[[#This Row],[WeekDay]]=7),P1815,P1815+1)</f>
        <v>1296</v>
      </c>
      <c r="S1816">
        <f>IF(OR(calendar[[#This Row],[PT_BH]]=1,calendar[[#This Row],[WeekDay]]=1, calendar[[#This Row],[WeekDay]]=7),P1815,P1815+1)</f>
        <v>1296</v>
      </c>
    </row>
    <row r="1817" spans="1:19" x14ac:dyDescent="0.25">
      <c r="A1817" s="2">
        <v>44551</v>
      </c>
      <c r="B1817" s="1">
        <f t="shared" si="143"/>
        <v>52</v>
      </c>
      <c r="C1817">
        <f t="shared" si="145"/>
        <v>12</v>
      </c>
      <c r="D1817" t="str">
        <f t="shared" si="146"/>
        <v>December</v>
      </c>
      <c r="E1817">
        <f t="shared" si="147"/>
        <v>2021</v>
      </c>
      <c r="F1817" t="str">
        <f>CONCATENATE(calendar[[#This Row],[Month]],"/",calendar[[#This Row],[Year]])</f>
        <v>12/2021</v>
      </c>
      <c r="G1817">
        <f>WEEKDAY(calendar[[#This Row],[Date]],1)</f>
        <v>3</v>
      </c>
      <c r="H1817" t="str">
        <f>TEXT(calendar[[#This Row],[WeekDay]],"dddd")</f>
        <v>Tuesday</v>
      </c>
      <c r="I1817">
        <f>IF((INT(calendar[[#This Row],[Count]]/7)-calendar[[#This Row],[Count]]/7)&lt;0,I1816,I1816+1)</f>
        <v>260</v>
      </c>
      <c r="J1817">
        <f t="shared" si="144"/>
        <v>1815</v>
      </c>
      <c r="K1817">
        <f>IF(calendar[[#This Row],[Month]]&lt;4,1,IF(calendar[[#This Row],[Month]]&lt;7,2,IF(calendar[[#This Row],[Month]]&lt;10,3,4)))</f>
        <v>4</v>
      </c>
      <c r="L1817">
        <f>IFERROR(IF(VLOOKUP(calendar[[#This Row],[Date]],BH!A:A,1,)&lt;&gt;"",1,0),0)</f>
        <v>0</v>
      </c>
      <c r="M1817">
        <f>IFERROR(IF(VLOOKUP(calendar[[#This Row],[Date]],BH!C:C,1,)&lt;&gt;"",1,0),0)</f>
        <v>0</v>
      </c>
      <c r="N1817">
        <f>IFERROR(IF(VLOOKUP(calendar[[#This Row],[Date]],BH!E:E,1,)&lt;&gt;"",1,0),0)</f>
        <v>0</v>
      </c>
      <c r="O1817">
        <f>IFERROR(IF(VLOOKUP(calendar[[#This Row],[Date]],BH!G:G,1,)&lt;&gt;"",1,0),0)</f>
        <v>0</v>
      </c>
      <c r="P1817">
        <f>IF(OR(calendar[[#This Row],[UK_BH]]=1,calendar[[#This Row],[WeekDay]]=1, calendar[[#This Row],[WeekDay]]=7),P1816,P1816+1)</f>
        <v>1297</v>
      </c>
      <c r="Q1817">
        <f>IF(OR(calendar[[#This Row],[FR_BH]]=1,calendar[[#This Row],[WeekDay]]=1, calendar[[#This Row],[WeekDay]]=7),P1816,P1816+1)</f>
        <v>1297</v>
      </c>
      <c r="R1817">
        <f>IF(OR(calendar[[#This Row],[SP_BH]]=1,calendar[[#This Row],[WeekDay]]=1, calendar[[#This Row],[WeekDay]]=7),P1816,P1816+1)</f>
        <v>1297</v>
      </c>
      <c r="S1817">
        <f>IF(OR(calendar[[#This Row],[PT_BH]]=1,calendar[[#This Row],[WeekDay]]=1, calendar[[#This Row],[WeekDay]]=7),P1816,P1816+1)</f>
        <v>1297</v>
      </c>
    </row>
    <row r="1818" spans="1:19" x14ac:dyDescent="0.25">
      <c r="A1818" s="2">
        <v>44552</v>
      </c>
      <c r="B1818" s="1">
        <f t="shared" si="143"/>
        <v>52</v>
      </c>
      <c r="C1818">
        <f t="shared" si="145"/>
        <v>12</v>
      </c>
      <c r="D1818" t="str">
        <f t="shared" si="146"/>
        <v>December</v>
      </c>
      <c r="E1818">
        <f t="shared" si="147"/>
        <v>2021</v>
      </c>
      <c r="F1818" t="str">
        <f>CONCATENATE(calendar[[#This Row],[Month]],"/",calendar[[#This Row],[Year]])</f>
        <v>12/2021</v>
      </c>
      <c r="G1818">
        <f>WEEKDAY(calendar[[#This Row],[Date]],1)</f>
        <v>4</v>
      </c>
      <c r="H1818" t="str">
        <f>TEXT(calendar[[#This Row],[WeekDay]],"dddd")</f>
        <v>Wednesday</v>
      </c>
      <c r="I1818">
        <f>IF((INT(calendar[[#This Row],[Count]]/7)-calendar[[#This Row],[Count]]/7)&lt;0,I1817,I1817+1)</f>
        <v>260</v>
      </c>
      <c r="J1818">
        <f t="shared" si="144"/>
        <v>1816</v>
      </c>
      <c r="K1818">
        <f>IF(calendar[[#This Row],[Month]]&lt;4,1,IF(calendar[[#This Row],[Month]]&lt;7,2,IF(calendar[[#This Row],[Month]]&lt;10,3,4)))</f>
        <v>4</v>
      </c>
      <c r="L1818">
        <f>IFERROR(IF(VLOOKUP(calendar[[#This Row],[Date]],BH!A:A,1,)&lt;&gt;"",1,0),0)</f>
        <v>0</v>
      </c>
      <c r="M1818">
        <f>IFERROR(IF(VLOOKUP(calendar[[#This Row],[Date]],BH!C:C,1,)&lt;&gt;"",1,0),0)</f>
        <v>0</v>
      </c>
      <c r="N1818">
        <f>IFERROR(IF(VLOOKUP(calendar[[#This Row],[Date]],BH!E:E,1,)&lt;&gt;"",1,0),0)</f>
        <v>0</v>
      </c>
      <c r="O1818">
        <f>IFERROR(IF(VLOOKUP(calendar[[#This Row],[Date]],BH!G:G,1,)&lt;&gt;"",1,0),0)</f>
        <v>0</v>
      </c>
      <c r="P1818">
        <f>IF(OR(calendar[[#This Row],[UK_BH]]=1,calendar[[#This Row],[WeekDay]]=1, calendar[[#This Row],[WeekDay]]=7),P1817,P1817+1)</f>
        <v>1298</v>
      </c>
      <c r="Q1818">
        <f>IF(OR(calendar[[#This Row],[FR_BH]]=1,calendar[[#This Row],[WeekDay]]=1, calendar[[#This Row],[WeekDay]]=7),P1817,P1817+1)</f>
        <v>1298</v>
      </c>
      <c r="R1818">
        <f>IF(OR(calendar[[#This Row],[SP_BH]]=1,calendar[[#This Row],[WeekDay]]=1, calendar[[#This Row],[WeekDay]]=7),P1817,P1817+1)</f>
        <v>1298</v>
      </c>
      <c r="S1818">
        <f>IF(OR(calendar[[#This Row],[PT_BH]]=1,calendar[[#This Row],[WeekDay]]=1, calendar[[#This Row],[WeekDay]]=7),P1817,P1817+1)</f>
        <v>1298</v>
      </c>
    </row>
    <row r="1819" spans="1:19" x14ac:dyDescent="0.25">
      <c r="A1819" s="2">
        <v>44553</v>
      </c>
      <c r="B1819" s="1">
        <f t="shared" si="143"/>
        <v>52</v>
      </c>
      <c r="C1819">
        <f t="shared" si="145"/>
        <v>12</v>
      </c>
      <c r="D1819" t="str">
        <f t="shared" si="146"/>
        <v>December</v>
      </c>
      <c r="E1819">
        <f t="shared" si="147"/>
        <v>2021</v>
      </c>
      <c r="F1819" t="str">
        <f>CONCATENATE(calendar[[#This Row],[Month]],"/",calendar[[#This Row],[Year]])</f>
        <v>12/2021</v>
      </c>
      <c r="G1819">
        <f>WEEKDAY(calendar[[#This Row],[Date]],1)</f>
        <v>5</v>
      </c>
      <c r="H1819" t="str">
        <f>TEXT(calendar[[#This Row],[WeekDay]],"dddd")</f>
        <v>Thursday</v>
      </c>
      <c r="I1819">
        <f>IF((INT(calendar[[#This Row],[Count]]/7)-calendar[[#This Row],[Count]]/7)&lt;0,I1818,I1818+1)</f>
        <v>260</v>
      </c>
      <c r="J1819">
        <f t="shared" si="144"/>
        <v>1817</v>
      </c>
      <c r="K1819">
        <f>IF(calendar[[#This Row],[Month]]&lt;4,1,IF(calendar[[#This Row],[Month]]&lt;7,2,IF(calendar[[#This Row],[Month]]&lt;10,3,4)))</f>
        <v>4</v>
      </c>
      <c r="L1819">
        <f>IFERROR(IF(VLOOKUP(calendar[[#This Row],[Date]],BH!A:A,1,)&lt;&gt;"",1,0),0)</f>
        <v>0</v>
      </c>
      <c r="M1819">
        <f>IFERROR(IF(VLOOKUP(calendar[[#This Row],[Date]],BH!C:C,1,)&lt;&gt;"",1,0),0)</f>
        <v>0</v>
      </c>
      <c r="N1819">
        <f>IFERROR(IF(VLOOKUP(calendar[[#This Row],[Date]],BH!E:E,1,)&lt;&gt;"",1,0),0)</f>
        <v>0</v>
      </c>
      <c r="O1819">
        <f>IFERROR(IF(VLOOKUP(calendar[[#This Row],[Date]],BH!G:G,1,)&lt;&gt;"",1,0),0)</f>
        <v>0</v>
      </c>
      <c r="P1819">
        <f>IF(OR(calendar[[#This Row],[UK_BH]]=1,calendar[[#This Row],[WeekDay]]=1, calendar[[#This Row],[WeekDay]]=7),P1818,P1818+1)</f>
        <v>1299</v>
      </c>
      <c r="Q1819">
        <f>IF(OR(calendar[[#This Row],[FR_BH]]=1,calendar[[#This Row],[WeekDay]]=1, calendar[[#This Row],[WeekDay]]=7),P1818,P1818+1)</f>
        <v>1299</v>
      </c>
      <c r="R1819">
        <f>IF(OR(calendar[[#This Row],[SP_BH]]=1,calendar[[#This Row],[WeekDay]]=1, calendar[[#This Row],[WeekDay]]=7),P1818,P1818+1)</f>
        <v>1299</v>
      </c>
      <c r="S1819">
        <f>IF(OR(calendar[[#This Row],[PT_BH]]=1,calendar[[#This Row],[WeekDay]]=1, calendar[[#This Row],[WeekDay]]=7),P1818,P1818+1)</f>
        <v>1299</v>
      </c>
    </row>
    <row r="1820" spans="1:19" x14ac:dyDescent="0.25">
      <c r="A1820" s="2">
        <v>44554</v>
      </c>
      <c r="B1820" s="1">
        <f t="shared" si="143"/>
        <v>52</v>
      </c>
      <c r="C1820">
        <f t="shared" si="145"/>
        <v>12</v>
      </c>
      <c r="D1820" t="str">
        <f t="shared" si="146"/>
        <v>December</v>
      </c>
      <c r="E1820">
        <f t="shared" si="147"/>
        <v>2021</v>
      </c>
      <c r="F1820" t="str">
        <f>CONCATENATE(calendar[[#This Row],[Month]],"/",calendar[[#This Row],[Year]])</f>
        <v>12/2021</v>
      </c>
      <c r="G1820">
        <f>WEEKDAY(calendar[[#This Row],[Date]],1)</f>
        <v>6</v>
      </c>
      <c r="H1820" t="str">
        <f>TEXT(calendar[[#This Row],[WeekDay]],"dddd")</f>
        <v>Friday</v>
      </c>
      <c r="I1820">
        <f>IF((INT(calendar[[#This Row],[Count]]/7)-calendar[[#This Row],[Count]]/7)&lt;0,I1819,I1819+1)</f>
        <v>260</v>
      </c>
      <c r="J1820">
        <f t="shared" si="144"/>
        <v>1818</v>
      </c>
      <c r="K1820">
        <f>IF(calendar[[#This Row],[Month]]&lt;4,1,IF(calendar[[#This Row],[Month]]&lt;7,2,IF(calendar[[#This Row],[Month]]&lt;10,3,4)))</f>
        <v>4</v>
      </c>
      <c r="L1820">
        <f>IFERROR(IF(VLOOKUP(calendar[[#This Row],[Date]],BH!A:A,1,)&lt;&gt;"",1,0),0)</f>
        <v>0</v>
      </c>
      <c r="M1820">
        <f>IFERROR(IF(VLOOKUP(calendar[[#This Row],[Date]],BH!C:C,1,)&lt;&gt;"",1,0),0)</f>
        <v>0</v>
      </c>
      <c r="N1820">
        <f>IFERROR(IF(VLOOKUP(calendar[[#This Row],[Date]],BH!E:E,1,)&lt;&gt;"",1,0),0)</f>
        <v>0</v>
      </c>
      <c r="O1820">
        <f>IFERROR(IF(VLOOKUP(calendar[[#This Row],[Date]],BH!G:G,1,)&lt;&gt;"",1,0),0)</f>
        <v>0</v>
      </c>
      <c r="P1820">
        <f>IF(OR(calendar[[#This Row],[UK_BH]]=1,calendar[[#This Row],[WeekDay]]=1, calendar[[#This Row],[WeekDay]]=7),P1819,P1819+1)</f>
        <v>1300</v>
      </c>
      <c r="Q1820">
        <f>IF(OR(calendar[[#This Row],[FR_BH]]=1,calendar[[#This Row],[WeekDay]]=1, calendar[[#This Row],[WeekDay]]=7),P1819,P1819+1)</f>
        <v>1300</v>
      </c>
      <c r="R1820">
        <f>IF(OR(calendar[[#This Row],[SP_BH]]=1,calendar[[#This Row],[WeekDay]]=1, calendar[[#This Row],[WeekDay]]=7),P1819,P1819+1)</f>
        <v>1300</v>
      </c>
      <c r="S1820">
        <f>IF(OR(calendar[[#This Row],[PT_BH]]=1,calendar[[#This Row],[WeekDay]]=1, calendar[[#This Row],[WeekDay]]=7),P1819,P1819+1)</f>
        <v>1300</v>
      </c>
    </row>
    <row r="1821" spans="1:19" x14ac:dyDescent="0.25">
      <c r="A1821" s="2">
        <v>44555</v>
      </c>
      <c r="B1821" s="1">
        <f t="shared" si="143"/>
        <v>52</v>
      </c>
      <c r="C1821">
        <f t="shared" si="145"/>
        <v>12</v>
      </c>
      <c r="D1821" t="str">
        <f t="shared" si="146"/>
        <v>December</v>
      </c>
      <c r="E1821">
        <f t="shared" si="147"/>
        <v>2021</v>
      </c>
      <c r="F1821" t="str">
        <f>CONCATENATE(calendar[[#This Row],[Month]],"/",calendar[[#This Row],[Year]])</f>
        <v>12/2021</v>
      </c>
      <c r="G1821">
        <f>WEEKDAY(calendar[[#This Row],[Date]],1)</f>
        <v>7</v>
      </c>
      <c r="H1821" t="str">
        <f>TEXT(calendar[[#This Row],[WeekDay]],"dddd")</f>
        <v>Saturday</v>
      </c>
      <c r="I1821">
        <f>IF((INT(calendar[[#This Row],[Count]]/7)-calendar[[#This Row],[Count]]/7)&lt;0,I1820,I1820+1)</f>
        <v>260</v>
      </c>
      <c r="J1821">
        <f t="shared" si="144"/>
        <v>1819</v>
      </c>
      <c r="K1821">
        <f>IF(calendar[[#This Row],[Month]]&lt;4,1,IF(calendar[[#This Row],[Month]]&lt;7,2,IF(calendar[[#This Row],[Month]]&lt;10,3,4)))</f>
        <v>4</v>
      </c>
      <c r="L1821">
        <f>IFERROR(IF(VLOOKUP(calendar[[#This Row],[Date]],BH!A:A,1,)&lt;&gt;"",1,0),0)</f>
        <v>0</v>
      </c>
      <c r="M1821">
        <f>IFERROR(IF(VLOOKUP(calendar[[#This Row],[Date]],BH!C:C,1,)&lt;&gt;"",1,0),0)</f>
        <v>0</v>
      </c>
      <c r="N1821">
        <f>IFERROR(IF(VLOOKUP(calendar[[#This Row],[Date]],BH!E:E,1,)&lt;&gt;"",1,0),0)</f>
        <v>0</v>
      </c>
      <c r="O1821">
        <f>IFERROR(IF(VLOOKUP(calendar[[#This Row],[Date]],BH!G:G,1,)&lt;&gt;"",1,0),0)</f>
        <v>0</v>
      </c>
      <c r="P1821">
        <f>IF(OR(calendar[[#This Row],[UK_BH]]=1,calendar[[#This Row],[WeekDay]]=1, calendar[[#This Row],[WeekDay]]=7),P1820,P1820+1)</f>
        <v>1300</v>
      </c>
      <c r="Q1821">
        <f>IF(OR(calendar[[#This Row],[FR_BH]]=1,calendar[[#This Row],[WeekDay]]=1, calendar[[#This Row],[WeekDay]]=7),P1820,P1820+1)</f>
        <v>1300</v>
      </c>
      <c r="R1821">
        <f>IF(OR(calendar[[#This Row],[SP_BH]]=1,calendar[[#This Row],[WeekDay]]=1, calendar[[#This Row],[WeekDay]]=7),P1820,P1820+1)</f>
        <v>1300</v>
      </c>
      <c r="S1821">
        <f>IF(OR(calendar[[#This Row],[PT_BH]]=1,calendar[[#This Row],[WeekDay]]=1, calendar[[#This Row],[WeekDay]]=7),P1820,P1820+1)</f>
        <v>1300</v>
      </c>
    </row>
    <row r="1822" spans="1:19" x14ac:dyDescent="0.25">
      <c r="A1822" s="2">
        <v>44556</v>
      </c>
      <c r="B1822" s="1">
        <f t="shared" si="143"/>
        <v>53</v>
      </c>
      <c r="C1822">
        <f t="shared" si="145"/>
        <v>12</v>
      </c>
      <c r="D1822" t="str">
        <f t="shared" si="146"/>
        <v>December</v>
      </c>
      <c r="E1822">
        <f t="shared" si="147"/>
        <v>2021</v>
      </c>
      <c r="F1822" t="str">
        <f>CONCATENATE(calendar[[#This Row],[Month]],"/",calendar[[#This Row],[Year]])</f>
        <v>12/2021</v>
      </c>
      <c r="G1822">
        <f>WEEKDAY(calendar[[#This Row],[Date]],1)</f>
        <v>1</v>
      </c>
      <c r="H1822" t="str">
        <f>TEXT(calendar[[#This Row],[WeekDay]],"dddd")</f>
        <v>Sunday</v>
      </c>
      <c r="I1822">
        <f>IF((INT(calendar[[#This Row],[Count]]/7)-calendar[[#This Row],[Count]]/7)&lt;0,I1821,I1821+1)</f>
        <v>261</v>
      </c>
      <c r="J1822">
        <f t="shared" si="144"/>
        <v>1820</v>
      </c>
      <c r="K1822">
        <f>IF(calendar[[#This Row],[Month]]&lt;4,1,IF(calendar[[#This Row],[Month]]&lt;7,2,IF(calendar[[#This Row],[Month]]&lt;10,3,4)))</f>
        <v>4</v>
      </c>
      <c r="L1822">
        <f>IFERROR(IF(VLOOKUP(calendar[[#This Row],[Date]],BH!A:A,1,)&lt;&gt;"",1,0),0)</f>
        <v>0</v>
      </c>
      <c r="M1822">
        <f>IFERROR(IF(VLOOKUP(calendar[[#This Row],[Date]],BH!C:C,1,)&lt;&gt;"",1,0),0)</f>
        <v>0</v>
      </c>
      <c r="N1822">
        <f>IFERROR(IF(VLOOKUP(calendar[[#This Row],[Date]],BH!E:E,1,)&lt;&gt;"",1,0),0)</f>
        <v>0</v>
      </c>
      <c r="O1822">
        <f>IFERROR(IF(VLOOKUP(calendar[[#This Row],[Date]],BH!G:G,1,)&lt;&gt;"",1,0),0)</f>
        <v>0</v>
      </c>
      <c r="P1822">
        <f>IF(OR(calendar[[#This Row],[UK_BH]]=1,calendar[[#This Row],[WeekDay]]=1, calendar[[#This Row],[WeekDay]]=7),P1821,P1821+1)</f>
        <v>1300</v>
      </c>
      <c r="Q1822">
        <f>IF(OR(calendar[[#This Row],[FR_BH]]=1,calendar[[#This Row],[WeekDay]]=1, calendar[[#This Row],[WeekDay]]=7),P1821,P1821+1)</f>
        <v>1300</v>
      </c>
      <c r="R1822">
        <f>IF(OR(calendar[[#This Row],[SP_BH]]=1,calendar[[#This Row],[WeekDay]]=1, calendar[[#This Row],[WeekDay]]=7),P1821,P1821+1)</f>
        <v>1300</v>
      </c>
      <c r="S1822">
        <f>IF(OR(calendar[[#This Row],[PT_BH]]=1,calendar[[#This Row],[WeekDay]]=1, calendar[[#This Row],[WeekDay]]=7),P1821,P1821+1)</f>
        <v>1300</v>
      </c>
    </row>
    <row r="1823" spans="1:19" x14ac:dyDescent="0.25">
      <c r="A1823" s="2">
        <v>44557</v>
      </c>
      <c r="B1823" s="1">
        <f t="shared" si="143"/>
        <v>53</v>
      </c>
      <c r="C1823">
        <f t="shared" si="145"/>
        <v>12</v>
      </c>
      <c r="D1823" t="str">
        <f t="shared" si="146"/>
        <v>December</v>
      </c>
      <c r="E1823">
        <f t="shared" si="147"/>
        <v>2021</v>
      </c>
      <c r="F1823" t="str">
        <f>CONCATENATE(calendar[[#This Row],[Month]],"/",calendar[[#This Row],[Year]])</f>
        <v>12/2021</v>
      </c>
      <c r="G1823">
        <f>WEEKDAY(calendar[[#This Row],[Date]],1)</f>
        <v>2</v>
      </c>
      <c r="H1823" t="str">
        <f>TEXT(calendar[[#This Row],[WeekDay]],"dddd")</f>
        <v>Monday</v>
      </c>
      <c r="I1823">
        <f>IF((INT(calendar[[#This Row],[Count]]/7)-calendar[[#This Row],[Count]]/7)&lt;0,I1822,I1822+1)</f>
        <v>261</v>
      </c>
      <c r="J1823">
        <f t="shared" si="144"/>
        <v>1821</v>
      </c>
      <c r="K1823">
        <f>IF(calendar[[#This Row],[Month]]&lt;4,1,IF(calendar[[#This Row],[Month]]&lt;7,2,IF(calendar[[#This Row],[Month]]&lt;10,3,4)))</f>
        <v>4</v>
      </c>
      <c r="L1823">
        <f>IFERROR(IF(VLOOKUP(calendar[[#This Row],[Date]],BH!A:A,1,)&lt;&gt;"",1,0),0)</f>
        <v>0</v>
      </c>
      <c r="M1823">
        <f>IFERROR(IF(VLOOKUP(calendar[[#This Row],[Date]],BH!C:C,1,)&lt;&gt;"",1,0),0)</f>
        <v>0</v>
      </c>
      <c r="N1823">
        <f>IFERROR(IF(VLOOKUP(calendar[[#This Row],[Date]],BH!E:E,1,)&lt;&gt;"",1,0),0)</f>
        <v>0</v>
      </c>
      <c r="O1823">
        <f>IFERROR(IF(VLOOKUP(calendar[[#This Row],[Date]],BH!G:G,1,)&lt;&gt;"",1,0),0)</f>
        <v>0</v>
      </c>
      <c r="P1823">
        <f>IF(OR(calendar[[#This Row],[UK_BH]]=1,calendar[[#This Row],[WeekDay]]=1, calendar[[#This Row],[WeekDay]]=7),P1822,P1822+1)</f>
        <v>1301</v>
      </c>
      <c r="Q1823">
        <f>IF(OR(calendar[[#This Row],[FR_BH]]=1,calendar[[#This Row],[WeekDay]]=1, calendar[[#This Row],[WeekDay]]=7),P1822,P1822+1)</f>
        <v>1301</v>
      </c>
      <c r="R1823">
        <f>IF(OR(calendar[[#This Row],[SP_BH]]=1,calendar[[#This Row],[WeekDay]]=1, calendar[[#This Row],[WeekDay]]=7),P1822,P1822+1)</f>
        <v>1301</v>
      </c>
      <c r="S1823">
        <f>IF(OR(calendar[[#This Row],[PT_BH]]=1,calendar[[#This Row],[WeekDay]]=1, calendar[[#This Row],[WeekDay]]=7),P1822,P1822+1)</f>
        <v>1301</v>
      </c>
    </row>
    <row r="1824" spans="1:19" x14ac:dyDescent="0.25">
      <c r="A1824" s="2">
        <v>44558</v>
      </c>
      <c r="B1824" s="1">
        <f t="shared" si="143"/>
        <v>53</v>
      </c>
      <c r="C1824">
        <f t="shared" si="145"/>
        <v>12</v>
      </c>
      <c r="D1824" t="str">
        <f t="shared" si="146"/>
        <v>December</v>
      </c>
      <c r="E1824">
        <f t="shared" si="147"/>
        <v>2021</v>
      </c>
      <c r="F1824" t="str">
        <f>CONCATENATE(calendar[[#This Row],[Month]],"/",calendar[[#This Row],[Year]])</f>
        <v>12/2021</v>
      </c>
      <c r="G1824">
        <f>WEEKDAY(calendar[[#This Row],[Date]],1)</f>
        <v>3</v>
      </c>
      <c r="H1824" t="str">
        <f>TEXT(calendar[[#This Row],[WeekDay]],"dddd")</f>
        <v>Tuesday</v>
      </c>
      <c r="I1824">
        <f>IF((INT(calendar[[#This Row],[Count]]/7)-calendar[[#This Row],[Count]]/7)&lt;0,I1823,I1823+1)</f>
        <v>261</v>
      </c>
      <c r="J1824">
        <f t="shared" si="144"/>
        <v>1822</v>
      </c>
      <c r="K1824">
        <f>IF(calendar[[#This Row],[Month]]&lt;4,1,IF(calendar[[#This Row],[Month]]&lt;7,2,IF(calendar[[#This Row],[Month]]&lt;10,3,4)))</f>
        <v>4</v>
      </c>
      <c r="L1824">
        <f>IFERROR(IF(VLOOKUP(calendar[[#This Row],[Date]],BH!A:A,1,)&lt;&gt;"",1,0),0)</f>
        <v>0</v>
      </c>
      <c r="M1824">
        <f>IFERROR(IF(VLOOKUP(calendar[[#This Row],[Date]],BH!C:C,1,)&lt;&gt;"",1,0),0)</f>
        <v>0</v>
      </c>
      <c r="N1824">
        <f>IFERROR(IF(VLOOKUP(calendar[[#This Row],[Date]],BH!E:E,1,)&lt;&gt;"",1,0),0)</f>
        <v>0</v>
      </c>
      <c r="O1824">
        <f>IFERROR(IF(VLOOKUP(calendar[[#This Row],[Date]],BH!G:G,1,)&lt;&gt;"",1,0),0)</f>
        <v>0</v>
      </c>
      <c r="P1824">
        <f>IF(OR(calendar[[#This Row],[UK_BH]]=1,calendar[[#This Row],[WeekDay]]=1, calendar[[#This Row],[WeekDay]]=7),P1823,P1823+1)</f>
        <v>1302</v>
      </c>
      <c r="Q1824">
        <f>IF(OR(calendar[[#This Row],[FR_BH]]=1,calendar[[#This Row],[WeekDay]]=1, calendar[[#This Row],[WeekDay]]=7),P1823,P1823+1)</f>
        <v>1302</v>
      </c>
      <c r="R1824">
        <f>IF(OR(calendar[[#This Row],[SP_BH]]=1,calendar[[#This Row],[WeekDay]]=1, calendar[[#This Row],[WeekDay]]=7),P1823,P1823+1)</f>
        <v>1302</v>
      </c>
      <c r="S1824">
        <f>IF(OR(calendar[[#This Row],[PT_BH]]=1,calendar[[#This Row],[WeekDay]]=1, calendar[[#This Row],[WeekDay]]=7),P1823,P1823+1)</f>
        <v>1302</v>
      </c>
    </row>
    <row r="1825" spans="1:19" x14ac:dyDescent="0.25">
      <c r="A1825" s="2">
        <v>44559</v>
      </c>
      <c r="B1825" s="1">
        <f t="shared" si="143"/>
        <v>53</v>
      </c>
      <c r="C1825">
        <f t="shared" si="145"/>
        <v>12</v>
      </c>
      <c r="D1825" t="str">
        <f t="shared" si="146"/>
        <v>December</v>
      </c>
      <c r="E1825">
        <f t="shared" si="147"/>
        <v>2021</v>
      </c>
      <c r="F1825" t="str">
        <f>CONCATENATE(calendar[[#This Row],[Month]],"/",calendar[[#This Row],[Year]])</f>
        <v>12/2021</v>
      </c>
      <c r="G1825">
        <f>WEEKDAY(calendar[[#This Row],[Date]],1)</f>
        <v>4</v>
      </c>
      <c r="H1825" t="str">
        <f>TEXT(calendar[[#This Row],[WeekDay]],"dddd")</f>
        <v>Wednesday</v>
      </c>
      <c r="I1825">
        <f>IF((INT(calendar[[#This Row],[Count]]/7)-calendar[[#This Row],[Count]]/7)&lt;0,I1824,I1824+1)</f>
        <v>261</v>
      </c>
      <c r="J1825">
        <f t="shared" si="144"/>
        <v>1823</v>
      </c>
      <c r="K1825">
        <f>IF(calendar[[#This Row],[Month]]&lt;4,1,IF(calendar[[#This Row],[Month]]&lt;7,2,IF(calendar[[#This Row],[Month]]&lt;10,3,4)))</f>
        <v>4</v>
      </c>
      <c r="L1825">
        <f>IFERROR(IF(VLOOKUP(calendar[[#This Row],[Date]],BH!A:A,1,)&lt;&gt;"",1,0),0)</f>
        <v>0</v>
      </c>
      <c r="M1825">
        <f>IFERROR(IF(VLOOKUP(calendar[[#This Row],[Date]],BH!C:C,1,)&lt;&gt;"",1,0),0)</f>
        <v>0</v>
      </c>
      <c r="N1825">
        <f>IFERROR(IF(VLOOKUP(calendar[[#This Row],[Date]],BH!E:E,1,)&lt;&gt;"",1,0),0)</f>
        <v>0</v>
      </c>
      <c r="O1825">
        <f>IFERROR(IF(VLOOKUP(calendar[[#This Row],[Date]],BH!G:G,1,)&lt;&gt;"",1,0),0)</f>
        <v>0</v>
      </c>
      <c r="P1825">
        <f>IF(OR(calendar[[#This Row],[UK_BH]]=1,calendar[[#This Row],[WeekDay]]=1, calendar[[#This Row],[WeekDay]]=7),P1824,P1824+1)</f>
        <v>1303</v>
      </c>
      <c r="Q1825">
        <f>IF(OR(calendar[[#This Row],[FR_BH]]=1,calendar[[#This Row],[WeekDay]]=1, calendar[[#This Row],[WeekDay]]=7),P1824,P1824+1)</f>
        <v>1303</v>
      </c>
      <c r="R1825">
        <f>IF(OR(calendar[[#This Row],[SP_BH]]=1,calendar[[#This Row],[WeekDay]]=1, calendar[[#This Row],[WeekDay]]=7),P1824,P1824+1)</f>
        <v>1303</v>
      </c>
      <c r="S1825">
        <f>IF(OR(calendar[[#This Row],[PT_BH]]=1,calendar[[#This Row],[WeekDay]]=1, calendar[[#This Row],[WeekDay]]=7),P1824,P1824+1)</f>
        <v>1303</v>
      </c>
    </row>
    <row r="1826" spans="1:19" x14ac:dyDescent="0.25">
      <c r="A1826" s="2">
        <v>44560</v>
      </c>
      <c r="B1826" s="1">
        <f t="shared" si="143"/>
        <v>53</v>
      </c>
      <c r="C1826">
        <f t="shared" si="145"/>
        <v>12</v>
      </c>
      <c r="D1826" t="str">
        <f t="shared" si="146"/>
        <v>December</v>
      </c>
      <c r="E1826">
        <f t="shared" si="147"/>
        <v>2021</v>
      </c>
      <c r="F1826" t="str">
        <f>CONCATENATE(calendar[[#This Row],[Month]],"/",calendar[[#This Row],[Year]])</f>
        <v>12/2021</v>
      </c>
      <c r="G1826">
        <f>WEEKDAY(calendar[[#This Row],[Date]],1)</f>
        <v>5</v>
      </c>
      <c r="H1826" t="str">
        <f>TEXT(calendar[[#This Row],[WeekDay]],"dddd")</f>
        <v>Thursday</v>
      </c>
      <c r="I1826">
        <f>IF((INT(calendar[[#This Row],[Count]]/7)-calendar[[#This Row],[Count]]/7)&lt;0,I1825,I1825+1)</f>
        <v>261</v>
      </c>
      <c r="J1826">
        <f t="shared" si="144"/>
        <v>1824</v>
      </c>
      <c r="K1826">
        <f>IF(calendar[[#This Row],[Month]]&lt;4,1,IF(calendar[[#This Row],[Month]]&lt;7,2,IF(calendar[[#This Row],[Month]]&lt;10,3,4)))</f>
        <v>4</v>
      </c>
      <c r="L1826">
        <f>IFERROR(IF(VLOOKUP(calendar[[#This Row],[Date]],BH!A:A,1,)&lt;&gt;"",1,0),0)</f>
        <v>0</v>
      </c>
      <c r="M1826">
        <f>IFERROR(IF(VLOOKUP(calendar[[#This Row],[Date]],BH!C:C,1,)&lt;&gt;"",1,0),0)</f>
        <v>0</v>
      </c>
      <c r="N1826">
        <f>IFERROR(IF(VLOOKUP(calendar[[#This Row],[Date]],BH!E:E,1,)&lt;&gt;"",1,0),0)</f>
        <v>0</v>
      </c>
      <c r="O1826">
        <f>IFERROR(IF(VLOOKUP(calendar[[#This Row],[Date]],BH!G:G,1,)&lt;&gt;"",1,0),0)</f>
        <v>0</v>
      </c>
      <c r="P1826">
        <f>IF(OR(calendar[[#This Row],[UK_BH]]=1,calendar[[#This Row],[WeekDay]]=1, calendar[[#This Row],[WeekDay]]=7),P1825,P1825+1)</f>
        <v>1304</v>
      </c>
      <c r="Q1826">
        <f>IF(OR(calendar[[#This Row],[FR_BH]]=1,calendar[[#This Row],[WeekDay]]=1, calendar[[#This Row],[WeekDay]]=7),P1825,P1825+1)</f>
        <v>1304</v>
      </c>
      <c r="R1826">
        <f>IF(OR(calendar[[#This Row],[SP_BH]]=1,calendar[[#This Row],[WeekDay]]=1, calendar[[#This Row],[WeekDay]]=7),P1825,P1825+1)</f>
        <v>1304</v>
      </c>
      <c r="S1826">
        <f>IF(OR(calendar[[#This Row],[PT_BH]]=1,calendar[[#This Row],[WeekDay]]=1, calendar[[#This Row],[WeekDay]]=7),P1825,P1825+1)</f>
        <v>1304</v>
      </c>
    </row>
    <row r="1827" spans="1:19" x14ac:dyDescent="0.25">
      <c r="A1827" s="2">
        <v>44561</v>
      </c>
      <c r="B1827" s="1">
        <f t="shared" si="143"/>
        <v>53</v>
      </c>
      <c r="C1827">
        <f t="shared" si="145"/>
        <v>12</v>
      </c>
      <c r="D1827" t="str">
        <f t="shared" si="146"/>
        <v>December</v>
      </c>
      <c r="E1827">
        <f t="shared" si="147"/>
        <v>2021</v>
      </c>
      <c r="F1827" t="str">
        <f>CONCATENATE(calendar[[#This Row],[Month]],"/",calendar[[#This Row],[Year]])</f>
        <v>12/2021</v>
      </c>
      <c r="G1827">
        <f>WEEKDAY(calendar[[#This Row],[Date]],1)</f>
        <v>6</v>
      </c>
      <c r="H1827" t="str">
        <f>TEXT(calendar[[#This Row],[WeekDay]],"dddd")</f>
        <v>Friday</v>
      </c>
      <c r="I1827">
        <f>IF((INT(calendar[[#This Row],[Count]]/7)-calendar[[#This Row],[Count]]/7)&lt;0,I1826,I1826+1)</f>
        <v>261</v>
      </c>
      <c r="J1827">
        <f t="shared" si="144"/>
        <v>1825</v>
      </c>
      <c r="K1827">
        <f>IF(calendar[[#This Row],[Month]]&lt;4,1,IF(calendar[[#This Row],[Month]]&lt;7,2,IF(calendar[[#This Row],[Month]]&lt;10,3,4)))</f>
        <v>4</v>
      </c>
      <c r="L1827">
        <f>IFERROR(IF(VLOOKUP(calendar[[#This Row],[Date]],BH!A:A,1,)&lt;&gt;"",1,0),0)</f>
        <v>0</v>
      </c>
      <c r="M1827">
        <f>IFERROR(IF(VLOOKUP(calendar[[#This Row],[Date]],BH!C:C,1,)&lt;&gt;"",1,0),0)</f>
        <v>0</v>
      </c>
      <c r="N1827">
        <f>IFERROR(IF(VLOOKUP(calendar[[#This Row],[Date]],BH!E:E,1,)&lt;&gt;"",1,0),0)</f>
        <v>0</v>
      </c>
      <c r="O1827">
        <f>IFERROR(IF(VLOOKUP(calendar[[#This Row],[Date]],BH!G:G,1,)&lt;&gt;"",1,0),0)</f>
        <v>0</v>
      </c>
      <c r="P1827">
        <f>IF(OR(calendar[[#This Row],[UK_BH]]=1,calendar[[#This Row],[WeekDay]]=1, calendar[[#This Row],[WeekDay]]=7),P1826,P1826+1)</f>
        <v>1305</v>
      </c>
      <c r="Q1827">
        <f>IF(OR(calendar[[#This Row],[FR_BH]]=1,calendar[[#This Row],[WeekDay]]=1, calendar[[#This Row],[WeekDay]]=7),P1826,P1826+1)</f>
        <v>1305</v>
      </c>
      <c r="R1827">
        <f>IF(OR(calendar[[#This Row],[SP_BH]]=1,calendar[[#This Row],[WeekDay]]=1, calendar[[#This Row],[WeekDay]]=7),P1826,P1826+1)</f>
        <v>1305</v>
      </c>
      <c r="S1827">
        <f>IF(OR(calendar[[#This Row],[PT_BH]]=1,calendar[[#This Row],[WeekDay]]=1, calendar[[#This Row],[WeekDay]]=7),P1826,P1826+1)</f>
        <v>1305</v>
      </c>
    </row>
    <row r="1828" spans="1:19" x14ac:dyDescent="0.25">
      <c r="A1828" s="2">
        <v>44562</v>
      </c>
      <c r="B1828" s="1">
        <f t="shared" si="143"/>
        <v>1</v>
      </c>
      <c r="C1828">
        <f t="shared" si="145"/>
        <v>1</v>
      </c>
      <c r="D1828" t="str">
        <f t="shared" si="146"/>
        <v>January</v>
      </c>
      <c r="E1828">
        <f t="shared" si="147"/>
        <v>2022</v>
      </c>
      <c r="F1828" t="str">
        <f>CONCATENATE(calendar[[#This Row],[Month]],"/",calendar[[#This Row],[Year]])</f>
        <v>1/2022</v>
      </c>
      <c r="G1828">
        <f>WEEKDAY(calendar[[#This Row],[Date]],1)</f>
        <v>7</v>
      </c>
      <c r="H1828" t="str">
        <f>TEXT(calendar[[#This Row],[WeekDay]],"dddd")</f>
        <v>Saturday</v>
      </c>
      <c r="I1828">
        <f>IF((INT(calendar[[#This Row],[Count]]/7)-calendar[[#This Row],[Count]]/7)&lt;0,I1827,I1827+1)</f>
        <v>261</v>
      </c>
      <c r="J1828">
        <f t="shared" si="144"/>
        <v>1826</v>
      </c>
      <c r="K1828">
        <f>IF(calendar[[#This Row],[Month]]&lt;4,1,IF(calendar[[#This Row],[Month]]&lt;7,2,IF(calendar[[#This Row],[Month]]&lt;10,3,4)))</f>
        <v>1</v>
      </c>
      <c r="L1828">
        <f>IFERROR(IF(VLOOKUP(calendar[[#This Row],[Date]],BH!A:A,1,)&lt;&gt;"",1,0),0)</f>
        <v>0</v>
      </c>
      <c r="M1828">
        <f>IFERROR(IF(VLOOKUP(calendar[[#This Row],[Date]],BH!C:C,1,)&lt;&gt;"",1,0),0)</f>
        <v>0</v>
      </c>
      <c r="N1828">
        <f>IFERROR(IF(VLOOKUP(calendar[[#This Row],[Date]],BH!E:E,1,)&lt;&gt;"",1,0),0)</f>
        <v>0</v>
      </c>
      <c r="O1828">
        <f>IFERROR(IF(VLOOKUP(calendar[[#This Row],[Date]],BH!G:G,1,)&lt;&gt;"",1,0),0)</f>
        <v>0</v>
      </c>
      <c r="P1828">
        <f>IF(OR(calendar[[#This Row],[UK_BH]]=1,calendar[[#This Row],[WeekDay]]=1, calendar[[#This Row],[WeekDay]]=7),P1827,P1827+1)</f>
        <v>1305</v>
      </c>
      <c r="Q1828">
        <f>IF(OR(calendar[[#This Row],[FR_BH]]=1,calendar[[#This Row],[WeekDay]]=1, calendar[[#This Row],[WeekDay]]=7),P1827,P1827+1)</f>
        <v>1305</v>
      </c>
      <c r="R1828">
        <f>IF(OR(calendar[[#This Row],[SP_BH]]=1,calendar[[#This Row],[WeekDay]]=1, calendar[[#This Row],[WeekDay]]=7),P1827,P1827+1)</f>
        <v>1305</v>
      </c>
      <c r="S1828">
        <f>IF(OR(calendar[[#This Row],[PT_BH]]=1,calendar[[#This Row],[WeekDay]]=1, calendar[[#This Row],[WeekDay]]=7),P1827,P1827+1)</f>
        <v>1305</v>
      </c>
    </row>
    <row r="1829" spans="1:19" x14ac:dyDescent="0.25">
      <c r="A1829" s="2">
        <v>44563</v>
      </c>
      <c r="B1829" s="1">
        <f t="shared" si="143"/>
        <v>2</v>
      </c>
      <c r="C1829">
        <f t="shared" si="145"/>
        <v>1</v>
      </c>
      <c r="D1829" t="str">
        <f t="shared" si="146"/>
        <v>January</v>
      </c>
      <c r="E1829">
        <f t="shared" si="147"/>
        <v>2022</v>
      </c>
      <c r="F1829" t="str">
        <f>CONCATENATE(calendar[[#This Row],[Month]],"/",calendar[[#This Row],[Year]])</f>
        <v>1/2022</v>
      </c>
      <c r="G1829">
        <f>WEEKDAY(calendar[[#This Row],[Date]],1)</f>
        <v>1</v>
      </c>
      <c r="H1829" t="str">
        <f>TEXT(calendar[[#This Row],[WeekDay]],"dddd")</f>
        <v>Sunday</v>
      </c>
      <c r="I1829">
        <f>IF((INT(calendar[[#This Row],[Count]]/7)-calendar[[#This Row],[Count]]/7)&lt;0,I1828,I1828+1)</f>
        <v>262</v>
      </c>
      <c r="J1829">
        <f t="shared" si="144"/>
        <v>1827</v>
      </c>
      <c r="K1829">
        <f>IF(calendar[[#This Row],[Month]]&lt;4,1,IF(calendar[[#This Row],[Month]]&lt;7,2,IF(calendar[[#This Row],[Month]]&lt;10,3,4)))</f>
        <v>1</v>
      </c>
      <c r="L1829">
        <f>IFERROR(IF(VLOOKUP(calendar[[#This Row],[Date]],BH!A:A,1,)&lt;&gt;"",1,0),0)</f>
        <v>0</v>
      </c>
      <c r="M1829">
        <f>IFERROR(IF(VLOOKUP(calendar[[#This Row],[Date]],BH!C:C,1,)&lt;&gt;"",1,0),0)</f>
        <v>0</v>
      </c>
      <c r="N1829">
        <f>IFERROR(IF(VLOOKUP(calendar[[#This Row],[Date]],BH!E:E,1,)&lt;&gt;"",1,0),0)</f>
        <v>0</v>
      </c>
      <c r="O1829">
        <f>IFERROR(IF(VLOOKUP(calendar[[#This Row],[Date]],BH!G:G,1,)&lt;&gt;"",1,0),0)</f>
        <v>0</v>
      </c>
      <c r="P1829">
        <f>IF(OR(calendar[[#This Row],[UK_BH]]=1,calendar[[#This Row],[WeekDay]]=1, calendar[[#This Row],[WeekDay]]=7),P1828,P1828+1)</f>
        <v>1305</v>
      </c>
      <c r="Q1829">
        <f>IF(OR(calendar[[#This Row],[FR_BH]]=1,calendar[[#This Row],[WeekDay]]=1, calendar[[#This Row],[WeekDay]]=7),P1828,P1828+1)</f>
        <v>1305</v>
      </c>
      <c r="R1829">
        <f>IF(OR(calendar[[#This Row],[SP_BH]]=1,calendar[[#This Row],[WeekDay]]=1, calendar[[#This Row],[WeekDay]]=7),P1828,P1828+1)</f>
        <v>1305</v>
      </c>
      <c r="S1829">
        <f>IF(OR(calendar[[#This Row],[PT_BH]]=1,calendar[[#This Row],[WeekDay]]=1, calendar[[#This Row],[WeekDay]]=7),P1828,P1828+1)</f>
        <v>1305</v>
      </c>
    </row>
    <row r="1830" spans="1:19" x14ac:dyDescent="0.25">
      <c r="A1830" s="2">
        <v>44564</v>
      </c>
      <c r="B1830" s="1">
        <f t="shared" si="143"/>
        <v>2</v>
      </c>
      <c r="C1830">
        <f t="shared" si="145"/>
        <v>1</v>
      </c>
      <c r="D1830" t="str">
        <f t="shared" si="146"/>
        <v>January</v>
      </c>
      <c r="E1830">
        <f t="shared" si="147"/>
        <v>2022</v>
      </c>
      <c r="F1830" t="str">
        <f>CONCATENATE(calendar[[#This Row],[Month]],"/",calendar[[#This Row],[Year]])</f>
        <v>1/2022</v>
      </c>
      <c r="G1830">
        <f>WEEKDAY(calendar[[#This Row],[Date]],1)</f>
        <v>2</v>
      </c>
      <c r="H1830" t="str">
        <f>TEXT(calendar[[#This Row],[WeekDay]],"dddd")</f>
        <v>Monday</v>
      </c>
      <c r="I1830">
        <f>IF((INT(calendar[[#This Row],[Count]]/7)-calendar[[#This Row],[Count]]/7)&lt;0,I1829,I1829+1)</f>
        <v>262</v>
      </c>
      <c r="J1830">
        <f t="shared" si="144"/>
        <v>1828</v>
      </c>
      <c r="K1830">
        <f>IF(calendar[[#This Row],[Month]]&lt;4,1,IF(calendar[[#This Row],[Month]]&lt;7,2,IF(calendar[[#This Row],[Month]]&lt;10,3,4)))</f>
        <v>1</v>
      </c>
      <c r="L1830">
        <f>IFERROR(IF(VLOOKUP(calendar[[#This Row],[Date]],BH!A:A,1,)&lt;&gt;"",1,0),0)</f>
        <v>0</v>
      </c>
      <c r="M1830">
        <f>IFERROR(IF(VLOOKUP(calendar[[#This Row],[Date]],BH!C:C,1,)&lt;&gt;"",1,0),0)</f>
        <v>0</v>
      </c>
      <c r="N1830">
        <f>IFERROR(IF(VLOOKUP(calendar[[#This Row],[Date]],BH!E:E,1,)&lt;&gt;"",1,0),0)</f>
        <v>0</v>
      </c>
      <c r="O1830">
        <f>IFERROR(IF(VLOOKUP(calendar[[#This Row],[Date]],BH!G:G,1,)&lt;&gt;"",1,0),0)</f>
        <v>0</v>
      </c>
      <c r="P1830">
        <f>IF(OR(calendar[[#This Row],[UK_BH]]=1,calendar[[#This Row],[WeekDay]]=1, calendar[[#This Row],[WeekDay]]=7),P1829,P1829+1)</f>
        <v>1306</v>
      </c>
      <c r="Q1830">
        <f>IF(OR(calendar[[#This Row],[FR_BH]]=1,calendar[[#This Row],[WeekDay]]=1, calendar[[#This Row],[WeekDay]]=7),P1829,P1829+1)</f>
        <v>1306</v>
      </c>
      <c r="R1830">
        <f>IF(OR(calendar[[#This Row],[SP_BH]]=1,calendar[[#This Row],[WeekDay]]=1, calendar[[#This Row],[WeekDay]]=7),P1829,P1829+1)</f>
        <v>1306</v>
      </c>
      <c r="S1830">
        <f>IF(OR(calendar[[#This Row],[PT_BH]]=1,calendar[[#This Row],[WeekDay]]=1, calendar[[#This Row],[WeekDay]]=7),P1829,P1829+1)</f>
        <v>1306</v>
      </c>
    </row>
    <row r="1831" spans="1:19" x14ac:dyDescent="0.25">
      <c r="A1831" s="2">
        <v>44565</v>
      </c>
      <c r="B1831" s="1">
        <f t="shared" si="143"/>
        <v>2</v>
      </c>
      <c r="C1831">
        <f t="shared" si="145"/>
        <v>1</v>
      </c>
      <c r="D1831" t="str">
        <f t="shared" si="146"/>
        <v>January</v>
      </c>
      <c r="E1831">
        <f t="shared" si="147"/>
        <v>2022</v>
      </c>
      <c r="F1831" t="str">
        <f>CONCATENATE(calendar[[#This Row],[Month]],"/",calendar[[#This Row],[Year]])</f>
        <v>1/2022</v>
      </c>
      <c r="G1831">
        <f>WEEKDAY(calendar[[#This Row],[Date]],1)</f>
        <v>3</v>
      </c>
      <c r="H1831" t="str">
        <f>TEXT(calendar[[#This Row],[WeekDay]],"dddd")</f>
        <v>Tuesday</v>
      </c>
      <c r="I1831">
        <f>IF((INT(calendar[[#This Row],[Count]]/7)-calendar[[#This Row],[Count]]/7)&lt;0,I1830,I1830+1)</f>
        <v>262</v>
      </c>
      <c r="J1831">
        <f t="shared" si="144"/>
        <v>1829</v>
      </c>
      <c r="K1831">
        <f>IF(calendar[[#This Row],[Month]]&lt;4,1,IF(calendar[[#This Row],[Month]]&lt;7,2,IF(calendar[[#This Row],[Month]]&lt;10,3,4)))</f>
        <v>1</v>
      </c>
      <c r="L1831">
        <f>IFERROR(IF(VLOOKUP(calendar[[#This Row],[Date]],BH!A:A,1,)&lt;&gt;"",1,0),0)</f>
        <v>0</v>
      </c>
      <c r="M1831">
        <f>IFERROR(IF(VLOOKUP(calendar[[#This Row],[Date]],BH!C:C,1,)&lt;&gt;"",1,0),0)</f>
        <v>0</v>
      </c>
      <c r="N1831">
        <f>IFERROR(IF(VLOOKUP(calendar[[#This Row],[Date]],BH!E:E,1,)&lt;&gt;"",1,0),0)</f>
        <v>0</v>
      </c>
      <c r="O1831">
        <f>IFERROR(IF(VLOOKUP(calendar[[#This Row],[Date]],BH!G:G,1,)&lt;&gt;"",1,0),0)</f>
        <v>0</v>
      </c>
      <c r="P1831">
        <f>IF(OR(calendar[[#This Row],[UK_BH]]=1,calendar[[#This Row],[WeekDay]]=1, calendar[[#This Row],[WeekDay]]=7),P1830,P1830+1)</f>
        <v>1307</v>
      </c>
      <c r="Q1831">
        <f>IF(OR(calendar[[#This Row],[FR_BH]]=1,calendar[[#This Row],[WeekDay]]=1, calendar[[#This Row],[WeekDay]]=7),P1830,P1830+1)</f>
        <v>1307</v>
      </c>
      <c r="R1831">
        <f>IF(OR(calendar[[#This Row],[SP_BH]]=1,calendar[[#This Row],[WeekDay]]=1, calendar[[#This Row],[WeekDay]]=7),P1830,P1830+1)</f>
        <v>1307</v>
      </c>
      <c r="S1831">
        <f>IF(OR(calendar[[#This Row],[PT_BH]]=1,calendar[[#This Row],[WeekDay]]=1, calendar[[#This Row],[WeekDay]]=7),P1830,P1830+1)</f>
        <v>1307</v>
      </c>
    </row>
    <row r="1832" spans="1:19" x14ac:dyDescent="0.25">
      <c r="A1832" s="2">
        <v>44566</v>
      </c>
      <c r="B1832" s="1">
        <f t="shared" si="143"/>
        <v>2</v>
      </c>
      <c r="C1832">
        <f t="shared" si="145"/>
        <v>1</v>
      </c>
      <c r="D1832" t="str">
        <f t="shared" si="146"/>
        <v>January</v>
      </c>
      <c r="E1832">
        <f t="shared" si="147"/>
        <v>2022</v>
      </c>
      <c r="F1832" t="str">
        <f>CONCATENATE(calendar[[#This Row],[Month]],"/",calendar[[#This Row],[Year]])</f>
        <v>1/2022</v>
      </c>
      <c r="G1832">
        <f>WEEKDAY(calendar[[#This Row],[Date]],1)</f>
        <v>4</v>
      </c>
      <c r="H1832" t="str">
        <f>TEXT(calendar[[#This Row],[WeekDay]],"dddd")</f>
        <v>Wednesday</v>
      </c>
      <c r="I1832">
        <f>IF((INT(calendar[[#This Row],[Count]]/7)-calendar[[#This Row],[Count]]/7)&lt;0,I1831,I1831+1)</f>
        <v>262</v>
      </c>
      <c r="J1832">
        <f t="shared" si="144"/>
        <v>1830</v>
      </c>
      <c r="K1832">
        <f>IF(calendar[[#This Row],[Month]]&lt;4,1,IF(calendar[[#This Row],[Month]]&lt;7,2,IF(calendar[[#This Row],[Month]]&lt;10,3,4)))</f>
        <v>1</v>
      </c>
      <c r="L1832">
        <f>IFERROR(IF(VLOOKUP(calendar[[#This Row],[Date]],BH!A:A,1,)&lt;&gt;"",1,0),0)</f>
        <v>0</v>
      </c>
      <c r="M1832">
        <f>IFERROR(IF(VLOOKUP(calendar[[#This Row],[Date]],BH!C:C,1,)&lt;&gt;"",1,0),0)</f>
        <v>0</v>
      </c>
      <c r="N1832">
        <f>IFERROR(IF(VLOOKUP(calendar[[#This Row],[Date]],BH!E:E,1,)&lt;&gt;"",1,0),0)</f>
        <v>0</v>
      </c>
      <c r="O1832">
        <f>IFERROR(IF(VLOOKUP(calendar[[#This Row],[Date]],BH!G:G,1,)&lt;&gt;"",1,0),0)</f>
        <v>0</v>
      </c>
      <c r="P1832">
        <f>IF(OR(calendar[[#This Row],[UK_BH]]=1,calendar[[#This Row],[WeekDay]]=1, calendar[[#This Row],[WeekDay]]=7),P1831,P1831+1)</f>
        <v>1308</v>
      </c>
      <c r="Q1832">
        <f>IF(OR(calendar[[#This Row],[FR_BH]]=1,calendar[[#This Row],[WeekDay]]=1, calendar[[#This Row],[WeekDay]]=7),P1831,P1831+1)</f>
        <v>1308</v>
      </c>
      <c r="R1832">
        <f>IF(OR(calendar[[#This Row],[SP_BH]]=1,calendar[[#This Row],[WeekDay]]=1, calendar[[#This Row],[WeekDay]]=7),P1831,P1831+1)</f>
        <v>1308</v>
      </c>
      <c r="S1832">
        <f>IF(OR(calendar[[#This Row],[PT_BH]]=1,calendar[[#This Row],[WeekDay]]=1, calendar[[#This Row],[WeekDay]]=7),P1831,P1831+1)</f>
        <v>1308</v>
      </c>
    </row>
    <row r="1833" spans="1:19" x14ac:dyDescent="0.25">
      <c r="A1833" s="2">
        <v>44567</v>
      </c>
      <c r="B1833" s="1">
        <f t="shared" si="143"/>
        <v>2</v>
      </c>
      <c r="C1833">
        <f t="shared" si="145"/>
        <v>1</v>
      </c>
      <c r="D1833" t="str">
        <f t="shared" si="146"/>
        <v>January</v>
      </c>
      <c r="E1833">
        <f t="shared" si="147"/>
        <v>2022</v>
      </c>
      <c r="F1833" t="str">
        <f>CONCATENATE(calendar[[#This Row],[Month]],"/",calendar[[#This Row],[Year]])</f>
        <v>1/2022</v>
      </c>
      <c r="G1833">
        <f>WEEKDAY(calendar[[#This Row],[Date]],1)</f>
        <v>5</v>
      </c>
      <c r="H1833" t="str">
        <f>TEXT(calendar[[#This Row],[WeekDay]],"dddd")</f>
        <v>Thursday</v>
      </c>
      <c r="I1833">
        <f>IF((INT(calendar[[#This Row],[Count]]/7)-calendar[[#This Row],[Count]]/7)&lt;0,I1832,I1832+1)</f>
        <v>262</v>
      </c>
      <c r="J1833">
        <f t="shared" si="144"/>
        <v>1831</v>
      </c>
      <c r="K1833">
        <f>IF(calendar[[#This Row],[Month]]&lt;4,1,IF(calendar[[#This Row],[Month]]&lt;7,2,IF(calendar[[#This Row],[Month]]&lt;10,3,4)))</f>
        <v>1</v>
      </c>
      <c r="L1833">
        <f>IFERROR(IF(VLOOKUP(calendar[[#This Row],[Date]],BH!A:A,1,)&lt;&gt;"",1,0),0)</f>
        <v>0</v>
      </c>
      <c r="M1833">
        <f>IFERROR(IF(VLOOKUP(calendar[[#This Row],[Date]],BH!C:C,1,)&lt;&gt;"",1,0),0)</f>
        <v>0</v>
      </c>
      <c r="N1833">
        <f>IFERROR(IF(VLOOKUP(calendar[[#This Row],[Date]],BH!E:E,1,)&lt;&gt;"",1,0),0)</f>
        <v>0</v>
      </c>
      <c r="O1833">
        <f>IFERROR(IF(VLOOKUP(calendar[[#This Row],[Date]],BH!G:G,1,)&lt;&gt;"",1,0),0)</f>
        <v>0</v>
      </c>
      <c r="P1833">
        <f>IF(OR(calendar[[#This Row],[UK_BH]]=1,calendar[[#This Row],[WeekDay]]=1, calendar[[#This Row],[WeekDay]]=7),P1832,P1832+1)</f>
        <v>1309</v>
      </c>
      <c r="Q1833">
        <f>IF(OR(calendar[[#This Row],[FR_BH]]=1,calendar[[#This Row],[WeekDay]]=1, calendar[[#This Row],[WeekDay]]=7),P1832,P1832+1)</f>
        <v>1309</v>
      </c>
      <c r="R1833">
        <f>IF(OR(calendar[[#This Row],[SP_BH]]=1,calendar[[#This Row],[WeekDay]]=1, calendar[[#This Row],[WeekDay]]=7),P1832,P1832+1)</f>
        <v>1309</v>
      </c>
      <c r="S1833">
        <f>IF(OR(calendar[[#This Row],[PT_BH]]=1,calendar[[#This Row],[WeekDay]]=1, calendar[[#This Row],[WeekDay]]=7),P1832,P1832+1)</f>
        <v>1309</v>
      </c>
    </row>
    <row r="1834" spans="1:19" x14ac:dyDescent="0.25">
      <c r="A1834" s="2">
        <v>44568</v>
      </c>
      <c r="B1834" s="1">
        <f t="shared" si="143"/>
        <v>2</v>
      </c>
      <c r="C1834">
        <f t="shared" si="145"/>
        <v>1</v>
      </c>
      <c r="D1834" t="str">
        <f t="shared" si="146"/>
        <v>January</v>
      </c>
      <c r="E1834">
        <f t="shared" si="147"/>
        <v>2022</v>
      </c>
      <c r="F1834" t="str">
        <f>CONCATENATE(calendar[[#This Row],[Month]],"/",calendar[[#This Row],[Year]])</f>
        <v>1/2022</v>
      </c>
      <c r="G1834">
        <f>WEEKDAY(calendar[[#This Row],[Date]],1)</f>
        <v>6</v>
      </c>
      <c r="H1834" t="str">
        <f>TEXT(calendar[[#This Row],[WeekDay]],"dddd")</f>
        <v>Friday</v>
      </c>
      <c r="I1834">
        <f>IF((INT(calendar[[#This Row],[Count]]/7)-calendar[[#This Row],[Count]]/7)&lt;0,I1833,I1833+1)</f>
        <v>262</v>
      </c>
      <c r="J1834">
        <f t="shared" si="144"/>
        <v>1832</v>
      </c>
      <c r="K1834">
        <f>IF(calendar[[#This Row],[Month]]&lt;4,1,IF(calendar[[#This Row],[Month]]&lt;7,2,IF(calendar[[#This Row],[Month]]&lt;10,3,4)))</f>
        <v>1</v>
      </c>
      <c r="L1834">
        <f>IFERROR(IF(VLOOKUP(calendar[[#This Row],[Date]],BH!A:A,1,)&lt;&gt;"",1,0),0)</f>
        <v>0</v>
      </c>
      <c r="M1834">
        <f>IFERROR(IF(VLOOKUP(calendar[[#This Row],[Date]],BH!C:C,1,)&lt;&gt;"",1,0),0)</f>
        <v>0</v>
      </c>
      <c r="N1834">
        <f>IFERROR(IF(VLOOKUP(calendar[[#This Row],[Date]],BH!E:E,1,)&lt;&gt;"",1,0),0)</f>
        <v>0</v>
      </c>
      <c r="O1834">
        <f>IFERROR(IF(VLOOKUP(calendar[[#This Row],[Date]],BH!G:G,1,)&lt;&gt;"",1,0),0)</f>
        <v>0</v>
      </c>
      <c r="P1834">
        <f>IF(OR(calendar[[#This Row],[UK_BH]]=1,calendar[[#This Row],[WeekDay]]=1, calendar[[#This Row],[WeekDay]]=7),P1833,P1833+1)</f>
        <v>1310</v>
      </c>
      <c r="Q1834">
        <f>IF(OR(calendar[[#This Row],[FR_BH]]=1,calendar[[#This Row],[WeekDay]]=1, calendar[[#This Row],[WeekDay]]=7),P1833,P1833+1)</f>
        <v>1310</v>
      </c>
      <c r="R1834">
        <f>IF(OR(calendar[[#This Row],[SP_BH]]=1,calendar[[#This Row],[WeekDay]]=1, calendar[[#This Row],[WeekDay]]=7),P1833,P1833+1)</f>
        <v>1310</v>
      </c>
      <c r="S1834">
        <f>IF(OR(calendar[[#This Row],[PT_BH]]=1,calendar[[#This Row],[WeekDay]]=1, calendar[[#This Row],[WeekDay]]=7),P1833,P1833+1)</f>
        <v>1310</v>
      </c>
    </row>
    <row r="1835" spans="1:19" x14ac:dyDescent="0.25">
      <c r="A1835" s="2">
        <v>44569</v>
      </c>
      <c r="B1835" s="1">
        <f t="shared" si="143"/>
        <v>2</v>
      </c>
      <c r="C1835">
        <f t="shared" si="145"/>
        <v>1</v>
      </c>
      <c r="D1835" t="str">
        <f t="shared" si="146"/>
        <v>January</v>
      </c>
      <c r="E1835">
        <f t="shared" si="147"/>
        <v>2022</v>
      </c>
      <c r="F1835" t="str">
        <f>CONCATENATE(calendar[[#This Row],[Month]],"/",calendar[[#This Row],[Year]])</f>
        <v>1/2022</v>
      </c>
      <c r="G1835">
        <f>WEEKDAY(calendar[[#This Row],[Date]],1)</f>
        <v>7</v>
      </c>
      <c r="H1835" t="str">
        <f>TEXT(calendar[[#This Row],[WeekDay]],"dddd")</f>
        <v>Saturday</v>
      </c>
      <c r="I1835">
        <f>IF((INT(calendar[[#This Row],[Count]]/7)-calendar[[#This Row],[Count]]/7)&lt;0,I1834,I1834+1)</f>
        <v>262</v>
      </c>
      <c r="J1835">
        <f t="shared" si="144"/>
        <v>1833</v>
      </c>
      <c r="K1835">
        <f>IF(calendar[[#This Row],[Month]]&lt;4,1,IF(calendar[[#This Row],[Month]]&lt;7,2,IF(calendar[[#This Row],[Month]]&lt;10,3,4)))</f>
        <v>1</v>
      </c>
      <c r="L1835">
        <f>IFERROR(IF(VLOOKUP(calendar[[#This Row],[Date]],BH!A:A,1,)&lt;&gt;"",1,0),0)</f>
        <v>0</v>
      </c>
      <c r="M1835">
        <f>IFERROR(IF(VLOOKUP(calendar[[#This Row],[Date]],BH!C:C,1,)&lt;&gt;"",1,0),0)</f>
        <v>0</v>
      </c>
      <c r="N1835">
        <f>IFERROR(IF(VLOOKUP(calendar[[#This Row],[Date]],BH!E:E,1,)&lt;&gt;"",1,0),0)</f>
        <v>0</v>
      </c>
      <c r="O1835">
        <f>IFERROR(IF(VLOOKUP(calendar[[#This Row],[Date]],BH!G:G,1,)&lt;&gt;"",1,0),0)</f>
        <v>0</v>
      </c>
      <c r="P1835">
        <f>IF(OR(calendar[[#This Row],[UK_BH]]=1,calendar[[#This Row],[WeekDay]]=1, calendar[[#This Row],[WeekDay]]=7),P1834,P1834+1)</f>
        <v>1310</v>
      </c>
      <c r="Q1835">
        <f>IF(OR(calendar[[#This Row],[FR_BH]]=1,calendar[[#This Row],[WeekDay]]=1, calendar[[#This Row],[WeekDay]]=7),P1834,P1834+1)</f>
        <v>1310</v>
      </c>
      <c r="R1835">
        <f>IF(OR(calendar[[#This Row],[SP_BH]]=1,calendar[[#This Row],[WeekDay]]=1, calendar[[#This Row],[WeekDay]]=7),P1834,P1834+1)</f>
        <v>1310</v>
      </c>
      <c r="S1835">
        <f>IF(OR(calendar[[#This Row],[PT_BH]]=1,calendar[[#This Row],[WeekDay]]=1, calendar[[#This Row],[WeekDay]]=7),P1834,P1834+1)</f>
        <v>1310</v>
      </c>
    </row>
    <row r="1836" spans="1:19" x14ac:dyDescent="0.25">
      <c r="A1836" s="2">
        <v>44570</v>
      </c>
      <c r="B1836" s="1">
        <f t="shared" si="143"/>
        <v>3</v>
      </c>
      <c r="C1836">
        <f t="shared" si="145"/>
        <v>1</v>
      </c>
      <c r="D1836" t="str">
        <f t="shared" si="146"/>
        <v>January</v>
      </c>
      <c r="E1836">
        <f t="shared" si="147"/>
        <v>2022</v>
      </c>
      <c r="F1836" t="str">
        <f>CONCATENATE(calendar[[#This Row],[Month]],"/",calendar[[#This Row],[Year]])</f>
        <v>1/2022</v>
      </c>
      <c r="G1836">
        <f>WEEKDAY(calendar[[#This Row],[Date]],1)</f>
        <v>1</v>
      </c>
      <c r="H1836" t="str">
        <f>TEXT(calendar[[#This Row],[WeekDay]],"dddd")</f>
        <v>Sunday</v>
      </c>
      <c r="I1836">
        <f>IF((INT(calendar[[#This Row],[Count]]/7)-calendar[[#This Row],[Count]]/7)&lt;0,I1835,I1835+1)</f>
        <v>263</v>
      </c>
      <c r="J1836">
        <f t="shared" si="144"/>
        <v>1834</v>
      </c>
      <c r="K1836">
        <f>IF(calendar[[#This Row],[Month]]&lt;4,1,IF(calendar[[#This Row],[Month]]&lt;7,2,IF(calendar[[#This Row],[Month]]&lt;10,3,4)))</f>
        <v>1</v>
      </c>
      <c r="L1836">
        <f>IFERROR(IF(VLOOKUP(calendar[[#This Row],[Date]],BH!A:A,1,)&lt;&gt;"",1,0),0)</f>
        <v>0</v>
      </c>
      <c r="M1836">
        <f>IFERROR(IF(VLOOKUP(calendar[[#This Row],[Date]],BH!C:C,1,)&lt;&gt;"",1,0),0)</f>
        <v>0</v>
      </c>
      <c r="N1836">
        <f>IFERROR(IF(VLOOKUP(calendar[[#This Row],[Date]],BH!E:E,1,)&lt;&gt;"",1,0),0)</f>
        <v>0</v>
      </c>
      <c r="O1836">
        <f>IFERROR(IF(VLOOKUP(calendar[[#This Row],[Date]],BH!G:G,1,)&lt;&gt;"",1,0),0)</f>
        <v>0</v>
      </c>
      <c r="P1836">
        <f>IF(OR(calendar[[#This Row],[UK_BH]]=1,calendar[[#This Row],[WeekDay]]=1, calendar[[#This Row],[WeekDay]]=7),P1835,P1835+1)</f>
        <v>1310</v>
      </c>
      <c r="Q1836">
        <f>IF(OR(calendar[[#This Row],[FR_BH]]=1,calendar[[#This Row],[WeekDay]]=1, calendar[[#This Row],[WeekDay]]=7),P1835,P1835+1)</f>
        <v>1310</v>
      </c>
      <c r="R1836">
        <f>IF(OR(calendar[[#This Row],[SP_BH]]=1,calendar[[#This Row],[WeekDay]]=1, calendar[[#This Row],[WeekDay]]=7),P1835,P1835+1)</f>
        <v>1310</v>
      </c>
      <c r="S1836">
        <f>IF(OR(calendar[[#This Row],[PT_BH]]=1,calendar[[#This Row],[WeekDay]]=1, calendar[[#This Row],[WeekDay]]=7),P1835,P1835+1)</f>
        <v>1310</v>
      </c>
    </row>
    <row r="1837" spans="1:19" x14ac:dyDescent="0.25">
      <c r="A1837" s="2">
        <v>44571</v>
      </c>
      <c r="B1837" s="1">
        <f t="shared" si="143"/>
        <v>3</v>
      </c>
      <c r="C1837">
        <f t="shared" si="145"/>
        <v>1</v>
      </c>
      <c r="D1837" t="str">
        <f t="shared" si="146"/>
        <v>January</v>
      </c>
      <c r="E1837">
        <f t="shared" si="147"/>
        <v>2022</v>
      </c>
      <c r="F1837" t="str">
        <f>CONCATENATE(calendar[[#This Row],[Month]],"/",calendar[[#This Row],[Year]])</f>
        <v>1/2022</v>
      </c>
      <c r="G1837">
        <f>WEEKDAY(calendar[[#This Row],[Date]],1)</f>
        <v>2</v>
      </c>
      <c r="H1837" t="str">
        <f>TEXT(calendar[[#This Row],[WeekDay]],"dddd")</f>
        <v>Monday</v>
      </c>
      <c r="I1837">
        <f>IF((INT(calendar[[#This Row],[Count]]/7)-calendar[[#This Row],[Count]]/7)&lt;0,I1836,I1836+1)</f>
        <v>263</v>
      </c>
      <c r="J1837">
        <f t="shared" si="144"/>
        <v>1835</v>
      </c>
      <c r="K1837">
        <f>IF(calendar[[#This Row],[Month]]&lt;4,1,IF(calendar[[#This Row],[Month]]&lt;7,2,IF(calendar[[#This Row],[Month]]&lt;10,3,4)))</f>
        <v>1</v>
      </c>
      <c r="L1837">
        <f>IFERROR(IF(VLOOKUP(calendar[[#This Row],[Date]],BH!A:A,1,)&lt;&gt;"",1,0),0)</f>
        <v>0</v>
      </c>
      <c r="M1837">
        <f>IFERROR(IF(VLOOKUP(calendar[[#This Row],[Date]],BH!C:C,1,)&lt;&gt;"",1,0),0)</f>
        <v>0</v>
      </c>
      <c r="N1837">
        <f>IFERROR(IF(VLOOKUP(calendar[[#This Row],[Date]],BH!E:E,1,)&lt;&gt;"",1,0),0)</f>
        <v>0</v>
      </c>
      <c r="O1837">
        <f>IFERROR(IF(VLOOKUP(calendar[[#This Row],[Date]],BH!G:G,1,)&lt;&gt;"",1,0),0)</f>
        <v>0</v>
      </c>
      <c r="P1837">
        <f>IF(OR(calendar[[#This Row],[UK_BH]]=1,calendar[[#This Row],[WeekDay]]=1, calendar[[#This Row],[WeekDay]]=7),P1836,P1836+1)</f>
        <v>1311</v>
      </c>
      <c r="Q1837">
        <f>IF(OR(calendar[[#This Row],[FR_BH]]=1,calendar[[#This Row],[WeekDay]]=1, calendar[[#This Row],[WeekDay]]=7),P1836,P1836+1)</f>
        <v>1311</v>
      </c>
      <c r="R1837">
        <f>IF(OR(calendar[[#This Row],[SP_BH]]=1,calendar[[#This Row],[WeekDay]]=1, calendar[[#This Row],[WeekDay]]=7),P1836,P1836+1)</f>
        <v>1311</v>
      </c>
      <c r="S1837">
        <f>IF(OR(calendar[[#This Row],[PT_BH]]=1,calendar[[#This Row],[WeekDay]]=1, calendar[[#This Row],[WeekDay]]=7),P1836,P1836+1)</f>
        <v>1311</v>
      </c>
    </row>
    <row r="1838" spans="1:19" x14ac:dyDescent="0.25">
      <c r="A1838" s="2">
        <v>44572</v>
      </c>
      <c r="B1838" s="1">
        <f t="shared" si="143"/>
        <v>3</v>
      </c>
      <c r="C1838">
        <f t="shared" si="145"/>
        <v>1</v>
      </c>
      <c r="D1838" t="str">
        <f t="shared" si="146"/>
        <v>January</v>
      </c>
      <c r="E1838">
        <f t="shared" si="147"/>
        <v>2022</v>
      </c>
      <c r="F1838" t="str">
        <f>CONCATENATE(calendar[[#This Row],[Month]],"/",calendar[[#This Row],[Year]])</f>
        <v>1/2022</v>
      </c>
      <c r="G1838">
        <f>WEEKDAY(calendar[[#This Row],[Date]],1)</f>
        <v>3</v>
      </c>
      <c r="H1838" t="str">
        <f>TEXT(calendar[[#This Row],[WeekDay]],"dddd")</f>
        <v>Tuesday</v>
      </c>
      <c r="I1838">
        <f>IF((INT(calendar[[#This Row],[Count]]/7)-calendar[[#This Row],[Count]]/7)&lt;0,I1837,I1837+1)</f>
        <v>263</v>
      </c>
      <c r="J1838">
        <f t="shared" si="144"/>
        <v>1836</v>
      </c>
      <c r="K1838">
        <f>IF(calendar[[#This Row],[Month]]&lt;4,1,IF(calendar[[#This Row],[Month]]&lt;7,2,IF(calendar[[#This Row],[Month]]&lt;10,3,4)))</f>
        <v>1</v>
      </c>
      <c r="L1838">
        <f>IFERROR(IF(VLOOKUP(calendar[[#This Row],[Date]],BH!A:A,1,)&lt;&gt;"",1,0),0)</f>
        <v>0</v>
      </c>
      <c r="M1838">
        <f>IFERROR(IF(VLOOKUP(calendar[[#This Row],[Date]],BH!C:C,1,)&lt;&gt;"",1,0),0)</f>
        <v>0</v>
      </c>
      <c r="N1838">
        <f>IFERROR(IF(VLOOKUP(calendar[[#This Row],[Date]],BH!E:E,1,)&lt;&gt;"",1,0),0)</f>
        <v>0</v>
      </c>
      <c r="O1838">
        <f>IFERROR(IF(VLOOKUP(calendar[[#This Row],[Date]],BH!G:G,1,)&lt;&gt;"",1,0),0)</f>
        <v>0</v>
      </c>
      <c r="P1838">
        <f>IF(OR(calendar[[#This Row],[UK_BH]]=1,calendar[[#This Row],[WeekDay]]=1, calendar[[#This Row],[WeekDay]]=7),P1837,P1837+1)</f>
        <v>1312</v>
      </c>
      <c r="Q1838">
        <f>IF(OR(calendar[[#This Row],[FR_BH]]=1,calendar[[#This Row],[WeekDay]]=1, calendar[[#This Row],[WeekDay]]=7),P1837,P1837+1)</f>
        <v>1312</v>
      </c>
      <c r="R1838">
        <f>IF(OR(calendar[[#This Row],[SP_BH]]=1,calendar[[#This Row],[WeekDay]]=1, calendar[[#This Row],[WeekDay]]=7),P1837,P1837+1)</f>
        <v>1312</v>
      </c>
      <c r="S1838">
        <f>IF(OR(calendar[[#This Row],[PT_BH]]=1,calendar[[#This Row],[WeekDay]]=1, calendar[[#This Row],[WeekDay]]=7),P1837,P1837+1)</f>
        <v>1312</v>
      </c>
    </row>
    <row r="1839" spans="1:19" x14ac:dyDescent="0.25">
      <c r="A1839" s="2">
        <v>44573</v>
      </c>
      <c r="B1839" s="1">
        <f t="shared" si="143"/>
        <v>3</v>
      </c>
      <c r="C1839">
        <f t="shared" si="145"/>
        <v>1</v>
      </c>
      <c r="D1839" t="str">
        <f t="shared" si="146"/>
        <v>January</v>
      </c>
      <c r="E1839">
        <f t="shared" si="147"/>
        <v>2022</v>
      </c>
      <c r="F1839" t="str">
        <f>CONCATENATE(calendar[[#This Row],[Month]],"/",calendar[[#This Row],[Year]])</f>
        <v>1/2022</v>
      </c>
      <c r="G1839">
        <f>WEEKDAY(calendar[[#This Row],[Date]],1)</f>
        <v>4</v>
      </c>
      <c r="H1839" t="str">
        <f>TEXT(calendar[[#This Row],[WeekDay]],"dddd")</f>
        <v>Wednesday</v>
      </c>
      <c r="I1839">
        <f>IF((INT(calendar[[#This Row],[Count]]/7)-calendar[[#This Row],[Count]]/7)&lt;0,I1838,I1838+1)</f>
        <v>263</v>
      </c>
      <c r="J1839">
        <f t="shared" si="144"/>
        <v>1837</v>
      </c>
      <c r="K1839">
        <f>IF(calendar[[#This Row],[Month]]&lt;4,1,IF(calendar[[#This Row],[Month]]&lt;7,2,IF(calendar[[#This Row],[Month]]&lt;10,3,4)))</f>
        <v>1</v>
      </c>
      <c r="L1839">
        <f>IFERROR(IF(VLOOKUP(calendar[[#This Row],[Date]],BH!A:A,1,)&lt;&gt;"",1,0),0)</f>
        <v>0</v>
      </c>
      <c r="M1839">
        <f>IFERROR(IF(VLOOKUP(calendar[[#This Row],[Date]],BH!C:C,1,)&lt;&gt;"",1,0),0)</f>
        <v>0</v>
      </c>
      <c r="N1839">
        <f>IFERROR(IF(VLOOKUP(calendar[[#This Row],[Date]],BH!E:E,1,)&lt;&gt;"",1,0),0)</f>
        <v>0</v>
      </c>
      <c r="O1839">
        <f>IFERROR(IF(VLOOKUP(calendar[[#This Row],[Date]],BH!G:G,1,)&lt;&gt;"",1,0),0)</f>
        <v>0</v>
      </c>
      <c r="P1839">
        <f>IF(OR(calendar[[#This Row],[UK_BH]]=1,calendar[[#This Row],[WeekDay]]=1, calendar[[#This Row],[WeekDay]]=7),P1838,P1838+1)</f>
        <v>1313</v>
      </c>
      <c r="Q1839">
        <f>IF(OR(calendar[[#This Row],[FR_BH]]=1,calendar[[#This Row],[WeekDay]]=1, calendar[[#This Row],[WeekDay]]=7),P1838,P1838+1)</f>
        <v>1313</v>
      </c>
      <c r="R1839">
        <f>IF(OR(calendar[[#This Row],[SP_BH]]=1,calendar[[#This Row],[WeekDay]]=1, calendar[[#This Row],[WeekDay]]=7),P1838,P1838+1)</f>
        <v>1313</v>
      </c>
      <c r="S1839">
        <f>IF(OR(calendar[[#This Row],[PT_BH]]=1,calendar[[#This Row],[WeekDay]]=1, calendar[[#This Row],[WeekDay]]=7),P1838,P1838+1)</f>
        <v>1313</v>
      </c>
    </row>
    <row r="1840" spans="1:19" x14ac:dyDescent="0.25">
      <c r="A1840" s="2">
        <v>44574</v>
      </c>
      <c r="B1840" s="1">
        <f t="shared" si="143"/>
        <v>3</v>
      </c>
      <c r="C1840">
        <f t="shared" si="145"/>
        <v>1</v>
      </c>
      <c r="D1840" t="str">
        <f t="shared" si="146"/>
        <v>January</v>
      </c>
      <c r="E1840">
        <f t="shared" si="147"/>
        <v>2022</v>
      </c>
      <c r="F1840" t="str">
        <f>CONCATENATE(calendar[[#This Row],[Month]],"/",calendar[[#This Row],[Year]])</f>
        <v>1/2022</v>
      </c>
      <c r="G1840">
        <f>WEEKDAY(calendar[[#This Row],[Date]],1)</f>
        <v>5</v>
      </c>
      <c r="H1840" t="str">
        <f>TEXT(calendar[[#This Row],[WeekDay]],"dddd")</f>
        <v>Thursday</v>
      </c>
      <c r="I1840">
        <f>IF((INT(calendar[[#This Row],[Count]]/7)-calendar[[#This Row],[Count]]/7)&lt;0,I1839,I1839+1)</f>
        <v>263</v>
      </c>
      <c r="J1840">
        <f t="shared" si="144"/>
        <v>1838</v>
      </c>
      <c r="K1840">
        <f>IF(calendar[[#This Row],[Month]]&lt;4,1,IF(calendar[[#This Row],[Month]]&lt;7,2,IF(calendar[[#This Row],[Month]]&lt;10,3,4)))</f>
        <v>1</v>
      </c>
      <c r="L1840">
        <f>IFERROR(IF(VLOOKUP(calendar[[#This Row],[Date]],BH!A:A,1,)&lt;&gt;"",1,0),0)</f>
        <v>0</v>
      </c>
      <c r="M1840">
        <f>IFERROR(IF(VLOOKUP(calendar[[#This Row],[Date]],BH!C:C,1,)&lt;&gt;"",1,0),0)</f>
        <v>0</v>
      </c>
      <c r="N1840">
        <f>IFERROR(IF(VLOOKUP(calendar[[#This Row],[Date]],BH!E:E,1,)&lt;&gt;"",1,0),0)</f>
        <v>0</v>
      </c>
      <c r="O1840">
        <f>IFERROR(IF(VLOOKUP(calendar[[#This Row],[Date]],BH!G:G,1,)&lt;&gt;"",1,0),0)</f>
        <v>0</v>
      </c>
      <c r="P1840">
        <f>IF(OR(calendar[[#This Row],[UK_BH]]=1,calendar[[#This Row],[WeekDay]]=1, calendar[[#This Row],[WeekDay]]=7),P1839,P1839+1)</f>
        <v>1314</v>
      </c>
      <c r="Q1840">
        <f>IF(OR(calendar[[#This Row],[FR_BH]]=1,calendar[[#This Row],[WeekDay]]=1, calendar[[#This Row],[WeekDay]]=7),P1839,P1839+1)</f>
        <v>1314</v>
      </c>
      <c r="R1840">
        <f>IF(OR(calendar[[#This Row],[SP_BH]]=1,calendar[[#This Row],[WeekDay]]=1, calendar[[#This Row],[WeekDay]]=7),P1839,P1839+1)</f>
        <v>1314</v>
      </c>
      <c r="S1840">
        <f>IF(OR(calendar[[#This Row],[PT_BH]]=1,calendar[[#This Row],[WeekDay]]=1, calendar[[#This Row],[WeekDay]]=7),P1839,P1839+1)</f>
        <v>1314</v>
      </c>
    </row>
    <row r="1841" spans="1:19" x14ac:dyDescent="0.25">
      <c r="A1841" s="2">
        <v>44575</v>
      </c>
      <c r="B1841" s="1">
        <f t="shared" si="143"/>
        <v>3</v>
      </c>
      <c r="C1841">
        <f t="shared" si="145"/>
        <v>1</v>
      </c>
      <c r="D1841" t="str">
        <f t="shared" si="146"/>
        <v>January</v>
      </c>
      <c r="E1841">
        <f t="shared" si="147"/>
        <v>2022</v>
      </c>
      <c r="F1841" t="str">
        <f>CONCATENATE(calendar[[#This Row],[Month]],"/",calendar[[#This Row],[Year]])</f>
        <v>1/2022</v>
      </c>
      <c r="G1841">
        <f>WEEKDAY(calendar[[#This Row],[Date]],1)</f>
        <v>6</v>
      </c>
      <c r="H1841" t="str">
        <f>TEXT(calendar[[#This Row],[WeekDay]],"dddd")</f>
        <v>Friday</v>
      </c>
      <c r="I1841">
        <f>IF((INT(calendar[[#This Row],[Count]]/7)-calendar[[#This Row],[Count]]/7)&lt;0,I1840,I1840+1)</f>
        <v>263</v>
      </c>
      <c r="J1841">
        <f t="shared" si="144"/>
        <v>1839</v>
      </c>
      <c r="K1841">
        <f>IF(calendar[[#This Row],[Month]]&lt;4,1,IF(calendar[[#This Row],[Month]]&lt;7,2,IF(calendar[[#This Row],[Month]]&lt;10,3,4)))</f>
        <v>1</v>
      </c>
      <c r="L1841">
        <f>IFERROR(IF(VLOOKUP(calendar[[#This Row],[Date]],BH!A:A,1,)&lt;&gt;"",1,0),0)</f>
        <v>0</v>
      </c>
      <c r="M1841">
        <f>IFERROR(IF(VLOOKUP(calendar[[#This Row],[Date]],BH!C:C,1,)&lt;&gt;"",1,0),0)</f>
        <v>0</v>
      </c>
      <c r="N1841">
        <f>IFERROR(IF(VLOOKUP(calendar[[#This Row],[Date]],BH!E:E,1,)&lt;&gt;"",1,0),0)</f>
        <v>0</v>
      </c>
      <c r="O1841">
        <f>IFERROR(IF(VLOOKUP(calendar[[#This Row],[Date]],BH!G:G,1,)&lt;&gt;"",1,0),0)</f>
        <v>0</v>
      </c>
      <c r="P1841">
        <f>IF(OR(calendar[[#This Row],[UK_BH]]=1,calendar[[#This Row],[WeekDay]]=1, calendar[[#This Row],[WeekDay]]=7),P1840,P1840+1)</f>
        <v>1315</v>
      </c>
      <c r="Q1841">
        <f>IF(OR(calendar[[#This Row],[FR_BH]]=1,calendar[[#This Row],[WeekDay]]=1, calendar[[#This Row],[WeekDay]]=7),P1840,P1840+1)</f>
        <v>1315</v>
      </c>
      <c r="R1841">
        <f>IF(OR(calendar[[#This Row],[SP_BH]]=1,calendar[[#This Row],[WeekDay]]=1, calendar[[#This Row],[WeekDay]]=7),P1840,P1840+1)</f>
        <v>1315</v>
      </c>
      <c r="S1841">
        <f>IF(OR(calendar[[#This Row],[PT_BH]]=1,calendar[[#This Row],[WeekDay]]=1, calendar[[#This Row],[WeekDay]]=7),P1840,P1840+1)</f>
        <v>1315</v>
      </c>
    </row>
    <row r="1842" spans="1:19" x14ac:dyDescent="0.25">
      <c r="A1842" s="2">
        <v>44576</v>
      </c>
      <c r="B1842" s="1">
        <f t="shared" si="143"/>
        <v>3</v>
      </c>
      <c r="C1842">
        <f t="shared" si="145"/>
        <v>1</v>
      </c>
      <c r="D1842" t="str">
        <f t="shared" si="146"/>
        <v>January</v>
      </c>
      <c r="E1842">
        <f t="shared" si="147"/>
        <v>2022</v>
      </c>
      <c r="F1842" t="str">
        <f>CONCATENATE(calendar[[#This Row],[Month]],"/",calendar[[#This Row],[Year]])</f>
        <v>1/2022</v>
      </c>
      <c r="G1842">
        <f>WEEKDAY(calendar[[#This Row],[Date]],1)</f>
        <v>7</v>
      </c>
      <c r="H1842" t="str">
        <f>TEXT(calendar[[#This Row],[WeekDay]],"dddd")</f>
        <v>Saturday</v>
      </c>
      <c r="I1842">
        <f>IF((INT(calendar[[#This Row],[Count]]/7)-calendar[[#This Row],[Count]]/7)&lt;0,I1841,I1841+1)</f>
        <v>263</v>
      </c>
      <c r="J1842">
        <f t="shared" si="144"/>
        <v>1840</v>
      </c>
      <c r="K1842">
        <f>IF(calendar[[#This Row],[Month]]&lt;4,1,IF(calendar[[#This Row],[Month]]&lt;7,2,IF(calendar[[#This Row],[Month]]&lt;10,3,4)))</f>
        <v>1</v>
      </c>
      <c r="L1842">
        <f>IFERROR(IF(VLOOKUP(calendar[[#This Row],[Date]],BH!A:A,1,)&lt;&gt;"",1,0),0)</f>
        <v>0</v>
      </c>
      <c r="M1842">
        <f>IFERROR(IF(VLOOKUP(calendar[[#This Row],[Date]],BH!C:C,1,)&lt;&gt;"",1,0),0)</f>
        <v>0</v>
      </c>
      <c r="N1842">
        <f>IFERROR(IF(VLOOKUP(calendar[[#This Row],[Date]],BH!E:E,1,)&lt;&gt;"",1,0),0)</f>
        <v>0</v>
      </c>
      <c r="O1842">
        <f>IFERROR(IF(VLOOKUP(calendar[[#This Row],[Date]],BH!G:G,1,)&lt;&gt;"",1,0),0)</f>
        <v>0</v>
      </c>
      <c r="P1842">
        <f>IF(OR(calendar[[#This Row],[UK_BH]]=1,calendar[[#This Row],[WeekDay]]=1, calendar[[#This Row],[WeekDay]]=7),P1841,P1841+1)</f>
        <v>1315</v>
      </c>
      <c r="Q1842">
        <f>IF(OR(calendar[[#This Row],[FR_BH]]=1,calendar[[#This Row],[WeekDay]]=1, calendar[[#This Row],[WeekDay]]=7),P1841,P1841+1)</f>
        <v>1315</v>
      </c>
      <c r="R1842">
        <f>IF(OR(calendar[[#This Row],[SP_BH]]=1,calendar[[#This Row],[WeekDay]]=1, calendar[[#This Row],[WeekDay]]=7),P1841,P1841+1)</f>
        <v>1315</v>
      </c>
      <c r="S1842">
        <f>IF(OR(calendar[[#This Row],[PT_BH]]=1,calendar[[#This Row],[WeekDay]]=1, calendar[[#This Row],[WeekDay]]=7),P1841,P1841+1)</f>
        <v>1315</v>
      </c>
    </row>
    <row r="1843" spans="1:19" x14ac:dyDescent="0.25">
      <c r="A1843" s="2">
        <v>44577</v>
      </c>
      <c r="B1843" s="1">
        <f t="shared" si="143"/>
        <v>4</v>
      </c>
      <c r="C1843">
        <f t="shared" si="145"/>
        <v>1</v>
      </c>
      <c r="D1843" t="str">
        <f t="shared" si="146"/>
        <v>January</v>
      </c>
      <c r="E1843">
        <f t="shared" si="147"/>
        <v>2022</v>
      </c>
      <c r="F1843" t="str">
        <f>CONCATENATE(calendar[[#This Row],[Month]],"/",calendar[[#This Row],[Year]])</f>
        <v>1/2022</v>
      </c>
      <c r="G1843">
        <f>WEEKDAY(calendar[[#This Row],[Date]],1)</f>
        <v>1</v>
      </c>
      <c r="H1843" t="str">
        <f>TEXT(calendar[[#This Row],[WeekDay]],"dddd")</f>
        <v>Sunday</v>
      </c>
      <c r="I1843">
        <f>IF((INT(calendar[[#This Row],[Count]]/7)-calendar[[#This Row],[Count]]/7)&lt;0,I1842,I1842+1)</f>
        <v>264</v>
      </c>
      <c r="J1843">
        <f t="shared" si="144"/>
        <v>1841</v>
      </c>
      <c r="K1843">
        <f>IF(calendar[[#This Row],[Month]]&lt;4,1,IF(calendar[[#This Row],[Month]]&lt;7,2,IF(calendar[[#This Row],[Month]]&lt;10,3,4)))</f>
        <v>1</v>
      </c>
      <c r="L1843">
        <f>IFERROR(IF(VLOOKUP(calendar[[#This Row],[Date]],BH!A:A,1,)&lt;&gt;"",1,0),0)</f>
        <v>0</v>
      </c>
      <c r="M1843">
        <f>IFERROR(IF(VLOOKUP(calendar[[#This Row],[Date]],BH!C:C,1,)&lt;&gt;"",1,0),0)</f>
        <v>0</v>
      </c>
      <c r="N1843">
        <f>IFERROR(IF(VLOOKUP(calendar[[#This Row],[Date]],BH!E:E,1,)&lt;&gt;"",1,0),0)</f>
        <v>0</v>
      </c>
      <c r="O1843">
        <f>IFERROR(IF(VLOOKUP(calendar[[#This Row],[Date]],BH!G:G,1,)&lt;&gt;"",1,0),0)</f>
        <v>0</v>
      </c>
      <c r="P1843">
        <f>IF(OR(calendar[[#This Row],[UK_BH]]=1,calendar[[#This Row],[WeekDay]]=1, calendar[[#This Row],[WeekDay]]=7),P1842,P1842+1)</f>
        <v>1315</v>
      </c>
      <c r="Q1843">
        <f>IF(OR(calendar[[#This Row],[FR_BH]]=1,calendar[[#This Row],[WeekDay]]=1, calendar[[#This Row],[WeekDay]]=7),P1842,P1842+1)</f>
        <v>1315</v>
      </c>
      <c r="R1843">
        <f>IF(OR(calendar[[#This Row],[SP_BH]]=1,calendar[[#This Row],[WeekDay]]=1, calendar[[#This Row],[WeekDay]]=7),P1842,P1842+1)</f>
        <v>1315</v>
      </c>
      <c r="S1843">
        <f>IF(OR(calendar[[#This Row],[PT_BH]]=1,calendar[[#This Row],[WeekDay]]=1, calendar[[#This Row],[WeekDay]]=7),P1842,P1842+1)</f>
        <v>1315</v>
      </c>
    </row>
    <row r="1844" spans="1:19" x14ac:dyDescent="0.25">
      <c r="A1844" s="2">
        <v>44578</v>
      </c>
      <c r="B1844" s="1">
        <f t="shared" si="143"/>
        <v>4</v>
      </c>
      <c r="C1844">
        <f t="shared" si="145"/>
        <v>1</v>
      </c>
      <c r="D1844" t="str">
        <f t="shared" si="146"/>
        <v>January</v>
      </c>
      <c r="E1844">
        <f t="shared" si="147"/>
        <v>2022</v>
      </c>
      <c r="F1844" t="str">
        <f>CONCATENATE(calendar[[#This Row],[Month]],"/",calendar[[#This Row],[Year]])</f>
        <v>1/2022</v>
      </c>
      <c r="G1844">
        <f>WEEKDAY(calendar[[#This Row],[Date]],1)</f>
        <v>2</v>
      </c>
      <c r="H1844" t="str">
        <f>TEXT(calendar[[#This Row],[WeekDay]],"dddd")</f>
        <v>Monday</v>
      </c>
      <c r="I1844">
        <f>IF((INT(calendar[[#This Row],[Count]]/7)-calendar[[#This Row],[Count]]/7)&lt;0,I1843,I1843+1)</f>
        <v>264</v>
      </c>
      <c r="J1844">
        <f t="shared" si="144"/>
        <v>1842</v>
      </c>
      <c r="K1844">
        <f>IF(calendar[[#This Row],[Month]]&lt;4,1,IF(calendar[[#This Row],[Month]]&lt;7,2,IF(calendar[[#This Row],[Month]]&lt;10,3,4)))</f>
        <v>1</v>
      </c>
      <c r="L1844">
        <f>IFERROR(IF(VLOOKUP(calendar[[#This Row],[Date]],BH!A:A,1,)&lt;&gt;"",1,0),0)</f>
        <v>0</v>
      </c>
      <c r="M1844">
        <f>IFERROR(IF(VLOOKUP(calendar[[#This Row],[Date]],BH!C:C,1,)&lt;&gt;"",1,0),0)</f>
        <v>0</v>
      </c>
      <c r="N1844">
        <f>IFERROR(IF(VLOOKUP(calendar[[#This Row],[Date]],BH!E:E,1,)&lt;&gt;"",1,0),0)</f>
        <v>0</v>
      </c>
      <c r="O1844">
        <f>IFERROR(IF(VLOOKUP(calendar[[#This Row],[Date]],BH!G:G,1,)&lt;&gt;"",1,0),0)</f>
        <v>0</v>
      </c>
      <c r="P1844">
        <f>IF(OR(calendar[[#This Row],[UK_BH]]=1,calendar[[#This Row],[WeekDay]]=1, calendar[[#This Row],[WeekDay]]=7),P1843,P1843+1)</f>
        <v>1316</v>
      </c>
      <c r="Q1844">
        <f>IF(OR(calendar[[#This Row],[FR_BH]]=1,calendar[[#This Row],[WeekDay]]=1, calendar[[#This Row],[WeekDay]]=7),P1843,P1843+1)</f>
        <v>1316</v>
      </c>
      <c r="R1844">
        <f>IF(OR(calendar[[#This Row],[SP_BH]]=1,calendar[[#This Row],[WeekDay]]=1, calendar[[#This Row],[WeekDay]]=7),P1843,P1843+1)</f>
        <v>1316</v>
      </c>
      <c r="S1844">
        <f>IF(OR(calendar[[#This Row],[PT_BH]]=1,calendar[[#This Row],[WeekDay]]=1, calendar[[#This Row],[WeekDay]]=7),P1843,P1843+1)</f>
        <v>1316</v>
      </c>
    </row>
    <row r="1845" spans="1:19" x14ac:dyDescent="0.25">
      <c r="A1845" s="2">
        <v>44579</v>
      </c>
      <c r="B1845" s="1">
        <f t="shared" si="143"/>
        <v>4</v>
      </c>
      <c r="C1845">
        <f t="shared" si="145"/>
        <v>1</v>
      </c>
      <c r="D1845" t="str">
        <f t="shared" si="146"/>
        <v>January</v>
      </c>
      <c r="E1845">
        <f t="shared" si="147"/>
        <v>2022</v>
      </c>
      <c r="F1845" t="str">
        <f>CONCATENATE(calendar[[#This Row],[Month]],"/",calendar[[#This Row],[Year]])</f>
        <v>1/2022</v>
      </c>
      <c r="G1845">
        <f>WEEKDAY(calendar[[#This Row],[Date]],1)</f>
        <v>3</v>
      </c>
      <c r="H1845" t="str">
        <f>TEXT(calendar[[#This Row],[WeekDay]],"dddd")</f>
        <v>Tuesday</v>
      </c>
      <c r="I1845">
        <f>IF((INT(calendar[[#This Row],[Count]]/7)-calendar[[#This Row],[Count]]/7)&lt;0,I1844,I1844+1)</f>
        <v>264</v>
      </c>
      <c r="J1845">
        <f t="shared" si="144"/>
        <v>1843</v>
      </c>
      <c r="K1845">
        <f>IF(calendar[[#This Row],[Month]]&lt;4,1,IF(calendar[[#This Row],[Month]]&lt;7,2,IF(calendar[[#This Row],[Month]]&lt;10,3,4)))</f>
        <v>1</v>
      </c>
      <c r="L1845">
        <f>IFERROR(IF(VLOOKUP(calendar[[#This Row],[Date]],BH!A:A,1,)&lt;&gt;"",1,0),0)</f>
        <v>0</v>
      </c>
      <c r="M1845">
        <f>IFERROR(IF(VLOOKUP(calendar[[#This Row],[Date]],BH!C:C,1,)&lt;&gt;"",1,0),0)</f>
        <v>0</v>
      </c>
      <c r="N1845">
        <f>IFERROR(IF(VLOOKUP(calendar[[#This Row],[Date]],BH!E:E,1,)&lt;&gt;"",1,0),0)</f>
        <v>0</v>
      </c>
      <c r="O1845">
        <f>IFERROR(IF(VLOOKUP(calendar[[#This Row],[Date]],BH!G:G,1,)&lt;&gt;"",1,0),0)</f>
        <v>0</v>
      </c>
      <c r="P1845">
        <f>IF(OR(calendar[[#This Row],[UK_BH]]=1,calendar[[#This Row],[WeekDay]]=1, calendar[[#This Row],[WeekDay]]=7),P1844,P1844+1)</f>
        <v>1317</v>
      </c>
      <c r="Q1845">
        <f>IF(OR(calendar[[#This Row],[FR_BH]]=1,calendar[[#This Row],[WeekDay]]=1, calendar[[#This Row],[WeekDay]]=7),P1844,P1844+1)</f>
        <v>1317</v>
      </c>
      <c r="R1845">
        <f>IF(OR(calendar[[#This Row],[SP_BH]]=1,calendar[[#This Row],[WeekDay]]=1, calendar[[#This Row],[WeekDay]]=7),P1844,P1844+1)</f>
        <v>1317</v>
      </c>
      <c r="S1845">
        <f>IF(OR(calendar[[#This Row],[PT_BH]]=1,calendar[[#This Row],[WeekDay]]=1, calendar[[#This Row],[WeekDay]]=7),P1844,P1844+1)</f>
        <v>1317</v>
      </c>
    </row>
    <row r="1846" spans="1:19" x14ac:dyDescent="0.25">
      <c r="A1846" s="2">
        <v>44580</v>
      </c>
      <c r="B1846" s="1">
        <f t="shared" si="143"/>
        <v>4</v>
      </c>
      <c r="C1846">
        <f t="shared" si="145"/>
        <v>1</v>
      </c>
      <c r="D1846" t="str">
        <f t="shared" si="146"/>
        <v>January</v>
      </c>
      <c r="E1846">
        <f t="shared" si="147"/>
        <v>2022</v>
      </c>
      <c r="F1846" t="str">
        <f>CONCATENATE(calendar[[#This Row],[Month]],"/",calendar[[#This Row],[Year]])</f>
        <v>1/2022</v>
      </c>
      <c r="G1846">
        <f>WEEKDAY(calendar[[#This Row],[Date]],1)</f>
        <v>4</v>
      </c>
      <c r="H1846" t="str">
        <f>TEXT(calendar[[#This Row],[WeekDay]],"dddd")</f>
        <v>Wednesday</v>
      </c>
      <c r="I1846">
        <f>IF((INT(calendar[[#This Row],[Count]]/7)-calendar[[#This Row],[Count]]/7)&lt;0,I1845,I1845+1)</f>
        <v>264</v>
      </c>
      <c r="J1846">
        <f t="shared" si="144"/>
        <v>1844</v>
      </c>
      <c r="K1846">
        <f>IF(calendar[[#This Row],[Month]]&lt;4,1,IF(calendar[[#This Row],[Month]]&lt;7,2,IF(calendar[[#This Row],[Month]]&lt;10,3,4)))</f>
        <v>1</v>
      </c>
      <c r="L1846">
        <f>IFERROR(IF(VLOOKUP(calendar[[#This Row],[Date]],BH!A:A,1,)&lt;&gt;"",1,0),0)</f>
        <v>0</v>
      </c>
      <c r="M1846">
        <f>IFERROR(IF(VLOOKUP(calendar[[#This Row],[Date]],BH!C:C,1,)&lt;&gt;"",1,0),0)</f>
        <v>0</v>
      </c>
      <c r="N1846">
        <f>IFERROR(IF(VLOOKUP(calendar[[#This Row],[Date]],BH!E:E,1,)&lt;&gt;"",1,0),0)</f>
        <v>0</v>
      </c>
      <c r="O1846">
        <f>IFERROR(IF(VLOOKUP(calendar[[#This Row],[Date]],BH!G:G,1,)&lt;&gt;"",1,0),0)</f>
        <v>0</v>
      </c>
      <c r="P1846">
        <f>IF(OR(calendar[[#This Row],[UK_BH]]=1,calendar[[#This Row],[WeekDay]]=1, calendar[[#This Row],[WeekDay]]=7),P1845,P1845+1)</f>
        <v>1318</v>
      </c>
      <c r="Q1846">
        <f>IF(OR(calendar[[#This Row],[FR_BH]]=1,calendar[[#This Row],[WeekDay]]=1, calendar[[#This Row],[WeekDay]]=7),P1845,P1845+1)</f>
        <v>1318</v>
      </c>
      <c r="R1846">
        <f>IF(OR(calendar[[#This Row],[SP_BH]]=1,calendar[[#This Row],[WeekDay]]=1, calendar[[#This Row],[WeekDay]]=7),P1845,P1845+1)</f>
        <v>1318</v>
      </c>
      <c r="S1846">
        <f>IF(OR(calendar[[#This Row],[PT_BH]]=1,calendar[[#This Row],[WeekDay]]=1, calendar[[#This Row],[WeekDay]]=7),P1845,P1845+1)</f>
        <v>1318</v>
      </c>
    </row>
    <row r="1847" spans="1:19" x14ac:dyDescent="0.25">
      <c r="A1847" s="2">
        <v>44581</v>
      </c>
      <c r="B1847" s="1">
        <f t="shared" si="143"/>
        <v>4</v>
      </c>
      <c r="C1847">
        <f t="shared" si="145"/>
        <v>1</v>
      </c>
      <c r="D1847" t="str">
        <f t="shared" si="146"/>
        <v>January</v>
      </c>
      <c r="E1847">
        <f t="shared" si="147"/>
        <v>2022</v>
      </c>
      <c r="F1847" t="str">
        <f>CONCATENATE(calendar[[#This Row],[Month]],"/",calendar[[#This Row],[Year]])</f>
        <v>1/2022</v>
      </c>
      <c r="G1847">
        <f>WEEKDAY(calendar[[#This Row],[Date]],1)</f>
        <v>5</v>
      </c>
      <c r="H1847" t="str">
        <f>TEXT(calendar[[#This Row],[WeekDay]],"dddd")</f>
        <v>Thursday</v>
      </c>
      <c r="I1847">
        <f>IF((INT(calendar[[#This Row],[Count]]/7)-calendar[[#This Row],[Count]]/7)&lt;0,I1846,I1846+1)</f>
        <v>264</v>
      </c>
      <c r="J1847">
        <f t="shared" si="144"/>
        <v>1845</v>
      </c>
      <c r="K1847">
        <f>IF(calendar[[#This Row],[Month]]&lt;4,1,IF(calendar[[#This Row],[Month]]&lt;7,2,IF(calendar[[#This Row],[Month]]&lt;10,3,4)))</f>
        <v>1</v>
      </c>
      <c r="L1847">
        <f>IFERROR(IF(VLOOKUP(calendar[[#This Row],[Date]],BH!A:A,1,)&lt;&gt;"",1,0),0)</f>
        <v>0</v>
      </c>
      <c r="M1847">
        <f>IFERROR(IF(VLOOKUP(calendar[[#This Row],[Date]],BH!C:C,1,)&lt;&gt;"",1,0),0)</f>
        <v>0</v>
      </c>
      <c r="N1847">
        <f>IFERROR(IF(VLOOKUP(calendar[[#This Row],[Date]],BH!E:E,1,)&lt;&gt;"",1,0),0)</f>
        <v>0</v>
      </c>
      <c r="O1847">
        <f>IFERROR(IF(VLOOKUP(calendar[[#This Row],[Date]],BH!G:G,1,)&lt;&gt;"",1,0),0)</f>
        <v>0</v>
      </c>
      <c r="P1847">
        <f>IF(OR(calendar[[#This Row],[UK_BH]]=1,calendar[[#This Row],[WeekDay]]=1, calendar[[#This Row],[WeekDay]]=7),P1846,P1846+1)</f>
        <v>1319</v>
      </c>
      <c r="Q1847">
        <f>IF(OR(calendar[[#This Row],[FR_BH]]=1,calendar[[#This Row],[WeekDay]]=1, calendar[[#This Row],[WeekDay]]=7),P1846,P1846+1)</f>
        <v>1319</v>
      </c>
      <c r="R1847">
        <f>IF(OR(calendar[[#This Row],[SP_BH]]=1,calendar[[#This Row],[WeekDay]]=1, calendar[[#This Row],[WeekDay]]=7),P1846,P1846+1)</f>
        <v>1319</v>
      </c>
      <c r="S1847">
        <f>IF(OR(calendar[[#This Row],[PT_BH]]=1,calendar[[#This Row],[WeekDay]]=1, calendar[[#This Row],[WeekDay]]=7),P1846,P1846+1)</f>
        <v>1319</v>
      </c>
    </row>
    <row r="1848" spans="1:19" x14ac:dyDescent="0.25">
      <c r="A1848" s="2">
        <v>44582</v>
      </c>
      <c r="B1848" s="1">
        <f t="shared" si="143"/>
        <v>4</v>
      </c>
      <c r="C1848">
        <f t="shared" si="145"/>
        <v>1</v>
      </c>
      <c r="D1848" t="str">
        <f t="shared" si="146"/>
        <v>January</v>
      </c>
      <c r="E1848">
        <f t="shared" si="147"/>
        <v>2022</v>
      </c>
      <c r="F1848" t="str">
        <f>CONCATENATE(calendar[[#This Row],[Month]],"/",calendar[[#This Row],[Year]])</f>
        <v>1/2022</v>
      </c>
      <c r="G1848">
        <f>WEEKDAY(calendar[[#This Row],[Date]],1)</f>
        <v>6</v>
      </c>
      <c r="H1848" t="str">
        <f>TEXT(calendar[[#This Row],[WeekDay]],"dddd")</f>
        <v>Friday</v>
      </c>
      <c r="I1848">
        <f>IF((INT(calendar[[#This Row],[Count]]/7)-calendar[[#This Row],[Count]]/7)&lt;0,I1847,I1847+1)</f>
        <v>264</v>
      </c>
      <c r="J1848">
        <f t="shared" si="144"/>
        <v>1846</v>
      </c>
      <c r="K1848">
        <f>IF(calendar[[#This Row],[Month]]&lt;4,1,IF(calendar[[#This Row],[Month]]&lt;7,2,IF(calendar[[#This Row],[Month]]&lt;10,3,4)))</f>
        <v>1</v>
      </c>
      <c r="L1848">
        <f>IFERROR(IF(VLOOKUP(calendar[[#This Row],[Date]],BH!A:A,1,)&lt;&gt;"",1,0),0)</f>
        <v>0</v>
      </c>
      <c r="M1848">
        <f>IFERROR(IF(VLOOKUP(calendar[[#This Row],[Date]],BH!C:C,1,)&lt;&gt;"",1,0),0)</f>
        <v>0</v>
      </c>
      <c r="N1848">
        <f>IFERROR(IF(VLOOKUP(calendar[[#This Row],[Date]],BH!E:E,1,)&lt;&gt;"",1,0),0)</f>
        <v>0</v>
      </c>
      <c r="O1848">
        <f>IFERROR(IF(VLOOKUP(calendar[[#This Row],[Date]],BH!G:G,1,)&lt;&gt;"",1,0),0)</f>
        <v>0</v>
      </c>
      <c r="P1848">
        <f>IF(OR(calendar[[#This Row],[UK_BH]]=1,calendar[[#This Row],[WeekDay]]=1, calendar[[#This Row],[WeekDay]]=7),P1847,P1847+1)</f>
        <v>1320</v>
      </c>
      <c r="Q1848">
        <f>IF(OR(calendar[[#This Row],[FR_BH]]=1,calendar[[#This Row],[WeekDay]]=1, calendar[[#This Row],[WeekDay]]=7),P1847,P1847+1)</f>
        <v>1320</v>
      </c>
      <c r="R1848">
        <f>IF(OR(calendar[[#This Row],[SP_BH]]=1,calendar[[#This Row],[WeekDay]]=1, calendar[[#This Row],[WeekDay]]=7),P1847,P1847+1)</f>
        <v>1320</v>
      </c>
      <c r="S1848">
        <f>IF(OR(calendar[[#This Row],[PT_BH]]=1,calendar[[#This Row],[WeekDay]]=1, calendar[[#This Row],[WeekDay]]=7),P1847,P1847+1)</f>
        <v>1320</v>
      </c>
    </row>
    <row r="1849" spans="1:19" x14ac:dyDescent="0.25">
      <c r="A1849" s="2">
        <v>44583</v>
      </c>
      <c r="B1849" s="1">
        <f t="shared" si="143"/>
        <v>4</v>
      </c>
      <c r="C1849">
        <f t="shared" si="145"/>
        <v>1</v>
      </c>
      <c r="D1849" t="str">
        <f t="shared" si="146"/>
        <v>January</v>
      </c>
      <c r="E1849">
        <f t="shared" si="147"/>
        <v>2022</v>
      </c>
      <c r="F1849" t="str">
        <f>CONCATENATE(calendar[[#This Row],[Month]],"/",calendar[[#This Row],[Year]])</f>
        <v>1/2022</v>
      </c>
      <c r="G1849">
        <f>WEEKDAY(calendar[[#This Row],[Date]],1)</f>
        <v>7</v>
      </c>
      <c r="H1849" t="str">
        <f>TEXT(calendar[[#This Row],[WeekDay]],"dddd")</f>
        <v>Saturday</v>
      </c>
      <c r="I1849">
        <f>IF((INT(calendar[[#This Row],[Count]]/7)-calendar[[#This Row],[Count]]/7)&lt;0,I1848,I1848+1)</f>
        <v>264</v>
      </c>
      <c r="J1849">
        <f t="shared" si="144"/>
        <v>1847</v>
      </c>
      <c r="K1849">
        <f>IF(calendar[[#This Row],[Month]]&lt;4,1,IF(calendar[[#This Row],[Month]]&lt;7,2,IF(calendar[[#This Row],[Month]]&lt;10,3,4)))</f>
        <v>1</v>
      </c>
      <c r="L1849">
        <f>IFERROR(IF(VLOOKUP(calendar[[#This Row],[Date]],BH!A:A,1,)&lt;&gt;"",1,0),0)</f>
        <v>0</v>
      </c>
      <c r="M1849">
        <f>IFERROR(IF(VLOOKUP(calendar[[#This Row],[Date]],BH!C:C,1,)&lt;&gt;"",1,0),0)</f>
        <v>0</v>
      </c>
      <c r="N1849">
        <f>IFERROR(IF(VLOOKUP(calendar[[#This Row],[Date]],BH!E:E,1,)&lt;&gt;"",1,0),0)</f>
        <v>0</v>
      </c>
      <c r="O1849">
        <f>IFERROR(IF(VLOOKUP(calendar[[#This Row],[Date]],BH!G:G,1,)&lt;&gt;"",1,0),0)</f>
        <v>0</v>
      </c>
      <c r="P1849">
        <f>IF(OR(calendar[[#This Row],[UK_BH]]=1,calendar[[#This Row],[WeekDay]]=1, calendar[[#This Row],[WeekDay]]=7),P1848,P1848+1)</f>
        <v>1320</v>
      </c>
      <c r="Q1849">
        <f>IF(OR(calendar[[#This Row],[FR_BH]]=1,calendar[[#This Row],[WeekDay]]=1, calendar[[#This Row],[WeekDay]]=7),P1848,P1848+1)</f>
        <v>1320</v>
      </c>
      <c r="R1849">
        <f>IF(OR(calendar[[#This Row],[SP_BH]]=1,calendar[[#This Row],[WeekDay]]=1, calendar[[#This Row],[WeekDay]]=7),P1848,P1848+1)</f>
        <v>1320</v>
      </c>
      <c r="S1849">
        <f>IF(OR(calendar[[#This Row],[PT_BH]]=1,calendar[[#This Row],[WeekDay]]=1, calendar[[#This Row],[WeekDay]]=7),P1848,P1848+1)</f>
        <v>1320</v>
      </c>
    </row>
    <row r="1850" spans="1:19" x14ac:dyDescent="0.25">
      <c r="A1850" s="2">
        <v>44584</v>
      </c>
      <c r="B1850" s="1">
        <f t="shared" si="143"/>
        <v>5</v>
      </c>
      <c r="C1850">
        <f t="shared" si="145"/>
        <v>1</v>
      </c>
      <c r="D1850" t="str">
        <f t="shared" si="146"/>
        <v>January</v>
      </c>
      <c r="E1850">
        <f t="shared" si="147"/>
        <v>2022</v>
      </c>
      <c r="F1850" t="str">
        <f>CONCATENATE(calendar[[#This Row],[Month]],"/",calendar[[#This Row],[Year]])</f>
        <v>1/2022</v>
      </c>
      <c r="G1850">
        <f>WEEKDAY(calendar[[#This Row],[Date]],1)</f>
        <v>1</v>
      </c>
      <c r="H1850" t="str">
        <f>TEXT(calendar[[#This Row],[WeekDay]],"dddd")</f>
        <v>Sunday</v>
      </c>
      <c r="I1850">
        <f>IF((INT(calendar[[#This Row],[Count]]/7)-calendar[[#This Row],[Count]]/7)&lt;0,I1849,I1849+1)</f>
        <v>265</v>
      </c>
      <c r="J1850">
        <f t="shared" si="144"/>
        <v>1848</v>
      </c>
      <c r="K1850">
        <f>IF(calendar[[#This Row],[Month]]&lt;4,1,IF(calendar[[#This Row],[Month]]&lt;7,2,IF(calendar[[#This Row],[Month]]&lt;10,3,4)))</f>
        <v>1</v>
      </c>
      <c r="L1850">
        <f>IFERROR(IF(VLOOKUP(calendar[[#This Row],[Date]],BH!A:A,1,)&lt;&gt;"",1,0),0)</f>
        <v>0</v>
      </c>
      <c r="M1850">
        <f>IFERROR(IF(VLOOKUP(calendar[[#This Row],[Date]],BH!C:C,1,)&lt;&gt;"",1,0),0)</f>
        <v>0</v>
      </c>
      <c r="N1850">
        <f>IFERROR(IF(VLOOKUP(calendar[[#This Row],[Date]],BH!E:E,1,)&lt;&gt;"",1,0),0)</f>
        <v>0</v>
      </c>
      <c r="O1850">
        <f>IFERROR(IF(VLOOKUP(calendar[[#This Row],[Date]],BH!G:G,1,)&lt;&gt;"",1,0),0)</f>
        <v>0</v>
      </c>
      <c r="P1850">
        <f>IF(OR(calendar[[#This Row],[UK_BH]]=1,calendar[[#This Row],[WeekDay]]=1, calendar[[#This Row],[WeekDay]]=7),P1849,P1849+1)</f>
        <v>1320</v>
      </c>
      <c r="Q1850">
        <f>IF(OR(calendar[[#This Row],[FR_BH]]=1,calendar[[#This Row],[WeekDay]]=1, calendar[[#This Row],[WeekDay]]=7),P1849,P1849+1)</f>
        <v>1320</v>
      </c>
      <c r="R1850">
        <f>IF(OR(calendar[[#This Row],[SP_BH]]=1,calendar[[#This Row],[WeekDay]]=1, calendar[[#This Row],[WeekDay]]=7),P1849,P1849+1)</f>
        <v>1320</v>
      </c>
      <c r="S1850">
        <f>IF(OR(calendar[[#This Row],[PT_BH]]=1,calendar[[#This Row],[WeekDay]]=1, calendar[[#This Row],[WeekDay]]=7),P1849,P1849+1)</f>
        <v>1320</v>
      </c>
    </row>
    <row r="1851" spans="1:19" x14ac:dyDescent="0.25">
      <c r="A1851" s="2">
        <v>44585</v>
      </c>
      <c r="B1851" s="1">
        <f t="shared" si="143"/>
        <v>5</v>
      </c>
      <c r="C1851">
        <f t="shared" si="145"/>
        <v>1</v>
      </c>
      <c r="D1851" t="str">
        <f t="shared" si="146"/>
        <v>January</v>
      </c>
      <c r="E1851">
        <f t="shared" si="147"/>
        <v>2022</v>
      </c>
      <c r="F1851" t="str">
        <f>CONCATENATE(calendar[[#This Row],[Month]],"/",calendar[[#This Row],[Year]])</f>
        <v>1/2022</v>
      </c>
      <c r="G1851">
        <f>WEEKDAY(calendar[[#This Row],[Date]],1)</f>
        <v>2</v>
      </c>
      <c r="H1851" t="str">
        <f>TEXT(calendar[[#This Row],[WeekDay]],"dddd")</f>
        <v>Monday</v>
      </c>
      <c r="I1851">
        <f>IF((INT(calendar[[#This Row],[Count]]/7)-calendar[[#This Row],[Count]]/7)&lt;0,I1850,I1850+1)</f>
        <v>265</v>
      </c>
      <c r="J1851">
        <f t="shared" si="144"/>
        <v>1849</v>
      </c>
      <c r="K1851">
        <f>IF(calendar[[#This Row],[Month]]&lt;4,1,IF(calendar[[#This Row],[Month]]&lt;7,2,IF(calendar[[#This Row],[Month]]&lt;10,3,4)))</f>
        <v>1</v>
      </c>
      <c r="L1851">
        <f>IFERROR(IF(VLOOKUP(calendar[[#This Row],[Date]],BH!A:A,1,)&lt;&gt;"",1,0),0)</f>
        <v>0</v>
      </c>
      <c r="M1851">
        <f>IFERROR(IF(VLOOKUP(calendar[[#This Row],[Date]],BH!C:C,1,)&lt;&gt;"",1,0),0)</f>
        <v>0</v>
      </c>
      <c r="N1851">
        <f>IFERROR(IF(VLOOKUP(calendar[[#This Row],[Date]],BH!E:E,1,)&lt;&gt;"",1,0),0)</f>
        <v>0</v>
      </c>
      <c r="O1851">
        <f>IFERROR(IF(VLOOKUP(calendar[[#This Row],[Date]],BH!G:G,1,)&lt;&gt;"",1,0),0)</f>
        <v>0</v>
      </c>
      <c r="P1851">
        <f>IF(OR(calendar[[#This Row],[UK_BH]]=1,calendar[[#This Row],[WeekDay]]=1, calendar[[#This Row],[WeekDay]]=7),P1850,P1850+1)</f>
        <v>1321</v>
      </c>
      <c r="Q1851">
        <f>IF(OR(calendar[[#This Row],[FR_BH]]=1,calendar[[#This Row],[WeekDay]]=1, calendar[[#This Row],[WeekDay]]=7),P1850,P1850+1)</f>
        <v>1321</v>
      </c>
      <c r="R1851">
        <f>IF(OR(calendar[[#This Row],[SP_BH]]=1,calendar[[#This Row],[WeekDay]]=1, calendar[[#This Row],[WeekDay]]=7),P1850,P1850+1)</f>
        <v>1321</v>
      </c>
      <c r="S1851">
        <f>IF(OR(calendar[[#This Row],[PT_BH]]=1,calendar[[#This Row],[WeekDay]]=1, calendar[[#This Row],[WeekDay]]=7),P1850,P1850+1)</f>
        <v>1321</v>
      </c>
    </row>
    <row r="1852" spans="1:19" x14ac:dyDescent="0.25">
      <c r="A1852" s="2">
        <v>44586</v>
      </c>
      <c r="B1852" s="1">
        <f t="shared" si="143"/>
        <v>5</v>
      </c>
      <c r="C1852">
        <f t="shared" si="145"/>
        <v>1</v>
      </c>
      <c r="D1852" t="str">
        <f t="shared" si="146"/>
        <v>January</v>
      </c>
      <c r="E1852">
        <f t="shared" si="147"/>
        <v>2022</v>
      </c>
      <c r="F1852" t="str">
        <f>CONCATENATE(calendar[[#This Row],[Month]],"/",calendar[[#This Row],[Year]])</f>
        <v>1/2022</v>
      </c>
      <c r="G1852">
        <f>WEEKDAY(calendar[[#This Row],[Date]],1)</f>
        <v>3</v>
      </c>
      <c r="H1852" t="str">
        <f>TEXT(calendar[[#This Row],[WeekDay]],"dddd")</f>
        <v>Tuesday</v>
      </c>
      <c r="I1852">
        <f>IF((INT(calendar[[#This Row],[Count]]/7)-calendar[[#This Row],[Count]]/7)&lt;0,I1851,I1851+1)</f>
        <v>265</v>
      </c>
      <c r="J1852">
        <f t="shared" si="144"/>
        <v>1850</v>
      </c>
      <c r="K1852">
        <f>IF(calendar[[#This Row],[Month]]&lt;4,1,IF(calendar[[#This Row],[Month]]&lt;7,2,IF(calendar[[#This Row],[Month]]&lt;10,3,4)))</f>
        <v>1</v>
      </c>
      <c r="L1852">
        <f>IFERROR(IF(VLOOKUP(calendar[[#This Row],[Date]],BH!A:A,1,)&lt;&gt;"",1,0),0)</f>
        <v>0</v>
      </c>
      <c r="M1852">
        <f>IFERROR(IF(VLOOKUP(calendar[[#This Row],[Date]],BH!C:C,1,)&lt;&gt;"",1,0),0)</f>
        <v>0</v>
      </c>
      <c r="N1852">
        <f>IFERROR(IF(VLOOKUP(calendar[[#This Row],[Date]],BH!E:E,1,)&lt;&gt;"",1,0),0)</f>
        <v>0</v>
      </c>
      <c r="O1852">
        <f>IFERROR(IF(VLOOKUP(calendar[[#This Row],[Date]],BH!G:G,1,)&lt;&gt;"",1,0),0)</f>
        <v>0</v>
      </c>
      <c r="P1852">
        <f>IF(OR(calendar[[#This Row],[UK_BH]]=1,calendar[[#This Row],[WeekDay]]=1, calendar[[#This Row],[WeekDay]]=7),P1851,P1851+1)</f>
        <v>1322</v>
      </c>
      <c r="Q1852">
        <f>IF(OR(calendar[[#This Row],[FR_BH]]=1,calendar[[#This Row],[WeekDay]]=1, calendar[[#This Row],[WeekDay]]=7),P1851,P1851+1)</f>
        <v>1322</v>
      </c>
      <c r="R1852">
        <f>IF(OR(calendar[[#This Row],[SP_BH]]=1,calendar[[#This Row],[WeekDay]]=1, calendar[[#This Row],[WeekDay]]=7),P1851,P1851+1)</f>
        <v>1322</v>
      </c>
      <c r="S1852">
        <f>IF(OR(calendar[[#This Row],[PT_BH]]=1,calendar[[#This Row],[WeekDay]]=1, calendar[[#This Row],[WeekDay]]=7),P1851,P1851+1)</f>
        <v>1322</v>
      </c>
    </row>
    <row r="1853" spans="1:19" x14ac:dyDescent="0.25">
      <c r="A1853" s="2">
        <v>44587</v>
      </c>
      <c r="B1853" s="1">
        <f t="shared" si="143"/>
        <v>5</v>
      </c>
      <c r="C1853">
        <f t="shared" si="145"/>
        <v>1</v>
      </c>
      <c r="D1853" t="str">
        <f t="shared" si="146"/>
        <v>January</v>
      </c>
      <c r="E1853">
        <f t="shared" si="147"/>
        <v>2022</v>
      </c>
      <c r="F1853" t="str">
        <f>CONCATENATE(calendar[[#This Row],[Month]],"/",calendar[[#This Row],[Year]])</f>
        <v>1/2022</v>
      </c>
      <c r="G1853">
        <f>WEEKDAY(calendar[[#This Row],[Date]],1)</f>
        <v>4</v>
      </c>
      <c r="H1853" t="str">
        <f>TEXT(calendar[[#This Row],[WeekDay]],"dddd")</f>
        <v>Wednesday</v>
      </c>
      <c r="I1853">
        <f>IF((INT(calendar[[#This Row],[Count]]/7)-calendar[[#This Row],[Count]]/7)&lt;0,I1852,I1852+1)</f>
        <v>265</v>
      </c>
      <c r="J1853">
        <f t="shared" si="144"/>
        <v>1851</v>
      </c>
      <c r="K1853">
        <f>IF(calendar[[#This Row],[Month]]&lt;4,1,IF(calendar[[#This Row],[Month]]&lt;7,2,IF(calendar[[#This Row],[Month]]&lt;10,3,4)))</f>
        <v>1</v>
      </c>
      <c r="L1853">
        <f>IFERROR(IF(VLOOKUP(calendar[[#This Row],[Date]],BH!A:A,1,)&lt;&gt;"",1,0),0)</f>
        <v>0</v>
      </c>
      <c r="M1853">
        <f>IFERROR(IF(VLOOKUP(calendar[[#This Row],[Date]],BH!C:C,1,)&lt;&gt;"",1,0),0)</f>
        <v>0</v>
      </c>
      <c r="N1853">
        <f>IFERROR(IF(VLOOKUP(calendar[[#This Row],[Date]],BH!E:E,1,)&lt;&gt;"",1,0),0)</f>
        <v>0</v>
      </c>
      <c r="O1853">
        <f>IFERROR(IF(VLOOKUP(calendar[[#This Row],[Date]],BH!G:G,1,)&lt;&gt;"",1,0),0)</f>
        <v>0</v>
      </c>
      <c r="P1853">
        <f>IF(OR(calendar[[#This Row],[UK_BH]]=1,calendar[[#This Row],[WeekDay]]=1, calendar[[#This Row],[WeekDay]]=7),P1852,P1852+1)</f>
        <v>1323</v>
      </c>
      <c r="Q1853">
        <f>IF(OR(calendar[[#This Row],[FR_BH]]=1,calendar[[#This Row],[WeekDay]]=1, calendar[[#This Row],[WeekDay]]=7),P1852,P1852+1)</f>
        <v>1323</v>
      </c>
      <c r="R1853">
        <f>IF(OR(calendar[[#This Row],[SP_BH]]=1,calendar[[#This Row],[WeekDay]]=1, calendar[[#This Row],[WeekDay]]=7),P1852,P1852+1)</f>
        <v>1323</v>
      </c>
      <c r="S1853">
        <f>IF(OR(calendar[[#This Row],[PT_BH]]=1,calendar[[#This Row],[WeekDay]]=1, calendar[[#This Row],[WeekDay]]=7),P1852,P1852+1)</f>
        <v>1323</v>
      </c>
    </row>
    <row r="1854" spans="1:19" x14ac:dyDescent="0.25">
      <c r="A1854" s="2">
        <v>44588</v>
      </c>
      <c r="B1854" s="1">
        <f t="shared" si="143"/>
        <v>5</v>
      </c>
      <c r="C1854">
        <f t="shared" si="145"/>
        <v>1</v>
      </c>
      <c r="D1854" t="str">
        <f t="shared" si="146"/>
        <v>January</v>
      </c>
      <c r="E1854">
        <f t="shared" si="147"/>
        <v>2022</v>
      </c>
      <c r="F1854" t="str">
        <f>CONCATENATE(calendar[[#This Row],[Month]],"/",calendar[[#This Row],[Year]])</f>
        <v>1/2022</v>
      </c>
      <c r="G1854">
        <f>WEEKDAY(calendar[[#This Row],[Date]],1)</f>
        <v>5</v>
      </c>
      <c r="H1854" t="str">
        <f>TEXT(calendar[[#This Row],[WeekDay]],"dddd")</f>
        <v>Thursday</v>
      </c>
      <c r="I1854">
        <f>IF((INT(calendar[[#This Row],[Count]]/7)-calendar[[#This Row],[Count]]/7)&lt;0,I1853,I1853+1)</f>
        <v>265</v>
      </c>
      <c r="J1854">
        <f t="shared" si="144"/>
        <v>1852</v>
      </c>
      <c r="K1854">
        <f>IF(calendar[[#This Row],[Month]]&lt;4,1,IF(calendar[[#This Row],[Month]]&lt;7,2,IF(calendar[[#This Row],[Month]]&lt;10,3,4)))</f>
        <v>1</v>
      </c>
      <c r="L1854">
        <f>IFERROR(IF(VLOOKUP(calendar[[#This Row],[Date]],BH!A:A,1,)&lt;&gt;"",1,0),0)</f>
        <v>0</v>
      </c>
      <c r="M1854">
        <f>IFERROR(IF(VLOOKUP(calendar[[#This Row],[Date]],BH!C:C,1,)&lt;&gt;"",1,0),0)</f>
        <v>0</v>
      </c>
      <c r="N1854">
        <f>IFERROR(IF(VLOOKUP(calendar[[#This Row],[Date]],BH!E:E,1,)&lt;&gt;"",1,0),0)</f>
        <v>0</v>
      </c>
      <c r="O1854">
        <f>IFERROR(IF(VLOOKUP(calendar[[#This Row],[Date]],BH!G:G,1,)&lt;&gt;"",1,0),0)</f>
        <v>0</v>
      </c>
      <c r="P1854">
        <f>IF(OR(calendar[[#This Row],[UK_BH]]=1,calendar[[#This Row],[WeekDay]]=1, calendar[[#This Row],[WeekDay]]=7),P1853,P1853+1)</f>
        <v>1324</v>
      </c>
      <c r="Q1854">
        <f>IF(OR(calendar[[#This Row],[FR_BH]]=1,calendar[[#This Row],[WeekDay]]=1, calendar[[#This Row],[WeekDay]]=7),P1853,P1853+1)</f>
        <v>1324</v>
      </c>
      <c r="R1854">
        <f>IF(OR(calendar[[#This Row],[SP_BH]]=1,calendar[[#This Row],[WeekDay]]=1, calendar[[#This Row],[WeekDay]]=7),P1853,P1853+1)</f>
        <v>1324</v>
      </c>
      <c r="S1854">
        <f>IF(OR(calendar[[#This Row],[PT_BH]]=1,calendar[[#This Row],[WeekDay]]=1, calendar[[#This Row],[WeekDay]]=7),P1853,P1853+1)</f>
        <v>1324</v>
      </c>
    </row>
    <row r="1855" spans="1:19" x14ac:dyDescent="0.25">
      <c r="A1855" s="2">
        <v>44589</v>
      </c>
      <c r="B1855" s="1">
        <f t="shared" si="143"/>
        <v>5</v>
      </c>
      <c r="C1855">
        <f t="shared" si="145"/>
        <v>1</v>
      </c>
      <c r="D1855" t="str">
        <f t="shared" si="146"/>
        <v>January</v>
      </c>
      <c r="E1855">
        <f t="shared" si="147"/>
        <v>2022</v>
      </c>
      <c r="F1855" t="str">
        <f>CONCATENATE(calendar[[#This Row],[Month]],"/",calendar[[#This Row],[Year]])</f>
        <v>1/2022</v>
      </c>
      <c r="G1855">
        <f>WEEKDAY(calendar[[#This Row],[Date]],1)</f>
        <v>6</v>
      </c>
      <c r="H1855" t="str">
        <f>TEXT(calendar[[#This Row],[WeekDay]],"dddd")</f>
        <v>Friday</v>
      </c>
      <c r="I1855">
        <f>IF((INT(calendar[[#This Row],[Count]]/7)-calendar[[#This Row],[Count]]/7)&lt;0,I1854,I1854+1)</f>
        <v>265</v>
      </c>
      <c r="J1855">
        <f t="shared" si="144"/>
        <v>1853</v>
      </c>
      <c r="K1855">
        <f>IF(calendar[[#This Row],[Month]]&lt;4,1,IF(calendar[[#This Row],[Month]]&lt;7,2,IF(calendar[[#This Row],[Month]]&lt;10,3,4)))</f>
        <v>1</v>
      </c>
      <c r="L1855">
        <f>IFERROR(IF(VLOOKUP(calendar[[#This Row],[Date]],BH!A:A,1,)&lt;&gt;"",1,0),0)</f>
        <v>0</v>
      </c>
      <c r="M1855">
        <f>IFERROR(IF(VLOOKUP(calendar[[#This Row],[Date]],BH!C:C,1,)&lt;&gt;"",1,0),0)</f>
        <v>0</v>
      </c>
      <c r="N1855">
        <f>IFERROR(IF(VLOOKUP(calendar[[#This Row],[Date]],BH!E:E,1,)&lt;&gt;"",1,0),0)</f>
        <v>0</v>
      </c>
      <c r="O1855">
        <f>IFERROR(IF(VLOOKUP(calendar[[#This Row],[Date]],BH!G:G,1,)&lt;&gt;"",1,0),0)</f>
        <v>0</v>
      </c>
      <c r="P1855">
        <f>IF(OR(calendar[[#This Row],[UK_BH]]=1,calendar[[#This Row],[WeekDay]]=1, calendar[[#This Row],[WeekDay]]=7),P1854,P1854+1)</f>
        <v>1325</v>
      </c>
      <c r="Q1855">
        <f>IF(OR(calendar[[#This Row],[FR_BH]]=1,calendar[[#This Row],[WeekDay]]=1, calendar[[#This Row],[WeekDay]]=7),P1854,P1854+1)</f>
        <v>1325</v>
      </c>
      <c r="R1855">
        <f>IF(OR(calendar[[#This Row],[SP_BH]]=1,calendar[[#This Row],[WeekDay]]=1, calendar[[#This Row],[WeekDay]]=7),P1854,P1854+1)</f>
        <v>1325</v>
      </c>
      <c r="S1855">
        <f>IF(OR(calendar[[#This Row],[PT_BH]]=1,calendar[[#This Row],[WeekDay]]=1, calendar[[#This Row],[WeekDay]]=7),P1854,P1854+1)</f>
        <v>1325</v>
      </c>
    </row>
    <row r="1856" spans="1:19" x14ac:dyDescent="0.25">
      <c r="A1856" s="2">
        <v>44590</v>
      </c>
      <c r="B1856" s="1">
        <f t="shared" si="143"/>
        <v>5</v>
      </c>
      <c r="C1856">
        <f t="shared" si="145"/>
        <v>1</v>
      </c>
      <c r="D1856" t="str">
        <f t="shared" si="146"/>
        <v>January</v>
      </c>
      <c r="E1856">
        <f t="shared" si="147"/>
        <v>2022</v>
      </c>
      <c r="F1856" t="str">
        <f>CONCATENATE(calendar[[#This Row],[Month]],"/",calendar[[#This Row],[Year]])</f>
        <v>1/2022</v>
      </c>
      <c r="G1856">
        <f>WEEKDAY(calendar[[#This Row],[Date]],1)</f>
        <v>7</v>
      </c>
      <c r="H1856" t="str">
        <f>TEXT(calendar[[#This Row],[WeekDay]],"dddd")</f>
        <v>Saturday</v>
      </c>
      <c r="I1856">
        <f>IF((INT(calendar[[#This Row],[Count]]/7)-calendar[[#This Row],[Count]]/7)&lt;0,I1855,I1855+1)</f>
        <v>265</v>
      </c>
      <c r="J1856">
        <f t="shared" si="144"/>
        <v>1854</v>
      </c>
      <c r="K1856">
        <f>IF(calendar[[#This Row],[Month]]&lt;4,1,IF(calendar[[#This Row],[Month]]&lt;7,2,IF(calendar[[#This Row],[Month]]&lt;10,3,4)))</f>
        <v>1</v>
      </c>
      <c r="L1856">
        <f>IFERROR(IF(VLOOKUP(calendar[[#This Row],[Date]],BH!A:A,1,)&lt;&gt;"",1,0),0)</f>
        <v>0</v>
      </c>
      <c r="M1856">
        <f>IFERROR(IF(VLOOKUP(calendar[[#This Row],[Date]],BH!C:C,1,)&lt;&gt;"",1,0),0)</f>
        <v>0</v>
      </c>
      <c r="N1856">
        <f>IFERROR(IF(VLOOKUP(calendar[[#This Row],[Date]],BH!E:E,1,)&lt;&gt;"",1,0),0)</f>
        <v>0</v>
      </c>
      <c r="O1856">
        <f>IFERROR(IF(VLOOKUP(calendar[[#This Row],[Date]],BH!G:G,1,)&lt;&gt;"",1,0),0)</f>
        <v>0</v>
      </c>
      <c r="P1856">
        <f>IF(OR(calendar[[#This Row],[UK_BH]]=1,calendar[[#This Row],[WeekDay]]=1, calendar[[#This Row],[WeekDay]]=7),P1855,P1855+1)</f>
        <v>1325</v>
      </c>
      <c r="Q1856">
        <f>IF(OR(calendar[[#This Row],[FR_BH]]=1,calendar[[#This Row],[WeekDay]]=1, calendar[[#This Row],[WeekDay]]=7),P1855,P1855+1)</f>
        <v>1325</v>
      </c>
      <c r="R1856">
        <f>IF(OR(calendar[[#This Row],[SP_BH]]=1,calendar[[#This Row],[WeekDay]]=1, calendar[[#This Row],[WeekDay]]=7),P1855,P1855+1)</f>
        <v>1325</v>
      </c>
      <c r="S1856">
        <f>IF(OR(calendar[[#This Row],[PT_BH]]=1,calendar[[#This Row],[WeekDay]]=1, calendar[[#This Row],[WeekDay]]=7),P1855,P1855+1)</f>
        <v>1325</v>
      </c>
    </row>
    <row r="1857" spans="1:19" x14ac:dyDescent="0.25">
      <c r="A1857" s="2">
        <v>44591</v>
      </c>
      <c r="B1857" s="1">
        <f t="shared" si="143"/>
        <v>6</v>
      </c>
      <c r="C1857">
        <f t="shared" si="145"/>
        <v>1</v>
      </c>
      <c r="D1857" t="str">
        <f t="shared" si="146"/>
        <v>January</v>
      </c>
      <c r="E1857">
        <f t="shared" si="147"/>
        <v>2022</v>
      </c>
      <c r="F1857" t="str">
        <f>CONCATENATE(calendar[[#This Row],[Month]],"/",calendar[[#This Row],[Year]])</f>
        <v>1/2022</v>
      </c>
      <c r="G1857">
        <f>WEEKDAY(calendar[[#This Row],[Date]],1)</f>
        <v>1</v>
      </c>
      <c r="H1857" t="str">
        <f>TEXT(calendar[[#This Row],[WeekDay]],"dddd")</f>
        <v>Sunday</v>
      </c>
      <c r="I1857">
        <f>IF((INT(calendar[[#This Row],[Count]]/7)-calendar[[#This Row],[Count]]/7)&lt;0,I1856,I1856+1)</f>
        <v>266</v>
      </c>
      <c r="J1857">
        <f t="shared" si="144"/>
        <v>1855</v>
      </c>
      <c r="K1857">
        <f>IF(calendar[[#This Row],[Month]]&lt;4,1,IF(calendar[[#This Row],[Month]]&lt;7,2,IF(calendar[[#This Row],[Month]]&lt;10,3,4)))</f>
        <v>1</v>
      </c>
      <c r="L1857">
        <f>IFERROR(IF(VLOOKUP(calendar[[#This Row],[Date]],BH!A:A,1,)&lt;&gt;"",1,0),0)</f>
        <v>0</v>
      </c>
      <c r="M1857">
        <f>IFERROR(IF(VLOOKUP(calendar[[#This Row],[Date]],BH!C:C,1,)&lt;&gt;"",1,0),0)</f>
        <v>0</v>
      </c>
      <c r="N1857">
        <f>IFERROR(IF(VLOOKUP(calendar[[#This Row],[Date]],BH!E:E,1,)&lt;&gt;"",1,0),0)</f>
        <v>0</v>
      </c>
      <c r="O1857">
        <f>IFERROR(IF(VLOOKUP(calendar[[#This Row],[Date]],BH!G:G,1,)&lt;&gt;"",1,0),0)</f>
        <v>0</v>
      </c>
      <c r="P1857">
        <f>IF(OR(calendar[[#This Row],[UK_BH]]=1,calendar[[#This Row],[WeekDay]]=1, calendar[[#This Row],[WeekDay]]=7),P1856,P1856+1)</f>
        <v>1325</v>
      </c>
      <c r="Q1857">
        <f>IF(OR(calendar[[#This Row],[FR_BH]]=1,calendar[[#This Row],[WeekDay]]=1, calendar[[#This Row],[WeekDay]]=7),P1856,P1856+1)</f>
        <v>1325</v>
      </c>
      <c r="R1857">
        <f>IF(OR(calendar[[#This Row],[SP_BH]]=1,calendar[[#This Row],[WeekDay]]=1, calendar[[#This Row],[WeekDay]]=7),P1856,P1856+1)</f>
        <v>1325</v>
      </c>
      <c r="S1857">
        <f>IF(OR(calendar[[#This Row],[PT_BH]]=1,calendar[[#This Row],[WeekDay]]=1, calendar[[#This Row],[WeekDay]]=7),P1856,P1856+1)</f>
        <v>1325</v>
      </c>
    </row>
    <row r="1858" spans="1:19" x14ac:dyDescent="0.25">
      <c r="A1858" s="2">
        <v>44592</v>
      </c>
      <c r="B1858" s="1">
        <f t="shared" ref="B1858:B1921" si="148">WEEKNUM(A1858)</f>
        <v>6</v>
      </c>
      <c r="C1858">
        <f t="shared" si="145"/>
        <v>1</v>
      </c>
      <c r="D1858" t="str">
        <f t="shared" si="146"/>
        <v>January</v>
      </c>
      <c r="E1858">
        <f t="shared" si="147"/>
        <v>2022</v>
      </c>
      <c r="F1858" t="str">
        <f>CONCATENATE(calendar[[#This Row],[Month]],"/",calendar[[#This Row],[Year]])</f>
        <v>1/2022</v>
      </c>
      <c r="G1858">
        <f>WEEKDAY(calendar[[#This Row],[Date]],1)</f>
        <v>2</v>
      </c>
      <c r="H1858" t="str">
        <f>TEXT(calendar[[#This Row],[WeekDay]],"dddd")</f>
        <v>Monday</v>
      </c>
      <c r="I1858">
        <f>IF((INT(calendar[[#This Row],[Count]]/7)-calendar[[#This Row],[Count]]/7)&lt;0,I1857,I1857+1)</f>
        <v>266</v>
      </c>
      <c r="J1858">
        <f t="shared" si="144"/>
        <v>1856</v>
      </c>
      <c r="K1858">
        <f>IF(calendar[[#This Row],[Month]]&lt;4,1,IF(calendar[[#This Row],[Month]]&lt;7,2,IF(calendar[[#This Row],[Month]]&lt;10,3,4)))</f>
        <v>1</v>
      </c>
      <c r="L1858">
        <f>IFERROR(IF(VLOOKUP(calendar[[#This Row],[Date]],BH!A:A,1,)&lt;&gt;"",1,0),0)</f>
        <v>0</v>
      </c>
      <c r="M1858">
        <f>IFERROR(IF(VLOOKUP(calendar[[#This Row],[Date]],BH!C:C,1,)&lt;&gt;"",1,0),0)</f>
        <v>0</v>
      </c>
      <c r="N1858">
        <f>IFERROR(IF(VLOOKUP(calendar[[#This Row],[Date]],BH!E:E,1,)&lt;&gt;"",1,0),0)</f>
        <v>0</v>
      </c>
      <c r="O1858">
        <f>IFERROR(IF(VLOOKUP(calendar[[#This Row],[Date]],BH!G:G,1,)&lt;&gt;"",1,0),0)</f>
        <v>0</v>
      </c>
      <c r="P1858">
        <f>IF(OR(calendar[[#This Row],[UK_BH]]=1,calendar[[#This Row],[WeekDay]]=1, calendar[[#This Row],[WeekDay]]=7),P1857,P1857+1)</f>
        <v>1326</v>
      </c>
      <c r="Q1858">
        <f>IF(OR(calendar[[#This Row],[FR_BH]]=1,calendar[[#This Row],[WeekDay]]=1, calendar[[#This Row],[WeekDay]]=7),P1857,P1857+1)</f>
        <v>1326</v>
      </c>
      <c r="R1858">
        <f>IF(OR(calendar[[#This Row],[SP_BH]]=1,calendar[[#This Row],[WeekDay]]=1, calendar[[#This Row],[WeekDay]]=7),P1857,P1857+1)</f>
        <v>1326</v>
      </c>
      <c r="S1858">
        <f>IF(OR(calendar[[#This Row],[PT_BH]]=1,calendar[[#This Row],[WeekDay]]=1, calendar[[#This Row],[WeekDay]]=7),P1857,P1857+1)</f>
        <v>1326</v>
      </c>
    </row>
    <row r="1859" spans="1:19" x14ac:dyDescent="0.25">
      <c r="A1859" s="2">
        <v>44593</v>
      </c>
      <c r="B1859" s="1">
        <f t="shared" si="148"/>
        <v>6</v>
      </c>
      <c r="C1859">
        <f t="shared" si="145"/>
        <v>2</v>
      </c>
      <c r="D1859" t="str">
        <f t="shared" si="146"/>
        <v>February</v>
      </c>
      <c r="E1859">
        <f t="shared" si="147"/>
        <v>2022</v>
      </c>
      <c r="F1859" t="str">
        <f>CONCATENATE(calendar[[#This Row],[Month]],"/",calendar[[#This Row],[Year]])</f>
        <v>2/2022</v>
      </c>
      <c r="G1859">
        <f>WEEKDAY(calendar[[#This Row],[Date]],1)</f>
        <v>3</v>
      </c>
      <c r="H1859" t="str">
        <f>TEXT(calendar[[#This Row],[WeekDay]],"dddd")</f>
        <v>Tuesday</v>
      </c>
      <c r="I1859">
        <f>IF((INT(calendar[[#This Row],[Count]]/7)-calendar[[#This Row],[Count]]/7)&lt;0,I1858,I1858+1)</f>
        <v>266</v>
      </c>
      <c r="J1859">
        <f t="shared" ref="J1859:J1922" si="149">J1858+1</f>
        <v>1857</v>
      </c>
      <c r="K1859">
        <f>IF(calendar[[#This Row],[Month]]&lt;4,1,IF(calendar[[#This Row],[Month]]&lt;7,2,IF(calendar[[#This Row],[Month]]&lt;10,3,4)))</f>
        <v>1</v>
      </c>
      <c r="L1859">
        <f>IFERROR(IF(VLOOKUP(calendar[[#This Row],[Date]],BH!A:A,1,)&lt;&gt;"",1,0),0)</f>
        <v>0</v>
      </c>
      <c r="M1859">
        <f>IFERROR(IF(VLOOKUP(calendar[[#This Row],[Date]],BH!C:C,1,)&lt;&gt;"",1,0),0)</f>
        <v>0</v>
      </c>
      <c r="N1859">
        <f>IFERROR(IF(VLOOKUP(calendar[[#This Row],[Date]],BH!E:E,1,)&lt;&gt;"",1,0),0)</f>
        <v>0</v>
      </c>
      <c r="O1859">
        <f>IFERROR(IF(VLOOKUP(calendar[[#This Row],[Date]],BH!G:G,1,)&lt;&gt;"",1,0),0)</f>
        <v>0</v>
      </c>
      <c r="P1859">
        <f>IF(OR(calendar[[#This Row],[UK_BH]]=1,calendar[[#This Row],[WeekDay]]=1, calendar[[#This Row],[WeekDay]]=7),P1858,P1858+1)</f>
        <v>1327</v>
      </c>
      <c r="Q1859">
        <f>IF(OR(calendar[[#This Row],[FR_BH]]=1,calendar[[#This Row],[WeekDay]]=1, calendar[[#This Row],[WeekDay]]=7),P1858,P1858+1)</f>
        <v>1327</v>
      </c>
      <c r="R1859">
        <f>IF(OR(calendar[[#This Row],[SP_BH]]=1,calendar[[#This Row],[WeekDay]]=1, calendar[[#This Row],[WeekDay]]=7),P1858,P1858+1)</f>
        <v>1327</v>
      </c>
      <c r="S1859">
        <f>IF(OR(calendar[[#This Row],[PT_BH]]=1,calendar[[#This Row],[WeekDay]]=1, calendar[[#This Row],[WeekDay]]=7),P1858,P1858+1)</f>
        <v>1327</v>
      </c>
    </row>
    <row r="1860" spans="1:19" x14ac:dyDescent="0.25">
      <c r="A1860" s="2">
        <v>44594</v>
      </c>
      <c r="B1860" s="1">
        <f t="shared" si="148"/>
        <v>6</v>
      </c>
      <c r="C1860">
        <f t="shared" si="145"/>
        <v>2</v>
      </c>
      <c r="D1860" t="str">
        <f t="shared" si="146"/>
        <v>February</v>
      </c>
      <c r="E1860">
        <f t="shared" si="147"/>
        <v>2022</v>
      </c>
      <c r="F1860" t="str">
        <f>CONCATENATE(calendar[[#This Row],[Month]],"/",calendar[[#This Row],[Year]])</f>
        <v>2/2022</v>
      </c>
      <c r="G1860">
        <f>WEEKDAY(calendar[[#This Row],[Date]],1)</f>
        <v>4</v>
      </c>
      <c r="H1860" t="str">
        <f>TEXT(calendar[[#This Row],[WeekDay]],"dddd")</f>
        <v>Wednesday</v>
      </c>
      <c r="I1860">
        <f>IF((INT(calendar[[#This Row],[Count]]/7)-calendar[[#This Row],[Count]]/7)&lt;0,I1859,I1859+1)</f>
        <v>266</v>
      </c>
      <c r="J1860">
        <f t="shared" si="149"/>
        <v>1858</v>
      </c>
      <c r="K1860">
        <f>IF(calendar[[#This Row],[Month]]&lt;4,1,IF(calendar[[#This Row],[Month]]&lt;7,2,IF(calendar[[#This Row],[Month]]&lt;10,3,4)))</f>
        <v>1</v>
      </c>
      <c r="L1860">
        <f>IFERROR(IF(VLOOKUP(calendar[[#This Row],[Date]],BH!A:A,1,)&lt;&gt;"",1,0),0)</f>
        <v>0</v>
      </c>
      <c r="M1860">
        <f>IFERROR(IF(VLOOKUP(calendar[[#This Row],[Date]],BH!C:C,1,)&lt;&gt;"",1,0),0)</f>
        <v>0</v>
      </c>
      <c r="N1860">
        <f>IFERROR(IF(VLOOKUP(calendar[[#This Row],[Date]],BH!E:E,1,)&lt;&gt;"",1,0),0)</f>
        <v>0</v>
      </c>
      <c r="O1860">
        <f>IFERROR(IF(VLOOKUP(calendar[[#This Row],[Date]],BH!G:G,1,)&lt;&gt;"",1,0),0)</f>
        <v>0</v>
      </c>
      <c r="P1860">
        <f>IF(OR(calendar[[#This Row],[UK_BH]]=1,calendar[[#This Row],[WeekDay]]=1, calendar[[#This Row],[WeekDay]]=7),P1859,P1859+1)</f>
        <v>1328</v>
      </c>
      <c r="Q1860">
        <f>IF(OR(calendar[[#This Row],[FR_BH]]=1,calendar[[#This Row],[WeekDay]]=1, calendar[[#This Row],[WeekDay]]=7),P1859,P1859+1)</f>
        <v>1328</v>
      </c>
      <c r="R1860">
        <f>IF(OR(calendar[[#This Row],[SP_BH]]=1,calendar[[#This Row],[WeekDay]]=1, calendar[[#This Row],[WeekDay]]=7),P1859,P1859+1)</f>
        <v>1328</v>
      </c>
      <c r="S1860">
        <f>IF(OR(calendar[[#This Row],[PT_BH]]=1,calendar[[#This Row],[WeekDay]]=1, calendar[[#This Row],[WeekDay]]=7),P1859,P1859+1)</f>
        <v>1328</v>
      </c>
    </row>
    <row r="1861" spans="1:19" x14ac:dyDescent="0.25">
      <c r="A1861" s="2">
        <v>44595</v>
      </c>
      <c r="B1861" s="1">
        <f t="shared" si="148"/>
        <v>6</v>
      </c>
      <c r="C1861">
        <f t="shared" si="145"/>
        <v>2</v>
      </c>
      <c r="D1861" t="str">
        <f t="shared" si="146"/>
        <v>February</v>
      </c>
      <c r="E1861">
        <f t="shared" si="147"/>
        <v>2022</v>
      </c>
      <c r="F1861" t="str">
        <f>CONCATENATE(calendar[[#This Row],[Month]],"/",calendar[[#This Row],[Year]])</f>
        <v>2/2022</v>
      </c>
      <c r="G1861">
        <f>WEEKDAY(calendar[[#This Row],[Date]],1)</f>
        <v>5</v>
      </c>
      <c r="H1861" t="str">
        <f>TEXT(calendar[[#This Row],[WeekDay]],"dddd")</f>
        <v>Thursday</v>
      </c>
      <c r="I1861">
        <f>IF((INT(calendar[[#This Row],[Count]]/7)-calendar[[#This Row],[Count]]/7)&lt;0,I1860,I1860+1)</f>
        <v>266</v>
      </c>
      <c r="J1861">
        <f t="shared" si="149"/>
        <v>1859</v>
      </c>
      <c r="K1861">
        <f>IF(calendar[[#This Row],[Month]]&lt;4,1,IF(calendar[[#This Row],[Month]]&lt;7,2,IF(calendar[[#This Row],[Month]]&lt;10,3,4)))</f>
        <v>1</v>
      </c>
      <c r="L1861">
        <f>IFERROR(IF(VLOOKUP(calendar[[#This Row],[Date]],BH!A:A,1,)&lt;&gt;"",1,0),0)</f>
        <v>0</v>
      </c>
      <c r="M1861">
        <f>IFERROR(IF(VLOOKUP(calendar[[#This Row],[Date]],BH!C:C,1,)&lt;&gt;"",1,0),0)</f>
        <v>0</v>
      </c>
      <c r="N1861">
        <f>IFERROR(IF(VLOOKUP(calendar[[#This Row],[Date]],BH!E:E,1,)&lt;&gt;"",1,0),0)</f>
        <v>0</v>
      </c>
      <c r="O1861">
        <f>IFERROR(IF(VLOOKUP(calendar[[#This Row],[Date]],BH!G:G,1,)&lt;&gt;"",1,0),0)</f>
        <v>0</v>
      </c>
      <c r="P1861">
        <f>IF(OR(calendar[[#This Row],[UK_BH]]=1,calendar[[#This Row],[WeekDay]]=1, calendar[[#This Row],[WeekDay]]=7),P1860,P1860+1)</f>
        <v>1329</v>
      </c>
      <c r="Q1861">
        <f>IF(OR(calendar[[#This Row],[FR_BH]]=1,calendar[[#This Row],[WeekDay]]=1, calendar[[#This Row],[WeekDay]]=7),P1860,P1860+1)</f>
        <v>1329</v>
      </c>
      <c r="R1861">
        <f>IF(OR(calendar[[#This Row],[SP_BH]]=1,calendar[[#This Row],[WeekDay]]=1, calendar[[#This Row],[WeekDay]]=7),P1860,P1860+1)</f>
        <v>1329</v>
      </c>
      <c r="S1861">
        <f>IF(OR(calendar[[#This Row],[PT_BH]]=1,calendar[[#This Row],[WeekDay]]=1, calendar[[#This Row],[WeekDay]]=7),P1860,P1860+1)</f>
        <v>1329</v>
      </c>
    </row>
    <row r="1862" spans="1:19" x14ac:dyDescent="0.25">
      <c r="A1862" s="2">
        <v>44596</v>
      </c>
      <c r="B1862" s="1">
        <f t="shared" si="148"/>
        <v>6</v>
      </c>
      <c r="C1862">
        <f t="shared" si="145"/>
        <v>2</v>
      </c>
      <c r="D1862" t="str">
        <f t="shared" si="146"/>
        <v>February</v>
      </c>
      <c r="E1862">
        <f t="shared" si="147"/>
        <v>2022</v>
      </c>
      <c r="F1862" t="str">
        <f>CONCATENATE(calendar[[#This Row],[Month]],"/",calendar[[#This Row],[Year]])</f>
        <v>2/2022</v>
      </c>
      <c r="G1862">
        <f>WEEKDAY(calendar[[#This Row],[Date]],1)</f>
        <v>6</v>
      </c>
      <c r="H1862" t="str">
        <f>TEXT(calendar[[#This Row],[WeekDay]],"dddd")</f>
        <v>Friday</v>
      </c>
      <c r="I1862">
        <f>IF((INT(calendar[[#This Row],[Count]]/7)-calendar[[#This Row],[Count]]/7)&lt;0,I1861,I1861+1)</f>
        <v>266</v>
      </c>
      <c r="J1862">
        <f t="shared" si="149"/>
        <v>1860</v>
      </c>
      <c r="K1862">
        <f>IF(calendar[[#This Row],[Month]]&lt;4,1,IF(calendar[[#This Row],[Month]]&lt;7,2,IF(calendar[[#This Row],[Month]]&lt;10,3,4)))</f>
        <v>1</v>
      </c>
      <c r="L1862">
        <f>IFERROR(IF(VLOOKUP(calendar[[#This Row],[Date]],BH!A:A,1,)&lt;&gt;"",1,0),0)</f>
        <v>0</v>
      </c>
      <c r="M1862">
        <f>IFERROR(IF(VLOOKUP(calendar[[#This Row],[Date]],BH!C:C,1,)&lt;&gt;"",1,0),0)</f>
        <v>0</v>
      </c>
      <c r="N1862">
        <f>IFERROR(IF(VLOOKUP(calendar[[#This Row],[Date]],BH!E:E,1,)&lt;&gt;"",1,0),0)</f>
        <v>0</v>
      </c>
      <c r="O1862">
        <f>IFERROR(IF(VLOOKUP(calendar[[#This Row],[Date]],BH!G:G,1,)&lt;&gt;"",1,0),0)</f>
        <v>0</v>
      </c>
      <c r="P1862">
        <f>IF(OR(calendar[[#This Row],[UK_BH]]=1,calendar[[#This Row],[WeekDay]]=1, calendar[[#This Row],[WeekDay]]=7),P1861,P1861+1)</f>
        <v>1330</v>
      </c>
      <c r="Q1862">
        <f>IF(OR(calendar[[#This Row],[FR_BH]]=1,calendar[[#This Row],[WeekDay]]=1, calendar[[#This Row],[WeekDay]]=7),P1861,P1861+1)</f>
        <v>1330</v>
      </c>
      <c r="R1862">
        <f>IF(OR(calendar[[#This Row],[SP_BH]]=1,calendar[[#This Row],[WeekDay]]=1, calendar[[#This Row],[WeekDay]]=7),P1861,P1861+1)</f>
        <v>1330</v>
      </c>
      <c r="S1862">
        <f>IF(OR(calendar[[#This Row],[PT_BH]]=1,calendar[[#This Row],[WeekDay]]=1, calendar[[#This Row],[WeekDay]]=7),P1861,P1861+1)</f>
        <v>1330</v>
      </c>
    </row>
    <row r="1863" spans="1:19" x14ac:dyDescent="0.25">
      <c r="A1863" s="2">
        <v>44597</v>
      </c>
      <c r="B1863" s="1">
        <f t="shared" si="148"/>
        <v>6</v>
      </c>
      <c r="C1863">
        <f t="shared" si="145"/>
        <v>2</v>
      </c>
      <c r="D1863" t="str">
        <f t="shared" si="146"/>
        <v>February</v>
      </c>
      <c r="E1863">
        <f t="shared" si="147"/>
        <v>2022</v>
      </c>
      <c r="F1863" t="str">
        <f>CONCATENATE(calendar[[#This Row],[Month]],"/",calendar[[#This Row],[Year]])</f>
        <v>2/2022</v>
      </c>
      <c r="G1863">
        <f>WEEKDAY(calendar[[#This Row],[Date]],1)</f>
        <v>7</v>
      </c>
      <c r="H1863" t="str">
        <f>TEXT(calendar[[#This Row],[WeekDay]],"dddd")</f>
        <v>Saturday</v>
      </c>
      <c r="I1863">
        <f>IF((INT(calendar[[#This Row],[Count]]/7)-calendar[[#This Row],[Count]]/7)&lt;0,I1862,I1862+1)</f>
        <v>266</v>
      </c>
      <c r="J1863">
        <f t="shared" si="149"/>
        <v>1861</v>
      </c>
      <c r="K1863">
        <f>IF(calendar[[#This Row],[Month]]&lt;4,1,IF(calendar[[#This Row],[Month]]&lt;7,2,IF(calendar[[#This Row],[Month]]&lt;10,3,4)))</f>
        <v>1</v>
      </c>
      <c r="L1863">
        <f>IFERROR(IF(VLOOKUP(calendar[[#This Row],[Date]],BH!A:A,1,)&lt;&gt;"",1,0),0)</f>
        <v>0</v>
      </c>
      <c r="M1863">
        <f>IFERROR(IF(VLOOKUP(calendar[[#This Row],[Date]],BH!C:C,1,)&lt;&gt;"",1,0),0)</f>
        <v>0</v>
      </c>
      <c r="N1863">
        <f>IFERROR(IF(VLOOKUP(calendar[[#This Row],[Date]],BH!E:E,1,)&lt;&gt;"",1,0),0)</f>
        <v>0</v>
      </c>
      <c r="O1863">
        <f>IFERROR(IF(VLOOKUP(calendar[[#This Row],[Date]],BH!G:G,1,)&lt;&gt;"",1,0),0)</f>
        <v>0</v>
      </c>
      <c r="P1863">
        <f>IF(OR(calendar[[#This Row],[UK_BH]]=1,calendar[[#This Row],[WeekDay]]=1, calendar[[#This Row],[WeekDay]]=7),P1862,P1862+1)</f>
        <v>1330</v>
      </c>
      <c r="Q1863">
        <f>IF(OR(calendar[[#This Row],[FR_BH]]=1,calendar[[#This Row],[WeekDay]]=1, calendar[[#This Row],[WeekDay]]=7),P1862,P1862+1)</f>
        <v>1330</v>
      </c>
      <c r="R1863">
        <f>IF(OR(calendar[[#This Row],[SP_BH]]=1,calendar[[#This Row],[WeekDay]]=1, calendar[[#This Row],[WeekDay]]=7),P1862,P1862+1)</f>
        <v>1330</v>
      </c>
      <c r="S1863">
        <f>IF(OR(calendar[[#This Row],[PT_BH]]=1,calendar[[#This Row],[WeekDay]]=1, calendar[[#This Row],[WeekDay]]=7),P1862,P1862+1)</f>
        <v>1330</v>
      </c>
    </row>
    <row r="1864" spans="1:19" x14ac:dyDescent="0.25">
      <c r="A1864" s="2">
        <v>44598</v>
      </c>
      <c r="B1864" s="1">
        <f t="shared" si="148"/>
        <v>7</v>
      </c>
      <c r="C1864">
        <f t="shared" si="145"/>
        <v>2</v>
      </c>
      <c r="D1864" t="str">
        <f t="shared" si="146"/>
        <v>February</v>
      </c>
      <c r="E1864">
        <f t="shared" si="147"/>
        <v>2022</v>
      </c>
      <c r="F1864" t="str">
        <f>CONCATENATE(calendar[[#This Row],[Month]],"/",calendar[[#This Row],[Year]])</f>
        <v>2/2022</v>
      </c>
      <c r="G1864">
        <f>WEEKDAY(calendar[[#This Row],[Date]],1)</f>
        <v>1</v>
      </c>
      <c r="H1864" t="str">
        <f>TEXT(calendar[[#This Row],[WeekDay]],"dddd")</f>
        <v>Sunday</v>
      </c>
      <c r="I1864">
        <f>IF((INT(calendar[[#This Row],[Count]]/7)-calendar[[#This Row],[Count]]/7)&lt;0,I1863,I1863+1)</f>
        <v>267</v>
      </c>
      <c r="J1864">
        <f t="shared" si="149"/>
        <v>1862</v>
      </c>
      <c r="K1864">
        <f>IF(calendar[[#This Row],[Month]]&lt;4,1,IF(calendar[[#This Row],[Month]]&lt;7,2,IF(calendar[[#This Row],[Month]]&lt;10,3,4)))</f>
        <v>1</v>
      </c>
      <c r="L1864">
        <f>IFERROR(IF(VLOOKUP(calendar[[#This Row],[Date]],BH!A:A,1,)&lt;&gt;"",1,0),0)</f>
        <v>0</v>
      </c>
      <c r="M1864">
        <f>IFERROR(IF(VLOOKUP(calendar[[#This Row],[Date]],BH!C:C,1,)&lt;&gt;"",1,0),0)</f>
        <v>0</v>
      </c>
      <c r="N1864">
        <f>IFERROR(IF(VLOOKUP(calendar[[#This Row],[Date]],BH!E:E,1,)&lt;&gt;"",1,0),0)</f>
        <v>0</v>
      </c>
      <c r="O1864">
        <f>IFERROR(IF(VLOOKUP(calendar[[#This Row],[Date]],BH!G:G,1,)&lt;&gt;"",1,0),0)</f>
        <v>0</v>
      </c>
      <c r="P1864">
        <f>IF(OR(calendar[[#This Row],[UK_BH]]=1,calendar[[#This Row],[WeekDay]]=1, calendar[[#This Row],[WeekDay]]=7),P1863,P1863+1)</f>
        <v>1330</v>
      </c>
      <c r="Q1864">
        <f>IF(OR(calendar[[#This Row],[FR_BH]]=1,calendar[[#This Row],[WeekDay]]=1, calendar[[#This Row],[WeekDay]]=7),P1863,P1863+1)</f>
        <v>1330</v>
      </c>
      <c r="R1864">
        <f>IF(OR(calendar[[#This Row],[SP_BH]]=1,calendar[[#This Row],[WeekDay]]=1, calendar[[#This Row],[WeekDay]]=7),P1863,P1863+1)</f>
        <v>1330</v>
      </c>
      <c r="S1864">
        <f>IF(OR(calendar[[#This Row],[PT_BH]]=1,calendar[[#This Row],[WeekDay]]=1, calendar[[#This Row],[WeekDay]]=7),P1863,P1863+1)</f>
        <v>1330</v>
      </c>
    </row>
    <row r="1865" spans="1:19" x14ac:dyDescent="0.25">
      <c r="A1865" s="2">
        <v>44599</v>
      </c>
      <c r="B1865" s="1">
        <f t="shared" si="148"/>
        <v>7</v>
      </c>
      <c r="C1865">
        <f t="shared" si="145"/>
        <v>2</v>
      </c>
      <c r="D1865" t="str">
        <f t="shared" si="146"/>
        <v>February</v>
      </c>
      <c r="E1865">
        <f t="shared" si="147"/>
        <v>2022</v>
      </c>
      <c r="F1865" t="str">
        <f>CONCATENATE(calendar[[#This Row],[Month]],"/",calendar[[#This Row],[Year]])</f>
        <v>2/2022</v>
      </c>
      <c r="G1865">
        <f>WEEKDAY(calendar[[#This Row],[Date]],1)</f>
        <v>2</v>
      </c>
      <c r="H1865" t="str">
        <f>TEXT(calendar[[#This Row],[WeekDay]],"dddd")</f>
        <v>Monday</v>
      </c>
      <c r="I1865">
        <f>IF((INT(calendar[[#This Row],[Count]]/7)-calendar[[#This Row],[Count]]/7)&lt;0,I1864,I1864+1)</f>
        <v>267</v>
      </c>
      <c r="J1865">
        <f t="shared" si="149"/>
        <v>1863</v>
      </c>
      <c r="K1865">
        <f>IF(calendar[[#This Row],[Month]]&lt;4,1,IF(calendar[[#This Row],[Month]]&lt;7,2,IF(calendar[[#This Row],[Month]]&lt;10,3,4)))</f>
        <v>1</v>
      </c>
      <c r="L1865">
        <f>IFERROR(IF(VLOOKUP(calendar[[#This Row],[Date]],BH!A:A,1,)&lt;&gt;"",1,0),0)</f>
        <v>0</v>
      </c>
      <c r="M1865">
        <f>IFERROR(IF(VLOOKUP(calendar[[#This Row],[Date]],BH!C:C,1,)&lt;&gt;"",1,0),0)</f>
        <v>0</v>
      </c>
      <c r="N1865">
        <f>IFERROR(IF(VLOOKUP(calendar[[#This Row],[Date]],BH!E:E,1,)&lt;&gt;"",1,0),0)</f>
        <v>0</v>
      </c>
      <c r="O1865">
        <f>IFERROR(IF(VLOOKUP(calendar[[#This Row],[Date]],BH!G:G,1,)&lt;&gt;"",1,0),0)</f>
        <v>0</v>
      </c>
      <c r="P1865">
        <f>IF(OR(calendar[[#This Row],[UK_BH]]=1,calendar[[#This Row],[WeekDay]]=1, calendar[[#This Row],[WeekDay]]=7),P1864,P1864+1)</f>
        <v>1331</v>
      </c>
      <c r="Q1865">
        <f>IF(OR(calendar[[#This Row],[FR_BH]]=1,calendar[[#This Row],[WeekDay]]=1, calendar[[#This Row],[WeekDay]]=7),P1864,P1864+1)</f>
        <v>1331</v>
      </c>
      <c r="R1865">
        <f>IF(OR(calendar[[#This Row],[SP_BH]]=1,calendar[[#This Row],[WeekDay]]=1, calendar[[#This Row],[WeekDay]]=7),P1864,P1864+1)</f>
        <v>1331</v>
      </c>
      <c r="S1865">
        <f>IF(OR(calendar[[#This Row],[PT_BH]]=1,calendar[[#This Row],[WeekDay]]=1, calendar[[#This Row],[WeekDay]]=7),P1864,P1864+1)</f>
        <v>1331</v>
      </c>
    </row>
    <row r="1866" spans="1:19" x14ac:dyDescent="0.25">
      <c r="A1866" s="2">
        <v>44600</v>
      </c>
      <c r="B1866" s="1">
        <f t="shared" si="148"/>
        <v>7</v>
      </c>
      <c r="C1866">
        <f t="shared" si="145"/>
        <v>2</v>
      </c>
      <c r="D1866" t="str">
        <f t="shared" si="146"/>
        <v>February</v>
      </c>
      <c r="E1866">
        <f t="shared" si="147"/>
        <v>2022</v>
      </c>
      <c r="F1866" t="str">
        <f>CONCATENATE(calendar[[#This Row],[Month]],"/",calendar[[#This Row],[Year]])</f>
        <v>2/2022</v>
      </c>
      <c r="G1866">
        <f>WEEKDAY(calendar[[#This Row],[Date]],1)</f>
        <v>3</v>
      </c>
      <c r="H1866" t="str">
        <f>TEXT(calendar[[#This Row],[WeekDay]],"dddd")</f>
        <v>Tuesday</v>
      </c>
      <c r="I1866">
        <f>IF((INT(calendar[[#This Row],[Count]]/7)-calendar[[#This Row],[Count]]/7)&lt;0,I1865,I1865+1)</f>
        <v>267</v>
      </c>
      <c r="J1866">
        <f t="shared" si="149"/>
        <v>1864</v>
      </c>
      <c r="K1866">
        <f>IF(calendar[[#This Row],[Month]]&lt;4,1,IF(calendar[[#This Row],[Month]]&lt;7,2,IF(calendar[[#This Row],[Month]]&lt;10,3,4)))</f>
        <v>1</v>
      </c>
      <c r="L1866">
        <f>IFERROR(IF(VLOOKUP(calendar[[#This Row],[Date]],BH!A:A,1,)&lt;&gt;"",1,0),0)</f>
        <v>0</v>
      </c>
      <c r="M1866">
        <f>IFERROR(IF(VLOOKUP(calendar[[#This Row],[Date]],BH!C:C,1,)&lt;&gt;"",1,0),0)</f>
        <v>0</v>
      </c>
      <c r="N1866">
        <f>IFERROR(IF(VLOOKUP(calendar[[#This Row],[Date]],BH!E:E,1,)&lt;&gt;"",1,0),0)</f>
        <v>0</v>
      </c>
      <c r="O1866">
        <f>IFERROR(IF(VLOOKUP(calendar[[#This Row],[Date]],BH!G:G,1,)&lt;&gt;"",1,0),0)</f>
        <v>0</v>
      </c>
      <c r="P1866">
        <f>IF(OR(calendar[[#This Row],[UK_BH]]=1,calendar[[#This Row],[WeekDay]]=1, calendar[[#This Row],[WeekDay]]=7),P1865,P1865+1)</f>
        <v>1332</v>
      </c>
      <c r="Q1866">
        <f>IF(OR(calendar[[#This Row],[FR_BH]]=1,calendar[[#This Row],[WeekDay]]=1, calendar[[#This Row],[WeekDay]]=7),P1865,P1865+1)</f>
        <v>1332</v>
      </c>
      <c r="R1866">
        <f>IF(OR(calendar[[#This Row],[SP_BH]]=1,calendar[[#This Row],[WeekDay]]=1, calendar[[#This Row],[WeekDay]]=7),P1865,P1865+1)</f>
        <v>1332</v>
      </c>
      <c r="S1866">
        <f>IF(OR(calendar[[#This Row],[PT_BH]]=1,calendar[[#This Row],[WeekDay]]=1, calendar[[#This Row],[WeekDay]]=7),P1865,P1865+1)</f>
        <v>1332</v>
      </c>
    </row>
    <row r="1867" spans="1:19" x14ac:dyDescent="0.25">
      <c r="A1867" s="2">
        <v>44601</v>
      </c>
      <c r="B1867" s="1">
        <f t="shared" si="148"/>
        <v>7</v>
      </c>
      <c r="C1867">
        <f t="shared" si="145"/>
        <v>2</v>
      </c>
      <c r="D1867" t="str">
        <f t="shared" si="146"/>
        <v>February</v>
      </c>
      <c r="E1867">
        <f t="shared" si="147"/>
        <v>2022</v>
      </c>
      <c r="F1867" t="str">
        <f>CONCATENATE(calendar[[#This Row],[Month]],"/",calendar[[#This Row],[Year]])</f>
        <v>2/2022</v>
      </c>
      <c r="G1867">
        <f>WEEKDAY(calendar[[#This Row],[Date]],1)</f>
        <v>4</v>
      </c>
      <c r="H1867" t="str">
        <f>TEXT(calendar[[#This Row],[WeekDay]],"dddd")</f>
        <v>Wednesday</v>
      </c>
      <c r="I1867">
        <f>IF((INT(calendar[[#This Row],[Count]]/7)-calendar[[#This Row],[Count]]/7)&lt;0,I1866,I1866+1)</f>
        <v>267</v>
      </c>
      <c r="J1867">
        <f t="shared" si="149"/>
        <v>1865</v>
      </c>
      <c r="K1867">
        <f>IF(calendar[[#This Row],[Month]]&lt;4,1,IF(calendar[[#This Row],[Month]]&lt;7,2,IF(calendar[[#This Row],[Month]]&lt;10,3,4)))</f>
        <v>1</v>
      </c>
      <c r="L1867">
        <f>IFERROR(IF(VLOOKUP(calendar[[#This Row],[Date]],BH!A:A,1,)&lt;&gt;"",1,0),0)</f>
        <v>0</v>
      </c>
      <c r="M1867">
        <f>IFERROR(IF(VLOOKUP(calendar[[#This Row],[Date]],BH!C:C,1,)&lt;&gt;"",1,0),0)</f>
        <v>0</v>
      </c>
      <c r="N1867">
        <f>IFERROR(IF(VLOOKUP(calendar[[#This Row],[Date]],BH!E:E,1,)&lt;&gt;"",1,0),0)</f>
        <v>0</v>
      </c>
      <c r="O1867">
        <f>IFERROR(IF(VLOOKUP(calendar[[#This Row],[Date]],BH!G:G,1,)&lt;&gt;"",1,0),0)</f>
        <v>0</v>
      </c>
      <c r="P1867">
        <f>IF(OR(calendar[[#This Row],[UK_BH]]=1,calendar[[#This Row],[WeekDay]]=1, calendar[[#This Row],[WeekDay]]=7),P1866,P1866+1)</f>
        <v>1333</v>
      </c>
      <c r="Q1867">
        <f>IF(OR(calendar[[#This Row],[FR_BH]]=1,calendar[[#This Row],[WeekDay]]=1, calendar[[#This Row],[WeekDay]]=7),P1866,P1866+1)</f>
        <v>1333</v>
      </c>
      <c r="R1867">
        <f>IF(OR(calendar[[#This Row],[SP_BH]]=1,calendar[[#This Row],[WeekDay]]=1, calendar[[#This Row],[WeekDay]]=7),P1866,P1866+1)</f>
        <v>1333</v>
      </c>
      <c r="S1867">
        <f>IF(OR(calendar[[#This Row],[PT_BH]]=1,calendar[[#This Row],[WeekDay]]=1, calendar[[#This Row],[WeekDay]]=7),P1866,P1866+1)</f>
        <v>1333</v>
      </c>
    </row>
    <row r="1868" spans="1:19" x14ac:dyDescent="0.25">
      <c r="A1868" s="2">
        <v>44602</v>
      </c>
      <c r="B1868" s="1">
        <f t="shared" si="148"/>
        <v>7</v>
      </c>
      <c r="C1868">
        <f t="shared" si="145"/>
        <v>2</v>
      </c>
      <c r="D1868" t="str">
        <f t="shared" si="146"/>
        <v>February</v>
      </c>
      <c r="E1868">
        <f t="shared" si="147"/>
        <v>2022</v>
      </c>
      <c r="F1868" t="str">
        <f>CONCATENATE(calendar[[#This Row],[Month]],"/",calendar[[#This Row],[Year]])</f>
        <v>2/2022</v>
      </c>
      <c r="G1868">
        <f>WEEKDAY(calendar[[#This Row],[Date]],1)</f>
        <v>5</v>
      </c>
      <c r="H1868" t="str">
        <f>TEXT(calendar[[#This Row],[WeekDay]],"dddd")</f>
        <v>Thursday</v>
      </c>
      <c r="I1868">
        <f>IF((INT(calendar[[#This Row],[Count]]/7)-calendar[[#This Row],[Count]]/7)&lt;0,I1867,I1867+1)</f>
        <v>267</v>
      </c>
      <c r="J1868">
        <f t="shared" si="149"/>
        <v>1866</v>
      </c>
      <c r="K1868">
        <f>IF(calendar[[#This Row],[Month]]&lt;4,1,IF(calendar[[#This Row],[Month]]&lt;7,2,IF(calendar[[#This Row],[Month]]&lt;10,3,4)))</f>
        <v>1</v>
      </c>
      <c r="L1868">
        <f>IFERROR(IF(VLOOKUP(calendar[[#This Row],[Date]],BH!A:A,1,)&lt;&gt;"",1,0),0)</f>
        <v>0</v>
      </c>
      <c r="M1868">
        <f>IFERROR(IF(VLOOKUP(calendar[[#This Row],[Date]],BH!C:C,1,)&lt;&gt;"",1,0),0)</f>
        <v>0</v>
      </c>
      <c r="N1868">
        <f>IFERROR(IF(VLOOKUP(calendar[[#This Row],[Date]],BH!E:E,1,)&lt;&gt;"",1,0),0)</f>
        <v>0</v>
      </c>
      <c r="O1868">
        <f>IFERROR(IF(VLOOKUP(calendar[[#This Row],[Date]],BH!G:G,1,)&lt;&gt;"",1,0),0)</f>
        <v>0</v>
      </c>
      <c r="P1868">
        <f>IF(OR(calendar[[#This Row],[UK_BH]]=1,calendar[[#This Row],[WeekDay]]=1, calendar[[#This Row],[WeekDay]]=7),P1867,P1867+1)</f>
        <v>1334</v>
      </c>
      <c r="Q1868">
        <f>IF(OR(calendar[[#This Row],[FR_BH]]=1,calendar[[#This Row],[WeekDay]]=1, calendar[[#This Row],[WeekDay]]=7),P1867,P1867+1)</f>
        <v>1334</v>
      </c>
      <c r="R1868">
        <f>IF(OR(calendar[[#This Row],[SP_BH]]=1,calendar[[#This Row],[WeekDay]]=1, calendar[[#This Row],[WeekDay]]=7),P1867,P1867+1)</f>
        <v>1334</v>
      </c>
      <c r="S1868">
        <f>IF(OR(calendar[[#This Row],[PT_BH]]=1,calendar[[#This Row],[WeekDay]]=1, calendar[[#This Row],[WeekDay]]=7),P1867,P1867+1)</f>
        <v>1334</v>
      </c>
    </row>
    <row r="1869" spans="1:19" x14ac:dyDescent="0.25">
      <c r="A1869" s="2">
        <v>44603</v>
      </c>
      <c r="B1869" s="1">
        <f t="shared" si="148"/>
        <v>7</v>
      </c>
      <c r="C1869">
        <f t="shared" si="145"/>
        <v>2</v>
      </c>
      <c r="D1869" t="str">
        <f t="shared" si="146"/>
        <v>February</v>
      </c>
      <c r="E1869">
        <f t="shared" si="147"/>
        <v>2022</v>
      </c>
      <c r="F1869" t="str">
        <f>CONCATENATE(calendar[[#This Row],[Month]],"/",calendar[[#This Row],[Year]])</f>
        <v>2/2022</v>
      </c>
      <c r="G1869">
        <f>WEEKDAY(calendar[[#This Row],[Date]],1)</f>
        <v>6</v>
      </c>
      <c r="H1869" t="str">
        <f>TEXT(calendar[[#This Row],[WeekDay]],"dddd")</f>
        <v>Friday</v>
      </c>
      <c r="I1869">
        <f>IF((INT(calendar[[#This Row],[Count]]/7)-calendar[[#This Row],[Count]]/7)&lt;0,I1868,I1868+1)</f>
        <v>267</v>
      </c>
      <c r="J1869">
        <f t="shared" si="149"/>
        <v>1867</v>
      </c>
      <c r="K1869">
        <f>IF(calendar[[#This Row],[Month]]&lt;4,1,IF(calendar[[#This Row],[Month]]&lt;7,2,IF(calendar[[#This Row],[Month]]&lt;10,3,4)))</f>
        <v>1</v>
      </c>
      <c r="L1869">
        <f>IFERROR(IF(VLOOKUP(calendar[[#This Row],[Date]],BH!A:A,1,)&lt;&gt;"",1,0),0)</f>
        <v>0</v>
      </c>
      <c r="M1869">
        <f>IFERROR(IF(VLOOKUP(calendar[[#This Row],[Date]],BH!C:C,1,)&lt;&gt;"",1,0),0)</f>
        <v>0</v>
      </c>
      <c r="N1869">
        <f>IFERROR(IF(VLOOKUP(calendar[[#This Row],[Date]],BH!E:E,1,)&lt;&gt;"",1,0),0)</f>
        <v>0</v>
      </c>
      <c r="O1869">
        <f>IFERROR(IF(VLOOKUP(calendar[[#This Row],[Date]],BH!G:G,1,)&lt;&gt;"",1,0),0)</f>
        <v>0</v>
      </c>
      <c r="P1869">
        <f>IF(OR(calendar[[#This Row],[UK_BH]]=1,calendar[[#This Row],[WeekDay]]=1, calendar[[#This Row],[WeekDay]]=7),P1868,P1868+1)</f>
        <v>1335</v>
      </c>
      <c r="Q1869">
        <f>IF(OR(calendar[[#This Row],[FR_BH]]=1,calendar[[#This Row],[WeekDay]]=1, calendar[[#This Row],[WeekDay]]=7),P1868,P1868+1)</f>
        <v>1335</v>
      </c>
      <c r="R1869">
        <f>IF(OR(calendar[[#This Row],[SP_BH]]=1,calendar[[#This Row],[WeekDay]]=1, calendar[[#This Row],[WeekDay]]=7),P1868,P1868+1)</f>
        <v>1335</v>
      </c>
      <c r="S1869">
        <f>IF(OR(calendar[[#This Row],[PT_BH]]=1,calendar[[#This Row],[WeekDay]]=1, calendar[[#This Row],[WeekDay]]=7),P1868,P1868+1)</f>
        <v>1335</v>
      </c>
    </row>
    <row r="1870" spans="1:19" x14ac:dyDescent="0.25">
      <c r="A1870" s="2">
        <v>44604</v>
      </c>
      <c r="B1870" s="1">
        <f t="shared" si="148"/>
        <v>7</v>
      </c>
      <c r="C1870">
        <f t="shared" si="145"/>
        <v>2</v>
      </c>
      <c r="D1870" t="str">
        <f t="shared" si="146"/>
        <v>February</v>
      </c>
      <c r="E1870">
        <f t="shared" si="147"/>
        <v>2022</v>
      </c>
      <c r="F1870" t="str">
        <f>CONCATENATE(calendar[[#This Row],[Month]],"/",calendar[[#This Row],[Year]])</f>
        <v>2/2022</v>
      </c>
      <c r="G1870">
        <f>WEEKDAY(calendar[[#This Row],[Date]],1)</f>
        <v>7</v>
      </c>
      <c r="H1870" t="str">
        <f>TEXT(calendar[[#This Row],[WeekDay]],"dddd")</f>
        <v>Saturday</v>
      </c>
      <c r="I1870">
        <f>IF((INT(calendar[[#This Row],[Count]]/7)-calendar[[#This Row],[Count]]/7)&lt;0,I1869,I1869+1)</f>
        <v>267</v>
      </c>
      <c r="J1870">
        <f t="shared" si="149"/>
        <v>1868</v>
      </c>
      <c r="K1870">
        <f>IF(calendar[[#This Row],[Month]]&lt;4,1,IF(calendar[[#This Row],[Month]]&lt;7,2,IF(calendar[[#This Row],[Month]]&lt;10,3,4)))</f>
        <v>1</v>
      </c>
      <c r="L1870">
        <f>IFERROR(IF(VLOOKUP(calendar[[#This Row],[Date]],BH!A:A,1,)&lt;&gt;"",1,0),0)</f>
        <v>0</v>
      </c>
      <c r="M1870">
        <f>IFERROR(IF(VLOOKUP(calendar[[#This Row],[Date]],BH!C:C,1,)&lt;&gt;"",1,0),0)</f>
        <v>0</v>
      </c>
      <c r="N1870">
        <f>IFERROR(IF(VLOOKUP(calendar[[#This Row],[Date]],BH!E:E,1,)&lt;&gt;"",1,0),0)</f>
        <v>0</v>
      </c>
      <c r="O1870">
        <f>IFERROR(IF(VLOOKUP(calendar[[#This Row],[Date]],BH!G:G,1,)&lt;&gt;"",1,0),0)</f>
        <v>0</v>
      </c>
      <c r="P1870">
        <f>IF(OR(calendar[[#This Row],[UK_BH]]=1,calendar[[#This Row],[WeekDay]]=1, calendar[[#This Row],[WeekDay]]=7),P1869,P1869+1)</f>
        <v>1335</v>
      </c>
      <c r="Q1870">
        <f>IF(OR(calendar[[#This Row],[FR_BH]]=1,calendar[[#This Row],[WeekDay]]=1, calendar[[#This Row],[WeekDay]]=7),P1869,P1869+1)</f>
        <v>1335</v>
      </c>
      <c r="R1870">
        <f>IF(OR(calendar[[#This Row],[SP_BH]]=1,calendar[[#This Row],[WeekDay]]=1, calendar[[#This Row],[WeekDay]]=7),P1869,P1869+1)</f>
        <v>1335</v>
      </c>
      <c r="S1870">
        <f>IF(OR(calendar[[#This Row],[PT_BH]]=1,calendar[[#This Row],[WeekDay]]=1, calendar[[#This Row],[WeekDay]]=7),P1869,P1869+1)</f>
        <v>1335</v>
      </c>
    </row>
    <row r="1871" spans="1:19" x14ac:dyDescent="0.25">
      <c r="A1871" s="2">
        <v>44605</v>
      </c>
      <c r="B1871" s="1">
        <f t="shared" si="148"/>
        <v>8</v>
      </c>
      <c r="C1871">
        <f t="shared" si="145"/>
        <v>2</v>
      </c>
      <c r="D1871" t="str">
        <f t="shared" si="146"/>
        <v>February</v>
      </c>
      <c r="E1871">
        <f t="shared" si="147"/>
        <v>2022</v>
      </c>
      <c r="F1871" t="str">
        <f>CONCATENATE(calendar[[#This Row],[Month]],"/",calendar[[#This Row],[Year]])</f>
        <v>2/2022</v>
      </c>
      <c r="G1871">
        <f>WEEKDAY(calendar[[#This Row],[Date]],1)</f>
        <v>1</v>
      </c>
      <c r="H1871" t="str">
        <f>TEXT(calendar[[#This Row],[WeekDay]],"dddd")</f>
        <v>Sunday</v>
      </c>
      <c r="I1871">
        <f>IF((INT(calendar[[#This Row],[Count]]/7)-calendar[[#This Row],[Count]]/7)&lt;0,I1870,I1870+1)</f>
        <v>268</v>
      </c>
      <c r="J1871">
        <f t="shared" si="149"/>
        <v>1869</v>
      </c>
      <c r="K1871">
        <f>IF(calendar[[#This Row],[Month]]&lt;4,1,IF(calendar[[#This Row],[Month]]&lt;7,2,IF(calendar[[#This Row],[Month]]&lt;10,3,4)))</f>
        <v>1</v>
      </c>
      <c r="L1871">
        <f>IFERROR(IF(VLOOKUP(calendar[[#This Row],[Date]],BH!A:A,1,)&lt;&gt;"",1,0),0)</f>
        <v>0</v>
      </c>
      <c r="M1871">
        <f>IFERROR(IF(VLOOKUP(calendar[[#This Row],[Date]],BH!C:C,1,)&lt;&gt;"",1,0),0)</f>
        <v>0</v>
      </c>
      <c r="N1871">
        <f>IFERROR(IF(VLOOKUP(calendar[[#This Row],[Date]],BH!E:E,1,)&lt;&gt;"",1,0),0)</f>
        <v>0</v>
      </c>
      <c r="O1871">
        <f>IFERROR(IF(VLOOKUP(calendar[[#This Row],[Date]],BH!G:G,1,)&lt;&gt;"",1,0),0)</f>
        <v>0</v>
      </c>
      <c r="P1871">
        <f>IF(OR(calendar[[#This Row],[UK_BH]]=1,calendar[[#This Row],[WeekDay]]=1, calendar[[#This Row],[WeekDay]]=7),P1870,P1870+1)</f>
        <v>1335</v>
      </c>
      <c r="Q1871">
        <f>IF(OR(calendar[[#This Row],[FR_BH]]=1,calendar[[#This Row],[WeekDay]]=1, calendar[[#This Row],[WeekDay]]=7),P1870,P1870+1)</f>
        <v>1335</v>
      </c>
      <c r="R1871">
        <f>IF(OR(calendar[[#This Row],[SP_BH]]=1,calendar[[#This Row],[WeekDay]]=1, calendar[[#This Row],[WeekDay]]=7),P1870,P1870+1)</f>
        <v>1335</v>
      </c>
      <c r="S1871">
        <f>IF(OR(calendar[[#This Row],[PT_BH]]=1,calendar[[#This Row],[WeekDay]]=1, calendar[[#This Row],[WeekDay]]=7),P1870,P1870+1)</f>
        <v>1335</v>
      </c>
    </row>
    <row r="1872" spans="1:19" x14ac:dyDescent="0.25">
      <c r="A1872" s="2">
        <v>44606</v>
      </c>
      <c r="B1872" s="1">
        <f t="shared" si="148"/>
        <v>8</v>
      </c>
      <c r="C1872">
        <f t="shared" ref="C1872:C1935" si="150">MONTH(A1872)</f>
        <v>2</v>
      </c>
      <c r="D1872" t="str">
        <f t="shared" ref="D1872:D1935" si="151">TEXT(A1872,"mmmm")</f>
        <v>February</v>
      </c>
      <c r="E1872">
        <f t="shared" ref="E1872:E1935" si="152">YEAR(A1872)</f>
        <v>2022</v>
      </c>
      <c r="F1872" t="str">
        <f>CONCATENATE(calendar[[#This Row],[Month]],"/",calendar[[#This Row],[Year]])</f>
        <v>2/2022</v>
      </c>
      <c r="G1872">
        <f>WEEKDAY(calendar[[#This Row],[Date]],1)</f>
        <v>2</v>
      </c>
      <c r="H1872" t="str">
        <f>TEXT(calendar[[#This Row],[WeekDay]],"dddd")</f>
        <v>Monday</v>
      </c>
      <c r="I1872">
        <f>IF((INT(calendar[[#This Row],[Count]]/7)-calendar[[#This Row],[Count]]/7)&lt;0,I1871,I1871+1)</f>
        <v>268</v>
      </c>
      <c r="J1872">
        <f t="shared" si="149"/>
        <v>1870</v>
      </c>
      <c r="K1872">
        <f>IF(calendar[[#This Row],[Month]]&lt;4,1,IF(calendar[[#This Row],[Month]]&lt;7,2,IF(calendar[[#This Row],[Month]]&lt;10,3,4)))</f>
        <v>1</v>
      </c>
      <c r="L1872">
        <f>IFERROR(IF(VLOOKUP(calendar[[#This Row],[Date]],BH!A:A,1,)&lt;&gt;"",1,0),0)</f>
        <v>0</v>
      </c>
      <c r="M1872">
        <f>IFERROR(IF(VLOOKUP(calendar[[#This Row],[Date]],BH!C:C,1,)&lt;&gt;"",1,0),0)</f>
        <v>0</v>
      </c>
      <c r="N1872">
        <f>IFERROR(IF(VLOOKUP(calendar[[#This Row],[Date]],BH!E:E,1,)&lt;&gt;"",1,0),0)</f>
        <v>0</v>
      </c>
      <c r="O1872">
        <f>IFERROR(IF(VLOOKUP(calendar[[#This Row],[Date]],BH!G:G,1,)&lt;&gt;"",1,0),0)</f>
        <v>0</v>
      </c>
      <c r="P1872">
        <f>IF(OR(calendar[[#This Row],[UK_BH]]=1,calendar[[#This Row],[WeekDay]]=1, calendar[[#This Row],[WeekDay]]=7),P1871,P1871+1)</f>
        <v>1336</v>
      </c>
      <c r="Q1872">
        <f>IF(OR(calendar[[#This Row],[FR_BH]]=1,calendar[[#This Row],[WeekDay]]=1, calendar[[#This Row],[WeekDay]]=7),P1871,P1871+1)</f>
        <v>1336</v>
      </c>
      <c r="R1872">
        <f>IF(OR(calendar[[#This Row],[SP_BH]]=1,calendar[[#This Row],[WeekDay]]=1, calendar[[#This Row],[WeekDay]]=7),P1871,P1871+1)</f>
        <v>1336</v>
      </c>
      <c r="S1872">
        <f>IF(OR(calendar[[#This Row],[PT_BH]]=1,calendar[[#This Row],[WeekDay]]=1, calendar[[#This Row],[WeekDay]]=7),P1871,P1871+1)</f>
        <v>1336</v>
      </c>
    </row>
    <row r="1873" spans="1:19" x14ac:dyDescent="0.25">
      <c r="A1873" s="2">
        <v>44607</v>
      </c>
      <c r="B1873" s="1">
        <f t="shared" si="148"/>
        <v>8</v>
      </c>
      <c r="C1873">
        <f t="shared" si="150"/>
        <v>2</v>
      </c>
      <c r="D1873" t="str">
        <f t="shared" si="151"/>
        <v>February</v>
      </c>
      <c r="E1873">
        <f t="shared" si="152"/>
        <v>2022</v>
      </c>
      <c r="F1873" t="str">
        <f>CONCATENATE(calendar[[#This Row],[Month]],"/",calendar[[#This Row],[Year]])</f>
        <v>2/2022</v>
      </c>
      <c r="G1873">
        <f>WEEKDAY(calendar[[#This Row],[Date]],1)</f>
        <v>3</v>
      </c>
      <c r="H1873" t="str">
        <f>TEXT(calendar[[#This Row],[WeekDay]],"dddd")</f>
        <v>Tuesday</v>
      </c>
      <c r="I1873">
        <f>IF((INT(calendar[[#This Row],[Count]]/7)-calendar[[#This Row],[Count]]/7)&lt;0,I1872,I1872+1)</f>
        <v>268</v>
      </c>
      <c r="J1873">
        <f t="shared" si="149"/>
        <v>1871</v>
      </c>
      <c r="K1873">
        <f>IF(calendar[[#This Row],[Month]]&lt;4,1,IF(calendar[[#This Row],[Month]]&lt;7,2,IF(calendar[[#This Row],[Month]]&lt;10,3,4)))</f>
        <v>1</v>
      </c>
      <c r="L1873">
        <f>IFERROR(IF(VLOOKUP(calendar[[#This Row],[Date]],BH!A:A,1,)&lt;&gt;"",1,0),0)</f>
        <v>0</v>
      </c>
      <c r="M1873">
        <f>IFERROR(IF(VLOOKUP(calendar[[#This Row],[Date]],BH!C:C,1,)&lt;&gt;"",1,0),0)</f>
        <v>0</v>
      </c>
      <c r="N1873">
        <f>IFERROR(IF(VLOOKUP(calendar[[#This Row],[Date]],BH!E:E,1,)&lt;&gt;"",1,0),0)</f>
        <v>0</v>
      </c>
      <c r="O1873">
        <f>IFERROR(IF(VLOOKUP(calendar[[#This Row],[Date]],BH!G:G,1,)&lt;&gt;"",1,0),0)</f>
        <v>0</v>
      </c>
      <c r="P1873">
        <f>IF(OR(calendar[[#This Row],[UK_BH]]=1,calendar[[#This Row],[WeekDay]]=1, calendar[[#This Row],[WeekDay]]=7),P1872,P1872+1)</f>
        <v>1337</v>
      </c>
      <c r="Q1873">
        <f>IF(OR(calendar[[#This Row],[FR_BH]]=1,calendar[[#This Row],[WeekDay]]=1, calendar[[#This Row],[WeekDay]]=7),P1872,P1872+1)</f>
        <v>1337</v>
      </c>
      <c r="R1873">
        <f>IF(OR(calendar[[#This Row],[SP_BH]]=1,calendar[[#This Row],[WeekDay]]=1, calendar[[#This Row],[WeekDay]]=7),P1872,P1872+1)</f>
        <v>1337</v>
      </c>
      <c r="S1873">
        <f>IF(OR(calendar[[#This Row],[PT_BH]]=1,calendar[[#This Row],[WeekDay]]=1, calendar[[#This Row],[WeekDay]]=7),P1872,P1872+1)</f>
        <v>1337</v>
      </c>
    </row>
    <row r="1874" spans="1:19" x14ac:dyDescent="0.25">
      <c r="A1874" s="2">
        <v>44608</v>
      </c>
      <c r="B1874" s="1">
        <f t="shared" si="148"/>
        <v>8</v>
      </c>
      <c r="C1874">
        <f t="shared" si="150"/>
        <v>2</v>
      </c>
      <c r="D1874" t="str">
        <f t="shared" si="151"/>
        <v>February</v>
      </c>
      <c r="E1874">
        <f t="shared" si="152"/>
        <v>2022</v>
      </c>
      <c r="F1874" t="str">
        <f>CONCATENATE(calendar[[#This Row],[Month]],"/",calendar[[#This Row],[Year]])</f>
        <v>2/2022</v>
      </c>
      <c r="G1874">
        <f>WEEKDAY(calendar[[#This Row],[Date]],1)</f>
        <v>4</v>
      </c>
      <c r="H1874" t="str">
        <f>TEXT(calendar[[#This Row],[WeekDay]],"dddd")</f>
        <v>Wednesday</v>
      </c>
      <c r="I1874">
        <f>IF((INT(calendar[[#This Row],[Count]]/7)-calendar[[#This Row],[Count]]/7)&lt;0,I1873,I1873+1)</f>
        <v>268</v>
      </c>
      <c r="J1874">
        <f t="shared" si="149"/>
        <v>1872</v>
      </c>
      <c r="K1874">
        <f>IF(calendar[[#This Row],[Month]]&lt;4,1,IF(calendar[[#This Row],[Month]]&lt;7,2,IF(calendar[[#This Row],[Month]]&lt;10,3,4)))</f>
        <v>1</v>
      </c>
      <c r="L1874">
        <f>IFERROR(IF(VLOOKUP(calendar[[#This Row],[Date]],BH!A:A,1,)&lt;&gt;"",1,0),0)</f>
        <v>0</v>
      </c>
      <c r="M1874">
        <f>IFERROR(IF(VLOOKUP(calendar[[#This Row],[Date]],BH!C:C,1,)&lt;&gt;"",1,0),0)</f>
        <v>0</v>
      </c>
      <c r="N1874">
        <f>IFERROR(IF(VLOOKUP(calendar[[#This Row],[Date]],BH!E:E,1,)&lt;&gt;"",1,0),0)</f>
        <v>0</v>
      </c>
      <c r="O1874">
        <f>IFERROR(IF(VLOOKUP(calendar[[#This Row],[Date]],BH!G:G,1,)&lt;&gt;"",1,0),0)</f>
        <v>0</v>
      </c>
      <c r="P1874">
        <f>IF(OR(calendar[[#This Row],[UK_BH]]=1,calendar[[#This Row],[WeekDay]]=1, calendar[[#This Row],[WeekDay]]=7),P1873,P1873+1)</f>
        <v>1338</v>
      </c>
      <c r="Q1874">
        <f>IF(OR(calendar[[#This Row],[FR_BH]]=1,calendar[[#This Row],[WeekDay]]=1, calendar[[#This Row],[WeekDay]]=7),P1873,P1873+1)</f>
        <v>1338</v>
      </c>
      <c r="R1874">
        <f>IF(OR(calendar[[#This Row],[SP_BH]]=1,calendar[[#This Row],[WeekDay]]=1, calendar[[#This Row],[WeekDay]]=7),P1873,P1873+1)</f>
        <v>1338</v>
      </c>
      <c r="S1874">
        <f>IF(OR(calendar[[#This Row],[PT_BH]]=1,calendar[[#This Row],[WeekDay]]=1, calendar[[#This Row],[WeekDay]]=7),P1873,P1873+1)</f>
        <v>1338</v>
      </c>
    </row>
    <row r="1875" spans="1:19" x14ac:dyDescent="0.25">
      <c r="A1875" s="2">
        <v>44609</v>
      </c>
      <c r="B1875" s="1">
        <f t="shared" si="148"/>
        <v>8</v>
      </c>
      <c r="C1875">
        <f t="shared" si="150"/>
        <v>2</v>
      </c>
      <c r="D1875" t="str">
        <f t="shared" si="151"/>
        <v>February</v>
      </c>
      <c r="E1875">
        <f t="shared" si="152"/>
        <v>2022</v>
      </c>
      <c r="F1875" t="str">
        <f>CONCATENATE(calendar[[#This Row],[Month]],"/",calendar[[#This Row],[Year]])</f>
        <v>2/2022</v>
      </c>
      <c r="G1875">
        <f>WEEKDAY(calendar[[#This Row],[Date]],1)</f>
        <v>5</v>
      </c>
      <c r="H1875" t="str">
        <f>TEXT(calendar[[#This Row],[WeekDay]],"dddd")</f>
        <v>Thursday</v>
      </c>
      <c r="I1875">
        <f>IF((INT(calendar[[#This Row],[Count]]/7)-calendar[[#This Row],[Count]]/7)&lt;0,I1874,I1874+1)</f>
        <v>268</v>
      </c>
      <c r="J1875">
        <f t="shared" si="149"/>
        <v>1873</v>
      </c>
      <c r="K1875">
        <f>IF(calendar[[#This Row],[Month]]&lt;4,1,IF(calendar[[#This Row],[Month]]&lt;7,2,IF(calendar[[#This Row],[Month]]&lt;10,3,4)))</f>
        <v>1</v>
      </c>
      <c r="L1875">
        <f>IFERROR(IF(VLOOKUP(calendar[[#This Row],[Date]],BH!A:A,1,)&lt;&gt;"",1,0),0)</f>
        <v>0</v>
      </c>
      <c r="M1875">
        <f>IFERROR(IF(VLOOKUP(calendar[[#This Row],[Date]],BH!C:C,1,)&lt;&gt;"",1,0),0)</f>
        <v>0</v>
      </c>
      <c r="N1875">
        <f>IFERROR(IF(VLOOKUP(calendar[[#This Row],[Date]],BH!E:E,1,)&lt;&gt;"",1,0),0)</f>
        <v>0</v>
      </c>
      <c r="O1875">
        <f>IFERROR(IF(VLOOKUP(calendar[[#This Row],[Date]],BH!G:G,1,)&lt;&gt;"",1,0),0)</f>
        <v>0</v>
      </c>
      <c r="P1875">
        <f>IF(OR(calendar[[#This Row],[UK_BH]]=1,calendar[[#This Row],[WeekDay]]=1, calendar[[#This Row],[WeekDay]]=7),P1874,P1874+1)</f>
        <v>1339</v>
      </c>
      <c r="Q1875">
        <f>IF(OR(calendar[[#This Row],[FR_BH]]=1,calendar[[#This Row],[WeekDay]]=1, calendar[[#This Row],[WeekDay]]=7),P1874,P1874+1)</f>
        <v>1339</v>
      </c>
      <c r="R1875">
        <f>IF(OR(calendar[[#This Row],[SP_BH]]=1,calendar[[#This Row],[WeekDay]]=1, calendar[[#This Row],[WeekDay]]=7),P1874,P1874+1)</f>
        <v>1339</v>
      </c>
      <c r="S1875">
        <f>IF(OR(calendar[[#This Row],[PT_BH]]=1,calendar[[#This Row],[WeekDay]]=1, calendar[[#This Row],[WeekDay]]=7),P1874,P1874+1)</f>
        <v>1339</v>
      </c>
    </row>
    <row r="1876" spans="1:19" x14ac:dyDescent="0.25">
      <c r="A1876" s="2">
        <v>44610</v>
      </c>
      <c r="B1876" s="1">
        <f t="shared" si="148"/>
        <v>8</v>
      </c>
      <c r="C1876">
        <f t="shared" si="150"/>
        <v>2</v>
      </c>
      <c r="D1876" t="str">
        <f t="shared" si="151"/>
        <v>February</v>
      </c>
      <c r="E1876">
        <f t="shared" si="152"/>
        <v>2022</v>
      </c>
      <c r="F1876" t="str">
        <f>CONCATENATE(calendar[[#This Row],[Month]],"/",calendar[[#This Row],[Year]])</f>
        <v>2/2022</v>
      </c>
      <c r="G1876">
        <f>WEEKDAY(calendar[[#This Row],[Date]],1)</f>
        <v>6</v>
      </c>
      <c r="H1876" t="str">
        <f>TEXT(calendar[[#This Row],[WeekDay]],"dddd")</f>
        <v>Friday</v>
      </c>
      <c r="I1876">
        <f>IF((INT(calendar[[#This Row],[Count]]/7)-calendar[[#This Row],[Count]]/7)&lt;0,I1875,I1875+1)</f>
        <v>268</v>
      </c>
      <c r="J1876">
        <f t="shared" si="149"/>
        <v>1874</v>
      </c>
      <c r="K1876">
        <f>IF(calendar[[#This Row],[Month]]&lt;4,1,IF(calendar[[#This Row],[Month]]&lt;7,2,IF(calendar[[#This Row],[Month]]&lt;10,3,4)))</f>
        <v>1</v>
      </c>
      <c r="L1876">
        <f>IFERROR(IF(VLOOKUP(calendar[[#This Row],[Date]],BH!A:A,1,)&lt;&gt;"",1,0),0)</f>
        <v>0</v>
      </c>
      <c r="M1876">
        <f>IFERROR(IF(VLOOKUP(calendar[[#This Row],[Date]],BH!C:C,1,)&lt;&gt;"",1,0),0)</f>
        <v>0</v>
      </c>
      <c r="N1876">
        <f>IFERROR(IF(VLOOKUP(calendar[[#This Row],[Date]],BH!E:E,1,)&lt;&gt;"",1,0),0)</f>
        <v>0</v>
      </c>
      <c r="O1876">
        <f>IFERROR(IF(VLOOKUP(calendar[[#This Row],[Date]],BH!G:G,1,)&lt;&gt;"",1,0),0)</f>
        <v>0</v>
      </c>
      <c r="P1876">
        <f>IF(OR(calendar[[#This Row],[UK_BH]]=1,calendar[[#This Row],[WeekDay]]=1, calendar[[#This Row],[WeekDay]]=7),P1875,P1875+1)</f>
        <v>1340</v>
      </c>
      <c r="Q1876">
        <f>IF(OR(calendar[[#This Row],[FR_BH]]=1,calendar[[#This Row],[WeekDay]]=1, calendar[[#This Row],[WeekDay]]=7),P1875,P1875+1)</f>
        <v>1340</v>
      </c>
      <c r="R1876">
        <f>IF(OR(calendar[[#This Row],[SP_BH]]=1,calendar[[#This Row],[WeekDay]]=1, calendar[[#This Row],[WeekDay]]=7),P1875,P1875+1)</f>
        <v>1340</v>
      </c>
      <c r="S1876">
        <f>IF(OR(calendar[[#This Row],[PT_BH]]=1,calendar[[#This Row],[WeekDay]]=1, calendar[[#This Row],[WeekDay]]=7),P1875,P1875+1)</f>
        <v>1340</v>
      </c>
    </row>
    <row r="1877" spans="1:19" x14ac:dyDescent="0.25">
      <c r="A1877" s="2">
        <v>44611</v>
      </c>
      <c r="B1877" s="1">
        <f t="shared" si="148"/>
        <v>8</v>
      </c>
      <c r="C1877">
        <f t="shared" si="150"/>
        <v>2</v>
      </c>
      <c r="D1877" t="str">
        <f t="shared" si="151"/>
        <v>February</v>
      </c>
      <c r="E1877">
        <f t="shared" si="152"/>
        <v>2022</v>
      </c>
      <c r="F1877" t="str">
        <f>CONCATENATE(calendar[[#This Row],[Month]],"/",calendar[[#This Row],[Year]])</f>
        <v>2/2022</v>
      </c>
      <c r="G1877">
        <f>WEEKDAY(calendar[[#This Row],[Date]],1)</f>
        <v>7</v>
      </c>
      <c r="H1877" t="str">
        <f>TEXT(calendar[[#This Row],[WeekDay]],"dddd")</f>
        <v>Saturday</v>
      </c>
      <c r="I1877">
        <f>IF((INT(calendar[[#This Row],[Count]]/7)-calendar[[#This Row],[Count]]/7)&lt;0,I1876,I1876+1)</f>
        <v>268</v>
      </c>
      <c r="J1877">
        <f t="shared" si="149"/>
        <v>1875</v>
      </c>
      <c r="K1877">
        <f>IF(calendar[[#This Row],[Month]]&lt;4,1,IF(calendar[[#This Row],[Month]]&lt;7,2,IF(calendar[[#This Row],[Month]]&lt;10,3,4)))</f>
        <v>1</v>
      </c>
      <c r="L1877">
        <f>IFERROR(IF(VLOOKUP(calendar[[#This Row],[Date]],BH!A:A,1,)&lt;&gt;"",1,0),0)</f>
        <v>0</v>
      </c>
      <c r="M1877">
        <f>IFERROR(IF(VLOOKUP(calendar[[#This Row],[Date]],BH!C:C,1,)&lt;&gt;"",1,0),0)</f>
        <v>0</v>
      </c>
      <c r="N1877">
        <f>IFERROR(IF(VLOOKUP(calendar[[#This Row],[Date]],BH!E:E,1,)&lt;&gt;"",1,0),0)</f>
        <v>0</v>
      </c>
      <c r="O1877">
        <f>IFERROR(IF(VLOOKUP(calendar[[#This Row],[Date]],BH!G:G,1,)&lt;&gt;"",1,0),0)</f>
        <v>0</v>
      </c>
      <c r="P1877">
        <f>IF(OR(calendar[[#This Row],[UK_BH]]=1,calendar[[#This Row],[WeekDay]]=1, calendar[[#This Row],[WeekDay]]=7),P1876,P1876+1)</f>
        <v>1340</v>
      </c>
      <c r="Q1877">
        <f>IF(OR(calendar[[#This Row],[FR_BH]]=1,calendar[[#This Row],[WeekDay]]=1, calendar[[#This Row],[WeekDay]]=7),P1876,P1876+1)</f>
        <v>1340</v>
      </c>
      <c r="R1877">
        <f>IF(OR(calendar[[#This Row],[SP_BH]]=1,calendar[[#This Row],[WeekDay]]=1, calendar[[#This Row],[WeekDay]]=7),P1876,P1876+1)</f>
        <v>1340</v>
      </c>
      <c r="S1877">
        <f>IF(OR(calendar[[#This Row],[PT_BH]]=1,calendar[[#This Row],[WeekDay]]=1, calendar[[#This Row],[WeekDay]]=7),P1876,P1876+1)</f>
        <v>1340</v>
      </c>
    </row>
    <row r="1878" spans="1:19" x14ac:dyDescent="0.25">
      <c r="A1878" s="2">
        <v>44612</v>
      </c>
      <c r="B1878" s="1">
        <f t="shared" si="148"/>
        <v>9</v>
      </c>
      <c r="C1878">
        <f t="shared" si="150"/>
        <v>2</v>
      </c>
      <c r="D1878" t="str">
        <f t="shared" si="151"/>
        <v>February</v>
      </c>
      <c r="E1878">
        <f t="shared" si="152"/>
        <v>2022</v>
      </c>
      <c r="F1878" t="str">
        <f>CONCATENATE(calendar[[#This Row],[Month]],"/",calendar[[#This Row],[Year]])</f>
        <v>2/2022</v>
      </c>
      <c r="G1878">
        <f>WEEKDAY(calendar[[#This Row],[Date]],1)</f>
        <v>1</v>
      </c>
      <c r="H1878" t="str">
        <f>TEXT(calendar[[#This Row],[WeekDay]],"dddd")</f>
        <v>Sunday</v>
      </c>
      <c r="I1878">
        <f>IF((INT(calendar[[#This Row],[Count]]/7)-calendar[[#This Row],[Count]]/7)&lt;0,I1877,I1877+1)</f>
        <v>269</v>
      </c>
      <c r="J1878">
        <f t="shared" si="149"/>
        <v>1876</v>
      </c>
      <c r="K1878">
        <f>IF(calendar[[#This Row],[Month]]&lt;4,1,IF(calendar[[#This Row],[Month]]&lt;7,2,IF(calendar[[#This Row],[Month]]&lt;10,3,4)))</f>
        <v>1</v>
      </c>
      <c r="L1878">
        <f>IFERROR(IF(VLOOKUP(calendar[[#This Row],[Date]],BH!A:A,1,)&lt;&gt;"",1,0),0)</f>
        <v>0</v>
      </c>
      <c r="M1878">
        <f>IFERROR(IF(VLOOKUP(calendar[[#This Row],[Date]],BH!C:C,1,)&lt;&gt;"",1,0),0)</f>
        <v>0</v>
      </c>
      <c r="N1878">
        <f>IFERROR(IF(VLOOKUP(calendar[[#This Row],[Date]],BH!E:E,1,)&lt;&gt;"",1,0),0)</f>
        <v>0</v>
      </c>
      <c r="O1878">
        <f>IFERROR(IF(VLOOKUP(calendar[[#This Row],[Date]],BH!G:G,1,)&lt;&gt;"",1,0),0)</f>
        <v>0</v>
      </c>
      <c r="P1878">
        <f>IF(OR(calendar[[#This Row],[UK_BH]]=1,calendar[[#This Row],[WeekDay]]=1, calendar[[#This Row],[WeekDay]]=7),P1877,P1877+1)</f>
        <v>1340</v>
      </c>
      <c r="Q1878">
        <f>IF(OR(calendar[[#This Row],[FR_BH]]=1,calendar[[#This Row],[WeekDay]]=1, calendar[[#This Row],[WeekDay]]=7),P1877,P1877+1)</f>
        <v>1340</v>
      </c>
      <c r="R1878">
        <f>IF(OR(calendar[[#This Row],[SP_BH]]=1,calendar[[#This Row],[WeekDay]]=1, calendar[[#This Row],[WeekDay]]=7),P1877,P1877+1)</f>
        <v>1340</v>
      </c>
      <c r="S1878">
        <f>IF(OR(calendar[[#This Row],[PT_BH]]=1,calendar[[#This Row],[WeekDay]]=1, calendar[[#This Row],[WeekDay]]=7),P1877,P1877+1)</f>
        <v>1340</v>
      </c>
    </row>
    <row r="1879" spans="1:19" x14ac:dyDescent="0.25">
      <c r="A1879" s="2">
        <v>44613</v>
      </c>
      <c r="B1879" s="1">
        <f t="shared" si="148"/>
        <v>9</v>
      </c>
      <c r="C1879">
        <f t="shared" si="150"/>
        <v>2</v>
      </c>
      <c r="D1879" t="str">
        <f t="shared" si="151"/>
        <v>February</v>
      </c>
      <c r="E1879">
        <f t="shared" si="152"/>
        <v>2022</v>
      </c>
      <c r="F1879" t="str">
        <f>CONCATENATE(calendar[[#This Row],[Month]],"/",calendar[[#This Row],[Year]])</f>
        <v>2/2022</v>
      </c>
      <c r="G1879">
        <f>WEEKDAY(calendar[[#This Row],[Date]],1)</f>
        <v>2</v>
      </c>
      <c r="H1879" t="str">
        <f>TEXT(calendar[[#This Row],[WeekDay]],"dddd")</f>
        <v>Monday</v>
      </c>
      <c r="I1879">
        <f>IF((INT(calendar[[#This Row],[Count]]/7)-calendar[[#This Row],[Count]]/7)&lt;0,I1878,I1878+1)</f>
        <v>269</v>
      </c>
      <c r="J1879">
        <f t="shared" si="149"/>
        <v>1877</v>
      </c>
      <c r="K1879">
        <f>IF(calendar[[#This Row],[Month]]&lt;4,1,IF(calendar[[#This Row],[Month]]&lt;7,2,IF(calendar[[#This Row],[Month]]&lt;10,3,4)))</f>
        <v>1</v>
      </c>
      <c r="L1879">
        <f>IFERROR(IF(VLOOKUP(calendar[[#This Row],[Date]],BH!A:A,1,)&lt;&gt;"",1,0),0)</f>
        <v>0</v>
      </c>
      <c r="M1879">
        <f>IFERROR(IF(VLOOKUP(calendar[[#This Row],[Date]],BH!C:C,1,)&lt;&gt;"",1,0),0)</f>
        <v>0</v>
      </c>
      <c r="N1879">
        <f>IFERROR(IF(VLOOKUP(calendar[[#This Row],[Date]],BH!E:E,1,)&lt;&gt;"",1,0),0)</f>
        <v>0</v>
      </c>
      <c r="O1879">
        <f>IFERROR(IF(VLOOKUP(calendar[[#This Row],[Date]],BH!G:G,1,)&lt;&gt;"",1,0),0)</f>
        <v>0</v>
      </c>
      <c r="P1879">
        <f>IF(OR(calendar[[#This Row],[UK_BH]]=1,calendar[[#This Row],[WeekDay]]=1, calendar[[#This Row],[WeekDay]]=7),P1878,P1878+1)</f>
        <v>1341</v>
      </c>
      <c r="Q1879">
        <f>IF(OR(calendar[[#This Row],[FR_BH]]=1,calendar[[#This Row],[WeekDay]]=1, calendar[[#This Row],[WeekDay]]=7),P1878,P1878+1)</f>
        <v>1341</v>
      </c>
      <c r="R1879">
        <f>IF(OR(calendar[[#This Row],[SP_BH]]=1,calendar[[#This Row],[WeekDay]]=1, calendar[[#This Row],[WeekDay]]=7),P1878,P1878+1)</f>
        <v>1341</v>
      </c>
      <c r="S1879">
        <f>IF(OR(calendar[[#This Row],[PT_BH]]=1,calendar[[#This Row],[WeekDay]]=1, calendar[[#This Row],[WeekDay]]=7),P1878,P1878+1)</f>
        <v>1341</v>
      </c>
    </row>
    <row r="1880" spans="1:19" x14ac:dyDescent="0.25">
      <c r="A1880" s="2">
        <v>44614</v>
      </c>
      <c r="B1880" s="1">
        <f t="shared" si="148"/>
        <v>9</v>
      </c>
      <c r="C1880">
        <f t="shared" si="150"/>
        <v>2</v>
      </c>
      <c r="D1880" t="str">
        <f t="shared" si="151"/>
        <v>February</v>
      </c>
      <c r="E1880">
        <f t="shared" si="152"/>
        <v>2022</v>
      </c>
      <c r="F1880" t="str">
        <f>CONCATENATE(calendar[[#This Row],[Month]],"/",calendar[[#This Row],[Year]])</f>
        <v>2/2022</v>
      </c>
      <c r="G1880">
        <f>WEEKDAY(calendar[[#This Row],[Date]],1)</f>
        <v>3</v>
      </c>
      <c r="H1880" t="str">
        <f>TEXT(calendar[[#This Row],[WeekDay]],"dddd")</f>
        <v>Tuesday</v>
      </c>
      <c r="I1880">
        <f>IF((INT(calendar[[#This Row],[Count]]/7)-calendar[[#This Row],[Count]]/7)&lt;0,I1879,I1879+1)</f>
        <v>269</v>
      </c>
      <c r="J1880">
        <f t="shared" si="149"/>
        <v>1878</v>
      </c>
      <c r="K1880">
        <f>IF(calendar[[#This Row],[Month]]&lt;4,1,IF(calendar[[#This Row],[Month]]&lt;7,2,IF(calendar[[#This Row],[Month]]&lt;10,3,4)))</f>
        <v>1</v>
      </c>
      <c r="L1880">
        <f>IFERROR(IF(VLOOKUP(calendar[[#This Row],[Date]],BH!A:A,1,)&lt;&gt;"",1,0),0)</f>
        <v>0</v>
      </c>
      <c r="M1880">
        <f>IFERROR(IF(VLOOKUP(calendar[[#This Row],[Date]],BH!C:C,1,)&lt;&gt;"",1,0),0)</f>
        <v>0</v>
      </c>
      <c r="N1880">
        <f>IFERROR(IF(VLOOKUP(calendar[[#This Row],[Date]],BH!E:E,1,)&lt;&gt;"",1,0),0)</f>
        <v>0</v>
      </c>
      <c r="O1880">
        <f>IFERROR(IF(VLOOKUP(calendar[[#This Row],[Date]],BH!G:G,1,)&lt;&gt;"",1,0),0)</f>
        <v>0</v>
      </c>
      <c r="P1880">
        <f>IF(OR(calendar[[#This Row],[UK_BH]]=1,calendar[[#This Row],[WeekDay]]=1, calendar[[#This Row],[WeekDay]]=7),P1879,P1879+1)</f>
        <v>1342</v>
      </c>
      <c r="Q1880">
        <f>IF(OR(calendar[[#This Row],[FR_BH]]=1,calendar[[#This Row],[WeekDay]]=1, calendar[[#This Row],[WeekDay]]=7),P1879,P1879+1)</f>
        <v>1342</v>
      </c>
      <c r="R1880">
        <f>IF(OR(calendar[[#This Row],[SP_BH]]=1,calendar[[#This Row],[WeekDay]]=1, calendar[[#This Row],[WeekDay]]=7),P1879,P1879+1)</f>
        <v>1342</v>
      </c>
      <c r="S1880">
        <f>IF(OR(calendar[[#This Row],[PT_BH]]=1,calendar[[#This Row],[WeekDay]]=1, calendar[[#This Row],[WeekDay]]=7),P1879,P1879+1)</f>
        <v>1342</v>
      </c>
    </row>
    <row r="1881" spans="1:19" x14ac:dyDescent="0.25">
      <c r="A1881" s="2">
        <v>44615</v>
      </c>
      <c r="B1881" s="1">
        <f t="shared" si="148"/>
        <v>9</v>
      </c>
      <c r="C1881">
        <f t="shared" si="150"/>
        <v>2</v>
      </c>
      <c r="D1881" t="str">
        <f t="shared" si="151"/>
        <v>February</v>
      </c>
      <c r="E1881">
        <f t="shared" si="152"/>
        <v>2022</v>
      </c>
      <c r="F1881" t="str">
        <f>CONCATENATE(calendar[[#This Row],[Month]],"/",calendar[[#This Row],[Year]])</f>
        <v>2/2022</v>
      </c>
      <c r="G1881">
        <f>WEEKDAY(calendar[[#This Row],[Date]],1)</f>
        <v>4</v>
      </c>
      <c r="H1881" t="str">
        <f>TEXT(calendar[[#This Row],[WeekDay]],"dddd")</f>
        <v>Wednesday</v>
      </c>
      <c r="I1881">
        <f>IF((INT(calendar[[#This Row],[Count]]/7)-calendar[[#This Row],[Count]]/7)&lt;0,I1880,I1880+1)</f>
        <v>269</v>
      </c>
      <c r="J1881">
        <f t="shared" si="149"/>
        <v>1879</v>
      </c>
      <c r="K1881">
        <f>IF(calendar[[#This Row],[Month]]&lt;4,1,IF(calendar[[#This Row],[Month]]&lt;7,2,IF(calendar[[#This Row],[Month]]&lt;10,3,4)))</f>
        <v>1</v>
      </c>
      <c r="L1881">
        <f>IFERROR(IF(VLOOKUP(calendar[[#This Row],[Date]],BH!A:A,1,)&lt;&gt;"",1,0),0)</f>
        <v>0</v>
      </c>
      <c r="M1881">
        <f>IFERROR(IF(VLOOKUP(calendar[[#This Row],[Date]],BH!C:C,1,)&lt;&gt;"",1,0),0)</f>
        <v>0</v>
      </c>
      <c r="N1881">
        <f>IFERROR(IF(VLOOKUP(calendar[[#This Row],[Date]],BH!E:E,1,)&lt;&gt;"",1,0),0)</f>
        <v>0</v>
      </c>
      <c r="O1881">
        <f>IFERROR(IF(VLOOKUP(calendar[[#This Row],[Date]],BH!G:G,1,)&lt;&gt;"",1,0),0)</f>
        <v>0</v>
      </c>
      <c r="P1881">
        <f>IF(OR(calendar[[#This Row],[UK_BH]]=1,calendar[[#This Row],[WeekDay]]=1, calendar[[#This Row],[WeekDay]]=7),P1880,P1880+1)</f>
        <v>1343</v>
      </c>
      <c r="Q1881">
        <f>IF(OR(calendar[[#This Row],[FR_BH]]=1,calendar[[#This Row],[WeekDay]]=1, calendar[[#This Row],[WeekDay]]=7),P1880,P1880+1)</f>
        <v>1343</v>
      </c>
      <c r="R1881">
        <f>IF(OR(calendar[[#This Row],[SP_BH]]=1,calendar[[#This Row],[WeekDay]]=1, calendar[[#This Row],[WeekDay]]=7),P1880,P1880+1)</f>
        <v>1343</v>
      </c>
      <c r="S1881">
        <f>IF(OR(calendar[[#This Row],[PT_BH]]=1,calendar[[#This Row],[WeekDay]]=1, calendar[[#This Row],[WeekDay]]=7),P1880,P1880+1)</f>
        <v>1343</v>
      </c>
    </row>
    <row r="1882" spans="1:19" x14ac:dyDescent="0.25">
      <c r="A1882" s="2">
        <v>44616</v>
      </c>
      <c r="B1882" s="1">
        <f t="shared" si="148"/>
        <v>9</v>
      </c>
      <c r="C1882">
        <f t="shared" si="150"/>
        <v>2</v>
      </c>
      <c r="D1882" t="str">
        <f t="shared" si="151"/>
        <v>February</v>
      </c>
      <c r="E1882">
        <f t="shared" si="152"/>
        <v>2022</v>
      </c>
      <c r="F1882" t="str">
        <f>CONCATENATE(calendar[[#This Row],[Month]],"/",calendar[[#This Row],[Year]])</f>
        <v>2/2022</v>
      </c>
      <c r="G1882">
        <f>WEEKDAY(calendar[[#This Row],[Date]],1)</f>
        <v>5</v>
      </c>
      <c r="H1882" t="str">
        <f>TEXT(calendar[[#This Row],[WeekDay]],"dddd")</f>
        <v>Thursday</v>
      </c>
      <c r="I1882">
        <f>IF((INT(calendar[[#This Row],[Count]]/7)-calendar[[#This Row],[Count]]/7)&lt;0,I1881,I1881+1)</f>
        <v>269</v>
      </c>
      <c r="J1882">
        <f t="shared" si="149"/>
        <v>1880</v>
      </c>
      <c r="K1882">
        <f>IF(calendar[[#This Row],[Month]]&lt;4,1,IF(calendar[[#This Row],[Month]]&lt;7,2,IF(calendar[[#This Row],[Month]]&lt;10,3,4)))</f>
        <v>1</v>
      </c>
      <c r="L1882">
        <f>IFERROR(IF(VLOOKUP(calendar[[#This Row],[Date]],BH!A:A,1,)&lt;&gt;"",1,0),0)</f>
        <v>0</v>
      </c>
      <c r="M1882">
        <f>IFERROR(IF(VLOOKUP(calendar[[#This Row],[Date]],BH!C:C,1,)&lt;&gt;"",1,0),0)</f>
        <v>0</v>
      </c>
      <c r="N1882">
        <f>IFERROR(IF(VLOOKUP(calendar[[#This Row],[Date]],BH!E:E,1,)&lt;&gt;"",1,0),0)</f>
        <v>0</v>
      </c>
      <c r="O1882">
        <f>IFERROR(IF(VLOOKUP(calendar[[#This Row],[Date]],BH!G:G,1,)&lt;&gt;"",1,0),0)</f>
        <v>0</v>
      </c>
      <c r="P1882">
        <f>IF(OR(calendar[[#This Row],[UK_BH]]=1,calendar[[#This Row],[WeekDay]]=1, calendar[[#This Row],[WeekDay]]=7),P1881,P1881+1)</f>
        <v>1344</v>
      </c>
      <c r="Q1882">
        <f>IF(OR(calendar[[#This Row],[FR_BH]]=1,calendar[[#This Row],[WeekDay]]=1, calendar[[#This Row],[WeekDay]]=7),P1881,P1881+1)</f>
        <v>1344</v>
      </c>
      <c r="R1882">
        <f>IF(OR(calendar[[#This Row],[SP_BH]]=1,calendar[[#This Row],[WeekDay]]=1, calendar[[#This Row],[WeekDay]]=7),P1881,P1881+1)</f>
        <v>1344</v>
      </c>
      <c r="S1882">
        <f>IF(OR(calendar[[#This Row],[PT_BH]]=1,calendar[[#This Row],[WeekDay]]=1, calendar[[#This Row],[WeekDay]]=7),P1881,P1881+1)</f>
        <v>1344</v>
      </c>
    </row>
    <row r="1883" spans="1:19" x14ac:dyDescent="0.25">
      <c r="A1883" s="2">
        <v>44617</v>
      </c>
      <c r="B1883" s="1">
        <f t="shared" si="148"/>
        <v>9</v>
      </c>
      <c r="C1883">
        <f t="shared" si="150"/>
        <v>2</v>
      </c>
      <c r="D1883" t="str">
        <f t="shared" si="151"/>
        <v>February</v>
      </c>
      <c r="E1883">
        <f t="shared" si="152"/>
        <v>2022</v>
      </c>
      <c r="F1883" t="str">
        <f>CONCATENATE(calendar[[#This Row],[Month]],"/",calendar[[#This Row],[Year]])</f>
        <v>2/2022</v>
      </c>
      <c r="G1883">
        <f>WEEKDAY(calendar[[#This Row],[Date]],1)</f>
        <v>6</v>
      </c>
      <c r="H1883" t="str">
        <f>TEXT(calendar[[#This Row],[WeekDay]],"dddd")</f>
        <v>Friday</v>
      </c>
      <c r="I1883">
        <f>IF((INT(calendar[[#This Row],[Count]]/7)-calendar[[#This Row],[Count]]/7)&lt;0,I1882,I1882+1)</f>
        <v>269</v>
      </c>
      <c r="J1883">
        <f t="shared" si="149"/>
        <v>1881</v>
      </c>
      <c r="K1883">
        <f>IF(calendar[[#This Row],[Month]]&lt;4,1,IF(calendar[[#This Row],[Month]]&lt;7,2,IF(calendar[[#This Row],[Month]]&lt;10,3,4)))</f>
        <v>1</v>
      </c>
      <c r="L1883">
        <f>IFERROR(IF(VLOOKUP(calendar[[#This Row],[Date]],BH!A:A,1,)&lt;&gt;"",1,0),0)</f>
        <v>0</v>
      </c>
      <c r="M1883">
        <f>IFERROR(IF(VLOOKUP(calendar[[#This Row],[Date]],BH!C:C,1,)&lt;&gt;"",1,0),0)</f>
        <v>0</v>
      </c>
      <c r="N1883">
        <f>IFERROR(IF(VLOOKUP(calendar[[#This Row],[Date]],BH!E:E,1,)&lt;&gt;"",1,0),0)</f>
        <v>0</v>
      </c>
      <c r="O1883">
        <f>IFERROR(IF(VLOOKUP(calendar[[#This Row],[Date]],BH!G:G,1,)&lt;&gt;"",1,0),0)</f>
        <v>0</v>
      </c>
      <c r="P1883">
        <f>IF(OR(calendar[[#This Row],[UK_BH]]=1,calendar[[#This Row],[WeekDay]]=1, calendar[[#This Row],[WeekDay]]=7),P1882,P1882+1)</f>
        <v>1345</v>
      </c>
      <c r="Q1883">
        <f>IF(OR(calendar[[#This Row],[FR_BH]]=1,calendar[[#This Row],[WeekDay]]=1, calendar[[#This Row],[WeekDay]]=7),P1882,P1882+1)</f>
        <v>1345</v>
      </c>
      <c r="R1883">
        <f>IF(OR(calendar[[#This Row],[SP_BH]]=1,calendar[[#This Row],[WeekDay]]=1, calendar[[#This Row],[WeekDay]]=7),P1882,P1882+1)</f>
        <v>1345</v>
      </c>
      <c r="S1883">
        <f>IF(OR(calendar[[#This Row],[PT_BH]]=1,calendar[[#This Row],[WeekDay]]=1, calendar[[#This Row],[WeekDay]]=7),P1882,P1882+1)</f>
        <v>1345</v>
      </c>
    </row>
    <row r="1884" spans="1:19" x14ac:dyDescent="0.25">
      <c r="A1884" s="2">
        <v>44618</v>
      </c>
      <c r="B1884" s="1">
        <f t="shared" si="148"/>
        <v>9</v>
      </c>
      <c r="C1884">
        <f t="shared" si="150"/>
        <v>2</v>
      </c>
      <c r="D1884" t="str">
        <f t="shared" si="151"/>
        <v>February</v>
      </c>
      <c r="E1884">
        <f t="shared" si="152"/>
        <v>2022</v>
      </c>
      <c r="F1884" t="str">
        <f>CONCATENATE(calendar[[#This Row],[Month]],"/",calendar[[#This Row],[Year]])</f>
        <v>2/2022</v>
      </c>
      <c r="G1884">
        <f>WEEKDAY(calendar[[#This Row],[Date]],1)</f>
        <v>7</v>
      </c>
      <c r="H1884" t="str">
        <f>TEXT(calendar[[#This Row],[WeekDay]],"dddd")</f>
        <v>Saturday</v>
      </c>
      <c r="I1884">
        <f>IF((INT(calendar[[#This Row],[Count]]/7)-calendar[[#This Row],[Count]]/7)&lt;0,I1883,I1883+1)</f>
        <v>269</v>
      </c>
      <c r="J1884">
        <f t="shared" si="149"/>
        <v>1882</v>
      </c>
      <c r="K1884">
        <f>IF(calendar[[#This Row],[Month]]&lt;4,1,IF(calendar[[#This Row],[Month]]&lt;7,2,IF(calendar[[#This Row],[Month]]&lt;10,3,4)))</f>
        <v>1</v>
      </c>
      <c r="L1884">
        <f>IFERROR(IF(VLOOKUP(calendar[[#This Row],[Date]],BH!A:A,1,)&lt;&gt;"",1,0),0)</f>
        <v>0</v>
      </c>
      <c r="M1884">
        <f>IFERROR(IF(VLOOKUP(calendar[[#This Row],[Date]],BH!C:C,1,)&lt;&gt;"",1,0),0)</f>
        <v>0</v>
      </c>
      <c r="N1884">
        <f>IFERROR(IF(VLOOKUP(calendar[[#This Row],[Date]],BH!E:E,1,)&lt;&gt;"",1,0),0)</f>
        <v>0</v>
      </c>
      <c r="O1884">
        <f>IFERROR(IF(VLOOKUP(calendar[[#This Row],[Date]],BH!G:G,1,)&lt;&gt;"",1,0),0)</f>
        <v>0</v>
      </c>
      <c r="P1884">
        <f>IF(OR(calendar[[#This Row],[UK_BH]]=1,calendar[[#This Row],[WeekDay]]=1, calendar[[#This Row],[WeekDay]]=7),P1883,P1883+1)</f>
        <v>1345</v>
      </c>
      <c r="Q1884">
        <f>IF(OR(calendar[[#This Row],[FR_BH]]=1,calendar[[#This Row],[WeekDay]]=1, calendar[[#This Row],[WeekDay]]=7),P1883,P1883+1)</f>
        <v>1345</v>
      </c>
      <c r="R1884">
        <f>IF(OR(calendar[[#This Row],[SP_BH]]=1,calendar[[#This Row],[WeekDay]]=1, calendar[[#This Row],[WeekDay]]=7),P1883,P1883+1)</f>
        <v>1345</v>
      </c>
      <c r="S1884">
        <f>IF(OR(calendar[[#This Row],[PT_BH]]=1,calendar[[#This Row],[WeekDay]]=1, calendar[[#This Row],[WeekDay]]=7),P1883,P1883+1)</f>
        <v>1345</v>
      </c>
    </row>
    <row r="1885" spans="1:19" x14ac:dyDescent="0.25">
      <c r="A1885" s="2">
        <v>44619</v>
      </c>
      <c r="B1885" s="1">
        <f t="shared" si="148"/>
        <v>10</v>
      </c>
      <c r="C1885">
        <f t="shared" si="150"/>
        <v>2</v>
      </c>
      <c r="D1885" t="str">
        <f t="shared" si="151"/>
        <v>February</v>
      </c>
      <c r="E1885">
        <f t="shared" si="152"/>
        <v>2022</v>
      </c>
      <c r="F1885" t="str">
        <f>CONCATENATE(calendar[[#This Row],[Month]],"/",calendar[[#This Row],[Year]])</f>
        <v>2/2022</v>
      </c>
      <c r="G1885">
        <f>WEEKDAY(calendar[[#This Row],[Date]],1)</f>
        <v>1</v>
      </c>
      <c r="H1885" t="str">
        <f>TEXT(calendar[[#This Row],[WeekDay]],"dddd")</f>
        <v>Sunday</v>
      </c>
      <c r="I1885">
        <f>IF((INT(calendar[[#This Row],[Count]]/7)-calendar[[#This Row],[Count]]/7)&lt;0,I1884,I1884+1)</f>
        <v>270</v>
      </c>
      <c r="J1885">
        <f t="shared" si="149"/>
        <v>1883</v>
      </c>
      <c r="K1885">
        <f>IF(calendar[[#This Row],[Month]]&lt;4,1,IF(calendar[[#This Row],[Month]]&lt;7,2,IF(calendar[[#This Row],[Month]]&lt;10,3,4)))</f>
        <v>1</v>
      </c>
      <c r="L1885">
        <f>IFERROR(IF(VLOOKUP(calendar[[#This Row],[Date]],BH!A:A,1,)&lt;&gt;"",1,0),0)</f>
        <v>0</v>
      </c>
      <c r="M1885">
        <f>IFERROR(IF(VLOOKUP(calendar[[#This Row],[Date]],BH!C:C,1,)&lt;&gt;"",1,0),0)</f>
        <v>0</v>
      </c>
      <c r="N1885">
        <f>IFERROR(IF(VLOOKUP(calendar[[#This Row],[Date]],BH!E:E,1,)&lt;&gt;"",1,0),0)</f>
        <v>0</v>
      </c>
      <c r="O1885">
        <f>IFERROR(IF(VLOOKUP(calendar[[#This Row],[Date]],BH!G:G,1,)&lt;&gt;"",1,0),0)</f>
        <v>0</v>
      </c>
      <c r="P1885">
        <f>IF(OR(calendar[[#This Row],[UK_BH]]=1,calendar[[#This Row],[WeekDay]]=1, calendar[[#This Row],[WeekDay]]=7),P1884,P1884+1)</f>
        <v>1345</v>
      </c>
      <c r="Q1885">
        <f>IF(OR(calendar[[#This Row],[FR_BH]]=1,calendar[[#This Row],[WeekDay]]=1, calendar[[#This Row],[WeekDay]]=7),P1884,P1884+1)</f>
        <v>1345</v>
      </c>
      <c r="R1885">
        <f>IF(OR(calendar[[#This Row],[SP_BH]]=1,calendar[[#This Row],[WeekDay]]=1, calendar[[#This Row],[WeekDay]]=7),P1884,P1884+1)</f>
        <v>1345</v>
      </c>
      <c r="S1885">
        <f>IF(OR(calendar[[#This Row],[PT_BH]]=1,calendar[[#This Row],[WeekDay]]=1, calendar[[#This Row],[WeekDay]]=7),P1884,P1884+1)</f>
        <v>1345</v>
      </c>
    </row>
    <row r="1886" spans="1:19" x14ac:dyDescent="0.25">
      <c r="A1886" s="2">
        <v>44620</v>
      </c>
      <c r="B1886" s="1">
        <f t="shared" si="148"/>
        <v>10</v>
      </c>
      <c r="C1886">
        <f t="shared" si="150"/>
        <v>2</v>
      </c>
      <c r="D1886" t="str">
        <f t="shared" si="151"/>
        <v>February</v>
      </c>
      <c r="E1886">
        <f t="shared" si="152"/>
        <v>2022</v>
      </c>
      <c r="F1886" t="str">
        <f>CONCATENATE(calendar[[#This Row],[Month]],"/",calendar[[#This Row],[Year]])</f>
        <v>2/2022</v>
      </c>
      <c r="G1886">
        <f>WEEKDAY(calendar[[#This Row],[Date]],1)</f>
        <v>2</v>
      </c>
      <c r="H1886" t="str">
        <f>TEXT(calendar[[#This Row],[WeekDay]],"dddd")</f>
        <v>Monday</v>
      </c>
      <c r="I1886">
        <f>IF((INT(calendar[[#This Row],[Count]]/7)-calendar[[#This Row],[Count]]/7)&lt;0,I1885,I1885+1)</f>
        <v>270</v>
      </c>
      <c r="J1886">
        <f t="shared" si="149"/>
        <v>1884</v>
      </c>
      <c r="K1886">
        <f>IF(calendar[[#This Row],[Month]]&lt;4,1,IF(calendar[[#This Row],[Month]]&lt;7,2,IF(calendar[[#This Row],[Month]]&lt;10,3,4)))</f>
        <v>1</v>
      </c>
      <c r="L1886">
        <f>IFERROR(IF(VLOOKUP(calendar[[#This Row],[Date]],BH!A:A,1,)&lt;&gt;"",1,0),0)</f>
        <v>0</v>
      </c>
      <c r="M1886">
        <f>IFERROR(IF(VLOOKUP(calendar[[#This Row],[Date]],BH!C:C,1,)&lt;&gt;"",1,0),0)</f>
        <v>0</v>
      </c>
      <c r="N1886">
        <f>IFERROR(IF(VLOOKUP(calendar[[#This Row],[Date]],BH!E:E,1,)&lt;&gt;"",1,0),0)</f>
        <v>0</v>
      </c>
      <c r="O1886">
        <f>IFERROR(IF(VLOOKUP(calendar[[#This Row],[Date]],BH!G:G,1,)&lt;&gt;"",1,0),0)</f>
        <v>0</v>
      </c>
      <c r="P1886">
        <f>IF(OR(calendar[[#This Row],[UK_BH]]=1,calendar[[#This Row],[WeekDay]]=1, calendar[[#This Row],[WeekDay]]=7),P1885,P1885+1)</f>
        <v>1346</v>
      </c>
      <c r="Q1886">
        <f>IF(OR(calendar[[#This Row],[FR_BH]]=1,calendar[[#This Row],[WeekDay]]=1, calendar[[#This Row],[WeekDay]]=7),P1885,P1885+1)</f>
        <v>1346</v>
      </c>
      <c r="R1886">
        <f>IF(OR(calendar[[#This Row],[SP_BH]]=1,calendar[[#This Row],[WeekDay]]=1, calendar[[#This Row],[WeekDay]]=7),P1885,P1885+1)</f>
        <v>1346</v>
      </c>
      <c r="S1886">
        <f>IF(OR(calendar[[#This Row],[PT_BH]]=1,calendar[[#This Row],[WeekDay]]=1, calendar[[#This Row],[WeekDay]]=7),P1885,P1885+1)</f>
        <v>1346</v>
      </c>
    </row>
    <row r="1887" spans="1:19" x14ac:dyDescent="0.25">
      <c r="A1887" s="2">
        <v>44621</v>
      </c>
      <c r="B1887" s="1">
        <f t="shared" si="148"/>
        <v>10</v>
      </c>
      <c r="C1887">
        <f t="shared" si="150"/>
        <v>3</v>
      </c>
      <c r="D1887" t="str">
        <f t="shared" si="151"/>
        <v>March</v>
      </c>
      <c r="E1887">
        <f t="shared" si="152"/>
        <v>2022</v>
      </c>
      <c r="F1887" t="str">
        <f>CONCATENATE(calendar[[#This Row],[Month]],"/",calendar[[#This Row],[Year]])</f>
        <v>3/2022</v>
      </c>
      <c r="G1887">
        <f>WEEKDAY(calendar[[#This Row],[Date]],1)</f>
        <v>3</v>
      </c>
      <c r="H1887" t="str">
        <f>TEXT(calendar[[#This Row],[WeekDay]],"dddd")</f>
        <v>Tuesday</v>
      </c>
      <c r="I1887">
        <f>IF((INT(calendar[[#This Row],[Count]]/7)-calendar[[#This Row],[Count]]/7)&lt;0,I1886,I1886+1)</f>
        <v>270</v>
      </c>
      <c r="J1887">
        <f t="shared" si="149"/>
        <v>1885</v>
      </c>
      <c r="K1887">
        <f>IF(calendar[[#This Row],[Month]]&lt;4,1,IF(calendar[[#This Row],[Month]]&lt;7,2,IF(calendar[[#This Row],[Month]]&lt;10,3,4)))</f>
        <v>1</v>
      </c>
      <c r="L1887">
        <f>IFERROR(IF(VLOOKUP(calendar[[#This Row],[Date]],BH!A:A,1,)&lt;&gt;"",1,0),0)</f>
        <v>0</v>
      </c>
      <c r="M1887">
        <f>IFERROR(IF(VLOOKUP(calendar[[#This Row],[Date]],BH!C:C,1,)&lt;&gt;"",1,0),0)</f>
        <v>0</v>
      </c>
      <c r="N1887">
        <f>IFERROR(IF(VLOOKUP(calendar[[#This Row],[Date]],BH!E:E,1,)&lt;&gt;"",1,0),0)</f>
        <v>0</v>
      </c>
      <c r="O1887">
        <f>IFERROR(IF(VLOOKUP(calendar[[#This Row],[Date]],BH!G:G,1,)&lt;&gt;"",1,0),0)</f>
        <v>0</v>
      </c>
      <c r="P1887">
        <f>IF(OR(calendar[[#This Row],[UK_BH]]=1,calendar[[#This Row],[WeekDay]]=1, calendar[[#This Row],[WeekDay]]=7),P1886,P1886+1)</f>
        <v>1347</v>
      </c>
      <c r="Q1887">
        <f>IF(OR(calendar[[#This Row],[FR_BH]]=1,calendar[[#This Row],[WeekDay]]=1, calendar[[#This Row],[WeekDay]]=7),P1886,P1886+1)</f>
        <v>1347</v>
      </c>
      <c r="R1887">
        <f>IF(OR(calendar[[#This Row],[SP_BH]]=1,calendar[[#This Row],[WeekDay]]=1, calendar[[#This Row],[WeekDay]]=7),P1886,P1886+1)</f>
        <v>1347</v>
      </c>
      <c r="S1887">
        <f>IF(OR(calendar[[#This Row],[PT_BH]]=1,calendar[[#This Row],[WeekDay]]=1, calendar[[#This Row],[WeekDay]]=7),P1886,P1886+1)</f>
        <v>1347</v>
      </c>
    </row>
    <row r="1888" spans="1:19" x14ac:dyDescent="0.25">
      <c r="A1888" s="2">
        <v>44622</v>
      </c>
      <c r="B1888" s="1">
        <f t="shared" si="148"/>
        <v>10</v>
      </c>
      <c r="C1888">
        <f t="shared" si="150"/>
        <v>3</v>
      </c>
      <c r="D1888" t="str">
        <f t="shared" si="151"/>
        <v>March</v>
      </c>
      <c r="E1888">
        <f t="shared" si="152"/>
        <v>2022</v>
      </c>
      <c r="F1888" t="str">
        <f>CONCATENATE(calendar[[#This Row],[Month]],"/",calendar[[#This Row],[Year]])</f>
        <v>3/2022</v>
      </c>
      <c r="G1888">
        <f>WEEKDAY(calendar[[#This Row],[Date]],1)</f>
        <v>4</v>
      </c>
      <c r="H1888" t="str">
        <f>TEXT(calendar[[#This Row],[WeekDay]],"dddd")</f>
        <v>Wednesday</v>
      </c>
      <c r="I1888">
        <f>IF((INT(calendar[[#This Row],[Count]]/7)-calendar[[#This Row],[Count]]/7)&lt;0,I1887,I1887+1)</f>
        <v>270</v>
      </c>
      <c r="J1888">
        <f t="shared" si="149"/>
        <v>1886</v>
      </c>
      <c r="K1888">
        <f>IF(calendar[[#This Row],[Month]]&lt;4,1,IF(calendar[[#This Row],[Month]]&lt;7,2,IF(calendar[[#This Row],[Month]]&lt;10,3,4)))</f>
        <v>1</v>
      </c>
      <c r="L1888">
        <f>IFERROR(IF(VLOOKUP(calendar[[#This Row],[Date]],BH!A:A,1,)&lt;&gt;"",1,0),0)</f>
        <v>0</v>
      </c>
      <c r="M1888">
        <f>IFERROR(IF(VLOOKUP(calendar[[#This Row],[Date]],BH!C:C,1,)&lt;&gt;"",1,0),0)</f>
        <v>0</v>
      </c>
      <c r="N1888">
        <f>IFERROR(IF(VLOOKUP(calendar[[#This Row],[Date]],BH!E:E,1,)&lt;&gt;"",1,0),0)</f>
        <v>0</v>
      </c>
      <c r="O1888">
        <f>IFERROR(IF(VLOOKUP(calendar[[#This Row],[Date]],BH!G:G,1,)&lt;&gt;"",1,0),0)</f>
        <v>0</v>
      </c>
      <c r="P1888">
        <f>IF(OR(calendar[[#This Row],[UK_BH]]=1,calendar[[#This Row],[WeekDay]]=1, calendar[[#This Row],[WeekDay]]=7),P1887,P1887+1)</f>
        <v>1348</v>
      </c>
      <c r="Q1888">
        <f>IF(OR(calendar[[#This Row],[FR_BH]]=1,calendar[[#This Row],[WeekDay]]=1, calendar[[#This Row],[WeekDay]]=7),P1887,P1887+1)</f>
        <v>1348</v>
      </c>
      <c r="R1888">
        <f>IF(OR(calendar[[#This Row],[SP_BH]]=1,calendar[[#This Row],[WeekDay]]=1, calendar[[#This Row],[WeekDay]]=7),P1887,P1887+1)</f>
        <v>1348</v>
      </c>
      <c r="S1888">
        <f>IF(OR(calendar[[#This Row],[PT_BH]]=1,calendar[[#This Row],[WeekDay]]=1, calendar[[#This Row],[WeekDay]]=7),P1887,P1887+1)</f>
        <v>1348</v>
      </c>
    </row>
    <row r="1889" spans="1:19" x14ac:dyDescent="0.25">
      <c r="A1889" s="2">
        <v>44623</v>
      </c>
      <c r="B1889" s="1">
        <f t="shared" si="148"/>
        <v>10</v>
      </c>
      <c r="C1889">
        <f t="shared" si="150"/>
        <v>3</v>
      </c>
      <c r="D1889" t="str">
        <f t="shared" si="151"/>
        <v>March</v>
      </c>
      <c r="E1889">
        <f t="shared" si="152"/>
        <v>2022</v>
      </c>
      <c r="F1889" t="str">
        <f>CONCATENATE(calendar[[#This Row],[Month]],"/",calendar[[#This Row],[Year]])</f>
        <v>3/2022</v>
      </c>
      <c r="G1889">
        <f>WEEKDAY(calendar[[#This Row],[Date]],1)</f>
        <v>5</v>
      </c>
      <c r="H1889" t="str">
        <f>TEXT(calendar[[#This Row],[WeekDay]],"dddd")</f>
        <v>Thursday</v>
      </c>
      <c r="I1889">
        <f>IF((INT(calendar[[#This Row],[Count]]/7)-calendar[[#This Row],[Count]]/7)&lt;0,I1888,I1888+1)</f>
        <v>270</v>
      </c>
      <c r="J1889">
        <f t="shared" si="149"/>
        <v>1887</v>
      </c>
      <c r="K1889">
        <f>IF(calendar[[#This Row],[Month]]&lt;4,1,IF(calendar[[#This Row],[Month]]&lt;7,2,IF(calendar[[#This Row],[Month]]&lt;10,3,4)))</f>
        <v>1</v>
      </c>
      <c r="L1889">
        <f>IFERROR(IF(VLOOKUP(calendar[[#This Row],[Date]],BH!A:A,1,)&lt;&gt;"",1,0),0)</f>
        <v>0</v>
      </c>
      <c r="M1889">
        <f>IFERROR(IF(VLOOKUP(calendar[[#This Row],[Date]],BH!C:C,1,)&lt;&gt;"",1,0),0)</f>
        <v>0</v>
      </c>
      <c r="N1889">
        <f>IFERROR(IF(VLOOKUP(calendar[[#This Row],[Date]],BH!E:E,1,)&lt;&gt;"",1,0),0)</f>
        <v>0</v>
      </c>
      <c r="O1889">
        <f>IFERROR(IF(VLOOKUP(calendar[[#This Row],[Date]],BH!G:G,1,)&lt;&gt;"",1,0),0)</f>
        <v>0</v>
      </c>
      <c r="P1889">
        <f>IF(OR(calendar[[#This Row],[UK_BH]]=1,calendar[[#This Row],[WeekDay]]=1, calendar[[#This Row],[WeekDay]]=7),P1888,P1888+1)</f>
        <v>1349</v>
      </c>
      <c r="Q1889">
        <f>IF(OR(calendar[[#This Row],[FR_BH]]=1,calendar[[#This Row],[WeekDay]]=1, calendar[[#This Row],[WeekDay]]=7),P1888,P1888+1)</f>
        <v>1349</v>
      </c>
      <c r="R1889">
        <f>IF(OR(calendar[[#This Row],[SP_BH]]=1,calendar[[#This Row],[WeekDay]]=1, calendar[[#This Row],[WeekDay]]=7),P1888,P1888+1)</f>
        <v>1349</v>
      </c>
      <c r="S1889">
        <f>IF(OR(calendar[[#This Row],[PT_BH]]=1,calendar[[#This Row],[WeekDay]]=1, calendar[[#This Row],[WeekDay]]=7),P1888,P1888+1)</f>
        <v>1349</v>
      </c>
    </row>
    <row r="1890" spans="1:19" x14ac:dyDescent="0.25">
      <c r="A1890" s="2">
        <v>44624</v>
      </c>
      <c r="B1890" s="1">
        <f t="shared" si="148"/>
        <v>10</v>
      </c>
      <c r="C1890">
        <f t="shared" si="150"/>
        <v>3</v>
      </c>
      <c r="D1890" t="str">
        <f t="shared" si="151"/>
        <v>March</v>
      </c>
      <c r="E1890">
        <f t="shared" si="152"/>
        <v>2022</v>
      </c>
      <c r="F1890" t="str">
        <f>CONCATENATE(calendar[[#This Row],[Month]],"/",calendar[[#This Row],[Year]])</f>
        <v>3/2022</v>
      </c>
      <c r="G1890">
        <f>WEEKDAY(calendar[[#This Row],[Date]],1)</f>
        <v>6</v>
      </c>
      <c r="H1890" t="str">
        <f>TEXT(calendar[[#This Row],[WeekDay]],"dddd")</f>
        <v>Friday</v>
      </c>
      <c r="I1890">
        <f>IF((INT(calendar[[#This Row],[Count]]/7)-calendar[[#This Row],[Count]]/7)&lt;0,I1889,I1889+1)</f>
        <v>270</v>
      </c>
      <c r="J1890">
        <f t="shared" si="149"/>
        <v>1888</v>
      </c>
      <c r="K1890">
        <f>IF(calendar[[#This Row],[Month]]&lt;4,1,IF(calendar[[#This Row],[Month]]&lt;7,2,IF(calendar[[#This Row],[Month]]&lt;10,3,4)))</f>
        <v>1</v>
      </c>
      <c r="L1890">
        <f>IFERROR(IF(VLOOKUP(calendar[[#This Row],[Date]],BH!A:A,1,)&lt;&gt;"",1,0),0)</f>
        <v>0</v>
      </c>
      <c r="M1890">
        <f>IFERROR(IF(VLOOKUP(calendar[[#This Row],[Date]],BH!C:C,1,)&lt;&gt;"",1,0),0)</f>
        <v>0</v>
      </c>
      <c r="N1890">
        <f>IFERROR(IF(VLOOKUP(calendar[[#This Row],[Date]],BH!E:E,1,)&lt;&gt;"",1,0),0)</f>
        <v>0</v>
      </c>
      <c r="O1890">
        <f>IFERROR(IF(VLOOKUP(calendar[[#This Row],[Date]],BH!G:G,1,)&lt;&gt;"",1,0),0)</f>
        <v>0</v>
      </c>
      <c r="P1890">
        <f>IF(OR(calendar[[#This Row],[UK_BH]]=1,calendar[[#This Row],[WeekDay]]=1, calendar[[#This Row],[WeekDay]]=7),P1889,P1889+1)</f>
        <v>1350</v>
      </c>
      <c r="Q1890">
        <f>IF(OR(calendar[[#This Row],[FR_BH]]=1,calendar[[#This Row],[WeekDay]]=1, calendar[[#This Row],[WeekDay]]=7),P1889,P1889+1)</f>
        <v>1350</v>
      </c>
      <c r="R1890">
        <f>IF(OR(calendar[[#This Row],[SP_BH]]=1,calendar[[#This Row],[WeekDay]]=1, calendar[[#This Row],[WeekDay]]=7),P1889,P1889+1)</f>
        <v>1350</v>
      </c>
      <c r="S1890">
        <f>IF(OR(calendar[[#This Row],[PT_BH]]=1,calendar[[#This Row],[WeekDay]]=1, calendar[[#This Row],[WeekDay]]=7),P1889,P1889+1)</f>
        <v>1350</v>
      </c>
    </row>
    <row r="1891" spans="1:19" x14ac:dyDescent="0.25">
      <c r="A1891" s="2">
        <v>44625</v>
      </c>
      <c r="B1891" s="1">
        <f t="shared" si="148"/>
        <v>10</v>
      </c>
      <c r="C1891">
        <f t="shared" si="150"/>
        <v>3</v>
      </c>
      <c r="D1891" t="str">
        <f t="shared" si="151"/>
        <v>March</v>
      </c>
      <c r="E1891">
        <f t="shared" si="152"/>
        <v>2022</v>
      </c>
      <c r="F1891" t="str">
        <f>CONCATENATE(calendar[[#This Row],[Month]],"/",calendar[[#This Row],[Year]])</f>
        <v>3/2022</v>
      </c>
      <c r="G1891">
        <f>WEEKDAY(calendar[[#This Row],[Date]],1)</f>
        <v>7</v>
      </c>
      <c r="H1891" t="str">
        <f>TEXT(calendar[[#This Row],[WeekDay]],"dddd")</f>
        <v>Saturday</v>
      </c>
      <c r="I1891">
        <f>IF((INT(calendar[[#This Row],[Count]]/7)-calendar[[#This Row],[Count]]/7)&lt;0,I1890,I1890+1)</f>
        <v>270</v>
      </c>
      <c r="J1891">
        <f t="shared" si="149"/>
        <v>1889</v>
      </c>
      <c r="K1891">
        <f>IF(calendar[[#This Row],[Month]]&lt;4,1,IF(calendar[[#This Row],[Month]]&lt;7,2,IF(calendar[[#This Row],[Month]]&lt;10,3,4)))</f>
        <v>1</v>
      </c>
      <c r="L1891">
        <f>IFERROR(IF(VLOOKUP(calendar[[#This Row],[Date]],BH!A:A,1,)&lt;&gt;"",1,0),0)</f>
        <v>0</v>
      </c>
      <c r="M1891">
        <f>IFERROR(IF(VLOOKUP(calendar[[#This Row],[Date]],BH!C:C,1,)&lt;&gt;"",1,0),0)</f>
        <v>0</v>
      </c>
      <c r="N1891">
        <f>IFERROR(IF(VLOOKUP(calendar[[#This Row],[Date]],BH!E:E,1,)&lt;&gt;"",1,0),0)</f>
        <v>0</v>
      </c>
      <c r="O1891">
        <f>IFERROR(IF(VLOOKUP(calendar[[#This Row],[Date]],BH!G:G,1,)&lt;&gt;"",1,0),0)</f>
        <v>0</v>
      </c>
      <c r="P1891">
        <f>IF(OR(calendar[[#This Row],[UK_BH]]=1,calendar[[#This Row],[WeekDay]]=1, calendar[[#This Row],[WeekDay]]=7),P1890,P1890+1)</f>
        <v>1350</v>
      </c>
      <c r="Q1891">
        <f>IF(OR(calendar[[#This Row],[FR_BH]]=1,calendar[[#This Row],[WeekDay]]=1, calendar[[#This Row],[WeekDay]]=7),P1890,P1890+1)</f>
        <v>1350</v>
      </c>
      <c r="R1891">
        <f>IF(OR(calendar[[#This Row],[SP_BH]]=1,calendar[[#This Row],[WeekDay]]=1, calendar[[#This Row],[WeekDay]]=7),P1890,P1890+1)</f>
        <v>1350</v>
      </c>
      <c r="S1891">
        <f>IF(OR(calendar[[#This Row],[PT_BH]]=1,calendar[[#This Row],[WeekDay]]=1, calendar[[#This Row],[WeekDay]]=7),P1890,P1890+1)</f>
        <v>1350</v>
      </c>
    </row>
    <row r="1892" spans="1:19" x14ac:dyDescent="0.25">
      <c r="A1892" s="2">
        <v>44626</v>
      </c>
      <c r="B1892" s="1">
        <f t="shared" si="148"/>
        <v>11</v>
      </c>
      <c r="C1892">
        <f t="shared" si="150"/>
        <v>3</v>
      </c>
      <c r="D1892" t="str">
        <f t="shared" si="151"/>
        <v>March</v>
      </c>
      <c r="E1892">
        <f t="shared" si="152"/>
        <v>2022</v>
      </c>
      <c r="F1892" t="str">
        <f>CONCATENATE(calendar[[#This Row],[Month]],"/",calendar[[#This Row],[Year]])</f>
        <v>3/2022</v>
      </c>
      <c r="G1892">
        <f>WEEKDAY(calendar[[#This Row],[Date]],1)</f>
        <v>1</v>
      </c>
      <c r="H1892" t="str">
        <f>TEXT(calendar[[#This Row],[WeekDay]],"dddd")</f>
        <v>Sunday</v>
      </c>
      <c r="I1892">
        <f>IF((INT(calendar[[#This Row],[Count]]/7)-calendar[[#This Row],[Count]]/7)&lt;0,I1891,I1891+1)</f>
        <v>271</v>
      </c>
      <c r="J1892">
        <f t="shared" si="149"/>
        <v>1890</v>
      </c>
      <c r="K1892">
        <f>IF(calendar[[#This Row],[Month]]&lt;4,1,IF(calendar[[#This Row],[Month]]&lt;7,2,IF(calendar[[#This Row],[Month]]&lt;10,3,4)))</f>
        <v>1</v>
      </c>
      <c r="L1892">
        <f>IFERROR(IF(VLOOKUP(calendar[[#This Row],[Date]],BH!A:A,1,)&lt;&gt;"",1,0),0)</f>
        <v>0</v>
      </c>
      <c r="M1892">
        <f>IFERROR(IF(VLOOKUP(calendar[[#This Row],[Date]],BH!C:C,1,)&lt;&gt;"",1,0),0)</f>
        <v>0</v>
      </c>
      <c r="N1892">
        <f>IFERROR(IF(VLOOKUP(calendar[[#This Row],[Date]],BH!E:E,1,)&lt;&gt;"",1,0),0)</f>
        <v>0</v>
      </c>
      <c r="O1892">
        <f>IFERROR(IF(VLOOKUP(calendar[[#This Row],[Date]],BH!G:G,1,)&lt;&gt;"",1,0),0)</f>
        <v>0</v>
      </c>
      <c r="P1892">
        <f>IF(OR(calendar[[#This Row],[UK_BH]]=1,calendar[[#This Row],[WeekDay]]=1, calendar[[#This Row],[WeekDay]]=7),P1891,P1891+1)</f>
        <v>1350</v>
      </c>
      <c r="Q1892">
        <f>IF(OR(calendar[[#This Row],[FR_BH]]=1,calendar[[#This Row],[WeekDay]]=1, calendar[[#This Row],[WeekDay]]=7),P1891,P1891+1)</f>
        <v>1350</v>
      </c>
      <c r="R1892">
        <f>IF(OR(calendar[[#This Row],[SP_BH]]=1,calendar[[#This Row],[WeekDay]]=1, calendar[[#This Row],[WeekDay]]=7),P1891,P1891+1)</f>
        <v>1350</v>
      </c>
      <c r="S1892">
        <f>IF(OR(calendar[[#This Row],[PT_BH]]=1,calendar[[#This Row],[WeekDay]]=1, calendar[[#This Row],[WeekDay]]=7),P1891,P1891+1)</f>
        <v>1350</v>
      </c>
    </row>
    <row r="1893" spans="1:19" x14ac:dyDescent="0.25">
      <c r="A1893" s="2">
        <v>44627</v>
      </c>
      <c r="B1893" s="1">
        <f t="shared" si="148"/>
        <v>11</v>
      </c>
      <c r="C1893">
        <f t="shared" si="150"/>
        <v>3</v>
      </c>
      <c r="D1893" t="str">
        <f t="shared" si="151"/>
        <v>March</v>
      </c>
      <c r="E1893">
        <f t="shared" si="152"/>
        <v>2022</v>
      </c>
      <c r="F1893" t="str">
        <f>CONCATENATE(calendar[[#This Row],[Month]],"/",calendar[[#This Row],[Year]])</f>
        <v>3/2022</v>
      </c>
      <c r="G1893">
        <f>WEEKDAY(calendar[[#This Row],[Date]],1)</f>
        <v>2</v>
      </c>
      <c r="H1893" t="str">
        <f>TEXT(calendar[[#This Row],[WeekDay]],"dddd")</f>
        <v>Monday</v>
      </c>
      <c r="I1893">
        <f>IF((INT(calendar[[#This Row],[Count]]/7)-calendar[[#This Row],[Count]]/7)&lt;0,I1892,I1892+1)</f>
        <v>271</v>
      </c>
      <c r="J1893">
        <f t="shared" si="149"/>
        <v>1891</v>
      </c>
      <c r="K1893">
        <f>IF(calendar[[#This Row],[Month]]&lt;4,1,IF(calendar[[#This Row],[Month]]&lt;7,2,IF(calendar[[#This Row],[Month]]&lt;10,3,4)))</f>
        <v>1</v>
      </c>
      <c r="L1893">
        <f>IFERROR(IF(VLOOKUP(calendar[[#This Row],[Date]],BH!A:A,1,)&lt;&gt;"",1,0),0)</f>
        <v>0</v>
      </c>
      <c r="M1893">
        <f>IFERROR(IF(VLOOKUP(calendar[[#This Row],[Date]],BH!C:C,1,)&lt;&gt;"",1,0),0)</f>
        <v>0</v>
      </c>
      <c r="N1893">
        <f>IFERROR(IF(VLOOKUP(calendar[[#This Row],[Date]],BH!E:E,1,)&lt;&gt;"",1,0),0)</f>
        <v>0</v>
      </c>
      <c r="O1893">
        <f>IFERROR(IF(VLOOKUP(calendar[[#This Row],[Date]],BH!G:G,1,)&lt;&gt;"",1,0),0)</f>
        <v>0</v>
      </c>
      <c r="P1893">
        <f>IF(OR(calendar[[#This Row],[UK_BH]]=1,calendar[[#This Row],[WeekDay]]=1, calendar[[#This Row],[WeekDay]]=7),P1892,P1892+1)</f>
        <v>1351</v>
      </c>
      <c r="Q1893">
        <f>IF(OR(calendar[[#This Row],[FR_BH]]=1,calendar[[#This Row],[WeekDay]]=1, calendar[[#This Row],[WeekDay]]=7),P1892,P1892+1)</f>
        <v>1351</v>
      </c>
      <c r="R1893">
        <f>IF(OR(calendar[[#This Row],[SP_BH]]=1,calendar[[#This Row],[WeekDay]]=1, calendar[[#This Row],[WeekDay]]=7),P1892,P1892+1)</f>
        <v>1351</v>
      </c>
      <c r="S1893">
        <f>IF(OR(calendar[[#This Row],[PT_BH]]=1,calendar[[#This Row],[WeekDay]]=1, calendar[[#This Row],[WeekDay]]=7),P1892,P1892+1)</f>
        <v>1351</v>
      </c>
    </row>
    <row r="1894" spans="1:19" x14ac:dyDescent="0.25">
      <c r="A1894" s="2">
        <v>44628</v>
      </c>
      <c r="B1894" s="1">
        <f t="shared" si="148"/>
        <v>11</v>
      </c>
      <c r="C1894">
        <f t="shared" si="150"/>
        <v>3</v>
      </c>
      <c r="D1894" t="str">
        <f t="shared" si="151"/>
        <v>March</v>
      </c>
      <c r="E1894">
        <f t="shared" si="152"/>
        <v>2022</v>
      </c>
      <c r="F1894" t="str">
        <f>CONCATENATE(calendar[[#This Row],[Month]],"/",calendar[[#This Row],[Year]])</f>
        <v>3/2022</v>
      </c>
      <c r="G1894">
        <f>WEEKDAY(calendar[[#This Row],[Date]],1)</f>
        <v>3</v>
      </c>
      <c r="H1894" t="str">
        <f>TEXT(calendar[[#This Row],[WeekDay]],"dddd")</f>
        <v>Tuesday</v>
      </c>
      <c r="I1894">
        <f>IF((INT(calendar[[#This Row],[Count]]/7)-calendar[[#This Row],[Count]]/7)&lt;0,I1893,I1893+1)</f>
        <v>271</v>
      </c>
      <c r="J1894">
        <f t="shared" si="149"/>
        <v>1892</v>
      </c>
      <c r="K1894">
        <f>IF(calendar[[#This Row],[Month]]&lt;4,1,IF(calendar[[#This Row],[Month]]&lt;7,2,IF(calendar[[#This Row],[Month]]&lt;10,3,4)))</f>
        <v>1</v>
      </c>
      <c r="L1894">
        <f>IFERROR(IF(VLOOKUP(calendar[[#This Row],[Date]],BH!A:A,1,)&lt;&gt;"",1,0),0)</f>
        <v>0</v>
      </c>
      <c r="M1894">
        <f>IFERROR(IF(VLOOKUP(calendar[[#This Row],[Date]],BH!C:C,1,)&lt;&gt;"",1,0),0)</f>
        <v>0</v>
      </c>
      <c r="N1894">
        <f>IFERROR(IF(VLOOKUP(calendar[[#This Row],[Date]],BH!E:E,1,)&lt;&gt;"",1,0),0)</f>
        <v>0</v>
      </c>
      <c r="O1894">
        <f>IFERROR(IF(VLOOKUP(calendar[[#This Row],[Date]],BH!G:G,1,)&lt;&gt;"",1,0),0)</f>
        <v>0</v>
      </c>
      <c r="P1894">
        <f>IF(OR(calendar[[#This Row],[UK_BH]]=1,calendar[[#This Row],[WeekDay]]=1, calendar[[#This Row],[WeekDay]]=7),P1893,P1893+1)</f>
        <v>1352</v>
      </c>
      <c r="Q1894">
        <f>IF(OR(calendar[[#This Row],[FR_BH]]=1,calendar[[#This Row],[WeekDay]]=1, calendar[[#This Row],[WeekDay]]=7),P1893,P1893+1)</f>
        <v>1352</v>
      </c>
      <c r="R1894">
        <f>IF(OR(calendar[[#This Row],[SP_BH]]=1,calendar[[#This Row],[WeekDay]]=1, calendar[[#This Row],[WeekDay]]=7),P1893,P1893+1)</f>
        <v>1352</v>
      </c>
      <c r="S1894">
        <f>IF(OR(calendar[[#This Row],[PT_BH]]=1,calendar[[#This Row],[WeekDay]]=1, calendar[[#This Row],[WeekDay]]=7),P1893,P1893+1)</f>
        <v>1352</v>
      </c>
    </row>
    <row r="1895" spans="1:19" x14ac:dyDescent="0.25">
      <c r="A1895" s="2">
        <v>44629</v>
      </c>
      <c r="B1895" s="1">
        <f t="shared" si="148"/>
        <v>11</v>
      </c>
      <c r="C1895">
        <f t="shared" si="150"/>
        <v>3</v>
      </c>
      <c r="D1895" t="str">
        <f t="shared" si="151"/>
        <v>March</v>
      </c>
      <c r="E1895">
        <f t="shared" si="152"/>
        <v>2022</v>
      </c>
      <c r="F1895" t="str">
        <f>CONCATENATE(calendar[[#This Row],[Month]],"/",calendar[[#This Row],[Year]])</f>
        <v>3/2022</v>
      </c>
      <c r="G1895">
        <f>WEEKDAY(calendar[[#This Row],[Date]],1)</f>
        <v>4</v>
      </c>
      <c r="H1895" t="str">
        <f>TEXT(calendar[[#This Row],[WeekDay]],"dddd")</f>
        <v>Wednesday</v>
      </c>
      <c r="I1895">
        <f>IF((INT(calendar[[#This Row],[Count]]/7)-calendar[[#This Row],[Count]]/7)&lt;0,I1894,I1894+1)</f>
        <v>271</v>
      </c>
      <c r="J1895">
        <f t="shared" si="149"/>
        <v>1893</v>
      </c>
      <c r="K1895">
        <f>IF(calendar[[#This Row],[Month]]&lt;4,1,IF(calendar[[#This Row],[Month]]&lt;7,2,IF(calendar[[#This Row],[Month]]&lt;10,3,4)))</f>
        <v>1</v>
      </c>
      <c r="L1895">
        <f>IFERROR(IF(VLOOKUP(calendar[[#This Row],[Date]],BH!A:A,1,)&lt;&gt;"",1,0),0)</f>
        <v>0</v>
      </c>
      <c r="M1895">
        <f>IFERROR(IF(VLOOKUP(calendar[[#This Row],[Date]],BH!C:C,1,)&lt;&gt;"",1,0),0)</f>
        <v>0</v>
      </c>
      <c r="N1895">
        <f>IFERROR(IF(VLOOKUP(calendar[[#This Row],[Date]],BH!E:E,1,)&lt;&gt;"",1,0),0)</f>
        <v>0</v>
      </c>
      <c r="O1895">
        <f>IFERROR(IF(VLOOKUP(calendar[[#This Row],[Date]],BH!G:G,1,)&lt;&gt;"",1,0),0)</f>
        <v>0</v>
      </c>
      <c r="P1895">
        <f>IF(OR(calendar[[#This Row],[UK_BH]]=1,calendar[[#This Row],[WeekDay]]=1, calendar[[#This Row],[WeekDay]]=7),P1894,P1894+1)</f>
        <v>1353</v>
      </c>
      <c r="Q1895">
        <f>IF(OR(calendar[[#This Row],[FR_BH]]=1,calendar[[#This Row],[WeekDay]]=1, calendar[[#This Row],[WeekDay]]=7),P1894,P1894+1)</f>
        <v>1353</v>
      </c>
      <c r="R1895">
        <f>IF(OR(calendar[[#This Row],[SP_BH]]=1,calendar[[#This Row],[WeekDay]]=1, calendar[[#This Row],[WeekDay]]=7),P1894,P1894+1)</f>
        <v>1353</v>
      </c>
      <c r="S1895">
        <f>IF(OR(calendar[[#This Row],[PT_BH]]=1,calendar[[#This Row],[WeekDay]]=1, calendar[[#This Row],[WeekDay]]=7),P1894,P1894+1)</f>
        <v>1353</v>
      </c>
    </row>
    <row r="1896" spans="1:19" x14ac:dyDescent="0.25">
      <c r="A1896" s="2">
        <v>44630</v>
      </c>
      <c r="B1896" s="1">
        <f t="shared" si="148"/>
        <v>11</v>
      </c>
      <c r="C1896">
        <f t="shared" si="150"/>
        <v>3</v>
      </c>
      <c r="D1896" t="str">
        <f t="shared" si="151"/>
        <v>March</v>
      </c>
      <c r="E1896">
        <f t="shared" si="152"/>
        <v>2022</v>
      </c>
      <c r="F1896" t="str">
        <f>CONCATENATE(calendar[[#This Row],[Month]],"/",calendar[[#This Row],[Year]])</f>
        <v>3/2022</v>
      </c>
      <c r="G1896">
        <f>WEEKDAY(calendar[[#This Row],[Date]],1)</f>
        <v>5</v>
      </c>
      <c r="H1896" t="str">
        <f>TEXT(calendar[[#This Row],[WeekDay]],"dddd")</f>
        <v>Thursday</v>
      </c>
      <c r="I1896">
        <f>IF((INT(calendar[[#This Row],[Count]]/7)-calendar[[#This Row],[Count]]/7)&lt;0,I1895,I1895+1)</f>
        <v>271</v>
      </c>
      <c r="J1896">
        <f t="shared" si="149"/>
        <v>1894</v>
      </c>
      <c r="K1896">
        <f>IF(calendar[[#This Row],[Month]]&lt;4,1,IF(calendar[[#This Row],[Month]]&lt;7,2,IF(calendar[[#This Row],[Month]]&lt;10,3,4)))</f>
        <v>1</v>
      </c>
      <c r="L1896">
        <f>IFERROR(IF(VLOOKUP(calendar[[#This Row],[Date]],BH!A:A,1,)&lt;&gt;"",1,0),0)</f>
        <v>0</v>
      </c>
      <c r="M1896">
        <f>IFERROR(IF(VLOOKUP(calendar[[#This Row],[Date]],BH!C:C,1,)&lt;&gt;"",1,0),0)</f>
        <v>0</v>
      </c>
      <c r="N1896">
        <f>IFERROR(IF(VLOOKUP(calendar[[#This Row],[Date]],BH!E:E,1,)&lt;&gt;"",1,0),0)</f>
        <v>0</v>
      </c>
      <c r="O1896">
        <f>IFERROR(IF(VLOOKUP(calendar[[#This Row],[Date]],BH!G:G,1,)&lt;&gt;"",1,0),0)</f>
        <v>0</v>
      </c>
      <c r="P1896">
        <f>IF(OR(calendar[[#This Row],[UK_BH]]=1,calendar[[#This Row],[WeekDay]]=1, calendar[[#This Row],[WeekDay]]=7),P1895,P1895+1)</f>
        <v>1354</v>
      </c>
      <c r="Q1896">
        <f>IF(OR(calendar[[#This Row],[FR_BH]]=1,calendar[[#This Row],[WeekDay]]=1, calendar[[#This Row],[WeekDay]]=7),P1895,P1895+1)</f>
        <v>1354</v>
      </c>
      <c r="R1896">
        <f>IF(OR(calendar[[#This Row],[SP_BH]]=1,calendar[[#This Row],[WeekDay]]=1, calendar[[#This Row],[WeekDay]]=7),P1895,P1895+1)</f>
        <v>1354</v>
      </c>
      <c r="S1896">
        <f>IF(OR(calendar[[#This Row],[PT_BH]]=1,calendar[[#This Row],[WeekDay]]=1, calendar[[#This Row],[WeekDay]]=7),P1895,P1895+1)</f>
        <v>1354</v>
      </c>
    </row>
    <row r="1897" spans="1:19" x14ac:dyDescent="0.25">
      <c r="A1897" s="2">
        <v>44631</v>
      </c>
      <c r="B1897" s="1">
        <f t="shared" si="148"/>
        <v>11</v>
      </c>
      <c r="C1897">
        <f t="shared" si="150"/>
        <v>3</v>
      </c>
      <c r="D1897" t="str">
        <f t="shared" si="151"/>
        <v>March</v>
      </c>
      <c r="E1897">
        <f t="shared" si="152"/>
        <v>2022</v>
      </c>
      <c r="F1897" t="str">
        <f>CONCATENATE(calendar[[#This Row],[Month]],"/",calendar[[#This Row],[Year]])</f>
        <v>3/2022</v>
      </c>
      <c r="G1897">
        <f>WEEKDAY(calendar[[#This Row],[Date]],1)</f>
        <v>6</v>
      </c>
      <c r="H1897" t="str">
        <f>TEXT(calendar[[#This Row],[WeekDay]],"dddd")</f>
        <v>Friday</v>
      </c>
      <c r="I1897">
        <f>IF((INT(calendar[[#This Row],[Count]]/7)-calendar[[#This Row],[Count]]/7)&lt;0,I1896,I1896+1)</f>
        <v>271</v>
      </c>
      <c r="J1897">
        <f t="shared" si="149"/>
        <v>1895</v>
      </c>
      <c r="K1897">
        <f>IF(calendar[[#This Row],[Month]]&lt;4,1,IF(calendar[[#This Row],[Month]]&lt;7,2,IF(calendar[[#This Row],[Month]]&lt;10,3,4)))</f>
        <v>1</v>
      </c>
      <c r="L1897">
        <f>IFERROR(IF(VLOOKUP(calendar[[#This Row],[Date]],BH!A:A,1,)&lt;&gt;"",1,0),0)</f>
        <v>0</v>
      </c>
      <c r="M1897">
        <f>IFERROR(IF(VLOOKUP(calendar[[#This Row],[Date]],BH!C:C,1,)&lt;&gt;"",1,0),0)</f>
        <v>0</v>
      </c>
      <c r="N1897">
        <f>IFERROR(IF(VLOOKUP(calendar[[#This Row],[Date]],BH!E:E,1,)&lt;&gt;"",1,0),0)</f>
        <v>0</v>
      </c>
      <c r="O1897">
        <f>IFERROR(IF(VLOOKUP(calendar[[#This Row],[Date]],BH!G:G,1,)&lt;&gt;"",1,0),0)</f>
        <v>0</v>
      </c>
      <c r="P1897">
        <f>IF(OR(calendar[[#This Row],[UK_BH]]=1,calendar[[#This Row],[WeekDay]]=1, calendar[[#This Row],[WeekDay]]=7),P1896,P1896+1)</f>
        <v>1355</v>
      </c>
      <c r="Q1897">
        <f>IF(OR(calendar[[#This Row],[FR_BH]]=1,calendar[[#This Row],[WeekDay]]=1, calendar[[#This Row],[WeekDay]]=7),P1896,P1896+1)</f>
        <v>1355</v>
      </c>
      <c r="R1897">
        <f>IF(OR(calendar[[#This Row],[SP_BH]]=1,calendar[[#This Row],[WeekDay]]=1, calendar[[#This Row],[WeekDay]]=7),P1896,P1896+1)</f>
        <v>1355</v>
      </c>
      <c r="S1897">
        <f>IF(OR(calendar[[#This Row],[PT_BH]]=1,calendar[[#This Row],[WeekDay]]=1, calendar[[#This Row],[WeekDay]]=7),P1896,P1896+1)</f>
        <v>1355</v>
      </c>
    </row>
    <row r="1898" spans="1:19" x14ac:dyDescent="0.25">
      <c r="A1898" s="2">
        <v>44632</v>
      </c>
      <c r="B1898" s="1">
        <f t="shared" si="148"/>
        <v>11</v>
      </c>
      <c r="C1898">
        <f t="shared" si="150"/>
        <v>3</v>
      </c>
      <c r="D1898" t="str">
        <f t="shared" si="151"/>
        <v>March</v>
      </c>
      <c r="E1898">
        <f t="shared" si="152"/>
        <v>2022</v>
      </c>
      <c r="F1898" t="str">
        <f>CONCATENATE(calendar[[#This Row],[Month]],"/",calendar[[#This Row],[Year]])</f>
        <v>3/2022</v>
      </c>
      <c r="G1898">
        <f>WEEKDAY(calendar[[#This Row],[Date]],1)</f>
        <v>7</v>
      </c>
      <c r="H1898" t="str">
        <f>TEXT(calendar[[#This Row],[WeekDay]],"dddd")</f>
        <v>Saturday</v>
      </c>
      <c r="I1898">
        <f>IF((INT(calendar[[#This Row],[Count]]/7)-calendar[[#This Row],[Count]]/7)&lt;0,I1897,I1897+1)</f>
        <v>271</v>
      </c>
      <c r="J1898">
        <f t="shared" si="149"/>
        <v>1896</v>
      </c>
      <c r="K1898">
        <f>IF(calendar[[#This Row],[Month]]&lt;4,1,IF(calendar[[#This Row],[Month]]&lt;7,2,IF(calendar[[#This Row],[Month]]&lt;10,3,4)))</f>
        <v>1</v>
      </c>
      <c r="L1898">
        <f>IFERROR(IF(VLOOKUP(calendar[[#This Row],[Date]],BH!A:A,1,)&lt;&gt;"",1,0),0)</f>
        <v>0</v>
      </c>
      <c r="M1898">
        <f>IFERROR(IF(VLOOKUP(calendar[[#This Row],[Date]],BH!C:C,1,)&lt;&gt;"",1,0),0)</f>
        <v>0</v>
      </c>
      <c r="N1898">
        <f>IFERROR(IF(VLOOKUP(calendar[[#This Row],[Date]],BH!E:E,1,)&lt;&gt;"",1,0),0)</f>
        <v>0</v>
      </c>
      <c r="O1898">
        <f>IFERROR(IF(VLOOKUP(calendar[[#This Row],[Date]],BH!G:G,1,)&lt;&gt;"",1,0),0)</f>
        <v>0</v>
      </c>
      <c r="P1898">
        <f>IF(OR(calendar[[#This Row],[UK_BH]]=1,calendar[[#This Row],[WeekDay]]=1, calendar[[#This Row],[WeekDay]]=7),P1897,P1897+1)</f>
        <v>1355</v>
      </c>
      <c r="Q1898">
        <f>IF(OR(calendar[[#This Row],[FR_BH]]=1,calendar[[#This Row],[WeekDay]]=1, calendar[[#This Row],[WeekDay]]=7),P1897,P1897+1)</f>
        <v>1355</v>
      </c>
      <c r="R1898">
        <f>IF(OR(calendar[[#This Row],[SP_BH]]=1,calendar[[#This Row],[WeekDay]]=1, calendar[[#This Row],[WeekDay]]=7),P1897,P1897+1)</f>
        <v>1355</v>
      </c>
      <c r="S1898">
        <f>IF(OR(calendar[[#This Row],[PT_BH]]=1,calendar[[#This Row],[WeekDay]]=1, calendar[[#This Row],[WeekDay]]=7),P1897,P1897+1)</f>
        <v>1355</v>
      </c>
    </row>
    <row r="1899" spans="1:19" x14ac:dyDescent="0.25">
      <c r="A1899" s="2">
        <v>44633</v>
      </c>
      <c r="B1899" s="1">
        <f t="shared" si="148"/>
        <v>12</v>
      </c>
      <c r="C1899">
        <f t="shared" si="150"/>
        <v>3</v>
      </c>
      <c r="D1899" t="str">
        <f t="shared" si="151"/>
        <v>March</v>
      </c>
      <c r="E1899">
        <f t="shared" si="152"/>
        <v>2022</v>
      </c>
      <c r="F1899" t="str">
        <f>CONCATENATE(calendar[[#This Row],[Month]],"/",calendar[[#This Row],[Year]])</f>
        <v>3/2022</v>
      </c>
      <c r="G1899">
        <f>WEEKDAY(calendar[[#This Row],[Date]],1)</f>
        <v>1</v>
      </c>
      <c r="H1899" t="str">
        <f>TEXT(calendar[[#This Row],[WeekDay]],"dddd")</f>
        <v>Sunday</v>
      </c>
      <c r="I1899">
        <f>IF((INT(calendar[[#This Row],[Count]]/7)-calendar[[#This Row],[Count]]/7)&lt;0,I1898,I1898+1)</f>
        <v>272</v>
      </c>
      <c r="J1899">
        <f t="shared" si="149"/>
        <v>1897</v>
      </c>
      <c r="K1899">
        <f>IF(calendar[[#This Row],[Month]]&lt;4,1,IF(calendar[[#This Row],[Month]]&lt;7,2,IF(calendar[[#This Row],[Month]]&lt;10,3,4)))</f>
        <v>1</v>
      </c>
      <c r="L1899">
        <f>IFERROR(IF(VLOOKUP(calendar[[#This Row],[Date]],BH!A:A,1,)&lt;&gt;"",1,0),0)</f>
        <v>0</v>
      </c>
      <c r="M1899">
        <f>IFERROR(IF(VLOOKUP(calendar[[#This Row],[Date]],BH!C:C,1,)&lt;&gt;"",1,0),0)</f>
        <v>0</v>
      </c>
      <c r="N1899">
        <f>IFERROR(IF(VLOOKUP(calendar[[#This Row],[Date]],BH!E:E,1,)&lt;&gt;"",1,0),0)</f>
        <v>0</v>
      </c>
      <c r="O1899">
        <f>IFERROR(IF(VLOOKUP(calendar[[#This Row],[Date]],BH!G:G,1,)&lt;&gt;"",1,0),0)</f>
        <v>0</v>
      </c>
      <c r="P1899">
        <f>IF(OR(calendar[[#This Row],[UK_BH]]=1,calendar[[#This Row],[WeekDay]]=1, calendar[[#This Row],[WeekDay]]=7),P1898,P1898+1)</f>
        <v>1355</v>
      </c>
      <c r="Q1899">
        <f>IF(OR(calendar[[#This Row],[FR_BH]]=1,calendar[[#This Row],[WeekDay]]=1, calendar[[#This Row],[WeekDay]]=7),P1898,P1898+1)</f>
        <v>1355</v>
      </c>
      <c r="R1899">
        <f>IF(OR(calendar[[#This Row],[SP_BH]]=1,calendar[[#This Row],[WeekDay]]=1, calendar[[#This Row],[WeekDay]]=7),P1898,P1898+1)</f>
        <v>1355</v>
      </c>
      <c r="S1899">
        <f>IF(OR(calendar[[#This Row],[PT_BH]]=1,calendar[[#This Row],[WeekDay]]=1, calendar[[#This Row],[WeekDay]]=7),P1898,P1898+1)</f>
        <v>1355</v>
      </c>
    </row>
    <row r="1900" spans="1:19" x14ac:dyDescent="0.25">
      <c r="A1900" s="2">
        <v>44634</v>
      </c>
      <c r="B1900" s="1">
        <f t="shared" si="148"/>
        <v>12</v>
      </c>
      <c r="C1900">
        <f t="shared" si="150"/>
        <v>3</v>
      </c>
      <c r="D1900" t="str">
        <f t="shared" si="151"/>
        <v>March</v>
      </c>
      <c r="E1900">
        <f t="shared" si="152"/>
        <v>2022</v>
      </c>
      <c r="F1900" t="str">
        <f>CONCATENATE(calendar[[#This Row],[Month]],"/",calendar[[#This Row],[Year]])</f>
        <v>3/2022</v>
      </c>
      <c r="G1900">
        <f>WEEKDAY(calendar[[#This Row],[Date]],1)</f>
        <v>2</v>
      </c>
      <c r="H1900" t="str">
        <f>TEXT(calendar[[#This Row],[WeekDay]],"dddd")</f>
        <v>Monday</v>
      </c>
      <c r="I1900">
        <f>IF((INT(calendar[[#This Row],[Count]]/7)-calendar[[#This Row],[Count]]/7)&lt;0,I1899,I1899+1)</f>
        <v>272</v>
      </c>
      <c r="J1900">
        <f t="shared" si="149"/>
        <v>1898</v>
      </c>
      <c r="K1900">
        <f>IF(calendar[[#This Row],[Month]]&lt;4,1,IF(calendar[[#This Row],[Month]]&lt;7,2,IF(calendar[[#This Row],[Month]]&lt;10,3,4)))</f>
        <v>1</v>
      </c>
      <c r="L1900">
        <f>IFERROR(IF(VLOOKUP(calendar[[#This Row],[Date]],BH!A:A,1,)&lt;&gt;"",1,0),0)</f>
        <v>0</v>
      </c>
      <c r="M1900">
        <f>IFERROR(IF(VLOOKUP(calendar[[#This Row],[Date]],BH!C:C,1,)&lt;&gt;"",1,0),0)</f>
        <v>0</v>
      </c>
      <c r="N1900">
        <f>IFERROR(IF(VLOOKUP(calendar[[#This Row],[Date]],BH!E:E,1,)&lt;&gt;"",1,0),0)</f>
        <v>0</v>
      </c>
      <c r="O1900">
        <f>IFERROR(IF(VLOOKUP(calendar[[#This Row],[Date]],BH!G:G,1,)&lt;&gt;"",1,0),0)</f>
        <v>0</v>
      </c>
      <c r="P1900">
        <f>IF(OR(calendar[[#This Row],[UK_BH]]=1,calendar[[#This Row],[WeekDay]]=1, calendar[[#This Row],[WeekDay]]=7),P1899,P1899+1)</f>
        <v>1356</v>
      </c>
      <c r="Q1900">
        <f>IF(OR(calendar[[#This Row],[FR_BH]]=1,calendar[[#This Row],[WeekDay]]=1, calendar[[#This Row],[WeekDay]]=7),P1899,P1899+1)</f>
        <v>1356</v>
      </c>
      <c r="R1900">
        <f>IF(OR(calendar[[#This Row],[SP_BH]]=1,calendar[[#This Row],[WeekDay]]=1, calendar[[#This Row],[WeekDay]]=7),P1899,P1899+1)</f>
        <v>1356</v>
      </c>
      <c r="S1900">
        <f>IF(OR(calendar[[#This Row],[PT_BH]]=1,calendar[[#This Row],[WeekDay]]=1, calendar[[#This Row],[WeekDay]]=7),P1899,P1899+1)</f>
        <v>1356</v>
      </c>
    </row>
    <row r="1901" spans="1:19" x14ac:dyDescent="0.25">
      <c r="A1901" s="2">
        <v>44635</v>
      </c>
      <c r="B1901" s="1">
        <f t="shared" si="148"/>
        <v>12</v>
      </c>
      <c r="C1901">
        <f t="shared" si="150"/>
        <v>3</v>
      </c>
      <c r="D1901" t="str">
        <f t="shared" si="151"/>
        <v>March</v>
      </c>
      <c r="E1901">
        <f t="shared" si="152"/>
        <v>2022</v>
      </c>
      <c r="F1901" t="str">
        <f>CONCATENATE(calendar[[#This Row],[Month]],"/",calendar[[#This Row],[Year]])</f>
        <v>3/2022</v>
      </c>
      <c r="G1901">
        <f>WEEKDAY(calendar[[#This Row],[Date]],1)</f>
        <v>3</v>
      </c>
      <c r="H1901" t="str">
        <f>TEXT(calendar[[#This Row],[WeekDay]],"dddd")</f>
        <v>Tuesday</v>
      </c>
      <c r="I1901">
        <f>IF((INT(calendar[[#This Row],[Count]]/7)-calendar[[#This Row],[Count]]/7)&lt;0,I1900,I1900+1)</f>
        <v>272</v>
      </c>
      <c r="J1901">
        <f t="shared" si="149"/>
        <v>1899</v>
      </c>
      <c r="K1901">
        <f>IF(calendar[[#This Row],[Month]]&lt;4,1,IF(calendar[[#This Row],[Month]]&lt;7,2,IF(calendar[[#This Row],[Month]]&lt;10,3,4)))</f>
        <v>1</v>
      </c>
      <c r="L1901">
        <f>IFERROR(IF(VLOOKUP(calendar[[#This Row],[Date]],BH!A:A,1,)&lt;&gt;"",1,0),0)</f>
        <v>0</v>
      </c>
      <c r="M1901">
        <f>IFERROR(IF(VLOOKUP(calendar[[#This Row],[Date]],BH!C:C,1,)&lt;&gt;"",1,0),0)</f>
        <v>0</v>
      </c>
      <c r="N1901">
        <f>IFERROR(IF(VLOOKUP(calendar[[#This Row],[Date]],BH!E:E,1,)&lt;&gt;"",1,0),0)</f>
        <v>0</v>
      </c>
      <c r="O1901">
        <f>IFERROR(IF(VLOOKUP(calendar[[#This Row],[Date]],BH!G:G,1,)&lt;&gt;"",1,0),0)</f>
        <v>0</v>
      </c>
      <c r="P1901">
        <f>IF(OR(calendar[[#This Row],[UK_BH]]=1,calendar[[#This Row],[WeekDay]]=1, calendar[[#This Row],[WeekDay]]=7),P1900,P1900+1)</f>
        <v>1357</v>
      </c>
      <c r="Q1901">
        <f>IF(OR(calendar[[#This Row],[FR_BH]]=1,calendar[[#This Row],[WeekDay]]=1, calendar[[#This Row],[WeekDay]]=7),P1900,P1900+1)</f>
        <v>1357</v>
      </c>
      <c r="R1901">
        <f>IF(OR(calendar[[#This Row],[SP_BH]]=1,calendar[[#This Row],[WeekDay]]=1, calendar[[#This Row],[WeekDay]]=7),P1900,P1900+1)</f>
        <v>1357</v>
      </c>
      <c r="S1901">
        <f>IF(OR(calendar[[#This Row],[PT_BH]]=1,calendar[[#This Row],[WeekDay]]=1, calendar[[#This Row],[WeekDay]]=7),P1900,P1900+1)</f>
        <v>1357</v>
      </c>
    </row>
    <row r="1902" spans="1:19" x14ac:dyDescent="0.25">
      <c r="A1902" s="2">
        <v>44636</v>
      </c>
      <c r="B1902" s="1">
        <f t="shared" si="148"/>
        <v>12</v>
      </c>
      <c r="C1902">
        <f t="shared" si="150"/>
        <v>3</v>
      </c>
      <c r="D1902" t="str">
        <f t="shared" si="151"/>
        <v>March</v>
      </c>
      <c r="E1902">
        <f t="shared" si="152"/>
        <v>2022</v>
      </c>
      <c r="F1902" t="str">
        <f>CONCATENATE(calendar[[#This Row],[Month]],"/",calendar[[#This Row],[Year]])</f>
        <v>3/2022</v>
      </c>
      <c r="G1902">
        <f>WEEKDAY(calendar[[#This Row],[Date]],1)</f>
        <v>4</v>
      </c>
      <c r="H1902" t="str">
        <f>TEXT(calendar[[#This Row],[WeekDay]],"dddd")</f>
        <v>Wednesday</v>
      </c>
      <c r="I1902">
        <f>IF((INT(calendar[[#This Row],[Count]]/7)-calendar[[#This Row],[Count]]/7)&lt;0,I1901,I1901+1)</f>
        <v>272</v>
      </c>
      <c r="J1902">
        <f t="shared" si="149"/>
        <v>1900</v>
      </c>
      <c r="K1902">
        <f>IF(calendar[[#This Row],[Month]]&lt;4,1,IF(calendar[[#This Row],[Month]]&lt;7,2,IF(calendar[[#This Row],[Month]]&lt;10,3,4)))</f>
        <v>1</v>
      </c>
      <c r="L1902">
        <f>IFERROR(IF(VLOOKUP(calendar[[#This Row],[Date]],BH!A:A,1,)&lt;&gt;"",1,0),0)</f>
        <v>0</v>
      </c>
      <c r="M1902">
        <f>IFERROR(IF(VLOOKUP(calendar[[#This Row],[Date]],BH!C:C,1,)&lt;&gt;"",1,0),0)</f>
        <v>0</v>
      </c>
      <c r="N1902">
        <f>IFERROR(IF(VLOOKUP(calendar[[#This Row],[Date]],BH!E:E,1,)&lt;&gt;"",1,0),0)</f>
        <v>0</v>
      </c>
      <c r="O1902">
        <f>IFERROR(IF(VLOOKUP(calendar[[#This Row],[Date]],BH!G:G,1,)&lt;&gt;"",1,0),0)</f>
        <v>0</v>
      </c>
      <c r="P1902">
        <f>IF(OR(calendar[[#This Row],[UK_BH]]=1,calendar[[#This Row],[WeekDay]]=1, calendar[[#This Row],[WeekDay]]=7),P1901,P1901+1)</f>
        <v>1358</v>
      </c>
      <c r="Q1902">
        <f>IF(OR(calendar[[#This Row],[FR_BH]]=1,calendar[[#This Row],[WeekDay]]=1, calendar[[#This Row],[WeekDay]]=7),P1901,P1901+1)</f>
        <v>1358</v>
      </c>
      <c r="R1902">
        <f>IF(OR(calendar[[#This Row],[SP_BH]]=1,calendar[[#This Row],[WeekDay]]=1, calendar[[#This Row],[WeekDay]]=7),P1901,P1901+1)</f>
        <v>1358</v>
      </c>
      <c r="S1902">
        <f>IF(OR(calendar[[#This Row],[PT_BH]]=1,calendar[[#This Row],[WeekDay]]=1, calendar[[#This Row],[WeekDay]]=7),P1901,P1901+1)</f>
        <v>1358</v>
      </c>
    </row>
    <row r="1903" spans="1:19" x14ac:dyDescent="0.25">
      <c r="A1903" s="2">
        <v>44637</v>
      </c>
      <c r="B1903" s="1">
        <f t="shared" si="148"/>
        <v>12</v>
      </c>
      <c r="C1903">
        <f t="shared" si="150"/>
        <v>3</v>
      </c>
      <c r="D1903" t="str">
        <f t="shared" si="151"/>
        <v>March</v>
      </c>
      <c r="E1903">
        <f t="shared" si="152"/>
        <v>2022</v>
      </c>
      <c r="F1903" t="str">
        <f>CONCATENATE(calendar[[#This Row],[Month]],"/",calendar[[#This Row],[Year]])</f>
        <v>3/2022</v>
      </c>
      <c r="G1903">
        <f>WEEKDAY(calendar[[#This Row],[Date]],1)</f>
        <v>5</v>
      </c>
      <c r="H1903" t="str">
        <f>TEXT(calendar[[#This Row],[WeekDay]],"dddd")</f>
        <v>Thursday</v>
      </c>
      <c r="I1903">
        <f>IF((INT(calendar[[#This Row],[Count]]/7)-calendar[[#This Row],[Count]]/7)&lt;0,I1902,I1902+1)</f>
        <v>272</v>
      </c>
      <c r="J1903">
        <f t="shared" si="149"/>
        <v>1901</v>
      </c>
      <c r="K1903">
        <f>IF(calendar[[#This Row],[Month]]&lt;4,1,IF(calendar[[#This Row],[Month]]&lt;7,2,IF(calendar[[#This Row],[Month]]&lt;10,3,4)))</f>
        <v>1</v>
      </c>
      <c r="L1903">
        <f>IFERROR(IF(VLOOKUP(calendar[[#This Row],[Date]],BH!A:A,1,)&lt;&gt;"",1,0),0)</f>
        <v>0</v>
      </c>
      <c r="M1903">
        <f>IFERROR(IF(VLOOKUP(calendar[[#This Row],[Date]],BH!C:C,1,)&lt;&gt;"",1,0),0)</f>
        <v>0</v>
      </c>
      <c r="N1903">
        <f>IFERROR(IF(VLOOKUP(calendar[[#This Row],[Date]],BH!E:E,1,)&lt;&gt;"",1,0),0)</f>
        <v>0</v>
      </c>
      <c r="O1903">
        <f>IFERROR(IF(VLOOKUP(calendar[[#This Row],[Date]],BH!G:G,1,)&lt;&gt;"",1,0),0)</f>
        <v>0</v>
      </c>
      <c r="P1903">
        <f>IF(OR(calendar[[#This Row],[UK_BH]]=1,calendar[[#This Row],[WeekDay]]=1, calendar[[#This Row],[WeekDay]]=7),P1902,P1902+1)</f>
        <v>1359</v>
      </c>
      <c r="Q1903">
        <f>IF(OR(calendar[[#This Row],[FR_BH]]=1,calendar[[#This Row],[WeekDay]]=1, calendar[[#This Row],[WeekDay]]=7),P1902,P1902+1)</f>
        <v>1359</v>
      </c>
      <c r="R1903">
        <f>IF(OR(calendar[[#This Row],[SP_BH]]=1,calendar[[#This Row],[WeekDay]]=1, calendar[[#This Row],[WeekDay]]=7),P1902,P1902+1)</f>
        <v>1359</v>
      </c>
      <c r="S1903">
        <f>IF(OR(calendar[[#This Row],[PT_BH]]=1,calendar[[#This Row],[WeekDay]]=1, calendar[[#This Row],[WeekDay]]=7),P1902,P1902+1)</f>
        <v>1359</v>
      </c>
    </row>
    <row r="1904" spans="1:19" x14ac:dyDescent="0.25">
      <c r="A1904" s="2">
        <v>44638</v>
      </c>
      <c r="B1904" s="1">
        <f t="shared" si="148"/>
        <v>12</v>
      </c>
      <c r="C1904">
        <f t="shared" si="150"/>
        <v>3</v>
      </c>
      <c r="D1904" t="str">
        <f t="shared" si="151"/>
        <v>March</v>
      </c>
      <c r="E1904">
        <f t="shared" si="152"/>
        <v>2022</v>
      </c>
      <c r="F1904" t="str">
        <f>CONCATENATE(calendar[[#This Row],[Month]],"/",calendar[[#This Row],[Year]])</f>
        <v>3/2022</v>
      </c>
      <c r="G1904">
        <f>WEEKDAY(calendar[[#This Row],[Date]],1)</f>
        <v>6</v>
      </c>
      <c r="H1904" t="str">
        <f>TEXT(calendar[[#This Row],[WeekDay]],"dddd")</f>
        <v>Friday</v>
      </c>
      <c r="I1904">
        <f>IF((INT(calendar[[#This Row],[Count]]/7)-calendar[[#This Row],[Count]]/7)&lt;0,I1903,I1903+1)</f>
        <v>272</v>
      </c>
      <c r="J1904">
        <f t="shared" si="149"/>
        <v>1902</v>
      </c>
      <c r="K1904">
        <f>IF(calendar[[#This Row],[Month]]&lt;4,1,IF(calendar[[#This Row],[Month]]&lt;7,2,IF(calendar[[#This Row],[Month]]&lt;10,3,4)))</f>
        <v>1</v>
      </c>
      <c r="L1904">
        <f>IFERROR(IF(VLOOKUP(calendar[[#This Row],[Date]],BH!A:A,1,)&lt;&gt;"",1,0),0)</f>
        <v>0</v>
      </c>
      <c r="M1904">
        <f>IFERROR(IF(VLOOKUP(calendar[[#This Row],[Date]],BH!C:C,1,)&lt;&gt;"",1,0),0)</f>
        <v>0</v>
      </c>
      <c r="N1904">
        <f>IFERROR(IF(VLOOKUP(calendar[[#This Row],[Date]],BH!E:E,1,)&lt;&gt;"",1,0),0)</f>
        <v>0</v>
      </c>
      <c r="O1904">
        <f>IFERROR(IF(VLOOKUP(calendar[[#This Row],[Date]],BH!G:G,1,)&lt;&gt;"",1,0),0)</f>
        <v>0</v>
      </c>
      <c r="P1904">
        <f>IF(OR(calendar[[#This Row],[UK_BH]]=1,calendar[[#This Row],[WeekDay]]=1, calendar[[#This Row],[WeekDay]]=7),P1903,P1903+1)</f>
        <v>1360</v>
      </c>
      <c r="Q1904">
        <f>IF(OR(calendar[[#This Row],[FR_BH]]=1,calendar[[#This Row],[WeekDay]]=1, calendar[[#This Row],[WeekDay]]=7),P1903,P1903+1)</f>
        <v>1360</v>
      </c>
      <c r="R1904">
        <f>IF(OR(calendar[[#This Row],[SP_BH]]=1,calendar[[#This Row],[WeekDay]]=1, calendar[[#This Row],[WeekDay]]=7),P1903,P1903+1)</f>
        <v>1360</v>
      </c>
      <c r="S1904">
        <f>IF(OR(calendar[[#This Row],[PT_BH]]=1,calendar[[#This Row],[WeekDay]]=1, calendar[[#This Row],[WeekDay]]=7),P1903,P1903+1)</f>
        <v>1360</v>
      </c>
    </row>
    <row r="1905" spans="1:19" x14ac:dyDescent="0.25">
      <c r="A1905" s="2">
        <v>44639</v>
      </c>
      <c r="B1905" s="1">
        <f t="shared" si="148"/>
        <v>12</v>
      </c>
      <c r="C1905">
        <f t="shared" si="150"/>
        <v>3</v>
      </c>
      <c r="D1905" t="str">
        <f t="shared" si="151"/>
        <v>March</v>
      </c>
      <c r="E1905">
        <f t="shared" si="152"/>
        <v>2022</v>
      </c>
      <c r="F1905" t="str">
        <f>CONCATENATE(calendar[[#This Row],[Month]],"/",calendar[[#This Row],[Year]])</f>
        <v>3/2022</v>
      </c>
      <c r="G1905">
        <f>WEEKDAY(calendar[[#This Row],[Date]],1)</f>
        <v>7</v>
      </c>
      <c r="H1905" t="str">
        <f>TEXT(calendar[[#This Row],[WeekDay]],"dddd")</f>
        <v>Saturday</v>
      </c>
      <c r="I1905">
        <f>IF((INT(calendar[[#This Row],[Count]]/7)-calendar[[#This Row],[Count]]/7)&lt;0,I1904,I1904+1)</f>
        <v>272</v>
      </c>
      <c r="J1905">
        <f t="shared" si="149"/>
        <v>1903</v>
      </c>
      <c r="K1905">
        <f>IF(calendar[[#This Row],[Month]]&lt;4,1,IF(calendar[[#This Row],[Month]]&lt;7,2,IF(calendar[[#This Row],[Month]]&lt;10,3,4)))</f>
        <v>1</v>
      </c>
      <c r="L1905">
        <f>IFERROR(IF(VLOOKUP(calendar[[#This Row],[Date]],BH!A:A,1,)&lt;&gt;"",1,0),0)</f>
        <v>0</v>
      </c>
      <c r="M1905">
        <f>IFERROR(IF(VLOOKUP(calendar[[#This Row],[Date]],BH!C:C,1,)&lt;&gt;"",1,0),0)</f>
        <v>0</v>
      </c>
      <c r="N1905">
        <f>IFERROR(IF(VLOOKUP(calendar[[#This Row],[Date]],BH!E:E,1,)&lt;&gt;"",1,0),0)</f>
        <v>0</v>
      </c>
      <c r="O1905">
        <f>IFERROR(IF(VLOOKUP(calendar[[#This Row],[Date]],BH!G:G,1,)&lt;&gt;"",1,0),0)</f>
        <v>0</v>
      </c>
      <c r="P1905">
        <f>IF(OR(calendar[[#This Row],[UK_BH]]=1,calendar[[#This Row],[WeekDay]]=1, calendar[[#This Row],[WeekDay]]=7),P1904,P1904+1)</f>
        <v>1360</v>
      </c>
      <c r="Q1905">
        <f>IF(OR(calendar[[#This Row],[FR_BH]]=1,calendar[[#This Row],[WeekDay]]=1, calendar[[#This Row],[WeekDay]]=7),P1904,P1904+1)</f>
        <v>1360</v>
      </c>
      <c r="R1905">
        <f>IF(OR(calendar[[#This Row],[SP_BH]]=1,calendar[[#This Row],[WeekDay]]=1, calendar[[#This Row],[WeekDay]]=7),P1904,P1904+1)</f>
        <v>1360</v>
      </c>
      <c r="S1905">
        <f>IF(OR(calendar[[#This Row],[PT_BH]]=1,calendar[[#This Row],[WeekDay]]=1, calendar[[#This Row],[WeekDay]]=7),P1904,P1904+1)</f>
        <v>1360</v>
      </c>
    </row>
    <row r="1906" spans="1:19" x14ac:dyDescent="0.25">
      <c r="A1906" s="2">
        <v>44640</v>
      </c>
      <c r="B1906" s="1">
        <f t="shared" si="148"/>
        <v>13</v>
      </c>
      <c r="C1906">
        <f t="shared" si="150"/>
        <v>3</v>
      </c>
      <c r="D1906" t="str">
        <f t="shared" si="151"/>
        <v>March</v>
      </c>
      <c r="E1906">
        <f t="shared" si="152"/>
        <v>2022</v>
      </c>
      <c r="F1906" t="str">
        <f>CONCATENATE(calendar[[#This Row],[Month]],"/",calendar[[#This Row],[Year]])</f>
        <v>3/2022</v>
      </c>
      <c r="G1906">
        <f>WEEKDAY(calendar[[#This Row],[Date]],1)</f>
        <v>1</v>
      </c>
      <c r="H1906" t="str">
        <f>TEXT(calendar[[#This Row],[WeekDay]],"dddd")</f>
        <v>Sunday</v>
      </c>
      <c r="I1906">
        <f>IF((INT(calendar[[#This Row],[Count]]/7)-calendar[[#This Row],[Count]]/7)&lt;0,I1905,I1905+1)</f>
        <v>273</v>
      </c>
      <c r="J1906">
        <f t="shared" si="149"/>
        <v>1904</v>
      </c>
      <c r="K1906">
        <f>IF(calendar[[#This Row],[Month]]&lt;4,1,IF(calendar[[#This Row],[Month]]&lt;7,2,IF(calendar[[#This Row],[Month]]&lt;10,3,4)))</f>
        <v>1</v>
      </c>
      <c r="L1906">
        <f>IFERROR(IF(VLOOKUP(calendar[[#This Row],[Date]],BH!A:A,1,)&lt;&gt;"",1,0),0)</f>
        <v>0</v>
      </c>
      <c r="M1906">
        <f>IFERROR(IF(VLOOKUP(calendar[[#This Row],[Date]],BH!C:C,1,)&lt;&gt;"",1,0),0)</f>
        <v>0</v>
      </c>
      <c r="N1906">
        <f>IFERROR(IF(VLOOKUP(calendar[[#This Row],[Date]],BH!E:E,1,)&lt;&gt;"",1,0),0)</f>
        <v>0</v>
      </c>
      <c r="O1906">
        <f>IFERROR(IF(VLOOKUP(calendar[[#This Row],[Date]],BH!G:G,1,)&lt;&gt;"",1,0),0)</f>
        <v>0</v>
      </c>
      <c r="P1906">
        <f>IF(OR(calendar[[#This Row],[UK_BH]]=1,calendar[[#This Row],[WeekDay]]=1, calendar[[#This Row],[WeekDay]]=7),P1905,P1905+1)</f>
        <v>1360</v>
      </c>
      <c r="Q1906">
        <f>IF(OR(calendar[[#This Row],[FR_BH]]=1,calendar[[#This Row],[WeekDay]]=1, calendar[[#This Row],[WeekDay]]=7),P1905,P1905+1)</f>
        <v>1360</v>
      </c>
      <c r="R1906">
        <f>IF(OR(calendar[[#This Row],[SP_BH]]=1,calendar[[#This Row],[WeekDay]]=1, calendar[[#This Row],[WeekDay]]=7),P1905,P1905+1)</f>
        <v>1360</v>
      </c>
      <c r="S1906">
        <f>IF(OR(calendar[[#This Row],[PT_BH]]=1,calendar[[#This Row],[WeekDay]]=1, calendar[[#This Row],[WeekDay]]=7),P1905,P1905+1)</f>
        <v>1360</v>
      </c>
    </row>
    <row r="1907" spans="1:19" x14ac:dyDescent="0.25">
      <c r="A1907" s="2">
        <v>44641</v>
      </c>
      <c r="B1907" s="1">
        <f t="shared" si="148"/>
        <v>13</v>
      </c>
      <c r="C1907">
        <f t="shared" si="150"/>
        <v>3</v>
      </c>
      <c r="D1907" t="str">
        <f t="shared" si="151"/>
        <v>March</v>
      </c>
      <c r="E1907">
        <f t="shared" si="152"/>
        <v>2022</v>
      </c>
      <c r="F1907" t="str">
        <f>CONCATENATE(calendar[[#This Row],[Month]],"/",calendar[[#This Row],[Year]])</f>
        <v>3/2022</v>
      </c>
      <c r="G1907">
        <f>WEEKDAY(calendar[[#This Row],[Date]],1)</f>
        <v>2</v>
      </c>
      <c r="H1907" t="str">
        <f>TEXT(calendar[[#This Row],[WeekDay]],"dddd")</f>
        <v>Monday</v>
      </c>
      <c r="I1907">
        <f>IF((INT(calendar[[#This Row],[Count]]/7)-calendar[[#This Row],[Count]]/7)&lt;0,I1906,I1906+1)</f>
        <v>273</v>
      </c>
      <c r="J1907">
        <f t="shared" si="149"/>
        <v>1905</v>
      </c>
      <c r="K1907">
        <f>IF(calendar[[#This Row],[Month]]&lt;4,1,IF(calendar[[#This Row],[Month]]&lt;7,2,IF(calendar[[#This Row],[Month]]&lt;10,3,4)))</f>
        <v>1</v>
      </c>
      <c r="L1907">
        <f>IFERROR(IF(VLOOKUP(calendar[[#This Row],[Date]],BH!A:A,1,)&lt;&gt;"",1,0),0)</f>
        <v>0</v>
      </c>
      <c r="M1907">
        <f>IFERROR(IF(VLOOKUP(calendar[[#This Row],[Date]],BH!C:C,1,)&lt;&gt;"",1,0),0)</f>
        <v>0</v>
      </c>
      <c r="N1907">
        <f>IFERROR(IF(VLOOKUP(calendar[[#This Row],[Date]],BH!E:E,1,)&lt;&gt;"",1,0),0)</f>
        <v>0</v>
      </c>
      <c r="O1907">
        <f>IFERROR(IF(VLOOKUP(calendar[[#This Row],[Date]],BH!G:G,1,)&lt;&gt;"",1,0),0)</f>
        <v>0</v>
      </c>
      <c r="P1907">
        <f>IF(OR(calendar[[#This Row],[UK_BH]]=1,calendar[[#This Row],[WeekDay]]=1, calendar[[#This Row],[WeekDay]]=7),P1906,P1906+1)</f>
        <v>1361</v>
      </c>
      <c r="Q1907">
        <f>IF(OR(calendar[[#This Row],[FR_BH]]=1,calendar[[#This Row],[WeekDay]]=1, calendar[[#This Row],[WeekDay]]=7),P1906,P1906+1)</f>
        <v>1361</v>
      </c>
      <c r="R1907">
        <f>IF(OR(calendar[[#This Row],[SP_BH]]=1,calendar[[#This Row],[WeekDay]]=1, calendar[[#This Row],[WeekDay]]=7),P1906,P1906+1)</f>
        <v>1361</v>
      </c>
      <c r="S1907">
        <f>IF(OR(calendar[[#This Row],[PT_BH]]=1,calendar[[#This Row],[WeekDay]]=1, calendar[[#This Row],[WeekDay]]=7),P1906,P1906+1)</f>
        <v>1361</v>
      </c>
    </row>
    <row r="1908" spans="1:19" x14ac:dyDescent="0.25">
      <c r="A1908" s="2">
        <v>44642</v>
      </c>
      <c r="B1908" s="1">
        <f t="shared" si="148"/>
        <v>13</v>
      </c>
      <c r="C1908">
        <f t="shared" si="150"/>
        <v>3</v>
      </c>
      <c r="D1908" t="str">
        <f t="shared" si="151"/>
        <v>March</v>
      </c>
      <c r="E1908">
        <f t="shared" si="152"/>
        <v>2022</v>
      </c>
      <c r="F1908" t="str">
        <f>CONCATENATE(calendar[[#This Row],[Month]],"/",calendar[[#This Row],[Year]])</f>
        <v>3/2022</v>
      </c>
      <c r="G1908">
        <f>WEEKDAY(calendar[[#This Row],[Date]],1)</f>
        <v>3</v>
      </c>
      <c r="H1908" t="str">
        <f>TEXT(calendar[[#This Row],[WeekDay]],"dddd")</f>
        <v>Tuesday</v>
      </c>
      <c r="I1908">
        <f>IF((INT(calendar[[#This Row],[Count]]/7)-calendar[[#This Row],[Count]]/7)&lt;0,I1907,I1907+1)</f>
        <v>273</v>
      </c>
      <c r="J1908">
        <f t="shared" si="149"/>
        <v>1906</v>
      </c>
      <c r="K1908">
        <f>IF(calendar[[#This Row],[Month]]&lt;4,1,IF(calendar[[#This Row],[Month]]&lt;7,2,IF(calendar[[#This Row],[Month]]&lt;10,3,4)))</f>
        <v>1</v>
      </c>
      <c r="L1908">
        <f>IFERROR(IF(VLOOKUP(calendar[[#This Row],[Date]],BH!A:A,1,)&lt;&gt;"",1,0),0)</f>
        <v>0</v>
      </c>
      <c r="M1908">
        <f>IFERROR(IF(VLOOKUP(calendar[[#This Row],[Date]],BH!C:C,1,)&lt;&gt;"",1,0),0)</f>
        <v>0</v>
      </c>
      <c r="N1908">
        <f>IFERROR(IF(VLOOKUP(calendar[[#This Row],[Date]],BH!E:E,1,)&lt;&gt;"",1,0),0)</f>
        <v>0</v>
      </c>
      <c r="O1908">
        <f>IFERROR(IF(VLOOKUP(calendar[[#This Row],[Date]],BH!G:G,1,)&lt;&gt;"",1,0),0)</f>
        <v>0</v>
      </c>
      <c r="P1908">
        <f>IF(OR(calendar[[#This Row],[UK_BH]]=1,calendar[[#This Row],[WeekDay]]=1, calendar[[#This Row],[WeekDay]]=7),P1907,P1907+1)</f>
        <v>1362</v>
      </c>
      <c r="Q1908">
        <f>IF(OR(calendar[[#This Row],[FR_BH]]=1,calendar[[#This Row],[WeekDay]]=1, calendar[[#This Row],[WeekDay]]=7),P1907,P1907+1)</f>
        <v>1362</v>
      </c>
      <c r="R1908">
        <f>IF(OR(calendar[[#This Row],[SP_BH]]=1,calendar[[#This Row],[WeekDay]]=1, calendar[[#This Row],[WeekDay]]=7),P1907,P1907+1)</f>
        <v>1362</v>
      </c>
      <c r="S1908">
        <f>IF(OR(calendar[[#This Row],[PT_BH]]=1,calendar[[#This Row],[WeekDay]]=1, calendar[[#This Row],[WeekDay]]=7),P1907,P1907+1)</f>
        <v>1362</v>
      </c>
    </row>
    <row r="1909" spans="1:19" x14ac:dyDescent="0.25">
      <c r="A1909" s="2">
        <v>44643</v>
      </c>
      <c r="B1909" s="1">
        <f t="shared" si="148"/>
        <v>13</v>
      </c>
      <c r="C1909">
        <f t="shared" si="150"/>
        <v>3</v>
      </c>
      <c r="D1909" t="str">
        <f t="shared" si="151"/>
        <v>March</v>
      </c>
      <c r="E1909">
        <f t="shared" si="152"/>
        <v>2022</v>
      </c>
      <c r="F1909" t="str">
        <f>CONCATENATE(calendar[[#This Row],[Month]],"/",calendar[[#This Row],[Year]])</f>
        <v>3/2022</v>
      </c>
      <c r="G1909">
        <f>WEEKDAY(calendar[[#This Row],[Date]],1)</f>
        <v>4</v>
      </c>
      <c r="H1909" t="str">
        <f>TEXT(calendar[[#This Row],[WeekDay]],"dddd")</f>
        <v>Wednesday</v>
      </c>
      <c r="I1909">
        <f>IF((INT(calendar[[#This Row],[Count]]/7)-calendar[[#This Row],[Count]]/7)&lt;0,I1908,I1908+1)</f>
        <v>273</v>
      </c>
      <c r="J1909">
        <f t="shared" si="149"/>
        <v>1907</v>
      </c>
      <c r="K1909">
        <f>IF(calendar[[#This Row],[Month]]&lt;4,1,IF(calendar[[#This Row],[Month]]&lt;7,2,IF(calendar[[#This Row],[Month]]&lt;10,3,4)))</f>
        <v>1</v>
      </c>
      <c r="L1909">
        <f>IFERROR(IF(VLOOKUP(calendar[[#This Row],[Date]],BH!A:A,1,)&lt;&gt;"",1,0),0)</f>
        <v>0</v>
      </c>
      <c r="M1909">
        <f>IFERROR(IF(VLOOKUP(calendar[[#This Row],[Date]],BH!C:C,1,)&lt;&gt;"",1,0),0)</f>
        <v>0</v>
      </c>
      <c r="N1909">
        <f>IFERROR(IF(VLOOKUP(calendar[[#This Row],[Date]],BH!E:E,1,)&lt;&gt;"",1,0),0)</f>
        <v>0</v>
      </c>
      <c r="O1909">
        <f>IFERROR(IF(VLOOKUP(calendar[[#This Row],[Date]],BH!G:G,1,)&lt;&gt;"",1,0),0)</f>
        <v>0</v>
      </c>
      <c r="P1909">
        <f>IF(OR(calendar[[#This Row],[UK_BH]]=1,calendar[[#This Row],[WeekDay]]=1, calendar[[#This Row],[WeekDay]]=7),P1908,P1908+1)</f>
        <v>1363</v>
      </c>
      <c r="Q1909">
        <f>IF(OR(calendar[[#This Row],[FR_BH]]=1,calendar[[#This Row],[WeekDay]]=1, calendar[[#This Row],[WeekDay]]=7),P1908,P1908+1)</f>
        <v>1363</v>
      </c>
      <c r="R1909">
        <f>IF(OR(calendar[[#This Row],[SP_BH]]=1,calendar[[#This Row],[WeekDay]]=1, calendar[[#This Row],[WeekDay]]=7),P1908,P1908+1)</f>
        <v>1363</v>
      </c>
      <c r="S1909">
        <f>IF(OR(calendar[[#This Row],[PT_BH]]=1,calendar[[#This Row],[WeekDay]]=1, calendar[[#This Row],[WeekDay]]=7),P1908,P1908+1)</f>
        <v>1363</v>
      </c>
    </row>
    <row r="1910" spans="1:19" x14ac:dyDescent="0.25">
      <c r="A1910" s="2">
        <v>44644</v>
      </c>
      <c r="B1910" s="1">
        <f t="shared" si="148"/>
        <v>13</v>
      </c>
      <c r="C1910">
        <f t="shared" si="150"/>
        <v>3</v>
      </c>
      <c r="D1910" t="str">
        <f t="shared" si="151"/>
        <v>March</v>
      </c>
      <c r="E1910">
        <f t="shared" si="152"/>
        <v>2022</v>
      </c>
      <c r="F1910" t="str">
        <f>CONCATENATE(calendar[[#This Row],[Month]],"/",calendar[[#This Row],[Year]])</f>
        <v>3/2022</v>
      </c>
      <c r="G1910">
        <f>WEEKDAY(calendar[[#This Row],[Date]],1)</f>
        <v>5</v>
      </c>
      <c r="H1910" t="str">
        <f>TEXT(calendar[[#This Row],[WeekDay]],"dddd")</f>
        <v>Thursday</v>
      </c>
      <c r="I1910">
        <f>IF((INT(calendar[[#This Row],[Count]]/7)-calendar[[#This Row],[Count]]/7)&lt;0,I1909,I1909+1)</f>
        <v>273</v>
      </c>
      <c r="J1910">
        <f t="shared" si="149"/>
        <v>1908</v>
      </c>
      <c r="K1910">
        <f>IF(calendar[[#This Row],[Month]]&lt;4,1,IF(calendar[[#This Row],[Month]]&lt;7,2,IF(calendar[[#This Row],[Month]]&lt;10,3,4)))</f>
        <v>1</v>
      </c>
      <c r="L1910">
        <f>IFERROR(IF(VLOOKUP(calendar[[#This Row],[Date]],BH!A:A,1,)&lt;&gt;"",1,0),0)</f>
        <v>0</v>
      </c>
      <c r="M1910">
        <f>IFERROR(IF(VLOOKUP(calendar[[#This Row],[Date]],BH!C:C,1,)&lt;&gt;"",1,0),0)</f>
        <v>0</v>
      </c>
      <c r="N1910">
        <f>IFERROR(IF(VLOOKUP(calendar[[#This Row],[Date]],BH!E:E,1,)&lt;&gt;"",1,0),0)</f>
        <v>0</v>
      </c>
      <c r="O1910">
        <f>IFERROR(IF(VLOOKUP(calendar[[#This Row],[Date]],BH!G:G,1,)&lt;&gt;"",1,0),0)</f>
        <v>0</v>
      </c>
      <c r="P1910">
        <f>IF(OR(calendar[[#This Row],[UK_BH]]=1,calendar[[#This Row],[WeekDay]]=1, calendar[[#This Row],[WeekDay]]=7),P1909,P1909+1)</f>
        <v>1364</v>
      </c>
      <c r="Q1910">
        <f>IF(OR(calendar[[#This Row],[FR_BH]]=1,calendar[[#This Row],[WeekDay]]=1, calendar[[#This Row],[WeekDay]]=7),P1909,P1909+1)</f>
        <v>1364</v>
      </c>
      <c r="R1910">
        <f>IF(OR(calendar[[#This Row],[SP_BH]]=1,calendar[[#This Row],[WeekDay]]=1, calendar[[#This Row],[WeekDay]]=7),P1909,P1909+1)</f>
        <v>1364</v>
      </c>
      <c r="S1910">
        <f>IF(OR(calendar[[#This Row],[PT_BH]]=1,calendar[[#This Row],[WeekDay]]=1, calendar[[#This Row],[WeekDay]]=7),P1909,P1909+1)</f>
        <v>1364</v>
      </c>
    </row>
    <row r="1911" spans="1:19" x14ac:dyDescent="0.25">
      <c r="A1911" s="2">
        <v>44645</v>
      </c>
      <c r="B1911" s="1">
        <f t="shared" si="148"/>
        <v>13</v>
      </c>
      <c r="C1911">
        <f t="shared" si="150"/>
        <v>3</v>
      </c>
      <c r="D1911" t="str">
        <f t="shared" si="151"/>
        <v>March</v>
      </c>
      <c r="E1911">
        <f t="shared" si="152"/>
        <v>2022</v>
      </c>
      <c r="F1911" t="str">
        <f>CONCATENATE(calendar[[#This Row],[Month]],"/",calendar[[#This Row],[Year]])</f>
        <v>3/2022</v>
      </c>
      <c r="G1911">
        <f>WEEKDAY(calendar[[#This Row],[Date]],1)</f>
        <v>6</v>
      </c>
      <c r="H1911" t="str">
        <f>TEXT(calendar[[#This Row],[WeekDay]],"dddd")</f>
        <v>Friday</v>
      </c>
      <c r="I1911">
        <f>IF((INT(calendar[[#This Row],[Count]]/7)-calendar[[#This Row],[Count]]/7)&lt;0,I1910,I1910+1)</f>
        <v>273</v>
      </c>
      <c r="J1911">
        <f t="shared" si="149"/>
        <v>1909</v>
      </c>
      <c r="K1911">
        <f>IF(calendar[[#This Row],[Month]]&lt;4,1,IF(calendar[[#This Row],[Month]]&lt;7,2,IF(calendar[[#This Row],[Month]]&lt;10,3,4)))</f>
        <v>1</v>
      </c>
      <c r="L1911">
        <f>IFERROR(IF(VLOOKUP(calendar[[#This Row],[Date]],BH!A:A,1,)&lt;&gt;"",1,0),0)</f>
        <v>0</v>
      </c>
      <c r="M1911">
        <f>IFERROR(IF(VLOOKUP(calendar[[#This Row],[Date]],BH!C:C,1,)&lt;&gt;"",1,0),0)</f>
        <v>0</v>
      </c>
      <c r="N1911">
        <f>IFERROR(IF(VLOOKUP(calendar[[#This Row],[Date]],BH!E:E,1,)&lt;&gt;"",1,0),0)</f>
        <v>0</v>
      </c>
      <c r="O1911">
        <f>IFERROR(IF(VLOOKUP(calendar[[#This Row],[Date]],BH!G:G,1,)&lt;&gt;"",1,0),0)</f>
        <v>0</v>
      </c>
      <c r="P1911">
        <f>IF(OR(calendar[[#This Row],[UK_BH]]=1,calendar[[#This Row],[WeekDay]]=1, calendar[[#This Row],[WeekDay]]=7),P1910,P1910+1)</f>
        <v>1365</v>
      </c>
      <c r="Q1911">
        <f>IF(OR(calendar[[#This Row],[FR_BH]]=1,calendar[[#This Row],[WeekDay]]=1, calendar[[#This Row],[WeekDay]]=7),P1910,P1910+1)</f>
        <v>1365</v>
      </c>
      <c r="R1911">
        <f>IF(OR(calendar[[#This Row],[SP_BH]]=1,calendar[[#This Row],[WeekDay]]=1, calendar[[#This Row],[WeekDay]]=7),P1910,P1910+1)</f>
        <v>1365</v>
      </c>
      <c r="S1911">
        <f>IF(OR(calendar[[#This Row],[PT_BH]]=1,calendar[[#This Row],[WeekDay]]=1, calendar[[#This Row],[WeekDay]]=7),P1910,P1910+1)</f>
        <v>1365</v>
      </c>
    </row>
    <row r="1912" spans="1:19" x14ac:dyDescent="0.25">
      <c r="A1912" s="2">
        <v>44646</v>
      </c>
      <c r="B1912" s="1">
        <f t="shared" si="148"/>
        <v>13</v>
      </c>
      <c r="C1912">
        <f t="shared" si="150"/>
        <v>3</v>
      </c>
      <c r="D1912" t="str">
        <f t="shared" si="151"/>
        <v>March</v>
      </c>
      <c r="E1912">
        <f t="shared" si="152"/>
        <v>2022</v>
      </c>
      <c r="F1912" t="str">
        <f>CONCATENATE(calendar[[#This Row],[Month]],"/",calendar[[#This Row],[Year]])</f>
        <v>3/2022</v>
      </c>
      <c r="G1912">
        <f>WEEKDAY(calendar[[#This Row],[Date]],1)</f>
        <v>7</v>
      </c>
      <c r="H1912" t="str">
        <f>TEXT(calendar[[#This Row],[WeekDay]],"dddd")</f>
        <v>Saturday</v>
      </c>
      <c r="I1912">
        <f>IF((INT(calendar[[#This Row],[Count]]/7)-calendar[[#This Row],[Count]]/7)&lt;0,I1911,I1911+1)</f>
        <v>273</v>
      </c>
      <c r="J1912">
        <f t="shared" si="149"/>
        <v>1910</v>
      </c>
      <c r="K1912">
        <f>IF(calendar[[#This Row],[Month]]&lt;4,1,IF(calendar[[#This Row],[Month]]&lt;7,2,IF(calendar[[#This Row],[Month]]&lt;10,3,4)))</f>
        <v>1</v>
      </c>
      <c r="L1912">
        <f>IFERROR(IF(VLOOKUP(calendar[[#This Row],[Date]],BH!A:A,1,)&lt;&gt;"",1,0),0)</f>
        <v>0</v>
      </c>
      <c r="M1912">
        <f>IFERROR(IF(VLOOKUP(calendar[[#This Row],[Date]],BH!C:C,1,)&lt;&gt;"",1,0),0)</f>
        <v>0</v>
      </c>
      <c r="N1912">
        <f>IFERROR(IF(VLOOKUP(calendar[[#This Row],[Date]],BH!E:E,1,)&lt;&gt;"",1,0),0)</f>
        <v>0</v>
      </c>
      <c r="O1912">
        <f>IFERROR(IF(VLOOKUP(calendar[[#This Row],[Date]],BH!G:G,1,)&lt;&gt;"",1,0),0)</f>
        <v>0</v>
      </c>
      <c r="P1912">
        <f>IF(OR(calendar[[#This Row],[UK_BH]]=1,calendar[[#This Row],[WeekDay]]=1, calendar[[#This Row],[WeekDay]]=7),P1911,P1911+1)</f>
        <v>1365</v>
      </c>
      <c r="Q1912">
        <f>IF(OR(calendar[[#This Row],[FR_BH]]=1,calendar[[#This Row],[WeekDay]]=1, calendar[[#This Row],[WeekDay]]=7),P1911,P1911+1)</f>
        <v>1365</v>
      </c>
      <c r="R1912">
        <f>IF(OR(calendar[[#This Row],[SP_BH]]=1,calendar[[#This Row],[WeekDay]]=1, calendar[[#This Row],[WeekDay]]=7),P1911,P1911+1)</f>
        <v>1365</v>
      </c>
      <c r="S1912">
        <f>IF(OR(calendar[[#This Row],[PT_BH]]=1,calendar[[#This Row],[WeekDay]]=1, calendar[[#This Row],[WeekDay]]=7),P1911,P1911+1)</f>
        <v>1365</v>
      </c>
    </row>
    <row r="1913" spans="1:19" x14ac:dyDescent="0.25">
      <c r="A1913" s="2">
        <v>44647</v>
      </c>
      <c r="B1913" s="1">
        <f t="shared" si="148"/>
        <v>14</v>
      </c>
      <c r="C1913">
        <f t="shared" si="150"/>
        <v>3</v>
      </c>
      <c r="D1913" t="str">
        <f t="shared" si="151"/>
        <v>March</v>
      </c>
      <c r="E1913">
        <f t="shared" si="152"/>
        <v>2022</v>
      </c>
      <c r="F1913" t="str">
        <f>CONCATENATE(calendar[[#This Row],[Month]],"/",calendar[[#This Row],[Year]])</f>
        <v>3/2022</v>
      </c>
      <c r="G1913">
        <f>WEEKDAY(calendar[[#This Row],[Date]],1)</f>
        <v>1</v>
      </c>
      <c r="H1913" t="str">
        <f>TEXT(calendar[[#This Row],[WeekDay]],"dddd")</f>
        <v>Sunday</v>
      </c>
      <c r="I1913">
        <f>IF((INT(calendar[[#This Row],[Count]]/7)-calendar[[#This Row],[Count]]/7)&lt;0,I1912,I1912+1)</f>
        <v>274</v>
      </c>
      <c r="J1913">
        <f t="shared" si="149"/>
        <v>1911</v>
      </c>
      <c r="K1913">
        <f>IF(calendar[[#This Row],[Month]]&lt;4,1,IF(calendar[[#This Row],[Month]]&lt;7,2,IF(calendar[[#This Row],[Month]]&lt;10,3,4)))</f>
        <v>1</v>
      </c>
      <c r="L1913">
        <f>IFERROR(IF(VLOOKUP(calendar[[#This Row],[Date]],BH!A:A,1,)&lt;&gt;"",1,0),0)</f>
        <v>0</v>
      </c>
      <c r="M1913">
        <f>IFERROR(IF(VLOOKUP(calendar[[#This Row],[Date]],BH!C:C,1,)&lt;&gt;"",1,0),0)</f>
        <v>0</v>
      </c>
      <c r="N1913">
        <f>IFERROR(IF(VLOOKUP(calendar[[#This Row],[Date]],BH!E:E,1,)&lt;&gt;"",1,0),0)</f>
        <v>0</v>
      </c>
      <c r="O1913">
        <f>IFERROR(IF(VLOOKUP(calendar[[#This Row],[Date]],BH!G:G,1,)&lt;&gt;"",1,0),0)</f>
        <v>0</v>
      </c>
      <c r="P1913">
        <f>IF(OR(calendar[[#This Row],[UK_BH]]=1,calendar[[#This Row],[WeekDay]]=1, calendar[[#This Row],[WeekDay]]=7),P1912,P1912+1)</f>
        <v>1365</v>
      </c>
      <c r="Q1913">
        <f>IF(OR(calendar[[#This Row],[FR_BH]]=1,calendar[[#This Row],[WeekDay]]=1, calendar[[#This Row],[WeekDay]]=7),P1912,P1912+1)</f>
        <v>1365</v>
      </c>
      <c r="R1913">
        <f>IF(OR(calendar[[#This Row],[SP_BH]]=1,calendar[[#This Row],[WeekDay]]=1, calendar[[#This Row],[WeekDay]]=7),P1912,P1912+1)</f>
        <v>1365</v>
      </c>
      <c r="S1913">
        <f>IF(OR(calendar[[#This Row],[PT_BH]]=1,calendar[[#This Row],[WeekDay]]=1, calendar[[#This Row],[WeekDay]]=7),P1912,P1912+1)</f>
        <v>1365</v>
      </c>
    </row>
    <row r="1914" spans="1:19" x14ac:dyDescent="0.25">
      <c r="A1914" s="2">
        <v>44648</v>
      </c>
      <c r="B1914" s="1">
        <f t="shared" si="148"/>
        <v>14</v>
      </c>
      <c r="C1914">
        <f t="shared" si="150"/>
        <v>3</v>
      </c>
      <c r="D1914" t="str">
        <f t="shared" si="151"/>
        <v>March</v>
      </c>
      <c r="E1914">
        <f t="shared" si="152"/>
        <v>2022</v>
      </c>
      <c r="F1914" t="str">
        <f>CONCATENATE(calendar[[#This Row],[Month]],"/",calendar[[#This Row],[Year]])</f>
        <v>3/2022</v>
      </c>
      <c r="G1914">
        <f>WEEKDAY(calendar[[#This Row],[Date]],1)</f>
        <v>2</v>
      </c>
      <c r="H1914" t="str">
        <f>TEXT(calendar[[#This Row],[WeekDay]],"dddd")</f>
        <v>Monday</v>
      </c>
      <c r="I1914">
        <f>IF((INT(calendar[[#This Row],[Count]]/7)-calendar[[#This Row],[Count]]/7)&lt;0,I1913,I1913+1)</f>
        <v>274</v>
      </c>
      <c r="J1914">
        <f t="shared" si="149"/>
        <v>1912</v>
      </c>
      <c r="K1914">
        <f>IF(calendar[[#This Row],[Month]]&lt;4,1,IF(calendar[[#This Row],[Month]]&lt;7,2,IF(calendar[[#This Row],[Month]]&lt;10,3,4)))</f>
        <v>1</v>
      </c>
      <c r="L1914">
        <f>IFERROR(IF(VLOOKUP(calendar[[#This Row],[Date]],BH!A:A,1,)&lt;&gt;"",1,0),0)</f>
        <v>0</v>
      </c>
      <c r="M1914">
        <f>IFERROR(IF(VLOOKUP(calendar[[#This Row],[Date]],BH!C:C,1,)&lt;&gt;"",1,0),0)</f>
        <v>0</v>
      </c>
      <c r="N1914">
        <f>IFERROR(IF(VLOOKUP(calendar[[#This Row],[Date]],BH!E:E,1,)&lt;&gt;"",1,0),0)</f>
        <v>0</v>
      </c>
      <c r="O1914">
        <f>IFERROR(IF(VLOOKUP(calendar[[#This Row],[Date]],BH!G:G,1,)&lt;&gt;"",1,0),0)</f>
        <v>0</v>
      </c>
      <c r="P1914">
        <f>IF(OR(calendar[[#This Row],[UK_BH]]=1,calendar[[#This Row],[WeekDay]]=1, calendar[[#This Row],[WeekDay]]=7),P1913,P1913+1)</f>
        <v>1366</v>
      </c>
      <c r="Q1914">
        <f>IF(OR(calendar[[#This Row],[FR_BH]]=1,calendar[[#This Row],[WeekDay]]=1, calendar[[#This Row],[WeekDay]]=7),P1913,P1913+1)</f>
        <v>1366</v>
      </c>
      <c r="R1914">
        <f>IF(OR(calendar[[#This Row],[SP_BH]]=1,calendar[[#This Row],[WeekDay]]=1, calendar[[#This Row],[WeekDay]]=7),P1913,P1913+1)</f>
        <v>1366</v>
      </c>
      <c r="S1914">
        <f>IF(OR(calendar[[#This Row],[PT_BH]]=1,calendar[[#This Row],[WeekDay]]=1, calendar[[#This Row],[WeekDay]]=7),P1913,P1913+1)</f>
        <v>1366</v>
      </c>
    </row>
    <row r="1915" spans="1:19" x14ac:dyDescent="0.25">
      <c r="A1915" s="2">
        <v>44649</v>
      </c>
      <c r="B1915" s="1">
        <f t="shared" si="148"/>
        <v>14</v>
      </c>
      <c r="C1915">
        <f t="shared" si="150"/>
        <v>3</v>
      </c>
      <c r="D1915" t="str">
        <f t="shared" si="151"/>
        <v>March</v>
      </c>
      <c r="E1915">
        <f t="shared" si="152"/>
        <v>2022</v>
      </c>
      <c r="F1915" t="str">
        <f>CONCATENATE(calendar[[#This Row],[Month]],"/",calendar[[#This Row],[Year]])</f>
        <v>3/2022</v>
      </c>
      <c r="G1915">
        <f>WEEKDAY(calendar[[#This Row],[Date]],1)</f>
        <v>3</v>
      </c>
      <c r="H1915" t="str">
        <f>TEXT(calendar[[#This Row],[WeekDay]],"dddd")</f>
        <v>Tuesday</v>
      </c>
      <c r="I1915">
        <f>IF((INT(calendar[[#This Row],[Count]]/7)-calendar[[#This Row],[Count]]/7)&lt;0,I1914,I1914+1)</f>
        <v>274</v>
      </c>
      <c r="J1915">
        <f t="shared" si="149"/>
        <v>1913</v>
      </c>
      <c r="K1915">
        <f>IF(calendar[[#This Row],[Month]]&lt;4,1,IF(calendar[[#This Row],[Month]]&lt;7,2,IF(calendar[[#This Row],[Month]]&lt;10,3,4)))</f>
        <v>1</v>
      </c>
      <c r="L1915">
        <f>IFERROR(IF(VLOOKUP(calendar[[#This Row],[Date]],BH!A:A,1,)&lt;&gt;"",1,0),0)</f>
        <v>0</v>
      </c>
      <c r="M1915">
        <f>IFERROR(IF(VLOOKUP(calendar[[#This Row],[Date]],BH!C:C,1,)&lt;&gt;"",1,0),0)</f>
        <v>0</v>
      </c>
      <c r="N1915">
        <f>IFERROR(IF(VLOOKUP(calendar[[#This Row],[Date]],BH!E:E,1,)&lt;&gt;"",1,0),0)</f>
        <v>0</v>
      </c>
      <c r="O1915">
        <f>IFERROR(IF(VLOOKUP(calendar[[#This Row],[Date]],BH!G:G,1,)&lt;&gt;"",1,0),0)</f>
        <v>0</v>
      </c>
      <c r="P1915">
        <f>IF(OR(calendar[[#This Row],[UK_BH]]=1,calendar[[#This Row],[WeekDay]]=1, calendar[[#This Row],[WeekDay]]=7),P1914,P1914+1)</f>
        <v>1367</v>
      </c>
      <c r="Q1915">
        <f>IF(OR(calendar[[#This Row],[FR_BH]]=1,calendar[[#This Row],[WeekDay]]=1, calendar[[#This Row],[WeekDay]]=7),P1914,P1914+1)</f>
        <v>1367</v>
      </c>
      <c r="R1915">
        <f>IF(OR(calendar[[#This Row],[SP_BH]]=1,calendar[[#This Row],[WeekDay]]=1, calendar[[#This Row],[WeekDay]]=7),P1914,P1914+1)</f>
        <v>1367</v>
      </c>
      <c r="S1915">
        <f>IF(OR(calendar[[#This Row],[PT_BH]]=1,calendar[[#This Row],[WeekDay]]=1, calendar[[#This Row],[WeekDay]]=7),P1914,P1914+1)</f>
        <v>1367</v>
      </c>
    </row>
    <row r="1916" spans="1:19" x14ac:dyDescent="0.25">
      <c r="A1916" s="2">
        <v>44650</v>
      </c>
      <c r="B1916" s="1">
        <f t="shared" si="148"/>
        <v>14</v>
      </c>
      <c r="C1916">
        <f t="shared" si="150"/>
        <v>3</v>
      </c>
      <c r="D1916" t="str">
        <f t="shared" si="151"/>
        <v>March</v>
      </c>
      <c r="E1916">
        <f t="shared" si="152"/>
        <v>2022</v>
      </c>
      <c r="F1916" t="str">
        <f>CONCATENATE(calendar[[#This Row],[Month]],"/",calendar[[#This Row],[Year]])</f>
        <v>3/2022</v>
      </c>
      <c r="G1916">
        <f>WEEKDAY(calendar[[#This Row],[Date]],1)</f>
        <v>4</v>
      </c>
      <c r="H1916" t="str">
        <f>TEXT(calendar[[#This Row],[WeekDay]],"dddd")</f>
        <v>Wednesday</v>
      </c>
      <c r="I1916">
        <f>IF((INT(calendar[[#This Row],[Count]]/7)-calendar[[#This Row],[Count]]/7)&lt;0,I1915,I1915+1)</f>
        <v>274</v>
      </c>
      <c r="J1916">
        <f t="shared" si="149"/>
        <v>1914</v>
      </c>
      <c r="K1916">
        <f>IF(calendar[[#This Row],[Month]]&lt;4,1,IF(calendar[[#This Row],[Month]]&lt;7,2,IF(calendar[[#This Row],[Month]]&lt;10,3,4)))</f>
        <v>1</v>
      </c>
      <c r="L1916">
        <f>IFERROR(IF(VLOOKUP(calendar[[#This Row],[Date]],BH!A:A,1,)&lt;&gt;"",1,0),0)</f>
        <v>0</v>
      </c>
      <c r="M1916">
        <f>IFERROR(IF(VLOOKUP(calendar[[#This Row],[Date]],BH!C:C,1,)&lt;&gt;"",1,0),0)</f>
        <v>0</v>
      </c>
      <c r="N1916">
        <f>IFERROR(IF(VLOOKUP(calendar[[#This Row],[Date]],BH!E:E,1,)&lt;&gt;"",1,0),0)</f>
        <v>0</v>
      </c>
      <c r="O1916">
        <f>IFERROR(IF(VLOOKUP(calendar[[#This Row],[Date]],BH!G:G,1,)&lt;&gt;"",1,0),0)</f>
        <v>0</v>
      </c>
      <c r="P1916">
        <f>IF(OR(calendar[[#This Row],[UK_BH]]=1,calendar[[#This Row],[WeekDay]]=1, calendar[[#This Row],[WeekDay]]=7),P1915,P1915+1)</f>
        <v>1368</v>
      </c>
      <c r="Q1916">
        <f>IF(OR(calendar[[#This Row],[FR_BH]]=1,calendar[[#This Row],[WeekDay]]=1, calendar[[#This Row],[WeekDay]]=7),P1915,P1915+1)</f>
        <v>1368</v>
      </c>
      <c r="R1916">
        <f>IF(OR(calendar[[#This Row],[SP_BH]]=1,calendar[[#This Row],[WeekDay]]=1, calendar[[#This Row],[WeekDay]]=7),P1915,P1915+1)</f>
        <v>1368</v>
      </c>
      <c r="S1916">
        <f>IF(OR(calendar[[#This Row],[PT_BH]]=1,calendar[[#This Row],[WeekDay]]=1, calendar[[#This Row],[WeekDay]]=7),P1915,P1915+1)</f>
        <v>1368</v>
      </c>
    </row>
    <row r="1917" spans="1:19" x14ac:dyDescent="0.25">
      <c r="A1917" s="2">
        <v>44651</v>
      </c>
      <c r="B1917" s="1">
        <f t="shared" si="148"/>
        <v>14</v>
      </c>
      <c r="C1917">
        <f t="shared" si="150"/>
        <v>3</v>
      </c>
      <c r="D1917" t="str">
        <f t="shared" si="151"/>
        <v>March</v>
      </c>
      <c r="E1917">
        <f t="shared" si="152"/>
        <v>2022</v>
      </c>
      <c r="F1917" t="str">
        <f>CONCATENATE(calendar[[#This Row],[Month]],"/",calendar[[#This Row],[Year]])</f>
        <v>3/2022</v>
      </c>
      <c r="G1917">
        <f>WEEKDAY(calendar[[#This Row],[Date]],1)</f>
        <v>5</v>
      </c>
      <c r="H1917" t="str">
        <f>TEXT(calendar[[#This Row],[WeekDay]],"dddd")</f>
        <v>Thursday</v>
      </c>
      <c r="I1917">
        <f>IF((INT(calendar[[#This Row],[Count]]/7)-calendar[[#This Row],[Count]]/7)&lt;0,I1916,I1916+1)</f>
        <v>274</v>
      </c>
      <c r="J1917">
        <f t="shared" si="149"/>
        <v>1915</v>
      </c>
      <c r="K1917">
        <f>IF(calendar[[#This Row],[Month]]&lt;4,1,IF(calendar[[#This Row],[Month]]&lt;7,2,IF(calendar[[#This Row],[Month]]&lt;10,3,4)))</f>
        <v>1</v>
      </c>
      <c r="L1917">
        <f>IFERROR(IF(VLOOKUP(calendar[[#This Row],[Date]],BH!A:A,1,)&lt;&gt;"",1,0),0)</f>
        <v>0</v>
      </c>
      <c r="M1917">
        <f>IFERROR(IF(VLOOKUP(calendar[[#This Row],[Date]],BH!C:C,1,)&lt;&gt;"",1,0),0)</f>
        <v>0</v>
      </c>
      <c r="N1917">
        <f>IFERROR(IF(VLOOKUP(calendar[[#This Row],[Date]],BH!E:E,1,)&lt;&gt;"",1,0),0)</f>
        <v>0</v>
      </c>
      <c r="O1917">
        <f>IFERROR(IF(VLOOKUP(calendar[[#This Row],[Date]],BH!G:G,1,)&lt;&gt;"",1,0),0)</f>
        <v>0</v>
      </c>
      <c r="P1917">
        <f>IF(OR(calendar[[#This Row],[UK_BH]]=1,calendar[[#This Row],[WeekDay]]=1, calendar[[#This Row],[WeekDay]]=7),P1916,P1916+1)</f>
        <v>1369</v>
      </c>
      <c r="Q1917">
        <f>IF(OR(calendar[[#This Row],[FR_BH]]=1,calendar[[#This Row],[WeekDay]]=1, calendar[[#This Row],[WeekDay]]=7),P1916,P1916+1)</f>
        <v>1369</v>
      </c>
      <c r="R1917">
        <f>IF(OR(calendar[[#This Row],[SP_BH]]=1,calendar[[#This Row],[WeekDay]]=1, calendar[[#This Row],[WeekDay]]=7),P1916,P1916+1)</f>
        <v>1369</v>
      </c>
      <c r="S1917">
        <f>IF(OR(calendar[[#This Row],[PT_BH]]=1,calendar[[#This Row],[WeekDay]]=1, calendar[[#This Row],[WeekDay]]=7),P1916,P1916+1)</f>
        <v>1369</v>
      </c>
    </row>
    <row r="1918" spans="1:19" x14ac:dyDescent="0.25">
      <c r="A1918" s="2">
        <v>44652</v>
      </c>
      <c r="B1918" s="1">
        <f t="shared" si="148"/>
        <v>14</v>
      </c>
      <c r="C1918">
        <f t="shared" si="150"/>
        <v>4</v>
      </c>
      <c r="D1918" t="str">
        <f t="shared" si="151"/>
        <v>April</v>
      </c>
      <c r="E1918">
        <f t="shared" si="152"/>
        <v>2022</v>
      </c>
      <c r="F1918" t="str">
        <f>CONCATENATE(calendar[[#This Row],[Month]],"/",calendar[[#This Row],[Year]])</f>
        <v>4/2022</v>
      </c>
      <c r="G1918">
        <f>WEEKDAY(calendar[[#This Row],[Date]],1)</f>
        <v>6</v>
      </c>
      <c r="H1918" t="str">
        <f>TEXT(calendar[[#This Row],[WeekDay]],"dddd")</f>
        <v>Friday</v>
      </c>
      <c r="I1918">
        <f>IF((INT(calendar[[#This Row],[Count]]/7)-calendar[[#This Row],[Count]]/7)&lt;0,I1917,I1917+1)</f>
        <v>274</v>
      </c>
      <c r="J1918">
        <f t="shared" si="149"/>
        <v>1916</v>
      </c>
      <c r="K1918">
        <f>IF(calendar[[#This Row],[Month]]&lt;4,1,IF(calendar[[#This Row],[Month]]&lt;7,2,IF(calendar[[#This Row],[Month]]&lt;10,3,4)))</f>
        <v>2</v>
      </c>
      <c r="L1918">
        <f>IFERROR(IF(VLOOKUP(calendar[[#This Row],[Date]],BH!A:A,1,)&lt;&gt;"",1,0),0)</f>
        <v>0</v>
      </c>
      <c r="M1918">
        <f>IFERROR(IF(VLOOKUP(calendar[[#This Row],[Date]],BH!C:C,1,)&lt;&gt;"",1,0),0)</f>
        <v>0</v>
      </c>
      <c r="N1918">
        <f>IFERROR(IF(VLOOKUP(calendar[[#This Row],[Date]],BH!E:E,1,)&lt;&gt;"",1,0),0)</f>
        <v>0</v>
      </c>
      <c r="O1918">
        <f>IFERROR(IF(VLOOKUP(calendar[[#This Row],[Date]],BH!G:G,1,)&lt;&gt;"",1,0),0)</f>
        <v>0</v>
      </c>
      <c r="P1918">
        <f>IF(OR(calendar[[#This Row],[UK_BH]]=1,calendar[[#This Row],[WeekDay]]=1, calendar[[#This Row],[WeekDay]]=7),P1917,P1917+1)</f>
        <v>1370</v>
      </c>
      <c r="Q1918">
        <f>IF(OR(calendar[[#This Row],[FR_BH]]=1,calendar[[#This Row],[WeekDay]]=1, calendar[[#This Row],[WeekDay]]=7),P1917,P1917+1)</f>
        <v>1370</v>
      </c>
      <c r="R1918">
        <f>IF(OR(calendar[[#This Row],[SP_BH]]=1,calendar[[#This Row],[WeekDay]]=1, calendar[[#This Row],[WeekDay]]=7),P1917,P1917+1)</f>
        <v>1370</v>
      </c>
      <c r="S1918">
        <f>IF(OR(calendar[[#This Row],[PT_BH]]=1,calendar[[#This Row],[WeekDay]]=1, calendar[[#This Row],[WeekDay]]=7),P1917,P1917+1)</f>
        <v>1370</v>
      </c>
    </row>
    <row r="1919" spans="1:19" x14ac:dyDescent="0.25">
      <c r="A1919" s="2">
        <v>44653</v>
      </c>
      <c r="B1919" s="1">
        <f t="shared" si="148"/>
        <v>14</v>
      </c>
      <c r="C1919">
        <f t="shared" si="150"/>
        <v>4</v>
      </c>
      <c r="D1919" t="str">
        <f t="shared" si="151"/>
        <v>April</v>
      </c>
      <c r="E1919">
        <f t="shared" si="152"/>
        <v>2022</v>
      </c>
      <c r="F1919" t="str">
        <f>CONCATENATE(calendar[[#This Row],[Month]],"/",calendar[[#This Row],[Year]])</f>
        <v>4/2022</v>
      </c>
      <c r="G1919">
        <f>WEEKDAY(calendar[[#This Row],[Date]],1)</f>
        <v>7</v>
      </c>
      <c r="H1919" t="str">
        <f>TEXT(calendar[[#This Row],[WeekDay]],"dddd")</f>
        <v>Saturday</v>
      </c>
      <c r="I1919">
        <f>IF((INT(calendar[[#This Row],[Count]]/7)-calendar[[#This Row],[Count]]/7)&lt;0,I1918,I1918+1)</f>
        <v>274</v>
      </c>
      <c r="J1919">
        <f t="shared" si="149"/>
        <v>1917</v>
      </c>
      <c r="K1919">
        <f>IF(calendar[[#This Row],[Month]]&lt;4,1,IF(calendar[[#This Row],[Month]]&lt;7,2,IF(calendar[[#This Row],[Month]]&lt;10,3,4)))</f>
        <v>2</v>
      </c>
      <c r="L1919">
        <f>IFERROR(IF(VLOOKUP(calendar[[#This Row],[Date]],BH!A:A,1,)&lt;&gt;"",1,0),0)</f>
        <v>0</v>
      </c>
      <c r="M1919">
        <f>IFERROR(IF(VLOOKUP(calendar[[#This Row],[Date]],BH!C:C,1,)&lt;&gt;"",1,0),0)</f>
        <v>0</v>
      </c>
      <c r="N1919">
        <f>IFERROR(IF(VLOOKUP(calendar[[#This Row],[Date]],BH!E:E,1,)&lt;&gt;"",1,0),0)</f>
        <v>0</v>
      </c>
      <c r="O1919">
        <f>IFERROR(IF(VLOOKUP(calendar[[#This Row],[Date]],BH!G:G,1,)&lt;&gt;"",1,0),0)</f>
        <v>0</v>
      </c>
      <c r="P1919">
        <f>IF(OR(calendar[[#This Row],[UK_BH]]=1,calendar[[#This Row],[WeekDay]]=1, calendar[[#This Row],[WeekDay]]=7),P1918,P1918+1)</f>
        <v>1370</v>
      </c>
      <c r="Q1919">
        <f>IF(OR(calendar[[#This Row],[FR_BH]]=1,calendar[[#This Row],[WeekDay]]=1, calendar[[#This Row],[WeekDay]]=7),P1918,P1918+1)</f>
        <v>1370</v>
      </c>
      <c r="R1919">
        <f>IF(OR(calendar[[#This Row],[SP_BH]]=1,calendar[[#This Row],[WeekDay]]=1, calendar[[#This Row],[WeekDay]]=7),P1918,P1918+1)</f>
        <v>1370</v>
      </c>
      <c r="S1919">
        <f>IF(OR(calendar[[#This Row],[PT_BH]]=1,calendar[[#This Row],[WeekDay]]=1, calendar[[#This Row],[WeekDay]]=7),P1918,P1918+1)</f>
        <v>1370</v>
      </c>
    </row>
    <row r="1920" spans="1:19" x14ac:dyDescent="0.25">
      <c r="A1920" s="2">
        <v>44654</v>
      </c>
      <c r="B1920" s="1">
        <f t="shared" si="148"/>
        <v>15</v>
      </c>
      <c r="C1920">
        <f t="shared" si="150"/>
        <v>4</v>
      </c>
      <c r="D1920" t="str">
        <f t="shared" si="151"/>
        <v>April</v>
      </c>
      <c r="E1920">
        <f t="shared" si="152"/>
        <v>2022</v>
      </c>
      <c r="F1920" t="str">
        <f>CONCATENATE(calendar[[#This Row],[Month]],"/",calendar[[#This Row],[Year]])</f>
        <v>4/2022</v>
      </c>
      <c r="G1920">
        <f>WEEKDAY(calendar[[#This Row],[Date]],1)</f>
        <v>1</v>
      </c>
      <c r="H1920" t="str">
        <f>TEXT(calendar[[#This Row],[WeekDay]],"dddd")</f>
        <v>Sunday</v>
      </c>
      <c r="I1920">
        <f>IF((INT(calendar[[#This Row],[Count]]/7)-calendar[[#This Row],[Count]]/7)&lt;0,I1919,I1919+1)</f>
        <v>275</v>
      </c>
      <c r="J1920">
        <f t="shared" si="149"/>
        <v>1918</v>
      </c>
      <c r="K1920">
        <f>IF(calendar[[#This Row],[Month]]&lt;4,1,IF(calendar[[#This Row],[Month]]&lt;7,2,IF(calendar[[#This Row],[Month]]&lt;10,3,4)))</f>
        <v>2</v>
      </c>
      <c r="L1920">
        <f>IFERROR(IF(VLOOKUP(calendar[[#This Row],[Date]],BH!A:A,1,)&lt;&gt;"",1,0),0)</f>
        <v>0</v>
      </c>
      <c r="M1920">
        <f>IFERROR(IF(VLOOKUP(calendar[[#This Row],[Date]],BH!C:C,1,)&lt;&gt;"",1,0),0)</f>
        <v>0</v>
      </c>
      <c r="N1920">
        <f>IFERROR(IF(VLOOKUP(calendar[[#This Row],[Date]],BH!E:E,1,)&lt;&gt;"",1,0),0)</f>
        <v>0</v>
      </c>
      <c r="O1920">
        <f>IFERROR(IF(VLOOKUP(calendar[[#This Row],[Date]],BH!G:G,1,)&lt;&gt;"",1,0),0)</f>
        <v>0</v>
      </c>
      <c r="P1920">
        <f>IF(OR(calendar[[#This Row],[UK_BH]]=1,calendar[[#This Row],[WeekDay]]=1, calendar[[#This Row],[WeekDay]]=7),P1919,P1919+1)</f>
        <v>1370</v>
      </c>
      <c r="Q1920">
        <f>IF(OR(calendar[[#This Row],[FR_BH]]=1,calendar[[#This Row],[WeekDay]]=1, calendar[[#This Row],[WeekDay]]=7),P1919,P1919+1)</f>
        <v>1370</v>
      </c>
      <c r="R1920">
        <f>IF(OR(calendar[[#This Row],[SP_BH]]=1,calendar[[#This Row],[WeekDay]]=1, calendar[[#This Row],[WeekDay]]=7),P1919,P1919+1)</f>
        <v>1370</v>
      </c>
      <c r="S1920">
        <f>IF(OR(calendar[[#This Row],[PT_BH]]=1,calendar[[#This Row],[WeekDay]]=1, calendar[[#This Row],[WeekDay]]=7),P1919,P1919+1)</f>
        <v>1370</v>
      </c>
    </row>
    <row r="1921" spans="1:19" x14ac:dyDescent="0.25">
      <c r="A1921" s="2">
        <v>44655</v>
      </c>
      <c r="B1921" s="1">
        <f t="shared" si="148"/>
        <v>15</v>
      </c>
      <c r="C1921">
        <f t="shared" si="150"/>
        <v>4</v>
      </c>
      <c r="D1921" t="str">
        <f t="shared" si="151"/>
        <v>April</v>
      </c>
      <c r="E1921">
        <f t="shared" si="152"/>
        <v>2022</v>
      </c>
      <c r="F1921" t="str">
        <f>CONCATENATE(calendar[[#This Row],[Month]],"/",calendar[[#This Row],[Year]])</f>
        <v>4/2022</v>
      </c>
      <c r="G1921">
        <f>WEEKDAY(calendar[[#This Row],[Date]],1)</f>
        <v>2</v>
      </c>
      <c r="H1921" t="str">
        <f>TEXT(calendar[[#This Row],[WeekDay]],"dddd")</f>
        <v>Monday</v>
      </c>
      <c r="I1921">
        <f>IF((INT(calendar[[#This Row],[Count]]/7)-calendar[[#This Row],[Count]]/7)&lt;0,I1920,I1920+1)</f>
        <v>275</v>
      </c>
      <c r="J1921">
        <f t="shared" si="149"/>
        <v>1919</v>
      </c>
      <c r="K1921">
        <f>IF(calendar[[#This Row],[Month]]&lt;4,1,IF(calendar[[#This Row],[Month]]&lt;7,2,IF(calendar[[#This Row],[Month]]&lt;10,3,4)))</f>
        <v>2</v>
      </c>
      <c r="L1921">
        <f>IFERROR(IF(VLOOKUP(calendar[[#This Row],[Date]],BH!A:A,1,)&lt;&gt;"",1,0),0)</f>
        <v>0</v>
      </c>
      <c r="M1921">
        <f>IFERROR(IF(VLOOKUP(calendar[[#This Row],[Date]],BH!C:C,1,)&lt;&gt;"",1,0),0)</f>
        <v>0</v>
      </c>
      <c r="N1921">
        <f>IFERROR(IF(VLOOKUP(calendar[[#This Row],[Date]],BH!E:E,1,)&lt;&gt;"",1,0),0)</f>
        <v>0</v>
      </c>
      <c r="O1921">
        <f>IFERROR(IF(VLOOKUP(calendar[[#This Row],[Date]],BH!G:G,1,)&lt;&gt;"",1,0),0)</f>
        <v>0</v>
      </c>
      <c r="P1921">
        <f>IF(OR(calendar[[#This Row],[UK_BH]]=1,calendar[[#This Row],[WeekDay]]=1, calendar[[#This Row],[WeekDay]]=7),P1920,P1920+1)</f>
        <v>1371</v>
      </c>
      <c r="Q1921">
        <f>IF(OR(calendar[[#This Row],[FR_BH]]=1,calendar[[#This Row],[WeekDay]]=1, calendar[[#This Row],[WeekDay]]=7),P1920,P1920+1)</f>
        <v>1371</v>
      </c>
      <c r="R1921">
        <f>IF(OR(calendar[[#This Row],[SP_BH]]=1,calendar[[#This Row],[WeekDay]]=1, calendar[[#This Row],[WeekDay]]=7),P1920,P1920+1)</f>
        <v>1371</v>
      </c>
      <c r="S1921">
        <f>IF(OR(calendar[[#This Row],[PT_BH]]=1,calendar[[#This Row],[WeekDay]]=1, calendar[[#This Row],[WeekDay]]=7),P1920,P1920+1)</f>
        <v>1371</v>
      </c>
    </row>
    <row r="1922" spans="1:19" x14ac:dyDescent="0.25">
      <c r="A1922" s="2">
        <v>44656</v>
      </c>
      <c r="B1922" s="1">
        <f t="shared" ref="B1922:B1985" si="153">WEEKNUM(A1922)</f>
        <v>15</v>
      </c>
      <c r="C1922">
        <f t="shared" si="150"/>
        <v>4</v>
      </c>
      <c r="D1922" t="str">
        <f t="shared" si="151"/>
        <v>April</v>
      </c>
      <c r="E1922">
        <f t="shared" si="152"/>
        <v>2022</v>
      </c>
      <c r="F1922" t="str">
        <f>CONCATENATE(calendar[[#This Row],[Month]],"/",calendar[[#This Row],[Year]])</f>
        <v>4/2022</v>
      </c>
      <c r="G1922">
        <f>WEEKDAY(calendar[[#This Row],[Date]],1)</f>
        <v>3</v>
      </c>
      <c r="H1922" t="str">
        <f>TEXT(calendar[[#This Row],[WeekDay]],"dddd")</f>
        <v>Tuesday</v>
      </c>
      <c r="I1922">
        <f>IF((INT(calendar[[#This Row],[Count]]/7)-calendar[[#This Row],[Count]]/7)&lt;0,I1921,I1921+1)</f>
        <v>275</v>
      </c>
      <c r="J1922">
        <f t="shared" si="149"/>
        <v>1920</v>
      </c>
      <c r="K1922">
        <f>IF(calendar[[#This Row],[Month]]&lt;4,1,IF(calendar[[#This Row],[Month]]&lt;7,2,IF(calendar[[#This Row],[Month]]&lt;10,3,4)))</f>
        <v>2</v>
      </c>
      <c r="L1922">
        <f>IFERROR(IF(VLOOKUP(calendar[[#This Row],[Date]],BH!A:A,1,)&lt;&gt;"",1,0),0)</f>
        <v>0</v>
      </c>
      <c r="M1922">
        <f>IFERROR(IF(VLOOKUP(calendar[[#This Row],[Date]],BH!C:C,1,)&lt;&gt;"",1,0),0)</f>
        <v>0</v>
      </c>
      <c r="N1922">
        <f>IFERROR(IF(VLOOKUP(calendar[[#This Row],[Date]],BH!E:E,1,)&lt;&gt;"",1,0),0)</f>
        <v>0</v>
      </c>
      <c r="O1922">
        <f>IFERROR(IF(VLOOKUP(calendar[[#This Row],[Date]],BH!G:G,1,)&lt;&gt;"",1,0),0)</f>
        <v>0</v>
      </c>
      <c r="P1922">
        <f>IF(OR(calendar[[#This Row],[UK_BH]]=1,calendar[[#This Row],[WeekDay]]=1, calendar[[#This Row],[WeekDay]]=7),P1921,P1921+1)</f>
        <v>1372</v>
      </c>
      <c r="Q1922">
        <f>IF(OR(calendar[[#This Row],[FR_BH]]=1,calendar[[#This Row],[WeekDay]]=1, calendar[[#This Row],[WeekDay]]=7),P1921,P1921+1)</f>
        <v>1372</v>
      </c>
      <c r="R1922">
        <f>IF(OR(calendar[[#This Row],[SP_BH]]=1,calendar[[#This Row],[WeekDay]]=1, calendar[[#This Row],[WeekDay]]=7),P1921,P1921+1)</f>
        <v>1372</v>
      </c>
      <c r="S1922">
        <f>IF(OR(calendar[[#This Row],[PT_BH]]=1,calendar[[#This Row],[WeekDay]]=1, calendar[[#This Row],[WeekDay]]=7),P1921,P1921+1)</f>
        <v>1372</v>
      </c>
    </row>
    <row r="1923" spans="1:19" x14ac:dyDescent="0.25">
      <c r="A1923" s="2">
        <v>44657</v>
      </c>
      <c r="B1923" s="1">
        <f t="shared" si="153"/>
        <v>15</v>
      </c>
      <c r="C1923">
        <f t="shared" si="150"/>
        <v>4</v>
      </c>
      <c r="D1923" t="str">
        <f t="shared" si="151"/>
        <v>April</v>
      </c>
      <c r="E1923">
        <f t="shared" si="152"/>
        <v>2022</v>
      </c>
      <c r="F1923" t="str">
        <f>CONCATENATE(calendar[[#This Row],[Month]],"/",calendar[[#This Row],[Year]])</f>
        <v>4/2022</v>
      </c>
      <c r="G1923">
        <f>WEEKDAY(calendar[[#This Row],[Date]],1)</f>
        <v>4</v>
      </c>
      <c r="H1923" t="str">
        <f>TEXT(calendar[[#This Row],[WeekDay]],"dddd")</f>
        <v>Wednesday</v>
      </c>
      <c r="I1923">
        <f>IF((INT(calendar[[#This Row],[Count]]/7)-calendar[[#This Row],[Count]]/7)&lt;0,I1922,I1922+1)</f>
        <v>275</v>
      </c>
      <c r="J1923">
        <f t="shared" ref="J1923:J1986" si="154">J1922+1</f>
        <v>1921</v>
      </c>
      <c r="K1923">
        <f>IF(calendar[[#This Row],[Month]]&lt;4,1,IF(calendar[[#This Row],[Month]]&lt;7,2,IF(calendar[[#This Row],[Month]]&lt;10,3,4)))</f>
        <v>2</v>
      </c>
      <c r="L1923">
        <f>IFERROR(IF(VLOOKUP(calendar[[#This Row],[Date]],BH!A:A,1,)&lt;&gt;"",1,0),0)</f>
        <v>0</v>
      </c>
      <c r="M1923">
        <f>IFERROR(IF(VLOOKUP(calendar[[#This Row],[Date]],BH!C:C,1,)&lt;&gt;"",1,0),0)</f>
        <v>0</v>
      </c>
      <c r="N1923">
        <f>IFERROR(IF(VLOOKUP(calendar[[#This Row],[Date]],BH!E:E,1,)&lt;&gt;"",1,0),0)</f>
        <v>0</v>
      </c>
      <c r="O1923">
        <f>IFERROR(IF(VLOOKUP(calendar[[#This Row],[Date]],BH!G:G,1,)&lt;&gt;"",1,0),0)</f>
        <v>0</v>
      </c>
      <c r="P1923">
        <f>IF(OR(calendar[[#This Row],[UK_BH]]=1,calendar[[#This Row],[WeekDay]]=1, calendar[[#This Row],[WeekDay]]=7),P1922,P1922+1)</f>
        <v>1373</v>
      </c>
      <c r="Q1923">
        <f>IF(OR(calendar[[#This Row],[FR_BH]]=1,calendar[[#This Row],[WeekDay]]=1, calendar[[#This Row],[WeekDay]]=7),P1922,P1922+1)</f>
        <v>1373</v>
      </c>
      <c r="R1923">
        <f>IF(OR(calendar[[#This Row],[SP_BH]]=1,calendar[[#This Row],[WeekDay]]=1, calendar[[#This Row],[WeekDay]]=7),P1922,P1922+1)</f>
        <v>1373</v>
      </c>
      <c r="S1923">
        <f>IF(OR(calendar[[#This Row],[PT_BH]]=1,calendar[[#This Row],[WeekDay]]=1, calendar[[#This Row],[WeekDay]]=7),P1922,P1922+1)</f>
        <v>1373</v>
      </c>
    </row>
    <row r="1924" spans="1:19" x14ac:dyDescent="0.25">
      <c r="A1924" s="2">
        <v>44658</v>
      </c>
      <c r="B1924" s="1">
        <f t="shared" si="153"/>
        <v>15</v>
      </c>
      <c r="C1924">
        <f t="shared" si="150"/>
        <v>4</v>
      </c>
      <c r="D1924" t="str">
        <f t="shared" si="151"/>
        <v>April</v>
      </c>
      <c r="E1924">
        <f t="shared" si="152"/>
        <v>2022</v>
      </c>
      <c r="F1924" t="str">
        <f>CONCATENATE(calendar[[#This Row],[Month]],"/",calendar[[#This Row],[Year]])</f>
        <v>4/2022</v>
      </c>
      <c r="G1924">
        <f>WEEKDAY(calendar[[#This Row],[Date]],1)</f>
        <v>5</v>
      </c>
      <c r="H1924" t="str">
        <f>TEXT(calendar[[#This Row],[WeekDay]],"dddd")</f>
        <v>Thursday</v>
      </c>
      <c r="I1924">
        <f>IF((INT(calendar[[#This Row],[Count]]/7)-calendar[[#This Row],[Count]]/7)&lt;0,I1923,I1923+1)</f>
        <v>275</v>
      </c>
      <c r="J1924">
        <f t="shared" si="154"/>
        <v>1922</v>
      </c>
      <c r="K1924">
        <f>IF(calendar[[#This Row],[Month]]&lt;4,1,IF(calendar[[#This Row],[Month]]&lt;7,2,IF(calendar[[#This Row],[Month]]&lt;10,3,4)))</f>
        <v>2</v>
      </c>
      <c r="L1924">
        <f>IFERROR(IF(VLOOKUP(calendar[[#This Row],[Date]],BH!A:A,1,)&lt;&gt;"",1,0),0)</f>
        <v>0</v>
      </c>
      <c r="M1924">
        <f>IFERROR(IF(VLOOKUP(calendar[[#This Row],[Date]],BH!C:C,1,)&lt;&gt;"",1,0),0)</f>
        <v>0</v>
      </c>
      <c r="N1924">
        <f>IFERROR(IF(VLOOKUP(calendar[[#This Row],[Date]],BH!E:E,1,)&lt;&gt;"",1,0),0)</f>
        <v>0</v>
      </c>
      <c r="O1924">
        <f>IFERROR(IF(VLOOKUP(calendar[[#This Row],[Date]],BH!G:G,1,)&lt;&gt;"",1,0),0)</f>
        <v>0</v>
      </c>
      <c r="P1924">
        <f>IF(OR(calendar[[#This Row],[UK_BH]]=1,calendar[[#This Row],[WeekDay]]=1, calendar[[#This Row],[WeekDay]]=7),P1923,P1923+1)</f>
        <v>1374</v>
      </c>
      <c r="Q1924">
        <f>IF(OR(calendar[[#This Row],[FR_BH]]=1,calendar[[#This Row],[WeekDay]]=1, calendar[[#This Row],[WeekDay]]=7),P1923,P1923+1)</f>
        <v>1374</v>
      </c>
      <c r="R1924">
        <f>IF(OR(calendar[[#This Row],[SP_BH]]=1,calendar[[#This Row],[WeekDay]]=1, calendar[[#This Row],[WeekDay]]=7),P1923,P1923+1)</f>
        <v>1374</v>
      </c>
      <c r="S1924">
        <f>IF(OR(calendar[[#This Row],[PT_BH]]=1,calendar[[#This Row],[WeekDay]]=1, calendar[[#This Row],[WeekDay]]=7),P1923,P1923+1)</f>
        <v>1374</v>
      </c>
    </row>
    <row r="1925" spans="1:19" x14ac:dyDescent="0.25">
      <c r="A1925" s="2">
        <v>44659</v>
      </c>
      <c r="B1925" s="1">
        <f t="shared" si="153"/>
        <v>15</v>
      </c>
      <c r="C1925">
        <f t="shared" si="150"/>
        <v>4</v>
      </c>
      <c r="D1925" t="str">
        <f t="shared" si="151"/>
        <v>April</v>
      </c>
      <c r="E1925">
        <f t="shared" si="152"/>
        <v>2022</v>
      </c>
      <c r="F1925" t="str">
        <f>CONCATENATE(calendar[[#This Row],[Month]],"/",calendar[[#This Row],[Year]])</f>
        <v>4/2022</v>
      </c>
      <c r="G1925">
        <f>WEEKDAY(calendar[[#This Row],[Date]],1)</f>
        <v>6</v>
      </c>
      <c r="H1925" t="str">
        <f>TEXT(calendar[[#This Row],[WeekDay]],"dddd")</f>
        <v>Friday</v>
      </c>
      <c r="I1925">
        <f>IF((INT(calendar[[#This Row],[Count]]/7)-calendar[[#This Row],[Count]]/7)&lt;0,I1924,I1924+1)</f>
        <v>275</v>
      </c>
      <c r="J1925">
        <f t="shared" si="154"/>
        <v>1923</v>
      </c>
      <c r="K1925">
        <f>IF(calendar[[#This Row],[Month]]&lt;4,1,IF(calendar[[#This Row],[Month]]&lt;7,2,IF(calendar[[#This Row],[Month]]&lt;10,3,4)))</f>
        <v>2</v>
      </c>
      <c r="L1925">
        <f>IFERROR(IF(VLOOKUP(calendar[[#This Row],[Date]],BH!A:A,1,)&lt;&gt;"",1,0),0)</f>
        <v>0</v>
      </c>
      <c r="M1925">
        <f>IFERROR(IF(VLOOKUP(calendar[[#This Row],[Date]],BH!C:C,1,)&lt;&gt;"",1,0),0)</f>
        <v>0</v>
      </c>
      <c r="N1925">
        <f>IFERROR(IF(VLOOKUP(calendar[[#This Row],[Date]],BH!E:E,1,)&lt;&gt;"",1,0),0)</f>
        <v>0</v>
      </c>
      <c r="O1925">
        <f>IFERROR(IF(VLOOKUP(calendar[[#This Row],[Date]],BH!G:G,1,)&lt;&gt;"",1,0),0)</f>
        <v>0</v>
      </c>
      <c r="P1925">
        <f>IF(OR(calendar[[#This Row],[UK_BH]]=1,calendar[[#This Row],[WeekDay]]=1, calendar[[#This Row],[WeekDay]]=7),P1924,P1924+1)</f>
        <v>1375</v>
      </c>
      <c r="Q1925">
        <f>IF(OR(calendar[[#This Row],[FR_BH]]=1,calendar[[#This Row],[WeekDay]]=1, calendar[[#This Row],[WeekDay]]=7),P1924,P1924+1)</f>
        <v>1375</v>
      </c>
      <c r="R1925">
        <f>IF(OR(calendar[[#This Row],[SP_BH]]=1,calendar[[#This Row],[WeekDay]]=1, calendar[[#This Row],[WeekDay]]=7),P1924,P1924+1)</f>
        <v>1375</v>
      </c>
      <c r="S1925">
        <f>IF(OR(calendar[[#This Row],[PT_BH]]=1,calendar[[#This Row],[WeekDay]]=1, calendar[[#This Row],[WeekDay]]=7),P1924,P1924+1)</f>
        <v>1375</v>
      </c>
    </row>
    <row r="1926" spans="1:19" x14ac:dyDescent="0.25">
      <c r="A1926" s="2">
        <v>44660</v>
      </c>
      <c r="B1926" s="1">
        <f t="shared" si="153"/>
        <v>15</v>
      </c>
      <c r="C1926">
        <f t="shared" si="150"/>
        <v>4</v>
      </c>
      <c r="D1926" t="str">
        <f t="shared" si="151"/>
        <v>April</v>
      </c>
      <c r="E1926">
        <f t="shared" si="152"/>
        <v>2022</v>
      </c>
      <c r="F1926" t="str">
        <f>CONCATENATE(calendar[[#This Row],[Month]],"/",calendar[[#This Row],[Year]])</f>
        <v>4/2022</v>
      </c>
      <c r="G1926">
        <f>WEEKDAY(calendar[[#This Row],[Date]],1)</f>
        <v>7</v>
      </c>
      <c r="H1926" t="str">
        <f>TEXT(calendar[[#This Row],[WeekDay]],"dddd")</f>
        <v>Saturday</v>
      </c>
      <c r="I1926">
        <f>IF((INT(calendar[[#This Row],[Count]]/7)-calendar[[#This Row],[Count]]/7)&lt;0,I1925,I1925+1)</f>
        <v>275</v>
      </c>
      <c r="J1926">
        <f t="shared" si="154"/>
        <v>1924</v>
      </c>
      <c r="K1926">
        <f>IF(calendar[[#This Row],[Month]]&lt;4,1,IF(calendar[[#This Row],[Month]]&lt;7,2,IF(calendar[[#This Row],[Month]]&lt;10,3,4)))</f>
        <v>2</v>
      </c>
      <c r="L1926">
        <f>IFERROR(IF(VLOOKUP(calendar[[#This Row],[Date]],BH!A:A,1,)&lt;&gt;"",1,0),0)</f>
        <v>0</v>
      </c>
      <c r="M1926">
        <f>IFERROR(IF(VLOOKUP(calendar[[#This Row],[Date]],BH!C:C,1,)&lt;&gt;"",1,0),0)</f>
        <v>0</v>
      </c>
      <c r="N1926">
        <f>IFERROR(IF(VLOOKUP(calendar[[#This Row],[Date]],BH!E:E,1,)&lt;&gt;"",1,0),0)</f>
        <v>0</v>
      </c>
      <c r="O1926">
        <f>IFERROR(IF(VLOOKUP(calendar[[#This Row],[Date]],BH!G:G,1,)&lt;&gt;"",1,0),0)</f>
        <v>0</v>
      </c>
      <c r="P1926">
        <f>IF(OR(calendar[[#This Row],[UK_BH]]=1,calendar[[#This Row],[WeekDay]]=1, calendar[[#This Row],[WeekDay]]=7),P1925,P1925+1)</f>
        <v>1375</v>
      </c>
      <c r="Q1926">
        <f>IF(OR(calendar[[#This Row],[FR_BH]]=1,calendar[[#This Row],[WeekDay]]=1, calendar[[#This Row],[WeekDay]]=7),P1925,P1925+1)</f>
        <v>1375</v>
      </c>
      <c r="R1926">
        <f>IF(OR(calendar[[#This Row],[SP_BH]]=1,calendar[[#This Row],[WeekDay]]=1, calendar[[#This Row],[WeekDay]]=7),P1925,P1925+1)</f>
        <v>1375</v>
      </c>
      <c r="S1926">
        <f>IF(OR(calendar[[#This Row],[PT_BH]]=1,calendar[[#This Row],[WeekDay]]=1, calendar[[#This Row],[WeekDay]]=7),P1925,P1925+1)</f>
        <v>1375</v>
      </c>
    </row>
    <row r="1927" spans="1:19" x14ac:dyDescent="0.25">
      <c r="A1927" s="2">
        <v>44661</v>
      </c>
      <c r="B1927" s="1">
        <f t="shared" si="153"/>
        <v>16</v>
      </c>
      <c r="C1927">
        <f t="shared" si="150"/>
        <v>4</v>
      </c>
      <c r="D1927" t="str">
        <f t="shared" si="151"/>
        <v>April</v>
      </c>
      <c r="E1927">
        <f t="shared" si="152"/>
        <v>2022</v>
      </c>
      <c r="F1927" t="str">
        <f>CONCATENATE(calendar[[#This Row],[Month]],"/",calendar[[#This Row],[Year]])</f>
        <v>4/2022</v>
      </c>
      <c r="G1927">
        <f>WEEKDAY(calendar[[#This Row],[Date]],1)</f>
        <v>1</v>
      </c>
      <c r="H1927" t="str">
        <f>TEXT(calendar[[#This Row],[WeekDay]],"dddd")</f>
        <v>Sunday</v>
      </c>
      <c r="I1927">
        <f>IF((INT(calendar[[#This Row],[Count]]/7)-calendar[[#This Row],[Count]]/7)&lt;0,I1926,I1926+1)</f>
        <v>276</v>
      </c>
      <c r="J1927">
        <f t="shared" si="154"/>
        <v>1925</v>
      </c>
      <c r="K1927">
        <f>IF(calendar[[#This Row],[Month]]&lt;4,1,IF(calendar[[#This Row],[Month]]&lt;7,2,IF(calendar[[#This Row],[Month]]&lt;10,3,4)))</f>
        <v>2</v>
      </c>
      <c r="L1927">
        <f>IFERROR(IF(VLOOKUP(calendar[[#This Row],[Date]],BH!A:A,1,)&lt;&gt;"",1,0),0)</f>
        <v>0</v>
      </c>
      <c r="M1927">
        <f>IFERROR(IF(VLOOKUP(calendar[[#This Row],[Date]],BH!C:C,1,)&lt;&gt;"",1,0),0)</f>
        <v>0</v>
      </c>
      <c r="N1927">
        <f>IFERROR(IF(VLOOKUP(calendar[[#This Row],[Date]],BH!E:E,1,)&lt;&gt;"",1,0),0)</f>
        <v>0</v>
      </c>
      <c r="O1927">
        <f>IFERROR(IF(VLOOKUP(calendar[[#This Row],[Date]],BH!G:G,1,)&lt;&gt;"",1,0),0)</f>
        <v>0</v>
      </c>
      <c r="P1927">
        <f>IF(OR(calendar[[#This Row],[UK_BH]]=1,calendar[[#This Row],[WeekDay]]=1, calendar[[#This Row],[WeekDay]]=7),P1926,P1926+1)</f>
        <v>1375</v>
      </c>
      <c r="Q1927">
        <f>IF(OR(calendar[[#This Row],[FR_BH]]=1,calendar[[#This Row],[WeekDay]]=1, calendar[[#This Row],[WeekDay]]=7),P1926,P1926+1)</f>
        <v>1375</v>
      </c>
      <c r="R1927">
        <f>IF(OR(calendar[[#This Row],[SP_BH]]=1,calendar[[#This Row],[WeekDay]]=1, calendar[[#This Row],[WeekDay]]=7),P1926,P1926+1)</f>
        <v>1375</v>
      </c>
      <c r="S1927">
        <f>IF(OR(calendar[[#This Row],[PT_BH]]=1,calendar[[#This Row],[WeekDay]]=1, calendar[[#This Row],[WeekDay]]=7),P1926,P1926+1)</f>
        <v>1375</v>
      </c>
    </row>
    <row r="1928" spans="1:19" x14ac:dyDescent="0.25">
      <c r="A1928" s="2">
        <v>44662</v>
      </c>
      <c r="B1928" s="1">
        <f t="shared" si="153"/>
        <v>16</v>
      </c>
      <c r="C1928">
        <f t="shared" si="150"/>
        <v>4</v>
      </c>
      <c r="D1928" t="str">
        <f t="shared" si="151"/>
        <v>April</v>
      </c>
      <c r="E1928">
        <f t="shared" si="152"/>
        <v>2022</v>
      </c>
      <c r="F1928" t="str">
        <f>CONCATENATE(calendar[[#This Row],[Month]],"/",calendar[[#This Row],[Year]])</f>
        <v>4/2022</v>
      </c>
      <c r="G1928">
        <f>WEEKDAY(calendar[[#This Row],[Date]],1)</f>
        <v>2</v>
      </c>
      <c r="H1928" t="str">
        <f>TEXT(calendar[[#This Row],[WeekDay]],"dddd")</f>
        <v>Monday</v>
      </c>
      <c r="I1928">
        <f>IF((INT(calendar[[#This Row],[Count]]/7)-calendar[[#This Row],[Count]]/7)&lt;0,I1927,I1927+1)</f>
        <v>276</v>
      </c>
      <c r="J1928">
        <f t="shared" si="154"/>
        <v>1926</v>
      </c>
      <c r="K1928">
        <f>IF(calendar[[#This Row],[Month]]&lt;4,1,IF(calendar[[#This Row],[Month]]&lt;7,2,IF(calendar[[#This Row],[Month]]&lt;10,3,4)))</f>
        <v>2</v>
      </c>
      <c r="L1928">
        <f>IFERROR(IF(VLOOKUP(calendar[[#This Row],[Date]],BH!A:A,1,)&lt;&gt;"",1,0),0)</f>
        <v>0</v>
      </c>
      <c r="M1928">
        <f>IFERROR(IF(VLOOKUP(calendar[[#This Row],[Date]],BH!C:C,1,)&lt;&gt;"",1,0),0)</f>
        <v>0</v>
      </c>
      <c r="N1928">
        <f>IFERROR(IF(VLOOKUP(calendar[[#This Row],[Date]],BH!E:E,1,)&lt;&gt;"",1,0),0)</f>
        <v>0</v>
      </c>
      <c r="O1928">
        <f>IFERROR(IF(VLOOKUP(calendar[[#This Row],[Date]],BH!G:G,1,)&lt;&gt;"",1,0),0)</f>
        <v>0</v>
      </c>
      <c r="P1928">
        <f>IF(OR(calendar[[#This Row],[UK_BH]]=1,calendar[[#This Row],[WeekDay]]=1, calendar[[#This Row],[WeekDay]]=7),P1927,P1927+1)</f>
        <v>1376</v>
      </c>
      <c r="Q1928">
        <f>IF(OR(calendar[[#This Row],[FR_BH]]=1,calendar[[#This Row],[WeekDay]]=1, calendar[[#This Row],[WeekDay]]=7),P1927,P1927+1)</f>
        <v>1376</v>
      </c>
      <c r="R1928">
        <f>IF(OR(calendar[[#This Row],[SP_BH]]=1,calendar[[#This Row],[WeekDay]]=1, calendar[[#This Row],[WeekDay]]=7),P1927,P1927+1)</f>
        <v>1376</v>
      </c>
      <c r="S1928">
        <f>IF(OR(calendar[[#This Row],[PT_BH]]=1,calendar[[#This Row],[WeekDay]]=1, calendar[[#This Row],[WeekDay]]=7),P1927,P1927+1)</f>
        <v>1376</v>
      </c>
    </row>
    <row r="1929" spans="1:19" x14ac:dyDescent="0.25">
      <c r="A1929" s="2">
        <v>44663</v>
      </c>
      <c r="B1929" s="1">
        <f t="shared" si="153"/>
        <v>16</v>
      </c>
      <c r="C1929">
        <f t="shared" si="150"/>
        <v>4</v>
      </c>
      <c r="D1929" t="str">
        <f t="shared" si="151"/>
        <v>April</v>
      </c>
      <c r="E1929">
        <f t="shared" si="152"/>
        <v>2022</v>
      </c>
      <c r="F1929" t="str">
        <f>CONCATENATE(calendar[[#This Row],[Month]],"/",calendar[[#This Row],[Year]])</f>
        <v>4/2022</v>
      </c>
      <c r="G1929">
        <f>WEEKDAY(calendar[[#This Row],[Date]],1)</f>
        <v>3</v>
      </c>
      <c r="H1929" t="str">
        <f>TEXT(calendar[[#This Row],[WeekDay]],"dddd")</f>
        <v>Tuesday</v>
      </c>
      <c r="I1929">
        <f>IF((INT(calendar[[#This Row],[Count]]/7)-calendar[[#This Row],[Count]]/7)&lt;0,I1928,I1928+1)</f>
        <v>276</v>
      </c>
      <c r="J1929">
        <f t="shared" si="154"/>
        <v>1927</v>
      </c>
      <c r="K1929">
        <f>IF(calendar[[#This Row],[Month]]&lt;4,1,IF(calendar[[#This Row],[Month]]&lt;7,2,IF(calendar[[#This Row],[Month]]&lt;10,3,4)))</f>
        <v>2</v>
      </c>
      <c r="L1929">
        <f>IFERROR(IF(VLOOKUP(calendar[[#This Row],[Date]],BH!A:A,1,)&lt;&gt;"",1,0),0)</f>
        <v>0</v>
      </c>
      <c r="M1929">
        <f>IFERROR(IF(VLOOKUP(calendar[[#This Row],[Date]],BH!C:C,1,)&lt;&gt;"",1,0),0)</f>
        <v>0</v>
      </c>
      <c r="N1929">
        <f>IFERROR(IF(VLOOKUP(calendar[[#This Row],[Date]],BH!E:E,1,)&lt;&gt;"",1,0),0)</f>
        <v>0</v>
      </c>
      <c r="O1929">
        <f>IFERROR(IF(VLOOKUP(calendar[[#This Row],[Date]],BH!G:G,1,)&lt;&gt;"",1,0),0)</f>
        <v>0</v>
      </c>
      <c r="P1929">
        <f>IF(OR(calendar[[#This Row],[UK_BH]]=1,calendar[[#This Row],[WeekDay]]=1, calendar[[#This Row],[WeekDay]]=7),P1928,P1928+1)</f>
        <v>1377</v>
      </c>
      <c r="Q1929">
        <f>IF(OR(calendar[[#This Row],[FR_BH]]=1,calendar[[#This Row],[WeekDay]]=1, calendar[[#This Row],[WeekDay]]=7),P1928,P1928+1)</f>
        <v>1377</v>
      </c>
      <c r="R1929">
        <f>IF(OR(calendar[[#This Row],[SP_BH]]=1,calendar[[#This Row],[WeekDay]]=1, calendar[[#This Row],[WeekDay]]=7),P1928,P1928+1)</f>
        <v>1377</v>
      </c>
      <c r="S1929">
        <f>IF(OR(calendar[[#This Row],[PT_BH]]=1,calendar[[#This Row],[WeekDay]]=1, calendar[[#This Row],[WeekDay]]=7),P1928,P1928+1)</f>
        <v>1377</v>
      </c>
    </row>
    <row r="1930" spans="1:19" x14ac:dyDescent="0.25">
      <c r="A1930" s="2">
        <v>44664</v>
      </c>
      <c r="B1930" s="1">
        <f t="shared" si="153"/>
        <v>16</v>
      </c>
      <c r="C1930">
        <f t="shared" si="150"/>
        <v>4</v>
      </c>
      <c r="D1930" t="str">
        <f t="shared" si="151"/>
        <v>April</v>
      </c>
      <c r="E1930">
        <f t="shared" si="152"/>
        <v>2022</v>
      </c>
      <c r="F1930" t="str">
        <f>CONCATENATE(calendar[[#This Row],[Month]],"/",calendar[[#This Row],[Year]])</f>
        <v>4/2022</v>
      </c>
      <c r="G1930">
        <f>WEEKDAY(calendar[[#This Row],[Date]],1)</f>
        <v>4</v>
      </c>
      <c r="H1930" t="str">
        <f>TEXT(calendar[[#This Row],[WeekDay]],"dddd")</f>
        <v>Wednesday</v>
      </c>
      <c r="I1930">
        <f>IF((INT(calendar[[#This Row],[Count]]/7)-calendar[[#This Row],[Count]]/7)&lt;0,I1929,I1929+1)</f>
        <v>276</v>
      </c>
      <c r="J1930">
        <f t="shared" si="154"/>
        <v>1928</v>
      </c>
      <c r="K1930">
        <f>IF(calendar[[#This Row],[Month]]&lt;4,1,IF(calendar[[#This Row],[Month]]&lt;7,2,IF(calendar[[#This Row],[Month]]&lt;10,3,4)))</f>
        <v>2</v>
      </c>
      <c r="L1930">
        <f>IFERROR(IF(VLOOKUP(calendar[[#This Row],[Date]],BH!A:A,1,)&lt;&gt;"",1,0),0)</f>
        <v>0</v>
      </c>
      <c r="M1930">
        <f>IFERROR(IF(VLOOKUP(calendar[[#This Row],[Date]],BH!C:C,1,)&lt;&gt;"",1,0),0)</f>
        <v>0</v>
      </c>
      <c r="N1930">
        <f>IFERROR(IF(VLOOKUP(calendar[[#This Row],[Date]],BH!E:E,1,)&lt;&gt;"",1,0),0)</f>
        <v>0</v>
      </c>
      <c r="O1930">
        <f>IFERROR(IF(VLOOKUP(calendar[[#This Row],[Date]],BH!G:G,1,)&lt;&gt;"",1,0),0)</f>
        <v>0</v>
      </c>
      <c r="P1930">
        <f>IF(OR(calendar[[#This Row],[UK_BH]]=1,calendar[[#This Row],[WeekDay]]=1, calendar[[#This Row],[WeekDay]]=7),P1929,P1929+1)</f>
        <v>1378</v>
      </c>
      <c r="Q1930">
        <f>IF(OR(calendar[[#This Row],[FR_BH]]=1,calendar[[#This Row],[WeekDay]]=1, calendar[[#This Row],[WeekDay]]=7),P1929,P1929+1)</f>
        <v>1378</v>
      </c>
      <c r="R1930">
        <f>IF(OR(calendar[[#This Row],[SP_BH]]=1,calendar[[#This Row],[WeekDay]]=1, calendar[[#This Row],[WeekDay]]=7),P1929,P1929+1)</f>
        <v>1378</v>
      </c>
      <c r="S1930">
        <f>IF(OR(calendar[[#This Row],[PT_BH]]=1,calendar[[#This Row],[WeekDay]]=1, calendar[[#This Row],[WeekDay]]=7),P1929,P1929+1)</f>
        <v>1378</v>
      </c>
    </row>
    <row r="1931" spans="1:19" x14ac:dyDescent="0.25">
      <c r="A1931" s="2">
        <v>44665</v>
      </c>
      <c r="B1931" s="1">
        <f t="shared" si="153"/>
        <v>16</v>
      </c>
      <c r="C1931">
        <f t="shared" si="150"/>
        <v>4</v>
      </c>
      <c r="D1931" t="str">
        <f t="shared" si="151"/>
        <v>April</v>
      </c>
      <c r="E1931">
        <f t="shared" si="152"/>
        <v>2022</v>
      </c>
      <c r="F1931" t="str">
        <f>CONCATENATE(calendar[[#This Row],[Month]],"/",calendar[[#This Row],[Year]])</f>
        <v>4/2022</v>
      </c>
      <c r="G1931">
        <f>WEEKDAY(calendar[[#This Row],[Date]],1)</f>
        <v>5</v>
      </c>
      <c r="H1931" t="str">
        <f>TEXT(calendar[[#This Row],[WeekDay]],"dddd")</f>
        <v>Thursday</v>
      </c>
      <c r="I1931">
        <f>IF((INT(calendar[[#This Row],[Count]]/7)-calendar[[#This Row],[Count]]/7)&lt;0,I1930,I1930+1)</f>
        <v>276</v>
      </c>
      <c r="J1931">
        <f t="shared" si="154"/>
        <v>1929</v>
      </c>
      <c r="K1931">
        <f>IF(calendar[[#This Row],[Month]]&lt;4,1,IF(calendar[[#This Row],[Month]]&lt;7,2,IF(calendar[[#This Row],[Month]]&lt;10,3,4)))</f>
        <v>2</v>
      </c>
      <c r="L1931">
        <f>IFERROR(IF(VLOOKUP(calendar[[#This Row],[Date]],BH!A:A,1,)&lt;&gt;"",1,0),0)</f>
        <v>0</v>
      </c>
      <c r="M1931">
        <f>IFERROR(IF(VLOOKUP(calendar[[#This Row],[Date]],BH!C:C,1,)&lt;&gt;"",1,0),0)</f>
        <v>0</v>
      </c>
      <c r="N1931">
        <f>IFERROR(IF(VLOOKUP(calendar[[#This Row],[Date]],BH!E:E,1,)&lt;&gt;"",1,0),0)</f>
        <v>0</v>
      </c>
      <c r="O1931">
        <f>IFERROR(IF(VLOOKUP(calendar[[#This Row],[Date]],BH!G:G,1,)&lt;&gt;"",1,0),0)</f>
        <v>0</v>
      </c>
      <c r="P1931">
        <f>IF(OR(calendar[[#This Row],[UK_BH]]=1,calendar[[#This Row],[WeekDay]]=1, calendar[[#This Row],[WeekDay]]=7),P1930,P1930+1)</f>
        <v>1379</v>
      </c>
      <c r="Q1931">
        <f>IF(OR(calendar[[#This Row],[FR_BH]]=1,calendar[[#This Row],[WeekDay]]=1, calendar[[#This Row],[WeekDay]]=7),P1930,P1930+1)</f>
        <v>1379</v>
      </c>
      <c r="R1931">
        <f>IF(OR(calendar[[#This Row],[SP_BH]]=1,calendar[[#This Row],[WeekDay]]=1, calendar[[#This Row],[WeekDay]]=7),P1930,P1930+1)</f>
        <v>1379</v>
      </c>
      <c r="S1931">
        <f>IF(OR(calendar[[#This Row],[PT_BH]]=1,calendar[[#This Row],[WeekDay]]=1, calendar[[#This Row],[WeekDay]]=7),P1930,P1930+1)</f>
        <v>1379</v>
      </c>
    </row>
    <row r="1932" spans="1:19" x14ac:dyDescent="0.25">
      <c r="A1932" s="2">
        <v>44666</v>
      </c>
      <c r="B1932" s="1">
        <f t="shared" si="153"/>
        <v>16</v>
      </c>
      <c r="C1932">
        <f t="shared" si="150"/>
        <v>4</v>
      </c>
      <c r="D1932" t="str">
        <f t="shared" si="151"/>
        <v>April</v>
      </c>
      <c r="E1932">
        <f t="shared" si="152"/>
        <v>2022</v>
      </c>
      <c r="F1932" t="str">
        <f>CONCATENATE(calendar[[#This Row],[Month]],"/",calendar[[#This Row],[Year]])</f>
        <v>4/2022</v>
      </c>
      <c r="G1932">
        <f>WEEKDAY(calendar[[#This Row],[Date]],1)</f>
        <v>6</v>
      </c>
      <c r="H1932" t="str">
        <f>TEXT(calendar[[#This Row],[WeekDay]],"dddd")</f>
        <v>Friday</v>
      </c>
      <c r="I1932">
        <f>IF((INT(calendar[[#This Row],[Count]]/7)-calendar[[#This Row],[Count]]/7)&lt;0,I1931,I1931+1)</f>
        <v>276</v>
      </c>
      <c r="J1932">
        <f t="shared" si="154"/>
        <v>1930</v>
      </c>
      <c r="K1932">
        <f>IF(calendar[[#This Row],[Month]]&lt;4,1,IF(calendar[[#This Row],[Month]]&lt;7,2,IF(calendar[[#This Row],[Month]]&lt;10,3,4)))</f>
        <v>2</v>
      </c>
      <c r="L1932">
        <f>IFERROR(IF(VLOOKUP(calendar[[#This Row],[Date]],BH!A:A,1,)&lt;&gt;"",1,0),0)</f>
        <v>0</v>
      </c>
      <c r="M1932">
        <f>IFERROR(IF(VLOOKUP(calendar[[#This Row],[Date]],BH!C:C,1,)&lt;&gt;"",1,0),0)</f>
        <v>0</v>
      </c>
      <c r="N1932">
        <f>IFERROR(IF(VLOOKUP(calendar[[#This Row],[Date]],BH!E:E,1,)&lt;&gt;"",1,0),0)</f>
        <v>0</v>
      </c>
      <c r="O1932">
        <f>IFERROR(IF(VLOOKUP(calendar[[#This Row],[Date]],BH!G:G,1,)&lt;&gt;"",1,0),0)</f>
        <v>0</v>
      </c>
      <c r="P1932">
        <f>IF(OR(calendar[[#This Row],[UK_BH]]=1,calendar[[#This Row],[WeekDay]]=1, calendar[[#This Row],[WeekDay]]=7),P1931,P1931+1)</f>
        <v>1380</v>
      </c>
      <c r="Q1932">
        <f>IF(OR(calendar[[#This Row],[FR_BH]]=1,calendar[[#This Row],[WeekDay]]=1, calendar[[#This Row],[WeekDay]]=7),P1931,P1931+1)</f>
        <v>1380</v>
      </c>
      <c r="R1932">
        <f>IF(OR(calendar[[#This Row],[SP_BH]]=1,calendar[[#This Row],[WeekDay]]=1, calendar[[#This Row],[WeekDay]]=7),P1931,P1931+1)</f>
        <v>1380</v>
      </c>
      <c r="S1932">
        <f>IF(OR(calendar[[#This Row],[PT_BH]]=1,calendar[[#This Row],[WeekDay]]=1, calendar[[#This Row],[WeekDay]]=7),P1931,P1931+1)</f>
        <v>1380</v>
      </c>
    </row>
    <row r="1933" spans="1:19" x14ac:dyDescent="0.25">
      <c r="A1933" s="2">
        <v>44667</v>
      </c>
      <c r="B1933" s="1">
        <f t="shared" si="153"/>
        <v>16</v>
      </c>
      <c r="C1933">
        <f t="shared" si="150"/>
        <v>4</v>
      </c>
      <c r="D1933" t="str">
        <f t="shared" si="151"/>
        <v>April</v>
      </c>
      <c r="E1933">
        <f t="shared" si="152"/>
        <v>2022</v>
      </c>
      <c r="F1933" t="str">
        <f>CONCATENATE(calendar[[#This Row],[Month]],"/",calendar[[#This Row],[Year]])</f>
        <v>4/2022</v>
      </c>
      <c r="G1933">
        <f>WEEKDAY(calendar[[#This Row],[Date]],1)</f>
        <v>7</v>
      </c>
      <c r="H1933" t="str">
        <f>TEXT(calendar[[#This Row],[WeekDay]],"dddd")</f>
        <v>Saturday</v>
      </c>
      <c r="I1933">
        <f>IF((INT(calendar[[#This Row],[Count]]/7)-calendar[[#This Row],[Count]]/7)&lt;0,I1932,I1932+1)</f>
        <v>276</v>
      </c>
      <c r="J1933">
        <f t="shared" si="154"/>
        <v>1931</v>
      </c>
      <c r="K1933">
        <f>IF(calendar[[#This Row],[Month]]&lt;4,1,IF(calendar[[#This Row],[Month]]&lt;7,2,IF(calendar[[#This Row],[Month]]&lt;10,3,4)))</f>
        <v>2</v>
      </c>
      <c r="L1933">
        <f>IFERROR(IF(VLOOKUP(calendar[[#This Row],[Date]],BH!A:A,1,)&lt;&gt;"",1,0),0)</f>
        <v>0</v>
      </c>
      <c r="M1933">
        <f>IFERROR(IF(VLOOKUP(calendar[[#This Row],[Date]],BH!C:C,1,)&lt;&gt;"",1,0),0)</f>
        <v>0</v>
      </c>
      <c r="N1933">
        <f>IFERROR(IF(VLOOKUP(calendar[[#This Row],[Date]],BH!E:E,1,)&lt;&gt;"",1,0),0)</f>
        <v>0</v>
      </c>
      <c r="O1933">
        <f>IFERROR(IF(VLOOKUP(calendar[[#This Row],[Date]],BH!G:G,1,)&lt;&gt;"",1,0),0)</f>
        <v>0</v>
      </c>
      <c r="P1933">
        <f>IF(OR(calendar[[#This Row],[UK_BH]]=1,calendar[[#This Row],[WeekDay]]=1, calendar[[#This Row],[WeekDay]]=7),P1932,P1932+1)</f>
        <v>1380</v>
      </c>
      <c r="Q1933">
        <f>IF(OR(calendar[[#This Row],[FR_BH]]=1,calendar[[#This Row],[WeekDay]]=1, calendar[[#This Row],[WeekDay]]=7),P1932,P1932+1)</f>
        <v>1380</v>
      </c>
      <c r="R1933">
        <f>IF(OR(calendar[[#This Row],[SP_BH]]=1,calendar[[#This Row],[WeekDay]]=1, calendar[[#This Row],[WeekDay]]=7),P1932,P1932+1)</f>
        <v>1380</v>
      </c>
      <c r="S1933">
        <f>IF(OR(calendar[[#This Row],[PT_BH]]=1,calendar[[#This Row],[WeekDay]]=1, calendar[[#This Row],[WeekDay]]=7),P1932,P1932+1)</f>
        <v>1380</v>
      </c>
    </row>
    <row r="1934" spans="1:19" x14ac:dyDescent="0.25">
      <c r="A1934" s="2">
        <v>44668</v>
      </c>
      <c r="B1934" s="1">
        <f t="shared" si="153"/>
        <v>17</v>
      </c>
      <c r="C1934">
        <f t="shared" si="150"/>
        <v>4</v>
      </c>
      <c r="D1934" t="str">
        <f t="shared" si="151"/>
        <v>April</v>
      </c>
      <c r="E1934">
        <f t="shared" si="152"/>
        <v>2022</v>
      </c>
      <c r="F1934" t="str">
        <f>CONCATENATE(calendar[[#This Row],[Month]],"/",calendar[[#This Row],[Year]])</f>
        <v>4/2022</v>
      </c>
      <c r="G1934">
        <f>WEEKDAY(calendar[[#This Row],[Date]],1)</f>
        <v>1</v>
      </c>
      <c r="H1934" t="str">
        <f>TEXT(calendar[[#This Row],[WeekDay]],"dddd")</f>
        <v>Sunday</v>
      </c>
      <c r="I1934">
        <f>IF((INT(calendar[[#This Row],[Count]]/7)-calendar[[#This Row],[Count]]/7)&lt;0,I1933,I1933+1)</f>
        <v>277</v>
      </c>
      <c r="J1934">
        <f t="shared" si="154"/>
        <v>1932</v>
      </c>
      <c r="K1934">
        <f>IF(calendar[[#This Row],[Month]]&lt;4,1,IF(calendar[[#This Row],[Month]]&lt;7,2,IF(calendar[[#This Row],[Month]]&lt;10,3,4)))</f>
        <v>2</v>
      </c>
      <c r="L1934">
        <f>IFERROR(IF(VLOOKUP(calendar[[#This Row],[Date]],BH!A:A,1,)&lt;&gt;"",1,0),0)</f>
        <v>0</v>
      </c>
      <c r="M1934">
        <f>IFERROR(IF(VLOOKUP(calendar[[#This Row],[Date]],BH!C:C,1,)&lt;&gt;"",1,0),0)</f>
        <v>0</v>
      </c>
      <c r="N1934">
        <f>IFERROR(IF(VLOOKUP(calendar[[#This Row],[Date]],BH!E:E,1,)&lt;&gt;"",1,0),0)</f>
        <v>0</v>
      </c>
      <c r="O1934">
        <f>IFERROR(IF(VLOOKUP(calendar[[#This Row],[Date]],BH!G:G,1,)&lt;&gt;"",1,0),0)</f>
        <v>0</v>
      </c>
      <c r="P1934">
        <f>IF(OR(calendar[[#This Row],[UK_BH]]=1,calendar[[#This Row],[WeekDay]]=1, calendar[[#This Row],[WeekDay]]=7),P1933,P1933+1)</f>
        <v>1380</v>
      </c>
      <c r="Q1934">
        <f>IF(OR(calendar[[#This Row],[FR_BH]]=1,calendar[[#This Row],[WeekDay]]=1, calendar[[#This Row],[WeekDay]]=7),P1933,P1933+1)</f>
        <v>1380</v>
      </c>
      <c r="R1934">
        <f>IF(OR(calendar[[#This Row],[SP_BH]]=1,calendar[[#This Row],[WeekDay]]=1, calendar[[#This Row],[WeekDay]]=7),P1933,P1933+1)</f>
        <v>1380</v>
      </c>
      <c r="S1934">
        <f>IF(OR(calendar[[#This Row],[PT_BH]]=1,calendar[[#This Row],[WeekDay]]=1, calendar[[#This Row],[WeekDay]]=7),P1933,P1933+1)</f>
        <v>1380</v>
      </c>
    </row>
    <row r="1935" spans="1:19" x14ac:dyDescent="0.25">
      <c r="A1935" s="2">
        <v>44669</v>
      </c>
      <c r="B1935" s="1">
        <f t="shared" si="153"/>
        <v>17</v>
      </c>
      <c r="C1935">
        <f t="shared" si="150"/>
        <v>4</v>
      </c>
      <c r="D1935" t="str">
        <f t="shared" si="151"/>
        <v>April</v>
      </c>
      <c r="E1935">
        <f t="shared" si="152"/>
        <v>2022</v>
      </c>
      <c r="F1935" t="str">
        <f>CONCATENATE(calendar[[#This Row],[Month]],"/",calendar[[#This Row],[Year]])</f>
        <v>4/2022</v>
      </c>
      <c r="G1935">
        <f>WEEKDAY(calendar[[#This Row],[Date]],1)</f>
        <v>2</v>
      </c>
      <c r="H1935" t="str">
        <f>TEXT(calendar[[#This Row],[WeekDay]],"dddd")</f>
        <v>Monday</v>
      </c>
      <c r="I1935">
        <f>IF((INT(calendar[[#This Row],[Count]]/7)-calendar[[#This Row],[Count]]/7)&lt;0,I1934,I1934+1)</f>
        <v>277</v>
      </c>
      <c r="J1935">
        <f t="shared" si="154"/>
        <v>1933</v>
      </c>
      <c r="K1935">
        <f>IF(calendar[[#This Row],[Month]]&lt;4,1,IF(calendar[[#This Row],[Month]]&lt;7,2,IF(calendar[[#This Row],[Month]]&lt;10,3,4)))</f>
        <v>2</v>
      </c>
      <c r="L1935">
        <f>IFERROR(IF(VLOOKUP(calendar[[#This Row],[Date]],BH!A:A,1,)&lt;&gt;"",1,0),0)</f>
        <v>0</v>
      </c>
      <c r="M1935">
        <f>IFERROR(IF(VLOOKUP(calendar[[#This Row],[Date]],BH!C:C,1,)&lt;&gt;"",1,0),0)</f>
        <v>0</v>
      </c>
      <c r="N1935">
        <f>IFERROR(IF(VLOOKUP(calendar[[#This Row],[Date]],BH!E:E,1,)&lt;&gt;"",1,0),0)</f>
        <v>0</v>
      </c>
      <c r="O1935">
        <f>IFERROR(IF(VLOOKUP(calendar[[#This Row],[Date]],BH!G:G,1,)&lt;&gt;"",1,0),0)</f>
        <v>0</v>
      </c>
      <c r="P1935">
        <f>IF(OR(calendar[[#This Row],[UK_BH]]=1,calendar[[#This Row],[WeekDay]]=1, calendar[[#This Row],[WeekDay]]=7),P1934,P1934+1)</f>
        <v>1381</v>
      </c>
      <c r="Q1935">
        <f>IF(OR(calendar[[#This Row],[FR_BH]]=1,calendar[[#This Row],[WeekDay]]=1, calendar[[#This Row],[WeekDay]]=7),P1934,P1934+1)</f>
        <v>1381</v>
      </c>
      <c r="R1935">
        <f>IF(OR(calendar[[#This Row],[SP_BH]]=1,calendar[[#This Row],[WeekDay]]=1, calendar[[#This Row],[WeekDay]]=7),P1934,P1934+1)</f>
        <v>1381</v>
      </c>
      <c r="S1935">
        <f>IF(OR(calendar[[#This Row],[PT_BH]]=1,calendar[[#This Row],[WeekDay]]=1, calendar[[#This Row],[WeekDay]]=7),P1934,P1934+1)</f>
        <v>1381</v>
      </c>
    </row>
    <row r="1936" spans="1:19" x14ac:dyDescent="0.25">
      <c r="A1936" s="2">
        <v>44670</v>
      </c>
      <c r="B1936" s="1">
        <f t="shared" si="153"/>
        <v>17</v>
      </c>
      <c r="C1936">
        <f t="shared" ref="C1936:C1999" si="155">MONTH(A1936)</f>
        <v>4</v>
      </c>
      <c r="D1936" t="str">
        <f t="shared" ref="D1936:D1999" si="156">TEXT(A1936,"mmmm")</f>
        <v>April</v>
      </c>
      <c r="E1936">
        <f t="shared" ref="E1936:E1999" si="157">YEAR(A1936)</f>
        <v>2022</v>
      </c>
      <c r="F1936" t="str">
        <f>CONCATENATE(calendar[[#This Row],[Month]],"/",calendar[[#This Row],[Year]])</f>
        <v>4/2022</v>
      </c>
      <c r="G1936">
        <f>WEEKDAY(calendar[[#This Row],[Date]],1)</f>
        <v>3</v>
      </c>
      <c r="H1936" t="str">
        <f>TEXT(calendar[[#This Row],[WeekDay]],"dddd")</f>
        <v>Tuesday</v>
      </c>
      <c r="I1936">
        <f>IF((INT(calendar[[#This Row],[Count]]/7)-calendar[[#This Row],[Count]]/7)&lt;0,I1935,I1935+1)</f>
        <v>277</v>
      </c>
      <c r="J1936">
        <f t="shared" si="154"/>
        <v>1934</v>
      </c>
      <c r="K1936">
        <f>IF(calendar[[#This Row],[Month]]&lt;4,1,IF(calendar[[#This Row],[Month]]&lt;7,2,IF(calendar[[#This Row],[Month]]&lt;10,3,4)))</f>
        <v>2</v>
      </c>
      <c r="L1936">
        <f>IFERROR(IF(VLOOKUP(calendar[[#This Row],[Date]],BH!A:A,1,)&lt;&gt;"",1,0),0)</f>
        <v>0</v>
      </c>
      <c r="M1936">
        <f>IFERROR(IF(VLOOKUP(calendar[[#This Row],[Date]],BH!C:C,1,)&lt;&gt;"",1,0),0)</f>
        <v>0</v>
      </c>
      <c r="N1936">
        <f>IFERROR(IF(VLOOKUP(calendar[[#This Row],[Date]],BH!E:E,1,)&lt;&gt;"",1,0),0)</f>
        <v>0</v>
      </c>
      <c r="O1936">
        <f>IFERROR(IF(VLOOKUP(calendar[[#This Row],[Date]],BH!G:G,1,)&lt;&gt;"",1,0),0)</f>
        <v>0</v>
      </c>
      <c r="P1936">
        <f>IF(OR(calendar[[#This Row],[UK_BH]]=1,calendar[[#This Row],[WeekDay]]=1, calendar[[#This Row],[WeekDay]]=7),P1935,P1935+1)</f>
        <v>1382</v>
      </c>
      <c r="Q1936">
        <f>IF(OR(calendar[[#This Row],[FR_BH]]=1,calendar[[#This Row],[WeekDay]]=1, calendar[[#This Row],[WeekDay]]=7),P1935,P1935+1)</f>
        <v>1382</v>
      </c>
      <c r="R1936">
        <f>IF(OR(calendar[[#This Row],[SP_BH]]=1,calendar[[#This Row],[WeekDay]]=1, calendar[[#This Row],[WeekDay]]=7),P1935,P1935+1)</f>
        <v>1382</v>
      </c>
      <c r="S1936">
        <f>IF(OR(calendar[[#This Row],[PT_BH]]=1,calendar[[#This Row],[WeekDay]]=1, calendar[[#This Row],[WeekDay]]=7),P1935,P1935+1)</f>
        <v>1382</v>
      </c>
    </row>
    <row r="1937" spans="1:19" x14ac:dyDescent="0.25">
      <c r="A1937" s="2">
        <v>44671</v>
      </c>
      <c r="B1937" s="1">
        <f t="shared" si="153"/>
        <v>17</v>
      </c>
      <c r="C1937">
        <f t="shared" si="155"/>
        <v>4</v>
      </c>
      <c r="D1937" t="str">
        <f t="shared" si="156"/>
        <v>April</v>
      </c>
      <c r="E1937">
        <f t="shared" si="157"/>
        <v>2022</v>
      </c>
      <c r="F1937" t="str">
        <f>CONCATENATE(calendar[[#This Row],[Month]],"/",calendar[[#This Row],[Year]])</f>
        <v>4/2022</v>
      </c>
      <c r="G1937">
        <f>WEEKDAY(calendar[[#This Row],[Date]],1)</f>
        <v>4</v>
      </c>
      <c r="H1937" t="str">
        <f>TEXT(calendar[[#This Row],[WeekDay]],"dddd")</f>
        <v>Wednesday</v>
      </c>
      <c r="I1937">
        <f>IF((INT(calendar[[#This Row],[Count]]/7)-calendar[[#This Row],[Count]]/7)&lt;0,I1936,I1936+1)</f>
        <v>277</v>
      </c>
      <c r="J1937">
        <f t="shared" si="154"/>
        <v>1935</v>
      </c>
      <c r="K1937">
        <f>IF(calendar[[#This Row],[Month]]&lt;4,1,IF(calendar[[#This Row],[Month]]&lt;7,2,IF(calendar[[#This Row],[Month]]&lt;10,3,4)))</f>
        <v>2</v>
      </c>
      <c r="L1937">
        <f>IFERROR(IF(VLOOKUP(calendar[[#This Row],[Date]],BH!A:A,1,)&lt;&gt;"",1,0),0)</f>
        <v>0</v>
      </c>
      <c r="M1937">
        <f>IFERROR(IF(VLOOKUP(calendar[[#This Row],[Date]],BH!C:C,1,)&lt;&gt;"",1,0),0)</f>
        <v>0</v>
      </c>
      <c r="N1937">
        <f>IFERROR(IF(VLOOKUP(calendar[[#This Row],[Date]],BH!E:E,1,)&lt;&gt;"",1,0),0)</f>
        <v>0</v>
      </c>
      <c r="O1937">
        <f>IFERROR(IF(VLOOKUP(calendar[[#This Row],[Date]],BH!G:G,1,)&lt;&gt;"",1,0),0)</f>
        <v>0</v>
      </c>
      <c r="P1937">
        <f>IF(OR(calendar[[#This Row],[UK_BH]]=1,calendar[[#This Row],[WeekDay]]=1, calendar[[#This Row],[WeekDay]]=7),P1936,P1936+1)</f>
        <v>1383</v>
      </c>
      <c r="Q1937">
        <f>IF(OR(calendar[[#This Row],[FR_BH]]=1,calendar[[#This Row],[WeekDay]]=1, calendar[[#This Row],[WeekDay]]=7),P1936,P1936+1)</f>
        <v>1383</v>
      </c>
      <c r="R1937">
        <f>IF(OR(calendar[[#This Row],[SP_BH]]=1,calendar[[#This Row],[WeekDay]]=1, calendar[[#This Row],[WeekDay]]=7),P1936,P1936+1)</f>
        <v>1383</v>
      </c>
      <c r="S1937">
        <f>IF(OR(calendar[[#This Row],[PT_BH]]=1,calendar[[#This Row],[WeekDay]]=1, calendar[[#This Row],[WeekDay]]=7),P1936,P1936+1)</f>
        <v>1383</v>
      </c>
    </row>
    <row r="1938" spans="1:19" x14ac:dyDescent="0.25">
      <c r="A1938" s="2">
        <v>44672</v>
      </c>
      <c r="B1938" s="1">
        <f t="shared" si="153"/>
        <v>17</v>
      </c>
      <c r="C1938">
        <f t="shared" si="155"/>
        <v>4</v>
      </c>
      <c r="D1938" t="str">
        <f t="shared" si="156"/>
        <v>April</v>
      </c>
      <c r="E1938">
        <f t="shared" si="157"/>
        <v>2022</v>
      </c>
      <c r="F1938" t="str">
        <f>CONCATENATE(calendar[[#This Row],[Month]],"/",calendar[[#This Row],[Year]])</f>
        <v>4/2022</v>
      </c>
      <c r="G1938">
        <f>WEEKDAY(calendar[[#This Row],[Date]],1)</f>
        <v>5</v>
      </c>
      <c r="H1938" t="str">
        <f>TEXT(calendar[[#This Row],[WeekDay]],"dddd")</f>
        <v>Thursday</v>
      </c>
      <c r="I1938">
        <f>IF((INT(calendar[[#This Row],[Count]]/7)-calendar[[#This Row],[Count]]/7)&lt;0,I1937,I1937+1)</f>
        <v>277</v>
      </c>
      <c r="J1938">
        <f t="shared" si="154"/>
        <v>1936</v>
      </c>
      <c r="K1938">
        <f>IF(calendar[[#This Row],[Month]]&lt;4,1,IF(calendar[[#This Row],[Month]]&lt;7,2,IF(calendar[[#This Row],[Month]]&lt;10,3,4)))</f>
        <v>2</v>
      </c>
      <c r="L1938">
        <f>IFERROR(IF(VLOOKUP(calendar[[#This Row],[Date]],BH!A:A,1,)&lt;&gt;"",1,0),0)</f>
        <v>0</v>
      </c>
      <c r="M1938">
        <f>IFERROR(IF(VLOOKUP(calendar[[#This Row],[Date]],BH!C:C,1,)&lt;&gt;"",1,0),0)</f>
        <v>0</v>
      </c>
      <c r="N1938">
        <f>IFERROR(IF(VLOOKUP(calendar[[#This Row],[Date]],BH!E:E,1,)&lt;&gt;"",1,0),0)</f>
        <v>0</v>
      </c>
      <c r="O1938">
        <f>IFERROR(IF(VLOOKUP(calendar[[#This Row],[Date]],BH!G:G,1,)&lt;&gt;"",1,0),0)</f>
        <v>0</v>
      </c>
      <c r="P1938">
        <f>IF(OR(calendar[[#This Row],[UK_BH]]=1,calendar[[#This Row],[WeekDay]]=1, calendar[[#This Row],[WeekDay]]=7),P1937,P1937+1)</f>
        <v>1384</v>
      </c>
      <c r="Q1938">
        <f>IF(OR(calendar[[#This Row],[FR_BH]]=1,calendar[[#This Row],[WeekDay]]=1, calendar[[#This Row],[WeekDay]]=7),P1937,P1937+1)</f>
        <v>1384</v>
      </c>
      <c r="R1938">
        <f>IF(OR(calendar[[#This Row],[SP_BH]]=1,calendar[[#This Row],[WeekDay]]=1, calendar[[#This Row],[WeekDay]]=7),P1937,P1937+1)</f>
        <v>1384</v>
      </c>
      <c r="S1938">
        <f>IF(OR(calendar[[#This Row],[PT_BH]]=1,calendar[[#This Row],[WeekDay]]=1, calendar[[#This Row],[WeekDay]]=7),P1937,P1937+1)</f>
        <v>1384</v>
      </c>
    </row>
    <row r="1939" spans="1:19" x14ac:dyDescent="0.25">
      <c r="A1939" s="2">
        <v>44673</v>
      </c>
      <c r="B1939" s="1">
        <f t="shared" si="153"/>
        <v>17</v>
      </c>
      <c r="C1939">
        <f t="shared" si="155"/>
        <v>4</v>
      </c>
      <c r="D1939" t="str">
        <f t="shared" si="156"/>
        <v>April</v>
      </c>
      <c r="E1939">
        <f t="shared" si="157"/>
        <v>2022</v>
      </c>
      <c r="F1939" t="str">
        <f>CONCATENATE(calendar[[#This Row],[Month]],"/",calendar[[#This Row],[Year]])</f>
        <v>4/2022</v>
      </c>
      <c r="G1939">
        <f>WEEKDAY(calendar[[#This Row],[Date]],1)</f>
        <v>6</v>
      </c>
      <c r="H1939" t="str">
        <f>TEXT(calendar[[#This Row],[WeekDay]],"dddd")</f>
        <v>Friday</v>
      </c>
      <c r="I1939">
        <f>IF((INT(calendar[[#This Row],[Count]]/7)-calendar[[#This Row],[Count]]/7)&lt;0,I1938,I1938+1)</f>
        <v>277</v>
      </c>
      <c r="J1939">
        <f t="shared" si="154"/>
        <v>1937</v>
      </c>
      <c r="K1939">
        <f>IF(calendar[[#This Row],[Month]]&lt;4,1,IF(calendar[[#This Row],[Month]]&lt;7,2,IF(calendar[[#This Row],[Month]]&lt;10,3,4)))</f>
        <v>2</v>
      </c>
      <c r="L1939">
        <f>IFERROR(IF(VLOOKUP(calendar[[#This Row],[Date]],BH!A:A,1,)&lt;&gt;"",1,0),0)</f>
        <v>0</v>
      </c>
      <c r="M1939">
        <f>IFERROR(IF(VLOOKUP(calendar[[#This Row],[Date]],BH!C:C,1,)&lt;&gt;"",1,0),0)</f>
        <v>0</v>
      </c>
      <c r="N1939">
        <f>IFERROR(IF(VLOOKUP(calendar[[#This Row],[Date]],BH!E:E,1,)&lt;&gt;"",1,0),0)</f>
        <v>0</v>
      </c>
      <c r="O1939">
        <f>IFERROR(IF(VLOOKUP(calendar[[#This Row],[Date]],BH!G:G,1,)&lt;&gt;"",1,0),0)</f>
        <v>0</v>
      </c>
      <c r="P1939">
        <f>IF(OR(calendar[[#This Row],[UK_BH]]=1,calendar[[#This Row],[WeekDay]]=1, calendar[[#This Row],[WeekDay]]=7),P1938,P1938+1)</f>
        <v>1385</v>
      </c>
      <c r="Q1939">
        <f>IF(OR(calendar[[#This Row],[FR_BH]]=1,calendar[[#This Row],[WeekDay]]=1, calendar[[#This Row],[WeekDay]]=7),P1938,P1938+1)</f>
        <v>1385</v>
      </c>
      <c r="R1939">
        <f>IF(OR(calendar[[#This Row],[SP_BH]]=1,calendar[[#This Row],[WeekDay]]=1, calendar[[#This Row],[WeekDay]]=7),P1938,P1938+1)</f>
        <v>1385</v>
      </c>
      <c r="S1939">
        <f>IF(OR(calendar[[#This Row],[PT_BH]]=1,calendar[[#This Row],[WeekDay]]=1, calendar[[#This Row],[WeekDay]]=7),P1938,P1938+1)</f>
        <v>1385</v>
      </c>
    </row>
    <row r="1940" spans="1:19" x14ac:dyDescent="0.25">
      <c r="A1940" s="2">
        <v>44674</v>
      </c>
      <c r="B1940" s="1">
        <f t="shared" si="153"/>
        <v>17</v>
      </c>
      <c r="C1940">
        <f t="shared" si="155"/>
        <v>4</v>
      </c>
      <c r="D1940" t="str">
        <f t="shared" si="156"/>
        <v>April</v>
      </c>
      <c r="E1940">
        <f t="shared" si="157"/>
        <v>2022</v>
      </c>
      <c r="F1940" t="str">
        <f>CONCATENATE(calendar[[#This Row],[Month]],"/",calendar[[#This Row],[Year]])</f>
        <v>4/2022</v>
      </c>
      <c r="G1940">
        <f>WEEKDAY(calendar[[#This Row],[Date]],1)</f>
        <v>7</v>
      </c>
      <c r="H1940" t="str">
        <f>TEXT(calendar[[#This Row],[WeekDay]],"dddd")</f>
        <v>Saturday</v>
      </c>
      <c r="I1940">
        <f>IF((INT(calendar[[#This Row],[Count]]/7)-calendar[[#This Row],[Count]]/7)&lt;0,I1939,I1939+1)</f>
        <v>277</v>
      </c>
      <c r="J1940">
        <f t="shared" si="154"/>
        <v>1938</v>
      </c>
      <c r="K1940">
        <f>IF(calendar[[#This Row],[Month]]&lt;4,1,IF(calendar[[#This Row],[Month]]&lt;7,2,IF(calendar[[#This Row],[Month]]&lt;10,3,4)))</f>
        <v>2</v>
      </c>
      <c r="L1940">
        <f>IFERROR(IF(VLOOKUP(calendar[[#This Row],[Date]],BH!A:A,1,)&lt;&gt;"",1,0),0)</f>
        <v>0</v>
      </c>
      <c r="M1940">
        <f>IFERROR(IF(VLOOKUP(calendar[[#This Row],[Date]],BH!C:C,1,)&lt;&gt;"",1,0),0)</f>
        <v>0</v>
      </c>
      <c r="N1940">
        <f>IFERROR(IF(VLOOKUP(calendar[[#This Row],[Date]],BH!E:E,1,)&lt;&gt;"",1,0),0)</f>
        <v>0</v>
      </c>
      <c r="O1940">
        <f>IFERROR(IF(VLOOKUP(calendar[[#This Row],[Date]],BH!G:G,1,)&lt;&gt;"",1,0),0)</f>
        <v>0</v>
      </c>
      <c r="P1940">
        <f>IF(OR(calendar[[#This Row],[UK_BH]]=1,calendar[[#This Row],[WeekDay]]=1, calendar[[#This Row],[WeekDay]]=7),P1939,P1939+1)</f>
        <v>1385</v>
      </c>
      <c r="Q1940">
        <f>IF(OR(calendar[[#This Row],[FR_BH]]=1,calendar[[#This Row],[WeekDay]]=1, calendar[[#This Row],[WeekDay]]=7),P1939,P1939+1)</f>
        <v>1385</v>
      </c>
      <c r="R1940">
        <f>IF(OR(calendar[[#This Row],[SP_BH]]=1,calendar[[#This Row],[WeekDay]]=1, calendar[[#This Row],[WeekDay]]=7),P1939,P1939+1)</f>
        <v>1385</v>
      </c>
      <c r="S1940">
        <f>IF(OR(calendar[[#This Row],[PT_BH]]=1,calendar[[#This Row],[WeekDay]]=1, calendar[[#This Row],[WeekDay]]=7),P1939,P1939+1)</f>
        <v>1385</v>
      </c>
    </row>
    <row r="1941" spans="1:19" x14ac:dyDescent="0.25">
      <c r="A1941" s="2">
        <v>44675</v>
      </c>
      <c r="B1941" s="1">
        <f t="shared" si="153"/>
        <v>18</v>
      </c>
      <c r="C1941">
        <f t="shared" si="155"/>
        <v>4</v>
      </c>
      <c r="D1941" t="str">
        <f t="shared" si="156"/>
        <v>April</v>
      </c>
      <c r="E1941">
        <f t="shared" si="157"/>
        <v>2022</v>
      </c>
      <c r="F1941" t="str">
        <f>CONCATENATE(calendar[[#This Row],[Month]],"/",calendar[[#This Row],[Year]])</f>
        <v>4/2022</v>
      </c>
      <c r="G1941">
        <f>WEEKDAY(calendar[[#This Row],[Date]],1)</f>
        <v>1</v>
      </c>
      <c r="H1941" t="str">
        <f>TEXT(calendar[[#This Row],[WeekDay]],"dddd")</f>
        <v>Sunday</v>
      </c>
      <c r="I1941">
        <f>IF((INT(calendar[[#This Row],[Count]]/7)-calendar[[#This Row],[Count]]/7)&lt;0,I1940,I1940+1)</f>
        <v>278</v>
      </c>
      <c r="J1941">
        <f t="shared" si="154"/>
        <v>1939</v>
      </c>
      <c r="K1941">
        <f>IF(calendar[[#This Row],[Month]]&lt;4,1,IF(calendar[[#This Row],[Month]]&lt;7,2,IF(calendar[[#This Row],[Month]]&lt;10,3,4)))</f>
        <v>2</v>
      </c>
      <c r="L1941">
        <f>IFERROR(IF(VLOOKUP(calendar[[#This Row],[Date]],BH!A:A,1,)&lt;&gt;"",1,0),0)</f>
        <v>0</v>
      </c>
      <c r="M1941">
        <f>IFERROR(IF(VLOOKUP(calendar[[#This Row],[Date]],BH!C:C,1,)&lt;&gt;"",1,0),0)</f>
        <v>0</v>
      </c>
      <c r="N1941">
        <f>IFERROR(IF(VLOOKUP(calendar[[#This Row],[Date]],BH!E:E,1,)&lt;&gt;"",1,0),0)</f>
        <v>0</v>
      </c>
      <c r="O1941">
        <f>IFERROR(IF(VLOOKUP(calendar[[#This Row],[Date]],BH!G:G,1,)&lt;&gt;"",1,0),0)</f>
        <v>0</v>
      </c>
      <c r="P1941">
        <f>IF(OR(calendar[[#This Row],[UK_BH]]=1,calendar[[#This Row],[WeekDay]]=1, calendar[[#This Row],[WeekDay]]=7),P1940,P1940+1)</f>
        <v>1385</v>
      </c>
      <c r="Q1941">
        <f>IF(OR(calendar[[#This Row],[FR_BH]]=1,calendar[[#This Row],[WeekDay]]=1, calendar[[#This Row],[WeekDay]]=7),P1940,P1940+1)</f>
        <v>1385</v>
      </c>
      <c r="R1941">
        <f>IF(OR(calendar[[#This Row],[SP_BH]]=1,calendar[[#This Row],[WeekDay]]=1, calendar[[#This Row],[WeekDay]]=7),P1940,P1940+1)</f>
        <v>1385</v>
      </c>
      <c r="S1941">
        <f>IF(OR(calendar[[#This Row],[PT_BH]]=1,calendar[[#This Row],[WeekDay]]=1, calendar[[#This Row],[WeekDay]]=7),P1940,P1940+1)</f>
        <v>1385</v>
      </c>
    </row>
    <row r="1942" spans="1:19" x14ac:dyDescent="0.25">
      <c r="A1942" s="2">
        <v>44676</v>
      </c>
      <c r="B1942" s="1">
        <f t="shared" si="153"/>
        <v>18</v>
      </c>
      <c r="C1942">
        <f t="shared" si="155"/>
        <v>4</v>
      </c>
      <c r="D1942" t="str">
        <f t="shared" si="156"/>
        <v>April</v>
      </c>
      <c r="E1942">
        <f t="shared" si="157"/>
        <v>2022</v>
      </c>
      <c r="F1942" t="str">
        <f>CONCATENATE(calendar[[#This Row],[Month]],"/",calendar[[#This Row],[Year]])</f>
        <v>4/2022</v>
      </c>
      <c r="G1942">
        <f>WEEKDAY(calendar[[#This Row],[Date]],1)</f>
        <v>2</v>
      </c>
      <c r="H1942" t="str">
        <f>TEXT(calendar[[#This Row],[WeekDay]],"dddd")</f>
        <v>Monday</v>
      </c>
      <c r="I1942">
        <f>IF((INT(calendar[[#This Row],[Count]]/7)-calendar[[#This Row],[Count]]/7)&lt;0,I1941,I1941+1)</f>
        <v>278</v>
      </c>
      <c r="J1942">
        <f t="shared" si="154"/>
        <v>1940</v>
      </c>
      <c r="K1942">
        <f>IF(calendar[[#This Row],[Month]]&lt;4,1,IF(calendar[[#This Row],[Month]]&lt;7,2,IF(calendar[[#This Row],[Month]]&lt;10,3,4)))</f>
        <v>2</v>
      </c>
      <c r="L1942">
        <f>IFERROR(IF(VLOOKUP(calendar[[#This Row],[Date]],BH!A:A,1,)&lt;&gt;"",1,0),0)</f>
        <v>0</v>
      </c>
      <c r="M1942">
        <f>IFERROR(IF(VLOOKUP(calendar[[#This Row],[Date]],BH!C:C,1,)&lt;&gt;"",1,0),0)</f>
        <v>0</v>
      </c>
      <c r="N1942">
        <f>IFERROR(IF(VLOOKUP(calendar[[#This Row],[Date]],BH!E:E,1,)&lt;&gt;"",1,0),0)</f>
        <v>0</v>
      </c>
      <c r="O1942">
        <f>IFERROR(IF(VLOOKUP(calendar[[#This Row],[Date]],BH!G:G,1,)&lt;&gt;"",1,0),0)</f>
        <v>0</v>
      </c>
      <c r="P1942">
        <f>IF(OR(calendar[[#This Row],[UK_BH]]=1,calendar[[#This Row],[WeekDay]]=1, calendar[[#This Row],[WeekDay]]=7),P1941,P1941+1)</f>
        <v>1386</v>
      </c>
      <c r="Q1942">
        <f>IF(OR(calendar[[#This Row],[FR_BH]]=1,calendar[[#This Row],[WeekDay]]=1, calendar[[#This Row],[WeekDay]]=7),P1941,P1941+1)</f>
        <v>1386</v>
      </c>
      <c r="R1942">
        <f>IF(OR(calendar[[#This Row],[SP_BH]]=1,calendar[[#This Row],[WeekDay]]=1, calendar[[#This Row],[WeekDay]]=7),P1941,P1941+1)</f>
        <v>1386</v>
      </c>
      <c r="S1942">
        <f>IF(OR(calendar[[#This Row],[PT_BH]]=1,calendar[[#This Row],[WeekDay]]=1, calendar[[#This Row],[WeekDay]]=7),P1941,P1941+1)</f>
        <v>1386</v>
      </c>
    </row>
    <row r="1943" spans="1:19" x14ac:dyDescent="0.25">
      <c r="A1943" s="2">
        <v>44677</v>
      </c>
      <c r="B1943" s="1">
        <f t="shared" si="153"/>
        <v>18</v>
      </c>
      <c r="C1943">
        <f t="shared" si="155"/>
        <v>4</v>
      </c>
      <c r="D1943" t="str">
        <f t="shared" si="156"/>
        <v>April</v>
      </c>
      <c r="E1943">
        <f t="shared" si="157"/>
        <v>2022</v>
      </c>
      <c r="F1943" t="str">
        <f>CONCATENATE(calendar[[#This Row],[Month]],"/",calendar[[#This Row],[Year]])</f>
        <v>4/2022</v>
      </c>
      <c r="G1943">
        <f>WEEKDAY(calendar[[#This Row],[Date]],1)</f>
        <v>3</v>
      </c>
      <c r="H1943" t="str">
        <f>TEXT(calendar[[#This Row],[WeekDay]],"dddd")</f>
        <v>Tuesday</v>
      </c>
      <c r="I1943">
        <f>IF((INT(calendar[[#This Row],[Count]]/7)-calendar[[#This Row],[Count]]/7)&lt;0,I1942,I1942+1)</f>
        <v>278</v>
      </c>
      <c r="J1943">
        <f t="shared" si="154"/>
        <v>1941</v>
      </c>
      <c r="K1943">
        <f>IF(calendar[[#This Row],[Month]]&lt;4,1,IF(calendar[[#This Row],[Month]]&lt;7,2,IF(calendar[[#This Row],[Month]]&lt;10,3,4)))</f>
        <v>2</v>
      </c>
      <c r="L1943">
        <f>IFERROR(IF(VLOOKUP(calendar[[#This Row],[Date]],BH!A:A,1,)&lt;&gt;"",1,0),0)</f>
        <v>0</v>
      </c>
      <c r="M1943">
        <f>IFERROR(IF(VLOOKUP(calendar[[#This Row],[Date]],BH!C:C,1,)&lt;&gt;"",1,0),0)</f>
        <v>0</v>
      </c>
      <c r="N1943">
        <f>IFERROR(IF(VLOOKUP(calendar[[#This Row],[Date]],BH!E:E,1,)&lt;&gt;"",1,0),0)</f>
        <v>0</v>
      </c>
      <c r="O1943">
        <f>IFERROR(IF(VLOOKUP(calendar[[#This Row],[Date]],BH!G:G,1,)&lt;&gt;"",1,0),0)</f>
        <v>0</v>
      </c>
      <c r="P1943">
        <f>IF(OR(calendar[[#This Row],[UK_BH]]=1,calendar[[#This Row],[WeekDay]]=1, calendar[[#This Row],[WeekDay]]=7),P1942,P1942+1)</f>
        <v>1387</v>
      </c>
      <c r="Q1943">
        <f>IF(OR(calendar[[#This Row],[FR_BH]]=1,calendar[[#This Row],[WeekDay]]=1, calendar[[#This Row],[WeekDay]]=7),P1942,P1942+1)</f>
        <v>1387</v>
      </c>
      <c r="R1943">
        <f>IF(OR(calendar[[#This Row],[SP_BH]]=1,calendar[[#This Row],[WeekDay]]=1, calendar[[#This Row],[WeekDay]]=7),P1942,P1942+1)</f>
        <v>1387</v>
      </c>
      <c r="S1943">
        <f>IF(OR(calendar[[#This Row],[PT_BH]]=1,calendar[[#This Row],[WeekDay]]=1, calendar[[#This Row],[WeekDay]]=7),P1942,P1942+1)</f>
        <v>1387</v>
      </c>
    </row>
    <row r="1944" spans="1:19" x14ac:dyDescent="0.25">
      <c r="A1944" s="2">
        <v>44678</v>
      </c>
      <c r="B1944" s="1">
        <f t="shared" si="153"/>
        <v>18</v>
      </c>
      <c r="C1944">
        <f t="shared" si="155"/>
        <v>4</v>
      </c>
      <c r="D1944" t="str">
        <f t="shared" si="156"/>
        <v>April</v>
      </c>
      <c r="E1944">
        <f t="shared" si="157"/>
        <v>2022</v>
      </c>
      <c r="F1944" t="str">
        <f>CONCATENATE(calendar[[#This Row],[Month]],"/",calendar[[#This Row],[Year]])</f>
        <v>4/2022</v>
      </c>
      <c r="G1944">
        <f>WEEKDAY(calendar[[#This Row],[Date]],1)</f>
        <v>4</v>
      </c>
      <c r="H1944" t="str">
        <f>TEXT(calendar[[#This Row],[WeekDay]],"dddd")</f>
        <v>Wednesday</v>
      </c>
      <c r="I1944">
        <f>IF((INT(calendar[[#This Row],[Count]]/7)-calendar[[#This Row],[Count]]/7)&lt;0,I1943,I1943+1)</f>
        <v>278</v>
      </c>
      <c r="J1944">
        <f t="shared" si="154"/>
        <v>1942</v>
      </c>
      <c r="K1944">
        <f>IF(calendar[[#This Row],[Month]]&lt;4,1,IF(calendar[[#This Row],[Month]]&lt;7,2,IF(calendar[[#This Row],[Month]]&lt;10,3,4)))</f>
        <v>2</v>
      </c>
      <c r="L1944">
        <f>IFERROR(IF(VLOOKUP(calendar[[#This Row],[Date]],BH!A:A,1,)&lt;&gt;"",1,0),0)</f>
        <v>0</v>
      </c>
      <c r="M1944">
        <f>IFERROR(IF(VLOOKUP(calendar[[#This Row],[Date]],BH!C:C,1,)&lt;&gt;"",1,0),0)</f>
        <v>0</v>
      </c>
      <c r="N1944">
        <f>IFERROR(IF(VLOOKUP(calendar[[#This Row],[Date]],BH!E:E,1,)&lt;&gt;"",1,0),0)</f>
        <v>0</v>
      </c>
      <c r="O1944">
        <f>IFERROR(IF(VLOOKUP(calendar[[#This Row],[Date]],BH!G:G,1,)&lt;&gt;"",1,0),0)</f>
        <v>0</v>
      </c>
      <c r="P1944">
        <f>IF(OR(calendar[[#This Row],[UK_BH]]=1,calendar[[#This Row],[WeekDay]]=1, calendar[[#This Row],[WeekDay]]=7),P1943,P1943+1)</f>
        <v>1388</v>
      </c>
      <c r="Q1944">
        <f>IF(OR(calendar[[#This Row],[FR_BH]]=1,calendar[[#This Row],[WeekDay]]=1, calendar[[#This Row],[WeekDay]]=7),P1943,P1943+1)</f>
        <v>1388</v>
      </c>
      <c r="R1944">
        <f>IF(OR(calendar[[#This Row],[SP_BH]]=1,calendar[[#This Row],[WeekDay]]=1, calendar[[#This Row],[WeekDay]]=7),P1943,P1943+1)</f>
        <v>1388</v>
      </c>
      <c r="S1944">
        <f>IF(OR(calendar[[#This Row],[PT_BH]]=1,calendar[[#This Row],[WeekDay]]=1, calendar[[#This Row],[WeekDay]]=7),P1943,P1943+1)</f>
        <v>1388</v>
      </c>
    </row>
    <row r="1945" spans="1:19" x14ac:dyDescent="0.25">
      <c r="A1945" s="2">
        <v>44679</v>
      </c>
      <c r="B1945" s="1">
        <f t="shared" si="153"/>
        <v>18</v>
      </c>
      <c r="C1945">
        <f t="shared" si="155"/>
        <v>4</v>
      </c>
      <c r="D1945" t="str">
        <f t="shared" si="156"/>
        <v>April</v>
      </c>
      <c r="E1945">
        <f t="shared" si="157"/>
        <v>2022</v>
      </c>
      <c r="F1945" t="str">
        <f>CONCATENATE(calendar[[#This Row],[Month]],"/",calendar[[#This Row],[Year]])</f>
        <v>4/2022</v>
      </c>
      <c r="G1945">
        <f>WEEKDAY(calendar[[#This Row],[Date]],1)</f>
        <v>5</v>
      </c>
      <c r="H1945" t="str">
        <f>TEXT(calendar[[#This Row],[WeekDay]],"dddd")</f>
        <v>Thursday</v>
      </c>
      <c r="I1945">
        <f>IF((INT(calendar[[#This Row],[Count]]/7)-calendar[[#This Row],[Count]]/7)&lt;0,I1944,I1944+1)</f>
        <v>278</v>
      </c>
      <c r="J1945">
        <f t="shared" si="154"/>
        <v>1943</v>
      </c>
      <c r="K1945">
        <f>IF(calendar[[#This Row],[Month]]&lt;4,1,IF(calendar[[#This Row],[Month]]&lt;7,2,IF(calendar[[#This Row],[Month]]&lt;10,3,4)))</f>
        <v>2</v>
      </c>
      <c r="L1945">
        <f>IFERROR(IF(VLOOKUP(calendar[[#This Row],[Date]],BH!A:A,1,)&lt;&gt;"",1,0),0)</f>
        <v>0</v>
      </c>
      <c r="M1945">
        <f>IFERROR(IF(VLOOKUP(calendar[[#This Row],[Date]],BH!C:C,1,)&lt;&gt;"",1,0),0)</f>
        <v>0</v>
      </c>
      <c r="N1945">
        <f>IFERROR(IF(VLOOKUP(calendar[[#This Row],[Date]],BH!E:E,1,)&lt;&gt;"",1,0),0)</f>
        <v>0</v>
      </c>
      <c r="O1945">
        <f>IFERROR(IF(VLOOKUP(calendar[[#This Row],[Date]],BH!G:G,1,)&lt;&gt;"",1,0),0)</f>
        <v>0</v>
      </c>
      <c r="P1945">
        <f>IF(OR(calendar[[#This Row],[UK_BH]]=1,calendar[[#This Row],[WeekDay]]=1, calendar[[#This Row],[WeekDay]]=7),P1944,P1944+1)</f>
        <v>1389</v>
      </c>
      <c r="Q1945">
        <f>IF(OR(calendar[[#This Row],[FR_BH]]=1,calendar[[#This Row],[WeekDay]]=1, calendar[[#This Row],[WeekDay]]=7),P1944,P1944+1)</f>
        <v>1389</v>
      </c>
      <c r="R1945">
        <f>IF(OR(calendar[[#This Row],[SP_BH]]=1,calendar[[#This Row],[WeekDay]]=1, calendar[[#This Row],[WeekDay]]=7),P1944,P1944+1)</f>
        <v>1389</v>
      </c>
      <c r="S1945">
        <f>IF(OR(calendar[[#This Row],[PT_BH]]=1,calendar[[#This Row],[WeekDay]]=1, calendar[[#This Row],[WeekDay]]=7),P1944,P1944+1)</f>
        <v>1389</v>
      </c>
    </row>
    <row r="1946" spans="1:19" x14ac:dyDescent="0.25">
      <c r="A1946" s="2">
        <v>44680</v>
      </c>
      <c r="B1946" s="1">
        <f t="shared" si="153"/>
        <v>18</v>
      </c>
      <c r="C1946">
        <f t="shared" si="155"/>
        <v>4</v>
      </c>
      <c r="D1946" t="str">
        <f t="shared" si="156"/>
        <v>April</v>
      </c>
      <c r="E1946">
        <f t="shared" si="157"/>
        <v>2022</v>
      </c>
      <c r="F1946" t="str">
        <f>CONCATENATE(calendar[[#This Row],[Month]],"/",calendar[[#This Row],[Year]])</f>
        <v>4/2022</v>
      </c>
      <c r="G1946">
        <f>WEEKDAY(calendar[[#This Row],[Date]],1)</f>
        <v>6</v>
      </c>
      <c r="H1946" t="str">
        <f>TEXT(calendar[[#This Row],[WeekDay]],"dddd")</f>
        <v>Friday</v>
      </c>
      <c r="I1946">
        <f>IF((INT(calendar[[#This Row],[Count]]/7)-calendar[[#This Row],[Count]]/7)&lt;0,I1945,I1945+1)</f>
        <v>278</v>
      </c>
      <c r="J1946">
        <f t="shared" si="154"/>
        <v>1944</v>
      </c>
      <c r="K1946">
        <f>IF(calendar[[#This Row],[Month]]&lt;4,1,IF(calendar[[#This Row],[Month]]&lt;7,2,IF(calendar[[#This Row],[Month]]&lt;10,3,4)))</f>
        <v>2</v>
      </c>
      <c r="L1946">
        <f>IFERROR(IF(VLOOKUP(calendar[[#This Row],[Date]],BH!A:A,1,)&lt;&gt;"",1,0),0)</f>
        <v>0</v>
      </c>
      <c r="M1946">
        <f>IFERROR(IF(VLOOKUP(calendar[[#This Row],[Date]],BH!C:C,1,)&lt;&gt;"",1,0),0)</f>
        <v>0</v>
      </c>
      <c r="N1946">
        <f>IFERROR(IF(VLOOKUP(calendar[[#This Row],[Date]],BH!E:E,1,)&lt;&gt;"",1,0),0)</f>
        <v>0</v>
      </c>
      <c r="O1946">
        <f>IFERROR(IF(VLOOKUP(calendar[[#This Row],[Date]],BH!G:G,1,)&lt;&gt;"",1,0),0)</f>
        <v>0</v>
      </c>
      <c r="P1946">
        <f>IF(OR(calendar[[#This Row],[UK_BH]]=1,calendar[[#This Row],[WeekDay]]=1, calendar[[#This Row],[WeekDay]]=7),P1945,P1945+1)</f>
        <v>1390</v>
      </c>
      <c r="Q1946">
        <f>IF(OR(calendar[[#This Row],[FR_BH]]=1,calendar[[#This Row],[WeekDay]]=1, calendar[[#This Row],[WeekDay]]=7),P1945,P1945+1)</f>
        <v>1390</v>
      </c>
      <c r="R1946">
        <f>IF(OR(calendar[[#This Row],[SP_BH]]=1,calendar[[#This Row],[WeekDay]]=1, calendar[[#This Row],[WeekDay]]=7),P1945,P1945+1)</f>
        <v>1390</v>
      </c>
      <c r="S1946">
        <f>IF(OR(calendar[[#This Row],[PT_BH]]=1,calendar[[#This Row],[WeekDay]]=1, calendar[[#This Row],[WeekDay]]=7),P1945,P1945+1)</f>
        <v>1390</v>
      </c>
    </row>
    <row r="1947" spans="1:19" x14ac:dyDescent="0.25">
      <c r="A1947" s="2">
        <v>44681</v>
      </c>
      <c r="B1947" s="1">
        <f t="shared" si="153"/>
        <v>18</v>
      </c>
      <c r="C1947">
        <f t="shared" si="155"/>
        <v>4</v>
      </c>
      <c r="D1947" t="str">
        <f t="shared" si="156"/>
        <v>April</v>
      </c>
      <c r="E1947">
        <f t="shared" si="157"/>
        <v>2022</v>
      </c>
      <c r="F1947" t="str">
        <f>CONCATENATE(calendar[[#This Row],[Month]],"/",calendar[[#This Row],[Year]])</f>
        <v>4/2022</v>
      </c>
      <c r="G1947">
        <f>WEEKDAY(calendar[[#This Row],[Date]],1)</f>
        <v>7</v>
      </c>
      <c r="H1947" t="str">
        <f>TEXT(calendar[[#This Row],[WeekDay]],"dddd")</f>
        <v>Saturday</v>
      </c>
      <c r="I1947">
        <f>IF((INT(calendar[[#This Row],[Count]]/7)-calendar[[#This Row],[Count]]/7)&lt;0,I1946,I1946+1)</f>
        <v>278</v>
      </c>
      <c r="J1947">
        <f t="shared" si="154"/>
        <v>1945</v>
      </c>
      <c r="K1947">
        <f>IF(calendar[[#This Row],[Month]]&lt;4,1,IF(calendar[[#This Row],[Month]]&lt;7,2,IF(calendar[[#This Row],[Month]]&lt;10,3,4)))</f>
        <v>2</v>
      </c>
      <c r="L1947">
        <f>IFERROR(IF(VLOOKUP(calendar[[#This Row],[Date]],BH!A:A,1,)&lt;&gt;"",1,0),0)</f>
        <v>0</v>
      </c>
      <c r="M1947">
        <f>IFERROR(IF(VLOOKUP(calendar[[#This Row],[Date]],BH!C:C,1,)&lt;&gt;"",1,0),0)</f>
        <v>0</v>
      </c>
      <c r="N1947">
        <f>IFERROR(IF(VLOOKUP(calendar[[#This Row],[Date]],BH!E:E,1,)&lt;&gt;"",1,0),0)</f>
        <v>0</v>
      </c>
      <c r="O1947">
        <f>IFERROR(IF(VLOOKUP(calendar[[#This Row],[Date]],BH!G:G,1,)&lt;&gt;"",1,0),0)</f>
        <v>0</v>
      </c>
      <c r="P1947">
        <f>IF(OR(calendar[[#This Row],[UK_BH]]=1,calendar[[#This Row],[WeekDay]]=1, calendar[[#This Row],[WeekDay]]=7),P1946,P1946+1)</f>
        <v>1390</v>
      </c>
      <c r="Q1947">
        <f>IF(OR(calendar[[#This Row],[FR_BH]]=1,calendar[[#This Row],[WeekDay]]=1, calendar[[#This Row],[WeekDay]]=7),P1946,P1946+1)</f>
        <v>1390</v>
      </c>
      <c r="R1947">
        <f>IF(OR(calendar[[#This Row],[SP_BH]]=1,calendar[[#This Row],[WeekDay]]=1, calendar[[#This Row],[WeekDay]]=7),P1946,P1946+1)</f>
        <v>1390</v>
      </c>
      <c r="S1947">
        <f>IF(OR(calendar[[#This Row],[PT_BH]]=1,calendar[[#This Row],[WeekDay]]=1, calendar[[#This Row],[WeekDay]]=7),P1946,P1946+1)</f>
        <v>1390</v>
      </c>
    </row>
    <row r="1948" spans="1:19" x14ac:dyDescent="0.25">
      <c r="A1948" s="2">
        <v>44682</v>
      </c>
      <c r="B1948" s="1">
        <f t="shared" si="153"/>
        <v>19</v>
      </c>
      <c r="C1948">
        <f t="shared" si="155"/>
        <v>5</v>
      </c>
      <c r="D1948" t="str">
        <f t="shared" si="156"/>
        <v>May</v>
      </c>
      <c r="E1948">
        <f t="shared" si="157"/>
        <v>2022</v>
      </c>
      <c r="F1948" t="str">
        <f>CONCATENATE(calendar[[#This Row],[Month]],"/",calendar[[#This Row],[Year]])</f>
        <v>5/2022</v>
      </c>
      <c r="G1948">
        <f>WEEKDAY(calendar[[#This Row],[Date]],1)</f>
        <v>1</v>
      </c>
      <c r="H1948" t="str">
        <f>TEXT(calendar[[#This Row],[WeekDay]],"dddd")</f>
        <v>Sunday</v>
      </c>
      <c r="I1948">
        <f>IF((INT(calendar[[#This Row],[Count]]/7)-calendar[[#This Row],[Count]]/7)&lt;0,I1947,I1947+1)</f>
        <v>279</v>
      </c>
      <c r="J1948">
        <f t="shared" si="154"/>
        <v>1946</v>
      </c>
      <c r="K1948">
        <f>IF(calendar[[#This Row],[Month]]&lt;4,1,IF(calendar[[#This Row],[Month]]&lt;7,2,IF(calendar[[#This Row],[Month]]&lt;10,3,4)))</f>
        <v>2</v>
      </c>
      <c r="L1948">
        <f>IFERROR(IF(VLOOKUP(calendar[[#This Row],[Date]],BH!A:A,1,)&lt;&gt;"",1,0),0)</f>
        <v>0</v>
      </c>
      <c r="M1948">
        <f>IFERROR(IF(VLOOKUP(calendar[[#This Row],[Date]],BH!C:C,1,)&lt;&gt;"",1,0),0)</f>
        <v>0</v>
      </c>
      <c r="N1948">
        <f>IFERROR(IF(VLOOKUP(calendar[[#This Row],[Date]],BH!E:E,1,)&lt;&gt;"",1,0),0)</f>
        <v>0</v>
      </c>
      <c r="O1948">
        <f>IFERROR(IF(VLOOKUP(calendar[[#This Row],[Date]],BH!G:G,1,)&lt;&gt;"",1,0),0)</f>
        <v>0</v>
      </c>
      <c r="P1948">
        <f>IF(OR(calendar[[#This Row],[UK_BH]]=1,calendar[[#This Row],[WeekDay]]=1, calendar[[#This Row],[WeekDay]]=7),P1947,P1947+1)</f>
        <v>1390</v>
      </c>
      <c r="Q1948">
        <f>IF(OR(calendar[[#This Row],[FR_BH]]=1,calendar[[#This Row],[WeekDay]]=1, calendar[[#This Row],[WeekDay]]=7),P1947,P1947+1)</f>
        <v>1390</v>
      </c>
      <c r="R1948">
        <f>IF(OR(calendar[[#This Row],[SP_BH]]=1,calendar[[#This Row],[WeekDay]]=1, calendar[[#This Row],[WeekDay]]=7),P1947,P1947+1)</f>
        <v>1390</v>
      </c>
      <c r="S1948">
        <f>IF(OR(calendar[[#This Row],[PT_BH]]=1,calendar[[#This Row],[WeekDay]]=1, calendar[[#This Row],[WeekDay]]=7),P1947,P1947+1)</f>
        <v>1390</v>
      </c>
    </row>
    <row r="1949" spans="1:19" x14ac:dyDescent="0.25">
      <c r="A1949" s="2">
        <v>44683</v>
      </c>
      <c r="B1949" s="1">
        <f t="shared" si="153"/>
        <v>19</v>
      </c>
      <c r="C1949">
        <f t="shared" si="155"/>
        <v>5</v>
      </c>
      <c r="D1949" t="str">
        <f t="shared" si="156"/>
        <v>May</v>
      </c>
      <c r="E1949">
        <f t="shared" si="157"/>
        <v>2022</v>
      </c>
      <c r="F1949" t="str">
        <f>CONCATENATE(calendar[[#This Row],[Month]],"/",calendar[[#This Row],[Year]])</f>
        <v>5/2022</v>
      </c>
      <c r="G1949">
        <f>WEEKDAY(calendar[[#This Row],[Date]],1)</f>
        <v>2</v>
      </c>
      <c r="H1949" t="str">
        <f>TEXT(calendar[[#This Row],[WeekDay]],"dddd")</f>
        <v>Monday</v>
      </c>
      <c r="I1949">
        <f>IF((INT(calendar[[#This Row],[Count]]/7)-calendar[[#This Row],[Count]]/7)&lt;0,I1948,I1948+1)</f>
        <v>279</v>
      </c>
      <c r="J1949">
        <f t="shared" si="154"/>
        <v>1947</v>
      </c>
      <c r="K1949">
        <f>IF(calendar[[#This Row],[Month]]&lt;4,1,IF(calendar[[#This Row],[Month]]&lt;7,2,IF(calendar[[#This Row],[Month]]&lt;10,3,4)))</f>
        <v>2</v>
      </c>
      <c r="L1949">
        <f>IFERROR(IF(VLOOKUP(calendar[[#This Row],[Date]],BH!A:A,1,)&lt;&gt;"",1,0),0)</f>
        <v>0</v>
      </c>
      <c r="M1949">
        <f>IFERROR(IF(VLOOKUP(calendar[[#This Row],[Date]],BH!C:C,1,)&lt;&gt;"",1,0),0)</f>
        <v>0</v>
      </c>
      <c r="N1949">
        <f>IFERROR(IF(VLOOKUP(calendar[[#This Row],[Date]],BH!E:E,1,)&lt;&gt;"",1,0),0)</f>
        <v>0</v>
      </c>
      <c r="O1949">
        <f>IFERROR(IF(VLOOKUP(calendar[[#This Row],[Date]],BH!G:G,1,)&lt;&gt;"",1,0),0)</f>
        <v>0</v>
      </c>
      <c r="P1949">
        <f>IF(OR(calendar[[#This Row],[UK_BH]]=1,calendar[[#This Row],[WeekDay]]=1, calendar[[#This Row],[WeekDay]]=7),P1948,P1948+1)</f>
        <v>1391</v>
      </c>
      <c r="Q1949">
        <f>IF(OR(calendar[[#This Row],[FR_BH]]=1,calendar[[#This Row],[WeekDay]]=1, calendar[[#This Row],[WeekDay]]=7),P1948,P1948+1)</f>
        <v>1391</v>
      </c>
      <c r="R1949">
        <f>IF(OR(calendar[[#This Row],[SP_BH]]=1,calendar[[#This Row],[WeekDay]]=1, calendar[[#This Row],[WeekDay]]=7),P1948,P1948+1)</f>
        <v>1391</v>
      </c>
      <c r="S1949">
        <f>IF(OR(calendar[[#This Row],[PT_BH]]=1,calendar[[#This Row],[WeekDay]]=1, calendar[[#This Row],[WeekDay]]=7),P1948,P1948+1)</f>
        <v>1391</v>
      </c>
    </row>
    <row r="1950" spans="1:19" x14ac:dyDescent="0.25">
      <c r="A1950" s="2">
        <v>44684</v>
      </c>
      <c r="B1950" s="1">
        <f t="shared" si="153"/>
        <v>19</v>
      </c>
      <c r="C1950">
        <f t="shared" si="155"/>
        <v>5</v>
      </c>
      <c r="D1950" t="str">
        <f t="shared" si="156"/>
        <v>May</v>
      </c>
      <c r="E1950">
        <f t="shared" si="157"/>
        <v>2022</v>
      </c>
      <c r="F1950" t="str">
        <f>CONCATENATE(calendar[[#This Row],[Month]],"/",calendar[[#This Row],[Year]])</f>
        <v>5/2022</v>
      </c>
      <c r="G1950">
        <f>WEEKDAY(calendar[[#This Row],[Date]],1)</f>
        <v>3</v>
      </c>
      <c r="H1950" t="str">
        <f>TEXT(calendar[[#This Row],[WeekDay]],"dddd")</f>
        <v>Tuesday</v>
      </c>
      <c r="I1950">
        <f>IF((INT(calendar[[#This Row],[Count]]/7)-calendar[[#This Row],[Count]]/7)&lt;0,I1949,I1949+1)</f>
        <v>279</v>
      </c>
      <c r="J1950">
        <f t="shared" si="154"/>
        <v>1948</v>
      </c>
      <c r="K1950">
        <f>IF(calendar[[#This Row],[Month]]&lt;4,1,IF(calendar[[#This Row],[Month]]&lt;7,2,IF(calendar[[#This Row],[Month]]&lt;10,3,4)))</f>
        <v>2</v>
      </c>
      <c r="L1950">
        <f>IFERROR(IF(VLOOKUP(calendar[[#This Row],[Date]],BH!A:A,1,)&lt;&gt;"",1,0),0)</f>
        <v>0</v>
      </c>
      <c r="M1950">
        <f>IFERROR(IF(VLOOKUP(calendar[[#This Row],[Date]],BH!C:C,1,)&lt;&gt;"",1,0),0)</f>
        <v>0</v>
      </c>
      <c r="N1950">
        <f>IFERROR(IF(VLOOKUP(calendar[[#This Row],[Date]],BH!E:E,1,)&lt;&gt;"",1,0),0)</f>
        <v>0</v>
      </c>
      <c r="O1950">
        <f>IFERROR(IF(VLOOKUP(calendar[[#This Row],[Date]],BH!G:G,1,)&lt;&gt;"",1,0),0)</f>
        <v>0</v>
      </c>
      <c r="P1950">
        <f>IF(OR(calendar[[#This Row],[UK_BH]]=1,calendar[[#This Row],[WeekDay]]=1, calendar[[#This Row],[WeekDay]]=7),P1949,P1949+1)</f>
        <v>1392</v>
      </c>
      <c r="Q1950">
        <f>IF(OR(calendar[[#This Row],[FR_BH]]=1,calendar[[#This Row],[WeekDay]]=1, calendar[[#This Row],[WeekDay]]=7),P1949,P1949+1)</f>
        <v>1392</v>
      </c>
      <c r="R1950">
        <f>IF(OR(calendar[[#This Row],[SP_BH]]=1,calendar[[#This Row],[WeekDay]]=1, calendar[[#This Row],[WeekDay]]=7),P1949,P1949+1)</f>
        <v>1392</v>
      </c>
      <c r="S1950">
        <f>IF(OR(calendar[[#This Row],[PT_BH]]=1,calendar[[#This Row],[WeekDay]]=1, calendar[[#This Row],[WeekDay]]=7),P1949,P1949+1)</f>
        <v>1392</v>
      </c>
    </row>
    <row r="1951" spans="1:19" x14ac:dyDescent="0.25">
      <c r="A1951" s="2">
        <v>44685</v>
      </c>
      <c r="B1951" s="1">
        <f t="shared" si="153"/>
        <v>19</v>
      </c>
      <c r="C1951">
        <f t="shared" si="155"/>
        <v>5</v>
      </c>
      <c r="D1951" t="str">
        <f t="shared" si="156"/>
        <v>May</v>
      </c>
      <c r="E1951">
        <f t="shared" si="157"/>
        <v>2022</v>
      </c>
      <c r="F1951" t="str">
        <f>CONCATENATE(calendar[[#This Row],[Month]],"/",calendar[[#This Row],[Year]])</f>
        <v>5/2022</v>
      </c>
      <c r="G1951">
        <f>WEEKDAY(calendar[[#This Row],[Date]],1)</f>
        <v>4</v>
      </c>
      <c r="H1951" t="str">
        <f>TEXT(calendar[[#This Row],[WeekDay]],"dddd")</f>
        <v>Wednesday</v>
      </c>
      <c r="I1951">
        <f>IF((INT(calendar[[#This Row],[Count]]/7)-calendar[[#This Row],[Count]]/7)&lt;0,I1950,I1950+1)</f>
        <v>279</v>
      </c>
      <c r="J1951">
        <f t="shared" si="154"/>
        <v>1949</v>
      </c>
      <c r="K1951">
        <f>IF(calendar[[#This Row],[Month]]&lt;4,1,IF(calendar[[#This Row],[Month]]&lt;7,2,IF(calendar[[#This Row],[Month]]&lt;10,3,4)))</f>
        <v>2</v>
      </c>
      <c r="L1951">
        <f>IFERROR(IF(VLOOKUP(calendar[[#This Row],[Date]],BH!A:A,1,)&lt;&gt;"",1,0),0)</f>
        <v>0</v>
      </c>
      <c r="M1951">
        <f>IFERROR(IF(VLOOKUP(calendar[[#This Row],[Date]],BH!C:C,1,)&lt;&gt;"",1,0),0)</f>
        <v>0</v>
      </c>
      <c r="N1951">
        <f>IFERROR(IF(VLOOKUP(calendar[[#This Row],[Date]],BH!E:E,1,)&lt;&gt;"",1,0),0)</f>
        <v>0</v>
      </c>
      <c r="O1951">
        <f>IFERROR(IF(VLOOKUP(calendar[[#This Row],[Date]],BH!G:G,1,)&lt;&gt;"",1,0),0)</f>
        <v>0</v>
      </c>
      <c r="P1951">
        <f>IF(OR(calendar[[#This Row],[UK_BH]]=1,calendar[[#This Row],[WeekDay]]=1, calendar[[#This Row],[WeekDay]]=7),P1950,P1950+1)</f>
        <v>1393</v>
      </c>
      <c r="Q1951">
        <f>IF(OR(calendar[[#This Row],[FR_BH]]=1,calendar[[#This Row],[WeekDay]]=1, calendar[[#This Row],[WeekDay]]=7),P1950,P1950+1)</f>
        <v>1393</v>
      </c>
      <c r="R1951">
        <f>IF(OR(calendar[[#This Row],[SP_BH]]=1,calendar[[#This Row],[WeekDay]]=1, calendar[[#This Row],[WeekDay]]=7),P1950,P1950+1)</f>
        <v>1393</v>
      </c>
      <c r="S1951">
        <f>IF(OR(calendar[[#This Row],[PT_BH]]=1,calendar[[#This Row],[WeekDay]]=1, calendar[[#This Row],[WeekDay]]=7),P1950,P1950+1)</f>
        <v>1393</v>
      </c>
    </row>
    <row r="1952" spans="1:19" x14ac:dyDescent="0.25">
      <c r="A1952" s="2">
        <v>44686</v>
      </c>
      <c r="B1952" s="1">
        <f t="shared" si="153"/>
        <v>19</v>
      </c>
      <c r="C1952">
        <f t="shared" si="155"/>
        <v>5</v>
      </c>
      <c r="D1952" t="str">
        <f t="shared" si="156"/>
        <v>May</v>
      </c>
      <c r="E1952">
        <f t="shared" si="157"/>
        <v>2022</v>
      </c>
      <c r="F1952" t="str">
        <f>CONCATENATE(calendar[[#This Row],[Month]],"/",calendar[[#This Row],[Year]])</f>
        <v>5/2022</v>
      </c>
      <c r="G1952">
        <f>WEEKDAY(calendar[[#This Row],[Date]],1)</f>
        <v>5</v>
      </c>
      <c r="H1952" t="str">
        <f>TEXT(calendar[[#This Row],[WeekDay]],"dddd")</f>
        <v>Thursday</v>
      </c>
      <c r="I1952">
        <f>IF((INT(calendar[[#This Row],[Count]]/7)-calendar[[#This Row],[Count]]/7)&lt;0,I1951,I1951+1)</f>
        <v>279</v>
      </c>
      <c r="J1952">
        <f t="shared" si="154"/>
        <v>1950</v>
      </c>
      <c r="K1952">
        <f>IF(calendar[[#This Row],[Month]]&lt;4,1,IF(calendar[[#This Row],[Month]]&lt;7,2,IF(calendar[[#This Row],[Month]]&lt;10,3,4)))</f>
        <v>2</v>
      </c>
      <c r="L1952">
        <f>IFERROR(IF(VLOOKUP(calendar[[#This Row],[Date]],BH!A:A,1,)&lt;&gt;"",1,0),0)</f>
        <v>0</v>
      </c>
      <c r="M1952">
        <f>IFERROR(IF(VLOOKUP(calendar[[#This Row],[Date]],BH!C:C,1,)&lt;&gt;"",1,0),0)</f>
        <v>0</v>
      </c>
      <c r="N1952">
        <f>IFERROR(IF(VLOOKUP(calendar[[#This Row],[Date]],BH!E:E,1,)&lt;&gt;"",1,0),0)</f>
        <v>0</v>
      </c>
      <c r="O1952">
        <f>IFERROR(IF(VLOOKUP(calendar[[#This Row],[Date]],BH!G:G,1,)&lt;&gt;"",1,0),0)</f>
        <v>0</v>
      </c>
      <c r="P1952">
        <f>IF(OR(calendar[[#This Row],[UK_BH]]=1,calendar[[#This Row],[WeekDay]]=1, calendar[[#This Row],[WeekDay]]=7),P1951,P1951+1)</f>
        <v>1394</v>
      </c>
      <c r="Q1952">
        <f>IF(OR(calendar[[#This Row],[FR_BH]]=1,calendar[[#This Row],[WeekDay]]=1, calendar[[#This Row],[WeekDay]]=7),P1951,P1951+1)</f>
        <v>1394</v>
      </c>
      <c r="R1952">
        <f>IF(OR(calendar[[#This Row],[SP_BH]]=1,calendar[[#This Row],[WeekDay]]=1, calendar[[#This Row],[WeekDay]]=7),P1951,P1951+1)</f>
        <v>1394</v>
      </c>
      <c r="S1952">
        <f>IF(OR(calendar[[#This Row],[PT_BH]]=1,calendar[[#This Row],[WeekDay]]=1, calendar[[#This Row],[WeekDay]]=7),P1951,P1951+1)</f>
        <v>1394</v>
      </c>
    </row>
    <row r="1953" spans="1:19" x14ac:dyDescent="0.25">
      <c r="A1953" s="2">
        <v>44687</v>
      </c>
      <c r="B1953" s="1">
        <f t="shared" si="153"/>
        <v>19</v>
      </c>
      <c r="C1953">
        <f t="shared" si="155"/>
        <v>5</v>
      </c>
      <c r="D1953" t="str">
        <f t="shared" si="156"/>
        <v>May</v>
      </c>
      <c r="E1953">
        <f t="shared" si="157"/>
        <v>2022</v>
      </c>
      <c r="F1953" t="str">
        <f>CONCATENATE(calendar[[#This Row],[Month]],"/",calendar[[#This Row],[Year]])</f>
        <v>5/2022</v>
      </c>
      <c r="G1953">
        <f>WEEKDAY(calendar[[#This Row],[Date]],1)</f>
        <v>6</v>
      </c>
      <c r="H1953" t="str">
        <f>TEXT(calendar[[#This Row],[WeekDay]],"dddd")</f>
        <v>Friday</v>
      </c>
      <c r="I1953">
        <f>IF((INT(calendar[[#This Row],[Count]]/7)-calendar[[#This Row],[Count]]/7)&lt;0,I1952,I1952+1)</f>
        <v>279</v>
      </c>
      <c r="J1953">
        <f t="shared" si="154"/>
        <v>1951</v>
      </c>
      <c r="K1953">
        <f>IF(calendar[[#This Row],[Month]]&lt;4,1,IF(calendar[[#This Row],[Month]]&lt;7,2,IF(calendar[[#This Row],[Month]]&lt;10,3,4)))</f>
        <v>2</v>
      </c>
      <c r="L1953">
        <f>IFERROR(IF(VLOOKUP(calendar[[#This Row],[Date]],BH!A:A,1,)&lt;&gt;"",1,0),0)</f>
        <v>0</v>
      </c>
      <c r="M1953">
        <f>IFERROR(IF(VLOOKUP(calendar[[#This Row],[Date]],BH!C:C,1,)&lt;&gt;"",1,0),0)</f>
        <v>0</v>
      </c>
      <c r="N1953">
        <f>IFERROR(IF(VLOOKUP(calendar[[#This Row],[Date]],BH!E:E,1,)&lt;&gt;"",1,0),0)</f>
        <v>0</v>
      </c>
      <c r="O1953">
        <f>IFERROR(IF(VLOOKUP(calendar[[#This Row],[Date]],BH!G:G,1,)&lt;&gt;"",1,0),0)</f>
        <v>0</v>
      </c>
      <c r="P1953">
        <f>IF(OR(calendar[[#This Row],[UK_BH]]=1,calendar[[#This Row],[WeekDay]]=1, calendar[[#This Row],[WeekDay]]=7),P1952,P1952+1)</f>
        <v>1395</v>
      </c>
      <c r="Q1953">
        <f>IF(OR(calendar[[#This Row],[FR_BH]]=1,calendar[[#This Row],[WeekDay]]=1, calendar[[#This Row],[WeekDay]]=7),P1952,P1952+1)</f>
        <v>1395</v>
      </c>
      <c r="R1953">
        <f>IF(OR(calendar[[#This Row],[SP_BH]]=1,calendar[[#This Row],[WeekDay]]=1, calendar[[#This Row],[WeekDay]]=7),P1952,P1952+1)</f>
        <v>1395</v>
      </c>
      <c r="S1953">
        <f>IF(OR(calendar[[#This Row],[PT_BH]]=1,calendar[[#This Row],[WeekDay]]=1, calendar[[#This Row],[WeekDay]]=7),P1952,P1952+1)</f>
        <v>1395</v>
      </c>
    </row>
    <row r="1954" spans="1:19" x14ac:dyDescent="0.25">
      <c r="A1954" s="2">
        <v>44688</v>
      </c>
      <c r="B1954" s="1">
        <f t="shared" si="153"/>
        <v>19</v>
      </c>
      <c r="C1954">
        <f t="shared" si="155"/>
        <v>5</v>
      </c>
      <c r="D1954" t="str">
        <f t="shared" si="156"/>
        <v>May</v>
      </c>
      <c r="E1954">
        <f t="shared" si="157"/>
        <v>2022</v>
      </c>
      <c r="F1954" t="str">
        <f>CONCATENATE(calendar[[#This Row],[Month]],"/",calendar[[#This Row],[Year]])</f>
        <v>5/2022</v>
      </c>
      <c r="G1954">
        <f>WEEKDAY(calendar[[#This Row],[Date]],1)</f>
        <v>7</v>
      </c>
      <c r="H1954" t="str">
        <f>TEXT(calendar[[#This Row],[WeekDay]],"dddd")</f>
        <v>Saturday</v>
      </c>
      <c r="I1954">
        <f>IF((INT(calendar[[#This Row],[Count]]/7)-calendar[[#This Row],[Count]]/7)&lt;0,I1953,I1953+1)</f>
        <v>279</v>
      </c>
      <c r="J1954">
        <f t="shared" si="154"/>
        <v>1952</v>
      </c>
      <c r="K1954">
        <f>IF(calendar[[#This Row],[Month]]&lt;4,1,IF(calendar[[#This Row],[Month]]&lt;7,2,IF(calendar[[#This Row],[Month]]&lt;10,3,4)))</f>
        <v>2</v>
      </c>
      <c r="L1954">
        <f>IFERROR(IF(VLOOKUP(calendar[[#This Row],[Date]],BH!A:A,1,)&lt;&gt;"",1,0),0)</f>
        <v>0</v>
      </c>
      <c r="M1954">
        <f>IFERROR(IF(VLOOKUP(calendar[[#This Row],[Date]],BH!C:C,1,)&lt;&gt;"",1,0),0)</f>
        <v>0</v>
      </c>
      <c r="N1954">
        <f>IFERROR(IF(VLOOKUP(calendar[[#This Row],[Date]],BH!E:E,1,)&lt;&gt;"",1,0),0)</f>
        <v>0</v>
      </c>
      <c r="O1954">
        <f>IFERROR(IF(VLOOKUP(calendar[[#This Row],[Date]],BH!G:G,1,)&lt;&gt;"",1,0),0)</f>
        <v>0</v>
      </c>
      <c r="P1954">
        <f>IF(OR(calendar[[#This Row],[UK_BH]]=1,calendar[[#This Row],[WeekDay]]=1, calendar[[#This Row],[WeekDay]]=7),P1953,P1953+1)</f>
        <v>1395</v>
      </c>
      <c r="Q1954">
        <f>IF(OR(calendar[[#This Row],[FR_BH]]=1,calendar[[#This Row],[WeekDay]]=1, calendar[[#This Row],[WeekDay]]=7),P1953,P1953+1)</f>
        <v>1395</v>
      </c>
      <c r="R1954">
        <f>IF(OR(calendar[[#This Row],[SP_BH]]=1,calendar[[#This Row],[WeekDay]]=1, calendar[[#This Row],[WeekDay]]=7),P1953,P1953+1)</f>
        <v>1395</v>
      </c>
      <c r="S1954">
        <f>IF(OR(calendar[[#This Row],[PT_BH]]=1,calendar[[#This Row],[WeekDay]]=1, calendar[[#This Row],[WeekDay]]=7),P1953,P1953+1)</f>
        <v>1395</v>
      </c>
    </row>
    <row r="1955" spans="1:19" x14ac:dyDescent="0.25">
      <c r="A1955" s="2">
        <v>44689</v>
      </c>
      <c r="B1955" s="1">
        <f t="shared" si="153"/>
        <v>20</v>
      </c>
      <c r="C1955">
        <f t="shared" si="155"/>
        <v>5</v>
      </c>
      <c r="D1955" t="str">
        <f t="shared" si="156"/>
        <v>May</v>
      </c>
      <c r="E1955">
        <f t="shared" si="157"/>
        <v>2022</v>
      </c>
      <c r="F1955" t="str">
        <f>CONCATENATE(calendar[[#This Row],[Month]],"/",calendar[[#This Row],[Year]])</f>
        <v>5/2022</v>
      </c>
      <c r="G1955">
        <f>WEEKDAY(calendar[[#This Row],[Date]],1)</f>
        <v>1</v>
      </c>
      <c r="H1955" t="str">
        <f>TEXT(calendar[[#This Row],[WeekDay]],"dddd")</f>
        <v>Sunday</v>
      </c>
      <c r="I1955">
        <f>IF((INT(calendar[[#This Row],[Count]]/7)-calendar[[#This Row],[Count]]/7)&lt;0,I1954,I1954+1)</f>
        <v>280</v>
      </c>
      <c r="J1955">
        <f t="shared" si="154"/>
        <v>1953</v>
      </c>
      <c r="K1955">
        <f>IF(calendar[[#This Row],[Month]]&lt;4,1,IF(calendar[[#This Row],[Month]]&lt;7,2,IF(calendar[[#This Row],[Month]]&lt;10,3,4)))</f>
        <v>2</v>
      </c>
      <c r="L1955">
        <f>IFERROR(IF(VLOOKUP(calendar[[#This Row],[Date]],BH!A:A,1,)&lt;&gt;"",1,0),0)</f>
        <v>0</v>
      </c>
      <c r="M1955">
        <f>IFERROR(IF(VLOOKUP(calendar[[#This Row],[Date]],BH!C:C,1,)&lt;&gt;"",1,0),0)</f>
        <v>0</v>
      </c>
      <c r="N1955">
        <f>IFERROR(IF(VLOOKUP(calendar[[#This Row],[Date]],BH!E:E,1,)&lt;&gt;"",1,0),0)</f>
        <v>0</v>
      </c>
      <c r="O1955">
        <f>IFERROR(IF(VLOOKUP(calendar[[#This Row],[Date]],BH!G:G,1,)&lt;&gt;"",1,0),0)</f>
        <v>0</v>
      </c>
      <c r="P1955">
        <f>IF(OR(calendar[[#This Row],[UK_BH]]=1,calendar[[#This Row],[WeekDay]]=1, calendar[[#This Row],[WeekDay]]=7),P1954,P1954+1)</f>
        <v>1395</v>
      </c>
      <c r="Q1955">
        <f>IF(OR(calendar[[#This Row],[FR_BH]]=1,calendar[[#This Row],[WeekDay]]=1, calendar[[#This Row],[WeekDay]]=7),P1954,P1954+1)</f>
        <v>1395</v>
      </c>
      <c r="R1955">
        <f>IF(OR(calendar[[#This Row],[SP_BH]]=1,calendar[[#This Row],[WeekDay]]=1, calendar[[#This Row],[WeekDay]]=7),P1954,P1954+1)</f>
        <v>1395</v>
      </c>
      <c r="S1955">
        <f>IF(OR(calendar[[#This Row],[PT_BH]]=1,calendar[[#This Row],[WeekDay]]=1, calendar[[#This Row],[WeekDay]]=7),P1954,P1954+1)</f>
        <v>1395</v>
      </c>
    </row>
    <row r="1956" spans="1:19" x14ac:dyDescent="0.25">
      <c r="A1956" s="2">
        <v>44690</v>
      </c>
      <c r="B1956" s="1">
        <f t="shared" si="153"/>
        <v>20</v>
      </c>
      <c r="C1956">
        <f t="shared" si="155"/>
        <v>5</v>
      </c>
      <c r="D1956" t="str">
        <f t="shared" si="156"/>
        <v>May</v>
      </c>
      <c r="E1956">
        <f t="shared" si="157"/>
        <v>2022</v>
      </c>
      <c r="F1956" t="str">
        <f>CONCATENATE(calendar[[#This Row],[Month]],"/",calendar[[#This Row],[Year]])</f>
        <v>5/2022</v>
      </c>
      <c r="G1956">
        <f>WEEKDAY(calendar[[#This Row],[Date]],1)</f>
        <v>2</v>
      </c>
      <c r="H1956" t="str">
        <f>TEXT(calendar[[#This Row],[WeekDay]],"dddd")</f>
        <v>Monday</v>
      </c>
      <c r="I1956">
        <f>IF((INT(calendar[[#This Row],[Count]]/7)-calendar[[#This Row],[Count]]/7)&lt;0,I1955,I1955+1)</f>
        <v>280</v>
      </c>
      <c r="J1956">
        <f t="shared" si="154"/>
        <v>1954</v>
      </c>
      <c r="K1956">
        <f>IF(calendar[[#This Row],[Month]]&lt;4,1,IF(calendar[[#This Row],[Month]]&lt;7,2,IF(calendar[[#This Row],[Month]]&lt;10,3,4)))</f>
        <v>2</v>
      </c>
      <c r="L1956">
        <f>IFERROR(IF(VLOOKUP(calendar[[#This Row],[Date]],BH!A:A,1,)&lt;&gt;"",1,0),0)</f>
        <v>0</v>
      </c>
      <c r="M1956">
        <f>IFERROR(IF(VLOOKUP(calendar[[#This Row],[Date]],BH!C:C,1,)&lt;&gt;"",1,0),0)</f>
        <v>0</v>
      </c>
      <c r="N1956">
        <f>IFERROR(IF(VLOOKUP(calendar[[#This Row],[Date]],BH!E:E,1,)&lt;&gt;"",1,0),0)</f>
        <v>0</v>
      </c>
      <c r="O1956">
        <f>IFERROR(IF(VLOOKUP(calendar[[#This Row],[Date]],BH!G:G,1,)&lt;&gt;"",1,0),0)</f>
        <v>0</v>
      </c>
      <c r="P1956">
        <f>IF(OR(calendar[[#This Row],[UK_BH]]=1,calendar[[#This Row],[WeekDay]]=1, calendar[[#This Row],[WeekDay]]=7),P1955,P1955+1)</f>
        <v>1396</v>
      </c>
      <c r="Q1956">
        <f>IF(OR(calendar[[#This Row],[FR_BH]]=1,calendar[[#This Row],[WeekDay]]=1, calendar[[#This Row],[WeekDay]]=7),P1955,P1955+1)</f>
        <v>1396</v>
      </c>
      <c r="R1956">
        <f>IF(OR(calendar[[#This Row],[SP_BH]]=1,calendar[[#This Row],[WeekDay]]=1, calendar[[#This Row],[WeekDay]]=7),P1955,P1955+1)</f>
        <v>1396</v>
      </c>
      <c r="S1956">
        <f>IF(OR(calendar[[#This Row],[PT_BH]]=1,calendar[[#This Row],[WeekDay]]=1, calendar[[#This Row],[WeekDay]]=7),P1955,P1955+1)</f>
        <v>1396</v>
      </c>
    </row>
    <row r="1957" spans="1:19" x14ac:dyDescent="0.25">
      <c r="A1957" s="2">
        <v>44691</v>
      </c>
      <c r="B1957" s="1">
        <f t="shared" si="153"/>
        <v>20</v>
      </c>
      <c r="C1957">
        <f t="shared" si="155"/>
        <v>5</v>
      </c>
      <c r="D1957" t="str">
        <f t="shared" si="156"/>
        <v>May</v>
      </c>
      <c r="E1957">
        <f t="shared" si="157"/>
        <v>2022</v>
      </c>
      <c r="F1957" t="str">
        <f>CONCATENATE(calendar[[#This Row],[Month]],"/",calendar[[#This Row],[Year]])</f>
        <v>5/2022</v>
      </c>
      <c r="G1957">
        <f>WEEKDAY(calendar[[#This Row],[Date]],1)</f>
        <v>3</v>
      </c>
      <c r="H1957" t="str">
        <f>TEXT(calendar[[#This Row],[WeekDay]],"dddd")</f>
        <v>Tuesday</v>
      </c>
      <c r="I1957">
        <f>IF((INT(calendar[[#This Row],[Count]]/7)-calendar[[#This Row],[Count]]/7)&lt;0,I1956,I1956+1)</f>
        <v>280</v>
      </c>
      <c r="J1957">
        <f t="shared" si="154"/>
        <v>1955</v>
      </c>
      <c r="K1957">
        <f>IF(calendar[[#This Row],[Month]]&lt;4,1,IF(calendar[[#This Row],[Month]]&lt;7,2,IF(calendar[[#This Row],[Month]]&lt;10,3,4)))</f>
        <v>2</v>
      </c>
      <c r="L1957">
        <f>IFERROR(IF(VLOOKUP(calendar[[#This Row],[Date]],BH!A:A,1,)&lt;&gt;"",1,0),0)</f>
        <v>0</v>
      </c>
      <c r="M1957">
        <f>IFERROR(IF(VLOOKUP(calendar[[#This Row],[Date]],BH!C:C,1,)&lt;&gt;"",1,0),0)</f>
        <v>0</v>
      </c>
      <c r="N1957">
        <f>IFERROR(IF(VLOOKUP(calendar[[#This Row],[Date]],BH!E:E,1,)&lt;&gt;"",1,0),0)</f>
        <v>0</v>
      </c>
      <c r="O1957">
        <f>IFERROR(IF(VLOOKUP(calendar[[#This Row],[Date]],BH!G:G,1,)&lt;&gt;"",1,0),0)</f>
        <v>0</v>
      </c>
      <c r="P1957">
        <f>IF(OR(calendar[[#This Row],[UK_BH]]=1,calendar[[#This Row],[WeekDay]]=1, calendar[[#This Row],[WeekDay]]=7),P1956,P1956+1)</f>
        <v>1397</v>
      </c>
      <c r="Q1957">
        <f>IF(OR(calendar[[#This Row],[FR_BH]]=1,calendar[[#This Row],[WeekDay]]=1, calendar[[#This Row],[WeekDay]]=7),P1956,P1956+1)</f>
        <v>1397</v>
      </c>
      <c r="R1957">
        <f>IF(OR(calendar[[#This Row],[SP_BH]]=1,calendar[[#This Row],[WeekDay]]=1, calendar[[#This Row],[WeekDay]]=7),P1956,P1956+1)</f>
        <v>1397</v>
      </c>
      <c r="S1957">
        <f>IF(OR(calendar[[#This Row],[PT_BH]]=1,calendar[[#This Row],[WeekDay]]=1, calendar[[#This Row],[WeekDay]]=7),P1956,P1956+1)</f>
        <v>1397</v>
      </c>
    </row>
    <row r="1958" spans="1:19" x14ac:dyDescent="0.25">
      <c r="A1958" s="2">
        <v>44692</v>
      </c>
      <c r="B1958" s="1">
        <f t="shared" si="153"/>
        <v>20</v>
      </c>
      <c r="C1958">
        <f t="shared" si="155"/>
        <v>5</v>
      </c>
      <c r="D1958" t="str">
        <f t="shared" si="156"/>
        <v>May</v>
      </c>
      <c r="E1958">
        <f t="shared" si="157"/>
        <v>2022</v>
      </c>
      <c r="F1958" t="str">
        <f>CONCATENATE(calendar[[#This Row],[Month]],"/",calendar[[#This Row],[Year]])</f>
        <v>5/2022</v>
      </c>
      <c r="G1958">
        <f>WEEKDAY(calendar[[#This Row],[Date]],1)</f>
        <v>4</v>
      </c>
      <c r="H1958" t="str">
        <f>TEXT(calendar[[#This Row],[WeekDay]],"dddd")</f>
        <v>Wednesday</v>
      </c>
      <c r="I1958">
        <f>IF((INT(calendar[[#This Row],[Count]]/7)-calendar[[#This Row],[Count]]/7)&lt;0,I1957,I1957+1)</f>
        <v>280</v>
      </c>
      <c r="J1958">
        <f t="shared" si="154"/>
        <v>1956</v>
      </c>
      <c r="K1958">
        <f>IF(calendar[[#This Row],[Month]]&lt;4,1,IF(calendar[[#This Row],[Month]]&lt;7,2,IF(calendar[[#This Row],[Month]]&lt;10,3,4)))</f>
        <v>2</v>
      </c>
      <c r="L1958">
        <f>IFERROR(IF(VLOOKUP(calendar[[#This Row],[Date]],BH!A:A,1,)&lt;&gt;"",1,0),0)</f>
        <v>0</v>
      </c>
      <c r="M1958">
        <f>IFERROR(IF(VLOOKUP(calendar[[#This Row],[Date]],BH!C:C,1,)&lt;&gt;"",1,0),0)</f>
        <v>0</v>
      </c>
      <c r="N1958">
        <f>IFERROR(IF(VLOOKUP(calendar[[#This Row],[Date]],BH!E:E,1,)&lt;&gt;"",1,0),0)</f>
        <v>0</v>
      </c>
      <c r="O1958">
        <f>IFERROR(IF(VLOOKUP(calendar[[#This Row],[Date]],BH!G:G,1,)&lt;&gt;"",1,0),0)</f>
        <v>0</v>
      </c>
      <c r="P1958">
        <f>IF(OR(calendar[[#This Row],[UK_BH]]=1,calendar[[#This Row],[WeekDay]]=1, calendar[[#This Row],[WeekDay]]=7),P1957,P1957+1)</f>
        <v>1398</v>
      </c>
      <c r="Q1958">
        <f>IF(OR(calendar[[#This Row],[FR_BH]]=1,calendar[[#This Row],[WeekDay]]=1, calendar[[#This Row],[WeekDay]]=7),P1957,P1957+1)</f>
        <v>1398</v>
      </c>
      <c r="R1958">
        <f>IF(OR(calendar[[#This Row],[SP_BH]]=1,calendar[[#This Row],[WeekDay]]=1, calendar[[#This Row],[WeekDay]]=7),P1957,P1957+1)</f>
        <v>1398</v>
      </c>
      <c r="S1958">
        <f>IF(OR(calendar[[#This Row],[PT_BH]]=1,calendar[[#This Row],[WeekDay]]=1, calendar[[#This Row],[WeekDay]]=7),P1957,P1957+1)</f>
        <v>1398</v>
      </c>
    </row>
    <row r="1959" spans="1:19" x14ac:dyDescent="0.25">
      <c r="A1959" s="2">
        <v>44693</v>
      </c>
      <c r="B1959" s="1">
        <f t="shared" si="153"/>
        <v>20</v>
      </c>
      <c r="C1959">
        <f t="shared" si="155"/>
        <v>5</v>
      </c>
      <c r="D1959" t="str">
        <f t="shared" si="156"/>
        <v>May</v>
      </c>
      <c r="E1959">
        <f t="shared" si="157"/>
        <v>2022</v>
      </c>
      <c r="F1959" t="str">
        <f>CONCATENATE(calendar[[#This Row],[Month]],"/",calendar[[#This Row],[Year]])</f>
        <v>5/2022</v>
      </c>
      <c r="G1959">
        <f>WEEKDAY(calendar[[#This Row],[Date]],1)</f>
        <v>5</v>
      </c>
      <c r="H1959" t="str">
        <f>TEXT(calendar[[#This Row],[WeekDay]],"dddd")</f>
        <v>Thursday</v>
      </c>
      <c r="I1959">
        <f>IF((INT(calendar[[#This Row],[Count]]/7)-calendar[[#This Row],[Count]]/7)&lt;0,I1958,I1958+1)</f>
        <v>280</v>
      </c>
      <c r="J1959">
        <f t="shared" si="154"/>
        <v>1957</v>
      </c>
      <c r="K1959">
        <f>IF(calendar[[#This Row],[Month]]&lt;4,1,IF(calendar[[#This Row],[Month]]&lt;7,2,IF(calendar[[#This Row],[Month]]&lt;10,3,4)))</f>
        <v>2</v>
      </c>
      <c r="L1959">
        <f>IFERROR(IF(VLOOKUP(calendar[[#This Row],[Date]],BH!A:A,1,)&lt;&gt;"",1,0),0)</f>
        <v>0</v>
      </c>
      <c r="M1959">
        <f>IFERROR(IF(VLOOKUP(calendar[[#This Row],[Date]],BH!C:C,1,)&lt;&gt;"",1,0),0)</f>
        <v>0</v>
      </c>
      <c r="N1959">
        <f>IFERROR(IF(VLOOKUP(calendar[[#This Row],[Date]],BH!E:E,1,)&lt;&gt;"",1,0),0)</f>
        <v>0</v>
      </c>
      <c r="O1959">
        <f>IFERROR(IF(VLOOKUP(calendar[[#This Row],[Date]],BH!G:G,1,)&lt;&gt;"",1,0),0)</f>
        <v>0</v>
      </c>
      <c r="P1959">
        <f>IF(OR(calendar[[#This Row],[UK_BH]]=1,calendar[[#This Row],[WeekDay]]=1, calendar[[#This Row],[WeekDay]]=7),P1958,P1958+1)</f>
        <v>1399</v>
      </c>
      <c r="Q1959">
        <f>IF(OR(calendar[[#This Row],[FR_BH]]=1,calendar[[#This Row],[WeekDay]]=1, calendar[[#This Row],[WeekDay]]=7),P1958,P1958+1)</f>
        <v>1399</v>
      </c>
      <c r="R1959">
        <f>IF(OR(calendar[[#This Row],[SP_BH]]=1,calendar[[#This Row],[WeekDay]]=1, calendar[[#This Row],[WeekDay]]=7),P1958,P1958+1)</f>
        <v>1399</v>
      </c>
      <c r="S1959">
        <f>IF(OR(calendar[[#This Row],[PT_BH]]=1,calendar[[#This Row],[WeekDay]]=1, calendar[[#This Row],[WeekDay]]=7),P1958,P1958+1)</f>
        <v>1399</v>
      </c>
    </row>
    <row r="1960" spans="1:19" x14ac:dyDescent="0.25">
      <c r="A1960" s="2">
        <v>44694</v>
      </c>
      <c r="B1960" s="1">
        <f t="shared" si="153"/>
        <v>20</v>
      </c>
      <c r="C1960">
        <f t="shared" si="155"/>
        <v>5</v>
      </c>
      <c r="D1960" t="str">
        <f t="shared" si="156"/>
        <v>May</v>
      </c>
      <c r="E1960">
        <f t="shared" si="157"/>
        <v>2022</v>
      </c>
      <c r="F1960" t="str">
        <f>CONCATENATE(calendar[[#This Row],[Month]],"/",calendar[[#This Row],[Year]])</f>
        <v>5/2022</v>
      </c>
      <c r="G1960">
        <f>WEEKDAY(calendar[[#This Row],[Date]],1)</f>
        <v>6</v>
      </c>
      <c r="H1960" t="str">
        <f>TEXT(calendar[[#This Row],[WeekDay]],"dddd")</f>
        <v>Friday</v>
      </c>
      <c r="I1960">
        <f>IF((INT(calendar[[#This Row],[Count]]/7)-calendar[[#This Row],[Count]]/7)&lt;0,I1959,I1959+1)</f>
        <v>280</v>
      </c>
      <c r="J1960">
        <f t="shared" si="154"/>
        <v>1958</v>
      </c>
      <c r="K1960">
        <f>IF(calendar[[#This Row],[Month]]&lt;4,1,IF(calendar[[#This Row],[Month]]&lt;7,2,IF(calendar[[#This Row],[Month]]&lt;10,3,4)))</f>
        <v>2</v>
      </c>
      <c r="L1960">
        <f>IFERROR(IF(VLOOKUP(calendar[[#This Row],[Date]],BH!A:A,1,)&lt;&gt;"",1,0),0)</f>
        <v>0</v>
      </c>
      <c r="M1960">
        <f>IFERROR(IF(VLOOKUP(calendar[[#This Row],[Date]],BH!C:C,1,)&lt;&gt;"",1,0),0)</f>
        <v>0</v>
      </c>
      <c r="N1960">
        <f>IFERROR(IF(VLOOKUP(calendar[[#This Row],[Date]],BH!E:E,1,)&lt;&gt;"",1,0),0)</f>
        <v>0</v>
      </c>
      <c r="O1960">
        <f>IFERROR(IF(VLOOKUP(calendar[[#This Row],[Date]],BH!G:G,1,)&lt;&gt;"",1,0),0)</f>
        <v>0</v>
      </c>
      <c r="P1960">
        <f>IF(OR(calendar[[#This Row],[UK_BH]]=1,calendar[[#This Row],[WeekDay]]=1, calendar[[#This Row],[WeekDay]]=7),P1959,P1959+1)</f>
        <v>1400</v>
      </c>
      <c r="Q1960">
        <f>IF(OR(calendar[[#This Row],[FR_BH]]=1,calendar[[#This Row],[WeekDay]]=1, calendar[[#This Row],[WeekDay]]=7),P1959,P1959+1)</f>
        <v>1400</v>
      </c>
      <c r="R1960">
        <f>IF(OR(calendar[[#This Row],[SP_BH]]=1,calendar[[#This Row],[WeekDay]]=1, calendar[[#This Row],[WeekDay]]=7),P1959,P1959+1)</f>
        <v>1400</v>
      </c>
      <c r="S1960">
        <f>IF(OR(calendar[[#This Row],[PT_BH]]=1,calendar[[#This Row],[WeekDay]]=1, calendar[[#This Row],[WeekDay]]=7),P1959,P1959+1)</f>
        <v>1400</v>
      </c>
    </row>
    <row r="1961" spans="1:19" x14ac:dyDescent="0.25">
      <c r="A1961" s="2">
        <v>44695</v>
      </c>
      <c r="B1961" s="1">
        <f t="shared" si="153"/>
        <v>20</v>
      </c>
      <c r="C1961">
        <f t="shared" si="155"/>
        <v>5</v>
      </c>
      <c r="D1961" t="str">
        <f t="shared" si="156"/>
        <v>May</v>
      </c>
      <c r="E1961">
        <f t="shared" si="157"/>
        <v>2022</v>
      </c>
      <c r="F1961" t="str">
        <f>CONCATENATE(calendar[[#This Row],[Month]],"/",calendar[[#This Row],[Year]])</f>
        <v>5/2022</v>
      </c>
      <c r="G1961">
        <f>WEEKDAY(calendar[[#This Row],[Date]],1)</f>
        <v>7</v>
      </c>
      <c r="H1961" t="str">
        <f>TEXT(calendar[[#This Row],[WeekDay]],"dddd")</f>
        <v>Saturday</v>
      </c>
      <c r="I1961">
        <f>IF((INT(calendar[[#This Row],[Count]]/7)-calendar[[#This Row],[Count]]/7)&lt;0,I1960,I1960+1)</f>
        <v>280</v>
      </c>
      <c r="J1961">
        <f t="shared" si="154"/>
        <v>1959</v>
      </c>
      <c r="K1961">
        <f>IF(calendar[[#This Row],[Month]]&lt;4,1,IF(calendar[[#This Row],[Month]]&lt;7,2,IF(calendar[[#This Row],[Month]]&lt;10,3,4)))</f>
        <v>2</v>
      </c>
      <c r="L1961">
        <f>IFERROR(IF(VLOOKUP(calendar[[#This Row],[Date]],BH!A:A,1,)&lt;&gt;"",1,0),0)</f>
        <v>0</v>
      </c>
      <c r="M1961">
        <f>IFERROR(IF(VLOOKUP(calendar[[#This Row],[Date]],BH!C:C,1,)&lt;&gt;"",1,0),0)</f>
        <v>0</v>
      </c>
      <c r="N1961">
        <f>IFERROR(IF(VLOOKUP(calendar[[#This Row],[Date]],BH!E:E,1,)&lt;&gt;"",1,0),0)</f>
        <v>0</v>
      </c>
      <c r="O1961">
        <f>IFERROR(IF(VLOOKUP(calendar[[#This Row],[Date]],BH!G:G,1,)&lt;&gt;"",1,0),0)</f>
        <v>0</v>
      </c>
      <c r="P1961">
        <f>IF(OR(calendar[[#This Row],[UK_BH]]=1,calendar[[#This Row],[WeekDay]]=1, calendar[[#This Row],[WeekDay]]=7),P1960,P1960+1)</f>
        <v>1400</v>
      </c>
      <c r="Q1961">
        <f>IF(OR(calendar[[#This Row],[FR_BH]]=1,calendar[[#This Row],[WeekDay]]=1, calendar[[#This Row],[WeekDay]]=7),P1960,P1960+1)</f>
        <v>1400</v>
      </c>
      <c r="R1961">
        <f>IF(OR(calendar[[#This Row],[SP_BH]]=1,calendar[[#This Row],[WeekDay]]=1, calendar[[#This Row],[WeekDay]]=7),P1960,P1960+1)</f>
        <v>1400</v>
      </c>
      <c r="S1961">
        <f>IF(OR(calendar[[#This Row],[PT_BH]]=1,calendar[[#This Row],[WeekDay]]=1, calendar[[#This Row],[WeekDay]]=7),P1960,P1960+1)</f>
        <v>1400</v>
      </c>
    </row>
    <row r="1962" spans="1:19" x14ac:dyDescent="0.25">
      <c r="A1962" s="2">
        <v>44696</v>
      </c>
      <c r="B1962" s="1">
        <f t="shared" si="153"/>
        <v>21</v>
      </c>
      <c r="C1962">
        <f t="shared" si="155"/>
        <v>5</v>
      </c>
      <c r="D1962" t="str">
        <f t="shared" si="156"/>
        <v>May</v>
      </c>
      <c r="E1962">
        <f t="shared" si="157"/>
        <v>2022</v>
      </c>
      <c r="F1962" t="str">
        <f>CONCATENATE(calendar[[#This Row],[Month]],"/",calendar[[#This Row],[Year]])</f>
        <v>5/2022</v>
      </c>
      <c r="G1962">
        <f>WEEKDAY(calendar[[#This Row],[Date]],1)</f>
        <v>1</v>
      </c>
      <c r="H1962" t="str">
        <f>TEXT(calendar[[#This Row],[WeekDay]],"dddd")</f>
        <v>Sunday</v>
      </c>
      <c r="I1962">
        <f>IF((INT(calendar[[#This Row],[Count]]/7)-calendar[[#This Row],[Count]]/7)&lt;0,I1961,I1961+1)</f>
        <v>281</v>
      </c>
      <c r="J1962">
        <f t="shared" si="154"/>
        <v>1960</v>
      </c>
      <c r="K1962">
        <f>IF(calendar[[#This Row],[Month]]&lt;4,1,IF(calendar[[#This Row],[Month]]&lt;7,2,IF(calendar[[#This Row],[Month]]&lt;10,3,4)))</f>
        <v>2</v>
      </c>
      <c r="L1962">
        <f>IFERROR(IF(VLOOKUP(calendar[[#This Row],[Date]],BH!A:A,1,)&lt;&gt;"",1,0),0)</f>
        <v>0</v>
      </c>
      <c r="M1962">
        <f>IFERROR(IF(VLOOKUP(calendar[[#This Row],[Date]],BH!C:C,1,)&lt;&gt;"",1,0),0)</f>
        <v>0</v>
      </c>
      <c r="N1962">
        <f>IFERROR(IF(VLOOKUP(calendar[[#This Row],[Date]],BH!E:E,1,)&lt;&gt;"",1,0),0)</f>
        <v>0</v>
      </c>
      <c r="O1962">
        <f>IFERROR(IF(VLOOKUP(calendar[[#This Row],[Date]],BH!G:G,1,)&lt;&gt;"",1,0),0)</f>
        <v>0</v>
      </c>
      <c r="P1962">
        <f>IF(OR(calendar[[#This Row],[UK_BH]]=1,calendar[[#This Row],[WeekDay]]=1, calendar[[#This Row],[WeekDay]]=7),P1961,P1961+1)</f>
        <v>1400</v>
      </c>
      <c r="Q1962">
        <f>IF(OR(calendar[[#This Row],[FR_BH]]=1,calendar[[#This Row],[WeekDay]]=1, calendar[[#This Row],[WeekDay]]=7),P1961,P1961+1)</f>
        <v>1400</v>
      </c>
      <c r="R1962">
        <f>IF(OR(calendar[[#This Row],[SP_BH]]=1,calendar[[#This Row],[WeekDay]]=1, calendar[[#This Row],[WeekDay]]=7),P1961,P1961+1)</f>
        <v>1400</v>
      </c>
      <c r="S1962">
        <f>IF(OR(calendar[[#This Row],[PT_BH]]=1,calendar[[#This Row],[WeekDay]]=1, calendar[[#This Row],[WeekDay]]=7),P1961,P1961+1)</f>
        <v>1400</v>
      </c>
    </row>
    <row r="1963" spans="1:19" x14ac:dyDescent="0.25">
      <c r="A1963" s="2">
        <v>44697</v>
      </c>
      <c r="B1963" s="1">
        <f t="shared" si="153"/>
        <v>21</v>
      </c>
      <c r="C1963">
        <f t="shared" si="155"/>
        <v>5</v>
      </c>
      <c r="D1963" t="str">
        <f t="shared" si="156"/>
        <v>May</v>
      </c>
      <c r="E1963">
        <f t="shared" si="157"/>
        <v>2022</v>
      </c>
      <c r="F1963" t="str">
        <f>CONCATENATE(calendar[[#This Row],[Month]],"/",calendar[[#This Row],[Year]])</f>
        <v>5/2022</v>
      </c>
      <c r="G1963">
        <f>WEEKDAY(calendar[[#This Row],[Date]],1)</f>
        <v>2</v>
      </c>
      <c r="H1963" t="str">
        <f>TEXT(calendar[[#This Row],[WeekDay]],"dddd")</f>
        <v>Monday</v>
      </c>
      <c r="I1963">
        <f>IF((INT(calendar[[#This Row],[Count]]/7)-calendar[[#This Row],[Count]]/7)&lt;0,I1962,I1962+1)</f>
        <v>281</v>
      </c>
      <c r="J1963">
        <f t="shared" si="154"/>
        <v>1961</v>
      </c>
      <c r="K1963">
        <f>IF(calendar[[#This Row],[Month]]&lt;4,1,IF(calendar[[#This Row],[Month]]&lt;7,2,IF(calendar[[#This Row],[Month]]&lt;10,3,4)))</f>
        <v>2</v>
      </c>
      <c r="L1963">
        <f>IFERROR(IF(VLOOKUP(calendar[[#This Row],[Date]],BH!A:A,1,)&lt;&gt;"",1,0),0)</f>
        <v>0</v>
      </c>
      <c r="M1963">
        <f>IFERROR(IF(VLOOKUP(calendar[[#This Row],[Date]],BH!C:C,1,)&lt;&gt;"",1,0),0)</f>
        <v>0</v>
      </c>
      <c r="N1963">
        <f>IFERROR(IF(VLOOKUP(calendar[[#This Row],[Date]],BH!E:E,1,)&lt;&gt;"",1,0),0)</f>
        <v>0</v>
      </c>
      <c r="O1963">
        <f>IFERROR(IF(VLOOKUP(calendar[[#This Row],[Date]],BH!G:G,1,)&lt;&gt;"",1,0),0)</f>
        <v>0</v>
      </c>
      <c r="P1963">
        <f>IF(OR(calendar[[#This Row],[UK_BH]]=1,calendar[[#This Row],[WeekDay]]=1, calendar[[#This Row],[WeekDay]]=7),P1962,P1962+1)</f>
        <v>1401</v>
      </c>
      <c r="Q1963">
        <f>IF(OR(calendar[[#This Row],[FR_BH]]=1,calendar[[#This Row],[WeekDay]]=1, calendar[[#This Row],[WeekDay]]=7),P1962,P1962+1)</f>
        <v>1401</v>
      </c>
      <c r="R1963">
        <f>IF(OR(calendar[[#This Row],[SP_BH]]=1,calendar[[#This Row],[WeekDay]]=1, calendar[[#This Row],[WeekDay]]=7),P1962,P1962+1)</f>
        <v>1401</v>
      </c>
      <c r="S1963">
        <f>IF(OR(calendar[[#This Row],[PT_BH]]=1,calendar[[#This Row],[WeekDay]]=1, calendar[[#This Row],[WeekDay]]=7),P1962,P1962+1)</f>
        <v>1401</v>
      </c>
    </row>
    <row r="1964" spans="1:19" x14ac:dyDescent="0.25">
      <c r="A1964" s="2">
        <v>44698</v>
      </c>
      <c r="B1964" s="1">
        <f t="shared" si="153"/>
        <v>21</v>
      </c>
      <c r="C1964">
        <f t="shared" si="155"/>
        <v>5</v>
      </c>
      <c r="D1964" t="str">
        <f t="shared" si="156"/>
        <v>May</v>
      </c>
      <c r="E1964">
        <f t="shared" si="157"/>
        <v>2022</v>
      </c>
      <c r="F1964" t="str">
        <f>CONCATENATE(calendar[[#This Row],[Month]],"/",calendar[[#This Row],[Year]])</f>
        <v>5/2022</v>
      </c>
      <c r="G1964">
        <f>WEEKDAY(calendar[[#This Row],[Date]],1)</f>
        <v>3</v>
      </c>
      <c r="H1964" t="str">
        <f>TEXT(calendar[[#This Row],[WeekDay]],"dddd")</f>
        <v>Tuesday</v>
      </c>
      <c r="I1964">
        <f>IF((INT(calendar[[#This Row],[Count]]/7)-calendar[[#This Row],[Count]]/7)&lt;0,I1963,I1963+1)</f>
        <v>281</v>
      </c>
      <c r="J1964">
        <f t="shared" si="154"/>
        <v>1962</v>
      </c>
      <c r="K1964">
        <f>IF(calendar[[#This Row],[Month]]&lt;4,1,IF(calendar[[#This Row],[Month]]&lt;7,2,IF(calendar[[#This Row],[Month]]&lt;10,3,4)))</f>
        <v>2</v>
      </c>
      <c r="L1964">
        <f>IFERROR(IF(VLOOKUP(calendar[[#This Row],[Date]],BH!A:A,1,)&lt;&gt;"",1,0),0)</f>
        <v>0</v>
      </c>
      <c r="M1964">
        <f>IFERROR(IF(VLOOKUP(calendar[[#This Row],[Date]],BH!C:C,1,)&lt;&gt;"",1,0),0)</f>
        <v>0</v>
      </c>
      <c r="N1964">
        <f>IFERROR(IF(VLOOKUP(calendar[[#This Row],[Date]],BH!E:E,1,)&lt;&gt;"",1,0),0)</f>
        <v>0</v>
      </c>
      <c r="O1964">
        <f>IFERROR(IF(VLOOKUP(calendar[[#This Row],[Date]],BH!G:G,1,)&lt;&gt;"",1,0),0)</f>
        <v>0</v>
      </c>
      <c r="P1964">
        <f>IF(OR(calendar[[#This Row],[UK_BH]]=1,calendar[[#This Row],[WeekDay]]=1, calendar[[#This Row],[WeekDay]]=7),P1963,P1963+1)</f>
        <v>1402</v>
      </c>
      <c r="Q1964">
        <f>IF(OR(calendar[[#This Row],[FR_BH]]=1,calendar[[#This Row],[WeekDay]]=1, calendar[[#This Row],[WeekDay]]=7),P1963,P1963+1)</f>
        <v>1402</v>
      </c>
      <c r="R1964">
        <f>IF(OR(calendar[[#This Row],[SP_BH]]=1,calendar[[#This Row],[WeekDay]]=1, calendar[[#This Row],[WeekDay]]=7),P1963,P1963+1)</f>
        <v>1402</v>
      </c>
      <c r="S1964">
        <f>IF(OR(calendar[[#This Row],[PT_BH]]=1,calendar[[#This Row],[WeekDay]]=1, calendar[[#This Row],[WeekDay]]=7),P1963,P1963+1)</f>
        <v>1402</v>
      </c>
    </row>
    <row r="1965" spans="1:19" x14ac:dyDescent="0.25">
      <c r="A1965" s="2">
        <v>44699</v>
      </c>
      <c r="B1965" s="1">
        <f t="shared" si="153"/>
        <v>21</v>
      </c>
      <c r="C1965">
        <f t="shared" si="155"/>
        <v>5</v>
      </c>
      <c r="D1965" t="str">
        <f t="shared" si="156"/>
        <v>May</v>
      </c>
      <c r="E1965">
        <f t="shared" si="157"/>
        <v>2022</v>
      </c>
      <c r="F1965" t="str">
        <f>CONCATENATE(calendar[[#This Row],[Month]],"/",calendar[[#This Row],[Year]])</f>
        <v>5/2022</v>
      </c>
      <c r="G1965">
        <f>WEEKDAY(calendar[[#This Row],[Date]],1)</f>
        <v>4</v>
      </c>
      <c r="H1965" t="str">
        <f>TEXT(calendar[[#This Row],[WeekDay]],"dddd")</f>
        <v>Wednesday</v>
      </c>
      <c r="I1965">
        <f>IF((INT(calendar[[#This Row],[Count]]/7)-calendar[[#This Row],[Count]]/7)&lt;0,I1964,I1964+1)</f>
        <v>281</v>
      </c>
      <c r="J1965">
        <f t="shared" si="154"/>
        <v>1963</v>
      </c>
      <c r="K1965">
        <f>IF(calendar[[#This Row],[Month]]&lt;4,1,IF(calendar[[#This Row],[Month]]&lt;7,2,IF(calendar[[#This Row],[Month]]&lt;10,3,4)))</f>
        <v>2</v>
      </c>
      <c r="L1965">
        <f>IFERROR(IF(VLOOKUP(calendar[[#This Row],[Date]],BH!A:A,1,)&lt;&gt;"",1,0),0)</f>
        <v>0</v>
      </c>
      <c r="M1965">
        <f>IFERROR(IF(VLOOKUP(calendar[[#This Row],[Date]],BH!C:C,1,)&lt;&gt;"",1,0),0)</f>
        <v>0</v>
      </c>
      <c r="N1965">
        <f>IFERROR(IF(VLOOKUP(calendar[[#This Row],[Date]],BH!E:E,1,)&lt;&gt;"",1,0),0)</f>
        <v>0</v>
      </c>
      <c r="O1965">
        <f>IFERROR(IF(VLOOKUP(calendar[[#This Row],[Date]],BH!G:G,1,)&lt;&gt;"",1,0),0)</f>
        <v>0</v>
      </c>
      <c r="P1965">
        <f>IF(OR(calendar[[#This Row],[UK_BH]]=1,calendar[[#This Row],[WeekDay]]=1, calendar[[#This Row],[WeekDay]]=7),P1964,P1964+1)</f>
        <v>1403</v>
      </c>
      <c r="Q1965">
        <f>IF(OR(calendar[[#This Row],[FR_BH]]=1,calendar[[#This Row],[WeekDay]]=1, calendar[[#This Row],[WeekDay]]=7),P1964,P1964+1)</f>
        <v>1403</v>
      </c>
      <c r="R1965">
        <f>IF(OR(calendar[[#This Row],[SP_BH]]=1,calendar[[#This Row],[WeekDay]]=1, calendar[[#This Row],[WeekDay]]=7),P1964,P1964+1)</f>
        <v>1403</v>
      </c>
      <c r="S1965">
        <f>IF(OR(calendar[[#This Row],[PT_BH]]=1,calendar[[#This Row],[WeekDay]]=1, calendar[[#This Row],[WeekDay]]=7),P1964,P1964+1)</f>
        <v>1403</v>
      </c>
    </row>
    <row r="1966" spans="1:19" x14ac:dyDescent="0.25">
      <c r="A1966" s="2">
        <v>44700</v>
      </c>
      <c r="B1966" s="1">
        <f t="shared" si="153"/>
        <v>21</v>
      </c>
      <c r="C1966">
        <f t="shared" si="155"/>
        <v>5</v>
      </c>
      <c r="D1966" t="str">
        <f t="shared" si="156"/>
        <v>May</v>
      </c>
      <c r="E1966">
        <f t="shared" si="157"/>
        <v>2022</v>
      </c>
      <c r="F1966" t="str">
        <f>CONCATENATE(calendar[[#This Row],[Month]],"/",calendar[[#This Row],[Year]])</f>
        <v>5/2022</v>
      </c>
      <c r="G1966">
        <f>WEEKDAY(calendar[[#This Row],[Date]],1)</f>
        <v>5</v>
      </c>
      <c r="H1966" t="str">
        <f>TEXT(calendar[[#This Row],[WeekDay]],"dddd")</f>
        <v>Thursday</v>
      </c>
      <c r="I1966">
        <f>IF((INT(calendar[[#This Row],[Count]]/7)-calendar[[#This Row],[Count]]/7)&lt;0,I1965,I1965+1)</f>
        <v>281</v>
      </c>
      <c r="J1966">
        <f t="shared" si="154"/>
        <v>1964</v>
      </c>
      <c r="K1966">
        <f>IF(calendar[[#This Row],[Month]]&lt;4,1,IF(calendar[[#This Row],[Month]]&lt;7,2,IF(calendar[[#This Row],[Month]]&lt;10,3,4)))</f>
        <v>2</v>
      </c>
      <c r="L1966">
        <f>IFERROR(IF(VLOOKUP(calendar[[#This Row],[Date]],BH!A:A,1,)&lt;&gt;"",1,0),0)</f>
        <v>0</v>
      </c>
      <c r="M1966">
        <f>IFERROR(IF(VLOOKUP(calendar[[#This Row],[Date]],BH!C:C,1,)&lt;&gt;"",1,0),0)</f>
        <v>0</v>
      </c>
      <c r="N1966">
        <f>IFERROR(IF(VLOOKUP(calendar[[#This Row],[Date]],BH!E:E,1,)&lt;&gt;"",1,0),0)</f>
        <v>0</v>
      </c>
      <c r="O1966">
        <f>IFERROR(IF(VLOOKUP(calendar[[#This Row],[Date]],BH!G:G,1,)&lt;&gt;"",1,0),0)</f>
        <v>0</v>
      </c>
      <c r="P1966">
        <f>IF(OR(calendar[[#This Row],[UK_BH]]=1,calendar[[#This Row],[WeekDay]]=1, calendar[[#This Row],[WeekDay]]=7),P1965,P1965+1)</f>
        <v>1404</v>
      </c>
      <c r="Q1966">
        <f>IF(OR(calendar[[#This Row],[FR_BH]]=1,calendar[[#This Row],[WeekDay]]=1, calendar[[#This Row],[WeekDay]]=7),P1965,P1965+1)</f>
        <v>1404</v>
      </c>
      <c r="R1966">
        <f>IF(OR(calendar[[#This Row],[SP_BH]]=1,calendar[[#This Row],[WeekDay]]=1, calendar[[#This Row],[WeekDay]]=7),P1965,P1965+1)</f>
        <v>1404</v>
      </c>
      <c r="S1966">
        <f>IF(OR(calendar[[#This Row],[PT_BH]]=1,calendar[[#This Row],[WeekDay]]=1, calendar[[#This Row],[WeekDay]]=7),P1965,P1965+1)</f>
        <v>1404</v>
      </c>
    </row>
    <row r="1967" spans="1:19" x14ac:dyDescent="0.25">
      <c r="A1967" s="2">
        <v>44701</v>
      </c>
      <c r="B1967" s="1">
        <f t="shared" si="153"/>
        <v>21</v>
      </c>
      <c r="C1967">
        <f t="shared" si="155"/>
        <v>5</v>
      </c>
      <c r="D1967" t="str">
        <f t="shared" si="156"/>
        <v>May</v>
      </c>
      <c r="E1967">
        <f t="shared" si="157"/>
        <v>2022</v>
      </c>
      <c r="F1967" t="str">
        <f>CONCATENATE(calendar[[#This Row],[Month]],"/",calendar[[#This Row],[Year]])</f>
        <v>5/2022</v>
      </c>
      <c r="G1967">
        <f>WEEKDAY(calendar[[#This Row],[Date]],1)</f>
        <v>6</v>
      </c>
      <c r="H1967" t="str">
        <f>TEXT(calendar[[#This Row],[WeekDay]],"dddd")</f>
        <v>Friday</v>
      </c>
      <c r="I1967">
        <f>IF((INT(calendar[[#This Row],[Count]]/7)-calendar[[#This Row],[Count]]/7)&lt;0,I1966,I1966+1)</f>
        <v>281</v>
      </c>
      <c r="J1967">
        <f t="shared" si="154"/>
        <v>1965</v>
      </c>
      <c r="K1967">
        <f>IF(calendar[[#This Row],[Month]]&lt;4,1,IF(calendar[[#This Row],[Month]]&lt;7,2,IF(calendar[[#This Row],[Month]]&lt;10,3,4)))</f>
        <v>2</v>
      </c>
      <c r="L1967">
        <f>IFERROR(IF(VLOOKUP(calendar[[#This Row],[Date]],BH!A:A,1,)&lt;&gt;"",1,0),0)</f>
        <v>0</v>
      </c>
      <c r="M1967">
        <f>IFERROR(IF(VLOOKUP(calendar[[#This Row],[Date]],BH!C:C,1,)&lt;&gt;"",1,0),0)</f>
        <v>0</v>
      </c>
      <c r="N1967">
        <f>IFERROR(IF(VLOOKUP(calendar[[#This Row],[Date]],BH!E:E,1,)&lt;&gt;"",1,0),0)</f>
        <v>0</v>
      </c>
      <c r="O1967">
        <f>IFERROR(IF(VLOOKUP(calendar[[#This Row],[Date]],BH!G:G,1,)&lt;&gt;"",1,0),0)</f>
        <v>0</v>
      </c>
      <c r="P1967">
        <f>IF(OR(calendar[[#This Row],[UK_BH]]=1,calendar[[#This Row],[WeekDay]]=1, calendar[[#This Row],[WeekDay]]=7),P1966,P1966+1)</f>
        <v>1405</v>
      </c>
      <c r="Q1967">
        <f>IF(OR(calendar[[#This Row],[FR_BH]]=1,calendar[[#This Row],[WeekDay]]=1, calendar[[#This Row],[WeekDay]]=7),P1966,P1966+1)</f>
        <v>1405</v>
      </c>
      <c r="R1967">
        <f>IF(OR(calendar[[#This Row],[SP_BH]]=1,calendar[[#This Row],[WeekDay]]=1, calendar[[#This Row],[WeekDay]]=7),P1966,P1966+1)</f>
        <v>1405</v>
      </c>
      <c r="S1967">
        <f>IF(OR(calendar[[#This Row],[PT_BH]]=1,calendar[[#This Row],[WeekDay]]=1, calendar[[#This Row],[WeekDay]]=7),P1966,P1966+1)</f>
        <v>1405</v>
      </c>
    </row>
    <row r="1968" spans="1:19" x14ac:dyDescent="0.25">
      <c r="A1968" s="2">
        <v>44702</v>
      </c>
      <c r="B1968" s="1">
        <f t="shared" si="153"/>
        <v>21</v>
      </c>
      <c r="C1968">
        <f t="shared" si="155"/>
        <v>5</v>
      </c>
      <c r="D1968" t="str">
        <f t="shared" si="156"/>
        <v>May</v>
      </c>
      <c r="E1968">
        <f t="shared" si="157"/>
        <v>2022</v>
      </c>
      <c r="F1968" t="str">
        <f>CONCATENATE(calendar[[#This Row],[Month]],"/",calendar[[#This Row],[Year]])</f>
        <v>5/2022</v>
      </c>
      <c r="G1968">
        <f>WEEKDAY(calendar[[#This Row],[Date]],1)</f>
        <v>7</v>
      </c>
      <c r="H1968" t="str">
        <f>TEXT(calendar[[#This Row],[WeekDay]],"dddd")</f>
        <v>Saturday</v>
      </c>
      <c r="I1968">
        <f>IF((INT(calendar[[#This Row],[Count]]/7)-calendar[[#This Row],[Count]]/7)&lt;0,I1967,I1967+1)</f>
        <v>281</v>
      </c>
      <c r="J1968">
        <f t="shared" si="154"/>
        <v>1966</v>
      </c>
      <c r="K1968">
        <f>IF(calendar[[#This Row],[Month]]&lt;4,1,IF(calendar[[#This Row],[Month]]&lt;7,2,IF(calendar[[#This Row],[Month]]&lt;10,3,4)))</f>
        <v>2</v>
      </c>
      <c r="L1968">
        <f>IFERROR(IF(VLOOKUP(calendar[[#This Row],[Date]],BH!A:A,1,)&lt;&gt;"",1,0),0)</f>
        <v>0</v>
      </c>
      <c r="M1968">
        <f>IFERROR(IF(VLOOKUP(calendar[[#This Row],[Date]],BH!C:C,1,)&lt;&gt;"",1,0),0)</f>
        <v>0</v>
      </c>
      <c r="N1968">
        <f>IFERROR(IF(VLOOKUP(calendar[[#This Row],[Date]],BH!E:E,1,)&lt;&gt;"",1,0),0)</f>
        <v>0</v>
      </c>
      <c r="O1968">
        <f>IFERROR(IF(VLOOKUP(calendar[[#This Row],[Date]],BH!G:G,1,)&lt;&gt;"",1,0),0)</f>
        <v>0</v>
      </c>
      <c r="P1968">
        <f>IF(OR(calendar[[#This Row],[UK_BH]]=1,calendar[[#This Row],[WeekDay]]=1, calendar[[#This Row],[WeekDay]]=7),P1967,P1967+1)</f>
        <v>1405</v>
      </c>
      <c r="Q1968">
        <f>IF(OR(calendar[[#This Row],[FR_BH]]=1,calendar[[#This Row],[WeekDay]]=1, calendar[[#This Row],[WeekDay]]=7),P1967,P1967+1)</f>
        <v>1405</v>
      </c>
      <c r="R1968">
        <f>IF(OR(calendar[[#This Row],[SP_BH]]=1,calendar[[#This Row],[WeekDay]]=1, calendar[[#This Row],[WeekDay]]=7),P1967,P1967+1)</f>
        <v>1405</v>
      </c>
      <c r="S1968">
        <f>IF(OR(calendar[[#This Row],[PT_BH]]=1,calendar[[#This Row],[WeekDay]]=1, calendar[[#This Row],[WeekDay]]=7),P1967,P1967+1)</f>
        <v>1405</v>
      </c>
    </row>
    <row r="1969" spans="1:19" x14ac:dyDescent="0.25">
      <c r="A1969" s="2">
        <v>44703</v>
      </c>
      <c r="B1969" s="1">
        <f t="shared" si="153"/>
        <v>22</v>
      </c>
      <c r="C1969">
        <f t="shared" si="155"/>
        <v>5</v>
      </c>
      <c r="D1969" t="str">
        <f t="shared" si="156"/>
        <v>May</v>
      </c>
      <c r="E1969">
        <f t="shared" si="157"/>
        <v>2022</v>
      </c>
      <c r="F1969" t="str">
        <f>CONCATENATE(calendar[[#This Row],[Month]],"/",calendar[[#This Row],[Year]])</f>
        <v>5/2022</v>
      </c>
      <c r="G1969">
        <f>WEEKDAY(calendar[[#This Row],[Date]],1)</f>
        <v>1</v>
      </c>
      <c r="H1969" t="str">
        <f>TEXT(calendar[[#This Row],[WeekDay]],"dddd")</f>
        <v>Sunday</v>
      </c>
      <c r="I1969">
        <f>IF((INT(calendar[[#This Row],[Count]]/7)-calendar[[#This Row],[Count]]/7)&lt;0,I1968,I1968+1)</f>
        <v>282</v>
      </c>
      <c r="J1969">
        <f t="shared" si="154"/>
        <v>1967</v>
      </c>
      <c r="K1969">
        <f>IF(calendar[[#This Row],[Month]]&lt;4,1,IF(calendar[[#This Row],[Month]]&lt;7,2,IF(calendar[[#This Row],[Month]]&lt;10,3,4)))</f>
        <v>2</v>
      </c>
      <c r="L1969">
        <f>IFERROR(IF(VLOOKUP(calendar[[#This Row],[Date]],BH!A:A,1,)&lt;&gt;"",1,0),0)</f>
        <v>0</v>
      </c>
      <c r="M1969">
        <f>IFERROR(IF(VLOOKUP(calendar[[#This Row],[Date]],BH!C:C,1,)&lt;&gt;"",1,0),0)</f>
        <v>0</v>
      </c>
      <c r="N1969">
        <f>IFERROR(IF(VLOOKUP(calendar[[#This Row],[Date]],BH!E:E,1,)&lt;&gt;"",1,0),0)</f>
        <v>0</v>
      </c>
      <c r="O1969">
        <f>IFERROR(IF(VLOOKUP(calendar[[#This Row],[Date]],BH!G:G,1,)&lt;&gt;"",1,0),0)</f>
        <v>0</v>
      </c>
      <c r="P1969">
        <f>IF(OR(calendar[[#This Row],[UK_BH]]=1,calendar[[#This Row],[WeekDay]]=1, calendar[[#This Row],[WeekDay]]=7),P1968,P1968+1)</f>
        <v>1405</v>
      </c>
      <c r="Q1969">
        <f>IF(OR(calendar[[#This Row],[FR_BH]]=1,calendar[[#This Row],[WeekDay]]=1, calendar[[#This Row],[WeekDay]]=7),P1968,P1968+1)</f>
        <v>1405</v>
      </c>
      <c r="R1969">
        <f>IF(OR(calendar[[#This Row],[SP_BH]]=1,calendar[[#This Row],[WeekDay]]=1, calendar[[#This Row],[WeekDay]]=7),P1968,P1968+1)</f>
        <v>1405</v>
      </c>
      <c r="S1969">
        <f>IF(OR(calendar[[#This Row],[PT_BH]]=1,calendar[[#This Row],[WeekDay]]=1, calendar[[#This Row],[WeekDay]]=7),P1968,P1968+1)</f>
        <v>1405</v>
      </c>
    </row>
    <row r="1970" spans="1:19" x14ac:dyDescent="0.25">
      <c r="A1970" s="2">
        <v>44704</v>
      </c>
      <c r="B1970" s="1">
        <f t="shared" si="153"/>
        <v>22</v>
      </c>
      <c r="C1970">
        <f t="shared" si="155"/>
        <v>5</v>
      </c>
      <c r="D1970" t="str">
        <f t="shared" si="156"/>
        <v>May</v>
      </c>
      <c r="E1970">
        <f t="shared" si="157"/>
        <v>2022</v>
      </c>
      <c r="F1970" t="str">
        <f>CONCATENATE(calendar[[#This Row],[Month]],"/",calendar[[#This Row],[Year]])</f>
        <v>5/2022</v>
      </c>
      <c r="G1970">
        <f>WEEKDAY(calendar[[#This Row],[Date]],1)</f>
        <v>2</v>
      </c>
      <c r="H1970" t="str">
        <f>TEXT(calendar[[#This Row],[WeekDay]],"dddd")</f>
        <v>Monday</v>
      </c>
      <c r="I1970">
        <f>IF((INT(calendar[[#This Row],[Count]]/7)-calendar[[#This Row],[Count]]/7)&lt;0,I1969,I1969+1)</f>
        <v>282</v>
      </c>
      <c r="J1970">
        <f t="shared" si="154"/>
        <v>1968</v>
      </c>
      <c r="K1970">
        <f>IF(calendar[[#This Row],[Month]]&lt;4,1,IF(calendar[[#This Row],[Month]]&lt;7,2,IF(calendar[[#This Row],[Month]]&lt;10,3,4)))</f>
        <v>2</v>
      </c>
      <c r="L1970">
        <f>IFERROR(IF(VLOOKUP(calendar[[#This Row],[Date]],BH!A:A,1,)&lt;&gt;"",1,0),0)</f>
        <v>0</v>
      </c>
      <c r="M1970">
        <f>IFERROR(IF(VLOOKUP(calendar[[#This Row],[Date]],BH!C:C,1,)&lt;&gt;"",1,0),0)</f>
        <v>0</v>
      </c>
      <c r="N1970">
        <f>IFERROR(IF(VLOOKUP(calendar[[#This Row],[Date]],BH!E:E,1,)&lt;&gt;"",1,0),0)</f>
        <v>0</v>
      </c>
      <c r="O1970">
        <f>IFERROR(IF(VLOOKUP(calendar[[#This Row],[Date]],BH!G:G,1,)&lt;&gt;"",1,0),0)</f>
        <v>0</v>
      </c>
      <c r="P1970">
        <f>IF(OR(calendar[[#This Row],[UK_BH]]=1,calendar[[#This Row],[WeekDay]]=1, calendar[[#This Row],[WeekDay]]=7),P1969,P1969+1)</f>
        <v>1406</v>
      </c>
      <c r="Q1970">
        <f>IF(OR(calendar[[#This Row],[FR_BH]]=1,calendar[[#This Row],[WeekDay]]=1, calendar[[#This Row],[WeekDay]]=7),P1969,P1969+1)</f>
        <v>1406</v>
      </c>
      <c r="R1970">
        <f>IF(OR(calendar[[#This Row],[SP_BH]]=1,calendar[[#This Row],[WeekDay]]=1, calendar[[#This Row],[WeekDay]]=7),P1969,P1969+1)</f>
        <v>1406</v>
      </c>
      <c r="S1970">
        <f>IF(OR(calendar[[#This Row],[PT_BH]]=1,calendar[[#This Row],[WeekDay]]=1, calendar[[#This Row],[WeekDay]]=7),P1969,P1969+1)</f>
        <v>1406</v>
      </c>
    </row>
    <row r="1971" spans="1:19" x14ac:dyDescent="0.25">
      <c r="A1971" s="2">
        <v>44705</v>
      </c>
      <c r="B1971" s="1">
        <f t="shared" si="153"/>
        <v>22</v>
      </c>
      <c r="C1971">
        <f t="shared" si="155"/>
        <v>5</v>
      </c>
      <c r="D1971" t="str">
        <f t="shared" si="156"/>
        <v>May</v>
      </c>
      <c r="E1971">
        <f t="shared" si="157"/>
        <v>2022</v>
      </c>
      <c r="F1971" t="str">
        <f>CONCATENATE(calendar[[#This Row],[Month]],"/",calendar[[#This Row],[Year]])</f>
        <v>5/2022</v>
      </c>
      <c r="G1971">
        <f>WEEKDAY(calendar[[#This Row],[Date]],1)</f>
        <v>3</v>
      </c>
      <c r="H1971" t="str">
        <f>TEXT(calendar[[#This Row],[WeekDay]],"dddd")</f>
        <v>Tuesday</v>
      </c>
      <c r="I1971">
        <f>IF((INT(calendar[[#This Row],[Count]]/7)-calendar[[#This Row],[Count]]/7)&lt;0,I1970,I1970+1)</f>
        <v>282</v>
      </c>
      <c r="J1971">
        <f t="shared" si="154"/>
        <v>1969</v>
      </c>
      <c r="K1971">
        <f>IF(calendar[[#This Row],[Month]]&lt;4,1,IF(calendar[[#This Row],[Month]]&lt;7,2,IF(calendar[[#This Row],[Month]]&lt;10,3,4)))</f>
        <v>2</v>
      </c>
      <c r="L1971">
        <f>IFERROR(IF(VLOOKUP(calendar[[#This Row],[Date]],BH!A:A,1,)&lt;&gt;"",1,0),0)</f>
        <v>0</v>
      </c>
      <c r="M1971">
        <f>IFERROR(IF(VLOOKUP(calendar[[#This Row],[Date]],BH!C:C,1,)&lt;&gt;"",1,0),0)</f>
        <v>0</v>
      </c>
      <c r="N1971">
        <f>IFERROR(IF(VLOOKUP(calendar[[#This Row],[Date]],BH!E:E,1,)&lt;&gt;"",1,0),0)</f>
        <v>0</v>
      </c>
      <c r="O1971">
        <f>IFERROR(IF(VLOOKUP(calendar[[#This Row],[Date]],BH!G:G,1,)&lt;&gt;"",1,0),0)</f>
        <v>0</v>
      </c>
      <c r="P1971">
        <f>IF(OR(calendar[[#This Row],[UK_BH]]=1,calendar[[#This Row],[WeekDay]]=1, calendar[[#This Row],[WeekDay]]=7),P1970,P1970+1)</f>
        <v>1407</v>
      </c>
      <c r="Q1971">
        <f>IF(OR(calendar[[#This Row],[FR_BH]]=1,calendar[[#This Row],[WeekDay]]=1, calendar[[#This Row],[WeekDay]]=7),P1970,P1970+1)</f>
        <v>1407</v>
      </c>
      <c r="R1971">
        <f>IF(OR(calendar[[#This Row],[SP_BH]]=1,calendar[[#This Row],[WeekDay]]=1, calendar[[#This Row],[WeekDay]]=7),P1970,P1970+1)</f>
        <v>1407</v>
      </c>
      <c r="S1971">
        <f>IF(OR(calendar[[#This Row],[PT_BH]]=1,calendar[[#This Row],[WeekDay]]=1, calendar[[#This Row],[WeekDay]]=7),P1970,P1970+1)</f>
        <v>1407</v>
      </c>
    </row>
    <row r="1972" spans="1:19" x14ac:dyDescent="0.25">
      <c r="A1972" s="2">
        <v>44706</v>
      </c>
      <c r="B1972" s="1">
        <f t="shared" si="153"/>
        <v>22</v>
      </c>
      <c r="C1972">
        <f t="shared" si="155"/>
        <v>5</v>
      </c>
      <c r="D1972" t="str">
        <f t="shared" si="156"/>
        <v>May</v>
      </c>
      <c r="E1972">
        <f t="shared" si="157"/>
        <v>2022</v>
      </c>
      <c r="F1972" t="str">
        <f>CONCATENATE(calendar[[#This Row],[Month]],"/",calendar[[#This Row],[Year]])</f>
        <v>5/2022</v>
      </c>
      <c r="G1972">
        <f>WEEKDAY(calendar[[#This Row],[Date]],1)</f>
        <v>4</v>
      </c>
      <c r="H1972" t="str">
        <f>TEXT(calendar[[#This Row],[WeekDay]],"dddd")</f>
        <v>Wednesday</v>
      </c>
      <c r="I1972">
        <f>IF((INT(calendar[[#This Row],[Count]]/7)-calendar[[#This Row],[Count]]/7)&lt;0,I1971,I1971+1)</f>
        <v>282</v>
      </c>
      <c r="J1972">
        <f t="shared" si="154"/>
        <v>1970</v>
      </c>
      <c r="K1972">
        <f>IF(calendar[[#This Row],[Month]]&lt;4,1,IF(calendar[[#This Row],[Month]]&lt;7,2,IF(calendar[[#This Row],[Month]]&lt;10,3,4)))</f>
        <v>2</v>
      </c>
      <c r="L1972">
        <f>IFERROR(IF(VLOOKUP(calendar[[#This Row],[Date]],BH!A:A,1,)&lt;&gt;"",1,0),0)</f>
        <v>0</v>
      </c>
      <c r="M1972">
        <f>IFERROR(IF(VLOOKUP(calendar[[#This Row],[Date]],BH!C:C,1,)&lt;&gt;"",1,0),0)</f>
        <v>0</v>
      </c>
      <c r="N1972">
        <f>IFERROR(IF(VLOOKUP(calendar[[#This Row],[Date]],BH!E:E,1,)&lt;&gt;"",1,0),0)</f>
        <v>0</v>
      </c>
      <c r="O1972">
        <f>IFERROR(IF(VLOOKUP(calendar[[#This Row],[Date]],BH!G:G,1,)&lt;&gt;"",1,0),0)</f>
        <v>0</v>
      </c>
      <c r="P1972">
        <f>IF(OR(calendar[[#This Row],[UK_BH]]=1,calendar[[#This Row],[WeekDay]]=1, calendar[[#This Row],[WeekDay]]=7),P1971,P1971+1)</f>
        <v>1408</v>
      </c>
      <c r="Q1972">
        <f>IF(OR(calendar[[#This Row],[FR_BH]]=1,calendar[[#This Row],[WeekDay]]=1, calendar[[#This Row],[WeekDay]]=7),P1971,P1971+1)</f>
        <v>1408</v>
      </c>
      <c r="R1972">
        <f>IF(OR(calendar[[#This Row],[SP_BH]]=1,calendar[[#This Row],[WeekDay]]=1, calendar[[#This Row],[WeekDay]]=7),P1971,P1971+1)</f>
        <v>1408</v>
      </c>
      <c r="S1972">
        <f>IF(OR(calendar[[#This Row],[PT_BH]]=1,calendar[[#This Row],[WeekDay]]=1, calendar[[#This Row],[WeekDay]]=7),P1971,P1971+1)</f>
        <v>1408</v>
      </c>
    </row>
    <row r="1973" spans="1:19" x14ac:dyDescent="0.25">
      <c r="A1973" s="2">
        <v>44707</v>
      </c>
      <c r="B1973" s="1">
        <f t="shared" si="153"/>
        <v>22</v>
      </c>
      <c r="C1973">
        <f t="shared" si="155"/>
        <v>5</v>
      </c>
      <c r="D1973" t="str">
        <f t="shared" si="156"/>
        <v>May</v>
      </c>
      <c r="E1973">
        <f t="shared" si="157"/>
        <v>2022</v>
      </c>
      <c r="F1973" t="str">
        <f>CONCATENATE(calendar[[#This Row],[Month]],"/",calendar[[#This Row],[Year]])</f>
        <v>5/2022</v>
      </c>
      <c r="G1973">
        <f>WEEKDAY(calendar[[#This Row],[Date]],1)</f>
        <v>5</v>
      </c>
      <c r="H1973" t="str">
        <f>TEXT(calendar[[#This Row],[WeekDay]],"dddd")</f>
        <v>Thursday</v>
      </c>
      <c r="I1973">
        <f>IF((INT(calendar[[#This Row],[Count]]/7)-calendar[[#This Row],[Count]]/7)&lt;0,I1972,I1972+1)</f>
        <v>282</v>
      </c>
      <c r="J1973">
        <f t="shared" si="154"/>
        <v>1971</v>
      </c>
      <c r="K1973">
        <f>IF(calendar[[#This Row],[Month]]&lt;4,1,IF(calendar[[#This Row],[Month]]&lt;7,2,IF(calendar[[#This Row],[Month]]&lt;10,3,4)))</f>
        <v>2</v>
      </c>
      <c r="L1973">
        <f>IFERROR(IF(VLOOKUP(calendar[[#This Row],[Date]],BH!A:A,1,)&lt;&gt;"",1,0),0)</f>
        <v>0</v>
      </c>
      <c r="M1973">
        <f>IFERROR(IF(VLOOKUP(calendar[[#This Row],[Date]],BH!C:C,1,)&lt;&gt;"",1,0),0)</f>
        <v>0</v>
      </c>
      <c r="N1973">
        <f>IFERROR(IF(VLOOKUP(calendar[[#This Row],[Date]],BH!E:E,1,)&lt;&gt;"",1,0),0)</f>
        <v>0</v>
      </c>
      <c r="O1973">
        <f>IFERROR(IF(VLOOKUP(calendar[[#This Row],[Date]],BH!G:G,1,)&lt;&gt;"",1,0),0)</f>
        <v>0</v>
      </c>
      <c r="P1973">
        <f>IF(OR(calendar[[#This Row],[UK_BH]]=1,calendar[[#This Row],[WeekDay]]=1, calendar[[#This Row],[WeekDay]]=7),P1972,P1972+1)</f>
        <v>1409</v>
      </c>
      <c r="Q1973">
        <f>IF(OR(calendar[[#This Row],[FR_BH]]=1,calendar[[#This Row],[WeekDay]]=1, calendar[[#This Row],[WeekDay]]=7),P1972,P1972+1)</f>
        <v>1409</v>
      </c>
      <c r="R1973">
        <f>IF(OR(calendar[[#This Row],[SP_BH]]=1,calendar[[#This Row],[WeekDay]]=1, calendar[[#This Row],[WeekDay]]=7),P1972,P1972+1)</f>
        <v>1409</v>
      </c>
      <c r="S1973">
        <f>IF(OR(calendar[[#This Row],[PT_BH]]=1,calendar[[#This Row],[WeekDay]]=1, calendar[[#This Row],[WeekDay]]=7),P1972,P1972+1)</f>
        <v>1409</v>
      </c>
    </row>
    <row r="1974" spans="1:19" x14ac:dyDescent="0.25">
      <c r="A1974" s="2">
        <v>44708</v>
      </c>
      <c r="B1974" s="1">
        <f t="shared" si="153"/>
        <v>22</v>
      </c>
      <c r="C1974">
        <f t="shared" si="155"/>
        <v>5</v>
      </c>
      <c r="D1974" t="str">
        <f t="shared" si="156"/>
        <v>May</v>
      </c>
      <c r="E1974">
        <f t="shared" si="157"/>
        <v>2022</v>
      </c>
      <c r="F1974" t="str">
        <f>CONCATENATE(calendar[[#This Row],[Month]],"/",calendar[[#This Row],[Year]])</f>
        <v>5/2022</v>
      </c>
      <c r="G1974">
        <f>WEEKDAY(calendar[[#This Row],[Date]],1)</f>
        <v>6</v>
      </c>
      <c r="H1974" t="str">
        <f>TEXT(calendar[[#This Row],[WeekDay]],"dddd")</f>
        <v>Friday</v>
      </c>
      <c r="I1974">
        <f>IF((INT(calendar[[#This Row],[Count]]/7)-calendar[[#This Row],[Count]]/7)&lt;0,I1973,I1973+1)</f>
        <v>282</v>
      </c>
      <c r="J1974">
        <f t="shared" si="154"/>
        <v>1972</v>
      </c>
      <c r="K1974">
        <f>IF(calendar[[#This Row],[Month]]&lt;4,1,IF(calendar[[#This Row],[Month]]&lt;7,2,IF(calendar[[#This Row],[Month]]&lt;10,3,4)))</f>
        <v>2</v>
      </c>
      <c r="L1974">
        <f>IFERROR(IF(VLOOKUP(calendar[[#This Row],[Date]],BH!A:A,1,)&lt;&gt;"",1,0),0)</f>
        <v>0</v>
      </c>
      <c r="M1974">
        <f>IFERROR(IF(VLOOKUP(calendar[[#This Row],[Date]],BH!C:C,1,)&lt;&gt;"",1,0),0)</f>
        <v>0</v>
      </c>
      <c r="N1974">
        <f>IFERROR(IF(VLOOKUP(calendar[[#This Row],[Date]],BH!E:E,1,)&lt;&gt;"",1,0),0)</f>
        <v>0</v>
      </c>
      <c r="O1974">
        <f>IFERROR(IF(VLOOKUP(calendar[[#This Row],[Date]],BH!G:G,1,)&lt;&gt;"",1,0),0)</f>
        <v>0</v>
      </c>
      <c r="P1974">
        <f>IF(OR(calendar[[#This Row],[UK_BH]]=1,calendar[[#This Row],[WeekDay]]=1, calendar[[#This Row],[WeekDay]]=7),P1973,P1973+1)</f>
        <v>1410</v>
      </c>
      <c r="Q1974">
        <f>IF(OR(calendar[[#This Row],[FR_BH]]=1,calendar[[#This Row],[WeekDay]]=1, calendar[[#This Row],[WeekDay]]=7),P1973,P1973+1)</f>
        <v>1410</v>
      </c>
      <c r="R1974">
        <f>IF(OR(calendar[[#This Row],[SP_BH]]=1,calendar[[#This Row],[WeekDay]]=1, calendar[[#This Row],[WeekDay]]=7),P1973,P1973+1)</f>
        <v>1410</v>
      </c>
      <c r="S1974">
        <f>IF(OR(calendar[[#This Row],[PT_BH]]=1,calendar[[#This Row],[WeekDay]]=1, calendar[[#This Row],[WeekDay]]=7),P1973,P1973+1)</f>
        <v>1410</v>
      </c>
    </row>
    <row r="1975" spans="1:19" x14ac:dyDescent="0.25">
      <c r="A1975" s="2">
        <v>44709</v>
      </c>
      <c r="B1975" s="1">
        <f t="shared" si="153"/>
        <v>22</v>
      </c>
      <c r="C1975">
        <f t="shared" si="155"/>
        <v>5</v>
      </c>
      <c r="D1975" t="str">
        <f t="shared" si="156"/>
        <v>May</v>
      </c>
      <c r="E1975">
        <f t="shared" si="157"/>
        <v>2022</v>
      </c>
      <c r="F1975" t="str">
        <f>CONCATENATE(calendar[[#This Row],[Month]],"/",calendar[[#This Row],[Year]])</f>
        <v>5/2022</v>
      </c>
      <c r="G1975">
        <f>WEEKDAY(calendar[[#This Row],[Date]],1)</f>
        <v>7</v>
      </c>
      <c r="H1975" t="str">
        <f>TEXT(calendar[[#This Row],[WeekDay]],"dddd")</f>
        <v>Saturday</v>
      </c>
      <c r="I1975">
        <f>IF((INT(calendar[[#This Row],[Count]]/7)-calendar[[#This Row],[Count]]/7)&lt;0,I1974,I1974+1)</f>
        <v>282</v>
      </c>
      <c r="J1975">
        <f t="shared" si="154"/>
        <v>1973</v>
      </c>
      <c r="K1975">
        <f>IF(calendar[[#This Row],[Month]]&lt;4,1,IF(calendar[[#This Row],[Month]]&lt;7,2,IF(calendar[[#This Row],[Month]]&lt;10,3,4)))</f>
        <v>2</v>
      </c>
      <c r="L1975">
        <f>IFERROR(IF(VLOOKUP(calendar[[#This Row],[Date]],BH!A:A,1,)&lt;&gt;"",1,0),0)</f>
        <v>0</v>
      </c>
      <c r="M1975">
        <f>IFERROR(IF(VLOOKUP(calendar[[#This Row],[Date]],BH!C:C,1,)&lt;&gt;"",1,0),0)</f>
        <v>0</v>
      </c>
      <c r="N1975">
        <f>IFERROR(IF(VLOOKUP(calendar[[#This Row],[Date]],BH!E:E,1,)&lt;&gt;"",1,0),0)</f>
        <v>0</v>
      </c>
      <c r="O1975">
        <f>IFERROR(IF(VLOOKUP(calendar[[#This Row],[Date]],BH!G:G,1,)&lt;&gt;"",1,0),0)</f>
        <v>0</v>
      </c>
      <c r="P1975">
        <f>IF(OR(calendar[[#This Row],[UK_BH]]=1,calendar[[#This Row],[WeekDay]]=1, calendar[[#This Row],[WeekDay]]=7),P1974,P1974+1)</f>
        <v>1410</v>
      </c>
      <c r="Q1975">
        <f>IF(OR(calendar[[#This Row],[FR_BH]]=1,calendar[[#This Row],[WeekDay]]=1, calendar[[#This Row],[WeekDay]]=7),P1974,P1974+1)</f>
        <v>1410</v>
      </c>
      <c r="R1975">
        <f>IF(OR(calendar[[#This Row],[SP_BH]]=1,calendar[[#This Row],[WeekDay]]=1, calendar[[#This Row],[WeekDay]]=7),P1974,P1974+1)</f>
        <v>1410</v>
      </c>
      <c r="S1975">
        <f>IF(OR(calendar[[#This Row],[PT_BH]]=1,calendar[[#This Row],[WeekDay]]=1, calendar[[#This Row],[WeekDay]]=7),P1974,P1974+1)</f>
        <v>1410</v>
      </c>
    </row>
    <row r="1976" spans="1:19" x14ac:dyDescent="0.25">
      <c r="A1976" s="2">
        <v>44710</v>
      </c>
      <c r="B1976" s="1">
        <f t="shared" si="153"/>
        <v>23</v>
      </c>
      <c r="C1976">
        <f t="shared" si="155"/>
        <v>5</v>
      </c>
      <c r="D1976" t="str">
        <f t="shared" si="156"/>
        <v>May</v>
      </c>
      <c r="E1976">
        <f t="shared" si="157"/>
        <v>2022</v>
      </c>
      <c r="F1976" t="str">
        <f>CONCATENATE(calendar[[#This Row],[Month]],"/",calendar[[#This Row],[Year]])</f>
        <v>5/2022</v>
      </c>
      <c r="G1976">
        <f>WEEKDAY(calendar[[#This Row],[Date]],1)</f>
        <v>1</v>
      </c>
      <c r="H1976" t="str">
        <f>TEXT(calendar[[#This Row],[WeekDay]],"dddd")</f>
        <v>Sunday</v>
      </c>
      <c r="I1976">
        <f>IF((INT(calendar[[#This Row],[Count]]/7)-calendar[[#This Row],[Count]]/7)&lt;0,I1975,I1975+1)</f>
        <v>283</v>
      </c>
      <c r="J1976">
        <f t="shared" si="154"/>
        <v>1974</v>
      </c>
      <c r="K1976">
        <f>IF(calendar[[#This Row],[Month]]&lt;4,1,IF(calendar[[#This Row],[Month]]&lt;7,2,IF(calendar[[#This Row],[Month]]&lt;10,3,4)))</f>
        <v>2</v>
      </c>
      <c r="L1976">
        <f>IFERROR(IF(VLOOKUP(calendar[[#This Row],[Date]],BH!A:A,1,)&lt;&gt;"",1,0),0)</f>
        <v>0</v>
      </c>
      <c r="M1976">
        <f>IFERROR(IF(VLOOKUP(calendar[[#This Row],[Date]],BH!C:C,1,)&lt;&gt;"",1,0),0)</f>
        <v>0</v>
      </c>
      <c r="N1976">
        <f>IFERROR(IF(VLOOKUP(calendar[[#This Row],[Date]],BH!E:E,1,)&lt;&gt;"",1,0),0)</f>
        <v>0</v>
      </c>
      <c r="O1976">
        <f>IFERROR(IF(VLOOKUP(calendar[[#This Row],[Date]],BH!G:G,1,)&lt;&gt;"",1,0),0)</f>
        <v>0</v>
      </c>
      <c r="P1976">
        <f>IF(OR(calendar[[#This Row],[UK_BH]]=1,calendar[[#This Row],[WeekDay]]=1, calendar[[#This Row],[WeekDay]]=7),P1975,P1975+1)</f>
        <v>1410</v>
      </c>
      <c r="Q1976">
        <f>IF(OR(calendar[[#This Row],[FR_BH]]=1,calendar[[#This Row],[WeekDay]]=1, calendar[[#This Row],[WeekDay]]=7),P1975,P1975+1)</f>
        <v>1410</v>
      </c>
      <c r="R1976">
        <f>IF(OR(calendar[[#This Row],[SP_BH]]=1,calendar[[#This Row],[WeekDay]]=1, calendar[[#This Row],[WeekDay]]=7),P1975,P1975+1)</f>
        <v>1410</v>
      </c>
      <c r="S1976">
        <f>IF(OR(calendar[[#This Row],[PT_BH]]=1,calendar[[#This Row],[WeekDay]]=1, calendar[[#This Row],[WeekDay]]=7),P1975,P1975+1)</f>
        <v>1410</v>
      </c>
    </row>
    <row r="1977" spans="1:19" x14ac:dyDescent="0.25">
      <c r="A1977" s="2">
        <v>44711</v>
      </c>
      <c r="B1977" s="1">
        <f t="shared" si="153"/>
        <v>23</v>
      </c>
      <c r="C1977">
        <f t="shared" si="155"/>
        <v>5</v>
      </c>
      <c r="D1977" t="str">
        <f t="shared" si="156"/>
        <v>May</v>
      </c>
      <c r="E1977">
        <f t="shared" si="157"/>
        <v>2022</v>
      </c>
      <c r="F1977" t="str">
        <f>CONCATENATE(calendar[[#This Row],[Month]],"/",calendar[[#This Row],[Year]])</f>
        <v>5/2022</v>
      </c>
      <c r="G1977">
        <f>WEEKDAY(calendar[[#This Row],[Date]],1)</f>
        <v>2</v>
      </c>
      <c r="H1977" t="str">
        <f>TEXT(calendar[[#This Row],[WeekDay]],"dddd")</f>
        <v>Monday</v>
      </c>
      <c r="I1977">
        <f>IF((INT(calendar[[#This Row],[Count]]/7)-calendar[[#This Row],[Count]]/7)&lt;0,I1976,I1976+1)</f>
        <v>283</v>
      </c>
      <c r="J1977">
        <f t="shared" si="154"/>
        <v>1975</v>
      </c>
      <c r="K1977">
        <f>IF(calendar[[#This Row],[Month]]&lt;4,1,IF(calendar[[#This Row],[Month]]&lt;7,2,IF(calendar[[#This Row],[Month]]&lt;10,3,4)))</f>
        <v>2</v>
      </c>
      <c r="L1977">
        <f>IFERROR(IF(VLOOKUP(calendar[[#This Row],[Date]],BH!A:A,1,)&lt;&gt;"",1,0),0)</f>
        <v>0</v>
      </c>
      <c r="M1977">
        <f>IFERROR(IF(VLOOKUP(calendar[[#This Row],[Date]],BH!C:C,1,)&lt;&gt;"",1,0),0)</f>
        <v>0</v>
      </c>
      <c r="N1977">
        <f>IFERROR(IF(VLOOKUP(calendar[[#This Row],[Date]],BH!E:E,1,)&lt;&gt;"",1,0),0)</f>
        <v>0</v>
      </c>
      <c r="O1977">
        <f>IFERROR(IF(VLOOKUP(calendar[[#This Row],[Date]],BH!G:G,1,)&lt;&gt;"",1,0),0)</f>
        <v>0</v>
      </c>
      <c r="P1977">
        <f>IF(OR(calendar[[#This Row],[UK_BH]]=1,calendar[[#This Row],[WeekDay]]=1, calendar[[#This Row],[WeekDay]]=7),P1976,P1976+1)</f>
        <v>1411</v>
      </c>
      <c r="Q1977">
        <f>IF(OR(calendar[[#This Row],[FR_BH]]=1,calendar[[#This Row],[WeekDay]]=1, calendar[[#This Row],[WeekDay]]=7),P1976,P1976+1)</f>
        <v>1411</v>
      </c>
      <c r="R1977">
        <f>IF(OR(calendar[[#This Row],[SP_BH]]=1,calendar[[#This Row],[WeekDay]]=1, calendar[[#This Row],[WeekDay]]=7),P1976,P1976+1)</f>
        <v>1411</v>
      </c>
      <c r="S1977">
        <f>IF(OR(calendar[[#This Row],[PT_BH]]=1,calendar[[#This Row],[WeekDay]]=1, calendar[[#This Row],[WeekDay]]=7),P1976,P1976+1)</f>
        <v>1411</v>
      </c>
    </row>
    <row r="1978" spans="1:19" x14ac:dyDescent="0.25">
      <c r="A1978" s="2">
        <v>44712</v>
      </c>
      <c r="B1978" s="1">
        <f t="shared" si="153"/>
        <v>23</v>
      </c>
      <c r="C1978">
        <f t="shared" si="155"/>
        <v>5</v>
      </c>
      <c r="D1978" t="str">
        <f t="shared" si="156"/>
        <v>May</v>
      </c>
      <c r="E1978">
        <f t="shared" si="157"/>
        <v>2022</v>
      </c>
      <c r="F1978" t="str">
        <f>CONCATENATE(calendar[[#This Row],[Month]],"/",calendar[[#This Row],[Year]])</f>
        <v>5/2022</v>
      </c>
      <c r="G1978">
        <f>WEEKDAY(calendar[[#This Row],[Date]],1)</f>
        <v>3</v>
      </c>
      <c r="H1978" t="str">
        <f>TEXT(calendar[[#This Row],[WeekDay]],"dddd")</f>
        <v>Tuesday</v>
      </c>
      <c r="I1978">
        <f>IF((INT(calendar[[#This Row],[Count]]/7)-calendar[[#This Row],[Count]]/7)&lt;0,I1977,I1977+1)</f>
        <v>283</v>
      </c>
      <c r="J1978">
        <f t="shared" si="154"/>
        <v>1976</v>
      </c>
      <c r="K1978">
        <f>IF(calendar[[#This Row],[Month]]&lt;4,1,IF(calendar[[#This Row],[Month]]&lt;7,2,IF(calendar[[#This Row],[Month]]&lt;10,3,4)))</f>
        <v>2</v>
      </c>
      <c r="L1978">
        <f>IFERROR(IF(VLOOKUP(calendar[[#This Row],[Date]],BH!A:A,1,)&lt;&gt;"",1,0),0)</f>
        <v>0</v>
      </c>
      <c r="M1978">
        <f>IFERROR(IF(VLOOKUP(calendar[[#This Row],[Date]],BH!C:C,1,)&lt;&gt;"",1,0),0)</f>
        <v>0</v>
      </c>
      <c r="N1978">
        <f>IFERROR(IF(VLOOKUP(calendar[[#This Row],[Date]],BH!E:E,1,)&lt;&gt;"",1,0),0)</f>
        <v>0</v>
      </c>
      <c r="O1978">
        <f>IFERROR(IF(VLOOKUP(calendar[[#This Row],[Date]],BH!G:G,1,)&lt;&gt;"",1,0),0)</f>
        <v>0</v>
      </c>
      <c r="P1978">
        <f>IF(OR(calendar[[#This Row],[UK_BH]]=1,calendar[[#This Row],[WeekDay]]=1, calendar[[#This Row],[WeekDay]]=7),P1977,P1977+1)</f>
        <v>1412</v>
      </c>
      <c r="Q1978">
        <f>IF(OR(calendar[[#This Row],[FR_BH]]=1,calendar[[#This Row],[WeekDay]]=1, calendar[[#This Row],[WeekDay]]=7),P1977,P1977+1)</f>
        <v>1412</v>
      </c>
      <c r="R1978">
        <f>IF(OR(calendar[[#This Row],[SP_BH]]=1,calendar[[#This Row],[WeekDay]]=1, calendar[[#This Row],[WeekDay]]=7),P1977,P1977+1)</f>
        <v>1412</v>
      </c>
      <c r="S1978">
        <f>IF(OR(calendar[[#This Row],[PT_BH]]=1,calendar[[#This Row],[WeekDay]]=1, calendar[[#This Row],[WeekDay]]=7),P1977,P1977+1)</f>
        <v>1412</v>
      </c>
    </row>
    <row r="1979" spans="1:19" x14ac:dyDescent="0.25">
      <c r="A1979" s="2">
        <v>44713</v>
      </c>
      <c r="B1979" s="1">
        <f t="shared" si="153"/>
        <v>23</v>
      </c>
      <c r="C1979">
        <f t="shared" si="155"/>
        <v>6</v>
      </c>
      <c r="D1979" t="str">
        <f t="shared" si="156"/>
        <v>June</v>
      </c>
      <c r="E1979">
        <f t="shared" si="157"/>
        <v>2022</v>
      </c>
      <c r="F1979" t="str">
        <f>CONCATENATE(calendar[[#This Row],[Month]],"/",calendar[[#This Row],[Year]])</f>
        <v>6/2022</v>
      </c>
      <c r="G1979">
        <f>WEEKDAY(calendar[[#This Row],[Date]],1)</f>
        <v>4</v>
      </c>
      <c r="H1979" t="str">
        <f>TEXT(calendar[[#This Row],[WeekDay]],"dddd")</f>
        <v>Wednesday</v>
      </c>
      <c r="I1979">
        <f>IF((INT(calendar[[#This Row],[Count]]/7)-calendar[[#This Row],[Count]]/7)&lt;0,I1978,I1978+1)</f>
        <v>283</v>
      </c>
      <c r="J1979">
        <f t="shared" si="154"/>
        <v>1977</v>
      </c>
      <c r="K1979">
        <f>IF(calendar[[#This Row],[Month]]&lt;4,1,IF(calendar[[#This Row],[Month]]&lt;7,2,IF(calendar[[#This Row],[Month]]&lt;10,3,4)))</f>
        <v>2</v>
      </c>
      <c r="L1979">
        <f>IFERROR(IF(VLOOKUP(calendar[[#This Row],[Date]],BH!A:A,1,)&lt;&gt;"",1,0),0)</f>
        <v>0</v>
      </c>
      <c r="M1979">
        <f>IFERROR(IF(VLOOKUP(calendar[[#This Row],[Date]],BH!C:C,1,)&lt;&gt;"",1,0),0)</f>
        <v>0</v>
      </c>
      <c r="N1979">
        <f>IFERROR(IF(VLOOKUP(calendar[[#This Row],[Date]],BH!E:E,1,)&lt;&gt;"",1,0),0)</f>
        <v>0</v>
      </c>
      <c r="O1979">
        <f>IFERROR(IF(VLOOKUP(calendar[[#This Row],[Date]],BH!G:G,1,)&lt;&gt;"",1,0),0)</f>
        <v>0</v>
      </c>
      <c r="P1979">
        <f>IF(OR(calendar[[#This Row],[UK_BH]]=1,calendar[[#This Row],[WeekDay]]=1, calendar[[#This Row],[WeekDay]]=7),P1978,P1978+1)</f>
        <v>1413</v>
      </c>
      <c r="Q1979">
        <f>IF(OR(calendar[[#This Row],[FR_BH]]=1,calendar[[#This Row],[WeekDay]]=1, calendar[[#This Row],[WeekDay]]=7),P1978,P1978+1)</f>
        <v>1413</v>
      </c>
      <c r="R1979">
        <f>IF(OR(calendar[[#This Row],[SP_BH]]=1,calendar[[#This Row],[WeekDay]]=1, calendar[[#This Row],[WeekDay]]=7),P1978,P1978+1)</f>
        <v>1413</v>
      </c>
      <c r="S1979">
        <f>IF(OR(calendar[[#This Row],[PT_BH]]=1,calendar[[#This Row],[WeekDay]]=1, calendar[[#This Row],[WeekDay]]=7),P1978,P1978+1)</f>
        <v>1413</v>
      </c>
    </row>
    <row r="1980" spans="1:19" x14ac:dyDescent="0.25">
      <c r="A1980" s="2">
        <v>44714</v>
      </c>
      <c r="B1980" s="1">
        <f t="shared" si="153"/>
        <v>23</v>
      </c>
      <c r="C1980">
        <f t="shared" si="155"/>
        <v>6</v>
      </c>
      <c r="D1980" t="str">
        <f t="shared" si="156"/>
        <v>June</v>
      </c>
      <c r="E1980">
        <f t="shared" si="157"/>
        <v>2022</v>
      </c>
      <c r="F1980" t="str">
        <f>CONCATENATE(calendar[[#This Row],[Month]],"/",calendar[[#This Row],[Year]])</f>
        <v>6/2022</v>
      </c>
      <c r="G1980">
        <f>WEEKDAY(calendar[[#This Row],[Date]],1)</f>
        <v>5</v>
      </c>
      <c r="H1980" t="str">
        <f>TEXT(calendar[[#This Row],[WeekDay]],"dddd")</f>
        <v>Thursday</v>
      </c>
      <c r="I1980">
        <f>IF((INT(calendar[[#This Row],[Count]]/7)-calendar[[#This Row],[Count]]/7)&lt;0,I1979,I1979+1)</f>
        <v>283</v>
      </c>
      <c r="J1980">
        <f t="shared" si="154"/>
        <v>1978</v>
      </c>
      <c r="K1980">
        <f>IF(calendar[[#This Row],[Month]]&lt;4,1,IF(calendar[[#This Row],[Month]]&lt;7,2,IF(calendar[[#This Row],[Month]]&lt;10,3,4)))</f>
        <v>2</v>
      </c>
      <c r="L1980">
        <f>IFERROR(IF(VLOOKUP(calendar[[#This Row],[Date]],BH!A:A,1,)&lt;&gt;"",1,0),0)</f>
        <v>0</v>
      </c>
      <c r="M1980">
        <f>IFERROR(IF(VLOOKUP(calendar[[#This Row],[Date]],BH!C:C,1,)&lt;&gt;"",1,0),0)</f>
        <v>0</v>
      </c>
      <c r="N1980">
        <f>IFERROR(IF(VLOOKUP(calendar[[#This Row],[Date]],BH!E:E,1,)&lt;&gt;"",1,0),0)</f>
        <v>0</v>
      </c>
      <c r="O1980">
        <f>IFERROR(IF(VLOOKUP(calendar[[#This Row],[Date]],BH!G:G,1,)&lt;&gt;"",1,0),0)</f>
        <v>0</v>
      </c>
      <c r="P1980">
        <f>IF(OR(calendar[[#This Row],[UK_BH]]=1,calendar[[#This Row],[WeekDay]]=1, calendar[[#This Row],[WeekDay]]=7),P1979,P1979+1)</f>
        <v>1414</v>
      </c>
      <c r="Q1980">
        <f>IF(OR(calendar[[#This Row],[FR_BH]]=1,calendar[[#This Row],[WeekDay]]=1, calendar[[#This Row],[WeekDay]]=7),P1979,P1979+1)</f>
        <v>1414</v>
      </c>
      <c r="R1980">
        <f>IF(OR(calendar[[#This Row],[SP_BH]]=1,calendar[[#This Row],[WeekDay]]=1, calendar[[#This Row],[WeekDay]]=7),P1979,P1979+1)</f>
        <v>1414</v>
      </c>
      <c r="S1980">
        <f>IF(OR(calendar[[#This Row],[PT_BH]]=1,calendar[[#This Row],[WeekDay]]=1, calendar[[#This Row],[WeekDay]]=7),P1979,P1979+1)</f>
        <v>1414</v>
      </c>
    </row>
    <row r="1981" spans="1:19" x14ac:dyDescent="0.25">
      <c r="A1981" s="2">
        <v>44715</v>
      </c>
      <c r="B1981" s="1">
        <f t="shared" si="153"/>
        <v>23</v>
      </c>
      <c r="C1981">
        <f t="shared" si="155"/>
        <v>6</v>
      </c>
      <c r="D1981" t="str">
        <f t="shared" si="156"/>
        <v>June</v>
      </c>
      <c r="E1981">
        <f t="shared" si="157"/>
        <v>2022</v>
      </c>
      <c r="F1981" t="str">
        <f>CONCATENATE(calendar[[#This Row],[Month]],"/",calendar[[#This Row],[Year]])</f>
        <v>6/2022</v>
      </c>
      <c r="G1981">
        <f>WEEKDAY(calendar[[#This Row],[Date]],1)</f>
        <v>6</v>
      </c>
      <c r="H1981" t="str">
        <f>TEXT(calendar[[#This Row],[WeekDay]],"dddd")</f>
        <v>Friday</v>
      </c>
      <c r="I1981">
        <f>IF((INT(calendar[[#This Row],[Count]]/7)-calendar[[#This Row],[Count]]/7)&lt;0,I1980,I1980+1)</f>
        <v>283</v>
      </c>
      <c r="J1981">
        <f t="shared" si="154"/>
        <v>1979</v>
      </c>
      <c r="K1981">
        <f>IF(calendar[[#This Row],[Month]]&lt;4,1,IF(calendar[[#This Row],[Month]]&lt;7,2,IF(calendar[[#This Row],[Month]]&lt;10,3,4)))</f>
        <v>2</v>
      </c>
      <c r="L1981">
        <f>IFERROR(IF(VLOOKUP(calendar[[#This Row],[Date]],BH!A:A,1,)&lt;&gt;"",1,0),0)</f>
        <v>0</v>
      </c>
      <c r="M1981">
        <f>IFERROR(IF(VLOOKUP(calendar[[#This Row],[Date]],BH!C:C,1,)&lt;&gt;"",1,0),0)</f>
        <v>0</v>
      </c>
      <c r="N1981">
        <f>IFERROR(IF(VLOOKUP(calendar[[#This Row],[Date]],BH!E:E,1,)&lt;&gt;"",1,0),0)</f>
        <v>0</v>
      </c>
      <c r="O1981">
        <f>IFERROR(IF(VLOOKUP(calendar[[#This Row],[Date]],BH!G:G,1,)&lt;&gt;"",1,0),0)</f>
        <v>0</v>
      </c>
      <c r="P1981">
        <f>IF(OR(calendar[[#This Row],[UK_BH]]=1,calendar[[#This Row],[WeekDay]]=1, calendar[[#This Row],[WeekDay]]=7),P1980,P1980+1)</f>
        <v>1415</v>
      </c>
      <c r="Q1981">
        <f>IF(OR(calendar[[#This Row],[FR_BH]]=1,calendar[[#This Row],[WeekDay]]=1, calendar[[#This Row],[WeekDay]]=7),P1980,P1980+1)</f>
        <v>1415</v>
      </c>
      <c r="R1981">
        <f>IF(OR(calendar[[#This Row],[SP_BH]]=1,calendar[[#This Row],[WeekDay]]=1, calendar[[#This Row],[WeekDay]]=7),P1980,P1980+1)</f>
        <v>1415</v>
      </c>
      <c r="S1981">
        <f>IF(OR(calendar[[#This Row],[PT_BH]]=1,calendar[[#This Row],[WeekDay]]=1, calendar[[#This Row],[WeekDay]]=7),P1980,P1980+1)</f>
        <v>1415</v>
      </c>
    </row>
    <row r="1982" spans="1:19" x14ac:dyDescent="0.25">
      <c r="A1982" s="2">
        <v>44716</v>
      </c>
      <c r="B1982" s="1">
        <f t="shared" si="153"/>
        <v>23</v>
      </c>
      <c r="C1982">
        <f t="shared" si="155"/>
        <v>6</v>
      </c>
      <c r="D1982" t="str">
        <f t="shared" si="156"/>
        <v>June</v>
      </c>
      <c r="E1982">
        <f t="shared" si="157"/>
        <v>2022</v>
      </c>
      <c r="F1982" t="str">
        <f>CONCATENATE(calendar[[#This Row],[Month]],"/",calendar[[#This Row],[Year]])</f>
        <v>6/2022</v>
      </c>
      <c r="G1982">
        <f>WEEKDAY(calendar[[#This Row],[Date]],1)</f>
        <v>7</v>
      </c>
      <c r="H1982" t="str">
        <f>TEXT(calendar[[#This Row],[WeekDay]],"dddd")</f>
        <v>Saturday</v>
      </c>
      <c r="I1982">
        <f>IF((INT(calendar[[#This Row],[Count]]/7)-calendar[[#This Row],[Count]]/7)&lt;0,I1981,I1981+1)</f>
        <v>283</v>
      </c>
      <c r="J1982">
        <f t="shared" si="154"/>
        <v>1980</v>
      </c>
      <c r="K1982">
        <f>IF(calendar[[#This Row],[Month]]&lt;4,1,IF(calendar[[#This Row],[Month]]&lt;7,2,IF(calendar[[#This Row],[Month]]&lt;10,3,4)))</f>
        <v>2</v>
      </c>
      <c r="L1982">
        <f>IFERROR(IF(VLOOKUP(calendar[[#This Row],[Date]],BH!A:A,1,)&lt;&gt;"",1,0),0)</f>
        <v>0</v>
      </c>
      <c r="M1982">
        <f>IFERROR(IF(VLOOKUP(calendar[[#This Row],[Date]],BH!C:C,1,)&lt;&gt;"",1,0),0)</f>
        <v>0</v>
      </c>
      <c r="N1982">
        <f>IFERROR(IF(VLOOKUP(calendar[[#This Row],[Date]],BH!E:E,1,)&lt;&gt;"",1,0),0)</f>
        <v>0</v>
      </c>
      <c r="O1982">
        <f>IFERROR(IF(VLOOKUP(calendar[[#This Row],[Date]],BH!G:G,1,)&lt;&gt;"",1,0),0)</f>
        <v>0</v>
      </c>
      <c r="P1982">
        <f>IF(OR(calendar[[#This Row],[UK_BH]]=1,calendar[[#This Row],[WeekDay]]=1, calendar[[#This Row],[WeekDay]]=7),P1981,P1981+1)</f>
        <v>1415</v>
      </c>
      <c r="Q1982">
        <f>IF(OR(calendar[[#This Row],[FR_BH]]=1,calendar[[#This Row],[WeekDay]]=1, calendar[[#This Row],[WeekDay]]=7),P1981,P1981+1)</f>
        <v>1415</v>
      </c>
      <c r="R1982">
        <f>IF(OR(calendar[[#This Row],[SP_BH]]=1,calendar[[#This Row],[WeekDay]]=1, calendar[[#This Row],[WeekDay]]=7),P1981,P1981+1)</f>
        <v>1415</v>
      </c>
      <c r="S1982">
        <f>IF(OR(calendar[[#This Row],[PT_BH]]=1,calendar[[#This Row],[WeekDay]]=1, calendar[[#This Row],[WeekDay]]=7),P1981,P1981+1)</f>
        <v>1415</v>
      </c>
    </row>
    <row r="1983" spans="1:19" x14ac:dyDescent="0.25">
      <c r="A1983" s="2">
        <v>44717</v>
      </c>
      <c r="B1983" s="1">
        <f t="shared" si="153"/>
        <v>24</v>
      </c>
      <c r="C1983">
        <f t="shared" si="155"/>
        <v>6</v>
      </c>
      <c r="D1983" t="str">
        <f t="shared" si="156"/>
        <v>June</v>
      </c>
      <c r="E1983">
        <f t="shared" si="157"/>
        <v>2022</v>
      </c>
      <c r="F1983" t="str">
        <f>CONCATENATE(calendar[[#This Row],[Month]],"/",calendar[[#This Row],[Year]])</f>
        <v>6/2022</v>
      </c>
      <c r="G1983">
        <f>WEEKDAY(calendar[[#This Row],[Date]],1)</f>
        <v>1</v>
      </c>
      <c r="H1983" t="str">
        <f>TEXT(calendar[[#This Row],[WeekDay]],"dddd")</f>
        <v>Sunday</v>
      </c>
      <c r="I1983">
        <f>IF((INT(calendar[[#This Row],[Count]]/7)-calendar[[#This Row],[Count]]/7)&lt;0,I1982,I1982+1)</f>
        <v>284</v>
      </c>
      <c r="J1983">
        <f t="shared" si="154"/>
        <v>1981</v>
      </c>
      <c r="K1983">
        <f>IF(calendar[[#This Row],[Month]]&lt;4,1,IF(calendar[[#This Row],[Month]]&lt;7,2,IF(calendar[[#This Row],[Month]]&lt;10,3,4)))</f>
        <v>2</v>
      </c>
      <c r="L1983">
        <f>IFERROR(IF(VLOOKUP(calendar[[#This Row],[Date]],BH!A:A,1,)&lt;&gt;"",1,0),0)</f>
        <v>0</v>
      </c>
      <c r="M1983">
        <f>IFERROR(IF(VLOOKUP(calendar[[#This Row],[Date]],BH!C:C,1,)&lt;&gt;"",1,0),0)</f>
        <v>0</v>
      </c>
      <c r="N1983">
        <f>IFERROR(IF(VLOOKUP(calendar[[#This Row],[Date]],BH!E:E,1,)&lt;&gt;"",1,0),0)</f>
        <v>0</v>
      </c>
      <c r="O1983">
        <f>IFERROR(IF(VLOOKUP(calendar[[#This Row],[Date]],BH!G:G,1,)&lt;&gt;"",1,0),0)</f>
        <v>0</v>
      </c>
      <c r="P1983">
        <f>IF(OR(calendar[[#This Row],[UK_BH]]=1,calendar[[#This Row],[WeekDay]]=1, calendar[[#This Row],[WeekDay]]=7),P1982,P1982+1)</f>
        <v>1415</v>
      </c>
      <c r="Q1983">
        <f>IF(OR(calendar[[#This Row],[FR_BH]]=1,calendar[[#This Row],[WeekDay]]=1, calendar[[#This Row],[WeekDay]]=7),P1982,P1982+1)</f>
        <v>1415</v>
      </c>
      <c r="R1983">
        <f>IF(OR(calendar[[#This Row],[SP_BH]]=1,calendar[[#This Row],[WeekDay]]=1, calendar[[#This Row],[WeekDay]]=7),P1982,P1982+1)</f>
        <v>1415</v>
      </c>
      <c r="S1983">
        <f>IF(OR(calendar[[#This Row],[PT_BH]]=1,calendar[[#This Row],[WeekDay]]=1, calendar[[#This Row],[WeekDay]]=7),P1982,P1982+1)</f>
        <v>1415</v>
      </c>
    </row>
    <row r="1984" spans="1:19" x14ac:dyDescent="0.25">
      <c r="A1984" s="2">
        <v>44718</v>
      </c>
      <c r="B1984" s="1">
        <f t="shared" si="153"/>
        <v>24</v>
      </c>
      <c r="C1984">
        <f t="shared" si="155"/>
        <v>6</v>
      </c>
      <c r="D1984" t="str">
        <f t="shared" si="156"/>
        <v>June</v>
      </c>
      <c r="E1984">
        <f t="shared" si="157"/>
        <v>2022</v>
      </c>
      <c r="F1984" t="str">
        <f>CONCATENATE(calendar[[#This Row],[Month]],"/",calendar[[#This Row],[Year]])</f>
        <v>6/2022</v>
      </c>
      <c r="G1984">
        <f>WEEKDAY(calendar[[#This Row],[Date]],1)</f>
        <v>2</v>
      </c>
      <c r="H1984" t="str">
        <f>TEXT(calendar[[#This Row],[WeekDay]],"dddd")</f>
        <v>Monday</v>
      </c>
      <c r="I1984">
        <f>IF((INT(calendar[[#This Row],[Count]]/7)-calendar[[#This Row],[Count]]/7)&lt;0,I1983,I1983+1)</f>
        <v>284</v>
      </c>
      <c r="J1984">
        <f t="shared" si="154"/>
        <v>1982</v>
      </c>
      <c r="K1984">
        <f>IF(calendar[[#This Row],[Month]]&lt;4,1,IF(calendar[[#This Row],[Month]]&lt;7,2,IF(calendar[[#This Row],[Month]]&lt;10,3,4)))</f>
        <v>2</v>
      </c>
      <c r="L1984">
        <f>IFERROR(IF(VLOOKUP(calendar[[#This Row],[Date]],BH!A:A,1,)&lt;&gt;"",1,0),0)</f>
        <v>0</v>
      </c>
      <c r="M1984">
        <f>IFERROR(IF(VLOOKUP(calendar[[#This Row],[Date]],BH!C:C,1,)&lt;&gt;"",1,0),0)</f>
        <v>0</v>
      </c>
      <c r="N1984">
        <f>IFERROR(IF(VLOOKUP(calendar[[#This Row],[Date]],BH!E:E,1,)&lt;&gt;"",1,0),0)</f>
        <v>0</v>
      </c>
      <c r="O1984">
        <f>IFERROR(IF(VLOOKUP(calendar[[#This Row],[Date]],BH!G:G,1,)&lt;&gt;"",1,0),0)</f>
        <v>0</v>
      </c>
      <c r="P1984">
        <f>IF(OR(calendar[[#This Row],[UK_BH]]=1,calendar[[#This Row],[WeekDay]]=1, calendar[[#This Row],[WeekDay]]=7),P1983,P1983+1)</f>
        <v>1416</v>
      </c>
      <c r="Q1984">
        <f>IF(OR(calendar[[#This Row],[FR_BH]]=1,calendar[[#This Row],[WeekDay]]=1, calendar[[#This Row],[WeekDay]]=7),P1983,P1983+1)</f>
        <v>1416</v>
      </c>
      <c r="R1984">
        <f>IF(OR(calendar[[#This Row],[SP_BH]]=1,calendar[[#This Row],[WeekDay]]=1, calendar[[#This Row],[WeekDay]]=7),P1983,P1983+1)</f>
        <v>1416</v>
      </c>
      <c r="S1984">
        <f>IF(OR(calendar[[#This Row],[PT_BH]]=1,calendar[[#This Row],[WeekDay]]=1, calendar[[#This Row],[WeekDay]]=7),P1983,P1983+1)</f>
        <v>1416</v>
      </c>
    </row>
    <row r="1985" spans="1:19" x14ac:dyDescent="0.25">
      <c r="A1985" s="2">
        <v>44719</v>
      </c>
      <c r="B1985" s="1">
        <f t="shared" si="153"/>
        <v>24</v>
      </c>
      <c r="C1985">
        <f t="shared" si="155"/>
        <v>6</v>
      </c>
      <c r="D1985" t="str">
        <f t="shared" si="156"/>
        <v>June</v>
      </c>
      <c r="E1985">
        <f t="shared" si="157"/>
        <v>2022</v>
      </c>
      <c r="F1985" t="str">
        <f>CONCATENATE(calendar[[#This Row],[Month]],"/",calendar[[#This Row],[Year]])</f>
        <v>6/2022</v>
      </c>
      <c r="G1985">
        <f>WEEKDAY(calendar[[#This Row],[Date]],1)</f>
        <v>3</v>
      </c>
      <c r="H1985" t="str">
        <f>TEXT(calendar[[#This Row],[WeekDay]],"dddd")</f>
        <v>Tuesday</v>
      </c>
      <c r="I1985">
        <f>IF((INT(calendar[[#This Row],[Count]]/7)-calendar[[#This Row],[Count]]/7)&lt;0,I1984,I1984+1)</f>
        <v>284</v>
      </c>
      <c r="J1985">
        <f t="shared" si="154"/>
        <v>1983</v>
      </c>
      <c r="K1985">
        <f>IF(calendar[[#This Row],[Month]]&lt;4,1,IF(calendar[[#This Row],[Month]]&lt;7,2,IF(calendar[[#This Row],[Month]]&lt;10,3,4)))</f>
        <v>2</v>
      </c>
      <c r="L1985">
        <f>IFERROR(IF(VLOOKUP(calendar[[#This Row],[Date]],BH!A:A,1,)&lt;&gt;"",1,0),0)</f>
        <v>0</v>
      </c>
      <c r="M1985">
        <f>IFERROR(IF(VLOOKUP(calendar[[#This Row],[Date]],BH!C:C,1,)&lt;&gt;"",1,0),0)</f>
        <v>0</v>
      </c>
      <c r="N1985">
        <f>IFERROR(IF(VLOOKUP(calendar[[#This Row],[Date]],BH!E:E,1,)&lt;&gt;"",1,0),0)</f>
        <v>0</v>
      </c>
      <c r="O1985">
        <f>IFERROR(IF(VLOOKUP(calendar[[#This Row],[Date]],BH!G:G,1,)&lt;&gt;"",1,0),0)</f>
        <v>0</v>
      </c>
      <c r="P1985">
        <f>IF(OR(calendar[[#This Row],[UK_BH]]=1,calendar[[#This Row],[WeekDay]]=1, calendar[[#This Row],[WeekDay]]=7),P1984,P1984+1)</f>
        <v>1417</v>
      </c>
      <c r="Q1985">
        <f>IF(OR(calendar[[#This Row],[FR_BH]]=1,calendar[[#This Row],[WeekDay]]=1, calendar[[#This Row],[WeekDay]]=7),P1984,P1984+1)</f>
        <v>1417</v>
      </c>
      <c r="R1985">
        <f>IF(OR(calendar[[#This Row],[SP_BH]]=1,calendar[[#This Row],[WeekDay]]=1, calendar[[#This Row],[WeekDay]]=7),P1984,P1984+1)</f>
        <v>1417</v>
      </c>
      <c r="S1985">
        <f>IF(OR(calendar[[#This Row],[PT_BH]]=1,calendar[[#This Row],[WeekDay]]=1, calendar[[#This Row],[WeekDay]]=7),P1984,P1984+1)</f>
        <v>1417</v>
      </c>
    </row>
    <row r="1986" spans="1:19" x14ac:dyDescent="0.25">
      <c r="A1986" s="2">
        <v>44720</v>
      </c>
      <c r="B1986" s="1">
        <f t="shared" ref="B1986:B2049" si="158">WEEKNUM(A1986)</f>
        <v>24</v>
      </c>
      <c r="C1986">
        <f t="shared" si="155"/>
        <v>6</v>
      </c>
      <c r="D1986" t="str">
        <f t="shared" si="156"/>
        <v>June</v>
      </c>
      <c r="E1986">
        <f t="shared" si="157"/>
        <v>2022</v>
      </c>
      <c r="F1986" t="str">
        <f>CONCATENATE(calendar[[#This Row],[Month]],"/",calendar[[#This Row],[Year]])</f>
        <v>6/2022</v>
      </c>
      <c r="G1986">
        <f>WEEKDAY(calendar[[#This Row],[Date]],1)</f>
        <v>4</v>
      </c>
      <c r="H1986" t="str">
        <f>TEXT(calendar[[#This Row],[WeekDay]],"dddd")</f>
        <v>Wednesday</v>
      </c>
      <c r="I1986">
        <f>IF((INT(calendar[[#This Row],[Count]]/7)-calendar[[#This Row],[Count]]/7)&lt;0,I1985,I1985+1)</f>
        <v>284</v>
      </c>
      <c r="J1986">
        <f t="shared" si="154"/>
        <v>1984</v>
      </c>
      <c r="K1986">
        <f>IF(calendar[[#This Row],[Month]]&lt;4,1,IF(calendar[[#This Row],[Month]]&lt;7,2,IF(calendar[[#This Row],[Month]]&lt;10,3,4)))</f>
        <v>2</v>
      </c>
      <c r="L1986">
        <f>IFERROR(IF(VLOOKUP(calendar[[#This Row],[Date]],BH!A:A,1,)&lt;&gt;"",1,0),0)</f>
        <v>0</v>
      </c>
      <c r="M1986">
        <f>IFERROR(IF(VLOOKUP(calendar[[#This Row],[Date]],BH!C:C,1,)&lt;&gt;"",1,0),0)</f>
        <v>0</v>
      </c>
      <c r="N1986">
        <f>IFERROR(IF(VLOOKUP(calendar[[#This Row],[Date]],BH!E:E,1,)&lt;&gt;"",1,0),0)</f>
        <v>0</v>
      </c>
      <c r="O1986">
        <f>IFERROR(IF(VLOOKUP(calendar[[#This Row],[Date]],BH!G:G,1,)&lt;&gt;"",1,0),0)</f>
        <v>0</v>
      </c>
      <c r="P1986">
        <f>IF(OR(calendar[[#This Row],[UK_BH]]=1,calendar[[#This Row],[WeekDay]]=1, calendar[[#This Row],[WeekDay]]=7),P1985,P1985+1)</f>
        <v>1418</v>
      </c>
      <c r="Q1986">
        <f>IF(OR(calendar[[#This Row],[FR_BH]]=1,calendar[[#This Row],[WeekDay]]=1, calendar[[#This Row],[WeekDay]]=7),P1985,P1985+1)</f>
        <v>1418</v>
      </c>
      <c r="R1986">
        <f>IF(OR(calendar[[#This Row],[SP_BH]]=1,calendar[[#This Row],[WeekDay]]=1, calendar[[#This Row],[WeekDay]]=7),P1985,P1985+1)</f>
        <v>1418</v>
      </c>
      <c r="S1986">
        <f>IF(OR(calendar[[#This Row],[PT_BH]]=1,calendar[[#This Row],[WeekDay]]=1, calendar[[#This Row],[WeekDay]]=7),P1985,P1985+1)</f>
        <v>1418</v>
      </c>
    </row>
    <row r="1987" spans="1:19" x14ac:dyDescent="0.25">
      <c r="A1987" s="2">
        <v>44721</v>
      </c>
      <c r="B1987" s="1">
        <f t="shared" si="158"/>
        <v>24</v>
      </c>
      <c r="C1987">
        <f t="shared" si="155"/>
        <v>6</v>
      </c>
      <c r="D1987" t="str">
        <f t="shared" si="156"/>
        <v>June</v>
      </c>
      <c r="E1987">
        <f t="shared" si="157"/>
        <v>2022</v>
      </c>
      <c r="F1987" t="str">
        <f>CONCATENATE(calendar[[#This Row],[Month]],"/",calendar[[#This Row],[Year]])</f>
        <v>6/2022</v>
      </c>
      <c r="G1987">
        <f>WEEKDAY(calendar[[#This Row],[Date]],1)</f>
        <v>5</v>
      </c>
      <c r="H1987" t="str">
        <f>TEXT(calendar[[#This Row],[WeekDay]],"dddd")</f>
        <v>Thursday</v>
      </c>
      <c r="I1987">
        <f>IF((INT(calendar[[#This Row],[Count]]/7)-calendar[[#This Row],[Count]]/7)&lt;0,I1986,I1986+1)</f>
        <v>284</v>
      </c>
      <c r="J1987">
        <f t="shared" ref="J1987:J2050" si="159">J1986+1</f>
        <v>1985</v>
      </c>
      <c r="K1987">
        <f>IF(calendar[[#This Row],[Month]]&lt;4,1,IF(calendar[[#This Row],[Month]]&lt;7,2,IF(calendar[[#This Row],[Month]]&lt;10,3,4)))</f>
        <v>2</v>
      </c>
      <c r="L1987">
        <f>IFERROR(IF(VLOOKUP(calendar[[#This Row],[Date]],BH!A:A,1,)&lt;&gt;"",1,0),0)</f>
        <v>0</v>
      </c>
      <c r="M1987">
        <f>IFERROR(IF(VLOOKUP(calendar[[#This Row],[Date]],BH!C:C,1,)&lt;&gt;"",1,0),0)</f>
        <v>0</v>
      </c>
      <c r="N1987">
        <f>IFERROR(IF(VLOOKUP(calendar[[#This Row],[Date]],BH!E:E,1,)&lt;&gt;"",1,0),0)</f>
        <v>0</v>
      </c>
      <c r="O1987">
        <f>IFERROR(IF(VLOOKUP(calendar[[#This Row],[Date]],BH!G:G,1,)&lt;&gt;"",1,0),0)</f>
        <v>0</v>
      </c>
      <c r="P1987">
        <f>IF(OR(calendar[[#This Row],[UK_BH]]=1,calendar[[#This Row],[WeekDay]]=1, calendar[[#This Row],[WeekDay]]=7),P1986,P1986+1)</f>
        <v>1419</v>
      </c>
      <c r="Q1987">
        <f>IF(OR(calendar[[#This Row],[FR_BH]]=1,calendar[[#This Row],[WeekDay]]=1, calendar[[#This Row],[WeekDay]]=7),P1986,P1986+1)</f>
        <v>1419</v>
      </c>
      <c r="R1987">
        <f>IF(OR(calendar[[#This Row],[SP_BH]]=1,calendar[[#This Row],[WeekDay]]=1, calendar[[#This Row],[WeekDay]]=7),P1986,P1986+1)</f>
        <v>1419</v>
      </c>
      <c r="S1987">
        <f>IF(OR(calendar[[#This Row],[PT_BH]]=1,calendar[[#This Row],[WeekDay]]=1, calendar[[#This Row],[WeekDay]]=7),P1986,P1986+1)</f>
        <v>1419</v>
      </c>
    </row>
    <row r="1988" spans="1:19" x14ac:dyDescent="0.25">
      <c r="A1988" s="2">
        <v>44722</v>
      </c>
      <c r="B1988" s="1">
        <f t="shared" si="158"/>
        <v>24</v>
      </c>
      <c r="C1988">
        <f t="shared" si="155"/>
        <v>6</v>
      </c>
      <c r="D1988" t="str">
        <f t="shared" si="156"/>
        <v>June</v>
      </c>
      <c r="E1988">
        <f t="shared" si="157"/>
        <v>2022</v>
      </c>
      <c r="F1988" t="str">
        <f>CONCATENATE(calendar[[#This Row],[Month]],"/",calendar[[#This Row],[Year]])</f>
        <v>6/2022</v>
      </c>
      <c r="G1988">
        <f>WEEKDAY(calendar[[#This Row],[Date]],1)</f>
        <v>6</v>
      </c>
      <c r="H1988" t="str">
        <f>TEXT(calendar[[#This Row],[WeekDay]],"dddd")</f>
        <v>Friday</v>
      </c>
      <c r="I1988">
        <f>IF((INT(calendar[[#This Row],[Count]]/7)-calendar[[#This Row],[Count]]/7)&lt;0,I1987,I1987+1)</f>
        <v>284</v>
      </c>
      <c r="J1988">
        <f t="shared" si="159"/>
        <v>1986</v>
      </c>
      <c r="K1988">
        <f>IF(calendar[[#This Row],[Month]]&lt;4,1,IF(calendar[[#This Row],[Month]]&lt;7,2,IF(calendar[[#This Row],[Month]]&lt;10,3,4)))</f>
        <v>2</v>
      </c>
      <c r="L1988">
        <f>IFERROR(IF(VLOOKUP(calendar[[#This Row],[Date]],BH!A:A,1,)&lt;&gt;"",1,0),0)</f>
        <v>0</v>
      </c>
      <c r="M1988">
        <f>IFERROR(IF(VLOOKUP(calendar[[#This Row],[Date]],BH!C:C,1,)&lt;&gt;"",1,0),0)</f>
        <v>0</v>
      </c>
      <c r="N1988">
        <f>IFERROR(IF(VLOOKUP(calendar[[#This Row],[Date]],BH!E:E,1,)&lt;&gt;"",1,0),0)</f>
        <v>0</v>
      </c>
      <c r="O1988">
        <f>IFERROR(IF(VLOOKUP(calendar[[#This Row],[Date]],BH!G:G,1,)&lt;&gt;"",1,0),0)</f>
        <v>0</v>
      </c>
      <c r="P1988">
        <f>IF(OR(calendar[[#This Row],[UK_BH]]=1,calendar[[#This Row],[WeekDay]]=1, calendar[[#This Row],[WeekDay]]=7),P1987,P1987+1)</f>
        <v>1420</v>
      </c>
      <c r="Q1988">
        <f>IF(OR(calendar[[#This Row],[FR_BH]]=1,calendar[[#This Row],[WeekDay]]=1, calendar[[#This Row],[WeekDay]]=7),P1987,P1987+1)</f>
        <v>1420</v>
      </c>
      <c r="R1988">
        <f>IF(OR(calendar[[#This Row],[SP_BH]]=1,calendar[[#This Row],[WeekDay]]=1, calendar[[#This Row],[WeekDay]]=7),P1987,P1987+1)</f>
        <v>1420</v>
      </c>
      <c r="S1988">
        <f>IF(OR(calendar[[#This Row],[PT_BH]]=1,calendar[[#This Row],[WeekDay]]=1, calendar[[#This Row],[WeekDay]]=7),P1987,P1987+1)</f>
        <v>1420</v>
      </c>
    </row>
    <row r="1989" spans="1:19" x14ac:dyDescent="0.25">
      <c r="A1989" s="2">
        <v>44723</v>
      </c>
      <c r="B1989" s="1">
        <f t="shared" si="158"/>
        <v>24</v>
      </c>
      <c r="C1989">
        <f t="shared" si="155"/>
        <v>6</v>
      </c>
      <c r="D1989" t="str">
        <f t="shared" si="156"/>
        <v>June</v>
      </c>
      <c r="E1989">
        <f t="shared" si="157"/>
        <v>2022</v>
      </c>
      <c r="F1989" t="str">
        <f>CONCATENATE(calendar[[#This Row],[Month]],"/",calendar[[#This Row],[Year]])</f>
        <v>6/2022</v>
      </c>
      <c r="G1989">
        <f>WEEKDAY(calendar[[#This Row],[Date]],1)</f>
        <v>7</v>
      </c>
      <c r="H1989" t="str">
        <f>TEXT(calendar[[#This Row],[WeekDay]],"dddd")</f>
        <v>Saturday</v>
      </c>
      <c r="I1989">
        <f>IF((INT(calendar[[#This Row],[Count]]/7)-calendar[[#This Row],[Count]]/7)&lt;0,I1988,I1988+1)</f>
        <v>284</v>
      </c>
      <c r="J1989">
        <f t="shared" si="159"/>
        <v>1987</v>
      </c>
      <c r="K1989">
        <f>IF(calendar[[#This Row],[Month]]&lt;4,1,IF(calendar[[#This Row],[Month]]&lt;7,2,IF(calendar[[#This Row],[Month]]&lt;10,3,4)))</f>
        <v>2</v>
      </c>
      <c r="L1989">
        <f>IFERROR(IF(VLOOKUP(calendar[[#This Row],[Date]],BH!A:A,1,)&lt;&gt;"",1,0),0)</f>
        <v>0</v>
      </c>
      <c r="M1989">
        <f>IFERROR(IF(VLOOKUP(calendar[[#This Row],[Date]],BH!C:C,1,)&lt;&gt;"",1,0),0)</f>
        <v>0</v>
      </c>
      <c r="N1989">
        <f>IFERROR(IF(VLOOKUP(calendar[[#This Row],[Date]],BH!E:E,1,)&lt;&gt;"",1,0),0)</f>
        <v>0</v>
      </c>
      <c r="O1989">
        <f>IFERROR(IF(VLOOKUP(calendar[[#This Row],[Date]],BH!G:G,1,)&lt;&gt;"",1,0),0)</f>
        <v>0</v>
      </c>
      <c r="P1989">
        <f>IF(OR(calendar[[#This Row],[UK_BH]]=1,calendar[[#This Row],[WeekDay]]=1, calendar[[#This Row],[WeekDay]]=7),P1988,P1988+1)</f>
        <v>1420</v>
      </c>
      <c r="Q1989">
        <f>IF(OR(calendar[[#This Row],[FR_BH]]=1,calendar[[#This Row],[WeekDay]]=1, calendar[[#This Row],[WeekDay]]=7),P1988,P1988+1)</f>
        <v>1420</v>
      </c>
      <c r="R1989">
        <f>IF(OR(calendar[[#This Row],[SP_BH]]=1,calendar[[#This Row],[WeekDay]]=1, calendar[[#This Row],[WeekDay]]=7),P1988,P1988+1)</f>
        <v>1420</v>
      </c>
      <c r="S1989">
        <f>IF(OR(calendar[[#This Row],[PT_BH]]=1,calendar[[#This Row],[WeekDay]]=1, calendar[[#This Row],[WeekDay]]=7),P1988,P1988+1)</f>
        <v>1420</v>
      </c>
    </row>
    <row r="1990" spans="1:19" x14ac:dyDescent="0.25">
      <c r="A1990" s="2">
        <v>44724</v>
      </c>
      <c r="B1990" s="1">
        <f t="shared" si="158"/>
        <v>25</v>
      </c>
      <c r="C1990">
        <f t="shared" si="155"/>
        <v>6</v>
      </c>
      <c r="D1990" t="str">
        <f t="shared" si="156"/>
        <v>June</v>
      </c>
      <c r="E1990">
        <f t="shared" si="157"/>
        <v>2022</v>
      </c>
      <c r="F1990" t="str">
        <f>CONCATENATE(calendar[[#This Row],[Month]],"/",calendar[[#This Row],[Year]])</f>
        <v>6/2022</v>
      </c>
      <c r="G1990">
        <f>WEEKDAY(calendar[[#This Row],[Date]],1)</f>
        <v>1</v>
      </c>
      <c r="H1990" t="str">
        <f>TEXT(calendar[[#This Row],[WeekDay]],"dddd")</f>
        <v>Sunday</v>
      </c>
      <c r="I1990">
        <f>IF((INT(calendar[[#This Row],[Count]]/7)-calendar[[#This Row],[Count]]/7)&lt;0,I1989,I1989+1)</f>
        <v>285</v>
      </c>
      <c r="J1990">
        <f t="shared" si="159"/>
        <v>1988</v>
      </c>
      <c r="K1990">
        <f>IF(calendar[[#This Row],[Month]]&lt;4,1,IF(calendar[[#This Row],[Month]]&lt;7,2,IF(calendar[[#This Row],[Month]]&lt;10,3,4)))</f>
        <v>2</v>
      </c>
      <c r="L1990">
        <f>IFERROR(IF(VLOOKUP(calendar[[#This Row],[Date]],BH!A:A,1,)&lt;&gt;"",1,0),0)</f>
        <v>0</v>
      </c>
      <c r="M1990">
        <f>IFERROR(IF(VLOOKUP(calendar[[#This Row],[Date]],BH!C:C,1,)&lt;&gt;"",1,0),0)</f>
        <v>0</v>
      </c>
      <c r="N1990">
        <f>IFERROR(IF(VLOOKUP(calendar[[#This Row],[Date]],BH!E:E,1,)&lt;&gt;"",1,0),0)</f>
        <v>0</v>
      </c>
      <c r="O1990">
        <f>IFERROR(IF(VLOOKUP(calendar[[#This Row],[Date]],BH!G:G,1,)&lt;&gt;"",1,0),0)</f>
        <v>0</v>
      </c>
      <c r="P1990">
        <f>IF(OR(calendar[[#This Row],[UK_BH]]=1,calendar[[#This Row],[WeekDay]]=1, calendar[[#This Row],[WeekDay]]=7),P1989,P1989+1)</f>
        <v>1420</v>
      </c>
      <c r="Q1990">
        <f>IF(OR(calendar[[#This Row],[FR_BH]]=1,calendar[[#This Row],[WeekDay]]=1, calendar[[#This Row],[WeekDay]]=7),P1989,P1989+1)</f>
        <v>1420</v>
      </c>
      <c r="R1990">
        <f>IF(OR(calendar[[#This Row],[SP_BH]]=1,calendar[[#This Row],[WeekDay]]=1, calendar[[#This Row],[WeekDay]]=7),P1989,P1989+1)</f>
        <v>1420</v>
      </c>
      <c r="S1990">
        <f>IF(OR(calendar[[#This Row],[PT_BH]]=1,calendar[[#This Row],[WeekDay]]=1, calendar[[#This Row],[WeekDay]]=7),P1989,P1989+1)</f>
        <v>1420</v>
      </c>
    </row>
    <row r="1991" spans="1:19" x14ac:dyDescent="0.25">
      <c r="A1991" s="2">
        <v>44725</v>
      </c>
      <c r="B1991" s="1">
        <f t="shared" si="158"/>
        <v>25</v>
      </c>
      <c r="C1991">
        <f t="shared" si="155"/>
        <v>6</v>
      </c>
      <c r="D1991" t="str">
        <f t="shared" si="156"/>
        <v>June</v>
      </c>
      <c r="E1991">
        <f t="shared" si="157"/>
        <v>2022</v>
      </c>
      <c r="F1991" t="str">
        <f>CONCATENATE(calendar[[#This Row],[Month]],"/",calendar[[#This Row],[Year]])</f>
        <v>6/2022</v>
      </c>
      <c r="G1991">
        <f>WEEKDAY(calendar[[#This Row],[Date]],1)</f>
        <v>2</v>
      </c>
      <c r="H1991" t="str">
        <f>TEXT(calendar[[#This Row],[WeekDay]],"dddd")</f>
        <v>Monday</v>
      </c>
      <c r="I1991">
        <f>IF((INT(calendar[[#This Row],[Count]]/7)-calendar[[#This Row],[Count]]/7)&lt;0,I1990,I1990+1)</f>
        <v>285</v>
      </c>
      <c r="J1991">
        <f t="shared" si="159"/>
        <v>1989</v>
      </c>
      <c r="K1991">
        <f>IF(calendar[[#This Row],[Month]]&lt;4,1,IF(calendar[[#This Row],[Month]]&lt;7,2,IF(calendar[[#This Row],[Month]]&lt;10,3,4)))</f>
        <v>2</v>
      </c>
      <c r="L1991">
        <f>IFERROR(IF(VLOOKUP(calendar[[#This Row],[Date]],BH!A:A,1,)&lt;&gt;"",1,0),0)</f>
        <v>0</v>
      </c>
      <c r="M1991">
        <f>IFERROR(IF(VLOOKUP(calendar[[#This Row],[Date]],BH!C:C,1,)&lt;&gt;"",1,0),0)</f>
        <v>0</v>
      </c>
      <c r="N1991">
        <f>IFERROR(IF(VLOOKUP(calendar[[#This Row],[Date]],BH!E:E,1,)&lt;&gt;"",1,0),0)</f>
        <v>0</v>
      </c>
      <c r="O1991">
        <f>IFERROR(IF(VLOOKUP(calendar[[#This Row],[Date]],BH!G:G,1,)&lt;&gt;"",1,0),0)</f>
        <v>0</v>
      </c>
      <c r="P1991">
        <f>IF(OR(calendar[[#This Row],[UK_BH]]=1,calendar[[#This Row],[WeekDay]]=1, calendar[[#This Row],[WeekDay]]=7),P1990,P1990+1)</f>
        <v>1421</v>
      </c>
      <c r="Q1991">
        <f>IF(OR(calendar[[#This Row],[FR_BH]]=1,calendar[[#This Row],[WeekDay]]=1, calendar[[#This Row],[WeekDay]]=7),P1990,P1990+1)</f>
        <v>1421</v>
      </c>
      <c r="R1991">
        <f>IF(OR(calendar[[#This Row],[SP_BH]]=1,calendar[[#This Row],[WeekDay]]=1, calendar[[#This Row],[WeekDay]]=7),P1990,P1990+1)</f>
        <v>1421</v>
      </c>
      <c r="S1991">
        <f>IF(OR(calendar[[#This Row],[PT_BH]]=1,calendar[[#This Row],[WeekDay]]=1, calendar[[#This Row],[WeekDay]]=7),P1990,P1990+1)</f>
        <v>1421</v>
      </c>
    </row>
    <row r="1992" spans="1:19" x14ac:dyDescent="0.25">
      <c r="A1992" s="2">
        <v>44726</v>
      </c>
      <c r="B1992" s="1">
        <f t="shared" si="158"/>
        <v>25</v>
      </c>
      <c r="C1992">
        <f t="shared" si="155"/>
        <v>6</v>
      </c>
      <c r="D1992" t="str">
        <f t="shared" si="156"/>
        <v>June</v>
      </c>
      <c r="E1992">
        <f t="shared" si="157"/>
        <v>2022</v>
      </c>
      <c r="F1992" t="str">
        <f>CONCATENATE(calendar[[#This Row],[Month]],"/",calendar[[#This Row],[Year]])</f>
        <v>6/2022</v>
      </c>
      <c r="G1992">
        <f>WEEKDAY(calendar[[#This Row],[Date]],1)</f>
        <v>3</v>
      </c>
      <c r="H1992" t="str">
        <f>TEXT(calendar[[#This Row],[WeekDay]],"dddd")</f>
        <v>Tuesday</v>
      </c>
      <c r="I1992">
        <f>IF((INT(calendar[[#This Row],[Count]]/7)-calendar[[#This Row],[Count]]/7)&lt;0,I1991,I1991+1)</f>
        <v>285</v>
      </c>
      <c r="J1992">
        <f t="shared" si="159"/>
        <v>1990</v>
      </c>
      <c r="K1992">
        <f>IF(calendar[[#This Row],[Month]]&lt;4,1,IF(calendar[[#This Row],[Month]]&lt;7,2,IF(calendar[[#This Row],[Month]]&lt;10,3,4)))</f>
        <v>2</v>
      </c>
      <c r="L1992">
        <f>IFERROR(IF(VLOOKUP(calendar[[#This Row],[Date]],BH!A:A,1,)&lt;&gt;"",1,0),0)</f>
        <v>0</v>
      </c>
      <c r="M1992">
        <f>IFERROR(IF(VLOOKUP(calendar[[#This Row],[Date]],BH!C:C,1,)&lt;&gt;"",1,0),0)</f>
        <v>0</v>
      </c>
      <c r="N1992">
        <f>IFERROR(IF(VLOOKUP(calendar[[#This Row],[Date]],BH!E:E,1,)&lt;&gt;"",1,0),0)</f>
        <v>0</v>
      </c>
      <c r="O1992">
        <f>IFERROR(IF(VLOOKUP(calendar[[#This Row],[Date]],BH!G:G,1,)&lt;&gt;"",1,0),0)</f>
        <v>0</v>
      </c>
      <c r="P1992">
        <f>IF(OR(calendar[[#This Row],[UK_BH]]=1,calendar[[#This Row],[WeekDay]]=1, calendar[[#This Row],[WeekDay]]=7),P1991,P1991+1)</f>
        <v>1422</v>
      </c>
      <c r="Q1992">
        <f>IF(OR(calendar[[#This Row],[FR_BH]]=1,calendar[[#This Row],[WeekDay]]=1, calendar[[#This Row],[WeekDay]]=7),P1991,P1991+1)</f>
        <v>1422</v>
      </c>
      <c r="R1992">
        <f>IF(OR(calendar[[#This Row],[SP_BH]]=1,calendar[[#This Row],[WeekDay]]=1, calendar[[#This Row],[WeekDay]]=7),P1991,P1991+1)</f>
        <v>1422</v>
      </c>
      <c r="S1992">
        <f>IF(OR(calendar[[#This Row],[PT_BH]]=1,calendar[[#This Row],[WeekDay]]=1, calendar[[#This Row],[WeekDay]]=7),P1991,P1991+1)</f>
        <v>1422</v>
      </c>
    </row>
    <row r="1993" spans="1:19" x14ac:dyDescent="0.25">
      <c r="A1993" s="2">
        <v>44727</v>
      </c>
      <c r="B1993" s="1">
        <f t="shared" si="158"/>
        <v>25</v>
      </c>
      <c r="C1993">
        <f t="shared" si="155"/>
        <v>6</v>
      </c>
      <c r="D1993" t="str">
        <f t="shared" si="156"/>
        <v>June</v>
      </c>
      <c r="E1993">
        <f t="shared" si="157"/>
        <v>2022</v>
      </c>
      <c r="F1993" t="str">
        <f>CONCATENATE(calendar[[#This Row],[Month]],"/",calendar[[#This Row],[Year]])</f>
        <v>6/2022</v>
      </c>
      <c r="G1993">
        <f>WEEKDAY(calendar[[#This Row],[Date]],1)</f>
        <v>4</v>
      </c>
      <c r="H1993" t="str">
        <f>TEXT(calendar[[#This Row],[WeekDay]],"dddd")</f>
        <v>Wednesday</v>
      </c>
      <c r="I1993">
        <f>IF((INT(calendar[[#This Row],[Count]]/7)-calendar[[#This Row],[Count]]/7)&lt;0,I1992,I1992+1)</f>
        <v>285</v>
      </c>
      <c r="J1993">
        <f t="shared" si="159"/>
        <v>1991</v>
      </c>
      <c r="K1993">
        <f>IF(calendar[[#This Row],[Month]]&lt;4,1,IF(calendar[[#This Row],[Month]]&lt;7,2,IF(calendar[[#This Row],[Month]]&lt;10,3,4)))</f>
        <v>2</v>
      </c>
      <c r="L1993">
        <f>IFERROR(IF(VLOOKUP(calendar[[#This Row],[Date]],BH!A:A,1,)&lt;&gt;"",1,0),0)</f>
        <v>0</v>
      </c>
      <c r="M1993">
        <f>IFERROR(IF(VLOOKUP(calendar[[#This Row],[Date]],BH!C:C,1,)&lt;&gt;"",1,0),0)</f>
        <v>0</v>
      </c>
      <c r="N1993">
        <f>IFERROR(IF(VLOOKUP(calendar[[#This Row],[Date]],BH!E:E,1,)&lt;&gt;"",1,0),0)</f>
        <v>0</v>
      </c>
      <c r="O1993">
        <f>IFERROR(IF(VLOOKUP(calendar[[#This Row],[Date]],BH!G:G,1,)&lt;&gt;"",1,0),0)</f>
        <v>0</v>
      </c>
      <c r="P1993">
        <f>IF(OR(calendar[[#This Row],[UK_BH]]=1,calendar[[#This Row],[WeekDay]]=1, calendar[[#This Row],[WeekDay]]=7),P1992,P1992+1)</f>
        <v>1423</v>
      </c>
      <c r="Q1993">
        <f>IF(OR(calendar[[#This Row],[FR_BH]]=1,calendar[[#This Row],[WeekDay]]=1, calendar[[#This Row],[WeekDay]]=7),P1992,P1992+1)</f>
        <v>1423</v>
      </c>
      <c r="R1993">
        <f>IF(OR(calendar[[#This Row],[SP_BH]]=1,calendar[[#This Row],[WeekDay]]=1, calendar[[#This Row],[WeekDay]]=7),P1992,P1992+1)</f>
        <v>1423</v>
      </c>
      <c r="S1993">
        <f>IF(OR(calendar[[#This Row],[PT_BH]]=1,calendar[[#This Row],[WeekDay]]=1, calendar[[#This Row],[WeekDay]]=7),P1992,P1992+1)</f>
        <v>1423</v>
      </c>
    </row>
    <row r="1994" spans="1:19" x14ac:dyDescent="0.25">
      <c r="A1994" s="2">
        <v>44728</v>
      </c>
      <c r="B1994" s="1">
        <f t="shared" si="158"/>
        <v>25</v>
      </c>
      <c r="C1994">
        <f t="shared" si="155"/>
        <v>6</v>
      </c>
      <c r="D1994" t="str">
        <f t="shared" si="156"/>
        <v>June</v>
      </c>
      <c r="E1994">
        <f t="shared" si="157"/>
        <v>2022</v>
      </c>
      <c r="F1994" t="str">
        <f>CONCATENATE(calendar[[#This Row],[Month]],"/",calendar[[#This Row],[Year]])</f>
        <v>6/2022</v>
      </c>
      <c r="G1994">
        <f>WEEKDAY(calendar[[#This Row],[Date]],1)</f>
        <v>5</v>
      </c>
      <c r="H1994" t="str">
        <f>TEXT(calendar[[#This Row],[WeekDay]],"dddd")</f>
        <v>Thursday</v>
      </c>
      <c r="I1994">
        <f>IF((INT(calendar[[#This Row],[Count]]/7)-calendar[[#This Row],[Count]]/7)&lt;0,I1993,I1993+1)</f>
        <v>285</v>
      </c>
      <c r="J1994">
        <f t="shared" si="159"/>
        <v>1992</v>
      </c>
      <c r="K1994">
        <f>IF(calendar[[#This Row],[Month]]&lt;4,1,IF(calendar[[#This Row],[Month]]&lt;7,2,IF(calendar[[#This Row],[Month]]&lt;10,3,4)))</f>
        <v>2</v>
      </c>
      <c r="L1994">
        <f>IFERROR(IF(VLOOKUP(calendar[[#This Row],[Date]],BH!A:A,1,)&lt;&gt;"",1,0),0)</f>
        <v>0</v>
      </c>
      <c r="M1994">
        <f>IFERROR(IF(VLOOKUP(calendar[[#This Row],[Date]],BH!C:C,1,)&lt;&gt;"",1,0),0)</f>
        <v>0</v>
      </c>
      <c r="N1994">
        <f>IFERROR(IF(VLOOKUP(calendar[[#This Row],[Date]],BH!E:E,1,)&lt;&gt;"",1,0),0)</f>
        <v>0</v>
      </c>
      <c r="O1994">
        <f>IFERROR(IF(VLOOKUP(calendar[[#This Row],[Date]],BH!G:G,1,)&lt;&gt;"",1,0),0)</f>
        <v>0</v>
      </c>
      <c r="P1994">
        <f>IF(OR(calendar[[#This Row],[UK_BH]]=1,calendar[[#This Row],[WeekDay]]=1, calendar[[#This Row],[WeekDay]]=7),P1993,P1993+1)</f>
        <v>1424</v>
      </c>
      <c r="Q1994">
        <f>IF(OR(calendar[[#This Row],[FR_BH]]=1,calendar[[#This Row],[WeekDay]]=1, calendar[[#This Row],[WeekDay]]=7),P1993,P1993+1)</f>
        <v>1424</v>
      </c>
      <c r="R1994">
        <f>IF(OR(calendar[[#This Row],[SP_BH]]=1,calendar[[#This Row],[WeekDay]]=1, calendar[[#This Row],[WeekDay]]=7),P1993,P1993+1)</f>
        <v>1424</v>
      </c>
      <c r="S1994">
        <f>IF(OR(calendar[[#This Row],[PT_BH]]=1,calendar[[#This Row],[WeekDay]]=1, calendar[[#This Row],[WeekDay]]=7),P1993,P1993+1)</f>
        <v>1424</v>
      </c>
    </row>
    <row r="1995" spans="1:19" x14ac:dyDescent="0.25">
      <c r="A1995" s="2">
        <v>44729</v>
      </c>
      <c r="B1995" s="1">
        <f t="shared" si="158"/>
        <v>25</v>
      </c>
      <c r="C1995">
        <f t="shared" si="155"/>
        <v>6</v>
      </c>
      <c r="D1995" t="str">
        <f t="shared" si="156"/>
        <v>June</v>
      </c>
      <c r="E1995">
        <f t="shared" si="157"/>
        <v>2022</v>
      </c>
      <c r="F1995" t="str">
        <f>CONCATENATE(calendar[[#This Row],[Month]],"/",calendar[[#This Row],[Year]])</f>
        <v>6/2022</v>
      </c>
      <c r="G1995">
        <f>WEEKDAY(calendar[[#This Row],[Date]],1)</f>
        <v>6</v>
      </c>
      <c r="H1995" t="str">
        <f>TEXT(calendar[[#This Row],[WeekDay]],"dddd")</f>
        <v>Friday</v>
      </c>
      <c r="I1995">
        <f>IF((INT(calendar[[#This Row],[Count]]/7)-calendar[[#This Row],[Count]]/7)&lt;0,I1994,I1994+1)</f>
        <v>285</v>
      </c>
      <c r="J1995">
        <f t="shared" si="159"/>
        <v>1993</v>
      </c>
      <c r="K1995">
        <f>IF(calendar[[#This Row],[Month]]&lt;4,1,IF(calendar[[#This Row],[Month]]&lt;7,2,IF(calendar[[#This Row],[Month]]&lt;10,3,4)))</f>
        <v>2</v>
      </c>
      <c r="L1995">
        <f>IFERROR(IF(VLOOKUP(calendar[[#This Row],[Date]],BH!A:A,1,)&lt;&gt;"",1,0),0)</f>
        <v>0</v>
      </c>
      <c r="M1995">
        <f>IFERROR(IF(VLOOKUP(calendar[[#This Row],[Date]],BH!C:C,1,)&lt;&gt;"",1,0),0)</f>
        <v>0</v>
      </c>
      <c r="N1995">
        <f>IFERROR(IF(VLOOKUP(calendar[[#This Row],[Date]],BH!E:E,1,)&lt;&gt;"",1,0),0)</f>
        <v>0</v>
      </c>
      <c r="O1995">
        <f>IFERROR(IF(VLOOKUP(calendar[[#This Row],[Date]],BH!G:G,1,)&lt;&gt;"",1,0),0)</f>
        <v>0</v>
      </c>
      <c r="P1995">
        <f>IF(OR(calendar[[#This Row],[UK_BH]]=1,calendar[[#This Row],[WeekDay]]=1, calendar[[#This Row],[WeekDay]]=7),P1994,P1994+1)</f>
        <v>1425</v>
      </c>
      <c r="Q1995">
        <f>IF(OR(calendar[[#This Row],[FR_BH]]=1,calendar[[#This Row],[WeekDay]]=1, calendar[[#This Row],[WeekDay]]=7),P1994,P1994+1)</f>
        <v>1425</v>
      </c>
      <c r="R1995">
        <f>IF(OR(calendar[[#This Row],[SP_BH]]=1,calendar[[#This Row],[WeekDay]]=1, calendar[[#This Row],[WeekDay]]=7),P1994,P1994+1)</f>
        <v>1425</v>
      </c>
      <c r="S1995">
        <f>IF(OR(calendar[[#This Row],[PT_BH]]=1,calendar[[#This Row],[WeekDay]]=1, calendar[[#This Row],[WeekDay]]=7),P1994,P1994+1)</f>
        <v>1425</v>
      </c>
    </row>
    <row r="1996" spans="1:19" x14ac:dyDescent="0.25">
      <c r="A1996" s="2">
        <v>44730</v>
      </c>
      <c r="B1996" s="1">
        <f t="shared" si="158"/>
        <v>25</v>
      </c>
      <c r="C1996">
        <f t="shared" si="155"/>
        <v>6</v>
      </c>
      <c r="D1996" t="str">
        <f t="shared" si="156"/>
        <v>June</v>
      </c>
      <c r="E1996">
        <f t="shared" si="157"/>
        <v>2022</v>
      </c>
      <c r="F1996" t="str">
        <f>CONCATENATE(calendar[[#This Row],[Month]],"/",calendar[[#This Row],[Year]])</f>
        <v>6/2022</v>
      </c>
      <c r="G1996">
        <f>WEEKDAY(calendar[[#This Row],[Date]],1)</f>
        <v>7</v>
      </c>
      <c r="H1996" t="str">
        <f>TEXT(calendar[[#This Row],[WeekDay]],"dddd")</f>
        <v>Saturday</v>
      </c>
      <c r="I1996">
        <f>IF((INT(calendar[[#This Row],[Count]]/7)-calendar[[#This Row],[Count]]/7)&lt;0,I1995,I1995+1)</f>
        <v>285</v>
      </c>
      <c r="J1996">
        <f t="shared" si="159"/>
        <v>1994</v>
      </c>
      <c r="K1996">
        <f>IF(calendar[[#This Row],[Month]]&lt;4,1,IF(calendar[[#This Row],[Month]]&lt;7,2,IF(calendar[[#This Row],[Month]]&lt;10,3,4)))</f>
        <v>2</v>
      </c>
      <c r="L1996">
        <f>IFERROR(IF(VLOOKUP(calendar[[#This Row],[Date]],BH!A:A,1,)&lt;&gt;"",1,0),0)</f>
        <v>0</v>
      </c>
      <c r="M1996">
        <f>IFERROR(IF(VLOOKUP(calendar[[#This Row],[Date]],BH!C:C,1,)&lt;&gt;"",1,0),0)</f>
        <v>0</v>
      </c>
      <c r="N1996">
        <f>IFERROR(IF(VLOOKUP(calendar[[#This Row],[Date]],BH!E:E,1,)&lt;&gt;"",1,0),0)</f>
        <v>0</v>
      </c>
      <c r="O1996">
        <f>IFERROR(IF(VLOOKUP(calendar[[#This Row],[Date]],BH!G:G,1,)&lt;&gt;"",1,0),0)</f>
        <v>0</v>
      </c>
      <c r="P1996">
        <f>IF(OR(calendar[[#This Row],[UK_BH]]=1,calendar[[#This Row],[WeekDay]]=1, calendar[[#This Row],[WeekDay]]=7),P1995,P1995+1)</f>
        <v>1425</v>
      </c>
      <c r="Q1996">
        <f>IF(OR(calendar[[#This Row],[FR_BH]]=1,calendar[[#This Row],[WeekDay]]=1, calendar[[#This Row],[WeekDay]]=7),P1995,P1995+1)</f>
        <v>1425</v>
      </c>
      <c r="R1996">
        <f>IF(OR(calendar[[#This Row],[SP_BH]]=1,calendar[[#This Row],[WeekDay]]=1, calendar[[#This Row],[WeekDay]]=7),P1995,P1995+1)</f>
        <v>1425</v>
      </c>
      <c r="S1996">
        <f>IF(OR(calendar[[#This Row],[PT_BH]]=1,calendar[[#This Row],[WeekDay]]=1, calendar[[#This Row],[WeekDay]]=7),P1995,P1995+1)</f>
        <v>1425</v>
      </c>
    </row>
    <row r="1997" spans="1:19" x14ac:dyDescent="0.25">
      <c r="A1997" s="2">
        <v>44731</v>
      </c>
      <c r="B1997" s="1">
        <f t="shared" si="158"/>
        <v>26</v>
      </c>
      <c r="C1997">
        <f t="shared" si="155"/>
        <v>6</v>
      </c>
      <c r="D1997" t="str">
        <f t="shared" si="156"/>
        <v>June</v>
      </c>
      <c r="E1997">
        <f t="shared" si="157"/>
        <v>2022</v>
      </c>
      <c r="F1997" t="str">
        <f>CONCATENATE(calendar[[#This Row],[Month]],"/",calendar[[#This Row],[Year]])</f>
        <v>6/2022</v>
      </c>
      <c r="G1997">
        <f>WEEKDAY(calendar[[#This Row],[Date]],1)</f>
        <v>1</v>
      </c>
      <c r="H1997" t="str">
        <f>TEXT(calendar[[#This Row],[WeekDay]],"dddd")</f>
        <v>Sunday</v>
      </c>
      <c r="I1997">
        <f>IF((INT(calendar[[#This Row],[Count]]/7)-calendar[[#This Row],[Count]]/7)&lt;0,I1996,I1996+1)</f>
        <v>286</v>
      </c>
      <c r="J1997">
        <f t="shared" si="159"/>
        <v>1995</v>
      </c>
      <c r="K1997">
        <f>IF(calendar[[#This Row],[Month]]&lt;4,1,IF(calendar[[#This Row],[Month]]&lt;7,2,IF(calendar[[#This Row],[Month]]&lt;10,3,4)))</f>
        <v>2</v>
      </c>
      <c r="L1997">
        <f>IFERROR(IF(VLOOKUP(calendar[[#This Row],[Date]],BH!A:A,1,)&lt;&gt;"",1,0),0)</f>
        <v>0</v>
      </c>
      <c r="M1997">
        <f>IFERROR(IF(VLOOKUP(calendar[[#This Row],[Date]],BH!C:C,1,)&lt;&gt;"",1,0),0)</f>
        <v>0</v>
      </c>
      <c r="N1997">
        <f>IFERROR(IF(VLOOKUP(calendar[[#This Row],[Date]],BH!E:E,1,)&lt;&gt;"",1,0),0)</f>
        <v>0</v>
      </c>
      <c r="O1997">
        <f>IFERROR(IF(VLOOKUP(calendar[[#This Row],[Date]],BH!G:G,1,)&lt;&gt;"",1,0),0)</f>
        <v>0</v>
      </c>
      <c r="P1997">
        <f>IF(OR(calendar[[#This Row],[UK_BH]]=1,calendar[[#This Row],[WeekDay]]=1, calendar[[#This Row],[WeekDay]]=7),P1996,P1996+1)</f>
        <v>1425</v>
      </c>
      <c r="Q1997">
        <f>IF(OR(calendar[[#This Row],[FR_BH]]=1,calendar[[#This Row],[WeekDay]]=1, calendar[[#This Row],[WeekDay]]=7),P1996,P1996+1)</f>
        <v>1425</v>
      </c>
      <c r="R1997">
        <f>IF(OR(calendar[[#This Row],[SP_BH]]=1,calendar[[#This Row],[WeekDay]]=1, calendar[[#This Row],[WeekDay]]=7),P1996,P1996+1)</f>
        <v>1425</v>
      </c>
      <c r="S1997">
        <f>IF(OR(calendar[[#This Row],[PT_BH]]=1,calendar[[#This Row],[WeekDay]]=1, calendar[[#This Row],[WeekDay]]=7),P1996,P1996+1)</f>
        <v>1425</v>
      </c>
    </row>
    <row r="1998" spans="1:19" x14ac:dyDescent="0.25">
      <c r="A1998" s="2">
        <v>44732</v>
      </c>
      <c r="B1998" s="1">
        <f t="shared" si="158"/>
        <v>26</v>
      </c>
      <c r="C1998">
        <f t="shared" si="155"/>
        <v>6</v>
      </c>
      <c r="D1998" t="str">
        <f t="shared" si="156"/>
        <v>June</v>
      </c>
      <c r="E1998">
        <f t="shared" si="157"/>
        <v>2022</v>
      </c>
      <c r="F1998" t="str">
        <f>CONCATENATE(calendar[[#This Row],[Month]],"/",calendar[[#This Row],[Year]])</f>
        <v>6/2022</v>
      </c>
      <c r="G1998">
        <f>WEEKDAY(calendar[[#This Row],[Date]],1)</f>
        <v>2</v>
      </c>
      <c r="H1998" t="str">
        <f>TEXT(calendar[[#This Row],[WeekDay]],"dddd")</f>
        <v>Monday</v>
      </c>
      <c r="I1998">
        <f>IF((INT(calendar[[#This Row],[Count]]/7)-calendar[[#This Row],[Count]]/7)&lt;0,I1997,I1997+1)</f>
        <v>286</v>
      </c>
      <c r="J1998">
        <f t="shared" si="159"/>
        <v>1996</v>
      </c>
      <c r="K1998">
        <f>IF(calendar[[#This Row],[Month]]&lt;4,1,IF(calendar[[#This Row],[Month]]&lt;7,2,IF(calendar[[#This Row],[Month]]&lt;10,3,4)))</f>
        <v>2</v>
      </c>
      <c r="L1998">
        <f>IFERROR(IF(VLOOKUP(calendar[[#This Row],[Date]],BH!A:A,1,)&lt;&gt;"",1,0),0)</f>
        <v>0</v>
      </c>
      <c r="M1998">
        <f>IFERROR(IF(VLOOKUP(calendar[[#This Row],[Date]],BH!C:C,1,)&lt;&gt;"",1,0),0)</f>
        <v>0</v>
      </c>
      <c r="N1998">
        <f>IFERROR(IF(VLOOKUP(calendar[[#This Row],[Date]],BH!E:E,1,)&lt;&gt;"",1,0),0)</f>
        <v>0</v>
      </c>
      <c r="O1998">
        <f>IFERROR(IF(VLOOKUP(calendar[[#This Row],[Date]],BH!G:G,1,)&lt;&gt;"",1,0),0)</f>
        <v>0</v>
      </c>
      <c r="P1998">
        <f>IF(OR(calendar[[#This Row],[UK_BH]]=1,calendar[[#This Row],[WeekDay]]=1, calendar[[#This Row],[WeekDay]]=7),P1997,P1997+1)</f>
        <v>1426</v>
      </c>
      <c r="Q1998">
        <f>IF(OR(calendar[[#This Row],[FR_BH]]=1,calendar[[#This Row],[WeekDay]]=1, calendar[[#This Row],[WeekDay]]=7),P1997,P1997+1)</f>
        <v>1426</v>
      </c>
      <c r="R1998">
        <f>IF(OR(calendar[[#This Row],[SP_BH]]=1,calendar[[#This Row],[WeekDay]]=1, calendar[[#This Row],[WeekDay]]=7),P1997,P1997+1)</f>
        <v>1426</v>
      </c>
      <c r="S1998">
        <f>IF(OR(calendar[[#This Row],[PT_BH]]=1,calendar[[#This Row],[WeekDay]]=1, calendar[[#This Row],[WeekDay]]=7),P1997,P1997+1)</f>
        <v>1426</v>
      </c>
    </row>
    <row r="1999" spans="1:19" x14ac:dyDescent="0.25">
      <c r="A1999" s="2">
        <v>44733</v>
      </c>
      <c r="B1999" s="1">
        <f t="shared" si="158"/>
        <v>26</v>
      </c>
      <c r="C1999">
        <f t="shared" si="155"/>
        <v>6</v>
      </c>
      <c r="D1999" t="str">
        <f t="shared" si="156"/>
        <v>June</v>
      </c>
      <c r="E1999">
        <f t="shared" si="157"/>
        <v>2022</v>
      </c>
      <c r="F1999" t="str">
        <f>CONCATENATE(calendar[[#This Row],[Month]],"/",calendar[[#This Row],[Year]])</f>
        <v>6/2022</v>
      </c>
      <c r="G1999">
        <f>WEEKDAY(calendar[[#This Row],[Date]],1)</f>
        <v>3</v>
      </c>
      <c r="H1999" t="str">
        <f>TEXT(calendar[[#This Row],[WeekDay]],"dddd")</f>
        <v>Tuesday</v>
      </c>
      <c r="I1999">
        <f>IF((INT(calendar[[#This Row],[Count]]/7)-calendar[[#This Row],[Count]]/7)&lt;0,I1998,I1998+1)</f>
        <v>286</v>
      </c>
      <c r="J1999">
        <f t="shared" si="159"/>
        <v>1997</v>
      </c>
      <c r="K1999">
        <f>IF(calendar[[#This Row],[Month]]&lt;4,1,IF(calendar[[#This Row],[Month]]&lt;7,2,IF(calendar[[#This Row],[Month]]&lt;10,3,4)))</f>
        <v>2</v>
      </c>
      <c r="L1999">
        <f>IFERROR(IF(VLOOKUP(calendar[[#This Row],[Date]],BH!A:A,1,)&lt;&gt;"",1,0),0)</f>
        <v>0</v>
      </c>
      <c r="M1999">
        <f>IFERROR(IF(VLOOKUP(calendar[[#This Row],[Date]],BH!C:C,1,)&lt;&gt;"",1,0),0)</f>
        <v>0</v>
      </c>
      <c r="N1999">
        <f>IFERROR(IF(VLOOKUP(calendar[[#This Row],[Date]],BH!E:E,1,)&lt;&gt;"",1,0),0)</f>
        <v>0</v>
      </c>
      <c r="O1999">
        <f>IFERROR(IF(VLOOKUP(calendar[[#This Row],[Date]],BH!G:G,1,)&lt;&gt;"",1,0),0)</f>
        <v>0</v>
      </c>
      <c r="P1999">
        <f>IF(OR(calendar[[#This Row],[UK_BH]]=1,calendar[[#This Row],[WeekDay]]=1, calendar[[#This Row],[WeekDay]]=7),P1998,P1998+1)</f>
        <v>1427</v>
      </c>
      <c r="Q1999">
        <f>IF(OR(calendar[[#This Row],[FR_BH]]=1,calendar[[#This Row],[WeekDay]]=1, calendar[[#This Row],[WeekDay]]=7),P1998,P1998+1)</f>
        <v>1427</v>
      </c>
      <c r="R1999">
        <f>IF(OR(calendar[[#This Row],[SP_BH]]=1,calendar[[#This Row],[WeekDay]]=1, calendar[[#This Row],[WeekDay]]=7),P1998,P1998+1)</f>
        <v>1427</v>
      </c>
      <c r="S1999">
        <f>IF(OR(calendar[[#This Row],[PT_BH]]=1,calendar[[#This Row],[WeekDay]]=1, calendar[[#This Row],[WeekDay]]=7),P1998,P1998+1)</f>
        <v>1427</v>
      </c>
    </row>
    <row r="2000" spans="1:19" x14ac:dyDescent="0.25">
      <c r="A2000" s="2">
        <v>44734</v>
      </c>
      <c r="B2000" s="1">
        <f t="shared" si="158"/>
        <v>26</v>
      </c>
      <c r="C2000">
        <f t="shared" ref="C2000:C2063" si="160">MONTH(A2000)</f>
        <v>6</v>
      </c>
      <c r="D2000" t="str">
        <f t="shared" ref="D2000:D2063" si="161">TEXT(A2000,"mmmm")</f>
        <v>June</v>
      </c>
      <c r="E2000">
        <f t="shared" ref="E2000:E2063" si="162">YEAR(A2000)</f>
        <v>2022</v>
      </c>
      <c r="F2000" t="str">
        <f>CONCATENATE(calendar[[#This Row],[Month]],"/",calendar[[#This Row],[Year]])</f>
        <v>6/2022</v>
      </c>
      <c r="G2000">
        <f>WEEKDAY(calendar[[#This Row],[Date]],1)</f>
        <v>4</v>
      </c>
      <c r="H2000" t="str">
        <f>TEXT(calendar[[#This Row],[WeekDay]],"dddd")</f>
        <v>Wednesday</v>
      </c>
      <c r="I2000">
        <f>IF((INT(calendar[[#This Row],[Count]]/7)-calendar[[#This Row],[Count]]/7)&lt;0,I1999,I1999+1)</f>
        <v>286</v>
      </c>
      <c r="J2000">
        <f t="shared" si="159"/>
        <v>1998</v>
      </c>
      <c r="K2000">
        <f>IF(calendar[[#This Row],[Month]]&lt;4,1,IF(calendar[[#This Row],[Month]]&lt;7,2,IF(calendar[[#This Row],[Month]]&lt;10,3,4)))</f>
        <v>2</v>
      </c>
      <c r="L2000">
        <f>IFERROR(IF(VLOOKUP(calendar[[#This Row],[Date]],BH!A:A,1,)&lt;&gt;"",1,0),0)</f>
        <v>0</v>
      </c>
      <c r="M2000">
        <f>IFERROR(IF(VLOOKUP(calendar[[#This Row],[Date]],BH!C:C,1,)&lt;&gt;"",1,0),0)</f>
        <v>0</v>
      </c>
      <c r="N2000">
        <f>IFERROR(IF(VLOOKUP(calendar[[#This Row],[Date]],BH!E:E,1,)&lt;&gt;"",1,0),0)</f>
        <v>0</v>
      </c>
      <c r="O2000">
        <f>IFERROR(IF(VLOOKUP(calendar[[#This Row],[Date]],BH!G:G,1,)&lt;&gt;"",1,0),0)</f>
        <v>0</v>
      </c>
      <c r="P2000">
        <f>IF(OR(calendar[[#This Row],[UK_BH]]=1,calendar[[#This Row],[WeekDay]]=1, calendar[[#This Row],[WeekDay]]=7),P1999,P1999+1)</f>
        <v>1428</v>
      </c>
      <c r="Q2000">
        <f>IF(OR(calendar[[#This Row],[FR_BH]]=1,calendar[[#This Row],[WeekDay]]=1, calendar[[#This Row],[WeekDay]]=7),P1999,P1999+1)</f>
        <v>1428</v>
      </c>
      <c r="R2000">
        <f>IF(OR(calendar[[#This Row],[SP_BH]]=1,calendar[[#This Row],[WeekDay]]=1, calendar[[#This Row],[WeekDay]]=7),P1999,P1999+1)</f>
        <v>1428</v>
      </c>
      <c r="S2000">
        <f>IF(OR(calendar[[#This Row],[PT_BH]]=1,calendar[[#This Row],[WeekDay]]=1, calendar[[#This Row],[WeekDay]]=7),P1999,P1999+1)</f>
        <v>1428</v>
      </c>
    </row>
    <row r="2001" spans="1:19" x14ac:dyDescent="0.25">
      <c r="A2001" s="2">
        <v>44735</v>
      </c>
      <c r="B2001" s="1">
        <f t="shared" si="158"/>
        <v>26</v>
      </c>
      <c r="C2001">
        <f t="shared" si="160"/>
        <v>6</v>
      </c>
      <c r="D2001" t="str">
        <f t="shared" si="161"/>
        <v>June</v>
      </c>
      <c r="E2001">
        <f t="shared" si="162"/>
        <v>2022</v>
      </c>
      <c r="F2001" t="str">
        <f>CONCATENATE(calendar[[#This Row],[Month]],"/",calendar[[#This Row],[Year]])</f>
        <v>6/2022</v>
      </c>
      <c r="G2001">
        <f>WEEKDAY(calendar[[#This Row],[Date]],1)</f>
        <v>5</v>
      </c>
      <c r="H2001" t="str">
        <f>TEXT(calendar[[#This Row],[WeekDay]],"dddd")</f>
        <v>Thursday</v>
      </c>
      <c r="I2001">
        <f>IF((INT(calendar[[#This Row],[Count]]/7)-calendar[[#This Row],[Count]]/7)&lt;0,I2000,I2000+1)</f>
        <v>286</v>
      </c>
      <c r="J2001">
        <f t="shared" si="159"/>
        <v>1999</v>
      </c>
      <c r="K2001">
        <f>IF(calendar[[#This Row],[Month]]&lt;4,1,IF(calendar[[#This Row],[Month]]&lt;7,2,IF(calendar[[#This Row],[Month]]&lt;10,3,4)))</f>
        <v>2</v>
      </c>
      <c r="L2001">
        <f>IFERROR(IF(VLOOKUP(calendar[[#This Row],[Date]],BH!A:A,1,)&lt;&gt;"",1,0),0)</f>
        <v>0</v>
      </c>
      <c r="M2001">
        <f>IFERROR(IF(VLOOKUP(calendar[[#This Row],[Date]],BH!C:C,1,)&lt;&gt;"",1,0),0)</f>
        <v>0</v>
      </c>
      <c r="N2001">
        <f>IFERROR(IF(VLOOKUP(calendar[[#This Row],[Date]],BH!E:E,1,)&lt;&gt;"",1,0),0)</f>
        <v>0</v>
      </c>
      <c r="O2001">
        <f>IFERROR(IF(VLOOKUP(calendar[[#This Row],[Date]],BH!G:G,1,)&lt;&gt;"",1,0),0)</f>
        <v>0</v>
      </c>
      <c r="P2001">
        <f>IF(OR(calendar[[#This Row],[UK_BH]]=1,calendar[[#This Row],[WeekDay]]=1, calendar[[#This Row],[WeekDay]]=7),P2000,P2000+1)</f>
        <v>1429</v>
      </c>
      <c r="Q2001">
        <f>IF(OR(calendar[[#This Row],[FR_BH]]=1,calendar[[#This Row],[WeekDay]]=1, calendar[[#This Row],[WeekDay]]=7),P2000,P2000+1)</f>
        <v>1429</v>
      </c>
      <c r="R2001">
        <f>IF(OR(calendar[[#This Row],[SP_BH]]=1,calendar[[#This Row],[WeekDay]]=1, calendar[[#This Row],[WeekDay]]=7),P2000,P2000+1)</f>
        <v>1429</v>
      </c>
      <c r="S2001">
        <f>IF(OR(calendar[[#This Row],[PT_BH]]=1,calendar[[#This Row],[WeekDay]]=1, calendar[[#This Row],[WeekDay]]=7),P2000,P2000+1)</f>
        <v>1429</v>
      </c>
    </row>
    <row r="2002" spans="1:19" x14ac:dyDescent="0.25">
      <c r="A2002" s="2">
        <v>44736</v>
      </c>
      <c r="B2002" s="1">
        <f t="shared" si="158"/>
        <v>26</v>
      </c>
      <c r="C2002">
        <f t="shared" si="160"/>
        <v>6</v>
      </c>
      <c r="D2002" t="str">
        <f t="shared" si="161"/>
        <v>June</v>
      </c>
      <c r="E2002">
        <f t="shared" si="162"/>
        <v>2022</v>
      </c>
      <c r="F2002" t="str">
        <f>CONCATENATE(calendar[[#This Row],[Month]],"/",calendar[[#This Row],[Year]])</f>
        <v>6/2022</v>
      </c>
      <c r="G2002">
        <f>WEEKDAY(calendar[[#This Row],[Date]],1)</f>
        <v>6</v>
      </c>
      <c r="H2002" t="str">
        <f>TEXT(calendar[[#This Row],[WeekDay]],"dddd")</f>
        <v>Friday</v>
      </c>
      <c r="I2002">
        <f>IF((INT(calendar[[#This Row],[Count]]/7)-calendar[[#This Row],[Count]]/7)&lt;0,I2001,I2001+1)</f>
        <v>286</v>
      </c>
      <c r="J2002">
        <f t="shared" si="159"/>
        <v>2000</v>
      </c>
      <c r="K2002">
        <f>IF(calendar[[#This Row],[Month]]&lt;4,1,IF(calendar[[#This Row],[Month]]&lt;7,2,IF(calendar[[#This Row],[Month]]&lt;10,3,4)))</f>
        <v>2</v>
      </c>
      <c r="L2002">
        <f>IFERROR(IF(VLOOKUP(calendar[[#This Row],[Date]],BH!A:A,1,)&lt;&gt;"",1,0),0)</f>
        <v>0</v>
      </c>
      <c r="M2002">
        <f>IFERROR(IF(VLOOKUP(calendar[[#This Row],[Date]],BH!C:C,1,)&lt;&gt;"",1,0),0)</f>
        <v>0</v>
      </c>
      <c r="N2002">
        <f>IFERROR(IF(VLOOKUP(calendar[[#This Row],[Date]],BH!E:E,1,)&lt;&gt;"",1,0),0)</f>
        <v>0</v>
      </c>
      <c r="O2002">
        <f>IFERROR(IF(VLOOKUP(calendar[[#This Row],[Date]],BH!G:G,1,)&lt;&gt;"",1,0),0)</f>
        <v>0</v>
      </c>
      <c r="P2002">
        <f>IF(OR(calendar[[#This Row],[UK_BH]]=1,calendar[[#This Row],[WeekDay]]=1, calendar[[#This Row],[WeekDay]]=7),P2001,P2001+1)</f>
        <v>1430</v>
      </c>
      <c r="Q2002">
        <f>IF(OR(calendar[[#This Row],[FR_BH]]=1,calendar[[#This Row],[WeekDay]]=1, calendar[[#This Row],[WeekDay]]=7),P2001,P2001+1)</f>
        <v>1430</v>
      </c>
      <c r="R2002">
        <f>IF(OR(calendar[[#This Row],[SP_BH]]=1,calendar[[#This Row],[WeekDay]]=1, calendar[[#This Row],[WeekDay]]=7),P2001,P2001+1)</f>
        <v>1430</v>
      </c>
      <c r="S2002">
        <f>IF(OR(calendar[[#This Row],[PT_BH]]=1,calendar[[#This Row],[WeekDay]]=1, calendar[[#This Row],[WeekDay]]=7),P2001,P2001+1)</f>
        <v>1430</v>
      </c>
    </row>
    <row r="2003" spans="1:19" x14ac:dyDescent="0.25">
      <c r="A2003" s="2">
        <v>44737</v>
      </c>
      <c r="B2003" s="1">
        <f t="shared" si="158"/>
        <v>26</v>
      </c>
      <c r="C2003">
        <f t="shared" si="160"/>
        <v>6</v>
      </c>
      <c r="D2003" t="str">
        <f t="shared" si="161"/>
        <v>June</v>
      </c>
      <c r="E2003">
        <f t="shared" si="162"/>
        <v>2022</v>
      </c>
      <c r="F2003" t="str">
        <f>CONCATENATE(calendar[[#This Row],[Month]],"/",calendar[[#This Row],[Year]])</f>
        <v>6/2022</v>
      </c>
      <c r="G2003">
        <f>WEEKDAY(calendar[[#This Row],[Date]],1)</f>
        <v>7</v>
      </c>
      <c r="H2003" t="str">
        <f>TEXT(calendar[[#This Row],[WeekDay]],"dddd")</f>
        <v>Saturday</v>
      </c>
      <c r="I2003">
        <f>IF((INT(calendar[[#This Row],[Count]]/7)-calendar[[#This Row],[Count]]/7)&lt;0,I2002,I2002+1)</f>
        <v>286</v>
      </c>
      <c r="J2003">
        <f t="shared" si="159"/>
        <v>2001</v>
      </c>
      <c r="K2003">
        <f>IF(calendar[[#This Row],[Month]]&lt;4,1,IF(calendar[[#This Row],[Month]]&lt;7,2,IF(calendar[[#This Row],[Month]]&lt;10,3,4)))</f>
        <v>2</v>
      </c>
      <c r="L2003">
        <f>IFERROR(IF(VLOOKUP(calendar[[#This Row],[Date]],BH!A:A,1,)&lt;&gt;"",1,0),0)</f>
        <v>0</v>
      </c>
      <c r="M2003">
        <f>IFERROR(IF(VLOOKUP(calendar[[#This Row],[Date]],BH!C:C,1,)&lt;&gt;"",1,0),0)</f>
        <v>0</v>
      </c>
      <c r="N2003">
        <f>IFERROR(IF(VLOOKUP(calendar[[#This Row],[Date]],BH!E:E,1,)&lt;&gt;"",1,0),0)</f>
        <v>0</v>
      </c>
      <c r="O2003">
        <f>IFERROR(IF(VLOOKUP(calendar[[#This Row],[Date]],BH!G:G,1,)&lt;&gt;"",1,0),0)</f>
        <v>0</v>
      </c>
      <c r="P2003">
        <f>IF(OR(calendar[[#This Row],[UK_BH]]=1,calendar[[#This Row],[WeekDay]]=1, calendar[[#This Row],[WeekDay]]=7),P2002,P2002+1)</f>
        <v>1430</v>
      </c>
      <c r="Q2003">
        <f>IF(OR(calendar[[#This Row],[FR_BH]]=1,calendar[[#This Row],[WeekDay]]=1, calendar[[#This Row],[WeekDay]]=7),P2002,P2002+1)</f>
        <v>1430</v>
      </c>
      <c r="R2003">
        <f>IF(OR(calendar[[#This Row],[SP_BH]]=1,calendar[[#This Row],[WeekDay]]=1, calendar[[#This Row],[WeekDay]]=7),P2002,P2002+1)</f>
        <v>1430</v>
      </c>
      <c r="S2003">
        <f>IF(OR(calendar[[#This Row],[PT_BH]]=1,calendar[[#This Row],[WeekDay]]=1, calendar[[#This Row],[WeekDay]]=7),P2002,P2002+1)</f>
        <v>1430</v>
      </c>
    </row>
    <row r="2004" spans="1:19" x14ac:dyDescent="0.25">
      <c r="A2004" s="2">
        <v>44738</v>
      </c>
      <c r="B2004" s="1">
        <f t="shared" si="158"/>
        <v>27</v>
      </c>
      <c r="C2004">
        <f t="shared" si="160"/>
        <v>6</v>
      </c>
      <c r="D2004" t="str">
        <f t="shared" si="161"/>
        <v>June</v>
      </c>
      <c r="E2004">
        <f t="shared" si="162"/>
        <v>2022</v>
      </c>
      <c r="F2004" t="str">
        <f>CONCATENATE(calendar[[#This Row],[Month]],"/",calendar[[#This Row],[Year]])</f>
        <v>6/2022</v>
      </c>
      <c r="G2004">
        <f>WEEKDAY(calendar[[#This Row],[Date]],1)</f>
        <v>1</v>
      </c>
      <c r="H2004" t="str">
        <f>TEXT(calendar[[#This Row],[WeekDay]],"dddd")</f>
        <v>Sunday</v>
      </c>
      <c r="I2004">
        <f>IF((INT(calendar[[#This Row],[Count]]/7)-calendar[[#This Row],[Count]]/7)&lt;0,I2003,I2003+1)</f>
        <v>287</v>
      </c>
      <c r="J2004">
        <f t="shared" si="159"/>
        <v>2002</v>
      </c>
      <c r="K2004">
        <f>IF(calendar[[#This Row],[Month]]&lt;4,1,IF(calendar[[#This Row],[Month]]&lt;7,2,IF(calendar[[#This Row],[Month]]&lt;10,3,4)))</f>
        <v>2</v>
      </c>
      <c r="L2004">
        <f>IFERROR(IF(VLOOKUP(calendar[[#This Row],[Date]],BH!A:A,1,)&lt;&gt;"",1,0),0)</f>
        <v>0</v>
      </c>
      <c r="M2004">
        <f>IFERROR(IF(VLOOKUP(calendar[[#This Row],[Date]],BH!C:C,1,)&lt;&gt;"",1,0),0)</f>
        <v>0</v>
      </c>
      <c r="N2004">
        <f>IFERROR(IF(VLOOKUP(calendar[[#This Row],[Date]],BH!E:E,1,)&lt;&gt;"",1,0),0)</f>
        <v>0</v>
      </c>
      <c r="O2004">
        <f>IFERROR(IF(VLOOKUP(calendar[[#This Row],[Date]],BH!G:G,1,)&lt;&gt;"",1,0),0)</f>
        <v>0</v>
      </c>
      <c r="P2004">
        <f>IF(OR(calendar[[#This Row],[UK_BH]]=1,calendar[[#This Row],[WeekDay]]=1, calendar[[#This Row],[WeekDay]]=7),P2003,P2003+1)</f>
        <v>1430</v>
      </c>
      <c r="Q2004">
        <f>IF(OR(calendar[[#This Row],[FR_BH]]=1,calendar[[#This Row],[WeekDay]]=1, calendar[[#This Row],[WeekDay]]=7),P2003,P2003+1)</f>
        <v>1430</v>
      </c>
      <c r="R2004">
        <f>IF(OR(calendar[[#This Row],[SP_BH]]=1,calendar[[#This Row],[WeekDay]]=1, calendar[[#This Row],[WeekDay]]=7),P2003,P2003+1)</f>
        <v>1430</v>
      </c>
      <c r="S2004">
        <f>IF(OR(calendar[[#This Row],[PT_BH]]=1,calendar[[#This Row],[WeekDay]]=1, calendar[[#This Row],[WeekDay]]=7),P2003,P2003+1)</f>
        <v>1430</v>
      </c>
    </row>
    <row r="2005" spans="1:19" x14ac:dyDescent="0.25">
      <c r="A2005" s="2">
        <v>44739</v>
      </c>
      <c r="B2005" s="1">
        <f t="shared" si="158"/>
        <v>27</v>
      </c>
      <c r="C2005">
        <f t="shared" si="160"/>
        <v>6</v>
      </c>
      <c r="D2005" t="str">
        <f t="shared" si="161"/>
        <v>June</v>
      </c>
      <c r="E2005">
        <f t="shared" si="162"/>
        <v>2022</v>
      </c>
      <c r="F2005" t="str">
        <f>CONCATENATE(calendar[[#This Row],[Month]],"/",calendar[[#This Row],[Year]])</f>
        <v>6/2022</v>
      </c>
      <c r="G2005">
        <f>WEEKDAY(calendar[[#This Row],[Date]],1)</f>
        <v>2</v>
      </c>
      <c r="H2005" t="str">
        <f>TEXT(calendar[[#This Row],[WeekDay]],"dddd")</f>
        <v>Monday</v>
      </c>
      <c r="I2005">
        <f>IF((INT(calendar[[#This Row],[Count]]/7)-calendar[[#This Row],[Count]]/7)&lt;0,I2004,I2004+1)</f>
        <v>287</v>
      </c>
      <c r="J2005">
        <f t="shared" si="159"/>
        <v>2003</v>
      </c>
      <c r="K2005">
        <f>IF(calendar[[#This Row],[Month]]&lt;4,1,IF(calendar[[#This Row],[Month]]&lt;7,2,IF(calendar[[#This Row],[Month]]&lt;10,3,4)))</f>
        <v>2</v>
      </c>
      <c r="L2005">
        <f>IFERROR(IF(VLOOKUP(calendar[[#This Row],[Date]],BH!A:A,1,)&lt;&gt;"",1,0),0)</f>
        <v>0</v>
      </c>
      <c r="M2005">
        <f>IFERROR(IF(VLOOKUP(calendar[[#This Row],[Date]],BH!C:C,1,)&lt;&gt;"",1,0),0)</f>
        <v>0</v>
      </c>
      <c r="N2005">
        <f>IFERROR(IF(VLOOKUP(calendar[[#This Row],[Date]],BH!E:E,1,)&lt;&gt;"",1,0),0)</f>
        <v>0</v>
      </c>
      <c r="O2005">
        <f>IFERROR(IF(VLOOKUP(calendar[[#This Row],[Date]],BH!G:G,1,)&lt;&gt;"",1,0),0)</f>
        <v>0</v>
      </c>
      <c r="P2005">
        <f>IF(OR(calendar[[#This Row],[UK_BH]]=1,calendar[[#This Row],[WeekDay]]=1, calendar[[#This Row],[WeekDay]]=7),P2004,P2004+1)</f>
        <v>1431</v>
      </c>
      <c r="Q2005">
        <f>IF(OR(calendar[[#This Row],[FR_BH]]=1,calendar[[#This Row],[WeekDay]]=1, calendar[[#This Row],[WeekDay]]=7),P2004,P2004+1)</f>
        <v>1431</v>
      </c>
      <c r="R2005">
        <f>IF(OR(calendar[[#This Row],[SP_BH]]=1,calendar[[#This Row],[WeekDay]]=1, calendar[[#This Row],[WeekDay]]=7),P2004,P2004+1)</f>
        <v>1431</v>
      </c>
      <c r="S2005">
        <f>IF(OR(calendar[[#This Row],[PT_BH]]=1,calendar[[#This Row],[WeekDay]]=1, calendar[[#This Row],[WeekDay]]=7),P2004,P2004+1)</f>
        <v>1431</v>
      </c>
    </row>
    <row r="2006" spans="1:19" x14ac:dyDescent="0.25">
      <c r="A2006" s="2">
        <v>44740</v>
      </c>
      <c r="B2006" s="1">
        <f t="shared" si="158"/>
        <v>27</v>
      </c>
      <c r="C2006">
        <f t="shared" si="160"/>
        <v>6</v>
      </c>
      <c r="D2006" t="str">
        <f t="shared" si="161"/>
        <v>June</v>
      </c>
      <c r="E2006">
        <f t="shared" si="162"/>
        <v>2022</v>
      </c>
      <c r="F2006" t="str">
        <f>CONCATENATE(calendar[[#This Row],[Month]],"/",calendar[[#This Row],[Year]])</f>
        <v>6/2022</v>
      </c>
      <c r="G2006">
        <f>WEEKDAY(calendar[[#This Row],[Date]],1)</f>
        <v>3</v>
      </c>
      <c r="H2006" t="str">
        <f>TEXT(calendar[[#This Row],[WeekDay]],"dddd")</f>
        <v>Tuesday</v>
      </c>
      <c r="I2006">
        <f>IF((INT(calendar[[#This Row],[Count]]/7)-calendar[[#This Row],[Count]]/7)&lt;0,I2005,I2005+1)</f>
        <v>287</v>
      </c>
      <c r="J2006">
        <f t="shared" si="159"/>
        <v>2004</v>
      </c>
      <c r="K2006">
        <f>IF(calendar[[#This Row],[Month]]&lt;4,1,IF(calendar[[#This Row],[Month]]&lt;7,2,IF(calendar[[#This Row],[Month]]&lt;10,3,4)))</f>
        <v>2</v>
      </c>
      <c r="L2006">
        <f>IFERROR(IF(VLOOKUP(calendar[[#This Row],[Date]],BH!A:A,1,)&lt;&gt;"",1,0),0)</f>
        <v>0</v>
      </c>
      <c r="M2006">
        <f>IFERROR(IF(VLOOKUP(calendar[[#This Row],[Date]],BH!C:C,1,)&lt;&gt;"",1,0),0)</f>
        <v>0</v>
      </c>
      <c r="N2006">
        <f>IFERROR(IF(VLOOKUP(calendar[[#This Row],[Date]],BH!E:E,1,)&lt;&gt;"",1,0),0)</f>
        <v>0</v>
      </c>
      <c r="O2006">
        <f>IFERROR(IF(VLOOKUP(calendar[[#This Row],[Date]],BH!G:G,1,)&lt;&gt;"",1,0),0)</f>
        <v>0</v>
      </c>
      <c r="P2006">
        <f>IF(OR(calendar[[#This Row],[UK_BH]]=1,calendar[[#This Row],[WeekDay]]=1, calendar[[#This Row],[WeekDay]]=7),P2005,P2005+1)</f>
        <v>1432</v>
      </c>
      <c r="Q2006">
        <f>IF(OR(calendar[[#This Row],[FR_BH]]=1,calendar[[#This Row],[WeekDay]]=1, calendar[[#This Row],[WeekDay]]=7),P2005,P2005+1)</f>
        <v>1432</v>
      </c>
      <c r="R2006">
        <f>IF(OR(calendar[[#This Row],[SP_BH]]=1,calendar[[#This Row],[WeekDay]]=1, calendar[[#This Row],[WeekDay]]=7),P2005,P2005+1)</f>
        <v>1432</v>
      </c>
      <c r="S2006">
        <f>IF(OR(calendar[[#This Row],[PT_BH]]=1,calendar[[#This Row],[WeekDay]]=1, calendar[[#This Row],[WeekDay]]=7),P2005,P2005+1)</f>
        <v>1432</v>
      </c>
    </row>
    <row r="2007" spans="1:19" x14ac:dyDescent="0.25">
      <c r="A2007" s="2">
        <v>44741</v>
      </c>
      <c r="B2007" s="1">
        <f t="shared" si="158"/>
        <v>27</v>
      </c>
      <c r="C2007">
        <f t="shared" si="160"/>
        <v>6</v>
      </c>
      <c r="D2007" t="str">
        <f t="shared" si="161"/>
        <v>June</v>
      </c>
      <c r="E2007">
        <f t="shared" si="162"/>
        <v>2022</v>
      </c>
      <c r="F2007" t="str">
        <f>CONCATENATE(calendar[[#This Row],[Month]],"/",calendar[[#This Row],[Year]])</f>
        <v>6/2022</v>
      </c>
      <c r="G2007">
        <f>WEEKDAY(calendar[[#This Row],[Date]],1)</f>
        <v>4</v>
      </c>
      <c r="H2007" t="str">
        <f>TEXT(calendar[[#This Row],[WeekDay]],"dddd")</f>
        <v>Wednesday</v>
      </c>
      <c r="I2007">
        <f>IF((INT(calendar[[#This Row],[Count]]/7)-calendar[[#This Row],[Count]]/7)&lt;0,I2006,I2006+1)</f>
        <v>287</v>
      </c>
      <c r="J2007">
        <f t="shared" si="159"/>
        <v>2005</v>
      </c>
      <c r="K2007">
        <f>IF(calendar[[#This Row],[Month]]&lt;4,1,IF(calendar[[#This Row],[Month]]&lt;7,2,IF(calendar[[#This Row],[Month]]&lt;10,3,4)))</f>
        <v>2</v>
      </c>
      <c r="L2007">
        <f>IFERROR(IF(VLOOKUP(calendar[[#This Row],[Date]],BH!A:A,1,)&lt;&gt;"",1,0),0)</f>
        <v>0</v>
      </c>
      <c r="M2007">
        <f>IFERROR(IF(VLOOKUP(calendar[[#This Row],[Date]],BH!C:C,1,)&lt;&gt;"",1,0),0)</f>
        <v>0</v>
      </c>
      <c r="N2007">
        <f>IFERROR(IF(VLOOKUP(calendar[[#This Row],[Date]],BH!E:E,1,)&lt;&gt;"",1,0),0)</f>
        <v>0</v>
      </c>
      <c r="O2007">
        <f>IFERROR(IF(VLOOKUP(calendar[[#This Row],[Date]],BH!G:G,1,)&lt;&gt;"",1,0),0)</f>
        <v>0</v>
      </c>
      <c r="P2007">
        <f>IF(OR(calendar[[#This Row],[UK_BH]]=1,calendar[[#This Row],[WeekDay]]=1, calendar[[#This Row],[WeekDay]]=7),P2006,P2006+1)</f>
        <v>1433</v>
      </c>
      <c r="Q2007">
        <f>IF(OR(calendar[[#This Row],[FR_BH]]=1,calendar[[#This Row],[WeekDay]]=1, calendar[[#This Row],[WeekDay]]=7),P2006,P2006+1)</f>
        <v>1433</v>
      </c>
      <c r="R2007">
        <f>IF(OR(calendar[[#This Row],[SP_BH]]=1,calendar[[#This Row],[WeekDay]]=1, calendar[[#This Row],[WeekDay]]=7),P2006,P2006+1)</f>
        <v>1433</v>
      </c>
      <c r="S2007">
        <f>IF(OR(calendar[[#This Row],[PT_BH]]=1,calendar[[#This Row],[WeekDay]]=1, calendar[[#This Row],[WeekDay]]=7),P2006,P2006+1)</f>
        <v>1433</v>
      </c>
    </row>
    <row r="2008" spans="1:19" x14ac:dyDescent="0.25">
      <c r="A2008" s="2">
        <v>44742</v>
      </c>
      <c r="B2008" s="1">
        <f t="shared" si="158"/>
        <v>27</v>
      </c>
      <c r="C2008">
        <f t="shared" si="160"/>
        <v>6</v>
      </c>
      <c r="D2008" t="str">
        <f t="shared" si="161"/>
        <v>June</v>
      </c>
      <c r="E2008">
        <f t="shared" si="162"/>
        <v>2022</v>
      </c>
      <c r="F2008" t="str">
        <f>CONCATENATE(calendar[[#This Row],[Month]],"/",calendar[[#This Row],[Year]])</f>
        <v>6/2022</v>
      </c>
      <c r="G2008">
        <f>WEEKDAY(calendar[[#This Row],[Date]],1)</f>
        <v>5</v>
      </c>
      <c r="H2008" t="str">
        <f>TEXT(calendar[[#This Row],[WeekDay]],"dddd")</f>
        <v>Thursday</v>
      </c>
      <c r="I2008">
        <f>IF((INT(calendar[[#This Row],[Count]]/7)-calendar[[#This Row],[Count]]/7)&lt;0,I2007,I2007+1)</f>
        <v>287</v>
      </c>
      <c r="J2008">
        <f t="shared" si="159"/>
        <v>2006</v>
      </c>
      <c r="K2008">
        <f>IF(calendar[[#This Row],[Month]]&lt;4,1,IF(calendar[[#This Row],[Month]]&lt;7,2,IF(calendar[[#This Row],[Month]]&lt;10,3,4)))</f>
        <v>2</v>
      </c>
      <c r="L2008">
        <f>IFERROR(IF(VLOOKUP(calendar[[#This Row],[Date]],BH!A:A,1,)&lt;&gt;"",1,0),0)</f>
        <v>0</v>
      </c>
      <c r="M2008">
        <f>IFERROR(IF(VLOOKUP(calendar[[#This Row],[Date]],BH!C:C,1,)&lt;&gt;"",1,0),0)</f>
        <v>0</v>
      </c>
      <c r="N2008">
        <f>IFERROR(IF(VLOOKUP(calendar[[#This Row],[Date]],BH!E:E,1,)&lt;&gt;"",1,0),0)</f>
        <v>0</v>
      </c>
      <c r="O2008">
        <f>IFERROR(IF(VLOOKUP(calendar[[#This Row],[Date]],BH!G:G,1,)&lt;&gt;"",1,0),0)</f>
        <v>0</v>
      </c>
      <c r="P2008">
        <f>IF(OR(calendar[[#This Row],[UK_BH]]=1,calendar[[#This Row],[WeekDay]]=1, calendar[[#This Row],[WeekDay]]=7),P2007,P2007+1)</f>
        <v>1434</v>
      </c>
      <c r="Q2008">
        <f>IF(OR(calendar[[#This Row],[FR_BH]]=1,calendar[[#This Row],[WeekDay]]=1, calendar[[#This Row],[WeekDay]]=7),P2007,P2007+1)</f>
        <v>1434</v>
      </c>
      <c r="R2008">
        <f>IF(OR(calendar[[#This Row],[SP_BH]]=1,calendar[[#This Row],[WeekDay]]=1, calendar[[#This Row],[WeekDay]]=7),P2007,P2007+1)</f>
        <v>1434</v>
      </c>
      <c r="S2008">
        <f>IF(OR(calendar[[#This Row],[PT_BH]]=1,calendar[[#This Row],[WeekDay]]=1, calendar[[#This Row],[WeekDay]]=7),P2007,P2007+1)</f>
        <v>1434</v>
      </c>
    </row>
    <row r="2009" spans="1:19" x14ac:dyDescent="0.25">
      <c r="A2009" s="2">
        <v>44743</v>
      </c>
      <c r="B2009" s="1">
        <f t="shared" si="158"/>
        <v>27</v>
      </c>
      <c r="C2009">
        <f t="shared" si="160"/>
        <v>7</v>
      </c>
      <c r="D2009" t="str">
        <f t="shared" si="161"/>
        <v>July</v>
      </c>
      <c r="E2009">
        <f t="shared" si="162"/>
        <v>2022</v>
      </c>
      <c r="F2009" t="str">
        <f>CONCATENATE(calendar[[#This Row],[Month]],"/",calendar[[#This Row],[Year]])</f>
        <v>7/2022</v>
      </c>
      <c r="G2009">
        <f>WEEKDAY(calendar[[#This Row],[Date]],1)</f>
        <v>6</v>
      </c>
      <c r="H2009" t="str">
        <f>TEXT(calendar[[#This Row],[WeekDay]],"dddd")</f>
        <v>Friday</v>
      </c>
      <c r="I2009">
        <f>IF((INT(calendar[[#This Row],[Count]]/7)-calendar[[#This Row],[Count]]/7)&lt;0,I2008,I2008+1)</f>
        <v>287</v>
      </c>
      <c r="J2009">
        <f t="shared" si="159"/>
        <v>2007</v>
      </c>
      <c r="K2009">
        <f>IF(calendar[[#This Row],[Month]]&lt;4,1,IF(calendar[[#This Row],[Month]]&lt;7,2,IF(calendar[[#This Row],[Month]]&lt;10,3,4)))</f>
        <v>3</v>
      </c>
      <c r="L2009">
        <f>IFERROR(IF(VLOOKUP(calendar[[#This Row],[Date]],BH!A:A,1,)&lt;&gt;"",1,0),0)</f>
        <v>0</v>
      </c>
      <c r="M2009">
        <f>IFERROR(IF(VLOOKUP(calendar[[#This Row],[Date]],BH!C:C,1,)&lt;&gt;"",1,0),0)</f>
        <v>0</v>
      </c>
      <c r="N2009">
        <f>IFERROR(IF(VLOOKUP(calendar[[#This Row],[Date]],BH!E:E,1,)&lt;&gt;"",1,0),0)</f>
        <v>0</v>
      </c>
      <c r="O2009">
        <f>IFERROR(IF(VLOOKUP(calendar[[#This Row],[Date]],BH!G:G,1,)&lt;&gt;"",1,0),0)</f>
        <v>0</v>
      </c>
      <c r="P2009">
        <f>IF(OR(calendar[[#This Row],[UK_BH]]=1,calendar[[#This Row],[WeekDay]]=1, calendar[[#This Row],[WeekDay]]=7),P2008,P2008+1)</f>
        <v>1435</v>
      </c>
      <c r="Q2009">
        <f>IF(OR(calendar[[#This Row],[FR_BH]]=1,calendar[[#This Row],[WeekDay]]=1, calendar[[#This Row],[WeekDay]]=7),P2008,P2008+1)</f>
        <v>1435</v>
      </c>
      <c r="R2009">
        <f>IF(OR(calendar[[#This Row],[SP_BH]]=1,calendar[[#This Row],[WeekDay]]=1, calendar[[#This Row],[WeekDay]]=7),P2008,P2008+1)</f>
        <v>1435</v>
      </c>
      <c r="S2009">
        <f>IF(OR(calendar[[#This Row],[PT_BH]]=1,calendar[[#This Row],[WeekDay]]=1, calendar[[#This Row],[WeekDay]]=7),P2008,P2008+1)</f>
        <v>1435</v>
      </c>
    </row>
    <row r="2010" spans="1:19" x14ac:dyDescent="0.25">
      <c r="A2010" s="2">
        <v>44744</v>
      </c>
      <c r="B2010" s="1">
        <f t="shared" si="158"/>
        <v>27</v>
      </c>
      <c r="C2010">
        <f t="shared" si="160"/>
        <v>7</v>
      </c>
      <c r="D2010" t="str">
        <f t="shared" si="161"/>
        <v>July</v>
      </c>
      <c r="E2010">
        <f t="shared" si="162"/>
        <v>2022</v>
      </c>
      <c r="F2010" t="str">
        <f>CONCATENATE(calendar[[#This Row],[Month]],"/",calendar[[#This Row],[Year]])</f>
        <v>7/2022</v>
      </c>
      <c r="G2010">
        <f>WEEKDAY(calendar[[#This Row],[Date]],1)</f>
        <v>7</v>
      </c>
      <c r="H2010" t="str">
        <f>TEXT(calendar[[#This Row],[WeekDay]],"dddd")</f>
        <v>Saturday</v>
      </c>
      <c r="I2010">
        <f>IF((INT(calendar[[#This Row],[Count]]/7)-calendar[[#This Row],[Count]]/7)&lt;0,I2009,I2009+1)</f>
        <v>287</v>
      </c>
      <c r="J2010">
        <f t="shared" si="159"/>
        <v>2008</v>
      </c>
      <c r="K2010">
        <f>IF(calendar[[#This Row],[Month]]&lt;4,1,IF(calendar[[#This Row],[Month]]&lt;7,2,IF(calendar[[#This Row],[Month]]&lt;10,3,4)))</f>
        <v>3</v>
      </c>
      <c r="L2010">
        <f>IFERROR(IF(VLOOKUP(calendar[[#This Row],[Date]],BH!A:A,1,)&lt;&gt;"",1,0),0)</f>
        <v>0</v>
      </c>
      <c r="M2010">
        <f>IFERROR(IF(VLOOKUP(calendar[[#This Row],[Date]],BH!C:C,1,)&lt;&gt;"",1,0),0)</f>
        <v>0</v>
      </c>
      <c r="N2010">
        <f>IFERROR(IF(VLOOKUP(calendar[[#This Row],[Date]],BH!E:E,1,)&lt;&gt;"",1,0),0)</f>
        <v>0</v>
      </c>
      <c r="O2010">
        <f>IFERROR(IF(VLOOKUP(calendar[[#This Row],[Date]],BH!G:G,1,)&lt;&gt;"",1,0),0)</f>
        <v>0</v>
      </c>
      <c r="P2010">
        <f>IF(OR(calendar[[#This Row],[UK_BH]]=1,calendar[[#This Row],[WeekDay]]=1, calendar[[#This Row],[WeekDay]]=7),P2009,P2009+1)</f>
        <v>1435</v>
      </c>
      <c r="Q2010">
        <f>IF(OR(calendar[[#This Row],[FR_BH]]=1,calendar[[#This Row],[WeekDay]]=1, calendar[[#This Row],[WeekDay]]=7),P2009,P2009+1)</f>
        <v>1435</v>
      </c>
      <c r="R2010">
        <f>IF(OR(calendar[[#This Row],[SP_BH]]=1,calendar[[#This Row],[WeekDay]]=1, calendar[[#This Row],[WeekDay]]=7),P2009,P2009+1)</f>
        <v>1435</v>
      </c>
      <c r="S2010">
        <f>IF(OR(calendar[[#This Row],[PT_BH]]=1,calendar[[#This Row],[WeekDay]]=1, calendar[[#This Row],[WeekDay]]=7),P2009,P2009+1)</f>
        <v>1435</v>
      </c>
    </row>
    <row r="2011" spans="1:19" x14ac:dyDescent="0.25">
      <c r="A2011" s="2">
        <v>44745</v>
      </c>
      <c r="B2011" s="1">
        <f t="shared" si="158"/>
        <v>28</v>
      </c>
      <c r="C2011">
        <f t="shared" si="160"/>
        <v>7</v>
      </c>
      <c r="D2011" t="str">
        <f t="shared" si="161"/>
        <v>July</v>
      </c>
      <c r="E2011">
        <f t="shared" si="162"/>
        <v>2022</v>
      </c>
      <c r="F2011" t="str">
        <f>CONCATENATE(calendar[[#This Row],[Month]],"/",calendar[[#This Row],[Year]])</f>
        <v>7/2022</v>
      </c>
      <c r="G2011">
        <f>WEEKDAY(calendar[[#This Row],[Date]],1)</f>
        <v>1</v>
      </c>
      <c r="H2011" t="str">
        <f>TEXT(calendar[[#This Row],[WeekDay]],"dddd")</f>
        <v>Sunday</v>
      </c>
      <c r="I2011">
        <f>IF((INT(calendar[[#This Row],[Count]]/7)-calendar[[#This Row],[Count]]/7)&lt;0,I2010,I2010+1)</f>
        <v>288</v>
      </c>
      <c r="J2011">
        <f t="shared" si="159"/>
        <v>2009</v>
      </c>
      <c r="K2011">
        <f>IF(calendar[[#This Row],[Month]]&lt;4,1,IF(calendar[[#This Row],[Month]]&lt;7,2,IF(calendar[[#This Row],[Month]]&lt;10,3,4)))</f>
        <v>3</v>
      </c>
      <c r="L2011">
        <f>IFERROR(IF(VLOOKUP(calendar[[#This Row],[Date]],BH!A:A,1,)&lt;&gt;"",1,0),0)</f>
        <v>0</v>
      </c>
      <c r="M2011">
        <f>IFERROR(IF(VLOOKUP(calendar[[#This Row],[Date]],BH!C:C,1,)&lt;&gt;"",1,0),0)</f>
        <v>0</v>
      </c>
      <c r="N2011">
        <f>IFERROR(IF(VLOOKUP(calendar[[#This Row],[Date]],BH!E:E,1,)&lt;&gt;"",1,0),0)</f>
        <v>0</v>
      </c>
      <c r="O2011">
        <f>IFERROR(IF(VLOOKUP(calendar[[#This Row],[Date]],BH!G:G,1,)&lt;&gt;"",1,0),0)</f>
        <v>0</v>
      </c>
      <c r="P2011">
        <f>IF(OR(calendar[[#This Row],[UK_BH]]=1,calendar[[#This Row],[WeekDay]]=1, calendar[[#This Row],[WeekDay]]=7),P2010,P2010+1)</f>
        <v>1435</v>
      </c>
      <c r="Q2011">
        <f>IF(OR(calendar[[#This Row],[FR_BH]]=1,calendar[[#This Row],[WeekDay]]=1, calendar[[#This Row],[WeekDay]]=7),P2010,P2010+1)</f>
        <v>1435</v>
      </c>
      <c r="R2011">
        <f>IF(OR(calendar[[#This Row],[SP_BH]]=1,calendar[[#This Row],[WeekDay]]=1, calendar[[#This Row],[WeekDay]]=7),P2010,P2010+1)</f>
        <v>1435</v>
      </c>
      <c r="S2011">
        <f>IF(OR(calendar[[#This Row],[PT_BH]]=1,calendar[[#This Row],[WeekDay]]=1, calendar[[#This Row],[WeekDay]]=7),P2010,P2010+1)</f>
        <v>1435</v>
      </c>
    </row>
    <row r="2012" spans="1:19" x14ac:dyDescent="0.25">
      <c r="A2012" s="2">
        <v>44746</v>
      </c>
      <c r="B2012" s="1">
        <f t="shared" si="158"/>
        <v>28</v>
      </c>
      <c r="C2012">
        <f t="shared" si="160"/>
        <v>7</v>
      </c>
      <c r="D2012" t="str">
        <f t="shared" si="161"/>
        <v>July</v>
      </c>
      <c r="E2012">
        <f t="shared" si="162"/>
        <v>2022</v>
      </c>
      <c r="F2012" t="str">
        <f>CONCATENATE(calendar[[#This Row],[Month]],"/",calendar[[#This Row],[Year]])</f>
        <v>7/2022</v>
      </c>
      <c r="G2012">
        <f>WEEKDAY(calendar[[#This Row],[Date]],1)</f>
        <v>2</v>
      </c>
      <c r="H2012" t="str">
        <f>TEXT(calendar[[#This Row],[WeekDay]],"dddd")</f>
        <v>Monday</v>
      </c>
      <c r="I2012">
        <f>IF((INT(calendar[[#This Row],[Count]]/7)-calendar[[#This Row],[Count]]/7)&lt;0,I2011,I2011+1)</f>
        <v>288</v>
      </c>
      <c r="J2012">
        <f t="shared" si="159"/>
        <v>2010</v>
      </c>
      <c r="K2012">
        <f>IF(calendar[[#This Row],[Month]]&lt;4,1,IF(calendar[[#This Row],[Month]]&lt;7,2,IF(calendar[[#This Row],[Month]]&lt;10,3,4)))</f>
        <v>3</v>
      </c>
      <c r="L2012">
        <f>IFERROR(IF(VLOOKUP(calendar[[#This Row],[Date]],BH!A:A,1,)&lt;&gt;"",1,0),0)</f>
        <v>0</v>
      </c>
      <c r="M2012">
        <f>IFERROR(IF(VLOOKUP(calendar[[#This Row],[Date]],BH!C:C,1,)&lt;&gt;"",1,0),0)</f>
        <v>0</v>
      </c>
      <c r="N2012">
        <f>IFERROR(IF(VLOOKUP(calendar[[#This Row],[Date]],BH!E:E,1,)&lt;&gt;"",1,0),0)</f>
        <v>0</v>
      </c>
      <c r="O2012">
        <f>IFERROR(IF(VLOOKUP(calendar[[#This Row],[Date]],BH!G:G,1,)&lt;&gt;"",1,0),0)</f>
        <v>0</v>
      </c>
      <c r="P2012">
        <f>IF(OR(calendar[[#This Row],[UK_BH]]=1,calendar[[#This Row],[WeekDay]]=1, calendar[[#This Row],[WeekDay]]=7),P2011,P2011+1)</f>
        <v>1436</v>
      </c>
      <c r="Q2012">
        <f>IF(OR(calendar[[#This Row],[FR_BH]]=1,calendar[[#This Row],[WeekDay]]=1, calendar[[#This Row],[WeekDay]]=7),P2011,P2011+1)</f>
        <v>1436</v>
      </c>
      <c r="R2012">
        <f>IF(OR(calendar[[#This Row],[SP_BH]]=1,calendar[[#This Row],[WeekDay]]=1, calendar[[#This Row],[WeekDay]]=7),P2011,P2011+1)</f>
        <v>1436</v>
      </c>
      <c r="S2012">
        <f>IF(OR(calendar[[#This Row],[PT_BH]]=1,calendar[[#This Row],[WeekDay]]=1, calendar[[#This Row],[WeekDay]]=7),P2011,P2011+1)</f>
        <v>1436</v>
      </c>
    </row>
    <row r="2013" spans="1:19" x14ac:dyDescent="0.25">
      <c r="A2013" s="2">
        <v>44747</v>
      </c>
      <c r="B2013" s="1">
        <f t="shared" si="158"/>
        <v>28</v>
      </c>
      <c r="C2013">
        <f t="shared" si="160"/>
        <v>7</v>
      </c>
      <c r="D2013" t="str">
        <f t="shared" si="161"/>
        <v>July</v>
      </c>
      <c r="E2013">
        <f t="shared" si="162"/>
        <v>2022</v>
      </c>
      <c r="F2013" t="str">
        <f>CONCATENATE(calendar[[#This Row],[Month]],"/",calendar[[#This Row],[Year]])</f>
        <v>7/2022</v>
      </c>
      <c r="G2013">
        <f>WEEKDAY(calendar[[#This Row],[Date]],1)</f>
        <v>3</v>
      </c>
      <c r="H2013" t="str">
        <f>TEXT(calendar[[#This Row],[WeekDay]],"dddd")</f>
        <v>Tuesday</v>
      </c>
      <c r="I2013">
        <f>IF((INT(calendar[[#This Row],[Count]]/7)-calendar[[#This Row],[Count]]/7)&lt;0,I2012,I2012+1)</f>
        <v>288</v>
      </c>
      <c r="J2013">
        <f t="shared" si="159"/>
        <v>2011</v>
      </c>
      <c r="K2013">
        <f>IF(calendar[[#This Row],[Month]]&lt;4,1,IF(calendar[[#This Row],[Month]]&lt;7,2,IF(calendar[[#This Row],[Month]]&lt;10,3,4)))</f>
        <v>3</v>
      </c>
      <c r="L2013">
        <f>IFERROR(IF(VLOOKUP(calendar[[#This Row],[Date]],BH!A:A,1,)&lt;&gt;"",1,0),0)</f>
        <v>0</v>
      </c>
      <c r="M2013">
        <f>IFERROR(IF(VLOOKUP(calendar[[#This Row],[Date]],BH!C:C,1,)&lt;&gt;"",1,0),0)</f>
        <v>0</v>
      </c>
      <c r="N2013">
        <f>IFERROR(IF(VLOOKUP(calendar[[#This Row],[Date]],BH!E:E,1,)&lt;&gt;"",1,0),0)</f>
        <v>0</v>
      </c>
      <c r="O2013">
        <f>IFERROR(IF(VLOOKUP(calendar[[#This Row],[Date]],BH!G:G,1,)&lt;&gt;"",1,0),0)</f>
        <v>0</v>
      </c>
      <c r="P2013">
        <f>IF(OR(calendar[[#This Row],[UK_BH]]=1,calendar[[#This Row],[WeekDay]]=1, calendar[[#This Row],[WeekDay]]=7),P2012,P2012+1)</f>
        <v>1437</v>
      </c>
      <c r="Q2013">
        <f>IF(OR(calendar[[#This Row],[FR_BH]]=1,calendar[[#This Row],[WeekDay]]=1, calendar[[#This Row],[WeekDay]]=7),P2012,P2012+1)</f>
        <v>1437</v>
      </c>
      <c r="R2013">
        <f>IF(OR(calendar[[#This Row],[SP_BH]]=1,calendar[[#This Row],[WeekDay]]=1, calendar[[#This Row],[WeekDay]]=7),P2012,P2012+1)</f>
        <v>1437</v>
      </c>
      <c r="S2013">
        <f>IF(OR(calendar[[#This Row],[PT_BH]]=1,calendar[[#This Row],[WeekDay]]=1, calendar[[#This Row],[WeekDay]]=7),P2012,P2012+1)</f>
        <v>1437</v>
      </c>
    </row>
    <row r="2014" spans="1:19" x14ac:dyDescent="0.25">
      <c r="A2014" s="2">
        <v>44748</v>
      </c>
      <c r="B2014" s="1">
        <f t="shared" si="158"/>
        <v>28</v>
      </c>
      <c r="C2014">
        <f t="shared" si="160"/>
        <v>7</v>
      </c>
      <c r="D2014" t="str">
        <f t="shared" si="161"/>
        <v>July</v>
      </c>
      <c r="E2014">
        <f t="shared" si="162"/>
        <v>2022</v>
      </c>
      <c r="F2014" t="str">
        <f>CONCATENATE(calendar[[#This Row],[Month]],"/",calendar[[#This Row],[Year]])</f>
        <v>7/2022</v>
      </c>
      <c r="G2014">
        <f>WEEKDAY(calendar[[#This Row],[Date]],1)</f>
        <v>4</v>
      </c>
      <c r="H2014" t="str">
        <f>TEXT(calendar[[#This Row],[WeekDay]],"dddd")</f>
        <v>Wednesday</v>
      </c>
      <c r="I2014">
        <f>IF((INT(calendar[[#This Row],[Count]]/7)-calendar[[#This Row],[Count]]/7)&lt;0,I2013,I2013+1)</f>
        <v>288</v>
      </c>
      <c r="J2014">
        <f t="shared" si="159"/>
        <v>2012</v>
      </c>
      <c r="K2014">
        <f>IF(calendar[[#This Row],[Month]]&lt;4,1,IF(calendar[[#This Row],[Month]]&lt;7,2,IF(calendar[[#This Row],[Month]]&lt;10,3,4)))</f>
        <v>3</v>
      </c>
      <c r="L2014">
        <f>IFERROR(IF(VLOOKUP(calendar[[#This Row],[Date]],BH!A:A,1,)&lt;&gt;"",1,0),0)</f>
        <v>0</v>
      </c>
      <c r="M2014">
        <f>IFERROR(IF(VLOOKUP(calendar[[#This Row],[Date]],BH!C:C,1,)&lt;&gt;"",1,0),0)</f>
        <v>0</v>
      </c>
      <c r="N2014">
        <f>IFERROR(IF(VLOOKUP(calendar[[#This Row],[Date]],BH!E:E,1,)&lt;&gt;"",1,0),0)</f>
        <v>0</v>
      </c>
      <c r="O2014">
        <f>IFERROR(IF(VLOOKUP(calendar[[#This Row],[Date]],BH!G:G,1,)&lt;&gt;"",1,0),0)</f>
        <v>0</v>
      </c>
      <c r="P2014">
        <f>IF(OR(calendar[[#This Row],[UK_BH]]=1,calendar[[#This Row],[WeekDay]]=1, calendar[[#This Row],[WeekDay]]=7),P2013,P2013+1)</f>
        <v>1438</v>
      </c>
      <c r="Q2014">
        <f>IF(OR(calendar[[#This Row],[FR_BH]]=1,calendar[[#This Row],[WeekDay]]=1, calendar[[#This Row],[WeekDay]]=7),P2013,P2013+1)</f>
        <v>1438</v>
      </c>
      <c r="R2014">
        <f>IF(OR(calendar[[#This Row],[SP_BH]]=1,calendar[[#This Row],[WeekDay]]=1, calendar[[#This Row],[WeekDay]]=7),P2013,P2013+1)</f>
        <v>1438</v>
      </c>
      <c r="S2014">
        <f>IF(OR(calendar[[#This Row],[PT_BH]]=1,calendar[[#This Row],[WeekDay]]=1, calendar[[#This Row],[WeekDay]]=7),P2013,P2013+1)</f>
        <v>1438</v>
      </c>
    </row>
    <row r="2015" spans="1:19" x14ac:dyDescent="0.25">
      <c r="A2015" s="2">
        <v>44749</v>
      </c>
      <c r="B2015" s="1">
        <f t="shared" si="158"/>
        <v>28</v>
      </c>
      <c r="C2015">
        <f t="shared" si="160"/>
        <v>7</v>
      </c>
      <c r="D2015" t="str">
        <f t="shared" si="161"/>
        <v>July</v>
      </c>
      <c r="E2015">
        <f t="shared" si="162"/>
        <v>2022</v>
      </c>
      <c r="F2015" t="str">
        <f>CONCATENATE(calendar[[#This Row],[Month]],"/",calendar[[#This Row],[Year]])</f>
        <v>7/2022</v>
      </c>
      <c r="G2015">
        <f>WEEKDAY(calendar[[#This Row],[Date]],1)</f>
        <v>5</v>
      </c>
      <c r="H2015" t="str">
        <f>TEXT(calendar[[#This Row],[WeekDay]],"dddd")</f>
        <v>Thursday</v>
      </c>
      <c r="I2015">
        <f>IF((INT(calendar[[#This Row],[Count]]/7)-calendar[[#This Row],[Count]]/7)&lt;0,I2014,I2014+1)</f>
        <v>288</v>
      </c>
      <c r="J2015">
        <f t="shared" si="159"/>
        <v>2013</v>
      </c>
      <c r="K2015">
        <f>IF(calendar[[#This Row],[Month]]&lt;4,1,IF(calendar[[#This Row],[Month]]&lt;7,2,IF(calendar[[#This Row],[Month]]&lt;10,3,4)))</f>
        <v>3</v>
      </c>
      <c r="L2015">
        <f>IFERROR(IF(VLOOKUP(calendar[[#This Row],[Date]],BH!A:A,1,)&lt;&gt;"",1,0),0)</f>
        <v>0</v>
      </c>
      <c r="M2015">
        <f>IFERROR(IF(VLOOKUP(calendar[[#This Row],[Date]],BH!C:C,1,)&lt;&gt;"",1,0),0)</f>
        <v>0</v>
      </c>
      <c r="N2015">
        <f>IFERROR(IF(VLOOKUP(calendar[[#This Row],[Date]],BH!E:E,1,)&lt;&gt;"",1,0),0)</f>
        <v>0</v>
      </c>
      <c r="O2015">
        <f>IFERROR(IF(VLOOKUP(calendar[[#This Row],[Date]],BH!G:G,1,)&lt;&gt;"",1,0),0)</f>
        <v>0</v>
      </c>
      <c r="P2015">
        <f>IF(OR(calendar[[#This Row],[UK_BH]]=1,calendar[[#This Row],[WeekDay]]=1, calendar[[#This Row],[WeekDay]]=7),P2014,P2014+1)</f>
        <v>1439</v>
      </c>
      <c r="Q2015">
        <f>IF(OR(calendar[[#This Row],[FR_BH]]=1,calendar[[#This Row],[WeekDay]]=1, calendar[[#This Row],[WeekDay]]=7),P2014,P2014+1)</f>
        <v>1439</v>
      </c>
      <c r="R2015">
        <f>IF(OR(calendar[[#This Row],[SP_BH]]=1,calendar[[#This Row],[WeekDay]]=1, calendar[[#This Row],[WeekDay]]=7),P2014,P2014+1)</f>
        <v>1439</v>
      </c>
      <c r="S2015">
        <f>IF(OR(calendar[[#This Row],[PT_BH]]=1,calendar[[#This Row],[WeekDay]]=1, calendar[[#This Row],[WeekDay]]=7),P2014,P2014+1)</f>
        <v>1439</v>
      </c>
    </row>
    <row r="2016" spans="1:19" x14ac:dyDescent="0.25">
      <c r="A2016" s="2">
        <v>44750</v>
      </c>
      <c r="B2016" s="1">
        <f t="shared" si="158"/>
        <v>28</v>
      </c>
      <c r="C2016">
        <f t="shared" si="160"/>
        <v>7</v>
      </c>
      <c r="D2016" t="str">
        <f t="shared" si="161"/>
        <v>July</v>
      </c>
      <c r="E2016">
        <f t="shared" si="162"/>
        <v>2022</v>
      </c>
      <c r="F2016" t="str">
        <f>CONCATENATE(calendar[[#This Row],[Month]],"/",calendar[[#This Row],[Year]])</f>
        <v>7/2022</v>
      </c>
      <c r="G2016">
        <f>WEEKDAY(calendar[[#This Row],[Date]],1)</f>
        <v>6</v>
      </c>
      <c r="H2016" t="str">
        <f>TEXT(calendar[[#This Row],[WeekDay]],"dddd")</f>
        <v>Friday</v>
      </c>
      <c r="I2016">
        <f>IF((INT(calendar[[#This Row],[Count]]/7)-calendar[[#This Row],[Count]]/7)&lt;0,I2015,I2015+1)</f>
        <v>288</v>
      </c>
      <c r="J2016">
        <f t="shared" si="159"/>
        <v>2014</v>
      </c>
      <c r="K2016">
        <f>IF(calendar[[#This Row],[Month]]&lt;4,1,IF(calendar[[#This Row],[Month]]&lt;7,2,IF(calendar[[#This Row],[Month]]&lt;10,3,4)))</f>
        <v>3</v>
      </c>
      <c r="L2016">
        <f>IFERROR(IF(VLOOKUP(calendar[[#This Row],[Date]],BH!A:A,1,)&lt;&gt;"",1,0),0)</f>
        <v>0</v>
      </c>
      <c r="M2016">
        <f>IFERROR(IF(VLOOKUP(calendar[[#This Row],[Date]],BH!C:C,1,)&lt;&gt;"",1,0),0)</f>
        <v>0</v>
      </c>
      <c r="N2016">
        <f>IFERROR(IF(VLOOKUP(calendar[[#This Row],[Date]],BH!E:E,1,)&lt;&gt;"",1,0),0)</f>
        <v>0</v>
      </c>
      <c r="O2016">
        <f>IFERROR(IF(VLOOKUP(calendar[[#This Row],[Date]],BH!G:G,1,)&lt;&gt;"",1,0),0)</f>
        <v>0</v>
      </c>
      <c r="P2016">
        <f>IF(OR(calendar[[#This Row],[UK_BH]]=1,calendar[[#This Row],[WeekDay]]=1, calendar[[#This Row],[WeekDay]]=7),P2015,P2015+1)</f>
        <v>1440</v>
      </c>
      <c r="Q2016">
        <f>IF(OR(calendar[[#This Row],[FR_BH]]=1,calendar[[#This Row],[WeekDay]]=1, calendar[[#This Row],[WeekDay]]=7),P2015,P2015+1)</f>
        <v>1440</v>
      </c>
      <c r="R2016">
        <f>IF(OR(calendar[[#This Row],[SP_BH]]=1,calendar[[#This Row],[WeekDay]]=1, calendar[[#This Row],[WeekDay]]=7),P2015,P2015+1)</f>
        <v>1440</v>
      </c>
      <c r="S2016">
        <f>IF(OR(calendar[[#This Row],[PT_BH]]=1,calendar[[#This Row],[WeekDay]]=1, calendar[[#This Row],[WeekDay]]=7),P2015,P2015+1)</f>
        <v>1440</v>
      </c>
    </row>
    <row r="2017" spans="1:19" x14ac:dyDescent="0.25">
      <c r="A2017" s="2">
        <v>44751</v>
      </c>
      <c r="B2017" s="1">
        <f t="shared" si="158"/>
        <v>28</v>
      </c>
      <c r="C2017">
        <f t="shared" si="160"/>
        <v>7</v>
      </c>
      <c r="D2017" t="str">
        <f t="shared" si="161"/>
        <v>July</v>
      </c>
      <c r="E2017">
        <f t="shared" si="162"/>
        <v>2022</v>
      </c>
      <c r="F2017" t="str">
        <f>CONCATENATE(calendar[[#This Row],[Month]],"/",calendar[[#This Row],[Year]])</f>
        <v>7/2022</v>
      </c>
      <c r="G2017">
        <f>WEEKDAY(calendar[[#This Row],[Date]],1)</f>
        <v>7</v>
      </c>
      <c r="H2017" t="str">
        <f>TEXT(calendar[[#This Row],[WeekDay]],"dddd")</f>
        <v>Saturday</v>
      </c>
      <c r="I2017">
        <f>IF((INT(calendar[[#This Row],[Count]]/7)-calendar[[#This Row],[Count]]/7)&lt;0,I2016,I2016+1)</f>
        <v>288</v>
      </c>
      <c r="J2017">
        <f t="shared" si="159"/>
        <v>2015</v>
      </c>
      <c r="K2017">
        <f>IF(calendar[[#This Row],[Month]]&lt;4,1,IF(calendar[[#This Row],[Month]]&lt;7,2,IF(calendar[[#This Row],[Month]]&lt;10,3,4)))</f>
        <v>3</v>
      </c>
      <c r="L2017">
        <f>IFERROR(IF(VLOOKUP(calendar[[#This Row],[Date]],BH!A:A,1,)&lt;&gt;"",1,0),0)</f>
        <v>0</v>
      </c>
      <c r="M2017">
        <f>IFERROR(IF(VLOOKUP(calendar[[#This Row],[Date]],BH!C:C,1,)&lt;&gt;"",1,0),0)</f>
        <v>0</v>
      </c>
      <c r="N2017">
        <f>IFERROR(IF(VLOOKUP(calendar[[#This Row],[Date]],BH!E:E,1,)&lt;&gt;"",1,0),0)</f>
        <v>0</v>
      </c>
      <c r="O2017">
        <f>IFERROR(IF(VLOOKUP(calendar[[#This Row],[Date]],BH!G:G,1,)&lt;&gt;"",1,0),0)</f>
        <v>0</v>
      </c>
      <c r="P2017">
        <f>IF(OR(calendar[[#This Row],[UK_BH]]=1,calendar[[#This Row],[WeekDay]]=1, calendar[[#This Row],[WeekDay]]=7),P2016,P2016+1)</f>
        <v>1440</v>
      </c>
      <c r="Q2017">
        <f>IF(OR(calendar[[#This Row],[FR_BH]]=1,calendar[[#This Row],[WeekDay]]=1, calendar[[#This Row],[WeekDay]]=7),P2016,P2016+1)</f>
        <v>1440</v>
      </c>
      <c r="R2017">
        <f>IF(OR(calendar[[#This Row],[SP_BH]]=1,calendar[[#This Row],[WeekDay]]=1, calendar[[#This Row],[WeekDay]]=7),P2016,P2016+1)</f>
        <v>1440</v>
      </c>
      <c r="S2017">
        <f>IF(OR(calendar[[#This Row],[PT_BH]]=1,calendar[[#This Row],[WeekDay]]=1, calendar[[#This Row],[WeekDay]]=7),P2016,P2016+1)</f>
        <v>1440</v>
      </c>
    </row>
    <row r="2018" spans="1:19" x14ac:dyDescent="0.25">
      <c r="A2018" s="2">
        <v>44752</v>
      </c>
      <c r="B2018" s="1">
        <f t="shared" si="158"/>
        <v>29</v>
      </c>
      <c r="C2018">
        <f t="shared" si="160"/>
        <v>7</v>
      </c>
      <c r="D2018" t="str">
        <f t="shared" si="161"/>
        <v>July</v>
      </c>
      <c r="E2018">
        <f t="shared" si="162"/>
        <v>2022</v>
      </c>
      <c r="F2018" t="str">
        <f>CONCATENATE(calendar[[#This Row],[Month]],"/",calendar[[#This Row],[Year]])</f>
        <v>7/2022</v>
      </c>
      <c r="G2018">
        <f>WEEKDAY(calendar[[#This Row],[Date]],1)</f>
        <v>1</v>
      </c>
      <c r="H2018" t="str">
        <f>TEXT(calendar[[#This Row],[WeekDay]],"dddd")</f>
        <v>Sunday</v>
      </c>
      <c r="I2018">
        <f>IF((INT(calendar[[#This Row],[Count]]/7)-calendar[[#This Row],[Count]]/7)&lt;0,I2017,I2017+1)</f>
        <v>289</v>
      </c>
      <c r="J2018">
        <f t="shared" si="159"/>
        <v>2016</v>
      </c>
      <c r="K2018">
        <f>IF(calendar[[#This Row],[Month]]&lt;4,1,IF(calendar[[#This Row],[Month]]&lt;7,2,IF(calendar[[#This Row],[Month]]&lt;10,3,4)))</f>
        <v>3</v>
      </c>
      <c r="L2018">
        <f>IFERROR(IF(VLOOKUP(calendar[[#This Row],[Date]],BH!A:A,1,)&lt;&gt;"",1,0),0)</f>
        <v>0</v>
      </c>
      <c r="M2018">
        <f>IFERROR(IF(VLOOKUP(calendar[[#This Row],[Date]],BH!C:C,1,)&lt;&gt;"",1,0),0)</f>
        <v>0</v>
      </c>
      <c r="N2018">
        <f>IFERROR(IF(VLOOKUP(calendar[[#This Row],[Date]],BH!E:E,1,)&lt;&gt;"",1,0),0)</f>
        <v>0</v>
      </c>
      <c r="O2018">
        <f>IFERROR(IF(VLOOKUP(calendar[[#This Row],[Date]],BH!G:G,1,)&lt;&gt;"",1,0),0)</f>
        <v>0</v>
      </c>
      <c r="P2018">
        <f>IF(OR(calendar[[#This Row],[UK_BH]]=1,calendar[[#This Row],[WeekDay]]=1, calendar[[#This Row],[WeekDay]]=7),P2017,P2017+1)</f>
        <v>1440</v>
      </c>
      <c r="Q2018">
        <f>IF(OR(calendar[[#This Row],[FR_BH]]=1,calendar[[#This Row],[WeekDay]]=1, calendar[[#This Row],[WeekDay]]=7),P2017,P2017+1)</f>
        <v>1440</v>
      </c>
      <c r="R2018">
        <f>IF(OR(calendar[[#This Row],[SP_BH]]=1,calendar[[#This Row],[WeekDay]]=1, calendar[[#This Row],[WeekDay]]=7),P2017,P2017+1)</f>
        <v>1440</v>
      </c>
      <c r="S2018">
        <f>IF(OR(calendar[[#This Row],[PT_BH]]=1,calendar[[#This Row],[WeekDay]]=1, calendar[[#This Row],[WeekDay]]=7),P2017,P2017+1)</f>
        <v>1440</v>
      </c>
    </row>
    <row r="2019" spans="1:19" x14ac:dyDescent="0.25">
      <c r="A2019" s="2">
        <v>44753</v>
      </c>
      <c r="B2019" s="1">
        <f t="shared" si="158"/>
        <v>29</v>
      </c>
      <c r="C2019">
        <f t="shared" si="160"/>
        <v>7</v>
      </c>
      <c r="D2019" t="str">
        <f t="shared" si="161"/>
        <v>July</v>
      </c>
      <c r="E2019">
        <f t="shared" si="162"/>
        <v>2022</v>
      </c>
      <c r="F2019" t="str">
        <f>CONCATENATE(calendar[[#This Row],[Month]],"/",calendar[[#This Row],[Year]])</f>
        <v>7/2022</v>
      </c>
      <c r="G2019">
        <f>WEEKDAY(calendar[[#This Row],[Date]],1)</f>
        <v>2</v>
      </c>
      <c r="H2019" t="str">
        <f>TEXT(calendar[[#This Row],[WeekDay]],"dddd")</f>
        <v>Monday</v>
      </c>
      <c r="I2019">
        <f>IF((INT(calendar[[#This Row],[Count]]/7)-calendar[[#This Row],[Count]]/7)&lt;0,I2018,I2018+1)</f>
        <v>289</v>
      </c>
      <c r="J2019">
        <f t="shared" si="159"/>
        <v>2017</v>
      </c>
      <c r="K2019">
        <f>IF(calendar[[#This Row],[Month]]&lt;4,1,IF(calendar[[#This Row],[Month]]&lt;7,2,IF(calendar[[#This Row],[Month]]&lt;10,3,4)))</f>
        <v>3</v>
      </c>
      <c r="L2019">
        <f>IFERROR(IF(VLOOKUP(calendar[[#This Row],[Date]],BH!A:A,1,)&lt;&gt;"",1,0),0)</f>
        <v>0</v>
      </c>
      <c r="M2019">
        <f>IFERROR(IF(VLOOKUP(calendar[[#This Row],[Date]],BH!C:C,1,)&lt;&gt;"",1,0),0)</f>
        <v>0</v>
      </c>
      <c r="N2019">
        <f>IFERROR(IF(VLOOKUP(calendar[[#This Row],[Date]],BH!E:E,1,)&lt;&gt;"",1,0),0)</f>
        <v>0</v>
      </c>
      <c r="O2019">
        <f>IFERROR(IF(VLOOKUP(calendar[[#This Row],[Date]],BH!G:G,1,)&lt;&gt;"",1,0),0)</f>
        <v>0</v>
      </c>
      <c r="P2019">
        <f>IF(OR(calendar[[#This Row],[UK_BH]]=1,calendar[[#This Row],[WeekDay]]=1, calendar[[#This Row],[WeekDay]]=7),P2018,P2018+1)</f>
        <v>1441</v>
      </c>
      <c r="Q2019">
        <f>IF(OR(calendar[[#This Row],[FR_BH]]=1,calendar[[#This Row],[WeekDay]]=1, calendar[[#This Row],[WeekDay]]=7),P2018,P2018+1)</f>
        <v>1441</v>
      </c>
      <c r="R2019">
        <f>IF(OR(calendar[[#This Row],[SP_BH]]=1,calendar[[#This Row],[WeekDay]]=1, calendar[[#This Row],[WeekDay]]=7),P2018,P2018+1)</f>
        <v>1441</v>
      </c>
      <c r="S2019">
        <f>IF(OR(calendar[[#This Row],[PT_BH]]=1,calendar[[#This Row],[WeekDay]]=1, calendar[[#This Row],[WeekDay]]=7),P2018,P2018+1)</f>
        <v>1441</v>
      </c>
    </row>
    <row r="2020" spans="1:19" x14ac:dyDescent="0.25">
      <c r="A2020" s="2">
        <v>44754</v>
      </c>
      <c r="B2020" s="1">
        <f t="shared" si="158"/>
        <v>29</v>
      </c>
      <c r="C2020">
        <f t="shared" si="160"/>
        <v>7</v>
      </c>
      <c r="D2020" t="str">
        <f t="shared" si="161"/>
        <v>July</v>
      </c>
      <c r="E2020">
        <f t="shared" si="162"/>
        <v>2022</v>
      </c>
      <c r="F2020" t="str">
        <f>CONCATENATE(calendar[[#This Row],[Month]],"/",calendar[[#This Row],[Year]])</f>
        <v>7/2022</v>
      </c>
      <c r="G2020">
        <f>WEEKDAY(calendar[[#This Row],[Date]],1)</f>
        <v>3</v>
      </c>
      <c r="H2020" t="str">
        <f>TEXT(calendar[[#This Row],[WeekDay]],"dddd")</f>
        <v>Tuesday</v>
      </c>
      <c r="I2020">
        <f>IF((INT(calendar[[#This Row],[Count]]/7)-calendar[[#This Row],[Count]]/7)&lt;0,I2019,I2019+1)</f>
        <v>289</v>
      </c>
      <c r="J2020">
        <f t="shared" si="159"/>
        <v>2018</v>
      </c>
      <c r="K2020">
        <f>IF(calendar[[#This Row],[Month]]&lt;4,1,IF(calendar[[#This Row],[Month]]&lt;7,2,IF(calendar[[#This Row],[Month]]&lt;10,3,4)))</f>
        <v>3</v>
      </c>
      <c r="L2020">
        <f>IFERROR(IF(VLOOKUP(calendar[[#This Row],[Date]],BH!A:A,1,)&lt;&gt;"",1,0),0)</f>
        <v>0</v>
      </c>
      <c r="M2020">
        <f>IFERROR(IF(VLOOKUP(calendar[[#This Row],[Date]],BH!C:C,1,)&lt;&gt;"",1,0),0)</f>
        <v>0</v>
      </c>
      <c r="N2020">
        <f>IFERROR(IF(VLOOKUP(calendar[[#This Row],[Date]],BH!E:E,1,)&lt;&gt;"",1,0),0)</f>
        <v>0</v>
      </c>
      <c r="O2020">
        <f>IFERROR(IF(VLOOKUP(calendar[[#This Row],[Date]],BH!G:G,1,)&lt;&gt;"",1,0),0)</f>
        <v>0</v>
      </c>
      <c r="P2020">
        <f>IF(OR(calendar[[#This Row],[UK_BH]]=1,calendar[[#This Row],[WeekDay]]=1, calendar[[#This Row],[WeekDay]]=7),P2019,P2019+1)</f>
        <v>1442</v>
      </c>
      <c r="Q2020">
        <f>IF(OR(calendar[[#This Row],[FR_BH]]=1,calendar[[#This Row],[WeekDay]]=1, calendar[[#This Row],[WeekDay]]=7),P2019,P2019+1)</f>
        <v>1442</v>
      </c>
      <c r="R2020">
        <f>IF(OR(calendar[[#This Row],[SP_BH]]=1,calendar[[#This Row],[WeekDay]]=1, calendar[[#This Row],[WeekDay]]=7),P2019,P2019+1)</f>
        <v>1442</v>
      </c>
      <c r="S2020">
        <f>IF(OR(calendar[[#This Row],[PT_BH]]=1,calendar[[#This Row],[WeekDay]]=1, calendar[[#This Row],[WeekDay]]=7),P2019,P2019+1)</f>
        <v>1442</v>
      </c>
    </row>
    <row r="2021" spans="1:19" x14ac:dyDescent="0.25">
      <c r="A2021" s="2">
        <v>44755</v>
      </c>
      <c r="B2021" s="1">
        <f t="shared" si="158"/>
        <v>29</v>
      </c>
      <c r="C2021">
        <f t="shared" si="160"/>
        <v>7</v>
      </c>
      <c r="D2021" t="str">
        <f t="shared" si="161"/>
        <v>July</v>
      </c>
      <c r="E2021">
        <f t="shared" si="162"/>
        <v>2022</v>
      </c>
      <c r="F2021" t="str">
        <f>CONCATENATE(calendar[[#This Row],[Month]],"/",calendar[[#This Row],[Year]])</f>
        <v>7/2022</v>
      </c>
      <c r="G2021">
        <f>WEEKDAY(calendar[[#This Row],[Date]],1)</f>
        <v>4</v>
      </c>
      <c r="H2021" t="str">
        <f>TEXT(calendar[[#This Row],[WeekDay]],"dddd")</f>
        <v>Wednesday</v>
      </c>
      <c r="I2021">
        <f>IF((INT(calendar[[#This Row],[Count]]/7)-calendar[[#This Row],[Count]]/7)&lt;0,I2020,I2020+1)</f>
        <v>289</v>
      </c>
      <c r="J2021">
        <f t="shared" si="159"/>
        <v>2019</v>
      </c>
      <c r="K2021">
        <f>IF(calendar[[#This Row],[Month]]&lt;4,1,IF(calendar[[#This Row],[Month]]&lt;7,2,IF(calendar[[#This Row],[Month]]&lt;10,3,4)))</f>
        <v>3</v>
      </c>
      <c r="L2021">
        <f>IFERROR(IF(VLOOKUP(calendar[[#This Row],[Date]],BH!A:A,1,)&lt;&gt;"",1,0),0)</f>
        <v>0</v>
      </c>
      <c r="M2021">
        <f>IFERROR(IF(VLOOKUP(calendar[[#This Row],[Date]],BH!C:C,1,)&lt;&gt;"",1,0),0)</f>
        <v>0</v>
      </c>
      <c r="N2021">
        <f>IFERROR(IF(VLOOKUP(calendar[[#This Row],[Date]],BH!E:E,1,)&lt;&gt;"",1,0),0)</f>
        <v>0</v>
      </c>
      <c r="O2021">
        <f>IFERROR(IF(VLOOKUP(calendar[[#This Row],[Date]],BH!G:G,1,)&lt;&gt;"",1,0),0)</f>
        <v>0</v>
      </c>
      <c r="P2021">
        <f>IF(OR(calendar[[#This Row],[UK_BH]]=1,calendar[[#This Row],[WeekDay]]=1, calendar[[#This Row],[WeekDay]]=7),P2020,P2020+1)</f>
        <v>1443</v>
      </c>
      <c r="Q2021">
        <f>IF(OR(calendar[[#This Row],[FR_BH]]=1,calendar[[#This Row],[WeekDay]]=1, calendar[[#This Row],[WeekDay]]=7),P2020,P2020+1)</f>
        <v>1443</v>
      </c>
      <c r="R2021">
        <f>IF(OR(calendar[[#This Row],[SP_BH]]=1,calendar[[#This Row],[WeekDay]]=1, calendar[[#This Row],[WeekDay]]=7),P2020,P2020+1)</f>
        <v>1443</v>
      </c>
      <c r="S2021">
        <f>IF(OR(calendar[[#This Row],[PT_BH]]=1,calendar[[#This Row],[WeekDay]]=1, calendar[[#This Row],[WeekDay]]=7),P2020,P2020+1)</f>
        <v>1443</v>
      </c>
    </row>
    <row r="2022" spans="1:19" x14ac:dyDescent="0.25">
      <c r="A2022" s="2">
        <v>44756</v>
      </c>
      <c r="B2022" s="1">
        <f t="shared" si="158"/>
        <v>29</v>
      </c>
      <c r="C2022">
        <f t="shared" si="160"/>
        <v>7</v>
      </c>
      <c r="D2022" t="str">
        <f t="shared" si="161"/>
        <v>July</v>
      </c>
      <c r="E2022">
        <f t="shared" si="162"/>
        <v>2022</v>
      </c>
      <c r="F2022" t="str">
        <f>CONCATENATE(calendar[[#This Row],[Month]],"/",calendar[[#This Row],[Year]])</f>
        <v>7/2022</v>
      </c>
      <c r="G2022">
        <f>WEEKDAY(calendar[[#This Row],[Date]],1)</f>
        <v>5</v>
      </c>
      <c r="H2022" t="str">
        <f>TEXT(calendar[[#This Row],[WeekDay]],"dddd")</f>
        <v>Thursday</v>
      </c>
      <c r="I2022">
        <f>IF((INT(calendar[[#This Row],[Count]]/7)-calendar[[#This Row],[Count]]/7)&lt;0,I2021,I2021+1)</f>
        <v>289</v>
      </c>
      <c r="J2022">
        <f t="shared" si="159"/>
        <v>2020</v>
      </c>
      <c r="K2022">
        <f>IF(calendar[[#This Row],[Month]]&lt;4,1,IF(calendar[[#This Row],[Month]]&lt;7,2,IF(calendar[[#This Row],[Month]]&lt;10,3,4)))</f>
        <v>3</v>
      </c>
      <c r="L2022">
        <f>IFERROR(IF(VLOOKUP(calendar[[#This Row],[Date]],BH!A:A,1,)&lt;&gt;"",1,0),0)</f>
        <v>0</v>
      </c>
      <c r="M2022">
        <f>IFERROR(IF(VLOOKUP(calendar[[#This Row],[Date]],BH!C:C,1,)&lt;&gt;"",1,0),0)</f>
        <v>0</v>
      </c>
      <c r="N2022">
        <f>IFERROR(IF(VLOOKUP(calendar[[#This Row],[Date]],BH!E:E,1,)&lt;&gt;"",1,0),0)</f>
        <v>0</v>
      </c>
      <c r="O2022">
        <f>IFERROR(IF(VLOOKUP(calendar[[#This Row],[Date]],BH!G:G,1,)&lt;&gt;"",1,0),0)</f>
        <v>0</v>
      </c>
      <c r="P2022">
        <f>IF(OR(calendar[[#This Row],[UK_BH]]=1,calendar[[#This Row],[WeekDay]]=1, calendar[[#This Row],[WeekDay]]=7),P2021,P2021+1)</f>
        <v>1444</v>
      </c>
      <c r="Q2022">
        <f>IF(OR(calendar[[#This Row],[FR_BH]]=1,calendar[[#This Row],[WeekDay]]=1, calendar[[#This Row],[WeekDay]]=7),P2021,P2021+1)</f>
        <v>1444</v>
      </c>
      <c r="R2022">
        <f>IF(OR(calendar[[#This Row],[SP_BH]]=1,calendar[[#This Row],[WeekDay]]=1, calendar[[#This Row],[WeekDay]]=7),P2021,P2021+1)</f>
        <v>1444</v>
      </c>
      <c r="S2022">
        <f>IF(OR(calendar[[#This Row],[PT_BH]]=1,calendar[[#This Row],[WeekDay]]=1, calendar[[#This Row],[WeekDay]]=7),P2021,P2021+1)</f>
        <v>1444</v>
      </c>
    </row>
    <row r="2023" spans="1:19" x14ac:dyDescent="0.25">
      <c r="A2023" s="2">
        <v>44757</v>
      </c>
      <c r="B2023" s="1">
        <f t="shared" si="158"/>
        <v>29</v>
      </c>
      <c r="C2023">
        <f t="shared" si="160"/>
        <v>7</v>
      </c>
      <c r="D2023" t="str">
        <f t="shared" si="161"/>
        <v>July</v>
      </c>
      <c r="E2023">
        <f t="shared" si="162"/>
        <v>2022</v>
      </c>
      <c r="F2023" t="str">
        <f>CONCATENATE(calendar[[#This Row],[Month]],"/",calendar[[#This Row],[Year]])</f>
        <v>7/2022</v>
      </c>
      <c r="G2023">
        <f>WEEKDAY(calendar[[#This Row],[Date]],1)</f>
        <v>6</v>
      </c>
      <c r="H2023" t="str">
        <f>TEXT(calendar[[#This Row],[WeekDay]],"dddd")</f>
        <v>Friday</v>
      </c>
      <c r="I2023">
        <f>IF((INT(calendar[[#This Row],[Count]]/7)-calendar[[#This Row],[Count]]/7)&lt;0,I2022,I2022+1)</f>
        <v>289</v>
      </c>
      <c r="J2023">
        <f t="shared" si="159"/>
        <v>2021</v>
      </c>
      <c r="K2023">
        <f>IF(calendar[[#This Row],[Month]]&lt;4,1,IF(calendar[[#This Row],[Month]]&lt;7,2,IF(calendar[[#This Row],[Month]]&lt;10,3,4)))</f>
        <v>3</v>
      </c>
      <c r="L2023">
        <f>IFERROR(IF(VLOOKUP(calendar[[#This Row],[Date]],BH!A:A,1,)&lt;&gt;"",1,0),0)</f>
        <v>0</v>
      </c>
      <c r="M2023">
        <f>IFERROR(IF(VLOOKUP(calendar[[#This Row],[Date]],BH!C:C,1,)&lt;&gt;"",1,0),0)</f>
        <v>0</v>
      </c>
      <c r="N2023">
        <f>IFERROR(IF(VLOOKUP(calendar[[#This Row],[Date]],BH!E:E,1,)&lt;&gt;"",1,0),0)</f>
        <v>0</v>
      </c>
      <c r="O2023">
        <f>IFERROR(IF(VLOOKUP(calendar[[#This Row],[Date]],BH!G:G,1,)&lt;&gt;"",1,0),0)</f>
        <v>0</v>
      </c>
      <c r="P2023">
        <f>IF(OR(calendar[[#This Row],[UK_BH]]=1,calendar[[#This Row],[WeekDay]]=1, calendar[[#This Row],[WeekDay]]=7),P2022,P2022+1)</f>
        <v>1445</v>
      </c>
      <c r="Q2023">
        <f>IF(OR(calendar[[#This Row],[FR_BH]]=1,calendar[[#This Row],[WeekDay]]=1, calendar[[#This Row],[WeekDay]]=7),P2022,P2022+1)</f>
        <v>1445</v>
      </c>
      <c r="R2023">
        <f>IF(OR(calendar[[#This Row],[SP_BH]]=1,calendar[[#This Row],[WeekDay]]=1, calendar[[#This Row],[WeekDay]]=7),P2022,P2022+1)</f>
        <v>1445</v>
      </c>
      <c r="S2023">
        <f>IF(OR(calendar[[#This Row],[PT_BH]]=1,calendar[[#This Row],[WeekDay]]=1, calendar[[#This Row],[WeekDay]]=7),P2022,P2022+1)</f>
        <v>1445</v>
      </c>
    </row>
    <row r="2024" spans="1:19" x14ac:dyDescent="0.25">
      <c r="A2024" s="2">
        <v>44758</v>
      </c>
      <c r="B2024" s="1">
        <f t="shared" si="158"/>
        <v>29</v>
      </c>
      <c r="C2024">
        <f t="shared" si="160"/>
        <v>7</v>
      </c>
      <c r="D2024" t="str">
        <f t="shared" si="161"/>
        <v>July</v>
      </c>
      <c r="E2024">
        <f t="shared" si="162"/>
        <v>2022</v>
      </c>
      <c r="F2024" t="str">
        <f>CONCATENATE(calendar[[#This Row],[Month]],"/",calendar[[#This Row],[Year]])</f>
        <v>7/2022</v>
      </c>
      <c r="G2024">
        <f>WEEKDAY(calendar[[#This Row],[Date]],1)</f>
        <v>7</v>
      </c>
      <c r="H2024" t="str">
        <f>TEXT(calendar[[#This Row],[WeekDay]],"dddd")</f>
        <v>Saturday</v>
      </c>
      <c r="I2024">
        <f>IF((INT(calendar[[#This Row],[Count]]/7)-calendar[[#This Row],[Count]]/7)&lt;0,I2023,I2023+1)</f>
        <v>289</v>
      </c>
      <c r="J2024">
        <f t="shared" si="159"/>
        <v>2022</v>
      </c>
      <c r="K2024">
        <f>IF(calendar[[#This Row],[Month]]&lt;4,1,IF(calendar[[#This Row],[Month]]&lt;7,2,IF(calendar[[#This Row],[Month]]&lt;10,3,4)))</f>
        <v>3</v>
      </c>
      <c r="L2024">
        <f>IFERROR(IF(VLOOKUP(calendar[[#This Row],[Date]],BH!A:A,1,)&lt;&gt;"",1,0),0)</f>
        <v>0</v>
      </c>
      <c r="M2024">
        <f>IFERROR(IF(VLOOKUP(calendar[[#This Row],[Date]],BH!C:C,1,)&lt;&gt;"",1,0),0)</f>
        <v>0</v>
      </c>
      <c r="N2024">
        <f>IFERROR(IF(VLOOKUP(calendar[[#This Row],[Date]],BH!E:E,1,)&lt;&gt;"",1,0),0)</f>
        <v>0</v>
      </c>
      <c r="O2024">
        <f>IFERROR(IF(VLOOKUP(calendar[[#This Row],[Date]],BH!G:G,1,)&lt;&gt;"",1,0),0)</f>
        <v>0</v>
      </c>
      <c r="P2024">
        <f>IF(OR(calendar[[#This Row],[UK_BH]]=1,calendar[[#This Row],[WeekDay]]=1, calendar[[#This Row],[WeekDay]]=7),P2023,P2023+1)</f>
        <v>1445</v>
      </c>
      <c r="Q2024">
        <f>IF(OR(calendar[[#This Row],[FR_BH]]=1,calendar[[#This Row],[WeekDay]]=1, calendar[[#This Row],[WeekDay]]=7),P2023,P2023+1)</f>
        <v>1445</v>
      </c>
      <c r="R2024">
        <f>IF(OR(calendar[[#This Row],[SP_BH]]=1,calendar[[#This Row],[WeekDay]]=1, calendar[[#This Row],[WeekDay]]=7),P2023,P2023+1)</f>
        <v>1445</v>
      </c>
      <c r="S2024">
        <f>IF(OR(calendar[[#This Row],[PT_BH]]=1,calendar[[#This Row],[WeekDay]]=1, calendar[[#This Row],[WeekDay]]=7),P2023,P2023+1)</f>
        <v>1445</v>
      </c>
    </row>
    <row r="2025" spans="1:19" x14ac:dyDescent="0.25">
      <c r="A2025" s="2">
        <v>44759</v>
      </c>
      <c r="B2025" s="1">
        <f t="shared" si="158"/>
        <v>30</v>
      </c>
      <c r="C2025">
        <f t="shared" si="160"/>
        <v>7</v>
      </c>
      <c r="D2025" t="str">
        <f t="shared" si="161"/>
        <v>July</v>
      </c>
      <c r="E2025">
        <f t="shared" si="162"/>
        <v>2022</v>
      </c>
      <c r="F2025" t="str">
        <f>CONCATENATE(calendar[[#This Row],[Month]],"/",calendar[[#This Row],[Year]])</f>
        <v>7/2022</v>
      </c>
      <c r="G2025">
        <f>WEEKDAY(calendar[[#This Row],[Date]],1)</f>
        <v>1</v>
      </c>
      <c r="H2025" t="str">
        <f>TEXT(calendar[[#This Row],[WeekDay]],"dddd")</f>
        <v>Sunday</v>
      </c>
      <c r="I2025">
        <f>IF((INT(calendar[[#This Row],[Count]]/7)-calendar[[#This Row],[Count]]/7)&lt;0,I2024,I2024+1)</f>
        <v>290</v>
      </c>
      <c r="J2025">
        <f t="shared" si="159"/>
        <v>2023</v>
      </c>
      <c r="K2025">
        <f>IF(calendar[[#This Row],[Month]]&lt;4,1,IF(calendar[[#This Row],[Month]]&lt;7,2,IF(calendar[[#This Row],[Month]]&lt;10,3,4)))</f>
        <v>3</v>
      </c>
      <c r="L2025">
        <f>IFERROR(IF(VLOOKUP(calendar[[#This Row],[Date]],BH!A:A,1,)&lt;&gt;"",1,0),0)</f>
        <v>0</v>
      </c>
      <c r="M2025">
        <f>IFERROR(IF(VLOOKUP(calendar[[#This Row],[Date]],BH!C:C,1,)&lt;&gt;"",1,0),0)</f>
        <v>0</v>
      </c>
      <c r="N2025">
        <f>IFERROR(IF(VLOOKUP(calendar[[#This Row],[Date]],BH!E:E,1,)&lt;&gt;"",1,0),0)</f>
        <v>0</v>
      </c>
      <c r="O2025">
        <f>IFERROR(IF(VLOOKUP(calendar[[#This Row],[Date]],BH!G:G,1,)&lt;&gt;"",1,0),0)</f>
        <v>0</v>
      </c>
      <c r="P2025">
        <f>IF(OR(calendar[[#This Row],[UK_BH]]=1,calendar[[#This Row],[WeekDay]]=1, calendar[[#This Row],[WeekDay]]=7),P2024,P2024+1)</f>
        <v>1445</v>
      </c>
      <c r="Q2025">
        <f>IF(OR(calendar[[#This Row],[FR_BH]]=1,calendar[[#This Row],[WeekDay]]=1, calendar[[#This Row],[WeekDay]]=7),P2024,P2024+1)</f>
        <v>1445</v>
      </c>
      <c r="R2025">
        <f>IF(OR(calendar[[#This Row],[SP_BH]]=1,calendar[[#This Row],[WeekDay]]=1, calendar[[#This Row],[WeekDay]]=7),P2024,P2024+1)</f>
        <v>1445</v>
      </c>
      <c r="S2025">
        <f>IF(OR(calendar[[#This Row],[PT_BH]]=1,calendar[[#This Row],[WeekDay]]=1, calendar[[#This Row],[WeekDay]]=7),P2024,P2024+1)</f>
        <v>1445</v>
      </c>
    </row>
    <row r="2026" spans="1:19" x14ac:dyDescent="0.25">
      <c r="A2026" s="2">
        <v>44760</v>
      </c>
      <c r="B2026" s="1">
        <f t="shared" si="158"/>
        <v>30</v>
      </c>
      <c r="C2026">
        <f t="shared" si="160"/>
        <v>7</v>
      </c>
      <c r="D2026" t="str">
        <f t="shared" si="161"/>
        <v>July</v>
      </c>
      <c r="E2026">
        <f t="shared" si="162"/>
        <v>2022</v>
      </c>
      <c r="F2026" t="str">
        <f>CONCATENATE(calendar[[#This Row],[Month]],"/",calendar[[#This Row],[Year]])</f>
        <v>7/2022</v>
      </c>
      <c r="G2026">
        <f>WEEKDAY(calendar[[#This Row],[Date]],1)</f>
        <v>2</v>
      </c>
      <c r="H2026" t="str">
        <f>TEXT(calendar[[#This Row],[WeekDay]],"dddd")</f>
        <v>Monday</v>
      </c>
      <c r="I2026">
        <f>IF((INT(calendar[[#This Row],[Count]]/7)-calendar[[#This Row],[Count]]/7)&lt;0,I2025,I2025+1)</f>
        <v>290</v>
      </c>
      <c r="J2026">
        <f t="shared" si="159"/>
        <v>2024</v>
      </c>
      <c r="K2026">
        <f>IF(calendar[[#This Row],[Month]]&lt;4,1,IF(calendar[[#This Row],[Month]]&lt;7,2,IF(calendar[[#This Row],[Month]]&lt;10,3,4)))</f>
        <v>3</v>
      </c>
      <c r="L2026">
        <f>IFERROR(IF(VLOOKUP(calendar[[#This Row],[Date]],BH!A:A,1,)&lt;&gt;"",1,0),0)</f>
        <v>0</v>
      </c>
      <c r="M2026">
        <f>IFERROR(IF(VLOOKUP(calendar[[#This Row],[Date]],BH!C:C,1,)&lt;&gt;"",1,0),0)</f>
        <v>0</v>
      </c>
      <c r="N2026">
        <f>IFERROR(IF(VLOOKUP(calendar[[#This Row],[Date]],BH!E:E,1,)&lt;&gt;"",1,0),0)</f>
        <v>0</v>
      </c>
      <c r="O2026">
        <f>IFERROR(IF(VLOOKUP(calendar[[#This Row],[Date]],BH!G:G,1,)&lt;&gt;"",1,0),0)</f>
        <v>0</v>
      </c>
      <c r="P2026">
        <f>IF(OR(calendar[[#This Row],[UK_BH]]=1,calendar[[#This Row],[WeekDay]]=1, calendar[[#This Row],[WeekDay]]=7),P2025,P2025+1)</f>
        <v>1446</v>
      </c>
      <c r="Q2026">
        <f>IF(OR(calendar[[#This Row],[FR_BH]]=1,calendar[[#This Row],[WeekDay]]=1, calendar[[#This Row],[WeekDay]]=7),P2025,P2025+1)</f>
        <v>1446</v>
      </c>
      <c r="R2026">
        <f>IF(OR(calendar[[#This Row],[SP_BH]]=1,calendar[[#This Row],[WeekDay]]=1, calendar[[#This Row],[WeekDay]]=7),P2025,P2025+1)</f>
        <v>1446</v>
      </c>
      <c r="S2026">
        <f>IF(OR(calendar[[#This Row],[PT_BH]]=1,calendar[[#This Row],[WeekDay]]=1, calendar[[#This Row],[WeekDay]]=7),P2025,P2025+1)</f>
        <v>1446</v>
      </c>
    </row>
    <row r="2027" spans="1:19" x14ac:dyDescent="0.25">
      <c r="A2027" s="2">
        <v>44761</v>
      </c>
      <c r="B2027" s="1">
        <f t="shared" si="158"/>
        <v>30</v>
      </c>
      <c r="C2027">
        <f t="shared" si="160"/>
        <v>7</v>
      </c>
      <c r="D2027" t="str">
        <f t="shared" si="161"/>
        <v>July</v>
      </c>
      <c r="E2027">
        <f t="shared" si="162"/>
        <v>2022</v>
      </c>
      <c r="F2027" t="str">
        <f>CONCATENATE(calendar[[#This Row],[Month]],"/",calendar[[#This Row],[Year]])</f>
        <v>7/2022</v>
      </c>
      <c r="G2027">
        <f>WEEKDAY(calendar[[#This Row],[Date]],1)</f>
        <v>3</v>
      </c>
      <c r="H2027" t="str">
        <f>TEXT(calendar[[#This Row],[WeekDay]],"dddd")</f>
        <v>Tuesday</v>
      </c>
      <c r="I2027">
        <f>IF((INT(calendar[[#This Row],[Count]]/7)-calendar[[#This Row],[Count]]/7)&lt;0,I2026,I2026+1)</f>
        <v>290</v>
      </c>
      <c r="J2027">
        <f t="shared" si="159"/>
        <v>2025</v>
      </c>
      <c r="K2027">
        <f>IF(calendar[[#This Row],[Month]]&lt;4,1,IF(calendar[[#This Row],[Month]]&lt;7,2,IF(calendar[[#This Row],[Month]]&lt;10,3,4)))</f>
        <v>3</v>
      </c>
      <c r="L2027">
        <f>IFERROR(IF(VLOOKUP(calendar[[#This Row],[Date]],BH!A:A,1,)&lt;&gt;"",1,0),0)</f>
        <v>0</v>
      </c>
      <c r="M2027">
        <f>IFERROR(IF(VLOOKUP(calendar[[#This Row],[Date]],BH!C:C,1,)&lt;&gt;"",1,0),0)</f>
        <v>0</v>
      </c>
      <c r="N2027">
        <f>IFERROR(IF(VLOOKUP(calendar[[#This Row],[Date]],BH!E:E,1,)&lt;&gt;"",1,0),0)</f>
        <v>0</v>
      </c>
      <c r="O2027">
        <f>IFERROR(IF(VLOOKUP(calendar[[#This Row],[Date]],BH!G:G,1,)&lt;&gt;"",1,0),0)</f>
        <v>0</v>
      </c>
      <c r="P2027">
        <f>IF(OR(calendar[[#This Row],[UK_BH]]=1,calendar[[#This Row],[WeekDay]]=1, calendar[[#This Row],[WeekDay]]=7),P2026,P2026+1)</f>
        <v>1447</v>
      </c>
      <c r="Q2027">
        <f>IF(OR(calendar[[#This Row],[FR_BH]]=1,calendar[[#This Row],[WeekDay]]=1, calendar[[#This Row],[WeekDay]]=7),P2026,P2026+1)</f>
        <v>1447</v>
      </c>
      <c r="R2027">
        <f>IF(OR(calendar[[#This Row],[SP_BH]]=1,calendar[[#This Row],[WeekDay]]=1, calendar[[#This Row],[WeekDay]]=7),P2026,P2026+1)</f>
        <v>1447</v>
      </c>
      <c r="S2027">
        <f>IF(OR(calendar[[#This Row],[PT_BH]]=1,calendar[[#This Row],[WeekDay]]=1, calendar[[#This Row],[WeekDay]]=7),P2026,P2026+1)</f>
        <v>1447</v>
      </c>
    </row>
    <row r="2028" spans="1:19" x14ac:dyDescent="0.25">
      <c r="A2028" s="2">
        <v>44762</v>
      </c>
      <c r="B2028" s="1">
        <f t="shared" si="158"/>
        <v>30</v>
      </c>
      <c r="C2028">
        <f t="shared" si="160"/>
        <v>7</v>
      </c>
      <c r="D2028" t="str">
        <f t="shared" si="161"/>
        <v>July</v>
      </c>
      <c r="E2028">
        <f t="shared" si="162"/>
        <v>2022</v>
      </c>
      <c r="F2028" t="str">
        <f>CONCATENATE(calendar[[#This Row],[Month]],"/",calendar[[#This Row],[Year]])</f>
        <v>7/2022</v>
      </c>
      <c r="G2028">
        <f>WEEKDAY(calendar[[#This Row],[Date]],1)</f>
        <v>4</v>
      </c>
      <c r="H2028" t="str">
        <f>TEXT(calendar[[#This Row],[WeekDay]],"dddd")</f>
        <v>Wednesday</v>
      </c>
      <c r="I2028">
        <f>IF((INT(calendar[[#This Row],[Count]]/7)-calendar[[#This Row],[Count]]/7)&lt;0,I2027,I2027+1)</f>
        <v>290</v>
      </c>
      <c r="J2028">
        <f t="shared" si="159"/>
        <v>2026</v>
      </c>
      <c r="K2028">
        <f>IF(calendar[[#This Row],[Month]]&lt;4,1,IF(calendar[[#This Row],[Month]]&lt;7,2,IF(calendar[[#This Row],[Month]]&lt;10,3,4)))</f>
        <v>3</v>
      </c>
      <c r="L2028">
        <f>IFERROR(IF(VLOOKUP(calendar[[#This Row],[Date]],BH!A:A,1,)&lt;&gt;"",1,0),0)</f>
        <v>0</v>
      </c>
      <c r="M2028">
        <f>IFERROR(IF(VLOOKUP(calendar[[#This Row],[Date]],BH!C:C,1,)&lt;&gt;"",1,0),0)</f>
        <v>0</v>
      </c>
      <c r="N2028">
        <f>IFERROR(IF(VLOOKUP(calendar[[#This Row],[Date]],BH!E:E,1,)&lt;&gt;"",1,0),0)</f>
        <v>0</v>
      </c>
      <c r="O2028">
        <f>IFERROR(IF(VLOOKUP(calendar[[#This Row],[Date]],BH!G:G,1,)&lt;&gt;"",1,0),0)</f>
        <v>0</v>
      </c>
      <c r="P2028">
        <f>IF(OR(calendar[[#This Row],[UK_BH]]=1,calendar[[#This Row],[WeekDay]]=1, calendar[[#This Row],[WeekDay]]=7),P2027,P2027+1)</f>
        <v>1448</v>
      </c>
      <c r="Q2028">
        <f>IF(OR(calendar[[#This Row],[FR_BH]]=1,calendar[[#This Row],[WeekDay]]=1, calendar[[#This Row],[WeekDay]]=7),P2027,P2027+1)</f>
        <v>1448</v>
      </c>
      <c r="R2028">
        <f>IF(OR(calendar[[#This Row],[SP_BH]]=1,calendar[[#This Row],[WeekDay]]=1, calendar[[#This Row],[WeekDay]]=7),P2027,P2027+1)</f>
        <v>1448</v>
      </c>
      <c r="S2028">
        <f>IF(OR(calendar[[#This Row],[PT_BH]]=1,calendar[[#This Row],[WeekDay]]=1, calendar[[#This Row],[WeekDay]]=7),P2027,P2027+1)</f>
        <v>1448</v>
      </c>
    </row>
    <row r="2029" spans="1:19" x14ac:dyDescent="0.25">
      <c r="A2029" s="2">
        <v>44763</v>
      </c>
      <c r="B2029" s="1">
        <f t="shared" si="158"/>
        <v>30</v>
      </c>
      <c r="C2029">
        <f t="shared" si="160"/>
        <v>7</v>
      </c>
      <c r="D2029" t="str">
        <f t="shared" si="161"/>
        <v>July</v>
      </c>
      <c r="E2029">
        <f t="shared" si="162"/>
        <v>2022</v>
      </c>
      <c r="F2029" t="str">
        <f>CONCATENATE(calendar[[#This Row],[Month]],"/",calendar[[#This Row],[Year]])</f>
        <v>7/2022</v>
      </c>
      <c r="G2029">
        <f>WEEKDAY(calendar[[#This Row],[Date]],1)</f>
        <v>5</v>
      </c>
      <c r="H2029" t="str">
        <f>TEXT(calendar[[#This Row],[WeekDay]],"dddd")</f>
        <v>Thursday</v>
      </c>
      <c r="I2029">
        <f>IF((INT(calendar[[#This Row],[Count]]/7)-calendar[[#This Row],[Count]]/7)&lt;0,I2028,I2028+1)</f>
        <v>290</v>
      </c>
      <c r="J2029">
        <f t="shared" si="159"/>
        <v>2027</v>
      </c>
      <c r="K2029">
        <f>IF(calendar[[#This Row],[Month]]&lt;4,1,IF(calendar[[#This Row],[Month]]&lt;7,2,IF(calendar[[#This Row],[Month]]&lt;10,3,4)))</f>
        <v>3</v>
      </c>
      <c r="L2029">
        <f>IFERROR(IF(VLOOKUP(calendar[[#This Row],[Date]],BH!A:A,1,)&lt;&gt;"",1,0),0)</f>
        <v>0</v>
      </c>
      <c r="M2029">
        <f>IFERROR(IF(VLOOKUP(calendar[[#This Row],[Date]],BH!C:C,1,)&lt;&gt;"",1,0),0)</f>
        <v>0</v>
      </c>
      <c r="N2029">
        <f>IFERROR(IF(VLOOKUP(calendar[[#This Row],[Date]],BH!E:E,1,)&lt;&gt;"",1,0),0)</f>
        <v>0</v>
      </c>
      <c r="O2029">
        <f>IFERROR(IF(VLOOKUP(calendar[[#This Row],[Date]],BH!G:G,1,)&lt;&gt;"",1,0),0)</f>
        <v>0</v>
      </c>
      <c r="P2029">
        <f>IF(OR(calendar[[#This Row],[UK_BH]]=1,calendar[[#This Row],[WeekDay]]=1, calendar[[#This Row],[WeekDay]]=7),P2028,P2028+1)</f>
        <v>1449</v>
      </c>
      <c r="Q2029">
        <f>IF(OR(calendar[[#This Row],[FR_BH]]=1,calendar[[#This Row],[WeekDay]]=1, calendar[[#This Row],[WeekDay]]=7),P2028,P2028+1)</f>
        <v>1449</v>
      </c>
      <c r="R2029">
        <f>IF(OR(calendar[[#This Row],[SP_BH]]=1,calendar[[#This Row],[WeekDay]]=1, calendar[[#This Row],[WeekDay]]=7),P2028,P2028+1)</f>
        <v>1449</v>
      </c>
      <c r="S2029">
        <f>IF(OR(calendar[[#This Row],[PT_BH]]=1,calendar[[#This Row],[WeekDay]]=1, calendar[[#This Row],[WeekDay]]=7),P2028,P2028+1)</f>
        <v>1449</v>
      </c>
    </row>
    <row r="2030" spans="1:19" x14ac:dyDescent="0.25">
      <c r="A2030" s="2">
        <v>44764</v>
      </c>
      <c r="B2030" s="1">
        <f t="shared" si="158"/>
        <v>30</v>
      </c>
      <c r="C2030">
        <f t="shared" si="160"/>
        <v>7</v>
      </c>
      <c r="D2030" t="str">
        <f t="shared" si="161"/>
        <v>July</v>
      </c>
      <c r="E2030">
        <f t="shared" si="162"/>
        <v>2022</v>
      </c>
      <c r="F2030" t="str">
        <f>CONCATENATE(calendar[[#This Row],[Month]],"/",calendar[[#This Row],[Year]])</f>
        <v>7/2022</v>
      </c>
      <c r="G2030">
        <f>WEEKDAY(calendar[[#This Row],[Date]],1)</f>
        <v>6</v>
      </c>
      <c r="H2030" t="str">
        <f>TEXT(calendar[[#This Row],[WeekDay]],"dddd")</f>
        <v>Friday</v>
      </c>
      <c r="I2030">
        <f>IF((INT(calendar[[#This Row],[Count]]/7)-calendar[[#This Row],[Count]]/7)&lt;0,I2029,I2029+1)</f>
        <v>290</v>
      </c>
      <c r="J2030">
        <f t="shared" si="159"/>
        <v>2028</v>
      </c>
      <c r="K2030">
        <f>IF(calendar[[#This Row],[Month]]&lt;4,1,IF(calendar[[#This Row],[Month]]&lt;7,2,IF(calendar[[#This Row],[Month]]&lt;10,3,4)))</f>
        <v>3</v>
      </c>
      <c r="L2030">
        <f>IFERROR(IF(VLOOKUP(calendar[[#This Row],[Date]],BH!A:A,1,)&lt;&gt;"",1,0),0)</f>
        <v>0</v>
      </c>
      <c r="M2030">
        <f>IFERROR(IF(VLOOKUP(calendar[[#This Row],[Date]],BH!C:C,1,)&lt;&gt;"",1,0),0)</f>
        <v>0</v>
      </c>
      <c r="N2030">
        <f>IFERROR(IF(VLOOKUP(calendar[[#This Row],[Date]],BH!E:E,1,)&lt;&gt;"",1,0),0)</f>
        <v>0</v>
      </c>
      <c r="O2030">
        <f>IFERROR(IF(VLOOKUP(calendar[[#This Row],[Date]],BH!G:G,1,)&lt;&gt;"",1,0),0)</f>
        <v>0</v>
      </c>
      <c r="P2030">
        <f>IF(OR(calendar[[#This Row],[UK_BH]]=1,calendar[[#This Row],[WeekDay]]=1, calendar[[#This Row],[WeekDay]]=7),P2029,P2029+1)</f>
        <v>1450</v>
      </c>
      <c r="Q2030">
        <f>IF(OR(calendar[[#This Row],[FR_BH]]=1,calendar[[#This Row],[WeekDay]]=1, calendar[[#This Row],[WeekDay]]=7),P2029,P2029+1)</f>
        <v>1450</v>
      </c>
      <c r="R2030">
        <f>IF(OR(calendar[[#This Row],[SP_BH]]=1,calendar[[#This Row],[WeekDay]]=1, calendar[[#This Row],[WeekDay]]=7),P2029,P2029+1)</f>
        <v>1450</v>
      </c>
      <c r="S2030">
        <f>IF(OR(calendar[[#This Row],[PT_BH]]=1,calendar[[#This Row],[WeekDay]]=1, calendar[[#This Row],[WeekDay]]=7),P2029,P2029+1)</f>
        <v>1450</v>
      </c>
    </row>
    <row r="2031" spans="1:19" x14ac:dyDescent="0.25">
      <c r="A2031" s="2">
        <v>44765</v>
      </c>
      <c r="B2031" s="1">
        <f t="shared" si="158"/>
        <v>30</v>
      </c>
      <c r="C2031">
        <f t="shared" si="160"/>
        <v>7</v>
      </c>
      <c r="D2031" t="str">
        <f t="shared" si="161"/>
        <v>July</v>
      </c>
      <c r="E2031">
        <f t="shared" si="162"/>
        <v>2022</v>
      </c>
      <c r="F2031" t="str">
        <f>CONCATENATE(calendar[[#This Row],[Month]],"/",calendar[[#This Row],[Year]])</f>
        <v>7/2022</v>
      </c>
      <c r="G2031">
        <f>WEEKDAY(calendar[[#This Row],[Date]],1)</f>
        <v>7</v>
      </c>
      <c r="H2031" t="str">
        <f>TEXT(calendar[[#This Row],[WeekDay]],"dddd")</f>
        <v>Saturday</v>
      </c>
      <c r="I2031">
        <f>IF((INT(calendar[[#This Row],[Count]]/7)-calendar[[#This Row],[Count]]/7)&lt;0,I2030,I2030+1)</f>
        <v>290</v>
      </c>
      <c r="J2031">
        <f t="shared" si="159"/>
        <v>2029</v>
      </c>
      <c r="K2031">
        <f>IF(calendar[[#This Row],[Month]]&lt;4,1,IF(calendar[[#This Row],[Month]]&lt;7,2,IF(calendar[[#This Row],[Month]]&lt;10,3,4)))</f>
        <v>3</v>
      </c>
      <c r="L2031">
        <f>IFERROR(IF(VLOOKUP(calendar[[#This Row],[Date]],BH!A:A,1,)&lt;&gt;"",1,0),0)</f>
        <v>0</v>
      </c>
      <c r="M2031">
        <f>IFERROR(IF(VLOOKUP(calendar[[#This Row],[Date]],BH!C:C,1,)&lt;&gt;"",1,0),0)</f>
        <v>0</v>
      </c>
      <c r="N2031">
        <f>IFERROR(IF(VLOOKUP(calendar[[#This Row],[Date]],BH!E:E,1,)&lt;&gt;"",1,0),0)</f>
        <v>0</v>
      </c>
      <c r="O2031">
        <f>IFERROR(IF(VLOOKUP(calendar[[#This Row],[Date]],BH!G:G,1,)&lt;&gt;"",1,0),0)</f>
        <v>0</v>
      </c>
      <c r="P2031">
        <f>IF(OR(calendar[[#This Row],[UK_BH]]=1,calendar[[#This Row],[WeekDay]]=1, calendar[[#This Row],[WeekDay]]=7),P2030,P2030+1)</f>
        <v>1450</v>
      </c>
      <c r="Q2031">
        <f>IF(OR(calendar[[#This Row],[FR_BH]]=1,calendar[[#This Row],[WeekDay]]=1, calendar[[#This Row],[WeekDay]]=7),P2030,P2030+1)</f>
        <v>1450</v>
      </c>
      <c r="R2031">
        <f>IF(OR(calendar[[#This Row],[SP_BH]]=1,calendar[[#This Row],[WeekDay]]=1, calendar[[#This Row],[WeekDay]]=7),P2030,P2030+1)</f>
        <v>1450</v>
      </c>
      <c r="S2031">
        <f>IF(OR(calendar[[#This Row],[PT_BH]]=1,calendar[[#This Row],[WeekDay]]=1, calendar[[#This Row],[WeekDay]]=7),P2030,P2030+1)</f>
        <v>1450</v>
      </c>
    </row>
    <row r="2032" spans="1:19" x14ac:dyDescent="0.25">
      <c r="A2032" s="2">
        <v>44766</v>
      </c>
      <c r="B2032" s="1">
        <f t="shared" si="158"/>
        <v>31</v>
      </c>
      <c r="C2032">
        <f t="shared" si="160"/>
        <v>7</v>
      </c>
      <c r="D2032" t="str">
        <f t="shared" si="161"/>
        <v>July</v>
      </c>
      <c r="E2032">
        <f t="shared" si="162"/>
        <v>2022</v>
      </c>
      <c r="F2032" t="str">
        <f>CONCATENATE(calendar[[#This Row],[Month]],"/",calendar[[#This Row],[Year]])</f>
        <v>7/2022</v>
      </c>
      <c r="G2032">
        <f>WEEKDAY(calendar[[#This Row],[Date]],1)</f>
        <v>1</v>
      </c>
      <c r="H2032" t="str">
        <f>TEXT(calendar[[#This Row],[WeekDay]],"dddd")</f>
        <v>Sunday</v>
      </c>
      <c r="I2032">
        <f>IF((INT(calendar[[#This Row],[Count]]/7)-calendar[[#This Row],[Count]]/7)&lt;0,I2031,I2031+1)</f>
        <v>291</v>
      </c>
      <c r="J2032">
        <f t="shared" si="159"/>
        <v>2030</v>
      </c>
      <c r="K2032">
        <f>IF(calendar[[#This Row],[Month]]&lt;4,1,IF(calendar[[#This Row],[Month]]&lt;7,2,IF(calendar[[#This Row],[Month]]&lt;10,3,4)))</f>
        <v>3</v>
      </c>
      <c r="L2032">
        <f>IFERROR(IF(VLOOKUP(calendar[[#This Row],[Date]],BH!A:A,1,)&lt;&gt;"",1,0),0)</f>
        <v>0</v>
      </c>
      <c r="M2032">
        <f>IFERROR(IF(VLOOKUP(calendar[[#This Row],[Date]],BH!C:C,1,)&lt;&gt;"",1,0),0)</f>
        <v>0</v>
      </c>
      <c r="N2032">
        <f>IFERROR(IF(VLOOKUP(calendar[[#This Row],[Date]],BH!E:E,1,)&lt;&gt;"",1,0),0)</f>
        <v>0</v>
      </c>
      <c r="O2032">
        <f>IFERROR(IF(VLOOKUP(calendar[[#This Row],[Date]],BH!G:G,1,)&lt;&gt;"",1,0),0)</f>
        <v>0</v>
      </c>
      <c r="P2032">
        <f>IF(OR(calendar[[#This Row],[UK_BH]]=1,calendar[[#This Row],[WeekDay]]=1, calendar[[#This Row],[WeekDay]]=7),P2031,P2031+1)</f>
        <v>1450</v>
      </c>
      <c r="Q2032">
        <f>IF(OR(calendar[[#This Row],[FR_BH]]=1,calendar[[#This Row],[WeekDay]]=1, calendar[[#This Row],[WeekDay]]=7),P2031,P2031+1)</f>
        <v>1450</v>
      </c>
      <c r="R2032">
        <f>IF(OR(calendar[[#This Row],[SP_BH]]=1,calendar[[#This Row],[WeekDay]]=1, calendar[[#This Row],[WeekDay]]=7),P2031,P2031+1)</f>
        <v>1450</v>
      </c>
      <c r="S2032">
        <f>IF(OR(calendar[[#This Row],[PT_BH]]=1,calendar[[#This Row],[WeekDay]]=1, calendar[[#This Row],[WeekDay]]=7),P2031,P2031+1)</f>
        <v>1450</v>
      </c>
    </row>
    <row r="2033" spans="1:19" x14ac:dyDescent="0.25">
      <c r="A2033" s="2">
        <v>44767</v>
      </c>
      <c r="B2033" s="1">
        <f t="shared" si="158"/>
        <v>31</v>
      </c>
      <c r="C2033">
        <f t="shared" si="160"/>
        <v>7</v>
      </c>
      <c r="D2033" t="str">
        <f t="shared" si="161"/>
        <v>July</v>
      </c>
      <c r="E2033">
        <f t="shared" si="162"/>
        <v>2022</v>
      </c>
      <c r="F2033" t="str">
        <f>CONCATENATE(calendar[[#This Row],[Month]],"/",calendar[[#This Row],[Year]])</f>
        <v>7/2022</v>
      </c>
      <c r="G2033">
        <f>WEEKDAY(calendar[[#This Row],[Date]],1)</f>
        <v>2</v>
      </c>
      <c r="H2033" t="str">
        <f>TEXT(calendar[[#This Row],[WeekDay]],"dddd")</f>
        <v>Monday</v>
      </c>
      <c r="I2033">
        <f>IF((INT(calendar[[#This Row],[Count]]/7)-calendar[[#This Row],[Count]]/7)&lt;0,I2032,I2032+1)</f>
        <v>291</v>
      </c>
      <c r="J2033">
        <f t="shared" si="159"/>
        <v>2031</v>
      </c>
      <c r="K2033">
        <f>IF(calendar[[#This Row],[Month]]&lt;4,1,IF(calendar[[#This Row],[Month]]&lt;7,2,IF(calendar[[#This Row],[Month]]&lt;10,3,4)))</f>
        <v>3</v>
      </c>
      <c r="L2033">
        <f>IFERROR(IF(VLOOKUP(calendar[[#This Row],[Date]],BH!A:A,1,)&lt;&gt;"",1,0),0)</f>
        <v>0</v>
      </c>
      <c r="M2033">
        <f>IFERROR(IF(VLOOKUP(calendar[[#This Row],[Date]],BH!C:C,1,)&lt;&gt;"",1,0),0)</f>
        <v>0</v>
      </c>
      <c r="N2033">
        <f>IFERROR(IF(VLOOKUP(calendar[[#This Row],[Date]],BH!E:E,1,)&lt;&gt;"",1,0),0)</f>
        <v>0</v>
      </c>
      <c r="O2033">
        <f>IFERROR(IF(VLOOKUP(calendar[[#This Row],[Date]],BH!G:G,1,)&lt;&gt;"",1,0),0)</f>
        <v>0</v>
      </c>
      <c r="P2033">
        <f>IF(OR(calendar[[#This Row],[UK_BH]]=1,calendar[[#This Row],[WeekDay]]=1, calendar[[#This Row],[WeekDay]]=7),P2032,P2032+1)</f>
        <v>1451</v>
      </c>
      <c r="Q2033">
        <f>IF(OR(calendar[[#This Row],[FR_BH]]=1,calendar[[#This Row],[WeekDay]]=1, calendar[[#This Row],[WeekDay]]=7),P2032,P2032+1)</f>
        <v>1451</v>
      </c>
      <c r="R2033">
        <f>IF(OR(calendar[[#This Row],[SP_BH]]=1,calendar[[#This Row],[WeekDay]]=1, calendar[[#This Row],[WeekDay]]=7),P2032,P2032+1)</f>
        <v>1451</v>
      </c>
      <c r="S2033">
        <f>IF(OR(calendar[[#This Row],[PT_BH]]=1,calendar[[#This Row],[WeekDay]]=1, calendar[[#This Row],[WeekDay]]=7),P2032,P2032+1)</f>
        <v>1451</v>
      </c>
    </row>
    <row r="2034" spans="1:19" x14ac:dyDescent="0.25">
      <c r="A2034" s="2">
        <v>44768</v>
      </c>
      <c r="B2034" s="1">
        <f t="shared" si="158"/>
        <v>31</v>
      </c>
      <c r="C2034">
        <f t="shared" si="160"/>
        <v>7</v>
      </c>
      <c r="D2034" t="str">
        <f t="shared" si="161"/>
        <v>July</v>
      </c>
      <c r="E2034">
        <f t="shared" si="162"/>
        <v>2022</v>
      </c>
      <c r="F2034" t="str">
        <f>CONCATENATE(calendar[[#This Row],[Month]],"/",calendar[[#This Row],[Year]])</f>
        <v>7/2022</v>
      </c>
      <c r="G2034">
        <f>WEEKDAY(calendar[[#This Row],[Date]],1)</f>
        <v>3</v>
      </c>
      <c r="H2034" t="str">
        <f>TEXT(calendar[[#This Row],[WeekDay]],"dddd")</f>
        <v>Tuesday</v>
      </c>
      <c r="I2034">
        <f>IF((INT(calendar[[#This Row],[Count]]/7)-calendar[[#This Row],[Count]]/7)&lt;0,I2033,I2033+1)</f>
        <v>291</v>
      </c>
      <c r="J2034">
        <f t="shared" si="159"/>
        <v>2032</v>
      </c>
      <c r="K2034">
        <f>IF(calendar[[#This Row],[Month]]&lt;4,1,IF(calendar[[#This Row],[Month]]&lt;7,2,IF(calendar[[#This Row],[Month]]&lt;10,3,4)))</f>
        <v>3</v>
      </c>
      <c r="L2034">
        <f>IFERROR(IF(VLOOKUP(calendar[[#This Row],[Date]],BH!A:A,1,)&lt;&gt;"",1,0),0)</f>
        <v>0</v>
      </c>
      <c r="M2034">
        <f>IFERROR(IF(VLOOKUP(calendar[[#This Row],[Date]],BH!C:C,1,)&lt;&gt;"",1,0),0)</f>
        <v>0</v>
      </c>
      <c r="N2034">
        <f>IFERROR(IF(VLOOKUP(calendar[[#This Row],[Date]],BH!E:E,1,)&lt;&gt;"",1,0),0)</f>
        <v>0</v>
      </c>
      <c r="O2034">
        <f>IFERROR(IF(VLOOKUP(calendar[[#This Row],[Date]],BH!G:G,1,)&lt;&gt;"",1,0),0)</f>
        <v>0</v>
      </c>
      <c r="P2034">
        <f>IF(OR(calendar[[#This Row],[UK_BH]]=1,calendar[[#This Row],[WeekDay]]=1, calendar[[#This Row],[WeekDay]]=7),P2033,P2033+1)</f>
        <v>1452</v>
      </c>
      <c r="Q2034">
        <f>IF(OR(calendar[[#This Row],[FR_BH]]=1,calendar[[#This Row],[WeekDay]]=1, calendar[[#This Row],[WeekDay]]=7),P2033,P2033+1)</f>
        <v>1452</v>
      </c>
      <c r="R2034">
        <f>IF(OR(calendar[[#This Row],[SP_BH]]=1,calendar[[#This Row],[WeekDay]]=1, calendar[[#This Row],[WeekDay]]=7),P2033,P2033+1)</f>
        <v>1452</v>
      </c>
      <c r="S2034">
        <f>IF(OR(calendar[[#This Row],[PT_BH]]=1,calendar[[#This Row],[WeekDay]]=1, calendar[[#This Row],[WeekDay]]=7),P2033,P2033+1)</f>
        <v>1452</v>
      </c>
    </row>
    <row r="2035" spans="1:19" x14ac:dyDescent="0.25">
      <c r="A2035" s="2">
        <v>44769</v>
      </c>
      <c r="B2035" s="1">
        <f t="shared" si="158"/>
        <v>31</v>
      </c>
      <c r="C2035">
        <f t="shared" si="160"/>
        <v>7</v>
      </c>
      <c r="D2035" t="str">
        <f t="shared" si="161"/>
        <v>July</v>
      </c>
      <c r="E2035">
        <f t="shared" si="162"/>
        <v>2022</v>
      </c>
      <c r="F2035" t="str">
        <f>CONCATENATE(calendar[[#This Row],[Month]],"/",calendar[[#This Row],[Year]])</f>
        <v>7/2022</v>
      </c>
      <c r="G2035">
        <f>WEEKDAY(calendar[[#This Row],[Date]],1)</f>
        <v>4</v>
      </c>
      <c r="H2035" t="str">
        <f>TEXT(calendar[[#This Row],[WeekDay]],"dddd")</f>
        <v>Wednesday</v>
      </c>
      <c r="I2035">
        <f>IF((INT(calendar[[#This Row],[Count]]/7)-calendar[[#This Row],[Count]]/7)&lt;0,I2034,I2034+1)</f>
        <v>291</v>
      </c>
      <c r="J2035">
        <f t="shared" si="159"/>
        <v>2033</v>
      </c>
      <c r="K2035">
        <f>IF(calendar[[#This Row],[Month]]&lt;4,1,IF(calendar[[#This Row],[Month]]&lt;7,2,IF(calendar[[#This Row],[Month]]&lt;10,3,4)))</f>
        <v>3</v>
      </c>
      <c r="L2035">
        <f>IFERROR(IF(VLOOKUP(calendar[[#This Row],[Date]],BH!A:A,1,)&lt;&gt;"",1,0),0)</f>
        <v>0</v>
      </c>
      <c r="M2035">
        <f>IFERROR(IF(VLOOKUP(calendar[[#This Row],[Date]],BH!C:C,1,)&lt;&gt;"",1,0),0)</f>
        <v>0</v>
      </c>
      <c r="N2035">
        <f>IFERROR(IF(VLOOKUP(calendar[[#This Row],[Date]],BH!E:E,1,)&lt;&gt;"",1,0),0)</f>
        <v>0</v>
      </c>
      <c r="O2035">
        <f>IFERROR(IF(VLOOKUP(calendar[[#This Row],[Date]],BH!G:G,1,)&lt;&gt;"",1,0),0)</f>
        <v>0</v>
      </c>
      <c r="P2035">
        <f>IF(OR(calendar[[#This Row],[UK_BH]]=1,calendar[[#This Row],[WeekDay]]=1, calendar[[#This Row],[WeekDay]]=7),P2034,P2034+1)</f>
        <v>1453</v>
      </c>
      <c r="Q2035">
        <f>IF(OR(calendar[[#This Row],[FR_BH]]=1,calendar[[#This Row],[WeekDay]]=1, calendar[[#This Row],[WeekDay]]=7),P2034,P2034+1)</f>
        <v>1453</v>
      </c>
      <c r="R2035">
        <f>IF(OR(calendar[[#This Row],[SP_BH]]=1,calendar[[#This Row],[WeekDay]]=1, calendar[[#This Row],[WeekDay]]=7),P2034,P2034+1)</f>
        <v>1453</v>
      </c>
      <c r="S2035">
        <f>IF(OR(calendar[[#This Row],[PT_BH]]=1,calendar[[#This Row],[WeekDay]]=1, calendar[[#This Row],[WeekDay]]=7),P2034,P2034+1)</f>
        <v>1453</v>
      </c>
    </row>
    <row r="2036" spans="1:19" x14ac:dyDescent="0.25">
      <c r="A2036" s="2">
        <v>44770</v>
      </c>
      <c r="B2036" s="1">
        <f t="shared" si="158"/>
        <v>31</v>
      </c>
      <c r="C2036">
        <f t="shared" si="160"/>
        <v>7</v>
      </c>
      <c r="D2036" t="str">
        <f t="shared" si="161"/>
        <v>July</v>
      </c>
      <c r="E2036">
        <f t="shared" si="162"/>
        <v>2022</v>
      </c>
      <c r="F2036" t="str">
        <f>CONCATENATE(calendar[[#This Row],[Month]],"/",calendar[[#This Row],[Year]])</f>
        <v>7/2022</v>
      </c>
      <c r="G2036">
        <f>WEEKDAY(calendar[[#This Row],[Date]],1)</f>
        <v>5</v>
      </c>
      <c r="H2036" t="str">
        <f>TEXT(calendar[[#This Row],[WeekDay]],"dddd")</f>
        <v>Thursday</v>
      </c>
      <c r="I2036">
        <f>IF((INT(calendar[[#This Row],[Count]]/7)-calendar[[#This Row],[Count]]/7)&lt;0,I2035,I2035+1)</f>
        <v>291</v>
      </c>
      <c r="J2036">
        <f t="shared" si="159"/>
        <v>2034</v>
      </c>
      <c r="K2036">
        <f>IF(calendar[[#This Row],[Month]]&lt;4,1,IF(calendar[[#This Row],[Month]]&lt;7,2,IF(calendar[[#This Row],[Month]]&lt;10,3,4)))</f>
        <v>3</v>
      </c>
      <c r="L2036">
        <f>IFERROR(IF(VLOOKUP(calendar[[#This Row],[Date]],BH!A:A,1,)&lt;&gt;"",1,0),0)</f>
        <v>0</v>
      </c>
      <c r="M2036">
        <f>IFERROR(IF(VLOOKUP(calendar[[#This Row],[Date]],BH!C:C,1,)&lt;&gt;"",1,0),0)</f>
        <v>0</v>
      </c>
      <c r="N2036">
        <f>IFERROR(IF(VLOOKUP(calendar[[#This Row],[Date]],BH!E:E,1,)&lt;&gt;"",1,0),0)</f>
        <v>0</v>
      </c>
      <c r="O2036">
        <f>IFERROR(IF(VLOOKUP(calendar[[#This Row],[Date]],BH!G:G,1,)&lt;&gt;"",1,0),0)</f>
        <v>0</v>
      </c>
      <c r="P2036">
        <f>IF(OR(calendar[[#This Row],[UK_BH]]=1,calendar[[#This Row],[WeekDay]]=1, calendar[[#This Row],[WeekDay]]=7),P2035,P2035+1)</f>
        <v>1454</v>
      </c>
      <c r="Q2036">
        <f>IF(OR(calendar[[#This Row],[FR_BH]]=1,calendar[[#This Row],[WeekDay]]=1, calendar[[#This Row],[WeekDay]]=7),P2035,P2035+1)</f>
        <v>1454</v>
      </c>
      <c r="R2036">
        <f>IF(OR(calendar[[#This Row],[SP_BH]]=1,calendar[[#This Row],[WeekDay]]=1, calendar[[#This Row],[WeekDay]]=7),P2035,P2035+1)</f>
        <v>1454</v>
      </c>
      <c r="S2036">
        <f>IF(OR(calendar[[#This Row],[PT_BH]]=1,calendar[[#This Row],[WeekDay]]=1, calendar[[#This Row],[WeekDay]]=7),P2035,P2035+1)</f>
        <v>1454</v>
      </c>
    </row>
    <row r="2037" spans="1:19" x14ac:dyDescent="0.25">
      <c r="A2037" s="2">
        <v>44771</v>
      </c>
      <c r="B2037" s="1">
        <f t="shared" si="158"/>
        <v>31</v>
      </c>
      <c r="C2037">
        <f t="shared" si="160"/>
        <v>7</v>
      </c>
      <c r="D2037" t="str">
        <f t="shared" si="161"/>
        <v>July</v>
      </c>
      <c r="E2037">
        <f t="shared" si="162"/>
        <v>2022</v>
      </c>
      <c r="F2037" t="str">
        <f>CONCATENATE(calendar[[#This Row],[Month]],"/",calendar[[#This Row],[Year]])</f>
        <v>7/2022</v>
      </c>
      <c r="G2037">
        <f>WEEKDAY(calendar[[#This Row],[Date]],1)</f>
        <v>6</v>
      </c>
      <c r="H2037" t="str">
        <f>TEXT(calendar[[#This Row],[WeekDay]],"dddd")</f>
        <v>Friday</v>
      </c>
      <c r="I2037">
        <f>IF((INT(calendar[[#This Row],[Count]]/7)-calendar[[#This Row],[Count]]/7)&lt;0,I2036,I2036+1)</f>
        <v>291</v>
      </c>
      <c r="J2037">
        <f t="shared" si="159"/>
        <v>2035</v>
      </c>
      <c r="K2037">
        <f>IF(calendar[[#This Row],[Month]]&lt;4,1,IF(calendar[[#This Row],[Month]]&lt;7,2,IF(calendar[[#This Row],[Month]]&lt;10,3,4)))</f>
        <v>3</v>
      </c>
      <c r="L2037">
        <f>IFERROR(IF(VLOOKUP(calendar[[#This Row],[Date]],BH!A:A,1,)&lt;&gt;"",1,0),0)</f>
        <v>0</v>
      </c>
      <c r="M2037">
        <f>IFERROR(IF(VLOOKUP(calendar[[#This Row],[Date]],BH!C:C,1,)&lt;&gt;"",1,0),0)</f>
        <v>0</v>
      </c>
      <c r="N2037">
        <f>IFERROR(IF(VLOOKUP(calendar[[#This Row],[Date]],BH!E:E,1,)&lt;&gt;"",1,0),0)</f>
        <v>0</v>
      </c>
      <c r="O2037">
        <f>IFERROR(IF(VLOOKUP(calendar[[#This Row],[Date]],BH!G:G,1,)&lt;&gt;"",1,0),0)</f>
        <v>0</v>
      </c>
      <c r="P2037">
        <f>IF(OR(calendar[[#This Row],[UK_BH]]=1,calendar[[#This Row],[WeekDay]]=1, calendar[[#This Row],[WeekDay]]=7),P2036,P2036+1)</f>
        <v>1455</v>
      </c>
      <c r="Q2037">
        <f>IF(OR(calendar[[#This Row],[FR_BH]]=1,calendar[[#This Row],[WeekDay]]=1, calendar[[#This Row],[WeekDay]]=7),P2036,P2036+1)</f>
        <v>1455</v>
      </c>
      <c r="R2037">
        <f>IF(OR(calendar[[#This Row],[SP_BH]]=1,calendar[[#This Row],[WeekDay]]=1, calendar[[#This Row],[WeekDay]]=7),P2036,P2036+1)</f>
        <v>1455</v>
      </c>
      <c r="S2037">
        <f>IF(OR(calendar[[#This Row],[PT_BH]]=1,calendar[[#This Row],[WeekDay]]=1, calendar[[#This Row],[WeekDay]]=7),P2036,P2036+1)</f>
        <v>1455</v>
      </c>
    </row>
    <row r="2038" spans="1:19" x14ac:dyDescent="0.25">
      <c r="A2038" s="2">
        <v>44772</v>
      </c>
      <c r="B2038" s="1">
        <f t="shared" si="158"/>
        <v>31</v>
      </c>
      <c r="C2038">
        <f t="shared" si="160"/>
        <v>7</v>
      </c>
      <c r="D2038" t="str">
        <f t="shared" si="161"/>
        <v>July</v>
      </c>
      <c r="E2038">
        <f t="shared" si="162"/>
        <v>2022</v>
      </c>
      <c r="F2038" t="str">
        <f>CONCATENATE(calendar[[#This Row],[Month]],"/",calendar[[#This Row],[Year]])</f>
        <v>7/2022</v>
      </c>
      <c r="G2038">
        <f>WEEKDAY(calendar[[#This Row],[Date]],1)</f>
        <v>7</v>
      </c>
      <c r="H2038" t="str">
        <f>TEXT(calendar[[#This Row],[WeekDay]],"dddd")</f>
        <v>Saturday</v>
      </c>
      <c r="I2038">
        <f>IF((INT(calendar[[#This Row],[Count]]/7)-calendar[[#This Row],[Count]]/7)&lt;0,I2037,I2037+1)</f>
        <v>291</v>
      </c>
      <c r="J2038">
        <f t="shared" si="159"/>
        <v>2036</v>
      </c>
      <c r="K2038">
        <f>IF(calendar[[#This Row],[Month]]&lt;4,1,IF(calendar[[#This Row],[Month]]&lt;7,2,IF(calendar[[#This Row],[Month]]&lt;10,3,4)))</f>
        <v>3</v>
      </c>
      <c r="L2038">
        <f>IFERROR(IF(VLOOKUP(calendar[[#This Row],[Date]],BH!A:A,1,)&lt;&gt;"",1,0),0)</f>
        <v>0</v>
      </c>
      <c r="M2038">
        <f>IFERROR(IF(VLOOKUP(calendar[[#This Row],[Date]],BH!C:C,1,)&lt;&gt;"",1,0),0)</f>
        <v>0</v>
      </c>
      <c r="N2038">
        <f>IFERROR(IF(VLOOKUP(calendar[[#This Row],[Date]],BH!E:E,1,)&lt;&gt;"",1,0),0)</f>
        <v>0</v>
      </c>
      <c r="O2038">
        <f>IFERROR(IF(VLOOKUP(calendar[[#This Row],[Date]],BH!G:G,1,)&lt;&gt;"",1,0),0)</f>
        <v>0</v>
      </c>
      <c r="P2038">
        <f>IF(OR(calendar[[#This Row],[UK_BH]]=1,calendar[[#This Row],[WeekDay]]=1, calendar[[#This Row],[WeekDay]]=7),P2037,P2037+1)</f>
        <v>1455</v>
      </c>
      <c r="Q2038">
        <f>IF(OR(calendar[[#This Row],[FR_BH]]=1,calendar[[#This Row],[WeekDay]]=1, calendar[[#This Row],[WeekDay]]=7),P2037,P2037+1)</f>
        <v>1455</v>
      </c>
      <c r="R2038">
        <f>IF(OR(calendar[[#This Row],[SP_BH]]=1,calendar[[#This Row],[WeekDay]]=1, calendar[[#This Row],[WeekDay]]=7),P2037,P2037+1)</f>
        <v>1455</v>
      </c>
      <c r="S2038">
        <f>IF(OR(calendar[[#This Row],[PT_BH]]=1,calendar[[#This Row],[WeekDay]]=1, calendar[[#This Row],[WeekDay]]=7),P2037,P2037+1)</f>
        <v>1455</v>
      </c>
    </row>
    <row r="2039" spans="1:19" x14ac:dyDescent="0.25">
      <c r="A2039" s="2">
        <v>44773</v>
      </c>
      <c r="B2039" s="1">
        <f t="shared" si="158"/>
        <v>32</v>
      </c>
      <c r="C2039">
        <f t="shared" si="160"/>
        <v>7</v>
      </c>
      <c r="D2039" t="str">
        <f t="shared" si="161"/>
        <v>July</v>
      </c>
      <c r="E2039">
        <f t="shared" si="162"/>
        <v>2022</v>
      </c>
      <c r="F2039" t="str">
        <f>CONCATENATE(calendar[[#This Row],[Month]],"/",calendar[[#This Row],[Year]])</f>
        <v>7/2022</v>
      </c>
      <c r="G2039">
        <f>WEEKDAY(calendar[[#This Row],[Date]],1)</f>
        <v>1</v>
      </c>
      <c r="H2039" t="str">
        <f>TEXT(calendar[[#This Row],[WeekDay]],"dddd")</f>
        <v>Sunday</v>
      </c>
      <c r="I2039">
        <f>IF((INT(calendar[[#This Row],[Count]]/7)-calendar[[#This Row],[Count]]/7)&lt;0,I2038,I2038+1)</f>
        <v>292</v>
      </c>
      <c r="J2039">
        <f t="shared" si="159"/>
        <v>2037</v>
      </c>
      <c r="K2039">
        <f>IF(calendar[[#This Row],[Month]]&lt;4,1,IF(calendar[[#This Row],[Month]]&lt;7,2,IF(calendar[[#This Row],[Month]]&lt;10,3,4)))</f>
        <v>3</v>
      </c>
      <c r="L2039">
        <f>IFERROR(IF(VLOOKUP(calendar[[#This Row],[Date]],BH!A:A,1,)&lt;&gt;"",1,0),0)</f>
        <v>0</v>
      </c>
      <c r="M2039">
        <f>IFERROR(IF(VLOOKUP(calendar[[#This Row],[Date]],BH!C:C,1,)&lt;&gt;"",1,0),0)</f>
        <v>0</v>
      </c>
      <c r="N2039">
        <f>IFERROR(IF(VLOOKUP(calendar[[#This Row],[Date]],BH!E:E,1,)&lt;&gt;"",1,0),0)</f>
        <v>0</v>
      </c>
      <c r="O2039">
        <f>IFERROR(IF(VLOOKUP(calendar[[#This Row],[Date]],BH!G:G,1,)&lt;&gt;"",1,0),0)</f>
        <v>0</v>
      </c>
      <c r="P2039">
        <f>IF(OR(calendar[[#This Row],[UK_BH]]=1,calendar[[#This Row],[WeekDay]]=1, calendar[[#This Row],[WeekDay]]=7),P2038,P2038+1)</f>
        <v>1455</v>
      </c>
      <c r="Q2039">
        <f>IF(OR(calendar[[#This Row],[FR_BH]]=1,calendar[[#This Row],[WeekDay]]=1, calendar[[#This Row],[WeekDay]]=7),P2038,P2038+1)</f>
        <v>1455</v>
      </c>
      <c r="R2039">
        <f>IF(OR(calendar[[#This Row],[SP_BH]]=1,calendar[[#This Row],[WeekDay]]=1, calendar[[#This Row],[WeekDay]]=7),P2038,P2038+1)</f>
        <v>1455</v>
      </c>
      <c r="S2039">
        <f>IF(OR(calendar[[#This Row],[PT_BH]]=1,calendar[[#This Row],[WeekDay]]=1, calendar[[#This Row],[WeekDay]]=7),P2038,P2038+1)</f>
        <v>1455</v>
      </c>
    </row>
    <row r="2040" spans="1:19" x14ac:dyDescent="0.25">
      <c r="A2040" s="2">
        <v>44774</v>
      </c>
      <c r="B2040" s="1">
        <f t="shared" si="158"/>
        <v>32</v>
      </c>
      <c r="C2040">
        <f t="shared" si="160"/>
        <v>8</v>
      </c>
      <c r="D2040" t="str">
        <f t="shared" si="161"/>
        <v>August</v>
      </c>
      <c r="E2040">
        <f t="shared" si="162"/>
        <v>2022</v>
      </c>
      <c r="F2040" t="str">
        <f>CONCATENATE(calendar[[#This Row],[Month]],"/",calendar[[#This Row],[Year]])</f>
        <v>8/2022</v>
      </c>
      <c r="G2040">
        <f>WEEKDAY(calendar[[#This Row],[Date]],1)</f>
        <v>2</v>
      </c>
      <c r="H2040" t="str">
        <f>TEXT(calendar[[#This Row],[WeekDay]],"dddd")</f>
        <v>Monday</v>
      </c>
      <c r="I2040">
        <f>IF((INT(calendar[[#This Row],[Count]]/7)-calendar[[#This Row],[Count]]/7)&lt;0,I2039,I2039+1)</f>
        <v>292</v>
      </c>
      <c r="J2040">
        <f t="shared" si="159"/>
        <v>2038</v>
      </c>
      <c r="K2040">
        <f>IF(calendar[[#This Row],[Month]]&lt;4,1,IF(calendar[[#This Row],[Month]]&lt;7,2,IF(calendar[[#This Row],[Month]]&lt;10,3,4)))</f>
        <v>3</v>
      </c>
      <c r="L2040">
        <f>IFERROR(IF(VLOOKUP(calendar[[#This Row],[Date]],BH!A:A,1,)&lt;&gt;"",1,0),0)</f>
        <v>0</v>
      </c>
      <c r="M2040">
        <f>IFERROR(IF(VLOOKUP(calendar[[#This Row],[Date]],BH!C:C,1,)&lt;&gt;"",1,0),0)</f>
        <v>0</v>
      </c>
      <c r="N2040">
        <f>IFERROR(IF(VLOOKUP(calendar[[#This Row],[Date]],BH!E:E,1,)&lt;&gt;"",1,0),0)</f>
        <v>0</v>
      </c>
      <c r="O2040">
        <f>IFERROR(IF(VLOOKUP(calendar[[#This Row],[Date]],BH!G:G,1,)&lt;&gt;"",1,0),0)</f>
        <v>0</v>
      </c>
      <c r="P2040">
        <f>IF(OR(calendar[[#This Row],[UK_BH]]=1,calendar[[#This Row],[WeekDay]]=1, calendar[[#This Row],[WeekDay]]=7),P2039,P2039+1)</f>
        <v>1456</v>
      </c>
      <c r="Q2040">
        <f>IF(OR(calendar[[#This Row],[FR_BH]]=1,calendar[[#This Row],[WeekDay]]=1, calendar[[#This Row],[WeekDay]]=7),P2039,P2039+1)</f>
        <v>1456</v>
      </c>
      <c r="R2040">
        <f>IF(OR(calendar[[#This Row],[SP_BH]]=1,calendar[[#This Row],[WeekDay]]=1, calendar[[#This Row],[WeekDay]]=7),P2039,P2039+1)</f>
        <v>1456</v>
      </c>
      <c r="S2040">
        <f>IF(OR(calendar[[#This Row],[PT_BH]]=1,calendar[[#This Row],[WeekDay]]=1, calendar[[#This Row],[WeekDay]]=7),P2039,P2039+1)</f>
        <v>1456</v>
      </c>
    </row>
    <row r="2041" spans="1:19" x14ac:dyDescent="0.25">
      <c r="A2041" s="2">
        <v>44775</v>
      </c>
      <c r="B2041" s="1">
        <f t="shared" si="158"/>
        <v>32</v>
      </c>
      <c r="C2041">
        <f t="shared" si="160"/>
        <v>8</v>
      </c>
      <c r="D2041" t="str">
        <f t="shared" si="161"/>
        <v>August</v>
      </c>
      <c r="E2041">
        <f t="shared" si="162"/>
        <v>2022</v>
      </c>
      <c r="F2041" t="str">
        <f>CONCATENATE(calendar[[#This Row],[Month]],"/",calendar[[#This Row],[Year]])</f>
        <v>8/2022</v>
      </c>
      <c r="G2041">
        <f>WEEKDAY(calendar[[#This Row],[Date]],1)</f>
        <v>3</v>
      </c>
      <c r="H2041" t="str">
        <f>TEXT(calendar[[#This Row],[WeekDay]],"dddd")</f>
        <v>Tuesday</v>
      </c>
      <c r="I2041">
        <f>IF((INT(calendar[[#This Row],[Count]]/7)-calendar[[#This Row],[Count]]/7)&lt;0,I2040,I2040+1)</f>
        <v>292</v>
      </c>
      <c r="J2041">
        <f t="shared" si="159"/>
        <v>2039</v>
      </c>
      <c r="K2041">
        <f>IF(calendar[[#This Row],[Month]]&lt;4,1,IF(calendar[[#This Row],[Month]]&lt;7,2,IF(calendar[[#This Row],[Month]]&lt;10,3,4)))</f>
        <v>3</v>
      </c>
      <c r="L2041">
        <f>IFERROR(IF(VLOOKUP(calendar[[#This Row],[Date]],BH!A:A,1,)&lt;&gt;"",1,0),0)</f>
        <v>0</v>
      </c>
      <c r="M2041">
        <f>IFERROR(IF(VLOOKUP(calendar[[#This Row],[Date]],BH!C:C,1,)&lt;&gt;"",1,0),0)</f>
        <v>0</v>
      </c>
      <c r="N2041">
        <f>IFERROR(IF(VLOOKUP(calendar[[#This Row],[Date]],BH!E:E,1,)&lt;&gt;"",1,0),0)</f>
        <v>0</v>
      </c>
      <c r="O2041">
        <f>IFERROR(IF(VLOOKUP(calendar[[#This Row],[Date]],BH!G:G,1,)&lt;&gt;"",1,0),0)</f>
        <v>0</v>
      </c>
      <c r="P2041">
        <f>IF(OR(calendar[[#This Row],[UK_BH]]=1,calendar[[#This Row],[WeekDay]]=1, calendar[[#This Row],[WeekDay]]=7),P2040,P2040+1)</f>
        <v>1457</v>
      </c>
      <c r="Q2041">
        <f>IF(OR(calendar[[#This Row],[FR_BH]]=1,calendar[[#This Row],[WeekDay]]=1, calendar[[#This Row],[WeekDay]]=7),P2040,P2040+1)</f>
        <v>1457</v>
      </c>
      <c r="R2041">
        <f>IF(OR(calendar[[#This Row],[SP_BH]]=1,calendar[[#This Row],[WeekDay]]=1, calendar[[#This Row],[WeekDay]]=7),P2040,P2040+1)</f>
        <v>1457</v>
      </c>
      <c r="S2041">
        <f>IF(OR(calendar[[#This Row],[PT_BH]]=1,calendar[[#This Row],[WeekDay]]=1, calendar[[#This Row],[WeekDay]]=7),P2040,P2040+1)</f>
        <v>1457</v>
      </c>
    </row>
    <row r="2042" spans="1:19" x14ac:dyDescent="0.25">
      <c r="A2042" s="2">
        <v>44776</v>
      </c>
      <c r="B2042" s="1">
        <f t="shared" si="158"/>
        <v>32</v>
      </c>
      <c r="C2042">
        <f t="shared" si="160"/>
        <v>8</v>
      </c>
      <c r="D2042" t="str">
        <f t="shared" si="161"/>
        <v>August</v>
      </c>
      <c r="E2042">
        <f t="shared" si="162"/>
        <v>2022</v>
      </c>
      <c r="F2042" t="str">
        <f>CONCATENATE(calendar[[#This Row],[Month]],"/",calendar[[#This Row],[Year]])</f>
        <v>8/2022</v>
      </c>
      <c r="G2042">
        <f>WEEKDAY(calendar[[#This Row],[Date]],1)</f>
        <v>4</v>
      </c>
      <c r="H2042" t="str">
        <f>TEXT(calendar[[#This Row],[WeekDay]],"dddd")</f>
        <v>Wednesday</v>
      </c>
      <c r="I2042">
        <f>IF((INT(calendar[[#This Row],[Count]]/7)-calendar[[#This Row],[Count]]/7)&lt;0,I2041,I2041+1)</f>
        <v>292</v>
      </c>
      <c r="J2042">
        <f t="shared" si="159"/>
        <v>2040</v>
      </c>
      <c r="K2042">
        <f>IF(calendar[[#This Row],[Month]]&lt;4,1,IF(calendar[[#This Row],[Month]]&lt;7,2,IF(calendar[[#This Row],[Month]]&lt;10,3,4)))</f>
        <v>3</v>
      </c>
      <c r="L2042">
        <f>IFERROR(IF(VLOOKUP(calendar[[#This Row],[Date]],BH!A:A,1,)&lt;&gt;"",1,0),0)</f>
        <v>0</v>
      </c>
      <c r="M2042">
        <f>IFERROR(IF(VLOOKUP(calendar[[#This Row],[Date]],BH!C:C,1,)&lt;&gt;"",1,0),0)</f>
        <v>0</v>
      </c>
      <c r="N2042">
        <f>IFERROR(IF(VLOOKUP(calendar[[#This Row],[Date]],BH!E:E,1,)&lt;&gt;"",1,0),0)</f>
        <v>0</v>
      </c>
      <c r="O2042">
        <f>IFERROR(IF(VLOOKUP(calendar[[#This Row],[Date]],BH!G:G,1,)&lt;&gt;"",1,0),0)</f>
        <v>0</v>
      </c>
      <c r="P2042">
        <f>IF(OR(calendar[[#This Row],[UK_BH]]=1,calendar[[#This Row],[WeekDay]]=1, calendar[[#This Row],[WeekDay]]=7),P2041,P2041+1)</f>
        <v>1458</v>
      </c>
      <c r="Q2042">
        <f>IF(OR(calendar[[#This Row],[FR_BH]]=1,calendar[[#This Row],[WeekDay]]=1, calendar[[#This Row],[WeekDay]]=7),P2041,P2041+1)</f>
        <v>1458</v>
      </c>
      <c r="R2042">
        <f>IF(OR(calendar[[#This Row],[SP_BH]]=1,calendar[[#This Row],[WeekDay]]=1, calendar[[#This Row],[WeekDay]]=7),P2041,P2041+1)</f>
        <v>1458</v>
      </c>
      <c r="S2042">
        <f>IF(OR(calendar[[#This Row],[PT_BH]]=1,calendar[[#This Row],[WeekDay]]=1, calendar[[#This Row],[WeekDay]]=7),P2041,P2041+1)</f>
        <v>1458</v>
      </c>
    </row>
    <row r="2043" spans="1:19" x14ac:dyDescent="0.25">
      <c r="A2043" s="2">
        <v>44777</v>
      </c>
      <c r="B2043" s="1">
        <f t="shared" si="158"/>
        <v>32</v>
      </c>
      <c r="C2043">
        <f t="shared" si="160"/>
        <v>8</v>
      </c>
      <c r="D2043" t="str">
        <f t="shared" si="161"/>
        <v>August</v>
      </c>
      <c r="E2043">
        <f t="shared" si="162"/>
        <v>2022</v>
      </c>
      <c r="F2043" t="str">
        <f>CONCATENATE(calendar[[#This Row],[Month]],"/",calendar[[#This Row],[Year]])</f>
        <v>8/2022</v>
      </c>
      <c r="G2043">
        <f>WEEKDAY(calendar[[#This Row],[Date]],1)</f>
        <v>5</v>
      </c>
      <c r="H2043" t="str">
        <f>TEXT(calendar[[#This Row],[WeekDay]],"dddd")</f>
        <v>Thursday</v>
      </c>
      <c r="I2043">
        <f>IF((INT(calendar[[#This Row],[Count]]/7)-calendar[[#This Row],[Count]]/7)&lt;0,I2042,I2042+1)</f>
        <v>292</v>
      </c>
      <c r="J2043">
        <f t="shared" si="159"/>
        <v>2041</v>
      </c>
      <c r="K2043">
        <f>IF(calendar[[#This Row],[Month]]&lt;4,1,IF(calendar[[#This Row],[Month]]&lt;7,2,IF(calendar[[#This Row],[Month]]&lt;10,3,4)))</f>
        <v>3</v>
      </c>
      <c r="L2043">
        <f>IFERROR(IF(VLOOKUP(calendar[[#This Row],[Date]],BH!A:A,1,)&lt;&gt;"",1,0),0)</f>
        <v>0</v>
      </c>
      <c r="M2043">
        <f>IFERROR(IF(VLOOKUP(calendar[[#This Row],[Date]],BH!C:C,1,)&lt;&gt;"",1,0),0)</f>
        <v>0</v>
      </c>
      <c r="N2043">
        <f>IFERROR(IF(VLOOKUP(calendar[[#This Row],[Date]],BH!E:E,1,)&lt;&gt;"",1,0),0)</f>
        <v>0</v>
      </c>
      <c r="O2043">
        <f>IFERROR(IF(VLOOKUP(calendar[[#This Row],[Date]],BH!G:G,1,)&lt;&gt;"",1,0),0)</f>
        <v>0</v>
      </c>
      <c r="P2043">
        <f>IF(OR(calendar[[#This Row],[UK_BH]]=1,calendar[[#This Row],[WeekDay]]=1, calendar[[#This Row],[WeekDay]]=7),P2042,P2042+1)</f>
        <v>1459</v>
      </c>
      <c r="Q2043">
        <f>IF(OR(calendar[[#This Row],[FR_BH]]=1,calendar[[#This Row],[WeekDay]]=1, calendar[[#This Row],[WeekDay]]=7),P2042,P2042+1)</f>
        <v>1459</v>
      </c>
      <c r="R2043">
        <f>IF(OR(calendar[[#This Row],[SP_BH]]=1,calendar[[#This Row],[WeekDay]]=1, calendar[[#This Row],[WeekDay]]=7),P2042,P2042+1)</f>
        <v>1459</v>
      </c>
      <c r="S2043">
        <f>IF(OR(calendar[[#This Row],[PT_BH]]=1,calendar[[#This Row],[WeekDay]]=1, calendar[[#This Row],[WeekDay]]=7),P2042,P2042+1)</f>
        <v>1459</v>
      </c>
    </row>
    <row r="2044" spans="1:19" x14ac:dyDescent="0.25">
      <c r="A2044" s="2">
        <v>44778</v>
      </c>
      <c r="B2044" s="1">
        <f t="shared" si="158"/>
        <v>32</v>
      </c>
      <c r="C2044">
        <f t="shared" si="160"/>
        <v>8</v>
      </c>
      <c r="D2044" t="str">
        <f t="shared" si="161"/>
        <v>August</v>
      </c>
      <c r="E2044">
        <f t="shared" si="162"/>
        <v>2022</v>
      </c>
      <c r="F2044" t="str">
        <f>CONCATENATE(calendar[[#This Row],[Month]],"/",calendar[[#This Row],[Year]])</f>
        <v>8/2022</v>
      </c>
      <c r="G2044">
        <f>WEEKDAY(calendar[[#This Row],[Date]],1)</f>
        <v>6</v>
      </c>
      <c r="H2044" t="str">
        <f>TEXT(calendar[[#This Row],[WeekDay]],"dddd")</f>
        <v>Friday</v>
      </c>
      <c r="I2044">
        <f>IF((INT(calendar[[#This Row],[Count]]/7)-calendar[[#This Row],[Count]]/7)&lt;0,I2043,I2043+1)</f>
        <v>292</v>
      </c>
      <c r="J2044">
        <f t="shared" si="159"/>
        <v>2042</v>
      </c>
      <c r="K2044">
        <f>IF(calendar[[#This Row],[Month]]&lt;4,1,IF(calendar[[#This Row],[Month]]&lt;7,2,IF(calendar[[#This Row],[Month]]&lt;10,3,4)))</f>
        <v>3</v>
      </c>
      <c r="L2044">
        <f>IFERROR(IF(VLOOKUP(calendar[[#This Row],[Date]],BH!A:A,1,)&lt;&gt;"",1,0),0)</f>
        <v>0</v>
      </c>
      <c r="M2044">
        <f>IFERROR(IF(VLOOKUP(calendar[[#This Row],[Date]],BH!C:C,1,)&lt;&gt;"",1,0),0)</f>
        <v>0</v>
      </c>
      <c r="N2044">
        <f>IFERROR(IF(VLOOKUP(calendar[[#This Row],[Date]],BH!E:E,1,)&lt;&gt;"",1,0),0)</f>
        <v>0</v>
      </c>
      <c r="O2044">
        <f>IFERROR(IF(VLOOKUP(calendar[[#This Row],[Date]],BH!G:G,1,)&lt;&gt;"",1,0),0)</f>
        <v>0</v>
      </c>
      <c r="P2044">
        <f>IF(OR(calendar[[#This Row],[UK_BH]]=1,calendar[[#This Row],[WeekDay]]=1, calendar[[#This Row],[WeekDay]]=7),P2043,P2043+1)</f>
        <v>1460</v>
      </c>
      <c r="Q2044">
        <f>IF(OR(calendar[[#This Row],[FR_BH]]=1,calendar[[#This Row],[WeekDay]]=1, calendar[[#This Row],[WeekDay]]=7),P2043,P2043+1)</f>
        <v>1460</v>
      </c>
      <c r="R2044">
        <f>IF(OR(calendar[[#This Row],[SP_BH]]=1,calendar[[#This Row],[WeekDay]]=1, calendar[[#This Row],[WeekDay]]=7),P2043,P2043+1)</f>
        <v>1460</v>
      </c>
      <c r="S2044">
        <f>IF(OR(calendar[[#This Row],[PT_BH]]=1,calendar[[#This Row],[WeekDay]]=1, calendar[[#This Row],[WeekDay]]=7),P2043,P2043+1)</f>
        <v>1460</v>
      </c>
    </row>
    <row r="2045" spans="1:19" x14ac:dyDescent="0.25">
      <c r="A2045" s="2">
        <v>44779</v>
      </c>
      <c r="B2045" s="1">
        <f t="shared" si="158"/>
        <v>32</v>
      </c>
      <c r="C2045">
        <f t="shared" si="160"/>
        <v>8</v>
      </c>
      <c r="D2045" t="str">
        <f t="shared" si="161"/>
        <v>August</v>
      </c>
      <c r="E2045">
        <f t="shared" si="162"/>
        <v>2022</v>
      </c>
      <c r="F2045" t="str">
        <f>CONCATENATE(calendar[[#This Row],[Month]],"/",calendar[[#This Row],[Year]])</f>
        <v>8/2022</v>
      </c>
      <c r="G2045">
        <f>WEEKDAY(calendar[[#This Row],[Date]],1)</f>
        <v>7</v>
      </c>
      <c r="H2045" t="str">
        <f>TEXT(calendar[[#This Row],[WeekDay]],"dddd")</f>
        <v>Saturday</v>
      </c>
      <c r="I2045">
        <f>IF((INT(calendar[[#This Row],[Count]]/7)-calendar[[#This Row],[Count]]/7)&lt;0,I2044,I2044+1)</f>
        <v>292</v>
      </c>
      <c r="J2045">
        <f t="shared" si="159"/>
        <v>2043</v>
      </c>
      <c r="K2045">
        <f>IF(calendar[[#This Row],[Month]]&lt;4,1,IF(calendar[[#This Row],[Month]]&lt;7,2,IF(calendar[[#This Row],[Month]]&lt;10,3,4)))</f>
        <v>3</v>
      </c>
      <c r="L2045">
        <f>IFERROR(IF(VLOOKUP(calendar[[#This Row],[Date]],BH!A:A,1,)&lt;&gt;"",1,0),0)</f>
        <v>0</v>
      </c>
      <c r="M2045">
        <f>IFERROR(IF(VLOOKUP(calendar[[#This Row],[Date]],BH!C:C,1,)&lt;&gt;"",1,0),0)</f>
        <v>0</v>
      </c>
      <c r="N2045">
        <f>IFERROR(IF(VLOOKUP(calendar[[#This Row],[Date]],BH!E:E,1,)&lt;&gt;"",1,0),0)</f>
        <v>0</v>
      </c>
      <c r="O2045">
        <f>IFERROR(IF(VLOOKUP(calendar[[#This Row],[Date]],BH!G:G,1,)&lt;&gt;"",1,0),0)</f>
        <v>0</v>
      </c>
      <c r="P2045">
        <f>IF(OR(calendar[[#This Row],[UK_BH]]=1,calendar[[#This Row],[WeekDay]]=1, calendar[[#This Row],[WeekDay]]=7),P2044,P2044+1)</f>
        <v>1460</v>
      </c>
      <c r="Q2045">
        <f>IF(OR(calendar[[#This Row],[FR_BH]]=1,calendar[[#This Row],[WeekDay]]=1, calendar[[#This Row],[WeekDay]]=7),P2044,P2044+1)</f>
        <v>1460</v>
      </c>
      <c r="R2045">
        <f>IF(OR(calendar[[#This Row],[SP_BH]]=1,calendar[[#This Row],[WeekDay]]=1, calendar[[#This Row],[WeekDay]]=7),P2044,P2044+1)</f>
        <v>1460</v>
      </c>
      <c r="S2045">
        <f>IF(OR(calendar[[#This Row],[PT_BH]]=1,calendar[[#This Row],[WeekDay]]=1, calendar[[#This Row],[WeekDay]]=7),P2044,P2044+1)</f>
        <v>1460</v>
      </c>
    </row>
    <row r="2046" spans="1:19" x14ac:dyDescent="0.25">
      <c r="A2046" s="2">
        <v>44780</v>
      </c>
      <c r="B2046" s="1">
        <f t="shared" si="158"/>
        <v>33</v>
      </c>
      <c r="C2046">
        <f t="shared" si="160"/>
        <v>8</v>
      </c>
      <c r="D2046" t="str">
        <f t="shared" si="161"/>
        <v>August</v>
      </c>
      <c r="E2046">
        <f t="shared" si="162"/>
        <v>2022</v>
      </c>
      <c r="F2046" t="str">
        <f>CONCATENATE(calendar[[#This Row],[Month]],"/",calendar[[#This Row],[Year]])</f>
        <v>8/2022</v>
      </c>
      <c r="G2046">
        <f>WEEKDAY(calendar[[#This Row],[Date]],1)</f>
        <v>1</v>
      </c>
      <c r="H2046" t="str">
        <f>TEXT(calendar[[#This Row],[WeekDay]],"dddd")</f>
        <v>Sunday</v>
      </c>
      <c r="I2046">
        <f>IF((INT(calendar[[#This Row],[Count]]/7)-calendar[[#This Row],[Count]]/7)&lt;0,I2045,I2045+1)</f>
        <v>293</v>
      </c>
      <c r="J2046">
        <f t="shared" si="159"/>
        <v>2044</v>
      </c>
      <c r="K2046">
        <f>IF(calendar[[#This Row],[Month]]&lt;4,1,IF(calendar[[#This Row],[Month]]&lt;7,2,IF(calendar[[#This Row],[Month]]&lt;10,3,4)))</f>
        <v>3</v>
      </c>
      <c r="L2046">
        <f>IFERROR(IF(VLOOKUP(calendar[[#This Row],[Date]],BH!A:A,1,)&lt;&gt;"",1,0),0)</f>
        <v>0</v>
      </c>
      <c r="M2046">
        <f>IFERROR(IF(VLOOKUP(calendar[[#This Row],[Date]],BH!C:C,1,)&lt;&gt;"",1,0),0)</f>
        <v>0</v>
      </c>
      <c r="N2046">
        <f>IFERROR(IF(VLOOKUP(calendar[[#This Row],[Date]],BH!E:E,1,)&lt;&gt;"",1,0),0)</f>
        <v>0</v>
      </c>
      <c r="O2046">
        <f>IFERROR(IF(VLOOKUP(calendar[[#This Row],[Date]],BH!G:G,1,)&lt;&gt;"",1,0),0)</f>
        <v>0</v>
      </c>
      <c r="P2046">
        <f>IF(OR(calendar[[#This Row],[UK_BH]]=1,calendar[[#This Row],[WeekDay]]=1, calendar[[#This Row],[WeekDay]]=7),P2045,P2045+1)</f>
        <v>1460</v>
      </c>
      <c r="Q2046">
        <f>IF(OR(calendar[[#This Row],[FR_BH]]=1,calendar[[#This Row],[WeekDay]]=1, calendar[[#This Row],[WeekDay]]=7),P2045,P2045+1)</f>
        <v>1460</v>
      </c>
      <c r="R2046">
        <f>IF(OR(calendar[[#This Row],[SP_BH]]=1,calendar[[#This Row],[WeekDay]]=1, calendar[[#This Row],[WeekDay]]=7),P2045,P2045+1)</f>
        <v>1460</v>
      </c>
      <c r="S2046">
        <f>IF(OR(calendar[[#This Row],[PT_BH]]=1,calendar[[#This Row],[WeekDay]]=1, calendar[[#This Row],[WeekDay]]=7),P2045,P2045+1)</f>
        <v>1460</v>
      </c>
    </row>
    <row r="2047" spans="1:19" x14ac:dyDescent="0.25">
      <c r="A2047" s="2">
        <v>44781</v>
      </c>
      <c r="B2047" s="1">
        <f t="shared" si="158"/>
        <v>33</v>
      </c>
      <c r="C2047">
        <f t="shared" si="160"/>
        <v>8</v>
      </c>
      <c r="D2047" t="str">
        <f t="shared" si="161"/>
        <v>August</v>
      </c>
      <c r="E2047">
        <f t="shared" si="162"/>
        <v>2022</v>
      </c>
      <c r="F2047" t="str">
        <f>CONCATENATE(calendar[[#This Row],[Month]],"/",calendar[[#This Row],[Year]])</f>
        <v>8/2022</v>
      </c>
      <c r="G2047">
        <f>WEEKDAY(calendar[[#This Row],[Date]],1)</f>
        <v>2</v>
      </c>
      <c r="H2047" t="str">
        <f>TEXT(calendar[[#This Row],[WeekDay]],"dddd")</f>
        <v>Monday</v>
      </c>
      <c r="I2047">
        <f>IF((INT(calendar[[#This Row],[Count]]/7)-calendar[[#This Row],[Count]]/7)&lt;0,I2046,I2046+1)</f>
        <v>293</v>
      </c>
      <c r="J2047">
        <f t="shared" si="159"/>
        <v>2045</v>
      </c>
      <c r="K2047">
        <f>IF(calendar[[#This Row],[Month]]&lt;4,1,IF(calendar[[#This Row],[Month]]&lt;7,2,IF(calendar[[#This Row],[Month]]&lt;10,3,4)))</f>
        <v>3</v>
      </c>
      <c r="L2047">
        <f>IFERROR(IF(VLOOKUP(calendar[[#This Row],[Date]],BH!A:A,1,)&lt;&gt;"",1,0),0)</f>
        <v>0</v>
      </c>
      <c r="M2047">
        <f>IFERROR(IF(VLOOKUP(calendar[[#This Row],[Date]],BH!C:C,1,)&lt;&gt;"",1,0),0)</f>
        <v>0</v>
      </c>
      <c r="N2047">
        <f>IFERROR(IF(VLOOKUP(calendar[[#This Row],[Date]],BH!E:E,1,)&lt;&gt;"",1,0),0)</f>
        <v>0</v>
      </c>
      <c r="O2047">
        <f>IFERROR(IF(VLOOKUP(calendar[[#This Row],[Date]],BH!G:G,1,)&lt;&gt;"",1,0),0)</f>
        <v>0</v>
      </c>
      <c r="P2047">
        <f>IF(OR(calendar[[#This Row],[UK_BH]]=1,calendar[[#This Row],[WeekDay]]=1, calendar[[#This Row],[WeekDay]]=7),P2046,P2046+1)</f>
        <v>1461</v>
      </c>
      <c r="Q2047">
        <f>IF(OR(calendar[[#This Row],[FR_BH]]=1,calendar[[#This Row],[WeekDay]]=1, calendar[[#This Row],[WeekDay]]=7),P2046,P2046+1)</f>
        <v>1461</v>
      </c>
      <c r="R2047">
        <f>IF(OR(calendar[[#This Row],[SP_BH]]=1,calendar[[#This Row],[WeekDay]]=1, calendar[[#This Row],[WeekDay]]=7),P2046,P2046+1)</f>
        <v>1461</v>
      </c>
      <c r="S2047">
        <f>IF(OR(calendar[[#This Row],[PT_BH]]=1,calendar[[#This Row],[WeekDay]]=1, calendar[[#This Row],[WeekDay]]=7),P2046,P2046+1)</f>
        <v>1461</v>
      </c>
    </row>
    <row r="2048" spans="1:19" x14ac:dyDescent="0.25">
      <c r="A2048" s="2">
        <v>44782</v>
      </c>
      <c r="B2048" s="1">
        <f t="shared" si="158"/>
        <v>33</v>
      </c>
      <c r="C2048">
        <f t="shared" si="160"/>
        <v>8</v>
      </c>
      <c r="D2048" t="str">
        <f t="shared" si="161"/>
        <v>August</v>
      </c>
      <c r="E2048">
        <f t="shared" si="162"/>
        <v>2022</v>
      </c>
      <c r="F2048" t="str">
        <f>CONCATENATE(calendar[[#This Row],[Month]],"/",calendar[[#This Row],[Year]])</f>
        <v>8/2022</v>
      </c>
      <c r="G2048">
        <f>WEEKDAY(calendar[[#This Row],[Date]],1)</f>
        <v>3</v>
      </c>
      <c r="H2048" t="str">
        <f>TEXT(calendar[[#This Row],[WeekDay]],"dddd")</f>
        <v>Tuesday</v>
      </c>
      <c r="I2048">
        <f>IF((INT(calendar[[#This Row],[Count]]/7)-calendar[[#This Row],[Count]]/7)&lt;0,I2047,I2047+1)</f>
        <v>293</v>
      </c>
      <c r="J2048">
        <f t="shared" si="159"/>
        <v>2046</v>
      </c>
      <c r="K2048">
        <f>IF(calendar[[#This Row],[Month]]&lt;4,1,IF(calendar[[#This Row],[Month]]&lt;7,2,IF(calendar[[#This Row],[Month]]&lt;10,3,4)))</f>
        <v>3</v>
      </c>
      <c r="L2048">
        <f>IFERROR(IF(VLOOKUP(calendar[[#This Row],[Date]],BH!A:A,1,)&lt;&gt;"",1,0),0)</f>
        <v>0</v>
      </c>
      <c r="M2048">
        <f>IFERROR(IF(VLOOKUP(calendar[[#This Row],[Date]],BH!C:C,1,)&lt;&gt;"",1,0),0)</f>
        <v>0</v>
      </c>
      <c r="N2048">
        <f>IFERROR(IF(VLOOKUP(calendar[[#This Row],[Date]],BH!E:E,1,)&lt;&gt;"",1,0),0)</f>
        <v>0</v>
      </c>
      <c r="O2048">
        <f>IFERROR(IF(VLOOKUP(calendar[[#This Row],[Date]],BH!G:G,1,)&lt;&gt;"",1,0),0)</f>
        <v>0</v>
      </c>
      <c r="P2048">
        <f>IF(OR(calendar[[#This Row],[UK_BH]]=1,calendar[[#This Row],[WeekDay]]=1, calendar[[#This Row],[WeekDay]]=7),P2047,P2047+1)</f>
        <v>1462</v>
      </c>
      <c r="Q2048">
        <f>IF(OR(calendar[[#This Row],[FR_BH]]=1,calendar[[#This Row],[WeekDay]]=1, calendar[[#This Row],[WeekDay]]=7),P2047,P2047+1)</f>
        <v>1462</v>
      </c>
      <c r="R2048">
        <f>IF(OR(calendar[[#This Row],[SP_BH]]=1,calendar[[#This Row],[WeekDay]]=1, calendar[[#This Row],[WeekDay]]=7),P2047,P2047+1)</f>
        <v>1462</v>
      </c>
      <c r="S2048">
        <f>IF(OR(calendar[[#This Row],[PT_BH]]=1,calendar[[#This Row],[WeekDay]]=1, calendar[[#This Row],[WeekDay]]=7),P2047,P2047+1)</f>
        <v>1462</v>
      </c>
    </row>
    <row r="2049" spans="1:19" x14ac:dyDescent="0.25">
      <c r="A2049" s="2">
        <v>44783</v>
      </c>
      <c r="B2049" s="1">
        <f t="shared" si="158"/>
        <v>33</v>
      </c>
      <c r="C2049">
        <f t="shared" si="160"/>
        <v>8</v>
      </c>
      <c r="D2049" t="str">
        <f t="shared" si="161"/>
        <v>August</v>
      </c>
      <c r="E2049">
        <f t="shared" si="162"/>
        <v>2022</v>
      </c>
      <c r="F2049" t="str">
        <f>CONCATENATE(calendar[[#This Row],[Month]],"/",calendar[[#This Row],[Year]])</f>
        <v>8/2022</v>
      </c>
      <c r="G2049">
        <f>WEEKDAY(calendar[[#This Row],[Date]],1)</f>
        <v>4</v>
      </c>
      <c r="H2049" t="str">
        <f>TEXT(calendar[[#This Row],[WeekDay]],"dddd")</f>
        <v>Wednesday</v>
      </c>
      <c r="I2049">
        <f>IF((INT(calendar[[#This Row],[Count]]/7)-calendar[[#This Row],[Count]]/7)&lt;0,I2048,I2048+1)</f>
        <v>293</v>
      </c>
      <c r="J2049">
        <f t="shared" si="159"/>
        <v>2047</v>
      </c>
      <c r="K2049">
        <f>IF(calendar[[#This Row],[Month]]&lt;4,1,IF(calendar[[#This Row],[Month]]&lt;7,2,IF(calendar[[#This Row],[Month]]&lt;10,3,4)))</f>
        <v>3</v>
      </c>
      <c r="L2049">
        <f>IFERROR(IF(VLOOKUP(calendar[[#This Row],[Date]],BH!A:A,1,)&lt;&gt;"",1,0),0)</f>
        <v>0</v>
      </c>
      <c r="M2049">
        <f>IFERROR(IF(VLOOKUP(calendar[[#This Row],[Date]],BH!C:C,1,)&lt;&gt;"",1,0),0)</f>
        <v>0</v>
      </c>
      <c r="N2049">
        <f>IFERROR(IF(VLOOKUP(calendar[[#This Row],[Date]],BH!E:E,1,)&lt;&gt;"",1,0),0)</f>
        <v>0</v>
      </c>
      <c r="O2049">
        <f>IFERROR(IF(VLOOKUP(calendar[[#This Row],[Date]],BH!G:G,1,)&lt;&gt;"",1,0),0)</f>
        <v>0</v>
      </c>
      <c r="P2049">
        <f>IF(OR(calendar[[#This Row],[UK_BH]]=1,calendar[[#This Row],[WeekDay]]=1, calendar[[#This Row],[WeekDay]]=7),P2048,P2048+1)</f>
        <v>1463</v>
      </c>
      <c r="Q2049">
        <f>IF(OR(calendar[[#This Row],[FR_BH]]=1,calendar[[#This Row],[WeekDay]]=1, calendar[[#This Row],[WeekDay]]=7),P2048,P2048+1)</f>
        <v>1463</v>
      </c>
      <c r="R2049">
        <f>IF(OR(calendar[[#This Row],[SP_BH]]=1,calendar[[#This Row],[WeekDay]]=1, calendar[[#This Row],[WeekDay]]=7),P2048,P2048+1)</f>
        <v>1463</v>
      </c>
      <c r="S2049">
        <f>IF(OR(calendar[[#This Row],[PT_BH]]=1,calendar[[#This Row],[WeekDay]]=1, calendar[[#This Row],[WeekDay]]=7),P2048,P2048+1)</f>
        <v>1463</v>
      </c>
    </row>
    <row r="2050" spans="1:19" x14ac:dyDescent="0.25">
      <c r="A2050" s="2">
        <v>44784</v>
      </c>
      <c r="B2050" s="1">
        <f t="shared" ref="B2050:B2113" si="163">WEEKNUM(A2050)</f>
        <v>33</v>
      </c>
      <c r="C2050">
        <f t="shared" si="160"/>
        <v>8</v>
      </c>
      <c r="D2050" t="str">
        <f t="shared" si="161"/>
        <v>August</v>
      </c>
      <c r="E2050">
        <f t="shared" si="162"/>
        <v>2022</v>
      </c>
      <c r="F2050" t="str">
        <f>CONCATENATE(calendar[[#This Row],[Month]],"/",calendar[[#This Row],[Year]])</f>
        <v>8/2022</v>
      </c>
      <c r="G2050">
        <f>WEEKDAY(calendar[[#This Row],[Date]],1)</f>
        <v>5</v>
      </c>
      <c r="H2050" t="str">
        <f>TEXT(calendar[[#This Row],[WeekDay]],"dddd")</f>
        <v>Thursday</v>
      </c>
      <c r="I2050">
        <f>IF((INT(calendar[[#This Row],[Count]]/7)-calendar[[#This Row],[Count]]/7)&lt;0,I2049,I2049+1)</f>
        <v>293</v>
      </c>
      <c r="J2050">
        <f t="shared" si="159"/>
        <v>2048</v>
      </c>
      <c r="K2050">
        <f>IF(calendar[[#This Row],[Month]]&lt;4,1,IF(calendar[[#This Row],[Month]]&lt;7,2,IF(calendar[[#This Row],[Month]]&lt;10,3,4)))</f>
        <v>3</v>
      </c>
      <c r="L2050">
        <f>IFERROR(IF(VLOOKUP(calendar[[#This Row],[Date]],BH!A:A,1,)&lt;&gt;"",1,0),0)</f>
        <v>0</v>
      </c>
      <c r="M2050">
        <f>IFERROR(IF(VLOOKUP(calendar[[#This Row],[Date]],BH!C:C,1,)&lt;&gt;"",1,0),0)</f>
        <v>0</v>
      </c>
      <c r="N2050">
        <f>IFERROR(IF(VLOOKUP(calendar[[#This Row],[Date]],BH!E:E,1,)&lt;&gt;"",1,0),0)</f>
        <v>0</v>
      </c>
      <c r="O2050">
        <f>IFERROR(IF(VLOOKUP(calendar[[#This Row],[Date]],BH!G:G,1,)&lt;&gt;"",1,0),0)</f>
        <v>0</v>
      </c>
      <c r="P2050">
        <f>IF(OR(calendar[[#This Row],[UK_BH]]=1,calendar[[#This Row],[WeekDay]]=1, calendar[[#This Row],[WeekDay]]=7),P2049,P2049+1)</f>
        <v>1464</v>
      </c>
      <c r="Q2050">
        <f>IF(OR(calendar[[#This Row],[FR_BH]]=1,calendar[[#This Row],[WeekDay]]=1, calendar[[#This Row],[WeekDay]]=7),P2049,P2049+1)</f>
        <v>1464</v>
      </c>
      <c r="R2050">
        <f>IF(OR(calendar[[#This Row],[SP_BH]]=1,calendar[[#This Row],[WeekDay]]=1, calendar[[#This Row],[WeekDay]]=7),P2049,P2049+1)</f>
        <v>1464</v>
      </c>
      <c r="S2050">
        <f>IF(OR(calendar[[#This Row],[PT_BH]]=1,calendar[[#This Row],[WeekDay]]=1, calendar[[#This Row],[WeekDay]]=7),P2049,P2049+1)</f>
        <v>1464</v>
      </c>
    </row>
    <row r="2051" spans="1:19" x14ac:dyDescent="0.25">
      <c r="A2051" s="2">
        <v>44785</v>
      </c>
      <c r="B2051" s="1">
        <f t="shared" si="163"/>
        <v>33</v>
      </c>
      <c r="C2051">
        <f t="shared" si="160"/>
        <v>8</v>
      </c>
      <c r="D2051" t="str">
        <f t="shared" si="161"/>
        <v>August</v>
      </c>
      <c r="E2051">
        <f t="shared" si="162"/>
        <v>2022</v>
      </c>
      <c r="F2051" t="str">
        <f>CONCATENATE(calendar[[#This Row],[Month]],"/",calendar[[#This Row],[Year]])</f>
        <v>8/2022</v>
      </c>
      <c r="G2051">
        <f>WEEKDAY(calendar[[#This Row],[Date]],1)</f>
        <v>6</v>
      </c>
      <c r="H2051" t="str">
        <f>TEXT(calendar[[#This Row],[WeekDay]],"dddd")</f>
        <v>Friday</v>
      </c>
      <c r="I2051">
        <f>IF((INT(calendar[[#This Row],[Count]]/7)-calendar[[#This Row],[Count]]/7)&lt;0,I2050,I2050+1)</f>
        <v>293</v>
      </c>
      <c r="J2051">
        <f t="shared" ref="J2051:J2114" si="164">J2050+1</f>
        <v>2049</v>
      </c>
      <c r="K2051">
        <f>IF(calendar[[#This Row],[Month]]&lt;4,1,IF(calendar[[#This Row],[Month]]&lt;7,2,IF(calendar[[#This Row],[Month]]&lt;10,3,4)))</f>
        <v>3</v>
      </c>
      <c r="L2051">
        <f>IFERROR(IF(VLOOKUP(calendar[[#This Row],[Date]],BH!A:A,1,)&lt;&gt;"",1,0),0)</f>
        <v>0</v>
      </c>
      <c r="M2051">
        <f>IFERROR(IF(VLOOKUP(calendar[[#This Row],[Date]],BH!C:C,1,)&lt;&gt;"",1,0),0)</f>
        <v>0</v>
      </c>
      <c r="N2051">
        <f>IFERROR(IF(VLOOKUP(calendar[[#This Row],[Date]],BH!E:E,1,)&lt;&gt;"",1,0),0)</f>
        <v>0</v>
      </c>
      <c r="O2051">
        <f>IFERROR(IF(VLOOKUP(calendar[[#This Row],[Date]],BH!G:G,1,)&lt;&gt;"",1,0),0)</f>
        <v>0</v>
      </c>
      <c r="P2051">
        <f>IF(OR(calendar[[#This Row],[UK_BH]]=1,calendar[[#This Row],[WeekDay]]=1, calendar[[#This Row],[WeekDay]]=7),P2050,P2050+1)</f>
        <v>1465</v>
      </c>
      <c r="Q2051">
        <f>IF(OR(calendar[[#This Row],[FR_BH]]=1,calendar[[#This Row],[WeekDay]]=1, calendar[[#This Row],[WeekDay]]=7),P2050,P2050+1)</f>
        <v>1465</v>
      </c>
      <c r="R2051">
        <f>IF(OR(calendar[[#This Row],[SP_BH]]=1,calendar[[#This Row],[WeekDay]]=1, calendar[[#This Row],[WeekDay]]=7),P2050,P2050+1)</f>
        <v>1465</v>
      </c>
      <c r="S2051">
        <f>IF(OR(calendar[[#This Row],[PT_BH]]=1,calendar[[#This Row],[WeekDay]]=1, calendar[[#This Row],[WeekDay]]=7),P2050,P2050+1)</f>
        <v>1465</v>
      </c>
    </row>
    <row r="2052" spans="1:19" x14ac:dyDescent="0.25">
      <c r="A2052" s="2">
        <v>44786</v>
      </c>
      <c r="B2052" s="1">
        <f t="shared" si="163"/>
        <v>33</v>
      </c>
      <c r="C2052">
        <f t="shared" si="160"/>
        <v>8</v>
      </c>
      <c r="D2052" t="str">
        <f t="shared" si="161"/>
        <v>August</v>
      </c>
      <c r="E2052">
        <f t="shared" si="162"/>
        <v>2022</v>
      </c>
      <c r="F2052" t="str">
        <f>CONCATENATE(calendar[[#This Row],[Month]],"/",calendar[[#This Row],[Year]])</f>
        <v>8/2022</v>
      </c>
      <c r="G2052">
        <f>WEEKDAY(calendar[[#This Row],[Date]],1)</f>
        <v>7</v>
      </c>
      <c r="H2052" t="str">
        <f>TEXT(calendar[[#This Row],[WeekDay]],"dddd")</f>
        <v>Saturday</v>
      </c>
      <c r="I2052">
        <f>IF((INT(calendar[[#This Row],[Count]]/7)-calendar[[#This Row],[Count]]/7)&lt;0,I2051,I2051+1)</f>
        <v>293</v>
      </c>
      <c r="J2052">
        <f t="shared" si="164"/>
        <v>2050</v>
      </c>
      <c r="K2052">
        <f>IF(calendar[[#This Row],[Month]]&lt;4,1,IF(calendar[[#This Row],[Month]]&lt;7,2,IF(calendar[[#This Row],[Month]]&lt;10,3,4)))</f>
        <v>3</v>
      </c>
      <c r="L2052">
        <f>IFERROR(IF(VLOOKUP(calendar[[#This Row],[Date]],BH!A:A,1,)&lt;&gt;"",1,0),0)</f>
        <v>0</v>
      </c>
      <c r="M2052">
        <f>IFERROR(IF(VLOOKUP(calendar[[#This Row],[Date]],BH!C:C,1,)&lt;&gt;"",1,0),0)</f>
        <v>0</v>
      </c>
      <c r="N2052">
        <f>IFERROR(IF(VLOOKUP(calendar[[#This Row],[Date]],BH!E:E,1,)&lt;&gt;"",1,0),0)</f>
        <v>0</v>
      </c>
      <c r="O2052">
        <f>IFERROR(IF(VLOOKUP(calendar[[#This Row],[Date]],BH!G:G,1,)&lt;&gt;"",1,0),0)</f>
        <v>0</v>
      </c>
      <c r="P2052">
        <f>IF(OR(calendar[[#This Row],[UK_BH]]=1,calendar[[#This Row],[WeekDay]]=1, calendar[[#This Row],[WeekDay]]=7),P2051,P2051+1)</f>
        <v>1465</v>
      </c>
      <c r="Q2052">
        <f>IF(OR(calendar[[#This Row],[FR_BH]]=1,calendar[[#This Row],[WeekDay]]=1, calendar[[#This Row],[WeekDay]]=7),P2051,P2051+1)</f>
        <v>1465</v>
      </c>
      <c r="R2052">
        <f>IF(OR(calendar[[#This Row],[SP_BH]]=1,calendar[[#This Row],[WeekDay]]=1, calendar[[#This Row],[WeekDay]]=7),P2051,P2051+1)</f>
        <v>1465</v>
      </c>
      <c r="S2052">
        <f>IF(OR(calendar[[#This Row],[PT_BH]]=1,calendar[[#This Row],[WeekDay]]=1, calendar[[#This Row],[WeekDay]]=7),P2051,P2051+1)</f>
        <v>1465</v>
      </c>
    </row>
    <row r="2053" spans="1:19" x14ac:dyDescent="0.25">
      <c r="A2053" s="2">
        <v>44787</v>
      </c>
      <c r="B2053" s="1">
        <f t="shared" si="163"/>
        <v>34</v>
      </c>
      <c r="C2053">
        <f t="shared" si="160"/>
        <v>8</v>
      </c>
      <c r="D2053" t="str">
        <f t="shared" si="161"/>
        <v>August</v>
      </c>
      <c r="E2053">
        <f t="shared" si="162"/>
        <v>2022</v>
      </c>
      <c r="F2053" t="str">
        <f>CONCATENATE(calendar[[#This Row],[Month]],"/",calendar[[#This Row],[Year]])</f>
        <v>8/2022</v>
      </c>
      <c r="G2053">
        <f>WEEKDAY(calendar[[#This Row],[Date]],1)</f>
        <v>1</v>
      </c>
      <c r="H2053" t="str">
        <f>TEXT(calendar[[#This Row],[WeekDay]],"dddd")</f>
        <v>Sunday</v>
      </c>
      <c r="I2053">
        <f>IF((INT(calendar[[#This Row],[Count]]/7)-calendar[[#This Row],[Count]]/7)&lt;0,I2052,I2052+1)</f>
        <v>294</v>
      </c>
      <c r="J2053">
        <f t="shared" si="164"/>
        <v>2051</v>
      </c>
      <c r="K2053">
        <f>IF(calendar[[#This Row],[Month]]&lt;4,1,IF(calendar[[#This Row],[Month]]&lt;7,2,IF(calendar[[#This Row],[Month]]&lt;10,3,4)))</f>
        <v>3</v>
      </c>
      <c r="L2053">
        <f>IFERROR(IF(VLOOKUP(calendar[[#This Row],[Date]],BH!A:A,1,)&lt;&gt;"",1,0),0)</f>
        <v>0</v>
      </c>
      <c r="M2053">
        <f>IFERROR(IF(VLOOKUP(calendar[[#This Row],[Date]],BH!C:C,1,)&lt;&gt;"",1,0),0)</f>
        <v>0</v>
      </c>
      <c r="N2053">
        <f>IFERROR(IF(VLOOKUP(calendar[[#This Row],[Date]],BH!E:E,1,)&lt;&gt;"",1,0),0)</f>
        <v>0</v>
      </c>
      <c r="O2053">
        <f>IFERROR(IF(VLOOKUP(calendar[[#This Row],[Date]],BH!G:G,1,)&lt;&gt;"",1,0),0)</f>
        <v>0</v>
      </c>
      <c r="P2053">
        <f>IF(OR(calendar[[#This Row],[UK_BH]]=1,calendar[[#This Row],[WeekDay]]=1, calendar[[#This Row],[WeekDay]]=7),P2052,P2052+1)</f>
        <v>1465</v>
      </c>
      <c r="Q2053">
        <f>IF(OR(calendar[[#This Row],[FR_BH]]=1,calendar[[#This Row],[WeekDay]]=1, calendar[[#This Row],[WeekDay]]=7),P2052,P2052+1)</f>
        <v>1465</v>
      </c>
      <c r="R2053">
        <f>IF(OR(calendar[[#This Row],[SP_BH]]=1,calendar[[#This Row],[WeekDay]]=1, calendar[[#This Row],[WeekDay]]=7),P2052,P2052+1)</f>
        <v>1465</v>
      </c>
      <c r="S2053">
        <f>IF(OR(calendar[[#This Row],[PT_BH]]=1,calendar[[#This Row],[WeekDay]]=1, calendar[[#This Row],[WeekDay]]=7),P2052,P2052+1)</f>
        <v>1465</v>
      </c>
    </row>
    <row r="2054" spans="1:19" x14ac:dyDescent="0.25">
      <c r="A2054" s="2">
        <v>44788</v>
      </c>
      <c r="B2054" s="1">
        <f t="shared" si="163"/>
        <v>34</v>
      </c>
      <c r="C2054">
        <f t="shared" si="160"/>
        <v>8</v>
      </c>
      <c r="D2054" t="str">
        <f t="shared" si="161"/>
        <v>August</v>
      </c>
      <c r="E2054">
        <f t="shared" si="162"/>
        <v>2022</v>
      </c>
      <c r="F2054" t="str">
        <f>CONCATENATE(calendar[[#This Row],[Month]],"/",calendar[[#This Row],[Year]])</f>
        <v>8/2022</v>
      </c>
      <c r="G2054">
        <f>WEEKDAY(calendar[[#This Row],[Date]],1)</f>
        <v>2</v>
      </c>
      <c r="H2054" t="str">
        <f>TEXT(calendar[[#This Row],[WeekDay]],"dddd")</f>
        <v>Monday</v>
      </c>
      <c r="I2054">
        <f>IF((INT(calendar[[#This Row],[Count]]/7)-calendar[[#This Row],[Count]]/7)&lt;0,I2053,I2053+1)</f>
        <v>294</v>
      </c>
      <c r="J2054">
        <f t="shared" si="164"/>
        <v>2052</v>
      </c>
      <c r="K2054">
        <f>IF(calendar[[#This Row],[Month]]&lt;4,1,IF(calendar[[#This Row],[Month]]&lt;7,2,IF(calendar[[#This Row],[Month]]&lt;10,3,4)))</f>
        <v>3</v>
      </c>
      <c r="L2054">
        <f>IFERROR(IF(VLOOKUP(calendar[[#This Row],[Date]],BH!A:A,1,)&lt;&gt;"",1,0),0)</f>
        <v>0</v>
      </c>
      <c r="M2054">
        <f>IFERROR(IF(VLOOKUP(calendar[[#This Row],[Date]],BH!C:C,1,)&lt;&gt;"",1,0),0)</f>
        <v>0</v>
      </c>
      <c r="N2054">
        <f>IFERROR(IF(VLOOKUP(calendar[[#This Row],[Date]],BH!E:E,1,)&lt;&gt;"",1,0),0)</f>
        <v>0</v>
      </c>
      <c r="O2054">
        <f>IFERROR(IF(VLOOKUP(calendar[[#This Row],[Date]],BH!G:G,1,)&lt;&gt;"",1,0),0)</f>
        <v>0</v>
      </c>
      <c r="P2054">
        <f>IF(OR(calendar[[#This Row],[UK_BH]]=1,calendar[[#This Row],[WeekDay]]=1, calendar[[#This Row],[WeekDay]]=7),P2053,P2053+1)</f>
        <v>1466</v>
      </c>
      <c r="Q2054">
        <f>IF(OR(calendar[[#This Row],[FR_BH]]=1,calendar[[#This Row],[WeekDay]]=1, calendar[[#This Row],[WeekDay]]=7),P2053,P2053+1)</f>
        <v>1466</v>
      </c>
      <c r="R2054">
        <f>IF(OR(calendar[[#This Row],[SP_BH]]=1,calendar[[#This Row],[WeekDay]]=1, calendar[[#This Row],[WeekDay]]=7),P2053,P2053+1)</f>
        <v>1466</v>
      </c>
      <c r="S2054">
        <f>IF(OR(calendar[[#This Row],[PT_BH]]=1,calendar[[#This Row],[WeekDay]]=1, calendar[[#This Row],[WeekDay]]=7),P2053,P2053+1)</f>
        <v>1466</v>
      </c>
    </row>
    <row r="2055" spans="1:19" x14ac:dyDescent="0.25">
      <c r="A2055" s="2">
        <v>44789</v>
      </c>
      <c r="B2055" s="1">
        <f t="shared" si="163"/>
        <v>34</v>
      </c>
      <c r="C2055">
        <f t="shared" si="160"/>
        <v>8</v>
      </c>
      <c r="D2055" t="str">
        <f t="shared" si="161"/>
        <v>August</v>
      </c>
      <c r="E2055">
        <f t="shared" si="162"/>
        <v>2022</v>
      </c>
      <c r="F2055" t="str">
        <f>CONCATENATE(calendar[[#This Row],[Month]],"/",calendar[[#This Row],[Year]])</f>
        <v>8/2022</v>
      </c>
      <c r="G2055">
        <f>WEEKDAY(calendar[[#This Row],[Date]],1)</f>
        <v>3</v>
      </c>
      <c r="H2055" t="str">
        <f>TEXT(calendar[[#This Row],[WeekDay]],"dddd")</f>
        <v>Tuesday</v>
      </c>
      <c r="I2055">
        <f>IF((INT(calendar[[#This Row],[Count]]/7)-calendar[[#This Row],[Count]]/7)&lt;0,I2054,I2054+1)</f>
        <v>294</v>
      </c>
      <c r="J2055">
        <f t="shared" si="164"/>
        <v>2053</v>
      </c>
      <c r="K2055">
        <f>IF(calendar[[#This Row],[Month]]&lt;4,1,IF(calendar[[#This Row],[Month]]&lt;7,2,IF(calendar[[#This Row],[Month]]&lt;10,3,4)))</f>
        <v>3</v>
      </c>
      <c r="L2055">
        <f>IFERROR(IF(VLOOKUP(calendar[[#This Row],[Date]],BH!A:A,1,)&lt;&gt;"",1,0),0)</f>
        <v>0</v>
      </c>
      <c r="M2055">
        <f>IFERROR(IF(VLOOKUP(calendar[[#This Row],[Date]],BH!C:C,1,)&lt;&gt;"",1,0),0)</f>
        <v>0</v>
      </c>
      <c r="N2055">
        <f>IFERROR(IF(VLOOKUP(calendar[[#This Row],[Date]],BH!E:E,1,)&lt;&gt;"",1,0),0)</f>
        <v>0</v>
      </c>
      <c r="O2055">
        <f>IFERROR(IF(VLOOKUP(calendar[[#This Row],[Date]],BH!G:G,1,)&lt;&gt;"",1,0),0)</f>
        <v>0</v>
      </c>
      <c r="P2055">
        <f>IF(OR(calendar[[#This Row],[UK_BH]]=1,calendar[[#This Row],[WeekDay]]=1, calendar[[#This Row],[WeekDay]]=7),P2054,P2054+1)</f>
        <v>1467</v>
      </c>
      <c r="Q2055">
        <f>IF(OR(calendar[[#This Row],[FR_BH]]=1,calendar[[#This Row],[WeekDay]]=1, calendar[[#This Row],[WeekDay]]=7),P2054,P2054+1)</f>
        <v>1467</v>
      </c>
      <c r="R2055">
        <f>IF(OR(calendar[[#This Row],[SP_BH]]=1,calendar[[#This Row],[WeekDay]]=1, calendar[[#This Row],[WeekDay]]=7),P2054,P2054+1)</f>
        <v>1467</v>
      </c>
      <c r="S2055">
        <f>IF(OR(calendar[[#This Row],[PT_BH]]=1,calendar[[#This Row],[WeekDay]]=1, calendar[[#This Row],[WeekDay]]=7),P2054,P2054+1)</f>
        <v>1467</v>
      </c>
    </row>
    <row r="2056" spans="1:19" x14ac:dyDescent="0.25">
      <c r="A2056" s="2">
        <v>44790</v>
      </c>
      <c r="B2056" s="1">
        <f t="shared" si="163"/>
        <v>34</v>
      </c>
      <c r="C2056">
        <f t="shared" si="160"/>
        <v>8</v>
      </c>
      <c r="D2056" t="str">
        <f t="shared" si="161"/>
        <v>August</v>
      </c>
      <c r="E2056">
        <f t="shared" si="162"/>
        <v>2022</v>
      </c>
      <c r="F2056" t="str">
        <f>CONCATENATE(calendar[[#This Row],[Month]],"/",calendar[[#This Row],[Year]])</f>
        <v>8/2022</v>
      </c>
      <c r="G2056">
        <f>WEEKDAY(calendar[[#This Row],[Date]],1)</f>
        <v>4</v>
      </c>
      <c r="H2056" t="str">
        <f>TEXT(calendar[[#This Row],[WeekDay]],"dddd")</f>
        <v>Wednesday</v>
      </c>
      <c r="I2056">
        <f>IF((INT(calendar[[#This Row],[Count]]/7)-calendar[[#This Row],[Count]]/7)&lt;0,I2055,I2055+1)</f>
        <v>294</v>
      </c>
      <c r="J2056">
        <f t="shared" si="164"/>
        <v>2054</v>
      </c>
      <c r="K2056">
        <f>IF(calendar[[#This Row],[Month]]&lt;4,1,IF(calendar[[#This Row],[Month]]&lt;7,2,IF(calendar[[#This Row],[Month]]&lt;10,3,4)))</f>
        <v>3</v>
      </c>
      <c r="L2056">
        <f>IFERROR(IF(VLOOKUP(calendar[[#This Row],[Date]],BH!A:A,1,)&lt;&gt;"",1,0),0)</f>
        <v>0</v>
      </c>
      <c r="M2056">
        <f>IFERROR(IF(VLOOKUP(calendar[[#This Row],[Date]],BH!C:C,1,)&lt;&gt;"",1,0),0)</f>
        <v>0</v>
      </c>
      <c r="N2056">
        <f>IFERROR(IF(VLOOKUP(calendar[[#This Row],[Date]],BH!E:E,1,)&lt;&gt;"",1,0),0)</f>
        <v>0</v>
      </c>
      <c r="O2056">
        <f>IFERROR(IF(VLOOKUP(calendar[[#This Row],[Date]],BH!G:G,1,)&lt;&gt;"",1,0),0)</f>
        <v>0</v>
      </c>
      <c r="P2056">
        <f>IF(OR(calendar[[#This Row],[UK_BH]]=1,calendar[[#This Row],[WeekDay]]=1, calendar[[#This Row],[WeekDay]]=7),P2055,P2055+1)</f>
        <v>1468</v>
      </c>
      <c r="Q2056">
        <f>IF(OR(calendar[[#This Row],[FR_BH]]=1,calendar[[#This Row],[WeekDay]]=1, calendar[[#This Row],[WeekDay]]=7),P2055,P2055+1)</f>
        <v>1468</v>
      </c>
      <c r="R2056">
        <f>IF(OR(calendar[[#This Row],[SP_BH]]=1,calendar[[#This Row],[WeekDay]]=1, calendar[[#This Row],[WeekDay]]=7),P2055,P2055+1)</f>
        <v>1468</v>
      </c>
      <c r="S2056">
        <f>IF(OR(calendar[[#This Row],[PT_BH]]=1,calendar[[#This Row],[WeekDay]]=1, calendar[[#This Row],[WeekDay]]=7),P2055,P2055+1)</f>
        <v>1468</v>
      </c>
    </row>
    <row r="2057" spans="1:19" x14ac:dyDescent="0.25">
      <c r="A2057" s="2">
        <v>44791</v>
      </c>
      <c r="B2057" s="1">
        <f t="shared" si="163"/>
        <v>34</v>
      </c>
      <c r="C2057">
        <f t="shared" si="160"/>
        <v>8</v>
      </c>
      <c r="D2057" t="str">
        <f t="shared" si="161"/>
        <v>August</v>
      </c>
      <c r="E2057">
        <f t="shared" si="162"/>
        <v>2022</v>
      </c>
      <c r="F2057" t="str">
        <f>CONCATENATE(calendar[[#This Row],[Month]],"/",calendar[[#This Row],[Year]])</f>
        <v>8/2022</v>
      </c>
      <c r="G2057">
        <f>WEEKDAY(calendar[[#This Row],[Date]],1)</f>
        <v>5</v>
      </c>
      <c r="H2057" t="str">
        <f>TEXT(calendar[[#This Row],[WeekDay]],"dddd")</f>
        <v>Thursday</v>
      </c>
      <c r="I2057">
        <f>IF((INT(calendar[[#This Row],[Count]]/7)-calendar[[#This Row],[Count]]/7)&lt;0,I2056,I2056+1)</f>
        <v>294</v>
      </c>
      <c r="J2057">
        <f t="shared" si="164"/>
        <v>2055</v>
      </c>
      <c r="K2057">
        <f>IF(calendar[[#This Row],[Month]]&lt;4,1,IF(calendar[[#This Row],[Month]]&lt;7,2,IF(calendar[[#This Row],[Month]]&lt;10,3,4)))</f>
        <v>3</v>
      </c>
      <c r="L2057">
        <f>IFERROR(IF(VLOOKUP(calendar[[#This Row],[Date]],BH!A:A,1,)&lt;&gt;"",1,0),0)</f>
        <v>0</v>
      </c>
      <c r="M2057">
        <f>IFERROR(IF(VLOOKUP(calendar[[#This Row],[Date]],BH!C:C,1,)&lt;&gt;"",1,0),0)</f>
        <v>0</v>
      </c>
      <c r="N2057">
        <f>IFERROR(IF(VLOOKUP(calendar[[#This Row],[Date]],BH!E:E,1,)&lt;&gt;"",1,0),0)</f>
        <v>0</v>
      </c>
      <c r="O2057">
        <f>IFERROR(IF(VLOOKUP(calendar[[#This Row],[Date]],BH!G:G,1,)&lt;&gt;"",1,0),0)</f>
        <v>0</v>
      </c>
      <c r="P2057">
        <f>IF(OR(calendar[[#This Row],[UK_BH]]=1,calendar[[#This Row],[WeekDay]]=1, calendar[[#This Row],[WeekDay]]=7),P2056,P2056+1)</f>
        <v>1469</v>
      </c>
      <c r="Q2057">
        <f>IF(OR(calendar[[#This Row],[FR_BH]]=1,calendar[[#This Row],[WeekDay]]=1, calendar[[#This Row],[WeekDay]]=7),P2056,P2056+1)</f>
        <v>1469</v>
      </c>
      <c r="R2057">
        <f>IF(OR(calendar[[#This Row],[SP_BH]]=1,calendar[[#This Row],[WeekDay]]=1, calendar[[#This Row],[WeekDay]]=7),P2056,P2056+1)</f>
        <v>1469</v>
      </c>
      <c r="S2057">
        <f>IF(OR(calendar[[#This Row],[PT_BH]]=1,calendar[[#This Row],[WeekDay]]=1, calendar[[#This Row],[WeekDay]]=7),P2056,P2056+1)</f>
        <v>1469</v>
      </c>
    </row>
    <row r="2058" spans="1:19" x14ac:dyDescent="0.25">
      <c r="A2058" s="2">
        <v>44792</v>
      </c>
      <c r="B2058" s="1">
        <f t="shared" si="163"/>
        <v>34</v>
      </c>
      <c r="C2058">
        <f t="shared" si="160"/>
        <v>8</v>
      </c>
      <c r="D2058" t="str">
        <f t="shared" si="161"/>
        <v>August</v>
      </c>
      <c r="E2058">
        <f t="shared" si="162"/>
        <v>2022</v>
      </c>
      <c r="F2058" t="str">
        <f>CONCATENATE(calendar[[#This Row],[Month]],"/",calendar[[#This Row],[Year]])</f>
        <v>8/2022</v>
      </c>
      <c r="G2058">
        <f>WEEKDAY(calendar[[#This Row],[Date]],1)</f>
        <v>6</v>
      </c>
      <c r="H2058" t="str">
        <f>TEXT(calendar[[#This Row],[WeekDay]],"dddd")</f>
        <v>Friday</v>
      </c>
      <c r="I2058">
        <f>IF((INT(calendar[[#This Row],[Count]]/7)-calendar[[#This Row],[Count]]/7)&lt;0,I2057,I2057+1)</f>
        <v>294</v>
      </c>
      <c r="J2058">
        <f t="shared" si="164"/>
        <v>2056</v>
      </c>
      <c r="K2058">
        <f>IF(calendar[[#This Row],[Month]]&lt;4,1,IF(calendar[[#This Row],[Month]]&lt;7,2,IF(calendar[[#This Row],[Month]]&lt;10,3,4)))</f>
        <v>3</v>
      </c>
      <c r="L2058">
        <f>IFERROR(IF(VLOOKUP(calendar[[#This Row],[Date]],BH!A:A,1,)&lt;&gt;"",1,0),0)</f>
        <v>0</v>
      </c>
      <c r="M2058">
        <f>IFERROR(IF(VLOOKUP(calendar[[#This Row],[Date]],BH!C:C,1,)&lt;&gt;"",1,0),0)</f>
        <v>0</v>
      </c>
      <c r="N2058">
        <f>IFERROR(IF(VLOOKUP(calendar[[#This Row],[Date]],BH!E:E,1,)&lt;&gt;"",1,0),0)</f>
        <v>0</v>
      </c>
      <c r="O2058">
        <f>IFERROR(IF(VLOOKUP(calendar[[#This Row],[Date]],BH!G:G,1,)&lt;&gt;"",1,0),0)</f>
        <v>0</v>
      </c>
      <c r="P2058">
        <f>IF(OR(calendar[[#This Row],[UK_BH]]=1,calendar[[#This Row],[WeekDay]]=1, calendar[[#This Row],[WeekDay]]=7),P2057,P2057+1)</f>
        <v>1470</v>
      </c>
      <c r="Q2058">
        <f>IF(OR(calendar[[#This Row],[FR_BH]]=1,calendar[[#This Row],[WeekDay]]=1, calendar[[#This Row],[WeekDay]]=7),P2057,P2057+1)</f>
        <v>1470</v>
      </c>
      <c r="R2058">
        <f>IF(OR(calendar[[#This Row],[SP_BH]]=1,calendar[[#This Row],[WeekDay]]=1, calendar[[#This Row],[WeekDay]]=7),P2057,P2057+1)</f>
        <v>1470</v>
      </c>
      <c r="S2058">
        <f>IF(OR(calendar[[#This Row],[PT_BH]]=1,calendar[[#This Row],[WeekDay]]=1, calendar[[#This Row],[WeekDay]]=7),P2057,P2057+1)</f>
        <v>1470</v>
      </c>
    </row>
    <row r="2059" spans="1:19" x14ac:dyDescent="0.25">
      <c r="A2059" s="2">
        <v>44793</v>
      </c>
      <c r="B2059" s="1">
        <f t="shared" si="163"/>
        <v>34</v>
      </c>
      <c r="C2059">
        <f t="shared" si="160"/>
        <v>8</v>
      </c>
      <c r="D2059" t="str">
        <f t="shared" si="161"/>
        <v>August</v>
      </c>
      <c r="E2059">
        <f t="shared" si="162"/>
        <v>2022</v>
      </c>
      <c r="F2059" t="str">
        <f>CONCATENATE(calendar[[#This Row],[Month]],"/",calendar[[#This Row],[Year]])</f>
        <v>8/2022</v>
      </c>
      <c r="G2059">
        <f>WEEKDAY(calendar[[#This Row],[Date]],1)</f>
        <v>7</v>
      </c>
      <c r="H2059" t="str">
        <f>TEXT(calendar[[#This Row],[WeekDay]],"dddd")</f>
        <v>Saturday</v>
      </c>
      <c r="I2059">
        <f>IF((INT(calendar[[#This Row],[Count]]/7)-calendar[[#This Row],[Count]]/7)&lt;0,I2058,I2058+1)</f>
        <v>294</v>
      </c>
      <c r="J2059">
        <f t="shared" si="164"/>
        <v>2057</v>
      </c>
      <c r="K2059">
        <f>IF(calendar[[#This Row],[Month]]&lt;4,1,IF(calendar[[#This Row],[Month]]&lt;7,2,IF(calendar[[#This Row],[Month]]&lt;10,3,4)))</f>
        <v>3</v>
      </c>
      <c r="L2059">
        <f>IFERROR(IF(VLOOKUP(calendar[[#This Row],[Date]],BH!A:A,1,)&lt;&gt;"",1,0),0)</f>
        <v>0</v>
      </c>
      <c r="M2059">
        <f>IFERROR(IF(VLOOKUP(calendar[[#This Row],[Date]],BH!C:C,1,)&lt;&gt;"",1,0),0)</f>
        <v>0</v>
      </c>
      <c r="N2059">
        <f>IFERROR(IF(VLOOKUP(calendar[[#This Row],[Date]],BH!E:E,1,)&lt;&gt;"",1,0),0)</f>
        <v>0</v>
      </c>
      <c r="O2059">
        <f>IFERROR(IF(VLOOKUP(calendar[[#This Row],[Date]],BH!G:G,1,)&lt;&gt;"",1,0),0)</f>
        <v>0</v>
      </c>
      <c r="P2059">
        <f>IF(OR(calendar[[#This Row],[UK_BH]]=1,calendar[[#This Row],[WeekDay]]=1, calendar[[#This Row],[WeekDay]]=7),P2058,P2058+1)</f>
        <v>1470</v>
      </c>
      <c r="Q2059">
        <f>IF(OR(calendar[[#This Row],[FR_BH]]=1,calendar[[#This Row],[WeekDay]]=1, calendar[[#This Row],[WeekDay]]=7),P2058,P2058+1)</f>
        <v>1470</v>
      </c>
      <c r="R2059">
        <f>IF(OR(calendar[[#This Row],[SP_BH]]=1,calendar[[#This Row],[WeekDay]]=1, calendar[[#This Row],[WeekDay]]=7),P2058,P2058+1)</f>
        <v>1470</v>
      </c>
      <c r="S2059">
        <f>IF(OR(calendar[[#This Row],[PT_BH]]=1,calendar[[#This Row],[WeekDay]]=1, calendar[[#This Row],[WeekDay]]=7),P2058,P2058+1)</f>
        <v>1470</v>
      </c>
    </row>
    <row r="2060" spans="1:19" x14ac:dyDescent="0.25">
      <c r="A2060" s="2">
        <v>44794</v>
      </c>
      <c r="B2060" s="1">
        <f t="shared" si="163"/>
        <v>35</v>
      </c>
      <c r="C2060">
        <f t="shared" si="160"/>
        <v>8</v>
      </c>
      <c r="D2060" t="str">
        <f t="shared" si="161"/>
        <v>August</v>
      </c>
      <c r="E2060">
        <f t="shared" si="162"/>
        <v>2022</v>
      </c>
      <c r="F2060" t="str">
        <f>CONCATENATE(calendar[[#This Row],[Month]],"/",calendar[[#This Row],[Year]])</f>
        <v>8/2022</v>
      </c>
      <c r="G2060">
        <f>WEEKDAY(calendar[[#This Row],[Date]],1)</f>
        <v>1</v>
      </c>
      <c r="H2060" t="str">
        <f>TEXT(calendar[[#This Row],[WeekDay]],"dddd")</f>
        <v>Sunday</v>
      </c>
      <c r="I2060">
        <f>IF((INT(calendar[[#This Row],[Count]]/7)-calendar[[#This Row],[Count]]/7)&lt;0,I2059,I2059+1)</f>
        <v>295</v>
      </c>
      <c r="J2060">
        <f t="shared" si="164"/>
        <v>2058</v>
      </c>
      <c r="K2060">
        <f>IF(calendar[[#This Row],[Month]]&lt;4,1,IF(calendar[[#This Row],[Month]]&lt;7,2,IF(calendar[[#This Row],[Month]]&lt;10,3,4)))</f>
        <v>3</v>
      </c>
      <c r="L2060">
        <f>IFERROR(IF(VLOOKUP(calendar[[#This Row],[Date]],BH!A:A,1,)&lt;&gt;"",1,0),0)</f>
        <v>0</v>
      </c>
      <c r="M2060">
        <f>IFERROR(IF(VLOOKUP(calendar[[#This Row],[Date]],BH!C:C,1,)&lt;&gt;"",1,0),0)</f>
        <v>0</v>
      </c>
      <c r="N2060">
        <f>IFERROR(IF(VLOOKUP(calendar[[#This Row],[Date]],BH!E:E,1,)&lt;&gt;"",1,0),0)</f>
        <v>0</v>
      </c>
      <c r="O2060">
        <f>IFERROR(IF(VLOOKUP(calendar[[#This Row],[Date]],BH!G:G,1,)&lt;&gt;"",1,0),0)</f>
        <v>0</v>
      </c>
      <c r="P2060">
        <f>IF(OR(calendar[[#This Row],[UK_BH]]=1,calendar[[#This Row],[WeekDay]]=1, calendar[[#This Row],[WeekDay]]=7),P2059,P2059+1)</f>
        <v>1470</v>
      </c>
      <c r="Q2060">
        <f>IF(OR(calendar[[#This Row],[FR_BH]]=1,calendar[[#This Row],[WeekDay]]=1, calendar[[#This Row],[WeekDay]]=7),P2059,P2059+1)</f>
        <v>1470</v>
      </c>
      <c r="R2060">
        <f>IF(OR(calendar[[#This Row],[SP_BH]]=1,calendar[[#This Row],[WeekDay]]=1, calendar[[#This Row],[WeekDay]]=7),P2059,P2059+1)</f>
        <v>1470</v>
      </c>
      <c r="S2060">
        <f>IF(OR(calendar[[#This Row],[PT_BH]]=1,calendar[[#This Row],[WeekDay]]=1, calendar[[#This Row],[WeekDay]]=7),P2059,P2059+1)</f>
        <v>1470</v>
      </c>
    </row>
    <row r="2061" spans="1:19" x14ac:dyDescent="0.25">
      <c r="A2061" s="2">
        <v>44795</v>
      </c>
      <c r="B2061" s="1">
        <f t="shared" si="163"/>
        <v>35</v>
      </c>
      <c r="C2061">
        <f t="shared" si="160"/>
        <v>8</v>
      </c>
      <c r="D2061" t="str">
        <f t="shared" si="161"/>
        <v>August</v>
      </c>
      <c r="E2061">
        <f t="shared" si="162"/>
        <v>2022</v>
      </c>
      <c r="F2061" t="str">
        <f>CONCATENATE(calendar[[#This Row],[Month]],"/",calendar[[#This Row],[Year]])</f>
        <v>8/2022</v>
      </c>
      <c r="G2061">
        <f>WEEKDAY(calendar[[#This Row],[Date]],1)</f>
        <v>2</v>
      </c>
      <c r="H2061" t="str">
        <f>TEXT(calendar[[#This Row],[WeekDay]],"dddd")</f>
        <v>Monday</v>
      </c>
      <c r="I2061">
        <f>IF((INT(calendar[[#This Row],[Count]]/7)-calendar[[#This Row],[Count]]/7)&lt;0,I2060,I2060+1)</f>
        <v>295</v>
      </c>
      <c r="J2061">
        <f t="shared" si="164"/>
        <v>2059</v>
      </c>
      <c r="K2061">
        <f>IF(calendar[[#This Row],[Month]]&lt;4,1,IF(calendar[[#This Row],[Month]]&lt;7,2,IF(calendar[[#This Row],[Month]]&lt;10,3,4)))</f>
        <v>3</v>
      </c>
      <c r="L2061">
        <f>IFERROR(IF(VLOOKUP(calendar[[#This Row],[Date]],BH!A:A,1,)&lt;&gt;"",1,0),0)</f>
        <v>0</v>
      </c>
      <c r="M2061">
        <f>IFERROR(IF(VLOOKUP(calendar[[#This Row],[Date]],BH!C:C,1,)&lt;&gt;"",1,0),0)</f>
        <v>0</v>
      </c>
      <c r="N2061">
        <f>IFERROR(IF(VLOOKUP(calendar[[#This Row],[Date]],BH!E:E,1,)&lt;&gt;"",1,0),0)</f>
        <v>0</v>
      </c>
      <c r="O2061">
        <f>IFERROR(IF(VLOOKUP(calendar[[#This Row],[Date]],BH!G:G,1,)&lt;&gt;"",1,0),0)</f>
        <v>0</v>
      </c>
      <c r="P2061">
        <f>IF(OR(calendar[[#This Row],[UK_BH]]=1,calendar[[#This Row],[WeekDay]]=1, calendar[[#This Row],[WeekDay]]=7),P2060,P2060+1)</f>
        <v>1471</v>
      </c>
      <c r="Q2061">
        <f>IF(OR(calendar[[#This Row],[FR_BH]]=1,calendar[[#This Row],[WeekDay]]=1, calendar[[#This Row],[WeekDay]]=7),P2060,P2060+1)</f>
        <v>1471</v>
      </c>
      <c r="R2061">
        <f>IF(OR(calendar[[#This Row],[SP_BH]]=1,calendar[[#This Row],[WeekDay]]=1, calendar[[#This Row],[WeekDay]]=7),P2060,P2060+1)</f>
        <v>1471</v>
      </c>
      <c r="S2061">
        <f>IF(OR(calendar[[#This Row],[PT_BH]]=1,calendar[[#This Row],[WeekDay]]=1, calendar[[#This Row],[WeekDay]]=7),P2060,P2060+1)</f>
        <v>1471</v>
      </c>
    </row>
    <row r="2062" spans="1:19" x14ac:dyDescent="0.25">
      <c r="A2062" s="2">
        <v>44796</v>
      </c>
      <c r="B2062" s="1">
        <f t="shared" si="163"/>
        <v>35</v>
      </c>
      <c r="C2062">
        <f t="shared" si="160"/>
        <v>8</v>
      </c>
      <c r="D2062" t="str">
        <f t="shared" si="161"/>
        <v>August</v>
      </c>
      <c r="E2062">
        <f t="shared" si="162"/>
        <v>2022</v>
      </c>
      <c r="F2062" t="str">
        <f>CONCATENATE(calendar[[#This Row],[Month]],"/",calendar[[#This Row],[Year]])</f>
        <v>8/2022</v>
      </c>
      <c r="G2062">
        <f>WEEKDAY(calendar[[#This Row],[Date]],1)</f>
        <v>3</v>
      </c>
      <c r="H2062" t="str">
        <f>TEXT(calendar[[#This Row],[WeekDay]],"dddd")</f>
        <v>Tuesday</v>
      </c>
      <c r="I2062">
        <f>IF((INT(calendar[[#This Row],[Count]]/7)-calendar[[#This Row],[Count]]/7)&lt;0,I2061,I2061+1)</f>
        <v>295</v>
      </c>
      <c r="J2062">
        <f t="shared" si="164"/>
        <v>2060</v>
      </c>
      <c r="K2062">
        <f>IF(calendar[[#This Row],[Month]]&lt;4,1,IF(calendar[[#This Row],[Month]]&lt;7,2,IF(calendar[[#This Row],[Month]]&lt;10,3,4)))</f>
        <v>3</v>
      </c>
      <c r="L2062">
        <f>IFERROR(IF(VLOOKUP(calendar[[#This Row],[Date]],BH!A:A,1,)&lt;&gt;"",1,0),0)</f>
        <v>0</v>
      </c>
      <c r="M2062">
        <f>IFERROR(IF(VLOOKUP(calendar[[#This Row],[Date]],BH!C:C,1,)&lt;&gt;"",1,0),0)</f>
        <v>0</v>
      </c>
      <c r="N2062">
        <f>IFERROR(IF(VLOOKUP(calendar[[#This Row],[Date]],BH!E:E,1,)&lt;&gt;"",1,0),0)</f>
        <v>0</v>
      </c>
      <c r="O2062">
        <f>IFERROR(IF(VLOOKUP(calendar[[#This Row],[Date]],BH!G:G,1,)&lt;&gt;"",1,0),0)</f>
        <v>0</v>
      </c>
      <c r="P2062">
        <f>IF(OR(calendar[[#This Row],[UK_BH]]=1,calendar[[#This Row],[WeekDay]]=1, calendar[[#This Row],[WeekDay]]=7),P2061,P2061+1)</f>
        <v>1472</v>
      </c>
      <c r="Q2062">
        <f>IF(OR(calendar[[#This Row],[FR_BH]]=1,calendar[[#This Row],[WeekDay]]=1, calendar[[#This Row],[WeekDay]]=7),P2061,P2061+1)</f>
        <v>1472</v>
      </c>
      <c r="R2062">
        <f>IF(OR(calendar[[#This Row],[SP_BH]]=1,calendar[[#This Row],[WeekDay]]=1, calendar[[#This Row],[WeekDay]]=7),P2061,P2061+1)</f>
        <v>1472</v>
      </c>
      <c r="S2062">
        <f>IF(OR(calendar[[#This Row],[PT_BH]]=1,calendar[[#This Row],[WeekDay]]=1, calendar[[#This Row],[WeekDay]]=7),P2061,P2061+1)</f>
        <v>1472</v>
      </c>
    </row>
    <row r="2063" spans="1:19" x14ac:dyDescent="0.25">
      <c r="A2063" s="2">
        <v>44797</v>
      </c>
      <c r="B2063" s="1">
        <f t="shared" si="163"/>
        <v>35</v>
      </c>
      <c r="C2063">
        <f t="shared" si="160"/>
        <v>8</v>
      </c>
      <c r="D2063" t="str">
        <f t="shared" si="161"/>
        <v>August</v>
      </c>
      <c r="E2063">
        <f t="shared" si="162"/>
        <v>2022</v>
      </c>
      <c r="F2063" t="str">
        <f>CONCATENATE(calendar[[#This Row],[Month]],"/",calendar[[#This Row],[Year]])</f>
        <v>8/2022</v>
      </c>
      <c r="G2063">
        <f>WEEKDAY(calendar[[#This Row],[Date]],1)</f>
        <v>4</v>
      </c>
      <c r="H2063" t="str">
        <f>TEXT(calendar[[#This Row],[WeekDay]],"dddd")</f>
        <v>Wednesday</v>
      </c>
      <c r="I2063">
        <f>IF((INT(calendar[[#This Row],[Count]]/7)-calendar[[#This Row],[Count]]/7)&lt;0,I2062,I2062+1)</f>
        <v>295</v>
      </c>
      <c r="J2063">
        <f t="shared" si="164"/>
        <v>2061</v>
      </c>
      <c r="K2063">
        <f>IF(calendar[[#This Row],[Month]]&lt;4,1,IF(calendar[[#This Row],[Month]]&lt;7,2,IF(calendar[[#This Row],[Month]]&lt;10,3,4)))</f>
        <v>3</v>
      </c>
      <c r="L2063">
        <f>IFERROR(IF(VLOOKUP(calendar[[#This Row],[Date]],BH!A:A,1,)&lt;&gt;"",1,0),0)</f>
        <v>0</v>
      </c>
      <c r="M2063">
        <f>IFERROR(IF(VLOOKUP(calendar[[#This Row],[Date]],BH!C:C,1,)&lt;&gt;"",1,0),0)</f>
        <v>0</v>
      </c>
      <c r="N2063">
        <f>IFERROR(IF(VLOOKUP(calendar[[#This Row],[Date]],BH!E:E,1,)&lt;&gt;"",1,0),0)</f>
        <v>0</v>
      </c>
      <c r="O2063">
        <f>IFERROR(IF(VLOOKUP(calendar[[#This Row],[Date]],BH!G:G,1,)&lt;&gt;"",1,0),0)</f>
        <v>0</v>
      </c>
      <c r="P2063">
        <f>IF(OR(calendar[[#This Row],[UK_BH]]=1,calendar[[#This Row],[WeekDay]]=1, calendar[[#This Row],[WeekDay]]=7),P2062,P2062+1)</f>
        <v>1473</v>
      </c>
      <c r="Q2063">
        <f>IF(OR(calendar[[#This Row],[FR_BH]]=1,calendar[[#This Row],[WeekDay]]=1, calendar[[#This Row],[WeekDay]]=7),P2062,P2062+1)</f>
        <v>1473</v>
      </c>
      <c r="R2063">
        <f>IF(OR(calendar[[#This Row],[SP_BH]]=1,calendar[[#This Row],[WeekDay]]=1, calendar[[#This Row],[WeekDay]]=7),P2062,P2062+1)</f>
        <v>1473</v>
      </c>
      <c r="S2063">
        <f>IF(OR(calendar[[#This Row],[PT_BH]]=1,calendar[[#This Row],[WeekDay]]=1, calendar[[#This Row],[WeekDay]]=7),P2062,P2062+1)</f>
        <v>1473</v>
      </c>
    </row>
    <row r="2064" spans="1:19" x14ac:dyDescent="0.25">
      <c r="A2064" s="2">
        <v>44798</v>
      </c>
      <c r="B2064" s="1">
        <f t="shared" si="163"/>
        <v>35</v>
      </c>
      <c r="C2064">
        <f t="shared" ref="C2064:C2127" si="165">MONTH(A2064)</f>
        <v>8</v>
      </c>
      <c r="D2064" t="str">
        <f t="shared" ref="D2064:D2127" si="166">TEXT(A2064,"mmmm")</f>
        <v>August</v>
      </c>
      <c r="E2064">
        <f t="shared" ref="E2064:E2127" si="167">YEAR(A2064)</f>
        <v>2022</v>
      </c>
      <c r="F2064" t="str">
        <f>CONCATENATE(calendar[[#This Row],[Month]],"/",calendar[[#This Row],[Year]])</f>
        <v>8/2022</v>
      </c>
      <c r="G2064">
        <f>WEEKDAY(calendar[[#This Row],[Date]],1)</f>
        <v>5</v>
      </c>
      <c r="H2064" t="str">
        <f>TEXT(calendar[[#This Row],[WeekDay]],"dddd")</f>
        <v>Thursday</v>
      </c>
      <c r="I2064">
        <f>IF((INT(calendar[[#This Row],[Count]]/7)-calendar[[#This Row],[Count]]/7)&lt;0,I2063,I2063+1)</f>
        <v>295</v>
      </c>
      <c r="J2064">
        <f t="shared" si="164"/>
        <v>2062</v>
      </c>
      <c r="K2064">
        <f>IF(calendar[[#This Row],[Month]]&lt;4,1,IF(calendar[[#This Row],[Month]]&lt;7,2,IF(calendar[[#This Row],[Month]]&lt;10,3,4)))</f>
        <v>3</v>
      </c>
      <c r="L2064">
        <f>IFERROR(IF(VLOOKUP(calendar[[#This Row],[Date]],BH!A:A,1,)&lt;&gt;"",1,0),0)</f>
        <v>0</v>
      </c>
      <c r="M2064">
        <f>IFERROR(IF(VLOOKUP(calendar[[#This Row],[Date]],BH!C:C,1,)&lt;&gt;"",1,0),0)</f>
        <v>0</v>
      </c>
      <c r="N2064">
        <f>IFERROR(IF(VLOOKUP(calendar[[#This Row],[Date]],BH!E:E,1,)&lt;&gt;"",1,0),0)</f>
        <v>0</v>
      </c>
      <c r="O2064">
        <f>IFERROR(IF(VLOOKUP(calendar[[#This Row],[Date]],BH!G:G,1,)&lt;&gt;"",1,0),0)</f>
        <v>0</v>
      </c>
      <c r="P2064">
        <f>IF(OR(calendar[[#This Row],[UK_BH]]=1,calendar[[#This Row],[WeekDay]]=1, calendar[[#This Row],[WeekDay]]=7),P2063,P2063+1)</f>
        <v>1474</v>
      </c>
      <c r="Q2064">
        <f>IF(OR(calendar[[#This Row],[FR_BH]]=1,calendar[[#This Row],[WeekDay]]=1, calendar[[#This Row],[WeekDay]]=7),P2063,P2063+1)</f>
        <v>1474</v>
      </c>
      <c r="R2064">
        <f>IF(OR(calendar[[#This Row],[SP_BH]]=1,calendar[[#This Row],[WeekDay]]=1, calendar[[#This Row],[WeekDay]]=7),P2063,P2063+1)</f>
        <v>1474</v>
      </c>
      <c r="S2064">
        <f>IF(OR(calendar[[#This Row],[PT_BH]]=1,calendar[[#This Row],[WeekDay]]=1, calendar[[#This Row],[WeekDay]]=7),P2063,P2063+1)</f>
        <v>1474</v>
      </c>
    </row>
    <row r="2065" spans="1:19" x14ac:dyDescent="0.25">
      <c r="A2065" s="2">
        <v>44799</v>
      </c>
      <c r="B2065" s="1">
        <f t="shared" si="163"/>
        <v>35</v>
      </c>
      <c r="C2065">
        <f t="shared" si="165"/>
        <v>8</v>
      </c>
      <c r="D2065" t="str">
        <f t="shared" si="166"/>
        <v>August</v>
      </c>
      <c r="E2065">
        <f t="shared" si="167"/>
        <v>2022</v>
      </c>
      <c r="F2065" t="str">
        <f>CONCATENATE(calendar[[#This Row],[Month]],"/",calendar[[#This Row],[Year]])</f>
        <v>8/2022</v>
      </c>
      <c r="G2065">
        <f>WEEKDAY(calendar[[#This Row],[Date]],1)</f>
        <v>6</v>
      </c>
      <c r="H2065" t="str">
        <f>TEXT(calendar[[#This Row],[WeekDay]],"dddd")</f>
        <v>Friday</v>
      </c>
      <c r="I2065">
        <f>IF((INT(calendar[[#This Row],[Count]]/7)-calendar[[#This Row],[Count]]/7)&lt;0,I2064,I2064+1)</f>
        <v>295</v>
      </c>
      <c r="J2065">
        <f t="shared" si="164"/>
        <v>2063</v>
      </c>
      <c r="K2065">
        <f>IF(calendar[[#This Row],[Month]]&lt;4,1,IF(calendar[[#This Row],[Month]]&lt;7,2,IF(calendar[[#This Row],[Month]]&lt;10,3,4)))</f>
        <v>3</v>
      </c>
      <c r="L2065">
        <f>IFERROR(IF(VLOOKUP(calendar[[#This Row],[Date]],BH!A:A,1,)&lt;&gt;"",1,0),0)</f>
        <v>0</v>
      </c>
      <c r="M2065">
        <f>IFERROR(IF(VLOOKUP(calendar[[#This Row],[Date]],BH!C:C,1,)&lt;&gt;"",1,0),0)</f>
        <v>0</v>
      </c>
      <c r="N2065">
        <f>IFERROR(IF(VLOOKUP(calendar[[#This Row],[Date]],BH!E:E,1,)&lt;&gt;"",1,0),0)</f>
        <v>0</v>
      </c>
      <c r="O2065">
        <f>IFERROR(IF(VLOOKUP(calendar[[#This Row],[Date]],BH!G:G,1,)&lt;&gt;"",1,0),0)</f>
        <v>0</v>
      </c>
      <c r="P2065">
        <f>IF(OR(calendar[[#This Row],[UK_BH]]=1,calendar[[#This Row],[WeekDay]]=1, calendar[[#This Row],[WeekDay]]=7),P2064,P2064+1)</f>
        <v>1475</v>
      </c>
      <c r="Q2065">
        <f>IF(OR(calendar[[#This Row],[FR_BH]]=1,calendar[[#This Row],[WeekDay]]=1, calendar[[#This Row],[WeekDay]]=7),P2064,P2064+1)</f>
        <v>1475</v>
      </c>
      <c r="R2065">
        <f>IF(OR(calendar[[#This Row],[SP_BH]]=1,calendar[[#This Row],[WeekDay]]=1, calendar[[#This Row],[WeekDay]]=7),P2064,P2064+1)</f>
        <v>1475</v>
      </c>
      <c r="S2065">
        <f>IF(OR(calendar[[#This Row],[PT_BH]]=1,calendar[[#This Row],[WeekDay]]=1, calendar[[#This Row],[WeekDay]]=7),P2064,P2064+1)</f>
        <v>1475</v>
      </c>
    </row>
    <row r="2066" spans="1:19" x14ac:dyDescent="0.25">
      <c r="A2066" s="2">
        <v>44800</v>
      </c>
      <c r="B2066" s="1">
        <f t="shared" si="163"/>
        <v>35</v>
      </c>
      <c r="C2066">
        <f t="shared" si="165"/>
        <v>8</v>
      </c>
      <c r="D2066" t="str">
        <f t="shared" si="166"/>
        <v>August</v>
      </c>
      <c r="E2066">
        <f t="shared" si="167"/>
        <v>2022</v>
      </c>
      <c r="F2066" t="str">
        <f>CONCATENATE(calendar[[#This Row],[Month]],"/",calendar[[#This Row],[Year]])</f>
        <v>8/2022</v>
      </c>
      <c r="G2066">
        <f>WEEKDAY(calendar[[#This Row],[Date]],1)</f>
        <v>7</v>
      </c>
      <c r="H2066" t="str">
        <f>TEXT(calendar[[#This Row],[WeekDay]],"dddd")</f>
        <v>Saturday</v>
      </c>
      <c r="I2066">
        <f>IF((INT(calendar[[#This Row],[Count]]/7)-calendar[[#This Row],[Count]]/7)&lt;0,I2065,I2065+1)</f>
        <v>295</v>
      </c>
      <c r="J2066">
        <f t="shared" si="164"/>
        <v>2064</v>
      </c>
      <c r="K2066">
        <f>IF(calendar[[#This Row],[Month]]&lt;4,1,IF(calendar[[#This Row],[Month]]&lt;7,2,IF(calendar[[#This Row],[Month]]&lt;10,3,4)))</f>
        <v>3</v>
      </c>
      <c r="L2066">
        <f>IFERROR(IF(VLOOKUP(calendar[[#This Row],[Date]],BH!A:A,1,)&lt;&gt;"",1,0),0)</f>
        <v>0</v>
      </c>
      <c r="M2066">
        <f>IFERROR(IF(VLOOKUP(calendar[[#This Row],[Date]],BH!C:C,1,)&lt;&gt;"",1,0),0)</f>
        <v>0</v>
      </c>
      <c r="N2066">
        <f>IFERROR(IF(VLOOKUP(calendar[[#This Row],[Date]],BH!E:E,1,)&lt;&gt;"",1,0),0)</f>
        <v>0</v>
      </c>
      <c r="O2066">
        <f>IFERROR(IF(VLOOKUP(calendar[[#This Row],[Date]],BH!G:G,1,)&lt;&gt;"",1,0),0)</f>
        <v>0</v>
      </c>
      <c r="P2066">
        <f>IF(OR(calendar[[#This Row],[UK_BH]]=1,calendar[[#This Row],[WeekDay]]=1, calendar[[#This Row],[WeekDay]]=7),P2065,P2065+1)</f>
        <v>1475</v>
      </c>
      <c r="Q2066">
        <f>IF(OR(calendar[[#This Row],[FR_BH]]=1,calendar[[#This Row],[WeekDay]]=1, calendar[[#This Row],[WeekDay]]=7),P2065,P2065+1)</f>
        <v>1475</v>
      </c>
      <c r="R2066">
        <f>IF(OR(calendar[[#This Row],[SP_BH]]=1,calendar[[#This Row],[WeekDay]]=1, calendar[[#This Row],[WeekDay]]=7),P2065,P2065+1)</f>
        <v>1475</v>
      </c>
      <c r="S2066">
        <f>IF(OR(calendar[[#This Row],[PT_BH]]=1,calendar[[#This Row],[WeekDay]]=1, calendar[[#This Row],[WeekDay]]=7),P2065,P2065+1)</f>
        <v>1475</v>
      </c>
    </row>
    <row r="2067" spans="1:19" x14ac:dyDescent="0.25">
      <c r="A2067" s="2">
        <v>44801</v>
      </c>
      <c r="B2067" s="1">
        <f t="shared" si="163"/>
        <v>36</v>
      </c>
      <c r="C2067">
        <f t="shared" si="165"/>
        <v>8</v>
      </c>
      <c r="D2067" t="str">
        <f t="shared" si="166"/>
        <v>August</v>
      </c>
      <c r="E2067">
        <f t="shared" si="167"/>
        <v>2022</v>
      </c>
      <c r="F2067" t="str">
        <f>CONCATENATE(calendar[[#This Row],[Month]],"/",calendar[[#This Row],[Year]])</f>
        <v>8/2022</v>
      </c>
      <c r="G2067">
        <f>WEEKDAY(calendar[[#This Row],[Date]],1)</f>
        <v>1</v>
      </c>
      <c r="H2067" t="str">
        <f>TEXT(calendar[[#This Row],[WeekDay]],"dddd")</f>
        <v>Sunday</v>
      </c>
      <c r="I2067">
        <f>IF((INT(calendar[[#This Row],[Count]]/7)-calendar[[#This Row],[Count]]/7)&lt;0,I2066,I2066+1)</f>
        <v>296</v>
      </c>
      <c r="J2067">
        <f t="shared" si="164"/>
        <v>2065</v>
      </c>
      <c r="K2067">
        <f>IF(calendar[[#This Row],[Month]]&lt;4,1,IF(calendar[[#This Row],[Month]]&lt;7,2,IF(calendar[[#This Row],[Month]]&lt;10,3,4)))</f>
        <v>3</v>
      </c>
      <c r="L2067">
        <f>IFERROR(IF(VLOOKUP(calendar[[#This Row],[Date]],BH!A:A,1,)&lt;&gt;"",1,0),0)</f>
        <v>0</v>
      </c>
      <c r="M2067">
        <f>IFERROR(IF(VLOOKUP(calendar[[#This Row],[Date]],BH!C:C,1,)&lt;&gt;"",1,0),0)</f>
        <v>0</v>
      </c>
      <c r="N2067">
        <f>IFERROR(IF(VLOOKUP(calendar[[#This Row],[Date]],BH!E:E,1,)&lt;&gt;"",1,0),0)</f>
        <v>0</v>
      </c>
      <c r="O2067">
        <f>IFERROR(IF(VLOOKUP(calendar[[#This Row],[Date]],BH!G:G,1,)&lt;&gt;"",1,0),0)</f>
        <v>0</v>
      </c>
      <c r="P2067">
        <f>IF(OR(calendar[[#This Row],[UK_BH]]=1,calendar[[#This Row],[WeekDay]]=1, calendar[[#This Row],[WeekDay]]=7),P2066,P2066+1)</f>
        <v>1475</v>
      </c>
      <c r="Q2067">
        <f>IF(OR(calendar[[#This Row],[FR_BH]]=1,calendar[[#This Row],[WeekDay]]=1, calendar[[#This Row],[WeekDay]]=7),P2066,P2066+1)</f>
        <v>1475</v>
      </c>
      <c r="R2067">
        <f>IF(OR(calendar[[#This Row],[SP_BH]]=1,calendar[[#This Row],[WeekDay]]=1, calendar[[#This Row],[WeekDay]]=7),P2066,P2066+1)</f>
        <v>1475</v>
      </c>
      <c r="S2067">
        <f>IF(OR(calendar[[#This Row],[PT_BH]]=1,calendar[[#This Row],[WeekDay]]=1, calendar[[#This Row],[WeekDay]]=7),P2066,P2066+1)</f>
        <v>1475</v>
      </c>
    </row>
    <row r="2068" spans="1:19" x14ac:dyDescent="0.25">
      <c r="A2068" s="2">
        <v>44802</v>
      </c>
      <c r="B2068" s="1">
        <f t="shared" si="163"/>
        <v>36</v>
      </c>
      <c r="C2068">
        <f t="shared" si="165"/>
        <v>8</v>
      </c>
      <c r="D2068" t="str">
        <f t="shared" si="166"/>
        <v>August</v>
      </c>
      <c r="E2068">
        <f t="shared" si="167"/>
        <v>2022</v>
      </c>
      <c r="F2068" t="str">
        <f>CONCATENATE(calendar[[#This Row],[Month]],"/",calendar[[#This Row],[Year]])</f>
        <v>8/2022</v>
      </c>
      <c r="G2068">
        <f>WEEKDAY(calendar[[#This Row],[Date]],1)</f>
        <v>2</v>
      </c>
      <c r="H2068" t="str">
        <f>TEXT(calendar[[#This Row],[WeekDay]],"dddd")</f>
        <v>Monday</v>
      </c>
      <c r="I2068">
        <f>IF((INT(calendar[[#This Row],[Count]]/7)-calendar[[#This Row],[Count]]/7)&lt;0,I2067,I2067+1)</f>
        <v>296</v>
      </c>
      <c r="J2068">
        <f t="shared" si="164"/>
        <v>2066</v>
      </c>
      <c r="K2068">
        <f>IF(calendar[[#This Row],[Month]]&lt;4,1,IF(calendar[[#This Row],[Month]]&lt;7,2,IF(calendar[[#This Row],[Month]]&lt;10,3,4)))</f>
        <v>3</v>
      </c>
      <c r="L2068">
        <f>IFERROR(IF(VLOOKUP(calendar[[#This Row],[Date]],BH!A:A,1,)&lt;&gt;"",1,0),0)</f>
        <v>0</v>
      </c>
      <c r="M2068">
        <f>IFERROR(IF(VLOOKUP(calendar[[#This Row],[Date]],BH!C:C,1,)&lt;&gt;"",1,0),0)</f>
        <v>0</v>
      </c>
      <c r="N2068">
        <f>IFERROR(IF(VLOOKUP(calendar[[#This Row],[Date]],BH!E:E,1,)&lt;&gt;"",1,0),0)</f>
        <v>0</v>
      </c>
      <c r="O2068">
        <f>IFERROR(IF(VLOOKUP(calendar[[#This Row],[Date]],BH!G:G,1,)&lt;&gt;"",1,0),0)</f>
        <v>0</v>
      </c>
      <c r="P2068">
        <f>IF(OR(calendar[[#This Row],[UK_BH]]=1,calendar[[#This Row],[WeekDay]]=1, calendar[[#This Row],[WeekDay]]=7),P2067,P2067+1)</f>
        <v>1476</v>
      </c>
      <c r="Q2068">
        <f>IF(OR(calendar[[#This Row],[FR_BH]]=1,calendar[[#This Row],[WeekDay]]=1, calendar[[#This Row],[WeekDay]]=7),P2067,P2067+1)</f>
        <v>1476</v>
      </c>
      <c r="R2068">
        <f>IF(OR(calendar[[#This Row],[SP_BH]]=1,calendar[[#This Row],[WeekDay]]=1, calendar[[#This Row],[WeekDay]]=7),P2067,P2067+1)</f>
        <v>1476</v>
      </c>
      <c r="S2068">
        <f>IF(OR(calendar[[#This Row],[PT_BH]]=1,calendar[[#This Row],[WeekDay]]=1, calendar[[#This Row],[WeekDay]]=7),P2067,P2067+1)</f>
        <v>1476</v>
      </c>
    </row>
    <row r="2069" spans="1:19" x14ac:dyDescent="0.25">
      <c r="A2069" s="2">
        <v>44803</v>
      </c>
      <c r="B2069" s="1">
        <f t="shared" si="163"/>
        <v>36</v>
      </c>
      <c r="C2069">
        <f t="shared" si="165"/>
        <v>8</v>
      </c>
      <c r="D2069" t="str">
        <f t="shared" si="166"/>
        <v>August</v>
      </c>
      <c r="E2069">
        <f t="shared" si="167"/>
        <v>2022</v>
      </c>
      <c r="F2069" t="str">
        <f>CONCATENATE(calendar[[#This Row],[Month]],"/",calendar[[#This Row],[Year]])</f>
        <v>8/2022</v>
      </c>
      <c r="G2069">
        <f>WEEKDAY(calendar[[#This Row],[Date]],1)</f>
        <v>3</v>
      </c>
      <c r="H2069" t="str">
        <f>TEXT(calendar[[#This Row],[WeekDay]],"dddd")</f>
        <v>Tuesday</v>
      </c>
      <c r="I2069">
        <f>IF((INT(calendar[[#This Row],[Count]]/7)-calendar[[#This Row],[Count]]/7)&lt;0,I2068,I2068+1)</f>
        <v>296</v>
      </c>
      <c r="J2069">
        <f t="shared" si="164"/>
        <v>2067</v>
      </c>
      <c r="K2069">
        <f>IF(calendar[[#This Row],[Month]]&lt;4,1,IF(calendar[[#This Row],[Month]]&lt;7,2,IF(calendar[[#This Row],[Month]]&lt;10,3,4)))</f>
        <v>3</v>
      </c>
      <c r="L2069">
        <f>IFERROR(IF(VLOOKUP(calendar[[#This Row],[Date]],BH!A:A,1,)&lt;&gt;"",1,0),0)</f>
        <v>0</v>
      </c>
      <c r="M2069">
        <f>IFERROR(IF(VLOOKUP(calendar[[#This Row],[Date]],BH!C:C,1,)&lt;&gt;"",1,0),0)</f>
        <v>0</v>
      </c>
      <c r="N2069">
        <f>IFERROR(IF(VLOOKUP(calendar[[#This Row],[Date]],BH!E:E,1,)&lt;&gt;"",1,0),0)</f>
        <v>0</v>
      </c>
      <c r="O2069">
        <f>IFERROR(IF(VLOOKUP(calendar[[#This Row],[Date]],BH!G:G,1,)&lt;&gt;"",1,0),0)</f>
        <v>0</v>
      </c>
      <c r="P2069">
        <f>IF(OR(calendar[[#This Row],[UK_BH]]=1,calendar[[#This Row],[WeekDay]]=1, calendar[[#This Row],[WeekDay]]=7),P2068,P2068+1)</f>
        <v>1477</v>
      </c>
      <c r="Q2069">
        <f>IF(OR(calendar[[#This Row],[FR_BH]]=1,calendar[[#This Row],[WeekDay]]=1, calendar[[#This Row],[WeekDay]]=7),P2068,P2068+1)</f>
        <v>1477</v>
      </c>
      <c r="R2069">
        <f>IF(OR(calendar[[#This Row],[SP_BH]]=1,calendar[[#This Row],[WeekDay]]=1, calendar[[#This Row],[WeekDay]]=7),P2068,P2068+1)</f>
        <v>1477</v>
      </c>
      <c r="S2069">
        <f>IF(OR(calendar[[#This Row],[PT_BH]]=1,calendar[[#This Row],[WeekDay]]=1, calendar[[#This Row],[WeekDay]]=7),P2068,P2068+1)</f>
        <v>1477</v>
      </c>
    </row>
    <row r="2070" spans="1:19" x14ac:dyDescent="0.25">
      <c r="A2070" s="2">
        <v>44804</v>
      </c>
      <c r="B2070" s="1">
        <f t="shared" si="163"/>
        <v>36</v>
      </c>
      <c r="C2070">
        <f t="shared" si="165"/>
        <v>8</v>
      </c>
      <c r="D2070" t="str">
        <f t="shared" si="166"/>
        <v>August</v>
      </c>
      <c r="E2070">
        <f t="shared" si="167"/>
        <v>2022</v>
      </c>
      <c r="F2070" t="str">
        <f>CONCATENATE(calendar[[#This Row],[Month]],"/",calendar[[#This Row],[Year]])</f>
        <v>8/2022</v>
      </c>
      <c r="G2070">
        <f>WEEKDAY(calendar[[#This Row],[Date]],1)</f>
        <v>4</v>
      </c>
      <c r="H2070" t="str">
        <f>TEXT(calendar[[#This Row],[WeekDay]],"dddd")</f>
        <v>Wednesday</v>
      </c>
      <c r="I2070">
        <f>IF((INT(calendar[[#This Row],[Count]]/7)-calendar[[#This Row],[Count]]/7)&lt;0,I2069,I2069+1)</f>
        <v>296</v>
      </c>
      <c r="J2070">
        <f t="shared" si="164"/>
        <v>2068</v>
      </c>
      <c r="K2070">
        <f>IF(calendar[[#This Row],[Month]]&lt;4,1,IF(calendar[[#This Row],[Month]]&lt;7,2,IF(calendar[[#This Row],[Month]]&lt;10,3,4)))</f>
        <v>3</v>
      </c>
      <c r="L2070">
        <f>IFERROR(IF(VLOOKUP(calendar[[#This Row],[Date]],BH!A:A,1,)&lt;&gt;"",1,0),0)</f>
        <v>0</v>
      </c>
      <c r="M2070">
        <f>IFERROR(IF(VLOOKUP(calendar[[#This Row],[Date]],BH!C:C,1,)&lt;&gt;"",1,0),0)</f>
        <v>0</v>
      </c>
      <c r="N2070">
        <f>IFERROR(IF(VLOOKUP(calendar[[#This Row],[Date]],BH!E:E,1,)&lt;&gt;"",1,0),0)</f>
        <v>0</v>
      </c>
      <c r="O2070">
        <f>IFERROR(IF(VLOOKUP(calendar[[#This Row],[Date]],BH!G:G,1,)&lt;&gt;"",1,0),0)</f>
        <v>0</v>
      </c>
      <c r="P2070">
        <f>IF(OR(calendar[[#This Row],[UK_BH]]=1,calendar[[#This Row],[WeekDay]]=1, calendar[[#This Row],[WeekDay]]=7),P2069,P2069+1)</f>
        <v>1478</v>
      </c>
      <c r="Q2070">
        <f>IF(OR(calendar[[#This Row],[FR_BH]]=1,calendar[[#This Row],[WeekDay]]=1, calendar[[#This Row],[WeekDay]]=7),P2069,P2069+1)</f>
        <v>1478</v>
      </c>
      <c r="R2070">
        <f>IF(OR(calendar[[#This Row],[SP_BH]]=1,calendar[[#This Row],[WeekDay]]=1, calendar[[#This Row],[WeekDay]]=7),P2069,P2069+1)</f>
        <v>1478</v>
      </c>
      <c r="S2070">
        <f>IF(OR(calendar[[#This Row],[PT_BH]]=1,calendar[[#This Row],[WeekDay]]=1, calendar[[#This Row],[WeekDay]]=7),P2069,P2069+1)</f>
        <v>1478</v>
      </c>
    </row>
    <row r="2071" spans="1:19" x14ac:dyDescent="0.25">
      <c r="A2071" s="2">
        <v>44805</v>
      </c>
      <c r="B2071" s="1">
        <f t="shared" si="163"/>
        <v>36</v>
      </c>
      <c r="C2071">
        <f t="shared" si="165"/>
        <v>9</v>
      </c>
      <c r="D2071" t="str">
        <f t="shared" si="166"/>
        <v>September</v>
      </c>
      <c r="E2071">
        <f t="shared" si="167"/>
        <v>2022</v>
      </c>
      <c r="F2071" t="str">
        <f>CONCATENATE(calendar[[#This Row],[Month]],"/",calendar[[#This Row],[Year]])</f>
        <v>9/2022</v>
      </c>
      <c r="G2071">
        <f>WEEKDAY(calendar[[#This Row],[Date]],1)</f>
        <v>5</v>
      </c>
      <c r="H2071" t="str">
        <f>TEXT(calendar[[#This Row],[WeekDay]],"dddd")</f>
        <v>Thursday</v>
      </c>
      <c r="I2071">
        <f>IF((INT(calendar[[#This Row],[Count]]/7)-calendar[[#This Row],[Count]]/7)&lt;0,I2070,I2070+1)</f>
        <v>296</v>
      </c>
      <c r="J2071">
        <f t="shared" si="164"/>
        <v>2069</v>
      </c>
      <c r="K2071">
        <f>IF(calendar[[#This Row],[Month]]&lt;4,1,IF(calendar[[#This Row],[Month]]&lt;7,2,IF(calendar[[#This Row],[Month]]&lt;10,3,4)))</f>
        <v>3</v>
      </c>
      <c r="L2071">
        <f>IFERROR(IF(VLOOKUP(calendar[[#This Row],[Date]],BH!A:A,1,)&lt;&gt;"",1,0),0)</f>
        <v>0</v>
      </c>
      <c r="M2071">
        <f>IFERROR(IF(VLOOKUP(calendar[[#This Row],[Date]],BH!C:C,1,)&lt;&gt;"",1,0),0)</f>
        <v>0</v>
      </c>
      <c r="N2071">
        <f>IFERROR(IF(VLOOKUP(calendar[[#This Row],[Date]],BH!E:E,1,)&lt;&gt;"",1,0),0)</f>
        <v>0</v>
      </c>
      <c r="O2071">
        <f>IFERROR(IF(VLOOKUP(calendar[[#This Row],[Date]],BH!G:G,1,)&lt;&gt;"",1,0),0)</f>
        <v>0</v>
      </c>
      <c r="P2071">
        <f>IF(OR(calendar[[#This Row],[UK_BH]]=1,calendar[[#This Row],[WeekDay]]=1, calendar[[#This Row],[WeekDay]]=7),P2070,P2070+1)</f>
        <v>1479</v>
      </c>
      <c r="Q2071">
        <f>IF(OR(calendar[[#This Row],[FR_BH]]=1,calendar[[#This Row],[WeekDay]]=1, calendar[[#This Row],[WeekDay]]=7),P2070,P2070+1)</f>
        <v>1479</v>
      </c>
      <c r="R2071">
        <f>IF(OR(calendar[[#This Row],[SP_BH]]=1,calendar[[#This Row],[WeekDay]]=1, calendar[[#This Row],[WeekDay]]=7),P2070,P2070+1)</f>
        <v>1479</v>
      </c>
      <c r="S2071">
        <f>IF(OR(calendar[[#This Row],[PT_BH]]=1,calendar[[#This Row],[WeekDay]]=1, calendar[[#This Row],[WeekDay]]=7),P2070,P2070+1)</f>
        <v>1479</v>
      </c>
    </row>
    <row r="2072" spans="1:19" x14ac:dyDescent="0.25">
      <c r="A2072" s="2">
        <v>44806</v>
      </c>
      <c r="B2072" s="1">
        <f t="shared" si="163"/>
        <v>36</v>
      </c>
      <c r="C2072">
        <f t="shared" si="165"/>
        <v>9</v>
      </c>
      <c r="D2072" t="str">
        <f t="shared" si="166"/>
        <v>September</v>
      </c>
      <c r="E2072">
        <f t="shared" si="167"/>
        <v>2022</v>
      </c>
      <c r="F2072" t="str">
        <f>CONCATENATE(calendar[[#This Row],[Month]],"/",calendar[[#This Row],[Year]])</f>
        <v>9/2022</v>
      </c>
      <c r="G2072">
        <f>WEEKDAY(calendar[[#This Row],[Date]],1)</f>
        <v>6</v>
      </c>
      <c r="H2072" t="str">
        <f>TEXT(calendar[[#This Row],[WeekDay]],"dddd")</f>
        <v>Friday</v>
      </c>
      <c r="I2072">
        <f>IF((INT(calendar[[#This Row],[Count]]/7)-calendar[[#This Row],[Count]]/7)&lt;0,I2071,I2071+1)</f>
        <v>296</v>
      </c>
      <c r="J2072">
        <f t="shared" si="164"/>
        <v>2070</v>
      </c>
      <c r="K2072">
        <f>IF(calendar[[#This Row],[Month]]&lt;4,1,IF(calendar[[#This Row],[Month]]&lt;7,2,IF(calendar[[#This Row],[Month]]&lt;10,3,4)))</f>
        <v>3</v>
      </c>
      <c r="L2072">
        <f>IFERROR(IF(VLOOKUP(calendar[[#This Row],[Date]],BH!A:A,1,)&lt;&gt;"",1,0),0)</f>
        <v>0</v>
      </c>
      <c r="M2072">
        <f>IFERROR(IF(VLOOKUP(calendar[[#This Row],[Date]],BH!C:C,1,)&lt;&gt;"",1,0),0)</f>
        <v>0</v>
      </c>
      <c r="N2072">
        <f>IFERROR(IF(VLOOKUP(calendar[[#This Row],[Date]],BH!E:E,1,)&lt;&gt;"",1,0),0)</f>
        <v>0</v>
      </c>
      <c r="O2072">
        <f>IFERROR(IF(VLOOKUP(calendar[[#This Row],[Date]],BH!G:G,1,)&lt;&gt;"",1,0),0)</f>
        <v>0</v>
      </c>
      <c r="P2072">
        <f>IF(OR(calendar[[#This Row],[UK_BH]]=1,calendar[[#This Row],[WeekDay]]=1, calendar[[#This Row],[WeekDay]]=7),P2071,P2071+1)</f>
        <v>1480</v>
      </c>
      <c r="Q2072">
        <f>IF(OR(calendar[[#This Row],[FR_BH]]=1,calendar[[#This Row],[WeekDay]]=1, calendar[[#This Row],[WeekDay]]=7),P2071,P2071+1)</f>
        <v>1480</v>
      </c>
      <c r="R2072">
        <f>IF(OR(calendar[[#This Row],[SP_BH]]=1,calendar[[#This Row],[WeekDay]]=1, calendar[[#This Row],[WeekDay]]=7),P2071,P2071+1)</f>
        <v>1480</v>
      </c>
      <c r="S2072">
        <f>IF(OR(calendar[[#This Row],[PT_BH]]=1,calendar[[#This Row],[WeekDay]]=1, calendar[[#This Row],[WeekDay]]=7),P2071,P2071+1)</f>
        <v>1480</v>
      </c>
    </row>
    <row r="2073" spans="1:19" x14ac:dyDescent="0.25">
      <c r="A2073" s="2">
        <v>44807</v>
      </c>
      <c r="B2073" s="1">
        <f t="shared" si="163"/>
        <v>36</v>
      </c>
      <c r="C2073">
        <f t="shared" si="165"/>
        <v>9</v>
      </c>
      <c r="D2073" t="str">
        <f t="shared" si="166"/>
        <v>September</v>
      </c>
      <c r="E2073">
        <f t="shared" si="167"/>
        <v>2022</v>
      </c>
      <c r="F2073" t="str">
        <f>CONCATENATE(calendar[[#This Row],[Month]],"/",calendar[[#This Row],[Year]])</f>
        <v>9/2022</v>
      </c>
      <c r="G2073">
        <f>WEEKDAY(calendar[[#This Row],[Date]],1)</f>
        <v>7</v>
      </c>
      <c r="H2073" t="str">
        <f>TEXT(calendar[[#This Row],[WeekDay]],"dddd")</f>
        <v>Saturday</v>
      </c>
      <c r="I2073">
        <f>IF((INT(calendar[[#This Row],[Count]]/7)-calendar[[#This Row],[Count]]/7)&lt;0,I2072,I2072+1)</f>
        <v>296</v>
      </c>
      <c r="J2073">
        <f t="shared" si="164"/>
        <v>2071</v>
      </c>
      <c r="K2073">
        <f>IF(calendar[[#This Row],[Month]]&lt;4,1,IF(calendar[[#This Row],[Month]]&lt;7,2,IF(calendar[[#This Row],[Month]]&lt;10,3,4)))</f>
        <v>3</v>
      </c>
      <c r="L2073">
        <f>IFERROR(IF(VLOOKUP(calendar[[#This Row],[Date]],BH!A:A,1,)&lt;&gt;"",1,0),0)</f>
        <v>0</v>
      </c>
      <c r="M2073">
        <f>IFERROR(IF(VLOOKUP(calendar[[#This Row],[Date]],BH!C:C,1,)&lt;&gt;"",1,0),0)</f>
        <v>0</v>
      </c>
      <c r="N2073">
        <f>IFERROR(IF(VLOOKUP(calendar[[#This Row],[Date]],BH!E:E,1,)&lt;&gt;"",1,0),0)</f>
        <v>0</v>
      </c>
      <c r="O2073">
        <f>IFERROR(IF(VLOOKUP(calendar[[#This Row],[Date]],BH!G:G,1,)&lt;&gt;"",1,0),0)</f>
        <v>0</v>
      </c>
      <c r="P2073">
        <f>IF(OR(calendar[[#This Row],[UK_BH]]=1,calendar[[#This Row],[WeekDay]]=1, calendar[[#This Row],[WeekDay]]=7),P2072,P2072+1)</f>
        <v>1480</v>
      </c>
      <c r="Q2073">
        <f>IF(OR(calendar[[#This Row],[FR_BH]]=1,calendar[[#This Row],[WeekDay]]=1, calendar[[#This Row],[WeekDay]]=7),P2072,P2072+1)</f>
        <v>1480</v>
      </c>
      <c r="R2073">
        <f>IF(OR(calendar[[#This Row],[SP_BH]]=1,calendar[[#This Row],[WeekDay]]=1, calendar[[#This Row],[WeekDay]]=7),P2072,P2072+1)</f>
        <v>1480</v>
      </c>
      <c r="S2073">
        <f>IF(OR(calendar[[#This Row],[PT_BH]]=1,calendar[[#This Row],[WeekDay]]=1, calendar[[#This Row],[WeekDay]]=7),P2072,P2072+1)</f>
        <v>1480</v>
      </c>
    </row>
    <row r="2074" spans="1:19" x14ac:dyDescent="0.25">
      <c r="A2074" s="2">
        <v>44808</v>
      </c>
      <c r="B2074" s="1">
        <f t="shared" si="163"/>
        <v>37</v>
      </c>
      <c r="C2074">
        <f t="shared" si="165"/>
        <v>9</v>
      </c>
      <c r="D2074" t="str">
        <f t="shared" si="166"/>
        <v>September</v>
      </c>
      <c r="E2074">
        <f t="shared" si="167"/>
        <v>2022</v>
      </c>
      <c r="F2074" t="str">
        <f>CONCATENATE(calendar[[#This Row],[Month]],"/",calendar[[#This Row],[Year]])</f>
        <v>9/2022</v>
      </c>
      <c r="G2074">
        <f>WEEKDAY(calendar[[#This Row],[Date]],1)</f>
        <v>1</v>
      </c>
      <c r="H2074" t="str">
        <f>TEXT(calendar[[#This Row],[WeekDay]],"dddd")</f>
        <v>Sunday</v>
      </c>
      <c r="I2074">
        <f>IF((INT(calendar[[#This Row],[Count]]/7)-calendar[[#This Row],[Count]]/7)&lt;0,I2073,I2073+1)</f>
        <v>297</v>
      </c>
      <c r="J2074">
        <f t="shared" si="164"/>
        <v>2072</v>
      </c>
      <c r="K2074">
        <f>IF(calendar[[#This Row],[Month]]&lt;4,1,IF(calendar[[#This Row],[Month]]&lt;7,2,IF(calendar[[#This Row],[Month]]&lt;10,3,4)))</f>
        <v>3</v>
      </c>
      <c r="L2074">
        <f>IFERROR(IF(VLOOKUP(calendar[[#This Row],[Date]],BH!A:A,1,)&lt;&gt;"",1,0),0)</f>
        <v>0</v>
      </c>
      <c r="M2074">
        <f>IFERROR(IF(VLOOKUP(calendar[[#This Row],[Date]],BH!C:C,1,)&lt;&gt;"",1,0),0)</f>
        <v>0</v>
      </c>
      <c r="N2074">
        <f>IFERROR(IF(VLOOKUP(calendar[[#This Row],[Date]],BH!E:E,1,)&lt;&gt;"",1,0),0)</f>
        <v>0</v>
      </c>
      <c r="O2074">
        <f>IFERROR(IF(VLOOKUP(calendar[[#This Row],[Date]],BH!G:G,1,)&lt;&gt;"",1,0),0)</f>
        <v>0</v>
      </c>
      <c r="P2074">
        <f>IF(OR(calendar[[#This Row],[UK_BH]]=1,calendar[[#This Row],[WeekDay]]=1, calendar[[#This Row],[WeekDay]]=7),P2073,P2073+1)</f>
        <v>1480</v>
      </c>
      <c r="Q2074">
        <f>IF(OR(calendar[[#This Row],[FR_BH]]=1,calendar[[#This Row],[WeekDay]]=1, calendar[[#This Row],[WeekDay]]=7),P2073,P2073+1)</f>
        <v>1480</v>
      </c>
      <c r="R2074">
        <f>IF(OR(calendar[[#This Row],[SP_BH]]=1,calendar[[#This Row],[WeekDay]]=1, calendar[[#This Row],[WeekDay]]=7),P2073,P2073+1)</f>
        <v>1480</v>
      </c>
      <c r="S2074">
        <f>IF(OR(calendar[[#This Row],[PT_BH]]=1,calendar[[#This Row],[WeekDay]]=1, calendar[[#This Row],[WeekDay]]=7),P2073,P2073+1)</f>
        <v>1480</v>
      </c>
    </row>
    <row r="2075" spans="1:19" x14ac:dyDescent="0.25">
      <c r="A2075" s="2">
        <v>44809</v>
      </c>
      <c r="B2075" s="1">
        <f t="shared" si="163"/>
        <v>37</v>
      </c>
      <c r="C2075">
        <f t="shared" si="165"/>
        <v>9</v>
      </c>
      <c r="D2075" t="str">
        <f t="shared" si="166"/>
        <v>September</v>
      </c>
      <c r="E2075">
        <f t="shared" si="167"/>
        <v>2022</v>
      </c>
      <c r="F2075" t="str">
        <f>CONCATENATE(calendar[[#This Row],[Month]],"/",calendar[[#This Row],[Year]])</f>
        <v>9/2022</v>
      </c>
      <c r="G2075">
        <f>WEEKDAY(calendar[[#This Row],[Date]],1)</f>
        <v>2</v>
      </c>
      <c r="H2075" t="str">
        <f>TEXT(calendar[[#This Row],[WeekDay]],"dddd")</f>
        <v>Monday</v>
      </c>
      <c r="I2075">
        <f>IF((INT(calendar[[#This Row],[Count]]/7)-calendar[[#This Row],[Count]]/7)&lt;0,I2074,I2074+1)</f>
        <v>297</v>
      </c>
      <c r="J2075">
        <f t="shared" si="164"/>
        <v>2073</v>
      </c>
      <c r="K2075">
        <f>IF(calendar[[#This Row],[Month]]&lt;4,1,IF(calendar[[#This Row],[Month]]&lt;7,2,IF(calendar[[#This Row],[Month]]&lt;10,3,4)))</f>
        <v>3</v>
      </c>
      <c r="L2075">
        <f>IFERROR(IF(VLOOKUP(calendar[[#This Row],[Date]],BH!A:A,1,)&lt;&gt;"",1,0),0)</f>
        <v>0</v>
      </c>
      <c r="M2075">
        <f>IFERROR(IF(VLOOKUP(calendar[[#This Row],[Date]],BH!C:C,1,)&lt;&gt;"",1,0),0)</f>
        <v>0</v>
      </c>
      <c r="N2075">
        <f>IFERROR(IF(VLOOKUP(calendar[[#This Row],[Date]],BH!E:E,1,)&lt;&gt;"",1,0),0)</f>
        <v>0</v>
      </c>
      <c r="O2075">
        <f>IFERROR(IF(VLOOKUP(calendar[[#This Row],[Date]],BH!G:G,1,)&lt;&gt;"",1,0),0)</f>
        <v>0</v>
      </c>
      <c r="P2075">
        <f>IF(OR(calendar[[#This Row],[UK_BH]]=1,calendar[[#This Row],[WeekDay]]=1, calendar[[#This Row],[WeekDay]]=7),P2074,P2074+1)</f>
        <v>1481</v>
      </c>
      <c r="Q2075">
        <f>IF(OR(calendar[[#This Row],[FR_BH]]=1,calendar[[#This Row],[WeekDay]]=1, calendar[[#This Row],[WeekDay]]=7),P2074,P2074+1)</f>
        <v>1481</v>
      </c>
      <c r="R2075">
        <f>IF(OR(calendar[[#This Row],[SP_BH]]=1,calendar[[#This Row],[WeekDay]]=1, calendar[[#This Row],[WeekDay]]=7),P2074,P2074+1)</f>
        <v>1481</v>
      </c>
      <c r="S2075">
        <f>IF(OR(calendar[[#This Row],[PT_BH]]=1,calendar[[#This Row],[WeekDay]]=1, calendar[[#This Row],[WeekDay]]=7),P2074,P2074+1)</f>
        <v>1481</v>
      </c>
    </row>
    <row r="2076" spans="1:19" x14ac:dyDescent="0.25">
      <c r="A2076" s="2">
        <v>44810</v>
      </c>
      <c r="B2076" s="1">
        <f t="shared" si="163"/>
        <v>37</v>
      </c>
      <c r="C2076">
        <f t="shared" si="165"/>
        <v>9</v>
      </c>
      <c r="D2076" t="str">
        <f t="shared" si="166"/>
        <v>September</v>
      </c>
      <c r="E2076">
        <f t="shared" si="167"/>
        <v>2022</v>
      </c>
      <c r="F2076" t="str">
        <f>CONCATENATE(calendar[[#This Row],[Month]],"/",calendar[[#This Row],[Year]])</f>
        <v>9/2022</v>
      </c>
      <c r="G2076">
        <f>WEEKDAY(calendar[[#This Row],[Date]],1)</f>
        <v>3</v>
      </c>
      <c r="H2076" t="str">
        <f>TEXT(calendar[[#This Row],[WeekDay]],"dddd")</f>
        <v>Tuesday</v>
      </c>
      <c r="I2076">
        <f>IF((INT(calendar[[#This Row],[Count]]/7)-calendar[[#This Row],[Count]]/7)&lt;0,I2075,I2075+1)</f>
        <v>297</v>
      </c>
      <c r="J2076">
        <f t="shared" si="164"/>
        <v>2074</v>
      </c>
      <c r="K2076">
        <f>IF(calendar[[#This Row],[Month]]&lt;4,1,IF(calendar[[#This Row],[Month]]&lt;7,2,IF(calendar[[#This Row],[Month]]&lt;10,3,4)))</f>
        <v>3</v>
      </c>
      <c r="L2076">
        <f>IFERROR(IF(VLOOKUP(calendar[[#This Row],[Date]],BH!A:A,1,)&lt;&gt;"",1,0),0)</f>
        <v>0</v>
      </c>
      <c r="M2076">
        <f>IFERROR(IF(VLOOKUP(calendar[[#This Row],[Date]],BH!C:C,1,)&lt;&gt;"",1,0),0)</f>
        <v>0</v>
      </c>
      <c r="N2076">
        <f>IFERROR(IF(VLOOKUP(calendar[[#This Row],[Date]],BH!E:E,1,)&lt;&gt;"",1,0),0)</f>
        <v>0</v>
      </c>
      <c r="O2076">
        <f>IFERROR(IF(VLOOKUP(calendar[[#This Row],[Date]],BH!G:G,1,)&lt;&gt;"",1,0),0)</f>
        <v>0</v>
      </c>
      <c r="P2076">
        <f>IF(OR(calendar[[#This Row],[UK_BH]]=1,calendar[[#This Row],[WeekDay]]=1, calendar[[#This Row],[WeekDay]]=7),P2075,P2075+1)</f>
        <v>1482</v>
      </c>
      <c r="Q2076">
        <f>IF(OR(calendar[[#This Row],[FR_BH]]=1,calendar[[#This Row],[WeekDay]]=1, calendar[[#This Row],[WeekDay]]=7),P2075,P2075+1)</f>
        <v>1482</v>
      </c>
      <c r="R2076">
        <f>IF(OR(calendar[[#This Row],[SP_BH]]=1,calendar[[#This Row],[WeekDay]]=1, calendar[[#This Row],[WeekDay]]=7),P2075,P2075+1)</f>
        <v>1482</v>
      </c>
      <c r="S2076">
        <f>IF(OR(calendar[[#This Row],[PT_BH]]=1,calendar[[#This Row],[WeekDay]]=1, calendar[[#This Row],[WeekDay]]=7),P2075,P2075+1)</f>
        <v>1482</v>
      </c>
    </row>
    <row r="2077" spans="1:19" x14ac:dyDescent="0.25">
      <c r="A2077" s="2">
        <v>44811</v>
      </c>
      <c r="B2077" s="1">
        <f t="shared" si="163"/>
        <v>37</v>
      </c>
      <c r="C2077">
        <f t="shared" si="165"/>
        <v>9</v>
      </c>
      <c r="D2077" t="str">
        <f t="shared" si="166"/>
        <v>September</v>
      </c>
      <c r="E2077">
        <f t="shared" si="167"/>
        <v>2022</v>
      </c>
      <c r="F2077" t="str">
        <f>CONCATENATE(calendar[[#This Row],[Month]],"/",calendar[[#This Row],[Year]])</f>
        <v>9/2022</v>
      </c>
      <c r="G2077">
        <f>WEEKDAY(calendar[[#This Row],[Date]],1)</f>
        <v>4</v>
      </c>
      <c r="H2077" t="str">
        <f>TEXT(calendar[[#This Row],[WeekDay]],"dddd")</f>
        <v>Wednesday</v>
      </c>
      <c r="I2077">
        <f>IF((INT(calendar[[#This Row],[Count]]/7)-calendar[[#This Row],[Count]]/7)&lt;0,I2076,I2076+1)</f>
        <v>297</v>
      </c>
      <c r="J2077">
        <f t="shared" si="164"/>
        <v>2075</v>
      </c>
      <c r="K2077">
        <f>IF(calendar[[#This Row],[Month]]&lt;4,1,IF(calendar[[#This Row],[Month]]&lt;7,2,IF(calendar[[#This Row],[Month]]&lt;10,3,4)))</f>
        <v>3</v>
      </c>
      <c r="L2077">
        <f>IFERROR(IF(VLOOKUP(calendar[[#This Row],[Date]],BH!A:A,1,)&lt;&gt;"",1,0),0)</f>
        <v>0</v>
      </c>
      <c r="M2077">
        <f>IFERROR(IF(VLOOKUP(calendar[[#This Row],[Date]],BH!C:C,1,)&lt;&gt;"",1,0),0)</f>
        <v>0</v>
      </c>
      <c r="N2077">
        <f>IFERROR(IF(VLOOKUP(calendar[[#This Row],[Date]],BH!E:E,1,)&lt;&gt;"",1,0),0)</f>
        <v>0</v>
      </c>
      <c r="O2077">
        <f>IFERROR(IF(VLOOKUP(calendar[[#This Row],[Date]],BH!G:G,1,)&lt;&gt;"",1,0),0)</f>
        <v>0</v>
      </c>
      <c r="P2077">
        <f>IF(OR(calendar[[#This Row],[UK_BH]]=1,calendar[[#This Row],[WeekDay]]=1, calendar[[#This Row],[WeekDay]]=7),P2076,P2076+1)</f>
        <v>1483</v>
      </c>
      <c r="Q2077">
        <f>IF(OR(calendar[[#This Row],[FR_BH]]=1,calendar[[#This Row],[WeekDay]]=1, calendar[[#This Row],[WeekDay]]=7),P2076,P2076+1)</f>
        <v>1483</v>
      </c>
      <c r="R2077">
        <f>IF(OR(calendar[[#This Row],[SP_BH]]=1,calendar[[#This Row],[WeekDay]]=1, calendar[[#This Row],[WeekDay]]=7),P2076,P2076+1)</f>
        <v>1483</v>
      </c>
      <c r="S2077">
        <f>IF(OR(calendar[[#This Row],[PT_BH]]=1,calendar[[#This Row],[WeekDay]]=1, calendar[[#This Row],[WeekDay]]=7),P2076,P2076+1)</f>
        <v>1483</v>
      </c>
    </row>
    <row r="2078" spans="1:19" x14ac:dyDescent="0.25">
      <c r="A2078" s="2">
        <v>44812</v>
      </c>
      <c r="B2078" s="1">
        <f t="shared" si="163"/>
        <v>37</v>
      </c>
      <c r="C2078">
        <f t="shared" si="165"/>
        <v>9</v>
      </c>
      <c r="D2078" t="str">
        <f t="shared" si="166"/>
        <v>September</v>
      </c>
      <c r="E2078">
        <f t="shared" si="167"/>
        <v>2022</v>
      </c>
      <c r="F2078" t="str">
        <f>CONCATENATE(calendar[[#This Row],[Month]],"/",calendar[[#This Row],[Year]])</f>
        <v>9/2022</v>
      </c>
      <c r="G2078">
        <f>WEEKDAY(calendar[[#This Row],[Date]],1)</f>
        <v>5</v>
      </c>
      <c r="H2078" t="str">
        <f>TEXT(calendar[[#This Row],[WeekDay]],"dddd")</f>
        <v>Thursday</v>
      </c>
      <c r="I2078">
        <f>IF((INT(calendar[[#This Row],[Count]]/7)-calendar[[#This Row],[Count]]/7)&lt;0,I2077,I2077+1)</f>
        <v>297</v>
      </c>
      <c r="J2078">
        <f t="shared" si="164"/>
        <v>2076</v>
      </c>
      <c r="K2078">
        <f>IF(calendar[[#This Row],[Month]]&lt;4,1,IF(calendar[[#This Row],[Month]]&lt;7,2,IF(calendar[[#This Row],[Month]]&lt;10,3,4)))</f>
        <v>3</v>
      </c>
      <c r="L2078">
        <f>IFERROR(IF(VLOOKUP(calendar[[#This Row],[Date]],BH!A:A,1,)&lt;&gt;"",1,0),0)</f>
        <v>0</v>
      </c>
      <c r="M2078">
        <f>IFERROR(IF(VLOOKUP(calendar[[#This Row],[Date]],BH!C:C,1,)&lt;&gt;"",1,0),0)</f>
        <v>0</v>
      </c>
      <c r="N2078">
        <f>IFERROR(IF(VLOOKUP(calendar[[#This Row],[Date]],BH!E:E,1,)&lt;&gt;"",1,0),0)</f>
        <v>0</v>
      </c>
      <c r="O2078">
        <f>IFERROR(IF(VLOOKUP(calendar[[#This Row],[Date]],BH!G:G,1,)&lt;&gt;"",1,0),0)</f>
        <v>0</v>
      </c>
      <c r="P2078">
        <f>IF(OR(calendar[[#This Row],[UK_BH]]=1,calendar[[#This Row],[WeekDay]]=1, calendar[[#This Row],[WeekDay]]=7),P2077,P2077+1)</f>
        <v>1484</v>
      </c>
      <c r="Q2078">
        <f>IF(OR(calendar[[#This Row],[FR_BH]]=1,calendar[[#This Row],[WeekDay]]=1, calendar[[#This Row],[WeekDay]]=7),P2077,P2077+1)</f>
        <v>1484</v>
      </c>
      <c r="R2078">
        <f>IF(OR(calendar[[#This Row],[SP_BH]]=1,calendar[[#This Row],[WeekDay]]=1, calendar[[#This Row],[WeekDay]]=7),P2077,P2077+1)</f>
        <v>1484</v>
      </c>
      <c r="S2078">
        <f>IF(OR(calendar[[#This Row],[PT_BH]]=1,calendar[[#This Row],[WeekDay]]=1, calendar[[#This Row],[WeekDay]]=7),P2077,P2077+1)</f>
        <v>1484</v>
      </c>
    </row>
    <row r="2079" spans="1:19" x14ac:dyDescent="0.25">
      <c r="A2079" s="2">
        <v>44813</v>
      </c>
      <c r="B2079" s="1">
        <f t="shared" si="163"/>
        <v>37</v>
      </c>
      <c r="C2079">
        <f t="shared" si="165"/>
        <v>9</v>
      </c>
      <c r="D2079" t="str">
        <f t="shared" si="166"/>
        <v>September</v>
      </c>
      <c r="E2079">
        <f t="shared" si="167"/>
        <v>2022</v>
      </c>
      <c r="F2079" t="str">
        <f>CONCATENATE(calendar[[#This Row],[Month]],"/",calendar[[#This Row],[Year]])</f>
        <v>9/2022</v>
      </c>
      <c r="G2079">
        <f>WEEKDAY(calendar[[#This Row],[Date]],1)</f>
        <v>6</v>
      </c>
      <c r="H2079" t="str">
        <f>TEXT(calendar[[#This Row],[WeekDay]],"dddd")</f>
        <v>Friday</v>
      </c>
      <c r="I2079">
        <f>IF((INT(calendar[[#This Row],[Count]]/7)-calendar[[#This Row],[Count]]/7)&lt;0,I2078,I2078+1)</f>
        <v>297</v>
      </c>
      <c r="J2079">
        <f t="shared" si="164"/>
        <v>2077</v>
      </c>
      <c r="K2079">
        <f>IF(calendar[[#This Row],[Month]]&lt;4,1,IF(calendar[[#This Row],[Month]]&lt;7,2,IF(calendar[[#This Row],[Month]]&lt;10,3,4)))</f>
        <v>3</v>
      </c>
      <c r="L2079">
        <f>IFERROR(IF(VLOOKUP(calendar[[#This Row],[Date]],BH!A:A,1,)&lt;&gt;"",1,0),0)</f>
        <v>0</v>
      </c>
      <c r="M2079">
        <f>IFERROR(IF(VLOOKUP(calendar[[#This Row],[Date]],BH!C:C,1,)&lt;&gt;"",1,0),0)</f>
        <v>0</v>
      </c>
      <c r="N2079">
        <f>IFERROR(IF(VLOOKUP(calendar[[#This Row],[Date]],BH!E:E,1,)&lt;&gt;"",1,0),0)</f>
        <v>0</v>
      </c>
      <c r="O2079">
        <f>IFERROR(IF(VLOOKUP(calendar[[#This Row],[Date]],BH!G:G,1,)&lt;&gt;"",1,0),0)</f>
        <v>0</v>
      </c>
      <c r="P2079">
        <f>IF(OR(calendar[[#This Row],[UK_BH]]=1,calendar[[#This Row],[WeekDay]]=1, calendar[[#This Row],[WeekDay]]=7),P2078,P2078+1)</f>
        <v>1485</v>
      </c>
      <c r="Q2079">
        <f>IF(OR(calendar[[#This Row],[FR_BH]]=1,calendar[[#This Row],[WeekDay]]=1, calendar[[#This Row],[WeekDay]]=7),P2078,P2078+1)</f>
        <v>1485</v>
      </c>
      <c r="R2079">
        <f>IF(OR(calendar[[#This Row],[SP_BH]]=1,calendar[[#This Row],[WeekDay]]=1, calendar[[#This Row],[WeekDay]]=7),P2078,P2078+1)</f>
        <v>1485</v>
      </c>
      <c r="S2079">
        <f>IF(OR(calendar[[#This Row],[PT_BH]]=1,calendar[[#This Row],[WeekDay]]=1, calendar[[#This Row],[WeekDay]]=7),P2078,P2078+1)</f>
        <v>1485</v>
      </c>
    </row>
    <row r="2080" spans="1:19" x14ac:dyDescent="0.25">
      <c r="A2080" s="2">
        <v>44814</v>
      </c>
      <c r="B2080" s="1">
        <f t="shared" si="163"/>
        <v>37</v>
      </c>
      <c r="C2080">
        <f t="shared" si="165"/>
        <v>9</v>
      </c>
      <c r="D2080" t="str">
        <f t="shared" si="166"/>
        <v>September</v>
      </c>
      <c r="E2080">
        <f t="shared" si="167"/>
        <v>2022</v>
      </c>
      <c r="F2080" t="str">
        <f>CONCATENATE(calendar[[#This Row],[Month]],"/",calendar[[#This Row],[Year]])</f>
        <v>9/2022</v>
      </c>
      <c r="G2080">
        <f>WEEKDAY(calendar[[#This Row],[Date]],1)</f>
        <v>7</v>
      </c>
      <c r="H2080" t="str">
        <f>TEXT(calendar[[#This Row],[WeekDay]],"dddd")</f>
        <v>Saturday</v>
      </c>
      <c r="I2080">
        <f>IF((INT(calendar[[#This Row],[Count]]/7)-calendar[[#This Row],[Count]]/7)&lt;0,I2079,I2079+1)</f>
        <v>297</v>
      </c>
      <c r="J2080">
        <f t="shared" si="164"/>
        <v>2078</v>
      </c>
      <c r="K2080">
        <f>IF(calendar[[#This Row],[Month]]&lt;4,1,IF(calendar[[#This Row],[Month]]&lt;7,2,IF(calendar[[#This Row],[Month]]&lt;10,3,4)))</f>
        <v>3</v>
      </c>
      <c r="L2080">
        <f>IFERROR(IF(VLOOKUP(calendar[[#This Row],[Date]],BH!A:A,1,)&lt;&gt;"",1,0),0)</f>
        <v>0</v>
      </c>
      <c r="M2080">
        <f>IFERROR(IF(VLOOKUP(calendar[[#This Row],[Date]],BH!C:C,1,)&lt;&gt;"",1,0),0)</f>
        <v>0</v>
      </c>
      <c r="N2080">
        <f>IFERROR(IF(VLOOKUP(calendar[[#This Row],[Date]],BH!E:E,1,)&lt;&gt;"",1,0),0)</f>
        <v>0</v>
      </c>
      <c r="O2080">
        <f>IFERROR(IF(VLOOKUP(calendar[[#This Row],[Date]],BH!G:G,1,)&lt;&gt;"",1,0),0)</f>
        <v>0</v>
      </c>
      <c r="P2080">
        <f>IF(OR(calendar[[#This Row],[UK_BH]]=1,calendar[[#This Row],[WeekDay]]=1, calendar[[#This Row],[WeekDay]]=7),P2079,P2079+1)</f>
        <v>1485</v>
      </c>
      <c r="Q2080">
        <f>IF(OR(calendar[[#This Row],[FR_BH]]=1,calendar[[#This Row],[WeekDay]]=1, calendar[[#This Row],[WeekDay]]=7),P2079,P2079+1)</f>
        <v>1485</v>
      </c>
      <c r="R2080">
        <f>IF(OR(calendar[[#This Row],[SP_BH]]=1,calendar[[#This Row],[WeekDay]]=1, calendar[[#This Row],[WeekDay]]=7),P2079,P2079+1)</f>
        <v>1485</v>
      </c>
      <c r="S2080">
        <f>IF(OR(calendar[[#This Row],[PT_BH]]=1,calendar[[#This Row],[WeekDay]]=1, calendar[[#This Row],[WeekDay]]=7),P2079,P2079+1)</f>
        <v>1485</v>
      </c>
    </row>
    <row r="2081" spans="1:19" x14ac:dyDescent="0.25">
      <c r="A2081" s="2">
        <v>44815</v>
      </c>
      <c r="B2081" s="1">
        <f t="shared" si="163"/>
        <v>38</v>
      </c>
      <c r="C2081">
        <f t="shared" si="165"/>
        <v>9</v>
      </c>
      <c r="D2081" t="str">
        <f t="shared" si="166"/>
        <v>September</v>
      </c>
      <c r="E2081">
        <f t="shared" si="167"/>
        <v>2022</v>
      </c>
      <c r="F2081" t="str">
        <f>CONCATENATE(calendar[[#This Row],[Month]],"/",calendar[[#This Row],[Year]])</f>
        <v>9/2022</v>
      </c>
      <c r="G2081">
        <f>WEEKDAY(calendar[[#This Row],[Date]],1)</f>
        <v>1</v>
      </c>
      <c r="H2081" t="str">
        <f>TEXT(calendar[[#This Row],[WeekDay]],"dddd")</f>
        <v>Sunday</v>
      </c>
      <c r="I2081">
        <f>IF((INT(calendar[[#This Row],[Count]]/7)-calendar[[#This Row],[Count]]/7)&lt;0,I2080,I2080+1)</f>
        <v>298</v>
      </c>
      <c r="J2081">
        <f t="shared" si="164"/>
        <v>2079</v>
      </c>
      <c r="K2081">
        <f>IF(calendar[[#This Row],[Month]]&lt;4,1,IF(calendar[[#This Row],[Month]]&lt;7,2,IF(calendar[[#This Row],[Month]]&lt;10,3,4)))</f>
        <v>3</v>
      </c>
      <c r="L2081">
        <f>IFERROR(IF(VLOOKUP(calendar[[#This Row],[Date]],BH!A:A,1,)&lt;&gt;"",1,0),0)</f>
        <v>0</v>
      </c>
      <c r="M2081">
        <f>IFERROR(IF(VLOOKUP(calendar[[#This Row],[Date]],BH!C:C,1,)&lt;&gt;"",1,0),0)</f>
        <v>0</v>
      </c>
      <c r="N2081">
        <f>IFERROR(IF(VLOOKUP(calendar[[#This Row],[Date]],BH!E:E,1,)&lt;&gt;"",1,0),0)</f>
        <v>0</v>
      </c>
      <c r="O2081">
        <f>IFERROR(IF(VLOOKUP(calendar[[#This Row],[Date]],BH!G:G,1,)&lt;&gt;"",1,0),0)</f>
        <v>0</v>
      </c>
      <c r="P2081">
        <f>IF(OR(calendar[[#This Row],[UK_BH]]=1,calendar[[#This Row],[WeekDay]]=1, calendar[[#This Row],[WeekDay]]=7),P2080,P2080+1)</f>
        <v>1485</v>
      </c>
      <c r="Q2081">
        <f>IF(OR(calendar[[#This Row],[FR_BH]]=1,calendar[[#This Row],[WeekDay]]=1, calendar[[#This Row],[WeekDay]]=7),P2080,P2080+1)</f>
        <v>1485</v>
      </c>
      <c r="R2081">
        <f>IF(OR(calendar[[#This Row],[SP_BH]]=1,calendar[[#This Row],[WeekDay]]=1, calendar[[#This Row],[WeekDay]]=7),P2080,P2080+1)</f>
        <v>1485</v>
      </c>
      <c r="S2081">
        <f>IF(OR(calendar[[#This Row],[PT_BH]]=1,calendar[[#This Row],[WeekDay]]=1, calendar[[#This Row],[WeekDay]]=7),P2080,P2080+1)</f>
        <v>1485</v>
      </c>
    </row>
    <row r="2082" spans="1:19" x14ac:dyDescent="0.25">
      <c r="A2082" s="2">
        <v>44816</v>
      </c>
      <c r="B2082" s="1">
        <f t="shared" si="163"/>
        <v>38</v>
      </c>
      <c r="C2082">
        <f t="shared" si="165"/>
        <v>9</v>
      </c>
      <c r="D2082" t="str">
        <f t="shared" si="166"/>
        <v>September</v>
      </c>
      <c r="E2082">
        <f t="shared" si="167"/>
        <v>2022</v>
      </c>
      <c r="F2082" t="str">
        <f>CONCATENATE(calendar[[#This Row],[Month]],"/",calendar[[#This Row],[Year]])</f>
        <v>9/2022</v>
      </c>
      <c r="G2082">
        <f>WEEKDAY(calendar[[#This Row],[Date]],1)</f>
        <v>2</v>
      </c>
      <c r="H2082" t="str">
        <f>TEXT(calendar[[#This Row],[WeekDay]],"dddd")</f>
        <v>Monday</v>
      </c>
      <c r="I2082">
        <f>IF((INT(calendar[[#This Row],[Count]]/7)-calendar[[#This Row],[Count]]/7)&lt;0,I2081,I2081+1)</f>
        <v>298</v>
      </c>
      <c r="J2082">
        <f t="shared" si="164"/>
        <v>2080</v>
      </c>
      <c r="K2082">
        <f>IF(calendar[[#This Row],[Month]]&lt;4,1,IF(calendar[[#This Row],[Month]]&lt;7,2,IF(calendar[[#This Row],[Month]]&lt;10,3,4)))</f>
        <v>3</v>
      </c>
      <c r="L2082">
        <f>IFERROR(IF(VLOOKUP(calendar[[#This Row],[Date]],BH!A:A,1,)&lt;&gt;"",1,0),0)</f>
        <v>0</v>
      </c>
      <c r="M2082">
        <f>IFERROR(IF(VLOOKUP(calendar[[#This Row],[Date]],BH!C:C,1,)&lt;&gt;"",1,0),0)</f>
        <v>0</v>
      </c>
      <c r="N2082">
        <f>IFERROR(IF(VLOOKUP(calendar[[#This Row],[Date]],BH!E:E,1,)&lt;&gt;"",1,0),0)</f>
        <v>0</v>
      </c>
      <c r="O2082">
        <f>IFERROR(IF(VLOOKUP(calendar[[#This Row],[Date]],BH!G:G,1,)&lt;&gt;"",1,0),0)</f>
        <v>0</v>
      </c>
      <c r="P2082">
        <f>IF(OR(calendar[[#This Row],[UK_BH]]=1,calendar[[#This Row],[WeekDay]]=1, calendar[[#This Row],[WeekDay]]=7),P2081,P2081+1)</f>
        <v>1486</v>
      </c>
      <c r="Q2082">
        <f>IF(OR(calendar[[#This Row],[FR_BH]]=1,calendar[[#This Row],[WeekDay]]=1, calendar[[#This Row],[WeekDay]]=7),P2081,P2081+1)</f>
        <v>1486</v>
      </c>
      <c r="R2082">
        <f>IF(OR(calendar[[#This Row],[SP_BH]]=1,calendar[[#This Row],[WeekDay]]=1, calendar[[#This Row],[WeekDay]]=7),P2081,P2081+1)</f>
        <v>1486</v>
      </c>
      <c r="S2082">
        <f>IF(OR(calendar[[#This Row],[PT_BH]]=1,calendar[[#This Row],[WeekDay]]=1, calendar[[#This Row],[WeekDay]]=7),P2081,P2081+1)</f>
        <v>1486</v>
      </c>
    </row>
    <row r="2083" spans="1:19" x14ac:dyDescent="0.25">
      <c r="A2083" s="2">
        <v>44817</v>
      </c>
      <c r="B2083" s="1">
        <f t="shared" si="163"/>
        <v>38</v>
      </c>
      <c r="C2083">
        <f t="shared" si="165"/>
        <v>9</v>
      </c>
      <c r="D2083" t="str">
        <f t="shared" si="166"/>
        <v>September</v>
      </c>
      <c r="E2083">
        <f t="shared" si="167"/>
        <v>2022</v>
      </c>
      <c r="F2083" t="str">
        <f>CONCATENATE(calendar[[#This Row],[Month]],"/",calendar[[#This Row],[Year]])</f>
        <v>9/2022</v>
      </c>
      <c r="G2083">
        <f>WEEKDAY(calendar[[#This Row],[Date]],1)</f>
        <v>3</v>
      </c>
      <c r="H2083" t="str">
        <f>TEXT(calendar[[#This Row],[WeekDay]],"dddd")</f>
        <v>Tuesday</v>
      </c>
      <c r="I2083">
        <f>IF((INT(calendar[[#This Row],[Count]]/7)-calendar[[#This Row],[Count]]/7)&lt;0,I2082,I2082+1)</f>
        <v>298</v>
      </c>
      <c r="J2083">
        <f t="shared" si="164"/>
        <v>2081</v>
      </c>
      <c r="K2083">
        <f>IF(calendar[[#This Row],[Month]]&lt;4,1,IF(calendar[[#This Row],[Month]]&lt;7,2,IF(calendar[[#This Row],[Month]]&lt;10,3,4)))</f>
        <v>3</v>
      </c>
      <c r="L2083">
        <f>IFERROR(IF(VLOOKUP(calendar[[#This Row],[Date]],BH!A:A,1,)&lt;&gt;"",1,0),0)</f>
        <v>0</v>
      </c>
      <c r="M2083">
        <f>IFERROR(IF(VLOOKUP(calendar[[#This Row],[Date]],BH!C:C,1,)&lt;&gt;"",1,0),0)</f>
        <v>0</v>
      </c>
      <c r="N2083">
        <f>IFERROR(IF(VLOOKUP(calendar[[#This Row],[Date]],BH!E:E,1,)&lt;&gt;"",1,0),0)</f>
        <v>0</v>
      </c>
      <c r="O2083">
        <f>IFERROR(IF(VLOOKUP(calendar[[#This Row],[Date]],BH!G:G,1,)&lt;&gt;"",1,0),0)</f>
        <v>0</v>
      </c>
      <c r="P2083">
        <f>IF(OR(calendar[[#This Row],[UK_BH]]=1,calendar[[#This Row],[WeekDay]]=1, calendar[[#This Row],[WeekDay]]=7),P2082,P2082+1)</f>
        <v>1487</v>
      </c>
      <c r="Q2083">
        <f>IF(OR(calendar[[#This Row],[FR_BH]]=1,calendar[[#This Row],[WeekDay]]=1, calendar[[#This Row],[WeekDay]]=7),P2082,P2082+1)</f>
        <v>1487</v>
      </c>
      <c r="R2083">
        <f>IF(OR(calendar[[#This Row],[SP_BH]]=1,calendar[[#This Row],[WeekDay]]=1, calendar[[#This Row],[WeekDay]]=7),P2082,P2082+1)</f>
        <v>1487</v>
      </c>
      <c r="S2083">
        <f>IF(OR(calendar[[#This Row],[PT_BH]]=1,calendar[[#This Row],[WeekDay]]=1, calendar[[#This Row],[WeekDay]]=7),P2082,P2082+1)</f>
        <v>1487</v>
      </c>
    </row>
    <row r="2084" spans="1:19" x14ac:dyDescent="0.25">
      <c r="A2084" s="2">
        <v>44818</v>
      </c>
      <c r="B2084" s="1">
        <f t="shared" si="163"/>
        <v>38</v>
      </c>
      <c r="C2084">
        <f t="shared" si="165"/>
        <v>9</v>
      </c>
      <c r="D2084" t="str">
        <f t="shared" si="166"/>
        <v>September</v>
      </c>
      <c r="E2084">
        <f t="shared" si="167"/>
        <v>2022</v>
      </c>
      <c r="F2084" t="str">
        <f>CONCATENATE(calendar[[#This Row],[Month]],"/",calendar[[#This Row],[Year]])</f>
        <v>9/2022</v>
      </c>
      <c r="G2084">
        <f>WEEKDAY(calendar[[#This Row],[Date]],1)</f>
        <v>4</v>
      </c>
      <c r="H2084" t="str">
        <f>TEXT(calendar[[#This Row],[WeekDay]],"dddd")</f>
        <v>Wednesday</v>
      </c>
      <c r="I2084">
        <f>IF((INT(calendar[[#This Row],[Count]]/7)-calendar[[#This Row],[Count]]/7)&lt;0,I2083,I2083+1)</f>
        <v>298</v>
      </c>
      <c r="J2084">
        <f t="shared" si="164"/>
        <v>2082</v>
      </c>
      <c r="K2084">
        <f>IF(calendar[[#This Row],[Month]]&lt;4,1,IF(calendar[[#This Row],[Month]]&lt;7,2,IF(calendar[[#This Row],[Month]]&lt;10,3,4)))</f>
        <v>3</v>
      </c>
      <c r="L2084">
        <f>IFERROR(IF(VLOOKUP(calendar[[#This Row],[Date]],BH!A:A,1,)&lt;&gt;"",1,0),0)</f>
        <v>0</v>
      </c>
      <c r="M2084">
        <f>IFERROR(IF(VLOOKUP(calendar[[#This Row],[Date]],BH!C:C,1,)&lt;&gt;"",1,0),0)</f>
        <v>0</v>
      </c>
      <c r="N2084">
        <f>IFERROR(IF(VLOOKUP(calendar[[#This Row],[Date]],BH!E:E,1,)&lt;&gt;"",1,0),0)</f>
        <v>0</v>
      </c>
      <c r="O2084">
        <f>IFERROR(IF(VLOOKUP(calendar[[#This Row],[Date]],BH!G:G,1,)&lt;&gt;"",1,0),0)</f>
        <v>0</v>
      </c>
      <c r="P2084">
        <f>IF(OR(calendar[[#This Row],[UK_BH]]=1,calendar[[#This Row],[WeekDay]]=1, calendar[[#This Row],[WeekDay]]=7),P2083,P2083+1)</f>
        <v>1488</v>
      </c>
      <c r="Q2084">
        <f>IF(OR(calendar[[#This Row],[FR_BH]]=1,calendar[[#This Row],[WeekDay]]=1, calendar[[#This Row],[WeekDay]]=7),P2083,P2083+1)</f>
        <v>1488</v>
      </c>
      <c r="R2084">
        <f>IF(OR(calendar[[#This Row],[SP_BH]]=1,calendar[[#This Row],[WeekDay]]=1, calendar[[#This Row],[WeekDay]]=7),P2083,P2083+1)</f>
        <v>1488</v>
      </c>
      <c r="S2084">
        <f>IF(OR(calendar[[#This Row],[PT_BH]]=1,calendar[[#This Row],[WeekDay]]=1, calendar[[#This Row],[WeekDay]]=7),P2083,P2083+1)</f>
        <v>1488</v>
      </c>
    </row>
    <row r="2085" spans="1:19" x14ac:dyDescent="0.25">
      <c r="A2085" s="2">
        <v>44819</v>
      </c>
      <c r="B2085" s="1">
        <f t="shared" si="163"/>
        <v>38</v>
      </c>
      <c r="C2085">
        <f t="shared" si="165"/>
        <v>9</v>
      </c>
      <c r="D2085" t="str">
        <f t="shared" si="166"/>
        <v>September</v>
      </c>
      <c r="E2085">
        <f t="shared" si="167"/>
        <v>2022</v>
      </c>
      <c r="F2085" t="str">
        <f>CONCATENATE(calendar[[#This Row],[Month]],"/",calendar[[#This Row],[Year]])</f>
        <v>9/2022</v>
      </c>
      <c r="G2085">
        <f>WEEKDAY(calendar[[#This Row],[Date]],1)</f>
        <v>5</v>
      </c>
      <c r="H2085" t="str">
        <f>TEXT(calendar[[#This Row],[WeekDay]],"dddd")</f>
        <v>Thursday</v>
      </c>
      <c r="I2085">
        <f>IF((INT(calendar[[#This Row],[Count]]/7)-calendar[[#This Row],[Count]]/7)&lt;0,I2084,I2084+1)</f>
        <v>298</v>
      </c>
      <c r="J2085">
        <f t="shared" si="164"/>
        <v>2083</v>
      </c>
      <c r="K2085">
        <f>IF(calendar[[#This Row],[Month]]&lt;4,1,IF(calendar[[#This Row],[Month]]&lt;7,2,IF(calendar[[#This Row],[Month]]&lt;10,3,4)))</f>
        <v>3</v>
      </c>
      <c r="L2085">
        <f>IFERROR(IF(VLOOKUP(calendar[[#This Row],[Date]],BH!A:A,1,)&lt;&gt;"",1,0),0)</f>
        <v>0</v>
      </c>
      <c r="M2085">
        <f>IFERROR(IF(VLOOKUP(calendar[[#This Row],[Date]],BH!C:C,1,)&lt;&gt;"",1,0),0)</f>
        <v>0</v>
      </c>
      <c r="N2085">
        <f>IFERROR(IF(VLOOKUP(calendar[[#This Row],[Date]],BH!E:E,1,)&lt;&gt;"",1,0),0)</f>
        <v>0</v>
      </c>
      <c r="O2085">
        <f>IFERROR(IF(VLOOKUP(calendar[[#This Row],[Date]],BH!G:G,1,)&lt;&gt;"",1,0),0)</f>
        <v>0</v>
      </c>
      <c r="P2085">
        <f>IF(OR(calendar[[#This Row],[UK_BH]]=1,calendar[[#This Row],[WeekDay]]=1, calendar[[#This Row],[WeekDay]]=7),P2084,P2084+1)</f>
        <v>1489</v>
      </c>
      <c r="Q2085">
        <f>IF(OR(calendar[[#This Row],[FR_BH]]=1,calendar[[#This Row],[WeekDay]]=1, calendar[[#This Row],[WeekDay]]=7),P2084,P2084+1)</f>
        <v>1489</v>
      </c>
      <c r="R2085">
        <f>IF(OR(calendar[[#This Row],[SP_BH]]=1,calendar[[#This Row],[WeekDay]]=1, calendar[[#This Row],[WeekDay]]=7),P2084,P2084+1)</f>
        <v>1489</v>
      </c>
      <c r="S2085">
        <f>IF(OR(calendar[[#This Row],[PT_BH]]=1,calendar[[#This Row],[WeekDay]]=1, calendar[[#This Row],[WeekDay]]=7),P2084,P2084+1)</f>
        <v>1489</v>
      </c>
    </row>
    <row r="2086" spans="1:19" x14ac:dyDescent="0.25">
      <c r="A2086" s="2">
        <v>44820</v>
      </c>
      <c r="B2086" s="1">
        <f t="shared" si="163"/>
        <v>38</v>
      </c>
      <c r="C2086">
        <f t="shared" si="165"/>
        <v>9</v>
      </c>
      <c r="D2086" t="str">
        <f t="shared" si="166"/>
        <v>September</v>
      </c>
      <c r="E2086">
        <f t="shared" si="167"/>
        <v>2022</v>
      </c>
      <c r="F2086" t="str">
        <f>CONCATENATE(calendar[[#This Row],[Month]],"/",calendar[[#This Row],[Year]])</f>
        <v>9/2022</v>
      </c>
      <c r="G2086">
        <f>WEEKDAY(calendar[[#This Row],[Date]],1)</f>
        <v>6</v>
      </c>
      <c r="H2086" t="str">
        <f>TEXT(calendar[[#This Row],[WeekDay]],"dddd")</f>
        <v>Friday</v>
      </c>
      <c r="I2086">
        <f>IF((INT(calendar[[#This Row],[Count]]/7)-calendar[[#This Row],[Count]]/7)&lt;0,I2085,I2085+1)</f>
        <v>298</v>
      </c>
      <c r="J2086">
        <f t="shared" si="164"/>
        <v>2084</v>
      </c>
      <c r="K2086">
        <f>IF(calendar[[#This Row],[Month]]&lt;4,1,IF(calendar[[#This Row],[Month]]&lt;7,2,IF(calendar[[#This Row],[Month]]&lt;10,3,4)))</f>
        <v>3</v>
      </c>
      <c r="L2086">
        <f>IFERROR(IF(VLOOKUP(calendar[[#This Row],[Date]],BH!A:A,1,)&lt;&gt;"",1,0),0)</f>
        <v>0</v>
      </c>
      <c r="M2086">
        <f>IFERROR(IF(VLOOKUP(calendar[[#This Row],[Date]],BH!C:C,1,)&lt;&gt;"",1,0),0)</f>
        <v>0</v>
      </c>
      <c r="N2086">
        <f>IFERROR(IF(VLOOKUP(calendar[[#This Row],[Date]],BH!E:E,1,)&lt;&gt;"",1,0),0)</f>
        <v>0</v>
      </c>
      <c r="O2086">
        <f>IFERROR(IF(VLOOKUP(calendar[[#This Row],[Date]],BH!G:G,1,)&lt;&gt;"",1,0),0)</f>
        <v>0</v>
      </c>
      <c r="P2086">
        <f>IF(OR(calendar[[#This Row],[UK_BH]]=1,calendar[[#This Row],[WeekDay]]=1, calendar[[#This Row],[WeekDay]]=7),P2085,P2085+1)</f>
        <v>1490</v>
      </c>
      <c r="Q2086">
        <f>IF(OR(calendar[[#This Row],[FR_BH]]=1,calendar[[#This Row],[WeekDay]]=1, calendar[[#This Row],[WeekDay]]=7),P2085,P2085+1)</f>
        <v>1490</v>
      </c>
      <c r="R2086">
        <f>IF(OR(calendar[[#This Row],[SP_BH]]=1,calendar[[#This Row],[WeekDay]]=1, calendar[[#This Row],[WeekDay]]=7),P2085,P2085+1)</f>
        <v>1490</v>
      </c>
      <c r="S2086">
        <f>IF(OR(calendar[[#This Row],[PT_BH]]=1,calendar[[#This Row],[WeekDay]]=1, calendar[[#This Row],[WeekDay]]=7),P2085,P2085+1)</f>
        <v>1490</v>
      </c>
    </row>
    <row r="2087" spans="1:19" x14ac:dyDescent="0.25">
      <c r="A2087" s="2">
        <v>44821</v>
      </c>
      <c r="B2087" s="1">
        <f t="shared" si="163"/>
        <v>38</v>
      </c>
      <c r="C2087">
        <f t="shared" si="165"/>
        <v>9</v>
      </c>
      <c r="D2087" t="str">
        <f t="shared" si="166"/>
        <v>September</v>
      </c>
      <c r="E2087">
        <f t="shared" si="167"/>
        <v>2022</v>
      </c>
      <c r="F2087" t="str">
        <f>CONCATENATE(calendar[[#This Row],[Month]],"/",calendar[[#This Row],[Year]])</f>
        <v>9/2022</v>
      </c>
      <c r="G2087">
        <f>WEEKDAY(calendar[[#This Row],[Date]],1)</f>
        <v>7</v>
      </c>
      <c r="H2087" t="str">
        <f>TEXT(calendar[[#This Row],[WeekDay]],"dddd")</f>
        <v>Saturday</v>
      </c>
      <c r="I2087">
        <f>IF((INT(calendar[[#This Row],[Count]]/7)-calendar[[#This Row],[Count]]/7)&lt;0,I2086,I2086+1)</f>
        <v>298</v>
      </c>
      <c r="J2087">
        <f t="shared" si="164"/>
        <v>2085</v>
      </c>
      <c r="K2087">
        <f>IF(calendar[[#This Row],[Month]]&lt;4,1,IF(calendar[[#This Row],[Month]]&lt;7,2,IF(calendar[[#This Row],[Month]]&lt;10,3,4)))</f>
        <v>3</v>
      </c>
      <c r="L2087">
        <f>IFERROR(IF(VLOOKUP(calendar[[#This Row],[Date]],BH!A:A,1,)&lt;&gt;"",1,0),0)</f>
        <v>0</v>
      </c>
      <c r="M2087">
        <f>IFERROR(IF(VLOOKUP(calendar[[#This Row],[Date]],BH!C:C,1,)&lt;&gt;"",1,0),0)</f>
        <v>0</v>
      </c>
      <c r="N2087">
        <f>IFERROR(IF(VLOOKUP(calendar[[#This Row],[Date]],BH!E:E,1,)&lt;&gt;"",1,0),0)</f>
        <v>0</v>
      </c>
      <c r="O2087">
        <f>IFERROR(IF(VLOOKUP(calendar[[#This Row],[Date]],BH!G:G,1,)&lt;&gt;"",1,0),0)</f>
        <v>0</v>
      </c>
      <c r="P2087">
        <f>IF(OR(calendar[[#This Row],[UK_BH]]=1,calendar[[#This Row],[WeekDay]]=1, calendar[[#This Row],[WeekDay]]=7),P2086,P2086+1)</f>
        <v>1490</v>
      </c>
      <c r="Q2087">
        <f>IF(OR(calendar[[#This Row],[FR_BH]]=1,calendar[[#This Row],[WeekDay]]=1, calendar[[#This Row],[WeekDay]]=7),P2086,P2086+1)</f>
        <v>1490</v>
      </c>
      <c r="R2087">
        <f>IF(OR(calendar[[#This Row],[SP_BH]]=1,calendar[[#This Row],[WeekDay]]=1, calendar[[#This Row],[WeekDay]]=7),P2086,P2086+1)</f>
        <v>1490</v>
      </c>
      <c r="S2087">
        <f>IF(OR(calendar[[#This Row],[PT_BH]]=1,calendar[[#This Row],[WeekDay]]=1, calendar[[#This Row],[WeekDay]]=7),P2086,P2086+1)</f>
        <v>1490</v>
      </c>
    </row>
    <row r="2088" spans="1:19" x14ac:dyDescent="0.25">
      <c r="A2088" s="2">
        <v>44822</v>
      </c>
      <c r="B2088" s="1">
        <f t="shared" si="163"/>
        <v>39</v>
      </c>
      <c r="C2088">
        <f t="shared" si="165"/>
        <v>9</v>
      </c>
      <c r="D2088" t="str">
        <f t="shared" si="166"/>
        <v>September</v>
      </c>
      <c r="E2088">
        <f t="shared" si="167"/>
        <v>2022</v>
      </c>
      <c r="F2088" t="str">
        <f>CONCATENATE(calendar[[#This Row],[Month]],"/",calendar[[#This Row],[Year]])</f>
        <v>9/2022</v>
      </c>
      <c r="G2088">
        <f>WEEKDAY(calendar[[#This Row],[Date]],1)</f>
        <v>1</v>
      </c>
      <c r="H2088" t="str">
        <f>TEXT(calendar[[#This Row],[WeekDay]],"dddd")</f>
        <v>Sunday</v>
      </c>
      <c r="I2088">
        <f>IF((INT(calendar[[#This Row],[Count]]/7)-calendar[[#This Row],[Count]]/7)&lt;0,I2087,I2087+1)</f>
        <v>299</v>
      </c>
      <c r="J2088">
        <f t="shared" si="164"/>
        <v>2086</v>
      </c>
      <c r="K2088">
        <f>IF(calendar[[#This Row],[Month]]&lt;4,1,IF(calendar[[#This Row],[Month]]&lt;7,2,IF(calendar[[#This Row],[Month]]&lt;10,3,4)))</f>
        <v>3</v>
      </c>
      <c r="L2088">
        <f>IFERROR(IF(VLOOKUP(calendar[[#This Row],[Date]],BH!A:A,1,)&lt;&gt;"",1,0),0)</f>
        <v>0</v>
      </c>
      <c r="M2088">
        <f>IFERROR(IF(VLOOKUP(calendar[[#This Row],[Date]],BH!C:C,1,)&lt;&gt;"",1,0),0)</f>
        <v>0</v>
      </c>
      <c r="N2088">
        <f>IFERROR(IF(VLOOKUP(calendar[[#This Row],[Date]],BH!E:E,1,)&lt;&gt;"",1,0),0)</f>
        <v>0</v>
      </c>
      <c r="O2088">
        <f>IFERROR(IF(VLOOKUP(calendar[[#This Row],[Date]],BH!G:G,1,)&lt;&gt;"",1,0),0)</f>
        <v>0</v>
      </c>
      <c r="P2088">
        <f>IF(OR(calendar[[#This Row],[UK_BH]]=1,calendar[[#This Row],[WeekDay]]=1, calendar[[#This Row],[WeekDay]]=7),P2087,P2087+1)</f>
        <v>1490</v>
      </c>
      <c r="Q2088">
        <f>IF(OR(calendar[[#This Row],[FR_BH]]=1,calendar[[#This Row],[WeekDay]]=1, calendar[[#This Row],[WeekDay]]=7),P2087,P2087+1)</f>
        <v>1490</v>
      </c>
      <c r="R2088">
        <f>IF(OR(calendar[[#This Row],[SP_BH]]=1,calendar[[#This Row],[WeekDay]]=1, calendar[[#This Row],[WeekDay]]=7),P2087,P2087+1)</f>
        <v>1490</v>
      </c>
      <c r="S2088">
        <f>IF(OR(calendar[[#This Row],[PT_BH]]=1,calendar[[#This Row],[WeekDay]]=1, calendar[[#This Row],[WeekDay]]=7),P2087,P2087+1)</f>
        <v>1490</v>
      </c>
    </row>
    <row r="2089" spans="1:19" x14ac:dyDescent="0.25">
      <c r="A2089" s="2">
        <v>44823</v>
      </c>
      <c r="B2089" s="1">
        <f t="shared" si="163"/>
        <v>39</v>
      </c>
      <c r="C2089">
        <f t="shared" si="165"/>
        <v>9</v>
      </c>
      <c r="D2089" t="str">
        <f t="shared" si="166"/>
        <v>September</v>
      </c>
      <c r="E2089">
        <f t="shared" si="167"/>
        <v>2022</v>
      </c>
      <c r="F2089" t="str">
        <f>CONCATENATE(calendar[[#This Row],[Month]],"/",calendar[[#This Row],[Year]])</f>
        <v>9/2022</v>
      </c>
      <c r="G2089">
        <f>WEEKDAY(calendar[[#This Row],[Date]],1)</f>
        <v>2</v>
      </c>
      <c r="H2089" t="str">
        <f>TEXT(calendar[[#This Row],[WeekDay]],"dddd")</f>
        <v>Monday</v>
      </c>
      <c r="I2089">
        <f>IF((INT(calendar[[#This Row],[Count]]/7)-calendar[[#This Row],[Count]]/7)&lt;0,I2088,I2088+1)</f>
        <v>299</v>
      </c>
      <c r="J2089">
        <f t="shared" si="164"/>
        <v>2087</v>
      </c>
      <c r="K2089">
        <f>IF(calendar[[#This Row],[Month]]&lt;4,1,IF(calendar[[#This Row],[Month]]&lt;7,2,IF(calendar[[#This Row],[Month]]&lt;10,3,4)))</f>
        <v>3</v>
      </c>
      <c r="L2089">
        <f>IFERROR(IF(VLOOKUP(calendar[[#This Row],[Date]],BH!A:A,1,)&lt;&gt;"",1,0),0)</f>
        <v>0</v>
      </c>
      <c r="M2089">
        <f>IFERROR(IF(VLOOKUP(calendar[[#This Row],[Date]],BH!C:C,1,)&lt;&gt;"",1,0),0)</f>
        <v>0</v>
      </c>
      <c r="N2089">
        <f>IFERROR(IF(VLOOKUP(calendar[[#This Row],[Date]],BH!E:E,1,)&lt;&gt;"",1,0),0)</f>
        <v>0</v>
      </c>
      <c r="O2089">
        <f>IFERROR(IF(VLOOKUP(calendar[[#This Row],[Date]],BH!G:G,1,)&lt;&gt;"",1,0),0)</f>
        <v>0</v>
      </c>
      <c r="P2089">
        <f>IF(OR(calendar[[#This Row],[UK_BH]]=1,calendar[[#This Row],[WeekDay]]=1, calendar[[#This Row],[WeekDay]]=7),P2088,P2088+1)</f>
        <v>1491</v>
      </c>
      <c r="Q2089">
        <f>IF(OR(calendar[[#This Row],[FR_BH]]=1,calendar[[#This Row],[WeekDay]]=1, calendar[[#This Row],[WeekDay]]=7),P2088,P2088+1)</f>
        <v>1491</v>
      </c>
      <c r="R2089">
        <f>IF(OR(calendar[[#This Row],[SP_BH]]=1,calendar[[#This Row],[WeekDay]]=1, calendar[[#This Row],[WeekDay]]=7),P2088,P2088+1)</f>
        <v>1491</v>
      </c>
      <c r="S2089">
        <f>IF(OR(calendar[[#This Row],[PT_BH]]=1,calendar[[#This Row],[WeekDay]]=1, calendar[[#This Row],[WeekDay]]=7),P2088,P2088+1)</f>
        <v>1491</v>
      </c>
    </row>
    <row r="2090" spans="1:19" x14ac:dyDescent="0.25">
      <c r="A2090" s="2">
        <v>44824</v>
      </c>
      <c r="B2090" s="1">
        <f t="shared" si="163"/>
        <v>39</v>
      </c>
      <c r="C2090">
        <f t="shared" si="165"/>
        <v>9</v>
      </c>
      <c r="D2090" t="str">
        <f t="shared" si="166"/>
        <v>September</v>
      </c>
      <c r="E2090">
        <f t="shared" si="167"/>
        <v>2022</v>
      </c>
      <c r="F2090" t="str">
        <f>CONCATENATE(calendar[[#This Row],[Month]],"/",calendar[[#This Row],[Year]])</f>
        <v>9/2022</v>
      </c>
      <c r="G2090">
        <f>WEEKDAY(calendar[[#This Row],[Date]],1)</f>
        <v>3</v>
      </c>
      <c r="H2090" t="str">
        <f>TEXT(calendar[[#This Row],[WeekDay]],"dddd")</f>
        <v>Tuesday</v>
      </c>
      <c r="I2090">
        <f>IF((INT(calendar[[#This Row],[Count]]/7)-calendar[[#This Row],[Count]]/7)&lt;0,I2089,I2089+1)</f>
        <v>299</v>
      </c>
      <c r="J2090">
        <f t="shared" si="164"/>
        <v>2088</v>
      </c>
      <c r="K2090">
        <f>IF(calendar[[#This Row],[Month]]&lt;4,1,IF(calendar[[#This Row],[Month]]&lt;7,2,IF(calendar[[#This Row],[Month]]&lt;10,3,4)))</f>
        <v>3</v>
      </c>
      <c r="L2090">
        <f>IFERROR(IF(VLOOKUP(calendar[[#This Row],[Date]],BH!A:A,1,)&lt;&gt;"",1,0),0)</f>
        <v>0</v>
      </c>
      <c r="M2090">
        <f>IFERROR(IF(VLOOKUP(calendar[[#This Row],[Date]],BH!C:C,1,)&lt;&gt;"",1,0),0)</f>
        <v>0</v>
      </c>
      <c r="N2090">
        <f>IFERROR(IF(VLOOKUP(calendar[[#This Row],[Date]],BH!E:E,1,)&lt;&gt;"",1,0),0)</f>
        <v>0</v>
      </c>
      <c r="O2090">
        <f>IFERROR(IF(VLOOKUP(calendar[[#This Row],[Date]],BH!G:G,1,)&lt;&gt;"",1,0),0)</f>
        <v>0</v>
      </c>
      <c r="P2090">
        <f>IF(OR(calendar[[#This Row],[UK_BH]]=1,calendar[[#This Row],[WeekDay]]=1, calendar[[#This Row],[WeekDay]]=7),P2089,P2089+1)</f>
        <v>1492</v>
      </c>
      <c r="Q2090">
        <f>IF(OR(calendar[[#This Row],[FR_BH]]=1,calendar[[#This Row],[WeekDay]]=1, calendar[[#This Row],[WeekDay]]=7),P2089,P2089+1)</f>
        <v>1492</v>
      </c>
      <c r="R2090">
        <f>IF(OR(calendar[[#This Row],[SP_BH]]=1,calendar[[#This Row],[WeekDay]]=1, calendar[[#This Row],[WeekDay]]=7),P2089,P2089+1)</f>
        <v>1492</v>
      </c>
      <c r="S2090">
        <f>IF(OR(calendar[[#This Row],[PT_BH]]=1,calendar[[#This Row],[WeekDay]]=1, calendar[[#This Row],[WeekDay]]=7),P2089,P2089+1)</f>
        <v>1492</v>
      </c>
    </row>
    <row r="2091" spans="1:19" x14ac:dyDescent="0.25">
      <c r="A2091" s="2">
        <v>44825</v>
      </c>
      <c r="B2091" s="1">
        <f t="shared" si="163"/>
        <v>39</v>
      </c>
      <c r="C2091">
        <f t="shared" si="165"/>
        <v>9</v>
      </c>
      <c r="D2091" t="str">
        <f t="shared" si="166"/>
        <v>September</v>
      </c>
      <c r="E2091">
        <f t="shared" si="167"/>
        <v>2022</v>
      </c>
      <c r="F2091" t="str">
        <f>CONCATENATE(calendar[[#This Row],[Month]],"/",calendar[[#This Row],[Year]])</f>
        <v>9/2022</v>
      </c>
      <c r="G2091">
        <f>WEEKDAY(calendar[[#This Row],[Date]],1)</f>
        <v>4</v>
      </c>
      <c r="H2091" t="str">
        <f>TEXT(calendar[[#This Row],[WeekDay]],"dddd")</f>
        <v>Wednesday</v>
      </c>
      <c r="I2091">
        <f>IF((INT(calendar[[#This Row],[Count]]/7)-calendar[[#This Row],[Count]]/7)&lt;0,I2090,I2090+1)</f>
        <v>299</v>
      </c>
      <c r="J2091">
        <f t="shared" si="164"/>
        <v>2089</v>
      </c>
      <c r="K2091">
        <f>IF(calendar[[#This Row],[Month]]&lt;4,1,IF(calendar[[#This Row],[Month]]&lt;7,2,IF(calendar[[#This Row],[Month]]&lt;10,3,4)))</f>
        <v>3</v>
      </c>
      <c r="L2091">
        <f>IFERROR(IF(VLOOKUP(calendar[[#This Row],[Date]],BH!A:A,1,)&lt;&gt;"",1,0),0)</f>
        <v>0</v>
      </c>
      <c r="M2091">
        <f>IFERROR(IF(VLOOKUP(calendar[[#This Row],[Date]],BH!C:C,1,)&lt;&gt;"",1,0),0)</f>
        <v>0</v>
      </c>
      <c r="N2091">
        <f>IFERROR(IF(VLOOKUP(calendar[[#This Row],[Date]],BH!E:E,1,)&lt;&gt;"",1,0),0)</f>
        <v>0</v>
      </c>
      <c r="O2091">
        <f>IFERROR(IF(VLOOKUP(calendar[[#This Row],[Date]],BH!G:G,1,)&lt;&gt;"",1,0),0)</f>
        <v>0</v>
      </c>
      <c r="P2091">
        <f>IF(OR(calendar[[#This Row],[UK_BH]]=1,calendar[[#This Row],[WeekDay]]=1, calendar[[#This Row],[WeekDay]]=7),P2090,P2090+1)</f>
        <v>1493</v>
      </c>
      <c r="Q2091">
        <f>IF(OR(calendar[[#This Row],[FR_BH]]=1,calendar[[#This Row],[WeekDay]]=1, calendar[[#This Row],[WeekDay]]=7),P2090,P2090+1)</f>
        <v>1493</v>
      </c>
      <c r="R2091">
        <f>IF(OR(calendar[[#This Row],[SP_BH]]=1,calendar[[#This Row],[WeekDay]]=1, calendar[[#This Row],[WeekDay]]=7),P2090,P2090+1)</f>
        <v>1493</v>
      </c>
      <c r="S2091">
        <f>IF(OR(calendar[[#This Row],[PT_BH]]=1,calendar[[#This Row],[WeekDay]]=1, calendar[[#This Row],[WeekDay]]=7),P2090,P2090+1)</f>
        <v>1493</v>
      </c>
    </row>
    <row r="2092" spans="1:19" x14ac:dyDescent="0.25">
      <c r="A2092" s="2">
        <v>44826</v>
      </c>
      <c r="B2092" s="1">
        <f t="shared" si="163"/>
        <v>39</v>
      </c>
      <c r="C2092">
        <f t="shared" si="165"/>
        <v>9</v>
      </c>
      <c r="D2092" t="str">
        <f t="shared" si="166"/>
        <v>September</v>
      </c>
      <c r="E2092">
        <f t="shared" si="167"/>
        <v>2022</v>
      </c>
      <c r="F2092" t="str">
        <f>CONCATENATE(calendar[[#This Row],[Month]],"/",calendar[[#This Row],[Year]])</f>
        <v>9/2022</v>
      </c>
      <c r="G2092">
        <f>WEEKDAY(calendar[[#This Row],[Date]],1)</f>
        <v>5</v>
      </c>
      <c r="H2092" t="str">
        <f>TEXT(calendar[[#This Row],[WeekDay]],"dddd")</f>
        <v>Thursday</v>
      </c>
      <c r="I2092">
        <f>IF((INT(calendar[[#This Row],[Count]]/7)-calendar[[#This Row],[Count]]/7)&lt;0,I2091,I2091+1)</f>
        <v>299</v>
      </c>
      <c r="J2092">
        <f t="shared" si="164"/>
        <v>2090</v>
      </c>
      <c r="K2092">
        <f>IF(calendar[[#This Row],[Month]]&lt;4,1,IF(calendar[[#This Row],[Month]]&lt;7,2,IF(calendar[[#This Row],[Month]]&lt;10,3,4)))</f>
        <v>3</v>
      </c>
      <c r="L2092">
        <f>IFERROR(IF(VLOOKUP(calendar[[#This Row],[Date]],BH!A:A,1,)&lt;&gt;"",1,0),0)</f>
        <v>0</v>
      </c>
      <c r="M2092">
        <f>IFERROR(IF(VLOOKUP(calendar[[#This Row],[Date]],BH!C:C,1,)&lt;&gt;"",1,0),0)</f>
        <v>0</v>
      </c>
      <c r="N2092">
        <f>IFERROR(IF(VLOOKUP(calendar[[#This Row],[Date]],BH!E:E,1,)&lt;&gt;"",1,0),0)</f>
        <v>0</v>
      </c>
      <c r="O2092">
        <f>IFERROR(IF(VLOOKUP(calendar[[#This Row],[Date]],BH!G:G,1,)&lt;&gt;"",1,0),0)</f>
        <v>0</v>
      </c>
      <c r="P2092">
        <f>IF(OR(calendar[[#This Row],[UK_BH]]=1,calendar[[#This Row],[WeekDay]]=1, calendar[[#This Row],[WeekDay]]=7),P2091,P2091+1)</f>
        <v>1494</v>
      </c>
      <c r="Q2092">
        <f>IF(OR(calendar[[#This Row],[FR_BH]]=1,calendar[[#This Row],[WeekDay]]=1, calendar[[#This Row],[WeekDay]]=7),P2091,P2091+1)</f>
        <v>1494</v>
      </c>
      <c r="R2092">
        <f>IF(OR(calendar[[#This Row],[SP_BH]]=1,calendar[[#This Row],[WeekDay]]=1, calendar[[#This Row],[WeekDay]]=7),P2091,P2091+1)</f>
        <v>1494</v>
      </c>
      <c r="S2092">
        <f>IF(OR(calendar[[#This Row],[PT_BH]]=1,calendar[[#This Row],[WeekDay]]=1, calendar[[#This Row],[WeekDay]]=7),P2091,P2091+1)</f>
        <v>1494</v>
      </c>
    </row>
    <row r="2093" spans="1:19" x14ac:dyDescent="0.25">
      <c r="A2093" s="2">
        <v>44827</v>
      </c>
      <c r="B2093" s="1">
        <f t="shared" si="163"/>
        <v>39</v>
      </c>
      <c r="C2093">
        <f t="shared" si="165"/>
        <v>9</v>
      </c>
      <c r="D2093" t="str">
        <f t="shared" si="166"/>
        <v>September</v>
      </c>
      <c r="E2093">
        <f t="shared" si="167"/>
        <v>2022</v>
      </c>
      <c r="F2093" t="str">
        <f>CONCATENATE(calendar[[#This Row],[Month]],"/",calendar[[#This Row],[Year]])</f>
        <v>9/2022</v>
      </c>
      <c r="G2093">
        <f>WEEKDAY(calendar[[#This Row],[Date]],1)</f>
        <v>6</v>
      </c>
      <c r="H2093" t="str">
        <f>TEXT(calendar[[#This Row],[WeekDay]],"dddd")</f>
        <v>Friday</v>
      </c>
      <c r="I2093">
        <f>IF((INT(calendar[[#This Row],[Count]]/7)-calendar[[#This Row],[Count]]/7)&lt;0,I2092,I2092+1)</f>
        <v>299</v>
      </c>
      <c r="J2093">
        <f t="shared" si="164"/>
        <v>2091</v>
      </c>
      <c r="K2093">
        <f>IF(calendar[[#This Row],[Month]]&lt;4,1,IF(calendar[[#This Row],[Month]]&lt;7,2,IF(calendar[[#This Row],[Month]]&lt;10,3,4)))</f>
        <v>3</v>
      </c>
      <c r="L2093">
        <f>IFERROR(IF(VLOOKUP(calendar[[#This Row],[Date]],BH!A:A,1,)&lt;&gt;"",1,0),0)</f>
        <v>0</v>
      </c>
      <c r="M2093">
        <f>IFERROR(IF(VLOOKUP(calendar[[#This Row],[Date]],BH!C:C,1,)&lt;&gt;"",1,0),0)</f>
        <v>0</v>
      </c>
      <c r="N2093">
        <f>IFERROR(IF(VLOOKUP(calendar[[#This Row],[Date]],BH!E:E,1,)&lt;&gt;"",1,0),0)</f>
        <v>0</v>
      </c>
      <c r="O2093">
        <f>IFERROR(IF(VLOOKUP(calendar[[#This Row],[Date]],BH!G:G,1,)&lt;&gt;"",1,0),0)</f>
        <v>0</v>
      </c>
      <c r="P2093">
        <f>IF(OR(calendar[[#This Row],[UK_BH]]=1,calendar[[#This Row],[WeekDay]]=1, calendar[[#This Row],[WeekDay]]=7),P2092,P2092+1)</f>
        <v>1495</v>
      </c>
      <c r="Q2093">
        <f>IF(OR(calendar[[#This Row],[FR_BH]]=1,calendar[[#This Row],[WeekDay]]=1, calendar[[#This Row],[WeekDay]]=7),P2092,P2092+1)</f>
        <v>1495</v>
      </c>
      <c r="R2093">
        <f>IF(OR(calendar[[#This Row],[SP_BH]]=1,calendar[[#This Row],[WeekDay]]=1, calendar[[#This Row],[WeekDay]]=7),P2092,P2092+1)</f>
        <v>1495</v>
      </c>
      <c r="S2093">
        <f>IF(OR(calendar[[#This Row],[PT_BH]]=1,calendar[[#This Row],[WeekDay]]=1, calendar[[#This Row],[WeekDay]]=7),P2092,P2092+1)</f>
        <v>1495</v>
      </c>
    </row>
    <row r="2094" spans="1:19" x14ac:dyDescent="0.25">
      <c r="A2094" s="2">
        <v>44828</v>
      </c>
      <c r="B2094" s="1">
        <f t="shared" si="163"/>
        <v>39</v>
      </c>
      <c r="C2094">
        <f t="shared" si="165"/>
        <v>9</v>
      </c>
      <c r="D2094" t="str">
        <f t="shared" si="166"/>
        <v>September</v>
      </c>
      <c r="E2094">
        <f t="shared" si="167"/>
        <v>2022</v>
      </c>
      <c r="F2094" t="str">
        <f>CONCATENATE(calendar[[#This Row],[Month]],"/",calendar[[#This Row],[Year]])</f>
        <v>9/2022</v>
      </c>
      <c r="G2094">
        <f>WEEKDAY(calendar[[#This Row],[Date]],1)</f>
        <v>7</v>
      </c>
      <c r="H2094" t="str">
        <f>TEXT(calendar[[#This Row],[WeekDay]],"dddd")</f>
        <v>Saturday</v>
      </c>
      <c r="I2094">
        <f>IF((INT(calendar[[#This Row],[Count]]/7)-calendar[[#This Row],[Count]]/7)&lt;0,I2093,I2093+1)</f>
        <v>299</v>
      </c>
      <c r="J2094">
        <f t="shared" si="164"/>
        <v>2092</v>
      </c>
      <c r="K2094">
        <f>IF(calendar[[#This Row],[Month]]&lt;4,1,IF(calendar[[#This Row],[Month]]&lt;7,2,IF(calendar[[#This Row],[Month]]&lt;10,3,4)))</f>
        <v>3</v>
      </c>
      <c r="L2094">
        <f>IFERROR(IF(VLOOKUP(calendar[[#This Row],[Date]],BH!A:A,1,)&lt;&gt;"",1,0),0)</f>
        <v>0</v>
      </c>
      <c r="M2094">
        <f>IFERROR(IF(VLOOKUP(calendar[[#This Row],[Date]],BH!C:C,1,)&lt;&gt;"",1,0),0)</f>
        <v>0</v>
      </c>
      <c r="N2094">
        <f>IFERROR(IF(VLOOKUP(calendar[[#This Row],[Date]],BH!E:E,1,)&lt;&gt;"",1,0),0)</f>
        <v>0</v>
      </c>
      <c r="O2094">
        <f>IFERROR(IF(VLOOKUP(calendar[[#This Row],[Date]],BH!G:G,1,)&lt;&gt;"",1,0),0)</f>
        <v>0</v>
      </c>
      <c r="P2094">
        <f>IF(OR(calendar[[#This Row],[UK_BH]]=1,calendar[[#This Row],[WeekDay]]=1, calendar[[#This Row],[WeekDay]]=7),P2093,P2093+1)</f>
        <v>1495</v>
      </c>
      <c r="Q2094">
        <f>IF(OR(calendar[[#This Row],[FR_BH]]=1,calendar[[#This Row],[WeekDay]]=1, calendar[[#This Row],[WeekDay]]=7),P2093,P2093+1)</f>
        <v>1495</v>
      </c>
      <c r="R2094">
        <f>IF(OR(calendar[[#This Row],[SP_BH]]=1,calendar[[#This Row],[WeekDay]]=1, calendar[[#This Row],[WeekDay]]=7),P2093,P2093+1)</f>
        <v>1495</v>
      </c>
      <c r="S2094">
        <f>IF(OR(calendar[[#This Row],[PT_BH]]=1,calendar[[#This Row],[WeekDay]]=1, calendar[[#This Row],[WeekDay]]=7),P2093,P2093+1)</f>
        <v>1495</v>
      </c>
    </row>
    <row r="2095" spans="1:19" x14ac:dyDescent="0.25">
      <c r="A2095" s="2">
        <v>44829</v>
      </c>
      <c r="B2095" s="1">
        <f t="shared" si="163"/>
        <v>40</v>
      </c>
      <c r="C2095">
        <f t="shared" si="165"/>
        <v>9</v>
      </c>
      <c r="D2095" t="str">
        <f t="shared" si="166"/>
        <v>September</v>
      </c>
      <c r="E2095">
        <f t="shared" si="167"/>
        <v>2022</v>
      </c>
      <c r="F2095" t="str">
        <f>CONCATENATE(calendar[[#This Row],[Month]],"/",calendar[[#This Row],[Year]])</f>
        <v>9/2022</v>
      </c>
      <c r="G2095">
        <f>WEEKDAY(calendar[[#This Row],[Date]],1)</f>
        <v>1</v>
      </c>
      <c r="H2095" t="str">
        <f>TEXT(calendar[[#This Row],[WeekDay]],"dddd")</f>
        <v>Sunday</v>
      </c>
      <c r="I2095">
        <f>IF((INT(calendar[[#This Row],[Count]]/7)-calendar[[#This Row],[Count]]/7)&lt;0,I2094,I2094+1)</f>
        <v>300</v>
      </c>
      <c r="J2095">
        <f t="shared" si="164"/>
        <v>2093</v>
      </c>
      <c r="K2095">
        <f>IF(calendar[[#This Row],[Month]]&lt;4,1,IF(calendar[[#This Row],[Month]]&lt;7,2,IF(calendar[[#This Row],[Month]]&lt;10,3,4)))</f>
        <v>3</v>
      </c>
      <c r="L2095">
        <f>IFERROR(IF(VLOOKUP(calendar[[#This Row],[Date]],BH!A:A,1,)&lt;&gt;"",1,0),0)</f>
        <v>0</v>
      </c>
      <c r="M2095">
        <f>IFERROR(IF(VLOOKUP(calendar[[#This Row],[Date]],BH!C:C,1,)&lt;&gt;"",1,0),0)</f>
        <v>0</v>
      </c>
      <c r="N2095">
        <f>IFERROR(IF(VLOOKUP(calendar[[#This Row],[Date]],BH!E:E,1,)&lt;&gt;"",1,0),0)</f>
        <v>0</v>
      </c>
      <c r="O2095">
        <f>IFERROR(IF(VLOOKUP(calendar[[#This Row],[Date]],BH!G:G,1,)&lt;&gt;"",1,0),0)</f>
        <v>0</v>
      </c>
      <c r="P2095">
        <f>IF(OR(calendar[[#This Row],[UK_BH]]=1,calendar[[#This Row],[WeekDay]]=1, calendar[[#This Row],[WeekDay]]=7),P2094,P2094+1)</f>
        <v>1495</v>
      </c>
      <c r="Q2095">
        <f>IF(OR(calendar[[#This Row],[FR_BH]]=1,calendar[[#This Row],[WeekDay]]=1, calendar[[#This Row],[WeekDay]]=7),P2094,P2094+1)</f>
        <v>1495</v>
      </c>
      <c r="R2095">
        <f>IF(OR(calendar[[#This Row],[SP_BH]]=1,calendar[[#This Row],[WeekDay]]=1, calendar[[#This Row],[WeekDay]]=7),P2094,P2094+1)</f>
        <v>1495</v>
      </c>
      <c r="S2095">
        <f>IF(OR(calendar[[#This Row],[PT_BH]]=1,calendar[[#This Row],[WeekDay]]=1, calendar[[#This Row],[WeekDay]]=7),P2094,P2094+1)</f>
        <v>1495</v>
      </c>
    </row>
    <row r="2096" spans="1:19" x14ac:dyDescent="0.25">
      <c r="A2096" s="2">
        <v>44830</v>
      </c>
      <c r="B2096" s="1">
        <f t="shared" si="163"/>
        <v>40</v>
      </c>
      <c r="C2096">
        <f t="shared" si="165"/>
        <v>9</v>
      </c>
      <c r="D2096" t="str">
        <f t="shared" si="166"/>
        <v>September</v>
      </c>
      <c r="E2096">
        <f t="shared" si="167"/>
        <v>2022</v>
      </c>
      <c r="F2096" t="str">
        <f>CONCATENATE(calendar[[#This Row],[Month]],"/",calendar[[#This Row],[Year]])</f>
        <v>9/2022</v>
      </c>
      <c r="G2096">
        <f>WEEKDAY(calendar[[#This Row],[Date]],1)</f>
        <v>2</v>
      </c>
      <c r="H2096" t="str">
        <f>TEXT(calendar[[#This Row],[WeekDay]],"dddd")</f>
        <v>Monday</v>
      </c>
      <c r="I2096">
        <f>IF((INT(calendar[[#This Row],[Count]]/7)-calendar[[#This Row],[Count]]/7)&lt;0,I2095,I2095+1)</f>
        <v>300</v>
      </c>
      <c r="J2096">
        <f t="shared" si="164"/>
        <v>2094</v>
      </c>
      <c r="K2096">
        <f>IF(calendar[[#This Row],[Month]]&lt;4,1,IF(calendar[[#This Row],[Month]]&lt;7,2,IF(calendar[[#This Row],[Month]]&lt;10,3,4)))</f>
        <v>3</v>
      </c>
      <c r="L2096">
        <f>IFERROR(IF(VLOOKUP(calendar[[#This Row],[Date]],BH!A:A,1,)&lt;&gt;"",1,0),0)</f>
        <v>0</v>
      </c>
      <c r="M2096">
        <f>IFERROR(IF(VLOOKUP(calendar[[#This Row],[Date]],BH!C:C,1,)&lt;&gt;"",1,0),0)</f>
        <v>0</v>
      </c>
      <c r="N2096">
        <f>IFERROR(IF(VLOOKUP(calendar[[#This Row],[Date]],BH!E:E,1,)&lt;&gt;"",1,0),0)</f>
        <v>0</v>
      </c>
      <c r="O2096">
        <f>IFERROR(IF(VLOOKUP(calendar[[#This Row],[Date]],BH!G:G,1,)&lt;&gt;"",1,0),0)</f>
        <v>0</v>
      </c>
      <c r="P2096">
        <f>IF(OR(calendar[[#This Row],[UK_BH]]=1,calendar[[#This Row],[WeekDay]]=1, calendar[[#This Row],[WeekDay]]=7),P2095,P2095+1)</f>
        <v>1496</v>
      </c>
      <c r="Q2096">
        <f>IF(OR(calendar[[#This Row],[FR_BH]]=1,calendar[[#This Row],[WeekDay]]=1, calendar[[#This Row],[WeekDay]]=7),P2095,P2095+1)</f>
        <v>1496</v>
      </c>
      <c r="R2096">
        <f>IF(OR(calendar[[#This Row],[SP_BH]]=1,calendar[[#This Row],[WeekDay]]=1, calendar[[#This Row],[WeekDay]]=7),P2095,P2095+1)</f>
        <v>1496</v>
      </c>
      <c r="S2096">
        <f>IF(OR(calendar[[#This Row],[PT_BH]]=1,calendar[[#This Row],[WeekDay]]=1, calendar[[#This Row],[WeekDay]]=7),P2095,P2095+1)</f>
        <v>1496</v>
      </c>
    </row>
    <row r="2097" spans="1:19" x14ac:dyDescent="0.25">
      <c r="A2097" s="2">
        <v>44831</v>
      </c>
      <c r="B2097" s="1">
        <f t="shared" si="163"/>
        <v>40</v>
      </c>
      <c r="C2097">
        <f t="shared" si="165"/>
        <v>9</v>
      </c>
      <c r="D2097" t="str">
        <f t="shared" si="166"/>
        <v>September</v>
      </c>
      <c r="E2097">
        <f t="shared" si="167"/>
        <v>2022</v>
      </c>
      <c r="F2097" t="str">
        <f>CONCATENATE(calendar[[#This Row],[Month]],"/",calendar[[#This Row],[Year]])</f>
        <v>9/2022</v>
      </c>
      <c r="G2097">
        <f>WEEKDAY(calendar[[#This Row],[Date]],1)</f>
        <v>3</v>
      </c>
      <c r="H2097" t="str">
        <f>TEXT(calendar[[#This Row],[WeekDay]],"dddd")</f>
        <v>Tuesday</v>
      </c>
      <c r="I2097">
        <f>IF((INT(calendar[[#This Row],[Count]]/7)-calendar[[#This Row],[Count]]/7)&lt;0,I2096,I2096+1)</f>
        <v>300</v>
      </c>
      <c r="J2097">
        <f t="shared" si="164"/>
        <v>2095</v>
      </c>
      <c r="K2097">
        <f>IF(calendar[[#This Row],[Month]]&lt;4,1,IF(calendar[[#This Row],[Month]]&lt;7,2,IF(calendar[[#This Row],[Month]]&lt;10,3,4)))</f>
        <v>3</v>
      </c>
      <c r="L2097">
        <f>IFERROR(IF(VLOOKUP(calendar[[#This Row],[Date]],BH!A:A,1,)&lt;&gt;"",1,0),0)</f>
        <v>0</v>
      </c>
      <c r="M2097">
        <f>IFERROR(IF(VLOOKUP(calendar[[#This Row],[Date]],BH!C:C,1,)&lt;&gt;"",1,0),0)</f>
        <v>0</v>
      </c>
      <c r="N2097">
        <f>IFERROR(IF(VLOOKUP(calendar[[#This Row],[Date]],BH!E:E,1,)&lt;&gt;"",1,0),0)</f>
        <v>0</v>
      </c>
      <c r="O2097">
        <f>IFERROR(IF(VLOOKUP(calendar[[#This Row],[Date]],BH!G:G,1,)&lt;&gt;"",1,0),0)</f>
        <v>0</v>
      </c>
      <c r="P2097">
        <f>IF(OR(calendar[[#This Row],[UK_BH]]=1,calendar[[#This Row],[WeekDay]]=1, calendar[[#This Row],[WeekDay]]=7),P2096,P2096+1)</f>
        <v>1497</v>
      </c>
      <c r="Q2097">
        <f>IF(OR(calendar[[#This Row],[FR_BH]]=1,calendar[[#This Row],[WeekDay]]=1, calendar[[#This Row],[WeekDay]]=7),P2096,P2096+1)</f>
        <v>1497</v>
      </c>
      <c r="R2097">
        <f>IF(OR(calendar[[#This Row],[SP_BH]]=1,calendar[[#This Row],[WeekDay]]=1, calendar[[#This Row],[WeekDay]]=7),P2096,P2096+1)</f>
        <v>1497</v>
      </c>
      <c r="S2097">
        <f>IF(OR(calendar[[#This Row],[PT_BH]]=1,calendar[[#This Row],[WeekDay]]=1, calendar[[#This Row],[WeekDay]]=7),P2096,P2096+1)</f>
        <v>1497</v>
      </c>
    </row>
    <row r="2098" spans="1:19" x14ac:dyDescent="0.25">
      <c r="A2098" s="2">
        <v>44832</v>
      </c>
      <c r="B2098" s="1">
        <f t="shared" si="163"/>
        <v>40</v>
      </c>
      <c r="C2098">
        <f t="shared" si="165"/>
        <v>9</v>
      </c>
      <c r="D2098" t="str">
        <f t="shared" si="166"/>
        <v>September</v>
      </c>
      <c r="E2098">
        <f t="shared" si="167"/>
        <v>2022</v>
      </c>
      <c r="F2098" t="str">
        <f>CONCATENATE(calendar[[#This Row],[Month]],"/",calendar[[#This Row],[Year]])</f>
        <v>9/2022</v>
      </c>
      <c r="G2098">
        <f>WEEKDAY(calendar[[#This Row],[Date]],1)</f>
        <v>4</v>
      </c>
      <c r="H2098" t="str">
        <f>TEXT(calendar[[#This Row],[WeekDay]],"dddd")</f>
        <v>Wednesday</v>
      </c>
      <c r="I2098">
        <f>IF((INT(calendar[[#This Row],[Count]]/7)-calendar[[#This Row],[Count]]/7)&lt;0,I2097,I2097+1)</f>
        <v>300</v>
      </c>
      <c r="J2098">
        <f t="shared" si="164"/>
        <v>2096</v>
      </c>
      <c r="K2098">
        <f>IF(calendar[[#This Row],[Month]]&lt;4,1,IF(calendar[[#This Row],[Month]]&lt;7,2,IF(calendar[[#This Row],[Month]]&lt;10,3,4)))</f>
        <v>3</v>
      </c>
      <c r="L2098">
        <f>IFERROR(IF(VLOOKUP(calendar[[#This Row],[Date]],BH!A:A,1,)&lt;&gt;"",1,0),0)</f>
        <v>0</v>
      </c>
      <c r="M2098">
        <f>IFERROR(IF(VLOOKUP(calendar[[#This Row],[Date]],BH!C:C,1,)&lt;&gt;"",1,0),0)</f>
        <v>0</v>
      </c>
      <c r="N2098">
        <f>IFERROR(IF(VLOOKUP(calendar[[#This Row],[Date]],BH!E:E,1,)&lt;&gt;"",1,0),0)</f>
        <v>0</v>
      </c>
      <c r="O2098">
        <f>IFERROR(IF(VLOOKUP(calendar[[#This Row],[Date]],BH!G:G,1,)&lt;&gt;"",1,0),0)</f>
        <v>0</v>
      </c>
      <c r="P2098">
        <f>IF(OR(calendar[[#This Row],[UK_BH]]=1,calendar[[#This Row],[WeekDay]]=1, calendar[[#This Row],[WeekDay]]=7),P2097,P2097+1)</f>
        <v>1498</v>
      </c>
      <c r="Q2098">
        <f>IF(OR(calendar[[#This Row],[FR_BH]]=1,calendar[[#This Row],[WeekDay]]=1, calendar[[#This Row],[WeekDay]]=7),P2097,P2097+1)</f>
        <v>1498</v>
      </c>
      <c r="R2098">
        <f>IF(OR(calendar[[#This Row],[SP_BH]]=1,calendar[[#This Row],[WeekDay]]=1, calendar[[#This Row],[WeekDay]]=7),P2097,P2097+1)</f>
        <v>1498</v>
      </c>
      <c r="S2098">
        <f>IF(OR(calendar[[#This Row],[PT_BH]]=1,calendar[[#This Row],[WeekDay]]=1, calendar[[#This Row],[WeekDay]]=7),P2097,P2097+1)</f>
        <v>1498</v>
      </c>
    </row>
    <row r="2099" spans="1:19" x14ac:dyDescent="0.25">
      <c r="A2099" s="2">
        <v>44833</v>
      </c>
      <c r="B2099" s="1">
        <f t="shared" si="163"/>
        <v>40</v>
      </c>
      <c r="C2099">
        <f t="shared" si="165"/>
        <v>9</v>
      </c>
      <c r="D2099" t="str">
        <f t="shared" si="166"/>
        <v>September</v>
      </c>
      <c r="E2099">
        <f t="shared" si="167"/>
        <v>2022</v>
      </c>
      <c r="F2099" t="str">
        <f>CONCATENATE(calendar[[#This Row],[Month]],"/",calendar[[#This Row],[Year]])</f>
        <v>9/2022</v>
      </c>
      <c r="G2099">
        <f>WEEKDAY(calendar[[#This Row],[Date]],1)</f>
        <v>5</v>
      </c>
      <c r="H2099" t="str">
        <f>TEXT(calendar[[#This Row],[WeekDay]],"dddd")</f>
        <v>Thursday</v>
      </c>
      <c r="I2099">
        <f>IF((INT(calendar[[#This Row],[Count]]/7)-calendar[[#This Row],[Count]]/7)&lt;0,I2098,I2098+1)</f>
        <v>300</v>
      </c>
      <c r="J2099">
        <f t="shared" si="164"/>
        <v>2097</v>
      </c>
      <c r="K2099">
        <f>IF(calendar[[#This Row],[Month]]&lt;4,1,IF(calendar[[#This Row],[Month]]&lt;7,2,IF(calendar[[#This Row],[Month]]&lt;10,3,4)))</f>
        <v>3</v>
      </c>
      <c r="L2099">
        <f>IFERROR(IF(VLOOKUP(calendar[[#This Row],[Date]],BH!A:A,1,)&lt;&gt;"",1,0),0)</f>
        <v>0</v>
      </c>
      <c r="M2099">
        <f>IFERROR(IF(VLOOKUP(calendar[[#This Row],[Date]],BH!C:C,1,)&lt;&gt;"",1,0),0)</f>
        <v>0</v>
      </c>
      <c r="N2099">
        <f>IFERROR(IF(VLOOKUP(calendar[[#This Row],[Date]],BH!E:E,1,)&lt;&gt;"",1,0),0)</f>
        <v>0</v>
      </c>
      <c r="O2099">
        <f>IFERROR(IF(VLOOKUP(calendar[[#This Row],[Date]],BH!G:G,1,)&lt;&gt;"",1,0),0)</f>
        <v>0</v>
      </c>
      <c r="P2099">
        <f>IF(OR(calendar[[#This Row],[UK_BH]]=1,calendar[[#This Row],[WeekDay]]=1, calendar[[#This Row],[WeekDay]]=7),P2098,P2098+1)</f>
        <v>1499</v>
      </c>
      <c r="Q2099">
        <f>IF(OR(calendar[[#This Row],[FR_BH]]=1,calendar[[#This Row],[WeekDay]]=1, calendar[[#This Row],[WeekDay]]=7),P2098,P2098+1)</f>
        <v>1499</v>
      </c>
      <c r="R2099">
        <f>IF(OR(calendar[[#This Row],[SP_BH]]=1,calendar[[#This Row],[WeekDay]]=1, calendar[[#This Row],[WeekDay]]=7),P2098,P2098+1)</f>
        <v>1499</v>
      </c>
      <c r="S2099">
        <f>IF(OR(calendar[[#This Row],[PT_BH]]=1,calendar[[#This Row],[WeekDay]]=1, calendar[[#This Row],[WeekDay]]=7),P2098,P2098+1)</f>
        <v>1499</v>
      </c>
    </row>
    <row r="2100" spans="1:19" x14ac:dyDescent="0.25">
      <c r="A2100" s="2">
        <v>44834</v>
      </c>
      <c r="B2100" s="1">
        <f t="shared" si="163"/>
        <v>40</v>
      </c>
      <c r="C2100">
        <f t="shared" si="165"/>
        <v>9</v>
      </c>
      <c r="D2100" t="str">
        <f t="shared" si="166"/>
        <v>September</v>
      </c>
      <c r="E2100">
        <f t="shared" si="167"/>
        <v>2022</v>
      </c>
      <c r="F2100" t="str">
        <f>CONCATENATE(calendar[[#This Row],[Month]],"/",calendar[[#This Row],[Year]])</f>
        <v>9/2022</v>
      </c>
      <c r="G2100">
        <f>WEEKDAY(calendar[[#This Row],[Date]],1)</f>
        <v>6</v>
      </c>
      <c r="H2100" t="str">
        <f>TEXT(calendar[[#This Row],[WeekDay]],"dddd")</f>
        <v>Friday</v>
      </c>
      <c r="I2100">
        <f>IF((INT(calendar[[#This Row],[Count]]/7)-calendar[[#This Row],[Count]]/7)&lt;0,I2099,I2099+1)</f>
        <v>300</v>
      </c>
      <c r="J2100">
        <f t="shared" si="164"/>
        <v>2098</v>
      </c>
      <c r="K2100">
        <f>IF(calendar[[#This Row],[Month]]&lt;4,1,IF(calendar[[#This Row],[Month]]&lt;7,2,IF(calendar[[#This Row],[Month]]&lt;10,3,4)))</f>
        <v>3</v>
      </c>
      <c r="L2100">
        <f>IFERROR(IF(VLOOKUP(calendar[[#This Row],[Date]],BH!A:A,1,)&lt;&gt;"",1,0),0)</f>
        <v>0</v>
      </c>
      <c r="M2100">
        <f>IFERROR(IF(VLOOKUP(calendar[[#This Row],[Date]],BH!C:C,1,)&lt;&gt;"",1,0),0)</f>
        <v>0</v>
      </c>
      <c r="N2100">
        <f>IFERROR(IF(VLOOKUP(calendar[[#This Row],[Date]],BH!E:E,1,)&lt;&gt;"",1,0),0)</f>
        <v>0</v>
      </c>
      <c r="O2100">
        <f>IFERROR(IF(VLOOKUP(calendar[[#This Row],[Date]],BH!G:G,1,)&lt;&gt;"",1,0),0)</f>
        <v>0</v>
      </c>
      <c r="P2100">
        <f>IF(OR(calendar[[#This Row],[UK_BH]]=1,calendar[[#This Row],[WeekDay]]=1, calendar[[#This Row],[WeekDay]]=7),P2099,P2099+1)</f>
        <v>1500</v>
      </c>
      <c r="Q2100">
        <f>IF(OR(calendar[[#This Row],[FR_BH]]=1,calendar[[#This Row],[WeekDay]]=1, calendar[[#This Row],[WeekDay]]=7),P2099,P2099+1)</f>
        <v>1500</v>
      </c>
      <c r="R2100">
        <f>IF(OR(calendar[[#This Row],[SP_BH]]=1,calendar[[#This Row],[WeekDay]]=1, calendar[[#This Row],[WeekDay]]=7),P2099,P2099+1)</f>
        <v>1500</v>
      </c>
      <c r="S2100">
        <f>IF(OR(calendar[[#This Row],[PT_BH]]=1,calendar[[#This Row],[WeekDay]]=1, calendar[[#This Row],[WeekDay]]=7),P2099,P2099+1)</f>
        <v>1500</v>
      </c>
    </row>
    <row r="2101" spans="1:19" x14ac:dyDescent="0.25">
      <c r="A2101" s="2">
        <v>44835</v>
      </c>
      <c r="B2101" s="1">
        <f t="shared" si="163"/>
        <v>40</v>
      </c>
      <c r="C2101">
        <f t="shared" si="165"/>
        <v>10</v>
      </c>
      <c r="D2101" t="str">
        <f t="shared" si="166"/>
        <v>October</v>
      </c>
      <c r="E2101">
        <f t="shared" si="167"/>
        <v>2022</v>
      </c>
      <c r="F2101" t="str">
        <f>CONCATENATE(calendar[[#This Row],[Month]],"/",calendar[[#This Row],[Year]])</f>
        <v>10/2022</v>
      </c>
      <c r="G2101">
        <f>WEEKDAY(calendar[[#This Row],[Date]],1)</f>
        <v>7</v>
      </c>
      <c r="H2101" t="str">
        <f>TEXT(calendar[[#This Row],[WeekDay]],"dddd")</f>
        <v>Saturday</v>
      </c>
      <c r="I2101">
        <f>IF((INT(calendar[[#This Row],[Count]]/7)-calendar[[#This Row],[Count]]/7)&lt;0,I2100,I2100+1)</f>
        <v>300</v>
      </c>
      <c r="J2101">
        <f t="shared" si="164"/>
        <v>2099</v>
      </c>
      <c r="K2101">
        <f>IF(calendar[[#This Row],[Month]]&lt;4,1,IF(calendar[[#This Row],[Month]]&lt;7,2,IF(calendar[[#This Row],[Month]]&lt;10,3,4)))</f>
        <v>4</v>
      </c>
      <c r="L2101">
        <f>IFERROR(IF(VLOOKUP(calendar[[#This Row],[Date]],BH!A:A,1,)&lt;&gt;"",1,0),0)</f>
        <v>0</v>
      </c>
      <c r="M2101">
        <f>IFERROR(IF(VLOOKUP(calendar[[#This Row],[Date]],BH!C:C,1,)&lt;&gt;"",1,0),0)</f>
        <v>0</v>
      </c>
      <c r="N2101">
        <f>IFERROR(IF(VLOOKUP(calendar[[#This Row],[Date]],BH!E:E,1,)&lt;&gt;"",1,0),0)</f>
        <v>0</v>
      </c>
      <c r="O2101">
        <f>IFERROR(IF(VLOOKUP(calendar[[#This Row],[Date]],BH!G:G,1,)&lt;&gt;"",1,0),0)</f>
        <v>0</v>
      </c>
      <c r="P2101">
        <f>IF(OR(calendar[[#This Row],[UK_BH]]=1,calendar[[#This Row],[WeekDay]]=1, calendar[[#This Row],[WeekDay]]=7),P2100,P2100+1)</f>
        <v>1500</v>
      </c>
      <c r="Q2101">
        <f>IF(OR(calendar[[#This Row],[FR_BH]]=1,calendar[[#This Row],[WeekDay]]=1, calendar[[#This Row],[WeekDay]]=7),P2100,P2100+1)</f>
        <v>1500</v>
      </c>
      <c r="R2101">
        <f>IF(OR(calendar[[#This Row],[SP_BH]]=1,calendar[[#This Row],[WeekDay]]=1, calendar[[#This Row],[WeekDay]]=7),P2100,P2100+1)</f>
        <v>1500</v>
      </c>
      <c r="S2101">
        <f>IF(OR(calendar[[#This Row],[PT_BH]]=1,calendar[[#This Row],[WeekDay]]=1, calendar[[#This Row],[WeekDay]]=7),P2100,P2100+1)</f>
        <v>1500</v>
      </c>
    </row>
    <row r="2102" spans="1:19" x14ac:dyDescent="0.25">
      <c r="A2102" s="2">
        <v>44836</v>
      </c>
      <c r="B2102" s="1">
        <f t="shared" si="163"/>
        <v>41</v>
      </c>
      <c r="C2102">
        <f t="shared" si="165"/>
        <v>10</v>
      </c>
      <c r="D2102" t="str">
        <f t="shared" si="166"/>
        <v>October</v>
      </c>
      <c r="E2102">
        <f t="shared" si="167"/>
        <v>2022</v>
      </c>
      <c r="F2102" t="str">
        <f>CONCATENATE(calendar[[#This Row],[Month]],"/",calendar[[#This Row],[Year]])</f>
        <v>10/2022</v>
      </c>
      <c r="G2102">
        <f>WEEKDAY(calendar[[#This Row],[Date]],1)</f>
        <v>1</v>
      </c>
      <c r="H2102" t="str">
        <f>TEXT(calendar[[#This Row],[WeekDay]],"dddd")</f>
        <v>Sunday</v>
      </c>
      <c r="I2102">
        <f>IF((INT(calendar[[#This Row],[Count]]/7)-calendar[[#This Row],[Count]]/7)&lt;0,I2101,I2101+1)</f>
        <v>301</v>
      </c>
      <c r="J2102">
        <f t="shared" si="164"/>
        <v>2100</v>
      </c>
      <c r="K2102">
        <f>IF(calendar[[#This Row],[Month]]&lt;4,1,IF(calendar[[#This Row],[Month]]&lt;7,2,IF(calendar[[#This Row],[Month]]&lt;10,3,4)))</f>
        <v>4</v>
      </c>
      <c r="L2102">
        <f>IFERROR(IF(VLOOKUP(calendar[[#This Row],[Date]],BH!A:A,1,)&lt;&gt;"",1,0),0)</f>
        <v>0</v>
      </c>
      <c r="M2102">
        <f>IFERROR(IF(VLOOKUP(calendar[[#This Row],[Date]],BH!C:C,1,)&lt;&gt;"",1,0),0)</f>
        <v>0</v>
      </c>
      <c r="N2102">
        <f>IFERROR(IF(VLOOKUP(calendar[[#This Row],[Date]],BH!E:E,1,)&lt;&gt;"",1,0),0)</f>
        <v>0</v>
      </c>
      <c r="O2102">
        <f>IFERROR(IF(VLOOKUP(calendar[[#This Row],[Date]],BH!G:G,1,)&lt;&gt;"",1,0),0)</f>
        <v>0</v>
      </c>
      <c r="P2102">
        <f>IF(OR(calendar[[#This Row],[UK_BH]]=1,calendar[[#This Row],[WeekDay]]=1, calendar[[#This Row],[WeekDay]]=7),P2101,P2101+1)</f>
        <v>1500</v>
      </c>
      <c r="Q2102">
        <f>IF(OR(calendar[[#This Row],[FR_BH]]=1,calendar[[#This Row],[WeekDay]]=1, calendar[[#This Row],[WeekDay]]=7),P2101,P2101+1)</f>
        <v>1500</v>
      </c>
      <c r="R2102">
        <f>IF(OR(calendar[[#This Row],[SP_BH]]=1,calendar[[#This Row],[WeekDay]]=1, calendar[[#This Row],[WeekDay]]=7),P2101,P2101+1)</f>
        <v>1500</v>
      </c>
      <c r="S2102">
        <f>IF(OR(calendar[[#This Row],[PT_BH]]=1,calendar[[#This Row],[WeekDay]]=1, calendar[[#This Row],[WeekDay]]=7),P2101,P2101+1)</f>
        <v>1500</v>
      </c>
    </row>
    <row r="2103" spans="1:19" x14ac:dyDescent="0.25">
      <c r="A2103" s="2">
        <v>44837</v>
      </c>
      <c r="B2103" s="1">
        <f t="shared" si="163"/>
        <v>41</v>
      </c>
      <c r="C2103">
        <f t="shared" si="165"/>
        <v>10</v>
      </c>
      <c r="D2103" t="str">
        <f t="shared" si="166"/>
        <v>October</v>
      </c>
      <c r="E2103">
        <f t="shared" si="167"/>
        <v>2022</v>
      </c>
      <c r="F2103" t="str">
        <f>CONCATENATE(calendar[[#This Row],[Month]],"/",calendar[[#This Row],[Year]])</f>
        <v>10/2022</v>
      </c>
      <c r="G2103">
        <f>WEEKDAY(calendar[[#This Row],[Date]],1)</f>
        <v>2</v>
      </c>
      <c r="H2103" t="str">
        <f>TEXT(calendar[[#This Row],[WeekDay]],"dddd")</f>
        <v>Monday</v>
      </c>
      <c r="I2103">
        <f>IF((INT(calendar[[#This Row],[Count]]/7)-calendar[[#This Row],[Count]]/7)&lt;0,I2102,I2102+1)</f>
        <v>301</v>
      </c>
      <c r="J2103">
        <f t="shared" si="164"/>
        <v>2101</v>
      </c>
      <c r="K2103">
        <f>IF(calendar[[#This Row],[Month]]&lt;4,1,IF(calendar[[#This Row],[Month]]&lt;7,2,IF(calendar[[#This Row],[Month]]&lt;10,3,4)))</f>
        <v>4</v>
      </c>
      <c r="L2103">
        <f>IFERROR(IF(VLOOKUP(calendar[[#This Row],[Date]],BH!A:A,1,)&lt;&gt;"",1,0),0)</f>
        <v>0</v>
      </c>
      <c r="M2103">
        <f>IFERROR(IF(VLOOKUP(calendar[[#This Row],[Date]],BH!C:C,1,)&lt;&gt;"",1,0),0)</f>
        <v>0</v>
      </c>
      <c r="N2103">
        <f>IFERROR(IF(VLOOKUP(calendar[[#This Row],[Date]],BH!E:E,1,)&lt;&gt;"",1,0),0)</f>
        <v>0</v>
      </c>
      <c r="O2103">
        <f>IFERROR(IF(VLOOKUP(calendar[[#This Row],[Date]],BH!G:G,1,)&lt;&gt;"",1,0),0)</f>
        <v>0</v>
      </c>
      <c r="P2103">
        <f>IF(OR(calendar[[#This Row],[UK_BH]]=1,calendar[[#This Row],[WeekDay]]=1, calendar[[#This Row],[WeekDay]]=7),P2102,P2102+1)</f>
        <v>1501</v>
      </c>
      <c r="Q2103">
        <f>IF(OR(calendar[[#This Row],[FR_BH]]=1,calendar[[#This Row],[WeekDay]]=1, calendar[[#This Row],[WeekDay]]=7),P2102,P2102+1)</f>
        <v>1501</v>
      </c>
      <c r="R2103">
        <f>IF(OR(calendar[[#This Row],[SP_BH]]=1,calendar[[#This Row],[WeekDay]]=1, calendar[[#This Row],[WeekDay]]=7),P2102,P2102+1)</f>
        <v>1501</v>
      </c>
      <c r="S2103">
        <f>IF(OR(calendar[[#This Row],[PT_BH]]=1,calendar[[#This Row],[WeekDay]]=1, calendar[[#This Row],[WeekDay]]=7),P2102,P2102+1)</f>
        <v>1501</v>
      </c>
    </row>
    <row r="2104" spans="1:19" x14ac:dyDescent="0.25">
      <c r="A2104" s="2">
        <v>44838</v>
      </c>
      <c r="B2104" s="1">
        <f t="shared" si="163"/>
        <v>41</v>
      </c>
      <c r="C2104">
        <f t="shared" si="165"/>
        <v>10</v>
      </c>
      <c r="D2104" t="str">
        <f t="shared" si="166"/>
        <v>October</v>
      </c>
      <c r="E2104">
        <f t="shared" si="167"/>
        <v>2022</v>
      </c>
      <c r="F2104" t="str">
        <f>CONCATENATE(calendar[[#This Row],[Month]],"/",calendar[[#This Row],[Year]])</f>
        <v>10/2022</v>
      </c>
      <c r="G2104">
        <f>WEEKDAY(calendar[[#This Row],[Date]],1)</f>
        <v>3</v>
      </c>
      <c r="H2104" t="str">
        <f>TEXT(calendar[[#This Row],[WeekDay]],"dddd")</f>
        <v>Tuesday</v>
      </c>
      <c r="I2104">
        <f>IF((INT(calendar[[#This Row],[Count]]/7)-calendar[[#This Row],[Count]]/7)&lt;0,I2103,I2103+1)</f>
        <v>301</v>
      </c>
      <c r="J2104">
        <f t="shared" si="164"/>
        <v>2102</v>
      </c>
      <c r="K2104">
        <f>IF(calendar[[#This Row],[Month]]&lt;4,1,IF(calendar[[#This Row],[Month]]&lt;7,2,IF(calendar[[#This Row],[Month]]&lt;10,3,4)))</f>
        <v>4</v>
      </c>
      <c r="L2104">
        <f>IFERROR(IF(VLOOKUP(calendar[[#This Row],[Date]],BH!A:A,1,)&lt;&gt;"",1,0),0)</f>
        <v>0</v>
      </c>
      <c r="M2104">
        <f>IFERROR(IF(VLOOKUP(calendar[[#This Row],[Date]],BH!C:C,1,)&lt;&gt;"",1,0),0)</f>
        <v>0</v>
      </c>
      <c r="N2104">
        <f>IFERROR(IF(VLOOKUP(calendar[[#This Row],[Date]],BH!E:E,1,)&lt;&gt;"",1,0),0)</f>
        <v>0</v>
      </c>
      <c r="O2104">
        <f>IFERROR(IF(VLOOKUP(calendar[[#This Row],[Date]],BH!G:G,1,)&lt;&gt;"",1,0),0)</f>
        <v>0</v>
      </c>
      <c r="P2104">
        <f>IF(OR(calendar[[#This Row],[UK_BH]]=1,calendar[[#This Row],[WeekDay]]=1, calendar[[#This Row],[WeekDay]]=7),P2103,P2103+1)</f>
        <v>1502</v>
      </c>
      <c r="Q2104">
        <f>IF(OR(calendar[[#This Row],[FR_BH]]=1,calendar[[#This Row],[WeekDay]]=1, calendar[[#This Row],[WeekDay]]=7),P2103,P2103+1)</f>
        <v>1502</v>
      </c>
      <c r="R2104">
        <f>IF(OR(calendar[[#This Row],[SP_BH]]=1,calendar[[#This Row],[WeekDay]]=1, calendar[[#This Row],[WeekDay]]=7),P2103,P2103+1)</f>
        <v>1502</v>
      </c>
      <c r="S2104">
        <f>IF(OR(calendar[[#This Row],[PT_BH]]=1,calendar[[#This Row],[WeekDay]]=1, calendar[[#This Row],[WeekDay]]=7),P2103,P2103+1)</f>
        <v>1502</v>
      </c>
    </row>
    <row r="2105" spans="1:19" x14ac:dyDescent="0.25">
      <c r="A2105" s="2">
        <v>44839</v>
      </c>
      <c r="B2105" s="1">
        <f t="shared" si="163"/>
        <v>41</v>
      </c>
      <c r="C2105">
        <f t="shared" si="165"/>
        <v>10</v>
      </c>
      <c r="D2105" t="str">
        <f t="shared" si="166"/>
        <v>October</v>
      </c>
      <c r="E2105">
        <f t="shared" si="167"/>
        <v>2022</v>
      </c>
      <c r="F2105" t="str">
        <f>CONCATENATE(calendar[[#This Row],[Month]],"/",calendar[[#This Row],[Year]])</f>
        <v>10/2022</v>
      </c>
      <c r="G2105">
        <f>WEEKDAY(calendar[[#This Row],[Date]],1)</f>
        <v>4</v>
      </c>
      <c r="H2105" t="str">
        <f>TEXT(calendar[[#This Row],[WeekDay]],"dddd")</f>
        <v>Wednesday</v>
      </c>
      <c r="I2105">
        <f>IF((INT(calendar[[#This Row],[Count]]/7)-calendar[[#This Row],[Count]]/7)&lt;0,I2104,I2104+1)</f>
        <v>301</v>
      </c>
      <c r="J2105">
        <f t="shared" si="164"/>
        <v>2103</v>
      </c>
      <c r="K2105">
        <f>IF(calendar[[#This Row],[Month]]&lt;4,1,IF(calendar[[#This Row],[Month]]&lt;7,2,IF(calendar[[#This Row],[Month]]&lt;10,3,4)))</f>
        <v>4</v>
      </c>
      <c r="L2105">
        <f>IFERROR(IF(VLOOKUP(calendar[[#This Row],[Date]],BH!A:A,1,)&lt;&gt;"",1,0),0)</f>
        <v>0</v>
      </c>
      <c r="M2105">
        <f>IFERROR(IF(VLOOKUP(calendar[[#This Row],[Date]],BH!C:C,1,)&lt;&gt;"",1,0),0)</f>
        <v>0</v>
      </c>
      <c r="N2105">
        <f>IFERROR(IF(VLOOKUP(calendar[[#This Row],[Date]],BH!E:E,1,)&lt;&gt;"",1,0),0)</f>
        <v>0</v>
      </c>
      <c r="O2105">
        <f>IFERROR(IF(VLOOKUP(calendar[[#This Row],[Date]],BH!G:G,1,)&lt;&gt;"",1,0),0)</f>
        <v>0</v>
      </c>
      <c r="P2105">
        <f>IF(OR(calendar[[#This Row],[UK_BH]]=1,calendar[[#This Row],[WeekDay]]=1, calendar[[#This Row],[WeekDay]]=7),P2104,P2104+1)</f>
        <v>1503</v>
      </c>
      <c r="Q2105">
        <f>IF(OR(calendar[[#This Row],[FR_BH]]=1,calendar[[#This Row],[WeekDay]]=1, calendar[[#This Row],[WeekDay]]=7),P2104,P2104+1)</f>
        <v>1503</v>
      </c>
      <c r="R2105">
        <f>IF(OR(calendar[[#This Row],[SP_BH]]=1,calendar[[#This Row],[WeekDay]]=1, calendar[[#This Row],[WeekDay]]=7),P2104,P2104+1)</f>
        <v>1503</v>
      </c>
      <c r="S2105">
        <f>IF(OR(calendar[[#This Row],[PT_BH]]=1,calendar[[#This Row],[WeekDay]]=1, calendar[[#This Row],[WeekDay]]=7),P2104,P2104+1)</f>
        <v>1503</v>
      </c>
    </row>
    <row r="2106" spans="1:19" x14ac:dyDescent="0.25">
      <c r="A2106" s="2">
        <v>44840</v>
      </c>
      <c r="B2106" s="1">
        <f t="shared" si="163"/>
        <v>41</v>
      </c>
      <c r="C2106">
        <f t="shared" si="165"/>
        <v>10</v>
      </c>
      <c r="D2106" t="str">
        <f t="shared" si="166"/>
        <v>October</v>
      </c>
      <c r="E2106">
        <f t="shared" si="167"/>
        <v>2022</v>
      </c>
      <c r="F2106" t="str">
        <f>CONCATENATE(calendar[[#This Row],[Month]],"/",calendar[[#This Row],[Year]])</f>
        <v>10/2022</v>
      </c>
      <c r="G2106">
        <f>WEEKDAY(calendar[[#This Row],[Date]],1)</f>
        <v>5</v>
      </c>
      <c r="H2106" t="str">
        <f>TEXT(calendar[[#This Row],[WeekDay]],"dddd")</f>
        <v>Thursday</v>
      </c>
      <c r="I2106">
        <f>IF((INT(calendar[[#This Row],[Count]]/7)-calendar[[#This Row],[Count]]/7)&lt;0,I2105,I2105+1)</f>
        <v>301</v>
      </c>
      <c r="J2106">
        <f t="shared" si="164"/>
        <v>2104</v>
      </c>
      <c r="K2106">
        <f>IF(calendar[[#This Row],[Month]]&lt;4,1,IF(calendar[[#This Row],[Month]]&lt;7,2,IF(calendar[[#This Row],[Month]]&lt;10,3,4)))</f>
        <v>4</v>
      </c>
      <c r="L2106">
        <f>IFERROR(IF(VLOOKUP(calendar[[#This Row],[Date]],BH!A:A,1,)&lt;&gt;"",1,0),0)</f>
        <v>0</v>
      </c>
      <c r="M2106">
        <f>IFERROR(IF(VLOOKUP(calendar[[#This Row],[Date]],BH!C:C,1,)&lt;&gt;"",1,0),0)</f>
        <v>0</v>
      </c>
      <c r="N2106">
        <f>IFERROR(IF(VLOOKUP(calendar[[#This Row],[Date]],BH!E:E,1,)&lt;&gt;"",1,0),0)</f>
        <v>0</v>
      </c>
      <c r="O2106">
        <f>IFERROR(IF(VLOOKUP(calendar[[#This Row],[Date]],BH!G:G,1,)&lt;&gt;"",1,0),0)</f>
        <v>0</v>
      </c>
      <c r="P2106">
        <f>IF(OR(calendar[[#This Row],[UK_BH]]=1,calendar[[#This Row],[WeekDay]]=1, calendar[[#This Row],[WeekDay]]=7),P2105,P2105+1)</f>
        <v>1504</v>
      </c>
      <c r="Q2106">
        <f>IF(OR(calendar[[#This Row],[FR_BH]]=1,calendar[[#This Row],[WeekDay]]=1, calendar[[#This Row],[WeekDay]]=7),P2105,P2105+1)</f>
        <v>1504</v>
      </c>
      <c r="R2106">
        <f>IF(OR(calendar[[#This Row],[SP_BH]]=1,calendar[[#This Row],[WeekDay]]=1, calendar[[#This Row],[WeekDay]]=7),P2105,P2105+1)</f>
        <v>1504</v>
      </c>
      <c r="S2106">
        <f>IF(OR(calendar[[#This Row],[PT_BH]]=1,calendar[[#This Row],[WeekDay]]=1, calendar[[#This Row],[WeekDay]]=7),P2105,P2105+1)</f>
        <v>1504</v>
      </c>
    </row>
    <row r="2107" spans="1:19" x14ac:dyDescent="0.25">
      <c r="A2107" s="2">
        <v>44841</v>
      </c>
      <c r="B2107" s="1">
        <f t="shared" si="163"/>
        <v>41</v>
      </c>
      <c r="C2107">
        <f t="shared" si="165"/>
        <v>10</v>
      </c>
      <c r="D2107" t="str">
        <f t="shared" si="166"/>
        <v>October</v>
      </c>
      <c r="E2107">
        <f t="shared" si="167"/>
        <v>2022</v>
      </c>
      <c r="F2107" t="str">
        <f>CONCATENATE(calendar[[#This Row],[Month]],"/",calendar[[#This Row],[Year]])</f>
        <v>10/2022</v>
      </c>
      <c r="G2107">
        <f>WEEKDAY(calendar[[#This Row],[Date]],1)</f>
        <v>6</v>
      </c>
      <c r="H2107" t="str">
        <f>TEXT(calendar[[#This Row],[WeekDay]],"dddd")</f>
        <v>Friday</v>
      </c>
      <c r="I2107">
        <f>IF((INT(calendar[[#This Row],[Count]]/7)-calendar[[#This Row],[Count]]/7)&lt;0,I2106,I2106+1)</f>
        <v>301</v>
      </c>
      <c r="J2107">
        <f t="shared" si="164"/>
        <v>2105</v>
      </c>
      <c r="K2107">
        <f>IF(calendar[[#This Row],[Month]]&lt;4,1,IF(calendar[[#This Row],[Month]]&lt;7,2,IF(calendar[[#This Row],[Month]]&lt;10,3,4)))</f>
        <v>4</v>
      </c>
      <c r="L2107">
        <f>IFERROR(IF(VLOOKUP(calendar[[#This Row],[Date]],BH!A:A,1,)&lt;&gt;"",1,0),0)</f>
        <v>0</v>
      </c>
      <c r="M2107">
        <f>IFERROR(IF(VLOOKUP(calendar[[#This Row],[Date]],BH!C:C,1,)&lt;&gt;"",1,0),0)</f>
        <v>0</v>
      </c>
      <c r="N2107">
        <f>IFERROR(IF(VLOOKUP(calendar[[#This Row],[Date]],BH!E:E,1,)&lt;&gt;"",1,0),0)</f>
        <v>0</v>
      </c>
      <c r="O2107">
        <f>IFERROR(IF(VLOOKUP(calendar[[#This Row],[Date]],BH!G:G,1,)&lt;&gt;"",1,0),0)</f>
        <v>0</v>
      </c>
      <c r="P2107">
        <f>IF(OR(calendar[[#This Row],[UK_BH]]=1,calendar[[#This Row],[WeekDay]]=1, calendar[[#This Row],[WeekDay]]=7),P2106,P2106+1)</f>
        <v>1505</v>
      </c>
      <c r="Q2107">
        <f>IF(OR(calendar[[#This Row],[FR_BH]]=1,calendar[[#This Row],[WeekDay]]=1, calendar[[#This Row],[WeekDay]]=7),P2106,P2106+1)</f>
        <v>1505</v>
      </c>
      <c r="R2107">
        <f>IF(OR(calendar[[#This Row],[SP_BH]]=1,calendar[[#This Row],[WeekDay]]=1, calendar[[#This Row],[WeekDay]]=7),P2106,P2106+1)</f>
        <v>1505</v>
      </c>
      <c r="S2107">
        <f>IF(OR(calendar[[#This Row],[PT_BH]]=1,calendar[[#This Row],[WeekDay]]=1, calendar[[#This Row],[WeekDay]]=7),P2106,P2106+1)</f>
        <v>1505</v>
      </c>
    </row>
    <row r="2108" spans="1:19" x14ac:dyDescent="0.25">
      <c r="A2108" s="2">
        <v>44842</v>
      </c>
      <c r="B2108" s="1">
        <f t="shared" si="163"/>
        <v>41</v>
      </c>
      <c r="C2108">
        <f t="shared" si="165"/>
        <v>10</v>
      </c>
      <c r="D2108" t="str">
        <f t="shared" si="166"/>
        <v>October</v>
      </c>
      <c r="E2108">
        <f t="shared" si="167"/>
        <v>2022</v>
      </c>
      <c r="F2108" t="str">
        <f>CONCATENATE(calendar[[#This Row],[Month]],"/",calendar[[#This Row],[Year]])</f>
        <v>10/2022</v>
      </c>
      <c r="G2108">
        <f>WEEKDAY(calendar[[#This Row],[Date]],1)</f>
        <v>7</v>
      </c>
      <c r="H2108" t="str">
        <f>TEXT(calendar[[#This Row],[WeekDay]],"dddd")</f>
        <v>Saturday</v>
      </c>
      <c r="I2108">
        <f>IF((INT(calendar[[#This Row],[Count]]/7)-calendar[[#This Row],[Count]]/7)&lt;0,I2107,I2107+1)</f>
        <v>301</v>
      </c>
      <c r="J2108">
        <f t="shared" si="164"/>
        <v>2106</v>
      </c>
      <c r="K2108">
        <f>IF(calendar[[#This Row],[Month]]&lt;4,1,IF(calendar[[#This Row],[Month]]&lt;7,2,IF(calendar[[#This Row],[Month]]&lt;10,3,4)))</f>
        <v>4</v>
      </c>
      <c r="L2108">
        <f>IFERROR(IF(VLOOKUP(calendar[[#This Row],[Date]],BH!A:A,1,)&lt;&gt;"",1,0),0)</f>
        <v>0</v>
      </c>
      <c r="M2108">
        <f>IFERROR(IF(VLOOKUP(calendar[[#This Row],[Date]],BH!C:C,1,)&lt;&gt;"",1,0),0)</f>
        <v>0</v>
      </c>
      <c r="N2108">
        <f>IFERROR(IF(VLOOKUP(calendar[[#This Row],[Date]],BH!E:E,1,)&lt;&gt;"",1,0),0)</f>
        <v>0</v>
      </c>
      <c r="O2108">
        <f>IFERROR(IF(VLOOKUP(calendar[[#This Row],[Date]],BH!G:G,1,)&lt;&gt;"",1,0),0)</f>
        <v>0</v>
      </c>
      <c r="P2108">
        <f>IF(OR(calendar[[#This Row],[UK_BH]]=1,calendar[[#This Row],[WeekDay]]=1, calendar[[#This Row],[WeekDay]]=7),P2107,P2107+1)</f>
        <v>1505</v>
      </c>
      <c r="Q2108">
        <f>IF(OR(calendar[[#This Row],[FR_BH]]=1,calendar[[#This Row],[WeekDay]]=1, calendar[[#This Row],[WeekDay]]=7),P2107,P2107+1)</f>
        <v>1505</v>
      </c>
      <c r="R2108">
        <f>IF(OR(calendar[[#This Row],[SP_BH]]=1,calendar[[#This Row],[WeekDay]]=1, calendar[[#This Row],[WeekDay]]=7),P2107,P2107+1)</f>
        <v>1505</v>
      </c>
      <c r="S2108">
        <f>IF(OR(calendar[[#This Row],[PT_BH]]=1,calendar[[#This Row],[WeekDay]]=1, calendar[[#This Row],[WeekDay]]=7),P2107,P2107+1)</f>
        <v>1505</v>
      </c>
    </row>
    <row r="2109" spans="1:19" x14ac:dyDescent="0.25">
      <c r="A2109" s="2">
        <v>44843</v>
      </c>
      <c r="B2109" s="1">
        <f t="shared" si="163"/>
        <v>42</v>
      </c>
      <c r="C2109">
        <f t="shared" si="165"/>
        <v>10</v>
      </c>
      <c r="D2109" t="str">
        <f t="shared" si="166"/>
        <v>October</v>
      </c>
      <c r="E2109">
        <f t="shared" si="167"/>
        <v>2022</v>
      </c>
      <c r="F2109" t="str">
        <f>CONCATENATE(calendar[[#This Row],[Month]],"/",calendar[[#This Row],[Year]])</f>
        <v>10/2022</v>
      </c>
      <c r="G2109">
        <f>WEEKDAY(calendar[[#This Row],[Date]],1)</f>
        <v>1</v>
      </c>
      <c r="H2109" t="str">
        <f>TEXT(calendar[[#This Row],[WeekDay]],"dddd")</f>
        <v>Sunday</v>
      </c>
      <c r="I2109">
        <f>IF((INT(calendar[[#This Row],[Count]]/7)-calendar[[#This Row],[Count]]/7)&lt;0,I2108,I2108+1)</f>
        <v>302</v>
      </c>
      <c r="J2109">
        <f t="shared" si="164"/>
        <v>2107</v>
      </c>
      <c r="K2109">
        <f>IF(calendar[[#This Row],[Month]]&lt;4,1,IF(calendar[[#This Row],[Month]]&lt;7,2,IF(calendar[[#This Row],[Month]]&lt;10,3,4)))</f>
        <v>4</v>
      </c>
      <c r="L2109">
        <f>IFERROR(IF(VLOOKUP(calendar[[#This Row],[Date]],BH!A:A,1,)&lt;&gt;"",1,0),0)</f>
        <v>0</v>
      </c>
      <c r="M2109">
        <f>IFERROR(IF(VLOOKUP(calendar[[#This Row],[Date]],BH!C:C,1,)&lt;&gt;"",1,0),0)</f>
        <v>0</v>
      </c>
      <c r="N2109">
        <f>IFERROR(IF(VLOOKUP(calendar[[#This Row],[Date]],BH!E:E,1,)&lt;&gt;"",1,0),0)</f>
        <v>0</v>
      </c>
      <c r="O2109">
        <f>IFERROR(IF(VLOOKUP(calendar[[#This Row],[Date]],BH!G:G,1,)&lt;&gt;"",1,0),0)</f>
        <v>0</v>
      </c>
      <c r="P2109">
        <f>IF(OR(calendar[[#This Row],[UK_BH]]=1,calendar[[#This Row],[WeekDay]]=1, calendar[[#This Row],[WeekDay]]=7),P2108,P2108+1)</f>
        <v>1505</v>
      </c>
      <c r="Q2109">
        <f>IF(OR(calendar[[#This Row],[FR_BH]]=1,calendar[[#This Row],[WeekDay]]=1, calendar[[#This Row],[WeekDay]]=7),P2108,P2108+1)</f>
        <v>1505</v>
      </c>
      <c r="R2109">
        <f>IF(OR(calendar[[#This Row],[SP_BH]]=1,calendar[[#This Row],[WeekDay]]=1, calendar[[#This Row],[WeekDay]]=7),P2108,P2108+1)</f>
        <v>1505</v>
      </c>
      <c r="S2109">
        <f>IF(OR(calendar[[#This Row],[PT_BH]]=1,calendar[[#This Row],[WeekDay]]=1, calendar[[#This Row],[WeekDay]]=7),P2108,P2108+1)</f>
        <v>1505</v>
      </c>
    </row>
    <row r="2110" spans="1:19" x14ac:dyDescent="0.25">
      <c r="A2110" s="2">
        <v>44844</v>
      </c>
      <c r="B2110" s="1">
        <f t="shared" si="163"/>
        <v>42</v>
      </c>
      <c r="C2110">
        <f t="shared" si="165"/>
        <v>10</v>
      </c>
      <c r="D2110" t="str">
        <f t="shared" si="166"/>
        <v>October</v>
      </c>
      <c r="E2110">
        <f t="shared" si="167"/>
        <v>2022</v>
      </c>
      <c r="F2110" t="str">
        <f>CONCATENATE(calendar[[#This Row],[Month]],"/",calendar[[#This Row],[Year]])</f>
        <v>10/2022</v>
      </c>
      <c r="G2110">
        <f>WEEKDAY(calendar[[#This Row],[Date]],1)</f>
        <v>2</v>
      </c>
      <c r="H2110" t="str">
        <f>TEXT(calendar[[#This Row],[WeekDay]],"dddd")</f>
        <v>Monday</v>
      </c>
      <c r="I2110">
        <f>IF((INT(calendar[[#This Row],[Count]]/7)-calendar[[#This Row],[Count]]/7)&lt;0,I2109,I2109+1)</f>
        <v>302</v>
      </c>
      <c r="J2110">
        <f t="shared" si="164"/>
        <v>2108</v>
      </c>
      <c r="K2110">
        <f>IF(calendar[[#This Row],[Month]]&lt;4,1,IF(calendar[[#This Row],[Month]]&lt;7,2,IF(calendar[[#This Row],[Month]]&lt;10,3,4)))</f>
        <v>4</v>
      </c>
      <c r="L2110">
        <f>IFERROR(IF(VLOOKUP(calendar[[#This Row],[Date]],BH!A:A,1,)&lt;&gt;"",1,0),0)</f>
        <v>0</v>
      </c>
      <c r="M2110">
        <f>IFERROR(IF(VLOOKUP(calendar[[#This Row],[Date]],BH!C:C,1,)&lt;&gt;"",1,0),0)</f>
        <v>0</v>
      </c>
      <c r="N2110">
        <f>IFERROR(IF(VLOOKUP(calendar[[#This Row],[Date]],BH!E:E,1,)&lt;&gt;"",1,0),0)</f>
        <v>0</v>
      </c>
      <c r="O2110">
        <f>IFERROR(IF(VLOOKUP(calendar[[#This Row],[Date]],BH!G:G,1,)&lt;&gt;"",1,0),0)</f>
        <v>0</v>
      </c>
      <c r="P2110">
        <f>IF(OR(calendar[[#This Row],[UK_BH]]=1,calendar[[#This Row],[WeekDay]]=1, calendar[[#This Row],[WeekDay]]=7),P2109,P2109+1)</f>
        <v>1506</v>
      </c>
      <c r="Q2110">
        <f>IF(OR(calendar[[#This Row],[FR_BH]]=1,calendar[[#This Row],[WeekDay]]=1, calendar[[#This Row],[WeekDay]]=7),P2109,P2109+1)</f>
        <v>1506</v>
      </c>
      <c r="R2110">
        <f>IF(OR(calendar[[#This Row],[SP_BH]]=1,calendar[[#This Row],[WeekDay]]=1, calendar[[#This Row],[WeekDay]]=7),P2109,P2109+1)</f>
        <v>1506</v>
      </c>
      <c r="S2110">
        <f>IF(OR(calendar[[#This Row],[PT_BH]]=1,calendar[[#This Row],[WeekDay]]=1, calendar[[#This Row],[WeekDay]]=7),P2109,P2109+1)</f>
        <v>1506</v>
      </c>
    </row>
    <row r="2111" spans="1:19" x14ac:dyDescent="0.25">
      <c r="A2111" s="2">
        <v>44845</v>
      </c>
      <c r="B2111" s="1">
        <f t="shared" si="163"/>
        <v>42</v>
      </c>
      <c r="C2111">
        <f t="shared" si="165"/>
        <v>10</v>
      </c>
      <c r="D2111" t="str">
        <f t="shared" si="166"/>
        <v>October</v>
      </c>
      <c r="E2111">
        <f t="shared" si="167"/>
        <v>2022</v>
      </c>
      <c r="F2111" t="str">
        <f>CONCATENATE(calendar[[#This Row],[Month]],"/",calendar[[#This Row],[Year]])</f>
        <v>10/2022</v>
      </c>
      <c r="G2111">
        <f>WEEKDAY(calendar[[#This Row],[Date]],1)</f>
        <v>3</v>
      </c>
      <c r="H2111" t="str">
        <f>TEXT(calendar[[#This Row],[WeekDay]],"dddd")</f>
        <v>Tuesday</v>
      </c>
      <c r="I2111">
        <f>IF((INT(calendar[[#This Row],[Count]]/7)-calendar[[#This Row],[Count]]/7)&lt;0,I2110,I2110+1)</f>
        <v>302</v>
      </c>
      <c r="J2111">
        <f t="shared" si="164"/>
        <v>2109</v>
      </c>
      <c r="K2111">
        <f>IF(calendar[[#This Row],[Month]]&lt;4,1,IF(calendar[[#This Row],[Month]]&lt;7,2,IF(calendar[[#This Row],[Month]]&lt;10,3,4)))</f>
        <v>4</v>
      </c>
      <c r="L2111">
        <f>IFERROR(IF(VLOOKUP(calendar[[#This Row],[Date]],BH!A:A,1,)&lt;&gt;"",1,0),0)</f>
        <v>0</v>
      </c>
      <c r="M2111">
        <f>IFERROR(IF(VLOOKUP(calendar[[#This Row],[Date]],BH!C:C,1,)&lt;&gt;"",1,0),0)</f>
        <v>0</v>
      </c>
      <c r="N2111">
        <f>IFERROR(IF(VLOOKUP(calendar[[#This Row],[Date]],BH!E:E,1,)&lt;&gt;"",1,0),0)</f>
        <v>0</v>
      </c>
      <c r="O2111">
        <f>IFERROR(IF(VLOOKUP(calendar[[#This Row],[Date]],BH!G:G,1,)&lt;&gt;"",1,0),0)</f>
        <v>0</v>
      </c>
      <c r="P2111">
        <f>IF(OR(calendar[[#This Row],[UK_BH]]=1,calendar[[#This Row],[WeekDay]]=1, calendar[[#This Row],[WeekDay]]=7),P2110,P2110+1)</f>
        <v>1507</v>
      </c>
      <c r="Q2111">
        <f>IF(OR(calendar[[#This Row],[FR_BH]]=1,calendar[[#This Row],[WeekDay]]=1, calendar[[#This Row],[WeekDay]]=7),P2110,P2110+1)</f>
        <v>1507</v>
      </c>
      <c r="R2111">
        <f>IF(OR(calendar[[#This Row],[SP_BH]]=1,calendar[[#This Row],[WeekDay]]=1, calendar[[#This Row],[WeekDay]]=7),P2110,P2110+1)</f>
        <v>1507</v>
      </c>
      <c r="S2111">
        <f>IF(OR(calendar[[#This Row],[PT_BH]]=1,calendar[[#This Row],[WeekDay]]=1, calendar[[#This Row],[WeekDay]]=7),P2110,P2110+1)</f>
        <v>1507</v>
      </c>
    </row>
    <row r="2112" spans="1:19" x14ac:dyDescent="0.25">
      <c r="A2112" s="2">
        <v>44846</v>
      </c>
      <c r="B2112" s="1">
        <f t="shared" si="163"/>
        <v>42</v>
      </c>
      <c r="C2112">
        <f t="shared" si="165"/>
        <v>10</v>
      </c>
      <c r="D2112" t="str">
        <f t="shared" si="166"/>
        <v>October</v>
      </c>
      <c r="E2112">
        <f t="shared" si="167"/>
        <v>2022</v>
      </c>
      <c r="F2112" t="str">
        <f>CONCATENATE(calendar[[#This Row],[Month]],"/",calendar[[#This Row],[Year]])</f>
        <v>10/2022</v>
      </c>
      <c r="G2112">
        <f>WEEKDAY(calendar[[#This Row],[Date]],1)</f>
        <v>4</v>
      </c>
      <c r="H2112" t="str">
        <f>TEXT(calendar[[#This Row],[WeekDay]],"dddd")</f>
        <v>Wednesday</v>
      </c>
      <c r="I2112">
        <f>IF((INT(calendar[[#This Row],[Count]]/7)-calendar[[#This Row],[Count]]/7)&lt;0,I2111,I2111+1)</f>
        <v>302</v>
      </c>
      <c r="J2112">
        <f t="shared" si="164"/>
        <v>2110</v>
      </c>
      <c r="K2112">
        <f>IF(calendar[[#This Row],[Month]]&lt;4,1,IF(calendar[[#This Row],[Month]]&lt;7,2,IF(calendar[[#This Row],[Month]]&lt;10,3,4)))</f>
        <v>4</v>
      </c>
      <c r="L2112">
        <f>IFERROR(IF(VLOOKUP(calendar[[#This Row],[Date]],BH!A:A,1,)&lt;&gt;"",1,0),0)</f>
        <v>0</v>
      </c>
      <c r="M2112">
        <f>IFERROR(IF(VLOOKUP(calendar[[#This Row],[Date]],BH!C:C,1,)&lt;&gt;"",1,0),0)</f>
        <v>0</v>
      </c>
      <c r="N2112">
        <f>IFERROR(IF(VLOOKUP(calendar[[#This Row],[Date]],BH!E:E,1,)&lt;&gt;"",1,0),0)</f>
        <v>0</v>
      </c>
      <c r="O2112">
        <f>IFERROR(IF(VLOOKUP(calendar[[#This Row],[Date]],BH!G:G,1,)&lt;&gt;"",1,0),0)</f>
        <v>0</v>
      </c>
      <c r="P2112">
        <f>IF(OR(calendar[[#This Row],[UK_BH]]=1,calendar[[#This Row],[WeekDay]]=1, calendar[[#This Row],[WeekDay]]=7),P2111,P2111+1)</f>
        <v>1508</v>
      </c>
      <c r="Q2112">
        <f>IF(OR(calendar[[#This Row],[FR_BH]]=1,calendar[[#This Row],[WeekDay]]=1, calendar[[#This Row],[WeekDay]]=7),P2111,P2111+1)</f>
        <v>1508</v>
      </c>
      <c r="R2112">
        <f>IF(OR(calendar[[#This Row],[SP_BH]]=1,calendar[[#This Row],[WeekDay]]=1, calendar[[#This Row],[WeekDay]]=7),P2111,P2111+1)</f>
        <v>1508</v>
      </c>
      <c r="S2112">
        <f>IF(OR(calendar[[#This Row],[PT_BH]]=1,calendar[[#This Row],[WeekDay]]=1, calendar[[#This Row],[WeekDay]]=7),P2111,P2111+1)</f>
        <v>1508</v>
      </c>
    </row>
    <row r="2113" spans="1:19" x14ac:dyDescent="0.25">
      <c r="A2113" s="2">
        <v>44847</v>
      </c>
      <c r="B2113" s="1">
        <f t="shared" si="163"/>
        <v>42</v>
      </c>
      <c r="C2113">
        <f t="shared" si="165"/>
        <v>10</v>
      </c>
      <c r="D2113" t="str">
        <f t="shared" si="166"/>
        <v>October</v>
      </c>
      <c r="E2113">
        <f t="shared" si="167"/>
        <v>2022</v>
      </c>
      <c r="F2113" t="str">
        <f>CONCATENATE(calendar[[#This Row],[Month]],"/",calendar[[#This Row],[Year]])</f>
        <v>10/2022</v>
      </c>
      <c r="G2113">
        <f>WEEKDAY(calendar[[#This Row],[Date]],1)</f>
        <v>5</v>
      </c>
      <c r="H2113" t="str">
        <f>TEXT(calendar[[#This Row],[WeekDay]],"dddd")</f>
        <v>Thursday</v>
      </c>
      <c r="I2113">
        <f>IF((INT(calendar[[#This Row],[Count]]/7)-calendar[[#This Row],[Count]]/7)&lt;0,I2112,I2112+1)</f>
        <v>302</v>
      </c>
      <c r="J2113">
        <f t="shared" si="164"/>
        <v>2111</v>
      </c>
      <c r="K2113">
        <f>IF(calendar[[#This Row],[Month]]&lt;4,1,IF(calendar[[#This Row],[Month]]&lt;7,2,IF(calendar[[#This Row],[Month]]&lt;10,3,4)))</f>
        <v>4</v>
      </c>
      <c r="L2113">
        <f>IFERROR(IF(VLOOKUP(calendar[[#This Row],[Date]],BH!A:A,1,)&lt;&gt;"",1,0),0)</f>
        <v>0</v>
      </c>
      <c r="M2113">
        <f>IFERROR(IF(VLOOKUP(calendar[[#This Row],[Date]],BH!C:C,1,)&lt;&gt;"",1,0),0)</f>
        <v>0</v>
      </c>
      <c r="N2113">
        <f>IFERROR(IF(VLOOKUP(calendar[[#This Row],[Date]],BH!E:E,1,)&lt;&gt;"",1,0),0)</f>
        <v>0</v>
      </c>
      <c r="O2113">
        <f>IFERROR(IF(VLOOKUP(calendar[[#This Row],[Date]],BH!G:G,1,)&lt;&gt;"",1,0),0)</f>
        <v>0</v>
      </c>
      <c r="P2113">
        <f>IF(OR(calendar[[#This Row],[UK_BH]]=1,calendar[[#This Row],[WeekDay]]=1, calendar[[#This Row],[WeekDay]]=7),P2112,P2112+1)</f>
        <v>1509</v>
      </c>
      <c r="Q2113">
        <f>IF(OR(calendar[[#This Row],[FR_BH]]=1,calendar[[#This Row],[WeekDay]]=1, calendar[[#This Row],[WeekDay]]=7),P2112,P2112+1)</f>
        <v>1509</v>
      </c>
      <c r="R2113">
        <f>IF(OR(calendar[[#This Row],[SP_BH]]=1,calendar[[#This Row],[WeekDay]]=1, calendar[[#This Row],[WeekDay]]=7),P2112,P2112+1)</f>
        <v>1509</v>
      </c>
      <c r="S2113">
        <f>IF(OR(calendar[[#This Row],[PT_BH]]=1,calendar[[#This Row],[WeekDay]]=1, calendar[[#This Row],[WeekDay]]=7),P2112,P2112+1)</f>
        <v>1509</v>
      </c>
    </row>
    <row r="2114" spans="1:19" x14ac:dyDescent="0.25">
      <c r="A2114" s="2">
        <v>44848</v>
      </c>
      <c r="B2114" s="1">
        <f t="shared" ref="B2114:B2177" si="168">WEEKNUM(A2114)</f>
        <v>42</v>
      </c>
      <c r="C2114">
        <f t="shared" si="165"/>
        <v>10</v>
      </c>
      <c r="D2114" t="str">
        <f t="shared" si="166"/>
        <v>October</v>
      </c>
      <c r="E2114">
        <f t="shared" si="167"/>
        <v>2022</v>
      </c>
      <c r="F2114" t="str">
        <f>CONCATENATE(calendar[[#This Row],[Month]],"/",calendar[[#This Row],[Year]])</f>
        <v>10/2022</v>
      </c>
      <c r="G2114">
        <f>WEEKDAY(calendar[[#This Row],[Date]],1)</f>
        <v>6</v>
      </c>
      <c r="H2114" t="str">
        <f>TEXT(calendar[[#This Row],[WeekDay]],"dddd")</f>
        <v>Friday</v>
      </c>
      <c r="I2114">
        <f>IF((INT(calendar[[#This Row],[Count]]/7)-calendar[[#This Row],[Count]]/7)&lt;0,I2113,I2113+1)</f>
        <v>302</v>
      </c>
      <c r="J2114">
        <f t="shared" si="164"/>
        <v>2112</v>
      </c>
      <c r="K2114">
        <f>IF(calendar[[#This Row],[Month]]&lt;4,1,IF(calendar[[#This Row],[Month]]&lt;7,2,IF(calendar[[#This Row],[Month]]&lt;10,3,4)))</f>
        <v>4</v>
      </c>
      <c r="L2114">
        <f>IFERROR(IF(VLOOKUP(calendar[[#This Row],[Date]],BH!A:A,1,)&lt;&gt;"",1,0),0)</f>
        <v>0</v>
      </c>
      <c r="M2114">
        <f>IFERROR(IF(VLOOKUP(calendar[[#This Row],[Date]],BH!C:C,1,)&lt;&gt;"",1,0),0)</f>
        <v>0</v>
      </c>
      <c r="N2114">
        <f>IFERROR(IF(VLOOKUP(calendar[[#This Row],[Date]],BH!E:E,1,)&lt;&gt;"",1,0),0)</f>
        <v>0</v>
      </c>
      <c r="O2114">
        <f>IFERROR(IF(VLOOKUP(calendar[[#This Row],[Date]],BH!G:G,1,)&lt;&gt;"",1,0),0)</f>
        <v>0</v>
      </c>
      <c r="P2114">
        <f>IF(OR(calendar[[#This Row],[UK_BH]]=1,calendar[[#This Row],[WeekDay]]=1, calendar[[#This Row],[WeekDay]]=7),P2113,P2113+1)</f>
        <v>1510</v>
      </c>
      <c r="Q2114">
        <f>IF(OR(calendar[[#This Row],[FR_BH]]=1,calendar[[#This Row],[WeekDay]]=1, calendar[[#This Row],[WeekDay]]=7),P2113,P2113+1)</f>
        <v>1510</v>
      </c>
      <c r="R2114">
        <f>IF(OR(calendar[[#This Row],[SP_BH]]=1,calendar[[#This Row],[WeekDay]]=1, calendar[[#This Row],[WeekDay]]=7),P2113,P2113+1)</f>
        <v>1510</v>
      </c>
      <c r="S2114">
        <f>IF(OR(calendar[[#This Row],[PT_BH]]=1,calendar[[#This Row],[WeekDay]]=1, calendar[[#This Row],[WeekDay]]=7),P2113,P2113+1)</f>
        <v>1510</v>
      </c>
    </row>
    <row r="2115" spans="1:19" x14ac:dyDescent="0.25">
      <c r="A2115" s="2">
        <v>44849</v>
      </c>
      <c r="B2115" s="1">
        <f t="shared" si="168"/>
        <v>42</v>
      </c>
      <c r="C2115">
        <f t="shared" si="165"/>
        <v>10</v>
      </c>
      <c r="D2115" t="str">
        <f t="shared" si="166"/>
        <v>October</v>
      </c>
      <c r="E2115">
        <f t="shared" si="167"/>
        <v>2022</v>
      </c>
      <c r="F2115" t="str">
        <f>CONCATENATE(calendar[[#This Row],[Month]],"/",calendar[[#This Row],[Year]])</f>
        <v>10/2022</v>
      </c>
      <c r="G2115">
        <f>WEEKDAY(calendar[[#This Row],[Date]],1)</f>
        <v>7</v>
      </c>
      <c r="H2115" t="str">
        <f>TEXT(calendar[[#This Row],[WeekDay]],"dddd")</f>
        <v>Saturday</v>
      </c>
      <c r="I2115">
        <f>IF((INT(calendar[[#This Row],[Count]]/7)-calendar[[#This Row],[Count]]/7)&lt;0,I2114,I2114+1)</f>
        <v>302</v>
      </c>
      <c r="J2115">
        <f t="shared" ref="J2115:J2178" si="169">J2114+1</f>
        <v>2113</v>
      </c>
      <c r="K2115">
        <f>IF(calendar[[#This Row],[Month]]&lt;4,1,IF(calendar[[#This Row],[Month]]&lt;7,2,IF(calendar[[#This Row],[Month]]&lt;10,3,4)))</f>
        <v>4</v>
      </c>
      <c r="L2115">
        <f>IFERROR(IF(VLOOKUP(calendar[[#This Row],[Date]],BH!A:A,1,)&lt;&gt;"",1,0),0)</f>
        <v>0</v>
      </c>
      <c r="M2115">
        <f>IFERROR(IF(VLOOKUP(calendar[[#This Row],[Date]],BH!C:C,1,)&lt;&gt;"",1,0),0)</f>
        <v>0</v>
      </c>
      <c r="N2115">
        <f>IFERROR(IF(VLOOKUP(calendar[[#This Row],[Date]],BH!E:E,1,)&lt;&gt;"",1,0),0)</f>
        <v>0</v>
      </c>
      <c r="O2115">
        <f>IFERROR(IF(VLOOKUP(calendar[[#This Row],[Date]],BH!G:G,1,)&lt;&gt;"",1,0),0)</f>
        <v>0</v>
      </c>
      <c r="P2115">
        <f>IF(OR(calendar[[#This Row],[UK_BH]]=1,calendar[[#This Row],[WeekDay]]=1, calendar[[#This Row],[WeekDay]]=7),P2114,P2114+1)</f>
        <v>1510</v>
      </c>
      <c r="Q2115">
        <f>IF(OR(calendar[[#This Row],[FR_BH]]=1,calendar[[#This Row],[WeekDay]]=1, calendar[[#This Row],[WeekDay]]=7),P2114,P2114+1)</f>
        <v>1510</v>
      </c>
      <c r="R2115">
        <f>IF(OR(calendar[[#This Row],[SP_BH]]=1,calendar[[#This Row],[WeekDay]]=1, calendar[[#This Row],[WeekDay]]=7),P2114,P2114+1)</f>
        <v>1510</v>
      </c>
      <c r="S2115">
        <f>IF(OR(calendar[[#This Row],[PT_BH]]=1,calendar[[#This Row],[WeekDay]]=1, calendar[[#This Row],[WeekDay]]=7),P2114,P2114+1)</f>
        <v>1510</v>
      </c>
    </row>
    <row r="2116" spans="1:19" x14ac:dyDescent="0.25">
      <c r="A2116" s="2">
        <v>44850</v>
      </c>
      <c r="B2116" s="1">
        <f t="shared" si="168"/>
        <v>43</v>
      </c>
      <c r="C2116">
        <f t="shared" si="165"/>
        <v>10</v>
      </c>
      <c r="D2116" t="str">
        <f t="shared" si="166"/>
        <v>October</v>
      </c>
      <c r="E2116">
        <f t="shared" si="167"/>
        <v>2022</v>
      </c>
      <c r="F2116" t="str">
        <f>CONCATENATE(calendar[[#This Row],[Month]],"/",calendar[[#This Row],[Year]])</f>
        <v>10/2022</v>
      </c>
      <c r="G2116">
        <f>WEEKDAY(calendar[[#This Row],[Date]],1)</f>
        <v>1</v>
      </c>
      <c r="H2116" t="str">
        <f>TEXT(calendar[[#This Row],[WeekDay]],"dddd")</f>
        <v>Sunday</v>
      </c>
      <c r="I2116">
        <f>IF((INT(calendar[[#This Row],[Count]]/7)-calendar[[#This Row],[Count]]/7)&lt;0,I2115,I2115+1)</f>
        <v>303</v>
      </c>
      <c r="J2116">
        <f t="shared" si="169"/>
        <v>2114</v>
      </c>
      <c r="K2116">
        <f>IF(calendar[[#This Row],[Month]]&lt;4,1,IF(calendar[[#This Row],[Month]]&lt;7,2,IF(calendar[[#This Row],[Month]]&lt;10,3,4)))</f>
        <v>4</v>
      </c>
      <c r="L2116">
        <f>IFERROR(IF(VLOOKUP(calendar[[#This Row],[Date]],BH!A:A,1,)&lt;&gt;"",1,0),0)</f>
        <v>0</v>
      </c>
      <c r="M2116">
        <f>IFERROR(IF(VLOOKUP(calendar[[#This Row],[Date]],BH!C:C,1,)&lt;&gt;"",1,0),0)</f>
        <v>0</v>
      </c>
      <c r="N2116">
        <f>IFERROR(IF(VLOOKUP(calendar[[#This Row],[Date]],BH!E:E,1,)&lt;&gt;"",1,0),0)</f>
        <v>0</v>
      </c>
      <c r="O2116">
        <f>IFERROR(IF(VLOOKUP(calendar[[#This Row],[Date]],BH!G:G,1,)&lt;&gt;"",1,0),0)</f>
        <v>0</v>
      </c>
      <c r="P2116">
        <f>IF(OR(calendar[[#This Row],[UK_BH]]=1,calendar[[#This Row],[WeekDay]]=1, calendar[[#This Row],[WeekDay]]=7),P2115,P2115+1)</f>
        <v>1510</v>
      </c>
      <c r="Q2116">
        <f>IF(OR(calendar[[#This Row],[FR_BH]]=1,calendar[[#This Row],[WeekDay]]=1, calendar[[#This Row],[WeekDay]]=7),P2115,P2115+1)</f>
        <v>1510</v>
      </c>
      <c r="R2116">
        <f>IF(OR(calendar[[#This Row],[SP_BH]]=1,calendar[[#This Row],[WeekDay]]=1, calendar[[#This Row],[WeekDay]]=7),P2115,P2115+1)</f>
        <v>1510</v>
      </c>
      <c r="S2116">
        <f>IF(OR(calendar[[#This Row],[PT_BH]]=1,calendar[[#This Row],[WeekDay]]=1, calendar[[#This Row],[WeekDay]]=7),P2115,P2115+1)</f>
        <v>1510</v>
      </c>
    </row>
    <row r="2117" spans="1:19" x14ac:dyDescent="0.25">
      <c r="A2117" s="2">
        <v>44851</v>
      </c>
      <c r="B2117" s="1">
        <f t="shared" si="168"/>
        <v>43</v>
      </c>
      <c r="C2117">
        <f t="shared" si="165"/>
        <v>10</v>
      </c>
      <c r="D2117" t="str">
        <f t="shared" si="166"/>
        <v>October</v>
      </c>
      <c r="E2117">
        <f t="shared" si="167"/>
        <v>2022</v>
      </c>
      <c r="F2117" t="str">
        <f>CONCATENATE(calendar[[#This Row],[Month]],"/",calendar[[#This Row],[Year]])</f>
        <v>10/2022</v>
      </c>
      <c r="G2117">
        <f>WEEKDAY(calendar[[#This Row],[Date]],1)</f>
        <v>2</v>
      </c>
      <c r="H2117" t="str">
        <f>TEXT(calendar[[#This Row],[WeekDay]],"dddd")</f>
        <v>Monday</v>
      </c>
      <c r="I2117">
        <f>IF((INT(calendar[[#This Row],[Count]]/7)-calendar[[#This Row],[Count]]/7)&lt;0,I2116,I2116+1)</f>
        <v>303</v>
      </c>
      <c r="J2117">
        <f t="shared" si="169"/>
        <v>2115</v>
      </c>
      <c r="K2117">
        <f>IF(calendar[[#This Row],[Month]]&lt;4,1,IF(calendar[[#This Row],[Month]]&lt;7,2,IF(calendar[[#This Row],[Month]]&lt;10,3,4)))</f>
        <v>4</v>
      </c>
      <c r="L2117">
        <f>IFERROR(IF(VLOOKUP(calendar[[#This Row],[Date]],BH!A:A,1,)&lt;&gt;"",1,0),0)</f>
        <v>0</v>
      </c>
      <c r="M2117">
        <f>IFERROR(IF(VLOOKUP(calendar[[#This Row],[Date]],BH!C:C,1,)&lt;&gt;"",1,0),0)</f>
        <v>0</v>
      </c>
      <c r="N2117">
        <f>IFERROR(IF(VLOOKUP(calendar[[#This Row],[Date]],BH!E:E,1,)&lt;&gt;"",1,0),0)</f>
        <v>0</v>
      </c>
      <c r="O2117">
        <f>IFERROR(IF(VLOOKUP(calendar[[#This Row],[Date]],BH!G:G,1,)&lt;&gt;"",1,0),0)</f>
        <v>0</v>
      </c>
      <c r="P2117">
        <f>IF(OR(calendar[[#This Row],[UK_BH]]=1,calendar[[#This Row],[WeekDay]]=1, calendar[[#This Row],[WeekDay]]=7),P2116,P2116+1)</f>
        <v>1511</v>
      </c>
      <c r="Q2117">
        <f>IF(OR(calendar[[#This Row],[FR_BH]]=1,calendar[[#This Row],[WeekDay]]=1, calendar[[#This Row],[WeekDay]]=7),P2116,P2116+1)</f>
        <v>1511</v>
      </c>
      <c r="R2117">
        <f>IF(OR(calendar[[#This Row],[SP_BH]]=1,calendar[[#This Row],[WeekDay]]=1, calendar[[#This Row],[WeekDay]]=7),P2116,P2116+1)</f>
        <v>1511</v>
      </c>
      <c r="S2117">
        <f>IF(OR(calendar[[#This Row],[PT_BH]]=1,calendar[[#This Row],[WeekDay]]=1, calendar[[#This Row],[WeekDay]]=7),P2116,P2116+1)</f>
        <v>1511</v>
      </c>
    </row>
    <row r="2118" spans="1:19" x14ac:dyDescent="0.25">
      <c r="A2118" s="2">
        <v>44852</v>
      </c>
      <c r="B2118" s="1">
        <f t="shared" si="168"/>
        <v>43</v>
      </c>
      <c r="C2118">
        <f t="shared" si="165"/>
        <v>10</v>
      </c>
      <c r="D2118" t="str">
        <f t="shared" si="166"/>
        <v>October</v>
      </c>
      <c r="E2118">
        <f t="shared" si="167"/>
        <v>2022</v>
      </c>
      <c r="F2118" t="str">
        <f>CONCATENATE(calendar[[#This Row],[Month]],"/",calendar[[#This Row],[Year]])</f>
        <v>10/2022</v>
      </c>
      <c r="G2118">
        <f>WEEKDAY(calendar[[#This Row],[Date]],1)</f>
        <v>3</v>
      </c>
      <c r="H2118" t="str">
        <f>TEXT(calendar[[#This Row],[WeekDay]],"dddd")</f>
        <v>Tuesday</v>
      </c>
      <c r="I2118">
        <f>IF((INT(calendar[[#This Row],[Count]]/7)-calendar[[#This Row],[Count]]/7)&lt;0,I2117,I2117+1)</f>
        <v>303</v>
      </c>
      <c r="J2118">
        <f t="shared" si="169"/>
        <v>2116</v>
      </c>
      <c r="K2118">
        <f>IF(calendar[[#This Row],[Month]]&lt;4,1,IF(calendar[[#This Row],[Month]]&lt;7,2,IF(calendar[[#This Row],[Month]]&lt;10,3,4)))</f>
        <v>4</v>
      </c>
      <c r="L2118">
        <f>IFERROR(IF(VLOOKUP(calendar[[#This Row],[Date]],BH!A:A,1,)&lt;&gt;"",1,0),0)</f>
        <v>0</v>
      </c>
      <c r="M2118">
        <f>IFERROR(IF(VLOOKUP(calendar[[#This Row],[Date]],BH!C:C,1,)&lt;&gt;"",1,0),0)</f>
        <v>0</v>
      </c>
      <c r="N2118">
        <f>IFERROR(IF(VLOOKUP(calendar[[#This Row],[Date]],BH!E:E,1,)&lt;&gt;"",1,0),0)</f>
        <v>0</v>
      </c>
      <c r="O2118">
        <f>IFERROR(IF(VLOOKUP(calendar[[#This Row],[Date]],BH!G:G,1,)&lt;&gt;"",1,0),0)</f>
        <v>0</v>
      </c>
      <c r="P2118">
        <f>IF(OR(calendar[[#This Row],[UK_BH]]=1,calendar[[#This Row],[WeekDay]]=1, calendar[[#This Row],[WeekDay]]=7),P2117,P2117+1)</f>
        <v>1512</v>
      </c>
      <c r="Q2118">
        <f>IF(OR(calendar[[#This Row],[FR_BH]]=1,calendar[[#This Row],[WeekDay]]=1, calendar[[#This Row],[WeekDay]]=7),P2117,P2117+1)</f>
        <v>1512</v>
      </c>
      <c r="R2118">
        <f>IF(OR(calendar[[#This Row],[SP_BH]]=1,calendar[[#This Row],[WeekDay]]=1, calendar[[#This Row],[WeekDay]]=7),P2117,P2117+1)</f>
        <v>1512</v>
      </c>
      <c r="S2118">
        <f>IF(OR(calendar[[#This Row],[PT_BH]]=1,calendar[[#This Row],[WeekDay]]=1, calendar[[#This Row],[WeekDay]]=7),P2117,P2117+1)</f>
        <v>1512</v>
      </c>
    </row>
    <row r="2119" spans="1:19" x14ac:dyDescent="0.25">
      <c r="A2119" s="2">
        <v>44853</v>
      </c>
      <c r="B2119" s="1">
        <f t="shared" si="168"/>
        <v>43</v>
      </c>
      <c r="C2119">
        <f t="shared" si="165"/>
        <v>10</v>
      </c>
      <c r="D2119" t="str">
        <f t="shared" si="166"/>
        <v>October</v>
      </c>
      <c r="E2119">
        <f t="shared" si="167"/>
        <v>2022</v>
      </c>
      <c r="F2119" t="str">
        <f>CONCATENATE(calendar[[#This Row],[Month]],"/",calendar[[#This Row],[Year]])</f>
        <v>10/2022</v>
      </c>
      <c r="G2119">
        <f>WEEKDAY(calendar[[#This Row],[Date]],1)</f>
        <v>4</v>
      </c>
      <c r="H2119" t="str">
        <f>TEXT(calendar[[#This Row],[WeekDay]],"dddd")</f>
        <v>Wednesday</v>
      </c>
      <c r="I2119">
        <f>IF((INT(calendar[[#This Row],[Count]]/7)-calendar[[#This Row],[Count]]/7)&lt;0,I2118,I2118+1)</f>
        <v>303</v>
      </c>
      <c r="J2119">
        <f t="shared" si="169"/>
        <v>2117</v>
      </c>
      <c r="K2119">
        <f>IF(calendar[[#This Row],[Month]]&lt;4,1,IF(calendar[[#This Row],[Month]]&lt;7,2,IF(calendar[[#This Row],[Month]]&lt;10,3,4)))</f>
        <v>4</v>
      </c>
      <c r="L2119">
        <f>IFERROR(IF(VLOOKUP(calendar[[#This Row],[Date]],BH!A:A,1,)&lt;&gt;"",1,0),0)</f>
        <v>0</v>
      </c>
      <c r="M2119">
        <f>IFERROR(IF(VLOOKUP(calendar[[#This Row],[Date]],BH!C:C,1,)&lt;&gt;"",1,0),0)</f>
        <v>0</v>
      </c>
      <c r="N2119">
        <f>IFERROR(IF(VLOOKUP(calendar[[#This Row],[Date]],BH!E:E,1,)&lt;&gt;"",1,0),0)</f>
        <v>0</v>
      </c>
      <c r="O2119">
        <f>IFERROR(IF(VLOOKUP(calendar[[#This Row],[Date]],BH!G:G,1,)&lt;&gt;"",1,0),0)</f>
        <v>0</v>
      </c>
      <c r="P2119">
        <f>IF(OR(calendar[[#This Row],[UK_BH]]=1,calendar[[#This Row],[WeekDay]]=1, calendar[[#This Row],[WeekDay]]=7),P2118,P2118+1)</f>
        <v>1513</v>
      </c>
      <c r="Q2119">
        <f>IF(OR(calendar[[#This Row],[FR_BH]]=1,calendar[[#This Row],[WeekDay]]=1, calendar[[#This Row],[WeekDay]]=7),P2118,P2118+1)</f>
        <v>1513</v>
      </c>
      <c r="R2119">
        <f>IF(OR(calendar[[#This Row],[SP_BH]]=1,calendar[[#This Row],[WeekDay]]=1, calendar[[#This Row],[WeekDay]]=7),P2118,P2118+1)</f>
        <v>1513</v>
      </c>
      <c r="S2119">
        <f>IF(OR(calendar[[#This Row],[PT_BH]]=1,calendar[[#This Row],[WeekDay]]=1, calendar[[#This Row],[WeekDay]]=7),P2118,P2118+1)</f>
        <v>1513</v>
      </c>
    </row>
    <row r="2120" spans="1:19" x14ac:dyDescent="0.25">
      <c r="A2120" s="2">
        <v>44854</v>
      </c>
      <c r="B2120" s="1">
        <f t="shared" si="168"/>
        <v>43</v>
      </c>
      <c r="C2120">
        <f t="shared" si="165"/>
        <v>10</v>
      </c>
      <c r="D2120" t="str">
        <f t="shared" si="166"/>
        <v>October</v>
      </c>
      <c r="E2120">
        <f t="shared" si="167"/>
        <v>2022</v>
      </c>
      <c r="F2120" t="str">
        <f>CONCATENATE(calendar[[#This Row],[Month]],"/",calendar[[#This Row],[Year]])</f>
        <v>10/2022</v>
      </c>
      <c r="G2120">
        <f>WEEKDAY(calendar[[#This Row],[Date]],1)</f>
        <v>5</v>
      </c>
      <c r="H2120" t="str">
        <f>TEXT(calendar[[#This Row],[WeekDay]],"dddd")</f>
        <v>Thursday</v>
      </c>
      <c r="I2120">
        <f>IF((INT(calendar[[#This Row],[Count]]/7)-calendar[[#This Row],[Count]]/7)&lt;0,I2119,I2119+1)</f>
        <v>303</v>
      </c>
      <c r="J2120">
        <f t="shared" si="169"/>
        <v>2118</v>
      </c>
      <c r="K2120">
        <f>IF(calendar[[#This Row],[Month]]&lt;4,1,IF(calendar[[#This Row],[Month]]&lt;7,2,IF(calendar[[#This Row],[Month]]&lt;10,3,4)))</f>
        <v>4</v>
      </c>
      <c r="L2120">
        <f>IFERROR(IF(VLOOKUP(calendar[[#This Row],[Date]],BH!A:A,1,)&lt;&gt;"",1,0),0)</f>
        <v>0</v>
      </c>
      <c r="M2120">
        <f>IFERROR(IF(VLOOKUP(calendar[[#This Row],[Date]],BH!C:C,1,)&lt;&gt;"",1,0),0)</f>
        <v>0</v>
      </c>
      <c r="N2120">
        <f>IFERROR(IF(VLOOKUP(calendar[[#This Row],[Date]],BH!E:E,1,)&lt;&gt;"",1,0),0)</f>
        <v>0</v>
      </c>
      <c r="O2120">
        <f>IFERROR(IF(VLOOKUP(calendar[[#This Row],[Date]],BH!G:G,1,)&lt;&gt;"",1,0),0)</f>
        <v>0</v>
      </c>
      <c r="P2120">
        <f>IF(OR(calendar[[#This Row],[UK_BH]]=1,calendar[[#This Row],[WeekDay]]=1, calendar[[#This Row],[WeekDay]]=7),P2119,P2119+1)</f>
        <v>1514</v>
      </c>
      <c r="Q2120">
        <f>IF(OR(calendar[[#This Row],[FR_BH]]=1,calendar[[#This Row],[WeekDay]]=1, calendar[[#This Row],[WeekDay]]=7),P2119,P2119+1)</f>
        <v>1514</v>
      </c>
      <c r="R2120">
        <f>IF(OR(calendar[[#This Row],[SP_BH]]=1,calendar[[#This Row],[WeekDay]]=1, calendar[[#This Row],[WeekDay]]=7),P2119,P2119+1)</f>
        <v>1514</v>
      </c>
      <c r="S2120">
        <f>IF(OR(calendar[[#This Row],[PT_BH]]=1,calendar[[#This Row],[WeekDay]]=1, calendar[[#This Row],[WeekDay]]=7),P2119,P2119+1)</f>
        <v>1514</v>
      </c>
    </row>
    <row r="2121" spans="1:19" x14ac:dyDescent="0.25">
      <c r="A2121" s="2">
        <v>44855</v>
      </c>
      <c r="B2121" s="1">
        <f t="shared" si="168"/>
        <v>43</v>
      </c>
      <c r="C2121">
        <f t="shared" si="165"/>
        <v>10</v>
      </c>
      <c r="D2121" t="str">
        <f t="shared" si="166"/>
        <v>October</v>
      </c>
      <c r="E2121">
        <f t="shared" si="167"/>
        <v>2022</v>
      </c>
      <c r="F2121" t="str">
        <f>CONCATENATE(calendar[[#This Row],[Month]],"/",calendar[[#This Row],[Year]])</f>
        <v>10/2022</v>
      </c>
      <c r="G2121">
        <f>WEEKDAY(calendar[[#This Row],[Date]],1)</f>
        <v>6</v>
      </c>
      <c r="H2121" t="str">
        <f>TEXT(calendar[[#This Row],[WeekDay]],"dddd")</f>
        <v>Friday</v>
      </c>
      <c r="I2121">
        <f>IF((INT(calendar[[#This Row],[Count]]/7)-calendar[[#This Row],[Count]]/7)&lt;0,I2120,I2120+1)</f>
        <v>303</v>
      </c>
      <c r="J2121">
        <f t="shared" si="169"/>
        <v>2119</v>
      </c>
      <c r="K2121">
        <f>IF(calendar[[#This Row],[Month]]&lt;4,1,IF(calendar[[#This Row],[Month]]&lt;7,2,IF(calendar[[#This Row],[Month]]&lt;10,3,4)))</f>
        <v>4</v>
      </c>
      <c r="L2121">
        <f>IFERROR(IF(VLOOKUP(calendar[[#This Row],[Date]],BH!A:A,1,)&lt;&gt;"",1,0),0)</f>
        <v>0</v>
      </c>
      <c r="M2121">
        <f>IFERROR(IF(VLOOKUP(calendar[[#This Row],[Date]],BH!C:C,1,)&lt;&gt;"",1,0),0)</f>
        <v>0</v>
      </c>
      <c r="N2121">
        <f>IFERROR(IF(VLOOKUP(calendar[[#This Row],[Date]],BH!E:E,1,)&lt;&gt;"",1,0),0)</f>
        <v>0</v>
      </c>
      <c r="O2121">
        <f>IFERROR(IF(VLOOKUP(calendar[[#This Row],[Date]],BH!G:G,1,)&lt;&gt;"",1,0),0)</f>
        <v>0</v>
      </c>
      <c r="P2121">
        <f>IF(OR(calendar[[#This Row],[UK_BH]]=1,calendar[[#This Row],[WeekDay]]=1, calendar[[#This Row],[WeekDay]]=7),P2120,P2120+1)</f>
        <v>1515</v>
      </c>
      <c r="Q2121">
        <f>IF(OR(calendar[[#This Row],[FR_BH]]=1,calendar[[#This Row],[WeekDay]]=1, calendar[[#This Row],[WeekDay]]=7),P2120,P2120+1)</f>
        <v>1515</v>
      </c>
      <c r="R2121">
        <f>IF(OR(calendar[[#This Row],[SP_BH]]=1,calendar[[#This Row],[WeekDay]]=1, calendar[[#This Row],[WeekDay]]=7),P2120,P2120+1)</f>
        <v>1515</v>
      </c>
      <c r="S2121">
        <f>IF(OR(calendar[[#This Row],[PT_BH]]=1,calendar[[#This Row],[WeekDay]]=1, calendar[[#This Row],[WeekDay]]=7),P2120,P2120+1)</f>
        <v>1515</v>
      </c>
    </row>
    <row r="2122" spans="1:19" x14ac:dyDescent="0.25">
      <c r="A2122" s="2">
        <v>44856</v>
      </c>
      <c r="B2122" s="1">
        <f t="shared" si="168"/>
        <v>43</v>
      </c>
      <c r="C2122">
        <f t="shared" si="165"/>
        <v>10</v>
      </c>
      <c r="D2122" t="str">
        <f t="shared" si="166"/>
        <v>October</v>
      </c>
      <c r="E2122">
        <f t="shared" si="167"/>
        <v>2022</v>
      </c>
      <c r="F2122" t="str">
        <f>CONCATENATE(calendar[[#This Row],[Month]],"/",calendar[[#This Row],[Year]])</f>
        <v>10/2022</v>
      </c>
      <c r="G2122">
        <f>WEEKDAY(calendar[[#This Row],[Date]],1)</f>
        <v>7</v>
      </c>
      <c r="H2122" t="str">
        <f>TEXT(calendar[[#This Row],[WeekDay]],"dddd")</f>
        <v>Saturday</v>
      </c>
      <c r="I2122">
        <f>IF((INT(calendar[[#This Row],[Count]]/7)-calendar[[#This Row],[Count]]/7)&lt;0,I2121,I2121+1)</f>
        <v>303</v>
      </c>
      <c r="J2122">
        <f t="shared" si="169"/>
        <v>2120</v>
      </c>
      <c r="K2122">
        <f>IF(calendar[[#This Row],[Month]]&lt;4,1,IF(calendar[[#This Row],[Month]]&lt;7,2,IF(calendar[[#This Row],[Month]]&lt;10,3,4)))</f>
        <v>4</v>
      </c>
      <c r="L2122">
        <f>IFERROR(IF(VLOOKUP(calendar[[#This Row],[Date]],BH!A:A,1,)&lt;&gt;"",1,0),0)</f>
        <v>0</v>
      </c>
      <c r="M2122">
        <f>IFERROR(IF(VLOOKUP(calendar[[#This Row],[Date]],BH!C:C,1,)&lt;&gt;"",1,0),0)</f>
        <v>0</v>
      </c>
      <c r="N2122">
        <f>IFERROR(IF(VLOOKUP(calendar[[#This Row],[Date]],BH!E:E,1,)&lt;&gt;"",1,0),0)</f>
        <v>0</v>
      </c>
      <c r="O2122">
        <f>IFERROR(IF(VLOOKUP(calendar[[#This Row],[Date]],BH!G:G,1,)&lt;&gt;"",1,0),0)</f>
        <v>0</v>
      </c>
      <c r="P2122">
        <f>IF(OR(calendar[[#This Row],[UK_BH]]=1,calendar[[#This Row],[WeekDay]]=1, calendar[[#This Row],[WeekDay]]=7),P2121,P2121+1)</f>
        <v>1515</v>
      </c>
      <c r="Q2122">
        <f>IF(OR(calendar[[#This Row],[FR_BH]]=1,calendar[[#This Row],[WeekDay]]=1, calendar[[#This Row],[WeekDay]]=7),P2121,P2121+1)</f>
        <v>1515</v>
      </c>
      <c r="R2122">
        <f>IF(OR(calendar[[#This Row],[SP_BH]]=1,calendar[[#This Row],[WeekDay]]=1, calendar[[#This Row],[WeekDay]]=7),P2121,P2121+1)</f>
        <v>1515</v>
      </c>
      <c r="S2122">
        <f>IF(OR(calendar[[#This Row],[PT_BH]]=1,calendar[[#This Row],[WeekDay]]=1, calendar[[#This Row],[WeekDay]]=7),P2121,P2121+1)</f>
        <v>1515</v>
      </c>
    </row>
    <row r="2123" spans="1:19" x14ac:dyDescent="0.25">
      <c r="A2123" s="2">
        <v>44857</v>
      </c>
      <c r="B2123" s="1">
        <f t="shared" si="168"/>
        <v>44</v>
      </c>
      <c r="C2123">
        <f t="shared" si="165"/>
        <v>10</v>
      </c>
      <c r="D2123" t="str">
        <f t="shared" si="166"/>
        <v>October</v>
      </c>
      <c r="E2123">
        <f t="shared" si="167"/>
        <v>2022</v>
      </c>
      <c r="F2123" t="str">
        <f>CONCATENATE(calendar[[#This Row],[Month]],"/",calendar[[#This Row],[Year]])</f>
        <v>10/2022</v>
      </c>
      <c r="G2123">
        <f>WEEKDAY(calendar[[#This Row],[Date]],1)</f>
        <v>1</v>
      </c>
      <c r="H2123" t="str">
        <f>TEXT(calendar[[#This Row],[WeekDay]],"dddd")</f>
        <v>Sunday</v>
      </c>
      <c r="I2123">
        <f>IF((INT(calendar[[#This Row],[Count]]/7)-calendar[[#This Row],[Count]]/7)&lt;0,I2122,I2122+1)</f>
        <v>304</v>
      </c>
      <c r="J2123">
        <f t="shared" si="169"/>
        <v>2121</v>
      </c>
      <c r="K2123">
        <f>IF(calendar[[#This Row],[Month]]&lt;4,1,IF(calendar[[#This Row],[Month]]&lt;7,2,IF(calendar[[#This Row],[Month]]&lt;10,3,4)))</f>
        <v>4</v>
      </c>
      <c r="L2123">
        <f>IFERROR(IF(VLOOKUP(calendar[[#This Row],[Date]],BH!A:A,1,)&lt;&gt;"",1,0),0)</f>
        <v>0</v>
      </c>
      <c r="M2123">
        <f>IFERROR(IF(VLOOKUP(calendar[[#This Row],[Date]],BH!C:C,1,)&lt;&gt;"",1,0),0)</f>
        <v>0</v>
      </c>
      <c r="N2123">
        <f>IFERROR(IF(VLOOKUP(calendar[[#This Row],[Date]],BH!E:E,1,)&lt;&gt;"",1,0),0)</f>
        <v>0</v>
      </c>
      <c r="O2123">
        <f>IFERROR(IF(VLOOKUP(calendar[[#This Row],[Date]],BH!G:G,1,)&lt;&gt;"",1,0),0)</f>
        <v>0</v>
      </c>
      <c r="P2123">
        <f>IF(OR(calendar[[#This Row],[UK_BH]]=1,calendar[[#This Row],[WeekDay]]=1, calendar[[#This Row],[WeekDay]]=7),P2122,P2122+1)</f>
        <v>1515</v>
      </c>
      <c r="Q2123">
        <f>IF(OR(calendar[[#This Row],[FR_BH]]=1,calendar[[#This Row],[WeekDay]]=1, calendar[[#This Row],[WeekDay]]=7),P2122,P2122+1)</f>
        <v>1515</v>
      </c>
      <c r="R2123">
        <f>IF(OR(calendar[[#This Row],[SP_BH]]=1,calendar[[#This Row],[WeekDay]]=1, calendar[[#This Row],[WeekDay]]=7),P2122,P2122+1)</f>
        <v>1515</v>
      </c>
      <c r="S2123">
        <f>IF(OR(calendar[[#This Row],[PT_BH]]=1,calendar[[#This Row],[WeekDay]]=1, calendar[[#This Row],[WeekDay]]=7),P2122,P2122+1)</f>
        <v>1515</v>
      </c>
    </row>
    <row r="2124" spans="1:19" x14ac:dyDescent="0.25">
      <c r="A2124" s="2">
        <v>44858</v>
      </c>
      <c r="B2124" s="1">
        <f t="shared" si="168"/>
        <v>44</v>
      </c>
      <c r="C2124">
        <f t="shared" si="165"/>
        <v>10</v>
      </c>
      <c r="D2124" t="str">
        <f t="shared" si="166"/>
        <v>October</v>
      </c>
      <c r="E2124">
        <f t="shared" si="167"/>
        <v>2022</v>
      </c>
      <c r="F2124" t="str">
        <f>CONCATENATE(calendar[[#This Row],[Month]],"/",calendar[[#This Row],[Year]])</f>
        <v>10/2022</v>
      </c>
      <c r="G2124">
        <f>WEEKDAY(calendar[[#This Row],[Date]],1)</f>
        <v>2</v>
      </c>
      <c r="H2124" t="str">
        <f>TEXT(calendar[[#This Row],[WeekDay]],"dddd")</f>
        <v>Monday</v>
      </c>
      <c r="I2124">
        <f>IF((INT(calendar[[#This Row],[Count]]/7)-calendar[[#This Row],[Count]]/7)&lt;0,I2123,I2123+1)</f>
        <v>304</v>
      </c>
      <c r="J2124">
        <f t="shared" si="169"/>
        <v>2122</v>
      </c>
      <c r="K2124">
        <f>IF(calendar[[#This Row],[Month]]&lt;4,1,IF(calendar[[#This Row],[Month]]&lt;7,2,IF(calendar[[#This Row],[Month]]&lt;10,3,4)))</f>
        <v>4</v>
      </c>
      <c r="L2124">
        <f>IFERROR(IF(VLOOKUP(calendar[[#This Row],[Date]],BH!A:A,1,)&lt;&gt;"",1,0),0)</f>
        <v>0</v>
      </c>
      <c r="M2124">
        <f>IFERROR(IF(VLOOKUP(calendar[[#This Row],[Date]],BH!C:C,1,)&lt;&gt;"",1,0),0)</f>
        <v>0</v>
      </c>
      <c r="N2124">
        <f>IFERROR(IF(VLOOKUP(calendar[[#This Row],[Date]],BH!E:E,1,)&lt;&gt;"",1,0),0)</f>
        <v>0</v>
      </c>
      <c r="O2124">
        <f>IFERROR(IF(VLOOKUP(calendar[[#This Row],[Date]],BH!G:G,1,)&lt;&gt;"",1,0),0)</f>
        <v>0</v>
      </c>
      <c r="P2124">
        <f>IF(OR(calendar[[#This Row],[UK_BH]]=1,calendar[[#This Row],[WeekDay]]=1, calendar[[#This Row],[WeekDay]]=7),P2123,P2123+1)</f>
        <v>1516</v>
      </c>
      <c r="Q2124">
        <f>IF(OR(calendar[[#This Row],[FR_BH]]=1,calendar[[#This Row],[WeekDay]]=1, calendar[[#This Row],[WeekDay]]=7),P2123,P2123+1)</f>
        <v>1516</v>
      </c>
      <c r="R2124">
        <f>IF(OR(calendar[[#This Row],[SP_BH]]=1,calendar[[#This Row],[WeekDay]]=1, calendar[[#This Row],[WeekDay]]=7),P2123,P2123+1)</f>
        <v>1516</v>
      </c>
      <c r="S2124">
        <f>IF(OR(calendar[[#This Row],[PT_BH]]=1,calendar[[#This Row],[WeekDay]]=1, calendar[[#This Row],[WeekDay]]=7),P2123,P2123+1)</f>
        <v>1516</v>
      </c>
    </row>
    <row r="2125" spans="1:19" x14ac:dyDescent="0.25">
      <c r="A2125" s="2">
        <v>44859</v>
      </c>
      <c r="B2125" s="1">
        <f t="shared" si="168"/>
        <v>44</v>
      </c>
      <c r="C2125">
        <f t="shared" si="165"/>
        <v>10</v>
      </c>
      <c r="D2125" t="str">
        <f t="shared" si="166"/>
        <v>October</v>
      </c>
      <c r="E2125">
        <f t="shared" si="167"/>
        <v>2022</v>
      </c>
      <c r="F2125" t="str">
        <f>CONCATENATE(calendar[[#This Row],[Month]],"/",calendar[[#This Row],[Year]])</f>
        <v>10/2022</v>
      </c>
      <c r="G2125">
        <f>WEEKDAY(calendar[[#This Row],[Date]],1)</f>
        <v>3</v>
      </c>
      <c r="H2125" t="str">
        <f>TEXT(calendar[[#This Row],[WeekDay]],"dddd")</f>
        <v>Tuesday</v>
      </c>
      <c r="I2125">
        <f>IF((INT(calendar[[#This Row],[Count]]/7)-calendar[[#This Row],[Count]]/7)&lt;0,I2124,I2124+1)</f>
        <v>304</v>
      </c>
      <c r="J2125">
        <f t="shared" si="169"/>
        <v>2123</v>
      </c>
      <c r="K2125">
        <f>IF(calendar[[#This Row],[Month]]&lt;4,1,IF(calendar[[#This Row],[Month]]&lt;7,2,IF(calendar[[#This Row],[Month]]&lt;10,3,4)))</f>
        <v>4</v>
      </c>
      <c r="L2125">
        <f>IFERROR(IF(VLOOKUP(calendar[[#This Row],[Date]],BH!A:A,1,)&lt;&gt;"",1,0),0)</f>
        <v>0</v>
      </c>
      <c r="M2125">
        <f>IFERROR(IF(VLOOKUP(calendar[[#This Row],[Date]],BH!C:C,1,)&lt;&gt;"",1,0),0)</f>
        <v>0</v>
      </c>
      <c r="N2125">
        <f>IFERROR(IF(VLOOKUP(calendar[[#This Row],[Date]],BH!E:E,1,)&lt;&gt;"",1,0),0)</f>
        <v>0</v>
      </c>
      <c r="O2125">
        <f>IFERROR(IF(VLOOKUP(calendar[[#This Row],[Date]],BH!G:G,1,)&lt;&gt;"",1,0),0)</f>
        <v>0</v>
      </c>
      <c r="P2125">
        <f>IF(OR(calendar[[#This Row],[UK_BH]]=1,calendar[[#This Row],[WeekDay]]=1, calendar[[#This Row],[WeekDay]]=7),P2124,P2124+1)</f>
        <v>1517</v>
      </c>
      <c r="Q2125">
        <f>IF(OR(calendar[[#This Row],[FR_BH]]=1,calendar[[#This Row],[WeekDay]]=1, calendar[[#This Row],[WeekDay]]=7),P2124,P2124+1)</f>
        <v>1517</v>
      </c>
      <c r="R2125">
        <f>IF(OR(calendar[[#This Row],[SP_BH]]=1,calendar[[#This Row],[WeekDay]]=1, calendar[[#This Row],[WeekDay]]=7),P2124,P2124+1)</f>
        <v>1517</v>
      </c>
      <c r="S2125">
        <f>IF(OR(calendar[[#This Row],[PT_BH]]=1,calendar[[#This Row],[WeekDay]]=1, calendar[[#This Row],[WeekDay]]=7),P2124,P2124+1)</f>
        <v>1517</v>
      </c>
    </row>
    <row r="2126" spans="1:19" x14ac:dyDescent="0.25">
      <c r="A2126" s="2">
        <v>44860</v>
      </c>
      <c r="B2126" s="1">
        <f t="shared" si="168"/>
        <v>44</v>
      </c>
      <c r="C2126">
        <f t="shared" si="165"/>
        <v>10</v>
      </c>
      <c r="D2126" t="str">
        <f t="shared" si="166"/>
        <v>October</v>
      </c>
      <c r="E2126">
        <f t="shared" si="167"/>
        <v>2022</v>
      </c>
      <c r="F2126" t="str">
        <f>CONCATENATE(calendar[[#This Row],[Month]],"/",calendar[[#This Row],[Year]])</f>
        <v>10/2022</v>
      </c>
      <c r="G2126">
        <f>WEEKDAY(calendar[[#This Row],[Date]],1)</f>
        <v>4</v>
      </c>
      <c r="H2126" t="str">
        <f>TEXT(calendar[[#This Row],[WeekDay]],"dddd")</f>
        <v>Wednesday</v>
      </c>
      <c r="I2126">
        <f>IF((INT(calendar[[#This Row],[Count]]/7)-calendar[[#This Row],[Count]]/7)&lt;0,I2125,I2125+1)</f>
        <v>304</v>
      </c>
      <c r="J2126">
        <f t="shared" si="169"/>
        <v>2124</v>
      </c>
      <c r="K2126">
        <f>IF(calendar[[#This Row],[Month]]&lt;4,1,IF(calendar[[#This Row],[Month]]&lt;7,2,IF(calendar[[#This Row],[Month]]&lt;10,3,4)))</f>
        <v>4</v>
      </c>
      <c r="L2126">
        <f>IFERROR(IF(VLOOKUP(calendar[[#This Row],[Date]],BH!A:A,1,)&lt;&gt;"",1,0),0)</f>
        <v>0</v>
      </c>
      <c r="M2126">
        <f>IFERROR(IF(VLOOKUP(calendar[[#This Row],[Date]],BH!C:C,1,)&lt;&gt;"",1,0),0)</f>
        <v>0</v>
      </c>
      <c r="N2126">
        <f>IFERROR(IF(VLOOKUP(calendar[[#This Row],[Date]],BH!E:E,1,)&lt;&gt;"",1,0),0)</f>
        <v>0</v>
      </c>
      <c r="O2126">
        <f>IFERROR(IF(VLOOKUP(calendar[[#This Row],[Date]],BH!G:G,1,)&lt;&gt;"",1,0),0)</f>
        <v>0</v>
      </c>
      <c r="P2126">
        <f>IF(OR(calendar[[#This Row],[UK_BH]]=1,calendar[[#This Row],[WeekDay]]=1, calendar[[#This Row],[WeekDay]]=7),P2125,P2125+1)</f>
        <v>1518</v>
      </c>
      <c r="Q2126">
        <f>IF(OR(calendar[[#This Row],[FR_BH]]=1,calendar[[#This Row],[WeekDay]]=1, calendar[[#This Row],[WeekDay]]=7),P2125,P2125+1)</f>
        <v>1518</v>
      </c>
      <c r="R2126">
        <f>IF(OR(calendar[[#This Row],[SP_BH]]=1,calendar[[#This Row],[WeekDay]]=1, calendar[[#This Row],[WeekDay]]=7),P2125,P2125+1)</f>
        <v>1518</v>
      </c>
      <c r="S2126">
        <f>IF(OR(calendar[[#This Row],[PT_BH]]=1,calendar[[#This Row],[WeekDay]]=1, calendar[[#This Row],[WeekDay]]=7),P2125,P2125+1)</f>
        <v>1518</v>
      </c>
    </row>
    <row r="2127" spans="1:19" x14ac:dyDescent="0.25">
      <c r="A2127" s="2">
        <v>44861</v>
      </c>
      <c r="B2127" s="1">
        <f t="shared" si="168"/>
        <v>44</v>
      </c>
      <c r="C2127">
        <f t="shared" si="165"/>
        <v>10</v>
      </c>
      <c r="D2127" t="str">
        <f t="shared" si="166"/>
        <v>October</v>
      </c>
      <c r="E2127">
        <f t="shared" si="167"/>
        <v>2022</v>
      </c>
      <c r="F2127" t="str">
        <f>CONCATENATE(calendar[[#This Row],[Month]],"/",calendar[[#This Row],[Year]])</f>
        <v>10/2022</v>
      </c>
      <c r="G2127">
        <f>WEEKDAY(calendar[[#This Row],[Date]],1)</f>
        <v>5</v>
      </c>
      <c r="H2127" t="str">
        <f>TEXT(calendar[[#This Row],[WeekDay]],"dddd")</f>
        <v>Thursday</v>
      </c>
      <c r="I2127">
        <f>IF((INT(calendar[[#This Row],[Count]]/7)-calendar[[#This Row],[Count]]/7)&lt;0,I2126,I2126+1)</f>
        <v>304</v>
      </c>
      <c r="J2127">
        <f t="shared" si="169"/>
        <v>2125</v>
      </c>
      <c r="K2127">
        <f>IF(calendar[[#This Row],[Month]]&lt;4,1,IF(calendar[[#This Row],[Month]]&lt;7,2,IF(calendar[[#This Row],[Month]]&lt;10,3,4)))</f>
        <v>4</v>
      </c>
      <c r="L2127">
        <f>IFERROR(IF(VLOOKUP(calendar[[#This Row],[Date]],BH!A:A,1,)&lt;&gt;"",1,0),0)</f>
        <v>0</v>
      </c>
      <c r="M2127">
        <f>IFERROR(IF(VLOOKUP(calendar[[#This Row],[Date]],BH!C:C,1,)&lt;&gt;"",1,0),0)</f>
        <v>0</v>
      </c>
      <c r="N2127">
        <f>IFERROR(IF(VLOOKUP(calendar[[#This Row],[Date]],BH!E:E,1,)&lt;&gt;"",1,0),0)</f>
        <v>0</v>
      </c>
      <c r="O2127">
        <f>IFERROR(IF(VLOOKUP(calendar[[#This Row],[Date]],BH!G:G,1,)&lt;&gt;"",1,0),0)</f>
        <v>0</v>
      </c>
      <c r="P2127">
        <f>IF(OR(calendar[[#This Row],[UK_BH]]=1,calendar[[#This Row],[WeekDay]]=1, calendar[[#This Row],[WeekDay]]=7),P2126,P2126+1)</f>
        <v>1519</v>
      </c>
      <c r="Q2127">
        <f>IF(OR(calendar[[#This Row],[FR_BH]]=1,calendar[[#This Row],[WeekDay]]=1, calendar[[#This Row],[WeekDay]]=7),P2126,P2126+1)</f>
        <v>1519</v>
      </c>
      <c r="R2127">
        <f>IF(OR(calendar[[#This Row],[SP_BH]]=1,calendar[[#This Row],[WeekDay]]=1, calendar[[#This Row],[WeekDay]]=7),P2126,P2126+1)</f>
        <v>1519</v>
      </c>
      <c r="S2127">
        <f>IF(OR(calendar[[#This Row],[PT_BH]]=1,calendar[[#This Row],[WeekDay]]=1, calendar[[#This Row],[WeekDay]]=7),P2126,P2126+1)</f>
        <v>1519</v>
      </c>
    </row>
    <row r="2128" spans="1:19" x14ac:dyDescent="0.25">
      <c r="A2128" s="2">
        <v>44862</v>
      </c>
      <c r="B2128" s="1">
        <f t="shared" si="168"/>
        <v>44</v>
      </c>
      <c r="C2128">
        <f t="shared" ref="C2128:C2191" si="170">MONTH(A2128)</f>
        <v>10</v>
      </c>
      <c r="D2128" t="str">
        <f t="shared" ref="D2128:D2191" si="171">TEXT(A2128,"mmmm")</f>
        <v>October</v>
      </c>
      <c r="E2128">
        <f t="shared" ref="E2128:E2191" si="172">YEAR(A2128)</f>
        <v>2022</v>
      </c>
      <c r="F2128" t="str">
        <f>CONCATENATE(calendar[[#This Row],[Month]],"/",calendar[[#This Row],[Year]])</f>
        <v>10/2022</v>
      </c>
      <c r="G2128">
        <f>WEEKDAY(calendar[[#This Row],[Date]],1)</f>
        <v>6</v>
      </c>
      <c r="H2128" t="str">
        <f>TEXT(calendar[[#This Row],[WeekDay]],"dddd")</f>
        <v>Friday</v>
      </c>
      <c r="I2128">
        <f>IF((INT(calendar[[#This Row],[Count]]/7)-calendar[[#This Row],[Count]]/7)&lt;0,I2127,I2127+1)</f>
        <v>304</v>
      </c>
      <c r="J2128">
        <f t="shared" si="169"/>
        <v>2126</v>
      </c>
      <c r="K2128">
        <f>IF(calendar[[#This Row],[Month]]&lt;4,1,IF(calendar[[#This Row],[Month]]&lt;7,2,IF(calendar[[#This Row],[Month]]&lt;10,3,4)))</f>
        <v>4</v>
      </c>
      <c r="L2128">
        <f>IFERROR(IF(VLOOKUP(calendar[[#This Row],[Date]],BH!A:A,1,)&lt;&gt;"",1,0),0)</f>
        <v>0</v>
      </c>
      <c r="M2128">
        <f>IFERROR(IF(VLOOKUP(calendar[[#This Row],[Date]],BH!C:C,1,)&lt;&gt;"",1,0),0)</f>
        <v>0</v>
      </c>
      <c r="N2128">
        <f>IFERROR(IF(VLOOKUP(calendar[[#This Row],[Date]],BH!E:E,1,)&lt;&gt;"",1,0),0)</f>
        <v>0</v>
      </c>
      <c r="O2128">
        <f>IFERROR(IF(VLOOKUP(calendar[[#This Row],[Date]],BH!G:G,1,)&lt;&gt;"",1,0),0)</f>
        <v>0</v>
      </c>
      <c r="P2128">
        <f>IF(OR(calendar[[#This Row],[UK_BH]]=1,calendar[[#This Row],[WeekDay]]=1, calendar[[#This Row],[WeekDay]]=7),P2127,P2127+1)</f>
        <v>1520</v>
      </c>
      <c r="Q2128">
        <f>IF(OR(calendar[[#This Row],[FR_BH]]=1,calendar[[#This Row],[WeekDay]]=1, calendar[[#This Row],[WeekDay]]=7),P2127,P2127+1)</f>
        <v>1520</v>
      </c>
      <c r="R2128">
        <f>IF(OR(calendar[[#This Row],[SP_BH]]=1,calendar[[#This Row],[WeekDay]]=1, calendar[[#This Row],[WeekDay]]=7),P2127,P2127+1)</f>
        <v>1520</v>
      </c>
      <c r="S2128">
        <f>IF(OR(calendar[[#This Row],[PT_BH]]=1,calendar[[#This Row],[WeekDay]]=1, calendar[[#This Row],[WeekDay]]=7),P2127,P2127+1)</f>
        <v>1520</v>
      </c>
    </row>
    <row r="2129" spans="1:19" x14ac:dyDescent="0.25">
      <c r="A2129" s="2">
        <v>44863</v>
      </c>
      <c r="B2129" s="1">
        <f t="shared" si="168"/>
        <v>44</v>
      </c>
      <c r="C2129">
        <f t="shared" si="170"/>
        <v>10</v>
      </c>
      <c r="D2129" t="str">
        <f t="shared" si="171"/>
        <v>October</v>
      </c>
      <c r="E2129">
        <f t="shared" si="172"/>
        <v>2022</v>
      </c>
      <c r="F2129" t="str">
        <f>CONCATENATE(calendar[[#This Row],[Month]],"/",calendar[[#This Row],[Year]])</f>
        <v>10/2022</v>
      </c>
      <c r="G2129">
        <f>WEEKDAY(calendar[[#This Row],[Date]],1)</f>
        <v>7</v>
      </c>
      <c r="H2129" t="str">
        <f>TEXT(calendar[[#This Row],[WeekDay]],"dddd")</f>
        <v>Saturday</v>
      </c>
      <c r="I2129">
        <f>IF((INT(calendar[[#This Row],[Count]]/7)-calendar[[#This Row],[Count]]/7)&lt;0,I2128,I2128+1)</f>
        <v>304</v>
      </c>
      <c r="J2129">
        <f t="shared" si="169"/>
        <v>2127</v>
      </c>
      <c r="K2129">
        <f>IF(calendar[[#This Row],[Month]]&lt;4,1,IF(calendar[[#This Row],[Month]]&lt;7,2,IF(calendar[[#This Row],[Month]]&lt;10,3,4)))</f>
        <v>4</v>
      </c>
      <c r="L2129">
        <f>IFERROR(IF(VLOOKUP(calendar[[#This Row],[Date]],BH!A:A,1,)&lt;&gt;"",1,0),0)</f>
        <v>0</v>
      </c>
      <c r="M2129">
        <f>IFERROR(IF(VLOOKUP(calendar[[#This Row],[Date]],BH!C:C,1,)&lt;&gt;"",1,0),0)</f>
        <v>0</v>
      </c>
      <c r="N2129">
        <f>IFERROR(IF(VLOOKUP(calendar[[#This Row],[Date]],BH!E:E,1,)&lt;&gt;"",1,0),0)</f>
        <v>0</v>
      </c>
      <c r="O2129">
        <f>IFERROR(IF(VLOOKUP(calendar[[#This Row],[Date]],BH!G:G,1,)&lt;&gt;"",1,0),0)</f>
        <v>0</v>
      </c>
      <c r="P2129">
        <f>IF(OR(calendar[[#This Row],[UK_BH]]=1,calendar[[#This Row],[WeekDay]]=1, calendar[[#This Row],[WeekDay]]=7),P2128,P2128+1)</f>
        <v>1520</v>
      </c>
      <c r="Q2129">
        <f>IF(OR(calendar[[#This Row],[FR_BH]]=1,calendar[[#This Row],[WeekDay]]=1, calendar[[#This Row],[WeekDay]]=7),P2128,P2128+1)</f>
        <v>1520</v>
      </c>
      <c r="R2129">
        <f>IF(OR(calendar[[#This Row],[SP_BH]]=1,calendar[[#This Row],[WeekDay]]=1, calendar[[#This Row],[WeekDay]]=7),P2128,P2128+1)</f>
        <v>1520</v>
      </c>
      <c r="S2129">
        <f>IF(OR(calendar[[#This Row],[PT_BH]]=1,calendar[[#This Row],[WeekDay]]=1, calendar[[#This Row],[WeekDay]]=7),P2128,P2128+1)</f>
        <v>1520</v>
      </c>
    </row>
    <row r="2130" spans="1:19" x14ac:dyDescent="0.25">
      <c r="A2130" s="2">
        <v>44864</v>
      </c>
      <c r="B2130" s="1">
        <f t="shared" si="168"/>
        <v>45</v>
      </c>
      <c r="C2130">
        <f t="shared" si="170"/>
        <v>10</v>
      </c>
      <c r="D2130" t="str">
        <f t="shared" si="171"/>
        <v>October</v>
      </c>
      <c r="E2130">
        <f t="shared" si="172"/>
        <v>2022</v>
      </c>
      <c r="F2130" t="str">
        <f>CONCATENATE(calendar[[#This Row],[Month]],"/",calendar[[#This Row],[Year]])</f>
        <v>10/2022</v>
      </c>
      <c r="G2130">
        <f>WEEKDAY(calendar[[#This Row],[Date]],1)</f>
        <v>1</v>
      </c>
      <c r="H2130" t="str">
        <f>TEXT(calendar[[#This Row],[WeekDay]],"dddd")</f>
        <v>Sunday</v>
      </c>
      <c r="I2130">
        <f>IF((INT(calendar[[#This Row],[Count]]/7)-calendar[[#This Row],[Count]]/7)&lt;0,I2129,I2129+1)</f>
        <v>305</v>
      </c>
      <c r="J2130">
        <f t="shared" si="169"/>
        <v>2128</v>
      </c>
      <c r="K2130">
        <f>IF(calendar[[#This Row],[Month]]&lt;4,1,IF(calendar[[#This Row],[Month]]&lt;7,2,IF(calendar[[#This Row],[Month]]&lt;10,3,4)))</f>
        <v>4</v>
      </c>
      <c r="L2130">
        <f>IFERROR(IF(VLOOKUP(calendar[[#This Row],[Date]],BH!A:A,1,)&lt;&gt;"",1,0),0)</f>
        <v>0</v>
      </c>
      <c r="M2130">
        <f>IFERROR(IF(VLOOKUP(calendar[[#This Row],[Date]],BH!C:C,1,)&lt;&gt;"",1,0),0)</f>
        <v>0</v>
      </c>
      <c r="N2130">
        <f>IFERROR(IF(VLOOKUP(calendar[[#This Row],[Date]],BH!E:E,1,)&lt;&gt;"",1,0),0)</f>
        <v>0</v>
      </c>
      <c r="O2130">
        <f>IFERROR(IF(VLOOKUP(calendar[[#This Row],[Date]],BH!G:G,1,)&lt;&gt;"",1,0),0)</f>
        <v>0</v>
      </c>
      <c r="P2130">
        <f>IF(OR(calendar[[#This Row],[UK_BH]]=1,calendar[[#This Row],[WeekDay]]=1, calendar[[#This Row],[WeekDay]]=7),P2129,P2129+1)</f>
        <v>1520</v>
      </c>
      <c r="Q2130">
        <f>IF(OR(calendar[[#This Row],[FR_BH]]=1,calendar[[#This Row],[WeekDay]]=1, calendar[[#This Row],[WeekDay]]=7),P2129,P2129+1)</f>
        <v>1520</v>
      </c>
      <c r="R2130">
        <f>IF(OR(calendar[[#This Row],[SP_BH]]=1,calendar[[#This Row],[WeekDay]]=1, calendar[[#This Row],[WeekDay]]=7),P2129,P2129+1)</f>
        <v>1520</v>
      </c>
      <c r="S2130">
        <f>IF(OR(calendar[[#This Row],[PT_BH]]=1,calendar[[#This Row],[WeekDay]]=1, calendar[[#This Row],[WeekDay]]=7),P2129,P2129+1)</f>
        <v>1520</v>
      </c>
    </row>
    <row r="2131" spans="1:19" x14ac:dyDescent="0.25">
      <c r="A2131" s="2">
        <v>44865</v>
      </c>
      <c r="B2131" s="1">
        <f t="shared" si="168"/>
        <v>45</v>
      </c>
      <c r="C2131">
        <f t="shared" si="170"/>
        <v>10</v>
      </c>
      <c r="D2131" t="str">
        <f t="shared" si="171"/>
        <v>October</v>
      </c>
      <c r="E2131">
        <f t="shared" si="172"/>
        <v>2022</v>
      </c>
      <c r="F2131" t="str">
        <f>CONCATENATE(calendar[[#This Row],[Month]],"/",calendar[[#This Row],[Year]])</f>
        <v>10/2022</v>
      </c>
      <c r="G2131">
        <f>WEEKDAY(calendar[[#This Row],[Date]],1)</f>
        <v>2</v>
      </c>
      <c r="H2131" t="str">
        <f>TEXT(calendar[[#This Row],[WeekDay]],"dddd")</f>
        <v>Monday</v>
      </c>
      <c r="I2131">
        <f>IF((INT(calendar[[#This Row],[Count]]/7)-calendar[[#This Row],[Count]]/7)&lt;0,I2130,I2130+1)</f>
        <v>305</v>
      </c>
      <c r="J2131">
        <f t="shared" si="169"/>
        <v>2129</v>
      </c>
      <c r="K2131">
        <f>IF(calendar[[#This Row],[Month]]&lt;4,1,IF(calendar[[#This Row],[Month]]&lt;7,2,IF(calendar[[#This Row],[Month]]&lt;10,3,4)))</f>
        <v>4</v>
      </c>
      <c r="L2131">
        <f>IFERROR(IF(VLOOKUP(calendar[[#This Row],[Date]],BH!A:A,1,)&lt;&gt;"",1,0),0)</f>
        <v>0</v>
      </c>
      <c r="M2131">
        <f>IFERROR(IF(VLOOKUP(calendar[[#This Row],[Date]],BH!C:C,1,)&lt;&gt;"",1,0),0)</f>
        <v>0</v>
      </c>
      <c r="N2131">
        <f>IFERROR(IF(VLOOKUP(calendar[[#This Row],[Date]],BH!E:E,1,)&lt;&gt;"",1,0),0)</f>
        <v>0</v>
      </c>
      <c r="O2131">
        <f>IFERROR(IF(VLOOKUP(calendar[[#This Row],[Date]],BH!G:G,1,)&lt;&gt;"",1,0),0)</f>
        <v>0</v>
      </c>
      <c r="P2131">
        <f>IF(OR(calendar[[#This Row],[UK_BH]]=1,calendar[[#This Row],[WeekDay]]=1, calendar[[#This Row],[WeekDay]]=7),P2130,P2130+1)</f>
        <v>1521</v>
      </c>
      <c r="Q2131">
        <f>IF(OR(calendar[[#This Row],[FR_BH]]=1,calendar[[#This Row],[WeekDay]]=1, calendar[[#This Row],[WeekDay]]=7),P2130,P2130+1)</f>
        <v>1521</v>
      </c>
      <c r="R2131">
        <f>IF(OR(calendar[[#This Row],[SP_BH]]=1,calendar[[#This Row],[WeekDay]]=1, calendar[[#This Row],[WeekDay]]=7),P2130,P2130+1)</f>
        <v>1521</v>
      </c>
      <c r="S2131">
        <f>IF(OR(calendar[[#This Row],[PT_BH]]=1,calendar[[#This Row],[WeekDay]]=1, calendar[[#This Row],[WeekDay]]=7),P2130,P2130+1)</f>
        <v>1521</v>
      </c>
    </row>
    <row r="2132" spans="1:19" x14ac:dyDescent="0.25">
      <c r="A2132" s="2">
        <v>44866</v>
      </c>
      <c r="B2132" s="1">
        <f t="shared" si="168"/>
        <v>45</v>
      </c>
      <c r="C2132">
        <f t="shared" si="170"/>
        <v>11</v>
      </c>
      <c r="D2132" t="str">
        <f t="shared" si="171"/>
        <v>November</v>
      </c>
      <c r="E2132">
        <f t="shared" si="172"/>
        <v>2022</v>
      </c>
      <c r="F2132" t="str">
        <f>CONCATENATE(calendar[[#This Row],[Month]],"/",calendar[[#This Row],[Year]])</f>
        <v>11/2022</v>
      </c>
      <c r="G2132">
        <f>WEEKDAY(calendar[[#This Row],[Date]],1)</f>
        <v>3</v>
      </c>
      <c r="H2132" t="str">
        <f>TEXT(calendar[[#This Row],[WeekDay]],"dddd")</f>
        <v>Tuesday</v>
      </c>
      <c r="I2132">
        <f>IF((INT(calendar[[#This Row],[Count]]/7)-calendar[[#This Row],[Count]]/7)&lt;0,I2131,I2131+1)</f>
        <v>305</v>
      </c>
      <c r="J2132">
        <f t="shared" si="169"/>
        <v>2130</v>
      </c>
      <c r="K2132">
        <f>IF(calendar[[#This Row],[Month]]&lt;4,1,IF(calendar[[#This Row],[Month]]&lt;7,2,IF(calendar[[#This Row],[Month]]&lt;10,3,4)))</f>
        <v>4</v>
      </c>
      <c r="L2132">
        <f>IFERROR(IF(VLOOKUP(calendar[[#This Row],[Date]],BH!A:A,1,)&lt;&gt;"",1,0),0)</f>
        <v>0</v>
      </c>
      <c r="M2132">
        <f>IFERROR(IF(VLOOKUP(calendar[[#This Row],[Date]],BH!C:C,1,)&lt;&gt;"",1,0),0)</f>
        <v>0</v>
      </c>
      <c r="N2132">
        <f>IFERROR(IF(VLOOKUP(calendar[[#This Row],[Date]],BH!E:E,1,)&lt;&gt;"",1,0),0)</f>
        <v>0</v>
      </c>
      <c r="O2132">
        <f>IFERROR(IF(VLOOKUP(calendar[[#This Row],[Date]],BH!G:G,1,)&lt;&gt;"",1,0),0)</f>
        <v>0</v>
      </c>
      <c r="P2132">
        <f>IF(OR(calendar[[#This Row],[UK_BH]]=1,calendar[[#This Row],[WeekDay]]=1, calendar[[#This Row],[WeekDay]]=7),P2131,P2131+1)</f>
        <v>1522</v>
      </c>
      <c r="Q2132">
        <f>IF(OR(calendar[[#This Row],[FR_BH]]=1,calendar[[#This Row],[WeekDay]]=1, calendar[[#This Row],[WeekDay]]=7),P2131,P2131+1)</f>
        <v>1522</v>
      </c>
      <c r="R2132">
        <f>IF(OR(calendar[[#This Row],[SP_BH]]=1,calendar[[#This Row],[WeekDay]]=1, calendar[[#This Row],[WeekDay]]=7),P2131,P2131+1)</f>
        <v>1522</v>
      </c>
      <c r="S2132">
        <f>IF(OR(calendar[[#This Row],[PT_BH]]=1,calendar[[#This Row],[WeekDay]]=1, calendar[[#This Row],[WeekDay]]=7),P2131,P2131+1)</f>
        <v>1522</v>
      </c>
    </row>
    <row r="2133" spans="1:19" x14ac:dyDescent="0.25">
      <c r="A2133" s="2">
        <v>44867</v>
      </c>
      <c r="B2133" s="1">
        <f t="shared" si="168"/>
        <v>45</v>
      </c>
      <c r="C2133">
        <f t="shared" si="170"/>
        <v>11</v>
      </c>
      <c r="D2133" t="str">
        <f t="shared" si="171"/>
        <v>November</v>
      </c>
      <c r="E2133">
        <f t="shared" si="172"/>
        <v>2022</v>
      </c>
      <c r="F2133" t="str">
        <f>CONCATENATE(calendar[[#This Row],[Month]],"/",calendar[[#This Row],[Year]])</f>
        <v>11/2022</v>
      </c>
      <c r="G2133">
        <f>WEEKDAY(calendar[[#This Row],[Date]],1)</f>
        <v>4</v>
      </c>
      <c r="H2133" t="str">
        <f>TEXT(calendar[[#This Row],[WeekDay]],"dddd")</f>
        <v>Wednesday</v>
      </c>
      <c r="I2133">
        <f>IF((INT(calendar[[#This Row],[Count]]/7)-calendar[[#This Row],[Count]]/7)&lt;0,I2132,I2132+1)</f>
        <v>305</v>
      </c>
      <c r="J2133">
        <f t="shared" si="169"/>
        <v>2131</v>
      </c>
      <c r="K2133">
        <f>IF(calendar[[#This Row],[Month]]&lt;4,1,IF(calendar[[#This Row],[Month]]&lt;7,2,IF(calendar[[#This Row],[Month]]&lt;10,3,4)))</f>
        <v>4</v>
      </c>
      <c r="L2133">
        <f>IFERROR(IF(VLOOKUP(calendar[[#This Row],[Date]],BH!A:A,1,)&lt;&gt;"",1,0),0)</f>
        <v>0</v>
      </c>
      <c r="M2133">
        <f>IFERROR(IF(VLOOKUP(calendar[[#This Row],[Date]],BH!C:C,1,)&lt;&gt;"",1,0),0)</f>
        <v>0</v>
      </c>
      <c r="N2133">
        <f>IFERROR(IF(VLOOKUP(calendar[[#This Row],[Date]],BH!E:E,1,)&lt;&gt;"",1,0),0)</f>
        <v>0</v>
      </c>
      <c r="O2133">
        <f>IFERROR(IF(VLOOKUP(calendar[[#This Row],[Date]],BH!G:G,1,)&lt;&gt;"",1,0),0)</f>
        <v>0</v>
      </c>
      <c r="P2133">
        <f>IF(OR(calendar[[#This Row],[UK_BH]]=1,calendar[[#This Row],[WeekDay]]=1, calendar[[#This Row],[WeekDay]]=7),P2132,P2132+1)</f>
        <v>1523</v>
      </c>
      <c r="Q2133">
        <f>IF(OR(calendar[[#This Row],[FR_BH]]=1,calendar[[#This Row],[WeekDay]]=1, calendar[[#This Row],[WeekDay]]=7),P2132,P2132+1)</f>
        <v>1523</v>
      </c>
      <c r="R2133">
        <f>IF(OR(calendar[[#This Row],[SP_BH]]=1,calendar[[#This Row],[WeekDay]]=1, calendar[[#This Row],[WeekDay]]=7),P2132,P2132+1)</f>
        <v>1523</v>
      </c>
      <c r="S2133">
        <f>IF(OR(calendar[[#This Row],[PT_BH]]=1,calendar[[#This Row],[WeekDay]]=1, calendar[[#This Row],[WeekDay]]=7),P2132,P2132+1)</f>
        <v>1523</v>
      </c>
    </row>
    <row r="2134" spans="1:19" x14ac:dyDescent="0.25">
      <c r="A2134" s="2">
        <v>44868</v>
      </c>
      <c r="B2134" s="1">
        <f t="shared" si="168"/>
        <v>45</v>
      </c>
      <c r="C2134">
        <f t="shared" si="170"/>
        <v>11</v>
      </c>
      <c r="D2134" t="str">
        <f t="shared" si="171"/>
        <v>November</v>
      </c>
      <c r="E2134">
        <f t="shared" si="172"/>
        <v>2022</v>
      </c>
      <c r="F2134" t="str">
        <f>CONCATENATE(calendar[[#This Row],[Month]],"/",calendar[[#This Row],[Year]])</f>
        <v>11/2022</v>
      </c>
      <c r="G2134">
        <f>WEEKDAY(calendar[[#This Row],[Date]],1)</f>
        <v>5</v>
      </c>
      <c r="H2134" t="str">
        <f>TEXT(calendar[[#This Row],[WeekDay]],"dddd")</f>
        <v>Thursday</v>
      </c>
      <c r="I2134">
        <f>IF((INT(calendar[[#This Row],[Count]]/7)-calendar[[#This Row],[Count]]/7)&lt;0,I2133,I2133+1)</f>
        <v>305</v>
      </c>
      <c r="J2134">
        <f t="shared" si="169"/>
        <v>2132</v>
      </c>
      <c r="K2134">
        <f>IF(calendar[[#This Row],[Month]]&lt;4,1,IF(calendar[[#This Row],[Month]]&lt;7,2,IF(calendar[[#This Row],[Month]]&lt;10,3,4)))</f>
        <v>4</v>
      </c>
      <c r="L2134">
        <f>IFERROR(IF(VLOOKUP(calendar[[#This Row],[Date]],BH!A:A,1,)&lt;&gt;"",1,0),0)</f>
        <v>0</v>
      </c>
      <c r="M2134">
        <f>IFERROR(IF(VLOOKUP(calendar[[#This Row],[Date]],BH!C:C,1,)&lt;&gt;"",1,0),0)</f>
        <v>0</v>
      </c>
      <c r="N2134">
        <f>IFERROR(IF(VLOOKUP(calendar[[#This Row],[Date]],BH!E:E,1,)&lt;&gt;"",1,0),0)</f>
        <v>0</v>
      </c>
      <c r="O2134">
        <f>IFERROR(IF(VLOOKUP(calendar[[#This Row],[Date]],BH!G:G,1,)&lt;&gt;"",1,0),0)</f>
        <v>0</v>
      </c>
      <c r="P2134">
        <f>IF(OR(calendar[[#This Row],[UK_BH]]=1,calendar[[#This Row],[WeekDay]]=1, calendar[[#This Row],[WeekDay]]=7),P2133,P2133+1)</f>
        <v>1524</v>
      </c>
      <c r="Q2134">
        <f>IF(OR(calendar[[#This Row],[FR_BH]]=1,calendar[[#This Row],[WeekDay]]=1, calendar[[#This Row],[WeekDay]]=7),P2133,P2133+1)</f>
        <v>1524</v>
      </c>
      <c r="R2134">
        <f>IF(OR(calendar[[#This Row],[SP_BH]]=1,calendar[[#This Row],[WeekDay]]=1, calendar[[#This Row],[WeekDay]]=7),P2133,P2133+1)</f>
        <v>1524</v>
      </c>
      <c r="S2134">
        <f>IF(OR(calendar[[#This Row],[PT_BH]]=1,calendar[[#This Row],[WeekDay]]=1, calendar[[#This Row],[WeekDay]]=7),P2133,P2133+1)</f>
        <v>1524</v>
      </c>
    </row>
    <row r="2135" spans="1:19" x14ac:dyDescent="0.25">
      <c r="A2135" s="2">
        <v>44869</v>
      </c>
      <c r="B2135" s="1">
        <f t="shared" si="168"/>
        <v>45</v>
      </c>
      <c r="C2135">
        <f t="shared" si="170"/>
        <v>11</v>
      </c>
      <c r="D2135" t="str">
        <f t="shared" si="171"/>
        <v>November</v>
      </c>
      <c r="E2135">
        <f t="shared" si="172"/>
        <v>2022</v>
      </c>
      <c r="F2135" t="str">
        <f>CONCATENATE(calendar[[#This Row],[Month]],"/",calendar[[#This Row],[Year]])</f>
        <v>11/2022</v>
      </c>
      <c r="G2135">
        <f>WEEKDAY(calendar[[#This Row],[Date]],1)</f>
        <v>6</v>
      </c>
      <c r="H2135" t="str">
        <f>TEXT(calendar[[#This Row],[WeekDay]],"dddd")</f>
        <v>Friday</v>
      </c>
      <c r="I2135">
        <f>IF((INT(calendar[[#This Row],[Count]]/7)-calendar[[#This Row],[Count]]/7)&lt;0,I2134,I2134+1)</f>
        <v>305</v>
      </c>
      <c r="J2135">
        <f t="shared" si="169"/>
        <v>2133</v>
      </c>
      <c r="K2135">
        <f>IF(calendar[[#This Row],[Month]]&lt;4,1,IF(calendar[[#This Row],[Month]]&lt;7,2,IF(calendar[[#This Row],[Month]]&lt;10,3,4)))</f>
        <v>4</v>
      </c>
      <c r="L2135">
        <f>IFERROR(IF(VLOOKUP(calendar[[#This Row],[Date]],BH!A:A,1,)&lt;&gt;"",1,0),0)</f>
        <v>0</v>
      </c>
      <c r="M2135">
        <f>IFERROR(IF(VLOOKUP(calendar[[#This Row],[Date]],BH!C:C,1,)&lt;&gt;"",1,0),0)</f>
        <v>0</v>
      </c>
      <c r="N2135">
        <f>IFERROR(IF(VLOOKUP(calendar[[#This Row],[Date]],BH!E:E,1,)&lt;&gt;"",1,0),0)</f>
        <v>0</v>
      </c>
      <c r="O2135">
        <f>IFERROR(IF(VLOOKUP(calendar[[#This Row],[Date]],BH!G:G,1,)&lt;&gt;"",1,0),0)</f>
        <v>0</v>
      </c>
      <c r="P2135">
        <f>IF(OR(calendar[[#This Row],[UK_BH]]=1,calendar[[#This Row],[WeekDay]]=1, calendar[[#This Row],[WeekDay]]=7),P2134,P2134+1)</f>
        <v>1525</v>
      </c>
      <c r="Q2135">
        <f>IF(OR(calendar[[#This Row],[FR_BH]]=1,calendar[[#This Row],[WeekDay]]=1, calendar[[#This Row],[WeekDay]]=7),P2134,P2134+1)</f>
        <v>1525</v>
      </c>
      <c r="R2135">
        <f>IF(OR(calendar[[#This Row],[SP_BH]]=1,calendar[[#This Row],[WeekDay]]=1, calendar[[#This Row],[WeekDay]]=7),P2134,P2134+1)</f>
        <v>1525</v>
      </c>
      <c r="S2135">
        <f>IF(OR(calendar[[#This Row],[PT_BH]]=1,calendar[[#This Row],[WeekDay]]=1, calendar[[#This Row],[WeekDay]]=7),P2134,P2134+1)</f>
        <v>1525</v>
      </c>
    </row>
    <row r="2136" spans="1:19" x14ac:dyDescent="0.25">
      <c r="A2136" s="2">
        <v>44870</v>
      </c>
      <c r="B2136" s="1">
        <f t="shared" si="168"/>
        <v>45</v>
      </c>
      <c r="C2136">
        <f t="shared" si="170"/>
        <v>11</v>
      </c>
      <c r="D2136" t="str">
        <f t="shared" si="171"/>
        <v>November</v>
      </c>
      <c r="E2136">
        <f t="shared" si="172"/>
        <v>2022</v>
      </c>
      <c r="F2136" t="str">
        <f>CONCATENATE(calendar[[#This Row],[Month]],"/",calendar[[#This Row],[Year]])</f>
        <v>11/2022</v>
      </c>
      <c r="G2136">
        <f>WEEKDAY(calendar[[#This Row],[Date]],1)</f>
        <v>7</v>
      </c>
      <c r="H2136" t="str">
        <f>TEXT(calendar[[#This Row],[WeekDay]],"dddd")</f>
        <v>Saturday</v>
      </c>
      <c r="I2136">
        <f>IF((INT(calendar[[#This Row],[Count]]/7)-calendar[[#This Row],[Count]]/7)&lt;0,I2135,I2135+1)</f>
        <v>305</v>
      </c>
      <c r="J2136">
        <f t="shared" si="169"/>
        <v>2134</v>
      </c>
      <c r="K2136">
        <f>IF(calendar[[#This Row],[Month]]&lt;4,1,IF(calendar[[#This Row],[Month]]&lt;7,2,IF(calendar[[#This Row],[Month]]&lt;10,3,4)))</f>
        <v>4</v>
      </c>
      <c r="L2136">
        <f>IFERROR(IF(VLOOKUP(calendar[[#This Row],[Date]],BH!A:A,1,)&lt;&gt;"",1,0),0)</f>
        <v>0</v>
      </c>
      <c r="M2136">
        <f>IFERROR(IF(VLOOKUP(calendar[[#This Row],[Date]],BH!C:C,1,)&lt;&gt;"",1,0),0)</f>
        <v>0</v>
      </c>
      <c r="N2136">
        <f>IFERROR(IF(VLOOKUP(calendar[[#This Row],[Date]],BH!E:E,1,)&lt;&gt;"",1,0),0)</f>
        <v>0</v>
      </c>
      <c r="O2136">
        <f>IFERROR(IF(VLOOKUP(calendar[[#This Row],[Date]],BH!G:G,1,)&lt;&gt;"",1,0),0)</f>
        <v>0</v>
      </c>
      <c r="P2136">
        <f>IF(OR(calendar[[#This Row],[UK_BH]]=1,calendar[[#This Row],[WeekDay]]=1, calendar[[#This Row],[WeekDay]]=7),P2135,P2135+1)</f>
        <v>1525</v>
      </c>
      <c r="Q2136">
        <f>IF(OR(calendar[[#This Row],[FR_BH]]=1,calendar[[#This Row],[WeekDay]]=1, calendar[[#This Row],[WeekDay]]=7),P2135,P2135+1)</f>
        <v>1525</v>
      </c>
      <c r="R2136">
        <f>IF(OR(calendar[[#This Row],[SP_BH]]=1,calendar[[#This Row],[WeekDay]]=1, calendar[[#This Row],[WeekDay]]=7),P2135,P2135+1)</f>
        <v>1525</v>
      </c>
      <c r="S2136">
        <f>IF(OR(calendar[[#This Row],[PT_BH]]=1,calendar[[#This Row],[WeekDay]]=1, calendar[[#This Row],[WeekDay]]=7),P2135,P2135+1)</f>
        <v>1525</v>
      </c>
    </row>
    <row r="2137" spans="1:19" x14ac:dyDescent="0.25">
      <c r="A2137" s="2">
        <v>44871</v>
      </c>
      <c r="B2137" s="1">
        <f t="shared" si="168"/>
        <v>46</v>
      </c>
      <c r="C2137">
        <f t="shared" si="170"/>
        <v>11</v>
      </c>
      <c r="D2137" t="str">
        <f t="shared" si="171"/>
        <v>November</v>
      </c>
      <c r="E2137">
        <f t="shared" si="172"/>
        <v>2022</v>
      </c>
      <c r="F2137" t="str">
        <f>CONCATENATE(calendar[[#This Row],[Month]],"/",calendar[[#This Row],[Year]])</f>
        <v>11/2022</v>
      </c>
      <c r="G2137">
        <f>WEEKDAY(calendar[[#This Row],[Date]],1)</f>
        <v>1</v>
      </c>
      <c r="H2137" t="str">
        <f>TEXT(calendar[[#This Row],[WeekDay]],"dddd")</f>
        <v>Sunday</v>
      </c>
      <c r="I2137">
        <f>IF((INT(calendar[[#This Row],[Count]]/7)-calendar[[#This Row],[Count]]/7)&lt;0,I2136,I2136+1)</f>
        <v>306</v>
      </c>
      <c r="J2137">
        <f t="shared" si="169"/>
        <v>2135</v>
      </c>
      <c r="K2137">
        <f>IF(calendar[[#This Row],[Month]]&lt;4,1,IF(calendar[[#This Row],[Month]]&lt;7,2,IF(calendar[[#This Row],[Month]]&lt;10,3,4)))</f>
        <v>4</v>
      </c>
      <c r="L2137">
        <f>IFERROR(IF(VLOOKUP(calendar[[#This Row],[Date]],BH!A:A,1,)&lt;&gt;"",1,0),0)</f>
        <v>0</v>
      </c>
      <c r="M2137">
        <f>IFERROR(IF(VLOOKUP(calendar[[#This Row],[Date]],BH!C:C,1,)&lt;&gt;"",1,0),0)</f>
        <v>0</v>
      </c>
      <c r="N2137">
        <f>IFERROR(IF(VLOOKUP(calendar[[#This Row],[Date]],BH!E:E,1,)&lt;&gt;"",1,0),0)</f>
        <v>0</v>
      </c>
      <c r="O2137">
        <f>IFERROR(IF(VLOOKUP(calendar[[#This Row],[Date]],BH!G:G,1,)&lt;&gt;"",1,0),0)</f>
        <v>0</v>
      </c>
      <c r="P2137">
        <f>IF(OR(calendar[[#This Row],[UK_BH]]=1,calendar[[#This Row],[WeekDay]]=1, calendar[[#This Row],[WeekDay]]=7),P2136,P2136+1)</f>
        <v>1525</v>
      </c>
      <c r="Q2137">
        <f>IF(OR(calendar[[#This Row],[FR_BH]]=1,calendar[[#This Row],[WeekDay]]=1, calendar[[#This Row],[WeekDay]]=7),P2136,P2136+1)</f>
        <v>1525</v>
      </c>
      <c r="R2137">
        <f>IF(OR(calendar[[#This Row],[SP_BH]]=1,calendar[[#This Row],[WeekDay]]=1, calendar[[#This Row],[WeekDay]]=7),P2136,P2136+1)</f>
        <v>1525</v>
      </c>
      <c r="S2137">
        <f>IF(OR(calendar[[#This Row],[PT_BH]]=1,calendar[[#This Row],[WeekDay]]=1, calendar[[#This Row],[WeekDay]]=7),P2136,P2136+1)</f>
        <v>1525</v>
      </c>
    </row>
    <row r="2138" spans="1:19" x14ac:dyDescent="0.25">
      <c r="A2138" s="2">
        <v>44872</v>
      </c>
      <c r="B2138" s="1">
        <f t="shared" si="168"/>
        <v>46</v>
      </c>
      <c r="C2138">
        <f t="shared" si="170"/>
        <v>11</v>
      </c>
      <c r="D2138" t="str">
        <f t="shared" si="171"/>
        <v>November</v>
      </c>
      <c r="E2138">
        <f t="shared" si="172"/>
        <v>2022</v>
      </c>
      <c r="F2138" t="str">
        <f>CONCATENATE(calendar[[#This Row],[Month]],"/",calendar[[#This Row],[Year]])</f>
        <v>11/2022</v>
      </c>
      <c r="G2138">
        <f>WEEKDAY(calendar[[#This Row],[Date]],1)</f>
        <v>2</v>
      </c>
      <c r="H2138" t="str">
        <f>TEXT(calendar[[#This Row],[WeekDay]],"dddd")</f>
        <v>Monday</v>
      </c>
      <c r="I2138">
        <f>IF((INT(calendar[[#This Row],[Count]]/7)-calendar[[#This Row],[Count]]/7)&lt;0,I2137,I2137+1)</f>
        <v>306</v>
      </c>
      <c r="J2138">
        <f t="shared" si="169"/>
        <v>2136</v>
      </c>
      <c r="K2138">
        <f>IF(calendar[[#This Row],[Month]]&lt;4,1,IF(calendar[[#This Row],[Month]]&lt;7,2,IF(calendar[[#This Row],[Month]]&lt;10,3,4)))</f>
        <v>4</v>
      </c>
      <c r="L2138">
        <f>IFERROR(IF(VLOOKUP(calendar[[#This Row],[Date]],BH!A:A,1,)&lt;&gt;"",1,0),0)</f>
        <v>0</v>
      </c>
      <c r="M2138">
        <f>IFERROR(IF(VLOOKUP(calendar[[#This Row],[Date]],BH!C:C,1,)&lt;&gt;"",1,0),0)</f>
        <v>0</v>
      </c>
      <c r="N2138">
        <f>IFERROR(IF(VLOOKUP(calendar[[#This Row],[Date]],BH!E:E,1,)&lt;&gt;"",1,0),0)</f>
        <v>0</v>
      </c>
      <c r="O2138">
        <f>IFERROR(IF(VLOOKUP(calendar[[#This Row],[Date]],BH!G:G,1,)&lt;&gt;"",1,0),0)</f>
        <v>0</v>
      </c>
      <c r="P2138">
        <f>IF(OR(calendar[[#This Row],[UK_BH]]=1,calendar[[#This Row],[WeekDay]]=1, calendar[[#This Row],[WeekDay]]=7),P2137,P2137+1)</f>
        <v>1526</v>
      </c>
      <c r="Q2138">
        <f>IF(OR(calendar[[#This Row],[FR_BH]]=1,calendar[[#This Row],[WeekDay]]=1, calendar[[#This Row],[WeekDay]]=7),P2137,P2137+1)</f>
        <v>1526</v>
      </c>
      <c r="R2138">
        <f>IF(OR(calendar[[#This Row],[SP_BH]]=1,calendar[[#This Row],[WeekDay]]=1, calendar[[#This Row],[WeekDay]]=7),P2137,P2137+1)</f>
        <v>1526</v>
      </c>
      <c r="S2138">
        <f>IF(OR(calendar[[#This Row],[PT_BH]]=1,calendar[[#This Row],[WeekDay]]=1, calendar[[#This Row],[WeekDay]]=7),P2137,P2137+1)</f>
        <v>1526</v>
      </c>
    </row>
    <row r="2139" spans="1:19" x14ac:dyDescent="0.25">
      <c r="A2139" s="2">
        <v>44873</v>
      </c>
      <c r="B2139" s="1">
        <f t="shared" si="168"/>
        <v>46</v>
      </c>
      <c r="C2139">
        <f t="shared" si="170"/>
        <v>11</v>
      </c>
      <c r="D2139" t="str">
        <f t="shared" si="171"/>
        <v>November</v>
      </c>
      <c r="E2139">
        <f t="shared" si="172"/>
        <v>2022</v>
      </c>
      <c r="F2139" t="str">
        <f>CONCATENATE(calendar[[#This Row],[Month]],"/",calendar[[#This Row],[Year]])</f>
        <v>11/2022</v>
      </c>
      <c r="G2139">
        <f>WEEKDAY(calendar[[#This Row],[Date]],1)</f>
        <v>3</v>
      </c>
      <c r="H2139" t="str">
        <f>TEXT(calendar[[#This Row],[WeekDay]],"dddd")</f>
        <v>Tuesday</v>
      </c>
      <c r="I2139">
        <f>IF((INT(calendar[[#This Row],[Count]]/7)-calendar[[#This Row],[Count]]/7)&lt;0,I2138,I2138+1)</f>
        <v>306</v>
      </c>
      <c r="J2139">
        <f t="shared" si="169"/>
        <v>2137</v>
      </c>
      <c r="K2139">
        <f>IF(calendar[[#This Row],[Month]]&lt;4,1,IF(calendar[[#This Row],[Month]]&lt;7,2,IF(calendar[[#This Row],[Month]]&lt;10,3,4)))</f>
        <v>4</v>
      </c>
      <c r="L2139">
        <f>IFERROR(IF(VLOOKUP(calendar[[#This Row],[Date]],BH!A:A,1,)&lt;&gt;"",1,0),0)</f>
        <v>0</v>
      </c>
      <c r="M2139">
        <f>IFERROR(IF(VLOOKUP(calendar[[#This Row],[Date]],BH!C:C,1,)&lt;&gt;"",1,0),0)</f>
        <v>0</v>
      </c>
      <c r="N2139">
        <f>IFERROR(IF(VLOOKUP(calendar[[#This Row],[Date]],BH!E:E,1,)&lt;&gt;"",1,0),0)</f>
        <v>0</v>
      </c>
      <c r="O2139">
        <f>IFERROR(IF(VLOOKUP(calendar[[#This Row],[Date]],BH!G:G,1,)&lt;&gt;"",1,0),0)</f>
        <v>0</v>
      </c>
      <c r="P2139">
        <f>IF(OR(calendar[[#This Row],[UK_BH]]=1,calendar[[#This Row],[WeekDay]]=1, calendar[[#This Row],[WeekDay]]=7),P2138,P2138+1)</f>
        <v>1527</v>
      </c>
      <c r="Q2139">
        <f>IF(OR(calendar[[#This Row],[FR_BH]]=1,calendar[[#This Row],[WeekDay]]=1, calendar[[#This Row],[WeekDay]]=7),P2138,P2138+1)</f>
        <v>1527</v>
      </c>
      <c r="R2139">
        <f>IF(OR(calendar[[#This Row],[SP_BH]]=1,calendar[[#This Row],[WeekDay]]=1, calendar[[#This Row],[WeekDay]]=7),P2138,P2138+1)</f>
        <v>1527</v>
      </c>
      <c r="S2139">
        <f>IF(OR(calendar[[#This Row],[PT_BH]]=1,calendar[[#This Row],[WeekDay]]=1, calendar[[#This Row],[WeekDay]]=7),P2138,P2138+1)</f>
        <v>1527</v>
      </c>
    </row>
    <row r="2140" spans="1:19" x14ac:dyDescent="0.25">
      <c r="A2140" s="2">
        <v>44874</v>
      </c>
      <c r="B2140" s="1">
        <f t="shared" si="168"/>
        <v>46</v>
      </c>
      <c r="C2140">
        <f t="shared" si="170"/>
        <v>11</v>
      </c>
      <c r="D2140" t="str">
        <f t="shared" si="171"/>
        <v>November</v>
      </c>
      <c r="E2140">
        <f t="shared" si="172"/>
        <v>2022</v>
      </c>
      <c r="F2140" t="str">
        <f>CONCATENATE(calendar[[#This Row],[Month]],"/",calendar[[#This Row],[Year]])</f>
        <v>11/2022</v>
      </c>
      <c r="G2140">
        <f>WEEKDAY(calendar[[#This Row],[Date]],1)</f>
        <v>4</v>
      </c>
      <c r="H2140" t="str">
        <f>TEXT(calendar[[#This Row],[WeekDay]],"dddd")</f>
        <v>Wednesday</v>
      </c>
      <c r="I2140">
        <f>IF((INT(calendar[[#This Row],[Count]]/7)-calendar[[#This Row],[Count]]/7)&lt;0,I2139,I2139+1)</f>
        <v>306</v>
      </c>
      <c r="J2140">
        <f t="shared" si="169"/>
        <v>2138</v>
      </c>
      <c r="K2140">
        <f>IF(calendar[[#This Row],[Month]]&lt;4,1,IF(calendar[[#This Row],[Month]]&lt;7,2,IF(calendar[[#This Row],[Month]]&lt;10,3,4)))</f>
        <v>4</v>
      </c>
      <c r="L2140">
        <f>IFERROR(IF(VLOOKUP(calendar[[#This Row],[Date]],BH!A:A,1,)&lt;&gt;"",1,0),0)</f>
        <v>0</v>
      </c>
      <c r="M2140">
        <f>IFERROR(IF(VLOOKUP(calendar[[#This Row],[Date]],BH!C:C,1,)&lt;&gt;"",1,0),0)</f>
        <v>0</v>
      </c>
      <c r="N2140">
        <f>IFERROR(IF(VLOOKUP(calendar[[#This Row],[Date]],BH!E:E,1,)&lt;&gt;"",1,0),0)</f>
        <v>0</v>
      </c>
      <c r="O2140">
        <f>IFERROR(IF(VLOOKUP(calendar[[#This Row],[Date]],BH!G:G,1,)&lt;&gt;"",1,0),0)</f>
        <v>0</v>
      </c>
      <c r="P2140">
        <f>IF(OR(calendar[[#This Row],[UK_BH]]=1,calendar[[#This Row],[WeekDay]]=1, calendar[[#This Row],[WeekDay]]=7),P2139,P2139+1)</f>
        <v>1528</v>
      </c>
      <c r="Q2140">
        <f>IF(OR(calendar[[#This Row],[FR_BH]]=1,calendar[[#This Row],[WeekDay]]=1, calendar[[#This Row],[WeekDay]]=7),P2139,P2139+1)</f>
        <v>1528</v>
      </c>
      <c r="R2140">
        <f>IF(OR(calendar[[#This Row],[SP_BH]]=1,calendar[[#This Row],[WeekDay]]=1, calendar[[#This Row],[WeekDay]]=7),P2139,P2139+1)</f>
        <v>1528</v>
      </c>
      <c r="S2140">
        <f>IF(OR(calendar[[#This Row],[PT_BH]]=1,calendar[[#This Row],[WeekDay]]=1, calendar[[#This Row],[WeekDay]]=7),P2139,P2139+1)</f>
        <v>1528</v>
      </c>
    </row>
    <row r="2141" spans="1:19" x14ac:dyDescent="0.25">
      <c r="A2141" s="2">
        <v>44875</v>
      </c>
      <c r="B2141" s="1">
        <f t="shared" si="168"/>
        <v>46</v>
      </c>
      <c r="C2141">
        <f t="shared" si="170"/>
        <v>11</v>
      </c>
      <c r="D2141" t="str">
        <f t="shared" si="171"/>
        <v>November</v>
      </c>
      <c r="E2141">
        <f t="shared" si="172"/>
        <v>2022</v>
      </c>
      <c r="F2141" t="str">
        <f>CONCATENATE(calendar[[#This Row],[Month]],"/",calendar[[#This Row],[Year]])</f>
        <v>11/2022</v>
      </c>
      <c r="G2141">
        <f>WEEKDAY(calendar[[#This Row],[Date]],1)</f>
        <v>5</v>
      </c>
      <c r="H2141" t="str">
        <f>TEXT(calendar[[#This Row],[WeekDay]],"dddd")</f>
        <v>Thursday</v>
      </c>
      <c r="I2141">
        <f>IF((INT(calendar[[#This Row],[Count]]/7)-calendar[[#This Row],[Count]]/7)&lt;0,I2140,I2140+1)</f>
        <v>306</v>
      </c>
      <c r="J2141">
        <f t="shared" si="169"/>
        <v>2139</v>
      </c>
      <c r="K2141">
        <f>IF(calendar[[#This Row],[Month]]&lt;4,1,IF(calendar[[#This Row],[Month]]&lt;7,2,IF(calendar[[#This Row],[Month]]&lt;10,3,4)))</f>
        <v>4</v>
      </c>
      <c r="L2141">
        <f>IFERROR(IF(VLOOKUP(calendar[[#This Row],[Date]],BH!A:A,1,)&lt;&gt;"",1,0),0)</f>
        <v>0</v>
      </c>
      <c r="M2141">
        <f>IFERROR(IF(VLOOKUP(calendar[[#This Row],[Date]],BH!C:C,1,)&lt;&gt;"",1,0),0)</f>
        <v>0</v>
      </c>
      <c r="N2141">
        <f>IFERROR(IF(VLOOKUP(calendar[[#This Row],[Date]],BH!E:E,1,)&lt;&gt;"",1,0),0)</f>
        <v>0</v>
      </c>
      <c r="O2141">
        <f>IFERROR(IF(VLOOKUP(calendar[[#This Row],[Date]],BH!G:G,1,)&lt;&gt;"",1,0),0)</f>
        <v>0</v>
      </c>
      <c r="P2141">
        <f>IF(OR(calendar[[#This Row],[UK_BH]]=1,calendar[[#This Row],[WeekDay]]=1, calendar[[#This Row],[WeekDay]]=7),P2140,P2140+1)</f>
        <v>1529</v>
      </c>
      <c r="Q2141">
        <f>IF(OR(calendar[[#This Row],[FR_BH]]=1,calendar[[#This Row],[WeekDay]]=1, calendar[[#This Row],[WeekDay]]=7),P2140,P2140+1)</f>
        <v>1529</v>
      </c>
      <c r="R2141">
        <f>IF(OR(calendar[[#This Row],[SP_BH]]=1,calendar[[#This Row],[WeekDay]]=1, calendar[[#This Row],[WeekDay]]=7),P2140,P2140+1)</f>
        <v>1529</v>
      </c>
      <c r="S2141">
        <f>IF(OR(calendar[[#This Row],[PT_BH]]=1,calendar[[#This Row],[WeekDay]]=1, calendar[[#This Row],[WeekDay]]=7),P2140,P2140+1)</f>
        <v>1529</v>
      </c>
    </row>
    <row r="2142" spans="1:19" x14ac:dyDescent="0.25">
      <c r="A2142" s="2">
        <v>44876</v>
      </c>
      <c r="B2142" s="1">
        <f t="shared" si="168"/>
        <v>46</v>
      </c>
      <c r="C2142">
        <f t="shared" si="170"/>
        <v>11</v>
      </c>
      <c r="D2142" t="str">
        <f t="shared" si="171"/>
        <v>November</v>
      </c>
      <c r="E2142">
        <f t="shared" si="172"/>
        <v>2022</v>
      </c>
      <c r="F2142" t="str">
        <f>CONCATENATE(calendar[[#This Row],[Month]],"/",calendar[[#This Row],[Year]])</f>
        <v>11/2022</v>
      </c>
      <c r="G2142">
        <f>WEEKDAY(calendar[[#This Row],[Date]],1)</f>
        <v>6</v>
      </c>
      <c r="H2142" t="str">
        <f>TEXT(calendar[[#This Row],[WeekDay]],"dddd")</f>
        <v>Friday</v>
      </c>
      <c r="I2142">
        <f>IF((INT(calendar[[#This Row],[Count]]/7)-calendar[[#This Row],[Count]]/7)&lt;0,I2141,I2141+1)</f>
        <v>306</v>
      </c>
      <c r="J2142">
        <f t="shared" si="169"/>
        <v>2140</v>
      </c>
      <c r="K2142">
        <f>IF(calendar[[#This Row],[Month]]&lt;4,1,IF(calendar[[#This Row],[Month]]&lt;7,2,IF(calendar[[#This Row],[Month]]&lt;10,3,4)))</f>
        <v>4</v>
      </c>
      <c r="L2142">
        <f>IFERROR(IF(VLOOKUP(calendar[[#This Row],[Date]],BH!A:A,1,)&lt;&gt;"",1,0),0)</f>
        <v>0</v>
      </c>
      <c r="M2142">
        <f>IFERROR(IF(VLOOKUP(calendar[[#This Row],[Date]],BH!C:C,1,)&lt;&gt;"",1,0),0)</f>
        <v>0</v>
      </c>
      <c r="N2142">
        <f>IFERROR(IF(VLOOKUP(calendar[[#This Row],[Date]],BH!E:E,1,)&lt;&gt;"",1,0),0)</f>
        <v>0</v>
      </c>
      <c r="O2142">
        <f>IFERROR(IF(VLOOKUP(calendar[[#This Row],[Date]],BH!G:G,1,)&lt;&gt;"",1,0),0)</f>
        <v>0</v>
      </c>
      <c r="P2142">
        <f>IF(OR(calendar[[#This Row],[UK_BH]]=1,calendar[[#This Row],[WeekDay]]=1, calendar[[#This Row],[WeekDay]]=7),P2141,P2141+1)</f>
        <v>1530</v>
      </c>
      <c r="Q2142">
        <f>IF(OR(calendar[[#This Row],[FR_BH]]=1,calendar[[#This Row],[WeekDay]]=1, calendar[[#This Row],[WeekDay]]=7),P2141,P2141+1)</f>
        <v>1530</v>
      </c>
      <c r="R2142">
        <f>IF(OR(calendar[[#This Row],[SP_BH]]=1,calendar[[#This Row],[WeekDay]]=1, calendar[[#This Row],[WeekDay]]=7),P2141,P2141+1)</f>
        <v>1530</v>
      </c>
      <c r="S2142">
        <f>IF(OR(calendar[[#This Row],[PT_BH]]=1,calendar[[#This Row],[WeekDay]]=1, calendar[[#This Row],[WeekDay]]=7),P2141,P2141+1)</f>
        <v>1530</v>
      </c>
    </row>
    <row r="2143" spans="1:19" x14ac:dyDescent="0.25">
      <c r="A2143" s="2">
        <v>44877</v>
      </c>
      <c r="B2143" s="1">
        <f t="shared" si="168"/>
        <v>46</v>
      </c>
      <c r="C2143">
        <f t="shared" si="170"/>
        <v>11</v>
      </c>
      <c r="D2143" t="str">
        <f t="shared" si="171"/>
        <v>November</v>
      </c>
      <c r="E2143">
        <f t="shared" si="172"/>
        <v>2022</v>
      </c>
      <c r="F2143" t="str">
        <f>CONCATENATE(calendar[[#This Row],[Month]],"/",calendar[[#This Row],[Year]])</f>
        <v>11/2022</v>
      </c>
      <c r="G2143">
        <f>WEEKDAY(calendar[[#This Row],[Date]],1)</f>
        <v>7</v>
      </c>
      <c r="H2143" t="str">
        <f>TEXT(calendar[[#This Row],[WeekDay]],"dddd")</f>
        <v>Saturday</v>
      </c>
      <c r="I2143">
        <f>IF((INT(calendar[[#This Row],[Count]]/7)-calendar[[#This Row],[Count]]/7)&lt;0,I2142,I2142+1)</f>
        <v>306</v>
      </c>
      <c r="J2143">
        <f t="shared" si="169"/>
        <v>2141</v>
      </c>
      <c r="K2143">
        <f>IF(calendar[[#This Row],[Month]]&lt;4,1,IF(calendar[[#This Row],[Month]]&lt;7,2,IF(calendar[[#This Row],[Month]]&lt;10,3,4)))</f>
        <v>4</v>
      </c>
      <c r="L2143">
        <f>IFERROR(IF(VLOOKUP(calendar[[#This Row],[Date]],BH!A:A,1,)&lt;&gt;"",1,0),0)</f>
        <v>0</v>
      </c>
      <c r="M2143">
        <f>IFERROR(IF(VLOOKUP(calendar[[#This Row],[Date]],BH!C:C,1,)&lt;&gt;"",1,0),0)</f>
        <v>0</v>
      </c>
      <c r="N2143">
        <f>IFERROR(IF(VLOOKUP(calendar[[#This Row],[Date]],BH!E:E,1,)&lt;&gt;"",1,0),0)</f>
        <v>0</v>
      </c>
      <c r="O2143">
        <f>IFERROR(IF(VLOOKUP(calendar[[#This Row],[Date]],BH!G:G,1,)&lt;&gt;"",1,0),0)</f>
        <v>0</v>
      </c>
      <c r="P2143">
        <f>IF(OR(calendar[[#This Row],[UK_BH]]=1,calendar[[#This Row],[WeekDay]]=1, calendar[[#This Row],[WeekDay]]=7),P2142,P2142+1)</f>
        <v>1530</v>
      </c>
      <c r="Q2143">
        <f>IF(OR(calendar[[#This Row],[FR_BH]]=1,calendar[[#This Row],[WeekDay]]=1, calendar[[#This Row],[WeekDay]]=7),P2142,P2142+1)</f>
        <v>1530</v>
      </c>
      <c r="R2143">
        <f>IF(OR(calendar[[#This Row],[SP_BH]]=1,calendar[[#This Row],[WeekDay]]=1, calendar[[#This Row],[WeekDay]]=7),P2142,P2142+1)</f>
        <v>1530</v>
      </c>
      <c r="S2143">
        <f>IF(OR(calendar[[#This Row],[PT_BH]]=1,calendar[[#This Row],[WeekDay]]=1, calendar[[#This Row],[WeekDay]]=7),P2142,P2142+1)</f>
        <v>1530</v>
      </c>
    </row>
    <row r="2144" spans="1:19" x14ac:dyDescent="0.25">
      <c r="A2144" s="2">
        <v>44878</v>
      </c>
      <c r="B2144" s="1">
        <f t="shared" si="168"/>
        <v>47</v>
      </c>
      <c r="C2144">
        <f t="shared" si="170"/>
        <v>11</v>
      </c>
      <c r="D2144" t="str">
        <f t="shared" si="171"/>
        <v>November</v>
      </c>
      <c r="E2144">
        <f t="shared" si="172"/>
        <v>2022</v>
      </c>
      <c r="F2144" t="str">
        <f>CONCATENATE(calendar[[#This Row],[Month]],"/",calendar[[#This Row],[Year]])</f>
        <v>11/2022</v>
      </c>
      <c r="G2144">
        <f>WEEKDAY(calendar[[#This Row],[Date]],1)</f>
        <v>1</v>
      </c>
      <c r="H2144" t="str">
        <f>TEXT(calendar[[#This Row],[WeekDay]],"dddd")</f>
        <v>Sunday</v>
      </c>
      <c r="I2144">
        <f>IF((INT(calendar[[#This Row],[Count]]/7)-calendar[[#This Row],[Count]]/7)&lt;0,I2143,I2143+1)</f>
        <v>307</v>
      </c>
      <c r="J2144">
        <f t="shared" si="169"/>
        <v>2142</v>
      </c>
      <c r="K2144">
        <f>IF(calendar[[#This Row],[Month]]&lt;4,1,IF(calendar[[#This Row],[Month]]&lt;7,2,IF(calendar[[#This Row],[Month]]&lt;10,3,4)))</f>
        <v>4</v>
      </c>
      <c r="L2144">
        <f>IFERROR(IF(VLOOKUP(calendar[[#This Row],[Date]],BH!A:A,1,)&lt;&gt;"",1,0),0)</f>
        <v>0</v>
      </c>
      <c r="M2144">
        <f>IFERROR(IF(VLOOKUP(calendar[[#This Row],[Date]],BH!C:C,1,)&lt;&gt;"",1,0),0)</f>
        <v>0</v>
      </c>
      <c r="N2144">
        <f>IFERROR(IF(VLOOKUP(calendar[[#This Row],[Date]],BH!E:E,1,)&lt;&gt;"",1,0),0)</f>
        <v>0</v>
      </c>
      <c r="O2144">
        <f>IFERROR(IF(VLOOKUP(calendar[[#This Row],[Date]],BH!G:G,1,)&lt;&gt;"",1,0),0)</f>
        <v>0</v>
      </c>
      <c r="P2144">
        <f>IF(OR(calendar[[#This Row],[UK_BH]]=1,calendar[[#This Row],[WeekDay]]=1, calendar[[#This Row],[WeekDay]]=7),P2143,P2143+1)</f>
        <v>1530</v>
      </c>
      <c r="Q2144">
        <f>IF(OR(calendar[[#This Row],[FR_BH]]=1,calendar[[#This Row],[WeekDay]]=1, calendar[[#This Row],[WeekDay]]=7),P2143,P2143+1)</f>
        <v>1530</v>
      </c>
      <c r="R2144">
        <f>IF(OR(calendar[[#This Row],[SP_BH]]=1,calendar[[#This Row],[WeekDay]]=1, calendar[[#This Row],[WeekDay]]=7),P2143,P2143+1)</f>
        <v>1530</v>
      </c>
      <c r="S2144">
        <f>IF(OR(calendar[[#This Row],[PT_BH]]=1,calendar[[#This Row],[WeekDay]]=1, calendar[[#This Row],[WeekDay]]=7),P2143,P2143+1)</f>
        <v>1530</v>
      </c>
    </row>
    <row r="2145" spans="1:19" x14ac:dyDescent="0.25">
      <c r="A2145" s="2">
        <v>44879</v>
      </c>
      <c r="B2145" s="1">
        <f t="shared" si="168"/>
        <v>47</v>
      </c>
      <c r="C2145">
        <f t="shared" si="170"/>
        <v>11</v>
      </c>
      <c r="D2145" t="str">
        <f t="shared" si="171"/>
        <v>November</v>
      </c>
      <c r="E2145">
        <f t="shared" si="172"/>
        <v>2022</v>
      </c>
      <c r="F2145" t="str">
        <f>CONCATENATE(calendar[[#This Row],[Month]],"/",calendar[[#This Row],[Year]])</f>
        <v>11/2022</v>
      </c>
      <c r="G2145">
        <f>WEEKDAY(calendar[[#This Row],[Date]],1)</f>
        <v>2</v>
      </c>
      <c r="H2145" t="str">
        <f>TEXT(calendar[[#This Row],[WeekDay]],"dddd")</f>
        <v>Monday</v>
      </c>
      <c r="I2145">
        <f>IF((INT(calendar[[#This Row],[Count]]/7)-calendar[[#This Row],[Count]]/7)&lt;0,I2144,I2144+1)</f>
        <v>307</v>
      </c>
      <c r="J2145">
        <f t="shared" si="169"/>
        <v>2143</v>
      </c>
      <c r="K2145">
        <f>IF(calendar[[#This Row],[Month]]&lt;4,1,IF(calendar[[#This Row],[Month]]&lt;7,2,IF(calendar[[#This Row],[Month]]&lt;10,3,4)))</f>
        <v>4</v>
      </c>
      <c r="L2145">
        <f>IFERROR(IF(VLOOKUP(calendar[[#This Row],[Date]],BH!A:A,1,)&lt;&gt;"",1,0),0)</f>
        <v>0</v>
      </c>
      <c r="M2145">
        <f>IFERROR(IF(VLOOKUP(calendar[[#This Row],[Date]],BH!C:C,1,)&lt;&gt;"",1,0),0)</f>
        <v>0</v>
      </c>
      <c r="N2145">
        <f>IFERROR(IF(VLOOKUP(calendar[[#This Row],[Date]],BH!E:E,1,)&lt;&gt;"",1,0),0)</f>
        <v>0</v>
      </c>
      <c r="O2145">
        <f>IFERROR(IF(VLOOKUP(calendar[[#This Row],[Date]],BH!G:G,1,)&lt;&gt;"",1,0),0)</f>
        <v>0</v>
      </c>
      <c r="P2145">
        <f>IF(OR(calendar[[#This Row],[UK_BH]]=1,calendar[[#This Row],[WeekDay]]=1, calendar[[#This Row],[WeekDay]]=7),P2144,P2144+1)</f>
        <v>1531</v>
      </c>
      <c r="Q2145">
        <f>IF(OR(calendar[[#This Row],[FR_BH]]=1,calendar[[#This Row],[WeekDay]]=1, calendar[[#This Row],[WeekDay]]=7),P2144,P2144+1)</f>
        <v>1531</v>
      </c>
      <c r="R2145">
        <f>IF(OR(calendar[[#This Row],[SP_BH]]=1,calendar[[#This Row],[WeekDay]]=1, calendar[[#This Row],[WeekDay]]=7),P2144,P2144+1)</f>
        <v>1531</v>
      </c>
      <c r="S2145">
        <f>IF(OR(calendar[[#This Row],[PT_BH]]=1,calendar[[#This Row],[WeekDay]]=1, calendar[[#This Row],[WeekDay]]=7),P2144,P2144+1)</f>
        <v>1531</v>
      </c>
    </row>
    <row r="2146" spans="1:19" x14ac:dyDescent="0.25">
      <c r="A2146" s="2">
        <v>44880</v>
      </c>
      <c r="B2146" s="1">
        <f t="shared" si="168"/>
        <v>47</v>
      </c>
      <c r="C2146">
        <f t="shared" si="170"/>
        <v>11</v>
      </c>
      <c r="D2146" t="str">
        <f t="shared" si="171"/>
        <v>November</v>
      </c>
      <c r="E2146">
        <f t="shared" si="172"/>
        <v>2022</v>
      </c>
      <c r="F2146" t="str">
        <f>CONCATENATE(calendar[[#This Row],[Month]],"/",calendar[[#This Row],[Year]])</f>
        <v>11/2022</v>
      </c>
      <c r="G2146">
        <f>WEEKDAY(calendar[[#This Row],[Date]],1)</f>
        <v>3</v>
      </c>
      <c r="H2146" t="str">
        <f>TEXT(calendar[[#This Row],[WeekDay]],"dddd")</f>
        <v>Tuesday</v>
      </c>
      <c r="I2146">
        <f>IF((INT(calendar[[#This Row],[Count]]/7)-calendar[[#This Row],[Count]]/7)&lt;0,I2145,I2145+1)</f>
        <v>307</v>
      </c>
      <c r="J2146">
        <f t="shared" si="169"/>
        <v>2144</v>
      </c>
      <c r="K2146">
        <f>IF(calendar[[#This Row],[Month]]&lt;4,1,IF(calendar[[#This Row],[Month]]&lt;7,2,IF(calendar[[#This Row],[Month]]&lt;10,3,4)))</f>
        <v>4</v>
      </c>
      <c r="L2146">
        <f>IFERROR(IF(VLOOKUP(calendar[[#This Row],[Date]],BH!A:A,1,)&lt;&gt;"",1,0),0)</f>
        <v>0</v>
      </c>
      <c r="M2146">
        <f>IFERROR(IF(VLOOKUP(calendar[[#This Row],[Date]],BH!C:C,1,)&lt;&gt;"",1,0),0)</f>
        <v>0</v>
      </c>
      <c r="N2146">
        <f>IFERROR(IF(VLOOKUP(calendar[[#This Row],[Date]],BH!E:E,1,)&lt;&gt;"",1,0),0)</f>
        <v>0</v>
      </c>
      <c r="O2146">
        <f>IFERROR(IF(VLOOKUP(calendar[[#This Row],[Date]],BH!G:G,1,)&lt;&gt;"",1,0),0)</f>
        <v>0</v>
      </c>
      <c r="P2146">
        <f>IF(OR(calendar[[#This Row],[UK_BH]]=1,calendar[[#This Row],[WeekDay]]=1, calendar[[#This Row],[WeekDay]]=7),P2145,P2145+1)</f>
        <v>1532</v>
      </c>
      <c r="Q2146">
        <f>IF(OR(calendar[[#This Row],[FR_BH]]=1,calendar[[#This Row],[WeekDay]]=1, calendar[[#This Row],[WeekDay]]=7),P2145,P2145+1)</f>
        <v>1532</v>
      </c>
      <c r="R2146">
        <f>IF(OR(calendar[[#This Row],[SP_BH]]=1,calendar[[#This Row],[WeekDay]]=1, calendar[[#This Row],[WeekDay]]=7),P2145,P2145+1)</f>
        <v>1532</v>
      </c>
      <c r="S2146">
        <f>IF(OR(calendar[[#This Row],[PT_BH]]=1,calendar[[#This Row],[WeekDay]]=1, calendar[[#This Row],[WeekDay]]=7),P2145,P2145+1)</f>
        <v>1532</v>
      </c>
    </row>
    <row r="2147" spans="1:19" x14ac:dyDescent="0.25">
      <c r="A2147" s="2">
        <v>44881</v>
      </c>
      <c r="B2147" s="1">
        <f t="shared" si="168"/>
        <v>47</v>
      </c>
      <c r="C2147">
        <f t="shared" si="170"/>
        <v>11</v>
      </c>
      <c r="D2147" t="str">
        <f t="shared" si="171"/>
        <v>November</v>
      </c>
      <c r="E2147">
        <f t="shared" si="172"/>
        <v>2022</v>
      </c>
      <c r="F2147" t="str">
        <f>CONCATENATE(calendar[[#This Row],[Month]],"/",calendar[[#This Row],[Year]])</f>
        <v>11/2022</v>
      </c>
      <c r="G2147">
        <f>WEEKDAY(calendar[[#This Row],[Date]],1)</f>
        <v>4</v>
      </c>
      <c r="H2147" t="str">
        <f>TEXT(calendar[[#This Row],[WeekDay]],"dddd")</f>
        <v>Wednesday</v>
      </c>
      <c r="I2147">
        <f>IF((INT(calendar[[#This Row],[Count]]/7)-calendar[[#This Row],[Count]]/7)&lt;0,I2146,I2146+1)</f>
        <v>307</v>
      </c>
      <c r="J2147">
        <f t="shared" si="169"/>
        <v>2145</v>
      </c>
      <c r="K2147">
        <f>IF(calendar[[#This Row],[Month]]&lt;4,1,IF(calendar[[#This Row],[Month]]&lt;7,2,IF(calendar[[#This Row],[Month]]&lt;10,3,4)))</f>
        <v>4</v>
      </c>
      <c r="L2147">
        <f>IFERROR(IF(VLOOKUP(calendar[[#This Row],[Date]],BH!A:A,1,)&lt;&gt;"",1,0),0)</f>
        <v>0</v>
      </c>
      <c r="M2147">
        <f>IFERROR(IF(VLOOKUP(calendar[[#This Row],[Date]],BH!C:C,1,)&lt;&gt;"",1,0),0)</f>
        <v>0</v>
      </c>
      <c r="N2147">
        <f>IFERROR(IF(VLOOKUP(calendar[[#This Row],[Date]],BH!E:E,1,)&lt;&gt;"",1,0),0)</f>
        <v>0</v>
      </c>
      <c r="O2147">
        <f>IFERROR(IF(VLOOKUP(calendar[[#This Row],[Date]],BH!G:G,1,)&lt;&gt;"",1,0),0)</f>
        <v>0</v>
      </c>
      <c r="P2147">
        <f>IF(OR(calendar[[#This Row],[UK_BH]]=1,calendar[[#This Row],[WeekDay]]=1, calendar[[#This Row],[WeekDay]]=7),P2146,P2146+1)</f>
        <v>1533</v>
      </c>
      <c r="Q2147">
        <f>IF(OR(calendar[[#This Row],[FR_BH]]=1,calendar[[#This Row],[WeekDay]]=1, calendar[[#This Row],[WeekDay]]=7),P2146,P2146+1)</f>
        <v>1533</v>
      </c>
      <c r="R2147">
        <f>IF(OR(calendar[[#This Row],[SP_BH]]=1,calendar[[#This Row],[WeekDay]]=1, calendar[[#This Row],[WeekDay]]=7),P2146,P2146+1)</f>
        <v>1533</v>
      </c>
      <c r="S2147">
        <f>IF(OR(calendar[[#This Row],[PT_BH]]=1,calendar[[#This Row],[WeekDay]]=1, calendar[[#This Row],[WeekDay]]=7),P2146,P2146+1)</f>
        <v>1533</v>
      </c>
    </row>
    <row r="2148" spans="1:19" x14ac:dyDescent="0.25">
      <c r="A2148" s="2">
        <v>44882</v>
      </c>
      <c r="B2148" s="1">
        <f t="shared" si="168"/>
        <v>47</v>
      </c>
      <c r="C2148">
        <f t="shared" si="170"/>
        <v>11</v>
      </c>
      <c r="D2148" t="str">
        <f t="shared" si="171"/>
        <v>November</v>
      </c>
      <c r="E2148">
        <f t="shared" si="172"/>
        <v>2022</v>
      </c>
      <c r="F2148" t="str">
        <f>CONCATENATE(calendar[[#This Row],[Month]],"/",calendar[[#This Row],[Year]])</f>
        <v>11/2022</v>
      </c>
      <c r="G2148">
        <f>WEEKDAY(calendar[[#This Row],[Date]],1)</f>
        <v>5</v>
      </c>
      <c r="H2148" t="str">
        <f>TEXT(calendar[[#This Row],[WeekDay]],"dddd")</f>
        <v>Thursday</v>
      </c>
      <c r="I2148">
        <f>IF((INT(calendar[[#This Row],[Count]]/7)-calendar[[#This Row],[Count]]/7)&lt;0,I2147,I2147+1)</f>
        <v>307</v>
      </c>
      <c r="J2148">
        <f t="shared" si="169"/>
        <v>2146</v>
      </c>
      <c r="K2148">
        <f>IF(calendar[[#This Row],[Month]]&lt;4,1,IF(calendar[[#This Row],[Month]]&lt;7,2,IF(calendar[[#This Row],[Month]]&lt;10,3,4)))</f>
        <v>4</v>
      </c>
      <c r="L2148">
        <f>IFERROR(IF(VLOOKUP(calendar[[#This Row],[Date]],BH!A:A,1,)&lt;&gt;"",1,0),0)</f>
        <v>0</v>
      </c>
      <c r="M2148">
        <f>IFERROR(IF(VLOOKUP(calendar[[#This Row],[Date]],BH!C:C,1,)&lt;&gt;"",1,0),0)</f>
        <v>0</v>
      </c>
      <c r="N2148">
        <f>IFERROR(IF(VLOOKUP(calendar[[#This Row],[Date]],BH!E:E,1,)&lt;&gt;"",1,0),0)</f>
        <v>0</v>
      </c>
      <c r="O2148">
        <f>IFERROR(IF(VLOOKUP(calendar[[#This Row],[Date]],BH!G:G,1,)&lt;&gt;"",1,0),0)</f>
        <v>0</v>
      </c>
      <c r="P2148">
        <f>IF(OR(calendar[[#This Row],[UK_BH]]=1,calendar[[#This Row],[WeekDay]]=1, calendar[[#This Row],[WeekDay]]=7),P2147,P2147+1)</f>
        <v>1534</v>
      </c>
      <c r="Q2148">
        <f>IF(OR(calendar[[#This Row],[FR_BH]]=1,calendar[[#This Row],[WeekDay]]=1, calendar[[#This Row],[WeekDay]]=7),P2147,P2147+1)</f>
        <v>1534</v>
      </c>
      <c r="R2148">
        <f>IF(OR(calendar[[#This Row],[SP_BH]]=1,calendar[[#This Row],[WeekDay]]=1, calendar[[#This Row],[WeekDay]]=7),P2147,P2147+1)</f>
        <v>1534</v>
      </c>
      <c r="S2148">
        <f>IF(OR(calendar[[#This Row],[PT_BH]]=1,calendar[[#This Row],[WeekDay]]=1, calendar[[#This Row],[WeekDay]]=7),P2147,P2147+1)</f>
        <v>1534</v>
      </c>
    </row>
    <row r="2149" spans="1:19" x14ac:dyDescent="0.25">
      <c r="A2149" s="2">
        <v>44883</v>
      </c>
      <c r="B2149" s="1">
        <f t="shared" si="168"/>
        <v>47</v>
      </c>
      <c r="C2149">
        <f t="shared" si="170"/>
        <v>11</v>
      </c>
      <c r="D2149" t="str">
        <f t="shared" si="171"/>
        <v>November</v>
      </c>
      <c r="E2149">
        <f t="shared" si="172"/>
        <v>2022</v>
      </c>
      <c r="F2149" t="str">
        <f>CONCATENATE(calendar[[#This Row],[Month]],"/",calendar[[#This Row],[Year]])</f>
        <v>11/2022</v>
      </c>
      <c r="G2149">
        <f>WEEKDAY(calendar[[#This Row],[Date]],1)</f>
        <v>6</v>
      </c>
      <c r="H2149" t="str">
        <f>TEXT(calendar[[#This Row],[WeekDay]],"dddd")</f>
        <v>Friday</v>
      </c>
      <c r="I2149">
        <f>IF((INT(calendar[[#This Row],[Count]]/7)-calendar[[#This Row],[Count]]/7)&lt;0,I2148,I2148+1)</f>
        <v>307</v>
      </c>
      <c r="J2149">
        <f t="shared" si="169"/>
        <v>2147</v>
      </c>
      <c r="K2149">
        <f>IF(calendar[[#This Row],[Month]]&lt;4,1,IF(calendar[[#This Row],[Month]]&lt;7,2,IF(calendar[[#This Row],[Month]]&lt;10,3,4)))</f>
        <v>4</v>
      </c>
      <c r="L2149">
        <f>IFERROR(IF(VLOOKUP(calendar[[#This Row],[Date]],BH!A:A,1,)&lt;&gt;"",1,0),0)</f>
        <v>0</v>
      </c>
      <c r="M2149">
        <f>IFERROR(IF(VLOOKUP(calendar[[#This Row],[Date]],BH!C:C,1,)&lt;&gt;"",1,0),0)</f>
        <v>0</v>
      </c>
      <c r="N2149">
        <f>IFERROR(IF(VLOOKUP(calendar[[#This Row],[Date]],BH!E:E,1,)&lt;&gt;"",1,0),0)</f>
        <v>0</v>
      </c>
      <c r="O2149">
        <f>IFERROR(IF(VLOOKUP(calendar[[#This Row],[Date]],BH!G:G,1,)&lt;&gt;"",1,0),0)</f>
        <v>0</v>
      </c>
      <c r="P2149">
        <f>IF(OR(calendar[[#This Row],[UK_BH]]=1,calendar[[#This Row],[WeekDay]]=1, calendar[[#This Row],[WeekDay]]=7),P2148,P2148+1)</f>
        <v>1535</v>
      </c>
      <c r="Q2149">
        <f>IF(OR(calendar[[#This Row],[FR_BH]]=1,calendar[[#This Row],[WeekDay]]=1, calendar[[#This Row],[WeekDay]]=7),P2148,P2148+1)</f>
        <v>1535</v>
      </c>
      <c r="R2149">
        <f>IF(OR(calendar[[#This Row],[SP_BH]]=1,calendar[[#This Row],[WeekDay]]=1, calendar[[#This Row],[WeekDay]]=7),P2148,P2148+1)</f>
        <v>1535</v>
      </c>
      <c r="S2149">
        <f>IF(OR(calendar[[#This Row],[PT_BH]]=1,calendar[[#This Row],[WeekDay]]=1, calendar[[#This Row],[WeekDay]]=7),P2148,P2148+1)</f>
        <v>1535</v>
      </c>
    </row>
    <row r="2150" spans="1:19" x14ac:dyDescent="0.25">
      <c r="A2150" s="2">
        <v>44884</v>
      </c>
      <c r="B2150" s="1">
        <f t="shared" si="168"/>
        <v>47</v>
      </c>
      <c r="C2150">
        <f t="shared" si="170"/>
        <v>11</v>
      </c>
      <c r="D2150" t="str">
        <f t="shared" si="171"/>
        <v>November</v>
      </c>
      <c r="E2150">
        <f t="shared" si="172"/>
        <v>2022</v>
      </c>
      <c r="F2150" t="str">
        <f>CONCATENATE(calendar[[#This Row],[Month]],"/",calendar[[#This Row],[Year]])</f>
        <v>11/2022</v>
      </c>
      <c r="G2150">
        <f>WEEKDAY(calendar[[#This Row],[Date]],1)</f>
        <v>7</v>
      </c>
      <c r="H2150" t="str">
        <f>TEXT(calendar[[#This Row],[WeekDay]],"dddd")</f>
        <v>Saturday</v>
      </c>
      <c r="I2150">
        <f>IF((INT(calendar[[#This Row],[Count]]/7)-calendar[[#This Row],[Count]]/7)&lt;0,I2149,I2149+1)</f>
        <v>307</v>
      </c>
      <c r="J2150">
        <f t="shared" si="169"/>
        <v>2148</v>
      </c>
      <c r="K2150">
        <f>IF(calendar[[#This Row],[Month]]&lt;4,1,IF(calendar[[#This Row],[Month]]&lt;7,2,IF(calendar[[#This Row],[Month]]&lt;10,3,4)))</f>
        <v>4</v>
      </c>
      <c r="L2150">
        <f>IFERROR(IF(VLOOKUP(calendar[[#This Row],[Date]],BH!A:A,1,)&lt;&gt;"",1,0),0)</f>
        <v>0</v>
      </c>
      <c r="M2150">
        <f>IFERROR(IF(VLOOKUP(calendar[[#This Row],[Date]],BH!C:C,1,)&lt;&gt;"",1,0),0)</f>
        <v>0</v>
      </c>
      <c r="N2150">
        <f>IFERROR(IF(VLOOKUP(calendar[[#This Row],[Date]],BH!E:E,1,)&lt;&gt;"",1,0),0)</f>
        <v>0</v>
      </c>
      <c r="O2150">
        <f>IFERROR(IF(VLOOKUP(calendar[[#This Row],[Date]],BH!G:G,1,)&lt;&gt;"",1,0),0)</f>
        <v>0</v>
      </c>
      <c r="P2150">
        <f>IF(OR(calendar[[#This Row],[UK_BH]]=1,calendar[[#This Row],[WeekDay]]=1, calendar[[#This Row],[WeekDay]]=7),P2149,P2149+1)</f>
        <v>1535</v>
      </c>
      <c r="Q2150">
        <f>IF(OR(calendar[[#This Row],[FR_BH]]=1,calendar[[#This Row],[WeekDay]]=1, calendar[[#This Row],[WeekDay]]=7),P2149,P2149+1)</f>
        <v>1535</v>
      </c>
      <c r="R2150">
        <f>IF(OR(calendar[[#This Row],[SP_BH]]=1,calendar[[#This Row],[WeekDay]]=1, calendar[[#This Row],[WeekDay]]=7),P2149,P2149+1)</f>
        <v>1535</v>
      </c>
      <c r="S2150">
        <f>IF(OR(calendar[[#This Row],[PT_BH]]=1,calendar[[#This Row],[WeekDay]]=1, calendar[[#This Row],[WeekDay]]=7),P2149,P2149+1)</f>
        <v>1535</v>
      </c>
    </row>
    <row r="2151" spans="1:19" x14ac:dyDescent="0.25">
      <c r="A2151" s="2">
        <v>44885</v>
      </c>
      <c r="B2151" s="1">
        <f t="shared" si="168"/>
        <v>48</v>
      </c>
      <c r="C2151">
        <f t="shared" si="170"/>
        <v>11</v>
      </c>
      <c r="D2151" t="str">
        <f t="shared" si="171"/>
        <v>November</v>
      </c>
      <c r="E2151">
        <f t="shared" si="172"/>
        <v>2022</v>
      </c>
      <c r="F2151" t="str">
        <f>CONCATENATE(calendar[[#This Row],[Month]],"/",calendar[[#This Row],[Year]])</f>
        <v>11/2022</v>
      </c>
      <c r="G2151">
        <f>WEEKDAY(calendar[[#This Row],[Date]],1)</f>
        <v>1</v>
      </c>
      <c r="H2151" t="str">
        <f>TEXT(calendar[[#This Row],[WeekDay]],"dddd")</f>
        <v>Sunday</v>
      </c>
      <c r="I2151">
        <f>IF((INT(calendar[[#This Row],[Count]]/7)-calendar[[#This Row],[Count]]/7)&lt;0,I2150,I2150+1)</f>
        <v>308</v>
      </c>
      <c r="J2151">
        <f t="shared" si="169"/>
        <v>2149</v>
      </c>
      <c r="K2151">
        <f>IF(calendar[[#This Row],[Month]]&lt;4,1,IF(calendar[[#This Row],[Month]]&lt;7,2,IF(calendar[[#This Row],[Month]]&lt;10,3,4)))</f>
        <v>4</v>
      </c>
      <c r="L2151">
        <f>IFERROR(IF(VLOOKUP(calendar[[#This Row],[Date]],BH!A:A,1,)&lt;&gt;"",1,0),0)</f>
        <v>0</v>
      </c>
      <c r="M2151">
        <f>IFERROR(IF(VLOOKUP(calendar[[#This Row],[Date]],BH!C:C,1,)&lt;&gt;"",1,0),0)</f>
        <v>0</v>
      </c>
      <c r="N2151">
        <f>IFERROR(IF(VLOOKUP(calendar[[#This Row],[Date]],BH!E:E,1,)&lt;&gt;"",1,0),0)</f>
        <v>0</v>
      </c>
      <c r="O2151">
        <f>IFERROR(IF(VLOOKUP(calendar[[#This Row],[Date]],BH!G:G,1,)&lt;&gt;"",1,0),0)</f>
        <v>0</v>
      </c>
      <c r="P2151">
        <f>IF(OR(calendar[[#This Row],[UK_BH]]=1,calendar[[#This Row],[WeekDay]]=1, calendar[[#This Row],[WeekDay]]=7),P2150,P2150+1)</f>
        <v>1535</v>
      </c>
      <c r="Q2151">
        <f>IF(OR(calendar[[#This Row],[FR_BH]]=1,calendar[[#This Row],[WeekDay]]=1, calendar[[#This Row],[WeekDay]]=7),P2150,P2150+1)</f>
        <v>1535</v>
      </c>
      <c r="R2151">
        <f>IF(OR(calendar[[#This Row],[SP_BH]]=1,calendar[[#This Row],[WeekDay]]=1, calendar[[#This Row],[WeekDay]]=7),P2150,P2150+1)</f>
        <v>1535</v>
      </c>
      <c r="S2151">
        <f>IF(OR(calendar[[#This Row],[PT_BH]]=1,calendar[[#This Row],[WeekDay]]=1, calendar[[#This Row],[WeekDay]]=7),P2150,P2150+1)</f>
        <v>1535</v>
      </c>
    </row>
    <row r="2152" spans="1:19" x14ac:dyDescent="0.25">
      <c r="A2152" s="2">
        <v>44886</v>
      </c>
      <c r="B2152" s="1">
        <f t="shared" si="168"/>
        <v>48</v>
      </c>
      <c r="C2152">
        <f t="shared" si="170"/>
        <v>11</v>
      </c>
      <c r="D2152" t="str">
        <f t="shared" si="171"/>
        <v>November</v>
      </c>
      <c r="E2152">
        <f t="shared" si="172"/>
        <v>2022</v>
      </c>
      <c r="F2152" t="str">
        <f>CONCATENATE(calendar[[#This Row],[Month]],"/",calendar[[#This Row],[Year]])</f>
        <v>11/2022</v>
      </c>
      <c r="G2152">
        <f>WEEKDAY(calendar[[#This Row],[Date]],1)</f>
        <v>2</v>
      </c>
      <c r="H2152" t="str">
        <f>TEXT(calendar[[#This Row],[WeekDay]],"dddd")</f>
        <v>Monday</v>
      </c>
      <c r="I2152">
        <f>IF((INT(calendar[[#This Row],[Count]]/7)-calendar[[#This Row],[Count]]/7)&lt;0,I2151,I2151+1)</f>
        <v>308</v>
      </c>
      <c r="J2152">
        <f t="shared" si="169"/>
        <v>2150</v>
      </c>
      <c r="K2152">
        <f>IF(calendar[[#This Row],[Month]]&lt;4,1,IF(calendar[[#This Row],[Month]]&lt;7,2,IF(calendar[[#This Row],[Month]]&lt;10,3,4)))</f>
        <v>4</v>
      </c>
      <c r="L2152">
        <f>IFERROR(IF(VLOOKUP(calendar[[#This Row],[Date]],BH!A:A,1,)&lt;&gt;"",1,0),0)</f>
        <v>0</v>
      </c>
      <c r="M2152">
        <f>IFERROR(IF(VLOOKUP(calendar[[#This Row],[Date]],BH!C:C,1,)&lt;&gt;"",1,0),0)</f>
        <v>0</v>
      </c>
      <c r="N2152">
        <f>IFERROR(IF(VLOOKUP(calendar[[#This Row],[Date]],BH!E:E,1,)&lt;&gt;"",1,0),0)</f>
        <v>0</v>
      </c>
      <c r="O2152">
        <f>IFERROR(IF(VLOOKUP(calendar[[#This Row],[Date]],BH!G:G,1,)&lt;&gt;"",1,0),0)</f>
        <v>0</v>
      </c>
      <c r="P2152">
        <f>IF(OR(calendar[[#This Row],[UK_BH]]=1,calendar[[#This Row],[WeekDay]]=1, calendar[[#This Row],[WeekDay]]=7),P2151,P2151+1)</f>
        <v>1536</v>
      </c>
      <c r="Q2152">
        <f>IF(OR(calendar[[#This Row],[FR_BH]]=1,calendar[[#This Row],[WeekDay]]=1, calendar[[#This Row],[WeekDay]]=7),P2151,P2151+1)</f>
        <v>1536</v>
      </c>
      <c r="R2152">
        <f>IF(OR(calendar[[#This Row],[SP_BH]]=1,calendar[[#This Row],[WeekDay]]=1, calendar[[#This Row],[WeekDay]]=7),P2151,P2151+1)</f>
        <v>1536</v>
      </c>
      <c r="S2152">
        <f>IF(OR(calendar[[#This Row],[PT_BH]]=1,calendar[[#This Row],[WeekDay]]=1, calendar[[#This Row],[WeekDay]]=7),P2151,P2151+1)</f>
        <v>1536</v>
      </c>
    </row>
    <row r="2153" spans="1:19" x14ac:dyDescent="0.25">
      <c r="A2153" s="2">
        <v>44887</v>
      </c>
      <c r="B2153" s="1">
        <f t="shared" si="168"/>
        <v>48</v>
      </c>
      <c r="C2153">
        <f t="shared" si="170"/>
        <v>11</v>
      </c>
      <c r="D2153" t="str">
        <f t="shared" si="171"/>
        <v>November</v>
      </c>
      <c r="E2153">
        <f t="shared" si="172"/>
        <v>2022</v>
      </c>
      <c r="F2153" t="str">
        <f>CONCATENATE(calendar[[#This Row],[Month]],"/",calendar[[#This Row],[Year]])</f>
        <v>11/2022</v>
      </c>
      <c r="G2153">
        <f>WEEKDAY(calendar[[#This Row],[Date]],1)</f>
        <v>3</v>
      </c>
      <c r="H2153" t="str">
        <f>TEXT(calendar[[#This Row],[WeekDay]],"dddd")</f>
        <v>Tuesday</v>
      </c>
      <c r="I2153">
        <f>IF((INT(calendar[[#This Row],[Count]]/7)-calendar[[#This Row],[Count]]/7)&lt;0,I2152,I2152+1)</f>
        <v>308</v>
      </c>
      <c r="J2153">
        <f t="shared" si="169"/>
        <v>2151</v>
      </c>
      <c r="K2153">
        <f>IF(calendar[[#This Row],[Month]]&lt;4,1,IF(calendar[[#This Row],[Month]]&lt;7,2,IF(calendar[[#This Row],[Month]]&lt;10,3,4)))</f>
        <v>4</v>
      </c>
      <c r="L2153">
        <f>IFERROR(IF(VLOOKUP(calendar[[#This Row],[Date]],BH!A:A,1,)&lt;&gt;"",1,0),0)</f>
        <v>0</v>
      </c>
      <c r="M2153">
        <f>IFERROR(IF(VLOOKUP(calendar[[#This Row],[Date]],BH!C:C,1,)&lt;&gt;"",1,0),0)</f>
        <v>0</v>
      </c>
      <c r="N2153">
        <f>IFERROR(IF(VLOOKUP(calendar[[#This Row],[Date]],BH!E:E,1,)&lt;&gt;"",1,0),0)</f>
        <v>0</v>
      </c>
      <c r="O2153">
        <f>IFERROR(IF(VLOOKUP(calendar[[#This Row],[Date]],BH!G:G,1,)&lt;&gt;"",1,0),0)</f>
        <v>0</v>
      </c>
      <c r="P2153">
        <f>IF(OR(calendar[[#This Row],[UK_BH]]=1,calendar[[#This Row],[WeekDay]]=1, calendar[[#This Row],[WeekDay]]=7),P2152,P2152+1)</f>
        <v>1537</v>
      </c>
      <c r="Q2153">
        <f>IF(OR(calendar[[#This Row],[FR_BH]]=1,calendar[[#This Row],[WeekDay]]=1, calendar[[#This Row],[WeekDay]]=7),P2152,P2152+1)</f>
        <v>1537</v>
      </c>
      <c r="R2153">
        <f>IF(OR(calendar[[#This Row],[SP_BH]]=1,calendar[[#This Row],[WeekDay]]=1, calendar[[#This Row],[WeekDay]]=7),P2152,P2152+1)</f>
        <v>1537</v>
      </c>
      <c r="S2153">
        <f>IF(OR(calendar[[#This Row],[PT_BH]]=1,calendar[[#This Row],[WeekDay]]=1, calendar[[#This Row],[WeekDay]]=7),P2152,P2152+1)</f>
        <v>1537</v>
      </c>
    </row>
    <row r="2154" spans="1:19" x14ac:dyDescent="0.25">
      <c r="A2154" s="2">
        <v>44888</v>
      </c>
      <c r="B2154" s="1">
        <f t="shared" si="168"/>
        <v>48</v>
      </c>
      <c r="C2154">
        <f t="shared" si="170"/>
        <v>11</v>
      </c>
      <c r="D2154" t="str">
        <f t="shared" si="171"/>
        <v>November</v>
      </c>
      <c r="E2154">
        <f t="shared" si="172"/>
        <v>2022</v>
      </c>
      <c r="F2154" t="str">
        <f>CONCATENATE(calendar[[#This Row],[Month]],"/",calendar[[#This Row],[Year]])</f>
        <v>11/2022</v>
      </c>
      <c r="G2154">
        <f>WEEKDAY(calendar[[#This Row],[Date]],1)</f>
        <v>4</v>
      </c>
      <c r="H2154" t="str">
        <f>TEXT(calendar[[#This Row],[WeekDay]],"dddd")</f>
        <v>Wednesday</v>
      </c>
      <c r="I2154">
        <f>IF((INT(calendar[[#This Row],[Count]]/7)-calendar[[#This Row],[Count]]/7)&lt;0,I2153,I2153+1)</f>
        <v>308</v>
      </c>
      <c r="J2154">
        <f t="shared" si="169"/>
        <v>2152</v>
      </c>
      <c r="K2154">
        <f>IF(calendar[[#This Row],[Month]]&lt;4,1,IF(calendar[[#This Row],[Month]]&lt;7,2,IF(calendar[[#This Row],[Month]]&lt;10,3,4)))</f>
        <v>4</v>
      </c>
      <c r="L2154">
        <f>IFERROR(IF(VLOOKUP(calendar[[#This Row],[Date]],BH!A:A,1,)&lt;&gt;"",1,0),0)</f>
        <v>0</v>
      </c>
      <c r="M2154">
        <f>IFERROR(IF(VLOOKUP(calendar[[#This Row],[Date]],BH!C:C,1,)&lt;&gt;"",1,0),0)</f>
        <v>0</v>
      </c>
      <c r="N2154">
        <f>IFERROR(IF(VLOOKUP(calendar[[#This Row],[Date]],BH!E:E,1,)&lt;&gt;"",1,0),0)</f>
        <v>0</v>
      </c>
      <c r="O2154">
        <f>IFERROR(IF(VLOOKUP(calendar[[#This Row],[Date]],BH!G:G,1,)&lt;&gt;"",1,0),0)</f>
        <v>0</v>
      </c>
      <c r="P2154">
        <f>IF(OR(calendar[[#This Row],[UK_BH]]=1,calendar[[#This Row],[WeekDay]]=1, calendar[[#This Row],[WeekDay]]=7),P2153,P2153+1)</f>
        <v>1538</v>
      </c>
      <c r="Q2154">
        <f>IF(OR(calendar[[#This Row],[FR_BH]]=1,calendar[[#This Row],[WeekDay]]=1, calendar[[#This Row],[WeekDay]]=7),P2153,P2153+1)</f>
        <v>1538</v>
      </c>
      <c r="R2154">
        <f>IF(OR(calendar[[#This Row],[SP_BH]]=1,calendar[[#This Row],[WeekDay]]=1, calendar[[#This Row],[WeekDay]]=7),P2153,P2153+1)</f>
        <v>1538</v>
      </c>
      <c r="S2154">
        <f>IF(OR(calendar[[#This Row],[PT_BH]]=1,calendar[[#This Row],[WeekDay]]=1, calendar[[#This Row],[WeekDay]]=7),P2153,P2153+1)</f>
        <v>1538</v>
      </c>
    </row>
    <row r="2155" spans="1:19" x14ac:dyDescent="0.25">
      <c r="A2155" s="2">
        <v>44889</v>
      </c>
      <c r="B2155" s="1">
        <f t="shared" si="168"/>
        <v>48</v>
      </c>
      <c r="C2155">
        <f t="shared" si="170"/>
        <v>11</v>
      </c>
      <c r="D2155" t="str">
        <f t="shared" si="171"/>
        <v>November</v>
      </c>
      <c r="E2155">
        <f t="shared" si="172"/>
        <v>2022</v>
      </c>
      <c r="F2155" t="str">
        <f>CONCATENATE(calendar[[#This Row],[Month]],"/",calendar[[#This Row],[Year]])</f>
        <v>11/2022</v>
      </c>
      <c r="G2155">
        <f>WEEKDAY(calendar[[#This Row],[Date]],1)</f>
        <v>5</v>
      </c>
      <c r="H2155" t="str">
        <f>TEXT(calendar[[#This Row],[WeekDay]],"dddd")</f>
        <v>Thursday</v>
      </c>
      <c r="I2155">
        <f>IF((INT(calendar[[#This Row],[Count]]/7)-calendar[[#This Row],[Count]]/7)&lt;0,I2154,I2154+1)</f>
        <v>308</v>
      </c>
      <c r="J2155">
        <f t="shared" si="169"/>
        <v>2153</v>
      </c>
      <c r="K2155">
        <f>IF(calendar[[#This Row],[Month]]&lt;4,1,IF(calendar[[#This Row],[Month]]&lt;7,2,IF(calendar[[#This Row],[Month]]&lt;10,3,4)))</f>
        <v>4</v>
      </c>
      <c r="L2155">
        <f>IFERROR(IF(VLOOKUP(calendar[[#This Row],[Date]],BH!A:A,1,)&lt;&gt;"",1,0),0)</f>
        <v>0</v>
      </c>
      <c r="M2155">
        <f>IFERROR(IF(VLOOKUP(calendar[[#This Row],[Date]],BH!C:C,1,)&lt;&gt;"",1,0),0)</f>
        <v>0</v>
      </c>
      <c r="N2155">
        <f>IFERROR(IF(VLOOKUP(calendar[[#This Row],[Date]],BH!E:E,1,)&lt;&gt;"",1,0),0)</f>
        <v>0</v>
      </c>
      <c r="O2155">
        <f>IFERROR(IF(VLOOKUP(calendar[[#This Row],[Date]],BH!G:G,1,)&lt;&gt;"",1,0),0)</f>
        <v>0</v>
      </c>
      <c r="P2155">
        <f>IF(OR(calendar[[#This Row],[UK_BH]]=1,calendar[[#This Row],[WeekDay]]=1, calendar[[#This Row],[WeekDay]]=7),P2154,P2154+1)</f>
        <v>1539</v>
      </c>
      <c r="Q2155">
        <f>IF(OR(calendar[[#This Row],[FR_BH]]=1,calendar[[#This Row],[WeekDay]]=1, calendar[[#This Row],[WeekDay]]=7),P2154,P2154+1)</f>
        <v>1539</v>
      </c>
      <c r="R2155">
        <f>IF(OR(calendar[[#This Row],[SP_BH]]=1,calendar[[#This Row],[WeekDay]]=1, calendar[[#This Row],[WeekDay]]=7),P2154,P2154+1)</f>
        <v>1539</v>
      </c>
      <c r="S2155">
        <f>IF(OR(calendar[[#This Row],[PT_BH]]=1,calendar[[#This Row],[WeekDay]]=1, calendar[[#This Row],[WeekDay]]=7),P2154,P2154+1)</f>
        <v>1539</v>
      </c>
    </row>
    <row r="2156" spans="1:19" x14ac:dyDescent="0.25">
      <c r="A2156" s="2">
        <v>44890</v>
      </c>
      <c r="B2156" s="1">
        <f t="shared" si="168"/>
        <v>48</v>
      </c>
      <c r="C2156">
        <f t="shared" si="170"/>
        <v>11</v>
      </c>
      <c r="D2156" t="str">
        <f t="shared" si="171"/>
        <v>November</v>
      </c>
      <c r="E2156">
        <f t="shared" si="172"/>
        <v>2022</v>
      </c>
      <c r="F2156" t="str">
        <f>CONCATENATE(calendar[[#This Row],[Month]],"/",calendar[[#This Row],[Year]])</f>
        <v>11/2022</v>
      </c>
      <c r="G2156">
        <f>WEEKDAY(calendar[[#This Row],[Date]],1)</f>
        <v>6</v>
      </c>
      <c r="H2156" t="str">
        <f>TEXT(calendar[[#This Row],[WeekDay]],"dddd")</f>
        <v>Friday</v>
      </c>
      <c r="I2156">
        <f>IF((INT(calendar[[#This Row],[Count]]/7)-calendar[[#This Row],[Count]]/7)&lt;0,I2155,I2155+1)</f>
        <v>308</v>
      </c>
      <c r="J2156">
        <f t="shared" si="169"/>
        <v>2154</v>
      </c>
      <c r="K2156">
        <f>IF(calendar[[#This Row],[Month]]&lt;4,1,IF(calendar[[#This Row],[Month]]&lt;7,2,IF(calendar[[#This Row],[Month]]&lt;10,3,4)))</f>
        <v>4</v>
      </c>
      <c r="L2156">
        <f>IFERROR(IF(VLOOKUP(calendar[[#This Row],[Date]],BH!A:A,1,)&lt;&gt;"",1,0),0)</f>
        <v>0</v>
      </c>
      <c r="M2156">
        <f>IFERROR(IF(VLOOKUP(calendar[[#This Row],[Date]],BH!C:C,1,)&lt;&gt;"",1,0),0)</f>
        <v>0</v>
      </c>
      <c r="N2156">
        <f>IFERROR(IF(VLOOKUP(calendar[[#This Row],[Date]],BH!E:E,1,)&lt;&gt;"",1,0),0)</f>
        <v>0</v>
      </c>
      <c r="O2156">
        <f>IFERROR(IF(VLOOKUP(calendar[[#This Row],[Date]],BH!G:G,1,)&lt;&gt;"",1,0),0)</f>
        <v>0</v>
      </c>
      <c r="P2156">
        <f>IF(OR(calendar[[#This Row],[UK_BH]]=1,calendar[[#This Row],[WeekDay]]=1, calendar[[#This Row],[WeekDay]]=7),P2155,P2155+1)</f>
        <v>1540</v>
      </c>
      <c r="Q2156">
        <f>IF(OR(calendar[[#This Row],[FR_BH]]=1,calendar[[#This Row],[WeekDay]]=1, calendar[[#This Row],[WeekDay]]=7),P2155,P2155+1)</f>
        <v>1540</v>
      </c>
      <c r="R2156">
        <f>IF(OR(calendar[[#This Row],[SP_BH]]=1,calendar[[#This Row],[WeekDay]]=1, calendar[[#This Row],[WeekDay]]=7),P2155,P2155+1)</f>
        <v>1540</v>
      </c>
      <c r="S2156">
        <f>IF(OR(calendar[[#This Row],[PT_BH]]=1,calendar[[#This Row],[WeekDay]]=1, calendar[[#This Row],[WeekDay]]=7),P2155,P2155+1)</f>
        <v>1540</v>
      </c>
    </row>
    <row r="2157" spans="1:19" x14ac:dyDescent="0.25">
      <c r="A2157" s="2">
        <v>44891</v>
      </c>
      <c r="B2157" s="1">
        <f t="shared" si="168"/>
        <v>48</v>
      </c>
      <c r="C2157">
        <f t="shared" si="170"/>
        <v>11</v>
      </c>
      <c r="D2157" t="str">
        <f t="shared" si="171"/>
        <v>November</v>
      </c>
      <c r="E2157">
        <f t="shared" si="172"/>
        <v>2022</v>
      </c>
      <c r="F2157" t="str">
        <f>CONCATENATE(calendar[[#This Row],[Month]],"/",calendar[[#This Row],[Year]])</f>
        <v>11/2022</v>
      </c>
      <c r="G2157">
        <f>WEEKDAY(calendar[[#This Row],[Date]],1)</f>
        <v>7</v>
      </c>
      <c r="H2157" t="str">
        <f>TEXT(calendar[[#This Row],[WeekDay]],"dddd")</f>
        <v>Saturday</v>
      </c>
      <c r="I2157">
        <f>IF((INT(calendar[[#This Row],[Count]]/7)-calendar[[#This Row],[Count]]/7)&lt;0,I2156,I2156+1)</f>
        <v>308</v>
      </c>
      <c r="J2157">
        <f t="shared" si="169"/>
        <v>2155</v>
      </c>
      <c r="K2157">
        <f>IF(calendar[[#This Row],[Month]]&lt;4,1,IF(calendar[[#This Row],[Month]]&lt;7,2,IF(calendar[[#This Row],[Month]]&lt;10,3,4)))</f>
        <v>4</v>
      </c>
      <c r="L2157">
        <f>IFERROR(IF(VLOOKUP(calendar[[#This Row],[Date]],BH!A:A,1,)&lt;&gt;"",1,0),0)</f>
        <v>0</v>
      </c>
      <c r="M2157">
        <f>IFERROR(IF(VLOOKUP(calendar[[#This Row],[Date]],BH!C:C,1,)&lt;&gt;"",1,0),0)</f>
        <v>0</v>
      </c>
      <c r="N2157">
        <f>IFERROR(IF(VLOOKUP(calendar[[#This Row],[Date]],BH!E:E,1,)&lt;&gt;"",1,0),0)</f>
        <v>0</v>
      </c>
      <c r="O2157">
        <f>IFERROR(IF(VLOOKUP(calendar[[#This Row],[Date]],BH!G:G,1,)&lt;&gt;"",1,0),0)</f>
        <v>0</v>
      </c>
      <c r="P2157">
        <f>IF(OR(calendar[[#This Row],[UK_BH]]=1,calendar[[#This Row],[WeekDay]]=1, calendar[[#This Row],[WeekDay]]=7),P2156,P2156+1)</f>
        <v>1540</v>
      </c>
      <c r="Q2157">
        <f>IF(OR(calendar[[#This Row],[FR_BH]]=1,calendar[[#This Row],[WeekDay]]=1, calendar[[#This Row],[WeekDay]]=7),P2156,P2156+1)</f>
        <v>1540</v>
      </c>
      <c r="R2157">
        <f>IF(OR(calendar[[#This Row],[SP_BH]]=1,calendar[[#This Row],[WeekDay]]=1, calendar[[#This Row],[WeekDay]]=7),P2156,P2156+1)</f>
        <v>1540</v>
      </c>
      <c r="S2157">
        <f>IF(OR(calendar[[#This Row],[PT_BH]]=1,calendar[[#This Row],[WeekDay]]=1, calendar[[#This Row],[WeekDay]]=7),P2156,P2156+1)</f>
        <v>1540</v>
      </c>
    </row>
    <row r="2158" spans="1:19" x14ac:dyDescent="0.25">
      <c r="A2158" s="2">
        <v>44892</v>
      </c>
      <c r="B2158" s="1">
        <f t="shared" si="168"/>
        <v>49</v>
      </c>
      <c r="C2158">
        <f t="shared" si="170"/>
        <v>11</v>
      </c>
      <c r="D2158" t="str">
        <f t="shared" si="171"/>
        <v>November</v>
      </c>
      <c r="E2158">
        <f t="shared" si="172"/>
        <v>2022</v>
      </c>
      <c r="F2158" t="str">
        <f>CONCATENATE(calendar[[#This Row],[Month]],"/",calendar[[#This Row],[Year]])</f>
        <v>11/2022</v>
      </c>
      <c r="G2158">
        <f>WEEKDAY(calendar[[#This Row],[Date]],1)</f>
        <v>1</v>
      </c>
      <c r="H2158" t="str">
        <f>TEXT(calendar[[#This Row],[WeekDay]],"dddd")</f>
        <v>Sunday</v>
      </c>
      <c r="I2158">
        <f>IF((INT(calendar[[#This Row],[Count]]/7)-calendar[[#This Row],[Count]]/7)&lt;0,I2157,I2157+1)</f>
        <v>309</v>
      </c>
      <c r="J2158">
        <f t="shared" si="169"/>
        <v>2156</v>
      </c>
      <c r="K2158">
        <f>IF(calendar[[#This Row],[Month]]&lt;4,1,IF(calendar[[#This Row],[Month]]&lt;7,2,IF(calendar[[#This Row],[Month]]&lt;10,3,4)))</f>
        <v>4</v>
      </c>
      <c r="L2158">
        <f>IFERROR(IF(VLOOKUP(calendar[[#This Row],[Date]],BH!A:A,1,)&lt;&gt;"",1,0),0)</f>
        <v>0</v>
      </c>
      <c r="M2158">
        <f>IFERROR(IF(VLOOKUP(calendar[[#This Row],[Date]],BH!C:C,1,)&lt;&gt;"",1,0),0)</f>
        <v>0</v>
      </c>
      <c r="N2158">
        <f>IFERROR(IF(VLOOKUP(calendar[[#This Row],[Date]],BH!E:E,1,)&lt;&gt;"",1,0),0)</f>
        <v>0</v>
      </c>
      <c r="O2158">
        <f>IFERROR(IF(VLOOKUP(calendar[[#This Row],[Date]],BH!G:G,1,)&lt;&gt;"",1,0),0)</f>
        <v>0</v>
      </c>
      <c r="P2158">
        <f>IF(OR(calendar[[#This Row],[UK_BH]]=1,calendar[[#This Row],[WeekDay]]=1, calendar[[#This Row],[WeekDay]]=7),P2157,P2157+1)</f>
        <v>1540</v>
      </c>
      <c r="Q2158">
        <f>IF(OR(calendar[[#This Row],[FR_BH]]=1,calendar[[#This Row],[WeekDay]]=1, calendar[[#This Row],[WeekDay]]=7),P2157,P2157+1)</f>
        <v>1540</v>
      </c>
      <c r="R2158">
        <f>IF(OR(calendar[[#This Row],[SP_BH]]=1,calendar[[#This Row],[WeekDay]]=1, calendar[[#This Row],[WeekDay]]=7),P2157,P2157+1)</f>
        <v>1540</v>
      </c>
      <c r="S2158">
        <f>IF(OR(calendar[[#This Row],[PT_BH]]=1,calendar[[#This Row],[WeekDay]]=1, calendar[[#This Row],[WeekDay]]=7),P2157,P2157+1)</f>
        <v>1540</v>
      </c>
    </row>
    <row r="2159" spans="1:19" x14ac:dyDescent="0.25">
      <c r="A2159" s="2">
        <v>44893</v>
      </c>
      <c r="B2159" s="1">
        <f t="shared" si="168"/>
        <v>49</v>
      </c>
      <c r="C2159">
        <f t="shared" si="170"/>
        <v>11</v>
      </c>
      <c r="D2159" t="str">
        <f t="shared" si="171"/>
        <v>November</v>
      </c>
      <c r="E2159">
        <f t="shared" si="172"/>
        <v>2022</v>
      </c>
      <c r="F2159" t="str">
        <f>CONCATENATE(calendar[[#This Row],[Month]],"/",calendar[[#This Row],[Year]])</f>
        <v>11/2022</v>
      </c>
      <c r="G2159">
        <f>WEEKDAY(calendar[[#This Row],[Date]],1)</f>
        <v>2</v>
      </c>
      <c r="H2159" t="str">
        <f>TEXT(calendar[[#This Row],[WeekDay]],"dddd")</f>
        <v>Monday</v>
      </c>
      <c r="I2159">
        <f>IF((INT(calendar[[#This Row],[Count]]/7)-calendar[[#This Row],[Count]]/7)&lt;0,I2158,I2158+1)</f>
        <v>309</v>
      </c>
      <c r="J2159">
        <f t="shared" si="169"/>
        <v>2157</v>
      </c>
      <c r="K2159">
        <f>IF(calendar[[#This Row],[Month]]&lt;4,1,IF(calendar[[#This Row],[Month]]&lt;7,2,IF(calendar[[#This Row],[Month]]&lt;10,3,4)))</f>
        <v>4</v>
      </c>
      <c r="L2159">
        <f>IFERROR(IF(VLOOKUP(calendar[[#This Row],[Date]],BH!A:A,1,)&lt;&gt;"",1,0),0)</f>
        <v>0</v>
      </c>
      <c r="M2159">
        <f>IFERROR(IF(VLOOKUP(calendar[[#This Row],[Date]],BH!C:C,1,)&lt;&gt;"",1,0),0)</f>
        <v>0</v>
      </c>
      <c r="N2159">
        <f>IFERROR(IF(VLOOKUP(calendar[[#This Row],[Date]],BH!E:E,1,)&lt;&gt;"",1,0),0)</f>
        <v>0</v>
      </c>
      <c r="O2159">
        <f>IFERROR(IF(VLOOKUP(calendar[[#This Row],[Date]],BH!G:G,1,)&lt;&gt;"",1,0),0)</f>
        <v>0</v>
      </c>
      <c r="P2159">
        <f>IF(OR(calendar[[#This Row],[UK_BH]]=1,calendar[[#This Row],[WeekDay]]=1, calendar[[#This Row],[WeekDay]]=7),P2158,P2158+1)</f>
        <v>1541</v>
      </c>
      <c r="Q2159">
        <f>IF(OR(calendar[[#This Row],[FR_BH]]=1,calendar[[#This Row],[WeekDay]]=1, calendar[[#This Row],[WeekDay]]=7),P2158,P2158+1)</f>
        <v>1541</v>
      </c>
      <c r="R2159">
        <f>IF(OR(calendar[[#This Row],[SP_BH]]=1,calendar[[#This Row],[WeekDay]]=1, calendar[[#This Row],[WeekDay]]=7),P2158,P2158+1)</f>
        <v>1541</v>
      </c>
      <c r="S2159">
        <f>IF(OR(calendar[[#This Row],[PT_BH]]=1,calendar[[#This Row],[WeekDay]]=1, calendar[[#This Row],[WeekDay]]=7),P2158,P2158+1)</f>
        <v>1541</v>
      </c>
    </row>
    <row r="2160" spans="1:19" x14ac:dyDescent="0.25">
      <c r="A2160" s="2">
        <v>44894</v>
      </c>
      <c r="B2160" s="1">
        <f t="shared" si="168"/>
        <v>49</v>
      </c>
      <c r="C2160">
        <f t="shared" si="170"/>
        <v>11</v>
      </c>
      <c r="D2160" t="str">
        <f t="shared" si="171"/>
        <v>November</v>
      </c>
      <c r="E2160">
        <f t="shared" si="172"/>
        <v>2022</v>
      </c>
      <c r="F2160" t="str">
        <f>CONCATENATE(calendar[[#This Row],[Month]],"/",calendar[[#This Row],[Year]])</f>
        <v>11/2022</v>
      </c>
      <c r="G2160">
        <f>WEEKDAY(calendar[[#This Row],[Date]],1)</f>
        <v>3</v>
      </c>
      <c r="H2160" t="str">
        <f>TEXT(calendar[[#This Row],[WeekDay]],"dddd")</f>
        <v>Tuesday</v>
      </c>
      <c r="I2160">
        <f>IF((INT(calendar[[#This Row],[Count]]/7)-calendar[[#This Row],[Count]]/7)&lt;0,I2159,I2159+1)</f>
        <v>309</v>
      </c>
      <c r="J2160">
        <f t="shared" si="169"/>
        <v>2158</v>
      </c>
      <c r="K2160">
        <f>IF(calendar[[#This Row],[Month]]&lt;4,1,IF(calendar[[#This Row],[Month]]&lt;7,2,IF(calendar[[#This Row],[Month]]&lt;10,3,4)))</f>
        <v>4</v>
      </c>
      <c r="L2160">
        <f>IFERROR(IF(VLOOKUP(calendar[[#This Row],[Date]],BH!A:A,1,)&lt;&gt;"",1,0),0)</f>
        <v>0</v>
      </c>
      <c r="M2160">
        <f>IFERROR(IF(VLOOKUP(calendar[[#This Row],[Date]],BH!C:C,1,)&lt;&gt;"",1,0),0)</f>
        <v>0</v>
      </c>
      <c r="N2160">
        <f>IFERROR(IF(VLOOKUP(calendar[[#This Row],[Date]],BH!E:E,1,)&lt;&gt;"",1,0),0)</f>
        <v>0</v>
      </c>
      <c r="O2160">
        <f>IFERROR(IF(VLOOKUP(calendar[[#This Row],[Date]],BH!G:G,1,)&lt;&gt;"",1,0),0)</f>
        <v>0</v>
      </c>
      <c r="P2160">
        <f>IF(OR(calendar[[#This Row],[UK_BH]]=1,calendar[[#This Row],[WeekDay]]=1, calendar[[#This Row],[WeekDay]]=7),P2159,P2159+1)</f>
        <v>1542</v>
      </c>
      <c r="Q2160">
        <f>IF(OR(calendar[[#This Row],[FR_BH]]=1,calendar[[#This Row],[WeekDay]]=1, calendar[[#This Row],[WeekDay]]=7),P2159,P2159+1)</f>
        <v>1542</v>
      </c>
      <c r="R2160">
        <f>IF(OR(calendar[[#This Row],[SP_BH]]=1,calendar[[#This Row],[WeekDay]]=1, calendar[[#This Row],[WeekDay]]=7),P2159,P2159+1)</f>
        <v>1542</v>
      </c>
      <c r="S2160">
        <f>IF(OR(calendar[[#This Row],[PT_BH]]=1,calendar[[#This Row],[WeekDay]]=1, calendar[[#This Row],[WeekDay]]=7),P2159,P2159+1)</f>
        <v>1542</v>
      </c>
    </row>
    <row r="2161" spans="1:19" x14ac:dyDescent="0.25">
      <c r="A2161" s="2">
        <v>44895</v>
      </c>
      <c r="B2161" s="1">
        <f t="shared" si="168"/>
        <v>49</v>
      </c>
      <c r="C2161">
        <f t="shared" si="170"/>
        <v>11</v>
      </c>
      <c r="D2161" t="str">
        <f t="shared" si="171"/>
        <v>November</v>
      </c>
      <c r="E2161">
        <f t="shared" si="172"/>
        <v>2022</v>
      </c>
      <c r="F2161" t="str">
        <f>CONCATENATE(calendar[[#This Row],[Month]],"/",calendar[[#This Row],[Year]])</f>
        <v>11/2022</v>
      </c>
      <c r="G2161">
        <f>WEEKDAY(calendar[[#This Row],[Date]],1)</f>
        <v>4</v>
      </c>
      <c r="H2161" t="str">
        <f>TEXT(calendar[[#This Row],[WeekDay]],"dddd")</f>
        <v>Wednesday</v>
      </c>
      <c r="I2161">
        <f>IF((INT(calendar[[#This Row],[Count]]/7)-calendar[[#This Row],[Count]]/7)&lt;0,I2160,I2160+1)</f>
        <v>309</v>
      </c>
      <c r="J2161">
        <f t="shared" si="169"/>
        <v>2159</v>
      </c>
      <c r="K2161">
        <f>IF(calendar[[#This Row],[Month]]&lt;4,1,IF(calendar[[#This Row],[Month]]&lt;7,2,IF(calendar[[#This Row],[Month]]&lt;10,3,4)))</f>
        <v>4</v>
      </c>
      <c r="L2161">
        <f>IFERROR(IF(VLOOKUP(calendar[[#This Row],[Date]],BH!A:A,1,)&lt;&gt;"",1,0),0)</f>
        <v>0</v>
      </c>
      <c r="M2161">
        <f>IFERROR(IF(VLOOKUP(calendar[[#This Row],[Date]],BH!C:C,1,)&lt;&gt;"",1,0),0)</f>
        <v>0</v>
      </c>
      <c r="N2161">
        <f>IFERROR(IF(VLOOKUP(calendar[[#This Row],[Date]],BH!E:E,1,)&lt;&gt;"",1,0),0)</f>
        <v>0</v>
      </c>
      <c r="O2161">
        <f>IFERROR(IF(VLOOKUP(calendar[[#This Row],[Date]],BH!G:G,1,)&lt;&gt;"",1,0),0)</f>
        <v>0</v>
      </c>
      <c r="P2161">
        <f>IF(OR(calendar[[#This Row],[UK_BH]]=1,calendar[[#This Row],[WeekDay]]=1, calendar[[#This Row],[WeekDay]]=7),P2160,P2160+1)</f>
        <v>1543</v>
      </c>
      <c r="Q2161">
        <f>IF(OR(calendar[[#This Row],[FR_BH]]=1,calendar[[#This Row],[WeekDay]]=1, calendar[[#This Row],[WeekDay]]=7),P2160,P2160+1)</f>
        <v>1543</v>
      </c>
      <c r="R2161">
        <f>IF(OR(calendar[[#This Row],[SP_BH]]=1,calendar[[#This Row],[WeekDay]]=1, calendar[[#This Row],[WeekDay]]=7),P2160,P2160+1)</f>
        <v>1543</v>
      </c>
      <c r="S2161">
        <f>IF(OR(calendar[[#This Row],[PT_BH]]=1,calendar[[#This Row],[WeekDay]]=1, calendar[[#This Row],[WeekDay]]=7),P2160,P2160+1)</f>
        <v>1543</v>
      </c>
    </row>
    <row r="2162" spans="1:19" x14ac:dyDescent="0.25">
      <c r="A2162" s="2">
        <v>44896</v>
      </c>
      <c r="B2162" s="1">
        <f t="shared" si="168"/>
        <v>49</v>
      </c>
      <c r="C2162">
        <f t="shared" si="170"/>
        <v>12</v>
      </c>
      <c r="D2162" t="str">
        <f t="shared" si="171"/>
        <v>December</v>
      </c>
      <c r="E2162">
        <f t="shared" si="172"/>
        <v>2022</v>
      </c>
      <c r="F2162" t="str">
        <f>CONCATENATE(calendar[[#This Row],[Month]],"/",calendar[[#This Row],[Year]])</f>
        <v>12/2022</v>
      </c>
      <c r="G2162">
        <f>WEEKDAY(calendar[[#This Row],[Date]],1)</f>
        <v>5</v>
      </c>
      <c r="H2162" t="str">
        <f>TEXT(calendar[[#This Row],[WeekDay]],"dddd")</f>
        <v>Thursday</v>
      </c>
      <c r="I2162">
        <f>IF((INT(calendar[[#This Row],[Count]]/7)-calendar[[#This Row],[Count]]/7)&lt;0,I2161,I2161+1)</f>
        <v>309</v>
      </c>
      <c r="J2162">
        <f t="shared" si="169"/>
        <v>2160</v>
      </c>
      <c r="K2162">
        <f>IF(calendar[[#This Row],[Month]]&lt;4,1,IF(calendar[[#This Row],[Month]]&lt;7,2,IF(calendar[[#This Row],[Month]]&lt;10,3,4)))</f>
        <v>4</v>
      </c>
      <c r="L2162">
        <f>IFERROR(IF(VLOOKUP(calendar[[#This Row],[Date]],BH!A:A,1,)&lt;&gt;"",1,0),0)</f>
        <v>0</v>
      </c>
      <c r="M2162">
        <f>IFERROR(IF(VLOOKUP(calendar[[#This Row],[Date]],BH!C:C,1,)&lt;&gt;"",1,0),0)</f>
        <v>0</v>
      </c>
      <c r="N2162">
        <f>IFERROR(IF(VLOOKUP(calendar[[#This Row],[Date]],BH!E:E,1,)&lt;&gt;"",1,0),0)</f>
        <v>0</v>
      </c>
      <c r="O2162">
        <f>IFERROR(IF(VLOOKUP(calendar[[#This Row],[Date]],BH!G:G,1,)&lt;&gt;"",1,0),0)</f>
        <v>0</v>
      </c>
      <c r="P2162">
        <f>IF(OR(calendar[[#This Row],[UK_BH]]=1,calendar[[#This Row],[WeekDay]]=1, calendar[[#This Row],[WeekDay]]=7),P2161,P2161+1)</f>
        <v>1544</v>
      </c>
      <c r="Q2162">
        <f>IF(OR(calendar[[#This Row],[FR_BH]]=1,calendar[[#This Row],[WeekDay]]=1, calendar[[#This Row],[WeekDay]]=7),P2161,P2161+1)</f>
        <v>1544</v>
      </c>
      <c r="R2162">
        <f>IF(OR(calendar[[#This Row],[SP_BH]]=1,calendar[[#This Row],[WeekDay]]=1, calendar[[#This Row],[WeekDay]]=7),P2161,P2161+1)</f>
        <v>1544</v>
      </c>
      <c r="S2162">
        <f>IF(OR(calendar[[#This Row],[PT_BH]]=1,calendar[[#This Row],[WeekDay]]=1, calendar[[#This Row],[WeekDay]]=7),P2161,P2161+1)</f>
        <v>1544</v>
      </c>
    </row>
    <row r="2163" spans="1:19" x14ac:dyDescent="0.25">
      <c r="A2163" s="2">
        <v>44897</v>
      </c>
      <c r="B2163" s="1">
        <f t="shared" si="168"/>
        <v>49</v>
      </c>
      <c r="C2163">
        <f t="shared" si="170"/>
        <v>12</v>
      </c>
      <c r="D2163" t="str">
        <f t="shared" si="171"/>
        <v>December</v>
      </c>
      <c r="E2163">
        <f t="shared" si="172"/>
        <v>2022</v>
      </c>
      <c r="F2163" t="str">
        <f>CONCATENATE(calendar[[#This Row],[Month]],"/",calendar[[#This Row],[Year]])</f>
        <v>12/2022</v>
      </c>
      <c r="G2163">
        <f>WEEKDAY(calendar[[#This Row],[Date]],1)</f>
        <v>6</v>
      </c>
      <c r="H2163" t="str">
        <f>TEXT(calendar[[#This Row],[WeekDay]],"dddd")</f>
        <v>Friday</v>
      </c>
      <c r="I2163">
        <f>IF((INT(calendar[[#This Row],[Count]]/7)-calendar[[#This Row],[Count]]/7)&lt;0,I2162,I2162+1)</f>
        <v>309</v>
      </c>
      <c r="J2163">
        <f t="shared" si="169"/>
        <v>2161</v>
      </c>
      <c r="K2163">
        <f>IF(calendar[[#This Row],[Month]]&lt;4,1,IF(calendar[[#This Row],[Month]]&lt;7,2,IF(calendar[[#This Row],[Month]]&lt;10,3,4)))</f>
        <v>4</v>
      </c>
      <c r="L2163">
        <f>IFERROR(IF(VLOOKUP(calendar[[#This Row],[Date]],BH!A:A,1,)&lt;&gt;"",1,0),0)</f>
        <v>0</v>
      </c>
      <c r="M2163">
        <f>IFERROR(IF(VLOOKUP(calendar[[#This Row],[Date]],BH!C:C,1,)&lt;&gt;"",1,0),0)</f>
        <v>0</v>
      </c>
      <c r="N2163">
        <f>IFERROR(IF(VLOOKUP(calendar[[#This Row],[Date]],BH!E:E,1,)&lt;&gt;"",1,0),0)</f>
        <v>0</v>
      </c>
      <c r="O2163">
        <f>IFERROR(IF(VLOOKUP(calendar[[#This Row],[Date]],BH!G:G,1,)&lt;&gt;"",1,0),0)</f>
        <v>0</v>
      </c>
      <c r="P2163">
        <f>IF(OR(calendar[[#This Row],[UK_BH]]=1,calendar[[#This Row],[WeekDay]]=1, calendar[[#This Row],[WeekDay]]=7),P2162,P2162+1)</f>
        <v>1545</v>
      </c>
      <c r="Q2163">
        <f>IF(OR(calendar[[#This Row],[FR_BH]]=1,calendar[[#This Row],[WeekDay]]=1, calendar[[#This Row],[WeekDay]]=7),P2162,P2162+1)</f>
        <v>1545</v>
      </c>
      <c r="R2163">
        <f>IF(OR(calendar[[#This Row],[SP_BH]]=1,calendar[[#This Row],[WeekDay]]=1, calendar[[#This Row],[WeekDay]]=7),P2162,P2162+1)</f>
        <v>1545</v>
      </c>
      <c r="S2163">
        <f>IF(OR(calendar[[#This Row],[PT_BH]]=1,calendar[[#This Row],[WeekDay]]=1, calendar[[#This Row],[WeekDay]]=7),P2162,P2162+1)</f>
        <v>1545</v>
      </c>
    </row>
    <row r="2164" spans="1:19" x14ac:dyDescent="0.25">
      <c r="A2164" s="2">
        <v>44898</v>
      </c>
      <c r="B2164" s="1">
        <f t="shared" si="168"/>
        <v>49</v>
      </c>
      <c r="C2164">
        <f t="shared" si="170"/>
        <v>12</v>
      </c>
      <c r="D2164" t="str">
        <f t="shared" si="171"/>
        <v>December</v>
      </c>
      <c r="E2164">
        <f t="shared" si="172"/>
        <v>2022</v>
      </c>
      <c r="F2164" t="str">
        <f>CONCATENATE(calendar[[#This Row],[Month]],"/",calendar[[#This Row],[Year]])</f>
        <v>12/2022</v>
      </c>
      <c r="G2164">
        <f>WEEKDAY(calendar[[#This Row],[Date]],1)</f>
        <v>7</v>
      </c>
      <c r="H2164" t="str">
        <f>TEXT(calendar[[#This Row],[WeekDay]],"dddd")</f>
        <v>Saturday</v>
      </c>
      <c r="I2164">
        <f>IF((INT(calendar[[#This Row],[Count]]/7)-calendar[[#This Row],[Count]]/7)&lt;0,I2163,I2163+1)</f>
        <v>309</v>
      </c>
      <c r="J2164">
        <f t="shared" si="169"/>
        <v>2162</v>
      </c>
      <c r="K2164">
        <f>IF(calendar[[#This Row],[Month]]&lt;4,1,IF(calendar[[#This Row],[Month]]&lt;7,2,IF(calendar[[#This Row],[Month]]&lt;10,3,4)))</f>
        <v>4</v>
      </c>
      <c r="L2164">
        <f>IFERROR(IF(VLOOKUP(calendar[[#This Row],[Date]],BH!A:A,1,)&lt;&gt;"",1,0),0)</f>
        <v>0</v>
      </c>
      <c r="M2164">
        <f>IFERROR(IF(VLOOKUP(calendar[[#This Row],[Date]],BH!C:C,1,)&lt;&gt;"",1,0),0)</f>
        <v>0</v>
      </c>
      <c r="N2164">
        <f>IFERROR(IF(VLOOKUP(calendar[[#This Row],[Date]],BH!E:E,1,)&lt;&gt;"",1,0),0)</f>
        <v>0</v>
      </c>
      <c r="O2164">
        <f>IFERROR(IF(VLOOKUP(calendar[[#This Row],[Date]],BH!G:G,1,)&lt;&gt;"",1,0),0)</f>
        <v>0</v>
      </c>
      <c r="P2164">
        <f>IF(OR(calendar[[#This Row],[UK_BH]]=1,calendar[[#This Row],[WeekDay]]=1, calendar[[#This Row],[WeekDay]]=7),P2163,P2163+1)</f>
        <v>1545</v>
      </c>
      <c r="Q2164">
        <f>IF(OR(calendar[[#This Row],[FR_BH]]=1,calendar[[#This Row],[WeekDay]]=1, calendar[[#This Row],[WeekDay]]=7),P2163,P2163+1)</f>
        <v>1545</v>
      </c>
      <c r="R2164">
        <f>IF(OR(calendar[[#This Row],[SP_BH]]=1,calendar[[#This Row],[WeekDay]]=1, calendar[[#This Row],[WeekDay]]=7),P2163,P2163+1)</f>
        <v>1545</v>
      </c>
      <c r="S2164">
        <f>IF(OR(calendar[[#This Row],[PT_BH]]=1,calendar[[#This Row],[WeekDay]]=1, calendar[[#This Row],[WeekDay]]=7),P2163,P2163+1)</f>
        <v>1545</v>
      </c>
    </row>
    <row r="2165" spans="1:19" x14ac:dyDescent="0.25">
      <c r="A2165" s="2">
        <v>44899</v>
      </c>
      <c r="B2165" s="1">
        <f t="shared" si="168"/>
        <v>50</v>
      </c>
      <c r="C2165">
        <f t="shared" si="170"/>
        <v>12</v>
      </c>
      <c r="D2165" t="str">
        <f t="shared" si="171"/>
        <v>December</v>
      </c>
      <c r="E2165">
        <f t="shared" si="172"/>
        <v>2022</v>
      </c>
      <c r="F2165" t="str">
        <f>CONCATENATE(calendar[[#This Row],[Month]],"/",calendar[[#This Row],[Year]])</f>
        <v>12/2022</v>
      </c>
      <c r="G2165">
        <f>WEEKDAY(calendar[[#This Row],[Date]],1)</f>
        <v>1</v>
      </c>
      <c r="H2165" t="str">
        <f>TEXT(calendar[[#This Row],[WeekDay]],"dddd")</f>
        <v>Sunday</v>
      </c>
      <c r="I2165">
        <f>IF((INT(calendar[[#This Row],[Count]]/7)-calendar[[#This Row],[Count]]/7)&lt;0,I2164,I2164+1)</f>
        <v>310</v>
      </c>
      <c r="J2165">
        <f t="shared" si="169"/>
        <v>2163</v>
      </c>
      <c r="K2165">
        <f>IF(calendar[[#This Row],[Month]]&lt;4,1,IF(calendar[[#This Row],[Month]]&lt;7,2,IF(calendar[[#This Row],[Month]]&lt;10,3,4)))</f>
        <v>4</v>
      </c>
      <c r="L2165">
        <f>IFERROR(IF(VLOOKUP(calendar[[#This Row],[Date]],BH!A:A,1,)&lt;&gt;"",1,0),0)</f>
        <v>0</v>
      </c>
      <c r="M2165">
        <f>IFERROR(IF(VLOOKUP(calendar[[#This Row],[Date]],BH!C:C,1,)&lt;&gt;"",1,0),0)</f>
        <v>0</v>
      </c>
      <c r="N2165">
        <f>IFERROR(IF(VLOOKUP(calendar[[#This Row],[Date]],BH!E:E,1,)&lt;&gt;"",1,0),0)</f>
        <v>0</v>
      </c>
      <c r="O2165">
        <f>IFERROR(IF(VLOOKUP(calendar[[#This Row],[Date]],BH!G:G,1,)&lt;&gt;"",1,0),0)</f>
        <v>0</v>
      </c>
      <c r="P2165">
        <f>IF(OR(calendar[[#This Row],[UK_BH]]=1,calendar[[#This Row],[WeekDay]]=1, calendar[[#This Row],[WeekDay]]=7),P2164,P2164+1)</f>
        <v>1545</v>
      </c>
      <c r="Q2165">
        <f>IF(OR(calendar[[#This Row],[FR_BH]]=1,calendar[[#This Row],[WeekDay]]=1, calendar[[#This Row],[WeekDay]]=7),P2164,P2164+1)</f>
        <v>1545</v>
      </c>
      <c r="R2165">
        <f>IF(OR(calendar[[#This Row],[SP_BH]]=1,calendar[[#This Row],[WeekDay]]=1, calendar[[#This Row],[WeekDay]]=7),P2164,P2164+1)</f>
        <v>1545</v>
      </c>
      <c r="S2165">
        <f>IF(OR(calendar[[#This Row],[PT_BH]]=1,calendar[[#This Row],[WeekDay]]=1, calendar[[#This Row],[WeekDay]]=7),P2164,P2164+1)</f>
        <v>1545</v>
      </c>
    </row>
    <row r="2166" spans="1:19" x14ac:dyDescent="0.25">
      <c r="A2166" s="2">
        <v>44900</v>
      </c>
      <c r="B2166" s="1">
        <f t="shared" si="168"/>
        <v>50</v>
      </c>
      <c r="C2166">
        <f t="shared" si="170"/>
        <v>12</v>
      </c>
      <c r="D2166" t="str">
        <f t="shared" si="171"/>
        <v>December</v>
      </c>
      <c r="E2166">
        <f t="shared" si="172"/>
        <v>2022</v>
      </c>
      <c r="F2166" t="str">
        <f>CONCATENATE(calendar[[#This Row],[Month]],"/",calendar[[#This Row],[Year]])</f>
        <v>12/2022</v>
      </c>
      <c r="G2166">
        <f>WEEKDAY(calendar[[#This Row],[Date]],1)</f>
        <v>2</v>
      </c>
      <c r="H2166" t="str">
        <f>TEXT(calendar[[#This Row],[WeekDay]],"dddd")</f>
        <v>Monday</v>
      </c>
      <c r="I2166">
        <f>IF((INT(calendar[[#This Row],[Count]]/7)-calendar[[#This Row],[Count]]/7)&lt;0,I2165,I2165+1)</f>
        <v>310</v>
      </c>
      <c r="J2166">
        <f t="shared" si="169"/>
        <v>2164</v>
      </c>
      <c r="K2166">
        <f>IF(calendar[[#This Row],[Month]]&lt;4,1,IF(calendar[[#This Row],[Month]]&lt;7,2,IF(calendar[[#This Row],[Month]]&lt;10,3,4)))</f>
        <v>4</v>
      </c>
      <c r="L2166">
        <f>IFERROR(IF(VLOOKUP(calendar[[#This Row],[Date]],BH!A:A,1,)&lt;&gt;"",1,0),0)</f>
        <v>0</v>
      </c>
      <c r="M2166">
        <f>IFERROR(IF(VLOOKUP(calendar[[#This Row],[Date]],BH!C:C,1,)&lt;&gt;"",1,0),0)</f>
        <v>0</v>
      </c>
      <c r="N2166">
        <f>IFERROR(IF(VLOOKUP(calendar[[#This Row],[Date]],BH!E:E,1,)&lt;&gt;"",1,0),0)</f>
        <v>0</v>
      </c>
      <c r="O2166">
        <f>IFERROR(IF(VLOOKUP(calendar[[#This Row],[Date]],BH!G:G,1,)&lt;&gt;"",1,0),0)</f>
        <v>0</v>
      </c>
      <c r="P2166">
        <f>IF(OR(calendar[[#This Row],[UK_BH]]=1,calendar[[#This Row],[WeekDay]]=1, calendar[[#This Row],[WeekDay]]=7),P2165,P2165+1)</f>
        <v>1546</v>
      </c>
      <c r="Q2166">
        <f>IF(OR(calendar[[#This Row],[FR_BH]]=1,calendar[[#This Row],[WeekDay]]=1, calendar[[#This Row],[WeekDay]]=7),P2165,P2165+1)</f>
        <v>1546</v>
      </c>
      <c r="R2166">
        <f>IF(OR(calendar[[#This Row],[SP_BH]]=1,calendar[[#This Row],[WeekDay]]=1, calendar[[#This Row],[WeekDay]]=7),P2165,P2165+1)</f>
        <v>1546</v>
      </c>
      <c r="S2166">
        <f>IF(OR(calendar[[#This Row],[PT_BH]]=1,calendar[[#This Row],[WeekDay]]=1, calendar[[#This Row],[WeekDay]]=7),P2165,P2165+1)</f>
        <v>1546</v>
      </c>
    </row>
    <row r="2167" spans="1:19" x14ac:dyDescent="0.25">
      <c r="A2167" s="2">
        <v>44901</v>
      </c>
      <c r="B2167" s="1">
        <f t="shared" si="168"/>
        <v>50</v>
      </c>
      <c r="C2167">
        <f t="shared" si="170"/>
        <v>12</v>
      </c>
      <c r="D2167" t="str">
        <f t="shared" si="171"/>
        <v>December</v>
      </c>
      <c r="E2167">
        <f t="shared" si="172"/>
        <v>2022</v>
      </c>
      <c r="F2167" t="str">
        <f>CONCATENATE(calendar[[#This Row],[Month]],"/",calendar[[#This Row],[Year]])</f>
        <v>12/2022</v>
      </c>
      <c r="G2167">
        <f>WEEKDAY(calendar[[#This Row],[Date]],1)</f>
        <v>3</v>
      </c>
      <c r="H2167" t="str">
        <f>TEXT(calendar[[#This Row],[WeekDay]],"dddd")</f>
        <v>Tuesday</v>
      </c>
      <c r="I2167">
        <f>IF((INT(calendar[[#This Row],[Count]]/7)-calendar[[#This Row],[Count]]/7)&lt;0,I2166,I2166+1)</f>
        <v>310</v>
      </c>
      <c r="J2167">
        <f t="shared" si="169"/>
        <v>2165</v>
      </c>
      <c r="K2167">
        <f>IF(calendar[[#This Row],[Month]]&lt;4,1,IF(calendar[[#This Row],[Month]]&lt;7,2,IF(calendar[[#This Row],[Month]]&lt;10,3,4)))</f>
        <v>4</v>
      </c>
      <c r="L2167">
        <f>IFERROR(IF(VLOOKUP(calendar[[#This Row],[Date]],BH!A:A,1,)&lt;&gt;"",1,0),0)</f>
        <v>0</v>
      </c>
      <c r="M2167">
        <f>IFERROR(IF(VLOOKUP(calendar[[#This Row],[Date]],BH!C:C,1,)&lt;&gt;"",1,0),0)</f>
        <v>0</v>
      </c>
      <c r="N2167">
        <f>IFERROR(IF(VLOOKUP(calendar[[#This Row],[Date]],BH!E:E,1,)&lt;&gt;"",1,0),0)</f>
        <v>0</v>
      </c>
      <c r="O2167">
        <f>IFERROR(IF(VLOOKUP(calendar[[#This Row],[Date]],BH!G:G,1,)&lt;&gt;"",1,0),0)</f>
        <v>0</v>
      </c>
      <c r="P2167">
        <f>IF(OR(calendar[[#This Row],[UK_BH]]=1,calendar[[#This Row],[WeekDay]]=1, calendar[[#This Row],[WeekDay]]=7),P2166,P2166+1)</f>
        <v>1547</v>
      </c>
      <c r="Q2167">
        <f>IF(OR(calendar[[#This Row],[FR_BH]]=1,calendar[[#This Row],[WeekDay]]=1, calendar[[#This Row],[WeekDay]]=7),P2166,P2166+1)</f>
        <v>1547</v>
      </c>
      <c r="R2167">
        <f>IF(OR(calendar[[#This Row],[SP_BH]]=1,calendar[[#This Row],[WeekDay]]=1, calendar[[#This Row],[WeekDay]]=7),P2166,P2166+1)</f>
        <v>1547</v>
      </c>
      <c r="S2167">
        <f>IF(OR(calendar[[#This Row],[PT_BH]]=1,calendar[[#This Row],[WeekDay]]=1, calendar[[#This Row],[WeekDay]]=7),P2166,P2166+1)</f>
        <v>1547</v>
      </c>
    </row>
    <row r="2168" spans="1:19" x14ac:dyDescent="0.25">
      <c r="A2168" s="2">
        <v>44902</v>
      </c>
      <c r="B2168" s="1">
        <f t="shared" si="168"/>
        <v>50</v>
      </c>
      <c r="C2168">
        <f t="shared" si="170"/>
        <v>12</v>
      </c>
      <c r="D2168" t="str">
        <f t="shared" si="171"/>
        <v>December</v>
      </c>
      <c r="E2168">
        <f t="shared" si="172"/>
        <v>2022</v>
      </c>
      <c r="F2168" t="str">
        <f>CONCATENATE(calendar[[#This Row],[Month]],"/",calendar[[#This Row],[Year]])</f>
        <v>12/2022</v>
      </c>
      <c r="G2168">
        <f>WEEKDAY(calendar[[#This Row],[Date]],1)</f>
        <v>4</v>
      </c>
      <c r="H2168" t="str">
        <f>TEXT(calendar[[#This Row],[WeekDay]],"dddd")</f>
        <v>Wednesday</v>
      </c>
      <c r="I2168">
        <f>IF((INT(calendar[[#This Row],[Count]]/7)-calendar[[#This Row],[Count]]/7)&lt;0,I2167,I2167+1)</f>
        <v>310</v>
      </c>
      <c r="J2168">
        <f t="shared" si="169"/>
        <v>2166</v>
      </c>
      <c r="K2168">
        <f>IF(calendar[[#This Row],[Month]]&lt;4,1,IF(calendar[[#This Row],[Month]]&lt;7,2,IF(calendar[[#This Row],[Month]]&lt;10,3,4)))</f>
        <v>4</v>
      </c>
      <c r="L2168">
        <f>IFERROR(IF(VLOOKUP(calendar[[#This Row],[Date]],BH!A:A,1,)&lt;&gt;"",1,0),0)</f>
        <v>0</v>
      </c>
      <c r="M2168">
        <f>IFERROR(IF(VLOOKUP(calendar[[#This Row],[Date]],BH!C:C,1,)&lt;&gt;"",1,0),0)</f>
        <v>0</v>
      </c>
      <c r="N2168">
        <f>IFERROR(IF(VLOOKUP(calendar[[#This Row],[Date]],BH!E:E,1,)&lt;&gt;"",1,0),0)</f>
        <v>0</v>
      </c>
      <c r="O2168">
        <f>IFERROR(IF(VLOOKUP(calendar[[#This Row],[Date]],BH!G:G,1,)&lt;&gt;"",1,0),0)</f>
        <v>0</v>
      </c>
      <c r="P2168">
        <f>IF(OR(calendar[[#This Row],[UK_BH]]=1,calendar[[#This Row],[WeekDay]]=1, calendar[[#This Row],[WeekDay]]=7),P2167,P2167+1)</f>
        <v>1548</v>
      </c>
      <c r="Q2168">
        <f>IF(OR(calendar[[#This Row],[FR_BH]]=1,calendar[[#This Row],[WeekDay]]=1, calendar[[#This Row],[WeekDay]]=7),P2167,P2167+1)</f>
        <v>1548</v>
      </c>
      <c r="R2168">
        <f>IF(OR(calendar[[#This Row],[SP_BH]]=1,calendar[[#This Row],[WeekDay]]=1, calendar[[#This Row],[WeekDay]]=7),P2167,P2167+1)</f>
        <v>1548</v>
      </c>
      <c r="S2168">
        <f>IF(OR(calendar[[#This Row],[PT_BH]]=1,calendar[[#This Row],[WeekDay]]=1, calendar[[#This Row],[WeekDay]]=7),P2167,P2167+1)</f>
        <v>1548</v>
      </c>
    </row>
    <row r="2169" spans="1:19" x14ac:dyDescent="0.25">
      <c r="A2169" s="2">
        <v>44903</v>
      </c>
      <c r="B2169" s="1">
        <f t="shared" si="168"/>
        <v>50</v>
      </c>
      <c r="C2169">
        <f t="shared" si="170"/>
        <v>12</v>
      </c>
      <c r="D2169" t="str">
        <f t="shared" si="171"/>
        <v>December</v>
      </c>
      <c r="E2169">
        <f t="shared" si="172"/>
        <v>2022</v>
      </c>
      <c r="F2169" t="str">
        <f>CONCATENATE(calendar[[#This Row],[Month]],"/",calendar[[#This Row],[Year]])</f>
        <v>12/2022</v>
      </c>
      <c r="G2169">
        <f>WEEKDAY(calendar[[#This Row],[Date]],1)</f>
        <v>5</v>
      </c>
      <c r="H2169" t="str">
        <f>TEXT(calendar[[#This Row],[WeekDay]],"dddd")</f>
        <v>Thursday</v>
      </c>
      <c r="I2169">
        <f>IF((INT(calendar[[#This Row],[Count]]/7)-calendar[[#This Row],[Count]]/7)&lt;0,I2168,I2168+1)</f>
        <v>310</v>
      </c>
      <c r="J2169">
        <f t="shared" si="169"/>
        <v>2167</v>
      </c>
      <c r="K2169">
        <f>IF(calendar[[#This Row],[Month]]&lt;4,1,IF(calendar[[#This Row],[Month]]&lt;7,2,IF(calendar[[#This Row],[Month]]&lt;10,3,4)))</f>
        <v>4</v>
      </c>
      <c r="L2169">
        <f>IFERROR(IF(VLOOKUP(calendar[[#This Row],[Date]],BH!A:A,1,)&lt;&gt;"",1,0),0)</f>
        <v>0</v>
      </c>
      <c r="M2169">
        <f>IFERROR(IF(VLOOKUP(calendar[[#This Row],[Date]],BH!C:C,1,)&lt;&gt;"",1,0),0)</f>
        <v>0</v>
      </c>
      <c r="N2169">
        <f>IFERROR(IF(VLOOKUP(calendar[[#This Row],[Date]],BH!E:E,1,)&lt;&gt;"",1,0),0)</f>
        <v>0</v>
      </c>
      <c r="O2169">
        <f>IFERROR(IF(VLOOKUP(calendar[[#This Row],[Date]],BH!G:G,1,)&lt;&gt;"",1,0),0)</f>
        <v>0</v>
      </c>
      <c r="P2169">
        <f>IF(OR(calendar[[#This Row],[UK_BH]]=1,calendar[[#This Row],[WeekDay]]=1, calendar[[#This Row],[WeekDay]]=7),P2168,P2168+1)</f>
        <v>1549</v>
      </c>
      <c r="Q2169">
        <f>IF(OR(calendar[[#This Row],[FR_BH]]=1,calendar[[#This Row],[WeekDay]]=1, calendar[[#This Row],[WeekDay]]=7),P2168,P2168+1)</f>
        <v>1549</v>
      </c>
      <c r="R2169">
        <f>IF(OR(calendar[[#This Row],[SP_BH]]=1,calendar[[#This Row],[WeekDay]]=1, calendar[[#This Row],[WeekDay]]=7),P2168,P2168+1)</f>
        <v>1549</v>
      </c>
      <c r="S2169">
        <f>IF(OR(calendar[[#This Row],[PT_BH]]=1,calendar[[#This Row],[WeekDay]]=1, calendar[[#This Row],[WeekDay]]=7),P2168,P2168+1)</f>
        <v>1549</v>
      </c>
    </row>
    <row r="2170" spans="1:19" x14ac:dyDescent="0.25">
      <c r="A2170" s="2">
        <v>44904</v>
      </c>
      <c r="B2170" s="1">
        <f t="shared" si="168"/>
        <v>50</v>
      </c>
      <c r="C2170">
        <f t="shared" si="170"/>
        <v>12</v>
      </c>
      <c r="D2170" t="str">
        <f t="shared" si="171"/>
        <v>December</v>
      </c>
      <c r="E2170">
        <f t="shared" si="172"/>
        <v>2022</v>
      </c>
      <c r="F2170" t="str">
        <f>CONCATENATE(calendar[[#This Row],[Month]],"/",calendar[[#This Row],[Year]])</f>
        <v>12/2022</v>
      </c>
      <c r="G2170">
        <f>WEEKDAY(calendar[[#This Row],[Date]],1)</f>
        <v>6</v>
      </c>
      <c r="H2170" t="str">
        <f>TEXT(calendar[[#This Row],[WeekDay]],"dddd")</f>
        <v>Friday</v>
      </c>
      <c r="I2170">
        <f>IF((INT(calendar[[#This Row],[Count]]/7)-calendar[[#This Row],[Count]]/7)&lt;0,I2169,I2169+1)</f>
        <v>310</v>
      </c>
      <c r="J2170">
        <f t="shared" si="169"/>
        <v>2168</v>
      </c>
      <c r="K2170">
        <f>IF(calendar[[#This Row],[Month]]&lt;4,1,IF(calendar[[#This Row],[Month]]&lt;7,2,IF(calendar[[#This Row],[Month]]&lt;10,3,4)))</f>
        <v>4</v>
      </c>
      <c r="L2170">
        <f>IFERROR(IF(VLOOKUP(calendar[[#This Row],[Date]],BH!A:A,1,)&lt;&gt;"",1,0),0)</f>
        <v>0</v>
      </c>
      <c r="M2170">
        <f>IFERROR(IF(VLOOKUP(calendar[[#This Row],[Date]],BH!C:C,1,)&lt;&gt;"",1,0),0)</f>
        <v>0</v>
      </c>
      <c r="N2170">
        <f>IFERROR(IF(VLOOKUP(calendar[[#This Row],[Date]],BH!E:E,1,)&lt;&gt;"",1,0),0)</f>
        <v>0</v>
      </c>
      <c r="O2170">
        <f>IFERROR(IF(VLOOKUP(calendar[[#This Row],[Date]],BH!G:G,1,)&lt;&gt;"",1,0),0)</f>
        <v>0</v>
      </c>
      <c r="P2170">
        <f>IF(OR(calendar[[#This Row],[UK_BH]]=1,calendar[[#This Row],[WeekDay]]=1, calendar[[#This Row],[WeekDay]]=7),P2169,P2169+1)</f>
        <v>1550</v>
      </c>
      <c r="Q2170">
        <f>IF(OR(calendar[[#This Row],[FR_BH]]=1,calendar[[#This Row],[WeekDay]]=1, calendar[[#This Row],[WeekDay]]=7),P2169,P2169+1)</f>
        <v>1550</v>
      </c>
      <c r="R2170">
        <f>IF(OR(calendar[[#This Row],[SP_BH]]=1,calendar[[#This Row],[WeekDay]]=1, calendar[[#This Row],[WeekDay]]=7),P2169,P2169+1)</f>
        <v>1550</v>
      </c>
      <c r="S2170">
        <f>IF(OR(calendar[[#This Row],[PT_BH]]=1,calendar[[#This Row],[WeekDay]]=1, calendar[[#This Row],[WeekDay]]=7),P2169,P2169+1)</f>
        <v>1550</v>
      </c>
    </row>
    <row r="2171" spans="1:19" x14ac:dyDescent="0.25">
      <c r="A2171" s="2">
        <v>44905</v>
      </c>
      <c r="B2171" s="1">
        <f t="shared" si="168"/>
        <v>50</v>
      </c>
      <c r="C2171">
        <f t="shared" si="170"/>
        <v>12</v>
      </c>
      <c r="D2171" t="str">
        <f t="shared" si="171"/>
        <v>December</v>
      </c>
      <c r="E2171">
        <f t="shared" si="172"/>
        <v>2022</v>
      </c>
      <c r="F2171" t="str">
        <f>CONCATENATE(calendar[[#This Row],[Month]],"/",calendar[[#This Row],[Year]])</f>
        <v>12/2022</v>
      </c>
      <c r="G2171">
        <f>WEEKDAY(calendar[[#This Row],[Date]],1)</f>
        <v>7</v>
      </c>
      <c r="H2171" t="str">
        <f>TEXT(calendar[[#This Row],[WeekDay]],"dddd")</f>
        <v>Saturday</v>
      </c>
      <c r="I2171">
        <f>IF((INT(calendar[[#This Row],[Count]]/7)-calendar[[#This Row],[Count]]/7)&lt;0,I2170,I2170+1)</f>
        <v>310</v>
      </c>
      <c r="J2171">
        <f t="shared" si="169"/>
        <v>2169</v>
      </c>
      <c r="K2171">
        <f>IF(calendar[[#This Row],[Month]]&lt;4,1,IF(calendar[[#This Row],[Month]]&lt;7,2,IF(calendar[[#This Row],[Month]]&lt;10,3,4)))</f>
        <v>4</v>
      </c>
      <c r="L2171">
        <f>IFERROR(IF(VLOOKUP(calendar[[#This Row],[Date]],BH!A:A,1,)&lt;&gt;"",1,0),0)</f>
        <v>0</v>
      </c>
      <c r="M2171">
        <f>IFERROR(IF(VLOOKUP(calendar[[#This Row],[Date]],BH!C:C,1,)&lt;&gt;"",1,0),0)</f>
        <v>0</v>
      </c>
      <c r="N2171">
        <f>IFERROR(IF(VLOOKUP(calendar[[#This Row],[Date]],BH!E:E,1,)&lt;&gt;"",1,0),0)</f>
        <v>0</v>
      </c>
      <c r="O2171">
        <f>IFERROR(IF(VLOOKUP(calendar[[#This Row],[Date]],BH!G:G,1,)&lt;&gt;"",1,0),0)</f>
        <v>0</v>
      </c>
      <c r="P2171">
        <f>IF(OR(calendar[[#This Row],[UK_BH]]=1,calendar[[#This Row],[WeekDay]]=1, calendar[[#This Row],[WeekDay]]=7),P2170,P2170+1)</f>
        <v>1550</v>
      </c>
      <c r="Q2171">
        <f>IF(OR(calendar[[#This Row],[FR_BH]]=1,calendar[[#This Row],[WeekDay]]=1, calendar[[#This Row],[WeekDay]]=7),P2170,P2170+1)</f>
        <v>1550</v>
      </c>
      <c r="R2171">
        <f>IF(OR(calendar[[#This Row],[SP_BH]]=1,calendar[[#This Row],[WeekDay]]=1, calendar[[#This Row],[WeekDay]]=7),P2170,P2170+1)</f>
        <v>1550</v>
      </c>
      <c r="S2171">
        <f>IF(OR(calendar[[#This Row],[PT_BH]]=1,calendar[[#This Row],[WeekDay]]=1, calendar[[#This Row],[WeekDay]]=7),P2170,P2170+1)</f>
        <v>1550</v>
      </c>
    </row>
    <row r="2172" spans="1:19" x14ac:dyDescent="0.25">
      <c r="A2172" s="2">
        <v>44906</v>
      </c>
      <c r="B2172" s="1">
        <f t="shared" si="168"/>
        <v>51</v>
      </c>
      <c r="C2172">
        <f t="shared" si="170"/>
        <v>12</v>
      </c>
      <c r="D2172" t="str">
        <f t="shared" si="171"/>
        <v>December</v>
      </c>
      <c r="E2172">
        <f t="shared" si="172"/>
        <v>2022</v>
      </c>
      <c r="F2172" t="str">
        <f>CONCATENATE(calendar[[#This Row],[Month]],"/",calendar[[#This Row],[Year]])</f>
        <v>12/2022</v>
      </c>
      <c r="G2172">
        <f>WEEKDAY(calendar[[#This Row],[Date]],1)</f>
        <v>1</v>
      </c>
      <c r="H2172" t="str">
        <f>TEXT(calendar[[#This Row],[WeekDay]],"dddd")</f>
        <v>Sunday</v>
      </c>
      <c r="I2172">
        <f>IF((INT(calendar[[#This Row],[Count]]/7)-calendar[[#This Row],[Count]]/7)&lt;0,I2171,I2171+1)</f>
        <v>311</v>
      </c>
      <c r="J2172">
        <f t="shared" si="169"/>
        <v>2170</v>
      </c>
      <c r="K2172">
        <f>IF(calendar[[#This Row],[Month]]&lt;4,1,IF(calendar[[#This Row],[Month]]&lt;7,2,IF(calendar[[#This Row],[Month]]&lt;10,3,4)))</f>
        <v>4</v>
      </c>
      <c r="L2172">
        <f>IFERROR(IF(VLOOKUP(calendar[[#This Row],[Date]],BH!A:A,1,)&lt;&gt;"",1,0),0)</f>
        <v>0</v>
      </c>
      <c r="M2172">
        <f>IFERROR(IF(VLOOKUP(calendar[[#This Row],[Date]],BH!C:C,1,)&lt;&gt;"",1,0),0)</f>
        <v>0</v>
      </c>
      <c r="N2172">
        <f>IFERROR(IF(VLOOKUP(calendar[[#This Row],[Date]],BH!E:E,1,)&lt;&gt;"",1,0),0)</f>
        <v>0</v>
      </c>
      <c r="O2172">
        <f>IFERROR(IF(VLOOKUP(calendar[[#This Row],[Date]],BH!G:G,1,)&lt;&gt;"",1,0),0)</f>
        <v>0</v>
      </c>
      <c r="P2172">
        <f>IF(OR(calendar[[#This Row],[UK_BH]]=1,calendar[[#This Row],[WeekDay]]=1, calendar[[#This Row],[WeekDay]]=7),P2171,P2171+1)</f>
        <v>1550</v>
      </c>
      <c r="Q2172">
        <f>IF(OR(calendar[[#This Row],[FR_BH]]=1,calendar[[#This Row],[WeekDay]]=1, calendar[[#This Row],[WeekDay]]=7),P2171,P2171+1)</f>
        <v>1550</v>
      </c>
      <c r="R2172">
        <f>IF(OR(calendar[[#This Row],[SP_BH]]=1,calendar[[#This Row],[WeekDay]]=1, calendar[[#This Row],[WeekDay]]=7),P2171,P2171+1)</f>
        <v>1550</v>
      </c>
      <c r="S2172">
        <f>IF(OR(calendar[[#This Row],[PT_BH]]=1,calendar[[#This Row],[WeekDay]]=1, calendar[[#This Row],[WeekDay]]=7),P2171,P2171+1)</f>
        <v>1550</v>
      </c>
    </row>
    <row r="2173" spans="1:19" x14ac:dyDescent="0.25">
      <c r="A2173" s="2">
        <v>44907</v>
      </c>
      <c r="B2173" s="1">
        <f t="shared" si="168"/>
        <v>51</v>
      </c>
      <c r="C2173">
        <f t="shared" si="170"/>
        <v>12</v>
      </c>
      <c r="D2173" t="str">
        <f t="shared" si="171"/>
        <v>December</v>
      </c>
      <c r="E2173">
        <f t="shared" si="172"/>
        <v>2022</v>
      </c>
      <c r="F2173" t="str">
        <f>CONCATENATE(calendar[[#This Row],[Month]],"/",calendar[[#This Row],[Year]])</f>
        <v>12/2022</v>
      </c>
      <c r="G2173">
        <f>WEEKDAY(calendar[[#This Row],[Date]],1)</f>
        <v>2</v>
      </c>
      <c r="H2173" t="str">
        <f>TEXT(calendar[[#This Row],[WeekDay]],"dddd")</f>
        <v>Monday</v>
      </c>
      <c r="I2173">
        <f>IF((INT(calendar[[#This Row],[Count]]/7)-calendar[[#This Row],[Count]]/7)&lt;0,I2172,I2172+1)</f>
        <v>311</v>
      </c>
      <c r="J2173">
        <f t="shared" si="169"/>
        <v>2171</v>
      </c>
      <c r="K2173">
        <f>IF(calendar[[#This Row],[Month]]&lt;4,1,IF(calendar[[#This Row],[Month]]&lt;7,2,IF(calendar[[#This Row],[Month]]&lt;10,3,4)))</f>
        <v>4</v>
      </c>
      <c r="L2173">
        <f>IFERROR(IF(VLOOKUP(calendar[[#This Row],[Date]],BH!A:A,1,)&lt;&gt;"",1,0),0)</f>
        <v>0</v>
      </c>
      <c r="M2173">
        <f>IFERROR(IF(VLOOKUP(calendar[[#This Row],[Date]],BH!C:C,1,)&lt;&gt;"",1,0),0)</f>
        <v>0</v>
      </c>
      <c r="N2173">
        <f>IFERROR(IF(VLOOKUP(calendar[[#This Row],[Date]],BH!E:E,1,)&lt;&gt;"",1,0),0)</f>
        <v>0</v>
      </c>
      <c r="O2173">
        <f>IFERROR(IF(VLOOKUP(calendar[[#This Row],[Date]],BH!G:G,1,)&lt;&gt;"",1,0),0)</f>
        <v>0</v>
      </c>
      <c r="P2173">
        <f>IF(OR(calendar[[#This Row],[UK_BH]]=1,calendar[[#This Row],[WeekDay]]=1, calendar[[#This Row],[WeekDay]]=7),P2172,P2172+1)</f>
        <v>1551</v>
      </c>
      <c r="Q2173">
        <f>IF(OR(calendar[[#This Row],[FR_BH]]=1,calendar[[#This Row],[WeekDay]]=1, calendar[[#This Row],[WeekDay]]=7),P2172,P2172+1)</f>
        <v>1551</v>
      </c>
      <c r="R2173">
        <f>IF(OR(calendar[[#This Row],[SP_BH]]=1,calendar[[#This Row],[WeekDay]]=1, calendar[[#This Row],[WeekDay]]=7),P2172,P2172+1)</f>
        <v>1551</v>
      </c>
      <c r="S2173">
        <f>IF(OR(calendar[[#This Row],[PT_BH]]=1,calendar[[#This Row],[WeekDay]]=1, calendar[[#This Row],[WeekDay]]=7),P2172,P2172+1)</f>
        <v>1551</v>
      </c>
    </row>
    <row r="2174" spans="1:19" x14ac:dyDescent="0.25">
      <c r="A2174" s="2">
        <v>44908</v>
      </c>
      <c r="B2174" s="1">
        <f t="shared" si="168"/>
        <v>51</v>
      </c>
      <c r="C2174">
        <f t="shared" si="170"/>
        <v>12</v>
      </c>
      <c r="D2174" t="str">
        <f t="shared" si="171"/>
        <v>December</v>
      </c>
      <c r="E2174">
        <f t="shared" si="172"/>
        <v>2022</v>
      </c>
      <c r="F2174" t="str">
        <f>CONCATENATE(calendar[[#This Row],[Month]],"/",calendar[[#This Row],[Year]])</f>
        <v>12/2022</v>
      </c>
      <c r="G2174">
        <f>WEEKDAY(calendar[[#This Row],[Date]],1)</f>
        <v>3</v>
      </c>
      <c r="H2174" t="str">
        <f>TEXT(calendar[[#This Row],[WeekDay]],"dddd")</f>
        <v>Tuesday</v>
      </c>
      <c r="I2174">
        <f>IF((INT(calendar[[#This Row],[Count]]/7)-calendar[[#This Row],[Count]]/7)&lt;0,I2173,I2173+1)</f>
        <v>311</v>
      </c>
      <c r="J2174">
        <f t="shared" si="169"/>
        <v>2172</v>
      </c>
      <c r="K2174">
        <f>IF(calendar[[#This Row],[Month]]&lt;4,1,IF(calendar[[#This Row],[Month]]&lt;7,2,IF(calendar[[#This Row],[Month]]&lt;10,3,4)))</f>
        <v>4</v>
      </c>
      <c r="L2174">
        <f>IFERROR(IF(VLOOKUP(calendar[[#This Row],[Date]],BH!A:A,1,)&lt;&gt;"",1,0),0)</f>
        <v>0</v>
      </c>
      <c r="M2174">
        <f>IFERROR(IF(VLOOKUP(calendar[[#This Row],[Date]],BH!C:C,1,)&lt;&gt;"",1,0),0)</f>
        <v>0</v>
      </c>
      <c r="N2174">
        <f>IFERROR(IF(VLOOKUP(calendar[[#This Row],[Date]],BH!E:E,1,)&lt;&gt;"",1,0),0)</f>
        <v>0</v>
      </c>
      <c r="O2174">
        <f>IFERROR(IF(VLOOKUP(calendar[[#This Row],[Date]],BH!G:G,1,)&lt;&gt;"",1,0),0)</f>
        <v>0</v>
      </c>
      <c r="P2174">
        <f>IF(OR(calendar[[#This Row],[UK_BH]]=1,calendar[[#This Row],[WeekDay]]=1, calendar[[#This Row],[WeekDay]]=7),P2173,P2173+1)</f>
        <v>1552</v>
      </c>
      <c r="Q2174">
        <f>IF(OR(calendar[[#This Row],[FR_BH]]=1,calendar[[#This Row],[WeekDay]]=1, calendar[[#This Row],[WeekDay]]=7),P2173,P2173+1)</f>
        <v>1552</v>
      </c>
      <c r="R2174">
        <f>IF(OR(calendar[[#This Row],[SP_BH]]=1,calendar[[#This Row],[WeekDay]]=1, calendar[[#This Row],[WeekDay]]=7),P2173,P2173+1)</f>
        <v>1552</v>
      </c>
      <c r="S2174">
        <f>IF(OR(calendar[[#This Row],[PT_BH]]=1,calendar[[#This Row],[WeekDay]]=1, calendar[[#This Row],[WeekDay]]=7),P2173,P2173+1)</f>
        <v>1552</v>
      </c>
    </row>
    <row r="2175" spans="1:19" x14ac:dyDescent="0.25">
      <c r="A2175" s="2">
        <v>44909</v>
      </c>
      <c r="B2175" s="1">
        <f t="shared" si="168"/>
        <v>51</v>
      </c>
      <c r="C2175">
        <f t="shared" si="170"/>
        <v>12</v>
      </c>
      <c r="D2175" t="str">
        <f t="shared" si="171"/>
        <v>December</v>
      </c>
      <c r="E2175">
        <f t="shared" si="172"/>
        <v>2022</v>
      </c>
      <c r="F2175" t="str">
        <f>CONCATENATE(calendar[[#This Row],[Month]],"/",calendar[[#This Row],[Year]])</f>
        <v>12/2022</v>
      </c>
      <c r="G2175">
        <f>WEEKDAY(calendar[[#This Row],[Date]],1)</f>
        <v>4</v>
      </c>
      <c r="H2175" t="str">
        <f>TEXT(calendar[[#This Row],[WeekDay]],"dddd")</f>
        <v>Wednesday</v>
      </c>
      <c r="I2175">
        <f>IF((INT(calendar[[#This Row],[Count]]/7)-calendar[[#This Row],[Count]]/7)&lt;0,I2174,I2174+1)</f>
        <v>311</v>
      </c>
      <c r="J2175">
        <f t="shared" si="169"/>
        <v>2173</v>
      </c>
      <c r="K2175">
        <f>IF(calendar[[#This Row],[Month]]&lt;4,1,IF(calendar[[#This Row],[Month]]&lt;7,2,IF(calendar[[#This Row],[Month]]&lt;10,3,4)))</f>
        <v>4</v>
      </c>
      <c r="L2175">
        <f>IFERROR(IF(VLOOKUP(calendar[[#This Row],[Date]],BH!A:A,1,)&lt;&gt;"",1,0),0)</f>
        <v>0</v>
      </c>
      <c r="M2175">
        <f>IFERROR(IF(VLOOKUP(calendar[[#This Row],[Date]],BH!C:C,1,)&lt;&gt;"",1,0),0)</f>
        <v>0</v>
      </c>
      <c r="N2175">
        <f>IFERROR(IF(VLOOKUP(calendar[[#This Row],[Date]],BH!E:E,1,)&lt;&gt;"",1,0),0)</f>
        <v>0</v>
      </c>
      <c r="O2175">
        <f>IFERROR(IF(VLOOKUP(calendar[[#This Row],[Date]],BH!G:G,1,)&lt;&gt;"",1,0),0)</f>
        <v>0</v>
      </c>
      <c r="P2175">
        <f>IF(OR(calendar[[#This Row],[UK_BH]]=1,calendar[[#This Row],[WeekDay]]=1, calendar[[#This Row],[WeekDay]]=7),P2174,P2174+1)</f>
        <v>1553</v>
      </c>
      <c r="Q2175">
        <f>IF(OR(calendar[[#This Row],[FR_BH]]=1,calendar[[#This Row],[WeekDay]]=1, calendar[[#This Row],[WeekDay]]=7),P2174,P2174+1)</f>
        <v>1553</v>
      </c>
      <c r="R2175">
        <f>IF(OR(calendar[[#This Row],[SP_BH]]=1,calendar[[#This Row],[WeekDay]]=1, calendar[[#This Row],[WeekDay]]=7),P2174,P2174+1)</f>
        <v>1553</v>
      </c>
      <c r="S2175">
        <f>IF(OR(calendar[[#This Row],[PT_BH]]=1,calendar[[#This Row],[WeekDay]]=1, calendar[[#This Row],[WeekDay]]=7),P2174,P2174+1)</f>
        <v>1553</v>
      </c>
    </row>
    <row r="2176" spans="1:19" x14ac:dyDescent="0.25">
      <c r="A2176" s="2">
        <v>44910</v>
      </c>
      <c r="B2176" s="1">
        <f t="shared" si="168"/>
        <v>51</v>
      </c>
      <c r="C2176">
        <f t="shared" si="170"/>
        <v>12</v>
      </c>
      <c r="D2176" t="str">
        <f t="shared" si="171"/>
        <v>December</v>
      </c>
      <c r="E2176">
        <f t="shared" si="172"/>
        <v>2022</v>
      </c>
      <c r="F2176" t="str">
        <f>CONCATENATE(calendar[[#This Row],[Month]],"/",calendar[[#This Row],[Year]])</f>
        <v>12/2022</v>
      </c>
      <c r="G2176">
        <f>WEEKDAY(calendar[[#This Row],[Date]],1)</f>
        <v>5</v>
      </c>
      <c r="H2176" t="str">
        <f>TEXT(calendar[[#This Row],[WeekDay]],"dddd")</f>
        <v>Thursday</v>
      </c>
      <c r="I2176">
        <f>IF((INT(calendar[[#This Row],[Count]]/7)-calendar[[#This Row],[Count]]/7)&lt;0,I2175,I2175+1)</f>
        <v>311</v>
      </c>
      <c r="J2176">
        <f t="shared" si="169"/>
        <v>2174</v>
      </c>
      <c r="K2176">
        <f>IF(calendar[[#This Row],[Month]]&lt;4,1,IF(calendar[[#This Row],[Month]]&lt;7,2,IF(calendar[[#This Row],[Month]]&lt;10,3,4)))</f>
        <v>4</v>
      </c>
      <c r="L2176">
        <f>IFERROR(IF(VLOOKUP(calendar[[#This Row],[Date]],BH!A:A,1,)&lt;&gt;"",1,0),0)</f>
        <v>0</v>
      </c>
      <c r="M2176">
        <f>IFERROR(IF(VLOOKUP(calendar[[#This Row],[Date]],BH!C:C,1,)&lt;&gt;"",1,0),0)</f>
        <v>0</v>
      </c>
      <c r="N2176">
        <f>IFERROR(IF(VLOOKUP(calendar[[#This Row],[Date]],BH!E:E,1,)&lt;&gt;"",1,0),0)</f>
        <v>0</v>
      </c>
      <c r="O2176">
        <f>IFERROR(IF(VLOOKUP(calendar[[#This Row],[Date]],BH!G:G,1,)&lt;&gt;"",1,0),0)</f>
        <v>0</v>
      </c>
      <c r="P2176">
        <f>IF(OR(calendar[[#This Row],[UK_BH]]=1,calendar[[#This Row],[WeekDay]]=1, calendar[[#This Row],[WeekDay]]=7),P2175,P2175+1)</f>
        <v>1554</v>
      </c>
      <c r="Q2176">
        <f>IF(OR(calendar[[#This Row],[FR_BH]]=1,calendar[[#This Row],[WeekDay]]=1, calendar[[#This Row],[WeekDay]]=7),P2175,P2175+1)</f>
        <v>1554</v>
      </c>
      <c r="R2176">
        <f>IF(OR(calendar[[#This Row],[SP_BH]]=1,calendar[[#This Row],[WeekDay]]=1, calendar[[#This Row],[WeekDay]]=7),P2175,P2175+1)</f>
        <v>1554</v>
      </c>
      <c r="S2176">
        <f>IF(OR(calendar[[#This Row],[PT_BH]]=1,calendar[[#This Row],[WeekDay]]=1, calendar[[#This Row],[WeekDay]]=7),P2175,P2175+1)</f>
        <v>1554</v>
      </c>
    </row>
    <row r="2177" spans="1:19" x14ac:dyDescent="0.25">
      <c r="A2177" s="2">
        <v>44911</v>
      </c>
      <c r="B2177" s="1">
        <f t="shared" si="168"/>
        <v>51</v>
      </c>
      <c r="C2177">
        <f t="shared" si="170"/>
        <v>12</v>
      </c>
      <c r="D2177" t="str">
        <f t="shared" si="171"/>
        <v>December</v>
      </c>
      <c r="E2177">
        <f t="shared" si="172"/>
        <v>2022</v>
      </c>
      <c r="F2177" t="str">
        <f>CONCATENATE(calendar[[#This Row],[Month]],"/",calendar[[#This Row],[Year]])</f>
        <v>12/2022</v>
      </c>
      <c r="G2177">
        <f>WEEKDAY(calendar[[#This Row],[Date]],1)</f>
        <v>6</v>
      </c>
      <c r="H2177" t="str">
        <f>TEXT(calendar[[#This Row],[WeekDay]],"dddd")</f>
        <v>Friday</v>
      </c>
      <c r="I2177">
        <f>IF((INT(calendar[[#This Row],[Count]]/7)-calendar[[#This Row],[Count]]/7)&lt;0,I2176,I2176+1)</f>
        <v>311</v>
      </c>
      <c r="J2177">
        <f t="shared" si="169"/>
        <v>2175</v>
      </c>
      <c r="K2177">
        <f>IF(calendar[[#This Row],[Month]]&lt;4,1,IF(calendar[[#This Row],[Month]]&lt;7,2,IF(calendar[[#This Row],[Month]]&lt;10,3,4)))</f>
        <v>4</v>
      </c>
      <c r="L2177">
        <f>IFERROR(IF(VLOOKUP(calendar[[#This Row],[Date]],BH!A:A,1,)&lt;&gt;"",1,0),0)</f>
        <v>0</v>
      </c>
      <c r="M2177">
        <f>IFERROR(IF(VLOOKUP(calendar[[#This Row],[Date]],BH!C:C,1,)&lt;&gt;"",1,0),0)</f>
        <v>0</v>
      </c>
      <c r="N2177">
        <f>IFERROR(IF(VLOOKUP(calendar[[#This Row],[Date]],BH!E:E,1,)&lt;&gt;"",1,0),0)</f>
        <v>0</v>
      </c>
      <c r="O2177">
        <f>IFERROR(IF(VLOOKUP(calendar[[#This Row],[Date]],BH!G:G,1,)&lt;&gt;"",1,0),0)</f>
        <v>0</v>
      </c>
      <c r="P2177">
        <f>IF(OR(calendar[[#This Row],[UK_BH]]=1,calendar[[#This Row],[WeekDay]]=1, calendar[[#This Row],[WeekDay]]=7),P2176,P2176+1)</f>
        <v>1555</v>
      </c>
      <c r="Q2177">
        <f>IF(OR(calendar[[#This Row],[FR_BH]]=1,calendar[[#This Row],[WeekDay]]=1, calendar[[#This Row],[WeekDay]]=7),P2176,P2176+1)</f>
        <v>1555</v>
      </c>
      <c r="R2177">
        <f>IF(OR(calendar[[#This Row],[SP_BH]]=1,calendar[[#This Row],[WeekDay]]=1, calendar[[#This Row],[WeekDay]]=7),P2176,P2176+1)</f>
        <v>1555</v>
      </c>
      <c r="S2177">
        <f>IF(OR(calendar[[#This Row],[PT_BH]]=1,calendar[[#This Row],[WeekDay]]=1, calendar[[#This Row],[WeekDay]]=7),P2176,P2176+1)</f>
        <v>1555</v>
      </c>
    </row>
    <row r="2178" spans="1:19" x14ac:dyDescent="0.25">
      <c r="A2178" s="2">
        <v>44912</v>
      </c>
      <c r="B2178" s="1">
        <f t="shared" ref="B2178:B2241" si="173">WEEKNUM(A2178)</f>
        <v>51</v>
      </c>
      <c r="C2178">
        <f t="shared" si="170"/>
        <v>12</v>
      </c>
      <c r="D2178" t="str">
        <f t="shared" si="171"/>
        <v>December</v>
      </c>
      <c r="E2178">
        <f t="shared" si="172"/>
        <v>2022</v>
      </c>
      <c r="F2178" t="str">
        <f>CONCATENATE(calendar[[#This Row],[Month]],"/",calendar[[#This Row],[Year]])</f>
        <v>12/2022</v>
      </c>
      <c r="G2178">
        <f>WEEKDAY(calendar[[#This Row],[Date]],1)</f>
        <v>7</v>
      </c>
      <c r="H2178" t="str">
        <f>TEXT(calendar[[#This Row],[WeekDay]],"dddd")</f>
        <v>Saturday</v>
      </c>
      <c r="I2178">
        <f>IF((INT(calendar[[#This Row],[Count]]/7)-calendar[[#This Row],[Count]]/7)&lt;0,I2177,I2177+1)</f>
        <v>311</v>
      </c>
      <c r="J2178">
        <f t="shared" si="169"/>
        <v>2176</v>
      </c>
      <c r="K2178">
        <f>IF(calendar[[#This Row],[Month]]&lt;4,1,IF(calendar[[#This Row],[Month]]&lt;7,2,IF(calendar[[#This Row],[Month]]&lt;10,3,4)))</f>
        <v>4</v>
      </c>
      <c r="L2178">
        <f>IFERROR(IF(VLOOKUP(calendar[[#This Row],[Date]],BH!A:A,1,)&lt;&gt;"",1,0),0)</f>
        <v>0</v>
      </c>
      <c r="M2178">
        <f>IFERROR(IF(VLOOKUP(calendar[[#This Row],[Date]],BH!C:C,1,)&lt;&gt;"",1,0),0)</f>
        <v>0</v>
      </c>
      <c r="N2178">
        <f>IFERROR(IF(VLOOKUP(calendar[[#This Row],[Date]],BH!E:E,1,)&lt;&gt;"",1,0),0)</f>
        <v>0</v>
      </c>
      <c r="O2178">
        <f>IFERROR(IF(VLOOKUP(calendar[[#This Row],[Date]],BH!G:G,1,)&lt;&gt;"",1,0),0)</f>
        <v>0</v>
      </c>
      <c r="P2178">
        <f>IF(OR(calendar[[#This Row],[UK_BH]]=1,calendar[[#This Row],[WeekDay]]=1, calendar[[#This Row],[WeekDay]]=7),P2177,P2177+1)</f>
        <v>1555</v>
      </c>
      <c r="Q2178">
        <f>IF(OR(calendar[[#This Row],[FR_BH]]=1,calendar[[#This Row],[WeekDay]]=1, calendar[[#This Row],[WeekDay]]=7),P2177,P2177+1)</f>
        <v>1555</v>
      </c>
      <c r="R2178">
        <f>IF(OR(calendar[[#This Row],[SP_BH]]=1,calendar[[#This Row],[WeekDay]]=1, calendar[[#This Row],[WeekDay]]=7),P2177,P2177+1)</f>
        <v>1555</v>
      </c>
      <c r="S2178">
        <f>IF(OR(calendar[[#This Row],[PT_BH]]=1,calendar[[#This Row],[WeekDay]]=1, calendar[[#This Row],[WeekDay]]=7),P2177,P2177+1)</f>
        <v>1555</v>
      </c>
    </row>
    <row r="2179" spans="1:19" x14ac:dyDescent="0.25">
      <c r="A2179" s="2">
        <v>44913</v>
      </c>
      <c r="B2179" s="1">
        <f t="shared" si="173"/>
        <v>52</v>
      </c>
      <c r="C2179">
        <f t="shared" si="170"/>
        <v>12</v>
      </c>
      <c r="D2179" t="str">
        <f t="shared" si="171"/>
        <v>December</v>
      </c>
      <c r="E2179">
        <f t="shared" si="172"/>
        <v>2022</v>
      </c>
      <c r="F2179" t="str">
        <f>CONCATENATE(calendar[[#This Row],[Month]],"/",calendar[[#This Row],[Year]])</f>
        <v>12/2022</v>
      </c>
      <c r="G2179">
        <f>WEEKDAY(calendar[[#This Row],[Date]],1)</f>
        <v>1</v>
      </c>
      <c r="H2179" t="str">
        <f>TEXT(calendar[[#This Row],[WeekDay]],"dddd")</f>
        <v>Sunday</v>
      </c>
      <c r="I2179">
        <f>IF((INT(calendar[[#This Row],[Count]]/7)-calendar[[#This Row],[Count]]/7)&lt;0,I2178,I2178+1)</f>
        <v>312</v>
      </c>
      <c r="J2179">
        <f t="shared" ref="J2179:J2242" si="174">J2178+1</f>
        <v>2177</v>
      </c>
      <c r="K2179">
        <f>IF(calendar[[#This Row],[Month]]&lt;4,1,IF(calendar[[#This Row],[Month]]&lt;7,2,IF(calendar[[#This Row],[Month]]&lt;10,3,4)))</f>
        <v>4</v>
      </c>
      <c r="L2179">
        <f>IFERROR(IF(VLOOKUP(calendar[[#This Row],[Date]],BH!A:A,1,)&lt;&gt;"",1,0),0)</f>
        <v>0</v>
      </c>
      <c r="M2179">
        <f>IFERROR(IF(VLOOKUP(calendar[[#This Row],[Date]],BH!C:C,1,)&lt;&gt;"",1,0),0)</f>
        <v>0</v>
      </c>
      <c r="N2179">
        <f>IFERROR(IF(VLOOKUP(calendar[[#This Row],[Date]],BH!E:E,1,)&lt;&gt;"",1,0),0)</f>
        <v>0</v>
      </c>
      <c r="O2179">
        <f>IFERROR(IF(VLOOKUP(calendar[[#This Row],[Date]],BH!G:G,1,)&lt;&gt;"",1,0),0)</f>
        <v>0</v>
      </c>
      <c r="P2179">
        <f>IF(OR(calendar[[#This Row],[UK_BH]]=1,calendar[[#This Row],[WeekDay]]=1, calendar[[#This Row],[WeekDay]]=7),P2178,P2178+1)</f>
        <v>1555</v>
      </c>
      <c r="Q2179">
        <f>IF(OR(calendar[[#This Row],[FR_BH]]=1,calendar[[#This Row],[WeekDay]]=1, calendar[[#This Row],[WeekDay]]=7),P2178,P2178+1)</f>
        <v>1555</v>
      </c>
      <c r="R2179">
        <f>IF(OR(calendar[[#This Row],[SP_BH]]=1,calendar[[#This Row],[WeekDay]]=1, calendar[[#This Row],[WeekDay]]=7),P2178,P2178+1)</f>
        <v>1555</v>
      </c>
      <c r="S2179">
        <f>IF(OR(calendar[[#This Row],[PT_BH]]=1,calendar[[#This Row],[WeekDay]]=1, calendar[[#This Row],[WeekDay]]=7),P2178,P2178+1)</f>
        <v>1555</v>
      </c>
    </row>
    <row r="2180" spans="1:19" x14ac:dyDescent="0.25">
      <c r="A2180" s="2">
        <v>44914</v>
      </c>
      <c r="B2180" s="1">
        <f t="shared" si="173"/>
        <v>52</v>
      </c>
      <c r="C2180">
        <f t="shared" si="170"/>
        <v>12</v>
      </c>
      <c r="D2180" t="str">
        <f t="shared" si="171"/>
        <v>December</v>
      </c>
      <c r="E2180">
        <f t="shared" si="172"/>
        <v>2022</v>
      </c>
      <c r="F2180" t="str">
        <f>CONCATENATE(calendar[[#This Row],[Month]],"/",calendar[[#This Row],[Year]])</f>
        <v>12/2022</v>
      </c>
      <c r="G2180">
        <f>WEEKDAY(calendar[[#This Row],[Date]],1)</f>
        <v>2</v>
      </c>
      <c r="H2180" t="str">
        <f>TEXT(calendar[[#This Row],[WeekDay]],"dddd")</f>
        <v>Monday</v>
      </c>
      <c r="I2180">
        <f>IF((INT(calendar[[#This Row],[Count]]/7)-calendar[[#This Row],[Count]]/7)&lt;0,I2179,I2179+1)</f>
        <v>312</v>
      </c>
      <c r="J2180">
        <f t="shared" si="174"/>
        <v>2178</v>
      </c>
      <c r="K2180">
        <f>IF(calendar[[#This Row],[Month]]&lt;4,1,IF(calendar[[#This Row],[Month]]&lt;7,2,IF(calendar[[#This Row],[Month]]&lt;10,3,4)))</f>
        <v>4</v>
      </c>
      <c r="L2180">
        <f>IFERROR(IF(VLOOKUP(calendar[[#This Row],[Date]],BH!A:A,1,)&lt;&gt;"",1,0),0)</f>
        <v>0</v>
      </c>
      <c r="M2180">
        <f>IFERROR(IF(VLOOKUP(calendar[[#This Row],[Date]],BH!C:C,1,)&lt;&gt;"",1,0),0)</f>
        <v>0</v>
      </c>
      <c r="N2180">
        <f>IFERROR(IF(VLOOKUP(calendar[[#This Row],[Date]],BH!E:E,1,)&lt;&gt;"",1,0),0)</f>
        <v>0</v>
      </c>
      <c r="O2180">
        <f>IFERROR(IF(VLOOKUP(calendar[[#This Row],[Date]],BH!G:G,1,)&lt;&gt;"",1,0),0)</f>
        <v>0</v>
      </c>
      <c r="P2180">
        <f>IF(OR(calendar[[#This Row],[UK_BH]]=1,calendar[[#This Row],[WeekDay]]=1, calendar[[#This Row],[WeekDay]]=7),P2179,P2179+1)</f>
        <v>1556</v>
      </c>
      <c r="Q2180">
        <f>IF(OR(calendar[[#This Row],[FR_BH]]=1,calendar[[#This Row],[WeekDay]]=1, calendar[[#This Row],[WeekDay]]=7),P2179,P2179+1)</f>
        <v>1556</v>
      </c>
      <c r="R2180">
        <f>IF(OR(calendar[[#This Row],[SP_BH]]=1,calendar[[#This Row],[WeekDay]]=1, calendar[[#This Row],[WeekDay]]=7),P2179,P2179+1)</f>
        <v>1556</v>
      </c>
      <c r="S2180">
        <f>IF(OR(calendar[[#This Row],[PT_BH]]=1,calendar[[#This Row],[WeekDay]]=1, calendar[[#This Row],[WeekDay]]=7),P2179,P2179+1)</f>
        <v>1556</v>
      </c>
    </row>
    <row r="2181" spans="1:19" x14ac:dyDescent="0.25">
      <c r="A2181" s="2">
        <v>44915</v>
      </c>
      <c r="B2181" s="1">
        <f t="shared" si="173"/>
        <v>52</v>
      </c>
      <c r="C2181">
        <f t="shared" si="170"/>
        <v>12</v>
      </c>
      <c r="D2181" t="str">
        <f t="shared" si="171"/>
        <v>December</v>
      </c>
      <c r="E2181">
        <f t="shared" si="172"/>
        <v>2022</v>
      </c>
      <c r="F2181" t="str">
        <f>CONCATENATE(calendar[[#This Row],[Month]],"/",calendar[[#This Row],[Year]])</f>
        <v>12/2022</v>
      </c>
      <c r="G2181">
        <f>WEEKDAY(calendar[[#This Row],[Date]],1)</f>
        <v>3</v>
      </c>
      <c r="H2181" t="str">
        <f>TEXT(calendar[[#This Row],[WeekDay]],"dddd")</f>
        <v>Tuesday</v>
      </c>
      <c r="I2181">
        <f>IF((INT(calendar[[#This Row],[Count]]/7)-calendar[[#This Row],[Count]]/7)&lt;0,I2180,I2180+1)</f>
        <v>312</v>
      </c>
      <c r="J2181">
        <f t="shared" si="174"/>
        <v>2179</v>
      </c>
      <c r="K2181">
        <f>IF(calendar[[#This Row],[Month]]&lt;4,1,IF(calendar[[#This Row],[Month]]&lt;7,2,IF(calendar[[#This Row],[Month]]&lt;10,3,4)))</f>
        <v>4</v>
      </c>
      <c r="L2181">
        <f>IFERROR(IF(VLOOKUP(calendar[[#This Row],[Date]],BH!A:A,1,)&lt;&gt;"",1,0),0)</f>
        <v>0</v>
      </c>
      <c r="M2181">
        <f>IFERROR(IF(VLOOKUP(calendar[[#This Row],[Date]],BH!C:C,1,)&lt;&gt;"",1,0),0)</f>
        <v>0</v>
      </c>
      <c r="N2181">
        <f>IFERROR(IF(VLOOKUP(calendar[[#This Row],[Date]],BH!E:E,1,)&lt;&gt;"",1,0),0)</f>
        <v>0</v>
      </c>
      <c r="O2181">
        <f>IFERROR(IF(VLOOKUP(calendar[[#This Row],[Date]],BH!G:G,1,)&lt;&gt;"",1,0),0)</f>
        <v>0</v>
      </c>
      <c r="P2181">
        <f>IF(OR(calendar[[#This Row],[UK_BH]]=1,calendar[[#This Row],[WeekDay]]=1, calendar[[#This Row],[WeekDay]]=7),P2180,P2180+1)</f>
        <v>1557</v>
      </c>
      <c r="Q2181">
        <f>IF(OR(calendar[[#This Row],[FR_BH]]=1,calendar[[#This Row],[WeekDay]]=1, calendar[[#This Row],[WeekDay]]=7),P2180,P2180+1)</f>
        <v>1557</v>
      </c>
      <c r="R2181">
        <f>IF(OR(calendar[[#This Row],[SP_BH]]=1,calendar[[#This Row],[WeekDay]]=1, calendar[[#This Row],[WeekDay]]=7),P2180,P2180+1)</f>
        <v>1557</v>
      </c>
      <c r="S2181">
        <f>IF(OR(calendar[[#This Row],[PT_BH]]=1,calendar[[#This Row],[WeekDay]]=1, calendar[[#This Row],[WeekDay]]=7),P2180,P2180+1)</f>
        <v>1557</v>
      </c>
    </row>
    <row r="2182" spans="1:19" x14ac:dyDescent="0.25">
      <c r="A2182" s="2">
        <v>44916</v>
      </c>
      <c r="B2182" s="1">
        <f t="shared" si="173"/>
        <v>52</v>
      </c>
      <c r="C2182">
        <f t="shared" si="170"/>
        <v>12</v>
      </c>
      <c r="D2182" t="str">
        <f t="shared" si="171"/>
        <v>December</v>
      </c>
      <c r="E2182">
        <f t="shared" si="172"/>
        <v>2022</v>
      </c>
      <c r="F2182" t="str">
        <f>CONCATENATE(calendar[[#This Row],[Month]],"/",calendar[[#This Row],[Year]])</f>
        <v>12/2022</v>
      </c>
      <c r="G2182">
        <f>WEEKDAY(calendar[[#This Row],[Date]],1)</f>
        <v>4</v>
      </c>
      <c r="H2182" t="str">
        <f>TEXT(calendar[[#This Row],[WeekDay]],"dddd")</f>
        <v>Wednesday</v>
      </c>
      <c r="I2182">
        <f>IF((INT(calendar[[#This Row],[Count]]/7)-calendar[[#This Row],[Count]]/7)&lt;0,I2181,I2181+1)</f>
        <v>312</v>
      </c>
      <c r="J2182">
        <f t="shared" si="174"/>
        <v>2180</v>
      </c>
      <c r="K2182">
        <f>IF(calendar[[#This Row],[Month]]&lt;4,1,IF(calendar[[#This Row],[Month]]&lt;7,2,IF(calendar[[#This Row],[Month]]&lt;10,3,4)))</f>
        <v>4</v>
      </c>
      <c r="L2182">
        <f>IFERROR(IF(VLOOKUP(calendar[[#This Row],[Date]],BH!A:A,1,)&lt;&gt;"",1,0),0)</f>
        <v>0</v>
      </c>
      <c r="M2182">
        <f>IFERROR(IF(VLOOKUP(calendar[[#This Row],[Date]],BH!C:C,1,)&lt;&gt;"",1,0),0)</f>
        <v>0</v>
      </c>
      <c r="N2182">
        <f>IFERROR(IF(VLOOKUP(calendar[[#This Row],[Date]],BH!E:E,1,)&lt;&gt;"",1,0),0)</f>
        <v>0</v>
      </c>
      <c r="O2182">
        <f>IFERROR(IF(VLOOKUP(calendar[[#This Row],[Date]],BH!G:G,1,)&lt;&gt;"",1,0),0)</f>
        <v>0</v>
      </c>
      <c r="P2182">
        <f>IF(OR(calendar[[#This Row],[UK_BH]]=1,calendar[[#This Row],[WeekDay]]=1, calendar[[#This Row],[WeekDay]]=7),P2181,P2181+1)</f>
        <v>1558</v>
      </c>
      <c r="Q2182">
        <f>IF(OR(calendar[[#This Row],[FR_BH]]=1,calendar[[#This Row],[WeekDay]]=1, calendar[[#This Row],[WeekDay]]=7),P2181,P2181+1)</f>
        <v>1558</v>
      </c>
      <c r="R2182">
        <f>IF(OR(calendar[[#This Row],[SP_BH]]=1,calendar[[#This Row],[WeekDay]]=1, calendar[[#This Row],[WeekDay]]=7),P2181,P2181+1)</f>
        <v>1558</v>
      </c>
      <c r="S2182">
        <f>IF(OR(calendar[[#This Row],[PT_BH]]=1,calendar[[#This Row],[WeekDay]]=1, calendar[[#This Row],[WeekDay]]=7),P2181,P2181+1)</f>
        <v>1558</v>
      </c>
    </row>
    <row r="2183" spans="1:19" x14ac:dyDescent="0.25">
      <c r="A2183" s="2">
        <v>44917</v>
      </c>
      <c r="B2183" s="1">
        <f t="shared" si="173"/>
        <v>52</v>
      </c>
      <c r="C2183">
        <f t="shared" si="170"/>
        <v>12</v>
      </c>
      <c r="D2183" t="str">
        <f t="shared" si="171"/>
        <v>December</v>
      </c>
      <c r="E2183">
        <f t="shared" si="172"/>
        <v>2022</v>
      </c>
      <c r="F2183" t="str">
        <f>CONCATENATE(calendar[[#This Row],[Month]],"/",calendar[[#This Row],[Year]])</f>
        <v>12/2022</v>
      </c>
      <c r="G2183">
        <f>WEEKDAY(calendar[[#This Row],[Date]],1)</f>
        <v>5</v>
      </c>
      <c r="H2183" t="str">
        <f>TEXT(calendar[[#This Row],[WeekDay]],"dddd")</f>
        <v>Thursday</v>
      </c>
      <c r="I2183">
        <f>IF((INT(calendar[[#This Row],[Count]]/7)-calendar[[#This Row],[Count]]/7)&lt;0,I2182,I2182+1)</f>
        <v>312</v>
      </c>
      <c r="J2183">
        <f t="shared" si="174"/>
        <v>2181</v>
      </c>
      <c r="K2183">
        <f>IF(calendar[[#This Row],[Month]]&lt;4,1,IF(calendar[[#This Row],[Month]]&lt;7,2,IF(calendar[[#This Row],[Month]]&lt;10,3,4)))</f>
        <v>4</v>
      </c>
      <c r="L2183">
        <f>IFERROR(IF(VLOOKUP(calendar[[#This Row],[Date]],BH!A:A,1,)&lt;&gt;"",1,0),0)</f>
        <v>0</v>
      </c>
      <c r="M2183">
        <f>IFERROR(IF(VLOOKUP(calendar[[#This Row],[Date]],BH!C:C,1,)&lt;&gt;"",1,0),0)</f>
        <v>0</v>
      </c>
      <c r="N2183">
        <f>IFERROR(IF(VLOOKUP(calendar[[#This Row],[Date]],BH!E:E,1,)&lt;&gt;"",1,0),0)</f>
        <v>0</v>
      </c>
      <c r="O2183">
        <f>IFERROR(IF(VLOOKUP(calendar[[#This Row],[Date]],BH!G:G,1,)&lt;&gt;"",1,0),0)</f>
        <v>0</v>
      </c>
      <c r="P2183">
        <f>IF(OR(calendar[[#This Row],[UK_BH]]=1,calendar[[#This Row],[WeekDay]]=1, calendar[[#This Row],[WeekDay]]=7),P2182,P2182+1)</f>
        <v>1559</v>
      </c>
      <c r="Q2183">
        <f>IF(OR(calendar[[#This Row],[FR_BH]]=1,calendar[[#This Row],[WeekDay]]=1, calendar[[#This Row],[WeekDay]]=7),P2182,P2182+1)</f>
        <v>1559</v>
      </c>
      <c r="R2183">
        <f>IF(OR(calendar[[#This Row],[SP_BH]]=1,calendar[[#This Row],[WeekDay]]=1, calendar[[#This Row],[WeekDay]]=7),P2182,P2182+1)</f>
        <v>1559</v>
      </c>
      <c r="S2183">
        <f>IF(OR(calendar[[#This Row],[PT_BH]]=1,calendar[[#This Row],[WeekDay]]=1, calendar[[#This Row],[WeekDay]]=7),P2182,P2182+1)</f>
        <v>1559</v>
      </c>
    </row>
    <row r="2184" spans="1:19" x14ac:dyDescent="0.25">
      <c r="A2184" s="2">
        <v>44918</v>
      </c>
      <c r="B2184" s="1">
        <f t="shared" si="173"/>
        <v>52</v>
      </c>
      <c r="C2184">
        <f t="shared" si="170"/>
        <v>12</v>
      </c>
      <c r="D2184" t="str">
        <f t="shared" si="171"/>
        <v>December</v>
      </c>
      <c r="E2184">
        <f t="shared" si="172"/>
        <v>2022</v>
      </c>
      <c r="F2184" t="str">
        <f>CONCATENATE(calendar[[#This Row],[Month]],"/",calendar[[#This Row],[Year]])</f>
        <v>12/2022</v>
      </c>
      <c r="G2184">
        <f>WEEKDAY(calendar[[#This Row],[Date]],1)</f>
        <v>6</v>
      </c>
      <c r="H2184" t="str">
        <f>TEXT(calendar[[#This Row],[WeekDay]],"dddd")</f>
        <v>Friday</v>
      </c>
      <c r="I2184">
        <f>IF((INT(calendar[[#This Row],[Count]]/7)-calendar[[#This Row],[Count]]/7)&lt;0,I2183,I2183+1)</f>
        <v>312</v>
      </c>
      <c r="J2184">
        <f t="shared" si="174"/>
        <v>2182</v>
      </c>
      <c r="K2184">
        <f>IF(calendar[[#This Row],[Month]]&lt;4,1,IF(calendar[[#This Row],[Month]]&lt;7,2,IF(calendar[[#This Row],[Month]]&lt;10,3,4)))</f>
        <v>4</v>
      </c>
      <c r="L2184">
        <f>IFERROR(IF(VLOOKUP(calendar[[#This Row],[Date]],BH!A:A,1,)&lt;&gt;"",1,0),0)</f>
        <v>0</v>
      </c>
      <c r="M2184">
        <f>IFERROR(IF(VLOOKUP(calendar[[#This Row],[Date]],BH!C:C,1,)&lt;&gt;"",1,0),0)</f>
        <v>0</v>
      </c>
      <c r="N2184">
        <f>IFERROR(IF(VLOOKUP(calendar[[#This Row],[Date]],BH!E:E,1,)&lt;&gt;"",1,0),0)</f>
        <v>0</v>
      </c>
      <c r="O2184">
        <f>IFERROR(IF(VLOOKUP(calendar[[#This Row],[Date]],BH!G:G,1,)&lt;&gt;"",1,0),0)</f>
        <v>0</v>
      </c>
      <c r="P2184">
        <f>IF(OR(calendar[[#This Row],[UK_BH]]=1,calendar[[#This Row],[WeekDay]]=1, calendar[[#This Row],[WeekDay]]=7),P2183,P2183+1)</f>
        <v>1560</v>
      </c>
      <c r="Q2184">
        <f>IF(OR(calendar[[#This Row],[FR_BH]]=1,calendar[[#This Row],[WeekDay]]=1, calendar[[#This Row],[WeekDay]]=7),P2183,P2183+1)</f>
        <v>1560</v>
      </c>
      <c r="R2184">
        <f>IF(OR(calendar[[#This Row],[SP_BH]]=1,calendar[[#This Row],[WeekDay]]=1, calendar[[#This Row],[WeekDay]]=7),P2183,P2183+1)</f>
        <v>1560</v>
      </c>
      <c r="S2184">
        <f>IF(OR(calendar[[#This Row],[PT_BH]]=1,calendar[[#This Row],[WeekDay]]=1, calendar[[#This Row],[WeekDay]]=7),P2183,P2183+1)</f>
        <v>1560</v>
      </c>
    </row>
    <row r="2185" spans="1:19" x14ac:dyDescent="0.25">
      <c r="A2185" s="2">
        <v>44919</v>
      </c>
      <c r="B2185" s="1">
        <f t="shared" si="173"/>
        <v>52</v>
      </c>
      <c r="C2185">
        <f t="shared" si="170"/>
        <v>12</v>
      </c>
      <c r="D2185" t="str">
        <f t="shared" si="171"/>
        <v>December</v>
      </c>
      <c r="E2185">
        <f t="shared" si="172"/>
        <v>2022</v>
      </c>
      <c r="F2185" t="str">
        <f>CONCATENATE(calendar[[#This Row],[Month]],"/",calendar[[#This Row],[Year]])</f>
        <v>12/2022</v>
      </c>
      <c r="G2185">
        <f>WEEKDAY(calendar[[#This Row],[Date]],1)</f>
        <v>7</v>
      </c>
      <c r="H2185" t="str">
        <f>TEXT(calendar[[#This Row],[WeekDay]],"dddd")</f>
        <v>Saturday</v>
      </c>
      <c r="I2185">
        <f>IF((INT(calendar[[#This Row],[Count]]/7)-calendar[[#This Row],[Count]]/7)&lt;0,I2184,I2184+1)</f>
        <v>312</v>
      </c>
      <c r="J2185">
        <f t="shared" si="174"/>
        <v>2183</v>
      </c>
      <c r="K2185">
        <f>IF(calendar[[#This Row],[Month]]&lt;4,1,IF(calendar[[#This Row],[Month]]&lt;7,2,IF(calendar[[#This Row],[Month]]&lt;10,3,4)))</f>
        <v>4</v>
      </c>
      <c r="L2185">
        <f>IFERROR(IF(VLOOKUP(calendar[[#This Row],[Date]],BH!A:A,1,)&lt;&gt;"",1,0),0)</f>
        <v>0</v>
      </c>
      <c r="M2185">
        <f>IFERROR(IF(VLOOKUP(calendar[[#This Row],[Date]],BH!C:C,1,)&lt;&gt;"",1,0),0)</f>
        <v>0</v>
      </c>
      <c r="N2185">
        <f>IFERROR(IF(VLOOKUP(calendar[[#This Row],[Date]],BH!E:E,1,)&lt;&gt;"",1,0),0)</f>
        <v>0</v>
      </c>
      <c r="O2185">
        <f>IFERROR(IF(VLOOKUP(calendar[[#This Row],[Date]],BH!G:G,1,)&lt;&gt;"",1,0),0)</f>
        <v>0</v>
      </c>
      <c r="P2185">
        <f>IF(OR(calendar[[#This Row],[UK_BH]]=1,calendar[[#This Row],[WeekDay]]=1, calendar[[#This Row],[WeekDay]]=7),P2184,P2184+1)</f>
        <v>1560</v>
      </c>
      <c r="Q2185">
        <f>IF(OR(calendar[[#This Row],[FR_BH]]=1,calendar[[#This Row],[WeekDay]]=1, calendar[[#This Row],[WeekDay]]=7),P2184,P2184+1)</f>
        <v>1560</v>
      </c>
      <c r="R2185">
        <f>IF(OR(calendar[[#This Row],[SP_BH]]=1,calendar[[#This Row],[WeekDay]]=1, calendar[[#This Row],[WeekDay]]=7),P2184,P2184+1)</f>
        <v>1560</v>
      </c>
      <c r="S2185">
        <f>IF(OR(calendar[[#This Row],[PT_BH]]=1,calendar[[#This Row],[WeekDay]]=1, calendar[[#This Row],[WeekDay]]=7),P2184,P2184+1)</f>
        <v>1560</v>
      </c>
    </row>
    <row r="2186" spans="1:19" x14ac:dyDescent="0.25">
      <c r="A2186" s="2">
        <v>44920</v>
      </c>
      <c r="B2186" s="1">
        <f t="shared" si="173"/>
        <v>53</v>
      </c>
      <c r="C2186">
        <f t="shared" si="170"/>
        <v>12</v>
      </c>
      <c r="D2186" t="str">
        <f t="shared" si="171"/>
        <v>December</v>
      </c>
      <c r="E2186">
        <f t="shared" si="172"/>
        <v>2022</v>
      </c>
      <c r="F2186" t="str">
        <f>CONCATENATE(calendar[[#This Row],[Month]],"/",calendar[[#This Row],[Year]])</f>
        <v>12/2022</v>
      </c>
      <c r="G2186">
        <f>WEEKDAY(calendar[[#This Row],[Date]],1)</f>
        <v>1</v>
      </c>
      <c r="H2186" t="str">
        <f>TEXT(calendar[[#This Row],[WeekDay]],"dddd")</f>
        <v>Sunday</v>
      </c>
      <c r="I2186">
        <f>IF((INT(calendar[[#This Row],[Count]]/7)-calendar[[#This Row],[Count]]/7)&lt;0,I2185,I2185+1)</f>
        <v>313</v>
      </c>
      <c r="J2186">
        <f t="shared" si="174"/>
        <v>2184</v>
      </c>
      <c r="K2186">
        <f>IF(calendar[[#This Row],[Month]]&lt;4,1,IF(calendar[[#This Row],[Month]]&lt;7,2,IF(calendar[[#This Row],[Month]]&lt;10,3,4)))</f>
        <v>4</v>
      </c>
      <c r="L2186">
        <f>IFERROR(IF(VLOOKUP(calendar[[#This Row],[Date]],BH!A:A,1,)&lt;&gt;"",1,0),0)</f>
        <v>0</v>
      </c>
      <c r="M2186">
        <f>IFERROR(IF(VLOOKUP(calendar[[#This Row],[Date]],BH!C:C,1,)&lt;&gt;"",1,0),0)</f>
        <v>0</v>
      </c>
      <c r="N2186">
        <f>IFERROR(IF(VLOOKUP(calendar[[#This Row],[Date]],BH!E:E,1,)&lt;&gt;"",1,0),0)</f>
        <v>0</v>
      </c>
      <c r="O2186">
        <f>IFERROR(IF(VLOOKUP(calendar[[#This Row],[Date]],BH!G:G,1,)&lt;&gt;"",1,0),0)</f>
        <v>0</v>
      </c>
      <c r="P2186">
        <f>IF(OR(calendar[[#This Row],[UK_BH]]=1,calendar[[#This Row],[WeekDay]]=1, calendar[[#This Row],[WeekDay]]=7),P2185,P2185+1)</f>
        <v>1560</v>
      </c>
      <c r="Q2186">
        <f>IF(OR(calendar[[#This Row],[FR_BH]]=1,calendar[[#This Row],[WeekDay]]=1, calendar[[#This Row],[WeekDay]]=7),P2185,P2185+1)</f>
        <v>1560</v>
      </c>
      <c r="R2186">
        <f>IF(OR(calendar[[#This Row],[SP_BH]]=1,calendar[[#This Row],[WeekDay]]=1, calendar[[#This Row],[WeekDay]]=7),P2185,P2185+1)</f>
        <v>1560</v>
      </c>
      <c r="S2186">
        <f>IF(OR(calendar[[#This Row],[PT_BH]]=1,calendar[[#This Row],[WeekDay]]=1, calendar[[#This Row],[WeekDay]]=7),P2185,P2185+1)</f>
        <v>1560</v>
      </c>
    </row>
    <row r="2187" spans="1:19" x14ac:dyDescent="0.25">
      <c r="A2187" s="2">
        <v>44921</v>
      </c>
      <c r="B2187" s="1">
        <f t="shared" si="173"/>
        <v>53</v>
      </c>
      <c r="C2187">
        <f t="shared" si="170"/>
        <v>12</v>
      </c>
      <c r="D2187" t="str">
        <f t="shared" si="171"/>
        <v>December</v>
      </c>
      <c r="E2187">
        <f t="shared" si="172"/>
        <v>2022</v>
      </c>
      <c r="F2187" t="str">
        <f>CONCATENATE(calendar[[#This Row],[Month]],"/",calendar[[#This Row],[Year]])</f>
        <v>12/2022</v>
      </c>
      <c r="G2187">
        <f>WEEKDAY(calendar[[#This Row],[Date]],1)</f>
        <v>2</v>
      </c>
      <c r="H2187" t="str">
        <f>TEXT(calendar[[#This Row],[WeekDay]],"dddd")</f>
        <v>Monday</v>
      </c>
      <c r="I2187">
        <f>IF((INT(calendar[[#This Row],[Count]]/7)-calendar[[#This Row],[Count]]/7)&lt;0,I2186,I2186+1)</f>
        <v>313</v>
      </c>
      <c r="J2187">
        <f t="shared" si="174"/>
        <v>2185</v>
      </c>
      <c r="K2187">
        <f>IF(calendar[[#This Row],[Month]]&lt;4,1,IF(calendar[[#This Row],[Month]]&lt;7,2,IF(calendar[[#This Row],[Month]]&lt;10,3,4)))</f>
        <v>4</v>
      </c>
      <c r="L2187">
        <f>IFERROR(IF(VLOOKUP(calendar[[#This Row],[Date]],BH!A:A,1,)&lt;&gt;"",1,0),0)</f>
        <v>0</v>
      </c>
      <c r="M2187">
        <f>IFERROR(IF(VLOOKUP(calendar[[#This Row],[Date]],BH!C:C,1,)&lt;&gt;"",1,0),0)</f>
        <v>0</v>
      </c>
      <c r="N2187">
        <f>IFERROR(IF(VLOOKUP(calendar[[#This Row],[Date]],BH!E:E,1,)&lt;&gt;"",1,0),0)</f>
        <v>0</v>
      </c>
      <c r="O2187">
        <f>IFERROR(IF(VLOOKUP(calendar[[#This Row],[Date]],BH!G:G,1,)&lt;&gt;"",1,0),0)</f>
        <v>0</v>
      </c>
      <c r="P2187">
        <f>IF(OR(calendar[[#This Row],[UK_BH]]=1,calendar[[#This Row],[WeekDay]]=1, calendar[[#This Row],[WeekDay]]=7),P2186,P2186+1)</f>
        <v>1561</v>
      </c>
      <c r="Q2187">
        <f>IF(OR(calendar[[#This Row],[FR_BH]]=1,calendar[[#This Row],[WeekDay]]=1, calendar[[#This Row],[WeekDay]]=7),P2186,P2186+1)</f>
        <v>1561</v>
      </c>
      <c r="R2187">
        <f>IF(OR(calendar[[#This Row],[SP_BH]]=1,calendar[[#This Row],[WeekDay]]=1, calendar[[#This Row],[WeekDay]]=7),P2186,P2186+1)</f>
        <v>1561</v>
      </c>
      <c r="S2187">
        <f>IF(OR(calendar[[#This Row],[PT_BH]]=1,calendar[[#This Row],[WeekDay]]=1, calendar[[#This Row],[WeekDay]]=7),P2186,P2186+1)</f>
        <v>1561</v>
      </c>
    </row>
    <row r="2188" spans="1:19" x14ac:dyDescent="0.25">
      <c r="A2188" s="2">
        <v>44922</v>
      </c>
      <c r="B2188" s="1">
        <f t="shared" si="173"/>
        <v>53</v>
      </c>
      <c r="C2188">
        <f t="shared" si="170"/>
        <v>12</v>
      </c>
      <c r="D2188" t="str">
        <f t="shared" si="171"/>
        <v>December</v>
      </c>
      <c r="E2188">
        <f t="shared" si="172"/>
        <v>2022</v>
      </c>
      <c r="F2188" t="str">
        <f>CONCATENATE(calendar[[#This Row],[Month]],"/",calendar[[#This Row],[Year]])</f>
        <v>12/2022</v>
      </c>
      <c r="G2188">
        <f>WEEKDAY(calendar[[#This Row],[Date]],1)</f>
        <v>3</v>
      </c>
      <c r="H2188" t="str">
        <f>TEXT(calendar[[#This Row],[WeekDay]],"dddd")</f>
        <v>Tuesday</v>
      </c>
      <c r="I2188">
        <f>IF((INT(calendar[[#This Row],[Count]]/7)-calendar[[#This Row],[Count]]/7)&lt;0,I2187,I2187+1)</f>
        <v>313</v>
      </c>
      <c r="J2188">
        <f t="shared" si="174"/>
        <v>2186</v>
      </c>
      <c r="K2188">
        <f>IF(calendar[[#This Row],[Month]]&lt;4,1,IF(calendar[[#This Row],[Month]]&lt;7,2,IF(calendar[[#This Row],[Month]]&lt;10,3,4)))</f>
        <v>4</v>
      </c>
      <c r="L2188">
        <f>IFERROR(IF(VLOOKUP(calendar[[#This Row],[Date]],BH!A:A,1,)&lt;&gt;"",1,0),0)</f>
        <v>0</v>
      </c>
      <c r="M2188">
        <f>IFERROR(IF(VLOOKUP(calendar[[#This Row],[Date]],BH!C:C,1,)&lt;&gt;"",1,0),0)</f>
        <v>0</v>
      </c>
      <c r="N2188">
        <f>IFERROR(IF(VLOOKUP(calendar[[#This Row],[Date]],BH!E:E,1,)&lt;&gt;"",1,0),0)</f>
        <v>0</v>
      </c>
      <c r="O2188">
        <f>IFERROR(IF(VLOOKUP(calendar[[#This Row],[Date]],BH!G:G,1,)&lt;&gt;"",1,0),0)</f>
        <v>0</v>
      </c>
      <c r="P2188">
        <f>IF(OR(calendar[[#This Row],[UK_BH]]=1,calendar[[#This Row],[WeekDay]]=1, calendar[[#This Row],[WeekDay]]=7),P2187,P2187+1)</f>
        <v>1562</v>
      </c>
      <c r="Q2188">
        <f>IF(OR(calendar[[#This Row],[FR_BH]]=1,calendar[[#This Row],[WeekDay]]=1, calendar[[#This Row],[WeekDay]]=7),P2187,P2187+1)</f>
        <v>1562</v>
      </c>
      <c r="R2188">
        <f>IF(OR(calendar[[#This Row],[SP_BH]]=1,calendar[[#This Row],[WeekDay]]=1, calendar[[#This Row],[WeekDay]]=7),P2187,P2187+1)</f>
        <v>1562</v>
      </c>
      <c r="S2188">
        <f>IF(OR(calendar[[#This Row],[PT_BH]]=1,calendar[[#This Row],[WeekDay]]=1, calendar[[#This Row],[WeekDay]]=7),P2187,P2187+1)</f>
        <v>1562</v>
      </c>
    </row>
    <row r="2189" spans="1:19" x14ac:dyDescent="0.25">
      <c r="A2189" s="2">
        <v>44923</v>
      </c>
      <c r="B2189" s="1">
        <f t="shared" si="173"/>
        <v>53</v>
      </c>
      <c r="C2189">
        <f t="shared" si="170"/>
        <v>12</v>
      </c>
      <c r="D2189" t="str">
        <f t="shared" si="171"/>
        <v>December</v>
      </c>
      <c r="E2189">
        <f t="shared" si="172"/>
        <v>2022</v>
      </c>
      <c r="F2189" t="str">
        <f>CONCATENATE(calendar[[#This Row],[Month]],"/",calendar[[#This Row],[Year]])</f>
        <v>12/2022</v>
      </c>
      <c r="G2189">
        <f>WEEKDAY(calendar[[#This Row],[Date]],1)</f>
        <v>4</v>
      </c>
      <c r="H2189" t="str">
        <f>TEXT(calendar[[#This Row],[WeekDay]],"dddd")</f>
        <v>Wednesday</v>
      </c>
      <c r="I2189">
        <f>IF((INT(calendar[[#This Row],[Count]]/7)-calendar[[#This Row],[Count]]/7)&lt;0,I2188,I2188+1)</f>
        <v>313</v>
      </c>
      <c r="J2189">
        <f t="shared" si="174"/>
        <v>2187</v>
      </c>
      <c r="K2189">
        <f>IF(calendar[[#This Row],[Month]]&lt;4,1,IF(calendar[[#This Row],[Month]]&lt;7,2,IF(calendar[[#This Row],[Month]]&lt;10,3,4)))</f>
        <v>4</v>
      </c>
      <c r="L2189">
        <f>IFERROR(IF(VLOOKUP(calendar[[#This Row],[Date]],BH!A:A,1,)&lt;&gt;"",1,0),0)</f>
        <v>0</v>
      </c>
      <c r="M2189">
        <f>IFERROR(IF(VLOOKUP(calendar[[#This Row],[Date]],BH!C:C,1,)&lt;&gt;"",1,0),0)</f>
        <v>0</v>
      </c>
      <c r="N2189">
        <f>IFERROR(IF(VLOOKUP(calendar[[#This Row],[Date]],BH!E:E,1,)&lt;&gt;"",1,0),0)</f>
        <v>0</v>
      </c>
      <c r="O2189">
        <f>IFERROR(IF(VLOOKUP(calendar[[#This Row],[Date]],BH!G:G,1,)&lt;&gt;"",1,0),0)</f>
        <v>0</v>
      </c>
      <c r="P2189">
        <f>IF(OR(calendar[[#This Row],[UK_BH]]=1,calendar[[#This Row],[WeekDay]]=1, calendar[[#This Row],[WeekDay]]=7),P2188,P2188+1)</f>
        <v>1563</v>
      </c>
      <c r="Q2189">
        <f>IF(OR(calendar[[#This Row],[FR_BH]]=1,calendar[[#This Row],[WeekDay]]=1, calendar[[#This Row],[WeekDay]]=7),P2188,P2188+1)</f>
        <v>1563</v>
      </c>
      <c r="R2189">
        <f>IF(OR(calendar[[#This Row],[SP_BH]]=1,calendar[[#This Row],[WeekDay]]=1, calendar[[#This Row],[WeekDay]]=7),P2188,P2188+1)</f>
        <v>1563</v>
      </c>
      <c r="S2189">
        <f>IF(OR(calendar[[#This Row],[PT_BH]]=1,calendar[[#This Row],[WeekDay]]=1, calendar[[#This Row],[WeekDay]]=7),P2188,P2188+1)</f>
        <v>1563</v>
      </c>
    </row>
    <row r="2190" spans="1:19" x14ac:dyDescent="0.25">
      <c r="A2190" s="2">
        <v>44924</v>
      </c>
      <c r="B2190" s="1">
        <f t="shared" si="173"/>
        <v>53</v>
      </c>
      <c r="C2190">
        <f t="shared" si="170"/>
        <v>12</v>
      </c>
      <c r="D2190" t="str">
        <f t="shared" si="171"/>
        <v>December</v>
      </c>
      <c r="E2190">
        <f t="shared" si="172"/>
        <v>2022</v>
      </c>
      <c r="F2190" t="str">
        <f>CONCATENATE(calendar[[#This Row],[Month]],"/",calendar[[#This Row],[Year]])</f>
        <v>12/2022</v>
      </c>
      <c r="G2190">
        <f>WEEKDAY(calendar[[#This Row],[Date]],1)</f>
        <v>5</v>
      </c>
      <c r="H2190" t="str">
        <f>TEXT(calendar[[#This Row],[WeekDay]],"dddd")</f>
        <v>Thursday</v>
      </c>
      <c r="I2190">
        <f>IF((INT(calendar[[#This Row],[Count]]/7)-calendar[[#This Row],[Count]]/7)&lt;0,I2189,I2189+1)</f>
        <v>313</v>
      </c>
      <c r="J2190">
        <f t="shared" si="174"/>
        <v>2188</v>
      </c>
      <c r="K2190">
        <f>IF(calendar[[#This Row],[Month]]&lt;4,1,IF(calendar[[#This Row],[Month]]&lt;7,2,IF(calendar[[#This Row],[Month]]&lt;10,3,4)))</f>
        <v>4</v>
      </c>
      <c r="L2190">
        <f>IFERROR(IF(VLOOKUP(calendar[[#This Row],[Date]],BH!A:A,1,)&lt;&gt;"",1,0),0)</f>
        <v>0</v>
      </c>
      <c r="M2190">
        <f>IFERROR(IF(VLOOKUP(calendar[[#This Row],[Date]],BH!C:C,1,)&lt;&gt;"",1,0),0)</f>
        <v>0</v>
      </c>
      <c r="N2190">
        <f>IFERROR(IF(VLOOKUP(calendar[[#This Row],[Date]],BH!E:E,1,)&lt;&gt;"",1,0),0)</f>
        <v>0</v>
      </c>
      <c r="O2190">
        <f>IFERROR(IF(VLOOKUP(calendar[[#This Row],[Date]],BH!G:G,1,)&lt;&gt;"",1,0),0)</f>
        <v>0</v>
      </c>
      <c r="P2190">
        <f>IF(OR(calendar[[#This Row],[UK_BH]]=1,calendar[[#This Row],[WeekDay]]=1, calendar[[#This Row],[WeekDay]]=7),P2189,P2189+1)</f>
        <v>1564</v>
      </c>
      <c r="Q2190">
        <f>IF(OR(calendar[[#This Row],[FR_BH]]=1,calendar[[#This Row],[WeekDay]]=1, calendar[[#This Row],[WeekDay]]=7),P2189,P2189+1)</f>
        <v>1564</v>
      </c>
      <c r="R2190">
        <f>IF(OR(calendar[[#This Row],[SP_BH]]=1,calendar[[#This Row],[WeekDay]]=1, calendar[[#This Row],[WeekDay]]=7),P2189,P2189+1)</f>
        <v>1564</v>
      </c>
      <c r="S2190">
        <f>IF(OR(calendar[[#This Row],[PT_BH]]=1,calendar[[#This Row],[WeekDay]]=1, calendar[[#This Row],[WeekDay]]=7),P2189,P2189+1)</f>
        <v>1564</v>
      </c>
    </row>
    <row r="2191" spans="1:19" x14ac:dyDescent="0.25">
      <c r="A2191" s="2">
        <v>44925</v>
      </c>
      <c r="B2191" s="1">
        <f t="shared" si="173"/>
        <v>53</v>
      </c>
      <c r="C2191">
        <f t="shared" si="170"/>
        <v>12</v>
      </c>
      <c r="D2191" t="str">
        <f t="shared" si="171"/>
        <v>December</v>
      </c>
      <c r="E2191">
        <f t="shared" si="172"/>
        <v>2022</v>
      </c>
      <c r="F2191" t="str">
        <f>CONCATENATE(calendar[[#This Row],[Month]],"/",calendar[[#This Row],[Year]])</f>
        <v>12/2022</v>
      </c>
      <c r="G2191">
        <f>WEEKDAY(calendar[[#This Row],[Date]],1)</f>
        <v>6</v>
      </c>
      <c r="H2191" t="str">
        <f>TEXT(calendar[[#This Row],[WeekDay]],"dddd")</f>
        <v>Friday</v>
      </c>
      <c r="I2191">
        <f>IF((INT(calendar[[#This Row],[Count]]/7)-calendar[[#This Row],[Count]]/7)&lt;0,I2190,I2190+1)</f>
        <v>313</v>
      </c>
      <c r="J2191">
        <f t="shared" si="174"/>
        <v>2189</v>
      </c>
      <c r="K2191">
        <f>IF(calendar[[#This Row],[Month]]&lt;4,1,IF(calendar[[#This Row],[Month]]&lt;7,2,IF(calendar[[#This Row],[Month]]&lt;10,3,4)))</f>
        <v>4</v>
      </c>
      <c r="L2191">
        <f>IFERROR(IF(VLOOKUP(calendar[[#This Row],[Date]],BH!A:A,1,)&lt;&gt;"",1,0),0)</f>
        <v>0</v>
      </c>
      <c r="M2191">
        <f>IFERROR(IF(VLOOKUP(calendar[[#This Row],[Date]],BH!C:C,1,)&lt;&gt;"",1,0),0)</f>
        <v>0</v>
      </c>
      <c r="N2191">
        <f>IFERROR(IF(VLOOKUP(calendar[[#This Row],[Date]],BH!E:E,1,)&lt;&gt;"",1,0),0)</f>
        <v>0</v>
      </c>
      <c r="O2191">
        <f>IFERROR(IF(VLOOKUP(calendar[[#This Row],[Date]],BH!G:G,1,)&lt;&gt;"",1,0),0)</f>
        <v>0</v>
      </c>
      <c r="P2191">
        <f>IF(OR(calendar[[#This Row],[UK_BH]]=1,calendar[[#This Row],[WeekDay]]=1, calendar[[#This Row],[WeekDay]]=7),P2190,P2190+1)</f>
        <v>1565</v>
      </c>
      <c r="Q2191">
        <f>IF(OR(calendar[[#This Row],[FR_BH]]=1,calendar[[#This Row],[WeekDay]]=1, calendar[[#This Row],[WeekDay]]=7),P2190,P2190+1)</f>
        <v>1565</v>
      </c>
      <c r="R2191">
        <f>IF(OR(calendar[[#This Row],[SP_BH]]=1,calendar[[#This Row],[WeekDay]]=1, calendar[[#This Row],[WeekDay]]=7),P2190,P2190+1)</f>
        <v>1565</v>
      </c>
      <c r="S2191">
        <f>IF(OR(calendar[[#This Row],[PT_BH]]=1,calendar[[#This Row],[WeekDay]]=1, calendar[[#This Row],[WeekDay]]=7),P2190,P2190+1)</f>
        <v>1565</v>
      </c>
    </row>
    <row r="2192" spans="1:19" x14ac:dyDescent="0.25">
      <c r="A2192" s="2">
        <v>44926</v>
      </c>
      <c r="B2192" s="1">
        <f t="shared" si="173"/>
        <v>53</v>
      </c>
      <c r="C2192">
        <f t="shared" ref="C2192:C2255" si="175">MONTH(A2192)</f>
        <v>12</v>
      </c>
      <c r="D2192" t="str">
        <f t="shared" ref="D2192:D2255" si="176">TEXT(A2192,"mmmm")</f>
        <v>December</v>
      </c>
      <c r="E2192">
        <f t="shared" ref="E2192:E2255" si="177">YEAR(A2192)</f>
        <v>2022</v>
      </c>
      <c r="F2192" t="str">
        <f>CONCATENATE(calendar[[#This Row],[Month]],"/",calendar[[#This Row],[Year]])</f>
        <v>12/2022</v>
      </c>
      <c r="G2192">
        <f>WEEKDAY(calendar[[#This Row],[Date]],1)</f>
        <v>7</v>
      </c>
      <c r="H2192" t="str">
        <f>TEXT(calendar[[#This Row],[WeekDay]],"dddd")</f>
        <v>Saturday</v>
      </c>
      <c r="I2192">
        <f>IF((INT(calendar[[#This Row],[Count]]/7)-calendar[[#This Row],[Count]]/7)&lt;0,I2191,I2191+1)</f>
        <v>313</v>
      </c>
      <c r="J2192">
        <f t="shared" si="174"/>
        <v>2190</v>
      </c>
      <c r="K2192">
        <f>IF(calendar[[#This Row],[Month]]&lt;4,1,IF(calendar[[#This Row],[Month]]&lt;7,2,IF(calendar[[#This Row],[Month]]&lt;10,3,4)))</f>
        <v>4</v>
      </c>
      <c r="L2192">
        <f>IFERROR(IF(VLOOKUP(calendar[[#This Row],[Date]],BH!A:A,1,)&lt;&gt;"",1,0),0)</f>
        <v>0</v>
      </c>
      <c r="M2192">
        <f>IFERROR(IF(VLOOKUP(calendar[[#This Row],[Date]],BH!C:C,1,)&lt;&gt;"",1,0),0)</f>
        <v>0</v>
      </c>
      <c r="N2192">
        <f>IFERROR(IF(VLOOKUP(calendar[[#This Row],[Date]],BH!E:E,1,)&lt;&gt;"",1,0),0)</f>
        <v>0</v>
      </c>
      <c r="O2192">
        <f>IFERROR(IF(VLOOKUP(calendar[[#This Row],[Date]],BH!G:G,1,)&lt;&gt;"",1,0),0)</f>
        <v>0</v>
      </c>
      <c r="P2192">
        <f>IF(OR(calendar[[#This Row],[UK_BH]]=1,calendar[[#This Row],[WeekDay]]=1, calendar[[#This Row],[WeekDay]]=7),P2191,P2191+1)</f>
        <v>1565</v>
      </c>
      <c r="Q2192">
        <f>IF(OR(calendar[[#This Row],[FR_BH]]=1,calendar[[#This Row],[WeekDay]]=1, calendar[[#This Row],[WeekDay]]=7),P2191,P2191+1)</f>
        <v>1565</v>
      </c>
      <c r="R2192">
        <f>IF(OR(calendar[[#This Row],[SP_BH]]=1,calendar[[#This Row],[WeekDay]]=1, calendar[[#This Row],[WeekDay]]=7),P2191,P2191+1)</f>
        <v>1565</v>
      </c>
      <c r="S2192">
        <f>IF(OR(calendar[[#This Row],[PT_BH]]=1,calendar[[#This Row],[WeekDay]]=1, calendar[[#This Row],[WeekDay]]=7),P2191,P2191+1)</f>
        <v>1565</v>
      </c>
    </row>
    <row r="2193" spans="1:19" x14ac:dyDescent="0.25">
      <c r="A2193" s="2">
        <v>44927</v>
      </c>
      <c r="B2193" s="1">
        <f t="shared" si="173"/>
        <v>1</v>
      </c>
      <c r="C2193">
        <f t="shared" si="175"/>
        <v>1</v>
      </c>
      <c r="D2193" t="str">
        <f t="shared" si="176"/>
        <v>January</v>
      </c>
      <c r="E2193">
        <f t="shared" si="177"/>
        <v>2023</v>
      </c>
      <c r="F2193" t="str">
        <f>CONCATENATE(calendar[[#This Row],[Month]],"/",calendar[[#This Row],[Year]])</f>
        <v>1/2023</v>
      </c>
      <c r="G2193">
        <f>WEEKDAY(calendar[[#This Row],[Date]],1)</f>
        <v>1</v>
      </c>
      <c r="H2193" t="str">
        <f>TEXT(calendar[[#This Row],[WeekDay]],"dddd")</f>
        <v>Sunday</v>
      </c>
      <c r="I2193">
        <f>IF((INT(calendar[[#This Row],[Count]]/7)-calendar[[#This Row],[Count]]/7)&lt;0,I2192,I2192+1)</f>
        <v>314</v>
      </c>
      <c r="J2193">
        <f t="shared" si="174"/>
        <v>2191</v>
      </c>
      <c r="K2193">
        <f>IF(calendar[[#This Row],[Month]]&lt;4,1,IF(calendar[[#This Row],[Month]]&lt;7,2,IF(calendar[[#This Row],[Month]]&lt;10,3,4)))</f>
        <v>1</v>
      </c>
      <c r="L2193">
        <f>IFERROR(IF(VLOOKUP(calendar[[#This Row],[Date]],BH!A:A,1,)&lt;&gt;"",1,0),0)</f>
        <v>0</v>
      </c>
      <c r="M2193">
        <f>IFERROR(IF(VLOOKUP(calendar[[#This Row],[Date]],BH!C:C,1,)&lt;&gt;"",1,0),0)</f>
        <v>0</v>
      </c>
      <c r="N2193">
        <f>IFERROR(IF(VLOOKUP(calendar[[#This Row],[Date]],BH!E:E,1,)&lt;&gt;"",1,0),0)</f>
        <v>0</v>
      </c>
      <c r="O2193">
        <f>IFERROR(IF(VLOOKUP(calendar[[#This Row],[Date]],BH!G:G,1,)&lt;&gt;"",1,0),0)</f>
        <v>0</v>
      </c>
      <c r="P2193">
        <f>IF(OR(calendar[[#This Row],[UK_BH]]=1,calendar[[#This Row],[WeekDay]]=1, calendar[[#This Row],[WeekDay]]=7),P2192,P2192+1)</f>
        <v>1565</v>
      </c>
      <c r="Q2193">
        <f>IF(OR(calendar[[#This Row],[FR_BH]]=1,calendar[[#This Row],[WeekDay]]=1, calendar[[#This Row],[WeekDay]]=7),P2192,P2192+1)</f>
        <v>1565</v>
      </c>
      <c r="R2193">
        <f>IF(OR(calendar[[#This Row],[SP_BH]]=1,calendar[[#This Row],[WeekDay]]=1, calendar[[#This Row],[WeekDay]]=7),P2192,P2192+1)</f>
        <v>1565</v>
      </c>
      <c r="S2193">
        <f>IF(OR(calendar[[#This Row],[PT_BH]]=1,calendar[[#This Row],[WeekDay]]=1, calendar[[#This Row],[WeekDay]]=7),P2192,P2192+1)</f>
        <v>1565</v>
      </c>
    </row>
    <row r="2194" spans="1:19" x14ac:dyDescent="0.25">
      <c r="A2194" s="2">
        <v>44928</v>
      </c>
      <c r="B2194" s="1">
        <f t="shared" si="173"/>
        <v>1</v>
      </c>
      <c r="C2194">
        <f t="shared" si="175"/>
        <v>1</v>
      </c>
      <c r="D2194" t="str">
        <f t="shared" si="176"/>
        <v>January</v>
      </c>
      <c r="E2194">
        <f t="shared" si="177"/>
        <v>2023</v>
      </c>
      <c r="F2194" t="str">
        <f>CONCATENATE(calendar[[#This Row],[Month]],"/",calendar[[#This Row],[Year]])</f>
        <v>1/2023</v>
      </c>
      <c r="G2194">
        <f>WEEKDAY(calendar[[#This Row],[Date]],1)</f>
        <v>2</v>
      </c>
      <c r="H2194" t="str">
        <f>TEXT(calendar[[#This Row],[WeekDay]],"dddd")</f>
        <v>Monday</v>
      </c>
      <c r="I2194">
        <f>IF((INT(calendar[[#This Row],[Count]]/7)-calendar[[#This Row],[Count]]/7)&lt;0,I2193,I2193+1)</f>
        <v>314</v>
      </c>
      <c r="J2194">
        <f t="shared" si="174"/>
        <v>2192</v>
      </c>
      <c r="K2194">
        <f>IF(calendar[[#This Row],[Month]]&lt;4,1,IF(calendar[[#This Row],[Month]]&lt;7,2,IF(calendar[[#This Row],[Month]]&lt;10,3,4)))</f>
        <v>1</v>
      </c>
      <c r="L2194">
        <f>IFERROR(IF(VLOOKUP(calendar[[#This Row],[Date]],BH!A:A,1,)&lt;&gt;"",1,0),0)</f>
        <v>0</v>
      </c>
      <c r="M2194">
        <f>IFERROR(IF(VLOOKUP(calendar[[#This Row],[Date]],BH!C:C,1,)&lt;&gt;"",1,0),0)</f>
        <v>0</v>
      </c>
      <c r="N2194">
        <f>IFERROR(IF(VLOOKUP(calendar[[#This Row],[Date]],BH!E:E,1,)&lt;&gt;"",1,0),0)</f>
        <v>0</v>
      </c>
      <c r="O2194">
        <f>IFERROR(IF(VLOOKUP(calendar[[#This Row],[Date]],BH!G:G,1,)&lt;&gt;"",1,0),0)</f>
        <v>0</v>
      </c>
      <c r="P2194">
        <f>IF(OR(calendar[[#This Row],[UK_BH]]=1,calendar[[#This Row],[WeekDay]]=1, calendar[[#This Row],[WeekDay]]=7),P2193,P2193+1)</f>
        <v>1566</v>
      </c>
      <c r="Q2194">
        <f>IF(OR(calendar[[#This Row],[FR_BH]]=1,calendar[[#This Row],[WeekDay]]=1, calendar[[#This Row],[WeekDay]]=7),P2193,P2193+1)</f>
        <v>1566</v>
      </c>
      <c r="R2194">
        <f>IF(OR(calendar[[#This Row],[SP_BH]]=1,calendar[[#This Row],[WeekDay]]=1, calendar[[#This Row],[WeekDay]]=7),P2193,P2193+1)</f>
        <v>1566</v>
      </c>
      <c r="S2194">
        <f>IF(OR(calendar[[#This Row],[PT_BH]]=1,calendar[[#This Row],[WeekDay]]=1, calendar[[#This Row],[WeekDay]]=7),P2193,P2193+1)</f>
        <v>1566</v>
      </c>
    </row>
    <row r="2195" spans="1:19" x14ac:dyDescent="0.25">
      <c r="A2195" s="2">
        <v>44929</v>
      </c>
      <c r="B2195" s="1">
        <f t="shared" si="173"/>
        <v>1</v>
      </c>
      <c r="C2195">
        <f t="shared" si="175"/>
        <v>1</v>
      </c>
      <c r="D2195" t="str">
        <f t="shared" si="176"/>
        <v>January</v>
      </c>
      <c r="E2195">
        <f t="shared" si="177"/>
        <v>2023</v>
      </c>
      <c r="F2195" t="str">
        <f>CONCATENATE(calendar[[#This Row],[Month]],"/",calendar[[#This Row],[Year]])</f>
        <v>1/2023</v>
      </c>
      <c r="G2195">
        <f>WEEKDAY(calendar[[#This Row],[Date]],1)</f>
        <v>3</v>
      </c>
      <c r="H2195" t="str">
        <f>TEXT(calendar[[#This Row],[WeekDay]],"dddd")</f>
        <v>Tuesday</v>
      </c>
      <c r="I2195">
        <f>IF((INT(calendar[[#This Row],[Count]]/7)-calendar[[#This Row],[Count]]/7)&lt;0,I2194,I2194+1)</f>
        <v>314</v>
      </c>
      <c r="J2195">
        <f t="shared" si="174"/>
        <v>2193</v>
      </c>
      <c r="K2195">
        <f>IF(calendar[[#This Row],[Month]]&lt;4,1,IF(calendar[[#This Row],[Month]]&lt;7,2,IF(calendar[[#This Row],[Month]]&lt;10,3,4)))</f>
        <v>1</v>
      </c>
      <c r="L2195">
        <f>IFERROR(IF(VLOOKUP(calendar[[#This Row],[Date]],BH!A:A,1,)&lt;&gt;"",1,0),0)</f>
        <v>0</v>
      </c>
      <c r="M2195">
        <f>IFERROR(IF(VLOOKUP(calendar[[#This Row],[Date]],BH!C:C,1,)&lt;&gt;"",1,0),0)</f>
        <v>0</v>
      </c>
      <c r="N2195">
        <f>IFERROR(IF(VLOOKUP(calendar[[#This Row],[Date]],BH!E:E,1,)&lt;&gt;"",1,0),0)</f>
        <v>0</v>
      </c>
      <c r="O2195">
        <f>IFERROR(IF(VLOOKUP(calendar[[#This Row],[Date]],BH!G:G,1,)&lt;&gt;"",1,0),0)</f>
        <v>0</v>
      </c>
      <c r="P2195">
        <f>IF(OR(calendar[[#This Row],[UK_BH]]=1,calendar[[#This Row],[WeekDay]]=1, calendar[[#This Row],[WeekDay]]=7),P2194,P2194+1)</f>
        <v>1567</v>
      </c>
      <c r="Q2195">
        <f>IF(OR(calendar[[#This Row],[FR_BH]]=1,calendar[[#This Row],[WeekDay]]=1, calendar[[#This Row],[WeekDay]]=7),P2194,P2194+1)</f>
        <v>1567</v>
      </c>
      <c r="R2195">
        <f>IF(OR(calendar[[#This Row],[SP_BH]]=1,calendar[[#This Row],[WeekDay]]=1, calendar[[#This Row],[WeekDay]]=7),P2194,P2194+1)</f>
        <v>1567</v>
      </c>
      <c r="S2195">
        <f>IF(OR(calendar[[#This Row],[PT_BH]]=1,calendar[[#This Row],[WeekDay]]=1, calendar[[#This Row],[WeekDay]]=7),P2194,P2194+1)</f>
        <v>1567</v>
      </c>
    </row>
    <row r="2196" spans="1:19" x14ac:dyDescent="0.25">
      <c r="A2196" s="2">
        <v>44930</v>
      </c>
      <c r="B2196" s="1">
        <f t="shared" si="173"/>
        <v>1</v>
      </c>
      <c r="C2196">
        <f t="shared" si="175"/>
        <v>1</v>
      </c>
      <c r="D2196" t="str">
        <f t="shared" si="176"/>
        <v>January</v>
      </c>
      <c r="E2196">
        <f t="shared" si="177"/>
        <v>2023</v>
      </c>
      <c r="F2196" t="str">
        <f>CONCATENATE(calendar[[#This Row],[Month]],"/",calendar[[#This Row],[Year]])</f>
        <v>1/2023</v>
      </c>
      <c r="G2196">
        <f>WEEKDAY(calendar[[#This Row],[Date]],1)</f>
        <v>4</v>
      </c>
      <c r="H2196" t="str">
        <f>TEXT(calendar[[#This Row],[WeekDay]],"dddd")</f>
        <v>Wednesday</v>
      </c>
      <c r="I2196">
        <f>IF((INT(calendar[[#This Row],[Count]]/7)-calendar[[#This Row],[Count]]/7)&lt;0,I2195,I2195+1)</f>
        <v>314</v>
      </c>
      <c r="J2196">
        <f t="shared" si="174"/>
        <v>2194</v>
      </c>
      <c r="K2196">
        <f>IF(calendar[[#This Row],[Month]]&lt;4,1,IF(calendar[[#This Row],[Month]]&lt;7,2,IF(calendar[[#This Row],[Month]]&lt;10,3,4)))</f>
        <v>1</v>
      </c>
      <c r="L2196">
        <f>IFERROR(IF(VLOOKUP(calendar[[#This Row],[Date]],BH!A:A,1,)&lt;&gt;"",1,0),0)</f>
        <v>0</v>
      </c>
      <c r="M2196">
        <f>IFERROR(IF(VLOOKUP(calendar[[#This Row],[Date]],BH!C:C,1,)&lt;&gt;"",1,0),0)</f>
        <v>0</v>
      </c>
      <c r="N2196">
        <f>IFERROR(IF(VLOOKUP(calendar[[#This Row],[Date]],BH!E:E,1,)&lt;&gt;"",1,0),0)</f>
        <v>0</v>
      </c>
      <c r="O2196">
        <f>IFERROR(IF(VLOOKUP(calendar[[#This Row],[Date]],BH!G:G,1,)&lt;&gt;"",1,0),0)</f>
        <v>0</v>
      </c>
      <c r="P2196">
        <f>IF(OR(calendar[[#This Row],[UK_BH]]=1,calendar[[#This Row],[WeekDay]]=1, calendar[[#This Row],[WeekDay]]=7),P2195,P2195+1)</f>
        <v>1568</v>
      </c>
      <c r="Q2196">
        <f>IF(OR(calendar[[#This Row],[FR_BH]]=1,calendar[[#This Row],[WeekDay]]=1, calendar[[#This Row],[WeekDay]]=7),P2195,P2195+1)</f>
        <v>1568</v>
      </c>
      <c r="R2196">
        <f>IF(OR(calendar[[#This Row],[SP_BH]]=1,calendar[[#This Row],[WeekDay]]=1, calendar[[#This Row],[WeekDay]]=7),P2195,P2195+1)</f>
        <v>1568</v>
      </c>
      <c r="S2196">
        <f>IF(OR(calendar[[#This Row],[PT_BH]]=1,calendar[[#This Row],[WeekDay]]=1, calendar[[#This Row],[WeekDay]]=7),P2195,P2195+1)</f>
        <v>1568</v>
      </c>
    </row>
    <row r="2197" spans="1:19" x14ac:dyDescent="0.25">
      <c r="A2197" s="2">
        <v>44931</v>
      </c>
      <c r="B2197" s="1">
        <f t="shared" si="173"/>
        <v>1</v>
      </c>
      <c r="C2197">
        <f t="shared" si="175"/>
        <v>1</v>
      </c>
      <c r="D2197" t="str">
        <f t="shared" si="176"/>
        <v>January</v>
      </c>
      <c r="E2197">
        <f t="shared" si="177"/>
        <v>2023</v>
      </c>
      <c r="F2197" t="str">
        <f>CONCATENATE(calendar[[#This Row],[Month]],"/",calendar[[#This Row],[Year]])</f>
        <v>1/2023</v>
      </c>
      <c r="G2197">
        <f>WEEKDAY(calendar[[#This Row],[Date]],1)</f>
        <v>5</v>
      </c>
      <c r="H2197" t="str">
        <f>TEXT(calendar[[#This Row],[WeekDay]],"dddd")</f>
        <v>Thursday</v>
      </c>
      <c r="I2197">
        <f>IF((INT(calendar[[#This Row],[Count]]/7)-calendar[[#This Row],[Count]]/7)&lt;0,I2196,I2196+1)</f>
        <v>314</v>
      </c>
      <c r="J2197">
        <f t="shared" si="174"/>
        <v>2195</v>
      </c>
      <c r="K2197">
        <f>IF(calendar[[#This Row],[Month]]&lt;4,1,IF(calendar[[#This Row],[Month]]&lt;7,2,IF(calendar[[#This Row],[Month]]&lt;10,3,4)))</f>
        <v>1</v>
      </c>
      <c r="L2197">
        <f>IFERROR(IF(VLOOKUP(calendar[[#This Row],[Date]],BH!A:A,1,)&lt;&gt;"",1,0),0)</f>
        <v>0</v>
      </c>
      <c r="M2197">
        <f>IFERROR(IF(VLOOKUP(calendar[[#This Row],[Date]],BH!C:C,1,)&lt;&gt;"",1,0),0)</f>
        <v>0</v>
      </c>
      <c r="N2197">
        <f>IFERROR(IF(VLOOKUP(calendar[[#This Row],[Date]],BH!E:E,1,)&lt;&gt;"",1,0),0)</f>
        <v>0</v>
      </c>
      <c r="O2197">
        <f>IFERROR(IF(VLOOKUP(calendar[[#This Row],[Date]],BH!G:G,1,)&lt;&gt;"",1,0),0)</f>
        <v>0</v>
      </c>
      <c r="P2197">
        <f>IF(OR(calendar[[#This Row],[UK_BH]]=1,calendar[[#This Row],[WeekDay]]=1, calendar[[#This Row],[WeekDay]]=7),P2196,P2196+1)</f>
        <v>1569</v>
      </c>
      <c r="Q2197">
        <f>IF(OR(calendar[[#This Row],[FR_BH]]=1,calendar[[#This Row],[WeekDay]]=1, calendar[[#This Row],[WeekDay]]=7),P2196,P2196+1)</f>
        <v>1569</v>
      </c>
      <c r="R2197">
        <f>IF(OR(calendar[[#This Row],[SP_BH]]=1,calendar[[#This Row],[WeekDay]]=1, calendar[[#This Row],[WeekDay]]=7),P2196,P2196+1)</f>
        <v>1569</v>
      </c>
      <c r="S2197">
        <f>IF(OR(calendar[[#This Row],[PT_BH]]=1,calendar[[#This Row],[WeekDay]]=1, calendar[[#This Row],[WeekDay]]=7),P2196,P2196+1)</f>
        <v>1569</v>
      </c>
    </row>
    <row r="2198" spans="1:19" x14ac:dyDescent="0.25">
      <c r="A2198" s="2">
        <v>44932</v>
      </c>
      <c r="B2198" s="1">
        <f t="shared" si="173"/>
        <v>1</v>
      </c>
      <c r="C2198">
        <f t="shared" si="175"/>
        <v>1</v>
      </c>
      <c r="D2198" t="str">
        <f t="shared" si="176"/>
        <v>January</v>
      </c>
      <c r="E2198">
        <f t="shared" si="177"/>
        <v>2023</v>
      </c>
      <c r="F2198" t="str">
        <f>CONCATENATE(calendar[[#This Row],[Month]],"/",calendar[[#This Row],[Year]])</f>
        <v>1/2023</v>
      </c>
      <c r="G2198">
        <f>WEEKDAY(calendar[[#This Row],[Date]],1)</f>
        <v>6</v>
      </c>
      <c r="H2198" t="str">
        <f>TEXT(calendar[[#This Row],[WeekDay]],"dddd")</f>
        <v>Friday</v>
      </c>
      <c r="I2198">
        <f>IF((INT(calendar[[#This Row],[Count]]/7)-calendar[[#This Row],[Count]]/7)&lt;0,I2197,I2197+1)</f>
        <v>314</v>
      </c>
      <c r="J2198">
        <f t="shared" si="174"/>
        <v>2196</v>
      </c>
      <c r="K2198">
        <f>IF(calendar[[#This Row],[Month]]&lt;4,1,IF(calendar[[#This Row],[Month]]&lt;7,2,IF(calendar[[#This Row],[Month]]&lt;10,3,4)))</f>
        <v>1</v>
      </c>
      <c r="L2198">
        <f>IFERROR(IF(VLOOKUP(calendar[[#This Row],[Date]],BH!A:A,1,)&lt;&gt;"",1,0),0)</f>
        <v>0</v>
      </c>
      <c r="M2198">
        <f>IFERROR(IF(VLOOKUP(calendar[[#This Row],[Date]],BH!C:C,1,)&lt;&gt;"",1,0),0)</f>
        <v>0</v>
      </c>
      <c r="N2198">
        <f>IFERROR(IF(VLOOKUP(calendar[[#This Row],[Date]],BH!E:E,1,)&lt;&gt;"",1,0),0)</f>
        <v>0</v>
      </c>
      <c r="O2198">
        <f>IFERROR(IF(VLOOKUP(calendar[[#This Row],[Date]],BH!G:G,1,)&lt;&gt;"",1,0),0)</f>
        <v>0</v>
      </c>
      <c r="P2198">
        <f>IF(OR(calendar[[#This Row],[UK_BH]]=1,calendar[[#This Row],[WeekDay]]=1, calendar[[#This Row],[WeekDay]]=7),P2197,P2197+1)</f>
        <v>1570</v>
      </c>
      <c r="Q2198">
        <f>IF(OR(calendar[[#This Row],[FR_BH]]=1,calendar[[#This Row],[WeekDay]]=1, calendar[[#This Row],[WeekDay]]=7),P2197,P2197+1)</f>
        <v>1570</v>
      </c>
      <c r="R2198">
        <f>IF(OR(calendar[[#This Row],[SP_BH]]=1,calendar[[#This Row],[WeekDay]]=1, calendar[[#This Row],[WeekDay]]=7),P2197,P2197+1)</f>
        <v>1570</v>
      </c>
      <c r="S2198">
        <f>IF(OR(calendar[[#This Row],[PT_BH]]=1,calendar[[#This Row],[WeekDay]]=1, calendar[[#This Row],[WeekDay]]=7),P2197,P2197+1)</f>
        <v>1570</v>
      </c>
    </row>
    <row r="2199" spans="1:19" x14ac:dyDescent="0.25">
      <c r="A2199" s="2">
        <v>44933</v>
      </c>
      <c r="B2199" s="1">
        <f t="shared" si="173"/>
        <v>1</v>
      </c>
      <c r="C2199">
        <f t="shared" si="175"/>
        <v>1</v>
      </c>
      <c r="D2199" t="str">
        <f t="shared" si="176"/>
        <v>January</v>
      </c>
      <c r="E2199">
        <f t="shared" si="177"/>
        <v>2023</v>
      </c>
      <c r="F2199" t="str">
        <f>CONCATENATE(calendar[[#This Row],[Month]],"/",calendar[[#This Row],[Year]])</f>
        <v>1/2023</v>
      </c>
      <c r="G2199">
        <f>WEEKDAY(calendar[[#This Row],[Date]],1)</f>
        <v>7</v>
      </c>
      <c r="H2199" t="str">
        <f>TEXT(calendar[[#This Row],[WeekDay]],"dddd")</f>
        <v>Saturday</v>
      </c>
      <c r="I2199">
        <f>IF((INT(calendar[[#This Row],[Count]]/7)-calendar[[#This Row],[Count]]/7)&lt;0,I2198,I2198+1)</f>
        <v>314</v>
      </c>
      <c r="J2199">
        <f t="shared" si="174"/>
        <v>2197</v>
      </c>
      <c r="K2199">
        <f>IF(calendar[[#This Row],[Month]]&lt;4,1,IF(calendar[[#This Row],[Month]]&lt;7,2,IF(calendar[[#This Row],[Month]]&lt;10,3,4)))</f>
        <v>1</v>
      </c>
      <c r="L2199">
        <f>IFERROR(IF(VLOOKUP(calendar[[#This Row],[Date]],BH!A:A,1,)&lt;&gt;"",1,0),0)</f>
        <v>0</v>
      </c>
      <c r="M2199">
        <f>IFERROR(IF(VLOOKUP(calendar[[#This Row],[Date]],BH!C:C,1,)&lt;&gt;"",1,0),0)</f>
        <v>0</v>
      </c>
      <c r="N2199">
        <f>IFERROR(IF(VLOOKUP(calendar[[#This Row],[Date]],BH!E:E,1,)&lt;&gt;"",1,0),0)</f>
        <v>0</v>
      </c>
      <c r="O2199">
        <f>IFERROR(IF(VLOOKUP(calendar[[#This Row],[Date]],BH!G:G,1,)&lt;&gt;"",1,0),0)</f>
        <v>0</v>
      </c>
      <c r="P2199">
        <f>IF(OR(calendar[[#This Row],[UK_BH]]=1,calendar[[#This Row],[WeekDay]]=1, calendar[[#This Row],[WeekDay]]=7),P2198,P2198+1)</f>
        <v>1570</v>
      </c>
      <c r="Q2199">
        <f>IF(OR(calendar[[#This Row],[FR_BH]]=1,calendar[[#This Row],[WeekDay]]=1, calendar[[#This Row],[WeekDay]]=7),P2198,P2198+1)</f>
        <v>1570</v>
      </c>
      <c r="R2199">
        <f>IF(OR(calendar[[#This Row],[SP_BH]]=1,calendar[[#This Row],[WeekDay]]=1, calendar[[#This Row],[WeekDay]]=7),P2198,P2198+1)</f>
        <v>1570</v>
      </c>
      <c r="S2199">
        <f>IF(OR(calendar[[#This Row],[PT_BH]]=1,calendar[[#This Row],[WeekDay]]=1, calendar[[#This Row],[WeekDay]]=7),P2198,P2198+1)</f>
        <v>1570</v>
      </c>
    </row>
    <row r="2200" spans="1:19" x14ac:dyDescent="0.25">
      <c r="A2200" s="2">
        <v>44934</v>
      </c>
      <c r="B2200" s="1">
        <f t="shared" si="173"/>
        <v>2</v>
      </c>
      <c r="C2200">
        <f t="shared" si="175"/>
        <v>1</v>
      </c>
      <c r="D2200" t="str">
        <f t="shared" si="176"/>
        <v>January</v>
      </c>
      <c r="E2200">
        <f t="shared" si="177"/>
        <v>2023</v>
      </c>
      <c r="F2200" t="str">
        <f>CONCATENATE(calendar[[#This Row],[Month]],"/",calendar[[#This Row],[Year]])</f>
        <v>1/2023</v>
      </c>
      <c r="G2200">
        <f>WEEKDAY(calendar[[#This Row],[Date]],1)</f>
        <v>1</v>
      </c>
      <c r="H2200" t="str">
        <f>TEXT(calendar[[#This Row],[WeekDay]],"dddd")</f>
        <v>Sunday</v>
      </c>
      <c r="I2200">
        <f>IF((INT(calendar[[#This Row],[Count]]/7)-calendar[[#This Row],[Count]]/7)&lt;0,I2199,I2199+1)</f>
        <v>315</v>
      </c>
      <c r="J2200">
        <f t="shared" si="174"/>
        <v>2198</v>
      </c>
      <c r="K2200">
        <f>IF(calendar[[#This Row],[Month]]&lt;4,1,IF(calendar[[#This Row],[Month]]&lt;7,2,IF(calendar[[#This Row],[Month]]&lt;10,3,4)))</f>
        <v>1</v>
      </c>
      <c r="L2200">
        <f>IFERROR(IF(VLOOKUP(calendar[[#This Row],[Date]],BH!A:A,1,)&lt;&gt;"",1,0),0)</f>
        <v>0</v>
      </c>
      <c r="M2200">
        <f>IFERROR(IF(VLOOKUP(calendar[[#This Row],[Date]],BH!C:C,1,)&lt;&gt;"",1,0),0)</f>
        <v>0</v>
      </c>
      <c r="N2200">
        <f>IFERROR(IF(VLOOKUP(calendar[[#This Row],[Date]],BH!E:E,1,)&lt;&gt;"",1,0),0)</f>
        <v>0</v>
      </c>
      <c r="O2200">
        <f>IFERROR(IF(VLOOKUP(calendar[[#This Row],[Date]],BH!G:G,1,)&lt;&gt;"",1,0),0)</f>
        <v>0</v>
      </c>
      <c r="P2200">
        <f>IF(OR(calendar[[#This Row],[UK_BH]]=1,calendar[[#This Row],[WeekDay]]=1, calendar[[#This Row],[WeekDay]]=7),P2199,P2199+1)</f>
        <v>1570</v>
      </c>
      <c r="Q2200">
        <f>IF(OR(calendar[[#This Row],[FR_BH]]=1,calendar[[#This Row],[WeekDay]]=1, calendar[[#This Row],[WeekDay]]=7),P2199,P2199+1)</f>
        <v>1570</v>
      </c>
      <c r="R2200">
        <f>IF(OR(calendar[[#This Row],[SP_BH]]=1,calendar[[#This Row],[WeekDay]]=1, calendar[[#This Row],[WeekDay]]=7),P2199,P2199+1)</f>
        <v>1570</v>
      </c>
      <c r="S2200">
        <f>IF(OR(calendar[[#This Row],[PT_BH]]=1,calendar[[#This Row],[WeekDay]]=1, calendar[[#This Row],[WeekDay]]=7),P2199,P2199+1)</f>
        <v>1570</v>
      </c>
    </row>
    <row r="2201" spans="1:19" x14ac:dyDescent="0.25">
      <c r="A2201" s="2">
        <v>44935</v>
      </c>
      <c r="B2201" s="1">
        <f t="shared" si="173"/>
        <v>2</v>
      </c>
      <c r="C2201">
        <f t="shared" si="175"/>
        <v>1</v>
      </c>
      <c r="D2201" t="str">
        <f t="shared" si="176"/>
        <v>January</v>
      </c>
      <c r="E2201">
        <f t="shared" si="177"/>
        <v>2023</v>
      </c>
      <c r="F2201" t="str">
        <f>CONCATENATE(calendar[[#This Row],[Month]],"/",calendar[[#This Row],[Year]])</f>
        <v>1/2023</v>
      </c>
      <c r="G2201">
        <f>WEEKDAY(calendar[[#This Row],[Date]],1)</f>
        <v>2</v>
      </c>
      <c r="H2201" t="str">
        <f>TEXT(calendar[[#This Row],[WeekDay]],"dddd")</f>
        <v>Monday</v>
      </c>
      <c r="I2201">
        <f>IF((INT(calendar[[#This Row],[Count]]/7)-calendar[[#This Row],[Count]]/7)&lt;0,I2200,I2200+1)</f>
        <v>315</v>
      </c>
      <c r="J2201">
        <f t="shared" si="174"/>
        <v>2199</v>
      </c>
      <c r="K2201">
        <f>IF(calendar[[#This Row],[Month]]&lt;4,1,IF(calendar[[#This Row],[Month]]&lt;7,2,IF(calendar[[#This Row],[Month]]&lt;10,3,4)))</f>
        <v>1</v>
      </c>
      <c r="L2201">
        <f>IFERROR(IF(VLOOKUP(calendar[[#This Row],[Date]],BH!A:A,1,)&lt;&gt;"",1,0),0)</f>
        <v>0</v>
      </c>
      <c r="M2201">
        <f>IFERROR(IF(VLOOKUP(calendar[[#This Row],[Date]],BH!C:C,1,)&lt;&gt;"",1,0),0)</f>
        <v>0</v>
      </c>
      <c r="N2201">
        <f>IFERROR(IF(VLOOKUP(calendar[[#This Row],[Date]],BH!E:E,1,)&lt;&gt;"",1,0),0)</f>
        <v>0</v>
      </c>
      <c r="O2201">
        <f>IFERROR(IF(VLOOKUP(calendar[[#This Row],[Date]],BH!G:G,1,)&lt;&gt;"",1,0),0)</f>
        <v>0</v>
      </c>
      <c r="P2201">
        <f>IF(OR(calendar[[#This Row],[UK_BH]]=1,calendar[[#This Row],[WeekDay]]=1, calendar[[#This Row],[WeekDay]]=7),P2200,P2200+1)</f>
        <v>1571</v>
      </c>
      <c r="Q2201">
        <f>IF(OR(calendar[[#This Row],[FR_BH]]=1,calendar[[#This Row],[WeekDay]]=1, calendar[[#This Row],[WeekDay]]=7),P2200,P2200+1)</f>
        <v>1571</v>
      </c>
      <c r="R2201">
        <f>IF(OR(calendar[[#This Row],[SP_BH]]=1,calendar[[#This Row],[WeekDay]]=1, calendar[[#This Row],[WeekDay]]=7),P2200,P2200+1)</f>
        <v>1571</v>
      </c>
      <c r="S2201">
        <f>IF(OR(calendar[[#This Row],[PT_BH]]=1,calendar[[#This Row],[WeekDay]]=1, calendar[[#This Row],[WeekDay]]=7),P2200,P2200+1)</f>
        <v>1571</v>
      </c>
    </row>
    <row r="2202" spans="1:19" x14ac:dyDescent="0.25">
      <c r="A2202" s="2">
        <v>44936</v>
      </c>
      <c r="B2202" s="1">
        <f t="shared" si="173"/>
        <v>2</v>
      </c>
      <c r="C2202">
        <f t="shared" si="175"/>
        <v>1</v>
      </c>
      <c r="D2202" t="str">
        <f t="shared" si="176"/>
        <v>January</v>
      </c>
      <c r="E2202">
        <f t="shared" si="177"/>
        <v>2023</v>
      </c>
      <c r="F2202" t="str">
        <f>CONCATENATE(calendar[[#This Row],[Month]],"/",calendar[[#This Row],[Year]])</f>
        <v>1/2023</v>
      </c>
      <c r="G2202">
        <f>WEEKDAY(calendar[[#This Row],[Date]],1)</f>
        <v>3</v>
      </c>
      <c r="H2202" t="str">
        <f>TEXT(calendar[[#This Row],[WeekDay]],"dddd")</f>
        <v>Tuesday</v>
      </c>
      <c r="I2202">
        <f>IF((INT(calendar[[#This Row],[Count]]/7)-calendar[[#This Row],[Count]]/7)&lt;0,I2201,I2201+1)</f>
        <v>315</v>
      </c>
      <c r="J2202">
        <f t="shared" si="174"/>
        <v>2200</v>
      </c>
      <c r="K2202">
        <f>IF(calendar[[#This Row],[Month]]&lt;4,1,IF(calendar[[#This Row],[Month]]&lt;7,2,IF(calendar[[#This Row],[Month]]&lt;10,3,4)))</f>
        <v>1</v>
      </c>
      <c r="L2202">
        <f>IFERROR(IF(VLOOKUP(calendar[[#This Row],[Date]],BH!A:A,1,)&lt;&gt;"",1,0),0)</f>
        <v>0</v>
      </c>
      <c r="M2202">
        <f>IFERROR(IF(VLOOKUP(calendar[[#This Row],[Date]],BH!C:C,1,)&lt;&gt;"",1,0),0)</f>
        <v>0</v>
      </c>
      <c r="N2202">
        <f>IFERROR(IF(VLOOKUP(calendar[[#This Row],[Date]],BH!E:E,1,)&lt;&gt;"",1,0),0)</f>
        <v>0</v>
      </c>
      <c r="O2202">
        <f>IFERROR(IF(VLOOKUP(calendar[[#This Row],[Date]],BH!G:G,1,)&lt;&gt;"",1,0),0)</f>
        <v>0</v>
      </c>
      <c r="P2202">
        <f>IF(OR(calendar[[#This Row],[UK_BH]]=1,calendar[[#This Row],[WeekDay]]=1, calendar[[#This Row],[WeekDay]]=7),P2201,P2201+1)</f>
        <v>1572</v>
      </c>
      <c r="Q2202">
        <f>IF(OR(calendar[[#This Row],[FR_BH]]=1,calendar[[#This Row],[WeekDay]]=1, calendar[[#This Row],[WeekDay]]=7),P2201,P2201+1)</f>
        <v>1572</v>
      </c>
      <c r="R2202">
        <f>IF(OR(calendar[[#This Row],[SP_BH]]=1,calendar[[#This Row],[WeekDay]]=1, calendar[[#This Row],[WeekDay]]=7),P2201,P2201+1)</f>
        <v>1572</v>
      </c>
      <c r="S2202">
        <f>IF(OR(calendar[[#This Row],[PT_BH]]=1,calendar[[#This Row],[WeekDay]]=1, calendar[[#This Row],[WeekDay]]=7),P2201,P2201+1)</f>
        <v>1572</v>
      </c>
    </row>
    <row r="2203" spans="1:19" x14ac:dyDescent="0.25">
      <c r="A2203" s="2">
        <v>44937</v>
      </c>
      <c r="B2203" s="1">
        <f t="shared" si="173"/>
        <v>2</v>
      </c>
      <c r="C2203">
        <f t="shared" si="175"/>
        <v>1</v>
      </c>
      <c r="D2203" t="str">
        <f t="shared" si="176"/>
        <v>January</v>
      </c>
      <c r="E2203">
        <f t="shared" si="177"/>
        <v>2023</v>
      </c>
      <c r="F2203" t="str">
        <f>CONCATENATE(calendar[[#This Row],[Month]],"/",calendar[[#This Row],[Year]])</f>
        <v>1/2023</v>
      </c>
      <c r="G2203">
        <f>WEEKDAY(calendar[[#This Row],[Date]],1)</f>
        <v>4</v>
      </c>
      <c r="H2203" t="str">
        <f>TEXT(calendar[[#This Row],[WeekDay]],"dddd")</f>
        <v>Wednesday</v>
      </c>
      <c r="I2203">
        <f>IF((INT(calendar[[#This Row],[Count]]/7)-calendar[[#This Row],[Count]]/7)&lt;0,I2202,I2202+1)</f>
        <v>315</v>
      </c>
      <c r="J2203">
        <f t="shared" si="174"/>
        <v>2201</v>
      </c>
      <c r="K2203">
        <f>IF(calendar[[#This Row],[Month]]&lt;4,1,IF(calendar[[#This Row],[Month]]&lt;7,2,IF(calendar[[#This Row],[Month]]&lt;10,3,4)))</f>
        <v>1</v>
      </c>
      <c r="L2203">
        <f>IFERROR(IF(VLOOKUP(calendar[[#This Row],[Date]],BH!A:A,1,)&lt;&gt;"",1,0),0)</f>
        <v>0</v>
      </c>
      <c r="M2203">
        <f>IFERROR(IF(VLOOKUP(calendar[[#This Row],[Date]],BH!C:C,1,)&lt;&gt;"",1,0),0)</f>
        <v>0</v>
      </c>
      <c r="N2203">
        <f>IFERROR(IF(VLOOKUP(calendar[[#This Row],[Date]],BH!E:E,1,)&lt;&gt;"",1,0),0)</f>
        <v>0</v>
      </c>
      <c r="O2203">
        <f>IFERROR(IF(VLOOKUP(calendar[[#This Row],[Date]],BH!G:G,1,)&lt;&gt;"",1,0),0)</f>
        <v>0</v>
      </c>
      <c r="P2203">
        <f>IF(OR(calendar[[#This Row],[UK_BH]]=1,calendar[[#This Row],[WeekDay]]=1, calendar[[#This Row],[WeekDay]]=7),P2202,P2202+1)</f>
        <v>1573</v>
      </c>
      <c r="Q2203">
        <f>IF(OR(calendar[[#This Row],[FR_BH]]=1,calendar[[#This Row],[WeekDay]]=1, calendar[[#This Row],[WeekDay]]=7),P2202,P2202+1)</f>
        <v>1573</v>
      </c>
      <c r="R2203">
        <f>IF(OR(calendar[[#This Row],[SP_BH]]=1,calendar[[#This Row],[WeekDay]]=1, calendar[[#This Row],[WeekDay]]=7),P2202,P2202+1)</f>
        <v>1573</v>
      </c>
      <c r="S2203">
        <f>IF(OR(calendar[[#This Row],[PT_BH]]=1,calendar[[#This Row],[WeekDay]]=1, calendar[[#This Row],[WeekDay]]=7),P2202,P2202+1)</f>
        <v>1573</v>
      </c>
    </row>
    <row r="2204" spans="1:19" x14ac:dyDescent="0.25">
      <c r="A2204" s="2">
        <v>44938</v>
      </c>
      <c r="B2204" s="1">
        <f t="shared" si="173"/>
        <v>2</v>
      </c>
      <c r="C2204">
        <f t="shared" si="175"/>
        <v>1</v>
      </c>
      <c r="D2204" t="str">
        <f t="shared" si="176"/>
        <v>January</v>
      </c>
      <c r="E2204">
        <f t="shared" si="177"/>
        <v>2023</v>
      </c>
      <c r="F2204" t="str">
        <f>CONCATENATE(calendar[[#This Row],[Month]],"/",calendar[[#This Row],[Year]])</f>
        <v>1/2023</v>
      </c>
      <c r="G2204">
        <f>WEEKDAY(calendar[[#This Row],[Date]],1)</f>
        <v>5</v>
      </c>
      <c r="H2204" t="str">
        <f>TEXT(calendar[[#This Row],[WeekDay]],"dddd")</f>
        <v>Thursday</v>
      </c>
      <c r="I2204">
        <f>IF((INT(calendar[[#This Row],[Count]]/7)-calendar[[#This Row],[Count]]/7)&lt;0,I2203,I2203+1)</f>
        <v>315</v>
      </c>
      <c r="J2204">
        <f t="shared" si="174"/>
        <v>2202</v>
      </c>
      <c r="K2204">
        <f>IF(calendar[[#This Row],[Month]]&lt;4,1,IF(calendar[[#This Row],[Month]]&lt;7,2,IF(calendar[[#This Row],[Month]]&lt;10,3,4)))</f>
        <v>1</v>
      </c>
      <c r="L2204">
        <f>IFERROR(IF(VLOOKUP(calendar[[#This Row],[Date]],BH!A:A,1,)&lt;&gt;"",1,0),0)</f>
        <v>0</v>
      </c>
      <c r="M2204">
        <f>IFERROR(IF(VLOOKUP(calendar[[#This Row],[Date]],BH!C:C,1,)&lt;&gt;"",1,0),0)</f>
        <v>0</v>
      </c>
      <c r="N2204">
        <f>IFERROR(IF(VLOOKUP(calendar[[#This Row],[Date]],BH!E:E,1,)&lt;&gt;"",1,0),0)</f>
        <v>0</v>
      </c>
      <c r="O2204">
        <f>IFERROR(IF(VLOOKUP(calendar[[#This Row],[Date]],BH!G:G,1,)&lt;&gt;"",1,0),0)</f>
        <v>0</v>
      </c>
      <c r="P2204">
        <f>IF(OR(calendar[[#This Row],[UK_BH]]=1,calendar[[#This Row],[WeekDay]]=1, calendar[[#This Row],[WeekDay]]=7),P2203,P2203+1)</f>
        <v>1574</v>
      </c>
      <c r="Q2204">
        <f>IF(OR(calendar[[#This Row],[FR_BH]]=1,calendar[[#This Row],[WeekDay]]=1, calendar[[#This Row],[WeekDay]]=7),P2203,P2203+1)</f>
        <v>1574</v>
      </c>
      <c r="R2204">
        <f>IF(OR(calendar[[#This Row],[SP_BH]]=1,calendar[[#This Row],[WeekDay]]=1, calendar[[#This Row],[WeekDay]]=7),P2203,P2203+1)</f>
        <v>1574</v>
      </c>
      <c r="S2204">
        <f>IF(OR(calendar[[#This Row],[PT_BH]]=1,calendar[[#This Row],[WeekDay]]=1, calendar[[#This Row],[WeekDay]]=7),P2203,P2203+1)</f>
        <v>1574</v>
      </c>
    </row>
    <row r="2205" spans="1:19" x14ac:dyDescent="0.25">
      <c r="A2205" s="2">
        <v>44939</v>
      </c>
      <c r="B2205" s="1">
        <f t="shared" si="173"/>
        <v>2</v>
      </c>
      <c r="C2205">
        <f t="shared" si="175"/>
        <v>1</v>
      </c>
      <c r="D2205" t="str">
        <f t="shared" si="176"/>
        <v>January</v>
      </c>
      <c r="E2205">
        <f t="shared" si="177"/>
        <v>2023</v>
      </c>
      <c r="F2205" t="str">
        <f>CONCATENATE(calendar[[#This Row],[Month]],"/",calendar[[#This Row],[Year]])</f>
        <v>1/2023</v>
      </c>
      <c r="G2205">
        <f>WEEKDAY(calendar[[#This Row],[Date]],1)</f>
        <v>6</v>
      </c>
      <c r="H2205" t="str">
        <f>TEXT(calendar[[#This Row],[WeekDay]],"dddd")</f>
        <v>Friday</v>
      </c>
      <c r="I2205">
        <f>IF((INT(calendar[[#This Row],[Count]]/7)-calendar[[#This Row],[Count]]/7)&lt;0,I2204,I2204+1)</f>
        <v>315</v>
      </c>
      <c r="J2205">
        <f t="shared" si="174"/>
        <v>2203</v>
      </c>
      <c r="K2205">
        <f>IF(calendar[[#This Row],[Month]]&lt;4,1,IF(calendar[[#This Row],[Month]]&lt;7,2,IF(calendar[[#This Row],[Month]]&lt;10,3,4)))</f>
        <v>1</v>
      </c>
      <c r="L2205">
        <f>IFERROR(IF(VLOOKUP(calendar[[#This Row],[Date]],BH!A:A,1,)&lt;&gt;"",1,0),0)</f>
        <v>0</v>
      </c>
      <c r="M2205">
        <f>IFERROR(IF(VLOOKUP(calendar[[#This Row],[Date]],BH!C:C,1,)&lt;&gt;"",1,0),0)</f>
        <v>0</v>
      </c>
      <c r="N2205">
        <f>IFERROR(IF(VLOOKUP(calendar[[#This Row],[Date]],BH!E:E,1,)&lt;&gt;"",1,0),0)</f>
        <v>0</v>
      </c>
      <c r="O2205">
        <f>IFERROR(IF(VLOOKUP(calendar[[#This Row],[Date]],BH!G:G,1,)&lt;&gt;"",1,0),0)</f>
        <v>0</v>
      </c>
      <c r="P2205">
        <f>IF(OR(calendar[[#This Row],[UK_BH]]=1,calendar[[#This Row],[WeekDay]]=1, calendar[[#This Row],[WeekDay]]=7),P2204,P2204+1)</f>
        <v>1575</v>
      </c>
      <c r="Q2205">
        <f>IF(OR(calendar[[#This Row],[FR_BH]]=1,calendar[[#This Row],[WeekDay]]=1, calendar[[#This Row],[WeekDay]]=7),P2204,P2204+1)</f>
        <v>1575</v>
      </c>
      <c r="R2205">
        <f>IF(OR(calendar[[#This Row],[SP_BH]]=1,calendar[[#This Row],[WeekDay]]=1, calendar[[#This Row],[WeekDay]]=7),P2204,P2204+1)</f>
        <v>1575</v>
      </c>
      <c r="S2205">
        <f>IF(OR(calendar[[#This Row],[PT_BH]]=1,calendar[[#This Row],[WeekDay]]=1, calendar[[#This Row],[WeekDay]]=7),P2204,P2204+1)</f>
        <v>1575</v>
      </c>
    </row>
    <row r="2206" spans="1:19" x14ac:dyDescent="0.25">
      <c r="A2206" s="2">
        <v>44940</v>
      </c>
      <c r="B2206" s="1">
        <f t="shared" si="173"/>
        <v>2</v>
      </c>
      <c r="C2206">
        <f t="shared" si="175"/>
        <v>1</v>
      </c>
      <c r="D2206" t="str">
        <f t="shared" si="176"/>
        <v>January</v>
      </c>
      <c r="E2206">
        <f t="shared" si="177"/>
        <v>2023</v>
      </c>
      <c r="F2206" t="str">
        <f>CONCATENATE(calendar[[#This Row],[Month]],"/",calendar[[#This Row],[Year]])</f>
        <v>1/2023</v>
      </c>
      <c r="G2206">
        <f>WEEKDAY(calendar[[#This Row],[Date]],1)</f>
        <v>7</v>
      </c>
      <c r="H2206" t="str">
        <f>TEXT(calendar[[#This Row],[WeekDay]],"dddd")</f>
        <v>Saturday</v>
      </c>
      <c r="I2206">
        <f>IF((INT(calendar[[#This Row],[Count]]/7)-calendar[[#This Row],[Count]]/7)&lt;0,I2205,I2205+1)</f>
        <v>315</v>
      </c>
      <c r="J2206">
        <f t="shared" si="174"/>
        <v>2204</v>
      </c>
      <c r="K2206">
        <f>IF(calendar[[#This Row],[Month]]&lt;4,1,IF(calendar[[#This Row],[Month]]&lt;7,2,IF(calendar[[#This Row],[Month]]&lt;10,3,4)))</f>
        <v>1</v>
      </c>
      <c r="L2206">
        <f>IFERROR(IF(VLOOKUP(calendar[[#This Row],[Date]],BH!A:A,1,)&lt;&gt;"",1,0),0)</f>
        <v>0</v>
      </c>
      <c r="M2206">
        <f>IFERROR(IF(VLOOKUP(calendar[[#This Row],[Date]],BH!C:C,1,)&lt;&gt;"",1,0),0)</f>
        <v>0</v>
      </c>
      <c r="N2206">
        <f>IFERROR(IF(VLOOKUP(calendar[[#This Row],[Date]],BH!E:E,1,)&lt;&gt;"",1,0),0)</f>
        <v>0</v>
      </c>
      <c r="O2206">
        <f>IFERROR(IF(VLOOKUP(calendar[[#This Row],[Date]],BH!G:G,1,)&lt;&gt;"",1,0),0)</f>
        <v>0</v>
      </c>
      <c r="P2206">
        <f>IF(OR(calendar[[#This Row],[UK_BH]]=1,calendar[[#This Row],[WeekDay]]=1, calendar[[#This Row],[WeekDay]]=7),P2205,P2205+1)</f>
        <v>1575</v>
      </c>
      <c r="Q2206">
        <f>IF(OR(calendar[[#This Row],[FR_BH]]=1,calendar[[#This Row],[WeekDay]]=1, calendar[[#This Row],[WeekDay]]=7),P2205,P2205+1)</f>
        <v>1575</v>
      </c>
      <c r="R2206">
        <f>IF(OR(calendar[[#This Row],[SP_BH]]=1,calendar[[#This Row],[WeekDay]]=1, calendar[[#This Row],[WeekDay]]=7),P2205,P2205+1)</f>
        <v>1575</v>
      </c>
      <c r="S2206">
        <f>IF(OR(calendar[[#This Row],[PT_BH]]=1,calendar[[#This Row],[WeekDay]]=1, calendar[[#This Row],[WeekDay]]=7),P2205,P2205+1)</f>
        <v>1575</v>
      </c>
    </row>
    <row r="2207" spans="1:19" x14ac:dyDescent="0.25">
      <c r="A2207" s="2">
        <v>44941</v>
      </c>
      <c r="B2207" s="1">
        <f t="shared" si="173"/>
        <v>3</v>
      </c>
      <c r="C2207">
        <f t="shared" si="175"/>
        <v>1</v>
      </c>
      <c r="D2207" t="str">
        <f t="shared" si="176"/>
        <v>January</v>
      </c>
      <c r="E2207">
        <f t="shared" si="177"/>
        <v>2023</v>
      </c>
      <c r="F2207" t="str">
        <f>CONCATENATE(calendar[[#This Row],[Month]],"/",calendar[[#This Row],[Year]])</f>
        <v>1/2023</v>
      </c>
      <c r="G2207">
        <f>WEEKDAY(calendar[[#This Row],[Date]],1)</f>
        <v>1</v>
      </c>
      <c r="H2207" t="str">
        <f>TEXT(calendar[[#This Row],[WeekDay]],"dddd")</f>
        <v>Sunday</v>
      </c>
      <c r="I2207">
        <f>IF((INT(calendar[[#This Row],[Count]]/7)-calendar[[#This Row],[Count]]/7)&lt;0,I2206,I2206+1)</f>
        <v>316</v>
      </c>
      <c r="J2207">
        <f t="shared" si="174"/>
        <v>2205</v>
      </c>
      <c r="K2207">
        <f>IF(calendar[[#This Row],[Month]]&lt;4,1,IF(calendar[[#This Row],[Month]]&lt;7,2,IF(calendar[[#This Row],[Month]]&lt;10,3,4)))</f>
        <v>1</v>
      </c>
      <c r="L2207">
        <f>IFERROR(IF(VLOOKUP(calendar[[#This Row],[Date]],BH!A:A,1,)&lt;&gt;"",1,0),0)</f>
        <v>0</v>
      </c>
      <c r="M2207">
        <f>IFERROR(IF(VLOOKUP(calendar[[#This Row],[Date]],BH!C:C,1,)&lt;&gt;"",1,0),0)</f>
        <v>0</v>
      </c>
      <c r="N2207">
        <f>IFERROR(IF(VLOOKUP(calendar[[#This Row],[Date]],BH!E:E,1,)&lt;&gt;"",1,0),0)</f>
        <v>0</v>
      </c>
      <c r="O2207">
        <f>IFERROR(IF(VLOOKUP(calendar[[#This Row],[Date]],BH!G:G,1,)&lt;&gt;"",1,0),0)</f>
        <v>0</v>
      </c>
      <c r="P2207">
        <f>IF(OR(calendar[[#This Row],[UK_BH]]=1,calendar[[#This Row],[WeekDay]]=1, calendar[[#This Row],[WeekDay]]=7),P2206,P2206+1)</f>
        <v>1575</v>
      </c>
      <c r="Q2207">
        <f>IF(OR(calendar[[#This Row],[FR_BH]]=1,calendar[[#This Row],[WeekDay]]=1, calendar[[#This Row],[WeekDay]]=7),P2206,P2206+1)</f>
        <v>1575</v>
      </c>
      <c r="R2207">
        <f>IF(OR(calendar[[#This Row],[SP_BH]]=1,calendar[[#This Row],[WeekDay]]=1, calendar[[#This Row],[WeekDay]]=7),P2206,P2206+1)</f>
        <v>1575</v>
      </c>
      <c r="S2207">
        <f>IF(OR(calendar[[#This Row],[PT_BH]]=1,calendar[[#This Row],[WeekDay]]=1, calendar[[#This Row],[WeekDay]]=7),P2206,P2206+1)</f>
        <v>1575</v>
      </c>
    </row>
    <row r="2208" spans="1:19" x14ac:dyDescent="0.25">
      <c r="A2208" s="2">
        <v>44942</v>
      </c>
      <c r="B2208" s="1">
        <f t="shared" si="173"/>
        <v>3</v>
      </c>
      <c r="C2208">
        <f t="shared" si="175"/>
        <v>1</v>
      </c>
      <c r="D2208" t="str">
        <f t="shared" si="176"/>
        <v>January</v>
      </c>
      <c r="E2208">
        <f t="shared" si="177"/>
        <v>2023</v>
      </c>
      <c r="F2208" t="str">
        <f>CONCATENATE(calendar[[#This Row],[Month]],"/",calendar[[#This Row],[Year]])</f>
        <v>1/2023</v>
      </c>
      <c r="G2208">
        <f>WEEKDAY(calendar[[#This Row],[Date]],1)</f>
        <v>2</v>
      </c>
      <c r="H2208" t="str">
        <f>TEXT(calendar[[#This Row],[WeekDay]],"dddd")</f>
        <v>Monday</v>
      </c>
      <c r="I2208">
        <f>IF((INT(calendar[[#This Row],[Count]]/7)-calendar[[#This Row],[Count]]/7)&lt;0,I2207,I2207+1)</f>
        <v>316</v>
      </c>
      <c r="J2208">
        <f t="shared" si="174"/>
        <v>2206</v>
      </c>
      <c r="K2208">
        <f>IF(calendar[[#This Row],[Month]]&lt;4,1,IF(calendar[[#This Row],[Month]]&lt;7,2,IF(calendar[[#This Row],[Month]]&lt;10,3,4)))</f>
        <v>1</v>
      </c>
      <c r="L2208">
        <f>IFERROR(IF(VLOOKUP(calendar[[#This Row],[Date]],BH!A:A,1,)&lt;&gt;"",1,0),0)</f>
        <v>0</v>
      </c>
      <c r="M2208">
        <f>IFERROR(IF(VLOOKUP(calendar[[#This Row],[Date]],BH!C:C,1,)&lt;&gt;"",1,0),0)</f>
        <v>0</v>
      </c>
      <c r="N2208">
        <f>IFERROR(IF(VLOOKUP(calendar[[#This Row],[Date]],BH!E:E,1,)&lt;&gt;"",1,0),0)</f>
        <v>0</v>
      </c>
      <c r="O2208">
        <f>IFERROR(IF(VLOOKUP(calendar[[#This Row],[Date]],BH!G:G,1,)&lt;&gt;"",1,0),0)</f>
        <v>0</v>
      </c>
      <c r="P2208">
        <f>IF(OR(calendar[[#This Row],[UK_BH]]=1,calendar[[#This Row],[WeekDay]]=1, calendar[[#This Row],[WeekDay]]=7),P2207,P2207+1)</f>
        <v>1576</v>
      </c>
      <c r="Q2208">
        <f>IF(OR(calendar[[#This Row],[FR_BH]]=1,calendar[[#This Row],[WeekDay]]=1, calendar[[#This Row],[WeekDay]]=7),P2207,P2207+1)</f>
        <v>1576</v>
      </c>
      <c r="R2208">
        <f>IF(OR(calendar[[#This Row],[SP_BH]]=1,calendar[[#This Row],[WeekDay]]=1, calendar[[#This Row],[WeekDay]]=7),P2207,P2207+1)</f>
        <v>1576</v>
      </c>
      <c r="S2208">
        <f>IF(OR(calendar[[#This Row],[PT_BH]]=1,calendar[[#This Row],[WeekDay]]=1, calendar[[#This Row],[WeekDay]]=7),P2207,P2207+1)</f>
        <v>1576</v>
      </c>
    </row>
    <row r="2209" spans="1:19" x14ac:dyDescent="0.25">
      <c r="A2209" s="2">
        <v>44943</v>
      </c>
      <c r="B2209" s="1">
        <f t="shared" si="173"/>
        <v>3</v>
      </c>
      <c r="C2209">
        <f t="shared" si="175"/>
        <v>1</v>
      </c>
      <c r="D2209" t="str">
        <f t="shared" si="176"/>
        <v>January</v>
      </c>
      <c r="E2209">
        <f t="shared" si="177"/>
        <v>2023</v>
      </c>
      <c r="F2209" t="str">
        <f>CONCATENATE(calendar[[#This Row],[Month]],"/",calendar[[#This Row],[Year]])</f>
        <v>1/2023</v>
      </c>
      <c r="G2209">
        <f>WEEKDAY(calendar[[#This Row],[Date]],1)</f>
        <v>3</v>
      </c>
      <c r="H2209" t="str">
        <f>TEXT(calendar[[#This Row],[WeekDay]],"dddd")</f>
        <v>Tuesday</v>
      </c>
      <c r="I2209">
        <f>IF((INT(calendar[[#This Row],[Count]]/7)-calendar[[#This Row],[Count]]/7)&lt;0,I2208,I2208+1)</f>
        <v>316</v>
      </c>
      <c r="J2209">
        <f t="shared" si="174"/>
        <v>2207</v>
      </c>
      <c r="K2209">
        <f>IF(calendar[[#This Row],[Month]]&lt;4,1,IF(calendar[[#This Row],[Month]]&lt;7,2,IF(calendar[[#This Row],[Month]]&lt;10,3,4)))</f>
        <v>1</v>
      </c>
      <c r="L2209">
        <f>IFERROR(IF(VLOOKUP(calendar[[#This Row],[Date]],BH!A:A,1,)&lt;&gt;"",1,0),0)</f>
        <v>0</v>
      </c>
      <c r="M2209">
        <f>IFERROR(IF(VLOOKUP(calendar[[#This Row],[Date]],BH!C:C,1,)&lt;&gt;"",1,0),0)</f>
        <v>0</v>
      </c>
      <c r="N2209">
        <f>IFERROR(IF(VLOOKUP(calendar[[#This Row],[Date]],BH!E:E,1,)&lt;&gt;"",1,0),0)</f>
        <v>0</v>
      </c>
      <c r="O2209">
        <f>IFERROR(IF(VLOOKUP(calendar[[#This Row],[Date]],BH!G:G,1,)&lt;&gt;"",1,0),0)</f>
        <v>0</v>
      </c>
      <c r="P2209">
        <f>IF(OR(calendar[[#This Row],[UK_BH]]=1,calendar[[#This Row],[WeekDay]]=1, calendar[[#This Row],[WeekDay]]=7),P2208,P2208+1)</f>
        <v>1577</v>
      </c>
      <c r="Q2209">
        <f>IF(OR(calendar[[#This Row],[FR_BH]]=1,calendar[[#This Row],[WeekDay]]=1, calendar[[#This Row],[WeekDay]]=7),P2208,P2208+1)</f>
        <v>1577</v>
      </c>
      <c r="R2209">
        <f>IF(OR(calendar[[#This Row],[SP_BH]]=1,calendar[[#This Row],[WeekDay]]=1, calendar[[#This Row],[WeekDay]]=7),P2208,P2208+1)</f>
        <v>1577</v>
      </c>
      <c r="S2209">
        <f>IF(OR(calendar[[#This Row],[PT_BH]]=1,calendar[[#This Row],[WeekDay]]=1, calendar[[#This Row],[WeekDay]]=7),P2208,P2208+1)</f>
        <v>1577</v>
      </c>
    </row>
    <row r="2210" spans="1:19" x14ac:dyDescent="0.25">
      <c r="A2210" s="2">
        <v>44944</v>
      </c>
      <c r="B2210" s="1">
        <f t="shared" si="173"/>
        <v>3</v>
      </c>
      <c r="C2210">
        <f t="shared" si="175"/>
        <v>1</v>
      </c>
      <c r="D2210" t="str">
        <f t="shared" si="176"/>
        <v>January</v>
      </c>
      <c r="E2210">
        <f t="shared" si="177"/>
        <v>2023</v>
      </c>
      <c r="F2210" t="str">
        <f>CONCATENATE(calendar[[#This Row],[Month]],"/",calendar[[#This Row],[Year]])</f>
        <v>1/2023</v>
      </c>
      <c r="G2210">
        <f>WEEKDAY(calendar[[#This Row],[Date]],1)</f>
        <v>4</v>
      </c>
      <c r="H2210" t="str">
        <f>TEXT(calendar[[#This Row],[WeekDay]],"dddd")</f>
        <v>Wednesday</v>
      </c>
      <c r="I2210">
        <f>IF((INT(calendar[[#This Row],[Count]]/7)-calendar[[#This Row],[Count]]/7)&lt;0,I2209,I2209+1)</f>
        <v>316</v>
      </c>
      <c r="J2210">
        <f t="shared" si="174"/>
        <v>2208</v>
      </c>
      <c r="K2210">
        <f>IF(calendar[[#This Row],[Month]]&lt;4,1,IF(calendar[[#This Row],[Month]]&lt;7,2,IF(calendar[[#This Row],[Month]]&lt;10,3,4)))</f>
        <v>1</v>
      </c>
      <c r="L2210">
        <f>IFERROR(IF(VLOOKUP(calendar[[#This Row],[Date]],BH!A:A,1,)&lt;&gt;"",1,0),0)</f>
        <v>0</v>
      </c>
      <c r="M2210">
        <f>IFERROR(IF(VLOOKUP(calendar[[#This Row],[Date]],BH!C:C,1,)&lt;&gt;"",1,0),0)</f>
        <v>0</v>
      </c>
      <c r="N2210">
        <f>IFERROR(IF(VLOOKUP(calendar[[#This Row],[Date]],BH!E:E,1,)&lt;&gt;"",1,0),0)</f>
        <v>0</v>
      </c>
      <c r="O2210">
        <f>IFERROR(IF(VLOOKUP(calendar[[#This Row],[Date]],BH!G:G,1,)&lt;&gt;"",1,0),0)</f>
        <v>0</v>
      </c>
      <c r="P2210">
        <f>IF(OR(calendar[[#This Row],[UK_BH]]=1,calendar[[#This Row],[WeekDay]]=1, calendar[[#This Row],[WeekDay]]=7),P2209,P2209+1)</f>
        <v>1578</v>
      </c>
      <c r="Q2210">
        <f>IF(OR(calendar[[#This Row],[FR_BH]]=1,calendar[[#This Row],[WeekDay]]=1, calendar[[#This Row],[WeekDay]]=7),P2209,P2209+1)</f>
        <v>1578</v>
      </c>
      <c r="R2210">
        <f>IF(OR(calendar[[#This Row],[SP_BH]]=1,calendar[[#This Row],[WeekDay]]=1, calendar[[#This Row],[WeekDay]]=7),P2209,P2209+1)</f>
        <v>1578</v>
      </c>
      <c r="S2210">
        <f>IF(OR(calendar[[#This Row],[PT_BH]]=1,calendar[[#This Row],[WeekDay]]=1, calendar[[#This Row],[WeekDay]]=7),P2209,P2209+1)</f>
        <v>1578</v>
      </c>
    </row>
    <row r="2211" spans="1:19" x14ac:dyDescent="0.25">
      <c r="A2211" s="2">
        <v>44945</v>
      </c>
      <c r="B2211" s="1">
        <f t="shared" si="173"/>
        <v>3</v>
      </c>
      <c r="C2211">
        <f t="shared" si="175"/>
        <v>1</v>
      </c>
      <c r="D2211" t="str">
        <f t="shared" si="176"/>
        <v>January</v>
      </c>
      <c r="E2211">
        <f t="shared" si="177"/>
        <v>2023</v>
      </c>
      <c r="F2211" t="str">
        <f>CONCATENATE(calendar[[#This Row],[Month]],"/",calendar[[#This Row],[Year]])</f>
        <v>1/2023</v>
      </c>
      <c r="G2211">
        <f>WEEKDAY(calendar[[#This Row],[Date]],1)</f>
        <v>5</v>
      </c>
      <c r="H2211" t="str">
        <f>TEXT(calendar[[#This Row],[WeekDay]],"dddd")</f>
        <v>Thursday</v>
      </c>
      <c r="I2211">
        <f>IF((INT(calendar[[#This Row],[Count]]/7)-calendar[[#This Row],[Count]]/7)&lt;0,I2210,I2210+1)</f>
        <v>316</v>
      </c>
      <c r="J2211">
        <f t="shared" si="174"/>
        <v>2209</v>
      </c>
      <c r="K2211">
        <f>IF(calendar[[#This Row],[Month]]&lt;4,1,IF(calendar[[#This Row],[Month]]&lt;7,2,IF(calendar[[#This Row],[Month]]&lt;10,3,4)))</f>
        <v>1</v>
      </c>
      <c r="L2211">
        <f>IFERROR(IF(VLOOKUP(calendar[[#This Row],[Date]],BH!A:A,1,)&lt;&gt;"",1,0),0)</f>
        <v>0</v>
      </c>
      <c r="M2211">
        <f>IFERROR(IF(VLOOKUP(calendar[[#This Row],[Date]],BH!C:C,1,)&lt;&gt;"",1,0),0)</f>
        <v>0</v>
      </c>
      <c r="N2211">
        <f>IFERROR(IF(VLOOKUP(calendar[[#This Row],[Date]],BH!E:E,1,)&lt;&gt;"",1,0),0)</f>
        <v>0</v>
      </c>
      <c r="O2211">
        <f>IFERROR(IF(VLOOKUP(calendar[[#This Row],[Date]],BH!G:G,1,)&lt;&gt;"",1,0),0)</f>
        <v>0</v>
      </c>
      <c r="P2211">
        <f>IF(OR(calendar[[#This Row],[UK_BH]]=1,calendar[[#This Row],[WeekDay]]=1, calendar[[#This Row],[WeekDay]]=7),P2210,P2210+1)</f>
        <v>1579</v>
      </c>
      <c r="Q2211">
        <f>IF(OR(calendar[[#This Row],[FR_BH]]=1,calendar[[#This Row],[WeekDay]]=1, calendar[[#This Row],[WeekDay]]=7),P2210,P2210+1)</f>
        <v>1579</v>
      </c>
      <c r="R2211">
        <f>IF(OR(calendar[[#This Row],[SP_BH]]=1,calendar[[#This Row],[WeekDay]]=1, calendar[[#This Row],[WeekDay]]=7),P2210,P2210+1)</f>
        <v>1579</v>
      </c>
      <c r="S2211">
        <f>IF(OR(calendar[[#This Row],[PT_BH]]=1,calendar[[#This Row],[WeekDay]]=1, calendar[[#This Row],[WeekDay]]=7),P2210,P2210+1)</f>
        <v>1579</v>
      </c>
    </row>
    <row r="2212" spans="1:19" x14ac:dyDescent="0.25">
      <c r="A2212" s="2">
        <v>44946</v>
      </c>
      <c r="B2212" s="1">
        <f t="shared" si="173"/>
        <v>3</v>
      </c>
      <c r="C2212">
        <f t="shared" si="175"/>
        <v>1</v>
      </c>
      <c r="D2212" t="str">
        <f t="shared" si="176"/>
        <v>January</v>
      </c>
      <c r="E2212">
        <f t="shared" si="177"/>
        <v>2023</v>
      </c>
      <c r="F2212" t="str">
        <f>CONCATENATE(calendar[[#This Row],[Month]],"/",calendar[[#This Row],[Year]])</f>
        <v>1/2023</v>
      </c>
      <c r="G2212">
        <f>WEEKDAY(calendar[[#This Row],[Date]],1)</f>
        <v>6</v>
      </c>
      <c r="H2212" t="str">
        <f>TEXT(calendar[[#This Row],[WeekDay]],"dddd")</f>
        <v>Friday</v>
      </c>
      <c r="I2212">
        <f>IF((INT(calendar[[#This Row],[Count]]/7)-calendar[[#This Row],[Count]]/7)&lt;0,I2211,I2211+1)</f>
        <v>316</v>
      </c>
      <c r="J2212">
        <f t="shared" si="174"/>
        <v>2210</v>
      </c>
      <c r="K2212">
        <f>IF(calendar[[#This Row],[Month]]&lt;4,1,IF(calendar[[#This Row],[Month]]&lt;7,2,IF(calendar[[#This Row],[Month]]&lt;10,3,4)))</f>
        <v>1</v>
      </c>
      <c r="L2212">
        <f>IFERROR(IF(VLOOKUP(calendar[[#This Row],[Date]],BH!A:A,1,)&lt;&gt;"",1,0),0)</f>
        <v>0</v>
      </c>
      <c r="M2212">
        <f>IFERROR(IF(VLOOKUP(calendar[[#This Row],[Date]],BH!C:C,1,)&lt;&gt;"",1,0),0)</f>
        <v>0</v>
      </c>
      <c r="N2212">
        <f>IFERROR(IF(VLOOKUP(calendar[[#This Row],[Date]],BH!E:E,1,)&lt;&gt;"",1,0),0)</f>
        <v>0</v>
      </c>
      <c r="O2212">
        <f>IFERROR(IF(VLOOKUP(calendar[[#This Row],[Date]],BH!G:G,1,)&lt;&gt;"",1,0),0)</f>
        <v>0</v>
      </c>
      <c r="P2212">
        <f>IF(OR(calendar[[#This Row],[UK_BH]]=1,calendar[[#This Row],[WeekDay]]=1, calendar[[#This Row],[WeekDay]]=7),P2211,P2211+1)</f>
        <v>1580</v>
      </c>
      <c r="Q2212">
        <f>IF(OR(calendar[[#This Row],[FR_BH]]=1,calendar[[#This Row],[WeekDay]]=1, calendar[[#This Row],[WeekDay]]=7),P2211,P2211+1)</f>
        <v>1580</v>
      </c>
      <c r="R2212">
        <f>IF(OR(calendar[[#This Row],[SP_BH]]=1,calendar[[#This Row],[WeekDay]]=1, calendar[[#This Row],[WeekDay]]=7),P2211,P2211+1)</f>
        <v>1580</v>
      </c>
      <c r="S2212">
        <f>IF(OR(calendar[[#This Row],[PT_BH]]=1,calendar[[#This Row],[WeekDay]]=1, calendar[[#This Row],[WeekDay]]=7),P2211,P2211+1)</f>
        <v>1580</v>
      </c>
    </row>
    <row r="2213" spans="1:19" x14ac:dyDescent="0.25">
      <c r="A2213" s="2">
        <v>44947</v>
      </c>
      <c r="B2213" s="1">
        <f t="shared" si="173"/>
        <v>3</v>
      </c>
      <c r="C2213">
        <f t="shared" si="175"/>
        <v>1</v>
      </c>
      <c r="D2213" t="str">
        <f t="shared" si="176"/>
        <v>January</v>
      </c>
      <c r="E2213">
        <f t="shared" si="177"/>
        <v>2023</v>
      </c>
      <c r="F2213" t="str">
        <f>CONCATENATE(calendar[[#This Row],[Month]],"/",calendar[[#This Row],[Year]])</f>
        <v>1/2023</v>
      </c>
      <c r="G2213">
        <f>WEEKDAY(calendar[[#This Row],[Date]],1)</f>
        <v>7</v>
      </c>
      <c r="H2213" t="str">
        <f>TEXT(calendar[[#This Row],[WeekDay]],"dddd")</f>
        <v>Saturday</v>
      </c>
      <c r="I2213">
        <f>IF((INT(calendar[[#This Row],[Count]]/7)-calendar[[#This Row],[Count]]/7)&lt;0,I2212,I2212+1)</f>
        <v>316</v>
      </c>
      <c r="J2213">
        <f t="shared" si="174"/>
        <v>2211</v>
      </c>
      <c r="K2213">
        <f>IF(calendar[[#This Row],[Month]]&lt;4,1,IF(calendar[[#This Row],[Month]]&lt;7,2,IF(calendar[[#This Row],[Month]]&lt;10,3,4)))</f>
        <v>1</v>
      </c>
      <c r="L2213">
        <f>IFERROR(IF(VLOOKUP(calendar[[#This Row],[Date]],BH!A:A,1,)&lt;&gt;"",1,0),0)</f>
        <v>0</v>
      </c>
      <c r="M2213">
        <f>IFERROR(IF(VLOOKUP(calendar[[#This Row],[Date]],BH!C:C,1,)&lt;&gt;"",1,0),0)</f>
        <v>0</v>
      </c>
      <c r="N2213">
        <f>IFERROR(IF(VLOOKUP(calendar[[#This Row],[Date]],BH!E:E,1,)&lt;&gt;"",1,0),0)</f>
        <v>0</v>
      </c>
      <c r="O2213">
        <f>IFERROR(IF(VLOOKUP(calendar[[#This Row],[Date]],BH!G:G,1,)&lt;&gt;"",1,0),0)</f>
        <v>0</v>
      </c>
      <c r="P2213">
        <f>IF(OR(calendar[[#This Row],[UK_BH]]=1,calendar[[#This Row],[WeekDay]]=1, calendar[[#This Row],[WeekDay]]=7),P2212,P2212+1)</f>
        <v>1580</v>
      </c>
      <c r="Q2213">
        <f>IF(OR(calendar[[#This Row],[FR_BH]]=1,calendar[[#This Row],[WeekDay]]=1, calendar[[#This Row],[WeekDay]]=7),P2212,P2212+1)</f>
        <v>1580</v>
      </c>
      <c r="R2213">
        <f>IF(OR(calendar[[#This Row],[SP_BH]]=1,calendar[[#This Row],[WeekDay]]=1, calendar[[#This Row],[WeekDay]]=7),P2212,P2212+1)</f>
        <v>1580</v>
      </c>
      <c r="S2213">
        <f>IF(OR(calendar[[#This Row],[PT_BH]]=1,calendar[[#This Row],[WeekDay]]=1, calendar[[#This Row],[WeekDay]]=7),P2212,P2212+1)</f>
        <v>1580</v>
      </c>
    </row>
    <row r="2214" spans="1:19" x14ac:dyDescent="0.25">
      <c r="A2214" s="2">
        <v>44948</v>
      </c>
      <c r="B2214" s="1">
        <f t="shared" si="173"/>
        <v>4</v>
      </c>
      <c r="C2214">
        <f t="shared" si="175"/>
        <v>1</v>
      </c>
      <c r="D2214" t="str">
        <f t="shared" si="176"/>
        <v>January</v>
      </c>
      <c r="E2214">
        <f t="shared" si="177"/>
        <v>2023</v>
      </c>
      <c r="F2214" t="str">
        <f>CONCATENATE(calendar[[#This Row],[Month]],"/",calendar[[#This Row],[Year]])</f>
        <v>1/2023</v>
      </c>
      <c r="G2214">
        <f>WEEKDAY(calendar[[#This Row],[Date]],1)</f>
        <v>1</v>
      </c>
      <c r="H2214" t="str">
        <f>TEXT(calendar[[#This Row],[WeekDay]],"dddd")</f>
        <v>Sunday</v>
      </c>
      <c r="I2214">
        <f>IF((INT(calendar[[#This Row],[Count]]/7)-calendar[[#This Row],[Count]]/7)&lt;0,I2213,I2213+1)</f>
        <v>317</v>
      </c>
      <c r="J2214">
        <f t="shared" si="174"/>
        <v>2212</v>
      </c>
      <c r="K2214">
        <f>IF(calendar[[#This Row],[Month]]&lt;4,1,IF(calendar[[#This Row],[Month]]&lt;7,2,IF(calendar[[#This Row],[Month]]&lt;10,3,4)))</f>
        <v>1</v>
      </c>
      <c r="L2214">
        <f>IFERROR(IF(VLOOKUP(calendar[[#This Row],[Date]],BH!A:A,1,)&lt;&gt;"",1,0),0)</f>
        <v>0</v>
      </c>
      <c r="M2214">
        <f>IFERROR(IF(VLOOKUP(calendar[[#This Row],[Date]],BH!C:C,1,)&lt;&gt;"",1,0),0)</f>
        <v>0</v>
      </c>
      <c r="N2214">
        <f>IFERROR(IF(VLOOKUP(calendar[[#This Row],[Date]],BH!E:E,1,)&lt;&gt;"",1,0),0)</f>
        <v>0</v>
      </c>
      <c r="O2214">
        <f>IFERROR(IF(VLOOKUP(calendar[[#This Row],[Date]],BH!G:G,1,)&lt;&gt;"",1,0),0)</f>
        <v>0</v>
      </c>
      <c r="P2214">
        <f>IF(OR(calendar[[#This Row],[UK_BH]]=1,calendar[[#This Row],[WeekDay]]=1, calendar[[#This Row],[WeekDay]]=7),P2213,P2213+1)</f>
        <v>1580</v>
      </c>
      <c r="Q2214">
        <f>IF(OR(calendar[[#This Row],[FR_BH]]=1,calendar[[#This Row],[WeekDay]]=1, calendar[[#This Row],[WeekDay]]=7),P2213,P2213+1)</f>
        <v>1580</v>
      </c>
      <c r="R2214">
        <f>IF(OR(calendar[[#This Row],[SP_BH]]=1,calendar[[#This Row],[WeekDay]]=1, calendar[[#This Row],[WeekDay]]=7),P2213,P2213+1)</f>
        <v>1580</v>
      </c>
      <c r="S2214">
        <f>IF(OR(calendar[[#This Row],[PT_BH]]=1,calendar[[#This Row],[WeekDay]]=1, calendar[[#This Row],[WeekDay]]=7),P2213,P2213+1)</f>
        <v>1580</v>
      </c>
    </row>
    <row r="2215" spans="1:19" x14ac:dyDescent="0.25">
      <c r="A2215" s="2">
        <v>44949</v>
      </c>
      <c r="B2215" s="1">
        <f t="shared" si="173"/>
        <v>4</v>
      </c>
      <c r="C2215">
        <f t="shared" si="175"/>
        <v>1</v>
      </c>
      <c r="D2215" t="str">
        <f t="shared" si="176"/>
        <v>January</v>
      </c>
      <c r="E2215">
        <f t="shared" si="177"/>
        <v>2023</v>
      </c>
      <c r="F2215" t="str">
        <f>CONCATENATE(calendar[[#This Row],[Month]],"/",calendar[[#This Row],[Year]])</f>
        <v>1/2023</v>
      </c>
      <c r="G2215">
        <f>WEEKDAY(calendar[[#This Row],[Date]],1)</f>
        <v>2</v>
      </c>
      <c r="H2215" t="str">
        <f>TEXT(calendar[[#This Row],[WeekDay]],"dddd")</f>
        <v>Monday</v>
      </c>
      <c r="I2215">
        <f>IF((INT(calendar[[#This Row],[Count]]/7)-calendar[[#This Row],[Count]]/7)&lt;0,I2214,I2214+1)</f>
        <v>317</v>
      </c>
      <c r="J2215">
        <f t="shared" si="174"/>
        <v>2213</v>
      </c>
      <c r="K2215">
        <f>IF(calendar[[#This Row],[Month]]&lt;4,1,IF(calendar[[#This Row],[Month]]&lt;7,2,IF(calendar[[#This Row],[Month]]&lt;10,3,4)))</f>
        <v>1</v>
      </c>
      <c r="L2215">
        <f>IFERROR(IF(VLOOKUP(calendar[[#This Row],[Date]],BH!A:A,1,)&lt;&gt;"",1,0),0)</f>
        <v>0</v>
      </c>
      <c r="M2215">
        <f>IFERROR(IF(VLOOKUP(calendar[[#This Row],[Date]],BH!C:C,1,)&lt;&gt;"",1,0),0)</f>
        <v>0</v>
      </c>
      <c r="N2215">
        <f>IFERROR(IF(VLOOKUP(calendar[[#This Row],[Date]],BH!E:E,1,)&lt;&gt;"",1,0),0)</f>
        <v>0</v>
      </c>
      <c r="O2215">
        <f>IFERROR(IF(VLOOKUP(calendar[[#This Row],[Date]],BH!G:G,1,)&lt;&gt;"",1,0),0)</f>
        <v>0</v>
      </c>
      <c r="P2215">
        <f>IF(OR(calendar[[#This Row],[UK_BH]]=1,calendar[[#This Row],[WeekDay]]=1, calendar[[#This Row],[WeekDay]]=7),P2214,P2214+1)</f>
        <v>1581</v>
      </c>
      <c r="Q2215">
        <f>IF(OR(calendar[[#This Row],[FR_BH]]=1,calendar[[#This Row],[WeekDay]]=1, calendar[[#This Row],[WeekDay]]=7),P2214,P2214+1)</f>
        <v>1581</v>
      </c>
      <c r="R2215">
        <f>IF(OR(calendar[[#This Row],[SP_BH]]=1,calendar[[#This Row],[WeekDay]]=1, calendar[[#This Row],[WeekDay]]=7),P2214,P2214+1)</f>
        <v>1581</v>
      </c>
      <c r="S2215">
        <f>IF(OR(calendar[[#This Row],[PT_BH]]=1,calendar[[#This Row],[WeekDay]]=1, calendar[[#This Row],[WeekDay]]=7),P2214,P2214+1)</f>
        <v>1581</v>
      </c>
    </row>
    <row r="2216" spans="1:19" x14ac:dyDescent="0.25">
      <c r="A2216" s="2">
        <v>44950</v>
      </c>
      <c r="B2216" s="1">
        <f t="shared" si="173"/>
        <v>4</v>
      </c>
      <c r="C2216">
        <f t="shared" si="175"/>
        <v>1</v>
      </c>
      <c r="D2216" t="str">
        <f t="shared" si="176"/>
        <v>January</v>
      </c>
      <c r="E2216">
        <f t="shared" si="177"/>
        <v>2023</v>
      </c>
      <c r="F2216" t="str">
        <f>CONCATENATE(calendar[[#This Row],[Month]],"/",calendar[[#This Row],[Year]])</f>
        <v>1/2023</v>
      </c>
      <c r="G2216">
        <f>WEEKDAY(calendar[[#This Row],[Date]],1)</f>
        <v>3</v>
      </c>
      <c r="H2216" t="str">
        <f>TEXT(calendar[[#This Row],[WeekDay]],"dddd")</f>
        <v>Tuesday</v>
      </c>
      <c r="I2216">
        <f>IF((INT(calendar[[#This Row],[Count]]/7)-calendar[[#This Row],[Count]]/7)&lt;0,I2215,I2215+1)</f>
        <v>317</v>
      </c>
      <c r="J2216">
        <f t="shared" si="174"/>
        <v>2214</v>
      </c>
      <c r="K2216">
        <f>IF(calendar[[#This Row],[Month]]&lt;4,1,IF(calendar[[#This Row],[Month]]&lt;7,2,IF(calendar[[#This Row],[Month]]&lt;10,3,4)))</f>
        <v>1</v>
      </c>
      <c r="L2216">
        <f>IFERROR(IF(VLOOKUP(calendar[[#This Row],[Date]],BH!A:A,1,)&lt;&gt;"",1,0),0)</f>
        <v>0</v>
      </c>
      <c r="M2216">
        <f>IFERROR(IF(VLOOKUP(calendar[[#This Row],[Date]],BH!C:C,1,)&lt;&gt;"",1,0),0)</f>
        <v>0</v>
      </c>
      <c r="N2216">
        <f>IFERROR(IF(VLOOKUP(calendar[[#This Row],[Date]],BH!E:E,1,)&lt;&gt;"",1,0),0)</f>
        <v>0</v>
      </c>
      <c r="O2216">
        <f>IFERROR(IF(VLOOKUP(calendar[[#This Row],[Date]],BH!G:G,1,)&lt;&gt;"",1,0),0)</f>
        <v>0</v>
      </c>
      <c r="P2216">
        <f>IF(OR(calendar[[#This Row],[UK_BH]]=1,calendar[[#This Row],[WeekDay]]=1, calendar[[#This Row],[WeekDay]]=7),P2215,P2215+1)</f>
        <v>1582</v>
      </c>
      <c r="Q2216">
        <f>IF(OR(calendar[[#This Row],[FR_BH]]=1,calendar[[#This Row],[WeekDay]]=1, calendar[[#This Row],[WeekDay]]=7),P2215,P2215+1)</f>
        <v>1582</v>
      </c>
      <c r="R2216">
        <f>IF(OR(calendar[[#This Row],[SP_BH]]=1,calendar[[#This Row],[WeekDay]]=1, calendar[[#This Row],[WeekDay]]=7),P2215,P2215+1)</f>
        <v>1582</v>
      </c>
      <c r="S2216">
        <f>IF(OR(calendar[[#This Row],[PT_BH]]=1,calendar[[#This Row],[WeekDay]]=1, calendar[[#This Row],[WeekDay]]=7),P2215,P2215+1)</f>
        <v>1582</v>
      </c>
    </row>
    <row r="2217" spans="1:19" x14ac:dyDescent="0.25">
      <c r="A2217" s="2">
        <v>44951</v>
      </c>
      <c r="B2217" s="1">
        <f t="shared" si="173"/>
        <v>4</v>
      </c>
      <c r="C2217">
        <f t="shared" si="175"/>
        <v>1</v>
      </c>
      <c r="D2217" t="str">
        <f t="shared" si="176"/>
        <v>January</v>
      </c>
      <c r="E2217">
        <f t="shared" si="177"/>
        <v>2023</v>
      </c>
      <c r="F2217" t="str">
        <f>CONCATENATE(calendar[[#This Row],[Month]],"/",calendar[[#This Row],[Year]])</f>
        <v>1/2023</v>
      </c>
      <c r="G2217">
        <f>WEEKDAY(calendar[[#This Row],[Date]],1)</f>
        <v>4</v>
      </c>
      <c r="H2217" t="str">
        <f>TEXT(calendar[[#This Row],[WeekDay]],"dddd")</f>
        <v>Wednesday</v>
      </c>
      <c r="I2217">
        <f>IF((INT(calendar[[#This Row],[Count]]/7)-calendar[[#This Row],[Count]]/7)&lt;0,I2216,I2216+1)</f>
        <v>317</v>
      </c>
      <c r="J2217">
        <f t="shared" si="174"/>
        <v>2215</v>
      </c>
      <c r="K2217">
        <f>IF(calendar[[#This Row],[Month]]&lt;4,1,IF(calendar[[#This Row],[Month]]&lt;7,2,IF(calendar[[#This Row],[Month]]&lt;10,3,4)))</f>
        <v>1</v>
      </c>
      <c r="L2217">
        <f>IFERROR(IF(VLOOKUP(calendar[[#This Row],[Date]],BH!A:A,1,)&lt;&gt;"",1,0),0)</f>
        <v>0</v>
      </c>
      <c r="M2217">
        <f>IFERROR(IF(VLOOKUP(calendar[[#This Row],[Date]],BH!C:C,1,)&lt;&gt;"",1,0),0)</f>
        <v>0</v>
      </c>
      <c r="N2217">
        <f>IFERROR(IF(VLOOKUP(calendar[[#This Row],[Date]],BH!E:E,1,)&lt;&gt;"",1,0),0)</f>
        <v>0</v>
      </c>
      <c r="O2217">
        <f>IFERROR(IF(VLOOKUP(calendar[[#This Row],[Date]],BH!G:G,1,)&lt;&gt;"",1,0),0)</f>
        <v>0</v>
      </c>
      <c r="P2217">
        <f>IF(OR(calendar[[#This Row],[UK_BH]]=1,calendar[[#This Row],[WeekDay]]=1, calendar[[#This Row],[WeekDay]]=7),P2216,P2216+1)</f>
        <v>1583</v>
      </c>
      <c r="Q2217">
        <f>IF(OR(calendar[[#This Row],[FR_BH]]=1,calendar[[#This Row],[WeekDay]]=1, calendar[[#This Row],[WeekDay]]=7),P2216,P2216+1)</f>
        <v>1583</v>
      </c>
      <c r="R2217">
        <f>IF(OR(calendar[[#This Row],[SP_BH]]=1,calendar[[#This Row],[WeekDay]]=1, calendar[[#This Row],[WeekDay]]=7),P2216,P2216+1)</f>
        <v>1583</v>
      </c>
      <c r="S2217">
        <f>IF(OR(calendar[[#This Row],[PT_BH]]=1,calendar[[#This Row],[WeekDay]]=1, calendar[[#This Row],[WeekDay]]=7),P2216,P2216+1)</f>
        <v>1583</v>
      </c>
    </row>
    <row r="2218" spans="1:19" x14ac:dyDescent="0.25">
      <c r="A2218" s="2">
        <v>44952</v>
      </c>
      <c r="B2218" s="1">
        <f t="shared" si="173"/>
        <v>4</v>
      </c>
      <c r="C2218">
        <f t="shared" si="175"/>
        <v>1</v>
      </c>
      <c r="D2218" t="str">
        <f t="shared" si="176"/>
        <v>January</v>
      </c>
      <c r="E2218">
        <f t="shared" si="177"/>
        <v>2023</v>
      </c>
      <c r="F2218" t="str">
        <f>CONCATENATE(calendar[[#This Row],[Month]],"/",calendar[[#This Row],[Year]])</f>
        <v>1/2023</v>
      </c>
      <c r="G2218">
        <f>WEEKDAY(calendar[[#This Row],[Date]],1)</f>
        <v>5</v>
      </c>
      <c r="H2218" t="str">
        <f>TEXT(calendar[[#This Row],[WeekDay]],"dddd")</f>
        <v>Thursday</v>
      </c>
      <c r="I2218">
        <f>IF((INT(calendar[[#This Row],[Count]]/7)-calendar[[#This Row],[Count]]/7)&lt;0,I2217,I2217+1)</f>
        <v>317</v>
      </c>
      <c r="J2218">
        <f t="shared" si="174"/>
        <v>2216</v>
      </c>
      <c r="K2218">
        <f>IF(calendar[[#This Row],[Month]]&lt;4,1,IF(calendar[[#This Row],[Month]]&lt;7,2,IF(calendar[[#This Row],[Month]]&lt;10,3,4)))</f>
        <v>1</v>
      </c>
      <c r="L2218">
        <f>IFERROR(IF(VLOOKUP(calendar[[#This Row],[Date]],BH!A:A,1,)&lt;&gt;"",1,0),0)</f>
        <v>0</v>
      </c>
      <c r="M2218">
        <f>IFERROR(IF(VLOOKUP(calendar[[#This Row],[Date]],BH!C:C,1,)&lt;&gt;"",1,0),0)</f>
        <v>0</v>
      </c>
      <c r="N2218">
        <f>IFERROR(IF(VLOOKUP(calendar[[#This Row],[Date]],BH!E:E,1,)&lt;&gt;"",1,0),0)</f>
        <v>0</v>
      </c>
      <c r="O2218">
        <f>IFERROR(IF(VLOOKUP(calendar[[#This Row],[Date]],BH!G:G,1,)&lt;&gt;"",1,0),0)</f>
        <v>0</v>
      </c>
      <c r="P2218">
        <f>IF(OR(calendar[[#This Row],[UK_BH]]=1,calendar[[#This Row],[WeekDay]]=1, calendar[[#This Row],[WeekDay]]=7),P2217,P2217+1)</f>
        <v>1584</v>
      </c>
      <c r="Q2218">
        <f>IF(OR(calendar[[#This Row],[FR_BH]]=1,calendar[[#This Row],[WeekDay]]=1, calendar[[#This Row],[WeekDay]]=7),P2217,P2217+1)</f>
        <v>1584</v>
      </c>
      <c r="R2218">
        <f>IF(OR(calendar[[#This Row],[SP_BH]]=1,calendar[[#This Row],[WeekDay]]=1, calendar[[#This Row],[WeekDay]]=7),P2217,P2217+1)</f>
        <v>1584</v>
      </c>
      <c r="S2218">
        <f>IF(OR(calendar[[#This Row],[PT_BH]]=1,calendar[[#This Row],[WeekDay]]=1, calendar[[#This Row],[WeekDay]]=7),P2217,P2217+1)</f>
        <v>1584</v>
      </c>
    </row>
    <row r="2219" spans="1:19" x14ac:dyDescent="0.25">
      <c r="A2219" s="2">
        <v>44953</v>
      </c>
      <c r="B2219" s="1">
        <f t="shared" si="173"/>
        <v>4</v>
      </c>
      <c r="C2219">
        <f t="shared" si="175"/>
        <v>1</v>
      </c>
      <c r="D2219" t="str">
        <f t="shared" si="176"/>
        <v>January</v>
      </c>
      <c r="E2219">
        <f t="shared" si="177"/>
        <v>2023</v>
      </c>
      <c r="F2219" t="str">
        <f>CONCATENATE(calendar[[#This Row],[Month]],"/",calendar[[#This Row],[Year]])</f>
        <v>1/2023</v>
      </c>
      <c r="G2219">
        <f>WEEKDAY(calendar[[#This Row],[Date]],1)</f>
        <v>6</v>
      </c>
      <c r="H2219" t="str">
        <f>TEXT(calendar[[#This Row],[WeekDay]],"dddd")</f>
        <v>Friday</v>
      </c>
      <c r="I2219">
        <f>IF((INT(calendar[[#This Row],[Count]]/7)-calendar[[#This Row],[Count]]/7)&lt;0,I2218,I2218+1)</f>
        <v>317</v>
      </c>
      <c r="J2219">
        <f t="shared" si="174"/>
        <v>2217</v>
      </c>
      <c r="K2219">
        <f>IF(calendar[[#This Row],[Month]]&lt;4,1,IF(calendar[[#This Row],[Month]]&lt;7,2,IF(calendar[[#This Row],[Month]]&lt;10,3,4)))</f>
        <v>1</v>
      </c>
      <c r="L2219">
        <f>IFERROR(IF(VLOOKUP(calendar[[#This Row],[Date]],BH!A:A,1,)&lt;&gt;"",1,0),0)</f>
        <v>0</v>
      </c>
      <c r="M2219">
        <f>IFERROR(IF(VLOOKUP(calendar[[#This Row],[Date]],BH!C:C,1,)&lt;&gt;"",1,0),0)</f>
        <v>0</v>
      </c>
      <c r="N2219">
        <f>IFERROR(IF(VLOOKUP(calendar[[#This Row],[Date]],BH!E:E,1,)&lt;&gt;"",1,0),0)</f>
        <v>0</v>
      </c>
      <c r="O2219">
        <f>IFERROR(IF(VLOOKUP(calendar[[#This Row],[Date]],BH!G:G,1,)&lt;&gt;"",1,0),0)</f>
        <v>0</v>
      </c>
      <c r="P2219">
        <f>IF(OR(calendar[[#This Row],[UK_BH]]=1,calendar[[#This Row],[WeekDay]]=1, calendar[[#This Row],[WeekDay]]=7),P2218,P2218+1)</f>
        <v>1585</v>
      </c>
      <c r="Q2219">
        <f>IF(OR(calendar[[#This Row],[FR_BH]]=1,calendar[[#This Row],[WeekDay]]=1, calendar[[#This Row],[WeekDay]]=7),P2218,P2218+1)</f>
        <v>1585</v>
      </c>
      <c r="R2219">
        <f>IF(OR(calendar[[#This Row],[SP_BH]]=1,calendar[[#This Row],[WeekDay]]=1, calendar[[#This Row],[WeekDay]]=7),P2218,P2218+1)</f>
        <v>1585</v>
      </c>
      <c r="S2219">
        <f>IF(OR(calendar[[#This Row],[PT_BH]]=1,calendar[[#This Row],[WeekDay]]=1, calendar[[#This Row],[WeekDay]]=7),P2218,P2218+1)</f>
        <v>1585</v>
      </c>
    </row>
    <row r="2220" spans="1:19" x14ac:dyDescent="0.25">
      <c r="A2220" s="2">
        <v>44954</v>
      </c>
      <c r="B2220" s="1">
        <f t="shared" si="173"/>
        <v>4</v>
      </c>
      <c r="C2220">
        <f t="shared" si="175"/>
        <v>1</v>
      </c>
      <c r="D2220" t="str">
        <f t="shared" si="176"/>
        <v>January</v>
      </c>
      <c r="E2220">
        <f t="shared" si="177"/>
        <v>2023</v>
      </c>
      <c r="F2220" t="str">
        <f>CONCATENATE(calendar[[#This Row],[Month]],"/",calendar[[#This Row],[Year]])</f>
        <v>1/2023</v>
      </c>
      <c r="G2220">
        <f>WEEKDAY(calendar[[#This Row],[Date]],1)</f>
        <v>7</v>
      </c>
      <c r="H2220" t="str">
        <f>TEXT(calendar[[#This Row],[WeekDay]],"dddd")</f>
        <v>Saturday</v>
      </c>
      <c r="I2220">
        <f>IF((INT(calendar[[#This Row],[Count]]/7)-calendar[[#This Row],[Count]]/7)&lt;0,I2219,I2219+1)</f>
        <v>317</v>
      </c>
      <c r="J2220">
        <f t="shared" si="174"/>
        <v>2218</v>
      </c>
      <c r="K2220">
        <f>IF(calendar[[#This Row],[Month]]&lt;4,1,IF(calendar[[#This Row],[Month]]&lt;7,2,IF(calendar[[#This Row],[Month]]&lt;10,3,4)))</f>
        <v>1</v>
      </c>
      <c r="L2220">
        <f>IFERROR(IF(VLOOKUP(calendar[[#This Row],[Date]],BH!A:A,1,)&lt;&gt;"",1,0),0)</f>
        <v>0</v>
      </c>
      <c r="M2220">
        <f>IFERROR(IF(VLOOKUP(calendar[[#This Row],[Date]],BH!C:C,1,)&lt;&gt;"",1,0),0)</f>
        <v>0</v>
      </c>
      <c r="N2220">
        <f>IFERROR(IF(VLOOKUP(calendar[[#This Row],[Date]],BH!E:E,1,)&lt;&gt;"",1,0),0)</f>
        <v>0</v>
      </c>
      <c r="O2220">
        <f>IFERROR(IF(VLOOKUP(calendar[[#This Row],[Date]],BH!G:G,1,)&lt;&gt;"",1,0),0)</f>
        <v>0</v>
      </c>
      <c r="P2220">
        <f>IF(OR(calendar[[#This Row],[UK_BH]]=1,calendar[[#This Row],[WeekDay]]=1, calendar[[#This Row],[WeekDay]]=7),P2219,P2219+1)</f>
        <v>1585</v>
      </c>
      <c r="Q2220">
        <f>IF(OR(calendar[[#This Row],[FR_BH]]=1,calendar[[#This Row],[WeekDay]]=1, calendar[[#This Row],[WeekDay]]=7),P2219,P2219+1)</f>
        <v>1585</v>
      </c>
      <c r="R2220">
        <f>IF(OR(calendar[[#This Row],[SP_BH]]=1,calendar[[#This Row],[WeekDay]]=1, calendar[[#This Row],[WeekDay]]=7),P2219,P2219+1)</f>
        <v>1585</v>
      </c>
      <c r="S2220">
        <f>IF(OR(calendar[[#This Row],[PT_BH]]=1,calendar[[#This Row],[WeekDay]]=1, calendar[[#This Row],[WeekDay]]=7),P2219,P2219+1)</f>
        <v>1585</v>
      </c>
    </row>
    <row r="2221" spans="1:19" x14ac:dyDescent="0.25">
      <c r="A2221" s="2">
        <v>44955</v>
      </c>
      <c r="B2221" s="1">
        <f t="shared" si="173"/>
        <v>5</v>
      </c>
      <c r="C2221">
        <f t="shared" si="175"/>
        <v>1</v>
      </c>
      <c r="D2221" t="str">
        <f t="shared" si="176"/>
        <v>January</v>
      </c>
      <c r="E2221">
        <f t="shared" si="177"/>
        <v>2023</v>
      </c>
      <c r="F2221" t="str">
        <f>CONCATENATE(calendar[[#This Row],[Month]],"/",calendar[[#This Row],[Year]])</f>
        <v>1/2023</v>
      </c>
      <c r="G2221">
        <f>WEEKDAY(calendar[[#This Row],[Date]],1)</f>
        <v>1</v>
      </c>
      <c r="H2221" t="str">
        <f>TEXT(calendar[[#This Row],[WeekDay]],"dddd")</f>
        <v>Sunday</v>
      </c>
      <c r="I2221">
        <f>IF((INT(calendar[[#This Row],[Count]]/7)-calendar[[#This Row],[Count]]/7)&lt;0,I2220,I2220+1)</f>
        <v>318</v>
      </c>
      <c r="J2221">
        <f t="shared" si="174"/>
        <v>2219</v>
      </c>
      <c r="K2221">
        <f>IF(calendar[[#This Row],[Month]]&lt;4,1,IF(calendar[[#This Row],[Month]]&lt;7,2,IF(calendar[[#This Row],[Month]]&lt;10,3,4)))</f>
        <v>1</v>
      </c>
      <c r="L2221">
        <f>IFERROR(IF(VLOOKUP(calendar[[#This Row],[Date]],BH!A:A,1,)&lt;&gt;"",1,0),0)</f>
        <v>0</v>
      </c>
      <c r="M2221">
        <f>IFERROR(IF(VLOOKUP(calendar[[#This Row],[Date]],BH!C:C,1,)&lt;&gt;"",1,0),0)</f>
        <v>0</v>
      </c>
      <c r="N2221">
        <f>IFERROR(IF(VLOOKUP(calendar[[#This Row],[Date]],BH!E:E,1,)&lt;&gt;"",1,0),0)</f>
        <v>0</v>
      </c>
      <c r="O2221">
        <f>IFERROR(IF(VLOOKUP(calendar[[#This Row],[Date]],BH!G:G,1,)&lt;&gt;"",1,0),0)</f>
        <v>0</v>
      </c>
      <c r="P2221">
        <f>IF(OR(calendar[[#This Row],[UK_BH]]=1,calendar[[#This Row],[WeekDay]]=1, calendar[[#This Row],[WeekDay]]=7),P2220,P2220+1)</f>
        <v>1585</v>
      </c>
      <c r="Q2221">
        <f>IF(OR(calendar[[#This Row],[FR_BH]]=1,calendar[[#This Row],[WeekDay]]=1, calendar[[#This Row],[WeekDay]]=7),P2220,P2220+1)</f>
        <v>1585</v>
      </c>
      <c r="R2221">
        <f>IF(OR(calendar[[#This Row],[SP_BH]]=1,calendar[[#This Row],[WeekDay]]=1, calendar[[#This Row],[WeekDay]]=7),P2220,P2220+1)</f>
        <v>1585</v>
      </c>
      <c r="S2221">
        <f>IF(OR(calendar[[#This Row],[PT_BH]]=1,calendar[[#This Row],[WeekDay]]=1, calendar[[#This Row],[WeekDay]]=7),P2220,P2220+1)</f>
        <v>1585</v>
      </c>
    </row>
    <row r="2222" spans="1:19" x14ac:dyDescent="0.25">
      <c r="A2222" s="2">
        <v>44956</v>
      </c>
      <c r="B2222" s="1">
        <f t="shared" si="173"/>
        <v>5</v>
      </c>
      <c r="C2222">
        <f t="shared" si="175"/>
        <v>1</v>
      </c>
      <c r="D2222" t="str">
        <f t="shared" si="176"/>
        <v>January</v>
      </c>
      <c r="E2222">
        <f t="shared" si="177"/>
        <v>2023</v>
      </c>
      <c r="F2222" t="str">
        <f>CONCATENATE(calendar[[#This Row],[Month]],"/",calendar[[#This Row],[Year]])</f>
        <v>1/2023</v>
      </c>
      <c r="G2222">
        <f>WEEKDAY(calendar[[#This Row],[Date]],1)</f>
        <v>2</v>
      </c>
      <c r="H2222" t="str">
        <f>TEXT(calendar[[#This Row],[WeekDay]],"dddd")</f>
        <v>Monday</v>
      </c>
      <c r="I2222">
        <f>IF((INT(calendar[[#This Row],[Count]]/7)-calendar[[#This Row],[Count]]/7)&lt;0,I2221,I2221+1)</f>
        <v>318</v>
      </c>
      <c r="J2222">
        <f t="shared" si="174"/>
        <v>2220</v>
      </c>
      <c r="K2222">
        <f>IF(calendar[[#This Row],[Month]]&lt;4,1,IF(calendar[[#This Row],[Month]]&lt;7,2,IF(calendar[[#This Row],[Month]]&lt;10,3,4)))</f>
        <v>1</v>
      </c>
      <c r="L2222">
        <f>IFERROR(IF(VLOOKUP(calendar[[#This Row],[Date]],BH!A:A,1,)&lt;&gt;"",1,0),0)</f>
        <v>0</v>
      </c>
      <c r="M2222">
        <f>IFERROR(IF(VLOOKUP(calendar[[#This Row],[Date]],BH!C:C,1,)&lt;&gt;"",1,0),0)</f>
        <v>0</v>
      </c>
      <c r="N2222">
        <f>IFERROR(IF(VLOOKUP(calendar[[#This Row],[Date]],BH!E:E,1,)&lt;&gt;"",1,0),0)</f>
        <v>0</v>
      </c>
      <c r="O2222">
        <f>IFERROR(IF(VLOOKUP(calendar[[#This Row],[Date]],BH!G:G,1,)&lt;&gt;"",1,0),0)</f>
        <v>0</v>
      </c>
      <c r="P2222">
        <f>IF(OR(calendar[[#This Row],[UK_BH]]=1,calendar[[#This Row],[WeekDay]]=1, calendar[[#This Row],[WeekDay]]=7),P2221,P2221+1)</f>
        <v>1586</v>
      </c>
      <c r="Q2222">
        <f>IF(OR(calendar[[#This Row],[FR_BH]]=1,calendar[[#This Row],[WeekDay]]=1, calendar[[#This Row],[WeekDay]]=7),P2221,P2221+1)</f>
        <v>1586</v>
      </c>
      <c r="R2222">
        <f>IF(OR(calendar[[#This Row],[SP_BH]]=1,calendar[[#This Row],[WeekDay]]=1, calendar[[#This Row],[WeekDay]]=7),P2221,P2221+1)</f>
        <v>1586</v>
      </c>
      <c r="S2222">
        <f>IF(OR(calendar[[#This Row],[PT_BH]]=1,calendar[[#This Row],[WeekDay]]=1, calendar[[#This Row],[WeekDay]]=7),P2221,P2221+1)</f>
        <v>1586</v>
      </c>
    </row>
    <row r="2223" spans="1:19" x14ac:dyDescent="0.25">
      <c r="A2223" s="2">
        <v>44957</v>
      </c>
      <c r="B2223" s="1">
        <f t="shared" si="173"/>
        <v>5</v>
      </c>
      <c r="C2223">
        <f t="shared" si="175"/>
        <v>1</v>
      </c>
      <c r="D2223" t="str">
        <f t="shared" si="176"/>
        <v>January</v>
      </c>
      <c r="E2223">
        <f t="shared" si="177"/>
        <v>2023</v>
      </c>
      <c r="F2223" t="str">
        <f>CONCATENATE(calendar[[#This Row],[Month]],"/",calendar[[#This Row],[Year]])</f>
        <v>1/2023</v>
      </c>
      <c r="G2223">
        <f>WEEKDAY(calendar[[#This Row],[Date]],1)</f>
        <v>3</v>
      </c>
      <c r="H2223" t="str">
        <f>TEXT(calendar[[#This Row],[WeekDay]],"dddd")</f>
        <v>Tuesday</v>
      </c>
      <c r="I2223">
        <f>IF((INT(calendar[[#This Row],[Count]]/7)-calendar[[#This Row],[Count]]/7)&lt;0,I2222,I2222+1)</f>
        <v>318</v>
      </c>
      <c r="J2223">
        <f t="shared" si="174"/>
        <v>2221</v>
      </c>
      <c r="K2223">
        <f>IF(calendar[[#This Row],[Month]]&lt;4,1,IF(calendar[[#This Row],[Month]]&lt;7,2,IF(calendar[[#This Row],[Month]]&lt;10,3,4)))</f>
        <v>1</v>
      </c>
      <c r="L2223">
        <f>IFERROR(IF(VLOOKUP(calendar[[#This Row],[Date]],BH!A:A,1,)&lt;&gt;"",1,0),0)</f>
        <v>0</v>
      </c>
      <c r="M2223">
        <f>IFERROR(IF(VLOOKUP(calendar[[#This Row],[Date]],BH!C:C,1,)&lt;&gt;"",1,0),0)</f>
        <v>0</v>
      </c>
      <c r="N2223">
        <f>IFERROR(IF(VLOOKUP(calendar[[#This Row],[Date]],BH!E:E,1,)&lt;&gt;"",1,0),0)</f>
        <v>0</v>
      </c>
      <c r="O2223">
        <f>IFERROR(IF(VLOOKUP(calendar[[#This Row],[Date]],BH!G:G,1,)&lt;&gt;"",1,0),0)</f>
        <v>0</v>
      </c>
      <c r="P2223">
        <f>IF(OR(calendar[[#This Row],[UK_BH]]=1,calendar[[#This Row],[WeekDay]]=1, calendar[[#This Row],[WeekDay]]=7),P2222,P2222+1)</f>
        <v>1587</v>
      </c>
      <c r="Q2223">
        <f>IF(OR(calendar[[#This Row],[FR_BH]]=1,calendar[[#This Row],[WeekDay]]=1, calendar[[#This Row],[WeekDay]]=7),P2222,P2222+1)</f>
        <v>1587</v>
      </c>
      <c r="R2223">
        <f>IF(OR(calendar[[#This Row],[SP_BH]]=1,calendar[[#This Row],[WeekDay]]=1, calendar[[#This Row],[WeekDay]]=7),P2222,P2222+1)</f>
        <v>1587</v>
      </c>
      <c r="S2223">
        <f>IF(OR(calendar[[#This Row],[PT_BH]]=1,calendar[[#This Row],[WeekDay]]=1, calendar[[#This Row],[WeekDay]]=7),P2222,P2222+1)</f>
        <v>1587</v>
      </c>
    </row>
    <row r="2224" spans="1:19" x14ac:dyDescent="0.25">
      <c r="A2224" s="2">
        <v>44958</v>
      </c>
      <c r="B2224" s="1">
        <f t="shared" si="173"/>
        <v>5</v>
      </c>
      <c r="C2224">
        <f t="shared" si="175"/>
        <v>2</v>
      </c>
      <c r="D2224" t="str">
        <f t="shared" si="176"/>
        <v>February</v>
      </c>
      <c r="E2224">
        <f t="shared" si="177"/>
        <v>2023</v>
      </c>
      <c r="F2224" t="str">
        <f>CONCATENATE(calendar[[#This Row],[Month]],"/",calendar[[#This Row],[Year]])</f>
        <v>2/2023</v>
      </c>
      <c r="G2224">
        <f>WEEKDAY(calendar[[#This Row],[Date]],1)</f>
        <v>4</v>
      </c>
      <c r="H2224" t="str">
        <f>TEXT(calendar[[#This Row],[WeekDay]],"dddd")</f>
        <v>Wednesday</v>
      </c>
      <c r="I2224">
        <f>IF((INT(calendar[[#This Row],[Count]]/7)-calendar[[#This Row],[Count]]/7)&lt;0,I2223,I2223+1)</f>
        <v>318</v>
      </c>
      <c r="J2224">
        <f t="shared" si="174"/>
        <v>2222</v>
      </c>
      <c r="K2224">
        <f>IF(calendar[[#This Row],[Month]]&lt;4,1,IF(calendar[[#This Row],[Month]]&lt;7,2,IF(calendar[[#This Row],[Month]]&lt;10,3,4)))</f>
        <v>1</v>
      </c>
      <c r="L2224">
        <f>IFERROR(IF(VLOOKUP(calendar[[#This Row],[Date]],BH!A:A,1,)&lt;&gt;"",1,0),0)</f>
        <v>0</v>
      </c>
      <c r="M2224">
        <f>IFERROR(IF(VLOOKUP(calendar[[#This Row],[Date]],BH!C:C,1,)&lt;&gt;"",1,0),0)</f>
        <v>0</v>
      </c>
      <c r="N2224">
        <f>IFERROR(IF(VLOOKUP(calendar[[#This Row],[Date]],BH!E:E,1,)&lt;&gt;"",1,0),0)</f>
        <v>0</v>
      </c>
      <c r="O2224">
        <f>IFERROR(IF(VLOOKUP(calendar[[#This Row],[Date]],BH!G:G,1,)&lt;&gt;"",1,0),0)</f>
        <v>0</v>
      </c>
      <c r="P2224">
        <f>IF(OR(calendar[[#This Row],[UK_BH]]=1,calendar[[#This Row],[WeekDay]]=1, calendar[[#This Row],[WeekDay]]=7),P2223,P2223+1)</f>
        <v>1588</v>
      </c>
      <c r="Q2224">
        <f>IF(OR(calendar[[#This Row],[FR_BH]]=1,calendar[[#This Row],[WeekDay]]=1, calendar[[#This Row],[WeekDay]]=7),P2223,P2223+1)</f>
        <v>1588</v>
      </c>
      <c r="R2224">
        <f>IF(OR(calendar[[#This Row],[SP_BH]]=1,calendar[[#This Row],[WeekDay]]=1, calendar[[#This Row],[WeekDay]]=7),P2223,P2223+1)</f>
        <v>1588</v>
      </c>
      <c r="S2224">
        <f>IF(OR(calendar[[#This Row],[PT_BH]]=1,calendar[[#This Row],[WeekDay]]=1, calendar[[#This Row],[WeekDay]]=7),P2223,P2223+1)</f>
        <v>1588</v>
      </c>
    </row>
    <row r="2225" spans="1:19" x14ac:dyDescent="0.25">
      <c r="A2225" s="2">
        <v>44959</v>
      </c>
      <c r="B2225" s="1">
        <f t="shared" si="173"/>
        <v>5</v>
      </c>
      <c r="C2225">
        <f t="shared" si="175"/>
        <v>2</v>
      </c>
      <c r="D2225" t="str">
        <f t="shared" si="176"/>
        <v>February</v>
      </c>
      <c r="E2225">
        <f t="shared" si="177"/>
        <v>2023</v>
      </c>
      <c r="F2225" t="str">
        <f>CONCATENATE(calendar[[#This Row],[Month]],"/",calendar[[#This Row],[Year]])</f>
        <v>2/2023</v>
      </c>
      <c r="G2225">
        <f>WEEKDAY(calendar[[#This Row],[Date]],1)</f>
        <v>5</v>
      </c>
      <c r="H2225" t="str">
        <f>TEXT(calendar[[#This Row],[WeekDay]],"dddd")</f>
        <v>Thursday</v>
      </c>
      <c r="I2225">
        <f>IF((INT(calendar[[#This Row],[Count]]/7)-calendar[[#This Row],[Count]]/7)&lt;0,I2224,I2224+1)</f>
        <v>318</v>
      </c>
      <c r="J2225">
        <f t="shared" si="174"/>
        <v>2223</v>
      </c>
      <c r="K2225">
        <f>IF(calendar[[#This Row],[Month]]&lt;4,1,IF(calendar[[#This Row],[Month]]&lt;7,2,IF(calendar[[#This Row],[Month]]&lt;10,3,4)))</f>
        <v>1</v>
      </c>
      <c r="L2225">
        <f>IFERROR(IF(VLOOKUP(calendar[[#This Row],[Date]],BH!A:A,1,)&lt;&gt;"",1,0),0)</f>
        <v>0</v>
      </c>
      <c r="M2225">
        <f>IFERROR(IF(VLOOKUP(calendar[[#This Row],[Date]],BH!C:C,1,)&lt;&gt;"",1,0),0)</f>
        <v>0</v>
      </c>
      <c r="N2225">
        <f>IFERROR(IF(VLOOKUP(calendar[[#This Row],[Date]],BH!E:E,1,)&lt;&gt;"",1,0),0)</f>
        <v>0</v>
      </c>
      <c r="O2225">
        <f>IFERROR(IF(VLOOKUP(calendar[[#This Row],[Date]],BH!G:G,1,)&lt;&gt;"",1,0),0)</f>
        <v>0</v>
      </c>
      <c r="P2225">
        <f>IF(OR(calendar[[#This Row],[UK_BH]]=1,calendar[[#This Row],[WeekDay]]=1, calendar[[#This Row],[WeekDay]]=7),P2224,P2224+1)</f>
        <v>1589</v>
      </c>
      <c r="Q2225">
        <f>IF(OR(calendar[[#This Row],[FR_BH]]=1,calendar[[#This Row],[WeekDay]]=1, calendar[[#This Row],[WeekDay]]=7),P2224,P2224+1)</f>
        <v>1589</v>
      </c>
      <c r="R2225">
        <f>IF(OR(calendar[[#This Row],[SP_BH]]=1,calendar[[#This Row],[WeekDay]]=1, calendar[[#This Row],[WeekDay]]=7),P2224,P2224+1)</f>
        <v>1589</v>
      </c>
      <c r="S2225">
        <f>IF(OR(calendar[[#This Row],[PT_BH]]=1,calendar[[#This Row],[WeekDay]]=1, calendar[[#This Row],[WeekDay]]=7),P2224,P2224+1)</f>
        <v>1589</v>
      </c>
    </row>
    <row r="2226" spans="1:19" x14ac:dyDescent="0.25">
      <c r="A2226" s="2">
        <v>44960</v>
      </c>
      <c r="B2226" s="1">
        <f t="shared" si="173"/>
        <v>5</v>
      </c>
      <c r="C2226">
        <f t="shared" si="175"/>
        <v>2</v>
      </c>
      <c r="D2226" t="str">
        <f t="shared" si="176"/>
        <v>February</v>
      </c>
      <c r="E2226">
        <f t="shared" si="177"/>
        <v>2023</v>
      </c>
      <c r="F2226" t="str">
        <f>CONCATENATE(calendar[[#This Row],[Month]],"/",calendar[[#This Row],[Year]])</f>
        <v>2/2023</v>
      </c>
      <c r="G2226">
        <f>WEEKDAY(calendar[[#This Row],[Date]],1)</f>
        <v>6</v>
      </c>
      <c r="H2226" t="str">
        <f>TEXT(calendar[[#This Row],[WeekDay]],"dddd")</f>
        <v>Friday</v>
      </c>
      <c r="I2226">
        <f>IF((INT(calendar[[#This Row],[Count]]/7)-calendar[[#This Row],[Count]]/7)&lt;0,I2225,I2225+1)</f>
        <v>318</v>
      </c>
      <c r="J2226">
        <f t="shared" si="174"/>
        <v>2224</v>
      </c>
      <c r="K2226">
        <f>IF(calendar[[#This Row],[Month]]&lt;4,1,IF(calendar[[#This Row],[Month]]&lt;7,2,IF(calendar[[#This Row],[Month]]&lt;10,3,4)))</f>
        <v>1</v>
      </c>
      <c r="L2226">
        <f>IFERROR(IF(VLOOKUP(calendar[[#This Row],[Date]],BH!A:A,1,)&lt;&gt;"",1,0),0)</f>
        <v>0</v>
      </c>
      <c r="M2226">
        <f>IFERROR(IF(VLOOKUP(calendar[[#This Row],[Date]],BH!C:C,1,)&lt;&gt;"",1,0),0)</f>
        <v>0</v>
      </c>
      <c r="N2226">
        <f>IFERROR(IF(VLOOKUP(calendar[[#This Row],[Date]],BH!E:E,1,)&lt;&gt;"",1,0),0)</f>
        <v>0</v>
      </c>
      <c r="O2226">
        <f>IFERROR(IF(VLOOKUP(calendar[[#This Row],[Date]],BH!G:G,1,)&lt;&gt;"",1,0),0)</f>
        <v>0</v>
      </c>
      <c r="P2226">
        <f>IF(OR(calendar[[#This Row],[UK_BH]]=1,calendar[[#This Row],[WeekDay]]=1, calendar[[#This Row],[WeekDay]]=7),P2225,P2225+1)</f>
        <v>1590</v>
      </c>
      <c r="Q2226">
        <f>IF(OR(calendar[[#This Row],[FR_BH]]=1,calendar[[#This Row],[WeekDay]]=1, calendar[[#This Row],[WeekDay]]=7),P2225,P2225+1)</f>
        <v>1590</v>
      </c>
      <c r="R2226">
        <f>IF(OR(calendar[[#This Row],[SP_BH]]=1,calendar[[#This Row],[WeekDay]]=1, calendar[[#This Row],[WeekDay]]=7),P2225,P2225+1)</f>
        <v>1590</v>
      </c>
      <c r="S2226">
        <f>IF(OR(calendar[[#This Row],[PT_BH]]=1,calendar[[#This Row],[WeekDay]]=1, calendar[[#This Row],[WeekDay]]=7),P2225,P2225+1)</f>
        <v>1590</v>
      </c>
    </row>
    <row r="2227" spans="1:19" x14ac:dyDescent="0.25">
      <c r="A2227" s="2">
        <v>44961</v>
      </c>
      <c r="B2227" s="1">
        <f t="shared" si="173"/>
        <v>5</v>
      </c>
      <c r="C2227">
        <f t="shared" si="175"/>
        <v>2</v>
      </c>
      <c r="D2227" t="str">
        <f t="shared" si="176"/>
        <v>February</v>
      </c>
      <c r="E2227">
        <f t="shared" si="177"/>
        <v>2023</v>
      </c>
      <c r="F2227" t="str">
        <f>CONCATENATE(calendar[[#This Row],[Month]],"/",calendar[[#This Row],[Year]])</f>
        <v>2/2023</v>
      </c>
      <c r="G2227">
        <f>WEEKDAY(calendar[[#This Row],[Date]],1)</f>
        <v>7</v>
      </c>
      <c r="H2227" t="str">
        <f>TEXT(calendar[[#This Row],[WeekDay]],"dddd")</f>
        <v>Saturday</v>
      </c>
      <c r="I2227">
        <f>IF((INT(calendar[[#This Row],[Count]]/7)-calendar[[#This Row],[Count]]/7)&lt;0,I2226,I2226+1)</f>
        <v>318</v>
      </c>
      <c r="J2227">
        <f t="shared" si="174"/>
        <v>2225</v>
      </c>
      <c r="K2227">
        <f>IF(calendar[[#This Row],[Month]]&lt;4,1,IF(calendar[[#This Row],[Month]]&lt;7,2,IF(calendar[[#This Row],[Month]]&lt;10,3,4)))</f>
        <v>1</v>
      </c>
      <c r="L2227">
        <f>IFERROR(IF(VLOOKUP(calendar[[#This Row],[Date]],BH!A:A,1,)&lt;&gt;"",1,0),0)</f>
        <v>0</v>
      </c>
      <c r="M2227">
        <f>IFERROR(IF(VLOOKUP(calendar[[#This Row],[Date]],BH!C:C,1,)&lt;&gt;"",1,0),0)</f>
        <v>0</v>
      </c>
      <c r="N2227">
        <f>IFERROR(IF(VLOOKUP(calendar[[#This Row],[Date]],BH!E:E,1,)&lt;&gt;"",1,0),0)</f>
        <v>0</v>
      </c>
      <c r="O2227">
        <f>IFERROR(IF(VLOOKUP(calendar[[#This Row],[Date]],BH!G:G,1,)&lt;&gt;"",1,0),0)</f>
        <v>0</v>
      </c>
      <c r="P2227">
        <f>IF(OR(calendar[[#This Row],[UK_BH]]=1,calendar[[#This Row],[WeekDay]]=1, calendar[[#This Row],[WeekDay]]=7),P2226,P2226+1)</f>
        <v>1590</v>
      </c>
      <c r="Q2227">
        <f>IF(OR(calendar[[#This Row],[FR_BH]]=1,calendar[[#This Row],[WeekDay]]=1, calendar[[#This Row],[WeekDay]]=7),P2226,P2226+1)</f>
        <v>1590</v>
      </c>
      <c r="R2227">
        <f>IF(OR(calendar[[#This Row],[SP_BH]]=1,calendar[[#This Row],[WeekDay]]=1, calendar[[#This Row],[WeekDay]]=7),P2226,P2226+1)</f>
        <v>1590</v>
      </c>
      <c r="S2227">
        <f>IF(OR(calendar[[#This Row],[PT_BH]]=1,calendar[[#This Row],[WeekDay]]=1, calendar[[#This Row],[WeekDay]]=7),P2226,P2226+1)</f>
        <v>1590</v>
      </c>
    </row>
    <row r="2228" spans="1:19" x14ac:dyDescent="0.25">
      <c r="A2228" s="2">
        <v>44962</v>
      </c>
      <c r="B2228" s="1">
        <f t="shared" si="173"/>
        <v>6</v>
      </c>
      <c r="C2228">
        <f t="shared" si="175"/>
        <v>2</v>
      </c>
      <c r="D2228" t="str">
        <f t="shared" si="176"/>
        <v>February</v>
      </c>
      <c r="E2228">
        <f t="shared" si="177"/>
        <v>2023</v>
      </c>
      <c r="F2228" t="str">
        <f>CONCATENATE(calendar[[#This Row],[Month]],"/",calendar[[#This Row],[Year]])</f>
        <v>2/2023</v>
      </c>
      <c r="G2228">
        <f>WEEKDAY(calendar[[#This Row],[Date]],1)</f>
        <v>1</v>
      </c>
      <c r="H2228" t="str">
        <f>TEXT(calendar[[#This Row],[WeekDay]],"dddd")</f>
        <v>Sunday</v>
      </c>
      <c r="I2228">
        <f>IF((INT(calendar[[#This Row],[Count]]/7)-calendar[[#This Row],[Count]]/7)&lt;0,I2227,I2227+1)</f>
        <v>319</v>
      </c>
      <c r="J2228">
        <f t="shared" si="174"/>
        <v>2226</v>
      </c>
      <c r="K2228">
        <f>IF(calendar[[#This Row],[Month]]&lt;4,1,IF(calendar[[#This Row],[Month]]&lt;7,2,IF(calendar[[#This Row],[Month]]&lt;10,3,4)))</f>
        <v>1</v>
      </c>
      <c r="L2228">
        <f>IFERROR(IF(VLOOKUP(calendar[[#This Row],[Date]],BH!A:A,1,)&lt;&gt;"",1,0),0)</f>
        <v>0</v>
      </c>
      <c r="M2228">
        <f>IFERROR(IF(VLOOKUP(calendar[[#This Row],[Date]],BH!C:C,1,)&lt;&gt;"",1,0),0)</f>
        <v>0</v>
      </c>
      <c r="N2228">
        <f>IFERROR(IF(VLOOKUP(calendar[[#This Row],[Date]],BH!E:E,1,)&lt;&gt;"",1,0),0)</f>
        <v>0</v>
      </c>
      <c r="O2228">
        <f>IFERROR(IF(VLOOKUP(calendar[[#This Row],[Date]],BH!G:G,1,)&lt;&gt;"",1,0),0)</f>
        <v>0</v>
      </c>
      <c r="P2228">
        <f>IF(OR(calendar[[#This Row],[UK_BH]]=1,calendar[[#This Row],[WeekDay]]=1, calendar[[#This Row],[WeekDay]]=7),P2227,P2227+1)</f>
        <v>1590</v>
      </c>
      <c r="Q2228">
        <f>IF(OR(calendar[[#This Row],[FR_BH]]=1,calendar[[#This Row],[WeekDay]]=1, calendar[[#This Row],[WeekDay]]=7),P2227,P2227+1)</f>
        <v>1590</v>
      </c>
      <c r="R2228">
        <f>IF(OR(calendar[[#This Row],[SP_BH]]=1,calendar[[#This Row],[WeekDay]]=1, calendar[[#This Row],[WeekDay]]=7),P2227,P2227+1)</f>
        <v>1590</v>
      </c>
      <c r="S2228">
        <f>IF(OR(calendar[[#This Row],[PT_BH]]=1,calendar[[#This Row],[WeekDay]]=1, calendar[[#This Row],[WeekDay]]=7),P2227,P2227+1)</f>
        <v>1590</v>
      </c>
    </row>
    <row r="2229" spans="1:19" x14ac:dyDescent="0.25">
      <c r="A2229" s="2">
        <v>44963</v>
      </c>
      <c r="B2229" s="1">
        <f t="shared" si="173"/>
        <v>6</v>
      </c>
      <c r="C2229">
        <f t="shared" si="175"/>
        <v>2</v>
      </c>
      <c r="D2229" t="str">
        <f t="shared" si="176"/>
        <v>February</v>
      </c>
      <c r="E2229">
        <f t="shared" si="177"/>
        <v>2023</v>
      </c>
      <c r="F2229" t="str">
        <f>CONCATENATE(calendar[[#This Row],[Month]],"/",calendar[[#This Row],[Year]])</f>
        <v>2/2023</v>
      </c>
      <c r="G2229">
        <f>WEEKDAY(calendar[[#This Row],[Date]],1)</f>
        <v>2</v>
      </c>
      <c r="H2229" t="str">
        <f>TEXT(calendar[[#This Row],[WeekDay]],"dddd")</f>
        <v>Monday</v>
      </c>
      <c r="I2229">
        <f>IF((INT(calendar[[#This Row],[Count]]/7)-calendar[[#This Row],[Count]]/7)&lt;0,I2228,I2228+1)</f>
        <v>319</v>
      </c>
      <c r="J2229">
        <f t="shared" si="174"/>
        <v>2227</v>
      </c>
      <c r="K2229">
        <f>IF(calendar[[#This Row],[Month]]&lt;4,1,IF(calendar[[#This Row],[Month]]&lt;7,2,IF(calendar[[#This Row],[Month]]&lt;10,3,4)))</f>
        <v>1</v>
      </c>
      <c r="L2229">
        <f>IFERROR(IF(VLOOKUP(calendar[[#This Row],[Date]],BH!A:A,1,)&lt;&gt;"",1,0),0)</f>
        <v>0</v>
      </c>
      <c r="M2229">
        <f>IFERROR(IF(VLOOKUP(calendar[[#This Row],[Date]],BH!C:C,1,)&lt;&gt;"",1,0),0)</f>
        <v>0</v>
      </c>
      <c r="N2229">
        <f>IFERROR(IF(VLOOKUP(calendar[[#This Row],[Date]],BH!E:E,1,)&lt;&gt;"",1,0),0)</f>
        <v>0</v>
      </c>
      <c r="O2229">
        <f>IFERROR(IF(VLOOKUP(calendar[[#This Row],[Date]],BH!G:G,1,)&lt;&gt;"",1,0),0)</f>
        <v>0</v>
      </c>
      <c r="P2229">
        <f>IF(OR(calendar[[#This Row],[UK_BH]]=1,calendar[[#This Row],[WeekDay]]=1, calendar[[#This Row],[WeekDay]]=7),P2228,P2228+1)</f>
        <v>1591</v>
      </c>
      <c r="Q2229">
        <f>IF(OR(calendar[[#This Row],[FR_BH]]=1,calendar[[#This Row],[WeekDay]]=1, calendar[[#This Row],[WeekDay]]=7),P2228,P2228+1)</f>
        <v>1591</v>
      </c>
      <c r="R2229">
        <f>IF(OR(calendar[[#This Row],[SP_BH]]=1,calendar[[#This Row],[WeekDay]]=1, calendar[[#This Row],[WeekDay]]=7),P2228,P2228+1)</f>
        <v>1591</v>
      </c>
      <c r="S2229">
        <f>IF(OR(calendar[[#This Row],[PT_BH]]=1,calendar[[#This Row],[WeekDay]]=1, calendar[[#This Row],[WeekDay]]=7),P2228,P2228+1)</f>
        <v>1591</v>
      </c>
    </row>
    <row r="2230" spans="1:19" x14ac:dyDescent="0.25">
      <c r="A2230" s="2">
        <v>44964</v>
      </c>
      <c r="B2230" s="1">
        <f t="shared" si="173"/>
        <v>6</v>
      </c>
      <c r="C2230">
        <f t="shared" si="175"/>
        <v>2</v>
      </c>
      <c r="D2230" t="str">
        <f t="shared" si="176"/>
        <v>February</v>
      </c>
      <c r="E2230">
        <f t="shared" si="177"/>
        <v>2023</v>
      </c>
      <c r="F2230" t="str">
        <f>CONCATENATE(calendar[[#This Row],[Month]],"/",calendar[[#This Row],[Year]])</f>
        <v>2/2023</v>
      </c>
      <c r="G2230">
        <f>WEEKDAY(calendar[[#This Row],[Date]],1)</f>
        <v>3</v>
      </c>
      <c r="H2230" t="str">
        <f>TEXT(calendar[[#This Row],[WeekDay]],"dddd")</f>
        <v>Tuesday</v>
      </c>
      <c r="I2230">
        <f>IF((INT(calendar[[#This Row],[Count]]/7)-calendar[[#This Row],[Count]]/7)&lt;0,I2229,I2229+1)</f>
        <v>319</v>
      </c>
      <c r="J2230">
        <f t="shared" si="174"/>
        <v>2228</v>
      </c>
      <c r="K2230">
        <f>IF(calendar[[#This Row],[Month]]&lt;4,1,IF(calendar[[#This Row],[Month]]&lt;7,2,IF(calendar[[#This Row],[Month]]&lt;10,3,4)))</f>
        <v>1</v>
      </c>
      <c r="L2230">
        <f>IFERROR(IF(VLOOKUP(calendar[[#This Row],[Date]],BH!A:A,1,)&lt;&gt;"",1,0),0)</f>
        <v>0</v>
      </c>
      <c r="M2230">
        <f>IFERROR(IF(VLOOKUP(calendar[[#This Row],[Date]],BH!C:C,1,)&lt;&gt;"",1,0),0)</f>
        <v>0</v>
      </c>
      <c r="N2230">
        <f>IFERROR(IF(VLOOKUP(calendar[[#This Row],[Date]],BH!E:E,1,)&lt;&gt;"",1,0),0)</f>
        <v>0</v>
      </c>
      <c r="O2230">
        <f>IFERROR(IF(VLOOKUP(calendar[[#This Row],[Date]],BH!G:G,1,)&lt;&gt;"",1,0),0)</f>
        <v>0</v>
      </c>
      <c r="P2230">
        <f>IF(OR(calendar[[#This Row],[UK_BH]]=1,calendar[[#This Row],[WeekDay]]=1, calendar[[#This Row],[WeekDay]]=7),P2229,P2229+1)</f>
        <v>1592</v>
      </c>
      <c r="Q2230">
        <f>IF(OR(calendar[[#This Row],[FR_BH]]=1,calendar[[#This Row],[WeekDay]]=1, calendar[[#This Row],[WeekDay]]=7),P2229,P2229+1)</f>
        <v>1592</v>
      </c>
      <c r="R2230">
        <f>IF(OR(calendar[[#This Row],[SP_BH]]=1,calendar[[#This Row],[WeekDay]]=1, calendar[[#This Row],[WeekDay]]=7),P2229,P2229+1)</f>
        <v>1592</v>
      </c>
      <c r="S2230">
        <f>IF(OR(calendar[[#This Row],[PT_BH]]=1,calendar[[#This Row],[WeekDay]]=1, calendar[[#This Row],[WeekDay]]=7),P2229,P2229+1)</f>
        <v>1592</v>
      </c>
    </row>
    <row r="2231" spans="1:19" x14ac:dyDescent="0.25">
      <c r="A2231" s="2">
        <v>44965</v>
      </c>
      <c r="B2231" s="1">
        <f t="shared" si="173"/>
        <v>6</v>
      </c>
      <c r="C2231">
        <f t="shared" si="175"/>
        <v>2</v>
      </c>
      <c r="D2231" t="str">
        <f t="shared" si="176"/>
        <v>February</v>
      </c>
      <c r="E2231">
        <f t="shared" si="177"/>
        <v>2023</v>
      </c>
      <c r="F2231" t="str">
        <f>CONCATENATE(calendar[[#This Row],[Month]],"/",calendar[[#This Row],[Year]])</f>
        <v>2/2023</v>
      </c>
      <c r="G2231">
        <f>WEEKDAY(calendar[[#This Row],[Date]],1)</f>
        <v>4</v>
      </c>
      <c r="H2231" t="str">
        <f>TEXT(calendar[[#This Row],[WeekDay]],"dddd")</f>
        <v>Wednesday</v>
      </c>
      <c r="I2231">
        <f>IF((INT(calendar[[#This Row],[Count]]/7)-calendar[[#This Row],[Count]]/7)&lt;0,I2230,I2230+1)</f>
        <v>319</v>
      </c>
      <c r="J2231">
        <f t="shared" si="174"/>
        <v>2229</v>
      </c>
      <c r="K2231">
        <f>IF(calendar[[#This Row],[Month]]&lt;4,1,IF(calendar[[#This Row],[Month]]&lt;7,2,IF(calendar[[#This Row],[Month]]&lt;10,3,4)))</f>
        <v>1</v>
      </c>
      <c r="L2231">
        <f>IFERROR(IF(VLOOKUP(calendar[[#This Row],[Date]],BH!A:A,1,)&lt;&gt;"",1,0),0)</f>
        <v>0</v>
      </c>
      <c r="M2231">
        <f>IFERROR(IF(VLOOKUP(calendar[[#This Row],[Date]],BH!C:C,1,)&lt;&gt;"",1,0),0)</f>
        <v>0</v>
      </c>
      <c r="N2231">
        <f>IFERROR(IF(VLOOKUP(calendar[[#This Row],[Date]],BH!E:E,1,)&lt;&gt;"",1,0),0)</f>
        <v>0</v>
      </c>
      <c r="O2231">
        <f>IFERROR(IF(VLOOKUP(calendar[[#This Row],[Date]],BH!G:G,1,)&lt;&gt;"",1,0),0)</f>
        <v>0</v>
      </c>
      <c r="P2231">
        <f>IF(OR(calendar[[#This Row],[UK_BH]]=1,calendar[[#This Row],[WeekDay]]=1, calendar[[#This Row],[WeekDay]]=7),P2230,P2230+1)</f>
        <v>1593</v>
      </c>
      <c r="Q2231">
        <f>IF(OR(calendar[[#This Row],[FR_BH]]=1,calendar[[#This Row],[WeekDay]]=1, calendar[[#This Row],[WeekDay]]=7),P2230,P2230+1)</f>
        <v>1593</v>
      </c>
      <c r="R2231">
        <f>IF(OR(calendar[[#This Row],[SP_BH]]=1,calendar[[#This Row],[WeekDay]]=1, calendar[[#This Row],[WeekDay]]=7),P2230,P2230+1)</f>
        <v>1593</v>
      </c>
      <c r="S2231">
        <f>IF(OR(calendar[[#This Row],[PT_BH]]=1,calendar[[#This Row],[WeekDay]]=1, calendar[[#This Row],[WeekDay]]=7),P2230,P2230+1)</f>
        <v>1593</v>
      </c>
    </row>
    <row r="2232" spans="1:19" x14ac:dyDescent="0.25">
      <c r="A2232" s="2">
        <v>44966</v>
      </c>
      <c r="B2232" s="1">
        <f t="shared" si="173"/>
        <v>6</v>
      </c>
      <c r="C2232">
        <f t="shared" si="175"/>
        <v>2</v>
      </c>
      <c r="D2232" t="str">
        <f t="shared" si="176"/>
        <v>February</v>
      </c>
      <c r="E2232">
        <f t="shared" si="177"/>
        <v>2023</v>
      </c>
      <c r="F2232" t="str">
        <f>CONCATENATE(calendar[[#This Row],[Month]],"/",calendar[[#This Row],[Year]])</f>
        <v>2/2023</v>
      </c>
      <c r="G2232">
        <f>WEEKDAY(calendar[[#This Row],[Date]],1)</f>
        <v>5</v>
      </c>
      <c r="H2232" t="str">
        <f>TEXT(calendar[[#This Row],[WeekDay]],"dddd")</f>
        <v>Thursday</v>
      </c>
      <c r="I2232">
        <f>IF((INT(calendar[[#This Row],[Count]]/7)-calendar[[#This Row],[Count]]/7)&lt;0,I2231,I2231+1)</f>
        <v>319</v>
      </c>
      <c r="J2232">
        <f t="shared" si="174"/>
        <v>2230</v>
      </c>
      <c r="K2232">
        <f>IF(calendar[[#This Row],[Month]]&lt;4,1,IF(calendar[[#This Row],[Month]]&lt;7,2,IF(calendar[[#This Row],[Month]]&lt;10,3,4)))</f>
        <v>1</v>
      </c>
      <c r="L2232">
        <f>IFERROR(IF(VLOOKUP(calendar[[#This Row],[Date]],BH!A:A,1,)&lt;&gt;"",1,0),0)</f>
        <v>0</v>
      </c>
      <c r="M2232">
        <f>IFERROR(IF(VLOOKUP(calendar[[#This Row],[Date]],BH!C:C,1,)&lt;&gt;"",1,0),0)</f>
        <v>0</v>
      </c>
      <c r="N2232">
        <f>IFERROR(IF(VLOOKUP(calendar[[#This Row],[Date]],BH!E:E,1,)&lt;&gt;"",1,0),0)</f>
        <v>0</v>
      </c>
      <c r="O2232">
        <f>IFERROR(IF(VLOOKUP(calendar[[#This Row],[Date]],BH!G:G,1,)&lt;&gt;"",1,0),0)</f>
        <v>0</v>
      </c>
      <c r="P2232">
        <f>IF(OR(calendar[[#This Row],[UK_BH]]=1,calendar[[#This Row],[WeekDay]]=1, calendar[[#This Row],[WeekDay]]=7),P2231,P2231+1)</f>
        <v>1594</v>
      </c>
      <c r="Q2232">
        <f>IF(OR(calendar[[#This Row],[FR_BH]]=1,calendar[[#This Row],[WeekDay]]=1, calendar[[#This Row],[WeekDay]]=7),P2231,P2231+1)</f>
        <v>1594</v>
      </c>
      <c r="R2232">
        <f>IF(OR(calendar[[#This Row],[SP_BH]]=1,calendar[[#This Row],[WeekDay]]=1, calendar[[#This Row],[WeekDay]]=7),P2231,P2231+1)</f>
        <v>1594</v>
      </c>
      <c r="S2232">
        <f>IF(OR(calendar[[#This Row],[PT_BH]]=1,calendar[[#This Row],[WeekDay]]=1, calendar[[#This Row],[WeekDay]]=7),P2231,P2231+1)</f>
        <v>1594</v>
      </c>
    </row>
    <row r="2233" spans="1:19" x14ac:dyDescent="0.25">
      <c r="A2233" s="2">
        <v>44967</v>
      </c>
      <c r="B2233" s="1">
        <f t="shared" si="173"/>
        <v>6</v>
      </c>
      <c r="C2233">
        <f t="shared" si="175"/>
        <v>2</v>
      </c>
      <c r="D2233" t="str">
        <f t="shared" si="176"/>
        <v>February</v>
      </c>
      <c r="E2233">
        <f t="shared" si="177"/>
        <v>2023</v>
      </c>
      <c r="F2233" t="str">
        <f>CONCATENATE(calendar[[#This Row],[Month]],"/",calendar[[#This Row],[Year]])</f>
        <v>2/2023</v>
      </c>
      <c r="G2233">
        <f>WEEKDAY(calendar[[#This Row],[Date]],1)</f>
        <v>6</v>
      </c>
      <c r="H2233" t="str">
        <f>TEXT(calendar[[#This Row],[WeekDay]],"dddd")</f>
        <v>Friday</v>
      </c>
      <c r="I2233">
        <f>IF((INT(calendar[[#This Row],[Count]]/7)-calendar[[#This Row],[Count]]/7)&lt;0,I2232,I2232+1)</f>
        <v>319</v>
      </c>
      <c r="J2233">
        <f t="shared" si="174"/>
        <v>2231</v>
      </c>
      <c r="K2233">
        <f>IF(calendar[[#This Row],[Month]]&lt;4,1,IF(calendar[[#This Row],[Month]]&lt;7,2,IF(calendar[[#This Row],[Month]]&lt;10,3,4)))</f>
        <v>1</v>
      </c>
      <c r="L2233">
        <f>IFERROR(IF(VLOOKUP(calendar[[#This Row],[Date]],BH!A:A,1,)&lt;&gt;"",1,0),0)</f>
        <v>0</v>
      </c>
      <c r="M2233">
        <f>IFERROR(IF(VLOOKUP(calendar[[#This Row],[Date]],BH!C:C,1,)&lt;&gt;"",1,0),0)</f>
        <v>0</v>
      </c>
      <c r="N2233">
        <f>IFERROR(IF(VLOOKUP(calendar[[#This Row],[Date]],BH!E:E,1,)&lt;&gt;"",1,0),0)</f>
        <v>0</v>
      </c>
      <c r="O2233">
        <f>IFERROR(IF(VLOOKUP(calendar[[#This Row],[Date]],BH!G:G,1,)&lt;&gt;"",1,0),0)</f>
        <v>0</v>
      </c>
      <c r="P2233">
        <f>IF(OR(calendar[[#This Row],[UK_BH]]=1,calendar[[#This Row],[WeekDay]]=1, calendar[[#This Row],[WeekDay]]=7),P2232,P2232+1)</f>
        <v>1595</v>
      </c>
      <c r="Q2233">
        <f>IF(OR(calendar[[#This Row],[FR_BH]]=1,calendar[[#This Row],[WeekDay]]=1, calendar[[#This Row],[WeekDay]]=7),P2232,P2232+1)</f>
        <v>1595</v>
      </c>
      <c r="R2233">
        <f>IF(OR(calendar[[#This Row],[SP_BH]]=1,calendar[[#This Row],[WeekDay]]=1, calendar[[#This Row],[WeekDay]]=7),P2232,P2232+1)</f>
        <v>1595</v>
      </c>
      <c r="S2233">
        <f>IF(OR(calendar[[#This Row],[PT_BH]]=1,calendar[[#This Row],[WeekDay]]=1, calendar[[#This Row],[WeekDay]]=7),P2232,P2232+1)</f>
        <v>1595</v>
      </c>
    </row>
    <row r="2234" spans="1:19" x14ac:dyDescent="0.25">
      <c r="A2234" s="2">
        <v>44968</v>
      </c>
      <c r="B2234" s="1">
        <f t="shared" si="173"/>
        <v>6</v>
      </c>
      <c r="C2234">
        <f t="shared" si="175"/>
        <v>2</v>
      </c>
      <c r="D2234" t="str">
        <f t="shared" si="176"/>
        <v>February</v>
      </c>
      <c r="E2234">
        <f t="shared" si="177"/>
        <v>2023</v>
      </c>
      <c r="F2234" t="str">
        <f>CONCATENATE(calendar[[#This Row],[Month]],"/",calendar[[#This Row],[Year]])</f>
        <v>2/2023</v>
      </c>
      <c r="G2234">
        <f>WEEKDAY(calendar[[#This Row],[Date]],1)</f>
        <v>7</v>
      </c>
      <c r="H2234" t="str">
        <f>TEXT(calendar[[#This Row],[WeekDay]],"dddd")</f>
        <v>Saturday</v>
      </c>
      <c r="I2234">
        <f>IF((INT(calendar[[#This Row],[Count]]/7)-calendar[[#This Row],[Count]]/7)&lt;0,I2233,I2233+1)</f>
        <v>319</v>
      </c>
      <c r="J2234">
        <f t="shared" si="174"/>
        <v>2232</v>
      </c>
      <c r="K2234">
        <f>IF(calendar[[#This Row],[Month]]&lt;4,1,IF(calendar[[#This Row],[Month]]&lt;7,2,IF(calendar[[#This Row],[Month]]&lt;10,3,4)))</f>
        <v>1</v>
      </c>
      <c r="L2234">
        <f>IFERROR(IF(VLOOKUP(calendar[[#This Row],[Date]],BH!A:A,1,)&lt;&gt;"",1,0),0)</f>
        <v>0</v>
      </c>
      <c r="M2234">
        <f>IFERROR(IF(VLOOKUP(calendar[[#This Row],[Date]],BH!C:C,1,)&lt;&gt;"",1,0),0)</f>
        <v>0</v>
      </c>
      <c r="N2234">
        <f>IFERROR(IF(VLOOKUP(calendar[[#This Row],[Date]],BH!E:E,1,)&lt;&gt;"",1,0),0)</f>
        <v>0</v>
      </c>
      <c r="O2234">
        <f>IFERROR(IF(VLOOKUP(calendar[[#This Row],[Date]],BH!G:G,1,)&lt;&gt;"",1,0),0)</f>
        <v>0</v>
      </c>
      <c r="P2234">
        <f>IF(OR(calendar[[#This Row],[UK_BH]]=1,calendar[[#This Row],[WeekDay]]=1, calendar[[#This Row],[WeekDay]]=7),P2233,P2233+1)</f>
        <v>1595</v>
      </c>
      <c r="Q2234">
        <f>IF(OR(calendar[[#This Row],[FR_BH]]=1,calendar[[#This Row],[WeekDay]]=1, calendar[[#This Row],[WeekDay]]=7),P2233,P2233+1)</f>
        <v>1595</v>
      </c>
      <c r="R2234">
        <f>IF(OR(calendar[[#This Row],[SP_BH]]=1,calendar[[#This Row],[WeekDay]]=1, calendar[[#This Row],[WeekDay]]=7),P2233,P2233+1)</f>
        <v>1595</v>
      </c>
      <c r="S2234">
        <f>IF(OR(calendar[[#This Row],[PT_BH]]=1,calendar[[#This Row],[WeekDay]]=1, calendar[[#This Row],[WeekDay]]=7),P2233,P2233+1)</f>
        <v>1595</v>
      </c>
    </row>
    <row r="2235" spans="1:19" x14ac:dyDescent="0.25">
      <c r="A2235" s="2">
        <v>44969</v>
      </c>
      <c r="B2235" s="1">
        <f t="shared" si="173"/>
        <v>7</v>
      </c>
      <c r="C2235">
        <f t="shared" si="175"/>
        <v>2</v>
      </c>
      <c r="D2235" t="str">
        <f t="shared" si="176"/>
        <v>February</v>
      </c>
      <c r="E2235">
        <f t="shared" si="177"/>
        <v>2023</v>
      </c>
      <c r="F2235" t="str">
        <f>CONCATENATE(calendar[[#This Row],[Month]],"/",calendar[[#This Row],[Year]])</f>
        <v>2/2023</v>
      </c>
      <c r="G2235">
        <f>WEEKDAY(calendar[[#This Row],[Date]],1)</f>
        <v>1</v>
      </c>
      <c r="H2235" t="str">
        <f>TEXT(calendar[[#This Row],[WeekDay]],"dddd")</f>
        <v>Sunday</v>
      </c>
      <c r="I2235">
        <f>IF((INT(calendar[[#This Row],[Count]]/7)-calendar[[#This Row],[Count]]/7)&lt;0,I2234,I2234+1)</f>
        <v>320</v>
      </c>
      <c r="J2235">
        <f t="shared" si="174"/>
        <v>2233</v>
      </c>
      <c r="K2235">
        <f>IF(calendar[[#This Row],[Month]]&lt;4,1,IF(calendar[[#This Row],[Month]]&lt;7,2,IF(calendar[[#This Row],[Month]]&lt;10,3,4)))</f>
        <v>1</v>
      </c>
      <c r="L2235">
        <f>IFERROR(IF(VLOOKUP(calendar[[#This Row],[Date]],BH!A:A,1,)&lt;&gt;"",1,0),0)</f>
        <v>0</v>
      </c>
      <c r="M2235">
        <f>IFERROR(IF(VLOOKUP(calendar[[#This Row],[Date]],BH!C:C,1,)&lt;&gt;"",1,0),0)</f>
        <v>0</v>
      </c>
      <c r="N2235">
        <f>IFERROR(IF(VLOOKUP(calendar[[#This Row],[Date]],BH!E:E,1,)&lt;&gt;"",1,0),0)</f>
        <v>0</v>
      </c>
      <c r="O2235">
        <f>IFERROR(IF(VLOOKUP(calendar[[#This Row],[Date]],BH!G:G,1,)&lt;&gt;"",1,0),0)</f>
        <v>0</v>
      </c>
      <c r="P2235">
        <f>IF(OR(calendar[[#This Row],[UK_BH]]=1,calendar[[#This Row],[WeekDay]]=1, calendar[[#This Row],[WeekDay]]=7),P2234,P2234+1)</f>
        <v>1595</v>
      </c>
      <c r="Q2235">
        <f>IF(OR(calendar[[#This Row],[FR_BH]]=1,calendar[[#This Row],[WeekDay]]=1, calendar[[#This Row],[WeekDay]]=7),P2234,P2234+1)</f>
        <v>1595</v>
      </c>
      <c r="R2235">
        <f>IF(OR(calendar[[#This Row],[SP_BH]]=1,calendar[[#This Row],[WeekDay]]=1, calendar[[#This Row],[WeekDay]]=7),P2234,P2234+1)</f>
        <v>1595</v>
      </c>
      <c r="S2235">
        <f>IF(OR(calendar[[#This Row],[PT_BH]]=1,calendar[[#This Row],[WeekDay]]=1, calendar[[#This Row],[WeekDay]]=7),P2234,P2234+1)</f>
        <v>1595</v>
      </c>
    </row>
    <row r="2236" spans="1:19" x14ac:dyDescent="0.25">
      <c r="A2236" s="2">
        <v>44970</v>
      </c>
      <c r="B2236" s="1">
        <f t="shared" si="173"/>
        <v>7</v>
      </c>
      <c r="C2236">
        <f t="shared" si="175"/>
        <v>2</v>
      </c>
      <c r="D2236" t="str">
        <f t="shared" si="176"/>
        <v>February</v>
      </c>
      <c r="E2236">
        <f t="shared" si="177"/>
        <v>2023</v>
      </c>
      <c r="F2236" t="str">
        <f>CONCATENATE(calendar[[#This Row],[Month]],"/",calendar[[#This Row],[Year]])</f>
        <v>2/2023</v>
      </c>
      <c r="G2236">
        <f>WEEKDAY(calendar[[#This Row],[Date]],1)</f>
        <v>2</v>
      </c>
      <c r="H2236" t="str">
        <f>TEXT(calendar[[#This Row],[WeekDay]],"dddd")</f>
        <v>Monday</v>
      </c>
      <c r="I2236">
        <f>IF((INT(calendar[[#This Row],[Count]]/7)-calendar[[#This Row],[Count]]/7)&lt;0,I2235,I2235+1)</f>
        <v>320</v>
      </c>
      <c r="J2236">
        <f t="shared" si="174"/>
        <v>2234</v>
      </c>
      <c r="K2236">
        <f>IF(calendar[[#This Row],[Month]]&lt;4,1,IF(calendar[[#This Row],[Month]]&lt;7,2,IF(calendar[[#This Row],[Month]]&lt;10,3,4)))</f>
        <v>1</v>
      </c>
      <c r="L2236">
        <f>IFERROR(IF(VLOOKUP(calendar[[#This Row],[Date]],BH!A:A,1,)&lt;&gt;"",1,0),0)</f>
        <v>0</v>
      </c>
      <c r="M2236">
        <f>IFERROR(IF(VLOOKUP(calendar[[#This Row],[Date]],BH!C:C,1,)&lt;&gt;"",1,0),0)</f>
        <v>0</v>
      </c>
      <c r="N2236">
        <f>IFERROR(IF(VLOOKUP(calendar[[#This Row],[Date]],BH!E:E,1,)&lt;&gt;"",1,0),0)</f>
        <v>0</v>
      </c>
      <c r="O2236">
        <f>IFERROR(IF(VLOOKUP(calendar[[#This Row],[Date]],BH!G:G,1,)&lt;&gt;"",1,0),0)</f>
        <v>0</v>
      </c>
      <c r="P2236">
        <f>IF(OR(calendar[[#This Row],[UK_BH]]=1,calendar[[#This Row],[WeekDay]]=1, calendar[[#This Row],[WeekDay]]=7),P2235,P2235+1)</f>
        <v>1596</v>
      </c>
      <c r="Q2236">
        <f>IF(OR(calendar[[#This Row],[FR_BH]]=1,calendar[[#This Row],[WeekDay]]=1, calendar[[#This Row],[WeekDay]]=7),P2235,P2235+1)</f>
        <v>1596</v>
      </c>
      <c r="R2236">
        <f>IF(OR(calendar[[#This Row],[SP_BH]]=1,calendar[[#This Row],[WeekDay]]=1, calendar[[#This Row],[WeekDay]]=7),P2235,P2235+1)</f>
        <v>1596</v>
      </c>
      <c r="S2236">
        <f>IF(OR(calendar[[#This Row],[PT_BH]]=1,calendar[[#This Row],[WeekDay]]=1, calendar[[#This Row],[WeekDay]]=7),P2235,P2235+1)</f>
        <v>1596</v>
      </c>
    </row>
    <row r="2237" spans="1:19" x14ac:dyDescent="0.25">
      <c r="A2237" s="2">
        <v>44971</v>
      </c>
      <c r="B2237" s="1">
        <f t="shared" si="173"/>
        <v>7</v>
      </c>
      <c r="C2237">
        <f t="shared" si="175"/>
        <v>2</v>
      </c>
      <c r="D2237" t="str">
        <f t="shared" si="176"/>
        <v>February</v>
      </c>
      <c r="E2237">
        <f t="shared" si="177"/>
        <v>2023</v>
      </c>
      <c r="F2237" t="str">
        <f>CONCATENATE(calendar[[#This Row],[Month]],"/",calendar[[#This Row],[Year]])</f>
        <v>2/2023</v>
      </c>
      <c r="G2237">
        <f>WEEKDAY(calendar[[#This Row],[Date]],1)</f>
        <v>3</v>
      </c>
      <c r="H2237" t="str">
        <f>TEXT(calendar[[#This Row],[WeekDay]],"dddd")</f>
        <v>Tuesday</v>
      </c>
      <c r="I2237">
        <f>IF((INT(calendar[[#This Row],[Count]]/7)-calendar[[#This Row],[Count]]/7)&lt;0,I2236,I2236+1)</f>
        <v>320</v>
      </c>
      <c r="J2237">
        <f t="shared" si="174"/>
        <v>2235</v>
      </c>
      <c r="K2237">
        <f>IF(calendar[[#This Row],[Month]]&lt;4,1,IF(calendar[[#This Row],[Month]]&lt;7,2,IF(calendar[[#This Row],[Month]]&lt;10,3,4)))</f>
        <v>1</v>
      </c>
      <c r="L2237">
        <f>IFERROR(IF(VLOOKUP(calendar[[#This Row],[Date]],BH!A:A,1,)&lt;&gt;"",1,0),0)</f>
        <v>0</v>
      </c>
      <c r="M2237">
        <f>IFERROR(IF(VLOOKUP(calendar[[#This Row],[Date]],BH!C:C,1,)&lt;&gt;"",1,0),0)</f>
        <v>0</v>
      </c>
      <c r="N2237">
        <f>IFERROR(IF(VLOOKUP(calendar[[#This Row],[Date]],BH!E:E,1,)&lt;&gt;"",1,0),0)</f>
        <v>0</v>
      </c>
      <c r="O2237">
        <f>IFERROR(IF(VLOOKUP(calendar[[#This Row],[Date]],BH!G:G,1,)&lt;&gt;"",1,0),0)</f>
        <v>0</v>
      </c>
      <c r="P2237">
        <f>IF(OR(calendar[[#This Row],[UK_BH]]=1,calendar[[#This Row],[WeekDay]]=1, calendar[[#This Row],[WeekDay]]=7),P2236,P2236+1)</f>
        <v>1597</v>
      </c>
      <c r="Q2237">
        <f>IF(OR(calendar[[#This Row],[FR_BH]]=1,calendar[[#This Row],[WeekDay]]=1, calendar[[#This Row],[WeekDay]]=7),P2236,P2236+1)</f>
        <v>1597</v>
      </c>
      <c r="R2237">
        <f>IF(OR(calendar[[#This Row],[SP_BH]]=1,calendar[[#This Row],[WeekDay]]=1, calendar[[#This Row],[WeekDay]]=7),P2236,P2236+1)</f>
        <v>1597</v>
      </c>
      <c r="S2237">
        <f>IF(OR(calendar[[#This Row],[PT_BH]]=1,calendar[[#This Row],[WeekDay]]=1, calendar[[#This Row],[WeekDay]]=7),P2236,P2236+1)</f>
        <v>1597</v>
      </c>
    </row>
    <row r="2238" spans="1:19" x14ac:dyDescent="0.25">
      <c r="A2238" s="2">
        <v>44972</v>
      </c>
      <c r="B2238" s="1">
        <f t="shared" si="173"/>
        <v>7</v>
      </c>
      <c r="C2238">
        <f t="shared" si="175"/>
        <v>2</v>
      </c>
      <c r="D2238" t="str">
        <f t="shared" si="176"/>
        <v>February</v>
      </c>
      <c r="E2238">
        <f t="shared" si="177"/>
        <v>2023</v>
      </c>
      <c r="F2238" t="str">
        <f>CONCATENATE(calendar[[#This Row],[Month]],"/",calendar[[#This Row],[Year]])</f>
        <v>2/2023</v>
      </c>
      <c r="G2238">
        <f>WEEKDAY(calendar[[#This Row],[Date]],1)</f>
        <v>4</v>
      </c>
      <c r="H2238" t="str">
        <f>TEXT(calendar[[#This Row],[WeekDay]],"dddd")</f>
        <v>Wednesday</v>
      </c>
      <c r="I2238">
        <f>IF((INT(calendar[[#This Row],[Count]]/7)-calendar[[#This Row],[Count]]/7)&lt;0,I2237,I2237+1)</f>
        <v>320</v>
      </c>
      <c r="J2238">
        <f t="shared" si="174"/>
        <v>2236</v>
      </c>
      <c r="K2238">
        <f>IF(calendar[[#This Row],[Month]]&lt;4,1,IF(calendar[[#This Row],[Month]]&lt;7,2,IF(calendar[[#This Row],[Month]]&lt;10,3,4)))</f>
        <v>1</v>
      </c>
      <c r="L2238">
        <f>IFERROR(IF(VLOOKUP(calendar[[#This Row],[Date]],BH!A:A,1,)&lt;&gt;"",1,0),0)</f>
        <v>0</v>
      </c>
      <c r="M2238">
        <f>IFERROR(IF(VLOOKUP(calendar[[#This Row],[Date]],BH!C:C,1,)&lt;&gt;"",1,0),0)</f>
        <v>0</v>
      </c>
      <c r="N2238">
        <f>IFERROR(IF(VLOOKUP(calendar[[#This Row],[Date]],BH!E:E,1,)&lt;&gt;"",1,0),0)</f>
        <v>0</v>
      </c>
      <c r="O2238">
        <f>IFERROR(IF(VLOOKUP(calendar[[#This Row],[Date]],BH!G:G,1,)&lt;&gt;"",1,0),0)</f>
        <v>0</v>
      </c>
      <c r="P2238">
        <f>IF(OR(calendar[[#This Row],[UK_BH]]=1,calendar[[#This Row],[WeekDay]]=1, calendar[[#This Row],[WeekDay]]=7),P2237,P2237+1)</f>
        <v>1598</v>
      </c>
      <c r="Q2238">
        <f>IF(OR(calendar[[#This Row],[FR_BH]]=1,calendar[[#This Row],[WeekDay]]=1, calendar[[#This Row],[WeekDay]]=7),P2237,P2237+1)</f>
        <v>1598</v>
      </c>
      <c r="R2238">
        <f>IF(OR(calendar[[#This Row],[SP_BH]]=1,calendar[[#This Row],[WeekDay]]=1, calendar[[#This Row],[WeekDay]]=7),P2237,P2237+1)</f>
        <v>1598</v>
      </c>
      <c r="S2238">
        <f>IF(OR(calendar[[#This Row],[PT_BH]]=1,calendar[[#This Row],[WeekDay]]=1, calendar[[#This Row],[WeekDay]]=7),P2237,P2237+1)</f>
        <v>1598</v>
      </c>
    </row>
    <row r="2239" spans="1:19" x14ac:dyDescent="0.25">
      <c r="A2239" s="2">
        <v>44973</v>
      </c>
      <c r="B2239" s="1">
        <f t="shared" si="173"/>
        <v>7</v>
      </c>
      <c r="C2239">
        <f t="shared" si="175"/>
        <v>2</v>
      </c>
      <c r="D2239" t="str">
        <f t="shared" si="176"/>
        <v>February</v>
      </c>
      <c r="E2239">
        <f t="shared" si="177"/>
        <v>2023</v>
      </c>
      <c r="F2239" t="str">
        <f>CONCATENATE(calendar[[#This Row],[Month]],"/",calendar[[#This Row],[Year]])</f>
        <v>2/2023</v>
      </c>
      <c r="G2239">
        <f>WEEKDAY(calendar[[#This Row],[Date]],1)</f>
        <v>5</v>
      </c>
      <c r="H2239" t="str">
        <f>TEXT(calendar[[#This Row],[WeekDay]],"dddd")</f>
        <v>Thursday</v>
      </c>
      <c r="I2239">
        <f>IF((INT(calendar[[#This Row],[Count]]/7)-calendar[[#This Row],[Count]]/7)&lt;0,I2238,I2238+1)</f>
        <v>320</v>
      </c>
      <c r="J2239">
        <f t="shared" si="174"/>
        <v>2237</v>
      </c>
      <c r="K2239">
        <f>IF(calendar[[#This Row],[Month]]&lt;4,1,IF(calendar[[#This Row],[Month]]&lt;7,2,IF(calendar[[#This Row],[Month]]&lt;10,3,4)))</f>
        <v>1</v>
      </c>
      <c r="L2239">
        <f>IFERROR(IF(VLOOKUP(calendar[[#This Row],[Date]],BH!A:A,1,)&lt;&gt;"",1,0),0)</f>
        <v>0</v>
      </c>
      <c r="M2239">
        <f>IFERROR(IF(VLOOKUP(calendar[[#This Row],[Date]],BH!C:C,1,)&lt;&gt;"",1,0),0)</f>
        <v>0</v>
      </c>
      <c r="N2239">
        <f>IFERROR(IF(VLOOKUP(calendar[[#This Row],[Date]],BH!E:E,1,)&lt;&gt;"",1,0),0)</f>
        <v>0</v>
      </c>
      <c r="O2239">
        <f>IFERROR(IF(VLOOKUP(calendar[[#This Row],[Date]],BH!G:G,1,)&lt;&gt;"",1,0),0)</f>
        <v>0</v>
      </c>
      <c r="P2239">
        <f>IF(OR(calendar[[#This Row],[UK_BH]]=1,calendar[[#This Row],[WeekDay]]=1, calendar[[#This Row],[WeekDay]]=7),P2238,P2238+1)</f>
        <v>1599</v>
      </c>
      <c r="Q2239">
        <f>IF(OR(calendar[[#This Row],[FR_BH]]=1,calendar[[#This Row],[WeekDay]]=1, calendar[[#This Row],[WeekDay]]=7),P2238,P2238+1)</f>
        <v>1599</v>
      </c>
      <c r="R2239">
        <f>IF(OR(calendar[[#This Row],[SP_BH]]=1,calendar[[#This Row],[WeekDay]]=1, calendar[[#This Row],[WeekDay]]=7),P2238,P2238+1)</f>
        <v>1599</v>
      </c>
      <c r="S2239">
        <f>IF(OR(calendar[[#This Row],[PT_BH]]=1,calendar[[#This Row],[WeekDay]]=1, calendar[[#This Row],[WeekDay]]=7),P2238,P2238+1)</f>
        <v>1599</v>
      </c>
    </row>
    <row r="2240" spans="1:19" x14ac:dyDescent="0.25">
      <c r="A2240" s="2">
        <v>44974</v>
      </c>
      <c r="B2240" s="1">
        <f t="shared" si="173"/>
        <v>7</v>
      </c>
      <c r="C2240">
        <f t="shared" si="175"/>
        <v>2</v>
      </c>
      <c r="D2240" t="str">
        <f t="shared" si="176"/>
        <v>February</v>
      </c>
      <c r="E2240">
        <f t="shared" si="177"/>
        <v>2023</v>
      </c>
      <c r="F2240" t="str">
        <f>CONCATENATE(calendar[[#This Row],[Month]],"/",calendar[[#This Row],[Year]])</f>
        <v>2/2023</v>
      </c>
      <c r="G2240">
        <f>WEEKDAY(calendar[[#This Row],[Date]],1)</f>
        <v>6</v>
      </c>
      <c r="H2240" t="str">
        <f>TEXT(calendar[[#This Row],[WeekDay]],"dddd")</f>
        <v>Friday</v>
      </c>
      <c r="I2240">
        <f>IF((INT(calendar[[#This Row],[Count]]/7)-calendar[[#This Row],[Count]]/7)&lt;0,I2239,I2239+1)</f>
        <v>320</v>
      </c>
      <c r="J2240">
        <f t="shared" si="174"/>
        <v>2238</v>
      </c>
      <c r="K2240">
        <f>IF(calendar[[#This Row],[Month]]&lt;4,1,IF(calendar[[#This Row],[Month]]&lt;7,2,IF(calendar[[#This Row],[Month]]&lt;10,3,4)))</f>
        <v>1</v>
      </c>
      <c r="L2240">
        <f>IFERROR(IF(VLOOKUP(calendar[[#This Row],[Date]],BH!A:A,1,)&lt;&gt;"",1,0),0)</f>
        <v>0</v>
      </c>
      <c r="M2240">
        <f>IFERROR(IF(VLOOKUP(calendar[[#This Row],[Date]],BH!C:C,1,)&lt;&gt;"",1,0),0)</f>
        <v>0</v>
      </c>
      <c r="N2240">
        <f>IFERROR(IF(VLOOKUP(calendar[[#This Row],[Date]],BH!E:E,1,)&lt;&gt;"",1,0),0)</f>
        <v>0</v>
      </c>
      <c r="O2240">
        <f>IFERROR(IF(VLOOKUP(calendar[[#This Row],[Date]],BH!G:G,1,)&lt;&gt;"",1,0),0)</f>
        <v>0</v>
      </c>
      <c r="P2240">
        <f>IF(OR(calendar[[#This Row],[UK_BH]]=1,calendar[[#This Row],[WeekDay]]=1, calendar[[#This Row],[WeekDay]]=7),P2239,P2239+1)</f>
        <v>1600</v>
      </c>
      <c r="Q2240">
        <f>IF(OR(calendar[[#This Row],[FR_BH]]=1,calendar[[#This Row],[WeekDay]]=1, calendar[[#This Row],[WeekDay]]=7),P2239,P2239+1)</f>
        <v>1600</v>
      </c>
      <c r="R2240">
        <f>IF(OR(calendar[[#This Row],[SP_BH]]=1,calendar[[#This Row],[WeekDay]]=1, calendar[[#This Row],[WeekDay]]=7),P2239,P2239+1)</f>
        <v>1600</v>
      </c>
      <c r="S2240">
        <f>IF(OR(calendar[[#This Row],[PT_BH]]=1,calendar[[#This Row],[WeekDay]]=1, calendar[[#This Row],[WeekDay]]=7),P2239,P2239+1)</f>
        <v>1600</v>
      </c>
    </row>
    <row r="2241" spans="1:19" x14ac:dyDescent="0.25">
      <c r="A2241" s="2">
        <v>44975</v>
      </c>
      <c r="B2241" s="1">
        <f t="shared" si="173"/>
        <v>7</v>
      </c>
      <c r="C2241">
        <f t="shared" si="175"/>
        <v>2</v>
      </c>
      <c r="D2241" t="str">
        <f t="shared" si="176"/>
        <v>February</v>
      </c>
      <c r="E2241">
        <f t="shared" si="177"/>
        <v>2023</v>
      </c>
      <c r="F2241" t="str">
        <f>CONCATENATE(calendar[[#This Row],[Month]],"/",calendar[[#This Row],[Year]])</f>
        <v>2/2023</v>
      </c>
      <c r="G2241">
        <f>WEEKDAY(calendar[[#This Row],[Date]],1)</f>
        <v>7</v>
      </c>
      <c r="H2241" t="str">
        <f>TEXT(calendar[[#This Row],[WeekDay]],"dddd")</f>
        <v>Saturday</v>
      </c>
      <c r="I2241">
        <f>IF((INT(calendar[[#This Row],[Count]]/7)-calendar[[#This Row],[Count]]/7)&lt;0,I2240,I2240+1)</f>
        <v>320</v>
      </c>
      <c r="J2241">
        <f t="shared" si="174"/>
        <v>2239</v>
      </c>
      <c r="K2241">
        <f>IF(calendar[[#This Row],[Month]]&lt;4,1,IF(calendar[[#This Row],[Month]]&lt;7,2,IF(calendar[[#This Row],[Month]]&lt;10,3,4)))</f>
        <v>1</v>
      </c>
      <c r="L2241">
        <f>IFERROR(IF(VLOOKUP(calendar[[#This Row],[Date]],BH!A:A,1,)&lt;&gt;"",1,0),0)</f>
        <v>0</v>
      </c>
      <c r="M2241">
        <f>IFERROR(IF(VLOOKUP(calendar[[#This Row],[Date]],BH!C:C,1,)&lt;&gt;"",1,0),0)</f>
        <v>0</v>
      </c>
      <c r="N2241">
        <f>IFERROR(IF(VLOOKUP(calendar[[#This Row],[Date]],BH!E:E,1,)&lt;&gt;"",1,0),0)</f>
        <v>0</v>
      </c>
      <c r="O2241">
        <f>IFERROR(IF(VLOOKUP(calendar[[#This Row],[Date]],BH!G:G,1,)&lt;&gt;"",1,0),0)</f>
        <v>0</v>
      </c>
      <c r="P2241">
        <f>IF(OR(calendar[[#This Row],[UK_BH]]=1,calendar[[#This Row],[WeekDay]]=1, calendar[[#This Row],[WeekDay]]=7),P2240,P2240+1)</f>
        <v>1600</v>
      </c>
      <c r="Q2241">
        <f>IF(OR(calendar[[#This Row],[FR_BH]]=1,calendar[[#This Row],[WeekDay]]=1, calendar[[#This Row],[WeekDay]]=7),P2240,P2240+1)</f>
        <v>1600</v>
      </c>
      <c r="R2241">
        <f>IF(OR(calendar[[#This Row],[SP_BH]]=1,calendar[[#This Row],[WeekDay]]=1, calendar[[#This Row],[WeekDay]]=7),P2240,P2240+1)</f>
        <v>1600</v>
      </c>
      <c r="S2241">
        <f>IF(OR(calendar[[#This Row],[PT_BH]]=1,calendar[[#This Row],[WeekDay]]=1, calendar[[#This Row],[WeekDay]]=7),P2240,P2240+1)</f>
        <v>1600</v>
      </c>
    </row>
    <row r="2242" spans="1:19" x14ac:dyDescent="0.25">
      <c r="A2242" s="2">
        <v>44976</v>
      </c>
      <c r="B2242" s="1">
        <f t="shared" ref="B2242:B2305" si="178">WEEKNUM(A2242)</f>
        <v>8</v>
      </c>
      <c r="C2242">
        <f t="shared" si="175"/>
        <v>2</v>
      </c>
      <c r="D2242" t="str">
        <f t="shared" si="176"/>
        <v>February</v>
      </c>
      <c r="E2242">
        <f t="shared" si="177"/>
        <v>2023</v>
      </c>
      <c r="F2242" t="str">
        <f>CONCATENATE(calendar[[#This Row],[Month]],"/",calendar[[#This Row],[Year]])</f>
        <v>2/2023</v>
      </c>
      <c r="G2242">
        <f>WEEKDAY(calendar[[#This Row],[Date]],1)</f>
        <v>1</v>
      </c>
      <c r="H2242" t="str">
        <f>TEXT(calendar[[#This Row],[WeekDay]],"dddd")</f>
        <v>Sunday</v>
      </c>
      <c r="I2242">
        <f>IF((INT(calendar[[#This Row],[Count]]/7)-calendar[[#This Row],[Count]]/7)&lt;0,I2241,I2241+1)</f>
        <v>321</v>
      </c>
      <c r="J2242">
        <f t="shared" si="174"/>
        <v>2240</v>
      </c>
      <c r="K2242">
        <f>IF(calendar[[#This Row],[Month]]&lt;4,1,IF(calendar[[#This Row],[Month]]&lt;7,2,IF(calendar[[#This Row],[Month]]&lt;10,3,4)))</f>
        <v>1</v>
      </c>
      <c r="L2242">
        <f>IFERROR(IF(VLOOKUP(calendar[[#This Row],[Date]],BH!A:A,1,)&lt;&gt;"",1,0),0)</f>
        <v>0</v>
      </c>
      <c r="M2242">
        <f>IFERROR(IF(VLOOKUP(calendar[[#This Row],[Date]],BH!C:C,1,)&lt;&gt;"",1,0),0)</f>
        <v>0</v>
      </c>
      <c r="N2242">
        <f>IFERROR(IF(VLOOKUP(calendar[[#This Row],[Date]],BH!E:E,1,)&lt;&gt;"",1,0),0)</f>
        <v>0</v>
      </c>
      <c r="O2242">
        <f>IFERROR(IF(VLOOKUP(calendar[[#This Row],[Date]],BH!G:G,1,)&lt;&gt;"",1,0),0)</f>
        <v>0</v>
      </c>
      <c r="P2242">
        <f>IF(OR(calendar[[#This Row],[UK_BH]]=1,calendar[[#This Row],[WeekDay]]=1, calendar[[#This Row],[WeekDay]]=7),P2241,P2241+1)</f>
        <v>1600</v>
      </c>
      <c r="Q2242">
        <f>IF(OR(calendar[[#This Row],[FR_BH]]=1,calendar[[#This Row],[WeekDay]]=1, calendar[[#This Row],[WeekDay]]=7),P2241,P2241+1)</f>
        <v>1600</v>
      </c>
      <c r="R2242">
        <f>IF(OR(calendar[[#This Row],[SP_BH]]=1,calendar[[#This Row],[WeekDay]]=1, calendar[[#This Row],[WeekDay]]=7),P2241,P2241+1)</f>
        <v>1600</v>
      </c>
      <c r="S2242">
        <f>IF(OR(calendar[[#This Row],[PT_BH]]=1,calendar[[#This Row],[WeekDay]]=1, calendar[[#This Row],[WeekDay]]=7),P2241,P2241+1)</f>
        <v>1600</v>
      </c>
    </row>
    <row r="2243" spans="1:19" x14ac:dyDescent="0.25">
      <c r="A2243" s="2">
        <v>44977</v>
      </c>
      <c r="B2243" s="1">
        <f t="shared" si="178"/>
        <v>8</v>
      </c>
      <c r="C2243">
        <f t="shared" si="175"/>
        <v>2</v>
      </c>
      <c r="D2243" t="str">
        <f t="shared" si="176"/>
        <v>February</v>
      </c>
      <c r="E2243">
        <f t="shared" si="177"/>
        <v>2023</v>
      </c>
      <c r="F2243" t="str">
        <f>CONCATENATE(calendar[[#This Row],[Month]],"/",calendar[[#This Row],[Year]])</f>
        <v>2/2023</v>
      </c>
      <c r="G2243">
        <f>WEEKDAY(calendar[[#This Row],[Date]],1)</f>
        <v>2</v>
      </c>
      <c r="H2243" t="str">
        <f>TEXT(calendar[[#This Row],[WeekDay]],"dddd")</f>
        <v>Monday</v>
      </c>
      <c r="I2243">
        <f>IF((INT(calendar[[#This Row],[Count]]/7)-calendar[[#This Row],[Count]]/7)&lt;0,I2242,I2242+1)</f>
        <v>321</v>
      </c>
      <c r="J2243">
        <f t="shared" ref="J2243:J2306" si="179">J2242+1</f>
        <v>2241</v>
      </c>
      <c r="K2243">
        <f>IF(calendar[[#This Row],[Month]]&lt;4,1,IF(calendar[[#This Row],[Month]]&lt;7,2,IF(calendar[[#This Row],[Month]]&lt;10,3,4)))</f>
        <v>1</v>
      </c>
      <c r="L2243">
        <f>IFERROR(IF(VLOOKUP(calendar[[#This Row],[Date]],BH!A:A,1,)&lt;&gt;"",1,0),0)</f>
        <v>0</v>
      </c>
      <c r="M2243">
        <f>IFERROR(IF(VLOOKUP(calendar[[#This Row],[Date]],BH!C:C,1,)&lt;&gt;"",1,0),0)</f>
        <v>0</v>
      </c>
      <c r="N2243">
        <f>IFERROR(IF(VLOOKUP(calendar[[#This Row],[Date]],BH!E:E,1,)&lt;&gt;"",1,0),0)</f>
        <v>0</v>
      </c>
      <c r="O2243">
        <f>IFERROR(IF(VLOOKUP(calendar[[#This Row],[Date]],BH!G:G,1,)&lt;&gt;"",1,0),0)</f>
        <v>0</v>
      </c>
      <c r="P2243">
        <f>IF(OR(calendar[[#This Row],[UK_BH]]=1,calendar[[#This Row],[WeekDay]]=1, calendar[[#This Row],[WeekDay]]=7),P2242,P2242+1)</f>
        <v>1601</v>
      </c>
      <c r="Q2243">
        <f>IF(OR(calendar[[#This Row],[FR_BH]]=1,calendar[[#This Row],[WeekDay]]=1, calendar[[#This Row],[WeekDay]]=7),P2242,P2242+1)</f>
        <v>1601</v>
      </c>
      <c r="R2243">
        <f>IF(OR(calendar[[#This Row],[SP_BH]]=1,calendar[[#This Row],[WeekDay]]=1, calendar[[#This Row],[WeekDay]]=7),P2242,P2242+1)</f>
        <v>1601</v>
      </c>
      <c r="S2243">
        <f>IF(OR(calendar[[#This Row],[PT_BH]]=1,calendar[[#This Row],[WeekDay]]=1, calendar[[#This Row],[WeekDay]]=7),P2242,P2242+1)</f>
        <v>1601</v>
      </c>
    </row>
    <row r="2244" spans="1:19" x14ac:dyDescent="0.25">
      <c r="A2244" s="2">
        <v>44978</v>
      </c>
      <c r="B2244" s="1">
        <f t="shared" si="178"/>
        <v>8</v>
      </c>
      <c r="C2244">
        <f t="shared" si="175"/>
        <v>2</v>
      </c>
      <c r="D2244" t="str">
        <f t="shared" si="176"/>
        <v>February</v>
      </c>
      <c r="E2244">
        <f t="shared" si="177"/>
        <v>2023</v>
      </c>
      <c r="F2244" t="str">
        <f>CONCATENATE(calendar[[#This Row],[Month]],"/",calendar[[#This Row],[Year]])</f>
        <v>2/2023</v>
      </c>
      <c r="G2244">
        <f>WEEKDAY(calendar[[#This Row],[Date]],1)</f>
        <v>3</v>
      </c>
      <c r="H2244" t="str">
        <f>TEXT(calendar[[#This Row],[WeekDay]],"dddd")</f>
        <v>Tuesday</v>
      </c>
      <c r="I2244">
        <f>IF((INT(calendar[[#This Row],[Count]]/7)-calendar[[#This Row],[Count]]/7)&lt;0,I2243,I2243+1)</f>
        <v>321</v>
      </c>
      <c r="J2244">
        <f t="shared" si="179"/>
        <v>2242</v>
      </c>
      <c r="K2244">
        <f>IF(calendar[[#This Row],[Month]]&lt;4,1,IF(calendar[[#This Row],[Month]]&lt;7,2,IF(calendar[[#This Row],[Month]]&lt;10,3,4)))</f>
        <v>1</v>
      </c>
      <c r="L2244">
        <f>IFERROR(IF(VLOOKUP(calendar[[#This Row],[Date]],BH!A:A,1,)&lt;&gt;"",1,0),0)</f>
        <v>0</v>
      </c>
      <c r="M2244">
        <f>IFERROR(IF(VLOOKUP(calendar[[#This Row],[Date]],BH!C:C,1,)&lt;&gt;"",1,0),0)</f>
        <v>0</v>
      </c>
      <c r="N2244">
        <f>IFERROR(IF(VLOOKUP(calendar[[#This Row],[Date]],BH!E:E,1,)&lt;&gt;"",1,0),0)</f>
        <v>0</v>
      </c>
      <c r="O2244">
        <f>IFERROR(IF(VLOOKUP(calendar[[#This Row],[Date]],BH!G:G,1,)&lt;&gt;"",1,0),0)</f>
        <v>0</v>
      </c>
      <c r="P2244">
        <f>IF(OR(calendar[[#This Row],[UK_BH]]=1,calendar[[#This Row],[WeekDay]]=1, calendar[[#This Row],[WeekDay]]=7),P2243,P2243+1)</f>
        <v>1602</v>
      </c>
      <c r="Q2244">
        <f>IF(OR(calendar[[#This Row],[FR_BH]]=1,calendar[[#This Row],[WeekDay]]=1, calendar[[#This Row],[WeekDay]]=7),P2243,P2243+1)</f>
        <v>1602</v>
      </c>
      <c r="R2244">
        <f>IF(OR(calendar[[#This Row],[SP_BH]]=1,calendar[[#This Row],[WeekDay]]=1, calendar[[#This Row],[WeekDay]]=7),P2243,P2243+1)</f>
        <v>1602</v>
      </c>
      <c r="S2244">
        <f>IF(OR(calendar[[#This Row],[PT_BH]]=1,calendar[[#This Row],[WeekDay]]=1, calendar[[#This Row],[WeekDay]]=7),P2243,P2243+1)</f>
        <v>1602</v>
      </c>
    </row>
    <row r="2245" spans="1:19" x14ac:dyDescent="0.25">
      <c r="A2245" s="2">
        <v>44979</v>
      </c>
      <c r="B2245" s="1">
        <f t="shared" si="178"/>
        <v>8</v>
      </c>
      <c r="C2245">
        <f t="shared" si="175"/>
        <v>2</v>
      </c>
      <c r="D2245" t="str">
        <f t="shared" si="176"/>
        <v>February</v>
      </c>
      <c r="E2245">
        <f t="shared" si="177"/>
        <v>2023</v>
      </c>
      <c r="F2245" t="str">
        <f>CONCATENATE(calendar[[#This Row],[Month]],"/",calendar[[#This Row],[Year]])</f>
        <v>2/2023</v>
      </c>
      <c r="G2245">
        <f>WEEKDAY(calendar[[#This Row],[Date]],1)</f>
        <v>4</v>
      </c>
      <c r="H2245" t="str">
        <f>TEXT(calendar[[#This Row],[WeekDay]],"dddd")</f>
        <v>Wednesday</v>
      </c>
      <c r="I2245">
        <f>IF((INT(calendar[[#This Row],[Count]]/7)-calendar[[#This Row],[Count]]/7)&lt;0,I2244,I2244+1)</f>
        <v>321</v>
      </c>
      <c r="J2245">
        <f t="shared" si="179"/>
        <v>2243</v>
      </c>
      <c r="K2245">
        <f>IF(calendar[[#This Row],[Month]]&lt;4,1,IF(calendar[[#This Row],[Month]]&lt;7,2,IF(calendar[[#This Row],[Month]]&lt;10,3,4)))</f>
        <v>1</v>
      </c>
      <c r="L2245">
        <f>IFERROR(IF(VLOOKUP(calendar[[#This Row],[Date]],BH!A:A,1,)&lt;&gt;"",1,0),0)</f>
        <v>0</v>
      </c>
      <c r="M2245">
        <f>IFERROR(IF(VLOOKUP(calendar[[#This Row],[Date]],BH!C:C,1,)&lt;&gt;"",1,0),0)</f>
        <v>0</v>
      </c>
      <c r="N2245">
        <f>IFERROR(IF(VLOOKUP(calendar[[#This Row],[Date]],BH!E:E,1,)&lt;&gt;"",1,0),0)</f>
        <v>0</v>
      </c>
      <c r="O2245">
        <f>IFERROR(IF(VLOOKUP(calendar[[#This Row],[Date]],BH!G:G,1,)&lt;&gt;"",1,0),0)</f>
        <v>0</v>
      </c>
      <c r="P2245">
        <f>IF(OR(calendar[[#This Row],[UK_BH]]=1,calendar[[#This Row],[WeekDay]]=1, calendar[[#This Row],[WeekDay]]=7),P2244,P2244+1)</f>
        <v>1603</v>
      </c>
      <c r="Q2245">
        <f>IF(OR(calendar[[#This Row],[FR_BH]]=1,calendar[[#This Row],[WeekDay]]=1, calendar[[#This Row],[WeekDay]]=7),P2244,P2244+1)</f>
        <v>1603</v>
      </c>
      <c r="R2245">
        <f>IF(OR(calendar[[#This Row],[SP_BH]]=1,calendar[[#This Row],[WeekDay]]=1, calendar[[#This Row],[WeekDay]]=7),P2244,P2244+1)</f>
        <v>1603</v>
      </c>
      <c r="S2245">
        <f>IF(OR(calendar[[#This Row],[PT_BH]]=1,calendar[[#This Row],[WeekDay]]=1, calendar[[#This Row],[WeekDay]]=7),P2244,P2244+1)</f>
        <v>1603</v>
      </c>
    </row>
    <row r="2246" spans="1:19" x14ac:dyDescent="0.25">
      <c r="A2246" s="2">
        <v>44980</v>
      </c>
      <c r="B2246" s="1">
        <f t="shared" si="178"/>
        <v>8</v>
      </c>
      <c r="C2246">
        <f t="shared" si="175"/>
        <v>2</v>
      </c>
      <c r="D2246" t="str">
        <f t="shared" si="176"/>
        <v>February</v>
      </c>
      <c r="E2246">
        <f t="shared" si="177"/>
        <v>2023</v>
      </c>
      <c r="F2246" t="str">
        <f>CONCATENATE(calendar[[#This Row],[Month]],"/",calendar[[#This Row],[Year]])</f>
        <v>2/2023</v>
      </c>
      <c r="G2246">
        <f>WEEKDAY(calendar[[#This Row],[Date]],1)</f>
        <v>5</v>
      </c>
      <c r="H2246" t="str">
        <f>TEXT(calendar[[#This Row],[WeekDay]],"dddd")</f>
        <v>Thursday</v>
      </c>
      <c r="I2246">
        <f>IF((INT(calendar[[#This Row],[Count]]/7)-calendar[[#This Row],[Count]]/7)&lt;0,I2245,I2245+1)</f>
        <v>321</v>
      </c>
      <c r="J2246">
        <f t="shared" si="179"/>
        <v>2244</v>
      </c>
      <c r="K2246">
        <f>IF(calendar[[#This Row],[Month]]&lt;4,1,IF(calendar[[#This Row],[Month]]&lt;7,2,IF(calendar[[#This Row],[Month]]&lt;10,3,4)))</f>
        <v>1</v>
      </c>
      <c r="L2246">
        <f>IFERROR(IF(VLOOKUP(calendar[[#This Row],[Date]],BH!A:A,1,)&lt;&gt;"",1,0),0)</f>
        <v>0</v>
      </c>
      <c r="M2246">
        <f>IFERROR(IF(VLOOKUP(calendar[[#This Row],[Date]],BH!C:C,1,)&lt;&gt;"",1,0),0)</f>
        <v>0</v>
      </c>
      <c r="N2246">
        <f>IFERROR(IF(VLOOKUP(calendar[[#This Row],[Date]],BH!E:E,1,)&lt;&gt;"",1,0),0)</f>
        <v>0</v>
      </c>
      <c r="O2246">
        <f>IFERROR(IF(VLOOKUP(calendar[[#This Row],[Date]],BH!G:G,1,)&lt;&gt;"",1,0),0)</f>
        <v>0</v>
      </c>
      <c r="P2246">
        <f>IF(OR(calendar[[#This Row],[UK_BH]]=1,calendar[[#This Row],[WeekDay]]=1, calendar[[#This Row],[WeekDay]]=7),P2245,P2245+1)</f>
        <v>1604</v>
      </c>
      <c r="Q2246">
        <f>IF(OR(calendar[[#This Row],[FR_BH]]=1,calendar[[#This Row],[WeekDay]]=1, calendar[[#This Row],[WeekDay]]=7),P2245,P2245+1)</f>
        <v>1604</v>
      </c>
      <c r="R2246">
        <f>IF(OR(calendar[[#This Row],[SP_BH]]=1,calendar[[#This Row],[WeekDay]]=1, calendar[[#This Row],[WeekDay]]=7),P2245,P2245+1)</f>
        <v>1604</v>
      </c>
      <c r="S2246">
        <f>IF(OR(calendar[[#This Row],[PT_BH]]=1,calendar[[#This Row],[WeekDay]]=1, calendar[[#This Row],[WeekDay]]=7),P2245,P2245+1)</f>
        <v>1604</v>
      </c>
    </row>
    <row r="2247" spans="1:19" x14ac:dyDescent="0.25">
      <c r="A2247" s="2">
        <v>44981</v>
      </c>
      <c r="B2247" s="1">
        <f t="shared" si="178"/>
        <v>8</v>
      </c>
      <c r="C2247">
        <f t="shared" si="175"/>
        <v>2</v>
      </c>
      <c r="D2247" t="str">
        <f t="shared" si="176"/>
        <v>February</v>
      </c>
      <c r="E2247">
        <f t="shared" si="177"/>
        <v>2023</v>
      </c>
      <c r="F2247" t="str">
        <f>CONCATENATE(calendar[[#This Row],[Month]],"/",calendar[[#This Row],[Year]])</f>
        <v>2/2023</v>
      </c>
      <c r="G2247">
        <f>WEEKDAY(calendar[[#This Row],[Date]],1)</f>
        <v>6</v>
      </c>
      <c r="H2247" t="str">
        <f>TEXT(calendar[[#This Row],[WeekDay]],"dddd")</f>
        <v>Friday</v>
      </c>
      <c r="I2247">
        <f>IF((INT(calendar[[#This Row],[Count]]/7)-calendar[[#This Row],[Count]]/7)&lt;0,I2246,I2246+1)</f>
        <v>321</v>
      </c>
      <c r="J2247">
        <f t="shared" si="179"/>
        <v>2245</v>
      </c>
      <c r="K2247">
        <f>IF(calendar[[#This Row],[Month]]&lt;4,1,IF(calendar[[#This Row],[Month]]&lt;7,2,IF(calendar[[#This Row],[Month]]&lt;10,3,4)))</f>
        <v>1</v>
      </c>
      <c r="L2247">
        <f>IFERROR(IF(VLOOKUP(calendar[[#This Row],[Date]],BH!A:A,1,)&lt;&gt;"",1,0),0)</f>
        <v>0</v>
      </c>
      <c r="M2247">
        <f>IFERROR(IF(VLOOKUP(calendar[[#This Row],[Date]],BH!C:C,1,)&lt;&gt;"",1,0),0)</f>
        <v>0</v>
      </c>
      <c r="N2247">
        <f>IFERROR(IF(VLOOKUP(calendar[[#This Row],[Date]],BH!E:E,1,)&lt;&gt;"",1,0),0)</f>
        <v>0</v>
      </c>
      <c r="O2247">
        <f>IFERROR(IF(VLOOKUP(calendar[[#This Row],[Date]],BH!G:G,1,)&lt;&gt;"",1,0),0)</f>
        <v>0</v>
      </c>
      <c r="P2247">
        <f>IF(OR(calendar[[#This Row],[UK_BH]]=1,calendar[[#This Row],[WeekDay]]=1, calendar[[#This Row],[WeekDay]]=7),P2246,P2246+1)</f>
        <v>1605</v>
      </c>
      <c r="Q2247">
        <f>IF(OR(calendar[[#This Row],[FR_BH]]=1,calendar[[#This Row],[WeekDay]]=1, calendar[[#This Row],[WeekDay]]=7),P2246,P2246+1)</f>
        <v>1605</v>
      </c>
      <c r="R2247">
        <f>IF(OR(calendar[[#This Row],[SP_BH]]=1,calendar[[#This Row],[WeekDay]]=1, calendar[[#This Row],[WeekDay]]=7),P2246,P2246+1)</f>
        <v>1605</v>
      </c>
      <c r="S2247">
        <f>IF(OR(calendar[[#This Row],[PT_BH]]=1,calendar[[#This Row],[WeekDay]]=1, calendar[[#This Row],[WeekDay]]=7),P2246,P2246+1)</f>
        <v>1605</v>
      </c>
    </row>
    <row r="2248" spans="1:19" x14ac:dyDescent="0.25">
      <c r="A2248" s="2">
        <v>44982</v>
      </c>
      <c r="B2248" s="1">
        <f t="shared" si="178"/>
        <v>8</v>
      </c>
      <c r="C2248">
        <f t="shared" si="175"/>
        <v>2</v>
      </c>
      <c r="D2248" t="str">
        <f t="shared" si="176"/>
        <v>February</v>
      </c>
      <c r="E2248">
        <f t="shared" si="177"/>
        <v>2023</v>
      </c>
      <c r="F2248" t="str">
        <f>CONCATENATE(calendar[[#This Row],[Month]],"/",calendar[[#This Row],[Year]])</f>
        <v>2/2023</v>
      </c>
      <c r="G2248">
        <f>WEEKDAY(calendar[[#This Row],[Date]],1)</f>
        <v>7</v>
      </c>
      <c r="H2248" t="str">
        <f>TEXT(calendar[[#This Row],[WeekDay]],"dddd")</f>
        <v>Saturday</v>
      </c>
      <c r="I2248">
        <f>IF((INT(calendar[[#This Row],[Count]]/7)-calendar[[#This Row],[Count]]/7)&lt;0,I2247,I2247+1)</f>
        <v>321</v>
      </c>
      <c r="J2248">
        <f t="shared" si="179"/>
        <v>2246</v>
      </c>
      <c r="K2248">
        <f>IF(calendar[[#This Row],[Month]]&lt;4,1,IF(calendar[[#This Row],[Month]]&lt;7,2,IF(calendar[[#This Row],[Month]]&lt;10,3,4)))</f>
        <v>1</v>
      </c>
      <c r="L2248">
        <f>IFERROR(IF(VLOOKUP(calendar[[#This Row],[Date]],BH!A:A,1,)&lt;&gt;"",1,0),0)</f>
        <v>0</v>
      </c>
      <c r="M2248">
        <f>IFERROR(IF(VLOOKUP(calendar[[#This Row],[Date]],BH!C:C,1,)&lt;&gt;"",1,0),0)</f>
        <v>0</v>
      </c>
      <c r="N2248">
        <f>IFERROR(IF(VLOOKUP(calendar[[#This Row],[Date]],BH!E:E,1,)&lt;&gt;"",1,0),0)</f>
        <v>0</v>
      </c>
      <c r="O2248">
        <f>IFERROR(IF(VLOOKUP(calendar[[#This Row],[Date]],BH!G:G,1,)&lt;&gt;"",1,0),0)</f>
        <v>0</v>
      </c>
      <c r="P2248">
        <f>IF(OR(calendar[[#This Row],[UK_BH]]=1,calendar[[#This Row],[WeekDay]]=1, calendar[[#This Row],[WeekDay]]=7),P2247,P2247+1)</f>
        <v>1605</v>
      </c>
      <c r="Q2248">
        <f>IF(OR(calendar[[#This Row],[FR_BH]]=1,calendar[[#This Row],[WeekDay]]=1, calendar[[#This Row],[WeekDay]]=7),P2247,P2247+1)</f>
        <v>1605</v>
      </c>
      <c r="R2248">
        <f>IF(OR(calendar[[#This Row],[SP_BH]]=1,calendar[[#This Row],[WeekDay]]=1, calendar[[#This Row],[WeekDay]]=7),P2247,P2247+1)</f>
        <v>1605</v>
      </c>
      <c r="S2248">
        <f>IF(OR(calendar[[#This Row],[PT_BH]]=1,calendar[[#This Row],[WeekDay]]=1, calendar[[#This Row],[WeekDay]]=7),P2247,P2247+1)</f>
        <v>1605</v>
      </c>
    </row>
    <row r="2249" spans="1:19" x14ac:dyDescent="0.25">
      <c r="A2249" s="2">
        <v>44983</v>
      </c>
      <c r="B2249" s="1">
        <f t="shared" si="178"/>
        <v>9</v>
      </c>
      <c r="C2249">
        <f t="shared" si="175"/>
        <v>2</v>
      </c>
      <c r="D2249" t="str">
        <f t="shared" si="176"/>
        <v>February</v>
      </c>
      <c r="E2249">
        <f t="shared" si="177"/>
        <v>2023</v>
      </c>
      <c r="F2249" t="str">
        <f>CONCATENATE(calendar[[#This Row],[Month]],"/",calendar[[#This Row],[Year]])</f>
        <v>2/2023</v>
      </c>
      <c r="G2249">
        <f>WEEKDAY(calendar[[#This Row],[Date]],1)</f>
        <v>1</v>
      </c>
      <c r="H2249" t="str">
        <f>TEXT(calendar[[#This Row],[WeekDay]],"dddd")</f>
        <v>Sunday</v>
      </c>
      <c r="I2249">
        <f>IF((INT(calendar[[#This Row],[Count]]/7)-calendar[[#This Row],[Count]]/7)&lt;0,I2248,I2248+1)</f>
        <v>322</v>
      </c>
      <c r="J2249">
        <f t="shared" si="179"/>
        <v>2247</v>
      </c>
      <c r="K2249">
        <f>IF(calendar[[#This Row],[Month]]&lt;4,1,IF(calendar[[#This Row],[Month]]&lt;7,2,IF(calendar[[#This Row],[Month]]&lt;10,3,4)))</f>
        <v>1</v>
      </c>
      <c r="L2249">
        <f>IFERROR(IF(VLOOKUP(calendar[[#This Row],[Date]],BH!A:A,1,)&lt;&gt;"",1,0),0)</f>
        <v>0</v>
      </c>
      <c r="M2249">
        <f>IFERROR(IF(VLOOKUP(calendar[[#This Row],[Date]],BH!C:C,1,)&lt;&gt;"",1,0),0)</f>
        <v>0</v>
      </c>
      <c r="N2249">
        <f>IFERROR(IF(VLOOKUP(calendar[[#This Row],[Date]],BH!E:E,1,)&lt;&gt;"",1,0),0)</f>
        <v>0</v>
      </c>
      <c r="O2249">
        <f>IFERROR(IF(VLOOKUP(calendar[[#This Row],[Date]],BH!G:G,1,)&lt;&gt;"",1,0),0)</f>
        <v>0</v>
      </c>
      <c r="P2249">
        <f>IF(OR(calendar[[#This Row],[UK_BH]]=1,calendar[[#This Row],[WeekDay]]=1, calendar[[#This Row],[WeekDay]]=7),P2248,P2248+1)</f>
        <v>1605</v>
      </c>
      <c r="Q2249">
        <f>IF(OR(calendar[[#This Row],[FR_BH]]=1,calendar[[#This Row],[WeekDay]]=1, calendar[[#This Row],[WeekDay]]=7),P2248,P2248+1)</f>
        <v>1605</v>
      </c>
      <c r="R2249">
        <f>IF(OR(calendar[[#This Row],[SP_BH]]=1,calendar[[#This Row],[WeekDay]]=1, calendar[[#This Row],[WeekDay]]=7),P2248,P2248+1)</f>
        <v>1605</v>
      </c>
      <c r="S2249">
        <f>IF(OR(calendar[[#This Row],[PT_BH]]=1,calendar[[#This Row],[WeekDay]]=1, calendar[[#This Row],[WeekDay]]=7),P2248,P2248+1)</f>
        <v>1605</v>
      </c>
    </row>
    <row r="2250" spans="1:19" x14ac:dyDescent="0.25">
      <c r="A2250" s="2">
        <v>44984</v>
      </c>
      <c r="B2250" s="1">
        <f t="shared" si="178"/>
        <v>9</v>
      </c>
      <c r="C2250">
        <f t="shared" si="175"/>
        <v>2</v>
      </c>
      <c r="D2250" t="str">
        <f t="shared" si="176"/>
        <v>February</v>
      </c>
      <c r="E2250">
        <f t="shared" si="177"/>
        <v>2023</v>
      </c>
      <c r="F2250" t="str">
        <f>CONCATENATE(calendar[[#This Row],[Month]],"/",calendar[[#This Row],[Year]])</f>
        <v>2/2023</v>
      </c>
      <c r="G2250">
        <f>WEEKDAY(calendar[[#This Row],[Date]],1)</f>
        <v>2</v>
      </c>
      <c r="H2250" t="str">
        <f>TEXT(calendar[[#This Row],[WeekDay]],"dddd")</f>
        <v>Monday</v>
      </c>
      <c r="I2250">
        <f>IF((INT(calendar[[#This Row],[Count]]/7)-calendar[[#This Row],[Count]]/7)&lt;0,I2249,I2249+1)</f>
        <v>322</v>
      </c>
      <c r="J2250">
        <f t="shared" si="179"/>
        <v>2248</v>
      </c>
      <c r="K2250">
        <f>IF(calendar[[#This Row],[Month]]&lt;4,1,IF(calendar[[#This Row],[Month]]&lt;7,2,IF(calendar[[#This Row],[Month]]&lt;10,3,4)))</f>
        <v>1</v>
      </c>
      <c r="L2250">
        <f>IFERROR(IF(VLOOKUP(calendar[[#This Row],[Date]],BH!A:A,1,)&lt;&gt;"",1,0),0)</f>
        <v>0</v>
      </c>
      <c r="M2250">
        <f>IFERROR(IF(VLOOKUP(calendar[[#This Row],[Date]],BH!C:C,1,)&lt;&gt;"",1,0),0)</f>
        <v>0</v>
      </c>
      <c r="N2250">
        <f>IFERROR(IF(VLOOKUP(calendar[[#This Row],[Date]],BH!E:E,1,)&lt;&gt;"",1,0),0)</f>
        <v>0</v>
      </c>
      <c r="O2250">
        <f>IFERROR(IF(VLOOKUP(calendar[[#This Row],[Date]],BH!G:G,1,)&lt;&gt;"",1,0),0)</f>
        <v>0</v>
      </c>
      <c r="P2250">
        <f>IF(OR(calendar[[#This Row],[UK_BH]]=1,calendar[[#This Row],[WeekDay]]=1, calendar[[#This Row],[WeekDay]]=7),P2249,P2249+1)</f>
        <v>1606</v>
      </c>
      <c r="Q2250">
        <f>IF(OR(calendar[[#This Row],[FR_BH]]=1,calendar[[#This Row],[WeekDay]]=1, calendar[[#This Row],[WeekDay]]=7),P2249,P2249+1)</f>
        <v>1606</v>
      </c>
      <c r="R2250">
        <f>IF(OR(calendar[[#This Row],[SP_BH]]=1,calendar[[#This Row],[WeekDay]]=1, calendar[[#This Row],[WeekDay]]=7),P2249,P2249+1)</f>
        <v>1606</v>
      </c>
      <c r="S2250">
        <f>IF(OR(calendar[[#This Row],[PT_BH]]=1,calendar[[#This Row],[WeekDay]]=1, calendar[[#This Row],[WeekDay]]=7),P2249,P2249+1)</f>
        <v>1606</v>
      </c>
    </row>
    <row r="2251" spans="1:19" x14ac:dyDescent="0.25">
      <c r="A2251" s="2">
        <v>44985</v>
      </c>
      <c r="B2251" s="1">
        <f t="shared" si="178"/>
        <v>9</v>
      </c>
      <c r="C2251">
        <f t="shared" si="175"/>
        <v>2</v>
      </c>
      <c r="D2251" t="str">
        <f t="shared" si="176"/>
        <v>February</v>
      </c>
      <c r="E2251">
        <f t="shared" si="177"/>
        <v>2023</v>
      </c>
      <c r="F2251" t="str">
        <f>CONCATENATE(calendar[[#This Row],[Month]],"/",calendar[[#This Row],[Year]])</f>
        <v>2/2023</v>
      </c>
      <c r="G2251">
        <f>WEEKDAY(calendar[[#This Row],[Date]],1)</f>
        <v>3</v>
      </c>
      <c r="H2251" t="str">
        <f>TEXT(calendar[[#This Row],[WeekDay]],"dddd")</f>
        <v>Tuesday</v>
      </c>
      <c r="I2251">
        <f>IF((INT(calendar[[#This Row],[Count]]/7)-calendar[[#This Row],[Count]]/7)&lt;0,I2250,I2250+1)</f>
        <v>322</v>
      </c>
      <c r="J2251">
        <f t="shared" si="179"/>
        <v>2249</v>
      </c>
      <c r="K2251">
        <f>IF(calendar[[#This Row],[Month]]&lt;4,1,IF(calendar[[#This Row],[Month]]&lt;7,2,IF(calendar[[#This Row],[Month]]&lt;10,3,4)))</f>
        <v>1</v>
      </c>
      <c r="L2251">
        <f>IFERROR(IF(VLOOKUP(calendar[[#This Row],[Date]],BH!A:A,1,)&lt;&gt;"",1,0),0)</f>
        <v>0</v>
      </c>
      <c r="M2251">
        <f>IFERROR(IF(VLOOKUP(calendar[[#This Row],[Date]],BH!C:C,1,)&lt;&gt;"",1,0),0)</f>
        <v>0</v>
      </c>
      <c r="N2251">
        <f>IFERROR(IF(VLOOKUP(calendar[[#This Row],[Date]],BH!E:E,1,)&lt;&gt;"",1,0),0)</f>
        <v>0</v>
      </c>
      <c r="O2251">
        <f>IFERROR(IF(VLOOKUP(calendar[[#This Row],[Date]],BH!G:G,1,)&lt;&gt;"",1,0),0)</f>
        <v>0</v>
      </c>
      <c r="P2251">
        <f>IF(OR(calendar[[#This Row],[UK_BH]]=1,calendar[[#This Row],[WeekDay]]=1, calendar[[#This Row],[WeekDay]]=7),P2250,P2250+1)</f>
        <v>1607</v>
      </c>
      <c r="Q2251">
        <f>IF(OR(calendar[[#This Row],[FR_BH]]=1,calendar[[#This Row],[WeekDay]]=1, calendar[[#This Row],[WeekDay]]=7),P2250,P2250+1)</f>
        <v>1607</v>
      </c>
      <c r="R2251">
        <f>IF(OR(calendar[[#This Row],[SP_BH]]=1,calendar[[#This Row],[WeekDay]]=1, calendar[[#This Row],[WeekDay]]=7),P2250,P2250+1)</f>
        <v>1607</v>
      </c>
      <c r="S2251">
        <f>IF(OR(calendar[[#This Row],[PT_BH]]=1,calendar[[#This Row],[WeekDay]]=1, calendar[[#This Row],[WeekDay]]=7),P2250,P2250+1)</f>
        <v>1607</v>
      </c>
    </row>
    <row r="2252" spans="1:19" x14ac:dyDescent="0.25">
      <c r="A2252" s="2">
        <v>44986</v>
      </c>
      <c r="B2252" s="1">
        <f t="shared" si="178"/>
        <v>9</v>
      </c>
      <c r="C2252">
        <f t="shared" si="175"/>
        <v>3</v>
      </c>
      <c r="D2252" t="str">
        <f t="shared" si="176"/>
        <v>March</v>
      </c>
      <c r="E2252">
        <f t="shared" si="177"/>
        <v>2023</v>
      </c>
      <c r="F2252" t="str">
        <f>CONCATENATE(calendar[[#This Row],[Month]],"/",calendar[[#This Row],[Year]])</f>
        <v>3/2023</v>
      </c>
      <c r="G2252">
        <f>WEEKDAY(calendar[[#This Row],[Date]],1)</f>
        <v>4</v>
      </c>
      <c r="H2252" t="str">
        <f>TEXT(calendar[[#This Row],[WeekDay]],"dddd")</f>
        <v>Wednesday</v>
      </c>
      <c r="I2252">
        <f>IF((INT(calendar[[#This Row],[Count]]/7)-calendar[[#This Row],[Count]]/7)&lt;0,I2251,I2251+1)</f>
        <v>322</v>
      </c>
      <c r="J2252">
        <f t="shared" si="179"/>
        <v>2250</v>
      </c>
      <c r="K2252">
        <f>IF(calendar[[#This Row],[Month]]&lt;4,1,IF(calendar[[#This Row],[Month]]&lt;7,2,IF(calendar[[#This Row],[Month]]&lt;10,3,4)))</f>
        <v>1</v>
      </c>
      <c r="L2252">
        <f>IFERROR(IF(VLOOKUP(calendar[[#This Row],[Date]],BH!A:A,1,)&lt;&gt;"",1,0),0)</f>
        <v>0</v>
      </c>
      <c r="M2252">
        <f>IFERROR(IF(VLOOKUP(calendar[[#This Row],[Date]],BH!C:C,1,)&lt;&gt;"",1,0),0)</f>
        <v>0</v>
      </c>
      <c r="N2252">
        <f>IFERROR(IF(VLOOKUP(calendar[[#This Row],[Date]],BH!E:E,1,)&lt;&gt;"",1,0),0)</f>
        <v>0</v>
      </c>
      <c r="O2252">
        <f>IFERROR(IF(VLOOKUP(calendar[[#This Row],[Date]],BH!G:G,1,)&lt;&gt;"",1,0),0)</f>
        <v>0</v>
      </c>
      <c r="P2252">
        <f>IF(OR(calendar[[#This Row],[UK_BH]]=1,calendar[[#This Row],[WeekDay]]=1, calendar[[#This Row],[WeekDay]]=7),P2251,P2251+1)</f>
        <v>1608</v>
      </c>
      <c r="Q2252">
        <f>IF(OR(calendar[[#This Row],[FR_BH]]=1,calendar[[#This Row],[WeekDay]]=1, calendar[[#This Row],[WeekDay]]=7),P2251,P2251+1)</f>
        <v>1608</v>
      </c>
      <c r="R2252">
        <f>IF(OR(calendar[[#This Row],[SP_BH]]=1,calendar[[#This Row],[WeekDay]]=1, calendar[[#This Row],[WeekDay]]=7),P2251,P2251+1)</f>
        <v>1608</v>
      </c>
      <c r="S2252">
        <f>IF(OR(calendar[[#This Row],[PT_BH]]=1,calendar[[#This Row],[WeekDay]]=1, calendar[[#This Row],[WeekDay]]=7),P2251,P2251+1)</f>
        <v>1608</v>
      </c>
    </row>
    <row r="2253" spans="1:19" x14ac:dyDescent="0.25">
      <c r="A2253" s="2">
        <v>44987</v>
      </c>
      <c r="B2253" s="1">
        <f t="shared" si="178"/>
        <v>9</v>
      </c>
      <c r="C2253">
        <f t="shared" si="175"/>
        <v>3</v>
      </c>
      <c r="D2253" t="str">
        <f t="shared" si="176"/>
        <v>March</v>
      </c>
      <c r="E2253">
        <f t="shared" si="177"/>
        <v>2023</v>
      </c>
      <c r="F2253" t="str">
        <f>CONCATENATE(calendar[[#This Row],[Month]],"/",calendar[[#This Row],[Year]])</f>
        <v>3/2023</v>
      </c>
      <c r="G2253">
        <f>WEEKDAY(calendar[[#This Row],[Date]],1)</f>
        <v>5</v>
      </c>
      <c r="H2253" t="str">
        <f>TEXT(calendar[[#This Row],[WeekDay]],"dddd")</f>
        <v>Thursday</v>
      </c>
      <c r="I2253">
        <f>IF((INT(calendar[[#This Row],[Count]]/7)-calendar[[#This Row],[Count]]/7)&lt;0,I2252,I2252+1)</f>
        <v>322</v>
      </c>
      <c r="J2253">
        <f t="shared" si="179"/>
        <v>2251</v>
      </c>
      <c r="K2253">
        <f>IF(calendar[[#This Row],[Month]]&lt;4,1,IF(calendar[[#This Row],[Month]]&lt;7,2,IF(calendar[[#This Row],[Month]]&lt;10,3,4)))</f>
        <v>1</v>
      </c>
      <c r="L2253">
        <f>IFERROR(IF(VLOOKUP(calendar[[#This Row],[Date]],BH!A:A,1,)&lt;&gt;"",1,0),0)</f>
        <v>0</v>
      </c>
      <c r="M2253">
        <f>IFERROR(IF(VLOOKUP(calendar[[#This Row],[Date]],BH!C:C,1,)&lt;&gt;"",1,0),0)</f>
        <v>0</v>
      </c>
      <c r="N2253">
        <f>IFERROR(IF(VLOOKUP(calendar[[#This Row],[Date]],BH!E:E,1,)&lt;&gt;"",1,0),0)</f>
        <v>0</v>
      </c>
      <c r="O2253">
        <f>IFERROR(IF(VLOOKUP(calendar[[#This Row],[Date]],BH!G:G,1,)&lt;&gt;"",1,0),0)</f>
        <v>0</v>
      </c>
      <c r="P2253">
        <f>IF(OR(calendar[[#This Row],[UK_BH]]=1,calendar[[#This Row],[WeekDay]]=1, calendar[[#This Row],[WeekDay]]=7),P2252,P2252+1)</f>
        <v>1609</v>
      </c>
      <c r="Q2253">
        <f>IF(OR(calendar[[#This Row],[FR_BH]]=1,calendar[[#This Row],[WeekDay]]=1, calendar[[#This Row],[WeekDay]]=7),P2252,P2252+1)</f>
        <v>1609</v>
      </c>
      <c r="R2253">
        <f>IF(OR(calendar[[#This Row],[SP_BH]]=1,calendar[[#This Row],[WeekDay]]=1, calendar[[#This Row],[WeekDay]]=7),P2252,P2252+1)</f>
        <v>1609</v>
      </c>
      <c r="S2253">
        <f>IF(OR(calendar[[#This Row],[PT_BH]]=1,calendar[[#This Row],[WeekDay]]=1, calendar[[#This Row],[WeekDay]]=7),P2252,P2252+1)</f>
        <v>1609</v>
      </c>
    </row>
    <row r="2254" spans="1:19" x14ac:dyDescent="0.25">
      <c r="A2254" s="2">
        <v>44988</v>
      </c>
      <c r="B2254" s="1">
        <f t="shared" si="178"/>
        <v>9</v>
      </c>
      <c r="C2254">
        <f t="shared" si="175"/>
        <v>3</v>
      </c>
      <c r="D2254" t="str">
        <f t="shared" si="176"/>
        <v>March</v>
      </c>
      <c r="E2254">
        <f t="shared" si="177"/>
        <v>2023</v>
      </c>
      <c r="F2254" t="str">
        <f>CONCATENATE(calendar[[#This Row],[Month]],"/",calendar[[#This Row],[Year]])</f>
        <v>3/2023</v>
      </c>
      <c r="G2254">
        <f>WEEKDAY(calendar[[#This Row],[Date]],1)</f>
        <v>6</v>
      </c>
      <c r="H2254" t="str">
        <f>TEXT(calendar[[#This Row],[WeekDay]],"dddd")</f>
        <v>Friday</v>
      </c>
      <c r="I2254">
        <f>IF((INT(calendar[[#This Row],[Count]]/7)-calendar[[#This Row],[Count]]/7)&lt;0,I2253,I2253+1)</f>
        <v>322</v>
      </c>
      <c r="J2254">
        <f t="shared" si="179"/>
        <v>2252</v>
      </c>
      <c r="K2254">
        <f>IF(calendar[[#This Row],[Month]]&lt;4,1,IF(calendar[[#This Row],[Month]]&lt;7,2,IF(calendar[[#This Row],[Month]]&lt;10,3,4)))</f>
        <v>1</v>
      </c>
      <c r="L2254">
        <f>IFERROR(IF(VLOOKUP(calendar[[#This Row],[Date]],BH!A:A,1,)&lt;&gt;"",1,0),0)</f>
        <v>0</v>
      </c>
      <c r="M2254">
        <f>IFERROR(IF(VLOOKUP(calendar[[#This Row],[Date]],BH!C:C,1,)&lt;&gt;"",1,0),0)</f>
        <v>0</v>
      </c>
      <c r="N2254">
        <f>IFERROR(IF(VLOOKUP(calendar[[#This Row],[Date]],BH!E:E,1,)&lt;&gt;"",1,0),0)</f>
        <v>0</v>
      </c>
      <c r="O2254">
        <f>IFERROR(IF(VLOOKUP(calendar[[#This Row],[Date]],BH!G:G,1,)&lt;&gt;"",1,0),0)</f>
        <v>0</v>
      </c>
      <c r="P2254">
        <f>IF(OR(calendar[[#This Row],[UK_BH]]=1,calendar[[#This Row],[WeekDay]]=1, calendar[[#This Row],[WeekDay]]=7),P2253,P2253+1)</f>
        <v>1610</v>
      </c>
      <c r="Q2254">
        <f>IF(OR(calendar[[#This Row],[FR_BH]]=1,calendar[[#This Row],[WeekDay]]=1, calendar[[#This Row],[WeekDay]]=7),P2253,P2253+1)</f>
        <v>1610</v>
      </c>
      <c r="R2254">
        <f>IF(OR(calendar[[#This Row],[SP_BH]]=1,calendar[[#This Row],[WeekDay]]=1, calendar[[#This Row],[WeekDay]]=7),P2253,P2253+1)</f>
        <v>1610</v>
      </c>
      <c r="S2254">
        <f>IF(OR(calendar[[#This Row],[PT_BH]]=1,calendar[[#This Row],[WeekDay]]=1, calendar[[#This Row],[WeekDay]]=7),P2253,P2253+1)</f>
        <v>1610</v>
      </c>
    </row>
    <row r="2255" spans="1:19" x14ac:dyDescent="0.25">
      <c r="A2255" s="2">
        <v>44989</v>
      </c>
      <c r="B2255" s="1">
        <f t="shared" si="178"/>
        <v>9</v>
      </c>
      <c r="C2255">
        <f t="shared" si="175"/>
        <v>3</v>
      </c>
      <c r="D2255" t="str">
        <f t="shared" si="176"/>
        <v>March</v>
      </c>
      <c r="E2255">
        <f t="shared" si="177"/>
        <v>2023</v>
      </c>
      <c r="F2255" t="str">
        <f>CONCATENATE(calendar[[#This Row],[Month]],"/",calendar[[#This Row],[Year]])</f>
        <v>3/2023</v>
      </c>
      <c r="G2255">
        <f>WEEKDAY(calendar[[#This Row],[Date]],1)</f>
        <v>7</v>
      </c>
      <c r="H2255" t="str">
        <f>TEXT(calendar[[#This Row],[WeekDay]],"dddd")</f>
        <v>Saturday</v>
      </c>
      <c r="I2255">
        <f>IF((INT(calendar[[#This Row],[Count]]/7)-calendar[[#This Row],[Count]]/7)&lt;0,I2254,I2254+1)</f>
        <v>322</v>
      </c>
      <c r="J2255">
        <f t="shared" si="179"/>
        <v>2253</v>
      </c>
      <c r="K2255">
        <f>IF(calendar[[#This Row],[Month]]&lt;4,1,IF(calendar[[#This Row],[Month]]&lt;7,2,IF(calendar[[#This Row],[Month]]&lt;10,3,4)))</f>
        <v>1</v>
      </c>
      <c r="L2255">
        <f>IFERROR(IF(VLOOKUP(calendar[[#This Row],[Date]],BH!A:A,1,)&lt;&gt;"",1,0),0)</f>
        <v>0</v>
      </c>
      <c r="M2255">
        <f>IFERROR(IF(VLOOKUP(calendar[[#This Row],[Date]],BH!C:C,1,)&lt;&gt;"",1,0),0)</f>
        <v>0</v>
      </c>
      <c r="N2255">
        <f>IFERROR(IF(VLOOKUP(calendar[[#This Row],[Date]],BH!E:E,1,)&lt;&gt;"",1,0),0)</f>
        <v>0</v>
      </c>
      <c r="O2255">
        <f>IFERROR(IF(VLOOKUP(calendar[[#This Row],[Date]],BH!G:G,1,)&lt;&gt;"",1,0),0)</f>
        <v>0</v>
      </c>
      <c r="P2255">
        <f>IF(OR(calendar[[#This Row],[UK_BH]]=1,calendar[[#This Row],[WeekDay]]=1, calendar[[#This Row],[WeekDay]]=7),P2254,P2254+1)</f>
        <v>1610</v>
      </c>
      <c r="Q2255">
        <f>IF(OR(calendar[[#This Row],[FR_BH]]=1,calendar[[#This Row],[WeekDay]]=1, calendar[[#This Row],[WeekDay]]=7),P2254,P2254+1)</f>
        <v>1610</v>
      </c>
      <c r="R2255">
        <f>IF(OR(calendar[[#This Row],[SP_BH]]=1,calendar[[#This Row],[WeekDay]]=1, calendar[[#This Row],[WeekDay]]=7),P2254,P2254+1)</f>
        <v>1610</v>
      </c>
      <c r="S2255">
        <f>IF(OR(calendar[[#This Row],[PT_BH]]=1,calendar[[#This Row],[WeekDay]]=1, calendar[[#This Row],[WeekDay]]=7),P2254,P2254+1)</f>
        <v>1610</v>
      </c>
    </row>
    <row r="2256" spans="1:19" x14ac:dyDescent="0.25">
      <c r="A2256" s="2">
        <v>44990</v>
      </c>
      <c r="B2256" s="1">
        <f t="shared" si="178"/>
        <v>10</v>
      </c>
      <c r="C2256">
        <f t="shared" ref="C2256:C2319" si="180">MONTH(A2256)</f>
        <v>3</v>
      </c>
      <c r="D2256" t="str">
        <f t="shared" ref="D2256:D2319" si="181">TEXT(A2256,"mmmm")</f>
        <v>March</v>
      </c>
      <c r="E2256">
        <f t="shared" ref="E2256:E2319" si="182">YEAR(A2256)</f>
        <v>2023</v>
      </c>
      <c r="F2256" t="str">
        <f>CONCATENATE(calendar[[#This Row],[Month]],"/",calendar[[#This Row],[Year]])</f>
        <v>3/2023</v>
      </c>
      <c r="G2256">
        <f>WEEKDAY(calendar[[#This Row],[Date]],1)</f>
        <v>1</v>
      </c>
      <c r="H2256" t="str">
        <f>TEXT(calendar[[#This Row],[WeekDay]],"dddd")</f>
        <v>Sunday</v>
      </c>
      <c r="I2256">
        <f>IF((INT(calendar[[#This Row],[Count]]/7)-calendar[[#This Row],[Count]]/7)&lt;0,I2255,I2255+1)</f>
        <v>323</v>
      </c>
      <c r="J2256">
        <f t="shared" si="179"/>
        <v>2254</v>
      </c>
      <c r="K2256">
        <f>IF(calendar[[#This Row],[Month]]&lt;4,1,IF(calendar[[#This Row],[Month]]&lt;7,2,IF(calendar[[#This Row],[Month]]&lt;10,3,4)))</f>
        <v>1</v>
      </c>
      <c r="L2256">
        <f>IFERROR(IF(VLOOKUP(calendar[[#This Row],[Date]],BH!A:A,1,)&lt;&gt;"",1,0),0)</f>
        <v>0</v>
      </c>
      <c r="M2256">
        <f>IFERROR(IF(VLOOKUP(calendar[[#This Row],[Date]],BH!C:C,1,)&lt;&gt;"",1,0),0)</f>
        <v>0</v>
      </c>
      <c r="N2256">
        <f>IFERROR(IF(VLOOKUP(calendar[[#This Row],[Date]],BH!E:E,1,)&lt;&gt;"",1,0),0)</f>
        <v>0</v>
      </c>
      <c r="O2256">
        <f>IFERROR(IF(VLOOKUP(calendar[[#This Row],[Date]],BH!G:G,1,)&lt;&gt;"",1,0),0)</f>
        <v>0</v>
      </c>
      <c r="P2256">
        <f>IF(OR(calendar[[#This Row],[UK_BH]]=1,calendar[[#This Row],[WeekDay]]=1, calendar[[#This Row],[WeekDay]]=7),P2255,P2255+1)</f>
        <v>1610</v>
      </c>
      <c r="Q2256">
        <f>IF(OR(calendar[[#This Row],[FR_BH]]=1,calendar[[#This Row],[WeekDay]]=1, calendar[[#This Row],[WeekDay]]=7),P2255,P2255+1)</f>
        <v>1610</v>
      </c>
      <c r="R2256">
        <f>IF(OR(calendar[[#This Row],[SP_BH]]=1,calendar[[#This Row],[WeekDay]]=1, calendar[[#This Row],[WeekDay]]=7),P2255,P2255+1)</f>
        <v>1610</v>
      </c>
      <c r="S2256">
        <f>IF(OR(calendar[[#This Row],[PT_BH]]=1,calendar[[#This Row],[WeekDay]]=1, calendar[[#This Row],[WeekDay]]=7),P2255,P2255+1)</f>
        <v>1610</v>
      </c>
    </row>
    <row r="2257" spans="1:19" x14ac:dyDescent="0.25">
      <c r="A2257" s="2">
        <v>44991</v>
      </c>
      <c r="B2257" s="1">
        <f t="shared" si="178"/>
        <v>10</v>
      </c>
      <c r="C2257">
        <f t="shared" si="180"/>
        <v>3</v>
      </c>
      <c r="D2257" t="str">
        <f t="shared" si="181"/>
        <v>March</v>
      </c>
      <c r="E2257">
        <f t="shared" si="182"/>
        <v>2023</v>
      </c>
      <c r="F2257" t="str">
        <f>CONCATENATE(calendar[[#This Row],[Month]],"/",calendar[[#This Row],[Year]])</f>
        <v>3/2023</v>
      </c>
      <c r="G2257">
        <f>WEEKDAY(calendar[[#This Row],[Date]],1)</f>
        <v>2</v>
      </c>
      <c r="H2257" t="str">
        <f>TEXT(calendar[[#This Row],[WeekDay]],"dddd")</f>
        <v>Monday</v>
      </c>
      <c r="I2257">
        <f>IF((INT(calendar[[#This Row],[Count]]/7)-calendar[[#This Row],[Count]]/7)&lt;0,I2256,I2256+1)</f>
        <v>323</v>
      </c>
      <c r="J2257">
        <f t="shared" si="179"/>
        <v>2255</v>
      </c>
      <c r="K2257">
        <f>IF(calendar[[#This Row],[Month]]&lt;4,1,IF(calendar[[#This Row],[Month]]&lt;7,2,IF(calendar[[#This Row],[Month]]&lt;10,3,4)))</f>
        <v>1</v>
      </c>
      <c r="L2257">
        <f>IFERROR(IF(VLOOKUP(calendar[[#This Row],[Date]],BH!A:A,1,)&lt;&gt;"",1,0),0)</f>
        <v>0</v>
      </c>
      <c r="M2257">
        <f>IFERROR(IF(VLOOKUP(calendar[[#This Row],[Date]],BH!C:C,1,)&lt;&gt;"",1,0),0)</f>
        <v>0</v>
      </c>
      <c r="N2257">
        <f>IFERROR(IF(VLOOKUP(calendar[[#This Row],[Date]],BH!E:E,1,)&lt;&gt;"",1,0),0)</f>
        <v>0</v>
      </c>
      <c r="O2257">
        <f>IFERROR(IF(VLOOKUP(calendar[[#This Row],[Date]],BH!G:G,1,)&lt;&gt;"",1,0),0)</f>
        <v>0</v>
      </c>
      <c r="P2257">
        <f>IF(OR(calendar[[#This Row],[UK_BH]]=1,calendar[[#This Row],[WeekDay]]=1, calendar[[#This Row],[WeekDay]]=7),P2256,P2256+1)</f>
        <v>1611</v>
      </c>
      <c r="Q2257">
        <f>IF(OR(calendar[[#This Row],[FR_BH]]=1,calendar[[#This Row],[WeekDay]]=1, calendar[[#This Row],[WeekDay]]=7),P2256,P2256+1)</f>
        <v>1611</v>
      </c>
      <c r="R2257">
        <f>IF(OR(calendar[[#This Row],[SP_BH]]=1,calendar[[#This Row],[WeekDay]]=1, calendar[[#This Row],[WeekDay]]=7),P2256,P2256+1)</f>
        <v>1611</v>
      </c>
      <c r="S2257">
        <f>IF(OR(calendar[[#This Row],[PT_BH]]=1,calendar[[#This Row],[WeekDay]]=1, calendar[[#This Row],[WeekDay]]=7),P2256,P2256+1)</f>
        <v>1611</v>
      </c>
    </row>
    <row r="2258" spans="1:19" x14ac:dyDescent="0.25">
      <c r="A2258" s="2">
        <v>44992</v>
      </c>
      <c r="B2258" s="1">
        <f t="shared" si="178"/>
        <v>10</v>
      </c>
      <c r="C2258">
        <f t="shared" si="180"/>
        <v>3</v>
      </c>
      <c r="D2258" t="str">
        <f t="shared" si="181"/>
        <v>March</v>
      </c>
      <c r="E2258">
        <f t="shared" si="182"/>
        <v>2023</v>
      </c>
      <c r="F2258" t="str">
        <f>CONCATENATE(calendar[[#This Row],[Month]],"/",calendar[[#This Row],[Year]])</f>
        <v>3/2023</v>
      </c>
      <c r="G2258">
        <f>WEEKDAY(calendar[[#This Row],[Date]],1)</f>
        <v>3</v>
      </c>
      <c r="H2258" t="str">
        <f>TEXT(calendar[[#This Row],[WeekDay]],"dddd")</f>
        <v>Tuesday</v>
      </c>
      <c r="I2258">
        <f>IF((INT(calendar[[#This Row],[Count]]/7)-calendar[[#This Row],[Count]]/7)&lt;0,I2257,I2257+1)</f>
        <v>323</v>
      </c>
      <c r="J2258">
        <f t="shared" si="179"/>
        <v>2256</v>
      </c>
      <c r="K2258">
        <f>IF(calendar[[#This Row],[Month]]&lt;4,1,IF(calendar[[#This Row],[Month]]&lt;7,2,IF(calendar[[#This Row],[Month]]&lt;10,3,4)))</f>
        <v>1</v>
      </c>
      <c r="L2258">
        <f>IFERROR(IF(VLOOKUP(calendar[[#This Row],[Date]],BH!A:A,1,)&lt;&gt;"",1,0),0)</f>
        <v>0</v>
      </c>
      <c r="M2258">
        <f>IFERROR(IF(VLOOKUP(calendar[[#This Row],[Date]],BH!C:C,1,)&lt;&gt;"",1,0),0)</f>
        <v>0</v>
      </c>
      <c r="N2258">
        <f>IFERROR(IF(VLOOKUP(calendar[[#This Row],[Date]],BH!E:E,1,)&lt;&gt;"",1,0),0)</f>
        <v>0</v>
      </c>
      <c r="O2258">
        <f>IFERROR(IF(VLOOKUP(calendar[[#This Row],[Date]],BH!G:G,1,)&lt;&gt;"",1,0),0)</f>
        <v>0</v>
      </c>
      <c r="P2258">
        <f>IF(OR(calendar[[#This Row],[UK_BH]]=1,calendar[[#This Row],[WeekDay]]=1, calendar[[#This Row],[WeekDay]]=7),P2257,P2257+1)</f>
        <v>1612</v>
      </c>
      <c r="Q2258">
        <f>IF(OR(calendar[[#This Row],[FR_BH]]=1,calendar[[#This Row],[WeekDay]]=1, calendar[[#This Row],[WeekDay]]=7),P2257,P2257+1)</f>
        <v>1612</v>
      </c>
      <c r="R2258">
        <f>IF(OR(calendar[[#This Row],[SP_BH]]=1,calendar[[#This Row],[WeekDay]]=1, calendar[[#This Row],[WeekDay]]=7),P2257,P2257+1)</f>
        <v>1612</v>
      </c>
      <c r="S2258">
        <f>IF(OR(calendar[[#This Row],[PT_BH]]=1,calendar[[#This Row],[WeekDay]]=1, calendar[[#This Row],[WeekDay]]=7),P2257,P2257+1)</f>
        <v>1612</v>
      </c>
    </row>
    <row r="2259" spans="1:19" x14ac:dyDescent="0.25">
      <c r="A2259" s="2">
        <v>44993</v>
      </c>
      <c r="B2259" s="1">
        <f t="shared" si="178"/>
        <v>10</v>
      </c>
      <c r="C2259">
        <f t="shared" si="180"/>
        <v>3</v>
      </c>
      <c r="D2259" t="str">
        <f t="shared" si="181"/>
        <v>March</v>
      </c>
      <c r="E2259">
        <f t="shared" si="182"/>
        <v>2023</v>
      </c>
      <c r="F2259" t="str">
        <f>CONCATENATE(calendar[[#This Row],[Month]],"/",calendar[[#This Row],[Year]])</f>
        <v>3/2023</v>
      </c>
      <c r="G2259">
        <f>WEEKDAY(calendar[[#This Row],[Date]],1)</f>
        <v>4</v>
      </c>
      <c r="H2259" t="str">
        <f>TEXT(calendar[[#This Row],[WeekDay]],"dddd")</f>
        <v>Wednesday</v>
      </c>
      <c r="I2259">
        <f>IF((INT(calendar[[#This Row],[Count]]/7)-calendar[[#This Row],[Count]]/7)&lt;0,I2258,I2258+1)</f>
        <v>323</v>
      </c>
      <c r="J2259">
        <f t="shared" si="179"/>
        <v>2257</v>
      </c>
      <c r="K2259">
        <f>IF(calendar[[#This Row],[Month]]&lt;4,1,IF(calendar[[#This Row],[Month]]&lt;7,2,IF(calendar[[#This Row],[Month]]&lt;10,3,4)))</f>
        <v>1</v>
      </c>
      <c r="L2259">
        <f>IFERROR(IF(VLOOKUP(calendar[[#This Row],[Date]],BH!A:A,1,)&lt;&gt;"",1,0),0)</f>
        <v>0</v>
      </c>
      <c r="M2259">
        <f>IFERROR(IF(VLOOKUP(calendar[[#This Row],[Date]],BH!C:C,1,)&lt;&gt;"",1,0),0)</f>
        <v>0</v>
      </c>
      <c r="N2259">
        <f>IFERROR(IF(VLOOKUP(calendar[[#This Row],[Date]],BH!E:E,1,)&lt;&gt;"",1,0),0)</f>
        <v>0</v>
      </c>
      <c r="O2259">
        <f>IFERROR(IF(VLOOKUP(calendar[[#This Row],[Date]],BH!G:G,1,)&lt;&gt;"",1,0),0)</f>
        <v>0</v>
      </c>
      <c r="P2259">
        <f>IF(OR(calendar[[#This Row],[UK_BH]]=1,calendar[[#This Row],[WeekDay]]=1, calendar[[#This Row],[WeekDay]]=7),P2258,P2258+1)</f>
        <v>1613</v>
      </c>
      <c r="Q2259">
        <f>IF(OR(calendar[[#This Row],[FR_BH]]=1,calendar[[#This Row],[WeekDay]]=1, calendar[[#This Row],[WeekDay]]=7),P2258,P2258+1)</f>
        <v>1613</v>
      </c>
      <c r="R2259">
        <f>IF(OR(calendar[[#This Row],[SP_BH]]=1,calendar[[#This Row],[WeekDay]]=1, calendar[[#This Row],[WeekDay]]=7),P2258,P2258+1)</f>
        <v>1613</v>
      </c>
      <c r="S2259">
        <f>IF(OR(calendar[[#This Row],[PT_BH]]=1,calendar[[#This Row],[WeekDay]]=1, calendar[[#This Row],[WeekDay]]=7),P2258,P2258+1)</f>
        <v>1613</v>
      </c>
    </row>
    <row r="2260" spans="1:19" x14ac:dyDescent="0.25">
      <c r="A2260" s="2">
        <v>44994</v>
      </c>
      <c r="B2260" s="1">
        <f t="shared" si="178"/>
        <v>10</v>
      </c>
      <c r="C2260">
        <f t="shared" si="180"/>
        <v>3</v>
      </c>
      <c r="D2260" t="str">
        <f t="shared" si="181"/>
        <v>March</v>
      </c>
      <c r="E2260">
        <f t="shared" si="182"/>
        <v>2023</v>
      </c>
      <c r="F2260" t="str">
        <f>CONCATENATE(calendar[[#This Row],[Month]],"/",calendar[[#This Row],[Year]])</f>
        <v>3/2023</v>
      </c>
      <c r="G2260">
        <f>WEEKDAY(calendar[[#This Row],[Date]],1)</f>
        <v>5</v>
      </c>
      <c r="H2260" t="str">
        <f>TEXT(calendar[[#This Row],[WeekDay]],"dddd")</f>
        <v>Thursday</v>
      </c>
      <c r="I2260">
        <f>IF((INT(calendar[[#This Row],[Count]]/7)-calendar[[#This Row],[Count]]/7)&lt;0,I2259,I2259+1)</f>
        <v>323</v>
      </c>
      <c r="J2260">
        <f t="shared" si="179"/>
        <v>2258</v>
      </c>
      <c r="K2260">
        <f>IF(calendar[[#This Row],[Month]]&lt;4,1,IF(calendar[[#This Row],[Month]]&lt;7,2,IF(calendar[[#This Row],[Month]]&lt;10,3,4)))</f>
        <v>1</v>
      </c>
      <c r="L2260">
        <f>IFERROR(IF(VLOOKUP(calendar[[#This Row],[Date]],BH!A:A,1,)&lt;&gt;"",1,0),0)</f>
        <v>0</v>
      </c>
      <c r="M2260">
        <f>IFERROR(IF(VLOOKUP(calendar[[#This Row],[Date]],BH!C:C,1,)&lt;&gt;"",1,0),0)</f>
        <v>0</v>
      </c>
      <c r="N2260">
        <f>IFERROR(IF(VLOOKUP(calendar[[#This Row],[Date]],BH!E:E,1,)&lt;&gt;"",1,0),0)</f>
        <v>0</v>
      </c>
      <c r="O2260">
        <f>IFERROR(IF(VLOOKUP(calendar[[#This Row],[Date]],BH!G:G,1,)&lt;&gt;"",1,0),0)</f>
        <v>0</v>
      </c>
      <c r="P2260">
        <f>IF(OR(calendar[[#This Row],[UK_BH]]=1,calendar[[#This Row],[WeekDay]]=1, calendar[[#This Row],[WeekDay]]=7),P2259,P2259+1)</f>
        <v>1614</v>
      </c>
      <c r="Q2260">
        <f>IF(OR(calendar[[#This Row],[FR_BH]]=1,calendar[[#This Row],[WeekDay]]=1, calendar[[#This Row],[WeekDay]]=7),P2259,P2259+1)</f>
        <v>1614</v>
      </c>
      <c r="R2260">
        <f>IF(OR(calendar[[#This Row],[SP_BH]]=1,calendar[[#This Row],[WeekDay]]=1, calendar[[#This Row],[WeekDay]]=7),P2259,P2259+1)</f>
        <v>1614</v>
      </c>
      <c r="S2260">
        <f>IF(OR(calendar[[#This Row],[PT_BH]]=1,calendar[[#This Row],[WeekDay]]=1, calendar[[#This Row],[WeekDay]]=7),P2259,P2259+1)</f>
        <v>1614</v>
      </c>
    </row>
    <row r="2261" spans="1:19" x14ac:dyDescent="0.25">
      <c r="A2261" s="2">
        <v>44995</v>
      </c>
      <c r="B2261" s="1">
        <f t="shared" si="178"/>
        <v>10</v>
      </c>
      <c r="C2261">
        <f t="shared" si="180"/>
        <v>3</v>
      </c>
      <c r="D2261" t="str">
        <f t="shared" si="181"/>
        <v>March</v>
      </c>
      <c r="E2261">
        <f t="shared" si="182"/>
        <v>2023</v>
      </c>
      <c r="F2261" t="str">
        <f>CONCATENATE(calendar[[#This Row],[Month]],"/",calendar[[#This Row],[Year]])</f>
        <v>3/2023</v>
      </c>
      <c r="G2261">
        <f>WEEKDAY(calendar[[#This Row],[Date]],1)</f>
        <v>6</v>
      </c>
      <c r="H2261" t="str">
        <f>TEXT(calendar[[#This Row],[WeekDay]],"dddd")</f>
        <v>Friday</v>
      </c>
      <c r="I2261">
        <f>IF((INT(calendar[[#This Row],[Count]]/7)-calendar[[#This Row],[Count]]/7)&lt;0,I2260,I2260+1)</f>
        <v>323</v>
      </c>
      <c r="J2261">
        <f t="shared" si="179"/>
        <v>2259</v>
      </c>
      <c r="K2261">
        <f>IF(calendar[[#This Row],[Month]]&lt;4,1,IF(calendar[[#This Row],[Month]]&lt;7,2,IF(calendar[[#This Row],[Month]]&lt;10,3,4)))</f>
        <v>1</v>
      </c>
      <c r="L2261">
        <f>IFERROR(IF(VLOOKUP(calendar[[#This Row],[Date]],BH!A:A,1,)&lt;&gt;"",1,0),0)</f>
        <v>0</v>
      </c>
      <c r="M2261">
        <f>IFERROR(IF(VLOOKUP(calendar[[#This Row],[Date]],BH!C:C,1,)&lt;&gt;"",1,0),0)</f>
        <v>0</v>
      </c>
      <c r="N2261">
        <f>IFERROR(IF(VLOOKUP(calendar[[#This Row],[Date]],BH!E:E,1,)&lt;&gt;"",1,0),0)</f>
        <v>0</v>
      </c>
      <c r="O2261">
        <f>IFERROR(IF(VLOOKUP(calendar[[#This Row],[Date]],BH!G:G,1,)&lt;&gt;"",1,0),0)</f>
        <v>0</v>
      </c>
      <c r="P2261">
        <f>IF(OR(calendar[[#This Row],[UK_BH]]=1,calendar[[#This Row],[WeekDay]]=1, calendar[[#This Row],[WeekDay]]=7),P2260,P2260+1)</f>
        <v>1615</v>
      </c>
      <c r="Q2261">
        <f>IF(OR(calendar[[#This Row],[FR_BH]]=1,calendar[[#This Row],[WeekDay]]=1, calendar[[#This Row],[WeekDay]]=7),P2260,P2260+1)</f>
        <v>1615</v>
      </c>
      <c r="R2261">
        <f>IF(OR(calendar[[#This Row],[SP_BH]]=1,calendar[[#This Row],[WeekDay]]=1, calendar[[#This Row],[WeekDay]]=7),P2260,P2260+1)</f>
        <v>1615</v>
      </c>
      <c r="S2261">
        <f>IF(OR(calendar[[#This Row],[PT_BH]]=1,calendar[[#This Row],[WeekDay]]=1, calendar[[#This Row],[WeekDay]]=7),P2260,P2260+1)</f>
        <v>1615</v>
      </c>
    </row>
    <row r="2262" spans="1:19" x14ac:dyDescent="0.25">
      <c r="A2262" s="2">
        <v>44996</v>
      </c>
      <c r="B2262" s="1">
        <f t="shared" si="178"/>
        <v>10</v>
      </c>
      <c r="C2262">
        <f t="shared" si="180"/>
        <v>3</v>
      </c>
      <c r="D2262" t="str">
        <f t="shared" si="181"/>
        <v>March</v>
      </c>
      <c r="E2262">
        <f t="shared" si="182"/>
        <v>2023</v>
      </c>
      <c r="F2262" t="str">
        <f>CONCATENATE(calendar[[#This Row],[Month]],"/",calendar[[#This Row],[Year]])</f>
        <v>3/2023</v>
      </c>
      <c r="G2262">
        <f>WEEKDAY(calendar[[#This Row],[Date]],1)</f>
        <v>7</v>
      </c>
      <c r="H2262" t="str">
        <f>TEXT(calendar[[#This Row],[WeekDay]],"dddd")</f>
        <v>Saturday</v>
      </c>
      <c r="I2262">
        <f>IF((INT(calendar[[#This Row],[Count]]/7)-calendar[[#This Row],[Count]]/7)&lt;0,I2261,I2261+1)</f>
        <v>323</v>
      </c>
      <c r="J2262">
        <f t="shared" si="179"/>
        <v>2260</v>
      </c>
      <c r="K2262">
        <f>IF(calendar[[#This Row],[Month]]&lt;4,1,IF(calendar[[#This Row],[Month]]&lt;7,2,IF(calendar[[#This Row],[Month]]&lt;10,3,4)))</f>
        <v>1</v>
      </c>
      <c r="L2262">
        <f>IFERROR(IF(VLOOKUP(calendar[[#This Row],[Date]],BH!A:A,1,)&lt;&gt;"",1,0),0)</f>
        <v>0</v>
      </c>
      <c r="M2262">
        <f>IFERROR(IF(VLOOKUP(calendar[[#This Row],[Date]],BH!C:C,1,)&lt;&gt;"",1,0),0)</f>
        <v>0</v>
      </c>
      <c r="N2262">
        <f>IFERROR(IF(VLOOKUP(calendar[[#This Row],[Date]],BH!E:E,1,)&lt;&gt;"",1,0),0)</f>
        <v>0</v>
      </c>
      <c r="O2262">
        <f>IFERROR(IF(VLOOKUP(calendar[[#This Row],[Date]],BH!G:G,1,)&lt;&gt;"",1,0),0)</f>
        <v>0</v>
      </c>
      <c r="P2262">
        <f>IF(OR(calendar[[#This Row],[UK_BH]]=1,calendar[[#This Row],[WeekDay]]=1, calendar[[#This Row],[WeekDay]]=7),P2261,P2261+1)</f>
        <v>1615</v>
      </c>
      <c r="Q2262">
        <f>IF(OR(calendar[[#This Row],[FR_BH]]=1,calendar[[#This Row],[WeekDay]]=1, calendar[[#This Row],[WeekDay]]=7),P2261,P2261+1)</f>
        <v>1615</v>
      </c>
      <c r="R2262">
        <f>IF(OR(calendar[[#This Row],[SP_BH]]=1,calendar[[#This Row],[WeekDay]]=1, calendar[[#This Row],[WeekDay]]=7),P2261,P2261+1)</f>
        <v>1615</v>
      </c>
      <c r="S2262">
        <f>IF(OR(calendar[[#This Row],[PT_BH]]=1,calendar[[#This Row],[WeekDay]]=1, calendar[[#This Row],[WeekDay]]=7),P2261,P2261+1)</f>
        <v>1615</v>
      </c>
    </row>
    <row r="2263" spans="1:19" x14ac:dyDescent="0.25">
      <c r="A2263" s="2">
        <v>44997</v>
      </c>
      <c r="B2263" s="1">
        <f t="shared" si="178"/>
        <v>11</v>
      </c>
      <c r="C2263">
        <f t="shared" si="180"/>
        <v>3</v>
      </c>
      <c r="D2263" t="str">
        <f t="shared" si="181"/>
        <v>March</v>
      </c>
      <c r="E2263">
        <f t="shared" si="182"/>
        <v>2023</v>
      </c>
      <c r="F2263" t="str">
        <f>CONCATENATE(calendar[[#This Row],[Month]],"/",calendar[[#This Row],[Year]])</f>
        <v>3/2023</v>
      </c>
      <c r="G2263">
        <f>WEEKDAY(calendar[[#This Row],[Date]],1)</f>
        <v>1</v>
      </c>
      <c r="H2263" t="str">
        <f>TEXT(calendar[[#This Row],[WeekDay]],"dddd")</f>
        <v>Sunday</v>
      </c>
      <c r="I2263">
        <f>IF((INT(calendar[[#This Row],[Count]]/7)-calendar[[#This Row],[Count]]/7)&lt;0,I2262,I2262+1)</f>
        <v>324</v>
      </c>
      <c r="J2263">
        <f t="shared" si="179"/>
        <v>2261</v>
      </c>
      <c r="K2263">
        <f>IF(calendar[[#This Row],[Month]]&lt;4,1,IF(calendar[[#This Row],[Month]]&lt;7,2,IF(calendar[[#This Row],[Month]]&lt;10,3,4)))</f>
        <v>1</v>
      </c>
      <c r="L2263">
        <f>IFERROR(IF(VLOOKUP(calendar[[#This Row],[Date]],BH!A:A,1,)&lt;&gt;"",1,0),0)</f>
        <v>0</v>
      </c>
      <c r="M2263">
        <f>IFERROR(IF(VLOOKUP(calendar[[#This Row],[Date]],BH!C:C,1,)&lt;&gt;"",1,0),0)</f>
        <v>0</v>
      </c>
      <c r="N2263">
        <f>IFERROR(IF(VLOOKUP(calendar[[#This Row],[Date]],BH!E:E,1,)&lt;&gt;"",1,0),0)</f>
        <v>0</v>
      </c>
      <c r="O2263">
        <f>IFERROR(IF(VLOOKUP(calendar[[#This Row],[Date]],BH!G:G,1,)&lt;&gt;"",1,0),0)</f>
        <v>0</v>
      </c>
      <c r="P2263">
        <f>IF(OR(calendar[[#This Row],[UK_BH]]=1,calendar[[#This Row],[WeekDay]]=1, calendar[[#This Row],[WeekDay]]=7),P2262,P2262+1)</f>
        <v>1615</v>
      </c>
      <c r="Q2263">
        <f>IF(OR(calendar[[#This Row],[FR_BH]]=1,calendar[[#This Row],[WeekDay]]=1, calendar[[#This Row],[WeekDay]]=7),P2262,P2262+1)</f>
        <v>1615</v>
      </c>
      <c r="R2263">
        <f>IF(OR(calendar[[#This Row],[SP_BH]]=1,calendar[[#This Row],[WeekDay]]=1, calendar[[#This Row],[WeekDay]]=7),P2262,P2262+1)</f>
        <v>1615</v>
      </c>
      <c r="S2263">
        <f>IF(OR(calendar[[#This Row],[PT_BH]]=1,calendar[[#This Row],[WeekDay]]=1, calendar[[#This Row],[WeekDay]]=7),P2262,P2262+1)</f>
        <v>1615</v>
      </c>
    </row>
    <row r="2264" spans="1:19" x14ac:dyDescent="0.25">
      <c r="A2264" s="2">
        <v>44998</v>
      </c>
      <c r="B2264" s="1">
        <f t="shared" si="178"/>
        <v>11</v>
      </c>
      <c r="C2264">
        <f t="shared" si="180"/>
        <v>3</v>
      </c>
      <c r="D2264" t="str">
        <f t="shared" si="181"/>
        <v>March</v>
      </c>
      <c r="E2264">
        <f t="shared" si="182"/>
        <v>2023</v>
      </c>
      <c r="F2264" t="str">
        <f>CONCATENATE(calendar[[#This Row],[Month]],"/",calendar[[#This Row],[Year]])</f>
        <v>3/2023</v>
      </c>
      <c r="G2264">
        <f>WEEKDAY(calendar[[#This Row],[Date]],1)</f>
        <v>2</v>
      </c>
      <c r="H2264" t="str">
        <f>TEXT(calendar[[#This Row],[WeekDay]],"dddd")</f>
        <v>Monday</v>
      </c>
      <c r="I2264">
        <f>IF((INT(calendar[[#This Row],[Count]]/7)-calendar[[#This Row],[Count]]/7)&lt;0,I2263,I2263+1)</f>
        <v>324</v>
      </c>
      <c r="J2264">
        <f t="shared" si="179"/>
        <v>2262</v>
      </c>
      <c r="K2264">
        <f>IF(calendar[[#This Row],[Month]]&lt;4,1,IF(calendar[[#This Row],[Month]]&lt;7,2,IF(calendar[[#This Row],[Month]]&lt;10,3,4)))</f>
        <v>1</v>
      </c>
      <c r="L2264">
        <f>IFERROR(IF(VLOOKUP(calendar[[#This Row],[Date]],BH!A:A,1,)&lt;&gt;"",1,0),0)</f>
        <v>0</v>
      </c>
      <c r="M2264">
        <f>IFERROR(IF(VLOOKUP(calendar[[#This Row],[Date]],BH!C:C,1,)&lt;&gt;"",1,0),0)</f>
        <v>0</v>
      </c>
      <c r="N2264">
        <f>IFERROR(IF(VLOOKUP(calendar[[#This Row],[Date]],BH!E:E,1,)&lt;&gt;"",1,0),0)</f>
        <v>0</v>
      </c>
      <c r="O2264">
        <f>IFERROR(IF(VLOOKUP(calendar[[#This Row],[Date]],BH!G:G,1,)&lt;&gt;"",1,0),0)</f>
        <v>0</v>
      </c>
      <c r="P2264">
        <f>IF(OR(calendar[[#This Row],[UK_BH]]=1,calendar[[#This Row],[WeekDay]]=1, calendar[[#This Row],[WeekDay]]=7),P2263,P2263+1)</f>
        <v>1616</v>
      </c>
      <c r="Q2264">
        <f>IF(OR(calendar[[#This Row],[FR_BH]]=1,calendar[[#This Row],[WeekDay]]=1, calendar[[#This Row],[WeekDay]]=7),P2263,P2263+1)</f>
        <v>1616</v>
      </c>
      <c r="R2264">
        <f>IF(OR(calendar[[#This Row],[SP_BH]]=1,calendar[[#This Row],[WeekDay]]=1, calendar[[#This Row],[WeekDay]]=7),P2263,P2263+1)</f>
        <v>1616</v>
      </c>
      <c r="S2264">
        <f>IF(OR(calendar[[#This Row],[PT_BH]]=1,calendar[[#This Row],[WeekDay]]=1, calendar[[#This Row],[WeekDay]]=7),P2263,P2263+1)</f>
        <v>1616</v>
      </c>
    </row>
    <row r="2265" spans="1:19" x14ac:dyDescent="0.25">
      <c r="A2265" s="2">
        <v>44999</v>
      </c>
      <c r="B2265" s="1">
        <f t="shared" si="178"/>
        <v>11</v>
      </c>
      <c r="C2265">
        <f t="shared" si="180"/>
        <v>3</v>
      </c>
      <c r="D2265" t="str">
        <f t="shared" si="181"/>
        <v>March</v>
      </c>
      <c r="E2265">
        <f t="shared" si="182"/>
        <v>2023</v>
      </c>
      <c r="F2265" t="str">
        <f>CONCATENATE(calendar[[#This Row],[Month]],"/",calendar[[#This Row],[Year]])</f>
        <v>3/2023</v>
      </c>
      <c r="G2265">
        <f>WEEKDAY(calendar[[#This Row],[Date]],1)</f>
        <v>3</v>
      </c>
      <c r="H2265" t="str">
        <f>TEXT(calendar[[#This Row],[WeekDay]],"dddd")</f>
        <v>Tuesday</v>
      </c>
      <c r="I2265">
        <f>IF((INT(calendar[[#This Row],[Count]]/7)-calendar[[#This Row],[Count]]/7)&lt;0,I2264,I2264+1)</f>
        <v>324</v>
      </c>
      <c r="J2265">
        <f t="shared" si="179"/>
        <v>2263</v>
      </c>
      <c r="K2265">
        <f>IF(calendar[[#This Row],[Month]]&lt;4,1,IF(calendar[[#This Row],[Month]]&lt;7,2,IF(calendar[[#This Row],[Month]]&lt;10,3,4)))</f>
        <v>1</v>
      </c>
      <c r="L2265">
        <f>IFERROR(IF(VLOOKUP(calendar[[#This Row],[Date]],BH!A:A,1,)&lt;&gt;"",1,0),0)</f>
        <v>0</v>
      </c>
      <c r="M2265">
        <f>IFERROR(IF(VLOOKUP(calendar[[#This Row],[Date]],BH!C:C,1,)&lt;&gt;"",1,0),0)</f>
        <v>0</v>
      </c>
      <c r="N2265">
        <f>IFERROR(IF(VLOOKUP(calendar[[#This Row],[Date]],BH!E:E,1,)&lt;&gt;"",1,0),0)</f>
        <v>0</v>
      </c>
      <c r="O2265">
        <f>IFERROR(IF(VLOOKUP(calendar[[#This Row],[Date]],BH!G:G,1,)&lt;&gt;"",1,0),0)</f>
        <v>0</v>
      </c>
      <c r="P2265">
        <f>IF(OR(calendar[[#This Row],[UK_BH]]=1,calendar[[#This Row],[WeekDay]]=1, calendar[[#This Row],[WeekDay]]=7),P2264,P2264+1)</f>
        <v>1617</v>
      </c>
      <c r="Q2265">
        <f>IF(OR(calendar[[#This Row],[FR_BH]]=1,calendar[[#This Row],[WeekDay]]=1, calendar[[#This Row],[WeekDay]]=7),P2264,P2264+1)</f>
        <v>1617</v>
      </c>
      <c r="R2265">
        <f>IF(OR(calendar[[#This Row],[SP_BH]]=1,calendar[[#This Row],[WeekDay]]=1, calendar[[#This Row],[WeekDay]]=7),P2264,P2264+1)</f>
        <v>1617</v>
      </c>
      <c r="S2265">
        <f>IF(OR(calendar[[#This Row],[PT_BH]]=1,calendar[[#This Row],[WeekDay]]=1, calendar[[#This Row],[WeekDay]]=7),P2264,P2264+1)</f>
        <v>1617</v>
      </c>
    </row>
    <row r="2266" spans="1:19" x14ac:dyDescent="0.25">
      <c r="A2266" s="2">
        <v>45000</v>
      </c>
      <c r="B2266" s="1">
        <f t="shared" si="178"/>
        <v>11</v>
      </c>
      <c r="C2266">
        <f t="shared" si="180"/>
        <v>3</v>
      </c>
      <c r="D2266" t="str">
        <f t="shared" si="181"/>
        <v>March</v>
      </c>
      <c r="E2266">
        <f t="shared" si="182"/>
        <v>2023</v>
      </c>
      <c r="F2266" t="str">
        <f>CONCATENATE(calendar[[#This Row],[Month]],"/",calendar[[#This Row],[Year]])</f>
        <v>3/2023</v>
      </c>
      <c r="G2266">
        <f>WEEKDAY(calendar[[#This Row],[Date]],1)</f>
        <v>4</v>
      </c>
      <c r="H2266" t="str">
        <f>TEXT(calendar[[#This Row],[WeekDay]],"dddd")</f>
        <v>Wednesday</v>
      </c>
      <c r="I2266">
        <f>IF((INT(calendar[[#This Row],[Count]]/7)-calendar[[#This Row],[Count]]/7)&lt;0,I2265,I2265+1)</f>
        <v>324</v>
      </c>
      <c r="J2266">
        <f t="shared" si="179"/>
        <v>2264</v>
      </c>
      <c r="K2266">
        <f>IF(calendar[[#This Row],[Month]]&lt;4,1,IF(calendar[[#This Row],[Month]]&lt;7,2,IF(calendar[[#This Row],[Month]]&lt;10,3,4)))</f>
        <v>1</v>
      </c>
      <c r="L2266">
        <f>IFERROR(IF(VLOOKUP(calendar[[#This Row],[Date]],BH!A:A,1,)&lt;&gt;"",1,0),0)</f>
        <v>0</v>
      </c>
      <c r="M2266">
        <f>IFERROR(IF(VLOOKUP(calendar[[#This Row],[Date]],BH!C:C,1,)&lt;&gt;"",1,0),0)</f>
        <v>0</v>
      </c>
      <c r="N2266">
        <f>IFERROR(IF(VLOOKUP(calendar[[#This Row],[Date]],BH!E:E,1,)&lt;&gt;"",1,0),0)</f>
        <v>0</v>
      </c>
      <c r="O2266">
        <f>IFERROR(IF(VLOOKUP(calendar[[#This Row],[Date]],BH!G:G,1,)&lt;&gt;"",1,0),0)</f>
        <v>0</v>
      </c>
      <c r="P2266">
        <f>IF(OR(calendar[[#This Row],[UK_BH]]=1,calendar[[#This Row],[WeekDay]]=1, calendar[[#This Row],[WeekDay]]=7),P2265,P2265+1)</f>
        <v>1618</v>
      </c>
      <c r="Q2266">
        <f>IF(OR(calendar[[#This Row],[FR_BH]]=1,calendar[[#This Row],[WeekDay]]=1, calendar[[#This Row],[WeekDay]]=7),P2265,P2265+1)</f>
        <v>1618</v>
      </c>
      <c r="R2266">
        <f>IF(OR(calendar[[#This Row],[SP_BH]]=1,calendar[[#This Row],[WeekDay]]=1, calendar[[#This Row],[WeekDay]]=7),P2265,P2265+1)</f>
        <v>1618</v>
      </c>
      <c r="S2266">
        <f>IF(OR(calendar[[#This Row],[PT_BH]]=1,calendar[[#This Row],[WeekDay]]=1, calendar[[#This Row],[WeekDay]]=7),P2265,P2265+1)</f>
        <v>1618</v>
      </c>
    </row>
    <row r="2267" spans="1:19" x14ac:dyDescent="0.25">
      <c r="A2267" s="2">
        <v>45001</v>
      </c>
      <c r="B2267" s="1">
        <f t="shared" si="178"/>
        <v>11</v>
      </c>
      <c r="C2267">
        <f t="shared" si="180"/>
        <v>3</v>
      </c>
      <c r="D2267" t="str">
        <f t="shared" si="181"/>
        <v>March</v>
      </c>
      <c r="E2267">
        <f t="shared" si="182"/>
        <v>2023</v>
      </c>
      <c r="F2267" t="str">
        <f>CONCATENATE(calendar[[#This Row],[Month]],"/",calendar[[#This Row],[Year]])</f>
        <v>3/2023</v>
      </c>
      <c r="G2267">
        <f>WEEKDAY(calendar[[#This Row],[Date]],1)</f>
        <v>5</v>
      </c>
      <c r="H2267" t="str">
        <f>TEXT(calendar[[#This Row],[WeekDay]],"dddd")</f>
        <v>Thursday</v>
      </c>
      <c r="I2267">
        <f>IF((INT(calendar[[#This Row],[Count]]/7)-calendar[[#This Row],[Count]]/7)&lt;0,I2266,I2266+1)</f>
        <v>324</v>
      </c>
      <c r="J2267">
        <f t="shared" si="179"/>
        <v>2265</v>
      </c>
      <c r="K2267">
        <f>IF(calendar[[#This Row],[Month]]&lt;4,1,IF(calendar[[#This Row],[Month]]&lt;7,2,IF(calendar[[#This Row],[Month]]&lt;10,3,4)))</f>
        <v>1</v>
      </c>
      <c r="L2267">
        <f>IFERROR(IF(VLOOKUP(calendar[[#This Row],[Date]],BH!A:A,1,)&lt;&gt;"",1,0),0)</f>
        <v>0</v>
      </c>
      <c r="M2267">
        <f>IFERROR(IF(VLOOKUP(calendar[[#This Row],[Date]],BH!C:C,1,)&lt;&gt;"",1,0),0)</f>
        <v>0</v>
      </c>
      <c r="N2267">
        <f>IFERROR(IF(VLOOKUP(calendar[[#This Row],[Date]],BH!E:E,1,)&lt;&gt;"",1,0),0)</f>
        <v>0</v>
      </c>
      <c r="O2267">
        <f>IFERROR(IF(VLOOKUP(calendar[[#This Row],[Date]],BH!G:G,1,)&lt;&gt;"",1,0),0)</f>
        <v>0</v>
      </c>
      <c r="P2267">
        <f>IF(OR(calendar[[#This Row],[UK_BH]]=1,calendar[[#This Row],[WeekDay]]=1, calendar[[#This Row],[WeekDay]]=7),P2266,P2266+1)</f>
        <v>1619</v>
      </c>
      <c r="Q2267">
        <f>IF(OR(calendar[[#This Row],[FR_BH]]=1,calendar[[#This Row],[WeekDay]]=1, calendar[[#This Row],[WeekDay]]=7),P2266,P2266+1)</f>
        <v>1619</v>
      </c>
      <c r="R2267">
        <f>IF(OR(calendar[[#This Row],[SP_BH]]=1,calendar[[#This Row],[WeekDay]]=1, calendar[[#This Row],[WeekDay]]=7),P2266,P2266+1)</f>
        <v>1619</v>
      </c>
      <c r="S2267">
        <f>IF(OR(calendar[[#This Row],[PT_BH]]=1,calendar[[#This Row],[WeekDay]]=1, calendar[[#This Row],[WeekDay]]=7),P2266,P2266+1)</f>
        <v>1619</v>
      </c>
    </row>
    <row r="2268" spans="1:19" x14ac:dyDescent="0.25">
      <c r="A2268" s="2">
        <v>45002</v>
      </c>
      <c r="B2268" s="1">
        <f t="shared" si="178"/>
        <v>11</v>
      </c>
      <c r="C2268">
        <f t="shared" si="180"/>
        <v>3</v>
      </c>
      <c r="D2268" t="str">
        <f t="shared" si="181"/>
        <v>March</v>
      </c>
      <c r="E2268">
        <f t="shared" si="182"/>
        <v>2023</v>
      </c>
      <c r="F2268" t="str">
        <f>CONCATENATE(calendar[[#This Row],[Month]],"/",calendar[[#This Row],[Year]])</f>
        <v>3/2023</v>
      </c>
      <c r="G2268">
        <f>WEEKDAY(calendar[[#This Row],[Date]],1)</f>
        <v>6</v>
      </c>
      <c r="H2268" t="str">
        <f>TEXT(calendar[[#This Row],[WeekDay]],"dddd")</f>
        <v>Friday</v>
      </c>
      <c r="I2268">
        <f>IF((INT(calendar[[#This Row],[Count]]/7)-calendar[[#This Row],[Count]]/7)&lt;0,I2267,I2267+1)</f>
        <v>324</v>
      </c>
      <c r="J2268">
        <f t="shared" si="179"/>
        <v>2266</v>
      </c>
      <c r="K2268">
        <f>IF(calendar[[#This Row],[Month]]&lt;4,1,IF(calendar[[#This Row],[Month]]&lt;7,2,IF(calendar[[#This Row],[Month]]&lt;10,3,4)))</f>
        <v>1</v>
      </c>
      <c r="L2268">
        <f>IFERROR(IF(VLOOKUP(calendar[[#This Row],[Date]],BH!A:A,1,)&lt;&gt;"",1,0),0)</f>
        <v>0</v>
      </c>
      <c r="M2268">
        <f>IFERROR(IF(VLOOKUP(calendar[[#This Row],[Date]],BH!C:C,1,)&lt;&gt;"",1,0),0)</f>
        <v>0</v>
      </c>
      <c r="N2268">
        <f>IFERROR(IF(VLOOKUP(calendar[[#This Row],[Date]],BH!E:E,1,)&lt;&gt;"",1,0),0)</f>
        <v>0</v>
      </c>
      <c r="O2268">
        <f>IFERROR(IF(VLOOKUP(calendar[[#This Row],[Date]],BH!G:G,1,)&lt;&gt;"",1,0),0)</f>
        <v>0</v>
      </c>
      <c r="P2268">
        <f>IF(OR(calendar[[#This Row],[UK_BH]]=1,calendar[[#This Row],[WeekDay]]=1, calendar[[#This Row],[WeekDay]]=7),P2267,P2267+1)</f>
        <v>1620</v>
      </c>
      <c r="Q2268">
        <f>IF(OR(calendar[[#This Row],[FR_BH]]=1,calendar[[#This Row],[WeekDay]]=1, calendar[[#This Row],[WeekDay]]=7),P2267,P2267+1)</f>
        <v>1620</v>
      </c>
      <c r="R2268">
        <f>IF(OR(calendar[[#This Row],[SP_BH]]=1,calendar[[#This Row],[WeekDay]]=1, calendar[[#This Row],[WeekDay]]=7),P2267,P2267+1)</f>
        <v>1620</v>
      </c>
      <c r="S2268">
        <f>IF(OR(calendar[[#This Row],[PT_BH]]=1,calendar[[#This Row],[WeekDay]]=1, calendar[[#This Row],[WeekDay]]=7),P2267,P2267+1)</f>
        <v>1620</v>
      </c>
    </row>
    <row r="2269" spans="1:19" x14ac:dyDescent="0.25">
      <c r="A2269" s="2">
        <v>45003</v>
      </c>
      <c r="B2269" s="1">
        <f t="shared" si="178"/>
        <v>11</v>
      </c>
      <c r="C2269">
        <f t="shared" si="180"/>
        <v>3</v>
      </c>
      <c r="D2269" t="str">
        <f t="shared" si="181"/>
        <v>March</v>
      </c>
      <c r="E2269">
        <f t="shared" si="182"/>
        <v>2023</v>
      </c>
      <c r="F2269" t="str">
        <f>CONCATENATE(calendar[[#This Row],[Month]],"/",calendar[[#This Row],[Year]])</f>
        <v>3/2023</v>
      </c>
      <c r="G2269">
        <f>WEEKDAY(calendar[[#This Row],[Date]],1)</f>
        <v>7</v>
      </c>
      <c r="H2269" t="str">
        <f>TEXT(calendar[[#This Row],[WeekDay]],"dddd")</f>
        <v>Saturday</v>
      </c>
      <c r="I2269">
        <f>IF((INT(calendar[[#This Row],[Count]]/7)-calendar[[#This Row],[Count]]/7)&lt;0,I2268,I2268+1)</f>
        <v>324</v>
      </c>
      <c r="J2269">
        <f t="shared" si="179"/>
        <v>2267</v>
      </c>
      <c r="K2269">
        <f>IF(calendar[[#This Row],[Month]]&lt;4,1,IF(calendar[[#This Row],[Month]]&lt;7,2,IF(calendar[[#This Row],[Month]]&lt;10,3,4)))</f>
        <v>1</v>
      </c>
      <c r="L2269">
        <f>IFERROR(IF(VLOOKUP(calendar[[#This Row],[Date]],BH!A:A,1,)&lt;&gt;"",1,0),0)</f>
        <v>0</v>
      </c>
      <c r="M2269">
        <f>IFERROR(IF(VLOOKUP(calendar[[#This Row],[Date]],BH!C:C,1,)&lt;&gt;"",1,0),0)</f>
        <v>0</v>
      </c>
      <c r="N2269">
        <f>IFERROR(IF(VLOOKUP(calendar[[#This Row],[Date]],BH!E:E,1,)&lt;&gt;"",1,0),0)</f>
        <v>0</v>
      </c>
      <c r="O2269">
        <f>IFERROR(IF(VLOOKUP(calendar[[#This Row],[Date]],BH!G:G,1,)&lt;&gt;"",1,0),0)</f>
        <v>0</v>
      </c>
      <c r="P2269">
        <f>IF(OR(calendar[[#This Row],[UK_BH]]=1,calendar[[#This Row],[WeekDay]]=1, calendar[[#This Row],[WeekDay]]=7),P2268,P2268+1)</f>
        <v>1620</v>
      </c>
      <c r="Q2269">
        <f>IF(OR(calendar[[#This Row],[FR_BH]]=1,calendar[[#This Row],[WeekDay]]=1, calendar[[#This Row],[WeekDay]]=7),P2268,P2268+1)</f>
        <v>1620</v>
      </c>
      <c r="R2269">
        <f>IF(OR(calendar[[#This Row],[SP_BH]]=1,calendar[[#This Row],[WeekDay]]=1, calendar[[#This Row],[WeekDay]]=7),P2268,P2268+1)</f>
        <v>1620</v>
      </c>
      <c r="S2269">
        <f>IF(OR(calendar[[#This Row],[PT_BH]]=1,calendar[[#This Row],[WeekDay]]=1, calendar[[#This Row],[WeekDay]]=7),P2268,P2268+1)</f>
        <v>1620</v>
      </c>
    </row>
    <row r="2270" spans="1:19" x14ac:dyDescent="0.25">
      <c r="A2270" s="2">
        <v>45004</v>
      </c>
      <c r="B2270" s="1">
        <f t="shared" si="178"/>
        <v>12</v>
      </c>
      <c r="C2270">
        <f t="shared" si="180"/>
        <v>3</v>
      </c>
      <c r="D2270" t="str">
        <f t="shared" si="181"/>
        <v>March</v>
      </c>
      <c r="E2270">
        <f t="shared" si="182"/>
        <v>2023</v>
      </c>
      <c r="F2270" t="str">
        <f>CONCATENATE(calendar[[#This Row],[Month]],"/",calendar[[#This Row],[Year]])</f>
        <v>3/2023</v>
      </c>
      <c r="G2270">
        <f>WEEKDAY(calendar[[#This Row],[Date]],1)</f>
        <v>1</v>
      </c>
      <c r="H2270" t="str">
        <f>TEXT(calendar[[#This Row],[WeekDay]],"dddd")</f>
        <v>Sunday</v>
      </c>
      <c r="I2270">
        <f>IF((INT(calendar[[#This Row],[Count]]/7)-calendar[[#This Row],[Count]]/7)&lt;0,I2269,I2269+1)</f>
        <v>325</v>
      </c>
      <c r="J2270">
        <f t="shared" si="179"/>
        <v>2268</v>
      </c>
      <c r="K2270">
        <f>IF(calendar[[#This Row],[Month]]&lt;4,1,IF(calendar[[#This Row],[Month]]&lt;7,2,IF(calendar[[#This Row],[Month]]&lt;10,3,4)))</f>
        <v>1</v>
      </c>
      <c r="L2270">
        <f>IFERROR(IF(VLOOKUP(calendar[[#This Row],[Date]],BH!A:A,1,)&lt;&gt;"",1,0),0)</f>
        <v>0</v>
      </c>
      <c r="M2270">
        <f>IFERROR(IF(VLOOKUP(calendar[[#This Row],[Date]],BH!C:C,1,)&lt;&gt;"",1,0),0)</f>
        <v>0</v>
      </c>
      <c r="N2270">
        <f>IFERROR(IF(VLOOKUP(calendar[[#This Row],[Date]],BH!E:E,1,)&lt;&gt;"",1,0),0)</f>
        <v>0</v>
      </c>
      <c r="O2270">
        <f>IFERROR(IF(VLOOKUP(calendar[[#This Row],[Date]],BH!G:G,1,)&lt;&gt;"",1,0),0)</f>
        <v>0</v>
      </c>
      <c r="P2270">
        <f>IF(OR(calendar[[#This Row],[UK_BH]]=1,calendar[[#This Row],[WeekDay]]=1, calendar[[#This Row],[WeekDay]]=7),P2269,P2269+1)</f>
        <v>1620</v>
      </c>
      <c r="Q2270">
        <f>IF(OR(calendar[[#This Row],[FR_BH]]=1,calendar[[#This Row],[WeekDay]]=1, calendar[[#This Row],[WeekDay]]=7),P2269,P2269+1)</f>
        <v>1620</v>
      </c>
      <c r="R2270">
        <f>IF(OR(calendar[[#This Row],[SP_BH]]=1,calendar[[#This Row],[WeekDay]]=1, calendar[[#This Row],[WeekDay]]=7),P2269,P2269+1)</f>
        <v>1620</v>
      </c>
      <c r="S2270">
        <f>IF(OR(calendar[[#This Row],[PT_BH]]=1,calendar[[#This Row],[WeekDay]]=1, calendar[[#This Row],[WeekDay]]=7),P2269,P2269+1)</f>
        <v>1620</v>
      </c>
    </row>
    <row r="2271" spans="1:19" x14ac:dyDescent="0.25">
      <c r="A2271" s="2">
        <v>45005</v>
      </c>
      <c r="B2271" s="1">
        <f t="shared" si="178"/>
        <v>12</v>
      </c>
      <c r="C2271">
        <f t="shared" si="180"/>
        <v>3</v>
      </c>
      <c r="D2271" t="str">
        <f t="shared" si="181"/>
        <v>March</v>
      </c>
      <c r="E2271">
        <f t="shared" si="182"/>
        <v>2023</v>
      </c>
      <c r="F2271" t="str">
        <f>CONCATENATE(calendar[[#This Row],[Month]],"/",calendar[[#This Row],[Year]])</f>
        <v>3/2023</v>
      </c>
      <c r="G2271">
        <f>WEEKDAY(calendar[[#This Row],[Date]],1)</f>
        <v>2</v>
      </c>
      <c r="H2271" t="str">
        <f>TEXT(calendar[[#This Row],[WeekDay]],"dddd")</f>
        <v>Monday</v>
      </c>
      <c r="I2271">
        <f>IF((INT(calendar[[#This Row],[Count]]/7)-calendar[[#This Row],[Count]]/7)&lt;0,I2270,I2270+1)</f>
        <v>325</v>
      </c>
      <c r="J2271">
        <f t="shared" si="179"/>
        <v>2269</v>
      </c>
      <c r="K2271">
        <f>IF(calendar[[#This Row],[Month]]&lt;4,1,IF(calendar[[#This Row],[Month]]&lt;7,2,IF(calendar[[#This Row],[Month]]&lt;10,3,4)))</f>
        <v>1</v>
      </c>
      <c r="L2271">
        <f>IFERROR(IF(VLOOKUP(calendar[[#This Row],[Date]],BH!A:A,1,)&lt;&gt;"",1,0),0)</f>
        <v>0</v>
      </c>
      <c r="M2271">
        <f>IFERROR(IF(VLOOKUP(calendar[[#This Row],[Date]],BH!C:C,1,)&lt;&gt;"",1,0),0)</f>
        <v>0</v>
      </c>
      <c r="N2271">
        <f>IFERROR(IF(VLOOKUP(calendar[[#This Row],[Date]],BH!E:E,1,)&lt;&gt;"",1,0),0)</f>
        <v>0</v>
      </c>
      <c r="O2271">
        <f>IFERROR(IF(VLOOKUP(calendar[[#This Row],[Date]],BH!G:G,1,)&lt;&gt;"",1,0),0)</f>
        <v>0</v>
      </c>
      <c r="P2271">
        <f>IF(OR(calendar[[#This Row],[UK_BH]]=1,calendar[[#This Row],[WeekDay]]=1, calendar[[#This Row],[WeekDay]]=7),P2270,P2270+1)</f>
        <v>1621</v>
      </c>
      <c r="Q2271">
        <f>IF(OR(calendar[[#This Row],[FR_BH]]=1,calendar[[#This Row],[WeekDay]]=1, calendar[[#This Row],[WeekDay]]=7),P2270,P2270+1)</f>
        <v>1621</v>
      </c>
      <c r="R2271">
        <f>IF(OR(calendar[[#This Row],[SP_BH]]=1,calendar[[#This Row],[WeekDay]]=1, calendar[[#This Row],[WeekDay]]=7),P2270,P2270+1)</f>
        <v>1621</v>
      </c>
      <c r="S2271">
        <f>IF(OR(calendar[[#This Row],[PT_BH]]=1,calendar[[#This Row],[WeekDay]]=1, calendar[[#This Row],[WeekDay]]=7),P2270,P2270+1)</f>
        <v>1621</v>
      </c>
    </row>
    <row r="2272" spans="1:19" x14ac:dyDescent="0.25">
      <c r="A2272" s="2">
        <v>45006</v>
      </c>
      <c r="B2272" s="1">
        <f t="shared" si="178"/>
        <v>12</v>
      </c>
      <c r="C2272">
        <f t="shared" si="180"/>
        <v>3</v>
      </c>
      <c r="D2272" t="str">
        <f t="shared" si="181"/>
        <v>March</v>
      </c>
      <c r="E2272">
        <f t="shared" si="182"/>
        <v>2023</v>
      </c>
      <c r="F2272" t="str">
        <f>CONCATENATE(calendar[[#This Row],[Month]],"/",calendar[[#This Row],[Year]])</f>
        <v>3/2023</v>
      </c>
      <c r="G2272">
        <f>WEEKDAY(calendar[[#This Row],[Date]],1)</f>
        <v>3</v>
      </c>
      <c r="H2272" t="str">
        <f>TEXT(calendar[[#This Row],[WeekDay]],"dddd")</f>
        <v>Tuesday</v>
      </c>
      <c r="I2272">
        <f>IF((INT(calendar[[#This Row],[Count]]/7)-calendar[[#This Row],[Count]]/7)&lt;0,I2271,I2271+1)</f>
        <v>325</v>
      </c>
      <c r="J2272">
        <f t="shared" si="179"/>
        <v>2270</v>
      </c>
      <c r="K2272">
        <f>IF(calendar[[#This Row],[Month]]&lt;4,1,IF(calendar[[#This Row],[Month]]&lt;7,2,IF(calendar[[#This Row],[Month]]&lt;10,3,4)))</f>
        <v>1</v>
      </c>
      <c r="L2272">
        <f>IFERROR(IF(VLOOKUP(calendar[[#This Row],[Date]],BH!A:A,1,)&lt;&gt;"",1,0),0)</f>
        <v>0</v>
      </c>
      <c r="M2272">
        <f>IFERROR(IF(VLOOKUP(calendar[[#This Row],[Date]],BH!C:C,1,)&lt;&gt;"",1,0),0)</f>
        <v>0</v>
      </c>
      <c r="N2272">
        <f>IFERROR(IF(VLOOKUP(calendar[[#This Row],[Date]],BH!E:E,1,)&lt;&gt;"",1,0),0)</f>
        <v>0</v>
      </c>
      <c r="O2272">
        <f>IFERROR(IF(VLOOKUP(calendar[[#This Row],[Date]],BH!G:G,1,)&lt;&gt;"",1,0),0)</f>
        <v>0</v>
      </c>
      <c r="P2272">
        <f>IF(OR(calendar[[#This Row],[UK_BH]]=1,calendar[[#This Row],[WeekDay]]=1, calendar[[#This Row],[WeekDay]]=7),P2271,P2271+1)</f>
        <v>1622</v>
      </c>
      <c r="Q2272">
        <f>IF(OR(calendar[[#This Row],[FR_BH]]=1,calendar[[#This Row],[WeekDay]]=1, calendar[[#This Row],[WeekDay]]=7),P2271,P2271+1)</f>
        <v>1622</v>
      </c>
      <c r="R2272">
        <f>IF(OR(calendar[[#This Row],[SP_BH]]=1,calendar[[#This Row],[WeekDay]]=1, calendar[[#This Row],[WeekDay]]=7),P2271,P2271+1)</f>
        <v>1622</v>
      </c>
      <c r="S2272">
        <f>IF(OR(calendar[[#This Row],[PT_BH]]=1,calendar[[#This Row],[WeekDay]]=1, calendar[[#This Row],[WeekDay]]=7),P2271,P2271+1)</f>
        <v>1622</v>
      </c>
    </row>
    <row r="2273" spans="1:19" x14ac:dyDescent="0.25">
      <c r="A2273" s="2">
        <v>45007</v>
      </c>
      <c r="B2273" s="1">
        <f t="shared" si="178"/>
        <v>12</v>
      </c>
      <c r="C2273">
        <f t="shared" si="180"/>
        <v>3</v>
      </c>
      <c r="D2273" t="str">
        <f t="shared" si="181"/>
        <v>March</v>
      </c>
      <c r="E2273">
        <f t="shared" si="182"/>
        <v>2023</v>
      </c>
      <c r="F2273" t="str">
        <f>CONCATENATE(calendar[[#This Row],[Month]],"/",calendar[[#This Row],[Year]])</f>
        <v>3/2023</v>
      </c>
      <c r="G2273">
        <f>WEEKDAY(calendar[[#This Row],[Date]],1)</f>
        <v>4</v>
      </c>
      <c r="H2273" t="str">
        <f>TEXT(calendar[[#This Row],[WeekDay]],"dddd")</f>
        <v>Wednesday</v>
      </c>
      <c r="I2273">
        <f>IF((INT(calendar[[#This Row],[Count]]/7)-calendar[[#This Row],[Count]]/7)&lt;0,I2272,I2272+1)</f>
        <v>325</v>
      </c>
      <c r="J2273">
        <f t="shared" si="179"/>
        <v>2271</v>
      </c>
      <c r="K2273">
        <f>IF(calendar[[#This Row],[Month]]&lt;4,1,IF(calendar[[#This Row],[Month]]&lt;7,2,IF(calendar[[#This Row],[Month]]&lt;10,3,4)))</f>
        <v>1</v>
      </c>
      <c r="L2273">
        <f>IFERROR(IF(VLOOKUP(calendar[[#This Row],[Date]],BH!A:A,1,)&lt;&gt;"",1,0),0)</f>
        <v>0</v>
      </c>
      <c r="M2273">
        <f>IFERROR(IF(VLOOKUP(calendar[[#This Row],[Date]],BH!C:C,1,)&lt;&gt;"",1,0),0)</f>
        <v>0</v>
      </c>
      <c r="N2273">
        <f>IFERROR(IF(VLOOKUP(calendar[[#This Row],[Date]],BH!E:E,1,)&lt;&gt;"",1,0),0)</f>
        <v>0</v>
      </c>
      <c r="O2273">
        <f>IFERROR(IF(VLOOKUP(calendar[[#This Row],[Date]],BH!G:G,1,)&lt;&gt;"",1,0),0)</f>
        <v>0</v>
      </c>
      <c r="P2273">
        <f>IF(OR(calendar[[#This Row],[UK_BH]]=1,calendar[[#This Row],[WeekDay]]=1, calendar[[#This Row],[WeekDay]]=7),P2272,P2272+1)</f>
        <v>1623</v>
      </c>
      <c r="Q2273">
        <f>IF(OR(calendar[[#This Row],[FR_BH]]=1,calendar[[#This Row],[WeekDay]]=1, calendar[[#This Row],[WeekDay]]=7),P2272,P2272+1)</f>
        <v>1623</v>
      </c>
      <c r="R2273">
        <f>IF(OR(calendar[[#This Row],[SP_BH]]=1,calendar[[#This Row],[WeekDay]]=1, calendar[[#This Row],[WeekDay]]=7),P2272,P2272+1)</f>
        <v>1623</v>
      </c>
      <c r="S2273">
        <f>IF(OR(calendar[[#This Row],[PT_BH]]=1,calendar[[#This Row],[WeekDay]]=1, calendar[[#This Row],[WeekDay]]=7),P2272,P2272+1)</f>
        <v>1623</v>
      </c>
    </row>
    <row r="2274" spans="1:19" x14ac:dyDescent="0.25">
      <c r="A2274" s="2">
        <v>45008</v>
      </c>
      <c r="B2274" s="1">
        <f t="shared" si="178"/>
        <v>12</v>
      </c>
      <c r="C2274">
        <f t="shared" si="180"/>
        <v>3</v>
      </c>
      <c r="D2274" t="str">
        <f t="shared" si="181"/>
        <v>March</v>
      </c>
      <c r="E2274">
        <f t="shared" si="182"/>
        <v>2023</v>
      </c>
      <c r="F2274" t="str">
        <f>CONCATENATE(calendar[[#This Row],[Month]],"/",calendar[[#This Row],[Year]])</f>
        <v>3/2023</v>
      </c>
      <c r="G2274">
        <f>WEEKDAY(calendar[[#This Row],[Date]],1)</f>
        <v>5</v>
      </c>
      <c r="H2274" t="str">
        <f>TEXT(calendar[[#This Row],[WeekDay]],"dddd")</f>
        <v>Thursday</v>
      </c>
      <c r="I2274">
        <f>IF((INT(calendar[[#This Row],[Count]]/7)-calendar[[#This Row],[Count]]/7)&lt;0,I2273,I2273+1)</f>
        <v>325</v>
      </c>
      <c r="J2274">
        <f t="shared" si="179"/>
        <v>2272</v>
      </c>
      <c r="K2274">
        <f>IF(calendar[[#This Row],[Month]]&lt;4,1,IF(calendar[[#This Row],[Month]]&lt;7,2,IF(calendar[[#This Row],[Month]]&lt;10,3,4)))</f>
        <v>1</v>
      </c>
      <c r="L2274">
        <f>IFERROR(IF(VLOOKUP(calendar[[#This Row],[Date]],BH!A:A,1,)&lt;&gt;"",1,0),0)</f>
        <v>0</v>
      </c>
      <c r="M2274">
        <f>IFERROR(IF(VLOOKUP(calendar[[#This Row],[Date]],BH!C:C,1,)&lt;&gt;"",1,0),0)</f>
        <v>0</v>
      </c>
      <c r="N2274">
        <f>IFERROR(IF(VLOOKUP(calendar[[#This Row],[Date]],BH!E:E,1,)&lt;&gt;"",1,0),0)</f>
        <v>0</v>
      </c>
      <c r="O2274">
        <f>IFERROR(IF(VLOOKUP(calendar[[#This Row],[Date]],BH!G:G,1,)&lt;&gt;"",1,0),0)</f>
        <v>0</v>
      </c>
      <c r="P2274">
        <f>IF(OR(calendar[[#This Row],[UK_BH]]=1,calendar[[#This Row],[WeekDay]]=1, calendar[[#This Row],[WeekDay]]=7),P2273,P2273+1)</f>
        <v>1624</v>
      </c>
      <c r="Q2274">
        <f>IF(OR(calendar[[#This Row],[FR_BH]]=1,calendar[[#This Row],[WeekDay]]=1, calendar[[#This Row],[WeekDay]]=7),P2273,P2273+1)</f>
        <v>1624</v>
      </c>
      <c r="R2274">
        <f>IF(OR(calendar[[#This Row],[SP_BH]]=1,calendar[[#This Row],[WeekDay]]=1, calendar[[#This Row],[WeekDay]]=7),P2273,P2273+1)</f>
        <v>1624</v>
      </c>
      <c r="S2274">
        <f>IF(OR(calendar[[#This Row],[PT_BH]]=1,calendar[[#This Row],[WeekDay]]=1, calendar[[#This Row],[WeekDay]]=7),P2273,P2273+1)</f>
        <v>1624</v>
      </c>
    </row>
    <row r="2275" spans="1:19" x14ac:dyDescent="0.25">
      <c r="A2275" s="2">
        <v>45009</v>
      </c>
      <c r="B2275" s="1">
        <f t="shared" si="178"/>
        <v>12</v>
      </c>
      <c r="C2275">
        <f t="shared" si="180"/>
        <v>3</v>
      </c>
      <c r="D2275" t="str">
        <f t="shared" si="181"/>
        <v>March</v>
      </c>
      <c r="E2275">
        <f t="shared" si="182"/>
        <v>2023</v>
      </c>
      <c r="F2275" t="str">
        <f>CONCATENATE(calendar[[#This Row],[Month]],"/",calendar[[#This Row],[Year]])</f>
        <v>3/2023</v>
      </c>
      <c r="G2275">
        <f>WEEKDAY(calendar[[#This Row],[Date]],1)</f>
        <v>6</v>
      </c>
      <c r="H2275" t="str">
        <f>TEXT(calendar[[#This Row],[WeekDay]],"dddd")</f>
        <v>Friday</v>
      </c>
      <c r="I2275">
        <f>IF((INT(calendar[[#This Row],[Count]]/7)-calendar[[#This Row],[Count]]/7)&lt;0,I2274,I2274+1)</f>
        <v>325</v>
      </c>
      <c r="J2275">
        <f t="shared" si="179"/>
        <v>2273</v>
      </c>
      <c r="K2275">
        <f>IF(calendar[[#This Row],[Month]]&lt;4,1,IF(calendar[[#This Row],[Month]]&lt;7,2,IF(calendar[[#This Row],[Month]]&lt;10,3,4)))</f>
        <v>1</v>
      </c>
      <c r="L2275">
        <f>IFERROR(IF(VLOOKUP(calendar[[#This Row],[Date]],BH!A:A,1,)&lt;&gt;"",1,0),0)</f>
        <v>0</v>
      </c>
      <c r="M2275">
        <f>IFERROR(IF(VLOOKUP(calendar[[#This Row],[Date]],BH!C:C,1,)&lt;&gt;"",1,0),0)</f>
        <v>0</v>
      </c>
      <c r="N2275">
        <f>IFERROR(IF(VLOOKUP(calendar[[#This Row],[Date]],BH!E:E,1,)&lt;&gt;"",1,0),0)</f>
        <v>0</v>
      </c>
      <c r="O2275">
        <f>IFERROR(IF(VLOOKUP(calendar[[#This Row],[Date]],BH!G:G,1,)&lt;&gt;"",1,0),0)</f>
        <v>0</v>
      </c>
      <c r="P2275">
        <f>IF(OR(calendar[[#This Row],[UK_BH]]=1,calendar[[#This Row],[WeekDay]]=1, calendar[[#This Row],[WeekDay]]=7),P2274,P2274+1)</f>
        <v>1625</v>
      </c>
      <c r="Q2275">
        <f>IF(OR(calendar[[#This Row],[FR_BH]]=1,calendar[[#This Row],[WeekDay]]=1, calendar[[#This Row],[WeekDay]]=7),P2274,P2274+1)</f>
        <v>1625</v>
      </c>
      <c r="R2275">
        <f>IF(OR(calendar[[#This Row],[SP_BH]]=1,calendar[[#This Row],[WeekDay]]=1, calendar[[#This Row],[WeekDay]]=7),P2274,P2274+1)</f>
        <v>1625</v>
      </c>
      <c r="S2275">
        <f>IF(OR(calendar[[#This Row],[PT_BH]]=1,calendar[[#This Row],[WeekDay]]=1, calendar[[#This Row],[WeekDay]]=7),P2274,P2274+1)</f>
        <v>1625</v>
      </c>
    </row>
    <row r="2276" spans="1:19" x14ac:dyDescent="0.25">
      <c r="A2276" s="2">
        <v>45010</v>
      </c>
      <c r="B2276" s="1">
        <f t="shared" si="178"/>
        <v>12</v>
      </c>
      <c r="C2276">
        <f t="shared" si="180"/>
        <v>3</v>
      </c>
      <c r="D2276" t="str">
        <f t="shared" si="181"/>
        <v>March</v>
      </c>
      <c r="E2276">
        <f t="shared" si="182"/>
        <v>2023</v>
      </c>
      <c r="F2276" t="str">
        <f>CONCATENATE(calendar[[#This Row],[Month]],"/",calendar[[#This Row],[Year]])</f>
        <v>3/2023</v>
      </c>
      <c r="G2276">
        <f>WEEKDAY(calendar[[#This Row],[Date]],1)</f>
        <v>7</v>
      </c>
      <c r="H2276" t="str">
        <f>TEXT(calendar[[#This Row],[WeekDay]],"dddd")</f>
        <v>Saturday</v>
      </c>
      <c r="I2276">
        <f>IF((INT(calendar[[#This Row],[Count]]/7)-calendar[[#This Row],[Count]]/7)&lt;0,I2275,I2275+1)</f>
        <v>325</v>
      </c>
      <c r="J2276">
        <f t="shared" si="179"/>
        <v>2274</v>
      </c>
      <c r="K2276">
        <f>IF(calendar[[#This Row],[Month]]&lt;4,1,IF(calendar[[#This Row],[Month]]&lt;7,2,IF(calendar[[#This Row],[Month]]&lt;10,3,4)))</f>
        <v>1</v>
      </c>
      <c r="L2276">
        <f>IFERROR(IF(VLOOKUP(calendar[[#This Row],[Date]],BH!A:A,1,)&lt;&gt;"",1,0),0)</f>
        <v>0</v>
      </c>
      <c r="M2276">
        <f>IFERROR(IF(VLOOKUP(calendar[[#This Row],[Date]],BH!C:C,1,)&lt;&gt;"",1,0),0)</f>
        <v>0</v>
      </c>
      <c r="N2276">
        <f>IFERROR(IF(VLOOKUP(calendar[[#This Row],[Date]],BH!E:E,1,)&lt;&gt;"",1,0),0)</f>
        <v>0</v>
      </c>
      <c r="O2276">
        <f>IFERROR(IF(VLOOKUP(calendar[[#This Row],[Date]],BH!G:G,1,)&lt;&gt;"",1,0),0)</f>
        <v>0</v>
      </c>
      <c r="P2276">
        <f>IF(OR(calendar[[#This Row],[UK_BH]]=1,calendar[[#This Row],[WeekDay]]=1, calendar[[#This Row],[WeekDay]]=7),P2275,P2275+1)</f>
        <v>1625</v>
      </c>
      <c r="Q2276">
        <f>IF(OR(calendar[[#This Row],[FR_BH]]=1,calendar[[#This Row],[WeekDay]]=1, calendar[[#This Row],[WeekDay]]=7),P2275,P2275+1)</f>
        <v>1625</v>
      </c>
      <c r="R2276">
        <f>IF(OR(calendar[[#This Row],[SP_BH]]=1,calendar[[#This Row],[WeekDay]]=1, calendar[[#This Row],[WeekDay]]=7),P2275,P2275+1)</f>
        <v>1625</v>
      </c>
      <c r="S2276">
        <f>IF(OR(calendar[[#This Row],[PT_BH]]=1,calendar[[#This Row],[WeekDay]]=1, calendar[[#This Row],[WeekDay]]=7),P2275,P2275+1)</f>
        <v>1625</v>
      </c>
    </row>
    <row r="2277" spans="1:19" x14ac:dyDescent="0.25">
      <c r="A2277" s="2">
        <v>45011</v>
      </c>
      <c r="B2277" s="1">
        <f t="shared" si="178"/>
        <v>13</v>
      </c>
      <c r="C2277">
        <f t="shared" si="180"/>
        <v>3</v>
      </c>
      <c r="D2277" t="str">
        <f t="shared" si="181"/>
        <v>March</v>
      </c>
      <c r="E2277">
        <f t="shared" si="182"/>
        <v>2023</v>
      </c>
      <c r="F2277" t="str">
        <f>CONCATENATE(calendar[[#This Row],[Month]],"/",calendar[[#This Row],[Year]])</f>
        <v>3/2023</v>
      </c>
      <c r="G2277">
        <f>WEEKDAY(calendar[[#This Row],[Date]],1)</f>
        <v>1</v>
      </c>
      <c r="H2277" t="str">
        <f>TEXT(calendar[[#This Row],[WeekDay]],"dddd")</f>
        <v>Sunday</v>
      </c>
      <c r="I2277">
        <f>IF((INT(calendar[[#This Row],[Count]]/7)-calendar[[#This Row],[Count]]/7)&lt;0,I2276,I2276+1)</f>
        <v>326</v>
      </c>
      <c r="J2277">
        <f t="shared" si="179"/>
        <v>2275</v>
      </c>
      <c r="K2277">
        <f>IF(calendar[[#This Row],[Month]]&lt;4,1,IF(calendar[[#This Row],[Month]]&lt;7,2,IF(calendar[[#This Row],[Month]]&lt;10,3,4)))</f>
        <v>1</v>
      </c>
      <c r="L2277">
        <f>IFERROR(IF(VLOOKUP(calendar[[#This Row],[Date]],BH!A:A,1,)&lt;&gt;"",1,0),0)</f>
        <v>0</v>
      </c>
      <c r="M2277">
        <f>IFERROR(IF(VLOOKUP(calendar[[#This Row],[Date]],BH!C:C,1,)&lt;&gt;"",1,0),0)</f>
        <v>0</v>
      </c>
      <c r="N2277">
        <f>IFERROR(IF(VLOOKUP(calendar[[#This Row],[Date]],BH!E:E,1,)&lt;&gt;"",1,0),0)</f>
        <v>0</v>
      </c>
      <c r="O2277">
        <f>IFERROR(IF(VLOOKUP(calendar[[#This Row],[Date]],BH!G:G,1,)&lt;&gt;"",1,0),0)</f>
        <v>0</v>
      </c>
      <c r="P2277">
        <f>IF(OR(calendar[[#This Row],[UK_BH]]=1,calendar[[#This Row],[WeekDay]]=1, calendar[[#This Row],[WeekDay]]=7),P2276,P2276+1)</f>
        <v>1625</v>
      </c>
      <c r="Q2277">
        <f>IF(OR(calendar[[#This Row],[FR_BH]]=1,calendar[[#This Row],[WeekDay]]=1, calendar[[#This Row],[WeekDay]]=7),P2276,P2276+1)</f>
        <v>1625</v>
      </c>
      <c r="R2277">
        <f>IF(OR(calendar[[#This Row],[SP_BH]]=1,calendar[[#This Row],[WeekDay]]=1, calendar[[#This Row],[WeekDay]]=7),P2276,P2276+1)</f>
        <v>1625</v>
      </c>
      <c r="S2277">
        <f>IF(OR(calendar[[#This Row],[PT_BH]]=1,calendar[[#This Row],[WeekDay]]=1, calendar[[#This Row],[WeekDay]]=7),P2276,P2276+1)</f>
        <v>1625</v>
      </c>
    </row>
    <row r="2278" spans="1:19" x14ac:dyDescent="0.25">
      <c r="A2278" s="2">
        <v>45012</v>
      </c>
      <c r="B2278" s="1">
        <f t="shared" si="178"/>
        <v>13</v>
      </c>
      <c r="C2278">
        <f t="shared" si="180"/>
        <v>3</v>
      </c>
      <c r="D2278" t="str">
        <f t="shared" si="181"/>
        <v>March</v>
      </c>
      <c r="E2278">
        <f t="shared" si="182"/>
        <v>2023</v>
      </c>
      <c r="F2278" t="str">
        <f>CONCATENATE(calendar[[#This Row],[Month]],"/",calendar[[#This Row],[Year]])</f>
        <v>3/2023</v>
      </c>
      <c r="G2278">
        <f>WEEKDAY(calendar[[#This Row],[Date]],1)</f>
        <v>2</v>
      </c>
      <c r="H2278" t="str">
        <f>TEXT(calendar[[#This Row],[WeekDay]],"dddd")</f>
        <v>Monday</v>
      </c>
      <c r="I2278">
        <f>IF((INT(calendar[[#This Row],[Count]]/7)-calendar[[#This Row],[Count]]/7)&lt;0,I2277,I2277+1)</f>
        <v>326</v>
      </c>
      <c r="J2278">
        <f t="shared" si="179"/>
        <v>2276</v>
      </c>
      <c r="K2278">
        <f>IF(calendar[[#This Row],[Month]]&lt;4,1,IF(calendar[[#This Row],[Month]]&lt;7,2,IF(calendar[[#This Row],[Month]]&lt;10,3,4)))</f>
        <v>1</v>
      </c>
      <c r="L2278">
        <f>IFERROR(IF(VLOOKUP(calendar[[#This Row],[Date]],BH!A:A,1,)&lt;&gt;"",1,0),0)</f>
        <v>0</v>
      </c>
      <c r="M2278">
        <f>IFERROR(IF(VLOOKUP(calendar[[#This Row],[Date]],BH!C:C,1,)&lt;&gt;"",1,0),0)</f>
        <v>0</v>
      </c>
      <c r="N2278">
        <f>IFERROR(IF(VLOOKUP(calendar[[#This Row],[Date]],BH!E:E,1,)&lt;&gt;"",1,0),0)</f>
        <v>0</v>
      </c>
      <c r="O2278">
        <f>IFERROR(IF(VLOOKUP(calendar[[#This Row],[Date]],BH!G:G,1,)&lt;&gt;"",1,0),0)</f>
        <v>0</v>
      </c>
      <c r="P2278">
        <f>IF(OR(calendar[[#This Row],[UK_BH]]=1,calendar[[#This Row],[WeekDay]]=1, calendar[[#This Row],[WeekDay]]=7),P2277,P2277+1)</f>
        <v>1626</v>
      </c>
      <c r="Q2278">
        <f>IF(OR(calendar[[#This Row],[FR_BH]]=1,calendar[[#This Row],[WeekDay]]=1, calendar[[#This Row],[WeekDay]]=7),P2277,P2277+1)</f>
        <v>1626</v>
      </c>
      <c r="R2278">
        <f>IF(OR(calendar[[#This Row],[SP_BH]]=1,calendar[[#This Row],[WeekDay]]=1, calendar[[#This Row],[WeekDay]]=7),P2277,P2277+1)</f>
        <v>1626</v>
      </c>
      <c r="S2278">
        <f>IF(OR(calendar[[#This Row],[PT_BH]]=1,calendar[[#This Row],[WeekDay]]=1, calendar[[#This Row],[WeekDay]]=7),P2277,P2277+1)</f>
        <v>1626</v>
      </c>
    </row>
    <row r="2279" spans="1:19" x14ac:dyDescent="0.25">
      <c r="A2279" s="2">
        <v>45013</v>
      </c>
      <c r="B2279" s="1">
        <f t="shared" si="178"/>
        <v>13</v>
      </c>
      <c r="C2279">
        <f t="shared" si="180"/>
        <v>3</v>
      </c>
      <c r="D2279" t="str">
        <f t="shared" si="181"/>
        <v>March</v>
      </c>
      <c r="E2279">
        <f t="shared" si="182"/>
        <v>2023</v>
      </c>
      <c r="F2279" t="str">
        <f>CONCATENATE(calendar[[#This Row],[Month]],"/",calendar[[#This Row],[Year]])</f>
        <v>3/2023</v>
      </c>
      <c r="G2279">
        <f>WEEKDAY(calendar[[#This Row],[Date]],1)</f>
        <v>3</v>
      </c>
      <c r="H2279" t="str">
        <f>TEXT(calendar[[#This Row],[WeekDay]],"dddd")</f>
        <v>Tuesday</v>
      </c>
      <c r="I2279">
        <f>IF((INT(calendar[[#This Row],[Count]]/7)-calendar[[#This Row],[Count]]/7)&lt;0,I2278,I2278+1)</f>
        <v>326</v>
      </c>
      <c r="J2279">
        <f t="shared" si="179"/>
        <v>2277</v>
      </c>
      <c r="K2279">
        <f>IF(calendar[[#This Row],[Month]]&lt;4,1,IF(calendar[[#This Row],[Month]]&lt;7,2,IF(calendar[[#This Row],[Month]]&lt;10,3,4)))</f>
        <v>1</v>
      </c>
      <c r="L2279">
        <f>IFERROR(IF(VLOOKUP(calendar[[#This Row],[Date]],BH!A:A,1,)&lt;&gt;"",1,0),0)</f>
        <v>0</v>
      </c>
      <c r="M2279">
        <f>IFERROR(IF(VLOOKUP(calendar[[#This Row],[Date]],BH!C:C,1,)&lt;&gt;"",1,0),0)</f>
        <v>0</v>
      </c>
      <c r="N2279">
        <f>IFERROR(IF(VLOOKUP(calendar[[#This Row],[Date]],BH!E:E,1,)&lt;&gt;"",1,0),0)</f>
        <v>0</v>
      </c>
      <c r="O2279">
        <f>IFERROR(IF(VLOOKUP(calendar[[#This Row],[Date]],BH!G:G,1,)&lt;&gt;"",1,0),0)</f>
        <v>0</v>
      </c>
      <c r="P2279">
        <f>IF(OR(calendar[[#This Row],[UK_BH]]=1,calendar[[#This Row],[WeekDay]]=1, calendar[[#This Row],[WeekDay]]=7),P2278,P2278+1)</f>
        <v>1627</v>
      </c>
      <c r="Q2279">
        <f>IF(OR(calendar[[#This Row],[FR_BH]]=1,calendar[[#This Row],[WeekDay]]=1, calendar[[#This Row],[WeekDay]]=7),P2278,P2278+1)</f>
        <v>1627</v>
      </c>
      <c r="R2279">
        <f>IF(OR(calendar[[#This Row],[SP_BH]]=1,calendar[[#This Row],[WeekDay]]=1, calendar[[#This Row],[WeekDay]]=7),P2278,P2278+1)</f>
        <v>1627</v>
      </c>
      <c r="S2279">
        <f>IF(OR(calendar[[#This Row],[PT_BH]]=1,calendar[[#This Row],[WeekDay]]=1, calendar[[#This Row],[WeekDay]]=7),P2278,P2278+1)</f>
        <v>1627</v>
      </c>
    </row>
    <row r="2280" spans="1:19" x14ac:dyDescent="0.25">
      <c r="A2280" s="2">
        <v>45014</v>
      </c>
      <c r="B2280" s="1">
        <f t="shared" si="178"/>
        <v>13</v>
      </c>
      <c r="C2280">
        <f t="shared" si="180"/>
        <v>3</v>
      </c>
      <c r="D2280" t="str">
        <f t="shared" si="181"/>
        <v>March</v>
      </c>
      <c r="E2280">
        <f t="shared" si="182"/>
        <v>2023</v>
      </c>
      <c r="F2280" t="str">
        <f>CONCATENATE(calendar[[#This Row],[Month]],"/",calendar[[#This Row],[Year]])</f>
        <v>3/2023</v>
      </c>
      <c r="G2280">
        <f>WEEKDAY(calendar[[#This Row],[Date]],1)</f>
        <v>4</v>
      </c>
      <c r="H2280" t="str">
        <f>TEXT(calendar[[#This Row],[WeekDay]],"dddd")</f>
        <v>Wednesday</v>
      </c>
      <c r="I2280">
        <f>IF((INT(calendar[[#This Row],[Count]]/7)-calendar[[#This Row],[Count]]/7)&lt;0,I2279,I2279+1)</f>
        <v>326</v>
      </c>
      <c r="J2280">
        <f t="shared" si="179"/>
        <v>2278</v>
      </c>
      <c r="K2280">
        <f>IF(calendar[[#This Row],[Month]]&lt;4,1,IF(calendar[[#This Row],[Month]]&lt;7,2,IF(calendar[[#This Row],[Month]]&lt;10,3,4)))</f>
        <v>1</v>
      </c>
      <c r="L2280">
        <f>IFERROR(IF(VLOOKUP(calendar[[#This Row],[Date]],BH!A:A,1,)&lt;&gt;"",1,0),0)</f>
        <v>0</v>
      </c>
      <c r="M2280">
        <f>IFERROR(IF(VLOOKUP(calendar[[#This Row],[Date]],BH!C:C,1,)&lt;&gt;"",1,0),0)</f>
        <v>0</v>
      </c>
      <c r="N2280">
        <f>IFERROR(IF(VLOOKUP(calendar[[#This Row],[Date]],BH!E:E,1,)&lt;&gt;"",1,0),0)</f>
        <v>0</v>
      </c>
      <c r="O2280">
        <f>IFERROR(IF(VLOOKUP(calendar[[#This Row],[Date]],BH!G:G,1,)&lt;&gt;"",1,0),0)</f>
        <v>0</v>
      </c>
      <c r="P2280">
        <f>IF(OR(calendar[[#This Row],[UK_BH]]=1,calendar[[#This Row],[WeekDay]]=1, calendar[[#This Row],[WeekDay]]=7),P2279,P2279+1)</f>
        <v>1628</v>
      </c>
      <c r="Q2280">
        <f>IF(OR(calendar[[#This Row],[FR_BH]]=1,calendar[[#This Row],[WeekDay]]=1, calendar[[#This Row],[WeekDay]]=7),P2279,P2279+1)</f>
        <v>1628</v>
      </c>
      <c r="R2280">
        <f>IF(OR(calendar[[#This Row],[SP_BH]]=1,calendar[[#This Row],[WeekDay]]=1, calendar[[#This Row],[WeekDay]]=7),P2279,P2279+1)</f>
        <v>1628</v>
      </c>
      <c r="S2280">
        <f>IF(OR(calendar[[#This Row],[PT_BH]]=1,calendar[[#This Row],[WeekDay]]=1, calendar[[#This Row],[WeekDay]]=7),P2279,P2279+1)</f>
        <v>1628</v>
      </c>
    </row>
    <row r="2281" spans="1:19" x14ac:dyDescent="0.25">
      <c r="A2281" s="2">
        <v>45015</v>
      </c>
      <c r="B2281" s="1">
        <f t="shared" si="178"/>
        <v>13</v>
      </c>
      <c r="C2281">
        <f t="shared" si="180"/>
        <v>3</v>
      </c>
      <c r="D2281" t="str">
        <f t="shared" si="181"/>
        <v>March</v>
      </c>
      <c r="E2281">
        <f t="shared" si="182"/>
        <v>2023</v>
      </c>
      <c r="F2281" t="str">
        <f>CONCATENATE(calendar[[#This Row],[Month]],"/",calendar[[#This Row],[Year]])</f>
        <v>3/2023</v>
      </c>
      <c r="G2281">
        <f>WEEKDAY(calendar[[#This Row],[Date]],1)</f>
        <v>5</v>
      </c>
      <c r="H2281" t="str">
        <f>TEXT(calendar[[#This Row],[WeekDay]],"dddd")</f>
        <v>Thursday</v>
      </c>
      <c r="I2281">
        <f>IF((INT(calendar[[#This Row],[Count]]/7)-calendar[[#This Row],[Count]]/7)&lt;0,I2280,I2280+1)</f>
        <v>326</v>
      </c>
      <c r="J2281">
        <f t="shared" si="179"/>
        <v>2279</v>
      </c>
      <c r="K2281">
        <f>IF(calendar[[#This Row],[Month]]&lt;4,1,IF(calendar[[#This Row],[Month]]&lt;7,2,IF(calendar[[#This Row],[Month]]&lt;10,3,4)))</f>
        <v>1</v>
      </c>
      <c r="L2281">
        <f>IFERROR(IF(VLOOKUP(calendar[[#This Row],[Date]],BH!A:A,1,)&lt;&gt;"",1,0),0)</f>
        <v>0</v>
      </c>
      <c r="M2281">
        <f>IFERROR(IF(VLOOKUP(calendar[[#This Row],[Date]],BH!C:C,1,)&lt;&gt;"",1,0),0)</f>
        <v>0</v>
      </c>
      <c r="N2281">
        <f>IFERROR(IF(VLOOKUP(calendar[[#This Row],[Date]],BH!E:E,1,)&lt;&gt;"",1,0),0)</f>
        <v>0</v>
      </c>
      <c r="O2281">
        <f>IFERROR(IF(VLOOKUP(calendar[[#This Row],[Date]],BH!G:G,1,)&lt;&gt;"",1,0),0)</f>
        <v>0</v>
      </c>
      <c r="P2281">
        <f>IF(OR(calendar[[#This Row],[UK_BH]]=1,calendar[[#This Row],[WeekDay]]=1, calendar[[#This Row],[WeekDay]]=7),P2280,P2280+1)</f>
        <v>1629</v>
      </c>
      <c r="Q2281">
        <f>IF(OR(calendar[[#This Row],[FR_BH]]=1,calendar[[#This Row],[WeekDay]]=1, calendar[[#This Row],[WeekDay]]=7),P2280,P2280+1)</f>
        <v>1629</v>
      </c>
      <c r="R2281">
        <f>IF(OR(calendar[[#This Row],[SP_BH]]=1,calendar[[#This Row],[WeekDay]]=1, calendar[[#This Row],[WeekDay]]=7),P2280,P2280+1)</f>
        <v>1629</v>
      </c>
      <c r="S2281">
        <f>IF(OR(calendar[[#This Row],[PT_BH]]=1,calendar[[#This Row],[WeekDay]]=1, calendar[[#This Row],[WeekDay]]=7),P2280,P2280+1)</f>
        <v>1629</v>
      </c>
    </row>
    <row r="2282" spans="1:19" x14ac:dyDescent="0.25">
      <c r="A2282" s="2">
        <v>45016</v>
      </c>
      <c r="B2282" s="1">
        <f t="shared" si="178"/>
        <v>13</v>
      </c>
      <c r="C2282">
        <f t="shared" si="180"/>
        <v>3</v>
      </c>
      <c r="D2282" t="str">
        <f t="shared" si="181"/>
        <v>March</v>
      </c>
      <c r="E2282">
        <f t="shared" si="182"/>
        <v>2023</v>
      </c>
      <c r="F2282" t="str">
        <f>CONCATENATE(calendar[[#This Row],[Month]],"/",calendar[[#This Row],[Year]])</f>
        <v>3/2023</v>
      </c>
      <c r="G2282">
        <f>WEEKDAY(calendar[[#This Row],[Date]],1)</f>
        <v>6</v>
      </c>
      <c r="H2282" t="str">
        <f>TEXT(calendar[[#This Row],[WeekDay]],"dddd")</f>
        <v>Friday</v>
      </c>
      <c r="I2282">
        <f>IF((INT(calendar[[#This Row],[Count]]/7)-calendar[[#This Row],[Count]]/7)&lt;0,I2281,I2281+1)</f>
        <v>326</v>
      </c>
      <c r="J2282">
        <f t="shared" si="179"/>
        <v>2280</v>
      </c>
      <c r="K2282">
        <f>IF(calendar[[#This Row],[Month]]&lt;4,1,IF(calendar[[#This Row],[Month]]&lt;7,2,IF(calendar[[#This Row],[Month]]&lt;10,3,4)))</f>
        <v>1</v>
      </c>
      <c r="L2282">
        <f>IFERROR(IF(VLOOKUP(calendar[[#This Row],[Date]],BH!A:A,1,)&lt;&gt;"",1,0),0)</f>
        <v>0</v>
      </c>
      <c r="M2282">
        <f>IFERROR(IF(VLOOKUP(calendar[[#This Row],[Date]],BH!C:C,1,)&lt;&gt;"",1,0),0)</f>
        <v>0</v>
      </c>
      <c r="N2282">
        <f>IFERROR(IF(VLOOKUP(calendar[[#This Row],[Date]],BH!E:E,1,)&lt;&gt;"",1,0),0)</f>
        <v>0</v>
      </c>
      <c r="O2282">
        <f>IFERROR(IF(VLOOKUP(calendar[[#This Row],[Date]],BH!G:G,1,)&lt;&gt;"",1,0),0)</f>
        <v>0</v>
      </c>
      <c r="P2282">
        <f>IF(OR(calendar[[#This Row],[UK_BH]]=1,calendar[[#This Row],[WeekDay]]=1, calendar[[#This Row],[WeekDay]]=7),P2281,P2281+1)</f>
        <v>1630</v>
      </c>
      <c r="Q2282">
        <f>IF(OR(calendar[[#This Row],[FR_BH]]=1,calendar[[#This Row],[WeekDay]]=1, calendar[[#This Row],[WeekDay]]=7),P2281,P2281+1)</f>
        <v>1630</v>
      </c>
      <c r="R2282">
        <f>IF(OR(calendar[[#This Row],[SP_BH]]=1,calendar[[#This Row],[WeekDay]]=1, calendar[[#This Row],[WeekDay]]=7),P2281,P2281+1)</f>
        <v>1630</v>
      </c>
      <c r="S2282">
        <f>IF(OR(calendar[[#This Row],[PT_BH]]=1,calendar[[#This Row],[WeekDay]]=1, calendar[[#This Row],[WeekDay]]=7),P2281,P2281+1)</f>
        <v>1630</v>
      </c>
    </row>
    <row r="2283" spans="1:19" x14ac:dyDescent="0.25">
      <c r="A2283" s="2">
        <v>45017</v>
      </c>
      <c r="B2283" s="1">
        <f t="shared" si="178"/>
        <v>13</v>
      </c>
      <c r="C2283">
        <f t="shared" si="180"/>
        <v>4</v>
      </c>
      <c r="D2283" t="str">
        <f t="shared" si="181"/>
        <v>April</v>
      </c>
      <c r="E2283">
        <f t="shared" si="182"/>
        <v>2023</v>
      </c>
      <c r="F2283" t="str">
        <f>CONCATENATE(calendar[[#This Row],[Month]],"/",calendar[[#This Row],[Year]])</f>
        <v>4/2023</v>
      </c>
      <c r="G2283">
        <f>WEEKDAY(calendar[[#This Row],[Date]],1)</f>
        <v>7</v>
      </c>
      <c r="H2283" t="str">
        <f>TEXT(calendar[[#This Row],[WeekDay]],"dddd")</f>
        <v>Saturday</v>
      </c>
      <c r="I2283">
        <f>IF((INT(calendar[[#This Row],[Count]]/7)-calendar[[#This Row],[Count]]/7)&lt;0,I2282,I2282+1)</f>
        <v>326</v>
      </c>
      <c r="J2283">
        <f t="shared" si="179"/>
        <v>2281</v>
      </c>
      <c r="K2283">
        <f>IF(calendar[[#This Row],[Month]]&lt;4,1,IF(calendar[[#This Row],[Month]]&lt;7,2,IF(calendar[[#This Row],[Month]]&lt;10,3,4)))</f>
        <v>2</v>
      </c>
      <c r="L2283">
        <f>IFERROR(IF(VLOOKUP(calendar[[#This Row],[Date]],BH!A:A,1,)&lt;&gt;"",1,0),0)</f>
        <v>0</v>
      </c>
      <c r="M2283">
        <f>IFERROR(IF(VLOOKUP(calendar[[#This Row],[Date]],BH!C:C,1,)&lt;&gt;"",1,0),0)</f>
        <v>0</v>
      </c>
      <c r="N2283">
        <f>IFERROR(IF(VLOOKUP(calendar[[#This Row],[Date]],BH!E:E,1,)&lt;&gt;"",1,0),0)</f>
        <v>0</v>
      </c>
      <c r="O2283">
        <f>IFERROR(IF(VLOOKUP(calendar[[#This Row],[Date]],BH!G:G,1,)&lt;&gt;"",1,0),0)</f>
        <v>0</v>
      </c>
      <c r="P2283">
        <f>IF(OR(calendar[[#This Row],[UK_BH]]=1,calendar[[#This Row],[WeekDay]]=1, calendar[[#This Row],[WeekDay]]=7),P2282,P2282+1)</f>
        <v>1630</v>
      </c>
      <c r="Q2283">
        <f>IF(OR(calendar[[#This Row],[FR_BH]]=1,calendar[[#This Row],[WeekDay]]=1, calendar[[#This Row],[WeekDay]]=7),P2282,P2282+1)</f>
        <v>1630</v>
      </c>
      <c r="R2283">
        <f>IF(OR(calendar[[#This Row],[SP_BH]]=1,calendar[[#This Row],[WeekDay]]=1, calendar[[#This Row],[WeekDay]]=7),P2282,P2282+1)</f>
        <v>1630</v>
      </c>
      <c r="S2283">
        <f>IF(OR(calendar[[#This Row],[PT_BH]]=1,calendar[[#This Row],[WeekDay]]=1, calendar[[#This Row],[WeekDay]]=7),P2282,P2282+1)</f>
        <v>1630</v>
      </c>
    </row>
    <row r="2284" spans="1:19" x14ac:dyDescent="0.25">
      <c r="A2284" s="2">
        <v>45018</v>
      </c>
      <c r="B2284" s="1">
        <f t="shared" si="178"/>
        <v>14</v>
      </c>
      <c r="C2284">
        <f t="shared" si="180"/>
        <v>4</v>
      </c>
      <c r="D2284" t="str">
        <f t="shared" si="181"/>
        <v>April</v>
      </c>
      <c r="E2284">
        <f t="shared" si="182"/>
        <v>2023</v>
      </c>
      <c r="F2284" t="str">
        <f>CONCATENATE(calendar[[#This Row],[Month]],"/",calendar[[#This Row],[Year]])</f>
        <v>4/2023</v>
      </c>
      <c r="G2284">
        <f>WEEKDAY(calendar[[#This Row],[Date]],1)</f>
        <v>1</v>
      </c>
      <c r="H2284" t="str">
        <f>TEXT(calendar[[#This Row],[WeekDay]],"dddd")</f>
        <v>Sunday</v>
      </c>
      <c r="I2284">
        <f>IF((INT(calendar[[#This Row],[Count]]/7)-calendar[[#This Row],[Count]]/7)&lt;0,I2283,I2283+1)</f>
        <v>327</v>
      </c>
      <c r="J2284">
        <f t="shared" si="179"/>
        <v>2282</v>
      </c>
      <c r="K2284">
        <f>IF(calendar[[#This Row],[Month]]&lt;4,1,IF(calendar[[#This Row],[Month]]&lt;7,2,IF(calendar[[#This Row],[Month]]&lt;10,3,4)))</f>
        <v>2</v>
      </c>
      <c r="L2284">
        <f>IFERROR(IF(VLOOKUP(calendar[[#This Row],[Date]],BH!A:A,1,)&lt;&gt;"",1,0),0)</f>
        <v>0</v>
      </c>
      <c r="M2284">
        <f>IFERROR(IF(VLOOKUP(calendar[[#This Row],[Date]],BH!C:C,1,)&lt;&gt;"",1,0),0)</f>
        <v>0</v>
      </c>
      <c r="N2284">
        <f>IFERROR(IF(VLOOKUP(calendar[[#This Row],[Date]],BH!E:E,1,)&lt;&gt;"",1,0),0)</f>
        <v>0</v>
      </c>
      <c r="O2284">
        <f>IFERROR(IF(VLOOKUP(calendar[[#This Row],[Date]],BH!G:G,1,)&lt;&gt;"",1,0),0)</f>
        <v>0</v>
      </c>
      <c r="P2284">
        <f>IF(OR(calendar[[#This Row],[UK_BH]]=1,calendar[[#This Row],[WeekDay]]=1, calendar[[#This Row],[WeekDay]]=7),P2283,P2283+1)</f>
        <v>1630</v>
      </c>
      <c r="Q2284">
        <f>IF(OR(calendar[[#This Row],[FR_BH]]=1,calendar[[#This Row],[WeekDay]]=1, calendar[[#This Row],[WeekDay]]=7),P2283,P2283+1)</f>
        <v>1630</v>
      </c>
      <c r="R2284">
        <f>IF(OR(calendar[[#This Row],[SP_BH]]=1,calendar[[#This Row],[WeekDay]]=1, calendar[[#This Row],[WeekDay]]=7),P2283,P2283+1)</f>
        <v>1630</v>
      </c>
      <c r="S2284">
        <f>IF(OR(calendar[[#This Row],[PT_BH]]=1,calendar[[#This Row],[WeekDay]]=1, calendar[[#This Row],[WeekDay]]=7),P2283,P2283+1)</f>
        <v>1630</v>
      </c>
    </row>
    <row r="2285" spans="1:19" x14ac:dyDescent="0.25">
      <c r="A2285" s="2">
        <v>45019</v>
      </c>
      <c r="B2285" s="1">
        <f t="shared" si="178"/>
        <v>14</v>
      </c>
      <c r="C2285">
        <f t="shared" si="180"/>
        <v>4</v>
      </c>
      <c r="D2285" t="str">
        <f t="shared" si="181"/>
        <v>April</v>
      </c>
      <c r="E2285">
        <f t="shared" si="182"/>
        <v>2023</v>
      </c>
      <c r="F2285" t="str">
        <f>CONCATENATE(calendar[[#This Row],[Month]],"/",calendar[[#This Row],[Year]])</f>
        <v>4/2023</v>
      </c>
      <c r="G2285">
        <f>WEEKDAY(calendar[[#This Row],[Date]],1)</f>
        <v>2</v>
      </c>
      <c r="H2285" t="str">
        <f>TEXT(calendar[[#This Row],[WeekDay]],"dddd")</f>
        <v>Monday</v>
      </c>
      <c r="I2285">
        <f>IF((INT(calendar[[#This Row],[Count]]/7)-calendar[[#This Row],[Count]]/7)&lt;0,I2284,I2284+1)</f>
        <v>327</v>
      </c>
      <c r="J2285">
        <f t="shared" si="179"/>
        <v>2283</v>
      </c>
      <c r="K2285">
        <f>IF(calendar[[#This Row],[Month]]&lt;4,1,IF(calendar[[#This Row],[Month]]&lt;7,2,IF(calendar[[#This Row],[Month]]&lt;10,3,4)))</f>
        <v>2</v>
      </c>
      <c r="L2285">
        <f>IFERROR(IF(VLOOKUP(calendar[[#This Row],[Date]],BH!A:A,1,)&lt;&gt;"",1,0),0)</f>
        <v>0</v>
      </c>
      <c r="M2285">
        <f>IFERROR(IF(VLOOKUP(calendar[[#This Row],[Date]],BH!C:C,1,)&lt;&gt;"",1,0),0)</f>
        <v>0</v>
      </c>
      <c r="N2285">
        <f>IFERROR(IF(VLOOKUP(calendar[[#This Row],[Date]],BH!E:E,1,)&lt;&gt;"",1,0),0)</f>
        <v>0</v>
      </c>
      <c r="O2285">
        <f>IFERROR(IF(VLOOKUP(calendar[[#This Row],[Date]],BH!G:G,1,)&lt;&gt;"",1,0),0)</f>
        <v>0</v>
      </c>
      <c r="P2285">
        <f>IF(OR(calendar[[#This Row],[UK_BH]]=1,calendar[[#This Row],[WeekDay]]=1, calendar[[#This Row],[WeekDay]]=7),P2284,P2284+1)</f>
        <v>1631</v>
      </c>
      <c r="Q2285">
        <f>IF(OR(calendar[[#This Row],[FR_BH]]=1,calendar[[#This Row],[WeekDay]]=1, calendar[[#This Row],[WeekDay]]=7),P2284,P2284+1)</f>
        <v>1631</v>
      </c>
      <c r="R2285">
        <f>IF(OR(calendar[[#This Row],[SP_BH]]=1,calendar[[#This Row],[WeekDay]]=1, calendar[[#This Row],[WeekDay]]=7),P2284,P2284+1)</f>
        <v>1631</v>
      </c>
      <c r="S2285">
        <f>IF(OR(calendar[[#This Row],[PT_BH]]=1,calendar[[#This Row],[WeekDay]]=1, calendar[[#This Row],[WeekDay]]=7),P2284,P2284+1)</f>
        <v>1631</v>
      </c>
    </row>
    <row r="2286" spans="1:19" x14ac:dyDescent="0.25">
      <c r="A2286" s="2">
        <v>45020</v>
      </c>
      <c r="B2286" s="1">
        <f t="shared" si="178"/>
        <v>14</v>
      </c>
      <c r="C2286">
        <f t="shared" si="180"/>
        <v>4</v>
      </c>
      <c r="D2286" t="str">
        <f t="shared" si="181"/>
        <v>April</v>
      </c>
      <c r="E2286">
        <f t="shared" si="182"/>
        <v>2023</v>
      </c>
      <c r="F2286" t="str">
        <f>CONCATENATE(calendar[[#This Row],[Month]],"/",calendar[[#This Row],[Year]])</f>
        <v>4/2023</v>
      </c>
      <c r="G2286">
        <f>WEEKDAY(calendar[[#This Row],[Date]],1)</f>
        <v>3</v>
      </c>
      <c r="H2286" t="str">
        <f>TEXT(calendar[[#This Row],[WeekDay]],"dddd")</f>
        <v>Tuesday</v>
      </c>
      <c r="I2286">
        <f>IF((INT(calendar[[#This Row],[Count]]/7)-calendar[[#This Row],[Count]]/7)&lt;0,I2285,I2285+1)</f>
        <v>327</v>
      </c>
      <c r="J2286">
        <f t="shared" si="179"/>
        <v>2284</v>
      </c>
      <c r="K2286">
        <f>IF(calendar[[#This Row],[Month]]&lt;4,1,IF(calendar[[#This Row],[Month]]&lt;7,2,IF(calendar[[#This Row],[Month]]&lt;10,3,4)))</f>
        <v>2</v>
      </c>
      <c r="L2286">
        <f>IFERROR(IF(VLOOKUP(calendar[[#This Row],[Date]],BH!A:A,1,)&lt;&gt;"",1,0),0)</f>
        <v>0</v>
      </c>
      <c r="M2286">
        <f>IFERROR(IF(VLOOKUP(calendar[[#This Row],[Date]],BH!C:C,1,)&lt;&gt;"",1,0),0)</f>
        <v>0</v>
      </c>
      <c r="N2286">
        <f>IFERROR(IF(VLOOKUP(calendar[[#This Row],[Date]],BH!E:E,1,)&lt;&gt;"",1,0),0)</f>
        <v>0</v>
      </c>
      <c r="O2286">
        <f>IFERROR(IF(VLOOKUP(calendar[[#This Row],[Date]],BH!G:G,1,)&lt;&gt;"",1,0),0)</f>
        <v>0</v>
      </c>
      <c r="P2286">
        <f>IF(OR(calendar[[#This Row],[UK_BH]]=1,calendar[[#This Row],[WeekDay]]=1, calendar[[#This Row],[WeekDay]]=7),P2285,P2285+1)</f>
        <v>1632</v>
      </c>
      <c r="Q2286">
        <f>IF(OR(calendar[[#This Row],[FR_BH]]=1,calendar[[#This Row],[WeekDay]]=1, calendar[[#This Row],[WeekDay]]=7),P2285,P2285+1)</f>
        <v>1632</v>
      </c>
      <c r="R2286">
        <f>IF(OR(calendar[[#This Row],[SP_BH]]=1,calendar[[#This Row],[WeekDay]]=1, calendar[[#This Row],[WeekDay]]=7),P2285,P2285+1)</f>
        <v>1632</v>
      </c>
      <c r="S2286">
        <f>IF(OR(calendar[[#This Row],[PT_BH]]=1,calendar[[#This Row],[WeekDay]]=1, calendar[[#This Row],[WeekDay]]=7),P2285,P2285+1)</f>
        <v>1632</v>
      </c>
    </row>
    <row r="2287" spans="1:19" x14ac:dyDescent="0.25">
      <c r="A2287" s="2">
        <v>45021</v>
      </c>
      <c r="B2287" s="1">
        <f t="shared" si="178"/>
        <v>14</v>
      </c>
      <c r="C2287">
        <f t="shared" si="180"/>
        <v>4</v>
      </c>
      <c r="D2287" t="str">
        <f t="shared" si="181"/>
        <v>April</v>
      </c>
      <c r="E2287">
        <f t="shared" si="182"/>
        <v>2023</v>
      </c>
      <c r="F2287" t="str">
        <f>CONCATENATE(calendar[[#This Row],[Month]],"/",calendar[[#This Row],[Year]])</f>
        <v>4/2023</v>
      </c>
      <c r="G2287">
        <f>WEEKDAY(calendar[[#This Row],[Date]],1)</f>
        <v>4</v>
      </c>
      <c r="H2287" t="str">
        <f>TEXT(calendar[[#This Row],[WeekDay]],"dddd")</f>
        <v>Wednesday</v>
      </c>
      <c r="I2287">
        <f>IF((INT(calendar[[#This Row],[Count]]/7)-calendar[[#This Row],[Count]]/7)&lt;0,I2286,I2286+1)</f>
        <v>327</v>
      </c>
      <c r="J2287">
        <f t="shared" si="179"/>
        <v>2285</v>
      </c>
      <c r="K2287">
        <f>IF(calendar[[#This Row],[Month]]&lt;4,1,IF(calendar[[#This Row],[Month]]&lt;7,2,IF(calendar[[#This Row],[Month]]&lt;10,3,4)))</f>
        <v>2</v>
      </c>
      <c r="L2287">
        <f>IFERROR(IF(VLOOKUP(calendar[[#This Row],[Date]],BH!A:A,1,)&lt;&gt;"",1,0),0)</f>
        <v>0</v>
      </c>
      <c r="M2287">
        <f>IFERROR(IF(VLOOKUP(calendar[[#This Row],[Date]],BH!C:C,1,)&lt;&gt;"",1,0),0)</f>
        <v>0</v>
      </c>
      <c r="N2287">
        <f>IFERROR(IF(VLOOKUP(calendar[[#This Row],[Date]],BH!E:E,1,)&lt;&gt;"",1,0),0)</f>
        <v>0</v>
      </c>
      <c r="O2287">
        <f>IFERROR(IF(VLOOKUP(calendar[[#This Row],[Date]],BH!G:G,1,)&lt;&gt;"",1,0),0)</f>
        <v>0</v>
      </c>
      <c r="P2287">
        <f>IF(OR(calendar[[#This Row],[UK_BH]]=1,calendar[[#This Row],[WeekDay]]=1, calendar[[#This Row],[WeekDay]]=7),P2286,P2286+1)</f>
        <v>1633</v>
      </c>
      <c r="Q2287">
        <f>IF(OR(calendar[[#This Row],[FR_BH]]=1,calendar[[#This Row],[WeekDay]]=1, calendar[[#This Row],[WeekDay]]=7),P2286,P2286+1)</f>
        <v>1633</v>
      </c>
      <c r="R2287">
        <f>IF(OR(calendar[[#This Row],[SP_BH]]=1,calendar[[#This Row],[WeekDay]]=1, calendar[[#This Row],[WeekDay]]=7),P2286,P2286+1)</f>
        <v>1633</v>
      </c>
      <c r="S2287">
        <f>IF(OR(calendar[[#This Row],[PT_BH]]=1,calendar[[#This Row],[WeekDay]]=1, calendar[[#This Row],[WeekDay]]=7),P2286,P2286+1)</f>
        <v>1633</v>
      </c>
    </row>
    <row r="2288" spans="1:19" x14ac:dyDescent="0.25">
      <c r="A2288" s="2">
        <v>45022</v>
      </c>
      <c r="B2288" s="1">
        <f t="shared" si="178"/>
        <v>14</v>
      </c>
      <c r="C2288">
        <f t="shared" si="180"/>
        <v>4</v>
      </c>
      <c r="D2288" t="str">
        <f t="shared" si="181"/>
        <v>April</v>
      </c>
      <c r="E2288">
        <f t="shared" si="182"/>
        <v>2023</v>
      </c>
      <c r="F2288" t="str">
        <f>CONCATENATE(calendar[[#This Row],[Month]],"/",calendar[[#This Row],[Year]])</f>
        <v>4/2023</v>
      </c>
      <c r="G2288">
        <f>WEEKDAY(calendar[[#This Row],[Date]],1)</f>
        <v>5</v>
      </c>
      <c r="H2288" t="str">
        <f>TEXT(calendar[[#This Row],[WeekDay]],"dddd")</f>
        <v>Thursday</v>
      </c>
      <c r="I2288">
        <f>IF((INT(calendar[[#This Row],[Count]]/7)-calendar[[#This Row],[Count]]/7)&lt;0,I2287,I2287+1)</f>
        <v>327</v>
      </c>
      <c r="J2288">
        <f t="shared" si="179"/>
        <v>2286</v>
      </c>
      <c r="K2288">
        <f>IF(calendar[[#This Row],[Month]]&lt;4,1,IF(calendar[[#This Row],[Month]]&lt;7,2,IF(calendar[[#This Row],[Month]]&lt;10,3,4)))</f>
        <v>2</v>
      </c>
      <c r="L2288">
        <f>IFERROR(IF(VLOOKUP(calendar[[#This Row],[Date]],BH!A:A,1,)&lt;&gt;"",1,0),0)</f>
        <v>0</v>
      </c>
      <c r="M2288">
        <f>IFERROR(IF(VLOOKUP(calendar[[#This Row],[Date]],BH!C:C,1,)&lt;&gt;"",1,0),0)</f>
        <v>0</v>
      </c>
      <c r="N2288">
        <f>IFERROR(IF(VLOOKUP(calendar[[#This Row],[Date]],BH!E:E,1,)&lt;&gt;"",1,0),0)</f>
        <v>0</v>
      </c>
      <c r="O2288">
        <f>IFERROR(IF(VLOOKUP(calendar[[#This Row],[Date]],BH!G:G,1,)&lt;&gt;"",1,0),0)</f>
        <v>0</v>
      </c>
      <c r="P2288">
        <f>IF(OR(calendar[[#This Row],[UK_BH]]=1,calendar[[#This Row],[WeekDay]]=1, calendar[[#This Row],[WeekDay]]=7),P2287,P2287+1)</f>
        <v>1634</v>
      </c>
      <c r="Q2288">
        <f>IF(OR(calendar[[#This Row],[FR_BH]]=1,calendar[[#This Row],[WeekDay]]=1, calendar[[#This Row],[WeekDay]]=7),P2287,P2287+1)</f>
        <v>1634</v>
      </c>
      <c r="R2288">
        <f>IF(OR(calendar[[#This Row],[SP_BH]]=1,calendar[[#This Row],[WeekDay]]=1, calendar[[#This Row],[WeekDay]]=7),P2287,P2287+1)</f>
        <v>1634</v>
      </c>
      <c r="S2288">
        <f>IF(OR(calendar[[#This Row],[PT_BH]]=1,calendar[[#This Row],[WeekDay]]=1, calendar[[#This Row],[WeekDay]]=7),P2287,P2287+1)</f>
        <v>1634</v>
      </c>
    </row>
    <row r="2289" spans="1:19" x14ac:dyDescent="0.25">
      <c r="A2289" s="2">
        <v>45023</v>
      </c>
      <c r="B2289" s="1">
        <f t="shared" si="178"/>
        <v>14</v>
      </c>
      <c r="C2289">
        <f t="shared" si="180"/>
        <v>4</v>
      </c>
      <c r="D2289" t="str">
        <f t="shared" si="181"/>
        <v>April</v>
      </c>
      <c r="E2289">
        <f t="shared" si="182"/>
        <v>2023</v>
      </c>
      <c r="F2289" t="str">
        <f>CONCATENATE(calendar[[#This Row],[Month]],"/",calendar[[#This Row],[Year]])</f>
        <v>4/2023</v>
      </c>
      <c r="G2289">
        <f>WEEKDAY(calendar[[#This Row],[Date]],1)</f>
        <v>6</v>
      </c>
      <c r="H2289" t="str">
        <f>TEXT(calendar[[#This Row],[WeekDay]],"dddd")</f>
        <v>Friday</v>
      </c>
      <c r="I2289">
        <f>IF((INT(calendar[[#This Row],[Count]]/7)-calendar[[#This Row],[Count]]/7)&lt;0,I2288,I2288+1)</f>
        <v>327</v>
      </c>
      <c r="J2289">
        <f t="shared" si="179"/>
        <v>2287</v>
      </c>
      <c r="K2289">
        <f>IF(calendar[[#This Row],[Month]]&lt;4,1,IF(calendar[[#This Row],[Month]]&lt;7,2,IF(calendar[[#This Row],[Month]]&lt;10,3,4)))</f>
        <v>2</v>
      </c>
      <c r="L2289">
        <f>IFERROR(IF(VLOOKUP(calendar[[#This Row],[Date]],BH!A:A,1,)&lt;&gt;"",1,0),0)</f>
        <v>0</v>
      </c>
      <c r="M2289">
        <f>IFERROR(IF(VLOOKUP(calendar[[#This Row],[Date]],BH!C:C,1,)&lt;&gt;"",1,0),0)</f>
        <v>0</v>
      </c>
      <c r="N2289">
        <f>IFERROR(IF(VLOOKUP(calendar[[#This Row],[Date]],BH!E:E,1,)&lt;&gt;"",1,0),0)</f>
        <v>0</v>
      </c>
      <c r="O2289">
        <f>IFERROR(IF(VLOOKUP(calendar[[#This Row],[Date]],BH!G:G,1,)&lt;&gt;"",1,0),0)</f>
        <v>0</v>
      </c>
      <c r="P2289">
        <f>IF(OR(calendar[[#This Row],[UK_BH]]=1,calendar[[#This Row],[WeekDay]]=1, calendar[[#This Row],[WeekDay]]=7),P2288,P2288+1)</f>
        <v>1635</v>
      </c>
      <c r="Q2289">
        <f>IF(OR(calendar[[#This Row],[FR_BH]]=1,calendar[[#This Row],[WeekDay]]=1, calendar[[#This Row],[WeekDay]]=7),P2288,P2288+1)</f>
        <v>1635</v>
      </c>
      <c r="R2289">
        <f>IF(OR(calendar[[#This Row],[SP_BH]]=1,calendar[[#This Row],[WeekDay]]=1, calendar[[#This Row],[WeekDay]]=7),P2288,P2288+1)</f>
        <v>1635</v>
      </c>
      <c r="S2289">
        <f>IF(OR(calendar[[#This Row],[PT_BH]]=1,calendar[[#This Row],[WeekDay]]=1, calendar[[#This Row],[WeekDay]]=7),P2288,P2288+1)</f>
        <v>1635</v>
      </c>
    </row>
    <row r="2290" spans="1:19" x14ac:dyDescent="0.25">
      <c r="A2290" s="2">
        <v>45024</v>
      </c>
      <c r="B2290" s="1">
        <f t="shared" si="178"/>
        <v>14</v>
      </c>
      <c r="C2290">
        <f t="shared" si="180"/>
        <v>4</v>
      </c>
      <c r="D2290" t="str">
        <f t="shared" si="181"/>
        <v>April</v>
      </c>
      <c r="E2290">
        <f t="shared" si="182"/>
        <v>2023</v>
      </c>
      <c r="F2290" t="str">
        <f>CONCATENATE(calendar[[#This Row],[Month]],"/",calendar[[#This Row],[Year]])</f>
        <v>4/2023</v>
      </c>
      <c r="G2290">
        <f>WEEKDAY(calendar[[#This Row],[Date]],1)</f>
        <v>7</v>
      </c>
      <c r="H2290" t="str">
        <f>TEXT(calendar[[#This Row],[WeekDay]],"dddd")</f>
        <v>Saturday</v>
      </c>
      <c r="I2290">
        <f>IF((INT(calendar[[#This Row],[Count]]/7)-calendar[[#This Row],[Count]]/7)&lt;0,I2289,I2289+1)</f>
        <v>327</v>
      </c>
      <c r="J2290">
        <f t="shared" si="179"/>
        <v>2288</v>
      </c>
      <c r="K2290">
        <f>IF(calendar[[#This Row],[Month]]&lt;4,1,IF(calendar[[#This Row],[Month]]&lt;7,2,IF(calendar[[#This Row],[Month]]&lt;10,3,4)))</f>
        <v>2</v>
      </c>
      <c r="L2290">
        <f>IFERROR(IF(VLOOKUP(calendar[[#This Row],[Date]],BH!A:A,1,)&lt;&gt;"",1,0),0)</f>
        <v>0</v>
      </c>
      <c r="M2290">
        <f>IFERROR(IF(VLOOKUP(calendar[[#This Row],[Date]],BH!C:C,1,)&lt;&gt;"",1,0),0)</f>
        <v>0</v>
      </c>
      <c r="N2290">
        <f>IFERROR(IF(VLOOKUP(calendar[[#This Row],[Date]],BH!E:E,1,)&lt;&gt;"",1,0),0)</f>
        <v>0</v>
      </c>
      <c r="O2290">
        <f>IFERROR(IF(VLOOKUP(calendar[[#This Row],[Date]],BH!G:G,1,)&lt;&gt;"",1,0),0)</f>
        <v>0</v>
      </c>
      <c r="P2290">
        <f>IF(OR(calendar[[#This Row],[UK_BH]]=1,calendar[[#This Row],[WeekDay]]=1, calendar[[#This Row],[WeekDay]]=7),P2289,P2289+1)</f>
        <v>1635</v>
      </c>
      <c r="Q2290">
        <f>IF(OR(calendar[[#This Row],[FR_BH]]=1,calendar[[#This Row],[WeekDay]]=1, calendar[[#This Row],[WeekDay]]=7),P2289,P2289+1)</f>
        <v>1635</v>
      </c>
      <c r="R2290">
        <f>IF(OR(calendar[[#This Row],[SP_BH]]=1,calendar[[#This Row],[WeekDay]]=1, calendar[[#This Row],[WeekDay]]=7),P2289,P2289+1)</f>
        <v>1635</v>
      </c>
      <c r="S2290">
        <f>IF(OR(calendar[[#This Row],[PT_BH]]=1,calendar[[#This Row],[WeekDay]]=1, calendar[[#This Row],[WeekDay]]=7),P2289,P2289+1)</f>
        <v>1635</v>
      </c>
    </row>
    <row r="2291" spans="1:19" x14ac:dyDescent="0.25">
      <c r="A2291" s="2">
        <v>45025</v>
      </c>
      <c r="B2291" s="1">
        <f t="shared" si="178"/>
        <v>15</v>
      </c>
      <c r="C2291">
        <f t="shared" si="180"/>
        <v>4</v>
      </c>
      <c r="D2291" t="str">
        <f t="shared" si="181"/>
        <v>April</v>
      </c>
      <c r="E2291">
        <f t="shared" si="182"/>
        <v>2023</v>
      </c>
      <c r="F2291" t="str">
        <f>CONCATENATE(calendar[[#This Row],[Month]],"/",calendar[[#This Row],[Year]])</f>
        <v>4/2023</v>
      </c>
      <c r="G2291">
        <f>WEEKDAY(calendar[[#This Row],[Date]],1)</f>
        <v>1</v>
      </c>
      <c r="H2291" t="str">
        <f>TEXT(calendar[[#This Row],[WeekDay]],"dddd")</f>
        <v>Sunday</v>
      </c>
      <c r="I2291">
        <f>IF((INT(calendar[[#This Row],[Count]]/7)-calendar[[#This Row],[Count]]/7)&lt;0,I2290,I2290+1)</f>
        <v>328</v>
      </c>
      <c r="J2291">
        <f t="shared" si="179"/>
        <v>2289</v>
      </c>
      <c r="K2291">
        <f>IF(calendar[[#This Row],[Month]]&lt;4,1,IF(calendar[[#This Row],[Month]]&lt;7,2,IF(calendar[[#This Row],[Month]]&lt;10,3,4)))</f>
        <v>2</v>
      </c>
      <c r="L2291">
        <f>IFERROR(IF(VLOOKUP(calendar[[#This Row],[Date]],BH!A:A,1,)&lt;&gt;"",1,0),0)</f>
        <v>0</v>
      </c>
      <c r="M2291">
        <f>IFERROR(IF(VLOOKUP(calendar[[#This Row],[Date]],BH!C:C,1,)&lt;&gt;"",1,0),0)</f>
        <v>0</v>
      </c>
      <c r="N2291">
        <f>IFERROR(IF(VLOOKUP(calendar[[#This Row],[Date]],BH!E:E,1,)&lt;&gt;"",1,0),0)</f>
        <v>0</v>
      </c>
      <c r="O2291">
        <f>IFERROR(IF(VLOOKUP(calendar[[#This Row],[Date]],BH!G:G,1,)&lt;&gt;"",1,0),0)</f>
        <v>0</v>
      </c>
      <c r="P2291">
        <f>IF(OR(calendar[[#This Row],[UK_BH]]=1,calendar[[#This Row],[WeekDay]]=1, calendar[[#This Row],[WeekDay]]=7),P2290,P2290+1)</f>
        <v>1635</v>
      </c>
      <c r="Q2291">
        <f>IF(OR(calendar[[#This Row],[FR_BH]]=1,calendar[[#This Row],[WeekDay]]=1, calendar[[#This Row],[WeekDay]]=7),P2290,P2290+1)</f>
        <v>1635</v>
      </c>
      <c r="R2291">
        <f>IF(OR(calendar[[#This Row],[SP_BH]]=1,calendar[[#This Row],[WeekDay]]=1, calendar[[#This Row],[WeekDay]]=7),P2290,P2290+1)</f>
        <v>1635</v>
      </c>
      <c r="S2291">
        <f>IF(OR(calendar[[#This Row],[PT_BH]]=1,calendar[[#This Row],[WeekDay]]=1, calendar[[#This Row],[WeekDay]]=7),P2290,P2290+1)</f>
        <v>1635</v>
      </c>
    </row>
    <row r="2292" spans="1:19" x14ac:dyDescent="0.25">
      <c r="A2292" s="2">
        <v>45026</v>
      </c>
      <c r="B2292" s="1">
        <f t="shared" si="178"/>
        <v>15</v>
      </c>
      <c r="C2292">
        <f t="shared" si="180"/>
        <v>4</v>
      </c>
      <c r="D2292" t="str">
        <f t="shared" si="181"/>
        <v>April</v>
      </c>
      <c r="E2292">
        <f t="shared" si="182"/>
        <v>2023</v>
      </c>
      <c r="F2292" t="str">
        <f>CONCATENATE(calendar[[#This Row],[Month]],"/",calendar[[#This Row],[Year]])</f>
        <v>4/2023</v>
      </c>
      <c r="G2292">
        <f>WEEKDAY(calendar[[#This Row],[Date]],1)</f>
        <v>2</v>
      </c>
      <c r="H2292" t="str">
        <f>TEXT(calendar[[#This Row],[WeekDay]],"dddd")</f>
        <v>Monday</v>
      </c>
      <c r="I2292">
        <f>IF((INT(calendar[[#This Row],[Count]]/7)-calendar[[#This Row],[Count]]/7)&lt;0,I2291,I2291+1)</f>
        <v>328</v>
      </c>
      <c r="J2292">
        <f t="shared" si="179"/>
        <v>2290</v>
      </c>
      <c r="K2292">
        <f>IF(calendar[[#This Row],[Month]]&lt;4,1,IF(calendar[[#This Row],[Month]]&lt;7,2,IF(calendar[[#This Row],[Month]]&lt;10,3,4)))</f>
        <v>2</v>
      </c>
      <c r="L2292">
        <f>IFERROR(IF(VLOOKUP(calendar[[#This Row],[Date]],BH!A:A,1,)&lt;&gt;"",1,0),0)</f>
        <v>0</v>
      </c>
      <c r="M2292">
        <f>IFERROR(IF(VLOOKUP(calendar[[#This Row],[Date]],BH!C:C,1,)&lt;&gt;"",1,0),0)</f>
        <v>0</v>
      </c>
      <c r="N2292">
        <f>IFERROR(IF(VLOOKUP(calendar[[#This Row],[Date]],BH!E:E,1,)&lt;&gt;"",1,0),0)</f>
        <v>0</v>
      </c>
      <c r="O2292">
        <f>IFERROR(IF(VLOOKUP(calendar[[#This Row],[Date]],BH!G:G,1,)&lt;&gt;"",1,0),0)</f>
        <v>0</v>
      </c>
      <c r="P2292">
        <f>IF(OR(calendar[[#This Row],[UK_BH]]=1,calendar[[#This Row],[WeekDay]]=1, calendar[[#This Row],[WeekDay]]=7),P2291,P2291+1)</f>
        <v>1636</v>
      </c>
      <c r="Q2292">
        <f>IF(OR(calendar[[#This Row],[FR_BH]]=1,calendar[[#This Row],[WeekDay]]=1, calendar[[#This Row],[WeekDay]]=7),P2291,P2291+1)</f>
        <v>1636</v>
      </c>
      <c r="R2292">
        <f>IF(OR(calendar[[#This Row],[SP_BH]]=1,calendar[[#This Row],[WeekDay]]=1, calendar[[#This Row],[WeekDay]]=7),P2291,P2291+1)</f>
        <v>1636</v>
      </c>
      <c r="S2292">
        <f>IF(OR(calendar[[#This Row],[PT_BH]]=1,calendar[[#This Row],[WeekDay]]=1, calendar[[#This Row],[WeekDay]]=7),P2291,P2291+1)</f>
        <v>1636</v>
      </c>
    </row>
    <row r="2293" spans="1:19" x14ac:dyDescent="0.25">
      <c r="A2293" s="2">
        <v>45027</v>
      </c>
      <c r="B2293" s="1">
        <f t="shared" si="178"/>
        <v>15</v>
      </c>
      <c r="C2293">
        <f t="shared" si="180"/>
        <v>4</v>
      </c>
      <c r="D2293" t="str">
        <f t="shared" si="181"/>
        <v>April</v>
      </c>
      <c r="E2293">
        <f t="shared" si="182"/>
        <v>2023</v>
      </c>
      <c r="F2293" t="str">
        <f>CONCATENATE(calendar[[#This Row],[Month]],"/",calendar[[#This Row],[Year]])</f>
        <v>4/2023</v>
      </c>
      <c r="G2293">
        <f>WEEKDAY(calendar[[#This Row],[Date]],1)</f>
        <v>3</v>
      </c>
      <c r="H2293" t="str">
        <f>TEXT(calendar[[#This Row],[WeekDay]],"dddd")</f>
        <v>Tuesday</v>
      </c>
      <c r="I2293">
        <f>IF((INT(calendar[[#This Row],[Count]]/7)-calendar[[#This Row],[Count]]/7)&lt;0,I2292,I2292+1)</f>
        <v>328</v>
      </c>
      <c r="J2293">
        <f t="shared" si="179"/>
        <v>2291</v>
      </c>
      <c r="K2293">
        <f>IF(calendar[[#This Row],[Month]]&lt;4,1,IF(calendar[[#This Row],[Month]]&lt;7,2,IF(calendar[[#This Row],[Month]]&lt;10,3,4)))</f>
        <v>2</v>
      </c>
      <c r="L2293">
        <f>IFERROR(IF(VLOOKUP(calendar[[#This Row],[Date]],BH!A:A,1,)&lt;&gt;"",1,0),0)</f>
        <v>0</v>
      </c>
      <c r="M2293">
        <f>IFERROR(IF(VLOOKUP(calendar[[#This Row],[Date]],BH!C:C,1,)&lt;&gt;"",1,0),0)</f>
        <v>0</v>
      </c>
      <c r="N2293">
        <f>IFERROR(IF(VLOOKUP(calendar[[#This Row],[Date]],BH!E:E,1,)&lt;&gt;"",1,0),0)</f>
        <v>0</v>
      </c>
      <c r="O2293">
        <f>IFERROR(IF(VLOOKUP(calendar[[#This Row],[Date]],BH!G:G,1,)&lt;&gt;"",1,0),0)</f>
        <v>0</v>
      </c>
      <c r="P2293">
        <f>IF(OR(calendar[[#This Row],[UK_BH]]=1,calendar[[#This Row],[WeekDay]]=1, calendar[[#This Row],[WeekDay]]=7),P2292,P2292+1)</f>
        <v>1637</v>
      </c>
      <c r="Q2293">
        <f>IF(OR(calendar[[#This Row],[FR_BH]]=1,calendar[[#This Row],[WeekDay]]=1, calendar[[#This Row],[WeekDay]]=7),P2292,P2292+1)</f>
        <v>1637</v>
      </c>
      <c r="R2293">
        <f>IF(OR(calendar[[#This Row],[SP_BH]]=1,calendar[[#This Row],[WeekDay]]=1, calendar[[#This Row],[WeekDay]]=7),P2292,P2292+1)</f>
        <v>1637</v>
      </c>
      <c r="S2293">
        <f>IF(OR(calendar[[#This Row],[PT_BH]]=1,calendar[[#This Row],[WeekDay]]=1, calendar[[#This Row],[WeekDay]]=7),P2292,P2292+1)</f>
        <v>1637</v>
      </c>
    </row>
    <row r="2294" spans="1:19" x14ac:dyDescent="0.25">
      <c r="A2294" s="2">
        <v>45028</v>
      </c>
      <c r="B2294" s="1">
        <f t="shared" si="178"/>
        <v>15</v>
      </c>
      <c r="C2294">
        <f t="shared" si="180"/>
        <v>4</v>
      </c>
      <c r="D2294" t="str">
        <f t="shared" si="181"/>
        <v>April</v>
      </c>
      <c r="E2294">
        <f t="shared" si="182"/>
        <v>2023</v>
      </c>
      <c r="F2294" t="str">
        <f>CONCATENATE(calendar[[#This Row],[Month]],"/",calendar[[#This Row],[Year]])</f>
        <v>4/2023</v>
      </c>
      <c r="G2294">
        <f>WEEKDAY(calendar[[#This Row],[Date]],1)</f>
        <v>4</v>
      </c>
      <c r="H2294" t="str">
        <f>TEXT(calendar[[#This Row],[WeekDay]],"dddd")</f>
        <v>Wednesday</v>
      </c>
      <c r="I2294">
        <f>IF((INT(calendar[[#This Row],[Count]]/7)-calendar[[#This Row],[Count]]/7)&lt;0,I2293,I2293+1)</f>
        <v>328</v>
      </c>
      <c r="J2294">
        <f t="shared" si="179"/>
        <v>2292</v>
      </c>
      <c r="K2294">
        <f>IF(calendar[[#This Row],[Month]]&lt;4,1,IF(calendar[[#This Row],[Month]]&lt;7,2,IF(calendar[[#This Row],[Month]]&lt;10,3,4)))</f>
        <v>2</v>
      </c>
      <c r="L2294">
        <f>IFERROR(IF(VLOOKUP(calendar[[#This Row],[Date]],BH!A:A,1,)&lt;&gt;"",1,0),0)</f>
        <v>0</v>
      </c>
      <c r="M2294">
        <f>IFERROR(IF(VLOOKUP(calendar[[#This Row],[Date]],BH!C:C,1,)&lt;&gt;"",1,0),0)</f>
        <v>0</v>
      </c>
      <c r="N2294">
        <f>IFERROR(IF(VLOOKUP(calendar[[#This Row],[Date]],BH!E:E,1,)&lt;&gt;"",1,0),0)</f>
        <v>0</v>
      </c>
      <c r="O2294">
        <f>IFERROR(IF(VLOOKUP(calendar[[#This Row],[Date]],BH!G:G,1,)&lt;&gt;"",1,0),0)</f>
        <v>0</v>
      </c>
      <c r="P2294">
        <f>IF(OR(calendar[[#This Row],[UK_BH]]=1,calendar[[#This Row],[WeekDay]]=1, calendar[[#This Row],[WeekDay]]=7),P2293,P2293+1)</f>
        <v>1638</v>
      </c>
      <c r="Q2294">
        <f>IF(OR(calendar[[#This Row],[FR_BH]]=1,calendar[[#This Row],[WeekDay]]=1, calendar[[#This Row],[WeekDay]]=7),P2293,P2293+1)</f>
        <v>1638</v>
      </c>
      <c r="R2294">
        <f>IF(OR(calendar[[#This Row],[SP_BH]]=1,calendar[[#This Row],[WeekDay]]=1, calendar[[#This Row],[WeekDay]]=7),P2293,P2293+1)</f>
        <v>1638</v>
      </c>
      <c r="S2294">
        <f>IF(OR(calendar[[#This Row],[PT_BH]]=1,calendar[[#This Row],[WeekDay]]=1, calendar[[#This Row],[WeekDay]]=7),P2293,P2293+1)</f>
        <v>1638</v>
      </c>
    </row>
    <row r="2295" spans="1:19" x14ac:dyDescent="0.25">
      <c r="A2295" s="2">
        <v>45029</v>
      </c>
      <c r="B2295" s="1">
        <f t="shared" si="178"/>
        <v>15</v>
      </c>
      <c r="C2295">
        <f t="shared" si="180"/>
        <v>4</v>
      </c>
      <c r="D2295" t="str">
        <f t="shared" si="181"/>
        <v>April</v>
      </c>
      <c r="E2295">
        <f t="shared" si="182"/>
        <v>2023</v>
      </c>
      <c r="F2295" t="str">
        <f>CONCATENATE(calendar[[#This Row],[Month]],"/",calendar[[#This Row],[Year]])</f>
        <v>4/2023</v>
      </c>
      <c r="G2295">
        <f>WEEKDAY(calendar[[#This Row],[Date]],1)</f>
        <v>5</v>
      </c>
      <c r="H2295" t="str">
        <f>TEXT(calendar[[#This Row],[WeekDay]],"dddd")</f>
        <v>Thursday</v>
      </c>
      <c r="I2295">
        <f>IF((INT(calendar[[#This Row],[Count]]/7)-calendar[[#This Row],[Count]]/7)&lt;0,I2294,I2294+1)</f>
        <v>328</v>
      </c>
      <c r="J2295">
        <f t="shared" si="179"/>
        <v>2293</v>
      </c>
      <c r="K2295">
        <f>IF(calendar[[#This Row],[Month]]&lt;4,1,IF(calendar[[#This Row],[Month]]&lt;7,2,IF(calendar[[#This Row],[Month]]&lt;10,3,4)))</f>
        <v>2</v>
      </c>
      <c r="L2295">
        <f>IFERROR(IF(VLOOKUP(calendar[[#This Row],[Date]],BH!A:A,1,)&lt;&gt;"",1,0),0)</f>
        <v>0</v>
      </c>
      <c r="M2295">
        <f>IFERROR(IF(VLOOKUP(calendar[[#This Row],[Date]],BH!C:C,1,)&lt;&gt;"",1,0),0)</f>
        <v>0</v>
      </c>
      <c r="N2295">
        <f>IFERROR(IF(VLOOKUP(calendar[[#This Row],[Date]],BH!E:E,1,)&lt;&gt;"",1,0),0)</f>
        <v>0</v>
      </c>
      <c r="O2295">
        <f>IFERROR(IF(VLOOKUP(calendar[[#This Row],[Date]],BH!G:G,1,)&lt;&gt;"",1,0),0)</f>
        <v>0</v>
      </c>
      <c r="P2295">
        <f>IF(OR(calendar[[#This Row],[UK_BH]]=1,calendar[[#This Row],[WeekDay]]=1, calendar[[#This Row],[WeekDay]]=7),P2294,P2294+1)</f>
        <v>1639</v>
      </c>
      <c r="Q2295">
        <f>IF(OR(calendar[[#This Row],[FR_BH]]=1,calendar[[#This Row],[WeekDay]]=1, calendar[[#This Row],[WeekDay]]=7),P2294,P2294+1)</f>
        <v>1639</v>
      </c>
      <c r="R2295">
        <f>IF(OR(calendar[[#This Row],[SP_BH]]=1,calendar[[#This Row],[WeekDay]]=1, calendar[[#This Row],[WeekDay]]=7),P2294,P2294+1)</f>
        <v>1639</v>
      </c>
      <c r="S2295">
        <f>IF(OR(calendar[[#This Row],[PT_BH]]=1,calendar[[#This Row],[WeekDay]]=1, calendar[[#This Row],[WeekDay]]=7),P2294,P2294+1)</f>
        <v>1639</v>
      </c>
    </row>
    <row r="2296" spans="1:19" x14ac:dyDescent="0.25">
      <c r="A2296" s="2">
        <v>45030</v>
      </c>
      <c r="B2296" s="1">
        <f t="shared" si="178"/>
        <v>15</v>
      </c>
      <c r="C2296">
        <f t="shared" si="180"/>
        <v>4</v>
      </c>
      <c r="D2296" t="str">
        <f t="shared" si="181"/>
        <v>April</v>
      </c>
      <c r="E2296">
        <f t="shared" si="182"/>
        <v>2023</v>
      </c>
      <c r="F2296" t="str">
        <f>CONCATENATE(calendar[[#This Row],[Month]],"/",calendar[[#This Row],[Year]])</f>
        <v>4/2023</v>
      </c>
      <c r="G2296">
        <f>WEEKDAY(calendar[[#This Row],[Date]],1)</f>
        <v>6</v>
      </c>
      <c r="H2296" t="str">
        <f>TEXT(calendar[[#This Row],[WeekDay]],"dddd")</f>
        <v>Friday</v>
      </c>
      <c r="I2296">
        <f>IF((INT(calendar[[#This Row],[Count]]/7)-calendar[[#This Row],[Count]]/7)&lt;0,I2295,I2295+1)</f>
        <v>328</v>
      </c>
      <c r="J2296">
        <f t="shared" si="179"/>
        <v>2294</v>
      </c>
      <c r="K2296">
        <f>IF(calendar[[#This Row],[Month]]&lt;4,1,IF(calendar[[#This Row],[Month]]&lt;7,2,IF(calendar[[#This Row],[Month]]&lt;10,3,4)))</f>
        <v>2</v>
      </c>
      <c r="L2296">
        <f>IFERROR(IF(VLOOKUP(calendar[[#This Row],[Date]],BH!A:A,1,)&lt;&gt;"",1,0),0)</f>
        <v>0</v>
      </c>
      <c r="M2296">
        <f>IFERROR(IF(VLOOKUP(calendar[[#This Row],[Date]],BH!C:C,1,)&lt;&gt;"",1,0),0)</f>
        <v>0</v>
      </c>
      <c r="N2296">
        <f>IFERROR(IF(VLOOKUP(calendar[[#This Row],[Date]],BH!E:E,1,)&lt;&gt;"",1,0),0)</f>
        <v>0</v>
      </c>
      <c r="O2296">
        <f>IFERROR(IF(VLOOKUP(calendar[[#This Row],[Date]],BH!G:G,1,)&lt;&gt;"",1,0),0)</f>
        <v>0</v>
      </c>
      <c r="P2296">
        <f>IF(OR(calendar[[#This Row],[UK_BH]]=1,calendar[[#This Row],[WeekDay]]=1, calendar[[#This Row],[WeekDay]]=7),P2295,P2295+1)</f>
        <v>1640</v>
      </c>
      <c r="Q2296">
        <f>IF(OR(calendar[[#This Row],[FR_BH]]=1,calendar[[#This Row],[WeekDay]]=1, calendar[[#This Row],[WeekDay]]=7),P2295,P2295+1)</f>
        <v>1640</v>
      </c>
      <c r="R2296">
        <f>IF(OR(calendar[[#This Row],[SP_BH]]=1,calendar[[#This Row],[WeekDay]]=1, calendar[[#This Row],[WeekDay]]=7),P2295,P2295+1)</f>
        <v>1640</v>
      </c>
      <c r="S2296">
        <f>IF(OR(calendar[[#This Row],[PT_BH]]=1,calendar[[#This Row],[WeekDay]]=1, calendar[[#This Row],[WeekDay]]=7),P2295,P2295+1)</f>
        <v>1640</v>
      </c>
    </row>
    <row r="2297" spans="1:19" x14ac:dyDescent="0.25">
      <c r="A2297" s="2">
        <v>45031</v>
      </c>
      <c r="B2297" s="1">
        <f t="shared" si="178"/>
        <v>15</v>
      </c>
      <c r="C2297">
        <f t="shared" si="180"/>
        <v>4</v>
      </c>
      <c r="D2297" t="str">
        <f t="shared" si="181"/>
        <v>April</v>
      </c>
      <c r="E2297">
        <f t="shared" si="182"/>
        <v>2023</v>
      </c>
      <c r="F2297" t="str">
        <f>CONCATENATE(calendar[[#This Row],[Month]],"/",calendar[[#This Row],[Year]])</f>
        <v>4/2023</v>
      </c>
      <c r="G2297">
        <f>WEEKDAY(calendar[[#This Row],[Date]],1)</f>
        <v>7</v>
      </c>
      <c r="H2297" t="str">
        <f>TEXT(calendar[[#This Row],[WeekDay]],"dddd")</f>
        <v>Saturday</v>
      </c>
      <c r="I2297">
        <f>IF((INT(calendar[[#This Row],[Count]]/7)-calendar[[#This Row],[Count]]/7)&lt;0,I2296,I2296+1)</f>
        <v>328</v>
      </c>
      <c r="J2297">
        <f t="shared" si="179"/>
        <v>2295</v>
      </c>
      <c r="K2297">
        <f>IF(calendar[[#This Row],[Month]]&lt;4,1,IF(calendar[[#This Row],[Month]]&lt;7,2,IF(calendar[[#This Row],[Month]]&lt;10,3,4)))</f>
        <v>2</v>
      </c>
      <c r="L2297">
        <f>IFERROR(IF(VLOOKUP(calendar[[#This Row],[Date]],BH!A:A,1,)&lt;&gt;"",1,0),0)</f>
        <v>0</v>
      </c>
      <c r="M2297">
        <f>IFERROR(IF(VLOOKUP(calendar[[#This Row],[Date]],BH!C:C,1,)&lt;&gt;"",1,0),0)</f>
        <v>0</v>
      </c>
      <c r="N2297">
        <f>IFERROR(IF(VLOOKUP(calendar[[#This Row],[Date]],BH!E:E,1,)&lt;&gt;"",1,0),0)</f>
        <v>0</v>
      </c>
      <c r="O2297">
        <f>IFERROR(IF(VLOOKUP(calendar[[#This Row],[Date]],BH!G:G,1,)&lt;&gt;"",1,0),0)</f>
        <v>0</v>
      </c>
      <c r="P2297">
        <f>IF(OR(calendar[[#This Row],[UK_BH]]=1,calendar[[#This Row],[WeekDay]]=1, calendar[[#This Row],[WeekDay]]=7),P2296,P2296+1)</f>
        <v>1640</v>
      </c>
      <c r="Q2297">
        <f>IF(OR(calendar[[#This Row],[FR_BH]]=1,calendar[[#This Row],[WeekDay]]=1, calendar[[#This Row],[WeekDay]]=7),P2296,P2296+1)</f>
        <v>1640</v>
      </c>
      <c r="R2297">
        <f>IF(OR(calendar[[#This Row],[SP_BH]]=1,calendar[[#This Row],[WeekDay]]=1, calendar[[#This Row],[WeekDay]]=7),P2296,P2296+1)</f>
        <v>1640</v>
      </c>
      <c r="S2297">
        <f>IF(OR(calendar[[#This Row],[PT_BH]]=1,calendar[[#This Row],[WeekDay]]=1, calendar[[#This Row],[WeekDay]]=7),P2296,P2296+1)</f>
        <v>1640</v>
      </c>
    </row>
    <row r="2298" spans="1:19" x14ac:dyDescent="0.25">
      <c r="A2298" s="2">
        <v>45032</v>
      </c>
      <c r="B2298" s="1">
        <f t="shared" si="178"/>
        <v>16</v>
      </c>
      <c r="C2298">
        <f t="shared" si="180"/>
        <v>4</v>
      </c>
      <c r="D2298" t="str">
        <f t="shared" si="181"/>
        <v>April</v>
      </c>
      <c r="E2298">
        <f t="shared" si="182"/>
        <v>2023</v>
      </c>
      <c r="F2298" t="str">
        <f>CONCATENATE(calendar[[#This Row],[Month]],"/",calendar[[#This Row],[Year]])</f>
        <v>4/2023</v>
      </c>
      <c r="G2298">
        <f>WEEKDAY(calendar[[#This Row],[Date]],1)</f>
        <v>1</v>
      </c>
      <c r="H2298" t="str">
        <f>TEXT(calendar[[#This Row],[WeekDay]],"dddd")</f>
        <v>Sunday</v>
      </c>
      <c r="I2298">
        <f>IF((INT(calendar[[#This Row],[Count]]/7)-calendar[[#This Row],[Count]]/7)&lt;0,I2297,I2297+1)</f>
        <v>329</v>
      </c>
      <c r="J2298">
        <f t="shared" si="179"/>
        <v>2296</v>
      </c>
      <c r="K2298">
        <f>IF(calendar[[#This Row],[Month]]&lt;4,1,IF(calendar[[#This Row],[Month]]&lt;7,2,IF(calendar[[#This Row],[Month]]&lt;10,3,4)))</f>
        <v>2</v>
      </c>
      <c r="L2298">
        <f>IFERROR(IF(VLOOKUP(calendar[[#This Row],[Date]],BH!A:A,1,)&lt;&gt;"",1,0),0)</f>
        <v>0</v>
      </c>
      <c r="M2298">
        <f>IFERROR(IF(VLOOKUP(calendar[[#This Row],[Date]],BH!C:C,1,)&lt;&gt;"",1,0),0)</f>
        <v>0</v>
      </c>
      <c r="N2298">
        <f>IFERROR(IF(VLOOKUP(calendar[[#This Row],[Date]],BH!E:E,1,)&lt;&gt;"",1,0),0)</f>
        <v>0</v>
      </c>
      <c r="O2298">
        <f>IFERROR(IF(VLOOKUP(calendar[[#This Row],[Date]],BH!G:G,1,)&lt;&gt;"",1,0),0)</f>
        <v>0</v>
      </c>
      <c r="P2298">
        <f>IF(OR(calendar[[#This Row],[UK_BH]]=1,calendar[[#This Row],[WeekDay]]=1, calendar[[#This Row],[WeekDay]]=7),P2297,P2297+1)</f>
        <v>1640</v>
      </c>
      <c r="Q2298">
        <f>IF(OR(calendar[[#This Row],[FR_BH]]=1,calendar[[#This Row],[WeekDay]]=1, calendar[[#This Row],[WeekDay]]=7),P2297,P2297+1)</f>
        <v>1640</v>
      </c>
      <c r="R2298">
        <f>IF(OR(calendar[[#This Row],[SP_BH]]=1,calendar[[#This Row],[WeekDay]]=1, calendar[[#This Row],[WeekDay]]=7),P2297,P2297+1)</f>
        <v>1640</v>
      </c>
      <c r="S2298">
        <f>IF(OR(calendar[[#This Row],[PT_BH]]=1,calendar[[#This Row],[WeekDay]]=1, calendar[[#This Row],[WeekDay]]=7),P2297,P2297+1)</f>
        <v>1640</v>
      </c>
    </row>
    <row r="2299" spans="1:19" x14ac:dyDescent="0.25">
      <c r="A2299" s="2">
        <v>45033</v>
      </c>
      <c r="B2299" s="1">
        <f t="shared" si="178"/>
        <v>16</v>
      </c>
      <c r="C2299">
        <f t="shared" si="180"/>
        <v>4</v>
      </c>
      <c r="D2299" t="str">
        <f t="shared" si="181"/>
        <v>April</v>
      </c>
      <c r="E2299">
        <f t="shared" si="182"/>
        <v>2023</v>
      </c>
      <c r="F2299" t="str">
        <f>CONCATENATE(calendar[[#This Row],[Month]],"/",calendar[[#This Row],[Year]])</f>
        <v>4/2023</v>
      </c>
      <c r="G2299">
        <f>WEEKDAY(calendar[[#This Row],[Date]],1)</f>
        <v>2</v>
      </c>
      <c r="H2299" t="str">
        <f>TEXT(calendar[[#This Row],[WeekDay]],"dddd")</f>
        <v>Monday</v>
      </c>
      <c r="I2299">
        <f>IF((INT(calendar[[#This Row],[Count]]/7)-calendar[[#This Row],[Count]]/7)&lt;0,I2298,I2298+1)</f>
        <v>329</v>
      </c>
      <c r="J2299">
        <f t="shared" si="179"/>
        <v>2297</v>
      </c>
      <c r="K2299">
        <f>IF(calendar[[#This Row],[Month]]&lt;4,1,IF(calendar[[#This Row],[Month]]&lt;7,2,IF(calendar[[#This Row],[Month]]&lt;10,3,4)))</f>
        <v>2</v>
      </c>
      <c r="L2299">
        <f>IFERROR(IF(VLOOKUP(calendar[[#This Row],[Date]],BH!A:A,1,)&lt;&gt;"",1,0),0)</f>
        <v>0</v>
      </c>
      <c r="M2299">
        <f>IFERROR(IF(VLOOKUP(calendar[[#This Row],[Date]],BH!C:C,1,)&lt;&gt;"",1,0),0)</f>
        <v>0</v>
      </c>
      <c r="N2299">
        <f>IFERROR(IF(VLOOKUP(calendar[[#This Row],[Date]],BH!E:E,1,)&lt;&gt;"",1,0),0)</f>
        <v>0</v>
      </c>
      <c r="O2299">
        <f>IFERROR(IF(VLOOKUP(calendar[[#This Row],[Date]],BH!G:G,1,)&lt;&gt;"",1,0),0)</f>
        <v>0</v>
      </c>
      <c r="P2299">
        <f>IF(OR(calendar[[#This Row],[UK_BH]]=1,calendar[[#This Row],[WeekDay]]=1, calendar[[#This Row],[WeekDay]]=7),P2298,P2298+1)</f>
        <v>1641</v>
      </c>
      <c r="Q2299">
        <f>IF(OR(calendar[[#This Row],[FR_BH]]=1,calendar[[#This Row],[WeekDay]]=1, calendar[[#This Row],[WeekDay]]=7),P2298,P2298+1)</f>
        <v>1641</v>
      </c>
      <c r="R2299">
        <f>IF(OR(calendar[[#This Row],[SP_BH]]=1,calendar[[#This Row],[WeekDay]]=1, calendar[[#This Row],[WeekDay]]=7),P2298,P2298+1)</f>
        <v>1641</v>
      </c>
      <c r="S2299">
        <f>IF(OR(calendar[[#This Row],[PT_BH]]=1,calendar[[#This Row],[WeekDay]]=1, calendar[[#This Row],[WeekDay]]=7),P2298,P2298+1)</f>
        <v>1641</v>
      </c>
    </row>
    <row r="2300" spans="1:19" x14ac:dyDescent="0.25">
      <c r="A2300" s="2">
        <v>45034</v>
      </c>
      <c r="B2300" s="1">
        <f t="shared" si="178"/>
        <v>16</v>
      </c>
      <c r="C2300">
        <f t="shared" si="180"/>
        <v>4</v>
      </c>
      <c r="D2300" t="str">
        <f t="shared" si="181"/>
        <v>April</v>
      </c>
      <c r="E2300">
        <f t="shared" si="182"/>
        <v>2023</v>
      </c>
      <c r="F2300" t="str">
        <f>CONCATENATE(calendar[[#This Row],[Month]],"/",calendar[[#This Row],[Year]])</f>
        <v>4/2023</v>
      </c>
      <c r="G2300">
        <f>WEEKDAY(calendar[[#This Row],[Date]],1)</f>
        <v>3</v>
      </c>
      <c r="H2300" t="str">
        <f>TEXT(calendar[[#This Row],[WeekDay]],"dddd")</f>
        <v>Tuesday</v>
      </c>
      <c r="I2300">
        <f>IF((INT(calendar[[#This Row],[Count]]/7)-calendar[[#This Row],[Count]]/7)&lt;0,I2299,I2299+1)</f>
        <v>329</v>
      </c>
      <c r="J2300">
        <f t="shared" si="179"/>
        <v>2298</v>
      </c>
      <c r="K2300">
        <f>IF(calendar[[#This Row],[Month]]&lt;4,1,IF(calendar[[#This Row],[Month]]&lt;7,2,IF(calendar[[#This Row],[Month]]&lt;10,3,4)))</f>
        <v>2</v>
      </c>
      <c r="L2300">
        <f>IFERROR(IF(VLOOKUP(calendar[[#This Row],[Date]],BH!A:A,1,)&lt;&gt;"",1,0),0)</f>
        <v>0</v>
      </c>
      <c r="M2300">
        <f>IFERROR(IF(VLOOKUP(calendar[[#This Row],[Date]],BH!C:C,1,)&lt;&gt;"",1,0),0)</f>
        <v>0</v>
      </c>
      <c r="N2300">
        <f>IFERROR(IF(VLOOKUP(calendar[[#This Row],[Date]],BH!E:E,1,)&lt;&gt;"",1,0),0)</f>
        <v>0</v>
      </c>
      <c r="O2300">
        <f>IFERROR(IF(VLOOKUP(calendar[[#This Row],[Date]],BH!G:G,1,)&lt;&gt;"",1,0),0)</f>
        <v>0</v>
      </c>
      <c r="P2300">
        <f>IF(OR(calendar[[#This Row],[UK_BH]]=1,calendar[[#This Row],[WeekDay]]=1, calendar[[#This Row],[WeekDay]]=7),P2299,P2299+1)</f>
        <v>1642</v>
      </c>
      <c r="Q2300">
        <f>IF(OR(calendar[[#This Row],[FR_BH]]=1,calendar[[#This Row],[WeekDay]]=1, calendar[[#This Row],[WeekDay]]=7),P2299,P2299+1)</f>
        <v>1642</v>
      </c>
      <c r="R2300">
        <f>IF(OR(calendar[[#This Row],[SP_BH]]=1,calendar[[#This Row],[WeekDay]]=1, calendar[[#This Row],[WeekDay]]=7),P2299,P2299+1)</f>
        <v>1642</v>
      </c>
      <c r="S2300">
        <f>IF(OR(calendar[[#This Row],[PT_BH]]=1,calendar[[#This Row],[WeekDay]]=1, calendar[[#This Row],[WeekDay]]=7),P2299,P2299+1)</f>
        <v>1642</v>
      </c>
    </row>
    <row r="2301" spans="1:19" x14ac:dyDescent="0.25">
      <c r="A2301" s="2">
        <v>45035</v>
      </c>
      <c r="B2301" s="1">
        <f t="shared" si="178"/>
        <v>16</v>
      </c>
      <c r="C2301">
        <f t="shared" si="180"/>
        <v>4</v>
      </c>
      <c r="D2301" t="str">
        <f t="shared" si="181"/>
        <v>April</v>
      </c>
      <c r="E2301">
        <f t="shared" si="182"/>
        <v>2023</v>
      </c>
      <c r="F2301" t="str">
        <f>CONCATENATE(calendar[[#This Row],[Month]],"/",calendar[[#This Row],[Year]])</f>
        <v>4/2023</v>
      </c>
      <c r="G2301">
        <f>WEEKDAY(calendar[[#This Row],[Date]],1)</f>
        <v>4</v>
      </c>
      <c r="H2301" t="str">
        <f>TEXT(calendar[[#This Row],[WeekDay]],"dddd")</f>
        <v>Wednesday</v>
      </c>
      <c r="I2301">
        <f>IF((INT(calendar[[#This Row],[Count]]/7)-calendar[[#This Row],[Count]]/7)&lt;0,I2300,I2300+1)</f>
        <v>329</v>
      </c>
      <c r="J2301">
        <f t="shared" si="179"/>
        <v>2299</v>
      </c>
      <c r="K2301">
        <f>IF(calendar[[#This Row],[Month]]&lt;4,1,IF(calendar[[#This Row],[Month]]&lt;7,2,IF(calendar[[#This Row],[Month]]&lt;10,3,4)))</f>
        <v>2</v>
      </c>
      <c r="L2301">
        <f>IFERROR(IF(VLOOKUP(calendar[[#This Row],[Date]],BH!A:A,1,)&lt;&gt;"",1,0),0)</f>
        <v>0</v>
      </c>
      <c r="M2301">
        <f>IFERROR(IF(VLOOKUP(calendar[[#This Row],[Date]],BH!C:C,1,)&lt;&gt;"",1,0),0)</f>
        <v>0</v>
      </c>
      <c r="N2301">
        <f>IFERROR(IF(VLOOKUP(calendar[[#This Row],[Date]],BH!E:E,1,)&lt;&gt;"",1,0),0)</f>
        <v>0</v>
      </c>
      <c r="O2301">
        <f>IFERROR(IF(VLOOKUP(calendar[[#This Row],[Date]],BH!G:G,1,)&lt;&gt;"",1,0),0)</f>
        <v>0</v>
      </c>
      <c r="P2301">
        <f>IF(OR(calendar[[#This Row],[UK_BH]]=1,calendar[[#This Row],[WeekDay]]=1, calendar[[#This Row],[WeekDay]]=7),P2300,P2300+1)</f>
        <v>1643</v>
      </c>
      <c r="Q2301">
        <f>IF(OR(calendar[[#This Row],[FR_BH]]=1,calendar[[#This Row],[WeekDay]]=1, calendar[[#This Row],[WeekDay]]=7),P2300,P2300+1)</f>
        <v>1643</v>
      </c>
      <c r="R2301">
        <f>IF(OR(calendar[[#This Row],[SP_BH]]=1,calendar[[#This Row],[WeekDay]]=1, calendar[[#This Row],[WeekDay]]=7),P2300,P2300+1)</f>
        <v>1643</v>
      </c>
      <c r="S2301">
        <f>IF(OR(calendar[[#This Row],[PT_BH]]=1,calendar[[#This Row],[WeekDay]]=1, calendar[[#This Row],[WeekDay]]=7),P2300,P2300+1)</f>
        <v>1643</v>
      </c>
    </row>
    <row r="2302" spans="1:19" x14ac:dyDescent="0.25">
      <c r="A2302" s="2">
        <v>45036</v>
      </c>
      <c r="B2302" s="1">
        <f t="shared" si="178"/>
        <v>16</v>
      </c>
      <c r="C2302">
        <f t="shared" si="180"/>
        <v>4</v>
      </c>
      <c r="D2302" t="str">
        <f t="shared" si="181"/>
        <v>April</v>
      </c>
      <c r="E2302">
        <f t="shared" si="182"/>
        <v>2023</v>
      </c>
      <c r="F2302" t="str">
        <f>CONCATENATE(calendar[[#This Row],[Month]],"/",calendar[[#This Row],[Year]])</f>
        <v>4/2023</v>
      </c>
      <c r="G2302">
        <f>WEEKDAY(calendar[[#This Row],[Date]],1)</f>
        <v>5</v>
      </c>
      <c r="H2302" t="str">
        <f>TEXT(calendar[[#This Row],[WeekDay]],"dddd")</f>
        <v>Thursday</v>
      </c>
      <c r="I2302">
        <f>IF((INT(calendar[[#This Row],[Count]]/7)-calendar[[#This Row],[Count]]/7)&lt;0,I2301,I2301+1)</f>
        <v>329</v>
      </c>
      <c r="J2302">
        <f t="shared" si="179"/>
        <v>2300</v>
      </c>
      <c r="K2302">
        <f>IF(calendar[[#This Row],[Month]]&lt;4,1,IF(calendar[[#This Row],[Month]]&lt;7,2,IF(calendar[[#This Row],[Month]]&lt;10,3,4)))</f>
        <v>2</v>
      </c>
      <c r="L2302">
        <f>IFERROR(IF(VLOOKUP(calendar[[#This Row],[Date]],BH!A:A,1,)&lt;&gt;"",1,0),0)</f>
        <v>0</v>
      </c>
      <c r="M2302">
        <f>IFERROR(IF(VLOOKUP(calendar[[#This Row],[Date]],BH!C:C,1,)&lt;&gt;"",1,0),0)</f>
        <v>0</v>
      </c>
      <c r="N2302">
        <f>IFERROR(IF(VLOOKUP(calendar[[#This Row],[Date]],BH!E:E,1,)&lt;&gt;"",1,0),0)</f>
        <v>0</v>
      </c>
      <c r="O2302">
        <f>IFERROR(IF(VLOOKUP(calendar[[#This Row],[Date]],BH!G:G,1,)&lt;&gt;"",1,0),0)</f>
        <v>0</v>
      </c>
      <c r="P2302">
        <f>IF(OR(calendar[[#This Row],[UK_BH]]=1,calendar[[#This Row],[WeekDay]]=1, calendar[[#This Row],[WeekDay]]=7),P2301,P2301+1)</f>
        <v>1644</v>
      </c>
      <c r="Q2302">
        <f>IF(OR(calendar[[#This Row],[FR_BH]]=1,calendar[[#This Row],[WeekDay]]=1, calendar[[#This Row],[WeekDay]]=7),P2301,P2301+1)</f>
        <v>1644</v>
      </c>
      <c r="R2302">
        <f>IF(OR(calendar[[#This Row],[SP_BH]]=1,calendar[[#This Row],[WeekDay]]=1, calendar[[#This Row],[WeekDay]]=7),P2301,P2301+1)</f>
        <v>1644</v>
      </c>
      <c r="S2302">
        <f>IF(OR(calendar[[#This Row],[PT_BH]]=1,calendar[[#This Row],[WeekDay]]=1, calendar[[#This Row],[WeekDay]]=7),P2301,P2301+1)</f>
        <v>1644</v>
      </c>
    </row>
    <row r="2303" spans="1:19" x14ac:dyDescent="0.25">
      <c r="A2303" s="2">
        <v>45037</v>
      </c>
      <c r="B2303" s="1">
        <f t="shared" si="178"/>
        <v>16</v>
      </c>
      <c r="C2303">
        <f t="shared" si="180"/>
        <v>4</v>
      </c>
      <c r="D2303" t="str">
        <f t="shared" si="181"/>
        <v>April</v>
      </c>
      <c r="E2303">
        <f t="shared" si="182"/>
        <v>2023</v>
      </c>
      <c r="F2303" t="str">
        <f>CONCATENATE(calendar[[#This Row],[Month]],"/",calendar[[#This Row],[Year]])</f>
        <v>4/2023</v>
      </c>
      <c r="G2303">
        <f>WEEKDAY(calendar[[#This Row],[Date]],1)</f>
        <v>6</v>
      </c>
      <c r="H2303" t="str">
        <f>TEXT(calendar[[#This Row],[WeekDay]],"dddd")</f>
        <v>Friday</v>
      </c>
      <c r="I2303">
        <f>IF((INT(calendar[[#This Row],[Count]]/7)-calendar[[#This Row],[Count]]/7)&lt;0,I2302,I2302+1)</f>
        <v>329</v>
      </c>
      <c r="J2303">
        <f t="shared" si="179"/>
        <v>2301</v>
      </c>
      <c r="K2303">
        <f>IF(calendar[[#This Row],[Month]]&lt;4,1,IF(calendar[[#This Row],[Month]]&lt;7,2,IF(calendar[[#This Row],[Month]]&lt;10,3,4)))</f>
        <v>2</v>
      </c>
      <c r="L2303">
        <f>IFERROR(IF(VLOOKUP(calendar[[#This Row],[Date]],BH!A:A,1,)&lt;&gt;"",1,0),0)</f>
        <v>0</v>
      </c>
      <c r="M2303">
        <f>IFERROR(IF(VLOOKUP(calendar[[#This Row],[Date]],BH!C:C,1,)&lt;&gt;"",1,0),0)</f>
        <v>0</v>
      </c>
      <c r="N2303">
        <f>IFERROR(IF(VLOOKUP(calendar[[#This Row],[Date]],BH!E:E,1,)&lt;&gt;"",1,0),0)</f>
        <v>0</v>
      </c>
      <c r="O2303">
        <f>IFERROR(IF(VLOOKUP(calendar[[#This Row],[Date]],BH!G:G,1,)&lt;&gt;"",1,0),0)</f>
        <v>0</v>
      </c>
      <c r="P2303">
        <f>IF(OR(calendar[[#This Row],[UK_BH]]=1,calendar[[#This Row],[WeekDay]]=1, calendar[[#This Row],[WeekDay]]=7),P2302,P2302+1)</f>
        <v>1645</v>
      </c>
      <c r="Q2303">
        <f>IF(OR(calendar[[#This Row],[FR_BH]]=1,calendar[[#This Row],[WeekDay]]=1, calendar[[#This Row],[WeekDay]]=7),P2302,P2302+1)</f>
        <v>1645</v>
      </c>
      <c r="R2303">
        <f>IF(OR(calendar[[#This Row],[SP_BH]]=1,calendar[[#This Row],[WeekDay]]=1, calendar[[#This Row],[WeekDay]]=7),P2302,P2302+1)</f>
        <v>1645</v>
      </c>
      <c r="S2303">
        <f>IF(OR(calendar[[#This Row],[PT_BH]]=1,calendar[[#This Row],[WeekDay]]=1, calendar[[#This Row],[WeekDay]]=7),P2302,P2302+1)</f>
        <v>1645</v>
      </c>
    </row>
    <row r="2304" spans="1:19" x14ac:dyDescent="0.25">
      <c r="A2304" s="2">
        <v>45038</v>
      </c>
      <c r="B2304" s="1">
        <f t="shared" si="178"/>
        <v>16</v>
      </c>
      <c r="C2304">
        <f t="shared" si="180"/>
        <v>4</v>
      </c>
      <c r="D2304" t="str">
        <f t="shared" si="181"/>
        <v>April</v>
      </c>
      <c r="E2304">
        <f t="shared" si="182"/>
        <v>2023</v>
      </c>
      <c r="F2304" t="str">
        <f>CONCATENATE(calendar[[#This Row],[Month]],"/",calendar[[#This Row],[Year]])</f>
        <v>4/2023</v>
      </c>
      <c r="G2304">
        <f>WEEKDAY(calendar[[#This Row],[Date]],1)</f>
        <v>7</v>
      </c>
      <c r="H2304" t="str">
        <f>TEXT(calendar[[#This Row],[WeekDay]],"dddd")</f>
        <v>Saturday</v>
      </c>
      <c r="I2304">
        <f>IF((INT(calendar[[#This Row],[Count]]/7)-calendar[[#This Row],[Count]]/7)&lt;0,I2303,I2303+1)</f>
        <v>329</v>
      </c>
      <c r="J2304">
        <f t="shared" si="179"/>
        <v>2302</v>
      </c>
      <c r="K2304">
        <f>IF(calendar[[#This Row],[Month]]&lt;4,1,IF(calendar[[#This Row],[Month]]&lt;7,2,IF(calendar[[#This Row],[Month]]&lt;10,3,4)))</f>
        <v>2</v>
      </c>
      <c r="L2304">
        <f>IFERROR(IF(VLOOKUP(calendar[[#This Row],[Date]],BH!A:A,1,)&lt;&gt;"",1,0),0)</f>
        <v>0</v>
      </c>
      <c r="M2304">
        <f>IFERROR(IF(VLOOKUP(calendar[[#This Row],[Date]],BH!C:C,1,)&lt;&gt;"",1,0),0)</f>
        <v>0</v>
      </c>
      <c r="N2304">
        <f>IFERROR(IF(VLOOKUP(calendar[[#This Row],[Date]],BH!E:E,1,)&lt;&gt;"",1,0),0)</f>
        <v>0</v>
      </c>
      <c r="O2304">
        <f>IFERROR(IF(VLOOKUP(calendar[[#This Row],[Date]],BH!G:G,1,)&lt;&gt;"",1,0),0)</f>
        <v>0</v>
      </c>
      <c r="P2304">
        <f>IF(OR(calendar[[#This Row],[UK_BH]]=1,calendar[[#This Row],[WeekDay]]=1, calendar[[#This Row],[WeekDay]]=7),P2303,P2303+1)</f>
        <v>1645</v>
      </c>
      <c r="Q2304">
        <f>IF(OR(calendar[[#This Row],[FR_BH]]=1,calendar[[#This Row],[WeekDay]]=1, calendar[[#This Row],[WeekDay]]=7),P2303,P2303+1)</f>
        <v>1645</v>
      </c>
      <c r="R2304">
        <f>IF(OR(calendar[[#This Row],[SP_BH]]=1,calendar[[#This Row],[WeekDay]]=1, calendar[[#This Row],[WeekDay]]=7),P2303,P2303+1)</f>
        <v>1645</v>
      </c>
      <c r="S2304">
        <f>IF(OR(calendar[[#This Row],[PT_BH]]=1,calendar[[#This Row],[WeekDay]]=1, calendar[[#This Row],[WeekDay]]=7),P2303,P2303+1)</f>
        <v>1645</v>
      </c>
    </row>
    <row r="2305" spans="1:19" x14ac:dyDescent="0.25">
      <c r="A2305" s="2">
        <v>45039</v>
      </c>
      <c r="B2305" s="1">
        <f t="shared" si="178"/>
        <v>17</v>
      </c>
      <c r="C2305">
        <f t="shared" si="180"/>
        <v>4</v>
      </c>
      <c r="D2305" t="str">
        <f t="shared" si="181"/>
        <v>April</v>
      </c>
      <c r="E2305">
        <f t="shared" si="182"/>
        <v>2023</v>
      </c>
      <c r="F2305" t="str">
        <f>CONCATENATE(calendar[[#This Row],[Month]],"/",calendar[[#This Row],[Year]])</f>
        <v>4/2023</v>
      </c>
      <c r="G2305">
        <f>WEEKDAY(calendar[[#This Row],[Date]],1)</f>
        <v>1</v>
      </c>
      <c r="H2305" t="str">
        <f>TEXT(calendar[[#This Row],[WeekDay]],"dddd")</f>
        <v>Sunday</v>
      </c>
      <c r="I2305">
        <f>IF((INT(calendar[[#This Row],[Count]]/7)-calendar[[#This Row],[Count]]/7)&lt;0,I2304,I2304+1)</f>
        <v>330</v>
      </c>
      <c r="J2305">
        <f t="shared" si="179"/>
        <v>2303</v>
      </c>
      <c r="K2305">
        <f>IF(calendar[[#This Row],[Month]]&lt;4,1,IF(calendar[[#This Row],[Month]]&lt;7,2,IF(calendar[[#This Row],[Month]]&lt;10,3,4)))</f>
        <v>2</v>
      </c>
      <c r="L2305">
        <f>IFERROR(IF(VLOOKUP(calendar[[#This Row],[Date]],BH!A:A,1,)&lt;&gt;"",1,0),0)</f>
        <v>0</v>
      </c>
      <c r="M2305">
        <f>IFERROR(IF(VLOOKUP(calendar[[#This Row],[Date]],BH!C:C,1,)&lt;&gt;"",1,0),0)</f>
        <v>0</v>
      </c>
      <c r="N2305">
        <f>IFERROR(IF(VLOOKUP(calendar[[#This Row],[Date]],BH!E:E,1,)&lt;&gt;"",1,0),0)</f>
        <v>0</v>
      </c>
      <c r="O2305">
        <f>IFERROR(IF(VLOOKUP(calendar[[#This Row],[Date]],BH!G:G,1,)&lt;&gt;"",1,0),0)</f>
        <v>0</v>
      </c>
      <c r="P2305">
        <f>IF(OR(calendar[[#This Row],[UK_BH]]=1,calendar[[#This Row],[WeekDay]]=1, calendar[[#This Row],[WeekDay]]=7),P2304,P2304+1)</f>
        <v>1645</v>
      </c>
      <c r="Q2305">
        <f>IF(OR(calendar[[#This Row],[FR_BH]]=1,calendar[[#This Row],[WeekDay]]=1, calendar[[#This Row],[WeekDay]]=7),P2304,P2304+1)</f>
        <v>1645</v>
      </c>
      <c r="R2305">
        <f>IF(OR(calendar[[#This Row],[SP_BH]]=1,calendar[[#This Row],[WeekDay]]=1, calendar[[#This Row],[WeekDay]]=7),P2304,P2304+1)</f>
        <v>1645</v>
      </c>
      <c r="S2305">
        <f>IF(OR(calendar[[#This Row],[PT_BH]]=1,calendar[[#This Row],[WeekDay]]=1, calendar[[#This Row],[WeekDay]]=7),P2304,P2304+1)</f>
        <v>1645</v>
      </c>
    </row>
    <row r="2306" spans="1:19" x14ac:dyDescent="0.25">
      <c r="A2306" s="2">
        <v>45040</v>
      </c>
      <c r="B2306" s="1">
        <f t="shared" ref="B2306:B2369" si="183">WEEKNUM(A2306)</f>
        <v>17</v>
      </c>
      <c r="C2306">
        <f t="shared" si="180"/>
        <v>4</v>
      </c>
      <c r="D2306" t="str">
        <f t="shared" si="181"/>
        <v>April</v>
      </c>
      <c r="E2306">
        <f t="shared" si="182"/>
        <v>2023</v>
      </c>
      <c r="F2306" t="str">
        <f>CONCATENATE(calendar[[#This Row],[Month]],"/",calendar[[#This Row],[Year]])</f>
        <v>4/2023</v>
      </c>
      <c r="G2306">
        <f>WEEKDAY(calendar[[#This Row],[Date]],1)</f>
        <v>2</v>
      </c>
      <c r="H2306" t="str">
        <f>TEXT(calendar[[#This Row],[WeekDay]],"dddd")</f>
        <v>Monday</v>
      </c>
      <c r="I2306">
        <f>IF((INT(calendar[[#This Row],[Count]]/7)-calendar[[#This Row],[Count]]/7)&lt;0,I2305,I2305+1)</f>
        <v>330</v>
      </c>
      <c r="J2306">
        <f t="shared" si="179"/>
        <v>2304</v>
      </c>
      <c r="K2306">
        <f>IF(calendar[[#This Row],[Month]]&lt;4,1,IF(calendar[[#This Row],[Month]]&lt;7,2,IF(calendar[[#This Row],[Month]]&lt;10,3,4)))</f>
        <v>2</v>
      </c>
      <c r="L2306">
        <f>IFERROR(IF(VLOOKUP(calendar[[#This Row],[Date]],BH!A:A,1,)&lt;&gt;"",1,0),0)</f>
        <v>0</v>
      </c>
      <c r="M2306">
        <f>IFERROR(IF(VLOOKUP(calendar[[#This Row],[Date]],BH!C:C,1,)&lt;&gt;"",1,0),0)</f>
        <v>0</v>
      </c>
      <c r="N2306">
        <f>IFERROR(IF(VLOOKUP(calendar[[#This Row],[Date]],BH!E:E,1,)&lt;&gt;"",1,0),0)</f>
        <v>0</v>
      </c>
      <c r="O2306">
        <f>IFERROR(IF(VLOOKUP(calendar[[#This Row],[Date]],BH!G:G,1,)&lt;&gt;"",1,0),0)</f>
        <v>0</v>
      </c>
      <c r="P2306">
        <f>IF(OR(calendar[[#This Row],[UK_BH]]=1,calendar[[#This Row],[WeekDay]]=1, calendar[[#This Row],[WeekDay]]=7),P2305,P2305+1)</f>
        <v>1646</v>
      </c>
      <c r="Q2306">
        <f>IF(OR(calendar[[#This Row],[FR_BH]]=1,calendar[[#This Row],[WeekDay]]=1, calendar[[#This Row],[WeekDay]]=7),P2305,P2305+1)</f>
        <v>1646</v>
      </c>
      <c r="R2306">
        <f>IF(OR(calendar[[#This Row],[SP_BH]]=1,calendar[[#This Row],[WeekDay]]=1, calendar[[#This Row],[WeekDay]]=7),P2305,P2305+1)</f>
        <v>1646</v>
      </c>
      <c r="S2306">
        <f>IF(OR(calendar[[#This Row],[PT_BH]]=1,calendar[[#This Row],[WeekDay]]=1, calendar[[#This Row],[WeekDay]]=7),P2305,P2305+1)</f>
        <v>1646</v>
      </c>
    </row>
    <row r="2307" spans="1:19" x14ac:dyDescent="0.25">
      <c r="A2307" s="2">
        <v>45041</v>
      </c>
      <c r="B2307" s="1">
        <f t="shared" si="183"/>
        <v>17</v>
      </c>
      <c r="C2307">
        <f t="shared" si="180"/>
        <v>4</v>
      </c>
      <c r="D2307" t="str">
        <f t="shared" si="181"/>
        <v>April</v>
      </c>
      <c r="E2307">
        <f t="shared" si="182"/>
        <v>2023</v>
      </c>
      <c r="F2307" t="str">
        <f>CONCATENATE(calendar[[#This Row],[Month]],"/",calendar[[#This Row],[Year]])</f>
        <v>4/2023</v>
      </c>
      <c r="G2307">
        <f>WEEKDAY(calendar[[#This Row],[Date]],1)</f>
        <v>3</v>
      </c>
      <c r="H2307" t="str">
        <f>TEXT(calendar[[#This Row],[WeekDay]],"dddd")</f>
        <v>Tuesday</v>
      </c>
      <c r="I2307">
        <f>IF((INT(calendar[[#This Row],[Count]]/7)-calendar[[#This Row],[Count]]/7)&lt;0,I2306,I2306+1)</f>
        <v>330</v>
      </c>
      <c r="J2307">
        <f t="shared" ref="J2307:J2370" si="184">J2306+1</f>
        <v>2305</v>
      </c>
      <c r="K2307">
        <f>IF(calendar[[#This Row],[Month]]&lt;4,1,IF(calendar[[#This Row],[Month]]&lt;7,2,IF(calendar[[#This Row],[Month]]&lt;10,3,4)))</f>
        <v>2</v>
      </c>
      <c r="L2307">
        <f>IFERROR(IF(VLOOKUP(calendar[[#This Row],[Date]],BH!A:A,1,)&lt;&gt;"",1,0),0)</f>
        <v>0</v>
      </c>
      <c r="M2307">
        <f>IFERROR(IF(VLOOKUP(calendar[[#This Row],[Date]],BH!C:C,1,)&lt;&gt;"",1,0),0)</f>
        <v>0</v>
      </c>
      <c r="N2307">
        <f>IFERROR(IF(VLOOKUP(calendar[[#This Row],[Date]],BH!E:E,1,)&lt;&gt;"",1,0),0)</f>
        <v>0</v>
      </c>
      <c r="O2307">
        <f>IFERROR(IF(VLOOKUP(calendar[[#This Row],[Date]],BH!G:G,1,)&lt;&gt;"",1,0),0)</f>
        <v>0</v>
      </c>
      <c r="P2307">
        <f>IF(OR(calendar[[#This Row],[UK_BH]]=1,calendar[[#This Row],[WeekDay]]=1, calendar[[#This Row],[WeekDay]]=7),P2306,P2306+1)</f>
        <v>1647</v>
      </c>
      <c r="Q2307">
        <f>IF(OR(calendar[[#This Row],[FR_BH]]=1,calendar[[#This Row],[WeekDay]]=1, calendar[[#This Row],[WeekDay]]=7),P2306,P2306+1)</f>
        <v>1647</v>
      </c>
      <c r="R2307">
        <f>IF(OR(calendar[[#This Row],[SP_BH]]=1,calendar[[#This Row],[WeekDay]]=1, calendar[[#This Row],[WeekDay]]=7),P2306,P2306+1)</f>
        <v>1647</v>
      </c>
      <c r="S2307">
        <f>IF(OR(calendar[[#This Row],[PT_BH]]=1,calendar[[#This Row],[WeekDay]]=1, calendar[[#This Row],[WeekDay]]=7),P2306,P2306+1)</f>
        <v>1647</v>
      </c>
    </row>
    <row r="2308" spans="1:19" x14ac:dyDescent="0.25">
      <c r="A2308" s="2">
        <v>45042</v>
      </c>
      <c r="B2308" s="1">
        <f t="shared" si="183"/>
        <v>17</v>
      </c>
      <c r="C2308">
        <f t="shared" si="180"/>
        <v>4</v>
      </c>
      <c r="D2308" t="str">
        <f t="shared" si="181"/>
        <v>April</v>
      </c>
      <c r="E2308">
        <f t="shared" si="182"/>
        <v>2023</v>
      </c>
      <c r="F2308" t="str">
        <f>CONCATENATE(calendar[[#This Row],[Month]],"/",calendar[[#This Row],[Year]])</f>
        <v>4/2023</v>
      </c>
      <c r="G2308">
        <f>WEEKDAY(calendar[[#This Row],[Date]],1)</f>
        <v>4</v>
      </c>
      <c r="H2308" t="str">
        <f>TEXT(calendar[[#This Row],[WeekDay]],"dddd")</f>
        <v>Wednesday</v>
      </c>
      <c r="I2308">
        <f>IF((INT(calendar[[#This Row],[Count]]/7)-calendar[[#This Row],[Count]]/7)&lt;0,I2307,I2307+1)</f>
        <v>330</v>
      </c>
      <c r="J2308">
        <f t="shared" si="184"/>
        <v>2306</v>
      </c>
      <c r="K2308">
        <f>IF(calendar[[#This Row],[Month]]&lt;4,1,IF(calendar[[#This Row],[Month]]&lt;7,2,IF(calendar[[#This Row],[Month]]&lt;10,3,4)))</f>
        <v>2</v>
      </c>
      <c r="L2308">
        <f>IFERROR(IF(VLOOKUP(calendar[[#This Row],[Date]],BH!A:A,1,)&lt;&gt;"",1,0),0)</f>
        <v>0</v>
      </c>
      <c r="M2308">
        <f>IFERROR(IF(VLOOKUP(calendar[[#This Row],[Date]],BH!C:C,1,)&lt;&gt;"",1,0),0)</f>
        <v>0</v>
      </c>
      <c r="N2308">
        <f>IFERROR(IF(VLOOKUP(calendar[[#This Row],[Date]],BH!E:E,1,)&lt;&gt;"",1,0),0)</f>
        <v>0</v>
      </c>
      <c r="O2308">
        <f>IFERROR(IF(VLOOKUP(calendar[[#This Row],[Date]],BH!G:G,1,)&lt;&gt;"",1,0),0)</f>
        <v>0</v>
      </c>
      <c r="P2308">
        <f>IF(OR(calendar[[#This Row],[UK_BH]]=1,calendar[[#This Row],[WeekDay]]=1, calendar[[#This Row],[WeekDay]]=7),P2307,P2307+1)</f>
        <v>1648</v>
      </c>
      <c r="Q2308">
        <f>IF(OR(calendar[[#This Row],[FR_BH]]=1,calendar[[#This Row],[WeekDay]]=1, calendar[[#This Row],[WeekDay]]=7),P2307,P2307+1)</f>
        <v>1648</v>
      </c>
      <c r="R2308">
        <f>IF(OR(calendar[[#This Row],[SP_BH]]=1,calendar[[#This Row],[WeekDay]]=1, calendar[[#This Row],[WeekDay]]=7),P2307,P2307+1)</f>
        <v>1648</v>
      </c>
      <c r="S2308">
        <f>IF(OR(calendar[[#This Row],[PT_BH]]=1,calendar[[#This Row],[WeekDay]]=1, calendar[[#This Row],[WeekDay]]=7),P2307,P2307+1)</f>
        <v>1648</v>
      </c>
    </row>
    <row r="2309" spans="1:19" x14ac:dyDescent="0.25">
      <c r="A2309" s="2">
        <v>45043</v>
      </c>
      <c r="B2309" s="1">
        <f t="shared" si="183"/>
        <v>17</v>
      </c>
      <c r="C2309">
        <f t="shared" si="180"/>
        <v>4</v>
      </c>
      <c r="D2309" t="str">
        <f t="shared" si="181"/>
        <v>April</v>
      </c>
      <c r="E2309">
        <f t="shared" si="182"/>
        <v>2023</v>
      </c>
      <c r="F2309" t="str">
        <f>CONCATENATE(calendar[[#This Row],[Month]],"/",calendar[[#This Row],[Year]])</f>
        <v>4/2023</v>
      </c>
      <c r="G2309">
        <f>WEEKDAY(calendar[[#This Row],[Date]],1)</f>
        <v>5</v>
      </c>
      <c r="H2309" t="str">
        <f>TEXT(calendar[[#This Row],[WeekDay]],"dddd")</f>
        <v>Thursday</v>
      </c>
      <c r="I2309">
        <f>IF((INT(calendar[[#This Row],[Count]]/7)-calendar[[#This Row],[Count]]/7)&lt;0,I2308,I2308+1)</f>
        <v>330</v>
      </c>
      <c r="J2309">
        <f t="shared" si="184"/>
        <v>2307</v>
      </c>
      <c r="K2309">
        <f>IF(calendar[[#This Row],[Month]]&lt;4,1,IF(calendar[[#This Row],[Month]]&lt;7,2,IF(calendar[[#This Row],[Month]]&lt;10,3,4)))</f>
        <v>2</v>
      </c>
      <c r="L2309">
        <f>IFERROR(IF(VLOOKUP(calendar[[#This Row],[Date]],BH!A:A,1,)&lt;&gt;"",1,0),0)</f>
        <v>0</v>
      </c>
      <c r="M2309">
        <f>IFERROR(IF(VLOOKUP(calendar[[#This Row],[Date]],BH!C:C,1,)&lt;&gt;"",1,0),0)</f>
        <v>0</v>
      </c>
      <c r="N2309">
        <f>IFERROR(IF(VLOOKUP(calendar[[#This Row],[Date]],BH!E:E,1,)&lt;&gt;"",1,0),0)</f>
        <v>0</v>
      </c>
      <c r="O2309">
        <f>IFERROR(IF(VLOOKUP(calendar[[#This Row],[Date]],BH!G:G,1,)&lt;&gt;"",1,0),0)</f>
        <v>0</v>
      </c>
      <c r="P2309">
        <f>IF(OR(calendar[[#This Row],[UK_BH]]=1,calendar[[#This Row],[WeekDay]]=1, calendar[[#This Row],[WeekDay]]=7),P2308,P2308+1)</f>
        <v>1649</v>
      </c>
      <c r="Q2309">
        <f>IF(OR(calendar[[#This Row],[FR_BH]]=1,calendar[[#This Row],[WeekDay]]=1, calendar[[#This Row],[WeekDay]]=7),P2308,P2308+1)</f>
        <v>1649</v>
      </c>
      <c r="R2309">
        <f>IF(OR(calendar[[#This Row],[SP_BH]]=1,calendar[[#This Row],[WeekDay]]=1, calendar[[#This Row],[WeekDay]]=7),P2308,P2308+1)</f>
        <v>1649</v>
      </c>
      <c r="S2309">
        <f>IF(OR(calendar[[#This Row],[PT_BH]]=1,calendar[[#This Row],[WeekDay]]=1, calendar[[#This Row],[WeekDay]]=7),P2308,P2308+1)</f>
        <v>1649</v>
      </c>
    </row>
    <row r="2310" spans="1:19" x14ac:dyDescent="0.25">
      <c r="A2310" s="2">
        <v>45044</v>
      </c>
      <c r="B2310" s="1">
        <f t="shared" si="183"/>
        <v>17</v>
      </c>
      <c r="C2310">
        <f t="shared" si="180"/>
        <v>4</v>
      </c>
      <c r="D2310" t="str">
        <f t="shared" si="181"/>
        <v>April</v>
      </c>
      <c r="E2310">
        <f t="shared" si="182"/>
        <v>2023</v>
      </c>
      <c r="F2310" t="str">
        <f>CONCATENATE(calendar[[#This Row],[Month]],"/",calendar[[#This Row],[Year]])</f>
        <v>4/2023</v>
      </c>
      <c r="G2310">
        <f>WEEKDAY(calendar[[#This Row],[Date]],1)</f>
        <v>6</v>
      </c>
      <c r="H2310" t="str">
        <f>TEXT(calendar[[#This Row],[WeekDay]],"dddd")</f>
        <v>Friday</v>
      </c>
      <c r="I2310">
        <f>IF((INT(calendar[[#This Row],[Count]]/7)-calendar[[#This Row],[Count]]/7)&lt;0,I2309,I2309+1)</f>
        <v>330</v>
      </c>
      <c r="J2310">
        <f t="shared" si="184"/>
        <v>2308</v>
      </c>
      <c r="K2310">
        <f>IF(calendar[[#This Row],[Month]]&lt;4,1,IF(calendar[[#This Row],[Month]]&lt;7,2,IF(calendar[[#This Row],[Month]]&lt;10,3,4)))</f>
        <v>2</v>
      </c>
      <c r="L2310">
        <f>IFERROR(IF(VLOOKUP(calendar[[#This Row],[Date]],BH!A:A,1,)&lt;&gt;"",1,0),0)</f>
        <v>0</v>
      </c>
      <c r="M2310">
        <f>IFERROR(IF(VLOOKUP(calendar[[#This Row],[Date]],BH!C:C,1,)&lt;&gt;"",1,0),0)</f>
        <v>0</v>
      </c>
      <c r="N2310">
        <f>IFERROR(IF(VLOOKUP(calendar[[#This Row],[Date]],BH!E:E,1,)&lt;&gt;"",1,0),0)</f>
        <v>0</v>
      </c>
      <c r="O2310">
        <f>IFERROR(IF(VLOOKUP(calendar[[#This Row],[Date]],BH!G:G,1,)&lt;&gt;"",1,0),0)</f>
        <v>0</v>
      </c>
      <c r="P2310">
        <f>IF(OR(calendar[[#This Row],[UK_BH]]=1,calendar[[#This Row],[WeekDay]]=1, calendar[[#This Row],[WeekDay]]=7),P2309,P2309+1)</f>
        <v>1650</v>
      </c>
      <c r="Q2310">
        <f>IF(OR(calendar[[#This Row],[FR_BH]]=1,calendar[[#This Row],[WeekDay]]=1, calendar[[#This Row],[WeekDay]]=7),P2309,P2309+1)</f>
        <v>1650</v>
      </c>
      <c r="R2310">
        <f>IF(OR(calendar[[#This Row],[SP_BH]]=1,calendar[[#This Row],[WeekDay]]=1, calendar[[#This Row],[WeekDay]]=7),P2309,P2309+1)</f>
        <v>1650</v>
      </c>
      <c r="S2310">
        <f>IF(OR(calendar[[#This Row],[PT_BH]]=1,calendar[[#This Row],[WeekDay]]=1, calendar[[#This Row],[WeekDay]]=7),P2309,P2309+1)</f>
        <v>1650</v>
      </c>
    </row>
    <row r="2311" spans="1:19" x14ac:dyDescent="0.25">
      <c r="A2311" s="2">
        <v>45045</v>
      </c>
      <c r="B2311" s="1">
        <f t="shared" si="183"/>
        <v>17</v>
      </c>
      <c r="C2311">
        <f t="shared" si="180"/>
        <v>4</v>
      </c>
      <c r="D2311" t="str">
        <f t="shared" si="181"/>
        <v>April</v>
      </c>
      <c r="E2311">
        <f t="shared" si="182"/>
        <v>2023</v>
      </c>
      <c r="F2311" t="str">
        <f>CONCATENATE(calendar[[#This Row],[Month]],"/",calendar[[#This Row],[Year]])</f>
        <v>4/2023</v>
      </c>
      <c r="G2311">
        <f>WEEKDAY(calendar[[#This Row],[Date]],1)</f>
        <v>7</v>
      </c>
      <c r="H2311" t="str">
        <f>TEXT(calendar[[#This Row],[WeekDay]],"dddd")</f>
        <v>Saturday</v>
      </c>
      <c r="I2311">
        <f>IF((INT(calendar[[#This Row],[Count]]/7)-calendar[[#This Row],[Count]]/7)&lt;0,I2310,I2310+1)</f>
        <v>330</v>
      </c>
      <c r="J2311">
        <f t="shared" si="184"/>
        <v>2309</v>
      </c>
      <c r="K2311">
        <f>IF(calendar[[#This Row],[Month]]&lt;4,1,IF(calendar[[#This Row],[Month]]&lt;7,2,IF(calendar[[#This Row],[Month]]&lt;10,3,4)))</f>
        <v>2</v>
      </c>
      <c r="L2311">
        <f>IFERROR(IF(VLOOKUP(calendar[[#This Row],[Date]],BH!A:A,1,)&lt;&gt;"",1,0),0)</f>
        <v>0</v>
      </c>
      <c r="M2311">
        <f>IFERROR(IF(VLOOKUP(calendar[[#This Row],[Date]],BH!C:C,1,)&lt;&gt;"",1,0),0)</f>
        <v>0</v>
      </c>
      <c r="N2311">
        <f>IFERROR(IF(VLOOKUP(calendar[[#This Row],[Date]],BH!E:E,1,)&lt;&gt;"",1,0),0)</f>
        <v>0</v>
      </c>
      <c r="O2311">
        <f>IFERROR(IF(VLOOKUP(calendar[[#This Row],[Date]],BH!G:G,1,)&lt;&gt;"",1,0),0)</f>
        <v>0</v>
      </c>
      <c r="P2311">
        <f>IF(OR(calendar[[#This Row],[UK_BH]]=1,calendar[[#This Row],[WeekDay]]=1, calendar[[#This Row],[WeekDay]]=7),P2310,P2310+1)</f>
        <v>1650</v>
      </c>
      <c r="Q2311">
        <f>IF(OR(calendar[[#This Row],[FR_BH]]=1,calendar[[#This Row],[WeekDay]]=1, calendar[[#This Row],[WeekDay]]=7),P2310,P2310+1)</f>
        <v>1650</v>
      </c>
      <c r="R2311">
        <f>IF(OR(calendar[[#This Row],[SP_BH]]=1,calendar[[#This Row],[WeekDay]]=1, calendar[[#This Row],[WeekDay]]=7),P2310,P2310+1)</f>
        <v>1650</v>
      </c>
      <c r="S2311">
        <f>IF(OR(calendar[[#This Row],[PT_BH]]=1,calendar[[#This Row],[WeekDay]]=1, calendar[[#This Row],[WeekDay]]=7),P2310,P2310+1)</f>
        <v>1650</v>
      </c>
    </row>
    <row r="2312" spans="1:19" x14ac:dyDescent="0.25">
      <c r="A2312" s="2">
        <v>45046</v>
      </c>
      <c r="B2312" s="1">
        <f t="shared" si="183"/>
        <v>18</v>
      </c>
      <c r="C2312">
        <f t="shared" si="180"/>
        <v>4</v>
      </c>
      <c r="D2312" t="str">
        <f t="shared" si="181"/>
        <v>April</v>
      </c>
      <c r="E2312">
        <f t="shared" si="182"/>
        <v>2023</v>
      </c>
      <c r="F2312" t="str">
        <f>CONCATENATE(calendar[[#This Row],[Month]],"/",calendar[[#This Row],[Year]])</f>
        <v>4/2023</v>
      </c>
      <c r="G2312">
        <f>WEEKDAY(calendar[[#This Row],[Date]],1)</f>
        <v>1</v>
      </c>
      <c r="H2312" t="str">
        <f>TEXT(calendar[[#This Row],[WeekDay]],"dddd")</f>
        <v>Sunday</v>
      </c>
      <c r="I2312">
        <f>IF((INT(calendar[[#This Row],[Count]]/7)-calendar[[#This Row],[Count]]/7)&lt;0,I2311,I2311+1)</f>
        <v>331</v>
      </c>
      <c r="J2312">
        <f t="shared" si="184"/>
        <v>2310</v>
      </c>
      <c r="K2312">
        <f>IF(calendar[[#This Row],[Month]]&lt;4,1,IF(calendar[[#This Row],[Month]]&lt;7,2,IF(calendar[[#This Row],[Month]]&lt;10,3,4)))</f>
        <v>2</v>
      </c>
      <c r="L2312">
        <f>IFERROR(IF(VLOOKUP(calendar[[#This Row],[Date]],BH!A:A,1,)&lt;&gt;"",1,0),0)</f>
        <v>0</v>
      </c>
      <c r="M2312">
        <f>IFERROR(IF(VLOOKUP(calendar[[#This Row],[Date]],BH!C:C,1,)&lt;&gt;"",1,0),0)</f>
        <v>0</v>
      </c>
      <c r="N2312">
        <f>IFERROR(IF(VLOOKUP(calendar[[#This Row],[Date]],BH!E:E,1,)&lt;&gt;"",1,0),0)</f>
        <v>0</v>
      </c>
      <c r="O2312">
        <f>IFERROR(IF(VLOOKUP(calendar[[#This Row],[Date]],BH!G:G,1,)&lt;&gt;"",1,0),0)</f>
        <v>0</v>
      </c>
      <c r="P2312">
        <f>IF(OR(calendar[[#This Row],[UK_BH]]=1,calendar[[#This Row],[WeekDay]]=1, calendar[[#This Row],[WeekDay]]=7),P2311,P2311+1)</f>
        <v>1650</v>
      </c>
      <c r="Q2312">
        <f>IF(OR(calendar[[#This Row],[FR_BH]]=1,calendar[[#This Row],[WeekDay]]=1, calendar[[#This Row],[WeekDay]]=7),P2311,P2311+1)</f>
        <v>1650</v>
      </c>
      <c r="R2312">
        <f>IF(OR(calendar[[#This Row],[SP_BH]]=1,calendar[[#This Row],[WeekDay]]=1, calendar[[#This Row],[WeekDay]]=7),P2311,P2311+1)</f>
        <v>1650</v>
      </c>
      <c r="S2312">
        <f>IF(OR(calendar[[#This Row],[PT_BH]]=1,calendar[[#This Row],[WeekDay]]=1, calendar[[#This Row],[WeekDay]]=7),P2311,P2311+1)</f>
        <v>1650</v>
      </c>
    </row>
    <row r="2313" spans="1:19" x14ac:dyDescent="0.25">
      <c r="A2313" s="2">
        <v>45047</v>
      </c>
      <c r="B2313" s="1">
        <f t="shared" si="183"/>
        <v>18</v>
      </c>
      <c r="C2313">
        <f t="shared" si="180"/>
        <v>5</v>
      </c>
      <c r="D2313" t="str">
        <f t="shared" si="181"/>
        <v>May</v>
      </c>
      <c r="E2313">
        <f t="shared" si="182"/>
        <v>2023</v>
      </c>
      <c r="F2313" t="str">
        <f>CONCATENATE(calendar[[#This Row],[Month]],"/",calendar[[#This Row],[Year]])</f>
        <v>5/2023</v>
      </c>
      <c r="G2313">
        <f>WEEKDAY(calendar[[#This Row],[Date]],1)</f>
        <v>2</v>
      </c>
      <c r="H2313" t="str">
        <f>TEXT(calendar[[#This Row],[WeekDay]],"dddd")</f>
        <v>Monday</v>
      </c>
      <c r="I2313">
        <f>IF((INT(calendar[[#This Row],[Count]]/7)-calendar[[#This Row],[Count]]/7)&lt;0,I2312,I2312+1)</f>
        <v>331</v>
      </c>
      <c r="J2313">
        <f t="shared" si="184"/>
        <v>2311</v>
      </c>
      <c r="K2313">
        <f>IF(calendar[[#This Row],[Month]]&lt;4,1,IF(calendar[[#This Row],[Month]]&lt;7,2,IF(calendar[[#This Row],[Month]]&lt;10,3,4)))</f>
        <v>2</v>
      </c>
      <c r="L2313">
        <f>IFERROR(IF(VLOOKUP(calendar[[#This Row],[Date]],BH!A:A,1,)&lt;&gt;"",1,0),0)</f>
        <v>0</v>
      </c>
      <c r="M2313">
        <f>IFERROR(IF(VLOOKUP(calendar[[#This Row],[Date]],BH!C:C,1,)&lt;&gt;"",1,0),0)</f>
        <v>0</v>
      </c>
      <c r="N2313">
        <f>IFERROR(IF(VLOOKUP(calendar[[#This Row],[Date]],BH!E:E,1,)&lt;&gt;"",1,0),0)</f>
        <v>0</v>
      </c>
      <c r="O2313">
        <f>IFERROR(IF(VLOOKUP(calendar[[#This Row],[Date]],BH!G:G,1,)&lt;&gt;"",1,0),0)</f>
        <v>0</v>
      </c>
      <c r="P2313">
        <f>IF(OR(calendar[[#This Row],[UK_BH]]=1,calendar[[#This Row],[WeekDay]]=1, calendar[[#This Row],[WeekDay]]=7),P2312,P2312+1)</f>
        <v>1651</v>
      </c>
      <c r="Q2313">
        <f>IF(OR(calendar[[#This Row],[FR_BH]]=1,calendar[[#This Row],[WeekDay]]=1, calendar[[#This Row],[WeekDay]]=7),P2312,P2312+1)</f>
        <v>1651</v>
      </c>
      <c r="R2313">
        <f>IF(OR(calendar[[#This Row],[SP_BH]]=1,calendar[[#This Row],[WeekDay]]=1, calendar[[#This Row],[WeekDay]]=7),P2312,P2312+1)</f>
        <v>1651</v>
      </c>
      <c r="S2313">
        <f>IF(OR(calendar[[#This Row],[PT_BH]]=1,calendar[[#This Row],[WeekDay]]=1, calendar[[#This Row],[WeekDay]]=7),P2312,P2312+1)</f>
        <v>1651</v>
      </c>
    </row>
    <row r="2314" spans="1:19" x14ac:dyDescent="0.25">
      <c r="A2314" s="2">
        <v>45048</v>
      </c>
      <c r="B2314" s="1">
        <f t="shared" si="183"/>
        <v>18</v>
      </c>
      <c r="C2314">
        <f t="shared" si="180"/>
        <v>5</v>
      </c>
      <c r="D2314" t="str">
        <f t="shared" si="181"/>
        <v>May</v>
      </c>
      <c r="E2314">
        <f t="shared" si="182"/>
        <v>2023</v>
      </c>
      <c r="F2314" t="str">
        <f>CONCATENATE(calendar[[#This Row],[Month]],"/",calendar[[#This Row],[Year]])</f>
        <v>5/2023</v>
      </c>
      <c r="G2314">
        <f>WEEKDAY(calendar[[#This Row],[Date]],1)</f>
        <v>3</v>
      </c>
      <c r="H2314" t="str">
        <f>TEXT(calendar[[#This Row],[WeekDay]],"dddd")</f>
        <v>Tuesday</v>
      </c>
      <c r="I2314">
        <f>IF((INT(calendar[[#This Row],[Count]]/7)-calendar[[#This Row],[Count]]/7)&lt;0,I2313,I2313+1)</f>
        <v>331</v>
      </c>
      <c r="J2314">
        <f t="shared" si="184"/>
        <v>2312</v>
      </c>
      <c r="K2314">
        <f>IF(calendar[[#This Row],[Month]]&lt;4,1,IF(calendar[[#This Row],[Month]]&lt;7,2,IF(calendar[[#This Row],[Month]]&lt;10,3,4)))</f>
        <v>2</v>
      </c>
      <c r="L2314">
        <f>IFERROR(IF(VLOOKUP(calendar[[#This Row],[Date]],BH!A:A,1,)&lt;&gt;"",1,0),0)</f>
        <v>0</v>
      </c>
      <c r="M2314">
        <f>IFERROR(IF(VLOOKUP(calendar[[#This Row],[Date]],BH!C:C,1,)&lt;&gt;"",1,0),0)</f>
        <v>0</v>
      </c>
      <c r="N2314">
        <f>IFERROR(IF(VLOOKUP(calendar[[#This Row],[Date]],BH!E:E,1,)&lt;&gt;"",1,0),0)</f>
        <v>0</v>
      </c>
      <c r="O2314">
        <f>IFERROR(IF(VLOOKUP(calendar[[#This Row],[Date]],BH!G:G,1,)&lt;&gt;"",1,0),0)</f>
        <v>0</v>
      </c>
      <c r="P2314">
        <f>IF(OR(calendar[[#This Row],[UK_BH]]=1,calendar[[#This Row],[WeekDay]]=1, calendar[[#This Row],[WeekDay]]=7),P2313,P2313+1)</f>
        <v>1652</v>
      </c>
      <c r="Q2314">
        <f>IF(OR(calendar[[#This Row],[FR_BH]]=1,calendar[[#This Row],[WeekDay]]=1, calendar[[#This Row],[WeekDay]]=7),P2313,P2313+1)</f>
        <v>1652</v>
      </c>
      <c r="R2314">
        <f>IF(OR(calendar[[#This Row],[SP_BH]]=1,calendar[[#This Row],[WeekDay]]=1, calendar[[#This Row],[WeekDay]]=7),P2313,P2313+1)</f>
        <v>1652</v>
      </c>
      <c r="S2314">
        <f>IF(OR(calendar[[#This Row],[PT_BH]]=1,calendar[[#This Row],[WeekDay]]=1, calendar[[#This Row],[WeekDay]]=7),P2313,P2313+1)</f>
        <v>1652</v>
      </c>
    </row>
    <row r="2315" spans="1:19" x14ac:dyDescent="0.25">
      <c r="A2315" s="2">
        <v>45049</v>
      </c>
      <c r="B2315" s="1">
        <f t="shared" si="183"/>
        <v>18</v>
      </c>
      <c r="C2315">
        <f t="shared" si="180"/>
        <v>5</v>
      </c>
      <c r="D2315" t="str">
        <f t="shared" si="181"/>
        <v>May</v>
      </c>
      <c r="E2315">
        <f t="shared" si="182"/>
        <v>2023</v>
      </c>
      <c r="F2315" t="str">
        <f>CONCATENATE(calendar[[#This Row],[Month]],"/",calendar[[#This Row],[Year]])</f>
        <v>5/2023</v>
      </c>
      <c r="G2315">
        <f>WEEKDAY(calendar[[#This Row],[Date]],1)</f>
        <v>4</v>
      </c>
      <c r="H2315" t="str">
        <f>TEXT(calendar[[#This Row],[WeekDay]],"dddd")</f>
        <v>Wednesday</v>
      </c>
      <c r="I2315">
        <f>IF((INT(calendar[[#This Row],[Count]]/7)-calendar[[#This Row],[Count]]/7)&lt;0,I2314,I2314+1)</f>
        <v>331</v>
      </c>
      <c r="J2315">
        <f t="shared" si="184"/>
        <v>2313</v>
      </c>
      <c r="K2315">
        <f>IF(calendar[[#This Row],[Month]]&lt;4,1,IF(calendar[[#This Row],[Month]]&lt;7,2,IF(calendar[[#This Row],[Month]]&lt;10,3,4)))</f>
        <v>2</v>
      </c>
      <c r="L2315">
        <f>IFERROR(IF(VLOOKUP(calendar[[#This Row],[Date]],BH!A:A,1,)&lt;&gt;"",1,0),0)</f>
        <v>0</v>
      </c>
      <c r="M2315">
        <f>IFERROR(IF(VLOOKUP(calendar[[#This Row],[Date]],BH!C:C,1,)&lt;&gt;"",1,0),0)</f>
        <v>0</v>
      </c>
      <c r="N2315">
        <f>IFERROR(IF(VLOOKUP(calendar[[#This Row],[Date]],BH!E:E,1,)&lt;&gt;"",1,0),0)</f>
        <v>0</v>
      </c>
      <c r="O2315">
        <f>IFERROR(IF(VLOOKUP(calendar[[#This Row],[Date]],BH!G:G,1,)&lt;&gt;"",1,0),0)</f>
        <v>0</v>
      </c>
      <c r="P2315">
        <f>IF(OR(calendar[[#This Row],[UK_BH]]=1,calendar[[#This Row],[WeekDay]]=1, calendar[[#This Row],[WeekDay]]=7),P2314,P2314+1)</f>
        <v>1653</v>
      </c>
      <c r="Q2315">
        <f>IF(OR(calendar[[#This Row],[FR_BH]]=1,calendar[[#This Row],[WeekDay]]=1, calendar[[#This Row],[WeekDay]]=7),P2314,P2314+1)</f>
        <v>1653</v>
      </c>
      <c r="R2315">
        <f>IF(OR(calendar[[#This Row],[SP_BH]]=1,calendar[[#This Row],[WeekDay]]=1, calendar[[#This Row],[WeekDay]]=7),P2314,P2314+1)</f>
        <v>1653</v>
      </c>
      <c r="S2315">
        <f>IF(OR(calendar[[#This Row],[PT_BH]]=1,calendar[[#This Row],[WeekDay]]=1, calendar[[#This Row],[WeekDay]]=7),P2314,P2314+1)</f>
        <v>1653</v>
      </c>
    </row>
    <row r="2316" spans="1:19" x14ac:dyDescent="0.25">
      <c r="A2316" s="2">
        <v>45050</v>
      </c>
      <c r="B2316" s="1">
        <f t="shared" si="183"/>
        <v>18</v>
      </c>
      <c r="C2316">
        <f t="shared" si="180"/>
        <v>5</v>
      </c>
      <c r="D2316" t="str">
        <f t="shared" si="181"/>
        <v>May</v>
      </c>
      <c r="E2316">
        <f t="shared" si="182"/>
        <v>2023</v>
      </c>
      <c r="F2316" t="str">
        <f>CONCATENATE(calendar[[#This Row],[Month]],"/",calendar[[#This Row],[Year]])</f>
        <v>5/2023</v>
      </c>
      <c r="G2316">
        <f>WEEKDAY(calendar[[#This Row],[Date]],1)</f>
        <v>5</v>
      </c>
      <c r="H2316" t="str">
        <f>TEXT(calendar[[#This Row],[WeekDay]],"dddd")</f>
        <v>Thursday</v>
      </c>
      <c r="I2316">
        <f>IF((INT(calendar[[#This Row],[Count]]/7)-calendar[[#This Row],[Count]]/7)&lt;0,I2315,I2315+1)</f>
        <v>331</v>
      </c>
      <c r="J2316">
        <f t="shared" si="184"/>
        <v>2314</v>
      </c>
      <c r="K2316">
        <f>IF(calendar[[#This Row],[Month]]&lt;4,1,IF(calendar[[#This Row],[Month]]&lt;7,2,IF(calendar[[#This Row],[Month]]&lt;10,3,4)))</f>
        <v>2</v>
      </c>
      <c r="L2316">
        <f>IFERROR(IF(VLOOKUP(calendar[[#This Row],[Date]],BH!A:A,1,)&lt;&gt;"",1,0),0)</f>
        <v>0</v>
      </c>
      <c r="M2316">
        <f>IFERROR(IF(VLOOKUP(calendar[[#This Row],[Date]],BH!C:C,1,)&lt;&gt;"",1,0),0)</f>
        <v>0</v>
      </c>
      <c r="N2316">
        <f>IFERROR(IF(VLOOKUP(calendar[[#This Row],[Date]],BH!E:E,1,)&lt;&gt;"",1,0),0)</f>
        <v>0</v>
      </c>
      <c r="O2316">
        <f>IFERROR(IF(VLOOKUP(calendar[[#This Row],[Date]],BH!G:G,1,)&lt;&gt;"",1,0),0)</f>
        <v>0</v>
      </c>
      <c r="P2316">
        <f>IF(OR(calendar[[#This Row],[UK_BH]]=1,calendar[[#This Row],[WeekDay]]=1, calendar[[#This Row],[WeekDay]]=7),P2315,P2315+1)</f>
        <v>1654</v>
      </c>
      <c r="Q2316">
        <f>IF(OR(calendar[[#This Row],[FR_BH]]=1,calendar[[#This Row],[WeekDay]]=1, calendar[[#This Row],[WeekDay]]=7),P2315,P2315+1)</f>
        <v>1654</v>
      </c>
      <c r="R2316">
        <f>IF(OR(calendar[[#This Row],[SP_BH]]=1,calendar[[#This Row],[WeekDay]]=1, calendar[[#This Row],[WeekDay]]=7),P2315,P2315+1)</f>
        <v>1654</v>
      </c>
      <c r="S2316">
        <f>IF(OR(calendar[[#This Row],[PT_BH]]=1,calendar[[#This Row],[WeekDay]]=1, calendar[[#This Row],[WeekDay]]=7),P2315,P2315+1)</f>
        <v>1654</v>
      </c>
    </row>
    <row r="2317" spans="1:19" x14ac:dyDescent="0.25">
      <c r="A2317" s="2">
        <v>45051</v>
      </c>
      <c r="B2317" s="1">
        <f t="shared" si="183"/>
        <v>18</v>
      </c>
      <c r="C2317">
        <f t="shared" si="180"/>
        <v>5</v>
      </c>
      <c r="D2317" t="str">
        <f t="shared" si="181"/>
        <v>May</v>
      </c>
      <c r="E2317">
        <f t="shared" si="182"/>
        <v>2023</v>
      </c>
      <c r="F2317" t="str">
        <f>CONCATENATE(calendar[[#This Row],[Month]],"/",calendar[[#This Row],[Year]])</f>
        <v>5/2023</v>
      </c>
      <c r="G2317">
        <f>WEEKDAY(calendar[[#This Row],[Date]],1)</f>
        <v>6</v>
      </c>
      <c r="H2317" t="str">
        <f>TEXT(calendar[[#This Row],[WeekDay]],"dddd")</f>
        <v>Friday</v>
      </c>
      <c r="I2317">
        <f>IF((INT(calendar[[#This Row],[Count]]/7)-calendar[[#This Row],[Count]]/7)&lt;0,I2316,I2316+1)</f>
        <v>331</v>
      </c>
      <c r="J2317">
        <f t="shared" si="184"/>
        <v>2315</v>
      </c>
      <c r="K2317">
        <f>IF(calendar[[#This Row],[Month]]&lt;4,1,IF(calendar[[#This Row],[Month]]&lt;7,2,IF(calendar[[#This Row],[Month]]&lt;10,3,4)))</f>
        <v>2</v>
      </c>
      <c r="L2317">
        <f>IFERROR(IF(VLOOKUP(calendar[[#This Row],[Date]],BH!A:A,1,)&lt;&gt;"",1,0),0)</f>
        <v>0</v>
      </c>
      <c r="M2317">
        <f>IFERROR(IF(VLOOKUP(calendar[[#This Row],[Date]],BH!C:C,1,)&lt;&gt;"",1,0),0)</f>
        <v>0</v>
      </c>
      <c r="N2317">
        <f>IFERROR(IF(VLOOKUP(calendar[[#This Row],[Date]],BH!E:E,1,)&lt;&gt;"",1,0),0)</f>
        <v>0</v>
      </c>
      <c r="O2317">
        <f>IFERROR(IF(VLOOKUP(calendar[[#This Row],[Date]],BH!G:G,1,)&lt;&gt;"",1,0),0)</f>
        <v>0</v>
      </c>
      <c r="P2317">
        <f>IF(OR(calendar[[#This Row],[UK_BH]]=1,calendar[[#This Row],[WeekDay]]=1, calendar[[#This Row],[WeekDay]]=7),P2316,P2316+1)</f>
        <v>1655</v>
      </c>
      <c r="Q2317">
        <f>IF(OR(calendar[[#This Row],[FR_BH]]=1,calendar[[#This Row],[WeekDay]]=1, calendar[[#This Row],[WeekDay]]=7),P2316,P2316+1)</f>
        <v>1655</v>
      </c>
      <c r="R2317">
        <f>IF(OR(calendar[[#This Row],[SP_BH]]=1,calendar[[#This Row],[WeekDay]]=1, calendar[[#This Row],[WeekDay]]=7),P2316,P2316+1)</f>
        <v>1655</v>
      </c>
      <c r="S2317">
        <f>IF(OR(calendar[[#This Row],[PT_BH]]=1,calendar[[#This Row],[WeekDay]]=1, calendar[[#This Row],[WeekDay]]=7),P2316,P2316+1)</f>
        <v>1655</v>
      </c>
    </row>
    <row r="2318" spans="1:19" x14ac:dyDescent="0.25">
      <c r="A2318" s="2">
        <v>45052</v>
      </c>
      <c r="B2318" s="1">
        <f t="shared" si="183"/>
        <v>18</v>
      </c>
      <c r="C2318">
        <f t="shared" si="180"/>
        <v>5</v>
      </c>
      <c r="D2318" t="str">
        <f t="shared" si="181"/>
        <v>May</v>
      </c>
      <c r="E2318">
        <f t="shared" si="182"/>
        <v>2023</v>
      </c>
      <c r="F2318" t="str">
        <f>CONCATENATE(calendar[[#This Row],[Month]],"/",calendar[[#This Row],[Year]])</f>
        <v>5/2023</v>
      </c>
      <c r="G2318">
        <f>WEEKDAY(calendar[[#This Row],[Date]],1)</f>
        <v>7</v>
      </c>
      <c r="H2318" t="str">
        <f>TEXT(calendar[[#This Row],[WeekDay]],"dddd")</f>
        <v>Saturday</v>
      </c>
      <c r="I2318">
        <f>IF((INT(calendar[[#This Row],[Count]]/7)-calendar[[#This Row],[Count]]/7)&lt;0,I2317,I2317+1)</f>
        <v>331</v>
      </c>
      <c r="J2318">
        <f t="shared" si="184"/>
        <v>2316</v>
      </c>
      <c r="K2318">
        <f>IF(calendar[[#This Row],[Month]]&lt;4,1,IF(calendar[[#This Row],[Month]]&lt;7,2,IF(calendar[[#This Row],[Month]]&lt;10,3,4)))</f>
        <v>2</v>
      </c>
      <c r="L2318">
        <f>IFERROR(IF(VLOOKUP(calendar[[#This Row],[Date]],BH!A:A,1,)&lt;&gt;"",1,0),0)</f>
        <v>0</v>
      </c>
      <c r="M2318">
        <f>IFERROR(IF(VLOOKUP(calendar[[#This Row],[Date]],BH!C:C,1,)&lt;&gt;"",1,0),0)</f>
        <v>0</v>
      </c>
      <c r="N2318">
        <f>IFERROR(IF(VLOOKUP(calendar[[#This Row],[Date]],BH!E:E,1,)&lt;&gt;"",1,0),0)</f>
        <v>0</v>
      </c>
      <c r="O2318">
        <f>IFERROR(IF(VLOOKUP(calendar[[#This Row],[Date]],BH!G:G,1,)&lt;&gt;"",1,0),0)</f>
        <v>0</v>
      </c>
      <c r="P2318">
        <f>IF(OR(calendar[[#This Row],[UK_BH]]=1,calendar[[#This Row],[WeekDay]]=1, calendar[[#This Row],[WeekDay]]=7),P2317,P2317+1)</f>
        <v>1655</v>
      </c>
      <c r="Q2318">
        <f>IF(OR(calendar[[#This Row],[FR_BH]]=1,calendar[[#This Row],[WeekDay]]=1, calendar[[#This Row],[WeekDay]]=7),P2317,P2317+1)</f>
        <v>1655</v>
      </c>
      <c r="R2318">
        <f>IF(OR(calendar[[#This Row],[SP_BH]]=1,calendar[[#This Row],[WeekDay]]=1, calendar[[#This Row],[WeekDay]]=7),P2317,P2317+1)</f>
        <v>1655</v>
      </c>
      <c r="S2318">
        <f>IF(OR(calendar[[#This Row],[PT_BH]]=1,calendar[[#This Row],[WeekDay]]=1, calendar[[#This Row],[WeekDay]]=7),P2317,P2317+1)</f>
        <v>1655</v>
      </c>
    </row>
    <row r="2319" spans="1:19" x14ac:dyDescent="0.25">
      <c r="A2319" s="2">
        <v>45053</v>
      </c>
      <c r="B2319" s="1">
        <f t="shared" si="183"/>
        <v>19</v>
      </c>
      <c r="C2319">
        <f t="shared" si="180"/>
        <v>5</v>
      </c>
      <c r="D2319" t="str">
        <f t="shared" si="181"/>
        <v>May</v>
      </c>
      <c r="E2319">
        <f t="shared" si="182"/>
        <v>2023</v>
      </c>
      <c r="F2319" t="str">
        <f>CONCATENATE(calendar[[#This Row],[Month]],"/",calendar[[#This Row],[Year]])</f>
        <v>5/2023</v>
      </c>
      <c r="G2319">
        <f>WEEKDAY(calendar[[#This Row],[Date]],1)</f>
        <v>1</v>
      </c>
      <c r="H2319" t="str">
        <f>TEXT(calendar[[#This Row],[WeekDay]],"dddd")</f>
        <v>Sunday</v>
      </c>
      <c r="I2319">
        <f>IF((INT(calendar[[#This Row],[Count]]/7)-calendar[[#This Row],[Count]]/7)&lt;0,I2318,I2318+1)</f>
        <v>332</v>
      </c>
      <c r="J2319">
        <f t="shared" si="184"/>
        <v>2317</v>
      </c>
      <c r="K2319">
        <f>IF(calendar[[#This Row],[Month]]&lt;4,1,IF(calendar[[#This Row],[Month]]&lt;7,2,IF(calendar[[#This Row],[Month]]&lt;10,3,4)))</f>
        <v>2</v>
      </c>
      <c r="L2319">
        <f>IFERROR(IF(VLOOKUP(calendar[[#This Row],[Date]],BH!A:A,1,)&lt;&gt;"",1,0),0)</f>
        <v>0</v>
      </c>
      <c r="M2319">
        <f>IFERROR(IF(VLOOKUP(calendar[[#This Row],[Date]],BH!C:C,1,)&lt;&gt;"",1,0),0)</f>
        <v>0</v>
      </c>
      <c r="N2319">
        <f>IFERROR(IF(VLOOKUP(calendar[[#This Row],[Date]],BH!E:E,1,)&lt;&gt;"",1,0),0)</f>
        <v>0</v>
      </c>
      <c r="O2319">
        <f>IFERROR(IF(VLOOKUP(calendar[[#This Row],[Date]],BH!G:G,1,)&lt;&gt;"",1,0),0)</f>
        <v>0</v>
      </c>
      <c r="P2319">
        <f>IF(OR(calendar[[#This Row],[UK_BH]]=1,calendar[[#This Row],[WeekDay]]=1, calendar[[#This Row],[WeekDay]]=7),P2318,P2318+1)</f>
        <v>1655</v>
      </c>
      <c r="Q2319">
        <f>IF(OR(calendar[[#This Row],[FR_BH]]=1,calendar[[#This Row],[WeekDay]]=1, calendar[[#This Row],[WeekDay]]=7),P2318,P2318+1)</f>
        <v>1655</v>
      </c>
      <c r="R2319">
        <f>IF(OR(calendar[[#This Row],[SP_BH]]=1,calendar[[#This Row],[WeekDay]]=1, calendar[[#This Row],[WeekDay]]=7),P2318,P2318+1)</f>
        <v>1655</v>
      </c>
      <c r="S2319">
        <f>IF(OR(calendar[[#This Row],[PT_BH]]=1,calendar[[#This Row],[WeekDay]]=1, calendar[[#This Row],[WeekDay]]=7),P2318,P2318+1)</f>
        <v>1655</v>
      </c>
    </row>
    <row r="2320" spans="1:19" x14ac:dyDescent="0.25">
      <c r="A2320" s="2">
        <v>45054</v>
      </c>
      <c r="B2320" s="1">
        <f t="shared" si="183"/>
        <v>19</v>
      </c>
      <c r="C2320">
        <f t="shared" ref="C2320:C2383" si="185">MONTH(A2320)</f>
        <v>5</v>
      </c>
      <c r="D2320" t="str">
        <f t="shared" ref="D2320:D2383" si="186">TEXT(A2320,"mmmm")</f>
        <v>May</v>
      </c>
      <c r="E2320">
        <f t="shared" ref="E2320:E2383" si="187">YEAR(A2320)</f>
        <v>2023</v>
      </c>
      <c r="F2320" t="str">
        <f>CONCATENATE(calendar[[#This Row],[Month]],"/",calendar[[#This Row],[Year]])</f>
        <v>5/2023</v>
      </c>
      <c r="G2320">
        <f>WEEKDAY(calendar[[#This Row],[Date]],1)</f>
        <v>2</v>
      </c>
      <c r="H2320" t="str">
        <f>TEXT(calendar[[#This Row],[WeekDay]],"dddd")</f>
        <v>Monday</v>
      </c>
      <c r="I2320">
        <f>IF((INT(calendar[[#This Row],[Count]]/7)-calendar[[#This Row],[Count]]/7)&lt;0,I2319,I2319+1)</f>
        <v>332</v>
      </c>
      <c r="J2320">
        <f t="shared" si="184"/>
        <v>2318</v>
      </c>
      <c r="K2320">
        <f>IF(calendar[[#This Row],[Month]]&lt;4,1,IF(calendar[[#This Row],[Month]]&lt;7,2,IF(calendar[[#This Row],[Month]]&lt;10,3,4)))</f>
        <v>2</v>
      </c>
      <c r="L2320">
        <f>IFERROR(IF(VLOOKUP(calendar[[#This Row],[Date]],BH!A:A,1,)&lt;&gt;"",1,0),0)</f>
        <v>0</v>
      </c>
      <c r="M2320">
        <f>IFERROR(IF(VLOOKUP(calendar[[#This Row],[Date]],BH!C:C,1,)&lt;&gt;"",1,0),0)</f>
        <v>0</v>
      </c>
      <c r="N2320">
        <f>IFERROR(IF(VLOOKUP(calendar[[#This Row],[Date]],BH!E:E,1,)&lt;&gt;"",1,0),0)</f>
        <v>0</v>
      </c>
      <c r="O2320">
        <f>IFERROR(IF(VLOOKUP(calendar[[#This Row],[Date]],BH!G:G,1,)&lt;&gt;"",1,0),0)</f>
        <v>0</v>
      </c>
      <c r="P2320">
        <f>IF(OR(calendar[[#This Row],[UK_BH]]=1,calendar[[#This Row],[WeekDay]]=1, calendar[[#This Row],[WeekDay]]=7),P2319,P2319+1)</f>
        <v>1656</v>
      </c>
      <c r="Q2320">
        <f>IF(OR(calendar[[#This Row],[FR_BH]]=1,calendar[[#This Row],[WeekDay]]=1, calendar[[#This Row],[WeekDay]]=7),P2319,P2319+1)</f>
        <v>1656</v>
      </c>
      <c r="R2320">
        <f>IF(OR(calendar[[#This Row],[SP_BH]]=1,calendar[[#This Row],[WeekDay]]=1, calendar[[#This Row],[WeekDay]]=7),P2319,P2319+1)</f>
        <v>1656</v>
      </c>
      <c r="S2320">
        <f>IF(OR(calendar[[#This Row],[PT_BH]]=1,calendar[[#This Row],[WeekDay]]=1, calendar[[#This Row],[WeekDay]]=7),P2319,P2319+1)</f>
        <v>1656</v>
      </c>
    </row>
    <row r="2321" spans="1:19" x14ac:dyDescent="0.25">
      <c r="A2321" s="2">
        <v>45055</v>
      </c>
      <c r="B2321" s="1">
        <f t="shared" si="183"/>
        <v>19</v>
      </c>
      <c r="C2321">
        <f t="shared" si="185"/>
        <v>5</v>
      </c>
      <c r="D2321" t="str">
        <f t="shared" si="186"/>
        <v>May</v>
      </c>
      <c r="E2321">
        <f t="shared" si="187"/>
        <v>2023</v>
      </c>
      <c r="F2321" t="str">
        <f>CONCATENATE(calendar[[#This Row],[Month]],"/",calendar[[#This Row],[Year]])</f>
        <v>5/2023</v>
      </c>
      <c r="G2321">
        <f>WEEKDAY(calendar[[#This Row],[Date]],1)</f>
        <v>3</v>
      </c>
      <c r="H2321" t="str">
        <f>TEXT(calendar[[#This Row],[WeekDay]],"dddd")</f>
        <v>Tuesday</v>
      </c>
      <c r="I2321">
        <f>IF((INT(calendar[[#This Row],[Count]]/7)-calendar[[#This Row],[Count]]/7)&lt;0,I2320,I2320+1)</f>
        <v>332</v>
      </c>
      <c r="J2321">
        <f t="shared" si="184"/>
        <v>2319</v>
      </c>
      <c r="K2321">
        <f>IF(calendar[[#This Row],[Month]]&lt;4,1,IF(calendar[[#This Row],[Month]]&lt;7,2,IF(calendar[[#This Row],[Month]]&lt;10,3,4)))</f>
        <v>2</v>
      </c>
      <c r="L2321">
        <f>IFERROR(IF(VLOOKUP(calendar[[#This Row],[Date]],BH!A:A,1,)&lt;&gt;"",1,0),0)</f>
        <v>0</v>
      </c>
      <c r="M2321">
        <f>IFERROR(IF(VLOOKUP(calendar[[#This Row],[Date]],BH!C:C,1,)&lt;&gt;"",1,0),0)</f>
        <v>0</v>
      </c>
      <c r="N2321">
        <f>IFERROR(IF(VLOOKUP(calendar[[#This Row],[Date]],BH!E:E,1,)&lt;&gt;"",1,0),0)</f>
        <v>0</v>
      </c>
      <c r="O2321">
        <f>IFERROR(IF(VLOOKUP(calendar[[#This Row],[Date]],BH!G:G,1,)&lt;&gt;"",1,0),0)</f>
        <v>0</v>
      </c>
      <c r="P2321">
        <f>IF(OR(calendar[[#This Row],[UK_BH]]=1,calendar[[#This Row],[WeekDay]]=1, calendar[[#This Row],[WeekDay]]=7),P2320,P2320+1)</f>
        <v>1657</v>
      </c>
      <c r="Q2321">
        <f>IF(OR(calendar[[#This Row],[FR_BH]]=1,calendar[[#This Row],[WeekDay]]=1, calendar[[#This Row],[WeekDay]]=7),P2320,P2320+1)</f>
        <v>1657</v>
      </c>
      <c r="R2321">
        <f>IF(OR(calendar[[#This Row],[SP_BH]]=1,calendar[[#This Row],[WeekDay]]=1, calendar[[#This Row],[WeekDay]]=7),P2320,P2320+1)</f>
        <v>1657</v>
      </c>
      <c r="S2321">
        <f>IF(OR(calendar[[#This Row],[PT_BH]]=1,calendar[[#This Row],[WeekDay]]=1, calendar[[#This Row],[WeekDay]]=7),P2320,P2320+1)</f>
        <v>1657</v>
      </c>
    </row>
    <row r="2322" spans="1:19" x14ac:dyDescent="0.25">
      <c r="A2322" s="2">
        <v>45056</v>
      </c>
      <c r="B2322" s="1">
        <f t="shared" si="183"/>
        <v>19</v>
      </c>
      <c r="C2322">
        <f t="shared" si="185"/>
        <v>5</v>
      </c>
      <c r="D2322" t="str">
        <f t="shared" si="186"/>
        <v>May</v>
      </c>
      <c r="E2322">
        <f t="shared" si="187"/>
        <v>2023</v>
      </c>
      <c r="F2322" t="str">
        <f>CONCATENATE(calendar[[#This Row],[Month]],"/",calendar[[#This Row],[Year]])</f>
        <v>5/2023</v>
      </c>
      <c r="G2322">
        <f>WEEKDAY(calendar[[#This Row],[Date]],1)</f>
        <v>4</v>
      </c>
      <c r="H2322" t="str">
        <f>TEXT(calendar[[#This Row],[WeekDay]],"dddd")</f>
        <v>Wednesday</v>
      </c>
      <c r="I2322">
        <f>IF((INT(calendar[[#This Row],[Count]]/7)-calendar[[#This Row],[Count]]/7)&lt;0,I2321,I2321+1)</f>
        <v>332</v>
      </c>
      <c r="J2322">
        <f t="shared" si="184"/>
        <v>2320</v>
      </c>
      <c r="K2322">
        <f>IF(calendar[[#This Row],[Month]]&lt;4,1,IF(calendar[[#This Row],[Month]]&lt;7,2,IF(calendar[[#This Row],[Month]]&lt;10,3,4)))</f>
        <v>2</v>
      </c>
      <c r="L2322">
        <f>IFERROR(IF(VLOOKUP(calendar[[#This Row],[Date]],BH!A:A,1,)&lt;&gt;"",1,0),0)</f>
        <v>0</v>
      </c>
      <c r="M2322">
        <f>IFERROR(IF(VLOOKUP(calendar[[#This Row],[Date]],BH!C:C,1,)&lt;&gt;"",1,0),0)</f>
        <v>0</v>
      </c>
      <c r="N2322">
        <f>IFERROR(IF(VLOOKUP(calendar[[#This Row],[Date]],BH!E:E,1,)&lt;&gt;"",1,0),0)</f>
        <v>0</v>
      </c>
      <c r="O2322">
        <f>IFERROR(IF(VLOOKUP(calendar[[#This Row],[Date]],BH!G:G,1,)&lt;&gt;"",1,0),0)</f>
        <v>0</v>
      </c>
      <c r="P2322">
        <f>IF(OR(calendar[[#This Row],[UK_BH]]=1,calendar[[#This Row],[WeekDay]]=1, calendar[[#This Row],[WeekDay]]=7),P2321,P2321+1)</f>
        <v>1658</v>
      </c>
      <c r="Q2322">
        <f>IF(OR(calendar[[#This Row],[FR_BH]]=1,calendar[[#This Row],[WeekDay]]=1, calendar[[#This Row],[WeekDay]]=7),P2321,P2321+1)</f>
        <v>1658</v>
      </c>
      <c r="R2322">
        <f>IF(OR(calendar[[#This Row],[SP_BH]]=1,calendar[[#This Row],[WeekDay]]=1, calendar[[#This Row],[WeekDay]]=7),P2321,P2321+1)</f>
        <v>1658</v>
      </c>
      <c r="S2322">
        <f>IF(OR(calendar[[#This Row],[PT_BH]]=1,calendar[[#This Row],[WeekDay]]=1, calendar[[#This Row],[WeekDay]]=7),P2321,P2321+1)</f>
        <v>1658</v>
      </c>
    </row>
    <row r="2323" spans="1:19" x14ac:dyDescent="0.25">
      <c r="A2323" s="2">
        <v>45057</v>
      </c>
      <c r="B2323" s="1">
        <f t="shared" si="183"/>
        <v>19</v>
      </c>
      <c r="C2323">
        <f t="shared" si="185"/>
        <v>5</v>
      </c>
      <c r="D2323" t="str">
        <f t="shared" si="186"/>
        <v>May</v>
      </c>
      <c r="E2323">
        <f t="shared" si="187"/>
        <v>2023</v>
      </c>
      <c r="F2323" t="str">
        <f>CONCATENATE(calendar[[#This Row],[Month]],"/",calendar[[#This Row],[Year]])</f>
        <v>5/2023</v>
      </c>
      <c r="G2323">
        <f>WEEKDAY(calendar[[#This Row],[Date]],1)</f>
        <v>5</v>
      </c>
      <c r="H2323" t="str">
        <f>TEXT(calendar[[#This Row],[WeekDay]],"dddd")</f>
        <v>Thursday</v>
      </c>
      <c r="I2323">
        <f>IF((INT(calendar[[#This Row],[Count]]/7)-calendar[[#This Row],[Count]]/7)&lt;0,I2322,I2322+1)</f>
        <v>332</v>
      </c>
      <c r="J2323">
        <f t="shared" si="184"/>
        <v>2321</v>
      </c>
      <c r="K2323">
        <f>IF(calendar[[#This Row],[Month]]&lt;4,1,IF(calendar[[#This Row],[Month]]&lt;7,2,IF(calendar[[#This Row],[Month]]&lt;10,3,4)))</f>
        <v>2</v>
      </c>
      <c r="L2323">
        <f>IFERROR(IF(VLOOKUP(calendar[[#This Row],[Date]],BH!A:A,1,)&lt;&gt;"",1,0),0)</f>
        <v>0</v>
      </c>
      <c r="M2323">
        <f>IFERROR(IF(VLOOKUP(calendar[[#This Row],[Date]],BH!C:C,1,)&lt;&gt;"",1,0),0)</f>
        <v>0</v>
      </c>
      <c r="N2323">
        <f>IFERROR(IF(VLOOKUP(calendar[[#This Row],[Date]],BH!E:E,1,)&lt;&gt;"",1,0),0)</f>
        <v>0</v>
      </c>
      <c r="O2323">
        <f>IFERROR(IF(VLOOKUP(calendar[[#This Row],[Date]],BH!G:G,1,)&lt;&gt;"",1,0),0)</f>
        <v>0</v>
      </c>
      <c r="P2323">
        <f>IF(OR(calendar[[#This Row],[UK_BH]]=1,calendar[[#This Row],[WeekDay]]=1, calendar[[#This Row],[WeekDay]]=7),P2322,P2322+1)</f>
        <v>1659</v>
      </c>
      <c r="Q2323">
        <f>IF(OR(calendar[[#This Row],[FR_BH]]=1,calendar[[#This Row],[WeekDay]]=1, calendar[[#This Row],[WeekDay]]=7),P2322,P2322+1)</f>
        <v>1659</v>
      </c>
      <c r="R2323">
        <f>IF(OR(calendar[[#This Row],[SP_BH]]=1,calendar[[#This Row],[WeekDay]]=1, calendar[[#This Row],[WeekDay]]=7),P2322,P2322+1)</f>
        <v>1659</v>
      </c>
      <c r="S2323">
        <f>IF(OR(calendar[[#This Row],[PT_BH]]=1,calendar[[#This Row],[WeekDay]]=1, calendar[[#This Row],[WeekDay]]=7),P2322,P2322+1)</f>
        <v>1659</v>
      </c>
    </row>
    <row r="2324" spans="1:19" x14ac:dyDescent="0.25">
      <c r="A2324" s="2">
        <v>45058</v>
      </c>
      <c r="B2324" s="1">
        <f t="shared" si="183"/>
        <v>19</v>
      </c>
      <c r="C2324">
        <f t="shared" si="185"/>
        <v>5</v>
      </c>
      <c r="D2324" t="str">
        <f t="shared" si="186"/>
        <v>May</v>
      </c>
      <c r="E2324">
        <f t="shared" si="187"/>
        <v>2023</v>
      </c>
      <c r="F2324" t="str">
        <f>CONCATENATE(calendar[[#This Row],[Month]],"/",calendar[[#This Row],[Year]])</f>
        <v>5/2023</v>
      </c>
      <c r="G2324">
        <f>WEEKDAY(calendar[[#This Row],[Date]],1)</f>
        <v>6</v>
      </c>
      <c r="H2324" t="str">
        <f>TEXT(calendar[[#This Row],[WeekDay]],"dddd")</f>
        <v>Friday</v>
      </c>
      <c r="I2324">
        <f>IF((INT(calendar[[#This Row],[Count]]/7)-calendar[[#This Row],[Count]]/7)&lt;0,I2323,I2323+1)</f>
        <v>332</v>
      </c>
      <c r="J2324">
        <f t="shared" si="184"/>
        <v>2322</v>
      </c>
      <c r="K2324">
        <f>IF(calendar[[#This Row],[Month]]&lt;4,1,IF(calendar[[#This Row],[Month]]&lt;7,2,IF(calendar[[#This Row],[Month]]&lt;10,3,4)))</f>
        <v>2</v>
      </c>
      <c r="L2324">
        <f>IFERROR(IF(VLOOKUP(calendar[[#This Row],[Date]],BH!A:A,1,)&lt;&gt;"",1,0),0)</f>
        <v>0</v>
      </c>
      <c r="M2324">
        <f>IFERROR(IF(VLOOKUP(calendar[[#This Row],[Date]],BH!C:C,1,)&lt;&gt;"",1,0),0)</f>
        <v>0</v>
      </c>
      <c r="N2324">
        <f>IFERROR(IF(VLOOKUP(calendar[[#This Row],[Date]],BH!E:E,1,)&lt;&gt;"",1,0),0)</f>
        <v>0</v>
      </c>
      <c r="O2324">
        <f>IFERROR(IF(VLOOKUP(calendar[[#This Row],[Date]],BH!G:G,1,)&lt;&gt;"",1,0),0)</f>
        <v>0</v>
      </c>
      <c r="P2324">
        <f>IF(OR(calendar[[#This Row],[UK_BH]]=1,calendar[[#This Row],[WeekDay]]=1, calendar[[#This Row],[WeekDay]]=7),P2323,P2323+1)</f>
        <v>1660</v>
      </c>
      <c r="Q2324">
        <f>IF(OR(calendar[[#This Row],[FR_BH]]=1,calendar[[#This Row],[WeekDay]]=1, calendar[[#This Row],[WeekDay]]=7),P2323,P2323+1)</f>
        <v>1660</v>
      </c>
      <c r="R2324">
        <f>IF(OR(calendar[[#This Row],[SP_BH]]=1,calendar[[#This Row],[WeekDay]]=1, calendar[[#This Row],[WeekDay]]=7),P2323,P2323+1)</f>
        <v>1660</v>
      </c>
      <c r="S2324">
        <f>IF(OR(calendar[[#This Row],[PT_BH]]=1,calendar[[#This Row],[WeekDay]]=1, calendar[[#This Row],[WeekDay]]=7),P2323,P2323+1)</f>
        <v>1660</v>
      </c>
    </row>
    <row r="2325" spans="1:19" x14ac:dyDescent="0.25">
      <c r="A2325" s="2">
        <v>45059</v>
      </c>
      <c r="B2325" s="1">
        <f t="shared" si="183"/>
        <v>19</v>
      </c>
      <c r="C2325">
        <f t="shared" si="185"/>
        <v>5</v>
      </c>
      <c r="D2325" t="str">
        <f t="shared" si="186"/>
        <v>May</v>
      </c>
      <c r="E2325">
        <f t="shared" si="187"/>
        <v>2023</v>
      </c>
      <c r="F2325" t="str">
        <f>CONCATENATE(calendar[[#This Row],[Month]],"/",calendar[[#This Row],[Year]])</f>
        <v>5/2023</v>
      </c>
      <c r="G2325">
        <f>WEEKDAY(calendar[[#This Row],[Date]],1)</f>
        <v>7</v>
      </c>
      <c r="H2325" t="str">
        <f>TEXT(calendar[[#This Row],[WeekDay]],"dddd")</f>
        <v>Saturday</v>
      </c>
      <c r="I2325">
        <f>IF((INT(calendar[[#This Row],[Count]]/7)-calendar[[#This Row],[Count]]/7)&lt;0,I2324,I2324+1)</f>
        <v>332</v>
      </c>
      <c r="J2325">
        <f t="shared" si="184"/>
        <v>2323</v>
      </c>
      <c r="K2325">
        <f>IF(calendar[[#This Row],[Month]]&lt;4,1,IF(calendar[[#This Row],[Month]]&lt;7,2,IF(calendar[[#This Row],[Month]]&lt;10,3,4)))</f>
        <v>2</v>
      </c>
      <c r="L2325">
        <f>IFERROR(IF(VLOOKUP(calendar[[#This Row],[Date]],BH!A:A,1,)&lt;&gt;"",1,0),0)</f>
        <v>0</v>
      </c>
      <c r="M2325">
        <f>IFERROR(IF(VLOOKUP(calendar[[#This Row],[Date]],BH!C:C,1,)&lt;&gt;"",1,0),0)</f>
        <v>0</v>
      </c>
      <c r="N2325">
        <f>IFERROR(IF(VLOOKUP(calendar[[#This Row],[Date]],BH!E:E,1,)&lt;&gt;"",1,0),0)</f>
        <v>0</v>
      </c>
      <c r="O2325">
        <f>IFERROR(IF(VLOOKUP(calendar[[#This Row],[Date]],BH!G:G,1,)&lt;&gt;"",1,0),0)</f>
        <v>0</v>
      </c>
      <c r="P2325">
        <f>IF(OR(calendar[[#This Row],[UK_BH]]=1,calendar[[#This Row],[WeekDay]]=1, calendar[[#This Row],[WeekDay]]=7),P2324,P2324+1)</f>
        <v>1660</v>
      </c>
      <c r="Q2325">
        <f>IF(OR(calendar[[#This Row],[FR_BH]]=1,calendar[[#This Row],[WeekDay]]=1, calendar[[#This Row],[WeekDay]]=7),P2324,P2324+1)</f>
        <v>1660</v>
      </c>
      <c r="R2325">
        <f>IF(OR(calendar[[#This Row],[SP_BH]]=1,calendar[[#This Row],[WeekDay]]=1, calendar[[#This Row],[WeekDay]]=7),P2324,P2324+1)</f>
        <v>1660</v>
      </c>
      <c r="S2325">
        <f>IF(OR(calendar[[#This Row],[PT_BH]]=1,calendar[[#This Row],[WeekDay]]=1, calendar[[#This Row],[WeekDay]]=7),P2324,P2324+1)</f>
        <v>1660</v>
      </c>
    </row>
    <row r="2326" spans="1:19" x14ac:dyDescent="0.25">
      <c r="A2326" s="2">
        <v>45060</v>
      </c>
      <c r="B2326" s="1">
        <f t="shared" si="183"/>
        <v>20</v>
      </c>
      <c r="C2326">
        <f t="shared" si="185"/>
        <v>5</v>
      </c>
      <c r="D2326" t="str">
        <f t="shared" si="186"/>
        <v>May</v>
      </c>
      <c r="E2326">
        <f t="shared" si="187"/>
        <v>2023</v>
      </c>
      <c r="F2326" t="str">
        <f>CONCATENATE(calendar[[#This Row],[Month]],"/",calendar[[#This Row],[Year]])</f>
        <v>5/2023</v>
      </c>
      <c r="G2326">
        <f>WEEKDAY(calendar[[#This Row],[Date]],1)</f>
        <v>1</v>
      </c>
      <c r="H2326" t="str">
        <f>TEXT(calendar[[#This Row],[WeekDay]],"dddd")</f>
        <v>Sunday</v>
      </c>
      <c r="I2326">
        <f>IF((INT(calendar[[#This Row],[Count]]/7)-calendar[[#This Row],[Count]]/7)&lt;0,I2325,I2325+1)</f>
        <v>333</v>
      </c>
      <c r="J2326">
        <f t="shared" si="184"/>
        <v>2324</v>
      </c>
      <c r="K2326">
        <f>IF(calendar[[#This Row],[Month]]&lt;4,1,IF(calendar[[#This Row],[Month]]&lt;7,2,IF(calendar[[#This Row],[Month]]&lt;10,3,4)))</f>
        <v>2</v>
      </c>
      <c r="L2326">
        <f>IFERROR(IF(VLOOKUP(calendar[[#This Row],[Date]],BH!A:A,1,)&lt;&gt;"",1,0),0)</f>
        <v>0</v>
      </c>
      <c r="M2326">
        <f>IFERROR(IF(VLOOKUP(calendar[[#This Row],[Date]],BH!C:C,1,)&lt;&gt;"",1,0),0)</f>
        <v>0</v>
      </c>
      <c r="N2326">
        <f>IFERROR(IF(VLOOKUP(calendar[[#This Row],[Date]],BH!E:E,1,)&lt;&gt;"",1,0),0)</f>
        <v>0</v>
      </c>
      <c r="O2326">
        <f>IFERROR(IF(VLOOKUP(calendar[[#This Row],[Date]],BH!G:G,1,)&lt;&gt;"",1,0),0)</f>
        <v>0</v>
      </c>
      <c r="P2326">
        <f>IF(OR(calendar[[#This Row],[UK_BH]]=1,calendar[[#This Row],[WeekDay]]=1, calendar[[#This Row],[WeekDay]]=7),P2325,P2325+1)</f>
        <v>1660</v>
      </c>
      <c r="Q2326">
        <f>IF(OR(calendar[[#This Row],[FR_BH]]=1,calendar[[#This Row],[WeekDay]]=1, calendar[[#This Row],[WeekDay]]=7),P2325,P2325+1)</f>
        <v>1660</v>
      </c>
      <c r="R2326">
        <f>IF(OR(calendar[[#This Row],[SP_BH]]=1,calendar[[#This Row],[WeekDay]]=1, calendar[[#This Row],[WeekDay]]=7),P2325,P2325+1)</f>
        <v>1660</v>
      </c>
      <c r="S2326">
        <f>IF(OR(calendar[[#This Row],[PT_BH]]=1,calendar[[#This Row],[WeekDay]]=1, calendar[[#This Row],[WeekDay]]=7),P2325,P2325+1)</f>
        <v>1660</v>
      </c>
    </row>
    <row r="2327" spans="1:19" x14ac:dyDescent="0.25">
      <c r="A2327" s="2">
        <v>45061</v>
      </c>
      <c r="B2327" s="1">
        <f t="shared" si="183"/>
        <v>20</v>
      </c>
      <c r="C2327">
        <f t="shared" si="185"/>
        <v>5</v>
      </c>
      <c r="D2327" t="str">
        <f t="shared" si="186"/>
        <v>May</v>
      </c>
      <c r="E2327">
        <f t="shared" si="187"/>
        <v>2023</v>
      </c>
      <c r="F2327" t="str">
        <f>CONCATENATE(calendar[[#This Row],[Month]],"/",calendar[[#This Row],[Year]])</f>
        <v>5/2023</v>
      </c>
      <c r="G2327">
        <f>WEEKDAY(calendar[[#This Row],[Date]],1)</f>
        <v>2</v>
      </c>
      <c r="H2327" t="str">
        <f>TEXT(calendar[[#This Row],[WeekDay]],"dddd")</f>
        <v>Monday</v>
      </c>
      <c r="I2327">
        <f>IF((INT(calendar[[#This Row],[Count]]/7)-calendar[[#This Row],[Count]]/7)&lt;0,I2326,I2326+1)</f>
        <v>333</v>
      </c>
      <c r="J2327">
        <f t="shared" si="184"/>
        <v>2325</v>
      </c>
      <c r="K2327">
        <f>IF(calendar[[#This Row],[Month]]&lt;4,1,IF(calendar[[#This Row],[Month]]&lt;7,2,IF(calendar[[#This Row],[Month]]&lt;10,3,4)))</f>
        <v>2</v>
      </c>
      <c r="L2327">
        <f>IFERROR(IF(VLOOKUP(calendar[[#This Row],[Date]],BH!A:A,1,)&lt;&gt;"",1,0),0)</f>
        <v>0</v>
      </c>
      <c r="M2327">
        <f>IFERROR(IF(VLOOKUP(calendar[[#This Row],[Date]],BH!C:C,1,)&lt;&gt;"",1,0),0)</f>
        <v>0</v>
      </c>
      <c r="N2327">
        <f>IFERROR(IF(VLOOKUP(calendar[[#This Row],[Date]],BH!E:E,1,)&lt;&gt;"",1,0),0)</f>
        <v>0</v>
      </c>
      <c r="O2327">
        <f>IFERROR(IF(VLOOKUP(calendar[[#This Row],[Date]],BH!G:G,1,)&lt;&gt;"",1,0),0)</f>
        <v>0</v>
      </c>
      <c r="P2327">
        <f>IF(OR(calendar[[#This Row],[UK_BH]]=1,calendar[[#This Row],[WeekDay]]=1, calendar[[#This Row],[WeekDay]]=7),P2326,P2326+1)</f>
        <v>1661</v>
      </c>
      <c r="Q2327">
        <f>IF(OR(calendar[[#This Row],[FR_BH]]=1,calendar[[#This Row],[WeekDay]]=1, calendar[[#This Row],[WeekDay]]=7),P2326,P2326+1)</f>
        <v>1661</v>
      </c>
      <c r="R2327">
        <f>IF(OR(calendar[[#This Row],[SP_BH]]=1,calendar[[#This Row],[WeekDay]]=1, calendar[[#This Row],[WeekDay]]=7),P2326,P2326+1)</f>
        <v>1661</v>
      </c>
      <c r="S2327">
        <f>IF(OR(calendar[[#This Row],[PT_BH]]=1,calendar[[#This Row],[WeekDay]]=1, calendar[[#This Row],[WeekDay]]=7),P2326,P2326+1)</f>
        <v>1661</v>
      </c>
    </row>
    <row r="2328" spans="1:19" x14ac:dyDescent="0.25">
      <c r="A2328" s="2">
        <v>45062</v>
      </c>
      <c r="B2328" s="1">
        <f t="shared" si="183"/>
        <v>20</v>
      </c>
      <c r="C2328">
        <f t="shared" si="185"/>
        <v>5</v>
      </c>
      <c r="D2328" t="str">
        <f t="shared" si="186"/>
        <v>May</v>
      </c>
      <c r="E2328">
        <f t="shared" si="187"/>
        <v>2023</v>
      </c>
      <c r="F2328" t="str">
        <f>CONCATENATE(calendar[[#This Row],[Month]],"/",calendar[[#This Row],[Year]])</f>
        <v>5/2023</v>
      </c>
      <c r="G2328">
        <f>WEEKDAY(calendar[[#This Row],[Date]],1)</f>
        <v>3</v>
      </c>
      <c r="H2328" t="str">
        <f>TEXT(calendar[[#This Row],[WeekDay]],"dddd")</f>
        <v>Tuesday</v>
      </c>
      <c r="I2328">
        <f>IF((INT(calendar[[#This Row],[Count]]/7)-calendar[[#This Row],[Count]]/7)&lt;0,I2327,I2327+1)</f>
        <v>333</v>
      </c>
      <c r="J2328">
        <f t="shared" si="184"/>
        <v>2326</v>
      </c>
      <c r="K2328">
        <f>IF(calendar[[#This Row],[Month]]&lt;4,1,IF(calendar[[#This Row],[Month]]&lt;7,2,IF(calendar[[#This Row],[Month]]&lt;10,3,4)))</f>
        <v>2</v>
      </c>
      <c r="L2328">
        <f>IFERROR(IF(VLOOKUP(calendar[[#This Row],[Date]],BH!A:A,1,)&lt;&gt;"",1,0),0)</f>
        <v>0</v>
      </c>
      <c r="M2328">
        <f>IFERROR(IF(VLOOKUP(calendar[[#This Row],[Date]],BH!C:C,1,)&lt;&gt;"",1,0),0)</f>
        <v>0</v>
      </c>
      <c r="N2328">
        <f>IFERROR(IF(VLOOKUP(calendar[[#This Row],[Date]],BH!E:E,1,)&lt;&gt;"",1,0),0)</f>
        <v>0</v>
      </c>
      <c r="O2328">
        <f>IFERROR(IF(VLOOKUP(calendar[[#This Row],[Date]],BH!G:G,1,)&lt;&gt;"",1,0),0)</f>
        <v>0</v>
      </c>
      <c r="P2328">
        <f>IF(OR(calendar[[#This Row],[UK_BH]]=1,calendar[[#This Row],[WeekDay]]=1, calendar[[#This Row],[WeekDay]]=7),P2327,P2327+1)</f>
        <v>1662</v>
      </c>
      <c r="Q2328">
        <f>IF(OR(calendar[[#This Row],[FR_BH]]=1,calendar[[#This Row],[WeekDay]]=1, calendar[[#This Row],[WeekDay]]=7),P2327,P2327+1)</f>
        <v>1662</v>
      </c>
      <c r="R2328">
        <f>IF(OR(calendar[[#This Row],[SP_BH]]=1,calendar[[#This Row],[WeekDay]]=1, calendar[[#This Row],[WeekDay]]=7),P2327,P2327+1)</f>
        <v>1662</v>
      </c>
      <c r="S2328">
        <f>IF(OR(calendar[[#This Row],[PT_BH]]=1,calendar[[#This Row],[WeekDay]]=1, calendar[[#This Row],[WeekDay]]=7),P2327,P2327+1)</f>
        <v>1662</v>
      </c>
    </row>
    <row r="2329" spans="1:19" x14ac:dyDescent="0.25">
      <c r="A2329" s="2">
        <v>45063</v>
      </c>
      <c r="B2329" s="1">
        <f t="shared" si="183"/>
        <v>20</v>
      </c>
      <c r="C2329">
        <f t="shared" si="185"/>
        <v>5</v>
      </c>
      <c r="D2329" t="str">
        <f t="shared" si="186"/>
        <v>May</v>
      </c>
      <c r="E2329">
        <f t="shared" si="187"/>
        <v>2023</v>
      </c>
      <c r="F2329" t="str">
        <f>CONCATENATE(calendar[[#This Row],[Month]],"/",calendar[[#This Row],[Year]])</f>
        <v>5/2023</v>
      </c>
      <c r="G2329">
        <f>WEEKDAY(calendar[[#This Row],[Date]],1)</f>
        <v>4</v>
      </c>
      <c r="H2329" t="str">
        <f>TEXT(calendar[[#This Row],[WeekDay]],"dddd")</f>
        <v>Wednesday</v>
      </c>
      <c r="I2329">
        <f>IF((INT(calendar[[#This Row],[Count]]/7)-calendar[[#This Row],[Count]]/7)&lt;0,I2328,I2328+1)</f>
        <v>333</v>
      </c>
      <c r="J2329">
        <f t="shared" si="184"/>
        <v>2327</v>
      </c>
      <c r="K2329">
        <f>IF(calendar[[#This Row],[Month]]&lt;4,1,IF(calendar[[#This Row],[Month]]&lt;7,2,IF(calendar[[#This Row],[Month]]&lt;10,3,4)))</f>
        <v>2</v>
      </c>
      <c r="L2329">
        <f>IFERROR(IF(VLOOKUP(calendar[[#This Row],[Date]],BH!A:A,1,)&lt;&gt;"",1,0),0)</f>
        <v>0</v>
      </c>
      <c r="M2329">
        <f>IFERROR(IF(VLOOKUP(calendar[[#This Row],[Date]],BH!C:C,1,)&lt;&gt;"",1,0),0)</f>
        <v>0</v>
      </c>
      <c r="N2329">
        <f>IFERROR(IF(VLOOKUP(calendar[[#This Row],[Date]],BH!E:E,1,)&lt;&gt;"",1,0),0)</f>
        <v>0</v>
      </c>
      <c r="O2329">
        <f>IFERROR(IF(VLOOKUP(calendar[[#This Row],[Date]],BH!G:G,1,)&lt;&gt;"",1,0),0)</f>
        <v>0</v>
      </c>
      <c r="P2329">
        <f>IF(OR(calendar[[#This Row],[UK_BH]]=1,calendar[[#This Row],[WeekDay]]=1, calendar[[#This Row],[WeekDay]]=7),P2328,P2328+1)</f>
        <v>1663</v>
      </c>
      <c r="Q2329">
        <f>IF(OR(calendar[[#This Row],[FR_BH]]=1,calendar[[#This Row],[WeekDay]]=1, calendar[[#This Row],[WeekDay]]=7),P2328,P2328+1)</f>
        <v>1663</v>
      </c>
      <c r="R2329">
        <f>IF(OR(calendar[[#This Row],[SP_BH]]=1,calendar[[#This Row],[WeekDay]]=1, calendar[[#This Row],[WeekDay]]=7),P2328,P2328+1)</f>
        <v>1663</v>
      </c>
      <c r="S2329">
        <f>IF(OR(calendar[[#This Row],[PT_BH]]=1,calendar[[#This Row],[WeekDay]]=1, calendar[[#This Row],[WeekDay]]=7),P2328,P2328+1)</f>
        <v>1663</v>
      </c>
    </row>
    <row r="2330" spans="1:19" x14ac:dyDescent="0.25">
      <c r="A2330" s="2">
        <v>45064</v>
      </c>
      <c r="B2330" s="1">
        <f t="shared" si="183"/>
        <v>20</v>
      </c>
      <c r="C2330">
        <f t="shared" si="185"/>
        <v>5</v>
      </c>
      <c r="D2330" t="str">
        <f t="shared" si="186"/>
        <v>May</v>
      </c>
      <c r="E2330">
        <f t="shared" si="187"/>
        <v>2023</v>
      </c>
      <c r="F2330" t="str">
        <f>CONCATENATE(calendar[[#This Row],[Month]],"/",calendar[[#This Row],[Year]])</f>
        <v>5/2023</v>
      </c>
      <c r="G2330">
        <f>WEEKDAY(calendar[[#This Row],[Date]],1)</f>
        <v>5</v>
      </c>
      <c r="H2330" t="str">
        <f>TEXT(calendar[[#This Row],[WeekDay]],"dddd")</f>
        <v>Thursday</v>
      </c>
      <c r="I2330">
        <f>IF((INT(calendar[[#This Row],[Count]]/7)-calendar[[#This Row],[Count]]/7)&lt;0,I2329,I2329+1)</f>
        <v>333</v>
      </c>
      <c r="J2330">
        <f t="shared" si="184"/>
        <v>2328</v>
      </c>
      <c r="K2330">
        <f>IF(calendar[[#This Row],[Month]]&lt;4,1,IF(calendar[[#This Row],[Month]]&lt;7,2,IF(calendar[[#This Row],[Month]]&lt;10,3,4)))</f>
        <v>2</v>
      </c>
      <c r="L2330">
        <f>IFERROR(IF(VLOOKUP(calendar[[#This Row],[Date]],BH!A:A,1,)&lt;&gt;"",1,0),0)</f>
        <v>0</v>
      </c>
      <c r="M2330">
        <f>IFERROR(IF(VLOOKUP(calendar[[#This Row],[Date]],BH!C:C,1,)&lt;&gt;"",1,0),0)</f>
        <v>0</v>
      </c>
      <c r="N2330">
        <f>IFERROR(IF(VLOOKUP(calendar[[#This Row],[Date]],BH!E:E,1,)&lt;&gt;"",1,0),0)</f>
        <v>0</v>
      </c>
      <c r="O2330">
        <f>IFERROR(IF(VLOOKUP(calendar[[#This Row],[Date]],BH!G:G,1,)&lt;&gt;"",1,0),0)</f>
        <v>0</v>
      </c>
      <c r="P2330">
        <f>IF(OR(calendar[[#This Row],[UK_BH]]=1,calendar[[#This Row],[WeekDay]]=1, calendar[[#This Row],[WeekDay]]=7),P2329,P2329+1)</f>
        <v>1664</v>
      </c>
      <c r="Q2330">
        <f>IF(OR(calendar[[#This Row],[FR_BH]]=1,calendar[[#This Row],[WeekDay]]=1, calendar[[#This Row],[WeekDay]]=7),P2329,P2329+1)</f>
        <v>1664</v>
      </c>
      <c r="R2330">
        <f>IF(OR(calendar[[#This Row],[SP_BH]]=1,calendar[[#This Row],[WeekDay]]=1, calendar[[#This Row],[WeekDay]]=7),P2329,P2329+1)</f>
        <v>1664</v>
      </c>
      <c r="S2330">
        <f>IF(OR(calendar[[#This Row],[PT_BH]]=1,calendar[[#This Row],[WeekDay]]=1, calendar[[#This Row],[WeekDay]]=7),P2329,P2329+1)</f>
        <v>1664</v>
      </c>
    </row>
    <row r="2331" spans="1:19" x14ac:dyDescent="0.25">
      <c r="A2331" s="2">
        <v>45065</v>
      </c>
      <c r="B2331" s="1">
        <f t="shared" si="183"/>
        <v>20</v>
      </c>
      <c r="C2331">
        <f t="shared" si="185"/>
        <v>5</v>
      </c>
      <c r="D2331" t="str">
        <f t="shared" si="186"/>
        <v>May</v>
      </c>
      <c r="E2331">
        <f t="shared" si="187"/>
        <v>2023</v>
      </c>
      <c r="F2331" t="str">
        <f>CONCATENATE(calendar[[#This Row],[Month]],"/",calendar[[#This Row],[Year]])</f>
        <v>5/2023</v>
      </c>
      <c r="G2331">
        <f>WEEKDAY(calendar[[#This Row],[Date]],1)</f>
        <v>6</v>
      </c>
      <c r="H2331" t="str">
        <f>TEXT(calendar[[#This Row],[WeekDay]],"dddd")</f>
        <v>Friday</v>
      </c>
      <c r="I2331">
        <f>IF((INT(calendar[[#This Row],[Count]]/7)-calendar[[#This Row],[Count]]/7)&lt;0,I2330,I2330+1)</f>
        <v>333</v>
      </c>
      <c r="J2331">
        <f t="shared" si="184"/>
        <v>2329</v>
      </c>
      <c r="K2331">
        <f>IF(calendar[[#This Row],[Month]]&lt;4,1,IF(calendar[[#This Row],[Month]]&lt;7,2,IF(calendar[[#This Row],[Month]]&lt;10,3,4)))</f>
        <v>2</v>
      </c>
      <c r="L2331">
        <f>IFERROR(IF(VLOOKUP(calendar[[#This Row],[Date]],BH!A:A,1,)&lt;&gt;"",1,0),0)</f>
        <v>0</v>
      </c>
      <c r="M2331">
        <f>IFERROR(IF(VLOOKUP(calendar[[#This Row],[Date]],BH!C:C,1,)&lt;&gt;"",1,0),0)</f>
        <v>0</v>
      </c>
      <c r="N2331">
        <f>IFERROR(IF(VLOOKUP(calendar[[#This Row],[Date]],BH!E:E,1,)&lt;&gt;"",1,0),0)</f>
        <v>0</v>
      </c>
      <c r="O2331">
        <f>IFERROR(IF(VLOOKUP(calendar[[#This Row],[Date]],BH!G:G,1,)&lt;&gt;"",1,0),0)</f>
        <v>0</v>
      </c>
      <c r="P2331">
        <f>IF(OR(calendar[[#This Row],[UK_BH]]=1,calendar[[#This Row],[WeekDay]]=1, calendar[[#This Row],[WeekDay]]=7),P2330,P2330+1)</f>
        <v>1665</v>
      </c>
      <c r="Q2331">
        <f>IF(OR(calendar[[#This Row],[FR_BH]]=1,calendar[[#This Row],[WeekDay]]=1, calendar[[#This Row],[WeekDay]]=7),P2330,P2330+1)</f>
        <v>1665</v>
      </c>
      <c r="R2331">
        <f>IF(OR(calendar[[#This Row],[SP_BH]]=1,calendar[[#This Row],[WeekDay]]=1, calendar[[#This Row],[WeekDay]]=7),P2330,P2330+1)</f>
        <v>1665</v>
      </c>
      <c r="S2331">
        <f>IF(OR(calendar[[#This Row],[PT_BH]]=1,calendar[[#This Row],[WeekDay]]=1, calendar[[#This Row],[WeekDay]]=7),P2330,P2330+1)</f>
        <v>1665</v>
      </c>
    </row>
    <row r="2332" spans="1:19" x14ac:dyDescent="0.25">
      <c r="A2332" s="2">
        <v>45066</v>
      </c>
      <c r="B2332" s="1">
        <f t="shared" si="183"/>
        <v>20</v>
      </c>
      <c r="C2332">
        <f t="shared" si="185"/>
        <v>5</v>
      </c>
      <c r="D2332" t="str">
        <f t="shared" si="186"/>
        <v>May</v>
      </c>
      <c r="E2332">
        <f t="shared" si="187"/>
        <v>2023</v>
      </c>
      <c r="F2332" t="str">
        <f>CONCATENATE(calendar[[#This Row],[Month]],"/",calendar[[#This Row],[Year]])</f>
        <v>5/2023</v>
      </c>
      <c r="G2332">
        <f>WEEKDAY(calendar[[#This Row],[Date]],1)</f>
        <v>7</v>
      </c>
      <c r="H2332" t="str">
        <f>TEXT(calendar[[#This Row],[WeekDay]],"dddd")</f>
        <v>Saturday</v>
      </c>
      <c r="I2332">
        <f>IF((INT(calendar[[#This Row],[Count]]/7)-calendar[[#This Row],[Count]]/7)&lt;0,I2331,I2331+1)</f>
        <v>333</v>
      </c>
      <c r="J2332">
        <f t="shared" si="184"/>
        <v>2330</v>
      </c>
      <c r="K2332">
        <f>IF(calendar[[#This Row],[Month]]&lt;4,1,IF(calendar[[#This Row],[Month]]&lt;7,2,IF(calendar[[#This Row],[Month]]&lt;10,3,4)))</f>
        <v>2</v>
      </c>
      <c r="L2332">
        <f>IFERROR(IF(VLOOKUP(calendar[[#This Row],[Date]],BH!A:A,1,)&lt;&gt;"",1,0),0)</f>
        <v>0</v>
      </c>
      <c r="M2332">
        <f>IFERROR(IF(VLOOKUP(calendar[[#This Row],[Date]],BH!C:C,1,)&lt;&gt;"",1,0),0)</f>
        <v>0</v>
      </c>
      <c r="N2332">
        <f>IFERROR(IF(VLOOKUP(calendar[[#This Row],[Date]],BH!E:E,1,)&lt;&gt;"",1,0),0)</f>
        <v>0</v>
      </c>
      <c r="O2332">
        <f>IFERROR(IF(VLOOKUP(calendar[[#This Row],[Date]],BH!G:G,1,)&lt;&gt;"",1,0),0)</f>
        <v>0</v>
      </c>
      <c r="P2332">
        <f>IF(OR(calendar[[#This Row],[UK_BH]]=1,calendar[[#This Row],[WeekDay]]=1, calendar[[#This Row],[WeekDay]]=7),P2331,P2331+1)</f>
        <v>1665</v>
      </c>
      <c r="Q2332">
        <f>IF(OR(calendar[[#This Row],[FR_BH]]=1,calendar[[#This Row],[WeekDay]]=1, calendar[[#This Row],[WeekDay]]=7),P2331,P2331+1)</f>
        <v>1665</v>
      </c>
      <c r="R2332">
        <f>IF(OR(calendar[[#This Row],[SP_BH]]=1,calendar[[#This Row],[WeekDay]]=1, calendar[[#This Row],[WeekDay]]=7),P2331,P2331+1)</f>
        <v>1665</v>
      </c>
      <c r="S2332">
        <f>IF(OR(calendar[[#This Row],[PT_BH]]=1,calendar[[#This Row],[WeekDay]]=1, calendar[[#This Row],[WeekDay]]=7),P2331,P2331+1)</f>
        <v>1665</v>
      </c>
    </row>
    <row r="2333" spans="1:19" x14ac:dyDescent="0.25">
      <c r="A2333" s="2">
        <v>45067</v>
      </c>
      <c r="B2333" s="1">
        <f t="shared" si="183"/>
        <v>21</v>
      </c>
      <c r="C2333">
        <f t="shared" si="185"/>
        <v>5</v>
      </c>
      <c r="D2333" t="str">
        <f t="shared" si="186"/>
        <v>May</v>
      </c>
      <c r="E2333">
        <f t="shared" si="187"/>
        <v>2023</v>
      </c>
      <c r="F2333" t="str">
        <f>CONCATENATE(calendar[[#This Row],[Month]],"/",calendar[[#This Row],[Year]])</f>
        <v>5/2023</v>
      </c>
      <c r="G2333">
        <f>WEEKDAY(calendar[[#This Row],[Date]],1)</f>
        <v>1</v>
      </c>
      <c r="H2333" t="str">
        <f>TEXT(calendar[[#This Row],[WeekDay]],"dddd")</f>
        <v>Sunday</v>
      </c>
      <c r="I2333">
        <f>IF((INT(calendar[[#This Row],[Count]]/7)-calendar[[#This Row],[Count]]/7)&lt;0,I2332,I2332+1)</f>
        <v>334</v>
      </c>
      <c r="J2333">
        <f t="shared" si="184"/>
        <v>2331</v>
      </c>
      <c r="K2333">
        <f>IF(calendar[[#This Row],[Month]]&lt;4,1,IF(calendar[[#This Row],[Month]]&lt;7,2,IF(calendar[[#This Row],[Month]]&lt;10,3,4)))</f>
        <v>2</v>
      </c>
      <c r="L2333">
        <f>IFERROR(IF(VLOOKUP(calendar[[#This Row],[Date]],BH!A:A,1,)&lt;&gt;"",1,0),0)</f>
        <v>0</v>
      </c>
      <c r="M2333">
        <f>IFERROR(IF(VLOOKUP(calendar[[#This Row],[Date]],BH!C:C,1,)&lt;&gt;"",1,0),0)</f>
        <v>0</v>
      </c>
      <c r="N2333">
        <f>IFERROR(IF(VLOOKUP(calendar[[#This Row],[Date]],BH!E:E,1,)&lt;&gt;"",1,0),0)</f>
        <v>0</v>
      </c>
      <c r="O2333">
        <f>IFERROR(IF(VLOOKUP(calendar[[#This Row],[Date]],BH!G:G,1,)&lt;&gt;"",1,0),0)</f>
        <v>0</v>
      </c>
      <c r="P2333">
        <f>IF(OR(calendar[[#This Row],[UK_BH]]=1,calendar[[#This Row],[WeekDay]]=1, calendar[[#This Row],[WeekDay]]=7),P2332,P2332+1)</f>
        <v>1665</v>
      </c>
      <c r="Q2333">
        <f>IF(OR(calendar[[#This Row],[FR_BH]]=1,calendar[[#This Row],[WeekDay]]=1, calendar[[#This Row],[WeekDay]]=7),P2332,P2332+1)</f>
        <v>1665</v>
      </c>
      <c r="R2333">
        <f>IF(OR(calendar[[#This Row],[SP_BH]]=1,calendar[[#This Row],[WeekDay]]=1, calendar[[#This Row],[WeekDay]]=7),P2332,P2332+1)</f>
        <v>1665</v>
      </c>
      <c r="S2333">
        <f>IF(OR(calendar[[#This Row],[PT_BH]]=1,calendar[[#This Row],[WeekDay]]=1, calendar[[#This Row],[WeekDay]]=7),P2332,P2332+1)</f>
        <v>1665</v>
      </c>
    </row>
    <row r="2334" spans="1:19" x14ac:dyDescent="0.25">
      <c r="A2334" s="2">
        <v>45068</v>
      </c>
      <c r="B2334" s="1">
        <f t="shared" si="183"/>
        <v>21</v>
      </c>
      <c r="C2334">
        <f t="shared" si="185"/>
        <v>5</v>
      </c>
      <c r="D2334" t="str">
        <f t="shared" si="186"/>
        <v>May</v>
      </c>
      <c r="E2334">
        <f t="shared" si="187"/>
        <v>2023</v>
      </c>
      <c r="F2334" t="str">
        <f>CONCATENATE(calendar[[#This Row],[Month]],"/",calendar[[#This Row],[Year]])</f>
        <v>5/2023</v>
      </c>
      <c r="G2334">
        <f>WEEKDAY(calendar[[#This Row],[Date]],1)</f>
        <v>2</v>
      </c>
      <c r="H2334" t="str">
        <f>TEXT(calendar[[#This Row],[WeekDay]],"dddd")</f>
        <v>Monday</v>
      </c>
      <c r="I2334">
        <f>IF((INT(calendar[[#This Row],[Count]]/7)-calendar[[#This Row],[Count]]/7)&lt;0,I2333,I2333+1)</f>
        <v>334</v>
      </c>
      <c r="J2334">
        <f t="shared" si="184"/>
        <v>2332</v>
      </c>
      <c r="K2334">
        <f>IF(calendar[[#This Row],[Month]]&lt;4,1,IF(calendar[[#This Row],[Month]]&lt;7,2,IF(calendar[[#This Row],[Month]]&lt;10,3,4)))</f>
        <v>2</v>
      </c>
      <c r="L2334">
        <f>IFERROR(IF(VLOOKUP(calendar[[#This Row],[Date]],BH!A:A,1,)&lt;&gt;"",1,0),0)</f>
        <v>0</v>
      </c>
      <c r="M2334">
        <f>IFERROR(IF(VLOOKUP(calendar[[#This Row],[Date]],BH!C:C,1,)&lt;&gt;"",1,0),0)</f>
        <v>0</v>
      </c>
      <c r="N2334">
        <f>IFERROR(IF(VLOOKUP(calendar[[#This Row],[Date]],BH!E:E,1,)&lt;&gt;"",1,0),0)</f>
        <v>0</v>
      </c>
      <c r="O2334">
        <f>IFERROR(IF(VLOOKUP(calendar[[#This Row],[Date]],BH!G:G,1,)&lt;&gt;"",1,0),0)</f>
        <v>0</v>
      </c>
      <c r="P2334">
        <f>IF(OR(calendar[[#This Row],[UK_BH]]=1,calendar[[#This Row],[WeekDay]]=1, calendar[[#This Row],[WeekDay]]=7),P2333,P2333+1)</f>
        <v>1666</v>
      </c>
      <c r="Q2334">
        <f>IF(OR(calendar[[#This Row],[FR_BH]]=1,calendar[[#This Row],[WeekDay]]=1, calendar[[#This Row],[WeekDay]]=7),P2333,P2333+1)</f>
        <v>1666</v>
      </c>
      <c r="R2334">
        <f>IF(OR(calendar[[#This Row],[SP_BH]]=1,calendar[[#This Row],[WeekDay]]=1, calendar[[#This Row],[WeekDay]]=7),P2333,P2333+1)</f>
        <v>1666</v>
      </c>
      <c r="S2334">
        <f>IF(OR(calendar[[#This Row],[PT_BH]]=1,calendar[[#This Row],[WeekDay]]=1, calendar[[#This Row],[WeekDay]]=7),P2333,P2333+1)</f>
        <v>1666</v>
      </c>
    </row>
    <row r="2335" spans="1:19" x14ac:dyDescent="0.25">
      <c r="A2335" s="2">
        <v>45069</v>
      </c>
      <c r="B2335" s="1">
        <f t="shared" si="183"/>
        <v>21</v>
      </c>
      <c r="C2335">
        <f t="shared" si="185"/>
        <v>5</v>
      </c>
      <c r="D2335" t="str">
        <f t="shared" si="186"/>
        <v>May</v>
      </c>
      <c r="E2335">
        <f t="shared" si="187"/>
        <v>2023</v>
      </c>
      <c r="F2335" t="str">
        <f>CONCATENATE(calendar[[#This Row],[Month]],"/",calendar[[#This Row],[Year]])</f>
        <v>5/2023</v>
      </c>
      <c r="G2335">
        <f>WEEKDAY(calendar[[#This Row],[Date]],1)</f>
        <v>3</v>
      </c>
      <c r="H2335" t="str">
        <f>TEXT(calendar[[#This Row],[WeekDay]],"dddd")</f>
        <v>Tuesday</v>
      </c>
      <c r="I2335">
        <f>IF((INT(calendar[[#This Row],[Count]]/7)-calendar[[#This Row],[Count]]/7)&lt;0,I2334,I2334+1)</f>
        <v>334</v>
      </c>
      <c r="J2335">
        <f t="shared" si="184"/>
        <v>2333</v>
      </c>
      <c r="K2335">
        <f>IF(calendar[[#This Row],[Month]]&lt;4,1,IF(calendar[[#This Row],[Month]]&lt;7,2,IF(calendar[[#This Row],[Month]]&lt;10,3,4)))</f>
        <v>2</v>
      </c>
      <c r="L2335">
        <f>IFERROR(IF(VLOOKUP(calendar[[#This Row],[Date]],BH!A:A,1,)&lt;&gt;"",1,0),0)</f>
        <v>0</v>
      </c>
      <c r="M2335">
        <f>IFERROR(IF(VLOOKUP(calendar[[#This Row],[Date]],BH!C:C,1,)&lt;&gt;"",1,0),0)</f>
        <v>0</v>
      </c>
      <c r="N2335">
        <f>IFERROR(IF(VLOOKUP(calendar[[#This Row],[Date]],BH!E:E,1,)&lt;&gt;"",1,0),0)</f>
        <v>0</v>
      </c>
      <c r="O2335">
        <f>IFERROR(IF(VLOOKUP(calendar[[#This Row],[Date]],BH!G:G,1,)&lt;&gt;"",1,0),0)</f>
        <v>0</v>
      </c>
      <c r="P2335">
        <f>IF(OR(calendar[[#This Row],[UK_BH]]=1,calendar[[#This Row],[WeekDay]]=1, calendar[[#This Row],[WeekDay]]=7),P2334,P2334+1)</f>
        <v>1667</v>
      </c>
      <c r="Q2335">
        <f>IF(OR(calendar[[#This Row],[FR_BH]]=1,calendar[[#This Row],[WeekDay]]=1, calendar[[#This Row],[WeekDay]]=7),P2334,P2334+1)</f>
        <v>1667</v>
      </c>
      <c r="R2335">
        <f>IF(OR(calendar[[#This Row],[SP_BH]]=1,calendar[[#This Row],[WeekDay]]=1, calendar[[#This Row],[WeekDay]]=7),P2334,P2334+1)</f>
        <v>1667</v>
      </c>
      <c r="S2335">
        <f>IF(OR(calendar[[#This Row],[PT_BH]]=1,calendar[[#This Row],[WeekDay]]=1, calendar[[#This Row],[WeekDay]]=7),P2334,P2334+1)</f>
        <v>1667</v>
      </c>
    </row>
    <row r="2336" spans="1:19" x14ac:dyDescent="0.25">
      <c r="A2336" s="2">
        <v>45070</v>
      </c>
      <c r="B2336" s="1">
        <f t="shared" si="183"/>
        <v>21</v>
      </c>
      <c r="C2336">
        <f t="shared" si="185"/>
        <v>5</v>
      </c>
      <c r="D2336" t="str">
        <f t="shared" si="186"/>
        <v>May</v>
      </c>
      <c r="E2336">
        <f t="shared" si="187"/>
        <v>2023</v>
      </c>
      <c r="F2336" t="str">
        <f>CONCATENATE(calendar[[#This Row],[Month]],"/",calendar[[#This Row],[Year]])</f>
        <v>5/2023</v>
      </c>
      <c r="G2336">
        <f>WEEKDAY(calendar[[#This Row],[Date]],1)</f>
        <v>4</v>
      </c>
      <c r="H2336" t="str">
        <f>TEXT(calendar[[#This Row],[WeekDay]],"dddd")</f>
        <v>Wednesday</v>
      </c>
      <c r="I2336">
        <f>IF((INT(calendar[[#This Row],[Count]]/7)-calendar[[#This Row],[Count]]/7)&lt;0,I2335,I2335+1)</f>
        <v>334</v>
      </c>
      <c r="J2336">
        <f t="shared" si="184"/>
        <v>2334</v>
      </c>
      <c r="K2336">
        <f>IF(calendar[[#This Row],[Month]]&lt;4,1,IF(calendar[[#This Row],[Month]]&lt;7,2,IF(calendar[[#This Row],[Month]]&lt;10,3,4)))</f>
        <v>2</v>
      </c>
      <c r="L2336">
        <f>IFERROR(IF(VLOOKUP(calendar[[#This Row],[Date]],BH!A:A,1,)&lt;&gt;"",1,0),0)</f>
        <v>0</v>
      </c>
      <c r="M2336">
        <f>IFERROR(IF(VLOOKUP(calendar[[#This Row],[Date]],BH!C:C,1,)&lt;&gt;"",1,0),0)</f>
        <v>0</v>
      </c>
      <c r="N2336">
        <f>IFERROR(IF(VLOOKUP(calendar[[#This Row],[Date]],BH!E:E,1,)&lt;&gt;"",1,0),0)</f>
        <v>0</v>
      </c>
      <c r="O2336">
        <f>IFERROR(IF(VLOOKUP(calendar[[#This Row],[Date]],BH!G:G,1,)&lt;&gt;"",1,0),0)</f>
        <v>0</v>
      </c>
      <c r="P2336">
        <f>IF(OR(calendar[[#This Row],[UK_BH]]=1,calendar[[#This Row],[WeekDay]]=1, calendar[[#This Row],[WeekDay]]=7),P2335,P2335+1)</f>
        <v>1668</v>
      </c>
      <c r="Q2336">
        <f>IF(OR(calendar[[#This Row],[FR_BH]]=1,calendar[[#This Row],[WeekDay]]=1, calendar[[#This Row],[WeekDay]]=7),P2335,P2335+1)</f>
        <v>1668</v>
      </c>
      <c r="R2336">
        <f>IF(OR(calendar[[#This Row],[SP_BH]]=1,calendar[[#This Row],[WeekDay]]=1, calendar[[#This Row],[WeekDay]]=7),P2335,P2335+1)</f>
        <v>1668</v>
      </c>
      <c r="S2336">
        <f>IF(OR(calendar[[#This Row],[PT_BH]]=1,calendar[[#This Row],[WeekDay]]=1, calendar[[#This Row],[WeekDay]]=7),P2335,P2335+1)</f>
        <v>1668</v>
      </c>
    </row>
    <row r="2337" spans="1:19" x14ac:dyDescent="0.25">
      <c r="A2337" s="2">
        <v>45071</v>
      </c>
      <c r="B2337" s="1">
        <f t="shared" si="183"/>
        <v>21</v>
      </c>
      <c r="C2337">
        <f t="shared" si="185"/>
        <v>5</v>
      </c>
      <c r="D2337" t="str">
        <f t="shared" si="186"/>
        <v>May</v>
      </c>
      <c r="E2337">
        <f t="shared" si="187"/>
        <v>2023</v>
      </c>
      <c r="F2337" t="str">
        <f>CONCATENATE(calendar[[#This Row],[Month]],"/",calendar[[#This Row],[Year]])</f>
        <v>5/2023</v>
      </c>
      <c r="G2337">
        <f>WEEKDAY(calendar[[#This Row],[Date]],1)</f>
        <v>5</v>
      </c>
      <c r="H2337" t="str">
        <f>TEXT(calendar[[#This Row],[WeekDay]],"dddd")</f>
        <v>Thursday</v>
      </c>
      <c r="I2337">
        <f>IF((INT(calendar[[#This Row],[Count]]/7)-calendar[[#This Row],[Count]]/7)&lt;0,I2336,I2336+1)</f>
        <v>334</v>
      </c>
      <c r="J2337">
        <f t="shared" si="184"/>
        <v>2335</v>
      </c>
      <c r="K2337">
        <f>IF(calendar[[#This Row],[Month]]&lt;4,1,IF(calendar[[#This Row],[Month]]&lt;7,2,IF(calendar[[#This Row],[Month]]&lt;10,3,4)))</f>
        <v>2</v>
      </c>
      <c r="L2337">
        <f>IFERROR(IF(VLOOKUP(calendar[[#This Row],[Date]],BH!A:A,1,)&lt;&gt;"",1,0),0)</f>
        <v>0</v>
      </c>
      <c r="M2337">
        <f>IFERROR(IF(VLOOKUP(calendar[[#This Row],[Date]],BH!C:C,1,)&lt;&gt;"",1,0),0)</f>
        <v>0</v>
      </c>
      <c r="N2337">
        <f>IFERROR(IF(VLOOKUP(calendar[[#This Row],[Date]],BH!E:E,1,)&lt;&gt;"",1,0),0)</f>
        <v>0</v>
      </c>
      <c r="O2337">
        <f>IFERROR(IF(VLOOKUP(calendar[[#This Row],[Date]],BH!G:G,1,)&lt;&gt;"",1,0),0)</f>
        <v>0</v>
      </c>
      <c r="P2337">
        <f>IF(OR(calendar[[#This Row],[UK_BH]]=1,calendar[[#This Row],[WeekDay]]=1, calendar[[#This Row],[WeekDay]]=7),P2336,P2336+1)</f>
        <v>1669</v>
      </c>
      <c r="Q2337">
        <f>IF(OR(calendar[[#This Row],[FR_BH]]=1,calendar[[#This Row],[WeekDay]]=1, calendar[[#This Row],[WeekDay]]=7),P2336,P2336+1)</f>
        <v>1669</v>
      </c>
      <c r="R2337">
        <f>IF(OR(calendar[[#This Row],[SP_BH]]=1,calendar[[#This Row],[WeekDay]]=1, calendar[[#This Row],[WeekDay]]=7),P2336,P2336+1)</f>
        <v>1669</v>
      </c>
      <c r="S2337">
        <f>IF(OR(calendar[[#This Row],[PT_BH]]=1,calendar[[#This Row],[WeekDay]]=1, calendar[[#This Row],[WeekDay]]=7),P2336,P2336+1)</f>
        <v>1669</v>
      </c>
    </row>
    <row r="2338" spans="1:19" x14ac:dyDescent="0.25">
      <c r="A2338" s="2">
        <v>45072</v>
      </c>
      <c r="B2338" s="1">
        <f t="shared" si="183"/>
        <v>21</v>
      </c>
      <c r="C2338">
        <f t="shared" si="185"/>
        <v>5</v>
      </c>
      <c r="D2338" t="str">
        <f t="shared" si="186"/>
        <v>May</v>
      </c>
      <c r="E2338">
        <f t="shared" si="187"/>
        <v>2023</v>
      </c>
      <c r="F2338" t="str">
        <f>CONCATENATE(calendar[[#This Row],[Month]],"/",calendar[[#This Row],[Year]])</f>
        <v>5/2023</v>
      </c>
      <c r="G2338">
        <f>WEEKDAY(calendar[[#This Row],[Date]],1)</f>
        <v>6</v>
      </c>
      <c r="H2338" t="str">
        <f>TEXT(calendar[[#This Row],[WeekDay]],"dddd")</f>
        <v>Friday</v>
      </c>
      <c r="I2338">
        <f>IF((INT(calendar[[#This Row],[Count]]/7)-calendar[[#This Row],[Count]]/7)&lt;0,I2337,I2337+1)</f>
        <v>334</v>
      </c>
      <c r="J2338">
        <f t="shared" si="184"/>
        <v>2336</v>
      </c>
      <c r="K2338">
        <f>IF(calendar[[#This Row],[Month]]&lt;4,1,IF(calendar[[#This Row],[Month]]&lt;7,2,IF(calendar[[#This Row],[Month]]&lt;10,3,4)))</f>
        <v>2</v>
      </c>
      <c r="L2338">
        <f>IFERROR(IF(VLOOKUP(calendar[[#This Row],[Date]],BH!A:A,1,)&lt;&gt;"",1,0),0)</f>
        <v>0</v>
      </c>
      <c r="M2338">
        <f>IFERROR(IF(VLOOKUP(calendar[[#This Row],[Date]],BH!C:C,1,)&lt;&gt;"",1,0),0)</f>
        <v>0</v>
      </c>
      <c r="N2338">
        <f>IFERROR(IF(VLOOKUP(calendar[[#This Row],[Date]],BH!E:E,1,)&lt;&gt;"",1,0),0)</f>
        <v>0</v>
      </c>
      <c r="O2338">
        <f>IFERROR(IF(VLOOKUP(calendar[[#This Row],[Date]],BH!G:G,1,)&lt;&gt;"",1,0),0)</f>
        <v>0</v>
      </c>
      <c r="P2338">
        <f>IF(OR(calendar[[#This Row],[UK_BH]]=1,calendar[[#This Row],[WeekDay]]=1, calendar[[#This Row],[WeekDay]]=7),P2337,P2337+1)</f>
        <v>1670</v>
      </c>
      <c r="Q2338">
        <f>IF(OR(calendar[[#This Row],[FR_BH]]=1,calendar[[#This Row],[WeekDay]]=1, calendar[[#This Row],[WeekDay]]=7),P2337,P2337+1)</f>
        <v>1670</v>
      </c>
      <c r="R2338">
        <f>IF(OR(calendar[[#This Row],[SP_BH]]=1,calendar[[#This Row],[WeekDay]]=1, calendar[[#This Row],[WeekDay]]=7),P2337,P2337+1)</f>
        <v>1670</v>
      </c>
      <c r="S2338">
        <f>IF(OR(calendar[[#This Row],[PT_BH]]=1,calendar[[#This Row],[WeekDay]]=1, calendar[[#This Row],[WeekDay]]=7),P2337,P2337+1)</f>
        <v>1670</v>
      </c>
    </row>
    <row r="2339" spans="1:19" x14ac:dyDescent="0.25">
      <c r="A2339" s="2">
        <v>45073</v>
      </c>
      <c r="B2339" s="1">
        <f t="shared" si="183"/>
        <v>21</v>
      </c>
      <c r="C2339">
        <f t="shared" si="185"/>
        <v>5</v>
      </c>
      <c r="D2339" t="str">
        <f t="shared" si="186"/>
        <v>May</v>
      </c>
      <c r="E2339">
        <f t="shared" si="187"/>
        <v>2023</v>
      </c>
      <c r="F2339" t="str">
        <f>CONCATENATE(calendar[[#This Row],[Month]],"/",calendar[[#This Row],[Year]])</f>
        <v>5/2023</v>
      </c>
      <c r="G2339">
        <f>WEEKDAY(calendar[[#This Row],[Date]],1)</f>
        <v>7</v>
      </c>
      <c r="H2339" t="str">
        <f>TEXT(calendar[[#This Row],[WeekDay]],"dddd")</f>
        <v>Saturday</v>
      </c>
      <c r="I2339">
        <f>IF((INT(calendar[[#This Row],[Count]]/7)-calendar[[#This Row],[Count]]/7)&lt;0,I2338,I2338+1)</f>
        <v>334</v>
      </c>
      <c r="J2339">
        <f t="shared" si="184"/>
        <v>2337</v>
      </c>
      <c r="K2339">
        <f>IF(calendar[[#This Row],[Month]]&lt;4,1,IF(calendar[[#This Row],[Month]]&lt;7,2,IF(calendar[[#This Row],[Month]]&lt;10,3,4)))</f>
        <v>2</v>
      </c>
      <c r="L2339">
        <f>IFERROR(IF(VLOOKUP(calendar[[#This Row],[Date]],BH!A:A,1,)&lt;&gt;"",1,0),0)</f>
        <v>0</v>
      </c>
      <c r="M2339">
        <f>IFERROR(IF(VLOOKUP(calendar[[#This Row],[Date]],BH!C:C,1,)&lt;&gt;"",1,0),0)</f>
        <v>0</v>
      </c>
      <c r="N2339">
        <f>IFERROR(IF(VLOOKUP(calendar[[#This Row],[Date]],BH!E:E,1,)&lt;&gt;"",1,0),0)</f>
        <v>0</v>
      </c>
      <c r="O2339">
        <f>IFERROR(IF(VLOOKUP(calendar[[#This Row],[Date]],BH!G:G,1,)&lt;&gt;"",1,0),0)</f>
        <v>0</v>
      </c>
      <c r="P2339">
        <f>IF(OR(calendar[[#This Row],[UK_BH]]=1,calendar[[#This Row],[WeekDay]]=1, calendar[[#This Row],[WeekDay]]=7),P2338,P2338+1)</f>
        <v>1670</v>
      </c>
      <c r="Q2339">
        <f>IF(OR(calendar[[#This Row],[FR_BH]]=1,calendar[[#This Row],[WeekDay]]=1, calendar[[#This Row],[WeekDay]]=7),P2338,P2338+1)</f>
        <v>1670</v>
      </c>
      <c r="R2339">
        <f>IF(OR(calendar[[#This Row],[SP_BH]]=1,calendar[[#This Row],[WeekDay]]=1, calendar[[#This Row],[WeekDay]]=7),P2338,P2338+1)</f>
        <v>1670</v>
      </c>
      <c r="S2339">
        <f>IF(OR(calendar[[#This Row],[PT_BH]]=1,calendar[[#This Row],[WeekDay]]=1, calendar[[#This Row],[WeekDay]]=7),P2338,P2338+1)</f>
        <v>1670</v>
      </c>
    </row>
    <row r="2340" spans="1:19" x14ac:dyDescent="0.25">
      <c r="A2340" s="2">
        <v>45074</v>
      </c>
      <c r="B2340" s="1">
        <f t="shared" si="183"/>
        <v>22</v>
      </c>
      <c r="C2340">
        <f t="shared" si="185"/>
        <v>5</v>
      </c>
      <c r="D2340" t="str">
        <f t="shared" si="186"/>
        <v>May</v>
      </c>
      <c r="E2340">
        <f t="shared" si="187"/>
        <v>2023</v>
      </c>
      <c r="F2340" t="str">
        <f>CONCATENATE(calendar[[#This Row],[Month]],"/",calendar[[#This Row],[Year]])</f>
        <v>5/2023</v>
      </c>
      <c r="G2340">
        <f>WEEKDAY(calendar[[#This Row],[Date]],1)</f>
        <v>1</v>
      </c>
      <c r="H2340" t="str">
        <f>TEXT(calendar[[#This Row],[WeekDay]],"dddd")</f>
        <v>Sunday</v>
      </c>
      <c r="I2340">
        <f>IF((INT(calendar[[#This Row],[Count]]/7)-calendar[[#This Row],[Count]]/7)&lt;0,I2339,I2339+1)</f>
        <v>335</v>
      </c>
      <c r="J2340">
        <f t="shared" si="184"/>
        <v>2338</v>
      </c>
      <c r="K2340">
        <f>IF(calendar[[#This Row],[Month]]&lt;4,1,IF(calendar[[#This Row],[Month]]&lt;7,2,IF(calendar[[#This Row],[Month]]&lt;10,3,4)))</f>
        <v>2</v>
      </c>
      <c r="L2340">
        <f>IFERROR(IF(VLOOKUP(calendar[[#This Row],[Date]],BH!A:A,1,)&lt;&gt;"",1,0),0)</f>
        <v>0</v>
      </c>
      <c r="M2340">
        <f>IFERROR(IF(VLOOKUP(calendar[[#This Row],[Date]],BH!C:C,1,)&lt;&gt;"",1,0),0)</f>
        <v>0</v>
      </c>
      <c r="N2340">
        <f>IFERROR(IF(VLOOKUP(calendar[[#This Row],[Date]],BH!E:E,1,)&lt;&gt;"",1,0),0)</f>
        <v>0</v>
      </c>
      <c r="O2340">
        <f>IFERROR(IF(VLOOKUP(calendar[[#This Row],[Date]],BH!G:G,1,)&lt;&gt;"",1,0),0)</f>
        <v>0</v>
      </c>
      <c r="P2340">
        <f>IF(OR(calendar[[#This Row],[UK_BH]]=1,calendar[[#This Row],[WeekDay]]=1, calendar[[#This Row],[WeekDay]]=7),P2339,P2339+1)</f>
        <v>1670</v>
      </c>
      <c r="Q2340">
        <f>IF(OR(calendar[[#This Row],[FR_BH]]=1,calendar[[#This Row],[WeekDay]]=1, calendar[[#This Row],[WeekDay]]=7),P2339,P2339+1)</f>
        <v>1670</v>
      </c>
      <c r="R2340">
        <f>IF(OR(calendar[[#This Row],[SP_BH]]=1,calendar[[#This Row],[WeekDay]]=1, calendar[[#This Row],[WeekDay]]=7),P2339,P2339+1)</f>
        <v>1670</v>
      </c>
      <c r="S2340">
        <f>IF(OR(calendar[[#This Row],[PT_BH]]=1,calendar[[#This Row],[WeekDay]]=1, calendar[[#This Row],[WeekDay]]=7),P2339,P2339+1)</f>
        <v>1670</v>
      </c>
    </row>
    <row r="2341" spans="1:19" x14ac:dyDescent="0.25">
      <c r="A2341" s="2">
        <v>45075</v>
      </c>
      <c r="B2341" s="1">
        <f t="shared" si="183"/>
        <v>22</v>
      </c>
      <c r="C2341">
        <f t="shared" si="185"/>
        <v>5</v>
      </c>
      <c r="D2341" t="str">
        <f t="shared" si="186"/>
        <v>May</v>
      </c>
      <c r="E2341">
        <f t="shared" si="187"/>
        <v>2023</v>
      </c>
      <c r="F2341" t="str">
        <f>CONCATENATE(calendar[[#This Row],[Month]],"/",calendar[[#This Row],[Year]])</f>
        <v>5/2023</v>
      </c>
      <c r="G2341">
        <f>WEEKDAY(calendar[[#This Row],[Date]],1)</f>
        <v>2</v>
      </c>
      <c r="H2341" t="str">
        <f>TEXT(calendar[[#This Row],[WeekDay]],"dddd")</f>
        <v>Monday</v>
      </c>
      <c r="I2341">
        <f>IF((INT(calendar[[#This Row],[Count]]/7)-calendar[[#This Row],[Count]]/7)&lt;0,I2340,I2340+1)</f>
        <v>335</v>
      </c>
      <c r="J2341">
        <f t="shared" si="184"/>
        <v>2339</v>
      </c>
      <c r="K2341">
        <f>IF(calendar[[#This Row],[Month]]&lt;4,1,IF(calendar[[#This Row],[Month]]&lt;7,2,IF(calendar[[#This Row],[Month]]&lt;10,3,4)))</f>
        <v>2</v>
      </c>
      <c r="L2341">
        <f>IFERROR(IF(VLOOKUP(calendar[[#This Row],[Date]],BH!A:A,1,)&lt;&gt;"",1,0),0)</f>
        <v>0</v>
      </c>
      <c r="M2341">
        <f>IFERROR(IF(VLOOKUP(calendar[[#This Row],[Date]],BH!C:C,1,)&lt;&gt;"",1,0),0)</f>
        <v>0</v>
      </c>
      <c r="N2341">
        <f>IFERROR(IF(VLOOKUP(calendar[[#This Row],[Date]],BH!E:E,1,)&lt;&gt;"",1,0),0)</f>
        <v>0</v>
      </c>
      <c r="O2341">
        <f>IFERROR(IF(VLOOKUP(calendar[[#This Row],[Date]],BH!G:G,1,)&lt;&gt;"",1,0),0)</f>
        <v>0</v>
      </c>
      <c r="P2341">
        <f>IF(OR(calendar[[#This Row],[UK_BH]]=1,calendar[[#This Row],[WeekDay]]=1, calendar[[#This Row],[WeekDay]]=7),P2340,P2340+1)</f>
        <v>1671</v>
      </c>
      <c r="Q2341">
        <f>IF(OR(calendar[[#This Row],[FR_BH]]=1,calendar[[#This Row],[WeekDay]]=1, calendar[[#This Row],[WeekDay]]=7),P2340,P2340+1)</f>
        <v>1671</v>
      </c>
      <c r="R2341">
        <f>IF(OR(calendar[[#This Row],[SP_BH]]=1,calendar[[#This Row],[WeekDay]]=1, calendar[[#This Row],[WeekDay]]=7),P2340,P2340+1)</f>
        <v>1671</v>
      </c>
      <c r="S2341">
        <f>IF(OR(calendar[[#This Row],[PT_BH]]=1,calendar[[#This Row],[WeekDay]]=1, calendar[[#This Row],[WeekDay]]=7),P2340,P2340+1)</f>
        <v>1671</v>
      </c>
    </row>
    <row r="2342" spans="1:19" x14ac:dyDescent="0.25">
      <c r="A2342" s="2">
        <v>45076</v>
      </c>
      <c r="B2342" s="1">
        <f t="shared" si="183"/>
        <v>22</v>
      </c>
      <c r="C2342">
        <f t="shared" si="185"/>
        <v>5</v>
      </c>
      <c r="D2342" t="str">
        <f t="shared" si="186"/>
        <v>May</v>
      </c>
      <c r="E2342">
        <f t="shared" si="187"/>
        <v>2023</v>
      </c>
      <c r="F2342" t="str">
        <f>CONCATENATE(calendar[[#This Row],[Month]],"/",calendar[[#This Row],[Year]])</f>
        <v>5/2023</v>
      </c>
      <c r="G2342">
        <f>WEEKDAY(calendar[[#This Row],[Date]],1)</f>
        <v>3</v>
      </c>
      <c r="H2342" t="str">
        <f>TEXT(calendar[[#This Row],[WeekDay]],"dddd")</f>
        <v>Tuesday</v>
      </c>
      <c r="I2342">
        <f>IF((INT(calendar[[#This Row],[Count]]/7)-calendar[[#This Row],[Count]]/7)&lt;0,I2341,I2341+1)</f>
        <v>335</v>
      </c>
      <c r="J2342">
        <f t="shared" si="184"/>
        <v>2340</v>
      </c>
      <c r="K2342">
        <f>IF(calendar[[#This Row],[Month]]&lt;4,1,IF(calendar[[#This Row],[Month]]&lt;7,2,IF(calendar[[#This Row],[Month]]&lt;10,3,4)))</f>
        <v>2</v>
      </c>
      <c r="L2342">
        <f>IFERROR(IF(VLOOKUP(calendar[[#This Row],[Date]],BH!A:A,1,)&lt;&gt;"",1,0),0)</f>
        <v>0</v>
      </c>
      <c r="M2342">
        <f>IFERROR(IF(VLOOKUP(calendar[[#This Row],[Date]],BH!C:C,1,)&lt;&gt;"",1,0),0)</f>
        <v>0</v>
      </c>
      <c r="N2342">
        <f>IFERROR(IF(VLOOKUP(calendar[[#This Row],[Date]],BH!E:E,1,)&lt;&gt;"",1,0),0)</f>
        <v>0</v>
      </c>
      <c r="O2342">
        <f>IFERROR(IF(VLOOKUP(calendar[[#This Row],[Date]],BH!G:G,1,)&lt;&gt;"",1,0),0)</f>
        <v>0</v>
      </c>
      <c r="P2342">
        <f>IF(OR(calendar[[#This Row],[UK_BH]]=1,calendar[[#This Row],[WeekDay]]=1, calendar[[#This Row],[WeekDay]]=7),P2341,P2341+1)</f>
        <v>1672</v>
      </c>
      <c r="Q2342">
        <f>IF(OR(calendar[[#This Row],[FR_BH]]=1,calendar[[#This Row],[WeekDay]]=1, calendar[[#This Row],[WeekDay]]=7),P2341,P2341+1)</f>
        <v>1672</v>
      </c>
      <c r="R2342">
        <f>IF(OR(calendar[[#This Row],[SP_BH]]=1,calendar[[#This Row],[WeekDay]]=1, calendar[[#This Row],[WeekDay]]=7),P2341,P2341+1)</f>
        <v>1672</v>
      </c>
      <c r="S2342">
        <f>IF(OR(calendar[[#This Row],[PT_BH]]=1,calendar[[#This Row],[WeekDay]]=1, calendar[[#This Row],[WeekDay]]=7),P2341,P2341+1)</f>
        <v>1672</v>
      </c>
    </row>
    <row r="2343" spans="1:19" x14ac:dyDescent="0.25">
      <c r="A2343" s="2">
        <v>45077</v>
      </c>
      <c r="B2343" s="1">
        <f t="shared" si="183"/>
        <v>22</v>
      </c>
      <c r="C2343">
        <f t="shared" si="185"/>
        <v>5</v>
      </c>
      <c r="D2343" t="str">
        <f t="shared" si="186"/>
        <v>May</v>
      </c>
      <c r="E2343">
        <f t="shared" si="187"/>
        <v>2023</v>
      </c>
      <c r="F2343" t="str">
        <f>CONCATENATE(calendar[[#This Row],[Month]],"/",calendar[[#This Row],[Year]])</f>
        <v>5/2023</v>
      </c>
      <c r="G2343">
        <f>WEEKDAY(calendar[[#This Row],[Date]],1)</f>
        <v>4</v>
      </c>
      <c r="H2343" t="str">
        <f>TEXT(calendar[[#This Row],[WeekDay]],"dddd")</f>
        <v>Wednesday</v>
      </c>
      <c r="I2343">
        <f>IF((INT(calendar[[#This Row],[Count]]/7)-calendar[[#This Row],[Count]]/7)&lt;0,I2342,I2342+1)</f>
        <v>335</v>
      </c>
      <c r="J2343">
        <f t="shared" si="184"/>
        <v>2341</v>
      </c>
      <c r="K2343">
        <f>IF(calendar[[#This Row],[Month]]&lt;4,1,IF(calendar[[#This Row],[Month]]&lt;7,2,IF(calendar[[#This Row],[Month]]&lt;10,3,4)))</f>
        <v>2</v>
      </c>
      <c r="L2343">
        <f>IFERROR(IF(VLOOKUP(calendar[[#This Row],[Date]],BH!A:A,1,)&lt;&gt;"",1,0),0)</f>
        <v>0</v>
      </c>
      <c r="M2343">
        <f>IFERROR(IF(VLOOKUP(calendar[[#This Row],[Date]],BH!C:C,1,)&lt;&gt;"",1,0),0)</f>
        <v>0</v>
      </c>
      <c r="N2343">
        <f>IFERROR(IF(VLOOKUP(calendar[[#This Row],[Date]],BH!E:E,1,)&lt;&gt;"",1,0),0)</f>
        <v>0</v>
      </c>
      <c r="O2343">
        <f>IFERROR(IF(VLOOKUP(calendar[[#This Row],[Date]],BH!G:G,1,)&lt;&gt;"",1,0),0)</f>
        <v>0</v>
      </c>
      <c r="P2343">
        <f>IF(OR(calendar[[#This Row],[UK_BH]]=1,calendar[[#This Row],[WeekDay]]=1, calendar[[#This Row],[WeekDay]]=7),P2342,P2342+1)</f>
        <v>1673</v>
      </c>
      <c r="Q2343">
        <f>IF(OR(calendar[[#This Row],[FR_BH]]=1,calendar[[#This Row],[WeekDay]]=1, calendar[[#This Row],[WeekDay]]=7),P2342,P2342+1)</f>
        <v>1673</v>
      </c>
      <c r="R2343">
        <f>IF(OR(calendar[[#This Row],[SP_BH]]=1,calendar[[#This Row],[WeekDay]]=1, calendar[[#This Row],[WeekDay]]=7),P2342,P2342+1)</f>
        <v>1673</v>
      </c>
      <c r="S2343">
        <f>IF(OR(calendar[[#This Row],[PT_BH]]=1,calendar[[#This Row],[WeekDay]]=1, calendar[[#This Row],[WeekDay]]=7),P2342,P2342+1)</f>
        <v>1673</v>
      </c>
    </row>
    <row r="2344" spans="1:19" x14ac:dyDescent="0.25">
      <c r="A2344" s="2">
        <v>45078</v>
      </c>
      <c r="B2344" s="1">
        <f t="shared" si="183"/>
        <v>22</v>
      </c>
      <c r="C2344">
        <f t="shared" si="185"/>
        <v>6</v>
      </c>
      <c r="D2344" t="str">
        <f t="shared" si="186"/>
        <v>June</v>
      </c>
      <c r="E2344">
        <f t="shared" si="187"/>
        <v>2023</v>
      </c>
      <c r="F2344" t="str">
        <f>CONCATENATE(calendar[[#This Row],[Month]],"/",calendar[[#This Row],[Year]])</f>
        <v>6/2023</v>
      </c>
      <c r="G2344">
        <f>WEEKDAY(calendar[[#This Row],[Date]],1)</f>
        <v>5</v>
      </c>
      <c r="H2344" t="str">
        <f>TEXT(calendar[[#This Row],[WeekDay]],"dddd")</f>
        <v>Thursday</v>
      </c>
      <c r="I2344">
        <f>IF((INT(calendar[[#This Row],[Count]]/7)-calendar[[#This Row],[Count]]/7)&lt;0,I2343,I2343+1)</f>
        <v>335</v>
      </c>
      <c r="J2344">
        <f t="shared" si="184"/>
        <v>2342</v>
      </c>
      <c r="K2344">
        <f>IF(calendar[[#This Row],[Month]]&lt;4,1,IF(calendar[[#This Row],[Month]]&lt;7,2,IF(calendar[[#This Row],[Month]]&lt;10,3,4)))</f>
        <v>2</v>
      </c>
      <c r="L2344">
        <f>IFERROR(IF(VLOOKUP(calendar[[#This Row],[Date]],BH!A:A,1,)&lt;&gt;"",1,0),0)</f>
        <v>0</v>
      </c>
      <c r="M2344">
        <f>IFERROR(IF(VLOOKUP(calendar[[#This Row],[Date]],BH!C:C,1,)&lt;&gt;"",1,0),0)</f>
        <v>0</v>
      </c>
      <c r="N2344">
        <f>IFERROR(IF(VLOOKUP(calendar[[#This Row],[Date]],BH!E:E,1,)&lt;&gt;"",1,0),0)</f>
        <v>0</v>
      </c>
      <c r="O2344">
        <f>IFERROR(IF(VLOOKUP(calendar[[#This Row],[Date]],BH!G:G,1,)&lt;&gt;"",1,0),0)</f>
        <v>0</v>
      </c>
      <c r="P2344">
        <f>IF(OR(calendar[[#This Row],[UK_BH]]=1,calendar[[#This Row],[WeekDay]]=1, calendar[[#This Row],[WeekDay]]=7),P2343,P2343+1)</f>
        <v>1674</v>
      </c>
      <c r="Q2344">
        <f>IF(OR(calendar[[#This Row],[FR_BH]]=1,calendar[[#This Row],[WeekDay]]=1, calendar[[#This Row],[WeekDay]]=7),P2343,P2343+1)</f>
        <v>1674</v>
      </c>
      <c r="R2344">
        <f>IF(OR(calendar[[#This Row],[SP_BH]]=1,calendar[[#This Row],[WeekDay]]=1, calendar[[#This Row],[WeekDay]]=7),P2343,P2343+1)</f>
        <v>1674</v>
      </c>
      <c r="S2344">
        <f>IF(OR(calendar[[#This Row],[PT_BH]]=1,calendar[[#This Row],[WeekDay]]=1, calendar[[#This Row],[WeekDay]]=7),P2343,P2343+1)</f>
        <v>1674</v>
      </c>
    </row>
    <row r="2345" spans="1:19" x14ac:dyDescent="0.25">
      <c r="A2345" s="2">
        <v>45079</v>
      </c>
      <c r="B2345" s="1">
        <f t="shared" si="183"/>
        <v>22</v>
      </c>
      <c r="C2345">
        <f t="shared" si="185"/>
        <v>6</v>
      </c>
      <c r="D2345" t="str">
        <f t="shared" si="186"/>
        <v>June</v>
      </c>
      <c r="E2345">
        <f t="shared" si="187"/>
        <v>2023</v>
      </c>
      <c r="F2345" t="str">
        <f>CONCATENATE(calendar[[#This Row],[Month]],"/",calendar[[#This Row],[Year]])</f>
        <v>6/2023</v>
      </c>
      <c r="G2345">
        <f>WEEKDAY(calendar[[#This Row],[Date]],1)</f>
        <v>6</v>
      </c>
      <c r="H2345" t="str">
        <f>TEXT(calendar[[#This Row],[WeekDay]],"dddd")</f>
        <v>Friday</v>
      </c>
      <c r="I2345">
        <f>IF((INT(calendar[[#This Row],[Count]]/7)-calendar[[#This Row],[Count]]/7)&lt;0,I2344,I2344+1)</f>
        <v>335</v>
      </c>
      <c r="J2345">
        <f t="shared" si="184"/>
        <v>2343</v>
      </c>
      <c r="K2345">
        <f>IF(calendar[[#This Row],[Month]]&lt;4,1,IF(calendar[[#This Row],[Month]]&lt;7,2,IF(calendar[[#This Row],[Month]]&lt;10,3,4)))</f>
        <v>2</v>
      </c>
      <c r="L2345">
        <f>IFERROR(IF(VLOOKUP(calendar[[#This Row],[Date]],BH!A:A,1,)&lt;&gt;"",1,0),0)</f>
        <v>0</v>
      </c>
      <c r="M2345">
        <f>IFERROR(IF(VLOOKUP(calendar[[#This Row],[Date]],BH!C:C,1,)&lt;&gt;"",1,0),0)</f>
        <v>0</v>
      </c>
      <c r="N2345">
        <f>IFERROR(IF(VLOOKUP(calendar[[#This Row],[Date]],BH!E:E,1,)&lt;&gt;"",1,0),0)</f>
        <v>0</v>
      </c>
      <c r="O2345">
        <f>IFERROR(IF(VLOOKUP(calendar[[#This Row],[Date]],BH!G:G,1,)&lt;&gt;"",1,0),0)</f>
        <v>0</v>
      </c>
      <c r="P2345">
        <f>IF(OR(calendar[[#This Row],[UK_BH]]=1,calendar[[#This Row],[WeekDay]]=1, calendar[[#This Row],[WeekDay]]=7),P2344,P2344+1)</f>
        <v>1675</v>
      </c>
      <c r="Q2345">
        <f>IF(OR(calendar[[#This Row],[FR_BH]]=1,calendar[[#This Row],[WeekDay]]=1, calendar[[#This Row],[WeekDay]]=7),P2344,P2344+1)</f>
        <v>1675</v>
      </c>
      <c r="R2345">
        <f>IF(OR(calendar[[#This Row],[SP_BH]]=1,calendar[[#This Row],[WeekDay]]=1, calendar[[#This Row],[WeekDay]]=7),P2344,P2344+1)</f>
        <v>1675</v>
      </c>
      <c r="S2345">
        <f>IF(OR(calendar[[#This Row],[PT_BH]]=1,calendar[[#This Row],[WeekDay]]=1, calendar[[#This Row],[WeekDay]]=7),P2344,P2344+1)</f>
        <v>1675</v>
      </c>
    </row>
    <row r="2346" spans="1:19" x14ac:dyDescent="0.25">
      <c r="A2346" s="2">
        <v>45080</v>
      </c>
      <c r="B2346" s="1">
        <f t="shared" si="183"/>
        <v>22</v>
      </c>
      <c r="C2346">
        <f t="shared" si="185"/>
        <v>6</v>
      </c>
      <c r="D2346" t="str">
        <f t="shared" si="186"/>
        <v>June</v>
      </c>
      <c r="E2346">
        <f t="shared" si="187"/>
        <v>2023</v>
      </c>
      <c r="F2346" t="str">
        <f>CONCATENATE(calendar[[#This Row],[Month]],"/",calendar[[#This Row],[Year]])</f>
        <v>6/2023</v>
      </c>
      <c r="G2346">
        <f>WEEKDAY(calendar[[#This Row],[Date]],1)</f>
        <v>7</v>
      </c>
      <c r="H2346" t="str">
        <f>TEXT(calendar[[#This Row],[WeekDay]],"dddd")</f>
        <v>Saturday</v>
      </c>
      <c r="I2346">
        <f>IF((INT(calendar[[#This Row],[Count]]/7)-calendar[[#This Row],[Count]]/7)&lt;0,I2345,I2345+1)</f>
        <v>335</v>
      </c>
      <c r="J2346">
        <f t="shared" si="184"/>
        <v>2344</v>
      </c>
      <c r="K2346">
        <f>IF(calendar[[#This Row],[Month]]&lt;4,1,IF(calendar[[#This Row],[Month]]&lt;7,2,IF(calendar[[#This Row],[Month]]&lt;10,3,4)))</f>
        <v>2</v>
      </c>
      <c r="L2346">
        <f>IFERROR(IF(VLOOKUP(calendar[[#This Row],[Date]],BH!A:A,1,)&lt;&gt;"",1,0),0)</f>
        <v>0</v>
      </c>
      <c r="M2346">
        <f>IFERROR(IF(VLOOKUP(calendar[[#This Row],[Date]],BH!C:C,1,)&lt;&gt;"",1,0),0)</f>
        <v>0</v>
      </c>
      <c r="N2346">
        <f>IFERROR(IF(VLOOKUP(calendar[[#This Row],[Date]],BH!E:E,1,)&lt;&gt;"",1,0),0)</f>
        <v>0</v>
      </c>
      <c r="O2346">
        <f>IFERROR(IF(VLOOKUP(calendar[[#This Row],[Date]],BH!G:G,1,)&lt;&gt;"",1,0),0)</f>
        <v>0</v>
      </c>
      <c r="P2346">
        <f>IF(OR(calendar[[#This Row],[UK_BH]]=1,calendar[[#This Row],[WeekDay]]=1, calendar[[#This Row],[WeekDay]]=7),P2345,P2345+1)</f>
        <v>1675</v>
      </c>
      <c r="Q2346">
        <f>IF(OR(calendar[[#This Row],[FR_BH]]=1,calendar[[#This Row],[WeekDay]]=1, calendar[[#This Row],[WeekDay]]=7),P2345,P2345+1)</f>
        <v>1675</v>
      </c>
      <c r="R2346">
        <f>IF(OR(calendar[[#This Row],[SP_BH]]=1,calendar[[#This Row],[WeekDay]]=1, calendar[[#This Row],[WeekDay]]=7),P2345,P2345+1)</f>
        <v>1675</v>
      </c>
      <c r="S2346">
        <f>IF(OR(calendar[[#This Row],[PT_BH]]=1,calendar[[#This Row],[WeekDay]]=1, calendar[[#This Row],[WeekDay]]=7),P2345,P2345+1)</f>
        <v>1675</v>
      </c>
    </row>
    <row r="2347" spans="1:19" x14ac:dyDescent="0.25">
      <c r="A2347" s="2">
        <v>45081</v>
      </c>
      <c r="B2347" s="1">
        <f t="shared" si="183"/>
        <v>23</v>
      </c>
      <c r="C2347">
        <f t="shared" si="185"/>
        <v>6</v>
      </c>
      <c r="D2347" t="str">
        <f t="shared" si="186"/>
        <v>June</v>
      </c>
      <c r="E2347">
        <f t="shared" si="187"/>
        <v>2023</v>
      </c>
      <c r="F2347" t="str">
        <f>CONCATENATE(calendar[[#This Row],[Month]],"/",calendar[[#This Row],[Year]])</f>
        <v>6/2023</v>
      </c>
      <c r="G2347">
        <f>WEEKDAY(calendar[[#This Row],[Date]],1)</f>
        <v>1</v>
      </c>
      <c r="H2347" t="str">
        <f>TEXT(calendar[[#This Row],[WeekDay]],"dddd")</f>
        <v>Sunday</v>
      </c>
      <c r="I2347">
        <f>IF((INT(calendar[[#This Row],[Count]]/7)-calendar[[#This Row],[Count]]/7)&lt;0,I2346,I2346+1)</f>
        <v>336</v>
      </c>
      <c r="J2347">
        <f t="shared" si="184"/>
        <v>2345</v>
      </c>
      <c r="K2347">
        <f>IF(calendar[[#This Row],[Month]]&lt;4,1,IF(calendar[[#This Row],[Month]]&lt;7,2,IF(calendar[[#This Row],[Month]]&lt;10,3,4)))</f>
        <v>2</v>
      </c>
      <c r="L2347">
        <f>IFERROR(IF(VLOOKUP(calendar[[#This Row],[Date]],BH!A:A,1,)&lt;&gt;"",1,0),0)</f>
        <v>0</v>
      </c>
      <c r="M2347">
        <f>IFERROR(IF(VLOOKUP(calendar[[#This Row],[Date]],BH!C:C,1,)&lt;&gt;"",1,0),0)</f>
        <v>0</v>
      </c>
      <c r="N2347">
        <f>IFERROR(IF(VLOOKUP(calendar[[#This Row],[Date]],BH!E:E,1,)&lt;&gt;"",1,0),0)</f>
        <v>0</v>
      </c>
      <c r="O2347">
        <f>IFERROR(IF(VLOOKUP(calendar[[#This Row],[Date]],BH!G:G,1,)&lt;&gt;"",1,0),0)</f>
        <v>0</v>
      </c>
      <c r="P2347">
        <f>IF(OR(calendar[[#This Row],[UK_BH]]=1,calendar[[#This Row],[WeekDay]]=1, calendar[[#This Row],[WeekDay]]=7),P2346,P2346+1)</f>
        <v>1675</v>
      </c>
      <c r="Q2347">
        <f>IF(OR(calendar[[#This Row],[FR_BH]]=1,calendar[[#This Row],[WeekDay]]=1, calendar[[#This Row],[WeekDay]]=7),P2346,P2346+1)</f>
        <v>1675</v>
      </c>
      <c r="R2347">
        <f>IF(OR(calendar[[#This Row],[SP_BH]]=1,calendar[[#This Row],[WeekDay]]=1, calendar[[#This Row],[WeekDay]]=7),P2346,P2346+1)</f>
        <v>1675</v>
      </c>
      <c r="S2347">
        <f>IF(OR(calendar[[#This Row],[PT_BH]]=1,calendar[[#This Row],[WeekDay]]=1, calendar[[#This Row],[WeekDay]]=7),P2346,P2346+1)</f>
        <v>1675</v>
      </c>
    </row>
    <row r="2348" spans="1:19" x14ac:dyDescent="0.25">
      <c r="A2348" s="2">
        <v>45082</v>
      </c>
      <c r="B2348" s="1">
        <f t="shared" si="183"/>
        <v>23</v>
      </c>
      <c r="C2348">
        <f t="shared" si="185"/>
        <v>6</v>
      </c>
      <c r="D2348" t="str">
        <f t="shared" si="186"/>
        <v>June</v>
      </c>
      <c r="E2348">
        <f t="shared" si="187"/>
        <v>2023</v>
      </c>
      <c r="F2348" t="str">
        <f>CONCATENATE(calendar[[#This Row],[Month]],"/",calendar[[#This Row],[Year]])</f>
        <v>6/2023</v>
      </c>
      <c r="G2348">
        <f>WEEKDAY(calendar[[#This Row],[Date]],1)</f>
        <v>2</v>
      </c>
      <c r="H2348" t="str">
        <f>TEXT(calendar[[#This Row],[WeekDay]],"dddd")</f>
        <v>Monday</v>
      </c>
      <c r="I2348">
        <f>IF((INT(calendar[[#This Row],[Count]]/7)-calendar[[#This Row],[Count]]/7)&lt;0,I2347,I2347+1)</f>
        <v>336</v>
      </c>
      <c r="J2348">
        <f t="shared" si="184"/>
        <v>2346</v>
      </c>
      <c r="K2348">
        <f>IF(calendar[[#This Row],[Month]]&lt;4,1,IF(calendar[[#This Row],[Month]]&lt;7,2,IF(calendar[[#This Row],[Month]]&lt;10,3,4)))</f>
        <v>2</v>
      </c>
      <c r="L2348">
        <f>IFERROR(IF(VLOOKUP(calendar[[#This Row],[Date]],BH!A:A,1,)&lt;&gt;"",1,0),0)</f>
        <v>0</v>
      </c>
      <c r="M2348">
        <f>IFERROR(IF(VLOOKUP(calendar[[#This Row],[Date]],BH!C:C,1,)&lt;&gt;"",1,0),0)</f>
        <v>0</v>
      </c>
      <c r="N2348">
        <f>IFERROR(IF(VLOOKUP(calendar[[#This Row],[Date]],BH!E:E,1,)&lt;&gt;"",1,0),0)</f>
        <v>0</v>
      </c>
      <c r="O2348">
        <f>IFERROR(IF(VLOOKUP(calendar[[#This Row],[Date]],BH!G:G,1,)&lt;&gt;"",1,0),0)</f>
        <v>0</v>
      </c>
      <c r="P2348">
        <f>IF(OR(calendar[[#This Row],[UK_BH]]=1,calendar[[#This Row],[WeekDay]]=1, calendar[[#This Row],[WeekDay]]=7),P2347,P2347+1)</f>
        <v>1676</v>
      </c>
      <c r="Q2348">
        <f>IF(OR(calendar[[#This Row],[FR_BH]]=1,calendar[[#This Row],[WeekDay]]=1, calendar[[#This Row],[WeekDay]]=7),P2347,P2347+1)</f>
        <v>1676</v>
      </c>
      <c r="R2348">
        <f>IF(OR(calendar[[#This Row],[SP_BH]]=1,calendar[[#This Row],[WeekDay]]=1, calendar[[#This Row],[WeekDay]]=7),P2347,P2347+1)</f>
        <v>1676</v>
      </c>
      <c r="S2348">
        <f>IF(OR(calendar[[#This Row],[PT_BH]]=1,calendar[[#This Row],[WeekDay]]=1, calendar[[#This Row],[WeekDay]]=7),P2347,P2347+1)</f>
        <v>1676</v>
      </c>
    </row>
    <row r="2349" spans="1:19" x14ac:dyDescent="0.25">
      <c r="A2349" s="2">
        <v>45083</v>
      </c>
      <c r="B2349" s="1">
        <f t="shared" si="183"/>
        <v>23</v>
      </c>
      <c r="C2349">
        <f t="shared" si="185"/>
        <v>6</v>
      </c>
      <c r="D2349" t="str">
        <f t="shared" si="186"/>
        <v>June</v>
      </c>
      <c r="E2349">
        <f t="shared" si="187"/>
        <v>2023</v>
      </c>
      <c r="F2349" t="str">
        <f>CONCATENATE(calendar[[#This Row],[Month]],"/",calendar[[#This Row],[Year]])</f>
        <v>6/2023</v>
      </c>
      <c r="G2349">
        <f>WEEKDAY(calendar[[#This Row],[Date]],1)</f>
        <v>3</v>
      </c>
      <c r="H2349" t="str">
        <f>TEXT(calendar[[#This Row],[WeekDay]],"dddd")</f>
        <v>Tuesday</v>
      </c>
      <c r="I2349">
        <f>IF((INT(calendar[[#This Row],[Count]]/7)-calendar[[#This Row],[Count]]/7)&lt;0,I2348,I2348+1)</f>
        <v>336</v>
      </c>
      <c r="J2349">
        <f t="shared" si="184"/>
        <v>2347</v>
      </c>
      <c r="K2349">
        <f>IF(calendar[[#This Row],[Month]]&lt;4,1,IF(calendar[[#This Row],[Month]]&lt;7,2,IF(calendar[[#This Row],[Month]]&lt;10,3,4)))</f>
        <v>2</v>
      </c>
      <c r="L2349">
        <f>IFERROR(IF(VLOOKUP(calendar[[#This Row],[Date]],BH!A:A,1,)&lt;&gt;"",1,0),0)</f>
        <v>0</v>
      </c>
      <c r="M2349">
        <f>IFERROR(IF(VLOOKUP(calendar[[#This Row],[Date]],BH!C:C,1,)&lt;&gt;"",1,0),0)</f>
        <v>0</v>
      </c>
      <c r="N2349">
        <f>IFERROR(IF(VLOOKUP(calendar[[#This Row],[Date]],BH!E:E,1,)&lt;&gt;"",1,0),0)</f>
        <v>0</v>
      </c>
      <c r="O2349">
        <f>IFERROR(IF(VLOOKUP(calendar[[#This Row],[Date]],BH!G:G,1,)&lt;&gt;"",1,0),0)</f>
        <v>0</v>
      </c>
      <c r="P2349">
        <f>IF(OR(calendar[[#This Row],[UK_BH]]=1,calendar[[#This Row],[WeekDay]]=1, calendar[[#This Row],[WeekDay]]=7),P2348,P2348+1)</f>
        <v>1677</v>
      </c>
      <c r="Q2349">
        <f>IF(OR(calendar[[#This Row],[FR_BH]]=1,calendar[[#This Row],[WeekDay]]=1, calendar[[#This Row],[WeekDay]]=7),P2348,P2348+1)</f>
        <v>1677</v>
      </c>
      <c r="R2349">
        <f>IF(OR(calendar[[#This Row],[SP_BH]]=1,calendar[[#This Row],[WeekDay]]=1, calendar[[#This Row],[WeekDay]]=7),P2348,P2348+1)</f>
        <v>1677</v>
      </c>
      <c r="S2349">
        <f>IF(OR(calendar[[#This Row],[PT_BH]]=1,calendar[[#This Row],[WeekDay]]=1, calendar[[#This Row],[WeekDay]]=7),P2348,P2348+1)</f>
        <v>1677</v>
      </c>
    </row>
    <row r="2350" spans="1:19" x14ac:dyDescent="0.25">
      <c r="A2350" s="2">
        <v>45084</v>
      </c>
      <c r="B2350" s="1">
        <f t="shared" si="183"/>
        <v>23</v>
      </c>
      <c r="C2350">
        <f t="shared" si="185"/>
        <v>6</v>
      </c>
      <c r="D2350" t="str">
        <f t="shared" si="186"/>
        <v>June</v>
      </c>
      <c r="E2350">
        <f t="shared" si="187"/>
        <v>2023</v>
      </c>
      <c r="F2350" t="str">
        <f>CONCATENATE(calendar[[#This Row],[Month]],"/",calendar[[#This Row],[Year]])</f>
        <v>6/2023</v>
      </c>
      <c r="G2350">
        <f>WEEKDAY(calendar[[#This Row],[Date]],1)</f>
        <v>4</v>
      </c>
      <c r="H2350" t="str">
        <f>TEXT(calendar[[#This Row],[WeekDay]],"dddd")</f>
        <v>Wednesday</v>
      </c>
      <c r="I2350">
        <f>IF((INT(calendar[[#This Row],[Count]]/7)-calendar[[#This Row],[Count]]/7)&lt;0,I2349,I2349+1)</f>
        <v>336</v>
      </c>
      <c r="J2350">
        <f t="shared" si="184"/>
        <v>2348</v>
      </c>
      <c r="K2350">
        <f>IF(calendar[[#This Row],[Month]]&lt;4,1,IF(calendar[[#This Row],[Month]]&lt;7,2,IF(calendar[[#This Row],[Month]]&lt;10,3,4)))</f>
        <v>2</v>
      </c>
      <c r="L2350">
        <f>IFERROR(IF(VLOOKUP(calendar[[#This Row],[Date]],BH!A:A,1,)&lt;&gt;"",1,0),0)</f>
        <v>0</v>
      </c>
      <c r="M2350">
        <f>IFERROR(IF(VLOOKUP(calendar[[#This Row],[Date]],BH!C:C,1,)&lt;&gt;"",1,0),0)</f>
        <v>0</v>
      </c>
      <c r="N2350">
        <f>IFERROR(IF(VLOOKUP(calendar[[#This Row],[Date]],BH!E:E,1,)&lt;&gt;"",1,0),0)</f>
        <v>0</v>
      </c>
      <c r="O2350">
        <f>IFERROR(IF(VLOOKUP(calendar[[#This Row],[Date]],BH!G:G,1,)&lt;&gt;"",1,0),0)</f>
        <v>0</v>
      </c>
      <c r="P2350">
        <f>IF(OR(calendar[[#This Row],[UK_BH]]=1,calendar[[#This Row],[WeekDay]]=1, calendar[[#This Row],[WeekDay]]=7),P2349,P2349+1)</f>
        <v>1678</v>
      </c>
      <c r="Q2350">
        <f>IF(OR(calendar[[#This Row],[FR_BH]]=1,calendar[[#This Row],[WeekDay]]=1, calendar[[#This Row],[WeekDay]]=7),P2349,P2349+1)</f>
        <v>1678</v>
      </c>
      <c r="R2350">
        <f>IF(OR(calendar[[#This Row],[SP_BH]]=1,calendar[[#This Row],[WeekDay]]=1, calendar[[#This Row],[WeekDay]]=7),P2349,P2349+1)</f>
        <v>1678</v>
      </c>
      <c r="S2350">
        <f>IF(OR(calendar[[#This Row],[PT_BH]]=1,calendar[[#This Row],[WeekDay]]=1, calendar[[#This Row],[WeekDay]]=7),P2349,P2349+1)</f>
        <v>1678</v>
      </c>
    </row>
    <row r="2351" spans="1:19" x14ac:dyDescent="0.25">
      <c r="A2351" s="2">
        <v>45085</v>
      </c>
      <c r="B2351" s="1">
        <f t="shared" si="183"/>
        <v>23</v>
      </c>
      <c r="C2351">
        <f t="shared" si="185"/>
        <v>6</v>
      </c>
      <c r="D2351" t="str">
        <f t="shared" si="186"/>
        <v>June</v>
      </c>
      <c r="E2351">
        <f t="shared" si="187"/>
        <v>2023</v>
      </c>
      <c r="F2351" t="str">
        <f>CONCATENATE(calendar[[#This Row],[Month]],"/",calendar[[#This Row],[Year]])</f>
        <v>6/2023</v>
      </c>
      <c r="G2351">
        <f>WEEKDAY(calendar[[#This Row],[Date]],1)</f>
        <v>5</v>
      </c>
      <c r="H2351" t="str">
        <f>TEXT(calendar[[#This Row],[WeekDay]],"dddd")</f>
        <v>Thursday</v>
      </c>
      <c r="I2351">
        <f>IF((INT(calendar[[#This Row],[Count]]/7)-calendar[[#This Row],[Count]]/7)&lt;0,I2350,I2350+1)</f>
        <v>336</v>
      </c>
      <c r="J2351">
        <f t="shared" si="184"/>
        <v>2349</v>
      </c>
      <c r="K2351">
        <f>IF(calendar[[#This Row],[Month]]&lt;4,1,IF(calendar[[#This Row],[Month]]&lt;7,2,IF(calendar[[#This Row],[Month]]&lt;10,3,4)))</f>
        <v>2</v>
      </c>
      <c r="L2351">
        <f>IFERROR(IF(VLOOKUP(calendar[[#This Row],[Date]],BH!A:A,1,)&lt;&gt;"",1,0),0)</f>
        <v>0</v>
      </c>
      <c r="M2351">
        <f>IFERROR(IF(VLOOKUP(calendar[[#This Row],[Date]],BH!C:C,1,)&lt;&gt;"",1,0),0)</f>
        <v>0</v>
      </c>
      <c r="N2351">
        <f>IFERROR(IF(VLOOKUP(calendar[[#This Row],[Date]],BH!E:E,1,)&lt;&gt;"",1,0),0)</f>
        <v>0</v>
      </c>
      <c r="O2351">
        <f>IFERROR(IF(VLOOKUP(calendar[[#This Row],[Date]],BH!G:G,1,)&lt;&gt;"",1,0),0)</f>
        <v>0</v>
      </c>
      <c r="P2351">
        <f>IF(OR(calendar[[#This Row],[UK_BH]]=1,calendar[[#This Row],[WeekDay]]=1, calendar[[#This Row],[WeekDay]]=7),P2350,P2350+1)</f>
        <v>1679</v>
      </c>
      <c r="Q2351">
        <f>IF(OR(calendar[[#This Row],[FR_BH]]=1,calendar[[#This Row],[WeekDay]]=1, calendar[[#This Row],[WeekDay]]=7),P2350,P2350+1)</f>
        <v>1679</v>
      </c>
      <c r="R2351">
        <f>IF(OR(calendar[[#This Row],[SP_BH]]=1,calendar[[#This Row],[WeekDay]]=1, calendar[[#This Row],[WeekDay]]=7),P2350,P2350+1)</f>
        <v>1679</v>
      </c>
      <c r="S2351">
        <f>IF(OR(calendar[[#This Row],[PT_BH]]=1,calendar[[#This Row],[WeekDay]]=1, calendar[[#This Row],[WeekDay]]=7),P2350,P2350+1)</f>
        <v>1679</v>
      </c>
    </row>
    <row r="2352" spans="1:19" x14ac:dyDescent="0.25">
      <c r="A2352" s="2">
        <v>45086</v>
      </c>
      <c r="B2352" s="1">
        <f t="shared" si="183"/>
        <v>23</v>
      </c>
      <c r="C2352">
        <f t="shared" si="185"/>
        <v>6</v>
      </c>
      <c r="D2352" t="str">
        <f t="shared" si="186"/>
        <v>June</v>
      </c>
      <c r="E2352">
        <f t="shared" si="187"/>
        <v>2023</v>
      </c>
      <c r="F2352" t="str">
        <f>CONCATENATE(calendar[[#This Row],[Month]],"/",calendar[[#This Row],[Year]])</f>
        <v>6/2023</v>
      </c>
      <c r="G2352">
        <f>WEEKDAY(calendar[[#This Row],[Date]],1)</f>
        <v>6</v>
      </c>
      <c r="H2352" t="str">
        <f>TEXT(calendar[[#This Row],[WeekDay]],"dddd")</f>
        <v>Friday</v>
      </c>
      <c r="I2352">
        <f>IF((INT(calendar[[#This Row],[Count]]/7)-calendar[[#This Row],[Count]]/7)&lt;0,I2351,I2351+1)</f>
        <v>336</v>
      </c>
      <c r="J2352">
        <f t="shared" si="184"/>
        <v>2350</v>
      </c>
      <c r="K2352">
        <f>IF(calendar[[#This Row],[Month]]&lt;4,1,IF(calendar[[#This Row],[Month]]&lt;7,2,IF(calendar[[#This Row],[Month]]&lt;10,3,4)))</f>
        <v>2</v>
      </c>
      <c r="L2352">
        <f>IFERROR(IF(VLOOKUP(calendar[[#This Row],[Date]],BH!A:A,1,)&lt;&gt;"",1,0),0)</f>
        <v>0</v>
      </c>
      <c r="M2352">
        <f>IFERROR(IF(VLOOKUP(calendar[[#This Row],[Date]],BH!C:C,1,)&lt;&gt;"",1,0),0)</f>
        <v>0</v>
      </c>
      <c r="N2352">
        <f>IFERROR(IF(VLOOKUP(calendar[[#This Row],[Date]],BH!E:E,1,)&lt;&gt;"",1,0),0)</f>
        <v>0</v>
      </c>
      <c r="O2352">
        <f>IFERROR(IF(VLOOKUP(calendar[[#This Row],[Date]],BH!G:G,1,)&lt;&gt;"",1,0),0)</f>
        <v>0</v>
      </c>
      <c r="P2352">
        <f>IF(OR(calendar[[#This Row],[UK_BH]]=1,calendar[[#This Row],[WeekDay]]=1, calendar[[#This Row],[WeekDay]]=7),P2351,P2351+1)</f>
        <v>1680</v>
      </c>
      <c r="Q2352">
        <f>IF(OR(calendar[[#This Row],[FR_BH]]=1,calendar[[#This Row],[WeekDay]]=1, calendar[[#This Row],[WeekDay]]=7),P2351,P2351+1)</f>
        <v>1680</v>
      </c>
      <c r="R2352">
        <f>IF(OR(calendar[[#This Row],[SP_BH]]=1,calendar[[#This Row],[WeekDay]]=1, calendar[[#This Row],[WeekDay]]=7),P2351,P2351+1)</f>
        <v>1680</v>
      </c>
      <c r="S2352">
        <f>IF(OR(calendar[[#This Row],[PT_BH]]=1,calendar[[#This Row],[WeekDay]]=1, calendar[[#This Row],[WeekDay]]=7),P2351,P2351+1)</f>
        <v>1680</v>
      </c>
    </row>
    <row r="2353" spans="1:19" x14ac:dyDescent="0.25">
      <c r="A2353" s="2">
        <v>45087</v>
      </c>
      <c r="B2353" s="1">
        <f t="shared" si="183"/>
        <v>23</v>
      </c>
      <c r="C2353">
        <f t="shared" si="185"/>
        <v>6</v>
      </c>
      <c r="D2353" t="str">
        <f t="shared" si="186"/>
        <v>June</v>
      </c>
      <c r="E2353">
        <f t="shared" si="187"/>
        <v>2023</v>
      </c>
      <c r="F2353" t="str">
        <f>CONCATENATE(calendar[[#This Row],[Month]],"/",calendar[[#This Row],[Year]])</f>
        <v>6/2023</v>
      </c>
      <c r="G2353">
        <f>WEEKDAY(calendar[[#This Row],[Date]],1)</f>
        <v>7</v>
      </c>
      <c r="H2353" t="str">
        <f>TEXT(calendar[[#This Row],[WeekDay]],"dddd")</f>
        <v>Saturday</v>
      </c>
      <c r="I2353">
        <f>IF((INT(calendar[[#This Row],[Count]]/7)-calendar[[#This Row],[Count]]/7)&lt;0,I2352,I2352+1)</f>
        <v>336</v>
      </c>
      <c r="J2353">
        <f t="shared" si="184"/>
        <v>2351</v>
      </c>
      <c r="K2353">
        <f>IF(calendar[[#This Row],[Month]]&lt;4,1,IF(calendar[[#This Row],[Month]]&lt;7,2,IF(calendar[[#This Row],[Month]]&lt;10,3,4)))</f>
        <v>2</v>
      </c>
      <c r="L2353">
        <f>IFERROR(IF(VLOOKUP(calendar[[#This Row],[Date]],BH!A:A,1,)&lt;&gt;"",1,0),0)</f>
        <v>0</v>
      </c>
      <c r="M2353">
        <f>IFERROR(IF(VLOOKUP(calendar[[#This Row],[Date]],BH!C:C,1,)&lt;&gt;"",1,0),0)</f>
        <v>0</v>
      </c>
      <c r="N2353">
        <f>IFERROR(IF(VLOOKUP(calendar[[#This Row],[Date]],BH!E:E,1,)&lt;&gt;"",1,0),0)</f>
        <v>0</v>
      </c>
      <c r="O2353">
        <f>IFERROR(IF(VLOOKUP(calendar[[#This Row],[Date]],BH!G:G,1,)&lt;&gt;"",1,0),0)</f>
        <v>0</v>
      </c>
      <c r="P2353">
        <f>IF(OR(calendar[[#This Row],[UK_BH]]=1,calendar[[#This Row],[WeekDay]]=1, calendar[[#This Row],[WeekDay]]=7),P2352,P2352+1)</f>
        <v>1680</v>
      </c>
      <c r="Q2353">
        <f>IF(OR(calendar[[#This Row],[FR_BH]]=1,calendar[[#This Row],[WeekDay]]=1, calendar[[#This Row],[WeekDay]]=7),P2352,P2352+1)</f>
        <v>1680</v>
      </c>
      <c r="R2353">
        <f>IF(OR(calendar[[#This Row],[SP_BH]]=1,calendar[[#This Row],[WeekDay]]=1, calendar[[#This Row],[WeekDay]]=7),P2352,P2352+1)</f>
        <v>1680</v>
      </c>
      <c r="S2353">
        <f>IF(OR(calendar[[#This Row],[PT_BH]]=1,calendar[[#This Row],[WeekDay]]=1, calendar[[#This Row],[WeekDay]]=7),P2352,P2352+1)</f>
        <v>1680</v>
      </c>
    </row>
    <row r="2354" spans="1:19" x14ac:dyDescent="0.25">
      <c r="A2354" s="2">
        <v>45088</v>
      </c>
      <c r="B2354" s="1">
        <f t="shared" si="183"/>
        <v>24</v>
      </c>
      <c r="C2354">
        <f t="shared" si="185"/>
        <v>6</v>
      </c>
      <c r="D2354" t="str">
        <f t="shared" si="186"/>
        <v>June</v>
      </c>
      <c r="E2354">
        <f t="shared" si="187"/>
        <v>2023</v>
      </c>
      <c r="F2354" t="str">
        <f>CONCATENATE(calendar[[#This Row],[Month]],"/",calendar[[#This Row],[Year]])</f>
        <v>6/2023</v>
      </c>
      <c r="G2354">
        <f>WEEKDAY(calendar[[#This Row],[Date]],1)</f>
        <v>1</v>
      </c>
      <c r="H2354" t="str">
        <f>TEXT(calendar[[#This Row],[WeekDay]],"dddd")</f>
        <v>Sunday</v>
      </c>
      <c r="I2354">
        <f>IF((INT(calendar[[#This Row],[Count]]/7)-calendar[[#This Row],[Count]]/7)&lt;0,I2353,I2353+1)</f>
        <v>337</v>
      </c>
      <c r="J2354">
        <f t="shared" si="184"/>
        <v>2352</v>
      </c>
      <c r="K2354">
        <f>IF(calendar[[#This Row],[Month]]&lt;4,1,IF(calendar[[#This Row],[Month]]&lt;7,2,IF(calendar[[#This Row],[Month]]&lt;10,3,4)))</f>
        <v>2</v>
      </c>
      <c r="L2354">
        <f>IFERROR(IF(VLOOKUP(calendar[[#This Row],[Date]],BH!A:A,1,)&lt;&gt;"",1,0),0)</f>
        <v>0</v>
      </c>
      <c r="M2354">
        <f>IFERROR(IF(VLOOKUP(calendar[[#This Row],[Date]],BH!C:C,1,)&lt;&gt;"",1,0),0)</f>
        <v>0</v>
      </c>
      <c r="N2354">
        <f>IFERROR(IF(VLOOKUP(calendar[[#This Row],[Date]],BH!E:E,1,)&lt;&gt;"",1,0),0)</f>
        <v>0</v>
      </c>
      <c r="O2354">
        <f>IFERROR(IF(VLOOKUP(calendar[[#This Row],[Date]],BH!G:G,1,)&lt;&gt;"",1,0),0)</f>
        <v>0</v>
      </c>
      <c r="P2354">
        <f>IF(OR(calendar[[#This Row],[UK_BH]]=1,calendar[[#This Row],[WeekDay]]=1, calendar[[#This Row],[WeekDay]]=7),P2353,P2353+1)</f>
        <v>1680</v>
      </c>
      <c r="Q2354">
        <f>IF(OR(calendar[[#This Row],[FR_BH]]=1,calendar[[#This Row],[WeekDay]]=1, calendar[[#This Row],[WeekDay]]=7),P2353,P2353+1)</f>
        <v>1680</v>
      </c>
      <c r="R2354">
        <f>IF(OR(calendar[[#This Row],[SP_BH]]=1,calendar[[#This Row],[WeekDay]]=1, calendar[[#This Row],[WeekDay]]=7),P2353,P2353+1)</f>
        <v>1680</v>
      </c>
      <c r="S2354">
        <f>IF(OR(calendar[[#This Row],[PT_BH]]=1,calendar[[#This Row],[WeekDay]]=1, calendar[[#This Row],[WeekDay]]=7),P2353,P2353+1)</f>
        <v>1680</v>
      </c>
    </row>
    <row r="2355" spans="1:19" x14ac:dyDescent="0.25">
      <c r="A2355" s="2">
        <v>45089</v>
      </c>
      <c r="B2355" s="1">
        <f t="shared" si="183"/>
        <v>24</v>
      </c>
      <c r="C2355">
        <f t="shared" si="185"/>
        <v>6</v>
      </c>
      <c r="D2355" t="str">
        <f t="shared" si="186"/>
        <v>June</v>
      </c>
      <c r="E2355">
        <f t="shared" si="187"/>
        <v>2023</v>
      </c>
      <c r="F2355" t="str">
        <f>CONCATENATE(calendar[[#This Row],[Month]],"/",calendar[[#This Row],[Year]])</f>
        <v>6/2023</v>
      </c>
      <c r="G2355">
        <f>WEEKDAY(calendar[[#This Row],[Date]],1)</f>
        <v>2</v>
      </c>
      <c r="H2355" t="str">
        <f>TEXT(calendar[[#This Row],[WeekDay]],"dddd")</f>
        <v>Monday</v>
      </c>
      <c r="I2355">
        <f>IF((INT(calendar[[#This Row],[Count]]/7)-calendar[[#This Row],[Count]]/7)&lt;0,I2354,I2354+1)</f>
        <v>337</v>
      </c>
      <c r="J2355">
        <f t="shared" si="184"/>
        <v>2353</v>
      </c>
      <c r="K2355">
        <f>IF(calendar[[#This Row],[Month]]&lt;4,1,IF(calendar[[#This Row],[Month]]&lt;7,2,IF(calendar[[#This Row],[Month]]&lt;10,3,4)))</f>
        <v>2</v>
      </c>
      <c r="L2355">
        <f>IFERROR(IF(VLOOKUP(calendar[[#This Row],[Date]],BH!A:A,1,)&lt;&gt;"",1,0),0)</f>
        <v>0</v>
      </c>
      <c r="M2355">
        <f>IFERROR(IF(VLOOKUP(calendar[[#This Row],[Date]],BH!C:C,1,)&lt;&gt;"",1,0),0)</f>
        <v>0</v>
      </c>
      <c r="N2355">
        <f>IFERROR(IF(VLOOKUP(calendar[[#This Row],[Date]],BH!E:E,1,)&lt;&gt;"",1,0),0)</f>
        <v>0</v>
      </c>
      <c r="O2355">
        <f>IFERROR(IF(VLOOKUP(calendar[[#This Row],[Date]],BH!G:G,1,)&lt;&gt;"",1,0),0)</f>
        <v>0</v>
      </c>
      <c r="P2355">
        <f>IF(OR(calendar[[#This Row],[UK_BH]]=1,calendar[[#This Row],[WeekDay]]=1, calendar[[#This Row],[WeekDay]]=7),P2354,P2354+1)</f>
        <v>1681</v>
      </c>
      <c r="Q2355">
        <f>IF(OR(calendar[[#This Row],[FR_BH]]=1,calendar[[#This Row],[WeekDay]]=1, calendar[[#This Row],[WeekDay]]=7),P2354,P2354+1)</f>
        <v>1681</v>
      </c>
      <c r="R2355">
        <f>IF(OR(calendar[[#This Row],[SP_BH]]=1,calendar[[#This Row],[WeekDay]]=1, calendar[[#This Row],[WeekDay]]=7),P2354,P2354+1)</f>
        <v>1681</v>
      </c>
      <c r="S2355">
        <f>IF(OR(calendar[[#This Row],[PT_BH]]=1,calendar[[#This Row],[WeekDay]]=1, calendar[[#This Row],[WeekDay]]=7),P2354,P2354+1)</f>
        <v>1681</v>
      </c>
    </row>
    <row r="2356" spans="1:19" x14ac:dyDescent="0.25">
      <c r="A2356" s="2">
        <v>45090</v>
      </c>
      <c r="B2356" s="1">
        <f t="shared" si="183"/>
        <v>24</v>
      </c>
      <c r="C2356">
        <f t="shared" si="185"/>
        <v>6</v>
      </c>
      <c r="D2356" t="str">
        <f t="shared" si="186"/>
        <v>June</v>
      </c>
      <c r="E2356">
        <f t="shared" si="187"/>
        <v>2023</v>
      </c>
      <c r="F2356" t="str">
        <f>CONCATENATE(calendar[[#This Row],[Month]],"/",calendar[[#This Row],[Year]])</f>
        <v>6/2023</v>
      </c>
      <c r="G2356">
        <f>WEEKDAY(calendar[[#This Row],[Date]],1)</f>
        <v>3</v>
      </c>
      <c r="H2356" t="str">
        <f>TEXT(calendar[[#This Row],[WeekDay]],"dddd")</f>
        <v>Tuesday</v>
      </c>
      <c r="I2356">
        <f>IF((INT(calendar[[#This Row],[Count]]/7)-calendar[[#This Row],[Count]]/7)&lt;0,I2355,I2355+1)</f>
        <v>337</v>
      </c>
      <c r="J2356">
        <f t="shared" si="184"/>
        <v>2354</v>
      </c>
      <c r="K2356">
        <f>IF(calendar[[#This Row],[Month]]&lt;4,1,IF(calendar[[#This Row],[Month]]&lt;7,2,IF(calendar[[#This Row],[Month]]&lt;10,3,4)))</f>
        <v>2</v>
      </c>
      <c r="L2356">
        <f>IFERROR(IF(VLOOKUP(calendar[[#This Row],[Date]],BH!A:A,1,)&lt;&gt;"",1,0),0)</f>
        <v>0</v>
      </c>
      <c r="M2356">
        <f>IFERROR(IF(VLOOKUP(calendar[[#This Row],[Date]],BH!C:C,1,)&lt;&gt;"",1,0),0)</f>
        <v>0</v>
      </c>
      <c r="N2356">
        <f>IFERROR(IF(VLOOKUP(calendar[[#This Row],[Date]],BH!E:E,1,)&lt;&gt;"",1,0),0)</f>
        <v>0</v>
      </c>
      <c r="O2356">
        <f>IFERROR(IF(VLOOKUP(calendar[[#This Row],[Date]],BH!G:G,1,)&lt;&gt;"",1,0),0)</f>
        <v>0</v>
      </c>
      <c r="P2356">
        <f>IF(OR(calendar[[#This Row],[UK_BH]]=1,calendar[[#This Row],[WeekDay]]=1, calendar[[#This Row],[WeekDay]]=7),P2355,P2355+1)</f>
        <v>1682</v>
      </c>
      <c r="Q2356">
        <f>IF(OR(calendar[[#This Row],[FR_BH]]=1,calendar[[#This Row],[WeekDay]]=1, calendar[[#This Row],[WeekDay]]=7),P2355,P2355+1)</f>
        <v>1682</v>
      </c>
      <c r="R2356">
        <f>IF(OR(calendar[[#This Row],[SP_BH]]=1,calendar[[#This Row],[WeekDay]]=1, calendar[[#This Row],[WeekDay]]=7),P2355,P2355+1)</f>
        <v>1682</v>
      </c>
      <c r="S2356">
        <f>IF(OR(calendar[[#This Row],[PT_BH]]=1,calendar[[#This Row],[WeekDay]]=1, calendar[[#This Row],[WeekDay]]=7),P2355,P2355+1)</f>
        <v>1682</v>
      </c>
    </row>
    <row r="2357" spans="1:19" x14ac:dyDescent="0.25">
      <c r="A2357" s="2">
        <v>45091</v>
      </c>
      <c r="B2357" s="1">
        <f t="shared" si="183"/>
        <v>24</v>
      </c>
      <c r="C2357">
        <f t="shared" si="185"/>
        <v>6</v>
      </c>
      <c r="D2357" t="str">
        <f t="shared" si="186"/>
        <v>June</v>
      </c>
      <c r="E2357">
        <f t="shared" si="187"/>
        <v>2023</v>
      </c>
      <c r="F2357" t="str">
        <f>CONCATENATE(calendar[[#This Row],[Month]],"/",calendar[[#This Row],[Year]])</f>
        <v>6/2023</v>
      </c>
      <c r="G2357">
        <f>WEEKDAY(calendar[[#This Row],[Date]],1)</f>
        <v>4</v>
      </c>
      <c r="H2357" t="str">
        <f>TEXT(calendar[[#This Row],[WeekDay]],"dddd")</f>
        <v>Wednesday</v>
      </c>
      <c r="I2357">
        <f>IF((INT(calendar[[#This Row],[Count]]/7)-calendar[[#This Row],[Count]]/7)&lt;0,I2356,I2356+1)</f>
        <v>337</v>
      </c>
      <c r="J2357">
        <f t="shared" si="184"/>
        <v>2355</v>
      </c>
      <c r="K2357">
        <f>IF(calendar[[#This Row],[Month]]&lt;4,1,IF(calendar[[#This Row],[Month]]&lt;7,2,IF(calendar[[#This Row],[Month]]&lt;10,3,4)))</f>
        <v>2</v>
      </c>
      <c r="L2357">
        <f>IFERROR(IF(VLOOKUP(calendar[[#This Row],[Date]],BH!A:A,1,)&lt;&gt;"",1,0),0)</f>
        <v>0</v>
      </c>
      <c r="M2357">
        <f>IFERROR(IF(VLOOKUP(calendar[[#This Row],[Date]],BH!C:C,1,)&lt;&gt;"",1,0),0)</f>
        <v>0</v>
      </c>
      <c r="N2357">
        <f>IFERROR(IF(VLOOKUP(calendar[[#This Row],[Date]],BH!E:E,1,)&lt;&gt;"",1,0),0)</f>
        <v>0</v>
      </c>
      <c r="O2357">
        <f>IFERROR(IF(VLOOKUP(calendar[[#This Row],[Date]],BH!G:G,1,)&lt;&gt;"",1,0),0)</f>
        <v>0</v>
      </c>
      <c r="P2357">
        <f>IF(OR(calendar[[#This Row],[UK_BH]]=1,calendar[[#This Row],[WeekDay]]=1, calendar[[#This Row],[WeekDay]]=7),P2356,P2356+1)</f>
        <v>1683</v>
      </c>
      <c r="Q2357">
        <f>IF(OR(calendar[[#This Row],[FR_BH]]=1,calendar[[#This Row],[WeekDay]]=1, calendar[[#This Row],[WeekDay]]=7),P2356,P2356+1)</f>
        <v>1683</v>
      </c>
      <c r="R2357">
        <f>IF(OR(calendar[[#This Row],[SP_BH]]=1,calendar[[#This Row],[WeekDay]]=1, calendar[[#This Row],[WeekDay]]=7),P2356,P2356+1)</f>
        <v>1683</v>
      </c>
      <c r="S2357">
        <f>IF(OR(calendar[[#This Row],[PT_BH]]=1,calendar[[#This Row],[WeekDay]]=1, calendar[[#This Row],[WeekDay]]=7),P2356,P2356+1)</f>
        <v>1683</v>
      </c>
    </row>
    <row r="2358" spans="1:19" x14ac:dyDescent="0.25">
      <c r="A2358" s="2">
        <v>45092</v>
      </c>
      <c r="B2358" s="1">
        <f t="shared" si="183"/>
        <v>24</v>
      </c>
      <c r="C2358">
        <f t="shared" si="185"/>
        <v>6</v>
      </c>
      <c r="D2358" t="str">
        <f t="shared" si="186"/>
        <v>June</v>
      </c>
      <c r="E2358">
        <f t="shared" si="187"/>
        <v>2023</v>
      </c>
      <c r="F2358" t="str">
        <f>CONCATENATE(calendar[[#This Row],[Month]],"/",calendar[[#This Row],[Year]])</f>
        <v>6/2023</v>
      </c>
      <c r="G2358">
        <f>WEEKDAY(calendar[[#This Row],[Date]],1)</f>
        <v>5</v>
      </c>
      <c r="H2358" t="str">
        <f>TEXT(calendar[[#This Row],[WeekDay]],"dddd")</f>
        <v>Thursday</v>
      </c>
      <c r="I2358">
        <f>IF((INT(calendar[[#This Row],[Count]]/7)-calendar[[#This Row],[Count]]/7)&lt;0,I2357,I2357+1)</f>
        <v>337</v>
      </c>
      <c r="J2358">
        <f t="shared" si="184"/>
        <v>2356</v>
      </c>
      <c r="K2358">
        <f>IF(calendar[[#This Row],[Month]]&lt;4,1,IF(calendar[[#This Row],[Month]]&lt;7,2,IF(calendar[[#This Row],[Month]]&lt;10,3,4)))</f>
        <v>2</v>
      </c>
      <c r="L2358">
        <f>IFERROR(IF(VLOOKUP(calendar[[#This Row],[Date]],BH!A:A,1,)&lt;&gt;"",1,0),0)</f>
        <v>0</v>
      </c>
      <c r="M2358">
        <f>IFERROR(IF(VLOOKUP(calendar[[#This Row],[Date]],BH!C:C,1,)&lt;&gt;"",1,0),0)</f>
        <v>0</v>
      </c>
      <c r="N2358">
        <f>IFERROR(IF(VLOOKUP(calendar[[#This Row],[Date]],BH!E:E,1,)&lt;&gt;"",1,0),0)</f>
        <v>0</v>
      </c>
      <c r="O2358">
        <f>IFERROR(IF(VLOOKUP(calendar[[#This Row],[Date]],BH!G:G,1,)&lt;&gt;"",1,0),0)</f>
        <v>0</v>
      </c>
      <c r="P2358">
        <f>IF(OR(calendar[[#This Row],[UK_BH]]=1,calendar[[#This Row],[WeekDay]]=1, calendar[[#This Row],[WeekDay]]=7),P2357,P2357+1)</f>
        <v>1684</v>
      </c>
      <c r="Q2358">
        <f>IF(OR(calendar[[#This Row],[FR_BH]]=1,calendar[[#This Row],[WeekDay]]=1, calendar[[#This Row],[WeekDay]]=7),P2357,P2357+1)</f>
        <v>1684</v>
      </c>
      <c r="R2358">
        <f>IF(OR(calendar[[#This Row],[SP_BH]]=1,calendar[[#This Row],[WeekDay]]=1, calendar[[#This Row],[WeekDay]]=7),P2357,P2357+1)</f>
        <v>1684</v>
      </c>
      <c r="S2358">
        <f>IF(OR(calendar[[#This Row],[PT_BH]]=1,calendar[[#This Row],[WeekDay]]=1, calendar[[#This Row],[WeekDay]]=7),P2357,P2357+1)</f>
        <v>1684</v>
      </c>
    </row>
    <row r="2359" spans="1:19" x14ac:dyDescent="0.25">
      <c r="A2359" s="2">
        <v>45093</v>
      </c>
      <c r="B2359" s="1">
        <f t="shared" si="183"/>
        <v>24</v>
      </c>
      <c r="C2359">
        <f t="shared" si="185"/>
        <v>6</v>
      </c>
      <c r="D2359" t="str">
        <f t="shared" si="186"/>
        <v>June</v>
      </c>
      <c r="E2359">
        <f t="shared" si="187"/>
        <v>2023</v>
      </c>
      <c r="F2359" t="str">
        <f>CONCATENATE(calendar[[#This Row],[Month]],"/",calendar[[#This Row],[Year]])</f>
        <v>6/2023</v>
      </c>
      <c r="G2359">
        <f>WEEKDAY(calendar[[#This Row],[Date]],1)</f>
        <v>6</v>
      </c>
      <c r="H2359" t="str">
        <f>TEXT(calendar[[#This Row],[WeekDay]],"dddd")</f>
        <v>Friday</v>
      </c>
      <c r="I2359">
        <f>IF((INT(calendar[[#This Row],[Count]]/7)-calendar[[#This Row],[Count]]/7)&lt;0,I2358,I2358+1)</f>
        <v>337</v>
      </c>
      <c r="J2359">
        <f t="shared" si="184"/>
        <v>2357</v>
      </c>
      <c r="K2359">
        <f>IF(calendar[[#This Row],[Month]]&lt;4,1,IF(calendar[[#This Row],[Month]]&lt;7,2,IF(calendar[[#This Row],[Month]]&lt;10,3,4)))</f>
        <v>2</v>
      </c>
      <c r="L2359">
        <f>IFERROR(IF(VLOOKUP(calendar[[#This Row],[Date]],BH!A:A,1,)&lt;&gt;"",1,0),0)</f>
        <v>0</v>
      </c>
      <c r="M2359">
        <f>IFERROR(IF(VLOOKUP(calendar[[#This Row],[Date]],BH!C:C,1,)&lt;&gt;"",1,0),0)</f>
        <v>0</v>
      </c>
      <c r="N2359">
        <f>IFERROR(IF(VLOOKUP(calendar[[#This Row],[Date]],BH!E:E,1,)&lt;&gt;"",1,0),0)</f>
        <v>0</v>
      </c>
      <c r="O2359">
        <f>IFERROR(IF(VLOOKUP(calendar[[#This Row],[Date]],BH!G:G,1,)&lt;&gt;"",1,0),0)</f>
        <v>0</v>
      </c>
      <c r="P2359">
        <f>IF(OR(calendar[[#This Row],[UK_BH]]=1,calendar[[#This Row],[WeekDay]]=1, calendar[[#This Row],[WeekDay]]=7),P2358,P2358+1)</f>
        <v>1685</v>
      </c>
      <c r="Q2359">
        <f>IF(OR(calendar[[#This Row],[FR_BH]]=1,calendar[[#This Row],[WeekDay]]=1, calendar[[#This Row],[WeekDay]]=7),P2358,P2358+1)</f>
        <v>1685</v>
      </c>
      <c r="R2359">
        <f>IF(OR(calendar[[#This Row],[SP_BH]]=1,calendar[[#This Row],[WeekDay]]=1, calendar[[#This Row],[WeekDay]]=7),P2358,P2358+1)</f>
        <v>1685</v>
      </c>
      <c r="S2359">
        <f>IF(OR(calendar[[#This Row],[PT_BH]]=1,calendar[[#This Row],[WeekDay]]=1, calendar[[#This Row],[WeekDay]]=7),P2358,P2358+1)</f>
        <v>1685</v>
      </c>
    </row>
    <row r="2360" spans="1:19" x14ac:dyDescent="0.25">
      <c r="A2360" s="2">
        <v>45094</v>
      </c>
      <c r="B2360" s="1">
        <f t="shared" si="183"/>
        <v>24</v>
      </c>
      <c r="C2360">
        <f t="shared" si="185"/>
        <v>6</v>
      </c>
      <c r="D2360" t="str">
        <f t="shared" si="186"/>
        <v>June</v>
      </c>
      <c r="E2360">
        <f t="shared" si="187"/>
        <v>2023</v>
      </c>
      <c r="F2360" t="str">
        <f>CONCATENATE(calendar[[#This Row],[Month]],"/",calendar[[#This Row],[Year]])</f>
        <v>6/2023</v>
      </c>
      <c r="G2360">
        <f>WEEKDAY(calendar[[#This Row],[Date]],1)</f>
        <v>7</v>
      </c>
      <c r="H2360" t="str">
        <f>TEXT(calendar[[#This Row],[WeekDay]],"dddd")</f>
        <v>Saturday</v>
      </c>
      <c r="I2360">
        <f>IF((INT(calendar[[#This Row],[Count]]/7)-calendar[[#This Row],[Count]]/7)&lt;0,I2359,I2359+1)</f>
        <v>337</v>
      </c>
      <c r="J2360">
        <f t="shared" si="184"/>
        <v>2358</v>
      </c>
      <c r="K2360">
        <f>IF(calendar[[#This Row],[Month]]&lt;4,1,IF(calendar[[#This Row],[Month]]&lt;7,2,IF(calendar[[#This Row],[Month]]&lt;10,3,4)))</f>
        <v>2</v>
      </c>
      <c r="L2360">
        <f>IFERROR(IF(VLOOKUP(calendar[[#This Row],[Date]],BH!A:A,1,)&lt;&gt;"",1,0),0)</f>
        <v>0</v>
      </c>
      <c r="M2360">
        <f>IFERROR(IF(VLOOKUP(calendar[[#This Row],[Date]],BH!C:C,1,)&lt;&gt;"",1,0),0)</f>
        <v>0</v>
      </c>
      <c r="N2360">
        <f>IFERROR(IF(VLOOKUP(calendar[[#This Row],[Date]],BH!E:E,1,)&lt;&gt;"",1,0),0)</f>
        <v>0</v>
      </c>
      <c r="O2360">
        <f>IFERROR(IF(VLOOKUP(calendar[[#This Row],[Date]],BH!G:G,1,)&lt;&gt;"",1,0),0)</f>
        <v>0</v>
      </c>
      <c r="P2360">
        <f>IF(OR(calendar[[#This Row],[UK_BH]]=1,calendar[[#This Row],[WeekDay]]=1, calendar[[#This Row],[WeekDay]]=7),P2359,P2359+1)</f>
        <v>1685</v>
      </c>
      <c r="Q2360">
        <f>IF(OR(calendar[[#This Row],[FR_BH]]=1,calendar[[#This Row],[WeekDay]]=1, calendar[[#This Row],[WeekDay]]=7),P2359,P2359+1)</f>
        <v>1685</v>
      </c>
      <c r="R2360">
        <f>IF(OR(calendar[[#This Row],[SP_BH]]=1,calendar[[#This Row],[WeekDay]]=1, calendar[[#This Row],[WeekDay]]=7),P2359,P2359+1)</f>
        <v>1685</v>
      </c>
      <c r="S2360">
        <f>IF(OR(calendar[[#This Row],[PT_BH]]=1,calendar[[#This Row],[WeekDay]]=1, calendar[[#This Row],[WeekDay]]=7),P2359,P2359+1)</f>
        <v>1685</v>
      </c>
    </row>
    <row r="2361" spans="1:19" x14ac:dyDescent="0.25">
      <c r="A2361" s="2">
        <v>45095</v>
      </c>
      <c r="B2361" s="1">
        <f t="shared" si="183"/>
        <v>25</v>
      </c>
      <c r="C2361">
        <f t="shared" si="185"/>
        <v>6</v>
      </c>
      <c r="D2361" t="str">
        <f t="shared" si="186"/>
        <v>June</v>
      </c>
      <c r="E2361">
        <f t="shared" si="187"/>
        <v>2023</v>
      </c>
      <c r="F2361" t="str">
        <f>CONCATENATE(calendar[[#This Row],[Month]],"/",calendar[[#This Row],[Year]])</f>
        <v>6/2023</v>
      </c>
      <c r="G2361">
        <f>WEEKDAY(calendar[[#This Row],[Date]],1)</f>
        <v>1</v>
      </c>
      <c r="H2361" t="str">
        <f>TEXT(calendar[[#This Row],[WeekDay]],"dddd")</f>
        <v>Sunday</v>
      </c>
      <c r="I2361">
        <f>IF((INT(calendar[[#This Row],[Count]]/7)-calendar[[#This Row],[Count]]/7)&lt;0,I2360,I2360+1)</f>
        <v>338</v>
      </c>
      <c r="J2361">
        <f t="shared" si="184"/>
        <v>2359</v>
      </c>
      <c r="K2361">
        <f>IF(calendar[[#This Row],[Month]]&lt;4,1,IF(calendar[[#This Row],[Month]]&lt;7,2,IF(calendar[[#This Row],[Month]]&lt;10,3,4)))</f>
        <v>2</v>
      </c>
      <c r="L2361">
        <f>IFERROR(IF(VLOOKUP(calendar[[#This Row],[Date]],BH!A:A,1,)&lt;&gt;"",1,0),0)</f>
        <v>0</v>
      </c>
      <c r="M2361">
        <f>IFERROR(IF(VLOOKUP(calendar[[#This Row],[Date]],BH!C:C,1,)&lt;&gt;"",1,0),0)</f>
        <v>0</v>
      </c>
      <c r="N2361">
        <f>IFERROR(IF(VLOOKUP(calendar[[#This Row],[Date]],BH!E:E,1,)&lt;&gt;"",1,0),0)</f>
        <v>0</v>
      </c>
      <c r="O2361">
        <f>IFERROR(IF(VLOOKUP(calendar[[#This Row],[Date]],BH!G:G,1,)&lt;&gt;"",1,0),0)</f>
        <v>0</v>
      </c>
      <c r="P2361">
        <f>IF(OR(calendar[[#This Row],[UK_BH]]=1,calendar[[#This Row],[WeekDay]]=1, calendar[[#This Row],[WeekDay]]=7),P2360,P2360+1)</f>
        <v>1685</v>
      </c>
      <c r="Q2361">
        <f>IF(OR(calendar[[#This Row],[FR_BH]]=1,calendar[[#This Row],[WeekDay]]=1, calendar[[#This Row],[WeekDay]]=7),P2360,P2360+1)</f>
        <v>1685</v>
      </c>
      <c r="R2361">
        <f>IF(OR(calendar[[#This Row],[SP_BH]]=1,calendar[[#This Row],[WeekDay]]=1, calendar[[#This Row],[WeekDay]]=7),P2360,P2360+1)</f>
        <v>1685</v>
      </c>
      <c r="S2361">
        <f>IF(OR(calendar[[#This Row],[PT_BH]]=1,calendar[[#This Row],[WeekDay]]=1, calendar[[#This Row],[WeekDay]]=7),P2360,P2360+1)</f>
        <v>1685</v>
      </c>
    </row>
    <row r="2362" spans="1:19" x14ac:dyDescent="0.25">
      <c r="A2362" s="2">
        <v>45096</v>
      </c>
      <c r="B2362" s="1">
        <f t="shared" si="183"/>
        <v>25</v>
      </c>
      <c r="C2362">
        <f t="shared" si="185"/>
        <v>6</v>
      </c>
      <c r="D2362" t="str">
        <f t="shared" si="186"/>
        <v>June</v>
      </c>
      <c r="E2362">
        <f t="shared" si="187"/>
        <v>2023</v>
      </c>
      <c r="F2362" t="str">
        <f>CONCATENATE(calendar[[#This Row],[Month]],"/",calendar[[#This Row],[Year]])</f>
        <v>6/2023</v>
      </c>
      <c r="G2362">
        <f>WEEKDAY(calendar[[#This Row],[Date]],1)</f>
        <v>2</v>
      </c>
      <c r="H2362" t="str">
        <f>TEXT(calendar[[#This Row],[WeekDay]],"dddd")</f>
        <v>Monday</v>
      </c>
      <c r="I2362">
        <f>IF((INT(calendar[[#This Row],[Count]]/7)-calendar[[#This Row],[Count]]/7)&lt;0,I2361,I2361+1)</f>
        <v>338</v>
      </c>
      <c r="J2362">
        <f t="shared" si="184"/>
        <v>2360</v>
      </c>
      <c r="K2362">
        <f>IF(calendar[[#This Row],[Month]]&lt;4,1,IF(calendar[[#This Row],[Month]]&lt;7,2,IF(calendar[[#This Row],[Month]]&lt;10,3,4)))</f>
        <v>2</v>
      </c>
      <c r="L2362">
        <f>IFERROR(IF(VLOOKUP(calendar[[#This Row],[Date]],BH!A:A,1,)&lt;&gt;"",1,0),0)</f>
        <v>0</v>
      </c>
      <c r="M2362">
        <f>IFERROR(IF(VLOOKUP(calendar[[#This Row],[Date]],BH!C:C,1,)&lt;&gt;"",1,0),0)</f>
        <v>0</v>
      </c>
      <c r="N2362">
        <f>IFERROR(IF(VLOOKUP(calendar[[#This Row],[Date]],BH!E:E,1,)&lt;&gt;"",1,0),0)</f>
        <v>0</v>
      </c>
      <c r="O2362">
        <f>IFERROR(IF(VLOOKUP(calendar[[#This Row],[Date]],BH!G:G,1,)&lt;&gt;"",1,0),0)</f>
        <v>0</v>
      </c>
      <c r="P2362">
        <f>IF(OR(calendar[[#This Row],[UK_BH]]=1,calendar[[#This Row],[WeekDay]]=1, calendar[[#This Row],[WeekDay]]=7),P2361,P2361+1)</f>
        <v>1686</v>
      </c>
      <c r="Q2362">
        <f>IF(OR(calendar[[#This Row],[FR_BH]]=1,calendar[[#This Row],[WeekDay]]=1, calendar[[#This Row],[WeekDay]]=7),P2361,P2361+1)</f>
        <v>1686</v>
      </c>
      <c r="R2362">
        <f>IF(OR(calendar[[#This Row],[SP_BH]]=1,calendar[[#This Row],[WeekDay]]=1, calendar[[#This Row],[WeekDay]]=7),P2361,P2361+1)</f>
        <v>1686</v>
      </c>
      <c r="S2362">
        <f>IF(OR(calendar[[#This Row],[PT_BH]]=1,calendar[[#This Row],[WeekDay]]=1, calendar[[#This Row],[WeekDay]]=7),P2361,P2361+1)</f>
        <v>1686</v>
      </c>
    </row>
    <row r="2363" spans="1:19" x14ac:dyDescent="0.25">
      <c r="A2363" s="2">
        <v>45097</v>
      </c>
      <c r="B2363" s="1">
        <f t="shared" si="183"/>
        <v>25</v>
      </c>
      <c r="C2363">
        <f t="shared" si="185"/>
        <v>6</v>
      </c>
      <c r="D2363" t="str">
        <f t="shared" si="186"/>
        <v>June</v>
      </c>
      <c r="E2363">
        <f t="shared" si="187"/>
        <v>2023</v>
      </c>
      <c r="F2363" t="str">
        <f>CONCATENATE(calendar[[#This Row],[Month]],"/",calendar[[#This Row],[Year]])</f>
        <v>6/2023</v>
      </c>
      <c r="G2363">
        <f>WEEKDAY(calendar[[#This Row],[Date]],1)</f>
        <v>3</v>
      </c>
      <c r="H2363" t="str">
        <f>TEXT(calendar[[#This Row],[WeekDay]],"dddd")</f>
        <v>Tuesday</v>
      </c>
      <c r="I2363">
        <f>IF((INT(calendar[[#This Row],[Count]]/7)-calendar[[#This Row],[Count]]/7)&lt;0,I2362,I2362+1)</f>
        <v>338</v>
      </c>
      <c r="J2363">
        <f t="shared" si="184"/>
        <v>2361</v>
      </c>
      <c r="K2363">
        <f>IF(calendar[[#This Row],[Month]]&lt;4,1,IF(calendar[[#This Row],[Month]]&lt;7,2,IF(calendar[[#This Row],[Month]]&lt;10,3,4)))</f>
        <v>2</v>
      </c>
      <c r="L2363">
        <f>IFERROR(IF(VLOOKUP(calendar[[#This Row],[Date]],BH!A:A,1,)&lt;&gt;"",1,0),0)</f>
        <v>0</v>
      </c>
      <c r="M2363">
        <f>IFERROR(IF(VLOOKUP(calendar[[#This Row],[Date]],BH!C:C,1,)&lt;&gt;"",1,0),0)</f>
        <v>0</v>
      </c>
      <c r="N2363">
        <f>IFERROR(IF(VLOOKUP(calendar[[#This Row],[Date]],BH!E:E,1,)&lt;&gt;"",1,0),0)</f>
        <v>0</v>
      </c>
      <c r="O2363">
        <f>IFERROR(IF(VLOOKUP(calendar[[#This Row],[Date]],BH!G:G,1,)&lt;&gt;"",1,0),0)</f>
        <v>0</v>
      </c>
      <c r="P2363">
        <f>IF(OR(calendar[[#This Row],[UK_BH]]=1,calendar[[#This Row],[WeekDay]]=1, calendar[[#This Row],[WeekDay]]=7),P2362,P2362+1)</f>
        <v>1687</v>
      </c>
      <c r="Q2363">
        <f>IF(OR(calendar[[#This Row],[FR_BH]]=1,calendar[[#This Row],[WeekDay]]=1, calendar[[#This Row],[WeekDay]]=7),P2362,P2362+1)</f>
        <v>1687</v>
      </c>
      <c r="R2363">
        <f>IF(OR(calendar[[#This Row],[SP_BH]]=1,calendar[[#This Row],[WeekDay]]=1, calendar[[#This Row],[WeekDay]]=7),P2362,P2362+1)</f>
        <v>1687</v>
      </c>
      <c r="S2363">
        <f>IF(OR(calendar[[#This Row],[PT_BH]]=1,calendar[[#This Row],[WeekDay]]=1, calendar[[#This Row],[WeekDay]]=7),P2362,P2362+1)</f>
        <v>1687</v>
      </c>
    </row>
    <row r="2364" spans="1:19" x14ac:dyDescent="0.25">
      <c r="A2364" s="2">
        <v>45098</v>
      </c>
      <c r="B2364" s="1">
        <f t="shared" si="183"/>
        <v>25</v>
      </c>
      <c r="C2364">
        <f t="shared" si="185"/>
        <v>6</v>
      </c>
      <c r="D2364" t="str">
        <f t="shared" si="186"/>
        <v>June</v>
      </c>
      <c r="E2364">
        <f t="shared" si="187"/>
        <v>2023</v>
      </c>
      <c r="F2364" t="str">
        <f>CONCATENATE(calendar[[#This Row],[Month]],"/",calendar[[#This Row],[Year]])</f>
        <v>6/2023</v>
      </c>
      <c r="G2364">
        <f>WEEKDAY(calendar[[#This Row],[Date]],1)</f>
        <v>4</v>
      </c>
      <c r="H2364" t="str">
        <f>TEXT(calendar[[#This Row],[WeekDay]],"dddd")</f>
        <v>Wednesday</v>
      </c>
      <c r="I2364">
        <f>IF((INT(calendar[[#This Row],[Count]]/7)-calendar[[#This Row],[Count]]/7)&lt;0,I2363,I2363+1)</f>
        <v>338</v>
      </c>
      <c r="J2364">
        <f t="shared" si="184"/>
        <v>2362</v>
      </c>
      <c r="K2364">
        <f>IF(calendar[[#This Row],[Month]]&lt;4,1,IF(calendar[[#This Row],[Month]]&lt;7,2,IF(calendar[[#This Row],[Month]]&lt;10,3,4)))</f>
        <v>2</v>
      </c>
      <c r="L2364">
        <f>IFERROR(IF(VLOOKUP(calendar[[#This Row],[Date]],BH!A:A,1,)&lt;&gt;"",1,0),0)</f>
        <v>0</v>
      </c>
      <c r="M2364">
        <f>IFERROR(IF(VLOOKUP(calendar[[#This Row],[Date]],BH!C:C,1,)&lt;&gt;"",1,0),0)</f>
        <v>0</v>
      </c>
      <c r="N2364">
        <f>IFERROR(IF(VLOOKUP(calendar[[#This Row],[Date]],BH!E:E,1,)&lt;&gt;"",1,0),0)</f>
        <v>0</v>
      </c>
      <c r="O2364">
        <f>IFERROR(IF(VLOOKUP(calendar[[#This Row],[Date]],BH!G:G,1,)&lt;&gt;"",1,0),0)</f>
        <v>0</v>
      </c>
      <c r="P2364">
        <f>IF(OR(calendar[[#This Row],[UK_BH]]=1,calendar[[#This Row],[WeekDay]]=1, calendar[[#This Row],[WeekDay]]=7),P2363,P2363+1)</f>
        <v>1688</v>
      </c>
      <c r="Q2364">
        <f>IF(OR(calendar[[#This Row],[FR_BH]]=1,calendar[[#This Row],[WeekDay]]=1, calendar[[#This Row],[WeekDay]]=7),P2363,P2363+1)</f>
        <v>1688</v>
      </c>
      <c r="R2364">
        <f>IF(OR(calendar[[#This Row],[SP_BH]]=1,calendar[[#This Row],[WeekDay]]=1, calendar[[#This Row],[WeekDay]]=7),P2363,P2363+1)</f>
        <v>1688</v>
      </c>
      <c r="S2364">
        <f>IF(OR(calendar[[#This Row],[PT_BH]]=1,calendar[[#This Row],[WeekDay]]=1, calendar[[#This Row],[WeekDay]]=7),P2363,P2363+1)</f>
        <v>1688</v>
      </c>
    </row>
    <row r="2365" spans="1:19" x14ac:dyDescent="0.25">
      <c r="A2365" s="2">
        <v>45099</v>
      </c>
      <c r="B2365" s="1">
        <f t="shared" si="183"/>
        <v>25</v>
      </c>
      <c r="C2365">
        <f t="shared" si="185"/>
        <v>6</v>
      </c>
      <c r="D2365" t="str">
        <f t="shared" si="186"/>
        <v>June</v>
      </c>
      <c r="E2365">
        <f t="shared" si="187"/>
        <v>2023</v>
      </c>
      <c r="F2365" t="str">
        <f>CONCATENATE(calendar[[#This Row],[Month]],"/",calendar[[#This Row],[Year]])</f>
        <v>6/2023</v>
      </c>
      <c r="G2365">
        <f>WEEKDAY(calendar[[#This Row],[Date]],1)</f>
        <v>5</v>
      </c>
      <c r="H2365" t="str">
        <f>TEXT(calendar[[#This Row],[WeekDay]],"dddd")</f>
        <v>Thursday</v>
      </c>
      <c r="I2365">
        <f>IF((INT(calendar[[#This Row],[Count]]/7)-calendar[[#This Row],[Count]]/7)&lt;0,I2364,I2364+1)</f>
        <v>338</v>
      </c>
      <c r="J2365">
        <f t="shared" si="184"/>
        <v>2363</v>
      </c>
      <c r="K2365">
        <f>IF(calendar[[#This Row],[Month]]&lt;4,1,IF(calendar[[#This Row],[Month]]&lt;7,2,IF(calendar[[#This Row],[Month]]&lt;10,3,4)))</f>
        <v>2</v>
      </c>
      <c r="L2365">
        <f>IFERROR(IF(VLOOKUP(calendar[[#This Row],[Date]],BH!A:A,1,)&lt;&gt;"",1,0),0)</f>
        <v>0</v>
      </c>
      <c r="M2365">
        <f>IFERROR(IF(VLOOKUP(calendar[[#This Row],[Date]],BH!C:C,1,)&lt;&gt;"",1,0),0)</f>
        <v>0</v>
      </c>
      <c r="N2365">
        <f>IFERROR(IF(VLOOKUP(calendar[[#This Row],[Date]],BH!E:E,1,)&lt;&gt;"",1,0),0)</f>
        <v>0</v>
      </c>
      <c r="O2365">
        <f>IFERROR(IF(VLOOKUP(calendar[[#This Row],[Date]],BH!G:G,1,)&lt;&gt;"",1,0),0)</f>
        <v>0</v>
      </c>
      <c r="P2365">
        <f>IF(OR(calendar[[#This Row],[UK_BH]]=1,calendar[[#This Row],[WeekDay]]=1, calendar[[#This Row],[WeekDay]]=7),P2364,P2364+1)</f>
        <v>1689</v>
      </c>
      <c r="Q2365">
        <f>IF(OR(calendar[[#This Row],[FR_BH]]=1,calendar[[#This Row],[WeekDay]]=1, calendar[[#This Row],[WeekDay]]=7),P2364,P2364+1)</f>
        <v>1689</v>
      </c>
      <c r="R2365">
        <f>IF(OR(calendar[[#This Row],[SP_BH]]=1,calendar[[#This Row],[WeekDay]]=1, calendar[[#This Row],[WeekDay]]=7),P2364,P2364+1)</f>
        <v>1689</v>
      </c>
      <c r="S2365">
        <f>IF(OR(calendar[[#This Row],[PT_BH]]=1,calendar[[#This Row],[WeekDay]]=1, calendar[[#This Row],[WeekDay]]=7),P2364,P2364+1)</f>
        <v>1689</v>
      </c>
    </row>
    <row r="2366" spans="1:19" x14ac:dyDescent="0.25">
      <c r="A2366" s="2">
        <v>45100</v>
      </c>
      <c r="B2366" s="1">
        <f t="shared" si="183"/>
        <v>25</v>
      </c>
      <c r="C2366">
        <f t="shared" si="185"/>
        <v>6</v>
      </c>
      <c r="D2366" t="str">
        <f t="shared" si="186"/>
        <v>June</v>
      </c>
      <c r="E2366">
        <f t="shared" si="187"/>
        <v>2023</v>
      </c>
      <c r="F2366" t="str">
        <f>CONCATENATE(calendar[[#This Row],[Month]],"/",calendar[[#This Row],[Year]])</f>
        <v>6/2023</v>
      </c>
      <c r="G2366">
        <f>WEEKDAY(calendar[[#This Row],[Date]],1)</f>
        <v>6</v>
      </c>
      <c r="H2366" t="str">
        <f>TEXT(calendar[[#This Row],[WeekDay]],"dddd")</f>
        <v>Friday</v>
      </c>
      <c r="I2366">
        <f>IF((INT(calendar[[#This Row],[Count]]/7)-calendar[[#This Row],[Count]]/7)&lt;0,I2365,I2365+1)</f>
        <v>338</v>
      </c>
      <c r="J2366">
        <f t="shared" si="184"/>
        <v>2364</v>
      </c>
      <c r="K2366">
        <f>IF(calendar[[#This Row],[Month]]&lt;4,1,IF(calendar[[#This Row],[Month]]&lt;7,2,IF(calendar[[#This Row],[Month]]&lt;10,3,4)))</f>
        <v>2</v>
      </c>
      <c r="L2366">
        <f>IFERROR(IF(VLOOKUP(calendar[[#This Row],[Date]],BH!A:A,1,)&lt;&gt;"",1,0),0)</f>
        <v>0</v>
      </c>
      <c r="M2366">
        <f>IFERROR(IF(VLOOKUP(calendar[[#This Row],[Date]],BH!C:C,1,)&lt;&gt;"",1,0),0)</f>
        <v>0</v>
      </c>
      <c r="N2366">
        <f>IFERROR(IF(VLOOKUP(calendar[[#This Row],[Date]],BH!E:E,1,)&lt;&gt;"",1,0),0)</f>
        <v>0</v>
      </c>
      <c r="O2366">
        <f>IFERROR(IF(VLOOKUP(calendar[[#This Row],[Date]],BH!G:G,1,)&lt;&gt;"",1,0),0)</f>
        <v>0</v>
      </c>
      <c r="P2366">
        <f>IF(OR(calendar[[#This Row],[UK_BH]]=1,calendar[[#This Row],[WeekDay]]=1, calendar[[#This Row],[WeekDay]]=7),P2365,P2365+1)</f>
        <v>1690</v>
      </c>
      <c r="Q2366">
        <f>IF(OR(calendar[[#This Row],[FR_BH]]=1,calendar[[#This Row],[WeekDay]]=1, calendar[[#This Row],[WeekDay]]=7),P2365,P2365+1)</f>
        <v>1690</v>
      </c>
      <c r="R2366">
        <f>IF(OR(calendar[[#This Row],[SP_BH]]=1,calendar[[#This Row],[WeekDay]]=1, calendar[[#This Row],[WeekDay]]=7),P2365,P2365+1)</f>
        <v>1690</v>
      </c>
      <c r="S2366">
        <f>IF(OR(calendar[[#This Row],[PT_BH]]=1,calendar[[#This Row],[WeekDay]]=1, calendar[[#This Row],[WeekDay]]=7),P2365,P2365+1)</f>
        <v>1690</v>
      </c>
    </row>
    <row r="2367" spans="1:19" x14ac:dyDescent="0.25">
      <c r="A2367" s="2">
        <v>45101</v>
      </c>
      <c r="B2367" s="1">
        <f t="shared" si="183"/>
        <v>25</v>
      </c>
      <c r="C2367">
        <f t="shared" si="185"/>
        <v>6</v>
      </c>
      <c r="D2367" t="str">
        <f t="shared" si="186"/>
        <v>June</v>
      </c>
      <c r="E2367">
        <f t="shared" si="187"/>
        <v>2023</v>
      </c>
      <c r="F2367" t="str">
        <f>CONCATENATE(calendar[[#This Row],[Month]],"/",calendar[[#This Row],[Year]])</f>
        <v>6/2023</v>
      </c>
      <c r="G2367">
        <f>WEEKDAY(calendar[[#This Row],[Date]],1)</f>
        <v>7</v>
      </c>
      <c r="H2367" t="str">
        <f>TEXT(calendar[[#This Row],[WeekDay]],"dddd")</f>
        <v>Saturday</v>
      </c>
      <c r="I2367">
        <f>IF((INT(calendar[[#This Row],[Count]]/7)-calendar[[#This Row],[Count]]/7)&lt;0,I2366,I2366+1)</f>
        <v>338</v>
      </c>
      <c r="J2367">
        <f t="shared" si="184"/>
        <v>2365</v>
      </c>
      <c r="K2367">
        <f>IF(calendar[[#This Row],[Month]]&lt;4,1,IF(calendar[[#This Row],[Month]]&lt;7,2,IF(calendar[[#This Row],[Month]]&lt;10,3,4)))</f>
        <v>2</v>
      </c>
      <c r="L2367">
        <f>IFERROR(IF(VLOOKUP(calendar[[#This Row],[Date]],BH!A:A,1,)&lt;&gt;"",1,0),0)</f>
        <v>0</v>
      </c>
      <c r="M2367">
        <f>IFERROR(IF(VLOOKUP(calendar[[#This Row],[Date]],BH!C:C,1,)&lt;&gt;"",1,0),0)</f>
        <v>0</v>
      </c>
      <c r="N2367">
        <f>IFERROR(IF(VLOOKUP(calendar[[#This Row],[Date]],BH!E:E,1,)&lt;&gt;"",1,0),0)</f>
        <v>0</v>
      </c>
      <c r="O2367">
        <f>IFERROR(IF(VLOOKUP(calendar[[#This Row],[Date]],BH!G:G,1,)&lt;&gt;"",1,0),0)</f>
        <v>0</v>
      </c>
      <c r="P2367">
        <f>IF(OR(calendar[[#This Row],[UK_BH]]=1,calendar[[#This Row],[WeekDay]]=1, calendar[[#This Row],[WeekDay]]=7),P2366,P2366+1)</f>
        <v>1690</v>
      </c>
      <c r="Q2367">
        <f>IF(OR(calendar[[#This Row],[FR_BH]]=1,calendar[[#This Row],[WeekDay]]=1, calendar[[#This Row],[WeekDay]]=7),P2366,P2366+1)</f>
        <v>1690</v>
      </c>
      <c r="R2367">
        <f>IF(OR(calendar[[#This Row],[SP_BH]]=1,calendar[[#This Row],[WeekDay]]=1, calendar[[#This Row],[WeekDay]]=7),P2366,P2366+1)</f>
        <v>1690</v>
      </c>
      <c r="S2367">
        <f>IF(OR(calendar[[#This Row],[PT_BH]]=1,calendar[[#This Row],[WeekDay]]=1, calendar[[#This Row],[WeekDay]]=7),P2366,P2366+1)</f>
        <v>1690</v>
      </c>
    </row>
    <row r="2368" spans="1:19" x14ac:dyDescent="0.25">
      <c r="A2368" s="2">
        <v>45102</v>
      </c>
      <c r="B2368" s="1">
        <f t="shared" si="183"/>
        <v>26</v>
      </c>
      <c r="C2368">
        <f t="shared" si="185"/>
        <v>6</v>
      </c>
      <c r="D2368" t="str">
        <f t="shared" si="186"/>
        <v>June</v>
      </c>
      <c r="E2368">
        <f t="shared" si="187"/>
        <v>2023</v>
      </c>
      <c r="F2368" t="str">
        <f>CONCATENATE(calendar[[#This Row],[Month]],"/",calendar[[#This Row],[Year]])</f>
        <v>6/2023</v>
      </c>
      <c r="G2368">
        <f>WEEKDAY(calendar[[#This Row],[Date]],1)</f>
        <v>1</v>
      </c>
      <c r="H2368" t="str">
        <f>TEXT(calendar[[#This Row],[WeekDay]],"dddd")</f>
        <v>Sunday</v>
      </c>
      <c r="I2368">
        <f>IF((INT(calendar[[#This Row],[Count]]/7)-calendar[[#This Row],[Count]]/7)&lt;0,I2367,I2367+1)</f>
        <v>339</v>
      </c>
      <c r="J2368">
        <f t="shared" si="184"/>
        <v>2366</v>
      </c>
      <c r="K2368">
        <f>IF(calendar[[#This Row],[Month]]&lt;4,1,IF(calendar[[#This Row],[Month]]&lt;7,2,IF(calendar[[#This Row],[Month]]&lt;10,3,4)))</f>
        <v>2</v>
      </c>
      <c r="L2368">
        <f>IFERROR(IF(VLOOKUP(calendar[[#This Row],[Date]],BH!A:A,1,)&lt;&gt;"",1,0),0)</f>
        <v>0</v>
      </c>
      <c r="M2368">
        <f>IFERROR(IF(VLOOKUP(calendar[[#This Row],[Date]],BH!C:C,1,)&lt;&gt;"",1,0),0)</f>
        <v>0</v>
      </c>
      <c r="N2368">
        <f>IFERROR(IF(VLOOKUP(calendar[[#This Row],[Date]],BH!E:E,1,)&lt;&gt;"",1,0),0)</f>
        <v>0</v>
      </c>
      <c r="O2368">
        <f>IFERROR(IF(VLOOKUP(calendar[[#This Row],[Date]],BH!G:G,1,)&lt;&gt;"",1,0),0)</f>
        <v>0</v>
      </c>
      <c r="P2368">
        <f>IF(OR(calendar[[#This Row],[UK_BH]]=1,calendar[[#This Row],[WeekDay]]=1, calendar[[#This Row],[WeekDay]]=7),P2367,P2367+1)</f>
        <v>1690</v>
      </c>
      <c r="Q2368">
        <f>IF(OR(calendar[[#This Row],[FR_BH]]=1,calendar[[#This Row],[WeekDay]]=1, calendar[[#This Row],[WeekDay]]=7),P2367,P2367+1)</f>
        <v>1690</v>
      </c>
      <c r="R2368">
        <f>IF(OR(calendar[[#This Row],[SP_BH]]=1,calendar[[#This Row],[WeekDay]]=1, calendar[[#This Row],[WeekDay]]=7),P2367,P2367+1)</f>
        <v>1690</v>
      </c>
      <c r="S2368">
        <f>IF(OR(calendar[[#This Row],[PT_BH]]=1,calendar[[#This Row],[WeekDay]]=1, calendar[[#This Row],[WeekDay]]=7),P2367,P2367+1)</f>
        <v>1690</v>
      </c>
    </row>
    <row r="2369" spans="1:19" x14ac:dyDescent="0.25">
      <c r="A2369" s="2">
        <v>45103</v>
      </c>
      <c r="B2369" s="1">
        <f t="shared" si="183"/>
        <v>26</v>
      </c>
      <c r="C2369">
        <f t="shared" si="185"/>
        <v>6</v>
      </c>
      <c r="D2369" t="str">
        <f t="shared" si="186"/>
        <v>June</v>
      </c>
      <c r="E2369">
        <f t="shared" si="187"/>
        <v>2023</v>
      </c>
      <c r="F2369" t="str">
        <f>CONCATENATE(calendar[[#This Row],[Month]],"/",calendar[[#This Row],[Year]])</f>
        <v>6/2023</v>
      </c>
      <c r="G2369">
        <f>WEEKDAY(calendar[[#This Row],[Date]],1)</f>
        <v>2</v>
      </c>
      <c r="H2369" t="str">
        <f>TEXT(calendar[[#This Row],[WeekDay]],"dddd")</f>
        <v>Monday</v>
      </c>
      <c r="I2369">
        <f>IF((INT(calendar[[#This Row],[Count]]/7)-calendar[[#This Row],[Count]]/7)&lt;0,I2368,I2368+1)</f>
        <v>339</v>
      </c>
      <c r="J2369">
        <f t="shared" si="184"/>
        <v>2367</v>
      </c>
      <c r="K2369">
        <f>IF(calendar[[#This Row],[Month]]&lt;4,1,IF(calendar[[#This Row],[Month]]&lt;7,2,IF(calendar[[#This Row],[Month]]&lt;10,3,4)))</f>
        <v>2</v>
      </c>
      <c r="L2369">
        <f>IFERROR(IF(VLOOKUP(calendar[[#This Row],[Date]],BH!A:A,1,)&lt;&gt;"",1,0),0)</f>
        <v>0</v>
      </c>
      <c r="M2369">
        <f>IFERROR(IF(VLOOKUP(calendar[[#This Row],[Date]],BH!C:C,1,)&lt;&gt;"",1,0),0)</f>
        <v>0</v>
      </c>
      <c r="N2369">
        <f>IFERROR(IF(VLOOKUP(calendar[[#This Row],[Date]],BH!E:E,1,)&lt;&gt;"",1,0),0)</f>
        <v>0</v>
      </c>
      <c r="O2369">
        <f>IFERROR(IF(VLOOKUP(calendar[[#This Row],[Date]],BH!G:G,1,)&lt;&gt;"",1,0),0)</f>
        <v>0</v>
      </c>
      <c r="P2369">
        <f>IF(OR(calendar[[#This Row],[UK_BH]]=1,calendar[[#This Row],[WeekDay]]=1, calendar[[#This Row],[WeekDay]]=7),P2368,P2368+1)</f>
        <v>1691</v>
      </c>
      <c r="Q2369">
        <f>IF(OR(calendar[[#This Row],[FR_BH]]=1,calendar[[#This Row],[WeekDay]]=1, calendar[[#This Row],[WeekDay]]=7),P2368,P2368+1)</f>
        <v>1691</v>
      </c>
      <c r="R2369">
        <f>IF(OR(calendar[[#This Row],[SP_BH]]=1,calendar[[#This Row],[WeekDay]]=1, calendar[[#This Row],[WeekDay]]=7),P2368,P2368+1)</f>
        <v>1691</v>
      </c>
      <c r="S2369">
        <f>IF(OR(calendar[[#This Row],[PT_BH]]=1,calendar[[#This Row],[WeekDay]]=1, calendar[[#This Row],[WeekDay]]=7),P2368,P2368+1)</f>
        <v>1691</v>
      </c>
    </row>
    <row r="2370" spans="1:19" x14ac:dyDescent="0.25">
      <c r="A2370" s="2">
        <v>45104</v>
      </c>
      <c r="B2370" s="1">
        <f t="shared" ref="B2370:B2433" si="188">WEEKNUM(A2370)</f>
        <v>26</v>
      </c>
      <c r="C2370">
        <f t="shared" si="185"/>
        <v>6</v>
      </c>
      <c r="D2370" t="str">
        <f t="shared" si="186"/>
        <v>June</v>
      </c>
      <c r="E2370">
        <f t="shared" si="187"/>
        <v>2023</v>
      </c>
      <c r="F2370" t="str">
        <f>CONCATENATE(calendar[[#This Row],[Month]],"/",calendar[[#This Row],[Year]])</f>
        <v>6/2023</v>
      </c>
      <c r="G2370">
        <f>WEEKDAY(calendar[[#This Row],[Date]],1)</f>
        <v>3</v>
      </c>
      <c r="H2370" t="str">
        <f>TEXT(calendar[[#This Row],[WeekDay]],"dddd")</f>
        <v>Tuesday</v>
      </c>
      <c r="I2370">
        <f>IF((INT(calendar[[#This Row],[Count]]/7)-calendar[[#This Row],[Count]]/7)&lt;0,I2369,I2369+1)</f>
        <v>339</v>
      </c>
      <c r="J2370">
        <f t="shared" si="184"/>
        <v>2368</v>
      </c>
      <c r="K2370">
        <f>IF(calendar[[#This Row],[Month]]&lt;4,1,IF(calendar[[#This Row],[Month]]&lt;7,2,IF(calendar[[#This Row],[Month]]&lt;10,3,4)))</f>
        <v>2</v>
      </c>
      <c r="L2370">
        <f>IFERROR(IF(VLOOKUP(calendar[[#This Row],[Date]],BH!A:A,1,)&lt;&gt;"",1,0),0)</f>
        <v>0</v>
      </c>
      <c r="M2370">
        <f>IFERROR(IF(VLOOKUP(calendar[[#This Row],[Date]],BH!C:C,1,)&lt;&gt;"",1,0),0)</f>
        <v>0</v>
      </c>
      <c r="N2370">
        <f>IFERROR(IF(VLOOKUP(calendar[[#This Row],[Date]],BH!E:E,1,)&lt;&gt;"",1,0),0)</f>
        <v>0</v>
      </c>
      <c r="O2370">
        <f>IFERROR(IF(VLOOKUP(calendar[[#This Row],[Date]],BH!G:G,1,)&lt;&gt;"",1,0),0)</f>
        <v>0</v>
      </c>
      <c r="P2370">
        <f>IF(OR(calendar[[#This Row],[UK_BH]]=1,calendar[[#This Row],[WeekDay]]=1, calendar[[#This Row],[WeekDay]]=7),P2369,P2369+1)</f>
        <v>1692</v>
      </c>
      <c r="Q2370">
        <f>IF(OR(calendar[[#This Row],[FR_BH]]=1,calendar[[#This Row],[WeekDay]]=1, calendar[[#This Row],[WeekDay]]=7),P2369,P2369+1)</f>
        <v>1692</v>
      </c>
      <c r="R2370">
        <f>IF(OR(calendar[[#This Row],[SP_BH]]=1,calendar[[#This Row],[WeekDay]]=1, calendar[[#This Row],[WeekDay]]=7),P2369,P2369+1)</f>
        <v>1692</v>
      </c>
      <c r="S2370">
        <f>IF(OR(calendar[[#This Row],[PT_BH]]=1,calendar[[#This Row],[WeekDay]]=1, calendar[[#This Row],[WeekDay]]=7),P2369,P2369+1)</f>
        <v>1692</v>
      </c>
    </row>
    <row r="2371" spans="1:19" x14ac:dyDescent="0.25">
      <c r="A2371" s="2">
        <v>45105</v>
      </c>
      <c r="B2371" s="1">
        <f t="shared" si="188"/>
        <v>26</v>
      </c>
      <c r="C2371">
        <f t="shared" si="185"/>
        <v>6</v>
      </c>
      <c r="D2371" t="str">
        <f t="shared" si="186"/>
        <v>June</v>
      </c>
      <c r="E2371">
        <f t="shared" si="187"/>
        <v>2023</v>
      </c>
      <c r="F2371" t="str">
        <f>CONCATENATE(calendar[[#This Row],[Month]],"/",calendar[[#This Row],[Year]])</f>
        <v>6/2023</v>
      </c>
      <c r="G2371">
        <f>WEEKDAY(calendar[[#This Row],[Date]],1)</f>
        <v>4</v>
      </c>
      <c r="H2371" t="str">
        <f>TEXT(calendar[[#This Row],[WeekDay]],"dddd")</f>
        <v>Wednesday</v>
      </c>
      <c r="I2371">
        <f>IF((INT(calendar[[#This Row],[Count]]/7)-calendar[[#This Row],[Count]]/7)&lt;0,I2370,I2370+1)</f>
        <v>339</v>
      </c>
      <c r="J2371">
        <f t="shared" ref="J2371:J2434" si="189">J2370+1</f>
        <v>2369</v>
      </c>
      <c r="K2371">
        <f>IF(calendar[[#This Row],[Month]]&lt;4,1,IF(calendar[[#This Row],[Month]]&lt;7,2,IF(calendar[[#This Row],[Month]]&lt;10,3,4)))</f>
        <v>2</v>
      </c>
      <c r="L2371">
        <f>IFERROR(IF(VLOOKUP(calendar[[#This Row],[Date]],BH!A:A,1,)&lt;&gt;"",1,0),0)</f>
        <v>0</v>
      </c>
      <c r="M2371">
        <f>IFERROR(IF(VLOOKUP(calendar[[#This Row],[Date]],BH!C:C,1,)&lt;&gt;"",1,0),0)</f>
        <v>0</v>
      </c>
      <c r="N2371">
        <f>IFERROR(IF(VLOOKUP(calendar[[#This Row],[Date]],BH!E:E,1,)&lt;&gt;"",1,0),0)</f>
        <v>0</v>
      </c>
      <c r="O2371">
        <f>IFERROR(IF(VLOOKUP(calendar[[#This Row],[Date]],BH!G:G,1,)&lt;&gt;"",1,0),0)</f>
        <v>0</v>
      </c>
      <c r="P2371">
        <f>IF(OR(calendar[[#This Row],[UK_BH]]=1,calendar[[#This Row],[WeekDay]]=1, calendar[[#This Row],[WeekDay]]=7),P2370,P2370+1)</f>
        <v>1693</v>
      </c>
      <c r="Q2371">
        <f>IF(OR(calendar[[#This Row],[FR_BH]]=1,calendar[[#This Row],[WeekDay]]=1, calendar[[#This Row],[WeekDay]]=7),P2370,P2370+1)</f>
        <v>1693</v>
      </c>
      <c r="R2371">
        <f>IF(OR(calendar[[#This Row],[SP_BH]]=1,calendar[[#This Row],[WeekDay]]=1, calendar[[#This Row],[WeekDay]]=7),P2370,P2370+1)</f>
        <v>1693</v>
      </c>
      <c r="S2371">
        <f>IF(OR(calendar[[#This Row],[PT_BH]]=1,calendar[[#This Row],[WeekDay]]=1, calendar[[#This Row],[WeekDay]]=7),P2370,P2370+1)</f>
        <v>1693</v>
      </c>
    </row>
    <row r="2372" spans="1:19" x14ac:dyDescent="0.25">
      <c r="A2372" s="2">
        <v>45106</v>
      </c>
      <c r="B2372" s="1">
        <f t="shared" si="188"/>
        <v>26</v>
      </c>
      <c r="C2372">
        <f t="shared" si="185"/>
        <v>6</v>
      </c>
      <c r="D2372" t="str">
        <f t="shared" si="186"/>
        <v>June</v>
      </c>
      <c r="E2372">
        <f t="shared" si="187"/>
        <v>2023</v>
      </c>
      <c r="F2372" t="str">
        <f>CONCATENATE(calendar[[#This Row],[Month]],"/",calendar[[#This Row],[Year]])</f>
        <v>6/2023</v>
      </c>
      <c r="G2372">
        <f>WEEKDAY(calendar[[#This Row],[Date]],1)</f>
        <v>5</v>
      </c>
      <c r="H2372" t="str">
        <f>TEXT(calendar[[#This Row],[WeekDay]],"dddd")</f>
        <v>Thursday</v>
      </c>
      <c r="I2372">
        <f>IF((INT(calendar[[#This Row],[Count]]/7)-calendar[[#This Row],[Count]]/7)&lt;0,I2371,I2371+1)</f>
        <v>339</v>
      </c>
      <c r="J2372">
        <f t="shared" si="189"/>
        <v>2370</v>
      </c>
      <c r="K2372">
        <f>IF(calendar[[#This Row],[Month]]&lt;4,1,IF(calendar[[#This Row],[Month]]&lt;7,2,IF(calendar[[#This Row],[Month]]&lt;10,3,4)))</f>
        <v>2</v>
      </c>
      <c r="L2372">
        <f>IFERROR(IF(VLOOKUP(calendar[[#This Row],[Date]],BH!A:A,1,)&lt;&gt;"",1,0),0)</f>
        <v>0</v>
      </c>
      <c r="M2372">
        <f>IFERROR(IF(VLOOKUP(calendar[[#This Row],[Date]],BH!C:C,1,)&lt;&gt;"",1,0),0)</f>
        <v>0</v>
      </c>
      <c r="N2372">
        <f>IFERROR(IF(VLOOKUP(calendar[[#This Row],[Date]],BH!E:E,1,)&lt;&gt;"",1,0),0)</f>
        <v>0</v>
      </c>
      <c r="O2372">
        <f>IFERROR(IF(VLOOKUP(calendar[[#This Row],[Date]],BH!G:G,1,)&lt;&gt;"",1,0),0)</f>
        <v>0</v>
      </c>
      <c r="P2372">
        <f>IF(OR(calendar[[#This Row],[UK_BH]]=1,calendar[[#This Row],[WeekDay]]=1, calendar[[#This Row],[WeekDay]]=7),P2371,P2371+1)</f>
        <v>1694</v>
      </c>
      <c r="Q2372">
        <f>IF(OR(calendar[[#This Row],[FR_BH]]=1,calendar[[#This Row],[WeekDay]]=1, calendar[[#This Row],[WeekDay]]=7),P2371,P2371+1)</f>
        <v>1694</v>
      </c>
      <c r="R2372">
        <f>IF(OR(calendar[[#This Row],[SP_BH]]=1,calendar[[#This Row],[WeekDay]]=1, calendar[[#This Row],[WeekDay]]=7),P2371,P2371+1)</f>
        <v>1694</v>
      </c>
      <c r="S2372">
        <f>IF(OR(calendar[[#This Row],[PT_BH]]=1,calendar[[#This Row],[WeekDay]]=1, calendar[[#This Row],[WeekDay]]=7),P2371,P2371+1)</f>
        <v>1694</v>
      </c>
    </row>
    <row r="2373" spans="1:19" x14ac:dyDescent="0.25">
      <c r="A2373" s="2">
        <v>45107</v>
      </c>
      <c r="B2373" s="1">
        <f t="shared" si="188"/>
        <v>26</v>
      </c>
      <c r="C2373">
        <f t="shared" si="185"/>
        <v>6</v>
      </c>
      <c r="D2373" t="str">
        <f t="shared" si="186"/>
        <v>June</v>
      </c>
      <c r="E2373">
        <f t="shared" si="187"/>
        <v>2023</v>
      </c>
      <c r="F2373" t="str">
        <f>CONCATENATE(calendar[[#This Row],[Month]],"/",calendar[[#This Row],[Year]])</f>
        <v>6/2023</v>
      </c>
      <c r="G2373">
        <f>WEEKDAY(calendar[[#This Row],[Date]],1)</f>
        <v>6</v>
      </c>
      <c r="H2373" t="str">
        <f>TEXT(calendar[[#This Row],[WeekDay]],"dddd")</f>
        <v>Friday</v>
      </c>
      <c r="I2373">
        <f>IF((INT(calendar[[#This Row],[Count]]/7)-calendar[[#This Row],[Count]]/7)&lt;0,I2372,I2372+1)</f>
        <v>339</v>
      </c>
      <c r="J2373">
        <f t="shared" si="189"/>
        <v>2371</v>
      </c>
      <c r="K2373">
        <f>IF(calendar[[#This Row],[Month]]&lt;4,1,IF(calendar[[#This Row],[Month]]&lt;7,2,IF(calendar[[#This Row],[Month]]&lt;10,3,4)))</f>
        <v>2</v>
      </c>
      <c r="L2373">
        <f>IFERROR(IF(VLOOKUP(calendar[[#This Row],[Date]],BH!A:A,1,)&lt;&gt;"",1,0),0)</f>
        <v>0</v>
      </c>
      <c r="M2373">
        <f>IFERROR(IF(VLOOKUP(calendar[[#This Row],[Date]],BH!C:C,1,)&lt;&gt;"",1,0),0)</f>
        <v>0</v>
      </c>
      <c r="N2373">
        <f>IFERROR(IF(VLOOKUP(calendar[[#This Row],[Date]],BH!E:E,1,)&lt;&gt;"",1,0),0)</f>
        <v>0</v>
      </c>
      <c r="O2373">
        <f>IFERROR(IF(VLOOKUP(calendar[[#This Row],[Date]],BH!G:G,1,)&lt;&gt;"",1,0),0)</f>
        <v>0</v>
      </c>
      <c r="P2373">
        <f>IF(OR(calendar[[#This Row],[UK_BH]]=1,calendar[[#This Row],[WeekDay]]=1, calendar[[#This Row],[WeekDay]]=7),P2372,P2372+1)</f>
        <v>1695</v>
      </c>
      <c r="Q2373">
        <f>IF(OR(calendar[[#This Row],[FR_BH]]=1,calendar[[#This Row],[WeekDay]]=1, calendar[[#This Row],[WeekDay]]=7),P2372,P2372+1)</f>
        <v>1695</v>
      </c>
      <c r="R2373">
        <f>IF(OR(calendar[[#This Row],[SP_BH]]=1,calendar[[#This Row],[WeekDay]]=1, calendar[[#This Row],[WeekDay]]=7),P2372,P2372+1)</f>
        <v>1695</v>
      </c>
      <c r="S2373">
        <f>IF(OR(calendar[[#This Row],[PT_BH]]=1,calendar[[#This Row],[WeekDay]]=1, calendar[[#This Row],[WeekDay]]=7),P2372,P2372+1)</f>
        <v>1695</v>
      </c>
    </row>
    <row r="2374" spans="1:19" x14ac:dyDescent="0.25">
      <c r="A2374" s="2">
        <v>45108</v>
      </c>
      <c r="B2374" s="1">
        <f t="shared" si="188"/>
        <v>26</v>
      </c>
      <c r="C2374">
        <f t="shared" si="185"/>
        <v>7</v>
      </c>
      <c r="D2374" t="str">
        <f t="shared" si="186"/>
        <v>July</v>
      </c>
      <c r="E2374">
        <f t="shared" si="187"/>
        <v>2023</v>
      </c>
      <c r="F2374" t="str">
        <f>CONCATENATE(calendar[[#This Row],[Month]],"/",calendar[[#This Row],[Year]])</f>
        <v>7/2023</v>
      </c>
      <c r="G2374">
        <f>WEEKDAY(calendar[[#This Row],[Date]],1)</f>
        <v>7</v>
      </c>
      <c r="H2374" t="str">
        <f>TEXT(calendar[[#This Row],[WeekDay]],"dddd")</f>
        <v>Saturday</v>
      </c>
      <c r="I2374">
        <f>IF((INT(calendar[[#This Row],[Count]]/7)-calendar[[#This Row],[Count]]/7)&lt;0,I2373,I2373+1)</f>
        <v>339</v>
      </c>
      <c r="J2374">
        <f t="shared" si="189"/>
        <v>2372</v>
      </c>
      <c r="K2374">
        <f>IF(calendar[[#This Row],[Month]]&lt;4,1,IF(calendar[[#This Row],[Month]]&lt;7,2,IF(calendar[[#This Row],[Month]]&lt;10,3,4)))</f>
        <v>3</v>
      </c>
      <c r="L2374">
        <f>IFERROR(IF(VLOOKUP(calendar[[#This Row],[Date]],BH!A:A,1,)&lt;&gt;"",1,0),0)</f>
        <v>0</v>
      </c>
      <c r="M2374">
        <f>IFERROR(IF(VLOOKUP(calendar[[#This Row],[Date]],BH!C:C,1,)&lt;&gt;"",1,0),0)</f>
        <v>0</v>
      </c>
      <c r="N2374">
        <f>IFERROR(IF(VLOOKUP(calendar[[#This Row],[Date]],BH!E:E,1,)&lt;&gt;"",1,0),0)</f>
        <v>0</v>
      </c>
      <c r="O2374">
        <f>IFERROR(IF(VLOOKUP(calendar[[#This Row],[Date]],BH!G:G,1,)&lt;&gt;"",1,0),0)</f>
        <v>0</v>
      </c>
      <c r="P2374">
        <f>IF(OR(calendar[[#This Row],[UK_BH]]=1,calendar[[#This Row],[WeekDay]]=1, calendar[[#This Row],[WeekDay]]=7),P2373,P2373+1)</f>
        <v>1695</v>
      </c>
      <c r="Q2374">
        <f>IF(OR(calendar[[#This Row],[FR_BH]]=1,calendar[[#This Row],[WeekDay]]=1, calendar[[#This Row],[WeekDay]]=7),P2373,P2373+1)</f>
        <v>1695</v>
      </c>
      <c r="R2374">
        <f>IF(OR(calendar[[#This Row],[SP_BH]]=1,calendar[[#This Row],[WeekDay]]=1, calendar[[#This Row],[WeekDay]]=7),P2373,P2373+1)</f>
        <v>1695</v>
      </c>
      <c r="S2374">
        <f>IF(OR(calendar[[#This Row],[PT_BH]]=1,calendar[[#This Row],[WeekDay]]=1, calendar[[#This Row],[WeekDay]]=7),P2373,P2373+1)</f>
        <v>1695</v>
      </c>
    </row>
    <row r="2375" spans="1:19" x14ac:dyDescent="0.25">
      <c r="A2375" s="2">
        <v>45109</v>
      </c>
      <c r="B2375" s="1">
        <f t="shared" si="188"/>
        <v>27</v>
      </c>
      <c r="C2375">
        <f t="shared" si="185"/>
        <v>7</v>
      </c>
      <c r="D2375" t="str">
        <f t="shared" si="186"/>
        <v>July</v>
      </c>
      <c r="E2375">
        <f t="shared" si="187"/>
        <v>2023</v>
      </c>
      <c r="F2375" t="str">
        <f>CONCATENATE(calendar[[#This Row],[Month]],"/",calendar[[#This Row],[Year]])</f>
        <v>7/2023</v>
      </c>
      <c r="G2375">
        <f>WEEKDAY(calendar[[#This Row],[Date]],1)</f>
        <v>1</v>
      </c>
      <c r="H2375" t="str">
        <f>TEXT(calendar[[#This Row],[WeekDay]],"dddd")</f>
        <v>Sunday</v>
      </c>
      <c r="I2375">
        <f>IF((INT(calendar[[#This Row],[Count]]/7)-calendar[[#This Row],[Count]]/7)&lt;0,I2374,I2374+1)</f>
        <v>340</v>
      </c>
      <c r="J2375">
        <f t="shared" si="189"/>
        <v>2373</v>
      </c>
      <c r="K2375">
        <f>IF(calendar[[#This Row],[Month]]&lt;4,1,IF(calendar[[#This Row],[Month]]&lt;7,2,IF(calendar[[#This Row],[Month]]&lt;10,3,4)))</f>
        <v>3</v>
      </c>
      <c r="L2375">
        <f>IFERROR(IF(VLOOKUP(calendar[[#This Row],[Date]],BH!A:A,1,)&lt;&gt;"",1,0),0)</f>
        <v>0</v>
      </c>
      <c r="M2375">
        <f>IFERROR(IF(VLOOKUP(calendar[[#This Row],[Date]],BH!C:C,1,)&lt;&gt;"",1,0),0)</f>
        <v>0</v>
      </c>
      <c r="N2375">
        <f>IFERROR(IF(VLOOKUP(calendar[[#This Row],[Date]],BH!E:E,1,)&lt;&gt;"",1,0),0)</f>
        <v>0</v>
      </c>
      <c r="O2375">
        <f>IFERROR(IF(VLOOKUP(calendar[[#This Row],[Date]],BH!G:G,1,)&lt;&gt;"",1,0),0)</f>
        <v>0</v>
      </c>
      <c r="P2375">
        <f>IF(OR(calendar[[#This Row],[UK_BH]]=1,calendar[[#This Row],[WeekDay]]=1, calendar[[#This Row],[WeekDay]]=7),P2374,P2374+1)</f>
        <v>1695</v>
      </c>
      <c r="Q2375">
        <f>IF(OR(calendar[[#This Row],[FR_BH]]=1,calendar[[#This Row],[WeekDay]]=1, calendar[[#This Row],[WeekDay]]=7),P2374,P2374+1)</f>
        <v>1695</v>
      </c>
      <c r="R2375">
        <f>IF(OR(calendar[[#This Row],[SP_BH]]=1,calendar[[#This Row],[WeekDay]]=1, calendar[[#This Row],[WeekDay]]=7),P2374,P2374+1)</f>
        <v>1695</v>
      </c>
      <c r="S2375">
        <f>IF(OR(calendar[[#This Row],[PT_BH]]=1,calendar[[#This Row],[WeekDay]]=1, calendar[[#This Row],[WeekDay]]=7),P2374,P2374+1)</f>
        <v>1695</v>
      </c>
    </row>
    <row r="2376" spans="1:19" x14ac:dyDescent="0.25">
      <c r="A2376" s="2">
        <v>45110</v>
      </c>
      <c r="B2376" s="1">
        <f t="shared" si="188"/>
        <v>27</v>
      </c>
      <c r="C2376">
        <f t="shared" si="185"/>
        <v>7</v>
      </c>
      <c r="D2376" t="str">
        <f t="shared" si="186"/>
        <v>July</v>
      </c>
      <c r="E2376">
        <f t="shared" si="187"/>
        <v>2023</v>
      </c>
      <c r="F2376" t="str">
        <f>CONCATENATE(calendar[[#This Row],[Month]],"/",calendar[[#This Row],[Year]])</f>
        <v>7/2023</v>
      </c>
      <c r="G2376">
        <f>WEEKDAY(calendar[[#This Row],[Date]],1)</f>
        <v>2</v>
      </c>
      <c r="H2376" t="str">
        <f>TEXT(calendar[[#This Row],[WeekDay]],"dddd")</f>
        <v>Monday</v>
      </c>
      <c r="I2376">
        <f>IF((INT(calendar[[#This Row],[Count]]/7)-calendar[[#This Row],[Count]]/7)&lt;0,I2375,I2375+1)</f>
        <v>340</v>
      </c>
      <c r="J2376">
        <f t="shared" si="189"/>
        <v>2374</v>
      </c>
      <c r="K2376">
        <f>IF(calendar[[#This Row],[Month]]&lt;4,1,IF(calendar[[#This Row],[Month]]&lt;7,2,IF(calendar[[#This Row],[Month]]&lt;10,3,4)))</f>
        <v>3</v>
      </c>
      <c r="L2376">
        <f>IFERROR(IF(VLOOKUP(calendar[[#This Row],[Date]],BH!A:A,1,)&lt;&gt;"",1,0),0)</f>
        <v>0</v>
      </c>
      <c r="M2376">
        <f>IFERROR(IF(VLOOKUP(calendar[[#This Row],[Date]],BH!C:C,1,)&lt;&gt;"",1,0),0)</f>
        <v>0</v>
      </c>
      <c r="N2376">
        <f>IFERROR(IF(VLOOKUP(calendar[[#This Row],[Date]],BH!E:E,1,)&lt;&gt;"",1,0),0)</f>
        <v>0</v>
      </c>
      <c r="O2376">
        <f>IFERROR(IF(VLOOKUP(calendar[[#This Row],[Date]],BH!G:G,1,)&lt;&gt;"",1,0),0)</f>
        <v>0</v>
      </c>
      <c r="P2376">
        <f>IF(OR(calendar[[#This Row],[UK_BH]]=1,calendar[[#This Row],[WeekDay]]=1, calendar[[#This Row],[WeekDay]]=7),P2375,P2375+1)</f>
        <v>1696</v>
      </c>
      <c r="Q2376">
        <f>IF(OR(calendar[[#This Row],[FR_BH]]=1,calendar[[#This Row],[WeekDay]]=1, calendar[[#This Row],[WeekDay]]=7),P2375,P2375+1)</f>
        <v>1696</v>
      </c>
      <c r="R2376">
        <f>IF(OR(calendar[[#This Row],[SP_BH]]=1,calendar[[#This Row],[WeekDay]]=1, calendar[[#This Row],[WeekDay]]=7),P2375,P2375+1)</f>
        <v>1696</v>
      </c>
      <c r="S2376">
        <f>IF(OR(calendar[[#This Row],[PT_BH]]=1,calendar[[#This Row],[WeekDay]]=1, calendar[[#This Row],[WeekDay]]=7),P2375,P2375+1)</f>
        <v>1696</v>
      </c>
    </row>
    <row r="2377" spans="1:19" x14ac:dyDescent="0.25">
      <c r="A2377" s="2">
        <v>45111</v>
      </c>
      <c r="B2377" s="1">
        <f t="shared" si="188"/>
        <v>27</v>
      </c>
      <c r="C2377">
        <f t="shared" si="185"/>
        <v>7</v>
      </c>
      <c r="D2377" t="str">
        <f t="shared" si="186"/>
        <v>July</v>
      </c>
      <c r="E2377">
        <f t="shared" si="187"/>
        <v>2023</v>
      </c>
      <c r="F2377" t="str">
        <f>CONCATENATE(calendar[[#This Row],[Month]],"/",calendar[[#This Row],[Year]])</f>
        <v>7/2023</v>
      </c>
      <c r="G2377">
        <f>WEEKDAY(calendar[[#This Row],[Date]],1)</f>
        <v>3</v>
      </c>
      <c r="H2377" t="str">
        <f>TEXT(calendar[[#This Row],[WeekDay]],"dddd")</f>
        <v>Tuesday</v>
      </c>
      <c r="I2377">
        <f>IF((INT(calendar[[#This Row],[Count]]/7)-calendar[[#This Row],[Count]]/7)&lt;0,I2376,I2376+1)</f>
        <v>340</v>
      </c>
      <c r="J2377">
        <f t="shared" si="189"/>
        <v>2375</v>
      </c>
      <c r="K2377">
        <f>IF(calendar[[#This Row],[Month]]&lt;4,1,IF(calendar[[#This Row],[Month]]&lt;7,2,IF(calendar[[#This Row],[Month]]&lt;10,3,4)))</f>
        <v>3</v>
      </c>
      <c r="L2377">
        <f>IFERROR(IF(VLOOKUP(calendar[[#This Row],[Date]],BH!A:A,1,)&lt;&gt;"",1,0),0)</f>
        <v>0</v>
      </c>
      <c r="M2377">
        <f>IFERROR(IF(VLOOKUP(calendar[[#This Row],[Date]],BH!C:C,1,)&lt;&gt;"",1,0),0)</f>
        <v>0</v>
      </c>
      <c r="N2377">
        <f>IFERROR(IF(VLOOKUP(calendar[[#This Row],[Date]],BH!E:E,1,)&lt;&gt;"",1,0),0)</f>
        <v>0</v>
      </c>
      <c r="O2377">
        <f>IFERROR(IF(VLOOKUP(calendar[[#This Row],[Date]],BH!G:G,1,)&lt;&gt;"",1,0),0)</f>
        <v>0</v>
      </c>
      <c r="P2377">
        <f>IF(OR(calendar[[#This Row],[UK_BH]]=1,calendar[[#This Row],[WeekDay]]=1, calendar[[#This Row],[WeekDay]]=7),P2376,P2376+1)</f>
        <v>1697</v>
      </c>
      <c r="Q2377">
        <f>IF(OR(calendar[[#This Row],[FR_BH]]=1,calendar[[#This Row],[WeekDay]]=1, calendar[[#This Row],[WeekDay]]=7),P2376,P2376+1)</f>
        <v>1697</v>
      </c>
      <c r="R2377">
        <f>IF(OR(calendar[[#This Row],[SP_BH]]=1,calendar[[#This Row],[WeekDay]]=1, calendar[[#This Row],[WeekDay]]=7),P2376,P2376+1)</f>
        <v>1697</v>
      </c>
      <c r="S2377">
        <f>IF(OR(calendar[[#This Row],[PT_BH]]=1,calendar[[#This Row],[WeekDay]]=1, calendar[[#This Row],[WeekDay]]=7),P2376,P2376+1)</f>
        <v>1697</v>
      </c>
    </row>
    <row r="2378" spans="1:19" x14ac:dyDescent="0.25">
      <c r="A2378" s="2">
        <v>45112</v>
      </c>
      <c r="B2378" s="1">
        <f t="shared" si="188"/>
        <v>27</v>
      </c>
      <c r="C2378">
        <f t="shared" si="185"/>
        <v>7</v>
      </c>
      <c r="D2378" t="str">
        <f t="shared" si="186"/>
        <v>July</v>
      </c>
      <c r="E2378">
        <f t="shared" si="187"/>
        <v>2023</v>
      </c>
      <c r="F2378" t="str">
        <f>CONCATENATE(calendar[[#This Row],[Month]],"/",calendar[[#This Row],[Year]])</f>
        <v>7/2023</v>
      </c>
      <c r="G2378">
        <f>WEEKDAY(calendar[[#This Row],[Date]],1)</f>
        <v>4</v>
      </c>
      <c r="H2378" t="str">
        <f>TEXT(calendar[[#This Row],[WeekDay]],"dddd")</f>
        <v>Wednesday</v>
      </c>
      <c r="I2378">
        <f>IF((INT(calendar[[#This Row],[Count]]/7)-calendar[[#This Row],[Count]]/7)&lt;0,I2377,I2377+1)</f>
        <v>340</v>
      </c>
      <c r="J2378">
        <f t="shared" si="189"/>
        <v>2376</v>
      </c>
      <c r="K2378">
        <f>IF(calendar[[#This Row],[Month]]&lt;4,1,IF(calendar[[#This Row],[Month]]&lt;7,2,IF(calendar[[#This Row],[Month]]&lt;10,3,4)))</f>
        <v>3</v>
      </c>
      <c r="L2378">
        <f>IFERROR(IF(VLOOKUP(calendar[[#This Row],[Date]],BH!A:A,1,)&lt;&gt;"",1,0),0)</f>
        <v>0</v>
      </c>
      <c r="M2378">
        <f>IFERROR(IF(VLOOKUP(calendar[[#This Row],[Date]],BH!C:C,1,)&lt;&gt;"",1,0),0)</f>
        <v>0</v>
      </c>
      <c r="N2378">
        <f>IFERROR(IF(VLOOKUP(calendar[[#This Row],[Date]],BH!E:E,1,)&lt;&gt;"",1,0),0)</f>
        <v>0</v>
      </c>
      <c r="O2378">
        <f>IFERROR(IF(VLOOKUP(calendar[[#This Row],[Date]],BH!G:G,1,)&lt;&gt;"",1,0),0)</f>
        <v>0</v>
      </c>
      <c r="P2378">
        <f>IF(OR(calendar[[#This Row],[UK_BH]]=1,calendar[[#This Row],[WeekDay]]=1, calendar[[#This Row],[WeekDay]]=7),P2377,P2377+1)</f>
        <v>1698</v>
      </c>
      <c r="Q2378">
        <f>IF(OR(calendar[[#This Row],[FR_BH]]=1,calendar[[#This Row],[WeekDay]]=1, calendar[[#This Row],[WeekDay]]=7),P2377,P2377+1)</f>
        <v>1698</v>
      </c>
      <c r="R2378">
        <f>IF(OR(calendar[[#This Row],[SP_BH]]=1,calendar[[#This Row],[WeekDay]]=1, calendar[[#This Row],[WeekDay]]=7),P2377,P2377+1)</f>
        <v>1698</v>
      </c>
      <c r="S2378">
        <f>IF(OR(calendar[[#This Row],[PT_BH]]=1,calendar[[#This Row],[WeekDay]]=1, calendar[[#This Row],[WeekDay]]=7),P2377,P2377+1)</f>
        <v>1698</v>
      </c>
    </row>
    <row r="2379" spans="1:19" x14ac:dyDescent="0.25">
      <c r="A2379" s="2">
        <v>45113</v>
      </c>
      <c r="B2379" s="1">
        <f t="shared" si="188"/>
        <v>27</v>
      </c>
      <c r="C2379">
        <f t="shared" si="185"/>
        <v>7</v>
      </c>
      <c r="D2379" t="str">
        <f t="shared" si="186"/>
        <v>July</v>
      </c>
      <c r="E2379">
        <f t="shared" si="187"/>
        <v>2023</v>
      </c>
      <c r="F2379" t="str">
        <f>CONCATENATE(calendar[[#This Row],[Month]],"/",calendar[[#This Row],[Year]])</f>
        <v>7/2023</v>
      </c>
      <c r="G2379">
        <f>WEEKDAY(calendar[[#This Row],[Date]],1)</f>
        <v>5</v>
      </c>
      <c r="H2379" t="str">
        <f>TEXT(calendar[[#This Row],[WeekDay]],"dddd")</f>
        <v>Thursday</v>
      </c>
      <c r="I2379">
        <f>IF((INT(calendar[[#This Row],[Count]]/7)-calendar[[#This Row],[Count]]/7)&lt;0,I2378,I2378+1)</f>
        <v>340</v>
      </c>
      <c r="J2379">
        <f t="shared" si="189"/>
        <v>2377</v>
      </c>
      <c r="K2379">
        <f>IF(calendar[[#This Row],[Month]]&lt;4,1,IF(calendar[[#This Row],[Month]]&lt;7,2,IF(calendar[[#This Row],[Month]]&lt;10,3,4)))</f>
        <v>3</v>
      </c>
      <c r="L2379">
        <f>IFERROR(IF(VLOOKUP(calendar[[#This Row],[Date]],BH!A:A,1,)&lt;&gt;"",1,0),0)</f>
        <v>0</v>
      </c>
      <c r="M2379">
        <f>IFERROR(IF(VLOOKUP(calendar[[#This Row],[Date]],BH!C:C,1,)&lt;&gt;"",1,0),0)</f>
        <v>0</v>
      </c>
      <c r="N2379">
        <f>IFERROR(IF(VLOOKUP(calendar[[#This Row],[Date]],BH!E:E,1,)&lt;&gt;"",1,0),0)</f>
        <v>0</v>
      </c>
      <c r="O2379">
        <f>IFERROR(IF(VLOOKUP(calendar[[#This Row],[Date]],BH!G:G,1,)&lt;&gt;"",1,0),0)</f>
        <v>0</v>
      </c>
      <c r="P2379">
        <f>IF(OR(calendar[[#This Row],[UK_BH]]=1,calendar[[#This Row],[WeekDay]]=1, calendar[[#This Row],[WeekDay]]=7),P2378,P2378+1)</f>
        <v>1699</v>
      </c>
      <c r="Q2379">
        <f>IF(OR(calendar[[#This Row],[FR_BH]]=1,calendar[[#This Row],[WeekDay]]=1, calendar[[#This Row],[WeekDay]]=7),P2378,P2378+1)</f>
        <v>1699</v>
      </c>
      <c r="R2379">
        <f>IF(OR(calendar[[#This Row],[SP_BH]]=1,calendar[[#This Row],[WeekDay]]=1, calendar[[#This Row],[WeekDay]]=7),P2378,P2378+1)</f>
        <v>1699</v>
      </c>
      <c r="S2379">
        <f>IF(OR(calendar[[#This Row],[PT_BH]]=1,calendar[[#This Row],[WeekDay]]=1, calendar[[#This Row],[WeekDay]]=7),P2378,P2378+1)</f>
        <v>1699</v>
      </c>
    </row>
    <row r="2380" spans="1:19" x14ac:dyDescent="0.25">
      <c r="A2380" s="2">
        <v>45114</v>
      </c>
      <c r="B2380" s="1">
        <f t="shared" si="188"/>
        <v>27</v>
      </c>
      <c r="C2380">
        <f t="shared" si="185"/>
        <v>7</v>
      </c>
      <c r="D2380" t="str">
        <f t="shared" si="186"/>
        <v>July</v>
      </c>
      <c r="E2380">
        <f t="shared" si="187"/>
        <v>2023</v>
      </c>
      <c r="F2380" t="str">
        <f>CONCATENATE(calendar[[#This Row],[Month]],"/",calendar[[#This Row],[Year]])</f>
        <v>7/2023</v>
      </c>
      <c r="G2380">
        <f>WEEKDAY(calendar[[#This Row],[Date]],1)</f>
        <v>6</v>
      </c>
      <c r="H2380" t="str">
        <f>TEXT(calendar[[#This Row],[WeekDay]],"dddd")</f>
        <v>Friday</v>
      </c>
      <c r="I2380">
        <f>IF((INT(calendar[[#This Row],[Count]]/7)-calendar[[#This Row],[Count]]/7)&lt;0,I2379,I2379+1)</f>
        <v>340</v>
      </c>
      <c r="J2380">
        <f t="shared" si="189"/>
        <v>2378</v>
      </c>
      <c r="K2380">
        <f>IF(calendar[[#This Row],[Month]]&lt;4,1,IF(calendar[[#This Row],[Month]]&lt;7,2,IF(calendar[[#This Row],[Month]]&lt;10,3,4)))</f>
        <v>3</v>
      </c>
      <c r="L2380">
        <f>IFERROR(IF(VLOOKUP(calendar[[#This Row],[Date]],BH!A:A,1,)&lt;&gt;"",1,0),0)</f>
        <v>0</v>
      </c>
      <c r="M2380">
        <f>IFERROR(IF(VLOOKUP(calendar[[#This Row],[Date]],BH!C:C,1,)&lt;&gt;"",1,0),0)</f>
        <v>0</v>
      </c>
      <c r="N2380">
        <f>IFERROR(IF(VLOOKUP(calendar[[#This Row],[Date]],BH!E:E,1,)&lt;&gt;"",1,0),0)</f>
        <v>0</v>
      </c>
      <c r="O2380">
        <f>IFERROR(IF(VLOOKUP(calendar[[#This Row],[Date]],BH!G:G,1,)&lt;&gt;"",1,0),0)</f>
        <v>0</v>
      </c>
      <c r="P2380">
        <f>IF(OR(calendar[[#This Row],[UK_BH]]=1,calendar[[#This Row],[WeekDay]]=1, calendar[[#This Row],[WeekDay]]=7),P2379,P2379+1)</f>
        <v>1700</v>
      </c>
      <c r="Q2380">
        <f>IF(OR(calendar[[#This Row],[FR_BH]]=1,calendar[[#This Row],[WeekDay]]=1, calendar[[#This Row],[WeekDay]]=7),P2379,P2379+1)</f>
        <v>1700</v>
      </c>
      <c r="R2380">
        <f>IF(OR(calendar[[#This Row],[SP_BH]]=1,calendar[[#This Row],[WeekDay]]=1, calendar[[#This Row],[WeekDay]]=7),P2379,P2379+1)</f>
        <v>1700</v>
      </c>
      <c r="S2380">
        <f>IF(OR(calendar[[#This Row],[PT_BH]]=1,calendar[[#This Row],[WeekDay]]=1, calendar[[#This Row],[WeekDay]]=7),P2379,P2379+1)</f>
        <v>1700</v>
      </c>
    </row>
    <row r="2381" spans="1:19" x14ac:dyDescent="0.25">
      <c r="A2381" s="2">
        <v>45115</v>
      </c>
      <c r="B2381" s="1">
        <f t="shared" si="188"/>
        <v>27</v>
      </c>
      <c r="C2381">
        <f t="shared" si="185"/>
        <v>7</v>
      </c>
      <c r="D2381" t="str">
        <f t="shared" si="186"/>
        <v>July</v>
      </c>
      <c r="E2381">
        <f t="shared" si="187"/>
        <v>2023</v>
      </c>
      <c r="F2381" t="str">
        <f>CONCATENATE(calendar[[#This Row],[Month]],"/",calendar[[#This Row],[Year]])</f>
        <v>7/2023</v>
      </c>
      <c r="G2381">
        <f>WEEKDAY(calendar[[#This Row],[Date]],1)</f>
        <v>7</v>
      </c>
      <c r="H2381" t="str">
        <f>TEXT(calendar[[#This Row],[WeekDay]],"dddd")</f>
        <v>Saturday</v>
      </c>
      <c r="I2381">
        <f>IF((INT(calendar[[#This Row],[Count]]/7)-calendar[[#This Row],[Count]]/7)&lt;0,I2380,I2380+1)</f>
        <v>340</v>
      </c>
      <c r="J2381">
        <f t="shared" si="189"/>
        <v>2379</v>
      </c>
      <c r="K2381">
        <f>IF(calendar[[#This Row],[Month]]&lt;4,1,IF(calendar[[#This Row],[Month]]&lt;7,2,IF(calendar[[#This Row],[Month]]&lt;10,3,4)))</f>
        <v>3</v>
      </c>
      <c r="L2381">
        <f>IFERROR(IF(VLOOKUP(calendar[[#This Row],[Date]],BH!A:A,1,)&lt;&gt;"",1,0),0)</f>
        <v>0</v>
      </c>
      <c r="M2381">
        <f>IFERROR(IF(VLOOKUP(calendar[[#This Row],[Date]],BH!C:C,1,)&lt;&gt;"",1,0),0)</f>
        <v>0</v>
      </c>
      <c r="N2381">
        <f>IFERROR(IF(VLOOKUP(calendar[[#This Row],[Date]],BH!E:E,1,)&lt;&gt;"",1,0),0)</f>
        <v>0</v>
      </c>
      <c r="O2381">
        <f>IFERROR(IF(VLOOKUP(calendar[[#This Row],[Date]],BH!G:G,1,)&lt;&gt;"",1,0),0)</f>
        <v>0</v>
      </c>
      <c r="P2381">
        <f>IF(OR(calendar[[#This Row],[UK_BH]]=1,calendar[[#This Row],[WeekDay]]=1, calendar[[#This Row],[WeekDay]]=7),P2380,P2380+1)</f>
        <v>1700</v>
      </c>
      <c r="Q2381">
        <f>IF(OR(calendar[[#This Row],[FR_BH]]=1,calendar[[#This Row],[WeekDay]]=1, calendar[[#This Row],[WeekDay]]=7),P2380,P2380+1)</f>
        <v>1700</v>
      </c>
      <c r="R2381">
        <f>IF(OR(calendar[[#This Row],[SP_BH]]=1,calendar[[#This Row],[WeekDay]]=1, calendar[[#This Row],[WeekDay]]=7),P2380,P2380+1)</f>
        <v>1700</v>
      </c>
      <c r="S2381">
        <f>IF(OR(calendar[[#This Row],[PT_BH]]=1,calendar[[#This Row],[WeekDay]]=1, calendar[[#This Row],[WeekDay]]=7),P2380,P2380+1)</f>
        <v>1700</v>
      </c>
    </row>
    <row r="2382" spans="1:19" x14ac:dyDescent="0.25">
      <c r="A2382" s="2">
        <v>45116</v>
      </c>
      <c r="B2382" s="1">
        <f t="shared" si="188"/>
        <v>28</v>
      </c>
      <c r="C2382">
        <f t="shared" si="185"/>
        <v>7</v>
      </c>
      <c r="D2382" t="str">
        <f t="shared" si="186"/>
        <v>July</v>
      </c>
      <c r="E2382">
        <f t="shared" si="187"/>
        <v>2023</v>
      </c>
      <c r="F2382" t="str">
        <f>CONCATENATE(calendar[[#This Row],[Month]],"/",calendar[[#This Row],[Year]])</f>
        <v>7/2023</v>
      </c>
      <c r="G2382">
        <f>WEEKDAY(calendar[[#This Row],[Date]],1)</f>
        <v>1</v>
      </c>
      <c r="H2382" t="str">
        <f>TEXT(calendar[[#This Row],[WeekDay]],"dddd")</f>
        <v>Sunday</v>
      </c>
      <c r="I2382">
        <f>IF((INT(calendar[[#This Row],[Count]]/7)-calendar[[#This Row],[Count]]/7)&lt;0,I2381,I2381+1)</f>
        <v>341</v>
      </c>
      <c r="J2382">
        <f t="shared" si="189"/>
        <v>2380</v>
      </c>
      <c r="K2382">
        <f>IF(calendar[[#This Row],[Month]]&lt;4,1,IF(calendar[[#This Row],[Month]]&lt;7,2,IF(calendar[[#This Row],[Month]]&lt;10,3,4)))</f>
        <v>3</v>
      </c>
      <c r="L2382">
        <f>IFERROR(IF(VLOOKUP(calendar[[#This Row],[Date]],BH!A:A,1,)&lt;&gt;"",1,0),0)</f>
        <v>0</v>
      </c>
      <c r="M2382">
        <f>IFERROR(IF(VLOOKUP(calendar[[#This Row],[Date]],BH!C:C,1,)&lt;&gt;"",1,0),0)</f>
        <v>0</v>
      </c>
      <c r="N2382">
        <f>IFERROR(IF(VLOOKUP(calendar[[#This Row],[Date]],BH!E:E,1,)&lt;&gt;"",1,0),0)</f>
        <v>0</v>
      </c>
      <c r="O2382">
        <f>IFERROR(IF(VLOOKUP(calendar[[#This Row],[Date]],BH!G:G,1,)&lt;&gt;"",1,0),0)</f>
        <v>0</v>
      </c>
      <c r="P2382">
        <f>IF(OR(calendar[[#This Row],[UK_BH]]=1,calendar[[#This Row],[WeekDay]]=1, calendar[[#This Row],[WeekDay]]=7),P2381,P2381+1)</f>
        <v>1700</v>
      </c>
      <c r="Q2382">
        <f>IF(OR(calendar[[#This Row],[FR_BH]]=1,calendar[[#This Row],[WeekDay]]=1, calendar[[#This Row],[WeekDay]]=7),P2381,P2381+1)</f>
        <v>1700</v>
      </c>
      <c r="R2382">
        <f>IF(OR(calendar[[#This Row],[SP_BH]]=1,calendar[[#This Row],[WeekDay]]=1, calendar[[#This Row],[WeekDay]]=7),P2381,P2381+1)</f>
        <v>1700</v>
      </c>
      <c r="S2382">
        <f>IF(OR(calendar[[#This Row],[PT_BH]]=1,calendar[[#This Row],[WeekDay]]=1, calendar[[#This Row],[WeekDay]]=7),P2381,P2381+1)</f>
        <v>1700</v>
      </c>
    </row>
    <row r="2383" spans="1:19" x14ac:dyDescent="0.25">
      <c r="A2383" s="2">
        <v>45117</v>
      </c>
      <c r="B2383" s="1">
        <f t="shared" si="188"/>
        <v>28</v>
      </c>
      <c r="C2383">
        <f t="shared" si="185"/>
        <v>7</v>
      </c>
      <c r="D2383" t="str">
        <f t="shared" si="186"/>
        <v>July</v>
      </c>
      <c r="E2383">
        <f t="shared" si="187"/>
        <v>2023</v>
      </c>
      <c r="F2383" t="str">
        <f>CONCATENATE(calendar[[#This Row],[Month]],"/",calendar[[#This Row],[Year]])</f>
        <v>7/2023</v>
      </c>
      <c r="G2383">
        <f>WEEKDAY(calendar[[#This Row],[Date]],1)</f>
        <v>2</v>
      </c>
      <c r="H2383" t="str">
        <f>TEXT(calendar[[#This Row],[WeekDay]],"dddd")</f>
        <v>Monday</v>
      </c>
      <c r="I2383">
        <f>IF((INT(calendar[[#This Row],[Count]]/7)-calendar[[#This Row],[Count]]/7)&lt;0,I2382,I2382+1)</f>
        <v>341</v>
      </c>
      <c r="J2383">
        <f t="shared" si="189"/>
        <v>2381</v>
      </c>
      <c r="K2383">
        <f>IF(calendar[[#This Row],[Month]]&lt;4,1,IF(calendar[[#This Row],[Month]]&lt;7,2,IF(calendar[[#This Row],[Month]]&lt;10,3,4)))</f>
        <v>3</v>
      </c>
      <c r="L2383">
        <f>IFERROR(IF(VLOOKUP(calendar[[#This Row],[Date]],BH!A:A,1,)&lt;&gt;"",1,0),0)</f>
        <v>0</v>
      </c>
      <c r="M2383">
        <f>IFERROR(IF(VLOOKUP(calendar[[#This Row],[Date]],BH!C:C,1,)&lt;&gt;"",1,0),0)</f>
        <v>0</v>
      </c>
      <c r="N2383">
        <f>IFERROR(IF(VLOOKUP(calendar[[#This Row],[Date]],BH!E:E,1,)&lt;&gt;"",1,0),0)</f>
        <v>0</v>
      </c>
      <c r="O2383">
        <f>IFERROR(IF(VLOOKUP(calendar[[#This Row],[Date]],BH!G:G,1,)&lt;&gt;"",1,0),0)</f>
        <v>0</v>
      </c>
      <c r="P2383">
        <f>IF(OR(calendar[[#This Row],[UK_BH]]=1,calendar[[#This Row],[WeekDay]]=1, calendar[[#This Row],[WeekDay]]=7),P2382,P2382+1)</f>
        <v>1701</v>
      </c>
      <c r="Q2383">
        <f>IF(OR(calendar[[#This Row],[FR_BH]]=1,calendar[[#This Row],[WeekDay]]=1, calendar[[#This Row],[WeekDay]]=7),P2382,P2382+1)</f>
        <v>1701</v>
      </c>
      <c r="R2383">
        <f>IF(OR(calendar[[#This Row],[SP_BH]]=1,calendar[[#This Row],[WeekDay]]=1, calendar[[#This Row],[WeekDay]]=7),P2382,P2382+1)</f>
        <v>1701</v>
      </c>
      <c r="S2383">
        <f>IF(OR(calendar[[#This Row],[PT_BH]]=1,calendar[[#This Row],[WeekDay]]=1, calendar[[#This Row],[WeekDay]]=7),P2382,P2382+1)</f>
        <v>1701</v>
      </c>
    </row>
    <row r="2384" spans="1:19" x14ac:dyDescent="0.25">
      <c r="A2384" s="2">
        <v>45118</v>
      </c>
      <c r="B2384" s="1">
        <f t="shared" si="188"/>
        <v>28</v>
      </c>
      <c r="C2384">
        <f t="shared" ref="C2384:C2447" si="190">MONTH(A2384)</f>
        <v>7</v>
      </c>
      <c r="D2384" t="str">
        <f t="shared" ref="D2384:D2447" si="191">TEXT(A2384,"mmmm")</f>
        <v>July</v>
      </c>
      <c r="E2384">
        <f t="shared" ref="E2384:E2447" si="192">YEAR(A2384)</f>
        <v>2023</v>
      </c>
      <c r="F2384" t="str">
        <f>CONCATENATE(calendar[[#This Row],[Month]],"/",calendar[[#This Row],[Year]])</f>
        <v>7/2023</v>
      </c>
      <c r="G2384">
        <f>WEEKDAY(calendar[[#This Row],[Date]],1)</f>
        <v>3</v>
      </c>
      <c r="H2384" t="str">
        <f>TEXT(calendar[[#This Row],[WeekDay]],"dddd")</f>
        <v>Tuesday</v>
      </c>
      <c r="I2384">
        <f>IF((INT(calendar[[#This Row],[Count]]/7)-calendar[[#This Row],[Count]]/7)&lt;0,I2383,I2383+1)</f>
        <v>341</v>
      </c>
      <c r="J2384">
        <f t="shared" si="189"/>
        <v>2382</v>
      </c>
      <c r="K2384">
        <f>IF(calendar[[#This Row],[Month]]&lt;4,1,IF(calendar[[#This Row],[Month]]&lt;7,2,IF(calendar[[#This Row],[Month]]&lt;10,3,4)))</f>
        <v>3</v>
      </c>
      <c r="L2384">
        <f>IFERROR(IF(VLOOKUP(calendar[[#This Row],[Date]],BH!A:A,1,)&lt;&gt;"",1,0),0)</f>
        <v>0</v>
      </c>
      <c r="M2384">
        <f>IFERROR(IF(VLOOKUP(calendar[[#This Row],[Date]],BH!C:C,1,)&lt;&gt;"",1,0),0)</f>
        <v>0</v>
      </c>
      <c r="N2384">
        <f>IFERROR(IF(VLOOKUP(calendar[[#This Row],[Date]],BH!E:E,1,)&lt;&gt;"",1,0),0)</f>
        <v>0</v>
      </c>
      <c r="O2384">
        <f>IFERROR(IF(VLOOKUP(calendar[[#This Row],[Date]],BH!G:G,1,)&lt;&gt;"",1,0),0)</f>
        <v>0</v>
      </c>
      <c r="P2384">
        <f>IF(OR(calendar[[#This Row],[UK_BH]]=1,calendar[[#This Row],[WeekDay]]=1, calendar[[#This Row],[WeekDay]]=7),P2383,P2383+1)</f>
        <v>1702</v>
      </c>
      <c r="Q2384">
        <f>IF(OR(calendar[[#This Row],[FR_BH]]=1,calendar[[#This Row],[WeekDay]]=1, calendar[[#This Row],[WeekDay]]=7),P2383,P2383+1)</f>
        <v>1702</v>
      </c>
      <c r="R2384">
        <f>IF(OR(calendar[[#This Row],[SP_BH]]=1,calendar[[#This Row],[WeekDay]]=1, calendar[[#This Row],[WeekDay]]=7),P2383,P2383+1)</f>
        <v>1702</v>
      </c>
      <c r="S2384">
        <f>IF(OR(calendar[[#This Row],[PT_BH]]=1,calendar[[#This Row],[WeekDay]]=1, calendar[[#This Row],[WeekDay]]=7),P2383,P2383+1)</f>
        <v>1702</v>
      </c>
    </row>
    <row r="2385" spans="1:19" x14ac:dyDescent="0.25">
      <c r="A2385" s="2">
        <v>45119</v>
      </c>
      <c r="B2385" s="1">
        <f t="shared" si="188"/>
        <v>28</v>
      </c>
      <c r="C2385">
        <f t="shared" si="190"/>
        <v>7</v>
      </c>
      <c r="D2385" t="str">
        <f t="shared" si="191"/>
        <v>July</v>
      </c>
      <c r="E2385">
        <f t="shared" si="192"/>
        <v>2023</v>
      </c>
      <c r="F2385" t="str">
        <f>CONCATENATE(calendar[[#This Row],[Month]],"/",calendar[[#This Row],[Year]])</f>
        <v>7/2023</v>
      </c>
      <c r="G2385">
        <f>WEEKDAY(calendar[[#This Row],[Date]],1)</f>
        <v>4</v>
      </c>
      <c r="H2385" t="str">
        <f>TEXT(calendar[[#This Row],[WeekDay]],"dddd")</f>
        <v>Wednesday</v>
      </c>
      <c r="I2385">
        <f>IF((INT(calendar[[#This Row],[Count]]/7)-calendar[[#This Row],[Count]]/7)&lt;0,I2384,I2384+1)</f>
        <v>341</v>
      </c>
      <c r="J2385">
        <f t="shared" si="189"/>
        <v>2383</v>
      </c>
      <c r="K2385">
        <f>IF(calendar[[#This Row],[Month]]&lt;4,1,IF(calendar[[#This Row],[Month]]&lt;7,2,IF(calendar[[#This Row],[Month]]&lt;10,3,4)))</f>
        <v>3</v>
      </c>
      <c r="L2385">
        <f>IFERROR(IF(VLOOKUP(calendar[[#This Row],[Date]],BH!A:A,1,)&lt;&gt;"",1,0),0)</f>
        <v>0</v>
      </c>
      <c r="M2385">
        <f>IFERROR(IF(VLOOKUP(calendar[[#This Row],[Date]],BH!C:C,1,)&lt;&gt;"",1,0),0)</f>
        <v>0</v>
      </c>
      <c r="N2385">
        <f>IFERROR(IF(VLOOKUP(calendar[[#This Row],[Date]],BH!E:E,1,)&lt;&gt;"",1,0),0)</f>
        <v>0</v>
      </c>
      <c r="O2385">
        <f>IFERROR(IF(VLOOKUP(calendar[[#This Row],[Date]],BH!G:G,1,)&lt;&gt;"",1,0),0)</f>
        <v>0</v>
      </c>
      <c r="P2385">
        <f>IF(OR(calendar[[#This Row],[UK_BH]]=1,calendar[[#This Row],[WeekDay]]=1, calendar[[#This Row],[WeekDay]]=7),P2384,P2384+1)</f>
        <v>1703</v>
      </c>
      <c r="Q2385">
        <f>IF(OR(calendar[[#This Row],[FR_BH]]=1,calendar[[#This Row],[WeekDay]]=1, calendar[[#This Row],[WeekDay]]=7),P2384,P2384+1)</f>
        <v>1703</v>
      </c>
      <c r="R2385">
        <f>IF(OR(calendar[[#This Row],[SP_BH]]=1,calendar[[#This Row],[WeekDay]]=1, calendar[[#This Row],[WeekDay]]=7),P2384,P2384+1)</f>
        <v>1703</v>
      </c>
      <c r="S2385">
        <f>IF(OR(calendar[[#This Row],[PT_BH]]=1,calendar[[#This Row],[WeekDay]]=1, calendar[[#This Row],[WeekDay]]=7),P2384,P2384+1)</f>
        <v>1703</v>
      </c>
    </row>
    <row r="2386" spans="1:19" x14ac:dyDescent="0.25">
      <c r="A2386" s="2">
        <v>45120</v>
      </c>
      <c r="B2386" s="1">
        <f t="shared" si="188"/>
        <v>28</v>
      </c>
      <c r="C2386">
        <f t="shared" si="190"/>
        <v>7</v>
      </c>
      <c r="D2386" t="str">
        <f t="shared" si="191"/>
        <v>July</v>
      </c>
      <c r="E2386">
        <f t="shared" si="192"/>
        <v>2023</v>
      </c>
      <c r="F2386" t="str">
        <f>CONCATENATE(calendar[[#This Row],[Month]],"/",calendar[[#This Row],[Year]])</f>
        <v>7/2023</v>
      </c>
      <c r="G2386">
        <f>WEEKDAY(calendar[[#This Row],[Date]],1)</f>
        <v>5</v>
      </c>
      <c r="H2386" t="str">
        <f>TEXT(calendar[[#This Row],[WeekDay]],"dddd")</f>
        <v>Thursday</v>
      </c>
      <c r="I2386">
        <f>IF((INT(calendar[[#This Row],[Count]]/7)-calendar[[#This Row],[Count]]/7)&lt;0,I2385,I2385+1)</f>
        <v>341</v>
      </c>
      <c r="J2386">
        <f t="shared" si="189"/>
        <v>2384</v>
      </c>
      <c r="K2386">
        <f>IF(calendar[[#This Row],[Month]]&lt;4,1,IF(calendar[[#This Row],[Month]]&lt;7,2,IF(calendar[[#This Row],[Month]]&lt;10,3,4)))</f>
        <v>3</v>
      </c>
      <c r="L2386">
        <f>IFERROR(IF(VLOOKUP(calendar[[#This Row],[Date]],BH!A:A,1,)&lt;&gt;"",1,0),0)</f>
        <v>0</v>
      </c>
      <c r="M2386">
        <f>IFERROR(IF(VLOOKUP(calendar[[#This Row],[Date]],BH!C:C,1,)&lt;&gt;"",1,0),0)</f>
        <v>0</v>
      </c>
      <c r="N2386">
        <f>IFERROR(IF(VLOOKUP(calendar[[#This Row],[Date]],BH!E:E,1,)&lt;&gt;"",1,0),0)</f>
        <v>0</v>
      </c>
      <c r="O2386">
        <f>IFERROR(IF(VLOOKUP(calendar[[#This Row],[Date]],BH!G:G,1,)&lt;&gt;"",1,0),0)</f>
        <v>0</v>
      </c>
      <c r="P2386">
        <f>IF(OR(calendar[[#This Row],[UK_BH]]=1,calendar[[#This Row],[WeekDay]]=1, calendar[[#This Row],[WeekDay]]=7),P2385,P2385+1)</f>
        <v>1704</v>
      </c>
      <c r="Q2386">
        <f>IF(OR(calendar[[#This Row],[FR_BH]]=1,calendar[[#This Row],[WeekDay]]=1, calendar[[#This Row],[WeekDay]]=7),P2385,P2385+1)</f>
        <v>1704</v>
      </c>
      <c r="R2386">
        <f>IF(OR(calendar[[#This Row],[SP_BH]]=1,calendar[[#This Row],[WeekDay]]=1, calendar[[#This Row],[WeekDay]]=7),P2385,P2385+1)</f>
        <v>1704</v>
      </c>
      <c r="S2386">
        <f>IF(OR(calendar[[#This Row],[PT_BH]]=1,calendar[[#This Row],[WeekDay]]=1, calendar[[#This Row],[WeekDay]]=7),P2385,P2385+1)</f>
        <v>1704</v>
      </c>
    </row>
    <row r="2387" spans="1:19" x14ac:dyDescent="0.25">
      <c r="A2387" s="2">
        <v>45121</v>
      </c>
      <c r="B2387" s="1">
        <f t="shared" si="188"/>
        <v>28</v>
      </c>
      <c r="C2387">
        <f t="shared" si="190"/>
        <v>7</v>
      </c>
      <c r="D2387" t="str">
        <f t="shared" si="191"/>
        <v>July</v>
      </c>
      <c r="E2387">
        <f t="shared" si="192"/>
        <v>2023</v>
      </c>
      <c r="F2387" t="str">
        <f>CONCATENATE(calendar[[#This Row],[Month]],"/",calendar[[#This Row],[Year]])</f>
        <v>7/2023</v>
      </c>
      <c r="G2387">
        <f>WEEKDAY(calendar[[#This Row],[Date]],1)</f>
        <v>6</v>
      </c>
      <c r="H2387" t="str">
        <f>TEXT(calendar[[#This Row],[WeekDay]],"dddd")</f>
        <v>Friday</v>
      </c>
      <c r="I2387">
        <f>IF((INT(calendar[[#This Row],[Count]]/7)-calendar[[#This Row],[Count]]/7)&lt;0,I2386,I2386+1)</f>
        <v>341</v>
      </c>
      <c r="J2387">
        <f t="shared" si="189"/>
        <v>2385</v>
      </c>
      <c r="K2387">
        <f>IF(calendar[[#This Row],[Month]]&lt;4,1,IF(calendar[[#This Row],[Month]]&lt;7,2,IF(calendar[[#This Row],[Month]]&lt;10,3,4)))</f>
        <v>3</v>
      </c>
      <c r="L2387">
        <f>IFERROR(IF(VLOOKUP(calendar[[#This Row],[Date]],BH!A:A,1,)&lt;&gt;"",1,0),0)</f>
        <v>0</v>
      </c>
      <c r="M2387">
        <f>IFERROR(IF(VLOOKUP(calendar[[#This Row],[Date]],BH!C:C,1,)&lt;&gt;"",1,0),0)</f>
        <v>0</v>
      </c>
      <c r="N2387">
        <f>IFERROR(IF(VLOOKUP(calendar[[#This Row],[Date]],BH!E:E,1,)&lt;&gt;"",1,0),0)</f>
        <v>0</v>
      </c>
      <c r="O2387">
        <f>IFERROR(IF(VLOOKUP(calendar[[#This Row],[Date]],BH!G:G,1,)&lt;&gt;"",1,0),0)</f>
        <v>0</v>
      </c>
      <c r="P2387">
        <f>IF(OR(calendar[[#This Row],[UK_BH]]=1,calendar[[#This Row],[WeekDay]]=1, calendar[[#This Row],[WeekDay]]=7),P2386,P2386+1)</f>
        <v>1705</v>
      </c>
      <c r="Q2387">
        <f>IF(OR(calendar[[#This Row],[FR_BH]]=1,calendar[[#This Row],[WeekDay]]=1, calendar[[#This Row],[WeekDay]]=7),P2386,P2386+1)</f>
        <v>1705</v>
      </c>
      <c r="R2387">
        <f>IF(OR(calendar[[#This Row],[SP_BH]]=1,calendar[[#This Row],[WeekDay]]=1, calendar[[#This Row],[WeekDay]]=7),P2386,P2386+1)</f>
        <v>1705</v>
      </c>
      <c r="S2387">
        <f>IF(OR(calendar[[#This Row],[PT_BH]]=1,calendar[[#This Row],[WeekDay]]=1, calendar[[#This Row],[WeekDay]]=7),P2386,P2386+1)</f>
        <v>1705</v>
      </c>
    </row>
    <row r="2388" spans="1:19" x14ac:dyDescent="0.25">
      <c r="A2388" s="2">
        <v>45122</v>
      </c>
      <c r="B2388" s="1">
        <f t="shared" si="188"/>
        <v>28</v>
      </c>
      <c r="C2388">
        <f t="shared" si="190"/>
        <v>7</v>
      </c>
      <c r="D2388" t="str">
        <f t="shared" si="191"/>
        <v>July</v>
      </c>
      <c r="E2388">
        <f t="shared" si="192"/>
        <v>2023</v>
      </c>
      <c r="F2388" t="str">
        <f>CONCATENATE(calendar[[#This Row],[Month]],"/",calendar[[#This Row],[Year]])</f>
        <v>7/2023</v>
      </c>
      <c r="G2388">
        <f>WEEKDAY(calendar[[#This Row],[Date]],1)</f>
        <v>7</v>
      </c>
      <c r="H2388" t="str">
        <f>TEXT(calendar[[#This Row],[WeekDay]],"dddd")</f>
        <v>Saturday</v>
      </c>
      <c r="I2388">
        <f>IF((INT(calendar[[#This Row],[Count]]/7)-calendar[[#This Row],[Count]]/7)&lt;0,I2387,I2387+1)</f>
        <v>341</v>
      </c>
      <c r="J2388">
        <f t="shared" si="189"/>
        <v>2386</v>
      </c>
      <c r="K2388">
        <f>IF(calendar[[#This Row],[Month]]&lt;4,1,IF(calendar[[#This Row],[Month]]&lt;7,2,IF(calendar[[#This Row],[Month]]&lt;10,3,4)))</f>
        <v>3</v>
      </c>
      <c r="L2388">
        <f>IFERROR(IF(VLOOKUP(calendar[[#This Row],[Date]],BH!A:A,1,)&lt;&gt;"",1,0),0)</f>
        <v>0</v>
      </c>
      <c r="M2388">
        <f>IFERROR(IF(VLOOKUP(calendar[[#This Row],[Date]],BH!C:C,1,)&lt;&gt;"",1,0),0)</f>
        <v>0</v>
      </c>
      <c r="N2388">
        <f>IFERROR(IF(VLOOKUP(calendar[[#This Row],[Date]],BH!E:E,1,)&lt;&gt;"",1,0),0)</f>
        <v>0</v>
      </c>
      <c r="O2388">
        <f>IFERROR(IF(VLOOKUP(calendar[[#This Row],[Date]],BH!G:G,1,)&lt;&gt;"",1,0),0)</f>
        <v>0</v>
      </c>
      <c r="P2388">
        <f>IF(OR(calendar[[#This Row],[UK_BH]]=1,calendar[[#This Row],[WeekDay]]=1, calendar[[#This Row],[WeekDay]]=7),P2387,P2387+1)</f>
        <v>1705</v>
      </c>
      <c r="Q2388">
        <f>IF(OR(calendar[[#This Row],[FR_BH]]=1,calendar[[#This Row],[WeekDay]]=1, calendar[[#This Row],[WeekDay]]=7),P2387,P2387+1)</f>
        <v>1705</v>
      </c>
      <c r="R2388">
        <f>IF(OR(calendar[[#This Row],[SP_BH]]=1,calendar[[#This Row],[WeekDay]]=1, calendar[[#This Row],[WeekDay]]=7),P2387,P2387+1)</f>
        <v>1705</v>
      </c>
      <c r="S2388">
        <f>IF(OR(calendar[[#This Row],[PT_BH]]=1,calendar[[#This Row],[WeekDay]]=1, calendar[[#This Row],[WeekDay]]=7),P2387,P2387+1)</f>
        <v>1705</v>
      </c>
    </row>
    <row r="2389" spans="1:19" x14ac:dyDescent="0.25">
      <c r="A2389" s="2">
        <v>45123</v>
      </c>
      <c r="B2389" s="1">
        <f t="shared" si="188"/>
        <v>29</v>
      </c>
      <c r="C2389">
        <f t="shared" si="190"/>
        <v>7</v>
      </c>
      <c r="D2389" t="str">
        <f t="shared" si="191"/>
        <v>July</v>
      </c>
      <c r="E2389">
        <f t="shared" si="192"/>
        <v>2023</v>
      </c>
      <c r="F2389" t="str">
        <f>CONCATENATE(calendar[[#This Row],[Month]],"/",calendar[[#This Row],[Year]])</f>
        <v>7/2023</v>
      </c>
      <c r="G2389">
        <f>WEEKDAY(calendar[[#This Row],[Date]],1)</f>
        <v>1</v>
      </c>
      <c r="H2389" t="str">
        <f>TEXT(calendar[[#This Row],[WeekDay]],"dddd")</f>
        <v>Sunday</v>
      </c>
      <c r="I2389">
        <f>IF((INT(calendar[[#This Row],[Count]]/7)-calendar[[#This Row],[Count]]/7)&lt;0,I2388,I2388+1)</f>
        <v>342</v>
      </c>
      <c r="J2389">
        <f t="shared" si="189"/>
        <v>2387</v>
      </c>
      <c r="K2389">
        <f>IF(calendar[[#This Row],[Month]]&lt;4,1,IF(calendar[[#This Row],[Month]]&lt;7,2,IF(calendar[[#This Row],[Month]]&lt;10,3,4)))</f>
        <v>3</v>
      </c>
      <c r="L2389">
        <f>IFERROR(IF(VLOOKUP(calendar[[#This Row],[Date]],BH!A:A,1,)&lt;&gt;"",1,0),0)</f>
        <v>0</v>
      </c>
      <c r="M2389">
        <f>IFERROR(IF(VLOOKUP(calendar[[#This Row],[Date]],BH!C:C,1,)&lt;&gt;"",1,0),0)</f>
        <v>0</v>
      </c>
      <c r="N2389">
        <f>IFERROR(IF(VLOOKUP(calendar[[#This Row],[Date]],BH!E:E,1,)&lt;&gt;"",1,0),0)</f>
        <v>0</v>
      </c>
      <c r="O2389">
        <f>IFERROR(IF(VLOOKUP(calendar[[#This Row],[Date]],BH!G:G,1,)&lt;&gt;"",1,0),0)</f>
        <v>0</v>
      </c>
      <c r="P2389">
        <f>IF(OR(calendar[[#This Row],[UK_BH]]=1,calendar[[#This Row],[WeekDay]]=1, calendar[[#This Row],[WeekDay]]=7),P2388,P2388+1)</f>
        <v>1705</v>
      </c>
      <c r="Q2389">
        <f>IF(OR(calendar[[#This Row],[FR_BH]]=1,calendar[[#This Row],[WeekDay]]=1, calendar[[#This Row],[WeekDay]]=7),P2388,P2388+1)</f>
        <v>1705</v>
      </c>
      <c r="R2389">
        <f>IF(OR(calendar[[#This Row],[SP_BH]]=1,calendar[[#This Row],[WeekDay]]=1, calendar[[#This Row],[WeekDay]]=7),P2388,P2388+1)</f>
        <v>1705</v>
      </c>
      <c r="S2389">
        <f>IF(OR(calendar[[#This Row],[PT_BH]]=1,calendar[[#This Row],[WeekDay]]=1, calendar[[#This Row],[WeekDay]]=7),P2388,P2388+1)</f>
        <v>1705</v>
      </c>
    </row>
    <row r="2390" spans="1:19" x14ac:dyDescent="0.25">
      <c r="A2390" s="2">
        <v>45124</v>
      </c>
      <c r="B2390" s="1">
        <f t="shared" si="188"/>
        <v>29</v>
      </c>
      <c r="C2390">
        <f t="shared" si="190"/>
        <v>7</v>
      </c>
      <c r="D2390" t="str">
        <f t="shared" si="191"/>
        <v>July</v>
      </c>
      <c r="E2390">
        <f t="shared" si="192"/>
        <v>2023</v>
      </c>
      <c r="F2390" t="str">
        <f>CONCATENATE(calendar[[#This Row],[Month]],"/",calendar[[#This Row],[Year]])</f>
        <v>7/2023</v>
      </c>
      <c r="G2390">
        <f>WEEKDAY(calendar[[#This Row],[Date]],1)</f>
        <v>2</v>
      </c>
      <c r="H2390" t="str">
        <f>TEXT(calendar[[#This Row],[WeekDay]],"dddd")</f>
        <v>Monday</v>
      </c>
      <c r="I2390">
        <f>IF((INT(calendar[[#This Row],[Count]]/7)-calendar[[#This Row],[Count]]/7)&lt;0,I2389,I2389+1)</f>
        <v>342</v>
      </c>
      <c r="J2390">
        <f t="shared" si="189"/>
        <v>2388</v>
      </c>
      <c r="K2390">
        <f>IF(calendar[[#This Row],[Month]]&lt;4,1,IF(calendar[[#This Row],[Month]]&lt;7,2,IF(calendar[[#This Row],[Month]]&lt;10,3,4)))</f>
        <v>3</v>
      </c>
      <c r="L2390">
        <f>IFERROR(IF(VLOOKUP(calendar[[#This Row],[Date]],BH!A:A,1,)&lt;&gt;"",1,0),0)</f>
        <v>0</v>
      </c>
      <c r="M2390">
        <f>IFERROR(IF(VLOOKUP(calendar[[#This Row],[Date]],BH!C:C,1,)&lt;&gt;"",1,0),0)</f>
        <v>0</v>
      </c>
      <c r="N2390">
        <f>IFERROR(IF(VLOOKUP(calendar[[#This Row],[Date]],BH!E:E,1,)&lt;&gt;"",1,0),0)</f>
        <v>0</v>
      </c>
      <c r="O2390">
        <f>IFERROR(IF(VLOOKUP(calendar[[#This Row],[Date]],BH!G:G,1,)&lt;&gt;"",1,0),0)</f>
        <v>0</v>
      </c>
      <c r="P2390">
        <f>IF(OR(calendar[[#This Row],[UK_BH]]=1,calendar[[#This Row],[WeekDay]]=1, calendar[[#This Row],[WeekDay]]=7),P2389,P2389+1)</f>
        <v>1706</v>
      </c>
      <c r="Q2390">
        <f>IF(OR(calendar[[#This Row],[FR_BH]]=1,calendar[[#This Row],[WeekDay]]=1, calendar[[#This Row],[WeekDay]]=7),P2389,P2389+1)</f>
        <v>1706</v>
      </c>
      <c r="R2390">
        <f>IF(OR(calendar[[#This Row],[SP_BH]]=1,calendar[[#This Row],[WeekDay]]=1, calendar[[#This Row],[WeekDay]]=7),P2389,P2389+1)</f>
        <v>1706</v>
      </c>
      <c r="S2390">
        <f>IF(OR(calendar[[#This Row],[PT_BH]]=1,calendar[[#This Row],[WeekDay]]=1, calendar[[#This Row],[WeekDay]]=7),P2389,P2389+1)</f>
        <v>1706</v>
      </c>
    </row>
    <row r="2391" spans="1:19" x14ac:dyDescent="0.25">
      <c r="A2391" s="2">
        <v>45125</v>
      </c>
      <c r="B2391" s="1">
        <f t="shared" si="188"/>
        <v>29</v>
      </c>
      <c r="C2391">
        <f t="shared" si="190"/>
        <v>7</v>
      </c>
      <c r="D2391" t="str">
        <f t="shared" si="191"/>
        <v>July</v>
      </c>
      <c r="E2391">
        <f t="shared" si="192"/>
        <v>2023</v>
      </c>
      <c r="F2391" t="str">
        <f>CONCATENATE(calendar[[#This Row],[Month]],"/",calendar[[#This Row],[Year]])</f>
        <v>7/2023</v>
      </c>
      <c r="G2391">
        <f>WEEKDAY(calendar[[#This Row],[Date]],1)</f>
        <v>3</v>
      </c>
      <c r="H2391" t="str">
        <f>TEXT(calendar[[#This Row],[WeekDay]],"dddd")</f>
        <v>Tuesday</v>
      </c>
      <c r="I2391">
        <f>IF((INT(calendar[[#This Row],[Count]]/7)-calendar[[#This Row],[Count]]/7)&lt;0,I2390,I2390+1)</f>
        <v>342</v>
      </c>
      <c r="J2391">
        <f t="shared" si="189"/>
        <v>2389</v>
      </c>
      <c r="K2391">
        <f>IF(calendar[[#This Row],[Month]]&lt;4,1,IF(calendar[[#This Row],[Month]]&lt;7,2,IF(calendar[[#This Row],[Month]]&lt;10,3,4)))</f>
        <v>3</v>
      </c>
      <c r="L2391">
        <f>IFERROR(IF(VLOOKUP(calendar[[#This Row],[Date]],BH!A:A,1,)&lt;&gt;"",1,0),0)</f>
        <v>0</v>
      </c>
      <c r="M2391">
        <f>IFERROR(IF(VLOOKUP(calendar[[#This Row],[Date]],BH!C:C,1,)&lt;&gt;"",1,0),0)</f>
        <v>0</v>
      </c>
      <c r="N2391">
        <f>IFERROR(IF(VLOOKUP(calendar[[#This Row],[Date]],BH!E:E,1,)&lt;&gt;"",1,0),0)</f>
        <v>0</v>
      </c>
      <c r="O2391">
        <f>IFERROR(IF(VLOOKUP(calendar[[#This Row],[Date]],BH!G:G,1,)&lt;&gt;"",1,0),0)</f>
        <v>0</v>
      </c>
      <c r="P2391">
        <f>IF(OR(calendar[[#This Row],[UK_BH]]=1,calendar[[#This Row],[WeekDay]]=1, calendar[[#This Row],[WeekDay]]=7),P2390,P2390+1)</f>
        <v>1707</v>
      </c>
      <c r="Q2391">
        <f>IF(OR(calendar[[#This Row],[FR_BH]]=1,calendar[[#This Row],[WeekDay]]=1, calendar[[#This Row],[WeekDay]]=7),P2390,P2390+1)</f>
        <v>1707</v>
      </c>
      <c r="R2391">
        <f>IF(OR(calendar[[#This Row],[SP_BH]]=1,calendar[[#This Row],[WeekDay]]=1, calendar[[#This Row],[WeekDay]]=7),P2390,P2390+1)</f>
        <v>1707</v>
      </c>
      <c r="S2391">
        <f>IF(OR(calendar[[#This Row],[PT_BH]]=1,calendar[[#This Row],[WeekDay]]=1, calendar[[#This Row],[WeekDay]]=7),P2390,P2390+1)</f>
        <v>1707</v>
      </c>
    </row>
    <row r="2392" spans="1:19" x14ac:dyDescent="0.25">
      <c r="A2392" s="2">
        <v>45126</v>
      </c>
      <c r="B2392" s="1">
        <f t="shared" si="188"/>
        <v>29</v>
      </c>
      <c r="C2392">
        <f t="shared" si="190"/>
        <v>7</v>
      </c>
      <c r="D2392" t="str">
        <f t="shared" si="191"/>
        <v>July</v>
      </c>
      <c r="E2392">
        <f t="shared" si="192"/>
        <v>2023</v>
      </c>
      <c r="F2392" t="str">
        <f>CONCATENATE(calendar[[#This Row],[Month]],"/",calendar[[#This Row],[Year]])</f>
        <v>7/2023</v>
      </c>
      <c r="G2392">
        <f>WEEKDAY(calendar[[#This Row],[Date]],1)</f>
        <v>4</v>
      </c>
      <c r="H2392" t="str">
        <f>TEXT(calendar[[#This Row],[WeekDay]],"dddd")</f>
        <v>Wednesday</v>
      </c>
      <c r="I2392">
        <f>IF((INT(calendar[[#This Row],[Count]]/7)-calendar[[#This Row],[Count]]/7)&lt;0,I2391,I2391+1)</f>
        <v>342</v>
      </c>
      <c r="J2392">
        <f t="shared" si="189"/>
        <v>2390</v>
      </c>
      <c r="K2392">
        <f>IF(calendar[[#This Row],[Month]]&lt;4,1,IF(calendar[[#This Row],[Month]]&lt;7,2,IF(calendar[[#This Row],[Month]]&lt;10,3,4)))</f>
        <v>3</v>
      </c>
      <c r="L2392">
        <f>IFERROR(IF(VLOOKUP(calendar[[#This Row],[Date]],BH!A:A,1,)&lt;&gt;"",1,0),0)</f>
        <v>0</v>
      </c>
      <c r="M2392">
        <f>IFERROR(IF(VLOOKUP(calendar[[#This Row],[Date]],BH!C:C,1,)&lt;&gt;"",1,0),0)</f>
        <v>0</v>
      </c>
      <c r="N2392">
        <f>IFERROR(IF(VLOOKUP(calendar[[#This Row],[Date]],BH!E:E,1,)&lt;&gt;"",1,0),0)</f>
        <v>0</v>
      </c>
      <c r="O2392">
        <f>IFERROR(IF(VLOOKUP(calendar[[#This Row],[Date]],BH!G:G,1,)&lt;&gt;"",1,0),0)</f>
        <v>0</v>
      </c>
      <c r="P2392">
        <f>IF(OR(calendar[[#This Row],[UK_BH]]=1,calendar[[#This Row],[WeekDay]]=1, calendar[[#This Row],[WeekDay]]=7),P2391,P2391+1)</f>
        <v>1708</v>
      </c>
      <c r="Q2392">
        <f>IF(OR(calendar[[#This Row],[FR_BH]]=1,calendar[[#This Row],[WeekDay]]=1, calendar[[#This Row],[WeekDay]]=7),P2391,P2391+1)</f>
        <v>1708</v>
      </c>
      <c r="R2392">
        <f>IF(OR(calendar[[#This Row],[SP_BH]]=1,calendar[[#This Row],[WeekDay]]=1, calendar[[#This Row],[WeekDay]]=7),P2391,P2391+1)</f>
        <v>1708</v>
      </c>
      <c r="S2392">
        <f>IF(OR(calendar[[#This Row],[PT_BH]]=1,calendar[[#This Row],[WeekDay]]=1, calendar[[#This Row],[WeekDay]]=7),P2391,P2391+1)</f>
        <v>1708</v>
      </c>
    </row>
    <row r="2393" spans="1:19" x14ac:dyDescent="0.25">
      <c r="A2393" s="2">
        <v>45127</v>
      </c>
      <c r="B2393" s="1">
        <f t="shared" si="188"/>
        <v>29</v>
      </c>
      <c r="C2393">
        <f t="shared" si="190"/>
        <v>7</v>
      </c>
      <c r="D2393" t="str">
        <f t="shared" si="191"/>
        <v>July</v>
      </c>
      <c r="E2393">
        <f t="shared" si="192"/>
        <v>2023</v>
      </c>
      <c r="F2393" t="str">
        <f>CONCATENATE(calendar[[#This Row],[Month]],"/",calendar[[#This Row],[Year]])</f>
        <v>7/2023</v>
      </c>
      <c r="G2393">
        <f>WEEKDAY(calendar[[#This Row],[Date]],1)</f>
        <v>5</v>
      </c>
      <c r="H2393" t="str">
        <f>TEXT(calendar[[#This Row],[WeekDay]],"dddd")</f>
        <v>Thursday</v>
      </c>
      <c r="I2393">
        <f>IF((INT(calendar[[#This Row],[Count]]/7)-calendar[[#This Row],[Count]]/7)&lt;0,I2392,I2392+1)</f>
        <v>342</v>
      </c>
      <c r="J2393">
        <f t="shared" si="189"/>
        <v>2391</v>
      </c>
      <c r="K2393">
        <f>IF(calendar[[#This Row],[Month]]&lt;4,1,IF(calendar[[#This Row],[Month]]&lt;7,2,IF(calendar[[#This Row],[Month]]&lt;10,3,4)))</f>
        <v>3</v>
      </c>
      <c r="L2393">
        <f>IFERROR(IF(VLOOKUP(calendar[[#This Row],[Date]],BH!A:A,1,)&lt;&gt;"",1,0),0)</f>
        <v>0</v>
      </c>
      <c r="M2393">
        <f>IFERROR(IF(VLOOKUP(calendar[[#This Row],[Date]],BH!C:C,1,)&lt;&gt;"",1,0),0)</f>
        <v>0</v>
      </c>
      <c r="N2393">
        <f>IFERROR(IF(VLOOKUP(calendar[[#This Row],[Date]],BH!E:E,1,)&lt;&gt;"",1,0),0)</f>
        <v>0</v>
      </c>
      <c r="O2393">
        <f>IFERROR(IF(VLOOKUP(calendar[[#This Row],[Date]],BH!G:G,1,)&lt;&gt;"",1,0),0)</f>
        <v>0</v>
      </c>
      <c r="P2393">
        <f>IF(OR(calendar[[#This Row],[UK_BH]]=1,calendar[[#This Row],[WeekDay]]=1, calendar[[#This Row],[WeekDay]]=7),P2392,P2392+1)</f>
        <v>1709</v>
      </c>
      <c r="Q2393">
        <f>IF(OR(calendar[[#This Row],[FR_BH]]=1,calendar[[#This Row],[WeekDay]]=1, calendar[[#This Row],[WeekDay]]=7),P2392,P2392+1)</f>
        <v>1709</v>
      </c>
      <c r="R2393">
        <f>IF(OR(calendar[[#This Row],[SP_BH]]=1,calendar[[#This Row],[WeekDay]]=1, calendar[[#This Row],[WeekDay]]=7),P2392,P2392+1)</f>
        <v>1709</v>
      </c>
      <c r="S2393">
        <f>IF(OR(calendar[[#This Row],[PT_BH]]=1,calendar[[#This Row],[WeekDay]]=1, calendar[[#This Row],[WeekDay]]=7),P2392,P2392+1)</f>
        <v>1709</v>
      </c>
    </row>
    <row r="2394" spans="1:19" x14ac:dyDescent="0.25">
      <c r="A2394" s="2">
        <v>45128</v>
      </c>
      <c r="B2394" s="1">
        <f t="shared" si="188"/>
        <v>29</v>
      </c>
      <c r="C2394">
        <f t="shared" si="190"/>
        <v>7</v>
      </c>
      <c r="D2394" t="str">
        <f t="shared" si="191"/>
        <v>July</v>
      </c>
      <c r="E2394">
        <f t="shared" si="192"/>
        <v>2023</v>
      </c>
      <c r="F2394" t="str">
        <f>CONCATENATE(calendar[[#This Row],[Month]],"/",calendar[[#This Row],[Year]])</f>
        <v>7/2023</v>
      </c>
      <c r="G2394">
        <f>WEEKDAY(calendar[[#This Row],[Date]],1)</f>
        <v>6</v>
      </c>
      <c r="H2394" t="str">
        <f>TEXT(calendar[[#This Row],[WeekDay]],"dddd")</f>
        <v>Friday</v>
      </c>
      <c r="I2394">
        <f>IF((INT(calendar[[#This Row],[Count]]/7)-calendar[[#This Row],[Count]]/7)&lt;0,I2393,I2393+1)</f>
        <v>342</v>
      </c>
      <c r="J2394">
        <f t="shared" si="189"/>
        <v>2392</v>
      </c>
      <c r="K2394">
        <f>IF(calendar[[#This Row],[Month]]&lt;4,1,IF(calendar[[#This Row],[Month]]&lt;7,2,IF(calendar[[#This Row],[Month]]&lt;10,3,4)))</f>
        <v>3</v>
      </c>
      <c r="L2394">
        <f>IFERROR(IF(VLOOKUP(calendar[[#This Row],[Date]],BH!A:A,1,)&lt;&gt;"",1,0),0)</f>
        <v>0</v>
      </c>
      <c r="M2394">
        <f>IFERROR(IF(VLOOKUP(calendar[[#This Row],[Date]],BH!C:C,1,)&lt;&gt;"",1,0),0)</f>
        <v>0</v>
      </c>
      <c r="N2394">
        <f>IFERROR(IF(VLOOKUP(calendar[[#This Row],[Date]],BH!E:E,1,)&lt;&gt;"",1,0),0)</f>
        <v>0</v>
      </c>
      <c r="O2394">
        <f>IFERROR(IF(VLOOKUP(calendar[[#This Row],[Date]],BH!G:G,1,)&lt;&gt;"",1,0),0)</f>
        <v>0</v>
      </c>
      <c r="P2394">
        <f>IF(OR(calendar[[#This Row],[UK_BH]]=1,calendar[[#This Row],[WeekDay]]=1, calendar[[#This Row],[WeekDay]]=7),P2393,P2393+1)</f>
        <v>1710</v>
      </c>
      <c r="Q2394">
        <f>IF(OR(calendar[[#This Row],[FR_BH]]=1,calendar[[#This Row],[WeekDay]]=1, calendar[[#This Row],[WeekDay]]=7),P2393,P2393+1)</f>
        <v>1710</v>
      </c>
      <c r="R2394">
        <f>IF(OR(calendar[[#This Row],[SP_BH]]=1,calendar[[#This Row],[WeekDay]]=1, calendar[[#This Row],[WeekDay]]=7),P2393,P2393+1)</f>
        <v>1710</v>
      </c>
      <c r="S2394">
        <f>IF(OR(calendar[[#This Row],[PT_BH]]=1,calendar[[#This Row],[WeekDay]]=1, calendar[[#This Row],[WeekDay]]=7),P2393,P2393+1)</f>
        <v>1710</v>
      </c>
    </row>
    <row r="2395" spans="1:19" x14ac:dyDescent="0.25">
      <c r="A2395" s="2">
        <v>45129</v>
      </c>
      <c r="B2395" s="1">
        <f t="shared" si="188"/>
        <v>29</v>
      </c>
      <c r="C2395">
        <f t="shared" si="190"/>
        <v>7</v>
      </c>
      <c r="D2395" t="str">
        <f t="shared" si="191"/>
        <v>July</v>
      </c>
      <c r="E2395">
        <f t="shared" si="192"/>
        <v>2023</v>
      </c>
      <c r="F2395" t="str">
        <f>CONCATENATE(calendar[[#This Row],[Month]],"/",calendar[[#This Row],[Year]])</f>
        <v>7/2023</v>
      </c>
      <c r="G2395">
        <f>WEEKDAY(calendar[[#This Row],[Date]],1)</f>
        <v>7</v>
      </c>
      <c r="H2395" t="str">
        <f>TEXT(calendar[[#This Row],[WeekDay]],"dddd")</f>
        <v>Saturday</v>
      </c>
      <c r="I2395">
        <f>IF((INT(calendar[[#This Row],[Count]]/7)-calendar[[#This Row],[Count]]/7)&lt;0,I2394,I2394+1)</f>
        <v>342</v>
      </c>
      <c r="J2395">
        <f t="shared" si="189"/>
        <v>2393</v>
      </c>
      <c r="K2395">
        <f>IF(calendar[[#This Row],[Month]]&lt;4,1,IF(calendar[[#This Row],[Month]]&lt;7,2,IF(calendar[[#This Row],[Month]]&lt;10,3,4)))</f>
        <v>3</v>
      </c>
      <c r="L2395">
        <f>IFERROR(IF(VLOOKUP(calendar[[#This Row],[Date]],BH!A:A,1,)&lt;&gt;"",1,0),0)</f>
        <v>0</v>
      </c>
      <c r="M2395">
        <f>IFERROR(IF(VLOOKUP(calendar[[#This Row],[Date]],BH!C:C,1,)&lt;&gt;"",1,0),0)</f>
        <v>0</v>
      </c>
      <c r="N2395">
        <f>IFERROR(IF(VLOOKUP(calendar[[#This Row],[Date]],BH!E:E,1,)&lt;&gt;"",1,0),0)</f>
        <v>0</v>
      </c>
      <c r="O2395">
        <f>IFERROR(IF(VLOOKUP(calendar[[#This Row],[Date]],BH!G:G,1,)&lt;&gt;"",1,0),0)</f>
        <v>0</v>
      </c>
      <c r="P2395">
        <f>IF(OR(calendar[[#This Row],[UK_BH]]=1,calendar[[#This Row],[WeekDay]]=1, calendar[[#This Row],[WeekDay]]=7),P2394,P2394+1)</f>
        <v>1710</v>
      </c>
      <c r="Q2395">
        <f>IF(OR(calendar[[#This Row],[FR_BH]]=1,calendar[[#This Row],[WeekDay]]=1, calendar[[#This Row],[WeekDay]]=7),P2394,P2394+1)</f>
        <v>1710</v>
      </c>
      <c r="R2395">
        <f>IF(OR(calendar[[#This Row],[SP_BH]]=1,calendar[[#This Row],[WeekDay]]=1, calendar[[#This Row],[WeekDay]]=7),P2394,P2394+1)</f>
        <v>1710</v>
      </c>
      <c r="S2395">
        <f>IF(OR(calendar[[#This Row],[PT_BH]]=1,calendar[[#This Row],[WeekDay]]=1, calendar[[#This Row],[WeekDay]]=7),P2394,P2394+1)</f>
        <v>1710</v>
      </c>
    </row>
    <row r="2396" spans="1:19" x14ac:dyDescent="0.25">
      <c r="A2396" s="2">
        <v>45130</v>
      </c>
      <c r="B2396" s="1">
        <f t="shared" si="188"/>
        <v>30</v>
      </c>
      <c r="C2396">
        <f t="shared" si="190"/>
        <v>7</v>
      </c>
      <c r="D2396" t="str">
        <f t="shared" si="191"/>
        <v>July</v>
      </c>
      <c r="E2396">
        <f t="shared" si="192"/>
        <v>2023</v>
      </c>
      <c r="F2396" t="str">
        <f>CONCATENATE(calendar[[#This Row],[Month]],"/",calendar[[#This Row],[Year]])</f>
        <v>7/2023</v>
      </c>
      <c r="G2396">
        <f>WEEKDAY(calendar[[#This Row],[Date]],1)</f>
        <v>1</v>
      </c>
      <c r="H2396" t="str">
        <f>TEXT(calendar[[#This Row],[WeekDay]],"dddd")</f>
        <v>Sunday</v>
      </c>
      <c r="I2396">
        <f>IF((INT(calendar[[#This Row],[Count]]/7)-calendar[[#This Row],[Count]]/7)&lt;0,I2395,I2395+1)</f>
        <v>343</v>
      </c>
      <c r="J2396">
        <f t="shared" si="189"/>
        <v>2394</v>
      </c>
      <c r="K2396">
        <f>IF(calendar[[#This Row],[Month]]&lt;4,1,IF(calendar[[#This Row],[Month]]&lt;7,2,IF(calendar[[#This Row],[Month]]&lt;10,3,4)))</f>
        <v>3</v>
      </c>
      <c r="L2396">
        <f>IFERROR(IF(VLOOKUP(calendar[[#This Row],[Date]],BH!A:A,1,)&lt;&gt;"",1,0),0)</f>
        <v>0</v>
      </c>
      <c r="M2396">
        <f>IFERROR(IF(VLOOKUP(calendar[[#This Row],[Date]],BH!C:C,1,)&lt;&gt;"",1,0),0)</f>
        <v>0</v>
      </c>
      <c r="N2396">
        <f>IFERROR(IF(VLOOKUP(calendar[[#This Row],[Date]],BH!E:E,1,)&lt;&gt;"",1,0),0)</f>
        <v>0</v>
      </c>
      <c r="O2396">
        <f>IFERROR(IF(VLOOKUP(calendar[[#This Row],[Date]],BH!G:G,1,)&lt;&gt;"",1,0),0)</f>
        <v>0</v>
      </c>
      <c r="P2396">
        <f>IF(OR(calendar[[#This Row],[UK_BH]]=1,calendar[[#This Row],[WeekDay]]=1, calendar[[#This Row],[WeekDay]]=7),P2395,P2395+1)</f>
        <v>1710</v>
      </c>
      <c r="Q2396">
        <f>IF(OR(calendar[[#This Row],[FR_BH]]=1,calendar[[#This Row],[WeekDay]]=1, calendar[[#This Row],[WeekDay]]=7),P2395,P2395+1)</f>
        <v>1710</v>
      </c>
      <c r="R2396">
        <f>IF(OR(calendar[[#This Row],[SP_BH]]=1,calendar[[#This Row],[WeekDay]]=1, calendar[[#This Row],[WeekDay]]=7),P2395,P2395+1)</f>
        <v>1710</v>
      </c>
      <c r="S2396">
        <f>IF(OR(calendar[[#This Row],[PT_BH]]=1,calendar[[#This Row],[WeekDay]]=1, calendar[[#This Row],[WeekDay]]=7),P2395,P2395+1)</f>
        <v>1710</v>
      </c>
    </row>
    <row r="2397" spans="1:19" x14ac:dyDescent="0.25">
      <c r="A2397" s="2">
        <v>45131</v>
      </c>
      <c r="B2397" s="1">
        <f t="shared" si="188"/>
        <v>30</v>
      </c>
      <c r="C2397">
        <f t="shared" si="190"/>
        <v>7</v>
      </c>
      <c r="D2397" t="str">
        <f t="shared" si="191"/>
        <v>July</v>
      </c>
      <c r="E2397">
        <f t="shared" si="192"/>
        <v>2023</v>
      </c>
      <c r="F2397" t="str">
        <f>CONCATENATE(calendar[[#This Row],[Month]],"/",calendar[[#This Row],[Year]])</f>
        <v>7/2023</v>
      </c>
      <c r="G2397">
        <f>WEEKDAY(calendar[[#This Row],[Date]],1)</f>
        <v>2</v>
      </c>
      <c r="H2397" t="str">
        <f>TEXT(calendar[[#This Row],[WeekDay]],"dddd")</f>
        <v>Monday</v>
      </c>
      <c r="I2397">
        <f>IF((INT(calendar[[#This Row],[Count]]/7)-calendar[[#This Row],[Count]]/7)&lt;0,I2396,I2396+1)</f>
        <v>343</v>
      </c>
      <c r="J2397">
        <f t="shared" si="189"/>
        <v>2395</v>
      </c>
      <c r="K2397">
        <f>IF(calendar[[#This Row],[Month]]&lt;4,1,IF(calendar[[#This Row],[Month]]&lt;7,2,IF(calendar[[#This Row],[Month]]&lt;10,3,4)))</f>
        <v>3</v>
      </c>
      <c r="L2397">
        <f>IFERROR(IF(VLOOKUP(calendar[[#This Row],[Date]],BH!A:A,1,)&lt;&gt;"",1,0),0)</f>
        <v>0</v>
      </c>
      <c r="M2397">
        <f>IFERROR(IF(VLOOKUP(calendar[[#This Row],[Date]],BH!C:C,1,)&lt;&gt;"",1,0),0)</f>
        <v>0</v>
      </c>
      <c r="N2397">
        <f>IFERROR(IF(VLOOKUP(calendar[[#This Row],[Date]],BH!E:E,1,)&lt;&gt;"",1,0),0)</f>
        <v>0</v>
      </c>
      <c r="O2397">
        <f>IFERROR(IF(VLOOKUP(calendar[[#This Row],[Date]],BH!G:G,1,)&lt;&gt;"",1,0),0)</f>
        <v>0</v>
      </c>
      <c r="P2397">
        <f>IF(OR(calendar[[#This Row],[UK_BH]]=1,calendar[[#This Row],[WeekDay]]=1, calendar[[#This Row],[WeekDay]]=7),P2396,P2396+1)</f>
        <v>1711</v>
      </c>
      <c r="Q2397">
        <f>IF(OR(calendar[[#This Row],[FR_BH]]=1,calendar[[#This Row],[WeekDay]]=1, calendar[[#This Row],[WeekDay]]=7),P2396,P2396+1)</f>
        <v>1711</v>
      </c>
      <c r="R2397">
        <f>IF(OR(calendar[[#This Row],[SP_BH]]=1,calendar[[#This Row],[WeekDay]]=1, calendar[[#This Row],[WeekDay]]=7),P2396,P2396+1)</f>
        <v>1711</v>
      </c>
      <c r="S2397">
        <f>IF(OR(calendar[[#This Row],[PT_BH]]=1,calendar[[#This Row],[WeekDay]]=1, calendar[[#This Row],[WeekDay]]=7),P2396,P2396+1)</f>
        <v>1711</v>
      </c>
    </row>
    <row r="2398" spans="1:19" x14ac:dyDescent="0.25">
      <c r="A2398" s="2">
        <v>45132</v>
      </c>
      <c r="B2398" s="1">
        <f t="shared" si="188"/>
        <v>30</v>
      </c>
      <c r="C2398">
        <f t="shared" si="190"/>
        <v>7</v>
      </c>
      <c r="D2398" t="str">
        <f t="shared" si="191"/>
        <v>July</v>
      </c>
      <c r="E2398">
        <f t="shared" si="192"/>
        <v>2023</v>
      </c>
      <c r="F2398" t="str">
        <f>CONCATENATE(calendar[[#This Row],[Month]],"/",calendar[[#This Row],[Year]])</f>
        <v>7/2023</v>
      </c>
      <c r="G2398">
        <f>WEEKDAY(calendar[[#This Row],[Date]],1)</f>
        <v>3</v>
      </c>
      <c r="H2398" t="str">
        <f>TEXT(calendar[[#This Row],[WeekDay]],"dddd")</f>
        <v>Tuesday</v>
      </c>
      <c r="I2398">
        <f>IF((INT(calendar[[#This Row],[Count]]/7)-calendar[[#This Row],[Count]]/7)&lt;0,I2397,I2397+1)</f>
        <v>343</v>
      </c>
      <c r="J2398">
        <f t="shared" si="189"/>
        <v>2396</v>
      </c>
      <c r="K2398">
        <f>IF(calendar[[#This Row],[Month]]&lt;4,1,IF(calendar[[#This Row],[Month]]&lt;7,2,IF(calendar[[#This Row],[Month]]&lt;10,3,4)))</f>
        <v>3</v>
      </c>
      <c r="L2398">
        <f>IFERROR(IF(VLOOKUP(calendar[[#This Row],[Date]],BH!A:A,1,)&lt;&gt;"",1,0),0)</f>
        <v>0</v>
      </c>
      <c r="M2398">
        <f>IFERROR(IF(VLOOKUP(calendar[[#This Row],[Date]],BH!C:C,1,)&lt;&gt;"",1,0),0)</f>
        <v>0</v>
      </c>
      <c r="N2398">
        <f>IFERROR(IF(VLOOKUP(calendar[[#This Row],[Date]],BH!E:E,1,)&lt;&gt;"",1,0),0)</f>
        <v>0</v>
      </c>
      <c r="O2398">
        <f>IFERROR(IF(VLOOKUP(calendar[[#This Row],[Date]],BH!G:G,1,)&lt;&gt;"",1,0),0)</f>
        <v>0</v>
      </c>
      <c r="P2398">
        <f>IF(OR(calendar[[#This Row],[UK_BH]]=1,calendar[[#This Row],[WeekDay]]=1, calendar[[#This Row],[WeekDay]]=7),P2397,P2397+1)</f>
        <v>1712</v>
      </c>
      <c r="Q2398">
        <f>IF(OR(calendar[[#This Row],[FR_BH]]=1,calendar[[#This Row],[WeekDay]]=1, calendar[[#This Row],[WeekDay]]=7),P2397,P2397+1)</f>
        <v>1712</v>
      </c>
      <c r="R2398">
        <f>IF(OR(calendar[[#This Row],[SP_BH]]=1,calendar[[#This Row],[WeekDay]]=1, calendar[[#This Row],[WeekDay]]=7),P2397,P2397+1)</f>
        <v>1712</v>
      </c>
      <c r="S2398">
        <f>IF(OR(calendar[[#This Row],[PT_BH]]=1,calendar[[#This Row],[WeekDay]]=1, calendar[[#This Row],[WeekDay]]=7),P2397,P2397+1)</f>
        <v>1712</v>
      </c>
    </row>
    <row r="2399" spans="1:19" x14ac:dyDescent="0.25">
      <c r="A2399" s="2">
        <v>45133</v>
      </c>
      <c r="B2399" s="1">
        <f t="shared" si="188"/>
        <v>30</v>
      </c>
      <c r="C2399">
        <f t="shared" si="190"/>
        <v>7</v>
      </c>
      <c r="D2399" t="str">
        <f t="shared" si="191"/>
        <v>July</v>
      </c>
      <c r="E2399">
        <f t="shared" si="192"/>
        <v>2023</v>
      </c>
      <c r="F2399" t="str">
        <f>CONCATENATE(calendar[[#This Row],[Month]],"/",calendar[[#This Row],[Year]])</f>
        <v>7/2023</v>
      </c>
      <c r="G2399">
        <f>WEEKDAY(calendar[[#This Row],[Date]],1)</f>
        <v>4</v>
      </c>
      <c r="H2399" t="str">
        <f>TEXT(calendar[[#This Row],[WeekDay]],"dddd")</f>
        <v>Wednesday</v>
      </c>
      <c r="I2399">
        <f>IF((INT(calendar[[#This Row],[Count]]/7)-calendar[[#This Row],[Count]]/7)&lt;0,I2398,I2398+1)</f>
        <v>343</v>
      </c>
      <c r="J2399">
        <f t="shared" si="189"/>
        <v>2397</v>
      </c>
      <c r="K2399">
        <f>IF(calendar[[#This Row],[Month]]&lt;4,1,IF(calendar[[#This Row],[Month]]&lt;7,2,IF(calendar[[#This Row],[Month]]&lt;10,3,4)))</f>
        <v>3</v>
      </c>
      <c r="L2399">
        <f>IFERROR(IF(VLOOKUP(calendar[[#This Row],[Date]],BH!A:A,1,)&lt;&gt;"",1,0),0)</f>
        <v>0</v>
      </c>
      <c r="M2399">
        <f>IFERROR(IF(VLOOKUP(calendar[[#This Row],[Date]],BH!C:C,1,)&lt;&gt;"",1,0),0)</f>
        <v>0</v>
      </c>
      <c r="N2399">
        <f>IFERROR(IF(VLOOKUP(calendar[[#This Row],[Date]],BH!E:E,1,)&lt;&gt;"",1,0),0)</f>
        <v>0</v>
      </c>
      <c r="O2399">
        <f>IFERROR(IF(VLOOKUP(calendar[[#This Row],[Date]],BH!G:G,1,)&lt;&gt;"",1,0),0)</f>
        <v>0</v>
      </c>
      <c r="P2399">
        <f>IF(OR(calendar[[#This Row],[UK_BH]]=1,calendar[[#This Row],[WeekDay]]=1, calendar[[#This Row],[WeekDay]]=7),P2398,P2398+1)</f>
        <v>1713</v>
      </c>
      <c r="Q2399">
        <f>IF(OR(calendar[[#This Row],[FR_BH]]=1,calendar[[#This Row],[WeekDay]]=1, calendar[[#This Row],[WeekDay]]=7),P2398,P2398+1)</f>
        <v>1713</v>
      </c>
      <c r="R2399">
        <f>IF(OR(calendar[[#This Row],[SP_BH]]=1,calendar[[#This Row],[WeekDay]]=1, calendar[[#This Row],[WeekDay]]=7),P2398,P2398+1)</f>
        <v>1713</v>
      </c>
      <c r="S2399">
        <f>IF(OR(calendar[[#This Row],[PT_BH]]=1,calendar[[#This Row],[WeekDay]]=1, calendar[[#This Row],[WeekDay]]=7),P2398,P2398+1)</f>
        <v>1713</v>
      </c>
    </row>
    <row r="2400" spans="1:19" x14ac:dyDescent="0.25">
      <c r="A2400" s="2">
        <v>45134</v>
      </c>
      <c r="B2400" s="1">
        <f t="shared" si="188"/>
        <v>30</v>
      </c>
      <c r="C2400">
        <f t="shared" si="190"/>
        <v>7</v>
      </c>
      <c r="D2400" t="str">
        <f t="shared" si="191"/>
        <v>July</v>
      </c>
      <c r="E2400">
        <f t="shared" si="192"/>
        <v>2023</v>
      </c>
      <c r="F2400" t="str">
        <f>CONCATENATE(calendar[[#This Row],[Month]],"/",calendar[[#This Row],[Year]])</f>
        <v>7/2023</v>
      </c>
      <c r="G2400">
        <f>WEEKDAY(calendar[[#This Row],[Date]],1)</f>
        <v>5</v>
      </c>
      <c r="H2400" t="str">
        <f>TEXT(calendar[[#This Row],[WeekDay]],"dddd")</f>
        <v>Thursday</v>
      </c>
      <c r="I2400">
        <f>IF((INT(calendar[[#This Row],[Count]]/7)-calendar[[#This Row],[Count]]/7)&lt;0,I2399,I2399+1)</f>
        <v>343</v>
      </c>
      <c r="J2400">
        <f t="shared" si="189"/>
        <v>2398</v>
      </c>
      <c r="K2400">
        <f>IF(calendar[[#This Row],[Month]]&lt;4,1,IF(calendar[[#This Row],[Month]]&lt;7,2,IF(calendar[[#This Row],[Month]]&lt;10,3,4)))</f>
        <v>3</v>
      </c>
      <c r="L2400">
        <f>IFERROR(IF(VLOOKUP(calendar[[#This Row],[Date]],BH!A:A,1,)&lt;&gt;"",1,0),0)</f>
        <v>0</v>
      </c>
      <c r="M2400">
        <f>IFERROR(IF(VLOOKUP(calendar[[#This Row],[Date]],BH!C:C,1,)&lt;&gt;"",1,0),0)</f>
        <v>0</v>
      </c>
      <c r="N2400">
        <f>IFERROR(IF(VLOOKUP(calendar[[#This Row],[Date]],BH!E:E,1,)&lt;&gt;"",1,0),0)</f>
        <v>0</v>
      </c>
      <c r="O2400">
        <f>IFERROR(IF(VLOOKUP(calendar[[#This Row],[Date]],BH!G:G,1,)&lt;&gt;"",1,0),0)</f>
        <v>0</v>
      </c>
      <c r="P2400">
        <f>IF(OR(calendar[[#This Row],[UK_BH]]=1,calendar[[#This Row],[WeekDay]]=1, calendar[[#This Row],[WeekDay]]=7),P2399,P2399+1)</f>
        <v>1714</v>
      </c>
      <c r="Q2400">
        <f>IF(OR(calendar[[#This Row],[FR_BH]]=1,calendar[[#This Row],[WeekDay]]=1, calendar[[#This Row],[WeekDay]]=7),P2399,P2399+1)</f>
        <v>1714</v>
      </c>
      <c r="R2400">
        <f>IF(OR(calendar[[#This Row],[SP_BH]]=1,calendar[[#This Row],[WeekDay]]=1, calendar[[#This Row],[WeekDay]]=7),P2399,P2399+1)</f>
        <v>1714</v>
      </c>
      <c r="S2400">
        <f>IF(OR(calendar[[#This Row],[PT_BH]]=1,calendar[[#This Row],[WeekDay]]=1, calendar[[#This Row],[WeekDay]]=7),P2399,P2399+1)</f>
        <v>1714</v>
      </c>
    </row>
    <row r="2401" spans="1:19" x14ac:dyDescent="0.25">
      <c r="A2401" s="2">
        <v>45135</v>
      </c>
      <c r="B2401" s="1">
        <f t="shared" si="188"/>
        <v>30</v>
      </c>
      <c r="C2401">
        <f t="shared" si="190"/>
        <v>7</v>
      </c>
      <c r="D2401" t="str">
        <f t="shared" si="191"/>
        <v>July</v>
      </c>
      <c r="E2401">
        <f t="shared" si="192"/>
        <v>2023</v>
      </c>
      <c r="F2401" t="str">
        <f>CONCATENATE(calendar[[#This Row],[Month]],"/",calendar[[#This Row],[Year]])</f>
        <v>7/2023</v>
      </c>
      <c r="G2401">
        <f>WEEKDAY(calendar[[#This Row],[Date]],1)</f>
        <v>6</v>
      </c>
      <c r="H2401" t="str">
        <f>TEXT(calendar[[#This Row],[WeekDay]],"dddd")</f>
        <v>Friday</v>
      </c>
      <c r="I2401">
        <f>IF((INT(calendar[[#This Row],[Count]]/7)-calendar[[#This Row],[Count]]/7)&lt;0,I2400,I2400+1)</f>
        <v>343</v>
      </c>
      <c r="J2401">
        <f t="shared" si="189"/>
        <v>2399</v>
      </c>
      <c r="K2401">
        <f>IF(calendar[[#This Row],[Month]]&lt;4,1,IF(calendar[[#This Row],[Month]]&lt;7,2,IF(calendar[[#This Row],[Month]]&lt;10,3,4)))</f>
        <v>3</v>
      </c>
      <c r="L2401">
        <f>IFERROR(IF(VLOOKUP(calendar[[#This Row],[Date]],BH!A:A,1,)&lt;&gt;"",1,0),0)</f>
        <v>0</v>
      </c>
      <c r="M2401">
        <f>IFERROR(IF(VLOOKUP(calendar[[#This Row],[Date]],BH!C:C,1,)&lt;&gt;"",1,0),0)</f>
        <v>0</v>
      </c>
      <c r="N2401">
        <f>IFERROR(IF(VLOOKUP(calendar[[#This Row],[Date]],BH!E:E,1,)&lt;&gt;"",1,0),0)</f>
        <v>0</v>
      </c>
      <c r="O2401">
        <f>IFERROR(IF(VLOOKUP(calendar[[#This Row],[Date]],BH!G:G,1,)&lt;&gt;"",1,0),0)</f>
        <v>0</v>
      </c>
      <c r="P2401">
        <f>IF(OR(calendar[[#This Row],[UK_BH]]=1,calendar[[#This Row],[WeekDay]]=1, calendar[[#This Row],[WeekDay]]=7),P2400,P2400+1)</f>
        <v>1715</v>
      </c>
      <c r="Q2401">
        <f>IF(OR(calendar[[#This Row],[FR_BH]]=1,calendar[[#This Row],[WeekDay]]=1, calendar[[#This Row],[WeekDay]]=7),P2400,P2400+1)</f>
        <v>1715</v>
      </c>
      <c r="R2401">
        <f>IF(OR(calendar[[#This Row],[SP_BH]]=1,calendar[[#This Row],[WeekDay]]=1, calendar[[#This Row],[WeekDay]]=7),P2400,P2400+1)</f>
        <v>1715</v>
      </c>
      <c r="S2401">
        <f>IF(OR(calendar[[#This Row],[PT_BH]]=1,calendar[[#This Row],[WeekDay]]=1, calendar[[#This Row],[WeekDay]]=7),P2400,P2400+1)</f>
        <v>1715</v>
      </c>
    </row>
    <row r="2402" spans="1:19" x14ac:dyDescent="0.25">
      <c r="A2402" s="2">
        <v>45136</v>
      </c>
      <c r="B2402" s="1">
        <f t="shared" si="188"/>
        <v>30</v>
      </c>
      <c r="C2402">
        <f t="shared" si="190"/>
        <v>7</v>
      </c>
      <c r="D2402" t="str">
        <f t="shared" si="191"/>
        <v>July</v>
      </c>
      <c r="E2402">
        <f t="shared" si="192"/>
        <v>2023</v>
      </c>
      <c r="F2402" t="str">
        <f>CONCATENATE(calendar[[#This Row],[Month]],"/",calendar[[#This Row],[Year]])</f>
        <v>7/2023</v>
      </c>
      <c r="G2402">
        <f>WEEKDAY(calendar[[#This Row],[Date]],1)</f>
        <v>7</v>
      </c>
      <c r="H2402" t="str">
        <f>TEXT(calendar[[#This Row],[WeekDay]],"dddd")</f>
        <v>Saturday</v>
      </c>
      <c r="I2402">
        <f>IF((INT(calendar[[#This Row],[Count]]/7)-calendar[[#This Row],[Count]]/7)&lt;0,I2401,I2401+1)</f>
        <v>343</v>
      </c>
      <c r="J2402">
        <f t="shared" si="189"/>
        <v>2400</v>
      </c>
      <c r="K2402">
        <f>IF(calendar[[#This Row],[Month]]&lt;4,1,IF(calendar[[#This Row],[Month]]&lt;7,2,IF(calendar[[#This Row],[Month]]&lt;10,3,4)))</f>
        <v>3</v>
      </c>
      <c r="L2402">
        <f>IFERROR(IF(VLOOKUP(calendar[[#This Row],[Date]],BH!A:A,1,)&lt;&gt;"",1,0),0)</f>
        <v>0</v>
      </c>
      <c r="M2402">
        <f>IFERROR(IF(VLOOKUP(calendar[[#This Row],[Date]],BH!C:C,1,)&lt;&gt;"",1,0),0)</f>
        <v>0</v>
      </c>
      <c r="N2402">
        <f>IFERROR(IF(VLOOKUP(calendar[[#This Row],[Date]],BH!E:E,1,)&lt;&gt;"",1,0),0)</f>
        <v>0</v>
      </c>
      <c r="O2402">
        <f>IFERROR(IF(VLOOKUP(calendar[[#This Row],[Date]],BH!G:G,1,)&lt;&gt;"",1,0),0)</f>
        <v>0</v>
      </c>
      <c r="P2402">
        <f>IF(OR(calendar[[#This Row],[UK_BH]]=1,calendar[[#This Row],[WeekDay]]=1, calendar[[#This Row],[WeekDay]]=7),P2401,P2401+1)</f>
        <v>1715</v>
      </c>
      <c r="Q2402">
        <f>IF(OR(calendar[[#This Row],[FR_BH]]=1,calendar[[#This Row],[WeekDay]]=1, calendar[[#This Row],[WeekDay]]=7),P2401,P2401+1)</f>
        <v>1715</v>
      </c>
      <c r="R2402">
        <f>IF(OR(calendar[[#This Row],[SP_BH]]=1,calendar[[#This Row],[WeekDay]]=1, calendar[[#This Row],[WeekDay]]=7),P2401,P2401+1)</f>
        <v>1715</v>
      </c>
      <c r="S2402">
        <f>IF(OR(calendar[[#This Row],[PT_BH]]=1,calendar[[#This Row],[WeekDay]]=1, calendar[[#This Row],[WeekDay]]=7),P2401,P2401+1)</f>
        <v>1715</v>
      </c>
    </row>
    <row r="2403" spans="1:19" x14ac:dyDescent="0.25">
      <c r="A2403" s="2">
        <v>45137</v>
      </c>
      <c r="B2403" s="1">
        <f t="shared" si="188"/>
        <v>31</v>
      </c>
      <c r="C2403">
        <f t="shared" si="190"/>
        <v>7</v>
      </c>
      <c r="D2403" t="str">
        <f t="shared" si="191"/>
        <v>July</v>
      </c>
      <c r="E2403">
        <f t="shared" si="192"/>
        <v>2023</v>
      </c>
      <c r="F2403" t="str">
        <f>CONCATENATE(calendar[[#This Row],[Month]],"/",calendar[[#This Row],[Year]])</f>
        <v>7/2023</v>
      </c>
      <c r="G2403">
        <f>WEEKDAY(calendar[[#This Row],[Date]],1)</f>
        <v>1</v>
      </c>
      <c r="H2403" t="str">
        <f>TEXT(calendar[[#This Row],[WeekDay]],"dddd")</f>
        <v>Sunday</v>
      </c>
      <c r="I2403">
        <f>IF((INT(calendar[[#This Row],[Count]]/7)-calendar[[#This Row],[Count]]/7)&lt;0,I2402,I2402+1)</f>
        <v>344</v>
      </c>
      <c r="J2403">
        <f t="shared" si="189"/>
        <v>2401</v>
      </c>
      <c r="K2403">
        <f>IF(calendar[[#This Row],[Month]]&lt;4,1,IF(calendar[[#This Row],[Month]]&lt;7,2,IF(calendar[[#This Row],[Month]]&lt;10,3,4)))</f>
        <v>3</v>
      </c>
      <c r="L2403">
        <f>IFERROR(IF(VLOOKUP(calendar[[#This Row],[Date]],BH!A:A,1,)&lt;&gt;"",1,0),0)</f>
        <v>0</v>
      </c>
      <c r="M2403">
        <f>IFERROR(IF(VLOOKUP(calendar[[#This Row],[Date]],BH!C:C,1,)&lt;&gt;"",1,0),0)</f>
        <v>0</v>
      </c>
      <c r="N2403">
        <f>IFERROR(IF(VLOOKUP(calendar[[#This Row],[Date]],BH!E:E,1,)&lt;&gt;"",1,0),0)</f>
        <v>0</v>
      </c>
      <c r="O2403">
        <f>IFERROR(IF(VLOOKUP(calendar[[#This Row],[Date]],BH!G:G,1,)&lt;&gt;"",1,0),0)</f>
        <v>0</v>
      </c>
      <c r="P2403">
        <f>IF(OR(calendar[[#This Row],[UK_BH]]=1,calendar[[#This Row],[WeekDay]]=1, calendar[[#This Row],[WeekDay]]=7),P2402,P2402+1)</f>
        <v>1715</v>
      </c>
      <c r="Q2403">
        <f>IF(OR(calendar[[#This Row],[FR_BH]]=1,calendar[[#This Row],[WeekDay]]=1, calendar[[#This Row],[WeekDay]]=7),P2402,P2402+1)</f>
        <v>1715</v>
      </c>
      <c r="R2403">
        <f>IF(OR(calendar[[#This Row],[SP_BH]]=1,calendar[[#This Row],[WeekDay]]=1, calendar[[#This Row],[WeekDay]]=7),P2402,P2402+1)</f>
        <v>1715</v>
      </c>
      <c r="S2403">
        <f>IF(OR(calendar[[#This Row],[PT_BH]]=1,calendar[[#This Row],[WeekDay]]=1, calendar[[#This Row],[WeekDay]]=7),P2402,P2402+1)</f>
        <v>1715</v>
      </c>
    </row>
    <row r="2404" spans="1:19" x14ac:dyDescent="0.25">
      <c r="A2404" s="2">
        <v>45138</v>
      </c>
      <c r="B2404" s="1">
        <f t="shared" si="188"/>
        <v>31</v>
      </c>
      <c r="C2404">
        <f t="shared" si="190"/>
        <v>7</v>
      </c>
      <c r="D2404" t="str">
        <f t="shared" si="191"/>
        <v>July</v>
      </c>
      <c r="E2404">
        <f t="shared" si="192"/>
        <v>2023</v>
      </c>
      <c r="F2404" t="str">
        <f>CONCATENATE(calendar[[#This Row],[Month]],"/",calendar[[#This Row],[Year]])</f>
        <v>7/2023</v>
      </c>
      <c r="G2404">
        <f>WEEKDAY(calendar[[#This Row],[Date]],1)</f>
        <v>2</v>
      </c>
      <c r="H2404" t="str">
        <f>TEXT(calendar[[#This Row],[WeekDay]],"dddd")</f>
        <v>Monday</v>
      </c>
      <c r="I2404">
        <f>IF((INT(calendar[[#This Row],[Count]]/7)-calendar[[#This Row],[Count]]/7)&lt;0,I2403,I2403+1)</f>
        <v>344</v>
      </c>
      <c r="J2404">
        <f t="shared" si="189"/>
        <v>2402</v>
      </c>
      <c r="K2404">
        <f>IF(calendar[[#This Row],[Month]]&lt;4,1,IF(calendar[[#This Row],[Month]]&lt;7,2,IF(calendar[[#This Row],[Month]]&lt;10,3,4)))</f>
        <v>3</v>
      </c>
      <c r="L2404">
        <f>IFERROR(IF(VLOOKUP(calendar[[#This Row],[Date]],BH!A:A,1,)&lt;&gt;"",1,0),0)</f>
        <v>0</v>
      </c>
      <c r="M2404">
        <f>IFERROR(IF(VLOOKUP(calendar[[#This Row],[Date]],BH!C:C,1,)&lt;&gt;"",1,0),0)</f>
        <v>0</v>
      </c>
      <c r="N2404">
        <f>IFERROR(IF(VLOOKUP(calendar[[#This Row],[Date]],BH!E:E,1,)&lt;&gt;"",1,0),0)</f>
        <v>0</v>
      </c>
      <c r="O2404">
        <f>IFERROR(IF(VLOOKUP(calendar[[#This Row],[Date]],BH!G:G,1,)&lt;&gt;"",1,0),0)</f>
        <v>0</v>
      </c>
      <c r="P2404">
        <f>IF(OR(calendar[[#This Row],[UK_BH]]=1,calendar[[#This Row],[WeekDay]]=1, calendar[[#This Row],[WeekDay]]=7),P2403,P2403+1)</f>
        <v>1716</v>
      </c>
      <c r="Q2404">
        <f>IF(OR(calendar[[#This Row],[FR_BH]]=1,calendar[[#This Row],[WeekDay]]=1, calendar[[#This Row],[WeekDay]]=7),P2403,P2403+1)</f>
        <v>1716</v>
      </c>
      <c r="R2404">
        <f>IF(OR(calendar[[#This Row],[SP_BH]]=1,calendar[[#This Row],[WeekDay]]=1, calendar[[#This Row],[WeekDay]]=7),P2403,P2403+1)</f>
        <v>1716</v>
      </c>
      <c r="S2404">
        <f>IF(OR(calendar[[#This Row],[PT_BH]]=1,calendar[[#This Row],[WeekDay]]=1, calendar[[#This Row],[WeekDay]]=7),P2403,P2403+1)</f>
        <v>1716</v>
      </c>
    </row>
    <row r="2405" spans="1:19" x14ac:dyDescent="0.25">
      <c r="A2405" s="2">
        <v>45139</v>
      </c>
      <c r="B2405" s="1">
        <f t="shared" si="188"/>
        <v>31</v>
      </c>
      <c r="C2405">
        <f t="shared" si="190"/>
        <v>8</v>
      </c>
      <c r="D2405" t="str">
        <f t="shared" si="191"/>
        <v>August</v>
      </c>
      <c r="E2405">
        <f t="shared" si="192"/>
        <v>2023</v>
      </c>
      <c r="F2405" t="str">
        <f>CONCATENATE(calendar[[#This Row],[Month]],"/",calendar[[#This Row],[Year]])</f>
        <v>8/2023</v>
      </c>
      <c r="G2405">
        <f>WEEKDAY(calendar[[#This Row],[Date]],1)</f>
        <v>3</v>
      </c>
      <c r="H2405" t="str">
        <f>TEXT(calendar[[#This Row],[WeekDay]],"dddd")</f>
        <v>Tuesday</v>
      </c>
      <c r="I2405">
        <f>IF((INT(calendar[[#This Row],[Count]]/7)-calendar[[#This Row],[Count]]/7)&lt;0,I2404,I2404+1)</f>
        <v>344</v>
      </c>
      <c r="J2405">
        <f t="shared" si="189"/>
        <v>2403</v>
      </c>
      <c r="K2405">
        <f>IF(calendar[[#This Row],[Month]]&lt;4,1,IF(calendar[[#This Row],[Month]]&lt;7,2,IF(calendar[[#This Row],[Month]]&lt;10,3,4)))</f>
        <v>3</v>
      </c>
      <c r="L2405">
        <f>IFERROR(IF(VLOOKUP(calendar[[#This Row],[Date]],BH!A:A,1,)&lt;&gt;"",1,0),0)</f>
        <v>0</v>
      </c>
      <c r="M2405">
        <f>IFERROR(IF(VLOOKUP(calendar[[#This Row],[Date]],BH!C:C,1,)&lt;&gt;"",1,0),0)</f>
        <v>0</v>
      </c>
      <c r="N2405">
        <f>IFERROR(IF(VLOOKUP(calendar[[#This Row],[Date]],BH!E:E,1,)&lt;&gt;"",1,0),0)</f>
        <v>0</v>
      </c>
      <c r="O2405">
        <f>IFERROR(IF(VLOOKUP(calendar[[#This Row],[Date]],BH!G:G,1,)&lt;&gt;"",1,0),0)</f>
        <v>0</v>
      </c>
      <c r="P2405">
        <f>IF(OR(calendar[[#This Row],[UK_BH]]=1,calendar[[#This Row],[WeekDay]]=1, calendar[[#This Row],[WeekDay]]=7),P2404,P2404+1)</f>
        <v>1717</v>
      </c>
      <c r="Q2405">
        <f>IF(OR(calendar[[#This Row],[FR_BH]]=1,calendar[[#This Row],[WeekDay]]=1, calendar[[#This Row],[WeekDay]]=7),P2404,P2404+1)</f>
        <v>1717</v>
      </c>
      <c r="R2405">
        <f>IF(OR(calendar[[#This Row],[SP_BH]]=1,calendar[[#This Row],[WeekDay]]=1, calendar[[#This Row],[WeekDay]]=7),P2404,P2404+1)</f>
        <v>1717</v>
      </c>
      <c r="S2405">
        <f>IF(OR(calendar[[#This Row],[PT_BH]]=1,calendar[[#This Row],[WeekDay]]=1, calendar[[#This Row],[WeekDay]]=7),P2404,P2404+1)</f>
        <v>1717</v>
      </c>
    </row>
    <row r="2406" spans="1:19" x14ac:dyDescent="0.25">
      <c r="A2406" s="2">
        <v>45140</v>
      </c>
      <c r="B2406" s="1">
        <f t="shared" si="188"/>
        <v>31</v>
      </c>
      <c r="C2406">
        <f t="shared" si="190"/>
        <v>8</v>
      </c>
      <c r="D2406" t="str">
        <f t="shared" si="191"/>
        <v>August</v>
      </c>
      <c r="E2406">
        <f t="shared" si="192"/>
        <v>2023</v>
      </c>
      <c r="F2406" t="str">
        <f>CONCATENATE(calendar[[#This Row],[Month]],"/",calendar[[#This Row],[Year]])</f>
        <v>8/2023</v>
      </c>
      <c r="G2406">
        <f>WEEKDAY(calendar[[#This Row],[Date]],1)</f>
        <v>4</v>
      </c>
      <c r="H2406" t="str">
        <f>TEXT(calendar[[#This Row],[WeekDay]],"dddd")</f>
        <v>Wednesday</v>
      </c>
      <c r="I2406">
        <f>IF((INT(calendar[[#This Row],[Count]]/7)-calendar[[#This Row],[Count]]/7)&lt;0,I2405,I2405+1)</f>
        <v>344</v>
      </c>
      <c r="J2406">
        <f t="shared" si="189"/>
        <v>2404</v>
      </c>
      <c r="K2406">
        <f>IF(calendar[[#This Row],[Month]]&lt;4,1,IF(calendar[[#This Row],[Month]]&lt;7,2,IF(calendar[[#This Row],[Month]]&lt;10,3,4)))</f>
        <v>3</v>
      </c>
      <c r="L2406">
        <f>IFERROR(IF(VLOOKUP(calendar[[#This Row],[Date]],BH!A:A,1,)&lt;&gt;"",1,0),0)</f>
        <v>0</v>
      </c>
      <c r="M2406">
        <f>IFERROR(IF(VLOOKUP(calendar[[#This Row],[Date]],BH!C:C,1,)&lt;&gt;"",1,0),0)</f>
        <v>0</v>
      </c>
      <c r="N2406">
        <f>IFERROR(IF(VLOOKUP(calendar[[#This Row],[Date]],BH!E:E,1,)&lt;&gt;"",1,0),0)</f>
        <v>0</v>
      </c>
      <c r="O2406">
        <f>IFERROR(IF(VLOOKUP(calendar[[#This Row],[Date]],BH!G:G,1,)&lt;&gt;"",1,0),0)</f>
        <v>0</v>
      </c>
      <c r="P2406">
        <f>IF(OR(calendar[[#This Row],[UK_BH]]=1,calendar[[#This Row],[WeekDay]]=1, calendar[[#This Row],[WeekDay]]=7),P2405,P2405+1)</f>
        <v>1718</v>
      </c>
      <c r="Q2406">
        <f>IF(OR(calendar[[#This Row],[FR_BH]]=1,calendar[[#This Row],[WeekDay]]=1, calendar[[#This Row],[WeekDay]]=7),P2405,P2405+1)</f>
        <v>1718</v>
      </c>
      <c r="R2406">
        <f>IF(OR(calendar[[#This Row],[SP_BH]]=1,calendar[[#This Row],[WeekDay]]=1, calendar[[#This Row],[WeekDay]]=7),P2405,P2405+1)</f>
        <v>1718</v>
      </c>
      <c r="S2406">
        <f>IF(OR(calendar[[#This Row],[PT_BH]]=1,calendar[[#This Row],[WeekDay]]=1, calendar[[#This Row],[WeekDay]]=7),P2405,P2405+1)</f>
        <v>1718</v>
      </c>
    </row>
    <row r="2407" spans="1:19" x14ac:dyDescent="0.25">
      <c r="A2407" s="2">
        <v>45141</v>
      </c>
      <c r="B2407" s="1">
        <f t="shared" si="188"/>
        <v>31</v>
      </c>
      <c r="C2407">
        <f t="shared" si="190"/>
        <v>8</v>
      </c>
      <c r="D2407" t="str">
        <f t="shared" si="191"/>
        <v>August</v>
      </c>
      <c r="E2407">
        <f t="shared" si="192"/>
        <v>2023</v>
      </c>
      <c r="F2407" t="str">
        <f>CONCATENATE(calendar[[#This Row],[Month]],"/",calendar[[#This Row],[Year]])</f>
        <v>8/2023</v>
      </c>
      <c r="G2407">
        <f>WEEKDAY(calendar[[#This Row],[Date]],1)</f>
        <v>5</v>
      </c>
      <c r="H2407" t="str">
        <f>TEXT(calendar[[#This Row],[WeekDay]],"dddd")</f>
        <v>Thursday</v>
      </c>
      <c r="I2407">
        <f>IF((INT(calendar[[#This Row],[Count]]/7)-calendar[[#This Row],[Count]]/7)&lt;0,I2406,I2406+1)</f>
        <v>344</v>
      </c>
      <c r="J2407">
        <f t="shared" si="189"/>
        <v>2405</v>
      </c>
      <c r="K2407">
        <f>IF(calendar[[#This Row],[Month]]&lt;4,1,IF(calendar[[#This Row],[Month]]&lt;7,2,IF(calendar[[#This Row],[Month]]&lt;10,3,4)))</f>
        <v>3</v>
      </c>
      <c r="L2407">
        <f>IFERROR(IF(VLOOKUP(calendar[[#This Row],[Date]],BH!A:A,1,)&lt;&gt;"",1,0),0)</f>
        <v>0</v>
      </c>
      <c r="M2407">
        <f>IFERROR(IF(VLOOKUP(calendar[[#This Row],[Date]],BH!C:C,1,)&lt;&gt;"",1,0),0)</f>
        <v>0</v>
      </c>
      <c r="N2407">
        <f>IFERROR(IF(VLOOKUP(calendar[[#This Row],[Date]],BH!E:E,1,)&lt;&gt;"",1,0),0)</f>
        <v>0</v>
      </c>
      <c r="O2407">
        <f>IFERROR(IF(VLOOKUP(calendar[[#This Row],[Date]],BH!G:G,1,)&lt;&gt;"",1,0),0)</f>
        <v>0</v>
      </c>
      <c r="P2407">
        <f>IF(OR(calendar[[#This Row],[UK_BH]]=1,calendar[[#This Row],[WeekDay]]=1, calendar[[#This Row],[WeekDay]]=7),P2406,P2406+1)</f>
        <v>1719</v>
      </c>
      <c r="Q2407">
        <f>IF(OR(calendar[[#This Row],[FR_BH]]=1,calendar[[#This Row],[WeekDay]]=1, calendar[[#This Row],[WeekDay]]=7),P2406,P2406+1)</f>
        <v>1719</v>
      </c>
      <c r="R2407">
        <f>IF(OR(calendar[[#This Row],[SP_BH]]=1,calendar[[#This Row],[WeekDay]]=1, calendar[[#This Row],[WeekDay]]=7),P2406,P2406+1)</f>
        <v>1719</v>
      </c>
      <c r="S2407">
        <f>IF(OR(calendar[[#This Row],[PT_BH]]=1,calendar[[#This Row],[WeekDay]]=1, calendar[[#This Row],[WeekDay]]=7),P2406,P2406+1)</f>
        <v>1719</v>
      </c>
    </row>
    <row r="2408" spans="1:19" x14ac:dyDescent="0.25">
      <c r="A2408" s="2">
        <v>45142</v>
      </c>
      <c r="B2408" s="1">
        <f t="shared" si="188"/>
        <v>31</v>
      </c>
      <c r="C2408">
        <f t="shared" si="190"/>
        <v>8</v>
      </c>
      <c r="D2408" t="str">
        <f t="shared" si="191"/>
        <v>August</v>
      </c>
      <c r="E2408">
        <f t="shared" si="192"/>
        <v>2023</v>
      </c>
      <c r="F2408" t="str">
        <f>CONCATENATE(calendar[[#This Row],[Month]],"/",calendar[[#This Row],[Year]])</f>
        <v>8/2023</v>
      </c>
      <c r="G2408">
        <f>WEEKDAY(calendar[[#This Row],[Date]],1)</f>
        <v>6</v>
      </c>
      <c r="H2408" t="str">
        <f>TEXT(calendar[[#This Row],[WeekDay]],"dddd")</f>
        <v>Friday</v>
      </c>
      <c r="I2408">
        <f>IF((INT(calendar[[#This Row],[Count]]/7)-calendar[[#This Row],[Count]]/7)&lt;0,I2407,I2407+1)</f>
        <v>344</v>
      </c>
      <c r="J2408">
        <f t="shared" si="189"/>
        <v>2406</v>
      </c>
      <c r="K2408">
        <f>IF(calendar[[#This Row],[Month]]&lt;4,1,IF(calendar[[#This Row],[Month]]&lt;7,2,IF(calendar[[#This Row],[Month]]&lt;10,3,4)))</f>
        <v>3</v>
      </c>
      <c r="L2408">
        <f>IFERROR(IF(VLOOKUP(calendar[[#This Row],[Date]],BH!A:A,1,)&lt;&gt;"",1,0),0)</f>
        <v>0</v>
      </c>
      <c r="M2408">
        <f>IFERROR(IF(VLOOKUP(calendar[[#This Row],[Date]],BH!C:C,1,)&lt;&gt;"",1,0),0)</f>
        <v>0</v>
      </c>
      <c r="N2408">
        <f>IFERROR(IF(VLOOKUP(calendar[[#This Row],[Date]],BH!E:E,1,)&lt;&gt;"",1,0),0)</f>
        <v>0</v>
      </c>
      <c r="O2408">
        <f>IFERROR(IF(VLOOKUP(calendar[[#This Row],[Date]],BH!G:G,1,)&lt;&gt;"",1,0),0)</f>
        <v>0</v>
      </c>
      <c r="P2408">
        <f>IF(OR(calendar[[#This Row],[UK_BH]]=1,calendar[[#This Row],[WeekDay]]=1, calendar[[#This Row],[WeekDay]]=7),P2407,P2407+1)</f>
        <v>1720</v>
      </c>
      <c r="Q2408">
        <f>IF(OR(calendar[[#This Row],[FR_BH]]=1,calendar[[#This Row],[WeekDay]]=1, calendar[[#This Row],[WeekDay]]=7),P2407,P2407+1)</f>
        <v>1720</v>
      </c>
      <c r="R2408">
        <f>IF(OR(calendar[[#This Row],[SP_BH]]=1,calendar[[#This Row],[WeekDay]]=1, calendar[[#This Row],[WeekDay]]=7),P2407,P2407+1)</f>
        <v>1720</v>
      </c>
      <c r="S2408">
        <f>IF(OR(calendar[[#This Row],[PT_BH]]=1,calendar[[#This Row],[WeekDay]]=1, calendar[[#This Row],[WeekDay]]=7),P2407,P2407+1)</f>
        <v>1720</v>
      </c>
    </row>
    <row r="2409" spans="1:19" x14ac:dyDescent="0.25">
      <c r="A2409" s="2">
        <v>45143</v>
      </c>
      <c r="B2409" s="1">
        <f t="shared" si="188"/>
        <v>31</v>
      </c>
      <c r="C2409">
        <f t="shared" si="190"/>
        <v>8</v>
      </c>
      <c r="D2409" t="str">
        <f t="shared" si="191"/>
        <v>August</v>
      </c>
      <c r="E2409">
        <f t="shared" si="192"/>
        <v>2023</v>
      </c>
      <c r="F2409" t="str">
        <f>CONCATENATE(calendar[[#This Row],[Month]],"/",calendar[[#This Row],[Year]])</f>
        <v>8/2023</v>
      </c>
      <c r="G2409">
        <f>WEEKDAY(calendar[[#This Row],[Date]],1)</f>
        <v>7</v>
      </c>
      <c r="H2409" t="str">
        <f>TEXT(calendar[[#This Row],[WeekDay]],"dddd")</f>
        <v>Saturday</v>
      </c>
      <c r="I2409">
        <f>IF((INT(calendar[[#This Row],[Count]]/7)-calendar[[#This Row],[Count]]/7)&lt;0,I2408,I2408+1)</f>
        <v>344</v>
      </c>
      <c r="J2409">
        <f t="shared" si="189"/>
        <v>2407</v>
      </c>
      <c r="K2409">
        <f>IF(calendar[[#This Row],[Month]]&lt;4,1,IF(calendar[[#This Row],[Month]]&lt;7,2,IF(calendar[[#This Row],[Month]]&lt;10,3,4)))</f>
        <v>3</v>
      </c>
      <c r="L2409">
        <f>IFERROR(IF(VLOOKUP(calendar[[#This Row],[Date]],BH!A:A,1,)&lt;&gt;"",1,0),0)</f>
        <v>0</v>
      </c>
      <c r="M2409">
        <f>IFERROR(IF(VLOOKUP(calendar[[#This Row],[Date]],BH!C:C,1,)&lt;&gt;"",1,0),0)</f>
        <v>0</v>
      </c>
      <c r="N2409">
        <f>IFERROR(IF(VLOOKUP(calendar[[#This Row],[Date]],BH!E:E,1,)&lt;&gt;"",1,0),0)</f>
        <v>0</v>
      </c>
      <c r="O2409">
        <f>IFERROR(IF(VLOOKUP(calendar[[#This Row],[Date]],BH!G:G,1,)&lt;&gt;"",1,0),0)</f>
        <v>0</v>
      </c>
      <c r="P2409">
        <f>IF(OR(calendar[[#This Row],[UK_BH]]=1,calendar[[#This Row],[WeekDay]]=1, calendar[[#This Row],[WeekDay]]=7),P2408,P2408+1)</f>
        <v>1720</v>
      </c>
      <c r="Q2409">
        <f>IF(OR(calendar[[#This Row],[FR_BH]]=1,calendar[[#This Row],[WeekDay]]=1, calendar[[#This Row],[WeekDay]]=7),P2408,P2408+1)</f>
        <v>1720</v>
      </c>
      <c r="R2409">
        <f>IF(OR(calendar[[#This Row],[SP_BH]]=1,calendar[[#This Row],[WeekDay]]=1, calendar[[#This Row],[WeekDay]]=7),P2408,P2408+1)</f>
        <v>1720</v>
      </c>
      <c r="S2409">
        <f>IF(OR(calendar[[#This Row],[PT_BH]]=1,calendar[[#This Row],[WeekDay]]=1, calendar[[#This Row],[WeekDay]]=7),P2408,P2408+1)</f>
        <v>1720</v>
      </c>
    </row>
    <row r="2410" spans="1:19" x14ac:dyDescent="0.25">
      <c r="A2410" s="2">
        <v>45144</v>
      </c>
      <c r="B2410" s="1">
        <f t="shared" si="188"/>
        <v>32</v>
      </c>
      <c r="C2410">
        <f t="shared" si="190"/>
        <v>8</v>
      </c>
      <c r="D2410" t="str">
        <f t="shared" si="191"/>
        <v>August</v>
      </c>
      <c r="E2410">
        <f t="shared" si="192"/>
        <v>2023</v>
      </c>
      <c r="F2410" t="str">
        <f>CONCATENATE(calendar[[#This Row],[Month]],"/",calendar[[#This Row],[Year]])</f>
        <v>8/2023</v>
      </c>
      <c r="G2410">
        <f>WEEKDAY(calendar[[#This Row],[Date]],1)</f>
        <v>1</v>
      </c>
      <c r="H2410" t="str">
        <f>TEXT(calendar[[#This Row],[WeekDay]],"dddd")</f>
        <v>Sunday</v>
      </c>
      <c r="I2410">
        <f>IF((INT(calendar[[#This Row],[Count]]/7)-calendar[[#This Row],[Count]]/7)&lt;0,I2409,I2409+1)</f>
        <v>345</v>
      </c>
      <c r="J2410">
        <f t="shared" si="189"/>
        <v>2408</v>
      </c>
      <c r="K2410">
        <f>IF(calendar[[#This Row],[Month]]&lt;4,1,IF(calendar[[#This Row],[Month]]&lt;7,2,IF(calendar[[#This Row],[Month]]&lt;10,3,4)))</f>
        <v>3</v>
      </c>
      <c r="L2410">
        <f>IFERROR(IF(VLOOKUP(calendar[[#This Row],[Date]],BH!A:A,1,)&lt;&gt;"",1,0),0)</f>
        <v>0</v>
      </c>
      <c r="M2410">
        <f>IFERROR(IF(VLOOKUP(calendar[[#This Row],[Date]],BH!C:C,1,)&lt;&gt;"",1,0),0)</f>
        <v>0</v>
      </c>
      <c r="N2410">
        <f>IFERROR(IF(VLOOKUP(calendar[[#This Row],[Date]],BH!E:E,1,)&lt;&gt;"",1,0),0)</f>
        <v>0</v>
      </c>
      <c r="O2410">
        <f>IFERROR(IF(VLOOKUP(calendar[[#This Row],[Date]],BH!G:G,1,)&lt;&gt;"",1,0),0)</f>
        <v>0</v>
      </c>
      <c r="P2410">
        <f>IF(OR(calendar[[#This Row],[UK_BH]]=1,calendar[[#This Row],[WeekDay]]=1, calendar[[#This Row],[WeekDay]]=7),P2409,P2409+1)</f>
        <v>1720</v>
      </c>
      <c r="Q2410">
        <f>IF(OR(calendar[[#This Row],[FR_BH]]=1,calendar[[#This Row],[WeekDay]]=1, calendar[[#This Row],[WeekDay]]=7),P2409,P2409+1)</f>
        <v>1720</v>
      </c>
      <c r="R2410">
        <f>IF(OR(calendar[[#This Row],[SP_BH]]=1,calendar[[#This Row],[WeekDay]]=1, calendar[[#This Row],[WeekDay]]=7),P2409,P2409+1)</f>
        <v>1720</v>
      </c>
      <c r="S2410">
        <f>IF(OR(calendar[[#This Row],[PT_BH]]=1,calendar[[#This Row],[WeekDay]]=1, calendar[[#This Row],[WeekDay]]=7),P2409,P2409+1)</f>
        <v>1720</v>
      </c>
    </row>
    <row r="2411" spans="1:19" x14ac:dyDescent="0.25">
      <c r="A2411" s="2">
        <v>45145</v>
      </c>
      <c r="B2411" s="1">
        <f t="shared" si="188"/>
        <v>32</v>
      </c>
      <c r="C2411">
        <f t="shared" si="190"/>
        <v>8</v>
      </c>
      <c r="D2411" t="str">
        <f t="shared" si="191"/>
        <v>August</v>
      </c>
      <c r="E2411">
        <f t="shared" si="192"/>
        <v>2023</v>
      </c>
      <c r="F2411" t="str">
        <f>CONCATENATE(calendar[[#This Row],[Month]],"/",calendar[[#This Row],[Year]])</f>
        <v>8/2023</v>
      </c>
      <c r="G2411">
        <f>WEEKDAY(calendar[[#This Row],[Date]],1)</f>
        <v>2</v>
      </c>
      <c r="H2411" t="str">
        <f>TEXT(calendar[[#This Row],[WeekDay]],"dddd")</f>
        <v>Monday</v>
      </c>
      <c r="I2411">
        <f>IF((INT(calendar[[#This Row],[Count]]/7)-calendar[[#This Row],[Count]]/7)&lt;0,I2410,I2410+1)</f>
        <v>345</v>
      </c>
      <c r="J2411">
        <f t="shared" si="189"/>
        <v>2409</v>
      </c>
      <c r="K2411">
        <f>IF(calendar[[#This Row],[Month]]&lt;4,1,IF(calendar[[#This Row],[Month]]&lt;7,2,IF(calendar[[#This Row],[Month]]&lt;10,3,4)))</f>
        <v>3</v>
      </c>
      <c r="L2411">
        <f>IFERROR(IF(VLOOKUP(calendar[[#This Row],[Date]],BH!A:A,1,)&lt;&gt;"",1,0),0)</f>
        <v>0</v>
      </c>
      <c r="M2411">
        <f>IFERROR(IF(VLOOKUP(calendar[[#This Row],[Date]],BH!C:C,1,)&lt;&gt;"",1,0),0)</f>
        <v>0</v>
      </c>
      <c r="N2411">
        <f>IFERROR(IF(VLOOKUP(calendar[[#This Row],[Date]],BH!E:E,1,)&lt;&gt;"",1,0),0)</f>
        <v>0</v>
      </c>
      <c r="O2411">
        <f>IFERROR(IF(VLOOKUP(calendar[[#This Row],[Date]],BH!G:G,1,)&lt;&gt;"",1,0),0)</f>
        <v>0</v>
      </c>
      <c r="P2411">
        <f>IF(OR(calendar[[#This Row],[UK_BH]]=1,calendar[[#This Row],[WeekDay]]=1, calendar[[#This Row],[WeekDay]]=7),P2410,P2410+1)</f>
        <v>1721</v>
      </c>
      <c r="Q2411">
        <f>IF(OR(calendar[[#This Row],[FR_BH]]=1,calendar[[#This Row],[WeekDay]]=1, calendar[[#This Row],[WeekDay]]=7),P2410,P2410+1)</f>
        <v>1721</v>
      </c>
      <c r="R2411">
        <f>IF(OR(calendar[[#This Row],[SP_BH]]=1,calendar[[#This Row],[WeekDay]]=1, calendar[[#This Row],[WeekDay]]=7),P2410,P2410+1)</f>
        <v>1721</v>
      </c>
      <c r="S2411">
        <f>IF(OR(calendar[[#This Row],[PT_BH]]=1,calendar[[#This Row],[WeekDay]]=1, calendar[[#This Row],[WeekDay]]=7),P2410,P2410+1)</f>
        <v>1721</v>
      </c>
    </row>
    <row r="2412" spans="1:19" x14ac:dyDescent="0.25">
      <c r="A2412" s="2">
        <v>45146</v>
      </c>
      <c r="B2412" s="1">
        <f t="shared" si="188"/>
        <v>32</v>
      </c>
      <c r="C2412">
        <f t="shared" si="190"/>
        <v>8</v>
      </c>
      <c r="D2412" t="str">
        <f t="shared" si="191"/>
        <v>August</v>
      </c>
      <c r="E2412">
        <f t="shared" si="192"/>
        <v>2023</v>
      </c>
      <c r="F2412" t="str">
        <f>CONCATENATE(calendar[[#This Row],[Month]],"/",calendar[[#This Row],[Year]])</f>
        <v>8/2023</v>
      </c>
      <c r="G2412">
        <f>WEEKDAY(calendar[[#This Row],[Date]],1)</f>
        <v>3</v>
      </c>
      <c r="H2412" t="str">
        <f>TEXT(calendar[[#This Row],[WeekDay]],"dddd")</f>
        <v>Tuesday</v>
      </c>
      <c r="I2412">
        <f>IF((INT(calendar[[#This Row],[Count]]/7)-calendar[[#This Row],[Count]]/7)&lt;0,I2411,I2411+1)</f>
        <v>345</v>
      </c>
      <c r="J2412">
        <f t="shared" si="189"/>
        <v>2410</v>
      </c>
      <c r="K2412">
        <f>IF(calendar[[#This Row],[Month]]&lt;4,1,IF(calendar[[#This Row],[Month]]&lt;7,2,IF(calendar[[#This Row],[Month]]&lt;10,3,4)))</f>
        <v>3</v>
      </c>
      <c r="L2412">
        <f>IFERROR(IF(VLOOKUP(calendar[[#This Row],[Date]],BH!A:A,1,)&lt;&gt;"",1,0),0)</f>
        <v>0</v>
      </c>
      <c r="M2412">
        <f>IFERROR(IF(VLOOKUP(calendar[[#This Row],[Date]],BH!C:C,1,)&lt;&gt;"",1,0),0)</f>
        <v>0</v>
      </c>
      <c r="N2412">
        <f>IFERROR(IF(VLOOKUP(calendar[[#This Row],[Date]],BH!E:E,1,)&lt;&gt;"",1,0),0)</f>
        <v>0</v>
      </c>
      <c r="O2412">
        <f>IFERROR(IF(VLOOKUP(calendar[[#This Row],[Date]],BH!G:G,1,)&lt;&gt;"",1,0),0)</f>
        <v>0</v>
      </c>
      <c r="P2412">
        <f>IF(OR(calendar[[#This Row],[UK_BH]]=1,calendar[[#This Row],[WeekDay]]=1, calendar[[#This Row],[WeekDay]]=7),P2411,P2411+1)</f>
        <v>1722</v>
      </c>
      <c r="Q2412">
        <f>IF(OR(calendar[[#This Row],[FR_BH]]=1,calendar[[#This Row],[WeekDay]]=1, calendar[[#This Row],[WeekDay]]=7),P2411,P2411+1)</f>
        <v>1722</v>
      </c>
      <c r="R2412">
        <f>IF(OR(calendar[[#This Row],[SP_BH]]=1,calendar[[#This Row],[WeekDay]]=1, calendar[[#This Row],[WeekDay]]=7),P2411,P2411+1)</f>
        <v>1722</v>
      </c>
      <c r="S2412">
        <f>IF(OR(calendar[[#This Row],[PT_BH]]=1,calendar[[#This Row],[WeekDay]]=1, calendar[[#This Row],[WeekDay]]=7),P2411,P2411+1)</f>
        <v>1722</v>
      </c>
    </row>
    <row r="2413" spans="1:19" x14ac:dyDescent="0.25">
      <c r="A2413" s="2">
        <v>45147</v>
      </c>
      <c r="B2413" s="1">
        <f t="shared" si="188"/>
        <v>32</v>
      </c>
      <c r="C2413">
        <f t="shared" si="190"/>
        <v>8</v>
      </c>
      <c r="D2413" t="str">
        <f t="shared" si="191"/>
        <v>August</v>
      </c>
      <c r="E2413">
        <f t="shared" si="192"/>
        <v>2023</v>
      </c>
      <c r="F2413" t="str">
        <f>CONCATENATE(calendar[[#This Row],[Month]],"/",calendar[[#This Row],[Year]])</f>
        <v>8/2023</v>
      </c>
      <c r="G2413">
        <f>WEEKDAY(calendar[[#This Row],[Date]],1)</f>
        <v>4</v>
      </c>
      <c r="H2413" t="str">
        <f>TEXT(calendar[[#This Row],[WeekDay]],"dddd")</f>
        <v>Wednesday</v>
      </c>
      <c r="I2413">
        <f>IF((INT(calendar[[#This Row],[Count]]/7)-calendar[[#This Row],[Count]]/7)&lt;0,I2412,I2412+1)</f>
        <v>345</v>
      </c>
      <c r="J2413">
        <f t="shared" si="189"/>
        <v>2411</v>
      </c>
      <c r="K2413">
        <f>IF(calendar[[#This Row],[Month]]&lt;4,1,IF(calendar[[#This Row],[Month]]&lt;7,2,IF(calendar[[#This Row],[Month]]&lt;10,3,4)))</f>
        <v>3</v>
      </c>
      <c r="L2413">
        <f>IFERROR(IF(VLOOKUP(calendar[[#This Row],[Date]],BH!A:A,1,)&lt;&gt;"",1,0),0)</f>
        <v>0</v>
      </c>
      <c r="M2413">
        <f>IFERROR(IF(VLOOKUP(calendar[[#This Row],[Date]],BH!C:C,1,)&lt;&gt;"",1,0),0)</f>
        <v>0</v>
      </c>
      <c r="N2413">
        <f>IFERROR(IF(VLOOKUP(calendar[[#This Row],[Date]],BH!E:E,1,)&lt;&gt;"",1,0),0)</f>
        <v>0</v>
      </c>
      <c r="O2413">
        <f>IFERROR(IF(VLOOKUP(calendar[[#This Row],[Date]],BH!G:G,1,)&lt;&gt;"",1,0),0)</f>
        <v>0</v>
      </c>
      <c r="P2413">
        <f>IF(OR(calendar[[#This Row],[UK_BH]]=1,calendar[[#This Row],[WeekDay]]=1, calendar[[#This Row],[WeekDay]]=7),P2412,P2412+1)</f>
        <v>1723</v>
      </c>
      <c r="Q2413">
        <f>IF(OR(calendar[[#This Row],[FR_BH]]=1,calendar[[#This Row],[WeekDay]]=1, calendar[[#This Row],[WeekDay]]=7),P2412,P2412+1)</f>
        <v>1723</v>
      </c>
      <c r="R2413">
        <f>IF(OR(calendar[[#This Row],[SP_BH]]=1,calendar[[#This Row],[WeekDay]]=1, calendar[[#This Row],[WeekDay]]=7),P2412,P2412+1)</f>
        <v>1723</v>
      </c>
      <c r="S2413">
        <f>IF(OR(calendar[[#This Row],[PT_BH]]=1,calendar[[#This Row],[WeekDay]]=1, calendar[[#This Row],[WeekDay]]=7),P2412,P2412+1)</f>
        <v>1723</v>
      </c>
    </row>
    <row r="2414" spans="1:19" x14ac:dyDescent="0.25">
      <c r="A2414" s="2">
        <v>45148</v>
      </c>
      <c r="B2414" s="1">
        <f t="shared" si="188"/>
        <v>32</v>
      </c>
      <c r="C2414">
        <f t="shared" si="190"/>
        <v>8</v>
      </c>
      <c r="D2414" t="str">
        <f t="shared" si="191"/>
        <v>August</v>
      </c>
      <c r="E2414">
        <f t="shared" si="192"/>
        <v>2023</v>
      </c>
      <c r="F2414" t="str">
        <f>CONCATENATE(calendar[[#This Row],[Month]],"/",calendar[[#This Row],[Year]])</f>
        <v>8/2023</v>
      </c>
      <c r="G2414">
        <f>WEEKDAY(calendar[[#This Row],[Date]],1)</f>
        <v>5</v>
      </c>
      <c r="H2414" t="str">
        <f>TEXT(calendar[[#This Row],[WeekDay]],"dddd")</f>
        <v>Thursday</v>
      </c>
      <c r="I2414">
        <f>IF((INT(calendar[[#This Row],[Count]]/7)-calendar[[#This Row],[Count]]/7)&lt;0,I2413,I2413+1)</f>
        <v>345</v>
      </c>
      <c r="J2414">
        <f t="shared" si="189"/>
        <v>2412</v>
      </c>
      <c r="K2414">
        <f>IF(calendar[[#This Row],[Month]]&lt;4,1,IF(calendar[[#This Row],[Month]]&lt;7,2,IF(calendar[[#This Row],[Month]]&lt;10,3,4)))</f>
        <v>3</v>
      </c>
      <c r="L2414">
        <f>IFERROR(IF(VLOOKUP(calendar[[#This Row],[Date]],BH!A:A,1,)&lt;&gt;"",1,0),0)</f>
        <v>0</v>
      </c>
      <c r="M2414">
        <f>IFERROR(IF(VLOOKUP(calendar[[#This Row],[Date]],BH!C:C,1,)&lt;&gt;"",1,0),0)</f>
        <v>0</v>
      </c>
      <c r="N2414">
        <f>IFERROR(IF(VLOOKUP(calendar[[#This Row],[Date]],BH!E:E,1,)&lt;&gt;"",1,0),0)</f>
        <v>0</v>
      </c>
      <c r="O2414">
        <f>IFERROR(IF(VLOOKUP(calendar[[#This Row],[Date]],BH!G:G,1,)&lt;&gt;"",1,0),0)</f>
        <v>0</v>
      </c>
      <c r="P2414">
        <f>IF(OR(calendar[[#This Row],[UK_BH]]=1,calendar[[#This Row],[WeekDay]]=1, calendar[[#This Row],[WeekDay]]=7),P2413,P2413+1)</f>
        <v>1724</v>
      </c>
      <c r="Q2414">
        <f>IF(OR(calendar[[#This Row],[FR_BH]]=1,calendar[[#This Row],[WeekDay]]=1, calendar[[#This Row],[WeekDay]]=7),P2413,P2413+1)</f>
        <v>1724</v>
      </c>
      <c r="R2414">
        <f>IF(OR(calendar[[#This Row],[SP_BH]]=1,calendar[[#This Row],[WeekDay]]=1, calendar[[#This Row],[WeekDay]]=7),P2413,P2413+1)</f>
        <v>1724</v>
      </c>
      <c r="S2414">
        <f>IF(OR(calendar[[#This Row],[PT_BH]]=1,calendar[[#This Row],[WeekDay]]=1, calendar[[#This Row],[WeekDay]]=7),P2413,P2413+1)</f>
        <v>1724</v>
      </c>
    </row>
    <row r="2415" spans="1:19" x14ac:dyDescent="0.25">
      <c r="A2415" s="2">
        <v>45149</v>
      </c>
      <c r="B2415" s="1">
        <f t="shared" si="188"/>
        <v>32</v>
      </c>
      <c r="C2415">
        <f t="shared" si="190"/>
        <v>8</v>
      </c>
      <c r="D2415" t="str">
        <f t="shared" si="191"/>
        <v>August</v>
      </c>
      <c r="E2415">
        <f t="shared" si="192"/>
        <v>2023</v>
      </c>
      <c r="F2415" t="str">
        <f>CONCATENATE(calendar[[#This Row],[Month]],"/",calendar[[#This Row],[Year]])</f>
        <v>8/2023</v>
      </c>
      <c r="G2415">
        <f>WEEKDAY(calendar[[#This Row],[Date]],1)</f>
        <v>6</v>
      </c>
      <c r="H2415" t="str">
        <f>TEXT(calendar[[#This Row],[WeekDay]],"dddd")</f>
        <v>Friday</v>
      </c>
      <c r="I2415">
        <f>IF((INT(calendar[[#This Row],[Count]]/7)-calendar[[#This Row],[Count]]/7)&lt;0,I2414,I2414+1)</f>
        <v>345</v>
      </c>
      <c r="J2415">
        <f t="shared" si="189"/>
        <v>2413</v>
      </c>
      <c r="K2415">
        <f>IF(calendar[[#This Row],[Month]]&lt;4,1,IF(calendar[[#This Row],[Month]]&lt;7,2,IF(calendar[[#This Row],[Month]]&lt;10,3,4)))</f>
        <v>3</v>
      </c>
      <c r="L2415">
        <f>IFERROR(IF(VLOOKUP(calendar[[#This Row],[Date]],BH!A:A,1,)&lt;&gt;"",1,0),0)</f>
        <v>0</v>
      </c>
      <c r="M2415">
        <f>IFERROR(IF(VLOOKUP(calendar[[#This Row],[Date]],BH!C:C,1,)&lt;&gt;"",1,0),0)</f>
        <v>0</v>
      </c>
      <c r="N2415">
        <f>IFERROR(IF(VLOOKUP(calendar[[#This Row],[Date]],BH!E:E,1,)&lt;&gt;"",1,0),0)</f>
        <v>0</v>
      </c>
      <c r="O2415">
        <f>IFERROR(IF(VLOOKUP(calendar[[#This Row],[Date]],BH!G:G,1,)&lt;&gt;"",1,0),0)</f>
        <v>0</v>
      </c>
      <c r="P2415">
        <f>IF(OR(calendar[[#This Row],[UK_BH]]=1,calendar[[#This Row],[WeekDay]]=1, calendar[[#This Row],[WeekDay]]=7),P2414,P2414+1)</f>
        <v>1725</v>
      </c>
      <c r="Q2415">
        <f>IF(OR(calendar[[#This Row],[FR_BH]]=1,calendar[[#This Row],[WeekDay]]=1, calendar[[#This Row],[WeekDay]]=7),P2414,P2414+1)</f>
        <v>1725</v>
      </c>
      <c r="R2415">
        <f>IF(OR(calendar[[#This Row],[SP_BH]]=1,calendar[[#This Row],[WeekDay]]=1, calendar[[#This Row],[WeekDay]]=7),P2414,P2414+1)</f>
        <v>1725</v>
      </c>
      <c r="S2415">
        <f>IF(OR(calendar[[#This Row],[PT_BH]]=1,calendar[[#This Row],[WeekDay]]=1, calendar[[#This Row],[WeekDay]]=7),P2414,P2414+1)</f>
        <v>1725</v>
      </c>
    </row>
    <row r="2416" spans="1:19" x14ac:dyDescent="0.25">
      <c r="A2416" s="2">
        <v>45150</v>
      </c>
      <c r="B2416" s="1">
        <f t="shared" si="188"/>
        <v>32</v>
      </c>
      <c r="C2416">
        <f t="shared" si="190"/>
        <v>8</v>
      </c>
      <c r="D2416" t="str">
        <f t="shared" si="191"/>
        <v>August</v>
      </c>
      <c r="E2416">
        <f t="shared" si="192"/>
        <v>2023</v>
      </c>
      <c r="F2416" t="str">
        <f>CONCATENATE(calendar[[#This Row],[Month]],"/",calendar[[#This Row],[Year]])</f>
        <v>8/2023</v>
      </c>
      <c r="G2416">
        <f>WEEKDAY(calendar[[#This Row],[Date]],1)</f>
        <v>7</v>
      </c>
      <c r="H2416" t="str">
        <f>TEXT(calendar[[#This Row],[WeekDay]],"dddd")</f>
        <v>Saturday</v>
      </c>
      <c r="I2416">
        <f>IF((INT(calendar[[#This Row],[Count]]/7)-calendar[[#This Row],[Count]]/7)&lt;0,I2415,I2415+1)</f>
        <v>345</v>
      </c>
      <c r="J2416">
        <f t="shared" si="189"/>
        <v>2414</v>
      </c>
      <c r="K2416">
        <f>IF(calendar[[#This Row],[Month]]&lt;4,1,IF(calendar[[#This Row],[Month]]&lt;7,2,IF(calendar[[#This Row],[Month]]&lt;10,3,4)))</f>
        <v>3</v>
      </c>
      <c r="L2416">
        <f>IFERROR(IF(VLOOKUP(calendar[[#This Row],[Date]],BH!A:A,1,)&lt;&gt;"",1,0),0)</f>
        <v>0</v>
      </c>
      <c r="M2416">
        <f>IFERROR(IF(VLOOKUP(calendar[[#This Row],[Date]],BH!C:C,1,)&lt;&gt;"",1,0),0)</f>
        <v>0</v>
      </c>
      <c r="N2416">
        <f>IFERROR(IF(VLOOKUP(calendar[[#This Row],[Date]],BH!E:E,1,)&lt;&gt;"",1,0),0)</f>
        <v>0</v>
      </c>
      <c r="O2416">
        <f>IFERROR(IF(VLOOKUP(calendar[[#This Row],[Date]],BH!G:G,1,)&lt;&gt;"",1,0),0)</f>
        <v>0</v>
      </c>
      <c r="P2416">
        <f>IF(OR(calendar[[#This Row],[UK_BH]]=1,calendar[[#This Row],[WeekDay]]=1, calendar[[#This Row],[WeekDay]]=7),P2415,P2415+1)</f>
        <v>1725</v>
      </c>
      <c r="Q2416">
        <f>IF(OR(calendar[[#This Row],[FR_BH]]=1,calendar[[#This Row],[WeekDay]]=1, calendar[[#This Row],[WeekDay]]=7),P2415,P2415+1)</f>
        <v>1725</v>
      </c>
      <c r="R2416">
        <f>IF(OR(calendar[[#This Row],[SP_BH]]=1,calendar[[#This Row],[WeekDay]]=1, calendar[[#This Row],[WeekDay]]=7),P2415,P2415+1)</f>
        <v>1725</v>
      </c>
      <c r="S2416">
        <f>IF(OR(calendar[[#This Row],[PT_BH]]=1,calendar[[#This Row],[WeekDay]]=1, calendar[[#This Row],[WeekDay]]=7),P2415,P2415+1)</f>
        <v>1725</v>
      </c>
    </row>
    <row r="2417" spans="1:19" x14ac:dyDescent="0.25">
      <c r="A2417" s="2">
        <v>45151</v>
      </c>
      <c r="B2417" s="1">
        <f t="shared" si="188"/>
        <v>33</v>
      </c>
      <c r="C2417">
        <f t="shared" si="190"/>
        <v>8</v>
      </c>
      <c r="D2417" t="str">
        <f t="shared" si="191"/>
        <v>August</v>
      </c>
      <c r="E2417">
        <f t="shared" si="192"/>
        <v>2023</v>
      </c>
      <c r="F2417" t="str">
        <f>CONCATENATE(calendar[[#This Row],[Month]],"/",calendar[[#This Row],[Year]])</f>
        <v>8/2023</v>
      </c>
      <c r="G2417">
        <f>WEEKDAY(calendar[[#This Row],[Date]],1)</f>
        <v>1</v>
      </c>
      <c r="H2417" t="str">
        <f>TEXT(calendar[[#This Row],[WeekDay]],"dddd")</f>
        <v>Sunday</v>
      </c>
      <c r="I2417">
        <f>IF((INT(calendar[[#This Row],[Count]]/7)-calendar[[#This Row],[Count]]/7)&lt;0,I2416,I2416+1)</f>
        <v>346</v>
      </c>
      <c r="J2417">
        <f t="shared" si="189"/>
        <v>2415</v>
      </c>
      <c r="K2417">
        <f>IF(calendar[[#This Row],[Month]]&lt;4,1,IF(calendar[[#This Row],[Month]]&lt;7,2,IF(calendar[[#This Row],[Month]]&lt;10,3,4)))</f>
        <v>3</v>
      </c>
      <c r="L2417">
        <f>IFERROR(IF(VLOOKUP(calendar[[#This Row],[Date]],BH!A:A,1,)&lt;&gt;"",1,0),0)</f>
        <v>0</v>
      </c>
      <c r="M2417">
        <f>IFERROR(IF(VLOOKUP(calendar[[#This Row],[Date]],BH!C:C,1,)&lt;&gt;"",1,0),0)</f>
        <v>0</v>
      </c>
      <c r="N2417">
        <f>IFERROR(IF(VLOOKUP(calendar[[#This Row],[Date]],BH!E:E,1,)&lt;&gt;"",1,0),0)</f>
        <v>0</v>
      </c>
      <c r="O2417">
        <f>IFERROR(IF(VLOOKUP(calendar[[#This Row],[Date]],BH!G:G,1,)&lt;&gt;"",1,0),0)</f>
        <v>0</v>
      </c>
      <c r="P2417">
        <f>IF(OR(calendar[[#This Row],[UK_BH]]=1,calendar[[#This Row],[WeekDay]]=1, calendar[[#This Row],[WeekDay]]=7),P2416,P2416+1)</f>
        <v>1725</v>
      </c>
      <c r="Q2417">
        <f>IF(OR(calendar[[#This Row],[FR_BH]]=1,calendar[[#This Row],[WeekDay]]=1, calendar[[#This Row],[WeekDay]]=7),P2416,P2416+1)</f>
        <v>1725</v>
      </c>
      <c r="R2417">
        <f>IF(OR(calendar[[#This Row],[SP_BH]]=1,calendar[[#This Row],[WeekDay]]=1, calendar[[#This Row],[WeekDay]]=7),P2416,P2416+1)</f>
        <v>1725</v>
      </c>
      <c r="S2417">
        <f>IF(OR(calendar[[#This Row],[PT_BH]]=1,calendar[[#This Row],[WeekDay]]=1, calendar[[#This Row],[WeekDay]]=7),P2416,P2416+1)</f>
        <v>1725</v>
      </c>
    </row>
    <row r="2418" spans="1:19" x14ac:dyDescent="0.25">
      <c r="A2418" s="2">
        <v>45152</v>
      </c>
      <c r="B2418" s="1">
        <f t="shared" si="188"/>
        <v>33</v>
      </c>
      <c r="C2418">
        <f t="shared" si="190"/>
        <v>8</v>
      </c>
      <c r="D2418" t="str">
        <f t="shared" si="191"/>
        <v>August</v>
      </c>
      <c r="E2418">
        <f t="shared" si="192"/>
        <v>2023</v>
      </c>
      <c r="F2418" t="str">
        <f>CONCATENATE(calendar[[#This Row],[Month]],"/",calendar[[#This Row],[Year]])</f>
        <v>8/2023</v>
      </c>
      <c r="G2418">
        <f>WEEKDAY(calendar[[#This Row],[Date]],1)</f>
        <v>2</v>
      </c>
      <c r="H2418" t="str">
        <f>TEXT(calendar[[#This Row],[WeekDay]],"dddd")</f>
        <v>Monday</v>
      </c>
      <c r="I2418">
        <f>IF((INT(calendar[[#This Row],[Count]]/7)-calendar[[#This Row],[Count]]/7)&lt;0,I2417,I2417+1)</f>
        <v>346</v>
      </c>
      <c r="J2418">
        <f t="shared" si="189"/>
        <v>2416</v>
      </c>
      <c r="K2418">
        <f>IF(calendar[[#This Row],[Month]]&lt;4,1,IF(calendar[[#This Row],[Month]]&lt;7,2,IF(calendar[[#This Row],[Month]]&lt;10,3,4)))</f>
        <v>3</v>
      </c>
      <c r="L2418">
        <f>IFERROR(IF(VLOOKUP(calendar[[#This Row],[Date]],BH!A:A,1,)&lt;&gt;"",1,0),0)</f>
        <v>0</v>
      </c>
      <c r="M2418">
        <f>IFERROR(IF(VLOOKUP(calendar[[#This Row],[Date]],BH!C:C,1,)&lt;&gt;"",1,0),0)</f>
        <v>0</v>
      </c>
      <c r="N2418">
        <f>IFERROR(IF(VLOOKUP(calendar[[#This Row],[Date]],BH!E:E,1,)&lt;&gt;"",1,0),0)</f>
        <v>0</v>
      </c>
      <c r="O2418">
        <f>IFERROR(IF(VLOOKUP(calendar[[#This Row],[Date]],BH!G:G,1,)&lt;&gt;"",1,0),0)</f>
        <v>0</v>
      </c>
      <c r="P2418">
        <f>IF(OR(calendar[[#This Row],[UK_BH]]=1,calendar[[#This Row],[WeekDay]]=1, calendar[[#This Row],[WeekDay]]=7),P2417,P2417+1)</f>
        <v>1726</v>
      </c>
      <c r="Q2418">
        <f>IF(OR(calendar[[#This Row],[FR_BH]]=1,calendar[[#This Row],[WeekDay]]=1, calendar[[#This Row],[WeekDay]]=7),P2417,P2417+1)</f>
        <v>1726</v>
      </c>
      <c r="R2418">
        <f>IF(OR(calendar[[#This Row],[SP_BH]]=1,calendar[[#This Row],[WeekDay]]=1, calendar[[#This Row],[WeekDay]]=7),P2417,P2417+1)</f>
        <v>1726</v>
      </c>
      <c r="S2418">
        <f>IF(OR(calendar[[#This Row],[PT_BH]]=1,calendar[[#This Row],[WeekDay]]=1, calendar[[#This Row],[WeekDay]]=7),P2417,P2417+1)</f>
        <v>1726</v>
      </c>
    </row>
    <row r="2419" spans="1:19" x14ac:dyDescent="0.25">
      <c r="A2419" s="2">
        <v>45153</v>
      </c>
      <c r="B2419" s="1">
        <f t="shared" si="188"/>
        <v>33</v>
      </c>
      <c r="C2419">
        <f t="shared" si="190"/>
        <v>8</v>
      </c>
      <c r="D2419" t="str">
        <f t="shared" si="191"/>
        <v>August</v>
      </c>
      <c r="E2419">
        <f t="shared" si="192"/>
        <v>2023</v>
      </c>
      <c r="F2419" t="str">
        <f>CONCATENATE(calendar[[#This Row],[Month]],"/",calendar[[#This Row],[Year]])</f>
        <v>8/2023</v>
      </c>
      <c r="G2419">
        <f>WEEKDAY(calendar[[#This Row],[Date]],1)</f>
        <v>3</v>
      </c>
      <c r="H2419" t="str">
        <f>TEXT(calendar[[#This Row],[WeekDay]],"dddd")</f>
        <v>Tuesday</v>
      </c>
      <c r="I2419">
        <f>IF((INT(calendar[[#This Row],[Count]]/7)-calendar[[#This Row],[Count]]/7)&lt;0,I2418,I2418+1)</f>
        <v>346</v>
      </c>
      <c r="J2419">
        <f t="shared" si="189"/>
        <v>2417</v>
      </c>
      <c r="K2419">
        <f>IF(calendar[[#This Row],[Month]]&lt;4,1,IF(calendar[[#This Row],[Month]]&lt;7,2,IF(calendar[[#This Row],[Month]]&lt;10,3,4)))</f>
        <v>3</v>
      </c>
      <c r="L2419">
        <f>IFERROR(IF(VLOOKUP(calendar[[#This Row],[Date]],BH!A:A,1,)&lt;&gt;"",1,0),0)</f>
        <v>0</v>
      </c>
      <c r="M2419">
        <f>IFERROR(IF(VLOOKUP(calendar[[#This Row],[Date]],BH!C:C,1,)&lt;&gt;"",1,0),0)</f>
        <v>0</v>
      </c>
      <c r="N2419">
        <f>IFERROR(IF(VLOOKUP(calendar[[#This Row],[Date]],BH!E:E,1,)&lt;&gt;"",1,0),0)</f>
        <v>0</v>
      </c>
      <c r="O2419">
        <f>IFERROR(IF(VLOOKUP(calendar[[#This Row],[Date]],BH!G:G,1,)&lt;&gt;"",1,0),0)</f>
        <v>0</v>
      </c>
      <c r="P2419">
        <f>IF(OR(calendar[[#This Row],[UK_BH]]=1,calendar[[#This Row],[WeekDay]]=1, calendar[[#This Row],[WeekDay]]=7),P2418,P2418+1)</f>
        <v>1727</v>
      </c>
      <c r="Q2419">
        <f>IF(OR(calendar[[#This Row],[FR_BH]]=1,calendar[[#This Row],[WeekDay]]=1, calendar[[#This Row],[WeekDay]]=7),P2418,P2418+1)</f>
        <v>1727</v>
      </c>
      <c r="R2419">
        <f>IF(OR(calendar[[#This Row],[SP_BH]]=1,calendar[[#This Row],[WeekDay]]=1, calendar[[#This Row],[WeekDay]]=7),P2418,P2418+1)</f>
        <v>1727</v>
      </c>
      <c r="S2419">
        <f>IF(OR(calendar[[#This Row],[PT_BH]]=1,calendar[[#This Row],[WeekDay]]=1, calendar[[#This Row],[WeekDay]]=7),P2418,P2418+1)</f>
        <v>1727</v>
      </c>
    </row>
    <row r="2420" spans="1:19" x14ac:dyDescent="0.25">
      <c r="A2420" s="2">
        <v>45154</v>
      </c>
      <c r="B2420" s="1">
        <f t="shared" si="188"/>
        <v>33</v>
      </c>
      <c r="C2420">
        <f t="shared" si="190"/>
        <v>8</v>
      </c>
      <c r="D2420" t="str">
        <f t="shared" si="191"/>
        <v>August</v>
      </c>
      <c r="E2420">
        <f t="shared" si="192"/>
        <v>2023</v>
      </c>
      <c r="F2420" t="str">
        <f>CONCATENATE(calendar[[#This Row],[Month]],"/",calendar[[#This Row],[Year]])</f>
        <v>8/2023</v>
      </c>
      <c r="G2420">
        <f>WEEKDAY(calendar[[#This Row],[Date]],1)</f>
        <v>4</v>
      </c>
      <c r="H2420" t="str">
        <f>TEXT(calendar[[#This Row],[WeekDay]],"dddd")</f>
        <v>Wednesday</v>
      </c>
      <c r="I2420">
        <f>IF((INT(calendar[[#This Row],[Count]]/7)-calendar[[#This Row],[Count]]/7)&lt;0,I2419,I2419+1)</f>
        <v>346</v>
      </c>
      <c r="J2420">
        <f t="shared" si="189"/>
        <v>2418</v>
      </c>
      <c r="K2420">
        <f>IF(calendar[[#This Row],[Month]]&lt;4,1,IF(calendar[[#This Row],[Month]]&lt;7,2,IF(calendar[[#This Row],[Month]]&lt;10,3,4)))</f>
        <v>3</v>
      </c>
      <c r="L2420">
        <f>IFERROR(IF(VLOOKUP(calendar[[#This Row],[Date]],BH!A:A,1,)&lt;&gt;"",1,0),0)</f>
        <v>0</v>
      </c>
      <c r="M2420">
        <f>IFERROR(IF(VLOOKUP(calendar[[#This Row],[Date]],BH!C:C,1,)&lt;&gt;"",1,0),0)</f>
        <v>0</v>
      </c>
      <c r="N2420">
        <f>IFERROR(IF(VLOOKUP(calendar[[#This Row],[Date]],BH!E:E,1,)&lt;&gt;"",1,0),0)</f>
        <v>0</v>
      </c>
      <c r="O2420">
        <f>IFERROR(IF(VLOOKUP(calendar[[#This Row],[Date]],BH!G:G,1,)&lt;&gt;"",1,0),0)</f>
        <v>0</v>
      </c>
      <c r="P2420">
        <f>IF(OR(calendar[[#This Row],[UK_BH]]=1,calendar[[#This Row],[WeekDay]]=1, calendar[[#This Row],[WeekDay]]=7),P2419,P2419+1)</f>
        <v>1728</v>
      </c>
      <c r="Q2420">
        <f>IF(OR(calendar[[#This Row],[FR_BH]]=1,calendar[[#This Row],[WeekDay]]=1, calendar[[#This Row],[WeekDay]]=7),P2419,P2419+1)</f>
        <v>1728</v>
      </c>
      <c r="R2420">
        <f>IF(OR(calendar[[#This Row],[SP_BH]]=1,calendar[[#This Row],[WeekDay]]=1, calendar[[#This Row],[WeekDay]]=7),P2419,P2419+1)</f>
        <v>1728</v>
      </c>
      <c r="S2420">
        <f>IF(OR(calendar[[#This Row],[PT_BH]]=1,calendar[[#This Row],[WeekDay]]=1, calendar[[#This Row],[WeekDay]]=7),P2419,P2419+1)</f>
        <v>1728</v>
      </c>
    </row>
    <row r="2421" spans="1:19" x14ac:dyDescent="0.25">
      <c r="A2421" s="2">
        <v>45155</v>
      </c>
      <c r="B2421" s="1">
        <f t="shared" si="188"/>
        <v>33</v>
      </c>
      <c r="C2421">
        <f t="shared" si="190"/>
        <v>8</v>
      </c>
      <c r="D2421" t="str">
        <f t="shared" si="191"/>
        <v>August</v>
      </c>
      <c r="E2421">
        <f t="shared" si="192"/>
        <v>2023</v>
      </c>
      <c r="F2421" t="str">
        <f>CONCATENATE(calendar[[#This Row],[Month]],"/",calendar[[#This Row],[Year]])</f>
        <v>8/2023</v>
      </c>
      <c r="G2421">
        <f>WEEKDAY(calendar[[#This Row],[Date]],1)</f>
        <v>5</v>
      </c>
      <c r="H2421" t="str">
        <f>TEXT(calendar[[#This Row],[WeekDay]],"dddd")</f>
        <v>Thursday</v>
      </c>
      <c r="I2421">
        <f>IF((INT(calendar[[#This Row],[Count]]/7)-calendar[[#This Row],[Count]]/7)&lt;0,I2420,I2420+1)</f>
        <v>346</v>
      </c>
      <c r="J2421">
        <f t="shared" si="189"/>
        <v>2419</v>
      </c>
      <c r="K2421">
        <f>IF(calendar[[#This Row],[Month]]&lt;4,1,IF(calendar[[#This Row],[Month]]&lt;7,2,IF(calendar[[#This Row],[Month]]&lt;10,3,4)))</f>
        <v>3</v>
      </c>
      <c r="L2421">
        <f>IFERROR(IF(VLOOKUP(calendar[[#This Row],[Date]],BH!A:A,1,)&lt;&gt;"",1,0),0)</f>
        <v>0</v>
      </c>
      <c r="M2421">
        <f>IFERROR(IF(VLOOKUP(calendar[[#This Row],[Date]],BH!C:C,1,)&lt;&gt;"",1,0),0)</f>
        <v>0</v>
      </c>
      <c r="N2421">
        <f>IFERROR(IF(VLOOKUP(calendar[[#This Row],[Date]],BH!E:E,1,)&lt;&gt;"",1,0),0)</f>
        <v>0</v>
      </c>
      <c r="O2421">
        <f>IFERROR(IF(VLOOKUP(calendar[[#This Row],[Date]],BH!G:G,1,)&lt;&gt;"",1,0),0)</f>
        <v>0</v>
      </c>
      <c r="P2421">
        <f>IF(OR(calendar[[#This Row],[UK_BH]]=1,calendar[[#This Row],[WeekDay]]=1, calendar[[#This Row],[WeekDay]]=7),P2420,P2420+1)</f>
        <v>1729</v>
      </c>
      <c r="Q2421">
        <f>IF(OR(calendar[[#This Row],[FR_BH]]=1,calendar[[#This Row],[WeekDay]]=1, calendar[[#This Row],[WeekDay]]=7),P2420,P2420+1)</f>
        <v>1729</v>
      </c>
      <c r="R2421">
        <f>IF(OR(calendar[[#This Row],[SP_BH]]=1,calendar[[#This Row],[WeekDay]]=1, calendar[[#This Row],[WeekDay]]=7),P2420,P2420+1)</f>
        <v>1729</v>
      </c>
      <c r="S2421">
        <f>IF(OR(calendar[[#This Row],[PT_BH]]=1,calendar[[#This Row],[WeekDay]]=1, calendar[[#This Row],[WeekDay]]=7),P2420,P2420+1)</f>
        <v>1729</v>
      </c>
    </row>
    <row r="2422" spans="1:19" x14ac:dyDescent="0.25">
      <c r="A2422" s="2">
        <v>45156</v>
      </c>
      <c r="B2422" s="1">
        <f t="shared" si="188"/>
        <v>33</v>
      </c>
      <c r="C2422">
        <f t="shared" si="190"/>
        <v>8</v>
      </c>
      <c r="D2422" t="str">
        <f t="shared" si="191"/>
        <v>August</v>
      </c>
      <c r="E2422">
        <f t="shared" si="192"/>
        <v>2023</v>
      </c>
      <c r="F2422" t="str">
        <f>CONCATENATE(calendar[[#This Row],[Month]],"/",calendar[[#This Row],[Year]])</f>
        <v>8/2023</v>
      </c>
      <c r="G2422">
        <f>WEEKDAY(calendar[[#This Row],[Date]],1)</f>
        <v>6</v>
      </c>
      <c r="H2422" t="str">
        <f>TEXT(calendar[[#This Row],[WeekDay]],"dddd")</f>
        <v>Friday</v>
      </c>
      <c r="I2422">
        <f>IF((INT(calendar[[#This Row],[Count]]/7)-calendar[[#This Row],[Count]]/7)&lt;0,I2421,I2421+1)</f>
        <v>346</v>
      </c>
      <c r="J2422">
        <f t="shared" si="189"/>
        <v>2420</v>
      </c>
      <c r="K2422">
        <f>IF(calendar[[#This Row],[Month]]&lt;4,1,IF(calendar[[#This Row],[Month]]&lt;7,2,IF(calendar[[#This Row],[Month]]&lt;10,3,4)))</f>
        <v>3</v>
      </c>
      <c r="L2422">
        <f>IFERROR(IF(VLOOKUP(calendar[[#This Row],[Date]],BH!A:A,1,)&lt;&gt;"",1,0),0)</f>
        <v>0</v>
      </c>
      <c r="M2422">
        <f>IFERROR(IF(VLOOKUP(calendar[[#This Row],[Date]],BH!C:C,1,)&lt;&gt;"",1,0),0)</f>
        <v>0</v>
      </c>
      <c r="N2422">
        <f>IFERROR(IF(VLOOKUP(calendar[[#This Row],[Date]],BH!E:E,1,)&lt;&gt;"",1,0),0)</f>
        <v>0</v>
      </c>
      <c r="O2422">
        <f>IFERROR(IF(VLOOKUP(calendar[[#This Row],[Date]],BH!G:G,1,)&lt;&gt;"",1,0),0)</f>
        <v>0</v>
      </c>
      <c r="P2422">
        <f>IF(OR(calendar[[#This Row],[UK_BH]]=1,calendar[[#This Row],[WeekDay]]=1, calendar[[#This Row],[WeekDay]]=7),P2421,P2421+1)</f>
        <v>1730</v>
      </c>
      <c r="Q2422">
        <f>IF(OR(calendar[[#This Row],[FR_BH]]=1,calendar[[#This Row],[WeekDay]]=1, calendar[[#This Row],[WeekDay]]=7),P2421,P2421+1)</f>
        <v>1730</v>
      </c>
      <c r="R2422">
        <f>IF(OR(calendar[[#This Row],[SP_BH]]=1,calendar[[#This Row],[WeekDay]]=1, calendar[[#This Row],[WeekDay]]=7),P2421,P2421+1)</f>
        <v>1730</v>
      </c>
      <c r="S2422">
        <f>IF(OR(calendar[[#This Row],[PT_BH]]=1,calendar[[#This Row],[WeekDay]]=1, calendar[[#This Row],[WeekDay]]=7),P2421,P2421+1)</f>
        <v>1730</v>
      </c>
    </row>
    <row r="2423" spans="1:19" x14ac:dyDescent="0.25">
      <c r="A2423" s="2">
        <v>45157</v>
      </c>
      <c r="B2423" s="1">
        <f t="shared" si="188"/>
        <v>33</v>
      </c>
      <c r="C2423">
        <f t="shared" si="190"/>
        <v>8</v>
      </c>
      <c r="D2423" t="str">
        <f t="shared" si="191"/>
        <v>August</v>
      </c>
      <c r="E2423">
        <f t="shared" si="192"/>
        <v>2023</v>
      </c>
      <c r="F2423" t="str">
        <f>CONCATENATE(calendar[[#This Row],[Month]],"/",calendar[[#This Row],[Year]])</f>
        <v>8/2023</v>
      </c>
      <c r="G2423">
        <f>WEEKDAY(calendar[[#This Row],[Date]],1)</f>
        <v>7</v>
      </c>
      <c r="H2423" t="str">
        <f>TEXT(calendar[[#This Row],[WeekDay]],"dddd")</f>
        <v>Saturday</v>
      </c>
      <c r="I2423">
        <f>IF((INT(calendar[[#This Row],[Count]]/7)-calendar[[#This Row],[Count]]/7)&lt;0,I2422,I2422+1)</f>
        <v>346</v>
      </c>
      <c r="J2423">
        <f t="shared" si="189"/>
        <v>2421</v>
      </c>
      <c r="K2423">
        <f>IF(calendar[[#This Row],[Month]]&lt;4,1,IF(calendar[[#This Row],[Month]]&lt;7,2,IF(calendar[[#This Row],[Month]]&lt;10,3,4)))</f>
        <v>3</v>
      </c>
      <c r="L2423">
        <f>IFERROR(IF(VLOOKUP(calendar[[#This Row],[Date]],BH!A:A,1,)&lt;&gt;"",1,0),0)</f>
        <v>0</v>
      </c>
      <c r="M2423">
        <f>IFERROR(IF(VLOOKUP(calendar[[#This Row],[Date]],BH!C:C,1,)&lt;&gt;"",1,0),0)</f>
        <v>0</v>
      </c>
      <c r="N2423">
        <f>IFERROR(IF(VLOOKUP(calendar[[#This Row],[Date]],BH!E:E,1,)&lt;&gt;"",1,0),0)</f>
        <v>0</v>
      </c>
      <c r="O2423">
        <f>IFERROR(IF(VLOOKUP(calendar[[#This Row],[Date]],BH!G:G,1,)&lt;&gt;"",1,0),0)</f>
        <v>0</v>
      </c>
      <c r="P2423">
        <f>IF(OR(calendar[[#This Row],[UK_BH]]=1,calendar[[#This Row],[WeekDay]]=1, calendar[[#This Row],[WeekDay]]=7),P2422,P2422+1)</f>
        <v>1730</v>
      </c>
      <c r="Q2423">
        <f>IF(OR(calendar[[#This Row],[FR_BH]]=1,calendar[[#This Row],[WeekDay]]=1, calendar[[#This Row],[WeekDay]]=7),P2422,P2422+1)</f>
        <v>1730</v>
      </c>
      <c r="R2423">
        <f>IF(OR(calendar[[#This Row],[SP_BH]]=1,calendar[[#This Row],[WeekDay]]=1, calendar[[#This Row],[WeekDay]]=7),P2422,P2422+1)</f>
        <v>1730</v>
      </c>
      <c r="S2423">
        <f>IF(OR(calendar[[#This Row],[PT_BH]]=1,calendar[[#This Row],[WeekDay]]=1, calendar[[#This Row],[WeekDay]]=7),P2422,P2422+1)</f>
        <v>1730</v>
      </c>
    </row>
    <row r="2424" spans="1:19" x14ac:dyDescent="0.25">
      <c r="A2424" s="2">
        <v>45158</v>
      </c>
      <c r="B2424" s="1">
        <f t="shared" si="188"/>
        <v>34</v>
      </c>
      <c r="C2424">
        <f t="shared" si="190"/>
        <v>8</v>
      </c>
      <c r="D2424" t="str">
        <f t="shared" si="191"/>
        <v>August</v>
      </c>
      <c r="E2424">
        <f t="shared" si="192"/>
        <v>2023</v>
      </c>
      <c r="F2424" t="str">
        <f>CONCATENATE(calendar[[#This Row],[Month]],"/",calendar[[#This Row],[Year]])</f>
        <v>8/2023</v>
      </c>
      <c r="G2424">
        <f>WEEKDAY(calendar[[#This Row],[Date]],1)</f>
        <v>1</v>
      </c>
      <c r="H2424" t="str">
        <f>TEXT(calendar[[#This Row],[WeekDay]],"dddd")</f>
        <v>Sunday</v>
      </c>
      <c r="I2424">
        <f>IF((INT(calendar[[#This Row],[Count]]/7)-calendar[[#This Row],[Count]]/7)&lt;0,I2423,I2423+1)</f>
        <v>347</v>
      </c>
      <c r="J2424">
        <f t="shared" si="189"/>
        <v>2422</v>
      </c>
      <c r="K2424">
        <f>IF(calendar[[#This Row],[Month]]&lt;4,1,IF(calendar[[#This Row],[Month]]&lt;7,2,IF(calendar[[#This Row],[Month]]&lt;10,3,4)))</f>
        <v>3</v>
      </c>
      <c r="L2424">
        <f>IFERROR(IF(VLOOKUP(calendar[[#This Row],[Date]],BH!A:A,1,)&lt;&gt;"",1,0),0)</f>
        <v>0</v>
      </c>
      <c r="M2424">
        <f>IFERROR(IF(VLOOKUP(calendar[[#This Row],[Date]],BH!C:C,1,)&lt;&gt;"",1,0),0)</f>
        <v>0</v>
      </c>
      <c r="N2424">
        <f>IFERROR(IF(VLOOKUP(calendar[[#This Row],[Date]],BH!E:E,1,)&lt;&gt;"",1,0),0)</f>
        <v>0</v>
      </c>
      <c r="O2424">
        <f>IFERROR(IF(VLOOKUP(calendar[[#This Row],[Date]],BH!G:G,1,)&lt;&gt;"",1,0),0)</f>
        <v>0</v>
      </c>
      <c r="P2424">
        <f>IF(OR(calendar[[#This Row],[UK_BH]]=1,calendar[[#This Row],[WeekDay]]=1, calendar[[#This Row],[WeekDay]]=7),P2423,P2423+1)</f>
        <v>1730</v>
      </c>
      <c r="Q2424">
        <f>IF(OR(calendar[[#This Row],[FR_BH]]=1,calendar[[#This Row],[WeekDay]]=1, calendar[[#This Row],[WeekDay]]=7),P2423,P2423+1)</f>
        <v>1730</v>
      </c>
      <c r="R2424">
        <f>IF(OR(calendar[[#This Row],[SP_BH]]=1,calendar[[#This Row],[WeekDay]]=1, calendar[[#This Row],[WeekDay]]=7),P2423,P2423+1)</f>
        <v>1730</v>
      </c>
      <c r="S2424">
        <f>IF(OR(calendar[[#This Row],[PT_BH]]=1,calendar[[#This Row],[WeekDay]]=1, calendar[[#This Row],[WeekDay]]=7),P2423,P2423+1)</f>
        <v>1730</v>
      </c>
    </row>
    <row r="2425" spans="1:19" x14ac:dyDescent="0.25">
      <c r="A2425" s="2">
        <v>45159</v>
      </c>
      <c r="B2425" s="1">
        <f t="shared" si="188"/>
        <v>34</v>
      </c>
      <c r="C2425">
        <f t="shared" si="190"/>
        <v>8</v>
      </c>
      <c r="D2425" t="str">
        <f t="shared" si="191"/>
        <v>August</v>
      </c>
      <c r="E2425">
        <f t="shared" si="192"/>
        <v>2023</v>
      </c>
      <c r="F2425" t="str">
        <f>CONCATENATE(calendar[[#This Row],[Month]],"/",calendar[[#This Row],[Year]])</f>
        <v>8/2023</v>
      </c>
      <c r="G2425">
        <f>WEEKDAY(calendar[[#This Row],[Date]],1)</f>
        <v>2</v>
      </c>
      <c r="H2425" t="str">
        <f>TEXT(calendar[[#This Row],[WeekDay]],"dddd")</f>
        <v>Monday</v>
      </c>
      <c r="I2425">
        <f>IF((INT(calendar[[#This Row],[Count]]/7)-calendar[[#This Row],[Count]]/7)&lt;0,I2424,I2424+1)</f>
        <v>347</v>
      </c>
      <c r="J2425">
        <f t="shared" si="189"/>
        <v>2423</v>
      </c>
      <c r="K2425">
        <f>IF(calendar[[#This Row],[Month]]&lt;4,1,IF(calendar[[#This Row],[Month]]&lt;7,2,IF(calendar[[#This Row],[Month]]&lt;10,3,4)))</f>
        <v>3</v>
      </c>
      <c r="L2425">
        <f>IFERROR(IF(VLOOKUP(calendar[[#This Row],[Date]],BH!A:A,1,)&lt;&gt;"",1,0),0)</f>
        <v>0</v>
      </c>
      <c r="M2425">
        <f>IFERROR(IF(VLOOKUP(calendar[[#This Row],[Date]],BH!C:C,1,)&lt;&gt;"",1,0),0)</f>
        <v>0</v>
      </c>
      <c r="N2425">
        <f>IFERROR(IF(VLOOKUP(calendar[[#This Row],[Date]],BH!E:E,1,)&lt;&gt;"",1,0),0)</f>
        <v>0</v>
      </c>
      <c r="O2425">
        <f>IFERROR(IF(VLOOKUP(calendar[[#This Row],[Date]],BH!G:G,1,)&lt;&gt;"",1,0),0)</f>
        <v>0</v>
      </c>
      <c r="P2425">
        <f>IF(OR(calendar[[#This Row],[UK_BH]]=1,calendar[[#This Row],[WeekDay]]=1, calendar[[#This Row],[WeekDay]]=7),P2424,P2424+1)</f>
        <v>1731</v>
      </c>
      <c r="Q2425">
        <f>IF(OR(calendar[[#This Row],[FR_BH]]=1,calendar[[#This Row],[WeekDay]]=1, calendar[[#This Row],[WeekDay]]=7),P2424,P2424+1)</f>
        <v>1731</v>
      </c>
      <c r="R2425">
        <f>IF(OR(calendar[[#This Row],[SP_BH]]=1,calendar[[#This Row],[WeekDay]]=1, calendar[[#This Row],[WeekDay]]=7),P2424,P2424+1)</f>
        <v>1731</v>
      </c>
      <c r="S2425">
        <f>IF(OR(calendar[[#This Row],[PT_BH]]=1,calendar[[#This Row],[WeekDay]]=1, calendar[[#This Row],[WeekDay]]=7),P2424,P2424+1)</f>
        <v>1731</v>
      </c>
    </row>
    <row r="2426" spans="1:19" x14ac:dyDescent="0.25">
      <c r="A2426" s="2">
        <v>45160</v>
      </c>
      <c r="B2426" s="1">
        <f t="shared" si="188"/>
        <v>34</v>
      </c>
      <c r="C2426">
        <f t="shared" si="190"/>
        <v>8</v>
      </c>
      <c r="D2426" t="str">
        <f t="shared" si="191"/>
        <v>August</v>
      </c>
      <c r="E2426">
        <f t="shared" si="192"/>
        <v>2023</v>
      </c>
      <c r="F2426" t="str">
        <f>CONCATENATE(calendar[[#This Row],[Month]],"/",calendar[[#This Row],[Year]])</f>
        <v>8/2023</v>
      </c>
      <c r="G2426">
        <f>WEEKDAY(calendar[[#This Row],[Date]],1)</f>
        <v>3</v>
      </c>
      <c r="H2426" t="str">
        <f>TEXT(calendar[[#This Row],[WeekDay]],"dddd")</f>
        <v>Tuesday</v>
      </c>
      <c r="I2426">
        <f>IF((INT(calendar[[#This Row],[Count]]/7)-calendar[[#This Row],[Count]]/7)&lt;0,I2425,I2425+1)</f>
        <v>347</v>
      </c>
      <c r="J2426">
        <f t="shared" si="189"/>
        <v>2424</v>
      </c>
      <c r="K2426">
        <f>IF(calendar[[#This Row],[Month]]&lt;4,1,IF(calendar[[#This Row],[Month]]&lt;7,2,IF(calendar[[#This Row],[Month]]&lt;10,3,4)))</f>
        <v>3</v>
      </c>
      <c r="L2426">
        <f>IFERROR(IF(VLOOKUP(calendar[[#This Row],[Date]],BH!A:A,1,)&lt;&gt;"",1,0),0)</f>
        <v>0</v>
      </c>
      <c r="M2426">
        <f>IFERROR(IF(VLOOKUP(calendar[[#This Row],[Date]],BH!C:C,1,)&lt;&gt;"",1,0),0)</f>
        <v>0</v>
      </c>
      <c r="N2426">
        <f>IFERROR(IF(VLOOKUP(calendar[[#This Row],[Date]],BH!E:E,1,)&lt;&gt;"",1,0),0)</f>
        <v>0</v>
      </c>
      <c r="O2426">
        <f>IFERROR(IF(VLOOKUP(calendar[[#This Row],[Date]],BH!G:G,1,)&lt;&gt;"",1,0),0)</f>
        <v>0</v>
      </c>
      <c r="P2426">
        <f>IF(OR(calendar[[#This Row],[UK_BH]]=1,calendar[[#This Row],[WeekDay]]=1, calendar[[#This Row],[WeekDay]]=7),P2425,P2425+1)</f>
        <v>1732</v>
      </c>
      <c r="Q2426">
        <f>IF(OR(calendar[[#This Row],[FR_BH]]=1,calendar[[#This Row],[WeekDay]]=1, calendar[[#This Row],[WeekDay]]=7),P2425,P2425+1)</f>
        <v>1732</v>
      </c>
      <c r="R2426">
        <f>IF(OR(calendar[[#This Row],[SP_BH]]=1,calendar[[#This Row],[WeekDay]]=1, calendar[[#This Row],[WeekDay]]=7),P2425,P2425+1)</f>
        <v>1732</v>
      </c>
      <c r="S2426">
        <f>IF(OR(calendar[[#This Row],[PT_BH]]=1,calendar[[#This Row],[WeekDay]]=1, calendar[[#This Row],[WeekDay]]=7),P2425,P2425+1)</f>
        <v>1732</v>
      </c>
    </row>
    <row r="2427" spans="1:19" x14ac:dyDescent="0.25">
      <c r="A2427" s="2">
        <v>45161</v>
      </c>
      <c r="B2427" s="1">
        <f t="shared" si="188"/>
        <v>34</v>
      </c>
      <c r="C2427">
        <f t="shared" si="190"/>
        <v>8</v>
      </c>
      <c r="D2427" t="str">
        <f t="shared" si="191"/>
        <v>August</v>
      </c>
      <c r="E2427">
        <f t="shared" si="192"/>
        <v>2023</v>
      </c>
      <c r="F2427" t="str">
        <f>CONCATENATE(calendar[[#This Row],[Month]],"/",calendar[[#This Row],[Year]])</f>
        <v>8/2023</v>
      </c>
      <c r="G2427">
        <f>WEEKDAY(calendar[[#This Row],[Date]],1)</f>
        <v>4</v>
      </c>
      <c r="H2427" t="str">
        <f>TEXT(calendar[[#This Row],[WeekDay]],"dddd")</f>
        <v>Wednesday</v>
      </c>
      <c r="I2427">
        <f>IF((INT(calendar[[#This Row],[Count]]/7)-calendar[[#This Row],[Count]]/7)&lt;0,I2426,I2426+1)</f>
        <v>347</v>
      </c>
      <c r="J2427">
        <f t="shared" si="189"/>
        <v>2425</v>
      </c>
      <c r="K2427">
        <f>IF(calendar[[#This Row],[Month]]&lt;4,1,IF(calendar[[#This Row],[Month]]&lt;7,2,IF(calendar[[#This Row],[Month]]&lt;10,3,4)))</f>
        <v>3</v>
      </c>
      <c r="L2427">
        <f>IFERROR(IF(VLOOKUP(calendar[[#This Row],[Date]],BH!A:A,1,)&lt;&gt;"",1,0),0)</f>
        <v>0</v>
      </c>
      <c r="M2427">
        <f>IFERROR(IF(VLOOKUP(calendar[[#This Row],[Date]],BH!C:C,1,)&lt;&gt;"",1,0),0)</f>
        <v>0</v>
      </c>
      <c r="N2427">
        <f>IFERROR(IF(VLOOKUP(calendar[[#This Row],[Date]],BH!E:E,1,)&lt;&gt;"",1,0),0)</f>
        <v>0</v>
      </c>
      <c r="O2427">
        <f>IFERROR(IF(VLOOKUP(calendar[[#This Row],[Date]],BH!G:G,1,)&lt;&gt;"",1,0),0)</f>
        <v>0</v>
      </c>
      <c r="P2427">
        <f>IF(OR(calendar[[#This Row],[UK_BH]]=1,calendar[[#This Row],[WeekDay]]=1, calendar[[#This Row],[WeekDay]]=7),P2426,P2426+1)</f>
        <v>1733</v>
      </c>
      <c r="Q2427">
        <f>IF(OR(calendar[[#This Row],[FR_BH]]=1,calendar[[#This Row],[WeekDay]]=1, calendar[[#This Row],[WeekDay]]=7),P2426,P2426+1)</f>
        <v>1733</v>
      </c>
      <c r="R2427">
        <f>IF(OR(calendar[[#This Row],[SP_BH]]=1,calendar[[#This Row],[WeekDay]]=1, calendar[[#This Row],[WeekDay]]=7),P2426,P2426+1)</f>
        <v>1733</v>
      </c>
      <c r="S2427">
        <f>IF(OR(calendar[[#This Row],[PT_BH]]=1,calendar[[#This Row],[WeekDay]]=1, calendar[[#This Row],[WeekDay]]=7),P2426,P2426+1)</f>
        <v>1733</v>
      </c>
    </row>
    <row r="2428" spans="1:19" x14ac:dyDescent="0.25">
      <c r="A2428" s="2">
        <v>45162</v>
      </c>
      <c r="B2428" s="1">
        <f t="shared" si="188"/>
        <v>34</v>
      </c>
      <c r="C2428">
        <f t="shared" si="190"/>
        <v>8</v>
      </c>
      <c r="D2428" t="str">
        <f t="shared" si="191"/>
        <v>August</v>
      </c>
      <c r="E2428">
        <f t="shared" si="192"/>
        <v>2023</v>
      </c>
      <c r="F2428" t="str">
        <f>CONCATENATE(calendar[[#This Row],[Month]],"/",calendar[[#This Row],[Year]])</f>
        <v>8/2023</v>
      </c>
      <c r="G2428">
        <f>WEEKDAY(calendar[[#This Row],[Date]],1)</f>
        <v>5</v>
      </c>
      <c r="H2428" t="str">
        <f>TEXT(calendar[[#This Row],[WeekDay]],"dddd")</f>
        <v>Thursday</v>
      </c>
      <c r="I2428">
        <f>IF((INT(calendar[[#This Row],[Count]]/7)-calendar[[#This Row],[Count]]/7)&lt;0,I2427,I2427+1)</f>
        <v>347</v>
      </c>
      <c r="J2428">
        <f t="shared" si="189"/>
        <v>2426</v>
      </c>
      <c r="K2428">
        <f>IF(calendar[[#This Row],[Month]]&lt;4,1,IF(calendar[[#This Row],[Month]]&lt;7,2,IF(calendar[[#This Row],[Month]]&lt;10,3,4)))</f>
        <v>3</v>
      </c>
      <c r="L2428">
        <f>IFERROR(IF(VLOOKUP(calendar[[#This Row],[Date]],BH!A:A,1,)&lt;&gt;"",1,0),0)</f>
        <v>0</v>
      </c>
      <c r="M2428">
        <f>IFERROR(IF(VLOOKUP(calendar[[#This Row],[Date]],BH!C:C,1,)&lt;&gt;"",1,0),0)</f>
        <v>0</v>
      </c>
      <c r="N2428">
        <f>IFERROR(IF(VLOOKUP(calendar[[#This Row],[Date]],BH!E:E,1,)&lt;&gt;"",1,0),0)</f>
        <v>0</v>
      </c>
      <c r="O2428">
        <f>IFERROR(IF(VLOOKUP(calendar[[#This Row],[Date]],BH!G:G,1,)&lt;&gt;"",1,0),0)</f>
        <v>0</v>
      </c>
      <c r="P2428">
        <f>IF(OR(calendar[[#This Row],[UK_BH]]=1,calendar[[#This Row],[WeekDay]]=1, calendar[[#This Row],[WeekDay]]=7),P2427,P2427+1)</f>
        <v>1734</v>
      </c>
      <c r="Q2428">
        <f>IF(OR(calendar[[#This Row],[FR_BH]]=1,calendar[[#This Row],[WeekDay]]=1, calendar[[#This Row],[WeekDay]]=7),P2427,P2427+1)</f>
        <v>1734</v>
      </c>
      <c r="R2428">
        <f>IF(OR(calendar[[#This Row],[SP_BH]]=1,calendar[[#This Row],[WeekDay]]=1, calendar[[#This Row],[WeekDay]]=7),P2427,P2427+1)</f>
        <v>1734</v>
      </c>
      <c r="S2428">
        <f>IF(OR(calendar[[#This Row],[PT_BH]]=1,calendar[[#This Row],[WeekDay]]=1, calendar[[#This Row],[WeekDay]]=7),P2427,P2427+1)</f>
        <v>1734</v>
      </c>
    </row>
    <row r="2429" spans="1:19" x14ac:dyDescent="0.25">
      <c r="A2429" s="2">
        <v>45163</v>
      </c>
      <c r="B2429" s="1">
        <f t="shared" si="188"/>
        <v>34</v>
      </c>
      <c r="C2429">
        <f t="shared" si="190"/>
        <v>8</v>
      </c>
      <c r="D2429" t="str">
        <f t="shared" si="191"/>
        <v>August</v>
      </c>
      <c r="E2429">
        <f t="shared" si="192"/>
        <v>2023</v>
      </c>
      <c r="F2429" t="str">
        <f>CONCATENATE(calendar[[#This Row],[Month]],"/",calendar[[#This Row],[Year]])</f>
        <v>8/2023</v>
      </c>
      <c r="G2429">
        <f>WEEKDAY(calendar[[#This Row],[Date]],1)</f>
        <v>6</v>
      </c>
      <c r="H2429" t="str">
        <f>TEXT(calendar[[#This Row],[WeekDay]],"dddd")</f>
        <v>Friday</v>
      </c>
      <c r="I2429">
        <f>IF((INT(calendar[[#This Row],[Count]]/7)-calendar[[#This Row],[Count]]/7)&lt;0,I2428,I2428+1)</f>
        <v>347</v>
      </c>
      <c r="J2429">
        <f t="shared" si="189"/>
        <v>2427</v>
      </c>
      <c r="K2429">
        <f>IF(calendar[[#This Row],[Month]]&lt;4,1,IF(calendar[[#This Row],[Month]]&lt;7,2,IF(calendar[[#This Row],[Month]]&lt;10,3,4)))</f>
        <v>3</v>
      </c>
      <c r="L2429">
        <f>IFERROR(IF(VLOOKUP(calendar[[#This Row],[Date]],BH!A:A,1,)&lt;&gt;"",1,0),0)</f>
        <v>0</v>
      </c>
      <c r="M2429">
        <f>IFERROR(IF(VLOOKUP(calendar[[#This Row],[Date]],BH!C:C,1,)&lt;&gt;"",1,0),0)</f>
        <v>0</v>
      </c>
      <c r="N2429">
        <f>IFERROR(IF(VLOOKUP(calendar[[#This Row],[Date]],BH!E:E,1,)&lt;&gt;"",1,0),0)</f>
        <v>0</v>
      </c>
      <c r="O2429">
        <f>IFERROR(IF(VLOOKUP(calendar[[#This Row],[Date]],BH!G:G,1,)&lt;&gt;"",1,0),0)</f>
        <v>0</v>
      </c>
      <c r="P2429">
        <f>IF(OR(calendar[[#This Row],[UK_BH]]=1,calendar[[#This Row],[WeekDay]]=1, calendar[[#This Row],[WeekDay]]=7),P2428,P2428+1)</f>
        <v>1735</v>
      </c>
      <c r="Q2429">
        <f>IF(OR(calendar[[#This Row],[FR_BH]]=1,calendar[[#This Row],[WeekDay]]=1, calendar[[#This Row],[WeekDay]]=7),P2428,P2428+1)</f>
        <v>1735</v>
      </c>
      <c r="R2429">
        <f>IF(OR(calendar[[#This Row],[SP_BH]]=1,calendar[[#This Row],[WeekDay]]=1, calendar[[#This Row],[WeekDay]]=7),P2428,P2428+1)</f>
        <v>1735</v>
      </c>
      <c r="S2429">
        <f>IF(OR(calendar[[#This Row],[PT_BH]]=1,calendar[[#This Row],[WeekDay]]=1, calendar[[#This Row],[WeekDay]]=7),P2428,P2428+1)</f>
        <v>1735</v>
      </c>
    </row>
    <row r="2430" spans="1:19" x14ac:dyDescent="0.25">
      <c r="A2430" s="2">
        <v>45164</v>
      </c>
      <c r="B2430" s="1">
        <f t="shared" si="188"/>
        <v>34</v>
      </c>
      <c r="C2430">
        <f t="shared" si="190"/>
        <v>8</v>
      </c>
      <c r="D2430" t="str">
        <f t="shared" si="191"/>
        <v>August</v>
      </c>
      <c r="E2430">
        <f t="shared" si="192"/>
        <v>2023</v>
      </c>
      <c r="F2430" t="str">
        <f>CONCATENATE(calendar[[#This Row],[Month]],"/",calendar[[#This Row],[Year]])</f>
        <v>8/2023</v>
      </c>
      <c r="G2430">
        <f>WEEKDAY(calendar[[#This Row],[Date]],1)</f>
        <v>7</v>
      </c>
      <c r="H2430" t="str">
        <f>TEXT(calendar[[#This Row],[WeekDay]],"dddd")</f>
        <v>Saturday</v>
      </c>
      <c r="I2430">
        <f>IF((INT(calendar[[#This Row],[Count]]/7)-calendar[[#This Row],[Count]]/7)&lt;0,I2429,I2429+1)</f>
        <v>347</v>
      </c>
      <c r="J2430">
        <f t="shared" si="189"/>
        <v>2428</v>
      </c>
      <c r="K2430">
        <f>IF(calendar[[#This Row],[Month]]&lt;4,1,IF(calendar[[#This Row],[Month]]&lt;7,2,IF(calendar[[#This Row],[Month]]&lt;10,3,4)))</f>
        <v>3</v>
      </c>
      <c r="L2430">
        <f>IFERROR(IF(VLOOKUP(calendar[[#This Row],[Date]],BH!A:A,1,)&lt;&gt;"",1,0),0)</f>
        <v>0</v>
      </c>
      <c r="M2430">
        <f>IFERROR(IF(VLOOKUP(calendar[[#This Row],[Date]],BH!C:C,1,)&lt;&gt;"",1,0),0)</f>
        <v>0</v>
      </c>
      <c r="N2430">
        <f>IFERROR(IF(VLOOKUP(calendar[[#This Row],[Date]],BH!E:E,1,)&lt;&gt;"",1,0),0)</f>
        <v>0</v>
      </c>
      <c r="O2430">
        <f>IFERROR(IF(VLOOKUP(calendar[[#This Row],[Date]],BH!G:G,1,)&lt;&gt;"",1,0),0)</f>
        <v>0</v>
      </c>
      <c r="P2430">
        <f>IF(OR(calendar[[#This Row],[UK_BH]]=1,calendar[[#This Row],[WeekDay]]=1, calendar[[#This Row],[WeekDay]]=7),P2429,P2429+1)</f>
        <v>1735</v>
      </c>
      <c r="Q2430">
        <f>IF(OR(calendar[[#This Row],[FR_BH]]=1,calendar[[#This Row],[WeekDay]]=1, calendar[[#This Row],[WeekDay]]=7),P2429,P2429+1)</f>
        <v>1735</v>
      </c>
      <c r="R2430">
        <f>IF(OR(calendar[[#This Row],[SP_BH]]=1,calendar[[#This Row],[WeekDay]]=1, calendar[[#This Row],[WeekDay]]=7),P2429,P2429+1)</f>
        <v>1735</v>
      </c>
      <c r="S2430">
        <f>IF(OR(calendar[[#This Row],[PT_BH]]=1,calendar[[#This Row],[WeekDay]]=1, calendar[[#This Row],[WeekDay]]=7),P2429,P2429+1)</f>
        <v>1735</v>
      </c>
    </row>
    <row r="2431" spans="1:19" x14ac:dyDescent="0.25">
      <c r="A2431" s="2">
        <v>45165</v>
      </c>
      <c r="B2431" s="1">
        <f t="shared" si="188"/>
        <v>35</v>
      </c>
      <c r="C2431">
        <f t="shared" si="190"/>
        <v>8</v>
      </c>
      <c r="D2431" t="str">
        <f t="shared" si="191"/>
        <v>August</v>
      </c>
      <c r="E2431">
        <f t="shared" si="192"/>
        <v>2023</v>
      </c>
      <c r="F2431" t="str">
        <f>CONCATENATE(calendar[[#This Row],[Month]],"/",calendar[[#This Row],[Year]])</f>
        <v>8/2023</v>
      </c>
      <c r="G2431">
        <f>WEEKDAY(calendar[[#This Row],[Date]],1)</f>
        <v>1</v>
      </c>
      <c r="H2431" t="str">
        <f>TEXT(calendar[[#This Row],[WeekDay]],"dddd")</f>
        <v>Sunday</v>
      </c>
      <c r="I2431">
        <f>IF((INT(calendar[[#This Row],[Count]]/7)-calendar[[#This Row],[Count]]/7)&lt;0,I2430,I2430+1)</f>
        <v>348</v>
      </c>
      <c r="J2431">
        <f t="shared" si="189"/>
        <v>2429</v>
      </c>
      <c r="K2431">
        <f>IF(calendar[[#This Row],[Month]]&lt;4,1,IF(calendar[[#This Row],[Month]]&lt;7,2,IF(calendar[[#This Row],[Month]]&lt;10,3,4)))</f>
        <v>3</v>
      </c>
      <c r="L2431">
        <f>IFERROR(IF(VLOOKUP(calendar[[#This Row],[Date]],BH!A:A,1,)&lt;&gt;"",1,0),0)</f>
        <v>0</v>
      </c>
      <c r="M2431">
        <f>IFERROR(IF(VLOOKUP(calendar[[#This Row],[Date]],BH!C:C,1,)&lt;&gt;"",1,0),0)</f>
        <v>0</v>
      </c>
      <c r="N2431">
        <f>IFERROR(IF(VLOOKUP(calendar[[#This Row],[Date]],BH!E:E,1,)&lt;&gt;"",1,0),0)</f>
        <v>0</v>
      </c>
      <c r="O2431">
        <f>IFERROR(IF(VLOOKUP(calendar[[#This Row],[Date]],BH!G:G,1,)&lt;&gt;"",1,0),0)</f>
        <v>0</v>
      </c>
      <c r="P2431">
        <f>IF(OR(calendar[[#This Row],[UK_BH]]=1,calendar[[#This Row],[WeekDay]]=1, calendar[[#This Row],[WeekDay]]=7),P2430,P2430+1)</f>
        <v>1735</v>
      </c>
      <c r="Q2431">
        <f>IF(OR(calendar[[#This Row],[FR_BH]]=1,calendar[[#This Row],[WeekDay]]=1, calendar[[#This Row],[WeekDay]]=7),P2430,P2430+1)</f>
        <v>1735</v>
      </c>
      <c r="R2431">
        <f>IF(OR(calendar[[#This Row],[SP_BH]]=1,calendar[[#This Row],[WeekDay]]=1, calendar[[#This Row],[WeekDay]]=7),P2430,P2430+1)</f>
        <v>1735</v>
      </c>
      <c r="S2431">
        <f>IF(OR(calendar[[#This Row],[PT_BH]]=1,calendar[[#This Row],[WeekDay]]=1, calendar[[#This Row],[WeekDay]]=7),P2430,P2430+1)</f>
        <v>1735</v>
      </c>
    </row>
    <row r="2432" spans="1:19" x14ac:dyDescent="0.25">
      <c r="A2432" s="2">
        <v>45166</v>
      </c>
      <c r="B2432" s="1">
        <f t="shared" si="188"/>
        <v>35</v>
      </c>
      <c r="C2432">
        <f t="shared" si="190"/>
        <v>8</v>
      </c>
      <c r="D2432" t="str">
        <f t="shared" si="191"/>
        <v>August</v>
      </c>
      <c r="E2432">
        <f t="shared" si="192"/>
        <v>2023</v>
      </c>
      <c r="F2432" t="str">
        <f>CONCATENATE(calendar[[#This Row],[Month]],"/",calendar[[#This Row],[Year]])</f>
        <v>8/2023</v>
      </c>
      <c r="G2432">
        <f>WEEKDAY(calendar[[#This Row],[Date]],1)</f>
        <v>2</v>
      </c>
      <c r="H2432" t="str">
        <f>TEXT(calendar[[#This Row],[WeekDay]],"dddd")</f>
        <v>Monday</v>
      </c>
      <c r="I2432">
        <f>IF((INT(calendar[[#This Row],[Count]]/7)-calendar[[#This Row],[Count]]/7)&lt;0,I2431,I2431+1)</f>
        <v>348</v>
      </c>
      <c r="J2432">
        <f t="shared" si="189"/>
        <v>2430</v>
      </c>
      <c r="K2432">
        <f>IF(calendar[[#This Row],[Month]]&lt;4,1,IF(calendar[[#This Row],[Month]]&lt;7,2,IF(calendar[[#This Row],[Month]]&lt;10,3,4)))</f>
        <v>3</v>
      </c>
      <c r="L2432">
        <f>IFERROR(IF(VLOOKUP(calendar[[#This Row],[Date]],BH!A:A,1,)&lt;&gt;"",1,0),0)</f>
        <v>0</v>
      </c>
      <c r="M2432">
        <f>IFERROR(IF(VLOOKUP(calendar[[#This Row],[Date]],BH!C:C,1,)&lt;&gt;"",1,0),0)</f>
        <v>0</v>
      </c>
      <c r="N2432">
        <f>IFERROR(IF(VLOOKUP(calendar[[#This Row],[Date]],BH!E:E,1,)&lt;&gt;"",1,0),0)</f>
        <v>0</v>
      </c>
      <c r="O2432">
        <f>IFERROR(IF(VLOOKUP(calendar[[#This Row],[Date]],BH!G:G,1,)&lt;&gt;"",1,0),0)</f>
        <v>0</v>
      </c>
      <c r="P2432">
        <f>IF(OR(calendar[[#This Row],[UK_BH]]=1,calendar[[#This Row],[WeekDay]]=1, calendar[[#This Row],[WeekDay]]=7),P2431,P2431+1)</f>
        <v>1736</v>
      </c>
      <c r="Q2432">
        <f>IF(OR(calendar[[#This Row],[FR_BH]]=1,calendar[[#This Row],[WeekDay]]=1, calendar[[#This Row],[WeekDay]]=7),P2431,P2431+1)</f>
        <v>1736</v>
      </c>
      <c r="R2432">
        <f>IF(OR(calendar[[#This Row],[SP_BH]]=1,calendar[[#This Row],[WeekDay]]=1, calendar[[#This Row],[WeekDay]]=7),P2431,P2431+1)</f>
        <v>1736</v>
      </c>
      <c r="S2432">
        <f>IF(OR(calendar[[#This Row],[PT_BH]]=1,calendar[[#This Row],[WeekDay]]=1, calendar[[#This Row],[WeekDay]]=7),P2431,P2431+1)</f>
        <v>1736</v>
      </c>
    </row>
    <row r="2433" spans="1:19" x14ac:dyDescent="0.25">
      <c r="A2433" s="2">
        <v>45167</v>
      </c>
      <c r="B2433" s="1">
        <f t="shared" si="188"/>
        <v>35</v>
      </c>
      <c r="C2433">
        <f t="shared" si="190"/>
        <v>8</v>
      </c>
      <c r="D2433" t="str">
        <f t="shared" si="191"/>
        <v>August</v>
      </c>
      <c r="E2433">
        <f t="shared" si="192"/>
        <v>2023</v>
      </c>
      <c r="F2433" t="str">
        <f>CONCATENATE(calendar[[#This Row],[Month]],"/",calendar[[#This Row],[Year]])</f>
        <v>8/2023</v>
      </c>
      <c r="G2433">
        <f>WEEKDAY(calendar[[#This Row],[Date]],1)</f>
        <v>3</v>
      </c>
      <c r="H2433" t="str">
        <f>TEXT(calendar[[#This Row],[WeekDay]],"dddd")</f>
        <v>Tuesday</v>
      </c>
      <c r="I2433">
        <f>IF((INT(calendar[[#This Row],[Count]]/7)-calendar[[#This Row],[Count]]/7)&lt;0,I2432,I2432+1)</f>
        <v>348</v>
      </c>
      <c r="J2433">
        <f t="shared" si="189"/>
        <v>2431</v>
      </c>
      <c r="K2433">
        <f>IF(calendar[[#This Row],[Month]]&lt;4,1,IF(calendar[[#This Row],[Month]]&lt;7,2,IF(calendar[[#This Row],[Month]]&lt;10,3,4)))</f>
        <v>3</v>
      </c>
      <c r="L2433">
        <f>IFERROR(IF(VLOOKUP(calendar[[#This Row],[Date]],BH!A:A,1,)&lt;&gt;"",1,0),0)</f>
        <v>0</v>
      </c>
      <c r="M2433">
        <f>IFERROR(IF(VLOOKUP(calendar[[#This Row],[Date]],BH!C:C,1,)&lt;&gt;"",1,0),0)</f>
        <v>0</v>
      </c>
      <c r="N2433">
        <f>IFERROR(IF(VLOOKUP(calendar[[#This Row],[Date]],BH!E:E,1,)&lt;&gt;"",1,0),0)</f>
        <v>0</v>
      </c>
      <c r="O2433">
        <f>IFERROR(IF(VLOOKUP(calendar[[#This Row],[Date]],BH!G:G,1,)&lt;&gt;"",1,0),0)</f>
        <v>0</v>
      </c>
      <c r="P2433">
        <f>IF(OR(calendar[[#This Row],[UK_BH]]=1,calendar[[#This Row],[WeekDay]]=1, calendar[[#This Row],[WeekDay]]=7),P2432,P2432+1)</f>
        <v>1737</v>
      </c>
      <c r="Q2433">
        <f>IF(OR(calendar[[#This Row],[FR_BH]]=1,calendar[[#This Row],[WeekDay]]=1, calendar[[#This Row],[WeekDay]]=7),P2432,P2432+1)</f>
        <v>1737</v>
      </c>
      <c r="R2433">
        <f>IF(OR(calendar[[#This Row],[SP_BH]]=1,calendar[[#This Row],[WeekDay]]=1, calendar[[#This Row],[WeekDay]]=7),P2432,P2432+1)</f>
        <v>1737</v>
      </c>
      <c r="S2433">
        <f>IF(OR(calendar[[#This Row],[PT_BH]]=1,calendar[[#This Row],[WeekDay]]=1, calendar[[#This Row],[WeekDay]]=7),P2432,P2432+1)</f>
        <v>1737</v>
      </c>
    </row>
    <row r="2434" spans="1:19" x14ac:dyDescent="0.25">
      <c r="A2434" s="2">
        <v>45168</v>
      </c>
      <c r="B2434" s="1">
        <f t="shared" ref="B2434:B2497" si="193">WEEKNUM(A2434)</f>
        <v>35</v>
      </c>
      <c r="C2434">
        <f t="shared" si="190"/>
        <v>8</v>
      </c>
      <c r="D2434" t="str">
        <f t="shared" si="191"/>
        <v>August</v>
      </c>
      <c r="E2434">
        <f t="shared" si="192"/>
        <v>2023</v>
      </c>
      <c r="F2434" t="str">
        <f>CONCATENATE(calendar[[#This Row],[Month]],"/",calendar[[#This Row],[Year]])</f>
        <v>8/2023</v>
      </c>
      <c r="G2434">
        <f>WEEKDAY(calendar[[#This Row],[Date]],1)</f>
        <v>4</v>
      </c>
      <c r="H2434" t="str">
        <f>TEXT(calendar[[#This Row],[WeekDay]],"dddd")</f>
        <v>Wednesday</v>
      </c>
      <c r="I2434">
        <f>IF((INT(calendar[[#This Row],[Count]]/7)-calendar[[#This Row],[Count]]/7)&lt;0,I2433,I2433+1)</f>
        <v>348</v>
      </c>
      <c r="J2434">
        <f t="shared" si="189"/>
        <v>2432</v>
      </c>
      <c r="K2434">
        <f>IF(calendar[[#This Row],[Month]]&lt;4,1,IF(calendar[[#This Row],[Month]]&lt;7,2,IF(calendar[[#This Row],[Month]]&lt;10,3,4)))</f>
        <v>3</v>
      </c>
      <c r="L2434">
        <f>IFERROR(IF(VLOOKUP(calendar[[#This Row],[Date]],BH!A:A,1,)&lt;&gt;"",1,0),0)</f>
        <v>0</v>
      </c>
      <c r="M2434">
        <f>IFERROR(IF(VLOOKUP(calendar[[#This Row],[Date]],BH!C:C,1,)&lt;&gt;"",1,0),0)</f>
        <v>0</v>
      </c>
      <c r="N2434">
        <f>IFERROR(IF(VLOOKUP(calendar[[#This Row],[Date]],BH!E:E,1,)&lt;&gt;"",1,0),0)</f>
        <v>0</v>
      </c>
      <c r="O2434">
        <f>IFERROR(IF(VLOOKUP(calendar[[#This Row],[Date]],BH!G:G,1,)&lt;&gt;"",1,0),0)</f>
        <v>0</v>
      </c>
      <c r="P2434">
        <f>IF(OR(calendar[[#This Row],[UK_BH]]=1,calendar[[#This Row],[WeekDay]]=1, calendar[[#This Row],[WeekDay]]=7),P2433,P2433+1)</f>
        <v>1738</v>
      </c>
      <c r="Q2434">
        <f>IF(OR(calendar[[#This Row],[FR_BH]]=1,calendar[[#This Row],[WeekDay]]=1, calendar[[#This Row],[WeekDay]]=7),P2433,P2433+1)</f>
        <v>1738</v>
      </c>
      <c r="R2434">
        <f>IF(OR(calendar[[#This Row],[SP_BH]]=1,calendar[[#This Row],[WeekDay]]=1, calendar[[#This Row],[WeekDay]]=7),P2433,P2433+1)</f>
        <v>1738</v>
      </c>
      <c r="S2434">
        <f>IF(OR(calendar[[#This Row],[PT_BH]]=1,calendar[[#This Row],[WeekDay]]=1, calendar[[#This Row],[WeekDay]]=7),P2433,P2433+1)</f>
        <v>1738</v>
      </c>
    </row>
    <row r="2435" spans="1:19" x14ac:dyDescent="0.25">
      <c r="A2435" s="2">
        <v>45169</v>
      </c>
      <c r="B2435" s="1">
        <f t="shared" si="193"/>
        <v>35</v>
      </c>
      <c r="C2435">
        <f t="shared" si="190"/>
        <v>8</v>
      </c>
      <c r="D2435" t="str">
        <f t="shared" si="191"/>
        <v>August</v>
      </c>
      <c r="E2435">
        <f t="shared" si="192"/>
        <v>2023</v>
      </c>
      <c r="F2435" t="str">
        <f>CONCATENATE(calendar[[#This Row],[Month]],"/",calendar[[#This Row],[Year]])</f>
        <v>8/2023</v>
      </c>
      <c r="G2435">
        <f>WEEKDAY(calendar[[#This Row],[Date]],1)</f>
        <v>5</v>
      </c>
      <c r="H2435" t="str">
        <f>TEXT(calendar[[#This Row],[WeekDay]],"dddd")</f>
        <v>Thursday</v>
      </c>
      <c r="I2435">
        <f>IF((INT(calendar[[#This Row],[Count]]/7)-calendar[[#This Row],[Count]]/7)&lt;0,I2434,I2434+1)</f>
        <v>348</v>
      </c>
      <c r="J2435">
        <f t="shared" ref="J2435:J2498" si="194">J2434+1</f>
        <v>2433</v>
      </c>
      <c r="K2435">
        <f>IF(calendar[[#This Row],[Month]]&lt;4,1,IF(calendar[[#This Row],[Month]]&lt;7,2,IF(calendar[[#This Row],[Month]]&lt;10,3,4)))</f>
        <v>3</v>
      </c>
      <c r="L2435">
        <f>IFERROR(IF(VLOOKUP(calendar[[#This Row],[Date]],BH!A:A,1,)&lt;&gt;"",1,0),0)</f>
        <v>0</v>
      </c>
      <c r="M2435">
        <f>IFERROR(IF(VLOOKUP(calendar[[#This Row],[Date]],BH!C:C,1,)&lt;&gt;"",1,0),0)</f>
        <v>0</v>
      </c>
      <c r="N2435">
        <f>IFERROR(IF(VLOOKUP(calendar[[#This Row],[Date]],BH!E:E,1,)&lt;&gt;"",1,0),0)</f>
        <v>0</v>
      </c>
      <c r="O2435">
        <f>IFERROR(IF(VLOOKUP(calendar[[#This Row],[Date]],BH!G:G,1,)&lt;&gt;"",1,0),0)</f>
        <v>0</v>
      </c>
      <c r="P2435">
        <f>IF(OR(calendar[[#This Row],[UK_BH]]=1,calendar[[#This Row],[WeekDay]]=1, calendar[[#This Row],[WeekDay]]=7),P2434,P2434+1)</f>
        <v>1739</v>
      </c>
      <c r="Q2435">
        <f>IF(OR(calendar[[#This Row],[FR_BH]]=1,calendar[[#This Row],[WeekDay]]=1, calendar[[#This Row],[WeekDay]]=7),P2434,P2434+1)</f>
        <v>1739</v>
      </c>
      <c r="R2435">
        <f>IF(OR(calendar[[#This Row],[SP_BH]]=1,calendar[[#This Row],[WeekDay]]=1, calendar[[#This Row],[WeekDay]]=7),P2434,P2434+1)</f>
        <v>1739</v>
      </c>
      <c r="S2435">
        <f>IF(OR(calendar[[#This Row],[PT_BH]]=1,calendar[[#This Row],[WeekDay]]=1, calendar[[#This Row],[WeekDay]]=7),P2434,P2434+1)</f>
        <v>1739</v>
      </c>
    </row>
    <row r="2436" spans="1:19" x14ac:dyDescent="0.25">
      <c r="A2436" s="2">
        <v>45170</v>
      </c>
      <c r="B2436" s="1">
        <f t="shared" si="193"/>
        <v>35</v>
      </c>
      <c r="C2436">
        <f t="shared" si="190"/>
        <v>9</v>
      </c>
      <c r="D2436" t="str">
        <f t="shared" si="191"/>
        <v>September</v>
      </c>
      <c r="E2436">
        <f t="shared" si="192"/>
        <v>2023</v>
      </c>
      <c r="F2436" t="str">
        <f>CONCATENATE(calendar[[#This Row],[Month]],"/",calendar[[#This Row],[Year]])</f>
        <v>9/2023</v>
      </c>
      <c r="G2436">
        <f>WEEKDAY(calendar[[#This Row],[Date]],1)</f>
        <v>6</v>
      </c>
      <c r="H2436" t="str">
        <f>TEXT(calendar[[#This Row],[WeekDay]],"dddd")</f>
        <v>Friday</v>
      </c>
      <c r="I2436">
        <f>IF((INT(calendar[[#This Row],[Count]]/7)-calendar[[#This Row],[Count]]/7)&lt;0,I2435,I2435+1)</f>
        <v>348</v>
      </c>
      <c r="J2436">
        <f t="shared" si="194"/>
        <v>2434</v>
      </c>
      <c r="K2436">
        <f>IF(calendar[[#This Row],[Month]]&lt;4,1,IF(calendar[[#This Row],[Month]]&lt;7,2,IF(calendar[[#This Row],[Month]]&lt;10,3,4)))</f>
        <v>3</v>
      </c>
      <c r="L2436">
        <f>IFERROR(IF(VLOOKUP(calendar[[#This Row],[Date]],BH!A:A,1,)&lt;&gt;"",1,0),0)</f>
        <v>0</v>
      </c>
      <c r="M2436">
        <f>IFERROR(IF(VLOOKUP(calendar[[#This Row],[Date]],BH!C:C,1,)&lt;&gt;"",1,0),0)</f>
        <v>0</v>
      </c>
      <c r="N2436">
        <f>IFERROR(IF(VLOOKUP(calendar[[#This Row],[Date]],BH!E:E,1,)&lt;&gt;"",1,0),0)</f>
        <v>0</v>
      </c>
      <c r="O2436">
        <f>IFERROR(IF(VLOOKUP(calendar[[#This Row],[Date]],BH!G:G,1,)&lt;&gt;"",1,0),0)</f>
        <v>0</v>
      </c>
      <c r="P2436">
        <f>IF(OR(calendar[[#This Row],[UK_BH]]=1,calendar[[#This Row],[WeekDay]]=1, calendar[[#This Row],[WeekDay]]=7),P2435,P2435+1)</f>
        <v>1740</v>
      </c>
      <c r="Q2436">
        <f>IF(OR(calendar[[#This Row],[FR_BH]]=1,calendar[[#This Row],[WeekDay]]=1, calendar[[#This Row],[WeekDay]]=7),P2435,P2435+1)</f>
        <v>1740</v>
      </c>
      <c r="R2436">
        <f>IF(OR(calendar[[#This Row],[SP_BH]]=1,calendar[[#This Row],[WeekDay]]=1, calendar[[#This Row],[WeekDay]]=7),P2435,P2435+1)</f>
        <v>1740</v>
      </c>
      <c r="S2436">
        <f>IF(OR(calendar[[#This Row],[PT_BH]]=1,calendar[[#This Row],[WeekDay]]=1, calendar[[#This Row],[WeekDay]]=7),P2435,P2435+1)</f>
        <v>1740</v>
      </c>
    </row>
    <row r="2437" spans="1:19" x14ac:dyDescent="0.25">
      <c r="A2437" s="2">
        <v>45171</v>
      </c>
      <c r="B2437" s="1">
        <f t="shared" si="193"/>
        <v>35</v>
      </c>
      <c r="C2437">
        <f t="shared" si="190"/>
        <v>9</v>
      </c>
      <c r="D2437" t="str">
        <f t="shared" si="191"/>
        <v>September</v>
      </c>
      <c r="E2437">
        <f t="shared" si="192"/>
        <v>2023</v>
      </c>
      <c r="F2437" t="str">
        <f>CONCATENATE(calendar[[#This Row],[Month]],"/",calendar[[#This Row],[Year]])</f>
        <v>9/2023</v>
      </c>
      <c r="G2437">
        <f>WEEKDAY(calendar[[#This Row],[Date]],1)</f>
        <v>7</v>
      </c>
      <c r="H2437" t="str">
        <f>TEXT(calendar[[#This Row],[WeekDay]],"dddd")</f>
        <v>Saturday</v>
      </c>
      <c r="I2437">
        <f>IF((INT(calendar[[#This Row],[Count]]/7)-calendar[[#This Row],[Count]]/7)&lt;0,I2436,I2436+1)</f>
        <v>348</v>
      </c>
      <c r="J2437">
        <f t="shared" si="194"/>
        <v>2435</v>
      </c>
      <c r="K2437">
        <f>IF(calendar[[#This Row],[Month]]&lt;4,1,IF(calendar[[#This Row],[Month]]&lt;7,2,IF(calendar[[#This Row],[Month]]&lt;10,3,4)))</f>
        <v>3</v>
      </c>
      <c r="L2437">
        <f>IFERROR(IF(VLOOKUP(calendar[[#This Row],[Date]],BH!A:A,1,)&lt;&gt;"",1,0),0)</f>
        <v>0</v>
      </c>
      <c r="M2437">
        <f>IFERROR(IF(VLOOKUP(calendar[[#This Row],[Date]],BH!C:C,1,)&lt;&gt;"",1,0),0)</f>
        <v>0</v>
      </c>
      <c r="N2437">
        <f>IFERROR(IF(VLOOKUP(calendar[[#This Row],[Date]],BH!E:E,1,)&lt;&gt;"",1,0),0)</f>
        <v>0</v>
      </c>
      <c r="O2437">
        <f>IFERROR(IF(VLOOKUP(calendar[[#This Row],[Date]],BH!G:G,1,)&lt;&gt;"",1,0),0)</f>
        <v>0</v>
      </c>
      <c r="P2437">
        <f>IF(OR(calendar[[#This Row],[UK_BH]]=1,calendar[[#This Row],[WeekDay]]=1, calendar[[#This Row],[WeekDay]]=7),P2436,P2436+1)</f>
        <v>1740</v>
      </c>
      <c r="Q2437">
        <f>IF(OR(calendar[[#This Row],[FR_BH]]=1,calendar[[#This Row],[WeekDay]]=1, calendar[[#This Row],[WeekDay]]=7),P2436,P2436+1)</f>
        <v>1740</v>
      </c>
      <c r="R2437">
        <f>IF(OR(calendar[[#This Row],[SP_BH]]=1,calendar[[#This Row],[WeekDay]]=1, calendar[[#This Row],[WeekDay]]=7),P2436,P2436+1)</f>
        <v>1740</v>
      </c>
      <c r="S2437">
        <f>IF(OR(calendar[[#This Row],[PT_BH]]=1,calendar[[#This Row],[WeekDay]]=1, calendar[[#This Row],[WeekDay]]=7),P2436,P2436+1)</f>
        <v>1740</v>
      </c>
    </row>
    <row r="2438" spans="1:19" x14ac:dyDescent="0.25">
      <c r="A2438" s="2">
        <v>45172</v>
      </c>
      <c r="B2438" s="1">
        <f t="shared" si="193"/>
        <v>36</v>
      </c>
      <c r="C2438">
        <f t="shared" si="190"/>
        <v>9</v>
      </c>
      <c r="D2438" t="str">
        <f t="shared" si="191"/>
        <v>September</v>
      </c>
      <c r="E2438">
        <f t="shared" si="192"/>
        <v>2023</v>
      </c>
      <c r="F2438" t="str">
        <f>CONCATENATE(calendar[[#This Row],[Month]],"/",calendar[[#This Row],[Year]])</f>
        <v>9/2023</v>
      </c>
      <c r="G2438">
        <f>WEEKDAY(calendar[[#This Row],[Date]],1)</f>
        <v>1</v>
      </c>
      <c r="H2438" t="str">
        <f>TEXT(calendar[[#This Row],[WeekDay]],"dddd")</f>
        <v>Sunday</v>
      </c>
      <c r="I2438">
        <f>IF((INT(calendar[[#This Row],[Count]]/7)-calendar[[#This Row],[Count]]/7)&lt;0,I2437,I2437+1)</f>
        <v>349</v>
      </c>
      <c r="J2438">
        <f t="shared" si="194"/>
        <v>2436</v>
      </c>
      <c r="K2438">
        <f>IF(calendar[[#This Row],[Month]]&lt;4,1,IF(calendar[[#This Row],[Month]]&lt;7,2,IF(calendar[[#This Row],[Month]]&lt;10,3,4)))</f>
        <v>3</v>
      </c>
      <c r="L2438">
        <f>IFERROR(IF(VLOOKUP(calendar[[#This Row],[Date]],BH!A:A,1,)&lt;&gt;"",1,0),0)</f>
        <v>0</v>
      </c>
      <c r="M2438">
        <f>IFERROR(IF(VLOOKUP(calendar[[#This Row],[Date]],BH!C:C,1,)&lt;&gt;"",1,0),0)</f>
        <v>0</v>
      </c>
      <c r="N2438">
        <f>IFERROR(IF(VLOOKUP(calendar[[#This Row],[Date]],BH!E:E,1,)&lt;&gt;"",1,0),0)</f>
        <v>0</v>
      </c>
      <c r="O2438">
        <f>IFERROR(IF(VLOOKUP(calendar[[#This Row],[Date]],BH!G:G,1,)&lt;&gt;"",1,0),0)</f>
        <v>0</v>
      </c>
      <c r="P2438">
        <f>IF(OR(calendar[[#This Row],[UK_BH]]=1,calendar[[#This Row],[WeekDay]]=1, calendar[[#This Row],[WeekDay]]=7),P2437,P2437+1)</f>
        <v>1740</v>
      </c>
      <c r="Q2438">
        <f>IF(OR(calendar[[#This Row],[FR_BH]]=1,calendar[[#This Row],[WeekDay]]=1, calendar[[#This Row],[WeekDay]]=7),P2437,P2437+1)</f>
        <v>1740</v>
      </c>
      <c r="R2438">
        <f>IF(OR(calendar[[#This Row],[SP_BH]]=1,calendar[[#This Row],[WeekDay]]=1, calendar[[#This Row],[WeekDay]]=7),P2437,P2437+1)</f>
        <v>1740</v>
      </c>
      <c r="S2438">
        <f>IF(OR(calendar[[#This Row],[PT_BH]]=1,calendar[[#This Row],[WeekDay]]=1, calendar[[#This Row],[WeekDay]]=7),P2437,P2437+1)</f>
        <v>1740</v>
      </c>
    </row>
    <row r="2439" spans="1:19" x14ac:dyDescent="0.25">
      <c r="A2439" s="2">
        <v>45173</v>
      </c>
      <c r="B2439" s="1">
        <f t="shared" si="193"/>
        <v>36</v>
      </c>
      <c r="C2439">
        <f t="shared" si="190"/>
        <v>9</v>
      </c>
      <c r="D2439" t="str">
        <f t="shared" si="191"/>
        <v>September</v>
      </c>
      <c r="E2439">
        <f t="shared" si="192"/>
        <v>2023</v>
      </c>
      <c r="F2439" t="str">
        <f>CONCATENATE(calendar[[#This Row],[Month]],"/",calendar[[#This Row],[Year]])</f>
        <v>9/2023</v>
      </c>
      <c r="G2439">
        <f>WEEKDAY(calendar[[#This Row],[Date]],1)</f>
        <v>2</v>
      </c>
      <c r="H2439" t="str">
        <f>TEXT(calendar[[#This Row],[WeekDay]],"dddd")</f>
        <v>Monday</v>
      </c>
      <c r="I2439">
        <f>IF((INT(calendar[[#This Row],[Count]]/7)-calendar[[#This Row],[Count]]/7)&lt;0,I2438,I2438+1)</f>
        <v>349</v>
      </c>
      <c r="J2439">
        <f t="shared" si="194"/>
        <v>2437</v>
      </c>
      <c r="K2439">
        <f>IF(calendar[[#This Row],[Month]]&lt;4,1,IF(calendar[[#This Row],[Month]]&lt;7,2,IF(calendar[[#This Row],[Month]]&lt;10,3,4)))</f>
        <v>3</v>
      </c>
      <c r="L2439">
        <f>IFERROR(IF(VLOOKUP(calendar[[#This Row],[Date]],BH!A:A,1,)&lt;&gt;"",1,0),0)</f>
        <v>0</v>
      </c>
      <c r="M2439">
        <f>IFERROR(IF(VLOOKUP(calendar[[#This Row],[Date]],BH!C:C,1,)&lt;&gt;"",1,0),0)</f>
        <v>0</v>
      </c>
      <c r="N2439">
        <f>IFERROR(IF(VLOOKUP(calendar[[#This Row],[Date]],BH!E:E,1,)&lt;&gt;"",1,0),0)</f>
        <v>0</v>
      </c>
      <c r="O2439">
        <f>IFERROR(IF(VLOOKUP(calendar[[#This Row],[Date]],BH!G:G,1,)&lt;&gt;"",1,0),0)</f>
        <v>0</v>
      </c>
      <c r="P2439">
        <f>IF(OR(calendar[[#This Row],[UK_BH]]=1,calendar[[#This Row],[WeekDay]]=1, calendar[[#This Row],[WeekDay]]=7),P2438,P2438+1)</f>
        <v>1741</v>
      </c>
      <c r="Q2439">
        <f>IF(OR(calendar[[#This Row],[FR_BH]]=1,calendar[[#This Row],[WeekDay]]=1, calendar[[#This Row],[WeekDay]]=7),P2438,P2438+1)</f>
        <v>1741</v>
      </c>
      <c r="R2439">
        <f>IF(OR(calendar[[#This Row],[SP_BH]]=1,calendar[[#This Row],[WeekDay]]=1, calendar[[#This Row],[WeekDay]]=7),P2438,P2438+1)</f>
        <v>1741</v>
      </c>
      <c r="S2439">
        <f>IF(OR(calendar[[#This Row],[PT_BH]]=1,calendar[[#This Row],[WeekDay]]=1, calendar[[#This Row],[WeekDay]]=7),P2438,P2438+1)</f>
        <v>1741</v>
      </c>
    </row>
    <row r="2440" spans="1:19" x14ac:dyDescent="0.25">
      <c r="A2440" s="2">
        <v>45174</v>
      </c>
      <c r="B2440" s="1">
        <f t="shared" si="193"/>
        <v>36</v>
      </c>
      <c r="C2440">
        <f t="shared" si="190"/>
        <v>9</v>
      </c>
      <c r="D2440" t="str">
        <f t="shared" si="191"/>
        <v>September</v>
      </c>
      <c r="E2440">
        <f t="shared" si="192"/>
        <v>2023</v>
      </c>
      <c r="F2440" t="str">
        <f>CONCATENATE(calendar[[#This Row],[Month]],"/",calendar[[#This Row],[Year]])</f>
        <v>9/2023</v>
      </c>
      <c r="G2440">
        <f>WEEKDAY(calendar[[#This Row],[Date]],1)</f>
        <v>3</v>
      </c>
      <c r="H2440" t="str">
        <f>TEXT(calendar[[#This Row],[WeekDay]],"dddd")</f>
        <v>Tuesday</v>
      </c>
      <c r="I2440">
        <f>IF((INT(calendar[[#This Row],[Count]]/7)-calendar[[#This Row],[Count]]/7)&lt;0,I2439,I2439+1)</f>
        <v>349</v>
      </c>
      <c r="J2440">
        <f t="shared" si="194"/>
        <v>2438</v>
      </c>
      <c r="K2440">
        <f>IF(calendar[[#This Row],[Month]]&lt;4,1,IF(calendar[[#This Row],[Month]]&lt;7,2,IF(calendar[[#This Row],[Month]]&lt;10,3,4)))</f>
        <v>3</v>
      </c>
      <c r="L2440">
        <f>IFERROR(IF(VLOOKUP(calendar[[#This Row],[Date]],BH!A:A,1,)&lt;&gt;"",1,0),0)</f>
        <v>0</v>
      </c>
      <c r="M2440">
        <f>IFERROR(IF(VLOOKUP(calendar[[#This Row],[Date]],BH!C:C,1,)&lt;&gt;"",1,0),0)</f>
        <v>0</v>
      </c>
      <c r="N2440">
        <f>IFERROR(IF(VLOOKUP(calendar[[#This Row],[Date]],BH!E:E,1,)&lt;&gt;"",1,0),0)</f>
        <v>0</v>
      </c>
      <c r="O2440">
        <f>IFERROR(IF(VLOOKUP(calendar[[#This Row],[Date]],BH!G:G,1,)&lt;&gt;"",1,0),0)</f>
        <v>0</v>
      </c>
      <c r="P2440">
        <f>IF(OR(calendar[[#This Row],[UK_BH]]=1,calendar[[#This Row],[WeekDay]]=1, calendar[[#This Row],[WeekDay]]=7),P2439,P2439+1)</f>
        <v>1742</v>
      </c>
      <c r="Q2440">
        <f>IF(OR(calendar[[#This Row],[FR_BH]]=1,calendar[[#This Row],[WeekDay]]=1, calendar[[#This Row],[WeekDay]]=7),P2439,P2439+1)</f>
        <v>1742</v>
      </c>
      <c r="R2440">
        <f>IF(OR(calendar[[#This Row],[SP_BH]]=1,calendar[[#This Row],[WeekDay]]=1, calendar[[#This Row],[WeekDay]]=7),P2439,P2439+1)</f>
        <v>1742</v>
      </c>
      <c r="S2440">
        <f>IF(OR(calendar[[#This Row],[PT_BH]]=1,calendar[[#This Row],[WeekDay]]=1, calendar[[#This Row],[WeekDay]]=7),P2439,P2439+1)</f>
        <v>1742</v>
      </c>
    </row>
    <row r="2441" spans="1:19" x14ac:dyDescent="0.25">
      <c r="A2441" s="2">
        <v>45175</v>
      </c>
      <c r="B2441" s="1">
        <f t="shared" si="193"/>
        <v>36</v>
      </c>
      <c r="C2441">
        <f t="shared" si="190"/>
        <v>9</v>
      </c>
      <c r="D2441" t="str">
        <f t="shared" si="191"/>
        <v>September</v>
      </c>
      <c r="E2441">
        <f t="shared" si="192"/>
        <v>2023</v>
      </c>
      <c r="F2441" t="str">
        <f>CONCATENATE(calendar[[#This Row],[Month]],"/",calendar[[#This Row],[Year]])</f>
        <v>9/2023</v>
      </c>
      <c r="G2441">
        <f>WEEKDAY(calendar[[#This Row],[Date]],1)</f>
        <v>4</v>
      </c>
      <c r="H2441" t="str">
        <f>TEXT(calendar[[#This Row],[WeekDay]],"dddd")</f>
        <v>Wednesday</v>
      </c>
      <c r="I2441">
        <f>IF((INT(calendar[[#This Row],[Count]]/7)-calendar[[#This Row],[Count]]/7)&lt;0,I2440,I2440+1)</f>
        <v>349</v>
      </c>
      <c r="J2441">
        <f t="shared" si="194"/>
        <v>2439</v>
      </c>
      <c r="K2441">
        <f>IF(calendar[[#This Row],[Month]]&lt;4,1,IF(calendar[[#This Row],[Month]]&lt;7,2,IF(calendar[[#This Row],[Month]]&lt;10,3,4)))</f>
        <v>3</v>
      </c>
      <c r="L2441">
        <f>IFERROR(IF(VLOOKUP(calendar[[#This Row],[Date]],BH!A:A,1,)&lt;&gt;"",1,0),0)</f>
        <v>0</v>
      </c>
      <c r="M2441">
        <f>IFERROR(IF(VLOOKUP(calendar[[#This Row],[Date]],BH!C:C,1,)&lt;&gt;"",1,0),0)</f>
        <v>0</v>
      </c>
      <c r="N2441">
        <f>IFERROR(IF(VLOOKUP(calendar[[#This Row],[Date]],BH!E:E,1,)&lt;&gt;"",1,0),0)</f>
        <v>0</v>
      </c>
      <c r="O2441">
        <f>IFERROR(IF(VLOOKUP(calendar[[#This Row],[Date]],BH!G:G,1,)&lt;&gt;"",1,0),0)</f>
        <v>0</v>
      </c>
      <c r="P2441">
        <f>IF(OR(calendar[[#This Row],[UK_BH]]=1,calendar[[#This Row],[WeekDay]]=1, calendar[[#This Row],[WeekDay]]=7),P2440,P2440+1)</f>
        <v>1743</v>
      </c>
      <c r="Q2441">
        <f>IF(OR(calendar[[#This Row],[FR_BH]]=1,calendar[[#This Row],[WeekDay]]=1, calendar[[#This Row],[WeekDay]]=7),P2440,P2440+1)</f>
        <v>1743</v>
      </c>
      <c r="R2441">
        <f>IF(OR(calendar[[#This Row],[SP_BH]]=1,calendar[[#This Row],[WeekDay]]=1, calendar[[#This Row],[WeekDay]]=7),P2440,P2440+1)</f>
        <v>1743</v>
      </c>
      <c r="S2441">
        <f>IF(OR(calendar[[#This Row],[PT_BH]]=1,calendar[[#This Row],[WeekDay]]=1, calendar[[#This Row],[WeekDay]]=7),P2440,P2440+1)</f>
        <v>1743</v>
      </c>
    </row>
    <row r="2442" spans="1:19" x14ac:dyDescent="0.25">
      <c r="A2442" s="2">
        <v>45176</v>
      </c>
      <c r="B2442" s="1">
        <f t="shared" si="193"/>
        <v>36</v>
      </c>
      <c r="C2442">
        <f t="shared" si="190"/>
        <v>9</v>
      </c>
      <c r="D2442" t="str">
        <f t="shared" si="191"/>
        <v>September</v>
      </c>
      <c r="E2442">
        <f t="shared" si="192"/>
        <v>2023</v>
      </c>
      <c r="F2442" t="str">
        <f>CONCATENATE(calendar[[#This Row],[Month]],"/",calendar[[#This Row],[Year]])</f>
        <v>9/2023</v>
      </c>
      <c r="G2442">
        <f>WEEKDAY(calendar[[#This Row],[Date]],1)</f>
        <v>5</v>
      </c>
      <c r="H2442" t="str">
        <f>TEXT(calendar[[#This Row],[WeekDay]],"dddd")</f>
        <v>Thursday</v>
      </c>
      <c r="I2442">
        <f>IF((INT(calendar[[#This Row],[Count]]/7)-calendar[[#This Row],[Count]]/7)&lt;0,I2441,I2441+1)</f>
        <v>349</v>
      </c>
      <c r="J2442">
        <f t="shared" si="194"/>
        <v>2440</v>
      </c>
      <c r="K2442">
        <f>IF(calendar[[#This Row],[Month]]&lt;4,1,IF(calendar[[#This Row],[Month]]&lt;7,2,IF(calendar[[#This Row],[Month]]&lt;10,3,4)))</f>
        <v>3</v>
      </c>
      <c r="L2442">
        <f>IFERROR(IF(VLOOKUP(calendar[[#This Row],[Date]],BH!A:A,1,)&lt;&gt;"",1,0),0)</f>
        <v>0</v>
      </c>
      <c r="M2442">
        <f>IFERROR(IF(VLOOKUP(calendar[[#This Row],[Date]],BH!C:C,1,)&lt;&gt;"",1,0),0)</f>
        <v>0</v>
      </c>
      <c r="N2442">
        <f>IFERROR(IF(VLOOKUP(calendar[[#This Row],[Date]],BH!E:E,1,)&lt;&gt;"",1,0),0)</f>
        <v>0</v>
      </c>
      <c r="O2442">
        <f>IFERROR(IF(VLOOKUP(calendar[[#This Row],[Date]],BH!G:G,1,)&lt;&gt;"",1,0),0)</f>
        <v>0</v>
      </c>
      <c r="P2442">
        <f>IF(OR(calendar[[#This Row],[UK_BH]]=1,calendar[[#This Row],[WeekDay]]=1, calendar[[#This Row],[WeekDay]]=7),P2441,P2441+1)</f>
        <v>1744</v>
      </c>
      <c r="Q2442">
        <f>IF(OR(calendar[[#This Row],[FR_BH]]=1,calendar[[#This Row],[WeekDay]]=1, calendar[[#This Row],[WeekDay]]=7),P2441,P2441+1)</f>
        <v>1744</v>
      </c>
      <c r="R2442">
        <f>IF(OR(calendar[[#This Row],[SP_BH]]=1,calendar[[#This Row],[WeekDay]]=1, calendar[[#This Row],[WeekDay]]=7),P2441,P2441+1)</f>
        <v>1744</v>
      </c>
      <c r="S2442">
        <f>IF(OR(calendar[[#This Row],[PT_BH]]=1,calendar[[#This Row],[WeekDay]]=1, calendar[[#This Row],[WeekDay]]=7),P2441,P2441+1)</f>
        <v>1744</v>
      </c>
    </row>
    <row r="2443" spans="1:19" x14ac:dyDescent="0.25">
      <c r="A2443" s="2">
        <v>45177</v>
      </c>
      <c r="B2443" s="1">
        <f t="shared" si="193"/>
        <v>36</v>
      </c>
      <c r="C2443">
        <f t="shared" si="190"/>
        <v>9</v>
      </c>
      <c r="D2443" t="str">
        <f t="shared" si="191"/>
        <v>September</v>
      </c>
      <c r="E2443">
        <f t="shared" si="192"/>
        <v>2023</v>
      </c>
      <c r="F2443" t="str">
        <f>CONCATENATE(calendar[[#This Row],[Month]],"/",calendar[[#This Row],[Year]])</f>
        <v>9/2023</v>
      </c>
      <c r="G2443">
        <f>WEEKDAY(calendar[[#This Row],[Date]],1)</f>
        <v>6</v>
      </c>
      <c r="H2443" t="str">
        <f>TEXT(calendar[[#This Row],[WeekDay]],"dddd")</f>
        <v>Friday</v>
      </c>
      <c r="I2443">
        <f>IF((INT(calendar[[#This Row],[Count]]/7)-calendar[[#This Row],[Count]]/7)&lt;0,I2442,I2442+1)</f>
        <v>349</v>
      </c>
      <c r="J2443">
        <f t="shared" si="194"/>
        <v>2441</v>
      </c>
      <c r="K2443">
        <f>IF(calendar[[#This Row],[Month]]&lt;4,1,IF(calendar[[#This Row],[Month]]&lt;7,2,IF(calendar[[#This Row],[Month]]&lt;10,3,4)))</f>
        <v>3</v>
      </c>
      <c r="L2443">
        <f>IFERROR(IF(VLOOKUP(calendar[[#This Row],[Date]],BH!A:A,1,)&lt;&gt;"",1,0),0)</f>
        <v>0</v>
      </c>
      <c r="M2443">
        <f>IFERROR(IF(VLOOKUP(calendar[[#This Row],[Date]],BH!C:C,1,)&lt;&gt;"",1,0),0)</f>
        <v>0</v>
      </c>
      <c r="N2443">
        <f>IFERROR(IF(VLOOKUP(calendar[[#This Row],[Date]],BH!E:E,1,)&lt;&gt;"",1,0),0)</f>
        <v>0</v>
      </c>
      <c r="O2443">
        <f>IFERROR(IF(VLOOKUP(calendar[[#This Row],[Date]],BH!G:G,1,)&lt;&gt;"",1,0),0)</f>
        <v>0</v>
      </c>
      <c r="P2443">
        <f>IF(OR(calendar[[#This Row],[UK_BH]]=1,calendar[[#This Row],[WeekDay]]=1, calendar[[#This Row],[WeekDay]]=7),P2442,P2442+1)</f>
        <v>1745</v>
      </c>
      <c r="Q2443">
        <f>IF(OR(calendar[[#This Row],[FR_BH]]=1,calendar[[#This Row],[WeekDay]]=1, calendar[[#This Row],[WeekDay]]=7),P2442,P2442+1)</f>
        <v>1745</v>
      </c>
      <c r="R2443">
        <f>IF(OR(calendar[[#This Row],[SP_BH]]=1,calendar[[#This Row],[WeekDay]]=1, calendar[[#This Row],[WeekDay]]=7),P2442,P2442+1)</f>
        <v>1745</v>
      </c>
      <c r="S2443">
        <f>IF(OR(calendar[[#This Row],[PT_BH]]=1,calendar[[#This Row],[WeekDay]]=1, calendar[[#This Row],[WeekDay]]=7),P2442,P2442+1)</f>
        <v>1745</v>
      </c>
    </row>
    <row r="2444" spans="1:19" x14ac:dyDescent="0.25">
      <c r="A2444" s="2">
        <v>45178</v>
      </c>
      <c r="B2444" s="1">
        <f t="shared" si="193"/>
        <v>36</v>
      </c>
      <c r="C2444">
        <f t="shared" si="190"/>
        <v>9</v>
      </c>
      <c r="D2444" t="str">
        <f t="shared" si="191"/>
        <v>September</v>
      </c>
      <c r="E2444">
        <f t="shared" si="192"/>
        <v>2023</v>
      </c>
      <c r="F2444" t="str">
        <f>CONCATENATE(calendar[[#This Row],[Month]],"/",calendar[[#This Row],[Year]])</f>
        <v>9/2023</v>
      </c>
      <c r="G2444">
        <f>WEEKDAY(calendar[[#This Row],[Date]],1)</f>
        <v>7</v>
      </c>
      <c r="H2444" t="str">
        <f>TEXT(calendar[[#This Row],[WeekDay]],"dddd")</f>
        <v>Saturday</v>
      </c>
      <c r="I2444">
        <f>IF((INT(calendar[[#This Row],[Count]]/7)-calendar[[#This Row],[Count]]/7)&lt;0,I2443,I2443+1)</f>
        <v>349</v>
      </c>
      <c r="J2444">
        <f t="shared" si="194"/>
        <v>2442</v>
      </c>
      <c r="K2444">
        <f>IF(calendar[[#This Row],[Month]]&lt;4,1,IF(calendar[[#This Row],[Month]]&lt;7,2,IF(calendar[[#This Row],[Month]]&lt;10,3,4)))</f>
        <v>3</v>
      </c>
      <c r="L2444">
        <f>IFERROR(IF(VLOOKUP(calendar[[#This Row],[Date]],BH!A:A,1,)&lt;&gt;"",1,0),0)</f>
        <v>0</v>
      </c>
      <c r="M2444">
        <f>IFERROR(IF(VLOOKUP(calendar[[#This Row],[Date]],BH!C:C,1,)&lt;&gt;"",1,0),0)</f>
        <v>0</v>
      </c>
      <c r="N2444">
        <f>IFERROR(IF(VLOOKUP(calendar[[#This Row],[Date]],BH!E:E,1,)&lt;&gt;"",1,0),0)</f>
        <v>0</v>
      </c>
      <c r="O2444">
        <f>IFERROR(IF(VLOOKUP(calendar[[#This Row],[Date]],BH!G:G,1,)&lt;&gt;"",1,0),0)</f>
        <v>0</v>
      </c>
      <c r="P2444">
        <f>IF(OR(calendar[[#This Row],[UK_BH]]=1,calendar[[#This Row],[WeekDay]]=1, calendar[[#This Row],[WeekDay]]=7),P2443,P2443+1)</f>
        <v>1745</v>
      </c>
      <c r="Q2444">
        <f>IF(OR(calendar[[#This Row],[FR_BH]]=1,calendar[[#This Row],[WeekDay]]=1, calendar[[#This Row],[WeekDay]]=7),P2443,P2443+1)</f>
        <v>1745</v>
      </c>
      <c r="R2444">
        <f>IF(OR(calendar[[#This Row],[SP_BH]]=1,calendar[[#This Row],[WeekDay]]=1, calendar[[#This Row],[WeekDay]]=7),P2443,P2443+1)</f>
        <v>1745</v>
      </c>
      <c r="S2444">
        <f>IF(OR(calendar[[#This Row],[PT_BH]]=1,calendar[[#This Row],[WeekDay]]=1, calendar[[#This Row],[WeekDay]]=7),P2443,P2443+1)</f>
        <v>1745</v>
      </c>
    </row>
    <row r="2445" spans="1:19" x14ac:dyDescent="0.25">
      <c r="A2445" s="2">
        <v>45179</v>
      </c>
      <c r="B2445" s="1">
        <f t="shared" si="193"/>
        <v>37</v>
      </c>
      <c r="C2445">
        <f t="shared" si="190"/>
        <v>9</v>
      </c>
      <c r="D2445" t="str">
        <f t="shared" si="191"/>
        <v>September</v>
      </c>
      <c r="E2445">
        <f t="shared" si="192"/>
        <v>2023</v>
      </c>
      <c r="F2445" t="str">
        <f>CONCATENATE(calendar[[#This Row],[Month]],"/",calendar[[#This Row],[Year]])</f>
        <v>9/2023</v>
      </c>
      <c r="G2445">
        <f>WEEKDAY(calendar[[#This Row],[Date]],1)</f>
        <v>1</v>
      </c>
      <c r="H2445" t="str">
        <f>TEXT(calendar[[#This Row],[WeekDay]],"dddd")</f>
        <v>Sunday</v>
      </c>
      <c r="I2445">
        <f>IF((INT(calendar[[#This Row],[Count]]/7)-calendar[[#This Row],[Count]]/7)&lt;0,I2444,I2444+1)</f>
        <v>350</v>
      </c>
      <c r="J2445">
        <f t="shared" si="194"/>
        <v>2443</v>
      </c>
      <c r="K2445">
        <f>IF(calendar[[#This Row],[Month]]&lt;4,1,IF(calendar[[#This Row],[Month]]&lt;7,2,IF(calendar[[#This Row],[Month]]&lt;10,3,4)))</f>
        <v>3</v>
      </c>
      <c r="L2445">
        <f>IFERROR(IF(VLOOKUP(calendar[[#This Row],[Date]],BH!A:A,1,)&lt;&gt;"",1,0),0)</f>
        <v>0</v>
      </c>
      <c r="M2445">
        <f>IFERROR(IF(VLOOKUP(calendar[[#This Row],[Date]],BH!C:C,1,)&lt;&gt;"",1,0),0)</f>
        <v>0</v>
      </c>
      <c r="N2445">
        <f>IFERROR(IF(VLOOKUP(calendar[[#This Row],[Date]],BH!E:E,1,)&lt;&gt;"",1,0),0)</f>
        <v>0</v>
      </c>
      <c r="O2445">
        <f>IFERROR(IF(VLOOKUP(calendar[[#This Row],[Date]],BH!G:G,1,)&lt;&gt;"",1,0),0)</f>
        <v>0</v>
      </c>
      <c r="P2445">
        <f>IF(OR(calendar[[#This Row],[UK_BH]]=1,calendar[[#This Row],[WeekDay]]=1, calendar[[#This Row],[WeekDay]]=7),P2444,P2444+1)</f>
        <v>1745</v>
      </c>
      <c r="Q2445">
        <f>IF(OR(calendar[[#This Row],[FR_BH]]=1,calendar[[#This Row],[WeekDay]]=1, calendar[[#This Row],[WeekDay]]=7),P2444,P2444+1)</f>
        <v>1745</v>
      </c>
      <c r="R2445">
        <f>IF(OR(calendar[[#This Row],[SP_BH]]=1,calendar[[#This Row],[WeekDay]]=1, calendar[[#This Row],[WeekDay]]=7),P2444,P2444+1)</f>
        <v>1745</v>
      </c>
      <c r="S2445">
        <f>IF(OR(calendar[[#This Row],[PT_BH]]=1,calendar[[#This Row],[WeekDay]]=1, calendar[[#This Row],[WeekDay]]=7),P2444,P2444+1)</f>
        <v>1745</v>
      </c>
    </row>
    <row r="2446" spans="1:19" x14ac:dyDescent="0.25">
      <c r="A2446" s="2">
        <v>45180</v>
      </c>
      <c r="B2446" s="1">
        <f t="shared" si="193"/>
        <v>37</v>
      </c>
      <c r="C2446">
        <f t="shared" si="190"/>
        <v>9</v>
      </c>
      <c r="D2446" t="str">
        <f t="shared" si="191"/>
        <v>September</v>
      </c>
      <c r="E2446">
        <f t="shared" si="192"/>
        <v>2023</v>
      </c>
      <c r="F2446" t="str">
        <f>CONCATENATE(calendar[[#This Row],[Month]],"/",calendar[[#This Row],[Year]])</f>
        <v>9/2023</v>
      </c>
      <c r="G2446">
        <f>WEEKDAY(calendar[[#This Row],[Date]],1)</f>
        <v>2</v>
      </c>
      <c r="H2446" t="str">
        <f>TEXT(calendar[[#This Row],[WeekDay]],"dddd")</f>
        <v>Monday</v>
      </c>
      <c r="I2446">
        <f>IF((INT(calendar[[#This Row],[Count]]/7)-calendar[[#This Row],[Count]]/7)&lt;0,I2445,I2445+1)</f>
        <v>350</v>
      </c>
      <c r="J2446">
        <f t="shared" si="194"/>
        <v>2444</v>
      </c>
      <c r="K2446">
        <f>IF(calendar[[#This Row],[Month]]&lt;4,1,IF(calendar[[#This Row],[Month]]&lt;7,2,IF(calendar[[#This Row],[Month]]&lt;10,3,4)))</f>
        <v>3</v>
      </c>
      <c r="L2446">
        <f>IFERROR(IF(VLOOKUP(calendar[[#This Row],[Date]],BH!A:A,1,)&lt;&gt;"",1,0),0)</f>
        <v>0</v>
      </c>
      <c r="M2446">
        <f>IFERROR(IF(VLOOKUP(calendar[[#This Row],[Date]],BH!C:C,1,)&lt;&gt;"",1,0),0)</f>
        <v>0</v>
      </c>
      <c r="N2446">
        <f>IFERROR(IF(VLOOKUP(calendar[[#This Row],[Date]],BH!E:E,1,)&lt;&gt;"",1,0),0)</f>
        <v>0</v>
      </c>
      <c r="O2446">
        <f>IFERROR(IF(VLOOKUP(calendar[[#This Row],[Date]],BH!G:G,1,)&lt;&gt;"",1,0),0)</f>
        <v>0</v>
      </c>
      <c r="P2446">
        <f>IF(OR(calendar[[#This Row],[UK_BH]]=1,calendar[[#This Row],[WeekDay]]=1, calendar[[#This Row],[WeekDay]]=7),P2445,P2445+1)</f>
        <v>1746</v>
      </c>
      <c r="Q2446">
        <f>IF(OR(calendar[[#This Row],[FR_BH]]=1,calendar[[#This Row],[WeekDay]]=1, calendar[[#This Row],[WeekDay]]=7),P2445,P2445+1)</f>
        <v>1746</v>
      </c>
      <c r="R2446">
        <f>IF(OR(calendar[[#This Row],[SP_BH]]=1,calendar[[#This Row],[WeekDay]]=1, calendar[[#This Row],[WeekDay]]=7),P2445,P2445+1)</f>
        <v>1746</v>
      </c>
      <c r="S2446">
        <f>IF(OR(calendar[[#This Row],[PT_BH]]=1,calendar[[#This Row],[WeekDay]]=1, calendar[[#This Row],[WeekDay]]=7),P2445,P2445+1)</f>
        <v>1746</v>
      </c>
    </row>
    <row r="2447" spans="1:19" x14ac:dyDescent="0.25">
      <c r="A2447" s="2">
        <v>45181</v>
      </c>
      <c r="B2447" s="1">
        <f t="shared" si="193"/>
        <v>37</v>
      </c>
      <c r="C2447">
        <f t="shared" si="190"/>
        <v>9</v>
      </c>
      <c r="D2447" t="str">
        <f t="shared" si="191"/>
        <v>September</v>
      </c>
      <c r="E2447">
        <f t="shared" si="192"/>
        <v>2023</v>
      </c>
      <c r="F2447" t="str">
        <f>CONCATENATE(calendar[[#This Row],[Month]],"/",calendar[[#This Row],[Year]])</f>
        <v>9/2023</v>
      </c>
      <c r="G2447">
        <f>WEEKDAY(calendar[[#This Row],[Date]],1)</f>
        <v>3</v>
      </c>
      <c r="H2447" t="str">
        <f>TEXT(calendar[[#This Row],[WeekDay]],"dddd")</f>
        <v>Tuesday</v>
      </c>
      <c r="I2447">
        <f>IF((INT(calendar[[#This Row],[Count]]/7)-calendar[[#This Row],[Count]]/7)&lt;0,I2446,I2446+1)</f>
        <v>350</v>
      </c>
      <c r="J2447">
        <f t="shared" si="194"/>
        <v>2445</v>
      </c>
      <c r="K2447">
        <f>IF(calendar[[#This Row],[Month]]&lt;4,1,IF(calendar[[#This Row],[Month]]&lt;7,2,IF(calendar[[#This Row],[Month]]&lt;10,3,4)))</f>
        <v>3</v>
      </c>
      <c r="L2447">
        <f>IFERROR(IF(VLOOKUP(calendar[[#This Row],[Date]],BH!A:A,1,)&lt;&gt;"",1,0),0)</f>
        <v>0</v>
      </c>
      <c r="M2447">
        <f>IFERROR(IF(VLOOKUP(calendar[[#This Row],[Date]],BH!C:C,1,)&lt;&gt;"",1,0),0)</f>
        <v>0</v>
      </c>
      <c r="N2447">
        <f>IFERROR(IF(VLOOKUP(calendar[[#This Row],[Date]],BH!E:E,1,)&lt;&gt;"",1,0),0)</f>
        <v>0</v>
      </c>
      <c r="O2447">
        <f>IFERROR(IF(VLOOKUP(calendar[[#This Row],[Date]],BH!G:G,1,)&lt;&gt;"",1,0),0)</f>
        <v>0</v>
      </c>
      <c r="P2447">
        <f>IF(OR(calendar[[#This Row],[UK_BH]]=1,calendar[[#This Row],[WeekDay]]=1, calendar[[#This Row],[WeekDay]]=7),P2446,P2446+1)</f>
        <v>1747</v>
      </c>
      <c r="Q2447">
        <f>IF(OR(calendar[[#This Row],[FR_BH]]=1,calendar[[#This Row],[WeekDay]]=1, calendar[[#This Row],[WeekDay]]=7),P2446,P2446+1)</f>
        <v>1747</v>
      </c>
      <c r="R2447">
        <f>IF(OR(calendar[[#This Row],[SP_BH]]=1,calendar[[#This Row],[WeekDay]]=1, calendar[[#This Row],[WeekDay]]=7),P2446,P2446+1)</f>
        <v>1747</v>
      </c>
      <c r="S2447">
        <f>IF(OR(calendar[[#This Row],[PT_BH]]=1,calendar[[#This Row],[WeekDay]]=1, calendar[[#This Row],[WeekDay]]=7),P2446,P2446+1)</f>
        <v>1747</v>
      </c>
    </row>
    <row r="2448" spans="1:19" x14ac:dyDescent="0.25">
      <c r="A2448" s="2">
        <v>45182</v>
      </c>
      <c r="B2448" s="1">
        <f t="shared" si="193"/>
        <v>37</v>
      </c>
      <c r="C2448">
        <f t="shared" ref="C2448:C2511" si="195">MONTH(A2448)</f>
        <v>9</v>
      </c>
      <c r="D2448" t="str">
        <f t="shared" ref="D2448:D2511" si="196">TEXT(A2448,"mmmm")</f>
        <v>September</v>
      </c>
      <c r="E2448">
        <f t="shared" ref="E2448:E2511" si="197">YEAR(A2448)</f>
        <v>2023</v>
      </c>
      <c r="F2448" t="str">
        <f>CONCATENATE(calendar[[#This Row],[Month]],"/",calendar[[#This Row],[Year]])</f>
        <v>9/2023</v>
      </c>
      <c r="G2448">
        <f>WEEKDAY(calendar[[#This Row],[Date]],1)</f>
        <v>4</v>
      </c>
      <c r="H2448" t="str">
        <f>TEXT(calendar[[#This Row],[WeekDay]],"dddd")</f>
        <v>Wednesday</v>
      </c>
      <c r="I2448">
        <f>IF((INT(calendar[[#This Row],[Count]]/7)-calendar[[#This Row],[Count]]/7)&lt;0,I2447,I2447+1)</f>
        <v>350</v>
      </c>
      <c r="J2448">
        <f t="shared" si="194"/>
        <v>2446</v>
      </c>
      <c r="K2448">
        <f>IF(calendar[[#This Row],[Month]]&lt;4,1,IF(calendar[[#This Row],[Month]]&lt;7,2,IF(calendar[[#This Row],[Month]]&lt;10,3,4)))</f>
        <v>3</v>
      </c>
      <c r="L2448">
        <f>IFERROR(IF(VLOOKUP(calendar[[#This Row],[Date]],BH!A:A,1,)&lt;&gt;"",1,0),0)</f>
        <v>0</v>
      </c>
      <c r="M2448">
        <f>IFERROR(IF(VLOOKUP(calendar[[#This Row],[Date]],BH!C:C,1,)&lt;&gt;"",1,0),0)</f>
        <v>0</v>
      </c>
      <c r="N2448">
        <f>IFERROR(IF(VLOOKUP(calendar[[#This Row],[Date]],BH!E:E,1,)&lt;&gt;"",1,0),0)</f>
        <v>0</v>
      </c>
      <c r="O2448">
        <f>IFERROR(IF(VLOOKUP(calendar[[#This Row],[Date]],BH!G:G,1,)&lt;&gt;"",1,0),0)</f>
        <v>0</v>
      </c>
      <c r="P2448">
        <f>IF(OR(calendar[[#This Row],[UK_BH]]=1,calendar[[#This Row],[WeekDay]]=1, calendar[[#This Row],[WeekDay]]=7),P2447,P2447+1)</f>
        <v>1748</v>
      </c>
      <c r="Q2448">
        <f>IF(OR(calendar[[#This Row],[FR_BH]]=1,calendar[[#This Row],[WeekDay]]=1, calendar[[#This Row],[WeekDay]]=7),P2447,P2447+1)</f>
        <v>1748</v>
      </c>
      <c r="R2448">
        <f>IF(OR(calendar[[#This Row],[SP_BH]]=1,calendar[[#This Row],[WeekDay]]=1, calendar[[#This Row],[WeekDay]]=7),P2447,P2447+1)</f>
        <v>1748</v>
      </c>
      <c r="S2448">
        <f>IF(OR(calendar[[#This Row],[PT_BH]]=1,calendar[[#This Row],[WeekDay]]=1, calendar[[#This Row],[WeekDay]]=7),P2447,P2447+1)</f>
        <v>1748</v>
      </c>
    </row>
    <row r="2449" spans="1:19" x14ac:dyDescent="0.25">
      <c r="A2449" s="2">
        <v>45183</v>
      </c>
      <c r="B2449" s="1">
        <f t="shared" si="193"/>
        <v>37</v>
      </c>
      <c r="C2449">
        <f t="shared" si="195"/>
        <v>9</v>
      </c>
      <c r="D2449" t="str">
        <f t="shared" si="196"/>
        <v>September</v>
      </c>
      <c r="E2449">
        <f t="shared" si="197"/>
        <v>2023</v>
      </c>
      <c r="F2449" t="str">
        <f>CONCATENATE(calendar[[#This Row],[Month]],"/",calendar[[#This Row],[Year]])</f>
        <v>9/2023</v>
      </c>
      <c r="G2449">
        <f>WEEKDAY(calendar[[#This Row],[Date]],1)</f>
        <v>5</v>
      </c>
      <c r="H2449" t="str">
        <f>TEXT(calendar[[#This Row],[WeekDay]],"dddd")</f>
        <v>Thursday</v>
      </c>
      <c r="I2449">
        <f>IF((INT(calendar[[#This Row],[Count]]/7)-calendar[[#This Row],[Count]]/7)&lt;0,I2448,I2448+1)</f>
        <v>350</v>
      </c>
      <c r="J2449">
        <f t="shared" si="194"/>
        <v>2447</v>
      </c>
      <c r="K2449">
        <f>IF(calendar[[#This Row],[Month]]&lt;4,1,IF(calendar[[#This Row],[Month]]&lt;7,2,IF(calendar[[#This Row],[Month]]&lt;10,3,4)))</f>
        <v>3</v>
      </c>
      <c r="L2449">
        <f>IFERROR(IF(VLOOKUP(calendar[[#This Row],[Date]],BH!A:A,1,)&lt;&gt;"",1,0),0)</f>
        <v>0</v>
      </c>
      <c r="M2449">
        <f>IFERROR(IF(VLOOKUP(calendar[[#This Row],[Date]],BH!C:C,1,)&lt;&gt;"",1,0),0)</f>
        <v>0</v>
      </c>
      <c r="N2449">
        <f>IFERROR(IF(VLOOKUP(calendar[[#This Row],[Date]],BH!E:E,1,)&lt;&gt;"",1,0),0)</f>
        <v>0</v>
      </c>
      <c r="O2449">
        <f>IFERROR(IF(VLOOKUP(calendar[[#This Row],[Date]],BH!G:G,1,)&lt;&gt;"",1,0),0)</f>
        <v>0</v>
      </c>
      <c r="P2449">
        <f>IF(OR(calendar[[#This Row],[UK_BH]]=1,calendar[[#This Row],[WeekDay]]=1, calendar[[#This Row],[WeekDay]]=7),P2448,P2448+1)</f>
        <v>1749</v>
      </c>
      <c r="Q2449">
        <f>IF(OR(calendar[[#This Row],[FR_BH]]=1,calendar[[#This Row],[WeekDay]]=1, calendar[[#This Row],[WeekDay]]=7),P2448,P2448+1)</f>
        <v>1749</v>
      </c>
      <c r="R2449">
        <f>IF(OR(calendar[[#This Row],[SP_BH]]=1,calendar[[#This Row],[WeekDay]]=1, calendar[[#This Row],[WeekDay]]=7),P2448,P2448+1)</f>
        <v>1749</v>
      </c>
      <c r="S2449">
        <f>IF(OR(calendar[[#This Row],[PT_BH]]=1,calendar[[#This Row],[WeekDay]]=1, calendar[[#This Row],[WeekDay]]=7),P2448,P2448+1)</f>
        <v>1749</v>
      </c>
    </row>
    <row r="2450" spans="1:19" x14ac:dyDescent="0.25">
      <c r="A2450" s="2">
        <v>45184</v>
      </c>
      <c r="B2450" s="1">
        <f t="shared" si="193"/>
        <v>37</v>
      </c>
      <c r="C2450">
        <f t="shared" si="195"/>
        <v>9</v>
      </c>
      <c r="D2450" t="str">
        <f t="shared" si="196"/>
        <v>September</v>
      </c>
      <c r="E2450">
        <f t="shared" si="197"/>
        <v>2023</v>
      </c>
      <c r="F2450" t="str">
        <f>CONCATENATE(calendar[[#This Row],[Month]],"/",calendar[[#This Row],[Year]])</f>
        <v>9/2023</v>
      </c>
      <c r="G2450">
        <f>WEEKDAY(calendar[[#This Row],[Date]],1)</f>
        <v>6</v>
      </c>
      <c r="H2450" t="str">
        <f>TEXT(calendar[[#This Row],[WeekDay]],"dddd")</f>
        <v>Friday</v>
      </c>
      <c r="I2450">
        <f>IF((INT(calendar[[#This Row],[Count]]/7)-calendar[[#This Row],[Count]]/7)&lt;0,I2449,I2449+1)</f>
        <v>350</v>
      </c>
      <c r="J2450">
        <f t="shared" si="194"/>
        <v>2448</v>
      </c>
      <c r="K2450">
        <f>IF(calendar[[#This Row],[Month]]&lt;4,1,IF(calendar[[#This Row],[Month]]&lt;7,2,IF(calendar[[#This Row],[Month]]&lt;10,3,4)))</f>
        <v>3</v>
      </c>
      <c r="L2450">
        <f>IFERROR(IF(VLOOKUP(calendar[[#This Row],[Date]],BH!A:A,1,)&lt;&gt;"",1,0),0)</f>
        <v>0</v>
      </c>
      <c r="M2450">
        <f>IFERROR(IF(VLOOKUP(calendar[[#This Row],[Date]],BH!C:C,1,)&lt;&gt;"",1,0),0)</f>
        <v>0</v>
      </c>
      <c r="N2450">
        <f>IFERROR(IF(VLOOKUP(calendar[[#This Row],[Date]],BH!E:E,1,)&lt;&gt;"",1,0),0)</f>
        <v>0</v>
      </c>
      <c r="O2450">
        <f>IFERROR(IF(VLOOKUP(calendar[[#This Row],[Date]],BH!G:G,1,)&lt;&gt;"",1,0),0)</f>
        <v>0</v>
      </c>
      <c r="P2450">
        <f>IF(OR(calendar[[#This Row],[UK_BH]]=1,calendar[[#This Row],[WeekDay]]=1, calendar[[#This Row],[WeekDay]]=7),P2449,P2449+1)</f>
        <v>1750</v>
      </c>
      <c r="Q2450">
        <f>IF(OR(calendar[[#This Row],[FR_BH]]=1,calendar[[#This Row],[WeekDay]]=1, calendar[[#This Row],[WeekDay]]=7),P2449,P2449+1)</f>
        <v>1750</v>
      </c>
      <c r="R2450">
        <f>IF(OR(calendar[[#This Row],[SP_BH]]=1,calendar[[#This Row],[WeekDay]]=1, calendar[[#This Row],[WeekDay]]=7),P2449,P2449+1)</f>
        <v>1750</v>
      </c>
      <c r="S2450">
        <f>IF(OR(calendar[[#This Row],[PT_BH]]=1,calendar[[#This Row],[WeekDay]]=1, calendar[[#This Row],[WeekDay]]=7),P2449,P2449+1)</f>
        <v>1750</v>
      </c>
    </row>
    <row r="2451" spans="1:19" x14ac:dyDescent="0.25">
      <c r="A2451" s="2">
        <v>45185</v>
      </c>
      <c r="B2451" s="1">
        <f t="shared" si="193"/>
        <v>37</v>
      </c>
      <c r="C2451">
        <f t="shared" si="195"/>
        <v>9</v>
      </c>
      <c r="D2451" t="str">
        <f t="shared" si="196"/>
        <v>September</v>
      </c>
      <c r="E2451">
        <f t="shared" si="197"/>
        <v>2023</v>
      </c>
      <c r="F2451" t="str">
        <f>CONCATENATE(calendar[[#This Row],[Month]],"/",calendar[[#This Row],[Year]])</f>
        <v>9/2023</v>
      </c>
      <c r="G2451">
        <f>WEEKDAY(calendar[[#This Row],[Date]],1)</f>
        <v>7</v>
      </c>
      <c r="H2451" t="str">
        <f>TEXT(calendar[[#This Row],[WeekDay]],"dddd")</f>
        <v>Saturday</v>
      </c>
      <c r="I2451">
        <f>IF((INT(calendar[[#This Row],[Count]]/7)-calendar[[#This Row],[Count]]/7)&lt;0,I2450,I2450+1)</f>
        <v>350</v>
      </c>
      <c r="J2451">
        <f t="shared" si="194"/>
        <v>2449</v>
      </c>
      <c r="K2451">
        <f>IF(calendar[[#This Row],[Month]]&lt;4,1,IF(calendar[[#This Row],[Month]]&lt;7,2,IF(calendar[[#This Row],[Month]]&lt;10,3,4)))</f>
        <v>3</v>
      </c>
      <c r="L2451">
        <f>IFERROR(IF(VLOOKUP(calendar[[#This Row],[Date]],BH!A:A,1,)&lt;&gt;"",1,0),0)</f>
        <v>0</v>
      </c>
      <c r="M2451">
        <f>IFERROR(IF(VLOOKUP(calendar[[#This Row],[Date]],BH!C:C,1,)&lt;&gt;"",1,0),0)</f>
        <v>0</v>
      </c>
      <c r="N2451">
        <f>IFERROR(IF(VLOOKUP(calendar[[#This Row],[Date]],BH!E:E,1,)&lt;&gt;"",1,0),0)</f>
        <v>0</v>
      </c>
      <c r="O2451">
        <f>IFERROR(IF(VLOOKUP(calendar[[#This Row],[Date]],BH!G:G,1,)&lt;&gt;"",1,0),0)</f>
        <v>0</v>
      </c>
      <c r="P2451">
        <f>IF(OR(calendar[[#This Row],[UK_BH]]=1,calendar[[#This Row],[WeekDay]]=1, calendar[[#This Row],[WeekDay]]=7),P2450,P2450+1)</f>
        <v>1750</v>
      </c>
      <c r="Q2451">
        <f>IF(OR(calendar[[#This Row],[FR_BH]]=1,calendar[[#This Row],[WeekDay]]=1, calendar[[#This Row],[WeekDay]]=7),P2450,P2450+1)</f>
        <v>1750</v>
      </c>
      <c r="R2451">
        <f>IF(OR(calendar[[#This Row],[SP_BH]]=1,calendar[[#This Row],[WeekDay]]=1, calendar[[#This Row],[WeekDay]]=7),P2450,P2450+1)</f>
        <v>1750</v>
      </c>
      <c r="S2451">
        <f>IF(OR(calendar[[#This Row],[PT_BH]]=1,calendar[[#This Row],[WeekDay]]=1, calendar[[#This Row],[WeekDay]]=7),P2450,P2450+1)</f>
        <v>1750</v>
      </c>
    </row>
    <row r="2452" spans="1:19" x14ac:dyDescent="0.25">
      <c r="A2452" s="2">
        <v>45186</v>
      </c>
      <c r="B2452" s="1">
        <f t="shared" si="193"/>
        <v>38</v>
      </c>
      <c r="C2452">
        <f t="shared" si="195"/>
        <v>9</v>
      </c>
      <c r="D2452" t="str">
        <f t="shared" si="196"/>
        <v>September</v>
      </c>
      <c r="E2452">
        <f t="shared" si="197"/>
        <v>2023</v>
      </c>
      <c r="F2452" t="str">
        <f>CONCATENATE(calendar[[#This Row],[Month]],"/",calendar[[#This Row],[Year]])</f>
        <v>9/2023</v>
      </c>
      <c r="G2452">
        <f>WEEKDAY(calendar[[#This Row],[Date]],1)</f>
        <v>1</v>
      </c>
      <c r="H2452" t="str">
        <f>TEXT(calendar[[#This Row],[WeekDay]],"dddd")</f>
        <v>Sunday</v>
      </c>
      <c r="I2452">
        <f>IF((INT(calendar[[#This Row],[Count]]/7)-calendar[[#This Row],[Count]]/7)&lt;0,I2451,I2451+1)</f>
        <v>351</v>
      </c>
      <c r="J2452">
        <f t="shared" si="194"/>
        <v>2450</v>
      </c>
      <c r="K2452">
        <f>IF(calendar[[#This Row],[Month]]&lt;4,1,IF(calendar[[#This Row],[Month]]&lt;7,2,IF(calendar[[#This Row],[Month]]&lt;10,3,4)))</f>
        <v>3</v>
      </c>
      <c r="L2452">
        <f>IFERROR(IF(VLOOKUP(calendar[[#This Row],[Date]],BH!A:A,1,)&lt;&gt;"",1,0),0)</f>
        <v>0</v>
      </c>
      <c r="M2452">
        <f>IFERROR(IF(VLOOKUP(calendar[[#This Row],[Date]],BH!C:C,1,)&lt;&gt;"",1,0),0)</f>
        <v>0</v>
      </c>
      <c r="N2452">
        <f>IFERROR(IF(VLOOKUP(calendar[[#This Row],[Date]],BH!E:E,1,)&lt;&gt;"",1,0),0)</f>
        <v>0</v>
      </c>
      <c r="O2452">
        <f>IFERROR(IF(VLOOKUP(calendar[[#This Row],[Date]],BH!G:G,1,)&lt;&gt;"",1,0),0)</f>
        <v>0</v>
      </c>
      <c r="P2452">
        <f>IF(OR(calendar[[#This Row],[UK_BH]]=1,calendar[[#This Row],[WeekDay]]=1, calendar[[#This Row],[WeekDay]]=7),P2451,P2451+1)</f>
        <v>1750</v>
      </c>
      <c r="Q2452">
        <f>IF(OR(calendar[[#This Row],[FR_BH]]=1,calendar[[#This Row],[WeekDay]]=1, calendar[[#This Row],[WeekDay]]=7),P2451,P2451+1)</f>
        <v>1750</v>
      </c>
      <c r="R2452">
        <f>IF(OR(calendar[[#This Row],[SP_BH]]=1,calendar[[#This Row],[WeekDay]]=1, calendar[[#This Row],[WeekDay]]=7),P2451,P2451+1)</f>
        <v>1750</v>
      </c>
      <c r="S2452">
        <f>IF(OR(calendar[[#This Row],[PT_BH]]=1,calendar[[#This Row],[WeekDay]]=1, calendar[[#This Row],[WeekDay]]=7),P2451,P2451+1)</f>
        <v>1750</v>
      </c>
    </row>
    <row r="2453" spans="1:19" x14ac:dyDescent="0.25">
      <c r="A2453" s="2">
        <v>45187</v>
      </c>
      <c r="B2453" s="1">
        <f t="shared" si="193"/>
        <v>38</v>
      </c>
      <c r="C2453">
        <f t="shared" si="195"/>
        <v>9</v>
      </c>
      <c r="D2453" t="str">
        <f t="shared" si="196"/>
        <v>September</v>
      </c>
      <c r="E2453">
        <f t="shared" si="197"/>
        <v>2023</v>
      </c>
      <c r="F2453" t="str">
        <f>CONCATENATE(calendar[[#This Row],[Month]],"/",calendar[[#This Row],[Year]])</f>
        <v>9/2023</v>
      </c>
      <c r="G2453">
        <f>WEEKDAY(calendar[[#This Row],[Date]],1)</f>
        <v>2</v>
      </c>
      <c r="H2453" t="str">
        <f>TEXT(calendar[[#This Row],[WeekDay]],"dddd")</f>
        <v>Monday</v>
      </c>
      <c r="I2453">
        <f>IF((INT(calendar[[#This Row],[Count]]/7)-calendar[[#This Row],[Count]]/7)&lt;0,I2452,I2452+1)</f>
        <v>351</v>
      </c>
      <c r="J2453">
        <f t="shared" si="194"/>
        <v>2451</v>
      </c>
      <c r="K2453">
        <f>IF(calendar[[#This Row],[Month]]&lt;4,1,IF(calendar[[#This Row],[Month]]&lt;7,2,IF(calendar[[#This Row],[Month]]&lt;10,3,4)))</f>
        <v>3</v>
      </c>
      <c r="L2453">
        <f>IFERROR(IF(VLOOKUP(calendar[[#This Row],[Date]],BH!A:A,1,)&lt;&gt;"",1,0),0)</f>
        <v>0</v>
      </c>
      <c r="M2453">
        <f>IFERROR(IF(VLOOKUP(calendar[[#This Row],[Date]],BH!C:C,1,)&lt;&gt;"",1,0),0)</f>
        <v>0</v>
      </c>
      <c r="N2453">
        <f>IFERROR(IF(VLOOKUP(calendar[[#This Row],[Date]],BH!E:E,1,)&lt;&gt;"",1,0),0)</f>
        <v>0</v>
      </c>
      <c r="O2453">
        <f>IFERROR(IF(VLOOKUP(calendar[[#This Row],[Date]],BH!G:G,1,)&lt;&gt;"",1,0),0)</f>
        <v>0</v>
      </c>
      <c r="P2453">
        <f>IF(OR(calendar[[#This Row],[UK_BH]]=1,calendar[[#This Row],[WeekDay]]=1, calendar[[#This Row],[WeekDay]]=7),P2452,P2452+1)</f>
        <v>1751</v>
      </c>
      <c r="Q2453">
        <f>IF(OR(calendar[[#This Row],[FR_BH]]=1,calendar[[#This Row],[WeekDay]]=1, calendar[[#This Row],[WeekDay]]=7),P2452,P2452+1)</f>
        <v>1751</v>
      </c>
      <c r="R2453">
        <f>IF(OR(calendar[[#This Row],[SP_BH]]=1,calendar[[#This Row],[WeekDay]]=1, calendar[[#This Row],[WeekDay]]=7),P2452,P2452+1)</f>
        <v>1751</v>
      </c>
      <c r="S2453">
        <f>IF(OR(calendar[[#This Row],[PT_BH]]=1,calendar[[#This Row],[WeekDay]]=1, calendar[[#This Row],[WeekDay]]=7),P2452,P2452+1)</f>
        <v>1751</v>
      </c>
    </row>
    <row r="2454" spans="1:19" x14ac:dyDescent="0.25">
      <c r="A2454" s="2">
        <v>45188</v>
      </c>
      <c r="B2454" s="1">
        <f t="shared" si="193"/>
        <v>38</v>
      </c>
      <c r="C2454">
        <f t="shared" si="195"/>
        <v>9</v>
      </c>
      <c r="D2454" t="str">
        <f t="shared" si="196"/>
        <v>September</v>
      </c>
      <c r="E2454">
        <f t="shared" si="197"/>
        <v>2023</v>
      </c>
      <c r="F2454" t="str">
        <f>CONCATENATE(calendar[[#This Row],[Month]],"/",calendar[[#This Row],[Year]])</f>
        <v>9/2023</v>
      </c>
      <c r="G2454">
        <f>WEEKDAY(calendar[[#This Row],[Date]],1)</f>
        <v>3</v>
      </c>
      <c r="H2454" t="str">
        <f>TEXT(calendar[[#This Row],[WeekDay]],"dddd")</f>
        <v>Tuesday</v>
      </c>
      <c r="I2454">
        <f>IF((INT(calendar[[#This Row],[Count]]/7)-calendar[[#This Row],[Count]]/7)&lt;0,I2453,I2453+1)</f>
        <v>351</v>
      </c>
      <c r="J2454">
        <f t="shared" si="194"/>
        <v>2452</v>
      </c>
      <c r="K2454">
        <f>IF(calendar[[#This Row],[Month]]&lt;4,1,IF(calendar[[#This Row],[Month]]&lt;7,2,IF(calendar[[#This Row],[Month]]&lt;10,3,4)))</f>
        <v>3</v>
      </c>
      <c r="L2454">
        <f>IFERROR(IF(VLOOKUP(calendar[[#This Row],[Date]],BH!A:A,1,)&lt;&gt;"",1,0),0)</f>
        <v>0</v>
      </c>
      <c r="M2454">
        <f>IFERROR(IF(VLOOKUP(calendar[[#This Row],[Date]],BH!C:C,1,)&lt;&gt;"",1,0),0)</f>
        <v>0</v>
      </c>
      <c r="N2454">
        <f>IFERROR(IF(VLOOKUP(calendar[[#This Row],[Date]],BH!E:E,1,)&lt;&gt;"",1,0),0)</f>
        <v>0</v>
      </c>
      <c r="O2454">
        <f>IFERROR(IF(VLOOKUP(calendar[[#This Row],[Date]],BH!G:G,1,)&lt;&gt;"",1,0),0)</f>
        <v>0</v>
      </c>
      <c r="P2454">
        <f>IF(OR(calendar[[#This Row],[UK_BH]]=1,calendar[[#This Row],[WeekDay]]=1, calendar[[#This Row],[WeekDay]]=7),P2453,P2453+1)</f>
        <v>1752</v>
      </c>
      <c r="Q2454">
        <f>IF(OR(calendar[[#This Row],[FR_BH]]=1,calendar[[#This Row],[WeekDay]]=1, calendar[[#This Row],[WeekDay]]=7),P2453,P2453+1)</f>
        <v>1752</v>
      </c>
      <c r="R2454">
        <f>IF(OR(calendar[[#This Row],[SP_BH]]=1,calendar[[#This Row],[WeekDay]]=1, calendar[[#This Row],[WeekDay]]=7),P2453,P2453+1)</f>
        <v>1752</v>
      </c>
      <c r="S2454">
        <f>IF(OR(calendar[[#This Row],[PT_BH]]=1,calendar[[#This Row],[WeekDay]]=1, calendar[[#This Row],[WeekDay]]=7),P2453,P2453+1)</f>
        <v>1752</v>
      </c>
    </row>
    <row r="2455" spans="1:19" x14ac:dyDescent="0.25">
      <c r="A2455" s="2">
        <v>45189</v>
      </c>
      <c r="B2455" s="1">
        <f t="shared" si="193"/>
        <v>38</v>
      </c>
      <c r="C2455">
        <f t="shared" si="195"/>
        <v>9</v>
      </c>
      <c r="D2455" t="str">
        <f t="shared" si="196"/>
        <v>September</v>
      </c>
      <c r="E2455">
        <f t="shared" si="197"/>
        <v>2023</v>
      </c>
      <c r="F2455" t="str">
        <f>CONCATENATE(calendar[[#This Row],[Month]],"/",calendar[[#This Row],[Year]])</f>
        <v>9/2023</v>
      </c>
      <c r="G2455">
        <f>WEEKDAY(calendar[[#This Row],[Date]],1)</f>
        <v>4</v>
      </c>
      <c r="H2455" t="str">
        <f>TEXT(calendar[[#This Row],[WeekDay]],"dddd")</f>
        <v>Wednesday</v>
      </c>
      <c r="I2455">
        <f>IF((INT(calendar[[#This Row],[Count]]/7)-calendar[[#This Row],[Count]]/7)&lt;0,I2454,I2454+1)</f>
        <v>351</v>
      </c>
      <c r="J2455">
        <f t="shared" si="194"/>
        <v>2453</v>
      </c>
      <c r="K2455">
        <f>IF(calendar[[#This Row],[Month]]&lt;4,1,IF(calendar[[#This Row],[Month]]&lt;7,2,IF(calendar[[#This Row],[Month]]&lt;10,3,4)))</f>
        <v>3</v>
      </c>
      <c r="L2455">
        <f>IFERROR(IF(VLOOKUP(calendar[[#This Row],[Date]],BH!A:A,1,)&lt;&gt;"",1,0),0)</f>
        <v>0</v>
      </c>
      <c r="M2455">
        <f>IFERROR(IF(VLOOKUP(calendar[[#This Row],[Date]],BH!C:C,1,)&lt;&gt;"",1,0),0)</f>
        <v>0</v>
      </c>
      <c r="N2455">
        <f>IFERROR(IF(VLOOKUP(calendar[[#This Row],[Date]],BH!E:E,1,)&lt;&gt;"",1,0),0)</f>
        <v>0</v>
      </c>
      <c r="O2455">
        <f>IFERROR(IF(VLOOKUP(calendar[[#This Row],[Date]],BH!G:G,1,)&lt;&gt;"",1,0),0)</f>
        <v>0</v>
      </c>
      <c r="P2455">
        <f>IF(OR(calendar[[#This Row],[UK_BH]]=1,calendar[[#This Row],[WeekDay]]=1, calendar[[#This Row],[WeekDay]]=7),P2454,P2454+1)</f>
        <v>1753</v>
      </c>
      <c r="Q2455">
        <f>IF(OR(calendar[[#This Row],[FR_BH]]=1,calendar[[#This Row],[WeekDay]]=1, calendar[[#This Row],[WeekDay]]=7),P2454,P2454+1)</f>
        <v>1753</v>
      </c>
      <c r="R2455">
        <f>IF(OR(calendar[[#This Row],[SP_BH]]=1,calendar[[#This Row],[WeekDay]]=1, calendar[[#This Row],[WeekDay]]=7),P2454,P2454+1)</f>
        <v>1753</v>
      </c>
      <c r="S2455">
        <f>IF(OR(calendar[[#This Row],[PT_BH]]=1,calendar[[#This Row],[WeekDay]]=1, calendar[[#This Row],[WeekDay]]=7),P2454,P2454+1)</f>
        <v>1753</v>
      </c>
    </row>
    <row r="2456" spans="1:19" x14ac:dyDescent="0.25">
      <c r="A2456" s="2">
        <v>45190</v>
      </c>
      <c r="B2456" s="1">
        <f t="shared" si="193"/>
        <v>38</v>
      </c>
      <c r="C2456">
        <f t="shared" si="195"/>
        <v>9</v>
      </c>
      <c r="D2456" t="str">
        <f t="shared" si="196"/>
        <v>September</v>
      </c>
      <c r="E2456">
        <f t="shared" si="197"/>
        <v>2023</v>
      </c>
      <c r="F2456" t="str">
        <f>CONCATENATE(calendar[[#This Row],[Month]],"/",calendar[[#This Row],[Year]])</f>
        <v>9/2023</v>
      </c>
      <c r="G2456">
        <f>WEEKDAY(calendar[[#This Row],[Date]],1)</f>
        <v>5</v>
      </c>
      <c r="H2456" t="str">
        <f>TEXT(calendar[[#This Row],[WeekDay]],"dddd")</f>
        <v>Thursday</v>
      </c>
      <c r="I2456">
        <f>IF((INT(calendar[[#This Row],[Count]]/7)-calendar[[#This Row],[Count]]/7)&lt;0,I2455,I2455+1)</f>
        <v>351</v>
      </c>
      <c r="J2456">
        <f t="shared" si="194"/>
        <v>2454</v>
      </c>
      <c r="K2456">
        <f>IF(calendar[[#This Row],[Month]]&lt;4,1,IF(calendar[[#This Row],[Month]]&lt;7,2,IF(calendar[[#This Row],[Month]]&lt;10,3,4)))</f>
        <v>3</v>
      </c>
      <c r="L2456">
        <f>IFERROR(IF(VLOOKUP(calendar[[#This Row],[Date]],BH!A:A,1,)&lt;&gt;"",1,0),0)</f>
        <v>0</v>
      </c>
      <c r="M2456">
        <f>IFERROR(IF(VLOOKUP(calendar[[#This Row],[Date]],BH!C:C,1,)&lt;&gt;"",1,0),0)</f>
        <v>0</v>
      </c>
      <c r="N2456">
        <f>IFERROR(IF(VLOOKUP(calendar[[#This Row],[Date]],BH!E:E,1,)&lt;&gt;"",1,0),0)</f>
        <v>0</v>
      </c>
      <c r="O2456">
        <f>IFERROR(IF(VLOOKUP(calendar[[#This Row],[Date]],BH!G:G,1,)&lt;&gt;"",1,0),0)</f>
        <v>0</v>
      </c>
      <c r="P2456">
        <f>IF(OR(calendar[[#This Row],[UK_BH]]=1,calendar[[#This Row],[WeekDay]]=1, calendar[[#This Row],[WeekDay]]=7),P2455,P2455+1)</f>
        <v>1754</v>
      </c>
      <c r="Q2456">
        <f>IF(OR(calendar[[#This Row],[FR_BH]]=1,calendar[[#This Row],[WeekDay]]=1, calendar[[#This Row],[WeekDay]]=7),P2455,P2455+1)</f>
        <v>1754</v>
      </c>
      <c r="R2456">
        <f>IF(OR(calendar[[#This Row],[SP_BH]]=1,calendar[[#This Row],[WeekDay]]=1, calendar[[#This Row],[WeekDay]]=7),P2455,P2455+1)</f>
        <v>1754</v>
      </c>
      <c r="S2456">
        <f>IF(OR(calendar[[#This Row],[PT_BH]]=1,calendar[[#This Row],[WeekDay]]=1, calendar[[#This Row],[WeekDay]]=7),P2455,P2455+1)</f>
        <v>1754</v>
      </c>
    </row>
    <row r="2457" spans="1:19" x14ac:dyDescent="0.25">
      <c r="A2457" s="2">
        <v>45191</v>
      </c>
      <c r="B2457" s="1">
        <f t="shared" si="193"/>
        <v>38</v>
      </c>
      <c r="C2457">
        <f t="shared" si="195"/>
        <v>9</v>
      </c>
      <c r="D2457" t="str">
        <f t="shared" si="196"/>
        <v>September</v>
      </c>
      <c r="E2457">
        <f t="shared" si="197"/>
        <v>2023</v>
      </c>
      <c r="F2457" t="str">
        <f>CONCATENATE(calendar[[#This Row],[Month]],"/",calendar[[#This Row],[Year]])</f>
        <v>9/2023</v>
      </c>
      <c r="G2457">
        <f>WEEKDAY(calendar[[#This Row],[Date]],1)</f>
        <v>6</v>
      </c>
      <c r="H2457" t="str">
        <f>TEXT(calendar[[#This Row],[WeekDay]],"dddd")</f>
        <v>Friday</v>
      </c>
      <c r="I2457">
        <f>IF((INT(calendar[[#This Row],[Count]]/7)-calendar[[#This Row],[Count]]/7)&lt;0,I2456,I2456+1)</f>
        <v>351</v>
      </c>
      <c r="J2457">
        <f t="shared" si="194"/>
        <v>2455</v>
      </c>
      <c r="K2457">
        <f>IF(calendar[[#This Row],[Month]]&lt;4,1,IF(calendar[[#This Row],[Month]]&lt;7,2,IF(calendar[[#This Row],[Month]]&lt;10,3,4)))</f>
        <v>3</v>
      </c>
      <c r="L2457">
        <f>IFERROR(IF(VLOOKUP(calendar[[#This Row],[Date]],BH!A:A,1,)&lt;&gt;"",1,0),0)</f>
        <v>0</v>
      </c>
      <c r="M2457">
        <f>IFERROR(IF(VLOOKUP(calendar[[#This Row],[Date]],BH!C:C,1,)&lt;&gt;"",1,0),0)</f>
        <v>0</v>
      </c>
      <c r="N2457">
        <f>IFERROR(IF(VLOOKUP(calendar[[#This Row],[Date]],BH!E:E,1,)&lt;&gt;"",1,0),0)</f>
        <v>0</v>
      </c>
      <c r="O2457">
        <f>IFERROR(IF(VLOOKUP(calendar[[#This Row],[Date]],BH!G:G,1,)&lt;&gt;"",1,0),0)</f>
        <v>0</v>
      </c>
      <c r="P2457">
        <f>IF(OR(calendar[[#This Row],[UK_BH]]=1,calendar[[#This Row],[WeekDay]]=1, calendar[[#This Row],[WeekDay]]=7),P2456,P2456+1)</f>
        <v>1755</v>
      </c>
      <c r="Q2457">
        <f>IF(OR(calendar[[#This Row],[FR_BH]]=1,calendar[[#This Row],[WeekDay]]=1, calendar[[#This Row],[WeekDay]]=7),P2456,P2456+1)</f>
        <v>1755</v>
      </c>
      <c r="R2457">
        <f>IF(OR(calendar[[#This Row],[SP_BH]]=1,calendar[[#This Row],[WeekDay]]=1, calendar[[#This Row],[WeekDay]]=7),P2456,P2456+1)</f>
        <v>1755</v>
      </c>
      <c r="S2457">
        <f>IF(OR(calendar[[#This Row],[PT_BH]]=1,calendar[[#This Row],[WeekDay]]=1, calendar[[#This Row],[WeekDay]]=7),P2456,P2456+1)</f>
        <v>1755</v>
      </c>
    </row>
    <row r="2458" spans="1:19" x14ac:dyDescent="0.25">
      <c r="A2458" s="2">
        <v>45192</v>
      </c>
      <c r="B2458" s="1">
        <f t="shared" si="193"/>
        <v>38</v>
      </c>
      <c r="C2458">
        <f t="shared" si="195"/>
        <v>9</v>
      </c>
      <c r="D2458" t="str">
        <f t="shared" si="196"/>
        <v>September</v>
      </c>
      <c r="E2458">
        <f t="shared" si="197"/>
        <v>2023</v>
      </c>
      <c r="F2458" t="str">
        <f>CONCATENATE(calendar[[#This Row],[Month]],"/",calendar[[#This Row],[Year]])</f>
        <v>9/2023</v>
      </c>
      <c r="G2458">
        <f>WEEKDAY(calendar[[#This Row],[Date]],1)</f>
        <v>7</v>
      </c>
      <c r="H2458" t="str">
        <f>TEXT(calendar[[#This Row],[WeekDay]],"dddd")</f>
        <v>Saturday</v>
      </c>
      <c r="I2458">
        <f>IF((INT(calendar[[#This Row],[Count]]/7)-calendar[[#This Row],[Count]]/7)&lt;0,I2457,I2457+1)</f>
        <v>351</v>
      </c>
      <c r="J2458">
        <f t="shared" si="194"/>
        <v>2456</v>
      </c>
      <c r="K2458">
        <f>IF(calendar[[#This Row],[Month]]&lt;4,1,IF(calendar[[#This Row],[Month]]&lt;7,2,IF(calendar[[#This Row],[Month]]&lt;10,3,4)))</f>
        <v>3</v>
      </c>
      <c r="L2458">
        <f>IFERROR(IF(VLOOKUP(calendar[[#This Row],[Date]],BH!A:A,1,)&lt;&gt;"",1,0),0)</f>
        <v>0</v>
      </c>
      <c r="M2458">
        <f>IFERROR(IF(VLOOKUP(calendar[[#This Row],[Date]],BH!C:C,1,)&lt;&gt;"",1,0),0)</f>
        <v>0</v>
      </c>
      <c r="N2458">
        <f>IFERROR(IF(VLOOKUP(calendar[[#This Row],[Date]],BH!E:E,1,)&lt;&gt;"",1,0),0)</f>
        <v>0</v>
      </c>
      <c r="O2458">
        <f>IFERROR(IF(VLOOKUP(calendar[[#This Row],[Date]],BH!G:G,1,)&lt;&gt;"",1,0),0)</f>
        <v>0</v>
      </c>
      <c r="P2458">
        <f>IF(OR(calendar[[#This Row],[UK_BH]]=1,calendar[[#This Row],[WeekDay]]=1, calendar[[#This Row],[WeekDay]]=7),P2457,P2457+1)</f>
        <v>1755</v>
      </c>
      <c r="Q2458">
        <f>IF(OR(calendar[[#This Row],[FR_BH]]=1,calendar[[#This Row],[WeekDay]]=1, calendar[[#This Row],[WeekDay]]=7),P2457,P2457+1)</f>
        <v>1755</v>
      </c>
      <c r="R2458">
        <f>IF(OR(calendar[[#This Row],[SP_BH]]=1,calendar[[#This Row],[WeekDay]]=1, calendar[[#This Row],[WeekDay]]=7),P2457,P2457+1)</f>
        <v>1755</v>
      </c>
      <c r="S2458">
        <f>IF(OR(calendar[[#This Row],[PT_BH]]=1,calendar[[#This Row],[WeekDay]]=1, calendar[[#This Row],[WeekDay]]=7),P2457,P2457+1)</f>
        <v>1755</v>
      </c>
    </row>
    <row r="2459" spans="1:19" x14ac:dyDescent="0.25">
      <c r="A2459" s="2">
        <v>45193</v>
      </c>
      <c r="B2459" s="1">
        <f t="shared" si="193"/>
        <v>39</v>
      </c>
      <c r="C2459">
        <f t="shared" si="195"/>
        <v>9</v>
      </c>
      <c r="D2459" t="str">
        <f t="shared" si="196"/>
        <v>September</v>
      </c>
      <c r="E2459">
        <f t="shared" si="197"/>
        <v>2023</v>
      </c>
      <c r="F2459" t="str">
        <f>CONCATENATE(calendar[[#This Row],[Month]],"/",calendar[[#This Row],[Year]])</f>
        <v>9/2023</v>
      </c>
      <c r="G2459">
        <f>WEEKDAY(calendar[[#This Row],[Date]],1)</f>
        <v>1</v>
      </c>
      <c r="H2459" t="str">
        <f>TEXT(calendar[[#This Row],[WeekDay]],"dddd")</f>
        <v>Sunday</v>
      </c>
      <c r="I2459">
        <f>IF((INT(calendar[[#This Row],[Count]]/7)-calendar[[#This Row],[Count]]/7)&lt;0,I2458,I2458+1)</f>
        <v>352</v>
      </c>
      <c r="J2459">
        <f t="shared" si="194"/>
        <v>2457</v>
      </c>
      <c r="K2459">
        <f>IF(calendar[[#This Row],[Month]]&lt;4,1,IF(calendar[[#This Row],[Month]]&lt;7,2,IF(calendar[[#This Row],[Month]]&lt;10,3,4)))</f>
        <v>3</v>
      </c>
      <c r="L2459">
        <f>IFERROR(IF(VLOOKUP(calendar[[#This Row],[Date]],BH!A:A,1,)&lt;&gt;"",1,0),0)</f>
        <v>0</v>
      </c>
      <c r="M2459">
        <f>IFERROR(IF(VLOOKUP(calendar[[#This Row],[Date]],BH!C:C,1,)&lt;&gt;"",1,0),0)</f>
        <v>0</v>
      </c>
      <c r="N2459">
        <f>IFERROR(IF(VLOOKUP(calendar[[#This Row],[Date]],BH!E:E,1,)&lt;&gt;"",1,0),0)</f>
        <v>0</v>
      </c>
      <c r="O2459">
        <f>IFERROR(IF(VLOOKUP(calendar[[#This Row],[Date]],BH!G:G,1,)&lt;&gt;"",1,0),0)</f>
        <v>0</v>
      </c>
      <c r="P2459">
        <f>IF(OR(calendar[[#This Row],[UK_BH]]=1,calendar[[#This Row],[WeekDay]]=1, calendar[[#This Row],[WeekDay]]=7),P2458,P2458+1)</f>
        <v>1755</v>
      </c>
      <c r="Q2459">
        <f>IF(OR(calendar[[#This Row],[FR_BH]]=1,calendar[[#This Row],[WeekDay]]=1, calendar[[#This Row],[WeekDay]]=7),P2458,P2458+1)</f>
        <v>1755</v>
      </c>
      <c r="R2459">
        <f>IF(OR(calendar[[#This Row],[SP_BH]]=1,calendar[[#This Row],[WeekDay]]=1, calendar[[#This Row],[WeekDay]]=7),P2458,P2458+1)</f>
        <v>1755</v>
      </c>
      <c r="S2459">
        <f>IF(OR(calendar[[#This Row],[PT_BH]]=1,calendar[[#This Row],[WeekDay]]=1, calendar[[#This Row],[WeekDay]]=7),P2458,P2458+1)</f>
        <v>1755</v>
      </c>
    </row>
    <row r="2460" spans="1:19" x14ac:dyDescent="0.25">
      <c r="A2460" s="2">
        <v>45194</v>
      </c>
      <c r="B2460" s="1">
        <f t="shared" si="193"/>
        <v>39</v>
      </c>
      <c r="C2460">
        <f t="shared" si="195"/>
        <v>9</v>
      </c>
      <c r="D2460" t="str">
        <f t="shared" si="196"/>
        <v>September</v>
      </c>
      <c r="E2460">
        <f t="shared" si="197"/>
        <v>2023</v>
      </c>
      <c r="F2460" t="str">
        <f>CONCATENATE(calendar[[#This Row],[Month]],"/",calendar[[#This Row],[Year]])</f>
        <v>9/2023</v>
      </c>
      <c r="G2460">
        <f>WEEKDAY(calendar[[#This Row],[Date]],1)</f>
        <v>2</v>
      </c>
      <c r="H2460" t="str">
        <f>TEXT(calendar[[#This Row],[WeekDay]],"dddd")</f>
        <v>Monday</v>
      </c>
      <c r="I2460">
        <f>IF((INT(calendar[[#This Row],[Count]]/7)-calendar[[#This Row],[Count]]/7)&lt;0,I2459,I2459+1)</f>
        <v>352</v>
      </c>
      <c r="J2460">
        <f t="shared" si="194"/>
        <v>2458</v>
      </c>
      <c r="K2460">
        <f>IF(calendar[[#This Row],[Month]]&lt;4,1,IF(calendar[[#This Row],[Month]]&lt;7,2,IF(calendar[[#This Row],[Month]]&lt;10,3,4)))</f>
        <v>3</v>
      </c>
      <c r="L2460">
        <f>IFERROR(IF(VLOOKUP(calendar[[#This Row],[Date]],BH!A:A,1,)&lt;&gt;"",1,0),0)</f>
        <v>0</v>
      </c>
      <c r="M2460">
        <f>IFERROR(IF(VLOOKUP(calendar[[#This Row],[Date]],BH!C:C,1,)&lt;&gt;"",1,0),0)</f>
        <v>0</v>
      </c>
      <c r="N2460">
        <f>IFERROR(IF(VLOOKUP(calendar[[#This Row],[Date]],BH!E:E,1,)&lt;&gt;"",1,0),0)</f>
        <v>0</v>
      </c>
      <c r="O2460">
        <f>IFERROR(IF(VLOOKUP(calendar[[#This Row],[Date]],BH!G:G,1,)&lt;&gt;"",1,0),0)</f>
        <v>0</v>
      </c>
      <c r="P2460">
        <f>IF(OR(calendar[[#This Row],[UK_BH]]=1,calendar[[#This Row],[WeekDay]]=1, calendar[[#This Row],[WeekDay]]=7),P2459,P2459+1)</f>
        <v>1756</v>
      </c>
      <c r="Q2460">
        <f>IF(OR(calendar[[#This Row],[FR_BH]]=1,calendar[[#This Row],[WeekDay]]=1, calendar[[#This Row],[WeekDay]]=7),P2459,P2459+1)</f>
        <v>1756</v>
      </c>
      <c r="R2460">
        <f>IF(OR(calendar[[#This Row],[SP_BH]]=1,calendar[[#This Row],[WeekDay]]=1, calendar[[#This Row],[WeekDay]]=7),P2459,P2459+1)</f>
        <v>1756</v>
      </c>
      <c r="S2460">
        <f>IF(OR(calendar[[#This Row],[PT_BH]]=1,calendar[[#This Row],[WeekDay]]=1, calendar[[#This Row],[WeekDay]]=7),P2459,P2459+1)</f>
        <v>1756</v>
      </c>
    </row>
    <row r="2461" spans="1:19" x14ac:dyDescent="0.25">
      <c r="A2461" s="2">
        <v>45195</v>
      </c>
      <c r="B2461" s="1">
        <f t="shared" si="193"/>
        <v>39</v>
      </c>
      <c r="C2461">
        <f t="shared" si="195"/>
        <v>9</v>
      </c>
      <c r="D2461" t="str">
        <f t="shared" si="196"/>
        <v>September</v>
      </c>
      <c r="E2461">
        <f t="shared" si="197"/>
        <v>2023</v>
      </c>
      <c r="F2461" t="str">
        <f>CONCATENATE(calendar[[#This Row],[Month]],"/",calendar[[#This Row],[Year]])</f>
        <v>9/2023</v>
      </c>
      <c r="G2461">
        <f>WEEKDAY(calendar[[#This Row],[Date]],1)</f>
        <v>3</v>
      </c>
      <c r="H2461" t="str">
        <f>TEXT(calendar[[#This Row],[WeekDay]],"dddd")</f>
        <v>Tuesday</v>
      </c>
      <c r="I2461">
        <f>IF((INT(calendar[[#This Row],[Count]]/7)-calendar[[#This Row],[Count]]/7)&lt;0,I2460,I2460+1)</f>
        <v>352</v>
      </c>
      <c r="J2461">
        <f t="shared" si="194"/>
        <v>2459</v>
      </c>
      <c r="K2461">
        <f>IF(calendar[[#This Row],[Month]]&lt;4,1,IF(calendar[[#This Row],[Month]]&lt;7,2,IF(calendar[[#This Row],[Month]]&lt;10,3,4)))</f>
        <v>3</v>
      </c>
      <c r="L2461">
        <f>IFERROR(IF(VLOOKUP(calendar[[#This Row],[Date]],BH!A:A,1,)&lt;&gt;"",1,0),0)</f>
        <v>0</v>
      </c>
      <c r="M2461">
        <f>IFERROR(IF(VLOOKUP(calendar[[#This Row],[Date]],BH!C:C,1,)&lt;&gt;"",1,0),0)</f>
        <v>0</v>
      </c>
      <c r="N2461">
        <f>IFERROR(IF(VLOOKUP(calendar[[#This Row],[Date]],BH!E:E,1,)&lt;&gt;"",1,0),0)</f>
        <v>0</v>
      </c>
      <c r="O2461">
        <f>IFERROR(IF(VLOOKUP(calendar[[#This Row],[Date]],BH!G:G,1,)&lt;&gt;"",1,0),0)</f>
        <v>0</v>
      </c>
      <c r="P2461">
        <f>IF(OR(calendar[[#This Row],[UK_BH]]=1,calendar[[#This Row],[WeekDay]]=1, calendar[[#This Row],[WeekDay]]=7),P2460,P2460+1)</f>
        <v>1757</v>
      </c>
      <c r="Q2461">
        <f>IF(OR(calendar[[#This Row],[FR_BH]]=1,calendar[[#This Row],[WeekDay]]=1, calendar[[#This Row],[WeekDay]]=7),P2460,P2460+1)</f>
        <v>1757</v>
      </c>
      <c r="R2461">
        <f>IF(OR(calendar[[#This Row],[SP_BH]]=1,calendar[[#This Row],[WeekDay]]=1, calendar[[#This Row],[WeekDay]]=7),P2460,P2460+1)</f>
        <v>1757</v>
      </c>
      <c r="S2461">
        <f>IF(OR(calendar[[#This Row],[PT_BH]]=1,calendar[[#This Row],[WeekDay]]=1, calendar[[#This Row],[WeekDay]]=7),P2460,P2460+1)</f>
        <v>1757</v>
      </c>
    </row>
    <row r="2462" spans="1:19" x14ac:dyDescent="0.25">
      <c r="A2462" s="2">
        <v>45196</v>
      </c>
      <c r="B2462" s="1">
        <f t="shared" si="193"/>
        <v>39</v>
      </c>
      <c r="C2462">
        <f t="shared" si="195"/>
        <v>9</v>
      </c>
      <c r="D2462" t="str">
        <f t="shared" si="196"/>
        <v>September</v>
      </c>
      <c r="E2462">
        <f t="shared" si="197"/>
        <v>2023</v>
      </c>
      <c r="F2462" t="str">
        <f>CONCATENATE(calendar[[#This Row],[Month]],"/",calendar[[#This Row],[Year]])</f>
        <v>9/2023</v>
      </c>
      <c r="G2462">
        <f>WEEKDAY(calendar[[#This Row],[Date]],1)</f>
        <v>4</v>
      </c>
      <c r="H2462" t="str">
        <f>TEXT(calendar[[#This Row],[WeekDay]],"dddd")</f>
        <v>Wednesday</v>
      </c>
      <c r="I2462">
        <f>IF((INT(calendar[[#This Row],[Count]]/7)-calendar[[#This Row],[Count]]/7)&lt;0,I2461,I2461+1)</f>
        <v>352</v>
      </c>
      <c r="J2462">
        <f t="shared" si="194"/>
        <v>2460</v>
      </c>
      <c r="K2462">
        <f>IF(calendar[[#This Row],[Month]]&lt;4,1,IF(calendar[[#This Row],[Month]]&lt;7,2,IF(calendar[[#This Row],[Month]]&lt;10,3,4)))</f>
        <v>3</v>
      </c>
      <c r="L2462">
        <f>IFERROR(IF(VLOOKUP(calendar[[#This Row],[Date]],BH!A:A,1,)&lt;&gt;"",1,0),0)</f>
        <v>0</v>
      </c>
      <c r="M2462">
        <f>IFERROR(IF(VLOOKUP(calendar[[#This Row],[Date]],BH!C:C,1,)&lt;&gt;"",1,0),0)</f>
        <v>0</v>
      </c>
      <c r="N2462">
        <f>IFERROR(IF(VLOOKUP(calendar[[#This Row],[Date]],BH!E:E,1,)&lt;&gt;"",1,0),0)</f>
        <v>0</v>
      </c>
      <c r="O2462">
        <f>IFERROR(IF(VLOOKUP(calendar[[#This Row],[Date]],BH!G:G,1,)&lt;&gt;"",1,0),0)</f>
        <v>0</v>
      </c>
      <c r="P2462">
        <f>IF(OR(calendar[[#This Row],[UK_BH]]=1,calendar[[#This Row],[WeekDay]]=1, calendar[[#This Row],[WeekDay]]=7),P2461,P2461+1)</f>
        <v>1758</v>
      </c>
      <c r="Q2462">
        <f>IF(OR(calendar[[#This Row],[FR_BH]]=1,calendar[[#This Row],[WeekDay]]=1, calendar[[#This Row],[WeekDay]]=7),P2461,P2461+1)</f>
        <v>1758</v>
      </c>
      <c r="R2462">
        <f>IF(OR(calendar[[#This Row],[SP_BH]]=1,calendar[[#This Row],[WeekDay]]=1, calendar[[#This Row],[WeekDay]]=7),P2461,P2461+1)</f>
        <v>1758</v>
      </c>
      <c r="S2462">
        <f>IF(OR(calendar[[#This Row],[PT_BH]]=1,calendar[[#This Row],[WeekDay]]=1, calendar[[#This Row],[WeekDay]]=7),P2461,P2461+1)</f>
        <v>1758</v>
      </c>
    </row>
    <row r="2463" spans="1:19" x14ac:dyDescent="0.25">
      <c r="A2463" s="2">
        <v>45197</v>
      </c>
      <c r="B2463" s="1">
        <f t="shared" si="193"/>
        <v>39</v>
      </c>
      <c r="C2463">
        <f t="shared" si="195"/>
        <v>9</v>
      </c>
      <c r="D2463" t="str">
        <f t="shared" si="196"/>
        <v>September</v>
      </c>
      <c r="E2463">
        <f t="shared" si="197"/>
        <v>2023</v>
      </c>
      <c r="F2463" t="str">
        <f>CONCATENATE(calendar[[#This Row],[Month]],"/",calendar[[#This Row],[Year]])</f>
        <v>9/2023</v>
      </c>
      <c r="G2463">
        <f>WEEKDAY(calendar[[#This Row],[Date]],1)</f>
        <v>5</v>
      </c>
      <c r="H2463" t="str">
        <f>TEXT(calendar[[#This Row],[WeekDay]],"dddd")</f>
        <v>Thursday</v>
      </c>
      <c r="I2463">
        <f>IF((INT(calendar[[#This Row],[Count]]/7)-calendar[[#This Row],[Count]]/7)&lt;0,I2462,I2462+1)</f>
        <v>352</v>
      </c>
      <c r="J2463">
        <f t="shared" si="194"/>
        <v>2461</v>
      </c>
      <c r="K2463">
        <f>IF(calendar[[#This Row],[Month]]&lt;4,1,IF(calendar[[#This Row],[Month]]&lt;7,2,IF(calendar[[#This Row],[Month]]&lt;10,3,4)))</f>
        <v>3</v>
      </c>
      <c r="L2463">
        <f>IFERROR(IF(VLOOKUP(calendar[[#This Row],[Date]],BH!A:A,1,)&lt;&gt;"",1,0),0)</f>
        <v>0</v>
      </c>
      <c r="M2463">
        <f>IFERROR(IF(VLOOKUP(calendar[[#This Row],[Date]],BH!C:C,1,)&lt;&gt;"",1,0),0)</f>
        <v>0</v>
      </c>
      <c r="N2463">
        <f>IFERROR(IF(VLOOKUP(calendar[[#This Row],[Date]],BH!E:E,1,)&lt;&gt;"",1,0),0)</f>
        <v>0</v>
      </c>
      <c r="O2463">
        <f>IFERROR(IF(VLOOKUP(calendar[[#This Row],[Date]],BH!G:G,1,)&lt;&gt;"",1,0),0)</f>
        <v>0</v>
      </c>
      <c r="P2463">
        <f>IF(OR(calendar[[#This Row],[UK_BH]]=1,calendar[[#This Row],[WeekDay]]=1, calendar[[#This Row],[WeekDay]]=7),P2462,P2462+1)</f>
        <v>1759</v>
      </c>
      <c r="Q2463">
        <f>IF(OR(calendar[[#This Row],[FR_BH]]=1,calendar[[#This Row],[WeekDay]]=1, calendar[[#This Row],[WeekDay]]=7),P2462,P2462+1)</f>
        <v>1759</v>
      </c>
      <c r="R2463">
        <f>IF(OR(calendar[[#This Row],[SP_BH]]=1,calendar[[#This Row],[WeekDay]]=1, calendar[[#This Row],[WeekDay]]=7),P2462,P2462+1)</f>
        <v>1759</v>
      </c>
      <c r="S2463">
        <f>IF(OR(calendar[[#This Row],[PT_BH]]=1,calendar[[#This Row],[WeekDay]]=1, calendar[[#This Row],[WeekDay]]=7),P2462,P2462+1)</f>
        <v>1759</v>
      </c>
    </row>
    <row r="2464" spans="1:19" x14ac:dyDescent="0.25">
      <c r="A2464" s="2">
        <v>45198</v>
      </c>
      <c r="B2464" s="1">
        <f t="shared" si="193"/>
        <v>39</v>
      </c>
      <c r="C2464">
        <f t="shared" si="195"/>
        <v>9</v>
      </c>
      <c r="D2464" t="str">
        <f t="shared" si="196"/>
        <v>September</v>
      </c>
      <c r="E2464">
        <f t="shared" si="197"/>
        <v>2023</v>
      </c>
      <c r="F2464" t="str">
        <f>CONCATENATE(calendar[[#This Row],[Month]],"/",calendar[[#This Row],[Year]])</f>
        <v>9/2023</v>
      </c>
      <c r="G2464">
        <f>WEEKDAY(calendar[[#This Row],[Date]],1)</f>
        <v>6</v>
      </c>
      <c r="H2464" t="str">
        <f>TEXT(calendar[[#This Row],[WeekDay]],"dddd")</f>
        <v>Friday</v>
      </c>
      <c r="I2464">
        <f>IF((INT(calendar[[#This Row],[Count]]/7)-calendar[[#This Row],[Count]]/7)&lt;0,I2463,I2463+1)</f>
        <v>352</v>
      </c>
      <c r="J2464">
        <f t="shared" si="194"/>
        <v>2462</v>
      </c>
      <c r="K2464">
        <f>IF(calendar[[#This Row],[Month]]&lt;4,1,IF(calendar[[#This Row],[Month]]&lt;7,2,IF(calendar[[#This Row],[Month]]&lt;10,3,4)))</f>
        <v>3</v>
      </c>
      <c r="L2464">
        <f>IFERROR(IF(VLOOKUP(calendar[[#This Row],[Date]],BH!A:A,1,)&lt;&gt;"",1,0),0)</f>
        <v>0</v>
      </c>
      <c r="M2464">
        <f>IFERROR(IF(VLOOKUP(calendar[[#This Row],[Date]],BH!C:C,1,)&lt;&gt;"",1,0),0)</f>
        <v>0</v>
      </c>
      <c r="N2464">
        <f>IFERROR(IF(VLOOKUP(calendar[[#This Row],[Date]],BH!E:E,1,)&lt;&gt;"",1,0),0)</f>
        <v>0</v>
      </c>
      <c r="O2464">
        <f>IFERROR(IF(VLOOKUP(calendar[[#This Row],[Date]],BH!G:G,1,)&lt;&gt;"",1,0),0)</f>
        <v>0</v>
      </c>
      <c r="P2464">
        <f>IF(OR(calendar[[#This Row],[UK_BH]]=1,calendar[[#This Row],[WeekDay]]=1, calendar[[#This Row],[WeekDay]]=7),P2463,P2463+1)</f>
        <v>1760</v>
      </c>
      <c r="Q2464">
        <f>IF(OR(calendar[[#This Row],[FR_BH]]=1,calendar[[#This Row],[WeekDay]]=1, calendar[[#This Row],[WeekDay]]=7),P2463,P2463+1)</f>
        <v>1760</v>
      </c>
      <c r="R2464">
        <f>IF(OR(calendar[[#This Row],[SP_BH]]=1,calendar[[#This Row],[WeekDay]]=1, calendar[[#This Row],[WeekDay]]=7),P2463,P2463+1)</f>
        <v>1760</v>
      </c>
      <c r="S2464">
        <f>IF(OR(calendar[[#This Row],[PT_BH]]=1,calendar[[#This Row],[WeekDay]]=1, calendar[[#This Row],[WeekDay]]=7),P2463,P2463+1)</f>
        <v>1760</v>
      </c>
    </row>
    <row r="2465" spans="1:19" x14ac:dyDescent="0.25">
      <c r="A2465" s="2">
        <v>45199</v>
      </c>
      <c r="B2465" s="1">
        <f t="shared" si="193"/>
        <v>39</v>
      </c>
      <c r="C2465">
        <f t="shared" si="195"/>
        <v>9</v>
      </c>
      <c r="D2465" t="str">
        <f t="shared" si="196"/>
        <v>September</v>
      </c>
      <c r="E2465">
        <f t="shared" si="197"/>
        <v>2023</v>
      </c>
      <c r="F2465" t="str">
        <f>CONCATENATE(calendar[[#This Row],[Month]],"/",calendar[[#This Row],[Year]])</f>
        <v>9/2023</v>
      </c>
      <c r="G2465">
        <f>WEEKDAY(calendar[[#This Row],[Date]],1)</f>
        <v>7</v>
      </c>
      <c r="H2465" t="str">
        <f>TEXT(calendar[[#This Row],[WeekDay]],"dddd")</f>
        <v>Saturday</v>
      </c>
      <c r="I2465">
        <f>IF((INT(calendar[[#This Row],[Count]]/7)-calendar[[#This Row],[Count]]/7)&lt;0,I2464,I2464+1)</f>
        <v>352</v>
      </c>
      <c r="J2465">
        <f t="shared" si="194"/>
        <v>2463</v>
      </c>
      <c r="K2465">
        <f>IF(calendar[[#This Row],[Month]]&lt;4,1,IF(calendar[[#This Row],[Month]]&lt;7,2,IF(calendar[[#This Row],[Month]]&lt;10,3,4)))</f>
        <v>3</v>
      </c>
      <c r="L2465">
        <f>IFERROR(IF(VLOOKUP(calendar[[#This Row],[Date]],BH!A:A,1,)&lt;&gt;"",1,0),0)</f>
        <v>0</v>
      </c>
      <c r="M2465">
        <f>IFERROR(IF(VLOOKUP(calendar[[#This Row],[Date]],BH!C:C,1,)&lt;&gt;"",1,0),0)</f>
        <v>0</v>
      </c>
      <c r="N2465">
        <f>IFERROR(IF(VLOOKUP(calendar[[#This Row],[Date]],BH!E:E,1,)&lt;&gt;"",1,0),0)</f>
        <v>0</v>
      </c>
      <c r="O2465">
        <f>IFERROR(IF(VLOOKUP(calendar[[#This Row],[Date]],BH!G:G,1,)&lt;&gt;"",1,0),0)</f>
        <v>0</v>
      </c>
      <c r="P2465">
        <f>IF(OR(calendar[[#This Row],[UK_BH]]=1,calendar[[#This Row],[WeekDay]]=1, calendar[[#This Row],[WeekDay]]=7),P2464,P2464+1)</f>
        <v>1760</v>
      </c>
      <c r="Q2465">
        <f>IF(OR(calendar[[#This Row],[FR_BH]]=1,calendar[[#This Row],[WeekDay]]=1, calendar[[#This Row],[WeekDay]]=7),P2464,P2464+1)</f>
        <v>1760</v>
      </c>
      <c r="R2465">
        <f>IF(OR(calendar[[#This Row],[SP_BH]]=1,calendar[[#This Row],[WeekDay]]=1, calendar[[#This Row],[WeekDay]]=7),P2464,P2464+1)</f>
        <v>1760</v>
      </c>
      <c r="S2465">
        <f>IF(OR(calendar[[#This Row],[PT_BH]]=1,calendar[[#This Row],[WeekDay]]=1, calendar[[#This Row],[WeekDay]]=7),P2464,P2464+1)</f>
        <v>1760</v>
      </c>
    </row>
    <row r="2466" spans="1:19" x14ac:dyDescent="0.25">
      <c r="A2466" s="2">
        <v>45200</v>
      </c>
      <c r="B2466" s="1">
        <f t="shared" si="193"/>
        <v>40</v>
      </c>
      <c r="C2466">
        <f t="shared" si="195"/>
        <v>10</v>
      </c>
      <c r="D2466" t="str">
        <f t="shared" si="196"/>
        <v>October</v>
      </c>
      <c r="E2466">
        <f t="shared" si="197"/>
        <v>2023</v>
      </c>
      <c r="F2466" t="str">
        <f>CONCATENATE(calendar[[#This Row],[Month]],"/",calendar[[#This Row],[Year]])</f>
        <v>10/2023</v>
      </c>
      <c r="G2466">
        <f>WEEKDAY(calendar[[#This Row],[Date]],1)</f>
        <v>1</v>
      </c>
      <c r="H2466" t="str">
        <f>TEXT(calendar[[#This Row],[WeekDay]],"dddd")</f>
        <v>Sunday</v>
      </c>
      <c r="I2466">
        <f>IF((INT(calendar[[#This Row],[Count]]/7)-calendar[[#This Row],[Count]]/7)&lt;0,I2465,I2465+1)</f>
        <v>353</v>
      </c>
      <c r="J2466">
        <f t="shared" si="194"/>
        <v>2464</v>
      </c>
      <c r="K2466">
        <f>IF(calendar[[#This Row],[Month]]&lt;4,1,IF(calendar[[#This Row],[Month]]&lt;7,2,IF(calendar[[#This Row],[Month]]&lt;10,3,4)))</f>
        <v>4</v>
      </c>
      <c r="L2466">
        <f>IFERROR(IF(VLOOKUP(calendar[[#This Row],[Date]],BH!A:A,1,)&lt;&gt;"",1,0),0)</f>
        <v>0</v>
      </c>
      <c r="M2466">
        <f>IFERROR(IF(VLOOKUP(calendar[[#This Row],[Date]],BH!C:C,1,)&lt;&gt;"",1,0),0)</f>
        <v>0</v>
      </c>
      <c r="N2466">
        <f>IFERROR(IF(VLOOKUP(calendar[[#This Row],[Date]],BH!E:E,1,)&lt;&gt;"",1,0),0)</f>
        <v>0</v>
      </c>
      <c r="O2466">
        <f>IFERROR(IF(VLOOKUP(calendar[[#This Row],[Date]],BH!G:G,1,)&lt;&gt;"",1,0),0)</f>
        <v>0</v>
      </c>
      <c r="P2466">
        <f>IF(OR(calendar[[#This Row],[UK_BH]]=1,calendar[[#This Row],[WeekDay]]=1, calendar[[#This Row],[WeekDay]]=7),P2465,P2465+1)</f>
        <v>1760</v>
      </c>
      <c r="Q2466">
        <f>IF(OR(calendar[[#This Row],[FR_BH]]=1,calendar[[#This Row],[WeekDay]]=1, calendar[[#This Row],[WeekDay]]=7),P2465,P2465+1)</f>
        <v>1760</v>
      </c>
      <c r="R2466">
        <f>IF(OR(calendar[[#This Row],[SP_BH]]=1,calendar[[#This Row],[WeekDay]]=1, calendar[[#This Row],[WeekDay]]=7),P2465,P2465+1)</f>
        <v>1760</v>
      </c>
      <c r="S2466">
        <f>IF(OR(calendar[[#This Row],[PT_BH]]=1,calendar[[#This Row],[WeekDay]]=1, calendar[[#This Row],[WeekDay]]=7),P2465,P2465+1)</f>
        <v>1760</v>
      </c>
    </row>
    <row r="2467" spans="1:19" x14ac:dyDescent="0.25">
      <c r="A2467" s="2">
        <v>45201</v>
      </c>
      <c r="B2467" s="1">
        <f t="shared" si="193"/>
        <v>40</v>
      </c>
      <c r="C2467">
        <f t="shared" si="195"/>
        <v>10</v>
      </c>
      <c r="D2467" t="str">
        <f t="shared" si="196"/>
        <v>October</v>
      </c>
      <c r="E2467">
        <f t="shared" si="197"/>
        <v>2023</v>
      </c>
      <c r="F2467" t="str">
        <f>CONCATENATE(calendar[[#This Row],[Month]],"/",calendar[[#This Row],[Year]])</f>
        <v>10/2023</v>
      </c>
      <c r="G2467">
        <f>WEEKDAY(calendar[[#This Row],[Date]],1)</f>
        <v>2</v>
      </c>
      <c r="H2467" t="str">
        <f>TEXT(calendar[[#This Row],[WeekDay]],"dddd")</f>
        <v>Monday</v>
      </c>
      <c r="I2467">
        <f>IF((INT(calendar[[#This Row],[Count]]/7)-calendar[[#This Row],[Count]]/7)&lt;0,I2466,I2466+1)</f>
        <v>353</v>
      </c>
      <c r="J2467">
        <f t="shared" si="194"/>
        <v>2465</v>
      </c>
      <c r="K2467">
        <f>IF(calendar[[#This Row],[Month]]&lt;4,1,IF(calendar[[#This Row],[Month]]&lt;7,2,IF(calendar[[#This Row],[Month]]&lt;10,3,4)))</f>
        <v>4</v>
      </c>
      <c r="L2467">
        <f>IFERROR(IF(VLOOKUP(calendar[[#This Row],[Date]],BH!A:A,1,)&lt;&gt;"",1,0),0)</f>
        <v>0</v>
      </c>
      <c r="M2467">
        <f>IFERROR(IF(VLOOKUP(calendar[[#This Row],[Date]],BH!C:C,1,)&lt;&gt;"",1,0),0)</f>
        <v>0</v>
      </c>
      <c r="N2467">
        <f>IFERROR(IF(VLOOKUP(calendar[[#This Row],[Date]],BH!E:E,1,)&lt;&gt;"",1,0),0)</f>
        <v>0</v>
      </c>
      <c r="O2467">
        <f>IFERROR(IF(VLOOKUP(calendar[[#This Row],[Date]],BH!G:G,1,)&lt;&gt;"",1,0),0)</f>
        <v>0</v>
      </c>
      <c r="P2467">
        <f>IF(OR(calendar[[#This Row],[UK_BH]]=1,calendar[[#This Row],[WeekDay]]=1, calendar[[#This Row],[WeekDay]]=7),P2466,P2466+1)</f>
        <v>1761</v>
      </c>
      <c r="Q2467">
        <f>IF(OR(calendar[[#This Row],[FR_BH]]=1,calendar[[#This Row],[WeekDay]]=1, calendar[[#This Row],[WeekDay]]=7),P2466,P2466+1)</f>
        <v>1761</v>
      </c>
      <c r="R2467">
        <f>IF(OR(calendar[[#This Row],[SP_BH]]=1,calendar[[#This Row],[WeekDay]]=1, calendar[[#This Row],[WeekDay]]=7),P2466,P2466+1)</f>
        <v>1761</v>
      </c>
      <c r="S2467">
        <f>IF(OR(calendar[[#This Row],[PT_BH]]=1,calendar[[#This Row],[WeekDay]]=1, calendar[[#This Row],[WeekDay]]=7),P2466,P2466+1)</f>
        <v>1761</v>
      </c>
    </row>
    <row r="2468" spans="1:19" x14ac:dyDescent="0.25">
      <c r="A2468" s="2">
        <v>45202</v>
      </c>
      <c r="B2468" s="1">
        <f t="shared" si="193"/>
        <v>40</v>
      </c>
      <c r="C2468">
        <f t="shared" si="195"/>
        <v>10</v>
      </c>
      <c r="D2468" t="str">
        <f t="shared" si="196"/>
        <v>October</v>
      </c>
      <c r="E2468">
        <f t="shared" si="197"/>
        <v>2023</v>
      </c>
      <c r="F2468" t="str">
        <f>CONCATENATE(calendar[[#This Row],[Month]],"/",calendar[[#This Row],[Year]])</f>
        <v>10/2023</v>
      </c>
      <c r="G2468">
        <f>WEEKDAY(calendar[[#This Row],[Date]],1)</f>
        <v>3</v>
      </c>
      <c r="H2468" t="str">
        <f>TEXT(calendar[[#This Row],[WeekDay]],"dddd")</f>
        <v>Tuesday</v>
      </c>
      <c r="I2468">
        <f>IF((INT(calendar[[#This Row],[Count]]/7)-calendar[[#This Row],[Count]]/7)&lt;0,I2467,I2467+1)</f>
        <v>353</v>
      </c>
      <c r="J2468">
        <f t="shared" si="194"/>
        <v>2466</v>
      </c>
      <c r="K2468">
        <f>IF(calendar[[#This Row],[Month]]&lt;4,1,IF(calendar[[#This Row],[Month]]&lt;7,2,IF(calendar[[#This Row],[Month]]&lt;10,3,4)))</f>
        <v>4</v>
      </c>
      <c r="L2468">
        <f>IFERROR(IF(VLOOKUP(calendar[[#This Row],[Date]],BH!A:A,1,)&lt;&gt;"",1,0),0)</f>
        <v>0</v>
      </c>
      <c r="M2468">
        <f>IFERROR(IF(VLOOKUP(calendar[[#This Row],[Date]],BH!C:C,1,)&lt;&gt;"",1,0),0)</f>
        <v>0</v>
      </c>
      <c r="N2468">
        <f>IFERROR(IF(VLOOKUP(calendar[[#This Row],[Date]],BH!E:E,1,)&lt;&gt;"",1,0),0)</f>
        <v>0</v>
      </c>
      <c r="O2468">
        <f>IFERROR(IF(VLOOKUP(calendar[[#This Row],[Date]],BH!G:G,1,)&lt;&gt;"",1,0),0)</f>
        <v>0</v>
      </c>
      <c r="P2468">
        <f>IF(OR(calendar[[#This Row],[UK_BH]]=1,calendar[[#This Row],[WeekDay]]=1, calendar[[#This Row],[WeekDay]]=7),P2467,P2467+1)</f>
        <v>1762</v>
      </c>
      <c r="Q2468">
        <f>IF(OR(calendar[[#This Row],[FR_BH]]=1,calendar[[#This Row],[WeekDay]]=1, calendar[[#This Row],[WeekDay]]=7),P2467,P2467+1)</f>
        <v>1762</v>
      </c>
      <c r="R2468">
        <f>IF(OR(calendar[[#This Row],[SP_BH]]=1,calendar[[#This Row],[WeekDay]]=1, calendar[[#This Row],[WeekDay]]=7),P2467,P2467+1)</f>
        <v>1762</v>
      </c>
      <c r="S2468">
        <f>IF(OR(calendar[[#This Row],[PT_BH]]=1,calendar[[#This Row],[WeekDay]]=1, calendar[[#This Row],[WeekDay]]=7),P2467,P2467+1)</f>
        <v>1762</v>
      </c>
    </row>
    <row r="2469" spans="1:19" x14ac:dyDescent="0.25">
      <c r="A2469" s="2">
        <v>45203</v>
      </c>
      <c r="B2469" s="1">
        <f t="shared" si="193"/>
        <v>40</v>
      </c>
      <c r="C2469">
        <f t="shared" si="195"/>
        <v>10</v>
      </c>
      <c r="D2469" t="str">
        <f t="shared" si="196"/>
        <v>October</v>
      </c>
      <c r="E2469">
        <f t="shared" si="197"/>
        <v>2023</v>
      </c>
      <c r="F2469" t="str">
        <f>CONCATENATE(calendar[[#This Row],[Month]],"/",calendar[[#This Row],[Year]])</f>
        <v>10/2023</v>
      </c>
      <c r="G2469">
        <f>WEEKDAY(calendar[[#This Row],[Date]],1)</f>
        <v>4</v>
      </c>
      <c r="H2469" t="str">
        <f>TEXT(calendar[[#This Row],[WeekDay]],"dddd")</f>
        <v>Wednesday</v>
      </c>
      <c r="I2469">
        <f>IF((INT(calendar[[#This Row],[Count]]/7)-calendar[[#This Row],[Count]]/7)&lt;0,I2468,I2468+1)</f>
        <v>353</v>
      </c>
      <c r="J2469">
        <f t="shared" si="194"/>
        <v>2467</v>
      </c>
      <c r="K2469">
        <f>IF(calendar[[#This Row],[Month]]&lt;4,1,IF(calendar[[#This Row],[Month]]&lt;7,2,IF(calendar[[#This Row],[Month]]&lt;10,3,4)))</f>
        <v>4</v>
      </c>
      <c r="L2469">
        <f>IFERROR(IF(VLOOKUP(calendar[[#This Row],[Date]],BH!A:A,1,)&lt;&gt;"",1,0),0)</f>
        <v>0</v>
      </c>
      <c r="M2469">
        <f>IFERROR(IF(VLOOKUP(calendar[[#This Row],[Date]],BH!C:C,1,)&lt;&gt;"",1,0),0)</f>
        <v>0</v>
      </c>
      <c r="N2469">
        <f>IFERROR(IF(VLOOKUP(calendar[[#This Row],[Date]],BH!E:E,1,)&lt;&gt;"",1,0),0)</f>
        <v>0</v>
      </c>
      <c r="O2469">
        <f>IFERROR(IF(VLOOKUP(calendar[[#This Row],[Date]],BH!G:G,1,)&lt;&gt;"",1,0),0)</f>
        <v>0</v>
      </c>
      <c r="P2469">
        <f>IF(OR(calendar[[#This Row],[UK_BH]]=1,calendar[[#This Row],[WeekDay]]=1, calendar[[#This Row],[WeekDay]]=7),P2468,P2468+1)</f>
        <v>1763</v>
      </c>
      <c r="Q2469">
        <f>IF(OR(calendar[[#This Row],[FR_BH]]=1,calendar[[#This Row],[WeekDay]]=1, calendar[[#This Row],[WeekDay]]=7),P2468,P2468+1)</f>
        <v>1763</v>
      </c>
      <c r="R2469">
        <f>IF(OR(calendar[[#This Row],[SP_BH]]=1,calendar[[#This Row],[WeekDay]]=1, calendar[[#This Row],[WeekDay]]=7),P2468,P2468+1)</f>
        <v>1763</v>
      </c>
      <c r="S2469">
        <f>IF(OR(calendar[[#This Row],[PT_BH]]=1,calendar[[#This Row],[WeekDay]]=1, calendar[[#This Row],[WeekDay]]=7),P2468,P2468+1)</f>
        <v>1763</v>
      </c>
    </row>
    <row r="2470" spans="1:19" x14ac:dyDescent="0.25">
      <c r="A2470" s="2">
        <v>45204</v>
      </c>
      <c r="B2470" s="1">
        <f t="shared" si="193"/>
        <v>40</v>
      </c>
      <c r="C2470">
        <f t="shared" si="195"/>
        <v>10</v>
      </c>
      <c r="D2470" t="str">
        <f t="shared" si="196"/>
        <v>October</v>
      </c>
      <c r="E2470">
        <f t="shared" si="197"/>
        <v>2023</v>
      </c>
      <c r="F2470" t="str">
        <f>CONCATENATE(calendar[[#This Row],[Month]],"/",calendar[[#This Row],[Year]])</f>
        <v>10/2023</v>
      </c>
      <c r="G2470">
        <f>WEEKDAY(calendar[[#This Row],[Date]],1)</f>
        <v>5</v>
      </c>
      <c r="H2470" t="str">
        <f>TEXT(calendar[[#This Row],[WeekDay]],"dddd")</f>
        <v>Thursday</v>
      </c>
      <c r="I2470">
        <f>IF((INT(calendar[[#This Row],[Count]]/7)-calendar[[#This Row],[Count]]/7)&lt;0,I2469,I2469+1)</f>
        <v>353</v>
      </c>
      <c r="J2470">
        <f t="shared" si="194"/>
        <v>2468</v>
      </c>
      <c r="K2470">
        <f>IF(calendar[[#This Row],[Month]]&lt;4,1,IF(calendar[[#This Row],[Month]]&lt;7,2,IF(calendar[[#This Row],[Month]]&lt;10,3,4)))</f>
        <v>4</v>
      </c>
      <c r="L2470">
        <f>IFERROR(IF(VLOOKUP(calendar[[#This Row],[Date]],BH!A:A,1,)&lt;&gt;"",1,0),0)</f>
        <v>0</v>
      </c>
      <c r="M2470">
        <f>IFERROR(IF(VLOOKUP(calendar[[#This Row],[Date]],BH!C:C,1,)&lt;&gt;"",1,0),0)</f>
        <v>0</v>
      </c>
      <c r="N2470">
        <f>IFERROR(IF(VLOOKUP(calendar[[#This Row],[Date]],BH!E:E,1,)&lt;&gt;"",1,0),0)</f>
        <v>0</v>
      </c>
      <c r="O2470">
        <f>IFERROR(IF(VLOOKUP(calendar[[#This Row],[Date]],BH!G:G,1,)&lt;&gt;"",1,0),0)</f>
        <v>0</v>
      </c>
      <c r="P2470">
        <f>IF(OR(calendar[[#This Row],[UK_BH]]=1,calendar[[#This Row],[WeekDay]]=1, calendar[[#This Row],[WeekDay]]=7),P2469,P2469+1)</f>
        <v>1764</v>
      </c>
      <c r="Q2470">
        <f>IF(OR(calendar[[#This Row],[FR_BH]]=1,calendar[[#This Row],[WeekDay]]=1, calendar[[#This Row],[WeekDay]]=7),P2469,P2469+1)</f>
        <v>1764</v>
      </c>
      <c r="R2470">
        <f>IF(OR(calendar[[#This Row],[SP_BH]]=1,calendar[[#This Row],[WeekDay]]=1, calendar[[#This Row],[WeekDay]]=7),P2469,P2469+1)</f>
        <v>1764</v>
      </c>
      <c r="S2470">
        <f>IF(OR(calendar[[#This Row],[PT_BH]]=1,calendar[[#This Row],[WeekDay]]=1, calendar[[#This Row],[WeekDay]]=7),P2469,P2469+1)</f>
        <v>1764</v>
      </c>
    </row>
    <row r="2471" spans="1:19" x14ac:dyDescent="0.25">
      <c r="A2471" s="2">
        <v>45205</v>
      </c>
      <c r="B2471" s="1">
        <f t="shared" si="193"/>
        <v>40</v>
      </c>
      <c r="C2471">
        <f t="shared" si="195"/>
        <v>10</v>
      </c>
      <c r="D2471" t="str">
        <f t="shared" si="196"/>
        <v>October</v>
      </c>
      <c r="E2471">
        <f t="shared" si="197"/>
        <v>2023</v>
      </c>
      <c r="F2471" t="str">
        <f>CONCATENATE(calendar[[#This Row],[Month]],"/",calendar[[#This Row],[Year]])</f>
        <v>10/2023</v>
      </c>
      <c r="G2471">
        <f>WEEKDAY(calendar[[#This Row],[Date]],1)</f>
        <v>6</v>
      </c>
      <c r="H2471" t="str">
        <f>TEXT(calendar[[#This Row],[WeekDay]],"dddd")</f>
        <v>Friday</v>
      </c>
      <c r="I2471">
        <f>IF((INT(calendar[[#This Row],[Count]]/7)-calendar[[#This Row],[Count]]/7)&lt;0,I2470,I2470+1)</f>
        <v>353</v>
      </c>
      <c r="J2471">
        <f t="shared" si="194"/>
        <v>2469</v>
      </c>
      <c r="K2471">
        <f>IF(calendar[[#This Row],[Month]]&lt;4,1,IF(calendar[[#This Row],[Month]]&lt;7,2,IF(calendar[[#This Row],[Month]]&lt;10,3,4)))</f>
        <v>4</v>
      </c>
      <c r="L2471">
        <f>IFERROR(IF(VLOOKUP(calendar[[#This Row],[Date]],BH!A:A,1,)&lt;&gt;"",1,0),0)</f>
        <v>0</v>
      </c>
      <c r="M2471">
        <f>IFERROR(IF(VLOOKUP(calendar[[#This Row],[Date]],BH!C:C,1,)&lt;&gt;"",1,0),0)</f>
        <v>0</v>
      </c>
      <c r="N2471">
        <f>IFERROR(IF(VLOOKUP(calendar[[#This Row],[Date]],BH!E:E,1,)&lt;&gt;"",1,0),0)</f>
        <v>0</v>
      </c>
      <c r="O2471">
        <f>IFERROR(IF(VLOOKUP(calendar[[#This Row],[Date]],BH!G:G,1,)&lt;&gt;"",1,0),0)</f>
        <v>0</v>
      </c>
      <c r="P2471">
        <f>IF(OR(calendar[[#This Row],[UK_BH]]=1,calendar[[#This Row],[WeekDay]]=1, calendar[[#This Row],[WeekDay]]=7),P2470,P2470+1)</f>
        <v>1765</v>
      </c>
      <c r="Q2471">
        <f>IF(OR(calendar[[#This Row],[FR_BH]]=1,calendar[[#This Row],[WeekDay]]=1, calendar[[#This Row],[WeekDay]]=7),P2470,P2470+1)</f>
        <v>1765</v>
      </c>
      <c r="R2471">
        <f>IF(OR(calendar[[#This Row],[SP_BH]]=1,calendar[[#This Row],[WeekDay]]=1, calendar[[#This Row],[WeekDay]]=7),P2470,P2470+1)</f>
        <v>1765</v>
      </c>
      <c r="S2471">
        <f>IF(OR(calendar[[#This Row],[PT_BH]]=1,calendar[[#This Row],[WeekDay]]=1, calendar[[#This Row],[WeekDay]]=7),P2470,P2470+1)</f>
        <v>1765</v>
      </c>
    </row>
    <row r="2472" spans="1:19" x14ac:dyDescent="0.25">
      <c r="A2472" s="2">
        <v>45206</v>
      </c>
      <c r="B2472" s="1">
        <f t="shared" si="193"/>
        <v>40</v>
      </c>
      <c r="C2472">
        <f t="shared" si="195"/>
        <v>10</v>
      </c>
      <c r="D2472" t="str">
        <f t="shared" si="196"/>
        <v>October</v>
      </c>
      <c r="E2472">
        <f t="shared" si="197"/>
        <v>2023</v>
      </c>
      <c r="F2472" t="str">
        <f>CONCATENATE(calendar[[#This Row],[Month]],"/",calendar[[#This Row],[Year]])</f>
        <v>10/2023</v>
      </c>
      <c r="G2472">
        <f>WEEKDAY(calendar[[#This Row],[Date]],1)</f>
        <v>7</v>
      </c>
      <c r="H2472" t="str">
        <f>TEXT(calendar[[#This Row],[WeekDay]],"dddd")</f>
        <v>Saturday</v>
      </c>
      <c r="I2472">
        <f>IF((INT(calendar[[#This Row],[Count]]/7)-calendar[[#This Row],[Count]]/7)&lt;0,I2471,I2471+1)</f>
        <v>353</v>
      </c>
      <c r="J2472">
        <f t="shared" si="194"/>
        <v>2470</v>
      </c>
      <c r="K2472">
        <f>IF(calendar[[#This Row],[Month]]&lt;4,1,IF(calendar[[#This Row],[Month]]&lt;7,2,IF(calendar[[#This Row],[Month]]&lt;10,3,4)))</f>
        <v>4</v>
      </c>
      <c r="L2472">
        <f>IFERROR(IF(VLOOKUP(calendar[[#This Row],[Date]],BH!A:A,1,)&lt;&gt;"",1,0),0)</f>
        <v>0</v>
      </c>
      <c r="M2472">
        <f>IFERROR(IF(VLOOKUP(calendar[[#This Row],[Date]],BH!C:C,1,)&lt;&gt;"",1,0),0)</f>
        <v>0</v>
      </c>
      <c r="N2472">
        <f>IFERROR(IF(VLOOKUP(calendar[[#This Row],[Date]],BH!E:E,1,)&lt;&gt;"",1,0),0)</f>
        <v>0</v>
      </c>
      <c r="O2472">
        <f>IFERROR(IF(VLOOKUP(calendar[[#This Row],[Date]],BH!G:G,1,)&lt;&gt;"",1,0),0)</f>
        <v>0</v>
      </c>
      <c r="P2472">
        <f>IF(OR(calendar[[#This Row],[UK_BH]]=1,calendar[[#This Row],[WeekDay]]=1, calendar[[#This Row],[WeekDay]]=7),P2471,P2471+1)</f>
        <v>1765</v>
      </c>
      <c r="Q2472">
        <f>IF(OR(calendar[[#This Row],[FR_BH]]=1,calendar[[#This Row],[WeekDay]]=1, calendar[[#This Row],[WeekDay]]=7),P2471,P2471+1)</f>
        <v>1765</v>
      </c>
      <c r="R2472">
        <f>IF(OR(calendar[[#This Row],[SP_BH]]=1,calendar[[#This Row],[WeekDay]]=1, calendar[[#This Row],[WeekDay]]=7),P2471,P2471+1)</f>
        <v>1765</v>
      </c>
      <c r="S2472">
        <f>IF(OR(calendar[[#This Row],[PT_BH]]=1,calendar[[#This Row],[WeekDay]]=1, calendar[[#This Row],[WeekDay]]=7),P2471,P2471+1)</f>
        <v>1765</v>
      </c>
    </row>
    <row r="2473" spans="1:19" x14ac:dyDescent="0.25">
      <c r="A2473" s="2">
        <v>45207</v>
      </c>
      <c r="B2473" s="1">
        <f t="shared" si="193"/>
        <v>41</v>
      </c>
      <c r="C2473">
        <f t="shared" si="195"/>
        <v>10</v>
      </c>
      <c r="D2473" t="str">
        <f t="shared" si="196"/>
        <v>October</v>
      </c>
      <c r="E2473">
        <f t="shared" si="197"/>
        <v>2023</v>
      </c>
      <c r="F2473" t="str">
        <f>CONCATENATE(calendar[[#This Row],[Month]],"/",calendar[[#This Row],[Year]])</f>
        <v>10/2023</v>
      </c>
      <c r="G2473">
        <f>WEEKDAY(calendar[[#This Row],[Date]],1)</f>
        <v>1</v>
      </c>
      <c r="H2473" t="str">
        <f>TEXT(calendar[[#This Row],[WeekDay]],"dddd")</f>
        <v>Sunday</v>
      </c>
      <c r="I2473">
        <f>IF((INT(calendar[[#This Row],[Count]]/7)-calendar[[#This Row],[Count]]/7)&lt;0,I2472,I2472+1)</f>
        <v>354</v>
      </c>
      <c r="J2473">
        <f t="shared" si="194"/>
        <v>2471</v>
      </c>
      <c r="K2473">
        <f>IF(calendar[[#This Row],[Month]]&lt;4,1,IF(calendar[[#This Row],[Month]]&lt;7,2,IF(calendar[[#This Row],[Month]]&lt;10,3,4)))</f>
        <v>4</v>
      </c>
      <c r="L2473">
        <f>IFERROR(IF(VLOOKUP(calendar[[#This Row],[Date]],BH!A:A,1,)&lt;&gt;"",1,0),0)</f>
        <v>0</v>
      </c>
      <c r="M2473">
        <f>IFERROR(IF(VLOOKUP(calendar[[#This Row],[Date]],BH!C:C,1,)&lt;&gt;"",1,0),0)</f>
        <v>0</v>
      </c>
      <c r="N2473">
        <f>IFERROR(IF(VLOOKUP(calendar[[#This Row],[Date]],BH!E:E,1,)&lt;&gt;"",1,0),0)</f>
        <v>0</v>
      </c>
      <c r="O2473">
        <f>IFERROR(IF(VLOOKUP(calendar[[#This Row],[Date]],BH!G:G,1,)&lt;&gt;"",1,0),0)</f>
        <v>0</v>
      </c>
      <c r="P2473">
        <f>IF(OR(calendar[[#This Row],[UK_BH]]=1,calendar[[#This Row],[WeekDay]]=1, calendar[[#This Row],[WeekDay]]=7),P2472,P2472+1)</f>
        <v>1765</v>
      </c>
      <c r="Q2473">
        <f>IF(OR(calendar[[#This Row],[FR_BH]]=1,calendar[[#This Row],[WeekDay]]=1, calendar[[#This Row],[WeekDay]]=7),P2472,P2472+1)</f>
        <v>1765</v>
      </c>
      <c r="R2473">
        <f>IF(OR(calendar[[#This Row],[SP_BH]]=1,calendar[[#This Row],[WeekDay]]=1, calendar[[#This Row],[WeekDay]]=7),P2472,P2472+1)</f>
        <v>1765</v>
      </c>
      <c r="S2473">
        <f>IF(OR(calendar[[#This Row],[PT_BH]]=1,calendar[[#This Row],[WeekDay]]=1, calendar[[#This Row],[WeekDay]]=7),P2472,P2472+1)</f>
        <v>1765</v>
      </c>
    </row>
    <row r="2474" spans="1:19" x14ac:dyDescent="0.25">
      <c r="A2474" s="2">
        <v>45208</v>
      </c>
      <c r="B2474" s="1">
        <f t="shared" si="193"/>
        <v>41</v>
      </c>
      <c r="C2474">
        <f t="shared" si="195"/>
        <v>10</v>
      </c>
      <c r="D2474" t="str">
        <f t="shared" si="196"/>
        <v>October</v>
      </c>
      <c r="E2474">
        <f t="shared" si="197"/>
        <v>2023</v>
      </c>
      <c r="F2474" t="str">
        <f>CONCATENATE(calendar[[#This Row],[Month]],"/",calendar[[#This Row],[Year]])</f>
        <v>10/2023</v>
      </c>
      <c r="G2474">
        <f>WEEKDAY(calendar[[#This Row],[Date]],1)</f>
        <v>2</v>
      </c>
      <c r="H2474" t="str">
        <f>TEXT(calendar[[#This Row],[WeekDay]],"dddd")</f>
        <v>Monday</v>
      </c>
      <c r="I2474">
        <f>IF((INT(calendar[[#This Row],[Count]]/7)-calendar[[#This Row],[Count]]/7)&lt;0,I2473,I2473+1)</f>
        <v>354</v>
      </c>
      <c r="J2474">
        <f t="shared" si="194"/>
        <v>2472</v>
      </c>
      <c r="K2474">
        <f>IF(calendar[[#This Row],[Month]]&lt;4,1,IF(calendar[[#This Row],[Month]]&lt;7,2,IF(calendar[[#This Row],[Month]]&lt;10,3,4)))</f>
        <v>4</v>
      </c>
      <c r="L2474">
        <f>IFERROR(IF(VLOOKUP(calendar[[#This Row],[Date]],BH!A:A,1,)&lt;&gt;"",1,0),0)</f>
        <v>0</v>
      </c>
      <c r="M2474">
        <f>IFERROR(IF(VLOOKUP(calendar[[#This Row],[Date]],BH!C:C,1,)&lt;&gt;"",1,0),0)</f>
        <v>0</v>
      </c>
      <c r="N2474">
        <f>IFERROR(IF(VLOOKUP(calendar[[#This Row],[Date]],BH!E:E,1,)&lt;&gt;"",1,0),0)</f>
        <v>0</v>
      </c>
      <c r="O2474">
        <f>IFERROR(IF(VLOOKUP(calendar[[#This Row],[Date]],BH!G:G,1,)&lt;&gt;"",1,0),0)</f>
        <v>0</v>
      </c>
      <c r="P2474">
        <f>IF(OR(calendar[[#This Row],[UK_BH]]=1,calendar[[#This Row],[WeekDay]]=1, calendar[[#This Row],[WeekDay]]=7),P2473,P2473+1)</f>
        <v>1766</v>
      </c>
      <c r="Q2474">
        <f>IF(OR(calendar[[#This Row],[FR_BH]]=1,calendar[[#This Row],[WeekDay]]=1, calendar[[#This Row],[WeekDay]]=7),P2473,P2473+1)</f>
        <v>1766</v>
      </c>
      <c r="R2474">
        <f>IF(OR(calendar[[#This Row],[SP_BH]]=1,calendar[[#This Row],[WeekDay]]=1, calendar[[#This Row],[WeekDay]]=7),P2473,P2473+1)</f>
        <v>1766</v>
      </c>
      <c r="S2474">
        <f>IF(OR(calendar[[#This Row],[PT_BH]]=1,calendar[[#This Row],[WeekDay]]=1, calendar[[#This Row],[WeekDay]]=7),P2473,P2473+1)</f>
        <v>1766</v>
      </c>
    </row>
    <row r="2475" spans="1:19" x14ac:dyDescent="0.25">
      <c r="A2475" s="2">
        <v>45209</v>
      </c>
      <c r="B2475" s="1">
        <f t="shared" si="193"/>
        <v>41</v>
      </c>
      <c r="C2475">
        <f t="shared" si="195"/>
        <v>10</v>
      </c>
      <c r="D2475" t="str">
        <f t="shared" si="196"/>
        <v>October</v>
      </c>
      <c r="E2475">
        <f t="shared" si="197"/>
        <v>2023</v>
      </c>
      <c r="F2475" t="str">
        <f>CONCATENATE(calendar[[#This Row],[Month]],"/",calendar[[#This Row],[Year]])</f>
        <v>10/2023</v>
      </c>
      <c r="G2475">
        <f>WEEKDAY(calendar[[#This Row],[Date]],1)</f>
        <v>3</v>
      </c>
      <c r="H2475" t="str">
        <f>TEXT(calendar[[#This Row],[WeekDay]],"dddd")</f>
        <v>Tuesday</v>
      </c>
      <c r="I2475">
        <f>IF((INT(calendar[[#This Row],[Count]]/7)-calendar[[#This Row],[Count]]/7)&lt;0,I2474,I2474+1)</f>
        <v>354</v>
      </c>
      <c r="J2475">
        <f t="shared" si="194"/>
        <v>2473</v>
      </c>
      <c r="K2475">
        <f>IF(calendar[[#This Row],[Month]]&lt;4,1,IF(calendar[[#This Row],[Month]]&lt;7,2,IF(calendar[[#This Row],[Month]]&lt;10,3,4)))</f>
        <v>4</v>
      </c>
      <c r="L2475">
        <f>IFERROR(IF(VLOOKUP(calendar[[#This Row],[Date]],BH!A:A,1,)&lt;&gt;"",1,0),0)</f>
        <v>0</v>
      </c>
      <c r="M2475">
        <f>IFERROR(IF(VLOOKUP(calendar[[#This Row],[Date]],BH!C:C,1,)&lt;&gt;"",1,0),0)</f>
        <v>0</v>
      </c>
      <c r="N2475">
        <f>IFERROR(IF(VLOOKUP(calendar[[#This Row],[Date]],BH!E:E,1,)&lt;&gt;"",1,0),0)</f>
        <v>0</v>
      </c>
      <c r="O2475">
        <f>IFERROR(IF(VLOOKUP(calendar[[#This Row],[Date]],BH!G:G,1,)&lt;&gt;"",1,0),0)</f>
        <v>0</v>
      </c>
      <c r="P2475">
        <f>IF(OR(calendar[[#This Row],[UK_BH]]=1,calendar[[#This Row],[WeekDay]]=1, calendar[[#This Row],[WeekDay]]=7),P2474,P2474+1)</f>
        <v>1767</v>
      </c>
      <c r="Q2475">
        <f>IF(OR(calendar[[#This Row],[FR_BH]]=1,calendar[[#This Row],[WeekDay]]=1, calendar[[#This Row],[WeekDay]]=7),P2474,P2474+1)</f>
        <v>1767</v>
      </c>
      <c r="R2475">
        <f>IF(OR(calendar[[#This Row],[SP_BH]]=1,calendar[[#This Row],[WeekDay]]=1, calendar[[#This Row],[WeekDay]]=7),P2474,P2474+1)</f>
        <v>1767</v>
      </c>
      <c r="S2475">
        <f>IF(OR(calendar[[#This Row],[PT_BH]]=1,calendar[[#This Row],[WeekDay]]=1, calendar[[#This Row],[WeekDay]]=7),P2474,P2474+1)</f>
        <v>1767</v>
      </c>
    </row>
    <row r="2476" spans="1:19" x14ac:dyDescent="0.25">
      <c r="A2476" s="2">
        <v>45210</v>
      </c>
      <c r="B2476" s="1">
        <f t="shared" si="193"/>
        <v>41</v>
      </c>
      <c r="C2476">
        <f t="shared" si="195"/>
        <v>10</v>
      </c>
      <c r="D2476" t="str">
        <f t="shared" si="196"/>
        <v>October</v>
      </c>
      <c r="E2476">
        <f t="shared" si="197"/>
        <v>2023</v>
      </c>
      <c r="F2476" t="str">
        <f>CONCATENATE(calendar[[#This Row],[Month]],"/",calendar[[#This Row],[Year]])</f>
        <v>10/2023</v>
      </c>
      <c r="G2476">
        <f>WEEKDAY(calendar[[#This Row],[Date]],1)</f>
        <v>4</v>
      </c>
      <c r="H2476" t="str">
        <f>TEXT(calendar[[#This Row],[WeekDay]],"dddd")</f>
        <v>Wednesday</v>
      </c>
      <c r="I2476">
        <f>IF((INT(calendar[[#This Row],[Count]]/7)-calendar[[#This Row],[Count]]/7)&lt;0,I2475,I2475+1)</f>
        <v>354</v>
      </c>
      <c r="J2476">
        <f t="shared" si="194"/>
        <v>2474</v>
      </c>
      <c r="K2476">
        <f>IF(calendar[[#This Row],[Month]]&lt;4,1,IF(calendar[[#This Row],[Month]]&lt;7,2,IF(calendar[[#This Row],[Month]]&lt;10,3,4)))</f>
        <v>4</v>
      </c>
      <c r="L2476">
        <f>IFERROR(IF(VLOOKUP(calendar[[#This Row],[Date]],BH!A:A,1,)&lt;&gt;"",1,0),0)</f>
        <v>0</v>
      </c>
      <c r="M2476">
        <f>IFERROR(IF(VLOOKUP(calendar[[#This Row],[Date]],BH!C:C,1,)&lt;&gt;"",1,0),0)</f>
        <v>0</v>
      </c>
      <c r="N2476">
        <f>IFERROR(IF(VLOOKUP(calendar[[#This Row],[Date]],BH!E:E,1,)&lt;&gt;"",1,0),0)</f>
        <v>0</v>
      </c>
      <c r="O2476">
        <f>IFERROR(IF(VLOOKUP(calendar[[#This Row],[Date]],BH!G:G,1,)&lt;&gt;"",1,0),0)</f>
        <v>0</v>
      </c>
      <c r="P2476">
        <f>IF(OR(calendar[[#This Row],[UK_BH]]=1,calendar[[#This Row],[WeekDay]]=1, calendar[[#This Row],[WeekDay]]=7),P2475,P2475+1)</f>
        <v>1768</v>
      </c>
      <c r="Q2476">
        <f>IF(OR(calendar[[#This Row],[FR_BH]]=1,calendar[[#This Row],[WeekDay]]=1, calendar[[#This Row],[WeekDay]]=7),P2475,P2475+1)</f>
        <v>1768</v>
      </c>
      <c r="R2476">
        <f>IF(OR(calendar[[#This Row],[SP_BH]]=1,calendar[[#This Row],[WeekDay]]=1, calendar[[#This Row],[WeekDay]]=7),P2475,P2475+1)</f>
        <v>1768</v>
      </c>
      <c r="S2476">
        <f>IF(OR(calendar[[#This Row],[PT_BH]]=1,calendar[[#This Row],[WeekDay]]=1, calendar[[#This Row],[WeekDay]]=7),P2475,P2475+1)</f>
        <v>1768</v>
      </c>
    </row>
    <row r="2477" spans="1:19" x14ac:dyDescent="0.25">
      <c r="A2477" s="2">
        <v>45211</v>
      </c>
      <c r="B2477" s="1">
        <f t="shared" si="193"/>
        <v>41</v>
      </c>
      <c r="C2477">
        <f t="shared" si="195"/>
        <v>10</v>
      </c>
      <c r="D2477" t="str">
        <f t="shared" si="196"/>
        <v>October</v>
      </c>
      <c r="E2477">
        <f t="shared" si="197"/>
        <v>2023</v>
      </c>
      <c r="F2477" t="str">
        <f>CONCATENATE(calendar[[#This Row],[Month]],"/",calendar[[#This Row],[Year]])</f>
        <v>10/2023</v>
      </c>
      <c r="G2477">
        <f>WEEKDAY(calendar[[#This Row],[Date]],1)</f>
        <v>5</v>
      </c>
      <c r="H2477" t="str">
        <f>TEXT(calendar[[#This Row],[WeekDay]],"dddd")</f>
        <v>Thursday</v>
      </c>
      <c r="I2477">
        <f>IF((INT(calendar[[#This Row],[Count]]/7)-calendar[[#This Row],[Count]]/7)&lt;0,I2476,I2476+1)</f>
        <v>354</v>
      </c>
      <c r="J2477">
        <f t="shared" si="194"/>
        <v>2475</v>
      </c>
      <c r="K2477">
        <f>IF(calendar[[#This Row],[Month]]&lt;4,1,IF(calendar[[#This Row],[Month]]&lt;7,2,IF(calendar[[#This Row],[Month]]&lt;10,3,4)))</f>
        <v>4</v>
      </c>
      <c r="L2477">
        <f>IFERROR(IF(VLOOKUP(calendar[[#This Row],[Date]],BH!A:A,1,)&lt;&gt;"",1,0),0)</f>
        <v>0</v>
      </c>
      <c r="M2477">
        <f>IFERROR(IF(VLOOKUP(calendar[[#This Row],[Date]],BH!C:C,1,)&lt;&gt;"",1,0),0)</f>
        <v>0</v>
      </c>
      <c r="N2477">
        <f>IFERROR(IF(VLOOKUP(calendar[[#This Row],[Date]],BH!E:E,1,)&lt;&gt;"",1,0),0)</f>
        <v>0</v>
      </c>
      <c r="O2477">
        <f>IFERROR(IF(VLOOKUP(calendar[[#This Row],[Date]],BH!G:G,1,)&lt;&gt;"",1,0),0)</f>
        <v>0</v>
      </c>
      <c r="P2477">
        <f>IF(OR(calendar[[#This Row],[UK_BH]]=1,calendar[[#This Row],[WeekDay]]=1, calendar[[#This Row],[WeekDay]]=7),P2476,P2476+1)</f>
        <v>1769</v>
      </c>
      <c r="Q2477">
        <f>IF(OR(calendar[[#This Row],[FR_BH]]=1,calendar[[#This Row],[WeekDay]]=1, calendar[[#This Row],[WeekDay]]=7),P2476,P2476+1)</f>
        <v>1769</v>
      </c>
      <c r="R2477">
        <f>IF(OR(calendar[[#This Row],[SP_BH]]=1,calendar[[#This Row],[WeekDay]]=1, calendar[[#This Row],[WeekDay]]=7),P2476,P2476+1)</f>
        <v>1769</v>
      </c>
      <c r="S2477">
        <f>IF(OR(calendar[[#This Row],[PT_BH]]=1,calendar[[#This Row],[WeekDay]]=1, calendar[[#This Row],[WeekDay]]=7),P2476,P2476+1)</f>
        <v>1769</v>
      </c>
    </row>
    <row r="2478" spans="1:19" x14ac:dyDescent="0.25">
      <c r="A2478" s="2">
        <v>45212</v>
      </c>
      <c r="B2478" s="1">
        <f t="shared" si="193"/>
        <v>41</v>
      </c>
      <c r="C2478">
        <f t="shared" si="195"/>
        <v>10</v>
      </c>
      <c r="D2478" t="str">
        <f t="shared" si="196"/>
        <v>October</v>
      </c>
      <c r="E2478">
        <f t="shared" si="197"/>
        <v>2023</v>
      </c>
      <c r="F2478" t="str">
        <f>CONCATENATE(calendar[[#This Row],[Month]],"/",calendar[[#This Row],[Year]])</f>
        <v>10/2023</v>
      </c>
      <c r="G2478">
        <f>WEEKDAY(calendar[[#This Row],[Date]],1)</f>
        <v>6</v>
      </c>
      <c r="H2478" t="str">
        <f>TEXT(calendar[[#This Row],[WeekDay]],"dddd")</f>
        <v>Friday</v>
      </c>
      <c r="I2478">
        <f>IF((INT(calendar[[#This Row],[Count]]/7)-calendar[[#This Row],[Count]]/7)&lt;0,I2477,I2477+1)</f>
        <v>354</v>
      </c>
      <c r="J2478">
        <f t="shared" si="194"/>
        <v>2476</v>
      </c>
      <c r="K2478">
        <f>IF(calendar[[#This Row],[Month]]&lt;4,1,IF(calendar[[#This Row],[Month]]&lt;7,2,IF(calendar[[#This Row],[Month]]&lt;10,3,4)))</f>
        <v>4</v>
      </c>
      <c r="L2478">
        <f>IFERROR(IF(VLOOKUP(calendar[[#This Row],[Date]],BH!A:A,1,)&lt;&gt;"",1,0),0)</f>
        <v>0</v>
      </c>
      <c r="M2478">
        <f>IFERROR(IF(VLOOKUP(calendar[[#This Row],[Date]],BH!C:C,1,)&lt;&gt;"",1,0),0)</f>
        <v>0</v>
      </c>
      <c r="N2478">
        <f>IFERROR(IF(VLOOKUP(calendar[[#This Row],[Date]],BH!E:E,1,)&lt;&gt;"",1,0),0)</f>
        <v>0</v>
      </c>
      <c r="O2478">
        <f>IFERROR(IF(VLOOKUP(calendar[[#This Row],[Date]],BH!G:G,1,)&lt;&gt;"",1,0),0)</f>
        <v>0</v>
      </c>
      <c r="P2478">
        <f>IF(OR(calendar[[#This Row],[UK_BH]]=1,calendar[[#This Row],[WeekDay]]=1, calendar[[#This Row],[WeekDay]]=7),P2477,P2477+1)</f>
        <v>1770</v>
      </c>
      <c r="Q2478">
        <f>IF(OR(calendar[[#This Row],[FR_BH]]=1,calendar[[#This Row],[WeekDay]]=1, calendar[[#This Row],[WeekDay]]=7),P2477,P2477+1)</f>
        <v>1770</v>
      </c>
      <c r="R2478">
        <f>IF(OR(calendar[[#This Row],[SP_BH]]=1,calendar[[#This Row],[WeekDay]]=1, calendar[[#This Row],[WeekDay]]=7),P2477,P2477+1)</f>
        <v>1770</v>
      </c>
      <c r="S2478">
        <f>IF(OR(calendar[[#This Row],[PT_BH]]=1,calendar[[#This Row],[WeekDay]]=1, calendar[[#This Row],[WeekDay]]=7),P2477,P2477+1)</f>
        <v>1770</v>
      </c>
    </row>
    <row r="2479" spans="1:19" x14ac:dyDescent="0.25">
      <c r="A2479" s="2">
        <v>45213</v>
      </c>
      <c r="B2479" s="1">
        <f t="shared" si="193"/>
        <v>41</v>
      </c>
      <c r="C2479">
        <f t="shared" si="195"/>
        <v>10</v>
      </c>
      <c r="D2479" t="str">
        <f t="shared" si="196"/>
        <v>October</v>
      </c>
      <c r="E2479">
        <f t="shared" si="197"/>
        <v>2023</v>
      </c>
      <c r="F2479" t="str">
        <f>CONCATENATE(calendar[[#This Row],[Month]],"/",calendar[[#This Row],[Year]])</f>
        <v>10/2023</v>
      </c>
      <c r="G2479">
        <f>WEEKDAY(calendar[[#This Row],[Date]],1)</f>
        <v>7</v>
      </c>
      <c r="H2479" t="str">
        <f>TEXT(calendar[[#This Row],[WeekDay]],"dddd")</f>
        <v>Saturday</v>
      </c>
      <c r="I2479">
        <f>IF((INT(calendar[[#This Row],[Count]]/7)-calendar[[#This Row],[Count]]/7)&lt;0,I2478,I2478+1)</f>
        <v>354</v>
      </c>
      <c r="J2479">
        <f t="shared" si="194"/>
        <v>2477</v>
      </c>
      <c r="K2479">
        <f>IF(calendar[[#This Row],[Month]]&lt;4,1,IF(calendar[[#This Row],[Month]]&lt;7,2,IF(calendar[[#This Row],[Month]]&lt;10,3,4)))</f>
        <v>4</v>
      </c>
      <c r="L2479">
        <f>IFERROR(IF(VLOOKUP(calendar[[#This Row],[Date]],BH!A:A,1,)&lt;&gt;"",1,0),0)</f>
        <v>0</v>
      </c>
      <c r="M2479">
        <f>IFERROR(IF(VLOOKUP(calendar[[#This Row],[Date]],BH!C:C,1,)&lt;&gt;"",1,0),0)</f>
        <v>0</v>
      </c>
      <c r="N2479">
        <f>IFERROR(IF(VLOOKUP(calendar[[#This Row],[Date]],BH!E:E,1,)&lt;&gt;"",1,0),0)</f>
        <v>0</v>
      </c>
      <c r="O2479">
        <f>IFERROR(IF(VLOOKUP(calendar[[#This Row],[Date]],BH!G:G,1,)&lt;&gt;"",1,0),0)</f>
        <v>0</v>
      </c>
      <c r="P2479">
        <f>IF(OR(calendar[[#This Row],[UK_BH]]=1,calendar[[#This Row],[WeekDay]]=1, calendar[[#This Row],[WeekDay]]=7),P2478,P2478+1)</f>
        <v>1770</v>
      </c>
      <c r="Q2479">
        <f>IF(OR(calendar[[#This Row],[FR_BH]]=1,calendar[[#This Row],[WeekDay]]=1, calendar[[#This Row],[WeekDay]]=7),P2478,P2478+1)</f>
        <v>1770</v>
      </c>
      <c r="R2479">
        <f>IF(OR(calendar[[#This Row],[SP_BH]]=1,calendar[[#This Row],[WeekDay]]=1, calendar[[#This Row],[WeekDay]]=7),P2478,P2478+1)</f>
        <v>1770</v>
      </c>
      <c r="S2479">
        <f>IF(OR(calendar[[#This Row],[PT_BH]]=1,calendar[[#This Row],[WeekDay]]=1, calendar[[#This Row],[WeekDay]]=7),P2478,P2478+1)</f>
        <v>1770</v>
      </c>
    </row>
    <row r="2480" spans="1:19" x14ac:dyDescent="0.25">
      <c r="A2480" s="2">
        <v>45214</v>
      </c>
      <c r="B2480" s="1">
        <f t="shared" si="193"/>
        <v>42</v>
      </c>
      <c r="C2480">
        <f t="shared" si="195"/>
        <v>10</v>
      </c>
      <c r="D2480" t="str">
        <f t="shared" si="196"/>
        <v>October</v>
      </c>
      <c r="E2480">
        <f t="shared" si="197"/>
        <v>2023</v>
      </c>
      <c r="F2480" t="str">
        <f>CONCATENATE(calendar[[#This Row],[Month]],"/",calendar[[#This Row],[Year]])</f>
        <v>10/2023</v>
      </c>
      <c r="G2480">
        <f>WEEKDAY(calendar[[#This Row],[Date]],1)</f>
        <v>1</v>
      </c>
      <c r="H2480" t="str">
        <f>TEXT(calendar[[#This Row],[WeekDay]],"dddd")</f>
        <v>Sunday</v>
      </c>
      <c r="I2480">
        <f>IF((INT(calendar[[#This Row],[Count]]/7)-calendar[[#This Row],[Count]]/7)&lt;0,I2479,I2479+1)</f>
        <v>355</v>
      </c>
      <c r="J2480">
        <f t="shared" si="194"/>
        <v>2478</v>
      </c>
      <c r="K2480">
        <f>IF(calendar[[#This Row],[Month]]&lt;4,1,IF(calendar[[#This Row],[Month]]&lt;7,2,IF(calendar[[#This Row],[Month]]&lt;10,3,4)))</f>
        <v>4</v>
      </c>
      <c r="L2480">
        <f>IFERROR(IF(VLOOKUP(calendar[[#This Row],[Date]],BH!A:A,1,)&lt;&gt;"",1,0),0)</f>
        <v>0</v>
      </c>
      <c r="M2480">
        <f>IFERROR(IF(VLOOKUP(calendar[[#This Row],[Date]],BH!C:C,1,)&lt;&gt;"",1,0),0)</f>
        <v>0</v>
      </c>
      <c r="N2480">
        <f>IFERROR(IF(VLOOKUP(calendar[[#This Row],[Date]],BH!E:E,1,)&lt;&gt;"",1,0),0)</f>
        <v>0</v>
      </c>
      <c r="O2480">
        <f>IFERROR(IF(VLOOKUP(calendar[[#This Row],[Date]],BH!G:G,1,)&lt;&gt;"",1,0),0)</f>
        <v>0</v>
      </c>
      <c r="P2480">
        <f>IF(OR(calendar[[#This Row],[UK_BH]]=1,calendar[[#This Row],[WeekDay]]=1, calendar[[#This Row],[WeekDay]]=7),P2479,P2479+1)</f>
        <v>1770</v>
      </c>
      <c r="Q2480">
        <f>IF(OR(calendar[[#This Row],[FR_BH]]=1,calendar[[#This Row],[WeekDay]]=1, calendar[[#This Row],[WeekDay]]=7),P2479,P2479+1)</f>
        <v>1770</v>
      </c>
      <c r="R2480">
        <f>IF(OR(calendar[[#This Row],[SP_BH]]=1,calendar[[#This Row],[WeekDay]]=1, calendar[[#This Row],[WeekDay]]=7),P2479,P2479+1)</f>
        <v>1770</v>
      </c>
      <c r="S2480">
        <f>IF(OR(calendar[[#This Row],[PT_BH]]=1,calendar[[#This Row],[WeekDay]]=1, calendar[[#This Row],[WeekDay]]=7),P2479,P2479+1)</f>
        <v>1770</v>
      </c>
    </row>
    <row r="2481" spans="1:19" x14ac:dyDescent="0.25">
      <c r="A2481" s="2">
        <v>45215</v>
      </c>
      <c r="B2481" s="1">
        <f t="shared" si="193"/>
        <v>42</v>
      </c>
      <c r="C2481">
        <f t="shared" si="195"/>
        <v>10</v>
      </c>
      <c r="D2481" t="str">
        <f t="shared" si="196"/>
        <v>October</v>
      </c>
      <c r="E2481">
        <f t="shared" si="197"/>
        <v>2023</v>
      </c>
      <c r="F2481" t="str">
        <f>CONCATENATE(calendar[[#This Row],[Month]],"/",calendar[[#This Row],[Year]])</f>
        <v>10/2023</v>
      </c>
      <c r="G2481">
        <f>WEEKDAY(calendar[[#This Row],[Date]],1)</f>
        <v>2</v>
      </c>
      <c r="H2481" t="str">
        <f>TEXT(calendar[[#This Row],[WeekDay]],"dddd")</f>
        <v>Monday</v>
      </c>
      <c r="I2481">
        <f>IF((INT(calendar[[#This Row],[Count]]/7)-calendar[[#This Row],[Count]]/7)&lt;0,I2480,I2480+1)</f>
        <v>355</v>
      </c>
      <c r="J2481">
        <f t="shared" si="194"/>
        <v>2479</v>
      </c>
      <c r="K2481">
        <f>IF(calendar[[#This Row],[Month]]&lt;4,1,IF(calendar[[#This Row],[Month]]&lt;7,2,IF(calendar[[#This Row],[Month]]&lt;10,3,4)))</f>
        <v>4</v>
      </c>
      <c r="L2481">
        <f>IFERROR(IF(VLOOKUP(calendar[[#This Row],[Date]],BH!A:A,1,)&lt;&gt;"",1,0),0)</f>
        <v>0</v>
      </c>
      <c r="M2481">
        <f>IFERROR(IF(VLOOKUP(calendar[[#This Row],[Date]],BH!C:C,1,)&lt;&gt;"",1,0),0)</f>
        <v>0</v>
      </c>
      <c r="N2481">
        <f>IFERROR(IF(VLOOKUP(calendar[[#This Row],[Date]],BH!E:E,1,)&lt;&gt;"",1,0),0)</f>
        <v>0</v>
      </c>
      <c r="O2481">
        <f>IFERROR(IF(VLOOKUP(calendar[[#This Row],[Date]],BH!G:G,1,)&lt;&gt;"",1,0),0)</f>
        <v>0</v>
      </c>
      <c r="P2481">
        <f>IF(OR(calendar[[#This Row],[UK_BH]]=1,calendar[[#This Row],[WeekDay]]=1, calendar[[#This Row],[WeekDay]]=7),P2480,P2480+1)</f>
        <v>1771</v>
      </c>
      <c r="Q2481">
        <f>IF(OR(calendar[[#This Row],[FR_BH]]=1,calendar[[#This Row],[WeekDay]]=1, calendar[[#This Row],[WeekDay]]=7),P2480,P2480+1)</f>
        <v>1771</v>
      </c>
      <c r="R2481">
        <f>IF(OR(calendar[[#This Row],[SP_BH]]=1,calendar[[#This Row],[WeekDay]]=1, calendar[[#This Row],[WeekDay]]=7),P2480,P2480+1)</f>
        <v>1771</v>
      </c>
      <c r="S2481">
        <f>IF(OR(calendar[[#This Row],[PT_BH]]=1,calendar[[#This Row],[WeekDay]]=1, calendar[[#This Row],[WeekDay]]=7),P2480,P2480+1)</f>
        <v>1771</v>
      </c>
    </row>
    <row r="2482" spans="1:19" x14ac:dyDescent="0.25">
      <c r="A2482" s="2">
        <v>45216</v>
      </c>
      <c r="B2482" s="1">
        <f t="shared" si="193"/>
        <v>42</v>
      </c>
      <c r="C2482">
        <f t="shared" si="195"/>
        <v>10</v>
      </c>
      <c r="D2482" t="str">
        <f t="shared" si="196"/>
        <v>October</v>
      </c>
      <c r="E2482">
        <f t="shared" si="197"/>
        <v>2023</v>
      </c>
      <c r="F2482" t="str">
        <f>CONCATENATE(calendar[[#This Row],[Month]],"/",calendar[[#This Row],[Year]])</f>
        <v>10/2023</v>
      </c>
      <c r="G2482">
        <f>WEEKDAY(calendar[[#This Row],[Date]],1)</f>
        <v>3</v>
      </c>
      <c r="H2482" t="str">
        <f>TEXT(calendar[[#This Row],[WeekDay]],"dddd")</f>
        <v>Tuesday</v>
      </c>
      <c r="I2482">
        <f>IF((INT(calendar[[#This Row],[Count]]/7)-calendar[[#This Row],[Count]]/7)&lt;0,I2481,I2481+1)</f>
        <v>355</v>
      </c>
      <c r="J2482">
        <f t="shared" si="194"/>
        <v>2480</v>
      </c>
      <c r="K2482">
        <f>IF(calendar[[#This Row],[Month]]&lt;4,1,IF(calendar[[#This Row],[Month]]&lt;7,2,IF(calendar[[#This Row],[Month]]&lt;10,3,4)))</f>
        <v>4</v>
      </c>
      <c r="L2482">
        <f>IFERROR(IF(VLOOKUP(calendar[[#This Row],[Date]],BH!A:A,1,)&lt;&gt;"",1,0),0)</f>
        <v>0</v>
      </c>
      <c r="M2482">
        <f>IFERROR(IF(VLOOKUP(calendar[[#This Row],[Date]],BH!C:C,1,)&lt;&gt;"",1,0),0)</f>
        <v>0</v>
      </c>
      <c r="N2482">
        <f>IFERROR(IF(VLOOKUP(calendar[[#This Row],[Date]],BH!E:E,1,)&lt;&gt;"",1,0),0)</f>
        <v>0</v>
      </c>
      <c r="O2482">
        <f>IFERROR(IF(VLOOKUP(calendar[[#This Row],[Date]],BH!G:G,1,)&lt;&gt;"",1,0),0)</f>
        <v>0</v>
      </c>
      <c r="P2482">
        <f>IF(OR(calendar[[#This Row],[UK_BH]]=1,calendar[[#This Row],[WeekDay]]=1, calendar[[#This Row],[WeekDay]]=7),P2481,P2481+1)</f>
        <v>1772</v>
      </c>
      <c r="Q2482">
        <f>IF(OR(calendar[[#This Row],[FR_BH]]=1,calendar[[#This Row],[WeekDay]]=1, calendar[[#This Row],[WeekDay]]=7),P2481,P2481+1)</f>
        <v>1772</v>
      </c>
      <c r="R2482">
        <f>IF(OR(calendar[[#This Row],[SP_BH]]=1,calendar[[#This Row],[WeekDay]]=1, calendar[[#This Row],[WeekDay]]=7),P2481,P2481+1)</f>
        <v>1772</v>
      </c>
      <c r="S2482">
        <f>IF(OR(calendar[[#This Row],[PT_BH]]=1,calendar[[#This Row],[WeekDay]]=1, calendar[[#This Row],[WeekDay]]=7),P2481,P2481+1)</f>
        <v>1772</v>
      </c>
    </row>
    <row r="2483" spans="1:19" x14ac:dyDescent="0.25">
      <c r="A2483" s="2">
        <v>45217</v>
      </c>
      <c r="B2483" s="1">
        <f t="shared" si="193"/>
        <v>42</v>
      </c>
      <c r="C2483">
        <f t="shared" si="195"/>
        <v>10</v>
      </c>
      <c r="D2483" t="str">
        <f t="shared" si="196"/>
        <v>October</v>
      </c>
      <c r="E2483">
        <f t="shared" si="197"/>
        <v>2023</v>
      </c>
      <c r="F2483" t="str">
        <f>CONCATENATE(calendar[[#This Row],[Month]],"/",calendar[[#This Row],[Year]])</f>
        <v>10/2023</v>
      </c>
      <c r="G2483">
        <f>WEEKDAY(calendar[[#This Row],[Date]],1)</f>
        <v>4</v>
      </c>
      <c r="H2483" t="str">
        <f>TEXT(calendar[[#This Row],[WeekDay]],"dddd")</f>
        <v>Wednesday</v>
      </c>
      <c r="I2483">
        <f>IF((INT(calendar[[#This Row],[Count]]/7)-calendar[[#This Row],[Count]]/7)&lt;0,I2482,I2482+1)</f>
        <v>355</v>
      </c>
      <c r="J2483">
        <f t="shared" si="194"/>
        <v>2481</v>
      </c>
      <c r="K2483">
        <f>IF(calendar[[#This Row],[Month]]&lt;4,1,IF(calendar[[#This Row],[Month]]&lt;7,2,IF(calendar[[#This Row],[Month]]&lt;10,3,4)))</f>
        <v>4</v>
      </c>
      <c r="L2483">
        <f>IFERROR(IF(VLOOKUP(calendar[[#This Row],[Date]],BH!A:A,1,)&lt;&gt;"",1,0),0)</f>
        <v>0</v>
      </c>
      <c r="M2483">
        <f>IFERROR(IF(VLOOKUP(calendar[[#This Row],[Date]],BH!C:C,1,)&lt;&gt;"",1,0),0)</f>
        <v>0</v>
      </c>
      <c r="N2483">
        <f>IFERROR(IF(VLOOKUP(calendar[[#This Row],[Date]],BH!E:E,1,)&lt;&gt;"",1,0),0)</f>
        <v>0</v>
      </c>
      <c r="O2483">
        <f>IFERROR(IF(VLOOKUP(calendar[[#This Row],[Date]],BH!G:G,1,)&lt;&gt;"",1,0),0)</f>
        <v>0</v>
      </c>
      <c r="P2483">
        <f>IF(OR(calendar[[#This Row],[UK_BH]]=1,calendar[[#This Row],[WeekDay]]=1, calendar[[#This Row],[WeekDay]]=7),P2482,P2482+1)</f>
        <v>1773</v>
      </c>
      <c r="Q2483">
        <f>IF(OR(calendar[[#This Row],[FR_BH]]=1,calendar[[#This Row],[WeekDay]]=1, calendar[[#This Row],[WeekDay]]=7),P2482,P2482+1)</f>
        <v>1773</v>
      </c>
      <c r="R2483">
        <f>IF(OR(calendar[[#This Row],[SP_BH]]=1,calendar[[#This Row],[WeekDay]]=1, calendar[[#This Row],[WeekDay]]=7),P2482,P2482+1)</f>
        <v>1773</v>
      </c>
      <c r="S2483">
        <f>IF(OR(calendar[[#This Row],[PT_BH]]=1,calendar[[#This Row],[WeekDay]]=1, calendar[[#This Row],[WeekDay]]=7),P2482,P2482+1)</f>
        <v>1773</v>
      </c>
    </row>
    <row r="2484" spans="1:19" x14ac:dyDescent="0.25">
      <c r="A2484" s="2">
        <v>45218</v>
      </c>
      <c r="B2484" s="1">
        <f t="shared" si="193"/>
        <v>42</v>
      </c>
      <c r="C2484">
        <f t="shared" si="195"/>
        <v>10</v>
      </c>
      <c r="D2484" t="str">
        <f t="shared" si="196"/>
        <v>October</v>
      </c>
      <c r="E2484">
        <f t="shared" si="197"/>
        <v>2023</v>
      </c>
      <c r="F2484" t="str">
        <f>CONCATENATE(calendar[[#This Row],[Month]],"/",calendar[[#This Row],[Year]])</f>
        <v>10/2023</v>
      </c>
      <c r="G2484">
        <f>WEEKDAY(calendar[[#This Row],[Date]],1)</f>
        <v>5</v>
      </c>
      <c r="H2484" t="str">
        <f>TEXT(calendar[[#This Row],[WeekDay]],"dddd")</f>
        <v>Thursday</v>
      </c>
      <c r="I2484">
        <f>IF((INT(calendar[[#This Row],[Count]]/7)-calendar[[#This Row],[Count]]/7)&lt;0,I2483,I2483+1)</f>
        <v>355</v>
      </c>
      <c r="J2484">
        <f t="shared" si="194"/>
        <v>2482</v>
      </c>
      <c r="K2484">
        <f>IF(calendar[[#This Row],[Month]]&lt;4,1,IF(calendar[[#This Row],[Month]]&lt;7,2,IF(calendar[[#This Row],[Month]]&lt;10,3,4)))</f>
        <v>4</v>
      </c>
      <c r="L2484">
        <f>IFERROR(IF(VLOOKUP(calendar[[#This Row],[Date]],BH!A:A,1,)&lt;&gt;"",1,0),0)</f>
        <v>0</v>
      </c>
      <c r="M2484">
        <f>IFERROR(IF(VLOOKUP(calendar[[#This Row],[Date]],BH!C:C,1,)&lt;&gt;"",1,0),0)</f>
        <v>0</v>
      </c>
      <c r="N2484">
        <f>IFERROR(IF(VLOOKUP(calendar[[#This Row],[Date]],BH!E:E,1,)&lt;&gt;"",1,0),0)</f>
        <v>0</v>
      </c>
      <c r="O2484">
        <f>IFERROR(IF(VLOOKUP(calendar[[#This Row],[Date]],BH!G:G,1,)&lt;&gt;"",1,0),0)</f>
        <v>0</v>
      </c>
      <c r="P2484">
        <f>IF(OR(calendar[[#This Row],[UK_BH]]=1,calendar[[#This Row],[WeekDay]]=1, calendar[[#This Row],[WeekDay]]=7),P2483,P2483+1)</f>
        <v>1774</v>
      </c>
      <c r="Q2484">
        <f>IF(OR(calendar[[#This Row],[FR_BH]]=1,calendar[[#This Row],[WeekDay]]=1, calendar[[#This Row],[WeekDay]]=7),P2483,P2483+1)</f>
        <v>1774</v>
      </c>
      <c r="R2484">
        <f>IF(OR(calendar[[#This Row],[SP_BH]]=1,calendar[[#This Row],[WeekDay]]=1, calendar[[#This Row],[WeekDay]]=7),P2483,P2483+1)</f>
        <v>1774</v>
      </c>
      <c r="S2484">
        <f>IF(OR(calendar[[#This Row],[PT_BH]]=1,calendar[[#This Row],[WeekDay]]=1, calendar[[#This Row],[WeekDay]]=7),P2483,P2483+1)</f>
        <v>1774</v>
      </c>
    </row>
    <row r="2485" spans="1:19" x14ac:dyDescent="0.25">
      <c r="A2485" s="2">
        <v>45219</v>
      </c>
      <c r="B2485" s="1">
        <f t="shared" si="193"/>
        <v>42</v>
      </c>
      <c r="C2485">
        <f t="shared" si="195"/>
        <v>10</v>
      </c>
      <c r="D2485" t="str">
        <f t="shared" si="196"/>
        <v>October</v>
      </c>
      <c r="E2485">
        <f t="shared" si="197"/>
        <v>2023</v>
      </c>
      <c r="F2485" t="str">
        <f>CONCATENATE(calendar[[#This Row],[Month]],"/",calendar[[#This Row],[Year]])</f>
        <v>10/2023</v>
      </c>
      <c r="G2485">
        <f>WEEKDAY(calendar[[#This Row],[Date]],1)</f>
        <v>6</v>
      </c>
      <c r="H2485" t="str">
        <f>TEXT(calendar[[#This Row],[WeekDay]],"dddd")</f>
        <v>Friday</v>
      </c>
      <c r="I2485">
        <f>IF((INT(calendar[[#This Row],[Count]]/7)-calendar[[#This Row],[Count]]/7)&lt;0,I2484,I2484+1)</f>
        <v>355</v>
      </c>
      <c r="J2485">
        <f t="shared" si="194"/>
        <v>2483</v>
      </c>
      <c r="K2485">
        <f>IF(calendar[[#This Row],[Month]]&lt;4,1,IF(calendar[[#This Row],[Month]]&lt;7,2,IF(calendar[[#This Row],[Month]]&lt;10,3,4)))</f>
        <v>4</v>
      </c>
      <c r="L2485">
        <f>IFERROR(IF(VLOOKUP(calendar[[#This Row],[Date]],BH!A:A,1,)&lt;&gt;"",1,0),0)</f>
        <v>0</v>
      </c>
      <c r="M2485">
        <f>IFERROR(IF(VLOOKUP(calendar[[#This Row],[Date]],BH!C:C,1,)&lt;&gt;"",1,0),0)</f>
        <v>0</v>
      </c>
      <c r="N2485">
        <f>IFERROR(IF(VLOOKUP(calendar[[#This Row],[Date]],BH!E:E,1,)&lt;&gt;"",1,0),0)</f>
        <v>0</v>
      </c>
      <c r="O2485">
        <f>IFERROR(IF(VLOOKUP(calendar[[#This Row],[Date]],BH!G:G,1,)&lt;&gt;"",1,0),0)</f>
        <v>0</v>
      </c>
      <c r="P2485">
        <f>IF(OR(calendar[[#This Row],[UK_BH]]=1,calendar[[#This Row],[WeekDay]]=1, calendar[[#This Row],[WeekDay]]=7),P2484,P2484+1)</f>
        <v>1775</v>
      </c>
      <c r="Q2485">
        <f>IF(OR(calendar[[#This Row],[FR_BH]]=1,calendar[[#This Row],[WeekDay]]=1, calendar[[#This Row],[WeekDay]]=7),P2484,P2484+1)</f>
        <v>1775</v>
      </c>
      <c r="R2485">
        <f>IF(OR(calendar[[#This Row],[SP_BH]]=1,calendar[[#This Row],[WeekDay]]=1, calendar[[#This Row],[WeekDay]]=7),P2484,P2484+1)</f>
        <v>1775</v>
      </c>
      <c r="S2485">
        <f>IF(OR(calendar[[#This Row],[PT_BH]]=1,calendar[[#This Row],[WeekDay]]=1, calendar[[#This Row],[WeekDay]]=7),P2484,P2484+1)</f>
        <v>1775</v>
      </c>
    </row>
    <row r="2486" spans="1:19" x14ac:dyDescent="0.25">
      <c r="A2486" s="2">
        <v>45220</v>
      </c>
      <c r="B2486" s="1">
        <f t="shared" si="193"/>
        <v>42</v>
      </c>
      <c r="C2486">
        <f t="shared" si="195"/>
        <v>10</v>
      </c>
      <c r="D2486" t="str">
        <f t="shared" si="196"/>
        <v>October</v>
      </c>
      <c r="E2486">
        <f t="shared" si="197"/>
        <v>2023</v>
      </c>
      <c r="F2486" t="str">
        <f>CONCATENATE(calendar[[#This Row],[Month]],"/",calendar[[#This Row],[Year]])</f>
        <v>10/2023</v>
      </c>
      <c r="G2486">
        <f>WEEKDAY(calendar[[#This Row],[Date]],1)</f>
        <v>7</v>
      </c>
      <c r="H2486" t="str">
        <f>TEXT(calendar[[#This Row],[WeekDay]],"dddd")</f>
        <v>Saturday</v>
      </c>
      <c r="I2486">
        <f>IF((INT(calendar[[#This Row],[Count]]/7)-calendar[[#This Row],[Count]]/7)&lt;0,I2485,I2485+1)</f>
        <v>355</v>
      </c>
      <c r="J2486">
        <f t="shared" si="194"/>
        <v>2484</v>
      </c>
      <c r="K2486">
        <f>IF(calendar[[#This Row],[Month]]&lt;4,1,IF(calendar[[#This Row],[Month]]&lt;7,2,IF(calendar[[#This Row],[Month]]&lt;10,3,4)))</f>
        <v>4</v>
      </c>
      <c r="L2486">
        <f>IFERROR(IF(VLOOKUP(calendar[[#This Row],[Date]],BH!A:A,1,)&lt;&gt;"",1,0),0)</f>
        <v>0</v>
      </c>
      <c r="M2486">
        <f>IFERROR(IF(VLOOKUP(calendar[[#This Row],[Date]],BH!C:C,1,)&lt;&gt;"",1,0),0)</f>
        <v>0</v>
      </c>
      <c r="N2486">
        <f>IFERROR(IF(VLOOKUP(calendar[[#This Row],[Date]],BH!E:E,1,)&lt;&gt;"",1,0),0)</f>
        <v>0</v>
      </c>
      <c r="O2486">
        <f>IFERROR(IF(VLOOKUP(calendar[[#This Row],[Date]],BH!G:G,1,)&lt;&gt;"",1,0),0)</f>
        <v>0</v>
      </c>
      <c r="P2486">
        <f>IF(OR(calendar[[#This Row],[UK_BH]]=1,calendar[[#This Row],[WeekDay]]=1, calendar[[#This Row],[WeekDay]]=7),P2485,P2485+1)</f>
        <v>1775</v>
      </c>
      <c r="Q2486">
        <f>IF(OR(calendar[[#This Row],[FR_BH]]=1,calendar[[#This Row],[WeekDay]]=1, calendar[[#This Row],[WeekDay]]=7),P2485,P2485+1)</f>
        <v>1775</v>
      </c>
      <c r="R2486">
        <f>IF(OR(calendar[[#This Row],[SP_BH]]=1,calendar[[#This Row],[WeekDay]]=1, calendar[[#This Row],[WeekDay]]=7),P2485,P2485+1)</f>
        <v>1775</v>
      </c>
      <c r="S2486">
        <f>IF(OR(calendar[[#This Row],[PT_BH]]=1,calendar[[#This Row],[WeekDay]]=1, calendar[[#This Row],[WeekDay]]=7),P2485,P2485+1)</f>
        <v>1775</v>
      </c>
    </row>
    <row r="2487" spans="1:19" x14ac:dyDescent="0.25">
      <c r="A2487" s="2">
        <v>45221</v>
      </c>
      <c r="B2487" s="1">
        <f t="shared" si="193"/>
        <v>43</v>
      </c>
      <c r="C2487">
        <f t="shared" si="195"/>
        <v>10</v>
      </c>
      <c r="D2487" t="str">
        <f t="shared" si="196"/>
        <v>October</v>
      </c>
      <c r="E2487">
        <f t="shared" si="197"/>
        <v>2023</v>
      </c>
      <c r="F2487" t="str">
        <f>CONCATENATE(calendar[[#This Row],[Month]],"/",calendar[[#This Row],[Year]])</f>
        <v>10/2023</v>
      </c>
      <c r="G2487">
        <f>WEEKDAY(calendar[[#This Row],[Date]],1)</f>
        <v>1</v>
      </c>
      <c r="H2487" t="str">
        <f>TEXT(calendar[[#This Row],[WeekDay]],"dddd")</f>
        <v>Sunday</v>
      </c>
      <c r="I2487">
        <f>IF((INT(calendar[[#This Row],[Count]]/7)-calendar[[#This Row],[Count]]/7)&lt;0,I2486,I2486+1)</f>
        <v>356</v>
      </c>
      <c r="J2487">
        <f t="shared" si="194"/>
        <v>2485</v>
      </c>
      <c r="K2487">
        <f>IF(calendar[[#This Row],[Month]]&lt;4,1,IF(calendar[[#This Row],[Month]]&lt;7,2,IF(calendar[[#This Row],[Month]]&lt;10,3,4)))</f>
        <v>4</v>
      </c>
      <c r="L2487">
        <f>IFERROR(IF(VLOOKUP(calendar[[#This Row],[Date]],BH!A:A,1,)&lt;&gt;"",1,0),0)</f>
        <v>0</v>
      </c>
      <c r="M2487">
        <f>IFERROR(IF(VLOOKUP(calendar[[#This Row],[Date]],BH!C:C,1,)&lt;&gt;"",1,0),0)</f>
        <v>0</v>
      </c>
      <c r="N2487">
        <f>IFERROR(IF(VLOOKUP(calendar[[#This Row],[Date]],BH!E:E,1,)&lt;&gt;"",1,0),0)</f>
        <v>0</v>
      </c>
      <c r="O2487">
        <f>IFERROR(IF(VLOOKUP(calendar[[#This Row],[Date]],BH!G:G,1,)&lt;&gt;"",1,0),0)</f>
        <v>0</v>
      </c>
      <c r="P2487">
        <f>IF(OR(calendar[[#This Row],[UK_BH]]=1,calendar[[#This Row],[WeekDay]]=1, calendar[[#This Row],[WeekDay]]=7),P2486,P2486+1)</f>
        <v>1775</v>
      </c>
      <c r="Q2487">
        <f>IF(OR(calendar[[#This Row],[FR_BH]]=1,calendar[[#This Row],[WeekDay]]=1, calendar[[#This Row],[WeekDay]]=7),P2486,P2486+1)</f>
        <v>1775</v>
      </c>
      <c r="R2487">
        <f>IF(OR(calendar[[#This Row],[SP_BH]]=1,calendar[[#This Row],[WeekDay]]=1, calendar[[#This Row],[WeekDay]]=7),P2486,P2486+1)</f>
        <v>1775</v>
      </c>
      <c r="S2487">
        <f>IF(OR(calendar[[#This Row],[PT_BH]]=1,calendar[[#This Row],[WeekDay]]=1, calendar[[#This Row],[WeekDay]]=7),P2486,P2486+1)</f>
        <v>1775</v>
      </c>
    </row>
    <row r="2488" spans="1:19" x14ac:dyDescent="0.25">
      <c r="A2488" s="2">
        <v>45222</v>
      </c>
      <c r="B2488" s="1">
        <f t="shared" si="193"/>
        <v>43</v>
      </c>
      <c r="C2488">
        <f t="shared" si="195"/>
        <v>10</v>
      </c>
      <c r="D2488" t="str">
        <f t="shared" si="196"/>
        <v>October</v>
      </c>
      <c r="E2488">
        <f t="shared" si="197"/>
        <v>2023</v>
      </c>
      <c r="F2488" t="str">
        <f>CONCATENATE(calendar[[#This Row],[Month]],"/",calendar[[#This Row],[Year]])</f>
        <v>10/2023</v>
      </c>
      <c r="G2488">
        <f>WEEKDAY(calendar[[#This Row],[Date]],1)</f>
        <v>2</v>
      </c>
      <c r="H2488" t="str">
        <f>TEXT(calendar[[#This Row],[WeekDay]],"dddd")</f>
        <v>Monday</v>
      </c>
      <c r="I2488">
        <f>IF((INT(calendar[[#This Row],[Count]]/7)-calendar[[#This Row],[Count]]/7)&lt;0,I2487,I2487+1)</f>
        <v>356</v>
      </c>
      <c r="J2488">
        <f t="shared" si="194"/>
        <v>2486</v>
      </c>
      <c r="K2488">
        <f>IF(calendar[[#This Row],[Month]]&lt;4,1,IF(calendar[[#This Row],[Month]]&lt;7,2,IF(calendar[[#This Row],[Month]]&lt;10,3,4)))</f>
        <v>4</v>
      </c>
      <c r="L2488">
        <f>IFERROR(IF(VLOOKUP(calendar[[#This Row],[Date]],BH!A:A,1,)&lt;&gt;"",1,0),0)</f>
        <v>0</v>
      </c>
      <c r="M2488">
        <f>IFERROR(IF(VLOOKUP(calendar[[#This Row],[Date]],BH!C:C,1,)&lt;&gt;"",1,0),0)</f>
        <v>0</v>
      </c>
      <c r="N2488">
        <f>IFERROR(IF(VLOOKUP(calendar[[#This Row],[Date]],BH!E:E,1,)&lt;&gt;"",1,0),0)</f>
        <v>0</v>
      </c>
      <c r="O2488">
        <f>IFERROR(IF(VLOOKUP(calendar[[#This Row],[Date]],BH!G:G,1,)&lt;&gt;"",1,0),0)</f>
        <v>0</v>
      </c>
      <c r="P2488">
        <f>IF(OR(calendar[[#This Row],[UK_BH]]=1,calendar[[#This Row],[WeekDay]]=1, calendar[[#This Row],[WeekDay]]=7),P2487,P2487+1)</f>
        <v>1776</v>
      </c>
      <c r="Q2488">
        <f>IF(OR(calendar[[#This Row],[FR_BH]]=1,calendar[[#This Row],[WeekDay]]=1, calendar[[#This Row],[WeekDay]]=7),P2487,P2487+1)</f>
        <v>1776</v>
      </c>
      <c r="R2488">
        <f>IF(OR(calendar[[#This Row],[SP_BH]]=1,calendar[[#This Row],[WeekDay]]=1, calendar[[#This Row],[WeekDay]]=7),P2487,P2487+1)</f>
        <v>1776</v>
      </c>
      <c r="S2488">
        <f>IF(OR(calendar[[#This Row],[PT_BH]]=1,calendar[[#This Row],[WeekDay]]=1, calendar[[#This Row],[WeekDay]]=7),P2487,P2487+1)</f>
        <v>1776</v>
      </c>
    </row>
    <row r="2489" spans="1:19" x14ac:dyDescent="0.25">
      <c r="A2489" s="2">
        <v>45223</v>
      </c>
      <c r="B2489" s="1">
        <f t="shared" si="193"/>
        <v>43</v>
      </c>
      <c r="C2489">
        <f t="shared" si="195"/>
        <v>10</v>
      </c>
      <c r="D2489" t="str">
        <f t="shared" si="196"/>
        <v>October</v>
      </c>
      <c r="E2489">
        <f t="shared" si="197"/>
        <v>2023</v>
      </c>
      <c r="F2489" t="str">
        <f>CONCATENATE(calendar[[#This Row],[Month]],"/",calendar[[#This Row],[Year]])</f>
        <v>10/2023</v>
      </c>
      <c r="G2489">
        <f>WEEKDAY(calendar[[#This Row],[Date]],1)</f>
        <v>3</v>
      </c>
      <c r="H2489" t="str">
        <f>TEXT(calendar[[#This Row],[WeekDay]],"dddd")</f>
        <v>Tuesday</v>
      </c>
      <c r="I2489">
        <f>IF((INT(calendar[[#This Row],[Count]]/7)-calendar[[#This Row],[Count]]/7)&lt;0,I2488,I2488+1)</f>
        <v>356</v>
      </c>
      <c r="J2489">
        <f t="shared" si="194"/>
        <v>2487</v>
      </c>
      <c r="K2489">
        <f>IF(calendar[[#This Row],[Month]]&lt;4,1,IF(calendar[[#This Row],[Month]]&lt;7,2,IF(calendar[[#This Row],[Month]]&lt;10,3,4)))</f>
        <v>4</v>
      </c>
      <c r="L2489">
        <f>IFERROR(IF(VLOOKUP(calendar[[#This Row],[Date]],BH!A:A,1,)&lt;&gt;"",1,0),0)</f>
        <v>0</v>
      </c>
      <c r="M2489">
        <f>IFERROR(IF(VLOOKUP(calendar[[#This Row],[Date]],BH!C:C,1,)&lt;&gt;"",1,0),0)</f>
        <v>0</v>
      </c>
      <c r="N2489">
        <f>IFERROR(IF(VLOOKUP(calendar[[#This Row],[Date]],BH!E:E,1,)&lt;&gt;"",1,0),0)</f>
        <v>0</v>
      </c>
      <c r="O2489">
        <f>IFERROR(IF(VLOOKUP(calendar[[#This Row],[Date]],BH!G:G,1,)&lt;&gt;"",1,0),0)</f>
        <v>0</v>
      </c>
      <c r="P2489">
        <f>IF(OR(calendar[[#This Row],[UK_BH]]=1,calendar[[#This Row],[WeekDay]]=1, calendar[[#This Row],[WeekDay]]=7),P2488,P2488+1)</f>
        <v>1777</v>
      </c>
      <c r="Q2489">
        <f>IF(OR(calendar[[#This Row],[FR_BH]]=1,calendar[[#This Row],[WeekDay]]=1, calendar[[#This Row],[WeekDay]]=7),P2488,P2488+1)</f>
        <v>1777</v>
      </c>
      <c r="R2489">
        <f>IF(OR(calendar[[#This Row],[SP_BH]]=1,calendar[[#This Row],[WeekDay]]=1, calendar[[#This Row],[WeekDay]]=7),P2488,P2488+1)</f>
        <v>1777</v>
      </c>
      <c r="S2489">
        <f>IF(OR(calendar[[#This Row],[PT_BH]]=1,calendar[[#This Row],[WeekDay]]=1, calendar[[#This Row],[WeekDay]]=7),P2488,P2488+1)</f>
        <v>1777</v>
      </c>
    </row>
    <row r="2490" spans="1:19" x14ac:dyDescent="0.25">
      <c r="A2490" s="2">
        <v>45224</v>
      </c>
      <c r="B2490" s="1">
        <f t="shared" si="193"/>
        <v>43</v>
      </c>
      <c r="C2490">
        <f t="shared" si="195"/>
        <v>10</v>
      </c>
      <c r="D2490" t="str">
        <f t="shared" si="196"/>
        <v>October</v>
      </c>
      <c r="E2490">
        <f t="shared" si="197"/>
        <v>2023</v>
      </c>
      <c r="F2490" t="str">
        <f>CONCATENATE(calendar[[#This Row],[Month]],"/",calendar[[#This Row],[Year]])</f>
        <v>10/2023</v>
      </c>
      <c r="G2490">
        <f>WEEKDAY(calendar[[#This Row],[Date]],1)</f>
        <v>4</v>
      </c>
      <c r="H2490" t="str">
        <f>TEXT(calendar[[#This Row],[WeekDay]],"dddd")</f>
        <v>Wednesday</v>
      </c>
      <c r="I2490">
        <f>IF((INT(calendar[[#This Row],[Count]]/7)-calendar[[#This Row],[Count]]/7)&lt;0,I2489,I2489+1)</f>
        <v>356</v>
      </c>
      <c r="J2490">
        <f t="shared" si="194"/>
        <v>2488</v>
      </c>
      <c r="K2490">
        <f>IF(calendar[[#This Row],[Month]]&lt;4,1,IF(calendar[[#This Row],[Month]]&lt;7,2,IF(calendar[[#This Row],[Month]]&lt;10,3,4)))</f>
        <v>4</v>
      </c>
      <c r="L2490">
        <f>IFERROR(IF(VLOOKUP(calendar[[#This Row],[Date]],BH!A:A,1,)&lt;&gt;"",1,0),0)</f>
        <v>0</v>
      </c>
      <c r="M2490">
        <f>IFERROR(IF(VLOOKUP(calendar[[#This Row],[Date]],BH!C:C,1,)&lt;&gt;"",1,0),0)</f>
        <v>0</v>
      </c>
      <c r="N2490">
        <f>IFERROR(IF(VLOOKUP(calendar[[#This Row],[Date]],BH!E:E,1,)&lt;&gt;"",1,0),0)</f>
        <v>0</v>
      </c>
      <c r="O2490">
        <f>IFERROR(IF(VLOOKUP(calendar[[#This Row],[Date]],BH!G:G,1,)&lt;&gt;"",1,0),0)</f>
        <v>0</v>
      </c>
      <c r="P2490">
        <f>IF(OR(calendar[[#This Row],[UK_BH]]=1,calendar[[#This Row],[WeekDay]]=1, calendar[[#This Row],[WeekDay]]=7),P2489,P2489+1)</f>
        <v>1778</v>
      </c>
      <c r="Q2490">
        <f>IF(OR(calendar[[#This Row],[FR_BH]]=1,calendar[[#This Row],[WeekDay]]=1, calendar[[#This Row],[WeekDay]]=7),P2489,P2489+1)</f>
        <v>1778</v>
      </c>
      <c r="R2490">
        <f>IF(OR(calendar[[#This Row],[SP_BH]]=1,calendar[[#This Row],[WeekDay]]=1, calendar[[#This Row],[WeekDay]]=7),P2489,P2489+1)</f>
        <v>1778</v>
      </c>
      <c r="S2490">
        <f>IF(OR(calendar[[#This Row],[PT_BH]]=1,calendar[[#This Row],[WeekDay]]=1, calendar[[#This Row],[WeekDay]]=7),P2489,P2489+1)</f>
        <v>1778</v>
      </c>
    </row>
    <row r="2491" spans="1:19" x14ac:dyDescent="0.25">
      <c r="A2491" s="2">
        <v>45225</v>
      </c>
      <c r="B2491" s="1">
        <f t="shared" si="193"/>
        <v>43</v>
      </c>
      <c r="C2491">
        <f t="shared" si="195"/>
        <v>10</v>
      </c>
      <c r="D2491" t="str">
        <f t="shared" si="196"/>
        <v>October</v>
      </c>
      <c r="E2491">
        <f t="shared" si="197"/>
        <v>2023</v>
      </c>
      <c r="F2491" t="str">
        <f>CONCATENATE(calendar[[#This Row],[Month]],"/",calendar[[#This Row],[Year]])</f>
        <v>10/2023</v>
      </c>
      <c r="G2491">
        <f>WEEKDAY(calendar[[#This Row],[Date]],1)</f>
        <v>5</v>
      </c>
      <c r="H2491" t="str">
        <f>TEXT(calendar[[#This Row],[WeekDay]],"dddd")</f>
        <v>Thursday</v>
      </c>
      <c r="I2491">
        <f>IF((INT(calendar[[#This Row],[Count]]/7)-calendar[[#This Row],[Count]]/7)&lt;0,I2490,I2490+1)</f>
        <v>356</v>
      </c>
      <c r="J2491">
        <f t="shared" si="194"/>
        <v>2489</v>
      </c>
      <c r="K2491">
        <f>IF(calendar[[#This Row],[Month]]&lt;4,1,IF(calendar[[#This Row],[Month]]&lt;7,2,IF(calendar[[#This Row],[Month]]&lt;10,3,4)))</f>
        <v>4</v>
      </c>
      <c r="L2491">
        <f>IFERROR(IF(VLOOKUP(calendar[[#This Row],[Date]],BH!A:A,1,)&lt;&gt;"",1,0),0)</f>
        <v>0</v>
      </c>
      <c r="M2491">
        <f>IFERROR(IF(VLOOKUP(calendar[[#This Row],[Date]],BH!C:C,1,)&lt;&gt;"",1,0),0)</f>
        <v>0</v>
      </c>
      <c r="N2491">
        <f>IFERROR(IF(VLOOKUP(calendar[[#This Row],[Date]],BH!E:E,1,)&lt;&gt;"",1,0),0)</f>
        <v>0</v>
      </c>
      <c r="O2491">
        <f>IFERROR(IF(VLOOKUP(calendar[[#This Row],[Date]],BH!G:G,1,)&lt;&gt;"",1,0),0)</f>
        <v>0</v>
      </c>
      <c r="P2491">
        <f>IF(OR(calendar[[#This Row],[UK_BH]]=1,calendar[[#This Row],[WeekDay]]=1, calendar[[#This Row],[WeekDay]]=7),P2490,P2490+1)</f>
        <v>1779</v>
      </c>
      <c r="Q2491">
        <f>IF(OR(calendar[[#This Row],[FR_BH]]=1,calendar[[#This Row],[WeekDay]]=1, calendar[[#This Row],[WeekDay]]=7),P2490,P2490+1)</f>
        <v>1779</v>
      </c>
      <c r="R2491">
        <f>IF(OR(calendar[[#This Row],[SP_BH]]=1,calendar[[#This Row],[WeekDay]]=1, calendar[[#This Row],[WeekDay]]=7),P2490,P2490+1)</f>
        <v>1779</v>
      </c>
      <c r="S2491">
        <f>IF(OR(calendar[[#This Row],[PT_BH]]=1,calendar[[#This Row],[WeekDay]]=1, calendar[[#This Row],[WeekDay]]=7),P2490,P2490+1)</f>
        <v>1779</v>
      </c>
    </row>
    <row r="2492" spans="1:19" x14ac:dyDescent="0.25">
      <c r="A2492" s="2">
        <v>45226</v>
      </c>
      <c r="B2492" s="1">
        <f t="shared" si="193"/>
        <v>43</v>
      </c>
      <c r="C2492">
        <f t="shared" si="195"/>
        <v>10</v>
      </c>
      <c r="D2492" t="str">
        <f t="shared" si="196"/>
        <v>October</v>
      </c>
      <c r="E2492">
        <f t="shared" si="197"/>
        <v>2023</v>
      </c>
      <c r="F2492" t="str">
        <f>CONCATENATE(calendar[[#This Row],[Month]],"/",calendar[[#This Row],[Year]])</f>
        <v>10/2023</v>
      </c>
      <c r="G2492">
        <f>WEEKDAY(calendar[[#This Row],[Date]],1)</f>
        <v>6</v>
      </c>
      <c r="H2492" t="str">
        <f>TEXT(calendar[[#This Row],[WeekDay]],"dddd")</f>
        <v>Friday</v>
      </c>
      <c r="I2492">
        <f>IF((INT(calendar[[#This Row],[Count]]/7)-calendar[[#This Row],[Count]]/7)&lt;0,I2491,I2491+1)</f>
        <v>356</v>
      </c>
      <c r="J2492">
        <f t="shared" si="194"/>
        <v>2490</v>
      </c>
      <c r="K2492">
        <f>IF(calendar[[#This Row],[Month]]&lt;4,1,IF(calendar[[#This Row],[Month]]&lt;7,2,IF(calendar[[#This Row],[Month]]&lt;10,3,4)))</f>
        <v>4</v>
      </c>
      <c r="L2492">
        <f>IFERROR(IF(VLOOKUP(calendar[[#This Row],[Date]],BH!A:A,1,)&lt;&gt;"",1,0),0)</f>
        <v>0</v>
      </c>
      <c r="M2492">
        <f>IFERROR(IF(VLOOKUP(calendar[[#This Row],[Date]],BH!C:C,1,)&lt;&gt;"",1,0),0)</f>
        <v>0</v>
      </c>
      <c r="N2492">
        <f>IFERROR(IF(VLOOKUP(calendar[[#This Row],[Date]],BH!E:E,1,)&lt;&gt;"",1,0),0)</f>
        <v>0</v>
      </c>
      <c r="O2492">
        <f>IFERROR(IF(VLOOKUP(calendar[[#This Row],[Date]],BH!G:G,1,)&lt;&gt;"",1,0),0)</f>
        <v>0</v>
      </c>
      <c r="P2492">
        <f>IF(OR(calendar[[#This Row],[UK_BH]]=1,calendar[[#This Row],[WeekDay]]=1, calendar[[#This Row],[WeekDay]]=7),P2491,P2491+1)</f>
        <v>1780</v>
      </c>
      <c r="Q2492">
        <f>IF(OR(calendar[[#This Row],[FR_BH]]=1,calendar[[#This Row],[WeekDay]]=1, calendar[[#This Row],[WeekDay]]=7),P2491,P2491+1)</f>
        <v>1780</v>
      </c>
      <c r="R2492">
        <f>IF(OR(calendar[[#This Row],[SP_BH]]=1,calendar[[#This Row],[WeekDay]]=1, calendar[[#This Row],[WeekDay]]=7),P2491,P2491+1)</f>
        <v>1780</v>
      </c>
      <c r="S2492">
        <f>IF(OR(calendar[[#This Row],[PT_BH]]=1,calendar[[#This Row],[WeekDay]]=1, calendar[[#This Row],[WeekDay]]=7),P2491,P2491+1)</f>
        <v>1780</v>
      </c>
    </row>
    <row r="2493" spans="1:19" x14ac:dyDescent="0.25">
      <c r="A2493" s="2">
        <v>45227</v>
      </c>
      <c r="B2493" s="1">
        <f t="shared" si="193"/>
        <v>43</v>
      </c>
      <c r="C2493">
        <f t="shared" si="195"/>
        <v>10</v>
      </c>
      <c r="D2493" t="str">
        <f t="shared" si="196"/>
        <v>October</v>
      </c>
      <c r="E2493">
        <f t="shared" si="197"/>
        <v>2023</v>
      </c>
      <c r="F2493" t="str">
        <f>CONCATENATE(calendar[[#This Row],[Month]],"/",calendar[[#This Row],[Year]])</f>
        <v>10/2023</v>
      </c>
      <c r="G2493">
        <f>WEEKDAY(calendar[[#This Row],[Date]],1)</f>
        <v>7</v>
      </c>
      <c r="H2493" t="str">
        <f>TEXT(calendar[[#This Row],[WeekDay]],"dddd")</f>
        <v>Saturday</v>
      </c>
      <c r="I2493">
        <f>IF((INT(calendar[[#This Row],[Count]]/7)-calendar[[#This Row],[Count]]/7)&lt;0,I2492,I2492+1)</f>
        <v>356</v>
      </c>
      <c r="J2493">
        <f t="shared" si="194"/>
        <v>2491</v>
      </c>
      <c r="K2493">
        <f>IF(calendar[[#This Row],[Month]]&lt;4,1,IF(calendar[[#This Row],[Month]]&lt;7,2,IF(calendar[[#This Row],[Month]]&lt;10,3,4)))</f>
        <v>4</v>
      </c>
      <c r="L2493">
        <f>IFERROR(IF(VLOOKUP(calendar[[#This Row],[Date]],BH!A:A,1,)&lt;&gt;"",1,0),0)</f>
        <v>0</v>
      </c>
      <c r="M2493">
        <f>IFERROR(IF(VLOOKUP(calendar[[#This Row],[Date]],BH!C:C,1,)&lt;&gt;"",1,0),0)</f>
        <v>0</v>
      </c>
      <c r="N2493">
        <f>IFERROR(IF(VLOOKUP(calendar[[#This Row],[Date]],BH!E:E,1,)&lt;&gt;"",1,0),0)</f>
        <v>0</v>
      </c>
      <c r="O2493">
        <f>IFERROR(IF(VLOOKUP(calendar[[#This Row],[Date]],BH!G:G,1,)&lt;&gt;"",1,0),0)</f>
        <v>0</v>
      </c>
      <c r="P2493">
        <f>IF(OR(calendar[[#This Row],[UK_BH]]=1,calendar[[#This Row],[WeekDay]]=1, calendar[[#This Row],[WeekDay]]=7),P2492,P2492+1)</f>
        <v>1780</v>
      </c>
      <c r="Q2493">
        <f>IF(OR(calendar[[#This Row],[FR_BH]]=1,calendar[[#This Row],[WeekDay]]=1, calendar[[#This Row],[WeekDay]]=7),P2492,P2492+1)</f>
        <v>1780</v>
      </c>
      <c r="R2493">
        <f>IF(OR(calendar[[#This Row],[SP_BH]]=1,calendar[[#This Row],[WeekDay]]=1, calendar[[#This Row],[WeekDay]]=7),P2492,P2492+1)</f>
        <v>1780</v>
      </c>
      <c r="S2493">
        <f>IF(OR(calendar[[#This Row],[PT_BH]]=1,calendar[[#This Row],[WeekDay]]=1, calendar[[#This Row],[WeekDay]]=7),P2492,P2492+1)</f>
        <v>1780</v>
      </c>
    </row>
    <row r="2494" spans="1:19" x14ac:dyDescent="0.25">
      <c r="A2494" s="2">
        <v>45228</v>
      </c>
      <c r="B2494" s="1">
        <f t="shared" si="193"/>
        <v>44</v>
      </c>
      <c r="C2494">
        <f t="shared" si="195"/>
        <v>10</v>
      </c>
      <c r="D2494" t="str">
        <f t="shared" si="196"/>
        <v>October</v>
      </c>
      <c r="E2494">
        <f t="shared" si="197"/>
        <v>2023</v>
      </c>
      <c r="F2494" t="str">
        <f>CONCATENATE(calendar[[#This Row],[Month]],"/",calendar[[#This Row],[Year]])</f>
        <v>10/2023</v>
      </c>
      <c r="G2494">
        <f>WEEKDAY(calendar[[#This Row],[Date]],1)</f>
        <v>1</v>
      </c>
      <c r="H2494" t="str">
        <f>TEXT(calendar[[#This Row],[WeekDay]],"dddd")</f>
        <v>Sunday</v>
      </c>
      <c r="I2494">
        <f>IF((INT(calendar[[#This Row],[Count]]/7)-calendar[[#This Row],[Count]]/7)&lt;0,I2493,I2493+1)</f>
        <v>357</v>
      </c>
      <c r="J2494">
        <f t="shared" si="194"/>
        <v>2492</v>
      </c>
      <c r="K2494">
        <f>IF(calendar[[#This Row],[Month]]&lt;4,1,IF(calendar[[#This Row],[Month]]&lt;7,2,IF(calendar[[#This Row],[Month]]&lt;10,3,4)))</f>
        <v>4</v>
      </c>
      <c r="L2494">
        <f>IFERROR(IF(VLOOKUP(calendar[[#This Row],[Date]],BH!A:A,1,)&lt;&gt;"",1,0),0)</f>
        <v>0</v>
      </c>
      <c r="M2494">
        <f>IFERROR(IF(VLOOKUP(calendar[[#This Row],[Date]],BH!C:C,1,)&lt;&gt;"",1,0),0)</f>
        <v>0</v>
      </c>
      <c r="N2494">
        <f>IFERROR(IF(VLOOKUP(calendar[[#This Row],[Date]],BH!E:E,1,)&lt;&gt;"",1,0),0)</f>
        <v>0</v>
      </c>
      <c r="O2494">
        <f>IFERROR(IF(VLOOKUP(calendar[[#This Row],[Date]],BH!G:G,1,)&lt;&gt;"",1,0),0)</f>
        <v>0</v>
      </c>
      <c r="P2494">
        <f>IF(OR(calendar[[#This Row],[UK_BH]]=1,calendar[[#This Row],[WeekDay]]=1, calendar[[#This Row],[WeekDay]]=7),P2493,P2493+1)</f>
        <v>1780</v>
      </c>
      <c r="Q2494">
        <f>IF(OR(calendar[[#This Row],[FR_BH]]=1,calendar[[#This Row],[WeekDay]]=1, calendar[[#This Row],[WeekDay]]=7),P2493,P2493+1)</f>
        <v>1780</v>
      </c>
      <c r="R2494">
        <f>IF(OR(calendar[[#This Row],[SP_BH]]=1,calendar[[#This Row],[WeekDay]]=1, calendar[[#This Row],[WeekDay]]=7),P2493,P2493+1)</f>
        <v>1780</v>
      </c>
      <c r="S2494">
        <f>IF(OR(calendar[[#This Row],[PT_BH]]=1,calendar[[#This Row],[WeekDay]]=1, calendar[[#This Row],[WeekDay]]=7),P2493,P2493+1)</f>
        <v>1780</v>
      </c>
    </row>
    <row r="2495" spans="1:19" x14ac:dyDescent="0.25">
      <c r="A2495" s="2">
        <v>45229</v>
      </c>
      <c r="B2495" s="1">
        <f t="shared" si="193"/>
        <v>44</v>
      </c>
      <c r="C2495">
        <f t="shared" si="195"/>
        <v>10</v>
      </c>
      <c r="D2495" t="str">
        <f t="shared" si="196"/>
        <v>October</v>
      </c>
      <c r="E2495">
        <f t="shared" si="197"/>
        <v>2023</v>
      </c>
      <c r="F2495" t="str">
        <f>CONCATENATE(calendar[[#This Row],[Month]],"/",calendar[[#This Row],[Year]])</f>
        <v>10/2023</v>
      </c>
      <c r="G2495">
        <f>WEEKDAY(calendar[[#This Row],[Date]],1)</f>
        <v>2</v>
      </c>
      <c r="H2495" t="str">
        <f>TEXT(calendar[[#This Row],[WeekDay]],"dddd")</f>
        <v>Monday</v>
      </c>
      <c r="I2495">
        <f>IF((INT(calendar[[#This Row],[Count]]/7)-calendar[[#This Row],[Count]]/7)&lt;0,I2494,I2494+1)</f>
        <v>357</v>
      </c>
      <c r="J2495">
        <f t="shared" si="194"/>
        <v>2493</v>
      </c>
      <c r="K2495">
        <f>IF(calendar[[#This Row],[Month]]&lt;4,1,IF(calendar[[#This Row],[Month]]&lt;7,2,IF(calendar[[#This Row],[Month]]&lt;10,3,4)))</f>
        <v>4</v>
      </c>
      <c r="L2495">
        <f>IFERROR(IF(VLOOKUP(calendar[[#This Row],[Date]],BH!A:A,1,)&lt;&gt;"",1,0),0)</f>
        <v>0</v>
      </c>
      <c r="M2495">
        <f>IFERROR(IF(VLOOKUP(calendar[[#This Row],[Date]],BH!C:C,1,)&lt;&gt;"",1,0),0)</f>
        <v>0</v>
      </c>
      <c r="N2495">
        <f>IFERROR(IF(VLOOKUP(calendar[[#This Row],[Date]],BH!E:E,1,)&lt;&gt;"",1,0),0)</f>
        <v>0</v>
      </c>
      <c r="O2495">
        <f>IFERROR(IF(VLOOKUP(calendar[[#This Row],[Date]],BH!G:G,1,)&lt;&gt;"",1,0),0)</f>
        <v>0</v>
      </c>
      <c r="P2495">
        <f>IF(OR(calendar[[#This Row],[UK_BH]]=1,calendar[[#This Row],[WeekDay]]=1, calendar[[#This Row],[WeekDay]]=7),P2494,P2494+1)</f>
        <v>1781</v>
      </c>
      <c r="Q2495">
        <f>IF(OR(calendar[[#This Row],[FR_BH]]=1,calendar[[#This Row],[WeekDay]]=1, calendar[[#This Row],[WeekDay]]=7),P2494,P2494+1)</f>
        <v>1781</v>
      </c>
      <c r="R2495">
        <f>IF(OR(calendar[[#This Row],[SP_BH]]=1,calendar[[#This Row],[WeekDay]]=1, calendar[[#This Row],[WeekDay]]=7),P2494,P2494+1)</f>
        <v>1781</v>
      </c>
      <c r="S2495">
        <f>IF(OR(calendar[[#This Row],[PT_BH]]=1,calendar[[#This Row],[WeekDay]]=1, calendar[[#This Row],[WeekDay]]=7),P2494,P2494+1)</f>
        <v>1781</v>
      </c>
    </row>
    <row r="2496" spans="1:19" x14ac:dyDescent="0.25">
      <c r="A2496" s="2">
        <v>45230</v>
      </c>
      <c r="B2496" s="1">
        <f t="shared" si="193"/>
        <v>44</v>
      </c>
      <c r="C2496">
        <f t="shared" si="195"/>
        <v>10</v>
      </c>
      <c r="D2496" t="str">
        <f t="shared" si="196"/>
        <v>October</v>
      </c>
      <c r="E2496">
        <f t="shared" si="197"/>
        <v>2023</v>
      </c>
      <c r="F2496" t="str">
        <f>CONCATENATE(calendar[[#This Row],[Month]],"/",calendar[[#This Row],[Year]])</f>
        <v>10/2023</v>
      </c>
      <c r="G2496">
        <f>WEEKDAY(calendar[[#This Row],[Date]],1)</f>
        <v>3</v>
      </c>
      <c r="H2496" t="str">
        <f>TEXT(calendar[[#This Row],[WeekDay]],"dddd")</f>
        <v>Tuesday</v>
      </c>
      <c r="I2496">
        <f>IF((INT(calendar[[#This Row],[Count]]/7)-calendar[[#This Row],[Count]]/7)&lt;0,I2495,I2495+1)</f>
        <v>357</v>
      </c>
      <c r="J2496">
        <f t="shared" si="194"/>
        <v>2494</v>
      </c>
      <c r="K2496">
        <f>IF(calendar[[#This Row],[Month]]&lt;4,1,IF(calendar[[#This Row],[Month]]&lt;7,2,IF(calendar[[#This Row],[Month]]&lt;10,3,4)))</f>
        <v>4</v>
      </c>
      <c r="L2496">
        <f>IFERROR(IF(VLOOKUP(calendar[[#This Row],[Date]],BH!A:A,1,)&lt;&gt;"",1,0),0)</f>
        <v>0</v>
      </c>
      <c r="M2496">
        <f>IFERROR(IF(VLOOKUP(calendar[[#This Row],[Date]],BH!C:C,1,)&lt;&gt;"",1,0),0)</f>
        <v>0</v>
      </c>
      <c r="N2496">
        <f>IFERROR(IF(VLOOKUP(calendar[[#This Row],[Date]],BH!E:E,1,)&lt;&gt;"",1,0),0)</f>
        <v>0</v>
      </c>
      <c r="O2496">
        <f>IFERROR(IF(VLOOKUP(calendar[[#This Row],[Date]],BH!G:G,1,)&lt;&gt;"",1,0),0)</f>
        <v>0</v>
      </c>
      <c r="P2496">
        <f>IF(OR(calendar[[#This Row],[UK_BH]]=1,calendar[[#This Row],[WeekDay]]=1, calendar[[#This Row],[WeekDay]]=7),P2495,P2495+1)</f>
        <v>1782</v>
      </c>
      <c r="Q2496">
        <f>IF(OR(calendar[[#This Row],[FR_BH]]=1,calendar[[#This Row],[WeekDay]]=1, calendar[[#This Row],[WeekDay]]=7),P2495,P2495+1)</f>
        <v>1782</v>
      </c>
      <c r="R2496">
        <f>IF(OR(calendar[[#This Row],[SP_BH]]=1,calendar[[#This Row],[WeekDay]]=1, calendar[[#This Row],[WeekDay]]=7),P2495,P2495+1)</f>
        <v>1782</v>
      </c>
      <c r="S2496">
        <f>IF(OR(calendar[[#This Row],[PT_BH]]=1,calendar[[#This Row],[WeekDay]]=1, calendar[[#This Row],[WeekDay]]=7),P2495,P2495+1)</f>
        <v>1782</v>
      </c>
    </row>
    <row r="2497" spans="1:19" x14ac:dyDescent="0.25">
      <c r="A2497" s="2">
        <v>45231</v>
      </c>
      <c r="B2497" s="1">
        <f t="shared" si="193"/>
        <v>44</v>
      </c>
      <c r="C2497">
        <f t="shared" si="195"/>
        <v>11</v>
      </c>
      <c r="D2497" t="str">
        <f t="shared" si="196"/>
        <v>November</v>
      </c>
      <c r="E2497">
        <f t="shared" si="197"/>
        <v>2023</v>
      </c>
      <c r="F2497" t="str">
        <f>CONCATENATE(calendar[[#This Row],[Month]],"/",calendar[[#This Row],[Year]])</f>
        <v>11/2023</v>
      </c>
      <c r="G2497">
        <f>WEEKDAY(calendar[[#This Row],[Date]],1)</f>
        <v>4</v>
      </c>
      <c r="H2497" t="str">
        <f>TEXT(calendar[[#This Row],[WeekDay]],"dddd")</f>
        <v>Wednesday</v>
      </c>
      <c r="I2497">
        <f>IF((INT(calendar[[#This Row],[Count]]/7)-calendar[[#This Row],[Count]]/7)&lt;0,I2496,I2496+1)</f>
        <v>357</v>
      </c>
      <c r="J2497">
        <f t="shared" si="194"/>
        <v>2495</v>
      </c>
      <c r="K2497">
        <f>IF(calendar[[#This Row],[Month]]&lt;4,1,IF(calendar[[#This Row],[Month]]&lt;7,2,IF(calendar[[#This Row],[Month]]&lt;10,3,4)))</f>
        <v>4</v>
      </c>
      <c r="L2497">
        <f>IFERROR(IF(VLOOKUP(calendar[[#This Row],[Date]],BH!A:A,1,)&lt;&gt;"",1,0),0)</f>
        <v>0</v>
      </c>
      <c r="M2497">
        <f>IFERROR(IF(VLOOKUP(calendar[[#This Row],[Date]],BH!C:C,1,)&lt;&gt;"",1,0),0)</f>
        <v>0</v>
      </c>
      <c r="N2497">
        <f>IFERROR(IF(VLOOKUP(calendar[[#This Row],[Date]],BH!E:E,1,)&lt;&gt;"",1,0),0)</f>
        <v>0</v>
      </c>
      <c r="O2497">
        <f>IFERROR(IF(VLOOKUP(calendar[[#This Row],[Date]],BH!G:G,1,)&lt;&gt;"",1,0),0)</f>
        <v>0</v>
      </c>
      <c r="P2497">
        <f>IF(OR(calendar[[#This Row],[UK_BH]]=1,calendar[[#This Row],[WeekDay]]=1, calendar[[#This Row],[WeekDay]]=7),P2496,P2496+1)</f>
        <v>1783</v>
      </c>
      <c r="Q2497">
        <f>IF(OR(calendar[[#This Row],[FR_BH]]=1,calendar[[#This Row],[WeekDay]]=1, calendar[[#This Row],[WeekDay]]=7),P2496,P2496+1)</f>
        <v>1783</v>
      </c>
      <c r="R2497">
        <f>IF(OR(calendar[[#This Row],[SP_BH]]=1,calendar[[#This Row],[WeekDay]]=1, calendar[[#This Row],[WeekDay]]=7),P2496,P2496+1)</f>
        <v>1783</v>
      </c>
      <c r="S2497">
        <f>IF(OR(calendar[[#This Row],[PT_BH]]=1,calendar[[#This Row],[WeekDay]]=1, calendar[[#This Row],[WeekDay]]=7),P2496,P2496+1)</f>
        <v>1783</v>
      </c>
    </row>
    <row r="2498" spans="1:19" x14ac:dyDescent="0.25">
      <c r="A2498" s="2">
        <v>45232</v>
      </c>
      <c r="B2498" s="1">
        <f t="shared" ref="B2498:B2561" si="198">WEEKNUM(A2498)</f>
        <v>44</v>
      </c>
      <c r="C2498">
        <f t="shared" si="195"/>
        <v>11</v>
      </c>
      <c r="D2498" t="str">
        <f t="shared" si="196"/>
        <v>November</v>
      </c>
      <c r="E2498">
        <f t="shared" si="197"/>
        <v>2023</v>
      </c>
      <c r="F2498" t="str">
        <f>CONCATENATE(calendar[[#This Row],[Month]],"/",calendar[[#This Row],[Year]])</f>
        <v>11/2023</v>
      </c>
      <c r="G2498">
        <f>WEEKDAY(calendar[[#This Row],[Date]],1)</f>
        <v>5</v>
      </c>
      <c r="H2498" t="str">
        <f>TEXT(calendar[[#This Row],[WeekDay]],"dddd")</f>
        <v>Thursday</v>
      </c>
      <c r="I2498">
        <f>IF((INT(calendar[[#This Row],[Count]]/7)-calendar[[#This Row],[Count]]/7)&lt;0,I2497,I2497+1)</f>
        <v>357</v>
      </c>
      <c r="J2498">
        <f t="shared" si="194"/>
        <v>2496</v>
      </c>
      <c r="K2498">
        <f>IF(calendar[[#This Row],[Month]]&lt;4,1,IF(calendar[[#This Row],[Month]]&lt;7,2,IF(calendar[[#This Row],[Month]]&lt;10,3,4)))</f>
        <v>4</v>
      </c>
      <c r="L2498">
        <f>IFERROR(IF(VLOOKUP(calendar[[#This Row],[Date]],BH!A:A,1,)&lt;&gt;"",1,0),0)</f>
        <v>0</v>
      </c>
      <c r="M2498">
        <f>IFERROR(IF(VLOOKUP(calendar[[#This Row],[Date]],BH!C:C,1,)&lt;&gt;"",1,0),0)</f>
        <v>0</v>
      </c>
      <c r="N2498">
        <f>IFERROR(IF(VLOOKUP(calendar[[#This Row],[Date]],BH!E:E,1,)&lt;&gt;"",1,0),0)</f>
        <v>0</v>
      </c>
      <c r="O2498">
        <f>IFERROR(IF(VLOOKUP(calendar[[#This Row],[Date]],BH!G:G,1,)&lt;&gt;"",1,0),0)</f>
        <v>0</v>
      </c>
      <c r="P2498">
        <f>IF(OR(calendar[[#This Row],[UK_BH]]=1,calendar[[#This Row],[WeekDay]]=1, calendar[[#This Row],[WeekDay]]=7),P2497,P2497+1)</f>
        <v>1784</v>
      </c>
      <c r="Q2498">
        <f>IF(OR(calendar[[#This Row],[FR_BH]]=1,calendar[[#This Row],[WeekDay]]=1, calendar[[#This Row],[WeekDay]]=7),P2497,P2497+1)</f>
        <v>1784</v>
      </c>
      <c r="R2498">
        <f>IF(OR(calendar[[#This Row],[SP_BH]]=1,calendar[[#This Row],[WeekDay]]=1, calendar[[#This Row],[WeekDay]]=7),P2497,P2497+1)</f>
        <v>1784</v>
      </c>
      <c r="S2498">
        <f>IF(OR(calendar[[#This Row],[PT_BH]]=1,calendar[[#This Row],[WeekDay]]=1, calendar[[#This Row],[WeekDay]]=7),P2497,P2497+1)</f>
        <v>1784</v>
      </c>
    </row>
    <row r="2499" spans="1:19" x14ac:dyDescent="0.25">
      <c r="A2499" s="2">
        <v>45233</v>
      </c>
      <c r="B2499" s="1">
        <f t="shared" si="198"/>
        <v>44</v>
      </c>
      <c r="C2499">
        <f t="shared" si="195"/>
        <v>11</v>
      </c>
      <c r="D2499" t="str">
        <f t="shared" si="196"/>
        <v>November</v>
      </c>
      <c r="E2499">
        <f t="shared" si="197"/>
        <v>2023</v>
      </c>
      <c r="F2499" t="str">
        <f>CONCATENATE(calendar[[#This Row],[Month]],"/",calendar[[#This Row],[Year]])</f>
        <v>11/2023</v>
      </c>
      <c r="G2499">
        <f>WEEKDAY(calendar[[#This Row],[Date]],1)</f>
        <v>6</v>
      </c>
      <c r="H2499" t="str">
        <f>TEXT(calendar[[#This Row],[WeekDay]],"dddd")</f>
        <v>Friday</v>
      </c>
      <c r="I2499">
        <f>IF((INT(calendar[[#This Row],[Count]]/7)-calendar[[#This Row],[Count]]/7)&lt;0,I2498,I2498+1)</f>
        <v>357</v>
      </c>
      <c r="J2499">
        <f t="shared" ref="J2499:J2562" si="199">J2498+1</f>
        <v>2497</v>
      </c>
      <c r="K2499">
        <f>IF(calendar[[#This Row],[Month]]&lt;4,1,IF(calendar[[#This Row],[Month]]&lt;7,2,IF(calendar[[#This Row],[Month]]&lt;10,3,4)))</f>
        <v>4</v>
      </c>
      <c r="L2499">
        <f>IFERROR(IF(VLOOKUP(calendar[[#This Row],[Date]],BH!A:A,1,)&lt;&gt;"",1,0),0)</f>
        <v>0</v>
      </c>
      <c r="M2499">
        <f>IFERROR(IF(VLOOKUP(calendar[[#This Row],[Date]],BH!C:C,1,)&lt;&gt;"",1,0),0)</f>
        <v>0</v>
      </c>
      <c r="N2499">
        <f>IFERROR(IF(VLOOKUP(calendar[[#This Row],[Date]],BH!E:E,1,)&lt;&gt;"",1,0),0)</f>
        <v>0</v>
      </c>
      <c r="O2499">
        <f>IFERROR(IF(VLOOKUP(calendar[[#This Row],[Date]],BH!G:G,1,)&lt;&gt;"",1,0),0)</f>
        <v>0</v>
      </c>
      <c r="P2499">
        <f>IF(OR(calendar[[#This Row],[UK_BH]]=1,calendar[[#This Row],[WeekDay]]=1, calendar[[#This Row],[WeekDay]]=7),P2498,P2498+1)</f>
        <v>1785</v>
      </c>
      <c r="Q2499">
        <f>IF(OR(calendar[[#This Row],[FR_BH]]=1,calendar[[#This Row],[WeekDay]]=1, calendar[[#This Row],[WeekDay]]=7),P2498,P2498+1)</f>
        <v>1785</v>
      </c>
      <c r="R2499">
        <f>IF(OR(calendar[[#This Row],[SP_BH]]=1,calendar[[#This Row],[WeekDay]]=1, calendar[[#This Row],[WeekDay]]=7),P2498,P2498+1)</f>
        <v>1785</v>
      </c>
      <c r="S2499">
        <f>IF(OR(calendar[[#This Row],[PT_BH]]=1,calendar[[#This Row],[WeekDay]]=1, calendar[[#This Row],[WeekDay]]=7),P2498,P2498+1)</f>
        <v>1785</v>
      </c>
    </row>
    <row r="2500" spans="1:19" x14ac:dyDescent="0.25">
      <c r="A2500" s="2">
        <v>45234</v>
      </c>
      <c r="B2500" s="1">
        <f t="shared" si="198"/>
        <v>44</v>
      </c>
      <c r="C2500">
        <f t="shared" si="195"/>
        <v>11</v>
      </c>
      <c r="D2500" t="str">
        <f t="shared" si="196"/>
        <v>November</v>
      </c>
      <c r="E2500">
        <f t="shared" si="197"/>
        <v>2023</v>
      </c>
      <c r="F2500" t="str">
        <f>CONCATENATE(calendar[[#This Row],[Month]],"/",calendar[[#This Row],[Year]])</f>
        <v>11/2023</v>
      </c>
      <c r="G2500">
        <f>WEEKDAY(calendar[[#This Row],[Date]],1)</f>
        <v>7</v>
      </c>
      <c r="H2500" t="str">
        <f>TEXT(calendar[[#This Row],[WeekDay]],"dddd")</f>
        <v>Saturday</v>
      </c>
      <c r="I2500">
        <f>IF((INT(calendar[[#This Row],[Count]]/7)-calendar[[#This Row],[Count]]/7)&lt;0,I2499,I2499+1)</f>
        <v>357</v>
      </c>
      <c r="J2500">
        <f t="shared" si="199"/>
        <v>2498</v>
      </c>
      <c r="K2500">
        <f>IF(calendar[[#This Row],[Month]]&lt;4,1,IF(calendar[[#This Row],[Month]]&lt;7,2,IF(calendar[[#This Row],[Month]]&lt;10,3,4)))</f>
        <v>4</v>
      </c>
      <c r="L2500">
        <f>IFERROR(IF(VLOOKUP(calendar[[#This Row],[Date]],BH!A:A,1,)&lt;&gt;"",1,0),0)</f>
        <v>0</v>
      </c>
      <c r="M2500">
        <f>IFERROR(IF(VLOOKUP(calendar[[#This Row],[Date]],BH!C:C,1,)&lt;&gt;"",1,0),0)</f>
        <v>0</v>
      </c>
      <c r="N2500">
        <f>IFERROR(IF(VLOOKUP(calendar[[#This Row],[Date]],BH!E:E,1,)&lt;&gt;"",1,0),0)</f>
        <v>0</v>
      </c>
      <c r="O2500">
        <f>IFERROR(IF(VLOOKUP(calendar[[#This Row],[Date]],BH!G:G,1,)&lt;&gt;"",1,0),0)</f>
        <v>0</v>
      </c>
      <c r="P2500">
        <f>IF(OR(calendar[[#This Row],[UK_BH]]=1,calendar[[#This Row],[WeekDay]]=1, calendar[[#This Row],[WeekDay]]=7),P2499,P2499+1)</f>
        <v>1785</v>
      </c>
      <c r="Q2500">
        <f>IF(OR(calendar[[#This Row],[FR_BH]]=1,calendar[[#This Row],[WeekDay]]=1, calendar[[#This Row],[WeekDay]]=7),P2499,P2499+1)</f>
        <v>1785</v>
      </c>
      <c r="R2500">
        <f>IF(OR(calendar[[#This Row],[SP_BH]]=1,calendar[[#This Row],[WeekDay]]=1, calendar[[#This Row],[WeekDay]]=7),P2499,P2499+1)</f>
        <v>1785</v>
      </c>
      <c r="S2500">
        <f>IF(OR(calendar[[#This Row],[PT_BH]]=1,calendar[[#This Row],[WeekDay]]=1, calendar[[#This Row],[WeekDay]]=7),P2499,P2499+1)</f>
        <v>1785</v>
      </c>
    </row>
    <row r="2501" spans="1:19" x14ac:dyDescent="0.25">
      <c r="A2501" s="2">
        <v>45235</v>
      </c>
      <c r="B2501" s="1">
        <f t="shared" si="198"/>
        <v>45</v>
      </c>
      <c r="C2501">
        <f t="shared" si="195"/>
        <v>11</v>
      </c>
      <c r="D2501" t="str">
        <f t="shared" si="196"/>
        <v>November</v>
      </c>
      <c r="E2501">
        <f t="shared" si="197"/>
        <v>2023</v>
      </c>
      <c r="F2501" t="str">
        <f>CONCATENATE(calendar[[#This Row],[Month]],"/",calendar[[#This Row],[Year]])</f>
        <v>11/2023</v>
      </c>
      <c r="G2501">
        <f>WEEKDAY(calendar[[#This Row],[Date]],1)</f>
        <v>1</v>
      </c>
      <c r="H2501" t="str">
        <f>TEXT(calendar[[#This Row],[WeekDay]],"dddd")</f>
        <v>Sunday</v>
      </c>
      <c r="I2501">
        <f>IF((INT(calendar[[#This Row],[Count]]/7)-calendar[[#This Row],[Count]]/7)&lt;0,I2500,I2500+1)</f>
        <v>358</v>
      </c>
      <c r="J2501">
        <f t="shared" si="199"/>
        <v>2499</v>
      </c>
      <c r="K2501">
        <f>IF(calendar[[#This Row],[Month]]&lt;4,1,IF(calendar[[#This Row],[Month]]&lt;7,2,IF(calendar[[#This Row],[Month]]&lt;10,3,4)))</f>
        <v>4</v>
      </c>
      <c r="L2501">
        <f>IFERROR(IF(VLOOKUP(calendar[[#This Row],[Date]],BH!A:A,1,)&lt;&gt;"",1,0),0)</f>
        <v>0</v>
      </c>
      <c r="M2501">
        <f>IFERROR(IF(VLOOKUP(calendar[[#This Row],[Date]],BH!C:C,1,)&lt;&gt;"",1,0),0)</f>
        <v>0</v>
      </c>
      <c r="N2501">
        <f>IFERROR(IF(VLOOKUP(calendar[[#This Row],[Date]],BH!E:E,1,)&lt;&gt;"",1,0),0)</f>
        <v>0</v>
      </c>
      <c r="O2501">
        <f>IFERROR(IF(VLOOKUP(calendar[[#This Row],[Date]],BH!G:G,1,)&lt;&gt;"",1,0),0)</f>
        <v>0</v>
      </c>
      <c r="P2501">
        <f>IF(OR(calendar[[#This Row],[UK_BH]]=1,calendar[[#This Row],[WeekDay]]=1, calendar[[#This Row],[WeekDay]]=7),P2500,P2500+1)</f>
        <v>1785</v>
      </c>
      <c r="Q2501">
        <f>IF(OR(calendar[[#This Row],[FR_BH]]=1,calendar[[#This Row],[WeekDay]]=1, calendar[[#This Row],[WeekDay]]=7),P2500,P2500+1)</f>
        <v>1785</v>
      </c>
      <c r="R2501">
        <f>IF(OR(calendar[[#This Row],[SP_BH]]=1,calendar[[#This Row],[WeekDay]]=1, calendar[[#This Row],[WeekDay]]=7),P2500,P2500+1)</f>
        <v>1785</v>
      </c>
      <c r="S2501">
        <f>IF(OR(calendar[[#This Row],[PT_BH]]=1,calendar[[#This Row],[WeekDay]]=1, calendar[[#This Row],[WeekDay]]=7),P2500,P2500+1)</f>
        <v>1785</v>
      </c>
    </row>
    <row r="2502" spans="1:19" x14ac:dyDescent="0.25">
      <c r="A2502" s="2">
        <v>45236</v>
      </c>
      <c r="B2502" s="1">
        <f t="shared" si="198"/>
        <v>45</v>
      </c>
      <c r="C2502">
        <f t="shared" si="195"/>
        <v>11</v>
      </c>
      <c r="D2502" t="str">
        <f t="shared" si="196"/>
        <v>November</v>
      </c>
      <c r="E2502">
        <f t="shared" si="197"/>
        <v>2023</v>
      </c>
      <c r="F2502" t="str">
        <f>CONCATENATE(calendar[[#This Row],[Month]],"/",calendar[[#This Row],[Year]])</f>
        <v>11/2023</v>
      </c>
      <c r="G2502">
        <f>WEEKDAY(calendar[[#This Row],[Date]],1)</f>
        <v>2</v>
      </c>
      <c r="H2502" t="str">
        <f>TEXT(calendar[[#This Row],[WeekDay]],"dddd")</f>
        <v>Monday</v>
      </c>
      <c r="I2502">
        <f>IF((INT(calendar[[#This Row],[Count]]/7)-calendar[[#This Row],[Count]]/7)&lt;0,I2501,I2501+1)</f>
        <v>358</v>
      </c>
      <c r="J2502">
        <f t="shared" si="199"/>
        <v>2500</v>
      </c>
      <c r="K2502">
        <f>IF(calendar[[#This Row],[Month]]&lt;4,1,IF(calendar[[#This Row],[Month]]&lt;7,2,IF(calendar[[#This Row],[Month]]&lt;10,3,4)))</f>
        <v>4</v>
      </c>
      <c r="L2502">
        <f>IFERROR(IF(VLOOKUP(calendar[[#This Row],[Date]],BH!A:A,1,)&lt;&gt;"",1,0),0)</f>
        <v>0</v>
      </c>
      <c r="M2502">
        <f>IFERROR(IF(VLOOKUP(calendar[[#This Row],[Date]],BH!C:C,1,)&lt;&gt;"",1,0),0)</f>
        <v>0</v>
      </c>
      <c r="N2502">
        <f>IFERROR(IF(VLOOKUP(calendar[[#This Row],[Date]],BH!E:E,1,)&lt;&gt;"",1,0),0)</f>
        <v>0</v>
      </c>
      <c r="O2502">
        <f>IFERROR(IF(VLOOKUP(calendar[[#This Row],[Date]],BH!G:G,1,)&lt;&gt;"",1,0),0)</f>
        <v>0</v>
      </c>
      <c r="P2502">
        <f>IF(OR(calendar[[#This Row],[UK_BH]]=1,calendar[[#This Row],[WeekDay]]=1, calendar[[#This Row],[WeekDay]]=7),P2501,P2501+1)</f>
        <v>1786</v>
      </c>
      <c r="Q2502">
        <f>IF(OR(calendar[[#This Row],[FR_BH]]=1,calendar[[#This Row],[WeekDay]]=1, calendar[[#This Row],[WeekDay]]=7),P2501,P2501+1)</f>
        <v>1786</v>
      </c>
      <c r="R2502">
        <f>IF(OR(calendar[[#This Row],[SP_BH]]=1,calendar[[#This Row],[WeekDay]]=1, calendar[[#This Row],[WeekDay]]=7),P2501,P2501+1)</f>
        <v>1786</v>
      </c>
      <c r="S2502">
        <f>IF(OR(calendar[[#This Row],[PT_BH]]=1,calendar[[#This Row],[WeekDay]]=1, calendar[[#This Row],[WeekDay]]=7),P2501,P2501+1)</f>
        <v>1786</v>
      </c>
    </row>
    <row r="2503" spans="1:19" x14ac:dyDescent="0.25">
      <c r="A2503" s="2">
        <v>45237</v>
      </c>
      <c r="B2503" s="1">
        <f t="shared" si="198"/>
        <v>45</v>
      </c>
      <c r="C2503">
        <f t="shared" si="195"/>
        <v>11</v>
      </c>
      <c r="D2503" t="str">
        <f t="shared" si="196"/>
        <v>November</v>
      </c>
      <c r="E2503">
        <f t="shared" si="197"/>
        <v>2023</v>
      </c>
      <c r="F2503" t="str">
        <f>CONCATENATE(calendar[[#This Row],[Month]],"/",calendar[[#This Row],[Year]])</f>
        <v>11/2023</v>
      </c>
      <c r="G2503">
        <f>WEEKDAY(calendar[[#This Row],[Date]],1)</f>
        <v>3</v>
      </c>
      <c r="H2503" t="str">
        <f>TEXT(calendar[[#This Row],[WeekDay]],"dddd")</f>
        <v>Tuesday</v>
      </c>
      <c r="I2503">
        <f>IF((INT(calendar[[#This Row],[Count]]/7)-calendar[[#This Row],[Count]]/7)&lt;0,I2502,I2502+1)</f>
        <v>358</v>
      </c>
      <c r="J2503">
        <f t="shared" si="199"/>
        <v>2501</v>
      </c>
      <c r="K2503">
        <f>IF(calendar[[#This Row],[Month]]&lt;4,1,IF(calendar[[#This Row],[Month]]&lt;7,2,IF(calendar[[#This Row],[Month]]&lt;10,3,4)))</f>
        <v>4</v>
      </c>
      <c r="L2503">
        <f>IFERROR(IF(VLOOKUP(calendar[[#This Row],[Date]],BH!A:A,1,)&lt;&gt;"",1,0),0)</f>
        <v>0</v>
      </c>
      <c r="M2503">
        <f>IFERROR(IF(VLOOKUP(calendar[[#This Row],[Date]],BH!C:C,1,)&lt;&gt;"",1,0),0)</f>
        <v>0</v>
      </c>
      <c r="N2503">
        <f>IFERROR(IF(VLOOKUP(calendar[[#This Row],[Date]],BH!E:E,1,)&lt;&gt;"",1,0),0)</f>
        <v>0</v>
      </c>
      <c r="O2503">
        <f>IFERROR(IF(VLOOKUP(calendar[[#This Row],[Date]],BH!G:G,1,)&lt;&gt;"",1,0),0)</f>
        <v>0</v>
      </c>
      <c r="P2503">
        <f>IF(OR(calendar[[#This Row],[UK_BH]]=1,calendar[[#This Row],[WeekDay]]=1, calendar[[#This Row],[WeekDay]]=7),P2502,P2502+1)</f>
        <v>1787</v>
      </c>
      <c r="Q2503">
        <f>IF(OR(calendar[[#This Row],[FR_BH]]=1,calendar[[#This Row],[WeekDay]]=1, calendar[[#This Row],[WeekDay]]=7),P2502,P2502+1)</f>
        <v>1787</v>
      </c>
      <c r="R2503">
        <f>IF(OR(calendar[[#This Row],[SP_BH]]=1,calendar[[#This Row],[WeekDay]]=1, calendar[[#This Row],[WeekDay]]=7),P2502,P2502+1)</f>
        <v>1787</v>
      </c>
      <c r="S2503">
        <f>IF(OR(calendar[[#This Row],[PT_BH]]=1,calendar[[#This Row],[WeekDay]]=1, calendar[[#This Row],[WeekDay]]=7),P2502,P2502+1)</f>
        <v>1787</v>
      </c>
    </row>
    <row r="2504" spans="1:19" x14ac:dyDescent="0.25">
      <c r="A2504" s="2">
        <v>45238</v>
      </c>
      <c r="B2504" s="1">
        <f t="shared" si="198"/>
        <v>45</v>
      </c>
      <c r="C2504">
        <f t="shared" si="195"/>
        <v>11</v>
      </c>
      <c r="D2504" t="str">
        <f t="shared" si="196"/>
        <v>November</v>
      </c>
      <c r="E2504">
        <f t="shared" si="197"/>
        <v>2023</v>
      </c>
      <c r="F2504" t="str">
        <f>CONCATENATE(calendar[[#This Row],[Month]],"/",calendar[[#This Row],[Year]])</f>
        <v>11/2023</v>
      </c>
      <c r="G2504">
        <f>WEEKDAY(calendar[[#This Row],[Date]],1)</f>
        <v>4</v>
      </c>
      <c r="H2504" t="str">
        <f>TEXT(calendar[[#This Row],[WeekDay]],"dddd")</f>
        <v>Wednesday</v>
      </c>
      <c r="I2504">
        <f>IF((INT(calendar[[#This Row],[Count]]/7)-calendar[[#This Row],[Count]]/7)&lt;0,I2503,I2503+1)</f>
        <v>358</v>
      </c>
      <c r="J2504">
        <f t="shared" si="199"/>
        <v>2502</v>
      </c>
      <c r="K2504">
        <f>IF(calendar[[#This Row],[Month]]&lt;4,1,IF(calendar[[#This Row],[Month]]&lt;7,2,IF(calendar[[#This Row],[Month]]&lt;10,3,4)))</f>
        <v>4</v>
      </c>
      <c r="L2504">
        <f>IFERROR(IF(VLOOKUP(calendar[[#This Row],[Date]],BH!A:A,1,)&lt;&gt;"",1,0),0)</f>
        <v>0</v>
      </c>
      <c r="M2504">
        <f>IFERROR(IF(VLOOKUP(calendar[[#This Row],[Date]],BH!C:C,1,)&lt;&gt;"",1,0),0)</f>
        <v>0</v>
      </c>
      <c r="N2504">
        <f>IFERROR(IF(VLOOKUP(calendar[[#This Row],[Date]],BH!E:E,1,)&lt;&gt;"",1,0),0)</f>
        <v>0</v>
      </c>
      <c r="O2504">
        <f>IFERROR(IF(VLOOKUP(calendar[[#This Row],[Date]],BH!G:G,1,)&lt;&gt;"",1,0),0)</f>
        <v>0</v>
      </c>
      <c r="P2504">
        <f>IF(OR(calendar[[#This Row],[UK_BH]]=1,calendar[[#This Row],[WeekDay]]=1, calendar[[#This Row],[WeekDay]]=7),P2503,P2503+1)</f>
        <v>1788</v>
      </c>
      <c r="Q2504">
        <f>IF(OR(calendar[[#This Row],[FR_BH]]=1,calendar[[#This Row],[WeekDay]]=1, calendar[[#This Row],[WeekDay]]=7),P2503,P2503+1)</f>
        <v>1788</v>
      </c>
      <c r="R2504">
        <f>IF(OR(calendar[[#This Row],[SP_BH]]=1,calendar[[#This Row],[WeekDay]]=1, calendar[[#This Row],[WeekDay]]=7),P2503,P2503+1)</f>
        <v>1788</v>
      </c>
      <c r="S2504">
        <f>IF(OR(calendar[[#This Row],[PT_BH]]=1,calendar[[#This Row],[WeekDay]]=1, calendar[[#This Row],[WeekDay]]=7),P2503,P2503+1)</f>
        <v>1788</v>
      </c>
    </row>
    <row r="2505" spans="1:19" x14ac:dyDescent="0.25">
      <c r="A2505" s="2">
        <v>45239</v>
      </c>
      <c r="B2505" s="1">
        <f t="shared" si="198"/>
        <v>45</v>
      </c>
      <c r="C2505">
        <f t="shared" si="195"/>
        <v>11</v>
      </c>
      <c r="D2505" t="str">
        <f t="shared" si="196"/>
        <v>November</v>
      </c>
      <c r="E2505">
        <f t="shared" si="197"/>
        <v>2023</v>
      </c>
      <c r="F2505" t="str">
        <f>CONCATENATE(calendar[[#This Row],[Month]],"/",calendar[[#This Row],[Year]])</f>
        <v>11/2023</v>
      </c>
      <c r="G2505">
        <f>WEEKDAY(calendar[[#This Row],[Date]],1)</f>
        <v>5</v>
      </c>
      <c r="H2505" t="str">
        <f>TEXT(calendar[[#This Row],[WeekDay]],"dddd")</f>
        <v>Thursday</v>
      </c>
      <c r="I2505">
        <f>IF((INT(calendar[[#This Row],[Count]]/7)-calendar[[#This Row],[Count]]/7)&lt;0,I2504,I2504+1)</f>
        <v>358</v>
      </c>
      <c r="J2505">
        <f t="shared" si="199"/>
        <v>2503</v>
      </c>
      <c r="K2505">
        <f>IF(calendar[[#This Row],[Month]]&lt;4,1,IF(calendar[[#This Row],[Month]]&lt;7,2,IF(calendar[[#This Row],[Month]]&lt;10,3,4)))</f>
        <v>4</v>
      </c>
      <c r="L2505">
        <f>IFERROR(IF(VLOOKUP(calendar[[#This Row],[Date]],BH!A:A,1,)&lt;&gt;"",1,0),0)</f>
        <v>0</v>
      </c>
      <c r="M2505">
        <f>IFERROR(IF(VLOOKUP(calendar[[#This Row],[Date]],BH!C:C,1,)&lt;&gt;"",1,0),0)</f>
        <v>0</v>
      </c>
      <c r="N2505">
        <f>IFERROR(IF(VLOOKUP(calendar[[#This Row],[Date]],BH!E:E,1,)&lt;&gt;"",1,0),0)</f>
        <v>0</v>
      </c>
      <c r="O2505">
        <f>IFERROR(IF(VLOOKUP(calendar[[#This Row],[Date]],BH!G:G,1,)&lt;&gt;"",1,0),0)</f>
        <v>0</v>
      </c>
      <c r="P2505">
        <f>IF(OR(calendar[[#This Row],[UK_BH]]=1,calendar[[#This Row],[WeekDay]]=1, calendar[[#This Row],[WeekDay]]=7),P2504,P2504+1)</f>
        <v>1789</v>
      </c>
      <c r="Q2505">
        <f>IF(OR(calendar[[#This Row],[FR_BH]]=1,calendar[[#This Row],[WeekDay]]=1, calendar[[#This Row],[WeekDay]]=7),P2504,P2504+1)</f>
        <v>1789</v>
      </c>
      <c r="R2505">
        <f>IF(OR(calendar[[#This Row],[SP_BH]]=1,calendar[[#This Row],[WeekDay]]=1, calendar[[#This Row],[WeekDay]]=7),P2504,P2504+1)</f>
        <v>1789</v>
      </c>
      <c r="S2505">
        <f>IF(OR(calendar[[#This Row],[PT_BH]]=1,calendar[[#This Row],[WeekDay]]=1, calendar[[#This Row],[WeekDay]]=7),P2504,P2504+1)</f>
        <v>1789</v>
      </c>
    </row>
    <row r="2506" spans="1:19" x14ac:dyDescent="0.25">
      <c r="A2506" s="2">
        <v>45240</v>
      </c>
      <c r="B2506" s="1">
        <f t="shared" si="198"/>
        <v>45</v>
      </c>
      <c r="C2506">
        <f t="shared" si="195"/>
        <v>11</v>
      </c>
      <c r="D2506" t="str">
        <f t="shared" si="196"/>
        <v>November</v>
      </c>
      <c r="E2506">
        <f t="shared" si="197"/>
        <v>2023</v>
      </c>
      <c r="F2506" t="str">
        <f>CONCATENATE(calendar[[#This Row],[Month]],"/",calendar[[#This Row],[Year]])</f>
        <v>11/2023</v>
      </c>
      <c r="G2506">
        <f>WEEKDAY(calendar[[#This Row],[Date]],1)</f>
        <v>6</v>
      </c>
      <c r="H2506" t="str">
        <f>TEXT(calendar[[#This Row],[WeekDay]],"dddd")</f>
        <v>Friday</v>
      </c>
      <c r="I2506">
        <f>IF((INT(calendar[[#This Row],[Count]]/7)-calendar[[#This Row],[Count]]/7)&lt;0,I2505,I2505+1)</f>
        <v>358</v>
      </c>
      <c r="J2506">
        <f t="shared" si="199"/>
        <v>2504</v>
      </c>
      <c r="K2506">
        <f>IF(calendar[[#This Row],[Month]]&lt;4,1,IF(calendar[[#This Row],[Month]]&lt;7,2,IF(calendar[[#This Row],[Month]]&lt;10,3,4)))</f>
        <v>4</v>
      </c>
      <c r="L2506">
        <f>IFERROR(IF(VLOOKUP(calendar[[#This Row],[Date]],BH!A:A,1,)&lt;&gt;"",1,0),0)</f>
        <v>0</v>
      </c>
      <c r="M2506">
        <f>IFERROR(IF(VLOOKUP(calendar[[#This Row],[Date]],BH!C:C,1,)&lt;&gt;"",1,0),0)</f>
        <v>0</v>
      </c>
      <c r="N2506">
        <f>IFERROR(IF(VLOOKUP(calendar[[#This Row],[Date]],BH!E:E,1,)&lt;&gt;"",1,0),0)</f>
        <v>0</v>
      </c>
      <c r="O2506">
        <f>IFERROR(IF(VLOOKUP(calendar[[#This Row],[Date]],BH!G:G,1,)&lt;&gt;"",1,0),0)</f>
        <v>0</v>
      </c>
      <c r="P2506">
        <f>IF(OR(calendar[[#This Row],[UK_BH]]=1,calendar[[#This Row],[WeekDay]]=1, calendar[[#This Row],[WeekDay]]=7),P2505,P2505+1)</f>
        <v>1790</v>
      </c>
      <c r="Q2506">
        <f>IF(OR(calendar[[#This Row],[FR_BH]]=1,calendar[[#This Row],[WeekDay]]=1, calendar[[#This Row],[WeekDay]]=7),P2505,P2505+1)</f>
        <v>1790</v>
      </c>
      <c r="R2506">
        <f>IF(OR(calendar[[#This Row],[SP_BH]]=1,calendar[[#This Row],[WeekDay]]=1, calendar[[#This Row],[WeekDay]]=7),P2505,P2505+1)</f>
        <v>1790</v>
      </c>
      <c r="S2506">
        <f>IF(OR(calendar[[#This Row],[PT_BH]]=1,calendar[[#This Row],[WeekDay]]=1, calendar[[#This Row],[WeekDay]]=7),P2505,P2505+1)</f>
        <v>1790</v>
      </c>
    </row>
    <row r="2507" spans="1:19" x14ac:dyDescent="0.25">
      <c r="A2507" s="2">
        <v>45241</v>
      </c>
      <c r="B2507" s="1">
        <f t="shared" si="198"/>
        <v>45</v>
      </c>
      <c r="C2507">
        <f t="shared" si="195"/>
        <v>11</v>
      </c>
      <c r="D2507" t="str">
        <f t="shared" si="196"/>
        <v>November</v>
      </c>
      <c r="E2507">
        <f t="shared" si="197"/>
        <v>2023</v>
      </c>
      <c r="F2507" t="str">
        <f>CONCATENATE(calendar[[#This Row],[Month]],"/",calendar[[#This Row],[Year]])</f>
        <v>11/2023</v>
      </c>
      <c r="G2507">
        <f>WEEKDAY(calendar[[#This Row],[Date]],1)</f>
        <v>7</v>
      </c>
      <c r="H2507" t="str">
        <f>TEXT(calendar[[#This Row],[WeekDay]],"dddd")</f>
        <v>Saturday</v>
      </c>
      <c r="I2507">
        <f>IF((INT(calendar[[#This Row],[Count]]/7)-calendar[[#This Row],[Count]]/7)&lt;0,I2506,I2506+1)</f>
        <v>358</v>
      </c>
      <c r="J2507">
        <f t="shared" si="199"/>
        <v>2505</v>
      </c>
      <c r="K2507">
        <f>IF(calendar[[#This Row],[Month]]&lt;4,1,IF(calendar[[#This Row],[Month]]&lt;7,2,IF(calendar[[#This Row],[Month]]&lt;10,3,4)))</f>
        <v>4</v>
      </c>
      <c r="L2507">
        <f>IFERROR(IF(VLOOKUP(calendar[[#This Row],[Date]],BH!A:A,1,)&lt;&gt;"",1,0),0)</f>
        <v>0</v>
      </c>
      <c r="M2507">
        <f>IFERROR(IF(VLOOKUP(calendar[[#This Row],[Date]],BH!C:C,1,)&lt;&gt;"",1,0),0)</f>
        <v>0</v>
      </c>
      <c r="N2507">
        <f>IFERROR(IF(VLOOKUP(calendar[[#This Row],[Date]],BH!E:E,1,)&lt;&gt;"",1,0),0)</f>
        <v>0</v>
      </c>
      <c r="O2507">
        <f>IFERROR(IF(VLOOKUP(calendar[[#This Row],[Date]],BH!G:G,1,)&lt;&gt;"",1,0),0)</f>
        <v>0</v>
      </c>
      <c r="P2507">
        <f>IF(OR(calendar[[#This Row],[UK_BH]]=1,calendar[[#This Row],[WeekDay]]=1, calendar[[#This Row],[WeekDay]]=7),P2506,P2506+1)</f>
        <v>1790</v>
      </c>
      <c r="Q2507">
        <f>IF(OR(calendar[[#This Row],[FR_BH]]=1,calendar[[#This Row],[WeekDay]]=1, calendar[[#This Row],[WeekDay]]=7),P2506,P2506+1)</f>
        <v>1790</v>
      </c>
      <c r="R2507">
        <f>IF(OR(calendar[[#This Row],[SP_BH]]=1,calendar[[#This Row],[WeekDay]]=1, calendar[[#This Row],[WeekDay]]=7),P2506,P2506+1)</f>
        <v>1790</v>
      </c>
      <c r="S2507">
        <f>IF(OR(calendar[[#This Row],[PT_BH]]=1,calendar[[#This Row],[WeekDay]]=1, calendar[[#This Row],[WeekDay]]=7),P2506,P2506+1)</f>
        <v>1790</v>
      </c>
    </row>
    <row r="2508" spans="1:19" x14ac:dyDescent="0.25">
      <c r="A2508" s="2">
        <v>45242</v>
      </c>
      <c r="B2508" s="1">
        <f t="shared" si="198"/>
        <v>46</v>
      </c>
      <c r="C2508">
        <f t="shared" si="195"/>
        <v>11</v>
      </c>
      <c r="D2508" t="str">
        <f t="shared" si="196"/>
        <v>November</v>
      </c>
      <c r="E2508">
        <f t="shared" si="197"/>
        <v>2023</v>
      </c>
      <c r="F2508" t="str">
        <f>CONCATENATE(calendar[[#This Row],[Month]],"/",calendar[[#This Row],[Year]])</f>
        <v>11/2023</v>
      </c>
      <c r="G2508">
        <f>WEEKDAY(calendar[[#This Row],[Date]],1)</f>
        <v>1</v>
      </c>
      <c r="H2508" t="str">
        <f>TEXT(calendar[[#This Row],[WeekDay]],"dddd")</f>
        <v>Sunday</v>
      </c>
      <c r="I2508">
        <f>IF((INT(calendar[[#This Row],[Count]]/7)-calendar[[#This Row],[Count]]/7)&lt;0,I2507,I2507+1)</f>
        <v>359</v>
      </c>
      <c r="J2508">
        <f t="shared" si="199"/>
        <v>2506</v>
      </c>
      <c r="K2508">
        <f>IF(calendar[[#This Row],[Month]]&lt;4,1,IF(calendar[[#This Row],[Month]]&lt;7,2,IF(calendar[[#This Row],[Month]]&lt;10,3,4)))</f>
        <v>4</v>
      </c>
      <c r="L2508">
        <f>IFERROR(IF(VLOOKUP(calendar[[#This Row],[Date]],BH!A:A,1,)&lt;&gt;"",1,0),0)</f>
        <v>0</v>
      </c>
      <c r="M2508">
        <f>IFERROR(IF(VLOOKUP(calendar[[#This Row],[Date]],BH!C:C,1,)&lt;&gt;"",1,0),0)</f>
        <v>0</v>
      </c>
      <c r="N2508">
        <f>IFERROR(IF(VLOOKUP(calendar[[#This Row],[Date]],BH!E:E,1,)&lt;&gt;"",1,0),0)</f>
        <v>0</v>
      </c>
      <c r="O2508">
        <f>IFERROR(IF(VLOOKUP(calendar[[#This Row],[Date]],BH!G:G,1,)&lt;&gt;"",1,0),0)</f>
        <v>0</v>
      </c>
      <c r="P2508">
        <f>IF(OR(calendar[[#This Row],[UK_BH]]=1,calendar[[#This Row],[WeekDay]]=1, calendar[[#This Row],[WeekDay]]=7),P2507,P2507+1)</f>
        <v>1790</v>
      </c>
      <c r="Q2508">
        <f>IF(OR(calendar[[#This Row],[FR_BH]]=1,calendar[[#This Row],[WeekDay]]=1, calendar[[#This Row],[WeekDay]]=7),P2507,P2507+1)</f>
        <v>1790</v>
      </c>
      <c r="R2508">
        <f>IF(OR(calendar[[#This Row],[SP_BH]]=1,calendar[[#This Row],[WeekDay]]=1, calendar[[#This Row],[WeekDay]]=7),P2507,P2507+1)</f>
        <v>1790</v>
      </c>
      <c r="S2508">
        <f>IF(OR(calendar[[#This Row],[PT_BH]]=1,calendar[[#This Row],[WeekDay]]=1, calendar[[#This Row],[WeekDay]]=7),P2507,P2507+1)</f>
        <v>1790</v>
      </c>
    </row>
    <row r="2509" spans="1:19" x14ac:dyDescent="0.25">
      <c r="A2509" s="2">
        <v>45243</v>
      </c>
      <c r="B2509" s="1">
        <f t="shared" si="198"/>
        <v>46</v>
      </c>
      <c r="C2509">
        <f t="shared" si="195"/>
        <v>11</v>
      </c>
      <c r="D2509" t="str">
        <f t="shared" si="196"/>
        <v>November</v>
      </c>
      <c r="E2509">
        <f t="shared" si="197"/>
        <v>2023</v>
      </c>
      <c r="F2509" t="str">
        <f>CONCATENATE(calendar[[#This Row],[Month]],"/",calendar[[#This Row],[Year]])</f>
        <v>11/2023</v>
      </c>
      <c r="G2509">
        <f>WEEKDAY(calendar[[#This Row],[Date]],1)</f>
        <v>2</v>
      </c>
      <c r="H2509" t="str">
        <f>TEXT(calendar[[#This Row],[WeekDay]],"dddd")</f>
        <v>Monday</v>
      </c>
      <c r="I2509">
        <f>IF((INT(calendar[[#This Row],[Count]]/7)-calendar[[#This Row],[Count]]/7)&lt;0,I2508,I2508+1)</f>
        <v>359</v>
      </c>
      <c r="J2509">
        <f t="shared" si="199"/>
        <v>2507</v>
      </c>
      <c r="K2509">
        <f>IF(calendar[[#This Row],[Month]]&lt;4,1,IF(calendar[[#This Row],[Month]]&lt;7,2,IF(calendar[[#This Row],[Month]]&lt;10,3,4)))</f>
        <v>4</v>
      </c>
      <c r="L2509">
        <f>IFERROR(IF(VLOOKUP(calendar[[#This Row],[Date]],BH!A:A,1,)&lt;&gt;"",1,0),0)</f>
        <v>0</v>
      </c>
      <c r="M2509">
        <f>IFERROR(IF(VLOOKUP(calendar[[#This Row],[Date]],BH!C:C,1,)&lt;&gt;"",1,0),0)</f>
        <v>0</v>
      </c>
      <c r="N2509">
        <f>IFERROR(IF(VLOOKUP(calendar[[#This Row],[Date]],BH!E:E,1,)&lt;&gt;"",1,0),0)</f>
        <v>0</v>
      </c>
      <c r="O2509">
        <f>IFERROR(IF(VLOOKUP(calendar[[#This Row],[Date]],BH!G:G,1,)&lt;&gt;"",1,0),0)</f>
        <v>0</v>
      </c>
      <c r="P2509">
        <f>IF(OR(calendar[[#This Row],[UK_BH]]=1,calendar[[#This Row],[WeekDay]]=1, calendar[[#This Row],[WeekDay]]=7),P2508,P2508+1)</f>
        <v>1791</v>
      </c>
      <c r="Q2509">
        <f>IF(OR(calendar[[#This Row],[FR_BH]]=1,calendar[[#This Row],[WeekDay]]=1, calendar[[#This Row],[WeekDay]]=7),P2508,P2508+1)</f>
        <v>1791</v>
      </c>
      <c r="R2509">
        <f>IF(OR(calendar[[#This Row],[SP_BH]]=1,calendar[[#This Row],[WeekDay]]=1, calendar[[#This Row],[WeekDay]]=7),P2508,P2508+1)</f>
        <v>1791</v>
      </c>
      <c r="S2509">
        <f>IF(OR(calendar[[#This Row],[PT_BH]]=1,calendar[[#This Row],[WeekDay]]=1, calendar[[#This Row],[WeekDay]]=7),P2508,P2508+1)</f>
        <v>1791</v>
      </c>
    </row>
    <row r="2510" spans="1:19" x14ac:dyDescent="0.25">
      <c r="A2510" s="2">
        <v>45244</v>
      </c>
      <c r="B2510" s="1">
        <f t="shared" si="198"/>
        <v>46</v>
      </c>
      <c r="C2510">
        <f t="shared" si="195"/>
        <v>11</v>
      </c>
      <c r="D2510" t="str">
        <f t="shared" si="196"/>
        <v>November</v>
      </c>
      <c r="E2510">
        <f t="shared" si="197"/>
        <v>2023</v>
      </c>
      <c r="F2510" t="str">
        <f>CONCATENATE(calendar[[#This Row],[Month]],"/",calendar[[#This Row],[Year]])</f>
        <v>11/2023</v>
      </c>
      <c r="G2510">
        <f>WEEKDAY(calendar[[#This Row],[Date]],1)</f>
        <v>3</v>
      </c>
      <c r="H2510" t="str">
        <f>TEXT(calendar[[#This Row],[WeekDay]],"dddd")</f>
        <v>Tuesday</v>
      </c>
      <c r="I2510">
        <f>IF((INT(calendar[[#This Row],[Count]]/7)-calendar[[#This Row],[Count]]/7)&lt;0,I2509,I2509+1)</f>
        <v>359</v>
      </c>
      <c r="J2510">
        <f t="shared" si="199"/>
        <v>2508</v>
      </c>
      <c r="K2510">
        <f>IF(calendar[[#This Row],[Month]]&lt;4,1,IF(calendar[[#This Row],[Month]]&lt;7,2,IF(calendar[[#This Row],[Month]]&lt;10,3,4)))</f>
        <v>4</v>
      </c>
      <c r="L2510">
        <f>IFERROR(IF(VLOOKUP(calendar[[#This Row],[Date]],BH!A:A,1,)&lt;&gt;"",1,0),0)</f>
        <v>0</v>
      </c>
      <c r="M2510">
        <f>IFERROR(IF(VLOOKUP(calendar[[#This Row],[Date]],BH!C:C,1,)&lt;&gt;"",1,0),0)</f>
        <v>0</v>
      </c>
      <c r="N2510">
        <f>IFERROR(IF(VLOOKUP(calendar[[#This Row],[Date]],BH!E:E,1,)&lt;&gt;"",1,0),0)</f>
        <v>0</v>
      </c>
      <c r="O2510">
        <f>IFERROR(IF(VLOOKUP(calendar[[#This Row],[Date]],BH!G:G,1,)&lt;&gt;"",1,0),0)</f>
        <v>0</v>
      </c>
      <c r="P2510">
        <f>IF(OR(calendar[[#This Row],[UK_BH]]=1,calendar[[#This Row],[WeekDay]]=1, calendar[[#This Row],[WeekDay]]=7),P2509,P2509+1)</f>
        <v>1792</v>
      </c>
      <c r="Q2510">
        <f>IF(OR(calendar[[#This Row],[FR_BH]]=1,calendar[[#This Row],[WeekDay]]=1, calendar[[#This Row],[WeekDay]]=7),P2509,P2509+1)</f>
        <v>1792</v>
      </c>
      <c r="R2510">
        <f>IF(OR(calendar[[#This Row],[SP_BH]]=1,calendar[[#This Row],[WeekDay]]=1, calendar[[#This Row],[WeekDay]]=7),P2509,P2509+1)</f>
        <v>1792</v>
      </c>
      <c r="S2510">
        <f>IF(OR(calendar[[#This Row],[PT_BH]]=1,calendar[[#This Row],[WeekDay]]=1, calendar[[#This Row],[WeekDay]]=7),P2509,P2509+1)</f>
        <v>1792</v>
      </c>
    </row>
    <row r="2511" spans="1:19" x14ac:dyDescent="0.25">
      <c r="A2511" s="2">
        <v>45245</v>
      </c>
      <c r="B2511" s="1">
        <f t="shared" si="198"/>
        <v>46</v>
      </c>
      <c r="C2511">
        <f t="shared" si="195"/>
        <v>11</v>
      </c>
      <c r="D2511" t="str">
        <f t="shared" si="196"/>
        <v>November</v>
      </c>
      <c r="E2511">
        <f t="shared" si="197"/>
        <v>2023</v>
      </c>
      <c r="F2511" t="str">
        <f>CONCATENATE(calendar[[#This Row],[Month]],"/",calendar[[#This Row],[Year]])</f>
        <v>11/2023</v>
      </c>
      <c r="G2511">
        <f>WEEKDAY(calendar[[#This Row],[Date]],1)</f>
        <v>4</v>
      </c>
      <c r="H2511" t="str">
        <f>TEXT(calendar[[#This Row],[WeekDay]],"dddd")</f>
        <v>Wednesday</v>
      </c>
      <c r="I2511">
        <f>IF((INT(calendar[[#This Row],[Count]]/7)-calendar[[#This Row],[Count]]/7)&lt;0,I2510,I2510+1)</f>
        <v>359</v>
      </c>
      <c r="J2511">
        <f t="shared" si="199"/>
        <v>2509</v>
      </c>
      <c r="K2511">
        <f>IF(calendar[[#This Row],[Month]]&lt;4,1,IF(calendar[[#This Row],[Month]]&lt;7,2,IF(calendar[[#This Row],[Month]]&lt;10,3,4)))</f>
        <v>4</v>
      </c>
      <c r="L2511">
        <f>IFERROR(IF(VLOOKUP(calendar[[#This Row],[Date]],BH!A:A,1,)&lt;&gt;"",1,0),0)</f>
        <v>0</v>
      </c>
      <c r="M2511">
        <f>IFERROR(IF(VLOOKUP(calendar[[#This Row],[Date]],BH!C:C,1,)&lt;&gt;"",1,0),0)</f>
        <v>0</v>
      </c>
      <c r="N2511">
        <f>IFERROR(IF(VLOOKUP(calendar[[#This Row],[Date]],BH!E:E,1,)&lt;&gt;"",1,0),0)</f>
        <v>0</v>
      </c>
      <c r="O2511">
        <f>IFERROR(IF(VLOOKUP(calendar[[#This Row],[Date]],BH!G:G,1,)&lt;&gt;"",1,0),0)</f>
        <v>0</v>
      </c>
      <c r="P2511">
        <f>IF(OR(calendar[[#This Row],[UK_BH]]=1,calendar[[#This Row],[WeekDay]]=1, calendar[[#This Row],[WeekDay]]=7),P2510,P2510+1)</f>
        <v>1793</v>
      </c>
      <c r="Q2511">
        <f>IF(OR(calendar[[#This Row],[FR_BH]]=1,calendar[[#This Row],[WeekDay]]=1, calendar[[#This Row],[WeekDay]]=7),P2510,P2510+1)</f>
        <v>1793</v>
      </c>
      <c r="R2511">
        <f>IF(OR(calendar[[#This Row],[SP_BH]]=1,calendar[[#This Row],[WeekDay]]=1, calendar[[#This Row],[WeekDay]]=7),P2510,P2510+1)</f>
        <v>1793</v>
      </c>
      <c r="S2511">
        <f>IF(OR(calendar[[#This Row],[PT_BH]]=1,calendar[[#This Row],[WeekDay]]=1, calendar[[#This Row],[WeekDay]]=7),P2510,P2510+1)</f>
        <v>1793</v>
      </c>
    </row>
    <row r="2512" spans="1:19" x14ac:dyDescent="0.25">
      <c r="A2512" s="2">
        <v>45246</v>
      </c>
      <c r="B2512" s="1">
        <f t="shared" si="198"/>
        <v>46</v>
      </c>
      <c r="C2512">
        <f t="shared" ref="C2512:C2575" si="200">MONTH(A2512)</f>
        <v>11</v>
      </c>
      <c r="D2512" t="str">
        <f t="shared" ref="D2512:D2575" si="201">TEXT(A2512,"mmmm")</f>
        <v>November</v>
      </c>
      <c r="E2512">
        <f t="shared" ref="E2512:E2575" si="202">YEAR(A2512)</f>
        <v>2023</v>
      </c>
      <c r="F2512" t="str">
        <f>CONCATENATE(calendar[[#This Row],[Month]],"/",calendar[[#This Row],[Year]])</f>
        <v>11/2023</v>
      </c>
      <c r="G2512">
        <f>WEEKDAY(calendar[[#This Row],[Date]],1)</f>
        <v>5</v>
      </c>
      <c r="H2512" t="str">
        <f>TEXT(calendar[[#This Row],[WeekDay]],"dddd")</f>
        <v>Thursday</v>
      </c>
      <c r="I2512">
        <f>IF((INT(calendar[[#This Row],[Count]]/7)-calendar[[#This Row],[Count]]/7)&lt;0,I2511,I2511+1)</f>
        <v>359</v>
      </c>
      <c r="J2512">
        <f t="shared" si="199"/>
        <v>2510</v>
      </c>
      <c r="K2512">
        <f>IF(calendar[[#This Row],[Month]]&lt;4,1,IF(calendar[[#This Row],[Month]]&lt;7,2,IF(calendar[[#This Row],[Month]]&lt;10,3,4)))</f>
        <v>4</v>
      </c>
      <c r="L2512">
        <f>IFERROR(IF(VLOOKUP(calendar[[#This Row],[Date]],BH!A:A,1,)&lt;&gt;"",1,0),0)</f>
        <v>0</v>
      </c>
      <c r="M2512">
        <f>IFERROR(IF(VLOOKUP(calendar[[#This Row],[Date]],BH!C:C,1,)&lt;&gt;"",1,0),0)</f>
        <v>0</v>
      </c>
      <c r="N2512">
        <f>IFERROR(IF(VLOOKUP(calendar[[#This Row],[Date]],BH!E:E,1,)&lt;&gt;"",1,0),0)</f>
        <v>0</v>
      </c>
      <c r="O2512">
        <f>IFERROR(IF(VLOOKUP(calendar[[#This Row],[Date]],BH!G:G,1,)&lt;&gt;"",1,0),0)</f>
        <v>0</v>
      </c>
      <c r="P2512">
        <f>IF(OR(calendar[[#This Row],[UK_BH]]=1,calendar[[#This Row],[WeekDay]]=1, calendar[[#This Row],[WeekDay]]=7),P2511,P2511+1)</f>
        <v>1794</v>
      </c>
      <c r="Q2512">
        <f>IF(OR(calendar[[#This Row],[FR_BH]]=1,calendar[[#This Row],[WeekDay]]=1, calendar[[#This Row],[WeekDay]]=7),P2511,P2511+1)</f>
        <v>1794</v>
      </c>
      <c r="R2512">
        <f>IF(OR(calendar[[#This Row],[SP_BH]]=1,calendar[[#This Row],[WeekDay]]=1, calendar[[#This Row],[WeekDay]]=7),P2511,P2511+1)</f>
        <v>1794</v>
      </c>
      <c r="S2512">
        <f>IF(OR(calendar[[#This Row],[PT_BH]]=1,calendar[[#This Row],[WeekDay]]=1, calendar[[#This Row],[WeekDay]]=7),P2511,P2511+1)</f>
        <v>1794</v>
      </c>
    </row>
    <row r="2513" spans="1:19" x14ac:dyDescent="0.25">
      <c r="A2513" s="2">
        <v>45247</v>
      </c>
      <c r="B2513" s="1">
        <f t="shared" si="198"/>
        <v>46</v>
      </c>
      <c r="C2513">
        <f t="shared" si="200"/>
        <v>11</v>
      </c>
      <c r="D2513" t="str">
        <f t="shared" si="201"/>
        <v>November</v>
      </c>
      <c r="E2513">
        <f t="shared" si="202"/>
        <v>2023</v>
      </c>
      <c r="F2513" t="str">
        <f>CONCATENATE(calendar[[#This Row],[Month]],"/",calendar[[#This Row],[Year]])</f>
        <v>11/2023</v>
      </c>
      <c r="G2513">
        <f>WEEKDAY(calendar[[#This Row],[Date]],1)</f>
        <v>6</v>
      </c>
      <c r="H2513" t="str">
        <f>TEXT(calendar[[#This Row],[WeekDay]],"dddd")</f>
        <v>Friday</v>
      </c>
      <c r="I2513">
        <f>IF((INT(calendar[[#This Row],[Count]]/7)-calendar[[#This Row],[Count]]/7)&lt;0,I2512,I2512+1)</f>
        <v>359</v>
      </c>
      <c r="J2513">
        <f t="shared" si="199"/>
        <v>2511</v>
      </c>
      <c r="K2513">
        <f>IF(calendar[[#This Row],[Month]]&lt;4,1,IF(calendar[[#This Row],[Month]]&lt;7,2,IF(calendar[[#This Row],[Month]]&lt;10,3,4)))</f>
        <v>4</v>
      </c>
      <c r="L2513">
        <f>IFERROR(IF(VLOOKUP(calendar[[#This Row],[Date]],BH!A:A,1,)&lt;&gt;"",1,0),0)</f>
        <v>0</v>
      </c>
      <c r="M2513">
        <f>IFERROR(IF(VLOOKUP(calendar[[#This Row],[Date]],BH!C:C,1,)&lt;&gt;"",1,0),0)</f>
        <v>0</v>
      </c>
      <c r="N2513">
        <f>IFERROR(IF(VLOOKUP(calendar[[#This Row],[Date]],BH!E:E,1,)&lt;&gt;"",1,0),0)</f>
        <v>0</v>
      </c>
      <c r="O2513">
        <f>IFERROR(IF(VLOOKUP(calendar[[#This Row],[Date]],BH!G:G,1,)&lt;&gt;"",1,0),0)</f>
        <v>0</v>
      </c>
      <c r="P2513">
        <f>IF(OR(calendar[[#This Row],[UK_BH]]=1,calendar[[#This Row],[WeekDay]]=1, calendar[[#This Row],[WeekDay]]=7),P2512,P2512+1)</f>
        <v>1795</v>
      </c>
      <c r="Q2513">
        <f>IF(OR(calendar[[#This Row],[FR_BH]]=1,calendar[[#This Row],[WeekDay]]=1, calendar[[#This Row],[WeekDay]]=7),P2512,P2512+1)</f>
        <v>1795</v>
      </c>
      <c r="R2513">
        <f>IF(OR(calendar[[#This Row],[SP_BH]]=1,calendar[[#This Row],[WeekDay]]=1, calendar[[#This Row],[WeekDay]]=7),P2512,P2512+1)</f>
        <v>1795</v>
      </c>
      <c r="S2513">
        <f>IF(OR(calendar[[#This Row],[PT_BH]]=1,calendar[[#This Row],[WeekDay]]=1, calendar[[#This Row],[WeekDay]]=7),P2512,P2512+1)</f>
        <v>1795</v>
      </c>
    </row>
    <row r="2514" spans="1:19" x14ac:dyDescent="0.25">
      <c r="A2514" s="2">
        <v>45248</v>
      </c>
      <c r="B2514" s="1">
        <f t="shared" si="198"/>
        <v>46</v>
      </c>
      <c r="C2514">
        <f t="shared" si="200"/>
        <v>11</v>
      </c>
      <c r="D2514" t="str">
        <f t="shared" si="201"/>
        <v>November</v>
      </c>
      <c r="E2514">
        <f t="shared" si="202"/>
        <v>2023</v>
      </c>
      <c r="F2514" t="str">
        <f>CONCATENATE(calendar[[#This Row],[Month]],"/",calendar[[#This Row],[Year]])</f>
        <v>11/2023</v>
      </c>
      <c r="G2514">
        <f>WEEKDAY(calendar[[#This Row],[Date]],1)</f>
        <v>7</v>
      </c>
      <c r="H2514" t="str">
        <f>TEXT(calendar[[#This Row],[WeekDay]],"dddd")</f>
        <v>Saturday</v>
      </c>
      <c r="I2514">
        <f>IF((INT(calendar[[#This Row],[Count]]/7)-calendar[[#This Row],[Count]]/7)&lt;0,I2513,I2513+1)</f>
        <v>359</v>
      </c>
      <c r="J2514">
        <f t="shared" si="199"/>
        <v>2512</v>
      </c>
      <c r="K2514">
        <f>IF(calendar[[#This Row],[Month]]&lt;4,1,IF(calendar[[#This Row],[Month]]&lt;7,2,IF(calendar[[#This Row],[Month]]&lt;10,3,4)))</f>
        <v>4</v>
      </c>
      <c r="L2514">
        <f>IFERROR(IF(VLOOKUP(calendar[[#This Row],[Date]],BH!A:A,1,)&lt;&gt;"",1,0),0)</f>
        <v>0</v>
      </c>
      <c r="M2514">
        <f>IFERROR(IF(VLOOKUP(calendar[[#This Row],[Date]],BH!C:C,1,)&lt;&gt;"",1,0),0)</f>
        <v>0</v>
      </c>
      <c r="N2514">
        <f>IFERROR(IF(VLOOKUP(calendar[[#This Row],[Date]],BH!E:E,1,)&lt;&gt;"",1,0),0)</f>
        <v>0</v>
      </c>
      <c r="O2514">
        <f>IFERROR(IF(VLOOKUP(calendar[[#This Row],[Date]],BH!G:G,1,)&lt;&gt;"",1,0),0)</f>
        <v>0</v>
      </c>
      <c r="P2514">
        <f>IF(OR(calendar[[#This Row],[UK_BH]]=1,calendar[[#This Row],[WeekDay]]=1, calendar[[#This Row],[WeekDay]]=7),P2513,P2513+1)</f>
        <v>1795</v>
      </c>
      <c r="Q2514">
        <f>IF(OR(calendar[[#This Row],[FR_BH]]=1,calendar[[#This Row],[WeekDay]]=1, calendar[[#This Row],[WeekDay]]=7),P2513,P2513+1)</f>
        <v>1795</v>
      </c>
      <c r="R2514">
        <f>IF(OR(calendar[[#This Row],[SP_BH]]=1,calendar[[#This Row],[WeekDay]]=1, calendar[[#This Row],[WeekDay]]=7),P2513,P2513+1)</f>
        <v>1795</v>
      </c>
      <c r="S2514">
        <f>IF(OR(calendar[[#This Row],[PT_BH]]=1,calendar[[#This Row],[WeekDay]]=1, calendar[[#This Row],[WeekDay]]=7),P2513,P2513+1)</f>
        <v>1795</v>
      </c>
    </row>
    <row r="2515" spans="1:19" x14ac:dyDescent="0.25">
      <c r="A2515" s="2">
        <v>45249</v>
      </c>
      <c r="B2515" s="1">
        <f t="shared" si="198"/>
        <v>47</v>
      </c>
      <c r="C2515">
        <f t="shared" si="200"/>
        <v>11</v>
      </c>
      <c r="D2515" t="str">
        <f t="shared" si="201"/>
        <v>November</v>
      </c>
      <c r="E2515">
        <f t="shared" si="202"/>
        <v>2023</v>
      </c>
      <c r="F2515" t="str">
        <f>CONCATENATE(calendar[[#This Row],[Month]],"/",calendar[[#This Row],[Year]])</f>
        <v>11/2023</v>
      </c>
      <c r="G2515">
        <f>WEEKDAY(calendar[[#This Row],[Date]],1)</f>
        <v>1</v>
      </c>
      <c r="H2515" t="str">
        <f>TEXT(calendar[[#This Row],[WeekDay]],"dddd")</f>
        <v>Sunday</v>
      </c>
      <c r="I2515">
        <f>IF((INT(calendar[[#This Row],[Count]]/7)-calendar[[#This Row],[Count]]/7)&lt;0,I2514,I2514+1)</f>
        <v>360</v>
      </c>
      <c r="J2515">
        <f t="shared" si="199"/>
        <v>2513</v>
      </c>
      <c r="K2515">
        <f>IF(calendar[[#This Row],[Month]]&lt;4,1,IF(calendar[[#This Row],[Month]]&lt;7,2,IF(calendar[[#This Row],[Month]]&lt;10,3,4)))</f>
        <v>4</v>
      </c>
      <c r="L2515">
        <f>IFERROR(IF(VLOOKUP(calendar[[#This Row],[Date]],BH!A:A,1,)&lt;&gt;"",1,0),0)</f>
        <v>0</v>
      </c>
      <c r="M2515">
        <f>IFERROR(IF(VLOOKUP(calendar[[#This Row],[Date]],BH!C:C,1,)&lt;&gt;"",1,0),0)</f>
        <v>0</v>
      </c>
      <c r="N2515">
        <f>IFERROR(IF(VLOOKUP(calendar[[#This Row],[Date]],BH!E:E,1,)&lt;&gt;"",1,0),0)</f>
        <v>0</v>
      </c>
      <c r="O2515">
        <f>IFERROR(IF(VLOOKUP(calendar[[#This Row],[Date]],BH!G:G,1,)&lt;&gt;"",1,0),0)</f>
        <v>0</v>
      </c>
      <c r="P2515">
        <f>IF(OR(calendar[[#This Row],[UK_BH]]=1,calendar[[#This Row],[WeekDay]]=1, calendar[[#This Row],[WeekDay]]=7),P2514,P2514+1)</f>
        <v>1795</v>
      </c>
      <c r="Q2515">
        <f>IF(OR(calendar[[#This Row],[FR_BH]]=1,calendar[[#This Row],[WeekDay]]=1, calendar[[#This Row],[WeekDay]]=7),P2514,P2514+1)</f>
        <v>1795</v>
      </c>
      <c r="R2515">
        <f>IF(OR(calendar[[#This Row],[SP_BH]]=1,calendar[[#This Row],[WeekDay]]=1, calendar[[#This Row],[WeekDay]]=7),P2514,P2514+1)</f>
        <v>1795</v>
      </c>
      <c r="S2515">
        <f>IF(OR(calendar[[#This Row],[PT_BH]]=1,calendar[[#This Row],[WeekDay]]=1, calendar[[#This Row],[WeekDay]]=7),P2514,P2514+1)</f>
        <v>1795</v>
      </c>
    </row>
    <row r="2516" spans="1:19" x14ac:dyDescent="0.25">
      <c r="A2516" s="2">
        <v>45250</v>
      </c>
      <c r="B2516" s="1">
        <f t="shared" si="198"/>
        <v>47</v>
      </c>
      <c r="C2516">
        <f t="shared" si="200"/>
        <v>11</v>
      </c>
      <c r="D2516" t="str">
        <f t="shared" si="201"/>
        <v>November</v>
      </c>
      <c r="E2516">
        <f t="shared" si="202"/>
        <v>2023</v>
      </c>
      <c r="F2516" t="str">
        <f>CONCATENATE(calendar[[#This Row],[Month]],"/",calendar[[#This Row],[Year]])</f>
        <v>11/2023</v>
      </c>
      <c r="G2516">
        <f>WEEKDAY(calendar[[#This Row],[Date]],1)</f>
        <v>2</v>
      </c>
      <c r="H2516" t="str">
        <f>TEXT(calendar[[#This Row],[WeekDay]],"dddd")</f>
        <v>Monday</v>
      </c>
      <c r="I2516">
        <f>IF((INT(calendar[[#This Row],[Count]]/7)-calendar[[#This Row],[Count]]/7)&lt;0,I2515,I2515+1)</f>
        <v>360</v>
      </c>
      <c r="J2516">
        <f t="shared" si="199"/>
        <v>2514</v>
      </c>
      <c r="K2516">
        <f>IF(calendar[[#This Row],[Month]]&lt;4,1,IF(calendar[[#This Row],[Month]]&lt;7,2,IF(calendar[[#This Row],[Month]]&lt;10,3,4)))</f>
        <v>4</v>
      </c>
      <c r="L2516">
        <f>IFERROR(IF(VLOOKUP(calendar[[#This Row],[Date]],BH!A:A,1,)&lt;&gt;"",1,0),0)</f>
        <v>0</v>
      </c>
      <c r="M2516">
        <f>IFERROR(IF(VLOOKUP(calendar[[#This Row],[Date]],BH!C:C,1,)&lt;&gt;"",1,0),0)</f>
        <v>0</v>
      </c>
      <c r="N2516">
        <f>IFERROR(IF(VLOOKUP(calendar[[#This Row],[Date]],BH!E:E,1,)&lt;&gt;"",1,0),0)</f>
        <v>0</v>
      </c>
      <c r="O2516">
        <f>IFERROR(IF(VLOOKUP(calendar[[#This Row],[Date]],BH!G:G,1,)&lt;&gt;"",1,0),0)</f>
        <v>0</v>
      </c>
      <c r="P2516">
        <f>IF(OR(calendar[[#This Row],[UK_BH]]=1,calendar[[#This Row],[WeekDay]]=1, calendar[[#This Row],[WeekDay]]=7),P2515,P2515+1)</f>
        <v>1796</v>
      </c>
      <c r="Q2516">
        <f>IF(OR(calendar[[#This Row],[FR_BH]]=1,calendar[[#This Row],[WeekDay]]=1, calendar[[#This Row],[WeekDay]]=7),P2515,P2515+1)</f>
        <v>1796</v>
      </c>
      <c r="R2516">
        <f>IF(OR(calendar[[#This Row],[SP_BH]]=1,calendar[[#This Row],[WeekDay]]=1, calendar[[#This Row],[WeekDay]]=7),P2515,P2515+1)</f>
        <v>1796</v>
      </c>
      <c r="S2516">
        <f>IF(OR(calendar[[#This Row],[PT_BH]]=1,calendar[[#This Row],[WeekDay]]=1, calendar[[#This Row],[WeekDay]]=7),P2515,P2515+1)</f>
        <v>1796</v>
      </c>
    </row>
    <row r="2517" spans="1:19" x14ac:dyDescent="0.25">
      <c r="A2517" s="2">
        <v>45251</v>
      </c>
      <c r="B2517" s="1">
        <f t="shared" si="198"/>
        <v>47</v>
      </c>
      <c r="C2517">
        <f t="shared" si="200"/>
        <v>11</v>
      </c>
      <c r="D2517" t="str">
        <f t="shared" si="201"/>
        <v>November</v>
      </c>
      <c r="E2517">
        <f t="shared" si="202"/>
        <v>2023</v>
      </c>
      <c r="F2517" t="str">
        <f>CONCATENATE(calendar[[#This Row],[Month]],"/",calendar[[#This Row],[Year]])</f>
        <v>11/2023</v>
      </c>
      <c r="G2517">
        <f>WEEKDAY(calendar[[#This Row],[Date]],1)</f>
        <v>3</v>
      </c>
      <c r="H2517" t="str">
        <f>TEXT(calendar[[#This Row],[WeekDay]],"dddd")</f>
        <v>Tuesday</v>
      </c>
      <c r="I2517">
        <f>IF((INT(calendar[[#This Row],[Count]]/7)-calendar[[#This Row],[Count]]/7)&lt;0,I2516,I2516+1)</f>
        <v>360</v>
      </c>
      <c r="J2517">
        <f t="shared" si="199"/>
        <v>2515</v>
      </c>
      <c r="K2517">
        <f>IF(calendar[[#This Row],[Month]]&lt;4,1,IF(calendar[[#This Row],[Month]]&lt;7,2,IF(calendar[[#This Row],[Month]]&lt;10,3,4)))</f>
        <v>4</v>
      </c>
      <c r="L2517">
        <f>IFERROR(IF(VLOOKUP(calendar[[#This Row],[Date]],BH!A:A,1,)&lt;&gt;"",1,0),0)</f>
        <v>0</v>
      </c>
      <c r="M2517">
        <f>IFERROR(IF(VLOOKUP(calendar[[#This Row],[Date]],BH!C:C,1,)&lt;&gt;"",1,0),0)</f>
        <v>0</v>
      </c>
      <c r="N2517">
        <f>IFERROR(IF(VLOOKUP(calendar[[#This Row],[Date]],BH!E:E,1,)&lt;&gt;"",1,0),0)</f>
        <v>0</v>
      </c>
      <c r="O2517">
        <f>IFERROR(IF(VLOOKUP(calendar[[#This Row],[Date]],BH!G:G,1,)&lt;&gt;"",1,0),0)</f>
        <v>0</v>
      </c>
      <c r="P2517">
        <f>IF(OR(calendar[[#This Row],[UK_BH]]=1,calendar[[#This Row],[WeekDay]]=1, calendar[[#This Row],[WeekDay]]=7),P2516,P2516+1)</f>
        <v>1797</v>
      </c>
      <c r="Q2517">
        <f>IF(OR(calendar[[#This Row],[FR_BH]]=1,calendar[[#This Row],[WeekDay]]=1, calendar[[#This Row],[WeekDay]]=7),P2516,P2516+1)</f>
        <v>1797</v>
      </c>
      <c r="R2517">
        <f>IF(OR(calendar[[#This Row],[SP_BH]]=1,calendar[[#This Row],[WeekDay]]=1, calendar[[#This Row],[WeekDay]]=7),P2516,P2516+1)</f>
        <v>1797</v>
      </c>
      <c r="S2517">
        <f>IF(OR(calendar[[#This Row],[PT_BH]]=1,calendar[[#This Row],[WeekDay]]=1, calendar[[#This Row],[WeekDay]]=7),P2516,P2516+1)</f>
        <v>1797</v>
      </c>
    </row>
    <row r="2518" spans="1:19" x14ac:dyDescent="0.25">
      <c r="A2518" s="2">
        <v>45252</v>
      </c>
      <c r="B2518" s="1">
        <f t="shared" si="198"/>
        <v>47</v>
      </c>
      <c r="C2518">
        <f t="shared" si="200"/>
        <v>11</v>
      </c>
      <c r="D2518" t="str">
        <f t="shared" si="201"/>
        <v>November</v>
      </c>
      <c r="E2518">
        <f t="shared" si="202"/>
        <v>2023</v>
      </c>
      <c r="F2518" t="str">
        <f>CONCATENATE(calendar[[#This Row],[Month]],"/",calendar[[#This Row],[Year]])</f>
        <v>11/2023</v>
      </c>
      <c r="G2518">
        <f>WEEKDAY(calendar[[#This Row],[Date]],1)</f>
        <v>4</v>
      </c>
      <c r="H2518" t="str">
        <f>TEXT(calendar[[#This Row],[WeekDay]],"dddd")</f>
        <v>Wednesday</v>
      </c>
      <c r="I2518">
        <f>IF((INT(calendar[[#This Row],[Count]]/7)-calendar[[#This Row],[Count]]/7)&lt;0,I2517,I2517+1)</f>
        <v>360</v>
      </c>
      <c r="J2518">
        <f t="shared" si="199"/>
        <v>2516</v>
      </c>
      <c r="K2518">
        <f>IF(calendar[[#This Row],[Month]]&lt;4,1,IF(calendar[[#This Row],[Month]]&lt;7,2,IF(calendar[[#This Row],[Month]]&lt;10,3,4)))</f>
        <v>4</v>
      </c>
      <c r="L2518">
        <f>IFERROR(IF(VLOOKUP(calendar[[#This Row],[Date]],BH!A:A,1,)&lt;&gt;"",1,0),0)</f>
        <v>0</v>
      </c>
      <c r="M2518">
        <f>IFERROR(IF(VLOOKUP(calendar[[#This Row],[Date]],BH!C:C,1,)&lt;&gt;"",1,0),0)</f>
        <v>0</v>
      </c>
      <c r="N2518">
        <f>IFERROR(IF(VLOOKUP(calendar[[#This Row],[Date]],BH!E:E,1,)&lt;&gt;"",1,0),0)</f>
        <v>0</v>
      </c>
      <c r="O2518">
        <f>IFERROR(IF(VLOOKUP(calendar[[#This Row],[Date]],BH!G:G,1,)&lt;&gt;"",1,0),0)</f>
        <v>0</v>
      </c>
      <c r="P2518">
        <f>IF(OR(calendar[[#This Row],[UK_BH]]=1,calendar[[#This Row],[WeekDay]]=1, calendar[[#This Row],[WeekDay]]=7),P2517,P2517+1)</f>
        <v>1798</v>
      </c>
      <c r="Q2518">
        <f>IF(OR(calendar[[#This Row],[FR_BH]]=1,calendar[[#This Row],[WeekDay]]=1, calendar[[#This Row],[WeekDay]]=7),P2517,P2517+1)</f>
        <v>1798</v>
      </c>
      <c r="R2518">
        <f>IF(OR(calendar[[#This Row],[SP_BH]]=1,calendar[[#This Row],[WeekDay]]=1, calendar[[#This Row],[WeekDay]]=7),P2517,P2517+1)</f>
        <v>1798</v>
      </c>
      <c r="S2518">
        <f>IF(OR(calendar[[#This Row],[PT_BH]]=1,calendar[[#This Row],[WeekDay]]=1, calendar[[#This Row],[WeekDay]]=7),P2517,P2517+1)</f>
        <v>1798</v>
      </c>
    </row>
    <row r="2519" spans="1:19" x14ac:dyDescent="0.25">
      <c r="A2519" s="2">
        <v>45253</v>
      </c>
      <c r="B2519" s="1">
        <f t="shared" si="198"/>
        <v>47</v>
      </c>
      <c r="C2519">
        <f t="shared" si="200"/>
        <v>11</v>
      </c>
      <c r="D2519" t="str">
        <f t="shared" si="201"/>
        <v>November</v>
      </c>
      <c r="E2519">
        <f t="shared" si="202"/>
        <v>2023</v>
      </c>
      <c r="F2519" t="str">
        <f>CONCATENATE(calendar[[#This Row],[Month]],"/",calendar[[#This Row],[Year]])</f>
        <v>11/2023</v>
      </c>
      <c r="G2519">
        <f>WEEKDAY(calendar[[#This Row],[Date]],1)</f>
        <v>5</v>
      </c>
      <c r="H2519" t="str">
        <f>TEXT(calendar[[#This Row],[WeekDay]],"dddd")</f>
        <v>Thursday</v>
      </c>
      <c r="I2519">
        <f>IF((INT(calendar[[#This Row],[Count]]/7)-calendar[[#This Row],[Count]]/7)&lt;0,I2518,I2518+1)</f>
        <v>360</v>
      </c>
      <c r="J2519">
        <f t="shared" si="199"/>
        <v>2517</v>
      </c>
      <c r="K2519">
        <f>IF(calendar[[#This Row],[Month]]&lt;4,1,IF(calendar[[#This Row],[Month]]&lt;7,2,IF(calendar[[#This Row],[Month]]&lt;10,3,4)))</f>
        <v>4</v>
      </c>
      <c r="L2519">
        <f>IFERROR(IF(VLOOKUP(calendar[[#This Row],[Date]],BH!A:A,1,)&lt;&gt;"",1,0),0)</f>
        <v>0</v>
      </c>
      <c r="M2519">
        <f>IFERROR(IF(VLOOKUP(calendar[[#This Row],[Date]],BH!C:C,1,)&lt;&gt;"",1,0),0)</f>
        <v>0</v>
      </c>
      <c r="N2519">
        <f>IFERROR(IF(VLOOKUP(calendar[[#This Row],[Date]],BH!E:E,1,)&lt;&gt;"",1,0),0)</f>
        <v>0</v>
      </c>
      <c r="O2519">
        <f>IFERROR(IF(VLOOKUP(calendar[[#This Row],[Date]],BH!G:G,1,)&lt;&gt;"",1,0),0)</f>
        <v>0</v>
      </c>
      <c r="P2519">
        <f>IF(OR(calendar[[#This Row],[UK_BH]]=1,calendar[[#This Row],[WeekDay]]=1, calendar[[#This Row],[WeekDay]]=7),P2518,P2518+1)</f>
        <v>1799</v>
      </c>
      <c r="Q2519">
        <f>IF(OR(calendar[[#This Row],[FR_BH]]=1,calendar[[#This Row],[WeekDay]]=1, calendar[[#This Row],[WeekDay]]=7),P2518,P2518+1)</f>
        <v>1799</v>
      </c>
      <c r="R2519">
        <f>IF(OR(calendar[[#This Row],[SP_BH]]=1,calendar[[#This Row],[WeekDay]]=1, calendar[[#This Row],[WeekDay]]=7),P2518,P2518+1)</f>
        <v>1799</v>
      </c>
      <c r="S2519">
        <f>IF(OR(calendar[[#This Row],[PT_BH]]=1,calendar[[#This Row],[WeekDay]]=1, calendar[[#This Row],[WeekDay]]=7),P2518,P2518+1)</f>
        <v>1799</v>
      </c>
    </row>
    <row r="2520" spans="1:19" x14ac:dyDescent="0.25">
      <c r="A2520" s="2">
        <v>45254</v>
      </c>
      <c r="B2520" s="1">
        <f t="shared" si="198"/>
        <v>47</v>
      </c>
      <c r="C2520">
        <f t="shared" si="200"/>
        <v>11</v>
      </c>
      <c r="D2520" t="str">
        <f t="shared" si="201"/>
        <v>November</v>
      </c>
      <c r="E2520">
        <f t="shared" si="202"/>
        <v>2023</v>
      </c>
      <c r="F2520" t="str">
        <f>CONCATENATE(calendar[[#This Row],[Month]],"/",calendar[[#This Row],[Year]])</f>
        <v>11/2023</v>
      </c>
      <c r="G2520">
        <f>WEEKDAY(calendar[[#This Row],[Date]],1)</f>
        <v>6</v>
      </c>
      <c r="H2520" t="str">
        <f>TEXT(calendar[[#This Row],[WeekDay]],"dddd")</f>
        <v>Friday</v>
      </c>
      <c r="I2520">
        <f>IF((INT(calendar[[#This Row],[Count]]/7)-calendar[[#This Row],[Count]]/7)&lt;0,I2519,I2519+1)</f>
        <v>360</v>
      </c>
      <c r="J2520">
        <f t="shared" si="199"/>
        <v>2518</v>
      </c>
      <c r="K2520">
        <f>IF(calendar[[#This Row],[Month]]&lt;4,1,IF(calendar[[#This Row],[Month]]&lt;7,2,IF(calendar[[#This Row],[Month]]&lt;10,3,4)))</f>
        <v>4</v>
      </c>
      <c r="L2520">
        <f>IFERROR(IF(VLOOKUP(calendar[[#This Row],[Date]],BH!A:A,1,)&lt;&gt;"",1,0),0)</f>
        <v>0</v>
      </c>
      <c r="M2520">
        <f>IFERROR(IF(VLOOKUP(calendar[[#This Row],[Date]],BH!C:C,1,)&lt;&gt;"",1,0),0)</f>
        <v>0</v>
      </c>
      <c r="N2520">
        <f>IFERROR(IF(VLOOKUP(calendar[[#This Row],[Date]],BH!E:E,1,)&lt;&gt;"",1,0),0)</f>
        <v>0</v>
      </c>
      <c r="O2520">
        <f>IFERROR(IF(VLOOKUP(calendar[[#This Row],[Date]],BH!G:G,1,)&lt;&gt;"",1,0),0)</f>
        <v>0</v>
      </c>
      <c r="P2520">
        <f>IF(OR(calendar[[#This Row],[UK_BH]]=1,calendar[[#This Row],[WeekDay]]=1, calendar[[#This Row],[WeekDay]]=7),P2519,P2519+1)</f>
        <v>1800</v>
      </c>
      <c r="Q2520">
        <f>IF(OR(calendar[[#This Row],[FR_BH]]=1,calendar[[#This Row],[WeekDay]]=1, calendar[[#This Row],[WeekDay]]=7),P2519,P2519+1)</f>
        <v>1800</v>
      </c>
      <c r="R2520">
        <f>IF(OR(calendar[[#This Row],[SP_BH]]=1,calendar[[#This Row],[WeekDay]]=1, calendar[[#This Row],[WeekDay]]=7),P2519,P2519+1)</f>
        <v>1800</v>
      </c>
      <c r="S2520">
        <f>IF(OR(calendar[[#This Row],[PT_BH]]=1,calendar[[#This Row],[WeekDay]]=1, calendar[[#This Row],[WeekDay]]=7),P2519,P2519+1)</f>
        <v>1800</v>
      </c>
    </row>
    <row r="2521" spans="1:19" x14ac:dyDescent="0.25">
      <c r="A2521" s="2">
        <v>45255</v>
      </c>
      <c r="B2521" s="1">
        <f t="shared" si="198"/>
        <v>47</v>
      </c>
      <c r="C2521">
        <f t="shared" si="200"/>
        <v>11</v>
      </c>
      <c r="D2521" t="str">
        <f t="shared" si="201"/>
        <v>November</v>
      </c>
      <c r="E2521">
        <f t="shared" si="202"/>
        <v>2023</v>
      </c>
      <c r="F2521" t="str">
        <f>CONCATENATE(calendar[[#This Row],[Month]],"/",calendar[[#This Row],[Year]])</f>
        <v>11/2023</v>
      </c>
      <c r="G2521">
        <f>WEEKDAY(calendar[[#This Row],[Date]],1)</f>
        <v>7</v>
      </c>
      <c r="H2521" t="str">
        <f>TEXT(calendar[[#This Row],[WeekDay]],"dddd")</f>
        <v>Saturday</v>
      </c>
      <c r="I2521">
        <f>IF((INT(calendar[[#This Row],[Count]]/7)-calendar[[#This Row],[Count]]/7)&lt;0,I2520,I2520+1)</f>
        <v>360</v>
      </c>
      <c r="J2521">
        <f t="shared" si="199"/>
        <v>2519</v>
      </c>
      <c r="K2521">
        <f>IF(calendar[[#This Row],[Month]]&lt;4,1,IF(calendar[[#This Row],[Month]]&lt;7,2,IF(calendar[[#This Row],[Month]]&lt;10,3,4)))</f>
        <v>4</v>
      </c>
      <c r="L2521">
        <f>IFERROR(IF(VLOOKUP(calendar[[#This Row],[Date]],BH!A:A,1,)&lt;&gt;"",1,0),0)</f>
        <v>0</v>
      </c>
      <c r="M2521">
        <f>IFERROR(IF(VLOOKUP(calendar[[#This Row],[Date]],BH!C:C,1,)&lt;&gt;"",1,0),0)</f>
        <v>0</v>
      </c>
      <c r="N2521">
        <f>IFERROR(IF(VLOOKUP(calendar[[#This Row],[Date]],BH!E:E,1,)&lt;&gt;"",1,0),0)</f>
        <v>0</v>
      </c>
      <c r="O2521">
        <f>IFERROR(IF(VLOOKUP(calendar[[#This Row],[Date]],BH!G:G,1,)&lt;&gt;"",1,0),0)</f>
        <v>0</v>
      </c>
      <c r="P2521">
        <f>IF(OR(calendar[[#This Row],[UK_BH]]=1,calendar[[#This Row],[WeekDay]]=1, calendar[[#This Row],[WeekDay]]=7),P2520,P2520+1)</f>
        <v>1800</v>
      </c>
      <c r="Q2521">
        <f>IF(OR(calendar[[#This Row],[FR_BH]]=1,calendar[[#This Row],[WeekDay]]=1, calendar[[#This Row],[WeekDay]]=7),P2520,P2520+1)</f>
        <v>1800</v>
      </c>
      <c r="R2521">
        <f>IF(OR(calendar[[#This Row],[SP_BH]]=1,calendar[[#This Row],[WeekDay]]=1, calendar[[#This Row],[WeekDay]]=7),P2520,P2520+1)</f>
        <v>1800</v>
      </c>
      <c r="S2521">
        <f>IF(OR(calendar[[#This Row],[PT_BH]]=1,calendar[[#This Row],[WeekDay]]=1, calendar[[#This Row],[WeekDay]]=7),P2520,P2520+1)</f>
        <v>1800</v>
      </c>
    </row>
    <row r="2522" spans="1:19" x14ac:dyDescent="0.25">
      <c r="A2522" s="2">
        <v>45256</v>
      </c>
      <c r="B2522" s="1">
        <f t="shared" si="198"/>
        <v>48</v>
      </c>
      <c r="C2522">
        <f t="shared" si="200"/>
        <v>11</v>
      </c>
      <c r="D2522" t="str">
        <f t="shared" si="201"/>
        <v>November</v>
      </c>
      <c r="E2522">
        <f t="shared" si="202"/>
        <v>2023</v>
      </c>
      <c r="F2522" t="str">
        <f>CONCATENATE(calendar[[#This Row],[Month]],"/",calendar[[#This Row],[Year]])</f>
        <v>11/2023</v>
      </c>
      <c r="G2522">
        <f>WEEKDAY(calendar[[#This Row],[Date]],1)</f>
        <v>1</v>
      </c>
      <c r="H2522" t="str">
        <f>TEXT(calendar[[#This Row],[WeekDay]],"dddd")</f>
        <v>Sunday</v>
      </c>
      <c r="I2522">
        <f>IF((INT(calendar[[#This Row],[Count]]/7)-calendar[[#This Row],[Count]]/7)&lt;0,I2521,I2521+1)</f>
        <v>361</v>
      </c>
      <c r="J2522">
        <f t="shared" si="199"/>
        <v>2520</v>
      </c>
      <c r="K2522">
        <f>IF(calendar[[#This Row],[Month]]&lt;4,1,IF(calendar[[#This Row],[Month]]&lt;7,2,IF(calendar[[#This Row],[Month]]&lt;10,3,4)))</f>
        <v>4</v>
      </c>
      <c r="L2522">
        <f>IFERROR(IF(VLOOKUP(calendar[[#This Row],[Date]],BH!A:A,1,)&lt;&gt;"",1,0),0)</f>
        <v>0</v>
      </c>
      <c r="M2522">
        <f>IFERROR(IF(VLOOKUP(calendar[[#This Row],[Date]],BH!C:C,1,)&lt;&gt;"",1,0),0)</f>
        <v>0</v>
      </c>
      <c r="N2522">
        <f>IFERROR(IF(VLOOKUP(calendar[[#This Row],[Date]],BH!E:E,1,)&lt;&gt;"",1,0),0)</f>
        <v>0</v>
      </c>
      <c r="O2522">
        <f>IFERROR(IF(VLOOKUP(calendar[[#This Row],[Date]],BH!G:G,1,)&lt;&gt;"",1,0),0)</f>
        <v>0</v>
      </c>
      <c r="P2522">
        <f>IF(OR(calendar[[#This Row],[UK_BH]]=1,calendar[[#This Row],[WeekDay]]=1, calendar[[#This Row],[WeekDay]]=7),P2521,P2521+1)</f>
        <v>1800</v>
      </c>
      <c r="Q2522">
        <f>IF(OR(calendar[[#This Row],[FR_BH]]=1,calendar[[#This Row],[WeekDay]]=1, calendar[[#This Row],[WeekDay]]=7),P2521,P2521+1)</f>
        <v>1800</v>
      </c>
      <c r="R2522">
        <f>IF(OR(calendar[[#This Row],[SP_BH]]=1,calendar[[#This Row],[WeekDay]]=1, calendar[[#This Row],[WeekDay]]=7),P2521,P2521+1)</f>
        <v>1800</v>
      </c>
      <c r="S2522">
        <f>IF(OR(calendar[[#This Row],[PT_BH]]=1,calendar[[#This Row],[WeekDay]]=1, calendar[[#This Row],[WeekDay]]=7),P2521,P2521+1)</f>
        <v>1800</v>
      </c>
    </row>
    <row r="2523" spans="1:19" x14ac:dyDescent="0.25">
      <c r="A2523" s="2">
        <v>45257</v>
      </c>
      <c r="B2523" s="1">
        <f t="shared" si="198"/>
        <v>48</v>
      </c>
      <c r="C2523">
        <f t="shared" si="200"/>
        <v>11</v>
      </c>
      <c r="D2523" t="str">
        <f t="shared" si="201"/>
        <v>November</v>
      </c>
      <c r="E2523">
        <f t="shared" si="202"/>
        <v>2023</v>
      </c>
      <c r="F2523" t="str">
        <f>CONCATENATE(calendar[[#This Row],[Month]],"/",calendar[[#This Row],[Year]])</f>
        <v>11/2023</v>
      </c>
      <c r="G2523">
        <f>WEEKDAY(calendar[[#This Row],[Date]],1)</f>
        <v>2</v>
      </c>
      <c r="H2523" t="str">
        <f>TEXT(calendar[[#This Row],[WeekDay]],"dddd")</f>
        <v>Monday</v>
      </c>
      <c r="I2523">
        <f>IF((INT(calendar[[#This Row],[Count]]/7)-calendar[[#This Row],[Count]]/7)&lt;0,I2522,I2522+1)</f>
        <v>361</v>
      </c>
      <c r="J2523">
        <f t="shared" si="199"/>
        <v>2521</v>
      </c>
      <c r="K2523">
        <f>IF(calendar[[#This Row],[Month]]&lt;4,1,IF(calendar[[#This Row],[Month]]&lt;7,2,IF(calendar[[#This Row],[Month]]&lt;10,3,4)))</f>
        <v>4</v>
      </c>
      <c r="L2523">
        <f>IFERROR(IF(VLOOKUP(calendar[[#This Row],[Date]],BH!A:A,1,)&lt;&gt;"",1,0),0)</f>
        <v>0</v>
      </c>
      <c r="M2523">
        <f>IFERROR(IF(VLOOKUP(calendar[[#This Row],[Date]],BH!C:C,1,)&lt;&gt;"",1,0),0)</f>
        <v>0</v>
      </c>
      <c r="N2523">
        <f>IFERROR(IF(VLOOKUP(calendar[[#This Row],[Date]],BH!E:E,1,)&lt;&gt;"",1,0),0)</f>
        <v>0</v>
      </c>
      <c r="O2523">
        <f>IFERROR(IF(VLOOKUP(calendar[[#This Row],[Date]],BH!G:G,1,)&lt;&gt;"",1,0),0)</f>
        <v>0</v>
      </c>
      <c r="P2523">
        <f>IF(OR(calendar[[#This Row],[UK_BH]]=1,calendar[[#This Row],[WeekDay]]=1, calendar[[#This Row],[WeekDay]]=7),P2522,P2522+1)</f>
        <v>1801</v>
      </c>
      <c r="Q2523">
        <f>IF(OR(calendar[[#This Row],[FR_BH]]=1,calendar[[#This Row],[WeekDay]]=1, calendar[[#This Row],[WeekDay]]=7),P2522,P2522+1)</f>
        <v>1801</v>
      </c>
      <c r="R2523">
        <f>IF(OR(calendar[[#This Row],[SP_BH]]=1,calendar[[#This Row],[WeekDay]]=1, calendar[[#This Row],[WeekDay]]=7),P2522,P2522+1)</f>
        <v>1801</v>
      </c>
      <c r="S2523">
        <f>IF(OR(calendar[[#This Row],[PT_BH]]=1,calendar[[#This Row],[WeekDay]]=1, calendar[[#This Row],[WeekDay]]=7),P2522,P2522+1)</f>
        <v>1801</v>
      </c>
    </row>
    <row r="2524" spans="1:19" x14ac:dyDescent="0.25">
      <c r="A2524" s="2">
        <v>45258</v>
      </c>
      <c r="B2524" s="1">
        <f t="shared" si="198"/>
        <v>48</v>
      </c>
      <c r="C2524">
        <f t="shared" si="200"/>
        <v>11</v>
      </c>
      <c r="D2524" t="str">
        <f t="shared" si="201"/>
        <v>November</v>
      </c>
      <c r="E2524">
        <f t="shared" si="202"/>
        <v>2023</v>
      </c>
      <c r="F2524" t="str">
        <f>CONCATENATE(calendar[[#This Row],[Month]],"/",calendar[[#This Row],[Year]])</f>
        <v>11/2023</v>
      </c>
      <c r="G2524">
        <f>WEEKDAY(calendar[[#This Row],[Date]],1)</f>
        <v>3</v>
      </c>
      <c r="H2524" t="str">
        <f>TEXT(calendar[[#This Row],[WeekDay]],"dddd")</f>
        <v>Tuesday</v>
      </c>
      <c r="I2524">
        <f>IF((INT(calendar[[#This Row],[Count]]/7)-calendar[[#This Row],[Count]]/7)&lt;0,I2523,I2523+1)</f>
        <v>361</v>
      </c>
      <c r="J2524">
        <f t="shared" si="199"/>
        <v>2522</v>
      </c>
      <c r="K2524">
        <f>IF(calendar[[#This Row],[Month]]&lt;4,1,IF(calendar[[#This Row],[Month]]&lt;7,2,IF(calendar[[#This Row],[Month]]&lt;10,3,4)))</f>
        <v>4</v>
      </c>
      <c r="L2524">
        <f>IFERROR(IF(VLOOKUP(calendar[[#This Row],[Date]],BH!A:A,1,)&lt;&gt;"",1,0),0)</f>
        <v>0</v>
      </c>
      <c r="M2524">
        <f>IFERROR(IF(VLOOKUP(calendar[[#This Row],[Date]],BH!C:C,1,)&lt;&gt;"",1,0),0)</f>
        <v>0</v>
      </c>
      <c r="N2524">
        <f>IFERROR(IF(VLOOKUP(calendar[[#This Row],[Date]],BH!E:E,1,)&lt;&gt;"",1,0),0)</f>
        <v>0</v>
      </c>
      <c r="O2524">
        <f>IFERROR(IF(VLOOKUP(calendar[[#This Row],[Date]],BH!G:G,1,)&lt;&gt;"",1,0),0)</f>
        <v>0</v>
      </c>
      <c r="P2524">
        <f>IF(OR(calendar[[#This Row],[UK_BH]]=1,calendar[[#This Row],[WeekDay]]=1, calendar[[#This Row],[WeekDay]]=7),P2523,P2523+1)</f>
        <v>1802</v>
      </c>
      <c r="Q2524">
        <f>IF(OR(calendar[[#This Row],[FR_BH]]=1,calendar[[#This Row],[WeekDay]]=1, calendar[[#This Row],[WeekDay]]=7),P2523,P2523+1)</f>
        <v>1802</v>
      </c>
      <c r="R2524">
        <f>IF(OR(calendar[[#This Row],[SP_BH]]=1,calendar[[#This Row],[WeekDay]]=1, calendar[[#This Row],[WeekDay]]=7),P2523,P2523+1)</f>
        <v>1802</v>
      </c>
      <c r="S2524">
        <f>IF(OR(calendar[[#This Row],[PT_BH]]=1,calendar[[#This Row],[WeekDay]]=1, calendar[[#This Row],[WeekDay]]=7),P2523,P2523+1)</f>
        <v>1802</v>
      </c>
    </row>
    <row r="2525" spans="1:19" x14ac:dyDescent="0.25">
      <c r="A2525" s="2">
        <v>45259</v>
      </c>
      <c r="B2525" s="1">
        <f t="shared" si="198"/>
        <v>48</v>
      </c>
      <c r="C2525">
        <f t="shared" si="200"/>
        <v>11</v>
      </c>
      <c r="D2525" t="str">
        <f t="shared" si="201"/>
        <v>November</v>
      </c>
      <c r="E2525">
        <f t="shared" si="202"/>
        <v>2023</v>
      </c>
      <c r="F2525" t="str">
        <f>CONCATENATE(calendar[[#This Row],[Month]],"/",calendar[[#This Row],[Year]])</f>
        <v>11/2023</v>
      </c>
      <c r="G2525">
        <f>WEEKDAY(calendar[[#This Row],[Date]],1)</f>
        <v>4</v>
      </c>
      <c r="H2525" t="str">
        <f>TEXT(calendar[[#This Row],[WeekDay]],"dddd")</f>
        <v>Wednesday</v>
      </c>
      <c r="I2525">
        <f>IF((INT(calendar[[#This Row],[Count]]/7)-calendar[[#This Row],[Count]]/7)&lt;0,I2524,I2524+1)</f>
        <v>361</v>
      </c>
      <c r="J2525">
        <f t="shared" si="199"/>
        <v>2523</v>
      </c>
      <c r="K2525">
        <f>IF(calendar[[#This Row],[Month]]&lt;4,1,IF(calendar[[#This Row],[Month]]&lt;7,2,IF(calendar[[#This Row],[Month]]&lt;10,3,4)))</f>
        <v>4</v>
      </c>
      <c r="L2525">
        <f>IFERROR(IF(VLOOKUP(calendar[[#This Row],[Date]],BH!A:A,1,)&lt;&gt;"",1,0),0)</f>
        <v>0</v>
      </c>
      <c r="M2525">
        <f>IFERROR(IF(VLOOKUP(calendar[[#This Row],[Date]],BH!C:C,1,)&lt;&gt;"",1,0),0)</f>
        <v>0</v>
      </c>
      <c r="N2525">
        <f>IFERROR(IF(VLOOKUP(calendar[[#This Row],[Date]],BH!E:E,1,)&lt;&gt;"",1,0),0)</f>
        <v>0</v>
      </c>
      <c r="O2525">
        <f>IFERROR(IF(VLOOKUP(calendar[[#This Row],[Date]],BH!G:G,1,)&lt;&gt;"",1,0),0)</f>
        <v>0</v>
      </c>
      <c r="P2525">
        <f>IF(OR(calendar[[#This Row],[UK_BH]]=1,calendar[[#This Row],[WeekDay]]=1, calendar[[#This Row],[WeekDay]]=7),P2524,P2524+1)</f>
        <v>1803</v>
      </c>
      <c r="Q2525">
        <f>IF(OR(calendar[[#This Row],[FR_BH]]=1,calendar[[#This Row],[WeekDay]]=1, calendar[[#This Row],[WeekDay]]=7),P2524,P2524+1)</f>
        <v>1803</v>
      </c>
      <c r="R2525">
        <f>IF(OR(calendar[[#This Row],[SP_BH]]=1,calendar[[#This Row],[WeekDay]]=1, calendar[[#This Row],[WeekDay]]=7),P2524,P2524+1)</f>
        <v>1803</v>
      </c>
      <c r="S2525">
        <f>IF(OR(calendar[[#This Row],[PT_BH]]=1,calendar[[#This Row],[WeekDay]]=1, calendar[[#This Row],[WeekDay]]=7),P2524,P2524+1)</f>
        <v>1803</v>
      </c>
    </row>
    <row r="2526" spans="1:19" x14ac:dyDescent="0.25">
      <c r="A2526" s="2">
        <v>45260</v>
      </c>
      <c r="B2526" s="1">
        <f t="shared" si="198"/>
        <v>48</v>
      </c>
      <c r="C2526">
        <f t="shared" si="200"/>
        <v>11</v>
      </c>
      <c r="D2526" t="str">
        <f t="shared" si="201"/>
        <v>November</v>
      </c>
      <c r="E2526">
        <f t="shared" si="202"/>
        <v>2023</v>
      </c>
      <c r="F2526" t="str">
        <f>CONCATENATE(calendar[[#This Row],[Month]],"/",calendar[[#This Row],[Year]])</f>
        <v>11/2023</v>
      </c>
      <c r="G2526">
        <f>WEEKDAY(calendar[[#This Row],[Date]],1)</f>
        <v>5</v>
      </c>
      <c r="H2526" t="str">
        <f>TEXT(calendar[[#This Row],[WeekDay]],"dddd")</f>
        <v>Thursday</v>
      </c>
      <c r="I2526">
        <f>IF((INT(calendar[[#This Row],[Count]]/7)-calendar[[#This Row],[Count]]/7)&lt;0,I2525,I2525+1)</f>
        <v>361</v>
      </c>
      <c r="J2526">
        <f t="shared" si="199"/>
        <v>2524</v>
      </c>
      <c r="K2526">
        <f>IF(calendar[[#This Row],[Month]]&lt;4,1,IF(calendar[[#This Row],[Month]]&lt;7,2,IF(calendar[[#This Row],[Month]]&lt;10,3,4)))</f>
        <v>4</v>
      </c>
      <c r="L2526">
        <f>IFERROR(IF(VLOOKUP(calendar[[#This Row],[Date]],BH!A:A,1,)&lt;&gt;"",1,0),0)</f>
        <v>0</v>
      </c>
      <c r="M2526">
        <f>IFERROR(IF(VLOOKUP(calendar[[#This Row],[Date]],BH!C:C,1,)&lt;&gt;"",1,0),0)</f>
        <v>0</v>
      </c>
      <c r="N2526">
        <f>IFERROR(IF(VLOOKUP(calendar[[#This Row],[Date]],BH!E:E,1,)&lt;&gt;"",1,0),0)</f>
        <v>0</v>
      </c>
      <c r="O2526">
        <f>IFERROR(IF(VLOOKUP(calendar[[#This Row],[Date]],BH!G:G,1,)&lt;&gt;"",1,0),0)</f>
        <v>0</v>
      </c>
      <c r="P2526">
        <f>IF(OR(calendar[[#This Row],[UK_BH]]=1,calendar[[#This Row],[WeekDay]]=1, calendar[[#This Row],[WeekDay]]=7),P2525,P2525+1)</f>
        <v>1804</v>
      </c>
      <c r="Q2526">
        <f>IF(OR(calendar[[#This Row],[FR_BH]]=1,calendar[[#This Row],[WeekDay]]=1, calendar[[#This Row],[WeekDay]]=7),P2525,P2525+1)</f>
        <v>1804</v>
      </c>
      <c r="R2526">
        <f>IF(OR(calendar[[#This Row],[SP_BH]]=1,calendar[[#This Row],[WeekDay]]=1, calendar[[#This Row],[WeekDay]]=7),P2525,P2525+1)</f>
        <v>1804</v>
      </c>
      <c r="S2526">
        <f>IF(OR(calendar[[#This Row],[PT_BH]]=1,calendar[[#This Row],[WeekDay]]=1, calendar[[#This Row],[WeekDay]]=7),P2525,P2525+1)</f>
        <v>1804</v>
      </c>
    </row>
    <row r="2527" spans="1:19" x14ac:dyDescent="0.25">
      <c r="A2527" s="2">
        <v>45261</v>
      </c>
      <c r="B2527" s="1">
        <f t="shared" si="198"/>
        <v>48</v>
      </c>
      <c r="C2527">
        <f t="shared" si="200"/>
        <v>12</v>
      </c>
      <c r="D2527" t="str">
        <f t="shared" si="201"/>
        <v>December</v>
      </c>
      <c r="E2527">
        <f t="shared" si="202"/>
        <v>2023</v>
      </c>
      <c r="F2527" t="str">
        <f>CONCATENATE(calendar[[#This Row],[Month]],"/",calendar[[#This Row],[Year]])</f>
        <v>12/2023</v>
      </c>
      <c r="G2527">
        <f>WEEKDAY(calendar[[#This Row],[Date]],1)</f>
        <v>6</v>
      </c>
      <c r="H2527" t="str">
        <f>TEXT(calendar[[#This Row],[WeekDay]],"dddd")</f>
        <v>Friday</v>
      </c>
      <c r="I2527">
        <f>IF((INT(calendar[[#This Row],[Count]]/7)-calendar[[#This Row],[Count]]/7)&lt;0,I2526,I2526+1)</f>
        <v>361</v>
      </c>
      <c r="J2527">
        <f t="shared" si="199"/>
        <v>2525</v>
      </c>
      <c r="K2527">
        <f>IF(calendar[[#This Row],[Month]]&lt;4,1,IF(calendar[[#This Row],[Month]]&lt;7,2,IF(calendar[[#This Row],[Month]]&lt;10,3,4)))</f>
        <v>4</v>
      </c>
      <c r="L2527">
        <f>IFERROR(IF(VLOOKUP(calendar[[#This Row],[Date]],BH!A:A,1,)&lt;&gt;"",1,0),0)</f>
        <v>0</v>
      </c>
      <c r="M2527">
        <f>IFERROR(IF(VLOOKUP(calendar[[#This Row],[Date]],BH!C:C,1,)&lt;&gt;"",1,0),0)</f>
        <v>0</v>
      </c>
      <c r="N2527">
        <f>IFERROR(IF(VLOOKUP(calendar[[#This Row],[Date]],BH!E:E,1,)&lt;&gt;"",1,0),0)</f>
        <v>0</v>
      </c>
      <c r="O2527">
        <f>IFERROR(IF(VLOOKUP(calendar[[#This Row],[Date]],BH!G:G,1,)&lt;&gt;"",1,0),0)</f>
        <v>0</v>
      </c>
      <c r="P2527">
        <f>IF(OR(calendar[[#This Row],[UK_BH]]=1,calendar[[#This Row],[WeekDay]]=1, calendar[[#This Row],[WeekDay]]=7),P2526,P2526+1)</f>
        <v>1805</v>
      </c>
      <c r="Q2527">
        <f>IF(OR(calendar[[#This Row],[FR_BH]]=1,calendar[[#This Row],[WeekDay]]=1, calendar[[#This Row],[WeekDay]]=7),P2526,P2526+1)</f>
        <v>1805</v>
      </c>
      <c r="R2527">
        <f>IF(OR(calendar[[#This Row],[SP_BH]]=1,calendar[[#This Row],[WeekDay]]=1, calendar[[#This Row],[WeekDay]]=7),P2526,P2526+1)</f>
        <v>1805</v>
      </c>
      <c r="S2527">
        <f>IF(OR(calendar[[#This Row],[PT_BH]]=1,calendar[[#This Row],[WeekDay]]=1, calendar[[#This Row],[WeekDay]]=7),P2526,P2526+1)</f>
        <v>1805</v>
      </c>
    </row>
    <row r="2528" spans="1:19" x14ac:dyDescent="0.25">
      <c r="A2528" s="2">
        <v>45262</v>
      </c>
      <c r="B2528" s="1">
        <f t="shared" si="198"/>
        <v>48</v>
      </c>
      <c r="C2528">
        <f t="shared" si="200"/>
        <v>12</v>
      </c>
      <c r="D2528" t="str">
        <f t="shared" si="201"/>
        <v>December</v>
      </c>
      <c r="E2528">
        <f t="shared" si="202"/>
        <v>2023</v>
      </c>
      <c r="F2528" t="str">
        <f>CONCATENATE(calendar[[#This Row],[Month]],"/",calendar[[#This Row],[Year]])</f>
        <v>12/2023</v>
      </c>
      <c r="G2528">
        <f>WEEKDAY(calendar[[#This Row],[Date]],1)</f>
        <v>7</v>
      </c>
      <c r="H2528" t="str">
        <f>TEXT(calendar[[#This Row],[WeekDay]],"dddd")</f>
        <v>Saturday</v>
      </c>
      <c r="I2528">
        <f>IF((INT(calendar[[#This Row],[Count]]/7)-calendar[[#This Row],[Count]]/7)&lt;0,I2527,I2527+1)</f>
        <v>361</v>
      </c>
      <c r="J2528">
        <f t="shared" si="199"/>
        <v>2526</v>
      </c>
      <c r="K2528">
        <f>IF(calendar[[#This Row],[Month]]&lt;4,1,IF(calendar[[#This Row],[Month]]&lt;7,2,IF(calendar[[#This Row],[Month]]&lt;10,3,4)))</f>
        <v>4</v>
      </c>
      <c r="L2528">
        <f>IFERROR(IF(VLOOKUP(calendar[[#This Row],[Date]],BH!A:A,1,)&lt;&gt;"",1,0),0)</f>
        <v>0</v>
      </c>
      <c r="M2528">
        <f>IFERROR(IF(VLOOKUP(calendar[[#This Row],[Date]],BH!C:C,1,)&lt;&gt;"",1,0),0)</f>
        <v>0</v>
      </c>
      <c r="N2528">
        <f>IFERROR(IF(VLOOKUP(calendar[[#This Row],[Date]],BH!E:E,1,)&lt;&gt;"",1,0),0)</f>
        <v>0</v>
      </c>
      <c r="O2528">
        <f>IFERROR(IF(VLOOKUP(calendar[[#This Row],[Date]],BH!G:G,1,)&lt;&gt;"",1,0),0)</f>
        <v>0</v>
      </c>
      <c r="P2528">
        <f>IF(OR(calendar[[#This Row],[UK_BH]]=1,calendar[[#This Row],[WeekDay]]=1, calendar[[#This Row],[WeekDay]]=7),P2527,P2527+1)</f>
        <v>1805</v>
      </c>
      <c r="Q2528">
        <f>IF(OR(calendar[[#This Row],[FR_BH]]=1,calendar[[#This Row],[WeekDay]]=1, calendar[[#This Row],[WeekDay]]=7),P2527,P2527+1)</f>
        <v>1805</v>
      </c>
      <c r="R2528">
        <f>IF(OR(calendar[[#This Row],[SP_BH]]=1,calendar[[#This Row],[WeekDay]]=1, calendar[[#This Row],[WeekDay]]=7),P2527,P2527+1)</f>
        <v>1805</v>
      </c>
      <c r="S2528">
        <f>IF(OR(calendar[[#This Row],[PT_BH]]=1,calendar[[#This Row],[WeekDay]]=1, calendar[[#This Row],[WeekDay]]=7),P2527,P2527+1)</f>
        <v>1805</v>
      </c>
    </row>
    <row r="2529" spans="1:19" x14ac:dyDescent="0.25">
      <c r="A2529" s="2">
        <v>45263</v>
      </c>
      <c r="B2529" s="1">
        <f t="shared" si="198"/>
        <v>49</v>
      </c>
      <c r="C2529">
        <f t="shared" si="200"/>
        <v>12</v>
      </c>
      <c r="D2529" t="str">
        <f t="shared" si="201"/>
        <v>December</v>
      </c>
      <c r="E2529">
        <f t="shared" si="202"/>
        <v>2023</v>
      </c>
      <c r="F2529" t="str">
        <f>CONCATENATE(calendar[[#This Row],[Month]],"/",calendar[[#This Row],[Year]])</f>
        <v>12/2023</v>
      </c>
      <c r="G2529">
        <f>WEEKDAY(calendar[[#This Row],[Date]],1)</f>
        <v>1</v>
      </c>
      <c r="H2529" t="str">
        <f>TEXT(calendar[[#This Row],[WeekDay]],"dddd")</f>
        <v>Sunday</v>
      </c>
      <c r="I2529">
        <f>IF((INT(calendar[[#This Row],[Count]]/7)-calendar[[#This Row],[Count]]/7)&lt;0,I2528,I2528+1)</f>
        <v>362</v>
      </c>
      <c r="J2529">
        <f t="shared" si="199"/>
        <v>2527</v>
      </c>
      <c r="K2529">
        <f>IF(calendar[[#This Row],[Month]]&lt;4,1,IF(calendar[[#This Row],[Month]]&lt;7,2,IF(calendar[[#This Row],[Month]]&lt;10,3,4)))</f>
        <v>4</v>
      </c>
      <c r="L2529">
        <f>IFERROR(IF(VLOOKUP(calendar[[#This Row],[Date]],BH!A:A,1,)&lt;&gt;"",1,0),0)</f>
        <v>0</v>
      </c>
      <c r="M2529">
        <f>IFERROR(IF(VLOOKUP(calendar[[#This Row],[Date]],BH!C:C,1,)&lt;&gt;"",1,0),0)</f>
        <v>0</v>
      </c>
      <c r="N2529">
        <f>IFERROR(IF(VLOOKUP(calendar[[#This Row],[Date]],BH!E:E,1,)&lt;&gt;"",1,0),0)</f>
        <v>0</v>
      </c>
      <c r="O2529">
        <f>IFERROR(IF(VLOOKUP(calendar[[#This Row],[Date]],BH!G:G,1,)&lt;&gt;"",1,0),0)</f>
        <v>0</v>
      </c>
      <c r="P2529">
        <f>IF(OR(calendar[[#This Row],[UK_BH]]=1,calendar[[#This Row],[WeekDay]]=1, calendar[[#This Row],[WeekDay]]=7),P2528,P2528+1)</f>
        <v>1805</v>
      </c>
      <c r="Q2529">
        <f>IF(OR(calendar[[#This Row],[FR_BH]]=1,calendar[[#This Row],[WeekDay]]=1, calendar[[#This Row],[WeekDay]]=7),P2528,P2528+1)</f>
        <v>1805</v>
      </c>
      <c r="R2529">
        <f>IF(OR(calendar[[#This Row],[SP_BH]]=1,calendar[[#This Row],[WeekDay]]=1, calendar[[#This Row],[WeekDay]]=7),P2528,P2528+1)</f>
        <v>1805</v>
      </c>
      <c r="S2529">
        <f>IF(OR(calendar[[#This Row],[PT_BH]]=1,calendar[[#This Row],[WeekDay]]=1, calendar[[#This Row],[WeekDay]]=7),P2528,P2528+1)</f>
        <v>1805</v>
      </c>
    </row>
    <row r="2530" spans="1:19" x14ac:dyDescent="0.25">
      <c r="A2530" s="2">
        <v>45264</v>
      </c>
      <c r="B2530" s="1">
        <f t="shared" si="198"/>
        <v>49</v>
      </c>
      <c r="C2530">
        <f t="shared" si="200"/>
        <v>12</v>
      </c>
      <c r="D2530" t="str">
        <f t="shared" si="201"/>
        <v>December</v>
      </c>
      <c r="E2530">
        <f t="shared" si="202"/>
        <v>2023</v>
      </c>
      <c r="F2530" t="str">
        <f>CONCATENATE(calendar[[#This Row],[Month]],"/",calendar[[#This Row],[Year]])</f>
        <v>12/2023</v>
      </c>
      <c r="G2530">
        <f>WEEKDAY(calendar[[#This Row],[Date]],1)</f>
        <v>2</v>
      </c>
      <c r="H2530" t="str">
        <f>TEXT(calendar[[#This Row],[WeekDay]],"dddd")</f>
        <v>Monday</v>
      </c>
      <c r="I2530">
        <f>IF((INT(calendar[[#This Row],[Count]]/7)-calendar[[#This Row],[Count]]/7)&lt;0,I2529,I2529+1)</f>
        <v>362</v>
      </c>
      <c r="J2530">
        <f t="shared" si="199"/>
        <v>2528</v>
      </c>
      <c r="K2530">
        <f>IF(calendar[[#This Row],[Month]]&lt;4,1,IF(calendar[[#This Row],[Month]]&lt;7,2,IF(calendar[[#This Row],[Month]]&lt;10,3,4)))</f>
        <v>4</v>
      </c>
      <c r="L2530">
        <f>IFERROR(IF(VLOOKUP(calendar[[#This Row],[Date]],BH!A:A,1,)&lt;&gt;"",1,0),0)</f>
        <v>0</v>
      </c>
      <c r="M2530">
        <f>IFERROR(IF(VLOOKUP(calendar[[#This Row],[Date]],BH!C:C,1,)&lt;&gt;"",1,0),0)</f>
        <v>0</v>
      </c>
      <c r="N2530">
        <f>IFERROR(IF(VLOOKUP(calendar[[#This Row],[Date]],BH!E:E,1,)&lt;&gt;"",1,0),0)</f>
        <v>0</v>
      </c>
      <c r="O2530">
        <f>IFERROR(IF(VLOOKUP(calendar[[#This Row],[Date]],BH!G:G,1,)&lt;&gt;"",1,0),0)</f>
        <v>0</v>
      </c>
      <c r="P2530">
        <f>IF(OR(calendar[[#This Row],[UK_BH]]=1,calendar[[#This Row],[WeekDay]]=1, calendar[[#This Row],[WeekDay]]=7),P2529,P2529+1)</f>
        <v>1806</v>
      </c>
      <c r="Q2530">
        <f>IF(OR(calendar[[#This Row],[FR_BH]]=1,calendar[[#This Row],[WeekDay]]=1, calendar[[#This Row],[WeekDay]]=7),P2529,P2529+1)</f>
        <v>1806</v>
      </c>
      <c r="R2530">
        <f>IF(OR(calendar[[#This Row],[SP_BH]]=1,calendar[[#This Row],[WeekDay]]=1, calendar[[#This Row],[WeekDay]]=7),P2529,P2529+1)</f>
        <v>1806</v>
      </c>
      <c r="S2530">
        <f>IF(OR(calendar[[#This Row],[PT_BH]]=1,calendar[[#This Row],[WeekDay]]=1, calendar[[#This Row],[WeekDay]]=7),P2529,P2529+1)</f>
        <v>1806</v>
      </c>
    </row>
    <row r="2531" spans="1:19" x14ac:dyDescent="0.25">
      <c r="A2531" s="2">
        <v>45265</v>
      </c>
      <c r="B2531" s="1">
        <f t="shared" si="198"/>
        <v>49</v>
      </c>
      <c r="C2531">
        <f t="shared" si="200"/>
        <v>12</v>
      </c>
      <c r="D2531" t="str">
        <f t="shared" si="201"/>
        <v>December</v>
      </c>
      <c r="E2531">
        <f t="shared" si="202"/>
        <v>2023</v>
      </c>
      <c r="F2531" t="str">
        <f>CONCATENATE(calendar[[#This Row],[Month]],"/",calendar[[#This Row],[Year]])</f>
        <v>12/2023</v>
      </c>
      <c r="G2531">
        <f>WEEKDAY(calendar[[#This Row],[Date]],1)</f>
        <v>3</v>
      </c>
      <c r="H2531" t="str">
        <f>TEXT(calendar[[#This Row],[WeekDay]],"dddd")</f>
        <v>Tuesday</v>
      </c>
      <c r="I2531">
        <f>IF((INT(calendar[[#This Row],[Count]]/7)-calendar[[#This Row],[Count]]/7)&lt;0,I2530,I2530+1)</f>
        <v>362</v>
      </c>
      <c r="J2531">
        <f t="shared" si="199"/>
        <v>2529</v>
      </c>
      <c r="K2531">
        <f>IF(calendar[[#This Row],[Month]]&lt;4,1,IF(calendar[[#This Row],[Month]]&lt;7,2,IF(calendar[[#This Row],[Month]]&lt;10,3,4)))</f>
        <v>4</v>
      </c>
      <c r="L2531">
        <f>IFERROR(IF(VLOOKUP(calendar[[#This Row],[Date]],BH!A:A,1,)&lt;&gt;"",1,0),0)</f>
        <v>0</v>
      </c>
      <c r="M2531">
        <f>IFERROR(IF(VLOOKUP(calendar[[#This Row],[Date]],BH!C:C,1,)&lt;&gt;"",1,0),0)</f>
        <v>0</v>
      </c>
      <c r="N2531">
        <f>IFERROR(IF(VLOOKUP(calendar[[#This Row],[Date]],BH!E:E,1,)&lt;&gt;"",1,0),0)</f>
        <v>0</v>
      </c>
      <c r="O2531">
        <f>IFERROR(IF(VLOOKUP(calendar[[#This Row],[Date]],BH!G:G,1,)&lt;&gt;"",1,0),0)</f>
        <v>0</v>
      </c>
      <c r="P2531">
        <f>IF(OR(calendar[[#This Row],[UK_BH]]=1,calendar[[#This Row],[WeekDay]]=1, calendar[[#This Row],[WeekDay]]=7),P2530,P2530+1)</f>
        <v>1807</v>
      </c>
      <c r="Q2531">
        <f>IF(OR(calendar[[#This Row],[FR_BH]]=1,calendar[[#This Row],[WeekDay]]=1, calendar[[#This Row],[WeekDay]]=7),P2530,P2530+1)</f>
        <v>1807</v>
      </c>
      <c r="R2531">
        <f>IF(OR(calendar[[#This Row],[SP_BH]]=1,calendar[[#This Row],[WeekDay]]=1, calendar[[#This Row],[WeekDay]]=7),P2530,P2530+1)</f>
        <v>1807</v>
      </c>
      <c r="S2531">
        <f>IF(OR(calendar[[#This Row],[PT_BH]]=1,calendar[[#This Row],[WeekDay]]=1, calendar[[#This Row],[WeekDay]]=7),P2530,P2530+1)</f>
        <v>1807</v>
      </c>
    </row>
    <row r="2532" spans="1:19" x14ac:dyDescent="0.25">
      <c r="A2532" s="2">
        <v>45266</v>
      </c>
      <c r="B2532" s="1">
        <f t="shared" si="198"/>
        <v>49</v>
      </c>
      <c r="C2532">
        <f t="shared" si="200"/>
        <v>12</v>
      </c>
      <c r="D2532" t="str">
        <f t="shared" si="201"/>
        <v>December</v>
      </c>
      <c r="E2532">
        <f t="shared" si="202"/>
        <v>2023</v>
      </c>
      <c r="F2532" t="str">
        <f>CONCATENATE(calendar[[#This Row],[Month]],"/",calendar[[#This Row],[Year]])</f>
        <v>12/2023</v>
      </c>
      <c r="G2532">
        <f>WEEKDAY(calendar[[#This Row],[Date]],1)</f>
        <v>4</v>
      </c>
      <c r="H2532" t="str">
        <f>TEXT(calendar[[#This Row],[WeekDay]],"dddd")</f>
        <v>Wednesday</v>
      </c>
      <c r="I2532">
        <f>IF((INT(calendar[[#This Row],[Count]]/7)-calendar[[#This Row],[Count]]/7)&lt;0,I2531,I2531+1)</f>
        <v>362</v>
      </c>
      <c r="J2532">
        <f t="shared" si="199"/>
        <v>2530</v>
      </c>
      <c r="K2532">
        <f>IF(calendar[[#This Row],[Month]]&lt;4,1,IF(calendar[[#This Row],[Month]]&lt;7,2,IF(calendar[[#This Row],[Month]]&lt;10,3,4)))</f>
        <v>4</v>
      </c>
      <c r="L2532">
        <f>IFERROR(IF(VLOOKUP(calendar[[#This Row],[Date]],BH!A:A,1,)&lt;&gt;"",1,0),0)</f>
        <v>0</v>
      </c>
      <c r="M2532">
        <f>IFERROR(IF(VLOOKUP(calendar[[#This Row],[Date]],BH!C:C,1,)&lt;&gt;"",1,0),0)</f>
        <v>0</v>
      </c>
      <c r="N2532">
        <f>IFERROR(IF(VLOOKUP(calendar[[#This Row],[Date]],BH!E:E,1,)&lt;&gt;"",1,0),0)</f>
        <v>0</v>
      </c>
      <c r="O2532">
        <f>IFERROR(IF(VLOOKUP(calendar[[#This Row],[Date]],BH!G:G,1,)&lt;&gt;"",1,0),0)</f>
        <v>0</v>
      </c>
      <c r="P2532">
        <f>IF(OR(calendar[[#This Row],[UK_BH]]=1,calendar[[#This Row],[WeekDay]]=1, calendar[[#This Row],[WeekDay]]=7),P2531,P2531+1)</f>
        <v>1808</v>
      </c>
      <c r="Q2532">
        <f>IF(OR(calendar[[#This Row],[FR_BH]]=1,calendar[[#This Row],[WeekDay]]=1, calendar[[#This Row],[WeekDay]]=7),P2531,P2531+1)</f>
        <v>1808</v>
      </c>
      <c r="R2532">
        <f>IF(OR(calendar[[#This Row],[SP_BH]]=1,calendar[[#This Row],[WeekDay]]=1, calendar[[#This Row],[WeekDay]]=7),P2531,P2531+1)</f>
        <v>1808</v>
      </c>
      <c r="S2532">
        <f>IF(OR(calendar[[#This Row],[PT_BH]]=1,calendar[[#This Row],[WeekDay]]=1, calendar[[#This Row],[WeekDay]]=7),P2531,P2531+1)</f>
        <v>1808</v>
      </c>
    </row>
    <row r="2533" spans="1:19" x14ac:dyDescent="0.25">
      <c r="A2533" s="2">
        <v>45267</v>
      </c>
      <c r="B2533" s="1">
        <f t="shared" si="198"/>
        <v>49</v>
      </c>
      <c r="C2533">
        <f t="shared" si="200"/>
        <v>12</v>
      </c>
      <c r="D2533" t="str">
        <f t="shared" si="201"/>
        <v>December</v>
      </c>
      <c r="E2533">
        <f t="shared" si="202"/>
        <v>2023</v>
      </c>
      <c r="F2533" t="str">
        <f>CONCATENATE(calendar[[#This Row],[Month]],"/",calendar[[#This Row],[Year]])</f>
        <v>12/2023</v>
      </c>
      <c r="G2533">
        <f>WEEKDAY(calendar[[#This Row],[Date]],1)</f>
        <v>5</v>
      </c>
      <c r="H2533" t="str">
        <f>TEXT(calendar[[#This Row],[WeekDay]],"dddd")</f>
        <v>Thursday</v>
      </c>
      <c r="I2533">
        <f>IF((INT(calendar[[#This Row],[Count]]/7)-calendar[[#This Row],[Count]]/7)&lt;0,I2532,I2532+1)</f>
        <v>362</v>
      </c>
      <c r="J2533">
        <f t="shared" si="199"/>
        <v>2531</v>
      </c>
      <c r="K2533">
        <f>IF(calendar[[#This Row],[Month]]&lt;4,1,IF(calendar[[#This Row],[Month]]&lt;7,2,IF(calendar[[#This Row],[Month]]&lt;10,3,4)))</f>
        <v>4</v>
      </c>
      <c r="L2533">
        <f>IFERROR(IF(VLOOKUP(calendar[[#This Row],[Date]],BH!A:A,1,)&lt;&gt;"",1,0),0)</f>
        <v>0</v>
      </c>
      <c r="M2533">
        <f>IFERROR(IF(VLOOKUP(calendar[[#This Row],[Date]],BH!C:C,1,)&lt;&gt;"",1,0),0)</f>
        <v>0</v>
      </c>
      <c r="N2533">
        <f>IFERROR(IF(VLOOKUP(calendar[[#This Row],[Date]],BH!E:E,1,)&lt;&gt;"",1,0),0)</f>
        <v>0</v>
      </c>
      <c r="O2533">
        <f>IFERROR(IF(VLOOKUP(calendar[[#This Row],[Date]],BH!G:G,1,)&lt;&gt;"",1,0),0)</f>
        <v>0</v>
      </c>
      <c r="P2533">
        <f>IF(OR(calendar[[#This Row],[UK_BH]]=1,calendar[[#This Row],[WeekDay]]=1, calendar[[#This Row],[WeekDay]]=7),P2532,P2532+1)</f>
        <v>1809</v>
      </c>
      <c r="Q2533">
        <f>IF(OR(calendar[[#This Row],[FR_BH]]=1,calendar[[#This Row],[WeekDay]]=1, calendar[[#This Row],[WeekDay]]=7),P2532,P2532+1)</f>
        <v>1809</v>
      </c>
      <c r="R2533">
        <f>IF(OR(calendar[[#This Row],[SP_BH]]=1,calendar[[#This Row],[WeekDay]]=1, calendar[[#This Row],[WeekDay]]=7),P2532,P2532+1)</f>
        <v>1809</v>
      </c>
      <c r="S2533">
        <f>IF(OR(calendar[[#This Row],[PT_BH]]=1,calendar[[#This Row],[WeekDay]]=1, calendar[[#This Row],[WeekDay]]=7),P2532,P2532+1)</f>
        <v>1809</v>
      </c>
    </row>
    <row r="2534" spans="1:19" x14ac:dyDescent="0.25">
      <c r="A2534" s="2">
        <v>45268</v>
      </c>
      <c r="B2534" s="1">
        <f t="shared" si="198"/>
        <v>49</v>
      </c>
      <c r="C2534">
        <f t="shared" si="200"/>
        <v>12</v>
      </c>
      <c r="D2534" t="str">
        <f t="shared" si="201"/>
        <v>December</v>
      </c>
      <c r="E2534">
        <f t="shared" si="202"/>
        <v>2023</v>
      </c>
      <c r="F2534" t="str">
        <f>CONCATENATE(calendar[[#This Row],[Month]],"/",calendar[[#This Row],[Year]])</f>
        <v>12/2023</v>
      </c>
      <c r="G2534">
        <f>WEEKDAY(calendar[[#This Row],[Date]],1)</f>
        <v>6</v>
      </c>
      <c r="H2534" t="str">
        <f>TEXT(calendar[[#This Row],[WeekDay]],"dddd")</f>
        <v>Friday</v>
      </c>
      <c r="I2534">
        <f>IF((INT(calendar[[#This Row],[Count]]/7)-calendar[[#This Row],[Count]]/7)&lt;0,I2533,I2533+1)</f>
        <v>362</v>
      </c>
      <c r="J2534">
        <f t="shared" si="199"/>
        <v>2532</v>
      </c>
      <c r="K2534">
        <f>IF(calendar[[#This Row],[Month]]&lt;4,1,IF(calendar[[#This Row],[Month]]&lt;7,2,IF(calendar[[#This Row],[Month]]&lt;10,3,4)))</f>
        <v>4</v>
      </c>
      <c r="L2534">
        <f>IFERROR(IF(VLOOKUP(calendar[[#This Row],[Date]],BH!A:A,1,)&lt;&gt;"",1,0),0)</f>
        <v>0</v>
      </c>
      <c r="M2534">
        <f>IFERROR(IF(VLOOKUP(calendar[[#This Row],[Date]],BH!C:C,1,)&lt;&gt;"",1,0),0)</f>
        <v>0</v>
      </c>
      <c r="N2534">
        <f>IFERROR(IF(VLOOKUP(calendar[[#This Row],[Date]],BH!E:E,1,)&lt;&gt;"",1,0),0)</f>
        <v>0</v>
      </c>
      <c r="O2534">
        <f>IFERROR(IF(VLOOKUP(calendar[[#This Row],[Date]],BH!G:G,1,)&lt;&gt;"",1,0),0)</f>
        <v>0</v>
      </c>
      <c r="P2534">
        <f>IF(OR(calendar[[#This Row],[UK_BH]]=1,calendar[[#This Row],[WeekDay]]=1, calendar[[#This Row],[WeekDay]]=7),P2533,P2533+1)</f>
        <v>1810</v>
      </c>
      <c r="Q2534">
        <f>IF(OR(calendar[[#This Row],[FR_BH]]=1,calendar[[#This Row],[WeekDay]]=1, calendar[[#This Row],[WeekDay]]=7),P2533,P2533+1)</f>
        <v>1810</v>
      </c>
      <c r="R2534">
        <f>IF(OR(calendar[[#This Row],[SP_BH]]=1,calendar[[#This Row],[WeekDay]]=1, calendar[[#This Row],[WeekDay]]=7),P2533,P2533+1)</f>
        <v>1810</v>
      </c>
      <c r="S2534">
        <f>IF(OR(calendar[[#This Row],[PT_BH]]=1,calendar[[#This Row],[WeekDay]]=1, calendar[[#This Row],[WeekDay]]=7),P2533,P2533+1)</f>
        <v>1810</v>
      </c>
    </row>
    <row r="2535" spans="1:19" x14ac:dyDescent="0.25">
      <c r="A2535" s="2">
        <v>45269</v>
      </c>
      <c r="B2535" s="1">
        <f t="shared" si="198"/>
        <v>49</v>
      </c>
      <c r="C2535">
        <f t="shared" si="200"/>
        <v>12</v>
      </c>
      <c r="D2535" t="str">
        <f t="shared" si="201"/>
        <v>December</v>
      </c>
      <c r="E2535">
        <f t="shared" si="202"/>
        <v>2023</v>
      </c>
      <c r="F2535" t="str">
        <f>CONCATENATE(calendar[[#This Row],[Month]],"/",calendar[[#This Row],[Year]])</f>
        <v>12/2023</v>
      </c>
      <c r="G2535">
        <f>WEEKDAY(calendar[[#This Row],[Date]],1)</f>
        <v>7</v>
      </c>
      <c r="H2535" t="str">
        <f>TEXT(calendar[[#This Row],[WeekDay]],"dddd")</f>
        <v>Saturday</v>
      </c>
      <c r="I2535">
        <f>IF((INT(calendar[[#This Row],[Count]]/7)-calendar[[#This Row],[Count]]/7)&lt;0,I2534,I2534+1)</f>
        <v>362</v>
      </c>
      <c r="J2535">
        <f t="shared" si="199"/>
        <v>2533</v>
      </c>
      <c r="K2535">
        <f>IF(calendar[[#This Row],[Month]]&lt;4,1,IF(calendar[[#This Row],[Month]]&lt;7,2,IF(calendar[[#This Row],[Month]]&lt;10,3,4)))</f>
        <v>4</v>
      </c>
      <c r="L2535">
        <f>IFERROR(IF(VLOOKUP(calendar[[#This Row],[Date]],BH!A:A,1,)&lt;&gt;"",1,0),0)</f>
        <v>0</v>
      </c>
      <c r="M2535">
        <f>IFERROR(IF(VLOOKUP(calendar[[#This Row],[Date]],BH!C:C,1,)&lt;&gt;"",1,0),0)</f>
        <v>0</v>
      </c>
      <c r="N2535">
        <f>IFERROR(IF(VLOOKUP(calendar[[#This Row],[Date]],BH!E:E,1,)&lt;&gt;"",1,0),0)</f>
        <v>0</v>
      </c>
      <c r="O2535">
        <f>IFERROR(IF(VLOOKUP(calendar[[#This Row],[Date]],BH!G:G,1,)&lt;&gt;"",1,0),0)</f>
        <v>0</v>
      </c>
      <c r="P2535">
        <f>IF(OR(calendar[[#This Row],[UK_BH]]=1,calendar[[#This Row],[WeekDay]]=1, calendar[[#This Row],[WeekDay]]=7),P2534,P2534+1)</f>
        <v>1810</v>
      </c>
      <c r="Q2535">
        <f>IF(OR(calendar[[#This Row],[FR_BH]]=1,calendar[[#This Row],[WeekDay]]=1, calendar[[#This Row],[WeekDay]]=7),P2534,P2534+1)</f>
        <v>1810</v>
      </c>
      <c r="R2535">
        <f>IF(OR(calendar[[#This Row],[SP_BH]]=1,calendar[[#This Row],[WeekDay]]=1, calendar[[#This Row],[WeekDay]]=7),P2534,P2534+1)</f>
        <v>1810</v>
      </c>
      <c r="S2535">
        <f>IF(OR(calendar[[#This Row],[PT_BH]]=1,calendar[[#This Row],[WeekDay]]=1, calendar[[#This Row],[WeekDay]]=7),P2534,P2534+1)</f>
        <v>1810</v>
      </c>
    </row>
    <row r="2536" spans="1:19" x14ac:dyDescent="0.25">
      <c r="A2536" s="2">
        <v>45270</v>
      </c>
      <c r="B2536" s="1">
        <f t="shared" si="198"/>
        <v>50</v>
      </c>
      <c r="C2536">
        <f t="shared" si="200"/>
        <v>12</v>
      </c>
      <c r="D2536" t="str">
        <f t="shared" si="201"/>
        <v>December</v>
      </c>
      <c r="E2536">
        <f t="shared" si="202"/>
        <v>2023</v>
      </c>
      <c r="F2536" t="str">
        <f>CONCATENATE(calendar[[#This Row],[Month]],"/",calendar[[#This Row],[Year]])</f>
        <v>12/2023</v>
      </c>
      <c r="G2536">
        <f>WEEKDAY(calendar[[#This Row],[Date]],1)</f>
        <v>1</v>
      </c>
      <c r="H2536" t="str">
        <f>TEXT(calendar[[#This Row],[WeekDay]],"dddd")</f>
        <v>Sunday</v>
      </c>
      <c r="I2536">
        <f>IF((INT(calendar[[#This Row],[Count]]/7)-calendar[[#This Row],[Count]]/7)&lt;0,I2535,I2535+1)</f>
        <v>363</v>
      </c>
      <c r="J2536">
        <f t="shared" si="199"/>
        <v>2534</v>
      </c>
      <c r="K2536">
        <f>IF(calendar[[#This Row],[Month]]&lt;4,1,IF(calendar[[#This Row],[Month]]&lt;7,2,IF(calendar[[#This Row],[Month]]&lt;10,3,4)))</f>
        <v>4</v>
      </c>
      <c r="L2536">
        <f>IFERROR(IF(VLOOKUP(calendar[[#This Row],[Date]],BH!A:A,1,)&lt;&gt;"",1,0),0)</f>
        <v>0</v>
      </c>
      <c r="M2536">
        <f>IFERROR(IF(VLOOKUP(calendar[[#This Row],[Date]],BH!C:C,1,)&lt;&gt;"",1,0),0)</f>
        <v>0</v>
      </c>
      <c r="N2536">
        <f>IFERROR(IF(VLOOKUP(calendar[[#This Row],[Date]],BH!E:E,1,)&lt;&gt;"",1,0),0)</f>
        <v>0</v>
      </c>
      <c r="O2536">
        <f>IFERROR(IF(VLOOKUP(calendar[[#This Row],[Date]],BH!G:G,1,)&lt;&gt;"",1,0),0)</f>
        <v>0</v>
      </c>
      <c r="P2536">
        <f>IF(OR(calendar[[#This Row],[UK_BH]]=1,calendar[[#This Row],[WeekDay]]=1, calendar[[#This Row],[WeekDay]]=7),P2535,P2535+1)</f>
        <v>1810</v>
      </c>
      <c r="Q2536">
        <f>IF(OR(calendar[[#This Row],[FR_BH]]=1,calendar[[#This Row],[WeekDay]]=1, calendar[[#This Row],[WeekDay]]=7),P2535,P2535+1)</f>
        <v>1810</v>
      </c>
      <c r="R2536">
        <f>IF(OR(calendar[[#This Row],[SP_BH]]=1,calendar[[#This Row],[WeekDay]]=1, calendar[[#This Row],[WeekDay]]=7),P2535,P2535+1)</f>
        <v>1810</v>
      </c>
      <c r="S2536">
        <f>IF(OR(calendar[[#This Row],[PT_BH]]=1,calendar[[#This Row],[WeekDay]]=1, calendar[[#This Row],[WeekDay]]=7),P2535,P2535+1)</f>
        <v>1810</v>
      </c>
    </row>
    <row r="2537" spans="1:19" x14ac:dyDescent="0.25">
      <c r="A2537" s="2">
        <v>45271</v>
      </c>
      <c r="B2537" s="1">
        <f t="shared" si="198"/>
        <v>50</v>
      </c>
      <c r="C2537">
        <f t="shared" si="200"/>
        <v>12</v>
      </c>
      <c r="D2537" t="str">
        <f t="shared" si="201"/>
        <v>December</v>
      </c>
      <c r="E2537">
        <f t="shared" si="202"/>
        <v>2023</v>
      </c>
      <c r="F2537" t="str">
        <f>CONCATENATE(calendar[[#This Row],[Month]],"/",calendar[[#This Row],[Year]])</f>
        <v>12/2023</v>
      </c>
      <c r="G2537">
        <f>WEEKDAY(calendar[[#This Row],[Date]],1)</f>
        <v>2</v>
      </c>
      <c r="H2537" t="str">
        <f>TEXT(calendar[[#This Row],[WeekDay]],"dddd")</f>
        <v>Monday</v>
      </c>
      <c r="I2537">
        <f>IF((INT(calendar[[#This Row],[Count]]/7)-calendar[[#This Row],[Count]]/7)&lt;0,I2536,I2536+1)</f>
        <v>363</v>
      </c>
      <c r="J2537">
        <f t="shared" si="199"/>
        <v>2535</v>
      </c>
      <c r="K2537">
        <f>IF(calendar[[#This Row],[Month]]&lt;4,1,IF(calendar[[#This Row],[Month]]&lt;7,2,IF(calendar[[#This Row],[Month]]&lt;10,3,4)))</f>
        <v>4</v>
      </c>
      <c r="L2537">
        <f>IFERROR(IF(VLOOKUP(calendar[[#This Row],[Date]],BH!A:A,1,)&lt;&gt;"",1,0),0)</f>
        <v>0</v>
      </c>
      <c r="M2537">
        <f>IFERROR(IF(VLOOKUP(calendar[[#This Row],[Date]],BH!C:C,1,)&lt;&gt;"",1,0),0)</f>
        <v>0</v>
      </c>
      <c r="N2537">
        <f>IFERROR(IF(VLOOKUP(calendar[[#This Row],[Date]],BH!E:E,1,)&lt;&gt;"",1,0),0)</f>
        <v>0</v>
      </c>
      <c r="O2537">
        <f>IFERROR(IF(VLOOKUP(calendar[[#This Row],[Date]],BH!G:G,1,)&lt;&gt;"",1,0),0)</f>
        <v>0</v>
      </c>
      <c r="P2537">
        <f>IF(OR(calendar[[#This Row],[UK_BH]]=1,calendar[[#This Row],[WeekDay]]=1, calendar[[#This Row],[WeekDay]]=7),P2536,P2536+1)</f>
        <v>1811</v>
      </c>
      <c r="Q2537">
        <f>IF(OR(calendar[[#This Row],[FR_BH]]=1,calendar[[#This Row],[WeekDay]]=1, calendar[[#This Row],[WeekDay]]=7),P2536,P2536+1)</f>
        <v>1811</v>
      </c>
      <c r="R2537">
        <f>IF(OR(calendar[[#This Row],[SP_BH]]=1,calendar[[#This Row],[WeekDay]]=1, calendar[[#This Row],[WeekDay]]=7),P2536,P2536+1)</f>
        <v>1811</v>
      </c>
      <c r="S2537">
        <f>IF(OR(calendar[[#This Row],[PT_BH]]=1,calendar[[#This Row],[WeekDay]]=1, calendar[[#This Row],[WeekDay]]=7),P2536,P2536+1)</f>
        <v>1811</v>
      </c>
    </row>
    <row r="2538" spans="1:19" x14ac:dyDescent="0.25">
      <c r="A2538" s="2">
        <v>45272</v>
      </c>
      <c r="B2538" s="1">
        <f t="shared" si="198"/>
        <v>50</v>
      </c>
      <c r="C2538">
        <f t="shared" si="200"/>
        <v>12</v>
      </c>
      <c r="D2538" t="str">
        <f t="shared" si="201"/>
        <v>December</v>
      </c>
      <c r="E2538">
        <f t="shared" si="202"/>
        <v>2023</v>
      </c>
      <c r="F2538" t="str">
        <f>CONCATENATE(calendar[[#This Row],[Month]],"/",calendar[[#This Row],[Year]])</f>
        <v>12/2023</v>
      </c>
      <c r="G2538">
        <f>WEEKDAY(calendar[[#This Row],[Date]],1)</f>
        <v>3</v>
      </c>
      <c r="H2538" t="str">
        <f>TEXT(calendar[[#This Row],[WeekDay]],"dddd")</f>
        <v>Tuesday</v>
      </c>
      <c r="I2538">
        <f>IF((INT(calendar[[#This Row],[Count]]/7)-calendar[[#This Row],[Count]]/7)&lt;0,I2537,I2537+1)</f>
        <v>363</v>
      </c>
      <c r="J2538">
        <f t="shared" si="199"/>
        <v>2536</v>
      </c>
      <c r="K2538">
        <f>IF(calendar[[#This Row],[Month]]&lt;4,1,IF(calendar[[#This Row],[Month]]&lt;7,2,IF(calendar[[#This Row],[Month]]&lt;10,3,4)))</f>
        <v>4</v>
      </c>
      <c r="L2538">
        <f>IFERROR(IF(VLOOKUP(calendar[[#This Row],[Date]],BH!A:A,1,)&lt;&gt;"",1,0),0)</f>
        <v>0</v>
      </c>
      <c r="M2538">
        <f>IFERROR(IF(VLOOKUP(calendar[[#This Row],[Date]],BH!C:C,1,)&lt;&gt;"",1,0),0)</f>
        <v>0</v>
      </c>
      <c r="N2538">
        <f>IFERROR(IF(VLOOKUP(calendar[[#This Row],[Date]],BH!E:E,1,)&lt;&gt;"",1,0),0)</f>
        <v>0</v>
      </c>
      <c r="O2538">
        <f>IFERROR(IF(VLOOKUP(calendar[[#This Row],[Date]],BH!G:G,1,)&lt;&gt;"",1,0),0)</f>
        <v>0</v>
      </c>
      <c r="P2538">
        <f>IF(OR(calendar[[#This Row],[UK_BH]]=1,calendar[[#This Row],[WeekDay]]=1, calendar[[#This Row],[WeekDay]]=7),P2537,P2537+1)</f>
        <v>1812</v>
      </c>
      <c r="Q2538">
        <f>IF(OR(calendar[[#This Row],[FR_BH]]=1,calendar[[#This Row],[WeekDay]]=1, calendar[[#This Row],[WeekDay]]=7),P2537,P2537+1)</f>
        <v>1812</v>
      </c>
      <c r="R2538">
        <f>IF(OR(calendar[[#This Row],[SP_BH]]=1,calendar[[#This Row],[WeekDay]]=1, calendar[[#This Row],[WeekDay]]=7),P2537,P2537+1)</f>
        <v>1812</v>
      </c>
      <c r="S2538">
        <f>IF(OR(calendar[[#This Row],[PT_BH]]=1,calendar[[#This Row],[WeekDay]]=1, calendar[[#This Row],[WeekDay]]=7),P2537,P2537+1)</f>
        <v>1812</v>
      </c>
    </row>
    <row r="2539" spans="1:19" x14ac:dyDescent="0.25">
      <c r="A2539" s="2">
        <v>45273</v>
      </c>
      <c r="B2539" s="1">
        <f t="shared" si="198"/>
        <v>50</v>
      </c>
      <c r="C2539">
        <f t="shared" si="200"/>
        <v>12</v>
      </c>
      <c r="D2539" t="str">
        <f t="shared" si="201"/>
        <v>December</v>
      </c>
      <c r="E2539">
        <f t="shared" si="202"/>
        <v>2023</v>
      </c>
      <c r="F2539" t="str">
        <f>CONCATENATE(calendar[[#This Row],[Month]],"/",calendar[[#This Row],[Year]])</f>
        <v>12/2023</v>
      </c>
      <c r="G2539">
        <f>WEEKDAY(calendar[[#This Row],[Date]],1)</f>
        <v>4</v>
      </c>
      <c r="H2539" t="str">
        <f>TEXT(calendar[[#This Row],[WeekDay]],"dddd")</f>
        <v>Wednesday</v>
      </c>
      <c r="I2539">
        <f>IF((INT(calendar[[#This Row],[Count]]/7)-calendar[[#This Row],[Count]]/7)&lt;0,I2538,I2538+1)</f>
        <v>363</v>
      </c>
      <c r="J2539">
        <f t="shared" si="199"/>
        <v>2537</v>
      </c>
      <c r="K2539">
        <f>IF(calendar[[#This Row],[Month]]&lt;4,1,IF(calendar[[#This Row],[Month]]&lt;7,2,IF(calendar[[#This Row],[Month]]&lt;10,3,4)))</f>
        <v>4</v>
      </c>
      <c r="L2539">
        <f>IFERROR(IF(VLOOKUP(calendar[[#This Row],[Date]],BH!A:A,1,)&lt;&gt;"",1,0),0)</f>
        <v>0</v>
      </c>
      <c r="M2539">
        <f>IFERROR(IF(VLOOKUP(calendar[[#This Row],[Date]],BH!C:C,1,)&lt;&gt;"",1,0),0)</f>
        <v>0</v>
      </c>
      <c r="N2539">
        <f>IFERROR(IF(VLOOKUP(calendar[[#This Row],[Date]],BH!E:E,1,)&lt;&gt;"",1,0),0)</f>
        <v>0</v>
      </c>
      <c r="O2539">
        <f>IFERROR(IF(VLOOKUP(calendar[[#This Row],[Date]],BH!G:G,1,)&lt;&gt;"",1,0),0)</f>
        <v>0</v>
      </c>
      <c r="P2539">
        <f>IF(OR(calendar[[#This Row],[UK_BH]]=1,calendar[[#This Row],[WeekDay]]=1, calendar[[#This Row],[WeekDay]]=7),P2538,P2538+1)</f>
        <v>1813</v>
      </c>
      <c r="Q2539">
        <f>IF(OR(calendar[[#This Row],[FR_BH]]=1,calendar[[#This Row],[WeekDay]]=1, calendar[[#This Row],[WeekDay]]=7),P2538,P2538+1)</f>
        <v>1813</v>
      </c>
      <c r="R2539">
        <f>IF(OR(calendar[[#This Row],[SP_BH]]=1,calendar[[#This Row],[WeekDay]]=1, calendar[[#This Row],[WeekDay]]=7),P2538,P2538+1)</f>
        <v>1813</v>
      </c>
      <c r="S2539">
        <f>IF(OR(calendar[[#This Row],[PT_BH]]=1,calendar[[#This Row],[WeekDay]]=1, calendar[[#This Row],[WeekDay]]=7),P2538,P2538+1)</f>
        <v>1813</v>
      </c>
    </row>
    <row r="2540" spans="1:19" x14ac:dyDescent="0.25">
      <c r="A2540" s="2">
        <v>45274</v>
      </c>
      <c r="B2540" s="1">
        <f t="shared" si="198"/>
        <v>50</v>
      </c>
      <c r="C2540">
        <f t="shared" si="200"/>
        <v>12</v>
      </c>
      <c r="D2540" t="str">
        <f t="shared" si="201"/>
        <v>December</v>
      </c>
      <c r="E2540">
        <f t="shared" si="202"/>
        <v>2023</v>
      </c>
      <c r="F2540" t="str">
        <f>CONCATENATE(calendar[[#This Row],[Month]],"/",calendar[[#This Row],[Year]])</f>
        <v>12/2023</v>
      </c>
      <c r="G2540">
        <f>WEEKDAY(calendar[[#This Row],[Date]],1)</f>
        <v>5</v>
      </c>
      <c r="H2540" t="str">
        <f>TEXT(calendar[[#This Row],[WeekDay]],"dddd")</f>
        <v>Thursday</v>
      </c>
      <c r="I2540">
        <f>IF((INT(calendar[[#This Row],[Count]]/7)-calendar[[#This Row],[Count]]/7)&lt;0,I2539,I2539+1)</f>
        <v>363</v>
      </c>
      <c r="J2540">
        <f t="shared" si="199"/>
        <v>2538</v>
      </c>
      <c r="K2540">
        <f>IF(calendar[[#This Row],[Month]]&lt;4,1,IF(calendar[[#This Row],[Month]]&lt;7,2,IF(calendar[[#This Row],[Month]]&lt;10,3,4)))</f>
        <v>4</v>
      </c>
      <c r="L2540">
        <f>IFERROR(IF(VLOOKUP(calendar[[#This Row],[Date]],BH!A:A,1,)&lt;&gt;"",1,0),0)</f>
        <v>0</v>
      </c>
      <c r="M2540">
        <f>IFERROR(IF(VLOOKUP(calendar[[#This Row],[Date]],BH!C:C,1,)&lt;&gt;"",1,0),0)</f>
        <v>0</v>
      </c>
      <c r="N2540">
        <f>IFERROR(IF(VLOOKUP(calendar[[#This Row],[Date]],BH!E:E,1,)&lt;&gt;"",1,0),0)</f>
        <v>0</v>
      </c>
      <c r="O2540">
        <f>IFERROR(IF(VLOOKUP(calendar[[#This Row],[Date]],BH!G:G,1,)&lt;&gt;"",1,0),0)</f>
        <v>0</v>
      </c>
      <c r="P2540">
        <f>IF(OR(calendar[[#This Row],[UK_BH]]=1,calendar[[#This Row],[WeekDay]]=1, calendar[[#This Row],[WeekDay]]=7),P2539,P2539+1)</f>
        <v>1814</v>
      </c>
      <c r="Q2540">
        <f>IF(OR(calendar[[#This Row],[FR_BH]]=1,calendar[[#This Row],[WeekDay]]=1, calendar[[#This Row],[WeekDay]]=7),P2539,P2539+1)</f>
        <v>1814</v>
      </c>
      <c r="R2540">
        <f>IF(OR(calendar[[#This Row],[SP_BH]]=1,calendar[[#This Row],[WeekDay]]=1, calendar[[#This Row],[WeekDay]]=7),P2539,P2539+1)</f>
        <v>1814</v>
      </c>
      <c r="S2540">
        <f>IF(OR(calendar[[#This Row],[PT_BH]]=1,calendar[[#This Row],[WeekDay]]=1, calendar[[#This Row],[WeekDay]]=7),P2539,P2539+1)</f>
        <v>1814</v>
      </c>
    </row>
    <row r="2541" spans="1:19" x14ac:dyDescent="0.25">
      <c r="A2541" s="2">
        <v>45275</v>
      </c>
      <c r="B2541" s="1">
        <f t="shared" si="198"/>
        <v>50</v>
      </c>
      <c r="C2541">
        <f t="shared" si="200"/>
        <v>12</v>
      </c>
      <c r="D2541" t="str">
        <f t="shared" si="201"/>
        <v>December</v>
      </c>
      <c r="E2541">
        <f t="shared" si="202"/>
        <v>2023</v>
      </c>
      <c r="F2541" t="str">
        <f>CONCATENATE(calendar[[#This Row],[Month]],"/",calendar[[#This Row],[Year]])</f>
        <v>12/2023</v>
      </c>
      <c r="G2541">
        <f>WEEKDAY(calendar[[#This Row],[Date]],1)</f>
        <v>6</v>
      </c>
      <c r="H2541" t="str">
        <f>TEXT(calendar[[#This Row],[WeekDay]],"dddd")</f>
        <v>Friday</v>
      </c>
      <c r="I2541">
        <f>IF((INT(calendar[[#This Row],[Count]]/7)-calendar[[#This Row],[Count]]/7)&lt;0,I2540,I2540+1)</f>
        <v>363</v>
      </c>
      <c r="J2541">
        <f t="shared" si="199"/>
        <v>2539</v>
      </c>
      <c r="K2541">
        <f>IF(calendar[[#This Row],[Month]]&lt;4,1,IF(calendar[[#This Row],[Month]]&lt;7,2,IF(calendar[[#This Row],[Month]]&lt;10,3,4)))</f>
        <v>4</v>
      </c>
      <c r="L2541">
        <f>IFERROR(IF(VLOOKUP(calendar[[#This Row],[Date]],BH!A:A,1,)&lt;&gt;"",1,0),0)</f>
        <v>0</v>
      </c>
      <c r="M2541">
        <f>IFERROR(IF(VLOOKUP(calendar[[#This Row],[Date]],BH!C:C,1,)&lt;&gt;"",1,0),0)</f>
        <v>0</v>
      </c>
      <c r="N2541">
        <f>IFERROR(IF(VLOOKUP(calendar[[#This Row],[Date]],BH!E:E,1,)&lt;&gt;"",1,0),0)</f>
        <v>0</v>
      </c>
      <c r="O2541">
        <f>IFERROR(IF(VLOOKUP(calendar[[#This Row],[Date]],BH!G:G,1,)&lt;&gt;"",1,0),0)</f>
        <v>0</v>
      </c>
      <c r="P2541">
        <f>IF(OR(calendar[[#This Row],[UK_BH]]=1,calendar[[#This Row],[WeekDay]]=1, calendar[[#This Row],[WeekDay]]=7),P2540,P2540+1)</f>
        <v>1815</v>
      </c>
      <c r="Q2541">
        <f>IF(OR(calendar[[#This Row],[FR_BH]]=1,calendar[[#This Row],[WeekDay]]=1, calendar[[#This Row],[WeekDay]]=7),P2540,P2540+1)</f>
        <v>1815</v>
      </c>
      <c r="R2541">
        <f>IF(OR(calendar[[#This Row],[SP_BH]]=1,calendar[[#This Row],[WeekDay]]=1, calendar[[#This Row],[WeekDay]]=7),P2540,P2540+1)</f>
        <v>1815</v>
      </c>
      <c r="S2541">
        <f>IF(OR(calendar[[#This Row],[PT_BH]]=1,calendar[[#This Row],[WeekDay]]=1, calendar[[#This Row],[WeekDay]]=7),P2540,P2540+1)</f>
        <v>1815</v>
      </c>
    </row>
    <row r="2542" spans="1:19" x14ac:dyDescent="0.25">
      <c r="A2542" s="2">
        <v>45276</v>
      </c>
      <c r="B2542" s="1">
        <f t="shared" si="198"/>
        <v>50</v>
      </c>
      <c r="C2542">
        <f t="shared" si="200"/>
        <v>12</v>
      </c>
      <c r="D2542" t="str">
        <f t="shared" si="201"/>
        <v>December</v>
      </c>
      <c r="E2542">
        <f t="shared" si="202"/>
        <v>2023</v>
      </c>
      <c r="F2542" t="str">
        <f>CONCATENATE(calendar[[#This Row],[Month]],"/",calendar[[#This Row],[Year]])</f>
        <v>12/2023</v>
      </c>
      <c r="G2542">
        <f>WEEKDAY(calendar[[#This Row],[Date]],1)</f>
        <v>7</v>
      </c>
      <c r="H2542" t="str">
        <f>TEXT(calendar[[#This Row],[WeekDay]],"dddd")</f>
        <v>Saturday</v>
      </c>
      <c r="I2542">
        <f>IF((INT(calendar[[#This Row],[Count]]/7)-calendar[[#This Row],[Count]]/7)&lt;0,I2541,I2541+1)</f>
        <v>363</v>
      </c>
      <c r="J2542">
        <f t="shared" si="199"/>
        <v>2540</v>
      </c>
      <c r="K2542">
        <f>IF(calendar[[#This Row],[Month]]&lt;4,1,IF(calendar[[#This Row],[Month]]&lt;7,2,IF(calendar[[#This Row],[Month]]&lt;10,3,4)))</f>
        <v>4</v>
      </c>
      <c r="L2542">
        <f>IFERROR(IF(VLOOKUP(calendar[[#This Row],[Date]],BH!A:A,1,)&lt;&gt;"",1,0),0)</f>
        <v>0</v>
      </c>
      <c r="M2542">
        <f>IFERROR(IF(VLOOKUP(calendar[[#This Row],[Date]],BH!C:C,1,)&lt;&gt;"",1,0),0)</f>
        <v>0</v>
      </c>
      <c r="N2542">
        <f>IFERROR(IF(VLOOKUP(calendar[[#This Row],[Date]],BH!E:E,1,)&lt;&gt;"",1,0),0)</f>
        <v>0</v>
      </c>
      <c r="O2542">
        <f>IFERROR(IF(VLOOKUP(calendar[[#This Row],[Date]],BH!G:G,1,)&lt;&gt;"",1,0),0)</f>
        <v>0</v>
      </c>
      <c r="P2542">
        <f>IF(OR(calendar[[#This Row],[UK_BH]]=1,calendar[[#This Row],[WeekDay]]=1, calendar[[#This Row],[WeekDay]]=7),P2541,P2541+1)</f>
        <v>1815</v>
      </c>
      <c r="Q2542">
        <f>IF(OR(calendar[[#This Row],[FR_BH]]=1,calendar[[#This Row],[WeekDay]]=1, calendar[[#This Row],[WeekDay]]=7),P2541,P2541+1)</f>
        <v>1815</v>
      </c>
      <c r="R2542">
        <f>IF(OR(calendar[[#This Row],[SP_BH]]=1,calendar[[#This Row],[WeekDay]]=1, calendar[[#This Row],[WeekDay]]=7),P2541,P2541+1)</f>
        <v>1815</v>
      </c>
      <c r="S2542">
        <f>IF(OR(calendar[[#This Row],[PT_BH]]=1,calendar[[#This Row],[WeekDay]]=1, calendar[[#This Row],[WeekDay]]=7),P2541,P2541+1)</f>
        <v>1815</v>
      </c>
    </row>
    <row r="2543" spans="1:19" x14ac:dyDescent="0.25">
      <c r="A2543" s="2">
        <v>45277</v>
      </c>
      <c r="B2543" s="1">
        <f t="shared" si="198"/>
        <v>51</v>
      </c>
      <c r="C2543">
        <f t="shared" si="200"/>
        <v>12</v>
      </c>
      <c r="D2543" t="str">
        <f t="shared" si="201"/>
        <v>December</v>
      </c>
      <c r="E2543">
        <f t="shared" si="202"/>
        <v>2023</v>
      </c>
      <c r="F2543" t="str">
        <f>CONCATENATE(calendar[[#This Row],[Month]],"/",calendar[[#This Row],[Year]])</f>
        <v>12/2023</v>
      </c>
      <c r="G2543">
        <f>WEEKDAY(calendar[[#This Row],[Date]],1)</f>
        <v>1</v>
      </c>
      <c r="H2543" t="str">
        <f>TEXT(calendar[[#This Row],[WeekDay]],"dddd")</f>
        <v>Sunday</v>
      </c>
      <c r="I2543">
        <f>IF((INT(calendar[[#This Row],[Count]]/7)-calendar[[#This Row],[Count]]/7)&lt;0,I2542,I2542+1)</f>
        <v>364</v>
      </c>
      <c r="J2543">
        <f t="shared" si="199"/>
        <v>2541</v>
      </c>
      <c r="K2543">
        <f>IF(calendar[[#This Row],[Month]]&lt;4,1,IF(calendar[[#This Row],[Month]]&lt;7,2,IF(calendar[[#This Row],[Month]]&lt;10,3,4)))</f>
        <v>4</v>
      </c>
      <c r="L2543">
        <f>IFERROR(IF(VLOOKUP(calendar[[#This Row],[Date]],BH!A:A,1,)&lt;&gt;"",1,0),0)</f>
        <v>0</v>
      </c>
      <c r="M2543">
        <f>IFERROR(IF(VLOOKUP(calendar[[#This Row],[Date]],BH!C:C,1,)&lt;&gt;"",1,0),0)</f>
        <v>0</v>
      </c>
      <c r="N2543">
        <f>IFERROR(IF(VLOOKUP(calendar[[#This Row],[Date]],BH!E:E,1,)&lt;&gt;"",1,0),0)</f>
        <v>0</v>
      </c>
      <c r="O2543">
        <f>IFERROR(IF(VLOOKUP(calendar[[#This Row],[Date]],BH!G:G,1,)&lt;&gt;"",1,0),0)</f>
        <v>0</v>
      </c>
      <c r="P2543">
        <f>IF(OR(calendar[[#This Row],[UK_BH]]=1,calendar[[#This Row],[WeekDay]]=1, calendar[[#This Row],[WeekDay]]=7),P2542,P2542+1)</f>
        <v>1815</v>
      </c>
      <c r="Q2543">
        <f>IF(OR(calendar[[#This Row],[FR_BH]]=1,calendar[[#This Row],[WeekDay]]=1, calendar[[#This Row],[WeekDay]]=7),P2542,P2542+1)</f>
        <v>1815</v>
      </c>
      <c r="R2543">
        <f>IF(OR(calendar[[#This Row],[SP_BH]]=1,calendar[[#This Row],[WeekDay]]=1, calendar[[#This Row],[WeekDay]]=7),P2542,P2542+1)</f>
        <v>1815</v>
      </c>
      <c r="S2543">
        <f>IF(OR(calendar[[#This Row],[PT_BH]]=1,calendar[[#This Row],[WeekDay]]=1, calendar[[#This Row],[WeekDay]]=7),P2542,P2542+1)</f>
        <v>1815</v>
      </c>
    </row>
    <row r="2544" spans="1:19" x14ac:dyDescent="0.25">
      <c r="A2544" s="2">
        <v>45278</v>
      </c>
      <c r="B2544" s="1">
        <f t="shared" si="198"/>
        <v>51</v>
      </c>
      <c r="C2544">
        <f t="shared" si="200"/>
        <v>12</v>
      </c>
      <c r="D2544" t="str">
        <f t="shared" si="201"/>
        <v>December</v>
      </c>
      <c r="E2544">
        <f t="shared" si="202"/>
        <v>2023</v>
      </c>
      <c r="F2544" t="str">
        <f>CONCATENATE(calendar[[#This Row],[Month]],"/",calendar[[#This Row],[Year]])</f>
        <v>12/2023</v>
      </c>
      <c r="G2544">
        <f>WEEKDAY(calendar[[#This Row],[Date]],1)</f>
        <v>2</v>
      </c>
      <c r="H2544" t="str">
        <f>TEXT(calendar[[#This Row],[WeekDay]],"dddd")</f>
        <v>Monday</v>
      </c>
      <c r="I2544">
        <f>IF((INT(calendar[[#This Row],[Count]]/7)-calendar[[#This Row],[Count]]/7)&lt;0,I2543,I2543+1)</f>
        <v>364</v>
      </c>
      <c r="J2544">
        <f t="shared" si="199"/>
        <v>2542</v>
      </c>
      <c r="K2544">
        <f>IF(calendar[[#This Row],[Month]]&lt;4,1,IF(calendar[[#This Row],[Month]]&lt;7,2,IF(calendar[[#This Row],[Month]]&lt;10,3,4)))</f>
        <v>4</v>
      </c>
      <c r="L2544">
        <f>IFERROR(IF(VLOOKUP(calendar[[#This Row],[Date]],BH!A:A,1,)&lt;&gt;"",1,0),0)</f>
        <v>0</v>
      </c>
      <c r="M2544">
        <f>IFERROR(IF(VLOOKUP(calendar[[#This Row],[Date]],BH!C:C,1,)&lt;&gt;"",1,0),0)</f>
        <v>0</v>
      </c>
      <c r="N2544">
        <f>IFERROR(IF(VLOOKUP(calendar[[#This Row],[Date]],BH!E:E,1,)&lt;&gt;"",1,0),0)</f>
        <v>0</v>
      </c>
      <c r="O2544">
        <f>IFERROR(IF(VLOOKUP(calendar[[#This Row],[Date]],BH!G:G,1,)&lt;&gt;"",1,0),0)</f>
        <v>0</v>
      </c>
      <c r="P2544">
        <f>IF(OR(calendar[[#This Row],[UK_BH]]=1,calendar[[#This Row],[WeekDay]]=1, calendar[[#This Row],[WeekDay]]=7),P2543,P2543+1)</f>
        <v>1816</v>
      </c>
      <c r="Q2544">
        <f>IF(OR(calendar[[#This Row],[FR_BH]]=1,calendar[[#This Row],[WeekDay]]=1, calendar[[#This Row],[WeekDay]]=7),P2543,P2543+1)</f>
        <v>1816</v>
      </c>
      <c r="R2544">
        <f>IF(OR(calendar[[#This Row],[SP_BH]]=1,calendar[[#This Row],[WeekDay]]=1, calendar[[#This Row],[WeekDay]]=7),P2543,P2543+1)</f>
        <v>1816</v>
      </c>
      <c r="S2544">
        <f>IF(OR(calendar[[#This Row],[PT_BH]]=1,calendar[[#This Row],[WeekDay]]=1, calendar[[#This Row],[WeekDay]]=7),P2543,P2543+1)</f>
        <v>1816</v>
      </c>
    </row>
    <row r="2545" spans="1:19" x14ac:dyDescent="0.25">
      <c r="A2545" s="2">
        <v>45279</v>
      </c>
      <c r="B2545" s="1">
        <f t="shared" si="198"/>
        <v>51</v>
      </c>
      <c r="C2545">
        <f t="shared" si="200"/>
        <v>12</v>
      </c>
      <c r="D2545" t="str">
        <f t="shared" si="201"/>
        <v>December</v>
      </c>
      <c r="E2545">
        <f t="shared" si="202"/>
        <v>2023</v>
      </c>
      <c r="F2545" t="str">
        <f>CONCATENATE(calendar[[#This Row],[Month]],"/",calendar[[#This Row],[Year]])</f>
        <v>12/2023</v>
      </c>
      <c r="G2545">
        <f>WEEKDAY(calendar[[#This Row],[Date]],1)</f>
        <v>3</v>
      </c>
      <c r="H2545" t="str">
        <f>TEXT(calendar[[#This Row],[WeekDay]],"dddd")</f>
        <v>Tuesday</v>
      </c>
      <c r="I2545">
        <f>IF((INT(calendar[[#This Row],[Count]]/7)-calendar[[#This Row],[Count]]/7)&lt;0,I2544,I2544+1)</f>
        <v>364</v>
      </c>
      <c r="J2545">
        <f t="shared" si="199"/>
        <v>2543</v>
      </c>
      <c r="K2545">
        <f>IF(calendar[[#This Row],[Month]]&lt;4,1,IF(calendar[[#This Row],[Month]]&lt;7,2,IF(calendar[[#This Row],[Month]]&lt;10,3,4)))</f>
        <v>4</v>
      </c>
      <c r="L2545">
        <f>IFERROR(IF(VLOOKUP(calendar[[#This Row],[Date]],BH!A:A,1,)&lt;&gt;"",1,0),0)</f>
        <v>0</v>
      </c>
      <c r="M2545">
        <f>IFERROR(IF(VLOOKUP(calendar[[#This Row],[Date]],BH!C:C,1,)&lt;&gt;"",1,0),0)</f>
        <v>0</v>
      </c>
      <c r="N2545">
        <f>IFERROR(IF(VLOOKUP(calendar[[#This Row],[Date]],BH!E:E,1,)&lt;&gt;"",1,0),0)</f>
        <v>0</v>
      </c>
      <c r="O2545">
        <f>IFERROR(IF(VLOOKUP(calendar[[#This Row],[Date]],BH!G:G,1,)&lt;&gt;"",1,0),0)</f>
        <v>0</v>
      </c>
      <c r="P2545">
        <f>IF(OR(calendar[[#This Row],[UK_BH]]=1,calendar[[#This Row],[WeekDay]]=1, calendar[[#This Row],[WeekDay]]=7),P2544,P2544+1)</f>
        <v>1817</v>
      </c>
      <c r="Q2545">
        <f>IF(OR(calendar[[#This Row],[FR_BH]]=1,calendar[[#This Row],[WeekDay]]=1, calendar[[#This Row],[WeekDay]]=7),P2544,P2544+1)</f>
        <v>1817</v>
      </c>
      <c r="R2545">
        <f>IF(OR(calendar[[#This Row],[SP_BH]]=1,calendar[[#This Row],[WeekDay]]=1, calendar[[#This Row],[WeekDay]]=7),P2544,P2544+1)</f>
        <v>1817</v>
      </c>
      <c r="S2545">
        <f>IF(OR(calendar[[#This Row],[PT_BH]]=1,calendar[[#This Row],[WeekDay]]=1, calendar[[#This Row],[WeekDay]]=7),P2544,P2544+1)</f>
        <v>1817</v>
      </c>
    </row>
    <row r="2546" spans="1:19" x14ac:dyDescent="0.25">
      <c r="A2546" s="2">
        <v>45280</v>
      </c>
      <c r="B2546" s="1">
        <f t="shared" si="198"/>
        <v>51</v>
      </c>
      <c r="C2546">
        <f t="shared" si="200"/>
        <v>12</v>
      </c>
      <c r="D2546" t="str">
        <f t="shared" si="201"/>
        <v>December</v>
      </c>
      <c r="E2546">
        <f t="shared" si="202"/>
        <v>2023</v>
      </c>
      <c r="F2546" t="str">
        <f>CONCATENATE(calendar[[#This Row],[Month]],"/",calendar[[#This Row],[Year]])</f>
        <v>12/2023</v>
      </c>
      <c r="G2546">
        <f>WEEKDAY(calendar[[#This Row],[Date]],1)</f>
        <v>4</v>
      </c>
      <c r="H2546" t="str">
        <f>TEXT(calendar[[#This Row],[WeekDay]],"dddd")</f>
        <v>Wednesday</v>
      </c>
      <c r="I2546">
        <f>IF((INT(calendar[[#This Row],[Count]]/7)-calendar[[#This Row],[Count]]/7)&lt;0,I2545,I2545+1)</f>
        <v>364</v>
      </c>
      <c r="J2546">
        <f t="shared" si="199"/>
        <v>2544</v>
      </c>
      <c r="K2546">
        <f>IF(calendar[[#This Row],[Month]]&lt;4,1,IF(calendar[[#This Row],[Month]]&lt;7,2,IF(calendar[[#This Row],[Month]]&lt;10,3,4)))</f>
        <v>4</v>
      </c>
      <c r="L2546">
        <f>IFERROR(IF(VLOOKUP(calendar[[#This Row],[Date]],BH!A:A,1,)&lt;&gt;"",1,0),0)</f>
        <v>0</v>
      </c>
      <c r="M2546">
        <f>IFERROR(IF(VLOOKUP(calendar[[#This Row],[Date]],BH!C:C,1,)&lt;&gt;"",1,0),0)</f>
        <v>0</v>
      </c>
      <c r="N2546">
        <f>IFERROR(IF(VLOOKUP(calendar[[#This Row],[Date]],BH!E:E,1,)&lt;&gt;"",1,0),0)</f>
        <v>0</v>
      </c>
      <c r="O2546">
        <f>IFERROR(IF(VLOOKUP(calendar[[#This Row],[Date]],BH!G:G,1,)&lt;&gt;"",1,0),0)</f>
        <v>0</v>
      </c>
      <c r="P2546">
        <f>IF(OR(calendar[[#This Row],[UK_BH]]=1,calendar[[#This Row],[WeekDay]]=1, calendar[[#This Row],[WeekDay]]=7),P2545,P2545+1)</f>
        <v>1818</v>
      </c>
      <c r="Q2546">
        <f>IF(OR(calendar[[#This Row],[FR_BH]]=1,calendar[[#This Row],[WeekDay]]=1, calendar[[#This Row],[WeekDay]]=7),P2545,P2545+1)</f>
        <v>1818</v>
      </c>
      <c r="R2546">
        <f>IF(OR(calendar[[#This Row],[SP_BH]]=1,calendar[[#This Row],[WeekDay]]=1, calendar[[#This Row],[WeekDay]]=7),P2545,P2545+1)</f>
        <v>1818</v>
      </c>
      <c r="S2546">
        <f>IF(OR(calendar[[#This Row],[PT_BH]]=1,calendar[[#This Row],[WeekDay]]=1, calendar[[#This Row],[WeekDay]]=7),P2545,P2545+1)</f>
        <v>1818</v>
      </c>
    </row>
    <row r="2547" spans="1:19" x14ac:dyDescent="0.25">
      <c r="A2547" s="2">
        <v>45281</v>
      </c>
      <c r="B2547" s="1">
        <f t="shared" si="198"/>
        <v>51</v>
      </c>
      <c r="C2547">
        <f t="shared" si="200"/>
        <v>12</v>
      </c>
      <c r="D2547" t="str">
        <f t="shared" si="201"/>
        <v>December</v>
      </c>
      <c r="E2547">
        <f t="shared" si="202"/>
        <v>2023</v>
      </c>
      <c r="F2547" t="str">
        <f>CONCATENATE(calendar[[#This Row],[Month]],"/",calendar[[#This Row],[Year]])</f>
        <v>12/2023</v>
      </c>
      <c r="G2547">
        <f>WEEKDAY(calendar[[#This Row],[Date]],1)</f>
        <v>5</v>
      </c>
      <c r="H2547" t="str">
        <f>TEXT(calendar[[#This Row],[WeekDay]],"dddd")</f>
        <v>Thursday</v>
      </c>
      <c r="I2547">
        <f>IF((INT(calendar[[#This Row],[Count]]/7)-calendar[[#This Row],[Count]]/7)&lt;0,I2546,I2546+1)</f>
        <v>364</v>
      </c>
      <c r="J2547">
        <f t="shared" si="199"/>
        <v>2545</v>
      </c>
      <c r="K2547">
        <f>IF(calendar[[#This Row],[Month]]&lt;4,1,IF(calendar[[#This Row],[Month]]&lt;7,2,IF(calendar[[#This Row],[Month]]&lt;10,3,4)))</f>
        <v>4</v>
      </c>
      <c r="L2547">
        <f>IFERROR(IF(VLOOKUP(calendar[[#This Row],[Date]],BH!A:A,1,)&lt;&gt;"",1,0),0)</f>
        <v>0</v>
      </c>
      <c r="M2547">
        <f>IFERROR(IF(VLOOKUP(calendar[[#This Row],[Date]],BH!C:C,1,)&lt;&gt;"",1,0),0)</f>
        <v>0</v>
      </c>
      <c r="N2547">
        <f>IFERROR(IF(VLOOKUP(calendar[[#This Row],[Date]],BH!E:E,1,)&lt;&gt;"",1,0),0)</f>
        <v>0</v>
      </c>
      <c r="O2547">
        <f>IFERROR(IF(VLOOKUP(calendar[[#This Row],[Date]],BH!G:G,1,)&lt;&gt;"",1,0),0)</f>
        <v>0</v>
      </c>
      <c r="P2547">
        <f>IF(OR(calendar[[#This Row],[UK_BH]]=1,calendar[[#This Row],[WeekDay]]=1, calendar[[#This Row],[WeekDay]]=7),P2546,P2546+1)</f>
        <v>1819</v>
      </c>
      <c r="Q2547">
        <f>IF(OR(calendar[[#This Row],[FR_BH]]=1,calendar[[#This Row],[WeekDay]]=1, calendar[[#This Row],[WeekDay]]=7),P2546,P2546+1)</f>
        <v>1819</v>
      </c>
      <c r="R2547">
        <f>IF(OR(calendar[[#This Row],[SP_BH]]=1,calendar[[#This Row],[WeekDay]]=1, calendar[[#This Row],[WeekDay]]=7),P2546,P2546+1)</f>
        <v>1819</v>
      </c>
      <c r="S2547">
        <f>IF(OR(calendar[[#This Row],[PT_BH]]=1,calendar[[#This Row],[WeekDay]]=1, calendar[[#This Row],[WeekDay]]=7),P2546,P2546+1)</f>
        <v>1819</v>
      </c>
    </row>
    <row r="2548" spans="1:19" x14ac:dyDescent="0.25">
      <c r="A2548" s="2">
        <v>45282</v>
      </c>
      <c r="B2548" s="1">
        <f t="shared" si="198"/>
        <v>51</v>
      </c>
      <c r="C2548">
        <f t="shared" si="200"/>
        <v>12</v>
      </c>
      <c r="D2548" t="str">
        <f t="shared" si="201"/>
        <v>December</v>
      </c>
      <c r="E2548">
        <f t="shared" si="202"/>
        <v>2023</v>
      </c>
      <c r="F2548" t="str">
        <f>CONCATENATE(calendar[[#This Row],[Month]],"/",calendar[[#This Row],[Year]])</f>
        <v>12/2023</v>
      </c>
      <c r="G2548">
        <f>WEEKDAY(calendar[[#This Row],[Date]],1)</f>
        <v>6</v>
      </c>
      <c r="H2548" t="str">
        <f>TEXT(calendar[[#This Row],[WeekDay]],"dddd")</f>
        <v>Friday</v>
      </c>
      <c r="I2548">
        <f>IF((INT(calendar[[#This Row],[Count]]/7)-calendar[[#This Row],[Count]]/7)&lt;0,I2547,I2547+1)</f>
        <v>364</v>
      </c>
      <c r="J2548">
        <f t="shared" si="199"/>
        <v>2546</v>
      </c>
      <c r="K2548">
        <f>IF(calendar[[#This Row],[Month]]&lt;4,1,IF(calendar[[#This Row],[Month]]&lt;7,2,IF(calendar[[#This Row],[Month]]&lt;10,3,4)))</f>
        <v>4</v>
      </c>
      <c r="L2548">
        <f>IFERROR(IF(VLOOKUP(calendar[[#This Row],[Date]],BH!A:A,1,)&lt;&gt;"",1,0),0)</f>
        <v>0</v>
      </c>
      <c r="M2548">
        <f>IFERROR(IF(VLOOKUP(calendar[[#This Row],[Date]],BH!C:C,1,)&lt;&gt;"",1,0),0)</f>
        <v>0</v>
      </c>
      <c r="N2548">
        <f>IFERROR(IF(VLOOKUP(calendar[[#This Row],[Date]],BH!E:E,1,)&lt;&gt;"",1,0),0)</f>
        <v>0</v>
      </c>
      <c r="O2548">
        <f>IFERROR(IF(VLOOKUP(calendar[[#This Row],[Date]],BH!G:G,1,)&lt;&gt;"",1,0),0)</f>
        <v>0</v>
      </c>
      <c r="P2548">
        <f>IF(OR(calendar[[#This Row],[UK_BH]]=1,calendar[[#This Row],[WeekDay]]=1, calendar[[#This Row],[WeekDay]]=7),P2547,P2547+1)</f>
        <v>1820</v>
      </c>
      <c r="Q2548">
        <f>IF(OR(calendar[[#This Row],[FR_BH]]=1,calendar[[#This Row],[WeekDay]]=1, calendar[[#This Row],[WeekDay]]=7),P2547,P2547+1)</f>
        <v>1820</v>
      </c>
      <c r="R2548">
        <f>IF(OR(calendar[[#This Row],[SP_BH]]=1,calendar[[#This Row],[WeekDay]]=1, calendar[[#This Row],[WeekDay]]=7),P2547,P2547+1)</f>
        <v>1820</v>
      </c>
      <c r="S2548">
        <f>IF(OR(calendar[[#This Row],[PT_BH]]=1,calendar[[#This Row],[WeekDay]]=1, calendar[[#This Row],[WeekDay]]=7),P2547,P2547+1)</f>
        <v>1820</v>
      </c>
    </row>
    <row r="2549" spans="1:19" x14ac:dyDescent="0.25">
      <c r="A2549" s="2">
        <v>45283</v>
      </c>
      <c r="B2549" s="1">
        <f t="shared" si="198"/>
        <v>51</v>
      </c>
      <c r="C2549">
        <f t="shared" si="200"/>
        <v>12</v>
      </c>
      <c r="D2549" t="str">
        <f t="shared" si="201"/>
        <v>December</v>
      </c>
      <c r="E2549">
        <f t="shared" si="202"/>
        <v>2023</v>
      </c>
      <c r="F2549" t="str">
        <f>CONCATENATE(calendar[[#This Row],[Month]],"/",calendar[[#This Row],[Year]])</f>
        <v>12/2023</v>
      </c>
      <c r="G2549">
        <f>WEEKDAY(calendar[[#This Row],[Date]],1)</f>
        <v>7</v>
      </c>
      <c r="H2549" t="str">
        <f>TEXT(calendar[[#This Row],[WeekDay]],"dddd")</f>
        <v>Saturday</v>
      </c>
      <c r="I2549">
        <f>IF((INT(calendar[[#This Row],[Count]]/7)-calendar[[#This Row],[Count]]/7)&lt;0,I2548,I2548+1)</f>
        <v>364</v>
      </c>
      <c r="J2549">
        <f t="shared" si="199"/>
        <v>2547</v>
      </c>
      <c r="K2549">
        <f>IF(calendar[[#This Row],[Month]]&lt;4,1,IF(calendar[[#This Row],[Month]]&lt;7,2,IF(calendar[[#This Row],[Month]]&lt;10,3,4)))</f>
        <v>4</v>
      </c>
      <c r="L2549">
        <f>IFERROR(IF(VLOOKUP(calendar[[#This Row],[Date]],BH!A:A,1,)&lt;&gt;"",1,0),0)</f>
        <v>0</v>
      </c>
      <c r="M2549">
        <f>IFERROR(IF(VLOOKUP(calendar[[#This Row],[Date]],BH!C:C,1,)&lt;&gt;"",1,0),0)</f>
        <v>0</v>
      </c>
      <c r="N2549">
        <f>IFERROR(IF(VLOOKUP(calendar[[#This Row],[Date]],BH!E:E,1,)&lt;&gt;"",1,0),0)</f>
        <v>0</v>
      </c>
      <c r="O2549">
        <f>IFERROR(IF(VLOOKUP(calendar[[#This Row],[Date]],BH!G:G,1,)&lt;&gt;"",1,0),0)</f>
        <v>0</v>
      </c>
      <c r="P2549">
        <f>IF(OR(calendar[[#This Row],[UK_BH]]=1,calendar[[#This Row],[WeekDay]]=1, calendar[[#This Row],[WeekDay]]=7),P2548,P2548+1)</f>
        <v>1820</v>
      </c>
      <c r="Q2549">
        <f>IF(OR(calendar[[#This Row],[FR_BH]]=1,calendar[[#This Row],[WeekDay]]=1, calendar[[#This Row],[WeekDay]]=7),P2548,P2548+1)</f>
        <v>1820</v>
      </c>
      <c r="R2549">
        <f>IF(OR(calendar[[#This Row],[SP_BH]]=1,calendar[[#This Row],[WeekDay]]=1, calendar[[#This Row],[WeekDay]]=7),P2548,P2548+1)</f>
        <v>1820</v>
      </c>
      <c r="S2549">
        <f>IF(OR(calendar[[#This Row],[PT_BH]]=1,calendar[[#This Row],[WeekDay]]=1, calendar[[#This Row],[WeekDay]]=7),P2548,P2548+1)</f>
        <v>1820</v>
      </c>
    </row>
    <row r="2550" spans="1:19" x14ac:dyDescent="0.25">
      <c r="A2550" s="2">
        <v>45284</v>
      </c>
      <c r="B2550" s="1">
        <f t="shared" si="198"/>
        <v>52</v>
      </c>
      <c r="C2550">
        <f t="shared" si="200"/>
        <v>12</v>
      </c>
      <c r="D2550" t="str">
        <f t="shared" si="201"/>
        <v>December</v>
      </c>
      <c r="E2550">
        <f t="shared" si="202"/>
        <v>2023</v>
      </c>
      <c r="F2550" t="str">
        <f>CONCATENATE(calendar[[#This Row],[Month]],"/",calendar[[#This Row],[Year]])</f>
        <v>12/2023</v>
      </c>
      <c r="G2550">
        <f>WEEKDAY(calendar[[#This Row],[Date]],1)</f>
        <v>1</v>
      </c>
      <c r="H2550" t="str">
        <f>TEXT(calendar[[#This Row],[WeekDay]],"dddd")</f>
        <v>Sunday</v>
      </c>
      <c r="I2550">
        <f>IF((INT(calendar[[#This Row],[Count]]/7)-calendar[[#This Row],[Count]]/7)&lt;0,I2549,I2549+1)</f>
        <v>365</v>
      </c>
      <c r="J2550">
        <f t="shared" si="199"/>
        <v>2548</v>
      </c>
      <c r="K2550">
        <f>IF(calendar[[#This Row],[Month]]&lt;4,1,IF(calendar[[#This Row],[Month]]&lt;7,2,IF(calendar[[#This Row],[Month]]&lt;10,3,4)))</f>
        <v>4</v>
      </c>
      <c r="L2550">
        <f>IFERROR(IF(VLOOKUP(calendar[[#This Row],[Date]],BH!A:A,1,)&lt;&gt;"",1,0),0)</f>
        <v>0</v>
      </c>
      <c r="M2550">
        <f>IFERROR(IF(VLOOKUP(calendar[[#This Row],[Date]],BH!C:C,1,)&lt;&gt;"",1,0),0)</f>
        <v>0</v>
      </c>
      <c r="N2550">
        <f>IFERROR(IF(VLOOKUP(calendar[[#This Row],[Date]],BH!E:E,1,)&lt;&gt;"",1,0),0)</f>
        <v>0</v>
      </c>
      <c r="O2550">
        <f>IFERROR(IF(VLOOKUP(calendar[[#This Row],[Date]],BH!G:G,1,)&lt;&gt;"",1,0),0)</f>
        <v>0</v>
      </c>
      <c r="P2550">
        <f>IF(OR(calendar[[#This Row],[UK_BH]]=1,calendar[[#This Row],[WeekDay]]=1, calendar[[#This Row],[WeekDay]]=7),P2549,P2549+1)</f>
        <v>1820</v>
      </c>
      <c r="Q2550">
        <f>IF(OR(calendar[[#This Row],[FR_BH]]=1,calendar[[#This Row],[WeekDay]]=1, calendar[[#This Row],[WeekDay]]=7),P2549,P2549+1)</f>
        <v>1820</v>
      </c>
      <c r="R2550">
        <f>IF(OR(calendar[[#This Row],[SP_BH]]=1,calendar[[#This Row],[WeekDay]]=1, calendar[[#This Row],[WeekDay]]=7),P2549,P2549+1)</f>
        <v>1820</v>
      </c>
      <c r="S2550">
        <f>IF(OR(calendar[[#This Row],[PT_BH]]=1,calendar[[#This Row],[WeekDay]]=1, calendar[[#This Row],[WeekDay]]=7),P2549,P2549+1)</f>
        <v>1820</v>
      </c>
    </row>
    <row r="2551" spans="1:19" x14ac:dyDescent="0.25">
      <c r="A2551" s="2">
        <v>45285</v>
      </c>
      <c r="B2551" s="1">
        <f t="shared" si="198"/>
        <v>52</v>
      </c>
      <c r="C2551">
        <f t="shared" si="200"/>
        <v>12</v>
      </c>
      <c r="D2551" t="str">
        <f t="shared" si="201"/>
        <v>December</v>
      </c>
      <c r="E2551">
        <f t="shared" si="202"/>
        <v>2023</v>
      </c>
      <c r="F2551" t="str">
        <f>CONCATENATE(calendar[[#This Row],[Month]],"/",calendar[[#This Row],[Year]])</f>
        <v>12/2023</v>
      </c>
      <c r="G2551">
        <f>WEEKDAY(calendar[[#This Row],[Date]],1)</f>
        <v>2</v>
      </c>
      <c r="H2551" t="str">
        <f>TEXT(calendar[[#This Row],[WeekDay]],"dddd")</f>
        <v>Monday</v>
      </c>
      <c r="I2551">
        <f>IF((INT(calendar[[#This Row],[Count]]/7)-calendar[[#This Row],[Count]]/7)&lt;0,I2550,I2550+1)</f>
        <v>365</v>
      </c>
      <c r="J2551">
        <f t="shared" si="199"/>
        <v>2549</v>
      </c>
      <c r="K2551">
        <f>IF(calendar[[#This Row],[Month]]&lt;4,1,IF(calendar[[#This Row],[Month]]&lt;7,2,IF(calendar[[#This Row],[Month]]&lt;10,3,4)))</f>
        <v>4</v>
      </c>
      <c r="L2551">
        <f>IFERROR(IF(VLOOKUP(calendar[[#This Row],[Date]],BH!A:A,1,)&lt;&gt;"",1,0),0)</f>
        <v>0</v>
      </c>
      <c r="M2551">
        <f>IFERROR(IF(VLOOKUP(calendar[[#This Row],[Date]],BH!C:C,1,)&lt;&gt;"",1,0),0)</f>
        <v>0</v>
      </c>
      <c r="N2551">
        <f>IFERROR(IF(VLOOKUP(calendar[[#This Row],[Date]],BH!E:E,1,)&lt;&gt;"",1,0),0)</f>
        <v>0</v>
      </c>
      <c r="O2551">
        <f>IFERROR(IF(VLOOKUP(calendar[[#This Row],[Date]],BH!G:G,1,)&lt;&gt;"",1,0),0)</f>
        <v>0</v>
      </c>
      <c r="P2551">
        <f>IF(OR(calendar[[#This Row],[UK_BH]]=1,calendar[[#This Row],[WeekDay]]=1, calendar[[#This Row],[WeekDay]]=7),P2550,P2550+1)</f>
        <v>1821</v>
      </c>
      <c r="Q2551">
        <f>IF(OR(calendar[[#This Row],[FR_BH]]=1,calendar[[#This Row],[WeekDay]]=1, calendar[[#This Row],[WeekDay]]=7),P2550,P2550+1)</f>
        <v>1821</v>
      </c>
      <c r="R2551">
        <f>IF(OR(calendar[[#This Row],[SP_BH]]=1,calendar[[#This Row],[WeekDay]]=1, calendar[[#This Row],[WeekDay]]=7),P2550,P2550+1)</f>
        <v>1821</v>
      </c>
      <c r="S2551">
        <f>IF(OR(calendar[[#This Row],[PT_BH]]=1,calendar[[#This Row],[WeekDay]]=1, calendar[[#This Row],[WeekDay]]=7),P2550,P2550+1)</f>
        <v>1821</v>
      </c>
    </row>
    <row r="2552" spans="1:19" x14ac:dyDescent="0.25">
      <c r="A2552" s="2">
        <v>45286</v>
      </c>
      <c r="B2552" s="1">
        <f t="shared" si="198"/>
        <v>52</v>
      </c>
      <c r="C2552">
        <f t="shared" si="200"/>
        <v>12</v>
      </c>
      <c r="D2552" t="str">
        <f t="shared" si="201"/>
        <v>December</v>
      </c>
      <c r="E2552">
        <f t="shared" si="202"/>
        <v>2023</v>
      </c>
      <c r="F2552" t="str">
        <f>CONCATENATE(calendar[[#This Row],[Month]],"/",calendar[[#This Row],[Year]])</f>
        <v>12/2023</v>
      </c>
      <c r="G2552">
        <f>WEEKDAY(calendar[[#This Row],[Date]],1)</f>
        <v>3</v>
      </c>
      <c r="H2552" t="str">
        <f>TEXT(calendar[[#This Row],[WeekDay]],"dddd")</f>
        <v>Tuesday</v>
      </c>
      <c r="I2552">
        <f>IF((INT(calendar[[#This Row],[Count]]/7)-calendar[[#This Row],[Count]]/7)&lt;0,I2551,I2551+1)</f>
        <v>365</v>
      </c>
      <c r="J2552">
        <f t="shared" si="199"/>
        <v>2550</v>
      </c>
      <c r="K2552">
        <f>IF(calendar[[#This Row],[Month]]&lt;4,1,IF(calendar[[#This Row],[Month]]&lt;7,2,IF(calendar[[#This Row],[Month]]&lt;10,3,4)))</f>
        <v>4</v>
      </c>
      <c r="L2552">
        <f>IFERROR(IF(VLOOKUP(calendar[[#This Row],[Date]],BH!A:A,1,)&lt;&gt;"",1,0),0)</f>
        <v>0</v>
      </c>
      <c r="M2552">
        <f>IFERROR(IF(VLOOKUP(calendar[[#This Row],[Date]],BH!C:C,1,)&lt;&gt;"",1,0),0)</f>
        <v>0</v>
      </c>
      <c r="N2552">
        <f>IFERROR(IF(VLOOKUP(calendar[[#This Row],[Date]],BH!E:E,1,)&lt;&gt;"",1,0),0)</f>
        <v>0</v>
      </c>
      <c r="O2552">
        <f>IFERROR(IF(VLOOKUP(calendar[[#This Row],[Date]],BH!G:G,1,)&lt;&gt;"",1,0),0)</f>
        <v>0</v>
      </c>
      <c r="P2552">
        <f>IF(OR(calendar[[#This Row],[UK_BH]]=1,calendar[[#This Row],[WeekDay]]=1, calendar[[#This Row],[WeekDay]]=7),P2551,P2551+1)</f>
        <v>1822</v>
      </c>
      <c r="Q2552">
        <f>IF(OR(calendar[[#This Row],[FR_BH]]=1,calendar[[#This Row],[WeekDay]]=1, calendar[[#This Row],[WeekDay]]=7),P2551,P2551+1)</f>
        <v>1822</v>
      </c>
      <c r="R2552">
        <f>IF(OR(calendar[[#This Row],[SP_BH]]=1,calendar[[#This Row],[WeekDay]]=1, calendar[[#This Row],[WeekDay]]=7),P2551,P2551+1)</f>
        <v>1822</v>
      </c>
      <c r="S2552">
        <f>IF(OR(calendar[[#This Row],[PT_BH]]=1,calendar[[#This Row],[WeekDay]]=1, calendar[[#This Row],[WeekDay]]=7),P2551,P2551+1)</f>
        <v>1822</v>
      </c>
    </row>
    <row r="2553" spans="1:19" x14ac:dyDescent="0.25">
      <c r="A2553" s="2">
        <v>45287</v>
      </c>
      <c r="B2553" s="1">
        <f t="shared" si="198"/>
        <v>52</v>
      </c>
      <c r="C2553">
        <f t="shared" si="200"/>
        <v>12</v>
      </c>
      <c r="D2553" t="str">
        <f t="shared" si="201"/>
        <v>December</v>
      </c>
      <c r="E2553">
        <f t="shared" si="202"/>
        <v>2023</v>
      </c>
      <c r="F2553" t="str">
        <f>CONCATENATE(calendar[[#This Row],[Month]],"/",calendar[[#This Row],[Year]])</f>
        <v>12/2023</v>
      </c>
      <c r="G2553">
        <f>WEEKDAY(calendar[[#This Row],[Date]],1)</f>
        <v>4</v>
      </c>
      <c r="H2553" t="str">
        <f>TEXT(calendar[[#This Row],[WeekDay]],"dddd")</f>
        <v>Wednesday</v>
      </c>
      <c r="I2553">
        <f>IF((INT(calendar[[#This Row],[Count]]/7)-calendar[[#This Row],[Count]]/7)&lt;0,I2552,I2552+1)</f>
        <v>365</v>
      </c>
      <c r="J2553">
        <f t="shared" si="199"/>
        <v>2551</v>
      </c>
      <c r="K2553">
        <f>IF(calendar[[#This Row],[Month]]&lt;4,1,IF(calendar[[#This Row],[Month]]&lt;7,2,IF(calendar[[#This Row],[Month]]&lt;10,3,4)))</f>
        <v>4</v>
      </c>
      <c r="L2553">
        <f>IFERROR(IF(VLOOKUP(calendar[[#This Row],[Date]],BH!A:A,1,)&lt;&gt;"",1,0),0)</f>
        <v>0</v>
      </c>
      <c r="M2553">
        <f>IFERROR(IF(VLOOKUP(calendar[[#This Row],[Date]],BH!C:C,1,)&lt;&gt;"",1,0),0)</f>
        <v>0</v>
      </c>
      <c r="N2553">
        <f>IFERROR(IF(VLOOKUP(calendar[[#This Row],[Date]],BH!E:E,1,)&lt;&gt;"",1,0),0)</f>
        <v>0</v>
      </c>
      <c r="O2553">
        <f>IFERROR(IF(VLOOKUP(calendar[[#This Row],[Date]],BH!G:G,1,)&lt;&gt;"",1,0),0)</f>
        <v>0</v>
      </c>
      <c r="P2553">
        <f>IF(OR(calendar[[#This Row],[UK_BH]]=1,calendar[[#This Row],[WeekDay]]=1, calendar[[#This Row],[WeekDay]]=7),P2552,P2552+1)</f>
        <v>1823</v>
      </c>
      <c r="Q2553">
        <f>IF(OR(calendar[[#This Row],[FR_BH]]=1,calendar[[#This Row],[WeekDay]]=1, calendar[[#This Row],[WeekDay]]=7),P2552,P2552+1)</f>
        <v>1823</v>
      </c>
      <c r="R2553">
        <f>IF(OR(calendar[[#This Row],[SP_BH]]=1,calendar[[#This Row],[WeekDay]]=1, calendar[[#This Row],[WeekDay]]=7),P2552,P2552+1)</f>
        <v>1823</v>
      </c>
      <c r="S2553">
        <f>IF(OR(calendar[[#This Row],[PT_BH]]=1,calendar[[#This Row],[WeekDay]]=1, calendar[[#This Row],[WeekDay]]=7),P2552,P2552+1)</f>
        <v>1823</v>
      </c>
    </row>
    <row r="2554" spans="1:19" x14ac:dyDescent="0.25">
      <c r="A2554" s="2">
        <v>45288</v>
      </c>
      <c r="B2554" s="1">
        <f t="shared" si="198"/>
        <v>52</v>
      </c>
      <c r="C2554">
        <f t="shared" si="200"/>
        <v>12</v>
      </c>
      <c r="D2554" t="str">
        <f t="shared" si="201"/>
        <v>December</v>
      </c>
      <c r="E2554">
        <f t="shared" si="202"/>
        <v>2023</v>
      </c>
      <c r="F2554" t="str">
        <f>CONCATENATE(calendar[[#This Row],[Month]],"/",calendar[[#This Row],[Year]])</f>
        <v>12/2023</v>
      </c>
      <c r="G2554">
        <f>WEEKDAY(calendar[[#This Row],[Date]],1)</f>
        <v>5</v>
      </c>
      <c r="H2554" t="str">
        <f>TEXT(calendar[[#This Row],[WeekDay]],"dddd")</f>
        <v>Thursday</v>
      </c>
      <c r="I2554">
        <f>IF((INT(calendar[[#This Row],[Count]]/7)-calendar[[#This Row],[Count]]/7)&lt;0,I2553,I2553+1)</f>
        <v>365</v>
      </c>
      <c r="J2554">
        <f t="shared" si="199"/>
        <v>2552</v>
      </c>
      <c r="K2554">
        <f>IF(calendar[[#This Row],[Month]]&lt;4,1,IF(calendar[[#This Row],[Month]]&lt;7,2,IF(calendar[[#This Row],[Month]]&lt;10,3,4)))</f>
        <v>4</v>
      </c>
      <c r="L2554">
        <f>IFERROR(IF(VLOOKUP(calendar[[#This Row],[Date]],BH!A:A,1,)&lt;&gt;"",1,0),0)</f>
        <v>0</v>
      </c>
      <c r="M2554">
        <f>IFERROR(IF(VLOOKUP(calendar[[#This Row],[Date]],BH!C:C,1,)&lt;&gt;"",1,0),0)</f>
        <v>0</v>
      </c>
      <c r="N2554">
        <f>IFERROR(IF(VLOOKUP(calendar[[#This Row],[Date]],BH!E:E,1,)&lt;&gt;"",1,0),0)</f>
        <v>0</v>
      </c>
      <c r="O2554">
        <f>IFERROR(IF(VLOOKUP(calendar[[#This Row],[Date]],BH!G:G,1,)&lt;&gt;"",1,0),0)</f>
        <v>0</v>
      </c>
      <c r="P2554">
        <f>IF(OR(calendar[[#This Row],[UK_BH]]=1,calendar[[#This Row],[WeekDay]]=1, calendar[[#This Row],[WeekDay]]=7),P2553,P2553+1)</f>
        <v>1824</v>
      </c>
      <c r="Q2554">
        <f>IF(OR(calendar[[#This Row],[FR_BH]]=1,calendar[[#This Row],[WeekDay]]=1, calendar[[#This Row],[WeekDay]]=7),P2553,P2553+1)</f>
        <v>1824</v>
      </c>
      <c r="R2554">
        <f>IF(OR(calendar[[#This Row],[SP_BH]]=1,calendar[[#This Row],[WeekDay]]=1, calendar[[#This Row],[WeekDay]]=7),P2553,P2553+1)</f>
        <v>1824</v>
      </c>
      <c r="S2554">
        <f>IF(OR(calendar[[#This Row],[PT_BH]]=1,calendar[[#This Row],[WeekDay]]=1, calendar[[#This Row],[WeekDay]]=7),P2553,P2553+1)</f>
        <v>1824</v>
      </c>
    </row>
    <row r="2555" spans="1:19" x14ac:dyDescent="0.25">
      <c r="A2555" s="2">
        <v>45289</v>
      </c>
      <c r="B2555" s="1">
        <f t="shared" si="198"/>
        <v>52</v>
      </c>
      <c r="C2555">
        <f t="shared" si="200"/>
        <v>12</v>
      </c>
      <c r="D2555" t="str">
        <f t="shared" si="201"/>
        <v>December</v>
      </c>
      <c r="E2555">
        <f t="shared" si="202"/>
        <v>2023</v>
      </c>
      <c r="F2555" t="str">
        <f>CONCATENATE(calendar[[#This Row],[Month]],"/",calendar[[#This Row],[Year]])</f>
        <v>12/2023</v>
      </c>
      <c r="G2555">
        <f>WEEKDAY(calendar[[#This Row],[Date]],1)</f>
        <v>6</v>
      </c>
      <c r="H2555" t="str">
        <f>TEXT(calendar[[#This Row],[WeekDay]],"dddd")</f>
        <v>Friday</v>
      </c>
      <c r="I2555">
        <f>IF((INT(calendar[[#This Row],[Count]]/7)-calendar[[#This Row],[Count]]/7)&lt;0,I2554,I2554+1)</f>
        <v>365</v>
      </c>
      <c r="J2555">
        <f t="shared" si="199"/>
        <v>2553</v>
      </c>
      <c r="K2555">
        <f>IF(calendar[[#This Row],[Month]]&lt;4,1,IF(calendar[[#This Row],[Month]]&lt;7,2,IF(calendar[[#This Row],[Month]]&lt;10,3,4)))</f>
        <v>4</v>
      </c>
      <c r="L2555">
        <f>IFERROR(IF(VLOOKUP(calendar[[#This Row],[Date]],BH!A:A,1,)&lt;&gt;"",1,0),0)</f>
        <v>0</v>
      </c>
      <c r="M2555">
        <f>IFERROR(IF(VLOOKUP(calendar[[#This Row],[Date]],BH!C:C,1,)&lt;&gt;"",1,0),0)</f>
        <v>0</v>
      </c>
      <c r="N2555">
        <f>IFERROR(IF(VLOOKUP(calendar[[#This Row],[Date]],BH!E:E,1,)&lt;&gt;"",1,0),0)</f>
        <v>0</v>
      </c>
      <c r="O2555">
        <f>IFERROR(IF(VLOOKUP(calendar[[#This Row],[Date]],BH!G:G,1,)&lt;&gt;"",1,0),0)</f>
        <v>0</v>
      </c>
      <c r="P2555">
        <f>IF(OR(calendar[[#This Row],[UK_BH]]=1,calendar[[#This Row],[WeekDay]]=1, calendar[[#This Row],[WeekDay]]=7),P2554,P2554+1)</f>
        <v>1825</v>
      </c>
      <c r="Q2555">
        <f>IF(OR(calendar[[#This Row],[FR_BH]]=1,calendar[[#This Row],[WeekDay]]=1, calendar[[#This Row],[WeekDay]]=7),P2554,P2554+1)</f>
        <v>1825</v>
      </c>
      <c r="R2555">
        <f>IF(OR(calendar[[#This Row],[SP_BH]]=1,calendar[[#This Row],[WeekDay]]=1, calendar[[#This Row],[WeekDay]]=7),P2554,P2554+1)</f>
        <v>1825</v>
      </c>
      <c r="S2555">
        <f>IF(OR(calendar[[#This Row],[PT_BH]]=1,calendar[[#This Row],[WeekDay]]=1, calendar[[#This Row],[WeekDay]]=7),P2554,P2554+1)</f>
        <v>1825</v>
      </c>
    </row>
    <row r="2556" spans="1:19" x14ac:dyDescent="0.25">
      <c r="A2556" s="2">
        <v>45290</v>
      </c>
      <c r="B2556" s="1">
        <f t="shared" si="198"/>
        <v>52</v>
      </c>
      <c r="C2556">
        <f t="shared" si="200"/>
        <v>12</v>
      </c>
      <c r="D2556" t="str">
        <f t="shared" si="201"/>
        <v>December</v>
      </c>
      <c r="E2556">
        <f t="shared" si="202"/>
        <v>2023</v>
      </c>
      <c r="F2556" t="str">
        <f>CONCATENATE(calendar[[#This Row],[Month]],"/",calendar[[#This Row],[Year]])</f>
        <v>12/2023</v>
      </c>
      <c r="G2556">
        <f>WEEKDAY(calendar[[#This Row],[Date]],1)</f>
        <v>7</v>
      </c>
      <c r="H2556" t="str">
        <f>TEXT(calendar[[#This Row],[WeekDay]],"dddd")</f>
        <v>Saturday</v>
      </c>
      <c r="I2556">
        <f>IF((INT(calendar[[#This Row],[Count]]/7)-calendar[[#This Row],[Count]]/7)&lt;0,I2555,I2555+1)</f>
        <v>365</v>
      </c>
      <c r="J2556">
        <f t="shared" si="199"/>
        <v>2554</v>
      </c>
      <c r="K2556">
        <f>IF(calendar[[#This Row],[Month]]&lt;4,1,IF(calendar[[#This Row],[Month]]&lt;7,2,IF(calendar[[#This Row],[Month]]&lt;10,3,4)))</f>
        <v>4</v>
      </c>
      <c r="L2556">
        <f>IFERROR(IF(VLOOKUP(calendar[[#This Row],[Date]],BH!A:A,1,)&lt;&gt;"",1,0),0)</f>
        <v>0</v>
      </c>
      <c r="M2556">
        <f>IFERROR(IF(VLOOKUP(calendar[[#This Row],[Date]],BH!C:C,1,)&lt;&gt;"",1,0),0)</f>
        <v>0</v>
      </c>
      <c r="N2556">
        <f>IFERROR(IF(VLOOKUP(calendar[[#This Row],[Date]],BH!E:E,1,)&lt;&gt;"",1,0),0)</f>
        <v>0</v>
      </c>
      <c r="O2556">
        <f>IFERROR(IF(VLOOKUP(calendar[[#This Row],[Date]],BH!G:G,1,)&lt;&gt;"",1,0),0)</f>
        <v>0</v>
      </c>
      <c r="P2556">
        <f>IF(OR(calendar[[#This Row],[UK_BH]]=1,calendar[[#This Row],[WeekDay]]=1, calendar[[#This Row],[WeekDay]]=7),P2555,P2555+1)</f>
        <v>1825</v>
      </c>
      <c r="Q2556">
        <f>IF(OR(calendar[[#This Row],[FR_BH]]=1,calendar[[#This Row],[WeekDay]]=1, calendar[[#This Row],[WeekDay]]=7),P2555,P2555+1)</f>
        <v>1825</v>
      </c>
      <c r="R2556">
        <f>IF(OR(calendar[[#This Row],[SP_BH]]=1,calendar[[#This Row],[WeekDay]]=1, calendar[[#This Row],[WeekDay]]=7),P2555,P2555+1)</f>
        <v>1825</v>
      </c>
      <c r="S2556">
        <f>IF(OR(calendar[[#This Row],[PT_BH]]=1,calendar[[#This Row],[WeekDay]]=1, calendar[[#This Row],[WeekDay]]=7),P2555,P2555+1)</f>
        <v>1825</v>
      </c>
    </row>
    <row r="2557" spans="1:19" x14ac:dyDescent="0.25">
      <c r="A2557" s="2">
        <v>45291</v>
      </c>
      <c r="B2557" s="1">
        <f t="shared" si="198"/>
        <v>53</v>
      </c>
      <c r="C2557">
        <f t="shared" si="200"/>
        <v>12</v>
      </c>
      <c r="D2557" t="str">
        <f t="shared" si="201"/>
        <v>December</v>
      </c>
      <c r="E2557">
        <f t="shared" si="202"/>
        <v>2023</v>
      </c>
      <c r="F2557" t="str">
        <f>CONCATENATE(calendar[[#This Row],[Month]],"/",calendar[[#This Row],[Year]])</f>
        <v>12/2023</v>
      </c>
      <c r="G2557">
        <f>WEEKDAY(calendar[[#This Row],[Date]],1)</f>
        <v>1</v>
      </c>
      <c r="H2557" t="str">
        <f>TEXT(calendar[[#This Row],[WeekDay]],"dddd")</f>
        <v>Sunday</v>
      </c>
      <c r="I2557">
        <f>IF((INT(calendar[[#This Row],[Count]]/7)-calendar[[#This Row],[Count]]/7)&lt;0,I2556,I2556+1)</f>
        <v>366</v>
      </c>
      <c r="J2557">
        <f t="shared" si="199"/>
        <v>2555</v>
      </c>
      <c r="K2557">
        <f>IF(calendar[[#This Row],[Month]]&lt;4,1,IF(calendar[[#This Row],[Month]]&lt;7,2,IF(calendar[[#This Row],[Month]]&lt;10,3,4)))</f>
        <v>4</v>
      </c>
      <c r="L2557">
        <f>IFERROR(IF(VLOOKUP(calendar[[#This Row],[Date]],BH!A:A,1,)&lt;&gt;"",1,0),0)</f>
        <v>0</v>
      </c>
      <c r="M2557">
        <f>IFERROR(IF(VLOOKUP(calendar[[#This Row],[Date]],BH!C:C,1,)&lt;&gt;"",1,0),0)</f>
        <v>0</v>
      </c>
      <c r="N2557">
        <f>IFERROR(IF(VLOOKUP(calendar[[#This Row],[Date]],BH!E:E,1,)&lt;&gt;"",1,0),0)</f>
        <v>0</v>
      </c>
      <c r="O2557">
        <f>IFERROR(IF(VLOOKUP(calendar[[#This Row],[Date]],BH!G:G,1,)&lt;&gt;"",1,0),0)</f>
        <v>0</v>
      </c>
      <c r="P2557">
        <f>IF(OR(calendar[[#This Row],[UK_BH]]=1,calendar[[#This Row],[WeekDay]]=1, calendar[[#This Row],[WeekDay]]=7),P2556,P2556+1)</f>
        <v>1825</v>
      </c>
      <c r="Q2557">
        <f>IF(OR(calendar[[#This Row],[FR_BH]]=1,calendar[[#This Row],[WeekDay]]=1, calendar[[#This Row],[WeekDay]]=7),P2556,P2556+1)</f>
        <v>1825</v>
      </c>
      <c r="R2557">
        <f>IF(OR(calendar[[#This Row],[SP_BH]]=1,calendar[[#This Row],[WeekDay]]=1, calendar[[#This Row],[WeekDay]]=7),P2556,P2556+1)</f>
        <v>1825</v>
      </c>
      <c r="S2557">
        <f>IF(OR(calendar[[#This Row],[PT_BH]]=1,calendar[[#This Row],[WeekDay]]=1, calendar[[#This Row],[WeekDay]]=7),P2556,P2556+1)</f>
        <v>1825</v>
      </c>
    </row>
    <row r="2558" spans="1:19" x14ac:dyDescent="0.25">
      <c r="A2558" s="2">
        <v>45292</v>
      </c>
      <c r="B2558" s="1">
        <f t="shared" si="198"/>
        <v>1</v>
      </c>
      <c r="C2558">
        <f t="shared" si="200"/>
        <v>1</v>
      </c>
      <c r="D2558" t="str">
        <f t="shared" si="201"/>
        <v>January</v>
      </c>
      <c r="E2558">
        <f t="shared" si="202"/>
        <v>2024</v>
      </c>
      <c r="F2558" t="str">
        <f>CONCATENATE(calendar[[#This Row],[Month]],"/",calendar[[#This Row],[Year]])</f>
        <v>1/2024</v>
      </c>
      <c r="G2558">
        <f>WEEKDAY(calendar[[#This Row],[Date]],1)</f>
        <v>2</v>
      </c>
      <c r="H2558" t="str">
        <f>TEXT(calendar[[#This Row],[WeekDay]],"dddd")</f>
        <v>Monday</v>
      </c>
      <c r="I2558">
        <f>IF((INT(calendar[[#This Row],[Count]]/7)-calendar[[#This Row],[Count]]/7)&lt;0,I2557,I2557+1)</f>
        <v>366</v>
      </c>
      <c r="J2558">
        <f t="shared" si="199"/>
        <v>2556</v>
      </c>
      <c r="K2558">
        <f>IF(calendar[[#This Row],[Month]]&lt;4,1,IF(calendar[[#This Row],[Month]]&lt;7,2,IF(calendar[[#This Row],[Month]]&lt;10,3,4)))</f>
        <v>1</v>
      </c>
      <c r="L2558">
        <f>IFERROR(IF(VLOOKUP(calendar[[#This Row],[Date]],BH!A:A,1,)&lt;&gt;"",1,0),0)</f>
        <v>0</v>
      </c>
      <c r="M2558">
        <f>IFERROR(IF(VLOOKUP(calendar[[#This Row],[Date]],BH!C:C,1,)&lt;&gt;"",1,0),0)</f>
        <v>0</v>
      </c>
      <c r="N2558">
        <f>IFERROR(IF(VLOOKUP(calendar[[#This Row],[Date]],BH!E:E,1,)&lt;&gt;"",1,0),0)</f>
        <v>0</v>
      </c>
      <c r="O2558">
        <f>IFERROR(IF(VLOOKUP(calendar[[#This Row],[Date]],BH!G:G,1,)&lt;&gt;"",1,0),0)</f>
        <v>0</v>
      </c>
      <c r="P2558">
        <f>IF(OR(calendar[[#This Row],[UK_BH]]=1,calendar[[#This Row],[WeekDay]]=1, calendar[[#This Row],[WeekDay]]=7),P2557,P2557+1)</f>
        <v>1826</v>
      </c>
      <c r="Q2558">
        <f>IF(OR(calendar[[#This Row],[FR_BH]]=1,calendar[[#This Row],[WeekDay]]=1, calendar[[#This Row],[WeekDay]]=7),P2557,P2557+1)</f>
        <v>1826</v>
      </c>
      <c r="R2558">
        <f>IF(OR(calendar[[#This Row],[SP_BH]]=1,calendar[[#This Row],[WeekDay]]=1, calendar[[#This Row],[WeekDay]]=7),P2557,P2557+1)</f>
        <v>1826</v>
      </c>
      <c r="S2558">
        <f>IF(OR(calendar[[#This Row],[PT_BH]]=1,calendar[[#This Row],[WeekDay]]=1, calendar[[#This Row],[WeekDay]]=7),P2557,P2557+1)</f>
        <v>1826</v>
      </c>
    </row>
    <row r="2559" spans="1:19" x14ac:dyDescent="0.25">
      <c r="A2559" s="2">
        <v>45293</v>
      </c>
      <c r="B2559" s="1">
        <f t="shared" si="198"/>
        <v>1</v>
      </c>
      <c r="C2559">
        <f t="shared" si="200"/>
        <v>1</v>
      </c>
      <c r="D2559" t="str">
        <f t="shared" si="201"/>
        <v>January</v>
      </c>
      <c r="E2559">
        <f t="shared" si="202"/>
        <v>2024</v>
      </c>
      <c r="F2559" t="str">
        <f>CONCATENATE(calendar[[#This Row],[Month]],"/",calendar[[#This Row],[Year]])</f>
        <v>1/2024</v>
      </c>
      <c r="G2559">
        <f>WEEKDAY(calendar[[#This Row],[Date]],1)</f>
        <v>3</v>
      </c>
      <c r="H2559" t="str">
        <f>TEXT(calendar[[#This Row],[WeekDay]],"dddd")</f>
        <v>Tuesday</v>
      </c>
      <c r="I2559">
        <f>IF((INT(calendar[[#This Row],[Count]]/7)-calendar[[#This Row],[Count]]/7)&lt;0,I2558,I2558+1)</f>
        <v>366</v>
      </c>
      <c r="J2559">
        <f t="shared" si="199"/>
        <v>2557</v>
      </c>
      <c r="K2559">
        <f>IF(calendar[[#This Row],[Month]]&lt;4,1,IF(calendar[[#This Row],[Month]]&lt;7,2,IF(calendar[[#This Row],[Month]]&lt;10,3,4)))</f>
        <v>1</v>
      </c>
      <c r="L2559">
        <f>IFERROR(IF(VLOOKUP(calendar[[#This Row],[Date]],BH!A:A,1,)&lt;&gt;"",1,0),0)</f>
        <v>0</v>
      </c>
      <c r="M2559">
        <f>IFERROR(IF(VLOOKUP(calendar[[#This Row],[Date]],BH!C:C,1,)&lt;&gt;"",1,0),0)</f>
        <v>0</v>
      </c>
      <c r="N2559">
        <f>IFERROR(IF(VLOOKUP(calendar[[#This Row],[Date]],BH!E:E,1,)&lt;&gt;"",1,0),0)</f>
        <v>0</v>
      </c>
      <c r="O2559">
        <f>IFERROR(IF(VLOOKUP(calendar[[#This Row],[Date]],BH!G:G,1,)&lt;&gt;"",1,0),0)</f>
        <v>0</v>
      </c>
      <c r="P2559">
        <f>IF(OR(calendar[[#This Row],[UK_BH]]=1,calendar[[#This Row],[WeekDay]]=1, calendar[[#This Row],[WeekDay]]=7),P2558,P2558+1)</f>
        <v>1827</v>
      </c>
      <c r="Q2559">
        <f>IF(OR(calendar[[#This Row],[FR_BH]]=1,calendar[[#This Row],[WeekDay]]=1, calendar[[#This Row],[WeekDay]]=7),P2558,P2558+1)</f>
        <v>1827</v>
      </c>
      <c r="R2559">
        <f>IF(OR(calendar[[#This Row],[SP_BH]]=1,calendar[[#This Row],[WeekDay]]=1, calendar[[#This Row],[WeekDay]]=7),P2558,P2558+1)</f>
        <v>1827</v>
      </c>
      <c r="S2559">
        <f>IF(OR(calendar[[#This Row],[PT_BH]]=1,calendar[[#This Row],[WeekDay]]=1, calendar[[#This Row],[WeekDay]]=7),P2558,P2558+1)</f>
        <v>1827</v>
      </c>
    </row>
    <row r="2560" spans="1:19" x14ac:dyDescent="0.25">
      <c r="A2560" s="2">
        <v>45294</v>
      </c>
      <c r="B2560" s="1">
        <f t="shared" si="198"/>
        <v>1</v>
      </c>
      <c r="C2560">
        <f t="shared" si="200"/>
        <v>1</v>
      </c>
      <c r="D2560" t="str">
        <f t="shared" si="201"/>
        <v>January</v>
      </c>
      <c r="E2560">
        <f t="shared" si="202"/>
        <v>2024</v>
      </c>
      <c r="F2560" t="str">
        <f>CONCATENATE(calendar[[#This Row],[Month]],"/",calendar[[#This Row],[Year]])</f>
        <v>1/2024</v>
      </c>
      <c r="G2560">
        <f>WEEKDAY(calendar[[#This Row],[Date]],1)</f>
        <v>4</v>
      </c>
      <c r="H2560" t="str">
        <f>TEXT(calendar[[#This Row],[WeekDay]],"dddd")</f>
        <v>Wednesday</v>
      </c>
      <c r="I2560">
        <f>IF((INT(calendar[[#This Row],[Count]]/7)-calendar[[#This Row],[Count]]/7)&lt;0,I2559,I2559+1)</f>
        <v>366</v>
      </c>
      <c r="J2560">
        <f t="shared" si="199"/>
        <v>2558</v>
      </c>
      <c r="K2560">
        <f>IF(calendar[[#This Row],[Month]]&lt;4,1,IF(calendar[[#This Row],[Month]]&lt;7,2,IF(calendar[[#This Row],[Month]]&lt;10,3,4)))</f>
        <v>1</v>
      </c>
      <c r="L2560">
        <f>IFERROR(IF(VLOOKUP(calendar[[#This Row],[Date]],BH!A:A,1,)&lt;&gt;"",1,0),0)</f>
        <v>0</v>
      </c>
      <c r="M2560">
        <f>IFERROR(IF(VLOOKUP(calendar[[#This Row],[Date]],BH!C:C,1,)&lt;&gt;"",1,0),0)</f>
        <v>0</v>
      </c>
      <c r="N2560">
        <f>IFERROR(IF(VLOOKUP(calendar[[#This Row],[Date]],BH!E:E,1,)&lt;&gt;"",1,0),0)</f>
        <v>0</v>
      </c>
      <c r="O2560">
        <f>IFERROR(IF(VLOOKUP(calendar[[#This Row],[Date]],BH!G:G,1,)&lt;&gt;"",1,0),0)</f>
        <v>0</v>
      </c>
      <c r="P2560">
        <f>IF(OR(calendar[[#This Row],[UK_BH]]=1,calendar[[#This Row],[WeekDay]]=1, calendar[[#This Row],[WeekDay]]=7),P2559,P2559+1)</f>
        <v>1828</v>
      </c>
      <c r="Q2560">
        <f>IF(OR(calendar[[#This Row],[FR_BH]]=1,calendar[[#This Row],[WeekDay]]=1, calendar[[#This Row],[WeekDay]]=7),P2559,P2559+1)</f>
        <v>1828</v>
      </c>
      <c r="R2560">
        <f>IF(OR(calendar[[#This Row],[SP_BH]]=1,calendar[[#This Row],[WeekDay]]=1, calendar[[#This Row],[WeekDay]]=7),P2559,P2559+1)</f>
        <v>1828</v>
      </c>
      <c r="S2560">
        <f>IF(OR(calendar[[#This Row],[PT_BH]]=1,calendar[[#This Row],[WeekDay]]=1, calendar[[#This Row],[WeekDay]]=7),P2559,P2559+1)</f>
        <v>1828</v>
      </c>
    </row>
    <row r="2561" spans="1:19" x14ac:dyDescent="0.25">
      <c r="A2561" s="2">
        <v>45295</v>
      </c>
      <c r="B2561" s="1">
        <f t="shared" si="198"/>
        <v>1</v>
      </c>
      <c r="C2561">
        <f t="shared" si="200"/>
        <v>1</v>
      </c>
      <c r="D2561" t="str">
        <f t="shared" si="201"/>
        <v>January</v>
      </c>
      <c r="E2561">
        <f t="shared" si="202"/>
        <v>2024</v>
      </c>
      <c r="F2561" t="str">
        <f>CONCATENATE(calendar[[#This Row],[Month]],"/",calendar[[#This Row],[Year]])</f>
        <v>1/2024</v>
      </c>
      <c r="G2561">
        <f>WEEKDAY(calendar[[#This Row],[Date]],1)</f>
        <v>5</v>
      </c>
      <c r="H2561" t="str">
        <f>TEXT(calendar[[#This Row],[WeekDay]],"dddd")</f>
        <v>Thursday</v>
      </c>
      <c r="I2561">
        <f>IF((INT(calendar[[#This Row],[Count]]/7)-calendar[[#This Row],[Count]]/7)&lt;0,I2560,I2560+1)</f>
        <v>366</v>
      </c>
      <c r="J2561">
        <f t="shared" si="199"/>
        <v>2559</v>
      </c>
      <c r="K2561">
        <f>IF(calendar[[#This Row],[Month]]&lt;4,1,IF(calendar[[#This Row],[Month]]&lt;7,2,IF(calendar[[#This Row],[Month]]&lt;10,3,4)))</f>
        <v>1</v>
      </c>
      <c r="L2561">
        <f>IFERROR(IF(VLOOKUP(calendar[[#This Row],[Date]],BH!A:A,1,)&lt;&gt;"",1,0),0)</f>
        <v>0</v>
      </c>
      <c r="M2561">
        <f>IFERROR(IF(VLOOKUP(calendar[[#This Row],[Date]],BH!C:C,1,)&lt;&gt;"",1,0),0)</f>
        <v>0</v>
      </c>
      <c r="N2561">
        <f>IFERROR(IF(VLOOKUP(calendar[[#This Row],[Date]],BH!E:E,1,)&lt;&gt;"",1,0),0)</f>
        <v>0</v>
      </c>
      <c r="O2561">
        <f>IFERROR(IF(VLOOKUP(calendar[[#This Row],[Date]],BH!G:G,1,)&lt;&gt;"",1,0),0)</f>
        <v>0</v>
      </c>
      <c r="P2561">
        <f>IF(OR(calendar[[#This Row],[UK_BH]]=1,calendar[[#This Row],[WeekDay]]=1, calendar[[#This Row],[WeekDay]]=7),P2560,P2560+1)</f>
        <v>1829</v>
      </c>
      <c r="Q2561">
        <f>IF(OR(calendar[[#This Row],[FR_BH]]=1,calendar[[#This Row],[WeekDay]]=1, calendar[[#This Row],[WeekDay]]=7),P2560,P2560+1)</f>
        <v>1829</v>
      </c>
      <c r="R2561">
        <f>IF(OR(calendar[[#This Row],[SP_BH]]=1,calendar[[#This Row],[WeekDay]]=1, calendar[[#This Row],[WeekDay]]=7),P2560,P2560+1)</f>
        <v>1829</v>
      </c>
      <c r="S2561">
        <f>IF(OR(calendar[[#This Row],[PT_BH]]=1,calendar[[#This Row],[WeekDay]]=1, calendar[[#This Row],[WeekDay]]=7),P2560,P2560+1)</f>
        <v>1829</v>
      </c>
    </row>
    <row r="2562" spans="1:19" x14ac:dyDescent="0.25">
      <c r="A2562" s="2">
        <v>45296</v>
      </c>
      <c r="B2562" s="1">
        <f t="shared" ref="B2562:B2625" si="203">WEEKNUM(A2562)</f>
        <v>1</v>
      </c>
      <c r="C2562">
        <f t="shared" si="200"/>
        <v>1</v>
      </c>
      <c r="D2562" t="str">
        <f t="shared" si="201"/>
        <v>January</v>
      </c>
      <c r="E2562">
        <f t="shared" si="202"/>
        <v>2024</v>
      </c>
      <c r="F2562" t="str">
        <f>CONCATENATE(calendar[[#This Row],[Month]],"/",calendar[[#This Row],[Year]])</f>
        <v>1/2024</v>
      </c>
      <c r="G2562">
        <f>WEEKDAY(calendar[[#This Row],[Date]],1)</f>
        <v>6</v>
      </c>
      <c r="H2562" t="str">
        <f>TEXT(calendar[[#This Row],[WeekDay]],"dddd")</f>
        <v>Friday</v>
      </c>
      <c r="I2562">
        <f>IF((INT(calendar[[#This Row],[Count]]/7)-calendar[[#This Row],[Count]]/7)&lt;0,I2561,I2561+1)</f>
        <v>366</v>
      </c>
      <c r="J2562">
        <f t="shared" si="199"/>
        <v>2560</v>
      </c>
      <c r="K2562">
        <f>IF(calendar[[#This Row],[Month]]&lt;4,1,IF(calendar[[#This Row],[Month]]&lt;7,2,IF(calendar[[#This Row],[Month]]&lt;10,3,4)))</f>
        <v>1</v>
      </c>
      <c r="L2562">
        <f>IFERROR(IF(VLOOKUP(calendar[[#This Row],[Date]],BH!A:A,1,)&lt;&gt;"",1,0),0)</f>
        <v>0</v>
      </c>
      <c r="M2562">
        <f>IFERROR(IF(VLOOKUP(calendar[[#This Row],[Date]],BH!C:C,1,)&lt;&gt;"",1,0),0)</f>
        <v>0</v>
      </c>
      <c r="N2562">
        <f>IFERROR(IF(VLOOKUP(calendar[[#This Row],[Date]],BH!E:E,1,)&lt;&gt;"",1,0),0)</f>
        <v>0</v>
      </c>
      <c r="O2562">
        <f>IFERROR(IF(VLOOKUP(calendar[[#This Row],[Date]],BH!G:G,1,)&lt;&gt;"",1,0),0)</f>
        <v>0</v>
      </c>
      <c r="P2562">
        <f>IF(OR(calendar[[#This Row],[UK_BH]]=1,calendar[[#This Row],[WeekDay]]=1, calendar[[#This Row],[WeekDay]]=7),P2561,P2561+1)</f>
        <v>1830</v>
      </c>
      <c r="Q2562">
        <f>IF(OR(calendar[[#This Row],[FR_BH]]=1,calendar[[#This Row],[WeekDay]]=1, calendar[[#This Row],[WeekDay]]=7),P2561,P2561+1)</f>
        <v>1830</v>
      </c>
      <c r="R2562">
        <f>IF(OR(calendar[[#This Row],[SP_BH]]=1,calendar[[#This Row],[WeekDay]]=1, calendar[[#This Row],[WeekDay]]=7),P2561,P2561+1)</f>
        <v>1830</v>
      </c>
      <c r="S2562">
        <f>IF(OR(calendar[[#This Row],[PT_BH]]=1,calendar[[#This Row],[WeekDay]]=1, calendar[[#This Row],[WeekDay]]=7),P2561,P2561+1)</f>
        <v>1830</v>
      </c>
    </row>
    <row r="2563" spans="1:19" x14ac:dyDescent="0.25">
      <c r="A2563" s="2">
        <v>45297</v>
      </c>
      <c r="B2563" s="1">
        <f t="shared" si="203"/>
        <v>1</v>
      </c>
      <c r="C2563">
        <f t="shared" si="200"/>
        <v>1</v>
      </c>
      <c r="D2563" t="str">
        <f t="shared" si="201"/>
        <v>January</v>
      </c>
      <c r="E2563">
        <f t="shared" si="202"/>
        <v>2024</v>
      </c>
      <c r="F2563" t="str">
        <f>CONCATENATE(calendar[[#This Row],[Month]],"/",calendar[[#This Row],[Year]])</f>
        <v>1/2024</v>
      </c>
      <c r="G2563">
        <f>WEEKDAY(calendar[[#This Row],[Date]],1)</f>
        <v>7</v>
      </c>
      <c r="H2563" t="str">
        <f>TEXT(calendar[[#This Row],[WeekDay]],"dddd")</f>
        <v>Saturday</v>
      </c>
      <c r="I2563">
        <f>IF((INT(calendar[[#This Row],[Count]]/7)-calendar[[#This Row],[Count]]/7)&lt;0,I2562,I2562+1)</f>
        <v>366</v>
      </c>
      <c r="J2563">
        <f t="shared" ref="J2563:J2626" si="204">J2562+1</f>
        <v>2561</v>
      </c>
      <c r="K2563">
        <f>IF(calendar[[#This Row],[Month]]&lt;4,1,IF(calendar[[#This Row],[Month]]&lt;7,2,IF(calendar[[#This Row],[Month]]&lt;10,3,4)))</f>
        <v>1</v>
      </c>
      <c r="L2563">
        <f>IFERROR(IF(VLOOKUP(calendar[[#This Row],[Date]],BH!A:A,1,)&lt;&gt;"",1,0),0)</f>
        <v>0</v>
      </c>
      <c r="M2563">
        <f>IFERROR(IF(VLOOKUP(calendar[[#This Row],[Date]],BH!C:C,1,)&lt;&gt;"",1,0),0)</f>
        <v>0</v>
      </c>
      <c r="N2563">
        <f>IFERROR(IF(VLOOKUP(calendar[[#This Row],[Date]],BH!E:E,1,)&lt;&gt;"",1,0),0)</f>
        <v>0</v>
      </c>
      <c r="O2563">
        <f>IFERROR(IF(VLOOKUP(calendar[[#This Row],[Date]],BH!G:G,1,)&lt;&gt;"",1,0),0)</f>
        <v>0</v>
      </c>
      <c r="P2563">
        <f>IF(OR(calendar[[#This Row],[UK_BH]]=1,calendar[[#This Row],[WeekDay]]=1, calendar[[#This Row],[WeekDay]]=7),P2562,P2562+1)</f>
        <v>1830</v>
      </c>
      <c r="Q2563">
        <f>IF(OR(calendar[[#This Row],[FR_BH]]=1,calendar[[#This Row],[WeekDay]]=1, calendar[[#This Row],[WeekDay]]=7),P2562,P2562+1)</f>
        <v>1830</v>
      </c>
      <c r="R2563">
        <f>IF(OR(calendar[[#This Row],[SP_BH]]=1,calendar[[#This Row],[WeekDay]]=1, calendar[[#This Row],[WeekDay]]=7),P2562,P2562+1)</f>
        <v>1830</v>
      </c>
      <c r="S2563">
        <f>IF(OR(calendar[[#This Row],[PT_BH]]=1,calendar[[#This Row],[WeekDay]]=1, calendar[[#This Row],[WeekDay]]=7),P2562,P2562+1)</f>
        <v>1830</v>
      </c>
    </row>
    <row r="2564" spans="1:19" x14ac:dyDescent="0.25">
      <c r="A2564" s="2">
        <v>45298</v>
      </c>
      <c r="B2564" s="1">
        <f t="shared" si="203"/>
        <v>2</v>
      </c>
      <c r="C2564">
        <f t="shared" si="200"/>
        <v>1</v>
      </c>
      <c r="D2564" t="str">
        <f t="shared" si="201"/>
        <v>January</v>
      </c>
      <c r="E2564">
        <f t="shared" si="202"/>
        <v>2024</v>
      </c>
      <c r="F2564" t="str">
        <f>CONCATENATE(calendar[[#This Row],[Month]],"/",calendar[[#This Row],[Year]])</f>
        <v>1/2024</v>
      </c>
      <c r="G2564">
        <f>WEEKDAY(calendar[[#This Row],[Date]],1)</f>
        <v>1</v>
      </c>
      <c r="H2564" t="str">
        <f>TEXT(calendar[[#This Row],[WeekDay]],"dddd")</f>
        <v>Sunday</v>
      </c>
      <c r="I2564">
        <f>IF((INT(calendar[[#This Row],[Count]]/7)-calendar[[#This Row],[Count]]/7)&lt;0,I2563,I2563+1)</f>
        <v>367</v>
      </c>
      <c r="J2564">
        <f t="shared" si="204"/>
        <v>2562</v>
      </c>
      <c r="K2564">
        <f>IF(calendar[[#This Row],[Month]]&lt;4,1,IF(calendar[[#This Row],[Month]]&lt;7,2,IF(calendar[[#This Row],[Month]]&lt;10,3,4)))</f>
        <v>1</v>
      </c>
      <c r="L2564">
        <f>IFERROR(IF(VLOOKUP(calendar[[#This Row],[Date]],BH!A:A,1,)&lt;&gt;"",1,0),0)</f>
        <v>0</v>
      </c>
      <c r="M2564">
        <f>IFERROR(IF(VLOOKUP(calendar[[#This Row],[Date]],BH!C:C,1,)&lt;&gt;"",1,0),0)</f>
        <v>0</v>
      </c>
      <c r="N2564">
        <f>IFERROR(IF(VLOOKUP(calendar[[#This Row],[Date]],BH!E:E,1,)&lt;&gt;"",1,0),0)</f>
        <v>0</v>
      </c>
      <c r="O2564">
        <f>IFERROR(IF(VLOOKUP(calendar[[#This Row],[Date]],BH!G:G,1,)&lt;&gt;"",1,0),0)</f>
        <v>0</v>
      </c>
      <c r="P2564">
        <f>IF(OR(calendar[[#This Row],[UK_BH]]=1,calendar[[#This Row],[WeekDay]]=1, calendar[[#This Row],[WeekDay]]=7),P2563,P2563+1)</f>
        <v>1830</v>
      </c>
      <c r="Q2564">
        <f>IF(OR(calendar[[#This Row],[FR_BH]]=1,calendar[[#This Row],[WeekDay]]=1, calendar[[#This Row],[WeekDay]]=7),P2563,P2563+1)</f>
        <v>1830</v>
      </c>
      <c r="R2564">
        <f>IF(OR(calendar[[#This Row],[SP_BH]]=1,calendar[[#This Row],[WeekDay]]=1, calendar[[#This Row],[WeekDay]]=7),P2563,P2563+1)</f>
        <v>1830</v>
      </c>
      <c r="S2564">
        <f>IF(OR(calendar[[#This Row],[PT_BH]]=1,calendar[[#This Row],[WeekDay]]=1, calendar[[#This Row],[WeekDay]]=7),P2563,P2563+1)</f>
        <v>1830</v>
      </c>
    </row>
    <row r="2565" spans="1:19" x14ac:dyDescent="0.25">
      <c r="A2565" s="2">
        <v>45299</v>
      </c>
      <c r="B2565" s="1">
        <f t="shared" si="203"/>
        <v>2</v>
      </c>
      <c r="C2565">
        <f t="shared" si="200"/>
        <v>1</v>
      </c>
      <c r="D2565" t="str">
        <f t="shared" si="201"/>
        <v>January</v>
      </c>
      <c r="E2565">
        <f t="shared" si="202"/>
        <v>2024</v>
      </c>
      <c r="F2565" t="str">
        <f>CONCATENATE(calendar[[#This Row],[Month]],"/",calendar[[#This Row],[Year]])</f>
        <v>1/2024</v>
      </c>
      <c r="G2565">
        <f>WEEKDAY(calendar[[#This Row],[Date]],1)</f>
        <v>2</v>
      </c>
      <c r="H2565" t="str">
        <f>TEXT(calendar[[#This Row],[WeekDay]],"dddd")</f>
        <v>Monday</v>
      </c>
      <c r="I2565">
        <f>IF((INT(calendar[[#This Row],[Count]]/7)-calendar[[#This Row],[Count]]/7)&lt;0,I2564,I2564+1)</f>
        <v>367</v>
      </c>
      <c r="J2565">
        <f t="shared" si="204"/>
        <v>2563</v>
      </c>
      <c r="K2565">
        <f>IF(calendar[[#This Row],[Month]]&lt;4,1,IF(calendar[[#This Row],[Month]]&lt;7,2,IF(calendar[[#This Row],[Month]]&lt;10,3,4)))</f>
        <v>1</v>
      </c>
      <c r="L2565">
        <f>IFERROR(IF(VLOOKUP(calendar[[#This Row],[Date]],BH!A:A,1,)&lt;&gt;"",1,0),0)</f>
        <v>0</v>
      </c>
      <c r="M2565">
        <f>IFERROR(IF(VLOOKUP(calendar[[#This Row],[Date]],BH!C:C,1,)&lt;&gt;"",1,0),0)</f>
        <v>0</v>
      </c>
      <c r="N2565">
        <f>IFERROR(IF(VLOOKUP(calendar[[#This Row],[Date]],BH!E:E,1,)&lt;&gt;"",1,0),0)</f>
        <v>0</v>
      </c>
      <c r="O2565">
        <f>IFERROR(IF(VLOOKUP(calendar[[#This Row],[Date]],BH!G:G,1,)&lt;&gt;"",1,0),0)</f>
        <v>0</v>
      </c>
      <c r="P2565">
        <f>IF(OR(calendar[[#This Row],[UK_BH]]=1,calendar[[#This Row],[WeekDay]]=1, calendar[[#This Row],[WeekDay]]=7),P2564,P2564+1)</f>
        <v>1831</v>
      </c>
      <c r="Q2565">
        <f>IF(OR(calendar[[#This Row],[FR_BH]]=1,calendar[[#This Row],[WeekDay]]=1, calendar[[#This Row],[WeekDay]]=7),P2564,P2564+1)</f>
        <v>1831</v>
      </c>
      <c r="R2565">
        <f>IF(OR(calendar[[#This Row],[SP_BH]]=1,calendar[[#This Row],[WeekDay]]=1, calendar[[#This Row],[WeekDay]]=7),P2564,P2564+1)</f>
        <v>1831</v>
      </c>
      <c r="S2565">
        <f>IF(OR(calendar[[#This Row],[PT_BH]]=1,calendar[[#This Row],[WeekDay]]=1, calendar[[#This Row],[WeekDay]]=7),P2564,P2564+1)</f>
        <v>1831</v>
      </c>
    </row>
    <row r="2566" spans="1:19" x14ac:dyDescent="0.25">
      <c r="A2566" s="2">
        <v>45300</v>
      </c>
      <c r="B2566" s="1">
        <f t="shared" si="203"/>
        <v>2</v>
      </c>
      <c r="C2566">
        <f t="shared" si="200"/>
        <v>1</v>
      </c>
      <c r="D2566" t="str">
        <f t="shared" si="201"/>
        <v>January</v>
      </c>
      <c r="E2566">
        <f t="shared" si="202"/>
        <v>2024</v>
      </c>
      <c r="F2566" t="str">
        <f>CONCATENATE(calendar[[#This Row],[Month]],"/",calendar[[#This Row],[Year]])</f>
        <v>1/2024</v>
      </c>
      <c r="G2566">
        <f>WEEKDAY(calendar[[#This Row],[Date]],1)</f>
        <v>3</v>
      </c>
      <c r="H2566" t="str">
        <f>TEXT(calendar[[#This Row],[WeekDay]],"dddd")</f>
        <v>Tuesday</v>
      </c>
      <c r="I2566">
        <f>IF((INT(calendar[[#This Row],[Count]]/7)-calendar[[#This Row],[Count]]/7)&lt;0,I2565,I2565+1)</f>
        <v>367</v>
      </c>
      <c r="J2566">
        <f t="shared" si="204"/>
        <v>2564</v>
      </c>
      <c r="K2566">
        <f>IF(calendar[[#This Row],[Month]]&lt;4,1,IF(calendar[[#This Row],[Month]]&lt;7,2,IF(calendar[[#This Row],[Month]]&lt;10,3,4)))</f>
        <v>1</v>
      </c>
      <c r="L2566">
        <f>IFERROR(IF(VLOOKUP(calendar[[#This Row],[Date]],BH!A:A,1,)&lt;&gt;"",1,0),0)</f>
        <v>0</v>
      </c>
      <c r="M2566">
        <f>IFERROR(IF(VLOOKUP(calendar[[#This Row],[Date]],BH!C:C,1,)&lt;&gt;"",1,0),0)</f>
        <v>0</v>
      </c>
      <c r="N2566">
        <f>IFERROR(IF(VLOOKUP(calendar[[#This Row],[Date]],BH!E:E,1,)&lt;&gt;"",1,0),0)</f>
        <v>0</v>
      </c>
      <c r="O2566">
        <f>IFERROR(IF(VLOOKUP(calendar[[#This Row],[Date]],BH!G:G,1,)&lt;&gt;"",1,0),0)</f>
        <v>0</v>
      </c>
      <c r="P2566">
        <f>IF(OR(calendar[[#This Row],[UK_BH]]=1,calendar[[#This Row],[WeekDay]]=1, calendar[[#This Row],[WeekDay]]=7),P2565,P2565+1)</f>
        <v>1832</v>
      </c>
      <c r="Q2566">
        <f>IF(OR(calendar[[#This Row],[FR_BH]]=1,calendar[[#This Row],[WeekDay]]=1, calendar[[#This Row],[WeekDay]]=7),P2565,P2565+1)</f>
        <v>1832</v>
      </c>
      <c r="R2566">
        <f>IF(OR(calendar[[#This Row],[SP_BH]]=1,calendar[[#This Row],[WeekDay]]=1, calendar[[#This Row],[WeekDay]]=7),P2565,P2565+1)</f>
        <v>1832</v>
      </c>
      <c r="S2566">
        <f>IF(OR(calendar[[#This Row],[PT_BH]]=1,calendar[[#This Row],[WeekDay]]=1, calendar[[#This Row],[WeekDay]]=7),P2565,P2565+1)</f>
        <v>1832</v>
      </c>
    </row>
    <row r="2567" spans="1:19" x14ac:dyDescent="0.25">
      <c r="A2567" s="2">
        <v>45301</v>
      </c>
      <c r="B2567" s="1">
        <f t="shared" si="203"/>
        <v>2</v>
      </c>
      <c r="C2567">
        <f t="shared" si="200"/>
        <v>1</v>
      </c>
      <c r="D2567" t="str">
        <f t="shared" si="201"/>
        <v>January</v>
      </c>
      <c r="E2567">
        <f t="shared" si="202"/>
        <v>2024</v>
      </c>
      <c r="F2567" t="str">
        <f>CONCATENATE(calendar[[#This Row],[Month]],"/",calendar[[#This Row],[Year]])</f>
        <v>1/2024</v>
      </c>
      <c r="G2567">
        <f>WEEKDAY(calendar[[#This Row],[Date]],1)</f>
        <v>4</v>
      </c>
      <c r="H2567" t="str">
        <f>TEXT(calendar[[#This Row],[WeekDay]],"dddd")</f>
        <v>Wednesday</v>
      </c>
      <c r="I2567">
        <f>IF((INT(calendar[[#This Row],[Count]]/7)-calendar[[#This Row],[Count]]/7)&lt;0,I2566,I2566+1)</f>
        <v>367</v>
      </c>
      <c r="J2567">
        <f t="shared" si="204"/>
        <v>2565</v>
      </c>
      <c r="K2567">
        <f>IF(calendar[[#This Row],[Month]]&lt;4,1,IF(calendar[[#This Row],[Month]]&lt;7,2,IF(calendar[[#This Row],[Month]]&lt;10,3,4)))</f>
        <v>1</v>
      </c>
      <c r="L2567">
        <f>IFERROR(IF(VLOOKUP(calendar[[#This Row],[Date]],BH!A:A,1,)&lt;&gt;"",1,0),0)</f>
        <v>0</v>
      </c>
      <c r="M2567">
        <f>IFERROR(IF(VLOOKUP(calendar[[#This Row],[Date]],BH!C:C,1,)&lt;&gt;"",1,0),0)</f>
        <v>0</v>
      </c>
      <c r="N2567">
        <f>IFERROR(IF(VLOOKUP(calendar[[#This Row],[Date]],BH!E:E,1,)&lt;&gt;"",1,0),0)</f>
        <v>0</v>
      </c>
      <c r="O2567">
        <f>IFERROR(IF(VLOOKUP(calendar[[#This Row],[Date]],BH!G:G,1,)&lt;&gt;"",1,0),0)</f>
        <v>0</v>
      </c>
      <c r="P2567">
        <f>IF(OR(calendar[[#This Row],[UK_BH]]=1,calendar[[#This Row],[WeekDay]]=1, calendar[[#This Row],[WeekDay]]=7),P2566,P2566+1)</f>
        <v>1833</v>
      </c>
      <c r="Q2567">
        <f>IF(OR(calendar[[#This Row],[FR_BH]]=1,calendar[[#This Row],[WeekDay]]=1, calendar[[#This Row],[WeekDay]]=7),P2566,P2566+1)</f>
        <v>1833</v>
      </c>
      <c r="R2567">
        <f>IF(OR(calendar[[#This Row],[SP_BH]]=1,calendar[[#This Row],[WeekDay]]=1, calendar[[#This Row],[WeekDay]]=7),P2566,P2566+1)</f>
        <v>1833</v>
      </c>
      <c r="S2567">
        <f>IF(OR(calendar[[#This Row],[PT_BH]]=1,calendar[[#This Row],[WeekDay]]=1, calendar[[#This Row],[WeekDay]]=7),P2566,P2566+1)</f>
        <v>1833</v>
      </c>
    </row>
    <row r="2568" spans="1:19" x14ac:dyDescent="0.25">
      <c r="A2568" s="2">
        <v>45302</v>
      </c>
      <c r="B2568" s="1">
        <f t="shared" si="203"/>
        <v>2</v>
      </c>
      <c r="C2568">
        <f t="shared" si="200"/>
        <v>1</v>
      </c>
      <c r="D2568" t="str">
        <f t="shared" si="201"/>
        <v>January</v>
      </c>
      <c r="E2568">
        <f t="shared" si="202"/>
        <v>2024</v>
      </c>
      <c r="F2568" t="str">
        <f>CONCATENATE(calendar[[#This Row],[Month]],"/",calendar[[#This Row],[Year]])</f>
        <v>1/2024</v>
      </c>
      <c r="G2568">
        <f>WEEKDAY(calendar[[#This Row],[Date]],1)</f>
        <v>5</v>
      </c>
      <c r="H2568" t="str">
        <f>TEXT(calendar[[#This Row],[WeekDay]],"dddd")</f>
        <v>Thursday</v>
      </c>
      <c r="I2568">
        <f>IF((INT(calendar[[#This Row],[Count]]/7)-calendar[[#This Row],[Count]]/7)&lt;0,I2567,I2567+1)</f>
        <v>367</v>
      </c>
      <c r="J2568">
        <f t="shared" si="204"/>
        <v>2566</v>
      </c>
      <c r="K2568">
        <f>IF(calendar[[#This Row],[Month]]&lt;4,1,IF(calendar[[#This Row],[Month]]&lt;7,2,IF(calendar[[#This Row],[Month]]&lt;10,3,4)))</f>
        <v>1</v>
      </c>
      <c r="L2568">
        <f>IFERROR(IF(VLOOKUP(calendar[[#This Row],[Date]],BH!A:A,1,)&lt;&gt;"",1,0),0)</f>
        <v>0</v>
      </c>
      <c r="M2568">
        <f>IFERROR(IF(VLOOKUP(calendar[[#This Row],[Date]],BH!C:C,1,)&lt;&gt;"",1,0),0)</f>
        <v>0</v>
      </c>
      <c r="N2568">
        <f>IFERROR(IF(VLOOKUP(calendar[[#This Row],[Date]],BH!E:E,1,)&lt;&gt;"",1,0),0)</f>
        <v>0</v>
      </c>
      <c r="O2568">
        <f>IFERROR(IF(VLOOKUP(calendar[[#This Row],[Date]],BH!G:G,1,)&lt;&gt;"",1,0),0)</f>
        <v>0</v>
      </c>
      <c r="P2568">
        <f>IF(OR(calendar[[#This Row],[UK_BH]]=1,calendar[[#This Row],[WeekDay]]=1, calendar[[#This Row],[WeekDay]]=7),P2567,P2567+1)</f>
        <v>1834</v>
      </c>
      <c r="Q2568">
        <f>IF(OR(calendar[[#This Row],[FR_BH]]=1,calendar[[#This Row],[WeekDay]]=1, calendar[[#This Row],[WeekDay]]=7),P2567,P2567+1)</f>
        <v>1834</v>
      </c>
      <c r="R2568">
        <f>IF(OR(calendar[[#This Row],[SP_BH]]=1,calendar[[#This Row],[WeekDay]]=1, calendar[[#This Row],[WeekDay]]=7),P2567,P2567+1)</f>
        <v>1834</v>
      </c>
      <c r="S2568">
        <f>IF(OR(calendar[[#This Row],[PT_BH]]=1,calendar[[#This Row],[WeekDay]]=1, calendar[[#This Row],[WeekDay]]=7),P2567,P2567+1)</f>
        <v>1834</v>
      </c>
    </row>
    <row r="2569" spans="1:19" x14ac:dyDescent="0.25">
      <c r="A2569" s="2">
        <v>45303</v>
      </c>
      <c r="B2569" s="1">
        <f t="shared" si="203"/>
        <v>2</v>
      </c>
      <c r="C2569">
        <f t="shared" si="200"/>
        <v>1</v>
      </c>
      <c r="D2569" t="str">
        <f t="shared" si="201"/>
        <v>January</v>
      </c>
      <c r="E2569">
        <f t="shared" si="202"/>
        <v>2024</v>
      </c>
      <c r="F2569" t="str">
        <f>CONCATENATE(calendar[[#This Row],[Month]],"/",calendar[[#This Row],[Year]])</f>
        <v>1/2024</v>
      </c>
      <c r="G2569">
        <f>WEEKDAY(calendar[[#This Row],[Date]],1)</f>
        <v>6</v>
      </c>
      <c r="H2569" t="str">
        <f>TEXT(calendar[[#This Row],[WeekDay]],"dddd")</f>
        <v>Friday</v>
      </c>
      <c r="I2569">
        <f>IF((INT(calendar[[#This Row],[Count]]/7)-calendar[[#This Row],[Count]]/7)&lt;0,I2568,I2568+1)</f>
        <v>367</v>
      </c>
      <c r="J2569">
        <f t="shared" si="204"/>
        <v>2567</v>
      </c>
      <c r="K2569">
        <f>IF(calendar[[#This Row],[Month]]&lt;4,1,IF(calendar[[#This Row],[Month]]&lt;7,2,IF(calendar[[#This Row],[Month]]&lt;10,3,4)))</f>
        <v>1</v>
      </c>
      <c r="L2569">
        <f>IFERROR(IF(VLOOKUP(calendar[[#This Row],[Date]],BH!A:A,1,)&lt;&gt;"",1,0),0)</f>
        <v>0</v>
      </c>
      <c r="M2569">
        <f>IFERROR(IF(VLOOKUP(calendar[[#This Row],[Date]],BH!C:C,1,)&lt;&gt;"",1,0),0)</f>
        <v>0</v>
      </c>
      <c r="N2569">
        <f>IFERROR(IF(VLOOKUP(calendar[[#This Row],[Date]],BH!E:E,1,)&lt;&gt;"",1,0),0)</f>
        <v>0</v>
      </c>
      <c r="O2569">
        <f>IFERROR(IF(VLOOKUP(calendar[[#This Row],[Date]],BH!G:G,1,)&lt;&gt;"",1,0),0)</f>
        <v>0</v>
      </c>
      <c r="P2569">
        <f>IF(OR(calendar[[#This Row],[UK_BH]]=1,calendar[[#This Row],[WeekDay]]=1, calendar[[#This Row],[WeekDay]]=7),P2568,P2568+1)</f>
        <v>1835</v>
      </c>
      <c r="Q2569">
        <f>IF(OR(calendar[[#This Row],[FR_BH]]=1,calendar[[#This Row],[WeekDay]]=1, calendar[[#This Row],[WeekDay]]=7),P2568,P2568+1)</f>
        <v>1835</v>
      </c>
      <c r="R2569">
        <f>IF(OR(calendar[[#This Row],[SP_BH]]=1,calendar[[#This Row],[WeekDay]]=1, calendar[[#This Row],[WeekDay]]=7),P2568,P2568+1)</f>
        <v>1835</v>
      </c>
      <c r="S2569">
        <f>IF(OR(calendar[[#This Row],[PT_BH]]=1,calendar[[#This Row],[WeekDay]]=1, calendar[[#This Row],[WeekDay]]=7),P2568,P2568+1)</f>
        <v>1835</v>
      </c>
    </row>
    <row r="2570" spans="1:19" x14ac:dyDescent="0.25">
      <c r="A2570" s="2">
        <v>45304</v>
      </c>
      <c r="B2570" s="1">
        <f t="shared" si="203"/>
        <v>2</v>
      </c>
      <c r="C2570">
        <f t="shared" si="200"/>
        <v>1</v>
      </c>
      <c r="D2570" t="str">
        <f t="shared" si="201"/>
        <v>January</v>
      </c>
      <c r="E2570">
        <f t="shared" si="202"/>
        <v>2024</v>
      </c>
      <c r="F2570" t="str">
        <f>CONCATENATE(calendar[[#This Row],[Month]],"/",calendar[[#This Row],[Year]])</f>
        <v>1/2024</v>
      </c>
      <c r="G2570">
        <f>WEEKDAY(calendar[[#This Row],[Date]],1)</f>
        <v>7</v>
      </c>
      <c r="H2570" t="str">
        <f>TEXT(calendar[[#This Row],[WeekDay]],"dddd")</f>
        <v>Saturday</v>
      </c>
      <c r="I2570">
        <f>IF((INT(calendar[[#This Row],[Count]]/7)-calendar[[#This Row],[Count]]/7)&lt;0,I2569,I2569+1)</f>
        <v>367</v>
      </c>
      <c r="J2570">
        <f t="shared" si="204"/>
        <v>2568</v>
      </c>
      <c r="K2570">
        <f>IF(calendar[[#This Row],[Month]]&lt;4,1,IF(calendar[[#This Row],[Month]]&lt;7,2,IF(calendar[[#This Row],[Month]]&lt;10,3,4)))</f>
        <v>1</v>
      </c>
      <c r="L2570">
        <f>IFERROR(IF(VLOOKUP(calendar[[#This Row],[Date]],BH!A:A,1,)&lt;&gt;"",1,0),0)</f>
        <v>0</v>
      </c>
      <c r="M2570">
        <f>IFERROR(IF(VLOOKUP(calendar[[#This Row],[Date]],BH!C:C,1,)&lt;&gt;"",1,0),0)</f>
        <v>0</v>
      </c>
      <c r="N2570">
        <f>IFERROR(IF(VLOOKUP(calendar[[#This Row],[Date]],BH!E:E,1,)&lt;&gt;"",1,0),0)</f>
        <v>0</v>
      </c>
      <c r="O2570">
        <f>IFERROR(IF(VLOOKUP(calendar[[#This Row],[Date]],BH!G:G,1,)&lt;&gt;"",1,0),0)</f>
        <v>0</v>
      </c>
      <c r="P2570">
        <f>IF(OR(calendar[[#This Row],[UK_BH]]=1,calendar[[#This Row],[WeekDay]]=1, calendar[[#This Row],[WeekDay]]=7),P2569,P2569+1)</f>
        <v>1835</v>
      </c>
      <c r="Q2570">
        <f>IF(OR(calendar[[#This Row],[FR_BH]]=1,calendar[[#This Row],[WeekDay]]=1, calendar[[#This Row],[WeekDay]]=7),P2569,P2569+1)</f>
        <v>1835</v>
      </c>
      <c r="R2570">
        <f>IF(OR(calendar[[#This Row],[SP_BH]]=1,calendar[[#This Row],[WeekDay]]=1, calendar[[#This Row],[WeekDay]]=7),P2569,P2569+1)</f>
        <v>1835</v>
      </c>
      <c r="S2570">
        <f>IF(OR(calendar[[#This Row],[PT_BH]]=1,calendar[[#This Row],[WeekDay]]=1, calendar[[#This Row],[WeekDay]]=7),P2569,P2569+1)</f>
        <v>1835</v>
      </c>
    </row>
    <row r="2571" spans="1:19" x14ac:dyDescent="0.25">
      <c r="A2571" s="2">
        <v>45305</v>
      </c>
      <c r="B2571" s="1">
        <f t="shared" si="203"/>
        <v>3</v>
      </c>
      <c r="C2571">
        <f t="shared" si="200"/>
        <v>1</v>
      </c>
      <c r="D2571" t="str">
        <f t="shared" si="201"/>
        <v>January</v>
      </c>
      <c r="E2571">
        <f t="shared" si="202"/>
        <v>2024</v>
      </c>
      <c r="F2571" t="str">
        <f>CONCATENATE(calendar[[#This Row],[Month]],"/",calendar[[#This Row],[Year]])</f>
        <v>1/2024</v>
      </c>
      <c r="G2571">
        <f>WEEKDAY(calendar[[#This Row],[Date]],1)</f>
        <v>1</v>
      </c>
      <c r="H2571" t="str">
        <f>TEXT(calendar[[#This Row],[WeekDay]],"dddd")</f>
        <v>Sunday</v>
      </c>
      <c r="I2571">
        <f>IF((INT(calendar[[#This Row],[Count]]/7)-calendar[[#This Row],[Count]]/7)&lt;0,I2570,I2570+1)</f>
        <v>368</v>
      </c>
      <c r="J2571">
        <f t="shared" si="204"/>
        <v>2569</v>
      </c>
      <c r="K2571">
        <f>IF(calendar[[#This Row],[Month]]&lt;4,1,IF(calendar[[#This Row],[Month]]&lt;7,2,IF(calendar[[#This Row],[Month]]&lt;10,3,4)))</f>
        <v>1</v>
      </c>
      <c r="L2571">
        <f>IFERROR(IF(VLOOKUP(calendar[[#This Row],[Date]],BH!A:A,1,)&lt;&gt;"",1,0),0)</f>
        <v>0</v>
      </c>
      <c r="M2571">
        <f>IFERROR(IF(VLOOKUP(calendar[[#This Row],[Date]],BH!C:C,1,)&lt;&gt;"",1,0),0)</f>
        <v>0</v>
      </c>
      <c r="N2571">
        <f>IFERROR(IF(VLOOKUP(calendar[[#This Row],[Date]],BH!E:E,1,)&lt;&gt;"",1,0),0)</f>
        <v>0</v>
      </c>
      <c r="O2571">
        <f>IFERROR(IF(VLOOKUP(calendar[[#This Row],[Date]],BH!G:G,1,)&lt;&gt;"",1,0),0)</f>
        <v>0</v>
      </c>
      <c r="P2571">
        <f>IF(OR(calendar[[#This Row],[UK_BH]]=1,calendar[[#This Row],[WeekDay]]=1, calendar[[#This Row],[WeekDay]]=7),P2570,P2570+1)</f>
        <v>1835</v>
      </c>
      <c r="Q2571">
        <f>IF(OR(calendar[[#This Row],[FR_BH]]=1,calendar[[#This Row],[WeekDay]]=1, calendar[[#This Row],[WeekDay]]=7),P2570,P2570+1)</f>
        <v>1835</v>
      </c>
      <c r="R2571">
        <f>IF(OR(calendar[[#This Row],[SP_BH]]=1,calendar[[#This Row],[WeekDay]]=1, calendar[[#This Row],[WeekDay]]=7),P2570,P2570+1)</f>
        <v>1835</v>
      </c>
      <c r="S2571">
        <f>IF(OR(calendar[[#This Row],[PT_BH]]=1,calendar[[#This Row],[WeekDay]]=1, calendar[[#This Row],[WeekDay]]=7),P2570,P2570+1)</f>
        <v>1835</v>
      </c>
    </row>
    <row r="2572" spans="1:19" x14ac:dyDescent="0.25">
      <c r="A2572" s="2">
        <v>45306</v>
      </c>
      <c r="B2572" s="1">
        <f t="shared" si="203"/>
        <v>3</v>
      </c>
      <c r="C2572">
        <f t="shared" si="200"/>
        <v>1</v>
      </c>
      <c r="D2572" t="str">
        <f t="shared" si="201"/>
        <v>January</v>
      </c>
      <c r="E2572">
        <f t="shared" si="202"/>
        <v>2024</v>
      </c>
      <c r="F2572" t="str">
        <f>CONCATENATE(calendar[[#This Row],[Month]],"/",calendar[[#This Row],[Year]])</f>
        <v>1/2024</v>
      </c>
      <c r="G2572">
        <f>WEEKDAY(calendar[[#This Row],[Date]],1)</f>
        <v>2</v>
      </c>
      <c r="H2572" t="str">
        <f>TEXT(calendar[[#This Row],[WeekDay]],"dddd")</f>
        <v>Monday</v>
      </c>
      <c r="I2572">
        <f>IF((INT(calendar[[#This Row],[Count]]/7)-calendar[[#This Row],[Count]]/7)&lt;0,I2571,I2571+1)</f>
        <v>368</v>
      </c>
      <c r="J2572">
        <f t="shared" si="204"/>
        <v>2570</v>
      </c>
      <c r="K2572">
        <f>IF(calendar[[#This Row],[Month]]&lt;4,1,IF(calendar[[#This Row],[Month]]&lt;7,2,IF(calendar[[#This Row],[Month]]&lt;10,3,4)))</f>
        <v>1</v>
      </c>
      <c r="L2572">
        <f>IFERROR(IF(VLOOKUP(calendar[[#This Row],[Date]],BH!A:A,1,)&lt;&gt;"",1,0),0)</f>
        <v>0</v>
      </c>
      <c r="M2572">
        <f>IFERROR(IF(VLOOKUP(calendar[[#This Row],[Date]],BH!C:C,1,)&lt;&gt;"",1,0),0)</f>
        <v>0</v>
      </c>
      <c r="N2572">
        <f>IFERROR(IF(VLOOKUP(calendar[[#This Row],[Date]],BH!E:E,1,)&lt;&gt;"",1,0),0)</f>
        <v>0</v>
      </c>
      <c r="O2572">
        <f>IFERROR(IF(VLOOKUP(calendar[[#This Row],[Date]],BH!G:G,1,)&lt;&gt;"",1,0),0)</f>
        <v>0</v>
      </c>
      <c r="P2572">
        <f>IF(OR(calendar[[#This Row],[UK_BH]]=1,calendar[[#This Row],[WeekDay]]=1, calendar[[#This Row],[WeekDay]]=7),P2571,P2571+1)</f>
        <v>1836</v>
      </c>
      <c r="Q2572">
        <f>IF(OR(calendar[[#This Row],[FR_BH]]=1,calendar[[#This Row],[WeekDay]]=1, calendar[[#This Row],[WeekDay]]=7),P2571,P2571+1)</f>
        <v>1836</v>
      </c>
      <c r="R2572">
        <f>IF(OR(calendar[[#This Row],[SP_BH]]=1,calendar[[#This Row],[WeekDay]]=1, calendar[[#This Row],[WeekDay]]=7),P2571,P2571+1)</f>
        <v>1836</v>
      </c>
      <c r="S2572">
        <f>IF(OR(calendar[[#This Row],[PT_BH]]=1,calendar[[#This Row],[WeekDay]]=1, calendar[[#This Row],[WeekDay]]=7),P2571,P2571+1)</f>
        <v>1836</v>
      </c>
    </row>
    <row r="2573" spans="1:19" x14ac:dyDescent="0.25">
      <c r="A2573" s="2">
        <v>45307</v>
      </c>
      <c r="B2573" s="1">
        <f t="shared" si="203"/>
        <v>3</v>
      </c>
      <c r="C2573">
        <f t="shared" si="200"/>
        <v>1</v>
      </c>
      <c r="D2573" t="str">
        <f t="shared" si="201"/>
        <v>January</v>
      </c>
      <c r="E2573">
        <f t="shared" si="202"/>
        <v>2024</v>
      </c>
      <c r="F2573" t="str">
        <f>CONCATENATE(calendar[[#This Row],[Month]],"/",calendar[[#This Row],[Year]])</f>
        <v>1/2024</v>
      </c>
      <c r="G2573">
        <f>WEEKDAY(calendar[[#This Row],[Date]],1)</f>
        <v>3</v>
      </c>
      <c r="H2573" t="str">
        <f>TEXT(calendar[[#This Row],[WeekDay]],"dddd")</f>
        <v>Tuesday</v>
      </c>
      <c r="I2573">
        <f>IF((INT(calendar[[#This Row],[Count]]/7)-calendar[[#This Row],[Count]]/7)&lt;0,I2572,I2572+1)</f>
        <v>368</v>
      </c>
      <c r="J2573">
        <f t="shared" si="204"/>
        <v>2571</v>
      </c>
      <c r="K2573">
        <f>IF(calendar[[#This Row],[Month]]&lt;4,1,IF(calendar[[#This Row],[Month]]&lt;7,2,IF(calendar[[#This Row],[Month]]&lt;10,3,4)))</f>
        <v>1</v>
      </c>
      <c r="L2573">
        <f>IFERROR(IF(VLOOKUP(calendar[[#This Row],[Date]],BH!A:A,1,)&lt;&gt;"",1,0),0)</f>
        <v>0</v>
      </c>
      <c r="M2573">
        <f>IFERROR(IF(VLOOKUP(calendar[[#This Row],[Date]],BH!C:C,1,)&lt;&gt;"",1,0),0)</f>
        <v>0</v>
      </c>
      <c r="N2573">
        <f>IFERROR(IF(VLOOKUP(calendar[[#This Row],[Date]],BH!E:E,1,)&lt;&gt;"",1,0),0)</f>
        <v>0</v>
      </c>
      <c r="O2573">
        <f>IFERROR(IF(VLOOKUP(calendar[[#This Row],[Date]],BH!G:G,1,)&lt;&gt;"",1,0),0)</f>
        <v>0</v>
      </c>
      <c r="P2573">
        <f>IF(OR(calendar[[#This Row],[UK_BH]]=1,calendar[[#This Row],[WeekDay]]=1, calendar[[#This Row],[WeekDay]]=7),P2572,P2572+1)</f>
        <v>1837</v>
      </c>
      <c r="Q2573">
        <f>IF(OR(calendar[[#This Row],[FR_BH]]=1,calendar[[#This Row],[WeekDay]]=1, calendar[[#This Row],[WeekDay]]=7),P2572,P2572+1)</f>
        <v>1837</v>
      </c>
      <c r="R2573">
        <f>IF(OR(calendar[[#This Row],[SP_BH]]=1,calendar[[#This Row],[WeekDay]]=1, calendar[[#This Row],[WeekDay]]=7),P2572,P2572+1)</f>
        <v>1837</v>
      </c>
      <c r="S2573">
        <f>IF(OR(calendar[[#This Row],[PT_BH]]=1,calendar[[#This Row],[WeekDay]]=1, calendar[[#This Row],[WeekDay]]=7),P2572,P2572+1)</f>
        <v>1837</v>
      </c>
    </row>
    <row r="2574" spans="1:19" x14ac:dyDescent="0.25">
      <c r="A2574" s="2">
        <v>45308</v>
      </c>
      <c r="B2574" s="1">
        <f t="shared" si="203"/>
        <v>3</v>
      </c>
      <c r="C2574">
        <f t="shared" si="200"/>
        <v>1</v>
      </c>
      <c r="D2574" t="str">
        <f t="shared" si="201"/>
        <v>January</v>
      </c>
      <c r="E2574">
        <f t="shared" si="202"/>
        <v>2024</v>
      </c>
      <c r="F2574" t="str">
        <f>CONCATENATE(calendar[[#This Row],[Month]],"/",calendar[[#This Row],[Year]])</f>
        <v>1/2024</v>
      </c>
      <c r="G2574">
        <f>WEEKDAY(calendar[[#This Row],[Date]],1)</f>
        <v>4</v>
      </c>
      <c r="H2574" t="str">
        <f>TEXT(calendar[[#This Row],[WeekDay]],"dddd")</f>
        <v>Wednesday</v>
      </c>
      <c r="I2574">
        <f>IF((INT(calendar[[#This Row],[Count]]/7)-calendar[[#This Row],[Count]]/7)&lt;0,I2573,I2573+1)</f>
        <v>368</v>
      </c>
      <c r="J2574">
        <f t="shared" si="204"/>
        <v>2572</v>
      </c>
      <c r="K2574">
        <f>IF(calendar[[#This Row],[Month]]&lt;4,1,IF(calendar[[#This Row],[Month]]&lt;7,2,IF(calendar[[#This Row],[Month]]&lt;10,3,4)))</f>
        <v>1</v>
      </c>
      <c r="L2574">
        <f>IFERROR(IF(VLOOKUP(calendar[[#This Row],[Date]],BH!A:A,1,)&lt;&gt;"",1,0),0)</f>
        <v>0</v>
      </c>
      <c r="M2574">
        <f>IFERROR(IF(VLOOKUP(calendar[[#This Row],[Date]],BH!C:C,1,)&lt;&gt;"",1,0),0)</f>
        <v>0</v>
      </c>
      <c r="N2574">
        <f>IFERROR(IF(VLOOKUP(calendar[[#This Row],[Date]],BH!E:E,1,)&lt;&gt;"",1,0),0)</f>
        <v>0</v>
      </c>
      <c r="O2574">
        <f>IFERROR(IF(VLOOKUP(calendar[[#This Row],[Date]],BH!G:G,1,)&lt;&gt;"",1,0),0)</f>
        <v>0</v>
      </c>
      <c r="P2574">
        <f>IF(OR(calendar[[#This Row],[UK_BH]]=1,calendar[[#This Row],[WeekDay]]=1, calendar[[#This Row],[WeekDay]]=7),P2573,P2573+1)</f>
        <v>1838</v>
      </c>
      <c r="Q2574">
        <f>IF(OR(calendar[[#This Row],[FR_BH]]=1,calendar[[#This Row],[WeekDay]]=1, calendar[[#This Row],[WeekDay]]=7),P2573,P2573+1)</f>
        <v>1838</v>
      </c>
      <c r="R2574">
        <f>IF(OR(calendar[[#This Row],[SP_BH]]=1,calendar[[#This Row],[WeekDay]]=1, calendar[[#This Row],[WeekDay]]=7),P2573,P2573+1)</f>
        <v>1838</v>
      </c>
      <c r="S2574">
        <f>IF(OR(calendar[[#This Row],[PT_BH]]=1,calendar[[#This Row],[WeekDay]]=1, calendar[[#This Row],[WeekDay]]=7),P2573,P2573+1)</f>
        <v>1838</v>
      </c>
    </row>
    <row r="2575" spans="1:19" x14ac:dyDescent="0.25">
      <c r="A2575" s="2">
        <v>45309</v>
      </c>
      <c r="B2575" s="1">
        <f t="shared" si="203"/>
        <v>3</v>
      </c>
      <c r="C2575">
        <f t="shared" si="200"/>
        <v>1</v>
      </c>
      <c r="D2575" t="str">
        <f t="shared" si="201"/>
        <v>January</v>
      </c>
      <c r="E2575">
        <f t="shared" si="202"/>
        <v>2024</v>
      </c>
      <c r="F2575" t="str">
        <f>CONCATENATE(calendar[[#This Row],[Month]],"/",calendar[[#This Row],[Year]])</f>
        <v>1/2024</v>
      </c>
      <c r="G2575">
        <f>WEEKDAY(calendar[[#This Row],[Date]],1)</f>
        <v>5</v>
      </c>
      <c r="H2575" t="str">
        <f>TEXT(calendar[[#This Row],[WeekDay]],"dddd")</f>
        <v>Thursday</v>
      </c>
      <c r="I2575">
        <f>IF((INT(calendar[[#This Row],[Count]]/7)-calendar[[#This Row],[Count]]/7)&lt;0,I2574,I2574+1)</f>
        <v>368</v>
      </c>
      <c r="J2575">
        <f t="shared" si="204"/>
        <v>2573</v>
      </c>
      <c r="K2575">
        <f>IF(calendar[[#This Row],[Month]]&lt;4,1,IF(calendar[[#This Row],[Month]]&lt;7,2,IF(calendar[[#This Row],[Month]]&lt;10,3,4)))</f>
        <v>1</v>
      </c>
      <c r="L2575">
        <f>IFERROR(IF(VLOOKUP(calendar[[#This Row],[Date]],BH!A:A,1,)&lt;&gt;"",1,0),0)</f>
        <v>0</v>
      </c>
      <c r="M2575">
        <f>IFERROR(IF(VLOOKUP(calendar[[#This Row],[Date]],BH!C:C,1,)&lt;&gt;"",1,0),0)</f>
        <v>0</v>
      </c>
      <c r="N2575">
        <f>IFERROR(IF(VLOOKUP(calendar[[#This Row],[Date]],BH!E:E,1,)&lt;&gt;"",1,0),0)</f>
        <v>0</v>
      </c>
      <c r="O2575">
        <f>IFERROR(IF(VLOOKUP(calendar[[#This Row],[Date]],BH!G:G,1,)&lt;&gt;"",1,0),0)</f>
        <v>0</v>
      </c>
      <c r="P2575">
        <f>IF(OR(calendar[[#This Row],[UK_BH]]=1,calendar[[#This Row],[WeekDay]]=1, calendar[[#This Row],[WeekDay]]=7),P2574,P2574+1)</f>
        <v>1839</v>
      </c>
      <c r="Q2575">
        <f>IF(OR(calendar[[#This Row],[FR_BH]]=1,calendar[[#This Row],[WeekDay]]=1, calendar[[#This Row],[WeekDay]]=7),P2574,P2574+1)</f>
        <v>1839</v>
      </c>
      <c r="R2575">
        <f>IF(OR(calendar[[#This Row],[SP_BH]]=1,calendar[[#This Row],[WeekDay]]=1, calendar[[#This Row],[WeekDay]]=7),P2574,P2574+1)</f>
        <v>1839</v>
      </c>
      <c r="S2575">
        <f>IF(OR(calendar[[#This Row],[PT_BH]]=1,calendar[[#This Row],[WeekDay]]=1, calendar[[#This Row],[WeekDay]]=7),P2574,P2574+1)</f>
        <v>1839</v>
      </c>
    </row>
    <row r="2576" spans="1:19" x14ac:dyDescent="0.25">
      <c r="A2576" s="2">
        <v>45310</v>
      </c>
      <c r="B2576" s="1">
        <f t="shared" si="203"/>
        <v>3</v>
      </c>
      <c r="C2576">
        <f t="shared" ref="C2576:C2639" si="205">MONTH(A2576)</f>
        <v>1</v>
      </c>
      <c r="D2576" t="str">
        <f t="shared" ref="D2576:D2639" si="206">TEXT(A2576,"mmmm")</f>
        <v>January</v>
      </c>
      <c r="E2576">
        <f t="shared" ref="E2576:E2639" si="207">YEAR(A2576)</f>
        <v>2024</v>
      </c>
      <c r="F2576" t="str">
        <f>CONCATENATE(calendar[[#This Row],[Month]],"/",calendar[[#This Row],[Year]])</f>
        <v>1/2024</v>
      </c>
      <c r="G2576">
        <f>WEEKDAY(calendar[[#This Row],[Date]],1)</f>
        <v>6</v>
      </c>
      <c r="H2576" t="str">
        <f>TEXT(calendar[[#This Row],[WeekDay]],"dddd")</f>
        <v>Friday</v>
      </c>
      <c r="I2576">
        <f>IF((INT(calendar[[#This Row],[Count]]/7)-calendar[[#This Row],[Count]]/7)&lt;0,I2575,I2575+1)</f>
        <v>368</v>
      </c>
      <c r="J2576">
        <f t="shared" si="204"/>
        <v>2574</v>
      </c>
      <c r="K2576">
        <f>IF(calendar[[#This Row],[Month]]&lt;4,1,IF(calendar[[#This Row],[Month]]&lt;7,2,IF(calendar[[#This Row],[Month]]&lt;10,3,4)))</f>
        <v>1</v>
      </c>
      <c r="L2576">
        <f>IFERROR(IF(VLOOKUP(calendar[[#This Row],[Date]],BH!A:A,1,)&lt;&gt;"",1,0),0)</f>
        <v>0</v>
      </c>
      <c r="M2576">
        <f>IFERROR(IF(VLOOKUP(calendar[[#This Row],[Date]],BH!C:C,1,)&lt;&gt;"",1,0),0)</f>
        <v>0</v>
      </c>
      <c r="N2576">
        <f>IFERROR(IF(VLOOKUP(calendar[[#This Row],[Date]],BH!E:E,1,)&lt;&gt;"",1,0),0)</f>
        <v>0</v>
      </c>
      <c r="O2576">
        <f>IFERROR(IF(VLOOKUP(calendar[[#This Row],[Date]],BH!G:G,1,)&lt;&gt;"",1,0),0)</f>
        <v>0</v>
      </c>
      <c r="P2576">
        <f>IF(OR(calendar[[#This Row],[UK_BH]]=1,calendar[[#This Row],[WeekDay]]=1, calendar[[#This Row],[WeekDay]]=7),P2575,P2575+1)</f>
        <v>1840</v>
      </c>
      <c r="Q2576">
        <f>IF(OR(calendar[[#This Row],[FR_BH]]=1,calendar[[#This Row],[WeekDay]]=1, calendar[[#This Row],[WeekDay]]=7),P2575,P2575+1)</f>
        <v>1840</v>
      </c>
      <c r="R2576">
        <f>IF(OR(calendar[[#This Row],[SP_BH]]=1,calendar[[#This Row],[WeekDay]]=1, calendar[[#This Row],[WeekDay]]=7),P2575,P2575+1)</f>
        <v>1840</v>
      </c>
      <c r="S2576">
        <f>IF(OR(calendar[[#This Row],[PT_BH]]=1,calendar[[#This Row],[WeekDay]]=1, calendar[[#This Row],[WeekDay]]=7),P2575,P2575+1)</f>
        <v>1840</v>
      </c>
    </row>
    <row r="2577" spans="1:19" x14ac:dyDescent="0.25">
      <c r="A2577" s="2">
        <v>45311</v>
      </c>
      <c r="B2577" s="1">
        <f t="shared" si="203"/>
        <v>3</v>
      </c>
      <c r="C2577">
        <f t="shared" si="205"/>
        <v>1</v>
      </c>
      <c r="D2577" t="str">
        <f t="shared" si="206"/>
        <v>January</v>
      </c>
      <c r="E2577">
        <f t="shared" si="207"/>
        <v>2024</v>
      </c>
      <c r="F2577" t="str">
        <f>CONCATENATE(calendar[[#This Row],[Month]],"/",calendar[[#This Row],[Year]])</f>
        <v>1/2024</v>
      </c>
      <c r="G2577">
        <f>WEEKDAY(calendar[[#This Row],[Date]],1)</f>
        <v>7</v>
      </c>
      <c r="H2577" t="str">
        <f>TEXT(calendar[[#This Row],[WeekDay]],"dddd")</f>
        <v>Saturday</v>
      </c>
      <c r="I2577">
        <f>IF((INT(calendar[[#This Row],[Count]]/7)-calendar[[#This Row],[Count]]/7)&lt;0,I2576,I2576+1)</f>
        <v>368</v>
      </c>
      <c r="J2577">
        <f t="shared" si="204"/>
        <v>2575</v>
      </c>
      <c r="K2577">
        <f>IF(calendar[[#This Row],[Month]]&lt;4,1,IF(calendar[[#This Row],[Month]]&lt;7,2,IF(calendar[[#This Row],[Month]]&lt;10,3,4)))</f>
        <v>1</v>
      </c>
      <c r="L2577">
        <f>IFERROR(IF(VLOOKUP(calendar[[#This Row],[Date]],BH!A:A,1,)&lt;&gt;"",1,0),0)</f>
        <v>0</v>
      </c>
      <c r="M2577">
        <f>IFERROR(IF(VLOOKUP(calendar[[#This Row],[Date]],BH!C:C,1,)&lt;&gt;"",1,0),0)</f>
        <v>0</v>
      </c>
      <c r="N2577">
        <f>IFERROR(IF(VLOOKUP(calendar[[#This Row],[Date]],BH!E:E,1,)&lt;&gt;"",1,0),0)</f>
        <v>0</v>
      </c>
      <c r="O2577">
        <f>IFERROR(IF(VLOOKUP(calendar[[#This Row],[Date]],BH!G:G,1,)&lt;&gt;"",1,0),0)</f>
        <v>0</v>
      </c>
      <c r="P2577">
        <f>IF(OR(calendar[[#This Row],[UK_BH]]=1,calendar[[#This Row],[WeekDay]]=1, calendar[[#This Row],[WeekDay]]=7),P2576,P2576+1)</f>
        <v>1840</v>
      </c>
      <c r="Q2577">
        <f>IF(OR(calendar[[#This Row],[FR_BH]]=1,calendar[[#This Row],[WeekDay]]=1, calendar[[#This Row],[WeekDay]]=7),P2576,P2576+1)</f>
        <v>1840</v>
      </c>
      <c r="R2577">
        <f>IF(OR(calendar[[#This Row],[SP_BH]]=1,calendar[[#This Row],[WeekDay]]=1, calendar[[#This Row],[WeekDay]]=7),P2576,P2576+1)</f>
        <v>1840</v>
      </c>
      <c r="S2577">
        <f>IF(OR(calendar[[#This Row],[PT_BH]]=1,calendar[[#This Row],[WeekDay]]=1, calendar[[#This Row],[WeekDay]]=7),P2576,P2576+1)</f>
        <v>1840</v>
      </c>
    </row>
    <row r="2578" spans="1:19" x14ac:dyDescent="0.25">
      <c r="A2578" s="2">
        <v>45312</v>
      </c>
      <c r="B2578" s="1">
        <f t="shared" si="203"/>
        <v>4</v>
      </c>
      <c r="C2578">
        <f t="shared" si="205"/>
        <v>1</v>
      </c>
      <c r="D2578" t="str">
        <f t="shared" si="206"/>
        <v>January</v>
      </c>
      <c r="E2578">
        <f t="shared" si="207"/>
        <v>2024</v>
      </c>
      <c r="F2578" t="str">
        <f>CONCATENATE(calendar[[#This Row],[Month]],"/",calendar[[#This Row],[Year]])</f>
        <v>1/2024</v>
      </c>
      <c r="G2578">
        <f>WEEKDAY(calendar[[#This Row],[Date]],1)</f>
        <v>1</v>
      </c>
      <c r="H2578" t="str">
        <f>TEXT(calendar[[#This Row],[WeekDay]],"dddd")</f>
        <v>Sunday</v>
      </c>
      <c r="I2578">
        <f>IF((INT(calendar[[#This Row],[Count]]/7)-calendar[[#This Row],[Count]]/7)&lt;0,I2577,I2577+1)</f>
        <v>369</v>
      </c>
      <c r="J2578">
        <f t="shared" si="204"/>
        <v>2576</v>
      </c>
      <c r="K2578">
        <f>IF(calendar[[#This Row],[Month]]&lt;4,1,IF(calendar[[#This Row],[Month]]&lt;7,2,IF(calendar[[#This Row],[Month]]&lt;10,3,4)))</f>
        <v>1</v>
      </c>
      <c r="L2578">
        <f>IFERROR(IF(VLOOKUP(calendar[[#This Row],[Date]],BH!A:A,1,)&lt;&gt;"",1,0),0)</f>
        <v>0</v>
      </c>
      <c r="M2578">
        <f>IFERROR(IF(VLOOKUP(calendar[[#This Row],[Date]],BH!C:C,1,)&lt;&gt;"",1,0),0)</f>
        <v>0</v>
      </c>
      <c r="N2578">
        <f>IFERROR(IF(VLOOKUP(calendar[[#This Row],[Date]],BH!E:E,1,)&lt;&gt;"",1,0),0)</f>
        <v>0</v>
      </c>
      <c r="O2578">
        <f>IFERROR(IF(VLOOKUP(calendar[[#This Row],[Date]],BH!G:G,1,)&lt;&gt;"",1,0),0)</f>
        <v>0</v>
      </c>
      <c r="P2578">
        <f>IF(OR(calendar[[#This Row],[UK_BH]]=1,calendar[[#This Row],[WeekDay]]=1, calendar[[#This Row],[WeekDay]]=7),P2577,P2577+1)</f>
        <v>1840</v>
      </c>
      <c r="Q2578">
        <f>IF(OR(calendar[[#This Row],[FR_BH]]=1,calendar[[#This Row],[WeekDay]]=1, calendar[[#This Row],[WeekDay]]=7),P2577,P2577+1)</f>
        <v>1840</v>
      </c>
      <c r="R2578">
        <f>IF(OR(calendar[[#This Row],[SP_BH]]=1,calendar[[#This Row],[WeekDay]]=1, calendar[[#This Row],[WeekDay]]=7),P2577,P2577+1)</f>
        <v>1840</v>
      </c>
      <c r="S2578">
        <f>IF(OR(calendar[[#This Row],[PT_BH]]=1,calendar[[#This Row],[WeekDay]]=1, calendar[[#This Row],[WeekDay]]=7),P2577,P2577+1)</f>
        <v>1840</v>
      </c>
    </row>
    <row r="2579" spans="1:19" x14ac:dyDescent="0.25">
      <c r="A2579" s="2">
        <v>45313</v>
      </c>
      <c r="B2579" s="1">
        <f t="shared" si="203"/>
        <v>4</v>
      </c>
      <c r="C2579">
        <f t="shared" si="205"/>
        <v>1</v>
      </c>
      <c r="D2579" t="str">
        <f t="shared" si="206"/>
        <v>January</v>
      </c>
      <c r="E2579">
        <f t="shared" si="207"/>
        <v>2024</v>
      </c>
      <c r="F2579" t="str">
        <f>CONCATENATE(calendar[[#This Row],[Month]],"/",calendar[[#This Row],[Year]])</f>
        <v>1/2024</v>
      </c>
      <c r="G2579">
        <f>WEEKDAY(calendar[[#This Row],[Date]],1)</f>
        <v>2</v>
      </c>
      <c r="H2579" t="str">
        <f>TEXT(calendar[[#This Row],[WeekDay]],"dddd")</f>
        <v>Monday</v>
      </c>
      <c r="I2579">
        <f>IF((INT(calendar[[#This Row],[Count]]/7)-calendar[[#This Row],[Count]]/7)&lt;0,I2578,I2578+1)</f>
        <v>369</v>
      </c>
      <c r="J2579">
        <f t="shared" si="204"/>
        <v>2577</v>
      </c>
      <c r="K2579">
        <f>IF(calendar[[#This Row],[Month]]&lt;4,1,IF(calendar[[#This Row],[Month]]&lt;7,2,IF(calendar[[#This Row],[Month]]&lt;10,3,4)))</f>
        <v>1</v>
      </c>
      <c r="L2579">
        <f>IFERROR(IF(VLOOKUP(calendar[[#This Row],[Date]],BH!A:A,1,)&lt;&gt;"",1,0),0)</f>
        <v>0</v>
      </c>
      <c r="M2579">
        <f>IFERROR(IF(VLOOKUP(calendar[[#This Row],[Date]],BH!C:C,1,)&lt;&gt;"",1,0),0)</f>
        <v>0</v>
      </c>
      <c r="N2579">
        <f>IFERROR(IF(VLOOKUP(calendar[[#This Row],[Date]],BH!E:E,1,)&lt;&gt;"",1,0),0)</f>
        <v>0</v>
      </c>
      <c r="O2579">
        <f>IFERROR(IF(VLOOKUP(calendar[[#This Row],[Date]],BH!G:G,1,)&lt;&gt;"",1,0),0)</f>
        <v>0</v>
      </c>
      <c r="P2579">
        <f>IF(OR(calendar[[#This Row],[UK_BH]]=1,calendar[[#This Row],[WeekDay]]=1, calendar[[#This Row],[WeekDay]]=7),P2578,P2578+1)</f>
        <v>1841</v>
      </c>
      <c r="Q2579">
        <f>IF(OR(calendar[[#This Row],[FR_BH]]=1,calendar[[#This Row],[WeekDay]]=1, calendar[[#This Row],[WeekDay]]=7),P2578,P2578+1)</f>
        <v>1841</v>
      </c>
      <c r="R2579">
        <f>IF(OR(calendar[[#This Row],[SP_BH]]=1,calendar[[#This Row],[WeekDay]]=1, calendar[[#This Row],[WeekDay]]=7),P2578,P2578+1)</f>
        <v>1841</v>
      </c>
      <c r="S2579">
        <f>IF(OR(calendar[[#This Row],[PT_BH]]=1,calendar[[#This Row],[WeekDay]]=1, calendar[[#This Row],[WeekDay]]=7),P2578,P2578+1)</f>
        <v>1841</v>
      </c>
    </row>
    <row r="2580" spans="1:19" x14ac:dyDescent="0.25">
      <c r="A2580" s="2">
        <v>45314</v>
      </c>
      <c r="B2580" s="1">
        <f t="shared" si="203"/>
        <v>4</v>
      </c>
      <c r="C2580">
        <f t="shared" si="205"/>
        <v>1</v>
      </c>
      <c r="D2580" t="str">
        <f t="shared" si="206"/>
        <v>January</v>
      </c>
      <c r="E2580">
        <f t="shared" si="207"/>
        <v>2024</v>
      </c>
      <c r="F2580" t="str">
        <f>CONCATENATE(calendar[[#This Row],[Month]],"/",calendar[[#This Row],[Year]])</f>
        <v>1/2024</v>
      </c>
      <c r="G2580">
        <f>WEEKDAY(calendar[[#This Row],[Date]],1)</f>
        <v>3</v>
      </c>
      <c r="H2580" t="str">
        <f>TEXT(calendar[[#This Row],[WeekDay]],"dddd")</f>
        <v>Tuesday</v>
      </c>
      <c r="I2580">
        <f>IF((INT(calendar[[#This Row],[Count]]/7)-calendar[[#This Row],[Count]]/7)&lt;0,I2579,I2579+1)</f>
        <v>369</v>
      </c>
      <c r="J2580">
        <f t="shared" si="204"/>
        <v>2578</v>
      </c>
      <c r="K2580">
        <f>IF(calendar[[#This Row],[Month]]&lt;4,1,IF(calendar[[#This Row],[Month]]&lt;7,2,IF(calendar[[#This Row],[Month]]&lt;10,3,4)))</f>
        <v>1</v>
      </c>
      <c r="L2580">
        <f>IFERROR(IF(VLOOKUP(calendar[[#This Row],[Date]],BH!A:A,1,)&lt;&gt;"",1,0),0)</f>
        <v>0</v>
      </c>
      <c r="M2580">
        <f>IFERROR(IF(VLOOKUP(calendar[[#This Row],[Date]],BH!C:C,1,)&lt;&gt;"",1,0),0)</f>
        <v>0</v>
      </c>
      <c r="N2580">
        <f>IFERROR(IF(VLOOKUP(calendar[[#This Row],[Date]],BH!E:E,1,)&lt;&gt;"",1,0),0)</f>
        <v>0</v>
      </c>
      <c r="O2580">
        <f>IFERROR(IF(VLOOKUP(calendar[[#This Row],[Date]],BH!G:G,1,)&lt;&gt;"",1,0),0)</f>
        <v>0</v>
      </c>
      <c r="P2580">
        <f>IF(OR(calendar[[#This Row],[UK_BH]]=1,calendar[[#This Row],[WeekDay]]=1, calendar[[#This Row],[WeekDay]]=7),P2579,P2579+1)</f>
        <v>1842</v>
      </c>
      <c r="Q2580">
        <f>IF(OR(calendar[[#This Row],[FR_BH]]=1,calendar[[#This Row],[WeekDay]]=1, calendar[[#This Row],[WeekDay]]=7),P2579,P2579+1)</f>
        <v>1842</v>
      </c>
      <c r="R2580">
        <f>IF(OR(calendar[[#This Row],[SP_BH]]=1,calendar[[#This Row],[WeekDay]]=1, calendar[[#This Row],[WeekDay]]=7),P2579,P2579+1)</f>
        <v>1842</v>
      </c>
      <c r="S2580">
        <f>IF(OR(calendar[[#This Row],[PT_BH]]=1,calendar[[#This Row],[WeekDay]]=1, calendar[[#This Row],[WeekDay]]=7),P2579,P2579+1)</f>
        <v>1842</v>
      </c>
    </row>
    <row r="2581" spans="1:19" x14ac:dyDescent="0.25">
      <c r="A2581" s="2">
        <v>45315</v>
      </c>
      <c r="B2581" s="1">
        <f t="shared" si="203"/>
        <v>4</v>
      </c>
      <c r="C2581">
        <f t="shared" si="205"/>
        <v>1</v>
      </c>
      <c r="D2581" t="str">
        <f t="shared" si="206"/>
        <v>January</v>
      </c>
      <c r="E2581">
        <f t="shared" si="207"/>
        <v>2024</v>
      </c>
      <c r="F2581" t="str">
        <f>CONCATENATE(calendar[[#This Row],[Month]],"/",calendar[[#This Row],[Year]])</f>
        <v>1/2024</v>
      </c>
      <c r="G2581">
        <f>WEEKDAY(calendar[[#This Row],[Date]],1)</f>
        <v>4</v>
      </c>
      <c r="H2581" t="str">
        <f>TEXT(calendar[[#This Row],[WeekDay]],"dddd")</f>
        <v>Wednesday</v>
      </c>
      <c r="I2581">
        <f>IF((INT(calendar[[#This Row],[Count]]/7)-calendar[[#This Row],[Count]]/7)&lt;0,I2580,I2580+1)</f>
        <v>369</v>
      </c>
      <c r="J2581">
        <f t="shared" si="204"/>
        <v>2579</v>
      </c>
      <c r="K2581">
        <f>IF(calendar[[#This Row],[Month]]&lt;4,1,IF(calendar[[#This Row],[Month]]&lt;7,2,IF(calendar[[#This Row],[Month]]&lt;10,3,4)))</f>
        <v>1</v>
      </c>
      <c r="L2581">
        <f>IFERROR(IF(VLOOKUP(calendar[[#This Row],[Date]],BH!A:A,1,)&lt;&gt;"",1,0),0)</f>
        <v>0</v>
      </c>
      <c r="M2581">
        <f>IFERROR(IF(VLOOKUP(calendar[[#This Row],[Date]],BH!C:C,1,)&lt;&gt;"",1,0),0)</f>
        <v>0</v>
      </c>
      <c r="N2581">
        <f>IFERROR(IF(VLOOKUP(calendar[[#This Row],[Date]],BH!E:E,1,)&lt;&gt;"",1,0),0)</f>
        <v>0</v>
      </c>
      <c r="O2581">
        <f>IFERROR(IF(VLOOKUP(calendar[[#This Row],[Date]],BH!G:G,1,)&lt;&gt;"",1,0),0)</f>
        <v>0</v>
      </c>
      <c r="P2581">
        <f>IF(OR(calendar[[#This Row],[UK_BH]]=1,calendar[[#This Row],[WeekDay]]=1, calendar[[#This Row],[WeekDay]]=7),P2580,P2580+1)</f>
        <v>1843</v>
      </c>
      <c r="Q2581">
        <f>IF(OR(calendar[[#This Row],[FR_BH]]=1,calendar[[#This Row],[WeekDay]]=1, calendar[[#This Row],[WeekDay]]=7),P2580,P2580+1)</f>
        <v>1843</v>
      </c>
      <c r="R2581">
        <f>IF(OR(calendar[[#This Row],[SP_BH]]=1,calendar[[#This Row],[WeekDay]]=1, calendar[[#This Row],[WeekDay]]=7),P2580,P2580+1)</f>
        <v>1843</v>
      </c>
      <c r="S2581">
        <f>IF(OR(calendar[[#This Row],[PT_BH]]=1,calendar[[#This Row],[WeekDay]]=1, calendar[[#This Row],[WeekDay]]=7),P2580,P2580+1)</f>
        <v>1843</v>
      </c>
    </row>
    <row r="2582" spans="1:19" x14ac:dyDescent="0.25">
      <c r="A2582" s="2">
        <v>45316</v>
      </c>
      <c r="B2582" s="1">
        <f t="shared" si="203"/>
        <v>4</v>
      </c>
      <c r="C2582">
        <f t="shared" si="205"/>
        <v>1</v>
      </c>
      <c r="D2582" t="str">
        <f t="shared" si="206"/>
        <v>January</v>
      </c>
      <c r="E2582">
        <f t="shared" si="207"/>
        <v>2024</v>
      </c>
      <c r="F2582" t="str">
        <f>CONCATENATE(calendar[[#This Row],[Month]],"/",calendar[[#This Row],[Year]])</f>
        <v>1/2024</v>
      </c>
      <c r="G2582">
        <f>WEEKDAY(calendar[[#This Row],[Date]],1)</f>
        <v>5</v>
      </c>
      <c r="H2582" t="str">
        <f>TEXT(calendar[[#This Row],[WeekDay]],"dddd")</f>
        <v>Thursday</v>
      </c>
      <c r="I2582">
        <f>IF((INT(calendar[[#This Row],[Count]]/7)-calendar[[#This Row],[Count]]/7)&lt;0,I2581,I2581+1)</f>
        <v>369</v>
      </c>
      <c r="J2582">
        <f t="shared" si="204"/>
        <v>2580</v>
      </c>
      <c r="K2582">
        <f>IF(calendar[[#This Row],[Month]]&lt;4,1,IF(calendar[[#This Row],[Month]]&lt;7,2,IF(calendar[[#This Row],[Month]]&lt;10,3,4)))</f>
        <v>1</v>
      </c>
      <c r="L2582">
        <f>IFERROR(IF(VLOOKUP(calendar[[#This Row],[Date]],BH!A:A,1,)&lt;&gt;"",1,0),0)</f>
        <v>0</v>
      </c>
      <c r="M2582">
        <f>IFERROR(IF(VLOOKUP(calendar[[#This Row],[Date]],BH!C:C,1,)&lt;&gt;"",1,0),0)</f>
        <v>0</v>
      </c>
      <c r="N2582">
        <f>IFERROR(IF(VLOOKUP(calendar[[#This Row],[Date]],BH!E:E,1,)&lt;&gt;"",1,0),0)</f>
        <v>0</v>
      </c>
      <c r="O2582">
        <f>IFERROR(IF(VLOOKUP(calendar[[#This Row],[Date]],BH!G:G,1,)&lt;&gt;"",1,0),0)</f>
        <v>0</v>
      </c>
      <c r="P2582">
        <f>IF(OR(calendar[[#This Row],[UK_BH]]=1,calendar[[#This Row],[WeekDay]]=1, calendar[[#This Row],[WeekDay]]=7),P2581,P2581+1)</f>
        <v>1844</v>
      </c>
      <c r="Q2582">
        <f>IF(OR(calendar[[#This Row],[FR_BH]]=1,calendar[[#This Row],[WeekDay]]=1, calendar[[#This Row],[WeekDay]]=7),P2581,P2581+1)</f>
        <v>1844</v>
      </c>
      <c r="R2582">
        <f>IF(OR(calendar[[#This Row],[SP_BH]]=1,calendar[[#This Row],[WeekDay]]=1, calendar[[#This Row],[WeekDay]]=7),P2581,P2581+1)</f>
        <v>1844</v>
      </c>
      <c r="S2582">
        <f>IF(OR(calendar[[#This Row],[PT_BH]]=1,calendar[[#This Row],[WeekDay]]=1, calendar[[#This Row],[WeekDay]]=7),P2581,P2581+1)</f>
        <v>1844</v>
      </c>
    </row>
    <row r="2583" spans="1:19" x14ac:dyDescent="0.25">
      <c r="A2583" s="2">
        <v>45317</v>
      </c>
      <c r="B2583" s="1">
        <f t="shared" si="203"/>
        <v>4</v>
      </c>
      <c r="C2583">
        <f t="shared" si="205"/>
        <v>1</v>
      </c>
      <c r="D2583" t="str">
        <f t="shared" si="206"/>
        <v>January</v>
      </c>
      <c r="E2583">
        <f t="shared" si="207"/>
        <v>2024</v>
      </c>
      <c r="F2583" t="str">
        <f>CONCATENATE(calendar[[#This Row],[Month]],"/",calendar[[#This Row],[Year]])</f>
        <v>1/2024</v>
      </c>
      <c r="G2583">
        <f>WEEKDAY(calendar[[#This Row],[Date]],1)</f>
        <v>6</v>
      </c>
      <c r="H2583" t="str">
        <f>TEXT(calendar[[#This Row],[WeekDay]],"dddd")</f>
        <v>Friday</v>
      </c>
      <c r="I2583">
        <f>IF((INT(calendar[[#This Row],[Count]]/7)-calendar[[#This Row],[Count]]/7)&lt;0,I2582,I2582+1)</f>
        <v>369</v>
      </c>
      <c r="J2583">
        <f t="shared" si="204"/>
        <v>2581</v>
      </c>
      <c r="K2583">
        <f>IF(calendar[[#This Row],[Month]]&lt;4,1,IF(calendar[[#This Row],[Month]]&lt;7,2,IF(calendar[[#This Row],[Month]]&lt;10,3,4)))</f>
        <v>1</v>
      </c>
      <c r="L2583">
        <f>IFERROR(IF(VLOOKUP(calendar[[#This Row],[Date]],BH!A:A,1,)&lt;&gt;"",1,0),0)</f>
        <v>0</v>
      </c>
      <c r="M2583">
        <f>IFERROR(IF(VLOOKUP(calendar[[#This Row],[Date]],BH!C:C,1,)&lt;&gt;"",1,0),0)</f>
        <v>0</v>
      </c>
      <c r="N2583">
        <f>IFERROR(IF(VLOOKUP(calendar[[#This Row],[Date]],BH!E:E,1,)&lt;&gt;"",1,0),0)</f>
        <v>0</v>
      </c>
      <c r="O2583">
        <f>IFERROR(IF(VLOOKUP(calendar[[#This Row],[Date]],BH!G:G,1,)&lt;&gt;"",1,0),0)</f>
        <v>0</v>
      </c>
      <c r="P2583">
        <f>IF(OR(calendar[[#This Row],[UK_BH]]=1,calendar[[#This Row],[WeekDay]]=1, calendar[[#This Row],[WeekDay]]=7),P2582,P2582+1)</f>
        <v>1845</v>
      </c>
      <c r="Q2583">
        <f>IF(OR(calendar[[#This Row],[FR_BH]]=1,calendar[[#This Row],[WeekDay]]=1, calendar[[#This Row],[WeekDay]]=7),P2582,P2582+1)</f>
        <v>1845</v>
      </c>
      <c r="R2583">
        <f>IF(OR(calendar[[#This Row],[SP_BH]]=1,calendar[[#This Row],[WeekDay]]=1, calendar[[#This Row],[WeekDay]]=7),P2582,P2582+1)</f>
        <v>1845</v>
      </c>
      <c r="S2583">
        <f>IF(OR(calendar[[#This Row],[PT_BH]]=1,calendar[[#This Row],[WeekDay]]=1, calendar[[#This Row],[WeekDay]]=7),P2582,P2582+1)</f>
        <v>1845</v>
      </c>
    </row>
    <row r="2584" spans="1:19" x14ac:dyDescent="0.25">
      <c r="A2584" s="2">
        <v>45318</v>
      </c>
      <c r="B2584" s="1">
        <f t="shared" si="203"/>
        <v>4</v>
      </c>
      <c r="C2584">
        <f t="shared" si="205"/>
        <v>1</v>
      </c>
      <c r="D2584" t="str">
        <f t="shared" si="206"/>
        <v>January</v>
      </c>
      <c r="E2584">
        <f t="shared" si="207"/>
        <v>2024</v>
      </c>
      <c r="F2584" t="str">
        <f>CONCATENATE(calendar[[#This Row],[Month]],"/",calendar[[#This Row],[Year]])</f>
        <v>1/2024</v>
      </c>
      <c r="G2584">
        <f>WEEKDAY(calendar[[#This Row],[Date]],1)</f>
        <v>7</v>
      </c>
      <c r="H2584" t="str">
        <f>TEXT(calendar[[#This Row],[WeekDay]],"dddd")</f>
        <v>Saturday</v>
      </c>
      <c r="I2584">
        <f>IF((INT(calendar[[#This Row],[Count]]/7)-calendar[[#This Row],[Count]]/7)&lt;0,I2583,I2583+1)</f>
        <v>369</v>
      </c>
      <c r="J2584">
        <f t="shared" si="204"/>
        <v>2582</v>
      </c>
      <c r="K2584">
        <f>IF(calendar[[#This Row],[Month]]&lt;4,1,IF(calendar[[#This Row],[Month]]&lt;7,2,IF(calendar[[#This Row],[Month]]&lt;10,3,4)))</f>
        <v>1</v>
      </c>
      <c r="L2584">
        <f>IFERROR(IF(VLOOKUP(calendar[[#This Row],[Date]],BH!A:A,1,)&lt;&gt;"",1,0),0)</f>
        <v>0</v>
      </c>
      <c r="M2584">
        <f>IFERROR(IF(VLOOKUP(calendar[[#This Row],[Date]],BH!C:C,1,)&lt;&gt;"",1,0),0)</f>
        <v>0</v>
      </c>
      <c r="N2584">
        <f>IFERROR(IF(VLOOKUP(calendar[[#This Row],[Date]],BH!E:E,1,)&lt;&gt;"",1,0),0)</f>
        <v>0</v>
      </c>
      <c r="O2584">
        <f>IFERROR(IF(VLOOKUP(calendar[[#This Row],[Date]],BH!G:G,1,)&lt;&gt;"",1,0),0)</f>
        <v>0</v>
      </c>
      <c r="P2584">
        <f>IF(OR(calendar[[#This Row],[UK_BH]]=1,calendar[[#This Row],[WeekDay]]=1, calendar[[#This Row],[WeekDay]]=7),P2583,P2583+1)</f>
        <v>1845</v>
      </c>
      <c r="Q2584">
        <f>IF(OR(calendar[[#This Row],[FR_BH]]=1,calendar[[#This Row],[WeekDay]]=1, calendar[[#This Row],[WeekDay]]=7),P2583,P2583+1)</f>
        <v>1845</v>
      </c>
      <c r="R2584">
        <f>IF(OR(calendar[[#This Row],[SP_BH]]=1,calendar[[#This Row],[WeekDay]]=1, calendar[[#This Row],[WeekDay]]=7),P2583,P2583+1)</f>
        <v>1845</v>
      </c>
      <c r="S2584">
        <f>IF(OR(calendar[[#This Row],[PT_BH]]=1,calendar[[#This Row],[WeekDay]]=1, calendar[[#This Row],[WeekDay]]=7),P2583,P2583+1)</f>
        <v>1845</v>
      </c>
    </row>
    <row r="2585" spans="1:19" x14ac:dyDescent="0.25">
      <c r="A2585" s="2">
        <v>45319</v>
      </c>
      <c r="B2585" s="1">
        <f t="shared" si="203"/>
        <v>5</v>
      </c>
      <c r="C2585">
        <f t="shared" si="205"/>
        <v>1</v>
      </c>
      <c r="D2585" t="str">
        <f t="shared" si="206"/>
        <v>January</v>
      </c>
      <c r="E2585">
        <f t="shared" si="207"/>
        <v>2024</v>
      </c>
      <c r="F2585" t="str">
        <f>CONCATENATE(calendar[[#This Row],[Month]],"/",calendar[[#This Row],[Year]])</f>
        <v>1/2024</v>
      </c>
      <c r="G2585">
        <f>WEEKDAY(calendar[[#This Row],[Date]],1)</f>
        <v>1</v>
      </c>
      <c r="H2585" t="str">
        <f>TEXT(calendar[[#This Row],[WeekDay]],"dddd")</f>
        <v>Sunday</v>
      </c>
      <c r="I2585">
        <f>IF((INT(calendar[[#This Row],[Count]]/7)-calendar[[#This Row],[Count]]/7)&lt;0,I2584,I2584+1)</f>
        <v>370</v>
      </c>
      <c r="J2585">
        <f t="shared" si="204"/>
        <v>2583</v>
      </c>
      <c r="K2585">
        <f>IF(calendar[[#This Row],[Month]]&lt;4,1,IF(calendar[[#This Row],[Month]]&lt;7,2,IF(calendar[[#This Row],[Month]]&lt;10,3,4)))</f>
        <v>1</v>
      </c>
      <c r="L2585">
        <f>IFERROR(IF(VLOOKUP(calendar[[#This Row],[Date]],BH!A:A,1,)&lt;&gt;"",1,0),0)</f>
        <v>0</v>
      </c>
      <c r="M2585">
        <f>IFERROR(IF(VLOOKUP(calendar[[#This Row],[Date]],BH!C:C,1,)&lt;&gt;"",1,0),0)</f>
        <v>0</v>
      </c>
      <c r="N2585">
        <f>IFERROR(IF(VLOOKUP(calendar[[#This Row],[Date]],BH!E:E,1,)&lt;&gt;"",1,0),0)</f>
        <v>0</v>
      </c>
      <c r="O2585">
        <f>IFERROR(IF(VLOOKUP(calendar[[#This Row],[Date]],BH!G:G,1,)&lt;&gt;"",1,0),0)</f>
        <v>0</v>
      </c>
      <c r="P2585">
        <f>IF(OR(calendar[[#This Row],[UK_BH]]=1,calendar[[#This Row],[WeekDay]]=1, calendar[[#This Row],[WeekDay]]=7),P2584,P2584+1)</f>
        <v>1845</v>
      </c>
      <c r="Q2585">
        <f>IF(OR(calendar[[#This Row],[FR_BH]]=1,calendar[[#This Row],[WeekDay]]=1, calendar[[#This Row],[WeekDay]]=7),P2584,P2584+1)</f>
        <v>1845</v>
      </c>
      <c r="R2585">
        <f>IF(OR(calendar[[#This Row],[SP_BH]]=1,calendar[[#This Row],[WeekDay]]=1, calendar[[#This Row],[WeekDay]]=7),P2584,P2584+1)</f>
        <v>1845</v>
      </c>
      <c r="S2585">
        <f>IF(OR(calendar[[#This Row],[PT_BH]]=1,calendar[[#This Row],[WeekDay]]=1, calendar[[#This Row],[WeekDay]]=7),P2584,P2584+1)</f>
        <v>1845</v>
      </c>
    </row>
    <row r="2586" spans="1:19" x14ac:dyDescent="0.25">
      <c r="A2586" s="2">
        <v>45320</v>
      </c>
      <c r="B2586" s="1">
        <f t="shared" si="203"/>
        <v>5</v>
      </c>
      <c r="C2586">
        <f t="shared" si="205"/>
        <v>1</v>
      </c>
      <c r="D2586" t="str">
        <f t="shared" si="206"/>
        <v>January</v>
      </c>
      <c r="E2586">
        <f t="shared" si="207"/>
        <v>2024</v>
      </c>
      <c r="F2586" t="str">
        <f>CONCATENATE(calendar[[#This Row],[Month]],"/",calendar[[#This Row],[Year]])</f>
        <v>1/2024</v>
      </c>
      <c r="G2586">
        <f>WEEKDAY(calendar[[#This Row],[Date]],1)</f>
        <v>2</v>
      </c>
      <c r="H2586" t="str">
        <f>TEXT(calendar[[#This Row],[WeekDay]],"dddd")</f>
        <v>Monday</v>
      </c>
      <c r="I2586">
        <f>IF((INT(calendar[[#This Row],[Count]]/7)-calendar[[#This Row],[Count]]/7)&lt;0,I2585,I2585+1)</f>
        <v>370</v>
      </c>
      <c r="J2586">
        <f t="shared" si="204"/>
        <v>2584</v>
      </c>
      <c r="K2586">
        <f>IF(calendar[[#This Row],[Month]]&lt;4,1,IF(calendar[[#This Row],[Month]]&lt;7,2,IF(calendar[[#This Row],[Month]]&lt;10,3,4)))</f>
        <v>1</v>
      </c>
      <c r="L2586">
        <f>IFERROR(IF(VLOOKUP(calendar[[#This Row],[Date]],BH!A:A,1,)&lt;&gt;"",1,0),0)</f>
        <v>0</v>
      </c>
      <c r="M2586">
        <f>IFERROR(IF(VLOOKUP(calendar[[#This Row],[Date]],BH!C:C,1,)&lt;&gt;"",1,0),0)</f>
        <v>0</v>
      </c>
      <c r="N2586">
        <f>IFERROR(IF(VLOOKUP(calendar[[#This Row],[Date]],BH!E:E,1,)&lt;&gt;"",1,0),0)</f>
        <v>0</v>
      </c>
      <c r="O2586">
        <f>IFERROR(IF(VLOOKUP(calendar[[#This Row],[Date]],BH!G:G,1,)&lt;&gt;"",1,0),0)</f>
        <v>0</v>
      </c>
      <c r="P2586">
        <f>IF(OR(calendar[[#This Row],[UK_BH]]=1,calendar[[#This Row],[WeekDay]]=1, calendar[[#This Row],[WeekDay]]=7),P2585,P2585+1)</f>
        <v>1846</v>
      </c>
      <c r="Q2586">
        <f>IF(OR(calendar[[#This Row],[FR_BH]]=1,calendar[[#This Row],[WeekDay]]=1, calendar[[#This Row],[WeekDay]]=7),P2585,P2585+1)</f>
        <v>1846</v>
      </c>
      <c r="R2586">
        <f>IF(OR(calendar[[#This Row],[SP_BH]]=1,calendar[[#This Row],[WeekDay]]=1, calendar[[#This Row],[WeekDay]]=7),P2585,P2585+1)</f>
        <v>1846</v>
      </c>
      <c r="S2586">
        <f>IF(OR(calendar[[#This Row],[PT_BH]]=1,calendar[[#This Row],[WeekDay]]=1, calendar[[#This Row],[WeekDay]]=7),P2585,P2585+1)</f>
        <v>1846</v>
      </c>
    </row>
    <row r="2587" spans="1:19" x14ac:dyDescent="0.25">
      <c r="A2587" s="2">
        <v>45321</v>
      </c>
      <c r="B2587" s="1">
        <f t="shared" si="203"/>
        <v>5</v>
      </c>
      <c r="C2587">
        <f t="shared" si="205"/>
        <v>1</v>
      </c>
      <c r="D2587" t="str">
        <f t="shared" si="206"/>
        <v>January</v>
      </c>
      <c r="E2587">
        <f t="shared" si="207"/>
        <v>2024</v>
      </c>
      <c r="F2587" t="str">
        <f>CONCATENATE(calendar[[#This Row],[Month]],"/",calendar[[#This Row],[Year]])</f>
        <v>1/2024</v>
      </c>
      <c r="G2587">
        <f>WEEKDAY(calendar[[#This Row],[Date]],1)</f>
        <v>3</v>
      </c>
      <c r="H2587" t="str">
        <f>TEXT(calendar[[#This Row],[WeekDay]],"dddd")</f>
        <v>Tuesday</v>
      </c>
      <c r="I2587">
        <f>IF((INT(calendar[[#This Row],[Count]]/7)-calendar[[#This Row],[Count]]/7)&lt;0,I2586,I2586+1)</f>
        <v>370</v>
      </c>
      <c r="J2587">
        <f t="shared" si="204"/>
        <v>2585</v>
      </c>
      <c r="K2587">
        <f>IF(calendar[[#This Row],[Month]]&lt;4,1,IF(calendar[[#This Row],[Month]]&lt;7,2,IF(calendar[[#This Row],[Month]]&lt;10,3,4)))</f>
        <v>1</v>
      </c>
      <c r="L2587">
        <f>IFERROR(IF(VLOOKUP(calendar[[#This Row],[Date]],BH!A:A,1,)&lt;&gt;"",1,0),0)</f>
        <v>0</v>
      </c>
      <c r="M2587">
        <f>IFERROR(IF(VLOOKUP(calendar[[#This Row],[Date]],BH!C:C,1,)&lt;&gt;"",1,0),0)</f>
        <v>0</v>
      </c>
      <c r="N2587">
        <f>IFERROR(IF(VLOOKUP(calendar[[#This Row],[Date]],BH!E:E,1,)&lt;&gt;"",1,0),0)</f>
        <v>0</v>
      </c>
      <c r="O2587">
        <f>IFERROR(IF(VLOOKUP(calendar[[#This Row],[Date]],BH!G:G,1,)&lt;&gt;"",1,0),0)</f>
        <v>0</v>
      </c>
      <c r="P2587">
        <f>IF(OR(calendar[[#This Row],[UK_BH]]=1,calendar[[#This Row],[WeekDay]]=1, calendar[[#This Row],[WeekDay]]=7),P2586,P2586+1)</f>
        <v>1847</v>
      </c>
      <c r="Q2587">
        <f>IF(OR(calendar[[#This Row],[FR_BH]]=1,calendar[[#This Row],[WeekDay]]=1, calendar[[#This Row],[WeekDay]]=7),P2586,P2586+1)</f>
        <v>1847</v>
      </c>
      <c r="R2587">
        <f>IF(OR(calendar[[#This Row],[SP_BH]]=1,calendar[[#This Row],[WeekDay]]=1, calendar[[#This Row],[WeekDay]]=7),P2586,P2586+1)</f>
        <v>1847</v>
      </c>
      <c r="S2587">
        <f>IF(OR(calendar[[#This Row],[PT_BH]]=1,calendar[[#This Row],[WeekDay]]=1, calendar[[#This Row],[WeekDay]]=7),P2586,P2586+1)</f>
        <v>1847</v>
      </c>
    </row>
    <row r="2588" spans="1:19" x14ac:dyDescent="0.25">
      <c r="A2588" s="2">
        <v>45322</v>
      </c>
      <c r="B2588" s="1">
        <f t="shared" si="203"/>
        <v>5</v>
      </c>
      <c r="C2588">
        <f t="shared" si="205"/>
        <v>1</v>
      </c>
      <c r="D2588" t="str">
        <f t="shared" si="206"/>
        <v>January</v>
      </c>
      <c r="E2588">
        <f t="shared" si="207"/>
        <v>2024</v>
      </c>
      <c r="F2588" t="str">
        <f>CONCATENATE(calendar[[#This Row],[Month]],"/",calendar[[#This Row],[Year]])</f>
        <v>1/2024</v>
      </c>
      <c r="G2588">
        <f>WEEKDAY(calendar[[#This Row],[Date]],1)</f>
        <v>4</v>
      </c>
      <c r="H2588" t="str">
        <f>TEXT(calendar[[#This Row],[WeekDay]],"dddd")</f>
        <v>Wednesday</v>
      </c>
      <c r="I2588">
        <f>IF((INT(calendar[[#This Row],[Count]]/7)-calendar[[#This Row],[Count]]/7)&lt;0,I2587,I2587+1)</f>
        <v>370</v>
      </c>
      <c r="J2588">
        <f t="shared" si="204"/>
        <v>2586</v>
      </c>
      <c r="K2588">
        <f>IF(calendar[[#This Row],[Month]]&lt;4,1,IF(calendar[[#This Row],[Month]]&lt;7,2,IF(calendar[[#This Row],[Month]]&lt;10,3,4)))</f>
        <v>1</v>
      </c>
      <c r="L2588">
        <f>IFERROR(IF(VLOOKUP(calendar[[#This Row],[Date]],BH!A:A,1,)&lt;&gt;"",1,0),0)</f>
        <v>0</v>
      </c>
      <c r="M2588">
        <f>IFERROR(IF(VLOOKUP(calendar[[#This Row],[Date]],BH!C:C,1,)&lt;&gt;"",1,0),0)</f>
        <v>0</v>
      </c>
      <c r="N2588">
        <f>IFERROR(IF(VLOOKUP(calendar[[#This Row],[Date]],BH!E:E,1,)&lt;&gt;"",1,0),0)</f>
        <v>0</v>
      </c>
      <c r="O2588">
        <f>IFERROR(IF(VLOOKUP(calendar[[#This Row],[Date]],BH!G:G,1,)&lt;&gt;"",1,0),0)</f>
        <v>0</v>
      </c>
      <c r="P2588">
        <f>IF(OR(calendar[[#This Row],[UK_BH]]=1,calendar[[#This Row],[WeekDay]]=1, calendar[[#This Row],[WeekDay]]=7),P2587,P2587+1)</f>
        <v>1848</v>
      </c>
      <c r="Q2588">
        <f>IF(OR(calendar[[#This Row],[FR_BH]]=1,calendar[[#This Row],[WeekDay]]=1, calendar[[#This Row],[WeekDay]]=7),P2587,P2587+1)</f>
        <v>1848</v>
      </c>
      <c r="R2588">
        <f>IF(OR(calendar[[#This Row],[SP_BH]]=1,calendar[[#This Row],[WeekDay]]=1, calendar[[#This Row],[WeekDay]]=7),P2587,P2587+1)</f>
        <v>1848</v>
      </c>
      <c r="S2588">
        <f>IF(OR(calendar[[#This Row],[PT_BH]]=1,calendar[[#This Row],[WeekDay]]=1, calendar[[#This Row],[WeekDay]]=7),P2587,P2587+1)</f>
        <v>1848</v>
      </c>
    </row>
    <row r="2589" spans="1:19" x14ac:dyDescent="0.25">
      <c r="A2589" s="2">
        <v>45323</v>
      </c>
      <c r="B2589" s="1">
        <f t="shared" si="203"/>
        <v>5</v>
      </c>
      <c r="C2589">
        <f t="shared" si="205"/>
        <v>2</v>
      </c>
      <c r="D2589" t="str">
        <f t="shared" si="206"/>
        <v>February</v>
      </c>
      <c r="E2589">
        <f t="shared" si="207"/>
        <v>2024</v>
      </c>
      <c r="F2589" t="str">
        <f>CONCATENATE(calendar[[#This Row],[Month]],"/",calendar[[#This Row],[Year]])</f>
        <v>2/2024</v>
      </c>
      <c r="G2589">
        <f>WEEKDAY(calendar[[#This Row],[Date]],1)</f>
        <v>5</v>
      </c>
      <c r="H2589" t="str">
        <f>TEXT(calendar[[#This Row],[WeekDay]],"dddd")</f>
        <v>Thursday</v>
      </c>
      <c r="I2589">
        <f>IF((INT(calendar[[#This Row],[Count]]/7)-calendar[[#This Row],[Count]]/7)&lt;0,I2588,I2588+1)</f>
        <v>370</v>
      </c>
      <c r="J2589">
        <f t="shared" si="204"/>
        <v>2587</v>
      </c>
      <c r="K2589">
        <f>IF(calendar[[#This Row],[Month]]&lt;4,1,IF(calendar[[#This Row],[Month]]&lt;7,2,IF(calendar[[#This Row],[Month]]&lt;10,3,4)))</f>
        <v>1</v>
      </c>
      <c r="L2589">
        <f>IFERROR(IF(VLOOKUP(calendar[[#This Row],[Date]],BH!A:A,1,)&lt;&gt;"",1,0),0)</f>
        <v>0</v>
      </c>
      <c r="M2589">
        <f>IFERROR(IF(VLOOKUP(calendar[[#This Row],[Date]],BH!C:C,1,)&lt;&gt;"",1,0),0)</f>
        <v>0</v>
      </c>
      <c r="N2589">
        <f>IFERROR(IF(VLOOKUP(calendar[[#This Row],[Date]],BH!E:E,1,)&lt;&gt;"",1,0),0)</f>
        <v>0</v>
      </c>
      <c r="O2589">
        <f>IFERROR(IF(VLOOKUP(calendar[[#This Row],[Date]],BH!G:G,1,)&lt;&gt;"",1,0),0)</f>
        <v>0</v>
      </c>
      <c r="P2589">
        <f>IF(OR(calendar[[#This Row],[UK_BH]]=1,calendar[[#This Row],[WeekDay]]=1, calendar[[#This Row],[WeekDay]]=7),P2588,P2588+1)</f>
        <v>1849</v>
      </c>
      <c r="Q2589">
        <f>IF(OR(calendar[[#This Row],[FR_BH]]=1,calendar[[#This Row],[WeekDay]]=1, calendar[[#This Row],[WeekDay]]=7),P2588,P2588+1)</f>
        <v>1849</v>
      </c>
      <c r="R2589">
        <f>IF(OR(calendar[[#This Row],[SP_BH]]=1,calendar[[#This Row],[WeekDay]]=1, calendar[[#This Row],[WeekDay]]=7),P2588,P2588+1)</f>
        <v>1849</v>
      </c>
      <c r="S2589">
        <f>IF(OR(calendar[[#This Row],[PT_BH]]=1,calendar[[#This Row],[WeekDay]]=1, calendar[[#This Row],[WeekDay]]=7),P2588,P2588+1)</f>
        <v>1849</v>
      </c>
    </row>
    <row r="2590" spans="1:19" x14ac:dyDescent="0.25">
      <c r="A2590" s="2">
        <v>45324</v>
      </c>
      <c r="B2590" s="1">
        <f t="shared" si="203"/>
        <v>5</v>
      </c>
      <c r="C2590">
        <f t="shared" si="205"/>
        <v>2</v>
      </c>
      <c r="D2590" t="str">
        <f t="shared" si="206"/>
        <v>February</v>
      </c>
      <c r="E2590">
        <f t="shared" si="207"/>
        <v>2024</v>
      </c>
      <c r="F2590" t="str">
        <f>CONCATENATE(calendar[[#This Row],[Month]],"/",calendar[[#This Row],[Year]])</f>
        <v>2/2024</v>
      </c>
      <c r="G2590">
        <f>WEEKDAY(calendar[[#This Row],[Date]],1)</f>
        <v>6</v>
      </c>
      <c r="H2590" t="str">
        <f>TEXT(calendar[[#This Row],[WeekDay]],"dddd")</f>
        <v>Friday</v>
      </c>
      <c r="I2590">
        <f>IF((INT(calendar[[#This Row],[Count]]/7)-calendar[[#This Row],[Count]]/7)&lt;0,I2589,I2589+1)</f>
        <v>370</v>
      </c>
      <c r="J2590">
        <f t="shared" si="204"/>
        <v>2588</v>
      </c>
      <c r="K2590">
        <f>IF(calendar[[#This Row],[Month]]&lt;4,1,IF(calendar[[#This Row],[Month]]&lt;7,2,IF(calendar[[#This Row],[Month]]&lt;10,3,4)))</f>
        <v>1</v>
      </c>
      <c r="L2590">
        <f>IFERROR(IF(VLOOKUP(calendar[[#This Row],[Date]],BH!A:A,1,)&lt;&gt;"",1,0),0)</f>
        <v>0</v>
      </c>
      <c r="M2590">
        <f>IFERROR(IF(VLOOKUP(calendar[[#This Row],[Date]],BH!C:C,1,)&lt;&gt;"",1,0),0)</f>
        <v>0</v>
      </c>
      <c r="N2590">
        <f>IFERROR(IF(VLOOKUP(calendar[[#This Row],[Date]],BH!E:E,1,)&lt;&gt;"",1,0),0)</f>
        <v>0</v>
      </c>
      <c r="O2590">
        <f>IFERROR(IF(VLOOKUP(calendar[[#This Row],[Date]],BH!G:G,1,)&lt;&gt;"",1,0),0)</f>
        <v>0</v>
      </c>
      <c r="P2590">
        <f>IF(OR(calendar[[#This Row],[UK_BH]]=1,calendar[[#This Row],[WeekDay]]=1, calendar[[#This Row],[WeekDay]]=7),P2589,P2589+1)</f>
        <v>1850</v>
      </c>
      <c r="Q2590">
        <f>IF(OR(calendar[[#This Row],[FR_BH]]=1,calendar[[#This Row],[WeekDay]]=1, calendar[[#This Row],[WeekDay]]=7),P2589,P2589+1)</f>
        <v>1850</v>
      </c>
      <c r="R2590">
        <f>IF(OR(calendar[[#This Row],[SP_BH]]=1,calendar[[#This Row],[WeekDay]]=1, calendar[[#This Row],[WeekDay]]=7),P2589,P2589+1)</f>
        <v>1850</v>
      </c>
      <c r="S2590">
        <f>IF(OR(calendar[[#This Row],[PT_BH]]=1,calendar[[#This Row],[WeekDay]]=1, calendar[[#This Row],[WeekDay]]=7),P2589,P2589+1)</f>
        <v>1850</v>
      </c>
    </row>
    <row r="2591" spans="1:19" x14ac:dyDescent="0.25">
      <c r="A2591" s="2">
        <v>45325</v>
      </c>
      <c r="B2591" s="1">
        <f t="shared" si="203"/>
        <v>5</v>
      </c>
      <c r="C2591">
        <f t="shared" si="205"/>
        <v>2</v>
      </c>
      <c r="D2591" t="str">
        <f t="shared" si="206"/>
        <v>February</v>
      </c>
      <c r="E2591">
        <f t="shared" si="207"/>
        <v>2024</v>
      </c>
      <c r="F2591" t="str">
        <f>CONCATENATE(calendar[[#This Row],[Month]],"/",calendar[[#This Row],[Year]])</f>
        <v>2/2024</v>
      </c>
      <c r="G2591">
        <f>WEEKDAY(calendar[[#This Row],[Date]],1)</f>
        <v>7</v>
      </c>
      <c r="H2591" t="str">
        <f>TEXT(calendar[[#This Row],[WeekDay]],"dddd")</f>
        <v>Saturday</v>
      </c>
      <c r="I2591">
        <f>IF((INT(calendar[[#This Row],[Count]]/7)-calendar[[#This Row],[Count]]/7)&lt;0,I2590,I2590+1)</f>
        <v>370</v>
      </c>
      <c r="J2591">
        <f t="shared" si="204"/>
        <v>2589</v>
      </c>
      <c r="K2591">
        <f>IF(calendar[[#This Row],[Month]]&lt;4,1,IF(calendar[[#This Row],[Month]]&lt;7,2,IF(calendar[[#This Row],[Month]]&lt;10,3,4)))</f>
        <v>1</v>
      </c>
      <c r="L2591">
        <f>IFERROR(IF(VLOOKUP(calendar[[#This Row],[Date]],BH!A:A,1,)&lt;&gt;"",1,0),0)</f>
        <v>0</v>
      </c>
      <c r="M2591">
        <f>IFERROR(IF(VLOOKUP(calendar[[#This Row],[Date]],BH!C:C,1,)&lt;&gt;"",1,0),0)</f>
        <v>0</v>
      </c>
      <c r="N2591">
        <f>IFERROR(IF(VLOOKUP(calendar[[#This Row],[Date]],BH!E:E,1,)&lt;&gt;"",1,0),0)</f>
        <v>0</v>
      </c>
      <c r="O2591">
        <f>IFERROR(IF(VLOOKUP(calendar[[#This Row],[Date]],BH!G:G,1,)&lt;&gt;"",1,0),0)</f>
        <v>0</v>
      </c>
      <c r="P2591">
        <f>IF(OR(calendar[[#This Row],[UK_BH]]=1,calendar[[#This Row],[WeekDay]]=1, calendar[[#This Row],[WeekDay]]=7),P2590,P2590+1)</f>
        <v>1850</v>
      </c>
      <c r="Q2591">
        <f>IF(OR(calendar[[#This Row],[FR_BH]]=1,calendar[[#This Row],[WeekDay]]=1, calendar[[#This Row],[WeekDay]]=7),P2590,P2590+1)</f>
        <v>1850</v>
      </c>
      <c r="R2591">
        <f>IF(OR(calendar[[#This Row],[SP_BH]]=1,calendar[[#This Row],[WeekDay]]=1, calendar[[#This Row],[WeekDay]]=7),P2590,P2590+1)</f>
        <v>1850</v>
      </c>
      <c r="S2591">
        <f>IF(OR(calendar[[#This Row],[PT_BH]]=1,calendar[[#This Row],[WeekDay]]=1, calendar[[#This Row],[WeekDay]]=7),P2590,P2590+1)</f>
        <v>1850</v>
      </c>
    </row>
    <row r="2592" spans="1:19" x14ac:dyDescent="0.25">
      <c r="A2592" s="2">
        <v>45326</v>
      </c>
      <c r="B2592" s="1">
        <f t="shared" si="203"/>
        <v>6</v>
      </c>
      <c r="C2592">
        <f t="shared" si="205"/>
        <v>2</v>
      </c>
      <c r="D2592" t="str">
        <f t="shared" si="206"/>
        <v>February</v>
      </c>
      <c r="E2592">
        <f t="shared" si="207"/>
        <v>2024</v>
      </c>
      <c r="F2592" t="str">
        <f>CONCATENATE(calendar[[#This Row],[Month]],"/",calendar[[#This Row],[Year]])</f>
        <v>2/2024</v>
      </c>
      <c r="G2592">
        <f>WEEKDAY(calendar[[#This Row],[Date]],1)</f>
        <v>1</v>
      </c>
      <c r="H2592" t="str">
        <f>TEXT(calendar[[#This Row],[WeekDay]],"dddd")</f>
        <v>Sunday</v>
      </c>
      <c r="I2592">
        <f>IF((INT(calendar[[#This Row],[Count]]/7)-calendar[[#This Row],[Count]]/7)&lt;0,I2591,I2591+1)</f>
        <v>371</v>
      </c>
      <c r="J2592">
        <f t="shared" si="204"/>
        <v>2590</v>
      </c>
      <c r="K2592">
        <f>IF(calendar[[#This Row],[Month]]&lt;4,1,IF(calendar[[#This Row],[Month]]&lt;7,2,IF(calendar[[#This Row],[Month]]&lt;10,3,4)))</f>
        <v>1</v>
      </c>
      <c r="L2592">
        <f>IFERROR(IF(VLOOKUP(calendar[[#This Row],[Date]],BH!A:A,1,)&lt;&gt;"",1,0),0)</f>
        <v>0</v>
      </c>
      <c r="M2592">
        <f>IFERROR(IF(VLOOKUP(calendar[[#This Row],[Date]],BH!C:C,1,)&lt;&gt;"",1,0),0)</f>
        <v>0</v>
      </c>
      <c r="N2592">
        <f>IFERROR(IF(VLOOKUP(calendar[[#This Row],[Date]],BH!E:E,1,)&lt;&gt;"",1,0),0)</f>
        <v>0</v>
      </c>
      <c r="O2592">
        <f>IFERROR(IF(VLOOKUP(calendar[[#This Row],[Date]],BH!G:G,1,)&lt;&gt;"",1,0),0)</f>
        <v>0</v>
      </c>
      <c r="P2592">
        <f>IF(OR(calendar[[#This Row],[UK_BH]]=1,calendar[[#This Row],[WeekDay]]=1, calendar[[#This Row],[WeekDay]]=7),P2591,P2591+1)</f>
        <v>1850</v>
      </c>
      <c r="Q2592">
        <f>IF(OR(calendar[[#This Row],[FR_BH]]=1,calendar[[#This Row],[WeekDay]]=1, calendar[[#This Row],[WeekDay]]=7),P2591,P2591+1)</f>
        <v>1850</v>
      </c>
      <c r="R2592">
        <f>IF(OR(calendar[[#This Row],[SP_BH]]=1,calendar[[#This Row],[WeekDay]]=1, calendar[[#This Row],[WeekDay]]=7),P2591,P2591+1)</f>
        <v>1850</v>
      </c>
      <c r="S2592">
        <f>IF(OR(calendar[[#This Row],[PT_BH]]=1,calendar[[#This Row],[WeekDay]]=1, calendar[[#This Row],[WeekDay]]=7),P2591,P2591+1)</f>
        <v>1850</v>
      </c>
    </row>
    <row r="2593" spans="1:19" x14ac:dyDescent="0.25">
      <c r="A2593" s="2">
        <v>45327</v>
      </c>
      <c r="B2593" s="1">
        <f t="shared" si="203"/>
        <v>6</v>
      </c>
      <c r="C2593">
        <f t="shared" si="205"/>
        <v>2</v>
      </c>
      <c r="D2593" t="str">
        <f t="shared" si="206"/>
        <v>February</v>
      </c>
      <c r="E2593">
        <f t="shared" si="207"/>
        <v>2024</v>
      </c>
      <c r="F2593" t="str">
        <f>CONCATENATE(calendar[[#This Row],[Month]],"/",calendar[[#This Row],[Year]])</f>
        <v>2/2024</v>
      </c>
      <c r="G2593">
        <f>WEEKDAY(calendar[[#This Row],[Date]],1)</f>
        <v>2</v>
      </c>
      <c r="H2593" t="str">
        <f>TEXT(calendar[[#This Row],[WeekDay]],"dddd")</f>
        <v>Monday</v>
      </c>
      <c r="I2593">
        <f>IF((INT(calendar[[#This Row],[Count]]/7)-calendar[[#This Row],[Count]]/7)&lt;0,I2592,I2592+1)</f>
        <v>371</v>
      </c>
      <c r="J2593">
        <f t="shared" si="204"/>
        <v>2591</v>
      </c>
      <c r="K2593">
        <f>IF(calendar[[#This Row],[Month]]&lt;4,1,IF(calendar[[#This Row],[Month]]&lt;7,2,IF(calendar[[#This Row],[Month]]&lt;10,3,4)))</f>
        <v>1</v>
      </c>
      <c r="L2593">
        <f>IFERROR(IF(VLOOKUP(calendar[[#This Row],[Date]],BH!A:A,1,)&lt;&gt;"",1,0),0)</f>
        <v>0</v>
      </c>
      <c r="M2593">
        <f>IFERROR(IF(VLOOKUP(calendar[[#This Row],[Date]],BH!C:C,1,)&lt;&gt;"",1,0),0)</f>
        <v>0</v>
      </c>
      <c r="N2593">
        <f>IFERROR(IF(VLOOKUP(calendar[[#This Row],[Date]],BH!E:E,1,)&lt;&gt;"",1,0),0)</f>
        <v>0</v>
      </c>
      <c r="O2593">
        <f>IFERROR(IF(VLOOKUP(calendar[[#This Row],[Date]],BH!G:G,1,)&lt;&gt;"",1,0),0)</f>
        <v>0</v>
      </c>
      <c r="P2593">
        <f>IF(OR(calendar[[#This Row],[UK_BH]]=1,calendar[[#This Row],[WeekDay]]=1, calendar[[#This Row],[WeekDay]]=7),P2592,P2592+1)</f>
        <v>1851</v>
      </c>
      <c r="Q2593">
        <f>IF(OR(calendar[[#This Row],[FR_BH]]=1,calendar[[#This Row],[WeekDay]]=1, calendar[[#This Row],[WeekDay]]=7),P2592,P2592+1)</f>
        <v>1851</v>
      </c>
      <c r="R2593">
        <f>IF(OR(calendar[[#This Row],[SP_BH]]=1,calendar[[#This Row],[WeekDay]]=1, calendar[[#This Row],[WeekDay]]=7),P2592,P2592+1)</f>
        <v>1851</v>
      </c>
      <c r="S2593">
        <f>IF(OR(calendar[[#This Row],[PT_BH]]=1,calendar[[#This Row],[WeekDay]]=1, calendar[[#This Row],[WeekDay]]=7),P2592,P2592+1)</f>
        <v>1851</v>
      </c>
    </row>
    <row r="2594" spans="1:19" x14ac:dyDescent="0.25">
      <c r="A2594" s="2">
        <v>45328</v>
      </c>
      <c r="B2594" s="1">
        <f t="shared" si="203"/>
        <v>6</v>
      </c>
      <c r="C2594">
        <f t="shared" si="205"/>
        <v>2</v>
      </c>
      <c r="D2594" t="str">
        <f t="shared" si="206"/>
        <v>February</v>
      </c>
      <c r="E2594">
        <f t="shared" si="207"/>
        <v>2024</v>
      </c>
      <c r="F2594" t="str">
        <f>CONCATENATE(calendar[[#This Row],[Month]],"/",calendar[[#This Row],[Year]])</f>
        <v>2/2024</v>
      </c>
      <c r="G2594">
        <f>WEEKDAY(calendar[[#This Row],[Date]],1)</f>
        <v>3</v>
      </c>
      <c r="H2594" t="str">
        <f>TEXT(calendar[[#This Row],[WeekDay]],"dddd")</f>
        <v>Tuesday</v>
      </c>
      <c r="I2594">
        <f>IF((INT(calendar[[#This Row],[Count]]/7)-calendar[[#This Row],[Count]]/7)&lt;0,I2593,I2593+1)</f>
        <v>371</v>
      </c>
      <c r="J2594">
        <f t="shared" si="204"/>
        <v>2592</v>
      </c>
      <c r="K2594">
        <f>IF(calendar[[#This Row],[Month]]&lt;4,1,IF(calendar[[#This Row],[Month]]&lt;7,2,IF(calendar[[#This Row],[Month]]&lt;10,3,4)))</f>
        <v>1</v>
      </c>
      <c r="L2594">
        <f>IFERROR(IF(VLOOKUP(calendar[[#This Row],[Date]],BH!A:A,1,)&lt;&gt;"",1,0),0)</f>
        <v>0</v>
      </c>
      <c r="M2594">
        <f>IFERROR(IF(VLOOKUP(calendar[[#This Row],[Date]],BH!C:C,1,)&lt;&gt;"",1,0),0)</f>
        <v>0</v>
      </c>
      <c r="N2594">
        <f>IFERROR(IF(VLOOKUP(calendar[[#This Row],[Date]],BH!E:E,1,)&lt;&gt;"",1,0),0)</f>
        <v>0</v>
      </c>
      <c r="O2594">
        <f>IFERROR(IF(VLOOKUP(calendar[[#This Row],[Date]],BH!G:G,1,)&lt;&gt;"",1,0),0)</f>
        <v>0</v>
      </c>
      <c r="P2594">
        <f>IF(OR(calendar[[#This Row],[UK_BH]]=1,calendar[[#This Row],[WeekDay]]=1, calendar[[#This Row],[WeekDay]]=7),P2593,P2593+1)</f>
        <v>1852</v>
      </c>
      <c r="Q2594">
        <f>IF(OR(calendar[[#This Row],[FR_BH]]=1,calendar[[#This Row],[WeekDay]]=1, calendar[[#This Row],[WeekDay]]=7),P2593,P2593+1)</f>
        <v>1852</v>
      </c>
      <c r="R2594">
        <f>IF(OR(calendar[[#This Row],[SP_BH]]=1,calendar[[#This Row],[WeekDay]]=1, calendar[[#This Row],[WeekDay]]=7),P2593,P2593+1)</f>
        <v>1852</v>
      </c>
      <c r="S2594">
        <f>IF(OR(calendar[[#This Row],[PT_BH]]=1,calendar[[#This Row],[WeekDay]]=1, calendar[[#This Row],[WeekDay]]=7),P2593,P2593+1)</f>
        <v>1852</v>
      </c>
    </row>
    <row r="2595" spans="1:19" x14ac:dyDescent="0.25">
      <c r="A2595" s="2">
        <v>45329</v>
      </c>
      <c r="B2595" s="1">
        <f t="shared" si="203"/>
        <v>6</v>
      </c>
      <c r="C2595">
        <f t="shared" si="205"/>
        <v>2</v>
      </c>
      <c r="D2595" t="str">
        <f t="shared" si="206"/>
        <v>February</v>
      </c>
      <c r="E2595">
        <f t="shared" si="207"/>
        <v>2024</v>
      </c>
      <c r="F2595" t="str">
        <f>CONCATENATE(calendar[[#This Row],[Month]],"/",calendar[[#This Row],[Year]])</f>
        <v>2/2024</v>
      </c>
      <c r="G2595">
        <f>WEEKDAY(calendar[[#This Row],[Date]],1)</f>
        <v>4</v>
      </c>
      <c r="H2595" t="str">
        <f>TEXT(calendar[[#This Row],[WeekDay]],"dddd")</f>
        <v>Wednesday</v>
      </c>
      <c r="I2595">
        <f>IF((INT(calendar[[#This Row],[Count]]/7)-calendar[[#This Row],[Count]]/7)&lt;0,I2594,I2594+1)</f>
        <v>371</v>
      </c>
      <c r="J2595">
        <f t="shared" si="204"/>
        <v>2593</v>
      </c>
      <c r="K2595">
        <f>IF(calendar[[#This Row],[Month]]&lt;4,1,IF(calendar[[#This Row],[Month]]&lt;7,2,IF(calendar[[#This Row],[Month]]&lt;10,3,4)))</f>
        <v>1</v>
      </c>
      <c r="L2595">
        <f>IFERROR(IF(VLOOKUP(calendar[[#This Row],[Date]],BH!A:A,1,)&lt;&gt;"",1,0),0)</f>
        <v>0</v>
      </c>
      <c r="M2595">
        <f>IFERROR(IF(VLOOKUP(calendar[[#This Row],[Date]],BH!C:C,1,)&lt;&gt;"",1,0),0)</f>
        <v>0</v>
      </c>
      <c r="N2595">
        <f>IFERROR(IF(VLOOKUP(calendar[[#This Row],[Date]],BH!E:E,1,)&lt;&gt;"",1,0),0)</f>
        <v>0</v>
      </c>
      <c r="O2595">
        <f>IFERROR(IF(VLOOKUP(calendar[[#This Row],[Date]],BH!G:G,1,)&lt;&gt;"",1,0),0)</f>
        <v>0</v>
      </c>
      <c r="P2595">
        <f>IF(OR(calendar[[#This Row],[UK_BH]]=1,calendar[[#This Row],[WeekDay]]=1, calendar[[#This Row],[WeekDay]]=7),P2594,P2594+1)</f>
        <v>1853</v>
      </c>
      <c r="Q2595">
        <f>IF(OR(calendar[[#This Row],[FR_BH]]=1,calendar[[#This Row],[WeekDay]]=1, calendar[[#This Row],[WeekDay]]=7),P2594,P2594+1)</f>
        <v>1853</v>
      </c>
      <c r="R2595">
        <f>IF(OR(calendar[[#This Row],[SP_BH]]=1,calendar[[#This Row],[WeekDay]]=1, calendar[[#This Row],[WeekDay]]=7),P2594,P2594+1)</f>
        <v>1853</v>
      </c>
      <c r="S2595">
        <f>IF(OR(calendar[[#This Row],[PT_BH]]=1,calendar[[#This Row],[WeekDay]]=1, calendar[[#This Row],[WeekDay]]=7),P2594,P2594+1)</f>
        <v>1853</v>
      </c>
    </row>
    <row r="2596" spans="1:19" x14ac:dyDescent="0.25">
      <c r="A2596" s="2">
        <v>45330</v>
      </c>
      <c r="B2596" s="1">
        <f t="shared" si="203"/>
        <v>6</v>
      </c>
      <c r="C2596">
        <f t="shared" si="205"/>
        <v>2</v>
      </c>
      <c r="D2596" t="str">
        <f t="shared" si="206"/>
        <v>February</v>
      </c>
      <c r="E2596">
        <f t="shared" si="207"/>
        <v>2024</v>
      </c>
      <c r="F2596" t="str">
        <f>CONCATENATE(calendar[[#This Row],[Month]],"/",calendar[[#This Row],[Year]])</f>
        <v>2/2024</v>
      </c>
      <c r="G2596">
        <f>WEEKDAY(calendar[[#This Row],[Date]],1)</f>
        <v>5</v>
      </c>
      <c r="H2596" t="str">
        <f>TEXT(calendar[[#This Row],[WeekDay]],"dddd")</f>
        <v>Thursday</v>
      </c>
      <c r="I2596">
        <f>IF((INT(calendar[[#This Row],[Count]]/7)-calendar[[#This Row],[Count]]/7)&lt;0,I2595,I2595+1)</f>
        <v>371</v>
      </c>
      <c r="J2596">
        <f t="shared" si="204"/>
        <v>2594</v>
      </c>
      <c r="K2596">
        <f>IF(calendar[[#This Row],[Month]]&lt;4,1,IF(calendar[[#This Row],[Month]]&lt;7,2,IF(calendar[[#This Row],[Month]]&lt;10,3,4)))</f>
        <v>1</v>
      </c>
      <c r="L2596">
        <f>IFERROR(IF(VLOOKUP(calendar[[#This Row],[Date]],BH!A:A,1,)&lt;&gt;"",1,0),0)</f>
        <v>0</v>
      </c>
      <c r="M2596">
        <f>IFERROR(IF(VLOOKUP(calendar[[#This Row],[Date]],BH!C:C,1,)&lt;&gt;"",1,0),0)</f>
        <v>0</v>
      </c>
      <c r="N2596">
        <f>IFERROR(IF(VLOOKUP(calendar[[#This Row],[Date]],BH!E:E,1,)&lt;&gt;"",1,0),0)</f>
        <v>0</v>
      </c>
      <c r="O2596">
        <f>IFERROR(IF(VLOOKUP(calendar[[#This Row],[Date]],BH!G:G,1,)&lt;&gt;"",1,0),0)</f>
        <v>0</v>
      </c>
      <c r="P2596">
        <f>IF(OR(calendar[[#This Row],[UK_BH]]=1,calendar[[#This Row],[WeekDay]]=1, calendar[[#This Row],[WeekDay]]=7),P2595,P2595+1)</f>
        <v>1854</v>
      </c>
      <c r="Q2596">
        <f>IF(OR(calendar[[#This Row],[FR_BH]]=1,calendar[[#This Row],[WeekDay]]=1, calendar[[#This Row],[WeekDay]]=7),P2595,P2595+1)</f>
        <v>1854</v>
      </c>
      <c r="R2596">
        <f>IF(OR(calendar[[#This Row],[SP_BH]]=1,calendar[[#This Row],[WeekDay]]=1, calendar[[#This Row],[WeekDay]]=7),P2595,P2595+1)</f>
        <v>1854</v>
      </c>
      <c r="S2596">
        <f>IF(OR(calendar[[#This Row],[PT_BH]]=1,calendar[[#This Row],[WeekDay]]=1, calendar[[#This Row],[WeekDay]]=7),P2595,P2595+1)</f>
        <v>1854</v>
      </c>
    </row>
    <row r="2597" spans="1:19" x14ac:dyDescent="0.25">
      <c r="A2597" s="2">
        <v>45331</v>
      </c>
      <c r="B2597" s="1">
        <f t="shared" si="203"/>
        <v>6</v>
      </c>
      <c r="C2597">
        <f t="shared" si="205"/>
        <v>2</v>
      </c>
      <c r="D2597" t="str">
        <f t="shared" si="206"/>
        <v>February</v>
      </c>
      <c r="E2597">
        <f t="shared" si="207"/>
        <v>2024</v>
      </c>
      <c r="F2597" t="str">
        <f>CONCATENATE(calendar[[#This Row],[Month]],"/",calendar[[#This Row],[Year]])</f>
        <v>2/2024</v>
      </c>
      <c r="G2597">
        <f>WEEKDAY(calendar[[#This Row],[Date]],1)</f>
        <v>6</v>
      </c>
      <c r="H2597" t="str">
        <f>TEXT(calendar[[#This Row],[WeekDay]],"dddd")</f>
        <v>Friday</v>
      </c>
      <c r="I2597">
        <f>IF((INT(calendar[[#This Row],[Count]]/7)-calendar[[#This Row],[Count]]/7)&lt;0,I2596,I2596+1)</f>
        <v>371</v>
      </c>
      <c r="J2597">
        <f t="shared" si="204"/>
        <v>2595</v>
      </c>
      <c r="K2597">
        <f>IF(calendar[[#This Row],[Month]]&lt;4,1,IF(calendar[[#This Row],[Month]]&lt;7,2,IF(calendar[[#This Row],[Month]]&lt;10,3,4)))</f>
        <v>1</v>
      </c>
      <c r="L2597">
        <f>IFERROR(IF(VLOOKUP(calendar[[#This Row],[Date]],BH!A:A,1,)&lt;&gt;"",1,0),0)</f>
        <v>0</v>
      </c>
      <c r="M2597">
        <f>IFERROR(IF(VLOOKUP(calendar[[#This Row],[Date]],BH!C:C,1,)&lt;&gt;"",1,0),0)</f>
        <v>0</v>
      </c>
      <c r="N2597">
        <f>IFERROR(IF(VLOOKUP(calendar[[#This Row],[Date]],BH!E:E,1,)&lt;&gt;"",1,0),0)</f>
        <v>0</v>
      </c>
      <c r="O2597">
        <f>IFERROR(IF(VLOOKUP(calendar[[#This Row],[Date]],BH!G:G,1,)&lt;&gt;"",1,0),0)</f>
        <v>0</v>
      </c>
      <c r="P2597">
        <f>IF(OR(calendar[[#This Row],[UK_BH]]=1,calendar[[#This Row],[WeekDay]]=1, calendar[[#This Row],[WeekDay]]=7),P2596,P2596+1)</f>
        <v>1855</v>
      </c>
      <c r="Q2597">
        <f>IF(OR(calendar[[#This Row],[FR_BH]]=1,calendar[[#This Row],[WeekDay]]=1, calendar[[#This Row],[WeekDay]]=7),P2596,P2596+1)</f>
        <v>1855</v>
      </c>
      <c r="R2597">
        <f>IF(OR(calendar[[#This Row],[SP_BH]]=1,calendar[[#This Row],[WeekDay]]=1, calendar[[#This Row],[WeekDay]]=7),P2596,P2596+1)</f>
        <v>1855</v>
      </c>
      <c r="S2597">
        <f>IF(OR(calendar[[#This Row],[PT_BH]]=1,calendar[[#This Row],[WeekDay]]=1, calendar[[#This Row],[WeekDay]]=7),P2596,P2596+1)</f>
        <v>1855</v>
      </c>
    </row>
    <row r="2598" spans="1:19" x14ac:dyDescent="0.25">
      <c r="A2598" s="2">
        <v>45332</v>
      </c>
      <c r="B2598" s="1">
        <f t="shared" si="203"/>
        <v>6</v>
      </c>
      <c r="C2598">
        <f t="shared" si="205"/>
        <v>2</v>
      </c>
      <c r="D2598" t="str">
        <f t="shared" si="206"/>
        <v>February</v>
      </c>
      <c r="E2598">
        <f t="shared" si="207"/>
        <v>2024</v>
      </c>
      <c r="F2598" t="str">
        <f>CONCATENATE(calendar[[#This Row],[Month]],"/",calendar[[#This Row],[Year]])</f>
        <v>2/2024</v>
      </c>
      <c r="G2598">
        <f>WEEKDAY(calendar[[#This Row],[Date]],1)</f>
        <v>7</v>
      </c>
      <c r="H2598" t="str">
        <f>TEXT(calendar[[#This Row],[WeekDay]],"dddd")</f>
        <v>Saturday</v>
      </c>
      <c r="I2598">
        <f>IF((INT(calendar[[#This Row],[Count]]/7)-calendar[[#This Row],[Count]]/7)&lt;0,I2597,I2597+1)</f>
        <v>371</v>
      </c>
      <c r="J2598">
        <f t="shared" si="204"/>
        <v>2596</v>
      </c>
      <c r="K2598">
        <f>IF(calendar[[#This Row],[Month]]&lt;4,1,IF(calendar[[#This Row],[Month]]&lt;7,2,IF(calendar[[#This Row],[Month]]&lt;10,3,4)))</f>
        <v>1</v>
      </c>
      <c r="L2598">
        <f>IFERROR(IF(VLOOKUP(calendar[[#This Row],[Date]],BH!A:A,1,)&lt;&gt;"",1,0),0)</f>
        <v>0</v>
      </c>
      <c r="M2598">
        <f>IFERROR(IF(VLOOKUP(calendar[[#This Row],[Date]],BH!C:C,1,)&lt;&gt;"",1,0),0)</f>
        <v>0</v>
      </c>
      <c r="N2598">
        <f>IFERROR(IF(VLOOKUP(calendar[[#This Row],[Date]],BH!E:E,1,)&lt;&gt;"",1,0),0)</f>
        <v>0</v>
      </c>
      <c r="O2598">
        <f>IFERROR(IF(VLOOKUP(calendar[[#This Row],[Date]],BH!G:G,1,)&lt;&gt;"",1,0),0)</f>
        <v>0</v>
      </c>
      <c r="P2598">
        <f>IF(OR(calendar[[#This Row],[UK_BH]]=1,calendar[[#This Row],[WeekDay]]=1, calendar[[#This Row],[WeekDay]]=7),P2597,P2597+1)</f>
        <v>1855</v>
      </c>
      <c r="Q2598">
        <f>IF(OR(calendar[[#This Row],[FR_BH]]=1,calendar[[#This Row],[WeekDay]]=1, calendar[[#This Row],[WeekDay]]=7),P2597,P2597+1)</f>
        <v>1855</v>
      </c>
      <c r="R2598">
        <f>IF(OR(calendar[[#This Row],[SP_BH]]=1,calendar[[#This Row],[WeekDay]]=1, calendar[[#This Row],[WeekDay]]=7),P2597,P2597+1)</f>
        <v>1855</v>
      </c>
      <c r="S2598">
        <f>IF(OR(calendar[[#This Row],[PT_BH]]=1,calendar[[#This Row],[WeekDay]]=1, calendar[[#This Row],[WeekDay]]=7),P2597,P2597+1)</f>
        <v>1855</v>
      </c>
    </row>
    <row r="2599" spans="1:19" x14ac:dyDescent="0.25">
      <c r="A2599" s="2">
        <v>45333</v>
      </c>
      <c r="B2599" s="1">
        <f t="shared" si="203"/>
        <v>7</v>
      </c>
      <c r="C2599">
        <f t="shared" si="205"/>
        <v>2</v>
      </c>
      <c r="D2599" t="str">
        <f t="shared" si="206"/>
        <v>February</v>
      </c>
      <c r="E2599">
        <f t="shared" si="207"/>
        <v>2024</v>
      </c>
      <c r="F2599" t="str">
        <f>CONCATENATE(calendar[[#This Row],[Month]],"/",calendar[[#This Row],[Year]])</f>
        <v>2/2024</v>
      </c>
      <c r="G2599">
        <f>WEEKDAY(calendar[[#This Row],[Date]],1)</f>
        <v>1</v>
      </c>
      <c r="H2599" t="str">
        <f>TEXT(calendar[[#This Row],[WeekDay]],"dddd")</f>
        <v>Sunday</v>
      </c>
      <c r="I2599">
        <f>IF((INT(calendar[[#This Row],[Count]]/7)-calendar[[#This Row],[Count]]/7)&lt;0,I2598,I2598+1)</f>
        <v>372</v>
      </c>
      <c r="J2599">
        <f t="shared" si="204"/>
        <v>2597</v>
      </c>
      <c r="K2599">
        <f>IF(calendar[[#This Row],[Month]]&lt;4,1,IF(calendar[[#This Row],[Month]]&lt;7,2,IF(calendar[[#This Row],[Month]]&lt;10,3,4)))</f>
        <v>1</v>
      </c>
      <c r="L2599">
        <f>IFERROR(IF(VLOOKUP(calendar[[#This Row],[Date]],BH!A:A,1,)&lt;&gt;"",1,0),0)</f>
        <v>0</v>
      </c>
      <c r="M2599">
        <f>IFERROR(IF(VLOOKUP(calendar[[#This Row],[Date]],BH!C:C,1,)&lt;&gt;"",1,0),0)</f>
        <v>0</v>
      </c>
      <c r="N2599">
        <f>IFERROR(IF(VLOOKUP(calendar[[#This Row],[Date]],BH!E:E,1,)&lt;&gt;"",1,0),0)</f>
        <v>0</v>
      </c>
      <c r="O2599">
        <f>IFERROR(IF(VLOOKUP(calendar[[#This Row],[Date]],BH!G:G,1,)&lt;&gt;"",1,0),0)</f>
        <v>0</v>
      </c>
      <c r="P2599">
        <f>IF(OR(calendar[[#This Row],[UK_BH]]=1,calendar[[#This Row],[WeekDay]]=1, calendar[[#This Row],[WeekDay]]=7),P2598,P2598+1)</f>
        <v>1855</v>
      </c>
      <c r="Q2599">
        <f>IF(OR(calendar[[#This Row],[FR_BH]]=1,calendar[[#This Row],[WeekDay]]=1, calendar[[#This Row],[WeekDay]]=7),P2598,P2598+1)</f>
        <v>1855</v>
      </c>
      <c r="R2599">
        <f>IF(OR(calendar[[#This Row],[SP_BH]]=1,calendar[[#This Row],[WeekDay]]=1, calendar[[#This Row],[WeekDay]]=7),P2598,P2598+1)</f>
        <v>1855</v>
      </c>
      <c r="S2599">
        <f>IF(OR(calendar[[#This Row],[PT_BH]]=1,calendar[[#This Row],[WeekDay]]=1, calendar[[#This Row],[WeekDay]]=7),P2598,P2598+1)</f>
        <v>1855</v>
      </c>
    </row>
    <row r="2600" spans="1:19" x14ac:dyDescent="0.25">
      <c r="A2600" s="2">
        <v>45334</v>
      </c>
      <c r="B2600" s="1">
        <f t="shared" si="203"/>
        <v>7</v>
      </c>
      <c r="C2600">
        <f t="shared" si="205"/>
        <v>2</v>
      </c>
      <c r="D2600" t="str">
        <f t="shared" si="206"/>
        <v>February</v>
      </c>
      <c r="E2600">
        <f t="shared" si="207"/>
        <v>2024</v>
      </c>
      <c r="F2600" t="str">
        <f>CONCATENATE(calendar[[#This Row],[Month]],"/",calendar[[#This Row],[Year]])</f>
        <v>2/2024</v>
      </c>
      <c r="G2600">
        <f>WEEKDAY(calendar[[#This Row],[Date]],1)</f>
        <v>2</v>
      </c>
      <c r="H2600" t="str">
        <f>TEXT(calendar[[#This Row],[WeekDay]],"dddd")</f>
        <v>Monday</v>
      </c>
      <c r="I2600">
        <f>IF((INT(calendar[[#This Row],[Count]]/7)-calendar[[#This Row],[Count]]/7)&lt;0,I2599,I2599+1)</f>
        <v>372</v>
      </c>
      <c r="J2600">
        <f t="shared" si="204"/>
        <v>2598</v>
      </c>
      <c r="K2600">
        <f>IF(calendar[[#This Row],[Month]]&lt;4,1,IF(calendar[[#This Row],[Month]]&lt;7,2,IF(calendar[[#This Row],[Month]]&lt;10,3,4)))</f>
        <v>1</v>
      </c>
      <c r="L2600">
        <f>IFERROR(IF(VLOOKUP(calendar[[#This Row],[Date]],BH!A:A,1,)&lt;&gt;"",1,0),0)</f>
        <v>0</v>
      </c>
      <c r="M2600">
        <f>IFERROR(IF(VLOOKUP(calendar[[#This Row],[Date]],BH!C:C,1,)&lt;&gt;"",1,0),0)</f>
        <v>0</v>
      </c>
      <c r="N2600">
        <f>IFERROR(IF(VLOOKUP(calendar[[#This Row],[Date]],BH!E:E,1,)&lt;&gt;"",1,0),0)</f>
        <v>0</v>
      </c>
      <c r="O2600">
        <f>IFERROR(IF(VLOOKUP(calendar[[#This Row],[Date]],BH!G:G,1,)&lt;&gt;"",1,0),0)</f>
        <v>0</v>
      </c>
      <c r="P2600">
        <f>IF(OR(calendar[[#This Row],[UK_BH]]=1,calendar[[#This Row],[WeekDay]]=1, calendar[[#This Row],[WeekDay]]=7),P2599,P2599+1)</f>
        <v>1856</v>
      </c>
      <c r="Q2600">
        <f>IF(OR(calendar[[#This Row],[FR_BH]]=1,calendar[[#This Row],[WeekDay]]=1, calendar[[#This Row],[WeekDay]]=7),P2599,P2599+1)</f>
        <v>1856</v>
      </c>
      <c r="R2600">
        <f>IF(OR(calendar[[#This Row],[SP_BH]]=1,calendar[[#This Row],[WeekDay]]=1, calendar[[#This Row],[WeekDay]]=7),P2599,P2599+1)</f>
        <v>1856</v>
      </c>
      <c r="S2600">
        <f>IF(OR(calendar[[#This Row],[PT_BH]]=1,calendar[[#This Row],[WeekDay]]=1, calendar[[#This Row],[WeekDay]]=7),P2599,P2599+1)</f>
        <v>1856</v>
      </c>
    </row>
    <row r="2601" spans="1:19" x14ac:dyDescent="0.25">
      <c r="A2601" s="2">
        <v>45335</v>
      </c>
      <c r="B2601" s="1">
        <f t="shared" si="203"/>
        <v>7</v>
      </c>
      <c r="C2601">
        <f t="shared" si="205"/>
        <v>2</v>
      </c>
      <c r="D2601" t="str">
        <f t="shared" si="206"/>
        <v>February</v>
      </c>
      <c r="E2601">
        <f t="shared" si="207"/>
        <v>2024</v>
      </c>
      <c r="F2601" t="str">
        <f>CONCATENATE(calendar[[#This Row],[Month]],"/",calendar[[#This Row],[Year]])</f>
        <v>2/2024</v>
      </c>
      <c r="G2601">
        <f>WEEKDAY(calendar[[#This Row],[Date]],1)</f>
        <v>3</v>
      </c>
      <c r="H2601" t="str">
        <f>TEXT(calendar[[#This Row],[WeekDay]],"dddd")</f>
        <v>Tuesday</v>
      </c>
      <c r="I2601">
        <f>IF((INT(calendar[[#This Row],[Count]]/7)-calendar[[#This Row],[Count]]/7)&lt;0,I2600,I2600+1)</f>
        <v>372</v>
      </c>
      <c r="J2601">
        <f t="shared" si="204"/>
        <v>2599</v>
      </c>
      <c r="K2601">
        <f>IF(calendar[[#This Row],[Month]]&lt;4,1,IF(calendar[[#This Row],[Month]]&lt;7,2,IF(calendar[[#This Row],[Month]]&lt;10,3,4)))</f>
        <v>1</v>
      </c>
      <c r="L2601">
        <f>IFERROR(IF(VLOOKUP(calendar[[#This Row],[Date]],BH!A:A,1,)&lt;&gt;"",1,0),0)</f>
        <v>0</v>
      </c>
      <c r="M2601">
        <f>IFERROR(IF(VLOOKUP(calendar[[#This Row],[Date]],BH!C:C,1,)&lt;&gt;"",1,0),0)</f>
        <v>0</v>
      </c>
      <c r="N2601">
        <f>IFERROR(IF(VLOOKUP(calendar[[#This Row],[Date]],BH!E:E,1,)&lt;&gt;"",1,0),0)</f>
        <v>0</v>
      </c>
      <c r="O2601">
        <f>IFERROR(IF(VLOOKUP(calendar[[#This Row],[Date]],BH!G:G,1,)&lt;&gt;"",1,0),0)</f>
        <v>0</v>
      </c>
      <c r="P2601">
        <f>IF(OR(calendar[[#This Row],[UK_BH]]=1,calendar[[#This Row],[WeekDay]]=1, calendar[[#This Row],[WeekDay]]=7),P2600,P2600+1)</f>
        <v>1857</v>
      </c>
      <c r="Q2601">
        <f>IF(OR(calendar[[#This Row],[FR_BH]]=1,calendar[[#This Row],[WeekDay]]=1, calendar[[#This Row],[WeekDay]]=7),P2600,P2600+1)</f>
        <v>1857</v>
      </c>
      <c r="R2601">
        <f>IF(OR(calendar[[#This Row],[SP_BH]]=1,calendar[[#This Row],[WeekDay]]=1, calendar[[#This Row],[WeekDay]]=7),P2600,P2600+1)</f>
        <v>1857</v>
      </c>
      <c r="S2601">
        <f>IF(OR(calendar[[#This Row],[PT_BH]]=1,calendar[[#This Row],[WeekDay]]=1, calendar[[#This Row],[WeekDay]]=7),P2600,P2600+1)</f>
        <v>1857</v>
      </c>
    </row>
    <row r="2602" spans="1:19" x14ac:dyDescent="0.25">
      <c r="A2602" s="2">
        <v>45336</v>
      </c>
      <c r="B2602" s="1">
        <f t="shared" si="203"/>
        <v>7</v>
      </c>
      <c r="C2602">
        <f t="shared" si="205"/>
        <v>2</v>
      </c>
      <c r="D2602" t="str">
        <f t="shared" si="206"/>
        <v>February</v>
      </c>
      <c r="E2602">
        <f t="shared" si="207"/>
        <v>2024</v>
      </c>
      <c r="F2602" t="str">
        <f>CONCATENATE(calendar[[#This Row],[Month]],"/",calendar[[#This Row],[Year]])</f>
        <v>2/2024</v>
      </c>
      <c r="G2602">
        <f>WEEKDAY(calendar[[#This Row],[Date]],1)</f>
        <v>4</v>
      </c>
      <c r="H2602" t="str">
        <f>TEXT(calendar[[#This Row],[WeekDay]],"dddd")</f>
        <v>Wednesday</v>
      </c>
      <c r="I2602">
        <f>IF((INT(calendar[[#This Row],[Count]]/7)-calendar[[#This Row],[Count]]/7)&lt;0,I2601,I2601+1)</f>
        <v>372</v>
      </c>
      <c r="J2602">
        <f t="shared" si="204"/>
        <v>2600</v>
      </c>
      <c r="K2602">
        <f>IF(calendar[[#This Row],[Month]]&lt;4,1,IF(calendar[[#This Row],[Month]]&lt;7,2,IF(calendar[[#This Row],[Month]]&lt;10,3,4)))</f>
        <v>1</v>
      </c>
      <c r="L2602">
        <f>IFERROR(IF(VLOOKUP(calendar[[#This Row],[Date]],BH!A:A,1,)&lt;&gt;"",1,0),0)</f>
        <v>0</v>
      </c>
      <c r="M2602">
        <f>IFERROR(IF(VLOOKUP(calendar[[#This Row],[Date]],BH!C:C,1,)&lt;&gt;"",1,0),0)</f>
        <v>0</v>
      </c>
      <c r="N2602">
        <f>IFERROR(IF(VLOOKUP(calendar[[#This Row],[Date]],BH!E:E,1,)&lt;&gt;"",1,0),0)</f>
        <v>0</v>
      </c>
      <c r="O2602">
        <f>IFERROR(IF(VLOOKUP(calendar[[#This Row],[Date]],BH!G:G,1,)&lt;&gt;"",1,0),0)</f>
        <v>0</v>
      </c>
      <c r="P2602">
        <f>IF(OR(calendar[[#This Row],[UK_BH]]=1,calendar[[#This Row],[WeekDay]]=1, calendar[[#This Row],[WeekDay]]=7),P2601,P2601+1)</f>
        <v>1858</v>
      </c>
      <c r="Q2602">
        <f>IF(OR(calendar[[#This Row],[FR_BH]]=1,calendar[[#This Row],[WeekDay]]=1, calendar[[#This Row],[WeekDay]]=7),P2601,P2601+1)</f>
        <v>1858</v>
      </c>
      <c r="R2602">
        <f>IF(OR(calendar[[#This Row],[SP_BH]]=1,calendar[[#This Row],[WeekDay]]=1, calendar[[#This Row],[WeekDay]]=7),P2601,P2601+1)</f>
        <v>1858</v>
      </c>
      <c r="S2602">
        <f>IF(OR(calendar[[#This Row],[PT_BH]]=1,calendar[[#This Row],[WeekDay]]=1, calendar[[#This Row],[WeekDay]]=7),P2601,P2601+1)</f>
        <v>1858</v>
      </c>
    </row>
    <row r="2603" spans="1:19" x14ac:dyDescent="0.25">
      <c r="A2603" s="2">
        <v>45337</v>
      </c>
      <c r="B2603" s="1">
        <f t="shared" si="203"/>
        <v>7</v>
      </c>
      <c r="C2603">
        <f t="shared" si="205"/>
        <v>2</v>
      </c>
      <c r="D2603" t="str">
        <f t="shared" si="206"/>
        <v>February</v>
      </c>
      <c r="E2603">
        <f t="shared" si="207"/>
        <v>2024</v>
      </c>
      <c r="F2603" t="str">
        <f>CONCATENATE(calendar[[#This Row],[Month]],"/",calendar[[#This Row],[Year]])</f>
        <v>2/2024</v>
      </c>
      <c r="G2603">
        <f>WEEKDAY(calendar[[#This Row],[Date]],1)</f>
        <v>5</v>
      </c>
      <c r="H2603" t="str">
        <f>TEXT(calendar[[#This Row],[WeekDay]],"dddd")</f>
        <v>Thursday</v>
      </c>
      <c r="I2603">
        <f>IF((INT(calendar[[#This Row],[Count]]/7)-calendar[[#This Row],[Count]]/7)&lt;0,I2602,I2602+1)</f>
        <v>372</v>
      </c>
      <c r="J2603">
        <f t="shared" si="204"/>
        <v>2601</v>
      </c>
      <c r="K2603">
        <f>IF(calendar[[#This Row],[Month]]&lt;4,1,IF(calendar[[#This Row],[Month]]&lt;7,2,IF(calendar[[#This Row],[Month]]&lt;10,3,4)))</f>
        <v>1</v>
      </c>
      <c r="L2603">
        <f>IFERROR(IF(VLOOKUP(calendar[[#This Row],[Date]],BH!A:A,1,)&lt;&gt;"",1,0),0)</f>
        <v>0</v>
      </c>
      <c r="M2603">
        <f>IFERROR(IF(VLOOKUP(calendar[[#This Row],[Date]],BH!C:C,1,)&lt;&gt;"",1,0),0)</f>
        <v>0</v>
      </c>
      <c r="N2603">
        <f>IFERROR(IF(VLOOKUP(calendar[[#This Row],[Date]],BH!E:E,1,)&lt;&gt;"",1,0),0)</f>
        <v>0</v>
      </c>
      <c r="O2603">
        <f>IFERROR(IF(VLOOKUP(calendar[[#This Row],[Date]],BH!G:G,1,)&lt;&gt;"",1,0),0)</f>
        <v>0</v>
      </c>
      <c r="P2603">
        <f>IF(OR(calendar[[#This Row],[UK_BH]]=1,calendar[[#This Row],[WeekDay]]=1, calendar[[#This Row],[WeekDay]]=7),P2602,P2602+1)</f>
        <v>1859</v>
      </c>
      <c r="Q2603">
        <f>IF(OR(calendar[[#This Row],[FR_BH]]=1,calendar[[#This Row],[WeekDay]]=1, calendar[[#This Row],[WeekDay]]=7),P2602,P2602+1)</f>
        <v>1859</v>
      </c>
      <c r="R2603">
        <f>IF(OR(calendar[[#This Row],[SP_BH]]=1,calendar[[#This Row],[WeekDay]]=1, calendar[[#This Row],[WeekDay]]=7),P2602,P2602+1)</f>
        <v>1859</v>
      </c>
      <c r="S2603">
        <f>IF(OR(calendar[[#This Row],[PT_BH]]=1,calendar[[#This Row],[WeekDay]]=1, calendar[[#This Row],[WeekDay]]=7),P2602,P2602+1)</f>
        <v>1859</v>
      </c>
    </row>
    <row r="2604" spans="1:19" x14ac:dyDescent="0.25">
      <c r="A2604" s="2">
        <v>45338</v>
      </c>
      <c r="B2604" s="1">
        <f t="shared" si="203"/>
        <v>7</v>
      </c>
      <c r="C2604">
        <f t="shared" si="205"/>
        <v>2</v>
      </c>
      <c r="D2604" t="str">
        <f t="shared" si="206"/>
        <v>February</v>
      </c>
      <c r="E2604">
        <f t="shared" si="207"/>
        <v>2024</v>
      </c>
      <c r="F2604" t="str">
        <f>CONCATENATE(calendar[[#This Row],[Month]],"/",calendar[[#This Row],[Year]])</f>
        <v>2/2024</v>
      </c>
      <c r="G2604">
        <f>WEEKDAY(calendar[[#This Row],[Date]],1)</f>
        <v>6</v>
      </c>
      <c r="H2604" t="str">
        <f>TEXT(calendar[[#This Row],[WeekDay]],"dddd")</f>
        <v>Friday</v>
      </c>
      <c r="I2604">
        <f>IF((INT(calendar[[#This Row],[Count]]/7)-calendar[[#This Row],[Count]]/7)&lt;0,I2603,I2603+1)</f>
        <v>372</v>
      </c>
      <c r="J2604">
        <f t="shared" si="204"/>
        <v>2602</v>
      </c>
      <c r="K2604">
        <f>IF(calendar[[#This Row],[Month]]&lt;4,1,IF(calendar[[#This Row],[Month]]&lt;7,2,IF(calendar[[#This Row],[Month]]&lt;10,3,4)))</f>
        <v>1</v>
      </c>
      <c r="L2604">
        <f>IFERROR(IF(VLOOKUP(calendar[[#This Row],[Date]],BH!A:A,1,)&lt;&gt;"",1,0),0)</f>
        <v>0</v>
      </c>
      <c r="M2604">
        <f>IFERROR(IF(VLOOKUP(calendar[[#This Row],[Date]],BH!C:C,1,)&lt;&gt;"",1,0),0)</f>
        <v>0</v>
      </c>
      <c r="N2604">
        <f>IFERROR(IF(VLOOKUP(calendar[[#This Row],[Date]],BH!E:E,1,)&lt;&gt;"",1,0),0)</f>
        <v>0</v>
      </c>
      <c r="O2604">
        <f>IFERROR(IF(VLOOKUP(calendar[[#This Row],[Date]],BH!G:G,1,)&lt;&gt;"",1,0),0)</f>
        <v>0</v>
      </c>
      <c r="P2604">
        <f>IF(OR(calendar[[#This Row],[UK_BH]]=1,calendar[[#This Row],[WeekDay]]=1, calendar[[#This Row],[WeekDay]]=7),P2603,P2603+1)</f>
        <v>1860</v>
      </c>
      <c r="Q2604">
        <f>IF(OR(calendar[[#This Row],[FR_BH]]=1,calendar[[#This Row],[WeekDay]]=1, calendar[[#This Row],[WeekDay]]=7),P2603,P2603+1)</f>
        <v>1860</v>
      </c>
      <c r="R2604">
        <f>IF(OR(calendar[[#This Row],[SP_BH]]=1,calendar[[#This Row],[WeekDay]]=1, calendar[[#This Row],[WeekDay]]=7),P2603,P2603+1)</f>
        <v>1860</v>
      </c>
      <c r="S2604">
        <f>IF(OR(calendar[[#This Row],[PT_BH]]=1,calendar[[#This Row],[WeekDay]]=1, calendar[[#This Row],[WeekDay]]=7),P2603,P2603+1)</f>
        <v>1860</v>
      </c>
    </row>
    <row r="2605" spans="1:19" x14ac:dyDescent="0.25">
      <c r="A2605" s="2">
        <v>45339</v>
      </c>
      <c r="B2605" s="1">
        <f t="shared" si="203"/>
        <v>7</v>
      </c>
      <c r="C2605">
        <f t="shared" si="205"/>
        <v>2</v>
      </c>
      <c r="D2605" t="str">
        <f t="shared" si="206"/>
        <v>February</v>
      </c>
      <c r="E2605">
        <f t="shared" si="207"/>
        <v>2024</v>
      </c>
      <c r="F2605" t="str">
        <f>CONCATENATE(calendar[[#This Row],[Month]],"/",calendar[[#This Row],[Year]])</f>
        <v>2/2024</v>
      </c>
      <c r="G2605">
        <f>WEEKDAY(calendar[[#This Row],[Date]],1)</f>
        <v>7</v>
      </c>
      <c r="H2605" t="str">
        <f>TEXT(calendar[[#This Row],[WeekDay]],"dddd")</f>
        <v>Saturday</v>
      </c>
      <c r="I2605">
        <f>IF((INT(calendar[[#This Row],[Count]]/7)-calendar[[#This Row],[Count]]/7)&lt;0,I2604,I2604+1)</f>
        <v>372</v>
      </c>
      <c r="J2605">
        <f t="shared" si="204"/>
        <v>2603</v>
      </c>
      <c r="K2605">
        <f>IF(calendar[[#This Row],[Month]]&lt;4,1,IF(calendar[[#This Row],[Month]]&lt;7,2,IF(calendar[[#This Row],[Month]]&lt;10,3,4)))</f>
        <v>1</v>
      </c>
      <c r="L2605">
        <f>IFERROR(IF(VLOOKUP(calendar[[#This Row],[Date]],BH!A:A,1,)&lt;&gt;"",1,0),0)</f>
        <v>0</v>
      </c>
      <c r="M2605">
        <f>IFERROR(IF(VLOOKUP(calendar[[#This Row],[Date]],BH!C:C,1,)&lt;&gt;"",1,0),0)</f>
        <v>0</v>
      </c>
      <c r="N2605">
        <f>IFERROR(IF(VLOOKUP(calendar[[#This Row],[Date]],BH!E:E,1,)&lt;&gt;"",1,0),0)</f>
        <v>0</v>
      </c>
      <c r="O2605">
        <f>IFERROR(IF(VLOOKUP(calendar[[#This Row],[Date]],BH!G:G,1,)&lt;&gt;"",1,0),0)</f>
        <v>0</v>
      </c>
      <c r="P2605">
        <f>IF(OR(calendar[[#This Row],[UK_BH]]=1,calendar[[#This Row],[WeekDay]]=1, calendar[[#This Row],[WeekDay]]=7),P2604,P2604+1)</f>
        <v>1860</v>
      </c>
      <c r="Q2605">
        <f>IF(OR(calendar[[#This Row],[FR_BH]]=1,calendar[[#This Row],[WeekDay]]=1, calendar[[#This Row],[WeekDay]]=7),P2604,P2604+1)</f>
        <v>1860</v>
      </c>
      <c r="R2605">
        <f>IF(OR(calendar[[#This Row],[SP_BH]]=1,calendar[[#This Row],[WeekDay]]=1, calendar[[#This Row],[WeekDay]]=7),P2604,P2604+1)</f>
        <v>1860</v>
      </c>
      <c r="S2605">
        <f>IF(OR(calendar[[#This Row],[PT_BH]]=1,calendar[[#This Row],[WeekDay]]=1, calendar[[#This Row],[WeekDay]]=7),P2604,P2604+1)</f>
        <v>1860</v>
      </c>
    </row>
    <row r="2606" spans="1:19" x14ac:dyDescent="0.25">
      <c r="A2606" s="2">
        <v>45340</v>
      </c>
      <c r="B2606" s="1">
        <f t="shared" si="203"/>
        <v>8</v>
      </c>
      <c r="C2606">
        <f t="shared" si="205"/>
        <v>2</v>
      </c>
      <c r="D2606" t="str">
        <f t="shared" si="206"/>
        <v>February</v>
      </c>
      <c r="E2606">
        <f t="shared" si="207"/>
        <v>2024</v>
      </c>
      <c r="F2606" t="str">
        <f>CONCATENATE(calendar[[#This Row],[Month]],"/",calendar[[#This Row],[Year]])</f>
        <v>2/2024</v>
      </c>
      <c r="G2606">
        <f>WEEKDAY(calendar[[#This Row],[Date]],1)</f>
        <v>1</v>
      </c>
      <c r="H2606" t="str">
        <f>TEXT(calendar[[#This Row],[WeekDay]],"dddd")</f>
        <v>Sunday</v>
      </c>
      <c r="I2606">
        <f>IF((INT(calendar[[#This Row],[Count]]/7)-calendar[[#This Row],[Count]]/7)&lt;0,I2605,I2605+1)</f>
        <v>373</v>
      </c>
      <c r="J2606">
        <f t="shared" si="204"/>
        <v>2604</v>
      </c>
      <c r="K2606">
        <f>IF(calendar[[#This Row],[Month]]&lt;4,1,IF(calendar[[#This Row],[Month]]&lt;7,2,IF(calendar[[#This Row],[Month]]&lt;10,3,4)))</f>
        <v>1</v>
      </c>
      <c r="L2606">
        <f>IFERROR(IF(VLOOKUP(calendar[[#This Row],[Date]],BH!A:A,1,)&lt;&gt;"",1,0),0)</f>
        <v>0</v>
      </c>
      <c r="M2606">
        <f>IFERROR(IF(VLOOKUP(calendar[[#This Row],[Date]],BH!C:C,1,)&lt;&gt;"",1,0),0)</f>
        <v>0</v>
      </c>
      <c r="N2606">
        <f>IFERROR(IF(VLOOKUP(calendar[[#This Row],[Date]],BH!E:E,1,)&lt;&gt;"",1,0),0)</f>
        <v>0</v>
      </c>
      <c r="O2606">
        <f>IFERROR(IF(VLOOKUP(calendar[[#This Row],[Date]],BH!G:G,1,)&lt;&gt;"",1,0),0)</f>
        <v>0</v>
      </c>
      <c r="P2606">
        <f>IF(OR(calendar[[#This Row],[UK_BH]]=1,calendar[[#This Row],[WeekDay]]=1, calendar[[#This Row],[WeekDay]]=7),P2605,P2605+1)</f>
        <v>1860</v>
      </c>
      <c r="Q2606">
        <f>IF(OR(calendar[[#This Row],[FR_BH]]=1,calendar[[#This Row],[WeekDay]]=1, calendar[[#This Row],[WeekDay]]=7),P2605,P2605+1)</f>
        <v>1860</v>
      </c>
      <c r="R2606">
        <f>IF(OR(calendar[[#This Row],[SP_BH]]=1,calendar[[#This Row],[WeekDay]]=1, calendar[[#This Row],[WeekDay]]=7),P2605,P2605+1)</f>
        <v>1860</v>
      </c>
      <c r="S2606">
        <f>IF(OR(calendar[[#This Row],[PT_BH]]=1,calendar[[#This Row],[WeekDay]]=1, calendar[[#This Row],[WeekDay]]=7),P2605,P2605+1)</f>
        <v>1860</v>
      </c>
    </row>
    <row r="2607" spans="1:19" x14ac:dyDescent="0.25">
      <c r="A2607" s="2">
        <v>45341</v>
      </c>
      <c r="B2607" s="1">
        <f t="shared" si="203"/>
        <v>8</v>
      </c>
      <c r="C2607">
        <f t="shared" si="205"/>
        <v>2</v>
      </c>
      <c r="D2607" t="str">
        <f t="shared" si="206"/>
        <v>February</v>
      </c>
      <c r="E2607">
        <f t="shared" si="207"/>
        <v>2024</v>
      </c>
      <c r="F2607" t="str">
        <f>CONCATENATE(calendar[[#This Row],[Month]],"/",calendar[[#This Row],[Year]])</f>
        <v>2/2024</v>
      </c>
      <c r="G2607">
        <f>WEEKDAY(calendar[[#This Row],[Date]],1)</f>
        <v>2</v>
      </c>
      <c r="H2607" t="str">
        <f>TEXT(calendar[[#This Row],[WeekDay]],"dddd")</f>
        <v>Monday</v>
      </c>
      <c r="I2607">
        <f>IF((INT(calendar[[#This Row],[Count]]/7)-calendar[[#This Row],[Count]]/7)&lt;0,I2606,I2606+1)</f>
        <v>373</v>
      </c>
      <c r="J2607">
        <f t="shared" si="204"/>
        <v>2605</v>
      </c>
      <c r="K2607">
        <f>IF(calendar[[#This Row],[Month]]&lt;4,1,IF(calendar[[#This Row],[Month]]&lt;7,2,IF(calendar[[#This Row],[Month]]&lt;10,3,4)))</f>
        <v>1</v>
      </c>
      <c r="L2607">
        <f>IFERROR(IF(VLOOKUP(calendar[[#This Row],[Date]],BH!A:A,1,)&lt;&gt;"",1,0),0)</f>
        <v>0</v>
      </c>
      <c r="M2607">
        <f>IFERROR(IF(VLOOKUP(calendar[[#This Row],[Date]],BH!C:C,1,)&lt;&gt;"",1,0),0)</f>
        <v>0</v>
      </c>
      <c r="N2607">
        <f>IFERROR(IF(VLOOKUP(calendar[[#This Row],[Date]],BH!E:E,1,)&lt;&gt;"",1,0),0)</f>
        <v>0</v>
      </c>
      <c r="O2607">
        <f>IFERROR(IF(VLOOKUP(calendar[[#This Row],[Date]],BH!G:G,1,)&lt;&gt;"",1,0),0)</f>
        <v>0</v>
      </c>
      <c r="P2607">
        <f>IF(OR(calendar[[#This Row],[UK_BH]]=1,calendar[[#This Row],[WeekDay]]=1, calendar[[#This Row],[WeekDay]]=7),P2606,P2606+1)</f>
        <v>1861</v>
      </c>
      <c r="Q2607">
        <f>IF(OR(calendar[[#This Row],[FR_BH]]=1,calendar[[#This Row],[WeekDay]]=1, calendar[[#This Row],[WeekDay]]=7),P2606,P2606+1)</f>
        <v>1861</v>
      </c>
      <c r="R2607">
        <f>IF(OR(calendar[[#This Row],[SP_BH]]=1,calendar[[#This Row],[WeekDay]]=1, calendar[[#This Row],[WeekDay]]=7),P2606,P2606+1)</f>
        <v>1861</v>
      </c>
      <c r="S2607">
        <f>IF(OR(calendar[[#This Row],[PT_BH]]=1,calendar[[#This Row],[WeekDay]]=1, calendar[[#This Row],[WeekDay]]=7),P2606,P2606+1)</f>
        <v>1861</v>
      </c>
    </row>
    <row r="2608" spans="1:19" x14ac:dyDescent="0.25">
      <c r="A2608" s="2">
        <v>45342</v>
      </c>
      <c r="B2608" s="1">
        <f t="shared" si="203"/>
        <v>8</v>
      </c>
      <c r="C2608">
        <f t="shared" si="205"/>
        <v>2</v>
      </c>
      <c r="D2608" t="str">
        <f t="shared" si="206"/>
        <v>February</v>
      </c>
      <c r="E2608">
        <f t="shared" si="207"/>
        <v>2024</v>
      </c>
      <c r="F2608" t="str">
        <f>CONCATENATE(calendar[[#This Row],[Month]],"/",calendar[[#This Row],[Year]])</f>
        <v>2/2024</v>
      </c>
      <c r="G2608">
        <f>WEEKDAY(calendar[[#This Row],[Date]],1)</f>
        <v>3</v>
      </c>
      <c r="H2608" t="str">
        <f>TEXT(calendar[[#This Row],[WeekDay]],"dddd")</f>
        <v>Tuesday</v>
      </c>
      <c r="I2608">
        <f>IF((INT(calendar[[#This Row],[Count]]/7)-calendar[[#This Row],[Count]]/7)&lt;0,I2607,I2607+1)</f>
        <v>373</v>
      </c>
      <c r="J2608">
        <f t="shared" si="204"/>
        <v>2606</v>
      </c>
      <c r="K2608">
        <f>IF(calendar[[#This Row],[Month]]&lt;4,1,IF(calendar[[#This Row],[Month]]&lt;7,2,IF(calendar[[#This Row],[Month]]&lt;10,3,4)))</f>
        <v>1</v>
      </c>
      <c r="L2608">
        <f>IFERROR(IF(VLOOKUP(calendar[[#This Row],[Date]],BH!A:A,1,)&lt;&gt;"",1,0),0)</f>
        <v>0</v>
      </c>
      <c r="M2608">
        <f>IFERROR(IF(VLOOKUP(calendar[[#This Row],[Date]],BH!C:C,1,)&lt;&gt;"",1,0),0)</f>
        <v>0</v>
      </c>
      <c r="N2608">
        <f>IFERROR(IF(VLOOKUP(calendar[[#This Row],[Date]],BH!E:E,1,)&lt;&gt;"",1,0),0)</f>
        <v>0</v>
      </c>
      <c r="O2608">
        <f>IFERROR(IF(VLOOKUP(calendar[[#This Row],[Date]],BH!G:G,1,)&lt;&gt;"",1,0),0)</f>
        <v>0</v>
      </c>
      <c r="P2608">
        <f>IF(OR(calendar[[#This Row],[UK_BH]]=1,calendar[[#This Row],[WeekDay]]=1, calendar[[#This Row],[WeekDay]]=7),P2607,P2607+1)</f>
        <v>1862</v>
      </c>
      <c r="Q2608">
        <f>IF(OR(calendar[[#This Row],[FR_BH]]=1,calendar[[#This Row],[WeekDay]]=1, calendar[[#This Row],[WeekDay]]=7),P2607,P2607+1)</f>
        <v>1862</v>
      </c>
      <c r="R2608">
        <f>IF(OR(calendar[[#This Row],[SP_BH]]=1,calendar[[#This Row],[WeekDay]]=1, calendar[[#This Row],[WeekDay]]=7),P2607,P2607+1)</f>
        <v>1862</v>
      </c>
      <c r="S2608">
        <f>IF(OR(calendar[[#This Row],[PT_BH]]=1,calendar[[#This Row],[WeekDay]]=1, calendar[[#This Row],[WeekDay]]=7),P2607,P2607+1)</f>
        <v>1862</v>
      </c>
    </row>
    <row r="2609" spans="1:19" x14ac:dyDescent="0.25">
      <c r="A2609" s="2">
        <v>45343</v>
      </c>
      <c r="B2609" s="1">
        <f t="shared" si="203"/>
        <v>8</v>
      </c>
      <c r="C2609">
        <f t="shared" si="205"/>
        <v>2</v>
      </c>
      <c r="D2609" t="str">
        <f t="shared" si="206"/>
        <v>February</v>
      </c>
      <c r="E2609">
        <f t="shared" si="207"/>
        <v>2024</v>
      </c>
      <c r="F2609" t="str">
        <f>CONCATENATE(calendar[[#This Row],[Month]],"/",calendar[[#This Row],[Year]])</f>
        <v>2/2024</v>
      </c>
      <c r="G2609">
        <f>WEEKDAY(calendar[[#This Row],[Date]],1)</f>
        <v>4</v>
      </c>
      <c r="H2609" t="str">
        <f>TEXT(calendar[[#This Row],[WeekDay]],"dddd")</f>
        <v>Wednesday</v>
      </c>
      <c r="I2609">
        <f>IF((INT(calendar[[#This Row],[Count]]/7)-calendar[[#This Row],[Count]]/7)&lt;0,I2608,I2608+1)</f>
        <v>373</v>
      </c>
      <c r="J2609">
        <f t="shared" si="204"/>
        <v>2607</v>
      </c>
      <c r="K2609">
        <f>IF(calendar[[#This Row],[Month]]&lt;4,1,IF(calendar[[#This Row],[Month]]&lt;7,2,IF(calendar[[#This Row],[Month]]&lt;10,3,4)))</f>
        <v>1</v>
      </c>
      <c r="L2609">
        <f>IFERROR(IF(VLOOKUP(calendar[[#This Row],[Date]],BH!A:A,1,)&lt;&gt;"",1,0),0)</f>
        <v>0</v>
      </c>
      <c r="M2609">
        <f>IFERROR(IF(VLOOKUP(calendar[[#This Row],[Date]],BH!C:C,1,)&lt;&gt;"",1,0),0)</f>
        <v>0</v>
      </c>
      <c r="N2609">
        <f>IFERROR(IF(VLOOKUP(calendar[[#This Row],[Date]],BH!E:E,1,)&lt;&gt;"",1,0),0)</f>
        <v>0</v>
      </c>
      <c r="O2609">
        <f>IFERROR(IF(VLOOKUP(calendar[[#This Row],[Date]],BH!G:G,1,)&lt;&gt;"",1,0),0)</f>
        <v>0</v>
      </c>
      <c r="P2609">
        <f>IF(OR(calendar[[#This Row],[UK_BH]]=1,calendar[[#This Row],[WeekDay]]=1, calendar[[#This Row],[WeekDay]]=7),P2608,P2608+1)</f>
        <v>1863</v>
      </c>
      <c r="Q2609">
        <f>IF(OR(calendar[[#This Row],[FR_BH]]=1,calendar[[#This Row],[WeekDay]]=1, calendar[[#This Row],[WeekDay]]=7),P2608,P2608+1)</f>
        <v>1863</v>
      </c>
      <c r="R2609">
        <f>IF(OR(calendar[[#This Row],[SP_BH]]=1,calendar[[#This Row],[WeekDay]]=1, calendar[[#This Row],[WeekDay]]=7),P2608,P2608+1)</f>
        <v>1863</v>
      </c>
      <c r="S2609">
        <f>IF(OR(calendar[[#This Row],[PT_BH]]=1,calendar[[#This Row],[WeekDay]]=1, calendar[[#This Row],[WeekDay]]=7),P2608,P2608+1)</f>
        <v>1863</v>
      </c>
    </row>
    <row r="2610" spans="1:19" x14ac:dyDescent="0.25">
      <c r="A2610" s="2">
        <v>45344</v>
      </c>
      <c r="B2610" s="1">
        <f t="shared" si="203"/>
        <v>8</v>
      </c>
      <c r="C2610">
        <f t="shared" si="205"/>
        <v>2</v>
      </c>
      <c r="D2610" t="str">
        <f t="shared" si="206"/>
        <v>February</v>
      </c>
      <c r="E2610">
        <f t="shared" si="207"/>
        <v>2024</v>
      </c>
      <c r="F2610" t="str">
        <f>CONCATENATE(calendar[[#This Row],[Month]],"/",calendar[[#This Row],[Year]])</f>
        <v>2/2024</v>
      </c>
      <c r="G2610">
        <f>WEEKDAY(calendar[[#This Row],[Date]],1)</f>
        <v>5</v>
      </c>
      <c r="H2610" t="str">
        <f>TEXT(calendar[[#This Row],[WeekDay]],"dddd")</f>
        <v>Thursday</v>
      </c>
      <c r="I2610">
        <f>IF((INT(calendar[[#This Row],[Count]]/7)-calendar[[#This Row],[Count]]/7)&lt;0,I2609,I2609+1)</f>
        <v>373</v>
      </c>
      <c r="J2610">
        <f t="shared" si="204"/>
        <v>2608</v>
      </c>
      <c r="K2610">
        <f>IF(calendar[[#This Row],[Month]]&lt;4,1,IF(calendar[[#This Row],[Month]]&lt;7,2,IF(calendar[[#This Row],[Month]]&lt;10,3,4)))</f>
        <v>1</v>
      </c>
      <c r="L2610">
        <f>IFERROR(IF(VLOOKUP(calendar[[#This Row],[Date]],BH!A:A,1,)&lt;&gt;"",1,0),0)</f>
        <v>0</v>
      </c>
      <c r="M2610">
        <f>IFERROR(IF(VLOOKUP(calendar[[#This Row],[Date]],BH!C:C,1,)&lt;&gt;"",1,0),0)</f>
        <v>0</v>
      </c>
      <c r="N2610">
        <f>IFERROR(IF(VLOOKUP(calendar[[#This Row],[Date]],BH!E:E,1,)&lt;&gt;"",1,0),0)</f>
        <v>0</v>
      </c>
      <c r="O2610">
        <f>IFERROR(IF(VLOOKUP(calendar[[#This Row],[Date]],BH!G:G,1,)&lt;&gt;"",1,0),0)</f>
        <v>0</v>
      </c>
      <c r="P2610">
        <f>IF(OR(calendar[[#This Row],[UK_BH]]=1,calendar[[#This Row],[WeekDay]]=1, calendar[[#This Row],[WeekDay]]=7),P2609,P2609+1)</f>
        <v>1864</v>
      </c>
      <c r="Q2610">
        <f>IF(OR(calendar[[#This Row],[FR_BH]]=1,calendar[[#This Row],[WeekDay]]=1, calendar[[#This Row],[WeekDay]]=7),P2609,P2609+1)</f>
        <v>1864</v>
      </c>
      <c r="R2610">
        <f>IF(OR(calendar[[#This Row],[SP_BH]]=1,calendar[[#This Row],[WeekDay]]=1, calendar[[#This Row],[WeekDay]]=7),P2609,P2609+1)</f>
        <v>1864</v>
      </c>
      <c r="S2610">
        <f>IF(OR(calendar[[#This Row],[PT_BH]]=1,calendar[[#This Row],[WeekDay]]=1, calendar[[#This Row],[WeekDay]]=7),P2609,P2609+1)</f>
        <v>1864</v>
      </c>
    </row>
    <row r="2611" spans="1:19" x14ac:dyDescent="0.25">
      <c r="A2611" s="2">
        <v>45345</v>
      </c>
      <c r="B2611" s="1">
        <f t="shared" si="203"/>
        <v>8</v>
      </c>
      <c r="C2611">
        <f t="shared" si="205"/>
        <v>2</v>
      </c>
      <c r="D2611" t="str">
        <f t="shared" si="206"/>
        <v>February</v>
      </c>
      <c r="E2611">
        <f t="shared" si="207"/>
        <v>2024</v>
      </c>
      <c r="F2611" t="str">
        <f>CONCATENATE(calendar[[#This Row],[Month]],"/",calendar[[#This Row],[Year]])</f>
        <v>2/2024</v>
      </c>
      <c r="G2611">
        <f>WEEKDAY(calendar[[#This Row],[Date]],1)</f>
        <v>6</v>
      </c>
      <c r="H2611" t="str">
        <f>TEXT(calendar[[#This Row],[WeekDay]],"dddd")</f>
        <v>Friday</v>
      </c>
      <c r="I2611">
        <f>IF((INT(calendar[[#This Row],[Count]]/7)-calendar[[#This Row],[Count]]/7)&lt;0,I2610,I2610+1)</f>
        <v>373</v>
      </c>
      <c r="J2611">
        <f t="shared" si="204"/>
        <v>2609</v>
      </c>
      <c r="K2611">
        <f>IF(calendar[[#This Row],[Month]]&lt;4,1,IF(calendar[[#This Row],[Month]]&lt;7,2,IF(calendar[[#This Row],[Month]]&lt;10,3,4)))</f>
        <v>1</v>
      </c>
      <c r="L2611">
        <f>IFERROR(IF(VLOOKUP(calendar[[#This Row],[Date]],BH!A:A,1,)&lt;&gt;"",1,0),0)</f>
        <v>0</v>
      </c>
      <c r="M2611">
        <f>IFERROR(IF(VLOOKUP(calendar[[#This Row],[Date]],BH!C:C,1,)&lt;&gt;"",1,0),0)</f>
        <v>0</v>
      </c>
      <c r="N2611">
        <f>IFERROR(IF(VLOOKUP(calendar[[#This Row],[Date]],BH!E:E,1,)&lt;&gt;"",1,0),0)</f>
        <v>0</v>
      </c>
      <c r="O2611">
        <f>IFERROR(IF(VLOOKUP(calendar[[#This Row],[Date]],BH!G:G,1,)&lt;&gt;"",1,0),0)</f>
        <v>0</v>
      </c>
      <c r="P2611">
        <f>IF(OR(calendar[[#This Row],[UK_BH]]=1,calendar[[#This Row],[WeekDay]]=1, calendar[[#This Row],[WeekDay]]=7),P2610,P2610+1)</f>
        <v>1865</v>
      </c>
      <c r="Q2611">
        <f>IF(OR(calendar[[#This Row],[FR_BH]]=1,calendar[[#This Row],[WeekDay]]=1, calendar[[#This Row],[WeekDay]]=7),P2610,P2610+1)</f>
        <v>1865</v>
      </c>
      <c r="R2611">
        <f>IF(OR(calendar[[#This Row],[SP_BH]]=1,calendar[[#This Row],[WeekDay]]=1, calendar[[#This Row],[WeekDay]]=7),P2610,P2610+1)</f>
        <v>1865</v>
      </c>
      <c r="S2611">
        <f>IF(OR(calendar[[#This Row],[PT_BH]]=1,calendar[[#This Row],[WeekDay]]=1, calendar[[#This Row],[WeekDay]]=7),P2610,P2610+1)</f>
        <v>1865</v>
      </c>
    </row>
    <row r="2612" spans="1:19" x14ac:dyDescent="0.25">
      <c r="A2612" s="2">
        <v>45346</v>
      </c>
      <c r="B2612" s="1">
        <f t="shared" si="203"/>
        <v>8</v>
      </c>
      <c r="C2612">
        <f t="shared" si="205"/>
        <v>2</v>
      </c>
      <c r="D2612" t="str">
        <f t="shared" si="206"/>
        <v>February</v>
      </c>
      <c r="E2612">
        <f t="shared" si="207"/>
        <v>2024</v>
      </c>
      <c r="F2612" t="str">
        <f>CONCATENATE(calendar[[#This Row],[Month]],"/",calendar[[#This Row],[Year]])</f>
        <v>2/2024</v>
      </c>
      <c r="G2612">
        <f>WEEKDAY(calendar[[#This Row],[Date]],1)</f>
        <v>7</v>
      </c>
      <c r="H2612" t="str">
        <f>TEXT(calendar[[#This Row],[WeekDay]],"dddd")</f>
        <v>Saturday</v>
      </c>
      <c r="I2612">
        <f>IF((INT(calendar[[#This Row],[Count]]/7)-calendar[[#This Row],[Count]]/7)&lt;0,I2611,I2611+1)</f>
        <v>373</v>
      </c>
      <c r="J2612">
        <f t="shared" si="204"/>
        <v>2610</v>
      </c>
      <c r="K2612">
        <f>IF(calendar[[#This Row],[Month]]&lt;4,1,IF(calendar[[#This Row],[Month]]&lt;7,2,IF(calendar[[#This Row],[Month]]&lt;10,3,4)))</f>
        <v>1</v>
      </c>
      <c r="L2612">
        <f>IFERROR(IF(VLOOKUP(calendar[[#This Row],[Date]],BH!A:A,1,)&lt;&gt;"",1,0),0)</f>
        <v>0</v>
      </c>
      <c r="M2612">
        <f>IFERROR(IF(VLOOKUP(calendar[[#This Row],[Date]],BH!C:C,1,)&lt;&gt;"",1,0),0)</f>
        <v>0</v>
      </c>
      <c r="N2612">
        <f>IFERROR(IF(VLOOKUP(calendar[[#This Row],[Date]],BH!E:E,1,)&lt;&gt;"",1,0),0)</f>
        <v>0</v>
      </c>
      <c r="O2612">
        <f>IFERROR(IF(VLOOKUP(calendar[[#This Row],[Date]],BH!G:G,1,)&lt;&gt;"",1,0),0)</f>
        <v>0</v>
      </c>
      <c r="P2612">
        <f>IF(OR(calendar[[#This Row],[UK_BH]]=1,calendar[[#This Row],[WeekDay]]=1, calendar[[#This Row],[WeekDay]]=7),P2611,P2611+1)</f>
        <v>1865</v>
      </c>
      <c r="Q2612">
        <f>IF(OR(calendar[[#This Row],[FR_BH]]=1,calendar[[#This Row],[WeekDay]]=1, calendar[[#This Row],[WeekDay]]=7),P2611,P2611+1)</f>
        <v>1865</v>
      </c>
      <c r="R2612">
        <f>IF(OR(calendar[[#This Row],[SP_BH]]=1,calendar[[#This Row],[WeekDay]]=1, calendar[[#This Row],[WeekDay]]=7),P2611,P2611+1)</f>
        <v>1865</v>
      </c>
      <c r="S2612">
        <f>IF(OR(calendar[[#This Row],[PT_BH]]=1,calendar[[#This Row],[WeekDay]]=1, calendar[[#This Row],[WeekDay]]=7),P2611,P2611+1)</f>
        <v>1865</v>
      </c>
    </row>
    <row r="2613" spans="1:19" x14ac:dyDescent="0.25">
      <c r="A2613" s="2">
        <v>45347</v>
      </c>
      <c r="B2613" s="1">
        <f t="shared" si="203"/>
        <v>9</v>
      </c>
      <c r="C2613">
        <f t="shared" si="205"/>
        <v>2</v>
      </c>
      <c r="D2613" t="str">
        <f t="shared" si="206"/>
        <v>February</v>
      </c>
      <c r="E2613">
        <f t="shared" si="207"/>
        <v>2024</v>
      </c>
      <c r="F2613" t="str">
        <f>CONCATENATE(calendar[[#This Row],[Month]],"/",calendar[[#This Row],[Year]])</f>
        <v>2/2024</v>
      </c>
      <c r="G2613">
        <f>WEEKDAY(calendar[[#This Row],[Date]],1)</f>
        <v>1</v>
      </c>
      <c r="H2613" t="str">
        <f>TEXT(calendar[[#This Row],[WeekDay]],"dddd")</f>
        <v>Sunday</v>
      </c>
      <c r="I2613">
        <f>IF((INT(calendar[[#This Row],[Count]]/7)-calendar[[#This Row],[Count]]/7)&lt;0,I2612,I2612+1)</f>
        <v>374</v>
      </c>
      <c r="J2613">
        <f t="shared" si="204"/>
        <v>2611</v>
      </c>
      <c r="K2613">
        <f>IF(calendar[[#This Row],[Month]]&lt;4,1,IF(calendar[[#This Row],[Month]]&lt;7,2,IF(calendar[[#This Row],[Month]]&lt;10,3,4)))</f>
        <v>1</v>
      </c>
      <c r="L2613">
        <f>IFERROR(IF(VLOOKUP(calendar[[#This Row],[Date]],BH!A:A,1,)&lt;&gt;"",1,0),0)</f>
        <v>0</v>
      </c>
      <c r="M2613">
        <f>IFERROR(IF(VLOOKUP(calendar[[#This Row],[Date]],BH!C:C,1,)&lt;&gt;"",1,0),0)</f>
        <v>0</v>
      </c>
      <c r="N2613">
        <f>IFERROR(IF(VLOOKUP(calendar[[#This Row],[Date]],BH!E:E,1,)&lt;&gt;"",1,0),0)</f>
        <v>0</v>
      </c>
      <c r="O2613">
        <f>IFERROR(IF(VLOOKUP(calendar[[#This Row],[Date]],BH!G:G,1,)&lt;&gt;"",1,0),0)</f>
        <v>0</v>
      </c>
      <c r="P2613">
        <f>IF(OR(calendar[[#This Row],[UK_BH]]=1,calendar[[#This Row],[WeekDay]]=1, calendar[[#This Row],[WeekDay]]=7),P2612,P2612+1)</f>
        <v>1865</v>
      </c>
      <c r="Q2613">
        <f>IF(OR(calendar[[#This Row],[FR_BH]]=1,calendar[[#This Row],[WeekDay]]=1, calendar[[#This Row],[WeekDay]]=7),P2612,P2612+1)</f>
        <v>1865</v>
      </c>
      <c r="R2613">
        <f>IF(OR(calendar[[#This Row],[SP_BH]]=1,calendar[[#This Row],[WeekDay]]=1, calendar[[#This Row],[WeekDay]]=7),P2612,P2612+1)</f>
        <v>1865</v>
      </c>
      <c r="S2613">
        <f>IF(OR(calendar[[#This Row],[PT_BH]]=1,calendar[[#This Row],[WeekDay]]=1, calendar[[#This Row],[WeekDay]]=7),P2612,P2612+1)</f>
        <v>1865</v>
      </c>
    </row>
    <row r="2614" spans="1:19" x14ac:dyDescent="0.25">
      <c r="A2614" s="2">
        <v>45348</v>
      </c>
      <c r="B2614" s="1">
        <f t="shared" si="203"/>
        <v>9</v>
      </c>
      <c r="C2614">
        <f t="shared" si="205"/>
        <v>2</v>
      </c>
      <c r="D2614" t="str">
        <f t="shared" si="206"/>
        <v>February</v>
      </c>
      <c r="E2614">
        <f t="shared" si="207"/>
        <v>2024</v>
      </c>
      <c r="F2614" t="str">
        <f>CONCATENATE(calendar[[#This Row],[Month]],"/",calendar[[#This Row],[Year]])</f>
        <v>2/2024</v>
      </c>
      <c r="G2614">
        <f>WEEKDAY(calendar[[#This Row],[Date]],1)</f>
        <v>2</v>
      </c>
      <c r="H2614" t="str">
        <f>TEXT(calendar[[#This Row],[WeekDay]],"dddd")</f>
        <v>Monday</v>
      </c>
      <c r="I2614">
        <f>IF((INT(calendar[[#This Row],[Count]]/7)-calendar[[#This Row],[Count]]/7)&lt;0,I2613,I2613+1)</f>
        <v>374</v>
      </c>
      <c r="J2614">
        <f t="shared" si="204"/>
        <v>2612</v>
      </c>
      <c r="K2614">
        <f>IF(calendar[[#This Row],[Month]]&lt;4,1,IF(calendar[[#This Row],[Month]]&lt;7,2,IF(calendar[[#This Row],[Month]]&lt;10,3,4)))</f>
        <v>1</v>
      </c>
      <c r="L2614">
        <f>IFERROR(IF(VLOOKUP(calendar[[#This Row],[Date]],BH!A:A,1,)&lt;&gt;"",1,0),0)</f>
        <v>0</v>
      </c>
      <c r="M2614">
        <f>IFERROR(IF(VLOOKUP(calendar[[#This Row],[Date]],BH!C:C,1,)&lt;&gt;"",1,0),0)</f>
        <v>0</v>
      </c>
      <c r="N2614">
        <f>IFERROR(IF(VLOOKUP(calendar[[#This Row],[Date]],BH!E:E,1,)&lt;&gt;"",1,0),0)</f>
        <v>0</v>
      </c>
      <c r="O2614">
        <f>IFERROR(IF(VLOOKUP(calendar[[#This Row],[Date]],BH!G:G,1,)&lt;&gt;"",1,0),0)</f>
        <v>0</v>
      </c>
      <c r="P2614">
        <f>IF(OR(calendar[[#This Row],[UK_BH]]=1,calendar[[#This Row],[WeekDay]]=1, calendar[[#This Row],[WeekDay]]=7),P2613,P2613+1)</f>
        <v>1866</v>
      </c>
      <c r="Q2614">
        <f>IF(OR(calendar[[#This Row],[FR_BH]]=1,calendar[[#This Row],[WeekDay]]=1, calendar[[#This Row],[WeekDay]]=7),P2613,P2613+1)</f>
        <v>1866</v>
      </c>
      <c r="R2614">
        <f>IF(OR(calendar[[#This Row],[SP_BH]]=1,calendar[[#This Row],[WeekDay]]=1, calendar[[#This Row],[WeekDay]]=7),P2613,P2613+1)</f>
        <v>1866</v>
      </c>
      <c r="S2614">
        <f>IF(OR(calendar[[#This Row],[PT_BH]]=1,calendar[[#This Row],[WeekDay]]=1, calendar[[#This Row],[WeekDay]]=7),P2613,P2613+1)</f>
        <v>1866</v>
      </c>
    </row>
    <row r="2615" spans="1:19" x14ac:dyDescent="0.25">
      <c r="A2615" s="2">
        <v>45349</v>
      </c>
      <c r="B2615" s="1">
        <f t="shared" si="203"/>
        <v>9</v>
      </c>
      <c r="C2615">
        <f t="shared" si="205"/>
        <v>2</v>
      </c>
      <c r="D2615" t="str">
        <f t="shared" si="206"/>
        <v>February</v>
      </c>
      <c r="E2615">
        <f t="shared" si="207"/>
        <v>2024</v>
      </c>
      <c r="F2615" t="str">
        <f>CONCATENATE(calendar[[#This Row],[Month]],"/",calendar[[#This Row],[Year]])</f>
        <v>2/2024</v>
      </c>
      <c r="G2615">
        <f>WEEKDAY(calendar[[#This Row],[Date]],1)</f>
        <v>3</v>
      </c>
      <c r="H2615" t="str">
        <f>TEXT(calendar[[#This Row],[WeekDay]],"dddd")</f>
        <v>Tuesday</v>
      </c>
      <c r="I2615">
        <f>IF((INT(calendar[[#This Row],[Count]]/7)-calendar[[#This Row],[Count]]/7)&lt;0,I2614,I2614+1)</f>
        <v>374</v>
      </c>
      <c r="J2615">
        <f t="shared" si="204"/>
        <v>2613</v>
      </c>
      <c r="K2615">
        <f>IF(calendar[[#This Row],[Month]]&lt;4,1,IF(calendar[[#This Row],[Month]]&lt;7,2,IF(calendar[[#This Row],[Month]]&lt;10,3,4)))</f>
        <v>1</v>
      </c>
      <c r="L2615">
        <f>IFERROR(IF(VLOOKUP(calendar[[#This Row],[Date]],BH!A:A,1,)&lt;&gt;"",1,0),0)</f>
        <v>0</v>
      </c>
      <c r="M2615">
        <f>IFERROR(IF(VLOOKUP(calendar[[#This Row],[Date]],BH!C:C,1,)&lt;&gt;"",1,0),0)</f>
        <v>0</v>
      </c>
      <c r="N2615">
        <f>IFERROR(IF(VLOOKUP(calendar[[#This Row],[Date]],BH!E:E,1,)&lt;&gt;"",1,0),0)</f>
        <v>0</v>
      </c>
      <c r="O2615">
        <f>IFERROR(IF(VLOOKUP(calendar[[#This Row],[Date]],BH!G:G,1,)&lt;&gt;"",1,0),0)</f>
        <v>0</v>
      </c>
      <c r="P2615">
        <f>IF(OR(calendar[[#This Row],[UK_BH]]=1,calendar[[#This Row],[WeekDay]]=1, calendar[[#This Row],[WeekDay]]=7),P2614,P2614+1)</f>
        <v>1867</v>
      </c>
      <c r="Q2615">
        <f>IF(OR(calendar[[#This Row],[FR_BH]]=1,calendar[[#This Row],[WeekDay]]=1, calendar[[#This Row],[WeekDay]]=7),P2614,P2614+1)</f>
        <v>1867</v>
      </c>
      <c r="R2615">
        <f>IF(OR(calendar[[#This Row],[SP_BH]]=1,calendar[[#This Row],[WeekDay]]=1, calendar[[#This Row],[WeekDay]]=7),P2614,P2614+1)</f>
        <v>1867</v>
      </c>
      <c r="S2615">
        <f>IF(OR(calendar[[#This Row],[PT_BH]]=1,calendar[[#This Row],[WeekDay]]=1, calendar[[#This Row],[WeekDay]]=7),P2614,P2614+1)</f>
        <v>1867</v>
      </c>
    </row>
    <row r="2616" spans="1:19" x14ac:dyDescent="0.25">
      <c r="A2616" s="2">
        <v>45350</v>
      </c>
      <c r="B2616" s="1">
        <f t="shared" si="203"/>
        <v>9</v>
      </c>
      <c r="C2616">
        <f t="shared" si="205"/>
        <v>2</v>
      </c>
      <c r="D2616" t="str">
        <f t="shared" si="206"/>
        <v>February</v>
      </c>
      <c r="E2616">
        <f t="shared" si="207"/>
        <v>2024</v>
      </c>
      <c r="F2616" t="str">
        <f>CONCATENATE(calendar[[#This Row],[Month]],"/",calendar[[#This Row],[Year]])</f>
        <v>2/2024</v>
      </c>
      <c r="G2616">
        <f>WEEKDAY(calendar[[#This Row],[Date]],1)</f>
        <v>4</v>
      </c>
      <c r="H2616" t="str">
        <f>TEXT(calendar[[#This Row],[WeekDay]],"dddd")</f>
        <v>Wednesday</v>
      </c>
      <c r="I2616">
        <f>IF((INT(calendar[[#This Row],[Count]]/7)-calendar[[#This Row],[Count]]/7)&lt;0,I2615,I2615+1)</f>
        <v>374</v>
      </c>
      <c r="J2616">
        <f t="shared" si="204"/>
        <v>2614</v>
      </c>
      <c r="K2616">
        <f>IF(calendar[[#This Row],[Month]]&lt;4,1,IF(calendar[[#This Row],[Month]]&lt;7,2,IF(calendar[[#This Row],[Month]]&lt;10,3,4)))</f>
        <v>1</v>
      </c>
      <c r="L2616">
        <f>IFERROR(IF(VLOOKUP(calendar[[#This Row],[Date]],BH!A:A,1,)&lt;&gt;"",1,0),0)</f>
        <v>0</v>
      </c>
      <c r="M2616">
        <f>IFERROR(IF(VLOOKUP(calendar[[#This Row],[Date]],BH!C:C,1,)&lt;&gt;"",1,0),0)</f>
        <v>0</v>
      </c>
      <c r="N2616">
        <f>IFERROR(IF(VLOOKUP(calendar[[#This Row],[Date]],BH!E:E,1,)&lt;&gt;"",1,0),0)</f>
        <v>0</v>
      </c>
      <c r="O2616">
        <f>IFERROR(IF(VLOOKUP(calendar[[#This Row],[Date]],BH!G:G,1,)&lt;&gt;"",1,0),0)</f>
        <v>0</v>
      </c>
      <c r="P2616">
        <f>IF(OR(calendar[[#This Row],[UK_BH]]=1,calendar[[#This Row],[WeekDay]]=1, calendar[[#This Row],[WeekDay]]=7),P2615,P2615+1)</f>
        <v>1868</v>
      </c>
      <c r="Q2616">
        <f>IF(OR(calendar[[#This Row],[FR_BH]]=1,calendar[[#This Row],[WeekDay]]=1, calendar[[#This Row],[WeekDay]]=7),P2615,P2615+1)</f>
        <v>1868</v>
      </c>
      <c r="R2616">
        <f>IF(OR(calendar[[#This Row],[SP_BH]]=1,calendar[[#This Row],[WeekDay]]=1, calendar[[#This Row],[WeekDay]]=7),P2615,P2615+1)</f>
        <v>1868</v>
      </c>
      <c r="S2616">
        <f>IF(OR(calendar[[#This Row],[PT_BH]]=1,calendar[[#This Row],[WeekDay]]=1, calendar[[#This Row],[WeekDay]]=7),P2615,P2615+1)</f>
        <v>1868</v>
      </c>
    </row>
    <row r="2617" spans="1:19" x14ac:dyDescent="0.25">
      <c r="A2617" s="2">
        <v>45351</v>
      </c>
      <c r="B2617" s="1">
        <f t="shared" si="203"/>
        <v>9</v>
      </c>
      <c r="C2617">
        <f t="shared" si="205"/>
        <v>2</v>
      </c>
      <c r="D2617" t="str">
        <f t="shared" si="206"/>
        <v>February</v>
      </c>
      <c r="E2617">
        <f t="shared" si="207"/>
        <v>2024</v>
      </c>
      <c r="F2617" t="str">
        <f>CONCATENATE(calendar[[#This Row],[Month]],"/",calendar[[#This Row],[Year]])</f>
        <v>2/2024</v>
      </c>
      <c r="G2617">
        <f>WEEKDAY(calendar[[#This Row],[Date]],1)</f>
        <v>5</v>
      </c>
      <c r="H2617" t="str">
        <f>TEXT(calendar[[#This Row],[WeekDay]],"dddd")</f>
        <v>Thursday</v>
      </c>
      <c r="I2617">
        <f>IF((INT(calendar[[#This Row],[Count]]/7)-calendar[[#This Row],[Count]]/7)&lt;0,I2616,I2616+1)</f>
        <v>374</v>
      </c>
      <c r="J2617">
        <f t="shared" si="204"/>
        <v>2615</v>
      </c>
      <c r="K2617">
        <f>IF(calendar[[#This Row],[Month]]&lt;4,1,IF(calendar[[#This Row],[Month]]&lt;7,2,IF(calendar[[#This Row],[Month]]&lt;10,3,4)))</f>
        <v>1</v>
      </c>
      <c r="L2617">
        <f>IFERROR(IF(VLOOKUP(calendar[[#This Row],[Date]],BH!A:A,1,)&lt;&gt;"",1,0),0)</f>
        <v>0</v>
      </c>
      <c r="M2617">
        <f>IFERROR(IF(VLOOKUP(calendar[[#This Row],[Date]],BH!C:C,1,)&lt;&gt;"",1,0),0)</f>
        <v>0</v>
      </c>
      <c r="N2617">
        <f>IFERROR(IF(VLOOKUP(calendar[[#This Row],[Date]],BH!E:E,1,)&lt;&gt;"",1,0),0)</f>
        <v>0</v>
      </c>
      <c r="O2617">
        <f>IFERROR(IF(VLOOKUP(calendar[[#This Row],[Date]],BH!G:G,1,)&lt;&gt;"",1,0),0)</f>
        <v>0</v>
      </c>
      <c r="P2617">
        <f>IF(OR(calendar[[#This Row],[UK_BH]]=1,calendar[[#This Row],[WeekDay]]=1, calendar[[#This Row],[WeekDay]]=7),P2616,P2616+1)</f>
        <v>1869</v>
      </c>
      <c r="Q2617">
        <f>IF(OR(calendar[[#This Row],[FR_BH]]=1,calendar[[#This Row],[WeekDay]]=1, calendar[[#This Row],[WeekDay]]=7),P2616,P2616+1)</f>
        <v>1869</v>
      </c>
      <c r="R2617">
        <f>IF(OR(calendar[[#This Row],[SP_BH]]=1,calendar[[#This Row],[WeekDay]]=1, calendar[[#This Row],[WeekDay]]=7),P2616,P2616+1)</f>
        <v>1869</v>
      </c>
      <c r="S2617">
        <f>IF(OR(calendar[[#This Row],[PT_BH]]=1,calendar[[#This Row],[WeekDay]]=1, calendar[[#This Row],[WeekDay]]=7),P2616,P2616+1)</f>
        <v>1869</v>
      </c>
    </row>
    <row r="2618" spans="1:19" x14ac:dyDescent="0.25">
      <c r="A2618" s="2">
        <v>45352</v>
      </c>
      <c r="B2618" s="1">
        <f t="shared" si="203"/>
        <v>9</v>
      </c>
      <c r="C2618">
        <f t="shared" si="205"/>
        <v>3</v>
      </c>
      <c r="D2618" t="str">
        <f t="shared" si="206"/>
        <v>March</v>
      </c>
      <c r="E2618">
        <f t="shared" si="207"/>
        <v>2024</v>
      </c>
      <c r="F2618" t="str">
        <f>CONCATENATE(calendar[[#This Row],[Month]],"/",calendar[[#This Row],[Year]])</f>
        <v>3/2024</v>
      </c>
      <c r="G2618">
        <f>WEEKDAY(calendar[[#This Row],[Date]],1)</f>
        <v>6</v>
      </c>
      <c r="H2618" t="str">
        <f>TEXT(calendar[[#This Row],[WeekDay]],"dddd")</f>
        <v>Friday</v>
      </c>
      <c r="I2618">
        <f>IF((INT(calendar[[#This Row],[Count]]/7)-calendar[[#This Row],[Count]]/7)&lt;0,I2617,I2617+1)</f>
        <v>374</v>
      </c>
      <c r="J2618">
        <f t="shared" si="204"/>
        <v>2616</v>
      </c>
      <c r="K2618">
        <f>IF(calendar[[#This Row],[Month]]&lt;4,1,IF(calendar[[#This Row],[Month]]&lt;7,2,IF(calendar[[#This Row],[Month]]&lt;10,3,4)))</f>
        <v>1</v>
      </c>
      <c r="L2618">
        <f>IFERROR(IF(VLOOKUP(calendar[[#This Row],[Date]],BH!A:A,1,)&lt;&gt;"",1,0),0)</f>
        <v>0</v>
      </c>
      <c r="M2618">
        <f>IFERROR(IF(VLOOKUP(calendar[[#This Row],[Date]],BH!C:C,1,)&lt;&gt;"",1,0),0)</f>
        <v>0</v>
      </c>
      <c r="N2618">
        <f>IFERROR(IF(VLOOKUP(calendar[[#This Row],[Date]],BH!E:E,1,)&lt;&gt;"",1,0),0)</f>
        <v>0</v>
      </c>
      <c r="O2618">
        <f>IFERROR(IF(VLOOKUP(calendar[[#This Row],[Date]],BH!G:G,1,)&lt;&gt;"",1,0),0)</f>
        <v>0</v>
      </c>
      <c r="P2618">
        <f>IF(OR(calendar[[#This Row],[UK_BH]]=1,calendar[[#This Row],[WeekDay]]=1, calendar[[#This Row],[WeekDay]]=7),P2617,P2617+1)</f>
        <v>1870</v>
      </c>
      <c r="Q2618">
        <f>IF(OR(calendar[[#This Row],[FR_BH]]=1,calendar[[#This Row],[WeekDay]]=1, calendar[[#This Row],[WeekDay]]=7),P2617,P2617+1)</f>
        <v>1870</v>
      </c>
      <c r="R2618">
        <f>IF(OR(calendar[[#This Row],[SP_BH]]=1,calendar[[#This Row],[WeekDay]]=1, calendar[[#This Row],[WeekDay]]=7),P2617,P2617+1)</f>
        <v>1870</v>
      </c>
      <c r="S2618">
        <f>IF(OR(calendar[[#This Row],[PT_BH]]=1,calendar[[#This Row],[WeekDay]]=1, calendar[[#This Row],[WeekDay]]=7),P2617,P2617+1)</f>
        <v>1870</v>
      </c>
    </row>
    <row r="2619" spans="1:19" x14ac:dyDescent="0.25">
      <c r="A2619" s="2">
        <v>45353</v>
      </c>
      <c r="B2619" s="1">
        <f t="shared" si="203"/>
        <v>9</v>
      </c>
      <c r="C2619">
        <f t="shared" si="205"/>
        <v>3</v>
      </c>
      <c r="D2619" t="str">
        <f t="shared" si="206"/>
        <v>March</v>
      </c>
      <c r="E2619">
        <f t="shared" si="207"/>
        <v>2024</v>
      </c>
      <c r="F2619" t="str">
        <f>CONCATENATE(calendar[[#This Row],[Month]],"/",calendar[[#This Row],[Year]])</f>
        <v>3/2024</v>
      </c>
      <c r="G2619">
        <f>WEEKDAY(calendar[[#This Row],[Date]],1)</f>
        <v>7</v>
      </c>
      <c r="H2619" t="str">
        <f>TEXT(calendar[[#This Row],[WeekDay]],"dddd")</f>
        <v>Saturday</v>
      </c>
      <c r="I2619">
        <f>IF((INT(calendar[[#This Row],[Count]]/7)-calendar[[#This Row],[Count]]/7)&lt;0,I2618,I2618+1)</f>
        <v>374</v>
      </c>
      <c r="J2619">
        <f t="shared" si="204"/>
        <v>2617</v>
      </c>
      <c r="K2619">
        <f>IF(calendar[[#This Row],[Month]]&lt;4,1,IF(calendar[[#This Row],[Month]]&lt;7,2,IF(calendar[[#This Row],[Month]]&lt;10,3,4)))</f>
        <v>1</v>
      </c>
      <c r="L2619">
        <f>IFERROR(IF(VLOOKUP(calendar[[#This Row],[Date]],BH!A:A,1,)&lt;&gt;"",1,0),0)</f>
        <v>0</v>
      </c>
      <c r="M2619">
        <f>IFERROR(IF(VLOOKUP(calendar[[#This Row],[Date]],BH!C:C,1,)&lt;&gt;"",1,0),0)</f>
        <v>0</v>
      </c>
      <c r="N2619">
        <f>IFERROR(IF(VLOOKUP(calendar[[#This Row],[Date]],BH!E:E,1,)&lt;&gt;"",1,0),0)</f>
        <v>0</v>
      </c>
      <c r="O2619">
        <f>IFERROR(IF(VLOOKUP(calendar[[#This Row],[Date]],BH!G:G,1,)&lt;&gt;"",1,0),0)</f>
        <v>0</v>
      </c>
      <c r="P2619">
        <f>IF(OR(calendar[[#This Row],[UK_BH]]=1,calendar[[#This Row],[WeekDay]]=1, calendar[[#This Row],[WeekDay]]=7),P2618,P2618+1)</f>
        <v>1870</v>
      </c>
      <c r="Q2619">
        <f>IF(OR(calendar[[#This Row],[FR_BH]]=1,calendar[[#This Row],[WeekDay]]=1, calendar[[#This Row],[WeekDay]]=7),P2618,P2618+1)</f>
        <v>1870</v>
      </c>
      <c r="R2619">
        <f>IF(OR(calendar[[#This Row],[SP_BH]]=1,calendar[[#This Row],[WeekDay]]=1, calendar[[#This Row],[WeekDay]]=7),P2618,P2618+1)</f>
        <v>1870</v>
      </c>
      <c r="S2619">
        <f>IF(OR(calendar[[#This Row],[PT_BH]]=1,calendar[[#This Row],[WeekDay]]=1, calendar[[#This Row],[WeekDay]]=7),P2618,P2618+1)</f>
        <v>1870</v>
      </c>
    </row>
    <row r="2620" spans="1:19" x14ac:dyDescent="0.25">
      <c r="A2620" s="2">
        <v>45354</v>
      </c>
      <c r="B2620" s="1">
        <f t="shared" si="203"/>
        <v>10</v>
      </c>
      <c r="C2620">
        <f t="shared" si="205"/>
        <v>3</v>
      </c>
      <c r="D2620" t="str">
        <f t="shared" si="206"/>
        <v>March</v>
      </c>
      <c r="E2620">
        <f t="shared" si="207"/>
        <v>2024</v>
      </c>
      <c r="F2620" t="str">
        <f>CONCATENATE(calendar[[#This Row],[Month]],"/",calendar[[#This Row],[Year]])</f>
        <v>3/2024</v>
      </c>
      <c r="G2620">
        <f>WEEKDAY(calendar[[#This Row],[Date]],1)</f>
        <v>1</v>
      </c>
      <c r="H2620" t="str">
        <f>TEXT(calendar[[#This Row],[WeekDay]],"dddd")</f>
        <v>Sunday</v>
      </c>
      <c r="I2620">
        <f>IF((INT(calendar[[#This Row],[Count]]/7)-calendar[[#This Row],[Count]]/7)&lt;0,I2619,I2619+1)</f>
        <v>375</v>
      </c>
      <c r="J2620">
        <f t="shared" si="204"/>
        <v>2618</v>
      </c>
      <c r="K2620">
        <f>IF(calendar[[#This Row],[Month]]&lt;4,1,IF(calendar[[#This Row],[Month]]&lt;7,2,IF(calendar[[#This Row],[Month]]&lt;10,3,4)))</f>
        <v>1</v>
      </c>
      <c r="L2620">
        <f>IFERROR(IF(VLOOKUP(calendar[[#This Row],[Date]],BH!A:A,1,)&lt;&gt;"",1,0),0)</f>
        <v>0</v>
      </c>
      <c r="M2620">
        <f>IFERROR(IF(VLOOKUP(calendar[[#This Row],[Date]],BH!C:C,1,)&lt;&gt;"",1,0),0)</f>
        <v>0</v>
      </c>
      <c r="N2620">
        <f>IFERROR(IF(VLOOKUP(calendar[[#This Row],[Date]],BH!E:E,1,)&lt;&gt;"",1,0),0)</f>
        <v>0</v>
      </c>
      <c r="O2620">
        <f>IFERROR(IF(VLOOKUP(calendar[[#This Row],[Date]],BH!G:G,1,)&lt;&gt;"",1,0),0)</f>
        <v>0</v>
      </c>
      <c r="P2620">
        <f>IF(OR(calendar[[#This Row],[UK_BH]]=1,calendar[[#This Row],[WeekDay]]=1, calendar[[#This Row],[WeekDay]]=7),P2619,P2619+1)</f>
        <v>1870</v>
      </c>
      <c r="Q2620">
        <f>IF(OR(calendar[[#This Row],[FR_BH]]=1,calendar[[#This Row],[WeekDay]]=1, calendar[[#This Row],[WeekDay]]=7),P2619,P2619+1)</f>
        <v>1870</v>
      </c>
      <c r="R2620">
        <f>IF(OR(calendar[[#This Row],[SP_BH]]=1,calendar[[#This Row],[WeekDay]]=1, calendar[[#This Row],[WeekDay]]=7),P2619,P2619+1)</f>
        <v>1870</v>
      </c>
      <c r="S2620">
        <f>IF(OR(calendar[[#This Row],[PT_BH]]=1,calendar[[#This Row],[WeekDay]]=1, calendar[[#This Row],[WeekDay]]=7),P2619,P2619+1)</f>
        <v>1870</v>
      </c>
    </row>
    <row r="2621" spans="1:19" x14ac:dyDescent="0.25">
      <c r="A2621" s="2">
        <v>45355</v>
      </c>
      <c r="B2621" s="1">
        <f t="shared" si="203"/>
        <v>10</v>
      </c>
      <c r="C2621">
        <f t="shared" si="205"/>
        <v>3</v>
      </c>
      <c r="D2621" t="str">
        <f t="shared" si="206"/>
        <v>March</v>
      </c>
      <c r="E2621">
        <f t="shared" si="207"/>
        <v>2024</v>
      </c>
      <c r="F2621" t="str">
        <f>CONCATENATE(calendar[[#This Row],[Month]],"/",calendar[[#This Row],[Year]])</f>
        <v>3/2024</v>
      </c>
      <c r="G2621">
        <f>WEEKDAY(calendar[[#This Row],[Date]],1)</f>
        <v>2</v>
      </c>
      <c r="H2621" t="str">
        <f>TEXT(calendar[[#This Row],[WeekDay]],"dddd")</f>
        <v>Monday</v>
      </c>
      <c r="I2621">
        <f>IF((INT(calendar[[#This Row],[Count]]/7)-calendar[[#This Row],[Count]]/7)&lt;0,I2620,I2620+1)</f>
        <v>375</v>
      </c>
      <c r="J2621">
        <f t="shared" si="204"/>
        <v>2619</v>
      </c>
      <c r="K2621">
        <f>IF(calendar[[#This Row],[Month]]&lt;4,1,IF(calendar[[#This Row],[Month]]&lt;7,2,IF(calendar[[#This Row],[Month]]&lt;10,3,4)))</f>
        <v>1</v>
      </c>
      <c r="L2621">
        <f>IFERROR(IF(VLOOKUP(calendar[[#This Row],[Date]],BH!A:A,1,)&lt;&gt;"",1,0),0)</f>
        <v>0</v>
      </c>
      <c r="M2621">
        <f>IFERROR(IF(VLOOKUP(calendar[[#This Row],[Date]],BH!C:C,1,)&lt;&gt;"",1,0),0)</f>
        <v>0</v>
      </c>
      <c r="N2621">
        <f>IFERROR(IF(VLOOKUP(calendar[[#This Row],[Date]],BH!E:E,1,)&lt;&gt;"",1,0),0)</f>
        <v>0</v>
      </c>
      <c r="O2621">
        <f>IFERROR(IF(VLOOKUP(calendar[[#This Row],[Date]],BH!G:G,1,)&lt;&gt;"",1,0),0)</f>
        <v>0</v>
      </c>
      <c r="P2621">
        <f>IF(OR(calendar[[#This Row],[UK_BH]]=1,calendar[[#This Row],[WeekDay]]=1, calendar[[#This Row],[WeekDay]]=7),P2620,P2620+1)</f>
        <v>1871</v>
      </c>
      <c r="Q2621">
        <f>IF(OR(calendar[[#This Row],[FR_BH]]=1,calendar[[#This Row],[WeekDay]]=1, calendar[[#This Row],[WeekDay]]=7),P2620,P2620+1)</f>
        <v>1871</v>
      </c>
      <c r="R2621">
        <f>IF(OR(calendar[[#This Row],[SP_BH]]=1,calendar[[#This Row],[WeekDay]]=1, calendar[[#This Row],[WeekDay]]=7),P2620,P2620+1)</f>
        <v>1871</v>
      </c>
      <c r="S2621">
        <f>IF(OR(calendar[[#This Row],[PT_BH]]=1,calendar[[#This Row],[WeekDay]]=1, calendar[[#This Row],[WeekDay]]=7),P2620,P2620+1)</f>
        <v>1871</v>
      </c>
    </row>
    <row r="2622" spans="1:19" x14ac:dyDescent="0.25">
      <c r="A2622" s="2">
        <v>45356</v>
      </c>
      <c r="B2622" s="1">
        <f t="shared" si="203"/>
        <v>10</v>
      </c>
      <c r="C2622">
        <f t="shared" si="205"/>
        <v>3</v>
      </c>
      <c r="D2622" t="str">
        <f t="shared" si="206"/>
        <v>March</v>
      </c>
      <c r="E2622">
        <f t="shared" si="207"/>
        <v>2024</v>
      </c>
      <c r="F2622" t="str">
        <f>CONCATENATE(calendar[[#This Row],[Month]],"/",calendar[[#This Row],[Year]])</f>
        <v>3/2024</v>
      </c>
      <c r="G2622">
        <f>WEEKDAY(calendar[[#This Row],[Date]],1)</f>
        <v>3</v>
      </c>
      <c r="H2622" t="str">
        <f>TEXT(calendar[[#This Row],[WeekDay]],"dddd")</f>
        <v>Tuesday</v>
      </c>
      <c r="I2622">
        <f>IF((INT(calendar[[#This Row],[Count]]/7)-calendar[[#This Row],[Count]]/7)&lt;0,I2621,I2621+1)</f>
        <v>375</v>
      </c>
      <c r="J2622">
        <f t="shared" si="204"/>
        <v>2620</v>
      </c>
      <c r="K2622">
        <f>IF(calendar[[#This Row],[Month]]&lt;4,1,IF(calendar[[#This Row],[Month]]&lt;7,2,IF(calendar[[#This Row],[Month]]&lt;10,3,4)))</f>
        <v>1</v>
      </c>
      <c r="L2622">
        <f>IFERROR(IF(VLOOKUP(calendar[[#This Row],[Date]],BH!A:A,1,)&lt;&gt;"",1,0),0)</f>
        <v>0</v>
      </c>
      <c r="M2622">
        <f>IFERROR(IF(VLOOKUP(calendar[[#This Row],[Date]],BH!C:C,1,)&lt;&gt;"",1,0),0)</f>
        <v>0</v>
      </c>
      <c r="N2622">
        <f>IFERROR(IF(VLOOKUP(calendar[[#This Row],[Date]],BH!E:E,1,)&lt;&gt;"",1,0),0)</f>
        <v>0</v>
      </c>
      <c r="O2622">
        <f>IFERROR(IF(VLOOKUP(calendar[[#This Row],[Date]],BH!G:G,1,)&lt;&gt;"",1,0),0)</f>
        <v>0</v>
      </c>
      <c r="P2622">
        <f>IF(OR(calendar[[#This Row],[UK_BH]]=1,calendar[[#This Row],[WeekDay]]=1, calendar[[#This Row],[WeekDay]]=7),P2621,P2621+1)</f>
        <v>1872</v>
      </c>
      <c r="Q2622">
        <f>IF(OR(calendar[[#This Row],[FR_BH]]=1,calendar[[#This Row],[WeekDay]]=1, calendar[[#This Row],[WeekDay]]=7),P2621,P2621+1)</f>
        <v>1872</v>
      </c>
      <c r="R2622">
        <f>IF(OR(calendar[[#This Row],[SP_BH]]=1,calendar[[#This Row],[WeekDay]]=1, calendar[[#This Row],[WeekDay]]=7),P2621,P2621+1)</f>
        <v>1872</v>
      </c>
      <c r="S2622">
        <f>IF(OR(calendar[[#This Row],[PT_BH]]=1,calendar[[#This Row],[WeekDay]]=1, calendar[[#This Row],[WeekDay]]=7),P2621,P2621+1)</f>
        <v>1872</v>
      </c>
    </row>
    <row r="2623" spans="1:19" x14ac:dyDescent="0.25">
      <c r="A2623" s="2">
        <v>45357</v>
      </c>
      <c r="B2623" s="1">
        <f t="shared" si="203"/>
        <v>10</v>
      </c>
      <c r="C2623">
        <f t="shared" si="205"/>
        <v>3</v>
      </c>
      <c r="D2623" t="str">
        <f t="shared" si="206"/>
        <v>March</v>
      </c>
      <c r="E2623">
        <f t="shared" si="207"/>
        <v>2024</v>
      </c>
      <c r="F2623" t="str">
        <f>CONCATENATE(calendar[[#This Row],[Month]],"/",calendar[[#This Row],[Year]])</f>
        <v>3/2024</v>
      </c>
      <c r="G2623">
        <f>WEEKDAY(calendar[[#This Row],[Date]],1)</f>
        <v>4</v>
      </c>
      <c r="H2623" t="str">
        <f>TEXT(calendar[[#This Row],[WeekDay]],"dddd")</f>
        <v>Wednesday</v>
      </c>
      <c r="I2623">
        <f>IF((INT(calendar[[#This Row],[Count]]/7)-calendar[[#This Row],[Count]]/7)&lt;0,I2622,I2622+1)</f>
        <v>375</v>
      </c>
      <c r="J2623">
        <f t="shared" si="204"/>
        <v>2621</v>
      </c>
      <c r="K2623">
        <f>IF(calendar[[#This Row],[Month]]&lt;4,1,IF(calendar[[#This Row],[Month]]&lt;7,2,IF(calendar[[#This Row],[Month]]&lt;10,3,4)))</f>
        <v>1</v>
      </c>
      <c r="L2623">
        <f>IFERROR(IF(VLOOKUP(calendar[[#This Row],[Date]],BH!A:A,1,)&lt;&gt;"",1,0),0)</f>
        <v>0</v>
      </c>
      <c r="M2623">
        <f>IFERROR(IF(VLOOKUP(calendar[[#This Row],[Date]],BH!C:C,1,)&lt;&gt;"",1,0),0)</f>
        <v>0</v>
      </c>
      <c r="N2623">
        <f>IFERROR(IF(VLOOKUP(calendar[[#This Row],[Date]],BH!E:E,1,)&lt;&gt;"",1,0),0)</f>
        <v>0</v>
      </c>
      <c r="O2623">
        <f>IFERROR(IF(VLOOKUP(calendar[[#This Row],[Date]],BH!G:G,1,)&lt;&gt;"",1,0),0)</f>
        <v>0</v>
      </c>
      <c r="P2623">
        <f>IF(OR(calendar[[#This Row],[UK_BH]]=1,calendar[[#This Row],[WeekDay]]=1, calendar[[#This Row],[WeekDay]]=7),P2622,P2622+1)</f>
        <v>1873</v>
      </c>
      <c r="Q2623">
        <f>IF(OR(calendar[[#This Row],[FR_BH]]=1,calendar[[#This Row],[WeekDay]]=1, calendar[[#This Row],[WeekDay]]=7),P2622,P2622+1)</f>
        <v>1873</v>
      </c>
      <c r="R2623">
        <f>IF(OR(calendar[[#This Row],[SP_BH]]=1,calendar[[#This Row],[WeekDay]]=1, calendar[[#This Row],[WeekDay]]=7),P2622,P2622+1)</f>
        <v>1873</v>
      </c>
      <c r="S2623">
        <f>IF(OR(calendar[[#This Row],[PT_BH]]=1,calendar[[#This Row],[WeekDay]]=1, calendar[[#This Row],[WeekDay]]=7),P2622,P2622+1)</f>
        <v>1873</v>
      </c>
    </row>
    <row r="2624" spans="1:19" x14ac:dyDescent="0.25">
      <c r="A2624" s="2">
        <v>45358</v>
      </c>
      <c r="B2624" s="1">
        <f t="shared" si="203"/>
        <v>10</v>
      </c>
      <c r="C2624">
        <f t="shared" si="205"/>
        <v>3</v>
      </c>
      <c r="D2624" t="str">
        <f t="shared" si="206"/>
        <v>March</v>
      </c>
      <c r="E2624">
        <f t="shared" si="207"/>
        <v>2024</v>
      </c>
      <c r="F2624" t="str">
        <f>CONCATENATE(calendar[[#This Row],[Month]],"/",calendar[[#This Row],[Year]])</f>
        <v>3/2024</v>
      </c>
      <c r="G2624">
        <f>WEEKDAY(calendar[[#This Row],[Date]],1)</f>
        <v>5</v>
      </c>
      <c r="H2624" t="str">
        <f>TEXT(calendar[[#This Row],[WeekDay]],"dddd")</f>
        <v>Thursday</v>
      </c>
      <c r="I2624">
        <f>IF((INT(calendar[[#This Row],[Count]]/7)-calendar[[#This Row],[Count]]/7)&lt;0,I2623,I2623+1)</f>
        <v>375</v>
      </c>
      <c r="J2624">
        <f t="shared" si="204"/>
        <v>2622</v>
      </c>
      <c r="K2624">
        <f>IF(calendar[[#This Row],[Month]]&lt;4,1,IF(calendar[[#This Row],[Month]]&lt;7,2,IF(calendar[[#This Row],[Month]]&lt;10,3,4)))</f>
        <v>1</v>
      </c>
      <c r="L2624">
        <f>IFERROR(IF(VLOOKUP(calendar[[#This Row],[Date]],BH!A:A,1,)&lt;&gt;"",1,0),0)</f>
        <v>0</v>
      </c>
      <c r="M2624">
        <f>IFERROR(IF(VLOOKUP(calendar[[#This Row],[Date]],BH!C:C,1,)&lt;&gt;"",1,0),0)</f>
        <v>0</v>
      </c>
      <c r="N2624">
        <f>IFERROR(IF(VLOOKUP(calendar[[#This Row],[Date]],BH!E:E,1,)&lt;&gt;"",1,0),0)</f>
        <v>0</v>
      </c>
      <c r="O2624">
        <f>IFERROR(IF(VLOOKUP(calendar[[#This Row],[Date]],BH!G:G,1,)&lt;&gt;"",1,0),0)</f>
        <v>0</v>
      </c>
      <c r="P2624">
        <f>IF(OR(calendar[[#This Row],[UK_BH]]=1,calendar[[#This Row],[WeekDay]]=1, calendar[[#This Row],[WeekDay]]=7),P2623,P2623+1)</f>
        <v>1874</v>
      </c>
      <c r="Q2624">
        <f>IF(OR(calendar[[#This Row],[FR_BH]]=1,calendar[[#This Row],[WeekDay]]=1, calendar[[#This Row],[WeekDay]]=7),P2623,P2623+1)</f>
        <v>1874</v>
      </c>
      <c r="R2624">
        <f>IF(OR(calendar[[#This Row],[SP_BH]]=1,calendar[[#This Row],[WeekDay]]=1, calendar[[#This Row],[WeekDay]]=7),P2623,P2623+1)</f>
        <v>1874</v>
      </c>
      <c r="S2624">
        <f>IF(OR(calendar[[#This Row],[PT_BH]]=1,calendar[[#This Row],[WeekDay]]=1, calendar[[#This Row],[WeekDay]]=7),P2623,P2623+1)</f>
        <v>1874</v>
      </c>
    </row>
    <row r="2625" spans="1:19" x14ac:dyDescent="0.25">
      <c r="A2625" s="2">
        <v>45359</v>
      </c>
      <c r="B2625" s="1">
        <f t="shared" si="203"/>
        <v>10</v>
      </c>
      <c r="C2625">
        <f t="shared" si="205"/>
        <v>3</v>
      </c>
      <c r="D2625" t="str">
        <f t="shared" si="206"/>
        <v>March</v>
      </c>
      <c r="E2625">
        <f t="shared" si="207"/>
        <v>2024</v>
      </c>
      <c r="F2625" t="str">
        <f>CONCATENATE(calendar[[#This Row],[Month]],"/",calendar[[#This Row],[Year]])</f>
        <v>3/2024</v>
      </c>
      <c r="G2625">
        <f>WEEKDAY(calendar[[#This Row],[Date]],1)</f>
        <v>6</v>
      </c>
      <c r="H2625" t="str">
        <f>TEXT(calendar[[#This Row],[WeekDay]],"dddd")</f>
        <v>Friday</v>
      </c>
      <c r="I2625">
        <f>IF((INT(calendar[[#This Row],[Count]]/7)-calendar[[#This Row],[Count]]/7)&lt;0,I2624,I2624+1)</f>
        <v>375</v>
      </c>
      <c r="J2625">
        <f t="shared" si="204"/>
        <v>2623</v>
      </c>
      <c r="K2625">
        <f>IF(calendar[[#This Row],[Month]]&lt;4,1,IF(calendar[[#This Row],[Month]]&lt;7,2,IF(calendar[[#This Row],[Month]]&lt;10,3,4)))</f>
        <v>1</v>
      </c>
      <c r="L2625">
        <f>IFERROR(IF(VLOOKUP(calendar[[#This Row],[Date]],BH!A:A,1,)&lt;&gt;"",1,0),0)</f>
        <v>0</v>
      </c>
      <c r="M2625">
        <f>IFERROR(IF(VLOOKUP(calendar[[#This Row],[Date]],BH!C:C,1,)&lt;&gt;"",1,0),0)</f>
        <v>0</v>
      </c>
      <c r="N2625">
        <f>IFERROR(IF(VLOOKUP(calendar[[#This Row],[Date]],BH!E:E,1,)&lt;&gt;"",1,0),0)</f>
        <v>0</v>
      </c>
      <c r="O2625">
        <f>IFERROR(IF(VLOOKUP(calendar[[#This Row],[Date]],BH!G:G,1,)&lt;&gt;"",1,0),0)</f>
        <v>0</v>
      </c>
      <c r="P2625">
        <f>IF(OR(calendar[[#This Row],[UK_BH]]=1,calendar[[#This Row],[WeekDay]]=1, calendar[[#This Row],[WeekDay]]=7),P2624,P2624+1)</f>
        <v>1875</v>
      </c>
      <c r="Q2625">
        <f>IF(OR(calendar[[#This Row],[FR_BH]]=1,calendar[[#This Row],[WeekDay]]=1, calendar[[#This Row],[WeekDay]]=7),P2624,P2624+1)</f>
        <v>1875</v>
      </c>
      <c r="R2625">
        <f>IF(OR(calendar[[#This Row],[SP_BH]]=1,calendar[[#This Row],[WeekDay]]=1, calendar[[#This Row],[WeekDay]]=7),P2624,P2624+1)</f>
        <v>1875</v>
      </c>
      <c r="S2625">
        <f>IF(OR(calendar[[#This Row],[PT_BH]]=1,calendar[[#This Row],[WeekDay]]=1, calendar[[#This Row],[WeekDay]]=7),P2624,P2624+1)</f>
        <v>1875</v>
      </c>
    </row>
    <row r="2626" spans="1:19" x14ac:dyDescent="0.25">
      <c r="A2626" s="2">
        <v>45360</v>
      </c>
      <c r="B2626" s="1">
        <f t="shared" ref="B2626:B2689" si="208">WEEKNUM(A2626)</f>
        <v>10</v>
      </c>
      <c r="C2626">
        <f t="shared" si="205"/>
        <v>3</v>
      </c>
      <c r="D2626" t="str">
        <f t="shared" si="206"/>
        <v>March</v>
      </c>
      <c r="E2626">
        <f t="shared" si="207"/>
        <v>2024</v>
      </c>
      <c r="F2626" t="str">
        <f>CONCATENATE(calendar[[#This Row],[Month]],"/",calendar[[#This Row],[Year]])</f>
        <v>3/2024</v>
      </c>
      <c r="G2626">
        <f>WEEKDAY(calendar[[#This Row],[Date]],1)</f>
        <v>7</v>
      </c>
      <c r="H2626" t="str">
        <f>TEXT(calendar[[#This Row],[WeekDay]],"dddd")</f>
        <v>Saturday</v>
      </c>
      <c r="I2626">
        <f>IF((INT(calendar[[#This Row],[Count]]/7)-calendar[[#This Row],[Count]]/7)&lt;0,I2625,I2625+1)</f>
        <v>375</v>
      </c>
      <c r="J2626">
        <f t="shared" si="204"/>
        <v>2624</v>
      </c>
      <c r="K2626">
        <f>IF(calendar[[#This Row],[Month]]&lt;4,1,IF(calendar[[#This Row],[Month]]&lt;7,2,IF(calendar[[#This Row],[Month]]&lt;10,3,4)))</f>
        <v>1</v>
      </c>
      <c r="L2626">
        <f>IFERROR(IF(VLOOKUP(calendar[[#This Row],[Date]],BH!A:A,1,)&lt;&gt;"",1,0),0)</f>
        <v>0</v>
      </c>
      <c r="M2626">
        <f>IFERROR(IF(VLOOKUP(calendar[[#This Row],[Date]],BH!C:C,1,)&lt;&gt;"",1,0),0)</f>
        <v>0</v>
      </c>
      <c r="N2626">
        <f>IFERROR(IF(VLOOKUP(calendar[[#This Row],[Date]],BH!E:E,1,)&lt;&gt;"",1,0),0)</f>
        <v>0</v>
      </c>
      <c r="O2626">
        <f>IFERROR(IF(VLOOKUP(calendar[[#This Row],[Date]],BH!G:G,1,)&lt;&gt;"",1,0),0)</f>
        <v>0</v>
      </c>
      <c r="P2626">
        <f>IF(OR(calendar[[#This Row],[UK_BH]]=1,calendar[[#This Row],[WeekDay]]=1, calendar[[#This Row],[WeekDay]]=7),P2625,P2625+1)</f>
        <v>1875</v>
      </c>
      <c r="Q2626">
        <f>IF(OR(calendar[[#This Row],[FR_BH]]=1,calendar[[#This Row],[WeekDay]]=1, calendar[[#This Row],[WeekDay]]=7),P2625,P2625+1)</f>
        <v>1875</v>
      </c>
      <c r="R2626">
        <f>IF(OR(calendar[[#This Row],[SP_BH]]=1,calendar[[#This Row],[WeekDay]]=1, calendar[[#This Row],[WeekDay]]=7),P2625,P2625+1)</f>
        <v>1875</v>
      </c>
      <c r="S2626">
        <f>IF(OR(calendar[[#This Row],[PT_BH]]=1,calendar[[#This Row],[WeekDay]]=1, calendar[[#This Row],[WeekDay]]=7),P2625,P2625+1)</f>
        <v>1875</v>
      </c>
    </row>
    <row r="2627" spans="1:19" x14ac:dyDescent="0.25">
      <c r="A2627" s="2">
        <v>45361</v>
      </c>
      <c r="B2627" s="1">
        <f t="shared" si="208"/>
        <v>11</v>
      </c>
      <c r="C2627">
        <f t="shared" si="205"/>
        <v>3</v>
      </c>
      <c r="D2627" t="str">
        <f t="shared" si="206"/>
        <v>March</v>
      </c>
      <c r="E2627">
        <f t="shared" si="207"/>
        <v>2024</v>
      </c>
      <c r="F2627" t="str">
        <f>CONCATENATE(calendar[[#This Row],[Month]],"/",calendar[[#This Row],[Year]])</f>
        <v>3/2024</v>
      </c>
      <c r="G2627">
        <f>WEEKDAY(calendar[[#This Row],[Date]],1)</f>
        <v>1</v>
      </c>
      <c r="H2627" t="str">
        <f>TEXT(calendar[[#This Row],[WeekDay]],"dddd")</f>
        <v>Sunday</v>
      </c>
      <c r="I2627">
        <f>IF((INT(calendar[[#This Row],[Count]]/7)-calendar[[#This Row],[Count]]/7)&lt;0,I2626,I2626+1)</f>
        <v>376</v>
      </c>
      <c r="J2627">
        <f t="shared" ref="J2627:J2690" si="209">J2626+1</f>
        <v>2625</v>
      </c>
      <c r="K2627">
        <f>IF(calendar[[#This Row],[Month]]&lt;4,1,IF(calendar[[#This Row],[Month]]&lt;7,2,IF(calendar[[#This Row],[Month]]&lt;10,3,4)))</f>
        <v>1</v>
      </c>
      <c r="L2627">
        <f>IFERROR(IF(VLOOKUP(calendar[[#This Row],[Date]],BH!A:A,1,)&lt;&gt;"",1,0),0)</f>
        <v>0</v>
      </c>
      <c r="M2627">
        <f>IFERROR(IF(VLOOKUP(calendar[[#This Row],[Date]],BH!C:C,1,)&lt;&gt;"",1,0),0)</f>
        <v>0</v>
      </c>
      <c r="N2627">
        <f>IFERROR(IF(VLOOKUP(calendar[[#This Row],[Date]],BH!E:E,1,)&lt;&gt;"",1,0),0)</f>
        <v>0</v>
      </c>
      <c r="O2627">
        <f>IFERROR(IF(VLOOKUP(calendar[[#This Row],[Date]],BH!G:G,1,)&lt;&gt;"",1,0),0)</f>
        <v>0</v>
      </c>
      <c r="P2627">
        <f>IF(OR(calendar[[#This Row],[UK_BH]]=1,calendar[[#This Row],[WeekDay]]=1, calendar[[#This Row],[WeekDay]]=7),P2626,P2626+1)</f>
        <v>1875</v>
      </c>
      <c r="Q2627">
        <f>IF(OR(calendar[[#This Row],[FR_BH]]=1,calendar[[#This Row],[WeekDay]]=1, calendar[[#This Row],[WeekDay]]=7),P2626,P2626+1)</f>
        <v>1875</v>
      </c>
      <c r="R2627">
        <f>IF(OR(calendar[[#This Row],[SP_BH]]=1,calendar[[#This Row],[WeekDay]]=1, calendar[[#This Row],[WeekDay]]=7),P2626,P2626+1)</f>
        <v>1875</v>
      </c>
      <c r="S2627">
        <f>IF(OR(calendar[[#This Row],[PT_BH]]=1,calendar[[#This Row],[WeekDay]]=1, calendar[[#This Row],[WeekDay]]=7),P2626,P2626+1)</f>
        <v>1875</v>
      </c>
    </row>
    <row r="2628" spans="1:19" x14ac:dyDescent="0.25">
      <c r="A2628" s="2">
        <v>45362</v>
      </c>
      <c r="B2628" s="1">
        <f t="shared" si="208"/>
        <v>11</v>
      </c>
      <c r="C2628">
        <f t="shared" si="205"/>
        <v>3</v>
      </c>
      <c r="D2628" t="str">
        <f t="shared" si="206"/>
        <v>March</v>
      </c>
      <c r="E2628">
        <f t="shared" si="207"/>
        <v>2024</v>
      </c>
      <c r="F2628" t="str">
        <f>CONCATENATE(calendar[[#This Row],[Month]],"/",calendar[[#This Row],[Year]])</f>
        <v>3/2024</v>
      </c>
      <c r="G2628">
        <f>WEEKDAY(calendar[[#This Row],[Date]],1)</f>
        <v>2</v>
      </c>
      <c r="H2628" t="str">
        <f>TEXT(calendar[[#This Row],[WeekDay]],"dddd")</f>
        <v>Monday</v>
      </c>
      <c r="I2628">
        <f>IF((INT(calendar[[#This Row],[Count]]/7)-calendar[[#This Row],[Count]]/7)&lt;0,I2627,I2627+1)</f>
        <v>376</v>
      </c>
      <c r="J2628">
        <f t="shared" si="209"/>
        <v>2626</v>
      </c>
      <c r="K2628">
        <f>IF(calendar[[#This Row],[Month]]&lt;4,1,IF(calendar[[#This Row],[Month]]&lt;7,2,IF(calendar[[#This Row],[Month]]&lt;10,3,4)))</f>
        <v>1</v>
      </c>
      <c r="L2628">
        <f>IFERROR(IF(VLOOKUP(calendar[[#This Row],[Date]],BH!A:A,1,)&lt;&gt;"",1,0),0)</f>
        <v>0</v>
      </c>
      <c r="M2628">
        <f>IFERROR(IF(VLOOKUP(calendar[[#This Row],[Date]],BH!C:C,1,)&lt;&gt;"",1,0),0)</f>
        <v>0</v>
      </c>
      <c r="N2628">
        <f>IFERROR(IF(VLOOKUP(calendar[[#This Row],[Date]],BH!E:E,1,)&lt;&gt;"",1,0),0)</f>
        <v>0</v>
      </c>
      <c r="O2628">
        <f>IFERROR(IF(VLOOKUP(calendar[[#This Row],[Date]],BH!G:G,1,)&lt;&gt;"",1,0),0)</f>
        <v>0</v>
      </c>
      <c r="P2628">
        <f>IF(OR(calendar[[#This Row],[UK_BH]]=1,calendar[[#This Row],[WeekDay]]=1, calendar[[#This Row],[WeekDay]]=7),P2627,P2627+1)</f>
        <v>1876</v>
      </c>
      <c r="Q2628">
        <f>IF(OR(calendar[[#This Row],[FR_BH]]=1,calendar[[#This Row],[WeekDay]]=1, calendar[[#This Row],[WeekDay]]=7),P2627,P2627+1)</f>
        <v>1876</v>
      </c>
      <c r="R2628">
        <f>IF(OR(calendar[[#This Row],[SP_BH]]=1,calendar[[#This Row],[WeekDay]]=1, calendar[[#This Row],[WeekDay]]=7),P2627,P2627+1)</f>
        <v>1876</v>
      </c>
      <c r="S2628">
        <f>IF(OR(calendar[[#This Row],[PT_BH]]=1,calendar[[#This Row],[WeekDay]]=1, calendar[[#This Row],[WeekDay]]=7),P2627,P2627+1)</f>
        <v>1876</v>
      </c>
    </row>
    <row r="2629" spans="1:19" x14ac:dyDescent="0.25">
      <c r="A2629" s="2">
        <v>45363</v>
      </c>
      <c r="B2629" s="1">
        <f t="shared" si="208"/>
        <v>11</v>
      </c>
      <c r="C2629">
        <f t="shared" si="205"/>
        <v>3</v>
      </c>
      <c r="D2629" t="str">
        <f t="shared" si="206"/>
        <v>March</v>
      </c>
      <c r="E2629">
        <f t="shared" si="207"/>
        <v>2024</v>
      </c>
      <c r="F2629" t="str">
        <f>CONCATENATE(calendar[[#This Row],[Month]],"/",calendar[[#This Row],[Year]])</f>
        <v>3/2024</v>
      </c>
      <c r="G2629">
        <f>WEEKDAY(calendar[[#This Row],[Date]],1)</f>
        <v>3</v>
      </c>
      <c r="H2629" t="str">
        <f>TEXT(calendar[[#This Row],[WeekDay]],"dddd")</f>
        <v>Tuesday</v>
      </c>
      <c r="I2629">
        <f>IF((INT(calendar[[#This Row],[Count]]/7)-calendar[[#This Row],[Count]]/7)&lt;0,I2628,I2628+1)</f>
        <v>376</v>
      </c>
      <c r="J2629">
        <f t="shared" si="209"/>
        <v>2627</v>
      </c>
      <c r="K2629">
        <f>IF(calendar[[#This Row],[Month]]&lt;4,1,IF(calendar[[#This Row],[Month]]&lt;7,2,IF(calendar[[#This Row],[Month]]&lt;10,3,4)))</f>
        <v>1</v>
      </c>
      <c r="L2629">
        <f>IFERROR(IF(VLOOKUP(calendar[[#This Row],[Date]],BH!A:A,1,)&lt;&gt;"",1,0),0)</f>
        <v>0</v>
      </c>
      <c r="M2629">
        <f>IFERROR(IF(VLOOKUP(calendar[[#This Row],[Date]],BH!C:C,1,)&lt;&gt;"",1,0),0)</f>
        <v>0</v>
      </c>
      <c r="N2629">
        <f>IFERROR(IF(VLOOKUP(calendar[[#This Row],[Date]],BH!E:E,1,)&lt;&gt;"",1,0),0)</f>
        <v>0</v>
      </c>
      <c r="O2629">
        <f>IFERROR(IF(VLOOKUP(calendar[[#This Row],[Date]],BH!G:G,1,)&lt;&gt;"",1,0),0)</f>
        <v>0</v>
      </c>
      <c r="P2629">
        <f>IF(OR(calendar[[#This Row],[UK_BH]]=1,calendar[[#This Row],[WeekDay]]=1, calendar[[#This Row],[WeekDay]]=7),P2628,P2628+1)</f>
        <v>1877</v>
      </c>
      <c r="Q2629">
        <f>IF(OR(calendar[[#This Row],[FR_BH]]=1,calendar[[#This Row],[WeekDay]]=1, calendar[[#This Row],[WeekDay]]=7),P2628,P2628+1)</f>
        <v>1877</v>
      </c>
      <c r="R2629">
        <f>IF(OR(calendar[[#This Row],[SP_BH]]=1,calendar[[#This Row],[WeekDay]]=1, calendar[[#This Row],[WeekDay]]=7),P2628,P2628+1)</f>
        <v>1877</v>
      </c>
      <c r="S2629">
        <f>IF(OR(calendar[[#This Row],[PT_BH]]=1,calendar[[#This Row],[WeekDay]]=1, calendar[[#This Row],[WeekDay]]=7),P2628,P2628+1)</f>
        <v>1877</v>
      </c>
    </row>
    <row r="2630" spans="1:19" x14ac:dyDescent="0.25">
      <c r="A2630" s="2">
        <v>45364</v>
      </c>
      <c r="B2630" s="1">
        <f t="shared" si="208"/>
        <v>11</v>
      </c>
      <c r="C2630">
        <f t="shared" si="205"/>
        <v>3</v>
      </c>
      <c r="D2630" t="str">
        <f t="shared" si="206"/>
        <v>March</v>
      </c>
      <c r="E2630">
        <f t="shared" si="207"/>
        <v>2024</v>
      </c>
      <c r="F2630" t="str">
        <f>CONCATENATE(calendar[[#This Row],[Month]],"/",calendar[[#This Row],[Year]])</f>
        <v>3/2024</v>
      </c>
      <c r="G2630">
        <f>WEEKDAY(calendar[[#This Row],[Date]],1)</f>
        <v>4</v>
      </c>
      <c r="H2630" t="str">
        <f>TEXT(calendar[[#This Row],[WeekDay]],"dddd")</f>
        <v>Wednesday</v>
      </c>
      <c r="I2630">
        <f>IF((INT(calendar[[#This Row],[Count]]/7)-calendar[[#This Row],[Count]]/7)&lt;0,I2629,I2629+1)</f>
        <v>376</v>
      </c>
      <c r="J2630">
        <f t="shared" si="209"/>
        <v>2628</v>
      </c>
      <c r="K2630">
        <f>IF(calendar[[#This Row],[Month]]&lt;4,1,IF(calendar[[#This Row],[Month]]&lt;7,2,IF(calendar[[#This Row],[Month]]&lt;10,3,4)))</f>
        <v>1</v>
      </c>
      <c r="L2630">
        <f>IFERROR(IF(VLOOKUP(calendar[[#This Row],[Date]],BH!A:A,1,)&lt;&gt;"",1,0),0)</f>
        <v>0</v>
      </c>
      <c r="M2630">
        <f>IFERROR(IF(VLOOKUP(calendar[[#This Row],[Date]],BH!C:C,1,)&lt;&gt;"",1,0),0)</f>
        <v>0</v>
      </c>
      <c r="N2630">
        <f>IFERROR(IF(VLOOKUP(calendar[[#This Row],[Date]],BH!E:E,1,)&lt;&gt;"",1,0),0)</f>
        <v>0</v>
      </c>
      <c r="O2630">
        <f>IFERROR(IF(VLOOKUP(calendar[[#This Row],[Date]],BH!G:G,1,)&lt;&gt;"",1,0),0)</f>
        <v>0</v>
      </c>
      <c r="P2630">
        <f>IF(OR(calendar[[#This Row],[UK_BH]]=1,calendar[[#This Row],[WeekDay]]=1, calendar[[#This Row],[WeekDay]]=7),P2629,P2629+1)</f>
        <v>1878</v>
      </c>
      <c r="Q2630">
        <f>IF(OR(calendar[[#This Row],[FR_BH]]=1,calendar[[#This Row],[WeekDay]]=1, calendar[[#This Row],[WeekDay]]=7),P2629,P2629+1)</f>
        <v>1878</v>
      </c>
      <c r="R2630">
        <f>IF(OR(calendar[[#This Row],[SP_BH]]=1,calendar[[#This Row],[WeekDay]]=1, calendar[[#This Row],[WeekDay]]=7),P2629,P2629+1)</f>
        <v>1878</v>
      </c>
      <c r="S2630">
        <f>IF(OR(calendar[[#This Row],[PT_BH]]=1,calendar[[#This Row],[WeekDay]]=1, calendar[[#This Row],[WeekDay]]=7),P2629,P2629+1)</f>
        <v>1878</v>
      </c>
    </row>
    <row r="2631" spans="1:19" x14ac:dyDescent="0.25">
      <c r="A2631" s="2">
        <v>45365</v>
      </c>
      <c r="B2631" s="1">
        <f t="shared" si="208"/>
        <v>11</v>
      </c>
      <c r="C2631">
        <f t="shared" si="205"/>
        <v>3</v>
      </c>
      <c r="D2631" t="str">
        <f t="shared" si="206"/>
        <v>March</v>
      </c>
      <c r="E2631">
        <f t="shared" si="207"/>
        <v>2024</v>
      </c>
      <c r="F2631" t="str">
        <f>CONCATENATE(calendar[[#This Row],[Month]],"/",calendar[[#This Row],[Year]])</f>
        <v>3/2024</v>
      </c>
      <c r="G2631">
        <f>WEEKDAY(calendar[[#This Row],[Date]],1)</f>
        <v>5</v>
      </c>
      <c r="H2631" t="str">
        <f>TEXT(calendar[[#This Row],[WeekDay]],"dddd")</f>
        <v>Thursday</v>
      </c>
      <c r="I2631">
        <f>IF((INT(calendar[[#This Row],[Count]]/7)-calendar[[#This Row],[Count]]/7)&lt;0,I2630,I2630+1)</f>
        <v>376</v>
      </c>
      <c r="J2631">
        <f t="shared" si="209"/>
        <v>2629</v>
      </c>
      <c r="K2631">
        <f>IF(calendar[[#This Row],[Month]]&lt;4,1,IF(calendar[[#This Row],[Month]]&lt;7,2,IF(calendar[[#This Row],[Month]]&lt;10,3,4)))</f>
        <v>1</v>
      </c>
      <c r="L2631">
        <f>IFERROR(IF(VLOOKUP(calendar[[#This Row],[Date]],BH!A:A,1,)&lt;&gt;"",1,0),0)</f>
        <v>0</v>
      </c>
      <c r="M2631">
        <f>IFERROR(IF(VLOOKUP(calendar[[#This Row],[Date]],BH!C:C,1,)&lt;&gt;"",1,0),0)</f>
        <v>0</v>
      </c>
      <c r="N2631">
        <f>IFERROR(IF(VLOOKUP(calendar[[#This Row],[Date]],BH!E:E,1,)&lt;&gt;"",1,0),0)</f>
        <v>0</v>
      </c>
      <c r="O2631">
        <f>IFERROR(IF(VLOOKUP(calendar[[#This Row],[Date]],BH!G:G,1,)&lt;&gt;"",1,0),0)</f>
        <v>0</v>
      </c>
      <c r="P2631">
        <f>IF(OR(calendar[[#This Row],[UK_BH]]=1,calendar[[#This Row],[WeekDay]]=1, calendar[[#This Row],[WeekDay]]=7),P2630,P2630+1)</f>
        <v>1879</v>
      </c>
      <c r="Q2631">
        <f>IF(OR(calendar[[#This Row],[FR_BH]]=1,calendar[[#This Row],[WeekDay]]=1, calendar[[#This Row],[WeekDay]]=7),P2630,P2630+1)</f>
        <v>1879</v>
      </c>
      <c r="R2631">
        <f>IF(OR(calendar[[#This Row],[SP_BH]]=1,calendar[[#This Row],[WeekDay]]=1, calendar[[#This Row],[WeekDay]]=7),P2630,P2630+1)</f>
        <v>1879</v>
      </c>
      <c r="S2631">
        <f>IF(OR(calendar[[#This Row],[PT_BH]]=1,calendar[[#This Row],[WeekDay]]=1, calendar[[#This Row],[WeekDay]]=7),P2630,P2630+1)</f>
        <v>1879</v>
      </c>
    </row>
    <row r="2632" spans="1:19" x14ac:dyDescent="0.25">
      <c r="A2632" s="2">
        <v>45366</v>
      </c>
      <c r="B2632" s="1">
        <f t="shared" si="208"/>
        <v>11</v>
      </c>
      <c r="C2632">
        <f t="shared" si="205"/>
        <v>3</v>
      </c>
      <c r="D2632" t="str">
        <f t="shared" si="206"/>
        <v>March</v>
      </c>
      <c r="E2632">
        <f t="shared" si="207"/>
        <v>2024</v>
      </c>
      <c r="F2632" t="str">
        <f>CONCATENATE(calendar[[#This Row],[Month]],"/",calendar[[#This Row],[Year]])</f>
        <v>3/2024</v>
      </c>
      <c r="G2632">
        <f>WEEKDAY(calendar[[#This Row],[Date]],1)</f>
        <v>6</v>
      </c>
      <c r="H2632" t="str">
        <f>TEXT(calendar[[#This Row],[WeekDay]],"dddd")</f>
        <v>Friday</v>
      </c>
      <c r="I2632">
        <f>IF((INT(calendar[[#This Row],[Count]]/7)-calendar[[#This Row],[Count]]/7)&lt;0,I2631,I2631+1)</f>
        <v>376</v>
      </c>
      <c r="J2632">
        <f t="shared" si="209"/>
        <v>2630</v>
      </c>
      <c r="K2632">
        <f>IF(calendar[[#This Row],[Month]]&lt;4,1,IF(calendar[[#This Row],[Month]]&lt;7,2,IF(calendar[[#This Row],[Month]]&lt;10,3,4)))</f>
        <v>1</v>
      </c>
      <c r="L2632">
        <f>IFERROR(IF(VLOOKUP(calendar[[#This Row],[Date]],BH!A:A,1,)&lt;&gt;"",1,0),0)</f>
        <v>0</v>
      </c>
      <c r="M2632">
        <f>IFERROR(IF(VLOOKUP(calendar[[#This Row],[Date]],BH!C:C,1,)&lt;&gt;"",1,0),0)</f>
        <v>0</v>
      </c>
      <c r="N2632">
        <f>IFERROR(IF(VLOOKUP(calendar[[#This Row],[Date]],BH!E:E,1,)&lt;&gt;"",1,0),0)</f>
        <v>0</v>
      </c>
      <c r="O2632">
        <f>IFERROR(IF(VLOOKUP(calendar[[#This Row],[Date]],BH!G:G,1,)&lt;&gt;"",1,0),0)</f>
        <v>0</v>
      </c>
      <c r="P2632">
        <f>IF(OR(calendar[[#This Row],[UK_BH]]=1,calendar[[#This Row],[WeekDay]]=1, calendar[[#This Row],[WeekDay]]=7),P2631,P2631+1)</f>
        <v>1880</v>
      </c>
      <c r="Q2632">
        <f>IF(OR(calendar[[#This Row],[FR_BH]]=1,calendar[[#This Row],[WeekDay]]=1, calendar[[#This Row],[WeekDay]]=7),P2631,P2631+1)</f>
        <v>1880</v>
      </c>
      <c r="R2632">
        <f>IF(OR(calendar[[#This Row],[SP_BH]]=1,calendar[[#This Row],[WeekDay]]=1, calendar[[#This Row],[WeekDay]]=7),P2631,P2631+1)</f>
        <v>1880</v>
      </c>
      <c r="S2632">
        <f>IF(OR(calendar[[#This Row],[PT_BH]]=1,calendar[[#This Row],[WeekDay]]=1, calendar[[#This Row],[WeekDay]]=7),P2631,P2631+1)</f>
        <v>1880</v>
      </c>
    </row>
    <row r="2633" spans="1:19" x14ac:dyDescent="0.25">
      <c r="A2633" s="2">
        <v>45367</v>
      </c>
      <c r="B2633" s="1">
        <f t="shared" si="208"/>
        <v>11</v>
      </c>
      <c r="C2633">
        <f t="shared" si="205"/>
        <v>3</v>
      </c>
      <c r="D2633" t="str">
        <f t="shared" si="206"/>
        <v>March</v>
      </c>
      <c r="E2633">
        <f t="shared" si="207"/>
        <v>2024</v>
      </c>
      <c r="F2633" t="str">
        <f>CONCATENATE(calendar[[#This Row],[Month]],"/",calendar[[#This Row],[Year]])</f>
        <v>3/2024</v>
      </c>
      <c r="G2633">
        <f>WEEKDAY(calendar[[#This Row],[Date]],1)</f>
        <v>7</v>
      </c>
      <c r="H2633" t="str">
        <f>TEXT(calendar[[#This Row],[WeekDay]],"dddd")</f>
        <v>Saturday</v>
      </c>
      <c r="I2633">
        <f>IF((INT(calendar[[#This Row],[Count]]/7)-calendar[[#This Row],[Count]]/7)&lt;0,I2632,I2632+1)</f>
        <v>376</v>
      </c>
      <c r="J2633">
        <f t="shared" si="209"/>
        <v>2631</v>
      </c>
      <c r="K2633">
        <f>IF(calendar[[#This Row],[Month]]&lt;4,1,IF(calendar[[#This Row],[Month]]&lt;7,2,IF(calendar[[#This Row],[Month]]&lt;10,3,4)))</f>
        <v>1</v>
      </c>
      <c r="L2633">
        <f>IFERROR(IF(VLOOKUP(calendar[[#This Row],[Date]],BH!A:A,1,)&lt;&gt;"",1,0),0)</f>
        <v>0</v>
      </c>
      <c r="M2633">
        <f>IFERROR(IF(VLOOKUP(calendar[[#This Row],[Date]],BH!C:C,1,)&lt;&gt;"",1,0),0)</f>
        <v>0</v>
      </c>
      <c r="N2633">
        <f>IFERROR(IF(VLOOKUP(calendar[[#This Row],[Date]],BH!E:E,1,)&lt;&gt;"",1,0),0)</f>
        <v>0</v>
      </c>
      <c r="O2633">
        <f>IFERROR(IF(VLOOKUP(calendar[[#This Row],[Date]],BH!G:G,1,)&lt;&gt;"",1,0),0)</f>
        <v>0</v>
      </c>
      <c r="P2633">
        <f>IF(OR(calendar[[#This Row],[UK_BH]]=1,calendar[[#This Row],[WeekDay]]=1, calendar[[#This Row],[WeekDay]]=7),P2632,P2632+1)</f>
        <v>1880</v>
      </c>
      <c r="Q2633">
        <f>IF(OR(calendar[[#This Row],[FR_BH]]=1,calendar[[#This Row],[WeekDay]]=1, calendar[[#This Row],[WeekDay]]=7),P2632,P2632+1)</f>
        <v>1880</v>
      </c>
      <c r="R2633">
        <f>IF(OR(calendar[[#This Row],[SP_BH]]=1,calendar[[#This Row],[WeekDay]]=1, calendar[[#This Row],[WeekDay]]=7),P2632,P2632+1)</f>
        <v>1880</v>
      </c>
      <c r="S2633">
        <f>IF(OR(calendar[[#This Row],[PT_BH]]=1,calendar[[#This Row],[WeekDay]]=1, calendar[[#This Row],[WeekDay]]=7),P2632,P2632+1)</f>
        <v>1880</v>
      </c>
    </row>
    <row r="2634" spans="1:19" x14ac:dyDescent="0.25">
      <c r="A2634" s="2">
        <v>45368</v>
      </c>
      <c r="B2634" s="1">
        <f t="shared" si="208"/>
        <v>12</v>
      </c>
      <c r="C2634">
        <f t="shared" si="205"/>
        <v>3</v>
      </c>
      <c r="D2634" t="str">
        <f t="shared" si="206"/>
        <v>March</v>
      </c>
      <c r="E2634">
        <f t="shared" si="207"/>
        <v>2024</v>
      </c>
      <c r="F2634" t="str">
        <f>CONCATENATE(calendar[[#This Row],[Month]],"/",calendar[[#This Row],[Year]])</f>
        <v>3/2024</v>
      </c>
      <c r="G2634">
        <f>WEEKDAY(calendar[[#This Row],[Date]],1)</f>
        <v>1</v>
      </c>
      <c r="H2634" t="str">
        <f>TEXT(calendar[[#This Row],[WeekDay]],"dddd")</f>
        <v>Sunday</v>
      </c>
      <c r="I2634">
        <f>IF((INT(calendar[[#This Row],[Count]]/7)-calendar[[#This Row],[Count]]/7)&lt;0,I2633,I2633+1)</f>
        <v>377</v>
      </c>
      <c r="J2634">
        <f t="shared" si="209"/>
        <v>2632</v>
      </c>
      <c r="K2634">
        <f>IF(calendar[[#This Row],[Month]]&lt;4,1,IF(calendar[[#This Row],[Month]]&lt;7,2,IF(calendar[[#This Row],[Month]]&lt;10,3,4)))</f>
        <v>1</v>
      </c>
      <c r="L2634">
        <f>IFERROR(IF(VLOOKUP(calendar[[#This Row],[Date]],BH!A:A,1,)&lt;&gt;"",1,0),0)</f>
        <v>0</v>
      </c>
      <c r="M2634">
        <f>IFERROR(IF(VLOOKUP(calendar[[#This Row],[Date]],BH!C:C,1,)&lt;&gt;"",1,0),0)</f>
        <v>0</v>
      </c>
      <c r="N2634">
        <f>IFERROR(IF(VLOOKUP(calendar[[#This Row],[Date]],BH!E:E,1,)&lt;&gt;"",1,0),0)</f>
        <v>0</v>
      </c>
      <c r="O2634">
        <f>IFERROR(IF(VLOOKUP(calendar[[#This Row],[Date]],BH!G:G,1,)&lt;&gt;"",1,0),0)</f>
        <v>0</v>
      </c>
      <c r="P2634">
        <f>IF(OR(calendar[[#This Row],[UK_BH]]=1,calendar[[#This Row],[WeekDay]]=1, calendar[[#This Row],[WeekDay]]=7),P2633,P2633+1)</f>
        <v>1880</v>
      </c>
      <c r="Q2634">
        <f>IF(OR(calendar[[#This Row],[FR_BH]]=1,calendar[[#This Row],[WeekDay]]=1, calendar[[#This Row],[WeekDay]]=7),P2633,P2633+1)</f>
        <v>1880</v>
      </c>
      <c r="R2634">
        <f>IF(OR(calendar[[#This Row],[SP_BH]]=1,calendar[[#This Row],[WeekDay]]=1, calendar[[#This Row],[WeekDay]]=7),P2633,P2633+1)</f>
        <v>1880</v>
      </c>
      <c r="S2634">
        <f>IF(OR(calendar[[#This Row],[PT_BH]]=1,calendar[[#This Row],[WeekDay]]=1, calendar[[#This Row],[WeekDay]]=7),P2633,P2633+1)</f>
        <v>1880</v>
      </c>
    </row>
    <row r="2635" spans="1:19" x14ac:dyDescent="0.25">
      <c r="A2635" s="2">
        <v>45369</v>
      </c>
      <c r="B2635" s="1">
        <f t="shared" si="208"/>
        <v>12</v>
      </c>
      <c r="C2635">
        <f t="shared" si="205"/>
        <v>3</v>
      </c>
      <c r="D2635" t="str">
        <f t="shared" si="206"/>
        <v>March</v>
      </c>
      <c r="E2635">
        <f t="shared" si="207"/>
        <v>2024</v>
      </c>
      <c r="F2635" t="str">
        <f>CONCATENATE(calendar[[#This Row],[Month]],"/",calendar[[#This Row],[Year]])</f>
        <v>3/2024</v>
      </c>
      <c r="G2635">
        <f>WEEKDAY(calendar[[#This Row],[Date]],1)</f>
        <v>2</v>
      </c>
      <c r="H2635" t="str">
        <f>TEXT(calendar[[#This Row],[WeekDay]],"dddd")</f>
        <v>Monday</v>
      </c>
      <c r="I2635">
        <f>IF((INT(calendar[[#This Row],[Count]]/7)-calendar[[#This Row],[Count]]/7)&lt;0,I2634,I2634+1)</f>
        <v>377</v>
      </c>
      <c r="J2635">
        <f t="shared" si="209"/>
        <v>2633</v>
      </c>
      <c r="K2635">
        <f>IF(calendar[[#This Row],[Month]]&lt;4,1,IF(calendar[[#This Row],[Month]]&lt;7,2,IF(calendar[[#This Row],[Month]]&lt;10,3,4)))</f>
        <v>1</v>
      </c>
      <c r="L2635">
        <f>IFERROR(IF(VLOOKUP(calendar[[#This Row],[Date]],BH!A:A,1,)&lt;&gt;"",1,0),0)</f>
        <v>0</v>
      </c>
      <c r="M2635">
        <f>IFERROR(IF(VLOOKUP(calendar[[#This Row],[Date]],BH!C:C,1,)&lt;&gt;"",1,0),0)</f>
        <v>0</v>
      </c>
      <c r="N2635">
        <f>IFERROR(IF(VLOOKUP(calendar[[#This Row],[Date]],BH!E:E,1,)&lt;&gt;"",1,0),0)</f>
        <v>0</v>
      </c>
      <c r="O2635">
        <f>IFERROR(IF(VLOOKUP(calendar[[#This Row],[Date]],BH!G:G,1,)&lt;&gt;"",1,0),0)</f>
        <v>0</v>
      </c>
      <c r="P2635">
        <f>IF(OR(calendar[[#This Row],[UK_BH]]=1,calendar[[#This Row],[WeekDay]]=1, calendar[[#This Row],[WeekDay]]=7),P2634,P2634+1)</f>
        <v>1881</v>
      </c>
      <c r="Q2635">
        <f>IF(OR(calendar[[#This Row],[FR_BH]]=1,calendar[[#This Row],[WeekDay]]=1, calendar[[#This Row],[WeekDay]]=7),P2634,P2634+1)</f>
        <v>1881</v>
      </c>
      <c r="R2635">
        <f>IF(OR(calendar[[#This Row],[SP_BH]]=1,calendar[[#This Row],[WeekDay]]=1, calendar[[#This Row],[WeekDay]]=7),P2634,P2634+1)</f>
        <v>1881</v>
      </c>
      <c r="S2635">
        <f>IF(OR(calendar[[#This Row],[PT_BH]]=1,calendar[[#This Row],[WeekDay]]=1, calendar[[#This Row],[WeekDay]]=7),P2634,P2634+1)</f>
        <v>1881</v>
      </c>
    </row>
    <row r="2636" spans="1:19" x14ac:dyDescent="0.25">
      <c r="A2636" s="2">
        <v>45370</v>
      </c>
      <c r="B2636" s="1">
        <f t="shared" si="208"/>
        <v>12</v>
      </c>
      <c r="C2636">
        <f t="shared" si="205"/>
        <v>3</v>
      </c>
      <c r="D2636" t="str">
        <f t="shared" si="206"/>
        <v>March</v>
      </c>
      <c r="E2636">
        <f t="shared" si="207"/>
        <v>2024</v>
      </c>
      <c r="F2636" t="str">
        <f>CONCATENATE(calendar[[#This Row],[Month]],"/",calendar[[#This Row],[Year]])</f>
        <v>3/2024</v>
      </c>
      <c r="G2636">
        <f>WEEKDAY(calendar[[#This Row],[Date]],1)</f>
        <v>3</v>
      </c>
      <c r="H2636" t="str">
        <f>TEXT(calendar[[#This Row],[WeekDay]],"dddd")</f>
        <v>Tuesday</v>
      </c>
      <c r="I2636">
        <f>IF((INT(calendar[[#This Row],[Count]]/7)-calendar[[#This Row],[Count]]/7)&lt;0,I2635,I2635+1)</f>
        <v>377</v>
      </c>
      <c r="J2636">
        <f t="shared" si="209"/>
        <v>2634</v>
      </c>
      <c r="K2636">
        <f>IF(calendar[[#This Row],[Month]]&lt;4,1,IF(calendar[[#This Row],[Month]]&lt;7,2,IF(calendar[[#This Row],[Month]]&lt;10,3,4)))</f>
        <v>1</v>
      </c>
      <c r="L2636">
        <f>IFERROR(IF(VLOOKUP(calendar[[#This Row],[Date]],BH!A:A,1,)&lt;&gt;"",1,0),0)</f>
        <v>0</v>
      </c>
      <c r="M2636">
        <f>IFERROR(IF(VLOOKUP(calendar[[#This Row],[Date]],BH!C:C,1,)&lt;&gt;"",1,0),0)</f>
        <v>0</v>
      </c>
      <c r="N2636">
        <f>IFERROR(IF(VLOOKUP(calendar[[#This Row],[Date]],BH!E:E,1,)&lt;&gt;"",1,0),0)</f>
        <v>0</v>
      </c>
      <c r="O2636">
        <f>IFERROR(IF(VLOOKUP(calendar[[#This Row],[Date]],BH!G:G,1,)&lt;&gt;"",1,0),0)</f>
        <v>0</v>
      </c>
      <c r="P2636">
        <f>IF(OR(calendar[[#This Row],[UK_BH]]=1,calendar[[#This Row],[WeekDay]]=1, calendar[[#This Row],[WeekDay]]=7),P2635,P2635+1)</f>
        <v>1882</v>
      </c>
      <c r="Q2636">
        <f>IF(OR(calendar[[#This Row],[FR_BH]]=1,calendar[[#This Row],[WeekDay]]=1, calendar[[#This Row],[WeekDay]]=7),P2635,P2635+1)</f>
        <v>1882</v>
      </c>
      <c r="R2636">
        <f>IF(OR(calendar[[#This Row],[SP_BH]]=1,calendar[[#This Row],[WeekDay]]=1, calendar[[#This Row],[WeekDay]]=7),P2635,P2635+1)</f>
        <v>1882</v>
      </c>
      <c r="S2636">
        <f>IF(OR(calendar[[#This Row],[PT_BH]]=1,calendar[[#This Row],[WeekDay]]=1, calendar[[#This Row],[WeekDay]]=7),P2635,P2635+1)</f>
        <v>1882</v>
      </c>
    </row>
    <row r="2637" spans="1:19" x14ac:dyDescent="0.25">
      <c r="A2637" s="2">
        <v>45371</v>
      </c>
      <c r="B2637" s="1">
        <f t="shared" si="208"/>
        <v>12</v>
      </c>
      <c r="C2637">
        <f t="shared" si="205"/>
        <v>3</v>
      </c>
      <c r="D2637" t="str">
        <f t="shared" si="206"/>
        <v>March</v>
      </c>
      <c r="E2637">
        <f t="shared" si="207"/>
        <v>2024</v>
      </c>
      <c r="F2637" t="str">
        <f>CONCATENATE(calendar[[#This Row],[Month]],"/",calendar[[#This Row],[Year]])</f>
        <v>3/2024</v>
      </c>
      <c r="G2637">
        <f>WEEKDAY(calendar[[#This Row],[Date]],1)</f>
        <v>4</v>
      </c>
      <c r="H2637" t="str">
        <f>TEXT(calendar[[#This Row],[WeekDay]],"dddd")</f>
        <v>Wednesday</v>
      </c>
      <c r="I2637">
        <f>IF((INT(calendar[[#This Row],[Count]]/7)-calendar[[#This Row],[Count]]/7)&lt;0,I2636,I2636+1)</f>
        <v>377</v>
      </c>
      <c r="J2637">
        <f t="shared" si="209"/>
        <v>2635</v>
      </c>
      <c r="K2637">
        <f>IF(calendar[[#This Row],[Month]]&lt;4,1,IF(calendar[[#This Row],[Month]]&lt;7,2,IF(calendar[[#This Row],[Month]]&lt;10,3,4)))</f>
        <v>1</v>
      </c>
      <c r="L2637">
        <f>IFERROR(IF(VLOOKUP(calendar[[#This Row],[Date]],BH!A:A,1,)&lt;&gt;"",1,0),0)</f>
        <v>0</v>
      </c>
      <c r="M2637">
        <f>IFERROR(IF(VLOOKUP(calendar[[#This Row],[Date]],BH!C:C,1,)&lt;&gt;"",1,0),0)</f>
        <v>0</v>
      </c>
      <c r="N2637">
        <f>IFERROR(IF(VLOOKUP(calendar[[#This Row],[Date]],BH!E:E,1,)&lt;&gt;"",1,0),0)</f>
        <v>0</v>
      </c>
      <c r="O2637">
        <f>IFERROR(IF(VLOOKUP(calendar[[#This Row],[Date]],BH!G:G,1,)&lt;&gt;"",1,0),0)</f>
        <v>0</v>
      </c>
      <c r="P2637">
        <f>IF(OR(calendar[[#This Row],[UK_BH]]=1,calendar[[#This Row],[WeekDay]]=1, calendar[[#This Row],[WeekDay]]=7),P2636,P2636+1)</f>
        <v>1883</v>
      </c>
      <c r="Q2637">
        <f>IF(OR(calendar[[#This Row],[FR_BH]]=1,calendar[[#This Row],[WeekDay]]=1, calendar[[#This Row],[WeekDay]]=7),P2636,P2636+1)</f>
        <v>1883</v>
      </c>
      <c r="R2637">
        <f>IF(OR(calendar[[#This Row],[SP_BH]]=1,calendar[[#This Row],[WeekDay]]=1, calendar[[#This Row],[WeekDay]]=7),P2636,P2636+1)</f>
        <v>1883</v>
      </c>
      <c r="S2637">
        <f>IF(OR(calendar[[#This Row],[PT_BH]]=1,calendar[[#This Row],[WeekDay]]=1, calendar[[#This Row],[WeekDay]]=7),P2636,P2636+1)</f>
        <v>1883</v>
      </c>
    </row>
    <row r="2638" spans="1:19" x14ac:dyDescent="0.25">
      <c r="A2638" s="2">
        <v>45372</v>
      </c>
      <c r="B2638" s="1">
        <f t="shared" si="208"/>
        <v>12</v>
      </c>
      <c r="C2638">
        <f t="shared" si="205"/>
        <v>3</v>
      </c>
      <c r="D2638" t="str">
        <f t="shared" si="206"/>
        <v>March</v>
      </c>
      <c r="E2638">
        <f t="shared" si="207"/>
        <v>2024</v>
      </c>
      <c r="F2638" t="str">
        <f>CONCATENATE(calendar[[#This Row],[Month]],"/",calendar[[#This Row],[Year]])</f>
        <v>3/2024</v>
      </c>
      <c r="G2638">
        <f>WEEKDAY(calendar[[#This Row],[Date]],1)</f>
        <v>5</v>
      </c>
      <c r="H2638" t="str">
        <f>TEXT(calendar[[#This Row],[WeekDay]],"dddd")</f>
        <v>Thursday</v>
      </c>
      <c r="I2638">
        <f>IF((INT(calendar[[#This Row],[Count]]/7)-calendar[[#This Row],[Count]]/7)&lt;0,I2637,I2637+1)</f>
        <v>377</v>
      </c>
      <c r="J2638">
        <f t="shared" si="209"/>
        <v>2636</v>
      </c>
      <c r="K2638">
        <f>IF(calendar[[#This Row],[Month]]&lt;4,1,IF(calendar[[#This Row],[Month]]&lt;7,2,IF(calendar[[#This Row],[Month]]&lt;10,3,4)))</f>
        <v>1</v>
      </c>
      <c r="L2638">
        <f>IFERROR(IF(VLOOKUP(calendar[[#This Row],[Date]],BH!A:A,1,)&lt;&gt;"",1,0),0)</f>
        <v>0</v>
      </c>
      <c r="M2638">
        <f>IFERROR(IF(VLOOKUP(calendar[[#This Row],[Date]],BH!C:C,1,)&lt;&gt;"",1,0),0)</f>
        <v>0</v>
      </c>
      <c r="N2638">
        <f>IFERROR(IF(VLOOKUP(calendar[[#This Row],[Date]],BH!E:E,1,)&lt;&gt;"",1,0),0)</f>
        <v>0</v>
      </c>
      <c r="O2638">
        <f>IFERROR(IF(VLOOKUP(calendar[[#This Row],[Date]],BH!G:G,1,)&lt;&gt;"",1,0),0)</f>
        <v>0</v>
      </c>
      <c r="P2638">
        <f>IF(OR(calendar[[#This Row],[UK_BH]]=1,calendar[[#This Row],[WeekDay]]=1, calendar[[#This Row],[WeekDay]]=7),P2637,P2637+1)</f>
        <v>1884</v>
      </c>
      <c r="Q2638">
        <f>IF(OR(calendar[[#This Row],[FR_BH]]=1,calendar[[#This Row],[WeekDay]]=1, calendar[[#This Row],[WeekDay]]=7),P2637,P2637+1)</f>
        <v>1884</v>
      </c>
      <c r="R2638">
        <f>IF(OR(calendar[[#This Row],[SP_BH]]=1,calendar[[#This Row],[WeekDay]]=1, calendar[[#This Row],[WeekDay]]=7),P2637,P2637+1)</f>
        <v>1884</v>
      </c>
      <c r="S2638">
        <f>IF(OR(calendar[[#This Row],[PT_BH]]=1,calendar[[#This Row],[WeekDay]]=1, calendar[[#This Row],[WeekDay]]=7),P2637,P2637+1)</f>
        <v>1884</v>
      </c>
    </row>
    <row r="2639" spans="1:19" x14ac:dyDescent="0.25">
      <c r="A2639" s="2">
        <v>45373</v>
      </c>
      <c r="B2639" s="1">
        <f t="shared" si="208"/>
        <v>12</v>
      </c>
      <c r="C2639">
        <f t="shared" si="205"/>
        <v>3</v>
      </c>
      <c r="D2639" t="str">
        <f t="shared" si="206"/>
        <v>March</v>
      </c>
      <c r="E2639">
        <f t="shared" si="207"/>
        <v>2024</v>
      </c>
      <c r="F2639" t="str">
        <f>CONCATENATE(calendar[[#This Row],[Month]],"/",calendar[[#This Row],[Year]])</f>
        <v>3/2024</v>
      </c>
      <c r="G2639">
        <f>WEEKDAY(calendar[[#This Row],[Date]],1)</f>
        <v>6</v>
      </c>
      <c r="H2639" t="str">
        <f>TEXT(calendar[[#This Row],[WeekDay]],"dddd")</f>
        <v>Friday</v>
      </c>
      <c r="I2639">
        <f>IF((INT(calendar[[#This Row],[Count]]/7)-calendar[[#This Row],[Count]]/7)&lt;0,I2638,I2638+1)</f>
        <v>377</v>
      </c>
      <c r="J2639">
        <f t="shared" si="209"/>
        <v>2637</v>
      </c>
      <c r="K2639">
        <f>IF(calendar[[#This Row],[Month]]&lt;4,1,IF(calendar[[#This Row],[Month]]&lt;7,2,IF(calendar[[#This Row],[Month]]&lt;10,3,4)))</f>
        <v>1</v>
      </c>
      <c r="L2639">
        <f>IFERROR(IF(VLOOKUP(calendar[[#This Row],[Date]],BH!A:A,1,)&lt;&gt;"",1,0),0)</f>
        <v>0</v>
      </c>
      <c r="M2639">
        <f>IFERROR(IF(VLOOKUP(calendar[[#This Row],[Date]],BH!C:C,1,)&lt;&gt;"",1,0),0)</f>
        <v>0</v>
      </c>
      <c r="N2639">
        <f>IFERROR(IF(VLOOKUP(calendar[[#This Row],[Date]],BH!E:E,1,)&lt;&gt;"",1,0),0)</f>
        <v>0</v>
      </c>
      <c r="O2639">
        <f>IFERROR(IF(VLOOKUP(calendar[[#This Row],[Date]],BH!G:G,1,)&lt;&gt;"",1,0),0)</f>
        <v>0</v>
      </c>
      <c r="P2639">
        <f>IF(OR(calendar[[#This Row],[UK_BH]]=1,calendar[[#This Row],[WeekDay]]=1, calendar[[#This Row],[WeekDay]]=7),P2638,P2638+1)</f>
        <v>1885</v>
      </c>
      <c r="Q2639">
        <f>IF(OR(calendar[[#This Row],[FR_BH]]=1,calendar[[#This Row],[WeekDay]]=1, calendar[[#This Row],[WeekDay]]=7),P2638,P2638+1)</f>
        <v>1885</v>
      </c>
      <c r="R2639">
        <f>IF(OR(calendar[[#This Row],[SP_BH]]=1,calendar[[#This Row],[WeekDay]]=1, calendar[[#This Row],[WeekDay]]=7),P2638,P2638+1)</f>
        <v>1885</v>
      </c>
      <c r="S2639">
        <f>IF(OR(calendar[[#This Row],[PT_BH]]=1,calendar[[#This Row],[WeekDay]]=1, calendar[[#This Row],[WeekDay]]=7),P2638,P2638+1)</f>
        <v>1885</v>
      </c>
    </row>
    <row r="2640" spans="1:19" x14ac:dyDescent="0.25">
      <c r="A2640" s="2">
        <v>45374</v>
      </c>
      <c r="B2640" s="1">
        <f t="shared" si="208"/>
        <v>12</v>
      </c>
      <c r="C2640">
        <f t="shared" ref="C2640:C2703" si="210">MONTH(A2640)</f>
        <v>3</v>
      </c>
      <c r="D2640" t="str">
        <f t="shared" ref="D2640:D2703" si="211">TEXT(A2640,"mmmm")</f>
        <v>March</v>
      </c>
      <c r="E2640">
        <f t="shared" ref="E2640:E2703" si="212">YEAR(A2640)</f>
        <v>2024</v>
      </c>
      <c r="F2640" t="str">
        <f>CONCATENATE(calendar[[#This Row],[Month]],"/",calendar[[#This Row],[Year]])</f>
        <v>3/2024</v>
      </c>
      <c r="G2640">
        <f>WEEKDAY(calendar[[#This Row],[Date]],1)</f>
        <v>7</v>
      </c>
      <c r="H2640" t="str">
        <f>TEXT(calendar[[#This Row],[WeekDay]],"dddd")</f>
        <v>Saturday</v>
      </c>
      <c r="I2640">
        <f>IF((INT(calendar[[#This Row],[Count]]/7)-calendar[[#This Row],[Count]]/7)&lt;0,I2639,I2639+1)</f>
        <v>377</v>
      </c>
      <c r="J2640">
        <f t="shared" si="209"/>
        <v>2638</v>
      </c>
      <c r="K2640">
        <f>IF(calendar[[#This Row],[Month]]&lt;4,1,IF(calendar[[#This Row],[Month]]&lt;7,2,IF(calendar[[#This Row],[Month]]&lt;10,3,4)))</f>
        <v>1</v>
      </c>
      <c r="L2640">
        <f>IFERROR(IF(VLOOKUP(calendar[[#This Row],[Date]],BH!A:A,1,)&lt;&gt;"",1,0),0)</f>
        <v>0</v>
      </c>
      <c r="M2640">
        <f>IFERROR(IF(VLOOKUP(calendar[[#This Row],[Date]],BH!C:C,1,)&lt;&gt;"",1,0),0)</f>
        <v>0</v>
      </c>
      <c r="N2640">
        <f>IFERROR(IF(VLOOKUP(calendar[[#This Row],[Date]],BH!E:E,1,)&lt;&gt;"",1,0),0)</f>
        <v>0</v>
      </c>
      <c r="O2640">
        <f>IFERROR(IF(VLOOKUP(calendar[[#This Row],[Date]],BH!G:G,1,)&lt;&gt;"",1,0),0)</f>
        <v>0</v>
      </c>
      <c r="P2640">
        <f>IF(OR(calendar[[#This Row],[UK_BH]]=1,calendar[[#This Row],[WeekDay]]=1, calendar[[#This Row],[WeekDay]]=7),P2639,P2639+1)</f>
        <v>1885</v>
      </c>
      <c r="Q2640">
        <f>IF(OR(calendar[[#This Row],[FR_BH]]=1,calendar[[#This Row],[WeekDay]]=1, calendar[[#This Row],[WeekDay]]=7),P2639,P2639+1)</f>
        <v>1885</v>
      </c>
      <c r="R2640">
        <f>IF(OR(calendar[[#This Row],[SP_BH]]=1,calendar[[#This Row],[WeekDay]]=1, calendar[[#This Row],[WeekDay]]=7),P2639,P2639+1)</f>
        <v>1885</v>
      </c>
      <c r="S2640">
        <f>IF(OR(calendar[[#This Row],[PT_BH]]=1,calendar[[#This Row],[WeekDay]]=1, calendar[[#This Row],[WeekDay]]=7),P2639,P2639+1)</f>
        <v>1885</v>
      </c>
    </row>
    <row r="2641" spans="1:19" x14ac:dyDescent="0.25">
      <c r="A2641" s="2">
        <v>45375</v>
      </c>
      <c r="B2641" s="1">
        <f t="shared" si="208"/>
        <v>13</v>
      </c>
      <c r="C2641">
        <f t="shared" si="210"/>
        <v>3</v>
      </c>
      <c r="D2641" t="str">
        <f t="shared" si="211"/>
        <v>March</v>
      </c>
      <c r="E2641">
        <f t="shared" si="212"/>
        <v>2024</v>
      </c>
      <c r="F2641" t="str">
        <f>CONCATENATE(calendar[[#This Row],[Month]],"/",calendar[[#This Row],[Year]])</f>
        <v>3/2024</v>
      </c>
      <c r="G2641">
        <f>WEEKDAY(calendar[[#This Row],[Date]],1)</f>
        <v>1</v>
      </c>
      <c r="H2641" t="str">
        <f>TEXT(calendar[[#This Row],[WeekDay]],"dddd")</f>
        <v>Sunday</v>
      </c>
      <c r="I2641">
        <f>IF((INT(calendar[[#This Row],[Count]]/7)-calendar[[#This Row],[Count]]/7)&lt;0,I2640,I2640+1)</f>
        <v>378</v>
      </c>
      <c r="J2641">
        <f t="shared" si="209"/>
        <v>2639</v>
      </c>
      <c r="K2641">
        <f>IF(calendar[[#This Row],[Month]]&lt;4,1,IF(calendar[[#This Row],[Month]]&lt;7,2,IF(calendar[[#This Row],[Month]]&lt;10,3,4)))</f>
        <v>1</v>
      </c>
      <c r="L2641">
        <f>IFERROR(IF(VLOOKUP(calendar[[#This Row],[Date]],BH!A:A,1,)&lt;&gt;"",1,0),0)</f>
        <v>0</v>
      </c>
      <c r="M2641">
        <f>IFERROR(IF(VLOOKUP(calendar[[#This Row],[Date]],BH!C:C,1,)&lt;&gt;"",1,0),0)</f>
        <v>0</v>
      </c>
      <c r="N2641">
        <f>IFERROR(IF(VLOOKUP(calendar[[#This Row],[Date]],BH!E:E,1,)&lt;&gt;"",1,0),0)</f>
        <v>0</v>
      </c>
      <c r="O2641">
        <f>IFERROR(IF(VLOOKUP(calendar[[#This Row],[Date]],BH!G:G,1,)&lt;&gt;"",1,0),0)</f>
        <v>0</v>
      </c>
      <c r="P2641">
        <f>IF(OR(calendar[[#This Row],[UK_BH]]=1,calendar[[#This Row],[WeekDay]]=1, calendar[[#This Row],[WeekDay]]=7),P2640,P2640+1)</f>
        <v>1885</v>
      </c>
      <c r="Q2641">
        <f>IF(OR(calendar[[#This Row],[FR_BH]]=1,calendar[[#This Row],[WeekDay]]=1, calendar[[#This Row],[WeekDay]]=7),P2640,P2640+1)</f>
        <v>1885</v>
      </c>
      <c r="R2641">
        <f>IF(OR(calendar[[#This Row],[SP_BH]]=1,calendar[[#This Row],[WeekDay]]=1, calendar[[#This Row],[WeekDay]]=7),P2640,P2640+1)</f>
        <v>1885</v>
      </c>
      <c r="S2641">
        <f>IF(OR(calendar[[#This Row],[PT_BH]]=1,calendar[[#This Row],[WeekDay]]=1, calendar[[#This Row],[WeekDay]]=7),P2640,P2640+1)</f>
        <v>1885</v>
      </c>
    </row>
    <row r="2642" spans="1:19" x14ac:dyDescent="0.25">
      <c r="A2642" s="2">
        <v>45376</v>
      </c>
      <c r="B2642" s="1">
        <f t="shared" si="208"/>
        <v>13</v>
      </c>
      <c r="C2642">
        <f t="shared" si="210"/>
        <v>3</v>
      </c>
      <c r="D2642" t="str">
        <f t="shared" si="211"/>
        <v>March</v>
      </c>
      <c r="E2642">
        <f t="shared" si="212"/>
        <v>2024</v>
      </c>
      <c r="F2642" t="str">
        <f>CONCATENATE(calendar[[#This Row],[Month]],"/",calendar[[#This Row],[Year]])</f>
        <v>3/2024</v>
      </c>
      <c r="G2642">
        <f>WEEKDAY(calendar[[#This Row],[Date]],1)</f>
        <v>2</v>
      </c>
      <c r="H2642" t="str">
        <f>TEXT(calendar[[#This Row],[WeekDay]],"dddd")</f>
        <v>Monday</v>
      </c>
      <c r="I2642">
        <f>IF((INT(calendar[[#This Row],[Count]]/7)-calendar[[#This Row],[Count]]/7)&lt;0,I2641,I2641+1)</f>
        <v>378</v>
      </c>
      <c r="J2642">
        <f t="shared" si="209"/>
        <v>2640</v>
      </c>
      <c r="K2642">
        <f>IF(calendar[[#This Row],[Month]]&lt;4,1,IF(calendar[[#This Row],[Month]]&lt;7,2,IF(calendar[[#This Row],[Month]]&lt;10,3,4)))</f>
        <v>1</v>
      </c>
      <c r="L2642">
        <f>IFERROR(IF(VLOOKUP(calendar[[#This Row],[Date]],BH!A:A,1,)&lt;&gt;"",1,0),0)</f>
        <v>0</v>
      </c>
      <c r="M2642">
        <f>IFERROR(IF(VLOOKUP(calendar[[#This Row],[Date]],BH!C:C,1,)&lt;&gt;"",1,0),0)</f>
        <v>0</v>
      </c>
      <c r="N2642">
        <f>IFERROR(IF(VLOOKUP(calendar[[#This Row],[Date]],BH!E:E,1,)&lt;&gt;"",1,0),0)</f>
        <v>0</v>
      </c>
      <c r="O2642">
        <f>IFERROR(IF(VLOOKUP(calendar[[#This Row],[Date]],BH!G:G,1,)&lt;&gt;"",1,0),0)</f>
        <v>0</v>
      </c>
      <c r="P2642">
        <f>IF(OR(calendar[[#This Row],[UK_BH]]=1,calendar[[#This Row],[WeekDay]]=1, calendar[[#This Row],[WeekDay]]=7),P2641,P2641+1)</f>
        <v>1886</v>
      </c>
      <c r="Q2642">
        <f>IF(OR(calendar[[#This Row],[FR_BH]]=1,calendar[[#This Row],[WeekDay]]=1, calendar[[#This Row],[WeekDay]]=7),P2641,P2641+1)</f>
        <v>1886</v>
      </c>
      <c r="R2642">
        <f>IF(OR(calendar[[#This Row],[SP_BH]]=1,calendar[[#This Row],[WeekDay]]=1, calendar[[#This Row],[WeekDay]]=7),P2641,P2641+1)</f>
        <v>1886</v>
      </c>
      <c r="S2642">
        <f>IF(OR(calendar[[#This Row],[PT_BH]]=1,calendar[[#This Row],[WeekDay]]=1, calendar[[#This Row],[WeekDay]]=7),P2641,P2641+1)</f>
        <v>1886</v>
      </c>
    </row>
    <row r="2643" spans="1:19" x14ac:dyDescent="0.25">
      <c r="A2643" s="2">
        <v>45377</v>
      </c>
      <c r="B2643" s="1">
        <f t="shared" si="208"/>
        <v>13</v>
      </c>
      <c r="C2643">
        <f t="shared" si="210"/>
        <v>3</v>
      </c>
      <c r="D2643" t="str">
        <f t="shared" si="211"/>
        <v>March</v>
      </c>
      <c r="E2643">
        <f t="shared" si="212"/>
        <v>2024</v>
      </c>
      <c r="F2643" t="str">
        <f>CONCATENATE(calendar[[#This Row],[Month]],"/",calendar[[#This Row],[Year]])</f>
        <v>3/2024</v>
      </c>
      <c r="G2643">
        <f>WEEKDAY(calendar[[#This Row],[Date]],1)</f>
        <v>3</v>
      </c>
      <c r="H2643" t="str">
        <f>TEXT(calendar[[#This Row],[WeekDay]],"dddd")</f>
        <v>Tuesday</v>
      </c>
      <c r="I2643">
        <f>IF((INT(calendar[[#This Row],[Count]]/7)-calendar[[#This Row],[Count]]/7)&lt;0,I2642,I2642+1)</f>
        <v>378</v>
      </c>
      <c r="J2643">
        <f t="shared" si="209"/>
        <v>2641</v>
      </c>
      <c r="K2643">
        <f>IF(calendar[[#This Row],[Month]]&lt;4,1,IF(calendar[[#This Row],[Month]]&lt;7,2,IF(calendar[[#This Row],[Month]]&lt;10,3,4)))</f>
        <v>1</v>
      </c>
      <c r="L2643">
        <f>IFERROR(IF(VLOOKUP(calendar[[#This Row],[Date]],BH!A:A,1,)&lt;&gt;"",1,0),0)</f>
        <v>0</v>
      </c>
      <c r="M2643">
        <f>IFERROR(IF(VLOOKUP(calendar[[#This Row],[Date]],BH!C:C,1,)&lt;&gt;"",1,0),0)</f>
        <v>0</v>
      </c>
      <c r="N2643">
        <f>IFERROR(IF(VLOOKUP(calendar[[#This Row],[Date]],BH!E:E,1,)&lt;&gt;"",1,0),0)</f>
        <v>0</v>
      </c>
      <c r="O2643">
        <f>IFERROR(IF(VLOOKUP(calendar[[#This Row],[Date]],BH!G:G,1,)&lt;&gt;"",1,0),0)</f>
        <v>0</v>
      </c>
      <c r="P2643">
        <f>IF(OR(calendar[[#This Row],[UK_BH]]=1,calendar[[#This Row],[WeekDay]]=1, calendar[[#This Row],[WeekDay]]=7),P2642,P2642+1)</f>
        <v>1887</v>
      </c>
      <c r="Q2643">
        <f>IF(OR(calendar[[#This Row],[FR_BH]]=1,calendar[[#This Row],[WeekDay]]=1, calendar[[#This Row],[WeekDay]]=7),P2642,P2642+1)</f>
        <v>1887</v>
      </c>
      <c r="R2643">
        <f>IF(OR(calendar[[#This Row],[SP_BH]]=1,calendar[[#This Row],[WeekDay]]=1, calendar[[#This Row],[WeekDay]]=7),P2642,P2642+1)</f>
        <v>1887</v>
      </c>
      <c r="S2643">
        <f>IF(OR(calendar[[#This Row],[PT_BH]]=1,calendar[[#This Row],[WeekDay]]=1, calendar[[#This Row],[WeekDay]]=7),P2642,P2642+1)</f>
        <v>1887</v>
      </c>
    </row>
    <row r="2644" spans="1:19" x14ac:dyDescent="0.25">
      <c r="A2644" s="2">
        <v>45378</v>
      </c>
      <c r="B2644" s="1">
        <f t="shared" si="208"/>
        <v>13</v>
      </c>
      <c r="C2644">
        <f t="shared" si="210"/>
        <v>3</v>
      </c>
      <c r="D2644" t="str">
        <f t="shared" si="211"/>
        <v>March</v>
      </c>
      <c r="E2644">
        <f t="shared" si="212"/>
        <v>2024</v>
      </c>
      <c r="F2644" t="str">
        <f>CONCATENATE(calendar[[#This Row],[Month]],"/",calendar[[#This Row],[Year]])</f>
        <v>3/2024</v>
      </c>
      <c r="G2644">
        <f>WEEKDAY(calendar[[#This Row],[Date]],1)</f>
        <v>4</v>
      </c>
      <c r="H2644" t="str">
        <f>TEXT(calendar[[#This Row],[WeekDay]],"dddd")</f>
        <v>Wednesday</v>
      </c>
      <c r="I2644">
        <f>IF((INT(calendar[[#This Row],[Count]]/7)-calendar[[#This Row],[Count]]/7)&lt;0,I2643,I2643+1)</f>
        <v>378</v>
      </c>
      <c r="J2644">
        <f t="shared" si="209"/>
        <v>2642</v>
      </c>
      <c r="K2644">
        <f>IF(calendar[[#This Row],[Month]]&lt;4,1,IF(calendar[[#This Row],[Month]]&lt;7,2,IF(calendar[[#This Row],[Month]]&lt;10,3,4)))</f>
        <v>1</v>
      </c>
      <c r="L2644">
        <f>IFERROR(IF(VLOOKUP(calendar[[#This Row],[Date]],BH!A:A,1,)&lt;&gt;"",1,0),0)</f>
        <v>0</v>
      </c>
      <c r="M2644">
        <f>IFERROR(IF(VLOOKUP(calendar[[#This Row],[Date]],BH!C:C,1,)&lt;&gt;"",1,0),0)</f>
        <v>0</v>
      </c>
      <c r="N2644">
        <f>IFERROR(IF(VLOOKUP(calendar[[#This Row],[Date]],BH!E:E,1,)&lt;&gt;"",1,0),0)</f>
        <v>0</v>
      </c>
      <c r="O2644">
        <f>IFERROR(IF(VLOOKUP(calendar[[#This Row],[Date]],BH!G:G,1,)&lt;&gt;"",1,0),0)</f>
        <v>0</v>
      </c>
      <c r="P2644">
        <f>IF(OR(calendar[[#This Row],[UK_BH]]=1,calendar[[#This Row],[WeekDay]]=1, calendar[[#This Row],[WeekDay]]=7),P2643,P2643+1)</f>
        <v>1888</v>
      </c>
      <c r="Q2644">
        <f>IF(OR(calendar[[#This Row],[FR_BH]]=1,calendar[[#This Row],[WeekDay]]=1, calendar[[#This Row],[WeekDay]]=7),P2643,P2643+1)</f>
        <v>1888</v>
      </c>
      <c r="R2644">
        <f>IF(OR(calendar[[#This Row],[SP_BH]]=1,calendar[[#This Row],[WeekDay]]=1, calendar[[#This Row],[WeekDay]]=7),P2643,P2643+1)</f>
        <v>1888</v>
      </c>
      <c r="S2644">
        <f>IF(OR(calendar[[#This Row],[PT_BH]]=1,calendar[[#This Row],[WeekDay]]=1, calendar[[#This Row],[WeekDay]]=7),P2643,P2643+1)</f>
        <v>1888</v>
      </c>
    </row>
    <row r="2645" spans="1:19" x14ac:dyDescent="0.25">
      <c r="A2645" s="2">
        <v>45379</v>
      </c>
      <c r="B2645" s="1">
        <f t="shared" si="208"/>
        <v>13</v>
      </c>
      <c r="C2645">
        <f t="shared" si="210"/>
        <v>3</v>
      </c>
      <c r="D2645" t="str">
        <f t="shared" si="211"/>
        <v>March</v>
      </c>
      <c r="E2645">
        <f t="shared" si="212"/>
        <v>2024</v>
      </c>
      <c r="F2645" t="str">
        <f>CONCATENATE(calendar[[#This Row],[Month]],"/",calendar[[#This Row],[Year]])</f>
        <v>3/2024</v>
      </c>
      <c r="G2645">
        <f>WEEKDAY(calendar[[#This Row],[Date]],1)</f>
        <v>5</v>
      </c>
      <c r="H2645" t="str">
        <f>TEXT(calendar[[#This Row],[WeekDay]],"dddd")</f>
        <v>Thursday</v>
      </c>
      <c r="I2645">
        <f>IF((INT(calendar[[#This Row],[Count]]/7)-calendar[[#This Row],[Count]]/7)&lt;0,I2644,I2644+1)</f>
        <v>378</v>
      </c>
      <c r="J2645">
        <f t="shared" si="209"/>
        <v>2643</v>
      </c>
      <c r="K2645">
        <f>IF(calendar[[#This Row],[Month]]&lt;4,1,IF(calendar[[#This Row],[Month]]&lt;7,2,IF(calendar[[#This Row],[Month]]&lt;10,3,4)))</f>
        <v>1</v>
      </c>
      <c r="L2645">
        <f>IFERROR(IF(VLOOKUP(calendar[[#This Row],[Date]],BH!A:A,1,)&lt;&gt;"",1,0),0)</f>
        <v>0</v>
      </c>
      <c r="M2645">
        <f>IFERROR(IF(VLOOKUP(calendar[[#This Row],[Date]],BH!C:C,1,)&lt;&gt;"",1,0),0)</f>
        <v>0</v>
      </c>
      <c r="N2645">
        <f>IFERROR(IF(VLOOKUP(calendar[[#This Row],[Date]],BH!E:E,1,)&lt;&gt;"",1,0),0)</f>
        <v>0</v>
      </c>
      <c r="O2645">
        <f>IFERROR(IF(VLOOKUP(calendar[[#This Row],[Date]],BH!G:G,1,)&lt;&gt;"",1,0),0)</f>
        <v>0</v>
      </c>
      <c r="P2645">
        <f>IF(OR(calendar[[#This Row],[UK_BH]]=1,calendar[[#This Row],[WeekDay]]=1, calendar[[#This Row],[WeekDay]]=7),P2644,P2644+1)</f>
        <v>1889</v>
      </c>
      <c r="Q2645">
        <f>IF(OR(calendar[[#This Row],[FR_BH]]=1,calendar[[#This Row],[WeekDay]]=1, calendar[[#This Row],[WeekDay]]=7),P2644,P2644+1)</f>
        <v>1889</v>
      </c>
      <c r="R2645">
        <f>IF(OR(calendar[[#This Row],[SP_BH]]=1,calendar[[#This Row],[WeekDay]]=1, calendar[[#This Row],[WeekDay]]=7),P2644,P2644+1)</f>
        <v>1889</v>
      </c>
      <c r="S2645">
        <f>IF(OR(calendar[[#This Row],[PT_BH]]=1,calendar[[#This Row],[WeekDay]]=1, calendar[[#This Row],[WeekDay]]=7),P2644,P2644+1)</f>
        <v>1889</v>
      </c>
    </row>
    <row r="2646" spans="1:19" x14ac:dyDescent="0.25">
      <c r="A2646" s="2">
        <v>45380</v>
      </c>
      <c r="B2646" s="1">
        <f t="shared" si="208"/>
        <v>13</v>
      </c>
      <c r="C2646">
        <f t="shared" si="210"/>
        <v>3</v>
      </c>
      <c r="D2646" t="str">
        <f t="shared" si="211"/>
        <v>March</v>
      </c>
      <c r="E2646">
        <f t="shared" si="212"/>
        <v>2024</v>
      </c>
      <c r="F2646" t="str">
        <f>CONCATENATE(calendar[[#This Row],[Month]],"/",calendar[[#This Row],[Year]])</f>
        <v>3/2024</v>
      </c>
      <c r="G2646">
        <f>WEEKDAY(calendar[[#This Row],[Date]],1)</f>
        <v>6</v>
      </c>
      <c r="H2646" t="str">
        <f>TEXT(calendar[[#This Row],[WeekDay]],"dddd")</f>
        <v>Friday</v>
      </c>
      <c r="I2646">
        <f>IF((INT(calendar[[#This Row],[Count]]/7)-calendar[[#This Row],[Count]]/7)&lt;0,I2645,I2645+1)</f>
        <v>378</v>
      </c>
      <c r="J2646">
        <f t="shared" si="209"/>
        <v>2644</v>
      </c>
      <c r="K2646">
        <f>IF(calendar[[#This Row],[Month]]&lt;4,1,IF(calendar[[#This Row],[Month]]&lt;7,2,IF(calendar[[#This Row],[Month]]&lt;10,3,4)))</f>
        <v>1</v>
      </c>
      <c r="L2646">
        <f>IFERROR(IF(VLOOKUP(calendar[[#This Row],[Date]],BH!A:A,1,)&lt;&gt;"",1,0),0)</f>
        <v>0</v>
      </c>
      <c r="M2646">
        <f>IFERROR(IF(VLOOKUP(calendar[[#This Row],[Date]],BH!C:C,1,)&lt;&gt;"",1,0),0)</f>
        <v>0</v>
      </c>
      <c r="N2646">
        <f>IFERROR(IF(VLOOKUP(calendar[[#This Row],[Date]],BH!E:E,1,)&lt;&gt;"",1,0),0)</f>
        <v>0</v>
      </c>
      <c r="O2646">
        <f>IFERROR(IF(VLOOKUP(calendar[[#This Row],[Date]],BH!G:G,1,)&lt;&gt;"",1,0),0)</f>
        <v>0</v>
      </c>
      <c r="P2646">
        <f>IF(OR(calendar[[#This Row],[UK_BH]]=1,calendar[[#This Row],[WeekDay]]=1, calendar[[#This Row],[WeekDay]]=7),P2645,P2645+1)</f>
        <v>1890</v>
      </c>
      <c r="Q2646">
        <f>IF(OR(calendar[[#This Row],[FR_BH]]=1,calendar[[#This Row],[WeekDay]]=1, calendar[[#This Row],[WeekDay]]=7),P2645,P2645+1)</f>
        <v>1890</v>
      </c>
      <c r="R2646">
        <f>IF(OR(calendar[[#This Row],[SP_BH]]=1,calendar[[#This Row],[WeekDay]]=1, calendar[[#This Row],[WeekDay]]=7),P2645,P2645+1)</f>
        <v>1890</v>
      </c>
      <c r="S2646">
        <f>IF(OR(calendar[[#This Row],[PT_BH]]=1,calendar[[#This Row],[WeekDay]]=1, calendar[[#This Row],[WeekDay]]=7),P2645,P2645+1)</f>
        <v>1890</v>
      </c>
    </row>
    <row r="2647" spans="1:19" x14ac:dyDescent="0.25">
      <c r="A2647" s="2">
        <v>45381</v>
      </c>
      <c r="B2647" s="1">
        <f t="shared" si="208"/>
        <v>13</v>
      </c>
      <c r="C2647">
        <f t="shared" si="210"/>
        <v>3</v>
      </c>
      <c r="D2647" t="str">
        <f t="shared" si="211"/>
        <v>March</v>
      </c>
      <c r="E2647">
        <f t="shared" si="212"/>
        <v>2024</v>
      </c>
      <c r="F2647" t="str">
        <f>CONCATENATE(calendar[[#This Row],[Month]],"/",calendar[[#This Row],[Year]])</f>
        <v>3/2024</v>
      </c>
      <c r="G2647">
        <f>WEEKDAY(calendar[[#This Row],[Date]],1)</f>
        <v>7</v>
      </c>
      <c r="H2647" t="str">
        <f>TEXT(calendar[[#This Row],[WeekDay]],"dddd")</f>
        <v>Saturday</v>
      </c>
      <c r="I2647">
        <f>IF((INT(calendar[[#This Row],[Count]]/7)-calendar[[#This Row],[Count]]/7)&lt;0,I2646,I2646+1)</f>
        <v>378</v>
      </c>
      <c r="J2647">
        <f t="shared" si="209"/>
        <v>2645</v>
      </c>
      <c r="K2647">
        <f>IF(calendar[[#This Row],[Month]]&lt;4,1,IF(calendar[[#This Row],[Month]]&lt;7,2,IF(calendar[[#This Row],[Month]]&lt;10,3,4)))</f>
        <v>1</v>
      </c>
      <c r="L2647">
        <f>IFERROR(IF(VLOOKUP(calendar[[#This Row],[Date]],BH!A:A,1,)&lt;&gt;"",1,0),0)</f>
        <v>0</v>
      </c>
      <c r="M2647">
        <f>IFERROR(IF(VLOOKUP(calendar[[#This Row],[Date]],BH!C:C,1,)&lt;&gt;"",1,0),0)</f>
        <v>0</v>
      </c>
      <c r="N2647">
        <f>IFERROR(IF(VLOOKUP(calendar[[#This Row],[Date]],BH!E:E,1,)&lt;&gt;"",1,0),0)</f>
        <v>0</v>
      </c>
      <c r="O2647">
        <f>IFERROR(IF(VLOOKUP(calendar[[#This Row],[Date]],BH!G:G,1,)&lt;&gt;"",1,0),0)</f>
        <v>0</v>
      </c>
      <c r="P2647">
        <f>IF(OR(calendar[[#This Row],[UK_BH]]=1,calendar[[#This Row],[WeekDay]]=1, calendar[[#This Row],[WeekDay]]=7),P2646,P2646+1)</f>
        <v>1890</v>
      </c>
      <c r="Q2647">
        <f>IF(OR(calendar[[#This Row],[FR_BH]]=1,calendar[[#This Row],[WeekDay]]=1, calendar[[#This Row],[WeekDay]]=7),P2646,P2646+1)</f>
        <v>1890</v>
      </c>
      <c r="R2647">
        <f>IF(OR(calendar[[#This Row],[SP_BH]]=1,calendar[[#This Row],[WeekDay]]=1, calendar[[#This Row],[WeekDay]]=7),P2646,P2646+1)</f>
        <v>1890</v>
      </c>
      <c r="S2647">
        <f>IF(OR(calendar[[#This Row],[PT_BH]]=1,calendar[[#This Row],[WeekDay]]=1, calendar[[#This Row],[WeekDay]]=7),P2646,P2646+1)</f>
        <v>1890</v>
      </c>
    </row>
    <row r="2648" spans="1:19" x14ac:dyDescent="0.25">
      <c r="A2648" s="2">
        <v>45382</v>
      </c>
      <c r="B2648" s="1">
        <f t="shared" si="208"/>
        <v>14</v>
      </c>
      <c r="C2648">
        <f t="shared" si="210"/>
        <v>3</v>
      </c>
      <c r="D2648" t="str">
        <f t="shared" si="211"/>
        <v>March</v>
      </c>
      <c r="E2648">
        <f t="shared" si="212"/>
        <v>2024</v>
      </c>
      <c r="F2648" t="str">
        <f>CONCATENATE(calendar[[#This Row],[Month]],"/",calendar[[#This Row],[Year]])</f>
        <v>3/2024</v>
      </c>
      <c r="G2648">
        <f>WEEKDAY(calendar[[#This Row],[Date]],1)</f>
        <v>1</v>
      </c>
      <c r="H2648" t="str">
        <f>TEXT(calendar[[#This Row],[WeekDay]],"dddd")</f>
        <v>Sunday</v>
      </c>
      <c r="I2648">
        <f>IF((INT(calendar[[#This Row],[Count]]/7)-calendar[[#This Row],[Count]]/7)&lt;0,I2647,I2647+1)</f>
        <v>379</v>
      </c>
      <c r="J2648">
        <f t="shared" si="209"/>
        <v>2646</v>
      </c>
      <c r="K2648">
        <f>IF(calendar[[#This Row],[Month]]&lt;4,1,IF(calendar[[#This Row],[Month]]&lt;7,2,IF(calendar[[#This Row],[Month]]&lt;10,3,4)))</f>
        <v>1</v>
      </c>
      <c r="L2648">
        <f>IFERROR(IF(VLOOKUP(calendar[[#This Row],[Date]],BH!A:A,1,)&lt;&gt;"",1,0),0)</f>
        <v>0</v>
      </c>
      <c r="M2648">
        <f>IFERROR(IF(VLOOKUP(calendar[[#This Row],[Date]],BH!C:C,1,)&lt;&gt;"",1,0),0)</f>
        <v>0</v>
      </c>
      <c r="N2648">
        <f>IFERROR(IF(VLOOKUP(calendar[[#This Row],[Date]],BH!E:E,1,)&lt;&gt;"",1,0),0)</f>
        <v>0</v>
      </c>
      <c r="O2648">
        <f>IFERROR(IF(VLOOKUP(calendar[[#This Row],[Date]],BH!G:G,1,)&lt;&gt;"",1,0),0)</f>
        <v>0</v>
      </c>
      <c r="P2648">
        <f>IF(OR(calendar[[#This Row],[UK_BH]]=1,calendar[[#This Row],[WeekDay]]=1, calendar[[#This Row],[WeekDay]]=7),P2647,P2647+1)</f>
        <v>1890</v>
      </c>
      <c r="Q2648">
        <f>IF(OR(calendar[[#This Row],[FR_BH]]=1,calendar[[#This Row],[WeekDay]]=1, calendar[[#This Row],[WeekDay]]=7),P2647,P2647+1)</f>
        <v>1890</v>
      </c>
      <c r="R2648">
        <f>IF(OR(calendar[[#This Row],[SP_BH]]=1,calendar[[#This Row],[WeekDay]]=1, calendar[[#This Row],[WeekDay]]=7),P2647,P2647+1)</f>
        <v>1890</v>
      </c>
      <c r="S2648">
        <f>IF(OR(calendar[[#This Row],[PT_BH]]=1,calendar[[#This Row],[WeekDay]]=1, calendar[[#This Row],[WeekDay]]=7),P2647,P2647+1)</f>
        <v>1890</v>
      </c>
    </row>
    <row r="2649" spans="1:19" x14ac:dyDescent="0.25">
      <c r="A2649" s="2">
        <v>45383</v>
      </c>
      <c r="B2649" s="1">
        <f t="shared" si="208"/>
        <v>14</v>
      </c>
      <c r="C2649">
        <f t="shared" si="210"/>
        <v>4</v>
      </c>
      <c r="D2649" t="str">
        <f t="shared" si="211"/>
        <v>April</v>
      </c>
      <c r="E2649">
        <f t="shared" si="212"/>
        <v>2024</v>
      </c>
      <c r="F2649" t="str">
        <f>CONCATENATE(calendar[[#This Row],[Month]],"/",calendar[[#This Row],[Year]])</f>
        <v>4/2024</v>
      </c>
      <c r="G2649">
        <f>WEEKDAY(calendar[[#This Row],[Date]],1)</f>
        <v>2</v>
      </c>
      <c r="H2649" t="str">
        <f>TEXT(calendar[[#This Row],[WeekDay]],"dddd")</f>
        <v>Monday</v>
      </c>
      <c r="I2649">
        <f>IF((INT(calendar[[#This Row],[Count]]/7)-calendar[[#This Row],[Count]]/7)&lt;0,I2648,I2648+1)</f>
        <v>379</v>
      </c>
      <c r="J2649">
        <f t="shared" si="209"/>
        <v>2647</v>
      </c>
      <c r="K2649">
        <f>IF(calendar[[#This Row],[Month]]&lt;4,1,IF(calendar[[#This Row],[Month]]&lt;7,2,IF(calendar[[#This Row],[Month]]&lt;10,3,4)))</f>
        <v>2</v>
      </c>
      <c r="L2649">
        <f>IFERROR(IF(VLOOKUP(calendar[[#This Row],[Date]],BH!A:A,1,)&lt;&gt;"",1,0),0)</f>
        <v>0</v>
      </c>
      <c r="M2649">
        <f>IFERROR(IF(VLOOKUP(calendar[[#This Row],[Date]],BH!C:C,1,)&lt;&gt;"",1,0),0)</f>
        <v>0</v>
      </c>
      <c r="N2649">
        <f>IFERROR(IF(VLOOKUP(calendar[[#This Row],[Date]],BH!E:E,1,)&lt;&gt;"",1,0),0)</f>
        <v>0</v>
      </c>
      <c r="O2649">
        <f>IFERROR(IF(VLOOKUP(calendar[[#This Row],[Date]],BH!G:G,1,)&lt;&gt;"",1,0),0)</f>
        <v>0</v>
      </c>
      <c r="P2649">
        <f>IF(OR(calendar[[#This Row],[UK_BH]]=1,calendar[[#This Row],[WeekDay]]=1, calendar[[#This Row],[WeekDay]]=7),P2648,P2648+1)</f>
        <v>1891</v>
      </c>
      <c r="Q2649">
        <f>IF(OR(calendar[[#This Row],[FR_BH]]=1,calendar[[#This Row],[WeekDay]]=1, calendar[[#This Row],[WeekDay]]=7),P2648,P2648+1)</f>
        <v>1891</v>
      </c>
      <c r="R2649">
        <f>IF(OR(calendar[[#This Row],[SP_BH]]=1,calendar[[#This Row],[WeekDay]]=1, calendar[[#This Row],[WeekDay]]=7),P2648,P2648+1)</f>
        <v>1891</v>
      </c>
      <c r="S2649">
        <f>IF(OR(calendar[[#This Row],[PT_BH]]=1,calendar[[#This Row],[WeekDay]]=1, calendar[[#This Row],[WeekDay]]=7),P2648,P2648+1)</f>
        <v>1891</v>
      </c>
    </row>
    <row r="2650" spans="1:19" x14ac:dyDescent="0.25">
      <c r="A2650" s="2">
        <v>45384</v>
      </c>
      <c r="B2650" s="1">
        <f t="shared" si="208"/>
        <v>14</v>
      </c>
      <c r="C2650">
        <f t="shared" si="210"/>
        <v>4</v>
      </c>
      <c r="D2650" t="str">
        <f t="shared" si="211"/>
        <v>April</v>
      </c>
      <c r="E2650">
        <f t="shared" si="212"/>
        <v>2024</v>
      </c>
      <c r="F2650" t="str">
        <f>CONCATENATE(calendar[[#This Row],[Month]],"/",calendar[[#This Row],[Year]])</f>
        <v>4/2024</v>
      </c>
      <c r="G2650">
        <f>WEEKDAY(calendar[[#This Row],[Date]],1)</f>
        <v>3</v>
      </c>
      <c r="H2650" t="str">
        <f>TEXT(calendar[[#This Row],[WeekDay]],"dddd")</f>
        <v>Tuesday</v>
      </c>
      <c r="I2650">
        <f>IF((INT(calendar[[#This Row],[Count]]/7)-calendar[[#This Row],[Count]]/7)&lt;0,I2649,I2649+1)</f>
        <v>379</v>
      </c>
      <c r="J2650">
        <f t="shared" si="209"/>
        <v>2648</v>
      </c>
      <c r="K2650">
        <f>IF(calendar[[#This Row],[Month]]&lt;4,1,IF(calendar[[#This Row],[Month]]&lt;7,2,IF(calendar[[#This Row],[Month]]&lt;10,3,4)))</f>
        <v>2</v>
      </c>
      <c r="L2650">
        <f>IFERROR(IF(VLOOKUP(calendar[[#This Row],[Date]],BH!A:A,1,)&lt;&gt;"",1,0),0)</f>
        <v>0</v>
      </c>
      <c r="M2650">
        <f>IFERROR(IF(VLOOKUP(calendar[[#This Row],[Date]],BH!C:C,1,)&lt;&gt;"",1,0),0)</f>
        <v>0</v>
      </c>
      <c r="N2650">
        <f>IFERROR(IF(VLOOKUP(calendar[[#This Row],[Date]],BH!E:E,1,)&lt;&gt;"",1,0),0)</f>
        <v>0</v>
      </c>
      <c r="O2650">
        <f>IFERROR(IF(VLOOKUP(calendar[[#This Row],[Date]],BH!G:G,1,)&lt;&gt;"",1,0),0)</f>
        <v>0</v>
      </c>
      <c r="P2650">
        <f>IF(OR(calendar[[#This Row],[UK_BH]]=1,calendar[[#This Row],[WeekDay]]=1, calendar[[#This Row],[WeekDay]]=7),P2649,P2649+1)</f>
        <v>1892</v>
      </c>
      <c r="Q2650">
        <f>IF(OR(calendar[[#This Row],[FR_BH]]=1,calendar[[#This Row],[WeekDay]]=1, calendar[[#This Row],[WeekDay]]=7),P2649,P2649+1)</f>
        <v>1892</v>
      </c>
      <c r="R2650">
        <f>IF(OR(calendar[[#This Row],[SP_BH]]=1,calendar[[#This Row],[WeekDay]]=1, calendar[[#This Row],[WeekDay]]=7),P2649,P2649+1)</f>
        <v>1892</v>
      </c>
      <c r="S2650">
        <f>IF(OR(calendar[[#This Row],[PT_BH]]=1,calendar[[#This Row],[WeekDay]]=1, calendar[[#This Row],[WeekDay]]=7),P2649,P2649+1)</f>
        <v>1892</v>
      </c>
    </row>
    <row r="2651" spans="1:19" x14ac:dyDescent="0.25">
      <c r="A2651" s="2">
        <v>45385</v>
      </c>
      <c r="B2651" s="1">
        <f t="shared" si="208"/>
        <v>14</v>
      </c>
      <c r="C2651">
        <f t="shared" si="210"/>
        <v>4</v>
      </c>
      <c r="D2651" t="str">
        <f t="shared" si="211"/>
        <v>April</v>
      </c>
      <c r="E2651">
        <f t="shared" si="212"/>
        <v>2024</v>
      </c>
      <c r="F2651" t="str">
        <f>CONCATENATE(calendar[[#This Row],[Month]],"/",calendar[[#This Row],[Year]])</f>
        <v>4/2024</v>
      </c>
      <c r="G2651">
        <f>WEEKDAY(calendar[[#This Row],[Date]],1)</f>
        <v>4</v>
      </c>
      <c r="H2651" t="str">
        <f>TEXT(calendar[[#This Row],[WeekDay]],"dddd")</f>
        <v>Wednesday</v>
      </c>
      <c r="I2651">
        <f>IF((INT(calendar[[#This Row],[Count]]/7)-calendar[[#This Row],[Count]]/7)&lt;0,I2650,I2650+1)</f>
        <v>379</v>
      </c>
      <c r="J2651">
        <f t="shared" si="209"/>
        <v>2649</v>
      </c>
      <c r="K2651">
        <f>IF(calendar[[#This Row],[Month]]&lt;4,1,IF(calendar[[#This Row],[Month]]&lt;7,2,IF(calendar[[#This Row],[Month]]&lt;10,3,4)))</f>
        <v>2</v>
      </c>
      <c r="L2651">
        <f>IFERROR(IF(VLOOKUP(calendar[[#This Row],[Date]],BH!A:A,1,)&lt;&gt;"",1,0),0)</f>
        <v>0</v>
      </c>
      <c r="M2651">
        <f>IFERROR(IF(VLOOKUP(calendar[[#This Row],[Date]],BH!C:C,1,)&lt;&gt;"",1,0),0)</f>
        <v>0</v>
      </c>
      <c r="N2651">
        <f>IFERROR(IF(VLOOKUP(calendar[[#This Row],[Date]],BH!E:E,1,)&lt;&gt;"",1,0),0)</f>
        <v>0</v>
      </c>
      <c r="O2651">
        <f>IFERROR(IF(VLOOKUP(calendar[[#This Row],[Date]],BH!G:G,1,)&lt;&gt;"",1,0),0)</f>
        <v>0</v>
      </c>
      <c r="P2651">
        <f>IF(OR(calendar[[#This Row],[UK_BH]]=1,calendar[[#This Row],[WeekDay]]=1, calendar[[#This Row],[WeekDay]]=7),P2650,P2650+1)</f>
        <v>1893</v>
      </c>
      <c r="Q2651">
        <f>IF(OR(calendar[[#This Row],[FR_BH]]=1,calendar[[#This Row],[WeekDay]]=1, calendar[[#This Row],[WeekDay]]=7),P2650,P2650+1)</f>
        <v>1893</v>
      </c>
      <c r="R2651">
        <f>IF(OR(calendar[[#This Row],[SP_BH]]=1,calendar[[#This Row],[WeekDay]]=1, calendar[[#This Row],[WeekDay]]=7),P2650,P2650+1)</f>
        <v>1893</v>
      </c>
      <c r="S2651">
        <f>IF(OR(calendar[[#This Row],[PT_BH]]=1,calendar[[#This Row],[WeekDay]]=1, calendar[[#This Row],[WeekDay]]=7),P2650,P2650+1)</f>
        <v>1893</v>
      </c>
    </row>
    <row r="2652" spans="1:19" x14ac:dyDescent="0.25">
      <c r="A2652" s="2">
        <v>45386</v>
      </c>
      <c r="B2652" s="1">
        <f t="shared" si="208"/>
        <v>14</v>
      </c>
      <c r="C2652">
        <f t="shared" si="210"/>
        <v>4</v>
      </c>
      <c r="D2652" t="str">
        <f t="shared" si="211"/>
        <v>April</v>
      </c>
      <c r="E2652">
        <f t="shared" si="212"/>
        <v>2024</v>
      </c>
      <c r="F2652" t="str">
        <f>CONCATENATE(calendar[[#This Row],[Month]],"/",calendar[[#This Row],[Year]])</f>
        <v>4/2024</v>
      </c>
      <c r="G2652">
        <f>WEEKDAY(calendar[[#This Row],[Date]],1)</f>
        <v>5</v>
      </c>
      <c r="H2652" t="str">
        <f>TEXT(calendar[[#This Row],[WeekDay]],"dddd")</f>
        <v>Thursday</v>
      </c>
      <c r="I2652">
        <f>IF((INT(calendar[[#This Row],[Count]]/7)-calendar[[#This Row],[Count]]/7)&lt;0,I2651,I2651+1)</f>
        <v>379</v>
      </c>
      <c r="J2652">
        <f t="shared" si="209"/>
        <v>2650</v>
      </c>
      <c r="K2652">
        <f>IF(calendar[[#This Row],[Month]]&lt;4,1,IF(calendar[[#This Row],[Month]]&lt;7,2,IF(calendar[[#This Row],[Month]]&lt;10,3,4)))</f>
        <v>2</v>
      </c>
      <c r="L2652">
        <f>IFERROR(IF(VLOOKUP(calendar[[#This Row],[Date]],BH!A:A,1,)&lt;&gt;"",1,0),0)</f>
        <v>0</v>
      </c>
      <c r="M2652">
        <f>IFERROR(IF(VLOOKUP(calendar[[#This Row],[Date]],BH!C:C,1,)&lt;&gt;"",1,0),0)</f>
        <v>0</v>
      </c>
      <c r="N2652">
        <f>IFERROR(IF(VLOOKUP(calendar[[#This Row],[Date]],BH!E:E,1,)&lt;&gt;"",1,0),0)</f>
        <v>0</v>
      </c>
      <c r="O2652">
        <f>IFERROR(IF(VLOOKUP(calendar[[#This Row],[Date]],BH!G:G,1,)&lt;&gt;"",1,0),0)</f>
        <v>0</v>
      </c>
      <c r="P2652">
        <f>IF(OR(calendar[[#This Row],[UK_BH]]=1,calendar[[#This Row],[WeekDay]]=1, calendar[[#This Row],[WeekDay]]=7),P2651,P2651+1)</f>
        <v>1894</v>
      </c>
      <c r="Q2652">
        <f>IF(OR(calendar[[#This Row],[FR_BH]]=1,calendar[[#This Row],[WeekDay]]=1, calendar[[#This Row],[WeekDay]]=7),P2651,P2651+1)</f>
        <v>1894</v>
      </c>
      <c r="R2652">
        <f>IF(OR(calendar[[#This Row],[SP_BH]]=1,calendar[[#This Row],[WeekDay]]=1, calendar[[#This Row],[WeekDay]]=7),P2651,P2651+1)</f>
        <v>1894</v>
      </c>
      <c r="S2652">
        <f>IF(OR(calendar[[#This Row],[PT_BH]]=1,calendar[[#This Row],[WeekDay]]=1, calendar[[#This Row],[WeekDay]]=7),P2651,P2651+1)</f>
        <v>1894</v>
      </c>
    </row>
    <row r="2653" spans="1:19" x14ac:dyDescent="0.25">
      <c r="A2653" s="2">
        <v>45387</v>
      </c>
      <c r="B2653" s="1">
        <f t="shared" si="208"/>
        <v>14</v>
      </c>
      <c r="C2653">
        <f t="shared" si="210"/>
        <v>4</v>
      </c>
      <c r="D2653" t="str">
        <f t="shared" si="211"/>
        <v>April</v>
      </c>
      <c r="E2653">
        <f t="shared" si="212"/>
        <v>2024</v>
      </c>
      <c r="F2653" t="str">
        <f>CONCATENATE(calendar[[#This Row],[Month]],"/",calendar[[#This Row],[Year]])</f>
        <v>4/2024</v>
      </c>
      <c r="G2653">
        <f>WEEKDAY(calendar[[#This Row],[Date]],1)</f>
        <v>6</v>
      </c>
      <c r="H2653" t="str">
        <f>TEXT(calendar[[#This Row],[WeekDay]],"dddd")</f>
        <v>Friday</v>
      </c>
      <c r="I2653">
        <f>IF((INT(calendar[[#This Row],[Count]]/7)-calendar[[#This Row],[Count]]/7)&lt;0,I2652,I2652+1)</f>
        <v>379</v>
      </c>
      <c r="J2653">
        <f t="shared" si="209"/>
        <v>2651</v>
      </c>
      <c r="K2653">
        <f>IF(calendar[[#This Row],[Month]]&lt;4,1,IF(calendar[[#This Row],[Month]]&lt;7,2,IF(calendar[[#This Row],[Month]]&lt;10,3,4)))</f>
        <v>2</v>
      </c>
      <c r="L2653">
        <f>IFERROR(IF(VLOOKUP(calendar[[#This Row],[Date]],BH!A:A,1,)&lt;&gt;"",1,0),0)</f>
        <v>0</v>
      </c>
      <c r="M2653">
        <f>IFERROR(IF(VLOOKUP(calendar[[#This Row],[Date]],BH!C:C,1,)&lt;&gt;"",1,0),0)</f>
        <v>0</v>
      </c>
      <c r="N2653">
        <f>IFERROR(IF(VLOOKUP(calendar[[#This Row],[Date]],BH!E:E,1,)&lt;&gt;"",1,0),0)</f>
        <v>0</v>
      </c>
      <c r="O2653">
        <f>IFERROR(IF(VLOOKUP(calendar[[#This Row],[Date]],BH!G:G,1,)&lt;&gt;"",1,0),0)</f>
        <v>0</v>
      </c>
      <c r="P2653">
        <f>IF(OR(calendar[[#This Row],[UK_BH]]=1,calendar[[#This Row],[WeekDay]]=1, calendar[[#This Row],[WeekDay]]=7),P2652,P2652+1)</f>
        <v>1895</v>
      </c>
      <c r="Q2653">
        <f>IF(OR(calendar[[#This Row],[FR_BH]]=1,calendar[[#This Row],[WeekDay]]=1, calendar[[#This Row],[WeekDay]]=7),P2652,P2652+1)</f>
        <v>1895</v>
      </c>
      <c r="R2653">
        <f>IF(OR(calendar[[#This Row],[SP_BH]]=1,calendar[[#This Row],[WeekDay]]=1, calendar[[#This Row],[WeekDay]]=7),P2652,P2652+1)</f>
        <v>1895</v>
      </c>
      <c r="S2653">
        <f>IF(OR(calendar[[#This Row],[PT_BH]]=1,calendar[[#This Row],[WeekDay]]=1, calendar[[#This Row],[WeekDay]]=7),P2652,P2652+1)</f>
        <v>1895</v>
      </c>
    </row>
    <row r="2654" spans="1:19" x14ac:dyDescent="0.25">
      <c r="A2654" s="2">
        <v>45388</v>
      </c>
      <c r="B2654" s="1">
        <f t="shared" si="208"/>
        <v>14</v>
      </c>
      <c r="C2654">
        <f t="shared" si="210"/>
        <v>4</v>
      </c>
      <c r="D2654" t="str">
        <f t="shared" si="211"/>
        <v>April</v>
      </c>
      <c r="E2654">
        <f t="shared" si="212"/>
        <v>2024</v>
      </c>
      <c r="F2654" t="str">
        <f>CONCATENATE(calendar[[#This Row],[Month]],"/",calendar[[#This Row],[Year]])</f>
        <v>4/2024</v>
      </c>
      <c r="G2654">
        <f>WEEKDAY(calendar[[#This Row],[Date]],1)</f>
        <v>7</v>
      </c>
      <c r="H2654" t="str">
        <f>TEXT(calendar[[#This Row],[WeekDay]],"dddd")</f>
        <v>Saturday</v>
      </c>
      <c r="I2654">
        <f>IF((INT(calendar[[#This Row],[Count]]/7)-calendar[[#This Row],[Count]]/7)&lt;0,I2653,I2653+1)</f>
        <v>379</v>
      </c>
      <c r="J2654">
        <f t="shared" si="209"/>
        <v>2652</v>
      </c>
      <c r="K2654">
        <f>IF(calendar[[#This Row],[Month]]&lt;4,1,IF(calendar[[#This Row],[Month]]&lt;7,2,IF(calendar[[#This Row],[Month]]&lt;10,3,4)))</f>
        <v>2</v>
      </c>
      <c r="L2654">
        <f>IFERROR(IF(VLOOKUP(calendar[[#This Row],[Date]],BH!A:A,1,)&lt;&gt;"",1,0),0)</f>
        <v>0</v>
      </c>
      <c r="M2654">
        <f>IFERROR(IF(VLOOKUP(calendar[[#This Row],[Date]],BH!C:C,1,)&lt;&gt;"",1,0),0)</f>
        <v>0</v>
      </c>
      <c r="N2654">
        <f>IFERROR(IF(VLOOKUP(calendar[[#This Row],[Date]],BH!E:E,1,)&lt;&gt;"",1,0),0)</f>
        <v>0</v>
      </c>
      <c r="O2654">
        <f>IFERROR(IF(VLOOKUP(calendar[[#This Row],[Date]],BH!G:G,1,)&lt;&gt;"",1,0),0)</f>
        <v>0</v>
      </c>
      <c r="P2654">
        <f>IF(OR(calendar[[#This Row],[UK_BH]]=1,calendar[[#This Row],[WeekDay]]=1, calendar[[#This Row],[WeekDay]]=7),P2653,P2653+1)</f>
        <v>1895</v>
      </c>
      <c r="Q2654">
        <f>IF(OR(calendar[[#This Row],[FR_BH]]=1,calendar[[#This Row],[WeekDay]]=1, calendar[[#This Row],[WeekDay]]=7),P2653,P2653+1)</f>
        <v>1895</v>
      </c>
      <c r="R2654">
        <f>IF(OR(calendar[[#This Row],[SP_BH]]=1,calendar[[#This Row],[WeekDay]]=1, calendar[[#This Row],[WeekDay]]=7),P2653,P2653+1)</f>
        <v>1895</v>
      </c>
      <c r="S2654">
        <f>IF(OR(calendar[[#This Row],[PT_BH]]=1,calendar[[#This Row],[WeekDay]]=1, calendar[[#This Row],[WeekDay]]=7),P2653,P2653+1)</f>
        <v>1895</v>
      </c>
    </row>
    <row r="2655" spans="1:19" x14ac:dyDescent="0.25">
      <c r="A2655" s="2">
        <v>45389</v>
      </c>
      <c r="B2655" s="1">
        <f t="shared" si="208"/>
        <v>15</v>
      </c>
      <c r="C2655">
        <f t="shared" si="210"/>
        <v>4</v>
      </c>
      <c r="D2655" t="str">
        <f t="shared" si="211"/>
        <v>April</v>
      </c>
      <c r="E2655">
        <f t="shared" si="212"/>
        <v>2024</v>
      </c>
      <c r="F2655" t="str">
        <f>CONCATENATE(calendar[[#This Row],[Month]],"/",calendar[[#This Row],[Year]])</f>
        <v>4/2024</v>
      </c>
      <c r="G2655">
        <f>WEEKDAY(calendar[[#This Row],[Date]],1)</f>
        <v>1</v>
      </c>
      <c r="H2655" t="str">
        <f>TEXT(calendar[[#This Row],[WeekDay]],"dddd")</f>
        <v>Sunday</v>
      </c>
      <c r="I2655">
        <f>IF((INT(calendar[[#This Row],[Count]]/7)-calendar[[#This Row],[Count]]/7)&lt;0,I2654,I2654+1)</f>
        <v>380</v>
      </c>
      <c r="J2655">
        <f t="shared" si="209"/>
        <v>2653</v>
      </c>
      <c r="K2655">
        <f>IF(calendar[[#This Row],[Month]]&lt;4,1,IF(calendar[[#This Row],[Month]]&lt;7,2,IF(calendar[[#This Row],[Month]]&lt;10,3,4)))</f>
        <v>2</v>
      </c>
      <c r="L2655">
        <f>IFERROR(IF(VLOOKUP(calendar[[#This Row],[Date]],BH!A:A,1,)&lt;&gt;"",1,0),0)</f>
        <v>0</v>
      </c>
      <c r="M2655">
        <f>IFERROR(IF(VLOOKUP(calendar[[#This Row],[Date]],BH!C:C,1,)&lt;&gt;"",1,0),0)</f>
        <v>0</v>
      </c>
      <c r="N2655">
        <f>IFERROR(IF(VLOOKUP(calendar[[#This Row],[Date]],BH!E:E,1,)&lt;&gt;"",1,0),0)</f>
        <v>0</v>
      </c>
      <c r="O2655">
        <f>IFERROR(IF(VLOOKUP(calendar[[#This Row],[Date]],BH!G:G,1,)&lt;&gt;"",1,0),0)</f>
        <v>0</v>
      </c>
      <c r="P2655">
        <f>IF(OR(calendar[[#This Row],[UK_BH]]=1,calendar[[#This Row],[WeekDay]]=1, calendar[[#This Row],[WeekDay]]=7),P2654,P2654+1)</f>
        <v>1895</v>
      </c>
      <c r="Q2655">
        <f>IF(OR(calendar[[#This Row],[FR_BH]]=1,calendar[[#This Row],[WeekDay]]=1, calendar[[#This Row],[WeekDay]]=7),P2654,P2654+1)</f>
        <v>1895</v>
      </c>
      <c r="R2655">
        <f>IF(OR(calendar[[#This Row],[SP_BH]]=1,calendar[[#This Row],[WeekDay]]=1, calendar[[#This Row],[WeekDay]]=7),P2654,P2654+1)</f>
        <v>1895</v>
      </c>
      <c r="S2655">
        <f>IF(OR(calendar[[#This Row],[PT_BH]]=1,calendar[[#This Row],[WeekDay]]=1, calendar[[#This Row],[WeekDay]]=7),P2654,P2654+1)</f>
        <v>1895</v>
      </c>
    </row>
    <row r="2656" spans="1:19" x14ac:dyDescent="0.25">
      <c r="A2656" s="2">
        <v>45390</v>
      </c>
      <c r="B2656" s="1">
        <f t="shared" si="208"/>
        <v>15</v>
      </c>
      <c r="C2656">
        <f t="shared" si="210"/>
        <v>4</v>
      </c>
      <c r="D2656" t="str">
        <f t="shared" si="211"/>
        <v>April</v>
      </c>
      <c r="E2656">
        <f t="shared" si="212"/>
        <v>2024</v>
      </c>
      <c r="F2656" t="str">
        <f>CONCATENATE(calendar[[#This Row],[Month]],"/",calendar[[#This Row],[Year]])</f>
        <v>4/2024</v>
      </c>
      <c r="G2656">
        <f>WEEKDAY(calendar[[#This Row],[Date]],1)</f>
        <v>2</v>
      </c>
      <c r="H2656" t="str">
        <f>TEXT(calendar[[#This Row],[WeekDay]],"dddd")</f>
        <v>Monday</v>
      </c>
      <c r="I2656">
        <f>IF((INT(calendar[[#This Row],[Count]]/7)-calendar[[#This Row],[Count]]/7)&lt;0,I2655,I2655+1)</f>
        <v>380</v>
      </c>
      <c r="J2656">
        <f t="shared" si="209"/>
        <v>2654</v>
      </c>
      <c r="K2656">
        <f>IF(calendar[[#This Row],[Month]]&lt;4,1,IF(calendar[[#This Row],[Month]]&lt;7,2,IF(calendar[[#This Row],[Month]]&lt;10,3,4)))</f>
        <v>2</v>
      </c>
      <c r="L2656">
        <f>IFERROR(IF(VLOOKUP(calendar[[#This Row],[Date]],BH!A:A,1,)&lt;&gt;"",1,0),0)</f>
        <v>0</v>
      </c>
      <c r="M2656">
        <f>IFERROR(IF(VLOOKUP(calendar[[#This Row],[Date]],BH!C:C,1,)&lt;&gt;"",1,0),0)</f>
        <v>0</v>
      </c>
      <c r="N2656">
        <f>IFERROR(IF(VLOOKUP(calendar[[#This Row],[Date]],BH!E:E,1,)&lt;&gt;"",1,0),0)</f>
        <v>0</v>
      </c>
      <c r="O2656">
        <f>IFERROR(IF(VLOOKUP(calendar[[#This Row],[Date]],BH!G:G,1,)&lt;&gt;"",1,0),0)</f>
        <v>0</v>
      </c>
      <c r="P2656">
        <f>IF(OR(calendar[[#This Row],[UK_BH]]=1,calendar[[#This Row],[WeekDay]]=1, calendar[[#This Row],[WeekDay]]=7),P2655,P2655+1)</f>
        <v>1896</v>
      </c>
      <c r="Q2656">
        <f>IF(OR(calendar[[#This Row],[FR_BH]]=1,calendar[[#This Row],[WeekDay]]=1, calendar[[#This Row],[WeekDay]]=7),P2655,P2655+1)</f>
        <v>1896</v>
      </c>
      <c r="R2656">
        <f>IF(OR(calendar[[#This Row],[SP_BH]]=1,calendar[[#This Row],[WeekDay]]=1, calendar[[#This Row],[WeekDay]]=7),P2655,P2655+1)</f>
        <v>1896</v>
      </c>
      <c r="S2656">
        <f>IF(OR(calendar[[#This Row],[PT_BH]]=1,calendar[[#This Row],[WeekDay]]=1, calendar[[#This Row],[WeekDay]]=7),P2655,P2655+1)</f>
        <v>1896</v>
      </c>
    </row>
    <row r="2657" spans="1:19" x14ac:dyDescent="0.25">
      <c r="A2657" s="2">
        <v>45391</v>
      </c>
      <c r="B2657" s="1">
        <f t="shared" si="208"/>
        <v>15</v>
      </c>
      <c r="C2657">
        <f t="shared" si="210"/>
        <v>4</v>
      </c>
      <c r="D2657" t="str">
        <f t="shared" si="211"/>
        <v>April</v>
      </c>
      <c r="E2657">
        <f t="shared" si="212"/>
        <v>2024</v>
      </c>
      <c r="F2657" t="str">
        <f>CONCATENATE(calendar[[#This Row],[Month]],"/",calendar[[#This Row],[Year]])</f>
        <v>4/2024</v>
      </c>
      <c r="G2657">
        <f>WEEKDAY(calendar[[#This Row],[Date]],1)</f>
        <v>3</v>
      </c>
      <c r="H2657" t="str">
        <f>TEXT(calendar[[#This Row],[WeekDay]],"dddd")</f>
        <v>Tuesday</v>
      </c>
      <c r="I2657">
        <f>IF((INT(calendar[[#This Row],[Count]]/7)-calendar[[#This Row],[Count]]/7)&lt;0,I2656,I2656+1)</f>
        <v>380</v>
      </c>
      <c r="J2657">
        <f t="shared" si="209"/>
        <v>2655</v>
      </c>
      <c r="K2657">
        <f>IF(calendar[[#This Row],[Month]]&lt;4,1,IF(calendar[[#This Row],[Month]]&lt;7,2,IF(calendar[[#This Row],[Month]]&lt;10,3,4)))</f>
        <v>2</v>
      </c>
      <c r="L2657">
        <f>IFERROR(IF(VLOOKUP(calendar[[#This Row],[Date]],BH!A:A,1,)&lt;&gt;"",1,0),0)</f>
        <v>0</v>
      </c>
      <c r="M2657">
        <f>IFERROR(IF(VLOOKUP(calendar[[#This Row],[Date]],BH!C:C,1,)&lt;&gt;"",1,0),0)</f>
        <v>0</v>
      </c>
      <c r="N2657">
        <f>IFERROR(IF(VLOOKUP(calendar[[#This Row],[Date]],BH!E:E,1,)&lt;&gt;"",1,0),0)</f>
        <v>0</v>
      </c>
      <c r="O2657">
        <f>IFERROR(IF(VLOOKUP(calendar[[#This Row],[Date]],BH!G:G,1,)&lt;&gt;"",1,0),0)</f>
        <v>0</v>
      </c>
      <c r="P2657">
        <f>IF(OR(calendar[[#This Row],[UK_BH]]=1,calendar[[#This Row],[WeekDay]]=1, calendar[[#This Row],[WeekDay]]=7),P2656,P2656+1)</f>
        <v>1897</v>
      </c>
      <c r="Q2657">
        <f>IF(OR(calendar[[#This Row],[FR_BH]]=1,calendar[[#This Row],[WeekDay]]=1, calendar[[#This Row],[WeekDay]]=7),P2656,P2656+1)</f>
        <v>1897</v>
      </c>
      <c r="R2657">
        <f>IF(OR(calendar[[#This Row],[SP_BH]]=1,calendar[[#This Row],[WeekDay]]=1, calendar[[#This Row],[WeekDay]]=7),P2656,P2656+1)</f>
        <v>1897</v>
      </c>
      <c r="S2657">
        <f>IF(OR(calendar[[#This Row],[PT_BH]]=1,calendar[[#This Row],[WeekDay]]=1, calendar[[#This Row],[WeekDay]]=7),P2656,P2656+1)</f>
        <v>1897</v>
      </c>
    </row>
    <row r="2658" spans="1:19" x14ac:dyDescent="0.25">
      <c r="A2658" s="2">
        <v>45392</v>
      </c>
      <c r="B2658" s="1">
        <f t="shared" si="208"/>
        <v>15</v>
      </c>
      <c r="C2658">
        <f t="shared" si="210"/>
        <v>4</v>
      </c>
      <c r="D2658" t="str">
        <f t="shared" si="211"/>
        <v>April</v>
      </c>
      <c r="E2658">
        <f t="shared" si="212"/>
        <v>2024</v>
      </c>
      <c r="F2658" t="str">
        <f>CONCATENATE(calendar[[#This Row],[Month]],"/",calendar[[#This Row],[Year]])</f>
        <v>4/2024</v>
      </c>
      <c r="G2658">
        <f>WEEKDAY(calendar[[#This Row],[Date]],1)</f>
        <v>4</v>
      </c>
      <c r="H2658" t="str">
        <f>TEXT(calendar[[#This Row],[WeekDay]],"dddd")</f>
        <v>Wednesday</v>
      </c>
      <c r="I2658">
        <f>IF((INT(calendar[[#This Row],[Count]]/7)-calendar[[#This Row],[Count]]/7)&lt;0,I2657,I2657+1)</f>
        <v>380</v>
      </c>
      <c r="J2658">
        <f t="shared" si="209"/>
        <v>2656</v>
      </c>
      <c r="K2658">
        <f>IF(calendar[[#This Row],[Month]]&lt;4,1,IF(calendar[[#This Row],[Month]]&lt;7,2,IF(calendar[[#This Row],[Month]]&lt;10,3,4)))</f>
        <v>2</v>
      </c>
      <c r="L2658">
        <f>IFERROR(IF(VLOOKUP(calendar[[#This Row],[Date]],BH!A:A,1,)&lt;&gt;"",1,0),0)</f>
        <v>0</v>
      </c>
      <c r="M2658">
        <f>IFERROR(IF(VLOOKUP(calendar[[#This Row],[Date]],BH!C:C,1,)&lt;&gt;"",1,0),0)</f>
        <v>0</v>
      </c>
      <c r="N2658">
        <f>IFERROR(IF(VLOOKUP(calendar[[#This Row],[Date]],BH!E:E,1,)&lt;&gt;"",1,0),0)</f>
        <v>0</v>
      </c>
      <c r="O2658">
        <f>IFERROR(IF(VLOOKUP(calendar[[#This Row],[Date]],BH!G:G,1,)&lt;&gt;"",1,0),0)</f>
        <v>0</v>
      </c>
      <c r="P2658">
        <f>IF(OR(calendar[[#This Row],[UK_BH]]=1,calendar[[#This Row],[WeekDay]]=1, calendar[[#This Row],[WeekDay]]=7),P2657,P2657+1)</f>
        <v>1898</v>
      </c>
      <c r="Q2658">
        <f>IF(OR(calendar[[#This Row],[FR_BH]]=1,calendar[[#This Row],[WeekDay]]=1, calendar[[#This Row],[WeekDay]]=7),P2657,P2657+1)</f>
        <v>1898</v>
      </c>
      <c r="R2658">
        <f>IF(OR(calendar[[#This Row],[SP_BH]]=1,calendar[[#This Row],[WeekDay]]=1, calendar[[#This Row],[WeekDay]]=7),P2657,P2657+1)</f>
        <v>1898</v>
      </c>
      <c r="S2658">
        <f>IF(OR(calendar[[#This Row],[PT_BH]]=1,calendar[[#This Row],[WeekDay]]=1, calendar[[#This Row],[WeekDay]]=7),P2657,P2657+1)</f>
        <v>1898</v>
      </c>
    </row>
    <row r="2659" spans="1:19" x14ac:dyDescent="0.25">
      <c r="A2659" s="2">
        <v>45393</v>
      </c>
      <c r="B2659" s="1">
        <f t="shared" si="208"/>
        <v>15</v>
      </c>
      <c r="C2659">
        <f t="shared" si="210"/>
        <v>4</v>
      </c>
      <c r="D2659" t="str">
        <f t="shared" si="211"/>
        <v>April</v>
      </c>
      <c r="E2659">
        <f t="shared" si="212"/>
        <v>2024</v>
      </c>
      <c r="F2659" t="str">
        <f>CONCATENATE(calendar[[#This Row],[Month]],"/",calendar[[#This Row],[Year]])</f>
        <v>4/2024</v>
      </c>
      <c r="G2659">
        <f>WEEKDAY(calendar[[#This Row],[Date]],1)</f>
        <v>5</v>
      </c>
      <c r="H2659" t="str">
        <f>TEXT(calendar[[#This Row],[WeekDay]],"dddd")</f>
        <v>Thursday</v>
      </c>
      <c r="I2659">
        <f>IF((INT(calendar[[#This Row],[Count]]/7)-calendar[[#This Row],[Count]]/7)&lt;0,I2658,I2658+1)</f>
        <v>380</v>
      </c>
      <c r="J2659">
        <f t="shared" si="209"/>
        <v>2657</v>
      </c>
      <c r="K2659">
        <f>IF(calendar[[#This Row],[Month]]&lt;4,1,IF(calendar[[#This Row],[Month]]&lt;7,2,IF(calendar[[#This Row],[Month]]&lt;10,3,4)))</f>
        <v>2</v>
      </c>
      <c r="L2659">
        <f>IFERROR(IF(VLOOKUP(calendar[[#This Row],[Date]],BH!A:A,1,)&lt;&gt;"",1,0),0)</f>
        <v>0</v>
      </c>
      <c r="M2659">
        <f>IFERROR(IF(VLOOKUP(calendar[[#This Row],[Date]],BH!C:C,1,)&lt;&gt;"",1,0),0)</f>
        <v>0</v>
      </c>
      <c r="N2659">
        <f>IFERROR(IF(VLOOKUP(calendar[[#This Row],[Date]],BH!E:E,1,)&lt;&gt;"",1,0),0)</f>
        <v>0</v>
      </c>
      <c r="O2659">
        <f>IFERROR(IF(VLOOKUP(calendar[[#This Row],[Date]],BH!G:G,1,)&lt;&gt;"",1,0),0)</f>
        <v>0</v>
      </c>
      <c r="P2659">
        <f>IF(OR(calendar[[#This Row],[UK_BH]]=1,calendar[[#This Row],[WeekDay]]=1, calendar[[#This Row],[WeekDay]]=7),P2658,P2658+1)</f>
        <v>1899</v>
      </c>
      <c r="Q2659">
        <f>IF(OR(calendar[[#This Row],[FR_BH]]=1,calendar[[#This Row],[WeekDay]]=1, calendar[[#This Row],[WeekDay]]=7),P2658,P2658+1)</f>
        <v>1899</v>
      </c>
      <c r="R2659">
        <f>IF(OR(calendar[[#This Row],[SP_BH]]=1,calendar[[#This Row],[WeekDay]]=1, calendar[[#This Row],[WeekDay]]=7),P2658,P2658+1)</f>
        <v>1899</v>
      </c>
      <c r="S2659">
        <f>IF(OR(calendar[[#This Row],[PT_BH]]=1,calendar[[#This Row],[WeekDay]]=1, calendar[[#This Row],[WeekDay]]=7),P2658,P2658+1)</f>
        <v>1899</v>
      </c>
    </row>
    <row r="2660" spans="1:19" x14ac:dyDescent="0.25">
      <c r="A2660" s="2">
        <v>45394</v>
      </c>
      <c r="B2660" s="1">
        <f t="shared" si="208"/>
        <v>15</v>
      </c>
      <c r="C2660">
        <f t="shared" si="210"/>
        <v>4</v>
      </c>
      <c r="D2660" t="str">
        <f t="shared" si="211"/>
        <v>April</v>
      </c>
      <c r="E2660">
        <f t="shared" si="212"/>
        <v>2024</v>
      </c>
      <c r="F2660" t="str">
        <f>CONCATENATE(calendar[[#This Row],[Month]],"/",calendar[[#This Row],[Year]])</f>
        <v>4/2024</v>
      </c>
      <c r="G2660">
        <f>WEEKDAY(calendar[[#This Row],[Date]],1)</f>
        <v>6</v>
      </c>
      <c r="H2660" t="str">
        <f>TEXT(calendar[[#This Row],[WeekDay]],"dddd")</f>
        <v>Friday</v>
      </c>
      <c r="I2660">
        <f>IF((INT(calendar[[#This Row],[Count]]/7)-calendar[[#This Row],[Count]]/7)&lt;0,I2659,I2659+1)</f>
        <v>380</v>
      </c>
      <c r="J2660">
        <f t="shared" si="209"/>
        <v>2658</v>
      </c>
      <c r="K2660">
        <f>IF(calendar[[#This Row],[Month]]&lt;4,1,IF(calendar[[#This Row],[Month]]&lt;7,2,IF(calendar[[#This Row],[Month]]&lt;10,3,4)))</f>
        <v>2</v>
      </c>
      <c r="L2660">
        <f>IFERROR(IF(VLOOKUP(calendar[[#This Row],[Date]],BH!A:A,1,)&lt;&gt;"",1,0),0)</f>
        <v>0</v>
      </c>
      <c r="M2660">
        <f>IFERROR(IF(VLOOKUP(calendar[[#This Row],[Date]],BH!C:C,1,)&lt;&gt;"",1,0),0)</f>
        <v>0</v>
      </c>
      <c r="N2660">
        <f>IFERROR(IF(VLOOKUP(calendar[[#This Row],[Date]],BH!E:E,1,)&lt;&gt;"",1,0),0)</f>
        <v>0</v>
      </c>
      <c r="O2660">
        <f>IFERROR(IF(VLOOKUP(calendar[[#This Row],[Date]],BH!G:G,1,)&lt;&gt;"",1,0),0)</f>
        <v>0</v>
      </c>
      <c r="P2660">
        <f>IF(OR(calendar[[#This Row],[UK_BH]]=1,calendar[[#This Row],[WeekDay]]=1, calendar[[#This Row],[WeekDay]]=7),P2659,P2659+1)</f>
        <v>1900</v>
      </c>
      <c r="Q2660">
        <f>IF(OR(calendar[[#This Row],[FR_BH]]=1,calendar[[#This Row],[WeekDay]]=1, calendar[[#This Row],[WeekDay]]=7),P2659,P2659+1)</f>
        <v>1900</v>
      </c>
      <c r="R2660">
        <f>IF(OR(calendar[[#This Row],[SP_BH]]=1,calendar[[#This Row],[WeekDay]]=1, calendar[[#This Row],[WeekDay]]=7),P2659,P2659+1)</f>
        <v>1900</v>
      </c>
      <c r="S2660">
        <f>IF(OR(calendar[[#This Row],[PT_BH]]=1,calendar[[#This Row],[WeekDay]]=1, calendar[[#This Row],[WeekDay]]=7),P2659,P2659+1)</f>
        <v>1900</v>
      </c>
    </row>
    <row r="2661" spans="1:19" x14ac:dyDescent="0.25">
      <c r="A2661" s="2">
        <v>45395</v>
      </c>
      <c r="B2661" s="1">
        <f t="shared" si="208"/>
        <v>15</v>
      </c>
      <c r="C2661">
        <f t="shared" si="210"/>
        <v>4</v>
      </c>
      <c r="D2661" t="str">
        <f t="shared" si="211"/>
        <v>April</v>
      </c>
      <c r="E2661">
        <f t="shared" si="212"/>
        <v>2024</v>
      </c>
      <c r="F2661" t="str">
        <f>CONCATENATE(calendar[[#This Row],[Month]],"/",calendar[[#This Row],[Year]])</f>
        <v>4/2024</v>
      </c>
      <c r="G2661">
        <f>WEEKDAY(calendar[[#This Row],[Date]],1)</f>
        <v>7</v>
      </c>
      <c r="H2661" t="str">
        <f>TEXT(calendar[[#This Row],[WeekDay]],"dddd")</f>
        <v>Saturday</v>
      </c>
      <c r="I2661">
        <f>IF((INT(calendar[[#This Row],[Count]]/7)-calendar[[#This Row],[Count]]/7)&lt;0,I2660,I2660+1)</f>
        <v>380</v>
      </c>
      <c r="J2661">
        <f t="shared" si="209"/>
        <v>2659</v>
      </c>
      <c r="K2661">
        <f>IF(calendar[[#This Row],[Month]]&lt;4,1,IF(calendar[[#This Row],[Month]]&lt;7,2,IF(calendar[[#This Row],[Month]]&lt;10,3,4)))</f>
        <v>2</v>
      </c>
      <c r="L2661">
        <f>IFERROR(IF(VLOOKUP(calendar[[#This Row],[Date]],BH!A:A,1,)&lt;&gt;"",1,0),0)</f>
        <v>0</v>
      </c>
      <c r="M2661">
        <f>IFERROR(IF(VLOOKUP(calendar[[#This Row],[Date]],BH!C:C,1,)&lt;&gt;"",1,0),0)</f>
        <v>0</v>
      </c>
      <c r="N2661">
        <f>IFERROR(IF(VLOOKUP(calendar[[#This Row],[Date]],BH!E:E,1,)&lt;&gt;"",1,0),0)</f>
        <v>0</v>
      </c>
      <c r="O2661">
        <f>IFERROR(IF(VLOOKUP(calendar[[#This Row],[Date]],BH!G:G,1,)&lt;&gt;"",1,0),0)</f>
        <v>0</v>
      </c>
      <c r="P2661">
        <f>IF(OR(calendar[[#This Row],[UK_BH]]=1,calendar[[#This Row],[WeekDay]]=1, calendar[[#This Row],[WeekDay]]=7),P2660,P2660+1)</f>
        <v>1900</v>
      </c>
      <c r="Q2661">
        <f>IF(OR(calendar[[#This Row],[FR_BH]]=1,calendar[[#This Row],[WeekDay]]=1, calendar[[#This Row],[WeekDay]]=7),P2660,P2660+1)</f>
        <v>1900</v>
      </c>
      <c r="R2661">
        <f>IF(OR(calendar[[#This Row],[SP_BH]]=1,calendar[[#This Row],[WeekDay]]=1, calendar[[#This Row],[WeekDay]]=7),P2660,P2660+1)</f>
        <v>1900</v>
      </c>
      <c r="S2661">
        <f>IF(OR(calendar[[#This Row],[PT_BH]]=1,calendar[[#This Row],[WeekDay]]=1, calendar[[#This Row],[WeekDay]]=7),P2660,P2660+1)</f>
        <v>1900</v>
      </c>
    </row>
    <row r="2662" spans="1:19" x14ac:dyDescent="0.25">
      <c r="A2662" s="2">
        <v>45396</v>
      </c>
      <c r="B2662" s="1">
        <f t="shared" si="208"/>
        <v>16</v>
      </c>
      <c r="C2662">
        <f t="shared" si="210"/>
        <v>4</v>
      </c>
      <c r="D2662" t="str">
        <f t="shared" si="211"/>
        <v>April</v>
      </c>
      <c r="E2662">
        <f t="shared" si="212"/>
        <v>2024</v>
      </c>
      <c r="F2662" t="str">
        <f>CONCATENATE(calendar[[#This Row],[Month]],"/",calendar[[#This Row],[Year]])</f>
        <v>4/2024</v>
      </c>
      <c r="G2662">
        <f>WEEKDAY(calendar[[#This Row],[Date]],1)</f>
        <v>1</v>
      </c>
      <c r="H2662" t="str">
        <f>TEXT(calendar[[#This Row],[WeekDay]],"dddd")</f>
        <v>Sunday</v>
      </c>
      <c r="I2662">
        <f>IF((INT(calendar[[#This Row],[Count]]/7)-calendar[[#This Row],[Count]]/7)&lt;0,I2661,I2661+1)</f>
        <v>381</v>
      </c>
      <c r="J2662">
        <f t="shared" si="209"/>
        <v>2660</v>
      </c>
      <c r="K2662">
        <f>IF(calendar[[#This Row],[Month]]&lt;4,1,IF(calendar[[#This Row],[Month]]&lt;7,2,IF(calendar[[#This Row],[Month]]&lt;10,3,4)))</f>
        <v>2</v>
      </c>
      <c r="L2662">
        <f>IFERROR(IF(VLOOKUP(calendar[[#This Row],[Date]],BH!A:A,1,)&lt;&gt;"",1,0),0)</f>
        <v>0</v>
      </c>
      <c r="M2662">
        <f>IFERROR(IF(VLOOKUP(calendar[[#This Row],[Date]],BH!C:C,1,)&lt;&gt;"",1,0),0)</f>
        <v>0</v>
      </c>
      <c r="N2662">
        <f>IFERROR(IF(VLOOKUP(calendar[[#This Row],[Date]],BH!E:E,1,)&lt;&gt;"",1,0),0)</f>
        <v>0</v>
      </c>
      <c r="O2662">
        <f>IFERROR(IF(VLOOKUP(calendar[[#This Row],[Date]],BH!G:G,1,)&lt;&gt;"",1,0),0)</f>
        <v>0</v>
      </c>
      <c r="P2662">
        <f>IF(OR(calendar[[#This Row],[UK_BH]]=1,calendar[[#This Row],[WeekDay]]=1, calendar[[#This Row],[WeekDay]]=7),P2661,P2661+1)</f>
        <v>1900</v>
      </c>
      <c r="Q2662">
        <f>IF(OR(calendar[[#This Row],[FR_BH]]=1,calendar[[#This Row],[WeekDay]]=1, calendar[[#This Row],[WeekDay]]=7),P2661,P2661+1)</f>
        <v>1900</v>
      </c>
      <c r="R2662">
        <f>IF(OR(calendar[[#This Row],[SP_BH]]=1,calendar[[#This Row],[WeekDay]]=1, calendar[[#This Row],[WeekDay]]=7),P2661,P2661+1)</f>
        <v>1900</v>
      </c>
      <c r="S2662">
        <f>IF(OR(calendar[[#This Row],[PT_BH]]=1,calendar[[#This Row],[WeekDay]]=1, calendar[[#This Row],[WeekDay]]=7),P2661,P2661+1)</f>
        <v>1900</v>
      </c>
    </row>
    <row r="2663" spans="1:19" x14ac:dyDescent="0.25">
      <c r="A2663" s="2">
        <v>45397</v>
      </c>
      <c r="B2663" s="1">
        <f t="shared" si="208"/>
        <v>16</v>
      </c>
      <c r="C2663">
        <f t="shared" si="210"/>
        <v>4</v>
      </c>
      <c r="D2663" t="str">
        <f t="shared" si="211"/>
        <v>April</v>
      </c>
      <c r="E2663">
        <f t="shared" si="212"/>
        <v>2024</v>
      </c>
      <c r="F2663" t="str">
        <f>CONCATENATE(calendar[[#This Row],[Month]],"/",calendar[[#This Row],[Year]])</f>
        <v>4/2024</v>
      </c>
      <c r="G2663">
        <f>WEEKDAY(calendar[[#This Row],[Date]],1)</f>
        <v>2</v>
      </c>
      <c r="H2663" t="str">
        <f>TEXT(calendar[[#This Row],[WeekDay]],"dddd")</f>
        <v>Monday</v>
      </c>
      <c r="I2663">
        <f>IF((INT(calendar[[#This Row],[Count]]/7)-calendar[[#This Row],[Count]]/7)&lt;0,I2662,I2662+1)</f>
        <v>381</v>
      </c>
      <c r="J2663">
        <f t="shared" si="209"/>
        <v>2661</v>
      </c>
      <c r="K2663">
        <f>IF(calendar[[#This Row],[Month]]&lt;4,1,IF(calendar[[#This Row],[Month]]&lt;7,2,IF(calendar[[#This Row],[Month]]&lt;10,3,4)))</f>
        <v>2</v>
      </c>
      <c r="L2663">
        <f>IFERROR(IF(VLOOKUP(calendar[[#This Row],[Date]],BH!A:A,1,)&lt;&gt;"",1,0),0)</f>
        <v>0</v>
      </c>
      <c r="M2663">
        <f>IFERROR(IF(VLOOKUP(calendar[[#This Row],[Date]],BH!C:C,1,)&lt;&gt;"",1,0),0)</f>
        <v>0</v>
      </c>
      <c r="N2663">
        <f>IFERROR(IF(VLOOKUP(calendar[[#This Row],[Date]],BH!E:E,1,)&lt;&gt;"",1,0),0)</f>
        <v>0</v>
      </c>
      <c r="O2663">
        <f>IFERROR(IF(VLOOKUP(calendar[[#This Row],[Date]],BH!G:G,1,)&lt;&gt;"",1,0),0)</f>
        <v>0</v>
      </c>
      <c r="P2663">
        <f>IF(OR(calendar[[#This Row],[UK_BH]]=1,calendar[[#This Row],[WeekDay]]=1, calendar[[#This Row],[WeekDay]]=7),P2662,P2662+1)</f>
        <v>1901</v>
      </c>
      <c r="Q2663">
        <f>IF(OR(calendar[[#This Row],[FR_BH]]=1,calendar[[#This Row],[WeekDay]]=1, calendar[[#This Row],[WeekDay]]=7),P2662,P2662+1)</f>
        <v>1901</v>
      </c>
      <c r="R2663">
        <f>IF(OR(calendar[[#This Row],[SP_BH]]=1,calendar[[#This Row],[WeekDay]]=1, calendar[[#This Row],[WeekDay]]=7),P2662,P2662+1)</f>
        <v>1901</v>
      </c>
      <c r="S2663">
        <f>IF(OR(calendar[[#This Row],[PT_BH]]=1,calendar[[#This Row],[WeekDay]]=1, calendar[[#This Row],[WeekDay]]=7),P2662,P2662+1)</f>
        <v>1901</v>
      </c>
    </row>
    <row r="2664" spans="1:19" x14ac:dyDescent="0.25">
      <c r="A2664" s="2">
        <v>45398</v>
      </c>
      <c r="B2664" s="1">
        <f t="shared" si="208"/>
        <v>16</v>
      </c>
      <c r="C2664">
        <f t="shared" si="210"/>
        <v>4</v>
      </c>
      <c r="D2664" t="str">
        <f t="shared" si="211"/>
        <v>April</v>
      </c>
      <c r="E2664">
        <f t="shared" si="212"/>
        <v>2024</v>
      </c>
      <c r="F2664" t="str">
        <f>CONCATENATE(calendar[[#This Row],[Month]],"/",calendar[[#This Row],[Year]])</f>
        <v>4/2024</v>
      </c>
      <c r="G2664">
        <f>WEEKDAY(calendar[[#This Row],[Date]],1)</f>
        <v>3</v>
      </c>
      <c r="H2664" t="str">
        <f>TEXT(calendar[[#This Row],[WeekDay]],"dddd")</f>
        <v>Tuesday</v>
      </c>
      <c r="I2664">
        <f>IF((INT(calendar[[#This Row],[Count]]/7)-calendar[[#This Row],[Count]]/7)&lt;0,I2663,I2663+1)</f>
        <v>381</v>
      </c>
      <c r="J2664">
        <f t="shared" si="209"/>
        <v>2662</v>
      </c>
      <c r="K2664">
        <f>IF(calendar[[#This Row],[Month]]&lt;4,1,IF(calendar[[#This Row],[Month]]&lt;7,2,IF(calendar[[#This Row],[Month]]&lt;10,3,4)))</f>
        <v>2</v>
      </c>
      <c r="L2664">
        <f>IFERROR(IF(VLOOKUP(calendar[[#This Row],[Date]],BH!A:A,1,)&lt;&gt;"",1,0),0)</f>
        <v>0</v>
      </c>
      <c r="M2664">
        <f>IFERROR(IF(VLOOKUP(calendar[[#This Row],[Date]],BH!C:C,1,)&lt;&gt;"",1,0),0)</f>
        <v>0</v>
      </c>
      <c r="N2664">
        <f>IFERROR(IF(VLOOKUP(calendar[[#This Row],[Date]],BH!E:E,1,)&lt;&gt;"",1,0),0)</f>
        <v>0</v>
      </c>
      <c r="O2664">
        <f>IFERROR(IF(VLOOKUP(calendar[[#This Row],[Date]],BH!G:G,1,)&lt;&gt;"",1,0),0)</f>
        <v>0</v>
      </c>
      <c r="P2664">
        <f>IF(OR(calendar[[#This Row],[UK_BH]]=1,calendar[[#This Row],[WeekDay]]=1, calendar[[#This Row],[WeekDay]]=7),P2663,P2663+1)</f>
        <v>1902</v>
      </c>
      <c r="Q2664">
        <f>IF(OR(calendar[[#This Row],[FR_BH]]=1,calendar[[#This Row],[WeekDay]]=1, calendar[[#This Row],[WeekDay]]=7),P2663,P2663+1)</f>
        <v>1902</v>
      </c>
      <c r="R2664">
        <f>IF(OR(calendar[[#This Row],[SP_BH]]=1,calendar[[#This Row],[WeekDay]]=1, calendar[[#This Row],[WeekDay]]=7),P2663,P2663+1)</f>
        <v>1902</v>
      </c>
      <c r="S2664">
        <f>IF(OR(calendar[[#This Row],[PT_BH]]=1,calendar[[#This Row],[WeekDay]]=1, calendar[[#This Row],[WeekDay]]=7),P2663,P2663+1)</f>
        <v>1902</v>
      </c>
    </row>
    <row r="2665" spans="1:19" x14ac:dyDescent="0.25">
      <c r="A2665" s="2">
        <v>45399</v>
      </c>
      <c r="B2665" s="1">
        <f t="shared" si="208"/>
        <v>16</v>
      </c>
      <c r="C2665">
        <f t="shared" si="210"/>
        <v>4</v>
      </c>
      <c r="D2665" t="str">
        <f t="shared" si="211"/>
        <v>April</v>
      </c>
      <c r="E2665">
        <f t="shared" si="212"/>
        <v>2024</v>
      </c>
      <c r="F2665" t="str">
        <f>CONCATENATE(calendar[[#This Row],[Month]],"/",calendar[[#This Row],[Year]])</f>
        <v>4/2024</v>
      </c>
      <c r="G2665">
        <f>WEEKDAY(calendar[[#This Row],[Date]],1)</f>
        <v>4</v>
      </c>
      <c r="H2665" t="str">
        <f>TEXT(calendar[[#This Row],[WeekDay]],"dddd")</f>
        <v>Wednesday</v>
      </c>
      <c r="I2665">
        <f>IF((INT(calendar[[#This Row],[Count]]/7)-calendar[[#This Row],[Count]]/7)&lt;0,I2664,I2664+1)</f>
        <v>381</v>
      </c>
      <c r="J2665">
        <f t="shared" si="209"/>
        <v>2663</v>
      </c>
      <c r="K2665">
        <f>IF(calendar[[#This Row],[Month]]&lt;4,1,IF(calendar[[#This Row],[Month]]&lt;7,2,IF(calendar[[#This Row],[Month]]&lt;10,3,4)))</f>
        <v>2</v>
      </c>
      <c r="L2665">
        <f>IFERROR(IF(VLOOKUP(calendar[[#This Row],[Date]],BH!A:A,1,)&lt;&gt;"",1,0),0)</f>
        <v>0</v>
      </c>
      <c r="M2665">
        <f>IFERROR(IF(VLOOKUP(calendar[[#This Row],[Date]],BH!C:C,1,)&lt;&gt;"",1,0),0)</f>
        <v>0</v>
      </c>
      <c r="N2665">
        <f>IFERROR(IF(VLOOKUP(calendar[[#This Row],[Date]],BH!E:E,1,)&lt;&gt;"",1,0),0)</f>
        <v>0</v>
      </c>
      <c r="O2665">
        <f>IFERROR(IF(VLOOKUP(calendar[[#This Row],[Date]],BH!G:G,1,)&lt;&gt;"",1,0),0)</f>
        <v>0</v>
      </c>
      <c r="P2665">
        <f>IF(OR(calendar[[#This Row],[UK_BH]]=1,calendar[[#This Row],[WeekDay]]=1, calendar[[#This Row],[WeekDay]]=7),P2664,P2664+1)</f>
        <v>1903</v>
      </c>
      <c r="Q2665">
        <f>IF(OR(calendar[[#This Row],[FR_BH]]=1,calendar[[#This Row],[WeekDay]]=1, calendar[[#This Row],[WeekDay]]=7),P2664,P2664+1)</f>
        <v>1903</v>
      </c>
      <c r="R2665">
        <f>IF(OR(calendar[[#This Row],[SP_BH]]=1,calendar[[#This Row],[WeekDay]]=1, calendar[[#This Row],[WeekDay]]=7),P2664,P2664+1)</f>
        <v>1903</v>
      </c>
      <c r="S2665">
        <f>IF(OR(calendar[[#This Row],[PT_BH]]=1,calendar[[#This Row],[WeekDay]]=1, calendar[[#This Row],[WeekDay]]=7),P2664,P2664+1)</f>
        <v>1903</v>
      </c>
    </row>
    <row r="2666" spans="1:19" x14ac:dyDescent="0.25">
      <c r="A2666" s="2">
        <v>45400</v>
      </c>
      <c r="B2666" s="1">
        <f t="shared" si="208"/>
        <v>16</v>
      </c>
      <c r="C2666">
        <f t="shared" si="210"/>
        <v>4</v>
      </c>
      <c r="D2666" t="str">
        <f t="shared" si="211"/>
        <v>April</v>
      </c>
      <c r="E2666">
        <f t="shared" si="212"/>
        <v>2024</v>
      </c>
      <c r="F2666" t="str">
        <f>CONCATENATE(calendar[[#This Row],[Month]],"/",calendar[[#This Row],[Year]])</f>
        <v>4/2024</v>
      </c>
      <c r="G2666">
        <f>WEEKDAY(calendar[[#This Row],[Date]],1)</f>
        <v>5</v>
      </c>
      <c r="H2666" t="str">
        <f>TEXT(calendar[[#This Row],[WeekDay]],"dddd")</f>
        <v>Thursday</v>
      </c>
      <c r="I2666">
        <f>IF((INT(calendar[[#This Row],[Count]]/7)-calendar[[#This Row],[Count]]/7)&lt;0,I2665,I2665+1)</f>
        <v>381</v>
      </c>
      <c r="J2666">
        <f t="shared" si="209"/>
        <v>2664</v>
      </c>
      <c r="K2666">
        <f>IF(calendar[[#This Row],[Month]]&lt;4,1,IF(calendar[[#This Row],[Month]]&lt;7,2,IF(calendar[[#This Row],[Month]]&lt;10,3,4)))</f>
        <v>2</v>
      </c>
      <c r="L2666">
        <f>IFERROR(IF(VLOOKUP(calendar[[#This Row],[Date]],BH!A:A,1,)&lt;&gt;"",1,0),0)</f>
        <v>0</v>
      </c>
      <c r="M2666">
        <f>IFERROR(IF(VLOOKUP(calendar[[#This Row],[Date]],BH!C:C,1,)&lt;&gt;"",1,0),0)</f>
        <v>0</v>
      </c>
      <c r="N2666">
        <f>IFERROR(IF(VLOOKUP(calendar[[#This Row],[Date]],BH!E:E,1,)&lt;&gt;"",1,0),0)</f>
        <v>0</v>
      </c>
      <c r="O2666">
        <f>IFERROR(IF(VLOOKUP(calendar[[#This Row],[Date]],BH!G:G,1,)&lt;&gt;"",1,0),0)</f>
        <v>0</v>
      </c>
      <c r="P2666">
        <f>IF(OR(calendar[[#This Row],[UK_BH]]=1,calendar[[#This Row],[WeekDay]]=1, calendar[[#This Row],[WeekDay]]=7),P2665,P2665+1)</f>
        <v>1904</v>
      </c>
      <c r="Q2666">
        <f>IF(OR(calendar[[#This Row],[FR_BH]]=1,calendar[[#This Row],[WeekDay]]=1, calendar[[#This Row],[WeekDay]]=7),P2665,P2665+1)</f>
        <v>1904</v>
      </c>
      <c r="R2666">
        <f>IF(OR(calendar[[#This Row],[SP_BH]]=1,calendar[[#This Row],[WeekDay]]=1, calendar[[#This Row],[WeekDay]]=7),P2665,P2665+1)</f>
        <v>1904</v>
      </c>
      <c r="S2666">
        <f>IF(OR(calendar[[#This Row],[PT_BH]]=1,calendar[[#This Row],[WeekDay]]=1, calendar[[#This Row],[WeekDay]]=7),P2665,P2665+1)</f>
        <v>1904</v>
      </c>
    </row>
    <row r="2667" spans="1:19" x14ac:dyDescent="0.25">
      <c r="A2667" s="2">
        <v>45401</v>
      </c>
      <c r="B2667" s="1">
        <f t="shared" si="208"/>
        <v>16</v>
      </c>
      <c r="C2667">
        <f t="shared" si="210"/>
        <v>4</v>
      </c>
      <c r="D2667" t="str">
        <f t="shared" si="211"/>
        <v>April</v>
      </c>
      <c r="E2667">
        <f t="shared" si="212"/>
        <v>2024</v>
      </c>
      <c r="F2667" t="str">
        <f>CONCATENATE(calendar[[#This Row],[Month]],"/",calendar[[#This Row],[Year]])</f>
        <v>4/2024</v>
      </c>
      <c r="G2667">
        <f>WEEKDAY(calendar[[#This Row],[Date]],1)</f>
        <v>6</v>
      </c>
      <c r="H2667" t="str">
        <f>TEXT(calendar[[#This Row],[WeekDay]],"dddd")</f>
        <v>Friday</v>
      </c>
      <c r="I2667">
        <f>IF((INT(calendar[[#This Row],[Count]]/7)-calendar[[#This Row],[Count]]/7)&lt;0,I2666,I2666+1)</f>
        <v>381</v>
      </c>
      <c r="J2667">
        <f t="shared" si="209"/>
        <v>2665</v>
      </c>
      <c r="K2667">
        <f>IF(calendar[[#This Row],[Month]]&lt;4,1,IF(calendar[[#This Row],[Month]]&lt;7,2,IF(calendar[[#This Row],[Month]]&lt;10,3,4)))</f>
        <v>2</v>
      </c>
      <c r="L2667">
        <f>IFERROR(IF(VLOOKUP(calendar[[#This Row],[Date]],BH!A:A,1,)&lt;&gt;"",1,0),0)</f>
        <v>0</v>
      </c>
      <c r="M2667">
        <f>IFERROR(IF(VLOOKUP(calendar[[#This Row],[Date]],BH!C:C,1,)&lt;&gt;"",1,0),0)</f>
        <v>0</v>
      </c>
      <c r="N2667">
        <f>IFERROR(IF(VLOOKUP(calendar[[#This Row],[Date]],BH!E:E,1,)&lt;&gt;"",1,0),0)</f>
        <v>0</v>
      </c>
      <c r="O2667">
        <f>IFERROR(IF(VLOOKUP(calendar[[#This Row],[Date]],BH!G:G,1,)&lt;&gt;"",1,0),0)</f>
        <v>0</v>
      </c>
      <c r="P2667">
        <f>IF(OR(calendar[[#This Row],[UK_BH]]=1,calendar[[#This Row],[WeekDay]]=1, calendar[[#This Row],[WeekDay]]=7),P2666,P2666+1)</f>
        <v>1905</v>
      </c>
      <c r="Q2667">
        <f>IF(OR(calendar[[#This Row],[FR_BH]]=1,calendar[[#This Row],[WeekDay]]=1, calendar[[#This Row],[WeekDay]]=7),P2666,P2666+1)</f>
        <v>1905</v>
      </c>
      <c r="R2667">
        <f>IF(OR(calendar[[#This Row],[SP_BH]]=1,calendar[[#This Row],[WeekDay]]=1, calendar[[#This Row],[WeekDay]]=7),P2666,P2666+1)</f>
        <v>1905</v>
      </c>
      <c r="S2667">
        <f>IF(OR(calendar[[#This Row],[PT_BH]]=1,calendar[[#This Row],[WeekDay]]=1, calendar[[#This Row],[WeekDay]]=7),P2666,P2666+1)</f>
        <v>1905</v>
      </c>
    </row>
    <row r="2668" spans="1:19" x14ac:dyDescent="0.25">
      <c r="A2668" s="2">
        <v>45402</v>
      </c>
      <c r="B2668" s="1">
        <f t="shared" si="208"/>
        <v>16</v>
      </c>
      <c r="C2668">
        <f t="shared" si="210"/>
        <v>4</v>
      </c>
      <c r="D2668" t="str">
        <f t="shared" si="211"/>
        <v>April</v>
      </c>
      <c r="E2668">
        <f t="shared" si="212"/>
        <v>2024</v>
      </c>
      <c r="F2668" t="str">
        <f>CONCATENATE(calendar[[#This Row],[Month]],"/",calendar[[#This Row],[Year]])</f>
        <v>4/2024</v>
      </c>
      <c r="G2668">
        <f>WEEKDAY(calendar[[#This Row],[Date]],1)</f>
        <v>7</v>
      </c>
      <c r="H2668" t="str">
        <f>TEXT(calendar[[#This Row],[WeekDay]],"dddd")</f>
        <v>Saturday</v>
      </c>
      <c r="I2668">
        <f>IF((INT(calendar[[#This Row],[Count]]/7)-calendar[[#This Row],[Count]]/7)&lt;0,I2667,I2667+1)</f>
        <v>381</v>
      </c>
      <c r="J2668">
        <f t="shared" si="209"/>
        <v>2666</v>
      </c>
      <c r="K2668">
        <f>IF(calendar[[#This Row],[Month]]&lt;4,1,IF(calendar[[#This Row],[Month]]&lt;7,2,IF(calendar[[#This Row],[Month]]&lt;10,3,4)))</f>
        <v>2</v>
      </c>
      <c r="L2668">
        <f>IFERROR(IF(VLOOKUP(calendar[[#This Row],[Date]],BH!A:A,1,)&lt;&gt;"",1,0),0)</f>
        <v>0</v>
      </c>
      <c r="M2668">
        <f>IFERROR(IF(VLOOKUP(calendar[[#This Row],[Date]],BH!C:C,1,)&lt;&gt;"",1,0),0)</f>
        <v>0</v>
      </c>
      <c r="N2668">
        <f>IFERROR(IF(VLOOKUP(calendar[[#This Row],[Date]],BH!E:E,1,)&lt;&gt;"",1,0),0)</f>
        <v>0</v>
      </c>
      <c r="O2668">
        <f>IFERROR(IF(VLOOKUP(calendar[[#This Row],[Date]],BH!G:G,1,)&lt;&gt;"",1,0),0)</f>
        <v>0</v>
      </c>
      <c r="P2668">
        <f>IF(OR(calendar[[#This Row],[UK_BH]]=1,calendar[[#This Row],[WeekDay]]=1, calendar[[#This Row],[WeekDay]]=7),P2667,P2667+1)</f>
        <v>1905</v>
      </c>
      <c r="Q2668">
        <f>IF(OR(calendar[[#This Row],[FR_BH]]=1,calendar[[#This Row],[WeekDay]]=1, calendar[[#This Row],[WeekDay]]=7),P2667,P2667+1)</f>
        <v>1905</v>
      </c>
      <c r="R2668">
        <f>IF(OR(calendar[[#This Row],[SP_BH]]=1,calendar[[#This Row],[WeekDay]]=1, calendar[[#This Row],[WeekDay]]=7),P2667,P2667+1)</f>
        <v>1905</v>
      </c>
      <c r="S2668">
        <f>IF(OR(calendar[[#This Row],[PT_BH]]=1,calendar[[#This Row],[WeekDay]]=1, calendar[[#This Row],[WeekDay]]=7),P2667,P2667+1)</f>
        <v>1905</v>
      </c>
    </row>
    <row r="2669" spans="1:19" x14ac:dyDescent="0.25">
      <c r="A2669" s="2">
        <v>45403</v>
      </c>
      <c r="B2669" s="1">
        <f t="shared" si="208"/>
        <v>17</v>
      </c>
      <c r="C2669">
        <f t="shared" si="210"/>
        <v>4</v>
      </c>
      <c r="D2669" t="str">
        <f t="shared" si="211"/>
        <v>April</v>
      </c>
      <c r="E2669">
        <f t="shared" si="212"/>
        <v>2024</v>
      </c>
      <c r="F2669" t="str">
        <f>CONCATENATE(calendar[[#This Row],[Month]],"/",calendar[[#This Row],[Year]])</f>
        <v>4/2024</v>
      </c>
      <c r="G2669">
        <f>WEEKDAY(calendar[[#This Row],[Date]],1)</f>
        <v>1</v>
      </c>
      <c r="H2669" t="str">
        <f>TEXT(calendar[[#This Row],[WeekDay]],"dddd")</f>
        <v>Sunday</v>
      </c>
      <c r="I2669">
        <f>IF((INT(calendar[[#This Row],[Count]]/7)-calendar[[#This Row],[Count]]/7)&lt;0,I2668,I2668+1)</f>
        <v>382</v>
      </c>
      <c r="J2669">
        <f t="shared" si="209"/>
        <v>2667</v>
      </c>
      <c r="K2669">
        <f>IF(calendar[[#This Row],[Month]]&lt;4,1,IF(calendar[[#This Row],[Month]]&lt;7,2,IF(calendar[[#This Row],[Month]]&lt;10,3,4)))</f>
        <v>2</v>
      </c>
      <c r="L2669">
        <f>IFERROR(IF(VLOOKUP(calendar[[#This Row],[Date]],BH!A:A,1,)&lt;&gt;"",1,0),0)</f>
        <v>0</v>
      </c>
      <c r="M2669">
        <f>IFERROR(IF(VLOOKUP(calendar[[#This Row],[Date]],BH!C:C,1,)&lt;&gt;"",1,0),0)</f>
        <v>0</v>
      </c>
      <c r="N2669">
        <f>IFERROR(IF(VLOOKUP(calendar[[#This Row],[Date]],BH!E:E,1,)&lt;&gt;"",1,0),0)</f>
        <v>0</v>
      </c>
      <c r="O2669">
        <f>IFERROR(IF(VLOOKUP(calendar[[#This Row],[Date]],BH!G:G,1,)&lt;&gt;"",1,0),0)</f>
        <v>0</v>
      </c>
      <c r="P2669">
        <f>IF(OR(calendar[[#This Row],[UK_BH]]=1,calendar[[#This Row],[WeekDay]]=1, calendar[[#This Row],[WeekDay]]=7),P2668,P2668+1)</f>
        <v>1905</v>
      </c>
      <c r="Q2669">
        <f>IF(OR(calendar[[#This Row],[FR_BH]]=1,calendar[[#This Row],[WeekDay]]=1, calendar[[#This Row],[WeekDay]]=7),P2668,P2668+1)</f>
        <v>1905</v>
      </c>
      <c r="R2669">
        <f>IF(OR(calendar[[#This Row],[SP_BH]]=1,calendar[[#This Row],[WeekDay]]=1, calendar[[#This Row],[WeekDay]]=7),P2668,P2668+1)</f>
        <v>1905</v>
      </c>
      <c r="S2669">
        <f>IF(OR(calendar[[#This Row],[PT_BH]]=1,calendar[[#This Row],[WeekDay]]=1, calendar[[#This Row],[WeekDay]]=7),P2668,P2668+1)</f>
        <v>1905</v>
      </c>
    </row>
    <row r="2670" spans="1:19" x14ac:dyDescent="0.25">
      <c r="A2670" s="2">
        <v>45404</v>
      </c>
      <c r="B2670" s="1">
        <f t="shared" si="208"/>
        <v>17</v>
      </c>
      <c r="C2670">
        <f t="shared" si="210"/>
        <v>4</v>
      </c>
      <c r="D2670" t="str">
        <f t="shared" si="211"/>
        <v>April</v>
      </c>
      <c r="E2670">
        <f t="shared" si="212"/>
        <v>2024</v>
      </c>
      <c r="F2670" t="str">
        <f>CONCATENATE(calendar[[#This Row],[Month]],"/",calendar[[#This Row],[Year]])</f>
        <v>4/2024</v>
      </c>
      <c r="G2670">
        <f>WEEKDAY(calendar[[#This Row],[Date]],1)</f>
        <v>2</v>
      </c>
      <c r="H2670" t="str">
        <f>TEXT(calendar[[#This Row],[WeekDay]],"dddd")</f>
        <v>Monday</v>
      </c>
      <c r="I2670">
        <f>IF((INT(calendar[[#This Row],[Count]]/7)-calendar[[#This Row],[Count]]/7)&lt;0,I2669,I2669+1)</f>
        <v>382</v>
      </c>
      <c r="J2670">
        <f t="shared" si="209"/>
        <v>2668</v>
      </c>
      <c r="K2670">
        <f>IF(calendar[[#This Row],[Month]]&lt;4,1,IF(calendar[[#This Row],[Month]]&lt;7,2,IF(calendar[[#This Row],[Month]]&lt;10,3,4)))</f>
        <v>2</v>
      </c>
      <c r="L2670">
        <f>IFERROR(IF(VLOOKUP(calendar[[#This Row],[Date]],BH!A:A,1,)&lt;&gt;"",1,0),0)</f>
        <v>0</v>
      </c>
      <c r="M2670">
        <f>IFERROR(IF(VLOOKUP(calendar[[#This Row],[Date]],BH!C:C,1,)&lt;&gt;"",1,0),0)</f>
        <v>0</v>
      </c>
      <c r="N2670">
        <f>IFERROR(IF(VLOOKUP(calendar[[#This Row],[Date]],BH!E:E,1,)&lt;&gt;"",1,0),0)</f>
        <v>0</v>
      </c>
      <c r="O2670">
        <f>IFERROR(IF(VLOOKUP(calendar[[#This Row],[Date]],BH!G:G,1,)&lt;&gt;"",1,0),0)</f>
        <v>0</v>
      </c>
      <c r="P2670">
        <f>IF(OR(calendar[[#This Row],[UK_BH]]=1,calendar[[#This Row],[WeekDay]]=1, calendar[[#This Row],[WeekDay]]=7),P2669,P2669+1)</f>
        <v>1906</v>
      </c>
      <c r="Q2670">
        <f>IF(OR(calendar[[#This Row],[FR_BH]]=1,calendar[[#This Row],[WeekDay]]=1, calendar[[#This Row],[WeekDay]]=7),P2669,P2669+1)</f>
        <v>1906</v>
      </c>
      <c r="R2670">
        <f>IF(OR(calendar[[#This Row],[SP_BH]]=1,calendar[[#This Row],[WeekDay]]=1, calendar[[#This Row],[WeekDay]]=7),P2669,P2669+1)</f>
        <v>1906</v>
      </c>
      <c r="S2670">
        <f>IF(OR(calendar[[#This Row],[PT_BH]]=1,calendar[[#This Row],[WeekDay]]=1, calendar[[#This Row],[WeekDay]]=7),P2669,P2669+1)</f>
        <v>1906</v>
      </c>
    </row>
    <row r="2671" spans="1:19" x14ac:dyDescent="0.25">
      <c r="A2671" s="2">
        <v>45405</v>
      </c>
      <c r="B2671" s="1">
        <f t="shared" si="208"/>
        <v>17</v>
      </c>
      <c r="C2671">
        <f t="shared" si="210"/>
        <v>4</v>
      </c>
      <c r="D2671" t="str">
        <f t="shared" si="211"/>
        <v>April</v>
      </c>
      <c r="E2671">
        <f t="shared" si="212"/>
        <v>2024</v>
      </c>
      <c r="F2671" t="str">
        <f>CONCATENATE(calendar[[#This Row],[Month]],"/",calendar[[#This Row],[Year]])</f>
        <v>4/2024</v>
      </c>
      <c r="G2671">
        <f>WEEKDAY(calendar[[#This Row],[Date]],1)</f>
        <v>3</v>
      </c>
      <c r="H2671" t="str">
        <f>TEXT(calendar[[#This Row],[WeekDay]],"dddd")</f>
        <v>Tuesday</v>
      </c>
      <c r="I2671">
        <f>IF((INT(calendar[[#This Row],[Count]]/7)-calendar[[#This Row],[Count]]/7)&lt;0,I2670,I2670+1)</f>
        <v>382</v>
      </c>
      <c r="J2671">
        <f t="shared" si="209"/>
        <v>2669</v>
      </c>
      <c r="K2671">
        <f>IF(calendar[[#This Row],[Month]]&lt;4,1,IF(calendar[[#This Row],[Month]]&lt;7,2,IF(calendar[[#This Row],[Month]]&lt;10,3,4)))</f>
        <v>2</v>
      </c>
      <c r="L2671">
        <f>IFERROR(IF(VLOOKUP(calendar[[#This Row],[Date]],BH!A:A,1,)&lt;&gt;"",1,0),0)</f>
        <v>0</v>
      </c>
      <c r="M2671">
        <f>IFERROR(IF(VLOOKUP(calendar[[#This Row],[Date]],BH!C:C,1,)&lt;&gt;"",1,0),0)</f>
        <v>0</v>
      </c>
      <c r="N2671">
        <f>IFERROR(IF(VLOOKUP(calendar[[#This Row],[Date]],BH!E:E,1,)&lt;&gt;"",1,0),0)</f>
        <v>0</v>
      </c>
      <c r="O2671">
        <f>IFERROR(IF(VLOOKUP(calendar[[#This Row],[Date]],BH!G:G,1,)&lt;&gt;"",1,0),0)</f>
        <v>0</v>
      </c>
      <c r="P2671">
        <f>IF(OR(calendar[[#This Row],[UK_BH]]=1,calendar[[#This Row],[WeekDay]]=1, calendar[[#This Row],[WeekDay]]=7),P2670,P2670+1)</f>
        <v>1907</v>
      </c>
      <c r="Q2671">
        <f>IF(OR(calendar[[#This Row],[FR_BH]]=1,calendar[[#This Row],[WeekDay]]=1, calendar[[#This Row],[WeekDay]]=7),P2670,P2670+1)</f>
        <v>1907</v>
      </c>
      <c r="R2671">
        <f>IF(OR(calendar[[#This Row],[SP_BH]]=1,calendar[[#This Row],[WeekDay]]=1, calendar[[#This Row],[WeekDay]]=7),P2670,P2670+1)</f>
        <v>1907</v>
      </c>
      <c r="S2671">
        <f>IF(OR(calendar[[#This Row],[PT_BH]]=1,calendar[[#This Row],[WeekDay]]=1, calendar[[#This Row],[WeekDay]]=7),P2670,P2670+1)</f>
        <v>1907</v>
      </c>
    </row>
    <row r="2672" spans="1:19" x14ac:dyDescent="0.25">
      <c r="A2672" s="2">
        <v>45406</v>
      </c>
      <c r="B2672" s="1">
        <f t="shared" si="208"/>
        <v>17</v>
      </c>
      <c r="C2672">
        <f t="shared" si="210"/>
        <v>4</v>
      </c>
      <c r="D2672" t="str">
        <f t="shared" si="211"/>
        <v>April</v>
      </c>
      <c r="E2672">
        <f t="shared" si="212"/>
        <v>2024</v>
      </c>
      <c r="F2672" t="str">
        <f>CONCATENATE(calendar[[#This Row],[Month]],"/",calendar[[#This Row],[Year]])</f>
        <v>4/2024</v>
      </c>
      <c r="G2672">
        <f>WEEKDAY(calendar[[#This Row],[Date]],1)</f>
        <v>4</v>
      </c>
      <c r="H2672" t="str">
        <f>TEXT(calendar[[#This Row],[WeekDay]],"dddd")</f>
        <v>Wednesday</v>
      </c>
      <c r="I2672">
        <f>IF((INT(calendar[[#This Row],[Count]]/7)-calendar[[#This Row],[Count]]/7)&lt;0,I2671,I2671+1)</f>
        <v>382</v>
      </c>
      <c r="J2672">
        <f t="shared" si="209"/>
        <v>2670</v>
      </c>
      <c r="K2672">
        <f>IF(calendar[[#This Row],[Month]]&lt;4,1,IF(calendar[[#This Row],[Month]]&lt;7,2,IF(calendar[[#This Row],[Month]]&lt;10,3,4)))</f>
        <v>2</v>
      </c>
      <c r="L2672">
        <f>IFERROR(IF(VLOOKUP(calendar[[#This Row],[Date]],BH!A:A,1,)&lt;&gt;"",1,0),0)</f>
        <v>0</v>
      </c>
      <c r="M2672">
        <f>IFERROR(IF(VLOOKUP(calendar[[#This Row],[Date]],BH!C:C,1,)&lt;&gt;"",1,0),0)</f>
        <v>0</v>
      </c>
      <c r="N2672">
        <f>IFERROR(IF(VLOOKUP(calendar[[#This Row],[Date]],BH!E:E,1,)&lt;&gt;"",1,0),0)</f>
        <v>0</v>
      </c>
      <c r="O2672">
        <f>IFERROR(IF(VLOOKUP(calendar[[#This Row],[Date]],BH!G:G,1,)&lt;&gt;"",1,0),0)</f>
        <v>0</v>
      </c>
      <c r="P2672">
        <f>IF(OR(calendar[[#This Row],[UK_BH]]=1,calendar[[#This Row],[WeekDay]]=1, calendar[[#This Row],[WeekDay]]=7),P2671,P2671+1)</f>
        <v>1908</v>
      </c>
      <c r="Q2672">
        <f>IF(OR(calendar[[#This Row],[FR_BH]]=1,calendar[[#This Row],[WeekDay]]=1, calendar[[#This Row],[WeekDay]]=7),P2671,P2671+1)</f>
        <v>1908</v>
      </c>
      <c r="R2672">
        <f>IF(OR(calendar[[#This Row],[SP_BH]]=1,calendar[[#This Row],[WeekDay]]=1, calendar[[#This Row],[WeekDay]]=7),P2671,P2671+1)</f>
        <v>1908</v>
      </c>
      <c r="S2672">
        <f>IF(OR(calendar[[#This Row],[PT_BH]]=1,calendar[[#This Row],[WeekDay]]=1, calendar[[#This Row],[WeekDay]]=7),P2671,P2671+1)</f>
        <v>1908</v>
      </c>
    </row>
    <row r="2673" spans="1:19" x14ac:dyDescent="0.25">
      <c r="A2673" s="2">
        <v>45407</v>
      </c>
      <c r="B2673" s="1">
        <f t="shared" si="208"/>
        <v>17</v>
      </c>
      <c r="C2673">
        <f t="shared" si="210"/>
        <v>4</v>
      </c>
      <c r="D2673" t="str">
        <f t="shared" si="211"/>
        <v>April</v>
      </c>
      <c r="E2673">
        <f t="shared" si="212"/>
        <v>2024</v>
      </c>
      <c r="F2673" t="str">
        <f>CONCATENATE(calendar[[#This Row],[Month]],"/",calendar[[#This Row],[Year]])</f>
        <v>4/2024</v>
      </c>
      <c r="G2673">
        <f>WEEKDAY(calendar[[#This Row],[Date]],1)</f>
        <v>5</v>
      </c>
      <c r="H2673" t="str">
        <f>TEXT(calendar[[#This Row],[WeekDay]],"dddd")</f>
        <v>Thursday</v>
      </c>
      <c r="I2673">
        <f>IF((INT(calendar[[#This Row],[Count]]/7)-calendar[[#This Row],[Count]]/7)&lt;0,I2672,I2672+1)</f>
        <v>382</v>
      </c>
      <c r="J2673">
        <f t="shared" si="209"/>
        <v>2671</v>
      </c>
      <c r="K2673">
        <f>IF(calendar[[#This Row],[Month]]&lt;4,1,IF(calendar[[#This Row],[Month]]&lt;7,2,IF(calendar[[#This Row],[Month]]&lt;10,3,4)))</f>
        <v>2</v>
      </c>
      <c r="L2673">
        <f>IFERROR(IF(VLOOKUP(calendar[[#This Row],[Date]],BH!A:A,1,)&lt;&gt;"",1,0),0)</f>
        <v>0</v>
      </c>
      <c r="M2673">
        <f>IFERROR(IF(VLOOKUP(calendar[[#This Row],[Date]],BH!C:C,1,)&lt;&gt;"",1,0),0)</f>
        <v>0</v>
      </c>
      <c r="N2673">
        <f>IFERROR(IF(VLOOKUP(calendar[[#This Row],[Date]],BH!E:E,1,)&lt;&gt;"",1,0),0)</f>
        <v>0</v>
      </c>
      <c r="O2673">
        <f>IFERROR(IF(VLOOKUP(calendar[[#This Row],[Date]],BH!G:G,1,)&lt;&gt;"",1,0),0)</f>
        <v>0</v>
      </c>
      <c r="P2673">
        <f>IF(OR(calendar[[#This Row],[UK_BH]]=1,calendar[[#This Row],[WeekDay]]=1, calendar[[#This Row],[WeekDay]]=7),P2672,P2672+1)</f>
        <v>1909</v>
      </c>
      <c r="Q2673">
        <f>IF(OR(calendar[[#This Row],[FR_BH]]=1,calendar[[#This Row],[WeekDay]]=1, calendar[[#This Row],[WeekDay]]=7),P2672,P2672+1)</f>
        <v>1909</v>
      </c>
      <c r="R2673">
        <f>IF(OR(calendar[[#This Row],[SP_BH]]=1,calendar[[#This Row],[WeekDay]]=1, calendar[[#This Row],[WeekDay]]=7),P2672,P2672+1)</f>
        <v>1909</v>
      </c>
      <c r="S2673">
        <f>IF(OR(calendar[[#This Row],[PT_BH]]=1,calendar[[#This Row],[WeekDay]]=1, calendar[[#This Row],[WeekDay]]=7),P2672,P2672+1)</f>
        <v>1909</v>
      </c>
    </row>
    <row r="2674" spans="1:19" x14ac:dyDescent="0.25">
      <c r="A2674" s="2">
        <v>45408</v>
      </c>
      <c r="B2674" s="1">
        <f t="shared" si="208"/>
        <v>17</v>
      </c>
      <c r="C2674">
        <f t="shared" si="210"/>
        <v>4</v>
      </c>
      <c r="D2674" t="str">
        <f t="shared" si="211"/>
        <v>April</v>
      </c>
      <c r="E2674">
        <f t="shared" si="212"/>
        <v>2024</v>
      </c>
      <c r="F2674" t="str">
        <f>CONCATENATE(calendar[[#This Row],[Month]],"/",calendar[[#This Row],[Year]])</f>
        <v>4/2024</v>
      </c>
      <c r="G2674">
        <f>WEEKDAY(calendar[[#This Row],[Date]],1)</f>
        <v>6</v>
      </c>
      <c r="H2674" t="str">
        <f>TEXT(calendar[[#This Row],[WeekDay]],"dddd")</f>
        <v>Friday</v>
      </c>
      <c r="I2674">
        <f>IF((INT(calendar[[#This Row],[Count]]/7)-calendar[[#This Row],[Count]]/7)&lt;0,I2673,I2673+1)</f>
        <v>382</v>
      </c>
      <c r="J2674">
        <f t="shared" si="209"/>
        <v>2672</v>
      </c>
      <c r="K2674">
        <f>IF(calendar[[#This Row],[Month]]&lt;4,1,IF(calendar[[#This Row],[Month]]&lt;7,2,IF(calendar[[#This Row],[Month]]&lt;10,3,4)))</f>
        <v>2</v>
      </c>
      <c r="L2674">
        <f>IFERROR(IF(VLOOKUP(calendar[[#This Row],[Date]],BH!A:A,1,)&lt;&gt;"",1,0),0)</f>
        <v>0</v>
      </c>
      <c r="M2674">
        <f>IFERROR(IF(VLOOKUP(calendar[[#This Row],[Date]],BH!C:C,1,)&lt;&gt;"",1,0),0)</f>
        <v>0</v>
      </c>
      <c r="N2674">
        <f>IFERROR(IF(VLOOKUP(calendar[[#This Row],[Date]],BH!E:E,1,)&lt;&gt;"",1,0),0)</f>
        <v>0</v>
      </c>
      <c r="O2674">
        <f>IFERROR(IF(VLOOKUP(calendar[[#This Row],[Date]],BH!G:G,1,)&lt;&gt;"",1,0),0)</f>
        <v>0</v>
      </c>
      <c r="P2674">
        <f>IF(OR(calendar[[#This Row],[UK_BH]]=1,calendar[[#This Row],[WeekDay]]=1, calendar[[#This Row],[WeekDay]]=7),P2673,P2673+1)</f>
        <v>1910</v>
      </c>
      <c r="Q2674">
        <f>IF(OR(calendar[[#This Row],[FR_BH]]=1,calendar[[#This Row],[WeekDay]]=1, calendar[[#This Row],[WeekDay]]=7),P2673,P2673+1)</f>
        <v>1910</v>
      </c>
      <c r="R2674">
        <f>IF(OR(calendar[[#This Row],[SP_BH]]=1,calendar[[#This Row],[WeekDay]]=1, calendar[[#This Row],[WeekDay]]=7),P2673,P2673+1)</f>
        <v>1910</v>
      </c>
      <c r="S2674">
        <f>IF(OR(calendar[[#This Row],[PT_BH]]=1,calendar[[#This Row],[WeekDay]]=1, calendar[[#This Row],[WeekDay]]=7),P2673,P2673+1)</f>
        <v>1910</v>
      </c>
    </row>
    <row r="2675" spans="1:19" x14ac:dyDescent="0.25">
      <c r="A2675" s="2">
        <v>45409</v>
      </c>
      <c r="B2675" s="1">
        <f t="shared" si="208"/>
        <v>17</v>
      </c>
      <c r="C2675">
        <f t="shared" si="210"/>
        <v>4</v>
      </c>
      <c r="D2675" t="str">
        <f t="shared" si="211"/>
        <v>April</v>
      </c>
      <c r="E2675">
        <f t="shared" si="212"/>
        <v>2024</v>
      </c>
      <c r="F2675" t="str">
        <f>CONCATENATE(calendar[[#This Row],[Month]],"/",calendar[[#This Row],[Year]])</f>
        <v>4/2024</v>
      </c>
      <c r="G2675">
        <f>WEEKDAY(calendar[[#This Row],[Date]],1)</f>
        <v>7</v>
      </c>
      <c r="H2675" t="str">
        <f>TEXT(calendar[[#This Row],[WeekDay]],"dddd")</f>
        <v>Saturday</v>
      </c>
      <c r="I2675">
        <f>IF((INT(calendar[[#This Row],[Count]]/7)-calendar[[#This Row],[Count]]/7)&lt;0,I2674,I2674+1)</f>
        <v>382</v>
      </c>
      <c r="J2675">
        <f t="shared" si="209"/>
        <v>2673</v>
      </c>
      <c r="K2675">
        <f>IF(calendar[[#This Row],[Month]]&lt;4,1,IF(calendar[[#This Row],[Month]]&lt;7,2,IF(calendar[[#This Row],[Month]]&lt;10,3,4)))</f>
        <v>2</v>
      </c>
      <c r="L2675">
        <f>IFERROR(IF(VLOOKUP(calendar[[#This Row],[Date]],BH!A:A,1,)&lt;&gt;"",1,0),0)</f>
        <v>0</v>
      </c>
      <c r="M2675">
        <f>IFERROR(IF(VLOOKUP(calendar[[#This Row],[Date]],BH!C:C,1,)&lt;&gt;"",1,0),0)</f>
        <v>0</v>
      </c>
      <c r="N2675">
        <f>IFERROR(IF(VLOOKUP(calendar[[#This Row],[Date]],BH!E:E,1,)&lt;&gt;"",1,0),0)</f>
        <v>0</v>
      </c>
      <c r="O2675">
        <f>IFERROR(IF(VLOOKUP(calendar[[#This Row],[Date]],BH!G:G,1,)&lt;&gt;"",1,0),0)</f>
        <v>0</v>
      </c>
      <c r="P2675">
        <f>IF(OR(calendar[[#This Row],[UK_BH]]=1,calendar[[#This Row],[WeekDay]]=1, calendar[[#This Row],[WeekDay]]=7),P2674,P2674+1)</f>
        <v>1910</v>
      </c>
      <c r="Q2675">
        <f>IF(OR(calendar[[#This Row],[FR_BH]]=1,calendar[[#This Row],[WeekDay]]=1, calendar[[#This Row],[WeekDay]]=7),P2674,P2674+1)</f>
        <v>1910</v>
      </c>
      <c r="R2675">
        <f>IF(OR(calendar[[#This Row],[SP_BH]]=1,calendar[[#This Row],[WeekDay]]=1, calendar[[#This Row],[WeekDay]]=7),P2674,P2674+1)</f>
        <v>1910</v>
      </c>
      <c r="S2675">
        <f>IF(OR(calendar[[#This Row],[PT_BH]]=1,calendar[[#This Row],[WeekDay]]=1, calendar[[#This Row],[WeekDay]]=7),P2674,P2674+1)</f>
        <v>1910</v>
      </c>
    </row>
    <row r="2676" spans="1:19" x14ac:dyDescent="0.25">
      <c r="A2676" s="2">
        <v>45410</v>
      </c>
      <c r="B2676" s="1">
        <f t="shared" si="208"/>
        <v>18</v>
      </c>
      <c r="C2676">
        <f t="shared" si="210"/>
        <v>4</v>
      </c>
      <c r="D2676" t="str">
        <f t="shared" si="211"/>
        <v>April</v>
      </c>
      <c r="E2676">
        <f t="shared" si="212"/>
        <v>2024</v>
      </c>
      <c r="F2676" t="str">
        <f>CONCATENATE(calendar[[#This Row],[Month]],"/",calendar[[#This Row],[Year]])</f>
        <v>4/2024</v>
      </c>
      <c r="G2676">
        <f>WEEKDAY(calendar[[#This Row],[Date]],1)</f>
        <v>1</v>
      </c>
      <c r="H2676" t="str">
        <f>TEXT(calendar[[#This Row],[WeekDay]],"dddd")</f>
        <v>Sunday</v>
      </c>
      <c r="I2676">
        <f>IF((INT(calendar[[#This Row],[Count]]/7)-calendar[[#This Row],[Count]]/7)&lt;0,I2675,I2675+1)</f>
        <v>383</v>
      </c>
      <c r="J2676">
        <f t="shared" si="209"/>
        <v>2674</v>
      </c>
      <c r="K2676">
        <f>IF(calendar[[#This Row],[Month]]&lt;4,1,IF(calendar[[#This Row],[Month]]&lt;7,2,IF(calendar[[#This Row],[Month]]&lt;10,3,4)))</f>
        <v>2</v>
      </c>
      <c r="L2676">
        <f>IFERROR(IF(VLOOKUP(calendar[[#This Row],[Date]],BH!A:A,1,)&lt;&gt;"",1,0),0)</f>
        <v>0</v>
      </c>
      <c r="M2676">
        <f>IFERROR(IF(VLOOKUP(calendar[[#This Row],[Date]],BH!C:C,1,)&lt;&gt;"",1,0),0)</f>
        <v>0</v>
      </c>
      <c r="N2676">
        <f>IFERROR(IF(VLOOKUP(calendar[[#This Row],[Date]],BH!E:E,1,)&lt;&gt;"",1,0),0)</f>
        <v>0</v>
      </c>
      <c r="O2676">
        <f>IFERROR(IF(VLOOKUP(calendar[[#This Row],[Date]],BH!G:G,1,)&lt;&gt;"",1,0),0)</f>
        <v>0</v>
      </c>
      <c r="P2676">
        <f>IF(OR(calendar[[#This Row],[UK_BH]]=1,calendar[[#This Row],[WeekDay]]=1, calendar[[#This Row],[WeekDay]]=7),P2675,P2675+1)</f>
        <v>1910</v>
      </c>
      <c r="Q2676">
        <f>IF(OR(calendar[[#This Row],[FR_BH]]=1,calendar[[#This Row],[WeekDay]]=1, calendar[[#This Row],[WeekDay]]=7),P2675,P2675+1)</f>
        <v>1910</v>
      </c>
      <c r="R2676">
        <f>IF(OR(calendar[[#This Row],[SP_BH]]=1,calendar[[#This Row],[WeekDay]]=1, calendar[[#This Row],[WeekDay]]=7),P2675,P2675+1)</f>
        <v>1910</v>
      </c>
      <c r="S2676">
        <f>IF(OR(calendar[[#This Row],[PT_BH]]=1,calendar[[#This Row],[WeekDay]]=1, calendar[[#This Row],[WeekDay]]=7),P2675,P2675+1)</f>
        <v>1910</v>
      </c>
    </row>
    <row r="2677" spans="1:19" x14ac:dyDescent="0.25">
      <c r="A2677" s="2">
        <v>45411</v>
      </c>
      <c r="B2677" s="1">
        <f t="shared" si="208"/>
        <v>18</v>
      </c>
      <c r="C2677">
        <f t="shared" si="210"/>
        <v>4</v>
      </c>
      <c r="D2677" t="str">
        <f t="shared" si="211"/>
        <v>April</v>
      </c>
      <c r="E2677">
        <f t="shared" si="212"/>
        <v>2024</v>
      </c>
      <c r="F2677" t="str">
        <f>CONCATENATE(calendar[[#This Row],[Month]],"/",calendar[[#This Row],[Year]])</f>
        <v>4/2024</v>
      </c>
      <c r="G2677">
        <f>WEEKDAY(calendar[[#This Row],[Date]],1)</f>
        <v>2</v>
      </c>
      <c r="H2677" t="str">
        <f>TEXT(calendar[[#This Row],[WeekDay]],"dddd")</f>
        <v>Monday</v>
      </c>
      <c r="I2677">
        <f>IF((INT(calendar[[#This Row],[Count]]/7)-calendar[[#This Row],[Count]]/7)&lt;0,I2676,I2676+1)</f>
        <v>383</v>
      </c>
      <c r="J2677">
        <f t="shared" si="209"/>
        <v>2675</v>
      </c>
      <c r="K2677">
        <f>IF(calendar[[#This Row],[Month]]&lt;4,1,IF(calendar[[#This Row],[Month]]&lt;7,2,IF(calendar[[#This Row],[Month]]&lt;10,3,4)))</f>
        <v>2</v>
      </c>
      <c r="L2677">
        <f>IFERROR(IF(VLOOKUP(calendar[[#This Row],[Date]],BH!A:A,1,)&lt;&gt;"",1,0),0)</f>
        <v>0</v>
      </c>
      <c r="M2677">
        <f>IFERROR(IF(VLOOKUP(calendar[[#This Row],[Date]],BH!C:C,1,)&lt;&gt;"",1,0),0)</f>
        <v>0</v>
      </c>
      <c r="N2677">
        <f>IFERROR(IF(VLOOKUP(calendar[[#This Row],[Date]],BH!E:E,1,)&lt;&gt;"",1,0),0)</f>
        <v>0</v>
      </c>
      <c r="O2677">
        <f>IFERROR(IF(VLOOKUP(calendar[[#This Row],[Date]],BH!G:G,1,)&lt;&gt;"",1,0),0)</f>
        <v>0</v>
      </c>
      <c r="P2677">
        <f>IF(OR(calendar[[#This Row],[UK_BH]]=1,calendar[[#This Row],[WeekDay]]=1, calendar[[#This Row],[WeekDay]]=7),P2676,P2676+1)</f>
        <v>1911</v>
      </c>
      <c r="Q2677">
        <f>IF(OR(calendar[[#This Row],[FR_BH]]=1,calendar[[#This Row],[WeekDay]]=1, calendar[[#This Row],[WeekDay]]=7),P2676,P2676+1)</f>
        <v>1911</v>
      </c>
      <c r="R2677">
        <f>IF(OR(calendar[[#This Row],[SP_BH]]=1,calendar[[#This Row],[WeekDay]]=1, calendar[[#This Row],[WeekDay]]=7),P2676,P2676+1)</f>
        <v>1911</v>
      </c>
      <c r="S2677">
        <f>IF(OR(calendar[[#This Row],[PT_BH]]=1,calendar[[#This Row],[WeekDay]]=1, calendar[[#This Row],[WeekDay]]=7),P2676,P2676+1)</f>
        <v>1911</v>
      </c>
    </row>
    <row r="2678" spans="1:19" x14ac:dyDescent="0.25">
      <c r="A2678" s="2">
        <v>45412</v>
      </c>
      <c r="B2678" s="1">
        <f t="shared" si="208"/>
        <v>18</v>
      </c>
      <c r="C2678">
        <f t="shared" si="210"/>
        <v>4</v>
      </c>
      <c r="D2678" t="str">
        <f t="shared" si="211"/>
        <v>April</v>
      </c>
      <c r="E2678">
        <f t="shared" si="212"/>
        <v>2024</v>
      </c>
      <c r="F2678" t="str">
        <f>CONCATENATE(calendar[[#This Row],[Month]],"/",calendar[[#This Row],[Year]])</f>
        <v>4/2024</v>
      </c>
      <c r="G2678">
        <f>WEEKDAY(calendar[[#This Row],[Date]],1)</f>
        <v>3</v>
      </c>
      <c r="H2678" t="str">
        <f>TEXT(calendar[[#This Row],[WeekDay]],"dddd")</f>
        <v>Tuesday</v>
      </c>
      <c r="I2678">
        <f>IF((INT(calendar[[#This Row],[Count]]/7)-calendar[[#This Row],[Count]]/7)&lt;0,I2677,I2677+1)</f>
        <v>383</v>
      </c>
      <c r="J2678">
        <f t="shared" si="209"/>
        <v>2676</v>
      </c>
      <c r="K2678">
        <f>IF(calendar[[#This Row],[Month]]&lt;4,1,IF(calendar[[#This Row],[Month]]&lt;7,2,IF(calendar[[#This Row],[Month]]&lt;10,3,4)))</f>
        <v>2</v>
      </c>
      <c r="L2678">
        <f>IFERROR(IF(VLOOKUP(calendar[[#This Row],[Date]],BH!A:A,1,)&lt;&gt;"",1,0),0)</f>
        <v>0</v>
      </c>
      <c r="M2678">
        <f>IFERROR(IF(VLOOKUP(calendar[[#This Row],[Date]],BH!C:C,1,)&lt;&gt;"",1,0),0)</f>
        <v>0</v>
      </c>
      <c r="N2678">
        <f>IFERROR(IF(VLOOKUP(calendar[[#This Row],[Date]],BH!E:E,1,)&lt;&gt;"",1,0),0)</f>
        <v>0</v>
      </c>
      <c r="O2678">
        <f>IFERROR(IF(VLOOKUP(calendar[[#This Row],[Date]],BH!G:G,1,)&lt;&gt;"",1,0),0)</f>
        <v>0</v>
      </c>
      <c r="P2678">
        <f>IF(OR(calendar[[#This Row],[UK_BH]]=1,calendar[[#This Row],[WeekDay]]=1, calendar[[#This Row],[WeekDay]]=7),P2677,P2677+1)</f>
        <v>1912</v>
      </c>
      <c r="Q2678">
        <f>IF(OR(calendar[[#This Row],[FR_BH]]=1,calendar[[#This Row],[WeekDay]]=1, calendar[[#This Row],[WeekDay]]=7),P2677,P2677+1)</f>
        <v>1912</v>
      </c>
      <c r="R2678">
        <f>IF(OR(calendar[[#This Row],[SP_BH]]=1,calendar[[#This Row],[WeekDay]]=1, calendar[[#This Row],[WeekDay]]=7),P2677,P2677+1)</f>
        <v>1912</v>
      </c>
      <c r="S2678">
        <f>IF(OR(calendar[[#This Row],[PT_BH]]=1,calendar[[#This Row],[WeekDay]]=1, calendar[[#This Row],[WeekDay]]=7),P2677,P2677+1)</f>
        <v>1912</v>
      </c>
    </row>
    <row r="2679" spans="1:19" x14ac:dyDescent="0.25">
      <c r="A2679" s="2">
        <v>45413</v>
      </c>
      <c r="B2679" s="1">
        <f t="shared" si="208"/>
        <v>18</v>
      </c>
      <c r="C2679">
        <f t="shared" si="210"/>
        <v>5</v>
      </c>
      <c r="D2679" t="str">
        <f t="shared" si="211"/>
        <v>May</v>
      </c>
      <c r="E2679">
        <f t="shared" si="212"/>
        <v>2024</v>
      </c>
      <c r="F2679" t="str">
        <f>CONCATENATE(calendar[[#This Row],[Month]],"/",calendar[[#This Row],[Year]])</f>
        <v>5/2024</v>
      </c>
      <c r="G2679">
        <f>WEEKDAY(calendar[[#This Row],[Date]],1)</f>
        <v>4</v>
      </c>
      <c r="H2679" t="str">
        <f>TEXT(calendar[[#This Row],[WeekDay]],"dddd")</f>
        <v>Wednesday</v>
      </c>
      <c r="I2679">
        <f>IF((INT(calendar[[#This Row],[Count]]/7)-calendar[[#This Row],[Count]]/7)&lt;0,I2678,I2678+1)</f>
        <v>383</v>
      </c>
      <c r="J2679">
        <f t="shared" si="209"/>
        <v>2677</v>
      </c>
      <c r="K2679">
        <f>IF(calendar[[#This Row],[Month]]&lt;4,1,IF(calendar[[#This Row],[Month]]&lt;7,2,IF(calendar[[#This Row],[Month]]&lt;10,3,4)))</f>
        <v>2</v>
      </c>
      <c r="L2679">
        <f>IFERROR(IF(VLOOKUP(calendar[[#This Row],[Date]],BH!A:A,1,)&lt;&gt;"",1,0),0)</f>
        <v>0</v>
      </c>
      <c r="M2679">
        <f>IFERROR(IF(VLOOKUP(calendar[[#This Row],[Date]],BH!C:C,1,)&lt;&gt;"",1,0),0)</f>
        <v>0</v>
      </c>
      <c r="N2679">
        <f>IFERROR(IF(VLOOKUP(calendar[[#This Row],[Date]],BH!E:E,1,)&lt;&gt;"",1,0),0)</f>
        <v>0</v>
      </c>
      <c r="O2679">
        <f>IFERROR(IF(VLOOKUP(calendar[[#This Row],[Date]],BH!G:G,1,)&lt;&gt;"",1,0),0)</f>
        <v>0</v>
      </c>
      <c r="P2679">
        <f>IF(OR(calendar[[#This Row],[UK_BH]]=1,calendar[[#This Row],[WeekDay]]=1, calendar[[#This Row],[WeekDay]]=7),P2678,P2678+1)</f>
        <v>1913</v>
      </c>
      <c r="Q2679">
        <f>IF(OR(calendar[[#This Row],[FR_BH]]=1,calendar[[#This Row],[WeekDay]]=1, calendar[[#This Row],[WeekDay]]=7),P2678,P2678+1)</f>
        <v>1913</v>
      </c>
      <c r="R2679">
        <f>IF(OR(calendar[[#This Row],[SP_BH]]=1,calendar[[#This Row],[WeekDay]]=1, calendar[[#This Row],[WeekDay]]=7),P2678,P2678+1)</f>
        <v>1913</v>
      </c>
      <c r="S2679">
        <f>IF(OR(calendar[[#This Row],[PT_BH]]=1,calendar[[#This Row],[WeekDay]]=1, calendar[[#This Row],[WeekDay]]=7),P2678,P2678+1)</f>
        <v>1913</v>
      </c>
    </row>
    <row r="2680" spans="1:19" x14ac:dyDescent="0.25">
      <c r="A2680" s="2">
        <v>45414</v>
      </c>
      <c r="B2680" s="1">
        <f t="shared" si="208"/>
        <v>18</v>
      </c>
      <c r="C2680">
        <f t="shared" si="210"/>
        <v>5</v>
      </c>
      <c r="D2680" t="str">
        <f t="shared" si="211"/>
        <v>May</v>
      </c>
      <c r="E2680">
        <f t="shared" si="212"/>
        <v>2024</v>
      </c>
      <c r="F2680" t="str">
        <f>CONCATENATE(calendar[[#This Row],[Month]],"/",calendar[[#This Row],[Year]])</f>
        <v>5/2024</v>
      </c>
      <c r="G2680">
        <f>WEEKDAY(calendar[[#This Row],[Date]],1)</f>
        <v>5</v>
      </c>
      <c r="H2680" t="str">
        <f>TEXT(calendar[[#This Row],[WeekDay]],"dddd")</f>
        <v>Thursday</v>
      </c>
      <c r="I2680">
        <f>IF((INT(calendar[[#This Row],[Count]]/7)-calendar[[#This Row],[Count]]/7)&lt;0,I2679,I2679+1)</f>
        <v>383</v>
      </c>
      <c r="J2680">
        <f t="shared" si="209"/>
        <v>2678</v>
      </c>
      <c r="K2680">
        <f>IF(calendar[[#This Row],[Month]]&lt;4,1,IF(calendar[[#This Row],[Month]]&lt;7,2,IF(calendar[[#This Row],[Month]]&lt;10,3,4)))</f>
        <v>2</v>
      </c>
      <c r="L2680">
        <f>IFERROR(IF(VLOOKUP(calendar[[#This Row],[Date]],BH!A:A,1,)&lt;&gt;"",1,0),0)</f>
        <v>0</v>
      </c>
      <c r="M2680">
        <f>IFERROR(IF(VLOOKUP(calendar[[#This Row],[Date]],BH!C:C,1,)&lt;&gt;"",1,0),0)</f>
        <v>0</v>
      </c>
      <c r="N2680">
        <f>IFERROR(IF(VLOOKUP(calendar[[#This Row],[Date]],BH!E:E,1,)&lt;&gt;"",1,0),0)</f>
        <v>0</v>
      </c>
      <c r="O2680">
        <f>IFERROR(IF(VLOOKUP(calendar[[#This Row],[Date]],BH!G:G,1,)&lt;&gt;"",1,0),0)</f>
        <v>0</v>
      </c>
      <c r="P2680">
        <f>IF(OR(calendar[[#This Row],[UK_BH]]=1,calendar[[#This Row],[WeekDay]]=1, calendar[[#This Row],[WeekDay]]=7),P2679,P2679+1)</f>
        <v>1914</v>
      </c>
      <c r="Q2680">
        <f>IF(OR(calendar[[#This Row],[FR_BH]]=1,calendar[[#This Row],[WeekDay]]=1, calendar[[#This Row],[WeekDay]]=7),P2679,P2679+1)</f>
        <v>1914</v>
      </c>
      <c r="R2680">
        <f>IF(OR(calendar[[#This Row],[SP_BH]]=1,calendar[[#This Row],[WeekDay]]=1, calendar[[#This Row],[WeekDay]]=7),P2679,P2679+1)</f>
        <v>1914</v>
      </c>
      <c r="S2680">
        <f>IF(OR(calendar[[#This Row],[PT_BH]]=1,calendar[[#This Row],[WeekDay]]=1, calendar[[#This Row],[WeekDay]]=7),P2679,P2679+1)</f>
        <v>1914</v>
      </c>
    </row>
    <row r="2681" spans="1:19" x14ac:dyDescent="0.25">
      <c r="A2681" s="2">
        <v>45415</v>
      </c>
      <c r="B2681" s="1">
        <f t="shared" si="208"/>
        <v>18</v>
      </c>
      <c r="C2681">
        <f t="shared" si="210"/>
        <v>5</v>
      </c>
      <c r="D2681" t="str">
        <f t="shared" si="211"/>
        <v>May</v>
      </c>
      <c r="E2681">
        <f t="shared" si="212"/>
        <v>2024</v>
      </c>
      <c r="F2681" t="str">
        <f>CONCATENATE(calendar[[#This Row],[Month]],"/",calendar[[#This Row],[Year]])</f>
        <v>5/2024</v>
      </c>
      <c r="G2681">
        <f>WEEKDAY(calendar[[#This Row],[Date]],1)</f>
        <v>6</v>
      </c>
      <c r="H2681" t="str">
        <f>TEXT(calendar[[#This Row],[WeekDay]],"dddd")</f>
        <v>Friday</v>
      </c>
      <c r="I2681">
        <f>IF((INT(calendar[[#This Row],[Count]]/7)-calendar[[#This Row],[Count]]/7)&lt;0,I2680,I2680+1)</f>
        <v>383</v>
      </c>
      <c r="J2681">
        <f t="shared" si="209"/>
        <v>2679</v>
      </c>
      <c r="K2681">
        <f>IF(calendar[[#This Row],[Month]]&lt;4,1,IF(calendar[[#This Row],[Month]]&lt;7,2,IF(calendar[[#This Row],[Month]]&lt;10,3,4)))</f>
        <v>2</v>
      </c>
      <c r="L2681">
        <f>IFERROR(IF(VLOOKUP(calendar[[#This Row],[Date]],BH!A:A,1,)&lt;&gt;"",1,0),0)</f>
        <v>0</v>
      </c>
      <c r="M2681">
        <f>IFERROR(IF(VLOOKUP(calendar[[#This Row],[Date]],BH!C:C,1,)&lt;&gt;"",1,0),0)</f>
        <v>0</v>
      </c>
      <c r="N2681">
        <f>IFERROR(IF(VLOOKUP(calendar[[#This Row],[Date]],BH!E:E,1,)&lt;&gt;"",1,0),0)</f>
        <v>0</v>
      </c>
      <c r="O2681">
        <f>IFERROR(IF(VLOOKUP(calendar[[#This Row],[Date]],BH!G:G,1,)&lt;&gt;"",1,0),0)</f>
        <v>0</v>
      </c>
      <c r="P2681">
        <f>IF(OR(calendar[[#This Row],[UK_BH]]=1,calendar[[#This Row],[WeekDay]]=1, calendar[[#This Row],[WeekDay]]=7),P2680,P2680+1)</f>
        <v>1915</v>
      </c>
      <c r="Q2681">
        <f>IF(OR(calendar[[#This Row],[FR_BH]]=1,calendar[[#This Row],[WeekDay]]=1, calendar[[#This Row],[WeekDay]]=7),P2680,P2680+1)</f>
        <v>1915</v>
      </c>
      <c r="R2681">
        <f>IF(OR(calendar[[#This Row],[SP_BH]]=1,calendar[[#This Row],[WeekDay]]=1, calendar[[#This Row],[WeekDay]]=7),P2680,P2680+1)</f>
        <v>1915</v>
      </c>
      <c r="S2681">
        <f>IF(OR(calendar[[#This Row],[PT_BH]]=1,calendar[[#This Row],[WeekDay]]=1, calendar[[#This Row],[WeekDay]]=7),P2680,P2680+1)</f>
        <v>1915</v>
      </c>
    </row>
    <row r="2682" spans="1:19" x14ac:dyDescent="0.25">
      <c r="A2682" s="2">
        <v>45416</v>
      </c>
      <c r="B2682" s="1">
        <f t="shared" si="208"/>
        <v>18</v>
      </c>
      <c r="C2682">
        <f t="shared" si="210"/>
        <v>5</v>
      </c>
      <c r="D2682" t="str">
        <f t="shared" si="211"/>
        <v>May</v>
      </c>
      <c r="E2682">
        <f t="shared" si="212"/>
        <v>2024</v>
      </c>
      <c r="F2682" t="str">
        <f>CONCATENATE(calendar[[#This Row],[Month]],"/",calendar[[#This Row],[Year]])</f>
        <v>5/2024</v>
      </c>
      <c r="G2682">
        <f>WEEKDAY(calendar[[#This Row],[Date]],1)</f>
        <v>7</v>
      </c>
      <c r="H2682" t="str">
        <f>TEXT(calendar[[#This Row],[WeekDay]],"dddd")</f>
        <v>Saturday</v>
      </c>
      <c r="I2682">
        <f>IF((INT(calendar[[#This Row],[Count]]/7)-calendar[[#This Row],[Count]]/7)&lt;0,I2681,I2681+1)</f>
        <v>383</v>
      </c>
      <c r="J2682">
        <f t="shared" si="209"/>
        <v>2680</v>
      </c>
      <c r="K2682">
        <f>IF(calendar[[#This Row],[Month]]&lt;4,1,IF(calendar[[#This Row],[Month]]&lt;7,2,IF(calendar[[#This Row],[Month]]&lt;10,3,4)))</f>
        <v>2</v>
      </c>
      <c r="L2682">
        <f>IFERROR(IF(VLOOKUP(calendar[[#This Row],[Date]],BH!A:A,1,)&lt;&gt;"",1,0),0)</f>
        <v>0</v>
      </c>
      <c r="M2682">
        <f>IFERROR(IF(VLOOKUP(calendar[[#This Row],[Date]],BH!C:C,1,)&lt;&gt;"",1,0),0)</f>
        <v>0</v>
      </c>
      <c r="N2682">
        <f>IFERROR(IF(VLOOKUP(calendar[[#This Row],[Date]],BH!E:E,1,)&lt;&gt;"",1,0),0)</f>
        <v>0</v>
      </c>
      <c r="O2682">
        <f>IFERROR(IF(VLOOKUP(calendar[[#This Row],[Date]],BH!G:G,1,)&lt;&gt;"",1,0),0)</f>
        <v>0</v>
      </c>
      <c r="P2682">
        <f>IF(OR(calendar[[#This Row],[UK_BH]]=1,calendar[[#This Row],[WeekDay]]=1, calendar[[#This Row],[WeekDay]]=7),P2681,P2681+1)</f>
        <v>1915</v>
      </c>
      <c r="Q2682">
        <f>IF(OR(calendar[[#This Row],[FR_BH]]=1,calendar[[#This Row],[WeekDay]]=1, calendar[[#This Row],[WeekDay]]=7),P2681,P2681+1)</f>
        <v>1915</v>
      </c>
      <c r="R2682">
        <f>IF(OR(calendar[[#This Row],[SP_BH]]=1,calendar[[#This Row],[WeekDay]]=1, calendar[[#This Row],[WeekDay]]=7),P2681,P2681+1)</f>
        <v>1915</v>
      </c>
      <c r="S2682">
        <f>IF(OR(calendar[[#This Row],[PT_BH]]=1,calendar[[#This Row],[WeekDay]]=1, calendar[[#This Row],[WeekDay]]=7),P2681,P2681+1)</f>
        <v>1915</v>
      </c>
    </row>
    <row r="2683" spans="1:19" x14ac:dyDescent="0.25">
      <c r="A2683" s="2">
        <v>45417</v>
      </c>
      <c r="B2683" s="1">
        <f t="shared" si="208"/>
        <v>19</v>
      </c>
      <c r="C2683">
        <f t="shared" si="210"/>
        <v>5</v>
      </c>
      <c r="D2683" t="str">
        <f t="shared" si="211"/>
        <v>May</v>
      </c>
      <c r="E2683">
        <f t="shared" si="212"/>
        <v>2024</v>
      </c>
      <c r="F2683" t="str">
        <f>CONCATENATE(calendar[[#This Row],[Month]],"/",calendar[[#This Row],[Year]])</f>
        <v>5/2024</v>
      </c>
      <c r="G2683">
        <f>WEEKDAY(calendar[[#This Row],[Date]],1)</f>
        <v>1</v>
      </c>
      <c r="H2683" t="str">
        <f>TEXT(calendar[[#This Row],[WeekDay]],"dddd")</f>
        <v>Sunday</v>
      </c>
      <c r="I2683">
        <f>IF((INT(calendar[[#This Row],[Count]]/7)-calendar[[#This Row],[Count]]/7)&lt;0,I2682,I2682+1)</f>
        <v>384</v>
      </c>
      <c r="J2683">
        <f t="shared" si="209"/>
        <v>2681</v>
      </c>
      <c r="K2683">
        <f>IF(calendar[[#This Row],[Month]]&lt;4,1,IF(calendar[[#This Row],[Month]]&lt;7,2,IF(calendar[[#This Row],[Month]]&lt;10,3,4)))</f>
        <v>2</v>
      </c>
      <c r="L2683">
        <f>IFERROR(IF(VLOOKUP(calendar[[#This Row],[Date]],BH!A:A,1,)&lt;&gt;"",1,0),0)</f>
        <v>0</v>
      </c>
      <c r="M2683">
        <f>IFERROR(IF(VLOOKUP(calendar[[#This Row],[Date]],BH!C:C,1,)&lt;&gt;"",1,0),0)</f>
        <v>0</v>
      </c>
      <c r="N2683">
        <f>IFERROR(IF(VLOOKUP(calendar[[#This Row],[Date]],BH!E:E,1,)&lt;&gt;"",1,0),0)</f>
        <v>0</v>
      </c>
      <c r="O2683">
        <f>IFERROR(IF(VLOOKUP(calendar[[#This Row],[Date]],BH!G:G,1,)&lt;&gt;"",1,0),0)</f>
        <v>0</v>
      </c>
      <c r="P2683">
        <f>IF(OR(calendar[[#This Row],[UK_BH]]=1,calendar[[#This Row],[WeekDay]]=1, calendar[[#This Row],[WeekDay]]=7),P2682,P2682+1)</f>
        <v>1915</v>
      </c>
      <c r="Q2683">
        <f>IF(OR(calendar[[#This Row],[FR_BH]]=1,calendar[[#This Row],[WeekDay]]=1, calendar[[#This Row],[WeekDay]]=7),P2682,P2682+1)</f>
        <v>1915</v>
      </c>
      <c r="R2683">
        <f>IF(OR(calendar[[#This Row],[SP_BH]]=1,calendar[[#This Row],[WeekDay]]=1, calendar[[#This Row],[WeekDay]]=7),P2682,P2682+1)</f>
        <v>1915</v>
      </c>
      <c r="S2683">
        <f>IF(OR(calendar[[#This Row],[PT_BH]]=1,calendar[[#This Row],[WeekDay]]=1, calendar[[#This Row],[WeekDay]]=7),P2682,P2682+1)</f>
        <v>1915</v>
      </c>
    </row>
    <row r="2684" spans="1:19" x14ac:dyDescent="0.25">
      <c r="A2684" s="2">
        <v>45418</v>
      </c>
      <c r="B2684" s="1">
        <f t="shared" si="208"/>
        <v>19</v>
      </c>
      <c r="C2684">
        <f t="shared" si="210"/>
        <v>5</v>
      </c>
      <c r="D2684" t="str">
        <f t="shared" si="211"/>
        <v>May</v>
      </c>
      <c r="E2684">
        <f t="shared" si="212"/>
        <v>2024</v>
      </c>
      <c r="F2684" t="str">
        <f>CONCATENATE(calendar[[#This Row],[Month]],"/",calendar[[#This Row],[Year]])</f>
        <v>5/2024</v>
      </c>
      <c r="G2684">
        <f>WEEKDAY(calendar[[#This Row],[Date]],1)</f>
        <v>2</v>
      </c>
      <c r="H2684" t="str">
        <f>TEXT(calendar[[#This Row],[WeekDay]],"dddd")</f>
        <v>Monday</v>
      </c>
      <c r="I2684">
        <f>IF((INT(calendar[[#This Row],[Count]]/7)-calendar[[#This Row],[Count]]/7)&lt;0,I2683,I2683+1)</f>
        <v>384</v>
      </c>
      <c r="J2684">
        <f t="shared" si="209"/>
        <v>2682</v>
      </c>
      <c r="K2684">
        <f>IF(calendar[[#This Row],[Month]]&lt;4,1,IF(calendar[[#This Row],[Month]]&lt;7,2,IF(calendar[[#This Row],[Month]]&lt;10,3,4)))</f>
        <v>2</v>
      </c>
      <c r="L2684">
        <f>IFERROR(IF(VLOOKUP(calendar[[#This Row],[Date]],BH!A:A,1,)&lt;&gt;"",1,0),0)</f>
        <v>0</v>
      </c>
      <c r="M2684">
        <f>IFERROR(IF(VLOOKUP(calendar[[#This Row],[Date]],BH!C:C,1,)&lt;&gt;"",1,0),0)</f>
        <v>0</v>
      </c>
      <c r="N2684">
        <f>IFERROR(IF(VLOOKUP(calendar[[#This Row],[Date]],BH!E:E,1,)&lt;&gt;"",1,0),0)</f>
        <v>0</v>
      </c>
      <c r="O2684">
        <f>IFERROR(IF(VLOOKUP(calendar[[#This Row],[Date]],BH!G:G,1,)&lt;&gt;"",1,0),0)</f>
        <v>0</v>
      </c>
      <c r="P2684">
        <f>IF(OR(calendar[[#This Row],[UK_BH]]=1,calendar[[#This Row],[WeekDay]]=1, calendar[[#This Row],[WeekDay]]=7),P2683,P2683+1)</f>
        <v>1916</v>
      </c>
      <c r="Q2684">
        <f>IF(OR(calendar[[#This Row],[FR_BH]]=1,calendar[[#This Row],[WeekDay]]=1, calendar[[#This Row],[WeekDay]]=7),P2683,P2683+1)</f>
        <v>1916</v>
      </c>
      <c r="R2684">
        <f>IF(OR(calendar[[#This Row],[SP_BH]]=1,calendar[[#This Row],[WeekDay]]=1, calendar[[#This Row],[WeekDay]]=7),P2683,P2683+1)</f>
        <v>1916</v>
      </c>
      <c r="S2684">
        <f>IF(OR(calendar[[#This Row],[PT_BH]]=1,calendar[[#This Row],[WeekDay]]=1, calendar[[#This Row],[WeekDay]]=7),P2683,P2683+1)</f>
        <v>1916</v>
      </c>
    </row>
    <row r="2685" spans="1:19" x14ac:dyDescent="0.25">
      <c r="A2685" s="2">
        <v>45419</v>
      </c>
      <c r="B2685" s="1">
        <f t="shared" si="208"/>
        <v>19</v>
      </c>
      <c r="C2685">
        <f t="shared" si="210"/>
        <v>5</v>
      </c>
      <c r="D2685" t="str">
        <f t="shared" si="211"/>
        <v>May</v>
      </c>
      <c r="E2685">
        <f t="shared" si="212"/>
        <v>2024</v>
      </c>
      <c r="F2685" t="str">
        <f>CONCATENATE(calendar[[#This Row],[Month]],"/",calendar[[#This Row],[Year]])</f>
        <v>5/2024</v>
      </c>
      <c r="G2685">
        <f>WEEKDAY(calendar[[#This Row],[Date]],1)</f>
        <v>3</v>
      </c>
      <c r="H2685" t="str">
        <f>TEXT(calendar[[#This Row],[WeekDay]],"dddd")</f>
        <v>Tuesday</v>
      </c>
      <c r="I2685">
        <f>IF((INT(calendar[[#This Row],[Count]]/7)-calendar[[#This Row],[Count]]/7)&lt;0,I2684,I2684+1)</f>
        <v>384</v>
      </c>
      <c r="J2685">
        <f t="shared" si="209"/>
        <v>2683</v>
      </c>
      <c r="K2685">
        <f>IF(calendar[[#This Row],[Month]]&lt;4,1,IF(calendar[[#This Row],[Month]]&lt;7,2,IF(calendar[[#This Row],[Month]]&lt;10,3,4)))</f>
        <v>2</v>
      </c>
      <c r="L2685">
        <f>IFERROR(IF(VLOOKUP(calendar[[#This Row],[Date]],BH!A:A,1,)&lt;&gt;"",1,0),0)</f>
        <v>0</v>
      </c>
      <c r="M2685">
        <f>IFERROR(IF(VLOOKUP(calendar[[#This Row],[Date]],BH!C:C,1,)&lt;&gt;"",1,0),0)</f>
        <v>0</v>
      </c>
      <c r="N2685">
        <f>IFERROR(IF(VLOOKUP(calendar[[#This Row],[Date]],BH!E:E,1,)&lt;&gt;"",1,0),0)</f>
        <v>0</v>
      </c>
      <c r="O2685">
        <f>IFERROR(IF(VLOOKUP(calendar[[#This Row],[Date]],BH!G:G,1,)&lt;&gt;"",1,0),0)</f>
        <v>0</v>
      </c>
      <c r="P2685">
        <f>IF(OR(calendar[[#This Row],[UK_BH]]=1,calendar[[#This Row],[WeekDay]]=1, calendar[[#This Row],[WeekDay]]=7),P2684,P2684+1)</f>
        <v>1917</v>
      </c>
      <c r="Q2685">
        <f>IF(OR(calendar[[#This Row],[FR_BH]]=1,calendar[[#This Row],[WeekDay]]=1, calendar[[#This Row],[WeekDay]]=7),P2684,P2684+1)</f>
        <v>1917</v>
      </c>
      <c r="R2685">
        <f>IF(OR(calendar[[#This Row],[SP_BH]]=1,calendar[[#This Row],[WeekDay]]=1, calendar[[#This Row],[WeekDay]]=7),P2684,P2684+1)</f>
        <v>1917</v>
      </c>
      <c r="S2685">
        <f>IF(OR(calendar[[#This Row],[PT_BH]]=1,calendar[[#This Row],[WeekDay]]=1, calendar[[#This Row],[WeekDay]]=7),P2684,P2684+1)</f>
        <v>1917</v>
      </c>
    </row>
    <row r="2686" spans="1:19" x14ac:dyDescent="0.25">
      <c r="A2686" s="2">
        <v>45420</v>
      </c>
      <c r="B2686" s="1">
        <f t="shared" si="208"/>
        <v>19</v>
      </c>
      <c r="C2686">
        <f t="shared" si="210"/>
        <v>5</v>
      </c>
      <c r="D2686" t="str">
        <f t="shared" si="211"/>
        <v>May</v>
      </c>
      <c r="E2686">
        <f t="shared" si="212"/>
        <v>2024</v>
      </c>
      <c r="F2686" t="str">
        <f>CONCATENATE(calendar[[#This Row],[Month]],"/",calendar[[#This Row],[Year]])</f>
        <v>5/2024</v>
      </c>
      <c r="G2686">
        <f>WEEKDAY(calendar[[#This Row],[Date]],1)</f>
        <v>4</v>
      </c>
      <c r="H2686" t="str">
        <f>TEXT(calendar[[#This Row],[WeekDay]],"dddd")</f>
        <v>Wednesday</v>
      </c>
      <c r="I2686">
        <f>IF((INT(calendar[[#This Row],[Count]]/7)-calendar[[#This Row],[Count]]/7)&lt;0,I2685,I2685+1)</f>
        <v>384</v>
      </c>
      <c r="J2686">
        <f t="shared" si="209"/>
        <v>2684</v>
      </c>
      <c r="K2686">
        <f>IF(calendar[[#This Row],[Month]]&lt;4,1,IF(calendar[[#This Row],[Month]]&lt;7,2,IF(calendar[[#This Row],[Month]]&lt;10,3,4)))</f>
        <v>2</v>
      </c>
      <c r="L2686">
        <f>IFERROR(IF(VLOOKUP(calendar[[#This Row],[Date]],BH!A:A,1,)&lt;&gt;"",1,0),0)</f>
        <v>0</v>
      </c>
      <c r="M2686">
        <f>IFERROR(IF(VLOOKUP(calendar[[#This Row],[Date]],BH!C:C,1,)&lt;&gt;"",1,0),0)</f>
        <v>0</v>
      </c>
      <c r="N2686">
        <f>IFERROR(IF(VLOOKUP(calendar[[#This Row],[Date]],BH!E:E,1,)&lt;&gt;"",1,0),0)</f>
        <v>0</v>
      </c>
      <c r="O2686">
        <f>IFERROR(IF(VLOOKUP(calendar[[#This Row],[Date]],BH!G:G,1,)&lt;&gt;"",1,0),0)</f>
        <v>0</v>
      </c>
      <c r="P2686">
        <f>IF(OR(calendar[[#This Row],[UK_BH]]=1,calendar[[#This Row],[WeekDay]]=1, calendar[[#This Row],[WeekDay]]=7),P2685,P2685+1)</f>
        <v>1918</v>
      </c>
      <c r="Q2686">
        <f>IF(OR(calendar[[#This Row],[FR_BH]]=1,calendar[[#This Row],[WeekDay]]=1, calendar[[#This Row],[WeekDay]]=7),P2685,P2685+1)</f>
        <v>1918</v>
      </c>
      <c r="R2686">
        <f>IF(OR(calendar[[#This Row],[SP_BH]]=1,calendar[[#This Row],[WeekDay]]=1, calendar[[#This Row],[WeekDay]]=7),P2685,P2685+1)</f>
        <v>1918</v>
      </c>
      <c r="S2686">
        <f>IF(OR(calendar[[#This Row],[PT_BH]]=1,calendar[[#This Row],[WeekDay]]=1, calendar[[#This Row],[WeekDay]]=7),P2685,P2685+1)</f>
        <v>1918</v>
      </c>
    </row>
    <row r="2687" spans="1:19" x14ac:dyDescent="0.25">
      <c r="A2687" s="2">
        <v>45421</v>
      </c>
      <c r="B2687" s="1">
        <f t="shared" si="208"/>
        <v>19</v>
      </c>
      <c r="C2687">
        <f t="shared" si="210"/>
        <v>5</v>
      </c>
      <c r="D2687" t="str">
        <f t="shared" si="211"/>
        <v>May</v>
      </c>
      <c r="E2687">
        <f t="shared" si="212"/>
        <v>2024</v>
      </c>
      <c r="F2687" t="str">
        <f>CONCATENATE(calendar[[#This Row],[Month]],"/",calendar[[#This Row],[Year]])</f>
        <v>5/2024</v>
      </c>
      <c r="G2687">
        <f>WEEKDAY(calendar[[#This Row],[Date]],1)</f>
        <v>5</v>
      </c>
      <c r="H2687" t="str">
        <f>TEXT(calendar[[#This Row],[WeekDay]],"dddd")</f>
        <v>Thursday</v>
      </c>
      <c r="I2687">
        <f>IF((INT(calendar[[#This Row],[Count]]/7)-calendar[[#This Row],[Count]]/7)&lt;0,I2686,I2686+1)</f>
        <v>384</v>
      </c>
      <c r="J2687">
        <f t="shared" si="209"/>
        <v>2685</v>
      </c>
      <c r="K2687">
        <f>IF(calendar[[#This Row],[Month]]&lt;4,1,IF(calendar[[#This Row],[Month]]&lt;7,2,IF(calendar[[#This Row],[Month]]&lt;10,3,4)))</f>
        <v>2</v>
      </c>
      <c r="L2687">
        <f>IFERROR(IF(VLOOKUP(calendar[[#This Row],[Date]],BH!A:A,1,)&lt;&gt;"",1,0),0)</f>
        <v>0</v>
      </c>
      <c r="M2687">
        <f>IFERROR(IF(VLOOKUP(calendar[[#This Row],[Date]],BH!C:C,1,)&lt;&gt;"",1,0),0)</f>
        <v>0</v>
      </c>
      <c r="N2687">
        <f>IFERROR(IF(VLOOKUP(calendar[[#This Row],[Date]],BH!E:E,1,)&lt;&gt;"",1,0),0)</f>
        <v>0</v>
      </c>
      <c r="O2687">
        <f>IFERROR(IF(VLOOKUP(calendar[[#This Row],[Date]],BH!G:G,1,)&lt;&gt;"",1,0),0)</f>
        <v>0</v>
      </c>
      <c r="P2687">
        <f>IF(OR(calendar[[#This Row],[UK_BH]]=1,calendar[[#This Row],[WeekDay]]=1, calendar[[#This Row],[WeekDay]]=7),P2686,P2686+1)</f>
        <v>1919</v>
      </c>
      <c r="Q2687">
        <f>IF(OR(calendar[[#This Row],[FR_BH]]=1,calendar[[#This Row],[WeekDay]]=1, calendar[[#This Row],[WeekDay]]=7),P2686,P2686+1)</f>
        <v>1919</v>
      </c>
      <c r="R2687">
        <f>IF(OR(calendar[[#This Row],[SP_BH]]=1,calendar[[#This Row],[WeekDay]]=1, calendar[[#This Row],[WeekDay]]=7),P2686,P2686+1)</f>
        <v>1919</v>
      </c>
      <c r="S2687">
        <f>IF(OR(calendar[[#This Row],[PT_BH]]=1,calendar[[#This Row],[WeekDay]]=1, calendar[[#This Row],[WeekDay]]=7),P2686,P2686+1)</f>
        <v>1919</v>
      </c>
    </row>
    <row r="2688" spans="1:19" x14ac:dyDescent="0.25">
      <c r="A2688" s="2">
        <v>45422</v>
      </c>
      <c r="B2688" s="1">
        <f t="shared" si="208"/>
        <v>19</v>
      </c>
      <c r="C2688">
        <f t="shared" si="210"/>
        <v>5</v>
      </c>
      <c r="D2688" t="str">
        <f t="shared" si="211"/>
        <v>May</v>
      </c>
      <c r="E2688">
        <f t="shared" si="212"/>
        <v>2024</v>
      </c>
      <c r="F2688" t="str">
        <f>CONCATENATE(calendar[[#This Row],[Month]],"/",calendar[[#This Row],[Year]])</f>
        <v>5/2024</v>
      </c>
      <c r="G2688">
        <f>WEEKDAY(calendar[[#This Row],[Date]],1)</f>
        <v>6</v>
      </c>
      <c r="H2688" t="str">
        <f>TEXT(calendar[[#This Row],[WeekDay]],"dddd")</f>
        <v>Friday</v>
      </c>
      <c r="I2688">
        <f>IF((INT(calendar[[#This Row],[Count]]/7)-calendar[[#This Row],[Count]]/7)&lt;0,I2687,I2687+1)</f>
        <v>384</v>
      </c>
      <c r="J2688">
        <f t="shared" si="209"/>
        <v>2686</v>
      </c>
      <c r="K2688">
        <f>IF(calendar[[#This Row],[Month]]&lt;4,1,IF(calendar[[#This Row],[Month]]&lt;7,2,IF(calendar[[#This Row],[Month]]&lt;10,3,4)))</f>
        <v>2</v>
      </c>
      <c r="L2688">
        <f>IFERROR(IF(VLOOKUP(calendar[[#This Row],[Date]],BH!A:A,1,)&lt;&gt;"",1,0),0)</f>
        <v>0</v>
      </c>
      <c r="M2688">
        <f>IFERROR(IF(VLOOKUP(calendar[[#This Row],[Date]],BH!C:C,1,)&lt;&gt;"",1,0),0)</f>
        <v>0</v>
      </c>
      <c r="N2688">
        <f>IFERROR(IF(VLOOKUP(calendar[[#This Row],[Date]],BH!E:E,1,)&lt;&gt;"",1,0),0)</f>
        <v>0</v>
      </c>
      <c r="O2688">
        <f>IFERROR(IF(VLOOKUP(calendar[[#This Row],[Date]],BH!G:G,1,)&lt;&gt;"",1,0),0)</f>
        <v>0</v>
      </c>
      <c r="P2688">
        <f>IF(OR(calendar[[#This Row],[UK_BH]]=1,calendar[[#This Row],[WeekDay]]=1, calendar[[#This Row],[WeekDay]]=7),P2687,P2687+1)</f>
        <v>1920</v>
      </c>
      <c r="Q2688">
        <f>IF(OR(calendar[[#This Row],[FR_BH]]=1,calendar[[#This Row],[WeekDay]]=1, calendar[[#This Row],[WeekDay]]=7),P2687,P2687+1)</f>
        <v>1920</v>
      </c>
      <c r="R2688">
        <f>IF(OR(calendar[[#This Row],[SP_BH]]=1,calendar[[#This Row],[WeekDay]]=1, calendar[[#This Row],[WeekDay]]=7),P2687,P2687+1)</f>
        <v>1920</v>
      </c>
      <c r="S2688">
        <f>IF(OR(calendar[[#This Row],[PT_BH]]=1,calendar[[#This Row],[WeekDay]]=1, calendar[[#This Row],[WeekDay]]=7),P2687,P2687+1)</f>
        <v>1920</v>
      </c>
    </row>
    <row r="2689" spans="1:19" x14ac:dyDescent="0.25">
      <c r="A2689" s="2">
        <v>45423</v>
      </c>
      <c r="B2689" s="1">
        <f t="shared" si="208"/>
        <v>19</v>
      </c>
      <c r="C2689">
        <f t="shared" si="210"/>
        <v>5</v>
      </c>
      <c r="D2689" t="str">
        <f t="shared" si="211"/>
        <v>May</v>
      </c>
      <c r="E2689">
        <f t="shared" si="212"/>
        <v>2024</v>
      </c>
      <c r="F2689" t="str">
        <f>CONCATENATE(calendar[[#This Row],[Month]],"/",calendar[[#This Row],[Year]])</f>
        <v>5/2024</v>
      </c>
      <c r="G2689">
        <f>WEEKDAY(calendar[[#This Row],[Date]],1)</f>
        <v>7</v>
      </c>
      <c r="H2689" t="str">
        <f>TEXT(calendar[[#This Row],[WeekDay]],"dddd")</f>
        <v>Saturday</v>
      </c>
      <c r="I2689">
        <f>IF((INT(calendar[[#This Row],[Count]]/7)-calendar[[#This Row],[Count]]/7)&lt;0,I2688,I2688+1)</f>
        <v>384</v>
      </c>
      <c r="J2689">
        <f t="shared" si="209"/>
        <v>2687</v>
      </c>
      <c r="K2689">
        <f>IF(calendar[[#This Row],[Month]]&lt;4,1,IF(calendar[[#This Row],[Month]]&lt;7,2,IF(calendar[[#This Row],[Month]]&lt;10,3,4)))</f>
        <v>2</v>
      </c>
      <c r="L2689">
        <f>IFERROR(IF(VLOOKUP(calendar[[#This Row],[Date]],BH!A:A,1,)&lt;&gt;"",1,0),0)</f>
        <v>0</v>
      </c>
      <c r="M2689">
        <f>IFERROR(IF(VLOOKUP(calendar[[#This Row],[Date]],BH!C:C,1,)&lt;&gt;"",1,0),0)</f>
        <v>0</v>
      </c>
      <c r="N2689">
        <f>IFERROR(IF(VLOOKUP(calendar[[#This Row],[Date]],BH!E:E,1,)&lt;&gt;"",1,0),0)</f>
        <v>0</v>
      </c>
      <c r="O2689">
        <f>IFERROR(IF(VLOOKUP(calendar[[#This Row],[Date]],BH!G:G,1,)&lt;&gt;"",1,0),0)</f>
        <v>0</v>
      </c>
      <c r="P2689">
        <f>IF(OR(calendar[[#This Row],[UK_BH]]=1,calendar[[#This Row],[WeekDay]]=1, calendar[[#This Row],[WeekDay]]=7),P2688,P2688+1)</f>
        <v>1920</v>
      </c>
      <c r="Q2689">
        <f>IF(OR(calendar[[#This Row],[FR_BH]]=1,calendar[[#This Row],[WeekDay]]=1, calendar[[#This Row],[WeekDay]]=7),P2688,P2688+1)</f>
        <v>1920</v>
      </c>
      <c r="R2689">
        <f>IF(OR(calendar[[#This Row],[SP_BH]]=1,calendar[[#This Row],[WeekDay]]=1, calendar[[#This Row],[WeekDay]]=7),P2688,P2688+1)</f>
        <v>1920</v>
      </c>
      <c r="S2689">
        <f>IF(OR(calendar[[#This Row],[PT_BH]]=1,calendar[[#This Row],[WeekDay]]=1, calendar[[#This Row],[WeekDay]]=7),P2688,P2688+1)</f>
        <v>1920</v>
      </c>
    </row>
    <row r="2690" spans="1:19" x14ac:dyDescent="0.25">
      <c r="A2690" s="2">
        <v>45424</v>
      </c>
      <c r="B2690" s="1">
        <f t="shared" ref="B2690:B2753" si="213">WEEKNUM(A2690)</f>
        <v>20</v>
      </c>
      <c r="C2690">
        <f t="shared" si="210"/>
        <v>5</v>
      </c>
      <c r="D2690" t="str">
        <f t="shared" si="211"/>
        <v>May</v>
      </c>
      <c r="E2690">
        <f t="shared" si="212"/>
        <v>2024</v>
      </c>
      <c r="F2690" t="str">
        <f>CONCATENATE(calendar[[#This Row],[Month]],"/",calendar[[#This Row],[Year]])</f>
        <v>5/2024</v>
      </c>
      <c r="G2690">
        <f>WEEKDAY(calendar[[#This Row],[Date]],1)</f>
        <v>1</v>
      </c>
      <c r="H2690" t="str">
        <f>TEXT(calendar[[#This Row],[WeekDay]],"dddd")</f>
        <v>Sunday</v>
      </c>
      <c r="I2690">
        <f>IF((INT(calendar[[#This Row],[Count]]/7)-calendar[[#This Row],[Count]]/7)&lt;0,I2689,I2689+1)</f>
        <v>385</v>
      </c>
      <c r="J2690">
        <f t="shared" si="209"/>
        <v>2688</v>
      </c>
      <c r="K2690">
        <f>IF(calendar[[#This Row],[Month]]&lt;4,1,IF(calendar[[#This Row],[Month]]&lt;7,2,IF(calendar[[#This Row],[Month]]&lt;10,3,4)))</f>
        <v>2</v>
      </c>
      <c r="L2690">
        <f>IFERROR(IF(VLOOKUP(calendar[[#This Row],[Date]],BH!A:A,1,)&lt;&gt;"",1,0),0)</f>
        <v>0</v>
      </c>
      <c r="M2690">
        <f>IFERROR(IF(VLOOKUP(calendar[[#This Row],[Date]],BH!C:C,1,)&lt;&gt;"",1,0),0)</f>
        <v>0</v>
      </c>
      <c r="N2690">
        <f>IFERROR(IF(VLOOKUP(calendar[[#This Row],[Date]],BH!E:E,1,)&lt;&gt;"",1,0),0)</f>
        <v>0</v>
      </c>
      <c r="O2690">
        <f>IFERROR(IF(VLOOKUP(calendar[[#This Row],[Date]],BH!G:G,1,)&lt;&gt;"",1,0),0)</f>
        <v>0</v>
      </c>
      <c r="P2690">
        <f>IF(OR(calendar[[#This Row],[UK_BH]]=1,calendar[[#This Row],[WeekDay]]=1, calendar[[#This Row],[WeekDay]]=7),P2689,P2689+1)</f>
        <v>1920</v>
      </c>
      <c r="Q2690">
        <f>IF(OR(calendar[[#This Row],[FR_BH]]=1,calendar[[#This Row],[WeekDay]]=1, calendar[[#This Row],[WeekDay]]=7),P2689,P2689+1)</f>
        <v>1920</v>
      </c>
      <c r="R2690">
        <f>IF(OR(calendar[[#This Row],[SP_BH]]=1,calendar[[#This Row],[WeekDay]]=1, calendar[[#This Row],[WeekDay]]=7),P2689,P2689+1)</f>
        <v>1920</v>
      </c>
      <c r="S2690">
        <f>IF(OR(calendar[[#This Row],[PT_BH]]=1,calendar[[#This Row],[WeekDay]]=1, calendar[[#This Row],[WeekDay]]=7),P2689,P2689+1)</f>
        <v>1920</v>
      </c>
    </row>
    <row r="2691" spans="1:19" x14ac:dyDescent="0.25">
      <c r="A2691" s="2">
        <v>45425</v>
      </c>
      <c r="B2691" s="1">
        <f t="shared" si="213"/>
        <v>20</v>
      </c>
      <c r="C2691">
        <f t="shared" si="210"/>
        <v>5</v>
      </c>
      <c r="D2691" t="str">
        <f t="shared" si="211"/>
        <v>May</v>
      </c>
      <c r="E2691">
        <f t="shared" si="212"/>
        <v>2024</v>
      </c>
      <c r="F2691" t="str">
        <f>CONCATENATE(calendar[[#This Row],[Month]],"/",calendar[[#This Row],[Year]])</f>
        <v>5/2024</v>
      </c>
      <c r="G2691">
        <f>WEEKDAY(calendar[[#This Row],[Date]],1)</f>
        <v>2</v>
      </c>
      <c r="H2691" t="str">
        <f>TEXT(calendar[[#This Row],[WeekDay]],"dddd")</f>
        <v>Monday</v>
      </c>
      <c r="I2691">
        <f>IF((INT(calendar[[#This Row],[Count]]/7)-calendar[[#This Row],[Count]]/7)&lt;0,I2690,I2690+1)</f>
        <v>385</v>
      </c>
      <c r="J2691">
        <f t="shared" ref="J2691:J2754" si="214">J2690+1</f>
        <v>2689</v>
      </c>
      <c r="K2691">
        <f>IF(calendar[[#This Row],[Month]]&lt;4,1,IF(calendar[[#This Row],[Month]]&lt;7,2,IF(calendar[[#This Row],[Month]]&lt;10,3,4)))</f>
        <v>2</v>
      </c>
      <c r="L2691">
        <f>IFERROR(IF(VLOOKUP(calendar[[#This Row],[Date]],BH!A:A,1,)&lt;&gt;"",1,0),0)</f>
        <v>0</v>
      </c>
      <c r="M2691">
        <f>IFERROR(IF(VLOOKUP(calendar[[#This Row],[Date]],BH!C:C,1,)&lt;&gt;"",1,0),0)</f>
        <v>0</v>
      </c>
      <c r="N2691">
        <f>IFERROR(IF(VLOOKUP(calendar[[#This Row],[Date]],BH!E:E,1,)&lt;&gt;"",1,0),0)</f>
        <v>0</v>
      </c>
      <c r="O2691">
        <f>IFERROR(IF(VLOOKUP(calendar[[#This Row],[Date]],BH!G:G,1,)&lt;&gt;"",1,0),0)</f>
        <v>0</v>
      </c>
      <c r="P2691">
        <f>IF(OR(calendar[[#This Row],[UK_BH]]=1,calendar[[#This Row],[WeekDay]]=1, calendar[[#This Row],[WeekDay]]=7),P2690,P2690+1)</f>
        <v>1921</v>
      </c>
      <c r="Q2691">
        <f>IF(OR(calendar[[#This Row],[FR_BH]]=1,calendar[[#This Row],[WeekDay]]=1, calendar[[#This Row],[WeekDay]]=7),P2690,P2690+1)</f>
        <v>1921</v>
      </c>
      <c r="R2691">
        <f>IF(OR(calendar[[#This Row],[SP_BH]]=1,calendar[[#This Row],[WeekDay]]=1, calendar[[#This Row],[WeekDay]]=7),P2690,P2690+1)</f>
        <v>1921</v>
      </c>
      <c r="S2691">
        <f>IF(OR(calendar[[#This Row],[PT_BH]]=1,calendar[[#This Row],[WeekDay]]=1, calendar[[#This Row],[WeekDay]]=7),P2690,P2690+1)</f>
        <v>1921</v>
      </c>
    </row>
    <row r="2692" spans="1:19" x14ac:dyDescent="0.25">
      <c r="A2692" s="2">
        <v>45426</v>
      </c>
      <c r="B2692" s="1">
        <f t="shared" si="213"/>
        <v>20</v>
      </c>
      <c r="C2692">
        <f t="shared" si="210"/>
        <v>5</v>
      </c>
      <c r="D2692" t="str">
        <f t="shared" si="211"/>
        <v>May</v>
      </c>
      <c r="E2692">
        <f t="shared" si="212"/>
        <v>2024</v>
      </c>
      <c r="F2692" t="str">
        <f>CONCATENATE(calendar[[#This Row],[Month]],"/",calendar[[#This Row],[Year]])</f>
        <v>5/2024</v>
      </c>
      <c r="G2692">
        <f>WEEKDAY(calendar[[#This Row],[Date]],1)</f>
        <v>3</v>
      </c>
      <c r="H2692" t="str">
        <f>TEXT(calendar[[#This Row],[WeekDay]],"dddd")</f>
        <v>Tuesday</v>
      </c>
      <c r="I2692">
        <f>IF((INT(calendar[[#This Row],[Count]]/7)-calendar[[#This Row],[Count]]/7)&lt;0,I2691,I2691+1)</f>
        <v>385</v>
      </c>
      <c r="J2692">
        <f t="shared" si="214"/>
        <v>2690</v>
      </c>
      <c r="K2692">
        <f>IF(calendar[[#This Row],[Month]]&lt;4,1,IF(calendar[[#This Row],[Month]]&lt;7,2,IF(calendar[[#This Row],[Month]]&lt;10,3,4)))</f>
        <v>2</v>
      </c>
      <c r="L2692">
        <f>IFERROR(IF(VLOOKUP(calendar[[#This Row],[Date]],BH!A:A,1,)&lt;&gt;"",1,0),0)</f>
        <v>0</v>
      </c>
      <c r="M2692">
        <f>IFERROR(IF(VLOOKUP(calendar[[#This Row],[Date]],BH!C:C,1,)&lt;&gt;"",1,0),0)</f>
        <v>0</v>
      </c>
      <c r="N2692">
        <f>IFERROR(IF(VLOOKUP(calendar[[#This Row],[Date]],BH!E:E,1,)&lt;&gt;"",1,0),0)</f>
        <v>0</v>
      </c>
      <c r="O2692">
        <f>IFERROR(IF(VLOOKUP(calendar[[#This Row],[Date]],BH!G:G,1,)&lt;&gt;"",1,0),0)</f>
        <v>0</v>
      </c>
      <c r="P2692">
        <f>IF(OR(calendar[[#This Row],[UK_BH]]=1,calendar[[#This Row],[WeekDay]]=1, calendar[[#This Row],[WeekDay]]=7),P2691,P2691+1)</f>
        <v>1922</v>
      </c>
      <c r="Q2692">
        <f>IF(OR(calendar[[#This Row],[FR_BH]]=1,calendar[[#This Row],[WeekDay]]=1, calendar[[#This Row],[WeekDay]]=7),P2691,P2691+1)</f>
        <v>1922</v>
      </c>
      <c r="R2692">
        <f>IF(OR(calendar[[#This Row],[SP_BH]]=1,calendar[[#This Row],[WeekDay]]=1, calendar[[#This Row],[WeekDay]]=7),P2691,P2691+1)</f>
        <v>1922</v>
      </c>
      <c r="S2692">
        <f>IF(OR(calendar[[#This Row],[PT_BH]]=1,calendar[[#This Row],[WeekDay]]=1, calendar[[#This Row],[WeekDay]]=7),P2691,P2691+1)</f>
        <v>1922</v>
      </c>
    </row>
    <row r="2693" spans="1:19" x14ac:dyDescent="0.25">
      <c r="A2693" s="2">
        <v>45427</v>
      </c>
      <c r="B2693" s="1">
        <f t="shared" si="213"/>
        <v>20</v>
      </c>
      <c r="C2693">
        <f t="shared" si="210"/>
        <v>5</v>
      </c>
      <c r="D2693" t="str">
        <f t="shared" si="211"/>
        <v>May</v>
      </c>
      <c r="E2693">
        <f t="shared" si="212"/>
        <v>2024</v>
      </c>
      <c r="F2693" t="str">
        <f>CONCATENATE(calendar[[#This Row],[Month]],"/",calendar[[#This Row],[Year]])</f>
        <v>5/2024</v>
      </c>
      <c r="G2693">
        <f>WEEKDAY(calendar[[#This Row],[Date]],1)</f>
        <v>4</v>
      </c>
      <c r="H2693" t="str">
        <f>TEXT(calendar[[#This Row],[WeekDay]],"dddd")</f>
        <v>Wednesday</v>
      </c>
      <c r="I2693">
        <f>IF((INT(calendar[[#This Row],[Count]]/7)-calendar[[#This Row],[Count]]/7)&lt;0,I2692,I2692+1)</f>
        <v>385</v>
      </c>
      <c r="J2693">
        <f t="shared" si="214"/>
        <v>2691</v>
      </c>
      <c r="K2693">
        <f>IF(calendar[[#This Row],[Month]]&lt;4,1,IF(calendar[[#This Row],[Month]]&lt;7,2,IF(calendar[[#This Row],[Month]]&lt;10,3,4)))</f>
        <v>2</v>
      </c>
      <c r="L2693">
        <f>IFERROR(IF(VLOOKUP(calendar[[#This Row],[Date]],BH!A:A,1,)&lt;&gt;"",1,0),0)</f>
        <v>0</v>
      </c>
      <c r="M2693">
        <f>IFERROR(IF(VLOOKUP(calendar[[#This Row],[Date]],BH!C:C,1,)&lt;&gt;"",1,0),0)</f>
        <v>0</v>
      </c>
      <c r="N2693">
        <f>IFERROR(IF(VLOOKUP(calendar[[#This Row],[Date]],BH!E:E,1,)&lt;&gt;"",1,0),0)</f>
        <v>0</v>
      </c>
      <c r="O2693">
        <f>IFERROR(IF(VLOOKUP(calendar[[#This Row],[Date]],BH!G:G,1,)&lt;&gt;"",1,0),0)</f>
        <v>0</v>
      </c>
      <c r="P2693">
        <f>IF(OR(calendar[[#This Row],[UK_BH]]=1,calendar[[#This Row],[WeekDay]]=1, calendar[[#This Row],[WeekDay]]=7),P2692,P2692+1)</f>
        <v>1923</v>
      </c>
      <c r="Q2693">
        <f>IF(OR(calendar[[#This Row],[FR_BH]]=1,calendar[[#This Row],[WeekDay]]=1, calendar[[#This Row],[WeekDay]]=7),P2692,P2692+1)</f>
        <v>1923</v>
      </c>
      <c r="R2693">
        <f>IF(OR(calendar[[#This Row],[SP_BH]]=1,calendar[[#This Row],[WeekDay]]=1, calendar[[#This Row],[WeekDay]]=7),P2692,P2692+1)</f>
        <v>1923</v>
      </c>
      <c r="S2693">
        <f>IF(OR(calendar[[#This Row],[PT_BH]]=1,calendar[[#This Row],[WeekDay]]=1, calendar[[#This Row],[WeekDay]]=7),P2692,P2692+1)</f>
        <v>1923</v>
      </c>
    </row>
    <row r="2694" spans="1:19" x14ac:dyDescent="0.25">
      <c r="A2694" s="2">
        <v>45428</v>
      </c>
      <c r="B2694" s="1">
        <f t="shared" si="213"/>
        <v>20</v>
      </c>
      <c r="C2694">
        <f t="shared" si="210"/>
        <v>5</v>
      </c>
      <c r="D2694" t="str">
        <f t="shared" si="211"/>
        <v>May</v>
      </c>
      <c r="E2694">
        <f t="shared" si="212"/>
        <v>2024</v>
      </c>
      <c r="F2694" t="str">
        <f>CONCATENATE(calendar[[#This Row],[Month]],"/",calendar[[#This Row],[Year]])</f>
        <v>5/2024</v>
      </c>
      <c r="G2694">
        <f>WEEKDAY(calendar[[#This Row],[Date]],1)</f>
        <v>5</v>
      </c>
      <c r="H2694" t="str">
        <f>TEXT(calendar[[#This Row],[WeekDay]],"dddd")</f>
        <v>Thursday</v>
      </c>
      <c r="I2694">
        <f>IF((INT(calendar[[#This Row],[Count]]/7)-calendar[[#This Row],[Count]]/7)&lt;0,I2693,I2693+1)</f>
        <v>385</v>
      </c>
      <c r="J2694">
        <f t="shared" si="214"/>
        <v>2692</v>
      </c>
      <c r="K2694">
        <f>IF(calendar[[#This Row],[Month]]&lt;4,1,IF(calendar[[#This Row],[Month]]&lt;7,2,IF(calendar[[#This Row],[Month]]&lt;10,3,4)))</f>
        <v>2</v>
      </c>
      <c r="L2694">
        <f>IFERROR(IF(VLOOKUP(calendar[[#This Row],[Date]],BH!A:A,1,)&lt;&gt;"",1,0),0)</f>
        <v>0</v>
      </c>
      <c r="M2694">
        <f>IFERROR(IF(VLOOKUP(calendar[[#This Row],[Date]],BH!C:C,1,)&lt;&gt;"",1,0),0)</f>
        <v>0</v>
      </c>
      <c r="N2694">
        <f>IFERROR(IF(VLOOKUP(calendar[[#This Row],[Date]],BH!E:E,1,)&lt;&gt;"",1,0),0)</f>
        <v>0</v>
      </c>
      <c r="O2694">
        <f>IFERROR(IF(VLOOKUP(calendar[[#This Row],[Date]],BH!G:G,1,)&lt;&gt;"",1,0),0)</f>
        <v>0</v>
      </c>
      <c r="P2694">
        <f>IF(OR(calendar[[#This Row],[UK_BH]]=1,calendar[[#This Row],[WeekDay]]=1, calendar[[#This Row],[WeekDay]]=7),P2693,P2693+1)</f>
        <v>1924</v>
      </c>
      <c r="Q2694">
        <f>IF(OR(calendar[[#This Row],[FR_BH]]=1,calendar[[#This Row],[WeekDay]]=1, calendar[[#This Row],[WeekDay]]=7),P2693,P2693+1)</f>
        <v>1924</v>
      </c>
      <c r="R2694">
        <f>IF(OR(calendar[[#This Row],[SP_BH]]=1,calendar[[#This Row],[WeekDay]]=1, calendar[[#This Row],[WeekDay]]=7),P2693,P2693+1)</f>
        <v>1924</v>
      </c>
      <c r="S2694">
        <f>IF(OR(calendar[[#This Row],[PT_BH]]=1,calendar[[#This Row],[WeekDay]]=1, calendar[[#This Row],[WeekDay]]=7),P2693,P2693+1)</f>
        <v>1924</v>
      </c>
    </row>
    <row r="2695" spans="1:19" x14ac:dyDescent="0.25">
      <c r="A2695" s="2">
        <v>45429</v>
      </c>
      <c r="B2695" s="1">
        <f t="shared" si="213"/>
        <v>20</v>
      </c>
      <c r="C2695">
        <f t="shared" si="210"/>
        <v>5</v>
      </c>
      <c r="D2695" t="str">
        <f t="shared" si="211"/>
        <v>May</v>
      </c>
      <c r="E2695">
        <f t="shared" si="212"/>
        <v>2024</v>
      </c>
      <c r="F2695" t="str">
        <f>CONCATENATE(calendar[[#This Row],[Month]],"/",calendar[[#This Row],[Year]])</f>
        <v>5/2024</v>
      </c>
      <c r="G2695">
        <f>WEEKDAY(calendar[[#This Row],[Date]],1)</f>
        <v>6</v>
      </c>
      <c r="H2695" t="str">
        <f>TEXT(calendar[[#This Row],[WeekDay]],"dddd")</f>
        <v>Friday</v>
      </c>
      <c r="I2695">
        <f>IF((INT(calendar[[#This Row],[Count]]/7)-calendar[[#This Row],[Count]]/7)&lt;0,I2694,I2694+1)</f>
        <v>385</v>
      </c>
      <c r="J2695">
        <f t="shared" si="214"/>
        <v>2693</v>
      </c>
      <c r="K2695">
        <f>IF(calendar[[#This Row],[Month]]&lt;4,1,IF(calendar[[#This Row],[Month]]&lt;7,2,IF(calendar[[#This Row],[Month]]&lt;10,3,4)))</f>
        <v>2</v>
      </c>
      <c r="L2695">
        <f>IFERROR(IF(VLOOKUP(calendar[[#This Row],[Date]],BH!A:A,1,)&lt;&gt;"",1,0),0)</f>
        <v>0</v>
      </c>
      <c r="M2695">
        <f>IFERROR(IF(VLOOKUP(calendar[[#This Row],[Date]],BH!C:C,1,)&lt;&gt;"",1,0),0)</f>
        <v>0</v>
      </c>
      <c r="N2695">
        <f>IFERROR(IF(VLOOKUP(calendar[[#This Row],[Date]],BH!E:E,1,)&lt;&gt;"",1,0),0)</f>
        <v>0</v>
      </c>
      <c r="O2695">
        <f>IFERROR(IF(VLOOKUP(calendar[[#This Row],[Date]],BH!G:G,1,)&lt;&gt;"",1,0),0)</f>
        <v>0</v>
      </c>
      <c r="P2695">
        <f>IF(OR(calendar[[#This Row],[UK_BH]]=1,calendar[[#This Row],[WeekDay]]=1, calendar[[#This Row],[WeekDay]]=7),P2694,P2694+1)</f>
        <v>1925</v>
      </c>
      <c r="Q2695">
        <f>IF(OR(calendar[[#This Row],[FR_BH]]=1,calendar[[#This Row],[WeekDay]]=1, calendar[[#This Row],[WeekDay]]=7),P2694,P2694+1)</f>
        <v>1925</v>
      </c>
      <c r="R2695">
        <f>IF(OR(calendar[[#This Row],[SP_BH]]=1,calendar[[#This Row],[WeekDay]]=1, calendar[[#This Row],[WeekDay]]=7),P2694,P2694+1)</f>
        <v>1925</v>
      </c>
      <c r="S2695">
        <f>IF(OR(calendar[[#This Row],[PT_BH]]=1,calendar[[#This Row],[WeekDay]]=1, calendar[[#This Row],[WeekDay]]=7),P2694,P2694+1)</f>
        <v>1925</v>
      </c>
    </row>
    <row r="2696" spans="1:19" x14ac:dyDescent="0.25">
      <c r="A2696" s="2">
        <v>45430</v>
      </c>
      <c r="B2696" s="1">
        <f t="shared" si="213"/>
        <v>20</v>
      </c>
      <c r="C2696">
        <f t="shared" si="210"/>
        <v>5</v>
      </c>
      <c r="D2696" t="str">
        <f t="shared" si="211"/>
        <v>May</v>
      </c>
      <c r="E2696">
        <f t="shared" si="212"/>
        <v>2024</v>
      </c>
      <c r="F2696" t="str">
        <f>CONCATENATE(calendar[[#This Row],[Month]],"/",calendar[[#This Row],[Year]])</f>
        <v>5/2024</v>
      </c>
      <c r="G2696">
        <f>WEEKDAY(calendar[[#This Row],[Date]],1)</f>
        <v>7</v>
      </c>
      <c r="H2696" t="str">
        <f>TEXT(calendar[[#This Row],[WeekDay]],"dddd")</f>
        <v>Saturday</v>
      </c>
      <c r="I2696">
        <f>IF((INT(calendar[[#This Row],[Count]]/7)-calendar[[#This Row],[Count]]/7)&lt;0,I2695,I2695+1)</f>
        <v>385</v>
      </c>
      <c r="J2696">
        <f t="shared" si="214"/>
        <v>2694</v>
      </c>
      <c r="K2696">
        <f>IF(calendar[[#This Row],[Month]]&lt;4,1,IF(calendar[[#This Row],[Month]]&lt;7,2,IF(calendar[[#This Row],[Month]]&lt;10,3,4)))</f>
        <v>2</v>
      </c>
      <c r="L2696">
        <f>IFERROR(IF(VLOOKUP(calendar[[#This Row],[Date]],BH!A:A,1,)&lt;&gt;"",1,0),0)</f>
        <v>0</v>
      </c>
      <c r="M2696">
        <f>IFERROR(IF(VLOOKUP(calendar[[#This Row],[Date]],BH!C:C,1,)&lt;&gt;"",1,0),0)</f>
        <v>0</v>
      </c>
      <c r="N2696">
        <f>IFERROR(IF(VLOOKUP(calendar[[#This Row],[Date]],BH!E:E,1,)&lt;&gt;"",1,0),0)</f>
        <v>0</v>
      </c>
      <c r="O2696">
        <f>IFERROR(IF(VLOOKUP(calendar[[#This Row],[Date]],BH!G:G,1,)&lt;&gt;"",1,0),0)</f>
        <v>0</v>
      </c>
      <c r="P2696">
        <f>IF(OR(calendar[[#This Row],[UK_BH]]=1,calendar[[#This Row],[WeekDay]]=1, calendar[[#This Row],[WeekDay]]=7),P2695,P2695+1)</f>
        <v>1925</v>
      </c>
      <c r="Q2696">
        <f>IF(OR(calendar[[#This Row],[FR_BH]]=1,calendar[[#This Row],[WeekDay]]=1, calendar[[#This Row],[WeekDay]]=7),P2695,P2695+1)</f>
        <v>1925</v>
      </c>
      <c r="R2696">
        <f>IF(OR(calendar[[#This Row],[SP_BH]]=1,calendar[[#This Row],[WeekDay]]=1, calendar[[#This Row],[WeekDay]]=7),P2695,P2695+1)</f>
        <v>1925</v>
      </c>
      <c r="S2696">
        <f>IF(OR(calendar[[#This Row],[PT_BH]]=1,calendar[[#This Row],[WeekDay]]=1, calendar[[#This Row],[WeekDay]]=7),P2695,P2695+1)</f>
        <v>1925</v>
      </c>
    </row>
    <row r="2697" spans="1:19" x14ac:dyDescent="0.25">
      <c r="A2697" s="2">
        <v>45431</v>
      </c>
      <c r="B2697" s="1">
        <f t="shared" si="213"/>
        <v>21</v>
      </c>
      <c r="C2697">
        <f t="shared" si="210"/>
        <v>5</v>
      </c>
      <c r="D2697" t="str">
        <f t="shared" si="211"/>
        <v>May</v>
      </c>
      <c r="E2697">
        <f t="shared" si="212"/>
        <v>2024</v>
      </c>
      <c r="F2697" t="str">
        <f>CONCATENATE(calendar[[#This Row],[Month]],"/",calendar[[#This Row],[Year]])</f>
        <v>5/2024</v>
      </c>
      <c r="G2697">
        <f>WEEKDAY(calendar[[#This Row],[Date]],1)</f>
        <v>1</v>
      </c>
      <c r="H2697" t="str">
        <f>TEXT(calendar[[#This Row],[WeekDay]],"dddd")</f>
        <v>Sunday</v>
      </c>
      <c r="I2697">
        <f>IF((INT(calendar[[#This Row],[Count]]/7)-calendar[[#This Row],[Count]]/7)&lt;0,I2696,I2696+1)</f>
        <v>386</v>
      </c>
      <c r="J2697">
        <f t="shared" si="214"/>
        <v>2695</v>
      </c>
      <c r="K2697">
        <f>IF(calendar[[#This Row],[Month]]&lt;4,1,IF(calendar[[#This Row],[Month]]&lt;7,2,IF(calendar[[#This Row],[Month]]&lt;10,3,4)))</f>
        <v>2</v>
      </c>
      <c r="L2697">
        <f>IFERROR(IF(VLOOKUP(calendar[[#This Row],[Date]],BH!A:A,1,)&lt;&gt;"",1,0),0)</f>
        <v>0</v>
      </c>
      <c r="M2697">
        <f>IFERROR(IF(VLOOKUP(calendar[[#This Row],[Date]],BH!C:C,1,)&lt;&gt;"",1,0),0)</f>
        <v>0</v>
      </c>
      <c r="N2697">
        <f>IFERROR(IF(VLOOKUP(calendar[[#This Row],[Date]],BH!E:E,1,)&lt;&gt;"",1,0),0)</f>
        <v>0</v>
      </c>
      <c r="O2697">
        <f>IFERROR(IF(VLOOKUP(calendar[[#This Row],[Date]],BH!G:G,1,)&lt;&gt;"",1,0),0)</f>
        <v>0</v>
      </c>
      <c r="P2697">
        <f>IF(OR(calendar[[#This Row],[UK_BH]]=1,calendar[[#This Row],[WeekDay]]=1, calendar[[#This Row],[WeekDay]]=7),P2696,P2696+1)</f>
        <v>1925</v>
      </c>
      <c r="Q2697">
        <f>IF(OR(calendar[[#This Row],[FR_BH]]=1,calendar[[#This Row],[WeekDay]]=1, calendar[[#This Row],[WeekDay]]=7),P2696,P2696+1)</f>
        <v>1925</v>
      </c>
      <c r="R2697">
        <f>IF(OR(calendar[[#This Row],[SP_BH]]=1,calendar[[#This Row],[WeekDay]]=1, calendar[[#This Row],[WeekDay]]=7),P2696,P2696+1)</f>
        <v>1925</v>
      </c>
      <c r="S2697">
        <f>IF(OR(calendar[[#This Row],[PT_BH]]=1,calendar[[#This Row],[WeekDay]]=1, calendar[[#This Row],[WeekDay]]=7),P2696,P2696+1)</f>
        <v>1925</v>
      </c>
    </row>
    <row r="2698" spans="1:19" x14ac:dyDescent="0.25">
      <c r="A2698" s="2">
        <v>45432</v>
      </c>
      <c r="B2698" s="1">
        <f t="shared" si="213"/>
        <v>21</v>
      </c>
      <c r="C2698">
        <f t="shared" si="210"/>
        <v>5</v>
      </c>
      <c r="D2698" t="str">
        <f t="shared" si="211"/>
        <v>May</v>
      </c>
      <c r="E2698">
        <f t="shared" si="212"/>
        <v>2024</v>
      </c>
      <c r="F2698" t="str">
        <f>CONCATENATE(calendar[[#This Row],[Month]],"/",calendar[[#This Row],[Year]])</f>
        <v>5/2024</v>
      </c>
      <c r="G2698">
        <f>WEEKDAY(calendar[[#This Row],[Date]],1)</f>
        <v>2</v>
      </c>
      <c r="H2698" t="str">
        <f>TEXT(calendar[[#This Row],[WeekDay]],"dddd")</f>
        <v>Monday</v>
      </c>
      <c r="I2698">
        <f>IF((INT(calendar[[#This Row],[Count]]/7)-calendar[[#This Row],[Count]]/7)&lt;0,I2697,I2697+1)</f>
        <v>386</v>
      </c>
      <c r="J2698">
        <f t="shared" si="214"/>
        <v>2696</v>
      </c>
      <c r="K2698">
        <f>IF(calendar[[#This Row],[Month]]&lt;4,1,IF(calendar[[#This Row],[Month]]&lt;7,2,IF(calendar[[#This Row],[Month]]&lt;10,3,4)))</f>
        <v>2</v>
      </c>
      <c r="L2698">
        <f>IFERROR(IF(VLOOKUP(calendar[[#This Row],[Date]],BH!A:A,1,)&lt;&gt;"",1,0),0)</f>
        <v>0</v>
      </c>
      <c r="M2698">
        <f>IFERROR(IF(VLOOKUP(calendar[[#This Row],[Date]],BH!C:C,1,)&lt;&gt;"",1,0),0)</f>
        <v>0</v>
      </c>
      <c r="N2698">
        <f>IFERROR(IF(VLOOKUP(calendar[[#This Row],[Date]],BH!E:E,1,)&lt;&gt;"",1,0),0)</f>
        <v>0</v>
      </c>
      <c r="O2698">
        <f>IFERROR(IF(VLOOKUP(calendar[[#This Row],[Date]],BH!G:G,1,)&lt;&gt;"",1,0),0)</f>
        <v>0</v>
      </c>
      <c r="P2698">
        <f>IF(OR(calendar[[#This Row],[UK_BH]]=1,calendar[[#This Row],[WeekDay]]=1, calendar[[#This Row],[WeekDay]]=7),P2697,P2697+1)</f>
        <v>1926</v>
      </c>
      <c r="Q2698">
        <f>IF(OR(calendar[[#This Row],[FR_BH]]=1,calendar[[#This Row],[WeekDay]]=1, calendar[[#This Row],[WeekDay]]=7),P2697,P2697+1)</f>
        <v>1926</v>
      </c>
      <c r="R2698">
        <f>IF(OR(calendar[[#This Row],[SP_BH]]=1,calendar[[#This Row],[WeekDay]]=1, calendar[[#This Row],[WeekDay]]=7),P2697,P2697+1)</f>
        <v>1926</v>
      </c>
      <c r="S2698">
        <f>IF(OR(calendar[[#This Row],[PT_BH]]=1,calendar[[#This Row],[WeekDay]]=1, calendar[[#This Row],[WeekDay]]=7),P2697,P2697+1)</f>
        <v>1926</v>
      </c>
    </row>
    <row r="2699" spans="1:19" x14ac:dyDescent="0.25">
      <c r="A2699" s="2">
        <v>45433</v>
      </c>
      <c r="B2699" s="1">
        <f t="shared" si="213"/>
        <v>21</v>
      </c>
      <c r="C2699">
        <f t="shared" si="210"/>
        <v>5</v>
      </c>
      <c r="D2699" t="str">
        <f t="shared" si="211"/>
        <v>May</v>
      </c>
      <c r="E2699">
        <f t="shared" si="212"/>
        <v>2024</v>
      </c>
      <c r="F2699" t="str">
        <f>CONCATENATE(calendar[[#This Row],[Month]],"/",calendar[[#This Row],[Year]])</f>
        <v>5/2024</v>
      </c>
      <c r="G2699">
        <f>WEEKDAY(calendar[[#This Row],[Date]],1)</f>
        <v>3</v>
      </c>
      <c r="H2699" t="str">
        <f>TEXT(calendar[[#This Row],[WeekDay]],"dddd")</f>
        <v>Tuesday</v>
      </c>
      <c r="I2699">
        <f>IF((INT(calendar[[#This Row],[Count]]/7)-calendar[[#This Row],[Count]]/7)&lt;0,I2698,I2698+1)</f>
        <v>386</v>
      </c>
      <c r="J2699">
        <f t="shared" si="214"/>
        <v>2697</v>
      </c>
      <c r="K2699">
        <f>IF(calendar[[#This Row],[Month]]&lt;4,1,IF(calendar[[#This Row],[Month]]&lt;7,2,IF(calendar[[#This Row],[Month]]&lt;10,3,4)))</f>
        <v>2</v>
      </c>
      <c r="L2699">
        <f>IFERROR(IF(VLOOKUP(calendar[[#This Row],[Date]],BH!A:A,1,)&lt;&gt;"",1,0),0)</f>
        <v>0</v>
      </c>
      <c r="M2699">
        <f>IFERROR(IF(VLOOKUP(calendar[[#This Row],[Date]],BH!C:C,1,)&lt;&gt;"",1,0),0)</f>
        <v>0</v>
      </c>
      <c r="N2699">
        <f>IFERROR(IF(VLOOKUP(calendar[[#This Row],[Date]],BH!E:E,1,)&lt;&gt;"",1,0),0)</f>
        <v>0</v>
      </c>
      <c r="O2699">
        <f>IFERROR(IF(VLOOKUP(calendar[[#This Row],[Date]],BH!G:G,1,)&lt;&gt;"",1,0),0)</f>
        <v>0</v>
      </c>
      <c r="P2699">
        <f>IF(OR(calendar[[#This Row],[UK_BH]]=1,calendar[[#This Row],[WeekDay]]=1, calendar[[#This Row],[WeekDay]]=7),P2698,P2698+1)</f>
        <v>1927</v>
      </c>
      <c r="Q2699">
        <f>IF(OR(calendar[[#This Row],[FR_BH]]=1,calendar[[#This Row],[WeekDay]]=1, calendar[[#This Row],[WeekDay]]=7),P2698,P2698+1)</f>
        <v>1927</v>
      </c>
      <c r="R2699">
        <f>IF(OR(calendar[[#This Row],[SP_BH]]=1,calendar[[#This Row],[WeekDay]]=1, calendar[[#This Row],[WeekDay]]=7),P2698,P2698+1)</f>
        <v>1927</v>
      </c>
      <c r="S2699">
        <f>IF(OR(calendar[[#This Row],[PT_BH]]=1,calendar[[#This Row],[WeekDay]]=1, calendar[[#This Row],[WeekDay]]=7),P2698,P2698+1)</f>
        <v>1927</v>
      </c>
    </row>
    <row r="2700" spans="1:19" x14ac:dyDescent="0.25">
      <c r="A2700" s="2">
        <v>45434</v>
      </c>
      <c r="B2700" s="1">
        <f t="shared" si="213"/>
        <v>21</v>
      </c>
      <c r="C2700">
        <f t="shared" si="210"/>
        <v>5</v>
      </c>
      <c r="D2700" t="str">
        <f t="shared" si="211"/>
        <v>May</v>
      </c>
      <c r="E2700">
        <f t="shared" si="212"/>
        <v>2024</v>
      </c>
      <c r="F2700" t="str">
        <f>CONCATENATE(calendar[[#This Row],[Month]],"/",calendar[[#This Row],[Year]])</f>
        <v>5/2024</v>
      </c>
      <c r="G2700">
        <f>WEEKDAY(calendar[[#This Row],[Date]],1)</f>
        <v>4</v>
      </c>
      <c r="H2700" t="str">
        <f>TEXT(calendar[[#This Row],[WeekDay]],"dddd")</f>
        <v>Wednesday</v>
      </c>
      <c r="I2700">
        <f>IF((INT(calendar[[#This Row],[Count]]/7)-calendar[[#This Row],[Count]]/7)&lt;0,I2699,I2699+1)</f>
        <v>386</v>
      </c>
      <c r="J2700">
        <f t="shared" si="214"/>
        <v>2698</v>
      </c>
      <c r="K2700">
        <f>IF(calendar[[#This Row],[Month]]&lt;4,1,IF(calendar[[#This Row],[Month]]&lt;7,2,IF(calendar[[#This Row],[Month]]&lt;10,3,4)))</f>
        <v>2</v>
      </c>
      <c r="L2700">
        <f>IFERROR(IF(VLOOKUP(calendar[[#This Row],[Date]],BH!A:A,1,)&lt;&gt;"",1,0),0)</f>
        <v>0</v>
      </c>
      <c r="M2700">
        <f>IFERROR(IF(VLOOKUP(calendar[[#This Row],[Date]],BH!C:C,1,)&lt;&gt;"",1,0),0)</f>
        <v>0</v>
      </c>
      <c r="N2700">
        <f>IFERROR(IF(VLOOKUP(calendar[[#This Row],[Date]],BH!E:E,1,)&lt;&gt;"",1,0),0)</f>
        <v>0</v>
      </c>
      <c r="O2700">
        <f>IFERROR(IF(VLOOKUP(calendar[[#This Row],[Date]],BH!G:G,1,)&lt;&gt;"",1,0),0)</f>
        <v>0</v>
      </c>
      <c r="P2700">
        <f>IF(OR(calendar[[#This Row],[UK_BH]]=1,calendar[[#This Row],[WeekDay]]=1, calendar[[#This Row],[WeekDay]]=7),P2699,P2699+1)</f>
        <v>1928</v>
      </c>
      <c r="Q2700">
        <f>IF(OR(calendar[[#This Row],[FR_BH]]=1,calendar[[#This Row],[WeekDay]]=1, calendar[[#This Row],[WeekDay]]=7),P2699,P2699+1)</f>
        <v>1928</v>
      </c>
      <c r="R2700">
        <f>IF(OR(calendar[[#This Row],[SP_BH]]=1,calendar[[#This Row],[WeekDay]]=1, calendar[[#This Row],[WeekDay]]=7),P2699,P2699+1)</f>
        <v>1928</v>
      </c>
      <c r="S2700">
        <f>IF(OR(calendar[[#This Row],[PT_BH]]=1,calendar[[#This Row],[WeekDay]]=1, calendar[[#This Row],[WeekDay]]=7),P2699,P2699+1)</f>
        <v>1928</v>
      </c>
    </row>
    <row r="2701" spans="1:19" x14ac:dyDescent="0.25">
      <c r="A2701" s="2">
        <v>45435</v>
      </c>
      <c r="B2701" s="1">
        <f t="shared" si="213"/>
        <v>21</v>
      </c>
      <c r="C2701">
        <f t="shared" si="210"/>
        <v>5</v>
      </c>
      <c r="D2701" t="str">
        <f t="shared" si="211"/>
        <v>May</v>
      </c>
      <c r="E2701">
        <f t="shared" si="212"/>
        <v>2024</v>
      </c>
      <c r="F2701" t="str">
        <f>CONCATENATE(calendar[[#This Row],[Month]],"/",calendar[[#This Row],[Year]])</f>
        <v>5/2024</v>
      </c>
      <c r="G2701">
        <f>WEEKDAY(calendar[[#This Row],[Date]],1)</f>
        <v>5</v>
      </c>
      <c r="H2701" t="str">
        <f>TEXT(calendar[[#This Row],[WeekDay]],"dddd")</f>
        <v>Thursday</v>
      </c>
      <c r="I2701">
        <f>IF((INT(calendar[[#This Row],[Count]]/7)-calendar[[#This Row],[Count]]/7)&lt;0,I2700,I2700+1)</f>
        <v>386</v>
      </c>
      <c r="J2701">
        <f t="shared" si="214"/>
        <v>2699</v>
      </c>
      <c r="K2701">
        <f>IF(calendar[[#This Row],[Month]]&lt;4,1,IF(calendar[[#This Row],[Month]]&lt;7,2,IF(calendar[[#This Row],[Month]]&lt;10,3,4)))</f>
        <v>2</v>
      </c>
      <c r="L2701">
        <f>IFERROR(IF(VLOOKUP(calendar[[#This Row],[Date]],BH!A:A,1,)&lt;&gt;"",1,0),0)</f>
        <v>0</v>
      </c>
      <c r="M2701">
        <f>IFERROR(IF(VLOOKUP(calendar[[#This Row],[Date]],BH!C:C,1,)&lt;&gt;"",1,0),0)</f>
        <v>0</v>
      </c>
      <c r="N2701">
        <f>IFERROR(IF(VLOOKUP(calendar[[#This Row],[Date]],BH!E:E,1,)&lt;&gt;"",1,0),0)</f>
        <v>0</v>
      </c>
      <c r="O2701">
        <f>IFERROR(IF(VLOOKUP(calendar[[#This Row],[Date]],BH!G:G,1,)&lt;&gt;"",1,0),0)</f>
        <v>0</v>
      </c>
      <c r="P2701">
        <f>IF(OR(calendar[[#This Row],[UK_BH]]=1,calendar[[#This Row],[WeekDay]]=1, calendar[[#This Row],[WeekDay]]=7),P2700,P2700+1)</f>
        <v>1929</v>
      </c>
      <c r="Q2701">
        <f>IF(OR(calendar[[#This Row],[FR_BH]]=1,calendar[[#This Row],[WeekDay]]=1, calendar[[#This Row],[WeekDay]]=7),P2700,P2700+1)</f>
        <v>1929</v>
      </c>
      <c r="R2701">
        <f>IF(OR(calendar[[#This Row],[SP_BH]]=1,calendar[[#This Row],[WeekDay]]=1, calendar[[#This Row],[WeekDay]]=7),P2700,P2700+1)</f>
        <v>1929</v>
      </c>
      <c r="S2701">
        <f>IF(OR(calendar[[#This Row],[PT_BH]]=1,calendar[[#This Row],[WeekDay]]=1, calendar[[#This Row],[WeekDay]]=7),P2700,P2700+1)</f>
        <v>1929</v>
      </c>
    </row>
    <row r="2702" spans="1:19" x14ac:dyDescent="0.25">
      <c r="A2702" s="2">
        <v>45436</v>
      </c>
      <c r="B2702" s="1">
        <f t="shared" si="213"/>
        <v>21</v>
      </c>
      <c r="C2702">
        <f t="shared" si="210"/>
        <v>5</v>
      </c>
      <c r="D2702" t="str">
        <f t="shared" si="211"/>
        <v>May</v>
      </c>
      <c r="E2702">
        <f t="shared" si="212"/>
        <v>2024</v>
      </c>
      <c r="F2702" t="str">
        <f>CONCATENATE(calendar[[#This Row],[Month]],"/",calendar[[#This Row],[Year]])</f>
        <v>5/2024</v>
      </c>
      <c r="G2702">
        <f>WEEKDAY(calendar[[#This Row],[Date]],1)</f>
        <v>6</v>
      </c>
      <c r="H2702" t="str">
        <f>TEXT(calendar[[#This Row],[WeekDay]],"dddd")</f>
        <v>Friday</v>
      </c>
      <c r="I2702">
        <f>IF((INT(calendar[[#This Row],[Count]]/7)-calendar[[#This Row],[Count]]/7)&lt;0,I2701,I2701+1)</f>
        <v>386</v>
      </c>
      <c r="J2702">
        <f t="shared" si="214"/>
        <v>2700</v>
      </c>
      <c r="K2702">
        <f>IF(calendar[[#This Row],[Month]]&lt;4,1,IF(calendar[[#This Row],[Month]]&lt;7,2,IF(calendar[[#This Row],[Month]]&lt;10,3,4)))</f>
        <v>2</v>
      </c>
      <c r="L2702">
        <f>IFERROR(IF(VLOOKUP(calendar[[#This Row],[Date]],BH!A:A,1,)&lt;&gt;"",1,0),0)</f>
        <v>0</v>
      </c>
      <c r="M2702">
        <f>IFERROR(IF(VLOOKUP(calendar[[#This Row],[Date]],BH!C:C,1,)&lt;&gt;"",1,0),0)</f>
        <v>0</v>
      </c>
      <c r="N2702">
        <f>IFERROR(IF(VLOOKUP(calendar[[#This Row],[Date]],BH!E:E,1,)&lt;&gt;"",1,0),0)</f>
        <v>0</v>
      </c>
      <c r="O2702">
        <f>IFERROR(IF(VLOOKUP(calendar[[#This Row],[Date]],BH!G:G,1,)&lt;&gt;"",1,0),0)</f>
        <v>0</v>
      </c>
      <c r="P2702">
        <f>IF(OR(calendar[[#This Row],[UK_BH]]=1,calendar[[#This Row],[WeekDay]]=1, calendar[[#This Row],[WeekDay]]=7),P2701,P2701+1)</f>
        <v>1930</v>
      </c>
      <c r="Q2702">
        <f>IF(OR(calendar[[#This Row],[FR_BH]]=1,calendar[[#This Row],[WeekDay]]=1, calendar[[#This Row],[WeekDay]]=7),P2701,P2701+1)</f>
        <v>1930</v>
      </c>
      <c r="R2702">
        <f>IF(OR(calendar[[#This Row],[SP_BH]]=1,calendar[[#This Row],[WeekDay]]=1, calendar[[#This Row],[WeekDay]]=7),P2701,P2701+1)</f>
        <v>1930</v>
      </c>
      <c r="S2702">
        <f>IF(OR(calendar[[#This Row],[PT_BH]]=1,calendar[[#This Row],[WeekDay]]=1, calendar[[#This Row],[WeekDay]]=7),P2701,P2701+1)</f>
        <v>1930</v>
      </c>
    </row>
    <row r="2703" spans="1:19" x14ac:dyDescent="0.25">
      <c r="A2703" s="2">
        <v>45437</v>
      </c>
      <c r="B2703" s="1">
        <f t="shared" si="213"/>
        <v>21</v>
      </c>
      <c r="C2703">
        <f t="shared" si="210"/>
        <v>5</v>
      </c>
      <c r="D2703" t="str">
        <f t="shared" si="211"/>
        <v>May</v>
      </c>
      <c r="E2703">
        <f t="shared" si="212"/>
        <v>2024</v>
      </c>
      <c r="F2703" t="str">
        <f>CONCATENATE(calendar[[#This Row],[Month]],"/",calendar[[#This Row],[Year]])</f>
        <v>5/2024</v>
      </c>
      <c r="G2703">
        <f>WEEKDAY(calendar[[#This Row],[Date]],1)</f>
        <v>7</v>
      </c>
      <c r="H2703" t="str">
        <f>TEXT(calendar[[#This Row],[WeekDay]],"dddd")</f>
        <v>Saturday</v>
      </c>
      <c r="I2703">
        <f>IF((INT(calendar[[#This Row],[Count]]/7)-calendar[[#This Row],[Count]]/7)&lt;0,I2702,I2702+1)</f>
        <v>386</v>
      </c>
      <c r="J2703">
        <f t="shared" si="214"/>
        <v>2701</v>
      </c>
      <c r="K2703">
        <f>IF(calendar[[#This Row],[Month]]&lt;4,1,IF(calendar[[#This Row],[Month]]&lt;7,2,IF(calendar[[#This Row],[Month]]&lt;10,3,4)))</f>
        <v>2</v>
      </c>
      <c r="L2703">
        <f>IFERROR(IF(VLOOKUP(calendar[[#This Row],[Date]],BH!A:A,1,)&lt;&gt;"",1,0),0)</f>
        <v>0</v>
      </c>
      <c r="M2703">
        <f>IFERROR(IF(VLOOKUP(calendar[[#This Row],[Date]],BH!C:C,1,)&lt;&gt;"",1,0),0)</f>
        <v>0</v>
      </c>
      <c r="N2703">
        <f>IFERROR(IF(VLOOKUP(calendar[[#This Row],[Date]],BH!E:E,1,)&lt;&gt;"",1,0),0)</f>
        <v>0</v>
      </c>
      <c r="O2703">
        <f>IFERROR(IF(VLOOKUP(calendar[[#This Row],[Date]],BH!G:G,1,)&lt;&gt;"",1,0),0)</f>
        <v>0</v>
      </c>
      <c r="P2703">
        <f>IF(OR(calendar[[#This Row],[UK_BH]]=1,calendar[[#This Row],[WeekDay]]=1, calendar[[#This Row],[WeekDay]]=7),P2702,P2702+1)</f>
        <v>1930</v>
      </c>
      <c r="Q2703">
        <f>IF(OR(calendar[[#This Row],[FR_BH]]=1,calendar[[#This Row],[WeekDay]]=1, calendar[[#This Row],[WeekDay]]=7),P2702,P2702+1)</f>
        <v>1930</v>
      </c>
      <c r="R2703">
        <f>IF(OR(calendar[[#This Row],[SP_BH]]=1,calendar[[#This Row],[WeekDay]]=1, calendar[[#This Row],[WeekDay]]=7),P2702,P2702+1)</f>
        <v>1930</v>
      </c>
      <c r="S2703">
        <f>IF(OR(calendar[[#This Row],[PT_BH]]=1,calendar[[#This Row],[WeekDay]]=1, calendar[[#This Row],[WeekDay]]=7),P2702,P2702+1)</f>
        <v>1930</v>
      </c>
    </row>
    <row r="2704" spans="1:19" x14ac:dyDescent="0.25">
      <c r="A2704" s="2">
        <v>45438</v>
      </c>
      <c r="B2704" s="1">
        <f t="shared" si="213"/>
        <v>22</v>
      </c>
      <c r="C2704">
        <f t="shared" ref="C2704:C2767" si="215">MONTH(A2704)</f>
        <v>5</v>
      </c>
      <c r="D2704" t="str">
        <f t="shared" ref="D2704:D2767" si="216">TEXT(A2704,"mmmm")</f>
        <v>May</v>
      </c>
      <c r="E2704">
        <f t="shared" ref="E2704:E2767" si="217">YEAR(A2704)</f>
        <v>2024</v>
      </c>
      <c r="F2704" t="str">
        <f>CONCATENATE(calendar[[#This Row],[Month]],"/",calendar[[#This Row],[Year]])</f>
        <v>5/2024</v>
      </c>
      <c r="G2704">
        <f>WEEKDAY(calendar[[#This Row],[Date]],1)</f>
        <v>1</v>
      </c>
      <c r="H2704" t="str">
        <f>TEXT(calendar[[#This Row],[WeekDay]],"dddd")</f>
        <v>Sunday</v>
      </c>
      <c r="I2704">
        <f>IF((INT(calendar[[#This Row],[Count]]/7)-calendar[[#This Row],[Count]]/7)&lt;0,I2703,I2703+1)</f>
        <v>387</v>
      </c>
      <c r="J2704">
        <f t="shared" si="214"/>
        <v>2702</v>
      </c>
      <c r="K2704">
        <f>IF(calendar[[#This Row],[Month]]&lt;4,1,IF(calendar[[#This Row],[Month]]&lt;7,2,IF(calendar[[#This Row],[Month]]&lt;10,3,4)))</f>
        <v>2</v>
      </c>
      <c r="L2704">
        <f>IFERROR(IF(VLOOKUP(calendar[[#This Row],[Date]],BH!A:A,1,)&lt;&gt;"",1,0),0)</f>
        <v>0</v>
      </c>
      <c r="M2704">
        <f>IFERROR(IF(VLOOKUP(calendar[[#This Row],[Date]],BH!C:C,1,)&lt;&gt;"",1,0),0)</f>
        <v>0</v>
      </c>
      <c r="N2704">
        <f>IFERROR(IF(VLOOKUP(calendar[[#This Row],[Date]],BH!E:E,1,)&lt;&gt;"",1,0),0)</f>
        <v>0</v>
      </c>
      <c r="O2704">
        <f>IFERROR(IF(VLOOKUP(calendar[[#This Row],[Date]],BH!G:G,1,)&lt;&gt;"",1,0),0)</f>
        <v>0</v>
      </c>
      <c r="P2704">
        <f>IF(OR(calendar[[#This Row],[UK_BH]]=1,calendar[[#This Row],[WeekDay]]=1, calendar[[#This Row],[WeekDay]]=7),P2703,P2703+1)</f>
        <v>1930</v>
      </c>
      <c r="Q2704">
        <f>IF(OR(calendar[[#This Row],[FR_BH]]=1,calendar[[#This Row],[WeekDay]]=1, calendar[[#This Row],[WeekDay]]=7),P2703,P2703+1)</f>
        <v>1930</v>
      </c>
      <c r="R2704">
        <f>IF(OR(calendar[[#This Row],[SP_BH]]=1,calendar[[#This Row],[WeekDay]]=1, calendar[[#This Row],[WeekDay]]=7),P2703,P2703+1)</f>
        <v>1930</v>
      </c>
      <c r="S2704">
        <f>IF(OR(calendar[[#This Row],[PT_BH]]=1,calendar[[#This Row],[WeekDay]]=1, calendar[[#This Row],[WeekDay]]=7),P2703,P2703+1)</f>
        <v>1930</v>
      </c>
    </row>
    <row r="2705" spans="1:19" x14ac:dyDescent="0.25">
      <c r="A2705" s="2">
        <v>45439</v>
      </c>
      <c r="B2705" s="1">
        <f t="shared" si="213"/>
        <v>22</v>
      </c>
      <c r="C2705">
        <f t="shared" si="215"/>
        <v>5</v>
      </c>
      <c r="D2705" t="str">
        <f t="shared" si="216"/>
        <v>May</v>
      </c>
      <c r="E2705">
        <f t="shared" si="217"/>
        <v>2024</v>
      </c>
      <c r="F2705" t="str">
        <f>CONCATENATE(calendar[[#This Row],[Month]],"/",calendar[[#This Row],[Year]])</f>
        <v>5/2024</v>
      </c>
      <c r="G2705">
        <f>WEEKDAY(calendar[[#This Row],[Date]],1)</f>
        <v>2</v>
      </c>
      <c r="H2705" t="str">
        <f>TEXT(calendar[[#This Row],[WeekDay]],"dddd")</f>
        <v>Monday</v>
      </c>
      <c r="I2705">
        <f>IF((INT(calendar[[#This Row],[Count]]/7)-calendar[[#This Row],[Count]]/7)&lt;0,I2704,I2704+1)</f>
        <v>387</v>
      </c>
      <c r="J2705">
        <f t="shared" si="214"/>
        <v>2703</v>
      </c>
      <c r="K2705">
        <f>IF(calendar[[#This Row],[Month]]&lt;4,1,IF(calendar[[#This Row],[Month]]&lt;7,2,IF(calendar[[#This Row],[Month]]&lt;10,3,4)))</f>
        <v>2</v>
      </c>
      <c r="L2705">
        <f>IFERROR(IF(VLOOKUP(calendar[[#This Row],[Date]],BH!A:A,1,)&lt;&gt;"",1,0),0)</f>
        <v>0</v>
      </c>
      <c r="M2705">
        <f>IFERROR(IF(VLOOKUP(calendar[[#This Row],[Date]],BH!C:C,1,)&lt;&gt;"",1,0),0)</f>
        <v>0</v>
      </c>
      <c r="N2705">
        <f>IFERROR(IF(VLOOKUP(calendar[[#This Row],[Date]],BH!E:E,1,)&lt;&gt;"",1,0),0)</f>
        <v>0</v>
      </c>
      <c r="O2705">
        <f>IFERROR(IF(VLOOKUP(calendar[[#This Row],[Date]],BH!G:G,1,)&lt;&gt;"",1,0),0)</f>
        <v>0</v>
      </c>
      <c r="P2705">
        <f>IF(OR(calendar[[#This Row],[UK_BH]]=1,calendar[[#This Row],[WeekDay]]=1, calendar[[#This Row],[WeekDay]]=7),P2704,P2704+1)</f>
        <v>1931</v>
      </c>
      <c r="Q2705">
        <f>IF(OR(calendar[[#This Row],[FR_BH]]=1,calendar[[#This Row],[WeekDay]]=1, calendar[[#This Row],[WeekDay]]=7),P2704,P2704+1)</f>
        <v>1931</v>
      </c>
      <c r="R2705">
        <f>IF(OR(calendar[[#This Row],[SP_BH]]=1,calendar[[#This Row],[WeekDay]]=1, calendar[[#This Row],[WeekDay]]=7),P2704,P2704+1)</f>
        <v>1931</v>
      </c>
      <c r="S2705">
        <f>IF(OR(calendar[[#This Row],[PT_BH]]=1,calendar[[#This Row],[WeekDay]]=1, calendar[[#This Row],[WeekDay]]=7),P2704,P2704+1)</f>
        <v>1931</v>
      </c>
    </row>
    <row r="2706" spans="1:19" x14ac:dyDescent="0.25">
      <c r="A2706" s="2">
        <v>45440</v>
      </c>
      <c r="B2706" s="1">
        <f t="shared" si="213"/>
        <v>22</v>
      </c>
      <c r="C2706">
        <f t="shared" si="215"/>
        <v>5</v>
      </c>
      <c r="D2706" t="str">
        <f t="shared" si="216"/>
        <v>May</v>
      </c>
      <c r="E2706">
        <f t="shared" si="217"/>
        <v>2024</v>
      </c>
      <c r="F2706" t="str">
        <f>CONCATENATE(calendar[[#This Row],[Month]],"/",calendar[[#This Row],[Year]])</f>
        <v>5/2024</v>
      </c>
      <c r="G2706">
        <f>WEEKDAY(calendar[[#This Row],[Date]],1)</f>
        <v>3</v>
      </c>
      <c r="H2706" t="str">
        <f>TEXT(calendar[[#This Row],[WeekDay]],"dddd")</f>
        <v>Tuesday</v>
      </c>
      <c r="I2706">
        <f>IF((INT(calendar[[#This Row],[Count]]/7)-calendar[[#This Row],[Count]]/7)&lt;0,I2705,I2705+1)</f>
        <v>387</v>
      </c>
      <c r="J2706">
        <f t="shared" si="214"/>
        <v>2704</v>
      </c>
      <c r="K2706">
        <f>IF(calendar[[#This Row],[Month]]&lt;4,1,IF(calendar[[#This Row],[Month]]&lt;7,2,IF(calendar[[#This Row],[Month]]&lt;10,3,4)))</f>
        <v>2</v>
      </c>
      <c r="L2706">
        <f>IFERROR(IF(VLOOKUP(calendar[[#This Row],[Date]],BH!A:A,1,)&lt;&gt;"",1,0),0)</f>
        <v>0</v>
      </c>
      <c r="M2706">
        <f>IFERROR(IF(VLOOKUP(calendar[[#This Row],[Date]],BH!C:C,1,)&lt;&gt;"",1,0),0)</f>
        <v>0</v>
      </c>
      <c r="N2706">
        <f>IFERROR(IF(VLOOKUP(calendar[[#This Row],[Date]],BH!E:E,1,)&lt;&gt;"",1,0),0)</f>
        <v>0</v>
      </c>
      <c r="O2706">
        <f>IFERROR(IF(VLOOKUP(calendar[[#This Row],[Date]],BH!G:G,1,)&lt;&gt;"",1,0),0)</f>
        <v>0</v>
      </c>
      <c r="P2706">
        <f>IF(OR(calendar[[#This Row],[UK_BH]]=1,calendar[[#This Row],[WeekDay]]=1, calendar[[#This Row],[WeekDay]]=7),P2705,P2705+1)</f>
        <v>1932</v>
      </c>
      <c r="Q2706">
        <f>IF(OR(calendar[[#This Row],[FR_BH]]=1,calendar[[#This Row],[WeekDay]]=1, calendar[[#This Row],[WeekDay]]=7),P2705,P2705+1)</f>
        <v>1932</v>
      </c>
      <c r="R2706">
        <f>IF(OR(calendar[[#This Row],[SP_BH]]=1,calendar[[#This Row],[WeekDay]]=1, calendar[[#This Row],[WeekDay]]=7),P2705,P2705+1)</f>
        <v>1932</v>
      </c>
      <c r="S2706">
        <f>IF(OR(calendar[[#This Row],[PT_BH]]=1,calendar[[#This Row],[WeekDay]]=1, calendar[[#This Row],[WeekDay]]=7),P2705,P2705+1)</f>
        <v>1932</v>
      </c>
    </row>
    <row r="2707" spans="1:19" x14ac:dyDescent="0.25">
      <c r="A2707" s="2">
        <v>45441</v>
      </c>
      <c r="B2707" s="1">
        <f t="shared" si="213"/>
        <v>22</v>
      </c>
      <c r="C2707">
        <f t="shared" si="215"/>
        <v>5</v>
      </c>
      <c r="D2707" t="str">
        <f t="shared" si="216"/>
        <v>May</v>
      </c>
      <c r="E2707">
        <f t="shared" si="217"/>
        <v>2024</v>
      </c>
      <c r="F2707" t="str">
        <f>CONCATENATE(calendar[[#This Row],[Month]],"/",calendar[[#This Row],[Year]])</f>
        <v>5/2024</v>
      </c>
      <c r="G2707">
        <f>WEEKDAY(calendar[[#This Row],[Date]],1)</f>
        <v>4</v>
      </c>
      <c r="H2707" t="str">
        <f>TEXT(calendar[[#This Row],[WeekDay]],"dddd")</f>
        <v>Wednesday</v>
      </c>
      <c r="I2707">
        <f>IF((INT(calendar[[#This Row],[Count]]/7)-calendar[[#This Row],[Count]]/7)&lt;0,I2706,I2706+1)</f>
        <v>387</v>
      </c>
      <c r="J2707">
        <f t="shared" si="214"/>
        <v>2705</v>
      </c>
      <c r="K2707">
        <f>IF(calendar[[#This Row],[Month]]&lt;4,1,IF(calendar[[#This Row],[Month]]&lt;7,2,IF(calendar[[#This Row],[Month]]&lt;10,3,4)))</f>
        <v>2</v>
      </c>
      <c r="L2707">
        <f>IFERROR(IF(VLOOKUP(calendar[[#This Row],[Date]],BH!A:A,1,)&lt;&gt;"",1,0),0)</f>
        <v>0</v>
      </c>
      <c r="M2707">
        <f>IFERROR(IF(VLOOKUP(calendar[[#This Row],[Date]],BH!C:C,1,)&lt;&gt;"",1,0),0)</f>
        <v>0</v>
      </c>
      <c r="N2707">
        <f>IFERROR(IF(VLOOKUP(calendar[[#This Row],[Date]],BH!E:E,1,)&lt;&gt;"",1,0),0)</f>
        <v>0</v>
      </c>
      <c r="O2707">
        <f>IFERROR(IF(VLOOKUP(calendar[[#This Row],[Date]],BH!G:G,1,)&lt;&gt;"",1,0),0)</f>
        <v>0</v>
      </c>
      <c r="P2707">
        <f>IF(OR(calendar[[#This Row],[UK_BH]]=1,calendar[[#This Row],[WeekDay]]=1, calendar[[#This Row],[WeekDay]]=7),P2706,P2706+1)</f>
        <v>1933</v>
      </c>
      <c r="Q2707">
        <f>IF(OR(calendar[[#This Row],[FR_BH]]=1,calendar[[#This Row],[WeekDay]]=1, calendar[[#This Row],[WeekDay]]=7),P2706,P2706+1)</f>
        <v>1933</v>
      </c>
      <c r="R2707">
        <f>IF(OR(calendar[[#This Row],[SP_BH]]=1,calendar[[#This Row],[WeekDay]]=1, calendar[[#This Row],[WeekDay]]=7),P2706,P2706+1)</f>
        <v>1933</v>
      </c>
      <c r="S2707">
        <f>IF(OR(calendar[[#This Row],[PT_BH]]=1,calendar[[#This Row],[WeekDay]]=1, calendar[[#This Row],[WeekDay]]=7),P2706,P2706+1)</f>
        <v>1933</v>
      </c>
    </row>
    <row r="2708" spans="1:19" x14ac:dyDescent="0.25">
      <c r="A2708" s="2">
        <v>45442</v>
      </c>
      <c r="B2708" s="1">
        <f t="shared" si="213"/>
        <v>22</v>
      </c>
      <c r="C2708">
        <f t="shared" si="215"/>
        <v>5</v>
      </c>
      <c r="D2708" t="str">
        <f t="shared" si="216"/>
        <v>May</v>
      </c>
      <c r="E2708">
        <f t="shared" si="217"/>
        <v>2024</v>
      </c>
      <c r="F2708" t="str">
        <f>CONCATENATE(calendar[[#This Row],[Month]],"/",calendar[[#This Row],[Year]])</f>
        <v>5/2024</v>
      </c>
      <c r="G2708">
        <f>WEEKDAY(calendar[[#This Row],[Date]],1)</f>
        <v>5</v>
      </c>
      <c r="H2708" t="str">
        <f>TEXT(calendar[[#This Row],[WeekDay]],"dddd")</f>
        <v>Thursday</v>
      </c>
      <c r="I2708">
        <f>IF((INT(calendar[[#This Row],[Count]]/7)-calendar[[#This Row],[Count]]/7)&lt;0,I2707,I2707+1)</f>
        <v>387</v>
      </c>
      <c r="J2708">
        <f t="shared" si="214"/>
        <v>2706</v>
      </c>
      <c r="K2708">
        <f>IF(calendar[[#This Row],[Month]]&lt;4,1,IF(calendar[[#This Row],[Month]]&lt;7,2,IF(calendar[[#This Row],[Month]]&lt;10,3,4)))</f>
        <v>2</v>
      </c>
      <c r="L2708">
        <f>IFERROR(IF(VLOOKUP(calendar[[#This Row],[Date]],BH!A:A,1,)&lt;&gt;"",1,0),0)</f>
        <v>0</v>
      </c>
      <c r="M2708">
        <f>IFERROR(IF(VLOOKUP(calendar[[#This Row],[Date]],BH!C:C,1,)&lt;&gt;"",1,0),0)</f>
        <v>0</v>
      </c>
      <c r="N2708">
        <f>IFERROR(IF(VLOOKUP(calendar[[#This Row],[Date]],BH!E:E,1,)&lt;&gt;"",1,0),0)</f>
        <v>0</v>
      </c>
      <c r="O2708">
        <f>IFERROR(IF(VLOOKUP(calendar[[#This Row],[Date]],BH!G:G,1,)&lt;&gt;"",1,0),0)</f>
        <v>0</v>
      </c>
      <c r="P2708">
        <f>IF(OR(calendar[[#This Row],[UK_BH]]=1,calendar[[#This Row],[WeekDay]]=1, calendar[[#This Row],[WeekDay]]=7),P2707,P2707+1)</f>
        <v>1934</v>
      </c>
      <c r="Q2708">
        <f>IF(OR(calendar[[#This Row],[FR_BH]]=1,calendar[[#This Row],[WeekDay]]=1, calendar[[#This Row],[WeekDay]]=7),P2707,P2707+1)</f>
        <v>1934</v>
      </c>
      <c r="R2708">
        <f>IF(OR(calendar[[#This Row],[SP_BH]]=1,calendar[[#This Row],[WeekDay]]=1, calendar[[#This Row],[WeekDay]]=7),P2707,P2707+1)</f>
        <v>1934</v>
      </c>
      <c r="S2708">
        <f>IF(OR(calendar[[#This Row],[PT_BH]]=1,calendar[[#This Row],[WeekDay]]=1, calendar[[#This Row],[WeekDay]]=7),P2707,P2707+1)</f>
        <v>1934</v>
      </c>
    </row>
    <row r="2709" spans="1:19" x14ac:dyDescent="0.25">
      <c r="A2709" s="2">
        <v>45443</v>
      </c>
      <c r="B2709" s="1">
        <f t="shared" si="213"/>
        <v>22</v>
      </c>
      <c r="C2709">
        <f t="shared" si="215"/>
        <v>5</v>
      </c>
      <c r="D2709" t="str">
        <f t="shared" si="216"/>
        <v>May</v>
      </c>
      <c r="E2709">
        <f t="shared" si="217"/>
        <v>2024</v>
      </c>
      <c r="F2709" t="str">
        <f>CONCATENATE(calendar[[#This Row],[Month]],"/",calendar[[#This Row],[Year]])</f>
        <v>5/2024</v>
      </c>
      <c r="G2709">
        <f>WEEKDAY(calendar[[#This Row],[Date]],1)</f>
        <v>6</v>
      </c>
      <c r="H2709" t="str">
        <f>TEXT(calendar[[#This Row],[WeekDay]],"dddd")</f>
        <v>Friday</v>
      </c>
      <c r="I2709">
        <f>IF((INT(calendar[[#This Row],[Count]]/7)-calendar[[#This Row],[Count]]/7)&lt;0,I2708,I2708+1)</f>
        <v>387</v>
      </c>
      <c r="J2709">
        <f t="shared" si="214"/>
        <v>2707</v>
      </c>
      <c r="K2709">
        <f>IF(calendar[[#This Row],[Month]]&lt;4,1,IF(calendar[[#This Row],[Month]]&lt;7,2,IF(calendar[[#This Row],[Month]]&lt;10,3,4)))</f>
        <v>2</v>
      </c>
      <c r="L2709">
        <f>IFERROR(IF(VLOOKUP(calendar[[#This Row],[Date]],BH!A:A,1,)&lt;&gt;"",1,0),0)</f>
        <v>0</v>
      </c>
      <c r="M2709">
        <f>IFERROR(IF(VLOOKUP(calendar[[#This Row],[Date]],BH!C:C,1,)&lt;&gt;"",1,0),0)</f>
        <v>0</v>
      </c>
      <c r="N2709">
        <f>IFERROR(IF(VLOOKUP(calendar[[#This Row],[Date]],BH!E:E,1,)&lt;&gt;"",1,0),0)</f>
        <v>0</v>
      </c>
      <c r="O2709">
        <f>IFERROR(IF(VLOOKUP(calendar[[#This Row],[Date]],BH!G:G,1,)&lt;&gt;"",1,0),0)</f>
        <v>0</v>
      </c>
      <c r="P2709">
        <f>IF(OR(calendar[[#This Row],[UK_BH]]=1,calendar[[#This Row],[WeekDay]]=1, calendar[[#This Row],[WeekDay]]=7),P2708,P2708+1)</f>
        <v>1935</v>
      </c>
      <c r="Q2709">
        <f>IF(OR(calendar[[#This Row],[FR_BH]]=1,calendar[[#This Row],[WeekDay]]=1, calendar[[#This Row],[WeekDay]]=7),P2708,P2708+1)</f>
        <v>1935</v>
      </c>
      <c r="R2709">
        <f>IF(OR(calendar[[#This Row],[SP_BH]]=1,calendar[[#This Row],[WeekDay]]=1, calendar[[#This Row],[WeekDay]]=7),P2708,P2708+1)</f>
        <v>1935</v>
      </c>
      <c r="S2709">
        <f>IF(OR(calendar[[#This Row],[PT_BH]]=1,calendar[[#This Row],[WeekDay]]=1, calendar[[#This Row],[WeekDay]]=7),P2708,P2708+1)</f>
        <v>1935</v>
      </c>
    </row>
    <row r="2710" spans="1:19" x14ac:dyDescent="0.25">
      <c r="A2710" s="2">
        <v>45444</v>
      </c>
      <c r="B2710" s="1">
        <f t="shared" si="213"/>
        <v>22</v>
      </c>
      <c r="C2710">
        <f t="shared" si="215"/>
        <v>6</v>
      </c>
      <c r="D2710" t="str">
        <f t="shared" si="216"/>
        <v>June</v>
      </c>
      <c r="E2710">
        <f t="shared" si="217"/>
        <v>2024</v>
      </c>
      <c r="F2710" t="str">
        <f>CONCATENATE(calendar[[#This Row],[Month]],"/",calendar[[#This Row],[Year]])</f>
        <v>6/2024</v>
      </c>
      <c r="G2710">
        <f>WEEKDAY(calendar[[#This Row],[Date]],1)</f>
        <v>7</v>
      </c>
      <c r="H2710" t="str">
        <f>TEXT(calendar[[#This Row],[WeekDay]],"dddd")</f>
        <v>Saturday</v>
      </c>
      <c r="I2710">
        <f>IF((INT(calendar[[#This Row],[Count]]/7)-calendar[[#This Row],[Count]]/7)&lt;0,I2709,I2709+1)</f>
        <v>387</v>
      </c>
      <c r="J2710">
        <f t="shared" si="214"/>
        <v>2708</v>
      </c>
      <c r="K2710">
        <f>IF(calendar[[#This Row],[Month]]&lt;4,1,IF(calendar[[#This Row],[Month]]&lt;7,2,IF(calendar[[#This Row],[Month]]&lt;10,3,4)))</f>
        <v>2</v>
      </c>
      <c r="L2710">
        <f>IFERROR(IF(VLOOKUP(calendar[[#This Row],[Date]],BH!A:A,1,)&lt;&gt;"",1,0),0)</f>
        <v>0</v>
      </c>
      <c r="M2710">
        <f>IFERROR(IF(VLOOKUP(calendar[[#This Row],[Date]],BH!C:C,1,)&lt;&gt;"",1,0),0)</f>
        <v>0</v>
      </c>
      <c r="N2710">
        <f>IFERROR(IF(VLOOKUP(calendar[[#This Row],[Date]],BH!E:E,1,)&lt;&gt;"",1,0),0)</f>
        <v>0</v>
      </c>
      <c r="O2710">
        <f>IFERROR(IF(VLOOKUP(calendar[[#This Row],[Date]],BH!G:G,1,)&lt;&gt;"",1,0),0)</f>
        <v>0</v>
      </c>
      <c r="P2710">
        <f>IF(OR(calendar[[#This Row],[UK_BH]]=1,calendar[[#This Row],[WeekDay]]=1, calendar[[#This Row],[WeekDay]]=7),P2709,P2709+1)</f>
        <v>1935</v>
      </c>
      <c r="Q2710">
        <f>IF(OR(calendar[[#This Row],[FR_BH]]=1,calendar[[#This Row],[WeekDay]]=1, calendar[[#This Row],[WeekDay]]=7),P2709,P2709+1)</f>
        <v>1935</v>
      </c>
      <c r="R2710">
        <f>IF(OR(calendar[[#This Row],[SP_BH]]=1,calendar[[#This Row],[WeekDay]]=1, calendar[[#This Row],[WeekDay]]=7),P2709,P2709+1)</f>
        <v>1935</v>
      </c>
      <c r="S2710">
        <f>IF(OR(calendar[[#This Row],[PT_BH]]=1,calendar[[#This Row],[WeekDay]]=1, calendar[[#This Row],[WeekDay]]=7),P2709,P2709+1)</f>
        <v>1935</v>
      </c>
    </row>
    <row r="2711" spans="1:19" x14ac:dyDescent="0.25">
      <c r="A2711" s="2">
        <v>45445</v>
      </c>
      <c r="B2711" s="1">
        <f t="shared" si="213"/>
        <v>23</v>
      </c>
      <c r="C2711">
        <f t="shared" si="215"/>
        <v>6</v>
      </c>
      <c r="D2711" t="str">
        <f t="shared" si="216"/>
        <v>June</v>
      </c>
      <c r="E2711">
        <f t="shared" si="217"/>
        <v>2024</v>
      </c>
      <c r="F2711" t="str">
        <f>CONCATENATE(calendar[[#This Row],[Month]],"/",calendar[[#This Row],[Year]])</f>
        <v>6/2024</v>
      </c>
      <c r="G2711">
        <f>WEEKDAY(calendar[[#This Row],[Date]],1)</f>
        <v>1</v>
      </c>
      <c r="H2711" t="str">
        <f>TEXT(calendar[[#This Row],[WeekDay]],"dddd")</f>
        <v>Sunday</v>
      </c>
      <c r="I2711">
        <f>IF((INT(calendar[[#This Row],[Count]]/7)-calendar[[#This Row],[Count]]/7)&lt;0,I2710,I2710+1)</f>
        <v>388</v>
      </c>
      <c r="J2711">
        <f t="shared" si="214"/>
        <v>2709</v>
      </c>
      <c r="K2711">
        <f>IF(calendar[[#This Row],[Month]]&lt;4,1,IF(calendar[[#This Row],[Month]]&lt;7,2,IF(calendar[[#This Row],[Month]]&lt;10,3,4)))</f>
        <v>2</v>
      </c>
      <c r="L2711">
        <f>IFERROR(IF(VLOOKUP(calendar[[#This Row],[Date]],BH!A:A,1,)&lt;&gt;"",1,0),0)</f>
        <v>0</v>
      </c>
      <c r="M2711">
        <f>IFERROR(IF(VLOOKUP(calendar[[#This Row],[Date]],BH!C:C,1,)&lt;&gt;"",1,0),0)</f>
        <v>0</v>
      </c>
      <c r="N2711">
        <f>IFERROR(IF(VLOOKUP(calendar[[#This Row],[Date]],BH!E:E,1,)&lt;&gt;"",1,0),0)</f>
        <v>0</v>
      </c>
      <c r="O2711">
        <f>IFERROR(IF(VLOOKUP(calendar[[#This Row],[Date]],BH!G:G,1,)&lt;&gt;"",1,0),0)</f>
        <v>0</v>
      </c>
      <c r="P2711">
        <f>IF(OR(calendar[[#This Row],[UK_BH]]=1,calendar[[#This Row],[WeekDay]]=1, calendar[[#This Row],[WeekDay]]=7),P2710,P2710+1)</f>
        <v>1935</v>
      </c>
      <c r="Q2711">
        <f>IF(OR(calendar[[#This Row],[FR_BH]]=1,calendar[[#This Row],[WeekDay]]=1, calendar[[#This Row],[WeekDay]]=7),P2710,P2710+1)</f>
        <v>1935</v>
      </c>
      <c r="R2711">
        <f>IF(OR(calendar[[#This Row],[SP_BH]]=1,calendar[[#This Row],[WeekDay]]=1, calendar[[#This Row],[WeekDay]]=7),P2710,P2710+1)</f>
        <v>1935</v>
      </c>
      <c r="S2711">
        <f>IF(OR(calendar[[#This Row],[PT_BH]]=1,calendar[[#This Row],[WeekDay]]=1, calendar[[#This Row],[WeekDay]]=7),P2710,P2710+1)</f>
        <v>1935</v>
      </c>
    </row>
    <row r="2712" spans="1:19" x14ac:dyDescent="0.25">
      <c r="A2712" s="2">
        <v>45446</v>
      </c>
      <c r="B2712" s="1">
        <f t="shared" si="213"/>
        <v>23</v>
      </c>
      <c r="C2712">
        <f t="shared" si="215"/>
        <v>6</v>
      </c>
      <c r="D2712" t="str">
        <f t="shared" si="216"/>
        <v>June</v>
      </c>
      <c r="E2712">
        <f t="shared" si="217"/>
        <v>2024</v>
      </c>
      <c r="F2712" t="str">
        <f>CONCATENATE(calendar[[#This Row],[Month]],"/",calendar[[#This Row],[Year]])</f>
        <v>6/2024</v>
      </c>
      <c r="G2712">
        <f>WEEKDAY(calendar[[#This Row],[Date]],1)</f>
        <v>2</v>
      </c>
      <c r="H2712" t="str">
        <f>TEXT(calendar[[#This Row],[WeekDay]],"dddd")</f>
        <v>Monday</v>
      </c>
      <c r="I2712">
        <f>IF((INT(calendar[[#This Row],[Count]]/7)-calendar[[#This Row],[Count]]/7)&lt;0,I2711,I2711+1)</f>
        <v>388</v>
      </c>
      <c r="J2712">
        <f t="shared" si="214"/>
        <v>2710</v>
      </c>
      <c r="K2712">
        <f>IF(calendar[[#This Row],[Month]]&lt;4,1,IF(calendar[[#This Row],[Month]]&lt;7,2,IF(calendar[[#This Row],[Month]]&lt;10,3,4)))</f>
        <v>2</v>
      </c>
      <c r="L2712">
        <f>IFERROR(IF(VLOOKUP(calendar[[#This Row],[Date]],BH!A:A,1,)&lt;&gt;"",1,0),0)</f>
        <v>0</v>
      </c>
      <c r="M2712">
        <f>IFERROR(IF(VLOOKUP(calendar[[#This Row],[Date]],BH!C:C,1,)&lt;&gt;"",1,0),0)</f>
        <v>0</v>
      </c>
      <c r="N2712">
        <f>IFERROR(IF(VLOOKUP(calendar[[#This Row],[Date]],BH!E:E,1,)&lt;&gt;"",1,0),0)</f>
        <v>0</v>
      </c>
      <c r="O2712">
        <f>IFERROR(IF(VLOOKUP(calendar[[#This Row],[Date]],BH!G:G,1,)&lt;&gt;"",1,0),0)</f>
        <v>0</v>
      </c>
      <c r="P2712">
        <f>IF(OR(calendar[[#This Row],[UK_BH]]=1,calendar[[#This Row],[WeekDay]]=1, calendar[[#This Row],[WeekDay]]=7),P2711,P2711+1)</f>
        <v>1936</v>
      </c>
      <c r="Q2712">
        <f>IF(OR(calendar[[#This Row],[FR_BH]]=1,calendar[[#This Row],[WeekDay]]=1, calendar[[#This Row],[WeekDay]]=7),P2711,P2711+1)</f>
        <v>1936</v>
      </c>
      <c r="R2712">
        <f>IF(OR(calendar[[#This Row],[SP_BH]]=1,calendar[[#This Row],[WeekDay]]=1, calendar[[#This Row],[WeekDay]]=7),P2711,P2711+1)</f>
        <v>1936</v>
      </c>
      <c r="S2712">
        <f>IF(OR(calendar[[#This Row],[PT_BH]]=1,calendar[[#This Row],[WeekDay]]=1, calendar[[#This Row],[WeekDay]]=7),P2711,P2711+1)</f>
        <v>1936</v>
      </c>
    </row>
    <row r="2713" spans="1:19" x14ac:dyDescent="0.25">
      <c r="A2713" s="2">
        <v>45447</v>
      </c>
      <c r="B2713" s="1">
        <f t="shared" si="213"/>
        <v>23</v>
      </c>
      <c r="C2713">
        <f t="shared" si="215"/>
        <v>6</v>
      </c>
      <c r="D2713" t="str">
        <f t="shared" si="216"/>
        <v>June</v>
      </c>
      <c r="E2713">
        <f t="shared" si="217"/>
        <v>2024</v>
      </c>
      <c r="F2713" t="str">
        <f>CONCATENATE(calendar[[#This Row],[Month]],"/",calendar[[#This Row],[Year]])</f>
        <v>6/2024</v>
      </c>
      <c r="G2713">
        <f>WEEKDAY(calendar[[#This Row],[Date]],1)</f>
        <v>3</v>
      </c>
      <c r="H2713" t="str">
        <f>TEXT(calendar[[#This Row],[WeekDay]],"dddd")</f>
        <v>Tuesday</v>
      </c>
      <c r="I2713">
        <f>IF((INT(calendar[[#This Row],[Count]]/7)-calendar[[#This Row],[Count]]/7)&lt;0,I2712,I2712+1)</f>
        <v>388</v>
      </c>
      <c r="J2713">
        <f t="shared" si="214"/>
        <v>2711</v>
      </c>
      <c r="K2713">
        <f>IF(calendar[[#This Row],[Month]]&lt;4,1,IF(calendar[[#This Row],[Month]]&lt;7,2,IF(calendar[[#This Row],[Month]]&lt;10,3,4)))</f>
        <v>2</v>
      </c>
      <c r="L2713">
        <f>IFERROR(IF(VLOOKUP(calendar[[#This Row],[Date]],BH!A:A,1,)&lt;&gt;"",1,0),0)</f>
        <v>0</v>
      </c>
      <c r="M2713">
        <f>IFERROR(IF(VLOOKUP(calendar[[#This Row],[Date]],BH!C:C,1,)&lt;&gt;"",1,0),0)</f>
        <v>0</v>
      </c>
      <c r="N2713">
        <f>IFERROR(IF(VLOOKUP(calendar[[#This Row],[Date]],BH!E:E,1,)&lt;&gt;"",1,0),0)</f>
        <v>0</v>
      </c>
      <c r="O2713">
        <f>IFERROR(IF(VLOOKUP(calendar[[#This Row],[Date]],BH!G:G,1,)&lt;&gt;"",1,0),0)</f>
        <v>0</v>
      </c>
      <c r="P2713">
        <f>IF(OR(calendar[[#This Row],[UK_BH]]=1,calendar[[#This Row],[WeekDay]]=1, calendar[[#This Row],[WeekDay]]=7),P2712,P2712+1)</f>
        <v>1937</v>
      </c>
      <c r="Q2713">
        <f>IF(OR(calendar[[#This Row],[FR_BH]]=1,calendar[[#This Row],[WeekDay]]=1, calendar[[#This Row],[WeekDay]]=7),P2712,P2712+1)</f>
        <v>1937</v>
      </c>
      <c r="R2713">
        <f>IF(OR(calendar[[#This Row],[SP_BH]]=1,calendar[[#This Row],[WeekDay]]=1, calendar[[#This Row],[WeekDay]]=7),P2712,P2712+1)</f>
        <v>1937</v>
      </c>
      <c r="S2713">
        <f>IF(OR(calendar[[#This Row],[PT_BH]]=1,calendar[[#This Row],[WeekDay]]=1, calendar[[#This Row],[WeekDay]]=7),P2712,P2712+1)</f>
        <v>1937</v>
      </c>
    </row>
    <row r="2714" spans="1:19" x14ac:dyDescent="0.25">
      <c r="A2714" s="2">
        <v>45448</v>
      </c>
      <c r="B2714" s="1">
        <f t="shared" si="213"/>
        <v>23</v>
      </c>
      <c r="C2714">
        <f t="shared" si="215"/>
        <v>6</v>
      </c>
      <c r="D2714" t="str">
        <f t="shared" si="216"/>
        <v>June</v>
      </c>
      <c r="E2714">
        <f t="shared" si="217"/>
        <v>2024</v>
      </c>
      <c r="F2714" t="str">
        <f>CONCATENATE(calendar[[#This Row],[Month]],"/",calendar[[#This Row],[Year]])</f>
        <v>6/2024</v>
      </c>
      <c r="G2714">
        <f>WEEKDAY(calendar[[#This Row],[Date]],1)</f>
        <v>4</v>
      </c>
      <c r="H2714" t="str">
        <f>TEXT(calendar[[#This Row],[WeekDay]],"dddd")</f>
        <v>Wednesday</v>
      </c>
      <c r="I2714">
        <f>IF((INT(calendar[[#This Row],[Count]]/7)-calendar[[#This Row],[Count]]/7)&lt;0,I2713,I2713+1)</f>
        <v>388</v>
      </c>
      <c r="J2714">
        <f t="shared" si="214"/>
        <v>2712</v>
      </c>
      <c r="K2714">
        <f>IF(calendar[[#This Row],[Month]]&lt;4,1,IF(calendar[[#This Row],[Month]]&lt;7,2,IF(calendar[[#This Row],[Month]]&lt;10,3,4)))</f>
        <v>2</v>
      </c>
      <c r="L2714">
        <f>IFERROR(IF(VLOOKUP(calendar[[#This Row],[Date]],BH!A:A,1,)&lt;&gt;"",1,0),0)</f>
        <v>0</v>
      </c>
      <c r="M2714">
        <f>IFERROR(IF(VLOOKUP(calendar[[#This Row],[Date]],BH!C:C,1,)&lt;&gt;"",1,0),0)</f>
        <v>0</v>
      </c>
      <c r="N2714">
        <f>IFERROR(IF(VLOOKUP(calendar[[#This Row],[Date]],BH!E:E,1,)&lt;&gt;"",1,0),0)</f>
        <v>0</v>
      </c>
      <c r="O2714">
        <f>IFERROR(IF(VLOOKUP(calendar[[#This Row],[Date]],BH!G:G,1,)&lt;&gt;"",1,0),0)</f>
        <v>0</v>
      </c>
      <c r="P2714">
        <f>IF(OR(calendar[[#This Row],[UK_BH]]=1,calendar[[#This Row],[WeekDay]]=1, calendar[[#This Row],[WeekDay]]=7),P2713,P2713+1)</f>
        <v>1938</v>
      </c>
      <c r="Q2714">
        <f>IF(OR(calendar[[#This Row],[FR_BH]]=1,calendar[[#This Row],[WeekDay]]=1, calendar[[#This Row],[WeekDay]]=7),P2713,P2713+1)</f>
        <v>1938</v>
      </c>
      <c r="R2714">
        <f>IF(OR(calendar[[#This Row],[SP_BH]]=1,calendar[[#This Row],[WeekDay]]=1, calendar[[#This Row],[WeekDay]]=7),P2713,P2713+1)</f>
        <v>1938</v>
      </c>
      <c r="S2714">
        <f>IF(OR(calendar[[#This Row],[PT_BH]]=1,calendar[[#This Row],[WeekDay]]=1, calendar[[#This Row],[WeekDay]]=7),P2713,P2713+1)</f>
        <v>1938</v>
      </c>
    </row>
    <row r="2715" spans="1:19" x14ac:dyDescent="0.25">
      <c r="A2715" s="2">
        <v>45449</v>
      </c>
      <c r="B2715" s="1">
        <f t="shared" si="213"/>
        <v>23</v>
      </c>
      <c r="C2715">
        <f t="shared" si="215"/>
        <v>6</v>
      </c>
      <c r="D2715" t="str">
        <f t="shared" si="216"/>
        <v>June</v>
      </c>
      <c r="E2715">
        <f t="shared" si="217"/>
        <v>2024</v>
      </c>
      <c r="F2715" t="str">
        <f>CONCATENATE(calendar[[#This Row],[Month]],"/",calendar[[#This Row],[Year]])</f>
        <v>6/2024</v>
      </c>
      <c r="G2715">
        <f>WEEKDAY(calendar[[#This Row],[Date]],1)</f>
        <v>5</v>
      </c>
      <c r="H2715" t="str">
        <f>TEXT(calendar[[#This Row],[WeekDay]],"dddd")</f>
        <v>Thursday</v>
      </c>
      <c r="I2715">
        <f>IF((INT(calendar[[#This Row],[Count]]/7)-calendar[[#This Row],[Count]]/7)&lt;0,I2714,I2714+1)</f>
        <v>388</v>
      </c>
      <c r="J2715">
        <f t="shared" si="214"/>
        <v>2713</v>
      </c>
      <c r="K2715">
        <f>IF(calendar[[#This Row],[Month]]&lt;4,1,IF(calendar[[#This Row],[Month]]&lt;7,2,IF(calendar[[#This Row],[Month]]&lt;10,3,4)))</f>
        <v>2</v>
      </c>
      <c r="L2715">
        <f>IFERROR(IF(VLOOKUP(calendar[[#This Row],[Date]],BH!A:A,1,)&lt;&gt;"",1,0),0)</f>
        <v>0</v>
      </c>
      <c r="M2715">
        <f>IFERROR(IF(VLOOKUP(calendar[[#This Row],[Date]],BH!C:C,1,)&lt;&gt;"",1,0),0)</f>
        <v>0</v>
      </c>
      <c r="N2715">
        <f>IFERROR(IF(VLOOKUP(calendar[[#This Row],[Date]],BH!E:E,1,)&lt;&gt;"",1,0),0)</f>
        <v>0</v>
      </c>
      <c r="O2715">
        <f>IFERROR(IF(VLOOKUP(calendar[[#This Row],[Date]],BH!G:G,1,)&lt;&gt;"",1,0),0)</f>
        <v>0</v>
      </c>
      <c r="P2715">
        <f>IF(OR(calendar[[#This Row],[UK_BH]]=1,calendar[[#This Row],[WeekDay]]=1, calendar[[#This Row],[WeekDay]]=7),P2714,P2714+1)</f>
        <v>1939</v>
      </c>
      <c r="Q2715">
        <f>IF(OR(calendar[[#This Row],[FR_BH]]=1,calendar[[#This Row],[WeekDay]]=1, calendar[[#This Row],[WeekDay]]=7),P2714,P2714+1)</f>
        <v>1939</v>
      </c>
      <c r="R2715">
        <f>IF(OR(calendar[[#This Row],[SP_BH]]=1,calendar[[#This Row],[WeekDay]]=1, calendar[[#This Row],[WeekDay]]=7),P2714,P2714+1)</f>
        <v>1939</v>
      </c>
      <c r="S2715">
        <f>IF(OR(calendar[[#This Row],[PT_BH]]=1,calendar[[#This Row],[WeekDay]]=1, calendar[[#This Row],[WeekDay]]=7),P2714,P2714+1)</f>
        <v>1939</v>
      </c>
    </row>
    <row r="2716" spans="1:19" x14ac:dyDescent="0.25">
      <c r="A2716" s="2">
        <v>45450</v>
      </c>
      <c r="B2716" s="1">
        <f t="shared" si="213"/>
        <v>23</v>
      </c>
      <c r="C2716">
        <f t="shared" si="215"/>
        <v>6</v>
      </c>
      <c r="D2716" t="str">
        <f t="shared" si="216"/>
        <v>June</v>
      </c>
      <c r="E2716">
        <f t="shared" si="217"/>
        <v>2024</v>
      </c>
      <c r="F2716" t="str">
        <f>CONCATENATE(calendar[[#This Row],[Month]],"/",calendar[[#This Row],[Year]])</f>
        <v>6/2024</v>
      </c>
      <c r="G2716">
        <f>WEEKDAY(calendar[[#This Row],[Date]],1)</f>
        <v>6</v>
      </c>
      <c r="H2716" t="str">
        <f>TEXT(calendar[[#This Row],[WeekDay]],"dddd")</f>
        <v>Friday</v>
      </c>
      <c r="I2716">
        <f>IF((INT(calendar[[#This Row],[Count]]/7)-calendar[[#This Row],[Count]]/7)&lt;0,I2715,I2715+1)</f>
        <v>388</v>
      </c>
      <c r="J2716">
        <f t="shared" si="214"/>
        <v>2714</v>
      </c>
      <c r="K2716">
        <f>IF(calendar[[#This Row],[Month]]&lt;4,1,IF(calendar[[#This Row],[Month]]&lt;7,2,IF(calendar[[#This Row],[Month]]&lt;10,3,4)))</f>
        <v>2</v>
      </c>
      <c r="L2716">
        <f>IFERROR(IF(VLOOKUP(calendar[[#This Row],[Date]],BH!A:A,1,)&lt;&gt;"",1,0),0)</f>
        <v>0</v>
      </c>
      <c r="M2716">
        <f>IFERROR(IF(VLOOKUP(calendar[[#This Row],[Date]],BH!C:C,1,)&lt;&gt;"",1,0),0)</f>
        <v>0</v>
      </c>
      <c r="N2716">
        <f>IFERROR(IF(VLOOKUP(calendar[[#This Row],[Date]],BH!E:E,1,)&lt;&gt;"",1,0),0)</f>
        <v>0</v>
      </c>
      <c r="O2716">
        <f>IFERROR(IF(VLOOKUP(calendar[[#This Row],[Date]],BH!G:G,1,)&lt;&gt;"",1,0),0)</f>
        <v>0</v>
      </c>
      <c r="P2716">
        <f>IF(OR(calendar[[#This Row],[UK_BH]]=1,calendar[[#This Row],[WeekDay]]=1, calendar[[#This Row],[WeekDay]]=7),P2715,P2715+1)</f>
        <v>1940</v>
      </c>
      <c r="Q2716">
        <f>IF(OR(calendar[[#This Row],[FR_BH]]=1,calendar[[#This Row],[WeekDay]]=1, calendar[[#This Row],[WeekDay]]=7),P2715,P2715+1)</f>
        <v>1940</v>
      </c>
      <c r="R2716">
        <f>IF(OR(calendar[[#This Row],[SP_BH]]=1,calendar[[#This Row],[WeekDay]]=1, calendar[[#This Row],[WeekDay]]=7),P2715,P2715+1)</f>
        <v>1940</v>
      </c>
      <c r="S2716">
        <f>IF(OR(calendar[[#This Row],[PT_BH]]=1,calendar[[#This Row],[WeekDay]]=1, calendar[[#This Row],[WeekDay]]=7),P2715,P2715+1)</f>
        <v>1940</v>
      </c>
    </row>
    <row r="2717" spans="1:19" x14ac:dyDescent="0.25">
      <c r="A2717" s="2">
        <v>45451</v>
      </c>
      <c r="B2717" s="1">
        <f t="shared" si="213"/>
        <v>23</v>
      </c>
      <c r="C2717">
        <f t="shared" si="215"/>
        <v>6</v>
      </c>
      <c r="D2717" t="str">
        <f t="shared" si="216"/>
        <v>June</v>
      </c>
      <c r="E2717">
        <f t="shared" si="217"/>
        <v>2024</v>
      </c>
      <c r="F2717" t="str">
        <f>CONCATENATE(calendar[[#This Row],[Month]],"/",calendar[[#This Row],[Year]])</f>
        <v>6/2024</v>
      </c>
      <c r="G2717">
        <f>WEEKDAY(calendar[[#This Row],[Date]],1)</f>
        <v>7</v>
      </c>
      <c r="H2717" t="str">
        <f>TEXT(calendar[[#This Row],[WeekDay]],"dddd")</f>
        <v>Saturday</v>
      </c>
      <c r="I2717">
        <f>IF((INT(calendar[[#This Row],[Count]]/7)-calendar[[#This Row],[Count]]/7)&lt;0,I2716,I2716+1)</f>
        <v>388</v>
      </c>
      <c r="J2717">
        <f t="shared" si="214"/>
        <v>2715</v>
      </c>
      <c r="K2717">
        <f>IF(calendar[[#This Row],[Month]]&lt;4,1,IF(calendar[[#This Row],[Month]]&lt;7,2,IF(calendar[[#This Row],[Month]]&lt;10,3,4)))</f>
        <v>2</v>
      </c>
      <c r="L2717">
        <f>IFERROR(IF(VLOOKUP(calendar[[#This Row],[Date]],BH!A:A,1,)&lt;&gt;"",1,0),0)</f>
        <v>0</v>
      </c>
      <c r="M2717">
        <f>IFERROR(IF(VLOOKUP(calendar[[#This Row],[Date]],BH!C:C,1,)&lt;&gt;"",1,0),0)</f>
        <v>0</v>
      </c>
      <c r="N2717">
        <f>IFERROR(IF(VLOOKUP(calendar[[#This Row],[Date]],BH!E:E,1,)&lt;&gt;"",1,0),0)</f>
        <v>0</v>
      </c>
      <c r="O2717">
        <f>IFERROR(IF(VLOOKUP(calendar[[#This Row],[Date]],BH!G:G,1,)&lt;&gt;"",1,0),0)</f>
        <v>0</v>
      </c>
      <c r="P2717">
        <f>IF(OR(calendar[[#This Row],[UK_BH]]=1,calendar[[#This Row],[WeekDay]]=1, calendar[[#This Row],[WeekDay]]=7),P2716,P2716+1)</f>
        <v>1940</v>
      </c>
      <c r="Q2717">
        <f>IF(OR(calendar[[#This Row],[FR_BH]]=1,calendar[[#This Row],[WeekDay]]=1, calendar[[#This Row],[WeekDay]]=7),P2716,P2716+1)</f>
        <v>1940</v>
      </c>
      <c r="R2717">
        <f>IF(OR(calendar[[#This Row],[SP_BH]]=1,calendar[[#This Row],[WeekDay]]=1, calendar[[#This Row],[WeekDay]]=7),P2716,P2716+1)</f>
        <v>1940</v>
      </c>
      <c r="S2717">
        <f>IF(OR(calendar[[#This Row],[PT_BH]]=1,calendar[[#This Row],[WeekDay]]=1, calendar[[#This Row],[WeekDay]]=7),P2716,P2716+1)</f>
        <v>1940</v>
      </c>
    </row>
    <row r="2718" spans="1:19" x14ac:dyDescent="0.25">
      <c r="A2718" s="2">
        <v>45452</v>
      </c>
      <c r="B2718" s="1">
        <f t="shared" si="213"/>
        <v>24</v>
      </c>
      <c r="C2718">
        <f t="shared" si="215"/>
        <v>6</v>
      </c>
      <c r="D2718" t="str">
        <f t="shared" si="216"/>
        <v>June</v>
      </c>
      <c r="E2718">
        <f t="shared" si="217"/>
        <v>2024</v>
      </c>
      <c r="F2718" t="str">
        <f>CONCATENATE(calendar[[#This Row],[Month]],"/",calendar[[#This Row],[Year]])</f>
        <v>6/2024</v>
      </c>
      <c r="G2718">
        <f>WEEKDAY(calendar[[#This Row],[Date]],1)</f>
        <v>1</v>
      </c>
      <c r="H2718" t="str">
        <f>TEXT(calendar[[#This Row],[WeekDay]],"dddd")</f>
        <v>Sunday</v>
      </c>
      <c r="I2718">
        <f>IF((INT(calendar[[#This Row],[Count]]/7)-calendar[[#This Row],[Count]]/7)&lt;0,I2717,I2717+1)</f>
        <v>389</v>
      </c>
      <c r="J2718">
        <f t="shared" si="214"/>
        <v>2716</v>
      </c>
      <c r="K2718">
        <f>IF(calendar[[#This Row],[Month]]&lt;4,1,IF(calendar[[#This Row],[Month]]&lt;7,2,IF(calendar[[#This Row],[Month]]&lt;10,3,4)))</f>
        <v>2</v>
      </c>
      <c r="L2718">
        <f>IFERROR(IF(VLOOKUP(calendar[[#This Row],[Date]],BH!A:A,1,)&lt;&gt;"",1,0),0)</f>
        <v>0</v>
      </c>
      <c r="M2718">
        <f>IFERROR(IF(VLOOKUP(calendar[[#This Row],[Date]],BH!C:C,1,)&lt;&gt;"",1,0),0)</f>
        <v>0</v>
      </c>
      <c r="N2718">
        <f>IFERROR(IF(VLOOKUP(calendar[[#This Row],[Date]],BH!E:E,1,)&lt;&gt;"",1,0),0)</f>
        <v>0</v>
      </c>
      <c r="O2718">
        <f>IFERROR(IF(VLOOKUP(calendar[[#This Row],[Date]],BH!G:G,1,)&lt;&gt;"",1,0),0)</f>
        <v>0</v>
      </c>
      <c r="P2718">
        <f>IF(OR(calendar[[#This Row],[UK_BH]]=1,calendar[[#This Row],[WeekDay]]=1, calendar[[#This Row],[WeekDay]]=7),P2717,P2717+1)</f>
        <v>1940</v>
      </c>
      <c r="Q2718">
        <f>IF(OR(calendar[[#This Row],[FR_BH]]=1,calendar[[#This Row],[WeekDay]]=1, calendar[[#This Row],[WeekDay]]=7),P2717,P2717+1)</f>
        <v>1940</v>
      </c>
      <c r="R2718">
        <f>IF(OR(calendar[[#This Row],[SP_BH]]=1,calendar[[#This Row],[WeekDay]]=1, calendar[[#This Row],[WeekDay]]=7),P2717,P2717+1)</f>
        <v>1940</v>
      </c>
      <c r="S2718">
        <f>IF(OR(calendar[[#This Row],[PT_BH]]=1,calendar[[#This Row],[WeekDay]]=1, calendar[[#This Row],[WeekDay]]=7),P2717,P2717+1)</f>
        <v>1940</v>
      </c>
    </row>
    <row r="2719" spans="1:19" x14ac:dyDescent="0.25">
      <c r="A2719" s="2">
        <v>45453</v>
      </c>
      <c r="B2719" s="1">
        <f t="shared" si="213"/>
        <v>24</v>
      </c>
      <c r="C2719">
        <f t="shared" si="215"/>
        <v>6</v>
      </c>
      <c r="D2719" t="str">
        <f t="shared" si="216"/>
        <v>June</v>
      </c>
      <c r="E2719">
        <f t="shared" si="217"/>
        <v>2024</v>
      </c>
      <c r="F2719" t="str">
        <f>CONCATENATE(calendar[[#This Row],[Month]],"/",calendar[[#This Row],[Year]])</f>
        <v>6/2024</v>
      </c>
      <c r="G2719">
        <f>WEEKDAY(calendar[[#This Row],[Date]],1)</f>
        <v>2</v>
      </c>
      <c r="H2719" t="str">
        <f>TEXT(calendar[[#This Row],[WeekDay]],"dddd")</f>
        <v>Monday</v>
      </c>
      <c r="I2719">
        <f>IF((INT(calendar[[#This Row],[Count]]/7)-calendar[[#This Row],[Count]]/7)&lt;0,I2718,I2718+1)</f>
        <v>389</v>
      </c>
      <c r="J2719">
        <f t="shared" si="214"/>
        <v>2717</v>
      </c>
      <c r="K2719">
        <f>IF(calendar[[#This Row],[Month]]&lt;4,1,IF(calendar[[#This Row],[Month]]&lt;7,2,IF(calendar[[#This Row],[Month]]&lt;10,3,4)))</f>
        <v>2</v>
      </c>
      <c r="L2719">
        <f>IFERROR(IF(VLOOKUP(calendar[[#This Row],[Date]],BH!A:A,1,)&lt;&gt;"",1,0),0)</f>
        <v>0</v>
      </c>
      <c r="M2719">
        <f>IFERROR(IF(VLOOKUP(calendar[[#This Row],[Date]],BH!C:C,1,)&lt;&gt;"",1,0),0)</f>
        <v>0</v>
      </c>
      <c r="N2719">
        <f>IFERROR(IF(VLOOKUP(calendar[[#This Row],[Date]],BH!E:E,1,)&lt;&gt;"",1,0),0)</f>
        <v>0</v>
      </c>
      <c r="O2719">
        <f>IFERROR(IF(VLOOKUP(calendar[[#This Row],[Date]],BH!G:G,1,)&lt;&gt;"",1,0),0)</f>
        <v>0</v>
      </c>
      <c r="P2719">
        <f>IF(OR(calendar[[#This Row],[UK_BH]]=1,calendar[[#This Row],[WeekDay]]=1, calendar[[#This Row],[WeekDay]]=7),P2718,P2718+1)</f>
        <v>1941</v>
      </c>
      <c r="Q2719">
        <f>IF(OR(calendar[[#This Row],[FR_BH]]=1,calendar[[#This Row],[WeekDay]]=1, calendar[[#This Row],[WeekDay]]=7),P2718,P2718+1)</f>
        <v>1941</v>
      </c>
      <c r="R2719">
        <f>IF(OR(calendar[[#This Row],[SP_BH]]=1,calendar[[#This Row],[WeekDay]]=1, calendar[[#This Row],[WeekDay]]=7),P2718,P2718+1)</f>
        <v>1941</v>
      </c>
      <c r="S2719">
        <f>IF(OR(calendar[[#This Row],[PT_BH]]=1,calendar[[#This Row],[WeekDay]]=1, calendar[[#This Row],[WeekDay]]=7),P2718,P2718+1)</f>
        <v>1941</v>
      </c>
    </row>
    <row r="2720" spans="1:19" x14ac:dyDescent="0.25">
      <c r="A2720" s="2">
        <v>45454</v>
      </c>
      <c r="B2720" s="1">
        <f t="shared" si="213"/>
        <v>24</v>
      </c>
      <c r="C2720">
        <f t="shared" si="215"/>
        <v>6</v>
      </c>
      <c r="D2720" t="str">
        <f t="shared" si="216"/>
        <v>June</v>
      </c>
      <c r="E2720">
        <f t="shared" si="217"/>
        <v>2024</v>
      </c>
      <c r="F2720" t="str">
        <f>CONCATENATE(calendar[[#This Row],[Month]],"/",calendar[[#This Row],[Year]])</f>
        <v>6/2024</v>
      </c>
      <c r="G2720">
        <f>WEEKDAY(calendar[[#This Row],[Date]],1)</f>
        <v>3</v>
      </c>
      <c r="H2720" t="str">
        <f>TEXT(calendar[[#This Row],[WeekDay]],"dddd")</f>
        <v>Tuesday</v>
      </c>
      <c r="I2720">
        <f>IF((INT(calendar[[#This Row],[Count]]/7)-calendar[[#This Row],[Count]]/7)&lt;0,I2719,I2719+1)</f>
        <v>389</v>
      </c>
      <c r="J2720">
        <f t="shared" si="214"/>
        <v>2718</v>
      </c>
      <c r="K2720">
        <f>IF(calendar[[#This Row],[Month]]&lt;4,1,IF(calendar[[#This Row],[Month]]&lt;7,2,IF(calendar[[#This Row],[Month]]&lt;10,3,4)))</f>
        <v>2</v>
      </c>
      <c r="L2720">
        <f>IFERROR(IF(VLOOKUP(calendar[[#This Row],[Date]],BH!A:A,1,)&lt;&gt;"",1,0),0)</f>
        <v>0</v>
      </c>
      <c r="M2720">
        <f>IFERROR(IF(VLOOKUP(calendar[[#This Row],[Date]],BH!C:C,1,)&lt;&gt;"",1,0),0)</f>
        <v>0</v>
      </c>
      <c r="N2720">
        <f>IFERROR(IF(VLOOKUP(calendar[[#This Row],[Date]],BH!E:E,1,)&lt;&gt;"",1,0),0)</f>
        <v>0</v>
      </c>
      <c r="O2720">
        <f>IFERROR(IF(VLOOKUP(calendar[[#This Row],[Date]],BH!G:G,1,)&lt;&gt;"",1,0),0)</f>
        <v>0</v>
      </c>
      <c r="P2720">
        <f>IF(OR(calendar[[#This Row],[UK_BH]]=1,calendar[[#This Row],[WeekDay]]=1, calendar[[#This Row],[WeekDay]]=7),P2719,P2719+1)</f>
        <v>1942</v>
      </c>
      <c r="Q2720">
        <f>IF(OR(calendar[[#This Row],[FR_BH]]=1,calendar[[#This Row],[WeekDay]]=1, calendar[[#This Row],[WeekDay]]=7),P2719,P2719+1)</f>
        <v>1942</v>
      </c>
      <c r="R2720">
        <f>IF(OR(calendar[[#This Row],[SP_BH]]=1,calendar[[#This Row],[WeekDay]]=1, calendar[[#This Row],[WeekDay]]=7),P2719,P2719+1)</f>
        <v>1942</v>
      </c>
      <c r="S2720">
        <f>IF(OR(calendar[[#This Row],[PT_BH]]=1,calendar[[#This Row],[WeekDay]]=1, calendar[[#This Row],[WeekDay]]=7),P2719,P2719+1)</f>
        <v>1942</v>
      </c>
    </row>
    <row r="2721" spans="1:19" x14ac:dyDescent="0.25">
      <c r="A2721" s="2">
        <v>45455</v>
      </c>
      <c r="B2721" s="1">
        <f t="shared" si="213"/>
        <v>24</v>
      </c>
      <c r="C2721">
        <f t="shared" si="215"/>
        <v>6</v>
      </c>
      <c r="D2721" t="str">
        <f t="shared" si="216"/>
        <v>June</v>
      </c>
      <c r="E2721">
        <f t="shared" si="217"/>
        <v>2024</v>
      </c>
      <c r="F2721" t="str">
        <f>CONCATENATE(calendar[[#This Row],[Month]],"/",calendar[[#This Row],[Year]])</f>
        <v>6/2024</v>
      </c>
      <c r="G2721">
        <f>WEEKDAY(calendar[[#This Row],[Date]],1)</f>
        <v>4</v>
      </c>
      <c r="H2721" t="str">
        <f>TEXT(calendar[[#This Row],[WeekDay]],"dddd")</f>
        <v>Wednesday</v>
      </c>
      <c r="I2721">
        <f>IF((INT(calendar[[#This Row],[Count]]/7)-calendar[[#This Row],[Count]]/7)&lt;0,I2720,I2720+1)</f>
        <v>389</v>
      </c>
      <c r="J2721">
        <f t="shared" si="214"/>
        <v>2719</v>
      </c>
      <c r="K2721">
        <f>IF(calendar[[#This Row],[Month]]&lt;4,1,IF(calendar[[#This Row],[Month]]&lt;7,2,IF(calendar[[#This Row],[Month]]&lt;10,3,4)))</f>
        <v>2</v>
      </c>
      <c r="L2721">
        <f>IFERROR(IF(VLOOKUP(calendar[[#This Row],[Date]],BH!A:A,1,)&lt;&gt;"",1,0),0)</f>
        <v>0</v>
      </c>
      <c r="M2721">
        <f>IFERROR(IF(VLOOKUP(calendar[[#This Row],[Date]],BH!C:C,1,)&lt;&gt;"",1,0),0)</f>
        <v>0</v>
      </c>
      <c r="N2721">
        <f>IFERROR(IF(VLOOKUP(calendar[[#This Row],[Date]],BH!E:E,1,)&lt;&gt;"",1,0),0)</f>
        <v>0</v>
      </c>
      <c r="O2721">
        <f>IFERROR(IF(VLOOKUP(calendar[[#This Row],[Date]],BH!G:G,1,)&lt;&gt;"",1,0),0)</f>
        <v>0</v>
      </c>
      <c r="P2721">
        <f>IF(OR(calendar[[#This Row],[UK_BH]]=1,calendar[[#This Row],[WeekDay]]=1, calendar[[#This Row],[WeekDay]]=7),P2720,P2720+1)</f>
        <v>1943</v>
      </c>
      <c r="Q2721">
        <f>IF(OR(calendar[[#This Row],[FR_BH]]=1,calendar[[#This Row],[WeekDay]]=1, calendar[[#This Row],[WeekDay]]=7),P2720,P2720+1)</f>
        <v>1943</v>
      </c>
      <c r="R2721">
        <f>IF(OR(calendar[[#This Row],[SP_BH]]=1,calendar[[#This Row],[WeekDay]]=1, calendar[[#This Row],[WeekDay]]=7),P2720,P2720+1)</f>
        <v>1943</v>
      </c>
      <c r="S2721">
        <f>IF(OR(calendar[[#This Row],[PT_BH]]=1,calendar[[#This Row],[WeekDay]]=1, calendar[[#This Row],[WeekDay]]=7),P2720,P2720+1)</f>
        <v>1943</v>
      </c>
    </row>
    <row r="2722" spans="1:19" x14ac:dyDescent="0.25">
      <c r="A2722" s="2">
        <v>45456</v>
      </c>
      <c r="B2722" s="1">
        <f t="shared" si="213"/>
        <v>24</v>
      </c>
      <c r="C2722">
        <f t="shared" si="215"/>
        <v>6</v>
      </c>
      <c r="D2722" t="str">
        <f t="shared" si="216"/>
        <v>June</v>
      </c>
      <c r="E2722">
        <f t="shared" si="217"/>
        <v>2024</v>
      </c>
      <c r="F2722" t="str">
        <f>CONCATENATE(calendar[[#This Row],[Month]],"/",calendar[[#This Row],[Year]])</f>
        <v>6/2024</v>
      </c>
      <c r="G2722">
        <f>WEEKDAY(calendar[[#This Row],[Date]],1)</f>
        <v>5</v>
      </c>
      <c r="H2722" t="str">
        <f>TEXT(calendar[[#This Row],[WeekDay]],"dddd")</f>
        <v>Thursday</v>
      </c>
      <c r="I2722">
        <f>IF((INT(calendar[[#This Row],[Count]]/7)-calendar[[#This Row],[Count]]/7)&lt;0,I2721,I2721+1)</f>
        <v>389</v>
      </c>
      <c r="J2722">
        <f t="shared" si="214"/>
        <v>2720</v>
      </c>
      <c r="K2722">
        <f>IF(calendar[[#This Row],[Month]]&lt;4,1,IF(calendar[[#This Row],[Month]]&lt;7,2,IF(calendar[[#This Row],[Month]]&lt;10,3,4)))</f>
        <v>2</v>
      </c>
      <c r="L2722">
        <f>IFERROR(IF(VLOOKUP(calendar[[#This Row],[Date]],BH!A:A,1,)&lt;&gt;"",1,0),0)</f>
        <v>0</v>
      </c>
      <c r="M2722">
        <f>IFERROR(IF(VLOOKUP(calendar[[#This Row],[Date]],BH!C:C,1,)&lt;&gt;"",1,0),0)</f>
        <v>0</v>
      </c>
      <c r="N2722">
        <f>IFERROR(IF(VLOOKUP(calendar[[#This Row],[Date]],BH!E:E,1,)&lt;&gt;"",1,0),0)</f>
        <v>0</v>
      </c>
      <c r="O2722">
        <f>IFERROR(IF(VLOOKUP(calendar[[#This Row],[Date]],BH!G:G,1,)&lt;&gt;"",1,0),0)</f>
        <v>0</v>
      </c>
      <c r="P2722">
        <f>IF(OR(calendar[[#This Row],[UK_BH]]=1,calendar[[#This Row],[WeekDay]]=1, calendar[[#This Row],[WeekDay]]=7),P2721,P2721+1)</f>
        <v>1944</v>
      </c>
      <c r="Q2722">
        <f>IF(OR(calendar[[#This Row],[FR_BH]]=1,calendar[[#This Row],[WeekDay]]=1, calendar[[#This Row],[WeekDay]]=7),P2721,P2721+1)</f>
        <v>1944</v>
      </c>
      <c r="R2722">
        <f>IF(OR(calendar[[#This Row],[SP_BH]]=1,calendar[[#This Row],[WeekDay]]=1, calendar[[#This Row],[WeekDay]]=7),P2721,P2721+1)</f>
        <v>1944</v>
      </c>
      <c r="S2722">
        <f>IF(OR(calendar[[#This Row],[PT_BH]]=1,calendar[[#This Row],[WeekDay]]=1, calendar[[#This Row],[WeekDay]]=7),P2721,P2721+1)</f>
        <v>1944</v>
      </c>
    </row>
    <row r="2723" spans="1:19" x14ac:dyDescent="0.25">
      <c r="A2723" s="2">
        <v>45457</v>
      </c>
      <c r="B2723" s="1">
        <f t="shared" si="213"/>
        <v>24</v>
      </c>
      <c r="C2723">
        <f t="shared" si="215"/>
        <v>6</v>
      </c>
      <c r="D2723" t="str">
        <f t="shared" si="216"/>
        <v>June</v>
      </c>
      <c r="E2723">
        <f t="shared" si="217"/>
        <v>2024</v>
      </c>
      <c r="F2723" t="str">
        <f>CONCATENATE(calendar[[#This Row],[Month]],"/",calendar[[#This Row],[Year]])</f>
        <v>6/2024</v>
      </c>
      <c r="G2723">
        <f>WEEKDAY(calendar[[#This Row],[Date]],1)</f>
        <v>6</v>
      </c>
      <c r="H2723" t="str">
        <f>TEXT(calendar[[#This Row],[WeekDay]],"dddd")</f>
        <v>Friday</v>
      </c>
      <c r="I2723">
        <f>IF((INT(calendar[[#This Row],[Count]]/7)-calendar[[#This Row],[Count]]/7)&lt;0,I2722,I2722+1)</f>
        <v>389</v>
      </c>
      <c r="J2723">
        <f t="shared" si="214"/>
        <v>2721</v>
      </c>
      <c r="K2723">
        <f>IF(calendar[[#This Row],[Month]]&lt;4,1,IF(calendar[[#This Row],[Month]]&lt;7,2,IF(calendar[[#This Row],[Month]]&lt;10,3,4)))</f>
        <v>2</v>
      </c>
      <c r="L2723">
        <f>IFERROR(IF(VLOOKUP(calendar[[#This Row],[Date]],BH!A:A,1,)&lt;&gt;"",1,0),0)</f>
        <v>0</v>
      </c>
      <c r="M2723">
        <f>IFERROR(IF(VLOOKUP(calendar[[#This Row],[Date]],BH!C:C,1,)&lt;&gt;"",1,0),0)</f>
        <v>0</v>
      </c>
      <c r="N2723">
        <f>IFERROR(IF(VLOOKUP(calendar[[#This Row],[Date]],BH!E:E,1,)&lt;&gt;"",1,0),0)</f>
        <v>0</v>
      </c>
      <c r="O2723">
        <f>IFERROR(IF(VLOOKUP(calendar[[#This Row],[Date]],BH!G:G,1,)&lt;&gt;"",1,0),0)</f>
        <v>0</v>
      </c>
      <c r="P2723">
        <f>IF(OR(calendar[[#This Row],[UK_BH]]=1,calendar[[#This Row],[WeekDay]]=1, calendar[[#This Row],[WeekDay]]=7),P2722,P2722+1)</f>
        <v>1945</v>
      </c>
      <c r="Q2723">
        <f>IF(OR(calendar[[#This Row],[FR_BH]]=1,calendar[[#This Row],[WeekDay]]=1, calendar[[#This Row],[WeekDay]]=7),P2722,P2722+1)</f>
        <v>1945</v>
      </c>
      <c r="R2723">
        <f>IF(OR(calendar[[#This Row],[SP_BH]]=1,calendar[[#This Row],[WeekDay]]=1, calendar[[#This Row],[WeekDay]]=7),P2722,P2722+1)</f>
        <v>1945</v>
      </c>
      <c r="S2723">
        <f>IF(OR(calendar[[#This Row],[PT_BH]]=1,calendar[[#This Row],[WeekDay]]=1, calendar[[#This Row],[WeekDay]]=7),P2722,P2722+1)</f>
        <v>1945</v>
      </c>
    </row>
    <row r="2724" spans="1:19" x14ac:dyDescent="0.25">
      <c r="A2724" s="2">
        <v>45458</v>
      </c>
      <c r="B2724" s="1">
        <f t="shared" si="213"/>
        <v>24</v>
      </c>
      <c r="C2724">
        <f t="shared" si="215"/>
        <v>6</v>
      </c>
      <c r="D2724" t="str">
        <f t="shared" si="216"/>
        <v>June</v>
      </c>
      <c r="E2724">
        <f t="shared" si="217"/>
        <v>2024</v>
      </c>
      <c r="F2724" t="str">
        <f>CONCATENATE(calendar[[#This Row],[Month]],"/",calendar[[#This Row],[Year]])</f>
        <v>6/2024</v>
      </c>
      <c r="G2724">
        <f>WEEKDAY(calendar[[#This Row],[Date]],1)</f>
        <v>7</v>
      </c>
      <c r="H2724" t="str">
        <f>TEXT(calendar[[#This Row],[WeekDay]],"dddd")</f>
        <v>Saturday</v>
      </c>
      <c r="I2724">
        <f>IF((INT(calendar[[#This Row],[Count]]/7)-calendar[[#This Row],[Count]]/7)&lt;0,I2723,I2723+1)</f>
        <v>389</v>
      </c>
      <c r="J2724">
        <f t="shared" si="214"/>
        <v>2722</v>
      </c>
      <c r="K2724">
        <f>IF(calendar[[#This Row],[Month]]&lt;4,1,IF(calendar[[#This Row],[Month]]&lt;7,2,IF(calendar[[#This Row],[Month]]&lt;10,3,4)))</f>
        <v>2</v>
      </c>
      <c r="L2724">
        <f>IFERROR(IF(VLOOKUP(calendar[[#This Row],[Date]],BH!A:A,1,)&lt;&gt;"",1,0),0)</f>
        <v>0</v>
      </c>
      <c r="M2724">
        <f>IFERROR(IF(VLOOKUP(calendar[[#This Row],[Date]],BH!C:C,1,)&lt;&gt;"",1,0),0)</f>
        <v>0</v>
      </c>
      <c r="N2724">
        <f>IFERROR(IF(VLOOKUP(calendar[[#This Row],[Date]],BH!E:E,1,)&lt;&gt;"",1,0),0)</f>
        <v>0</v>
      </c>
      <c r="O2724">
        <f>IFERROR(IF(VLOOKUP(calendar[[#This Row],[Date]],BH!G:G,1,)&lt;&gt;"",1,0),0)</f>
        <v>0</v>
      </c>
      <c r="P2724">
        <f>IF(OR(calendar[[#This Row],[UK_BH]]=1,calendar[[#This Row],[WeekDay]]=1, calendar[[#This Row],[WeekDay]]=7),P2723,P2723+1)</f>
        <v>1945</v>
      </c>
      <c r="Q2724">
        <f>IF(OR(calendar[[#This Row],[FR_BH]]=1,calendar[[#This Row],[WeekDay]]=1, calendar[[#This Row],[WeekDay]]=7),P2723,P2723+1)</f>
        <v>1945</v>
      </c>
      <c r="R2724">
        <f>IF(OR(calendar[[#This Row],[SP_BH]]=1,calendar[[#This Row],[WeekDay]]=1, calendar[[#This Row],[WeekDay]]=7),P2723,P2723+1)</f>
        <v>1945</v>
      </c>
      <c r="S2724">
        <f>IF(OR(calendar[[#This Row],[PT_BH]]=1,calendar[[#This Row],[WeekDay]]=1, calendar[[#This Row],[WeekDay]]=7),P2723,P2723+1)</f>
        <v>1945</v>
      </c>
    </row>
    <row r="2725" spans="1:19" x14ac:dyDescent="0.25">
      <c r="A2725" s="2">
        <v>45459</v>
      </c>
      <c r="B2725" s="1">
        <f t="shared" si="213"/>
        <v>25</v>
      </c>
      <c r="C2725">
        <f t="shared" si="215"/>
        <v>6</v>
      </c>
      <c r="D2725" t="str">
        <f t="shared" si="216"/>
        <v>June</v>
      </c>
      <c r="E2725">
        <f t="shared" si="217"/>
        <v>2024</v>
      </c>
      <c r="F2725" t="str">
        <f>CONCATENATE(calendar[[#This Row],[Month]],"/",calendar[[#This Row],[Year]])</f>
        <v>6/2024</v>
      </c>
      <c r="G2725">
        <f>WEEKDAY(calendar[[#This Row],[Date]],1)</f>
        <v>1</v>
      </c>
      <c r="H2725" t="str">
        <f>TEXT(calendar[[#This Row],[WeekDay]],"dddd")</f>
        <v>Sunday</v>
      </c>
      <c r="I2725">
        <f>IF((INT(calendar[[#This Row],[Count]]/7)-calendar[[#This Row],[Count]]/7)&lt;0,I2724,I2724+1)</f>
        <v>390</v>
      </c>
      <c r="J2725">
        <f t="shared" si="214"/>
        <v>2723</v>
      </c>
      <c r="K2725">
        <f>IF(calendar[[#This Row],[Month]]&lt;4,1,IF(calendar[[#This Row],[Month]]&lt;7,2,IF(calendar[[#This Row],[Month]]&lt;10,3,4)))</f>
        <v>2</v>
      </c>
      <c r="L2725">
        <f>IFERROR(IF(VLOOKUP(calendar[[#This Row],[Date]],BH!A:A,1,)&lt;&gt;"",1,0),0)</f>
        <v>0</v>
      </c>
      <c r="M2725">
        <f>IFERROR(IF(VLOOKUP(calendar[[#This Row],[Date]],BH!C:C,1,)&lt;&gt;"",1,0),0)</f>
        <v>0</v>
      </c>
      <c r="N2725">
        <f>IFERROR(IF(VLOOKUP(calendar[[#This Row],[Date]],BH!E:E,1,)&lt;&gt;"",1,0),0)</f>
        <v>0</v>
      </c>
      <c r="O2725">
        <f>IFERROR(IF(VLOOKUP(calendar[[#This Row],[Date]],BH!G:G,1,)&lt;&gt;"",1,0),0)</f>
        <v>0</v>
      </c>
      <c r="P2725">
        <f>IF(OR(calendar[[#This Row],[UK_BH]]=1,calendar[[#This Row],[WeekDay]]=1, calendar[[#This Row],[WeekDay]]=7),P2724,P2724+1)</f>
        <v>1945</v>
      </c>
      <c r="Q2725">
        <f>IF(OR(calendar[[#This Row],[FR_BH]]=1,calendar[[#This Row],[WeekDay]]=1, calendar[[#This Row],[WeekDay]]=7),P2724,P2724+1)</f>
        <v>1945</v>
      </c>
      <c r="R2725">
        <f>IF(OR(calendar[[#This Row],[SP_BH]]=1,calendar[[#This Row],[WeekDay]]=1, calendar[[#This Row],[WeekDay]]=7),P2724,P2724+1)</f>
        <v>1945</v>
      </c>
      <c r="S2725">
        <f>IF(OR(calendar[[#This Row],[PT_BH]]=1,calendar[[#This Row],[WeekDay]]=1, calendar[[#This Row],[WeekDay]]=7),P2724,P2724+1)</f>
        <v>1945</v>
      </c>
    </row>
    <row r="2726" spans="1:19" x14ac:dyDescent="0.25">
      <c r="A2726" s="2">
        <v>45460</v>
      </c>
      <c r="B2726" s="1">
        <f t="shared" si="213"/>
        <v>25</v>
      </c>
      <c r="C2726">
        <f t="shared" si="215"/>
        <v>6</v>
      </c>
      <c r="D2726" t="str">
        <f t="shared" si="216"/>
        <v>June</v>
      </c>
      <c r="E2726">
        <f t="shared" si="217"/>
        <v>2024</v>
      </c>
      <c r="F2726" t="str">
        <f>CONCATENATE(calendar[[#This Row],[Month]],"/",calendar[[#This Row],[Year]])</f>
        <v>6/2024</v>
      </c>
      <c r="G2726">
        <f>WEEKDAY(calendar[[#This Row],[Date]],1)</f>
        <v>2</v>
      </c>
      <c r="H2726" t="str">
        <f>TEXT(calendar[[#This Row],[WeekDay]],"dddd")</f>
        <v>Monday</v>
      </c>
      <c r="I2726">
        <f>IF((INT(calendar[[#This Row],[Count]]/7)-calendar[[#This Row],[Count]]/7)&lt;0,I2725,I2725+1)</f>
        <v>390</v>
      </c>
      <c r="J2726">
        <f t="shared" si="214"/>
        <v>2724</v>
      </c>
      <c r="K2726">
        <f>IF(calendar[[#This Row],[Month]]&lt;4,1,IF(calendar[[#This Row],[Month]]&lt;7,2,IF(calendar[[#This Row],[Month]]&lt;10,3,4)))</f>
        <v>2</v>
      </c>
      <c r="L2726">
        <f>IFERROR(IF(VLOOKUP(calendar[[#This Row],[Date]],BH!A:A,1,)&lt;&gt;"",1,0),0)</f>
        <v>0</v>
      </c>
      <c r="M2726">
        <f>IFERROR(IF(VLOOKUP(calendar[[#This Row],[Date]],BH!C:C,1,)&lt;&gt;"",1,0),0)</f>
        <v>0</v>
      </c>
      <c r="N2726">
        <f>IFERROR(IF(VLOOKUP(calendar[[#This Row],[Date]],BH!E:E,1,)&lt;&gt;"",1,0),0)</f>
        <v>0</v>
      </c>
      <c r="O2726">
        <f>IFERROR(IF(VLOOKUP(calendar[[#This Row],[Date]],BH!G:G,1,)&lt;&gt;"",1,0),0)</f>
        <v>0</v>
      </c>
      <c r="P2726">
        <f>IF(OR(calendar[[#This Row],[UK_BH]]=1,calendar[[#This Row],[WeekDay]]=1, calendar[[#This Row],[WeekDay]]=7),P2725,P2725+1)</f>
        <v>1946</v>
      </c>
      <c r="Q2726">
        <f>IF(OR(calendar[[#This Row],[FR_BH]]=1,calendar[[#This Row],[WeekDay]]=1, calendar[[#This Row],[WeekDay]]=7),P2725,P2725+1)</f>
        <v>1946</v>
      </c>
      <c r="R2726">
        <f>IF(OR(calendar[[#This Row],[SP_BH]]=1,calendar[[#This Row],[WeekDay]]=1, calendar[[#This Row],[WeekDay]]=7),P2725,P2725+1)</f>
        <v>1946</v>
      </c>
      <c r="S2726">
        <f>IF(OR(calendar[[#This Row],[PT_BH]]=1,calendar[[#This Row],[WeekDay]]=1, calendar[[#This Row],[WeekDay]]=7),P2725,P2725+1)</f>
        <v>1946</v>
      </c>
    </row>
    <row r="2727" spans="1:19" x14ac:dyDescent="0.25">
      <c r="A2727" s="2">
        <v>45461</v>
      </c>
      <c r="B2727" s="1">
        <f t="shared" si="213"/>
        <v>25</v>
      </c>
      <c r="C2727">
        <f t="shared" si="215"/>
        <v>6</v>
      </c>
      <c r="D2727" t="str">
        <f t="shared" si="216"/>
        <v>June</v>
      </c>
      <c r="E2727">
        <f t="shared" si="217"/>
        <v>2024</v>
      </c>
      <c r="F2727" t="str">
        <f>CONCATENATE(calendar[[#This Row],[Month]],"/",calendar[[#This Row],[Year]])</f>
        <v>6/2024</v>
      </c>
      <c r="G2727">
        <f>WEEKDAY(calendar[[#This Row],[Date]],1)</f>
        <v>3</v>
      </c>
      <c r="H2727" t="str">
        <f>TEXT(calendar[[#This Row],[WeekDay]],"dddd")</f>
        <v>Tuesday</v>
      </c>
      <c r="I2727">
        <f>IF((INT(calendar[[#This Row],[Count]]/7)-calendar[[#This Row],[Count]]/7)&lt;0,I2726,I2726+1)</f>
        <v>390</v>
      </c>
      <c r="J2727">
        <f t="shared" si="214"/>
        <v>2725</v>
      </c>
      <c r="K2727">
        <f>IF(calendar[[#This Row],[Month]]&lt;4,1,IF(calendar[[#This Row],[Month]]&lt;7,2,IF(calendar[[#This Row],[Month]]&lt;10,3,4)))</f>
        <v>2</v>
      </c>
      <c r="L2727">
        <f>IFERROR(IF(VLOOKUP(calendar[[#This Row],[Date]],BH!A:A,1,)&lt;&gt;"",1,0),0)</f>
        <v>0</v>
      </c>
      <c r="M2727">
        <f>IFERROR(IF(VLOOKUP(calendar[[#This Row],[Date]],BH!C:C,1,)&lt;&gt;"",1,0),0)</f>
        <v>0</v>
      </c>
      <c r="N2727">
        <f>IFERROR(IF(VLOOKUP(calendar[[#This Row],[Date]],BH!E:E,1,)&lt;&gt;"",1,0),0)</f>
        <v>0</v>
      </c>
      <c r="O2727">
        <f>IFERROR(IF(VLOOKUP(calendar[[#This Row],[Date]],BH!G:G,1,)&lt;&gt;"",1,0),0)</f>
        <v>0</v>
      </c>
      <c r="P2727">
        <f>IF(OR(calendar[[#This Row],[UK_BH]]=1,calendar[[#This Row],[WeekDay]]=1, calendar[[#This Row],[WeekDay]]=7),P2726,P2726+1)</f>
        <v>1947</v>
      </c>
      <c r="Q2727">
        <f>IF(OR(calendar[[#This Row],[FR_BH]]=1,calendar[[#This Row],[WeekDay]]=1, calendar[[#This Row],[WeekDay]]=7),P2726,P2726+1)</f>
        <v>1947</v>
      </c>
      <c r="R2727">
        <f>IF(OR(calendar[[#This Row],[SP_BH]]=1,calendar[[#This Row],[WeekDay]]=1, calendar[[#This Row],[WeekDay]]=7),P2726,P2726+1)</f>
        <v>1947</v>
      </c>
      <c r="S2727">
        <f>IF(OR(calendar[[#This Row],[PT_BH]]=1,calendar[[#This Row],[WeekDay]]=1, calendar[[#This Row],[WeekDay]]=7),P2726,P2726+1)</f>
        <v>1947</v>
      </c>
    </row>
    <row r="2728" spans="1:19" x14ac:dyDescent="0.25">
      <c r="A2728" s="2">
        <v>45462</v>
      </c>
      <c r="B2728" s="1">
        <f t="shared" si="213"/>
        <v>25</v>
      </c>
      <c r="C2728">
        <f t="shared" si="215"/>
        <v>6</v>
      </c>
      <c r="D2728" t="str">
        <f t="shared" si="216"/>
        <v>June</v>
      </c>
      <c r="E2728">
        <f t="shared" si="217"/>
        <v>2024</v>
      </c>
      <c r="F2728" t="str">
        <f>CONCATENATE(calendar[[#This Row],[Month]],"/",calendar[[#This Row],[Year]])</f>
        <v>6/2024</v>
      </c>
      <c r="G2728">
        <f>WEEKDAY(calendar[[#This Row],[Date]],1)</f>
        <v>4</v>
      </c>
      <c r="H2728" t="str">
        <f>TEXT(calendar[[#This Row],[WeekDay]],"dddd")</f>
        <v>Wednesday</v>
      </c>
      <c r="I2728">
        <f>IF((INT(calendar[[#This Row],[Count]]/7)-calendar[[#This Row],[Count]]/7)&lt;0,I2727,I2727+1)</f>
        <v>390</v>
      </c>
      <c r="J2728">
        <f t="shared" si="214"/>
        <v>2726</v>
      </c>
      <c r="K2728">
        <f>IF(calendar[[#This Row],[Month]]&lt;4,1,IF(calendar[[#This Row],[Month]]&lt;7,2,IF(calendar[[#This Row],[Month]]&lt;10,3,4)))</f>
        <v>2</v>
      </c>
      <c r="L2728">
        <f>IFERROR(IF(VLOOKUP(calendar[[#This Row],[Date]],BH!A:A,1,)&lt;&gt;"",1,0),0)</f>
        <v>0</v>
      </c>
      <c r="M2728">
        <f>IFERROR(IF(VLOOKUP(calendar[[#This Row],[Date]],BH!C:C,1,)&lt;&gt;"",1,0),0)</f>
        <v>0</v>
      </c>
      <c r="N2728">
        <f>IFERROR(IF(VLOOKUP(calendar[[#This Row],[Date]],BH!E:E,1,)&lt;&gt;"",1,0),0)</f>
        <v>0</v>
      </c>
      <c r="O2728">
        <f>IFERROR(IF(VLOOKUP(calendar[[#This Row],[Date]],BH!G:G,1,)&lt;&gt;"",1,0),0)</f>
        <v>0</v>
      </c>
      <c r="P2728">
        <f>IF(OR(calendar[[#This Row],[UK_BH]]=1,calendar[[#This Row],[WeekDay]]=1, calendar[[#This Row],[WeekDay]]=7),P2727,P2727+1)</f>
        <v>1948</v>
      </c>
      <c r="Q2728">
        <f>IF(OR(calendar[[#This Row],[FR_BH]]=1,calendar[[#This Row],[WeekDay]]=1, calendar[[#This Row],[WeekDay]]=7),P2727,P2727+1)</f>
        <v>1948</v>
      </c>
      <c r="R2728">
        <f>IF(OR(calendar[[#This Row],[SP_BH]]=1,calendar[[#This Row],[WeekDay]]=1, calendar[[#This Row],[WeekDay]]=7),P2727,P2727+1)</f>
        <v>1948</v>
      </c>
      <c r="S2728">
        <f>IF(OR(calendar[[#This Row],[PT_BH]]=1,calendar[[#This Row],[WeekDay]]=1, calendar[[#This Row],[WeekDay]]=7),P2727,P2727+1)</f>
        <v>1948</v>
      </c>
    </row>
    <row r="2729" spans="1:19" x14ac:dyDescent="0.25">
      <c r="A2729" s="2">
        <v>45463</v>
      </c>
      <c r="B2729" s="1">
        <f t="shared" si="213"/>
        <v>25</v>
      </c>
      <c r="C2729">
        <f t="shared" si="215"/>
        <v>6</v>
      </c>
      <c r="D2729" t="str">
        <f t="shared" si="216"/>
        <v>June</v>
      </c>
      <c r="E2729">
        <f t="shared" si="217"/>
        <v>2024</v>
      </c>
      <c r="F2729" t="str">
        <f>CONCATENATE(calendar[[#This Row],[Month]],"/",calendar[[#This Row],[Year]])</f>
        <v>6/2024</v>
      </c>
      <c r="G2729">
        <f>WEEKDAY(calendar[[#This Row],[Date]],1)</f>
        <v>5</v>
      </c>
      <c r="H2729" t="str">
        <f>TEXT(calendar[[#This Row],[WeekDay]],"dddd")</f>
        <v>Thursday</v>
      </c>
      <c r="I2729">
        <f>IF((INT(calendar[[#This Row],[Count]]/7)-calendar[[#This Row],[Count]]/7)&lt;0,I2728,I2728+1)</f>
        <v>390</v>
      </c>
      <c r="J2729">
        <f t="shared" si="214"/>
        <v>2727</v>
      </c>
      <c r="K2729">
        <f>IF(calendar[[#This Row],[Month]]&lt;4,1,IF(calendar[[#This Row],[Month]]&lt;7,2,IF(calendar[[#This Row],[Month]]&lt;10,3,4)))</f>
        <v>2</v>
      </c>
      <c r="L2729">
        <f>IFERROR(IF(VLOOKUP(calendar[[#This Row],[Date]],BH!A:A,1,)&lt;&gt;"",1,0),0)</f>
        <v>0</v>
      </c>
      <c r="M2729">
        <f>IFERROR(IF(VLOOKUP(calendar[[#This Row],[Date]],BH!C:C,1,)&lt;&gt;"",1,0),0)</f>
        <v>0</v>
      </c>
      <c r="N2729">
        <f>IFERROR(IF(VLOOKUP(calendar[[#This Row],[Date]],BH!E:E,1,)&lt;&gt;"",1,0),0)</f>
        <v>0</v>
      </c>
      <c r="O2729">
        <f>IFERROR(IF(VLOOKUP(calendar[[#This Row],[Date]],BH!G:G,1,)&lt;&gt;"",1,0),0)</f>
        <v>0</v>
      </c>
      <c r="P2729">
        <f>IF(OR(calendar[[#This Row],[UK_BH]]=1,calendar[[#This Row],[WeekDay]]=1, calendar[[#This Row],[WeekDay]]=7),P2728,P2728+1)</f>
        <v>1949</v>
      </c>
      <c r="Q2729">
        <f>IF(OR(calendar[[#This Row],[FR_BH]]=1,calendar[[#This Row],[WeekDay]]=1, calendar[[#This Row],[WeekDay]]=7),P2728,P2728+1)</f>
        <v>1949</v>
      </c>
      <c r="R2729">
        <f>IF(OR(calendar[[#This Row],[SP_BH]]=1,calendar[[#This Row],[WeekDay]]=1, calendar[[#This Row],[WeekDay]]=7),P2728,P2728+1)</f>
        <v>1949</v>
      </c>
      <c r="S2729">
        <f>IF(OR(calendar[[#This Row],[PT_BH]]=1,calendar[[#This Row],[WeekDay]]=1, calendar[[#This Row],[WeekDay]]=7),P2728,P2728+1)</f>
        <v>1949</v>
      </c>
    </row>
    <row r="2730" spans="1:19" x14ac:dyDescent="0.25">
      <c r="A2730" s="2">
        <v>45464</v>
      </c>
      <c r="B2730" s="1">
        <f t="shared" si="213"/>
        <v>25</v>
      </c>
      <c r="C2730">
        <f t="shared" si="215"/>
        <v>6</v>
      </c>
      <c r="D2730" t="str">
        <f t="shared" si="216"/>
        <v>June</v>
      </c>
      <c r="E2730">
        <f t="shared" si="217"/>
        <v>2024</v>
      </c>
      <c r="F2730" t="str">
        <f>CONCATENATE(calendar[[#This Row],[Month]],"/",calendar[[#This Row],[Year]])</f>
        <v>6/2024</v>
      </c>
      <c r="G2730">
        <f>WEEKDAY(calendar[[#This Row],[Date]],1)</f>
        <v>6</v>
      </c>
      <c r="H2730" t="str">
        <f>TEXT(calendar[[#This Row],[WeekDay]],"dddd")</f>
        <v>Friday</v>
      </c>
      <c r="I2730">
        <f>IF((INT(calendar[[#This Row],[Count]]/7)-calendar[[#This Row],[Count]]/7)&lt;0,I2729,I2729+1)</f>
        <v>390</v>
      </c>
      <c r="J2730">
        <f t="shared" si="214"/>
        <v>2728</v>
      </c>
      <c r="K2730">
        <f>IF(calendar[[#This Row],[Month]]&lt;4,1,IF(calendar[[#This Row],[Month]]&lt;7,2,IF(calendar[[#This Row],[Month]]&lt;10,3,4)))</f>
        <v>2</v>
      </c>
      <c r="L2730">
        <f>IFERROR(IF(VLOOKUP(calendar[[#This Row],[Date]],BH!A:A,1,)&lt;&gt;"",1,0),0)</f>
        <v>0</v>
      </c>
      <c r="M2730">
        <f>IFERROR(IF(VLOOKUP(calendar[[#This Row],[Date]],BH!C:C,1,)&lt;&gt;"",1,0),0)</f>
        <v>0</v>
      </c>
      <c r="N2730">
        <f>IFERROR(IF(VLOOKUP(calendar[[#This Row],[Date]],BH!E:E,1,)&lt;&gt;"",1,0),0)</f>
        <v>0</v>
      </c>
      <c r="O2730">
        <f>IFERROR(IF(VLOOKUP(calendar[[#This Row],[Date]],BH!G:G,1,)&lt;&gt;"",1,0),0)</f>
        <v>0</v>
      </c>
      <c r="P2730">
        <f>IF(OR(calendar[[#This Row],[UK_BH]]=1,calendar[[#This Row],[WeekDay]]=1, calendar[[#This Row],[WeekDay]]=7),P2729,P2729+1)</f>
        <v>1950</v>
      </c>
      <c r="Q2730">
        <f>IF(OR(calendar[[#This Row],[FR_BH]]=1,calendar[[#This Row],[WeekDay]]=1, calendar[[#This Row],[WeekDay]]=7),P2729,P2729+1)</f>
        <v>1950</v>
      </c>
      <c r="R2730">
        <f>IF(OR(calendar[[#This Row],[SP_BH]]=1,calendar[[#This Row],[WeekDay]]=1, calendar[[#This Row],[WeekDay]]=7),P2729,P2729+1)</f>
        <v>1950</v>
      </c>
      <c r="S2730">
        <f>IF(OR(calendar[[#This Row],[PT_BH]]=1,calendar[[#This Row],[WeekDay]]=1, calendar[[#This Row],[WeekDay]]=7),P2729,P2729+1)</f>
        <v>1950</v>
      </c>
    </row>
    <row r="2731" spans="1:19" x14ac:dyDescent="0.25">
      <c r="A2731" s="2">
        <v>45465</v>
      </c>
      <c r="B2731" s="1">
        <f t="shared" si="213"/>
        <v>25</v>
      </c>
      <c r="C2731">
        <f t="shared" si="215"/>
        <v>6</v>
      </c>
      <c r="D2731" t="str">
        <f t="shared" si="216"/>
        <v>June</v>
      </c>
      <c r="E2731">
        <f t="shared" si="217"/>
        <v>2024</v>
      </c>
      <c r="F2731" t="str">
        <f>CONCATENATE(calendar[[#This Row],[Month]],"/",calendar[[#This Row],[Year]])</f>
        <v>6/2024</v>
      </c>
      <c r="G2731">
        <f>WEEKDAY(calendar[[#This Row],[Date]],1)</f>
        <v>7</v>
      </c>
      <c r="H2731" t="str">
        <f>TEXT(calendar[[#This Row],[WeekDay]],"dddd")</f>
        <v>Saturday</v>
      </c>
      <c r="I2731">
        <f>IF((INT(calendar[[#This Row],[Count]]/7)-calendar[[#This Row],[Count]]/7)&lt;0,I2730,I2730+1)</f>
        <v>390</v>
      </c>
      <c r="J2731">
        <f t="shared" si="214"/>
        <v>2729</v>
      </c>
      <c r="K2731">
        <f>IF(calendar[[#This Row],[Month]]&lt;4,1,IF(calendar[[#This Row],[Month]]&lt;7,2,IF(calendar[[#This Row],[Month]]&lt;10,3,4)))</f>
        <v>2</v>
      </c>
      <c r="L2731">
        <f>IFERROR(IF(VLOOKUP(calendar[[#This Row],[Date]],BH!A:A,1,)&lt;&gt;"",1,0),0)</f>
        <v>0</v>
      </c>
      <c r="M2731">
        <f>IFERROR(IF(VLOOKUP(calendar[[#This Row],[Date]],BH!C:C,1,)&lt;&gt;"",1,0),0)</f>
        <v>0</v>
      </c>
      <c r="N2731">
        <f>IFERROR(IF(VLOOKUP(calendar[[#This Row],[Date]],BH!E:E,1,)&lt;&gt;"",1,0),0)</f>
        <v>0</v>
      </c>
      <c r="O2731">
        <f>IFERROR(IF(VLOOKUP(calendar[[#This Row],[Date]],BH!G:G,1,)&lt;&gt;"",1,0),0)</f>
        <v>0</v>
      </c>
      <c r="P2731">
        <f>IF(OR(calendar[[#This Row],[UK_BH]]=1,calendar[[#This Row],[WeekDay]]=1, calendar[[#This Row],[WeekDay]]=7),P2730,P2730+1)</f>
        <v>1950</v>
      </c>
      <c r="Q2731">
        <f>IF(OR(calendar[[#This Row],[FR_BH]]=1,calendar[[#This Row],[WeekDay]]=1, calendar[[#This Row],[WeekDay]]=7),P2730,P2730+1)</f>
        <v>1950</v>
      </c>
      <c r="R2731">
        <f>IF(OR(calendar[[#This Row],[SP_BH]]=1,calendar[[#This Row],[WeekDay]]=1, calendar[[#This Row],[WeekDay]]=7),P2730,P2730+1)</f>
        <v>1950</v>
      </c>
      <c r="S2731">
        <f>IF(OR(calendar[[#This Row],[PT_BH]]=1,calendar[[#This Row],[WeekDay]]=1, calendar[[#This Row],[WeekDay]]=7),P2730,P2730+1)</f>
        <v>1950</v>
      </c>
    </row>
    <row r="2732" spans="1:19" x14ac:dyDescent="0.25">
      <c r="A2732" s="2">
        <v>45466</v>
      </c>
      <c r="B2732" s="1">
        <f t="shared" si="213"/>
        <v>26</v>
      </c>
      <c r="C2732">
        <f t="shared" si="215"/>
        <v>6</v>
      </c>
      <c r="D2732" t="str">
        <f t="shared" si="216"/>
        <v>June</v>
      </c>
      <c r="E2732">
        <f t="shared" si="217"/>
        <v>2024</v>
      </c>
      <c r="F2732" t="str">
        <f>CONCATENATE(calendar[[#This Row],[Month]],"/",calendar[[#This Row],[Year]])</f>
        <v>6/2024</v>
      </c>
      <c r="G2732">
        <f>WEEKDAY(calendar[[#This Row],[Date]],1)</f>
        <v>1</v>
      </c>
      <c r="H2732" t="str">
        <f>TEXT(calendar[[#This Row],[WeekDay]],"dddd")</f>
        <v>Sunday</v>
      </c>
      <c r="I2732">
        <f>IF((INT(calendar[[#This Row],[Count]]/7)-calendar[[#This Row],[Count]]/7)&lt;0,I2731,I2731+1)</f>
        <v>391</v>
      </c>
      <c r="J2732">
        <f t="shared" si="214"/>
        <v>2730</v>
      </c>
      <c r="K2732">
        <f>IF(calendar[[#This Row],[Month]]&lt;4,1,IF(calendar[[#This Row],[Month]]&lt;7,2,IF(calendar[[#This Row],[Month]]&lt;10,3,4)))</f>
        <v>2</v>
      </c>
      <c r="L2732">
        <f>IFERROR(IF(VLOOKUP(calendar[[#This Row],[Date]],BH!A:A,1,)&lt;&gt;"",1,0),0)</f>
        <v>0</v>
      </c>
      <c r="M2732">
        <f>IFERROR(IF(VLOOKUP(calendar[[#This Row],[Date]],BH!C:C,1,)&lt;&gt;"",1,0),0)</f>
        <v>0</v>
      </c>
      <c r="N2732">
        <f>IFERROR(IF(VLOOKUP(calendar[[#This Row],[Date]],BH!E:E,1,)&lt;&gt;"",1,0),0)</f>
        <v>0</v>
      </c>
      <c r="O2732">
        <f>IFERROR(IF(VLOOKUP(calendar[[#This Row],[Date]],BH!G:G,1,)&lt;&gt;"",1,0),0)</f>
        <v>0</v>
      </c>
      <c r="P2732">
        <f>IF(OR(calendar[[#This Row],[UK_BH]]=1,calendar[[#This Row],[WeekDay]]=1, calendar[[#This Row],[WeekDay]]=7),P2731,P2731+1)</f>
        <v>1950</v>
      </c>
      <c r="Q2732">
        <f>IF(OR(calendar[[#This Row],[FR_BH]]=1,calendar[[#This Row],[WeekDay]]=1, calendar[[#This Row],[WeekDay]]=7),P2731,P2731+1)</f>
        <v>1950</v>
      </c>
      <c r="R2732">
        <f>IF(OR(calendar[[#This Row],[SP_BH]]=1,calendar[[#This Row],[WeekDay]]=1, calendar[[#This Row],[WeekDay]]=7),P2731,P2731+1)</f>
        <v>1950</v>
      </c>
      <c r="S2732">
        <f>IF(OR(calendar[[#This Row],[PT_BH]]=1,calendar[[#This Row],[WeekDay]]=1, calendar[[#This Row],[WeekDay]]=7),P2731,P2731+1)</f>
        <v>1950</v>
      </c>
    </row>
    <row r="2733" spans="1:19" x14ac:dyDescent="0.25">
      <c r="A2733" s="2">
        <v>45467</v>
      </c>
      <c r="B2733" s="1">
        <f t="shared" si="213"/>
        <v>26</v>
      </c>
      <c r="C2733">
        <f t="shared" si="215"/>
        <v>6</v>
      </c>
      <c r="D2733" t="str">
        <f t="shared" si="216"/>
        <v>June</v>
      </c>
      <c r="E2733">
        <f t="shared" si="217"/>
        <v>2024</v>
      </c>
      <c r="F2733" t="str">
        <f>CONCATENATE(calendar[[#This Row],[Month]],"/",calendar[[#This Row],[Year]])</f>
        <v>6/2024</v>
      </c>
      <c r="G2733">
        <f>WEEKDAY(calendar[[#This Row],[Date]],1)</f>
        <v>2</v>
      </c>
      <c r="H2733" t="str">
        <f>TEXT(calendar[[#This Row],[WeekDay]],"dddd")</f>
        <v>Monday</v>
      </c>
      <c r="I2733">
        <f>IF((INT(calendar[[#This Row],[Count]]/7)-calendar[[#This Row],[Count]]/7)&lt;0,I2732,I2732+1)</f>
        <v>391</v>
      </c>
      <c r="J2733">
        <f t="shared" si="214"/>
        <v>2731</v>
      </c>
      <c r="K2733">
        <f>IF(calendar[[#This Row],[Month]]&lt;4,1,IF(calendar[[#This Row],[Month]]&lt;7,2,IF(calendar[[#This Row],[Month]]&lt;10,3,4)))</f>
        <v>2</v>
      </c>
      <c r="L2733">
        <f>IFERROR(IF(VLOOKUP(calendar[[#This Row],[Date]],BH!A:A,1,)&lt;&gt;"",1,0),0)</f>
        <v>0</v>
      </c>
      <c r="M2733">
        <f>IFERROR(IF(VLOOKUP(calendar[[#This Row],[Date]],BH!C:C,1,)&lt;&gt;"",1,0),0)</f>
        <v>0</v>
      </c>
      <c r="N2733">
        <f>IFERROR(IF(VLOOKUP(calendar[[#This Row],[Date]],BH!E:E,1,)&lt;&gt;"",1,0),0)</f>
        <v>0</v>
      </c>
      <c r="O2733">
        <f>IFERROR(IF(VLOOKUP(calendar[[#This Row],[Date]],BH!G:G,1,)&lt;&gt;"",1,0),0)</f>
        <v>0</v>
      </c>
      <c r="P2733">
        <f>IF(OR(calendar[[#This Row],[UK_BH]]=1,calendar[[#This Row],[WeekDay]]=1, calendar[[#This Row],[WeekDay]]=7),P2732,P2732+1)</f>
        <v>1951</v>
      </c>
      <c r="Q2733">
        <f>IF(OR(calendar[[#This Row],[FR_BH]]=1,calendar[[#This Row],[WeekDay]]=1, calendar[[#This Row],[WeekDay]]=7),P2732,P2732+1)</f>
        <v>1951</v>
      </c>
      <c r="R2733">
        <f>IF(OR(calendar[[#This Row],[SP_BH]]=1,calendar[[#This Row],[WeekDay]]=1, calendar[[#This Row],[WeekDay]]=7),P2732,P2732+1)</f>
        <v>1951</v>
      </c>
      <c r="S2733">
        <f>IF(OR(calendar[[#This Row],[PT_BH]]=1,calendar[[#This Row],[WeekDay]]=1, calendar[[#This Row],[WeekDay]]=7),P2732,P2732+1)</f>
        <v>1951</v>
      </c>
    </row>
    <row r="2734" spans="1:19" x14ac:dyDescent="0.25">
      <c r="A2734" s="2">
        <v>45468</v>
      </c>
      <c r="B2734" s="1">
        <f t="shared" si="213"/>
        <v>26</v>
      </c>
      <c r="C2734">
        <f t="shared" si="215"/>
        <v>6</v>
      </c>
      <c r="D2734" t="str">
        <f t="shared" si="216"/>
        <v>June</v>
      </c>
      <c r="E2734">
        <f t="shared" si="217"/>
        <v>2024</v>
      </c>
      <c r="F2734" t="str">
        <f>CONCATENATE(calendar[[#This Row],[Month]],"/",calendar[[#This Row],[Year]])</f>
        <v>6/2024</v>
      </c>
      <c r="G2734">
        <f>WEEKDAY(calendar[[#This Row],[Date]],1)</f>
        <v>3</v>
      </c>
      <c r="H2734" t="str">
        <f>TEXT(calendar[[#This Row],[WeekDay]],"dddd")</f>
        <v>Tuesday</v>
      </c>
      <c r="I2734">
        <f>IF((INT(calendar[[#This Row],[Count]]/7)-calendar[[#This Row],[Count]]/7)&lt;0,I2733,I2733+1)</f>
        <v>391</v>
      </c>
      <c r="J2734">
        <f t="shared" si="214"/>
        <v>2732</v>
      </c>
      <c r="K2734">
        <f>IF(calendar[[#This Row],[Month]]&lt;4,1,IF(calendar[[#This Row],[Month]]&lt;7,2,IF(calendar[[#This Row],[Month]]&lt;10,3,4)))</f>
        <v>2</v>
      </c>
      <c r="L2734">
        <f>IFERROR(IF(VLOOKUP(calendar[[#This Row],[Date]],BH!A:A,1,)&lt;&gt;"",1,0),0)</f>
        <v>0</v>
      </c>
      <c r="M2734">
        <f>IFERROR(IF(VLOOKUP(calendar[[#This Row],[Date]],BH!C:C,1,)&lt;&gt;"",1,0),0)</f>
        <v>0</v>
      </c>
      <c r="N2734">
        <f>IFERROR(IF(VLOOKUP(calendar[[#This Row],[Date]],BH!E:E,1,)&lt;&gt;"",1,0),0)</f>
        <v>0</v>
      </c>
      <c r="O2734">
        <f>IFERROR(IF(VLOOKUP(calendar[[#This Row],[Date]],BH!G:G,1,)&lt;&gt;"",1,0),0)</f>
        <v>0</v>
      </c>
      <c r="P2734">
        <f>IF(OR(calendar[[#This Row],[UK_BH]]=1,calendar[[#This Row],[WeekDay]]=1, calendar[[#This Row],[WeekDay]]=7),P2733,P2733+1)</f>
        <v>1952</v>
      </c>
      <c r="Q2734">
        <f>IF(OR(calendar[[#This Row],[FR_BH]]=1,calendar[[#This Row],[WeekDay]]=1, calendar[[#This Row],[WeekDay]]=7),P2733,P2733+1)</f>
        <v>1952</v>
      </c>
      <c r="R2734">
        <f>IF(OR(calendar[[#This Row],[SP_BH]]=1,calendar[[#This Row],[WeekDay]]=1, calendar[[#This Row],[WeekDay]]=7),P2733,P2733+1)</f>
        <v>1952</v>
      </c>
      <c r="S2734">
        <f>IF(OR(calendar[[#This Row],[PT_BH]]=1,calendar[[#This Row],[WeekDay]]=1, calendar[[#This Row],[WeekDay]]=7),P2733,P2733+1)</f>
        <v>1952</v>
      </c>
    </row>
    <row r="2735" spans="1:19" x14ac:dyDescent="0.25">
      <c r="A2735" s="2">
        <v>45469</v>
      </c>
      <c r="B2735" s="1">
        <f t="shared" si="213"/>
        <v>26</v>
      </c>
      <c r="C2735">
        <f t="shared" si="215"/>
        <v>6</v>
      </c>
      <c r="D2735" t="str">
        <f t="shared" si="216"/>
        <v>June</v>
      </c>
      <c r="E2735">
        <f t="shared" si="217"/>
        <v>2024</v>
      </c>
      <c r="F2735" t="str">
        <f>CONCATENATE(calendar[[#This Row],[Month]],"/",calendar[[#This Row],[Year]])</f>
        <v>6/2024</v>
      </c>
      <c r="G2735">
        <f>WEEKDAY(calendar[[#This Row],[Date]],1)</f>
        <v>4</v>
      </c>
      <c r="H2735" t="str">
        <f>TEXT(calendar[[#This Row],[WeekDay]],"dddd")</f>
        <v>Wednesday</v>
      </c>
      <c r="I2735">
        <f>IF((INT(calendar[[#This Row],[Count]]/7)-calendar[[#This Row],[Count]]/7)&lt;0,I2734,I2734+1)</f>
        <v>391</v>
      </c>
      <c r="J2735">
        <f t="shared" si="214"/>
        <v>2733</v>
      </c>
      <c r="K2735">
        <f>IF(calendar[[#This Row],[Month]]&lt;4,1,IF(calendar[[#This Row],[Month]]&lt;7,2,IF(calendar[[#This Row],[Month]]&lt;10,3,4)))</f>
        <v>2</v>
      </c>
      <c r="L2735">
        <f>IFERROR(IF(VLOOKUP(calendar[[#This Row],[Date]],BH!A:A,1,)&lt;&gt;"",1,0),0)</f>
        <v>0</v>
      </c>
      <c r="M2735">
        <f>IFERROR(IF(VLOOKUP(calendar[[#This Row],[Date]],BH!C:C,1,)&lt;&gt;"",1,0),0)</f>
        <v>0</v>
      </c>
      <c r="N2735">
        <f>IFERROR(IF(VLOOKUP(calendar[[#This Row],[Date]],BH!E:E,1,)&lt;&gt;"",1,0),0)</f>
        <v>0</v>
      </c>
      <c r="O2735">
        <f>IFERROR(IF(VLOOKUP(calendar[[#This Row],[Date]],BH!G:G,1,)&lt;&gt;"",1,0),0)</f>
        <v>0</v>
      </c>
      <c r="P2735">
        <f>IF(OR(calendar[[#This Row],[UK_BH]]=1,calendar[[#This Row],[WeekDay]]=1, calendar[[#This Row],[WeekDay]]=7),P2734,P2734+1)</f>
        <v>1953</v>
      </c>
      <c r="Q2735">
        <f>IF(OR(calendar[[#This Row],[FR_BH]]=1,calendar[[#This Row],[WeekDay]]=1, calendar[[#This Row],[WeekDay]]=7),P2734,P2734+1)</f>
        <v>1953</v>
      </c>
      <c r="R2735">
        <f>IF(OR(calendar[[#This Row],[SP_BH]]=1,calendar[[#This Row],[WeekDay]]=1, calendar[[#This Row],[WeekDay]]=7),P2734,P2734+1)</f>
        <v>1953</v>
      </c>
      <c r="S2735">
        <f>IF(OR(calendar[[#This Row],[PT_BH]]=1,calendar[[#This Row],[WeekDay]]=1, calendar[[#This Row],[WeekDay]]=7),P2734,P2734+1)</f>
        <v>1953</v>
      </c>
    </row>
    <row r="2736" spans="1:19" x14ac:dyDescent="0.25">
      <c r="A2736" s="2">
        <v>45470</v>
      </c>
      <c r="B2736" s="1">
        <f t="shared" si="213"/>
        <v>26</v>
      </c>
      <c r="C2736">
        <f t="shared" si="215"/>
        <v>6</v>
      </c>
      <c r="D2736" t="str">
        <f t="shared" si="216"/>
        <v>June</v>
      </c>
      <c r="E2736">
        <f t="shared" si="217"/>
        <v>2024</v>
      </c>
      <c r="F2736" t="str">
        <f>CONCATENATE(calendar[[#This Row],[Month]],"/",calendar[[#This Row],[Year]])</f>
        <v>6/2024</v>
      </c>
      <c r="G2736">
        <f>WEEKDAY(calendar[[#This Row],[Date]],1)</f>
        <v>5</v>
      </c>
      <c r="H2736" t="str">
        <f>TEXT(calendar[[#This Row],[WeekDay]],"dddd")</f>
        <v>Thursday</v>
      </c>
      <c r="I2736">
        <f>IF((INT(calendar[[#This Row],[Count]]/7)-calendar[[#This Row],[Count]]/7)&lt;0,I2735,I2735+1)</f>
        <v>391</v>
      </c>
      <c r="J2736">
        <f t="shared" si="214"/>
        <v>2734</v>
      </c>
      <c r="K2736">
        <f>IF(calendar[[#This Row],[Month]]&lt;4,1,IF(calendar[[#This Row],[Month]]&lt;7,2,IF(calendar[[#This Row],[Month]]&lt;10,3,4)))</f>
        <v>2</v>
      </c>
      <c r="L2736">
        <f>IFERROR(IF(VLOOKUP(calendar[[#This Row],[Date]],BH!A:A,1,)&lt;&gt;"",1,0),0)</f>
        <v>0</v>
      </c>
      <c r="M2736">
        <f>IFERROR(IF(VLOOKUP(calendar[[#This Row],[Date]],BH!C:C,1,)&lt;&gt;"",1,0),0)</f>
        <v>0</v>
      </c>
      <c r="N2736">
        <f>IFERROR(IF(VLOOKUP(calendar[[#This Row],[Date]],BH!E:E,1,)&lt;&gt;"",1,0),0)</f>
        <v>0</v>
      </c>
      <c r="O2736">
        <f>IFERROR(IF(VLOOKUP(calendar[[#This Row],[Date]],BH!G:G,1,)&lt;&gt;"",1,0),0)</f>
        <v>0</v>
      </c>
      <c r="P2736">
        <f>IF(OR(calendar[[#This Row],[UK_BH]]=1,calendar[[#This Row],[WeekDay]]=1, calendar[[#This Row],[WeekDay]]=7),P2735,P2735+1)</f>
        <v>1954</v>
      </c>
      <c r="Q2736">
        <f>IF(OR(calendar[[#This Row],[FR_BH]]=1,calendar[[#This Row],[WeekDay]]=1, calendar[[#This Row],[WeekDay]]=7),P2735,P2735+1)</f>
        <v>1954</v>
      </c>
      <c r="R2736">
        <f>IF(OR(calendar[[#This Row],[SP_BH]]=1,calendar[[#This Row],[WeekDay]]=1, calendar[[#This Row],[WeekDay]]=7),P2735,P2735+1)</f>
        <v>1954</v>
      </c>
      <c r="S2736">
        <f>IF(OR(calendar[[#This Row],[PT_BH]]=1,calendar[[#This Row],[WeekDay]]=1, calendar[[#This Row],[WeekDay]]=7),P2735,P2735+1)</f>
        <v>1954</v>
      </c>
    </row>
    <row r="2737" spans="1:19" x14ac:dyDescent="0.25">
      <c r="A2737" s="2">
        <v>45471</v>
      </c>
      <c r="B2737" s="1">
        <f t="shared" si="213"/>
        <v>26</v>
      </c>
      <c r="C2737">
        <f t="shared" si="215"/>
        <v>6</v>
      </c>
      <c r="D2737" t="str">
        <f t="shared" si="216"/>
        <v>June</v>
      </c>
      <c r="E2737">
        <f t="shared" si="217"/>
        <v>2024</v>
      </c>
      <c r="F2737" t="str">
        <f>CONCATENATE(calendar[[#This Row],[Month]],"/",calendar[[#This Row],[Year]])</f>
        <v>6/2024</v>
      </c>
      <c r="G2737">
        <f>WEEKDAY(calendar[[#This Row],[Date]],1)</f>
        <v>6</v>
      </c>
      <c r="H2737" t="str">
        <f>TEXT(calendar[[#This Row],[WeekDay]],"dddd")</f>
        <v>Friday</v>
      </c>
      <c r="I2737">
        <f>IF((INT(calendar[[#This Row],[Count]]/7)-calendar[[#This Row],[Count]]/7)&lt;0,I2736,I2736+1)</f>
        <v>391</v>
      </c>
      <c r="J2737">
        <f t="shared" si="214"/>
        <v>2735</v>
      </c>
      <c r="K2737">
        <f>IF(calendar[[#This Row],[Month]]&lt;4,1,IF(calendar[[#This Row],[Month]]&lt;7,2,IF(calendar[[#This Row],[Month]]&lt;10,3,4)))</f>
        <v>2</v>
      </c>
      <c r="L2737">
        <f>IFERROR(IF(VLOOKUP(calendar[[#This Row],[Date]],BH!A:A,1,)&lt;&gt;"",1,0),0)</f>
        <v>0</v>
      </c>
      <c r="M2737">
        <f>IFERROR(IF(VLOOKUP(calendar[[#This Row],[Date]],BH!C:C,1,)&lt;&gt;"",1,0),0)</f>
        <v>0</v>
      </c>
      <c r="N2737">
        <f>IFERROR(IF(VLOOKUP(calendar[[#This Row],[Date]],BH!E:E,1,)&lt;&gt;"",1,0),0)</f>
        <v>0</v>
      </c>
      <c r="O2737">
        <f>IFERROR(IF(VLOOKUP(calendar[[#This Row],[Date]],BH!G:G,1,)&lt;&gt;"",1,0),0)</f>
        <v>0</v>
      </c>
      <c r="P2737">
        <f>IF(OR(calendar[[#This Row],[UK_BH]]=1,calendar[[#This Row],[WeekDay]]=1, calendar[[#This Row],[WeekDay]]=7),P2736,P2736+1)</f>
        <v>1955</v>
      </c>
      <c r="Q2737">
        <f>IF(OR(calendar[[#This Row],[FR_BH]]=1,calendar[[#This Row],[WeekDay]]=1, calendar[[#This Row],[WeekDay]]=7),P2736,P2736+1)</f>
        <v>1955</v>
      </c>
      <c r="R2737">
        <f>IF(OR(calendar[[#This Row],[SP_BH]]=1,calendar[[#This Row],[WeekDay]]=1, calendar[[#This Row],[WeekDay]]=7),P2736,P2736+1)</f>
        <v>1955</v>
      </c>
      <c r="S2737">
        <f>IF(OR(calendar[[#This Row],[PT_BH]]=1,calendar[[#This Row],[WeekDay]]=1, calendar[[#This Row],[WeekDay]]=7),P2736,P2736+1)</f>
        <v>1955</v>
      </c>
    </row>
    <row r="2738" spans="1:19" x14ac:dyDescent="0.25">
      <c r="A2738" s="2">
        <v>45472</v>
      </c>
      <c r="B2738" s="1">
        <f t="shared" si="213"/>
        <v>26</v>
      </c>
      <c r="C2738">
        <f t="shared" si="215"/>
        <v>6</v>
      </c>
      <c r="D2738" t="str">
        <f t="shared" si="216"/>
        <v>June</v>
      </c>
      <c r="E2738">
        <f t="shared" si="217"/>
        <v>2024</v>
      </c>
      <c r="F2738" t="str">
        <f>CONCATENATE(calendar[[#This Row],[Month]],"/",calendar[[#This Row],[Year]])</f>
        <v>6/2024</v>
      </c>
      <c r="G2738">
        <f>WEEKDAY(calendar[[#This Row],[Date]],1)</f>
        <v>7</v>
      </c>
      <c r="H2738" t="str">
        <f>TEXT(calendar[[#This Row],[WeekDay]],"dddd")</f>
        <v>Saturday</v>
      </c>
      <c r="I2738">
        <f>IF((INT(calendar[[#This Row],[Count]]/7)-calendar[[#This Row],[Count]]/7)&lt;0,I2737,I2737+1)</f>
        <v>391</v>
      </c>
      <c r="J2738">
        <f t="shared" si="214"/>
        <v>2736</v>
      </c>
      <c r="K2738">
        <f>IF(calendar[[#This Row],[Month]]&lt;4,1,IF(calendar[[#This Row],[Month]]&lt;7,2,IF(calendar[[#This Row],[Month]]&lt;10,3,4)))</f>
        <v>2</v>
      </c>
      <c r="L2738">
        <f>IFERROR(IF(VLOOKUP(calendar[[#This Row],[Date]],BH!A:A,1,)&lt;&gt;"",1,0),0)</f>
        <v>0</v>
      </c>
      <c r="M2738">
        <f>IFERROR(IF(VLOOKUP(calendar[[#This Row],[Date]],BH!C:C,1,)&lt;&gt;"",1,0),0)</f>
        <v>0</v>
      </c>
      <c r="N2738">
        <f>IFERROR(IF(VLOOKUP(calendar[[#This Row],[Date]],BH!E:E,1,)&lt;&gt;"",1,0),0)</f>
        <v>0</v>
      </c>
      <c r="O2738">
        <f>IFERROR(IF(VLOOKUP(calendar[[#This Row],[Date]],BH!G:G,1,)&lt;&gt;"",1,0),0)</f>
        <v>0</v>
      </c>
      <c r="P2738">
        <f>IF(OR(calendar[[#This Row],[UK_BH]]=1,calendar[[#This Row],[WeekDay]]=1, calendar[[#This Row],[WeekDay]]=7),P2737,P2737+1)</f>
        <v>1955</v>
      </c>
      <c r="Q2738">
        <f>IF(OR(calendar[[#This Row],[FR_BH]]=1,calendar[[#This Row],[WeekDay]]=1, calendar[[#This Row],[WeekDay]]=7),P2737,P2737+1)</f>
        <v>1955</v>
      </c>
      <c r="R2738">
        <f>IF(OR(calendar[[#This Row],[SP_BH]]=1,calendar[[#This Row],[WeekDay]]=1, calendar[[#This Row],[WeekDay]]=7),P2737,P2737+1)</f>
        <v>1955</v>
      </c>
      <c r="S2738">
        <f>IF(OR(calendar[[#This Row],[PT_BH]]=1,calendar[[#This Row],[WeekDay]]=1, calendar[[#This Row],[WeekDay]]=7),P2737,P2737+1)</f>
        <v>1955</v>
      </c>
    </row>
    <row r="2739" spans="1:19" x14ac:dyDescent="0.25">
      <c r="A2739" s="2">
        <v>45473</v>
      </c>
      <c r="B2739" s="1">
        <f t="shared" si="213"/>
        <v>27</v>
      </c>
      <c r="C2739">
        <f t="shared" si="215"/>
        <v>6</v>
      </c>
      <c r="D2739" t="str">
        <f t="shared" si="216"/>
        <v>June</v>
      </c>
      <c r="E2739">
        <f t="shared" si="217"/>
        <v>2024</v>
      </c>
      <c r="F2739" t="str">
        <f>CONCATENATE(calendar[[#This Row],[Month]],"/",calendar[[#This Row],[Year]])</f>
        <v>6/2024</v>
      </c>
      <c r="G2739">
        <f>WEEKDAY(calendar[[#This Row],[Date]],1)</f>
        <v>1</v>
      </c>
      <c r="H2739" t="str">
        <f>TEXT(calendar[[#This Row],[WeekDay]],"dddd")</f>
        <v>Sunday</v>
      </c>
      <c r="I2739">
        <f>IF((INT(calendar[[#This Row],[Count]]/7)-calendar[[#This Row],[Count]]/7)&lt;0,I2738,I2738+1)</f>
        <v>392</v>
      </c>
      <c r="J2739">
        <f t="shared" si="214"/>
        <v>2737</v>
      </c>
      <c r="K2739">
        <f>IF(calendar[[#This Row],[Month]]&lt;4,1,IF(calendar[[#This Row],[Month]]&lt;7,2,IF(calendar[[#This Row],[Month]]&lt;10,3,4)))</f>
        <v>2</v>
      </c>
      <c r="L2739">
        <f>IFERROR(IF(VLOOKUP(calendar[[#This Row],[Date]],BH!A:A,1,)&lt;&gt;"",1,0),0)</f>
        <v>0</v>
      </c>
      <c r="M2739">
        <f>IFERROR(IF(VLOOKUP(calendar[[#This Row],[Date]],BH!C:C,1,)&lt;&gt;"",1,0),0)</f>
        <v>0</v>
      </c>
      <c r="N2739">
        <f>IFERROR(IF(VLOOKUP(calendar[[#This Row],[Date]],BH!E:E,1,)&lt;&gt;"",1,0),0)</f>
        <v>0</v>
      </c>
      <c r="O2739">
        <f>IFERROR(IF(VLOOKUP(calendar[[#This Row],[Date]],BH!G:G,1,)&lt;&gt;"",1,0),0)</f>
        <v>0</v>
      </c>
      <c r="P2739">
        <f>IF(OR(calendar[[#This Row],[UK_BH]]=1,calendar[[#This Row],[WeekDay]]=1, calendar[[#This Row],[WeekDay]]=7),P2738,P2738+1)</f>
        <v>1955</v>
      </c>
      <c r="Q2739">
        <f>IF(OR(calendar[[#This Row],[FR_BH]]=1,calendar[[#This Row],[WeekDay]]=1, calendar[[#This Row],[WeekDay]]=7),P2738,P2738+1)</f>
        <v>1955</v>
      </c>
      <c r="R2739">
        <f>IF(OR(calendar[[#This Row],[SP_BH]]=1,calendar[[#This Row],[WeekDay]]=1, calendar[[#This Row],[WeekDay]]=7),P2738,P2738+1)</f>
        <v>1955</v>
      </c>
      <c r="S2739">
        <f>IF(OR(calendar[[#This Row],[PT_BH]]=1,calendar[[#This Row],[WeekDay]]=1, calendar[[#This Row],[WeekDay]]=7),P2738,P2738+1)</f>
        <v>1955</v>
      </c>
    </row>
    <row r="2740" spans="1:19" x14ac:dyDescent="0.25">
      <c r="A2740" s="2">
        <v>45474</v>
      </c>
      <c r="B2740" s="1">
        <f t="shared" si="213"/>
        <v>27</v>
      </c>
      <c r="C2740">
        <f t="shared" si="215"/>
        <v>7</v>
      </c>
      <c r="D2740" t="str">
        <f t="shared" si="216"/>
        <v>July</v>
      </c>
      <c r="E2740">
        <f t="shared" si="217"/>
        <v>2024</v>
      </c>
      <c r="F2740" t="str">
        <f>CONCATENATE(calendar[[#This Row],[Month]],"/",calendar[[#This Row],[Year]])</f>
        <v>7/2024</v>
      </c>
      <c r="G2740">
        <f>WEEKDAY(calendar[[#This Row],[Date]],1)</f>
        <v>2</v>
      </c>
      <c r="H2740" t="str">
        <f>TEXT(calendar[[#This Row],[WeekDay]],"dddd")</f>
        <v>Monday</v>
      </c>
      <c r="I2740">
        <f>IF((INT(calendar[[#This Row],[Count]]/7)-calendar[[#This Row],[Count]]/7)&lt;0,I2739,I2739+1)</f>
        <v>392</v>
      </c>
      <c r="J2740">
        <f t="shared" si="214"/>
        <v>2738</v>
      </c>
      <c r="K2740">
        <f>IF(calendar[[#This Row],[Month]]&lt;4,1,IF(calendar[[#This Row],[Month]]&lt;7,2,IF(calendar[[#This Row],[Month]]&lt;10,3,4)))</f>
        <v>3</v>
      </c>
      <c r="L2740">
        <f>IFERROR(IF(VLOOKUP(calendar[[#This Row],[Date]],BH!A:A,1,)&lt;&gt;"",1,0),0)</f>
        <v>0</v>
      </c>
      <c r="M2740">
        <f>IFERROR(IF(VLOOKUP(calendar[[#This Row],[Date]],BH!C:C,1,)&lt;&gt;"",1,0),0)</f>
        <v>0</v>
      </c>
      <c r="N2740">
        <f>IFERROR(IF(VLOOKUP(calendar[[#This Row],[Date]],BH!E:E,1,)&lt;&gt;"",1,0),0)</f>
        <v>0</v>
      </c>
      <c r="O2740">
        <f>IFERROR(IF(VLOOKUP(calendar[[#This Row],[Date]],BH!G:G,1,)&lt;&gt;"",1,0),0)</f>
        <v>0</v>
      </c>
      <c r="P2740">
        <f>IF(OR(calendar[[#This Row],[UK_BH]]=1,calendar[[#This Row],[WeekDay]]=1, calendar[[#This Row],[WeekDay]]=7),P2739,P2739+1)</f>
        <v>1956</v>
      </c>
      <c r="Q2740">
        <f>IF(OR(calendar[[#This Row],[FR_BH]]=1,calendar[[#This Row],[WeekDay]]=1, calendar[[#This Row],[WeekDay]]=7),P2739,P2739+1)</f>
        <v>1956</v>
      </c>
      <c r="R2740">
        <f>IF(OR(calendar[[#This Row],[SP_BH]]=1,calendar[[#This Row],[WeekDay]]=1, calendar[[#This Row],[WeekDay]]=7),P2739,P2739+1)</f>
        <v>1956</v>
      </c>
      <c r="S2740">
        <f>IF(OR(calendar[[#This Row],[PT_BH]]=1,calendar[[#This Row],[WeekDay]]=1, calendar[[#This Row],[WeekDay]]=7),P2739,P2739+1)</f>
        <v>1956</v>
      </c>
    </row>
    <row r="2741" spans="1:19" x14ac:dyDescent="0.25">
      <c r="A2741" s="2">
        <v>45475</v>
      </c>
      <c r="B2741" s="1">
        <f t="shared" si="213"/>
        <v>27</v>
      </c>
      <c r="C2741">
        <f t="shared" si="215"/>
        <v>7</v>
      </c>
      <c r="D2741" t="str">
        <f t="shared" si="216"/>
        <v>July</v>
      </c>
      <c r="E2741">
        <f t="shared" si="217"/>
        <v>2024</v>
      </c>
      <c r="F2741" t="str">
        <f>CONCATENATE(calendar[[#This Row],[Month]],"/",calendar[[#This Row],[Year]])</f>
        <v>7/2024</v>
      </c>
      <c r="G2741">
        <f>WEEKDAY(calendar[[#This Row],[Date]],1)</f>
        <v>3</v>
      </c>
      <c r="H2741" t="str">
        <f>TEXT(calendar[[#This Row],[WeekDay]],"dddd")</f>
        <v>Tuesday</v>
      </c>
      <c r="I2741">
        <f>IF((INT(calendar[[#This Row],[Count]]/7)-calendar[[#This Row],[Count]]/7)&lt;0,I2740,I2740+1)</f>
        <v>392</v>
      </c>
      <c r="J2741">
        <f t="shared" si="214"/>
        <v>2739</v>
      </c>
      <c r="K2741">
        <f>IF(calendar[[#This Row],[Month]]&lt;4,1,IF(calendar[[#This Row],[Month]]&lt;7,2,IF(calendar[[#This Row],[Month]]&lt;10,3,4)))</f>
        <v>3</v>
      </c>
      <c r="L2741">
        <f>IFERROR(IF(VLOOKUP(calendar[[#This Row],[Date]],BH!A:A,1,)&lt;&gt;"",1,0),0)</f>
        <v>0</v>
      </c>
      <c r="M2741">
        <f>IFERROR(IF(VLOOKUP(calendar[[#This Row],[Date]],BH!C:C,1,)&lt;&gt;"",1,0),0)</f>
        <v>0</v>
      </c>
      <c r="N2741">
        <f>IFERROR(IF(VLOOKUP(calendar[[#This Row],[Date]],BH!E:E,1,)&lt;&gt;"",1,0),0)</f>
        <v>0</v>
      </c>
      <c r="O2741">
        <f>IFERROR(IF(VLOOKUP(calendar[[#This Row],[Date]],BH!G:G,1,)&lt;&gt;"",1,0),0)</f>
        <v>0</v>
      </c>
      <c r="P2741">
        <f>IF(OR(calendar[[#This Row],[UK_BH]]=1,calendar[[#This Row],[WeekDay]]=1, calendar[[#This Row],[WeekDay]]=7),P2740,P2740+1)</f>
        <v>1957</v>
      </c>
      <c r="Q2741">
        <f>IF(OR(calendar[[#This Row],[FR_BH]]=1,calendar[[#This Row],[WeekDay]]=1, calendar[[#This Row],[WeekDay]]=7),P2740,P2740+1)</f>
        <v>1957</v>
      </c>
      <c r="R2741">
        <f>IF(OR(calendar[[#This Row],[SP_BH]]=1,calendar[[#This Row],[WeekDay]]=1, calendar[[#This Row],[WeekDay]]=7),P2740,P2740+1)</f>
        <v>1957</v>
      </c>
      <c r="S2741">
        <f>IF(OR(calendar[[#This Row],[PT_BH]]=1,calendar[[#This Row],[WeekDay]]=1, calendar[[#This Row],[WeekDay]]=7),P2740,P2740+1)</f>
        <v>1957</v>
      </c>
    </row>
    <row r="2742" spans="1:19" x14ac:dyDescent="0.25">
      <c r="A2742" s="2">
        <v>45476</v>
      </c>
      <c r="B2742" s="1">
        <f t="shared" si="213"/>
        <v>27</v>
      </c>
      <c r="C2742">
        <f t="shared" si="215"/>
        <v>7</v>
      </c>
      <c r="D2742" t="str">
        <f t="shared" si="216"/>
        <v>July</v>
      </c>
      <c r="E2742">
        <f t="shared" si="217"/>
        <v>2024</v>
      </c>
      <c r="F2742" t="str">
        <f>CONCATENATE(calendar[[#This Row],[Month]],"/",calendar[[#This Row],[Year]])</f>
        <v>7/2024</v>
      </c>
      <c r="G2742">
        <f>WEEKDAY(calendar[[#This Row],[Date]],1)</f>
        <v>4</v>
      </c>
      <c r="H2742" t="str">
        <f>TEXT(calendar[[#This Row],[WeekDay]],"dddd")</f>
        <v>Wednesday</v>
      </c>
      <c r="I2742">
        <f>IF((INT(calendar[[#This Row],[Count]]/7)-calendar[[#This Row],[Count]]/7)&lt;0,I2741,I2741+1)</f>
        <v>392</v>
      </c>
      <c r="J2742">
        <f t="shared" si="214"/>
        <v>2740</v>
      </c>
      <c r="K2742">
        <f>IF(calendar[[#This Row],[Month]]&lt;4,1,IF(calendar[[#This Row],[Month]]&lt;7,2,IF(calendar[[#This Row],[Month]]&lt;10,3,4)))</f>
        <v>3</v>
      </c>
      <c r="L2742">
        <f>IFERROR(IF(VLOOKUP(calendar[[#This Row],[Date]],BH!A:A,1,)&lt;&gt;"",1,0),0)</f>
        <v>0</v>
      </c>
      <c r="M2742">
        <f>IFERROR(IF(VLOOKUP(calendar[[#This Row],[Date]],BH!C:C,1,)&lt;&gt;"",1,0),0)</f>
        <v>0</v>
      </c>
      <c r="N2742">
        <f>IFERROR(IF(VLOOKUP(calendar[[#This Row],[Date]],BH!E:E,1,)&lt;&gt;"",1,0),0)</f>
        <v>0</v>
      </c>
      <c r="O2742">
        <f>IFERROR(IF(VLOOKUP(calendar[[#This Row],[Date]],BH!G:G,1,)&lt;&gt;"",1,0),0)</f>
        <v>0</v>
      </c>
      <c r="P2742">
        <f>IF(OR(calendar[[#This Row],[UK_BH]]=1,calendar[[#This Row],[WeekDay]]=1, calendar[[#This Row],[WeekDay]]=7),P2741,P2741+1)</f>
        <v>1958</v>
      </c>
      <c r="Q2742">
        <f>IF(OR(calendar[[#This Row],[FR_BH]]=1,calendar[[#This Row],[WeekDay]]=1, calendar[[#This Row],[WeekDay]]=7),P2741,P2741+1)</f>
        <v>1958</v>
      </c>
      <c r="R2742">
        <f>IF(OR(calendar[[#This Row],[SP_BH]]=1,calendar[[#This Row],[WeekDay]]=1, calendar[[#This Row],[WeekDay]]=7),P2741,P2741+1)</f>
        <v>1958</v>
      </c>
      <c r="S2742">
        <f>IF(OR(calendar[[#This Row],[PT_BH]]=1,calendar[[#This Row],[WeekDay]]=1, calendar[[#This Row],[WeekDay]]=7),P2741,P2741+1)</f>
        <v>1958</v>
      </c>
    </row>
    <row r="2743" spans="1:19" x14ac:dyDescent="0.25">
      <c r="A2743" s="2">
        <v>45477</v>
      </c>
      <c r="B2743" s="1">
        <f t="shared" si="213"/>
        <v>27</v>
      </c>
      <c r="C2743">
        <f t="shared" si="215"/>
        <v>7</v>
      </c>
      <c r="D2743" t="str">
        <f t="shared" si="216"/>
        <v>July</v>
      </c>
      <c r="E2743">
        <f t="shared" si="217"/>
        <v>2024</v>
      </c>
      <c r="F2743" t="str">
        <f>CONCATENATE(calendar[[#This Row],[Month]],"/",calendar[[#This Row],[Year]])</f>
        <v>7/2024</v>
      </c>
      <c r="G2743">
        <f>WEEKDAY(calendar[[#This Row],[Date]],1)</f>
        <v>5</v>
      </c>
      <c r="H2743" t="str">
        <f>TEXT(calendar[[#This Row],[WeekDay]],"dddd")</f>
        <v>Thursday</v>
      </c>
      <c r="I2743">
        <f>IF((INT(calendar[[#This Row],[Count]]/7)-calendar[[#This Row],[Count]]/7)&lt;0,I2742,I2742+1)</f>
        <v>392</v>
      </c>
      <c r="J2743">
        <f t="shared" si="214"/>
        <v>2741</v>
      </c>
      <c r="K2743">
        <f>IF(calendar[[#This Row],[Month]]&lt;4,1,IF(calendar[[#This Row],[Month]]&lt;7,2,IF(calendar[[#This Row],[Month]]&lt;10,3,4)))</f>
        <v>3</v>
      </c>
      <c r="L2743">
        <f>IFERROR(IF(VLOOKUP(calendar[[#This Row],[Date]],BH!A:A,1,)&lt;&gt;"",1,0),0)</f>
        <v>0</v>
      </c>
      <c r="M2743">
        <f>IFERROR(IF(VLOOKUP(calendar[[#This Row],[Date]],BH!C:C,1,)&lt;&gt;"",1,0),0)</f>
        <v>0</v>
      </c>
      <c r="N2743">
        <f>IFERROR(IF(VLOOKUP(calendar[[#This Row],[Date]],BH!E:E,1,)&lt;&gt;"",1,0),0)</f>
        <v>0</v>
      </c>
      <c r="O2743">
        <f>IFERROR(IF(VLOOKUP(calendar[[#This Row],[Date]],BH!G:G,1,)&lt;&gt;"",1,0),0)</f>
        <v>0</v>
      </c>
      <c r="P2743">
        <f>IF(OR(calendar[[#This Row],[UK_BH]]=1,calendar[[#This Row],[WeekDay]]=1, calendar[[#This Row],[WeekDay]]=7),P2742,P2742+1)</f>
        <v>1959</v>
      </c>
      <c r="Q2743">
        <f>IF(OR(calendar[[#This Row],[FR_BH]]=1,calendar[[#This Row],[WeekDay]]=1, calendar[[#This Row],[WeekDay]]=7),P2742,P2742+1)</f>
        <v>1959</v>
      </c>
      <c r="R2743">
        <f>IF(OR(calendar[[#This Row],[SP_BH]]=1,calendar[[#This Row],[WeekDay]]=1, calendar[[#This Row],[WeekDay]]=7),P2742,P2742+1)</f>
        <v>1959</v>
      </c>
      <c r="S2743">
        <f>IF(OR(calendar[[#This Row],[PT_BH]]=1,calendar[[#This Row],[WeekDay]]=1, calendar[[#This Row],[WeekDay]]=7),P2742,P2742+1)</f>
        <v>1959</v>
      </c>
    </row>
    <row r="2744" spans="1:19" x14ac:dyDescent="0.25">
      <c r="A2744" s="2">
        <v>45478</v>
      </c>
      <c r="B2744" s="1">
        <f t="shared" si="213"/>
        <v>27</v>
      </c>
      <c r="C2744">
        <f t="shared" si="215"/>
        <v>7</v>
      </c>
      <c r="D2744" t="str">
        <f t="shared" si="216"/>
        <v>July</v>
      </c>
      <c r="E2744">
        <f t="shared" si="217"/>
        <v>2024</v>
      </c>
      <c r="F2744" t="str">
        <f>CONCATENATE(calendar[[#This Row],[Month]],"/",calendar[[#This Row],[Year]])</f>
        <v>7/2024</v>
      </c>
      <c r="G2744">
        <f>WEEKDAY(calendar[[#This Row],[Date]],1)</f>
        <v>6</v>
      </c>
      <c r="H2744" t="str">
        <f>TEXT(calendar[[#This Row],[WeekDay]],"dddd")</f>
        <v>Friday</v>
      </c>
      <c r="I2744">
        <f>IF((INT(calendar[[#This Row],[Count]]/7)-calendar[[#This Row],[Count]]/7)&lt;0,I2743,I2743+1)</f>
        <v>392</v>
      </c>
      <c r="J2744">
        <f t="shared" si="214"/>
        <v>2742</v>
      </c>
      <c r="K2744">
        <f>IF(calendar[[#This Row],[Month]]&lt;4,1,IF(calendar[[#This Row],[Month]]&lt;7,2,IF(calendar[[#This Row],[Month]]&lt;10,3,4)))</f>
        <v>3</v>
      </c>
      <c r="L2744">
        <f>IFERROR(IF(VLOOKUP(calendar[[#This Row],[Date]],BH!A:A,1,)&lt;&gt;"",1,0),0)</f>
        <v>0</v>
      </c>
      <c r="M2744">
        <f>IFERROR(IF(VLOOKUP(calendar[[#This Row],[Date]],BH!C:C,1,)&lt;&gt;"",1,0),0)</f>
        <v>0</v>
      </c>
      <c r="N2744">
        <f>IFERROR(IF(VLOOKUP(calendar[[#This Row],[Date]],BH!E:E,1,)&lt;&gt;"",1,0),0)</f>
        <v>0</v>
      </c>
      <c r="O2744">
        <f>IFERROR(IF(VLOOKUP(calendar[[#This Row],[Date]],BH!G:G,1,)&lt;&gt;"",1,0),0)</f>
        <v>0</v>
      </c>
      <c r="P2744">
        <f>IF(OR(calendar[[#This Row],[UK_BH]]=1,calendar[[#This Row],[WeekDay]]=1, calendar[[#This Row],[WeekDay]]=7),P2743,P2743+1)</f>
        <v>1960</v>
      </c>
      <c r="Q2744">
        <f>IF(OR(calendar[[#This Row],[FR_BH]]=1,calendar[[#This Row],[WeekDay]]=1, calendar[[#This Row],[WeekDay]]=7),P2743,P2743+1)</f>
        <v>1960</v>
      </c>
      <c r="R2744">
        <f>IF(OR(calendar[[#This Row],[SP_BH]]=1,calendar[[#This Row],[WeekDay]]=1, calendar[[#This Row],[WeekDay]]=7),P2743,P2743+1)</f>
        <v>1960</v>
      </c>
      <c r="S2744">
        <f>IF(OR(calendar[[#This Row],[PT_BH]]=1,calendar[[#This Row],[WeekDay]]=1, calendar[[#This Row],[WeekDay]]=7),P2743,P2743+1)</f>
        <v>1960</v>
      </c>
    </row>
    <row r="2745" spans="1:19" x14ac:dyDescent="0.25">
      <c r="A2745" s="2">
        <v>45479</v>
      </c>
      <c r="B2745" s="1">
        <f t="shared" si="213"/>
        <v>27</v>
      </c>
      <c r="C2745">
        <f t="shared" si="215"/>
        <v>7</v>
      </c>
      <c r="D2745" t="str">
        <f t="shared" si="216"/>
        <v>July</v>
      </c>
      <c r="E2745">
        <f t="shared" si="217"/>
        <v>2024</v>
      </c>
      <c r="F2745" t="str">
        <f>CONCATENATE(calendar[[#This Row],[Month]],"/",calendar[[#This Row],[Year]])</f>
        <v>7/2024</v>
      </c>
      <c r="G2745">
        <f>WEEKDAY(calendar[[#This Row],[Date]],1)</f>
        <v>7</v>
      </c>
      <c r="H2745" t="str">
        <f>TEXT(calendar[[#This Row],[WeekDay]],"dddd")</f>
        <v>Saturday</v>
      </c>
      <c r="I2745">
        <f>IF((INT(calendar[[#This Row],[Count]]/7)-calendar[[#This Row],[Count]]/7)&lt;0,I2744,I2744+1)</f>
        <v>392</v>
      </c>
      <c r="J2745">
        <f t="shared" si="214"/>
        <v>2743</v>
      </c>
      <c r="K2745">
        <f>IF(calendar[[#This Row],[Month]]&lt;4,1,IF(calendar[[#This Row],[Month]]&lt;7,2,IF(calendar[[#This Row],[Month]]&lt;10,3,4)))</f>
        <v>3</v>
      </c>
      <c r="L2745">
        <f>IFERROR(IF(VLOOKUP(calendar[[#This Row],[Date]],BH!A:A,1,)&lt;&gt;"",1,0),0)</f>
        <v>0</v>
      </c>
      <c r="M2745">
        <f>IFERROR(IF(VLOOKUP(calendar[[#This Row],[Date]],BH!C:C,1,)&lt;&gt;"",1,0),0)</f>
        <v>0</v>
      </c>
      <c r="N2745">
        <f>IFERROR(IF(VLOOKUP(calendar[[#This Row],[Date]],BH!E:E,1,)&lt;&gt;"",1,0),0)</f>
        <v>0</v>
      </c>
      <c r="O2745">
        <f>IFERROR(IF(VLOOKUP(calendar[[#This Row],[Date]],BH!G:G,1,)&lt;&gt;"",1,0),0)</f>
        <v>0</v>
      </c>
      <c r="P2745">
        <f>IF(OR(calendar[[#This Row],[UK_BH]]=1,calendar[[#This Row],[WeekDay]]=1, calendar[[#This Row],[WeekDay]]=7),P2744,P2744+1)</f>
        <v>1960</v>
      </c>
      <c r="Q2745">
        <f>IF(OR(calendar[[#This Row],[FR_BH]]=1,calendar[[#This Row],[WeekDay]]=1, calendar[[#This Row],[WeekDay]]=7),P2744,P2744+1)</f>
        <v>1960</v>
      </c>
      <c r="R2745">
        <f>IF(OR(calendar[[#This Row],[SP_BH]]=1,calendar[[#This Row],[WeekDay]]=1, calendar[[#This Row],[WeekDay]]=7),P2744,P2744+1)</f>
        <v>1960</v>
      </c>
      <c r="S2745">
        <f>IF(OR(calendar[[#This Row],[PT_BH]]=1,calendar[[#This Row],[WeekDay]]=1, calendar[[#This Row],[WeekDay]]=7),P2744,P2744+1)</f>
        <v>1960</v>
      </c>
    </row>
    <row r="2746" spans="1:19" x14ac:dyDescent="0.25">
      <c r="A2746" s="2">
        <v>45480</v>
      </c>
      <c r="B2746" s="1">
        <f t="shared" si="213"/>
        <v>28</v>
      </c>
      <c r="C2746">
        <f t="shared" si="215"/>
        <v>7</v>
      </c>
      <c r="D2746" t="str">
        <f t="shared" si="216"/>
        <v>July</v>
      </c>
      <c r="E2746">
        <f t="shared" si="217"/>
        <v>2024</v>
      </c>
      <c r="F2746" t="str">
        <f>CONCATENATE(calendar[[#This Row],[Month]],"/",calendar[[#This Row],[Year]])</f>
        <v>7/2024</v>
      </c>
      <c r="G2746">
        <f>WEEKDAY(calendar[[#This Row],[Date]],1)</f>
        <v>1</v>
      </c>
      <c r="H2746" t="str">
        <f>TEXT(calendar[[#This Row],[WeekDay]],"dddd")</f>
        <v>Sunday</v>
      </c>
      <c r="I2746">
        <f>IF((INT(calendar[[#This Row],[Count]]/7)-calendar[[#This Row],[Count]]/7)&lt;0,I2745,I2745+1)</f>
        <v>393</v>
      </c>
      <c r="J2746">
        <f t="shared" si="214"/>
        <v>2744</v>
      </c>
      <c r="K2746">
        <f>IF(calendar[[#This Row],[Month]]&lt;4,1,IF(calendar[[#This Row],[Month]]&lt;7,2,IF(calendar[[#This Row],[Month]]&lt;10,3,4)))</f>
        <v>3</v>
      </c>
      <c r="L2746">
        <f>IFERROR(IF(VLOOKUP(calendar[[#This Row],[Date]],BH!A:A,1,)&lt;&gt;"",1,0),0)</f>
        <v>0</v>
      </c>
      <c r="M2746">
        <f>IFERROR(IF(VLOOKUP(calendar[[#This Row],[Date]],BH!C:C,1,)&lt;&gt;"",1,0),0)</f>
        <v>0</v>
      </c>
      <c r="N2746">
        <f>IFERROR(IF(VLOOKUP(calendar[[#This Row],[Date]],BH!E:E,1,)&lt;&gt;"",1,0),0)</f>
        <v>0</v>
      </c>
      <c r="O2746">
        <f>IFERROR(IF(VLOOKUP(calendar[[#This Row],[Date]],BH!G:G,1,)&lt;&gt;"",1,0),0)</f>
        <v>0</v>
      </c>
      <c r="P2746">
        <f>IF(OR(calendar[[#This Row],[UK_BH]]=1,calendar[[#This Row],[WeekDay]]=1, calendar[[#This Row],[WeekDay]]=7),P2745,P2745+1)</f>
        <v>1960</v>
      </c>
      <c r="Q2746">
        <f>IF(OR(calendar[[#This Row],[FR_BH]]=1,calendar[[#This Row],[WeekDay]]=1, calendar[[#This Row],[WeekDay]]=7),P2745,P2745+1)</f>
        <v>1960</v>
      </c>
      <c r="R2746">
        <f>IF(OR(calendar[[#This Row],[SP_BH]]=1,calendar[[#This Row],[WeekDay]]=1, calendar[[#This Row],[WeekDay]]=7),P2745,P2745+1)</f>
        <v>1960</v>
      </c>
      <c r="S2746">
        <f>IF(OR(calendar[[#This Row],[PT_BH]]=1,calendar[[#This Row],[WeekDay]]=1, calendar[[#This Row],[WeekDay]]=7),P2745,P2745+1)</f>
        <v>1960</v>
      </c>
    </row>
    <row r="2747" spans="1:19" x14ac:dyDescent="0.25">
      <c r="A2747" s="2">
        <v>45481</v>
      </c>
      <c r="B2747" s="1">
        <f t="shared" si="213"/>
        <v>28</v>
      </c>
      <c r="C2747">
        <f t="shared" si="215"/>
        <v>7</v>
      </c>
      <c r="D2747" t="str">
        <f t="shared" si="216"/>
        <v>July</v>
      </c>
      <c r="E2747">
        <f t="shared" si="217"/>
        <v>2024</v>
      </c>
      <c r="F2747" t="str">
        <f>CONCATENATE(calendar[[#This Row],[Month]],"/",calendar[[#This Row],[Year]])</f>
        <v>7/2024</v>
      </c>
      <c r="G2747">
        <f>WEEKDAY(calendar[[#This Row],[Date]],1)</f>
        <v>2</v>
      </c>
      <c r="H2747" t="str">
        <f>TEXT(calendar[[#This Row],[WeekDay]],"dddd")</f>
        <v>Monday</v>
      </c>
      <c r="I2747">
        <f>IF((INT(calendar[[#This Row],[Count]]/7)-calendar[[#This Row],[Count]]/7)&lt;0,I2746,I2746+1)</f>
        <v>393</v>
      </c>
      <c r="J2747">
        <f t="shared" si="214"/>
        <v>2745</v>
      </c>
      <c r="K2747">
        <f>IF(calendar[[#This Row],[Month]]&lt;4,1,IF(calendar[[#This Row],[Month]]&lt;7,2,IF(calendar[[#This Row],[Month]]&lt;10,3,4)))</f>
        <v>3</v>
      </c>
      <c r="L2747">
        <f>IFERROR(IF(VLOOKUP(calendar[[#This Row],[Date]],BH!A:A,1,)&lt;&gt;"",1,0),0)</f>
        <v>0</v>
      </c>
      <c r="M2747">
        <f>IFERROR(IF(VLOOKUP(calendar[[#This Row],[Date]],BH!C:C,1,)&lt;&gt;"",1,0),0)</f>
        <v>0</v>
      </c>
      <c r="N2747">
        <f>IFERROR(IF(VLOOKUP(calendar[[#This Row],[Date]],BH!E:E,1,)&lt;&gt;"",1,0),0)</f>
        <v>0</v>
      </c>
      <c r="O2747">
        <f>IFERROR(IF(VLOOKUP(calendar[[#This Row],[Date]],BH!G:G,1,)&lt;&gt;"",1,0),0)</f>
        <v>0</v>
      </c>
      <c r="P2747">
        <f>IF(OR(calendar[[#This Row],[UK_BH]]=1,calendar[[#This Row],[WeekDay]]=1, calendar[[#This Row],[WeekDay]]=7),P2746,P2746+1)</f>
        <v>1961</v>
      </c>
      <c r="Q2747">
        <f>IF(OR(calendar[[#This Row],[FR_BH]]=1,calendar[[#This Row],[WeekDay]]=1, calendar[[#This Row],[WeekDay]]=7),P2746,P2746+1)</f>
        <v>1961</v>
      </c>
      <c r="R2747">
        <f>IF(OR(calendar[[#This Row],[SP_BH]]=1,calendar[[#This Row],[WeekDay]]=1, calendar[[#This Row],[WeekDay]]=7),P2746,P2746+1)</f>
        <v>1961</v>
      </c>
      <c r="S2747">
        <f>IF(OR(calendar[[#This Row],[PT_BH]]=1,calendar[[#This Row],[WeekDay]]=1, calendar[[#This Row],[WeekDay]]=7),P2746,P2746+1)</f>
        <v>1961</v>
      </c>
    </row>
    <row r="2748" spans="1:19" x14ac:dyDescent="0.25">
      <c r="A2748" s="2">
        <v>45482</v>
      </c>
      <c r="B2748" s="1">
        <f t="shared" si="213"/>
        <v>28</v>
      </c>
      <c r="C2748">
        <f t="shared" si="215"/>
        <v>7</v>
      </c>
      <c r="D2748" t="str">
        <f t="shared" si="216"/>
        <v>July</v>
      </c>
      <c r="E2748">
        <f t="shared" si="217"/>
        <v>2024</v>
      </c>
      <c r="F2748" t="str">
        <f>CONCATENATE(calendar[[#This Row],[Month]],"/",calendar[[#This Row],[Year]])</f>
        <v>7/2024</v>
      </c>
      <c r="G2748">
        <f>WEEKDAY(calendar[[#This Row],[Date]],1)</f>
        <v>3</v>
      </c>
      <c r="H2748" t="str">
        <f>TEXT(calendar[[#This Row],[WeekDay]],"dddd")</f>
        <v>Tuesday</v>
      </c>
      <c r="I2748">
        <f>IF((INT(calendar[[#This Row],[Count]]/7)-calendar[[#This Row],[Count]]/7)&lt;0,I2747,I2747+1)</f>
        <v>393</v>
      </c>
      <c r="J2748">
        <f t="shared" si="214"/>
        <v>2746</v>
      </c>
      <c r="K2748">
        <f>IF(calendar[[#This Row],[Month]]&lt;4,1,IF(calendar[[#This Row],[Month]]&lt;7,2,IF(calendar[[#This Row],[Month]]&lt;10,3,4)))</f>
        <v>3</v>
      </c>
      <c r="L2748">
        <f>IFERROR(IF(VLOOKUP(calendar[[#This Row],[Date]],BH!A:A,1,)&lt;&gt;"",1,0),0)</f>
        <v>0</v>
      </c>
      <c r="M2748">
        <f>IFERROR(IF(VLOOKUP(calendar[[#This Row],[Date]],BH!C:C,1,)&lt;&gt;"",1,0),0)</f>
        <v>0</v>
      </c>
      <c r="N2748">
        <f>IFERROR(IF(VLOOKUP(calendar[[#This Row],[Date]],BH!E:E,1,)&lt;&gt;"",1,0),0)</f>
        <v>0</v>
      </c>
      <c r="O2748">
        <f>IFERROR(IF(VLOOKUP(calendar[[#This Row],[Date]],BH!G:G,1,)&lt;&gt;"",1,0),0)</f>
        <v>0</v>
      </c>
      <c r="P2748">
        <f>IF(OR(calendar[[#This Row],[UK_BH]]=1,calendar[[#This Row],[WeekDay]]=1, calendar[[#This Row],[WeekDay]]=7),P2747,P2747+1)</f>
        <v>1962</v>
      </c>
      <c r="Q2748">
        <f>IF(OR(calendar[[#This Row],[FR_BH]]=1,calendar[[#This Row],[WeekDay]]=1, calendar[[#This Row],[WeekDay]]=7),P2747,P2747+1)</f>
        <v>1962</v>
      </c>
      <c r="R2748">
        <f>IF(OR(calendar[[#This Row],[SP_BH]]=1,calendar[[#This Row],[WeekDay]]=1, calendar[[#This Row],[WeekDay]]=7),P2747,P2747+1)</f>
        <v>1962</v>
      </c>
      <c r="S2748">
        <f>IF(OR(calendar[[#This Row],[PT_BH]]=1,calendar[[#This Row],[WeekDay]]=1, calendar[[#This Row],[WeekDay]]=7),P2747,P2747+1)</f>
        <v>1962</v>
      </c>
    </row>
    <row r="2749" spans="1:19" x14ac:dyDescent="0.25">
      <c r="A2749" s="2">
        <v>45483</v>
      </c>
      <c r="B2749" s="1">
        <f t="shared" si="213"/>
        <v>28</v>
      </c>
      <c r="C2749">
        <f t="shared" si="215"/>
        <v>7</v>
      </c>
      <c r="D2749" t="str">
        <f t="shared" si="216"/>
        <v>July</v>
      </c>
      <c r="E2749">
        <f t="shared" si="217"/>
        <v>2024</v>
      </c>
      <c r="F2749" t="str">
        <f>CONCATENATE(calendar[[#This Row],[Month]],"/",calendar[[#This Row],[Year]])</f>
        <v>7/2024</v>
      </c>
      <c r="G2749">
        <f>WEEKDAY(calendar[[#This Row],[Date]],1)</f>
        <v>4</v>
      </c>
      <c r="H2749" t="str">
        <f>TEXT(calendar[[#This Row],[WeekDay]],"dddd")</f>
        <v>Wednesday</v>
      </c>
      <c r="I2749">
        <f>IF((INT(calendar[[#This Row],[Count]]/7)-calendar[[#This Row],[Count]]/7)&lt;0,I2748,I2748+1)</f>
        <v>393</v>
      </c>
      <c r="J2749">
        <f t="shared" si="214"/>
        <v>2747</v>
      </c>
      <c r="K2749">
        <f>IF(calendar[[#This Row],[Month]]&lt;4,1,IF(calendar[[#This Row],[Month]]&lt;7,2,IF(calendar[[#This Row],[Month]]&lt;10,3,4)))</f>
        <v>3</v>
      </c>
      <c r="L2749">
        <f>IFERROR(IF(VLOOKUP(calendar[[#This Row],[Date]],BH!A:A,1,)&lt;&gt;"",1,0),0)</f>
        <v>0</v>
      </c>
      <c r="M2749">
        <f>IFERROR(IF(VLOOKUP(calendar[[#This Row],[Date]],BH!C:C,1,)&lt;&gt;"",1,0),0)</f>
        <v>0</v>
      </c>
      <c r="N2749">
        <f>IFERROR(IF(VLOOKUP(calendar[[#This Row],[Date]],BH!E:E,1,)&lt;&gt;"",1,0),0)</f>
        <v>0</v>
      </c>
      <c r="O2749">
        <f>IFERROR(IF(VLOOKUP(calendar[[#This Row],[Date]],BH!G:G,1,)&lt;&gt;"",1,0),0)</f>
        <v>0</v>
      </c>
      <c r="P2749">
        <f>IF(OR(calendar[[#This Row],[UK_BH]]=1,calendar[[#This Row],[WeekDay]]=1, calendar[[#This Row],[WeekDay]]=7),P2748,P2748+1)</f>
        <v>1963</v>
      </c>
      <c r="Q2749">
        <f>IF(OR(calendar[[#This Row],[FR_BH]]=1,calendar[[#This Row],[WeekDay]]=1, calendar[[#This Row],[WeekDay]]=7),P2748,P2748+1)</f>
        <v>1963</v>
      </c>
      <c r="R2749">
        <f>IF(OR(calendar[[#This Row],[SP_BH]]=1,calendar[[#This Row],[WeekDay]]=1, calendar[[#This Row],[WeekDay]]=7),P2748,P2748+1)</f>
        <v>1963</v>
      </c>
      <c r="S2749">
        <f>IF(OR(calendar[[#This Row],[PT_BH]]=1,calendar[[#This Row],[WeekDay]]=1, calendar[[#This Row],[WeekDay]]=7),P2748,P2748+1)</f>
        <v>1963</v>
      </c>
    </row>
    <row r="2750" spans="1:19" x14ac:dyDescent="0.25">
      <c r="A2750" s="2">
        <v>45484</v>
      </c>
      <c r="B2750" s="1">
        <f t="shared" si="213"/>
        <v>28</v>
      </c>
      <c r="C2750">
        <f t="shared" si="215"/>
        <v>7</v>
      </c>
      <c r="D2750" t="str">
        <f t="shared" si="216"/>
        <v>July</v>
      </c>
      <c r="E2750">
        <f t="shared" si="217"/>
        <v>2024</v>
      </c>
      <c r="F2750" t="str">
        <f>CONCATENATE(calendar[[#This Row],[Month]],"/",calendar[[#This Row],[Year]])</f>
        <v>7/2024</v>
      </c>
      <c r="G2750">
        <f>WEEKDAY(calendar[[#This Row],[Date]],1)</f>
        <v>5</v>
      </c>
      <c r="H2750" t="str">
        <f>TEXT(calendar[[#This Row],[WeekDay]],"dddd")</f>
        <v>Thursday</v>
      </c>
      <c r="I2750">
        <f>IF((INT(calendar[[#This Row],[Count]]/7)-calendar[[#This Row],[Count]]/7)&lt;0,I2749,I2749+1)</f>
        <v>393</v>
      </c>
      <c r="J2750">
        <f t="shared" si="214"/>
        <v>2748</v>
      </c>
      <c r="K2750">
        <f>IF(calendar[[#This Row],[Month]]&lt;4,1,IF(calendar[[#This Row],[Month]]&lt;7,2,IF(calendar[[#This Row],[Month]]&lt;10,3,4)))</f>
        <v>3</v>
      </c>
      <c r="L2750">
        <f>IFERROR(IF(VLOOKUP(calendar[[#This Row],[Date]],BH!A:A,1,)&lt;&gt;"",1,0),0)</f>
        <v>0</v>
      </c>
      <c r="M2750">
        <f>IFERROR(IF(VLOOKUP(calendar[[#This Row],[Date]],BH!C:C,1,)&lt;&gt;"",1,0),0)</f>
        <v>0</v>
      </c>
      <c r="N2750">
        <f>IFERROR(IF(VLOOKUP(calendar[[#This Row],[Date]],BH!E:E,1,)&lt;&gt;"",1,0),0)</f>
        <v>0</v>
      </c>
      <c r="O2750">
        <f>IFERROR(IF(VLOOKUP(calendar[[#This Row],[Date]],BH!G:G,1,)&lt;&gt;"",1,0),0)</f>
        <v>0</v>
      </c>
      <c r="P2750">
        <f>IF(OR(calendar[[#This Row],[UK_BH]]=1,calendar[[#This Row],[WeekDay]]=1, calendar[[#This Row],[WeekDay]]=7),P2749,P2749+1)</f>
        <v>1964</v>
      </c>
      <c r="Q2750">
        <f>IF(OR(calendar[[#This Row],[FR_BH]]=1,calendar[[#This Row],[WeekDay]]=1, calendar[[#This Row],[WeekDay]]=7),P2749,P2749+1)</f>
        <v>1964</v>
      </c>
      <c r="R2750">
        <f>IF(OR(calendar[[#This Row],[SP_BH]]=1,calendar[[#This Row],[WeekDay]]=1, calendar[[#This Row],[WeekDay]]=7),P2749,P2749+1)</f>
        <v>1964</v>
      </c>
      <c r="S2750">
        <f>IF(OR(calendar[[#This Row],[PT_BH]]=1,calendar[[#This Row],[WeekDay]]=1, calendar[[#This Row],[WeekDay]]=7),P2749,P2749+1)</f>
        <v>1964</v>
      </c>
    </row>
    <row r="2751" spans="1:19" x14ac:dyDescent="0.25">
      <c r="A2751" s="2">
        <v>45485</v>
      </c>
      <c r="B2751" s="1">
        <f t="shared" si="213"/>
        <v>28</v>
      </c>
      <c r="C2751">
        <f t="shared" si="215"/>
        <v>7</v>
      </c>
      <c r="D2751" t="str">
        <f t="shared" si="216"/>
        <v>July</v>
      </c>
      <c r="E2751">
        <f t="shared" si="217"/>
        <v>2024</v>
      </c>
      <c r="F2751" t="str">
        <f>CONCATENATE(calendar[[#This Row],[Month]],"/",calendar[[#This Row],[Year]])</f>
        <v>7/2024</v>
      </c>
      <c r="G2751">
        <f>WEEKDAY(calendar[[#This Row],[Date]],1)</f>
        <v>6</v>
      </c>
      <c r="H2751" t="str">
        <f>TEXT(calendar[[#This Row],[WeekDay]],"dddd")</f>
        <v>Friday</v>
      </c>
      <c r="I2751">
        <f>IF((INT(calendar[[#This Row],[Count]]/7)-calendar[[#This Row],[Count]]/7)&lt;0,I2750,I2750+1)</f>
        <v>393</v>
      </c>
      <c r="J2751">
        <f t="shared" si="214"/>
        <v>2749</v>
      </c>
      <c r="K2751">
        <f>IF(calendar[[#This Row],[Month]]&lt;4,1,IF(calendar[[#This Row],[Month]]&lt;7,2,IF(calendar[[#This Row],[Month]]&lt;10,3,4)))</f>
        <v>3</v>
      </c>
      <c r="L2751">
        <f>IFERROR(IF(VLOOKUP(calendar[[#This Row],[Date]],BH!A:A,1,)&lt;&gt;"",1,0),0)</f>
        <v>0</v>
      </c>
      <c r="M2751">
        <f>IFERROR(IF(VLOOKUP(calendar[[#This Row],[Date]],BH!C:C,1,)&lt;&gt;"",1,0),0)</f>
        <v>0</v>
      </c>
      <c r="N2751">
        <f>IFERROR(IF(VLOOKUP(calendar[[#This Row],[Date]],BH!E:E,1,)&lt;&gt;"",1,0),0)</f>
        <v>0</v>
      </c>
      <c r="O2751">
        <f>IFERROR(IF(VLOOKUP(calendar[[#This Row],[Date]],BH!G:G,1,)&lt;&gt;"",1,0),0)</f>
        <v>0</v>
      </c>
      <c r="P2751">
        <f>IF(OR(calendar[[#This Row],[UK_BH]]=1,calendar[[#This Row],[WeekDay]]=1, calendar[[#This Row],[WeekDay]]=7),P2750,P2750+1)</f>
        <v>1965</v>
      </c>
      <c r="Q2751">
        <f>IF(OR(calendar[[#This Row],[FR_BH]]=1,calendar[[#This Row],[WeekDay]]=1, calendar[[#This Row],[WeekDay]]=7),P2750,P2750+1)</f>
        <v>1965</v>
      </c>
      <c r="R2751">
        <f>IF(OR(calendar[[#This Row],[SP_BH]]=1,calendar[[#This Row],[WeekDay]]=1, calendar[[#This Row],[WeekDay]]=7),P2750,P2750+1)</f>
        <v>1965</v>
      </c>
      <c r="S2751">
        <f>IF(OR(calendar[[#This Row],[PT_BH]]=1,calendar[[#This Row],[WeekDay]]=1, calendar[[#This Row],[WeekDay]]=7),P2750,P2750+1)</f>
        <v>1965</v>
      </c>
    </row>
    <row r="2752" spans="1:19" x14ac:dyDescent="0.25">
      <c r="A2752" s="2">
        <v>45486</v>
      </c>
      <c r="B2752" s="1">
        <f t="shared" si="213"/>
        <v>28</v>
      </c>
      <c r="C2752">
        <f t="shared" si="215"/>
        <v>7</v>
      </c>
      <c r="D2752" t="str">
        <f t="shared" si="216"/>
        <v>July</v>
      </c>
      <c r="E2752">
        <f t="shared" si="217"/>
        <v>2024</v>
      </c>
      <c r="F2752" t="str">
        <f>CONCATENATE(calendar[[#This Row],[Month]],"/",calendar[[#This Row],[Year]])</f>
        <v>7/2024</v>
      </c>
      <c r="G2752">
        <f>WEEKDAY(calendar[[#This Row],[Date]],1)</f>
        <v>7</v>
      </c>
      <c r="H2752" t="str">
        <f>TEXT(calendar[[#This Row],[WeekDay]],"dddd")</f>
        <v>Saturday</v>
      </c>
      <c r="I2752">
        <f>IF((INT(calendar[[#This Row],[Count]]/7)-calendar[[#This Row],[Count]]/7)&lt;0,I2751,I2751+1)</f>
        <v>393</v>
      </c>
      <c r="J2752">
        <f t="shared" si="214"/>
        <v>2750</v>
      </c>
      <c r="K2752">
        <f>IF(calendar[[#This Row],[Month]]&lt;4,1,IF(calendar[[#This Row],[Month]]&lt;7,2,IF(calendar[[#This Row],[Month]]&lt;10,3,4)))</f>
        <v>3</v>
      </c>
      <c r="L2752">
        <f>IFERROR(IF(VLOOKUP(calendar[[#This Row],[Date]],BH!A:A,1,)&lt;&gt;"",1,0),0)</f>
        <v>0</v>
      </c>
      <c r="M2752">
        <f>IFERROR(IF(VLOOKUP(calendar[[#This Row],[Date]],BH!C:C,1,)&lt;&gt;"",1,0),0)</f>
        <v>0</v>
      </c>
      <c r="N2752">
        <f>IFERROR(IF(VLOOKUP(calendar[[#This Row],[Date]],BH!E:E,1,)&lt;&gt;"",1,0),0)</f>
        <v>0</v>
      </c>
      <c r="O2752">
        <f>IFERROR(IF(VLOOKUP(calendar[[#This Row],[Date]],BH!G:G,1,)&lt;&gt;"",1,0),0)</f>
        <v>0</v>
      </c>
      <c r="P2752">
        <f>IF(OR(calendar[[#This Row],[UK_BH]]=1,calendar[[#This Row],[WeekDay]]=1, calendar[[#This Row],[WeekDay]]=7),P2751,P2751+1)</f>
        <v>1965</v>
      </c>
      <c r="Q2752">
        <f>IF(OR(calendar[[#This Row],[FR_BH]]=1,calendar[[#This Row],[WeekDay]]=1, calendar[[#This Row],[WeekDay]]=7),P2751,P2751+1)</f>
        <v>1965</v>
      </c>
      <c r="R2752">
        <f>IF(OR(calendar[[#This Row],[SP_BH]]=1,calendar[[#This Row],[WeekDay]]=1, calendar[[#This Row],[WeekDay]]=7),P2751,P2751+1)</f>
        <v>1965</v>
      </c>
      <c r="S2752">
        <f>IF(OR(calendar[[#This Row],[PT_BH]]=1,calendar[[#This Row],[WeekDay]]=1, calendar[[#This Row],[WeekDay]]=7),P2751,P2751+1)</f>
        <v>1965</v>
      </c>
    </row>
    <row r="2753" spans="1:19" x14ac:dyDescent="0.25">
      <c r="A2753" s="2">
        <v>45487</v>
      </c>
      <c r="B2753" s="1">
        <f t="shared" si="213"/>
        <v>29</v>
      </c>
      <c r="C2753">
        <f t="shared" si="215"/>
        <v>7</v>
      </c>
      <c r="D2753" t="str">
        <f t="shared" si="216"/>
        <v>July</v>
      </c>
      <c r="E2753">
        <f t="shared" si="217"/>
        <v>2024</v>
      </c>
      <c r="F2753" t="str">
        <f>CONCATENATE(calendar[[#This Row],[Month]],"/",calendar[[#This Row],[Year]])</f>
        <v>7/2024</v>
      </c>
      <c r="G2753">
        <f>WEEKDAY(calendar[[#This Row],[Date]],1)</f>
        <v>1</v>
      </c>
      <c r="H2753" t="str">
        <f>TEXT(calendar[[#This Row],[WeekDay]],"dddd")</f>
        <v>Sunday</v>
      </c>
      <c r="I2753">
        <f>IF((INT(calendar[[#This Row],[Count]]/7)-calendar[[#This Row],[Count]]/7)&lt;0,I2752,I2752+1)</f>
        <v>394</v>
      </c>
      <c r="J2753">
        <f t="shared" si="214"/>
        <v>2751</v>
      </c>
      <c r="K2753">
        <f>IF(calendar[[#This Row],[Month]]&lt;4,1,IF(calendar[[#This Row],[Month]]&lt;7,2,IF(calendar[[#This Row],[Month]]&lt;10,3,4)))</f>
        <v>3</v>
      </c>
      <c r="L2753">
        <f>IFERROR(IF(VLOOKUP(calendar[[#This Row],[Date]],BH!A:A,1,)&lt;&gt;"",1,0),0)</f>
        <v>0</v>
      </c>
      <c r="M2753">
        <f>IFERROR(IF(VLOOKUP(calendar[[#This Row],[Date]],BH!C:C,1,)&lt;&gt;"",1,0),0)</f>
        <v>0</v>
      </c>
      <c r="N2753">
        <f>IFERROR(IF(VLOOKUP(calendar[[#This Row],[Date]],BH!E:E,1,)&lt;&gt;"",1,0),0)</f>
        <v>0</v>
      </c>
      <c r="O2753">
        <f>IFERROR(IF(VLOOKUP(calendar[[#This Row],[Date]],BH!G:G,1,)&lt;&gt;"",1,0),0)</f>
        <v>0</v>
      </c>
      <c r="P2753">
        <f>IF(OR(calendar[[#This Row],[UK_BH]]=1,calendar[[#This Row],[WeekDay]]=1, calendar[[#This Row],[WeekDay]]=7),P2752,P2752+1)</f>
        <v>1965</v>
      </c>
      <c r="Q2753">
        <f>IF(OR(calendar[[#This Row],[FR_BH]]=1,calendar[[#This Row],[WeekDay]]=1, calendar[[#This Row],[WeekDay]]=7),P2752,P2752+1)</f>
        <v>1965</v>
      </c>
      <c r="R2753">
        <f>IF(OR(calendar[[#This Row],[SP_BH]]=1,calendar[[#This Row],[WeekDay]]=1, calendar[[#This Row],[WeekDay]]=7),P2752,P2752+1)</f>
        <v>1965</v>
      </c>
      <c r="S2753">
        <f>IF(OR(calendar[[#This Row],[PT_BH]]=1,calendar[[#This Row],[WeekDay]]=1, calendar[[#This Row],[WeekDay]]=7),P2752,P2752+1)</f>
        <v>1965</v>
      </c>
    </row>
    <row r="2754" spans="1:19" x14ac:dyDescent="0.25">
      <c r="A2754" s="2">
        <v>45488</v>
      </c>
      <c r="B2754" s="1">
        <f t="shared" ref="B2754:B2817" si="218">WEEKNUM(A2754)</f>
        <v>29</v>
      </c>
      <c r="C2754">
        <f t="shared" si="215"/>
        <v>7</v>
      </c>
      <c r="D2754" t="str">
        <f t="shared" si="216"/>
        <v>July</v>
      </c>
      <c r="E2754">
        <f t="shared" si="217"/>
        <v>2024</v>
      </c>
      <c r="F2754" t="str">
        <f>CONCATENATE(calendar[[#This Row],[Month]],"/",calendar[[#This Row],[Year]])</f>
        <v>7/2024</v>
      </c>
      <c r="G2754">
        <f>WEEKDAY(calendar[[#This Row],[Date]],1)</f>
        <v>2</v>
      </c>
      <c r="H2754" t="str">
        <f>TEXT(calendar[[#This Row],[WeekDay]],"dddd")</f>
        <v>Monday</v>
      </c>
      <c r="I2754">
        <f>IF((INT(calendar[[#This Row],[Count]]/7)-calendar[[#This Row],[Count]]/7)&lt;0,I2753,I2753+1)</f>
        <v>394</v>
      </c>
      <c r="J2754">
        <f t="shared" si="214"/>
        <v>2752</v>
      </c>
      <c r="K2754">
        <f>IF(calendar[[#This Row],[Month]]&lt;4,1,IF(calendar[[#This Row],[Month]]&lt;7,2,IF(calendar[[#This Row],[Month]]&lt;10,3,4)))</f>
        <v>3</v>
      </c>
      <c r="L2754">
        <f>IFERROR(IF(VLOOKUP(calendar[[#This Row],[Date]],BH!A:A,1,)&lt;&gt;"",1,0),0)</f>
        <v>0</v>
      </c>
      <c r="M2754">
        <f>IFERROR(IF(VLOOKUP(calendar[[#This Row],[Date]],BH!C:C,1,)&lt;&gt;"",1,0),0)</f>
        <v>0</v>
      </c>
      <c r="N2754">
        <f>IFERROR(IF(VLOOKUP(calendar[[#This Row],[Date]],BH!E:E,1,)&lt;&gt;"",1,0),0)</f>
        <v>0</v>
      </c>
      <c r="O2754">
        <f>IFERROR(IF(VLOOKUP(calendar[[#This Row],[Date]],BH!G:G,1,)&lt;&gt;"",1,0),0)</f>
        <v>0</v>
      </c>
      <c r="P2754">
        <f>IF(OR(calendar[[#This Row],[UK_BH]]=1,calendar[[#This Row],[WeekDay]]=1, calendar[[#This Row],[WeekDay]]=7),P2753,P2753+1)</f>
        <v>1966</v>
      </c>
      <c r="Q2754">
        <f>IF(OR(calendar[[#This Row],[FR_BH]]=1,calendar[[#This Row],[WeekDay]]=1, calendar[[#This Row],[WeekDay]]=7),P2753,P2753+1)</f>
        <v>1966</v>
      </c>
      <c r="R2754">
        <f>IF(OR(calendar[[#This Row],[SP_BH]]=1,calendar[[#This Row],[WeekDay]]=1, calendar[[#This Row],[WeekDay]]=7),P2753,P2753+1)</f>
        <v>1966</v>
      </c>
      <c r="S2754">
        <f>IF(OR(calendar[[#This Row],[PT_BH]]=1,calendar[[#This Row],[WeekDay]]=1, calendar[[#This Row],[WeekDay]]=7),P2753,P2753+1)</f>
        <v>1966</v>
      </c>
    </row>
    <row r="2755" spans="1:19" x14ac:dyDescent="0.25">
      <c r="A2755" s="2">
        <v>45489</v>
      </c>
      <c r="B2755" s="1">
        <f t="shared" si="218"/>
        <v>29</v>
      </c>
      <c r="C2755">
        <f t="shared" si="215"/>
        <v>7</v>
      </c>
      <c r="D2755" t="str">
        <f t="shared" si="216"/>
        <v>July</v>
      </c>
      <c r="E2755">
        <f t="shared" si="217"/>
        <v>2024</v>
      </c>
      <c r="F2755" t="str">
        <f>CONCATENATE(calendar[[#This Row],[Month]],"/",calendar[[#This Row],[Year]])</f>
        <v>7/2024</v>
      </c>
      <c r="G2755">
        <f>WEEKDAY(calendar[[#This Row],[Date]],1)</f>
        <v>3</v>
      </c>
      <c r="H2755" t="str">
        <f>TEXT(calendar[[#This Row],[WeekDay]],"dddd")</f>
        <v>Tuesday</v>
      </c>
      <c r="I2755">
        <f>IF((INT(calendar[[#This Row],[Count]]/7)-calendar[[#This Row],[Count]]/7)&lt;0,I2754,I2754+1)</f>
        <v>394</v>
      </c>
      <c r="J2755">
        <f t="shared" ref="J2755:J2818" si="219">J2754+1</f>
        <v>2753</v>
      </c>
      <c r="K2755">
        <f>IF(calendar[[#This Row],[Month]]&lt;4,1,IF(calendar[[#This Row],[Month]]&lt;7,2,IF(calendar[[#This Row],[Month]]&lt;10,3,4)))</f>
        <v>3</v>
      </c>
      <c r="L2755">
        <f>IFERROR(IF(VLOOKUP(calendar[[#This Row],[Date]],BH!A:A,1,)&lt;&gt;"",1,0),0)</f>
        <v>0</v>
      </c>
      <c r="M2755">
        <f>IFERROR(IF(VLOOKUP(calendar[[#This Row],[Date]],BH!C:C,1,)&lt;&gt;"",1,0),0)</f>
        <v>0</v>
      </c>
      <c r="N2755">
        <f>IFERROR(IF(VLOOKUP(calendar[[#This Row],[Date]],BH!E:E,1,)&lt;&gt;"",1,0),0)</f>
        <v>0</v>
      </c>
      <c r="O2755">
        <f>IFERROR(IF(VLOOKUP(calendar[[#This Row],[Date]],BH!G:G,1,)&lt;&gt;"",1,0),0)</f>
        <v>0</v>
      </c>
      <c r="P2755">
        <f>IF(OR(calendar[[#This Row],[UK_BH]]=1,calendar[[#This Row],[WeekDay]]=1, calendar[[#This Row],[WeekDay]]=7),P2754,P2754+1)</f>
        <v>1967</v>
      </c>
      <c r="Q2755">
        <f>IF(OR(calendar[[#This Row],[FR_BH]]=1,calendar[[#This Row],[WeekDay]]=1, calendar[[#This Row],[WeekDay]]=7),P2754,P2754+1)</f>
        <v>1967</v>
      </c>
      <c r="R2755">
        <f>IF(OR(calendar[[#This Row],[SP_BH]]=1,calendar[[#This Row],[WeekDay]]=1, calendar[[#This Row],[WeekDay]]=7),P2754,P2754+1)</f>
        <v>1967</v>
      </c>
      <c r="S2755">
        <f>IF(OR(calendar[[#This Row],[PT_BH]]=1,calendar[[#This Row],[WeekDay]]=1, calendar[[#This Row],[WeekDay]]=7),P2754,P2754+1)</f>
        <v>1967</v>
      </c>
    </row>
    <row r="2756" spans="1:19" x14ac:dyDescent="0.25">
      <c r="A2756" s="2">
        <v>45490</v>
      </c>
      <c r="B2756" s="1">
        <f t="shared" si="218"/>
        <v>29</v>
      </c>
      <c r="C2756">
        <f t="shared" si="215"/>
        <v>7</v>
      </c>
      <c r="D2756" t="str">
        <f t="shared" si="216"/>
        <v>July</v>
      </c>
      <c r="E2756">
        <f t="shared" si="217"/>
        <v>2024</v>
      </c>
      <c r="F2756" t="str">
        <f>CONCATENATE(calendar[[#This Row],[Month]],"/",calendar[[#This Row],[Year]])</f>
        <v>7/2024</v>
      </c>
      <c r="G2756">
        <f>WEEKDAY(calendar[[#This Row],[Date]],1)</f>
        <v>4</v>
      </c>
      <c r="H2756" t="str">
        <f>TEXT(calendar[[#This Row],[WeekDay]],"dddd")</f>
        <v>Wednesday</v>
      </c>
      <c r="I2756">
        <f>IF((INT(calendar[[#This Row],[Count]]/7)-calendar[[#This Row],[Count]]/7)&lt;0,I2755,I2755+1)</f>
        <v>394</v>
      </c>
      <c r="J2756">
        <f t="shared" si="219"/>
        <v>2754</v>
      </c>
      <c r="K2756">
        <f>IF(calendar[[#This Row],[Month]]&lt;4,1,IF(calendar[[#This Row],[Month]]&lt;7,2,IF(calendar[[#This Row],[Month]]&lt;10,3,4)))</f>
        <v>3</v>
      </c>
      <c r="L2756">
        <f>IFERROR(IF(VLOOKUP(calendar[[#This Row],[Date]],BH!A:A,1,)&lt;&gt;"",1,0),0)</f>
        <v>0</v>
      </c>
      <c r="M2756">
        <f>IFERROR(IF(VLOOKUP(calendar[[#This Row],[Date]],BH!C:C,1,)&lt;&gt;"",1,0),0)</f>
        <v>0</v>
      </c>
      <c r="N2756">
        <f>IFERROR(IF(VLOOKUP(calendar[[#This Row],[Date]],BH!E:E,1,)&lt;&gt;"",1,0),0)</f>
        <v>0</v>
      </c>
      <c r="O2756">
        <f>IFERROR(IF(VLOOKUP(calendar[[#This Row],[Date]],BH!G:G,1,)&lt;&gt;"",1,0),0)</f>
        <v>0</v>
      </c>
      <c r="P2756">
        <f>IF(OR(calendar[[#This Row],[UK_BH]]=1,calendar[[#This Row],[WeekDay]]=1, calendar[[#This Row],[WeekDay]]=7),P2755,P2755+1)</f>
        <v>1968</v>
      </c>
      <c r="Q2756">
        <f>IF(OR(calendar[[#This Row],[FR_BH]]=1,calendar[[#This Row],[WeekDay]]=1, calendar[[#This Row],[WeekDay]]=7),P2755,P2755+1)</f>
        <v>1968</v>
      </c>
      <c r="R2756">
        <f>IF(OR(calendar[[#This Row],[SP_BH]]=1,calendar[[#This Row],[WeekDay]]=1, calendar[[#This Row],[WeekDay]]=7),P2755,P2755+1)</f>
        <v>1968</v>
      </c>
      <c r="S2756">
        <f>IF(OR(calendar[[#This Row],[PT_BH]]=1,calendar[[#This Row],[WeekDay]]=1, calendar[[#This Row],[WeekDay]]=7),P2755,P2755+1)</f>
        <v>1968</v>
      </c>
    </row>
    <row r="2757" spans="1:19" x14ac:dyDescent="0.25">
      <c r="A2757" s="2">
        <v>45491</v>
      </c>
      <c r="B2757" s="1">
        <f t="shared" si="218"/>
        <v>29</v>
      </c>
      <c r="C2757">
        <f t="shared" si="215"/>
        <v>7</v>
      </c>
      <c r="D2757" t="str">
        <f t="shared" si="216"/>
        <v>July</v>
      </c>
      <c r="E2757">
        <f t="shared" si="217"/>
        <v>2024</v>
      </c>
      <c r="F2757" t="str">
        <f>CONCATENATE(calendar[[#This Row],[Month]],"/",calendar[[#This Row],[Year]])</f>
        <v>7/2024</v>
      </c>
      <c r="G2757">
        <f>WEEKDAY(calendar[[#This Row],[Date]],1)</f>
        <v>5</v>
      </c>
      <c r="H2757" t="str">
        <f>TEXT(calendar[[#This Row],[WeekDay]],"dddd")</f>
        <v>Thursday</v>
      </c>
      <c r="I2757">
        <f>IF((INT(calendar[[#This Row],[Count]]/7)-calendar[[#This Row],[Count]]/7)&lt;0,I2756,I2756+1)</f>
        <v>394</v>
      </c>
      <c r="J2757">
        <f t="shared" si="219"/>
        <v>2755</v>
      </c>
      <c r="K2757">
        <f>IF(calendar[[#This Row],[Month]]&lt;4,1,IF(calendar[[#This Row],[Month]]&lt;7,2,IF(calendar[[#This Row],[Month]]&lt;10,3,4)))</f>
        <v>3</v>
      </c>
      <c r="L2757">
        <f>IFERROR(IF(VLOOKUP(calendar[[#This Row],[Date]],BH!A:A,1,)&lt;&gt;"",1,0),0)</f>
        <v>0</v>
      </c>
      <c r="M2757">
        <f>IFERROR(IF(VLOOKUP(calendar[[#This Row],[Date]],BH!C:C,1,)&lt;&gt;"",1,0),0)</f>
        <v>0</v>
      </c>
      <c r="N2757">
        <f>IFERROR(IF(VLOOKUP(calendar[[#This Row],[Date]],BH!E:E,1,)&lt;&gt;"",1,0),0)</f>
        <v>0</v>
      </c>
      <c r="O2757">
        <f>IFERROR(IF(VLOOKUP(calendar[[#This Row],[Date]],BH!G:G,1,)&lt;&gt;"",1,0),0)</f>
        <v>0</v>
      </c>
      <c r="P2757">
        <f>IF(OR(calendar[[#This Row],[UK_BH]]=1,calendar[[#This Row],[WeekDay]]=1, calendar[[#This Row],[WeekDay]]=7),P2756,P2756+1)</f>
        <v>1969</v>
      </c>
      <c r="Q2757">
        <f>IF(OR(calendar[[#This Row],[FR_BH]]=1,calendar[[#This Row],[WeekDay]]=1, calendar[[#This Row],[WeekDay]]=7),P2756,P2756+1)</f>
        <v>1969</v>
      </c>
      <c r="R2757">
        <f>IF(OR(calendar[[#This Row],[SP_BH]]=1,calendar[[#This Row],[WeekDay]]=1, calendar[[#This Row],[WeekDay]]=7),P2756,P2756+1)</f>
        <v>1969</v>
      </c>
      <c r="S2757">
        <f>IF(OR(calendar[[#This Row],[PT_BH]]=1,calendar[[#This Row],[WeekDay]]=1, calendar[[#This Row],[WeekDay]]=7),P2756,P2756+1)</f>
        <v>1969</v>
      </c>
    </row>
    <row r="2758" spans="1:19" x14ac:dyDescent="0.25">
      <c r="A2758" s="2">
        <v>45492</v>
      </c>
      <c r="B2758" s="1">
        <f t="shared" si="218"/>
        <v>29</v>
      </c>
      <c r="C2758">
        <f t="shared" si="215"/>
        <v>7</v>
      </c>
      <c r="D2758" t="str">
        <f t="shared" si="216"/>
        <v>July</v>
      </c>
      <c r="E2758">
        <f t="shared" si="217"/>
        <v>2024</v>
      </c>
      <c r="F2758" t="str">
        <f>CONCATENATE(calendar[[#This Row],[Month]],"/",calendar[[#This Row],[Year]])</f>
        <v>7/2024</v>
      </c>
      <c r="G2758">
        <f>WEEKDAY(calendar[[#This Row],[Date]],1)</f>
        <v>6</v>
      </c>
      <c r="H2758" t="str">
        <f>TEXT(calendar[[#This Row],[WeekDay]],"dddd")</f>
        <v>Friday</v>
      </c>
      <c r="I2758">
        <f>IF((INT(calendar[[#This Row],[Count]]/7)-calendar[[#This Row],[Count]]/7)&lt;0,I2757,I2757+1)</f>
        <v>394</v>
      </c>
      <c r="J2758">
        <f t="shared" si="219"/>
        <v>2756</v>
      </c>
      <c r="K2758">
        <f>IF(calendar[[#This Row],[Month]]&lt;4,1,IF(calendar[[#This Row],[Month]]&lt;7,2,IF(calendar[[#This Row],[Month]]&lt;10,3,4)))</f>
        <v>3</v>
      </c>
      <c r="L2758">
        <f>IFERROR(IF(VLOOKUP(calendar[[#This Row],[Date]],BH!A:A,1,)&lt;&gt;"",1,0),0)</f>
        <v>0</v>
      </c>
      <c r="M2758">
        <f>IFERROR(IF(VLOOKUP(calendar[[#This Row],[Date]],BH!C:C,1,)&lt;&gt;"",1,0),0)</f>
        <v>0</v>
      </c>
      <c r="N2758">
        <f>IFERROR(IF(VLOOKUP(calendar[[#This Row],[Date]],BH!E:E,1,)&lt;&gt;"",1,0),0)</f>
        <v>0</v>
      </c>
      <c r="O2758">
        <f>IFERROR(IF(VLOOKUP(calendar[[#This Row],[Date]],BH!G:G,1,)&lt;&gt;"",1,0),0)</f>
        <v>0</v>
      </c>
      <c r="P2758">
        <f>IF(OR(calendar[[#This Row],[UK_BH]]=1,calendar[[#This Row],[WeekDay]]=1, calendar[[#This Row],[WeekDay]]=7),P2757,P2757+1)</f>
        <v>1970</v>
      </c>
      <c r="Q2758">
        <f>IF(OR(calendar[[#This Row],[FR_BH]]=1,calendar[[#This Row],[WeekDay]]=1, calendar[[#This Row],[WeekDay]]=7),P2757,P2757+1)</f>
        <v>1970</v>
      </c>
      <c r="R2758">
        <f>IF(OR(calendar[[#This Row],[SP_BH]]=1,calendar[[#This Row],[WeekDay]]=1, calendar[[#This Row],[WeekDay]]=7),P2757,P2757+1)</f>
        <v>1970</v>
      </c>
      <c r="S2758">
        <f>IF(OR(calendar[[#This Row],[PT_BH]]=1,calendar[[#This Row],[WeekDay]]=1, calendar[[#This Row],[WeekDay]]=7),P2757,P2757+1)</f>
        <v>1970</v>
      </c>
    </row>
    <row r="2759" spans="1:19" x14ac:dyDescent="0.25">
      <c r="A2759" s="2">
        <v>45493</v>
      </c>
      <c r="B2759" s="1">
        <f t="shared" si="218"/>
        <v>29</v>
      </c>
      <c r="C2759">
        <f t="shared" si="215"/>
        <v>7</v>
      </c>
      <c r="D2759" t="str">
        <f t="shared" si="216"/>
        <v>July</v>
      </c>
      <c r="E2759">
        <f t="shared" si="217"/>
        <v>2024</v>
      </c>
      <c r="F2759" t="str">
        <f>CONCATENATE(calendar[[#This Row],[Month]],"/",calendar[[#This Row],[Year]])</f>
        <v>7/2024</v>
      </c>
      <c r="G2759">
        <f>WEEKDAY(calendar[[#This Row],[Date]],1)</f>
        <v>7</v>
      </c>
      <c r="H2759" t="str">
        <f>TEXT(calendar[[#This Row],[WeekDay]],"dddd")</f>
        <v>Saturday</v>
      </c>
      <c r="I2759">
        <f>IF((INT(calendar[[#This Row],[Count]]/7)-calendar[[#This Row],[Count]]/7)&lt;0,I2758,I2758+1)</f>
        <v>394</v>
      </c>
      <c r="J2759">
        <f t="shared" si="219"/>
        <v>2757</v>
      </c>
      <c r="K2759">
        <f>IF(calendar[[#This Row],[Month]]&lt;4,1,IF(calendar[[#This Row],[Month]]&lt;7,2,IF(calendar[[#This Row],[Month]]&lt;10,3,4)))</f>
        <v>3</v>
      </c>
      <c r="L2759">
        <f>IFERROR(IF(VLOOKUP(calendar[[#This Row],[Date]],BH!A:A,1,)&lt;&gt;"",1,0),0)</f>
        <v>0</v>
      </c>
      <c r="M2759">
        <f>IFERROR(IF(VLOOKUP(calendar[[#This Row],[Date]],BH!C:C,1,)&lt;&gt;"",1,0),0)</f>
        <v>0</v>
      </c>
      <c r="N2759">
        <f>IFERROR(IF(VLOOKUP(calendar[[#This Row],[Date]],BH!E:E,1,)&lt;&gt;"",1,0),0)</f>
        <v>0</v>
      </c>
      <c r="O2759">
        <f>IFERROR(IF(VLOOKUP(calendar[[#This Row],[Date]],BH!G:G,1,)&lt;&gt;"",1,0),0)</f>
        <v>0</v>
      </c>
      <c r="P2759">
        <f>IF(OR(calendar[[#This Row],[UK_BH]]=1,calendar[[#This Row],[WeekDay]]=1, calendar[[#This Row],[WeekDay]]=7),P2758,P2758+1)</f>
        <v>1970</v>
      </c>
      <c r="Q2759">
        <f>IF(OR(calendar[[#This Row],[FR_BH]]=1,calendar[[#This Row],[WeekDay]]=1, calendar[[#This Row],[WeekDay]]=7),P2758,P2758+1)</f>
        <v>1970</v>
      </c>
      <c r="R2759">
        <f>IF(OR(calendar[[#This Row],[SP_BH]]=1,calendar[[#This Row],[WeekDay]]=1, calendar[[#This Row],[WeekDay]]=7),P2758,P2758+1)</f>
        <v>1970</v>
      </c>
      <c r="S2759">
        <f>IF(OR(calendar[[#This Row],[PT_BH]]=1,calendar[[#This Row],[WeekDay]]=1, calendar[[#This Row],[WeekDay]]=7),P2758,P2758+1)</f>
        <v>1970</v>
      </c>
    </row>
    <row r="2760" spans="1:19" x14ac:dyDescent="0.25">
      <c r="A2760" s="2">
        <v>45494</v>
      </c>
      <c r="B2760" s="1">
        <f t="shared" si="218"/>
        <v>30</v>
      </c>
      <c r="C2760">
        <f t="shared" si="215"/>
        <v>7</v>
      </c>
      <c r="D2760" t="str">
        <f t="shared" si="216"/>
        <v>July</v>
      </c>
      <c r="E2760">
        <f t="shared" si="217"/>
        <v>2024</v>
      </c>
      <c r="F2760" t="str">
        <f>CONCATENATE(calendar[[#This Row],[Month]],"/",calendar[[#This Row],[Year]])</f>
        <v>7/2024</v>
      </c>
      <c r="G2760">
        <f>WEEKDAY(calendar[[#This Row],[Date]],1)</f>
        <v>1</v>
      </c>
      <c r="H2760" t="str">
        <f>TEXT(calendar[[#This Row],[WeekDay]],"dddd")</f>
        <v>Sunday</v>
      </c>
      <c r="I2760">
        <f>IF((INT(calendar[[#This Row],[Count]]/7)-calendar[[#This Row],[Count]]/7)&lt;0,I2759,I2759+1)</f>
        <v>395</v>
      </c>
      <c r="J2760">
        <f t="shared" si="219"/>
        <v>2758</v>
      </c>
      <c r="K2760">
        <f>IF(calendar[[#This Row],[Month]]&lt;4,1,IF(calendar[[#This Row],[Month]]&lt;7,2,IF(calendar[[#This Row],[Month]]&lt;10,3,4)))</f>
        <v>3</v>
      </c>
      <c r="L2760">
        <f>IFERROR(IF(VLOOKUP(calendar[[#This Row],[Date]],BH!A:A,1,)&lt;&gt;"",1,0),0)</f>
        <v>0</v>
      </c>
      <c r="M2760">
        <f>IFERROR(IF(VLOOKUP(calendar[[#This Row],[Date]],BH!C:C,1,)&lt;&gt;"",1,0),0)</f>
        <v>0</v>
      </c>
      <c r="N2760">
        <f>IFERROR(IF(VLOOKUP(calendar[[#This Row],[Date]],BH!E:E,1,)&lt;&gt;"",1,0),0)</f>
        <v>0</v>
      </c>
      <c r="O2760">
        <f>IFERROR(IF(VLOOKUP(calendar[[#This Row],[Date]],BH!G:G,1,)&lt;&gt;"",1,0),0)</f>
        <v>0</v>
      </c>
      <c r="P2760">
        <f>IF(OR(calendar[[#This Row],[UK_BH]]=1,calendar[[#This Row],[WeekDay]]=1, calendar[[#This Row],[WeekDay]]=7),P2759,P2759+1)</f>
        <v>1970</v>
      </c>
      <c r="Q2760">
        <f>IF(OR(calendar[[#This Row],[FR_BH]]=1,calendar[[#This Row],[WeekDay]]=1, calendar[[#This Row],[WeekDay]]=7),P2759,P2759+1)</f>
        <v>1970</v>
      </c>
      <c r="R2760">
        <f>IF(OR(calendar[[#This Row],[SP_BH]]=1,calendar[[#This Row],[WeekDay]]=1, calendar[[#This Row],[WeekDay]]=7),P2759,P2759+1)</f>
        <v>1970</v>
      </c>
      <c r="S2760">
        <f>IF(OR(calendar[[#This Row],[PT_BH]]=1,calendar[[#This Row],[WeekDay]]=1, calendar[[#This Row],[WeekDay]]=7),P2759,P2759+1)</f>
        <v>1970</v>
      </c>
    </row>
    <row r="2761" spans="1:19" x14ac:dyDescent="0.25">
      <c r="A2761" s="2">
        <v>45495</v>
      </c>
      <c r="B2761" s="1">
        <f t="shared" si="218"/>
        <v>30</v>
      </c>
      <c r="C2761">
        <f t="shared" si="215"/>
        <v>7</v>
      </c>
      <c r="D2761" t="str">
        <f t="shared" si="216"/>
        <v>July</v>
      </c>
      <c r="E2761">
        <f t="shared" si="217"/>
        <v>2024</v>
      </c>
      <c r="F2761" t="str">
        <f>CONCATENATE(calendar[[#This Row],[Month]],"/",calendar[[#This Row],[Year]])</f>
        <v>7/2024</v>
      </c>
      <c r="G2761">
        <f>WEEKDAY(calendar[[#This Row],[Date]],1)</f>
        <v>2</v>
      </c>
      <c r="H2761" t="str">
        <f>TEXT(calendar[[#This Row],[WeekDay]],"dddd")</f>
        <v>Monday</v>
      </c>
      <c r="I2761">
        <f>IF((INT(calendar[[#This Row],[Count]]/7)-calendar[[#This Row],[Count]]/7)&lt;0,I2760,I2760+1)</f>
        <v>395</v>
      </c>
      <c r="J2761">
        <f t="shared" si="219"/>
        <v>2759</v>
      </c>
      <c r="K2761">
        <f>IF(calendar[[#This Row],[Month]]&lt;4,1,IF(calendar[[#This Row],[Month]]&lt;7,2,IF(calendar[[#This Row],[Month]]&lt;10,3,4)))</f>
        <v>3</v>
      </c>
      <c r="L2761">
        <f>IFERROR(IF(VLOOKUP(calendar[[#This Row],[Date]],BH!A:A,1,)&lt;&gt;"",1,0),0)</f>
        <v>0</v>
      </c>
      <c r="M2761">
        <f>IFERROR(IF(VLOOKUP(calendar[[#This Row],[Date]],BH!C:C,1,)&lt;&gt;"",1,0),0)</f>
        <v>0</v>
      </c>
      <c r="N2761">
        <f>IFERROR(IF(VLOOKUP(calendar[[#This Row],[Date]],BH!E:E,1,)&lt;&gt;"",1,0),0)</f>
        <v>0</v>
      </c>
      <c r="O2761">
        <f>IFERROR(IF(VLOOKUP(calendar[[#This Row],[Date]],BH!G:G,1,)&lt;&gt;"",1,0),0)</f>
        <v>0</v>
      </c>
      <c r="P2761">
        <f>IF(OR(calendar[[#This Row],[UK_BH]]=1,calendar[[#This Row],[WeekDay]]=1, calendar[[#This Row],[WeekDay]]=7),P2760,P2760+1)</f>
        <v>1971</v>
      </c>
      <c r="Q2761">
        <f>IF(OR(calendar[[#This Row],[FR_BH]]=1,calendar[[#This Row],[WeekDay]]=1, calendar[[#This Row],[WeekDay]]=7),P2760,P2760+1)</f>
        <v>1971</v>
      </c>
      <c r="R2761">
        <f>IF(OR(calendar[[#This Row],[SP_BH]]=1,calendar[[#This Row],[WeekDay]]=1, calendar[[#This Row],[WeekDay]]=7),P2760,P2760+1)</f>
        <v>1971</v>
      </c>
      <c r="S2761">
        <f>IF(OR(calendar[[#This Row],[PT_BH]]=1,calendar[[#This Row],[WeekDay]]=1, calendar[[#This Row],[WeekDay]]=7),P2760,P2760+1)</f>
        <v>1971</v>
      </c>
    </row>
    <row r="2762" spans="1:19" x14ac:dyDescent="0.25">
      <c r="A2762" s="2">
        <v>45496</v>
      </c>
      <c r="B2762" s="1">
        <f t="shared" si="218"/>
        <v>30</v>
      </c>
      <c r="C2762">
        <f t="shared" si="215"/>
        <v>7</v>
      </c>
      <c r="D2762" t="str">
        <f t="shared" si="216"/>
        <v>July</v>
      </c>
      <c r="E2762">
        <f t="shared" si="217"/>
        <v>2024</v>
      </c>
      <c r="F2762" t="str">
        <f>CONCATENATE(calendar[[#This Row],[Month]],"/",calendar[[#This Row],[Year]])</f>
        <v>7/2024</v>
      </c>
      <c r="G2762">
        <f>WEEKDAY(calendar[[#This Row],[Date]],1)</f>
        <v>3</v>
      </c>
      <c r="H2762" t="str">
        <f>TEXT(calendar[[#This Row],[WeekDay]],"dddd")</f>
        <v>Tuesday</v>
      </c>
      <c r="I2762">
        <f>IF((INT(calendar[[#This Row],[Count]]/7)-calendar[[#This Row],[Count]]/7)&lt;0,I2761,I2761+1)</f>
        <v>395</v>
      </c>
      <c r="J2762">
        <f t="shared" si="219"/>
        <v>2760</v>
      </c>
      <c r="K2762">
        <f>IF(calendar[[#This Row],[Month]]&lt;4,1,IF(calendar[[#This Row],[Month]]&lt;7,2,IF(calendar[[#This Row],[Month]]&lt;10,3,4)))</f>
        <v>3</v>
      </c>
      <c r="L2762">
        <f>IFERROR(IF(VLOOKUP(calendar[[#This Row],[Date]],BH!A:A,1,)&lt;&gt;"",1,0),0)</f>
        <v>0</v>
      </c>
      <c r="M2762">
        <f>IFERROR(IF(VLOOKUP(calendar[[#This Row],[Date]],BH!C:C,1,)&lt;&gt;"",1,0),0)</f>
        <v>0</v>
      </c>
      <c r="N2762">
        <f>IFERROR(IF(VLOOKUP(calendar[[#This Row],[Date]],BH!E:E,1,)&lt;&gt;"",1,0),0)</f>
        <v>0</v>
      </c>
      <c r="O2762">
        <f>IFERROR(IF(VLOOKUP(calendar[[#This Row],[Date]],BH!G:G,1,)&lt;&gt;"",1,0),0)</f>
        <v>0</v>
      </c>
      <c r="P2762">
        <f>IF(OR(calendar[[#This Row],[UK_BH]]=1,calendar[[#This Row],[WeekDay]]=1, calendar[[#This Row],[WeekDay]]=7),P2761,P2761+1)</f>
        <v>1972</v>
      </c>
      <c r="Q2762">
        <f>IF(OR(calendar[[#This Row],[FR_BH]]=1,calendar[[#This Row],[WeekDay]]=1, calendar[[#This Row],[WeekDay]]=7),P2761,P2761+1)</f>
        <v>1972</v>
      </c>
      <c r="R2762">
        <f>IF(OR(calendar[[#This Row],[SP_BH]]=1,calendar[[#This Row],[WeekDay]]=1, calendar[[#This Row],[WeekDay]]=7),P2761,P2761+1)</f>
        <v>1972</v>
      </c>
      <c r="S2762">
        <f>IF(OR(calendar[[#This Row],[PT_BH]]=1,calendar[[#This Row],[WeekDay]]=1, calendar[[#This Row],[WeekDay]]=7),P2761,P2761+1)</f>
        <v>1972</v>
      </c>
    </row>
    <row r="2763" spans="1:19" x14ac:dyDescent="0.25">
      <c r="A2763" s="2">
        <v>45497</v>
      </c>
      <c r="B2763" s="1">
        <f t="shared" si="218"/>
        <v>30</v>
      </c>
      <c r="C2763">
        <f t="shared" si="215"/>
        <v>7</v>
      </c>
      <c r="D2763" t="str">
        <f t="shared" si="216"/>
        <v>July</v>
      </c>
      <c r="E2763">
        <f t="shared" si="217"/>
        <v>2024</v>
      </c>
      <c r="F2763" t="str">
        <f>CONCATENATE(calendar[[#This Row],[Month]],"/",calendar[[#This Row],[Year]])</f>
        <v>7/2024</v>
      </c>
      <c r="G2763">
        <f>WEEKDAY(calendar[[#This Row],[Date]],1)</f>
        <v>4</v>
      </c>
      <c r="H2763" t="str">
        <f>TEXT(calendar[[#This Row],[WeekDay]],"dddd")</f>
        <v>Wednesday</v>
      </c>
      <c r="I2763">
        <f>IF((INT(calendar[[#This Row],[Count]]/7)-calendar[[#This Row],[Count]]/7)&lt;0,I2762,I2762+1)</f>
        <v>395</v>
      </c>
      <c r="J2763">
        <f t="shared" si="219"/>
        <v>2761</v>
      </c>
      <c r="K2763">
        <f>IF(calendar[[#This Row],[Month]]&lt;4,1,IF(calendar[[#This Row],[Month]]&lt;7,2,IF(calendar[[#This Row],[Month]]&lt;10,3,4)))</f>
        <v>3</v>
      </c>
      <c r="L2763">
        <f>IFERROR(IF(VLOOKUP(calendar[[#This Row],[Date]],BH!A:A,1,)&lt;&gt;"",1,0),0)</f>
        <v>0</v>
      </c>
      <c r="M2763">
        <f>IFERROR(IF(VLOOKUP(calendar[[#This Row],[Date]],BH!C:C,1,)&lt;&gt;"",1,0),0)</f>
        <v>0</v>
      </c>
      <c r="N2763">
        <f>IFERROR(IF(VLOOKUP(calendar[[#This Row],[Date]],BH!E:E,1,)&lt;&gt;"",1,0),0)</f>
        <v>0</v>
      </c>
      <c r="O2763">
        <f>IFERROR(IF(VLOOKUP(calendar[[#This Row],[Date]],BH!G:G,1,)&lt;&gt;"",1,0),0)</f>
        <v>0</v>
      </c>
      <c r="P2763">
        <f>IF(OR(calendar[[#This Row],[UK_BH]]=1,calendar[[#This Row],[WeekDay]]=1, calendar[[#This Row],[WeekDay]]=7),P2762,P2762+1)</f>
        <v>1973</v>
      </c>
      <c r="Q2763">
        <f>IF(OR(calendar[[#This Row],[FR_BH]]=1,calendar[[#This Row],[WeekDay]]=1, calendar[[#This Row],[WeekDay]]=7),P2762,P2762+1)</f>
        <v>1973</v>
      </c>
      <c r="R2763">
        <f>IF(OR(calendar[[#This Row],[SP_BH]]=1,calendar[[#This Row],[WeekDay]]=1, calendar[[#This Row],[WeekDay]]=7),P2762,P2762+1)</f>
        <v>1973</v>
      </c>
      <c r="S2763">
        <f>IF(OR(calendar[[#This Row],[PT_BH]]=1,calendar[[#This Row],[WeekDay]]=1, calendar[[#This Row],[WeekDay]]=7),P2762,P2762+1)</f>
        <v>1973</v>
      </c>
    </row>
    <row r="2764" spans="1:19" x14ac:dyDescent="0.25">
      <c r="A2764" s="2">
        <v>45498</v>
      </c>
      <c r="B2764" s="1">
        <f t="shared" si="218"/>
        <v>30</v>
      </c>
      <c r="C2764">
        <f t="shared" si="215"/>
        <v>7</v>
      </c>
      <c r="D2764" t="str">
        <f t="shared" si="216"/>
        <v>July</v>
      </c>
      <c r="E2764">
        <f t="shared" si="217"/>
        <v>2024</v>
      </c>
      <c r="F2764" t="str">
        <f>CONCATENATE(calendar[[#This Row],[Month]],"/",calendar[[#This Row],[Year]])</f>
        <v>7/2024</v>
      </c>
      <c r="G2764">
        <f>WEEKDAY(calendar[[#This Row],[Date]],1)</f>
        <v>5</v>
      </c>
      <c r="H2764" t="str">
        <f>TEXT(calendar[[#This Row],[WeekDay]],"dddd")</f>
        <v>Thursday</v>
      </c>
      <c r="I2764">
        <f>IF((INT(calendar[[#This Row],[Count]]/7)-calendar[[#This Row],[Count]]/7)&lt;0,I2763,I2763+1)</f>
        <v>395</v>
      </c>
      <c r="J2764">
        <f t="shared" si="219"/>
        <v>2762</v>
      </c>
      <c r="K2764">
        <f>IF(calendar[[#This Row],[Month]]&lt;4,1,IF(calendar[[#This Row],[Month]]&lt;7,2,IF(calendar[[#This Row],[Month]]&lt;10,3,4)))</f>
        <v>3</v>
      </c>
      <c r="L2764">
        <f>IFERROR(IF(VLOOKUP(calendar[[#This Row],[Date]],BH!A:A,1,)&lt;&gt;"",1,0),0)</f>
        <v>0</v>
      </c>
      <c r="M2764">
        <f>IFERROR(IF(VLOOKUP(calendar[[#This Row],[Date]],BH!C:C,1,)&lt;&gt;"",1,0),0)</f>
        <v>0</v>
      </c>
      <c r="N2764">
        <f>IFERROR(IF(VLOOKUP(calendar[[#This Row],[Date]],BH!E:E,1,)&lt;&gt;"",1,0),0)</f>
        <v>0</v>
      </c>
      <c r="O2764">
        <f>IFERROR(IF(VLOOKUP(calendar[[#This Row],[Date]],BH!G:G,1,)&lt;&gt;"",1,0),0)</f>
        <v>0</v>
      </c>
      <c r="P2764">
        <f>IF(OR(calendar[[#This Row],[UK_BH]]=1,calendar[[#This Row],[WeekDay]]=1, calendar[[#This Row],[WeekDay]]=7),P2763,P2763+1)</f>
        <v>1974</v>
      </c>
      <c r="Q2764">
        <f>IF(OR(calendar[[#This Row],[FR_BH]]=1,calendar[[#This Row],[WeekDay]]=1, calendar[[#This Row],[WeekDay]]=7),P2763,P2763+1)</f>
        <v>1974</v>
      </c>
      <c r="R2764">
        <f>IF(OR(calendar[[#This Row],[SP_BH]]=1,calendar[[#This Row],[WeekDay]]=1, calendar[[#This Row],[WeekDay]]=7),P2763,P2763+1)</f>
        <v>1974</v>
      </c>
      <c r="S2764">
        <f>IF(OR(calendar[[#This Row],[PT_BH]]=1,calendar[[#This Row],[WeekDay]]=1, calendar[[#This Row],[WeekDay]]=7),P2763,P2763+1)</f>
        <v>1974</v>
      </c>
    </row>
    <row r="2765" spans="1:19" x14ac:dyDescent="0.25">
      <c r="A2765" s="2">
        <v>45499</v>
      </c>
      <c r="B2765" s="1">
        <f t="shared" si="218"/>
        <v>30</v>
      </c>
      <c r="C2765">
        <f t="shared" si="215"/>
        <v>7</v>
      </c>
      <c r="D2765" t="str">
        <f t="shared" si="216"/>
        <v>July</v>
      </c>
      <c r="E2765">
        <f t="shared" si="217"/>
        <v>2024</v>
      </c>
      <c r="F2765" t="str">
        <f>CONCATENATE(calendar[[#This Row],[Month]],"/",calendar[[#This Row],[Year]])</f>
        <v>7/2024</v>
      </c>
      <c r="G2765">
        <f>WEEKDAY(calendar[[#This Row],[Date]],1)</f>
        <v>6</v>
      </c>
      <c r="H2765" t="str">
        <f>TEXT(calendar[[#This Row],[WeekDay]],"dddd")</f>
        <v>Friday</v>
      </c>
      <c r="I2765">
        <f>IF((INT(calendar[[#This Row],[Count]]/7)-calendar[[#This Row],[Count]]/7)&lt;0,I2764,I2764+1)</f>
        <v>395</v>
      </c>
      <c r="J2765">
        <f t="shared" si="219"/>
        <v>2763</v>
      </c>
      <c r="K2765">
        <f>IF(calendar[[#This Row],[Month]]&lt;4,1,IF(calendar[[#This Row],[Month]]&lt;7,2,IF(calendar[[#This Row],[Month]]&lt;10,3,4)))</f>
        <v>3</v>
      </c>
      <c r="L2765">
        <f>IFERROR(IF(VLOOKUP(calendar[[#This Row],[Date]],BH!A:A,1,)&lt;&gt;"",1,0),0)</f>
        <v>0</v>
      </c>
      <c r="M2765">
        <f>IFERROR(IF(VLOOKUP(calendar[[#This Row],[Date]],BH!C:C,1,)&lt;&gt;"",1,0),0)</f>
        <v>0</v>
      </c>
      <c r="N2765">
        <f>IFERROR(IF(VLOOKUP(calendar[[#This Row],[Date]],BH!E:E,1,)&lt;&gt;"",1,0),0)</f>
        <v>0</v>
      </c>
      <c r="O2765">
        <f>IFERROR(IF(VLOOKUP(calendar[[#This Row],[Date]],BH!G:G,1,)&lt;&gt;"",1,0),0)</f>
        <v>0</v>
      </c>
      <c r="P2765">
        <f>IF(OR(calendar[[#This Row],[UK_BH]]=1,calendar[[#This Row],[WeekDay]]=1, calendar[[#This Row],[WeekDay]]=7),P2764,P2764+1)</f>
        <v>1975</v>
      </c>
      <c r="Q2765">
        <f>IF(OR(calendar[[#This Row],[FR_BH]]=1,calendar[[#This Row],[WeekDay]]=1, calendar[[#This Row],[WeekDay]]=7),P2764,P2764+1)</f>
        <v>1975</v>
      </c>
      <c r="R2765">
        <f>IF(OR(calendar[[#This Row],[SP_BH]]=1,calendar[[#This Row],[WeekDay]]=1, calendar[[#This Row],[WeekDay]]=7),P2764,P2764+1)</f>
        <v>1975</v>
      </c>
      <c r="S2765">
        <f>IF(OR(calendar[[#This Row],[PT_BH]]=1,calendar[[#This Row],[WeekDay]]=1, calendar[[#This Row],[WeekDay]]=7),P2764,P2764+1)</f>
        <v>1975</v>
      </c>
    </row>
    <row r="2766" spans="1:19" x14ac:dyDescent="0.25">
      <c r="A2766" s="2">
        <v>45500</v>
      </c>
      <c r="B2766" s="1">
        <f t="shared" si="218"/>
        <v>30</v>
      </c>
      <c r="C2766">
        <f t="shared" si="215"/>
        <v>7</v>
      </c>
      <c r="D2766" t="str">
        <f t="shared" si="216"/>
        <v>July</v>
      </c>
      <c r="E2766">
        <f t="shared" si="217"/>
        <v>2024</v>
      </c>
      <c r="F2766" t="str">
        <f>CONCATENATE(calendar[[#This Row],[Month]],"/",calendar[[#This Row],[Year]])</f>
        <v>7/2024</v>
      </c>
      <c r="G2766">
        <f>WEEKDAY(calendar[[#This Row],[Date]],1)</f>
        <v>7</v>
      </c>
      <c r="H2766" t="str">
        <f>TEXT(calendar[[#This Row],[WeekDay]],"dddd")</f>
        <v>Saturday</v>
      </c>
      <c r="I2766">
        <f>IF((INT(calendar[[#This Row],[Count]]/7)-calendar[[#This Row],[Count]]/7)&lt;0,I2765,I2765+1)</f>
        <v>395</v>
      </c>
      <c r="J2766">
        <f t="shared" si="219"/>
        <v>2764</v>
      </c>
      <c r="K2766">
        <f>IF(calendar[[#This Row],[Month]]&lt;4,1,IF(calendar[[#This Row],[Month]]&lt;7,2,IF(calendar[[#This Row],[Month]]&lt;10,3,4)))</f>
        <v>3</v>
      </c>
      <c r="L2766">
        <f>IFERROR(IF(VLOOKUP(calendar[[#This Row],[Date]],BH!A:A,1,)&lt;&gt;"",1,0),0)</f>
        <v>0</v>
      </c>
      <c r="M2766">
        <f>IFERROR(IF(VLOOKUP(calendar[[#This Row],[Date]],BH!C:C,1,)&lt;&gt;"",1,0),0)</f>
        <v>0</v>
      </c>
      <c r="N2766">
        <f>IFERROR(IF(VLOOKUP(calendar[[#This Row],[Date]],BH!E:E,1,)&lt;&gt;"",1,0),0)</f>
        <v>0</v>
      </c>
      <c r="O2766">
        <f>IFERROR(IF(VLOOKUP(calendar[[#This Row],[Date]],BH!G:G,1,)&lt;&gt;"",1,0),0)</f>
        <v>0</v>
      </c>
      <c r="P2766">
        <f>IF(OR(calendar[[#This Row],[UK_BH]]=1,calendar[[#This Row],[WeekDay]]=1, calendar[[#This Row],[WeekDay]]=7),P2765,P2765+1)</f>
        <v>1975</v>
      </c>
      <c r="Q2766">
        <f>IF(OR(calendar[[#This Row],[FR_BH]]=1,calendar[[#This Row],[WeekDay]]=1, calendar[[#This Row],[WeekDay]]=7),P2765,P2765+1)</f>
        <v>1975</v>
      </c>
      <c r="R2766">
        <f>IF(OR(calendar[[#This Row],[SP_BH]]=1,calendar[[#This Row],[WeekDay]]=1, calendar[[#This Row],[WeekDay]]=7),P2765,P2765+1)</f>
        <v>1975</v>
      </c>
      <c r="S2766">
        <f>IF(OR(calendar[[#This Row],[PT_BH]]=1,calendar[[#This Row],[WeekDay]]=1, calendar[[#This Row],[WeekDay]]=7),P2765,P2765+1)</f>
        <v>1975</v>
      </c>
    </row>
    <row r="2767" spans="1:19" x14ac:dyDescent="0.25">
      <c r="A2767" s="2">
        <v>45501</v>
      </c>
      <c r="B2767" s="1">
        <f t="shared" si="218"/>
        <v>31</v>
      </c>
      <c r="C2767">
        <f t="shared" si="215"/>
        <v>7</v>
      </c>
      <c r="D2767" t="str">
        <f t="shared" si="216"/>
        <v>July</v>
      </c>
      <c r="E2767">
        <f t="shared" si="217"/>
        <v>2024</v>
      </c>
      <c r="F2767" t="str">
        <f>CONCATENATE(calendar[[#This Row],[Month]],"/",calendar[[#This Row],[Year]])</f>
        <v>7/2024</v>
      </c>
      <c r="G2767">
        <f>WEEKDAY(calendar[[#This Row],[Date]],1)</f>
        <v>1</v>
      </c>
      <c r="H2767" t="str">
        <f>TEXT(calendar[[#This Row],[WeekDay]],"dddd")</f>
        <v>Sunday</v>
      </c>
      <c r="I2767">
        <f>IF((INT(calendar[[#This Row],[Count]]/7)-calendar[[#This Row],[Count]]/7)&lt;0,I2766,I2766+1)</f>
        <v>396</v>
      </c>
      <c r="J2767">
        <f t="shared" si="219"/>
        <v>2765</v>
      </c>
      <c r="K2767">
        <f>IF(calendar[[#This Row],[Month]]&lt;4,1,IF(calendar[[#This Row],[Month]]&lt;7,2,IF(calendar[[#This Row],[Month]]&lt;10,3,4)))</f>
        <v>3</v>
      </c>
      <c r="L2767">
        <f>IFERROR(IF(VLOOKUP(calendar[[#This Row],[Date]],BH!A:A,1,)&lt;&gt;"",1,0),0)</f>
        <v>0</v>
      </c>
      <c r="M2767">
        <f>IFERROR(IF(VLOOKUP(calendar[[#This Row],[Date]],BH!C:C,1,)&lt;&gt;"",1,0),0)</f>
        <v>0</v>
      </c>
      <c r="N2767">
        <f>IFERROR(IF(VLOOKUP(calendar[[#This Row],[Date]],BH!E:E,1,)&lt;&gt;"",1,0),0)</f>
        <v>0</v>
      </c>
      <c r="O2767">
        <f>IFERROR(IF(VLOOKUP(calendar[[#This Row],[Date]],BH!G:G,1,)&lt;&gt;"",1,0),0)</f>
        <v>0</v>
      </c>
      <c r="P2767">
        <f>IF(OR(calendar[[#This Row],[UK_BH]]=1,calendar[[#This Row],[WeekDay]]=1, calendar[[#This Row],[WeekDay]]=7),P2766,P2766+1)</f>
        <v>1975</v>
      </c>
      <c r="Q2767">
        <f>IF(OR(calendar[[#This Row],[FR_BH]]=1,calendar[[#This Row],[WeekDay]]=1, calendar[[#This Row],[WeekDay]]=7),P2766,P2766+1)</f>
        <v>1975</v>
      </c>
      <c r="R2767">
        <f>IF(OR(calendar[[#This Row],[SP_BH]]=1,calendar[[#This Row],[WeekDay]]=1, calendar[[#This Row],[WeekDay]]=7),P2766,P2766+1)</f>
        <v>1975</v>
      </c>
      <c r="S2767">
        <f>IF(OR(calendar[[#This Row],[PT_BH]]=1,calendar[[#This Row],[WeekDay]]=1, calendar[[#This Row],[WeekDay]]=7),P2766,P2766+1)</f>
        <v>1975</v>
      </c>
    </row>
    <row r="2768" spans="1:19" x14ac:dyDescent="0.25">
      <c r="A2768" s="2">
        <v>45502</v>
      </c>
      <c r="B2768" s="1">
        <f t="shared" si="218"/>
        <v>31</v>
      </c>
      <c r="C2768">
        <f t="shared" ref="C2768:C2831" si="220">MONTH(A2768)</f>
        <v>7</v>
      </c>
      <c r="D2768" t="str">
        <f t="shared" ref="D2768:D2831" si="221">TEXT(A2768,"mmmm")</f>
        <v>July</v>
      </c>
      <c r="E2768">
        <f t="shared" ref="E2768:E2831" si="222">YEAR(A2768)</f>
        <v>2024</v>
      </c>
      <c r="F2768" t="str">
        <f>CONCATENATE(calendar[[#This Row],[Month]],"/",calendar[[#This Row],[Year]])</f>
        <v>7/2024</v>
      </c>
      <c r="G2768">
        <f>WEEKDAY(calendar[[#This Row],[Date]],1)</f>
        <v>2</v>
      </c>
      <c r="H2768" t="str">
        <f>TEXT(calendar[[#This Row],[WeekDay]],"dddd")</f>
        <v>Monday</v>
      </c>
      <c r="I2768">
        <f>IF((INT(calendar[[#This Row],[Count]]/7)-calendar[[#This Row],[Count]]/7)&lt;0,I2767,I2767+1)</f>
        <v>396</v>
      </c>
      <c r="J2768">
        <f t="shared" si="219"/>
        <v>2766</v>
      </c>
      <c r="K2768">
        <f>IF(calendar[[#This Row],[Month]]&lt;4,1,IF(calendar[[#This Row],[Month]]&lt;7,2,IF(calendar[[#This Row],[Month]]&lt;10,3,4)))</f>
        <v>3</v>
      </c>
      <c r="L2768">
        <f>IFERROR(IF(VLOOKUP(calendar[[#This Row],[Date]],BH!A:A,1,)&lt;&gt;"",1,0),0)</f>
        <v>0</v>
      </c>
      <c r="M2768">
        <f>IFERROR(IF(VLOOKUP(calendar[[#This Row],[Date]],BH!C:C,1,)&lt;&gt;"",1,0),0)</f>
        <v>0</v>
      </c>
      <c r="N2768">
        <f>IFERROR(IF(VLOOKUP(calendar[[#This Row],[Date]],BH!E:E,1,)&lt;&gt;"",1,0),0)</f>
        <v>0</v>
      </c>
      <c r="O2768">
        <f>IFERROR(IF(VLOOKUP(calendar[[#This Row],[Date]],BH!G:G,1,)&lt;&gt;"",1,0),0)</f>
        <v>0</v>
      </c>
      <c r="P2768">
        <f>IF(OR(calendar[[#This Row],[UK_BH]]=1,calendar[[#This Row],[WeekDay]]=1, calendar[[#This Row],[WeekDay]]=7),P2767,P2767+1)</f>
        <v>1976</v>
      </c>
      <c r="Q2768">
        <f>IF(OR(calendar[[#This Row],[FR_BH]]=1,calendar[[#This Row],[WeekDay]]=1, calendar[[#This Row],[WeekDay]]=7),P2767,P2767+1)</f>
        <v>1976</v>
      </c>
      <c r="R2768">
        <f>IF(OR(calendar[[#This Row],[SP_BH]]=1,calendar[[#This Row],[WeekDay]]=1, calendar[[#This Row],[WeekDay]]=7),P2767,P2767+1)</f>
        <v>1976</v>
      </c>
      <c r="S2768">
        <f>IF(OR(calendar[[#This Row],[PT_BH]]=1,calendar[[#This Row],[WeekDay]]=1, calendar[[#This Row],[WeekDay]]=7),P2767,P2767+1)</f>
        <v>1976</v>
      </c>
    </row>
    <row r="2769" spans="1:19" x14ac:dyDescent="0.25">
      <c r="A2769" s="2">
        <v>45503</v>
      </c>
      <c r="B2769" s="1">
        <f t="shared" si="218"/>
        <v>31</v>
      </c>
      <c r="C2769">
        <f t="shared" si="220"/>
        <v>7</v>
      </c>
      <c r="D2769" t="str">
        <f t="shared" si="221"/>
        <v>July</v>
      </c>
      <c r="E2769">
        <f t="shared" si="222"/>
        <v>2024</v>
      </c>
      <c r="F2769" t="str">
        <f>CONCATENATE(calendar[[#This Row],[Month]],"/",calendar[[#This Row],[Year]])</f>
        <v>7/2024</v>
      </c>
      <c r="G2769">
        <f>WEEKDAY(calendar[[#This Row],[Date]],1)</f>
        <v>3</v>
      </c>
      <c r="H2769" t="str">
        <f>TEXT(calendar[[#This Row],[WeekDay]],"dddd")</f>
        <v>Tuesday</v>
      </c>
      <c r="I2769">
        <f>IF((INT(calendar[[#This Row],[Count]]/7)-calendar[[#This Row],[Count]]/7)&lt;0,I2768,I2768+1)</f>
        <v>396</v>
      </c>
      <c r="J2769">
        <f t="shared" si="219"/>
        <v>2767</v>
      </c>
      <c r="K2769">
        <f>IF(calendar[[#This Row],[Month]]&lt;4,1,IF(calendar[[#This Row],[Month]]&lt;7,2,IF(calendar[[#This Row],[Month]]&lt;10,3,4)))</f>
        <v>3</v>
      </c>
      <c r="L2769">
        <f>IFERROR(IF(VLOOKUP(calendar[[#This Row],[Date]],BH!A:A,1,)&lt;&gt;"",1,0),0)</f>
        <v>0</v>
      </c>
      <c r="M2769">
        <f>IFERROR(IF(VLOOKUP(calendar[[#This Row],[Date]],BH!C:C,1,)&lt;&gt;"",1,0),0)</f>
        <v>0</v>
      </c>
      <c r="N2769">
        <f>IFERROR(IF(VLOOKUP(calendar[[#This Row],[Date]],BH!E:E,1,)&lt;&gt;"",1,0),0)</f>
        <v>0</v>
      </c>
      <c r="O2769">
        <f>IFERROR(IF(VLOOKUP(calendar[[#This Row],[Date]],BH!G:G,1,)&lt;&gt;"",1,0),0)</f>
        <v>0</v>
      </c>
      <c r="P2769">
        <f>IF(OR(calendar[[#This Row],[UK_BH]]=1,calendar[[#This Row],[WeekDay]]=1, calendar[[#This Row],[WeekDay]]=7),P2768,P2768+1)</f>
        <v>1977</v>
      </c>
      <c r="Q2769">
        <f>IF(OR(calendar[[#This Row],[FR_BH]]=1,calendar[[#This Row],[WeekDay]]=1, calendar[[#This Row],[WeekDay]]=7),P2768,P2768+1)</f>
        <v>1977</v>
      </c>
      <c r="R2769">
        <f>IF(OR(calendar[[#This Row],[SP_BH]]=1,calendar[[#This Row],[WeekDay]]=1, calendar[[#This Row],[WeekDay]]=7),P2768,P2768+1)</f>
        <v>1977</v>
      </c>
      <c r="S2769">
        <f>IF(OR(calendar[[#This Row],[PT_BH]]=1,calendar[[#This Row],[WeekDay]]=1, calendar[[#This Row],[WeekDay]]=7),P2768,P2768+1)</f>
        <v>1977</v>
      </c>
    </row>
    <row r="2770" spans="1:19" x14ac:dyDescent="0.25">
      <c r="A2770" s="2">
        <v>45504</v>
      </c>
      <c r="B2770" s="1">
        <f t="shared" si="218"/>
        <v>31</v>
      </c>
      <c r="C2770">
        <f t="shared" si="220"/>
        <v>7</v>
      </c>
      <c r="D2770" t="str">
        <f t="shared" si="221"/>
        <v>July</v>
      </c>
      <c r="E2770">
        <f t="shared" si="222"/>
        <v>2024</v>
      </c>
      <c r="F2770" t="str">
        <f>CONCATENATE(calendar[[#This Row],[Month]],"/",calendar[[#This Row],[Year]])</f>
        <v>7/2024</v>
      </c>
      <c r="G2770">
        <f>WEEKDAY(calendar[[#This Row],[Date]],1)</f>
        <v>4</v>
      </c>
      <c r="H2770" t="str">
        <f>TEXT(calendar[[#This Row],[WeekDay]],"dddd")</f>
        <v>Wednesday</v>
      </c>
      <c r="I2770">
        <f>IF((INT(calendar[[#This Row],[Count]]/7)-calendar[[#This Row],[Count]]/7)&lt;0,I2769,I2769+1)</f>
        <v>396</v>
      </c>
      <c r="J2770">
        <f t="shared" si="219"/>
        <v>2768</v>
      </c>
      <c r="K2770">
        <f>IF(calendar[[#This Row],[Month]]&lt;4,1,IF(calendar[[#This Row],[Month]]&lt;7,2,IF(calendar[[#This Row],[Month]]&lt;10,3,4)))</f>
        <v>3</v>
      </c>
      <c r="L2770">
        <f>IFERROR(IF(VLOOKUP(calendar[[#This Row],[Date]],BH!A:A,1,)&lt;&gt;"",1,0),0)</f>
        <v>0</v>
      </c>
      <c r="M2770">
        <f>IFERROR(IF(VLOOKUP(calendar[[#This Row],[Date]],BH!C:C,1,)&lt;&gt;"",1,0),0)</f>
        <v>0</v>
      </c>
      <c r="N2770">
        <f>IFERROR(IF(VLOOKUP(calendar[[#This Row],[Date]],BH!E:E,1,)&lt;&gt;"",1,0),0)</f>
        <v>0</v>
      </c>
      <c r="O2770">
        <f>IFERROR(IF(VLOOKUP(calendar[[#This Row],[Date]],BH!G:G,1,)&lt;&gt;"",1,0),0)</f>
        <v>0</v>
      </c>
      <c r="P2770">
        <f>IF(OR(calendar[[#This Row],[UK_BH]]=1,calendar[[#This Row],[WeekDay]]=1, calendar[[#This Row],[WeekDay]]=7),P2769,P2769+1)</f>
        <v>1978</v>
      </c>
      <c r="Q2770">
        <f>IF(OR(calendar[[#This Row],[FR_BH]]=1,calendar[[#This Row],[WeekDay]]=1, calendar[[#This Row],[WeekDay]]=7),P2769,P2769+1)</f>
        <v>1978</v>
      </c>
      <c r="R2770">
        <f>IF(OR(calendar[[#This Row],[SP_BH]]=1,calendar[[#This Row],[WeekDay]]=1, calendar[[#This Row],[WeekDay]]=7),P2769,P2769+1)</f>
        <v>1978</v>
      </c>
      <c r="S2770">
        <f>IF(OR(calendar[[#This Row],[PT_BH]]=1,calendar[[#This Row],[WeekDay]]=1, calendar[[#This Row],[WeekDay]]=7),P2769,P2769+1)</f>
        <v>1978</v>
      </c>
    </row>
    <row r="2771" spans="1:19" x14ac:dyDescent="0.25">
      <c r="A2771" s="2">
        <v>45505</v>
      </c>
      <c r="B2771" s="1">
        <f t="shared" si="218"/>
        <v>31</v>
      </c>
      <c r="C2771">
        <f t="shared" si="220"/>
        <v>8</v>
      </c>
      <c r="D2771" t="str">
        <f t="shared" si="221"/>
        <v>August</v>
      </c>
      <c r="E2771">
        <f t="shared" si="222"/>
        <v>2024</v>
      </c>
      <c r="F2771" t="str">
        <f>CONCATENATE(calendar[[#This Row],[Month]],"/",calendar[[#This Row],[Year]])</f>
        <v>8/2024</v>
      </c>
      <c r="G2771">
        <f>WEEKDAY(calendar[[#This Row],[Date]],1)</f>
        <v>5</v>
      </c>
      <c r="H2771" t="str">
        <f>TEXT(calendar[[#This Row],[WeekDay]],"dddd")</f>
        <v>Thursday</v>
      </c>
      <c r="I2771">
        <f>IF((INT(calendar[[#This Row],[Count]]/7)-calendar[[#This Row],[Count]]/7)&lt;0,I2770,I2770+1)</f>
        <v>396</v>
      </c>
      <c r="J2771">
        <f t="shared" si="219"/>
        <v>2769</v>
      </c>
      <c r="K2771">
        <f>IF(calendar[[#This Row],[Month]]&lt;4,1,IF(calendar[[#This Row],[Month]]&lt;7,2,IF(calendar[[#This Row],[Month]]&lt;10,3,4)))</f>
        <v>3</v>
      </c>
      <c r="L2771">
        <f>IFERROR(IF(VLOOKUP(calendar[[#This Row],[Date]],BH!A:A,1,)&lt;&gt;"",1,0),0)</f>
        <v>0</v>
      </c>
      <c r="M2771">
        <f>IFERROR(IF(VLOOKUP(calendar[[#This Row],[Date]],BH!C:C,1,)&lt;&gt;"",1,0),0)</f>
        <v>0</v>
      </c>
      <c r="N2771">
        <f>IFERROR(IF(VLOOKUP(calendar[[#This Row],[Date]],BH!E:E,1,)&lt;&gt;"",1,0),0)</f>
        <v>0</v>
      </c>
      <c r="O2771">
        <f>IFERROR(IF(VLOOKUP(calendar[[#This Row],[Date]],BH!G:G,1,)&lt;&gt;"",1,0),0)</f>
        <v>0</v>
      </c>
      <c r="P2771">
        <f>IF(OR(calendar[[#This Row],[UK_BH]]=1,calendar[[#This Row],[WeekDay]]=1, calendar[[#This Row],[WeekDay]]=7),P2770,P2770+1)</f>
        <v>1979</v>
      </c>
      <c r="Q2771">
        <f>IF(OR(calendar[[#This Row],[FR_BH]]=1,calendar[[#This Row],[WeekDay]]=1, calendar[[#This Row],[WeekDay]]=7),P2770,P2770+1)</f>
        <v>1979</v>
      </c>
      <c r="R2771">
        <f>IF(OR(calendar[[#This Row],[SP_BH]]=1,calendar[[#This Row],[WeekDay]]=1, calendar[[#This Row],[WeekDay]]=7),P2770,P2770+1)</f>
        <v>1979</v>
      </c>
      <c r="S2771">
        <f>IF(OR(calendar[[#This Row],[PT_BH]]=1,calendar[[#This Row],[WeekDay]]=1, calendar[[#This Row],[WeekDay]]=7),P2770,P2770+1)</f>
        <v>1979</v>
      </c>
    </row>
    <row r="2772" spans="1:19" x14ac:dyDescent="0.25">
      <c r="A2772" s="2">
        <v>45506</v>
      </c>
      <c r="B2772" s="1">
        <f t="shared" si="218"/>
        <v>31</v>
      </c>
      <c r="C2772">
        <f t="shared" si="220"/>
        <v>8</v>
      </c>
      <c r="D2772" t="str">
        <f t="shared" si="221"/>
        <v>August</v>
      </c>
      <c r="E2772">
        <f t="shared" si="222"/>
        <v>2024</v>
      </c>
      <c r="F2772" t="str">
        <f>CONCATENATE(calendar[[#This Row],[Month]],"/",calendar[[#This Row],[Year]])</f>
        <v>8/2024</v>
      </c>
      <c r="G2772">
        <f>WEEKDAY(calendar[[#This Row],[Date]],1)</f>
        <v>6</v>
      </c>
      <c r="H2772" t="str">
        <f>TEXT(calendar[[#This Row],[WeekDay]],"dddd")</f>
        <v>Friday</v>
      </c>
      <c r="I2772">
        <f>IF((INT(calendar[[#This Row],[Count]]/7)-calendar[[#This Row],[Count]]/7)&lt;0,I2771,I2771+1)</f>
        <v>396</v>
      </c>
      <c r="J2772">
        <f t="shared" si="219"/>
        <v>2770</v>
      </c>
      <c r="K2772">
        <f>IF(calendar[[#This Row],[Month]]&lt;4,1,IF(calendar[[#This Row],[Month]]&lt;7,2,IF(calendar[[#This Row],[Month]]&lt;10,3,4)))</f>
        <v>3</v>
      </c>
      <c r="L2772">
        <f>IFERROR(IF(VLOOKUP(calendar[[#This Row],[Date]],BH!A:A,1,)&lt;&gt;"",1,0),0)</f>
        <v>0</v>
      </c>
      <c r="M2772">
        <f>IFERROR(IF(VLOOKUP(calendar[[#This Row],[Date]],BH!C:C,1,)&lt;&gt;"",1,0),0)</f>
        <v>0</v>
      </c>
      <c r="N2772">
        <f>IFERROR(IF(VLOOKUP(calendar[[#This Row],[Date]],BH!E:E,1,)&lt;&gt;"",1,0),0)</f>
        <v>0</v>
      </c>
      <c r="O2772">
        <f>IFERROR(IF(VLOOKUP(calendar[[#This Row],[Date]],BH!G:G,1,)&lt;&gt;"",1,0),0)</f>
        <v>0</v>
      </c>
      <c r="P2772">
        <f>IF(OR(calendar[[#This Row],[UK_BH]]=1,calendar[[#This Row],[WeekDay]]=1, calendar[[#This Row],[WeekDay]]=7),P2771,P2771+1)</f>
        <v>1980</v>
      </c>
      <c r="Q2772">
        <f>IF(OR(calendar[[#This Row],[FR_BH]]=1,calendar[[#This Row],[WeekDay]]=1, calendar[[#This Row],[WeekDay]]=7),P2771,P2771+1)</f>
        <v>1980</v>
      </c>
      <c r="R2772">
        <f>IF(OR(calendar[[#This Row],[SP_BH]]=1,calendar[[#This Row],[WeekDay]]=1, calendar[[#This Row],[WeekDay]]=7),P2771,P2771+1)</f>
        <v>1980</v>
      </c>
      <c r="S2772">
        <f>IF(OR(calendar[[#This Row],[PT_BH]]=1,calendar[[#This Row],[WeekDay]]=1, calendar[[#This Row],[WeekDay]]=7),P2771,P2771+1)</f>
        <v>1980</v>
      </c>
    </row>
    <row r="2773" spans="1:19" x14ac:dyDescent="0.25">
      <c r="A2773" s="2">
        <v>45507</v>
      </c>
      <c r="B2773" s="1">
        <f t="shared" si="218"/>
        <v>31</v>
      </c>
      <c r="C2773">
        <f t="shared" si="220"/>
        <v>8</v>
      </c>
      <c r="D2773" t="str">
        <f t="shared" si="221"/>
        <v>August</v>
      </c>
      <c r="E2773">
        <f t="shared" si="222"/>
        <v>2024</v>
      </c>
      <c r="F2773" t="str">
        <f>CONCATENATE(calendar[[#This Row],[Month]],"/",calendar[[#This Row],[Year]])</f>
        <v>8/2024</v>
      </c>
      <c r="G2773">
        <f>WEEKDAY(calendar[[#This Row],[Date]],1)</f>
        <v>7</v>
      </c>
      <c r="H2773" t="str">
        <f>TEXT(calendar[[#This Row],[WeekDay]],"dddd")</f>
        <v>Saturday</v>
      </c>
      <c r="I2773">
        <f>IF((INT(calendar[[#This Row],[Count]]/7)-calendar[[#This Row],[Count]]/7)&lt;0,I2772,I2772+1)</f>
        <v>396</v>
      </c>
      <c r="J2773">
        <f t="shared" si="219"/>
        <v>2771</v>
      </c>
      <c r="K2773">
        <f>IF(calendar[[#This Row],[Month]]&lt;4,1,IF(calendar[[#This Row],[Month]]&lt;7,2,IF(calendar[[#This Row],[Month]]&lt;10,3,4)))</f>
        <v>3</v>
      </c>
      <c r="L2773">
        <f>IFERROR(IF(VLOOKUP(calendar[[#This Row],[Date]],BH!A:A,1,)&lt;&gt;"",1,0),0)</f>
        <v>0</v>
      </c>
      <c r="M2773">
        <f>IFERROR(IF(VLOOKUP(calendar[[#This Row],[Date]],BH!C:C,1,)&lt;&gt;"",1,0),0)</f>
        <v>0</v>
      </c>
      <c r="N2773">
        <f>IFERROR(IF(VLOOKUP(calendar[[#This Row],[Date]],BH!E:E,1,)&lt;&gt;"",1,0),0)</f>
        <v>0</v>
      </c>
      <c r="O2773">
        <f>IFERROR(IF(VLOOKUP(calendar[[#This Row],[Date]],BH!G:G,1,)&lt;&gt;"",1,0),0)</f>
        <v>0</v>
      </c>
      <c r="P2773">
        <f>IF(OR(calendar[[#This Row],[UK_BH]]=1,calendar[[#This Row],[WeekDay]]=1, calendar[[#This Row],[WeekDay]]=7),P2772,P2772+1)</f>
        <v>1980</v>
      </c>
      <c r="Q2773">
        <f>IF(OR(calendar[[#This Row],[FR_BH]]=1,calendar[[#This Row],[WeekDay]]=1, calendar[[#This Row],[WeekDay]]=7),P2772,P2772+1)</f>
        <v>1980</v>
      </c>
      <c r="R2773">
        <f>IF(OR(calendar[[#This Row],[SP_BH]]=1,calendar[[#This Row],[WeekDay]]=1, calendar[[#This Row],[WeekDay]]=7),P2772,P2772+1)</f>
        <v>1980</v>
      </c>
      <c r="S2773">
        <f>IF(OR(calendar[[#This Row],[PT_BH]]=1,calendar[[#This Row],[WeekDay]]=1, calendar[[#This Row],[WeekDay]]=7),P2772,P2772+1)</f>
        <v>1980</v>
      </c>
    </row>
    <row r="2774" spans="1:19" x14ac:dyDescent="0.25">
      <c r="A2774" s="2">
        <v>45508</v>
      </c>
      <c r="B2774" s="1">
        <f t="shared" si="218"/>
        <v>32</v>
      </c>
      <c r="C2774">
        <f t="shared" si="220"/>
        <v>8</v>
      </c>
      <c r="D2774" t="str">
        <f t="shared" si="221"/>
        <v>August</v>
      </c>
      <c r="E2774">
        <f t="shared" si="222"/>
        <v>2024</v>
      </c>
      <c r="F2774" t="str">
        <f>CONCATENATE(calendar[[#This Row],[Month]],"/",calendar[[#This Row],[Year]])</f>
        <v>8/2024</v>
      </c>
      <c r="G2774">
        <f>WEEKDAY(calendar[[#This Row],[Date]],1)</f>
        <v>1</v>
      </c>
      <c r="H2774" t="str">
        <f>TEXT(calendar[[#This Row],[WeekDay]],"dddd")</f>
        <v>Sunday</v>
      </c>
      <c r="I2774">
        <f>IF((INT(calendar[[#This Row],[Count]]/7)-calendar[[#This Row],[Count]]/7)&lt;0,I2773,I2773+1)</f>
        <v>397</v>
      </c>
      <c r="J2774">
        <f t="shared" si="219"/>
        <v>2772</v>
      </c>
      <c r="K2774">
        <f>IF(calendar[[#This Row],[Month]]&lt;4,1,IF(calendar[[#This Row],[Month]]&lt;7,2,IF(calendar[[#This Row],[Month]]&lt;10,3,4)))</f>
        <v>3</v>
      </c>
      <c r="L2774">
        <f>IFERROR(IF(VLOOKUP(calendar[[#This Row],[Date]],BH!A:A,1,)&lt;&gt;"",1,0),0)</f>
        <v>0</v>
      </c>
      <c r="M2774">
        <f>IFERROR(IF(VLOOKUP(calendar[[#This Row],[Date]],BH!C:C,1,)&lt;&gt;"",1,0),0)</f>
        <v>0</v>
      </c>
      <c r="N2774">
        <f>IFERROR(IF(VLOOKUP(calendar[[#This Row],[Date]],BH!E:E,1,)&lt;&gt;"",1,0),0)</f>
        <v>0</v>
      </c>
      <c r="O2774">
        <f>IFERROR(IF(VLOOKUP(calendar[[#This Row],[Date]],BH!G:G,1,)&lt;&gt;"",1,0),0)</f>
        <v>0</v>
      </c>
      <c r="P2774">
        <f>IF(OR(calendar[[#This Row],[UK_BH]]=1,calendar[[#This Row],[WeekDay]]=1, calendar[[#This Row],[WeekDay]]=7),P2773,P2773+1)</f>
        <v>1980</v>
      </c>
      <c r="Q2774">
        <f>IF(OR(calendar[[#This Row],[FR_BH]]=1,calendar[[#This Row],[WeekDay]]=1, calendar[[#This Row],[WeekDay]]=7),P2773,P2773+1)</f>
        <v>1980</v>
      </c>
      <c r="R2774">
        <f>IF(OR(calendar[[#This Row],[SP_BH]]=1,calendar[[#This Row],[WeekDay]]=1, calendar[[#This Row],[WeekDay]]=7),P2773,P2773+1)</f>
        <v>1980</v>
      </c>
      <c r="S2774">
        <f>IF(OR(calendar[[#This Row],[PT_BH]]=1,calendar[[#This Row],[WeekDay]]=1, calendar[[#This Row],[WeekDay]]=7),P2773,P2773+1)</f>
        <v>1980</v>
      </c>
    </row>
    <row r="2775" spans="1:19" x14ac:dyDescent="0.25">
      <c r="A2775" s="2">
        <v>45509</v>
      </c>
      <c r="B2775" s="1">
        <f t="shared" si="218"/>
        <v>32</v>
      </c>
      <c r="C2775">
        <f t="shared" si="220"/>
        <v>8</v>
      </c>
      <c r="D2775" t="str">
        <f t="shared" si="221"/>
        <v>August</v>
      </c>
      <c r="E2775">
        <f t="shared" si="222"/>
        <v>2024</v>
      </c>
      <c r="F2775" t="str">
        <f>CONCATENATE(calendar[[#This Row],[Month]],"/",calendar[[#This Row],[Year]])</f>
        <v>8/2024</v>
      </c>
      <c r="G2775">
        <f>WEEKDAY(calendar[[#This Row],[Date]],1)</f>
        <v>2</v>
      </c>
      <c r="H2775" t="str">
        <f>TEXT(calendar[[#This Row],[WeekDay]],"dddd")</f>
        <v>Monday</v>
      </c>
      <c r="I2775">
        <f>IF((INT(calendar[[#This Row],[Count]]/7)-calendar[[#This Row],[Count]]/7)&lt;0,I2774,I2774+1)</f>
        <v>397</v>
      </c>
      <c r="J2775">
        <f t="shared" si="219"/>
        <v>2773</v>
      </c>
      <c r="K2775">
        <f>IF(calendar[[#This Row],[Month]]&lt;4,1,IF(calendar[[#This Row],[Month]]&lt;7,2,IF(calendar[[#This Row],[Month]]&lt;10,3,4)))</f>
        <v>3</v>
      </c>
      <c r="L2775">
        <f>IFERROR(IF(VLOOKUP(calendar[[#This Row],[Date]],BH!A:A,1,)&lt;&gt;"",1,0),0)</f>
        <v>0</v>
      </c>
      <c r="M2775">
        <f>IFERROR(IF(VLOOKUP(calendar[[#This Row],[Date]],BH!C:C,1,)&lt;&gt;"",1,0),0)</f>
        <v>0</v>
      </c>
      <c r="N2775">
        <f>IFERROR(IF(VLOOKUP(calendar[[#This Row],[Date]],BH!E:E,1,)&lt;&gt;"",1,0),0)</f>
        <v>0</v>
      </c>
      <c r="O2775">
        <f>IFERROR(IF(VLOOKUP(calendar[[#This Row],[Date]],BH!G:G,1,)&lt;&gt;"",1,0),0)</f>
        <v>0</v>
      </c>
      <c r="P2775">
        <f>IF(OR(calendar[[#This Row],[UK_BH]]=1,calendar[[#This Row],[WeekDay]]=1, calendar[[#This Row],[WeekDay]]=7),P2774,P2774+1)</f>
        <v>1981</v>
      </c>
      <c r="Q2775">
        <f>IF(OR(calendar[[#This Row],[FR_BH]]=1,calendar[[#This Row],[WeekDay]]=1, calendar[[#This Row],[WeekDay]]=7),P2774,P2774+1)</f>
        <v>1981</v>
      </c>
      <c r="R2775">
        <f>IF(OR(calendar[[#This Row],[SP_BH]]=1,calendar[[#This Row],[WeekDay]]=1, calendar[[#This Row],[WeekDay]]=7),P2774,P2774+1)</f>
        <v>1981</v>
      </c>
      <c r="S2775">
        <f>IF(OR(calendar[[#This Row],[PT_BH]]=1,calendar[[#This Row],[WeekDay]]=1, calendar[[#This Row],[WeekDay]]=7),P2774,P2774+1)</f>
        <v>1981</v>
      </c>
    </row>
    <row r="2776" spans="1:19" x14ac:dyDescent="0.25">
      <c r="A2776" s="2">
        <v>45510</v>
      </c>
      <c r="B2776" s="1">
        <f t="shared" si="218"/>
        <v>32</v>
      </c>
      <c r="C2776">
        <f t="shared" si="220"/>
        <v>8</v>
      </c>
      <c r="D2776" t="str">
        <f t="shared" si="221"/>
        <v>August</v>
      </c>
      <c r="E2776">
        <f t="shared" si="222"/>
        <v>2024</v>
      </c>
      <c r="F2776" t="str">
        <f>CONCATENATE(calendar[[#This Row],[Month]],"/",calendar[[#This Row],[Year]])</f>
        <v>8/2024</v>
      </c>
      <c r="G2776">
        <f>WEEKDAY(calendar[[#This Row],[Date]],1)</f>
        <v>3</v>
      </c>
      <c r="H2776" t="str">
        <f>TEXT(calendar[[#This Row],[WeekDay]],"dddd")</f>
        <v>Tuesday</v>
      </c>
      <c r="I2776">
        <f>IF((INT(calendar[[#This Row],[Count]]/7)-calendar[[#This Row],[Count]]/7)&lt;0,I2775,I2775+1)</f>
        <v>397</v>
      </c>
      <c r="J2776">
        <f t="shared" si="219"/>
        <v>2774</v>
      </c>
      <c r="K2776">
        <f>IF(calendar[[#This Row],[Month]]&lt;4,1,IF(calendar[[#This Row],[Month]]&lt;7,2,IF(calendar[[#This Row],[Month]]&lt;10,3,4)))</f>
        <v>3</v>
      </c>
      <c r="L2776">
        <f>IFERROR(IF(VLOOKUP(calendar[[#This Row],[Date]],BH!A:A,1,)&lt;&gt;"",1,0),0)</f>
        <v>0</v>
      </c>
      <c r="M2776">
        <f>IFERROR(IF(VLOOKUP(calendar[[#This Row],[Date]],BH!C:C,1,)&lt;&gt;"",1,0),0)</f>
        <v>0</v>
      </c>
      <c r="N2776">
        <f>IFERROR(IF(VLOOKUP(calendar[[#This Row],[Date]],BH!E:E,1,)&lt;&gt;"",1,0),0)</f>
        <v>0</v>
      </c>
      <c r="O2776">
        <f>IFERROR(IF(VLOOKUP(calendar[[#This Row],[Date]],BH!G:G,1,)&lt;&gt;"",1,0),0)</f>
        <v>0</v>
      </c>
      <c r="P2776">
        <f>IF(OR(calendar[[#This Row],[UK_BH]]=1,calendar[[#This Row],[WeekDay]]=1, calendar[[#This Row],[WeekDay]]=7),P2775,P2775+1)</f>
        <v>1982</v>
      </c>
      <c r="Q2776">
        <f>IF(OR(calendar[[#This Row],[FR_BH]]=1,calendar[[#This Row],[WeekDay]]=1, calendar[[#This Row],[WeekDay]]=7),P2775,P2775+1)</f>
        <v>1982</v>
      </c>
      <c r="R2776">
        <f>IF(OR(calendar[[#This Row],[SP_BH]]=1,calendar[[#This Row],[WeekDay]]=1, calendar[[#This Row],[WeekDay]]=7),P2775,P2775+1)</f>
        <v>1982</v>
      </c>
      <c r="S2776">
        <f>IF(OR(calendar[[#This Row],[PT_BH]]=1,calendar[[#This Row],[WeekDay]]=1, calendar[[#This Row],[WeekDay]]=7),P2775,P2775+1)</f>
        <v>1982</v>
      </c>
    </row>
    <row r="2777" spans="1:19" x14ac:dyDescent="0.25">
      <c r="A2777" s="2">
        <v>45511</v>
      </c>
      <c r="B2777" s="1">
        <f t="shared" si="218"/>
        <v>32</v>
      </c>
      <c r="C2777">
        <f t="shared" si="220"/>
        <v>8</v>
      </c>
      <c r="D2777" t="str">
        <f t="shared" si="221"/>
        <v>August</v>
      </c>
      <c r="E2777">
        <f t="shared" si="222"/>
        <v>2024</v>
      </c>
      <c r="F2777" t="str">
        <f>CONCATENATE(calendar[[#This Row],[Month]],"/",calendar[[#This Row],[Year]])</f>
        <v>8/2024</v>
      </c>
      <c r="G2777">
        <f>WEEKDAY(calendar[[#This Row],[Date]],1)</f>
        <v>4</v>
      </c>
      <c r="H2777" t="str">
        <f>TEXT(calendar[[#This Row],[WeekDay]],"dddd")</f>
        <v>Wednesday</v>
      </c>
      <c r="I2777">
        <f>IF((INT(calendar[[#This Row],[Count]]/7)-calendar[[#This Row],[Count]]/7)&lt;0,I2776,I2776+1)</f>
        <v>397</v>
      </c>
      <c r="J2777">
        <f t="shared" si="219"/>
        <v>2775</v>
      </c>
      <c r="K2777">
        <f>IF(calendar[[#This Row],[Month]]&lt;4,1,IF(calendar[[#This Row],[Month]]&lt;7,2,IF(calendar[[#This Row],[Month]]&lt;10,3,4)))</f>
        <v>3</v>
      </c>
      <c r="L2777">
        <f>IFERROR(IF(VLOOKUP(calendar[[#This Row],[Date]],BH!A:A,1,)&lt;&gt;"",1,0),0)</f>
        <v>0</v>
      </c>
      <c r="M2777">
        <f>IFERROR(IF(VLOOKUP(calendar[[#This Row],[Date]],BH!C:C,1,)&lt;&gt;"",1,0),0)</f>
        <v>0</v>
      </c>
      <c r="N2777">
        <f>IFERROR(IF(VLOOKUP(calendar[[#This Row],[Date]],BH!E:E,1,)&lt;&gt;"",1,0),0)</f>
        <v>0</v>
      </c>
      <c r="O2777">
        <f>IFERROR(IF(VLOOKUP(calendar[[#This Row],[Date]],BH!G:G,1,)&lt;&gt;"",1,0),0)</f>
        <v>0</v>
      </c>
      <c r="P2777">
        <f>IF(OR(calendar[[#This Row],[UK_BH]]=1,calendar[[#This Row],[WeekDay]]=1, calendar[[#This Row],[WeekDay]]=7),P2776,P2776+1)</f>
        <v>1983</v>
      </c>
      <c r="Q2777">
        <f>IF(OR(calendar[[#This Row],[FR_BH]]=1,calendar[[#This Row],[WeekDay]]=1, calendar[[#This Row],[WeekDay]]=7),P2776,P2776+1)</f>
        <v>1983</v>
      </c>
      <c r="R2777">
        <f>IF(OR(calendar[[#This Row],[SP_BH]]=1,calendar[[#This Row],[WeekDay]]=1, calendar[[#This Row],[WeekDay]]=7),P2776,P2776+1)</f>
        <v>1983</v>
      </c>
      <c r="S2777">
        <f>IF(OR(calendar[[#This Row],[PT_BH]]=1,calendar[[#This Row],[WeekDay]]=1, calendar[[#This Row],[WeekDay]]=7),P2776,P2776+1)</f>
        <v>1983</v>
      </c>
    </row>
    <row r="2778" spans="1:19" x14ac:dyDescent="0.25">
      <c r="A2778" s="2">
        <v>45512</v>
      </c>
      <c r="B2778" s="1">
        <f t="shared" si="218"/>
        <v>32</v>
      </c>
      <c r="C2778">
        <f t="shared" si="220"/>
        <v>8</v>
      </c>
      <c r="D2778" t="str">
        <f t="shared" si="221"/>
        <v>August</v>
      </c>
      <c r="E2778">
        <f t="shared" si="222"/>
        <v>2024</v>
      </c>
      <c r="F2778" t="str">
        <f>CONCATENATE(calendar[[#This Row],[Month]],"/",calendar[[#This Row],[Year]])</f>
        <v>8/2024</v>
      </c>
      <c r="G2778">
        <f>WEEKDAY(calendar[[#This Row],[Date]],1)</f>
        <v>5</v>
      </c>
      <c r="H2778" t="str">
        <f>TEXT(calendar[[#This Row],[WeekDay]],"dddd")</f>
        <v>Thursday</v>
      </c>
      <c r="I2778">
        <f>IF((INT(calendar[[#This Row],[Count]]/7)-calendar[[#This Row],[Count]]/7)&lt;0,I2777,I2777+1)</f>
        <v>397</v>
      </c>
      <c r="J2778">
        <f t="shared" si="219"/>
        <v>2776</v>
      </c>
      <c r="K2778">
        <f>IF(calendar[[#This Row],[Month]]&lt;4,1,IF(calendar[[#This Row],[Month]]&lt;7,2,IF(calendar[[#This Row],[Month]]&lt;10,3,4)))</f>
        <v>3</v>
      </c>
      <c r="L2778">
        <f>IFERROR(IF(VLOOKUP(calendar[[#This Row],[Date]],BH!A:A,1,)&lt;&gt;"",1,0),0)</f>
        <v>0</v>
      </c>
      <c r="M2778">
        <f>IFERROR(IF(VLOOKUP(calendar[[#This Row],[Date]],BH!C:C,1,)&lt;&gt;"",1,0),0)</f>
        <v>0</v>
      </c>
      <c r="N2778">
        <f>IFERROR(IF(VLOOKUP(calendar[[#This Row],[Date]],BH!E:E,1,)&lt;&gt;"",1,0),0)</f>
        <v>0</v>
      </c>
      <c r="O2778">
        <f>IFERROR(IF(VLOOKUP(calendar[[#This Row],[Date]],BH!G:G,1,)&lt;&gt;"",1,0),0)</f>
        <v>0</v>
      </c>
      <c r="P2778">
        <f>IF(OR(calendar[[#This Row],[UK_BH]]=1,calendar[[#This Row],[WeekDay]]=1, calendar[[#This Row],[WeekDay]]=7),P2777,P2777+1)</f>
        <v>1984</v>
      </c>
      <c r="Q2778">
        <f>IF(OR(calendar[[#This Row],[FR_BH]]=1,calendar[[#This Row],[WeekDay]]=1, calendar[[#This Row],[WeekDay]]=7),P2777,P2777+1)</f>
        <v>1984</v>
      </c>
      <c r="R2778">
        <f>IF(OR(calendar[[#This Row],[SP_BH]]=1,calendar[[#This Row],[WeekDay]]=1, calendar[[#This Row],[WeekDay]]=7),P2777,P2777+1)</f>
        <v>1984</v>
      </c>
      <c r="S2778">
        <f>IF(OR(calendar[[#This Row],[PT_BH]]=1,calendar[[#This Row],[WeekDay]]=1, calendar[[#This Row],[WeekDay]]=7),P2777,P2777+1)</f>
        <v>1984</v>
      </c>
    </row>
    <row r="2779" spans="1:19" x14ac:dyDescent="0.25">
      <c r="A2779" s="2">
        <v>45513</v>
      </c>
      <c r="B2779" s="1">
        <f t="shared" si="218"/>
        <v>32</v>
      </c>
      <c r="C2779">
        <f t="shared" si="220"/>
        <v>8</v>
      </c>
      <c r="D2779" t="str">
        <f t="shared" si="221"/>
        <v>August</v>
      </c>
      <c r="E2779">
        <f t="shared" si="222"/>
        <v>2024</v>
      </c>
      <c r="F2779" t="str">
        <f>CONCATENATE(calendar[[#This Row],[Month]],"/",calendar[[#This Row],[Year]])</f>
        <v>8/2024</v>
      </c>
      <c r="G2779">
        <f>WEEKDAY(calendar[[#This Row],[Date]],1)</f>
        <v>6</v>
      </c>
      <c r="H2779" t="str">
        <f>TEXT(calendar[[#This Row],[WeekDay]],"dddd")</f>
        <v>Friday</v>
      </c>
      <c r="I2779">
        <f>IF((INT(calendar[[#This Row],[Count]]/7)-calendar[[#This Row],[Count]]/7)&lt;0,I2778,I2778+1)</f>
        <v>397</v>
      </c>
      <c r="J2779">
        <f t="shared" si="219"/>
        <v>2777</v>
      </c>
      <c r="K2779">
        <f>IF(calendar[[#This Row],[Month]]&lt;4,1,IF(calendar[[#This Row],[Month]]&lt;7,2,IF(calendar[[#This Row],[Month]]&lt;10,3,4)))</f>
        <v>3</v>
      </c>
      <c r="L2779">
        <f>IFERROR(IF(VLOOKUP(calendar[[#This Row],[Date]],BH!A:A,1,)&lt;&gt;"",1,0),0)</f>
        <v>0</v>
      </c>
      <c r="M2779">
        <f>IFERROR(IF(VLOOKUP(calendar[[#This Row],[Date]],BH!C:C,1,)&lt;&gt;"",1,0),0)</f>
        <v>0</v>
      </c>
      <c r="N2779">
        <f>IFERROR(IF(VLOOKUP(calendar[[#This Row],[Date]],BH!E:E,1,)&lt;&gt;"",1,0),0)</f>
        <v>0</v>
      </c>
      <c r="O2779">
        <f>IFERROR(IF(VLOOKUP(calendar[[#This Row],[Date]],BH!G:G,1,)&lt;&gt;"",1,0),0)</f>
        <v>0</v>
      </c>
      <c r="P2779">
        <f>IF(OR(calendar[[#This Row],[UK_BH]]=1,calendar[[#This Row],[WeekDay]]=1, calendar[[#This Row],[WeekDay]]=7),P2778,P2778+1)</f>
        <v>1985</v>
      </c>
      <c r="Q2779">
        <f>IF(OR(calendar[[#This Row],[FR_BH]]=1,calendar[[#This Row],[WeekDay]]=1, calendar[[#This Row],[WeekDay]]=7),P2778,P2778+1)</f>
        <v>1985</v>
      </c>
      <c r="R2779">
        <f>IF(OR(calendar[[#This Row],[SP_BH]]=1,calendar[[#This Row],[WeekDay]]=1, calendar[[#This Row],[WeekDay]]=7),P2778,P2778+1)</f>
        <v>1985</v>
      </c>
      <c r="S2779">
        <f>IF(OR(calendar[[#This Row],[PT_BH]]=1,calendar[[#This Row],[WeekDay]]=1, calendar[[#This Row],[WeekDay]]=7),P2778,P2778+1)</f>
        <v>1985</v>
      </c>
    </row>
    <row r="2780" spans="1:19" x14ac:dyDescent="0.25">
      <c r="A2780" s="2">
        <v>45514</v>
      </c>
      <c r="B2780" s="1">
        <f t="shared" si="218"/>
        <v>32</v>
      </c>
      <c r="C2780">
        <f t="shared" si="220"/>
        <v>8</v>
      </c>
      <c r="D2780" t="str">
        <f t="shared" si="221"/>
        <v>August</v>
      </c>
      <c r="E2780">
        <f t="shared" si="222"/>
        <v>2024</v>
      </c>
      <c r="F2780" t="str">
        <f>CONCATENATE(calendar[[#This Row],[Month]],"/",calendar[[#This Row],[Year]])</f>
        <v>8/2024</v>
      </c>
      <c r="G2780">
        <f>WEEKDAY(calendar[[#This Row],[Date]],1)</f>
        <v>7</v>
      </c>
      <c r="H2780" t="str">
        <f>TEXT(calendar[[#This Row],[WeekDay]],"dddd")</f>
        <v>Saturday</v>
      </c>
      <c r="I2780">
        <f>IF((INT(calendar[[#This Row],[Count]]/7)-calendar[[#This Row],[Count]]/7)&lt;0,I2779,I2779+1)</f>
        <v>397</v>
      </c>
      <c r="J2780">
        <f t="shared" si="219"/>
        <v>2778</v>
      </c>
      <c r="K2780">
        <f>IF(calendar[[#This Row],[Month]]&lt;4,1,IF(calendar[[#This Row],[Month]]&lt;7,2,IF(calendar[[#This Row],[Month]]&lt;10,3,4)))</f>
        <v>3</v>
      </c>
      <c r="L2780">
        <f>IFERROR(IF(VLOOKUP(calendar[[#This Row],[Date]],BH!A:A,1,)&lt;&gt;"",1,0),0)</f>
        <v>0</v>
      </c>
      <c r="M2780">
        <f>IFERROR(IF(VLOOKUP(calendar[[#This Row],[Date]],BH!C:C,1,)&lt;&gt;"",1,0),0)</f>
        <v>0</v>
      </c>
      <c r="N2780">
        <f>IFERROR(IF(VLOOKUP(calendar[[#This Row],[Date]],BH!E:E,1,)&lt;&gt;"",1,0),0)</f>
        <v>0</v>
      </c>
      <c r="O2780">
        <f>IFERROR(IF(VLOOKUP(calendar[[#This Row],[Date]],BH!G:G,1,)&lt;&gt;"",1,0),0)</f>
        <v>0</v>
      </c>
      <c r="P2780">
        <f>IF(OR(calendar[[#This Row],[UK_BH]]=1,calendar[[#This Row],[WeekDay]]=1, calendar[[#This Row],[WeekDay]]=7),P2779,P2779+1)</f>
        <v>1985</v>
      </c>
      <c r="Q2780">
        <f>IF(OR(calendar[[#This Row],[FR_BH]]=1,calendar[[#This Row],[WeekDay]]=1, calendar[[#This Row],[WeekDay]]=7),P2779,P2779+1)</f>
        <v>1985</v>
      </c>
      <c r="R2780">
        <f>IF(OR(calendar[[#This Row],[SP_BH]]=1,calendar[[#This Row],[WeekDay]]=1, calendar[[#This Row],[WeekDay]]=7),P2779,P2779+1)</f>
        <v>1985</v>
      </c>
      <c r="S2780">
        <f>IF(OR(calendar[[#This Row],[PT_BH]]=1,calendar[[#This Row],[WeekDay]]=1, calendar[[#This Row],[WeekDay]]=7),P2779,P2779+1)</f>
        <v>1985</v>
      </c>
    </row>
    <row r="2781" spans="1:19" x14ac:dyDescent="0.25">
      <c r="A2781" s="2">
        <v>45515</v>
      </c>
      <c r="B2781" s="1">
        <f t="shared" si="218"/>
        <v>33</v>
      </c>
      <c r="C2781">
        <f t="shared" si="220"/>
        <v>8</v>
      </c>
      <c r="D2781" t="str">
        <f t="shared" si="221"/>
        <v>August</v>
      </c>
      <c r="E2781">
        <f t="shared" si="222"/>
        <v>2024</v>
      </c>
      <c r="F2781" t="str">
        <f>CONCATENATE(calendar[[#This Row],[Month]],"/",calendar[[#This Row],[Year]])</f>
        <v>8/2024</v>
      </c>
      <c r="G2781">
        <f>WEEKDAY(calendar[[#This Row],[Date]],1)</f>
        <v>1</v>
      </c>
      <c r="H2781" t="str">
        <f>TEXT(calendar[[#This Row],[WeekDay]],"dddd")</f>
        <v>Sunday</v>
      </c>
      <c r="I2781">
        <f>IF((INT(calendar[[#This Row],[Count]]/7)-calendar[[#This Row],[Count]]/7)&lt;0,I2780,I2780+1)</f>
        <v>398</v>
      </c>
      <c r="J2781">
        <f t="shared" si="219"/>
        <v>2779</v>
      </c>
      <c r="K2781">
        <f>IF(calendar[[#This Row],[Month]]&lt;4,1,IF(calendar[[#This Row],[Month]]&lt;7,2,IF(calendar[[#This Row],[Month]]&lt;10,3,4)))</f>
        <v>3</v>
      </c>
      <c r="L2781">
        <f>IFERROR(IF(VLOOKUP(calendar[[#This Row],[Date]],BH!A:A,1,)&lt;&gt;"",1,0),0)</f>
        <v>0</v>
      </c>
      <c r="M2781">
        <f>IFERROR(IF(VLOOKUP(calendar[[#This Row],[Date]],BH!C:C,1,)&lt;&gt;"",1,0),0)</f>
        <v>0</v>
      </c>
      <c r="N2781">
        <f>IFERROR(IF(VLOOKUP(calendar[[#This Row],[Date]],BH!E:E,1,)&lt;&gt;"",1,0),0)</f>
        <v>0</v>
      </c>
      <c r="O2781">
        <f>IFERROR(IF(VLOOKUP(calendar[[#This Row],[Date]],BH!G:G,1,)&lt;&gt;"",1,0),0)</f>
        <v>0</v>
      </c>
      <c r="P2781">
        <f>IF(OR(calendar[[#This Row],[UK_BH]]=1,calendar[[#This Row],[WeekDay]]=1, calendar[[#This Row],[WeekDay]]=7),P2780,P2780+1)</f>
        <v>1985</v>
      </c>
      <c r="Q2781">
        <f>IF(OR(calendar[[#This Row],[FR_BH]]=1,calendar[[#This Row],[WeekDay]]=1, calendar[[#This Row],[WeekDay]]=7),P2780,P2780+1)</f>
        <v>1985</v>
      </c>
      <c r="R2781">
        <f>IF(OR(calendar[[#This Row],[SP_BH]]=1,calendar[[#This Row],[WeekDay]]=1, calendar[[#This Row],[WeekDay]]=7),P2780,P2780+1)</f>
        <v>1985</v>
      </c>
      <c r="S2781">
        <f>IF(OR(calendar[[#This Row],[PT_BH]]=1,calendar[[#This Row],[WeekDay]]=1, calendar[[#This Row],[WeekDay]]=7),P2780,P2780+1)</f>
        <v>1985</v>
      </c>
    </row>
    <row r="2782" spans="1:19" x14ac:dyDescent="0.25">
      <c r="A2782" s="2">
        <v>45516</v>
      </c>
      <c r="B2782" s="1">
        <f t="shared" si="218"/>
        <v>33</v>
      </c>
      <c r="C2782">
        <f t="shared" si="220"/>
        <v>8</v>
      </c>
      <c r="D2782" t="str">
        <f t="shared" si="221"/>
        <v>August</v>
      </c>
      <c r="E2782">
        <f t="shared" si="222"/>
        <v>2024</v>
      </c>
      <c r="F2782" t="str">
        <f>CONCATENATE(calendar[[#This Row],[Month]],"/",calendar[[#This Row],[Year]])</f>
        <v>8/2024</v>
      </c>
      <c r="G2782">
        <f>WEEKDAY(calendar[[#This Row],[Date]],1)</f>
        <v>2</v>
      </c>
      <c r="H2782" t="str">
        <f>TEXT(calendar[[#This Row],[WeekDay]],"dddd")</f>
        <v>Monday</v>
      </c>
      <c r="I2782">
        <f>IF((INT(calendar[[#This Row],[Count]]/7)-calendar[[#This Row],[Count]]/7)&lt;0,I2781,I2781+1)</f>
        <v>398</v>
      </c>
      <c r="J2782">
        <f t="shared" si="219"/>
        <v>2780</v>
      </c>
      <c r="K2782">
        <f>IF(calendar[[#This Row],[Month]]&lt;4,1,IF(calendar[[#This Row],[Month]]&lt;7,2,IF(calendar[[#This Row],[Month]]&lt;10,3,4)))</f>
        <v>3</v>
      </c>
      <c r="L2782">
        <f>IFERROR(IF(VLOOKUP(calendar[[#This Row],[Date]],BH!A:A,1,)&lt;&gt;"",1,0),0)</f>
        <v>0</v>
      </c>
      <c r="M2782">
        <f>IFERROR(IF(VLOOKUP(calendar[[#This Row],[Date]],BH!C:C,1,)&lt;&gt;"",1,0),0)</f>
        <v>0</v>
      </c>
      <c r="N2782">
        <f>IFERROR(IF(VLOOKUP(calendar[[#This Row],[Date]],BH!E:E,1,)&lt;&gt;"",1,0),0)</f>
        <v>0</v>
      </c>
      <c r="O2782">
        <f>IFERROR(IF(VLOOKUP(calendar[[#This Row],[Date]],BH!G:G,1,)&lt;&gt;"",1,0),0)</f>
        <v>0</v>
      </c>
      <c r="P2782">
        <f>IF(OR(calendar[[#This Row],[UK_BH]]=1,calendar[[#This Row],[WeekDay]]=1, calendar[[#This Row],[WeekDay]]=7),P2781,P2781+1)</f>
        <v>1986</v>
      </c>
      <c r="Q2782">
        <f>IF(OR(calendar[[#This Row],[FR_BH]]=1,calendar[[#This Row],[WeekDay]]=1, calendar[[#This Row],[WeekDay]]=7),P2781,P2781+1)</f>
        <v>1986</v>
      </c>
      <c r="R2782">
        <f>IF(OR(calendar[[#This Row],[SP_BH]]=1,calendar[[#This Row],[WeekDay]]=1, calendar[[#This Row],[WeekDay]]=7),P2781,P2781+1)</f>
        <v>1986</v>
      </c>
      <c r="S2782">
        <f>IF(OR(calendar[[#This Row],[PT_BH]]=1,calendar[[#This Row],[WeekDay]]=1, calendar[[#This Row],[WeekDay]]=7),P2781,P2781+1)</f>
        <v>1986</v>
      </c>
    </row>
    <row r="2783" spans="1:19" x14ac:dyDescent="0.25">
      <c r="A2783" s="2">
        <v>45517</v>
      </c>
      <c r="B2783" s="1">
        <f t="shared" si="218"/>
        <v>33</v>
      </c>
      <c r="C2783">
        <f t="shared" si="220"/>
        <v>8</v>
      </c>
      <c r="D2783" t="str">
        <f t="shared" si="221"/>
        <v>August</v>
      </c>
      <c r="E2783">
        <f t="shared" si="222"/>
        <v>2024</v>
      </c>
      <c r="F2783" t="str">
        <f>CONCATENATE(calendar[[#This Row],[Month]],"/",calendar[[#This Row],[Year]])</f>
        <v>8/2024</v>
      </c>
      <c r="G2783">
        <f>WEEKDAY(calendar[[#This Row],[Date]],1)</f>
        <v>3</v>
      </c>
      <c r="H2783" t="str">
        <f>TEXT(calendar[[#This Row],[WeekDay]],"dddd")</f>
        <v>Tuesday</v>
      </c>
      <c r="I2783">
        <f>IF((INT(calendar[[#This Row],[Count]]/7)-calendar[[#This Row],[Count]]/7)&lt;0,I2782,I2782+1)</f>
        <v>398</v>
      </c>
      <c r="J2783">
        <f t="shared" si="219"/>
        <v>2781</v>
      </c>
      <c r="K2783">
        <f>IF(calendar[[#This Row],[Month]]&lt;4,1,IF(calendar[[#This Row],[Month]]&lt;7,2,IF(calendar[[#This Row],[Month]]&lt;10,3,4)))</f>
        <v>3</v>
      </c>
      <c r="L2783">
        <f>IFERROR(IF(VLOOKUP(calendar[[#This Row],[Date]],BH!A:A,1,)&lt;&gt;"",1,0),0)</f>
        <v>0</v>
      </c>
      <c r="M2783">
        <f>IFERROR(IF(VLOOKUP(calendar[[#This Row],[Date]],BH!C:C,1,)&lt;&gt;"",1,0),0)</f>
        <v>0</v>
      </c>
      <c r="N2783">
        <f>IFERROR(IF(VLOOKUP(calendar[[#This Row],[Date]],BH!E:E,1,)&lt;&gt;"",1,0),0)</f>
        <v>0</v>
      </c>
      <c r="O2783">
        <f>IFERROR(IF(VLOOKUP(calendar[[#This Row],[Date]],BH!G:G,1,)&lt;&gt;"",1,0),0)</f>
        <v>0</v>
      </c>
      <c r="P2783">
        <f>IF(OR(calendar[[#This Row],[UK_BH]]=1,calendar[[#This Row],[WeekDay]]=1, calendar[[#This Row],[WeekDay]]=7),P2782,P2782+1)</f>
        <v>1987</v>
      </c>
      <c r="Q2783">
        <f>IF(OR(calendar[[#This Row],[FR_BH]]=1,calendar[[#This Row],[WeekDay]]=1, calendar[[#This Row],[WeekDay]]=7),P2782,P2782+1)</f>
        <v>1987</v>
      </c>
      <c r="R2783">
        <f>IF(OR(calendar[[#This Row],[SP_BH]]=1,calendar[[#This Row],[WeekDay]]=1, calendar[[#This Row],[WeekDay]]=7),P2782,P2782+1)</f>
        <v>1987</v>
      </c>
      <c r="S2783">
        <f>IF(OR(calendar[[#This Row],[PT_BH]]=1,calendar[[#This Row],[WeekDay]]=1, calendar[[#This Row],[WeekDay]]=7),P2782,P2782+1)</f>
        <v>1987</v>
      </c>
    </row>
    <row r="2784" spans="1:19" x14ac:dyDescent="0.25">
      <c r="A2784" s="2">
        <v>45518</v>
      </c>
      <c r="B2784" s="1">
        <f t="shared" si="218"/>
        <v>33</v>
      </c>
      <c r="C2784">
        <f t="shared" si="220"/>
        <v>8</v>
      </c>
      <c r="D2784" t="str">
        <f t="shared" si="221"/>
        <v>August</v>
      </c>
      <c r="E2784">
        <f t="shared" si="222"/>
        <v>2024</v>
      </c>
      <c r="F2784" t="str">
        <f>CONCATENATE(calendar[[#This Row],[Month]],"/",calendar[[#This Row],[Year]])</f>
        <v>8/2024</v>
      </c>
      <c r="G2784">
        <f>WEEKDAY(calendar[[#This Row],[Date]],1)</f>
        <v>4</v>
      </c>
      <c r="H2784" t="str">
        <f>TEXT(calendar[[#This Row],[WeekDay]],"dddd")</f>
        <v>Wednesday</v>
      </c>
      <c r="I2784">
        <f>IF((INT(calendar[[#This Row],[Count]]/7)-calendar[[#This Row],[Count]]/7)&lt;0,I2783,I2783+1)</f>
        <v>398</v>
      </c>
      <c r="J2784">
        <f t="shared" si="219"/>
        <v>2782</v>
      </c>
      <c r="K2784">
        <f>IF(calendar[[#This Row],[Month]]&lt;4,1,IF(calendar[[#This Row],[Month]]&lt;7,2,IF(calendar[[#This Row],[Month]]&lt;10,3,4)))</f>
        <v>3</v>
      </c>
      <c r="L2784">
        <f>IFERROR(IF(VLOOKUP(calendar[[#This Row],[Date]],BH!A:A,1,)&lt;&gt;"",1,0),0)</f>
        <v>0</v>
      </c>
      <c r="M2784">
        <f>IFERROR(IF(VLOOKUP(calendar[[#This Row],[Date]],BH!C:C,1,)&lt;&gt;"",1,0),0)</f>
        <v>0</v>
      </c>
      <c r="N2784">
        <f>IFERROR(IF(VLOOKUP(calendar[[#This Row],[Date]],BH!E:E,1,)&lt;&gt;"",1,0),0)</f>
        <v>0</v>
      </c>
      <c r="O2784">
        <f>IFERROR(IF(VLOOKUP(calendar[[#This Row],[Date]],BH!G:G,1,)&lt;&gt;"",1,0),0)</f>
        <v>0</v>
      </c>
      <c r="P2784">
        <f>IF(OR(calendar[[#This Row],[UK_BH]]=1,calendar[[#This Row],[WeekDay]]=1, calendar[[#This Row],[WeekDay]]=7),P2783,P2783+1)</f>
        <v>1988</v>
      </c>
      <c r="Q2784">
        <f>IF(OR(calendar[[#This Row],[FR_BH]]=1,calendar[[#This Row],[WeekDay]]=1, calendar[[#This Row],[WeekDay]]=7),P2783,P2783+1)</f>
        <v>1988</v>
      </c>
      <c r="R2784">
        <f>IF(OR(calendar[[#This Row],[SP_BH]]=1,calendar[[#This Row],[WeekDay]]=1, calendar[[#This Row],[WeekDay]]=7),P2783,P2783+1)</f>
        <v>1988</v>
      </c>
      <c r="S2784">
        <f>IF(OR(calendar[[#This Row],[PT_BH]]=1,calendar[[#This Row],[WeekDay]]=1, calendar[[#This Row],[WeekDay]]=7),P2783,P2783+1)</f>
        <v>1988</v>
      </c>
    </row>
    <row r="2785" spans="1:19" x14ac:dyDescent="0.25">
      <c r="A2785" s="2">
        <v>45519</v>
      </c>
      <c r="B2785" s="1">
        <f t="shared" si="218"/>
        <v>33</v>
      </c>
      <c r="C2785">
        <f t="shared" si="220"/>
        <v>8</v>
      </c>
      <c r="D2785" t="str">
        <f t="shared" si="221"/>
        <v>August</v>
      </c>
      <c r="E2785">
        <f t="shared" si="222"/>
        <v>2024</v>
      </c>
      <c r="F2785" t="str">
        <f>CONCATENATE(calendar[[#This Row],[Month]],"/",calendar[[#This Row],[Year]])</f>
        <v>8/2024</v>
      </c>
      <c r="G2785">
        <f>WEEKDAY(calendar[[#This Row],[Date]],1)</f>
        <v>5</v>
      </c>
      <c r="H2785" t="str">
        <f>TEXT(calendar[[#This Row],[WeekDay]],"dddd")</f>
        <v>Thursday</v>
      </c>
      <c r="I2785">
        <f>IF((INT(calendar[[#This Row],[Count]]/7)-calendar[[#This Row],[Count]]/7)&lt;0,I2784,I2784+1)</f>
        <v>398</v>
      </c>
      <c r="J2785">
        <f t="shared" si="219"/>
        <v>2783</v>
      </c>
      <c r="K2785">
        <f>IF(calendar[[#This Row],[Month]]&lt;4,1,IF(calendar[[#This Row],[Month]]&lt;7,2,IF(calendar[[#This Row],[Month]]&lt;10,3,4)))</f>
        <v>3</v>
      </c>
      <c r="L2785">
        <f>IFERROR(IF(VLOOKUP(calendar[[#This Row],[Date]],BH!A:A,1,)&lt;&gt;"",1,0),0)</f>
        <v>0</v>
      </c>
      <c r="M2785">
        <f>IFERROR(IF(VLOOKUP(calendar[[#This Row],[Date]],BH!C:C,1,)&lt;&gt;"",1,0),0)</f>
        <v>0</v>
      </c>
      <c r="N2785">
        <f>IFERROR(IF(VLOOKUP(calendar[[#This Row],[Date]],BH!E:E,1,)&lt;&gt;"",1,0),0)</f>
        <v>0</v>
      </c>
      <c r="O2785">
        <f>IFERROR(IF(VLOOKUP(calendar[[#This Row],[Date]],BH!G:G,1,)&lt;&gt;"",1,0),0)</f>
        <v>0</v>
      </c>
      <c r="P2785">
        <f>IF(OR(calendar[[#This Row],[UK_BH]]=1,calendar[[#This Row],[WeekDay]]=1, calendar[[#This Row],[WeekDay]]=7),P2784,P2784+1)</f>
        <v>1989</v>
      </c>
      <c r="Q2785">
        <f>IF(OR(calendar[[#This Row],[FR_BH]]=1,calendar[[#This Row],[WeekDay]]=1, calendar[[#This Row],[WeekDay]]=7),P2784,P2784+1)</f>
        <v>1989</v>
      </c>
      <c r="R2785">
        <f>IF(OR(calendar[[#This Row],[SP_BH]]=1,calendar[[#This Row],[WeekDay]]=1, calendar[[#This Row],[WeekDay]]=7),P2784,P2784+1)</f>
        <v>1989</v>
      </c>
      <c r="S2785">
        <f>IF(OR(calendar[[#This Row],[PT_BH]]=1,calendar[[#This Row],[WeekDay]]=1, calendar[[#This Row],[WeekDay]]=7),P2784,P2784+1)</f>
        <v>1989</v>
      </c>
    </row>
    <row r="2786" spans="1:19" x14ac:dyDescent="0.25">
      <c r="A2786" s="2">
        <v>45520</v>
      </c>
      <c r="B2786" s="1">
        <f t="shared" si="218"/>
        <v>33</v>
      </c>
      <c r="C2786">
        <f t="shared" si="220"/>
        <v>8</v>
      </c>
      <c r="D2786" t="str">
        <f t="shared" si="221"/>
        <v>August</v>
      </c>
      <c r="E2786">
        <f t="shared" si="222"/>
        <v>2024</v>
      </c>
      <c r="F2786" t="str">
        <f>CONCATENATE(calendar[[#This Row],[Month]],"/",calendar[[#This Row],[Year]])</f>
        <v>8/2024</v>
      </c>
      <c r="G2786">
        <f>WEEKDAY(calendar[[#This Row],[Date]],1)</f>
        <v>6</v>
      </c>
      <c r="H2786" t="str">
        <f>TEXT(calendar[[#This Row],[WeekDay]],"dddd")</f>
        <v>Friday</v>
      </c>
      <c r="I2786">
        <f>IF((INT(calendar[[#This Row],[Count]]/7)-calendar[[#This Row],[Count]]/7)&lt;0,I2785,I2785+1)</f>
        <v>398</v>
      </c>
      <c r="J2786">
        <f t="shared" si="219"/>
        <v>2784</v>
      </c>
      <c r="K2786">
        <f>IF(calendar[[#This Row],[Month]]&lt;4,1,IF(calendar[[#This Row],[Month]]&lt;7,2,IF(calendar[[#This Row],[Month]]&lt;10,3,4)))</f>
        <v>3</v>
      </c>
      <c r="L2786">
        <f>IFERROR(IF(VLOOKUP(calendar[[#This Row],[Date]],BH!A:A,1,)&lt;&gt;"",1,0),0)</f>
        <v>0</v>
      </c>
      <c r="M2786">
        <f>IFERROR(IF(VLOOKUP(calendar[[#This Row],[Date]],BH!C:C,1,)&lt;&gt;"",1,0),0)</f>
        <v>0</v>
      </c>
      <c r="N2786">
        <f>IFERROR(IF(VLOOKUP(calendar[[#This Row],[Date]],BH!E:E,1,)&lt;&gt;"",1,0),0)</f>
        <v>0</v>
      </c>
      <c r="O2786">
        <f>IFERROR(IF(VLOOKUP(calendar[[#This Row],[Date]],BH!G:G,1,)&lt;&gt;"",1,0),0)</f>
        <v>0</v>
      </c>
      <c r="P2786">
        <f>IF(OR(calendar[[#This Row],[UK_BH]]=1,calendar[[#This Row],[WeekDay]]=1, calendar[[#This Row],[WeekDay]]=7),P2785,P2785+1)</f>
        <v>1990</v>
      </c>
      <c r="Q2786">
        <f>IF(OR(calendar[[#This Row],[FR_BH]]=1,calendar[[#This Row],[WeekDay]]=1, calendar[[#This Row],[WeekDay]]=7),P2785,P2785+1)</f>
        <v>1990</v>
      </c>
      <c r="R2786">
        <f>IF(OR(calendar[[#This Row],[SP_BH]]=1,calendar[[#This Row],[WeekDay]]=1, calendar[[#This Row],[WeekDay]]=7),P2785,P2785+1)</f>
        <v>1990</v>
      </c>
      <c r="S2786">
        <f>IF(OR(calendar[[#This Row],[PT_BH]]=1,calendar[[#This Row],[WeekDay]]=1, calendar[[#This Row],[WeekDay]]=7),P2785,P2785+1)</f>
        <v>1990</v>
      </c>
    </row>
    <row r="2787" spans="1:19" x14ac:dyDescent="0.25">
      <c r="A2787" s="2">
        <v>45521</v>
      </c>
      <c r="B2787" s="1">
        <f t="shared" si="218"/>
        <v>33</v>
      </c>
      <c r="C2787">
        <f t="shared" si="220"/>
        <v>8</v>
      </c>
      <c r="D2787" t="str">
        <f t="shared" si="221"/>
        <v>August</v>
      </c>
      <c r="E2787">
        <f t="shared" si="222"/>
        <v>2024</v>
      </c>
      <c r="F2787" t="str">
        <f>CONCATENATE(calendar[[#This Row],[Month]],"/",calendar[[#This Row],[Year]])</f>
        <v>8/2024</v>
      </c>
      <c r="G2787">
        <f>WEEKDAY(calendar[[#This Row],[Date]],1)</f>
        <v>7</v>
      </c>
      <c r="H2787" t="str">
        <f>TEXT(calendar[[#This Row],[WeekDay]],"dddd")</f>
        <v>Saturday</v>
      </c>
      <c r="I2787">
        <f>IF((INT(calendar[[#This Row],[Count]]/7)-calendar[[#This Row],[Count]]/7)&lt;0,I2786,I2786+1)</f>
        <v>398</v>
      </c>
      <c r="J2787">
        <f t="shared" si="219"/>
        <v>2785</v>
      </c>
      <c r="K2787">
        <f>IF(calendar[[#This Row],[Month]]&lt;4,1,IF(calendar[[#This Row],[Month]]&lt;7,2,IF(calendar[[#This Row],[Month]]&lt;10,3,4)))</f>
        <v>3</v>
      </c>
      <c r="L2787">
        <f>IFERROR(IF(VLOOKUP(calendar[[#This Row],[Date]],BH!A:A,1,)&lt;&gt;"",1,0),0)</f>
        <v>0</v>
      </c>
      <c r="M2787">
        <f>IFERROR(IF(VLOOKUP(calendar[[#This Row],[Date]],BH!C:C,1,)&lt;&gt;"",1,0),0)</f>
        <v>0</v>
      </c>
      <c r="N2787">
        <f>IFERROR(IF(VLOOKUP(calendar[[#This Row],[Date]],BH!E:E,1,)&lt;&gt;"",1,0),0)</f>
        <v>0</v>
      </c>
      <c r="O2787">
        <f>IFERROR(IF(VLOOKUP(calendar[[#This Row],[Date]],BH!G:G,1,)&lt;&gt;"",1,0),0)</f>
        <v>0</v>
      </c>
      <c r="P2787">
        <f>IF(OR(calendar[[#This Row],[UK_BH]]=1,calendar[[#This Row],[WeekDay]]=1, calendar[[#This Row],[WeekDay]]=7),P2786,P2786+1)</f>
        <v>1990</v>
      </c>
      <c r="Q2787">
        <f>IF(OR(calendar[[#This Row],[FR_BH]]=1,calendar[[#This Row],[WeekDay]]=1, calendar[[#This Row],[WeekDay]]=7),P2786,P2786+1)</f>
        <v>1990</v>
      </c>
      <c r="R2787">
        <f>IF(OR(calendar[[#This Row],[SP_BH]]=1,calendar[[#This Row],[WeekDay]]=1, calendar[[#This Row],[WeekDay]]=7),P2786,P2786+1)</f>
        <v>1990</v>
      </c>
      <c r="S2787">
        <f>IF(OR(calendar[[#This Row],[PT_BH]]=1,calendar[[#This Row],[WeekDay]]=1, calendar[[#This Row],[WeekDay]]=7),P2786,P2786+1)</f>
        <v>1990</v>
      </c>
    </row>
    <row r="2788" spans="1:19" x14ac:dyDescent="0.25">
      <c r="A2788" s="2">
        <v>45522</v>
      </c>
      <c r="B2788" s="1">
        <f t="shared" si="218"/>
        <v>34</v>
      </c>
      <c r="C2788">
        <f t="shared" si="220"/>
        <v>8</v>
      </c>
      <c r="D2788" t="str">
        <f t="shared" si="221"/>
        <v>August</v>
      </c>
      <c r="E2788">
        <f t="shared" si="222"/>
        <v>2024</v>
      </c>
      <c r="F2788" t="str">
        <f>CONCATENATE(calendar[[#This Row],[Month]],"/",calendar[[#This Row],[Year]])</f>
        <v>8/2024</v>
      </c>
      <c r="G2788">
        <f>WEEKDAY(calendar[[#This Row],[Date]],1)</f>
        <v>1</v>
      </c>
      <c r="H2788" t="str">
        <f>TEXT(calendar[[#This Row],[WeekDay]],"dddd")</f>
        <v>Sunday</v>
      </c>
      <c r="I2788">
        <f>IF((INT(calendar[[#This Row],[Count]]/7)-calendar[[#This Row],[Count]]/7)&lt;0,I2787,I2787+1)</f>
        <v>399</v>
      </c>
      <c r="J2788">
        <f t="shared" si="219"/>
        <v>2786</v>
      </c>
      <c r="K2788">
        <f>IF(calendar[[#This Row],[Month]]&lt;4,1,IF(calendar[[#This Row],[Month]]&lt;7,2,IF(calendar[[#This Row],[Month]]&lt;10,3,4)))</f>
        <v>3</v>
      </c>
      <c r="L2788">
        <f>IFERROR(IF(VLOOKUP(calendar[[#This Row],[Date]],BH!A:A,1,)&lt;&gt;"",1,0),0)</f>
        <v>0</v>
      </c>
      <c r="M2788">
        <f>IFERROR(IF(VLOOKUP(calendar[[#This Row],[Date]],BH!C:C,1,)&lt;&gt;"",1,0),0)</f>
        <v>0</v>
      </c>
      <c r="N2788">
        <f>IFERROR(IF(VLOOKUP(calendar[[#This Row],[Date]],BH!E:E,1,)&lt;&gt;"",1,0),0)</f>
        <v>0</v>
      </c>
      <c r="O2788">
        <f>IFERROR(IF(VLOOKUP(calendar[[#This Row],[Date]],BH!G:G,1,)&lt;&gt;"",1,0),0)</f>
        <v>0</v>
      </c>
      <c r="P2788">
        <f>IF(OR(calendar[[#This Row],[UK_BH]]=1,calendar[[#This Row],[WeekDay]]=1, calendar[[#This Row],[WeekDay]]=7),P2787,P2787+1)</f>
        <v>1990</v>
      </c>
      <c r="Q2788">
        <f>IF(OR(calendar[[#This Row],[FR_BH]]=1,calendar[[#This Row],[WeekDay]]=1, calendar[[#This Row],[WeekDay]]=7),P2787,P2787+1)</f>
        <v>1990</v>
      </c>
      <c r="R2788">
        <f>IF(OR(calendar[[#This Row],[SP_BH]]=1,calendar[[#This Row],[WeekDay]]=1, calendar[[#This Row],[WeekDay]]=7),P2787,P2787+1)</f>
        <v>1990</v>
      </c>
      <c r="S2788">
        <f>IF(OR(calendar[[#This Row],[PT_BH]]=1,calendar[[#This Row],[WeekDay]]=1, calendar[[#This Row],[WeekDay]]=7),P2787,P2787+1)</f>
        <v>1990</v>
      </c>
    </row>
    <row r="2789" spans="1:19" x14ac:dyDescent="0.25">
      <c r="A2789" s="2">
        <v>45523</v>
      </c>
      <c r="B2789" s="1">
        <f t="shared" si="218"/>
        <v>34</v>
      </c>
      <c r="C2789">
        <f t="shared" si="220"/>
        <v>8</v>
      </c>
      <c r="D2789" t="str">
        <f t="shared" si="221"/>
        <v>August</v>
      </c>
      <c r="E2789">
        <f t="shared" si="222"/>
        <v>2024</v>
      </c>
      <c r="F2789" t="str">
        <f>CONCATENATE(calendar[[#This Row],[Month]],"/",calendar[[#This Row],[Year]])</f>
        <v>8/2024</v>
      </c>
      <c r="G2789">
        <f>WEEKDAY(calendar[[#This Row],[Date]],1)</f>
        <v>2</v>
      </c>
      <c r="H2789" t="str">
        <f>TEXT(calendar[[#This Row],[WeekDay]],"dddd")</f>
        <v>Monday</v>
      </c>
      <c r="I2789">
        <f>IF((INT(calendar[[#This Row],[Count]]/7)-calendar[[#This Row],[Count]]/7)&lt;0,I2788,I2788+1)</f>
        <v>399</v>
      </c>
      <c r="J2789">
        <f t="shared" si="219"/>
        <v>2787</v>
      </c>
      <c r="K2789">
        <f>IF(calendar[[#This Row],[Month]]&lt;4,1,IF(calendar[[#This Row],[Month]]&lt;7,2,IF(calendar[[#This Row],[Month]]&lt;10,3,4)))</f>
        <v>3</v>
      </c>
      <c r="L2789">
        <f>IFERROR(IF(VLOOKUP(calendar[[#This Row],[Date]],BH!A:A,1,)&lt;&gt;"",1,0),0)</f>
        <v>0</v>
      </c>
      <c r="M2789">
        <f>IFERROR(IF(VLOOKUP(calendar[[#This Row],[Date]],BH!C:C,1,)&lt;&gt;"",1,0),0)</f>
        <v>0</v>
      </c>
      <c r="N2789">
        <f>IFERROR(IF(VLOOKUP(calendar[[#This Row],[Date]],BH!E:E,1,)&lt;&gt;"",1,0),0)</f>
        <v>0</v>
      </c>
      <c r="O2789">
        <f>IFERROR(IF(VLOOKUP(calendar[[#This Row],[Date]],BH!G:G,1,)&lt;&gt;"",1,0),0)</f>
        <v>0</v>
      </c>
      <c r="P2789">
        <f>IF(OR(calendar[[#This Row],[UK_BH]]=1,calendar[[#This Row],[WeekDay]]=1, calendar[[#This Row],[WeekDay]]=7),P2788,P2788+1)</f>
        <v>1991</v>
      </c>
      <c r="Q2789">
        <f>IF(OR(calendar[[#This Row],[FR_BH]]=1,calendar[[#This Row],[WeekDay]]=1, calendar[[#This Row],[WeekDay]]=7),P2788,P2788+1)</f>
        <v>1991</v>
      </c>
      <c r="R2789">
        <f>IF(OR(calendar[[#This Row],[SP_BH]]=1,calendar[[#This Row],[WeekDay]]=1, calendar[[#This Row],[WeekDay]]=7),P2788,P2788+1)</f>
        <v>1991</v>
      </c>
      <c r="S2789">
        <f>IF(OR(calendar[[#This Row],[PT_BH]]=1,calendar[[#This Row],[WeekDay]]=1, calendar[[#This Row],[WeekDay]]=7),P2788,P2788+1)</f>
        <v>1991</v>
      </c>
    </row>
    <row r="2790" spans="1:19" x14ac:dyDescent="0.25">
      <c r="A2790" s="2">
        <v>45524</v>
      </c>
      <c r="B2790" s="1">
        <f t="shared" si="218"/>
        <v>34</v>
      </c>
      <c r="C2790">
        <f t="shared" si="220"/>
        <v>8</v>
      </c>
      <c r="D2790" t="str">
        <f t="shared" si="221"/>
        <v>August</v>
      </c>
      <c r="E2790">
        <f t="shared" si="222"/>
        <v>2024</v>
      </c>
      <c r="F2790" t="str">
        <f>CONCATENATE(calendar[[#This Row],[Month]],"/",calendar[[#This Row],[Year]])</f>
        <v>8/2024</v>
      </c>
      <c r="G2790">
        <f>WEEKDAY(calendar[[#This Row],[Date]],1)</f>
        <v>3</v>
      </c>
      <c r="H2790" t="str">
        <f>TEXT(calendar[[#This Row],[WeekDay]],"dddd")</f>
        <v>Tuesday</v>
      </c>
      <c r="I2790">
        <f>IF((INT(calendar[[#This Row],[Count]]/7)-calendar[[#This Row],[Count]]/7)&lt;0,I2789,I2789+1)</f>
        <v>399</v>
      </c>
      <c r="J2790">
        <f t="shared" si="219"/>
        <v>2788</v>
      </c>
      <c r="K2790">
        <f>IF(calendar[[#This Row],[Month]]&lt;4,1,IF(calendar[[#This Row],[Month]]&lt;7,2,IF(calendar[[#This Row],[Month]]&lt;10,3,4)))</f>
        <v>3</v>
      </c>
      <c r="L2790">
        <f>IFERROR(IF(VLOOKUP(calendar[[#This Row],[Date]],BH!A:A,1,)&lt;&gt;"",1,0),0)</f>
        <v>0</v>
      </c>
      <c r="M2790">
        <f>IFERROR(IF(VLOOKUP(calendar[[#This Row],[Date]],BH!C:C,1,)&lt;&gt;"",1,0),0)</f>
        <v>0</v>
      </c>
      <c r="N2790">
        <f>IFERROR(IF(VLOOKUP(calendar[[#This Row],[Date]],BH!E:E,1,)&lt;&gt;"",1,0),0)</f>
        <v>0</v>
      </c>
      <c r="O2790">
        <f>IFERROR(IF(VLOOKUP(calendar[[#This Row],[Date]],BH!G:G,1,)&lt;&gt;"",1,0),0)</f>
        <v>0</v>
      </c>
      <c r="P2790">
        <f>IF(OR(calendar[[#This Row],[UK_BH]]=1,calendar[[#This Row],[WeekDay]]=1, calendar[[#This Row],[WeekDay]]=7),P2789,P2789+1)</f>
        <v>1992</v>
      </c>
      <c r="Q2790">
        <f>IF(OR(calendar[[#This Row],[FR_BH]]=1,calendar[[#This Row],[WeekDay]]=1, calendar[[#This Row],[WeekDay]]=7),P2789,P2789+1)</f>
        <v>1992</v>
      </c>
      <c r="R2790">
        <f>IF(OR(calendar[[#This Row],[SP_BH]]=1,calendar[[#This Row],[WeekDay]]=1, calendar[[#This Row],[WeekDay]]=7),P2789,P2789+1)</f>
        <v>1992</v>
      </c>
      <c r="S2790">
        <f>IF(OR(calendar[[#This Row],[PT_BH]]=1,calendar[[#This Row],[WeekDay]]=1, calendar[[#This Row],[WeekDay]]=7),P2789,P2789+1)</f>
        <v>1992</v>
      </c>
    </row>
    <row r="2791" spans="1:19" x14ac:dyDescent="0.25">
      <c r="A2791" s="2">
        <v>45525</v>
      </c>
      <c r="B2791" s="1">
        <f t="shared" si="218"/>
        <v>34</v>
      </c>
      <c r="C2791">
        <f t="shared" si="220"/>
        <v>8</v>
      </c>
      <c r="D2791" t="str">
        <f t="shared" si="221"/>
        <v>August</v>
      </c>
      <c r="E2791">
        <f t="shared" si="222"/>
        <v>2024</v>
      </c>
      <c r="F2791" t="str">
        <f>CONCATENATE(calendar[[#This Row],[Month]],"/",calendar[[#This Row],[Year]])</f>
        <v>8/2024</v>
      </c>
      <c r="G2791">
        <f>WEEKDAY(calendar[[#This Row],[Date]],1)</f>
        <v>4</v>
      </c>
      <c r="H2791" t="str">
        <f>TEXT(calendar[[#This Row],[WeekDay]],"dddd")</f>
        <v>Wednesday</v>
      </c>
      <c r="I2791">
        <f>IF((INT(calendar[[#This Row],[Count]]/7)-calendar[[#This Row],[Count]]/7)&lt;0,I2790,I2790+1)</f>
        <v>399</v>
      </c>
      <c r="J2791">
        <f t="shared" si="219"/>
        <v>2789</v>
      </c>
      <c r="K2791">
        <f>IF(calendar[[#This Row],[Month]]&lt;4,1,IF(calendar[[#This Row],[Month]]&lt;7,2,IF(calendar[[#This Row],[Month]]&lt;10,3,4)))</f>
        <v>3</v>
      </c>
      <c r="L2791">
        <f>IFERROR(IF(VLOOKUP(calendar[[#This Row],[Date]],BH!A:A,1,)&lt;&gt;"",1,0),0)</f>
        <v>0</v>
      </c>
      <c r="M2791">
        <f>IFERROR(IF(VLOOKUP(calendar[[#This Row],[Date]],BH!C:C,1,)&lt;&gt;"",1,0),0)</f>
        <v>0</v>
      </c>
      <c r="N2791">
        <f>IFERROR(IF(VLOOKUP(calendar[[#This Row],[Date]],BH!E:E,1,)&lt;&gt;"",1,0),0)</f>
        <v>0</v>
      </c>
      <c r="O2791">
        <f>IFERROR(IF(VLOOKUP(calendar[[#This Row],[Date]],BH!G:G,1,)&lt;&gt;"",1,0),0)</f>
        <v>0</v>
      </c>
      <c r="P2791">
        <f>IF(OR(calendar[[#This Row],[UK_BH]]=1,calendar[[#This Row],[WeekDay]]=1, calendar[[#This Row],[WeekDay]]=7),P2790,P2790+1)</f>
        <v>1993</v>
      </c>
      <c r="Q2791">
        <f>IF(OR(calendar[[#This Row],[FR_BH]]=1,calendar[[#This Row],[WeekDay]]=1, calendar[[#This Row],[WeekDay]]=7),P2790,P2790+1)</f>
        <v>1993</v>
      </c>
      <c r="R2791">
        <f>IF(OR(calendar[[#This Row],[SP_BH]]=1,calendar[[#This Row],[WeekDay]]=1, calendar[[#This Row],[WeekDay]]=7),P2790,P2790+1)</f>
        <v>1993</v>
      </c>
      <c r="S2791">
        <f>IF(OR(calendar[[#This Row],[PT_BH]]=1,calendar[[#This Row],[WeekDay]]=1, calendar[[#This Row],[WeekDay]]=7),P2790,P2790+1)</f>
        <v>1993</v>
      </c>
    </row>
    <row r="2792" spans="1:19" x14ac:dyDescent="0.25">
      <c r="A2792" s="2">
        <v>45526</v>
      </c>
      <c r="B2792" s="1">
        <f t="shared" si="218"/>
        <v>34</v>
      </c>
      <c r="C2792">
        <f t="shared" si="220"/>
        <v>8</v>
      </c>
      <c r="D2792" t="str">
        <f t="shared" si="221"/>
        <v>August</v>
      </c>
      <c r="E2792">
        <f t="shared" si="222"/>
        <v>2024</v>
      </c>
      <c r="F2792" t="str">
        <f>CONCATENATE(calendar[[#This Row],[Month]],"/",calendar[[#This Row],[Year]])</f>
        <v>8/2024</v>
      </c>
      <c r="G2792">
        <f>WEEKDAY(calendar[[#This Row],[Date]],1)</f>
        <v>5</v>
      </c>
      <c r="H2792" t="str">
        <f>TEXT(calendar[[#This Row],[WeekDay]],"dddd")</f>
        <v>Thursday</v>
      </c>
      <c r="I2792">
        <f>IF((INT(calendar[[#This Row],[Count]]/7)-calendar[[#This Row],[Count]]/7)&lt;0,I2791,I2791+1)</f>
        <v>399</v>
      </c>
      <c r="J2792">
        <f t="shared" si="219"/>
        <v>2790</v>
      </c>
      <c r="K2792">
        <f>IF(calendar[[#This Row],[Month]]&lt;4,1,IF(calendar[[#This Row],[Month]]&lt;7,2,IF(calendar[[#This Row],[Month]]&lt;10,3,4)))</f>
        <v>3</v>
      </c>
      <c r="L2792">
        <f>IFERROR(IF(VLOOKUP(calendar[[#This Row],[Date]],BH!A:A,1,)&lt;&gt;"",1,0),0)</f>
        <v>0</v>
      </c>
      <c r="M2792">
        <f>IFERROR(IF(VLOOKUP(calendar[[#This Row],[Date]],BH!C:C,1,)&lt;&gt;"",1,0),0)</f>
        <v>0</v>
      </c>
      <c r="N2792">
        <f>IFERROR(IF(VLOOKUP(calendar[[#This Row],[Date]],BH!E:E,1,)&lt;&gt;"",1,0),0)</f>
        <v>0</v>
      </c>
      <c r="O2792">
        <f>IFERROR(IF(VLOOKUP(calendar[[#This Row],[Date]],BH!G:G,1,)&lt;&gt;"",1,0),0)</f>
        <v>0</v>
      </c>
      <c r="P2792">
        <f>IF(OR(calendar[[#This Row],[UK_BH]]=1,calendar[[#This Row],[WeekDay]]=1, calendar[[#This Row],[WeekDay]]=7),P2791,P2791+1)</f>
        <v>1994</v>
      </c>
      <c r="Q2792">
        <f>IF(OR(calendar[[#This Row],[FR_BH]]=1,calendar[[#This Row],[WeekDay]]=1, calendar[[#This Row],[WeekDay]]=7),P2791,P2791+1)</f>
        <v>1994</v>
      </c>
      <c r="R2792">
        <f>IF(OR(calendar[[#This Row],[SP_BH]]=1,calendar[[#This Row],[WeekDay]]=1, calendar[[#This Row],[WeekDay]]=7),P2791,P2791+1)</f>
        <v>1994</v>
      </c>
      <c r="S2792">
        <f>IF(OR(calendar[[#This Row],[PT_BH]]=1,calendar[[#This Row],[WeekDay]]=1, calendar[[#This Row],[WeekDay]]=7),P2791,P2791+1)</f>
        <v>1994</v>
      </c>
    </row>
    <row r="2793" spans="1:19" x14ac:dyDescent="0.25">
      <c r="A2793" s="2">
        <v>45527</v>
      </c>
      <c r="B2793" s="1">
        <f t="shared" si="218"/>
        <v>34</v>
      </c>
      <c r="C2793">
        <f t="shared" si="220"/>
        <v>8</v>
      </c>
      <c r="D2793" t="str">
        <f t="shared" si="221"/>
        <v>August</v>
      </c>
      <c r="E2793">
        <f t="shared" si="222"/>
        <v>2024</v>
      </c>
      <c r="F2793" t="str">
        <f>CONCATENATE(calendar[[#This Row],[Month]],"/",calendar[[#This Row],[Year]])</f>
        <v>8/2024</v>
      </c>
      <c r="G2793">
        <f>WEEKDAY(calendar[[#This Row],[Date]],1)</f>
        <v>6</v>
      </c>
      <c r="H2793" t="str">
        <f>TEXT(calendar[[#This Row],[WeekDay]],"dddd")</f>
        <v>Friday</v>
      </c>
      <c r="I2793">
        <f>IF((INT(calendar[[#This Row],[Count]]/7)-calendar[[#This Row],[Count]]/7)&lt;0,I2792,I2792+1)</f>
        <v>399</v>
      </c>
      <c r="J2793">
        <f t="shared" si="219"/>
        <v>2791</v>
      </c>
      <c r="K2793">
        <f>IF(calendar[[#This Row],[Month]]&lt;4,1,IF(calendar[[#This Row],[Month]]&lt;7,2,IF(calendar[[#This Row],[Month]]&lt;10,3,4)))</f>
        <v>3</v>
      </c>
      <c r="L2793">
        <f>IFERROR(IF(VLOOKUP(calendar[[#This Row],[Date]],BH!A:A,1,)&lt;&gt;"",1,0),0)</f>
        <v>0</v>
      </c>
      <c r="M2793">
        <f>IFERROR(IF(VLOOKUP(calendar[[#This Row],[Date]],BH!C:C,1,)&lt;&gt;"",1,0),0)</f>
        <v>0</v>
      </c>
      <c r="N2793">
        <f>IFERROR(IF(VLOOKUP(calendar[[#This Row],[Date]],BH!E:E,1,)&lt;&gt;"",1,0),0)</f>
        <v>0</v>
      </c>
      <c r="O2793">
        <f>IFERROR(IF(VLOOKUP(calendar[[#This Row],[Date]],BH!G:G,1,)&lt;&gt;"",1,0),0)</f>
        <v>0</v>
      </c>
      <c r="P2793">
        <f>IF(OR(calendar[[#This Row],[UK_BH]]=1,calendar[[#This Row],[WeekDay]]=1, calendar[[#This Row],[WeekDay]]=7),P2792,P2792+1)</f>
        <v>1995</v>
      </c>
      <c r="Q2793">
        <f>IF(OR(calendar[[#This Row],[FR_BH]]=1,calendar[[#This Row],[WeekDay]]=1, calendar[[#This Row],[WeekDay]]=7),P2792,P2792+1)</f>
        <v>1995</v>
      </c>
      <c r="R2793">
        <f>IF(OR(calendar[[#This Row],[SP_BH]]=1,calendar[[#This Row],[WeekDay]]=1, calendar[[#This Row],[WeekDay]]=7),P2792,P2792+1)</f>
        <v>1995</v>
      </c>
      <c r="S2793">
        <f>IF(OR(calendar[[#This Row],[PT_BH]]=1,calendar[[#This Row],[WeekDay]]=1, calendar[[#This Row],[WeekDay]]=7),P2792,P2792+1)</f>
        <v>1995</v>
      </c>
    </row>
    <row r="2794" spans="1:19" x14ac:dyDescent="0.25">
      <c r="A2794" s="2">
        <v>45528</v>
      </c>
      <c r="B2794" s="1">
        <f t="shared" si="218"/>
        <v>34</v>
      </c>
      <c r="C2794">
        <f t="shared" si="220"/>
        <v>8</v>
      </c>
      <c r="D2794" t="str">
        <f t="shared" si="221"/>
        <v>August</v>
      </c>
      <c r="E2794">
        <f t="shared" si="222"/>
        <v>2024</v>
      </c>
      <c r="F2794" t="str">
        <f>CONCATENATE(calendar[[#This Row],[Month]],"/",calendar[[#This Row],[Year]])</f>
        <v>8/2024</v>
      </c>
      <c r="G2794">
        <f>WEEKDAY(calendar[[#This Row],[Date]],1)</f>
        <v>7</v>
      </c>
      <c r="H2794" t="str">
        <f>TEXT(calendar[[#This Row],[WeekDay]],"dddd")</f>
        <v>Saturday</v>
      </c>
      <c r="I2794">
        <f>IF((INT(calendar[[#This Row],[Count]]/7)-calendar[[#This Row],[Count]]/7)&lt;0,I2793,I2793+1)</f>
        <v>399</v>
      </c>
      <c r="J2794">
        <f t="shared" si="219"/>
        <v>2792</v>
      </c>
      <c r="K2794">
        <f>IF(calendar[[#This Row],[Month]]&lt;4,1,IF(calendar[[#This Row],[Month]]&lt;7,2,IF(calendar[[#This Row],[Month]]&lt;10,3,4)))</f>
        <v>3</v>
      </c>
      <c r="L2794">
        <f>IFERROR(IF(VLOOKUP(calendar[[#This Row],[Date]],BH!A:A,1,)&lt;&gt;"",1,0),0)</f>
        <v>0</v>
      </c>
      <c r="M2794">
        <f>IFERROR(IF(VLOOKUP(calendar[[#This Row],[Date]],BH!C:C,1,)&lt;&gt;"",1,0),0)</f>
        <v>0</v>
      </c>
      <c r="N2794">
        <f>IFERROR(IF(VLOOKUP(calendar[[#This Row],[Date]],BH!E:E,1,)&lt;&gt;"",1,0),0)</f>
        <v>0</v>
      </c>
      <c r="O2794">
        <f>IFERROR(IF(VLOOKUP(calendar[[#This Row],[Date]],BH!G:G,1,)&lt;&gt;"",1,0),0)</f>
        <v>0</v>
      </c>
      <c r="P2794">
        <f>IF(OR(calendar[[#This Row],[UK_BH]]=1,calendar[[#This Row],[WeekDay]]=1, calendar[[#This Row],[WeekDay]]=7),P2793,P2793+1)</f>
        <v>1995</v>
      </c>
      <c r="Q2794">
        <f>IF(OR(calendar[[#This Row],[FR_BH]]=1,calendar[[#This Row],[WeekDay]]=1, calendar[[#This Row],[WeekDay]]=7),P2793,P2793+1)</f>
        <v>1995</v>
      </c>
      <c r="R2794">
        <f>IF(OR(calendar[[#This Row],[SP_BH]]=1,calendar[[#This Row],[WeekDay]]=1, calendar[[#This Row],[WeekDay]]=7),P2793,P2793+1)</f>
        <v>1995</v>
      </c>
      <c r="S2794">
        <f>IF(OR(calendar[[#This Row],[PT_BH]]=1,calendar[[#This Row],[WeekDay]]=1, calendar[[#This Row],[WeekDay]]=7),P2793,P2793+1)</f>
        <v>1995</v>
      </c>
    </row>
    <row r="2795" spans="1:19" x14ac:dyDescent="0.25">
      <c r="A2795" s="2">
        <v>45529</v>
      </c>
      <c r="B2795" s="1">
        <f t="shared" si="218"/>
        <v>35</v>
      </c>
      <c r="C2795">
        <f t="shared" si="220"/>
        <v>8</v>
      </c>
      <c r="D2795" t="str">
        <f t="shared" si="221"/>
        <v>August</v>
      </c>
      <c r="E2795">
        <f t="shared" si="222"/>
        <v>2024</v>
      </c>
      <c r="F2795" t="str">
        <f>CONCATENATE(calendar[[#This Row],[Month]],"/",calendar[[#This Row],[Year]])</f>
        <v>8/2024</v>
      </c>
      <c r="G2795">
        <f>WEEKDAY(calendar[[#This Row],[Date]],1)</f>
        <v>1</v>
      </c>
      <c r="H2795" t="str">
        <f>TEXT(calendar[[#This Row],[WeekDay]],"dddd")</f>
        <v>Sunday</v>
      </c>
      <c r="I2795">
        <f>IF((INT(calendar[[#This Row],[Count]]/7)-calendar[[#This Row],[Count]]/7)&lt;0,I2794,I2794+1)</f>
        <v>400</v>
      </c>
      <c r="J2795">
        <f t="shared" si="219"/>
        <v>2793</v>
      </c>
      <c r="K2795">
        <f>IF(calendar[[#This Row],[Month]]&lt;4,1,IF(calendar[[#This Row],[Month]]&lt;7,2,IF(calendar[[#This Row],[Month]]&lt;10,3,4)))</f>
        <v>3</v>
      </c>
      <c r="L2795">
        <f>IFERROR(IF(VLOOKUP(calendar[[#This Row],[Date]],BH!A:A,1,)&lt;&gt;"",1,0),0)</f>
        <v>0</v>
      </c>
      <c r="M2795">
        <f>IFERROR(IF(VLOOKUP(calendar[[#This Row],[Date]],BH!C:C,1,)&lt;&gt;"",1,0),0)</f>
        <v>0</v>
      </c>
      <c r="N2795">
        <f>IFERROR(IF(VLOOKUP(calendar[[#This Row],[Date]],BH!E:E,1,)&lt;&gt;"",1,0),0)</f>
        <v>0</v>
      </c>
      <c r="O2795">
        <f>IFERROR(IF(VLOOKUP(calendar[[#This Row],[Date]],BH!G:G,1,)&lt;&gt;"",1,0),0)</f>
        <v>0</v>
      </c>
      <c r="P2795">
        <f>IF(OR(calendar[[#This Row],[UK_BH]]=1,calendar[[#This Row],[WeekDay]]=1, calendar[[#This Row],[WeekDay]]=7),P2794,P2794+1)</f>
        <v>1995</v>
      </c>
      <c r="Q2795">
        <f>IF(OR(calendar[[#This Row],[FR_BH]]=1,calendar[[#This Row],[WeekDay]]=1, calendar[[#This Row],[WeekDay]]=7),P2794,P2794+1)</f>
        <v>1995</v>
      </c>
      <c r="R2795">
        <f>IF(OR(calendar[[#This Row],[SP_BH]]=1,calendar[[#This Row],[WeekDay]]=1, calendar[[#This Row],[WeekDay]]=7),P2794,P2794+1)</f>
        <v>1995</v>
      </c>
      <c r="S2795">
        <f>IF(OR(calendar[[#This Row],[PT_BH]]=1,calendar[[#This Row],[WeekDay]]=1, calendar[[#This Row],[WeekDay]]=7),P2794,P2794+1)</f>
        <v>1995</v>
      </c>
    </row>
    <row r="2796" spans="1:19" x14ac:dyDescent="0.25">
      <c r="A2796" s="2">
        <v>45530</v>
      </c>
      <c r="B2796" s="1">
        <f t="shared" si="218"/>
        <v>35</v>
      </c>
      <c r="C2796">
        <f t="shared" si="220"/>
        <v>8</v>
      </c>
      <c r="D2796" t="str">
        <f t="shared" si="221"/>
        <v>August</v>
      </c>
      <c r="E2796">
        <f t="shared" si="222"/>
        <v>2024</v>
      </c>
      <c r="F2796" t="str">
        <f>CONCATENATE(calendar[[#This Row],[Month]],"/",calendar[[#This Row],[Year]])</f>
        <v>8/2024</v>
      </c>
      <c r="G2796">
        <f>WEEKDAY(calendar[[#This Row],[Date]],1)</f>
        <v>2</v>
      </c>
      <c r="H2796" t="str">
        <f>TEXT(calendar[[#This Row],[WeekDay]],"dddd")</f>
        <v>Monday</v>
      </c>
      <c r="I2796">
        <f>IF((INT(calendar[[#This Row],[Count]]/7)-calendar[[#This Row],[Count]]/7)&lt;0,I2795,I2795+1)</f>
        <v>400</v>
      </c>
      <c r="J2796">
        <f t="shared" si="219"/>
        <v>2794</v>
      </c>
      <c r="K2796">
        <f>IF(calendar[[#This Row],[Month]]&lt;4,1,IF(calendar[[#This Row],[Month]]&lt;7,2,IF(calendar[[#This Row],[Month]]&lt;10,3,4)))</f>
        <v>3</v>
      </c>
      <c r="L2796">
        <f>IFERROR(IF(VLOOKUP(calendar[[#This Row],[Date]],BH!A:A,1,)&lt;&gt;"",1,0),0)</f>
        <v>0</v>
      </c>
      <c r="M2796">
        <f>IFERROR(IF(VLOOKUP(calendar[[#This Row],[Date]],BH!C:C,1,)&lt;&gt;"",1,0),0)</f>
        <v>0</v>
      </c>
      <c r="N2796">
        <f>IFERROR(IF(VLOOKUP(calendar[[#This Row],[Date]],BH!E:E,1,)&lt;&gt;"",1,0),0)</f>
        <v>0</v>
      </c>
      <c r="O2796">
        <f>IFERROR(IF(VLOOKUP(calendar[[#This Row],[Date]],BH!G:G,1,)&lt;&gt;"",1,0),0)</f>
        <v>0</v>
      </c>
      <c r="P2796">
        <f>IF(OR(calendar[[#This Row],[UK_BH]]=1,calendar[[#This Row],[WeekDay]]=1, calendar[[#This Row],[WeekDay]]=7),P2795,P2795+1)</f>
        <v>1996</v>
      </c>
      <c r="Q2796">
        <f>IF(OR(calendar[[#This Row],[FR_BH]]=1,calendar[[#This Row],[WeekDay]]=1, calendar[[#This Row],[WeekDay]]=7),P2795,P2795+1)</f>
        <v>1996</v>
      </c>
      <c r="R2796">
        <f>IF(OR(calendar[[#This Row],[SP_BH]]=1,calendar[[#This Row],[WeekDay]]=1, calendar[[#This Row],[WeekDay]]=7),P2795,P2795+1)</f>
        <v>1996</v>
      </c>
      <c r="S2796">
        <f>IF(OR(calendar[[#This Row],[PT_BH]]=1,calendar[[#This Row],[WeekDay]]=1, calendar[[#This Row],[WeekDay]]=7),P2795,P2795+1)</f>
        <v>1996</v>
      </c>
    </row>
    <row r="2797" spans="1:19" x14ac:dyDescent="0.25">
      <c r="A2797" s="2">
        <v>45531</v>
      </c>
      <c r="B2797" s="1">
        <f t="shared" si="218"/>
        <v>35</v>
      </c>
      <c r="C2797">
        <f t="shared" si="220"/>
        <v>8</v>
      </c>
      <c r="D2797" t="str">
        <f t="shared" si="221"/>
        <v>August</v>
      </c>
      <c r="E2797">
        <f t="shared" si="222"/>
        <v>2024</v>
      </c>
      <c r="F2797" t="str">
        <f>CONCATENATE(calendar[[#This Row],[Month]],"/",calendar[[#This Row],[Year]])</f>
        <v>8/2024</v>
      </c>
      <c r="G2797">
        <f>WEEKDAY(calendar[[#This Row],[Date]],1)</f>
        <v>3</v>
      </c>
      <c r="H2797" t="str">
        <f>TEXT(calendar[[#This Row],[WeekDay]],"dddd")</f>
        <v>Tuesday</v>
      </c>
      <c r="I2797">
        <f>IF((INT(calendar[[#This Row],[Count]]/7)-calendar[[#This Row],[Count]]/7)&lt;0,I2796,I2796+1)</f>
        <v>400</v>
      </c>
      <c r="J2797">
        <f t="shared" si="219"/>
        <v>2795</v>
      </c>
      <c r="K2797">
        <f>IF(calendar[[#This Row],[Month]]&lt;4,1,IF(calendar[[#This Row],[Month]]&lt;7,2,IF(calendar[[#This Row],[Month]]&lt;10,3,4)))</f>
        <v>3</v>
      </c>
      <c r="L2797">
        <f>IFERROR(IF(VLOOKUP(calendar[[#This Row],[Date]],BH!A:A,1,)&lt;&gt;"",1,0),0)</f>
        <v>0</v>
      </c>
      <c r="M2797">
        <f>IFERROR(IF(VLOOKUP(calendar[[#This Row],[Date]],BH!C:C,1,)&lt;&gt;"",1,0),0)</f>
        <v>0</v>
      </c>
      <c r="N2797">
        <f>IFERROR(IF(VLOOKUP(calendar[[#This Row],[Date]],BH!E:E,1,)&lt;&gt;"",1,0),0)</f>
        <v>0</v>
      </c>
      <c r="O2797">
        <f>IFERROR(IF(VLOOKUP(calendar[[#This Row],[Date]],BH!G:G,1,)&lt;&gt;"",1,0),0)</f>
        <v>0</v>
      </c>
      <c r="P2797">
        <f>IF(OR(calendar[[#This Row],[UK_BH]]=1,calendar[[#This Row],[WeekDay]]=1, calendar[[#This Row],[WeekDay]]=7),P2796,P2796+1)</f>
        <v>1997</v>
      </c>
      <c r="Q2797">
        <f>IF(OR(calendar[[#This Row],[FR_BH]]=1,calendar[[#This Row],[WeekDay]]=1, calendar[[#This Row],[WeekDay]]=7),P2796,P2796+1)</f>
        <v>1997</v>
      </c>
      <c r="R2797">
        <f>IF(OR(calendar[[#This Row],[SP_BH]]=1,calendar[[#This Row],[WeekDay]]=1, calendar[[#This Row],[WeekDay]]=7),P2796,P2796+1)</f>
        <v>1997</v>
      </c>
      <c r="S2797">
        <f>IF(OR(calendar[[#This Row],[PT_BH]]=1,calendar[[#This Row],[WeekDay]]=1, calendar[[#This Row],[WeekDay]]=7),P2796,P2796+1)</f>
        <v>1997</v>
      </c>
    </row>
    <row r="2798" spans="1:19" x14ac:dyDescent="0.25">
      <c r="A2798" s="2">
        <v>45532</v>
      </c>
      <c r="B2798" s="1">
        <f t="shared" si="218"/>
        <v>35</v>
      </c>
      <c r="C2798">
        <f t="shared" si="220"/>
        <v>8</v>
      </c>
      <c r="D2798" t="str">
        <f t="shared" si="221"/>
        <v>August</v>
      </c>
      <c r="E2798">
        <f t="shared" si="222"/>
        <v>2024</v>
      </c>
      <c r="F2798" t="str">
        <f>CONCATENATE(calendar[[#This Row],[Month]],"/",calendar[[#This Row],[Year]])</f>
        <v>8/2024</v>
      </c>
      <c r="G2798">
        <f>WEEKDAY(calendar[[#This Row],[Date]],1)</f>
        <v>4</v>
      </c>
      <c r="H2798" t="str">
        <f>TEXT(calendar[[#This Row],[WeekDay]],"dddd")</f>
        <v>Wednesday</v>
      </c>
      <c r="I2798">
        <f>IF((INT(calendar[[#This Row],[Count]]/7)-calendar[[#This Row],[Count]]/7)&lt;0,I2797,I2797+1)</f>
        <v>400</v>
      </c>
      <c r="J2798">
        <f t="shared" si="219"/>
        <v>2796</v>
      </c>
      <c r="K2798">
        <f>IF(calendar[[#This Row],[Month]]&lt;4,1,IF(calendar[[#This Row],[Month]]&lt;7,2,IF(calendar[[#This Row],[Month]]&lt;10,3,4)))</f>
        <v>3</v>
      </c>
      <c r="L2798">
        <f>IFERROR(IF(VLOOKUP(calendar[[#This Row],[Date]],BH!A:A,1,)&lt;&gt;"",1,0),0)</f>
        <v>0</v>
      </c>
      <c r="M2798">
        <f>IFERROR(IF(VLOOKUP(calendar[[#This Row],[Date]],BH!C:C,1,)&lt;&gt;"",1,0),0)</f>
        <v>0</v>
      </c>
      <c r="N2798">
        <f>IFERROR(IF(VLOOKUP(calendar[[#This Row],[Date]],BH!E:E,1,)&lt;&gt;"",1,0),0)</f>
        <v>0</v>
      </c>
      <c r="O2798">
        <f>IFERROR(IF(VLOOKUP(calendar[[#This Row],[Date]],BH!G:G,1,)&lt;&gt;"",1,0),0)</f>
        <v>0</v>
      </c>
      <c r="P2798">
        <f>IF(OR(calendar[[#This Row],[UK_BH]]=1,calendar[[#This Row],[WeekDay]]=1, calendar[[#This Row],[WeekDay]]=7),P2797,P2797+1)</f>
        <v>1998</v>
      </c>
      <c r="Q2798">
        <f>IF(OR(calendar[[#This Row],[FR_BH]]=1,calendar[[#This Row],[WeekDay]]=1, calendar[[#This Row],[WeekDay]]=7),P2797,P2797+1)</f>
        <v>1998</v>
      </c>
      <c r="R2798">
        <f>IF(OR(calendar[[#This Row],[SP_BH]]=1,calendar[[#This Row],[WeekDay]]=1, calendar[[#This Row],[WeekDay]]=7),P2797,P2797+1)</f>
        <v>1998</v>
      </c>
      <c r="S2798">
        <f>IF(OR(calendar[[#This Row],[PT_BH]]=1,calendar[[#This Row],[WeekDay]]=1, calendar[[#This Row],[WeekDay]]=7),P2797,P2797+1)</f>
        <v>1998</v>
      </c>
    </row>
    <row r="2799" spans="1:19" x14ac:dyDescent="0.25">
      <c r="A2799" s="2">
        <v>45533</v>
      </c>
      <c r="B2799" s="1">
        <f t="shared" si="218"/>
        <v>35</v>
      </c>
      <c r="C2799">
        <f t="shared" si="220"/>
        <v>8</v>
      </c>
      <c r="D2799" t="str">
        <f t="shared" si="221"/>
        <v>August</v>
      </c>
      <c r="E2799">
        <f t="shared" si="222"/>
        <v>2024</v>
      </c>
      <c r="F2799" t="str">
        <f>CONCATENATE(calendar[[#This Row],[Month]],"/",calendar[[#This Row],[Year]])</f>
        <v>8/2024</v>
      </c>
      <c r="G2799">
        <f>WEEKDAY(calendar[[#This Row],[Date]],1)</f>
        <v>5</v>
      </c>
      <c r="H2799" t="str">
        <f>TEXT(calendar[[#This Row],[WeekDay]],"dddd")</f>
        <v>Thursday</v>
      </c>
      <c r="I2799">
        <f>IF((INT(calendar[[#This Row],[Count]]/7)-calendar[[#This Row],[Count]]/7)&lt;0,I2798,I2798+1)</f>
        <v>400</v>
      </c>
      <c r="J2799">
        <f t="shared" si="219"/>
        <v>2797</v>
      </c>
      <c r="K2799">
        <f>IF(calendar[[#This Row],[Month]]&lt;4,1,IF(calendar[[#This Row],[Month]]&lt;7,2,IF(calendar[[#This Row],[Month]]&lt;10,3,4)))</f>
        <v>3</v>
      </c>
      <c r="L2799">
        <f>IFERROR(IF(VLOOKUP(calendar[[#This Row],[Date]],BH!A:A,1,)&lt;&gt;"",1,0),0)</f>
        <v>0</v>
      </c>
      <c r="M2799">
        <f>IFERROR(IF(VLOOKUP(calendar[[#This Row],[Date]],BH!C:C,1,)&lt;&gt;"",1,0),0)</f>
        <v>0</v>
      </c>
      <c r="N2799">
        <f>IFERROR(IF(VLOOKUP(calendar[[#This Row],[Date]],BH!E:E,1,)&lt;&gt;"",1,0),0)</f>
        <v>0</v>
      </c>
      <c r="O2799">
        <f>IFERROR(IF(VLOOKUP(calendar[[#This Row],[Date]],BH!G:G,1,)&lt;&gt;"",1,0),0)</f>
        <v>0</v>
      </c>
      <c r="P2799">
        <f>IF(OR(calendar[[#This Row],[UK_BH]]=1,calendar[[#This Row],[WeekDay]]=1, calendar[[#This Row],[WeekDay]]=7),P2798,P2798+1)</f>
        <v>1999</v>
      </c>
      <c r="Q2799">
        <f>IF(OR(calendar[[#This Row],[FR_BH]]=1,calendar[[#This Row],[WeekDay]]=1, calendar[[#This Row],[WeekDay]]=7),P2798,P2798+1)</f>
        <v>1999</v>
      </c>
      <c r="R2799">
        <f>IF(OR(calendar[[#This Row],[SP_BH]]=1,calendar[[#This Row],[WeekDay]]=1, calendar[[#This Row],[WeekDay]]=7),P2798,P2798+1)</f>
        <v>1999</v>
      </c>
      <c r="S2799">
        <f>IF(OR(calendar[[#This Row],[PT_BH]]=1,calendar[[#This Row],[WeekDay]]=1, calendar[[#This Row],[WeekDay]]=7),P2798,P2798+1)</f>
        <v>1999</v>
      </c>
    </row>
    <row r="2800" spans="1:19" x14ac:dyDescent="0.25">
      <c r="A2800" s="2">
        <v>45534</v>
      </c>
      <c r="B2800" s="1">
        <f t="shared" si="218"/>
        <v>35</v>
      </c>
      <c r="C2800">
        <f t="shared" si="220"/>
        <v>8</v>
      </c>
      <c r="D2800" t="str">
        <f t="shared" si="221"/>
        <v>August</v>
      </c>
      <c r="E2800">
        <f t="shared" si="222"/>
        <v>2024</v>
      </c>
      <c r="F2800" t="str">
        <f>CONCATENATE(calendar[[#This Row],[Month]],"/",calendar[[#This Row],[Year]])</f>
        <v>8/2024</v>
      </c>
      <c r="G2800">
        <f>WEEKDAY(calendar[[#This Row],[Date]],1)</f>
        <v>6</v>
      </c>
      <c r="H2800" t="str">
        <f>TEXT(calendar[[#This Row],[WeekDay]],"dddd")</f>
        <v>Friday</v>
      </c>
      <c r="I2800">
        <f>IF((INT(calendar[[#This Row],[Count]]/7)-calendar[[#This Row],[Count]]/7)&lt;0,I2799,I2799+1)</f>
        <v>400</v>
      </c>
      <c r="J2800">
        <f t="shared" si="219"/>
        <v>2798</v>
      </c>
      <c r="K2800">
        <f>IF(calendar[[#This Row],[Month]]&lt;4,1,IF(calendar[[#This Row],[Month]]&lt;7,2,IF(calendar[[#This Row],[Month]]&lt;10,3,4)))</f>
        <v>3</v>
      </c>
      <c r="L2800">
        <f>IFERROR(IF(VLOOKUP(calendar[[#This Row],[Date]],BH!A:A,1,)&lt;&gt;"",1,0),0)</f>
        <v>0</v>
      </c>
      <c r="M2800">
        <f>IFERROR(IF(VLOOKUP(calendar[[#This Row],[Date]],BH!C:C,1,)&lt;&gt;"",1,0),0)</f>
        <v>0</v>
      </c>
      <c r="N2800">
        <f>IFERROR(IF(VLOOKUP(calendar[[#This Row],[Date]],BH!E:E,1,)&lt;&gt;"",1,0),0)</f>
        <v>0</v>
      </c>
      <c r="O2800">
        <f>IFERROR(IF(VLOOKUP(calendar[[#This Row],[Date]],BH!G:G,1,)&lt;&gt;"",1,0),0)</f>
        <v>0</v>
      </c>
      <c r="P2800">
        <f>IF(OR(calendar[[#This Row],[UK_BH]]=1,calendar[[#This Row],[WeekDay]]=1, calendar[[#This Row],[WeekDay]]=7),P2799,P2799+1)</f>
        <v>2000</v>
      </c>
      <c r="Q2800">
        <f>IF(OR(calendar[[#This Row],[FR_BH]]=1,calendar[[#This Row],[WeekDay]]=1, calendar[[#This Row],[WeekDay]]=7),P2799,P2799+1)</f>
        <v>2000</v>
      </c>
      <c r="R2800">
        <f>IF(OR(calendar[[#This Row],[SP_BH]]=1,calendar[[#This Row],[WeekDay]]=1, calendar[[#This Row],[WeekDay]]=7),P2799,P2799+1)</f>
        <v>2000</v>
      </c>
      <c r="S2800">
        <f>IF(OR(calendar[[#This Row],[PT_BH]]=1,calendar[[#This Row],[WeekDay]]=1, calendar[[#This Row],[WeekDay]]=7),P2799,P2799+1)</f>
        <v>2000</v>
      </c>
    </row>
    <row r="2801" spans="1:19" x14ac:dyDescent="0.25">
      <c r="A2801" s="2">
        <v>45535</v>
      </c>
      <c r="B2801" s="1">
        <f t="shared" si="218"/>
        <v>35</v>
      </c>
      <c r="C2801">
        <f t="shared" si="220"/>
        <v>8</v>
      </c>
      <c r="D2801" t="str">
        <f t="shared" si="221"/>
        <v>August</v>
      </c>
      <c r="E2801">
        <f t="shared" si="222"/>
        <v>2024</v>
      </c>
      <c r="F2801" t="str">
        <f>CONCATENATE(calendar[[#This Row],[Month]],"/",calendar[[#This Row],[Year]])</f>
        <v>8/2024</v>
      </c>
      <c r="G2801">
        <f>WEEKDAY(calendar[[#This Row],[Date]],1)</f>
        <v>7</v>
      </c>
      <c r="H2801" t="str">
        <f>TEXT(calendar[[#This Row],[WeekDay]],"dddd")</f>
        <v>Saturday</v>
      </c>
      <c r="I2801">
        <f>IF((INT(calendar[[#This Row],[Count]]/7)-calendar[[#This Row],[Count]]/7)&lt;0,I2800,I2800+1)</f>
        <v>400</v>
      </c>
      <c r="J2801">
        <f t="shared" si="219"/>
        <v>2799</v>
      </c>
      <c r="K2801">
        <f>IF(calendar[[#This Row],[Month]]&lt;4,1,IF(calendar[[#This Row],[Month]]&lt;7,2,IF(calendar[[#This Row],[Month]]&lt;10,3,4)))</f>
        <v>3</v>
      </c>
      <c r="L2801">
        <f>IFERROR(IF(VLOOKUP(calendar[[#This Row],[Date]],BH!A:A,1,)&lt;&gt;"",1,0),0)</f>
        <v>0</v>
      </c>
      <c r="M2801">
        <f>IFERROR(IF(VLOOKUP(calendar[[#This Row],[Date]],BH!C:C,1,)&lt;&gt;"",1,0),0)</f>
        <v>0</v>
      </c>
      <c r="N2801">
        <f>IFERROR(IF(VLOOKUP(calendar[[#This Row],[Date]],BH!E:E,1,)&lt;&gt;"",1,0),0)</f>
        <v>0</v>
      </c>
      <c r="O2801">
        <f>IFERROR(IF(VLOOKUP(calendar[[#This Row],[Date]],BH!G:G,1,)&lt;&gt;"",1,0),0)</f>
        <v>0</v>
      </c>
      <c r="P2801">
        <f>IF(OR(calendar[[#This Row],[UK_BH]]=1,calendar[[#This Row],[WeekDay]]=1, calendar[[#This Row],[WeekDay]]=7),P2800,P2800+1)</f>
        <v>2000</v>
      </c>
      <c r="Q2801">
        <f>IF(OR(calendar[[#This Row],[FR_BH]]=1,calendar[[#This Row],[WeekDay]]=1, calendar[[#This Row],[WeekDay]]=7),P2800,P2800+1)</f>
        <v>2000</v>
      </c>
      <c r="R2801">
        <f>IF(OR(calendar[[#This Row],[SP_BH]]=1,calendar[[#This Row],[WeekDay]]=1, calendar[[#This Row],[WeekDay]]=7),P2800,P2800+1)</f>
        <v>2000</v>
      </c>
      <c r="S2801">
        <f>IF(OR(calendar[[#This Row],[PT_BH]]=1,calendar[[#This Row],[WeekDay]]=1, calendar[[#This Row],[WeekDay]]=7),P2800,P2800+1)</f>
        <v>2000</v>
      </c>
    </row>
    <row r="2802" spans="1:19" x14ac:dyDescent="0.25">
      <c r="A2802" s="2">
        <v>45536</v>
      </c>
      <c r="B2802" s="1">
        <f t="shared" si="218"/>
        <v>36</v>
      </c>
      <c r="C2802">
        <f t="shared" si="220"/>
        <v>9</v>
      </c>
      <c r="D2802" t="str">
        <f t="shared" si="221"/>
        <v>September</v>
      </c>
      <c r="E2802">
        <f t="shared" si="222"/>
        <v>2024</v>
      </c>
      <c r="F2802" t="str">
        <f>CONCATENATE(calendar[[#This Row],[Month]],"/",calendar[[#This Row],[Year]])</f>
        <v>9/2024</v>
      </c>
      <c r="G2802">
        <f>WEEKDAY(calendar[[#This Row],[Date]],1)</f>
        <v>1</v>
      </c>
      <c r="H2802" t="str">
        <f>TEXT(calendar[[#This Row],[WeekDay]],"dddd")</f>
        <v>Sunday</v>
      </c>
      <c r="I2802">
        <f>IF((INT(calendar[[#This Row],[Count]]/7)-calendar[[#This Row],[Count]]/7)&lt;0,I2801,I2801+1)</f>
        <v>401</v>
      </c>
      <c r="J2802">
        <f t="shared" si="219"/>
        <v>2800</v>
      </c>
      <c r="K2802">
        <f>IF(calendar[[#This Row],[Month]]&lt;4,1,IF(calendar[[#This Row],[Month]]&lt;7,2,IF(calendar[[#This Row],[Month]]&lt;10,3,4)))</f>
        <v>3</v>
      </c>
      <c r="L2802">
        <f>IFERROR(IF(VLOOKUP(calendar[[#This Row],[Date]],BH!A:A,1,)&lt;&gt;"",1,0),0)</f>
        <v>0</v>
      </c>
      <c r="M2802">
        <f>IFERROR(IF(VLOOKUP(calendar[[#This Row],[Date]],BH!C:C,1,)&lt;&gt;"",1,0),0)</f>
        <v>0</v>
      </c>
      <c r="N2802">
        <f>IFERROR(IF(VLOOKUP(calendar[[#This Row],[Date]],BH!E:E,1,)&lt;&gt;"",1,0),0)</f>
        <v>0</v>
      </c>
      <c r="O2802">
        <f>IFERROR(IF(VLOOKUP(calendar[[#This Row],[Date]],BH!G:G,1,)&lt;&gt;"",1,0),0)</f>
        <v>0</v>
      </c>
      <c r="P2802">
        <f>IF(OR(calendar[[#This Row],[UK_BH]]=1,calendar[[#This Row],[WeekDay]]=1, calendar[[#This Row],[WeekDay]]=7),P2801,P2801+1)</f>
        <v>2000</v>
      </c>
      <c r="Q2802">
        <f>IF(OR(calendar[[#This Row],[FR_BH]]=1,calendar[[#This Row],[WeekDay]]=1, calendar[[#This Row],[WeekDay]]=7),P2801,P2801+1)</f>
        <v>2000</v>
      </c>
      <c r="R2802">
        <f>IF(OR(calendar[[#This Row],[SP_BH]]=1,calendar[[#This Row],[WeekDay]]=1, calendar[[#This Row],[WeekDay]]=7),P2801,P2801+1)</f>
        <v>2000</v>
      </c>
      <c r="S2802">
        <f>IF(OR(calendar[[#This Row],[PT_BH]]=1,calendar[[#This Row],[WeekDay]]=1, calendar[[#This Row],[WeekDay]]=7),P2801,P2801+1)</f>
        <v>2000</v>
      </c>
    </row>
    <row r="2803" spans="1:19" x14ac:dyDescent="0.25">
      <c r="A2803" s="2">
        <v>45537</v>
      </c>
      <c r="B2803" s="1">
        <f t="shared" si="218"/>
        <v>36</v>
      </c>
      <c r="C2803">
        <f t="shared" si="220"/>
        <v>9</v>
      </c>
      <c r="D2803" t="str">
        <f t="shared" si="221"/>
        <v>September</v>
      </c>
      <c r="E2803">
        <f t="shared" si="222"/>
        <v>2024</v>
      </c>
      <c r="F2803" t="str">
        <f>CONCATENATE(calendar[[#This Row],[Month]],"/",calendar[[#This Row],[Year]])</f>
        <v>9/2024</v>
      </c>
      <c r="G2803">
        <f>WEEKDAY(calendar[[#This Row],[Date]],1)</f>
        <v>2</v>
      </c>
      <c r="H2803" t="str">
        <f>TEXT(calendar[[#This Row],[WeekDay]],"dddd")</f>
        <v>Monday</v>
      </c>
      <c r="I2803">
        <f>IF((INT(calendar[[#This Row],[Count]]/7)-calendar[[#This Row],[Count]]/7)&lt;0,I2802,I2802+1)</f>
        <v>401</v>
      </c>
      <c r="J2803">
        <f t="shared" si="219"/>
        <v>2801</v>
      </c>
      <c r="K2803">
        <f>IF(calendar[[#This Row],[Month]]&lt;4,1,IF(calendar[[#This Row],[Month]]&lt;7,2,IF(calendar[[#This Row],[Month]]&lt;10,3,4)))</f>
        <v>3</v>
      </c>
      <c r="L2803">
        <f>IFERROR(IF(VLOOKUP(calendar[[#This Row],[Date]],BH!A:A,1,)&lt;&gt;"",1,0),0)</f>
        <v>0</v>
      </c>
      <c r="M2803">
        <f>IFERROR(IF(VLOOKUP(calendar[[#This Row],[Date]],BH!C:C,1,)&lt;&gt;"",1,0),0)</f>
        <v>0</v>
      </c>
      <c r="N2803">
        <f>IFERROR(IF(VLOOKUP(calendar[[#This Row],[Date]],BH!E:E,1,)&lt;&gt;"",1,0),0)</f>
        <v>0</v>
      </c>
      <c r="O2803">
        <f>IFERROR(IF(VLOOKUP(calendar[[#This Row],[Date]],BH!G:G,1,)&lt;&gt;"",1,0),0)</f>
        <v>0</v>
      </c>
      <c r="P2803">
        <f>IF(OR(calendar[[#This Row],[UK_BH]]=1,calendar[[#This Row],[WeekDay]]=1, calendar[[#This Row],[WeekDay]]=7),P2802,P2802+1)</f>
        <v>2001</v>
      </c>
      <c r="Q2803">
        <f>IF(OR(calendar[[#This Row],[FR_BH]]=1,calendar[[#This Row],[WeekDay]]=1, calendar[[#This Row],[WeekDay]]=7),P2802,P2802+1)</f>
        <v>2001</v>
      </c>
      <c r="R2803">
        <f>IF(OR(calendar[[#This Row],[SP_BH]]=1,calendar[[#This Row],[WeekDay]]=1, calendar[[#This Row],[WeekDay]]=7),P2802,P2802+1)</f>
        <v>2001</v>
      </c>
      <c r="S2803">
        <f>IF(OR(calendar[[#This Row],[PT_BH]]=1,calendar[[#This Row],[WeekDay]]=1, calendar[[#This Row],[WeekDay]]=7),P2802,P2802+1)</f>
        <v>2001</v>
      </c>
    </row>
    <row r="2804" spans="1:19" x14ac:dyDescent="0.25">
      <c r="A2804" s="2">
        <v>45538</v>
      </c>
      <c r="B2804" s="1">
        <f t="shared" si="218"/>
        <v>36</v>
      </c>
      <c r="C2804">
        <f t="shared" si="220"/>
        <v>9</v>
      </c>
      <c r="D2804" t="str">
        <f t="shared" si="221"/>
        <v>September</v>
      </c>
      <c r="E2804">
        <f t="shared" si="222"/>
        <v>2024</v>
      </c>
      <c r="F2804" t="str">
        <f>CONCATENATE(calendar[[#This Row],[Month]],"/",calendar[[#This Row],[Year]])</f>
        <v>9/2024</v>
      </c>
      <c r="G2804">
        <f>WEEKDAY(calendar[[#This Row],[Date]],1)</f>
        <v>3</v>
      </c>
      <c r="H2804" t="str">
        <f>TEXT(calendar[[#This Row],[WeekDay]],"dddd")</f>
        <v>Tuesday</v>
      </c>
      <c r="I2804">
        <f>IF((INT(calendar[[#This Row],[Count]]/7)-calendar[[#This Row],[Count]]/7)&lt;0,I2803,I2803+1)</f>
        <v>401</v>
      </c>
      <c r="J2804">
        <f t="shared" si="219"/>
        <v>2802</v>
      </c>
      <c r="K2804">
        <f>IF(calendar[[#This Row],[Month]]&lt;4,1,IF(calendar[[#This Row],[Month]]&lt;7,2,IF(calendar[[#This Row],[Month]]&lt;10,3,4)))</f>
        <v>3</v>
      </c>
      <c r="L2804">
        <f>IFERROR(IF(VLOOKUP(calendar[[#This Row],[Date]],BH!A:A,1,)&lt;&gt;"",1,0),0)</f>
        <v>0</v>
      </c>
      <c r="M2804">
        <f>IFERROR(IF(VLOOKUP(calendar[[#This Row],[Date]],BH!C:C,1,)&lt;&gt;"",1,0),0)</f>
        <v>0</v>
      </c>
      <c r="N2804">
        <f>IFERROR(IF(VLOOKUP(calendar[[#This Row],[Date]],BH!E:E,1,)&lt;&gt;"",1,0),0)</f>
        <v>0</v>
      </c>
      <c r="O2804">
        <f>IFERROR(IF(VLOOKUP(calendar[[#This Row],[Date]],BH!G:G,1,)&lt;&gt;"",1,0),0)</f>
        <v>0</v>
      </c>
      <c r="P2804">
        <f>IF(OR(calendar[[#This Row],[UK_BH]]=1,calendar[[#This Row],[WeekDay]]=1, calendar[[#This Row],[WeekDay]]=7),P2803,P2803+1)</f>
        <v>2002</v>
      </c>
      <c r="Q2804">
        <f>IF(OR(calendar[[#This Row],[FR_BH]]=1,calendar[[#This Row],[WeekDay]]=1, calendar[[#This Row],[WeekDay]]=7),P2803,P2803+1)</f>
        <v>2002</v>
      </c>
      <c r="R2804">
        <f>IF(OR(calendar[[#This Row],[SP_BH]]=1,calendar[[#This Row],[WeekDay]]=1, calendar[[#This Row],[WeekDay]]=7),P2803,P2803+1)</f>
        <v>2002</v>
      </c>
      <c r="S2804">
        <f>IF(OR(calendar[[#This Row],[PT_BH]]=1,calendar[[#This Row],[WeekDay]]=1, calendar[[#This Row],[WeekDay]]=7),P2803,P2803+1)</f>
        <v>2002</v>
      </c>
    </row>
    <row r="2805" spans="1:19" x14ac:dyDescent="0.25">
      <c r="A2805" s="2">
        <v>45539</v>
      </c>
      <c r="B2805" s="1">
        <f t="shared" si="218"/>
        <v>36</v>
      </c>
      <c r="C2805">
        <f t="shared" si="220"/>
        <v>9</v>
      </c>
      <c r="D2805" t="str">
        <f t="shared" si="221"/>
        <v>September</v>
      </c>
      <c r="E2805">
        <f t="shared" si="222"/>
        <v>2024</v>
      </c>
      <c r="F2805" t="str">
        <f>CONCATENATE(calendar[[#This Row],[Month]],"/",calendar[[#This Row],[Year]])</f>
        <v>9/2024</v>
      </c>
      <c r="G2805">
        <f>WEEKDAY(calendar[[#This Row],[Date]],1)</f>
        <v>4</v>
      </c>
      <c r="H2805" t="str">
        <f>TEXT(calendar[[#This Row],[WeekDay]],"dddd")</f>
        <v>Wednesday</v>
      </c>
      <c r="I2805">
        <f>IF((INT(calendar[[#This Row],[Count]]/7)-calendar[[#This Row],[Count]]/7)&lt;0,I2804,I2804+1)</f>
        <v>401</v>
      </c>
      <c r="J2805">
        <f t="shared" si="219"/>
        <v>2803</v>
      </c>
      <c r="K2805">
        <f>IF(calendar[[#This Row],[Month]]&lt;4,1,IF(calendar[[#This Row],[Month]]&lt;7,2,IF(calendar[[#This Row],[Month]]&lt;10,3,4)))</f>
        <v>3</v>
      </c>
      <c r="L2805">
        <f>IFERROR(IF(VLOOKUP(calendar[[#This Row],[Date]],BH!A:A,1,)&lt;&gt;"",1,0),0)</f>
        <v>0</v>
      </c>
      <c r="M2805">
        <f>IFERROR(IF(VLOOKUP(calendar[[#This Row],[Date]],BH!C:C,1,)&lt;&gt;"",1,0),0)</f>
        <v>0</v>
      </c>
      <c r="N2805">
        <f>IFERROR(IF(VLOOKUP(calendar[[#This Row],[Date]],BH!E:E,1,)&lt;&gt;"",1,0),0)</f>
        <v>0</v>
      </c>
      <c r="O2805">
        <f>IFERROR(IF(VLOOKUP(calendar[[#This Row],[Date]],BH!G:G,1,)&lt;&gt;"",1,0),0)</f>
        <v>0</v>
      </c>
      <c r="P2805">
        <f>IF(OR(calendar[[#This Row],[UK_BH]]=1,calendar[[#This Row],[WeekDay]]=1, calendar[[#This Row],[WeekDay]]=7),P2804,P2804+1)</f>
        <v>2003</v>
      </c>
      <c r="Q2805">
        <f>IF(OR(calendar[[#This Row],[FR_BH]]=1,calendar[[#This Row],[WeekDay]]=1, calendar[[#This Row],[WeekDay]]=7),P2804,P2804+1)</f>
        <v>2003</v>
      </c>
      <c r="R2805">
        <f>IF(OR(calendar[[#This Row],[SP_BH]]=1,calendar[[#This Row],[WeekDay]]=1, calendar[[#This Row],[WeekDay]]=7),P2804,P2804+1)</f>
        <v>2003</v>
      </c>
      <c r="S2805">
        <f>IF(OR(calendar[[#This Row],[PT_BH]]=1,calendar[[#This Row],[WeekDay]]=1, calendar[[#This Row],[WeekDay]]=7),P2804,P2804+1)</f>
        <v>2003</v>
      </c>
    </row>
    <row r="2806" spans="1:19" x14ac:dyDescent="0.25">
      <c r="A2806" s="2">
        <v>45540</v>
      </c>
      <c r="B2806" s="1">
        <f t="shared" si="218"/>
        <v>36</v>
      </c>
      <c r="C2806">
        <f t="shared" si="220"/>
        <v>9</v>
      </c>
      <c r="D2806" t="str">
        <f t="shared" si="221"/>
        <v>September</v>
      </c>
      <c r="E2806">
        <f t="shared" si="222"/>
        <v>2024</v>
      </c>
      <c r="F2806" t="str">
        <f>CONCATENATE(calendar[[#This Row],[Month]],"/",calendar[[#This Row],[Year]])</f>
        <v>9/2024</v>
      </c>
      <c r="G2806">
        <f>WEEKDAY(calendar[[#This Row],[Date]],1)</f>
        <v>5</v>
      </c>
      <c r="H2806" t="str">
        <f>TEXT(calendar[[#This Row],[WeekDay]],"dddd")</f>
        <v>Thursday</v>
      </c>
      <c r="I2806">
        <f>IF((INT(calendar[[#This Row],[Count]]/7)-calendar[[#This Row],[Count]]/7)&lt;0,I2805,I2805+1)</f>
        <v>401</v>
      </c>
      <c r="J2806">
        <f t="shared" si="219"/>
        <v>2804</v>
      </c>
      <c r="K2806">
        <f>IF(calendar[[#This Row],[Month]]&lt;4,1,IF(calendar[[#This Row],[Month]]&lt;7,2,IF(calendar[[#This Row],[Month]]&lt;10,3,4)))</f>
        <v>3</v>
      </c>
      <c r="L2806">
        <f>IFERROR(IF(VLOOKUP(calendar[[#This Row],[Date]],BH!A:A,1,)&lt;&gt;"",1,0),0)</f>
        <v>0</v>
      </c>
      <c r="M2806">
        <f>IFERROR(IF(VLOOKUP(calendar[[#This Row],[Date]],BH!C:C,1,)&lt;&gt;"",1,0),0)</f>
        <v>0</v>
      </c>
      <c r="N2806">
        <f>IFERROR(IF(VLOOKUP(calendar[[#This Row],[Date]],BH!E:E,1,)&lt;&gt;"",1,0),0)</f>
        <v>0</v>
      </c>
      <c r="O2806">
        <f>IFERROR(IF(VLOOKUP(calendar[[#This Row],[Date]],BH!G:G,1,)&lt;&gt;"",1,0),0)</f>
        <v>0</v>
      </c>
      <c r="P2806">
        <f>IF(OR(calendar[[#This Row],[UK_BH]]=1,calendar[[#This Row],[WeekDay]]=1, calendar[[#This Row],[WeekDay]]=7),P2805,P2805+1)</f>
        <v>2004</v>
      </c>
      <c r="Q2806">
        <f>IF(OR(calendar[[#This Row],[FR_BH]]=1,calendar[[#This Row],[WeekDay]]=1, calendar[[#This Row],[WeekDay]]=7),P2805,P2805+1)</f>
        <v>2004</v>
      </c>
      <c r="R2806">
        <f>IF(OR(calendar[[#This Row],[SP_BH]]=1,calendar[[#This Row],[WeekDay]]=1, calendar[[#This Row],[WeekDay]]=7),P2805,P2805+1)</f>
        <v>2004</v>
      </c>
      <c r="S2806">
        <f>IF(OR(calendar[[#This Row],[PT_BH]]=1,calendar[[#This Row],[WeekDay]]=1, calendar[[#This Row],[WeekDay]]=7),P2805,P2805+1)</f>
        <v>2004</v>
      </c>
    </row>
    <row r="2807" spans="1:19" x14ac:dyDescent="0.25">
      <c r="A2807" s="2">
        <v>45541</v>
      </c>
      <c r="B2807" s="1">
        <f t="shared" si="218"/>
        <v>36</v>
      </c>
      <c r="C2807">
        <f t="shared" si="220"/>
        <v>9</v>
      </c>
      <c r="D2807" t="str">
        <f t="shared" si="221"/>
        <v>September</v>
      </c>
      <c r="E2807">
        <f t="shared" si="222"/>
        <v>2024</v>
      </c>
      <c r="F2807" t="str">
        <f>CONCATENATE(calendar[[#This Row],[Month]],"/",calendar[[#This Row],[Year]])</f>
        <v>9/2024</v>
      </c>
      <c r="G2807">
        <f>WEEKDAY(calendar[[#This Row],[Date]],1)</f>
        <v>6</v>
      </c>
      <c r="H2807" t="str">
        <f>TEXT(calendar[[#This Row],[WeekDay]],"dddd")</f>
        <v>Friday</v>
      </c>
      <c r="I2807">
        <f>IF((INT(calendar[[#This Row],[Count]]/7)-calendar[[#This Row],[Count]]/7)&lt;0,I2806,I2806+1)</f>
        <v>401</v>
      </c>
      <c r="J2807">
        <f t="shared" si="219"/>
        <v>2805</v>
      </c>
      <c r="K2807">
        <f>IF(calendar[[#This Row],[Month]]&lt;4,1,IF(calendar[[#This Row],[Month]]&lt;7,2,IF(calendar[[#This Row],[Month]]&lt;10,3,4)))</f>
        <v>3</v>
      </c>
      <c r="L2807">
        <f>IFERROR(IF(VLOOKUP(calendar[[#This Row],[Date]],BH!A:A,1,)&lt;&gt;"",1,0),0)</f>
        <v>0</v>
      </c>
      <c r="M2807">
        <f>IFERROR(IF(VLOOKUP(calendar[[#This Row],[Date]],BH!C:C,1,)&lt;&gt;"",1,0),0)</f>
        <v>0</v>
      </c>
      <c r="N2807">
        <f>IFERROR(IF(VLOOKUP(calendar[[#This Row],[Date]],BH!E:E,1,)&lt;&gt;"",1,0),0)</f>
        <v>0</v>
      </c>
      <c r="O2807">
        <f>IFERROR(IF(VLOOKUP(calendar[[#This Row],[Date]],BH!G:G,1,)&lt;&gt;"",1,0),0)</f>
        <v>0</v>
      </c>
      <c r="P2807">
        <f>IF(OR(calendar[[#This Row],[UK_BH]]=1,calendar[[#This Row],[WeekDay]]=1, calendar[[#This Row],[WeekDay]]=7),P2806,P2806+1)</f>
        <v>2005</v>
      </c>
      <c r="Q2807">
        <f>IF(OR(calendar[[#This Row],[FR_BH]]=1,calendar[[#This Row],[WeekDay]]=1, calendar[[#This Row],[WeekDay]]=7),P2806,P2806+1)</f>
        <v>2005</v>
      </c>
      <c r="R2807">
        <f>IF(OR(calendar[[#This Row],[SP_BH]]=1,calendar[[#This Row],[WeekDay]]=1, calendar[[#This Row],[WeekDay]]=7),P2806,P2806+1)</f>
        <v>2005</v>
      </c>
      <c r="S2807">
        <f>IF(OR(calendar[[#This Row],[PT_BH]]=1,calendar[[#This Row],[WeekDay]]=1, calendar[[#This Row],[WeekDay]]=7),P2806,P2806+1)</f>
        <v>2005</v>
      </c>
    </row>
    <row r="2808" spans="1:19" x14ac:dyDescent="0.25">
      <c r="A2808" s="2">
        <v>45542</v>
      </c>
      <c r="B2808" s="1">
        <f t="shared" si="218"/>
        <v>36</v>
      </c>
      <c r="C2808">
        <f t="shared" si="220"/>
        <v>9</v>
      </c>
      <c r="D2808" t="str">
        <f t="shared" si="221"/>
        <v>September</v>
      </c>
      <c r="E2808">
        <f t="shared" si="222"/>
        <v>2024</v>
      </c>
      <c r="F2808" t="str">
        <f>CONCATENATE(calendar[[#This Row],[Month]],"/",calendar[[#This Row],[Year]])</f>
        <v>9/2024</v>
      </c>
      <c r="G2808">
        <f>WEEKDAY(calendar[[#This Row],[Date]],1)</f>
        <v>7</v>
      </c>
      <c r="H2808" t="str">
        <f>TEXT(calendar[[#This Row],[WeekDay]],"dddd")</f>
        <v>Saturday</v>
      </c>
      <c r="I2808">
        <f>IF((INT(calendar[[#This Row],[Count]]/7)-calendar[[#This Row],[Count]]/7)&lt;0,I2807,I2807+1)</f>
        <v>401</v>
      </c>
      <c r="J2808">
        <f t="shared" si="219"/>
        <v>2806</v>
      </c>
      <c r="K2808">
        <f>IF(calendar[[#This Row],[Month]]&lt;4,1,IF(calendar[[#This Row],[Month]]&lt;7,2,IF(calendar[[#This Row],[Month]]&lt;10,3,4)))</f>
        <v>3</v>
      </c>
      <c r="L2808">
        <f>IFERROR(IF(VLOOKUP(calendar[[#This Row],[Date]],BH!A:A,1,)&lt;&gt;"",1,0),0)</f>
        <v>0</v>
      </c>
      <c r="M2808">
        <f>IFERROR(IF(VLOOKUP(calendar[[#This Row],[Date]],BH!C:C,1,)&lt;&gt;"",1,0),0)</f>
        <v>0</v>
      </c>
      <c r="N2808">
        <f>IFERROR(IF(VLOOKUP(calendar[[#This Row],[Date]],BH!E:E,1,)&lt;&gt;"",1,0),0)</f>
        <v>0</v>
      </c>
      <c r="O2808">
        <f>IFERROR(IF(VLOOKUP(calendar[[#This Row],[Date]],BH!G:G,1,)&lt;&gt;"",1,0),0)</f>
        <v>0</v>
      </c>
      <c r="P2808">
        <f>IF(OR(calendar[[#This Row],[UK_BH]]=1,calendar[[#This Row],[WeekDay]]=1, calendar[[#This Row],[WeekDay]]=7),P2807,P2807+1)</f>
        <v>2005</v>
      </c>
      <c r="Q2808">
        <f>IF(OR(calendar[[#This Row],[FR_BH]]=1,calendar[[#This Row],[WeekDay]]=1, calendar[[#This Row],[WeekDay]]=7),P2807,P2807+1)</f>
        <v>2005</v>
      </c>
      <c r="R2808">
        <f>IF(OR(calendar[[#This Row],[SP_BH]]=1,calendar[[#This Row],[WeekDay]]=1, calendar[[#This Row],[WeekDay]]=7),P2807,P2807+1)</f>
        <v>2005</v>
      </c>
      <c r="S2808">
        <f>IF(OR(calendar[[#This Row],[PT_BH]]=1,calendar[[#This Row],[WeekDay]]=1, calendar[[#This Row],[WeekDay]]=7),P2807,P2807+1)</f>
        <v>2005</v>
      </c>
    </row>
    <row r="2809" spans="1:19" x14ac:dyDescent="0.25">
      <c r="A2809" s="2">
        <v>45543</v>
      </c>
      <c r="B2809" s="1">
        <f t="shared" si="218"/>
        <v>37</v>
      </c>
      <c r="C2809">
        <f t="shared" si="220"/>
        <v>9</v>
      </c>
      <c r="D2809" t="str">
        <f t="shared" si="221"/>
        <v>September</v>
      </c>
      <c r="E2809">
        <f t="shared" si="222"/>
        <v>2024</v>
      </c>
      <c r="F2809" t="str">
        <f>CONCATENATE(calendar[[#This Row],[Month]],"/",calendar[[#This Row],[Year]])</f>
        <v>9/2024</v>
      </c>
      <c r="G2809">
        <f>WEEKDAY(calendar[[#This Row],[Date]],1)</f>
        <v>1</v>
      </c>
      <c r="H2809" t="str">
        <f>TEXT(calendar[[#This Row],[WeekDay]],"dddd")</f>
        <v>Sunday</v>
      </c>
      <c r="I2809">
        <f>IF((INT(calendar[[#This Row],[Count]]/7)-calendar[[#This Row],[Count]]/7)&lt;0,I2808,I2808+1)</f>
        <v>402</v>
      </c>
      <c r="J2809">
        <f t="shared" si="219"/>
        <v>2807</v>
      </c>
      <c r="K2809">
        <f>IF(calendar[[#This Row],[Month]]&lt;4,1,IF(calendar[[#This Row],[Month]]&lt;7,2,IF(calendar[[#This Row],[Month]]&lt;10,3,4)))</f>
        <v>3</v>
      </c>
      <c r="L2809">
        <f>IFERROR(IF(VLOOKUP(calendar[[#This Row],[Date]],BH!A:A,1,)&lt;&gt;"",1,0),0)</f>
        <v>0</v>
      </c>
      <c r="M2809">
        <f>IFERROR(IF(VLOOKUP(calendar[[#This Row],[Date]],BH!C:C,1,)&lt;&gt;"",1,0),0)</f>
        <v>0</v>
      </c>
      <c r="N2809">
        <f>IFERROR(IF(VLOOKUP(calendar[[#This Row],[Date]],BH!E:E,1,)&lt;&gt;"",1,0),0)</f>
        <v>0</v>
      </c>
      <c r="O2809">
        <f>IFERROR(IF(VLOOKUP(calendar[[#This Row],[Date]],BH!G:G,1,)&lt;&gt;"",1,0),0)</f>
        <v>0</v>
      </c>
      <c r="P2809">
        <f>IF(OR(calendar[[#This Row],[UK_BH]]=1,calendar[[#This Row],[WeekDay]]=1, calendar[[#This Row],[WeekDay]]=7),P2808,P2808+1)</f>
        <v>2005</v>
      </c>
      <c r="Q2809">
        <f>IF(OR(calendar[[#This Row],[FR_BH]]=1,calendar[[#This Row],[WeekDay]]=1, calendar[[#This Row],[WeekDay]]=7),P2808,P2808+1)</f>
        <v>2005</v>
      </c>
      <c r="R2809">
        <f>IF(OR(calendar[[#This Row],[SP_BH]]=1,calendar[[#This Row],[WeekDay]]=1, calendar[[#This Row],[WeekDay]]=7),P2808,P2808+1)</f>
        <v>2005</v>
      </c>
      <c r="S2809">
        <f>IF(OR(calendar[[#This Row],[PT_BH]]=1,calendar[[#This Row],[WeekDay]]=1, calendar[[#This Row],[WeekDay]]=7),P2808,P2808+1)</f>
        <v>2005</v>
      </c>
    </row>
    <row r="2810" spans="1:19" x14ac:dyDescent="0.25">
      <c r="A2810" s="2">
        <v>45544</v>
      </c>
      <c r="B2810" s="1">
        <f t="shared" si="218"/>
        <v>37</v>
      </c>
      <c r="C2810">
        <f t="shared" si="220"/>
        <v>9</v>
      </c>
      <c r="D2810" t="str">
        <f t="shared" si="221"/>
        <v>September</v>
      </c>
      <c r="E2810">
        <f t="shared" si="222"/>
        <v>2024</v>
      </c>
      <c r="F2810" t="str">
        <f>CONCATENATE(calendar[[#This Row],[Month]],"/",calendar[[#This Row],[Year]])</f>
        <v>9/2024</v>
      </c>
      <c r="G2810">
        <f>WEEKDAY(calendar[[#This Row],[Date]],1)</f>
        <v>2</v>
      </c>
      <c r="H2810" t="str">
        <f>TEXT(calendar[[#This Row],[WeekDay]],"dddd")</f>
        <v>Monday</v>
      </c>
      <c r="I2810">
        <f>IF((INT(calendar[[#This Row],[Count]]/7)-calendar[[#This Row],[Count]]/7)&lt;0,I2809,I2809+1)</f>
        <v>402</v>
      </c>
      <c r="J2810">
        <f t="shared" si="219"/>
        <v>2808</v>
      </c>
      <c r="K2810">
        <f>IF(calendar[[#This Row],[Month]]&lt;4,1,IF(calendar[[#This Row],[Month]]&lt;7,2,IF(calendar[[#This Row],[Month]]&lt;10,3,4)))</f>
        <v>3</v>
      </c>
      <c r="L2810">
        <f>IFERROR(IF(VLOOKUP(calendar[[#This Row],[Date]],BH!A:A,1,)&lt;&gt;"",1,0),0)</f>
        <v>0</v>
      </c>
      <c r="M2810">
        <f>IFERROR(IF(VLOOKUP(calendar[[#This Row],[Date]],BH!C:C,1,)&lt;&gt;"",1,0),0)</f>
        <v>0</v>
      </c>
      <c r="N2810">
        <f>IFERROR(IF(VLOOKUP(calendar[[#This Row],[Date]],BH!E:E,1,)&lt;&gt;"",1,0),0)</f>
        <v>0</v>
      </c>
      <c r="O2810">
        <f>IFERROR(IF(VLOOKUP(calendar[[#This Row],[Date]],BH!G:G,1,)&lt;&gt;"",1,0),0)</f>
        <v>0</v>
      </c>
      <c r="P2810">
        <f>IF(OR(calendar[[#This Row],[UK_BH]]=1,calendar[[#This Row],[WeekDay]]=1, calendar[[#This Row],[WeekDay]]=7),P2809,P2809+1)</f>
        <v>2006</v>
      </c>
      <c r="Q2810">
        <f>IF(OR(calendar[[#This Row],[FR_BH]]=1,calendar[[#This Row],[WeekDay]]=1, calendar[[#This Row],[WeekDay]]=7),P2809,P2809+1)</f>
        <v>2006</v>
      </c>
      <c r="R2810">
        <f>IF(OR(calendar[[#This Row],[SP_BH]]=1,calendar[[#This Row],[WeekDay]]=1, calendar[[#This Row],[WeekDay]]=7),P2809,P2809+1)</f>
        <v>2006</v>
      </c>
      <c r="S2810">
        <f>IF(OR(calendar[[#This Row],[PT_BH]]=1,calendar[[#This Row],[WeekDay]]=1, calendar[[#This Row],[WeekDay]]=7),P2809,P2809+1)</f>
        <v>2006</v>
      </c>
    </row>
    <row r="2811" spans="1:19" x14ac:dyDescent="0.25">
      <c r="A2811" s="2">
        <v>45545</v>
      </c>
      <c r="B2811" s="1">
        <f t="shared" si="218"/>
        <v>37</v>
      </c>
      <c r="C2811">
        <f t="shared" si="220"/>
        <v>9</v>
      </c>
      <c r="D2811" t="str">
        <f t="shared" si="221"/>
        <v>September</v>
      </c>
      <c r="E2811">
        <f t="shared" si="222"/>
        <v>2024</v>
      </c>
      <c r="F2811" t="str">
        <f>CONCATENATE(calendar[[#This Row],[Month]],"/",calendar[[#This Row],[Year]])</f>
        <v>9/2024</v>
      </c>
      <c r="G2811">
        <f>WEEKDAY(calendar[[#This Row],[Date]],1)</f>
        <v>3</v>
      </c>
      <c r="H2811" t="str">
        <f>TEXT(calendar[[#This Row],[WeekDay]],"dddd")</f>
        <v>Tuesday</v>
      </c>
      <c r="I2811">
        <f>IF((INT(calendar[[#This Row],[Count]]/7)-calendar[[#This Row],[Count]]/7)&lt;0,I2810,I2810+1)</f>
        <v>402</v>
      </c>
      <c r="J2811">
        <f t="shared" si="219"/>
        <v>2809</v>
      </c>
      <c r="K2811">
        <f>IF(calendar[[#This Row],[Month]]&lt;4,1,IF(calendar[[#This Row],[Month]]&lt;7,2,IF(calendar[[#This Row],[Month]]&lt;10,3,4)))</f>
        <v>3</v>
      </c>
      <c r="L2811">
        <f>IFERROR(IF(VLOOKUP(calendar[[#This Row],[Date]],BH!A:A,1,)&lt;&gt;"",1,0),0)</f>
        <v>0</v>
      </c>
      <c r="M2811">
        <f>IFERROR(IF(VLOOKUP(calendar[[#This Row],[Date]],BH!C:C,1,)&lt;&gt;"",1,0),0)</f>
        <v>0</v>
      </c>
      <c r="N2811">
        <f>IFERROR(IF(VLOOKUP(calendar[[#This Row],[Date]],BH!E:E,1,)&lt;&gt;"",1,0),0)</f>
        <v>0</v>
      </c>
      <c r="O2811">
        <f>IFERROR(IF(VLOOKUP(calendar[[#This Row],[Date]],BH!G:G,1,)&lt;&gt;"",1,0),0)</f>
        <v>0</v>
      </c>
      <c r="P2811">
        <f>IF(OR(calendar[[#This Row],[UK_BH]]=1,calendar[[#This Row],[WeekDay]]=1, calendar[[#This Row],[WeekDay]]=7),P2810,P2810+1)</f>
        <v>2007</v>
      </c>
      <c r="Q2811">
        <f>IF(OR(calendar[[#This Row],[FR_BH]]=1,calendar[[#This Row],[WeekDay]]=1, calendar[[#This Row],[WeekDay]]=7),P2810,P2810+1)</f>
        <v>2007</v>
      </c>
      <c r="R2811">
        <f>IF(OR(calendar[[#This Row],[SP_BH]]=1,calendar[[#This Row],[WeekDay]]=1, calendar[[#This Row],[WeekDay]]=7),P2810,P2810+1)</f>
        <v>2007</v>
      </c>
      <c r="S2811">
        <f>IF(OR(calendar[[#This Row],[PT_BH]]=1,calendar[[#This Row],[WeekDay]]=1, calendar[[#This Row],[WeekDay]]=7),P2810,P2810+1)</f>
        <v>2007</v>
      </c>
    </row>
    <row r="2812" spans="1:19" x14ac:dyDescent="0.25">
      <c r="A2812" s="2">
        <v>45546</v>
      </c>
      <c r="B2812" s="1">
        <f t="shared" si="218"/>
        <v>37</v>
      </c>
      <c r="C2812">
        <f t="shared" si="220"/>
        <v>9</v>
      </c>
      <c r="D2812" t="str">
        <f t="shared" si="221"/>
        <v>September</v>
      </c>
      <c r="E2812">
        <f t="shared" si="222"/>
        <v>2024</v>
      </c>
      <c r="F2812" t="str">
        <f>CONCATENATE(calendar[[#This Row],[Month]],"/",calendar[[#This Row],[Year]])</f>
        <v>9/2024</v>
      </c>
      <c r="G2812">
        <f>WEEKDAY(calendar[[#This Row],[Date]],1)</f>
        <v>4</v>
      </c>
      <c r="H2812" t="str">
        <f>TEXT(calendar[[#This Row],[WeekDay]],"dddd")</f>
        <v>Wednesday</v>
      </c>
      <c r="I2812">
        <f>IF((INT(calendar[[#This Row],[Count]]/7)-calendar[[#This Row],[Count]]/7)&lt;0,I2811,I2811+1)</f>
        <v>402</v>
      </c>
      <c r="J2812">
        <f t="shared" si="219"/>
        <v>2810</v>
      </c>
      <c r="K2812">
        <f>IF(calendar[[#This Row],[Month]]&lt;4,1,IF(calendar[[#This Row],[Month]]&lt;7,2,IF(calendar[[#This Row],[Month]]&lt;10,3,4)))</f>
        <v>3</v>
      </c>
      <c r="L2812">
        <f>IFERROR(IF(VLOOKUP(calendar[[#This Row],[Date]],BH!A:A,1,)&lt;&gt;"",1,0),0)</f>
        <v>0</v>
      </c>
      <c r="M2812">
        <f>IFERROR(IF(VLOOKUP(calendar[[#This Row],[Date]],BH!C:C,1,)&lt;&gt;"",1,0),0)</f>
        <v>0</v>
      </c>
      <c r="N2812">
        <f>IFERROR(IF(VLOOKUP(calendar[[#This Row],[Date]],BH!E:E,1,)&lt;&gt;"",1,0),0)</f>
        <v>0</v>
      </c>
      <c r="O2812">
        <f>IFERROR(IF(VLOOKUP(calendar[[#This Row],[Date]],BH!G:G,1,)&lt;&gt;"",1,0),0)</f>
        <v>0</v>
      </c>
      <c r="P2812">
        <f>IF(OR(calendar[[#This Row],[UK_BH]]=1,calendar[[#This Row],[WeekDay]]=1, calendar[[#This Row],[WeekDay]]=7),P2811,P2811+1)</f>
        <v>2008</v>
      </c>
      <c r="Q2812">
        <f>IF(OR(calendar[[#This Row],[FR_BH]]=1,calendar[[#This Row],[WeekDay]]=1, calendar[[#This Row],[WeekDay]]=7),P2811,P2811+1)</f>
        <v>2008</v>
      </c>
      <c r="R2812">
        <f>IF(OR(calendar[[#This Row],[SP_BH]]=1,calendar[[#This Row],[WeekDay]]=1, calendar[[#This Row],[WeekDay]]=7),P2811,P2811+1)</f>
        <v>2008</v>
      </c>
      <c r="S2812">
        <f>IF(OR(calendar[[#This Row],[PT_BH]]=1,calendar[[#This Row],[WeekDay]]=1, calendar[[#This Row],[WeekDay]]=7),P2811,P2811+1)</f>
        <v>2008</v>
      </c>
    </row>
    <row r="2813" spans="1:19" x14ac:dyDescent="0.25">
      <c r="A2813" s="2">
        <v>45547</v>
      </c>
      <c r="B2813" s="1">
        <f t="shared" si="218"/>
        <v>37</v>
      </c>
      <c r="C2813">
        <f t="shared" si="220"/>
        <v>9</v>
      </c>
      <c r="D2813" t="str">
        <f t="shared" si="221"/>
        <v>September</v>
      </c>
      <c r="E2813">
        <f t="shared" si="222"/>
        <v>2024</v>
      </c>
      <c r="F2813" t="str">
        <f>CONCATENATE(calendar[[#This Row],[Month]],"/",calendar[[#This Row],[Year]])</f>
        <v>9/2024</v>
      </c>
      <c r="G2813">
        <f>WEEKDAY(calendar[[#This Row],[Date]],1)</f>
        <v>5</v>
      </c>
      <c r="H2813" t="str">
        <f>TEXT(calendar[[#This Row],[WeekDay]],"dddd")</f>
        <v>Thursday</v>
      </c>
      <c r="I2813">
        <f>IF((INT(calendar[[#This Row],[Count]]/7)-calendar[[#This Row],[Count]]/7)&lt;0,I2812,I2812+1)</f>
        <v>402</v>
      </c>
      <c r="J2813">
        <f t="shared" si="219"/>
        <v>2811</v>
      </c>
      <c r="K2813">
        <f>IF(calendar[[#This Row],[Month]]&lt;4,1,IF(calendar[[#This Row],[Month]]&lt;7,2,IF(calendar[[#This Row],[Month]]&lt;10,3,4)))</f>
        <v>3</v>
      </c>
      <c r="L2813">
        <f>IFERROR(IF(VLOOKUP(calendar[[#This Row],[Date]],BH!A:A,1,)&lt;&gt;"",1,0),0)</f>
        <v>0</v>
      </c>
      <c r="M2813">
        <f>IFERROR(IF(VLOOKUP(calendar[[#This Row],[Date]],BH!C:C,1,)&lt;&gt;"",1,0),0)</f>
        <v>0</v>
      </c>
      <c r="N2813">
        <f>IFERROR(IF(VLOOKUP(calendar[[#This Row],[Date]],BH!E:E,1,)&lt;&gt;"",1,0),0)</f>
        <v>0</v>
      </c>
      <c r="O2813">
        <f>IFERROR(IF(VLOOKUP(calendar[[#This Row],[Date]],BH!G:G,1,)&lt;&gt;"",1,0),0)</f>
        <v>0</v>
      </c>
      <c r="P2813">
        <f>IF(OR(calendar[[#This Row],[UK_BH]]=1,calendar[[#This Row],[WeekDay]]=1, calendar[[#This Row],[WeekDay]]=7),P2812,P2812+1)</f>
        <v>2009</v>
      </c>
      <c r="Q2813">
        <f>IF(OR(calendar[[#This Row],[FR_BH]]=1,calendar[[#This Row],[WeekDay]]=1, calendar[[#This Row],[WeekDay]]=7),P2812,P2812+1)</f>
        <v>2009</v>
      </c>
      <c r="R2813">
        <f>IF(OR(calendar[[#This Row],[SP_BH]]=1,calendar[[#This Row],[WeekDay]]=1, calendar[[#This Row],[WeekDay]]=7),P2812,P2812+1)</f>
        <v>2009</v>
      </c>
      <c r="S2813">
        <f>IF(OR(calendar[[#This Row],[PT_BH]]=1,calendar[[#This Row],[WeekDay]]=1, calendar[[#This Row],[WeekDay]]=7),P2812,P2812+1)</f>
        <v>2009</v>
      </c>
    </row>
    <row r="2814" spans="1:19" x14ac:dyDescent="0.25">
      <c r="A2814" s="2">
        <v>45548</v>
      </c>
      <c r="B2814" s="1">
        <f t="shared" si="218"/>
        <v>37</v>
      </c>
      <c r="C2814">
        <f t="shared" si="220"/>
        <v>9</v>
      </c>
      <c r="D2814" t="str">
        <f t="shared" si="221"/>
        <v>September</v>
      </c>
      <c r="E2814">
        <f t="shared" si="222"/>
        <v>2024</v>
      </c>
      <c r="F2814" t="str">
        <f>CONCATENATE(calendar[[#This Row],[Month]],"/",calendar[[#This Row],[Year]])</f>
        <v>9/2024</v>
      </c>
      <c r="G2814">
        <f>WEEKDAY(calendar[[#This Row],[Date]],1)</f>
        <v>6</v>
      </c>
      <c r="H2814" t="str">
        <f>TEXT(calendar[[#This Row],[WeekDay]],"dddd")</f>
        <v>Friday</v>
      </c>
      <c r="I2814">
        <f>IF((INT(calendar[[#This Row],[Count]]/7)-calendar[[#This Row],[Count]]/7)&lt;0,I2813,I2813+1)</f>
        <v>402</v>
      </c>
      <c r="J2814">
        <f t="shared" si="219"/>
        <v>2812</v>
      </c>
      <c r="K2814">
        <f>IF(calendar[[#This Row],[Month]]&lt;4,1,IF(calendar[[#This Row],[Month]]&lt;7,2,IF(calendar[[#This Row],[Month]]&lt;10,3,4)))</f>
        <v>3</v>
      </c>
      <c r="L2814">
        <f>IFERROR(IF(VLOOKUP(calendar[[#This Row],[Date]],BH!A:A,1,)&lt;&gt;"",1,0),0)</f>
        <v>0</v>
      </c>
      <c r="M2814">
        <f>IFERROR(IF(VLOOKUP(calendar[[#This Row],[Date]],BH!C:C,1,)&lt;&gt;"",1,0),0)</f>
        <v>0</v>
      </c>
      <c r="N2814">
        <f>IFERROR(IF(VLOOKUP(calendar[[#This Row],[Date]],BH!E:E,1,)&lt;&gt;"",1,0),0)</f>
        <v>0</v>
      </c>
      <c r="O2814">
        <f>IFERROR(IF(VLOOKUP(calendar[[#This Row],[Date]],BH!G:G,1,)&lt;&gt;"",1,0),0)</f>
        <v>0</v>
      </c>
      <c r="P2814">
        <f>IF(OR(calendar[[#This Row],[UK_BH]]=1,calendar[[#This Row],[WeekDay]]=1, calendar[[#This Row],[WeekDay]]=7),P2813,P2813+1)</f>
        <v>2010</v>
      </c>
      <c r="Q2814">
        <f>IF(OR(calendar[[#This Row],[FR_BH]]=1,calendar[[#This Row],[WeekDay]]=1, calendar[[#This Row],[WeekDay]]=7),P2813,P2813+1)</f>
        <v>2010</v>
      </c>
      <c r="R2814">
        <f>IF(OR(calendar[[#This Row],[SP_BH]]=1,calendar[[#This Row],[WeekDay]]=1, calendar[[#This Row],[WeekDay]]=7),P2813,P2813+1)</f>
        <v>2010</v>
      </c>
      <c r="S2814">
        <f>IF(OR(calendar[[#This Row],[PT_BH]]=1,calendar[[#This Row],[WeekDay]]=1, calendar[[#This Row],[WeekDay]]=7),P2813,P2813+1)</f>
        <v>2010</v>
      </c>
    </row>
    <row r="2815" spans="1:19" x14ac:dyDescent="0.25">
      <c r="A2815" s="2">
        <v>45549</v>
      </c>
      <c r="B2815" s="1">
        <f t="shared" si="218"/>
        <v>37</v>
      </c>
      <c r="C2815">
        <f t="shared" si="220"/>
        <v>9</v>
      </c>
      <c r="D2815" t="str">
        <f t="shared" si="221"/>
        <v>September</v>
      </c>
      <c r="E2815">
        <f t="shared" si="222"/>
        <v>2024</v>
      </c>
      <c r="F2815" t="str">
        <f>CONCATENATE(calendar[[#This Row],[Month]],"/",calendar[[#This Row],[Year]])</f>
        <v>9/2024</v>
      </c>
      <c r="G2815">
        <f>WEEKDAY(calendar[[#This Row],[Date]],1)</f>
        <v>7</v>
      </c>
      <c r="H2815" t="str">
        <f>TEXT(calendar[[#This Row],[WeekDay]],"dddd")</f>
        <v>Saturday</v>
      </c>
      <c r="I2815">
        <f>IF((INT(calendar[[#This Row],[Count]]/7)-calendar[[#This Row],[Count]]/7)&lt;0,I2814,I2814+1)</f>
        <v>402</v>
      </c>
      <c r="J2815">
        <f t="shared" si="219"/>
        <v>2813</v>
      </c>
      <c r="K2815">
        <f>IF(calendar[[#This Row],[Month]]&lt;4,1,IF(calendar[[#This Row],[Month]]&lt;7,2,IF(calendar[[#This Row],[Month]]&lt;10,3,4)))</f>
        <v>3</v>
      </c>
      <c r="L2815">
        <f>IFERROR(IF(VLOOKUP(calendar[[#This Row],[Date]],BH!A:A,1,)&lt;&gt;"",1,0),0)</f>
        <v>0</v>
      </c>
      <c r="M2815">
        <f>IFERROR(IF(VLOOKUP(calendar[[#This Row],[Date]],BH!C:C,1,)&lt;&gt;"",1,0),0)</f>
        <v>0</v>
      </c>
      <c r="N2815">
        <f>IFERROR(IF(VLOOKUP(calendar[[#This Row],[Date]],BH!E:E,1,)&lt;&gt;"",1,0),0)</f>
        <v>0</v>
      </c>
      <c r="O2815">
        <f>IFERROR(IF(VLOOKUP(calendar[[#This Row],[Date]],BH!G:G,1,)&lt;&gt;"",1,0),0)</f>
        <v>0</v>
      </c>
      <c r="P2815">
        <f>IF(OR(calendar[[#This Row],[UK_BH]]=1,calendar[[#This Row],[WeekDay]]=1, calendar[[#This Row],[WeekDay]]=7),P2814,P2814+1)</f>
        <v>2010</v>
      </c>
      <c r="Q2815">
        <f>IF(OR(calendar[[#This Row],[FR_BH]]=1,calendar[[#This Row],[WeekDay]]=1, calendar[[#This Row],[WeekDay]]=7),P2814,P2814+1)</f>
        <v>2010</v>
      </c>
      <c r="R2815">
        <f>IF(OR(calendar[[#This Row],[SP_BH]]=1,calendar[[#This Row],[WeekDay]]=1, calendar[[#This Row],[WeekDay]]=7),P2814,P2814+1)</f>
        <v>2010</v>
      </c>
      <c r="S2815">
        <f>IF(OR(calendar[[#This Row],[PT_BH]]=1,calendar[[#This Row],[WeekDay]]=1, calendar[[#This Row],[WeekDay]]=7),P2814,P2814+1)</f>
        <v>2010</v>
      </c>
    </row>
    <row r="2816" spans="1:19" x14ac:dyDescent="0.25">
      <c r="A2816" s="2">
        <v>45550</v>
      </c>
      <c r="B2816" s="1">
        <f t="shared" si="218"/>
        <v>38</v>
      </c>
      <c r="C2816">
        <f t="shared" si="220"/>
        <v>9</v>
      </c>
      <c r="D2816" t="str">
        <f t="shared" si="221"/>
        <v>September</v>
      </c>
      <c r="E2816">
        <f t="shared" si="222"/>
        <v>2024</v>
      </c>
      <c r="F2816" t="str">
        <f>CONCATENATE(calendar[[#This Row],[Month]],"/",calendar[[#This Row],[Year]])</f>
        <v>9/2024</v>
      </c>
      <c r="G2816">
        <f>WEEKDAY(calendar[[#This Row],[Date]],1)</f>
        <v>1</v>
      </c>
      <c r="H2816" t="str">
        <f>TEXT(calendar[[#This Row],[WeekDay]],"dddd")</f>
        <v>Sunday</v>
      </c>
      <c r="I2816">
        <f>IF((INT(calendar[[#This Row],[Count]]/7)-calendar[[#This Row],[Count]]/7)&lt;0,I2815,I2815+1)</f>
        <v>403</v>
      </c>
      <c r="J2816">
        <f t="shared" si="219"/>
        <v>2814</v>
      </c>
      <c r="K2816">
        <f>IF(calendar[[#This Row],[Month]]&lt;4,1,IF(calendar[[#This Row],[Month]]&lt;7,2,IF(calendar[[#This Row],[Month]]&lt;10,3,4)))</f>
        <v>3</v>
      </c>
      <c r="L2816">
        <f>IFERROR(IF(VLOOKUP(calendar[[#This Row],[Date]],BH!A:A,1,)&lt;&gt;"",1,0),0)</f>
        <v>0</v>
      </c>
      <c r="M2816">
        <f>IFERROR(IF(VLOOKUP(calendar[[#This Row],[Date]],BH!C:C,1,)&lt;&gt;"",1,0),0)</f>
        <v>0</v>
      </c>
      <c r="N2816">
        <f>IFERROR(IF(VLOOKUP(calendar[[#This Row],[Date]],BH!E:E,1,)&lt;&gt;"",1,0),0)</f>
        <v>0</v>
      </c>
      <c r="O2816">
        <f>IFERROR(IF(VLOOKUP(calendar[[#This Row],[Date]],BH!G:G,1,)&lt;&gt;"",1,0),0)</f>
        <v>0</v>
      </c>
      <c r="P2816">
        <f>IF(OR(calendar[[#This Row],[UK_BH]]=1,calendar[[#This Row],[WeekDay]]=1, calendar[[#This Row],[WeekDay]]=7),P2815,P2815+1)</f>
        <v>2010</v>
      </c>
      <c r="Q2816">
        <f>IF(OR(calendar[[#This Row],[FR_BH]]=1,calendar[[#This Row],[WeekDay]]=1, calendar[[#This Row],[WeekDay]]=7),P2815,P2815+1)</f>
        <v>2010</v>
      </c>
      <c r="R2816">
        <f>IF(OR(calendar[[#This Row],[SP_BH]]=1,calendar[[#This Row],[WeekDay]]=1, calendar[[#This Row],[WeekDay]]=7),P2815,P2815+1)</f>
        <v>2010</v>
      </c>
      <c r="S2816">
        <f>IF(OR(calendar[[#This Row],[PT_BH]]=1,calendar[[#This Row],[WeekDay]]=1, calendar[[#This Row],[WeekDay]]=7),P2815,P2815+1)</f>
        <v>2010</v>
      </c>
    </row>
    <row r="2817" spans="1:19" x14ac:dyDescent="0.25">
      <c r="A2817" s="2">
        <v>45551</v>
      </c>
      <c r="B2817" s="1">
        <f t="shared" si="218"/>
        <v>38</v>
      </c>
      <c r="C2817">
        <f t="shared" si="220"/>
        <v>9</v>
      </c>
      <c r="D2817" t="str">
        <f t="shared" si="221"/>
        <v>September</v>
      </c>
      <c r="E2817">
        <f t="shared" si="222"/>
        <v>2024</v>
      </c>
      <c r="F2817" t="str">
        <f>CONCATENATE(calendar[[#This Row],[Month]],"/",calendar[[#This Row],[Year]])</f>
        <v>9/2024</v>
      </c>
      <c r="G2817">
        <f>WEEKDAY(calendar[[#This Row],[Date]],1)</f>
        <v>2</v>
      </c>
      <c r="H2817" t="str">
        <f>TEXT(calendar[[#This Row],[WeekDay]],"dddd")</f>
        <v>Monday</v>
      </c>
      <c r="I2817">
        <f>IF((INT(calendar[[#This Row],[Count]]/7)-calendar[[#This Row],[Count]]/7)&lt;0,I2816,I2816+1)</f>
        <v>403</v>
      </c>
      <c r="J2817">
        <f t="shared" si="219"/>
        <v>2815</v>
      </c>
      <c r="K2817">
        <f>IF(calendar[[#This Row],[Month]]&lt;4,1,IF(calendar[[#This Row],[Month]]&lt;7,2,IF(calendar[[#This Row],[Month]]&lt;10,3,4)))</f>
        <v>3</v>
      </c>
      <c r="L2817">
        <f>IFERROR(IF(VLOOKUP(calendar[[#This Row],[Date]],BH!A:A,1,)&lt;&gt;"",1,0),0)</f>
        <v>0</v>
      </c>
      <c r="M2817">
        <f>IFERROR(IF(VLOOKUP(calendar[[#This Row],[Date]],BH!C:C,1,)&lt;&gt;"",1,0),0)</f>
        <v>0</v>
      </c>
      <c r="N2817">
        <f>IFERROR(IF(VLOOKUP(calendar[[#This Row],[Date]],BH!E:E,1,)&lt;&gt;"",1,0),0)</f>
        <v>0</v>
      </c>
      <c r="O2817">
        <f>IFERROR(IF(VLOOKUP(calendar[[#This Row],[Date]],BH!G:G,1,)&lt;&gt;"",1,0),0)</f>
        <v>0</v>
      </c>
      <c r="P2817">
        <f>IF(OR(calendar[[#This Row],[UK_BH]]=1,calendar[[#This Row],[WeekDay]]=1, calendar[[#This Row],[WeekDay]]=7),P2816,P2816+1)</f>
        <v>2011</v>
      </c>
      <c r="Q2817">
        <f>IF(OR(calendar[[#This Row],[FR_BH]]=1,calendar[[#This Row],[WeekDay]]=1, calendar[[#This Row],[WeekDay]]=7),P2816,P2816+1)</f>
        <v>2011</v>
      </c>
      <c r="R2817">
        <f>IF(OR(calendar[[#This Row],[SP_BH]]=1,calendar[[#This Row],[WeekDay]]=1, calendar[[#This Row],[WeekDay]]=7),P2816,P2816+1)</f>
        <v>2011</v>
      </c>
      <c r="S2817">
        <f>IF(OR(calendar[[#This Row],[PT_BH]]=1,calendar[[#This Row],[WeekDay]]=1, calendar[[#This Row],[WeekDay]]=7),P2816,P2816+1)</f>
        <v>2011</v>
      </c>
    </row>
    <row r="2818" spans="1:19" x14ac:dyDescent="0.25">
      <c r="A2818" s="2">
        <v>45552</v>
      </c>
      <c r="B2818" s="1">
        <f t="shared" ref="B2818:B2881" si="223">WEEKNUM(A2818)</f>
        <v>38</v>
      </c>
      <c r="C2818">
        <f t="shared" si="220"/>
        <v>9</v>
      </c>
      <c r="D2818" t="str">
        <f t="shared" si="221"/>
        <v>September</v>
      </c>
      <c r="E2818">
        <f t="shared" si="222"/>
        <v>2024</v>
      </c>
      <c r="F2818" t="str">
        <f>CONCATENATE(calendar[[#This Row],[Month]],"/",calendar[[#This Row],[Year]])</f>
        <v>9/2024</v>
      </c>
      <c r="G2818">
        <f>WEEKDAY(calendar[[#This Row],[Date]],1)</f>
        <v>3</v>
      </c>
      <c r="H2818" t="str">
        <f>TEXT(calendar[[#This Row],[WeekDay]],"dddd")</f>
        <v>Tuesday</v>
      </c>
      <c r="I2818">
        <f>IF((INT(calendar[[#This Row],[Count]]/7)-calendar[[#This Row],[Count]]/7)&lt;0,I2817,I2817+1)</f>
        <v>403</v>
      </c>
      <c r="J2818">
        <f t="shared" si="219"/>
        <v>2816</v>
      </c>
      <c r="K2818">
        <f>IF(calendar[[#This Row],[Month]]&lt;4,1,IF(calendar[[#This Row],[Month]]&lt;7,2,IF(calendar[[#This Row],[Month]]&lt;10,3,4)))</f>
        <v>3</v>
      </c>
      <c r="L2818">
        <f>IFERROR(IF(VLOOKUP(calendar[[#This Row],[Date]],BH!A:A,1,)&lt;&gt;"",1,0),0)</f>
        <v>0</v>
      </c>
      <c r="M2818">
        <f>IFERROR(IF(VLOOKUP(calendar[[#This Row],[Date]],BH!C:C,1,)&lt;&gt;"",1,0),0)</f>
        <v>0</v>
      </c>
      <c r="N2818">
        <f>IFERROR(IF(VLOOKUP(calendar[[#This Row],[Date]],BH!E:E,1,)&lt;&gt;"",1,0),0)</f>
        <v>0</v>
      </c>
      <c r="O2818">
        <f>IFERROR(IF(VLOOKUP(calendar[[#This Row],[Date]],BH!G:G,1,)&lt;&gt;"",1,0),0)</f>
        <v>0</v>
      </c>
      <c r="P2818">
        <f>IF(OR(calendar[[#This Row],[UK_BH]]=1,calendar[[#This Row],[WeekDay]]=1, calendar[[#This Row],[WeekDay]]=7),P2817,P2817+1)</f>
        <v>2012</v>
      </c>
      <c r="Q2818">
        <f>IF(OR(calendar[[#This Row],[FR_BH]]=1,calendar[[#This Row],[WeekDay]]=1, calendar[[#This Row],[WeekDay]]=7),P2817,P2817+1)</f>
        <v>2012</v>
      </c>
      <c r="R2818">
        <f>IF(OR(calendar[[#This Row],[SP_BH]]=1,calendar[[#This Row],[WeekDay]]=1, calendar[[#This Row],[WeekDay]]=7),P2817,P2817+1)</f>
        <v>2012</v>
      </c>
      <c r="S2818">
        <f>IF(OR(calendar[[#This Row],[PT_BH]]=1,calendar[[#This Row],[WeekDay]]=1, calendar[[#This Row],[WeekDay]]=7),P2817,P2817+1)</f>
        <v>2012</v>
      </c>
    </row>
    <row r="2819" spans="1:19" x14ac:dyDescent="0.25">
      <c r="A2819" s="2">
        <v>45553</v>
      </c>
      <c r="B2819" s="1">
        <f t="shared" si="223"/>
        <v>38</v>
      </c>
      <c r="C2819">
        <f t="shared" si="220"/>
        <v>9</v>
      </c>
      <c r="D2819" t="str">
        <f t="shared" si="221"/>
        <v>September</v>
      </c>
      <c r="E2819">
        <f t="shared" si="222"/>
        <v>2024</v>
      </c>
      <c r="F2819" t="str">
        <f>CONCATENATE(calendar[[#This Row],[Month]],"/",calendar[[#This Row],[Year]])</f>
        <v>9/2024</v>
      </c>
      <c r="G2819">
        <f>WEEKDAY(calendar[[#This Row],[Date]],1)</f>
        <v>4</v>
      </c>
      <c r="H2819" t="str">
        <f>TEXT(calendar[[#This Row],[WeekDay]],"dddd")</f>
        <v>Wednesday</v>
      </c>
      <c r="I2819">
        <f>IF((INT(calendar[[#This Row],[Count]]/7)-calendar[[#This Row],[Count]]/7)&lt;0,I2818,I2818+1)</f>
        <v>403</v>
      </c>
      <c r="J2819">
        <f t="shared" ref="J2819:J2882" si="224">J2818+1</f>
        <v>2817</v>
      </c>
      <c r="K2819">
        <f>IF(calendar[[#This Row],[Month]]&lt;4,1,IF(calendar[[#This Row],[Month]]&lt;7,2,IF(calendar[[#This Row],[Month]]&lt;10,3,4)))</f>
        <v>3</v>
      </c>
      <c r="L2819">
        <f>IFERROR(IF(VLOOKUP(calendar[[#This Row],[Date]],BH!A:A,1,)&lt;&gt;"",1,0),0)</f>
        <v>0</v>
      </c>
      <c r="M2819">
        <f>IFERROR(IF(VLOOKUP(calendar[[#This Row],[Date]],BH!C:C,1,)&lt;&gt;"",1,0),0)</f>
        <v>0</v>
      </c>
      <c r="N2819">
        <f>IFERROR(IF(VLOOKUP(calendar[[#This Row],[Date]],BH!E:E,1,)&lt;&gt;"",1,0),0)</f>
        <v>0</v>
      </c>
      <c r="O2819">
        <f>IFERROR(IF(VLOOKUP(calendar[[#This Row],[Date]],BH!G:G,1,)&lt;&gt;"",1,0),0)</f>
        <v>0</v>
      </c>
      <c r="P2819">
        <f>IF(OR(calendar[[#This Row],[UK_BH]]=1,calendar[[#This Row],[WeekDay]]=1, calendar[[#This Row],[WeekDay]]=7),P2818,P2818+1)</f>
        <v>2013</v>
      </c>
      <c r="Q2819">
        <f>IF(OR(calendar[[#This Row],[FR_BH]]=1,calendar[[#This Row],[WeekDay]]=1, calendar[[#This Row],[WeekDay]]=7),P2818,P2818+1)</f>
        <v>2013</v>
      </c>
      <c r="R2819">
        <f>IF(OR(calendar[[#This Row],[SP_BH]]=1,calendar[[#This Row],[WeekDay]]=1, calendar[[#This Row],[WeekDay]]=7),P2818,P2818+1)</f>
        <v>2013</v>
      </c>
      <c r="S2819">
        <f>IF(OR(calendar[[#This Row],[PT_BH]]=1,calendar[[#This Row],[WeekDay]]=1, calendar[[#This Row],[WeekDay]]=7),P2818,P2818+1)</f>
        <v>2013</v>
      </c>
    </row>
    <row r="2820" spans="1:19" x14ac:dyDescent="0.25">
      <c r="A2820" s="2">
        <v>45554</v>
      </c>
      <c r="B2820" s="1">
        <f t="shared" si="223"/>
        <v>38</v>
      </c>
      <c r="C2820">
        <f t="shared" si="220"/>
        <v>9</v>
      </c>
      <c r="D2820" t="str">
        <f t="shared" si="221"/>
        <v>September</v>
      </c>
      <c r="E2820">
        <f t="shared" si="222"/>
        <v>2024</v>
      </c>
      <c r="F2820" t="str">
        <f>CONCATENATE(calendar[[#This Row],[Month]],"/",calendar[[#This Row],[Year]])</f>
        <v>9/2024</v>
      </c>
      <c r="G2820">
        <f>WEEKDAY(calendar[[#This Row],[Date]],1)</f>
        <v>5</v>
      </c>
      <c r="H2820" t="str">
        <f>TEXT(calendar[[#This Row],[WeekDay]],"dddd")</f>
        <v>Thursday</v>
      </c>
      <c r="I2820">
        <f>IF((INT(calendar[[#This Row],[Count]]/7)-calendar[[#This Row],[Count]]/7)&lt;0,I2819,I2819+1)</f>
        <v>403</v>
      </c>
      <c r="J2820">
        <f t="shared" si="224"/>
        <v>2818</v>
      </c>
      <c r="K2820">
        <f>IF(calendar[[#This Row],[Month]]&lt;4,1,IF(calendar[[#This Row],[Month]]&lt;7,2,IF(calendar[[#This Row],[Month]]&lt;10,3,4)))</f>
        <v>3</v>
      </c>
      <c r="L2820">
        <f>IFERROR(IF(VLOOKUP(calendar[[#This Row],[Date]],BH!A:A,1,)&lt;&gt;"",1,0),0)</f>
        <v>0</v>
      </c>
      <c r="M2820">
        <f>IFERROR(IF(VLOOKUP(calendar[[#This Row],[Date]],BH!C:C,1,)&lt;&gt;"",1,0),0)</f>
        <v>0</v>
      </c>
      <c r="N2820">
        <f>IFERROR(IF(VLOOKUP(calendar[[#This Row],[Date]],BH!E:E,1,)&lt;&gt;"",1,0),0)</f>
        <v>0</v>
      </c>
      <c r="O2820">
        <f>IFERROR(IF(VLOOKUP(calendar[[#This Row],[Date]],BH!G:G,1,)&lt;&gt;"",1,0),0)</f>
        <v>0</v>
      </c>
      <c r="P2820">
        <f>IF(OR(calendar[[#This Row],[UK_BH]]=1,calendar[[#This Row],[WeekDay]]=1, calendar[[#This Row],[WeekDay]]=7),P2819,P2819+1)</f>
        <v>2014</v>
      </c>
      <c r="Q2820">
        <f>IF(OR(calendar[[#This Row],[FR_BH]]=1,calendar[[#This Row],[WeekDay]]=1, calendar[[#This Row],[WeekDay]]=7),P2819,P2819+1)</f>
        <v>2014</v>
      </c>
      <c r="R2820">
        <f>IF(OR(calendar[[#This Row],[SP_BH]]=1,calendar[[#This Row],[WeekDay]]=1, calendar[[#This Row],[WeekDay]]=7),P2819,P2819+1)</f>
        <v>2014</v>
      </c>
      <c r="S2820">
        <f>IF(OR(calendar[[#This Row],[PT_BH]]=1,calendar[[#This Row],[WeekDay]]=1, calendar[[#This Row],[WeekDay]]=7),P2819,P2819+1)</f>
        <v>2014</v>
      </c>
    </row>
    <row r="2821" spans="1:19" x14ac:dyDescent="0.25">
      <c r="A2821" s="2">
        <v>45555</v>
      </c>
      <c r="B2821" s="1">
        <f t="shared" si="223"/>
        <v>38</v>
      </c>
      <c r="C2821">
        <f t="shared" si="220"/>
        <v>9</v>
      </c>
      <c r="D2821" t="str">
        <f t="shared" si="221"/>
        <v>September</v>
      </c>
      <c r="E2821">
        <f t="shared" si="222"/>
        <v>2024</v>
      </c>
      <c r="F2821" t="str">
        <f>CONCATENATE(calendar[[#This Row],[Month]],"/",calendar[[#This Row],[Year]])</f>
        <v>9/2024</v>
      </c>
      <c r="G2821">
        <f>WEEKDAY(calendar[[#This Row],[Date]],1)</f>
        <v>6</v>
      </c>
      <c r="H2821" t="str">
        <f>TEXT(calendar[[#This Row],[WeekDay]],"dddd")</f>
        <v>Friday</v>
      </c>
      <c r="I2821">
        <f>IF((INT(calendar[[#This Row],[Count]]/7)-calendar[[#This Row],[Count]]/7)&lt;0,I2820,I2820+1)</f>
        <v>403</v>
      </c>
      <c r="J2821">
        <f t="shared" si="224"/>
        <v>2819</v>
      </c>
      <c r="K2821">
        <f>IF(calendar[[#This Row],[Month]]&lt;4,1,IF(calendar[[#This Row],[Month]]&lt;7,2,IF(calendar[[#This Row],[Month]]&lt;10,3,4)))</f>
        <v>3</v>
      </c>
      <c r="L2821">
        <f>IFERROR(IF(VLOOKUP(calendar[[#This Row],[Date]],BH!A:A,1,)&lt;&gt;"",1,0),0)</f>
        <v>0</v>
      </c>
      <c r="M2821">
        <f>IFERROR(IF(VLOOKUP(calendar[[#This Row],[Date]],BH!C:C,1,)&lt;&gt;"",1,0),0)</f>
        <v>0</v>
      </c>
      <c r="N2821">
        <f>IFERROR(IF(VLOOKUP(calendar[[#This Row],[Date]],BH!E:E,1,)&lt;&gt;"",1,0),0)</f>
        <v>0</v>
      </c>
      <c r="O2821">
        <f>IFERROR(IF(VLOOKUP(calendar[[#This Row],[Date]],BH!G:G,1,)&lt;&gt;"",1,0),0)</f>
        <v>0</v>
      </c>
      <c r="P2821">
        <f>IF(OR(calendar[[#This Row],[UK_BH]]=1,calendar[[#This Row],[WeekDay]]=1, calendar[[#This Row],[WeekDay]]=7),P2820,P2820+1)</f>
        <v>2015</v>
      </c>
      <c r="Q2821">
        <f>IF(OR(calendar[[#This Row],[FR_BH]]=1,calendar[[#This Row],[WeekDay]]=1, calendar[[#This Row],[WeekDay]]=7),P2820,P2820+1)</f>
        <v>2015</v>
      </c>
      <c r="R2821">
        <f>IF(OR(calendar[[#This Row],[SP_BH]]=1,calendar[[#This Row],[WeekDay]]=1, calendar[[#This Row],[WeekDay]]=7),P2820,P2820+1)</f>
        <v>2015</v>
      </c>
      <c r="S2821">
        <f>IF(OR(calendar[[#This Row],[PT_BH]]=1,calendar[[#This Row],[WeekDay]]=1, calendar[[#This Row],[WeekDay]]=7),P2820,P2820+1)</f>
        <v>2015</v>
      </c>
    </row>
    <row r="2822" spans="1:19" x14ac:dyDescent="0.25">
      <c r="A2822" s="2">
        <v>45556</v>
      </c>
      <c r="B2822" s="1">
        <f t="shared" si="223"/>
        <v>38</v>
      </c>
      <c r="C2822">
        <f t="shared" si="220"/>
        <v>9</v>
      </c>
      <c r="D2822" t="str">
        <f t="shared" si="221"/>
        <v>September</v>
      </c>
      <c r="E2822">
        <f t="shared" si="222"/>
        <v>2024</v>
      </c>
      <c r="F2822" t="str">
        <f>CONCATENATE(calendar[[#This Row],[Month]],"/",calendar[[#This Row],[Year]])</f>
        <v>9/2024</v>
      </c>
      <c r="G2822">
        <f>WEEKDAY(calendar[[#This Row],[Date]],1)</f>
        <v>7</v>
      </c>
      <c r="H2822" t="str">
        <f>TEXT(calendar[[#This Row],[WeekDay]],"dddd")</f>
        <v>Saturday</v>
      </c>
      <c r="I2822">
        <f>IF((INT(calendar[[#This Row],[Count]]/7)-calendar[[#This Row],[Count]]/7)&lt;0,I2821,I2821+1)</f>
        <v>403</v>
      </c>
      <c r="J2822">
        <f t="shared" si="224"/>
        <v>2820</v>
      </c>
      <c r="K2822">
        <f>IF(calendar[[#This Row],[Month]]&lt;4,1,IF(calendar[[#This Row],[Month]]&lt;7,2,IF(calendar[[#This Row],[Month]]&lt;10,3,4)))</f>
        <v>3</v>
      </c>
      <c r="L2822">
        <f>IFERROR(IF(VLOOKUP(calendar[[#This Row],[Date]],BH!A:A,1,)&lt;&gt;"",1,0),0)</f>
        <v>0</v>
      </c>
      <c r="M2822">
        <f>IFERROR(IF(VLOOKUP(calendar[[#This Row],[Date]],BH!C:C,1,)&lt;&gt;"",1,0),0)</f>
        <v>0</v>
      </c>
      <c r="N2822">
        <f>IFERROR(IF(VLOOKUP(calendar[[#This Row],[Date]],BH!E:E,1,)&lt;&gt;"",1,0),0)</f>
        <v>0</v>
      </c>
      <c r="O2822">
        <f>IFERROR(IF(VLOOKUP(calendar[[#This Row],[Date]],BH!G:G,1,)&lt;&gt;"",1,0),0)</f>
        <v>0</v>
      </c>
      <c r="P2822">
        <f>IF(OR(calendar[[#This Row],[UK_BH]]=1,calendar[[#This Row],[WeekDay]]=1, calendar[[#This Row],[WeekDay]]=7),P2821,P2821+1)</f>
        <v>2015</v>
      </c>
      <c r="Q2822">
        <f>IF(OR(calendar[[#This Row],[FR_BH]]=1,calendar[[#This Row],[WeekDay]]=1, calendar[[#This Row],[WeekDay]]=7),P2821,P2821+1)</f>
        <v>2015</v>
      </c>
      <c r="R2822">
        <f>IF(OR(calendar[[#This Row],[SP_BH]]=1,calendar[[#This Row],[WeekDay]]=1, calendar[[#This Row],[WeekDay]]=7),P2821,P2821+1)</f>
        <v>2015</v>
      </c>
      <c r="S2822">
        <f>IF(OR(calendar[[#This Row],[PT_BH]]=1,calendar[[#This Row],[WeekDay]]=1, calendar[[#This Row],[WeekDay]]=7),P2821,P2821+1)</f>
        <v>2015</v>
      </c>
    </row>
    <row r="2823" spans="1:19" x14ac:dyDescent="0.25">
      <c r="A2823" s="2">
        <v>45557</v>
      </c>
      <c r="B2823" s="1">
        <f t="shared" si="223"/>
        <v>39</v>
      </c>
      <c r="C2823">
        <f t="shared" si="220"/>
        <v>9</v>
      </c>
      <c r="D2823" t="str">
        <f t="shared" si="221"/>
        <v>September</v>
      </c>
      <c r="E2823">
        <f t="shared" si="222"/>
        <v>2024</v>
      </c>
      <c r="F2823" t="str">
        <f>CONCATENATE(calendar[[#This Row],[Month]],"/",calendar[[#This Row],[Year]])</f>
        <v>9/2024</v>
      </c>
      <c r="G2823">
        <f>WEEKDAY(calendar[[#This Row],[Date]],1)</f>
        <v>1</v>
      </c>
      <c r="H2823" t="str">
        <f>TEXT(calendar[[#This Row],[WeekDay]],"dddd")</f>
        <v>Sunday</v>
      </c>
      <c r="I2823">
        <f>IF((INT(calendar[[#This Row],[Count]]/7)-calendar[[#This Row],[Count]]/7)&lt;0,I2822,I2822+1)</f>
        <v>404</v>
      </c>
      <c r="J2823">
        <f t="shared" si="224"/>
        <v>2821</v>
      </c>
      <c r="K2823">
        <f>IF(calendar[[#This Row],[Month]]&lt;4,1,IF(calendar[[#This Row],[Month]]&lt;7,2,IF(calendar[[#This Row],[Month]]&lt;10,3,4)))</f>
        <v>3</v>
      </c>
      <c r="L2823">
        <f>IFERROR(IF(VLOOKUP(calendar[[#This Row],[Date]],BH!A:A,1,)&lt;&gt;"",1,0),0)</f>
        <v>0</v>
      </c>
      <c r="M2823">
        <f>IFERROR(IF(VLOOKUP(calendar[[#This Row],[Date]],BH!C:C,1,)&lt;&gt;"",1,0),0)</f>
        <v>0</v>
      </c>
      <c r="N2823">
        <f>IFERROR(IF(VLOOKUP(calendar[[#This Row],[Date]],BH!E:E,1,)&lt;&gt;"",1,0),0)</f>
        <v>0</v>
      </c>
      <c r="O2823">
        <f>IFERROR(IF(VLOOKUP(calendar[[#This Row],[Date]],BH!G:G,1,)&lt;&gt;"",1,0),0)</f>
        <v>0</v>
      </c>
      <c r="P2823">
        <f>IF(OR(calendar[[#This Row],[UK_BH]]=1,calendar[[#This Row],[WeekDay]]=1, calendar[[#This Row],[WeekDay]]=7),P2822,P2822+1)</f>
        <v>2015</v>
      </c>
      <c r="Q2823">
        <f>IF(OR(calendar[[#This Row],[FR_BH]]=1,calendar[[#This Row],[WeekDay]]=1, calendar[[#This Row],[WeekDay]]=7),P2822,P2822+1)</f>
        <v>2015</v>
      </c>
      <c r="R2823">
        <f>IF(OR(calendar[[#This Row],[SP_BH]]=1,calendar[[#This Row],[WeekDay]]=1, calendar[[#This Row],[WeekDay]]=7),P2822,P2822+1)</f>
        <v>2015</v>
      </c>
      <c r="S2823">
        <f>IF(OR(calendar[[#This Row],[PT_BH]]=1,calendar[[#This Row],[WeekDay]]=1, calendar[[#This Row],[WeekDay]]=7),P2822,P2822+1)</f>
        <v>2015</v>
      </c>
    </row>
    <row r="2824" spans="1:19" x14ac:dyDescent="0.25">
      <c r="A2824" s="2">
        <v>45558</v>
      </c>
      <c r="B2824" s="1">
        <f t="shared" si="223"/>
        <v>39</v>
      </c>
      <c r="C2824">
        <f t="shared" si="220"/>
        <v>9</v>
      </c>
      <c r="D2824" t="str">
        <f t="shared" si="221"/>
        <v>September</v>
      </c>
      <c r="E2824">
        <f t="shared" si="222"/>
        <v>2024</v>
      </c>
      <c r="F2824" t="str">
        <f>CONCATENATE(calendar[[#This Row],[Month]],"/",calendar[[#This Row],[Year]])</f>
        <v>9/2024</v>
      </c>
      <c r="G2824">
        <f>WEEKDAY(calendar[[#This Row],[Date]],1)</f>
        <v>2</v>
      </c>
      <c r="H2824" t="str">
        <f>TEXT(calendar[[#This Row],[WeekDay]],"dddd")</f>
        <v>Monday</v>
      </c>
      <c r="I2824">
        <f>IF((INT(calendar[[#This Row],[Count]]/7)-calendar[[#This Row],[Count]]/7)&lt;0,I2823,I2823+1)</f>
        <v>404</v>
      </c>
      <c r="J2824">
        <f t="shared" si="224"/>
        <v>2822</v>
      </c>
      <c r="K2824">
        <f>IF(calendar[[#This Row],[Month]]&lt;4,1,IF(calendar[[#This Row],[Month]]&lt;7,2,IF(calendar[[#This Row],[Month]]&lt;10,3,4)))</f>
        <v>3</v>
      </c>
      <c r="L2824">
        <f>IFERROR(IF(VLOOKUP(calendar[[#This Row],[Date]],BH!A:A,1,)&lt;&gt;"",1,0),0)</f>
        <v>0</v>
      </c>
      <c r="M2824">
        <f>IFERROR(IF(VLOOKUP(calendar[[#This Row],[Date]],BH!C:C,1,)&lt;&gt;"",1,0),0)</f>
        <v>0</v>
      </c>
      <c r="N2824">
        <f>IFERROR(IF(VLOOKUP(calendar[[#This Row],[Date]],BH!E:E,1,)&lt;&gt;"",1,0),0)</f>
        <v>0</v>
      </c>
      <c r="O2824">
        <f>IFERROR(IF(VLOOKUP(calendar[[#This Row],[Date]],BH!G:G,1,)&lt;&gt;"",1,0),0)</f>
        <v>0</v>
      </c>
      <c r="P2824">
        <f>IF(OR(calendar[[#This Row],[UK_BH]]=1,calendar[[#This Row],[WeekDay]]=1, calendar[[#This Row],[WeekDay]]=7),P2823,P2823+1)</f>
        <v>2016</v>
      </c>
      <c r="Q2824">
        <f>IF(OR(calendar[[#This Row],[FR_BH]]=1,calendar[[#This Row],[WeekDay]]=1, calendar[[#This Row],[WeekDay]]=7),P2823,P2823+1)</f>
        <v>2016</v>
      </c>
      <c r="R2824">
        <f>IF(OR(calendar[[#This Row],[SP_BH]]=1,calendar[[#This Row],[WeekDay]]=1, calendar[[#This Row],[WeekDay]]=7),P2823,P2823+1)</f>
        <v>2016</v>
      </c>
      <c r="S2824">
        <f>IF(OR(calendar[[#This Row],[PT_BH]]=1,calendar[[#This Row],[WeekDay]]=1, calendar[[#This Row],[WeekDay]]=7),P2823,P2823+1)</f>
        <v>2016</v>
      </c>
    </row>
    <row r="2825" spans="1:19" x14ac:dyDescent="0.25">
      <c r="A2825" s="2">
        <v>45559</v>
      </c>
      <c r="B2825" s="1">
        <f t="shared" si="223"/>
        <v>39</v>
      </c>
      <c r="C2825">
        <f t="shared" si="220"/>
        <v>9</v>
      </c>
      <c r="D2825" t="str">
        <f t="shared" si="221"/>
        <v>September</v>
      </c>
      <c r="E2825">
        <f t="shared" si="222"/>
        <v>2024</v>
      </c>
      <c r="F2825" t="str">
        <f>CONCATENATE(calendar[[#This Row],[Month]],"/",calendar[[#This Row],[Year]])</f>
        <v>9/2024</v>
      </c>
      <c r="G2825">
        <f>WEEKDAY(calendar[[#This Row],[Date]],1)</f>
        <v>3</v>
      </c>
      <c r="H2825" t="str">
        <f>TEXT(calendar[[#This Row],[WeekDay]],"dddd")</f>
        <v>Tuesday</v>
      </c>
      <c r="I2825">
        <f>IF((INT(calendar[[#This Row],[Count]]/7)-calendar[[#This Row],[Count]]/7)&lt;0,I2824,I2824+1)</f>
        <v>404</v>
      </c>
      <c r="J2825">
        <f t="shared" si="224"/>
        <v>2823</v>
      </c>
      <c r="K2825">
        <f>IF(calendar[[#This Row],[Month]]&lt;4,1,IF(calendar[[#This Row],[Month]]&lt;7,2,IF(calendar[[#This Row],[Month]]&lt;10,3,4)))</f>
        <v>3</v>
      </c>
      <c r="L2825">
        <f>IFERROR(IF(VLOOKUP(calendar[[#This Row],[Date]],BH!A:A,1,)&lt;&gt;"",1,0),0)</f>
        <v>0</v>
      </c>
      <c r="M2825">
        <f>IFERROR(IF(VLOOKUP(calendar[[#This Row],[Date]],BH!C:C,1,)&lt;&gt;"",1,0),0)</f>
        <v>0</v>
      </c>
      <c r="N2825">
        <f>IFERROR(IF(VLOOKUP(calendar[[#This Row],[Date]],BH!E:E,1,)&lt;&gt;"",1,0),0)</f>
        <v>0</v>
      </c>
      <c r="O2825">
        <f>IFERROR(IF(VLOOKUP(calendar[[#This Row],[Date]],BH!G:G,1,)&lt;&gt;"",1,0),0)</f>
        <v>0</v>
      </c>
      <c r="P2825">
        <f>IF(OR(calendar[[#This Row],[UK_BH]]=1,calendar[[#This Row],[WeekDay]]=1, calendar[[#This Row],[WeekDay]]=7),P2824,P2824+1)</f>
        <v>2017</v>
      </c>
      <c r="Q2825">
        <f>IF(OR(calendar[[#This Row],[FR_BH]]=1,calendar[[#This Row],[WeekDay]]=1, calendar[[#This Row],[WeekDay]]=7),P2824,P2824+1)</f>
        <v>2017</v>
      </c>
      <c r="R2825">
        <f>IF(OR(calendar[[#This Row],[SP_BH]]=1,calendar[[#This Row],[WeekDay]]=1, calendar[[#This Row],[WeekDay]]=7),P2824,P2824+1)</f>
        <v>2017</v>
      </c>
      <c r="S2825">
        <f>IF(OR(calendar[[#This Row],[PT_BH]]=1,calendar[[#This Row],[WeekDay]]=1, calendar[[#This Row],[WeekDay]]=7),P2824,P2824+1)</f>
        <v>2017</v>
      </c>
    </row>
    <row r="2826" spans="1:19" x14ac:dyDescent="0.25">
      <c r="A2826" s="2">
        <v>45560</v>
      </c>
      <c r="B2826" s="1">
        <f t="shared" si="223"/>
        <v>39</v>
      </c>
      <c r="C2826">
        <f t="shared" si="220"/>
        <v>9</v>
      </c>
      <c r="D2826" t="str">
        <f t="shared" si="221"/>
        <v>September</v>
      </c>
      <c r="E2826">
        <f t="shared" si="222"/>
        <v>2024</v>
      </c>
      <c r="F2826" t="str">
        <f>CONCATENATE(calendar[[#This Row],[Month]],"/",calendar[[#This Row],[Year]])</f>
        <v>9/2024</v>
      </c>
      <c r="G2826">
        <f>WEEKDAY(calendar[[#This Row],[Date]],1)</f>
        <v>4</v>
      </c>
      <c r="H2826" t="str">
        <f>TEXT(calendar[[#This Row],[WeekDay]],"dddd")</f>
        <v>Wednesday</v>
      </c>
      <c r="I2826">
        <f>IF((INT(calendar[[#This Row],[Count]]/7)-calendar[[#This Row],[Count]]/7)&lt;0,I2825,I2825+1)</f>
        <v>404</v>
      </c>
      <c r="J2826">
        <f t="shared" si="224"/>
        <v>2824</v>
      </c>
      <c r="K2826">
        <f>IF(calendar[[#This Row],[Month]]&lt;4,1,IF(calendar[[#This Row],[Month]]&lt;7,2,IF(calendar[[#This Row],[Month]]&lt;10,3,4)))</f>
        <v>3</v>
      </c>
      <c r="L2826">
        <f>IFERROR(IF(VLOOKUP(calendar[[#This Row],[Date]],BH!A:A,1,)&lt;&gt;"",1,0),0)</f>
        <v>0</v>
      </c>
      <c r="M2826">
        <f>IFERROR(IF(VLOOKUP(calendar[[#This Row],[Date]],BH!C:C,1,)&lt;&gt;"",1,0),0)</f>
        <v>0</v>
      </c>
      <c r="N2826">
        <f>IFERROR(IF(VLOOKUP(calendar[[#This Row],[Date]],BH!E:E,1,)&lt;&gt;"",1,0),0)</f>
        <v>0</v>
      </c>
      <c r="O2826">
        <f>IFERROR(IF(VLOOKUP(calendar[[#This Row],[Date]],BH!G:G,1,)&lt;&gt;"",1,0),0)</f>
        <v>0</v>
      </c>
      <c r="P2826">
        <f>IF(OR(calendar[[#This Row],[UK_BH]]=1,calendar[[#This Row],[WeekDay]]=1, calendar[[#This Row],[WeekDay]]=7),P2825,P2825+1)</f>
        <v>2018</v>
      </c>
      <c r="Q2826">
        <f>IF(OR(calendar[[#This Row],[FR_BH]]=1,calendar[[#This Row],[WeekDay]]=1, calendar[[#This Row],[WeekDay]]=7),P2825,P2825+1)</f>
        <v>2018</v>
      </c>
      <c r="R2826">
        <f>IF(OR(calendar[[#This Row],[SP_BH]]=1,calendar[[#This Row],[WeekDay]]=1, calendar[[#This Row],[WeekDay]]=7),P2825,P2825+1)</f>
        <v>2018</v>
      </c>
      <c r="S2826">
        <f>IF(OR(calendar[[#This Row],[PT_BH]]=1,calendar[[#This Row],[WeekDay]]=1, calendar[[#This Row],[WeekDay]]=7),P2825,P2825+1)</f>
        <v>2018</v>
      </c>
    </row>
    <row r="2827" spans="1:19" x14ac:dyDescent="0.25">
      <c r="A2827" s="2">
        <v>45561</v>
      </c>
      <c r="B2827" s="1">
        <f t="shared" si="223"/>
        <v>39</v>
      </c>
      <c r="C2827">
        <f t="shared" si="220"/>
        <v>9</v>
      </c>
      <c r="D2827" t="str">
        <f t="shared" si="221"/>
        <v>September</v>
      </c>
      <c r="E2827">
        <f t="shared" si="222"/>
        <v>2024</v>
      </c>
      <c r="F2827" t="str">
        <f>CONCATENATE(calendar[[#This Row],[Month]],"/",calendar[[#This Row],[Year]])</f>
        <v>9/2024</v>
      </c>
      <c r="G2827">
        <f>WEEKDAY(calendar[[#This Row],[Date]],1)</f>
        <v>5</v>
      </c>
      <c r="H2827" t="str">
        <f>TEXT(calendar[[#This Row],[WeekDay]],"dddd")</f>
        <v>Thursday</v>
      </c>
      <c r="I2827">
        <f>IF((INT(calendar[[#This Row],[Count]]/7)-calendar[[#This Row],[Count]]/7)&lt;0,I2826,I2826+1)</f>
        <v>404</v>
      </c>
      <c r="J2827">
        <f t="shared" si="224"/>
        <v>2825</v>
      </c>
      <c r="K2827">
        <f>IF(calendar[[#This Row],[Month]]&lt;4,1,IF(calendar[[#This Row],[Month]]&lt;7,2,IF(calendar[[#This Row],[Month]]&lt;10,3,4)))</f>
        <v>3</v>
      </c>
      <c r="L2827">
        <f>IFERROR(IF(VLOOKUP(calendar[[#This Row],[Date]],BH!A:A,1,)&lt;&gt;"",1,0),0)</f>
        <v>0</v>
      </c>
      <c r="M2827">
        <f>IFERROR(IF(VLOOKUP(calendar[[#This Row],[Date]],BH!C:C,1,)&lt;&gt;"",1,0),0)</f>
        <v>0</v>
      </c>
      <c r="N2827">
        <f>IFERROR(IF(VLOOKUP(calendar[[#This Row],[Date]],BH!E:E,1,)&lt;&gt;"",1,0),0)</f>
        <v>0</v>
      </c>
      <c r="O2827">
        <f>IFERROR(IF(VLOOKUP(calendar[[#This Row],[Date]],BH!G:G,1,)&lt;&gt;"",1,0),0)</f>
        <v>0</v>
      </c>
      <c r="P2827">
        <f>IF(OR(calendar[[#This Row],[UK_BH]]=1,calendar[[#This Row],[WeekDay]]=1, calendar[[#This Row],[WeekDay]]=7),P2826,P2826+1)</f>
        <v>2019</v>
      </c>
      <c r="Q2827">
        <f>IF(OR(calendar[[#This Row],[FR_BH]]=1,calendar[[#This Row],[WeekDay]]=1, calendar[[#This Row],[WeekDay]]=7),P2826,P2826+1)</f>
        <v>2019</v>
      </c>
      <c r="R2827">
        <f>IF(OR(calendar[[#This Row],[SP_BH]]=1,calendar[[#This Row],[WeekDay]]=1, calendar[[#This Row],[WeekDay]]=7),P2826,P2826+1)</f>
        <v>2019</v>
      </c>
      <c r="S2827">
        <f>IF(OR(calendar[[#This Row],[PT_BH]]=1,calendar[[#This Row],[WeekDay]]=1, calendar[[#This Row],[WeekDay]]=7),P2826,P2826+1)</f>
        <v>2019</v>
      </c>
    </row>
    <row r="2828" spans="1:19" x14ac:dyDescent="0.25">
      <c r="A2828" s="2">
        <v>45562</v>
      </c>
      <c r="B2828" s="1">
        <f t="shared" si="223"/>
        <v>39</v>
      </c>
      <c r="C2828">
        <f t="shared" si="220"/>
        <v>9</v>
      </c>
      <c r="D2828" t="str">
        <f t="shared" si="221"/>
        <v>September</v>
      </c>
      <c r="E2828">
        <f t="shared" si="222"/>
        <v>2024</v>
      </c>
      <c r="F2828" t="str">
        <f>CONCATENATE(calendar[[#This Row],[Month]],"/",calendar[[#This Row],[Year]])</f>
        <v>9/2024</v>
      </c>
      <c r="G2828">
        <f>WEEKDAY(calendar[[#This Row],[Date]],1)</f>
        <v>6</v>
      </c>
      <c r="H2828" t="str">
        <f>TEXT(calendar[[#This Row],[WeekDay]],"dddd")</f>
        <v>Friday</v>
      </c>
      <c r="I2828">
        <f>IF((INT(calendar[[#This Row],[Count]]/7)-calendar[[#This Row],[Count]]/7)&lt;0,I2827,I2827+1)</f>
        <v>404</v>
      </c>
      <c r="J2828">
        <f t="shared" si="224"/>
        <v>2826</v>
      </c>
      <c r="K2828">
        <f>IF(calendar[[#This Row],[Month]]&lt;4,1,IF(calendar[[#This Row],[Month]]&lt;7,2,IF(calendar[[#This Row],[Month]]&lt;10,3,4)))</f>
        <v>3</v>
      </c>
      <c r="L2828">
        <f>IFERROR(IF(VLOOKUP(calendar[[#This Row],[Date]],BH!A:A,1,)&lt;&gt;"",1,0),0)</f>
        <v>0</v>
      </c>
      <c r="M2828">
        <f>IFERROR(IF(VLOOKUP(calendar[[#This Row],[Date]],BH!C:C,1,)&lt;&gt;"",1,0),0)</f>
        <v>0</v>
      </c>
      <c r="N2828">
        <f>IFERROR(IF(VLOOKUP(calendar[[#This Row],[Date]],BH!E:E,1,)&lt;&gt;"",1,0),0)</f>
        <v>0</v>
      </c>
      <c r="O2828">
        <f>IFERROR(IF(VLOOKUP(calendar[[#This Row],[Date]],BH!G:G,1,)&lt;&gt;"",1,0),0)</f>
        <v>0</v>
      </c>
      <c r="P2828">
        <f>IF(OR(calendar[[#This Row],[UK_BH]]=1,calendar[[#This Row],[WeekDay]]=1, calendar[[#This Row],[WeekDay]]=7),P2827,P2827+1)</f>
        <v>2020</v>
      </c>
      <c r="Q2828">
        <f>IF(OR(calendar[[#This Row],[FR_BH]]=1,calendar[[#This Row],[WeekDay]]=1, calendar[[#This Row],[WeekDay]]=7),P2827,P2827+1)</f>
        <v>2020</v>
      </c>
      <c r="R2828">
        <f>IF(OR(calendar[[#This Row],[SP_BH]]=1,calendar[[#This Row],[WeekDay]]=1, calendar[[#This Row],[WeekDay]]=7),P2827,P2827+1)</f>
        <v>2020</v>
      </c>
      <c r="S2828">
        <f>IF(OR(calendar[[#This Row],[PT_BH]]=1,calendar[[#This Row],[WeekDay]]=1, calendar[[#This Row],[WeekDay]]=7),P2827,P2827+1)</f>
        <v>2020</v>
      </c>
    </row>
    <row r="2829" spans="1:19" x14ac:dyDescent="0.25">
      <c r="A2829" s="2">
        <v>45563</v>
      </c>
      <c r="B2829" s="1">
        <f t="shared" si="223"/>
        <v>39</v>
      </c>
      <c r="C2829">
        <f t="shared" si="220"/>
        <v>9</v>
      </c>
      <c r="D2829" t="str">
        <f t="shared" si="221"/>
        <v>September</v>
      </c>
      <c r="E2829">
        <f t="shared" si="222"/>
        <v>2024</v>
      </c>
      <c r="F2829" t="str">
        <f>CONCATENATE(calendar[[#This Row],[Month]],"/",calendar[[#This Row],[Year]])</f>
        <v>9/2024</v>
      </c>
      <c r="G2829">
        <f>WEEKDAY(calendar[[#This Row],[Date]],1)</f>
        <v>7</v>
      </c>
      <c r="H2829" t="str">
        <f>TEXT(calendar[[#This Row],[WeekDay]],"dddd")</f>
        <v>Saturday</v>
      </c>
      <c r="I2829">
        <f>IF((INT(calendar[[#This Row],[Count]]/7)-calendar[[#This Row],[Count]]/7)&lt;0,I2828,I2828+1)</f>
        <v>404</v>
      </c>
      <c r="J2829">
        <f t="shared" si="224"/>
        <v>2827</v>
      </c>
      <c r="K2829">
        <f>IF(calendar[[#This Row],[Month]]&lt;4,1,IF(calendar[[#This Row],[Month]]&lt;7,2,IF(calendar[[#This Row],[Month]]&lt;10,3,4)))</f>
        <v>3</v>
      </c>
      <c r="L2829">
        <f>IFERROR(IF(VLOOKUP(calendar[[#This Row],[Date]],BH!A:A,1,)&lt;&gt;"",1,0),0)</f>
        <v>0</v>
      </c>
      <c r="M2829">
        <f>IFERROR(IF(VLOOKUP(calendar[[#This Row],[Date]],BH!C:C,1,)&lt;&gt;"",1,0),0)</f>
        <v>0</v>
      </c>
      <c r="N2829">
        <f>IFERROR(IF(VLOOKUP(calendar[[#This Row],[Date]],BH!E:E,1,)&lt;&gt;"",1,0),0)</f>
        <v>0</v>
      </c>
      <c r="O2829">
        <f>IFERROR(IF(VLOOKUP(calendar[[#This Row],[Date]],BH!G:G,1,)&lt;&gt;"",1,0),0)</f>
        <v>0</v>
      </c>
      <c r="P2829">
        <f>IF(OR(calendar[[#This Row],[UK_BH]]=1,calendar[[#This Row],[WeekDay]]=1, calendar[[#This Row],[WeekDay]]=7),P2828,P2828+1)</f>
        <v>2020</v>
      </c>
      <c r="Q2829">
        <f>IF(OR(calendar[[#This Row],[FR_BH]]=1,calendar[[#This Row],[WeekDay]]=1, calendar[[#This Row],[WeekDay]]=7),P2828,P2828+1)</f>
        <v>2020</v>
      </c>
      <c r="R2829">
        <f>IF(OR(calendar[[#This Row],[SP_BH]]=1,calendar[[#This Row],[WeekDay]]=1, calendar[[#This Row],[WeekDay]]=7),P2828,P2828+1)</f>
        <v>2020</v>
      </c>
      <c r="S2829">
        <f>IF(OR(calendar[[#This Row],[PT_BH]]=1,calendar[[#This Row],[WeekDay]]=1, calendar[[#This Row],[WeekDay]]=7),P2828,P2828+1)</f>
        <v>2020</v>
      </c>
    </row>
    <row r="2830" spans="1:19" x14ac:dyDescent="0.25">
      <c r="A2830" s="2">
        <v>45564</v>
      </c>
      <c r="B2830" s="1">
        <f t="shared" si="223"/>
        <v>40</v>
      </c>
      <c r="C2830">
        <f t="shared" si="220"/>
        <v>9</v>
      </c>
      <c r="D2830" t="str">
        <f t="shared" si="221"/>
        <v>September</v>
      </c>
      <c r="E2830">
        <f t="shared" si="222"/>
        <v>2024</v>
      </c>
      <c r="F2830" t="str">
        <f>CONCATENATE(calendar[[#This Row],[Month]],"/",calendar[[#This Row],[Year]])</f>
        <v>9/2024</v>
      </c>
      <c r="G2830">
        <f>WEEKDAY(calendar[[#This Row],[Date]],1)</f>
        <v>1</v>
      </c>
      <c r="H2830" t="str">
        <f>TEXT(calendar[[#This Row],[WeekDay]],"dddd")</f>
        <v>Sunday</v>
      </c>
      <c r="I2830">
        <f>IF((INT(calendar[[#This Row],[Count]]/7)-calendar[[#This Row],[Count]]/7)&lt;0,I2829,I2829+1)</f>
        <v>405</v>
      </c>
      <c r="J2830">
        <f t="shared" si="224"/>
        <v>2828</v>
      </c>
      <c r="K2830">
        <f>IF(calendar[[#This Row],[Month]]&lt;4,1,IF(calendar[[#This Row],[Month]]&lt;7,2,IF(calendar[[#This Row],[Month]]&lt;10,3,4)))</f>
        <v>3</v>
      </c>
      <c r="L2830">
        <f>IFERROR(IF(VLOOKUP(calendar[[#This Row],[Date]],BH!A:A,1,)&lt;&gt;"",1,0),0)</f>
        <v>0</v>
      </c>
      <c r="M2830">
        <f>IFERROR(IF(VLOOKUP(calendar[[#This Row],[Date]],BH!C:C,1,)&lt;&gt;"",1,0),0)</f>
        <v>0</v>
      </c>
      <c r="N2830">
        <f>IFERROR(IF(VLOOKUP(calendar[[#This Row],[Date]],BH!E:E,1,)&lt;&gt;"",1,0),0)</f>
        <v>0</v>
      </c>
      <c r="O2830">
        <f>IFERROR(IF(VLOOKUP(calendar[[#This Row],[Date]],BH!G:G,1,)&lt;&gt;"",1,0),0)</f>
        <v>0</v>
      </c>
      <c r="P2830">
        <f>IF(OR(calendar[[#This Row],[UK_BH]]=1,calendar[[#This Row],[WeekDay]]=1, calendar[[#This Row],[WeekDay]]=7),P2829,P2829+1)</f>
        <v>2020</v>
      </c>
      <c r="Q2830">
        <f>IF(OR(calendar[[#This Row],[FR_BH]]=1,calendar[[#This Row],[WeekDay]]=1, calendar[[#This Row],[WeekDay]]=7),P2829,P2829+1)</f>
        <v>2020</v>
      </c>
      <c r="R2830">
        <f>IF(OR(calendar[[#This Row],[SP_BH]]=1,calendar[[#This Row],[WeekDay]]=1, calendar[[#This Row],[WeekDay]]=7),P2829,P2829+1)</f>
        <v>2020</v>
      </c>
      <c r="S2830">
        <f>IF(OR(calendar[[#This Row],[PT_BH]]=1,calendar[[#This Row],[WeekDay]]=1, calendar[[#This Row],[WeekDay]]=7),P2829,P2829+1)</f>
        <v>2020</v>
      </c>
    </row>
    <row r="2831" spans="1:19" x14ac:dyDescent="0.25">
      <c r="A2831" s="2">
        <v>45565</v>
      </c>
      <c r="B2831" s="1">
        <f t="shared" si="223"/>
        <v>40</v>
      </c>
      <c r="C2831">
        <f t="shared" si="220"/>
        <v>9</v>
      </c>
      <c r="D2831" t="str">
        <f t="shared" si="221"/>
        <v>September</v>
      </c>
      <c r="E2831">
        <f t="shared" si="222"/>
        <v>2024</v>
      </c>
      <c r="F2831" t="str">
        <f>CONCATENATE(calendar[[#This Row],[Month]],"/",calendar[[#This Row],[Year]])</f>
        <v>9/2024</v>
      </c>
      <c r="G2831">
        <f>WEEKDAY(calendar[[#This Row],[Date]],1)</f>
        <v>2</v>
      </c>
      <c r="H2831" t="str">
        <f>TEXT(calendar[[#This Row],[WeekDay]],"dddd")</f>
        <v>Monday</v>
      </c>
      <c r="I2831">
        <f>IF((INT(calendar[[#This Row],[Count]]/7)-calendar[[#This Row],[Count]]/7)&lt;0,I2830,I2830+1)</f>
        <v>405</v>
      </c>
      <c r="J2831">
        <f t="shared" si="224"/>
        <v>2829</v>
      </c>
      <c r="K2831">
        <f>IF(calendar[[#This Row],[Month]]&lt;4,1,IF(calendar[[#This Row],[Month]]&lt;7,2,IF(calendar[[#This Row],[Month]]&lt;10,3,4)))</f>
        <v>3</v>
      </c>
      <c r="L2831">
        <f>IFERROR(IF(VLOOKUP(calendar[[#This Row],[Date]],BH!A:A,1,)&lt;&gt;"",1,0),0)</f>
        <v>0</v>
      </c>
      <c r="M2831">
        <f>IFERROR(IF(VLOOKUP(calendar[[#This Row],[Date]],BH!C:C,1,)&lt;&gt;"",1,0),0)</f>
        <v>0</v>
      </c>
      <c r="N2831">
        <f>IFERROR(IF(VLOOKUP(calendar[[#This Row],[Date]],BH!E:E,1,)&lt;&gt;"",1,0),0)</f>
        <v>0</v>
      </c>
      <c r="O2831">
        <f>IFERROR(IF(VLOOKUP(calendar[[#This Row],[Date]],BH!G:G,1,)&lt;&gt;"",1,0),0)</f>
        <v>0</v>
      </c>
      <c r="P2831">
        <f>IF(OR(calendar[[#This Row],[UK_BH]]=1,calendar[[#This Row],[WeekDay]]=1, calendar[[#This Row],[WeekDay]]=7),P2830,P2830+1)</f>
        <v>2021</v>
      </c>
      <c r="Q2831">
        <f>IF(OR(calendar[[#This Row],[FR_BH]]=1,calendar[[#This Row],[WeekDay]]=1, calendar[[#This Row],[WeekDay]]=7),P2830,P2830+1)</f>
        <v>2021</v>
      </c>
      <c r="R2831">
        <f>IF(OR(calendar[[#This Row],[SP_BH]]=1,calendar[[#This Row],[WeekDay]]=1, calendar[[#This Row],[WeekDay]]=7),P2830,P2830+1)</f>
        <v>2021</v>
      </c>
      <c r="S2831">
        <f>IF(OR(calendar[[#This Row],[PT_BH]]=1,calendar[[#This Row],[WeekDay]]=1, calendar[[#This Row],[WeekDay]]=7),P2830,P2830+1)</f>
        <v>2021</v>
      </c>
    </row>
    <row r="2832" spans="1:19" x14ac:dyDescent="0.25">
      <c r="A2832" s="2">
        <v>45566</v>
      </c>
      <c r="B2832" s="1">
        <f t="shared" si="223"/>
        <v>40</v>
      </c>
      <c r="C2832">
        <f t="shared" ref="C2832:C2895" si="225">MONTH(A2832)</f>
        <v>10</v>
      </c>
      <c r="D2832" t="str">
        <f t="shared" ref="D2832:D2895" si="226">TEXT(A2832,"mmmm")</f>
        <v>October</v>
      </c>
      <c r="E2832">
        <f t="shared" ref="E2832:E2895" si="227">YEAR(A2832)</f>
        <v>2024</v>
      </c>
      <c r="F2832" t="str">
        <f>CONCATENATE(calendar[[#This Row],[Month]],"/",calendar[[#This Row],[Year]])</f>
        <v>10/2024</v>
      </c>
      <c r="G2832">
        <f>WEEKDAY(calendar[[#This Row],[Date]],1)</f>
        <v>3</v>
      </c>
      <c r="H2832" t="str">
        <f>TEXT(calendar[[#This Row],[WeekDay]],"dddd")</f>
        <v>Tuesday</v>
      </c>
      <c r="I2832">
        <f>IF((INT(calendar[[#This Row],[Count]]/7)-calendar[[#This Row],[Count]]/7)&lt;0,I2831,I2831+1)</f>
        <v>405</v>
      </c>
      <c r="J2832">
        <f t="shared" si="224"/>
        <v>2830</v>
      </c>
      <c r="K2832">
        <f>IF(calendar[[#This Row],[Month]]&lt;4,1,IF(calendar[[#This Row],[Month]]&lt;7,2,IF(calendar[[#This Row],[Month]]&lt;10,3,4)))</f>
        <v>4</v>
      </c>
      <c r="L2832">
        <f>IFERROR(IF(VLOOKUP(calendar[[#This Row],[Date]],BH!A:A,1,)&lt;&gt;"",1,0),0)</f>
        <v>0</v>
      </c>
      <c r="M2832">
        <f>IFERROR(IF(VLOOKUP(calendar[[#This Row],[Date]],BH!C:C,1,)&lt;&gt;"",1,0),0)</f>
        <v>0</v>
      </c>
      <c r="N2832">
        <f>IFERROR(IF(VLOOKUP(calendar[[#This Row],[Date]],BH!E:E,1,)&lt;&gt;"",1,0),0)</f>
        <v>0</v>
      </c>
      <c r="O2832">
        <f>IFERROR(IF(VLOOKUP(calendar[[#This Row],[Date]],BH!G:G,1,)&lt;&gt;"",1,0),0)</f>
        <v>0</v>
      </c>
      <c r="P2832">
        <f>IF(OR(calendar[[#This Row],[UK_BH]]=1,calendar[[#This Row],[WeekDay]]=1, calendar[[#This Row],[WeekDay]]=7),P2831,P2831+1)</f>
        <v>2022</v>
      </c>
      <c r="Q2832">
        <f>IF(OR(calendar[[#This Row],[FR_BH]]=1,calendar[[#This Row],[WeekDay]]=1, calendar[[#This Row],[WeekDay]]=7),P2831,P2831+1)</f>
        <v>2022</v>
      </c>
      <c r="R2832">
        <f>IF(OR(calendar[[#This Row],[SP_BH]]=1,calendar[[#This Row],[WeekDay]]=1, calendar[[#This Row],[WeekDay]]=7),P2831,P2831+1)</f>
        <v>2022</v>
      </c>
      <c r="S2832">
        <f>IF(OR(calendar[[#This Row],[PT_BH]]=1,calendar[[#This Row],[WeekDay]]=1, calendar[[#This Row],[WeekDay]]=7),P2831,P2831+1)</f>
        <v>2022</v>
      </c>
    </row>
    <row r="2833" spans="1:19" x14ac:dyDescent="0.25">
      <c r="A2833" s="2">
        <v>45567</v>
      </c>
      <c r="B2833" s="1">
        <f t="shared" si="223"/>
        <v>40</v>
      </c>
      <c r="C2833">
        <f t="shared" si="225"/>
        <v>10</v>
      </c>
      <c r="D2833" t="str">
        <f t="shared" si="226"/>
        <v>October</v>
      </c>
      <c r="E2833">
        <f t="shared" si="227"/>
        <v>2024</v>
      </c>
      <c r="F2833" t="str">
        <f>CONCATENATE(calendar[[#This Row],[Month]],"/",calendar[[#This Row],[Year]])</f>
        <v>10/2024</v>
      </c>
      <c r="G2833">
        <f>WEEKDAY(calendar[[#This Row],[Date]],1)</f>
        <v>4</v>
      </c>
      <c r="H2833" t="str">
        <f>TEXT(calendar[[#This Row],[WeekDay]],"dddd")</f>
        <v>Wednesday</v>
      </c>
      <c r="I2833">
        <f>IF((INT(calendar[[#This Row],[Count]]/7)-calendar[[#This Row],[Count]]/7)&lt;0,I2832,I2832+1)</f>
        <v>405</v>
      </c>
      <c r="J2833">
        <f t="shared" si="224"/>
        <v>2831</v>
      </c>
      <c r="K2833">
        <f>IF(calendar[[#This Row],[Month]]&lt;4,1,IF(calendar[[#This Row],[Month]]&lt;7,2,IF(calendar[[#This Row],[Month]]&lt;10,3,4)))</f>
        <v>4</v>
      </c>
      <c r="L2833">
        <f>IFERROR(IF(VLOOKUP(calendar[[#This Row],[Date]],BH!A:A,1,)&lt;&gt;"",1,0),0)</f>
        <v>0</v>
      </c>
      <c r="M2833">
        <f>IFERROR(IF(VLOOKUP(calendar[[#This Row],[Date]],BH!C:C,1,)&lt;&gt;"",1,0),0)</f>
        <v>0</v>
      </c>
      <c r="N2833">
        <f>IFERROR(IF(VLOOKUP(calendar[[#This Row],[Date]],BH!E:E,1,)&lt;&gt;"",1,0),0)</f>
        <v>0</v>
      </c>
      <c r="O2833">
        <f>IFERROR(IF(VLOOKUP(calendar[[#This Row],[Date]],BH!G:G,1,)&lt;&gt;"",1,0),0)</f>
        <v>0</v>
      </c>
      <c r="P2833">
        <f>IF(OR(calendar[[#This Row],[UK_BH]]=1,calendar[[#This Row],[WeekDay]]=1, calendar[[#This Row],[WeekDay]]=7),P2832,P2832+1)</f>
        <v>2023</v>
      </c>
      <c r="Q2833">
        <f>IF(OR(calendar[[#This Row],[FR_BH]]=1,calendar[[#This Row],[WeekDay]]=1, calendar[[#This Row],[WeekDay]]=7),P2832,P2832+1)</f>
        <v>2023</v>
      </c>
      <c r="R2833">
        <f>IF(OR(calendar[[#This Row],[SP_BH]]=1,calendar[[#This Row],[WeekDay]]=1, calendar[[#This Row],[WeekDay]]=7),P2832,P2832+1)</f>
        <v>2023</v>
      </c>
      <c r="S2833">
        <f>IF(OR(calendar[[#This Row],[PT_BH]]=1,calendar[[#This Row],[WeekDay]]=1, calendar[[#This Row],[WeekDay]]=7),P2832,P2832+1)</f>
        <v>2023</v>
      </c>
    </row>
    <row r="2834" spans="1:19" x14ac:dyDescent="0.25">
      <c r="A2834" s="2">
        <v>45568</v>
      </c>
      <c r="B2834" s="1">
        <f t="shared" si="223"/>
        <v>40</v>
      </c>
      <c r="C2834">
        <f t="shared" si="225"/>
        <v>10</v>
      </c>
      <c r="D2834" t="str">
        <f t="shared" si="226"/>
        <v>October</v>
      </c>
      <c r="E2834">
        <f t="shared" si="227"/>
        <v>2024</v>
      </c>
      <c r="F2834" t="str">
        <f>CONCATENATE(calendar[[#This Row],[Month]],"/",calendar[[#This Row],[Year]])</f>
        <v>10/2024</v>
      </c>
      <c r="G2834">
        <f>WEEKDAY(calendar[[#This Row],[Date]],1)</f>
        <v>5</v>
      </c>
      <c r="H2834" t="str">
        <f>TEXT(calendar[[#This Row],[WeekDay]],"dddd")</f>
        <v>Thursday</v>
      </c>
      <c r="I2834">
        <f>IF((INT(calendar[[#This Row],[Count]]/7)-calendar[[#This Row],[Count]]/7)&lt;0,I2833,I2833+1)</f>
        <v>405</v>
      </c>
      <c r="J2834">
        <f t="shared" si="224"/>
        <v>2832</v>
      </c>
      <c r="K2834">
        <f>IF(calendar[[#This Row],[Month]]&lt;4,1,IF(calendar[[#This Row],[Month]]&lt;7,2,IF(calendar[[#This Row],[Month]]&lt;10,3,4)))</f>
        <v>4</v>
      </c>
      <c r="L2834">
        <f>IFERROR(IF(VLOOKUP(calendar[[#This Row],[Date]],BH!A:A,1,)&lt;&gt;"",1,0),0)</f>
        <v>0</v>
      </c>
      <c r="M2834">
        <f>IFERROR(IF(VLOOKUP(calendar[[#This Row],[Date]],BH!C:C,1,)&lt;&gt;"",1,0),0)</f>
        <v>0</v>
      </c>
      <c r="N2834">
        <f>IFERROR(IF(VLOOKUP(calendar[[#This Row],[Date]],BH!E:E,1,)&lt;&gt;"",1,0),0)</f>
        <v>0</v>
      </c>
      <c r="O2834">
        <f>IFERROR(IF(VLOOKUP(calendar[[#This Row],[Date]],BH!G:G,1,)&lt;&gt;"",1,0),0)</f>
        <v>0</v>
      </c>
      <c r="P2834">
        <f>IF(OR(calendar[[#This Row],[UK_BH]]=1,calendar[[#This Row],[WeekDay]]=1, calendar[[#This Row],[WeekDay]]=7),P2833,P2833+1)</f>
        <v>2024</v>
      </c>
      <c r="Q2834">
        <f>IF(OR(calendar[[#This Row],[FR_BH]]=1,calendar[[#This Row],[WeekDay]]=1, calendar[[#This Row],[WeekDay]]=7),P2833,P2833+1)</f>
        <v>2024</v>
      </c>
      <c r="R2834">
        <f>IF(OR(calendar[[#This Row],[SP_BH]]=1,calendar[[#This Row],[WeekDay]]=1, calendar[[#This Row],[WeekDay]]=7),P2833,P2833+1)</f>
        <v>2024</v>
      </c>
      <c r="S2834">
        <f>IF(OR(calendar[[#This Row],[PT_BH]]=1,calendar[[#This Row],[WeekDay]]=1, calendar[[#This Row],[WeekDay]]=7),P2833,P2833+1)</f>
        <v>2024</v>
      </c>
    </row>
    <row r="2835" spans="1:19" x14ac:dyDescent="0.25">
      <c r="A2835" s="2">
        <v>45569</v>
      </c>
      <c r="B2835" s="1">
        <f t="shared" si="223"/>
        <v>40</v>
      </c>
      <c r="C2835">
        <f t="shared" si="225"/>
        <v>10</v>
      </c>
      <c r="D2835" t="str">
        <f t="shared" si="226"/>
        <v>October</v>
      </c>
      <c r="E2835">
        <f t="shared" si="227"/>
        <v>2024</v>
      </c>
      <c r="F2835" t="str">
        <f>CONCATENATE(calendar[[#This Row],[Month]],"/",calendar[[#This Row],[Year]])</f>
        <v>10/2024</v>
      </c>
      <c r="G2835">
        <f>WEEKDAY(calendar[[#This Row],[Date]],1)</f>
        <v>6</v>
      </c>
      <c r="H2835" t="str">
        <f>TEXT(calendar[[#This Row],[WeekDay]],"dddd")</f>
        <v>Friday</v>
      </c>
      <c r="I2835">
        <f>IF((INT(calendar[[#This Row],[Count]]/7)-calendar[[#This Row],[Count]]/7)&lt;0,I2834,I2834+1)</f>
        <v>405</v>
      </c>
      <c r="J2835">
        <f t="shared" si="224"/>
        <v>2833</v>
      </c>
      <c r="K2835">
        <f>IF(calendar[[#This Row],[Month]]&lt;4,1,IF(calendar[[#This Row],[Month]]&lt;7,2,IF(calendar[[#This Row],[Month]]&lt;10,3,4)))</f>
        <v>4</v>
      </c>
      <c r="L2835">
        <f>IFERROR(IF(VLOOKUP(calendar[[#This Row],[Date]],BH!A:A,1,)&lt;&gt;"",1,0),0)</f>
        <v>0</v>
      </c>
      <c r="M2835">
        <f>IFERROR(IF(VLOOKUP(calendar[[#This Row],[Date]],BH!C:C,1,)&lt;&gt;"",1,0),0)</f>
        <v>0</v>
      </c>
      <c r="N2835">
        <f>IFERROR(IF(VLOOKUP(calendar[[#This Row],[Date]],BH!E:E,1,)&lt;&gt;"",1,0),0)</f>
        <v>0</v>
      </c>
      <c r="O2835">
        <f>IFERROR(IF(VLOOKUP(calendar[[#This Row],[Date]],BH!G:G,1,)&lt;&gt;"",1,0),0)</f>
        <v>0</v>
      </c>
      <c r="P2835">
        <f>IF(OR(calendar[[#This Row],[UK_BH]]=1,calendar[[#This Row],[WeekDay]]=1, calendar[[#This Row],[WeekDay]]=7),P2834,P2834+1)</f>
        <v>2025</v>
      </c>
      <c r="Q2835">
        <f>IF(OR(calendar[[#This Row],[FR_BH]]=1,calendar[[#This Row],[WeekDay]]=1, calendar[[#This Row],[WeekDay]]=7),P2834,P2834+1)</f>
        <v>2025</v>
      </c>
      <c r="R2835">
        <f>IF(OR(calendar[[#This Row],[SP_BH]]=1,calendar[[#This Row],[WeekDay]]=1, calendar[[#This Row],[WeekDay]]=7),P2834,P2834+1)</f>
        <v>2025</v>
      </c>
      <c r="S2835">
        <f>IF(OR(calendar[[#This Row],[PT_BH]]=1,calendar[[#This Row],[WeekDay]]=1, calendar[[#This Row],[WeekDay]]=7),P2834,P2834+1)</f>
        <v>2025</v>
      </c>
    </row>
    <row r="2836" spans="1:19" x14ac:dyDescent="0.25">
      <c r="A2836" s="2">
        <v>45570</v>
      </c>
      <c r="B2836" s="1">
        <f t="shared" si="223"/>
        <v>40</v>
      </c>
      <c r="C2836">
        <f t="shared" si="225"/>
        <v>10</v>
      </c>
      <c r="D2836" t="str">
        <f t="shared" si="226"/>
        <v>October</v>
      </c>
      <c r="E2836">
        <f t="shared" si="227"/>
        <v>2024</v>
      </c>
      <c r="F2836" t="str">
        <f>CONCATENATE(calendar[[#This Row],[Month]],"/",calendar[[#This Row],[Year]])</f>
        <v>10/2024</v>
      </c>
      <c r="G2836">
        <f>WEEKDAY(calendar[[#This Row],[Date]],1)</f>
        <v>7</v>
      </c>
      <c r="H2836" t="str">
        <f>TEXT(calendar[[#This Row],[WeekDay]],"dddd")</f>
        <v>Saturday</v>
      </c>
      <c r="I2836">
        <f>IF((INT(calendar[[#This Row],[Count]]/7)-calendar[[#This Row],[Count]]/7)&lt;0,I2835,I2835+1)</f>
        <v>405</v>
      </c>
      <c r="J2836">
        <f t="shared" si="224"/>
        <v>2834</v>
      </c>
      <c r="K2836">
        <f>IF(calendar[[#This Row],[Month]]&lt;4,1,IF(calendar[[#This Row],[Month]]&lt;7,2,IF(calendar[[#This Row],[Month]]&lt;10,3,4)))</f>
        <v>4</v>
      </c>
      <c r="L2836">
        <f>IFERROR(IF(VLOOKUP(calendar[[#This Row],[Date]],BH!A:A,1,)&lt;&gt;"",1,0),0)</f>
        <v>0</v>
      </c>
      <c r="M2836">
        <f>IFERROR(IF(VLOOKUP(calendar[[#This Row],[Date]],BH!C:C,1,)&lt;&gt;"",1,0),0)</f>
        <v>0</v>
      </c>
      <c r="N2836">
        <f>IFERROR(IF(VLOOKUP(calendar[[#This Row],[Date]],BH!E:E,1,)&lt;&gt;"",1,0),0)</f>
        <v>0</v>
      </c>
      <c r="O2836">
        <f>IFERROR(IF(VLOOKUP(calendar[[#This Row],[Date]],BH!G:G,1,)&lt;&gt;"",1,0),0)</f>
        <v>0</v>
      </c>
      <c r="P2836">
        <f>IF(OR(calendar[[#This Row],[UK_BH]]=1,calendar[[#This Row],[WeekDay]]=1, calendar[[#This Row],[WeekDay]]=7),P2835,P2835+1)</f>
        <v>2025</v>
      </c>
      <c r="Q2836">
        <f>IF(OR(calendar[[#This Row],[FR_BH]]=1,calendar[[#This Row],[WeekDay]]=1, calendar[[#This Row],[WeekDay]]=7),P2835,P2835+1)</f>
        <v>2025</v>
      </c>
      <c r="R2836">
        <f>IF(OR(calendar[[#This Row],[SP_BH]]=1,calendar[[#This Row],[WeekDay]]=1, calendar[[#This Row],[WeekDay]]=7),P2835,P2835+1)</f>
        <v>2025</v>
      </c>
      <c r="S2836">
        <f>IF(OR(calendar[[#This Row],[PT_BH]]=1,calendar[[#This Row],[WeekDay]]=1, calendar[[#This Row],[WeekDay]]=7),P2835,P2835+1)</f>
        <v>2025</v>
      </c>
    </row>
    <row r="2837" spans="1:19" x14ac:dyDescent="0.25">
      <c r="A2837" s="2">
        <v>45571</v>
      </c>
      <c r="B2837" s="1">
        <f t="shared" si="223"/>
        <v>41</v>
      </c>
      <c r="C2837">
        <f t="shared" si="225"/>
        <v>10</v>
      </c>
      <c r="D2837" t="str">
        <f t="shared" si="226"/>
        <v>October</v>
      </c>
      <c r="E2837">
        <f t="shared" si="227"/>
        <v>2024</v>
      </c>
      <c r="F2837" t="str">
        <f>CONCATENATE(calendar[[#This Row],[Month]],"/",calendar[[#This Row],[Year]])</f>
        <v>10/2024</v>
      </c>
      <c r="G2837">
        <f>WEEKDAY(calendar[[#This Row],[Date]],1)</f>
        <v>1</v>
      </c>
      <c r="H2837" t="str">
        <f>TEXT(calendar[[#This Row],[WeekDay]],"dddd")</f>
        <v>Sunday</v>
      </c>
      <c r="I2837">
        <f>IF((INT(calendar[[#This Row],[Count]]/7)-calendar[[#This Row],[Count]]/7)&lt;0,I2836,I2836+1)</f>
        <v>406</v>
      </c>
      <c r="J2837">
        <f t="shared" si="224"/>
        <v>2835</v>
      </c>
      <c r="K2837">
        <f>IF(calendar[[#This Row],[Month]]&lt;4,1,IF(calendar[[#This Row],[Month]]&lt;7,2,IF(calendar[[#This Row],[Month]]&lt;10,3,4)))</f>
        <v>4</v>
      </c>
      <c r="L2837">
        <f>IFERROR(IF(VLOOKUP(calendar[[#This Row],[Date]],BH!A:A,1,)&lt;&gt;"",1,0),0)</f>
        <v>0</v>
      </c>
      <c r="M2837">
        <f>IFERROR(IF(VLOOKUP(calendar[[#This Row],[Date]],BH!C:C,1,)&lt;&gt;"",1,0),0)</f>
        <v>0</v>
      </c>
      <c r="N2837">
        <f>IFERROR(IF(VLOOKUP(calendar[[#This Row],[Date]],BH!E:E,1,)&lt;&gt;"",1,0),0)</f>
        <v>0</v>
      </c>
      <c r="O2837">
        <f>IFERROR(IF(VLOOKUP(calendar[[#This Row],[Date]],BH!G:G,1,)&lt;&gt;"",1,0),0)</f>
        <v>0</v>
      </c>
      <c r="P2837">
        <f>IF(OR(calendar[[#This Row],[UK_BH]]=1,calendar[[#This Row],[WeekDay]]=1, calendar[[#This Row],[WeekDay]]=7),P2836,P2836+1)</f>
        <v>2025</v>
      </c>
      <c r="Q2837">
        <f>IF(OR(calendar[[#This Row],[FR_BH]]=1,calendar[[#This Row],[WeekDay]]=1, calendar[[#This Row],[WeekDay]]=7),P2836,P2836+1)</f>
        <v>2025</v>
      </c>
      <c r="R2837">
        <f>IF(OR(calendar[[#This Row],[SP_BH]]=1,calendar[[#This Row],[WeekDay]]=1, calendar[[#This Row],[WeekDay]]=7),P2836,P2836+1)</f>
        <v>2025</v>
      </c>
      <c r="S2837">
        <f>IF(OR(calendar[[#This Row],[PT_BH]]=1,calendar[[#This Row],[WeekDay]]=1, calendar[[#This Row],[WeekDay]]=7),P2836,P2836+1)</f>
        <v>2025</v>
      </c>
    </row>
    <row r="2838" spans="1:19" x14ac:dyDescent="0.25">
      <c r="A2838" s="2">
        <v>45572</v>
      </c>
      <c r="B2838" s="1">
        <f t="shared" si="223"/>
        <v>41</v>
      </c>
      <c r="C2838">
        <f t="shared" si="225"/>
        <v>10</v>
      </c>
      <c r="D2838" t="str">
        <f t="shared" si="226"/>
        <v>October</v>
      </c>
      <c r="E2838">
        <f t="shared" si="227"/>
        <v>2024</v>
      </c>
      <c r="F2838" t="str">
        <f>CONCATENATE(calendar[[#This Row],[Month]],"/",calendar[[#This Row],[Year]])</f>
        <v>10/2024</v>
      </c>
      <c r="G2838">
        <f>WEEKDAY(calendar[[#This Row],[Date]],1)</f>
        <v>2</v>
      </c>
      <c r="H2838" t="str">
        <f>TEXT(calendar[[#This Row],[WeekDay]],"dddd")</f>
        <v>Monday</v>
      </c>
      <c r="I2838">
        <f>IF((INT(calendar[[#This Row],[Count]]/7)-calendar[[#This Row],[Count]]/7)&lt;0,I2837,I2837+1)</f>
        <v>406</v>
      </c>
      <c r="J2838">
        <f t="shared" si="224"/>
        <v>2836</v>
      </c>
      <c r="K2838">
        <f>IF(calendar[[#This Row],[Month]]&lt;4,1,IF(calendar[[#This Row],[Month]]&lt;7,2,IF(calendar[[#This Row],[Month]]&lt;10,3,4)))</f>
        <v>4</v>
      </c>
      <c r="L2838">
        <f>IFERROR(IF(VLOOKUP(calendar[[#This Row],[Date]],BH!A:A,1,)&lt;&gt;"",1,0),0)</f>
        <v>0</v>
      </c>
      <c r="M2838">
        <f>IFERROR(IF(VLOOKUP(calendar[[#This Row],[Date]],BH!C:C,1,)&lt;&gt;"",1,0),0)</f>
        <v>0</v>
      </c>
      <c r="N2838">
        <f>IFERROR(IF(VLOOKUP(calendar[[#This Row],[Date]],BH!E:E,1,)&lt;&gt;"",1,0),0)</f>
        <v>0</v>
      </c>
      <c r="O2838">
        <f>IFERROR(IF(VLOOKUP(calendar[[#This Row],[Date]],BH!G:G,1,)&lt;&gt;"",1,0),0)</f>
        <v>0</v>
      </c>
      <c r="P2838">
        <f>IF(OR(calendar[[#This Row],[UK_BH]]=1,calendar[[#This Row],[WeekDay]]=1, calendar[[#This Row],[WeekDay]]=7),P2837,P2837+1)</f>
        <v>2026</v>
      </c>
      <c r="Q2838">
        <f>IF(OR(calendar[[#This Row],[FR_BH]]=1,calendar[[#This Row],[WeekDay]]=1, calendar[[#This Row],[WeekDay]]=7),P2837,P2837+1)</f>
        <v>2026</v>
      </c>
      <c r="R2838">
        <f>IF(OR(calendar[[#This Row],[SP_BH]]=1,calendar[[#This Row],[WeekDay]]=1, calendar[[#This Row],[WeekDay]]=7),P2837,P2837+1)</f>
        <v>2026</v>
      </c>
      <c r="S2838">
        <f>IF(OR(calendar[[#This Row],[PT_BH]]=1,calendar[[#This Row],[WeekDay]]=1, calendar[[#This Row],[WeekDay]]=7),P2837,P2837+1)</f>
        <v>2026</v>
      </c>
    </row>
    <row r="2839" spans="1:19" x14ac:dyDescent="0.25">
      <c r="A2839" s="2">
        <v>45573</v>
      </c>
      <c r="B2839" s="1">
        <f t="shared" si="223"/>
        <v>41</v>
      </c>
      <c r="C2839">
        <f t="shared" si="225"/>
        <v>10</v>
      </c>
      <c r="D2839" t="str">
        <f t="shared" si="226"/>
        <v>October</v>
      </c>
      <c r="E2839">
        <f t="shared" si="227"/>
        <v>2024</v>
      </c>
      <c r="F2839" t="str">
        <f>CONCATENATE(calendar[[#This Row],[Month]],"/",calendar[[#This Row],[Year]])</f>
        <v>10/2024</v>
      </c>
      <c r="G2839">
        <f>WEEKDAY(calendar[[#This Row],[Date]],1)</f>
        <v>3</v>
      </c>
      <c r="H2839" t="str">
        <f>TEXT(calendar[[#This Row],[WeekDay]],"dddd")</f>
        <v>Tuesday</v>
      </c>
      <c r="I2839">
        <f>IF((INT(calendar[[#This Row],[Count]]/7)-calendar[[#This Row],[Count]]/7)&lt;0,I2838,I2838+1)</f>
        <v>406</v>
      </c>
      <c r="J2839">
        <f t="shared" si="224"/>
        <v>2837</v>
      </c>
      <c r="K2839">
        <f>IF(calendar[[#This Row],[Month]]&lt;4,1,IF(calendar[[#This Row],[Month]]&lt;7,2,IF(calendar[[#This Row],[Month]]&lt;10,3,4)))</f>
        <v>4</v>
      </c>
      <c r="L2839">
        <f>IFERROR(IF(VLOOKUP(calendar[[#This Row],[Date]],BH!A:A,1,)&lt;&gt;"",1,0),0)</f>
        <v>0</v>
      </c>
      <c r="M2839">
        <f>IFERROR(IF(VLOOKUP(calendar[[#This Row],[Date]],BH!C:C,1,)&lt;&gt;"",1,0),0)</f>
        <v>0</v>
      </c>
      <c r="N2839">
        <f>IFERROR(IF(VLOOKUP(calendar[[#This Row],[Date]],BH!E:E,1,)&lt;&gt;"",1,0),0)</f>
        <v>0</v>
      </c>
      <c r="O2839">
        <f>IFERROR(IF(VLOOKUP(calendar[[#This Row],[Date]],BH!G:G,1,)&lt;&gt;"",1,0),0)</f>
        <v>0</v>
      </c>
      <c r="P2839">
        <f>IF(OR(calendar[[#This Row],[UK_BH]]=1,calendar[[#This Row],[WeekDay]]=1, calendar[[#This Row],[WeekDay]]=7),P2838,P2838+1)</f>
        <v>2027</v>
      </c>
      <c r="Q2839">
        <f>IF(OR(calendar[[#This Row],[FR_BH]]=1,calendar[[#This Row],[WeekDay]]=1, calendar[[#This Row],[WeekDay]]=7),P2838,P2838+1)</f>
        <v>2027</v>
      </c>
      <c r="R2839">
        <f>IF(OR(calendar[[#This Row],[SP_BH]]=1,calendar[[#This Row],[WeekDay]]=1, calendar[[#This Row],[WeekDay]]=7),P2838,P2838+1)</f>
        <v>2027</v>
      </c>
      <c r="S2839">
        <f>IF(OR(calendar[[#This Row],[PT_BH]]=1,calendar[[#This Row],[WeekDay]]=1, calendar[[#This Row],[WeekDay]]=7),P2838,P2838+1)</f>
        <v>2027</v>
      </c>
    </row>
    <row r="2840" spans="1:19" x14ac:dyDescent="0.25">
      <c r="A2840" s="2">
        <v>45574</v>
      </c>
      <c r="B2840" s="1">
        <f t="shared" si="223"/>
        <v>41</v>
      </c>
      <c r="C2840">
        <f t="shared" si="225"/>
        <v>10</v>
      </c>
      <c r="D2840" t="str">
        <f t="shared" si="226"/>
        <v>October</v>
      </c>
      <c r="E2840">
        <f t="shared" si="227"/>
        <v>2024</v>
      </c>
      <c r="F2840" t="str">
        <f>CONCATENATE(calendar[[#This Row],[Month]],"/",calendar[[#This Row],[Year]])</f>
        <v>10/2024</v>
      </c>
      <c r="G2840">
        <f>WEEKDAY(calendar[[#This Row],[Date]],1)</f>
        <v>4</v>
      </c>
      <c r="H2840" t="str">
        <f>TEXT(calendar[[#This Row],[WeekDay]],"dddd")</f>
        <v>Wednesday</v>
      </c>
      <c r="I2840">
        <f>IF((INT(calendar[[#This Row],[Count]]/7)-calendar[[#This Row],[Count]]/7)&lt;0,I2839,I2839+1)</f>
        <v>406</v>
      </c>
      <c r="J2840">
        <f t="shared" si="224"/>
        <v>2838</v>
      </c>
      <c r="K2840">
        <f>IF(calendar[[#This Row],[Month]]&lt;4,1,IF(calendar[[#This Row],[Month]]&lt;7,2,IF(calendar[[#This Row],[Month]]&lt;10,3,4)))</f>
        <v>4</v>
      </c>
      <c r="L2840">
        <f>IFERROR(IF(VLOOKUP(calendar[[#This Row],[Date]],BH!A:A,1,)&lt;&gt;"",1,0),0)</f>
        <v>0</v>
      </c>
      <c r="M2840">
        <f>IFERROR(IF(VLOOKUP(calendar[[#This Row],[Date]],BH!C:C,1,)&lt;&gt;"",1,0),0)</f>
        <v>0</v>
      </c>
      <c r="N2840">
        <f>IFERROR(IF(VLOOKUP(calendar[[#This Row],[Date]],BH!E:E,1,)&lt;&gt;"",1,0),0)</f>
        <v>0</v>
      </c>
      <c r="O2840">
        <f>IFERROR(IF(VLOOKUP(calendar[[#This Row],[Date]],BH!G:G,1,)&lt;&gt;"",1,0),0)</f>
        <v>0</v>
      </c>
      <c r="P2840">
        <f>IF(OR(calendar[[#This Row],[UK_BH]]=1,calendar[[#This Row],[WeekDay]]=1, calendar[[#This Row],[WeekDay]]=7),P2839,P2839+1)</f>
        <v>2028</v>
      </c>
      <c r="Q2840">
        <f>IF(OR(calendar[[#This Row],[FR_BH]]=1,calendar[[#This Row],[WeekDay]]=1, calendar[[#This Row],[WeekDay]]=7),P2839,P2839+1)</f>
        <v>2028</v>
      </c>
      <c r="R2840">
        <f>IF(OR(calendar[[#This Row],[SP_BH]]=1,calendar[[#This Row],[WeekDay]]=1, calendar[[#This Row],[WeekDay]]=7),P2839,P2839+1)</f>
        <v>2028</v>
      </c>
      <c r="S2840">
        <f>IF(OR(calendar[[#This Row],[PT_BH]]=1,calendar[[#This Row],[WeekDay]]=1, calendar[[#This Row],[WeekDay]]=7),P2839,P2839+1)</f>
        <v>2028</v>
      </c>
    </row>
    <row r="2841" spans="1:19" x14ac:dyDescent="0.25">
      <c r="A2841" s="2">
        <v>45575</v>
      </c>
      <c r="B2841" s="1">
        <f t="shared" si="223"/>
        <v>41</v>
      </c>
      <c r="C2841">
        <f t="shared" si="225"/>
        <v>10</v>
      </c>
      <c r="D2841" t="str">
        <f t="shared" si="226"/>
        <v>October</v>
      </c>
      <c r="E2841">
        <f t="shared" si="227"/>
        <v>2024</v>
      </c>
      <c r="F2841" t="str">
        <f>CONCATENATE(calendar[[#This Row],[Month]],"/",calendar[[#This Row],[Year]])</f>
        <v>10/2024</v>
      </c>
      <c r="G2841">
        <f>WEEKDAY(calendar[[#This Row],[Date]],1)</f>
        <v>5</v>
      </c>
      <c r="H2841" t="str">
        <f>TEXT(calendar[[#This Row],[WeekDay]],"dddd")</f>
        <v>Thursday</v>
      </c>
      <c r="I2841">
        <f>IF((INT(calendar[[#This Row],[Count]]/7)-calendar[[#This Row],[Count]]/7)&lt;0,I2840,I2840+1)</f>
        <v>406</v>
      </c>
      <c r="J2841">
        <f t="shared" si="224"/>
        <v>2839</v>
      </c>
      <c r="K2841">
        <f>IF(calendar[[#This Row],[Month]]&lt;4,1,IF(calendar[[#This Row],[Month]]&lt;7,2,IF(calendar[[#This Row],[Month]]&lt;10,3,4)))</f>
        <v>4</v>
      </c>
      <c r="L2841">
        <f>IFERROR(IF(VLOOKUP(calendar[[#This Row],[Date]],BH!A:A,1,)&lt;&gt;"",1,0),0)</f>
        <v>0</v>
      </c>
      <c r="M2841">
        <f>IFERROR(IF(VLOOKUP(calendar[[#This Row],[Date]],BH!C:C,1,)&lt;&gt;"",1,0),0)</f>
        <v>0</v>
      </c>
      <c r="N2841">
        <f>IFERROR(IF(VLOOKUP(calendar[[#This Row],[Date]],BH!E:E,1,)&lt;&gt;"",1,0),0)</f>
        <v>0</v>
      </c>
      <c r="O2841">
        <f>IFERROR(IF(VLOOKUP(calendar[[#This Row],[Date]],BH!G:G,1,)&lt;&gt;"",1,0),0)</f>
        <v>0</v>
      </c>
      <c r="P2841">
        <f>IF(OR(calendar[[#This Row],[UK_BH]]=1,calendar[[#This Row],[WeekDay]]=1, calendar[[#This Row],[WeekDay]]=7),P2840,P2840+1)</f>
        <v>2029</v>
      </c>
      <c r="Q2841">
        <f>IF(OR(calendar[[#This Row],[FR_BH]]=1,calendar[[#This Row],[WeekDay]]=1, calendar[[#This Row],[WeekDay]]=7),P2840,P2840+1)</f>
        <v>2029</v>
      </c>
      <c r="R2841">
        <f>IF(OR(calendar[[#This Row],[SP_BH]]=1,calendar[[#This Row],[WeekDay]]=1, calendar[[#This Row],[WeekDay]]=7),P2840,P2840+1)</f>
        <v>2029</v>
      </c>
      <c r="S2841">
        <f>IF(OR(calendar[[#This Row],[PT_BH]]=1,calendar[[#This Row],[WeekDay]]=1, calendar[[#This Row],[WeekDay]]=7),P2840,P2840+1)</f>
        <v>2029</v>
      </c>
    </row>
    <row r="2842" spans="1:19" x14ac:dyDescent="0.25">
      <c r="A2842" s="2">
        <v>45576</v>
      </c>
      <c r="B2842" s="1">
        <f t="shared" si="223"/>
        <v>41</v>
      </c>
      <c r="C2842">
        <f t="shared" si="225"/>
        <v>10</v>
      </c>
      <c r="D2842" t="str">
        <f t="shared" si="226"/>
        <v>October</v>
      </c>
      <c r="E2842">
        <f t="shared" si="227"/>
        <v>2024</v>
      </c>
      <c r="F2842" t="str">
        <f>CONCATENATE(calendar[[#This Row],[Month]],"/",calendar[[#This Row],[Year]])</f>
        <v>10/2024</v>
      </c>
      <c r="G2842">
        <f>WEEKDAY(calendar[[#This Row],[Date]],1)</f>
        <v>6</v>
      </c>
      <c r="H2842" t="str">
        <f>TEXT(calendar[[#This Row],[WeekDay]],"dddd")</f>
        <v>Friday</v>
      </c>
      <c r="I2842">
        <f>IF((INT(calendar[[#This Row],[Count]]/7)-calendar[[#This Row],[Count]]/7)&lt;0,I2841,I2841+1)</f>
        <v>406</v>
      </c>
      <c r="J2842">
        <f t="shared" si="224"/>
        <v>2840</v>
      </c>
      <c r="K2842">
        <f>IF(calendar[[#This Row],[Month]]&lt;4,1,IF(calendar[[#This Row],[Month]]&lt;7,2,IF(calendar[[#This Row],[Month]]&lt;10,3,4)))</f>
        <v>4</v>
      </c>
      <c r="L2842">
        <f>IFERROR(IF(VLOOKUP(calendar[[#This Row],[Date]],BH!A:A,1,)&lt;&gt;"",1,0),0)</f>
        <v>0</v>
      </c>
      <c r="M2842">
        <f>IFERROR(IF(VLOOKUP(calendar[[#This Row],[Date]],BH!C:C,1,)&lt;&gt;"",1,0),0)</f>
        <v>0</v>
      </c>
      <c r="N2842">
        <f>IFERROR(IF(VLOOKUP(calendar[[#This Row],[Date]],BH!E:E,1,)&lt;&gt;"",1,0),0)</f>
        <v>0</v>
      </c>
      <c r="O2842">
        <f>IFERROR(IF(VLOOKUP(calendar[[#This Row],[Date]],BH!G:G,1,)&lt;&gt;"",1,0),0)</f>
        <v>0</v>
      </c>
      <c r="P2842">
        <f>IF(OR(calendar[[#This Row],[UK_BH]]=1,calendar[[#This Row],[WeekDay]]=1, calendar[[#This Row],[WeekDay]]=7),P2841,P2841+1)</f>
        <v>2030</v>
      </c>
      <c r="Q2842">
        <f>IF(OR(calendar[[#This Row],[FR_BH]]=1,calendar[[#This Row],[WeekDay]]=1, calendar[[#This Row],[WeekDay]]=7),P2841,P2841+1)</f>
        <v>2030</v>
      </c>
      <c r="R2842">
        <f>IF(OR(calendar[[#This Row],[SP_BH]]=1,calendar[[#This Row],[WeekDay]]=1, calendar[[#This Row],[WeekDay]]=7),P2841,P2841+1)</f>
        <v>2030</v>
      </c>
      <c r="S2842">
        <f>IF(OR(calendar[[#This Row],[PT_BH]]=1,calendar[[#This Row],[WeekDay]]=1, calendar[[#This Row],[WeekDay]]=7),P2841,P2841+1)</f>
        <v>2030</v>
      </c>
    </row>
    <row r="2843" spans="1:19" x14ac:dyDescent="0.25">
      <c r="A2843" s="2">
        <v>45577</v>
      </c>
      <c r="B2843" s="1">
        <f t="shared" si="223"/>
        <v>41</v>
      </c>
      <c r="C2843">
        <f t="shared" si="225"/>
        <v>10</v>
      </c>
      <c r="D2843" t="str">
        <f t="shared" si="226"/>
        <v>October</v>
      </c>
      <c r="E2843">
        <f t="shared" si="227"/>
        <v>2024</v>
      </c>
      <c r="F2843" t="str">
        <f>CONCATENATE(calendar[[#This Row],[Month]],"/",calendar[[#This Row],[Year]])</f>
        <v>10/2024</v>
      </c>
      <c r="G2843">
        <f>WEEKDAY(calendar[[#This Row],[Date]],1)</f>
        <v>7</v>
      </c>
      <c r="H2843" t="str">
        <f>TEXT(calendar[[#This Row],[WeekDay]],"dddd")</f>
        <v>Saturday</v>
      </c>
      <c r="I2843">
        <f>IF((INT(calendar[[#This Row],[Count]]/7)-calendar[[#This Row],[Count]]/7)&lt;0,I2842,I2842+1)</f>
        <v>406</v>
      </c>
      <c r="J2843">
        <f t="shared" si="224"/>
        <v>2841</v>
      </c>
      <c r="K2843">
        <f>IF(calendar[[#This Row],[Month]]&lt;4,1,IF(calendar[[#This Row],[Month]]&lt;7,2,IF(calendar[[#This Row],[Month]]&lt;10,3,4)))</f>
        <v>4</v>
      </c>
      <c r="L2843">
        <f>IFERROR(IF(VLOOKUP(calendar[[#This Row],[Date]],BH!A:A,1,)&lt;&gt;"",1,0),0)</f>
        <v>0</v>
      </c>
      <c r="M2843">
        <f>IFERROR(IF(VLOOKUP(calendar[[#This Row],[Date]],BH!C:C,1,)&lt;&gt;"",1,0),0)</f>
        <v>0</v>
      </c>
      <c r="N2843">
        <f>IFERROR(IF(VLOOKUP(calendar[[#This Row],[Date]],BH!E:E,1,)&lt;&gt;"",1,0),0)</f>
        <v>0</v>
      </c>
      <c r="O2843">
        <f>IFERROR(IF(VLOOKUP(calendar[[#This Row],[Date]],BH!G:G,1,)&lt;&gt;"",1,0),0)</f>
        <v>0</v>
      </c>
      <c r="P2843">
        <f>IF(OR(calendar[[#This Row],[UK_BH]]=1,calendar[[#This Row],[WeekDay]]=1, calendar[[#This Row],[WeekDay]]=7),P2842,P2842+1)</f>
        <v>2030</v>
      </c>
      <c r="Q2843">
        <f>IF(OR(calendar[[#This Row],[FR_BH]]=1,calendar[[#This Row],[WeekDay]]=1, calendar[[#This Row],[WeekDay]]=7),P2842,P2842+1)</f>
        <v>2030</v>
      </c>
      <c r="R2843">
        <f>IF(OR(calendar[[#This Row],[SP_BH]]=1,calendar[[#This Row],[WeekDay]]=1, calendar[[#This Row],[WeekDay]]=7),P2842,P2842+1)</f>
        <v>2030</v>
      </c>
      <c r="S2843">
        <f>IF(OR(calendar[[#This Row],[PT_BH]]=1,calendar[[#This Row],[WeekDay]]=1, calendar[[#This Row],[WeekDay]]=7),P2842,P2842+1)</f>
        <v>2030</v>
      </c>
    </row>
    <row r="2844" spans="1:19" x14ac:dyDescent="0.25">
      <c r="A2844" s="2">
        <v>45578</v>
      </c>
      <c r="B2844" s="1">
        <f t="shared" si="223"/>
        <v>42</v>
      </c>
      <c r="C2844">
        <f t="shared" si="225"/>
        <v>10</v>
      </c>
      <c r="D2844" t="str">
        <f t="shared" si="226"/>
        <v>October</v>
      </c>
      <c r="E2844">
        <f t="shared" si="227"/>
        <v>2024</v>
      </c>
      <c r="F2844" t="str">
        <f>CONCATENATE(calendar[[#This Row],[Month]],"/",calendar[[#This Row],[Year]])</f>
        <v>10/2024</v>
      </c>
      <c r="G2844">
        <f>WEEKDAY(calendar[[#This Row],[Date]],1)</f>
        <v>1</v>
      </c>
      <c r="H2844" t="str">
        <f>TEXT(calendar[[#This Row],[WeekDay]],"dddd")</f>
        <v>Sunday</v>
      </c>
      <c r="I2844">
        <f>IF((INT(calendar[[#This Row],[Count]]/7)-calendar[[#This Row],[Count]]/7)&lt;0,I2843,I2843+1)</f>
        <v>407</v>
      </c>
      <c r="J2844">
        <f t="shared" si="224"/>
        <v>2842</v>
      </c>
      <c r="K2844">
        <f>IF(calendar[[#This Row],[Month]]&lt;4,1,IF(calendar[[#This Row],[Month]]&lt;7,2,IF(calendar[[#This Row],[Month]]&lt;10,3,4)))</f>
        <v>4</v>
      </c>
      <c r="L2844">
        <f>IFERROR(IF(VLOOKUP(calendar[[#This Row],[Date]],BH!A:A,1,)&lt;&gt;"",1,0),0)</f>
        <v>0</v>
      </c>
      <c r="M2844">
        <f>IFERROR(IF(VLOOKUP(calendar[[#This Row],[Date]],BH!C:C,1,)&lt;&gt;"",1,0),0)</f>
        <v>0</v>
      </c>
      <c r="N2844">
        <f>IFERROR(IF(VLOOKUP(calendar[[#This Row],[Date]],BH!E:E,1,)&lt;&gt;"",1,0),0)</f>
        <v>0</v>
      </c>
      <c r="O2844">
        <f>IFERROR(IF(VLOOKUP(calendar[[#This Row],[Date]],BH!G:G,1,)&lt;&gt;"",1,0),0)</f>
        <v>0</v>
      </c>
      <c r="P2844">
        <f>IF(OR(calendar[[#This Row],[UK_BH]]=1,calendar[[#This Row],[WeekDay]]=1, calendar[[#This Row],[WeekDay]]=7),P2843,P2843+1)</f>
        <v>2030</v>
      </c>
      <c r="Q2844">
        <f>IF(OR(calendar[[#This Row],[FR_BH]]=1,calendar[[#This Row],[WeekDay]]=1, calendar[[#This Row],[WeekDay]]=7),P2843,P2843+1)</f>
        <v>2030</v>
      </c>
      <c r="R2844">
        <f>IF(OR(calendar[[#This Row],[SP_BH]]=1,calendar[[#This Row],[WeekDay]]=1, calendar[[#This Row],[WeekDay]]=7),P2843,P2843+1)</f>
        <v>2030</v>
      </c>
      <c r="S2844">
        <f>IF(OR(calendar[[#This Row],[PT_BH]]=1,calendar[[#This Row],[WeekDay]]=1, calendar[[#This Row],[WeekDay]]=7),P2843,P2843+1)</f>
        <v>2030</v>
      </c>
    </row>
    <row r="2845" spans="1:19" x14ac:dyDescent="0.25">
      <c r="A2845" s="2">
        <v>45579</v>
      </c>
      <c r="B2845" s="1">
        <f t="shared" si="223"/>
        <v>42</v>
      </c>
      <c r="C2845">
        <f t="shared" si="225"/>
        <v>10</v>
      </c>
      <c r="D2845" t="str">
        <f t="shared" si="226"/>
        <v>October</v>
      </c>
      <c r="E2845">
        <f t="shared" si="227"/>
        <v>2024</v>
      </c>
      <c r="F2845" t="str">
        <f>CONCATENATE(calendar[[#This Row],[Month]],"/",calendar[[#This Row],[Year]])</f>
        <v>10/2024</v>
      </c>
      <c r="G2845">
        <f>WEEKDAY(calendar[[#This Row],[Date]],1)</f>
        <v>2</v>
      </c>
      <c r="H2845" t="str">
        <f>TEXT(calendar[[#This Row],[WeekDay]],"dddd")</f>
        <v>Monday</v>
      </c>
      <c r="I2845">
        <f>IF((INT(calendar[[#This Row],[Count]]/7)-calendar[[#This Row],[Count]]/7)&lt;0,I2844,I2844+1)</f>
        <v>407</v>
      </c>
      <c r="J2845">
        <f t="shared" si="224"/>
        <v>2843</v>
      </c>
      <c r="K2845">
        <f>IF(calendar[[#This Row],[Month]]&lt;4,1,IF(calendar[[#This Row],[Month]]&lt;7,2,IF(calendar[[#This Row],[Month]]&lt;10,3,4)))</f>
        <v>4</v>
      </c>
      <c r="L2845">
        <f>IFERROR(IF(VLOOKUP(calendar[[#This Row],[Date]],BH!A:A,1,)&lt;&gt;"",1,0),0)</f>
        <v>0</v>
      </c>
      <c r="M2845">
        <f>IFERROR(IF(VLOOKUP(calendar[[#This Row],[Date]],BH!C:C,1,)&lt;&gt;"",1,0),0)</f>
        <v>0</v>
      </c>
      <c r="N2845">
        <f>IFERROR(IF(VLOOKUP(calendar[[#This Row],[Date]],BH!E:E,1,)&lt;&gt;"",1,0),0)</f>
        <v>0</v>
      </c>
      <c r="O2845">
        <f>IFERROR(IF(VLOOKUP(calendar[[#This Row],[Date]],BH!G:G,1,)&lt;&gt;"",1,0),0)</f>
        <v>0</v>
      </c>
      <c r="P2845">
        <f>IF(OR(calendar[[#This Row],[UK_BH]]=1,calendar[[#This Row],[WeekDay]]=1, calendar[[#This Row],[WeekDay]]=7),P2844,P2844+1)</f>
        <v>2031</v>
      </c>
      <c r="Q2845">
        <f>IF(OR(calendar[[#This Row],[FR_BH]]=1,calendar[[#This Row],[WeekDay]]=1, calendar[[#This Row],[WeekDay]]=7),P2844,P2844+1)</f>
        <v>2031</v>
      </c>
      <c r="R2845">
        <f>IF(OR(calendar[[#This Row],[SP_BH]]=1,calendar[[#This Row],[WeekDay]]=1, calendar[[#This Row],[WeekDay]]=7),P2844,P2844+1)</f>
        <v>2031</v>
      </c>
      <c r="S2845">
        <f>IF(OR(calendar[[#This Row],[PT_BH]]=1,calendar[[#This Row],[WeekDay]]=1, calendar[[#This Row],[WeekDay]]=7),P2844,P2844+1)</f>
        <v>2031</v>
      </c>
    </row>
    <row r="2846" spans="1:19" x14ac:dyDescent="0.25">
      <c r="A2846" s="2">
        <v>45580</v>
      </c>
      <c r="B2846" s="1">
        <f t="shared" si="223"/>
        <v>42</v>
      </c>
      <c r="C2846">
        <f t="shared" si="225"/>
        <v>10</v>
      </c>
      <c r="D2846" t="str">
        <f t="shared" si="226"/>
        <v>October</v>
      </c>
      <c r="E2846">
        <f t="shared" si="227"/>
        <v>2024</v>
      </c>
      <c r="F2846" t="str">
        <f>CONCATENATE(calendar[[#This Row],[Month]],"/",calendar[[#This Row],[Year]])</f>
        <v>10/2024</v>
      </c>
      <c r="G2846">
        <f>WEEKDAY(calendar[[#This Row],[Date]],1)</f>
        <v>3</v>
      </c>
      <c r="H2846" t="str">
        <f>TEXT(calendar[[#This Row],[WeekDay]],"dddd")</f>
        <v>Tuesday</v>
      </c>
      <c r="I2846">
        <f>IF((INT(calendar[[#This Row],[Count]]/7)-calendar[[#This Row],[Count]]/7)&lt;0,I2845,I2845+1)</f>
        <v>407</v>
      </c>
      <c r="J2846">
        <f t="shared" si="224"/>
        <v>2844</v>
      </c>
      <c r="K2846">
        <f>IF(calendar[[#This Row],[Month]]&lt;4,1,IF(calendar[[#This Row],[Month]]&lt;7,2,IF(calendar[[#This Row],[Month]]&lt;10,3,4)))</f>
        <v>4</v>
      </c>
      <c r="L2846">
        <f>IFERROR(IF(VLOOKUP(calendar[[#This Row],[Date]],BH!A:A,1,)&lt;&gt;"",1,0),0)</f>
        <v>0</v>
      </c>
      <c r="M2846">
        <f>IFERROR(IF(VLOOKUP(calendar[[#This Row],[Date]],BH!C:C,1,)&lt;&gt;"",1,0),0)</f>
        <v>0</v>
      </c>
      <c r="N2846">
        <f>IFERROR(IF(VLOOKUP(calendar[[#This Row],[Date]],BH!E:E,1,)&lt;&gt;"",1,0),0)</f>
        <v>0</v>
      </c>
      <c r="O2846">
        <f>IFERROR(IF(VLOOKUP(calendar[[#This Row],[Date]],BH!G:G,1,)&lt;&gt;"",1,0),0)</f>
        <v>0</v>
      </c>
      <c r="P2846">
        <f>IF(OR(calendar[[#This Row],[UK_BH]]=1,calendar[[#This Row],[WeekDay]]=1, calendar[[#This Row],[WeekDay]]=7),P2845,P2845+1)</f>
        <v>2032</v>
      </c>
      <c r="Q2846">
        <f>IF(OR(calendar[[#This Row],[FR_BH]]=1,calendar[[#This Row],[WeekDay]]=1, calendar[[#This Row],[WeekDay]]=7),P2845,P2845+1)</f>
        <v>2032</v>
      </c>
      <c r="R2846">
        <f>IF(OR(calendar[[#This Row],[SP_BH]]=1,calendar[[#This Row],[WeekDay]]=1, calendar[[#This Row],[WeekDay]]=7),P2845,P2845+1)</f>
        <v>2032</v>
      </c>
      <c r="S2846">
        <f>IF(OR(calendar[[#This Row],[PT_BH]]=1,calendar[[#This Row],[WeekDay]]=1, calendar[[#This Row],[WeekDay]]=7),P2845,P2845+1)</f>
        <v>2032</v>
      </c>
    </row>
    <row r="2847" spans="1:19" x14ac:dyDescent="0.25">
      <c r="A2847" s="2">
        <v>45581</v>
      </c>
      <c r="B2847" s="1">
        <f t="shared" si="223"/>
        <v>42</v>
      </c>
      <c r="C2847">
        <f t="shared" si="225"/>
        <v>10</v>
      </c>
      <c r="D2847" t="str">
        <f t="shared" si="226"/>
        <v>October</v>
      </c>
      <c r="E2847">
        <f t="shared" si="227"/>
        <v>2024</v>
      </c>
      <c r="F2847" t="str">
        <f>CONCATENATE(calendar[[#This Row],[Month]],"/",calendar[[#This Row],[Year]])</f>
        <v>10/2024</v>
      </c>
      <c r="G2847">
        <f>WEEKDAY(calendar[[#This Row],[Date]],1)</f>
        <v>4</v>
      </c>
      <c r="H2847" t="str">
        <f>TEXT(calendar[[#This Row],[WeekDay]],"dddd")</f>
        <v>Wednesday</v>
      </c>
      <c r="I2847">
        <f>IF((INT(calendar[[#This Row],[Count]]/7)-calendar[[#This Row],[Count]]/7)&lt;0,I2846,I2846+1)</f>
        <v>407</v>
      </c>
      <c r="J2847">
        <f t="shared" si="224"/>
        <v>2845</v>
      </c>
      <c r="K2847">
        <f>IF(calendar[[#This Row],[Month]]&lt;4,1,IF(calendar[[#This Row],[Month]]&lt;7,2,IF(calendar[[#This Row],[Month]]&lt;10,3,4)))</f>
        <v>4</v>
      </c>
      <c r="L2847">
        <f>IFERROR(IF(VLOOKUP(calendar[[#This Row],[Date]],BH!A:A,1,)&lt;&gt;"",1,0),0)</f>
        <v>0</v>
      </c>
      <c r="M2847">
        <f>IFERROR(IF(VLOOKUP(calendar[[#This Row],[Date]],BH!C:C,1,)&lt;&gt;"",1,0),0)</f>
        <v>0</v>
      </c>
      <c r="N2847">
        <f>IFERROR(IF(VLOOKUP(calendar[[#This Row],[Date]],BH!E:E,1,)&lt;&gt;"",1,0),0)</f>
        <v>0</v>
      </c>
      <c r="O2847">
        <f>IFERROR(IF(VLOOKUP(calendar[[#This Row],[Date]],BH!G:G,1,)&lt;&gt;"",1,0),0)</f>
        <v>0</v>
      </c>
      <c r="P2847">
        <f>IF(OR(calendar[[#This Row],[UK_BH]]=1,calendar[[#This Row],[WeekDay]]=1, calendar[[#This Row],[WeekDay]]=7),P2846,P2846+1)</f>
        <v>2033</v>
      </c>
      <c r="Q2847">
        <f>IF(OR(calendar[[#This Row],[FR_BH]]=1,calendar[[#This Row],[WeekDay]]=1, calendar[[#This Row],[WeekDay]]=7),P2846,P2846+1)</f>
        <v>2033</v>
      </c>
      <c r="R2847">
        <f>IF(OR(calendar[[#This Row],[SP_BH]]=1,calendar[[#This Row],[WeekDay]]=1, calendar[[#This Row],[WeekDay]]=7),P2846,P2846+1)</f>
        <v>2033</v>
      </c>
      <c r="S2847">
        <f>IF(OR(calendar[[#This Row],[PT_BH]]=1,calendar[[#This Row],[WeekDay]]=1, calendar[[#This Row],[WeekDay]]=7),P2846,P2846+1)</f>
        <v>2033</v>
      </c>
    </row>
    <row r="2848" spans="1:19" x14ac:dyDescent="0.25">
      <c r="A2848" s="2">
        <v>45582</v>
      </c>
      <c r="B2848" s="1">
        <f t="shared" si="223"/>
        <v>42</v>
      </c>
      <c r="C2848">
        <f t="shared" si="225"/>
        <v>10</v>
      </c>
      <c r="D2848" t="str">
        <f t="shared" si="226"/>
        <v>October</v>
      </c>
      <c r="E2848">
        <f t="shared" si="227"/>
        <v>2024</v>
      </c>
      <c r="F2848" t="str">
        <f>CONCATENATE(calendar[[#This Row],[Month]],"/",calendar[[#This Row],[Year]])</f>
        <v>10/2024</v>
      </c>
      <c r="G2848">
        <f>WEEKDAY(calendar[[#This Row],[Date]],1)</f>
        <v>5</v>
      </c>
      <c r="H2848" t="str">
        <f>TEXT(calendar[[#This Row],[WeekDay]],"dddd")</f>
        <v>Thursday</v>
      </c>
      <c r="I2848">
        <f>IF((INT(calendar[[#This Row],[Count]]/7)-calendar[[#This Row],[Count]]/7)&lt;0,I2847,I2847+1)</f>
        <v>407</v>
      </c>
      <c r="J2848">
        <f t="shared" si="224"/>
        <v>2846</v>
      </c>
      <c r="K2848">
        <f>IF(calendar[[#This Row],[Month]]&lt;4,1,IF(calendar[[#This Row],[Month]]&lt;7,2,IF(calendar[[#This Row],[Month]]&lt;10,3,4)))</f>
        <v>4</v>
      </c>
      <c r="L2848">
        <f>IFERROR(IF(VLOOKUP(calendar[[#This Row],[Date]],BH!A:A,1,)&lt;&gt;"",1,0),0)</f>
        <v>0</v>
      </c>
      <c r="M2848">
        <f>IFERROR(IF(VLOOKUP(calendar[[#This Row],[Date]],BH!C:C,1,)&lt;&gt;"",1,0),0)</f>
        <v>0</v>
      </c>
      <c r="N2848">
        <f>IFERROR(IF(VLOOKUP(calendar[[#This Row],[Date]],BH!E:E,1,)&lt;&gt;"",1,0),0)</f>
        <v>0</v>
      </c>
      <c r="O2848">
        <f>IFERROR(IF(VLOOKUP(calendar[[#This Row],[Date]],BH!G:G,1,)&lt;&gt;"",1,0),0)</f>
        <v>0</v>
      </c>
      <c r="P2848">
        <f>IF(OR(calendar[[#This Row],[UK_BH]]=1,calendar[[#This Row],[WeekDay]]=1, calendar[[#This Row],[WeekDay]]=7),P2847,P2847+1)</f>
        <v>2034</v>
      </c>
      <c r="Q2848">
        <f>IF(OR(calendar[[#This Row],[FR_BH]]=1,calendar[[#This Row],[WeekDay]]=1, calendar[[#This Row],[WeekDay]]=7),P2847,P2847+1)</f>
        <v>2034</v>
      </c>
      <c r="R2848">
        <f>IF(OR(calendar[[#This Row],[SP_BH]]=1,calendar[[#This Row],[WeekDay]]=1, calendar[[#This Row],[WeekDay]]=7),P2847,P2847+1)</f>
        <v>2034</v>
      </c>
      <c r="S2848">
        <f>IF(OR(calendar[[#This Row],[PT_BH]]=1,calendar[[#This Row],[WeekDay]]=1, calendar[[#This Row],[WeekDay]]=7),P2847,P2847+1)</f>
        <v>2034</v>
      </c>
    </row>
    <row r="2849" spans="1:19" x14ac:dyDescent="0.25">
      <c r="A2849" s="2">
        <v>45583</v>
      </c>
      <c r="B2849" s="1">
        <f t="shared" si="223"/>
        <v>42</v>
      </c>
      <c r="C2849">
        <f t="shared" si="225"/>
        <v>10</v>
      </c>
      <c r="D2849" t="str">
        <f t="shared" si="226"/>
        <v>October</v>
      </c>
      <c r="E2849">
        <f t="shared" si="227"/>
        <v>2024</v>
      </c>
      <c r="F2849" t="str">
        <f>CONCATENATE(calendar[[#This Row],[Month]],"/",calendar[[#This Row],[Year]])</f>
        <v>10/2024</v>
      </c>
      <c r="G2849">
        <f>WEEKDAY(calendar[[#This Row],[Date]],1)</f>
        <v>6</v>
      </c>
      <c r="H2849" t="str">
        <f>TEXT(calendar[[#This Row],[WeekDay]],"dddd")</f>
        <v>Friday</v>
      </c>
      <c r="I2849">
        <f>IF((INT(calendar[[#This Row],[Count]]/7)-calendar[[#This Row],[Count]]/7)&lt;0,I2848,I2848+1)</f>
        <v>407</v>
      </c>
      <c r="J2849">
        <f t="shared" si="224"/>
        <v>2847</v>
      </c>
      <c r="K2849">
        <f>IF(calendar[[#This Row],[Month]]&lt;4,1,IF(calendar[[#This Row],[Month]]&lt;7,2,IF(calendar[[#This Row],[Month]]&lt;10,3,4)))</f>
        <v>4</v>
      </c>
      <c r="L2849">
        <f>IFERROR(IF(VLOOKUP(calendar[[#This Row],[Date]],BH!A:A,1,)&lt;&gt;"",1,0),0)</f>
        <v>0</v>
      </c>
      <c r="M2849">
        <f>IFERROR(IF(VLOOKUP(calendar[[#This Row],[Date]],BH!C:C,1,)&lt;&gt;"",1,0),0)</f>
        <v>0</v>
      </c>
      <c r="N2849">
        <f>IFERROR(IF(VLOOKUP(calendar[[#This Row],[Date]],BH!E:E,1,)&lt;&gt;"",1,0),0)</f>
        <v>0</v>
      </c>
      <c r="O2849">
        <f>IFERROR(IF(VLOOKUP(calendar[[#This Row],[Date]],BH!G:G,1,)&lt;&gt;"",1,0),0)</f>
        <v>0</v>
      </c>
      <c r="P2849">
        <f>IF(OR(calendar[[#This Row],[UK_BH]]=1,calendar[[#This Row],[WeekDay]]=1, calendar[[#This Row],[WeekDay]]=7),P2848,P2848+1)</f>
        <v>2035</v>
      </c>
      <c r="Q2849">
        <f>IF(OR(calendar[[#This Row],[FR_BH]]=1,calendar[[#This Row],[WeekDay]]=1, calendar[[#This Row],[WeekDay]]=7),P2848,P2848+1)</f>
        <v>2035</v>
      </c>
      <c r="R2849">
        <f>IF(OR(calendar[[#This Row],[SP_BH]]=1,calendar[[#This Row],[WeekDay]]=1, calendar[[#This Row],[WeekDay]]=7),P2848,P2848+1)</f>
        <v>2035</v>
      </c>
      <c r="S2849">
        <f>IF(OR(calendar[[#This Row],[PT_BH]]=1,calendar[[#This Row],[WeekDay]]=1, calendar[[#This Row],[WeekDay]]=7),P2848,P2848+1)</f>
        <v>2035</v>
      </c>
    </row>
    <row r="2850" spans="1:19" x14ac:dyDescent="0.25">
      <c r="A2850" s="2">
        <v>45584</v>
      </c>
      <c r="B2850" s="1">
        <f t="shared" si="223"/>
        <v>42</v>
      </c>
      <c r="C2850">
        <f t="shared" si="225"/>
        <v>10</v>
      </c>
      <c r="D2850" t="str">
        <f t="shared" si="226"/>
        <v>October</v>
      </c>
      <c r="E2850">
        <f t="shared" si="227"/>
        <v>2024</v>
      </c>
      <c r="F2850" t="str">
        <f>CONCATENATE(calendar[[#This Row],[Month]],"/",calendar[[#This Row],[Year]])</f>
        <v>10/2024</v>
      </c>
      <c r="G2850">
        <f>WEEKDAY(calendar[[#This Row],[Date]],1)</f>
        <v>7</v>
      </c>
      <c r="H2850" t="str">
        <f>TEXT(calendar[[#This Row],[WeekDay]],"dddd")</f>
        <v>Saturday</v>
      </c>
      <c r="I2850">
        <f>IF((INT(calendar[[#This Row],[Count]]/7)-calendar[[#This Row],[Count]]/7)&lt;0,I2849,I2849+1)</f>
        <v>407</v>
      </c>
      <c r="J2850">
        <f t="shared" si="224"/>
        <v>2848</v>
      </c>
      <c r="K2850">
        <f>IF(calendar[[#This Row],[Month]]&lt;4,1,IF(calendar[[#This Row],[Month]]&lt;7,2,IF(calendar[[#This Row],[Month]]&lt;10,3,4)))</f>
        <v>4</v>
      </c>
      <c r="L2850">
        <f>IFERROR(IF(VLOOKUP(calendar[[#This Row],[Date]],BH!A:A,1,)&lt;&gt;"",1,0),0)</f>
        <v>0</v>
      </c>
      <c r="M2850">
        <f>IFERROR(IF(VLOOKUP(calendar[[#This Row],[Date]],BH!C:C,1,)&lt;&gt;"",1,0),0)</f>
        <v>0</v>
      </c>
      <c r="N2850">
        <f>IFERROR(IF(VLOOKUP(calendar[[#This Row],[Date]],BH!E:E,1,)&lt;&gt;"",1,0),0)</f>
        <v>0</v>
      </c>
      <c r="O2850">
        <f>IFERROR(IF(VLOOKUP(calendar[[#This Row],[Date]],BH!G:G,1,)&lt;&gt;"",1,0),0)</f>
        <v>0</v>
      </c>
      <c r="P2850">
        <f>IF(OR(calendar[[#This Row],[UK_BH]]=1,calendar[[#This Row],[WeekDay]]=1, calendar[[#This Row],[WeekDay]]=7),P2849,P2849+1)</f>
        <v>2035</v>
      </c>
      <c r="Q2850">
        <f>IF(OR(calendar[[#This Row],[FR_BH]]=1,calendar[[#This Row],[WeekDay]]=1, calendar[[#This Row],[WeekDay]]=7),P2849,P2849+1)</f>
        <v>2035</v>
      </c>
      <c r="R2850">
        <f>IF(OR(calendar[[#This Row],[SP_BH]]=1,calendar[[#This Row],[WeekDay]]=1, calendar[[#This Row],[WeekDay]]=7),P2849,P2849+1)</f>
        <v>2035</v>
      </c>
      <c r="S2850">
        <f>IF(OR(calendar[[#This Row],[PT_BH]]=1,calendar[[#This Row],[WeekDay]]=1, calendar[[#This Row],[WeekDay]]=7),P2849,P2849+1)</f>
        <v>2035</v>
      </c>
    </row>
    <row r="2851" spans="1:19" x14ac:dyDescent="0.25">
      <c r="A2851" s="2">
        <v>45585</v>
      </c>
      <c r="B2851" s="1">
        <f t="shared" si="223"/>
        <v>43</v>
      </c>
      <c r="C2851">
        <f t="shared" si="225"/>
        <v>10</v>
      </c>
      <c r="D2851" t="str">
        <f t="shared" si="226"/>
        <v>October</v>
      </c>
      <c r="E2851">
        <f t="shared" si="227"/>
        <v>2024</v>
      </c>
      <c r="F2851" t="str">
        <f>CONCATENATE(calendar[[#This Row],[Month]],"/",calendar[[#This Row],[Year]])</f>
        <v>10/2024</v>
      </c>
      <c r="G2851">
        <f>WEEKDAY(calendar[[#This Row],[Date]],1)</f>
        <v>1</v>
      </c>
      <c r="H2851" t="str">
        <f>TEXT(calendar[[#This Row],[WeekDay]],"dddd")</f>
        <v>Sunday</v>
      </c>
      <c r="I2851">
        <f>IF((INT(calendar[[#This Row],[Count]]/7)-calendar[[#This Row],[Count]]/7)&lt;0,I2850,I2850+1)</f>
        <v>408</v>
      </c>
      <c r="J2851">
        <f t="shared" si="224"/>
        <v>2849</v>
      </c>
      <c r="K2851">
        <f>IF(calendar[[#This Row],[Month]]&lt;4,1,IF(calendar[[#This Row],[Month]]&lt;7,2,IF(calendar[[#This Row],[Month]]&lt;10,3,4)))</f>
        <v>4</v>
      </c>
      <c r="L2851">
        <f>IFERROR(IF(VLOOKUP(calendar[[#This Row],[Date]],BH!A:A,1,)&lt;&gt;"",1,0),0)</f>
        <v>0</v>
      </c>
      <c r="M2851">
        <f>IFERROR(IF(VLOOKUP(calendar[[#This Row],[Date]],BH!C:C,1,)&lt;&gt;"",1,0),0)</f>
        <v>0</v>
      </c>
      <c r="N2851">
        <f>IFERROR(IF(VLOOKUP(calendar[[#This Row],[Date]],BH!E:E,1,)&lt;&gt;"",1,0),0)</f>
        <v>0</v>
      </c>
      <c r="O2851">
        <f>IFERROR(IF(VLOOKUP(calendar[[#This Row],[Date]],BH!G:G,1,)&lt;&gt;"",1,0),0)</f>
        <v>0</v>
      </c>
      <c r="P2851">
        <f>IF(OR(calendar[[#This Row],[UK_BH]]=1,calendar[[#This Row],[WeekDay]]=1, calendar[[#This Row],[WeekDay]]=7),P2850,P2850+1)</f>
        <v>2035</v>
      </c>
      <c r="Q2851">
        <f>IF(OR(calendar[[#This Row],[FR_BH]]=1,calendar[[#This Row],[WeekDay]]=1, calendar[[#This Row],[WeekDay]]=7),P2850,P2850+1)</f>
        <v>2035</v>
      </c>
      <c r="R2851">
        <f>IF(OR(calendar[[#This Row],[SP_BH]]=1,calendar[[#This Row],[WeekDay]]=1, calendar[[#This Row],[WeekDay]]=7),P2850,P2850+1)</f>
        <v>2035</v>
      </c>
      <c r="S2851">
        <f>IF(OR(calendar[[#This Row],[PT_BH]]=1,calendar[[#This Row],[WeekDay]]=1, calendar[[#This Row],[WeekDay]]=7),P2850,P2850+1)</f>
        <v>2035</v>
      </c>
    </row>
    <row r="2852" spans="1:19" x14ac:dyDescent="0.25">
      <c r="A2852" s="2">
        <v>45586</v>
      </c>
      <c r="B2852" s="1">
        <f t="shared" si="223"/>
        <v>43</v>
      </c>
      <c r="C2852">
        <f t="shared" si="225"/>
        <v>10</v>
      </c>
      <c r="D2852" t="str">
        <f t="shared" si="226"/>
        <v>October</v>
      </c>
      <c r="E2852">
        <f t="shared" si="227"/>
        <v>2024</v>
      </c>
      <c r="F2852" t="str">
        <f>CONCATENATE(calendar[[#This Row],[Month]],"/",calendar[[#This Row],[Year]])</f>
        <v>10/2024</v>
      </c>
      <c r="G2852">
        <f>WEEKDAY(calendar[[#This Row],[Date]],1)</f>
        <v>2</v>
      </c>
      <c r="H2852" t="str">
        <f>TEXT(calendar[[#This Row],[WeekDay]],"dddd")</f>
        <v>Monday</v>
      </c>
      <c r="I2852">
        <f>IF((INT(calendar[[#This Row],[Count]]/7)-calendar[[#This Row],[Count]]/7)&lt;0,I2851,I2851+1)</f>
        <v>408</v>
      </c>
      <c r="J2852">
        <f t="shared" si="224"/>
        <v>2850</v>
      </c>
      <c r="K2852">
        <f>IF(calendar[[#This Row],[Month]]&lt;4,1,IF(calendar[[#This Row],[Month]]&lt;7,2,IF(calendar[[#This Row],[Month]]&lt;10,3,4)))</f>
        <v>4</v>
      </c>
      <c r="L2852">
        <f>IFERROR(IF(VLOOKUP(calendar[[#This Row],[Date]],BH!A:A,1,)&lt;&gt;"",1,0),0)</f>
        <v>0</v>
      </c>
      <c r="M2852">
        <f>IFERROR(IF(VLOOKUP(calendar[[#This Row],[Date]],BH!C:C,1,)&lt;&gt;"",1,0),0)</f>
        <v>0</v>
      </c>
      <c r="N2852">
        <f>IFERROR(IF(VLOOKUP(calendar[[#This Row],[Date]],BH!E:E,1,)&lt;&gt;"",1,0),0)</f>
        <v>0</v>
      </c>
      <c r="O2852">
        <f>IFERROR(IF(VLOOKUP(calendar[[#This Row],[Date]],BH!G:G,1,)&lt;&gt;"",1,0),0)</f>
        <v>0</v>
      </c>
      <c r="P2852">
        <f>IF(OR(calendar[[#This Row],[UK_BH]]=1,calendar[[#This Row],[WeekDay]]=1, calendar[[#This Row],[WeekDay]]=7),P2851,P2851+1)</f>
        <v>2036</v>
      </c>
      <c r="Q2852">
        <f>IF(OR(calendar[[#This Row],[FR_BH]]=1,calendar[[#This Row],[WeekDay]]=1, calendar[[#This Row],[WeekDay]]=7),P2851,P2851+1)</f>
        <v>2036</v>
      </c>
      <c r="R2852">
        <f>IF(OR(calendar[[#This Row],[SP_BH]]=1,calendar[[#This Row],[WeekDay]]=1, calendar[[#This Row],[WeekDay]]=7),P2851,P2851+1)</f>
        <v>2036</v>
      </c>
      <c r="S2852">
        <f>IF(OR(calendar[[#This Row],[PT_BH]]=1,calendar[[#This Row],[WeekDay]]=1, calendar[[#This Row],[WeekDay]]=7),P2851,P2851+1)</f>
        <v>2036</v>
      </c>
    </row>
    <row r="2853" spans="1:19" x14ac:dyDescent="0.25">
      <c r="A2853" s="2">
        <v>45587</v>
      </c>
      <c r="B2853" s="1">
        <f t="shared" si="223"/>
        <v>43</v>
      </c>
      <c r="C2853">
        <f t="shared" si="225"/>
        <v>10</v>
      </c>
      <c r="D2853" t="str">
        <f t="shared" si="226"/>
        <v>October</v>
      </c>
      <c r="E2853">
        <f t="shared" si="227"/>
        <v>2024</v>
      </c>
      <c r="F2853" t="str">
        <f>CONCATENATE(calendar[[#This Row],[Month]],"/",calendar[[#This Row],[Year]])</f>
        <v>10/2024</v>
      </c>
      <c r="G2853">
        <f>WEEKDAY(calendar[[#This Row],[Date]],1)</f>
        <v>3</v>
      </c>
      <c r="H2853" t="str">
        <f>TEXT(calendar[[#This Row],[WeekDay]],"dddd")</f>
        <v>Tuesday</v>
      </c>
      <c r="I2853">
        <f>IF((INT(calendar[[#This Row],[Count]]/7)-calendar[[#This Row],[Count]]/7)&lt;0,I2852,I2852+1)</f>
        <v>408</v>
      </c>
      <c r="J2853">
        <f t="shared" si="224"/>
        <v>2851</v>
      </c>
      <c r="K2853">
        <f>IF(calendar[[#This Row],[Month]]&lt;4,1,IF(calendar[[#This Row],[Month]]&lt;7,2,IF(calendar[[#This Row],[Month]]&lt;10,3,4)))</f>
        <v>4</v>
      </c>
      <c r="L2853">
        <f>IFERROR(IF(VLOOKUP(calendar[[#This Row],[Date]],BH!A:A,1,)&lt;&gt;"",1,0),0)</f>
        <v>0</v>
      </c>
      <c r="M2853">
        <f>IFERROR(IF(VLOOKUP(calendar[[#This Row],[Date]],BH!C:C,1,)&lt;&gt;"",1,0),0)</f>
        <v>0</v>
      </c>
      <c r="N2853">
        <f>IFERROR(IF(VLOOKUP(calendar[[#This Row],[Date]],BH!E:E,1,)&lt;&gt;"",1,0),0)</f>
        <v>0</v>
      </c>
      <c r="O2853">
        <f>IFERROR(IF(VLOOKUP(calendar[[#This Row],[Date]],BH!G:G,1,)&lt;&gt;"",1,0),0)</f>
        <v>0</v>
      </c>
      <c r="P2853">
        <f>IF(OR(calendar[[#This Row],[UK_BH]]=1,calendar[[#This Row],[WeekDay]]=1, calendar[[#This Row],[WeekDay]]=7),P2852,P2852+1)</f>
        <v>2037</v>
      </c>
      <c r="Q2853">
        <f>IF(OR(calendar[[#This Row],[FR_BH]]=1,calendar[[#This Row],[WeekDay]]=1, calendar[[#This Row],[WeekDay]]=7),P2852,P2852+1)</f>
        <v>2037</v>
      </c>
      <c r="R2853">
        <f>IF(OR(calendar[[#This Row],[SP_BH]]=1,calendar[[#This Row],[WeekDay]]=1, calendar[[#This Row],[WeekDay]]=7),P2852,P2852+1)</f>
        <v>2037</v>
      </c>
      <c r="S2853">
        <f>IF(OR(calendar[[#This Row],[PT_BH]]=1,calendar[[#This Row],[WeekDay]]=1, calendar[[#This Row],[WeekDay]]=7),P2852,P2852+1)</f>
        <v>2037</v>
      </c>
    </row>
    <row r="2854" spans="1:19" x14ac:dyDescent="0.25">
      <c r="A2854" s="2">
        <v>45588</v>
      </c>
      <c r="B2854" s="1">
        <f t="shared" si="223"/>
        <v>43</v>
      </c>
      <c r="C2854">
        <f t="shared" si="225"/>
        <v>10</v>
      </c>
      <c r="D2854" t="str">
        <f t="shared" si="226"/>
        <v>October</v>
      </c>
      <c r="E2854">
        <f t="shared" si="227"/>
        <v>2024</v>
      </c>
      <c r="F2854" t="str">
        <f>CONCATENATE(calendar[[#This Row],[Month]],"/",calendar[[#This Row],[Year]])</f>
        <v>10/2024</v>
      </c>
      <c r="G2854">
        <f>WEEKDAY(calendar[[#This Row],[Date]],1)</f>
        <v>4</v>
      </c>
      <c r="H2854" t="str">
        <f>TEXT(calendar[[#This Row],[WeekDay]],"dddd")</f>
        <v>Wednesday</v>
      </c>
      <c r="I2854">
        <f>IF((INT(calendar[[#This Row],[Count]]/7)-calendar[[#This Row],[Count]]/7)&lt;0,I2853,I2853+1)</f>
        <v>408</v>
      </c>
      <c r="J2854">
        <f t="shared" si="224"/>
        <v>2852</v>
      </c>
      <c r="K2854">
        <f>IF(calendar[[#This Row],[Month]]&lt;4,1,IF(calendar[[#This Row],[Month]]&lt;7,2,IF(calendar[[#This Row],[Month]]&lt;10,3,4)))</f>
        <v>4</v>
      </c>
      <c r="L2854">
        <f>IFERROR(IF(VLOOKUP(calendar[[#This Row],[Date]],BH!A:A,1,)&lt;&gt;"",1,0),0)</f>
        <v>0</v>
      </c>
      <c r="M2854">
        <f>IFERROR(IF(VLOOKUP(calendar[[#This Row],[Date]],BH!C:C,1,)&lt;&gt;"",1,0),0)</f>
        <v>0</v>
      </c>
      <c r="N2854">
        <f>IFERROR(IF(VLOOKUP(calendar[[#This Row],[Date]],BH!E:E,1,)&lt;&gt;"",1,0),0)</f>
        <v>0</v>
      </c>
      <c r="O2854">
        <f>IFERROR(IF(VLOOKUP(calendar[[#This Row],[Date]],BH!G:G,1,)&lt;&gt;"",1,0),0)</f>
        <v>0</v>
      </c>
      <c r="P2854">
        <f>IF(OR(calendar[[#This Row],[UK_BH]]=1,calendar[[#This Row],[WeekDay]]=1, calendar[[#This Row],[WeekDay]]=7),P2853,P2853+1)</f>
        <v>2038</v>
      </c>
      <c r="Q2854">
        <f>IF(OR(calendar[[#This Row],[FR_BH]]=1,calendar[[#This Row],[WeekDay]]=1, calendar[[#This Row],[WeekDay]]=7),P2853,P2853+1)</f>
        <v>2038</v>
      </c>
      <c r="R2854">
        <f>IF(OR(calendar[[#This Row],[SP_BH]]=1,calendar[[#This Row],[WeekDay]]=1, calendar[[#This Row],[WeekDay]]=7),P2853,P2853+1)</f>
        <v>2038</v>
      </c>
      <c r="S2854">
        <f>IF(OR(calendar[[#This Row],[PT_BH]]=1,calendar[[#This Row],[WeekDay]]=1, calendar[[#This Row],[WeekDay]]=7),P2853,P2853+1)</f>
        <v>2038</v>
      </c>
    </row>
    <row r="2855" spans="1:19" x14ac:dyDescent="0.25">
      <c r="A2855" s="2">
        <v>45589</v>
      </c>
      <c r="B2855" s="1">
        <f t="shared" si="223"/>
        <v>43</v>
      </c>
      <c r="C2855">
        <f t="shared" si="225"/>
        <v>10</v>
      </c>
      <c r="D2855" t="str">
        <f t="shared" si="226"/>
        <v>October</v>
      </c>
      <c r="E2855">
        <f t="shared" si="227"/>
        <v>2024</v>
      </c>
      <c r="F2855" t="str">
        <f>CONCATENATE(calendar[[#This Row],[Month]],"/",calendar[[#This Row],[Year]])</f>
        <v>10/2024</v>
      </c>
      <c r="G2855">
        <f>WEEKDAY(calendar[[#This Row],[Date]],1)</f>
        <v>5</v>
      </c>
      <c r="H2855" t="str">
        <f>TEXT(calendar[[#This Row],[WeekDay]],"dddd")</f>
        <v>Thursday</v>
      </c>
      <c r="I2855">
        <f>IF((INT(calendar[[#This Row],[Count]]/7)-calendar[[#This Row],[Count]]/7)&lt;0,I2854,I2854+1)</f>
        <v>408</v>
      </c>
      <c r="J2855">
        <f t="shared" si="224"/>
        <v>2853</v>
      </c>
      <c r="K2855">
        <f>IF(calendar[[#This Row],[Month]]&lt;4,1,IF(calendar[[#This Row],[Month]]&lt;7,2,IF(calendar[[#This Row],[Month]]&lt;10,3,4)))</f>
        <v>4</v>
      </c>
      <c r="L2855">
        <f>IFERROR(IF(VLOOKUP(calendar[[#This Row],[Date]],BH!A:A,1,)&lt;&gt;"",1,0),0)</f>
        <v>0</v>
      </c>
      <c r="M2855">
        <f>IFERROR(IF(VLOOKUP(calendar[[#This Row],[Date]],BH!C:C,1,)&lt;&gt;"",1,0),0)</f>
        <v>0</v>
      </c>
      <c r="N2855">
        <f>IFERROR(IF(VLOOKUP(calendar[[#This Row],[Date]],BH!E:E,1,)&lt;&gt;"",1,0),0)</f>
        <v>0</v>
      </c>
      <c r="O2855">
        <f>IFERROR(IF(VLOOKUP(calendar[[#This Row],[Date]],BH!G:G,1,)&lt;&gt;"",1,0),0)</f>
        <v>0</v>
      </c>
      <c r="P2855">
        <f>IF(OR(calendar[[#This Row],[UK_BH]]=1,calendar[[#This Row],[WeekDay]]=1, calendar[[#This Row],[WeekDay]]=7),P2854,P2854+1)</f>
        <v>2039</v>
      </c>
      <c r="Q2855">
        <f>IF(OR(calendar[[#This Row],[FR_BH]]=1,calendar[[#This Row],[WeekDay]]=1, calendar[[#This Row],[WeekDay]]=7),P2854,P2854+1)</f>
        <v>2039</v>
      </c>
      <c r="R2855">
        <f>IF(OR(calendar[[#This Row],[SP_BH]]=1,calendar[[#This Row],[WeekDay]]=1, calendar[[#This Row],[WeekDay]]=7),P2854,P2854+1)</f>
        <v>2039</v>
      </c>
      <c r="S2855">
        <f>IF(OR(calendar[[#This Row],[PT_BH]]=1,calendar[[#This Row],[WeekDay]]=1, calendar[[#This Row],[WeekDay]]=7),P2854,P2854+1)</f>
        <v>2039</v>
      </c>
    </row>
    <row r="2856" spans="1:19" x14ac:dyDescent="0.25">
      <c r="A2856" s="2">
        <v>45590</v>
      </c>
      <c r="B2856" s="1">
        <f t="shared" si="223"/>
        <v>43</v>
      </c>
      <c r="C2856">
        <f t="shared" si="225"/>
        <v>10</v>
      </c>
      <c r="D2856" t="str">
        <f t="shared" si="226"/>
        <v>October</v>
      </c>
      <c r="E2856">
        <f t="shared" si="227"/>
        <v>2024</v>
      </c>
      <c r="F2856" t="str">
        <f>CONCATENATE(calendar[[#This Row],[Month]],"/",calendar[[#This Row],[Year]])</f>
        <v>10/2024</v>
      </c>
      <c r="G2856">
        <f>WEEKDAY(calendar[[#This Row],[Date]],1)</f>
        <v>6</v>
      </c>
      <c r="H2856" t="str">
        <f>TEXT(calendar[[#This Row],[WeekDay]],"dddd")</f>
        <v>Friday</v>
      </c>
      <c r="I2856">
        <f>IF((INT(calendar[[#This Row],[Count]]/7)-calendar[[#This Row],[Count]]/7)&lt;0,I2855,I2855+1)</f>
        <v>408</v>
      </c>
      <c r="J2856">
        <f t="shared" si="224"/>
        <v>2854</v>
      </c>
      <c r="K2856">
        <f>IF(calendar[[#This Row],[Month]]&lt;4,1,IF(calendar[[#This Row],[Month]]&lt;7,2,IF(calendar[[#This Row],[Month]]&lt;10,3,4)))</f>
        <v>4</v>
      </c>
      <c r="L2856">
        <f>IFERROR(IF(VLOOKUP(calendar[[#This Row],[Date]],BH!A:A,1,)&lt;&gt;"",1,0),0)</f>
        <v>0</v>
      </c>
      <c r="M2856">
        <f>IFERROR(IF(VLOOKUP(calendar[[#This Row],[Date]],BH!C:C,1,)&lt;&gt;"",1,0),0)</f>
        <v>0</v>
      </c>
      <c r="N2856">
        <f>IFERROR(IF(VLOOKUP(calendar[[#This Row],[Date]],BH!E:E,1,)&lt;&gt;"",1,0),0)</f>
        <v>0</v>
      </c>
      <c r="O2856">
        <f>IFERROR(IF(VLOOKUP(calendar[[#This Row],[Date]],BH!G:G,1,)&lt;&gt;"",1,0),0)</f>
        <v>0</v>
      </c>
      <c r="P2856">
        <f>IF(OR(calendar[[#This Row],[UK_BH]]=1,calendar[[#This Row],[WeekDay]]=1, calendar[[#This Row],[WeekDay]]=7),P2855,P2855+1)</f>
        <v>2040</v>
      </c>
      <c r="Q2856">
        <f>IF(OR(calendar[[#This Row],[FR_BH]]=1,calendar[[#This Row],[WeekDay]]=1, calendar[[#This Row],[WeekDay]]=7),P2855,P2855+1)</f>
        <v>2040</v>
      </c>
      <c r="R2856">
        <f>IF(OR(calendar[[#This Row],[SP_BH]]=1,calendar[[#This Row],[WeekDay]]=1, calendar[[#This Row],[WeekDay]]=7),P2855,P2855+1)</f>
        <v>2040</v>
      </c>
      <c r="S2856">
        <f>IF(OR(calendar[[#This Row],[PT_BH]]=1,calendar[[#This Row],[WeekDay]]=1, calendar[[#This Row],[WeekDay]]=7),P2855,P2855+1)</f>
        <v>2040</v>
      </c>
    </row>
    <row r="2857" spans="1:19" x14ac:dyDescent="0.25">
      <c r="A2857" s="2">
        <v>45591</v>
      </c>
      <c r="B2857" s="1">
        <f t="shared" si="223"/>
        <v>43</v>
      </c>
      <c r="C2857">
        <f t="shared" si="225"/>
        <v>10</v>
      </c>
      <c r="D2857" t="str">
        <f t="shared" si="226"/>
        <v>October</v>
      </c>
      <c r="E2857">
        <f t="shared" si="227"/>
        <v>2024</v>
      </c>
      <c r="F2857" t="str">
        <f>CONCATENATE(calendar[[#This Row],[Month]],"/",calendar[[#This Row],[Year]])</f>
        <v>10/2024</v>
      </c>
      <c r="G2857">
        <f>WEEKDAY(calendar[[#This Row],[Date]],1)</f>
        <v>7</v>
      </c>
      <c r="H2857" t="str">
        <f>TEXT(calendar[[#This Row],[WeekDay]],"dddd")</f>
        <v>Saturday</v>
      </c>
      <c r="I2857">
        <f>IF((INT(calendar[[#This Row],[Count]]/7)-calendar[[#This Row],[Count]]/7)&lt;0,I2856,I2856+1)</f>
        <v>408</v>
      </c>
      <c r="J2857">
        <f t="shared" si="224"/>
        <v>2855</v>
      </c>
      <c r="K2857">
        <f>IF(calendar[[#This Row],[Month]]&lt;4,1,IF(calendar[[#This Row],[Month]]&lt;7,2,IF(calendar[[#This Row],[Month]]&lt;10,3,4)))</f>
        <v>4</v>
      </c>
      <c r="L2857">
        <f>IFERROR(IF(VLOOKUP(calendar[[#This Row],[Date]],BH!A:A,1,)&lt;&gt;"",1,0),0)</f>
        <v>0</v>
      </c>
      <c r="M2857">
        <f>IFERROR(IF(VLOOKUP(calendar[[#This Row],[Date]],BH!C:C,1,)&lt;&gt;"",1,0),0)</f>
        <v>0</v>
      </c>
      <c r="N2857">
        <f>IFERROR(IF(VLOOKUP(calendar[[#This Row],[Date]],BH!E:E,1,)&lt;&gt;"",1,0),0)</f>
        <v>0</v>
      </c>
      <c r="O2857">
        <f>IFERROR(IF(VLOOKUP(calendar[[#This Row],[Date]],BH!G:G,1,)&lt;&gt;"",1,0),0)</f>
        <v>0</v>
      </c>
      <c r="P2857">
        <f>IF(OR(calendar[[#This Row],[UK_BH]]=1,calendar[[#This Row],[WeekDay]]=1, calendar[[#This Row],[WeekDay]]=7),P2856,P2856+1)</f>
        <v>2040</v>
      </c>
      <c r="Q2857">
        <f>IF(OR(calendar[[#This Row],[FR_BH]]=1,calendar[[#This Row],[WeekDay]]=1, calendar[[#This Row],[WeekDay]]=7),P2856,P2856+1)</f>
        <v>2040</v>
      </c>
      <c r="R2857">
        <f>IF(OR(calendar[[#This Row],[SP_BH]]=1,calendar[[#This Row],[WeekDay]]=1, calendar[[#This Row],[WeekDay]]=7),P2856,P2856+1)</f>
        <v>2040</v>
      </c>
      <c r="S2857">
        <f>IF(OR(calendar[[#This Row],[PT_BH]]=1,calendar[[#This Row],[WeekDay]]=1, calendar[[#This Row],[WeekDay]]=7),P2856,P2856+1)</f>
        <v>2040</v>
      </c>
    </row>
    <row r="2858" spans="1:19" x14ac:dyDescent="0.25">
      <c r="A2858" s="2">
        <v>45592</v>
      </c>
      <c r="B2858" s="1">
        <f t="shared" si="223"/>
        <v>44</v>
      </c>
      <c r="C2858">
        <f t="shared" si="225"/>
        <v>10</v>
      </c>
      <c r="D2858" t="str">
        <f t="shared" si="226"/>
        <v>October</v>
      </c>
      <c r="E2858">
        <f t="shared" si="227"/>
        <v>2024</v>
      </c>
      <c r="F2858" t="str">
        <f>CONCATENATE(calendar[[#This Row],[Month]],"/",calendar[[#This Row],[Year]])</f>
        <v>10/2024</v>
      </c>
      <c r="G2858">
        <f>WEEKDAY(calendar[[#This Row],[Date]],1)</f>
        <v>1</v>
      </c>
      <c r="H2858" t="str">
        <f>TEXT(calendar[[#This Row],[WeekDay]],"dddd")</f>
        <v>Sunday</v>
      </c>
      <c r="I2858">
        <f>IF((INT(calendar[[#This Row],[Count]]/7)-calendar[[#This Row],[Count]]/7)&lt;0,I2857,I2857+1)</f>
        <v>409</v>
      </c>
      <c r="J2858">
        <f t="shared" si="224"/>
        <v>2856</v>
      </c>
      <c r="K2858">
        <f>IF(calendar[[#This Row],[Month]]&lt;4,1,IF(calendar[[#This Row],[Month]]&lt;7,2,IF(calendar[[#This Row],[Month]]&lt;10,3,4)))</f>
        <v>4</v>
      </c>
      <c r="L2858">
        <f>IFERROR(IF(VLOOKUP(calendar[[#This Row],[Date]],BH!A:A,1,)&lt;&gt;"",1,0),0)</f>
        <v>0</v>
      </c>
      <c r="M2858">
        <f>IFERROR(IF(VLOOKUP(calendar[[#This Row],[Date]],BH!C:C,1,)&lt;&gt;"",1,0),0)</f>
        <v>0</v>
      </c>
      <c r="N2858">
        <f>IFERROR(IF(VLOOKUP(calendar[[#This Row],[Date]],BH!E:E,1,)&lt;&gt;"",1,0),0)</f>
        <v>0</v>
      </c>
      <c r="O2858">
        <f>IFERROR(IF(VLOOKUP(calendar[[#This Row],[Date]],BH!G:G,1,)&lt;&gt;"",1,0),0)</f>
        <v>0</v>
      </c>
      <c r="P2858">
        <f>IF(OR(calendar[[#This Row],[UK_BH]]=1,calendar[[#This Row],[WeekDay]]=1, calendar[[#This Row],[WeekDay]]=7),P2857,P2857+1)</f>
        <v>2040</v>
      </c>
      <c r="Q2858">
        <f>IF(OR(calendar[[#This Row],[FR_BH]]=1,calendar[[#This Row],[WeekDay]]=1, calendar[[#This Row],[WeekDay]]=7),P2857,P2857+1)</f>
        <v>2040</v>
      </c>
      <c r="R2858">
        <f>IF(OR(calendar[[#This Row],[SP_BH]]=1,calendar[[#This Row],[WeekDay]]=1, calendar[[#This Row],[WeekDay]]=7),P2857,P2857+1)</f>
        <v>2040</v>
      </c>
      <c r="S2858">
        <f>IF(OR(calendar[[#This Row],[PT_BH]]=1,calendar[[#This Row],[WeekDay]]=1, calendar[[#This Row],[WeekDay]]=7),P2857,P2857+1)</f>
        <v>2040</v>
      </c>
    </row>
    <row r="2859" spans="1:19" x14ac:dyDescent="0.25">
      <c r="A2859" s="2">
        <v>45593</v>
      </c>
      <c r="B2859" s="1">
        <f t="shared" si="223"/>
        <v>44</v>
      </c>
      <c r="C2859">
        <f t="shared" si="225"/>
        <v>10</v>
      </c>
      <c r="D2859" t="str">
        <f t="shared" si="226"/>
        <v>October</v>
      </c>
      <c r="E2859">
        <f t="shared" si="227"/>
        <v>2024</v>
      </c>
      <c r="F2859" t="str">
        <f>CONCATENATE(calendar[[#This Row],[Month]],"/",calendar[[#This Row],[Year]])</f>
        <v>10/2024</v>
      </c>
      <c r="G2859">
        <f>WEEKDAY(calendar[[#This Row],[Date]],1)</f>
        <v>2</v>
      </c>
      <c r="H2859" t="str">
        <f>TEXT(calendar[[#This Row],[WeekDay]],"dddd")</f>
        <v>Monday</v>
      </c>
      <c r="I2859">
        <f>IF((INT(calendar[[#This Row],[Count]]/7)-calendar[[#This Row],[Count]]/7)&lt;0,I2858,I2858+1)</f>
        <v>409</v>
      </c>
      <c r="J2859">
        <f t="shared" si="224"/>
        <v>2857</v>
      </c>
      <c r="K2859">
        <f>IF(calendar[[#This Row],[Month]]&lt;4,1,IF(calendar[[#This Row],[Month]]&lt;7,2,IF(calendar[[#This Row],[Month]]&lt;10,3,4)))</f>
        <v>4</v>
      </c>
      <c r="L2859">
        <f>IFERROR(IF(VLOOKUP(calendar[[#This Row],[Date]],BH!A:A,1,)&lt;&gt;"",1,0),0)</f>
        <v>0</v>
      </c>
      <c r="M2859">
        <f>IFERROR(IF(VLOOKUP(calendar[[#This Row],[Date]],BH!C:C,1,)&lt;&gt;"",1,0),0)</f>
        <v>0</v>
      </c>
      <c r="N2859">
        <f>IFERROR(IF(VLOOKUP(calendar[[#This Row],[Date]],BH!E:E,1,)&lt;&gt;"",1,0),0)</f>
        <v>0</v>
      </c>
      <c r="O2859">
        <f>IFERROR(IF(VLOOKUP(calendar[[#This Row],[Date]],BH!G:G,1,)&lt;&gt;"",1,0),0)</f>
        <v>0</v>
      </c>
      <c r="P2859">
        <f>IF(OR(calendar[[#This Row],[UK_BH]]=1,calendar[[#This Row],[WeekDay]]=1, calendar[[#This Row],[WeekDay]]=7),P2858,P2858+1)</f>
        <v>2041</v>
      </c>
      <c r="Q2859">
        <f>IF(OR(calendar[[#This Row],[FR_BH]]=1,calendar[[#This Row],[WeekDay]]=1, calendar[[#This Row],[WeekDay]]=7),P2858,P2858+1)</f>
        <v>2041</v>
      </c>
      <c r="R2859">
        <f>IF(OR(calendar[[#This Row],[SP_BH]]=1,calendar[[#This Row],[WeekDay]]=1, calendar[[#This Row],[WeekDay]]=7),P2858,P2858+1)</f>
        <v>2041</v>
      </c>
      <c r="S2859">
        <f>IF(OR(calendar[[#This Row],[PT_BH]]=1,calendar[[#This Row],[WeekDay]]=1, calendar[[#This Row],[WeekDay]]=7),P2858,P2858+1)</f>
        <v>2041</v>
      </c>
    </row>
    <row r="2860" spans="1:19" x14ac:dyDescent="0.25">
      <c r="A2860" s="2">
        <v>45594</v>
      </c>
      <c r="B2860" s="1">
        <f t="shared" si="223"/>
        <v>44</v>
      </c>
      <c r="C2860">
        <f t="shared" si="225"/>
        <v>10</v>
      </c>
      <c r="D2860" t="str">
        <f t="shared" si="226"/>
        <v>October</v>
      </c>
      <c r="E2860">
        <f t="shared" si="227"/>
        <v>2024</v>
      </c>
      <c r="F2860" t="str">
        <f>CONCATENATE(calendar[[#This Row],[Month]],"/",calendar[[#This Row],[Year]])</f>
        <v>10/2024</v>
      </c>
      <c r="G2860">
        <f>WEEKDAY(calendar[[#This Row],[Date]],1)</f>
        <v>3</v>
      </c>
      <c r="H2860" t="str">
        <f>TEXT(calendar[[#This Row],[WeekDay]],"dddd")</f>
        <v>Tuesday</v>
      </c>
      <c r="I2860">
        <f>IF((INT(calendar[[#This Row],[Count]]/7)-calendar[[#This Row],[Count]]/7)&lt;0,I2859,I2859+1)</f>
        <v>409</v>
      </c>
      <c r="J2860">
        <f t="shared" si="224"/>
        <v>2858</v>
      </c>
      <c r="K2860">
        <f>IF(calendar[[#This Row],[Month]]&lt;4,1,IF(calendar[[#This Row],[Month]]&lt;7,2,IF(calendar[[#This Row],[Month]]&lt;10,3,4)))</f>
        <v>4</v>
      </c>
      <c r="L2860">
        <f>IFERROR(IF(VLOOKUP(calendar[[#This Row],[Date]],BH!A:A,1,)&lt;&gt;"",1,0),0)</f>
        <v>0</v>
      </c>
      <c r="M2860">
        <f>IFERROR(IF(VLOOKUP(calendar[[#This Row],[Date]],BH!C:C,1,)&lt;&gt;"",1,0),0)</f>
        <v>0</v>
      </c>
      <c r="N2860">
        <f>IFERROR(IF(VLOOKUP(calendar[[#This Row],[Date]],BH!E:E,1,)&lt;&gt;"",1,0),0)</f>
        <v>0</v>
      </c>
      <c r="O2860">
        <f>IFERROR(IF(VLOOKUP(calendar[[#This Row],[Date]],BH!G:G,1,)&lt;&gt;"",1,0),0)</f>
        <v>0</v>
      </c>
      <c r="P2860">
        <f>IF(OR(calendar[[#This Row],[UK_BH]]=1,calendar[[#This Row],[WeekDay]]=1, calendar[[#This Row],[WeekDay]]=7),P2859,P2859+1)</f>
        <v>2042</v>
      </c>
      <c r="Q2860">
        <f>IF(OR(calendar[[#This Row],[FR_BH]]=1,calendar[[#This Row],[WeekDay]]=1, calendar[[#This Row],[WeekDay]]=7),P2859,P2859+1)</f>
        <v>2042</v>
      </c>
      <c r="R2860">
        <f>IF(OR(calendar[[#This Row],[SP_BH]]=1,calendar[[#This Row],[WeekDay]]=1, calendar[[#This Row],[WeekDay]]=7),P2859,P2859+1)</f>
        <v>2042</v>
      </c>
      <c r="S2860">
        <f>IF(OR(calendar[[#This Row],[PT_BH]]=1,calendar[[#This Row],[WeekDay]]=1, calendar[[#This Row],[WeekDay]]=7),P2859,P2859+1)</f>
        <v>2042</v>
      </c>
    </row>
    <row r="2861" spans="1:19" x14ac:dyDescent="0.25">
      <c r="A2861" s="2">
        <v>45595</v>
      </c>
      <c r="B2861" s="1">
        <f t="shared" si="223"/>
        <v>44</v>
      </c>
      <c r="C2861">
        <f t="shared" si="225"/>
        <v>10</v>
      </c>
      <c r="D2861" t="str">
        <f t="shared" si="226"/>
        <v>October</v>
      </c>
      <c r="E2861">
        <f t="shared" si="227"/>
        <v>2024</v>
      </c>
      <c r="F2861" t="str">
        <f>CONCATENATE(calendar[[#This Row],[Month]],"/",calendar[[#This Row],[Year]])</f>
        <v>10/2024</v>
      </c>
      <c r="G2861">
        <f>WEEKDAY(calendar[[#This Row],[Date]],1)</f>
        <v>4</v>
      </c>
      <c r="H2861" t="str">
        <f>TEXT(calendar[[#This Row],[WeekDay]],"dddd")</f>
        <v>Wednesday</v>
      </c>
      <c r="I2861">
        <f>IF((INT(calendar[[#This Row],[Count]]/7)-calendar[[#This Row],[Count]]/7)&lt;0,I2860,I2860+1)</f>
        <v>409</v>
      </c>
      <c r="J2861">
        <f t="shared" si="224"/>
        <v>2859</v>
      </c>
      <c r="K2861">
        <f>IF(calendar[[#This Row],[Month]]&lt;4,1,IF(calendar[[#This Row],[Month]]&lt;7,2,IF(calendar[[#This Row],[Month]]&lt;10,3,4)))</f>
        <v>4</v>
      </c>
      <c r="L2861">
        <f>IFERROR(IF(VLOOKUP(calendar[[#This Row],[Date]],BH!A:A,1,)&lt;&gt;"",1,0),0)</f>
        <v>0</v>
      </c>
      <c r="M2861">
        <f>IFERROR(IF(VLOOKUP(calendar[[#This Row],[Date]],BH!C:C,1,)&lt;&gt;"",1,0),0)</f>
        <v>0</v>
      </c>
      <c r="N2861">
        <f>IFERROR(IF(VLOOKUP(calendar[[#This Row],[Date]],BH!E:E,1,)&lt;&gt;"",1,0),0)</f>
        <v>0</v>
      </c>
      <c r="O2861">
        <f>IFERROR(IF(VLOOKUP(calendar[[#This Row],[Date]],BH!G:G,1,)&lt;&gt;"",1,0),0)</f>
        <v>0</v>
      </c>
      <c r="P2861">
        <f>IF(OR(calendar[[#This Row],[UK_BH]]=1,calendar[[#This Row],[WeekDay]]=1, calendar[[#This Row],[WeekDay]]=7),P2860,P2860+1)</f>
        <v>2043</v>
      </c>
      <c r="Q2861">
        <f>IF(OR(calendar[[#This Row],[FR_BH]]=1,calendar[[#This Row],[WeekDay]]=1, calendar[[#This Row],[WeekDay]]=7),P2860,P2860+1)</f>
        <v>2043</v>
      </c>
      <c r="R2861">
        <f>IF(OR(calendar[[#This Row],[SP_BH]]=1,calendar[[#This Row],[WeekDay]]=1, calendar[[#This Row],[WeekDay]]=7),P2860,P2860+1)</f>
        <v>2043</v>
      </c>
      <c r="S2861">
        <f>IF(OR(calendar[[#This Row],[PT_BH]]=1,calendar[[#This Row],[WeekDay]]=1, calendar[[#This Row],[WeekDay]]=7),P2860,P2860+1)</f>
        <v>2043</v>
      </c>
    </row>
    <row r="2862" spans="1:19" x14ac:dyDescent="0.25">
      <c r="A2862" s="2">
        <v>45596</v>
      </c>
      <c r="B2862" s="1">
        <f t="shared" si="223"/>
        <v>44</v>
      </c>
      <c r="C2862">
        <f t="shared" si="225"/>
        <v>10</v>
      </c>
      <c r="D2862" t="str">
        <f t="shared" si="226"/>
        <v>October</v>
      </c>
      <c r="E2862">
        <f t="shared" si="227"/>
        <v>2024</v>
      </c>
      <c r="F2862" t="str">
        <f>CONCATENATE(calendar[[#This Row],[Month]],"/",calendar[[#This Row],[Year]])</f>
        <v>10/2024</v>
      </c>
      <c r="G2862">
        <f>WEEKDAY(calendar[[#This Row],[Date]],1)</f>
        <v>5</v>
      </c>
      <c r="H2862" t="str">
        <f>TEXT(calendar[[#This Row],[WeekDay]],"dddd")</f>
        <v>Thursday</v>
      </c>
      <c r="I2862">
        <f>IF((INT(calendar[[#This Row],[Count]]/7)-calendar[[#This Row],[Count]]/7)&lt;0,I2861,I2861+1)</f>
        <v>409</v>
      </c>
      <c r="J2862">
        <f t="shared" si="224"/>
        <v>2860</v>
      </c>
      <c r="K2862">
        <f>IF(calendar[[#This Row],[Month]]&lt;4,1,IF(calendar[[#This Row],[Month]]&lt;7,2,IF(calendar[[#This Row],[Month]]&lt;10,3,4)))</f>
        <v>4</v>
      </c>
      <c r="L2862">
        <f>IFERROR(IF(VLOOKUP(calendar[[#This Row],[Date]],BH!A:A,1,)&lt;&gt;"",1,0),0)</f>
        <v>0</v>
      </c>
      <c r="M2862">
        <f>IFERROR(IF(VLOOKUP(calendar[[#This Row],[Date]],BH!C:C,1,)&lt;&gt;"",1,0),0)</f>
        <v>0</v>
      </c>
      <c r="N2862">
        <f>IFERROR(IF(VLOOKUP(calendar[[#This Row],[Date]],BH!E:E,1,)&lt;&gt;"",1,0),0)</f>
        <v>0</v>
      </c>
      <c r="O2862">
        <f>IFERROR(IF(VLOOKUP(calendar[[#This Row],[Date]],BH!G:G,1,)&lt;&gt;"",1,0),0)</f>
        <v>0</v>
      </c>
      <c r="P2862">
        <f>IF(OR(calendar[[#This Row],[UK_BH]]=1,calendar[[#This Row],[WeekDay]]=1, calendar[[#This Row],[WeekDay]]=7),P2861,P2861+1)</f>
        <v>2044</v>
      </c>
      <c r="Q2862">
        <f>IF(OR(calendar[[#This Row],[FR_BH]]=1,calendar[[#This Row],[WeekDay]]=1, calendar[[#This Row],[WeekDay]]=7),P2861,P2861+1)</f>
        <v>2044</v>
      </c>
      <c r="R2862">
        <f>IF(OR(calendar[[#This Row],[SP_BH]]=1,calendar[[#This Row],[WeekDay]]=1, calendar[[#This Row],[WeekDay]]=7),P2861,P2861+1)</f>
        <v>2044</v>
      </c>
      <c r="S2862">
        <f>IF(OR(calendar[[#This Row],[PT_BH]]=1,calendar[[#This Row],[WeekDay]]=1, calendar[[#This Row],[WeekDay]]=7),P2861,P2861+1)</f>
        <v>2044</v>
      </c>
    </row>
    <row r="2863" spans="1:19" x14ac:dyDescent="0.25">
      <c r="A2863" s="2">
        <v>45597</v>
      </c>
      <c r="B2863" s="1">
        <f t="shared" si="223"/>
        <v>44</v>
      </c>
      <c r="C2863">
        <f t="shared" si="225"/>
        <v>11</v>
      </c>
      <c r="D2863" t="str">
        <f t="shared" si="226"/>
        <v>November</v>
      </c>
      <c r="E2863">
        <f t="shared" si="227"/>
        <v>2024</v>
      </c>
      <c r="F2863" t="str">
        <f>CONCATENATE(calendar[[#This Row],[Month]],"/",calendar[[#This Row],[Year]])</f>
        <v>11/2024</v>
      </c>
      <c r="G2863">
        <f>WEEKDAY(calendar[[#This Row],[Date]],1)</f>
        <v>6</v>
      </c>
      <c r="H2863" t="str">
        <f>TEXT(calendar[[#This Row],[WeekDay]],"dddd")</f>
        <v>Friday</v>
      </c>
      <c r="I2863">
        <f>IF((INT(calendar[[#This Row],[Count]]/7)-calendar[[#This Row],[Count]]/7)&lt;0,I2862,I2862+1)</f>
        <v>409</v>
      </c>
      <c r="J2863">
        <f t="shared" si="224"/>
        <v>2861</v>
      </c>
      <c r="K2863">
        <f>IF(calendar[[#This Row],[Month]]&lt;4,1,IF(calendar[[#This Row],[Month]]&lt;7,2,IF(calendar[[#This Row],[Month]]&lt;10,3,4)))</f>
        <v>4</v>
      </c>
      <c r="L2863">
        <f>IFERROR(IF(VLOOKUP(calendar[[#This Row],[Date]],BH!A:A,1,)&lt;&gt;"",1,0),0)</f>
        <v>0</v>
      </c>
      <c r="M2863">
        <f>IFERROR(IF(VLOOKUP(calendar[[#This Row],[Date]],BH!C:C,1,)&lt;&gt;"",1,0),0)</f>
        <v>0</v>
      </c>
      <c r="N2863">
        <f>IFERROR(IF(VLOOKUP(calendar[[#This Row],[Date]],BH!E:E,1,)&lt;&gt;"",1,0),0)</f>
        <v>0</v>
      </c>
      <c r="O2863">
        <f>IFERROR(IF(VLOOKUP(calendar[[#This Row],[Date]],BH!G:G,1,)&lt;&gt;"",1,0),0)</f>
        <v>0</v>
      </c>
      <c r="P2863">
        <f>IF(OR(calendar[[#This Row],[UK_BH]]=1,calendar[[#This Row],[WeekDay]]=1, calendar[[#This Row],[WeekDay]]=7),P2862,P2862+1)</f>
        <v>2045</v>
      </c>
      <c r="Q2863">
        <f>IF(OR(calendar[[#This Row],[FR_BH]]=1,calendar[[#This Row],[WeekDay]]=1, calendar[[#This Row],[WeekDay]]=7),P2862,P2862+1)</f>
        <v>2045</v>
      </c>
      <c r="R2863">
        <f>IF(OR(calendar[[#This Row],[SP_BH]]=1,calendar[[#This Row],[WeekDay]]=1, calendar[[#This Row],[WeekDay]]=7),P2862,P2862+1)</f>
        <v>2045</v>
      </c>
      <c r="S2863">
        <f>IF(OR(calendar[[#This Row],[PT_BH]]=1,calendar[[#This Row],[WeekDay]]=1, calendar[[#This Row],[WeekDay]]=7),P2862,P2862+1)</f>
        <v>2045</v>
      </c>
    </row>
    <row r="2864" spans="1:19" x14ac:dyDescent="0.25">
      <c r="A2864" s="2">
        <v>45598</v>
      </c>
      <c r="B2864" s="1">
        <f t="shared" si="223"/>
        <v>44</v>
      </c>
      <c r="C2864">
        <f t="shared" si="225"/>
        <v>11</v>
      </c>
      <c r="D2864" t="str">
        <f t="shared" si="226"/>
        <v>November</v>
      </c>
      <c r="E2864">
        <f t="shared" si="227"/>
        <v>2024</v>
      </c>
      <c r="F2864" t="str">
        <f>CONCATENATE(calendar[[#This Row],[Month]],"/",calendar[[#This Row],[Year]])</f>
        <v>11/2024</v>
      </c>
      <c r="G2864">
        <f>WEEKDAY(calendar[[#This Row],[Date]],1)</f>
        <v>7</v>
      </c>
      <c r="H2864" t="str">
        <f>TEXT(calendar[[#This Row],[WeekDay]],"dddd")</f>
        <v>Saturday</v>
      </c>
      <c r="I2864">
        <f>IF((INT(calendar[[#This Row],[Count]]/7)-calendar[[#This Row],[Count]]/7)&lt;0,I2863,I2863+1)</f>
        <v>409</v>
      </c>
      <c r="J2864">
        <f t="shared" si="224"/>
        <v>2862</v>
      </c>
      <c r="K2864">
        <f>IF(calendar[[#This Row],[Month]]&lt;4,1,IF(calendar[[#This Row],[Month]]&lt;7,2,IF(calendar[[#This Row],[Month]]&lt;10,3,4)))</f>
        <v>4</v>
      </c>
      <c r="L2864">
        <f>IFERROR(IF(VLOOKUP(calendar[[#This Row],[Date]],BH!A:A,1,)&lt;&gt;"",1,0),0)</f>
        <v>0</v>
      </c>
      <c r="M2864">
        <f>IFERROR(IF(VLOOKUP(calendar[[#This Row],[Date]],BH!C:C,1,)&lt;&gt;"",1,0),0)</f>
        <v>0</v>
      </c>
      <c r="N2864">
        <f>IFERROR(IF(VLOOKUP(calendar[[#This Row],[Date]],BH!E:E,1,)&lt;&gt;"",1,0),0)</f>
        <v>0</v>
      </c>
      <c r="O2864">
        <f>IFERROR(IF(VLOOKUP(calendar[[#This Row],[Date]],BH!G:G,1,)&lt;&gt;"",1,0),0)</f>
        <v>0</v>
      </c>
      <c r="P2864">
        <f>IF(OR(calendar[[#This Row],[UK_BH]]=1,calendar[[#This Row],[WeekDay]]=1, calendar[[#This Row],[WeekDay]]=7),P2863,P2863+1)</f>
        <v>2045</v>
      </c>
      <c r="Q2864">
        <f>IF(OR(calendar[[#This Row],[FR_BH]]=1,calendar[[#This Row],[WeekDay]]=1, calendar[[#This Row],[WeekDay]]=7),P2863,P2863+1)</f>
        <v>2045</v>
      </c>
      <c r="R2864">
        <f>IF(OR(calendar[[#This Row],[SP_BH]]=1,calendar[[#This Row],[WeekDay]]=1, calendar[[#This Row],[WeekDay]]=7),P2863,P2863+1)</f>
        <v>2045</v>
      </c>
      <c r="S2864">
        <f>IF(OR(calendar[[#This Row],[PT_BH]]=1,calendar[[#This Row],[WeekDay]]=1, calendar[[#This Row],[WeekDay]]=7),P2863,P2863+1)</f>
        <v>2045</v>
      </c>
    </row>
    <row r="2865" spans="1:19" x14ac:dyDescent="0.25">
      <c r="A2865" s="2">
        <v>45599</v>
      </c>
      <c r="B2865" s="1">
        <f t="shared" si="223"/>
        <v>45</v>
      </c>
      <c r="C2865">
        <f t="shared" si="225"/>
        <v>11</v>
      </c>
      <c r="D2865" t="str">
        <f t="shared" si="226"/>
        <v>November</v>
      </c>
      <c r="E2865">
        <f t="shared" si="227"/>
        <v>2024</v>
      </c>
      <c r="F2865" t="str">
        <f>CONCATENATE(calendar[[#This Row],[Month]],"/",calendar[[#This Row],[Year]])</f>
        <v>11/2024</v>
      </c>
      <c r="G2865">
        <f>WEEKDAY(calendar[[#This Row],[Date]],1)</f>
        <v>1</v>
      </c>
      <c r="H2865" t="str">
        <f>TEXT(calendar[[#This Row],[WeekDay]],"dddd")</f>
        <v>Sunday</v>
      </c>
      <c r="I2865">
        <f>IF((INT(calendar[[#This Row],[Count]]/7)-calendar[[#This Row],[Count]]/7)&lt;0,I2864,I2864+1)</f>
        <v>410</v>
      </c>
      <c r="J2865">
        <f t="shared" si="224"/>
        <v>2863</v>
      </c>
      <c r="K2865">
        <f>IF(calendar[[#This Row],[Month]]&lt;4,1,IF(calendar[[#This Row],[Month]]&lt;7,2,IF(calendar[[#This Row],[Month]]&lt;10,3,4)))</f>
        <v>4</v>
      </c>
      <c r="L2865">
        <f>IFERROR(IF(VLOOKUP(calendar[[#This Row],[Date]],BH!A:A,1,)&lt;&gt;"",1,0),0)</f>
        <v>0</v>
      </c>
      <c r="M2865">
        <f>IFERROR(IF(VLOOKUP(calendar[[#This Row],[Date]],BH!C:C,1,)&lt;&gt;"",1,0),0)</f>
        <v>0</v>
      </c>
      <c r="N2865">
        <f>IFERROR(IF(VLOOKUP(calendar[[#This Row],[Date]],BH!E:E,1,)&lt;&gt;"",1,0),0)</f>
        <v>0</v>
      </c>
      <c r="O2865">
        <f>IFERROR(IF(VLOOKUP(calendar[[#This Row],[Date]],BH!G:G,1,)&lt;&gt;"",1,0),0)</f>
        <v>0</v>
      </c>
      <c r="P2865">
        <f>IF(OR(calendar[[#This Row],[UK_BH]]=1,calendar[[#This Row],[WeekDay]]=1, calendar[[#This Row],[WeekDay]]=7),P2864,P2864+1)</f>
        <v>2045</v>
      </c>
      <c r="Q2865">
        <f>IF(OR(calendar[[#This Row],[FR_BH]]=1,calendar[[#This Row],[WeekDay]]=1, calendar[[#This Row],[WeekDay]]=7),P2864,P2864+1)</f>
        <v>2045</v>
      </c>
      <c r="R2865">
        <f>IF(OR(calendar[[#This Row],[SP_BH]]=1,calendar[[#This Row],[WeekDay]]=1, calendar[[#This Row],[WeekDay]]=7),P2864,P2864+1)</f>
        <v>2045</v>
      </c>
      <c r="S2865">
        <f>IF(OR(calendar[[#This Row],[PT_BH]]=1,calendar[[#This Row],[WeekDay]]=1, calendar[[#This Row],[WeekDay]]=7),P2864,P2864+1)</f>
        <v>2045</v>
      </c>
    </row>
    <row r="2866" spans="1:19" x14ac:dyDescent="0.25">
      <c r="A2866" s="2">
        <v>45600</v>
      </c>
      <c r="B2866" s="1">
        <f t="shared" si="223"/>
        <v>45</v>
      </c>
      <c r="C2866">
        <f t="shared" si="225"/>
        <v>11</v>
      </c>
      <c r="D2866" t="str">
        <f t="shared" si="226"/>
        <v>November</v>
      </c>
      <c r="E2866">
        <f t="shared" si="227"/>
        <v>2024</v>
      </c>
      <c r="F2866" t="str">
        <f>CONCATENATE(calendar[[#This Row],[Month]],"/",calendar[[#This Row],[Year]])</f>
        <v>11/2024</v>
      </c>
      <c r="G2866">
        <f>WEEKDAY(calendar[[#This Row],[Date]],1)</f>
        <v>2</v>
      </c>
      <c r="H2866" t="str">
        <f>TEXT(calendar[[#This Row],[WeekDay]],"dddd")</f>
        <v>Monday</v>
      </c>
      <c r="I2866">
        <f>IF((INT(calendar[[#This Row],[Count]]/7)-calendar[[#This Row],[Count]]/7)&lt;0,I2865,I2865+1)</f>
        <v>410</v>
      </c>
      <c r="J2866">
        <f t="shared" si="224"/>
        <v>2864</v>
      </c>
      <c r="K2866">
        <f>IF(calendar[[#This Row],[Month]]&lt;4,1,IF(calendar[[#This Row],[Month]]&lt;7,2,IF(calendar[[#This Row],[Month]]&lt;10,3,4)))</f>
        <v>4</v>
      </c>
      <c r="L2866">
        <f>IFERROR(IF(VLOOKUP(calendar[[#This Row],[Date]],BH!A:A,1,)&lt;&gt;"",1,0),0)</f>
        <v>0</v>
      </c>
      <c r="M2866">
        <f>IFERROR(IF(VLOOKUP(calendar[[#This Row],[Date]],BH!C:C,1,)&lt;&gt;"",1,0),0)</f>
        <v>0</v>
      </c>
      <c r="N2866">
        <f>IFERROR(IF(VLOOKUP(calendar[[#This Row],[Date]],BH!E:E,1,)&lt;&gt;"",1,0),0)</f>
        <v>0</v>
      </c>
      <c r="O2866">
        <f>IFERROR(IF(VLOOKUP(calendar[[#This Row],[Date]],BH!G:G,1,)&lt;&gt;"",1,0),0)</f>
        <v>0</v>
      </c>
      <c r="P2866">
        <f>IF(OR(calendar[[#This Row],[UK_BH]]=1,calendar[[#This Row],[WeekDay]]=1, calendar[[#This Row],[WeekDay]]=7),P2865,P2865+1)</f>
        <v>2046</v>
      </c>
      <c r="Q2866">
        <f>IF(OR(calendar[[#This Row],[FR_BH]]=1,calendar[[#This Row],[WeekDay]]=1, calendar[[#This Row],[WeekDay]]=7),P2865,P2865+1)</f>
        <v>2046</v>
      </c>
      <c r="R2866">
        <f>IF(OR(calendar[[#This Row],[SP_BH]]=1,calendar[[#This Row],[WeekDay]]=1, calendar[[#This Row],[WeekDay]]=7),P2865,P2865+1)</f>
        <v>2046</v>
      </c>
      <c r="S2866">
        <f>IF(OR(calendar[[#This Row],[PT_BH]]=1,calendar[[#This Row],[WeekDay]]=1, calendar[[#This Row],[WeekDay]]=7),P2865,P2865+1)</f>
        <v>2046</v>
      </c>
    </row>
    <row r="2867" spans="1:19" x14ac:dyDescent="0.25">
      <c r="A2867" s="2">
        <v>45601</v>
      </c>
      <c r="B2867" s="1">
        <f t="shared" si="223"/>
        <v>45</v>
      </c>
      <c r="C2867">
        <f t="shared" si="225"/>
        <v>11</v>
      </c>
      <c r="D2867" t="str">
        <f t="shared" si="226"/>
        <v>November</v>
      </c>
      <c r="E2867">
        <f t="shared" si="227"/>
        <v>2024</v>
      </c>
      <c r="F2867" t="str">
        <f>CONCATENATE(calendar[[#This Row],[Month]],"/",calendar[[#This Row],[Year]])</f>
        <v>11/2024</v>
      </c>
      <c r="G2867">
        <f>WEEKDAY(calendar[[#This Row],[Date]],1)</f>
        <v>3</v>
      </c>
      <c r="H2867" t="str">
        <f>TEXT(calendar[[#This Row],[WeekDay]],"dddd")</f>
        <v>Tuesday</v>
      </c>
      <c r="I2867">
        <f>IF((INT(calendar[[#This Row],[Count]]/7)-calendar[[#This Row],[Count]]/7)&lt;0,I2866,I2866+1)</f>
        <v>410</v>
      </c>
      <c r="J2867">
        <f t="shared" si="224"/>
        <v>2865</v>
      </c>
      <c r="K2867">
        <f>IF(calendar[[#This Row],[Month]]&lt;4,1,IF(calendar[[#This Row],[Month]]&lt;7,2,IF(calendar[[#This Row],[Month]]&lt;10,3,4)))</f>
        <v>4</v>
      </c>
      <c r="L2867">
        <f>IFERROR(IF(VLOOKUP(calendar[[#This Row],[Date]],BH!A:A,1,)&lt;&gt;"",1,0),0)</f>
        <v>0</v>
      </c>
      <c r="M2867">
        <f>IFERROR(IF(VLOOKUP(calendar[[#This Row],[Date]],BH!C:C,1,)&lt;&gt;"",1,0),0)</f>
        <v>0</v>
      </c>
      <c r="N2867">
        <f>IFERROR(IF(VLOOKUP(calendar[[#This Row],[Date]],BH!E:E,1,)&lt;&gt;"",1,0),0)</f>
        <v>0</v>
      </c>
      <c r="O2867">
        <f>IFERROR(IF(VLOOKUP(calendar[[#This Row],[Date]],BH!G:G,1,)&lt;&gt;"",1,0),0)</f>
        <v>0</v>
      </c>
      <c r="P2867">
        <f>IF(OR(calendar[[#This Row],[UK_BH]]=1,calendar[[#This Row],[WeekDay]]=1, calendar[[#This Row],[WeekDay]]=7),P2866,P2866+1)</f>
        <v>2047</v>
      </c>
      <c r="Q2867">
        <f>IF(OR(calendar[[#This Row],[FR_BH]]=1,calendar[[#This Row],[WeekDay]]=1, calendar[[#This Row],[WeekDay]]=7),P2866,P2866+1)</f>
        <v>2047</v>
      </c>
      <c r="R2867">
        <f>IF(OR(calendar[[#This Row],[SP_BH]]=1,calendar[[#This Row],[WeekDay]]=1, calendar[[#This Row],[WeekDay]]=7),P2866,P2866+1)</f>
        <v>2047</v>
      </c>
      <c r="S2867">
        <f>IF(OR(calendar[[#This Row],[PT_BH]]=1,calendar[[#This Row],[WeekDay]]=1, calendar[[#This Row],[WeekDay]]=7),P2866,P2866+1)</f>
        <v>2047</v>
      </c>
    </row>
    <row r="2868" spans="1:19" x14ac:dyDescent="0.25">
      <c r="A2868" s="2">
        <v>45602</v>
      </c>
      <c r="B2868" s="1">
        <f t="shared" si="223"/>
        <v>45</v>
      </c>
      <c r="C2868">
        <f t="shared" si="225"/>
        <v>11</v>
      </c>
      <c r="D2868" t="str">
        <f t="shared" si="226"/>
        <v>November</v>
      </c>
      <c r="E2868">
        <f t="shared" si="227"/>
        <v>2024</v>
      </c>
      <c r="F2868" t="str">
        <f>CONCATENATE(calendar[[#This Row],[Month]],"/",calendar[[#This Row],[Year]])</f>
        <v>11/2024</v>
      </c>
      <c r="G2868">
        <f>WEEKDAY(calendar[[#This Row],[Date]],1)</f>
        <v>4</v>
      </c>
      <c r="H2868" t="str">
        <f>TEXT(calendar[[#This Row],[WeekDay]],"dddd")</f>
        <v>Wednesday</v>
      </c>
      <c r="I2868">
        <f>IF((INT(calendar[[#This Row],[Count]]/7)-calendar[[#This Row],[Count]]/7)&lt;0,I2867,I2867+1)</f>
        <v>410</v>
      </c>
      <c r="J2868">
        <f t="shared" si="224"/>
        <v>2866</v>
      </c>
      <c r="K2868">
        <f>IF(calendar[[#This Row],[Month]]&lt;4,1,IF(calendar[[#This Row],[Month]]&lt;7,2,IF(calendar[[#This Row],[Month]]&lt;10,3,4)))</f>
        <v>4</v>
      </c>
      <c r="L2868">
        <f>IFERROR(IF(VLOOKUP(calendar[[#This Row],[Date]],BH!A:A,1,)&lt;&gt;"",1,0),0)</f>
        <v>0</v>
      </c>
      <c r="M2868">
        <f>IFERROR(IF(VLOOKUP(calendar[[#This Row],[Date]],BH!C:C,1,)&lt;&gt;"",1,0),0)</f>
        <v>0</v>
      </c>
      <c r="N2868">
        <f>IFERROR(IF(VLOOKUP(calendar[[#This Row],[Date]],BH!E:E,1,)&lt;&gt;"",1,0),0)</f>
        <v>0</v>
      </c>
      <c r="O2868">
        <f>IFERROR(IF(VLOOKUP(calendar[[#This Row],[Date]],BH!G:G,1,)&lt;&gt;"",1,0),0)</f>
        <v>0</v>
      </c>
      <c r="P2868">
        <f>IF(OR(calendar[[#This Row],[UK_BH]]=1,calendar[[#This Row],[WeekDay]]=1, calendar[[#This Row],[WeekDay]]=7),P2867,P2867+1)</f>
        <v>2048</v>
      </c>
      <c r="Q2868">
        <f>IF(OR(calendar[[#This Row],[FR_BH]]=1,calendar[[#This Row],[WeekDay]]=1, calendar[[#This Row],[WeekDay]]=7),P2867,P2867+1)</f>
        <v>2048</v>
      </c>
      <c r="R2868">
        <f>IF(OR(calendar[[#This Row],[SP_BH]]=1,calendar[[#This Row],[WeekDay]]=1, calendar[[#This Row],[WeekDay]]=7),P2867,P2867+1)</f>
        <v>2048</v>
      </c>
      <c r="S2868">
        <f>IF(OR(calendar[[#This Row],[PT_BH]]=1,calendar[[#This Row],[WeekDay]]=1, calendar[[#This Row],[WeekDay]]=7),P2867,P2867+1)</f>
        <v>2048</v>
      </c>
    </row>
    <row r="2869" spans="1:19" x14ac:dyDescent="0.25">
      <c r="A2869" s="2">
        <v>45603</v>
      </c>
      <c r="B2869" s="1">
        <f t="shared" si="223"/>
        <v>45</v>
      </c>
      <c r="C2869">
        <f t="shared" si="225"/>
        <v>11</v>
      </c>
      <c r="D2869" t="str">
        <f t="shared" si="226"/>
        <v>November</v>
      </c>
      <c r="E2869">
        <f t="shared" si="227"/>
        <v>2024</v>
      </c>
      <c r="F2869" t="str">
        <f>CONCATENATE(calendar[[#This Row],[Month]],"/",calendar[[#This Row],[Year]])</f>
        <v>11/2024</v>
      </c>
      <c r="G2869">
        <f>WEEKDAY(calendar[[#This Row],[Date]],1)</f>
        <v>5</v>
      </c>
      <c r="H2869" t="str">
        <f>TEXT(calendar[[#This Row],[WeekDay]],"dddd")</f>
        <v>Thursday</v>
      </c>
      <c r="I2869">
        <f>IF((INT(calendar[[#This Row],[Count]]/7)-calendar[[#This Row],[Count]]/7)&lt;0,I2868,I2868+1)</f>
        <v>410</v>
      </c>
      <c r="J2869">
        <f t="shared" si="224"/>
        <v>2867</v>
      </c>
      <c r="K2869">
        <f>IF(calendar[[#This Row],[Month]]&lt;4,1,IF(calendar[[#This Row],[Month]]&lt;7,2,IF(calendar[[#This Row],[Month]]&lt;10,3,4)))</f>
        <v>4</v>
      </c>
      <c r="L2869">
        <f>IFERROR(IF(VLOOKUP(calendar[[#This Row],[Date]],BH!A:A,1,)&lt;&gt;"",1,0),0)</f>
        <v>0</v>
      </c>
      <c r="M2869">
        <f>IFERROR(IF(VLOOKUP(calendar[[#This Row],[Date]],BH!C:C,1,)&lt;&gt;"",1,0),0)</f>
        <v>0</v>
      </c>
      <c r="N2869">
        <f>IFERROR(IF(VLOOKUP(calendar[[#This Row],[Date]],BH!E:E,1,)&lt;&gt;"",1,0),0)</f>
        <v>0</v>
      </c>
      <c r="O2869">
        <f>IFERROR(IF(VLOOKUP(calendar[[#This Row],[Date]],BH!G:G,1,)&lt;&gt;"",1,0),0)</f>
        <v>0</v>
      </c>
      <c r="P2869">
        <f>IF(OR(calendar[[#This Row],[UK_BH]]=1,calendar[[#This Row],[WeekDay]]=1, calendar[[#This Row],[WeekDay]]=7),P2868,P2868+1)</f>
        <v>2049</v>
      </c>
      <c r="Q2869">
        <f>IF(OR(calendar[[#This Row],[FR_BH]]=1,calendar[[#This Row],[WeekDay]]=1, calendar[[#This Row],[WeekDay]]=7),P2868,P2868+1)</f>
        <v>2049</v>
      </c>
      <c r="R2869">
        <f>IF(OR(calendar[[#This Row],[SP_BH]]=1,calendar[[#This Row],[WeekDay]]=1, calendar[[#This Row],[WeekDay]]=7),P2868,P2868+1)</f>
        <v>2049</v>
      </c>
      <c r="S2869">
        <f>IF(OR(calendar[[#This Row],[PT_BH]]=1,calendar[[#This Row],[WeekDay]]=1, calendar[[#This Row],[WeekDay]]=7),P2868,P2868+1)</f>
        <v>2049</v>
      </c>
    </row>
    <row r="2870" spans="1:19" x14ac:dyDescent="0.25">
      <c r="A2870" s="2">
        <v>45604</v>
      </c>
      <c r="B2870" s="1">
        <f t="shared" si="223"/>
        <v>45</v>
      </c>
      <c r="C2870">
        <f t="shared" si="225"/>
        <v>11</v>
      </c>
      <c r="D2870" t="str">
        <f t="shared" si="226"/>
        <v>November</v>
      </c>
      <c r="E2870">
        <f t="shared" si="227"/>
        <v>2024</v>
      </c>
      <c r="F2870" t="str">
        <f>CONCATENATE(calendar[[#This Row],[Month]],"/",calendar[[#This Row],[Year]])</f>
        <v>11/2024</v>
      </c>
      <c r="G2870">
        <f>WEEKDAY(calendar[[#This Row],[Date]],1)</f>
        <v>6</v>
      </c>
      <c r="H2870" t="str">
        <f>TEXT(calendar[[#This Row],[WeekDay]],"dddd")</f>
        <v>Friday</v>
      </c>
      <c r="I2870">
        <f>IF((INT(calendar[[#This Row],[Count]]/7)-calendar[[#This Row],[Count]]/7)&lt;0,I2869,I2869+1)</f>
        <v>410</v>
      </c>
      <c r="J2870">
        <f t="shared" si="224"/>
        <v>2868</v>
      </c>
      <c r="K2870">
        <f>IF(calendar[[#This Row],[Month]]&lt;4,1,IF(calendar[[#This Row],[Month]]&lt;7,2,IF(calendar[[#This Row],[Month]]&lt;10,3,4)))</f>
        <v>4</v>
      </c>
      <c r="L2870">
        <f>IFERROR(IF(VLOOKUP(calendar[[#This Row],[Date]],BH!A:A,1,)&lt;&gt;"",1,0),0)</f>
        <v>0</v>
      </c>
      <c r="M2870">
        <f>IFERROR(IF(VLOOKUP(calendar[[#This Row],[Date]],BH!C:C,1,)&lt;&gt;"",1,0),0)</f>
        <v>0</v>
      </c>
      <c r="N2870">
        <f>IFERROR(IF(VLOOKUP(calendar[[#This Row],[Date]],BH!E:E,1,)&lt;&gt;"",1,0),0)</f>
        <v>0</v>
      </c>
      <c r="O2870">
        <f>IFERROR(IF(VLOOKUP(calendar[[#This Row],[Date]],BH!G:G,1,)&lt;&gt;"",1,0),0)</f>
        <v>0</v>
      </c>
      <c r="P2870">
        <f>IF(OR(calendar[[#This Row],[UK_BH]]=1,calendar[[#This Row],[WeekDay]]=1, calendar[[#This Row],[WeekDay]]=7),P2869,P2869+1)</f>
        <v>2050</v>
      </c>
      <c r="Q2870">
        <f>IF(OR(calendar[[#This Row],[FR_BH]]=1,calendar[[#This Row],[WeekDay]]=1, calendar[[#This Row],[WeekDay]]=7),P2869,P2869+1)</f>
        <v>2050</v>
      </c>
      <c r="R2870">
        <f>IF(OR(calendar[[#This Row],[SP_BH]]=1,calendar[[#This Row],[WeekDay]]=1, calendar[[#This Row],[WeekDay]]=7),P2869,P2869+1)</f>
        <v>2050</v>
      </c>
      <c r="S2870">
        <f>IF(OR(calendar[[#This Row],[PT_BH]]=1,calendar[[#This Row],[WeekDay]]=1, calendar[[#This Row],[WeekDay]]=7),P2869,P2869+1)</f>
        <v>2050</v>
      </c>
    </row>
    <row r="2871" spans="1:19" x14ac:dyDescent="0.25">
      <c r="A2871" s="2">
        <v>45605</v>
      </c>
      <c r="B2871" s="1">
        <f t="shared" si="223"/>
        <v>45</v>
      </c>
      <c r="C2871">
        <f t="shared" si="225"/>
        <v>11</v>
      </c>
      <c r="D2871" t="str">
        <f t="shared" si="226"/>
        <v>November</v>
      </c>
      <c r="E2871">
        <f t="shared" si="227"/>
        <v>2024</v>
      </c>
      <c r="F2871" t="str">
        <f>CONCATENATE(calendar[[#This Row],[Month]],"/",calendar[[#This Row],[Year]])</f>
        <v>11/2024</v>
      </c>
      <c r="G2871">
        <f>WEEKDAY(calendar[[#This Row],[Date]],1)</f>
        <v>7</v>
      </c>
      <c r="H2871" t="str">
        <f>TEXT(calendar[[#This Row],[WeekDay]],"dddd")</f>
        <v>Saturday</v>
      </c>
      <c r="I2871">
        <f>IF((INT(calendar[[#This Row],[Count]]/7)-calendar[[#This Row],[Count]]/7)&lt;0,I2870,I2870+1)</f>
        <v>410</v>
      </c>
      <c r="J2871">
        <f t="shared" si="224"/>
        <v>2869</v>
      </c>
      <c r="K2871">
        <f>IF(calendar[[#This Row],[Month]]&lt;4,1,IF(calendar[[#This Row],[Month]]&lt;7,2,IF(calendar[[#This Row],[Month]]&lt;10,3,4)))</f>
        <v>4</v>
      </c>
      <c r="L2871">
        <f>IFERROR(IF(VLOOKUP(calendar[[#This Row],[Date]],BH!A:A,1,)&lt;&gt;"",1,0),0)</f>
        <v>0</v>
      </c>
      <c r="M2871">
        <f>IFERROR(IF(VLOOKUP(calendar[[#This Row],[Date]],BH!C:C,1,)&lt;&gt;"",1,0),0)</f>
        <v>0</v>
      </c>
      <c r="N2871">
        <f>IFERROR(IF(VLOOKUP(calendar[[#This Row],[Date]],BH!E:E,1,)&lt;&gt;"",1,0),0)</f>
        <v>0</v>
      </c>
      <c r="O2871">
        <f>IFERROR(IF(VLOOKUP(calendar[[#This Row],[Date]],BH!G:G,1,)&lt;&gt;"",1,0),0)</f>
        <v>0</v>
      </c>
      <c r="P2871">
        <f>IF(OR(calendar[[#This Row],[UK_BH]]=1,calendar[[#This Row],[WeekDay]]=1, calendar[[#This Row],[WeekDay]]=7),P2870,P2870+1)</f>
        <v>2050</v>
      </c>
      <c r="Q2871">
        <f>IF(OR(calendar[[#This Row],[FR_BH]]=1,calendar[[#This Row],[WeekDay]]=1, calendar[[#This Row],[WeekDay]]=7),P2870,P2870+1)</f>
        <v>2050</v>
      </c>
      <c r="R2871">
        <f>IF(OR(calendar[[#This Row],[SP_BH]]=1,calendar[[#This Row],[WeekDay]]=1, calendar[[#This Row],[WeekDay]]=7),P2870,P2870+1)</f>
        <v>2050</v>
      </c>
      <c r="S2871">
        <f>IF(OR(calendar[[#This Row],[PT_BH]]=1,calendar[[#This Row],[WeekDay]]=1, calendar[[#This Row],[WeekDay]]=7),P2870,P2870+1)</f>
        <v>2050</v>
      </c>
    </row>
    <row r="2872" spans="1:19" x14ac:dyDescent="0.25">
      <c r="A2872" s="2">
        <v>45606</v>
      </c>
      <c r="B2872" s="1">
        <f t="shared" si="223"/>
        <v>46</v>
      </c>
      <c r="C2872">
        <f t="shared" si="225"/>
        <v>11</v>
      </c>
      <c r="D2872" t="str">
        <f t="shared" si="226"/>
        <v>November</v>
      </c>
      <c r="E2872">
        <f t="shared" si="227"/>
        <v>2024</v>
      </c>
      <c r="F2872" t="str">
        <f>CONCATENATE(calendar[[#This Row],[Month]],"/",calendar[[#This Row],[Year]])</f>
        <v>11/2024</v>
      </c>
      <c r="G2872">
        <f>WEEKDAY(calendar[[#This Row],[Date]],1)</f>
        <v>1</v>
      </c>
      <c r="H2872" t="str">
        <f>TEXT(calendar[[#This Row],[WeekDay]],"dddd")</f>
        <v>Sunday</v>
      </c>
      <c r="I2872">
        <f>IF((INT(calendar[[#This Row],[Count]]/7)-calendar[[#This Row],[Count]]/7)&lt;0,I2871,I2871+1)</f>
        <v>411</v>
      </c>
      <c r="J2872">
        <f t="shared" si="224"/>
        <v>2870</v>
      </c>
      <c r="K2872">
        <f>IF(calendar[[#This Row],[Month]]&lt;4,1,IF(calendar[[#This Row],[Month]]&lt;7,2,IF(calendar[[#This Row],[Month]]&lt;10,3,4)))</f>
        <v>4</v>
      </c>
      <c r="L2872">
        <f>IFERROR(IF(VLOOKUP(calendar[[#This Row],[Date]],BH!A:A,1,)&lt;&gt;"",1,0),0)</f>
        <v>0</v>
      </c>
      <c r="M2872">
        <f>IFERROR(IF(VLOOKUP(calendar[[#This Row],[Date]],BH!C:C,1,)&lt;&gt;"",1,0),0)</f>
        <v>0</v>
      </c>
      <c r="N2872">
        <f>IFERROR(IF(VLOOKUP(calendar[[#This Row],[Date]],BH!E:E,1,)&lt;&gt;"",1,0),0)</f>
        <v>0</v>
      </c>
      <c r="O2872">
        <f>IFERROR(IF(VLOOKUP(calendar[[#This Row],[Date]],BH!G:G,1,)&lt;&gt;"",1,0),0)</f>
        <v>0</v>
      </c>
      <c r="P2872">
        <f>IF(OR(calendar[[#This Row],[UK_BH]]=1,calendar[[#This Row],[WeekDay]]=1, calendar[[#This Row],[WeekDay]]=7),P2871,P2871+1)</f>
        <v>2050</v>
      </c>
      <c r="Q2872">
        <f>IF(OR(calendar[[#This Row],[FR_BH]]=1,calendar[[#This Row],[WeekDay]]=1, calendar[[#This Row],[WeekDay]]=7),P2871,P2871+1)</f>
        <v>2050</v>
      </c>
      <c r="R2872">
        <f>IF(OR(calendar[[#This Row],[SP_BH]]=1,calendar[[#This Row],[WeekDay]]=1, calendar[[#This Row],[WeekDay]]=7),P2871,P2871+1)</f>
        <v>2050</v>
      </c>
      <c r="S2872">
        <f>IF(OR(calendar[[#This Row],[PT_BH]]=1,calendar[[#This Row],[WeekDay]]=1, calendar[[#This Row],[WeekDay]]=7),P2871,P2871+1)</f>
        <v>2050</v>
      </c>
    </row>
    <row r="2873" spans="1:19" x14ac:dyDescent="0.25">
      <c r="A2873" s="2">
        <v>45607</v>
      </c>
      <c r="B2873" s="1">
        <f t="shared" si="223"/>
        <v>46</v>
      </c>
      <c r="C2873">
        <f t="shared" si="225"/>
        <v>11</v>
      </c>
      <c r="D2873" t="str">
        <f t="shared" si="226"/>
        <v>November</v>
      </c>
      <c r="E2873">
        <f t="shared" si="227"/>
        <v>2024</v>
      </c>
      <c r="F2873" t="str">
        <f>CONCATENATE(calendar[[#This Row],[Month]],"/",calendar[[#This Row],[Year]])</f>
        <v>11/2024</v>
      </c>
      <c r="G2873">
        <f>WEEKDAY(calendar[[#This Row],[Date]],1)</f>
        <v>2</v>
      </c>
      <c r="H2873" t="str">
        <f>TEXT(calendar[[#This Row],[WeekDay]],"dddd")</f>
        <v>Monday</v>
      </c>
      <c r="I2873">
        <f>IF((INT(calendar[[#This Row],[Count]]/7)-calendar[[#This Row],[Count]]/7)&lt;0,I2872,I2872+1)</f>
        <v>411</v>
      </c>
      <c r="J2873">
        <f t="shared" si="224"/>
        <v>2871</v>
      </c>
      <c r="K2873">
        <f>IF(calendar[[#This Row],[Month]]&lt;4,1,IF(calendar[[#This Row],[Month]]&lt;7,2,IF(calendar[[#This Row],[Month]]&lt;10,3,4)))</f>
        <v>4</v>
      </c>
      <c r="L2873">
        <f>IFERROR(IF(VLOOKUP(calendar[[#This Row],[Date]],BH!A:A,1,)&lt;&gt;"",1,0),0)</f>
        <v>0</v>
      </c>
      <c r="M2873">
        <f>IFERROR(IF(VLOOKUP(calendar[[#This Row],[Date]],BH!C:C,1,)&lt;&gt;"",1,0),0)</f>
        <v>0</v>
      </c>
      <c r="N2873">
        <f>IFERROR(IF(VLOOKUP(calendar[[#This Row],[Date]],BH!E:E,1,)&lt;&gt;"",1,0),0)</f>
        <v>0</v>
      </c>
      <c r="O2873">
        <f>IFERROR(IF(VLOOKUP(calendar[[#This Row],[Date]],BH!G:G,1,)&lt;&gt;"",1,0),0)</f>
        <v>0</v>
      </c>
      <c r="P2873">
        <f>IF(OR(calendar[[#This Row],[UK_BH]]=1,calendar[[#This Row],[WeekDay]]=1, calendar[[#This Row],[WeekDay]]=7),P2872,P2872+1)</f>
        <v>2051</v>
      </c>
      <c r="Q2873">
        <f>IF(OR(calendar[[#This Row],[FR_BH]]=1,calendar[[#This Row],[WeekDay]]=1, calendar[[#This Row],[WeekDay]]=7),P2872,P2872+1)</f>
        <v>2051</v>
      </c>
      <c r="R2873">
        <f>IF(OR(calendar[[#This Row],[SP_BH]]=1,calendar[[#This Row],[WeekDay]]=1, calendar[[#This Row],[WeekDay]]=7),P2872,P2872+1)</f>
        <v>2051</v>
      </c>
      <c r="S2873">
        <f>IF(OR(calendar[[#This Row],[PT_BH]]=1,calendar[[#This Row],[WeekDay]]=1, calendar[[#This Row],[WeekDay]]=7),P2872,P2872+1)</f>
        <v>2051</v>
      </c>
    </row>
    <row r="2874" spans="1:19" x14ac:dyDescent="0.25">
      <c r="A2874" s="2">
        <v>45608</v>
      </c>
      <c r="B2874" s="1">
        <f t="shared" si="223"/>
        <v>46</v>
      </c>
      <c r="C2874">
        <f t="shared" si="225"/>
        <v>11</v>
      </c>
      <c r="D2874" t="str">
        <f t="shared" si="226"/>
        <v>November</v>
      </c>
      <c r="E2874">
        <f t="shared" si="227"/>
        <v>2024</v>
      </c>
      <c r="F2874" t="str">
        <f>CONCATENATE(calendar[[#This Row],[Month]],"/",calendar[[#This Row],[Year]])</f>
        <v>11/2024</v>
      </c>
      <c r="G2874">
        <f>WEEKDAY(calendar[[#This Row],[Date]],1)</f>
        <v>3</v>
      </c>
      <c r="H2874" t="str">
        <f>TEXT(calendar[[#This Row],[WeekDay]],"dddd")</f>
        <v>Tuesday</v>
      </c>
      <c r="I2874">
        <f>IF((INT(calendar[[#This Row],[Count]]/7)-calendar[[#This Row],[Count]]/7)&lt;0,I2873,I2873+1)</f>
        <v>411</v>
      </c>
      <c r="J2874">
        <f t="shared" si="224"/>
        <v>2872</v>
      </c>
      <c r="K2874">
        <f>IF(calendar[[#This Row],[Month]]&lt;4,1,IF(calendar[[#This Row],[Month]]&lt;7,2,IF(calendar[[#This Row],[Month]]&lt;10,3,4)))</f>
        <v>4</v>
      </c>
      <c r="L2874">
        <f>IFERROR(IF(VLOOKUP(calendar[[#This Row],[Date]],BH!A:A,1,)&lt;&gt;"",1,0),0)</f>
        <v>0</v>
      </c>
      <c r="M2874">
        <f>IFERROR(IF(VLOOKUP(calendar[[#This Row],[Date]],BH!C:C,1,)&lt;&gt;"",1,0),0)</f>
        <v>0</v>
      </c>
      <c r="N2874">
        <f>IFERROR(IF(VLOOKUP(calendar[[#This Row],[Date]],BH!E:E,1,)&lt;&gt;"",1,0),0)</f>
        <v>0</v>
      </c>
      <c r="O2874">
        <f>IFERROR(IF(VLOOKUP(calendar[[#This Row],[Date]],BH!G:G,1,)&lt;&gt;"",1,0),0)</f>
        <v>0</v>
      </c>
      <c r="P2874">
        <f>IF(OR(calendar[[#This Row],[UK_BH]]=1,calendar[[#This Row],[WeekDay]]=1, calendar[[#This Row],[WeekDay]]=7),P2873,P2873+1)</f>
        <v>2052</v>
      </c>
      <c r="Q2874">
        <f>IF(OR(calendar[[#This Row],[FR_BH]]=1,calendar[[#This Row],[WeekDay]]=1, calendar[[#This Row],[WeekDay]]=7),P2873,P2873+1)</f>
        <v>2052</v>
      </c>
      <c r="R2874">
        <f>IF(OR(calendar[[#This Row],[SP_BH]]=1,calendar[[#This Row],[WeekDay]]=1, calendar[[#This Row],[WeekDay]]=7),P2873,P2873+1)</f>
        <v>2052</v>
      </c>
      <c r="S2874">
        <f>IF(OR(calendar[[#This Row],[PT_BH]]=1,calendar[[#This Row],[WeekDay]]=1, calendar[[#This Row],[WeekDay]]=7),P2873,P2873+1)</f>
        <v>2052</v>
      </c>
    </row>
    <row r="2875" spans="1:19" x14ac:dyDescent="0.25">
      <c r="A2875" s="2">
        <v>45609</v>
      </c>
      <c r="B2875" s="1">
        <f t="shared" si="223"/>
        <v>46</v>
      </c>
      <c r="C2875">
        <f t="shared" si="225"/>
        <v>11</v>
      </c>
      <c r="D2875" t="str">
        <f t="shared" si="226"/>
        <v>November</v>
      </c>
      <c r="E2875">
        <f t="shared" si="227"/>
        <v>2024</v>
      </c>
      <c r="F2875" t="str">
        <f>CONCATENATE(calendar[[#This Row],[Month]],"/",calendar[[#This Row],[Year]])</f>
        <v>11/2024</v>
      </c>
      <c r="G2875">
        <f>WEEKDAY(calendar[[#This Row],[Date]],1)</f>
        <v>4</v>
      </c>
      <c r="H2875" t="str">
        <f>TEXT(calendar[[#This Row],[WeekDay]],"dddd")</f>
        <v>Wednesday</v>
      </c>
      <c r="I2875">
        <f>IF((INT(calendar[[#This Row],[Count]]/7)-calendar[[#This Row],[Count]]/7)&lt;0,I2874,I2874+1)</f>
        <v>411</v>
      </c>
      <c r="J2875">
        <f t="shared" si="224"/>
        <v>2873</v>
      </c>
      <c r="K2875">
        <f>IF(calendar[[#This Row],[Month]]&lt;4,1,IF(calendar[[#This Row],[Month]]&lt;7,2,IF(calendar[[#This Row],[Month]]&lt;10,3,4)))</f>
        <v>4</v>
      </c>
      <c r="L2875">
        <f>IFERROR(IF(VLOOKUP(calendar[[#This Row],[Date]],BH!A:A,1,)&lt;&gt;"",1,0),0)</f>
        <v>0</v>
      </c>
      <c r="M2875">
        <f>IFERROR(IF(VLOOKUP(calendar[[#This Row],[Date]],BH!C:C,1,)&lt;&gt;"",1,0),0)</f>
        <v>0</v>
      </c>
      <c r="N2875">
        <f>IFERROR(IF(VLOOKUP(calendar[[#This Row],[Date]],BH!E:E,1,)&lt;&gt;"",1,0),0)</f>
        <v>0</v>
      </c>
      <c r="O2875">
        <f>IFERROR(IF(VLOOKUP(calendar[[#This Row],[Date]],BH!G:G,1,)&lt;&gt;"",1,0),0)</f>
        <v>0</v>
      </c>
      <c r="P2875">
        <f>IF(OR(calendar[[#This Row],[UK_BH]]=1,calendar[[#This Row],[WeekDay]]=1, calendar[[#This Row],[WeekDay]]=7),P2874,P2874+1)</f>
        <v>2053</v>
      </c>
      <c r="Q2875">
        <f>IF(OR(calendar[[#This Row],[FR_BH]]=1,calendar[[#This Row],[WeekDay]]=1, calendar[[#This Row],[WeekDay]]=7),P2874,P2874+1)</f>
        <v>2053</v>
      </c>
      <c r="R2875">
        <f>IF(OR(calendar[[#This Row],[SP_BH]]=1,calendar[[#This Row],[WeekDay]]=1, calendar[[#This Row],[WeekDay]]=7),P2874,P2874+1)</f>
        <v>2053</v>
      </c>
      <c r="S2875">
        <f>IF(OR(calendar[[#This Row],[PT_BH]]=1,calendar[[#This Row],[WeekDay]]=1, calendar[[#This Row],[WeekDay]]=7),P2874,P2874+1)</f>
        <v>2053</v>
      </c>
    </row>
    <row r="2876" spans="1:19" x14ac:dyDescent="0.25">
      <c r="A2876" s="2">
        <v>45610</v>
      </c>
      <c r="B2876" s="1">
        <f t="shared" si="223"/>
        <v>46</v>
      </c>
      <c r="C2876">
        <f t="shared" si="225"/>
        <v>11</v>
      </c>
      <c r="D2876" t="str">
        <f t="shared" si="226"/>
        <v>November</v>
      </c>
      <c r="E2876">
        <f t="shared" si="227"/>
        <v>2024</v>
      </c>
      <c r="F2876" t="str">
        <f>CONCATENATE(calendar[[#This Row],[Month]],"/",calendar[[#This Row],[Year]])</f>
        <v>11/2024</v>
      </c>
      <c r="G2876">
        <f>WEEKDAY(calendar[[#This Row],[Date]],1)</f>
        <v>5</v>
      </c>
      <c r="H2876" t="str">
        <f>TEXT(calendar[[#This Row],[WeekDay]],"dddd")</f>
        <v>Thursday</v>
      </c>
      <c r="I2876">
        <f>IF((INT(calendar[[#This Row],[Count]]/7)-calendar[[#This Row],[Count]]/7)&lt;0,I2875,I2875+1)</f>
        <v>411</v>
      </c>
      <c r="J2876">
        <f t="shared" si="224"/>
        <v>2874</v>
      </c>
      <c r="K2876">
        <f>IF(calendar[[#This Row],[Month]]&lt;4,1,IF(calendar[[#This Row],[Month]]&lt;7,2,IF(calendar[[#This Row],[Month]]&lt;10,3,4)))</f>
        <v>4</v>
      </c>
      <c r="L2876">
        <f>IFERROR(IF(VLOOKUP(calendar[[#This Row],[Date]],BH!A:A,1,)&lt;&gt;"",1,0),0)</f>
        <v>0</v>
      </c>
      <c r="M2876">
        <f>IFERROR(IF(VLOOKUP(calendar[[#This Row],[Date]],BH!C:C,1,)&lt;&gt;"",1,0),0)</f>
        <v>0</v>
      </c>
      <c r="N2876">
        <f>IFERROR(IF(VLOOKUP(calendar[[#This Row],[Date]],BH!E:E,1,)&lt;&gt;"",1,0),0)</f>
        <v>0</v>
      </c>
      <c r="O2876">
        <f>IFERROR(IF(VLOOKUP(calendar[[#This Row],[Date]],BH!G:G,1,)&lt;&gt;"",1,0),0)</f>
        <v>0</v>
      </c>
      <c r="P2876">
        <f>IF(OR(calendar[[#This Row],[UK_BH]]=1,calendar[[#This Row],[WeekDay]]=1, calendar[[#This Row],[WeekDay]]=7),P2875,P2875+1)</f>
        <v>2054</v>
      </c>
      <c r="Q2876">
        <f>IF(OR(calendar[[#This Row],[FR_BH]]=1,calendar[[#This Row],[WeekDay]]=1, calendar[[#This Row],[WeekDay]]=7),P2875,P2875+1)</f>
        <v>2054</v>
      </c>
      <c r="R2876">
        <f>IF(OR(calendar[[#This Row],[SP_BH]]=1,calendar[[#This Row],[WeekDay]]=1, calendar[[#This Row],[WeekDay]]=7),P2875,P2875+1)</f>
        <v>2054</v>
      </c>
      <c r="S2876">
        <f>IF(OR(calendar[[#This Row],[PT_BH]]=1,calendar[[#This Row],[WeekDay]]=1, calendar[[#This Row],[WeekDay]]=7),P2875,P2875+1)</f>
        <v>2054</v>
      </c>
    </row>
    <row r="2877" spans="1:19" x14ac:dyDescent="0.25">
      <c r="A2877" s="2">
        <v>45611</v>
      </c>
      <c r="B2877" s="1">
        <f t="shared" si="223"/>
        <v>46</v>
      </c>
      <c r="C2877">
        <f t="shared" si="225"/>
        <v>11</v>
      </c>
      <c r="D2877" t="str">
        <f t="shared" si="226"/>
        <v>November</v>
      </c>
      <c r="E2877">
        <f t="shared" si="227"/>
        <v>2024</v>
      </c>
      <c r="F2877" t="str">
        <f>CONCATENATE(calendar[[#This Row],[Month]],"/",calendar[[#This Row],[Year]])</f>
        <v>11/2024</v>
      </c>
      <c r="G2877">
        <f>WEEKDAY(calendar[[#This Row],[Date]],1)</f>
        <v>6</v>
      </c>
      <c r="H2877" t="str">
        <f>TEXT(calendar[[#This Row],[WeekDay]],"dddd")</f>
        <v>Friday</v>
      </c>
      <c r="I2877">
        <f>IF((INT(calendar[[#This Row],[Count]]/7)-calendar[[#This Row],[Count]]/7)&lt;0,I2876,I2876+1)</f>
        <v>411</v>
      </c>
      <c r="J2877">
        <f t="shared" si="224"/>
        <v>2875</v>
      </c>
      <c r="K2877">
        <f>IF(calendar[[#This Row],[Month]]&lt;4,1,IF(calendar[[#This Row],[Month]]&lt;7,2,IF(calendar[[#This Row],[Month]]&lt;10,3,4)))</f>
        <v>4</v>
      </c>
      <c r="L2877">
        <f>IFERROR(IF(VLOOKUP(calendar[[#This Row],[Date]],BH!A:A,1,)&lt;&gt;"",1,0),0)</f>
        <v>0</v>
      </c>
      <c r="M2877">
        <f>IFERROR(IF(VLOOKUP(calendar[[#This Row],[Date]],BH!C:C,1,)&lt;&gt;"",1,0),0)</f>
        <v>0</v>
      </c>
      <c r="N2877">
        <f>IFERROR(IF(VLOOKUP(calendar[[#This Row],[Date]],BH!E:E,1,)&lt;&gt;"",1,0),0)</f>
        <v>0</v>
      </c>
      <c r="O2877">
        <f>IFERROR(IF(VLOOKUP(calendar[[#This Row],[Date]],BH!G:G,1,)&lt;&gt;"",1,0),0)</f>
        <v>0</v>
      </c>
      <c r="P2877">
        <f>IF(OR(calendar[[#This Row],[UK_BH]]=1,calendar[[#This Row],[WeekDay]]=1, calendar[[#This Row],[WeekDay]]=7),P2876,P2876+1)</f>
        <v>2055</v>
      </c>
      <c r="Q2877">
        <f>IF(OR(calendar[[#This Row],[FR_BH]]=1,calendar[[#This Row],[WeekDay]]=1, calendar[[#This Row],[WeekDay]]=7),P2876,P2876+1)</f>
        <v>2055</v>
      </c>
      <c r="R2877">
        <f>IF(OR(calendar[[#This Row],[SP_BH]]=1,calendar[[#This Row],[WeekDay]]=1, calendar[[#This Row],[WeekDay]]=7),P2876,P2876+1)</f>
        <v>2055</v>
      </c>
      <c r="S2877">
        <f>IF(OR(calendar[[#This Row],[PT_BH]]=1,calendar[[#This Row],[WeekDay]]=1, calendar[[#This Row],[WeekDay]]=7),P2876,P2876+1)</f>
        <v>2055</v>
      </c>
    </row>
    <row r="2878" spans="1:19" x14ac:dyDescent="0.25">
      <c r="A2878" s="2">
        <v>45612</v>
      </c>
      <c r="B2878" s="1">
        <f t="shared" si="223"/>
        <v>46</v>
      </c>
      <c r="C2878">
        <f t="shared" si="225"/>
        <v>11</v>
      </c>
      <c r="D2878" t="str">
        <f t="shared" si="226"/>
        <v>November</v>
      </c>
      <c r="E2878">
        <f t="shared" si="227"/>
        <v>2024</v>
      </c>
      <c r="F2878" t="str">
        <f>CONCATENATE(calendar[[#This Row],[Month]],"/",calendar[[#This Row],[Year]])</f>
        <v>11/2024</v>
      </c>
      <c r="G2878">
        <f>WEEKDAY(calendar[[#This Row],[Date]],1)</f>
        <v>7</v>
      </c>
      <c r="H2878" t="str">
        <f>TEXT(calendar[[#This Row],[WeekDay]],"dddd")</f>
        <v>Saturday</v>
      </c>
      <c r="I2878">
        <f>IF((INT(calendar[[#This Row],[Count]]/7)-calendar[[#This Row],[Count]]/7)&lt;0,I2877,I2877+1)</f>
        <v>411</v>
      </c>
      <c r="J2878">
        <f t="shared" si="224"/>
        <v>2876</v>
      </c>
      <c r="K2878">
        <f>IF(calendar[[#This Row],[Month]]&lt;4,1,IF(calendar[[#This Row],[Month]]&lt;7,2,IF(calendar[[#This Row],[Month]]&lt;10,3,4)))</f>
        <v>4</v>
      </c>
      <c r="L2878">
        <f>IFERROR(IF(VLOOKUP(calendar[[#This Row],[Date]],BH!A:A,1,)&lt;&gt;"",1,0),0)</f>
        <v>0</v>
      </c>
      <c r="M2878">
        <f>IFERROR(IF(VLOOKUP(calendar[[#This Row],[Date]],BH!C:C,1,)&lt;&gt;"",1,0),0)</f>
        <v>0</v>
      </c>
      <c r="N2878">
        <f>IFERROR(IF(VLOOKUP(calendar[[#This Row],[Date]],BH!E:E,1,)&lt;&gt;"",1,0),0)</f>
        <v>0</v>
      </c>
      <c r="O2878">
        <f>IFERROR(IF(VLOOKUP(calendar[[#This Row],[Date]],BH!G:G,1,)&lt;&gt;"",1,0),0)</f>
        <v>0</v>
      </c>
      <c r="P2878">
        <f>IF(OR(calendar[[#This Row],[UK_BH]]=1,calendar[[#This Row],[WeekDay]]=1, calendar[[#This Row],[WeekDay]]=7),P2877,P2877+1)</f>
        <v>2055</v>
      </c>
      <c r="Q2878">
        <f>IF(OR(calendar[[#This Row],[FR_BH]]=1,calendar[[#This Row],[WeekDay]]=1, calendar[[#This Row],[WeekDay]]=7),P2877,P2877+1)</f>
        <v>2055</v>
      </c>
      <c r="R2878">
        <f>IF(OR(calendar[[#This Row],[SP_BH]]=1,calendar[[#This Row],[WeekDay]]=1, calendar[[#This Row],[WeekDay]]=7),P2877,P2877+1)</f>
        <v>2055</v>
      </c>
      <c r="S2878">
        <f>IF(OR(calendar[[#This Row],[PT_BH]]=1,calendar[[#This Row],[WeekDay]]=1, calendar[[#This Row],[WeekDay]]=7),P2877,P2877+1)</f>
        <v>2055</v>
      </c>
    </row>
    <row r="2879" spans="1:19" x14ac:dyDescent="0.25">
      <c r="A2879" s="2">
        <v>45613</v>
      </c>
      <c r="B2879" s="1">
        <f t="shared" si="223"/>
        <v>47</v>
      </c>
      <c r="C2879">
        <f t="shared" si="225"/>
        <v>11</v>
      </c>
      <c r="D2879" t="str">
        <f t="shared" si="226"/>
        <v>November</v>
      </c>
      <c r="E2879">
        <f t="shared" si="227"/>
        <v>2024</v>
      </c>
      <c r="F2879" t="str">
        <f>CONCATENATE(calendar[[#This Row],[Month]],"/",calendar[[#This Row],[Year]])</f>
        <v>11/2024</v>
      </c>
      <c r="G2879">
        <f>WEEKDAY(calendar[[#This Row],[Date]],1)</f>
        <v>1</v>
      </c>
      <c r="H2879" t="str">
        <f>TEXT(calendar[[#This Row],[WeekDay]],"dddd")</f>
        <v>Sunday</v>
      </c>
      <c r="I2879">
        <f>IF((INT(calendar[[#This Row],[Count]]/7)-calendar[[#This Row],[Count]]/7)&lt;0,I2878,I2878+1)</f>
        <v>412</v>
      </c>
      <c r="J2879">
        <f t="shared" si="224"/>
        <v>2877</v>
      </c>
      <c r="K2879">
        <f>IF(calendar[[#This Row],[Month]]&lt;4,1,IF(calendar[[#This Row],[Month]]&lt;7,2,IF(calendar[[#This Row],[Month]]&lt;10,3,4)))</f>
        <v>4</v>
      </c>
      <c r="L2879">
        <f>IFERROR(IF(VLOOKUP(calendar[[#This Row],[Date]],BH!A:A,1,)&lt;&gt;"",1,0),0)</f>
        <v>0</v>
      </c>
      <c r="M2879">
        <f>IFERROR(IF(VLOOKUP(calendar[[#This Row],[Date]],BH!C:C,1,)&lt;&gt;"",1,0),0)</f>
        <v>0</v>
      </c>
      <c r="N2879">
        <f>IFERROR(IF(VLOOKUP(calendar[[#This Row],[Date]],BH!E:E,1,)&lt;&gt;"",1,0),0)</f>
        <v>0</v>
      </c>
      <c r="O2879">
        <f>IFERROR(IF(VLOOKUP(calendar[[#This Row],[Date]],BH!G:G,1,)&lt;&gt;"",1,0),0)</f>
        <v>0</v>
      </c>
      <c r="P2879">
        <f>IF(OR(calendar[[#This Row],[UK_BH]]=1,calendar[[#This Row],[WeekDay]]=1, calendar[[#This Row],[WeekDay]]=7),P2878,P2878+1)</f>
        <v>2055</v>
      </c>
      <c r="Q2879">
        <f>IF(OR(calendar[[#This Row],[FR_BH]]=1,calendar[[#This Row],[WeekDay]]=1, calendar[[#This Row],[WeekDay]]=7),P2878,P2878+1)</f>
        <v>2055</v>
      </c>
      <c r="R2879">
        <f>IF(OR(calendar[[#This Row],[SP_BH]]=1,calendar[[#This Row],[WeekDay]]=1, calendar[[#This Row],[WeekDay]]=7),P2878,P2878+1)</f>
        <v>2055</v>
      </c>
      <c r="S2879">
        <f>IF(OR(calendar[[#This Row],[PT_BH]]=1,calendar[[#This Row],[WeekDay]]=1, calendar[[#This Row],[WeekDay]]=7),P2878,P2878+1)</f>
        <v>2055</v>
      </c>
    </row>
    <row r="2880" spans="1:19" x14ac:dyDescent="0.25">
      <c r="A2880" s="2">
        <v>45614</v>
      </c>
      <c r="B2880" s="1">
        <f t="shared" si="223"/>
        <v>47</v>
      </c>
      <c r="C2880">
        <f t="shared" si="225"/>
        <v>11</v>
      </c>
      <c r="D2880" t="str">
        <f t="shared" si="226"/>
        <v>November</v>
      </c>
      <c r="E2880">
        <f t="shared" si="227"/>
        <v>2024</v>
      </c>
      <c r="F2880" t="str">
        <f>CONCATENATE(calendar[[#This Row],[Month]],"/",calendar[[#This Row],[Year]])</f>
        <v>11/2024</v>
      </c>
      <c r="G2880">
        <f>WEEKDAY(calendar[[#This Row],[Date]],1)</f>
        <v>2</v>
      </c>
      <c r="H2880" t="str">
        <f>TEXT(calendar[[#This Row],[WeekDay]],"dddd")</f>
        <v>Monday</v>
      </c>
      <c r="I2880">
        <f>IF((INT(calendar[[#This Row],[Count]]/7)-calendar[[#This Row],[Count]]/7)&lt;0,I2879,I2879+1)</f>
        <v>412</v>
      </c>
      <c r="J2880">
        <f t="shared" si="224"/>
        <v>2878</v>
      </c>
      <c r="K2880">
        <f>IF(calendar[[#This Row],[Month]]&lt;4,1,IF(calendar[[#This Row],[Month]]&lt;7,2,IF(calendar[[#This Row],[Month]]&lt;10,3,4)))</f>
        <v>4</v>
      </c>
      <c r="L2880">
        <f>IFERROR(IF(VLOOKUP(calendar[[#This Row],[Date]],BH!A:A,1,)&lt;&gt;"",1,0),0)</f>
        <v>0</v>
      </c>
      <c r="M2880">
        <f>IFERROR(IF(VLOOKUP(calendar[[#This Row],[Date]],BH!C:C,1,)&lt;&gt;"",1,0),0)</f>
        <v>0</v>
      </c>
      <c r="N2880">
        <f>IFERROR(IF(VLOOKUP(calendar[[#This Row],[Date]],BH!E:E,1,)&lt;&gt;"",1,0),0)</f>
        <v>0</v>
      </c>
      <c r="O2880">
        <f>IFERROR(IF(VLOOKUP(calendar[[#This Row],[Date]],BH!G:G,1,)&lt;&gt;"",1,0),0)</f>
        <v>0</v>
      </c>
      <c r="P2880">
        <f>IF(OR(calendar[[#This Row],[UK_BH]]=1,calendar[[#This Row],[WeekDay]]=1, calendar[[#This Row],[WeekDay]]=7),P2879,P2879+1)</f>
        <v>2056</v>
      </c>
      <c r="Q2880">
        <f>IF(OR(calendar[[#This Row],[FR_BH]]=1,calendar[[#This Row],[WeekDay]]=1, calendar[[#This Row],[WeekDay]]=7),P2879,P2879+1)</f>
        <v>2056</v>
      </c>
      <c r="R2880">
        <f>IF(OR(calendar[[#This Row],[SP_BH]]=1,calendar[[#This Row],[WeekDay]]=1, calendar[[#This Row],[WeekDay]]=7),P2879,P2879+1)</f>
        <v>2056</v>
      </c>
      <c r="S2880">
        <f>IF(OR(calendar[[#This Row],[PT_BH]]=1,calendar[[#This Row],[WeekDay]]=1, calendar[[#This Row],[WeekDay]]=7),P2879,P2879+1)</f>
        <v>2056</v>
      </c>
    </row>
    <row r="2881" spans="1:19" x14ac:dyDescent="0.25">
      <c r="A2881" s="2">
        <v>45615</v>
      </c>
      <c r="B2881" s="1">
        <f t="shared" si="223"/>
        <v>47</v>
      </c>
      <c r="C2881">
        <f t="shared" si="225"/>
        <v>11</v>
      </c>
      <c r="D2881" t="str">
        <f t="shared" si="226"/>
        <v>November</v>
      </c>
      <c r="E2881">
        <f t="shared" si="227"/>
        <v>2024</v>
      </c>
      <c r="F2881" t="str">
        <f>CONCATENATE(calendar[[#This Row],[Month]],"/",calendar[[#This Row],[Year]])</f>
        <v>11/2024</v>
      </c>
      <c r="G2881">
        <f>WEEKDAY(calendar[[#This Row],[Date]],1)</f>
        <v>3</v>
      </c>
      <c r="H2881" t="str">
        <f>TEXT(calendar[[#This Row],[WeekDay]],"dddd")</f>
        <v>Tuesday</v>
      </c>
      <c r="I2881">
        <f>IF((INT(calendar[[#This Row],[Count]]/7)-calendar[[#This Row],[Count]]/7)&lt;0,I2880,I2880+1)</f>
        <v>412</v>
      </c>
      <c r="J2881">
        <f t="shared" si="224"/>
        <v>2879</v>
      </c>
      <c r="K2881">
        <f>IF(calendar[[#This Row],[Month]]&lt;4,1,IF(calendar[[#This Row],[Month]]&lt;7,2,IF(calendar[[#This Row],[Month]]&lt;10,3,4)))</f>
        <v>4</v>
      </c>
      <c r="L2881">
        <f>IFERROR(IF(VLOOKUP(calendar[[#This Row],[Date]],BH!A:A,1,)&lt;&gt;"",1,0),0)</f>
        <v>0</v>
      </c>
      <c r="M2881">
        <f>IFERROR(IF(VLOOKUP(calendar[[#This Row],[Date]],BH!C:C,1,)&lt;&gt;"",1,0),0)</f>
        <v>0</v>
      </c>
      <c r="N2881">
        <f>IFERROR(IF(VLOOKUP(calendar[[#This Row],[Date]],BH!E:E,1,)&lt;&gt;"",1,0),0)</f>
        <v>0</v>
      </c>
      <c r="O2881">
        <f>IFERROR(IF(VLOOKUP(calendar[[#This Row],[Date]],BH!G:G,1,)&lt;&gt;"",1,0),0)</f>
        <v>0</v>
      </c>
      <c r="P2881">
        <f>IF(OR(calendar[[#This Row],[UK_BH]]=1,calendar[[#This Row],[WeekDay]]=1, calendar[[#This Row],[WeekDay]]=7),P2880,P2880+1)</f>
        <v>2057</v>
      </c>
      <c r="Q2881">
        <f>IF(OR(calendar[[#This Row],[FR_BH]]=1,calendar[[#This Row],[WeekDay]]=1, calendar[[#This Row],[WeekDay]]=7),P2880,P2880+1)</f>
        <v>2057</v>
      </c>
      <c r="R2881">
        <f>IF(OR(calendar[[#This Row],[SP_BH]]=1,calendar[[#This Row],[WeekDay]]=1, calendar[[#This Row],[WeekDay]]=7),P2880,P2880+1)</f>
        <v>2057</v>
      </c>
      <c r="S2881">
        <f>IF(OR(calendar[[#This Row],[PT_BH]]=1,calendar[[#This Row],[WeekDay]]=1, calendar[[#This Row],[WeekDay]]=7),P2880,P2880+1)</f>
        <v>2057</v>
      </c>
    </row>
    <row r="2882" spans="1:19" x14ac:dyDescent="0.25">
      <c r="A2882" s="2">
        <v>45616</v>
      </c>
      <c r="B2882" s="1">
        <f t="shared" ref="B2882:B2945" si="228">WEEKNUM(A2882)</f>
        <v>47</v>
      </c>
      <c r="C2882">
        <f t="shared" si="225"/>
        <v>11</v>
      </c>
      <c r="D2882" t="str">
        <f t="shared" si="226"/>
        <v>November</v>
      </c>
      <c r="E2882">
        <f t="shared" si="227"/>
        <v>2024</v>
      </c>
      <c r="F2882" t="str">
        <f>CONCATENATE(calendar[[#This Row],[Month]],"/",calendar[[#This Row],[Year]])</f>
        <v>11/2024</v>
      </c>
      <c r="G2882">
        <f>WEEKDAY(calendar[[#This Row],[Date]],1)</f>
        <v>4</v>
      </c>
      <c r="H2882" t="str">
        <f>TEXT(calendar[[#This Row],[WeekDay]],"dddd")</f>
        <v>Wednesday</v>
      </c>
      <c r="I2882">
        <f>IF((INT(calendar[[#This Row],[Count]]/7)-calendar[[#This Row],[Count]]/7)&lt;0,I2881,I2881+1)</f>
        <v>412</v>
      </c>
      <c r="J2882">
        <f t="shared" si="224"/>
        <v>2880</v>
      </c>
      <c r="K2882">
        <f>IF(calendar[[#This Row],[Month]]&lt;4,1,IF(calendar[[#This Row],[Month]]&lt;7,2,IF(calendar[[#This Row],[Month]]&lt;10,3,4)))</f>
        <v>4</v>
      </c>
      <c r="L2882">
        <f>IFERROR(IF(VLOOKUP(calendar[[#This Row],[Date]],BH!A:A,1,)&lt;&gt;"",1,0),0)</f>
        <v>0</v>
      </c>
      <c r="M2882">
        <f>IFERROR(IF(VLOOKUP(calendar[[#This Row],[Date]],BH!C:C,1,)&lt;&gt;"",1,0),0)</f>
        <v>0</v>
      </c>
      <c r="N2882">
        <f>IFERROR(IF(VLOOKUP(calendar[[#This Row],[Date]],BH!E:E,1,)&lt;&gt;"",1,0),0)</f>
        <v>0</v>
      </c>
      <c r="O2882">
        <f>IFERROR(IF(VLOOKUP(calendar[[#This Row],[Date]],BH!G:G,1,)&lt;&gt;"",1,0),0)</f>
        <v>0</v>
      </c>
      <c r="P2882">
        <f>IF(OR(calendar[[#This Row],[UK_BH]]=1,calendar[[#This Row],[WeekDay]]=1, calendar[[#This Row],[WeekDay]]=7),P2881,P2881+1)</f>
        <v>2058</v>
      </c>
      <c r="Q2882">
        <f>IF(OR(calendar[[#This Row],[FR_BH]]=1,calendar[[#This Row],[WeekDay]]=1, calendar[[#This Row],[WeekDay]]=7),P2881,P2881+1)</f>
        <v>2058</v>
      </c>
      <c r="R2882">
        <f>IF(OR(calendar[[#This Row],[SP_BH]]=1,calendar[[#This Row],[WeekDay]]=1, calendar[[#This Row],[WeekDay]]=7),P2881,P2881+1)</f>
        <v>2058</v>
      </c>
      <c r="S2882">
        <f>IF(OR(calendar[[#This Row],[PT_BH]]=1,calendar[[#This Row],[WeekDay]]=1, calendar[[#This Row],[WeekDay]]=7),P2881,P2881+1)</f>
        <v>2058</v>
      </c>
    </row>
    <row r="2883" spans="1:19" x14ac:dyDescent="0.25">
      <c r="A2883" s="2">
        <v>45617</v>
      </c>
      <c r="B2883" s="1">
        <f t="shared" si="228"/>
        <v>47</v>
      </c>
      <c r="C2883">
        <f t="shared" si="225"/>
        <v>11</v>
      </c>
      <c r="D2883" t="str">
        <f t="shared" si="226"/>
        <v>November</v>
      </c>
      <c r="E2883">
        <f t="shared" si="227"/>
        <v>2024</v>
      </c>
      <c r="F2883" t="str">
        <f>CONCATENATE(calendar[[#This Row],[Month]],"/",calendar[[#This Row],[Year]])</f>
        <v>11/2024</v>
      </c>
      <c r="G2883">
        <f>WEEKDAY(calendar[[#This Row],[Date]],1)</f>
        <v>5</v>
      </c>
      <c r="H2883" t="str">
        <f>TEXT(calendar[[#This Row],[WeekDay]],"dddd")</f>
        <v>Thursday</v>
      </c>
      <c r="I2883">
        <f>IF((INT(calendar[[#This Row],[Count]]/7)-calendar[[#This Row],[Count]]/7)&lt;0,I2882,I2882+1)</f>
        <v>412</v>
      </c>
      <c r="J2883">
        <f t="shared" ref="J2883:J2946" si="229">J2882+1</f>
        <v>2881</v>
      </c>
      <c r="K2883">
        <f>IF(calendar[[#This Row],[Month]]&lt;4,1,IF(calendar[[#This Row],[Month]]&lt;7,2,IF(calendar[[#This Row],[Month]]&lt;10,3,4)))</f>
        <v>4</v>
      </c>
      <c r="L2883">
        <f>IFERROR(IF(VLOOKUP(calendar[[#This Row],[Date]],BH!A:A,1,)&lt;&gt;"",1,0),0)</f>
        <v>0</v>
      </c>
      <c r="M2883">
        <f>IFERROR(IF(VLOOKUP(calendar[[#This Row],[Date]],BH!C:C,1,)&lt;&gt;"",1,0),0)</f>
        <v>0</v>
      </c>
      <c r="N2883">
        <f>IFERROR(IF(VLOOKUP(calendar[[#This Row],[Date]],BH!E:E,1,)&lt;&gt;"",1,0),0)</f>
        <v>0</v>
      </c>
      <c r="O2883">
        <f>IFERROR(IF(VLOOKUP(calendar[[#This Row],[Date]],BH!G:G,1,)&lt;&gt;"",1,0),0)</f>
        <v>0</v>
      </c>
      <c r="P2883">
        <f>IF(OR(calendar[[#This Row],[UK_BH]]=1,calendar[[#This Row],[WeekDay]]=1, calendar[[#This Row],[WeekDay]]=7),P2882,P2882+1)</f>
        <v>2059</v>
      </c>
      <c r="Q2883">
        <f>IF(OR(calendar[[#This Row],[FR_BH]]=1,calendar[[#This Row],[WeekDay]]=1, calendar[[#This Row],[WeekDay]]=7),P2882,P2882+1)</f>
        <v>2059</v>
      </c>
      <c r="R2883">
        <f>IF(OR(calendar[[#This Row],[SP_BH]]=1,calendar[[#This Row],[WeekDay]]=1, calendar[[#This Row],[WeekDay]]=7),P2882,P2882+1)</f>
        <v>2059</v>
      </c>
      <c r="S2883">
        <f>IF(OR(calendar[[#This Row],[PT_BH]]=1,calendar[[#This Row],[WeekDay]]=1, calendar[[#This Row],[WeekDay]]=7),P2882,P2882+1)</f>
        <v>2059</v>
      </c>
    </row>
    <row r="2884" spans="1:19" x14ac:dyDescent="0.25">
      <c r="A2884" s="2">
        <v>45618</v>
      </c>
      <c r="B2884" s="1">
        <f t="shared" si="228"/>
        <v>47</v>
      </c>
      <c r="C2884">
        <f t="shared" si="225"/>
        <v>11</v>
      </c>
      <c r="D2884" t="str">
        <f t="shared" si="226"/>
        <v>November</v>
      </c>
      <c r="E2884">
        <f t="shared" si="227"/>
        <v>2024</v>
      </c>
      <c r="F2884" t="str">
        <f>CONCATENATE(calendar[[#This Row],[Month]],"/",calendar[[#This Row],[Year]])</f>
        <v>11/2024</v>
      </c>
      <c r="G2884">
        <f>WEEKDAY(calendar[[#This Row],[Date]],1)</f>
        <v>6</v>
      </c>
      <c r="H2884" t="str">
        <f>TEXT(calendar[[#This Row],[WeekDay]],"dddd")</f>
        <v>Friday</v>
      </c>
      <c r="I2884">
        <f>IF((INT(calendar[[#This Row],[Count]]/7)-calendar[[#This Row],[Count]]/7)&lt;0,I2883,I2883+1)</f>
        <v>412</v>
      </c>
      <c r="J2884">
        <f t="shared" si="229"/>
        <v>2882</v>
      </c>
      <c r="K2884">
        <f>IF(calendar[[#This Row],[Month]]&lt;4,1,IF(calendar[[#This Row],[Month]]&lt;7,2,IF(calendar[[#This Row],[Month]]&lt;10,3,4)))</f>
        <v>4</v>
      </c>
      <c r="L2884">
        <f>IFERROR(IF(VLOOKUP(calendar[[#This Row],[Date]],BH!A:A,1,)&lt;&gt;"",1,0),0)</f>
        <v>0</v>
      </c>
      <c r="M2884">
        <f>IFERROR(IF(VLOOKUP(calendar[[#This Row],[Date]],BH!C:C,1,)&lt;&gt;"",1,0),0)</f>
        <v>0</v>
      </c>
      <c r="N2884">
        <f>IFERROR(IF(VLOOKUP(calendar[[#This Row],[Date]],BH!E:E,1,)&lt;&gt;"",1,0),0)</f>
        <v>0</v>
      </c>
      <c r="O2884">
        <f>IFERROR(IF(VLOOKUP(calendar[[#This Row],[Date]],BH!G:G,1,)&lt;&gt;"",1,0),0)</f>
        <v>0</v>
      </c>
      <c r="P2884">
        <f>IF(OR(calendar[[#This Row],[UK_BH]]=1,calendar[[#This Row],[WeekDay]]=1, calendar[[#This Row],[WeekDay]]=7),P2883,P2883+1)</f>
        <v>2060</v>
      </c>
      <c r="Q2884">
        <f>IF(OR(calendar[[#This Row],[FR_BH]]=1,calendar[[#This Row],[WeekDay]]=1, calendar[[#This Row],[WeekDay]]=7),P2883,P2883+1)</f>
        <v>2060</v>
      </c>
      <c r="R2884">
        <f>IF(OR(calendar[[#This Row],[SP_BH]]=1,calendar[[#This Row],[WeekDay]]=1, calendar[[#This Row],[WeekDay]]=7),P2883,P2883+1)</f>
        <v>2060</v>
      </c>
      <c r="S2884">
        <f>IF(OR(calendar[[#This Row],[PT_BH]]=1,calendar[[#This Row],[WeekDay]]=1, calendar[[#This Row],[WeekDay]]=7),P2883,P2883+1)</f>
        <v>2060</v>
      </c>
    </row>
    <row r="2885" spans="1:19" x14ac:dyDescent="0.25">
      <c r="A2885" s="2">
        <v>45619</v>
      </c>
      <c r="B2885" s="1">
        <f t="shared" si="228"/>
        <v>47</v>
      </c>
      <c r="C2885">
        <f t="shared" si="225"/>
        <v>11</v>
      </c>
      <c r="D2885" t="str">
        <f t="shared" si="226"/>
        <v>November</v>
      </c>
      <c r="E2885">
        <f t="shared" si="227"/>
        <v>2024</v>
      </c>
      <c r="F2885" t="str">
        <f>CONCATENATE(calendar[[#This Row],[Month]],"/",calendar[[#This Row],[Year]])</f>
        <v>11/2024</v>
      </c>
      <c r="G2885">
        <f>WEEKDAY(calendar[[#This Row],[Date]],1)</f>
        <v>7</v>
      </c>
      <c r="H2885" t="str">
        <f>TEXT(calendar[[#This Row],[WeekDay]],"dddd")</f>
        <v>Saturday</v>
      </c>
      <c r="I2885">
        <f>IF((INT(calendar[[#This Row],[Count]]/7)-calendar[[#This Row],[Count]]/7)&lt;0,I2884,I2884+1)</f>
        <v>412</v>
      </c>
      <c r="J2885">
        <f t="shared" si="229"/>
        <v>2883</v>
      </c>
      <c r="K2885">
        <f>IF(calendar[[#This Row],[Month]]&lt;4,1,IF(calendar[[#This Row],[Month]]&lt;7,2,IF(calendar[[#This Row],[Month]]&lt;10,3,4)))</f>
        <v>4</v>
      </c>
      <c r="L2885">
        <f>IFERROR(IF(VLOOKUP(calendar[[#This Row],[Date]],BH!A:A,1,)&lt;&gt;"",1,0),0)</f>
        <v>0</v>
      </c>
      <c r="M2885">
        <f>IFERROR(IF(VLOOKUP(calendar[[#This Row],[Date]],BH!C:C,1,)&lt;&gt;"",1,0),0)</f>
        <v>0</v>
      </c>
      <c r="N2885">
        <f>IFERROR(IF(VLOOKUP(calendar[[#This Row],[Date]],BH!E:E,1,)&lt;&gt;"",1,0),0)</f>
        <v>0</v>
      </c>
      <c r="O2885">
        <f>IFERROR(IF(VLOOKUP(calendar[[#This Row],[Date]],BH!G:G,1,)&lt;&gt;"",1,0),0)</f>
        <v>0</v>
      </c>
      <c r="P2885">
        <f>IF(OR(calendar[[#This Row],[UK_BH]]=1,calendar[[#This Row],[WeekDay]]=1, calendar[[#This Row],[WeekDay]]=7),P2884,P2884+1)</f>
        <v>2060</v>
      </c>
      <c r="Q2885">
        <f>IF(OR(calendar[[#This Row],[FR_BH]]=1,calendar[[#This Row],[WeekDay]]=1, calendar[[#This Row],[WeekDay]]=7),P2884,P2884+1)</f>
        <v>2060</v>
      </c>
      <c r="R2885">
        <f>IF(OR(calendar[[#This Row],[SP_BH]]=1,calendar[[#This Row],[WeekDay]]=1, calendar[[#This Row],[WeekDay]]=7),P2884,P2884+1)</f>
        <v>2060</v>
      </c>
      <c r="S2885">
        <f>IF(OR(calendar[[#This Row],[PT_BH]]=1,calendar[[#This Row],[WeekDay]]=1, calendar[[#This Row],[WeekDay]]=7),P2884,P2884+1)</f>
        <v>2060</v>
      </c>
    </row>
    <row r="2886" spans="1:19" x14ac:dyDescent="0.25">
      <c r="A2886" s="2">
        <v>45620</v>
      </c>
      <c r="B2886" s="1">
        <f t="shared" si="228"/>
        <v>48</v>
      </c>
      <c r="C2886">
        <f t="shared" si="225"/>
        <v>11</v>
      </c>
      <c r="D2886" t="str">
        <f t="shared" si="226"/>
        <v>November</v>
      </c>
      <c r="E2886">
        <f t="shared" si="227"/>
        <v>2024</v>
      </c>
      <c r="F2886" t="str">
        <f>CONCATENATE(calendar[[#This Row],[Month]],"/",calendar[[#This Row],[Year]])</f>
        <v>11/2024</v>
      </c>
      <c r="G2886">
        <f>WEEKDAY(calendar[[#This Row],[Date]],1)</f>
        <v>1</v>
      </c>
      <c r="H2886" t="str">
        <f>TEXT(calendar[[#This Row],[WeekDay]],"dddd")</f>
        <v>Sunday</v>
      </c>
      <c r="I2886">
        <f>IF((INT(calendar[[#This Row],[Count]]/7)-calendar[[#This Row],[Count]]/7)&lt;0,I2885,I2885+1)</f>
        <v>413</v>
      </c>
      <c r="J2886">
        <f t="shared" si="229"/>
        <v>2884</v>
      </c>
      <c r="K2886">
        <f>IF(calendar[[#This Row],[Month]]&lt;4,1,IF(calendar[[#This Row],[Month]]&lt;7,2,IF(calendar[[#This Row],[Month]]&lt;10,3,4)))</f>
        <v>4</v>
      </c>
      <c r="L2886">
        <f>IFERROR(IF(VLOOKUP(calendar[[#This Row],[Date]],BH!A:A,1,)&lt;&gt;"",1,0),0)</f>
        <v>0</v>
      </c>
      <c r="M2886">
        <f>IFERROR(IF(VLOOKUP(calendar[[#This Row],[Date]],BH!C:C,1,)&lt;&gt;"",1,0),0)</f>
        <v>0</v>
      </c>
      <c r="N2886">
        <f>IFERROR(IF(VLOOKUP(calendar[[#This Row],[Date]],BH!E:E,1,)&lt;&gt;"",1,0),0)</f>
        <v>0</v>
      </c>
      <c r="O2886">
        <f>IFERROR(IF(VLOOKUP(calendar[[#This Row],[Date]],BH!G:G,1,)&lt;&gt;"",1,0),0)</f>
        <v>0</v>
      </c>
      <c r="P2886">
        <f>IF(OR(calendar[[#This Row],[UK_BH]]=1,calendar[[#This Row],[WeekDay]]=1, calendar[[#This Row],[WeekDay]]=7),P2885,P2885+1)</f>
        <v>2060</v>
      </c>
      <c r="Q2886">
        <f>IF(OR(calendar[[#This Row],[FR_BH]]=1,calendar[[#This Row],[WeekDay]]=1, calendar[[#This Row],[WeekDay]]=7),P2885,P2885+1)</f>
        <v>2060</v>
      </c>
      <c r="R2886">
        <f>IF(OR(calendar[[#This Row],[SP_BH]]=1,calendar[[#This Row],[WeekDay]]=1, calendar[[#This Row],[WeekDay]]=7),P2885,P2885+1)</f>
        <v>2060</v>
      </c>
      <c r="S2886">
        <f>IF(OR(calendar[[#This Row],[PT_BH]]=1,calendar[[#This Row],[WeekDay]]=1, calendar[[#This Row],[WeekDay]]=7),P2885,P2885+1)</f>
        <v>2060</v>
      </c>
    </row>
    <row r="2887" spans="1:19" x14ac:dyDescent="0.25">
      <c r="A2887" s="2">
        <v>45621</v>
      </c>
      <c r="B2887" s="1">
        <f t="shared" si="228"/>
        <v>48</v>
      </c>
      <c r="C2887">
        <f t="shared" si="225"/>
        <v>11</v>
      </c>
      <c r="D2887" t="str">
        <f t="shared" si="226"/>
        <v>November</v>
      </c>
      <c r="E2887">
        <f t="shared" si="227"/>
        <v>2024</v>
      </c>
      <c r="F2887" t="str">
        <f>CONCATENATE(calendar[[#This Row],[Month]],"/",calendar[[#This Row],[Year]])</f>
        <v>11/2024</v>
      </c>
      <c r="G2887">
        <f>WEEKDAY(calendar[[#This Row],[Date]],1)</f>
        <v>2</v>
      </c>
      <c r="H2887" t="str">
        <f>TEXT(calendar[[#This Row],[WeekDay]],"dddd")</f>
        <v>Monday</v>
      </c>
      <c r="I2887">
        <f>IF((INT(calendar[[#This Row],[Count]]/7)-calendar[[#This Row],[Count]]/7)&lt;0,I2886,I2886+1)</f>
        <v>413</v>
      </c>
      <c r="J2887">
        <f t="shared" si="229"/>
        <v>2885</v>
      </c>
      <c r="K2887">
        <f>IF(calendar[[#This Row],[Month]]&lt;4,1,IF(calendar[[#This Row],[Month]]&lt;7,2,IF(calendar[[#This Row],[Month]]&lt;10,3,4)))</f>
        <v>4</v>
      </c>
      <c r="L2887">
        <f>IFERROR(IF(VLOOKUP(calendar[[#This Row],[Date]],BH!A:A,1,)&lt;&gt;"",1,0),0)</f>
        <v>0</v>
      </c>
      <c r="M2887">
        <f>IFERROR(IF(VLOOKUP(calendar[[#This Row],[Date]],BH!C:C,1,)&lt;&gt;"",1,0),0)</f>
        <v>0</v>
      </c>
      <c r="N2887">
        <f>IFERROR(IF(VLOOKUP(calendar[[#This Row],[Date]],BH!E:E,1,)&lt;&gt;"",1,0),0)</f>
        <v>0</v>
      </c>
      <c r="O2887">
        <f>IFERROR(IF(VLOOKUP(calendar[[#This Row],[Date]],BH!G:G,1,)&lt;&gt;"",1,0),0)</f>
        <v>0</v>
      </c>
      <c r="P2887">
        <f>IF(OR(calendar[[#This Row],[UK_BH]]=1,calendar[[#This Row],[WeekDay]]=1, calendar[[#This Row],[WeekDay]]=7),P2886,P2886+1)</f>
        <v>2061</v>
      </c>
      <c r="Q2887">
        <f>IF(OR(calendar[[#This Row],[FR_BH]]=1,calendar[[#This Row],[WeekDay]]=1, calendar[[#This Row],[WeekDay]]=7),P2886,P2886+1)</f>
        <v>2061</v>
      </c>
      <c r="R2887">
        <f>IF(OR(calendar[[#This Row],[SP_BH]]=1,calendar[[#This Row],[WeekDay]]=1, calendar[[#This Row],[WeekDay]]=7),P2886,P2886+1)</f>
        <v>2061</v>
      </c>
      <c r="S2887">
        <f>IF(OR(calendar[[#This Row],[PT_BH]]=1,calendar[[#This Row],[WeekDay]]=1, calendar[[#This Row],[WeekDay]]=7),P2886,P2886+1)</f>
        <v>2061</v>
      </c>
    </row>
    <row r="2888" spans="1:19" x14ac:dyDescent="0.25">
      <c r="A2888" s="2">
        <v>45622</v>
      </c>
      <c r="B2888" s="1">
        <f t="shared" si="228"/>
        <v>48</v>
      </c>
      <c r="C2888">
        <f t="shared" si="225"/>
        <v>11</v>
      </c>
      <c r="D2888" t="str">
        <f t="shared" si="226"/>
        <v>November</v>
      </c>
      <c r="E2888">
        <f t="shared" si="227"/>
        <v>2024</v>
      </c>
      <c r="F2888" t="str">
        <f>CONCATENATE(calendar[[#This Row],[Month]],"/",calendar[[#This Row],[Year]])</f>
        <v>11/2024</v>
      </c>
      <c r="G2888">
        <f>WEEKDAY(calendar[[#This Row],[Date]],1)</f>
        <v>3</v>
      </c>
      <c r="H2888" t="str">
        <f>TEXT(calendar[[#This Row],[WeekDay]],"dddd")</f>
        <v>Tuesday</v>
      </c>
      <c r="I2888">
        <f>IF((INT(calendar[[#This Row],[Count]]/7)-calendar[[#This Row],[Count]]/7)&lt;0,I2887,I2887+1)</f>
        <v>413</v>
      </c>
      <c r="J2888">
        <f t="shared" si="229"/>
        <v>2886</v>
      </c>
      <c r="K2888">
        <f>IF(calendar[[#This Row],[Month]]&lt;4,1,IF(calendar[[#This Row],[Month]]&lt;7,2,IF(calendar[[#This Row],[Month]]&lt;10,3,4)))</f>
        <v>4</v>
      </c>
      <c r="L2888">
        <f>IFERROR(IF(VLOOKUP(calendar[[#This Row],[Date]],BH!A:A,1,)&lt;&gt;"",1,0),0)</f>
        <v>0</v>
      </c>
      <c r="M2888">
        <f>IFERROR(IF(VLOOKUP(calendar[[#This Row],[Date]],BH!C:C,1,)&lt;&gt;"",1,0),0)</f>
        <v>0</v>
      </c>
      <c r="N2888">
        <f>IFERROR(IF(VLOOKUP(calendar[[#This Row],[Date]],BH!E:E,1,)&lt;&gt;"",1,0),0)</f>
        <v>0</v>
      </c>
      <c r="O2888">
        <f>IFERROR(IF(VLOOKUP(calendar[[#This Row],[Date]],BH!G:G,1,)&lt;&gt;"",1,0),0)</f>
        <v>0</v>
      </c>
      <c r="P2888">
        <f>IF(OR(calendar[[#This Row],[UK_BH]]=1,calendar[[#This Row],[WeekDay]]=1, calendar[[#This Row],[WeekDay]]=7),P2887,P2887+1)</f>
        <v>2062</v>
      </c>
      <c r="Q2888">
        <f>IF(OR(calendar[[#This Row],[FR_BH]]=1,calendar[[#This Row],[WeekDay]]=1, calendar[[#This Row],[WeekDay]]=7),P2887,P2887+1)</f>
        <v>2062</v>
      </c>
      <c r="R2888">
        <f>IF(OR(calendar[[#This Row],[SP_BH]]=1,calendar[[#This Row],[WeekDay]]=1, calendar[[#This Row],[WeekDay]]=7),P2887,P2887+1)</f>
        <v>2062</v>
      </c>
      <c r="S2888">
        <f>IF(OR(calendar[[#This Row],[PT_BH]]=1,calendar[[#This Row],[WeekDay]]=1, calendar[[#This Row],[WeekDay]]=7),P2887,P2887+1)</f>
        <v>2062</v>
      </c>
    </row>
    <row r="2889" spans="1:19" x14ac:dyDescent="0.25">
      <c r="A2889" s="2">
        <v>45623</v>
      </c>
      <c r="B2889" s="1">
        <f t="shared" si="228"/>
        <v>48</v>
      </c>
      <c r="C2889">
        <f t="shared" si="225"/>
        <v>11</v>
      </c>
      <c r="D2889" t="str">
        <f t="shared" si="226"/>
        <v>November</v>
      </c>
      <c r="E2889">
        <f t="shared" si="227"/>
        <v>2024</v>
      </c>
      <c r="F2889" t="str">
        <f>CONCATENATE(calendar[[#This Row],[Month]],"/",calendar[[#This Row],[Year]])</f>
        <v>11/2024</v>
      </c>
      <c r="G2889">
        <f>WEEKDAY(calendar[[#This Row],[Date]],1)</f>
        <v>4</v>
      </c>
      <c r="H2889" t="str">
        <f>TEXT(calendar[[#This Row],[WeekDay]],"dddd")</f>
        <v>Wednesday</v>
      </c>
      <c r="I2889">
        <f>IF((INT(calendar[[#This Row],[Count]]/7)-calendar[[#This Row],[Count]]/7)&lt;0,I2888,I2888+1)</f>
        <v>413</v>
      </c>
      <c r="J2889">
        <f t="shared" si="229"/>
        <v>2887</v>
      </c>
      <c r="K2889">
        <f>IF(calendar[[#This Row],[Month]]&lt;4,1,IF(calendar[[#This Row],[Month]]&lt;7,2,IF(calendar[[#This Row],[Month]]&lt;10,3,4)))</f>
        <v>4</v>
      </c>
      <c r="L2889">
        <f>IFERROR(IF(VLOOKUP(calendar[[#This Row],[Date]],BH!A:A,1,)&lt;&gt;"",1,0),0)</f>
        <v>0</v>
      </c>
      <c r="M2889">
        <f>IFERROR(IF(VLOOKUP(calendar[[#This Row],[Date]],BH!C:C,1,)&lt;&gt;"",1,0),0)</f>
        <v>0</v>
      </c>
      <c r="N2889">
        <f>IFERROR(IF(VLOOKUP(calendar[[#This Row],[Date]],BH!E:E,1,)&lt;&gt;"",1,0),0)</f>
        <v>0</v>
      </c>
      <c r="O2889">
        <f>IFERROR(IF(VLOOKUP(calendar[[#This Row],[Date]],BH!G:G,1,)&lt;&gt;"",1,0),0)</f>
        <v>0</v>
      </c>
      <c r="P2889">
        <f>IF(OR(calendar[[#This Row],[UK_BH]]=1,calendar[[#This Row],[WeekDay]]=1, calendar[[#This Row],[WeekDay]]=7),P2888,P2888+1)</f>
        <v>2063</v>
      </c>
      <c r="Q2889">
        <f>IF(OR(calendar[[#This Row],[FR_BH]]=1,calendar[[#This Row],[WeekDay]]=1, calendar[[#This Row],[WeekDay]]=7),P2888,P2888+1)</f>
        <v>2063</v>
      </c>
      <c r="R2889">
        <f>IF(OR(calendar[[#This Row],[SP_BH]]=1,calendar[[#This Row],[WeekDay]]=1, calendar[[#This Row],[WeekDay]]=7),P2888,P2888+1)</f>
        <v>2063</v>
      </c>
      <c r="S2889">
        <f>IF(OR(calendar[[#This Row],[PT_BH]]=1,calendar[[#This Row],[WeekDay]]=1, calendar[[#This Row],[WeekDay]]=7),P2888,P2888+1)</f>
        <v>2063</v>
      </c>
    </row>
    <row r="2890" spans="1:19" x14ac:dyDescent="0.25">
      <c r="A2890" s="2">
        <v>45624</v>
      </c>
      <c r="B2890" s="1">
        <f t="shared" si="228"/>
        <v>48</v>
      </c>
      <c r="C2890">
        <f t="shared" si="225"/>
        <v>11</v>
      </c>
      <c r="D2890" t="str">
        <f t="shared" si="226"/>
        <v>November</v>
      </c>
      <c r="E2890">
        <f t="shared" si="227"/>
        <v>2024</v>
      </c>
      <c r="F2890" t="str">
        <f>CONCATENATE(calendar[[#This Row],[Month]],"/",calendar[[#This Row],[Year]])</f>
        <v>11/2024</v>
      </c>
      <c r="G2890">
        <f>WEEKDAY(calendar[[#This Row],[Date]],1)</f>
        <v>5</v>
      </c>
      <c r="H2890" t="str">
        <f>TEXT(calendar[[#This Row],[WeekDay]],"dddd")</f>
        <v>Thursday</v>
      </c>
      <c r="I2890">
        <f>IF((INT(calendar[[#This Row],[Count]]/7)-calendar[[#This Row],[Count]]/7)&lt;0,I2889,I2889+1)</f>
        <v>413</v>
      </c>
      <c r="J2890">
        <f t="shared" si="229"/>
        <v>2888</v>
      </c>
      <c r="K2890">
        <f>IF(calendar[[#This Row],[Month]]&lt;4,1,IF(calendar[[#This Row],[Month]]&lt;7,2,IF(calendar[[#This Row],[Month]]&lt;10,3,4)))</f>
        <v>4</v>
      </c>
      <c r="L2890">
        <f>IFERROR(IF(VLOOKUP(calendar[[#This Row],[Date]],BH!A:A,1,)&lt;&gt;"",1,0),0)</f>
        <v>0</v>
      </c>
      <c r="M2890">
        <f>IFERROR(IF(VLOOKUP(calendar[[#This Row],[Date]],BH!C:C,1,)&lt;&gt;"",1,0),0)</f>
        <v>0</v>
      </c>
      <c r="N2890">
        <f>IFERROR(IF(VLOOKUP(calendar[[#This Row],[Date]],BH!E:E,1,)&lt;&gt;"",1,0),0)</f>
        <v>0</v>
      </c>
      <c r="O2890">
        <f>IFERROR(IF(VLOOKUP(calendar[[#This Row],[Date]],BH!G:G,1,)&lt;&gt;"",1,0),0)</f>
        <v>0</v>
      </c>
      <c r="P2890">
        <f>IF(OR(calendar[[#This Row],[UK_BH]]=1,calendar[[#This Row],[WeekDay]]=1, calendar[[#This Row],[WeekDay]]=7),P2889,P2889+1)</f>
        <v>2064</v>
      </c>
      <c r="Q2890">
        <f>IF(OR(calendar[[#This Row],[FR_BH]]=1,calendar[[#This Row],[WeekDay]]=1, calendar[[#This Row],[WeekDay]]=7),P2889,P2889+1)</f>
        <v>2064</v>
      </c>
      <c r="R2890">
        <f>IF(OR(calendar[[#This Row],[SP_BH]]=1,calendar[[#This Row],[WeekDay]]=1, calendar[[#This Row],[WeekDay]]=7),P2889,P2889+1)</f>
        <v>2064</v>
      </c>
      <c r="S2890">
        <f>IF(OR(calendar[[#This Row],[PT_BH]]=1,calendar[[#This Row],[WeekDay]]=1, calendar[[#This Row],[WeekDay]]=7),P2889,P2889+1)</f>
        <v>2064</v>
      </c>
    </row>
    <row r="2891" spans="1:19" x14ac:dyDescent="0.25">
      <c r="A2891" s="2">
        <v>45625</v>
      </c>
      <c r="B2891" s="1">
        <f t="shared" si="228"/>
        <v>48</v>
      </c>
      <c r="C2891">
        <f t="shared" si="225"/>
        <v>11</v>
      </c>
      <c r="D2891" t="str">
        <f t="shared" si="226"/>
        <v>November</v>
      </c>
      <c r="E2891">
        <f t="shared" si="227"/>
        <v>2024</v>
      </c>
      <c r="F2891" t="str">
        <f>CONCATENATE(calendar[[#This Row],[Month]],"/",calendar[[#This Row],[Year]])</f>
        <v>11/2024</v>
      </c>
      <c r="G2891">
        <f>WEEKDAY(calendar[[#This Row],[Date]],1)</f>
        <v>6</v>
      </c>
      <c r="H2891" t="str">
        <f>TEXT(calendar[[#This Row],[WeekDay]],"dddd")</f>
        <v>Friday</v>
      </c>
      <c r="I2891">
        <f>IF((INT(calendar[[#This Row],[Count]]/7)-calendar[[#This Row],[Count]]/7)&lt;0,I2890,I2890+1)</f>
        <v>413</v>
      </c>
      <c r="J2891">
        <f t="shared" si="229"/>
        <v>2889</v>
      </c>
      <c r="K2891">
        <f>IF(calendar[[#This Row],[Month]]&lt;4,1,IF(calendar[[#This Row],[Month]]&lt;7,2,IF(calendar[[#This Row],[Month]]&lt;10,3,4)))</f>
        <v>4</v>
      </c>
      <c r="L2891">
        <f>IFERROR(IF(VLOOKUP(calendar[[#This Row],[Date]],BH!A:A,1,)&lt;&gt;"",1,0),0)</f>
        <v>0</v>
      </c>
      <c r="M2891">
        <f>IFERROR(IF(VLOOKUP(calendar[[#This Row],[Date]],BH!C:C,1,)&lt;&gt;"",1,0),0)</f>
        <v>0</v>
      </c>
      <c r="N2891">
        <f>IFERROR(IF(VLOOKUP(calendar[[#This Row],[Date]],BH!E:E,1,)&lt;&gt;"",1,0),0)</f>
        <v>0</v>
      </c>
      <c r="O2891">
        <f>IFERROR(IF(VLOOKUP(calendar[[#This Row],[Date]],BH!G:G,1,)&lt;&gt;"",1,0),0)</f>
        <v>0</v>
      </c>
      <c r="P2891">
        <f>IF(OR(calendar[[#This Row],[UK_BH]]=1,calendar[[#This Row],[WeekDay]]=1, calendar[[#This Row],[WeekDay]]=7),P2890,P2890+1)</f>
        <v>2065</v>
      </c>
      <c r="Q2891">
        <f>IF(OR(calendar[[#This Row],[FR_BH]]=1,calendar[[#This Row],[WeekDay]]=1, calendar[[#This Row],[WeekDay]]=7),P2890,P2890+1)</f>
        <v>2065</v>
      </c>
      <c r="R2891">
        <f>IF(OR(calendar[[#This Row],[SP_BH]]=1,calendar[[#This Row],[WeekDay]]=1, calendar[[#This Row],[WeekDay]]=7),P2890,P2890+1)</f>
        <v>2065</v>
      </c>
      <c r="S2891">
        <f>IF(OR(calendar[[#This Row],[PT_BH]]=1,calendar[[#This Row],[WeekDay]]=1, calendar[[#This Row],[WeekDay]]=7),P2890,P2890+1)</f>
        <v>2065</v>
      </c>
    </row>
    <row r="2892" spans="1:19" x14ac:dyDescent="0.25">
      <c r="A2892" s="2">
        <v>45626</v>
      </c>
      <c r="B2892" s="1">
        <f t="shared" si="228"/>
        <v>48</v>
      </c>
      <c r="C2892">
        <f t="shared" si="225"/>
        <v>11</v>
      </c>
      <c r="D2892" t="str">
        <f t="shared" si="226"/>
        <v>November</v>
      </c>
      <c r="E2892">
        <f t="shared" si="227"/>
        <v>2024</v>
      </c>
      <c r="F2892" t="str">
        <f>CONCATENATE(calendar[[#This Row],[Month]],"/",calendar[[#This Row],[Year]])</f>
        <v>11/2024</v>
      </c>
      <c r="G2892">
        <f>WEEKDAY(calendar[[#This Row],[Date]],1)</f>
        <v>7</v>
      </c>
      <c r="H2892" t="str">
        <f>TEXT(calendar[[#This Row],[WeekDay]],"dddd")</f>
        <v>Saturday</v>
      </c>
      <c r="I2892">
        <f>IF((INT(calendar[[#This Row],[Count]]/7)-calendar[[#This Row],[Count]]/7)&lt;0,I2891,I2891+1)</f>
        <v>413</v>
      </c>
      <c r="J2892">
        <f t="shared" si="229"/>
        <v>2890</v>
      </c>
      <c r="K2892">
        <f>IF(calendar[[#This Row],[Month]]&lt;4,1,IF(calendar[[#This Row],[Month]]&lt;7,2,IF(calendar[[#This Row],[Month]]&lt;10,3,4)))</f>
        <v>4</v>
      </c>
      <c r="L2892">
        <f>IFERROR(IF(VLOOKUP(calendar[[#This Row],[Date]],BH!A:A,1,)&lt;&gt;"",1,0),0)</f>
        <v>0</v>
      </c>
      <c r="M2892">
        <f>IFERROR(IF(VLOOKUP(calendar[[#This Row],[Date]],BH!C:C,1,)&lt;&gt;"",1,0),0)</f>
        <v>0</v>
      </c>
      <c r="N2892">
        <f>IFERROR(IF(VLOOKUP(calendar[[#This Row],[Date]],BH!E:E,1,)&lt;&gt;"",1,0),0)</f>
        <v>0</v>
      </c>
      <c r="O2892">
        <f>IFERROR(IF(VLOOKUP(calendar[[#This Row],[Date]],BH!G:G,1,)&lt;&gt;"",1,0),0)</f>
        <v>0</v>
      </c>
      <c r="P2892">
        <f>IF(OR(calendar[[#This Row],[UK_BH]]=1,calendar[[#This Row],[WeekDay]]=1, calendar[[#This Row],[WeekDay]]=7),P2891,P2891+1)</f>
        <v>2065</v>
      </c>
      <c r="Q2892">
        <f>IF(OR(calendar[[#This Row],[FR_BH]]=1,calendar[[#This Row],[WeekDay]]=1, calendar[[#This Row],[WeekDay]]=7),P2891,P2891+1)</f>
        <v>2065</v>
      </c>
      <c r="R2892">
        <f>IF(OR(calendar[[#This Row],[SP_BH]]=1,calendar[[#This Row],[WeekDay]]=1, calendar[[#This Row],[WeekDay]]=7),P2891,P2891+1)</f>
        <v>2065</v>
      </c>
      <c r="S2892">
        <f>IF(OR(calendar[[#This Row],[PT_BH]]=1,calendar[[#This Row],[WeekDay]]=1, calendar[[#This Row],[WeekDay]]=7),P2891,P2891+1)</f>
        <v>2065</v>
      </c>
    </row>
    <row r="2893" spans="1:19" x14ac:dyDescent="0.25">
      <c r="A2893" s="2">
        <v>45627</v>
      </c>
      <c r="B2893" s="1">
        <f t="shared" si="228"/>
        <v>49</v>
      </c>
      <c r="C2893">
        <f t="shared" si="225"/>
        <v>12</v>
      </c>
      <c r="D2893" t="str">
        <f t="shared" si="226"/>
        <v>December</v>
      </c>
      <c r="E2893">
        <f t="shared" si="227"/>
        <v>2024</v>
      </c>
      <c r="F2893" t="str">
        <f>CONCATENATE(calendar[[#This Row],[Month]],"/",calendar[[#This Row],[Year]])</f>
        <v>12/2024</v>
      </c>
      <c r="G2893">
        <f>WEEKDAY(calendar[[#This Row],[Date]],1)</f>
        <v>1</v>
      </c>
      <c r="H2893" t="str">
        <f>TEXT(calendar[[#This Row],[WeekDay]],"dddd")</f>
        <v>Sunday</v>
      </c>
      <c r="I2893">
        <f>IF((INT(calendar[[#This Row],[Count]]/7)-calendar[[#This Row],[Count]]/7)&lt;0,I2892,I2892+1)</f>
        <v>414</v>
      </c>
      <c r="J2893">
        <f t="shared" si="229"/>
        <v>2891</v>
      </c>
      <c r="K2893">
        <f>IF(calendar[[#This Row],[Month]]&lt;4,1,IF(calendar[[#This Row],[Month]]&lt;7,2,IF(calendar[[#This Row],[Month]]&lt;10,3,4)))</f>
        <v>4</v>
      </c>
      <c r="L2893">
        <f>IFERROR(IF(VLOOKUP(calendar[[#This Row],[Date]],BH!A:A,1,)&lt;&gt;"",1,0),0)</f>
        <v>0</v>
      </c>
      <c r="M2893">
        <f>IFERROR(IF(VLOOKUP(calendar[[#This Row],[Date]],BH!C:C,1,)&lt;&gt;"",1,0),0)</f>
        <v>0</v>
      </c>
      <c r="N2893">
        <f>IFERROR(IF(VLOOKUP(calendar[[#This Row],[Date]],BH!E:E,1,)&lt;&gt;"",1,0),0)</f>
        <v>0</v>
      </c>
      <c r="O2893">
        <f>IFERROR(IF(VLOOKUP(calendar[[#This Row],[Date]],BH!G:G,1,)&lt;&gt;"",1,0),0)</f>
        <v>0</v>
      </c>
      <c r="P2893">
        <f>IF(OR(calendar[[#This Row],[UK_BH]]=1,calendar[[#This Row],[WeekDay]]=1, calendar[[#This Row],[WeekDay]]=7),P2892,P2892+1)</f>
        <v>2065</v>
      </c>
      <c r="Q2893">
        <f>IF(OR(calendar[[#This Row],[FR_BH]]=1,calendar[[#This Row],[WeekDay]]=1, calendar[[#This Row],[WeekDay]]=7),P2892,P2892+1)</f>
        <v>2065</v>
      </c>
      <c r="R2893">
        <f>IF(OR(calendar[[#This Row],[SP_BH]]=1,calendar[[#This Row],[WeekDay]]=1, calendar[[#This Row],[WeekDay]]=7),P2892,P2892+1)</f>
        <v>2065</v>
      </c>
      <c r="S2893">
        <f>IF(OR(calendar[[#This Row],[PT_BH]]=1,calendar[[#This Row],[WeekDay]]=1, calendar[[#This Row],[WeekDay]]=7),P2892,P2892+1)</f>
        <v>2065</v>
      </c>
    </row>
    <row r="2894" spans="1:19" x14ac:dyDescent="0.25">
      <c r="A2894" s="2">
        <v>45628</v>
      </c>
      <c r="B2894" s="1">
        <f t="shared" si="228"/>
        <v>49</v>
      </c>
      <c r="C2894">
        <f t="shared" si="225"/>
        <v>12</v>
      </c>
      <c r="D2894" t="str">
        <f t="shared" si="226"/>
        <v>December</v>
      </c>
      <c r="E2894">
        <f t="shared" si="227"/>
        <v>2024</v>
      </c>
      <c r="F2894" t="str">
        <f>CONCATENATE(calendar[[#This Row],[Month]],"/",calendar[[#This Row],[Year]])</f>
        <v>12/2024</v>
      </c>
      <c r="G2894">
        <f>WEEKDAY(calendar[[#This Row],[Date]],1)</f>
        <v>2</v>
      </c>
      <c r="H2894" t="str">
        <f>TEXT(calendar[[#This Row],[WeekDay]],"dddd")</f>
        <v>Monday</v>
      </c>
      <c r="I2894">
        <f>IF((INT(calendar[[#This Row],[Count]]/7)-calendar[[#This Row],[Count]]/7)&lt;0,I2893,I2893+1)</f>
        <v>414</v>
      </c>
      <c r="J2894">
        <f t="shared" si="229"/>
        <v>2892</v>
      </c>
      <c r="K2894">
        <f>IF(calendar[[#This Row],[Month]]&lt;4,1,IF(calendar[[#This Row],[Month]]&lt;7,2,IF(calendar[[#This Row],[Month]]&lt;10,3,4)))</f>
        <v>4</v>
      </c>
      <c r="L2894">
        <f>IFERROR(IF(VLOOKUP(calendar[[#This Row],[Date]],BH!A:A,1,)&lt;&gt;"",1,0),0)</f>
        <v>0</v>
      </c>
      <c r="M2894">
        <f>IFERROR(IF(VLOOKUP(calendar[[#This Row],[Date]],BH!C:C,1,)&lt;&gt;"",1,0),0)</f>
        <v>0</v>
      </c>
      <c r="N2894">
        <f>IFERROR(IF(VLOOKUP(calendar[[#This Row],[Date]],BH!E:E,1,)&lt;&gt;"",1,0),0)</f>
        <v>0</v>
      </c>
      <c r="O2894">
        <f>IFERROR(IF(VLOOKUP(calendar[[#This Row],[Date]],BH!G:G,1,)&lt;&gt;"",1,0),0)</f>
        <v>0</v>
      </c>
      <c r="P2894">
        <f>IF(OR(calendar[[#This Row],[UK_BH]]=1,calendar[[#This Row],[WeekDay]]=1, calendar[[#This Row],[WeekDay]]=7),P2893,P2893+1)</f>
        <v>2066</v>
      </c>
      <c r="Q2894">
        <f>IF(OR(calendar[[#This Row],[FR_BH]]=1,calendar[[#This Row],[WeekDay]]=1, calendar[[#This Row],[WeekDay]]=7),P2893,P2893+1)</f>
        <v>2066</v>
      </c>
      <c r="R2894">
        <f>IF(OR(calendar[[#This Row],[SP_BH]]=1,calendar[[#This Row],[WeekDay]]=1, calendar[[#This Row],[WeekDay]]=7),P2893,P2893+1)</f>
        <v>2066</v>
      </c>
      <c r="S2894">
        <f>IF(OR(calendar[[#This Row],[PT_BH]]=1,calendar[[#This Row],[WeekDay]]=1, calendar[[#This Row],[WeekDay]]=7),P2893,P2893+1)</f>
        <v>2066</v>
      </c>
    </row>
    <row r="2895" spans="1:19" x14ac:dyDescent="0.25">
      <c r="A2895" s="2">
        <v>45629</v>
      </c>
      <c r="B2895" s="1">
        <f t="shared" si="228"/>
        <v>49</v>
      </c>
      <c r="C2895">
        <f t="shared" si="225"/>
        <v>12</v>
      </c>
      <c r="D2895" t="str">
        <f t="shared" si="226"/>
        <v>December</v>
      </c>
      <c r="E2895">
        <f t="shared" si="227"/>
        <v>2024</v>
      </c>
      <c r="F2895" t="str">
        <f>CONCATENATE(calendar[[#This Row],[Month]],"/",calendar[[#This Row],[Year]])</f>
        <v>12/2024</v>
      </c>
      <c r="G2895">
        <f>WEEKDAY(calendar[[#This Row],[Date]],1)</f>
        <v>3</v>
      </c>
      <c r="H2895" t="str">
        <f>TEXT(calendar[[#This Row],[WeekDay]],"dddd")</f>
        <v>Tuesday</v>
      </c>
      <c r="I2895">
        <f>IF((INT(calendar[[#This Row],[Count]]/7)-calendar[[#This Row],[Count]]/7)&lt;0,I2894,I2894+1)</f>
        <v>414</v>
      </c>
      <c r="J2895">
        <f t="shared" si="229"/>
        <v>2893</v>
      </c>
      <c r="K2895">
        <f>IF(calendar[[#This Row],[Month]]&lt;4,1,IF(calendar[[#This Row],[Month]]&lt;7,2,IF(calendar[[#This Row],[Month]]&lt;10,3,4)))</f>
        <v>4</v>
      </c>
      <c r="L2895">
        <f>IFERROR(IF(VLOOKUP(calendar[[#This Row],[Date]],BH!A:A,1,)&lt;&gt;"",1,0),0)</f>
        <v>0</v>
      </c>
      <c r="M2895">
        <f>IFERROR(IF(VLOOKUP(calendar[[#This Row],[Date]],BH!C:C,1,)&lt;&gt;"",1,0),0)</f>
        <v>0</v>
      </c>
      <c r="N2895">
        <f>IFERROR(IF(VLOOKUP(calendar[[#This Row],[Date]],BH!E:E,1,)&lt;&gt;"",1,0),0)</f>
        <v>0</v>
      </c>
      <c r="O2895">
        <f>IFERROR(IF(VLOOKUP(calendar[[#This Row],[Date]],BH!G:G,1,)&lt;&gt;"",1,0),0)</f>
        <v>0</v>
      </c>
      <c r="P2895">
        <f>IF(OR(calendar[[#This Row],[UK_BH]]=1,calendar[[#This Row],[WeekDay]]=1, calendar[[#This Row],[WeekDay]]=7),P2894,P2894+1)</f>
        <v>2067</v>
      </c>
      <c r="Q2895">
        <f>IF(OR(calendar[[#This Row],[FR_BH]]=1,calendar[[#This Row],[WeekDay]]=1, calendar[[#This Row],[WeekDay]]=7),P2894,P2894+1)</f>
        <v>2067</v>
      </c>
      <c r="R2895">
        <f>IF(OR(calendar[[#This Row],[SP_BH]]=1,calendar[[#This Row],[WeekDay]]=1, calendar[[#This Row],[WeekDay]]=7),P2894,P2894+1)</f>
        <v>2067</v>
      </c>
      <c r="S2895">
        <f>IF(OR(calendar[[#This Row],[PT_BH]]=1,calendar[[#This Row],[WeekDay]]=1, calendar[[#This Row],[WeekDay]]=7),P2894,P2894+1)</f>
        <v>2067</v>
      </c>
    </row>
    <row r="2896" spans="1:19" x14ac:dyDescent="0.25">
      <c r="A2896" s="2">
        <v>45630</v>
      </c>
      <c r="B2896" s="1">
        <f t="shared" si="228"/>
        <v>49</v>
      </c>
      <c r="C2896">
        <f t="shared" ref="C2896:C2959" si="230">MONTH(A2896)</f>
        <v>12</v>
      </c>
      <c r="D2896" t="str">
        <f t="shared" ref="D2896:D2959" si="231">TEXT(A2896,"mmmm")</f>
        <v>December</v>
      </c>
      <c r="E2896">
        <f t="shared" ref="E2896:E2959" si="232">YEAR(A2896)</f>
        <v>2024</v>
      </c>
      <c r="F2896" t="str">
        <f>CONCATENATE(calendar[[#This Row],[Month]],"/",calendar[[#This Row],[Year]])</f>
        <v>12/2024</v>
      </c>
      <c r="G2896">
        <f>WEEKDAY(calendar[[#This Row],[Date]],1)</f>
        <v>4</v>
      </c>
      <c r="H2896" t="str">
        <f>TEXT(calendar[[#This Row],[WeekDay]],"dddd")</f>
        <v>Wednesday</v>
      </c>
      <c r="I2896">
        <f>IF((INT(calendar[[#This Row],[Count]]/7)-calendar[[#This Row],[Count]]/7)&lt;0,I2895,I2895+1)</f>
        <v>414</v>
      </c>
      <c r="J2896">
        <f t="shared" si="229"/>
        <v>2894</v>
      </c>
      <c r="K2896">
        <f>IF(calendar[[#This Row],[Month]]&lt;4,1,IF(calendar[[#This Row],[Month]]&lt;7,2,IF(calendar[[#This Row],[Month]]&lt;10,3,4)))</f>
        <v>4</v>
      </c>
      <c r="L2896">
        <f>IFERROR(IF(VLOOKUP(calendar[[#This Row],[Date]],BH!A:A,1,)&lt;&gt;"",1,0),0)</f>
        <v>0</v>
      </c>
      <c r="M2896">
        <f>IFERROR(IF(VLOOKUP(calendar[[#This Row],[Date]],BH!C:C,1,)&lt;&gt;"",1,0),0)</f>
        <v>0</v>
      </c>
      <c r="N2896">
        <f>IFERROR(IF(VLOOKUP(calendar[[#This Row],[Date]],BH!E:E,1,)&lt;&gt;"",1,0),0)</f>
        <v>0</v>
      </c>
      <c r="O2896">
        <f>IFERROR(IF(VLOOKUP(calendar[[#This Row],[Date]],BH!G:G,1,)&lt;&gt;"",1,0),0)</f>
        <v>0</v>
      </c>
      <c r="P2896">
        <f>IF(OR(calendar[[#This Row],[UK_BH]]=1,calendar[[#This Row],[WeekDay]]=1, calendar[[#This Row],[WeekDay]]=7),P2895,P2895+1)</f>
        <v>2068</v>
      </c>
      <c r="Q2896">
        <f>IF(OR(calendar[[#This Row],[FR_BH]]=1,calendar[[#This Row],[WeekDay]]=1, calendar[[#This Row],[WeekDay]]=7),P2895,P2895+1)</f>
        <v>2068</v>
      </c>
      <c r="R2896">
        <f>IF(OR(calendar[[#This Row],[SP_BH]]=1,calendar[[#This Row],[WeekDay]]=1, calendar[[#This Row],[WeekDay]]=7),P2895,P2895+1)</f>
        <v>2068</v>
      </c>
      <c r="S2896">
        <f>IF(OR(calendar[[#This Row],[PT_BH]]=1,calendar[[#This Row],[WeekDay]]=1, calendar[[#This Row],[WeekDay]]=7),P2895,P2895+1)</f>
        <v>2068</v>
      </c>
    </row>
    <row r="2897" spans="1:19" x14ac:dyDescent="0.25">
      <c r="A2897" s="2">
        <v>45631</v>
      </c>
      <c r="B2897" s="1">
        <f t="shared" si="228"/>
        <v>49</v>
      </c>
      <c r="C2897">
        <f t="shared" si="230"/>
        <v>12</v>
      </c>
      <c r="D2897" t="str">
        <f t="shared" si="231"/>
        <v>December</v>
      </c>
      <c r="E2897">
        <f t="shared" si="232"/>
        <v>2024</v>
      </c>
      <c r="F2897" t="str">
        <f>CONCATENATE(calendar[[#This Row],[Month]],"/",calendar[[#This Row],[Year]])</f>
        <v>12/2024</v>
      </c>
      <c r="G2897">
        <f>WEEKDAY(calendar[[#This Row],[Date]],1)</f>
        <v>5</v>
      </c>
      <c r="H2897" t="str">
        <f>TEXT(calendar[[#This Row],[WeekDay]],"dddd")</f>
        <v>Thursday</v>
      </c>
      <c r="I2897">
        <f>IF((INT(calendar[[#This Row],[Count]]/7)-calendar[[#This Row],[Count]]/7)&lt;0,I2896,I2896+1)</f>
        <v>414</v>
      </c>
      <c r="J2897">
        <f t="shared" si="229"/>
        <v>2895</v>
      </c>
      <c r="K2897">
        <f>IF(calendar[[#This Row],[Month]]&lt;4,1,IF(calendar[[#This Row],[Month]]&lt;7,2,IF(calendar[[#This Row],[Month]]&lt;10,3,4)))</f>
        <v>4</v>
      </c>
      <c r="L2897">
        <f>IFERROR(IF(VLOOKUP(calendar[[#This Row],[Date]],BH!A:A,1,)&lt;&gt;"",1,0),0)</f>
        <v>0</v>
      </c>
      <c r="M2897">
        <f>IFERROR(IF(VLOOKUP(calendar[[#This Row],[Date]],BH!C:C,1,)&lt;&gt;"",1,0),0)</f>
        <v>0</v>
      </c>
      <c r="N2897">
        <f>IFERROR(IF(VLOOKUP(calendar[[#This Row],[Date]],BH!E:E,1,)&lt;&gt;"",1,0),0)</f>
        <v>0</v>
      </c>
      <c r="O2897">
        <f>IFERROR(IF(VLOOKUP(calendar[[#This Row],[Date]],BH!G:G,1,)&lt;&gt;"",1,0),0)</f>
        <v>0</v>
      </c>
      <c r="P2897">
        <f>IF(OR(calendar[[#This Row],[UK_BH]]=1,calendar[[#This Row],[WeekDay]]=1, calendar[[#This Row],[WeekDay]]=7),P2896,P2896+1)</f>
        <v>2069</v>
      </c>
      <c r="Q2897">
        <f>IF(OR(calendar[[#This Row],[FR_BH]]=1,calendar[[#This Row],[WeekDay]]=1, calendar[[#This Row],[WeekDay]]=7),P2896,P2896+1)</f>
        <v>2069</v>
      </c>
      <c r="R2897">
        <f>IF(OR(calendar[[#This Row],[SP_BH]]=1,calendar[[#This Row],[WeekDay]]=1, calendar[[#This Row],[WeekDay]]=7),P2896,P2896+1)</f>
        <v>2069</v>
      </c>
      <c r="S2897">
        <f>IF(OR(calendar[[#This Row],[PT_BH]]=1,calendar[[#This Row],[WeekDay]]=1, calendar[[#This Row],[WeekDay]]=7),P2896,P2896+1)</f>
        <v>2069</v>
      </c>
    </row>
    <row r="2898" spans="1:19" x14ac:dyDescent="0.25">
      <c r="A2898" s="2">
        <v>45632</v>
      </c>
      <c r="B2898" s="1">
        <f t="shared" si="228"/>
        <v>49</v>
      </c>
      <c r="C2898">
        <f t="shared" si="230"/>
        <v>12</v>
      </c>
      <c r="D2898" t="str">
        <f t="shared" si="231"/>
        <v>December</v>
      </c>
      <c r="E2898">
        <f t="shared" si="232"/>
        <v>2024</v>
      </c>
      <c r="F2898" t="str">
        <f>CONCATENATE(calendar[[#This Row],[Month]],"/",calendar[[#This Row],[Year]])</f>
        <v>12/2024</v>
      </c>
      <c r="G2898">
        <f>WEEKDAY(calendar[[#This Row],[Date]],1)</f>
        <v>6</v>
      </c>
      <c r="H2898" t="str">
        <f>TEXT(calendar[[#This Row],[WeekDay]],"dddd")</f>
        <v>Friday</v>
      </c>
      <c r="I2898">
        <f>IF((INT(calendar[[#This Row],[Count]]/7)-calendar[[#This Row],[Count]]/7)&lt;0,I2897,I2897+1)</f>
        <v>414</v>
      </c>
      <c r="J2898">
        <f t="shared" si="229"/>
        <v>2896</v>
      </c>
      <c r="K2898">
        <f>IF(calendar[[#This Row],[Month]]&lt;4,1,IF(calendar[[#This Row],[Month]]&lt;7,2,IF(calendar[[#This Row],[Month]]&lt;10,3,4)))</f>
        <v>4</v>
      </c>
      <c r="L2898">
        <f>IFERROR(IF(VLOOKUP(calendar[[#This Row],[Date]],BH!A:A,1,)&lt;&gt;"",1,0),0)</f>
        <v>0</v>
      </c>
      <c r="M2898">
        <f>IFERROR(IF(VLOOKUP(calendar[[#This Row],[Date]],BH!C:C,1,)&lt;&gt;"",1,0),0)</f>
        <v>0</v>
      </c>
      <c r="N2898">
        <f>IFERROR(IF(VLOOKUP(calendar[[#This Row],[Date]],BH!E:E,1,)&lt;&gt;"",1,0),0)</f>
        <v>0</v>
      </c>
      <c r="O2898">
        <f>IFERROR(IF(VLOOKUP(calendar[[#This Row],[Date]],BH!G:G,1,)&lt;&gt;"",1,0),0)</f>
        <v>0</v>
      </c>
      <c r="P2898">
        <f>IF(OR(calendar[[#This Row],[UK_BH]]=1,calendar[[#This Row],[WeekDay]]=1, calendar[[#This Row],[WeekDay]]=7),P2897,P2897+1)</f>
        <v>2070</v>
      </c>
      <c r="Q2898">
        <f>IF(OR(calendar[[#This Row],[FR_BH]]=1,calendar[[#This Row],[WeekDay]]=1, calendar[[#This Row],[WeekDay]]=7),P2897,P2897+1)</f>
        <v>2070</v>
      </c>
      <c r="R2898">
        <f>IF(OR(calendar[[#This Row],[SP_BH]]=1,calendar[[#This Row],[WeekDay]]=1, calendar[[#This Row],[WeekDay]]=7),P2897,P2897+1)</f>
        <v>2070</v>
      </c>
      <c r="S2898">
        <f>IF(OR(calendar[[#This Row],[PT_BH]]=1,calendar[[#This Row],[WeekDay]]=1, calendar[[#This Row],[WeekDay]]=7),P2897,P2897+1)</f>
        <v>2070</v>
      </c>
    </row>
    <row r="2899" spans="1:19" x14ac:dyDescent="0.25">
      <c r="A2899" s="2">
        <v>45633</v>
      </c>
      <c r="B2899" s="1">
        <f t="shared" si="228"/>
        <v>49</v>
      </c>
      <c r="C2899">
        <f t="shared" si="230"/>
        <v>12</v>
      </c>
      <c r="D2899" t="str">
        <f t="shared" si="231"/>
        <v>December</v>
      </c>
      <c r="E2899">
        <f t="shared" si="232"/>
        <v>2024</v>
      </c>
      <c r="F2899" t="str">
        <f>CONCATENATE(calendar[[#This Row],[Month]],"/",calendar[[#This Row],[Year]])</f>
        <v>12/2024</v>
      </c>
      <c r="G2899">
        <f>WEEKDAY(calendar[[#This Row],[Date]],1)</f>
        <v>7</v>
      </c>
      <c r="H2899" t="str">
        <f>TEXT(calendar[[#This Row],[WeekDay]],"dddd")</f>
        <v>Saturday</v>
      </c>
      <c r="I2899">
        <f>IF((INT(calendar[[#This Row],[Count]]/7)-calendar[[#This Row],[Count]]/7)&lt;0,I2898,I2898+1)</f>
        <v>414</v>
      </c>
      <c r="J2899">
        <f t="shared" si="229"/>
        <v>2897</v>
      </c>
      <c r="K2899">
        <f>IF(calendar[[#This Row],[Month]]&lt;4,1,IF(calendar[[#This Row],[Month]]&lt;7,2,IF(calendar[[#This Row],[Month]]&lt;10,3,4)))</f>
        <v>4</v>
      </c>
      <c r="L2899">
        <f>IFERROR(IF(VLOOKUP(calendar[[#This Row],[Date]],BH!A:A,1,)&lt;&gt;"",1,0),0)</f>
        <v>0</v>
      </c>
      <c r="M2899">
        <f>IFERROR(IF(VLOOKUP(calendar[[#This Row],[Date]],BH!C:C,1,)&lt;&gt;"",1,0),0)</f>
        <v>0</v>
      </c>
      <c r="N2899">
        <f>IFERROR(IF(VLOOKUP(calendar[[#This Row],[Date]],BH!E:E,1,)&lt;&gt;"",1,0),0)</f>
        <v>0</v>
      </c>
      <c r="O2899">
        <f>IFERROR(IF(VLOOKUP(calendar[[#This Row],[Date]],BH!G:G,1,)&lt;&gt;"",1,0),0)</f>
        <v>0</v>
      </c>
      <c r="P2899">
        <f>IF(OR(calendar[[#This Row],[UK_BH]]=1,calendar[[#This Row],[WeekDay]]=1, calendar[[#This Row],[WeekDay]]=7),P2898,P2898+1)</f>
        <v>2070</v>
      </c>
      <c r="Q2899">
        <f>IF(OR(calendar[[#This Row],[FR_BH]]=1,calendar[[#This Row],[WeekDay]]=1, calendar[[#This Row],[WeekDay]]=7),P2898,P2898+1)</f>
        <v>2070</v>
      </c>
      <c r="R2899">
        <f>IF(OR(calendar[[#This Row],[SP_BH]]=1,calendar[[#This Row],[WeekDay]]=1, calendar[[#This Row],[WeekDay]]=7),P2898,P2898+1)</f>
        <v>2070</v>
      </c>
      <c r="S2899">
        <f>IF(OR(calendar[[#This Row],[PT_BH]]=1,calendar[[#This Row],[WeekDay]]=1, calendar[[#This Row],[WeekDay]]=7),P2898,P2898+1)</f>
        <v>2070</v>
      </c>
    </row>
    <row r="2900" spans="1:19" x14ac:dyDescent="0.25">
      <c r="A2900" s="2">
        <v>45634</v>
      </c>
      <c r="B2900" s="1">
        <f t="shared" si="228"/>
        <v>50</v>
      </c>
      <c r="C2900">
        <f t="shared" si="230"/>
        <v>12</v>
      </c>
      <c r="D2900" t="str">
        <f t="shared" si="231"/>
        <v>December</v>
      </c>
      <c r="E2900">
        <f t="shared" si="232"/>
        <v>2024</v>
      </c>
      <c r="F2900" t="str">
        <f>CONCATENATE(calendar[[#This Row],[Month]],"/",calendar[[#This Row],[Year]])</f>
        <v>12/2024</v>
      </c>
      <c r="G2900">
        <f>WEEKDAY(calendar[[#This Row],[Date]],1)</f>
        <v>1</v>
      </c>
      <c r="H2900" t="str">
        <f>TEXT(calendar[[#This Row],[WeekDay]],"dddd")</f>
        <v>Sunday</v>
      </c>
      <c r="I2900">
        <f>IF((INT(calendar[[#This Row],[Count]]/7)-calendar[[#This Row],[Count]]/7)&lt;0,I2899,I2899+1)</f>
        <v>415</v>
      </c>
      <c r="J2900">
        <f t="shared" si="229"/>
        <v>2898</v>
      </c>
      <c r="K2900">
        <f>IF(calendar[[#This Row],[Month]]&lt;4,1,IF(calendar[[#This Row],[Month]]&lt;7,2,IF(calendar[[#This Row],[Month]]&lt;10,3,4)))</f>
        <v>4</v>
      </c>
      <c r="L2900">
        <f>IFERROR(IF(VLOOKUP(calendar[[#This Row],[Date]],BH!A:A,1,)&lt;&gt;"",1,0),0)</f>
        <v>0</v>
      </c>
      <c r="M2900">
        <f>IFERROR(IF(VLOOKUP(calendar[[#This Row],[Date]],BH!C:C,1,)&lt;&gt;"",1,0),0)</f>
        <v>0</v>
      </c>
      <c r="N2900">
        <f>IFERROR(IF(VLOOKUP(calendar[[#This Row],[Date]],BH!E:E,1,)&lt;&gt;"",1,0),0)</f>
        <v>0</v>
      </c>
      <c r="O2900">
        <f>IFERROR(IF(VLOOKUP(calendar[[#This Row],[Date]],BH!G:G,1,)&lt;&gt;"",1,0),0)</f>
        <v>0</v>
      </c>
      <c r="P2900">
        <f>IF(OR(calendar[[#This Row],[UK_BH]]=1,calendar[[#This Row],[WeekDay]]=1, calendar[[#This Row],[WeekDay]]=7),P2899,P2899+1)</f>
        <v>2070</v>
      </c>
      <c r="Q2900">
        <f>IF(OR(calendar[[#This Row],[FR_BH]]=1,calendar[[#This Row],[WeekDay]]=1, calendar[[#This Row],[WeekDay]]=7),P2899,P2899+1)</f>
        <v>2070</v>
      </c>
      <c r="R2900">
        <f>IF(OR(calendar[[#This Row],[SP_BH]]=1,calendar[[#This Row],[WeekDay]]=1, calendar[[#This Row],[WeekDay]]=7),P2899,P2899+1)</f>
        <v>2070</v>
      </c>
      <c r="S2900">
        <f>IF(OR(calendar[[#This Row],[PT_BH]]=1,calendar[[#This Row],[WeekDay]]=1, calendar[[#This Row],[WeekDay]]=7),P2899,P2899+1)</f>
        <v>2070</v>
      </c>
    </row>
    <row r="2901" spans="1:19" x14ac:dyDescent="0.25">
      <c r="A2901" s="2">
        <v>45635</v>
      </c>
      <c r="B2901" s="1">
        <f t="shared" si="228"/>
        <v>50</v>
      </c>
      <c r="C2901">
        <f t="shared" si="230"/>
        <v>12</v>
      </c>
      <c r="D2901" t="str">
        <f t="shared" si="231"/>
        <v>December</v>
      </c>
      <c r="E2901">
        <f t="shared" si="232"/>
        <v>2024</v>
      </c>
      <c r="F2901" t="str">
        <f>CONCATENATE(calendar[[#This Row],[Month]],"/",calendar[[#This Row],[Year]])</f>
        <v>12/2024</v>
      </c>
      <c r="G2901">
        <f>WEEKDAY(calendar[[#This Row],[Date]],1)</f>
        <v>2</v>
      </c>
      <c r="H2901" t="str">
        <f>TEXT(calendar[[#This Row],[WeekDay]],"dddd")</f>
        <v>Monday</v>
      </c>
      <c r="I2901">
        <f>IF((INT(calendar[[#This Row],[Count]]/7)-calendar[[#This Row],[Count]]/7)&lt;0,I2900,I2900+1)</f>
        <v>415</v>
      </c>
      <c r="J2901">
        <f t="shared" si="229"/>
        <v>2899</v>
      </c>
      <c r="K2901">
        <f>IF(calendar[[#This Row],[Month]]&lt;4,1,IF(calendar[[#This Row],[Month]]&lt;7,2,IF(calendar[[#This Row],[Month]]&lt;10,3,4)))</f>
        <v>4</v>
      </c>
      <c r="L2901">
        <f>IFERROR(IF(VLOOKUP(calendar[[#This Row],[Date]],BH!A:A,1,)&lt;&gt;"",1,0),0)</f>
        <v>0</v>
      </c>
      <c r="M2901">
        <f>IFERROR(IF(VLOOKUP(calendar[[#This Row],[Date]],BH!C:C,1,)&lt;&gt;"",1,0),0)</f>
        <v>0</v>
      </c>
      <c r="N2901">
        <f>IFERROR(IF(VLOOKUP(calendar[[#This Row],[Date]],BH!E:E,1,)&lt;&gt;"",1,0),0)</f>
        <v>0</v>
      </c>
      <c r="O2901">
        <f>IFERROR(IF(VLOOKUP(calendar[[#This Row],[Date]],BH!G:G,1,)&lt;&gt;"",1,0),0)</f>
        <v>0</v>
      </c>
      <c r="P2901">
        <f>IF(OR(calendar[[#This Row],[UK_BH]]=1,calendar[[#This Row],[WeekDay]]=1, calendar[[#This Row],[WeekDay]]=7),P2900,P2900+1)</f>
        <v>2071</v>
      </c>
      <c r="Q2901">
        <f>IF(OR(calendar[[#This Row],[FR_BH]]=1,calendar[[#This Row],[WeekDay]]=1, calendar[[#This Row],[WeekDay]]=7),P2900,P2900+1)</f>
        <v>2071</v>
      </c>
      <c r="R2901">
        <f>IF(OR(calendar[[#This Row],[SP_BH]]=1,calendar[[#This Row],[WeekDay]]=1, calendar[[#This Row],[WeekDay]]=7),P2900,P2900+1)</f>
        <v>2071</v>
      </c>
      <c r="S2901">
        <f>IF(OR(calendar[[#This Row],[PT_BH]]=1,calendar[[#This Row],[WeekDay]]=1, calendar[[#This Row],[WeekDay]]=7),P2900,P2900+1)</f>
        <v>2071</v>
      </c>
    </row>
    <row r="2902" spans="1:19" x14ac:dyDescent="0.25">
      <c r="A2902" s="2">
        <v>45636</v>
      </c>
      <c r="B2902" s="1">
        <f t="shared" si="228"/>
        <v>50</v>
      </c>
      <c r="C2902">
        <f t="shared" si="230"/>
        <v>12</v>
      </c>
      <c r="D2902" t="str">
        <f t="shared" si="231"/>
        <v>December</v>
      </c>
      <c r="E2902">
        <f t="shared" si="232"/>
        <v>2024</v>
      </c>
      <c r="F2902" t="str">
        <f>CONCATENATE(calendar[[#This Row],[Month]],"/",calendar[[#This Row],[Year]])</f>
        <v>12/2024</v>
      </c>
      <c r="G2902">
        <f>WEEKDAY(calendar[[#This Row],[Date]],1)</f>
        <v>3</v>
      </c>
      <c r="H2902" t="str">
        <f>TEXT(calendar[[#This Row],[WeekDay]],"dddd")</f>
        <v>Tuesday</v>
      </c>
      <c r="I2902">
        <f>IF((INT(calendar[[#This Row],[Count]]/7)-calendar[[#This Row],[Count]]/7)&lt;0,I2901,I2901+1)</f>
        <v>415</v>
      </c>
      <c r="J2902">
        <f t="shared" si="229"/>
        <v>2900</v>
      </c>
      <c r="K2902">
        <f>IF(calendar[[#This Row],[Month]]&lt;4,1,IF(calendar[[#This Row],[Month]]&lt;7,2,IF(calendar[[#This Row],[Month]]&lt;10,3,4)))</f>
        <v>4</v>
      </c>
      <c r="L2902">
        <f>IFERROR(IF(VLOOKUP(calendar[[#This Row],[Date]],BH!A:A,1,)&lt;&gt;"",1,0),0)</f>
        <v>0</v>
      </c>
      <c r="M2902">
        <f>IFERROR(IF(VLOOKUP(calendar[[#This Row],[Date]],BH!C:C,1,)&lt;&gt;"",1,0),0)</f>
        <v>0</v>
      </c>
      <c r="N2902">
        <f>IFERROR(IF(VLOOKUP(calendar[[#This Row],[Date]],BH!E:E,1,)&lt;&gt;"",1,0),0)</f>
        <v>0</v>
      </c>
      <c r="O2902">
        <f>IFERROR(IF(VLOOKUP(calendar[[#This Row],[Date]],BH!G:G,1,)&lt;&gt;"",1,0),0)</f>
        <v>0</v>
      </c>
      <c r="P2902">
        <f>IF(OR(calendar[[#This Row],[UK_BH]]=1,calendar[[#This Row],[WeekDay]]=1, calendar[[#This Row],[WeekDay]]=7),P2901,P2901+1)</f>
        <v>2072</v>
      </c>
      <c r="Q2902">
        <f>IF(OR(calendar[[#This Row],[FR_BH]]=1,calendar[[#This Row],[WeekDay]]=1, calendar[[#This Row],[WeekDay]]=7),P2901,P2901+1)</f>
        <v>2072</v>
      </c>
      <c r="R2902">
        <f>IF(OR(calendar[[#This Row],[SP_BH]]=1,calendar[[#This Row],[WeekDay]]=1, calendar[[#This Row],[WeekDay]]=7),P2901,P2901+1)</f>
        <v>2072</v>
      </c>
      <c r="S2902">
        <f>IF(OR(calendar[[#This Row],[PT_BH]]=1,calendar[[#This Row],[WeekDay]]=1, calendar[[#This Row],[WeekDay]]=7),P2901,P2901+1)</f>
        <v>2072</v>
      </c>
    </row>
    <row r="2903" spans="1:19" x14ac:dyDescent="0.25">
      <c r="A2903" s="2">
        <v>45637</v>
      </c>
      <c r="B2903" s="1">
        <f t="shared" si="228"/>
        <v>50</v>
      </c>
      <c r="C2903">
        <f t="shared" si="230"/>
        <v>12</v>
      </c>
      <c r="D2903" t="str">
        <f t="shared" si="231"/>
        <v>December</v>
      </c>
      <c r="E2903">
        <f t="shared" si="232"/>
        <v>2024</v>
      </c>
      <c r="F2903" t="str">
        <f>CONCATENATE(calendar[[#This Row],[Month]],"/",calendar[[#This Row],[Year]])</f>
        <v>12/2024</v>
      </c>
      <c r="G2903">
        <f>WEEKDAY(calendar[[#This Row],[Date]],1)</f>
        <v>4</v>
      </c>
      <c r="H2903" t="str">
        <f>TEXT(calendar[[#This Row],[WeekDay]],"dddd")</f>
        <v>Wednesday</v>
      </c>
      <c r="I2903">
        <f>IF((INT(calendar[[#This Row],[Count]]/7)-calendar[[#This Row],[Count]]/7)&lt;0,I2902,I2902+1)</f>
        <v>415</v>
      </c>
      <c r="J2903">
        <f t="shared" si="229"/>
        <v>2901</v>
      </c>
      <c r="K2903">
        <f>IF(calendar[[#This Row],[Month]]&lt;4,1,IF(calendar[[#This Row],[Month]]&lt;7,2,IF(calendar[[#This Row],[Month]]&lt;10,3,4)))</f>
        <v>4</v>
      </c>
      <c r="L2903">
        <f>IFERROR(IF(VLOOKUP(calendar[[#This Row],[Date]],BH!A:A,1,)&lt;&gt;"",1,0),0)</f>
        <v>0</v>
      </c>
      <c r="M2903">
        <f>IFERROR(IF(VLOOKUP(calendar[[#This Row],[Date]],BH!C:C,1,)&lt;&gt;"",1,0),0)</f>
        <v>0</v>
      </c>
      <c r="N2903">
        <f>IFERROR(IF(VLOOKUP(calendar[[#This Row],[Date]],BH!E:E,1,)&lt;&gt;"",1,0),0)</f>
        <v>0</v>
      </c>
      <c r="O2903">
        <f>IFERROR(IF(VLOOKUP(calendar[[#This Row],[Date]],BH!G:G,1,)&lt;&gt;"",1,0),0)</f>
        <v>0</v>
      </c>
      <c r="P2903">
        <f>IF(OR(calendar[[#This Row],[UK_BH]]=1,calendar[[#This Row],[WeekDay]]=1, calendar[[#This Row],[WeekDay]]=7),P2902,P2902+1)</f>
        <v>2073</v>
      </c>
      <c r="Q2903">
        <f>IF(OR(calendar[[#This Row],[FR_BH]]=1,calendar[[#This Row],[WeekDay]]=1, calendar[[#This Row],[WeekDay]]=7),P2902,P2902+1)</f>
        <v>2073</v>
      </c>
      <c r="R2903">
        <f>IF(OR(calendar[[#This Row],[SP_BH]]=1,calendar[[#This Row],[WeekDay]]=1, calendar[[#This Row],[WeekDay]]=7),P2902,P2902+1)</f>
        <v>2073</v>
      </c>
      <c r="S2903">
        <f>IF(OR(calendar[[#This Row],[PT_BH]]=1,calendar[[#This Row],[WeekDay]]=1, calendar[[#This Row],[WeekDay]]=7),P2902,P2902+1)</f>
        <v>2073</v>
      </c>
    </row>
    <row r="2904" spans="1:19" x14ac:dyDescent="0.25">
      <c r="A2904" s="2">
        <v>45638</v>
      </c>
      <c r="B2904" s="1">
        <f t="shared" si="228"/>
        <v>50</v>
      </c>
      <c r="C2904">
        <f t="shared" si="230"/>
        <v>12</v>
      </c>
      <c r="D2904" t="str">
        <f t="shared" si="231"/>
        <v>December</v>
      </c>
      <c r="E2904">
        <f t="shared" si="232"/>
        <v>2024</v>
      </c>
      <c r="F2904" t="str">
        <f>CONCATENATE(calendar[[#This Row],[Month]],"/",calendar[[#This Row],[Year]])</f>
        <v>12/2024</v>
      </c>
      <c r="G2904">
        <f>WEEKDAY(calendar[[#This Row],[Date]],1)</f>
        <v>5</v>
      </c>
      <c r="H2904" t="str">
        <f>TEXT(calendar[[#This Row],[WeekDay]],"dddd")</f>
        <v>Thursday</v>
      </c>
      <c r="I2904">
        <f>IF((INT(calendar[[#This Row],[Count]]/7)-calendar[[#This Row],[Count]]/7)&lt;0,I2903,I2903+1)</f>
        <v>415</v>
      </c>
      <c r="J2904">
        <f t="shared" si="229"/>
        <v>2902</v>
      </c>
      <c r="K2904">
        <f>IF(calendar[[#This Row],[Month]]&lt;4,1,IF(calendar[[#This Row],[Month]]&lt;7,2,IF(calendar[[#This Row],[Month]]&lt;10,3,4)))</f>
        <v>4</v>
      </c>
      <c r="L2904">
        <f>IFERROR(IF(VLOOKUP(calendar[[#This Row],[Date]],BH!A:A,1,)&lt;&gt;"",1,0),0)</f>
        <v>0</v>
      </c>
      <c r="M2904">
        <f>IFERROR(IF(VLOOKUP(calendar[[#This Row],[Date]],BH!C:C,1,)&lt;&gt;"",1,0),0)</f>
        <v>0</v>
      </c>
      <c r="N2904">
        <f>IFERROR(IF(VLOOKUP(calendar[[#This Row],[Date]],BH!E:E,1,)&lt;&gt;"",1,0),0)</f>
        <v>0</v>
      </c>
      <c r="O2904">
        <f>IFERROR(IF(VLOOKUP(calendar[[#This Row],[Date]],BH!G:G,1,)&lt;&gt;"",1,0),0)</f>
        <v>0</v>
      </c>
      <c r="P2904">
        <f>IF(OR(calendar[[#This Row],[UK_BH]]=1,calendar[[#This Row],[WeekDay]]=1, calendar[[#This Row],[WeekDay]]=7),P2903,P2903+1)</f>
        <v>2074</v>
      </c>
      <c r="Q2904">
        <f>IF(OR(calendar[[#This Row],[FR_BH]]=1,calendar[[#This Row],[WeekDay]]=1, calendar[[#This Row],[WeekDay]]=7),P2903,P2903+1)</f>
        <v>2074</v>
      </c>
      <c r="R2904">
        <f>IF(OR(calendar[[#This Row],[SP_BH]]=1,calendar[[#This Row],[WeekDay]]=1, calendar[[#This Row],[WeekDay]]=7),P2903,P2903+1)</f>
        <v>2074</v>
      </c>
      <c r="S2904">
        <f>IF(OR(calendar[[#This Row],[PT_BH]]=1,calendar[[#This Row],[WeekDay]]=1, calendar[[#This Row],[WeekDay]]=7),P2903,P2903+1)</f>
        <v>2074</v>
      </c>
    </row>
    <row r="2905" spans="1:19" x14ac:dyDescent="0.25">
      <c r="A2905" s="2">
        <v>45639</v>
      </c>
      <c r="B2905" s="1">
        <f t="shared" si="228"/>
        <v>50</v>
      </c>
      <c r="C2905">
        <f t="shared" si="230"/>
        <v>12</v>
      </c>
      <c r="D2905" t="str">
        <f t="shared" si="231"/>
        <v>December</v>
      </c>
      <c r="E2905">
        <f t="shared" si="232"/>
        <v>2024</v>
      </c>
      <c r="F2905" t="str">
        <f>CONCATENATE(calendar[[#This Row],[Month]],"/",calendar[[#This Row],[Year]])</f>
        <v>12/2024</v>
      </c>
      <c r="G2905">
        <f>WEEKDAY(calendar[[#This Row],[Date]],1)</f>
        <v>6</v>
      </c>
      <c r="H2905" t="str">
        <f>TEXT(calendar[[#This Row],[WeekDay]],"dddd")</f>
        <v>Friday</v>
      </c>
      <c r="I2905">
        <f>IF((INT(calendar[[#This Row],[Count]]/7)-calendar[[#This Row],[Count]]/7)&lt;0,I2904,I2904+1)</f>
        <v>415</v>
      </c>
      <c r="J2905">
        <f t="shared" si="229"/>
        <v>2903</v>
      </c>
      <c r="K2905">
        <f>IF(calendar[[#This Row],[Month]]&lt;4,1,IF(calendar[[#This Row],[Month]]&lt;7,2,IF(calendar[[#This Row],[Month]]&lt;10,3,4)))</f>
        <v>4</v>
      </c>
      <c r="L2905">
        <f>IFERROR(IF(VLOOKUP(calendar[[#This Row],[Date]],BH!A:A,1,)&lt;&gt;"",1,0),0)</f>
        <v>0</v>
      </c>
      <c r="M2905">
        <f>IFERROR(IF(VLOOKUP(calendar[[#This Row],[Date]],BH!C:C,1,)&lt;&gt;"",1,0),0)</f>
        <v>0</v>
      </c>
      <c r="N2905">
        <f>IFERROR(IF(VLOOKUP(calendar[[#This Row],[Date]],BH!E:E,1,)&lt;&gt;"",1,0),0)</f>
        <v>0</v>
      </c>
      <c r="O2905">
        <f>IFERROR(IF(VLOOKUP(calendar[[#This Row],[Date]],BH!G:G,1,)&lt;&gt;"",1,0),0)</f>
        <v>0</v>
      </c>
      <c r="P2905">
        <f>IF(OR(calendar[[#This Row],[UK_BH]]=1,calendar[[#This Row],[WeekDay]]=1, calendar[[#This Row],[WeekDay]]=7),P2904,P2904+1)</f>
        <v>2075</v>
      </c>
      <c r="Q2905">
        <f>IF(OR(calendar[[#This Row],[FR_BH]]=1,calendar[[#This Row],[WeekDay]]=1, calendar[[#This Row],[WeekDay]]=7),P2904,P2904+1)</f>
        <v>2075</v>
      </c>
      <c r="R2905">
        <f>IF(OR(calendar[[#This Row],[SP_BH]]=1,calendar[[#This Row],[WeekDay]]=1, calendar[[#This Row],[WeekDay]]=7),P2904,P2904+1)</f>
        <v>2075</v>
      </c>
      <c r="S2905">
        <f>IF(OR(calendar[[#This Row],[PT_BH]]=1,calendar[[#This Row],[WeekDay]]=1, calendar[[#This Row],[WeekDay]]=7),P2904,P2904+1)</f>
        <v>2075</v>
      </c>
    </row>
    <row r="2906" spans="1:19" x14ac:dyDescent="0.25">
      <c r="A2906" s="2">
        <v>45640</v>
      </c>
      <c r="B2906" s="1">
        <f t="shared" si="228"/>
        <v>50</v>
      </c>
      <c r="C2906">
        <f t="shared" si="230"/>
        <v>12</v>
      </c>
      <c r="D2906" t="str">
        <f t="shared" si="231"/>
        <v>December</v>
      </c>
      <c r="E2906">
        <f t="shared" si="232"/>
        <v>2024</v>
      </c>
      <c r="F2906" t="str">
        <f>CONCATENATE(calendar[[#This Row],[Month]],"/",calendar[[#This Row],[Year]])</f>
        <v>12/2024</v>
      </c>
      <c r="G2906">
        <f>WEEKDAY(calendar[[#This Row],[Date]],1)</f>
        <v>7</v>
      </c>
      <c r="H2906" t="str">
        <f>TEXT(calendar[[#This Row],[WeekDay]],"dddd")</f>
        <v>Saturday</v>
      </c>
      <c r="I2906">
        <f>IF((INT(calendar[[#This Row],[Count]]/7)-calendar[[#This Row],[Count]]/7)&lt;0,I2905,I2905+1)</f>
        <v>415</v>
      </c>
      <c r="J2906">
        <f t="shared" si="229"/>
        <v>2904</v>
      </c>
      <c r="K2906">
        <f>IF(calendar[[#This Row],[Month]]&lt;4,1,IF(calendar[[#This Row],[Month]]&lt;7,2,IF(calendar[[#This Row],[Month]]&lt;10,3,4)))</f>
        <v>4</v>
      </c>
      <c r="L2906">
        <f>IFERROR(IF(VLOOKUP(calendar[[#This Row],[Date]],BH!A:A,1,)&lt;&gt;"",1,0),0)</f>
        <v>0</v>
      </c>
      <c r="M2906">
        <f>IFERROR(IF(VLOOKUP(calendar[[#This Row],[Date]],BH!C:C,1,)&lt;&gt;"",1,0),0)</f>
        <v>0</v>
      </c>
      <c r="N2906">
        <f>IFERROR(IF(VLOOKUP(calendar[[#This Row],[Date]],BH!E:E,1,)&lt;&gt;"",1,0),0)</f>
        <v>0</v>
      </c>
      <c r="O2906">
        <f>IFERROR(IF(VLOOKUP(calendar[[#This Row],[Date]],BH!G:G,1,)&lt;&gt;"",1,0),0)</f>
        <v>0</v>
      </c>
      <c r="P2906">
        <f>IF(OR(calendar[[#This Row],[UK_BH]]=1,calendar[[#This Row],[WeekDay]]=1, calendar[[#This Row],[WeekDay]]=7),P2905,P2905+1)</f>
        <v>2075</v>
      </c>
      <c r="Q2906">
        <f>IF(OR(calendar[[#This Row],[FR_BH]]=1,calendar[[#This Row],[WeekDay]]=1, calendar[[#This Row],[WeekDay]]=7),P2905,P2905+1)</f>
        <v>2075</v>
      </c>
      <c r="R2906">
        <f>IF(OR(calendar[[#This Row],[SP_BH]]=1,calendar[[#This Row],[WeekDay]]=1, calendar[[#This Row],[WeekDay]]=7),P2905,P2905+1)</f>
        <v>2075</v>
      </c>
      <c r="S2906">
        <f>IF(OR(calendar[[#This Row],[PT_BH]]=1,calendar[[#This Row],[WeekDay]]=1, calendar[[#This Row],[WeekDay]]=7),P2905,P2905+1)</f>
        <v>2075</v>
      </c>
    </row>
    <row r="2907" spans="1:19" x14ac:dyDescent="0.25">
      <c r="A2907" s="2">
        <v>45641</v>
      </c>
      <c r="B2907" s="1">
        <f t="shared" si="228"/>
        <v>51</v>
      </c>
      <c r="C2907">
        <f t="shared" si="230"/>
        <v>12</v>
      </c>
      <c r="D2907" t="str">
        <f t="shared" si="231"/>
        <v>December</v>
      </c>
      <c r="E2907">
        <f t="shared" si="232"/>
        <v>2024</v>
      </c>
      <c r="F2907" t="str">
        <f>CONCATENATE(calendar[[#This Row],[Month]],"/",calendar[[#This Row],[Year]])</f>
        <v>12/2024</v>
      </c>
      <c r="G2907">
        <f>WEEKDAY(calendar[[#This Row],[Date]],1)</f>
        <v>1</v>
      </c>
      <c r="H2907" t="str">
        <f>TEXT(calendar[[#This Row],[WeekDay]],"dddd")</f>
        <v>Sunday</v>
      </c>
      <c r="I2907">
        <f>IF((INT(calendar[[#This Row],[Count]]/7)-calendar[[#This Row],[Count]]/7)&lt;0,I2906,I2906+1)</f>
        <v>416</v>
      </c>
      <c r="J2907">
        <f t="shared" si="229"/>
        <v>2905</v>
      </c>
      <c r="K2907">
        <f>IF(calendar[[#This Row],[Month]]&lt;4,1,IF(calendar[[#This Row],[Month]]&lt;7,2,IF(calendar[[#This Row],[Month]]&lt;10,3,4)))</f>
        <v>4</v>
      </c>
      <c r="L2907">
        <f>IFERROR(IF(VLOOKUP(calendar[[#This Row],[Date]],BH!A:A,1,)&lt;&gt;"",1,0),0)</f>
        <v>0</v>
      </c>
      <c r="M2907">
        <f>IFERROR(IF(VLOOKUP(calendar[[#This Row],[Date]],BH!C:C,1,)&lt;&gt;"",1,0),0)</f>
        <v>0</v>
      </c>
      <c r="N2907">
        <f>IFERROR(IF(VLOOKUP(calendar[[#This Row],[Date]],BH!E:E,1,)&lt;&gt;"",1,0),0)</f>
        <v>0</v>
      </c>
      <c r="O2907">
        <f>IFERROR(IF(VLOOKUP(calendar[[#This Row],[Date]],BH!G:G,1,)&lt;&gt;"",1,0),0)</f>
        <v>0</v>
      </c>
      <c r="P2907">
        <f>IF(OR(calendar[[#This Row],[UK_BH]]=1,calendar[[#This Row],[WeekDay]]=1, calendar[[#This Row],[WeekDay]]=7),P2906,P2906+1)</f>
        <v>2075</v>
      </c>
      <c r="Q2907">
        <f>IF(OR(calendar[[#This Row],[FR_BH]]=1,calendar[[#This Row],[WeekDay]]=1, calendar[[#This Row],[WeekDay]]=7),P2906,P2906+1)</f>
        <v>2075</v>
      </c>
      <c r="R2907">
        <f>IF(OR(calendar[[#This Row],[SP_BH]]=1,calendar[[#This Row],[WeekDay]]=1, calendar[[#This Row],[WeekDay]]=7),P2906,P2906+1)</f>
        <v>2075</v>
      </c>
      <c r="S2907">
        <f>IF(OR(calendar[[#This Row],[PT_BH]]=1,calendar[[#This Row],[WeekDay]]=1, calendar[[#This Row],[WeekDay]]=7),P2906,P2906+1)</f>
        <v>2075</v>
      </c>
    </row>
    <row r="2908" spans="1:19" x14ac:dyDescent="0.25">
      <c r="A2908" s="2">
        <v>45642</v>
      </c>
      <c r="B2908" s="1">
        <f t="shared" si="228"/>
        <v>51</v>
      </c>
      <c r="C2908">
        <f t="shared" si="230"/>
        <v>12</v>
      </c>
      <c r="D2908" t="str">
        <f t="shared" si="231"/>
        <v>December</v>
      </c>
      <c r="E2908">
        <f t="shared" si="232"/>
        <v>2024</v>
      </c>
      <c r="F2908" t="str">
        <f>CONCATENATE(calendar[[#This Row],[Month]],"/",calendar[[#This Row],[Year]])</f>
        <v>12/2024</v>
      </c>
      <c r="G2908">
        <f>WEEKDAY(calendar[[#This Row],[Date]],1)</f>
        <v>2</v>
      </c>
      <c r="H2908" t="str">
        <f>TEXT(calendar[[#This Row],[WeekDay]],"dddd")</f>
        <v>Monday</v>
      </c>
      <c r="I2908">
        <f>IF((INT(calendar[[#This Row],[Count]]/7)-calendar[[#This Row],[Count]]/7)&lt;0,I2907,I2907+1)</f>
        <v>416</v>
      </c>
      <c r="J2908">
        <f t="shared" si="229"/>
        <v>2906</v>
      </c>
      <c r="K2908">
        <f>IF(calendar[[#This Row],[Month]]&lt;4,1,IF(calendar[[#This Row],[Month]]&lt;7,2,IF(calendar[[#This Row],[Month]]&lt;10,3,4)))</f>
        <v>4</v>
      </c>
      <c r="L2908">
        <f>IFERROR(IF(VLOOKUP(calendar[[#This Row],[Date]],BH!A:A,1,)&lt;&gt;"",1,0),0)</f>
        <v>0</v>
      </c>
      <c r="M2908">
        <f>IFERROR(IF(VLOOKUP(calendar[[#This Row],[Date]],BH!C:C,1,)&lt;&gt;"",1,0),0)</f>
        <v>0</v>
      </c>
      <c r="N2908">
        <f>IFERROR(IF(VLOOKUP(calendar[[#This Row],[Date]],BH!E:E,1,)&lt;&gt;"",1,0),0)</f>
        <v>0</v>
      </c>
      <c r="O2908">
        <f>IFERROR(IF(VLOOKUP(calendar[[#This Row],[Date]],BH!G:G,1,)&lt;&gt;"",1,0),0)</f>
        <v>0</v>
      </c>
      <c r="P2908">
        <f>IF(OR(calendar[[#This Row],[UK_BH]]=1,calendar[[#This Row],[WeekDay]]=1, calendar[[#This Row],[WeekDay]]=7),P2907,P2907+1)</f>
        <v>2076</v>
      </c>
      <c r="Q2908">
        <f>IF(OR(calendar[[#This Row],[FR_BH]]=1,calendar[[#This Row],[WeekDay]]=1, calendar[[#This Row],[WeekDay]]=7),P2907,P2907+1)</f>
        <v>2076</v>
      </c>
      <c r="R2908">
        <f>IF(OR(calendar[[#This Row],[SP_BH]]=1,calendar[[#This Row],[WeekDay]]=1, calendar[[#This Row],[WeekDay]]=7),P2907,P2907+1)</f>
        <v>2076</v>
      </c>
      <c r="S2908">
        <f>IF(OR(calendar[[#This Row],[PT_BH]]=1,calendar[[#This Row],[WeekDay]]=1, calendar[[#This Row],[WeekDay]]=7),P2907,P2907+1)</f>
        <v>2076</v>
      </c>
    </row>
    <row r="2909" spans="1:19" x14ac:dyDescent="0.25">
      <c r="A2909" s="2">
        <v>45643</v>
      </c>
      <c r="B2909" s="1">
        <f t="shared" si="228"/>
        <v>51</v>
      </c>
      <c r="C2909">
        <f t="shared" si="230"/>
        <v>12</v>
      </c>
      <c r="D2909" t="str">
        <f t="shared" si="231"/>
        <v>December</v>
      </c>
      <c r="E2909">
        <f t="shared" si="232"/>
        <v>2024</v>
      </c>
      <c r="F2909" t="str">
        <f>CONCATENATE(calendar[[#This Row],[Month]],"/",calendar[[#This Row],[Year]])</f>
        <v>12/2024</v>
      </c>
      <c r="G2909">
        <f>WEEKDAY(calendar[[#This Row],[Date]],1)</f>
        <v>3</v>
      </c>
      <c r="H2909" t="str">
        <f>TEXT(calendar[[#This Row],[WeekDay]],"dddd")</f>
        <v>Tuesday</v>
      </c>
      <c r="I2909">
        <f>IF((INT(calendar[[#This Row],[Count]]/7)-calendar[[#This Row],[Count]]/7)&lt;0,I2908,I2908+1)</f>
        <v>416</v>
      </c>
      <c r="J2909">
        <f t="shared" si="229"/>
        <v>2907</v>
      </c>
      <c r="K2909">
        <f>IF(calendar[[#This Row],[Month]]&lt;4,1,IF(calendar[[#This Row],[Month]]&lt;7,2,IF(calendar[[#This Row],[Month]]&lt;10,3,4)))</f>
        <v>4</v>
      </c>
      <c r="L2909">
        <f>IFERROR(IF(VLOOKUP(calendar[[#This Row],[Date]],BH!A:A,1,)&lt;&gt;"",1,0),0)</f>
        <v>0</v>
      </c>
      <c r="M2909">
        <f>IFERROR(IF(VLOOKUP(calendar[[#This Row],[Date]],BH!C:C,1,)&lt;&gt;"",1,0),0)</f>
        <v>0</v>
      </c>
      <c r="N2909">
        <f>IFERROR(IF(VLOOKUP(calendar[[#This Row],[Date]],BH!E:E,1,)&lt;&gt;"",1,0),0)</f>
        <v>0</v>
      </c>
      <c r="O2909">
        <f>IFERROR(IF(VLOOKUP(calendar[[#This Row],[Date]],BH!G:G,1,)&lt;&gt;"",1,0),0)</f>
        <v>0</v>
      </c>
      <c r="P2909">
        <f>IF(OR(calendar[[#This Row],[UK_BH]]=1,calendar[[#This Row],[WeekDay]]=1, calendar[[#This Row],[WeekDay]]=7),P2908,P2908+1)</f>
        <v>2077</v>
      </c>
      <c r="Q2909">
        <f>IF(OR(calendar[[#This Row],[FR_BH]]=1,calendar[[#This Row],[WeekDay]]=1, calendar[[#This Row],[WeekDay]]=7),P2908,P2908+1)</f>
        <v>2077</v>
      </c>
      <c r="R2909">
        <f>IF(OR(calendar[[#This Row],[SP_BH]]=1,calendar[[#This Row],[WeekDay]]=1, calendar[[#This Row],[WeekDay]]=7),P2908,P2908+1)</f>
        <v>2077</v>
      </c>
      <c r="S2909">
        <f>IF(OR(calendar[[#This Row],[PT_BH]]=1,calendar[[#This Row],[WeekDay]]=1, calendar[[#This Row],[WeekDay]]=7),P2908,P2908+1)</f>
        <v>2077</v>
      </c>
    </row>
    <row r="2910" spans="1:19" x14ac:dyDescent="0.25">
      <c r="A2910" s="2">
        <v>45644</v>
      </c>
      <c r="B2910" s="1">
        <f t="shared" si="228"/>
        <v>51</v>
      </c>
      <c r="C2910">
        <f t="shared" si="230"/>
        <v>12</v>
      </c>
      <c r="D2910" t="str">
        <f t="shared" si="231"/>
        <v>December</v>
      </c>
      <c r="E2910">
        <f t="shared" si="232"/>
        <v>2024</v>
      </c>
      <c r="F2910" t="str">
        <f>CONCATENATE(calendar[[#This Row],[Month]],"/",calendar[[#This Row],[Year]])</f>
        <v>12/2024</v>
      </c>
      <c r="G2910">
        <f>WEEKDAY(calendar[[#This Row],[Date]],1)</f>
        <v>4</v>
      </c>
      <c r="H2910" t="str">
        <f>TEXT(calendar[[#This Row],[WeekDay]],"dddd")</f>
        <v>Wednesday</v>
      </c>
      <c r="I2910">
        <f>IF((INT(calendar[[#This Row],[Count]]/7)-calendar[[#This Row],[Count]]/7)&lt;0,I2909,I2909+1)</f>
        <v>416</v>
      </c>
      <c r="J2910">
        <f t="shared" si="229"/>
        <v>2908</v>
      </c>
      <c r="K2910">
        <f>IF(calendar[[#This Row],[Month]]&lt;4,1,IF(calendar[[#This Row],[Month]]&lt;7,2,IF(calendar[[#This Row],[Month]]&lt;10,3,4)))</f>
        <v>4</v>
      </c>
      <c r="L2910">
        <f>IFERROR(IF(VLOOKUP(calendar[[#This Row],[Date]],BH!A:A,1,)&lt;&gt;"",1,0),0)</f>
        <v>0</v>
      </c>
      <c r="M2910">
        <f>IFERROR(IF(VLOOKUP(calendar[[#This Row],[Date]],BH!C:C,1,)&lt;&gt;"",1,0),0)</f>
        <v>0</v>
      </c>
      <c r="N2910">
        <f>IFERROR(IF(VLOOKUP(calendar[[#This Row],[Date]],BH!E:E,1,)&lt;&gt;"",1,0),0)</f>
        <v>0</v>
      </c>
      <c r="O2910">
        <f>IFERROR(IF(VLOOKUP(calendar[[#This Row],[Date]],BH!G:G,1,)&lt;&gt;"",1,0),0)</f>
        <v>0</v>
      </c>
      <c r="P2910">
        <f>IF(OR(calendar[[#This Row],[UK_BH]]=1,calendar[[#This Row],[WeekDay]]=1, calendar[[#This Row],[WeekDay]]=7),P2909,P2909+1)</f>
        <v>2078</v>
      </c>
      <c r="Q2910">
        <f>IF(OR(calendar[[#This Row],[FR_BH]]=1,calendar[[#This Row],[WeekDay]]=1, calendar[[#This Row],[WeekDay]]=7),P2909,P2909+1)</f>
        <v>2078</v>
      </c>
      <c r="R2910">
        <f>IF(OR(calendar[[#This Row],[SP_BH]]=1,calendar[[#This Row],[WeekDay]]=1, calendar[[#This Row],[WeekDay]]=7),P2909,P2909+1)</f>
        <v>2078</v>
      </c>
      <c r="S2910">
        <f>IF(OR(calendar[[#This Row],[PT_BH]]=1,calendar[[#This Row],[WeekDay]]=1, calendar[[#This Row],[WeekDay]]=7),P2909,P2909+1)</f>
        <v>2078</v>
      </c>
    </row>
    <row r="2911" spans="1:19" x14ac:dyDescent="0.25">
      <c r="A2911" s="2">
        <v>45645</v>
      </c>
      <c r="B2911" s="1">
        <f t="shared" si="228"/>
        <v>51</v>
      </c>
      <c r="C2911">
        <f t="shared" si="230"/>
        <v>12</v>
      </c>
      <c r="D2911" t="str">
        <f t="shared" si="231"/>
        <v>December</v>
      </c>
      <c r="E2911">
        <f t="shared" si="232"/>
        <v>2024</v>
      </c>
      <c r="F2911" t="str">
        <f>CONCATENATE(calendar[[#This Row],[Month]],"/",calendar[[#This Row],[Year]])</f>
        <v>12/2024</v>
      </c>
      <c r="G2911">
        <f>WEEKDAY(calendar[[#This Row],[Date]],1)</f>
        <v>5</v>
      </c>
      <c r="H2911" t="str">
        <f>TEXT(calendar[[#This Row],[WeekDay]],"dddd")</f>
        <v>Thursday</v>
      </c>
      <c r="I2911">
        <f>IF((INT(calendar[[#This Row],[Count]]/7)-calendar[[#This Row],[Count]]/7)&lt;0,I2910,I2910+1)</f>
        <v>416</v>
      </c>
      <c r="J2911">
        <f t="shared" si="229"/>
        <v>2909</v>
      </c>
      <c r="K2911">
        <f>IF(calendar[[#This Row],[Month]]&lt;4,1,IF(calendar[[#This Row],[Month]]&lt;7,2,IF(calendar[[#This Row],[Month]]&lt;10,3,4)))</f>
        <v>4</v>
      </c>
      <c r="L2911">
        <f>IFERROR(IF(VLOOKUP(calendar[[#This Row],[Date]],BH!A:A,1,)&lt;&gt;"",1,0),0)</f>
        <v>0</v>
      </c>
      <c r="M2911">
        <f>IFERROR(IF(VLOOKUP(calendar[[#This Row],[Date]],BH!C:C,1,)&lt;&gt;"",1,0),0)</f>
        <v>0</v>
      </c>
      <c r="N2911">
        <f>IFERROR(IF(VLOOKUP(calendar[[#This Row],[Date]],BH!E:E,1,)&lt;&gt;"",1,0),0)</f>
        <v>0</v>
      </c>
      <c r="O2911">
        <f>IFERROR(IF(VLOOKUP(calendar[[#This Row],[Date]],BH!G:G,1,)&lt;&gt;"",1,0),0)</f>
        <v>0</v>
      </c>
      <c r="P2911">
        <f>IF(OR(calendar[[#This Row],[UK_BH]]=1,calendar[[#This Row],[WeekDay]]=1, calendar[[#This Row],[WeekDay]]=7),P2910,P2910+1)</f>
        <v>2079</v>
      </c>
      <c r="Q2911">
        <f>IF(OR(calendar[[#This Row],[FR_BH]]=1,calendar[[#This Row],[WeekDay]]=1, calendar[[#This Row],[WeekDay]]=7),P2910,P2910+1)</f>
        <v>2079</v>
      </c>
      <c r="R2911">
        <f>IF(OR(calendar[[#This Row],[SP_BH]]=1,calendar[[#This Row],[WeekDay]]=1, calendar[[#This Row],[WeekDay]]=7),P2910,P2910+1)</f>
        <v>2079</v>
      </c>
      <c r="S2911">
        <f>IF(OR(calendar[[#This Row],[PT_BH]]=1,calendar[[#This Row],[WeekDay]]=1, calendar[[#This Row],[WeekDay]]=7),P2910,P2910+1)</f>
        <v>2079</v>
      </c>
    </row>
    <row r="2912" spans="1:19" x14ac:dyDescent="0.25">
      <c r="A2912" s="2">
        <v>45646</v>
      </c>
      <c r="B2912" s="1">
        <f t="shared" si="228"/>
        <v>51</v>
      </c>
      <c r="C2912">
        <f t="shared" si="230"/>
        <v>12</v>
      </c>
      <c r="D2912" t="str">
        <f t="shared" si="231"/>
        <v>December</v>
      </c>
      <c r="E2912">
        <f t="shared" si="232"/>
        <v>2024</v>
      </c>
      <c r="F2912" t="str">
        <f>CONCATENATE(calendar[[#This Row],[Month]],"/",calendar[[#This Row],[Year]])</f>
        <v>12/2024</v>
      </c>
      <c r="G2912">
        <f>WEEKDAY(calendar[[#This Row],[Date]],1)</f>
        <v>6</v>
      </c>
      <c r="H2912" t="str">
        <f>TEXT(calendar[[#This Row],[WeekDay]],"dddd")</f>
        <v>Friday</v>
      </c>
      <c r="I2912">
        <f>IF((INT(calendar[[#This Row],[Count]]/7)-calendar[[#This Row],[Count]]/7)&lt;0,I2911,I2911+1)</f>
        <v>416</v>
      </c>
      <c r="J2912">
        <f t="shared" si="229"/>
        <v>2910</v>
      </c>
      <c r="K2912">
        <f>IF(calendar[[#This Row],[Month]]&lt;4,1,IF(calendar[[#This Row],[Month]]&lt;7,2,IF(calendar[[#This Row],[Month]]&lt;10,3,4)))</f>
        <v>4</v>
      </c>
      <c r="L2912">
        <f>IFERROR(IF(VLOOKUP(calendar[[#This Row],[Date]],BH!A:A,1,)&lt;&gt;"",1,0),0)</f>
        <v>0</v>
      </c>
      <c r="M2912">
        <f>IFERROR(IF(VLOOKUP(calendar[[#This Row],[Date]],BH!C:C,1,)&lt;&gt;"",1,0),0)</f>
        <v>0</v>
      </c>
      <c r="N2912">
        <f>IFERROR(IF(VLOOKUP(calendar[[#This Row],[Date]],BH!E:E,1,)&lt;&gt;"",1,0),0)</f>
        <v>0</v>
      </c>
      <c r="O2912">
        <f>IFERROR(IF(VLOOKUP(calendar[[#This Row],[Date]],BH!G:G,1,)&lt;&gt;"",1,0),0)</f>
        <v>0</v>
      </c>
      <c r="P2912">
        <f>IF(OR(calendar[[#This Row],[UK_BH]]=1,calendar[[#This Row],[WeekDay]]=1, calendar[[#This Row],[WeekDay]]=7),P2911,P2911+1)</f>
        <v>2080</v>
      </c>
      <c r="Q2912">
        <f>IF(OR(calendar[[#This Row],[FR_BH]]=1,calendar[[#This Row],[WeekDay]]=1, calendar[[#This Row],[WeekDay]]=7),P2911,P2911+1)</f>
        <v>2080</v>
      </c>
      <c r="R2912">
        <f>IF(OR(calendar[[#This Row],[SP_BH]]=1,calendar[[#This Row],[WeekDay]]=1, calendar[[#This Row],[WeekDay]]=7),P2911,P2911+1)</f>
        <v>2080</v>
      </c>
      <c r="S2912">
        <f>IF(OR(calendar[[#This Row],[PT_BH]]=1,calendar[[#This Row],[WeekDay]]=1, calendar[[#This Row],[WeekDay]]=7),P2911,P2911+1)</f>
        <v>2080</v>
      </c>
    </row>
    <row r="2913" spans="1:19" x14ac:dyDescent="0.25">
      <c r="A2913" s="2">
        <v>45647</v>
      </c>
      <c r="B2913" s="1">
        <f t="shared" si="228"/>
        <v>51</v>
      </c>
      <c r="C2913">
        <f t="shared" si="230"/>
        <v>12</v>
      </c>
      <c r="D2913" t="str">
        <f t="shared" si="231"/>
        <v>December</v>
      </c>
      <c r="E2913">
        <f t="shared" si="232"/>
        <v>2024</v>
      </c>
      <c r="F2913" t="str">
        <f>CONCATENATE(calendar[[#This Row],[Month]],"/",calendar[[#This Row],[Year]])</f>
        <v>12/2024</v>
      </c>
      <c r="G2913">
        <f>WEEKDAY(calendar[[#This Row],[Date]],1)</f>
        <v>7</v>
      </c>
      <c r="H2913" t="str">
        <f>TEXT(calendar[[#This Row],[WeekDay]],"dddd")</f>
        <v>Saturday</v>
      </c>
      <c r="I2913">
        <f>IF((INT(calendar[[#This Row],[Count]]/7)-calendar[[#This Row],[Count]]/7)&lt;0,I2912,I2912+1)</f>
        <v>416</v>
      </c>
      <c r="J2913">
        <f t="shared" si="229"/>
        <v>2911</v>
      </c>
      <c r="K2913">
        <f>IF(calendar[[#This Row],[Month]]&lt;4,1,IF(calendar[[#This Row],[Month]]&lt;7,2,IF(calendar[[#This Row],[Month]]&lt;10,3,4)))</f>
        <v>4</v>
      </c>
      <c r="L2913">
        <f>IFERROR(IF(VLOOKUP(calendar[[#This Row],[Date]],BH!A:A,1,)&lt;&gt;"",1,0),0)</f>
        <v>0</v>
      </c>
      <c r="M2913">
        <f>IFERROR(IF(VLOOKUP(calendar[[#This Row],[Date]],BH!C:C,1,)&lt;&gt;"",1,0),0)</f>
        <v>0</v>
      </c>
      <c r="N2913">
        <f>IFERROR(IF(VLOOKUP(calendar[[#This Row],[Date]],BH!E:E,1,)&lt;&gt;"",1,0),0)</f>
        <v>0</v>
      </c>
      <c r="O2913">
        <f>IFERROR(IF(VLOOKUP(calendar[[#This Row],[Date]],BH!G:G,1,)&lt;&gt;"",1,0),0)</f>
        <v>0</v>
      </c>
      <c r="P2913">
        <f>IF(OR(calendar[[#This Row],[UK_BH]]=1,calendar[[#This Row],[WeekDay]]=1, calendar[[#This Row],[WeekDay]]=7),P2912,P2912+1)</f>
        <v>2080</v>
      </c>
      <c r="Q2913">
        <f>IF(OR(calendar[[#This Row],[FR_BH]]=1,calendar[[#This Row],[WeekDay]]=1, calendar[[#This Row],[WeekDay]]=7),P2912,P2912+1)</f>
        <v>2080</v>
      </c>
      <c r="R2913">
        <f>IF(OR(calendar[[#This Row],[SP_BH]]=1,calendar[[#This Row],[WeekDay]]=1, calendar[[#This Row],[WeekDay]]=7),P2912,P2912+1)</f>
        <v>2080</v>
      </c>
      <c r="S2913">
        <f>IF(OR(calendar[[#This Row],[PT_BH]]=1,calendar[[#This Row],[WeekDay]]=1, calendar[[#This Row],[WeekDay]]=7),P2912,P2912+1)</f>
        <v>2080</v>
      </c>
    </row>
    <row r="2914" spans="1:19" x14ac:dyDescent="0.25">
      <c r="A2914" s="2">
        <v>45648</v>
      </c>
      <c r="B2914" s="1">
        <f t="shared" si="228"/>
        <v>52</v>
      </c>
      <c r="C2914">
        <f t="shared" si="230"/>
        <v>12</v>
      </c>
      <c r="D2914" t="str">
        <f t="shared" si="231"/>
        <v>December</v>
      </c>
      <c r="E2914">
        <f t="shared" si="232"/>
        <v>2024</v>
      </c>
      <c r="F2914" t="str">
        <f>CONCATENATE(calendar[[#This Row],[Month]],"/",calendar[[#This Row],[Year]])</f>
        <v>12/2024</v>
      </c>
      <c r="G2914">
        <f>WEEKDAY(calendar[[#This Row],[Date]],1)</f>
        <v>1</v>
      </c>
      <c r="H2914" t="str">
        <f>TEXT(calendar[[#This Row],[WeekDay]],"dddd")</f>
        <v>Sunday</v>
      </c>
      <c r="I2914">
        <f>IF((INT(calendar[[#This Row],[Count]]/7)-calendar[[#This Row],[Count]]/7)&lt;0,I2913,I2913+1)</f>
        <v>417</v>
      </c>
      <c r="J2914">
        <f t="shared" si="229"/>
        <v>2912</v>
      </c>
      <c r="K2914">
        <f>IF(calendar[[#This Row],[Month]]&lt;4,1,IF(calendar[[#This Row],[Month]]&lt;7,2,IF(calendar[[#This Row],[Month]]&lt;10,3,4)))</f>
        <v>4</v>
      </c>
      <c r="L2914">
        <f>IFERROR(IF(VLOOKUP(calendar[[#This Row],[Date]],BH!A:A,1,)&lt;&gt;"",1,0),0)</f>
        <v>0</v>
      </c>
      <c r="M2914">
        <f>IFERROR(IF(VLOOKUP(calendar[[#This Row],[Date]],BH!C:C,1,)&lt;&gt;"",1,0),0)</f>
        <v>0</v>
      </c>
      <c r="N2914">
        <f>IFERROR(IF(VLOOKUP(calendar[[#This Row],[Date]],BH!E:E,1,)&lt;&gt;"",1,0),0)</f>
        <v>0</v>
      </c>
      <c r="O2914">
        <f>IFERROR(IF(VLOOKUP(calendar[[#This Row],[Date]],BH!G:G,1,)&lt;&gt;"",1,0),0)</f>
        <v>0</v>
      </c>
      <c r="P2914">
        <f>IF(OR(calendar[[#This Row],[UK_BH]]=1,calendar[[#This Row],[WeekDay]]=1, calendar[[#This Row],[WeekDay]]=7),P2913,P2913+1)</f>
        <v>2080</v>
      </c>
      <c r="Q2914">
        <f>IF(OR(calendar[[#This Row],[FR_BH]]=1,calendar[[#This Row],[WeekDay]]=1, calendar[[#This Row],[WeekDay]]=7),P2913,P2913+1)</f>
        <v>2080</v>
      </c>
      <c r="R2914">
        <f>IF(OR(calendar[[#This Row],[SP_BH]]=1,calendar[[#This Row],[WeekDay]]=1, calendar[[#This Row],[WeekDay]]=7),P2913,P2913+1)</f>
        <v>2080</v>
      </c>
      <c r="S2914">
        <f>IF(OR(calendar[[#This Row],[PT_BH]]=1,calendar[[#This Row],[WeekDay]]=1, calendar[[#This Row],[WeekDay]]=7),P2913,P2913+1)</f>
        <v>2080</v>
      </c>
    </row>
    <row r="2915" spans="1:19" x14ac:dyDescent="0.25">
      <c r="A2915" s="2">
        <v>45649</v>
      </c>
      <c r="B2915" s="1">
        <f t="shared" si="228"/>
        <v>52</v>
      </c>
      <c r="C2915">
        <f t="shared" si="230"/>
        <v>12</v>
      </c>
      <c r="D2915" t="str">
        <f t="shared" si="231"/>
        <v>December</v>
      </c>
      <c r="E2915">
        <f t="shared" si="232"/>
        <v>2024</v>
      </c>
      <c r="F2915" t="str">
        <f>CONCATENATE(calendar[[#This Row],[Month]],"/",calendar[[#This Row],[Year]])</f>
        <v>12/2024</v>
      </c>
      <c r="G2915">
        <f>WEEKDAY(calendar[[#This Row],[Date]],1)</f>
        <v>2</v>
      </c>
      <c r="H2915" t="str">
        <f>TEXT(calendar[[#This Row],[WeekDay]],"dddd")</f>
        <v>Monday</v>
      </c>
      <c r="I2915">
        <f>IF((INT(calendar[[#This Row],[Count]]/7)-calendar[[#This Row],[Count]]/7)&lt;0,I2914,I2914+1)</f>
        <v>417</v>
      </c>
      <c r="J2915">
        <f t="shared" si="229"/>
        <v>2913</v>
      </c>
      <c r="K2915">
        <f>IF(calendar[[#This Row],[Month]]&lt;4,1,IF(calendar[[#This Row],[Month]]&lt;7,2,IF(calendar[[#This Row],[Month]]&lt;10,3,4)))</f>
        <v>4</v>
      </c>
      <c r="L2915">
        <f>IFERROR(IF(VLOOKUP(calendar[[#This Row],[Date]],BH!A:A,1,)&lt;&gt;"",1,0),0)</f>
        <v>0</v>
      </c>
      <c r="M2915">
        <f>IFERROR(IF(VLOOKUP(calendar[[#This Row],[Date]],BH!C:C,1,)&lt;&gt;"",1,0),0)</f>
        <v>0</v>
      </c>
      <c r="N2915">
        <f>IFERROR(IF(VLOOKUP(calendar[[#This Row],[Date]],BH!E:E,1,)&lt;&gt;"",1,0),0)</f>
        <v>0</v>
      </c>
      <c r="O2915">
        <f>IFERROR(IF(VLOOKUP(calendar[[#This Row],[Date]],BH!G:G,1,)&lt;&gt;"",1,0),0)</f>
        <v>0</v>
      </c>
      <c r="P2915">
        <f>IF(OR(calendar[[#This Row],[UK_BH]]=1,calendar[[#This Row],[WeekDay]]=1, calendar[[#This Row],[WeekDay]]=7),P2914,P2914+1)</f>
        <v>2081</v>
      </c>
      <c r="Q2915">
        <f>IF(OR(calendar[[#This Row],[FR_BH]]=1,calendar[[#This Row],[WeekDay]]=1, calendar[[#This Row],[WeekDay]]=7),P2914,P2914+1)</f>
        <v>2081</v>
      </c>
      <c r="R2915">
        <f>IF(OR(calendar[[#This Row],[SP_BH]]=1,calendar[[#This Row],[WeekDay]]=1, calendar[[#This Row],[WeekDay]]=7),P2914,P2914+1)</f>
        <v>2081</v>
      </c>
      <c r="S2915">
        <f>IF(OR(calendar[[#This Row],[PT_BH]]=1,calendar[[#This Row],[WeekDay]]=1, calendar[[#This Row],[WeekDay]]=7),P2914,P2914+1)</f>
        <v>2081</v>
      </c>
    </row>
    <row r="2916" spans="1:19" x14ac:dyDescent="0.25">
      <c r="A2916" s="2">
        <v>45650</v>
      </c>
      <c r="B2916" s="1">
        <f t="shared" si="228"/>
        <v>52</v>
      </c>
      <c r="C2916">
        <f t="shared" si="230"/>
        <v>12</v>
      </c>
      <c r="D2916" t="str">
        <f t="shared" si="231"/>
        <v>December</v>
      </c>
      <c r="E2916">
        <f t="shared" si="232"/>
        <v>2024</v>
      </c>
      <c r="F2916" t="str">
        <f>CONCATENATE(calendar[[#This Row],[Month]],"/",calendar[[#This Row],[Year]])</f>
        <v>12/2024</v>
      </c>
      <c r="G2916">
        <f>WEEKDAY(calendar[[#This Row],[Date]],1)</f>
        <v>3</v>
      </c>
      <c r="H2916" t="str">
        <f>TEXT(calendar[[#This Row],[WeekDay]],"dddd")</f>
        <v>Tuesday</v>
      </c>
      <c r="I2916">
        <f>IF((INT(calendar[[#This Row],[Count]]/7)-calendar[[#This Row],[Count]]/7)&lt;0,I2915,I2915+1)</f>
        <v>417</v>
      </c>
      <c r="J2916">
        <f t="shared" si="229"/>
        <v>2914</v>
      </c>
      <c r="K2916">
        <f>IF(calendar[[#This Row],[Month]]&lt;4,1,IF(calendar[[#This Row],[Month]]&lt;7,2,IF(calendar[[#This Row],[Month]]&lt;10,3,4)))</f>
        <v>4</v>
      </c>
      <c r="L2916">
        <f>IFERROR(IF(VLOOKUP(calendar[[#This Row],[Date]],BH!A:A,1,)&lt;&gt;"",1,0),0)</f>
        <v>0</v>
      </c>
      <c r="M2916">
        <f>IFERROR(IF(VLOOKUP(calendar[[#This Row],[Date]],BH!C:C,1,)&lt;&gt;"",1,0),0)</f>
        <v>0</v>
      </c>
      <c r="N2916">
        <f>IFERROR(IF(VLOOKUP(calendar[[#This Row],[Date]],BH!E:E,1,)&lt;&gt;"",1,0),0)</f>
        <v>0</v>
      </c>
      <c r="O2916">
        <f>IFERROR(IF(VLOOKUP(calendar[[#This Row],[Date]],BH!G:G,1,)&lt;&gt;"",1,0),0)</f>
        <v>0</v>
      </c>
      <c r="P2916">
        <f>IF(OR(calendar[[#This Row],[UK_BH]]=1,calendar[[#This Row],[WeekDay]]=1, calendar[[#This Row],[WeekDay]]=7),P2915,P2915+1)</f>
        <v>2082</v>
      </c>
      <c r="Q2916">
        <f>IF(OR(calendar[[#This Row],[FR_BH]]=1,calendar[[#This Row],[WeekDay]]=1, calendar[[#This Row],[WeekDay]]=7),P2915,P2915+1)</f>
        <v>2082</v>
      </c>
      <c r="R2916">
        <f>IF(OR(calendar[[#This Row],[SP_BH]]=1,calendar[[#This Row],[WeekDay]]=1, calendar[[#This Row],[WeekDay]]=7),P2915,P2915+1)</f>
        <v>2082</v>
      </c>
      <c r="S2916">
        <f>IF(OR(calendar[[#This Row],[PT_BH]]=1,calendar[[#This Row],[WeekDay]]=1, calendar[[#This Row],[WeekDay]]=7),P2915,P2915+1)</f>
        <v>2082</v>
      </c>
    </row>
    <row r="2917" spans="1:19" x14ac:dyDescent="0.25">
      <c r="A2917" s="2">
        <v>45651</v>
      </c>
      <c r="B2917" s="1">
        <f t="shared" si="228"/>
        <v>52</v>
      </c>
      <c r="C2917">
        <f t="shared" si="230"/>
        <v>12</v>
      </c>
      <c r="D2917" t="str">
        <f t="shared" si="231"/>
        <v>December</v>
      </c>
      <c r="E2917">
        <f t="shared" si="232"/>
        <v>2024</v>
      </c>
      <c r="F2917" t="str">
        <f>CONCATENATE(calendar[[#This Row],[Month]],"/",calendar[[#This Row],[Year]])</f>
        <v>12/2024</v>
      </c>
      <c r="G2917">
        <f>WEEKDAY(calendar[[#This Row],[Date]],1)</f>
        <v>4</v>
      </c>
      <c r="H2917" t="str">
        <f>TEXT(calendar[[#This Row],[WeekDay]],"dddd")</f>
        <v>Wednesday</v>
      </c>
      <c r="I2917">
        <f>IF((INT(calendar[[#This Row],[Count]]/7)-calendar[[#This Row],[Count]]/7)&lt;0,I2916,I2916+1)</f>
        <v>417</v>
      </c>
      <c r="J2917">
        <f t="shared" si="229"/>
        <v>2915</v>
      </c>
      <c r="K2917">
        <f>IF(calendar[[#This Row],[Month]]&lt;4,1,IF(calendar[[#This Row],[Month]]&lt;7,2,IF(calendar[[#This Row],[Month]]&lt;10,3,4)))</f>
        <v>4</v>
      </c>
      <c r="L2917">
        <f>IFERROR(IF(VLOOKUP(calendar[[#This Row],[Date]],BH!A:A,1,)&lt;&gt;"",1,0),0)</f>
        <v>0</v>
      </c>
      <c r="M2917">
        <f>IFERROR(IF(VLOOKUP(calendar[[#This Row],[Date]],BH!C:C,1,)&lt;&gt;"",1,0),0)</f>
        <v>0</v>
      </c>
      <c r="N2917">
        <f>IFERROR(IF(VLOOKUP(calendar[[#This Row],[Date]],BH!E:E,1,)&lt;&gt;"",1,0),0)</f>
        <v>0</v>
      </c>
      <c r="O2917">
        <f>IFERROR(IF(VLOOKUP(calendar[[#This Row],[Date]],BH!G:G,1,)&lt;&gt;"",1,0),0)</f>
        <v>0</v>
      </c>
      <c r="P2917">
        <f>IF(OR(calendar[[#This Row],[UK_BH]]=1,calendar[[#This Row],[WeekDay]]=1, calendar[[#This Row],[WeekDay]]=7),P2916,P2916+1)</f>
        <v>2083</v>
      </c>
      <c r="Q2917">
        <f>IF(OR(calendar[[#This Row],[FR_BH]]=1,calendar[[#This Row],[WeekDay]]=1, calendar[[#This Row],[WeekDay]]=7),P2916,P2916+1)</f>
        <v>2083</v>
      </c>
      <c r="R2917">
        <f>IF(OR(calendar[[#This Row],[SP_BH]]=1,calendar[[#This Row],[WeekDay]]=1, calendar[[#This Row],[WeekDay]]=7),P2916,P2916+1)</f>
        <v>2083</v>
      </c>
      <c r="S2917">
        <f>IF(OR(calendar[[#This Row],[PT_BH]]=1,calendar[[#This Row],[WeekDay]]=1, calendar[[#This Row],[WeekDay]]=7),P2916,P2916+1)</f>
        <v>2083</v>
      </c>
    </row>
    <row r="2918" spans="1:19" x14ac:dyDescent="0.25">
      <c r="A2918" s="2">
        <v>45652</v>
      </c>
      <c r="B2918" s="1">
        <f t="shared" si="228"/>
        <v>52</v>
      </c>
      <c r="C2918">
        <f t="shared" si="230"/>
        <v>12</v>
      </c>
      <c r="D2918" t="str">
        <f t="shared" si="231"/>
        <v>December</v>
      </c>
      <c r="E2918">
        <f t="shared" si="232"/>
        <v>2024</v>
      </c>
      <c r="F2918" t="str">
        <f>CONCATENATE(calendar[[#This Row],[Month]],"/",calendar[[#This Row],[Year]])</f>
        <v>12/2024</v>
      </c>
      <c r="G2918">
        <f>WEEKDAY(calendar[[#This Row],[Date]],1)</f>
        <v>5</v>
      </c>
      <c r="H2918" t="str">
        <f>TEXT(calendar[[#This Row],[WeekDay]],"dddd")</f>
        <v>Thursday</v>
      </c>
      <c r="I2918">
        <f>IF((INT(calendar[[#This Row],[Count]]/7)-calendar[[#This Row],[Count]]/7)&lt;0,I2917,I2917+1)</f>
        <v>417</v>
      </c>
      <c r="J2918">
        <f t="shared" si="229"/>
        <v>2916</v>
      </c>
      <c r="K2918">
        <f>IF(calendar[[#This Row],[Month]]&lt;4,1,IF(calendar[[#This Row],[Month]]&lt;7,2,IF(calendar[[#This Row],[Month]]&lt;10,3,4)))</f>
        <v>4</v>
      </c>
      <c r="L2918">
        <f>IFERROR(IF(VLOOKUP(calendar[[#This Row],[Date]],BH!A:A,1,)&lt;&gt;"",1,0),0)</f>
        <v>0</v>
      </c>
      <c r="M2918">
        <f>IFERROR(IF(VLOOKUP(calendar[[#This Row],[Date]],BH!C:C,1,)&lt;&gt;"",1,0),0)</f>
        <v>0</v>
      </c>
      <c r="N2918">
        <f>IFERROR(IF(VLOOKUP(calendar[[#This Row],[Date]],BH!E:E,1,)&lt;&gt;"",1,0),0)</f>
        <v>0</v>
      </c>
      <c r="O2918">
        <f>IFERROR(IF(VLOOKUP(calendar[[#This Row],[Date]],BH!G:G,1,)&lt;&gt;"",1,0),0)</f>
        <v>0</v>
      </c>
      <c r="P2918">
        <f>IF(OR(calendar[[#This Row],[UK_BH]]=1,calendar[[#This Row],[WeekDay]]=1, calendar[[#This Row],[WeekDay]]=7),P2917,P2917+1)</f>
        <v>2084</v>
      </c>
      <c r="Q2918">
        <f>IF(OR(calendar[[#This Row],[FR_BH]]=1,calendar[[#This Row],[WeekDay]]=1, calendar[[#This Row],[WeekDay]]=7),P2917,P2917+1)</f>
        <v>2084</v>
      </c>
      <c r="R2918">
        <f>IF(OR(calendar[[#This Row],[SP_BH]]=1,calendar[[#This Row],[WeekDay]]=1, calendar[[#This Row],[WeekDay]]=7),P2917,P2917+1)</f>
        <v>2084</v>
      </c>
      <c r="S2918">
        <f>IF(OR(calendar[[#This Row],[PT_BH]]=1,calendar[[#This Row],[WeekDay]]=1, calendar[[#This Row],[WeekDay]]=7),P2917,P2917+1)</f>
        <v>2084</v>
      </c>
    </row>
    <row r="2919" spans="1:19" x14ac:dyDescent="0.25">
      <c r="A2919" s="2">
        <v>45653</v>
      </c>
      <c r="B2919" s="1">
        <f t="shared" si="228"/>
        <v>52</v>
      </c>
      <c r="C2919">
        <f t="shared" si="230"/>
        <v>12</v>
      </c>
      <c r="D2919" t="str">
        <f t="shared" si="231"/>
        <v>December</v>
      </c>
      <c r="E2919">
        <f t="shared" si="232"/>
        <v>2024</v>
      </c>
      <c r="F2919" t="str">
        <f>CONCATENATE(calendar[[#This Row],[Month]],"/",calendar[[#This Row],[Year]])</f>
        <v>12/2024</v>
      </c>
      <c r="G2919">
        <f>WEEKDAY(calendar[[#This Row],[Date]],1)</f>
        <v>6</v>
      </c>
      <c r="H2919" t="str">
        <f>TEXT(calendar[[#This Row],[WeekDay]],"dddd")</f>
        <v>Friday</v>
      </c>
      <c r="I2919">
        <f>IF((INT(calendar[[#This Row],[Count]]/7)-calendar[[#This Row],[Count]]/7)&lt;0,I2918,I2918+1)</f>
        <v>417</v>
      </c>
      <c r="J2919">
        <f t="shared" si="229"/>
        <v>2917</v>
      </c>
      <c r="K2919">
        <f>IF(calendar[[#This Row],[Month]]&lt;4,1,IF(calendar[[#This Row],[Month]]&lt;7,2,IF(calendar[[#This Row],[Month]]&lt;10,3,4)))</f>
        <v>4</v>
      </c>
      <c r="L2919">
        <f>IFERROR(IF(VLOOKUP(calendar[[#This Row],[Date]],BH!A:A,1,)&lt;&gt;"",1,0),0)</f>
        <v>0</v>
      </c>
      <c r="M2919">
        <f>IFERROR(IF(VLOOKUP(calendar[[#This Row],[Date]],BH!C:C,1,)&lt;&gt;"",1,0),0)</f>
        <v>0</v>
      </c>
      <c r="N2919">
        <f>IFERROR(IF(VLOOKUP(calendar[[#This Row],[Date]],BH!E:E,1,)&lt;&gt;"",1,0),0)</f>
        <v>0</v>
      </c>
      <c r="O2919">
        <f>IFERROR(IF(VLOOKUP(calendar[[#This Row],[Date]],BH!G:G,1,)&lt;&gt;"",1,0),0)</f>
        <v>0</v>
      </c>
      <c r="P2919">
        <f>IF(OR(calendar[[#This Row],[UK_BH]]=1,calendar[[#This Row],[WeekDay]]=1, calendar[[#This Row],[WeekDay]]=7),P2918,P2918+1)</f>
        <v>2085</v>
      </c>
      <c r="Q2919">
        <f>IF(OR(calendar[[#This Row],[FR_BH]]=1,calendar[[#This Row],[WeekDay]]=1, calendar[[#This Row],[WeekDay]]=7),P2918,P2918+1)</f>
        <v>2085</v>
      </c>
      <c r="R2919">
        <f>IF(OR(calendar[[#This Row],[SP_BH]]=1,calendar[[#This Row],[WeekDay]]=1, calendar[[#This Row],[WeekDay]]=7),P2918,P2918+1)</f>
        <v>2085</v>
      </c>
      <c r="S2919">
        <f>IF(OR(calendar[[#This Row],[PT_BH]]=1,calendar[[#This Row],[WeekDay]]=1, calendar[[#This Row],[WeekDay]]=7),P2918,P2918+1)</f>
        <v>2085</v>
      </c>
    </row>
    <row r="2920" spans="1:19" x14ac:dyDescent="0.25">
      <c r="A2920" s="2">
        <v>45654</v>
      </c>
      <c r="B2920" s="1">
        <f t="shared" si="228"/>
        <v>52</v>
      </c>
      <c r="C2920">
        <f t="shared" si="230"/>
        <v>12</v>
      </c>
      <c r="D2920" t="str">
        <f t="shared" si="231"/>
        <v>December</v>
      </c>
      <c r="E2920">
        <f t="shared" si="232"/>
        <v>2024</v>
      </c>
      <c r="F2920" t="str">
        <f>CONCATENATE(calendar[[#This Row],[Month]],"/",calendar[[#This Row],[Year]])</f>
        <v>12/2024</v>
      </c>
      <c r="G2920">
        <f>WEEKDAY(calendar[[#This Row],[Date]],1)</f>
        <v>7</v>
      </c>
      <c r="H2920" t="str">
        <f>TEXT(calendar[[#This Row],[WeekDay]],"dddd")</f>
        <v>Saturday</v>
      </c>
      <c r="I2920">
        <f>IF((INT(calendar[[#This Row],[Count]]/7)-calendar[[#This Row],[Count]]/7)&lt;0,I2919,I2919+1)</f>
        <v>417</v>
      </c>
      <c r="J2920">
        <f t="shared" si="229"/>
        <v>2918</v>
      </c>
      <c r="K2920">
        <f>IF(calendar[[#This Row],[Month]]&lt;4,1,IF(calendar[[#This Row],[Month]]&lt;7,2,IF(calendar[[#This Row],[Month]]&lt;10,3,4)))</f>
        <v>4</v>
      </c>
      <c r="L2920">
        <f>IFERROR(IF(VLOOKUP(calendar[[#This Row],[Date]],BH!A:A,1,)&lt;&gt;"",1,0),0)</f>
        <v>0</v>
      </c>
      <c r="M2920">
        <f>IFERROR(IF(VLOOKUP(calendar[[#This Row],[Date]],BH!C:C,1,)&lt;&gt;"",1,0),0)</f>
        <v>0</v>
      </c>
      <c r="N2920">
        <f>IFERROR(IF(VLOOKUP(calendar[[#This Row],[Date]],BH!E:E,1,)&lt;&gt;"",1,0),0)</f>
        <v>0</v>
      </c>
      <c r="O2920">
        <f>IFERROR(IF(VLOOKUP(calendar[[#This Row],[Date]],BH!G:G,1,)&lt;&gt;"",1,0),0)</f>
        <v>0</v>
      </c>
      <c r="P2920">
        <f>IF(OR(calendar[[#This Row],[UK_BH]]=1,calendar[[#This Row],[WeekDay]]=1, calendar[[#This Row],[WeekDay]]=7),P2919,P2919+1)</f>
        <v>2085</v>
      </c>
      <c r="Q2920">
        <f>IF(OR(calendar[[#This Row],[FR_BH]]=1,calendar[[#This Row],[WeekDay]]=1, calendar[[#This Row],[WeekDay]]=7),P2919,P2919+1)</f>
        <v>2085</v>
      </c>
      <c r="R2920">
        <f>IF(OR(calendar[[#This Row],[SP_BH]]=1,calendar[[#This Row],[WeekDay]]=1, calendar[[#This Row],[WeekDay]]=7),P2919,P2919+1)</f>
        <v>2085</v>
      </c>
      <c r="S2920">
        <f>IF(OR(calendar[[#This Row],[PT_BH]]=1,calendar[[#This Row],[WeekDay]]=1, calendar[[#This Row],[WeekDay]]=7),P2919,P2919+1)</f>
        <v>2085</v>
      </c>
    </row>
    <row r="2921" spans="1:19" x14ac:dyDescent="0.25">
      <c r="A2921" s="2">
        <v>45655</v>
      </c>
      <c r="B2921" s="1">
        <f t="shared" si="228"/>
        <v>53</v>
      </c>
      <c r="C2921">
        <f t="shared" si="230"/>
        <v>12</v>
      </c>
      <c r="D2921" t="str">
        <f t="shared" si="231"/>
        <v>December</v>
      </c>
      <c r="E2921">
        <f t="shared" si="232"/>
        <v>2024</v>
      </c>
      <c r="F2921" t="str">
        <f>CONCATENATE(calendar[[#This Row],[Month]],"/",calendar[[#This Row],[Year]])</f>
        <v>12/2024</v>
      </c>
      <c r="G2921">
        <f>WEEKDAY(calendar[[#This Row],[Date]],1)</f>
        <v>1</v>
      </c>
      <c r="H2921" t="str">
        <f>TEXT(calendar[[#This Row],[WeekDay]],"dddd")</f>
        <v>Sunday</v>
      </c>
      <c r="I2921">
        <f>IF((INT(calendar[[#This Row],[Count]]/7)-calendar[[#This Row],[Count]]/7)&lt;0,I2920,I2920+1)</f>
        <v>418</v>
      </c>
      <c r="J2921">
        <f t="shared" si="229"/>
        <v>2919</v>
      </c>
      <c r="K2921">
        <f>IF(calendar[[#This Row],[Month]]&lt;4,1,IF(calendar[[#This Row],[Month]]&lt;7,2,IF(calendar[[#This Row],[Month]]&lt;10,3,4)))</f>
        <v>4</v>
      </c>
      <c r="L2921">
        <f>IFERROR(IF(VLOOKUP(calendar[[#This Row],[Date]],BH!A:A,1,)&lt;&gt;"",1,0),0)</f>
        <v>0</v>
      </c>
      <c r="M2921">
        <f>IFERROR(IF(VLOOKUP(calendar[[#This Row],[Date]],BH!C:C,1,)&lt;&gt;"",1,0),0)</f>
        <v>0</v>
      </c>
      <c r="N2921">
        <f>IFERROR(IF(VLOOKUP(calendar[[#This Row],[Date]],BH!E:E,1,)&lt;&gt;"",1,0),0)</f>
        <v>0</v>
      </c>
      <c r="O2921">
        <f>IFERROR(IF(VLOOKUP(calendar[[#This Row],[Date]],BH!G:G,1,)&lt;&gt;"",1,0),0)</f>
        <v>0</v>
      </c>
      <c r="P2921">
        <f>IF(OR(calendar[[#This Row],[UK_BH]]=1,calendar[[#This Row],[WeekDay]]=1, calendar[[#This Row],[WeekDay]]=7),P2920,P2920+1)</f>
        <v>2085</v>
      </c>
      <c r="Q2921">
        <f>IF(OR(calendar[[#This Row],[FR_BH]]=1,calendar[[#This Row],[WeekDay]]=1, calendar[[#This Row],[WeekDay]]=7),P2920,P2920+1)</f>
        <v>2085</v>
      </c>
      <c r="R2921">
        <f>IF(OR(calendar[[#This Row],[SP_BH]]=1,calendar[[#This Row],[WeekDay]]=1, calendar[[#This Row],[WeekDay]]=7),P2920,P2920+1)</f>
        <v>2085</v>
      </c>
      <c r="S2921">
        <f>IF(OR(calendar[[#This Row],[PT_BH]]=1,calendar[[#This Row],[WeekDay]]=1, calendar[[#This Row],[WeekDay]]=7),P2920,P2920+1)</f>
        <v>2085</v>
      </c>
    </row>
    <row r="2922" spans="1:19" x14ac:dyDescent="0.25">
      <c r="A2922" s="2">
        <v>45656</v>
      </c>
      <c r="B2922" s="1">
        <f t="shared" si="228"/>
        <v>53</v>
      </c>
      <c r="C2922">
        <f t="shared" si="230"/>
        <v>12</v>
      </c>
      <c r="D2922" t="str">
        <f t="shared" si="231"/>
        <v>December</v>
      </c>
      <c r="E2922">
        <f t="shared" si="232"/>
        <v>2024</v>
      </c>
      <c r="F2922" t="str">
        <f>CONCATENATE(calendar[[#This Row],[Month]],"/",calendar[[#This Row],[Year]])</f>
        <v>12/2024</v>
      </c>
      <c r="G2922">
        <f>WEEKDAY(calendar[[#This Row],[Date]],1)</f>
        <v>2</v>
      </c>
      <c r="H2922" t="str">
        <f>TEXT(calendar[[#This Row],[WeekDay]],"dddd")</f>
        <v>Monday</v>
      </c>
      <c r="I2922">
        <f>IF((INT(calendar[[#This Row],[Count]]/7)-calendar[[#This Row],[Count]]/7)&lt;0,I2921,I2921+1)</f>
        <v>418</v>
      </c>
      <c r="J2922">
        <f t="shared" si="229"/>
        <v>2920</v>
      </c>
      <c r="K2922">
        <f>IF(calendar[[#This Row],[Month]]&lt;4,1,IF(calendar[[#This Row],[Month]]&lt;7,2,IF(calendar[[#This Row],[Month]]&lt;10,3,4)))</f>
        <v>4</v>
      </c>
      <c r="L2922">
        <f>IFERROR(IF(VLOOKUP(calendar[[#This Row],[Date]],BH!A:A,1,)&lt;&gt;"",1,0),0)</f>
        <v>0</v>
      </c>
      <c r="M2922">
        <f>IFERROR(IF(VLOOKUP(calendar[[#This Row],[Date]],BH!C:C,1,)&lt;&gt;"",1,0),0)</f>
        <v>0</v>
      </c>
      <c r="N2922">
        <f>IFERROR(IF(VLOOKUP(calendar[[#This Row],[Date]],BH!E:E,1,)&lt;&gt;"",1,0),0)</f>
        <v>0</v>
      </c>
      <c r="O2922">
        <f>IFERROR(IF(VLOOKUP(calendar[[#This Row],[Date]],BH!G:G,1,)&lt;&gt;"",1,0),0)</f>
        <v>0</v>
      </c>
      <c r="P2922">
        <f>IF(OR(calendar[[#This Row],[UK_BH]]=1,calendar[[#This Row],[WeekDay]]=1, calendar[[#This Row],[WeekDay]]=7),P2921,P2921+1)</f>
        <v>2086</v>
      </c>
      <c r="Q2922">
        <f>IF(OR(calendar[[#This Row],[FR_BH]]=1,calendar[[#This Row],[WeekDay]]=1, calendar[[#This Row],[WeekDay]]=7),P2921,P2921+1)</f>
        <v>2086</v>
      </c>
      <c r="R2922">
        <f>IF(OR(calendar[[#This Row],[SP_BH]]=1,calendar[[#This Row],[WeekDay]]=1, calendar[[#This Row],[WeekDay]]=7),P2921,P2921+1)</f>
        <v>2086</v>
      </c>
      <c r="S2922">
        <f>IF(OR(calendar[[#This Row],[PT_BH]]=1,calendar[[#This Row],[WeekDay]]=1, calendar[[#This Row],[WeekDay]]=7),P2921,P2921+1)</f>
        <v>2086</v>
      </c>
    </row>
    <row r="2923" spans="1:19" x14ac:dyDescent="0.25">
      <c r="A2923" s="2">
        <v>45657</v>
      </c>
      <c r="B2923" s="1">
        <f t="shared" si="228"/>
        <v>53</v>
      </c>
      <c r="C2923">
        <f t="shared" si="230"/>
        <v>12</v>
      </c>
      <c r="D2923" t="str">
        <f t="shared" si="231"/>
        <v>December</v>
      </c>
      <c r="E2923">
        <f t="shared" si="232"/>
        <v>2024</v>
      </c>
      <c r="F2923" t="str">
        <f>CONCATENATE(calendar[[#This Row],[Month]],"/",calendar[[#This Row],[Year]])</f>
        <v>12/2024</v>
      </c>
      <c r="G2923">
        <f>WEEKDAY(calendar[[#This Row],[Date]],1)</f>
        <v>3</v>
      </c>
      <c r="H2923" t="str">
        <f>TEXT(calendar[[#This Row],[WeekDay]],"dddd")</f>
        <v>Tuesday</v>
      </c>
      <c r="I2923">
        <f>IF((INT(calendar[[#This Row],[Count]]/7)-calendar[[#This Row],[Count]]/7)&lt;0,I2922,I2922+1)</f>
        <v>418</v>
      </c>
      <c r="J2923">
        <f t="shared" si="229"/>
        <v>2921</v>
      </c>
      <c r="K2923">
        <f>IF(calendar[[#This Row],[Month]]&lt;4,1,IF(calendar[[#This Row],[Month]]&lt;7,2,IF(calendar[[#This Row],[Month]]&lt;10,3,4)))</f>
        <v>4</v>
      </c>
      <c r="L2923">
        <f>IFERROR(IF(VLOOKUP(calendar[[#This Row],[Date]],BH!A:A,1,)&lt;&gt;"",1,0),0)</f>
        <v>0</v>
      </c>
      <c r="M2923">
        <f>IFERROR(IF(VLOOKUP(calendar[[#This Row],[Date]],BH!C:C,1,)&lt;&gt;"",1,0),0)</f>
        <v>0</v>
      </c>
      <c r="N2923">
        <f>IFERROR(IF(VLOOKUP(calendar[[#This Row],[Date]],BH!E:E,1,)&lt;&gt;"",1,0),0)</f>
        <v>0</v>
      </c>
      <c r="O2923">
        <f>IFERROR(IF(VLOOKUP(calendar[[#This Row],[Date]],BH!G:G,1,)&lt;&gt;"",1,0),0)</f>
        <v>0</v>
      </c>
      <c r="P2923">
        <f>IF(OR(calendar[[#This Row],[UK_BH]]=1,calendar[[#This Row],[WeekDay]]=1, calendar[[#This Row],[WeekDay]]=7),P2922,P2922+1)</f>
        <v>2087</v>
      </c>
      <c r="Q2923">
        <f>IF(OR(calendar[[#This Row],[FR_BH]]=1,calendar[[#This Row],[WeekDay]]=1, calendar[[#This Row],[WeekDay]]=7),P2922,P2922+1)</f>
        <v>2087</v>
      </c>
      <c r="R2923">
        <f>IF(OR(calendar[[#This Row],[SP_BH]]=1,calendar[[#This Row],[WeekDay]]=1, calendar[[#This Row],[WeekDay]]=7),P2922,P2922+1)</f>
        <v>2087</v>
      </c>
      <c r="S2923">
        <f>IF(OR(calendar[[#This Row],[PT_BH]]=1,calendar[[#This Row],[WeekDay]]=1, calendar[[#This Row],[WeekDay]]=7),P2922,P2922+1)</f>
        <v>2087</v>
      </c>
    </row>
    <row r="2924" spans="1:19" x14ac:dyDescent="0.25">
      <c r="A2924" s="2">
        <v>45658</v>
      </c>
      <c r="B2924" s="1">
        <f t="shared" si="228"/>
        <v>1</v>
      </c>
      <c r="C2924">
        <f t="shared" si="230"/>
        <v>1</v>
      </c>
      <c r="D2924" t="str">
        <f t="shared" si="231"/>
        <v>January</v>
      </c>
      <c r="E2924">
        <f t="shared" si="232"/>
        <v>2025</v>
      </c>
      <c r="F2924" t="str">
        <f>CONCATENATE(calendar[[#This Row],[Month]],"/",calendar[[#This Row],[Year]])</f>
        <v>1/2025</v>
      </c>
      <c r="G2924">
        <f>WEEKDAY(calendar[[#This Row],[Date]],1)</f>
        <v>4</v>
      </c>
      <c r="H2924" t="str">
        <f>TEXT(calendar[[#This Row],[WeekDay]],"dddd")</f>
        <v>Wednesday</v>
      </c>
      <c r="I2924">
        <f>IF((INT(calendar[[#This Row],[Count]]/7)-calendar[[#This Row],[Count]]/7)&lt;0,I2923,I2923+1)</f>
        <v>418</v>
      </c>
      <c r="J2924">
        <f t="shared" si="229"/>
        <v>2922</v>
      </c>
      <c r="K2924">
        <f>IF(calendar[[#This Row],[Month]]&lt;4,1,IF(calendar[[#This Row],[Month]]&lt;7,2,IF(calendar[[#This Row],[Month]]&lt;10,3,4)))</f>
        <v>1</v>
      </c>
      <c r="L2924">
        <f>IFERROR(IF(VLOOKUP(calendar[[#This Row],[Date]],BH!A:A,1,)&lt;&gt;"",1,0),0)</f>
        <v>1</v>
      </c>
      <c r="M2924">
        <f>IFERROR(IF(VLOOKUP(calendar[[#This Row],[Date]],BH!C:C,1,)&lt;&gt;"",1,0),0)</f>
        <v>1</v>
      </c>
      <c r="N2924">
        <f>IFERROR(IF(VLOOKUP(calendar[[#This Row],[Date]],BH!E:E,1,)&lt;&gt;"",1,0),0)</f>
        <v>1</v>
      </c>
      <c r="O2924">
        <f>IFERROR(IF(VLOOKUP(calendar[[#This Row],[Date]],BH!G:G,1,)&lt;&gt;"",1,0),0)</f>
        <v>1</v>
      </c>
      <c r="P2924">
        <f>IF(OR(calendar[[#This Row],[UK_BH]]=1,calendar[[#This Row],[WeekDay]]=1, calendar[[#This Row],[WeekDay]]=7),P2923,P2923+1)</f>
        <v>2087</v>
      </c>
      <c r="Q2924">
        <f>IF(OR(calendar[[#This Row],[FR_BH]]=1,calendar[[#This Row],[WeekDay]]=1, calendar[[#This Row],[WeekDay]]=7),P2923,P2923+1)</f>
        <v>2087</v>
      </c>
      <c r="R2924">
        <f>IF(OR(calendar[[#This Row],[SP_BH]]=1,calendar[[#This Row],[WeekDay]]=1, calendar[[#This Row],[WeekDay]]=7),P2923,P2923+1)</f>
        <v>2087</v>
      </c>
      <c r="S2924">
        <f>IF(OR(calendar[[#This Row],[PT_BH]]=1,calendar[[#This Row],[WeekDay]]=1, calendar[[#This Row],[WeekDay]]=7),P2923,P2923+1)</f>
        <v>2087</v>
      </c>
    </row>
    <row r="2925" spans="1:19" x14ac:dyDescent="0.25">
      <c r="A2925" s="2">
        <v>45659</v>
      </c>
      <c r="B2925" s="1">
        <f t="shared" si="228"/>
        <v>1</v>
      </c>
      <c r="C2925">
        <f t="shared" si="230"/>
        <v>1</v>
      </c>
      <c r="D2925" t="str">
        <f t="shared" si="231"/>
        <v>January</v>
      </c>
      <c r="E2925">
        <f t="shared" si="232"/>
        <v>2025</v>
      </c>
      <c r="F2925" t="str">
        <f>CONCATENATE(calendar[[#This Row],[Month]],"/",calendar[[#This Row],[Year]])</f>
        <v>1/2025</v>
      </c>
      <c r="G2925">
        <f>WEEKDAY(calendar[[#This Row],[Date]],1)</f>
        <v>5</v>
      </c>
      <c r="H2925" t="str">
        <f>TEXT(calendar[[#This Row],[WeekDay]],"dddd")</f>
        <v>Thursday</v>
      </c>
      <c r="I2925">
        <f>IF((INT(calendar[[#This Row],[Count]]/7)-calendar[[#This Row],[Count]]/7)&lt;0,I2924,I2924+1)</f>
        <v>418</v>
      </c>
      <c r="J2925">
        <f t="shared" si="229"/>
        <v>2923</v>
      </c>
      <c r="K2925">
        <f>IF(calendar[[#This Row],[Month]]&lt;4,1,IF(calendar[[#This Row],[Month]]&lt;7,2,IF(calendar[[#This Row],[Month]]&lt;10,3,4)))</f>
        <v>1</v>
      </c>
      <c r="L2925">
        <f>IFERROR(IF(VLOOKUP(calendar[[#This Row],[Date]],BH!A:A,1,)&lt;&gt;"",1,0),0)</f>
        <v>0</v>
      </c>
      <c r="M2925">
        <f>IFERROR(IF(VLOOKUP(calendar[[#This Row],[Date]],BH!C:C,1,)&lt;&gt;"",1,0),0)</f>
        <v>0</v>
      </c>
      <c r="N2925">
        <f>IFERROR(IF(VLOOKUP(calendar[[#This Row],[Date]],BH!E:E,1,)&lt;&gt;"",1,0),0)</f>
        <v>0</v>
      </c>
      <c r="O2925">
        <f>IFERROR(IF(VLOOKUP(calendar[[#This Row],[Date]],BH!G:G,1,)&lt;&gt;"",1,0),0)</f>
        <v>0</v>
      </c>
      <c r="P2925">
        <f>IF(OR(calendar[[#This Row],[UK_BH]]=1,calendar[[#This Row],[WeekDay]]=1, calendar[[#This Row],[WeekDay]]=7),P2924,P2924+1)</f>
        <v>2088</v>
      </c>
      <c r="Q2925">
        <f>IF(OR(calendar[[#This Row],[FR_BH]]=1,calendar[[#This Row],[WeekDay]]=1, calendar[[#This Row],[WeekDay]]=7),P2924,P2924+1)</f>
        <v>2088</v>
      </c>
      <c r="R2925">
        <f>IF(OR(calendar[[#This Row],[SP_BH]]=1,calendar[[#This Row],[WeekDay]]=1, calendar[[#This Row],[WeekDay]]=7),P2924,P2924+1)</f>
        <v>2088</v>
      </c>
      <c r="S2925">
        <f>IF(OR(calendar[[#This Row],[PT_BH]]=1,calendar[[#This Row],[WeekDay]]=1, calendar[[#This Row],[WeekDay]]=7),P2924,P2924+1)</f>
        <v>2088</v>
      </c>
    </row>
    <row r="2926" spans="1:19" x14ac:dyDescent="0.25">
      <c r="A2926" s="2">
        <v>45660</v>
      </c>
      <c r="B2926" s="1">
        <f t="shared" si="228"/>
        <v>1</v>
      </c>
      <c r="C2926">
        <f t="shared" si="230"/>
        <v>1</v>
      </c>
      <c r="D2926" t="str">
        <f t="shared" si="231"/>
        <v>January</v>
      </c>
      <c r="E2926">
        <f t="shared" si="232"/>
        <v>2025</v>
      </c>
      <c r="F2926" t="str">
        <f>CONCATENATE(calendar[[#This Row],[Month]],"/",calendar[[#This Row],[Year]])</f>
        <v>1/2025</v>
      </c>
      <c r="G2926">
        <f>WEEKDAY(calendar[[#This Row],[Date]],1)</f>
        <v>6</v>
      </c>
      <c r="H2926" t="str">
        <f>TEXT(calendar[[#This Row],[WeekDay]],"dddd")</f>
        <v>Friday</v>
      </c>
      <c r="I2926">
        <f>IF((INT(calendar[[#This Row],[Count]]/7)-calendar[[#This Row],[Count]]/7)&lt;0,I2925,I2925+1)</f>
        <v>418</v>
      </c>
      <c r="J2926">
        <f t="shared" si="229"/>
        <v>2924</v>
      </c>
      <c r="K2926">
        <f>IF(calendar[[#This Row],[Month]]&lt;4,1,IF(calendar[[#This Row],[Month]]&lt;7,2,IF(calendar[[#This Row],[Month]]&lt;10,3,4)))</f>
        <v>1</v>
      </c>
      <c r="L2926">
        <f>IFERROR(IF(VLOOKUP(calendar[[#This Row],[Date]],BH!A:A,1,)&lt;&gt;"",1,0),0)</f>
        <v>0</v>
      </c>
      <c r="M2926">
        <f>IFERROR(IF(VLOOKUP(calendar[[#This Row],[Date]],BH!C:C,1,)&lt;&gt;"",1,0),0)</f>
        <v>0</v>
      </c>
      <c r="N2926">
        <f>IFERROR(IF(VLOOKUP(calendar[[#This Row],[Date]],BH!E:E,1,)&lt;&gt;"",1,0),0)</f>
        <v>0</v>
      </c>
      <c r="O2926">
        <f>IFERROR(IF(VLOOKUP(calendar[[#This Row],[Date]],BH!G:G,1,)&lt;&gt;"",1,0),0)</f>
        <v>0</v>
      </c>
      <c r="P2926">
        <f>IF(OR(calendar[[#This Row],[UK_BH]]=1,calendar[[#This Row],[WeekDay]]=1, calendar[[#This Row],[WeekDay]]=7),P2925,P2925+1)</f>
        <v>2089</v>
      </c>
      <c r="Q2926">
        <f>IF(OR(calendar[[#This Row],[FR_BH]]=1,calendar[[#This Row],[WeekDay]]=1, calendar[[#This Row],[WeekDay]]=7),P2925,P2925+1)</f>
        <v>2089</v>
      </c>
      <c r="R2926">
        <f>IF(OR(calendar[[#This Row],[SP_BH]]=1,calendar[[#This Row],[WeekDay]]=1, calendar[[#This Row],[WeekDay]]=7),P2925,P2925+1)</f>
        <v>2089</v>
      </c>
      <c r="S2926">
        <f>IF(OR(calendar[[#This Row],[PT_BH]]=1,calendar[[#This Row],[WeekDay]]=1, calendar[[#This Row],[WeekDay]]=7),P2925,P2925+1)</f>
        <v>2089</v>
      </c>
    </row>
    <row r="2927" spans="1:19" x14ac:dyDescent="0.25">
      <c r="A2927" s="2">
        <v>45661</v>
      </c>
      <c r="B2927" s="1">
        <f t="shared" si="228"/>
        <v>1</v>
      </c>
      <c r="C2927">
        <f t="shared" si="230"/>
        <v>1</v>
      </c>
      <c r="D2927" t="str">
        <f t="shared" si="231"/>
        <v>January</v>
      </c>
      <c r="E2927">
        <f t="shared" si="232"/>
        <v>2025</v>
      </c>
      <c r="F2927" t="str">
        <f>CONCATENATE(calendar[[#This Row],[Month]],"/",calendar[[#This Row],[Year]])</f>
        <v>1/2025</v>
      </c>
      <c r="G2927">
        <f>WEEKDAY(calendar[[#This Row],[Date]],1)</f>
        <v>7</v>
      </c>
      <c r="H2927" t="str">
        <f>TEXT(calendar[[#This Row],[WeekDay]],"dddd")</f>
        <v>Saturday</v>
      </c>
      <c r="I2927">
        <f>IF((INT(calendar[[#This Row],[Count]]/7)-calendar[[#This Row],[Count]]/7)&lt;0,I2926,I2926+1)</f>
        <v>418</v>
      </c>
      <c r="J2927">
        <f t="shared" si="229"/>
        <v>2925</v>
      </c>
      <c r="K2927">
        <f>IF(calendar[[#This Row],[Month]]&lt;4,1,IF(calendar[[#This Row],[Month]]&lt;7,2,IF(calendar[[#This Row],[Month]]&lt;10,3,4)))</f>
        <v>1</v>
      </c>
      <c r="L2927">
        <f>IFERROR(IF(VLOOKUP(calendar[[#This Row],[Date]],BH!A:A,1,)&lt;&gt;"",1,0),0)</f>
        <v>0</v>
      </c>
      <c r="M2927">
        <f>IFERROR(IF(VLOOKUP(calendar[[#This Row],[Date]],BH!C:C,1,)&lt;&gt;"",1,0),0)</f>
        <v>0</v>
      </c>
      <c r="N2927">
        <f>IFERROR(IF(VLOOKUP(calendar[[#This Row],[Date]],BH!E:E,1,)&lt;&gt;"",1,0),0)</f>
        <v>0</v>
      </c>
      <c r="O2927">
        <f>IFERROR(IF(VLOOKUP(calendar[[#This Row],[Date]],BH!G:G,1,)&lt;&gt;"",1,0),0)</f>
        <v>0</v>
      </c>
      <c r="P2927">
        <f>IF(OR(calendar[[#This Row],[UK_BH]]=1,calendar[[#This Row],[WeekDay]]=1, calendar[[#This Row],[WeekDay]]=7),P2926,P2926+1)</f>
        <v>2089</v>
      </c>
      <c r="Q2927">
        <f>IF(OR(calendar[[#This Row],[FR_BH]]=1,calendar[[#This Row],[WeekDay]]=1, calendar[[#This Row],[WeekDay]]=7),P2926,P2926+1)</f>
        <v>2089</v>
      </c>
      <c r="R2927">
        <f>IF(OR(calendar[[#This Row],[SP_BH]]=1,calendar[[#This Row],[WeekDay]]=1, calendar[[#This Row],[WeekDay]]=7),P2926,P2926+1)</f>
        <v>2089</v>
      </c>
      <c r="S2927">
        <f>IF(OR(calendar[[#This Row],[PT_BH]]=1,calendar[[#This Row],[WeekDay]]=1, calendar[[#This Row],[WeekDay]]=7),P2926,P2926+1)</f>
        <v>2089</v>
      </c>
    </row>
    <row r="2928" spans="1:19" x14ac:dyDescent="0.25">
      <c r="A2928" s="2">
        <v>45662</v>
      </c>
      <c r="B2928" s="1">
        <f t="shared" si="228"/>
        <v>2</v>
      </c>
      <c r="C2928">
        <f t="shared" si="230"/>
        <v>1</v>
      </c>
      <c r="D2928" t="str">
        <f t="shared" si="231"/>
        <v>January</v>
      </c>
      <c r="E2928">
        <f t="shared" si="232"/>
        <v>2025</v>
      </c>
      <c r="F2928" t="str">
        <f>CONCATENATE(calendar[[#This Row],[Month]],"/",calendar[[#This Row],[Year]])</f>
        <v>1/2025</v>
      </c>
      <c r="G2928">
        <f>WEEKDAY(calendar[[#This Row],[Date]],1)</f>
        <v>1</v>
      </c>
      <c r="H2928" t="str">
        <f>TEXT(calendar[[#This Row],[WeekDay]],"dddd")</f>
        <v>Sunday</v>
      </c>
      <c r="I2928">
        <f>IF((INT(calendar[[#This Row],[Count]]/7)-calendar[[#This Row],[Count]]/7)&lt;0,I2927,I2927+1)</f>
        <v>419</v>
      </c>
      <c r="J2928">
        <f t="shared" si="229"/>
        <v>2926</v>
      </c>
      <c r="K2928">
        <f>IF(calendar[[#This Row],[Month]]&lt;4,1,IF(calendar[[#This Row],[Month]]&lt;7,2,IF(calendar[[#This Row],[Month]]&lt;10,3,4)))</f>
        <v>1</v>
      </c>
      <c r="L2928">
        <f>IFERROR(IF(VLOOKUP(calendar[[#This Row],[Date]],BH!A:A,1,)&lt;&gt;"",1,0),0)</f>
        <v>0</v>
      </c>
      <c r="M2928">
        <f>IFERROR(IF(VLOOKUP(calendar[[#This Row],[Date]],BH!C:C,1,)&lt;&gt;"",1,0),0)</f>
        <v>0</v>
      </c>
      <c r="N2928">
        <f>IFERROR(IF(VLOOKUP(calendar[[#This Row],[Date]],BH!E:E,1,)&lt;&gt;"",1,0),0)</f>
        <v>0</v>
      </c>
      <c r="O2928">
        <f>IFERROR(IF(VLOOKUP(calendar[[#This Row],[Date]],BH!G:G,1,)&lt;&gt;"",1,0),0)</f>
        <v>0</v>
      </c>
      <c r="P2928">
        <f>IF(OR(calendar[[#This Row],[UK_BH]]=1,calendar[[#This Row],[WeekDay]]=1, calendar[[#This Row],[WeekDay]]=7),P2927,P2927+1)</f>
        <v>2089</v>
      </c>
      <c r="Q2928">
        <f>IF(OR(calendar[[#This Row],[FR_BH]]=1,calendar[[#This Row],[WeekDay]]=1, calendar[[#This Row],[WeekDay]]=7),P2927,P2927+1)</f>
        <v>2089</v>
      </c>
      <c r="R2928">
        <f>IF(OR(calendar[[#This Row],[SP_BH]]=1,calendar[[#This Row],[WeekDay]]=1, calendar[[#This Row],[WeekDay]]=7),P2927,P2927+1)</f>
        <v>2089</v>
      </c>
      <c r="S2928">
        <f>IF(OR(calendar[[#This Row],[PT_BH]]=1,calendar[[#This Row],[WeekDay]]=1, calendar[[#This Row],[WeekDay]]=7),P2927,P2927+1)</f>
        <v>2089</v>
      </c>
    </row>
    <row r="2929" spans="1:19" x14ac:dyDescent="0.25">
      <c r="A2929" s="2">
        <v>45663</v>
      </c>
      <c r="B2929" s="1">
        <f t="shared" si="228"/>
        <v>2</v>
      </c>
      <c r="C2929">
        <f t="shared" si="230"/>
        <v>1</v>
      </c>
      <c r="D2929" t="str">
        <f t="shared" si="231"/>
        <v>January</v>
      </c>
      <c r="E2929">
        <f t="shared" si="232"/>
        <v>2025</v>
      </c>
      <c r="F2929" t="str">
        <f>CONCATENATE(calendar[[#This Row],[Month]],"/",calendar[[#This Row],[Year]])</f>
        <v>1/2025</v>
      </c>
      <c r="G2929">
        <f>WEEKDAY(calendar[[#This Row],[Date]],1)</f>
        <v>2</v>
      </c>
      <c r="H2929" t="str">
        <f>TEXT(calendar[[#This Row],[WeekDay]],"dddd")</f>
        <v>Monday</v>
      </c>
      <c r="I2929">
        <f>IF((INT(calendar[[#This Row],[Count]]/7)-calendar[[#This Row],[Count]]/7)&lt;0,I2928,I2928+1)</f>
        <v>419</v>
      </c>
      <c r="J2929">
        <f t="shared" si="229"/>
        <v>2927</v>
      </c>
      <c r="K2929">
        <f>IF(calendar[[#This Row],[Month]]&lt;4,1,IF(calendar[[#This Row],[Month]]&lt;7,2,IF(calendar[[#This Row],[Month]]&lt;10,3,4)))</f>
        <v>1</v>
      </c>
      <c r="L2929">
        <f>IFERROR(IF(VLOOKUP(calendar[[#This Row],[Date]],BH!A:A,1,)&lt;&gt;"",1,0),0)</f>
        <v>0</v>
      </c>
      <c r="M2929">
        <f>IFERROR(IF(VLOOKUP(calendar[[#This Row],[Date]],BH!C:C,1,)&lt;&gt;"",1,0),0)</f>
        <v>0</v>
      </c>
      <c r="N2929">
        <f>IFERROR(IF(VLOOKUP(calendar[[#This Row],[Date]],BH!E:E,1,)&lt;&gt;"",1,0),0)</f>
        <v>1</v>
      </c>
      <c r="O2929">
        <f>IFERROR(IF(VLOOKUP(calendar[[#This Row],[Date]],BH!G:G,1,)&lt;&gt;"",1,0),0)</f>
        <v>0</v>
      </c>
      <c r="P2929">
        <f>IF(OR(calendar[[#This Row],[UK_BH]]=1,calendar[[#This Row],[WeekDay]]=1, calendar[[#This Row],[WeekDay]]=7),P2928,P2928+1)</f>
        <v>2090</v>
      </c>
      <c r="Q2929">
        <f>IF(OR(calendar[[#This Row],[FR_BH]]=1,calendar[[#This Row],[WeekDay]]=1, calendar[[#This Row],[WeekDay]]=7),P2928,P2928+1)</f>
        <v>2090</v>
      </c>
      <c r="R2929">
        <f>IF(OR(calendar[[#This Row],[SP_BH]]=1,calendar[[#This Row],[WeekDay]]=1, calendar[[#This Row],[WeekDay]]=7),P2928,P2928+1)</f>
        <v>2089</v>
      </c>
      <c r="S2929">
        <f>IF(OR(calendar[[#This Row],[PT_BH]]=1,calendar[[#This Row],[WeekDay]]=1, calendar[[#This Row],[WeekDay]]=7),P2928,P2928+1)</f>
        <v>2090</v>
      </c>
    </row>
    <row r="2930" spans="1:19" x14ac:dyDescent="0.25">
      <c r="A2930" s="2">
        <v>45664</v>
      </c>
      <c r="B2930" s="1">
        <f t="shared" si="228"/>
        <v>2</v>
      </c>
      <c r="C2930">
        <f t="shared" si="230"/>
        <v>1</v>
      </c>
      <c r="D2930" t="str">
        <f t="shared" si="231"/>
        <v>January</v>
      </c>
      <c r="E2930">
        <f t="shared" si="232"/>
        <v>2025</v>
      </c>
      <c r="F2930" t="str">
        <f>CONCATENATE(calendar[[#This Row],[Month]],"/",calendar[[#This Row],[Year]])</f>
        <v>1/2025</v>
      </c>
      <c r="G2930">
        <f>WEEKDAY(calendar[[#This Row],[Date]],1)</f>
        <v>3</v>
      </c>
      <c r="H2930" t="str">
        <f>TEXT(calendar[[#This Row],[WeekDay]],"dddd")</f>
        <v>Tuesday</v>
      </c>
      <c r="I2930">
        <f>IF((INT(calendar[[#This Row],[Count]]/7)-calendar[[#This Row],[Count]]/7)&lt;0,I2929,I2929+1)</f>
        <v>419</v>
      </c>
      <c r="J2930">
        <f t="shared" si="229"/>
        <v>2928</v>
      </c>
      <c r="K2930">
        <f>IF(calendar[[#This Row],[Month]]&lt;4,1,IF(calendar[[#This Row],[Month]]&lt;7,2,IF(calendar[[#This Row],[Month]]&lt;10,3,4)))</f>
        <v>1</v>
      </c>
      <c r="L2930">
        <f>IFERROR(IF(VLOOKUP(calendar[[#This Row],[Date]],BH!A:A,1,)&lt;&gt;"",1,0),0)</f>
        <v>0</v>
      </c>
      <c r="M2930">
        <f>IFERROR(IF(VLOOKUP(calendar[[#This Row],[Date]],BH!C:C,1,)&lt;&gt;"",1,0),0)</f>
        <v>0</v>
      </c>
      <c r="N2930">
        <f>IFERROR(IF(VLOOKUP(calendar[[#This Row],[Date]],BH!E:E,1,)&lt;&gt;"",1,0),0)</f>
        <v>0</v>
      </c>
      <c r="O2930">
        <f>IFERROR(IF(VLOOKUP(calendar[[#This Row],[Date]],BH!G:G,1,)&lt;&gt;"",1,0),0)</f>
        <v>0</v>
      </c>
      <c r="P2930">
        <f>IF(OR(calendar[[#This Row],[UK_BH]]=1,calendar[[#This Row],[WeekDay]]=1, calendar[[#This Row],[WeekDay]]=7),P2929,P2929+1)</f>
        <v>2091</v>
      </c>
      <c r="Q2930">
        <f>IF(OR(calendar[[#This Row],[FR_BH]]=1,calendar[[#This Row],[WeekDay]]=1, calendar[[#This Row],[WeekDay]]=7),P2929,P2929+1)</f>
        <v>2091</v>
      </c>
      <c r="R2930">
        <f>IF(OR(calendar[[#This Row],[SP_BH]]=1,calendar[[#This Row],[WeekDay]]=1, calendar[[#This Row],[WeekDay]]=7),P2929,P2929+1)</f>
        <v>2091</v>
      </c>
      <c r="S2930">
        <f>IF(OR(calendar[[#This Row],[PT_BH]]=1,calendar[[#This Row],[WeekDay]]=1, calendar[[#This Row],[WeekDay]]=7),P2929,P2929+1)</f>
        <v>2091</v>
      </c>
    </row>
    <row r="2931" spans="1:19" x14ac:dyDescent="0.25">
      <c r="A2931" s="2">
        <v>45665</v>
      </c>
      <c r="B2931" s="1">
        <f t="shared" si="228"/>
        <v>2</v>
      </c>
      <c r="C2931">
        <f t="shared" si="230"/>
        <v>1</v>
      </c>
      <c r="D2931" t="str">
        <f t="shared" si="231"/>
        <v>January</v>
      </c>
      <c r="E2931">
        <f t="shared" si="232"/>
        <v>2025</v>
      </c>
      <c r="F2931" t="str">
        <f>CONCATENATE(calendar[[#This Row],[Month]],"/",calendar[[#This Row],[Year]])</f>
        <v>1/2025</v>
      </c>
      <c r="G2931">
        <f>WEEKDAY(calendar[[#This Row],[Date]],1)</f>
        <v>4</v>
      </c>
      <c r="H2931" t="str">
        <f>TEXT(calendar[[#This Row],[WeekDay]],"dddd")</f>
        <v>Wednesday</v>
      </c>
      <c r="I2931">
        <f>IF((INT(calendar[[#This Row],[Count]]/7)-calendar[[#This Row],[Count]]/7)&lt;0,I2930,I2930+1)</f>
        <v>419</v>
      </c>
      <c r="J2931">
        <f t="shared" si="229"/>
        <v>2929</v>
      </c>
      <c r="K2931">
        <f>IF(calendar[[#This Row],[Month]]&lt;4,1,IF(calendar[[#This Row],[Month]]&lt;7,2,IF(calendar[[#This Row],[Month]]&lt;10,3,4)))</f>
        <v>1</v>
      </c>
      <c r="L2931">
        <f>IFERROR(IF(VLOOKUP(calendar[[#This Row],[Date]],BH!A:A,1,)&lt;&gt;"",1,0),0)</f>
        <v>0</v>
      </c>
      <c r="M2931">
        <f>IFERROR(IF(VLOOKUP(calendar[[#This Row],[Date]],BH!C:C,1,)&lt;&gt;"",1,0),0)</f>
        <v>0</v>
      </c>
      <c r="N2931">
        <f>IFERROR(IF(VLOOKUP(calendar[[#This Row],[Date]],BH!E:E,1,)&lt;&gt;"",1,0),0)</f>
        <v>0</v>
      </c>
      <c r="O2931">
        <f>IFERROR(IF(VLOOKUP(calendar[[#This Row],[Date]],BH!G:G,1,)&lt;&gt;"",1,0),0)</f>
        <v>0</v>
      </c>
      <c r="P2931">
        <f>IF(OR(calendar[[#This Row],[UK_BH]]=1,calendar[[#This Row],[WeekDay]]=1, calendar[[#This Row],[WeekDay]]=7),P2930,P2930+1)</f>
        <v>2092</v>
      </c>
      <c r="Q2931">
        <f>IF(OR(calendar[[#This Row],[FR_BH]]=1,calendar[[#This Row],[WeekDay]]=1, calendar[[#This Row],[WeekDay]]=7),P2930,P2930+1)</f>
        <v>2092</v>
      </c>
      <c r="R2931">
        <f>IF(OR(calendar[[#This Row],[SP_BH]]=1,calendar[[#This Row],[WeekDay]]=1, calendar[[#This Row],[WeekDay]]=7),P2930,P2930+1)</f>
        <v>2092</v>
      </c>
      <c r="S2931">
        <f>IF(OR(calendar[[#This Row],[PT_BH]]=1,calendar[[#This Row],[WeekDay]]=1, calendar[[#This Row],[WeekDay]]=7),P2930,P2930+1)</f>
        <v>2092</v>
      </c>
    </row>
    <row r="2932" spans="1:19" x14ac:dyDescent="0.25">
      <c r="A2932" s="2">
        <v>45666</v>
      </c>
      <c r="B2932" s="1">
        <f t="shared" si="228"/>
        <v>2</v>
      </c>
      <c r="C2932">
        <f t="shared" si="230"/>
        <v>1</v>
      </c>
      <c r="D2932" t="str">
        <f t="shared" si="231"/>
        <v>January</v>
      </c>
      <c r="E2932">
        <f t="shared" si="232"/>
        <v>2025</v>
      </c>
      <c r="F2932" t="str">
        <f>CONCATENATE(calendar[[#This Row],[Month]],"/",calendar[[#This Row],[Year]])</f>
        <v>1/2025</v>
      </c>
      <c r="G2932">
        <f>WEEKDAY(calendar[[#This Row],[Date]],1)</f>
        <v>5</v>
      </c>
      <c r="H2932" t="str">
        <f>TEXT(calendar[[#This Row],[WeekDay]],"dddd")</f>
        <v>Thursday</v>
      </c>
      <c r="I2932">
        <f>IF((INT(calendar[[#This Row],[Count]]/7)-calendar[[#This Row],[Count]]/7)&lt;0,I2931,I2931+1)</f>
        <v>419</v>
      </c>
      <c r="J2932">
        <f t="shared" si="229"/>
        <v>2930</v>
      </c>
      <c r="K2932">
        <f>IF(calendar[[#This Row],[Month]]&lt;4,1,IF(calendar[[#This Row],[Month]]&lt;7,2,IF(calendar[[#This Row],[Month]]&lt;10,3,4)))</f>
        <v>1</v>
      </c>
      <c r="L2932">
        <f>IFERROR(IF(VLOOKUP(calendar[[#This Row],[Date]],BH!A:A,1,)&lt;&gt;"",1,0),0)</f>
        <v>0</v>
      </c>
      <c r="M2932">
        <f>IFERROR(IF(VLOOKUP(calendar[[#This Row],[Date]],BH!C:C,1,)&lt;&gt;"",1,0),0)</f>
        <v>0</v>
      </c>
      <c r="N2932">
        <f>IFERROR(IF(VLOOKUP(calendar[[#This Row],[Date]],BH!E:E,1,)&lt;&gt;"",1,0),0)</f>
        <v>0</v>
      </c>
      <c r="O2932">
        <f>IFERROR(IF(VLOOKUP(calendar[[#This Row],[Date]],BH!G:G,1,)&lt;&gt;"",1,0),0)</f>
        <v>0</v>
      </c>
      <c r="P2932">
        <f>IF(OR(calendar[[#This Row],[UK_BH]]=1,calendar[[#This Row],[WeekDay]]=1, calendar[[#This Row],[WeekDay]]=7),P2931,P2931+1)</f>
        <v>2093</v>
      </c>
      <c r="Q2932">
        <f>IF(OR(calendar[[#This Row],[FR_BH]]=1,calendar[[#This Row],[WeekDay]]=1, calendar[[#This Row],[WeekDay]]=7),P2931,P2931+1)</f>
        <v>2093</v>
      </c>
      <c r="R2932">
        <f>IF(OR(calendar[[#This Row],[SP_BH]]=1,calendar[[#This Row],[WeekDay]]=1, calendar[[#This Row],[WeekDay]]=7),P2931,P2931+1)</f>
        <v>2093</v>
      </c>
      <c r="S2932">
        <f>IF(OR(calendar[[#This Row],[PT_BH]]=1,calendar[[#This Row],[WeekDay]]=1, calendar[[#This Row],[WeekDay]]=7),P2931,P2931+1)</f>
        <v>2093</v>
      </c>
    </row>
    <row r="2933" spans="1:19" x14ac:dyDescent="0.25">
      <c r="A2933" s="2">
        <v>45667</v>
      </c>
      <c r="B2933" s="1">
        <f t="shared" si="228"/>
        <v>2</v>
      </c>
      <c r="C2933">
        <f t="shared" si="230"/>
        <v>1</v>
      </c>
      <c r="D2933" t="str">
        <f t="shared" si="231"/>
        <v>January</v>
      </c>
      <c r="E2933">
        <f t="shared" si="232"/>
        <v>2025</v>
      </c>
      <c r="F2933" t="str">
        <f>CONCATENATE(calendar[[#This Row],[Month]],"/",calendar[[#This Row],[Year]])</f>
        <v>1/2025</v>
      </c>
      <c r="G2933">
        <f>WEEKDAY(calendar[[#This Row],[Date]],1)</f>
        <v>6</v>
      </c>
      <c r="H2933" t="str">
        <f>TEXT(calendar[[#This Row],[WeekDay]],"dddd")</f>
        <v>Friday</v>
      </c>
      <c r="I2933">
        <f>IF((INT(calendar[[#This Row],[Count]]/7)-calendar[[#This Row],[Count]]/7)&lt;0,I2932,I2932+1)</f>
        <v>419</v>
      </c>
      <c r="J2933">
        <f t="shared" si="229"/>
        <v>2931</v>
      </c>
      <c r="K2933">
        <f>IF(calendar[[#This Row],[Month]]&lt;4,1,IF(calendar[[#This Row],[Month]]&lt;7,2,IF(calendar[[#This Row],[Month]]&lt;10,3,4)))</f>
        <v>1</v>
      </c>
      <c r="L2933">
        <f>IFERROR(IF(VLOOKUP(calendar[[#This Row],[Date]],BH!A:A,1,)&lt;&gt;"",1,0),0)</f>
        <v>0</v>
      </c>
      <c r="M2933">
        <f>IFERROR(IF(VLOOKUP(calendar[[#This Row],[Date]],BH!C:C,1,)&lt;&gt;"",1,0),0)</f>
        <v>0</v>
      </c>
      <c r="N2933">
        <f>IFERROR(IF(VLOOKUP(calendar[[#This Row],[Date]],BH!E:E,1,)&lt;&gt;"",1,0),0)</f>
        <v>0</v>
      </c>
      <c r="O2933">
        <f>IFERROR(IF(VLOOKUP(calendar[[#This Row],[Date]],BH!G:G,1,)&lt;&gt;"",1,0),0)</f>
        <v>0</v>
      </c>
      <c r="P2933">
        <f>IF(OR(calendar[[#This Row],[UK_BH]]=1,calendar[[#This Row],[WeekDay]]=1, calendar[[#This Row],[WeekDay]]=7),P2932,P2932+1)</f>
        <v>2094</v>
      </c>
      <c r="Q2933">
        <f>IF(OR(calendar[[#This Row],[FR_BH]]=1,calendar[[#This Row],[WeekDay]]=1, calendar[[#This Row],[WeekDay]]=7),P2932,P2932+1)</f>
        <v>2094</v>
      </c>
      <c r="R2933">
        <f>IF(OR(calendar[[#This Row],[SP_BH]]=1,calendar[[#This Row],[WeekDay]]=1, calendar[[#This Row],[WeekDay]]=7),P2932,P2932+1)</f>
        <v>2094</v>
      </c>
      <c r="S2933">
        <f>IF(OR(calendar[[#This Row],[PT_BH]]=1,calendar[[#This Row],[WeekDay]]=1, calendar[[#This Row],[WeekDay]]=7),P2932,P2932+1)</f>
        <v>2094</v>
      </c>
    </row>
    <row r="2934" spans="1:19" x14ac:dyDescent="0.25">
      <c r="A2934" s="2">
        <v>45668</v>
      </c>
      <c r="B2934" s="1">
        <f t="shared" si="228"/>
        <v>2</v>
      </c>
      <c r="C2934">
        <f t="shared" si="230"/>
        <v>1</v>
      </c>
      <c r="D2934" t="str">
        <f t="shared" si="231"/>
        <v>January</v>
      </c>
      <c r="E2934">
        <f t="shared" si="232"/>
        <v>2025</v>
      </c>
      <c r="F2934" t="str">
        <f>CONCATENATE(calendar[[#This Row],[Month]],"/",calendar[[#This Row],[Year]])</f>
        <v>1/2025</v>
      </c>
      <c r="G2934">
        <f>WEEKDAY(calendar[[#This Row],[Date]],1)</f>
        <v>7</v>
      </c>
      <c r="H2934" t="str">
        <f>TEXT(calendar[[#This Row],[WeekDay]],"dddd")</f>
        <v>Saturday</v>
      </c>
      <c r="I2934">
        <f>IF((INT(calendar[[#This Row],[Count]]/7)-calendar[[#This Row],[Count]]/7)&lt;0,I2933,I2933+1)</f>
        <v>419</v>
      </c>
      <c r="J2934">
        <f t="shared" si="229"/>
        <v>2932</v>
      </c>
      <c r="K2934">
        <f>IF(calendar[[#This Row],[Month]]&lt;4,1,IF(calendar[[#This Row],[Month]]&lt;7,2,IF(calendar[[#This Row],[Month]]&lt;10,3,4)))</f>
        <v>1</v>
      </c>
      <c r="L2934">
        <f>IFERROR(IF(VLOOKUP(calendar[[#This Row],[Date]],BH!A:A,1,)&lt;&gt;"",1,0),0)</f>
        <v>0</v>
      </c>
      <c r="M2934">
        <f>IFERROR(IF(VLOOKUP(calendar[[#This Row],[Date]],BH!C:C,1,)&lt;&gt;"",1,0),0)</f>
        <v>0</v>
      </c>
      <c r="N2934">
        <f>IFERROR(IF(VLOOKUP(calendar[[#This Row],[Date]],BH!E:E,1,)&lt;&gt;"",1,0),0)</f>
        <v>0</v>
      </c>
      <c r="O2934">
        <f>IFERROR(IF(VLOOKUP(calendar[[#This Row],[Date]],BH!G:G,1,)&lt;&gt;"",1,0),0)</f>
        <v>0</v>
      </c>
      <c r="P2934">
        <f>IF(OR(calendar[[#This Row],[UK_BH]]=1,calendar[[#This Row],[WeekDay]]=1, calendar[[#This Row],[WeekDay]]=7),P2933,P2933+1)</f>
        <v>2094</v>
      </c>
      <c r="Q2934">
        <f>IF(OR(calendar[[#This Row],[FR_BH]]=1,calendar[[#This Row],[WeekDay]]=1, calendar[[#This Row],[WeekDay]]=7),P2933,P2933+1)</f>
        <v>2094</v>
      </c>
      <c r="R2934">
        <f>IF(OR(calendar[[#This Row],[SP_BH]]=1,calendar[[#This Row],[WeekDay]]=1, calendar[[#This Row],[WeekDay]]=7),P2933,P2933+1)</f>
        <v>2094</v>
      </c>
      <c r="S2934">
        <f>IF(OR(calendar[[#This Row],[PT_BH]]=1,calendar[[#This Row],[WeekDay]]=1, calendar[[#This Row],[WeekDay]]=7),P2933,P2933+1)</f>
        <v>2094</v>
      </c>
    </row>
    <row r="2935" spans="1:19" x14ac:dyDescent="0.25">
      <c r="A2935" s="2">
        <v>45669</v>
      </c>
      <c r="B2935" s="1">
        <f t="shared" si="228"/>
        <v>3</v>
      </c>
      <c r="C2935">
        <f t="shared" si="230"/>
        <v>1</v>
      </c>
      <c r="D2935" t="str">
        <f t="shared" si="231"/>
        <v>January</v>
      </c>
      <c r="E2935">
        <f t="shared" si="232"/>
        <v>2025</v>
      </c>
      <c r="F2935" t="str">
        <f>CONCATENATE(calendar[[#This Row],[Month]],"/",calendar[[#This Row],[Year]])</f>
        <v>1/2025</v>
      </c>
      <c r="G2935">
        <f>WEEKDAY(calendar[[#This Row],[Date]],1)</f>
        <v>1</v>
      </c>
      <c r="H2935" t="str">
        <f>TEXT(calendar[[#This Row],[WeekDay]],"dddd")</f>
        <v>Sunday</v>
      </c>
      <c r="I2935">
        <f>IF((INT(calendar[[#This Row],[Count]]/7)-calendar[[#This Row],[Count]]/7)&lt;0,I2934,I2934+1)</f>
        <v>420</v>
      </c>
      <c r="J2935">
        <f t="shared" si="229"/>
        <v>2933</v>
      </c>
      <c r="K2935">
        <f>IF(calendar[[#This Row],[Month]]&lt;4,1,IF(calendar[[#This Row],[Month]]&lt;7,2,IF(calendar[[#This Row],[Month]]&lt;10,3,4)))</f>
        <v>1</v>
      </c>
      <c r="L2935">
        <f>IFERROR(IF(VLOOKUP(calendar[[#This Row],[Date]],BH!A:A,1,)&lt;&gt;"",1,0),0)</f>
        <v>0</v>
      </c>
      <c r="M2935">
        <f>IFERROR(IF(VLOOKUP(calendar[[#This Row],[Date]],BH!C:C,1,)&lt;&gt;"",1,0),0)</f>
        <v>0</v>
      </c>
      <c r="N2935">
        <f>IFERROR(IF(VLOOKUP(calendar[[#This Row],[Date]],BH!E:E,1,)&lt;&gt;"",1,0),0)</f>
        <v>0</v>
      </c>
      <c r="O2935">
        <f>IFERROR(IF(VLOOKUP(calendar[[#This Row],[Date]],BH!G:G,1,)&lt;&gt;"",1,0),0)</f>
        <v>0</v>
      </c>
      <c r="P2935">
        <f>IF(OR(calendar[[#This Row],[UK_BH]]=1,calendar[[#This Row],[WeekDay]]=1, calendar[[#This Row],[WeekDay]]=7),P2934,P2934+1)</f>
        <v>2094</v>
      </c>
      <c r="Q2935">
        <f>IF(OR(calendar[[#This Row],[FR_BH]]=1,calendar[[#This Row],[WeekDay]]=1, calendar[[#This Row],[WeekDay]]=7),P2934,P2934+1)</f>
        <v>2094</v>
      </c>
      <c r="R2935">
        <f>IF(OR(calendar[[#This Row],[SP_BH]]=1,calendar[[#This Row],[WeekDay]]=1, calendar[[#This Row],[WeekDay]]=7),P2934,P2934+1)</f>
        <v>2094</v>
      </c>
      <c r="S2935">
        <f>IF(OR(calendar[[#This Row],[PT_BH]]=1,calendar[[#This Row],[WeekDay]]=1, calendar[[#This Row],[WeekDay]]=7),P2934,P2934+1)</f>
        <v>2094</v>
      </c>
    </row>
    <row r="2936" spans="1:19" x14ac:dyDescent="0.25">
      <c r="A2936" s="2">
        <v>45670</v>
      </c>
      <c r="B2936" s="1">
        <f t="shared" si="228"/>
        <v>3</v>
      </c>
      <c r="C2936">
        <f t="shared" si="230"/>
        <v>1</v>
      </c>
      <c r="D2936" t="str">
        <f t="shared" si="231"/>
        <v>January</v>
      </c>
      <c r="E2936">
        <f t="shared" si="232"/>
        <v>2025</v>
      </c>
      <c r="F2936" t="str">
        <f>CONCATENATE(calendar[[#This Row],[Month]],"/",calendar[[#This Row],[Year]])</f>
        <v>1/2025</v>
      </c>
      <c r="G2936">
        <f>WEEKDAY(calendar[[#This Row],[Date]],1)</f>
        <v>2</v>
      </c>
      <c r="H2936" t="str">
        <f>TEXT(calendar[[#This Row],[WeekDay]],"dddd")</f>
        <v>Monday</v>
      </c>
      <c r="I2936">
        <f>IF((INT(calendar[[#This Row],[Count]]/7)-calendar[[#This Row],[Count]]/7)&lt;0,I2935,I2935+1)</f>
        <v>420</v>
      </c>
      <c r="J2936">
        <f t="shared" si="229"/>
        <v>2934</v>
      </c>
      <c r="K2936">
        <f>IF(calendar[[#This Row],[Month]]&lt;4,1,IF(calendar[[#This Row],[Month]]&lt;7,2,IF(calendar[[#This Row],[Month]]&lt;10,3,4)))</f>
        <v>1</v>
      </c>
      <c r="L2936">
        <f>IFERROR(IF(VLOOKUP(calendar[[#This Row],[Date]],BH!A:A,1,)&lt;&gt;"",1,0),0)</f>
        <v>0</v>
      </c>
      <c r="M2936">
        <f>IFERROR(IF(VLOOKUP(calendar[[#This Row],[Date]],BH!C:C,1,)&lt;&gt;"",1,0),0)</f>
        <v>0</v>
      </c>
      <c r="N2936">
        <f>IFERROR(IF(VLOOKUP(calendar[[#This Row],[Date]],BH!E:E,1,)&lt;&gt;"",1,0),0)</f>
        <v>0</v>
      </c>
      <c r="O2936">
        <f>IFERROR(IF(VLOOKUP(calendar[[#This Row],[Date]],BH!G:G,1,)&lt;&gt;"",1,0),0)</f>
        <v>0</v>
      </c>
      <c r="P2936">
        <f>IF(OR(calendar[[#This Row],[UK_BH]]=1,calendar[[#This Row],[WeekDay]]=1, calendar[[#This Row],[WeekDay]]=7),P2935,P2935+1)</f>
        <v>2095</v>
      </c>
      <c r="Q2936">
        <f>IF(OR(calendar[[#This Row],[FR_BH]]=1,calendar[[#This Row],[WeekDay]]=1, calendar[[#This Row],[WeekDay]]=7),P2935,P2935+1)</f>
        <v>2095</v>
      </c>
      <c r="R2936">
        <f>IF(OR(calendar[[#This Row],[SP_BH]]=1,calendar[[#This Row],[WeekDay]]=1, calendar[[#This Row],[WeekDay]]=7),P2935,P2935+1)</f>
        <v>2095</v>
      </c>
      <c r="S2936">
        <f>IF(OR(calendar[[#This Row],[PT_BH]]=1,calendar[[#This Row],[WeekDay]]=1, calendar[[#This Row],[WeekDay]]=7),P2935,P2935+1)</f>
        <v>2095</v>
      </c>
    </row>
    <row r="2937" spans="1:19" x14ac:dyDescent="0.25">
      <c r="A2937" s="2">
        <v>45671</v>
      </c>
      <c r="B2937" s="1">
        <f t="shared" si="228"/>
        <v>3</v>
      </c>
      <c r="C2937">
        <f t="shared" si="230"/>
        <v>1</v>
      </c>
      <c r="D2937" t="str">
        <f t="shared" si="231"/>
        <v>January</v>
      </c>
      <c r="E2937">
        <f t="shared" si="232"/>
        <v>2025</v>
      </c>
      <c r="F2937" t="str">
        <f>CONCATENATE(calendar[[#This Row],[Month]],"/",calendar[[#This Row],[Year]])</f>
        <v>1/2025</v>
      </c>
      <c r="G2937">
        <f>WEEKDAY(calendar[[#This Row],[Date]],1)</f>
        <v>3</v>
      </c>
      <c r="H2937" t="str">
        <f>TEXT(calendar[[#This Row],[WeekDay]],"dddd")</f>
        <v>Tuesday</v>
      </c>
      <c r="I2937">
        <f>IF((INT(calendar[[#This Row],[Count]]/7)-calendar[[#This Row],[Count]]/7)&lt;0,I2936,I2936+1)</f>
        <v>420</v>
      </c>
      <c r="J2937">
        <f t="shared" si="229"/>
        <v>2935</v>
      </c>
      <c r="K2937">
        <f>IF(calendar[[#This Row],[Month]]&lt;4,1,IF(calendar[[#This Row],[Month]]&lt;7,2,IF(calendar[[#This Row],[Month]]&lt;10,3,4)))</f>
        <v>1</v>
      </c>
      <c r="L2937">
        <f>IFERROR(IF(VLOOKUP(calendar[[#This Row],[Date]],BH!A:A,1,)&lt;&gt;"",1,0),0)</f>
        <v>0</v>
      </c>
      <c r="M2937">
        <f>IFERROR(IF(VLOOKUP(calendar[[#This Row],[Date]],BH!C:C,1,)&lt;&gt;"",1,0),0)</f>
        <v>0</v>
      </c>
      <c r="N2937">
        <f>IFERROR(IF(VLOOKUP(calendar[[#This Row],[Date]],BH!E:E,1,)&lt;&gt;"",1,0),0)</f>
        <v>0</v>
      </c>
      <c r="O2937">
        <f>IFERROR(IF(VLOOKUP(calendar[[#This Row],[Date]],BH!G:G,1,)&lt;&gt;"",1,0),0)</f>
        <v>0</v>
      </c>
      <c r="P2937">
        <f>IF(OR(calendar[[#This Row],[UK_BH]]=1,calendar[[#This Row],[WeekDay]]=1, calendar[[#This Row],[WeekDay]]=7),P2936,P2936+1)</f>
        <v>2096</v>
      </c>
      <c r="Q2937">
        <f>IF(OR(calendar[[#This Row],[FR_BH]]=1,calendar[[#This Row],[WeekDay]]=1, calendar[[#This Row],[WeekDay]]=7),P2936,P2936+1)</f>
        <v>2096</v>
      </c>
      <c r="R2937">
        <f>IF(OR(calendar[[#This Row],[SP_BH]]=1,calendar[[#This Row],[WeekDay]]=1, calendar[[#This Row],[WeekDay]]=7),P2936,P2936+1)</f>
        <v>2096</v>
      </c>
      <c r="S2937">
        <f>IF(OR(calendar[[#This Row],[PT_BH]]=1,calendar[[#This Row],[WeekDay]]=1, calendar[[#This Row],[WeekDay]]=7),P2936,P2936+1)</f>
        <v>2096</v>
      </c>
    </row>
    <row r="2938" spans="1:19" x14ac:dyDescent="0.25">
      <c r="A2938" s="2">
        <v>45672</v>
      </c>
      <c r="B2938" s="1">
        <f t="shared" si="228"/>
        <v>3</v>
      </c>
      <c r="C2938">
        <f t="shared" si="230"/>
        <v>1</v>
      </c>
      <c r="D2938" t="str">
        <f t="shared" si="231"/>
        <v>January</v>
      </c>
      <c r="E2938">
        <f t="shared" si="232"/>
        <v>2025</v>
      </c>
      <c r="F2938" t="str">
        <f>CONCATENATE(calendar[[#This Row],[Month]],"/",calendar[[#This Row],[Year]])</f>
        <v>1/2025</v>
      </c>
      <c r="G2938">
        <f>WEEKDAY(calendar[[#This Row],[Date]],1)</f>
        <v>4</v>
      </c>
      <c r="H2938" t="str">
        <f>TEXT(calendar[[#This Row],[WeekDay]],"dddd")</f>
        <v>Wednesday</v>
      </c>
      <c r="I2938">
        <f>IF((INT(calendar[[#This Row],[Count]]/7)-calendar[[#This Row],[Count]]/7)&lt;0,I2937,I2937+1)</f>
        <v>420</v>
      </c>
      <c r="J2938">
        <f t="shared" si="229"/>
        <v>2936</v>
      </c>
      <c r="K2938">
        <f>IF(calendar[[#This Row],[Month]]&lt;4,1,IF(calendar[[#This Row],[Month]]&lt;7,2,IF(calendar[[#This Row],[Month]]&lt;10,3,4)))</f>
        <v>1</v>
      </c>
      <c r="L2938">
        <f>IFERROR(IF(VLOOKUP(calendar[[#This Row],[Date]],BH!A:A,1,)&lt;&gt;"",1,0),0)</f>
        <v>0</v>
      </c>
      <c r="M2938">
        <f>IFERROR(IF(VLOOKUP(calendar[[#This Row],[Date]],BH!C:C,1,)&lt;&gt;"",1,0),0)</f>
        <v>0</v>
      </c>
      <c r="N2938">
        <f>IFERROR(IF(VLOOKUP(calendar[[#This Row],[Date]],BH!E:E,1,)&lt;&gt;"",1,0),0)</f>
        <v>0</v>
      </c>
      <c r="O2938">
        <f>IFERROR(IF(VLOOKUP(calendar[[#This Row],[Date]],BH!G:G,1,)&lt;&gt;"",1,0),0)</f>
        <v>0</v>
      </c>
      <c r="P2938">
        <f>IF(OR(calendar[[#This Row],[UK_BH]]=1,calendar[[#This Row],[WeekDay]]=1, calendar[[#This Row],[WeekDay]]=7),P2937,P2937+1)</f>
        <v>2097</v>
      </c>
      <c r="Q2938">
        <f>IF(OR(calendar[[#This Row],[FR_BH]]=1,calendar[[#This Row],[WeekDay]]=1, calendar[[#This Row],[WeekDay]]=7),P2937,P2937+1)</f>
        <v>2097</v>
      </c>
      <c r="R2938">
        <f>IF(OR(calendar[[#This Row],[SP_BH]]=1,calendar[[#This Row],[WeekDay]]=1, calendar[[#This Row],[WeekDay]]=7),P2937,P2937+1)</f>
        <v>2097</v>
      </c>
      <c r="S2938">
        <f>IF(OR(calendar[[#This Row],[PT_BH]]=1,calendar[[#This Row],[WeekDay]]=1, calendar[[#This Row],[WeekDay]]=7),P2937,P2937+1)</f>
        <v>2097</v>
      </c>
    </row>
    <row r="2939" spans="1:19" x14ac:dyDescent="0.25">
      <c r="A2939" s="2">
        <v>45673</v>
      </c>
      <c r="B2939" s="1">
        <f t="shared" si="228"/>
        <v>3</v>
      </c>
      <c r="C2939">
        <f t="shared" si="230"/>
        <v>1</v>
      </c>
      <c r="D2939" t="str">
        <f t="shared" si="231"/>
        <v>January</v>
      </c>
      <c r="E2939">
        <f t="shared" si="232"/>
        <v>2025</v>
      </c>
      <c r="F2939" t="str">
        <f>CONCATENATE(calendar[[#This Row],[Month]],"/",calendar[[#This Row],[Year]])</f>
        <v>1/2025</v>
      </c>
      <c r="G2939">
        <f>WEEKDAY(calendar[[#This Row],[Date]],1)</f>
        <v>5</v>
      </c>
      <c r="H2939" t="str">
        <f>TEXT(calendar[[#This Row],[WeekDay]],"dddd")</f>
        <v>Thursday</v>
      </c>
      <c r="I2939">
        <f>IF((INT(calendar[[#This Row],[Count]]/7)-calendar[[#This Row],[Count]]/7)&lt;0,I2938,I2938+1)</f>
        <v>420</v>
      </c>
      <c r="J2939">
        <f t="shared" si="229"/>
        <v>2937</v>
      </c>
      <c r="K2939">
        <f>IF(calendar[[#This Row],[Month]]&lt;4,1,IF(calendar[[#This Row],[Month]]&lt;7,2,IF(calendar[[#This Row],[Month]]&lt;10,3,4)))</f>
        <v>1</v>
      </c>
      <c r="L2939">
        <f>IFERROR(IF(VLOOKUP(calendar[[#This Row],[Date]],BH!A:A,1,)&lt;&gt;"",1,0),0)</f>
        <v>0</v>
      </c>
      <c r="M2939">
        <f>IFERROR(IF(VLOOKUP(calendar[[#This Row],[Date]],BH!C:C,1,)&lt;&gt;"",1,0),0)</f>
        <v>0</v>
      </c>
      <c r="N2939">
        <f>IFERROR(IF(VLOOKUP(calendar[[#This Row],[Date]],BH!E:E,1,)&lt;&gt;"",1,0),0)</f>
        <v>0</v>
      </c>
      <c r="O2939">
        <f>IFERROR(IF(VLOOKUP(calendar[[#This Row],[Date]],BH!G:G,1,)&lt;&gt;"",1,0),0)</f>
        <v>0</v>
      </c>
      <c r="P2939">
        <f>IF(OR(calendar[[#This Row],[UK_BH]]=1,calendar[[#This Row],[WeekDay]]=1, calendar[[#This Row],[WeekDay]]=7),P2938,P2938+1)</f>
        <v>2098</v>
      </c>
      <c r="Q2939">
        <f>IF(OR(calendar[[#This Row],[FR_BH]]=1,calendar[[#This Row],[WeekDay]]=1, calendar[[#This Row],[WeekDay]]=7),P2938,P2938+1)</f>
        <v>2098</v>
      </c>
      <c r="R2939">
        <f>IF(OR(calendar[[#This Row],[SP_BH]]=1,calendar[[#This Row],[WeekDay]]=1, calendar[[#This Row],[WeekDay]]=7),P2938,P2938+1)</f>
        <v>2098</v>
      </c>
      <c r="S2939">
        <f>IF(OR(calendar[[#This Row],[PT_BH]]=1,calendar[[#This Row],[WeekDay]]=1, calendar[[#This Row],[WeekDay]]=7),P2938,P2938+1)</f>
        <v>2098</v>
      </c>
    </row>
    <row r="2940" spans="1:19" x14ac:dyDescent="0.25">
      <c r="A2940" s="2">
        <v>45674</v>
      </c>
      <c r="B2940" s="1">
        <f t="shared" si="228"/>
        <v>3</v>
      </c>
      <c r="C2940">
        <f t="shared" si="230"/>
        <v>1</v>
      </c>
      <c r="D2940" t="str">
        <f t="shared" si="231"/>
        <v>January</v>
      </c>
      <c r="E2940">
        <f t="shared" si="232"/>
        <v>2025</v>
      </c>
      <c r="F2940" t="str">
        <f>CONCATENATE(calendar[[#This Row],[Month]],"/",calendar[[#This Row],[Year]])</f>
        <v>1/2025</v>
      </c>
      <c r="G2940">
        <f>WEEKDAY(calendar[[#This Row],[Date]],1)</f>
        <v>6</v>
      </c>
      <c r="H2940" t="str">
        <f>TEXT(calendar[[#This Row],[WeekDay]],"dddd")</f>
        <v>Friday</v>
      </c>
      <c r="I2940">
        <f>IF((INT(calendar[[#This Row],[Count]]/7)-calendar[[#This Row],[Count]]/7)&lt;0,I2939,I2939+1)</f>
        <v>420</v>
      </c>
      <c r="J2940">
        <f t="shared" si="229"/>
        <v>2938</v>
      </c>
      <c r="K2940">
        <f>IF(calendar[[#This Row],[Month]]&lt;4,1,IF(calendar[[#This Row],[Month]]&lt;7,2,IF(calendar[[#This Row],[Month]]&lt;10,3,4)))</f>
        <v>1</v>
      </c>
      <c r="L2940">
        <f>IFERROR(IF(VLOOKUP(calendar[[#This Row],[Date]],BH!A:A,1,)&lt;&gt;"",1,0),0)</f>
        <v>0</v>
      </c>
      <c r="M2940">
        <f>IFERROR(IF(VLOOKUP(calendar[[#This Row],[Date]],BH!C:C,1,)&lt;&gt;"",1,0),0)</f>
        <v>0</v>
      </c>
      <c r="N2940">
        <f>IFERROR(IF(VLOOKUP(calendar[[#This Row],[Date]],BH!E:E,1,)&lt;&gt;"",1,0),0)</f>
        <v>0</v>
      </c>
      <c r="O2940">
        <f>IFERROR(IF(VLOOKUP(calendar[[#This Row],[Date]],BH!G:G,1,)&lt;&gt;"",1,0),0)</f>
        <v>0</v>
      </c>
      <c r="P2940">
        <f>IF(OR(calendar[[#This Row],[UK_BH]]=1,calendar[[#This Row],[WeekDay]]=1, calendar[[#This Row],[WeekDay]]=7),P2939,P2939+1)</f>
        <v>2099</v>
      </c>
      <c r="Q2940">
        <f>IF(OR(calendar[[#This Row],[FR_BH]]=1,calendar[[#This Row],[WeekDay]]=1, calendar[[#This Row],[WeekDay]]=7),P2939,P2939+1)</f>
        <v>2099</v>
      </c>
      <c r="R2940">
        <f>IF(OR(calendar[[#This Row],[SP_BH]]=1,calendar[[#This Row],[WeekDay]]=1, calendar[[#This Row],[WeekDay]]=7),P2939,P2939+1)</f>
        <v>2099</v>
      </c>
      <c r="S2940">
        <f>IF(OR(calendar[[#This Row],[PT_BH]]=1,calendar[[#This Row],[WeekDay]]=1, calendar[[#This Row],[WeekDay]]=7),P2939,P2939+1)</f>
        <v>2099</v>
      </c>
    </row>
    <row r="2941" spans="1:19" x14ac:dyDescent="0.25">
      <c r="A2941" s="2">
        <v>45675</v>
      </c>
      <c r="B2941" s="1">
        <f t="shared" si="228"/>
        <v>3</v>
      </c>
      <c r="C2941">
        <f t="shared" si="230"/>
        <v>1</v>
      </c>
      <c r="D2941" t="str">
        <f t="shared" si="231"/>
        <v>January</v>
      </c>
      <c r="E2941">
        <f t="shared" si="232"/>
        <v>2025</v>
      </c>
      <c r="F2941" t="str">
        <f>CONCATENATE(calendar[[#This Row],[Month]],"/",calendar[[#This Row],[Year]])</f>
        <v>1/2025</v>
      </c>
      <c r="G2941">
        <f>WEEKDAY(calendar[[#This Row],[Date]],1)</f>
        <v>7</v>
      </c>
      <c r="H2941" t="str">
        <f>TEXT(calendar[[#This Row],[WeekDay]],"dddd")</f>
        <v>Saturday</v>
      </c>
      <c r="I2941">
        <f>IF((INT(calendar[[#This Row],[Count]]/7)-calendar[[#This Row],[Count]]/7)&lt;0,I2940,I2940+1)</f>
        <v>420</v>
      </c>
      <c r="J2941">
        <f t="shared" si="229"/>
        <v>2939</v>
      </c>
      <c r="K2941">
        <f>IF(calendar[[#This Row],[Month]]&lt;4,1,IF(calendar[[#This Row],[Month]]&lt;7,2,IF(calendar[[#This Row],[Month]]&lt;10,3,4)))</f>
        <v>1</v>
      </c>
      <c r="L2941">
        <f>IFERROR(IF(VLOOKUP(calendar[[#This Row],[Date]],BH!A:A,1,)&lt;&gt;"",1,0),0)</f>
        <v>0</v>
      </c>
      <c r="M2941">
        <f>IFERROR(IF(VLOOKUP(calendar[[#This Row],[Date]],BH!C:C,1,)&lt;&gt;"",1,0),0)</f>
        <v>0</v>
      </c>
      <c r="N2941">
        <f>IFERROR(IF(VLOOKUP(calendar[[#This Row],[Date]],BH!E:E,1,)&lt;&gt;"",1,0),0)</f>
        <v>0</v>
      </c>
      <c r="O2941">
        <f>IFERROR(IF(VLOOKUP(calendar[[#This Row],[Date]],BH!G:G,1,)&lt;&gt;"",1,0),0)</f>
        <v>0</v>
      </c>
      <c r="P2941">
        <f>IF(OR(calendar[[#This Row],[UK_BH]]=1,calendar[[#This Row],[WeekDay]]=1, calendar[[#This Row],[WeekDay]]=7),P2940,P2940+1)</f>
        <v>2099</v>
      </c>
      <c r="Q2941">
        <f>IF(OR(calendar[[#This Row],[FR_BH]]=1,calendar[[#This Row],[WeekDay]]=1, calendar[[#This Row],[WeekDay]]=7),P2940,P2940+1)</f>
        <v>2099</v>
      </c>
      <c r="R2941">
        <f>IF(OR(calendar[[#This Row],[SP_BH]]=1,calendar[[#This Row],[WeekDay]]=1, calendar[[#This Row],[WeekDay]]=7),P2940,P2940+1)</f>
        <v>2099</v>
      </c>
      <c r="S2941">
        <f>IF(OR(calendar[[#This Row],[PT_BH]]=1,calendar[[#This Row],[WeekDay]]=1, calendar[[#This Row],[WeekDay]]=7),P2940,P2940+1)</f>
        <v>2099</v>
      </c>
    </row>
    <row r="2942" spans="1:19" x14ac:dyDescent="0.25">
      <c r="A2942" s="2">
        <v>45676</v>
      </c>
      <c r="B2942" s="1">
        <f t="shared" si="228"/>
        <v>4</v>
      </c>
      <c r="C2942">
        <f t="shared" si="230"/>
        <v>1</v>
      </c>
      <c r="D2942" t="str">
        <f t="shared" si="231"/>
        <v>January</v>
      </c>
      <c r="E2942">
        <f t="shared" si="232"/>
        <v>2025</v>
      </c>
      <c r="F2942" t="str">
        <f>CONCATENATE(calendar[[#This Row],[Month]],"/",calendar[[#This Row],[Year]])</f>
        <v>1/2025</v>
      </c>
      <c r="G2942">
        <f>WEEKDAY(calendar[[#This Row],[Date]],1)</f>
        <v>1</v>
      </c>
      <c r="H2942" t="str">
        <f>TEXT(calendar[[#This Row],[WeekDay]],"dddd")</f>
        <v>Sunday</v>
      </c>
      <c r="I2942">
        <f>IF((INT(calendar[[#This Row],[Count]]/7)-calendar[[#This Row],[Count]]/7)&lt;0,I2941,I2941+1)</f>
        <v>421</v>
      </c>
      <c r="J2942">
        <f t="shared" si="229"/>
        <v>2940</v>
      </c>
      <c r="K2942">
        <f>IF(calendar[[#This Row],[Month]]&lt;4,1,IF(calendar[[#This Row],[Month]]&lt;7,2,IF(calendar[[#This Row],[Month]]&lt;10,3,4)))</f>
        <v>1</v>
      </c>
      <c r="L2942">
        <f>IFERROR(IF(VLOOKUP(calendar[[#This Row],[Date]],BH!A:A,1,)&lt;&gt;"",1,0),0)</f>
        <v>0</v>
      </c>
      <c r="M2942">
        <f>IFERROR(IF(VLOOKUP(calendar[[#This Row],[Date]],BH!C:C,1,)&lt;&gt;"",1,0),0)</f>
        <v>0</v>
      </c>
      <c r="N2942">
        <f>IFERROR(IF(VLOOKUP(calendar[[#This Row],[Date]],BH!E:E,1,)&lt;&gt;"",1,0),0)</f>
        <v>0</v>
      </c>
      <c r="O2942">
        <f>IFERROR(IF(VLOOKUP(calendar[[#This Row],[Date]],BH!G:G,1,)&lt;&gt;"",1,0),0)</f>
        <v>0</v>
      </c>
      <c r="P2942">
        <f>IF(OR(calendar[[#This Row],[UK_BH]]=1,calendar[[#This Row],[WeekDay]]=1, calendar[[#This Row],[WeekDay]]=7),P2941,P2941+1)</f>
        <v>2099</v>
      </c>
      <c r="Q2942">
        <f>IF(OR(calendar[[#This Row],[FR_BH]]=1,calendar[[#This Row],[WeekDay]]=1, calendar[[#This Row],[WeekDay]]=7),P2941,P2941+1)</f>
        <v>2099</v>
      </c>
      <c r="R2942">
        <f>IF(OR(calendar[[#This Row],[SP_BH]]=1,calendar[[#This Row],[WeekDay]]=1, calendar[[#This Row],[WeekDay]]=7),P2941,P2941+1)</f>
        <v>2099</v>
      </c>
      <c r="S2942">
        <f>IF(OR(calendar[[#This Row],[PT_BH]]=1,calendar[[#This Row],[WeekDay]]=1, calendar[[#This Row],[WeekDay]]=7),P2941,P2941+1)</f>
        <v>2099</v>
      </c>
    </row>
    <row r="2943" spans="1:19" x14ac:dyDescent="0.25">
      <c r="A2943" s="2">
        <v>45677</v>
      </c>
      <c r="B2943" s="1">
        <f t="shared" si="228"/>
        <v>4</v>
      </c>
      <c r="C2943">
        <f t="shared" si="230"/>
        <v>1</v>
      </c>
      <c r="D2943" t="str">
        <f t="shared" si="231"/>
        <v>January</v>
      </c>
      <c r="E2943">
        <f t="shared" si="232"/>
        <v>2025</v>
      </c>
      <c r="F2943" t="str">
        <f>CONCATENATE(calendar[[#This Row],[Month]],"/",calendar[[#This Row],[Year]])</f>
        <v>1/2025</v>
      </c>
      <c r="G2943">
        <f>WEEKDAY(calendar[[#This Row],[Date]],1)</f>
        <v>2</v>
      </c>
      <c r="H2943" t="str">
        <f>TEXT(calendar[[#This Row],[WeekDay]],"dddd")</f>
        <v>Monday</v>
      </c>
      <c r="I2943">
        <f>IF((INT(calendar[[#This Row],[Count]]/7)-calendar[[#This Row],[Count]]/7)&lt;0,I2942,I2942+1)</f>
        <v>421</v>
      </c>
      <c r="J2943">
        <f t="shared" si="229"/>
        <v>2941</v>
      </c>
      <c r="K2943">
        <f>IF(calendar[[#This Row],[Month]]&lt;4,1,IF(calendar[[#This Row],[Month]]&lt;7,2,IF(calendar[[#This Row],[Month]]&lt;10,3,4)))</f>
        <v>1</v>
      </c>
      <c r="L2943">
        <f>IFERROR(IF(VLOOKUP(calendar[[#This Row],[Date]],BH!A:A,1,)&lt;&gt;"",1,0),0)</f>
        <v>0</v>
      </c>
      <c r="M2943">
        <f>IFERROR(IF(VLOOKUP(calendar[[#This Row],[Date]],BH!C:C,1,)&lt;&gt;"",1,0),0)</f>
        <v>0</v>
      </c>
      <c r="N2943">
        <f>IFERROR(IF(VLOOKUP(calendar[[#This Row],[Date]],BH!E:E,1,)&lt;&gt;"",1,0),0)</f>
        <v>0</v>
      </c>
      <c r="O2943">
        <f>IFERROR(IF(VLOOKUP(calendar[[#This Row],[Date]],BH!G:G,1,)&lt;&gt;"",1,0),0)</f>
        <v>0</v>
      </c>
      <c r="P2943">
        <f>IF(OR(calendar[[#This Row],[UK_BH]]=1,calendar[[#This Row],[WeekDay]]=1, calendar[[#This Row],[WeekDay]]=7),P2942,P2942+1)</f>
        <v>2100</v>
      </c>
      <c r="Q2943">
        <f>IF(OR(calendar[[#This Row],[FR_BH]]=1,calendar[[#This Row],[WeekDay]]=1, calendar[[#This Row],[WeekDay]]=7),P2942,P2942+1)</f>
        <v>2100</v>
      </c>
      <c r="R2943">
        <f>IF(OR(calendar[[#This Row],[SP_BH]]=1,calendar[[#This Row],[WeekDay]]=1, calendar[[#This Row],[WeekDay]]=7),P2942,P2942+1)</f>
        <v>2100</v>
      </c>
      <c r="S2943">
        <f>IF(OR(calendar[[#This Row],[PT_BH]]=1,calendar[[#This Row],[WeekDay]]=1, calendar[[#This Row],[WeekDay]]=7),P2942,P2942+1)</f>
        <v>2100</v>
      </c>
    </row>
    <row r="2944" spans="1:19" x14ac:dyDescent="0.25">
      <c r="A2944" s="2">
        <v>45678</v>
      </c>
      <c r="B2944" s="1">
        <f t="shared" si="228"/>
        <v>4</v>
      </c>
      <c r="C2944">
        <f t="shared" si="230"/>
        <v>1</v>
      </c>
      <c r="D2944" t="str">
        <f t="shared" si="231"/>
        <v>January</v>
      </c>
      <c r="E2944">
        <f t="shared" si="232"/>
        <v>2025</v>
      </c>
      <c r="F2944" t="str">
        <f>CONCATENATE(calendar[[#This Row],[Month]],"/",calendar[[#This Row],[Year]])</f>
        <v>1/2025</v>
      </c>
      <c r="G2944">
        <f>WEEKDAY(calendar[[#This Row],[Date]],1)</f>
        <v>3</v>
      </c>
      <c r="H2944" t="str">
        <f>TEXT(calendar[[#This Row],[WeekDay]],"dddd")</f>
        <v>Tuesday</v>
      </c>
      <c r="I2944">
        <f>IF((INT(calendar[[#This Row],[Count]]/7)-calendar[[#This Row],[Count]]/7)&lt;0,I2943,I2943+1)</f>
        <v>421</v>
      </c>
      <c r="J2944">
        <f t="shared" si="229"/>
        <v>2942</v>
      </c>
      <c r="K2944">
        <f>IF(calendar[[#This Row],[Month]]&lt;4,1,IF(calendar[[#This Row],[Month]]&lt;7,2,IF(calendar[[#This Row],[Month]]&lt;10,3,4)))</f>
        <v>1</v>
      </c>
      <c r="L2944">
        <f>IFERROR(IF(VLOOKUP(calendar[[#This Row],[Date]],BH!A:A,1,)&lt;&gt;"",1,0),0)</f>
        <v>0</v>
      </c>
      <c r="M2944">
        <f>IFERROR(IF(VLOOKUP(calendar[[#This Row],[Date]],BH!C:C,1,)&lt;&gt;"",1,0),0)</f>
        <v>0</v>
      </c>
      <c r="N2944">
        <f>IFERROR(IF(VLOOKUP(calendar[[#This Row],[Date]],BH!E:E,1,)&lt;&gt;"",1,0),0)</f>
        <v>0</v>
      </c>
      <c r="O2944">
        <f>IFERROR(IF(VLOOKUP(calendar[[#This Row],[Date]],BH!G:G,1,)&lt;&gt;"",1,0),0)</f>
        <v>0</v>
      </c>
      <c r="P2944">
        <f>IF(OR(calendar[[#This Row],[UK_BH]]=1,calendar[[#This Row],[WeekDay]]=1, calendar[[#This Row],[WeekDay]]=7),P2943,P2943+1)</f>
        <v>2101</v>
      </c>
      <c r="Q2944">
        <f>IF(OR(calendar[[#This Row],[FR_BH]]=1,calendar[[#This Row],[WeekDay]]=1, calendar[[#This Row],[WeekDay]]=7),P2943,P2943+1)</f>
        <v>2101</v>
      </c>
      <c r="R2944">
        <f>IF(OR(calendar[[#This Row],[SP_BH]]=1,calendar[[#This Row],[WeekDay]]=1, calendar[[#This Row],[WeekDay]]=7),P2943,P2943+1)</f>
        <v>2101</v>
      </c>
      <c r="S2944">
        <f>IF(OR(calendar[[#This Row],[PT_BH]]=1,calendar[[#This Row],[WeekDay]]=1, calendar[[#This Row],[WeekDay]]=7),P2943,P2943+1)</f>
        <v>2101</v>
      </c>
    </row>
    <row r="2945" spans="1:19" x14ac:dyDescent="0.25">
      <c r="A2945" s="2">
        <v>45679</v>
      </c>
      <c r="B2945" s="1">
        <f t="shared" si="228"/>
        <v>4</v>
      </c>
      <c r="C2945">
        <f t="shared" si="230"/>
        <v>1</v>
      </c>
      <c r="D2945" t="str">
        <f t="shared" si="231"/>
        <v>January</v>
      </c>
      <c r="E2945">
        <f t="shared" si="232"/>
        <v>2025</v>
      </c>
      <c r="F2945" t="str">
        <f>CONCATENATE(calendar[[#This Row],[Month]],"/",calendar[[#This Row],[Year]])</f>
        <v>1/2025</v>
      </c>
      <c r="G2945">
        <f>WEEKDAY(calendar[[#This Row],[Date]],1)</f>
        <v>4</v>
      </c>
      <c r="H2945" t="str">
        <f>TEXT(calendar[[#This Row],[WeekDay]],"dddd")</f>
        <v>Wednesday</v>
      </c>
      <c r="I2945">
        <f>IF((INT(calendar[[#This Row],[Count]]/7)-calendar[[#This Row],[Count]]/7)&lt;0,I2944,I2944+1)</f>
        <v>421</v>
      </c>
      <c r="J2945">
        <f t="shared" si="229"/>
        <v>2943</v>
      </c>
      <c r="K2945">
        <f>IF(calendar[[#This Row],[Month]]&lt;4,1,IF(calendar[[#This Row],[Month]]&lt;7,2,IF(calendar[[#This Row],[Month]]&lt;10,3,4)))</f>
        <v>1</v>
      </c>
      <c r="L2945">
        <f>IFERROR(IF(VLOOKUP(calendar[[#This Row],[Date]],BH!A:A,1,)&lt;&gt;"",1,0),0)</f>
        <v>0</v>
      </c>
      <c r="M2945">
        <f>IFERROR(IF(VLOOKUP(calendar[[#This Row],[Date]],BH!C:C,1,)&lt;&gt;"",1,0),0)</f>
        <v>0</v>
      </c>
      <c r="N2945">
        <f>IFERROR(IF(VLOOKUP(calendar[[#This Row],[Date]],BH!E:E,1,)&lt;&gt;"",1,0),0)</f>
        <v>0</v>
      </c>
      <c r="O2945">
        <f>IFERROR(IF(VLOOKUP(calendar[[#This Row],[Date]],BH!G:G,1,)&lt;&gt;"",1,0),0)</f>
        <v>0</v>
      </c>
      <c r="P2945">
        <f>IF(OR(calendar[[#This Row],[UK_BH]]=1,calendar[[#This Row],[WeekDay]]=1, calendar[[#This Row],[WeekDay]]=7),P2944,P2944+1)</f>
        <v>2102</v>
      </c>
      <c r="Q2945">
        <f>IF(OR(calendar[[#This Row],[FR_BH]]=1,calendar[[#This Row],[WeekDay]]=1, calendar[[#This Row],[WeekDay]]=7),P2944,P2944+1)</f>
        <v>2102</v>
      </c>
      <c r="R2945">
        <f>IF(OR(calendar[[#This Row],[SP_BH]]=1,calendar[[#This Row],[WeekDay]]=1, calendar[[#This Row],[WeekDay]]=7),P2944,P2944+1)</f>
        <v>2102</v>
      </c>
      <c r="S2945">
        <f>IF(OR(calendar[[#This Row],[PT_BH]]=1,calendar[[#This Row],[WeekDay]]=1, calendar[[#This Row],[WeekDay]]=7),P2944,P2944+1)</f>
        <v>2102</v>
      </c>
    </row>
    <row r="2946" spans="1:19" x14ac:dyDescent="0.25">
      <c r="A2946" s="2">
        <v>45680</v>
      </c>
      <c r="B2946" s="1">
        <f t="shared" ref="B2946:B3009" si="233">WEEKNUM(A2946)</f>
        <v>4</v>
      </c>
      <c r="C2946">
        <f t="shared" si="230"/>
        <v>1</v>
      </c>
      <c r="D2946" t="str">
        <f t="shared" si="231"/>
        <v>January</v>
      </c>
      <c r="E2946">
        <f t="shared" si="232"/>
        <v>2025</v>
      </c>
      <c r="F2946" t="str">
        <f>CONCATENATE(calendar[[#This Row],[Month]],"/",calendar[[#This Row],[Year]])</f>
        <v>1/2025</v>
      </c>
      <c r="G2946">
        <f>WEEKDAY(calendar[[#This Row],[Date]],1)</f>
        <v>5</v>
      </c>
      <c r="H2946" t="str">
        <f>TEXT(calendar[[#This Row],[WeekDay]],"dddd")</f>
        <v>Thursday</v>
      </c>
      <c r="I2946">
        <f>IF((INT(calendar[[#This Row],[Count]]/7)-calendar[[#This Row],[Count]]/7)&lt;0,I2945,I2945+1)</f>
        <v>421</v>
      </c>
      <c r="J2946">
        <f t="shared" si="229"/>
        <v>2944</v>
      </c>
      <c r="K2946">
        <f>IF(calendar[[#This Row],[Month]]&lt;4,1,IF(calendar[[#This Row],[Month]]&lt;7,2,IF(calendar[[#This Row],[Month]]&lt;10,3,4)))</f>
        <v>1</v>
      </c>
      <c r="L2946">
        <f>IFERROR(IF(VLOOKUP(calendar[[#This Row],[Date]],BH!A:A,1,)&lt;&gt;"",1,0),0)</f>
        <v>0</v>
      </c>
      <c r="M2946">
        <f>IFERROR(IF(VLOOKUP(calendar[[#This Row],[Date]],BH!C:C,1,)&lt;&gt;"",1,0),0)</f>
        <v>0</v>
      </c>
      <c r="N2946">
        <f>IFERROR(IF(VLOOKUP(calendar[[#This Row],[Date]],BH!E:E,1,)&lt;&gt;"",1,0),0)</f>
        <v>0</v>
      </c>
      <c r="O2946">
        <f>IFERROR(IF(VLOOKUP(calendar[[#This Row],[Date]],BH!G:G,1,)&lt;&gt;"",1,0),0)</f>
        <v>0</v>
      </c>
      <c r="P2946">
        <f>IF(OR(calendar[[#This Row],[UK_BH]]=1,calendar[[#This Row],[WeekDay]]=1, calendar[[#This Row],[WeekDay]]=7),P2945,P2945+1)</f>
        <v>2103</v>
      </c>
      <c r="Q2946">
        <f>IF(OR(calendar[[#This Row],[FR_BH]]=1,calendar[[#This Row],[WeekDay]]=1, calendar[[#This Row],[WeekDay]]=7),P2945,P2945+1)</f>
        <v>2103</v>
      </c>
      <c r="R2946">
        <f>IF(OR(calendar[[#This Row],[SP_BH]]=1,calendar[[#This Row],[WeekDay]]=1, calendar[[#This Row],[WeekDay]]=7),P2945,P2945+1)</f>
        <v>2103</v>
      </c>
      <c r="S2946">
        <f>IF(OR(calendar[[#This Row],[PT_BH]]=1,calendar[[#This Row],[WeekDay]]=1, calendar[[#This Row],[WeekDay]]=7),P2945,P2945+1)</f>
        <v>2103</v>
      </c>
    </row>
    <row r="2947" spans="1:19" x14ac:dyDescent="0.25">
      <c r="A2947" s="2">
        <v>45681</v>
      </c>
      <c r="B2947" s="1">
        <f t="shared" si="233"/>
        <v>4</v>
      </c>
      <c r="C2947">
        <f t="shared" si="230"/>
        <v>1</v>
      </c>
      <c r="D2947" t="str">
        <f t="shared" si="231"/>
        <v>January</v>
      </c>
      <c r="E2947">
        <f t="shared" si="232"/>
        <v>2025</v>
      </c>
      <c r="F2947" t="str">
        <f>CONCATENATE(calendar[[#This Row],[Month]],"/",calendar[[#This Row],[Year]])</f>
        <v>1/2025</v>
      </c>
      <c r="G2947">
        <f>WEEKDAY(calendar[[#This Row],[Date]],1)</f>
        <v>6</v>
      </c>
      <c r="H2947" t="str">
        <f>TEXT(calendar[[#This Row],[WeekDay]],"dddd")</f>
        <v>Friday</v>
      </c>
      <c r="I2947">
        <f>IF((INT(calendar[[#This Row],[Count]]/7)-calendar[[#This Row],[Count]]/7)&lt;0,I2946,I2946+1)</f>
        <v>421</v>
      </c>
      <c r="J2947">
        <f t="shared" ref="J2947:J3010" si="234">J2946+1</f>
        <v>2945</v>
      </c>
      <c r="K2947">
        <f>IF(calendar[[#This Row],[Month]]&lt;4,1,IF(calendar[[#This Row],[Month]]&lt;7,2,IF(calendar[[#This Row],[Month]]&lt;10,3,4)))</f>
        <v>1</v>
      </c>
      <c r="L2947">
        <f>IFERROR(IF(VLOOKUP(calendar[[#This Row],[Date]],BH!A:A,1,)&lt;&gt;"",1,0),0)</f>
        <v>0</v>
      </c>
      <c r="M2947">
        <f>IFERROR(IF(VLOOKUP(calendar[[#This Row],[Date]],BH!C:C,1,)&lt;&gt;"",1,0),0)</f>
        <v>0</v>
      </c>
      <c r="N2947">
        <f>IFERROR(IF(VLOOKUP(calendar[[#This Row],[Date]],BH!E:E,1,)&lt;&gt;"",1,0),0)</f>
        <v>0</v>
      </c>
      <c r="O2947">
        <f>IFERROR(IF(VLOOKUP(calendar[[#This Row],[Date]],BH!G:G,1,)&lt;&gt;"",1,0),0)</f>
        <v>0</v>
      </c>
      <c r="P2947">
        <f>IF(OR(calendar[[#This Row],[UK_BH]]=1,calendar[[#This Row],[WeekDay]]=1, calendar[[#This Row],[WeekDay]]=7),P2946,P2946+1)</f>
        <v>2104</v>
      </c>
      <c r="Q2947">
        <f>IF(OR(calendar[[#This Row],[FR_BH]]=1,calendar[[#This Row],[WeekDay]]=1, calendar[[#This Row],[WeekDay]]=7),P2946,P2946+1)</f>
        <v>2104</v>
      </c>
      <c r="R2947">
        <f>IF(OR(calendar[[#This Row],[SP_BH]]=1,calendar[[#This Row],[WeekDay]]=1, calendar[[#This Row],[WeekDay]]=7),P2946,P2946+1)</f>
        <v>2104</v>
      </c>
      <c r="S2947">
        <f>IF(OR(calendar[[#This Row],[PT_BH]]=1,calendar[[#This Row],[WeekDay]]=1, calendar[[#This Row],[WeekDay]]=7),P2946,P2946+1)</f>
        <v>2104</v>
      </c>
    </row>
    <row r="2948" spans="1:19" x14ac:dyDescent="0.25">
      <c r="A2948" s="2">
        <v>45682</v>
      </c>
      <c r="B2948" s="1">
        <f t="shared" si="233"/>
        <v>4</v>
      </c>
      <c r="C2948">
        <f t="shared" si="230"/>
        <v>1</v>
      </c>
      <c r="D2948" t="str">
        <f t="shared" si="231"/>
        <v>January</v>
      </c>
      <c r="E2948">
        <f t="shared" si="232"/>
        <v>2025</v>
      </c>
      <c r="F2948" t="str">
        <f>CONCATENATE(calendar[[#This Row],[Month]],"/",calendar[[#This Row],[Year]])</f>
        <v>1/2025</v>
      </c>
      <c r="G2948">
        <f>WEEKDAY(calendar[[#This Row],[Date]],1)</f>
        <v>7</v>
      </c>
      <c r="H2948" t="str">
        <f>TEXT(calendar[[#This Row],[WeekDay]],"dddd")</f>
        <v>Saturday</v>
      </c>
      <c r="I2948">
        <f>IF((INT(calendar[[#This Row],[Count]]/7)-calendar[[#This Row],[Count]]/7)&lt;0,I2947,I2947+1)</f>
        <v>421</v>
      </c>
      <c r="J2948">
        <f t="shared" si="234"/>
        <v>2946</v>
      </c>
      <c r="K2948">
        <f>IF(calendar[[#This Row],[Month]]&lt;4,1,IF(calendar[[#This Row],[Month]]&lt;7,2,IF(calendar[[#This Row],[Month]]&lt;10,3,4)))</f>
        <v>1</v>
      </c>
      <c r="L2948">
        <f>IFERROR(IF(VLOOKUP(calendar[[#This Row],[Date]],BH!A:A,1,)&lt;&gt;"",1,0),0)</f>
        <v>0</v>
      </c>
      <c r="M2948">
        <f>IFERROR(IF(VLOOKUP(calendar[[#This Row],[Date]],BH!C:C,1,)&lt;&gt;"",1,0),0)</f>
        <v>0</v>
      </c>
      <c r="N2948">
        <f>IFERROR(IF(VLOOKUP(calendar[[#This Row],[Date]],BH!E:E,1,)&lt;&gt;"",1,0),0)</f>
        <v>0</v>
      </c>
      <c r="O2948">
        <f>IFERROR(IF(VLOOKUP(calendar[[#This Row],[Date]],BH!G:G,1,)&lt;&gt;"",1,0),0)</f>
        <v>0</v>
      </c>
      <c r="P2948">
        <f>IF(OR(calendar[[#This Row],[UK_BH]]=1,calendar[[#This Row],[WeekDay]]=1, calendar[[#This Row],[WeekDay]]=7),P2947,P2947+1)</f>
        <v>2104</v>
      </c>
      <c r="Q2948">
        <f>IF(OR(calendar[[#This Row],[FR_BH]]=1,calendar[[#This Row],[WeekDay]]=1, calendar[[#This Row],[WeekDay]]=7),P2947,P2947+1)</f>
        <v>2104</v>
      </c>
      <c r="R2948">
        <f>IF(OR(calendar[[#This Row],[SP_BH]]=1,calendar[[#This Row],[WeekDay]]=1, calendar[[#This Row],[WeekDay]]=7),P2947,P2947+1)</f>
        <v>2104</v>
      </c>
      <c r="S2948">
        <f>IF(OR(calendar[[#This Row],[PT_BH]]=1,calendar[[#This Row],[WeekDay]]=1, calendar[[#This Row],[WeekDay]]=7),P2947,P2947+1)</f>
        <v>2104</v>
      </c>
    </row>
    <row r="2949" spans="1:19" x14ac:dyDescent="0.25">
      <c r="A2949" s="2">
        <v>45683</v>
      </c>
      <c r="B2949" s="1">
        <f t="shared" si="233"/>
        <v>5</v>
      </c>
      <c r="C2949">
        <f t="shared" si="230"/>
        <v>1</v>
      </c>
      <c r="D2949" t="str">
        <f t="shared" si="231"/>
        <v>January</v>
      </c>
      <c r="E2949">
        <f t="shared" si="232"/>
        <v>2025</v>
      </c>
      <c r="F2949" t="str">
        <f>CONCATENATE(calendar[[#This Row],[Month]],"/",calendar[[#This Row],[Year]])</f>
        <v>1/2025</v>
      </c>
      <c r="G2949">
        <f>WEEKDAY(calendar[[#This Row],[Date]],1)</f>
        <v>1</v>
      </c>
      <c r="H2949" t="str">
        <f>TEXT(calendar[[#This Row],[WeekDay]],"dddd")</f>
        <v>Sunday</v>
      </c>
      <c r="I2949">
        <f>IF((INT(calendar[[#This Row],[Count]]/7)-calendar[[#This Row],[Count]]/7)&lt;0,I2948,I2948+1)</f>
        <v>422</v>
      </c>
      <c r="J2949">
        <f t="shared" si="234"/>
        <v>2947</v>
      </c>
      <c r="K2949">
        <f>IF(calendar[[#This Row],[Month]]&lt;4,1,IF(calendar[[#This Row],[Month]]&lt;7,2,IF(calendar[[#This Row],[Month]]&lt;10,3,4)))</f>
        <v>1</v>
      </c>
      <c r="L2949">
        <f>IFERROR(IF(VLOOKUP(calendar[[#This Row],[Date]],BH!A:A,1,)&lt;&gt;"",1,0),0)</f>
        <v>0</v>
      </c>
      <c r="M2949">
        <f>IFERROR(IF(VLOOKUP(calendar[[#This Row],[Date]],BH!C:C,1,)&lt;&gt;"",1,0),0)</f>
        <v>0</v>
      </c>
      <c r="N2949">
        <f>IFERROR(IF(VLOOKUP(calendar[[#This Row],[Date]],BH!E:E,1,)&lt;&gt;"",1,0),0)</f>
        <v>0</v>
      </c>
      <c r="O2949">
        <f>IFERROR(IF(VLOOKUP(calendar[[#This Row],[Date]],BH!G:G,1,)&lt;&gt;"",1,0),0)</f>
        <v>0</v>
      </c>
      <c r="P2949">
        <f>IF(OR(calendar[[#This Row],[UK_BH]]=1,calendar[[#This Row],[WeekDay]]=1, calendar[[#This Row],[WeekDay]]=7),P2948,P2948+1)</f>
        <v>2104</v>
      </c>
      <c r="Q2949">
        <f>IF(OR(calendar[[#This Row],[FR_BH]]=1,calendar[[#This Row],[WeekDay]]=1, calendar[[#This Row],[WeekDay]]=7),P2948,P2948+1)</f>
        <v>2104</v>
      </c>
      <c r="R2949">
        <f>IF(OR(calendar[[#This Row],[SP_BH]]=1,calendar[[#This Row],[WeekDay]]=1, calendar[[#This Row],[WeekDay]]=7),P2948,P2948+1)</f>
        <v>2104</v>
      </c>
      <c r="S2949">
        <f>IF(OR(calendar[[#This Row],[PT_BH]]=1,calendar[[#This Row],[WeekDay]]=1, calendar[[#This Row],[WeekDay]]=7),P2948,P2948+1)</f>
        <v>2104</v>
      </c>
    </row>
    <row r="2950" spans="1:19" x14ac:dyDescent="0.25">
      <c r="A2950" s="2">
        <v>45684</v>
      </c>
      <c r="B2950" s="1">
        <f t="shared" si="233"/>
        <v>5</v>
      </c>
      <c r="C2950">
        <f t="shared" si="230"/>
        <v>1</v>
      </c>
      <c r="D2950" t="str">
        <f t="shared" si="231"/>
        <v>January</v>
      </c>
      <c r="E2950">
        <f t="shared" si="232"/>
        <v>2025</v>
      </c>
      <c r="F2950" t="str">
        <f>CONCATENATE(calendar[[#This Row],[Month]],"/",calendar[[#This Row],[Year]])</f>
        <v>1/2025</v>
      </c>
      <c r="G2950">
        <f>WEEKDAY(calendar[[#This Row],[Date]],1)</f>
        <v>2</v>
      </c>
      <c r="H2950" t="str">
        <f>TEXT(calendar[[#This Row],[WeekDay]],"dddd")</f>
        <v>Monday</v>
      </c>
      <c r="I2950">
        <f>IF((INT(calendar[[#This Row],[Count]]/7)-calendar[[#This Row],[Count]]/7)&lt;0,I2949,I2949+1)</f>
        <v>422</v>
      </c>
      <c r="J2950">
        <f t="shared" si="234"/>
        <v>2948</v>
      </c>
      <c r="K2950">
        <f>IF(calendar[[#This Row],[Month]]&lt;4,1,IF(calendar[[#This Row],[Month]]&lt;7,2,IF(calendar[[#This Row],[Month]]&lt;10,3,4)))</f>
        <v>1</v>
      </c>
      <c r="L2950">
        <f>IFERROR(IF(VLOOKUP(calendar[[#This Row],[Date]],BH!A:A,1,)&lt;&gt;"",1,0),0)</f>
        <v>0</v>
      </c>
      <c r="M2950">
        <f>IFERROR(IF(VLOOKUP(calendar[[#This Row],[Date]],BH!C:C,1,)&lt;&gt;"",1,0),0)</f>
        <v>0</v>
      </c>
      <c r="N2950">
        <f>IFERROR(IF(VLOOKUP(calendar[[#This Row],[Date]],BH!E:E,1,)&lt;&gt;"",1,0),0)</f>
        <v>0</v>
      </c>
      <c r="O2950">
        <f>IFERROR(IF(VLOOKUP(calendar[[#This Row],[Date]],BH!G:G,1,)&lt;&gt;"",1,0),0)</f>
        <v>0</v>
      </c>
      <c r="P2950">
        <f>IF(OR(calendar[[#This Row],[UK_BH]]=1,calendar[[#This Row],[WeekDay]]=1, calendar[[#This Row],[WeekDay]]=7),P2949,P2949+1)</f>
        <v>2105</v>
      </c>
      <c r="Q2950">
        <f>IF(OR(calendar[[#This Row],[FR_BH]]=1,calendar[[#This Row],[WeekDay]]=1, calendar[[#This Row],[WeekDay]]=7),P2949,P2949+1)</f>
        <v>2105</v>
      </c>
      <c r="R2950">
        <f>IF(OR(calendar[[#This Row],[SP_BH]]=1,calendar[[#This Row],[WeekDay]]=1, calendar[[#This Row],[WeekDay]]=7),P2949,P2949+1)</f>
        <v>2105</v>
      </c>
      <c r="S2950">
        <f>IF(OR(calendar[[#This Row],[PT_BH]]=1,calendar[[#This Row],[WeekDay]]=1, calendar[[#This Row],[WeekDay]]=7),P2949,P2949+1)</f>
        <v>2105</v>
      </c>
    </row>
    <row r="2951" spans="1:19" x14ac:dyDescent="0.25">
      <c r="A2951" s="2">
        <v>45685</v>
      </c>
      <c r="B2951" s="1">
        <f t="shared" si="233"/>
        <v>5</v>
      </c>
      <c r="C2951">
        <f t="shared" si="230"/>
        <v>1</v>
      </c>
      <c r="D2951" t="str">
        <f t="shared" si="231"/>
        <v>January</v>
      </c>
      <c r="E2951">
        <f t="shared" si="232"/>
        <v>2025</v>
      </c>
      <c r="F2951" t="str">
        <f>CONCATENATE(calendar[[#This Row],[Month]],"/",calendar[[#This Row],[Year]])</f>
        <v>1/2025</v>
      </c>
      <c r="G2951">
        <f>WEEKDAY(calendar[[#This Row],[Date]],1)</f>
        <v>3</v>
      </c>
      <c r="H2951" t="str">
        <f>TEXT(calendar[[#This Row],[WeekDay]],"dddd")</f>
        <v>Tuesday</v>
      </c>
      <c r="I2951">
        <f>IF((INT(calendar[[#This Row],[Count]]/7)-calendar[[#This Row],[Count]]/7)&lt;0,I2950,I2950+1)</f>
        <v>422</v>
      </c>
      <c r="J2951">
        <f t="shared" si="234"/>
        <v>2949</v>
      </c>
      <c r="K2951">
        <f>IF(calendar[[#This Row],[Month]]&lt;4,1,IF(calendar[[#This Row],[Month]]&lt;7,2,IF(calendar[[#This Row],[Month]]&lt;10,3,4)))</f>
        <v>1</v>
      </c>
      <c r="L2951">
        <f>IFERROR(IF(VLOOKUP(calendar[[#This Row],[Date]],BH!A:A,1,)&lt;&gt;"",1,0),0)</f>
        <v>0</v>
      </c>
      <c r="M2951">
        <f>IFERROR(IF(VLOOKUP(calendar[[#This Row],[Date]],BH!C:C,1,)&lt;&gt;"",1,0),0)</f>
        <v>0</v>
      </c>
      <c r="N2951">
        <f>IFERROR(IF(VLOOKUP(calendar[[#This Row],[Date]],BH!E:E,1,)&lt;&gt;"",1,0),0)</f>
        <v>0</v>
      </c>
      <c r="O2951">
        <f>IFERROR(IF(VLOOKUP(calendar[[#This Row],[Date]],BH!G:G,1,)&lt;&gt;"",1,0),0)</f>
        <v>0</v>
      </c>
      <c r="P2951">
        <f>IF(OR(calendar[[#This Row],[UK_BH]]=1,calendar[[#This Row],[WeekDay]]=1, calendar[[#This Row],[WeekDay]]=7),P2950,P2950+1)</f>
        <v>2106</v>
      </c>
      <c r="Q2951">
        <f>IF(OR(calendar[[#This Row],[FR_BH]]=1,calendar[[#This Row],[WeekDay]]=1, calendar[[#This Row],[WeekDay]]=7),P2950,P2950+1)</f>
        <v>2106</v>
      </c>
      <c r="R2951">
        <f>IF(OR(calendar[[#This Row],[SP_BH]]=1,calendar[[#This Row],[WeekDay]]=1, calendar[[#This Row],[WeekDay]]=7),P2950,P2950+1)</f>
        <v>2106</v>
      </c>
      <c r="S2951">
        <f>IF(OR(calendar[[#This Row],[PT_BH]]=1,calendar[[#This Row],[WeekDay]]=1, calendar[[#This Row],[WeekDay]]=7),P2950,P2950+1)</f>
        <v>2106</v>
      </c>
    </row>
    <row r="2952" spans="1:19" x14ac:dyDescent="0.25">
      <c r="A2952" s="2">
        <v>45686</v>
      </c>
      <c r="B2952" s="1">
        <f t="shared" si="233"/>
        <v>5</v>
      </c>
      <c r="C2952">
        <f t="shared" si="230"/>
        <v>1</v>
      </c>
      <c r="D2952" t="str">
        <f t="shared" si="231"/>
        <v>January</v>
      </c>
      <c r="E2952">
        <f t="shared" si="232"/>
        <v>2025</v>
      </c>
      <c r="F2952" t="str">
        <f>CONCATENATE(calendar[[#This Row],[Month]],"/",calendar[[#This Row],[Year]])</f>
        <v>1/2025</v>
      </c>
      <c r="G2952">
        <f>WEEKDAY(calendar[[#This Row],[Date]],1)</f>
        <v>4</v>
      </c>
      <c r="H2952" t="str">
        <f>TEXT(calendar[[#This Row],[WeekDay]],"dddd")</f>
        <v>Wednesday</v>
      </c>
      <c r="I2952">
        <f>IF((INT(calendar[[#This Row],[Count]]/7)-calendar[[#This Row],[Count]]/7)&lt;0,I2951,I2951+1)</f>
        <v>422</v>
      </c>
      <c r="J2952">
        <f t="shared" si="234"/>
        <v>2950</v>
      </c>
      <c r="K2952">
        <f>IF(calendar[[#This Row],[Month]]&lt;4,1,IF(calendar[[#This Row],[Month]]&lt;7,2,IF(calendar[[#This Row],[Month]]&lt;10,3,4)))</f>
        <v>1</v>
      </c>
      <c r="L2952">
        <f>IFERROR(IF(VLOOKUP(calendar[[#This Row],[Date]],BH!A:A,1,)&lt;&gt;"",1,0),0)</f>
        <v>0</v>
      </c>
      <c r="M2952">
        <f>IFERROR(IF(VLOOKUP(calendar[[#This Row],[Date]],BH!C:C,1,)&lt;&gt;"",1,0),0)</f>
        <v>0</v>
      </c>
      <c r="N2952">
        <f>IFERROR(IF(VLOOKUP(calendar[[#This Row],[Date]],BH!E:E,1,)&lt;&gt;"",1,0),0)</f>
        <v>0</v>
      </c>
      <c r="O2952">
        <f>IFERROR(IF(VLOOKUP(calendar[[#This Row],[Date]],BH!G:G,1,)&lt;&gt;"",1,0),0)</f>
        <v>0</v>
      </c>
      <c r="P2952">
        <f>IF(OR(calendar[[#This Row],[UK_BH]]=1,calendar[[#This Row],[WeekDay]]=1, calendar[[#This Row],[WeekDay]]=7),P2951,P2951+1)</f>
        <v>2107</v>
      </c>
      <c r="Q2952">
        <f>IF(OR(calendar[[#This Row],[FR_BH]]=1,calendar[[#This Row],[WeekDay]]=1, calendar[[#This Row],[WeekDay]]=7),P2951,P2951+1)</f>
        <v>2107</v>
      </c>
      <c r="R2952">
        <f>IF(OR(calendar[[#This Row],[SP_BH]]=1,calendar[[#This Row],[WeekDay]]=1, calendar[[#This Row],[WeekDay]]=7),P2951,P2951+1)</f>
        <v>2107</v>
      </c>
      <c r="S2952">
        <f>IF(OR(calendar[[#This Row],[PT_BH]]=1,calendar[[#This Row],[WeekDay]]=1, calendar[[#This Row],[WeekDay]]=7),P2951,P2951+1)</f>
        <v>2107</v>
      </c>
    </row>
    <row r="2953" spans="1:19" x14ac:dyDescent="0.25">
      <c r="A2953" s="2">
        <v>45687</v>
      </c>
      <c r="B2953" s="1">
        <f t="shared" si="233"/>
        <v>5</v>
      </c>
      <c r="C2953">
        <f t="shared" si="230"/>
        <v>1</v>
      </c>
      <c r="D2953" t="str">
        <f t="shared" si="231"/>
        <v>January</v>
      </c>
      <c r="E2953">
        <f t="shared" si="232"/>
        <v>2025</v>
      </c>
      <c r="F2953" t="str">
        <f>CONCATENATE(calendar[[#This Row],[Month]],"/",calendar[[#This Row],[Year]])</f>
        <v>1/2025</v>
      </c>
      <c r="G2953">
        <f>WEEKDAY(calendar[[#This Row],[Date]],1)</f>
        <v>5</v>
      </c>
      <c r="H2953" t="str">
        <f>TEXT(calendar[[#This Row],[WeekDay]],"dddd")</f>
        <v>Thursday</v>
      </c>
      <c r="I2953">
        <f>IF((INT(calendar[[#This Row],[Count]]/7)-calendar[[#This Row],[Count]]/7)&lt;0,I2952,I2952+1)</f>
        <v>422</v>
      </c>
      <c r="J2953">
        <f t="shared" si="234"/>
        <v>2951</v>
      </c>
      <c r="K2953">
        <f>IF(calendar[[#This Row],[Month]]&lt;4,1,IF(calendar[[#This Row],[Month]]&lt;7,2,IF(calendar[[#This Row],[Month]]&lt;10,3,4)))</f>
        <v>1</v>
      </c>
      <c r="L2953">
        <f>IFERROR(IF(VLOOKUP(calendar[[#This Row],[Date]],BH!A:A,1,)&lt;&gt;"",1,0),0)</f>
        <v>0</v>
      </c>
      <c r="M2953">
        <f>IFERROR(IF(VLOOKUP(calendar[[#This Row],[Date]],BH!C:C,1,)&lt;&gt;"",1,0),0)</f>
        <v>0</v>
      </c>
      <c r="N2953">
        <f>IFERROR(IF(VLOOKUP(calendar[[#This Row],[Date]],BH!E:E,1,)&lt;&gt;"",1,0),0)</f>
        <v>0</v>
      </c>
      <c r="O2953">
        <f>IFERROR(IF(VLOOKUP(calendar[[#This Row],[Date]],BH!G:G,1,)&lt;&gt;"",1,0),0)</f>
        <v>0</v>
      </c>
      <c r="P2953">
        <f>IF(OR(calendar[[#This Row],[UK_BH]]=1,calendar[[#This Row],[WeekDay]]=1, calendar[[#This Row],[WeekDay]]=7),P2952,P2952+1)</f>
        <v>2108</v>
      </c>
      <c r="Q2953">
        <f>IF(OR(calendar[[#This Row],[FR_BH]]=1,calendar[[#This Row],[WeekDay]]=1, calendar[[#This Row],[WeekDay]]=7),P2952,P2952+1)</f>
        <v>2108</v>
      </c>
      <c r="R2953">
        <f>IF(OR(calendar[[#This Row],[SP_BH]]=1,calendar[[#This Row],[WeekDay]]=1, calendar[[#This Row],[WeekDay]]=7),P2952,P2952+1)</f>
        <v>2108</v>
      </c>
      <c r="S2953">
        <f>IF(OR(calendar[[#This Row],[PT_BH]]=1,calendar[[#This Row],[WeekDay]]=1, calendar[[#This Row],[WeekDay]]=7),P2952,P2952+1)</f>
        <v>2108</v>
      </c>
    </row>
    <row r="2954" spans="1:19" x14ac:dyDescent="0.25">
      <c r="A2954" s="2">
        <v>45688</v>
      </c>
      <c r="B2954" s="1">
        <f t="shared" si="233"/>
        <v>5</v>
      </c>
      <c r="C2954">
        <f t="shared" si="230"/>
        <v>1</v>
      </c>
      <c r="D2954" t="str">
        <f t="shared" si="231"/>
        <v>January</v>
      </c>
      <c r="E2954">
        <f t="shared" si="232"/>
        <v>2025</v>
      </c>
      <c r="F2954" t="str">
        <f>CONCATENATE(calendar[[#This Row],[Month]],"/",calendar[[#This Row],[Year]])</f>
        <v>1/2025</v>
      </c>
      <c r="G2954">
        <f>WEEKDAY(calendar[[#This Row],[Date]],1)</f>
        <v>6</v>
      </c>
      <c r="H2954" t="str">
        <f>TEXT(calendar[[#This Row],[WeekDay]],"dddd")</f>
        <v>Friday</v>
      </c>
      <c r="I2954">
        <f>IF((INT(calendar[[#This Row],[Count]]/7)-calendar[[#This Row],[Count]]/7)&lt;0,I2953,I2953+1)</f>
        <v>422</v>
      </c>
      <c r="J2954">
        <f t="shared" si="234"/>
        <v>2952</v>
      </c>
      <c r="K2954">
        <f>IF(calendar[[#This Row],[Month]]&lt;4,1,IF(calendar[[#This Row],[Month]]&lt;7,2,IF(calendar[[#This Row],[Month]]&lt;10,3,4)))</f>
        <v>1</v>
      </c>
      <c r="L2954">
        <f>IFERROR(IF(VLOOKUP(calendar[[#This Row],[Date]],BH!A:A,1,)&lt;&gt;"",1,0),0)</f>
        <v>0</v>
      </c>
      <c r="M2954">
        <f>IFERROR(IF(VLOOKUP(calendar[[#This Row],[Date]],BH!C:C,1,)&lt;&gt;"",1,0),0)</f>
        <v>0</v>
      </c>
      <c r="N2954">
        <f>IFERROR(IF(VLOOKUP(calendar[[#This Row],[Date]],BH!E:E,1,)&lt;&gt;"",1,0),0)</f>
        <v>0</v>
      </c>
      <c r="O2954">
        <f>IFERROR(IF(VLOOKUP(calendar[[#This Row],[Date]],BH!G:G,1,)&lt;&gt;"",1,0),0)</f>
        <v>0</v>
      </c>
      <c r="P2954">
        <f>IF(OR(calendar[[#This Row],[UK_BH]]=1,calendar[[#This Row],[WeekDay]]=1, calendar[[#This Row],[WeekDay]]=7),P2953,P2953+1)</f>
        <v>2109</v>
      </c>
      <c r="Q2954">
        <f>IF(OR(calendar[[#This Row],[FR_BH]]=1,calendar[[#This Row],[WeekDay]]=1, calendar[[#This Row],[WeekDay]]=7),P2953,P2953+1)</f>
        <v>2109</v>
      </c>
      <c r="R2954">
        <f>IF(OR(calendar[[#This Row],[SP_BH]]=1,calendar[[#This Row],[WeekDay]]=1, calendar[[#This Row],[WeekDay]]=7),P2953,P2953+1)</f>
        <v>2109</v>
      </c>
      <c r="S2954">
        <f>IF(OR(calendar[[#This Row],[PT_BH]]=1,calendar[[#This Row],[WeekDay]]=1, calendar[[#This Row],[WeekDay]]=7),P2953,P2953+1)</f>
        <v>2109</v>
      </c>
    </row>
    <row r="2955" spans="1:19" x14ac:dyDescent="0.25">
      <c r="A2955" s="2">
        <v>45689</v>
      </c>
      <c r="B2955" s="1">
        <f t="shared" si="233"/>
        <v>5</v>
      </c>
      <c r="C2955">
        <f t="shared" si="230"/>
        <v>2</v>
      </c>
      <c r="D2955" t="str">
        <f t="shared" si="231"/>
        <v>February</v>
      </c>
      <c r="E2955">
        <f t="shared" si="232"/>
        <v>2025</v>
      </c>
      <c r="F2955" t="str">
        <f>CONCATENATE(calendar[[#This Row],[Month]],"/",calendar[[#This Row],[Year]])</f>
        <v>2/2025</v>
      </c>
      <c r="G2955">
        <f>WEEKDAY(calendar[[#This Row],[Date]],1)</f>
        <v>7</v>
      </c>
      <c r="H2955" t="str">
        <f>TEXT(calendar[[#This Row],[WeekDay]],"dddd")</f>
        <v>Saturday</v>
      </c>
      <c r="I2955">
        <f>IF((INT(calendar[[#This Row],[Count]]/7)-calendar[[#This Row],[Count]]/7)&lt;0,I2954,I2954+1)</f>
        <v>422</v>
      </c>
      <c r="J2955">
        <f t="shared" si="234"/>
        <v>2953</v>
      </c>
      <c r="K2955">
        <f>IF(calendar[[#This Row],[Month]]&lt;4,1,IF(calendar[[#This Row],[Month]]&lt;7,2,IF(calendar[[#This Row],[Month]]&lt;10,3,4)))</f>
        <v>1</v>
      </c>
      <c r="L2955">
        <f>IFERROR(IF(VLOOKUP(calendar[[#This Row],[Date]],BH!A:A,1,)&lt;&gt;"",1,0),0)</f>
        <v>0</v>
      </c>
      <c r="M2955">
        <f>IFERROR(IF(VLOOKUP(calendar[[#This Row],[Date]],BH!C:C,1,)&lt;&gt;"",1,0),0)</f>
        <v>0</v>
      </c>
      <c r="N2955">
        <f>IFERROR(IF(VLOOKUP(calendar[[#This Row],[Date]],BH!E:E,1,)&lt;&gt;"",1,0),0)</f>
        <v>0</v>
      </c>
      <c r="O2955">
        <f>IFERROR(IF(VLOOKUP(calendar[[#This Row],[Date]],BH!G:G,1,)&lt;&gt;"",1,0),0)</f>
        <v>0</v>
      </c>
      <c r="P2955">
        <f>IF(OR(calendar[[#This Row],[UK_BH]]=1,calendar[[#This Row],[WeekDay]]=1, calendar[[#This Row],[WeekDay]]=7),P2954,P2954+1)</f>
        <v>2109</v>
      </c>
      <c r="Q2955">
        <f>IF(OR(calendar[[#This Row],[FR_BH]]=1,calendar[[#This Row],[WeekDay]]=1, calendar[[#This Row],[WeekDay]]=7),P2954,P2954+1)</f>
        <v>2109</v>
      </c>
      <c r="R2955">
        <f>IF(OR(calendar[[#This Row],[SP_BH]]=1,calendar[[#This Row],[WeekDay]]=1, calendar[[#This Row],[WeekDay]]=7),P2954,P2954+1)</f>
        <v>2109</v>
      </c>
      <c r="S2955">
        <f>IF(OR(calendar[[#This Row],[PT_BH]]=1,calendar[[#This Row],[WeekDay]]=1, calendar[[#This Row],[WeekDay]]=7),P2954,P2954+1)</f>
        <v>2109</v>
      </c>
    </row>
    <row r="2956" spans="1:19" x14ac:dyDescent="0.25">
      <c r="A2956" s="2">
        <v>45690</v>
      </c>
      <c r="B2956" s="1">
        <f t="shared" si="233"/>
        <v>6</v>
      </c>
      <c r="C2956">
        <f t="shared" si="230"/>
        <v>2</v>
      </c>
      <c r="D2956" t="str">
        <f t="shared" si="231"/>
        <v>February</v>
      </c>
      <c r="E2956">
        <f t="shared" si="232"/>
        <v>2025</v>
      </c>
      <c r="F2956" t="str">
        <f>CONCATENATE(calendar[[#This Row],[Month]],"/",calendar[[#This Row],[Year]])</f>
        <v>2/2025</v>
      </c>
      <c r="G2956">
        <f>WEEKDAY(calendar[[#This Row],[Date]],1)</f>
        <v>1</v>
      </c>
      <c r="H2956" t="str">
        <f>TEXT(calendar[[#This Row],[WeekDay]],"dddd")</f>
        <v>Sunday</v>
      </c>
      <c r="I2956">
        <f>IF((INT(calendar[[#This Row],[Count]]/7)-calendar[[#This Row],[Count]]/7)&lt;0,I2955,I2955+1)</f>
        <v>423</v>
      </c>
      <c r="J2956">
        <f t="shared" si="234"/>
        <v>2954</v>
      </c>
      <c r="K2956">
        <f>IF(calendar[[#This Row],[Month]]&lt;4,1,IF(calendar[[#This Row],[Month]]&lt;7,2,IF(calendar[[#This Row],[Month]]&lt;10,3,4)))</f>
        <v>1</v>
      </c>
      <c r="L2956">
        <f>IFERROR(IF(VLOOKUP(calendar[[#This Row],[Date]],BH!A:A,1,)&lt;&gt;"",1,0),0)</f>
        <v>0</v>
      </c>
      <c r="M2956">
        <f>IFERROR(IF(VLOOKUP(calendar[[#This Row],[Date]],BH!C:C,1,)&lt;&gt;"",1,0),0)</f>
        <v>0</v>
      </c>
      <c r="N2956">
        <f>IFERROR(IF(VLOOKUP(calendar[[#This Row],[Date]],BH!E:E,1,)&lt;&gt;"",1,0),0)</f>
        <v>0</v>
      </c>
      <c r="O2956">
        <f>IFERROR(IF(VLOOKUP(calendar[[#This Row],[Date]],BH!G:G,1,)&lt;&gt;"",1,0),0)</f>
        <v>0</v>
      </c>
      <c r="P2956">
        <f>IF(OR(calendar[[#This Row],[UK_BH]]=1,calendar[[#This Row],[WeekDay]]=1, calendar[[#This Row],[WeekDay]]=7),P2955,P2955+1)</f>
        <v>2109</v>
      </c>
      <c r="Q2956">
        <f>IF(OR(calendar[[#This Row],[FR_BH]]=1,calendar[[#This Row],[WeekDay]]=1, calendar[[#This Row],[WeekDay]]=7),P2955,P2955+1)</f>
        <v>2109</v>
      </c>
      <c r="R2956">
        <f>IF(OR(calendar[[#This Row],[SP_BH]]=1,calendar[[#This Row],[WeekDay]]=1, calendar[[#This Row],[WeekDay]]=7),P2955,P2955+1)</f>
        <v>2109</v>
      </c>
      <c r="S2956">
        <f>IF(OR(calendar[[#This Row],[PT_BH]]=1,calendar[[#This Row],[WeekDay]]=1, calendar[[#This Row],[WeekDay]]=7),P2955,P2955+1)</f>
        <v>2109</v>
      </c>
    </row>
    <row r="2957" spans="1:19" x14ac:dyDescent="0.25">
      <c r="A2957" s="2">
        <v>45691</v>
      </c>
      <c r="B2957" s="1">
        <f t="shared" si="233"/>
        <v>6</v>
      </c>
      <c r="C2957">
        <f t="shared" si="230"/>
        <v>2</v>
      </c>
      <c r="D2957" t="str">
        <f t="shared" si="231"/>
        <v>February</v>
      </c>
      <c r="E2957">
        <f t="shared" si="232"/>
        <v>2025</v>
      </c>
      <c r="F2957" t="str">
        <f>CONCATENATE(calendar[[#This Row],[Month]],"/",calendar[[#This Row],[Year]])</f>
        <v>2/2025</v>
      </c>
      <c r="G2957">
        <f>WEEKDAY(calendar[[#This Row],[Date]],1)</f>
        <v>2</v>
      </c>
      <c r="H2957" t="str">
        <f>TEXT(calendar[[#This Row],[WeekDay]],"dddd")</f>
        <v>Monday</v>
      </c>
      <c r="I2957">
        <f>IF((INT(calendar[[#This Row],[Count]]/7)-calendar[[#This Row],[Count]]/7)&lt;0,I2956,I2956+1)</f>
        <v>423</v>
      </c>
      <c r="J2957">
        <f t="shared" si="234"/>
        <v>2955</v>
      </c>
      <c r="K2957">
        <f>IF(calendar[[#This Row],[Month]]&lt;4,1,IF(calendar[[#This Row],[Month]]&lt;7,2,IF(calendar[[#This Row],[Month]]&lt;10,3,4)))</f>
        <v>1</v>
      </c>
      <c r="L2957">
        <f>IFERROR(IF(VLOOKUP(calendar[[#This Row],[Date]],BH!A:A,1,)&lt;&gt;"",1,0),0)</f>
        <v>0</v>
      </c>
      <c r="M2957">
        <f>IFERROR(IF(VLOOKUP(calendar[[#This Row],[Date]],BH!C:C,1,)&lt;&gt;"",1,0),0)</f>
        <v>0</v>
      </c>
      <c r="N2957">
        <f>IFERROR(IF(VLOOKUP(calendar[[#This Row],[Date]],BH!E:E,1,)&lt;&gt;"",1,0),0)</f>
        <v>0</v>
      </c>
      <c r="O2957">
        <f>IFERROR(IF(VLOOKUP(calendar[[#This Row],[Date]],BH!G:G,1,)&lt;&gt;"",1,0),0)</f>
        <v>0</v>
      </c>
      <c r="P2957">
        <f>IF(OR(calendar[[#This Row],[UK_BH]]=1,calendar[[#This Row],[WeekDay]]=1, calendar[[#This Row],[WeekDay]]=7),P2956,P2956+1)</f>
        <v>2110</v>
      </c>
      <c r="Q2957">
        <f>IF(OR(calendar[[#This Row],[FR_BH]]=1,calendar[[#This Row],[WeekDay]]=1, calendar[[#This Row],[WeekDay]]=7),P2956,P2956+1)</f>
        <v>2110</v>
      </c>
      <c r="R2957">
        <f>IF(OR(calendar[[#This Row],[SP_BH]]=1,calendar[[#This Row],[WeekDay]]=1, calendar[[#This Row],[WeekDay]]=7),P2956,P2956+1)</f>
        <v>2110</v>
      </c>
      <c r="S2957">
        <f>IF(OR(calendar[[#This Row],[PT_BH]]=1,calendar[[#This Row],[WeekDay]]=1, calendar[[#This Row],[WeekDay]]=7),P2956,P2956+1)</f>
        <v>2110</v>
      </c>
    </row>
    <row r="2958" spans="1:19" x14ac:dyDescent="0.25">
      <c r="A2958" s="2">
        <v>45692</v>
      </c>
      <c r="B2958" s="1">
        <f t="shared" si="233"/>
        <v>6</v>
      </c>
      <c r="C2958">
        <f t="shared" si="230"/>
        <v>2</v>
      </c>
      <c r="D2958" t="str">
        <f t="shared" si="231"/>
        <v>February</v>
      </c>
      <c r="E2958">
        <f t="shared" si="232"/>
        <v>2025</v>
      </c>
      <c r="F2958" t="str">
        <f>CONCATENATE(calendar[[#This Row],[Month]],"/",calendar[[#This Row],[Year]])</f>
        <v>2/2025</v>
      </c>
      <c r="G2958">
        <f>WEEKDAY(calendar[[#This Row],[Date]],1)</f>
        <v>3</v>
      </c>
      <c r="H2958" t="str">
        <f>TEXT(calendar[[#This Row],[WeekDay]],"dddd")</f>
        <v>Tuesday</v>
      </c>
      <c r="I2958">
        <f>IF((INT(calendar[[#This Row],[Count]]/7)-calendar[[#This Row],[Count]]/7)&lt;0,I2957,I2957+1)</f>
        <v>423</v>
      </c>
      <c r="J2958">
        <f t="shared" si="234"/>
        <v>2956</v>
      </c>
      <c r="K2958">
        <f>IF(calendar[[#This Row],[Month]]&lt;4,1,IF(calendar[[#This Row],[Month]]&lt;7,2,IF(calendar[[#This Row],[Month]]&lt;10,3,4)))</f>
        <v>1</v>
      </c>
      <c r="L2958">
        <f>IFERROR(IF(VLOOKUP(calendar[[#This Row],[Date]],BH!A:A,1,)&lt;&gt;"",1,0),0)</f>
        <v>0</v>
      </c>
      <c r="M2958">
        <f>IFERROR(IF(VLOOKUP(calendar[[#This Row],[Date]],BH!C:C,1,)&lt;&gt;"",1,0),0)</f>
        <v>0</v>
      </c>
      <c r="N2958">
        <f>IFERROR(IF(VLOOKUP(calendar[[#This Row],[Date]],BH!E:E,1,)&lt;&gt;"",1,0),0)</f>
        <v>0</v>
      </c>
      <c r="O2958">
        <f>IFERROR(IF(VLOOKUP(calendar[[#This Row],[Date]],BH!G:G,1,)&lt;&gt;"",1,0),0)</f>
        <v>0</v>
      </c>
      <c r="P2958">
        <f>IF(OR(calendar[[#This Row],[UK_BH]]=1,calendar[[#This Row],[WeekDay]]=1, calendar[[#This Row],[WeekDay]]=7),P2957,P2957+1)</f>
        <v>2111</v>
      </c>
      <c r="Q2958">
        <f>IF(OR(calendar[[#This Row],[FR_BH]]=1,calendar[[#This Row],[WeekDay]]=1, calendar[[#This Row],[WeekDay]]=7),P2957,P2957+1)</f>
        <v>2111</v>
      </c>
      <c r="R2958">
        <f>IF(OR(calendar[[#This Row],[SP_BH]]=1,calendar[[#This Row],[WeekDay]]=1, calendar[[#This Row],[WeekDay]]=7),P2957,P2957+1)</f>
        <v>2111</v>
      </c>
      <c r="S2958">
        <f>IF(OR(calendar[[#This Row],[PT_BH]]=1,calendar[[#This Row],[WeekDay]]=1, calendar[[#This Row],[WeekDay]]=7),P2957,P2957+1)</f>
        <v>2111</v>
      </c>
    </row>
    <row r="2959" spans="1:19" x14ac:dyDescent="0.25">
      <c r="A2959" s="2">
        <v>45693</v>
      </c>
      <c r="B2959" s="1">
        <f t="shared" si="233"/>
        <v>6</v>
      </c>
      <c r="C2959">
        <f t="shared" si="230"/>
        <v>2</v>
      </c>
      <c r="D2959" t="str">
        <f t="shared" si="231"/>
        <v>February</v>
      </c>
      <c r="E2959">
        <f t="shared" si="232"/>
        <v>2025</v>
      </c>
      <c r="F2959" t="str">
        <f>CONCATENATE(calendar[[#This Row],[Month]],"/",calendar[[#This Row],[Year]])</f>
        <v>2/2025</v>
      </c>
      <c r="G2959">
        <f>WEEKDAY(calendar[[#This Row],[Date]],1)</f>
        <v>4</v>
      </c>
      <c r="H2959" t="str">
        <f>TEXT(calendar[[#This Row],[WeekDay]],"dddd")</f>
        <v>Wednesday</v>
      </c>
      <c r="I2959">
        <f>IF((INT(calendar[[#This Row],[Count]]/7)-calendar[[#This Row],[Count]]/7)&lt;0,I2958,I2958+1)</f>
        <v>423</v>
      </c>
      <c r="J2959">
        <f t="shared" si="234"/>
        <v>2957</v>
      </c>
      <c r="K2959">
        <f>IF(calendar[[#This Row],[Month]]&lt;4,1,IF(calendar[[#This Row],[Month]]&lt;7,2,IF(calendar[[#This Row],[Month]]&lt;10,3,4)))</f>
        <v>1</v>
      </c>
      <c r="L2959">
        <f>IFERROR(IF(VLOOKUP(calendar[[#This Row],[Date]],BH!A:A,1,)&lt;&gt;"",1,0),0)</f>
        <v>0</v>
      </c>
      <c r="M2959">
        <f>IFERROR(IF(VLOOKUP(calendar[[#This Row],[Date]],BH!C:C,1,)&lt;&gt;"",1,0),0)</f>
        <v>0</v>
      </c>
      <c r="N2959">
        <f>IFERROR(IF(VLOOKUP(calendar[[#This Row],[Date]],BH!E:E,1,)&lt;&gt;"",1,0),0)</f>
        <v>0</v>
      </c>
      <c r="O2959">
        <f>IFERROR(IF(VLOOKUP(calendar[[#This Row],[Date]],BH!G:G,1,)&lt;&gt;"",1,0),0)</f>
        <v>0</v>
      </c>
      <c r="P2959">
        <f>IF(OR(calendar[[#This Row],[UK_BH]]=1,calendar[[#This Row],[WeekDay]]=1, calendar[[#This Row],[WeekDay]]=7),P2958,P2958+1)</f>
        <v>2112</v>
      </c>
      <c r="Q2959">
        <f>IF(OR(calendar[[#This Row],[FR_BH]]=1,calendar[[#This Row],[WeekDay]]=1, calendar[[#This Row],[WeekDay]]=7),P2958,P2958+1)</f>
        <v>2112</v>
      </c>
      <c r="R2959">
        <f>IF(OR(calendar[[#This Row],[SP_BH]]=1,calendar[[#This Row],[WeekDay]]=1, calendar[[#This Row],[WeekDay]]=7),P2958,P2958+1)</f>
        <v>2112</v>
      </c>
      <c r="S2959">
        <f>IF(OR(calendar[[#This Row],[PT_BH]]=1,calendar[[#This Row],[WeekDay]]=1, calendar[[#This Row],[WeekDay]]=7),P2958,P2958+1)</f>
        <v>2112</v>
      </c>
    </row>
    <row r="2960" spans="1:19" x14ac:dyDescent="0.25">
      <c r="A2960" s="2">
        <v>45694</v>
      </c>
      <c r="B2960" s="1">
        <f t="shared" si="233"/>
        <v>6</v>
      </c>
      <c r="C2960">
        <f t="shared" ref="C2960:C3023" si="235">MONTH(A2960)</f>
        <v>2</v>
      </c>
      <c r="D2960" t="str">
        <f t="shared" ref="D2960:D3023" si="236">TEXT(A2960,"mmmm")</f>
        <v>February</v>
      </c>
      <c r="E2960">
        <f t="shared" ref="E2960:E3023" si="237">YEAR(A2960)</f>
        <v>2025</v>
      </c>
      <c r="F2960" t="str">
        <f>CONCATENATE(calendar[[#This Row],[Month]],"/",calendar[[#This Row],[Year]])</f>
        <v>2/2025</v>
      </c>
      <c r="G2960">
        <f>WEEKDAY(calendar[[#This Row],[Date]],1)</f>
        <v>5</v>
      </c>
      <c r="H2960" t="str">
        <f>TEXT(calendar[[#This Row],[WeekDay]],"dddd")</f>
        <v>Thursday</v>
      </c>
      <c r="I2960">
        <f>IF((INT(calendar[[#This Row],[Count]]/7)-calendar[[#This Row],[Count]]/7)&lt;0,I2959,I2959+1)</f>
        <v>423</v>
      </c>
      <c r="J2960">
        <f t="shared" si="234"/>
        <v>2958</v>
      </c>
      <c r="K2960">
        <f>IF(calendar[[#This Row],[Month]]&lt;4,1,IF(calendar[[#This Row],[Month]]&lt;7,2,IF(calendar[[#This Row],[Month]]&lt;10,3,4)))</f>
        <v>1</v>
      </c>
      <c r="L2960">
        <f>IFERROR(IF(VLOOKUP(calendar[[#This Row],[Date]],BH!A:A,1,)&lt;&gt;"",1,0),0)</f>
        <v>0</v>
      </c>
      <c r="M2960">
        <f>IFERROR(IF(VLOOKUP(calendar[[#This Row],[Date]],BH!C:C,1,)&lt;&gt;"",1,0),0)</f>
        <v>0</v>
      </c>
      <c r="N2960">
        <f>IFERROR(IF(VLOOKUP(calendar[[#This Row],[Date]],BH!E:E,1,)&lt;&gt;"",1,0),0)</f>
        <v>0</v>
      </c>
      <c r="O2960">
        <f>IFERROR(IF(VLOOKUP(calendar[[#This Row],[Date]],BH!G:G,1,)&lt;&gt;"",1,0),0)</f>
        <v>0</v>
      </c>
      <c r="P2960">
        <f>IF(OR(calendar[[#This Row],[UK_BH]]=1,calendar[[#This Row],[WeekDay]]=1, calendar[[#This Row],[WeekDay]]=7),P2959,P2959+1)</f>
        <v>2113</v>
      </c>
      <c r="Q2960">
        <f>IF(OR(calendar[[#This Row],[FR_BH]]=1,calendar[[#This Row],[WeekDay]]=1, calendar[[#This Row],[WeekDay]]=7),P2959,P2959+1)</f>
        <v>2113</v>
      </c>
      <c r="R2960">
        <f>IF(OR(calendar[[#This Row],[SP_BH]]=1,calendar[[#This Row],[WeekDay]]=1, calendar[[#This Row],[WeekDay]]=7),P2959,P2959+1)</f>
        <v>2113</v>
      </c>
      <c r="S2960">
        <f>IF(OR(calendar[[#This Row],[PT_BH]]=1,calendar[[#This Row],[WeekDay]]=1, calendar[[#This Row],[WeekDay]]=7),P2959,P2959+1)</f>
        <v>2113</v>
      </c>
    </row>
    <row r="2961" spans="1:19" x14ac:dyDescent="0.25">
      <c r="A2961" s="2">
        <v>45695</v>
      </c>
      <c r="B2961" s="1">
        <f t="shared" si="233"/>
        <v>6</v>
      </c>
      <c r="C2961">
        <f t="shared" si="235"/>
        <v>2</v>
      </c>
      <c r="D2961" t="str">
        <f t="shared" si="236"/>
        <v>February</v>
      </c>
      <c r="E2961">
        <f t="shared" si="237"/>
        <v>2025</v>
      </c>
      <c r="F2961" t="str">
        <f>CONCATENATE(calendar[[#This Row],[Month]],"/",calendar[[#This Row],[Year]])</f>
        <v>2/2025</v>
      </c>
      <c r="G2961">
        <f>WEEKDAY(calendar[[#This Row],[Date]],1)</f>
        <v>6</v>
      </c>
      <c r="H2961" t="str">
        <f>TEXT(calendar[[#This Row],[WeekDay]],"dddd")</f>
        <v>Friday</v>
      </c>
      <c r="I2961">
        <f>IF((INT(calendar[[#This Row],[Count]]/7)-calendar[[#This Row],[Count]]/7)&lt;0,I2960,I2960+1)</f>
        <v>423</v>
      </c>
      <c r="J2961">
        <f t="shared" si="234"/>
        <v>2959</v>
      </c>
      <c r="K2961">
        <f>IF(calendar[[#This Row],[Month]]&lt;4,1,IF(calendar[[#This Row],[Month]]&lt;7,2,IF(calendar[[#This Row],[Month]]&lt;10,3,4)))</f>
        <v>1</v>
      </c>
      <c r="L2961">
        <f>IFERROR(IF(VLOOKUP(calendar[[#This Row],[Date]],BH!A:A,1,)&lt;&gt;"",1,0),0)</f>
        <v>0</v>
      </c>
      <c r="M2961">
        <f>IFERROR(IF(VLOOKUP(calendar[[#This Row],[Date]],BH!C:C,1,)&lt;&gt;"",1,0),0)</f>
        <v>0</v>
      </c>
      <c r="N2961">
        <f>IFERROR(IF(VLOOKUP(calendar[[#This Row],[Date]],BH!E:E,1,)&lt;&gt;"",1,0),0)</f>
        <v>0</v>
      </c>
      <c r="O2961">
        <f>IFERROR(IF(VLOOKUP(calendar[[#This Row],[Date]],BH!G:G,1,)&lt;&gt;"",1,0),0)</f>
        <v>0</v>
      </c>
      <c r="P2961">
        <f>IF(OR(calendar[[#This Row],[UK_BH]]=1,calendar[[#This Row],[WeekDay]]=1, calendar[[#This Row],[WeekDay]]=7),P2960,P2960+1)</f>
        <v>2114</v>
      </c>
      <c r="Q2961">
        <f>IF(OR(calendar[[#This Row],[FR_BH]]=1,calendar[[#This Row],[WeekDay]]=1, calendar[[#This Row],[WeekDay]]=7),P2960,P2960+1)</f>
        <v>2114</v>
      </c>
      <c r="R2961">
        <f>IF(OR(calendar[[#This Row],[SP_BH]]=1,calendar[[#This Row],[WeekDay]]=1, calendar[[#This Row],[WeekDay]]=7),P2960,P2960+1)</f>
        <v>2114</v>
      </c>
      <c r="S2961">
        <f>IF(OR(calendar[[#This Row],[PT_BH]]=1,calendar[[#This Row],[WeekDay]]=1, calendar[[#This Row],[WeekDay]]=7),P2960,P2960+1)</f>
        <v>2114</v>
      </c>
    </row>
    <row r="2962" spans="1:19" x14ac:dyDescent="0.25">
      <c r="A2962" s="2">
        <v>45696</v>
      </c>
      <c r="B2962" s="1">
        <f t="shared" si="233"/>
        <v>6</v>
      </c>
      <c r="C2962">
        <f t="shared" si="235"/>
        <v>2</v>
      </c>
      <c r="D2962" t="str">
        <f t="shared" si="236"/>
        <v>February</v>
      </c>
      <c r="E2962">
        <f t="shared" si="237"/>
        <v>2025</v>
      </c>
      <c r="F2962" t="str">
        <f>CONCATENATE(calendar[[#This Row],[Month]],"/",calendar[[#This Row],[Year]])</f>
        <v>2/2025</v>
      </c>
      <c r="G2962">
        <f>WEEKDAY(calendar[[#This Row],[Date]],1)</f>
        <v>7</v>
      </c>
      <c r="H2962" t="str">
        <f>TEXT(calendar[[#This Row],[WeekDay]],"dddd")</f>
        <v>Saturday</v>
      </c>
      <c r="I2962">
        <f>IF((INT(calendar[[#This Row],[Count]]/7)-calendar[[#This Row],[Count]]/7)&lt;0,I2961,I2961+1)</f>
        <v>423</v>
      </c>
      <c r="J2962">
        <f t="shared" si="234"/>
        <v>2960</v>
      </c>
      <c r="K2962">
        <f>IF(calendar[[#This Row],[Month]]&lt;4,1,IF(calendar[[#This Row],[Month]]&lt;7,2,IF(calendar[[#This Row],[Month]]&lt;10,3,4)))</f>
        <v>1</v>
      </c>
      <c r="L2962">
        <f>IFERROR(IF(VLOOKUP(calendar[[#This Row],[Date]],BH!A:A,1,)&lt;&gt;"",1,0),0)</f>
        <v>0</v>
      </c>
      <c r="M2962">
        <f>IFERROR(IF(VLOOKUP(calendar[[#This Row],[Date]],BH!C:C,1,)&lt;&gt;"",1,0),0)</f>
        <v>0</v>
      </c>
      <c r="N2962">
        <f>IFERROR(IF(VLOOKUP(calendar[[#This Row],[Date]],BH!E:E,1,)&lt;&gt;"",1,0),0)</f>
        <v>0</v>
      </c>
      <c r="O2962">
        <f>IFERROR(IF(VLOOKUP(calendar[[#This Row],[Date]],BH!G:G,1,)&lt;&gt;"",1,0),0)</f>
        <v>0</v>
      </c>
      <c r="P2962">
        <f>IF(OR(calendar[[#This Row],[UK_BH]]=1,calendar[[#This Row],[WeekDay]]=1, calendar[[#This Row],[WeekDay]]=7),P2961,P2961+1)</f>
        <v>2114</v>
      </c>
      <c r="Q2962">
        <f>IF(OR(calendar[[#This Row],[FR_BH]]=1,calendar[[#This Row],[WeekDay]]=1, calendar[[#This Row],[WeekDay]]=7),P2961,P2961+1)</f>
        <v>2114</v>
      </c>
      <c r="R2962">
        <f>IF(OR(calendar[[#This Row],[SP_BH]]=1,calendar[[#This Row],[WeekDay]]=1, calendar[[#This Row],[WeekDay]]=7),P2961,P2961+1)</f>
        <v>2114</v>
      </c>
      <c r="S2962">
        <f>IF(OR(calendar[[#This Row],[PT_BH]]=1,calendar[[#This Row],[WeekDay]]=1, calendar[[#This Row],[WeekDay]]=7),P2961,P2961+1)</f>
        <v>2114</v>
      </c>
    </row>
    <row r="2963" spans="1:19" x14ac:dyDescent="0.25">
      <c r="A2963" s="2">
        <v>45697</v>
      </c>
      <c r="B2963" s="1">
        <f t="shared" si="233"/>
        <v>7</v>
      </c>
      <c r="C2963">
        <f t="shared" si="235"/>
        <v>2</v>
      </c>
      <c r="D2963" t="str">
        <f t="shared" si="236"/>
        <v>February</v>
      </c>
      <c r="E2963">
        <f t="shared" si="237"/>
        <v>2025</v>
      </c>
      <c r="F2963" t="str">
        <f>CONCATENATE(calendar[[#This Row],[Month]],"/",calendar[[#This Row],[Year]])</f>
        <v>2/2025</v>
      </c>
      <c r="G2963">
        <f>WEEKDAY(calendar[[#This Row],[Date]],1)</f>
        <v>1</v>
      </c>
      <c r="H2963" t="str">
        <f>TEXT(calendar[[#This Row],[WeekDay]],"dddd")</f>
        <v>Sunday</v>
      </c>
      <c r="I2963">
        <f>IF((INT(calendar[[#This Row],[Count]]/7)-calendar[[#This Row],[Count]]/7)&lt;0,I2962,I2962+1)</f>
        <v>424</v>
      </c>
      <c r="J2963">
        <f t="shared" si="234"/>
        <v>2961</v>
      </c>
      <c r="K2963">
        <f>IF(calendar[[#This Row],[Month]]&lt;4,1,IF(calendar[[#This Row],[Month]]&lt;7,2,IF(calendar[[#This Row],[Month]]&lt;10,3,4)))</f>
        <v>1</v>
      </c>
      <c r="L2963">
        <f>IFERROR(IF(VLOOKUP(calendar[[#This Row],[Date]],BH!A:A,1,)&lt;&gt;"",1,0),0)</f>
        <v>0</v>
      </c>
      <c r="M2963">
        <f>IFERROR(IF(VLOOKUP(calendar[[#This Row],[Date]],BH!C:C,1,)&lt;&gt;"",1,0),0)</f>
        <v>0</v>
      </c>
      <c r="N2963">
        <f>IFERROR(IF(VLOOKUP(calendar[[#This Row],[Date]],BH!E:E,1,)&lt;&gt;"",1,0),0)</f>
        <v>0</v>
      </c>
      <c r="O2963">
        <f>IFERROR(IF(VLOOKUP(calendar[[#This Row],[Date]],BH!G:G,1,)&lt;&gt;"",1,0),0)</f>
        <v>0</v>
      </c>
      <c r="P2963">
        <f>IF(OR(calendar[[#This Row],[UK_BH]]=1,calendar[[#This Row],[WeekDay]]=1, calendar[[#This Row],[WeekDay]]=7),P2962,P2962+1)</f>
        <v>2114</v>
      </c>
      <c r="Q2963">
        <f>IF(OR(calendar[[#This Row],[FR_BH]]=1,calendar[[#This Row],[WeekDay]]=1, calendar[[#This Row],[WeekDay]]=7),P2962,P2962+1)</f>
        <v>2114</v>
      </c>
      <c r="R2963">
        <f>IF(OR(calendar[[#This Row],[SP_BH]]=1,calendar[[#This Row],[WeekDay]]=1, calendar[[#This Row],[WeekDay]]=7),P2962,P2962+1)</f>
        <v>2114</v>
      </c>
      <c r="S2963">
        <f>IF(OR(calendar[[#This Row],[PT_BH]]=1,calendar[[#This Row],[WeekDay]]=1, calendar[[#This Row],[WeekDay]]=7),P2962,P2962+1)</f>
        <v>2114</v>
      </c>
    </row>
    <row r="2964" spans="1:19" x14ac:dyDescent="0.25">
      <c r="A2964" s="2">
        <v>45698</v>
      </c>
      <c r="B2964" s="1">
        <f t="shared" si="233"/>
        <v>7</v>
      </c>
      <c r="C2964">
        <f t="shared" si="235"/>
        <v>2</v>
      </c>
      <c r="D2964" t="str">
        <f t="shared" si="236"/>
        <v>February</v>
      </c>
      <c r="E2964">
        <f t="shared" si="237"/>
        <v>2025</v>
      </c>
      <c r="F2964" t="str">
        <f>CONCATENATE(calendar[[#This Row],[Month]],"/",calendar[[#This Row],[Year]])</f>
        <v>2/2025</v>
      </c>
      <c r="G2964">
        <f>WEEKDAY(calendar[[#This Row],[Date]],1)</f>
        <v>2</v>
      </c>
      <c r="H2964" t="str">
        <f>TEXT(calendar[[#This Row],[WeekDay]],"dddd")</f>
        <v>Monday</v>
      </c>
      <c r="I2964">
        <f>IF((INT(calendar[[#This Row],[Count]]/7)-calendar[[#This Row],[Count]]/7)&lt;0,I2963,I2963+1)</f>
        <v>424</v>
      </c>
      <c r="J2964">
        <f t="shared" si="234"/>
        <v>2962</v>
      </c>
      <c r="K2964">
        <f>IF(calendar[[#This Row],[Month]]&lt;4,1,IF(calendar[[#This Row],[Month]]&lt;7,2,IF(calendar[[#This Row],[Month]]&lt;10,3,4)))</f>
        <v>1</v>
      </c>
      <c r="L2964">
        <f>IFERROR(IF(VLOOKUP(calendar[[#This Row],[Date]],BH!A:A,1,)&lt;&gt;"",1,0),0)</f>
        <v>0</v>
      </c>
      <c r="M2964">
        <f>IFERROR(IF(VLOOKUP(calendar[[#This Row],[Date]],BH!C:C,1,)&lt;&gt;"",1,0),0)</f>
        <v>0</v>
      </c>
      <c r="N2964">
        <f>IFERROR(IF(VLOOKUP(calendar[[#This Row],[Date]],BH!E:E,1,)&lt;&gt;"",1,0),0)</f>
        <v>0</v>
      </c>
      <c r="O2964">
        <f>IFERROR(IF(VLOOKUP(calendar[[#This Row],[Date]],BH!G:G,1,)&lt;&gt;"",1,0),0)</f>
        <v>0</v>
      </c>
      <c r="P2964">
        <f>IF(OR(calendar[[#This Row],[UK_BH]]=1,calendar[[#This Row],[WeekDay]]=1, calendar[[#This Row],[WeekDay]]=7),P2963,P2963+1)</f>
        <v>2115</v>
      </c>
      <c r="Q2964">
        <f>IF(OR(calendar[[#This Row],[FR_BH]]=1,calendar[[#This Row],[WeekDay]]=1, calendar[[#This Row],[WeekDay]]=7),P2963,P2963+1)</f>
        <v>2115</v>
      </c>
      <c r="R2964">
        <f>IF(OR(calendar[[#This Row],[SP_BH]]=1,calendar[[#This Row],[WeekDay]]=1, calendar[[#This Row],[WeekDay]]=7),P2963,P2963+1)</f>
        <v>2115</v>
      </c>
      <c r="S2964">
        <f>IF(OR(calendar[[#This Row],[PT_BH]]=1,calendar[[#This Row],[WeekDay]]=1, calendar[[#This Row],[WeekDay]]=7),P2963,P2963+1)</f>
        <v>2115</v>
      </c>
    </row>
    <row r="2965" spans="1:19" x14ac:dyDescent="0.25">
      <c r="A2965" s="2">
        <v>45699</v>
      </c>
      <c r="B2965" s="1">
        <f t="shared" si="233"/>
        <v>7</v>
      </c>
      <c r="C2965">
        <f t="shared" si="235"/>
        <v>2</v>
      </c>
      <c r="D2965" t="str">
        <f t="shared" si="236"/>
        <v>February</v>
      </c>
      <c r="E2965">
        <f t="shared" si="237"/>
        <v>2025</v>
      </c>
      <c r="F2965" t="str">
        <f>CONCATENATE(calendar[[#This Row],[Month]],"/",calendar[[#This Row],[Year]])</f>
        <v>2/2025</v>
      </c>
      <c r="G2965">
        <f>WEEKDAY(calendar[[#This Row],[Date]],1)</f>
        <v>3</v>
      </c>
      <c r="H2965" t="str">
        <f>TEXT(calendar[[#This Row],[WeekDay]],"dddd")</f>
        <v>Tuesday</v>
      </c>
      <c r="I2965">
        <f>IF((INT(calendar[[#This Row],[Count]]/7)-calendar[[#This Row],[Count]]/7)&lt;0,I2964,I2964+1)</f>
        <v>424</v>
      </c>
      <c r="J2965">
        <f t="shared" si="234"/>
        <v>2963</v>
      </c>
      <c r="K2965">
        <f>IF(calendar[[#This Row],[Month]]&lt;4,1,IF(calendar[[#This Row],[Month]]&lt;7,2,IF(calendar[[#This Row],[Month]]&lt;10,3,4)))</f>
        <v>1</v>
      </c>
      <c r="L2965">
        <f>IFERROR(IF(VLOOKUP(calendar[[#This Row],[Date]],BH!A:A,1,)&lt;&gt;"",1,0),0)</f>
        <v>0</v>
      </c>
      <c r="M2965">
        <f>IFERROR(IF(VLOOKUP(calendar[[#This Row],[Date]],BH!C:C,1,)&lt;&gt;"",1,0),0)</f>
        <v>0</v>
      </c>
      <c r="N2965">
        <f>IFERROR(IF(VLOOKUP(calendar[[#This Row],[Date]],BH!E:E,1,)&lt;&gt;"",1,0),0)</f>
        <v>0</v>
      </c>
      <c r="O2965">
        <f>IFERROR(IF(VLOOKUP(calendar[[#This Row],[Date]],BH!G:G,1,)&lt;&gt;"",1,0),0)</f>
        <v>0</v>
      </c>
      <c r="P2965">
        <f>IF(OR(calendar[[#This Row],[UK_BH]]=1,calendar[[#This Row],[WeekDay]]=1, calendar[[#This Row],[WeekDay]]=7),P2964,P2964+1)</f>
        <v>2116</v>
      </c>
      <c r="Q2965">
        <f>IF(OR(calendar[[#This Row],[FR_BH]]=1,calendar[[#This Row],[WeekDay]]=1, calendar[[#This Row],[WeekDay]]=7),P2964,P2964+1)</f>
        <v>2116</v>
      </c>
      <c r="R2965">
        <f>IF(OR(calendar[[#This Row],[SP_BH]]=1,calendar[[#This Row],[WeekDay]]=1, calendar[[#This Row],[WeekDay]]=7),P2964,P2964+1)</f>
        <v>2116</v>
      </c>
      <c r="S2965">
        <f>IF(OR(calendar[[#This Row],[PT_BH]]=1,calendar[[#This Row],[WeekDay]]=1, calendar[[#This Row],[WeekDay]]=7),P2964,P2964+1)</f>
        <v>2116</v>
      </c>
    </row>
    <row r="2966" spans="1:19" x14ac:dyDescent="0.25">
      <c r="A2966" s="2">
        <v>45700</v>
      </c>
      <c r="B2966" s="1">
        <f t="shared" si="233"/>
        <v>7</v>
      </c>
      <c r="C2966">
        <f t="shared" si="235"/>
        <v>2</v>
      </c>
      <c r="D2966" t="str">
        <f t="shared" si="236"/>
        <v>February</v>
      </c>
      <c r="E2966">
        <f t="shared" si="237"/>
        <v>2025</v>
      </c>
      <c r="F2966" t="str">
        <f>CONCATENATE(calendar[[#This Row],[Month]],"/",calendar[[#This Row],[Year]])</f>
        <v>2/2025</v>
      </c>
      <c r="G2966">
        <f>WEEKDAY(calendar[[#This Row],[Date]],1)</f>
        <v>4</v>
      </c>
      <c r="H2966" t="str">
        <f>TEXT(calendar[[#This Row],[WeekDay]],"dddd")</f>
        <v>Wednesday</v>
      </c>
      <c r="I2966">
        <f>IF((INT(calendar[[#This Row],[Count]]/7)-calendar[[#This Row],[Count]]/7)&lt;0,I2965,I2965+1)</f>
        <v>424</v>
      </c>
      <c r="J2966">
        <f t="shared" si="234"/>
        <v>2964</v>
      </c>
      <c r="K2966">
        <f>IF(calendar[[#This Row],[Month]]&lt;4,1,IF(calendar[[#This Row],[Month]]&lt;7,2,IF(calendar[[#This Row],[Month]]&lt;10,3,4)))</f>
        <v>1</v>
      </c>
      <c r="L2966">
        <f>IFERROR(IF(VLOOKUP(calendar[[#This Row],[Date]],BH!A:A,1,)&lt;&gt;"",1,0),0)</f>
        <v>0</v>
      </c>
      <c r="M2966">
        <f>IFERROR(IF(VLOOKUP(calendar[[#This Row],[Date]],BH!C:C,1,)&lt;&gt;"",1,0),0)</f>
        <v>0</v>
      </c>
      <c r="N2966">
        <f>IFERROR(IF(VLOOKUP(calendar[[#This Row],[Date]],BH!E:E,1,)&lt;&gt;"",1,0),0)</f>
        <v>0</v>
      </c>
      <c r="O2966">
        <f>IFERROR(IF(VLOOKUP(calendar[[#This Row],[Date]],BH!G:G,1,)&lt;&gt;"",1,0),0)</f>
        <v>0</v>
      </c>
      <c r="P2966">
        <f>IF(OR(calendar[[#This Row],[UK_BH]]=1,calendar[[#This Row],[WeekDay]]=1, calendar[[#This Row],[WeekDay]]=7),P2965,P2965+1)</f>
        <v>2117</v>
      </c>
      <c r="Q2966">
        <f>IF(OR(calendar[[#This Row],[FR_BH]]=1,calendar[[#This Row],[WeekDay]]=1, calendar[[#This Row],[WeekDay]]=7),P2965,P2965+1)</f>
        <v>2117</v>
      </c>
      <c r="R2966">
        <f>IF(OR(calendar[[#This Row],[SP_BH]]=1,calendar[[#This Row],[WeekDay]]=1, calendar[[#This Row],[WeekDay]]=7),P2965,P2965+1)</f>
        <v>2117</v>
      </c>
      <c r="S2966">
        <f>IF(OR(calendar[[#This Row],[PT_BH]]=1,calendar[[#This Row],[WeekDay]]=1, calendar[[#This Row],[WeekDay]]=7),P2965,P2965+1)</f>
        <v>2117</v>
      </c>
    </row>
    <row r="2967" spans="1:19" x14ac:dyDescent="0.25">
      <c r="A2967" s="2">
        <v>45701</v>
      </c>
      <c r="B2967" s="1">
        <f t="shared" si="233"/>
        <v>7</v>
      </c>
      <c r="C2967">
        <f t="shared" si="235"/>
        <v>2</v>
      </c>
      <c r="D2967" t="str">
        <f t="shared" si="236"/>
        <v>February</v>
      </c>
      <c r="E2967">
        <f t="shared" si="237"/>
        <v>2025</v>
      </c>
      <c r="F2967" t="str">
        <f>CONCATENATE(calendar[[#This Row],[Month]],"/",calendar[[#This Row],[Year]])</f>
        <v>2/2025</v>
      </c>
      <c r="G2967">
        <f>WEEKDAY(calendar[[#This Row],[Date]],1)</f>
        <v>5</v>
      </c>
      <c r="H2967" t="str">
        <f>TEXT(calendar[[#This Row],[WeekDay]],"dddd")</f>
        <v>Thursday</v>
      </c>
      <c r="I2967">
        <f>IF((INT(calendar[[#This Row],[Count]]/7)-calendar[[#This Row],[Count]]/7)&lt;0,I2966,I2966+1)</f>
        <v>424</v>
      </c>
      <c r="J2967">
        <f t="shared" si="234"/>
        <v>2965</v>
      </c>
      <c r="K2967">
        <f>IF(calendar[[#This Row],[Month]]&lt;4,1,IF(calendar[[#This Row],[Month]]&lt;7,2,IF(calendar[[#This Row],[Month]]&lt;10,3,4)))</f>
        <v>1</v>
      </c>
      <c r="L2967">
        <f>IFERROR(IF(VLOOKUP(calendar[[#This Row],[Date]],BH!A:A,1,)&lt;&gt;"",1,0),0)</f>
        <v>0</v>
      </c>
      <c r="M2967">
        <f>IFERROR(IF(VLOOKUP(calendar[[#This Row],[Date]],BH!C:C,1,)&lt;&gt;"",1,0),0)</f>
        <v>0</v>
      </c>
      <c r="N2967">
        <f>IFERROR(IF(VLOOKUP(calendar[[#This Row],[Date]],BH!E:E,1,)&lt;&gt;"",1,0),0)</f>
        <v>0</v>
      </c>
      <c r="O2967">
        <f>IFERROR(IF(VLOOKUP(calendar[[#This Row],[Date]],BH!G:G,1,)&lt;&gt;"",1,0),0)</f>
        <v>0</v>
      </c>
      <c r="P2967">
        <f>IF(OR(calendar[[#This Row],[UK_BH]]=1,calendar[[#This Row],[WeekDay]]=1, calendar[[#This Row],[WeekDay]]=7),P2966,P2966+1)</f>
        <v>2118</v>
      </c>
      <c r="Q2967">
        <f>IF(OR(calendar[[#This Row],[FR_BH]]=1,calendar[[#This Row],[WeekDay]]=1, calendar[[#This Row],[WeekDay]]=7),P2966,P2966+1)</f>
        <v>2118</v>
      </c>
      <c r="R2967">
        <f>IF(OR(calendar[[#This Row],[SP_BH]]=1,calendar[[#This Row],[WeekDay]]=1, calendar[[#This Row],[WeekDay]]=7),P2966,P2966+1)</f>
        <v>2118</v>
      </c>
      <c r="S2967">
        <f>IF(OR(calendar[[#This Row],[PT_BH]]=1,calendar[[#This Row],[WeekDay]]=1, calendar[[#This Row],[WeekDay]]=7),P2966,P2966+1)</f>
        <v>2118</v>
      </c>
    </row>
    <row r="2968" spans="1:19" x14ac:dyDescent="0.25">
      <c r="A2968" s="2">
        <v>45702</v>
      </c>
      <c r="B2968" s="1">
        <f t="shared" si="233"/>
        <v>7</v>
      </c>
      <c r="C2968">
        <f t="shared" si="235"/>
        <v>2</v>
      </c>
      <c r="D2968" t="str">
        <f t="shared" si="236"/>
        <v>February</v>
      </c>
      <c r="E2968">
        <f t="shared" si="237"/>
        <v>2025</v>
      </c>
      <c r="F2968" t="str">
        <f>CONCATENATE(calendar[[#This Row],[Month]],"/",calendar[[#This Row],[Year]])</f>
        <v>2/2025</v>
      </c>
      <c r="G2968">
        <f>WEEKDAY(calendar[[#This Row],[Date]],1)</f>
        <v>6</v>
      </c>
      <c r="H2968" t="str">
        <f>TEXT(calendar[[#This Row],[WeekDay]],"dddd")</f>
        <v>Friday</v>
      </c>
      <c r="I2968">
        <f>IF((INT(calendar[[#This Row],[Count]]/7)-calendar[[#This Row],[Count]]/7)&lt;0,I2967,I2967+1)</f>
        <v>424</v>
      </c>
      <c r="J2968">
        <f t="shared" si="234"/>
        <v>2966</v>
      </c>
      <c r="K2968">
        <f>IF(calendar[[#This Row],[Month]]&lt;4,1,IF(calendar[[#This Row],[Month]]&lt;7,2,IF(calendar[[#This Row],[Month]]&lt;10,3,4)))</f>
        <v>1</v>
      </c>
      <c r="L2968">
        <f>IFERROR(IF(VLOOKUP(calendar[[#This Row],[Date]],BH!A:A,1,)&lt;&gt;"",1,0),0)</f>
        <v>0</v>
      </c>
      <c r="M2968">
        <f>IFERROR(IF(VLOOKUP(calendar[[#This Row],[Date]],BH!C:C,1,)&lt;&gt;"",1,0),0)</f>
        <v>0</v>
      </c>
      <c r="N2968">
        <f>IFERROR(IF(VLOOKUP(calendar[[#This Row],[Date]],BH!E:E,1,)&lt;&gt;"",1,0),0)</f>
        <v>0</v>
      </c>
      <c r="O2968">
        <f>IFERROR(IF(VLOOKUP(calendar[[#This Row],[Date]],BH!G:G,1,)&lt;&gt;"",1,0),0)</f>
        <v>0</v>
      </c>
      <c r="P2968">
        <f>IF(OR(calendar[[#This Row],[UK_BH]]=1,calendar[[#This Row],[WeekDay]]=1, calendar[[#This Row],[WeekDay]]=7),P2967,P2967+1)</f>
        <v>2119</v>
      </c>
      <c r="Q2968">
        <f>IF(OR(calendar[[#This Row],[FR_BH]]=1,calendar[[#This Row],[WeekDay]]=1, calendar[[#This Row],[WeekDay]]=7),P2967,P2967+1)</f>
        <v>2119</v>
      </c>
      <c r="R2968">
        <f>IF(OR(calendar[[#This Row],[SP_BH]]=1,calendar[[#This Row],[WeekDay]]=1, calendar[[#This Row],[WeekDay]]=7),P2967,P2967+1)</f>
        <v>2119</v>
      </c>
      <c r="S2968">
        <f>IF(OR(calendar[[#This Row],[PT_BH]]=1,calendar[[#This Row],[WeekDay]]=1, calendar[[#This Row],[WeekDay]]=7),P2967,P2967+1)</f>
        <v>2119</v>
      </c>
    </row>
    <row r="2969" spans="1:19" x14ac:dyDescent="0.25">
      <c r="A2969" s="2">
        <v>45703</v>
      </c>
      <c r="B2969" s="1">
        <f t="shared" si="233"/>
        <v>7</v>
      </c>
      <c r="C2969">
        <f t="shared" si="235"/>
        <v>2</v>
      </c>
      <c r="D2969" t="str">
        <f t="shared" si="236"/>
        <v>February</v>
      </c>
      <c r="E2969">
        <f t="shared" si="237"/>
        <v>2025</v>
      </c>
      <c r="F2969" t="str">
        <f>CONCATENATE(calendar[[#This Row],[Month]],"/",calendar[[#This Row],[Year]])</f>
        <v>2/2025</v>
      </c>
      <c r="G2969">
        <f>WEEKDAY(calendar[[#This Row],[Date]],1)</f>
        <v>7</v>
      </c>
      <c r="H2969" t="str">
        <f>TEXT(calendar[[#This Row],[WeekDay]],"dddd")</f>
        <v>Saturday</v>
      </c>
      <c r="I2969">
        <f>IF((INT(calendar[[#This Row],[Count]]/7)-calendar[[#This Row],[Count]]/7)&lt;0,I2968,I2968+1)</f>
        <v>424</v>
      </c>
      <c r="J2969">
        <f t="shared" si="234"/>
        <v>2967</v>
      </c>
      <c r="K2969">
        <f>IF(calendar[[#This Row],[Month]]&lt;4,1,IF(calendar[[#This Row],[Month]]&lt;7,2,IF(calendar[[#This Row],[Month]]&lt;10,3,4)))</f>
        <v>1</v>
      </c>
      <c r="L2969">
        <f>IFERROR(IF(VLOOKUP(calendar[[#This Row],[Date]],BH!A:A,1,)&lt;&gt;"",1,0),0)</f>
        <v>0</v>
      </c>
      <c r="M2969">
        <f>IFERROR(IF(VLOOKUP(calendar[[#This Row],[Date]],BH!C:C,1,)&lt;&gt;"",1,0),0)</f>
        <v>0</v>
      </c>
      <c r="N2969">
        <f>IFERROR(IF(VLOOKUP(calendar[[#This Row],[Date]],BH!E:E,1,)&lt;&gt;"",1,0),0)</f>
        <v>0</v>
      </c>
      <c r="O2969">
        <f>IFERROR(IF(VLOOKUP(calendar[[#This Row],[Date]],BH!G:G,1,)&lt;&gt;"",1,0),0)</f>
        <v>0</v>
      </c>
      <c r="P2969">
        <f>IF(OR(calendar[[#This Row],[UK_BH]]=1,calendar[[#This Row],[WeekDay]]=1, calendar[[#This Row],[WeekDay]]=7),P2968,P2968+1)</f>
        <v>2119</v>
      </c>
      <c r="Q2969">
        <f>IF(OR(calendar[[#This Row],[FR_BH]]=1,calendar[[#This Row],[WeekDay]]=1, calendar[[#This Row],[WeekDay]]=7),P2968,P2968+1)</f>
        <v>2119</v>
      </c>
      <c r="R2969">
        <f>IF(OR(calendar[[#This Row],[SP_BH]]=1,calendar[[#This Row],[WeekDay]]=1, calendar[[#This Row],[WeekDay]]=7),P2968,P2968+1)</f>
        <v>2119</v>
      </c>
      <c r="S2969">
        <f>IF(OR(calendar[[#This Row],[PT_BH]]=1,calendar[[#This Row],[WeekDay]]=1, calendar[[#This Row],[WeekDay]]=7),P2968,P2968+1)</f>
        <v>2119</v>
      </c>
    </row>
    <row r="2970" spans="1:19" x14ac:dyDescent="0.25">
      <c r="A2970" s="2">
        <v>45704</v>
      </c>
      <c r="B2970" s="1">
        <f t="shared" si="233"/>
        <v>8</v>
      </c>
      <c r="C2970">
        <f t="shared" si="235"/>
        <v>2</v>
      </c>
      <c r="D2970" t="str">
        <f t="shared" si="236"/>
        <v>February</v>
      </c>
      <c r="E2970">
        <f t="shared" si="237"/>
        <v>2025</v>
      </c>
      <c r="F2970" t="str">
        <f>CONCATENATE(calendar[[#This Row],[Month]],"/",calendar[[#This Row],[Year]])</f>
        <v>2/2025</v>
      </c>
      <c r="G2970">
        <f>WEEKDAY(calendar[[#This Row],[Date]],1)</f>
        <v>1</v>
      </c>
      <c r="H2970" t="str">
        <f>TEXT(calendar[[#This Row],[WeekDay]],"dddd")</f>
        <v>Sunday</v>
      </c>
      <c r="I2970">
        <f>IF((INT(calendar[[#This Row],[Count]]/7)-calendar[[#This Row],[Count]]/7)&lt;0,I2969,I2969+1)</f>
        <v>425</v>
      </c>
      <c r="J2970">
        <f t="shared" si="234"/>
        <v>2968</v>
      </c>
      <c r="K2970">
        <f>IF(calendar[[#This Row],[Month]]&lt;4,1,IF(calendar[[#This Row],[Month]]&lt;7,2,IF(calendar[[#This Row],[Month]]&lt;10,3,4)))</f>
        <v>1</v>
      </c>
      <c r="L2970">
        <f>IFERROR(IF(VLOOKUP(calendar[[#This Row],[Date]],BH!A:A,1,)&lt;&gt;"",1,0),0)</f>
        <v>0</v>
      </c>
      <c r="M2970">
        <f>IFERROR(IF(VLOOKUP(calendar[[#This Row],[Date]],BH!C:C,1,)&lt;&gt;"",1,0),0)</f>
        <v>0</v>
      </c>
      <c r="N2970">
        <f>IFERROR(IF(VLOOKUP(calendar[[#This Row],[Date]],BH!E:E,1,)&lt;&gt;"",1,0),0)</f>
        <v>0</v>
      </c>
      <c r="O2970">
        <f>IFERROR(IF(VLOOKUP(calendar[[#This Row],[Date]],BH!G:G,1,)&lt;&gt;"",1,0),0)</f>
        <v>0</v>
      </c>
      <c r="P2970">
        <f>IF(OR(calendar[[#This Row],[UK_BH]]=1,calendar[[#This Row],[WeekDay]]=1, calendar[[#This Row],[WeekDay]]=7),P2969,P2969+1)</f>
        <v>2119</v>
      </c>
      <c r="Q2970">
        <f>IF(OR(calendar[[#This Row],[FR_BH]]=1,calendar[[#This Row],[WeekDay]]=1, calendar[[#This Row],[WeekDay]]=7),P2969,P2969+1)</f>
        <v>2119</v>
      </c>
      <c r="R2970">
        <f>IF(OR(calendar[[#This Row],[SP_BH]]=1,calendar[[#This Row],[WeekDay]]=1, calendar[[#This Row],[WeekDay]]=7),P2969,P2969+1)</f>
        <v>2119</v>
      </c>
      <c r="S2970">
        <f>IF(OR(calendar[[#This Row],[PT_BH]]=1,calendar[[#This Row],[WeekDay]]=1, calendar[[#This Row],[WeekDay]]=7),P2969,P2969+1)</f>
        <v>2119</v>
      </c>
    </row>
    <row r="2971" spans="1:19" x14ac:dyDescent="0.25">
      <c r="A2971" s="2">
        <v>45705</v>
      </c>
      <c r="B2971" s="1">
        <f t="shared" si="233"/>
        <v>8</v>
      </c>
      <c r="C2971">
        <f t="shared" si="235"/>
        <v>2</v>
      </c>
      <c r="D2971" t="str">
        <f t="shared" si="236"/>
        <v>February</v>
      </c>
      <c r="E2971">
        <f t="shared" si="237"/>
        <v>2025</v>
      </c>
      <c r="F2971" t="str">
        <f>CONCATENATE(calendar[[#This Row],[Month]],"/",calendar[[#This Row],[Year]])</f>
        <v>2/2025</v>
      </c>
      <c r="G2971">
        <f>WEEKDAY(calendar[[#This Row],[Date]],1)</f>
        <v>2</v>
      </c>
      <c r="H2971" t="str">
        <f>TEXT(calendar[[#This Row],[WeekDay]],"dddd")</f>
        <v>Monday</v>
      </c>
      <c r="I2971">
        <f>IF((INT(calendar[[#This Row],[Count]]/7)-calendar[[#This Row],[Count]]/7)&lt;0,I2970,I2970+1)</f>
        <v>425</v>
      </c>
      <c r="J2971">
        <f t="shared" si="234"/>
        <v>2969</v>
      </c>
      <c r="K2971">
        <f>IF(calendar[[#This Row],[Month]]&lt;4,1,IF(calendar[[#This Row],[Month]]&lt;7,2,IF(calendar[[#This Row],[Month]]&lt;10,3,4)))</f>
        <v>1</v>
      </c>
      <c r="L2971">
        <f>IFERROR(IF(VLOOKUP(calendar[[#This Row],[Date]],BH!A:A,1,)&lt;&gt;"",1,0),0)</f>
        <v>0</v>
      </c>
      <c r="M2971">
        <f>IFERROR(IF(VLOOKUP(calendar[[#This Row],[Date]],BH!C:C,1,)&lt;&gt;"",1,0),0)</f>
        <v>0</v>
      </c>
      <c r="N2971">
        <f>IFERROR(IF(VLOOKUP(calendar[[#This Row],[Date]],BH!E:E,1,)&lt;&gt;"",1,0),0)</f>
        <v>0</v>
      </c>
      <c r="O2971">
        <f>IFERROR(IF(VLOOKUP(calendar[[#This Row],[Date]],BH!G:G,1,)&lt;&gt;"",1,0),0)</f>
        <v>0</v>
      </c>
      <c r="P2971">
        <f>IF(OR(calendar[[#This Row],[UK_BH]]=1,calendar[[#This Row],[WeekDay]]=1, calendar[[#This Row],[WeekDay]]=7),P2970,P2970+1)</f>
        <v>2120</v>
      </c>
      <c r="Q2971">
        <f>IF(OR(calendar[[#This Row],[FR_BH]]=1,calendar[[#This Row],[WeekDay]]=1, calendar[[#This Row],[WeekDay]]=7),P2970,P2970+1)</f>
        <v>2120</v>
      </c>
      <c r="R2971">
        <f>IF(OR(calendar[[#This Row],[SP_BH]]=1,calendar[[#This Row],[WeekDay]]=1, calendar[[#This Row],[WeekDay]]=7),P2970,P2970+1)</f>
        <v>2120</v>
      </c>
      <c r="S2971">
        <f>IF(OR(calendar[[#This Row],[PT_BH]]=1,calendar[[#This Row],[WeekDay]]=1, calendar[[#This Row],[WeekDay]]=7),P2970,P2970+1)</f>
        <v>2120</v>
      </c>
    </row>
    <row r="2972" spans="1:19" x14ac:dyDescent="0.25">
      <c r="A2972" s="2">
        <v>45706</v>
      </c>
      <c r="B2972" s="1">
        <f t="shared" si="233"/>
        <v>8</v>
      </c>
      <c r="C2972">
        <f t="shared" si="235"/>
        <v>2</v>
      </c>
      <c r="D2972" t="str">
        <f t="shared" si="236"/>
        <v>February</v>
      </c>
      <c r="E2972">
        <f t="shared" si="237"/>
        <v>2025</v>
      </c>
      <c r="F2972" t="str">
        <f>CONCATENATE(calendar[[#This Row],[Month]],"/",calendar[[#This Row],[Year]])</f>
        <v>2/2025</v>
      </c>
      <c r="G2972">
        <f>WEEKDAY(calendar[[#This Row],[Date]],1)</f>
        <v>3</v>
      </c>
      <c r="H2972" t="str">
        <f>TEXT(calendar[[#This Row],[WeekDay]],"dddd")</f>
        <v>Tuesday</v>
      </c>
      <c r="I2972">
        <f>IF((INT(calendar[[#This Row],[Count]]/7)-calendar[[#This Row],[Count]]/7)&lt;0,I2971,I2971+1)</f>
        <v>425</v>
      </c>
      <c r="J2972">
        <f t="shared" si="234"/>
        <v>2970</v>
      </c>
      <c r="K2972">
        <f>IF(calendar[[#This Row],[Month]]&lt;4,1,IF(calendar[[#This Row],[Month]]&lt;7,2,IF(calendar[[#This Row],[Month]]&lt;10,3,4)))</f>
        <v>1</v>
      </c>
      <c r="L2972">
        <f>IFERROR(IF(VLOOKUP(calendar[[#This Row],[Date]],BH!A:A,1,)&lt;&gt;"",1,0),0)</f>
        <v>0</v>
      </c>
      <c r="M2972">
        <f>IFERROR(IF(VLOOKUP(calendar[[#This Row],[Date]],BH!C:C,1,)&lt;&gt;"",1,0),0)</f>
        <v>0</v>
      </c>
      <c r="N2972">
        <f>IFERROR(IF(VLOOKUP(calendar[[#This Row],[Date]],BH!E:E,1,)&lt;&gt;"",1,0),0)</f>
        <v>0</v>
      </c>
      <c r="O2972">
        <f>IFERROR(IF(VLOOKUP(calendar[[#This Row],[Date]],BH!G:G,1,)&lt;&gt;"",1,0),0)</f>
        <v>0</v>
      </c>
      <c r="P2972">
        <f>IF(OR(calendar[[#This Row],[UK_BH]]=1,calendar[[#This Row],[WeekDay]]=1, calendar[[#This Row],[WeekDay]]=7),P2971,P2971+1)</f>
        <v>2121</v>
      </c>
      <c r="Q2972">
        <f>IF(OR(calendar[[#This Row],[FR_BH]]=1,calendar[[#This Row],[WeekDay]]=1, calendar[[#This Row],[WeekDay]]=7),P2971,P2971+1)</f>
        <v>2121</v>
      </c>
      <c r="R2972">
        <f>IF(OR(calendar[[#This Row],[SP_BH]]=1,calendar[[#This Row],[WeekDay]]=1, calendar[[#This Row],[WeekDay]]=7),P2971,P2971+1)</f>
        <v>2121</v>
      </c>
      <c r="S2972">
        <f>IF(OR(calendar[[#This Row],[PT_BH]]=1,calendar[[#This Row],[WeekDay]]=1, calendar[[#This Row],[WeekDay]]=7),P2971,P2971+1)</f>
        <v>2121</v>
      </c>
    </row>
    <row r="2973" spans="1:19" x14ac:dyDescent="0.25">
      <c r="A2973" s="2">
        <v>45707</v>
      </c>
      <c r="B2973" s="1">
        <f t="shared" si="233"/>
        <v>8</v>
      </c>
      <c r="C2973">
        <f t="shared" si="235"/>
        <v>2</v>
      </c>
      <c r="D2973" t="str">
        <f t="shared" si="236"/>
        <v>February</v>
      </c>
      <c r="E2973">
        <f t="shared" si="237"/>
        <v>2025</v>
      </c>
      <c r="F2973" t="str">
        <f>CONCATENATE(calendar[[#This Row],[Month]],"/",calendar[[#This Row],[Year]])</f>
        <v>2/2025</v>
      </c>
      <c r="G2973">
        <f>WEEKDAY(calendar[[#This Row],[Date]],1)</f>
        <v>4</v>
      </c>
      <c r="H2973" t="str">
        <f>TEXT(calendar[[#This Row],[WeekDay]],"dddd")</f>
        <v>Wednesday</v>
      </c>
      <c r="I2973">
        <f>IF((INT(calendar[[#This Row],[Count]]/7)-calendar[[#This Row],[Count]]/7)&lt;0,I2972,I2972+1)</f>
        <v>425</v>
      </c>
      <c r="J2973">
        <f t="shared" si="234"/>
        <v>2971</v>
      </c>
      <c r="K2973">
        <f>IF(calendar[[#This Row],[Month]]&lt;4,1,IF(calendar[[#This Row],[Month]]&lt;7,2,IF(calendar[[#This Row],[Month]]&lt;10,3,4)))</f>
        <v>1</v>
      </c>
      <c r="L2973">
        <f>IFERROR(IF(VLOOKUP(calendar[[#This Row],[Date]],BH!A:A,1,)&lt;&gt;"",1,0),0)</f>
        <v>0</v>
      </c>
      <c r="M2973">
        <f>IFERROR(IF(VLOOKUP(calendar[[#This Row],[Date]],BH!C:C,1,)&lt;&gt;"",1,0),0)</f>
        <v>0</v>
      </c>
      <c r="N2973">
        <f>IFERROR(IF(VLOOKUP(calendar[[#This Row],[Date]],BH!E:E,1,)&lt;&gt;"",1,0),0)</f>
        <v>0</v>
      </c>
      <c r="O2973">
        <f>IFERROR(IF(VLOOKUP(calendar[[#This Row],[Date]],BH!G:G,1,)&lt;&gt;"",1,0),0)</f>
        <v>0</v>
      </c>
      <c r="P2973">
        <f>IF(OR(calendar[[#This Row],[UK_BH]]=1,calendar[[#This Row],[WeekDay]]=1, calendar[[#This Row],[WeekDay]]=7),P2972,P2972+1)</f>
        <v>2122</v>
      </c>
      <c r="Q2973">
        <f>IF(OR(calendar[[#This Row],[FR_BH]]=1,calendar[[#This Row],[WeekDay]]=1, calendar[[#This Row],[WeekDay]]=7),P2972,P2972+1)</f>
        <v>2122</v>
      </c>
      <c r="R2973">
        <f>IF(OR(calendar[[#This Row],[SP_BH]]=1,calendar[[#This Row],[WeekDay]]=1, calendar[[#This Row],[WeekDay]]=7),P2972,P2972+1)</f>
        <v>2122</v>
      </c>
      <c r="S2973">
        <f>IF(OR(calendar[[#This Row],[PT_BH]]=1,calendar[[#This Row],[WeekDay]]=1, calendar[[#This Row],[WeekDay]]=7),P2972,P2972+1)</f>
        <v>2122</v>
      </c>
    </row>
    <row r="2974" spans="1:19" x14ac:dyDescent="0.25">
      <c r="A2974" s="2">
        <v>45708</v>
      </c>
      <c r="B2974" s="1">
        <f t="shared" si="233"/>
        <v>8</v>
      </c>
      <c r="C2974">
        <f t="shared" si="235"/>
        <v>2</v>
      </c>
      <c r="D2974" t="str">
        <f t="shared" si="236"/>
        <v>February</v>
      </c>
      <c r="E2974">
        <f t="shared" si="237"/>
        <v>2025</v>
      </c>
      <c r="F2974" t="str">
        <f>CONCATENATE(calendar[[#This Row],[Month]],"/",calendar[[#This Row],[Year]])</f>
        <v>2/2025</v>
      </c>
      <c r="G2974">
        <f>WEEKDAY(calendar[[#This Row],[Date]],1)</f>
        <v>5</v>
      </c>
      <c r="H2974" t="str">
        <f>TEXT(calendar[[#This Row],[WeekDay]],"dddd")</f>
        <v>Thursday</v>
      </c>
      <c r="I2974">
        <f>IF((INT(calendar[[#This Row],[Count]]/7)-calendar[[#This Row],[Count]]/7)&lt;0,I2973,I2973+1)</f>
        <v>425</v>
      </c>
      <c r="J2974">
        <f t="shared" si="234"/>
        <v>2972</v>
      </c>
      <c r="K2974">
        <f>IF(calendar[[#This Row],[Month]]&lt;4,1,IF(calendar[[#This Row],[Month]]&lt;7,2,IF(calendar[[#This Row],[Month]]&lt;10,3,4)))</f>
        <v>1</v>
      </c>
      <c r="L2974">
        <f>IFERROR(IF(VLOOKUP(calendar[[#This Row],[Date]],BH!A:A,1,)&lt;&gt;"",1,0),0)</f>
        <v>0</v>
      </c>
      <c r="M2974">
        <f>IFERROR(IF(VLOOKUP(calendar[[#This Row],[Date]],BH!C:C,1,)&lt;&gt;"",1,0),0)</f>
        <v>0</v>
      </c>
      <c r="N2974">
        <f>IFERROR(IF(VLOOKUP(calendar[[#This Row],[Date]],BH!E:E,1,)&lt;&gt;"",1,0),0)</f>
        <v>0</v>
      </c>
      <c r="O2974">
        <f>IFERROR(IF(VLOOKUP(calendar[[#This Row],[Date]],BH!G:G,1,)&lt;&gt;"",1,0),0)</f>
        <v>0</v>
      </c>
      <c r="P2974">
        <f>IF(OR(calendar[[#This Row],[UK_BH]]=1,calendar[[#This Row],[WeekDay]]=1, calendar[[#This Row],[WeekDay]]=7),P2973,P2973+1)</f>
        <v>2123</v>
      </c>
      <c r="Q2974">
        <f>IF(OR(calendar[[#This Row],[FR_BH]]=1,calendar[[#This Row],[WeekDay]]=1, calendar[[#This Row],[WeekDay]]=7),P2973,P2973+1)</f>
        <v>2123</v>
      </c>
      <c r="R2974">
        <f>IF(OR(calendar[[#This Row],[SP_BH]]=1,calendar[[#This Row],[WeekDay]]=1, calendar[[#This Row],[WeekDay]]=7),P2973,P2973+1)</f>
        <v>2123</v>
      </c>
      <c r="S2974">
        <f>IF(OR(calendar[[#This Row],[PT_BH]]=1,calendar[[#This Row],[WeekDay]]=1, calendar[[#This Row],[WeekDay]]=7),P2973,P2973+1)</f>
        <v>2123</v>
      </c>
    </row>
    <row r="2975" spans="1:19" x14ac:dyDescent="0.25">
      <c r="A2975" s="2">
        <v>45709</v>
      </c>
      <c r="B2975" s="1">
        <f t="shared" si="233"/>
        <v>8</v>
      </c>
      <c r="C2975">
        <f t="shared" si="235"/>
        <v>2</v>
      </c>
      <c r="D2975" t="str">
        <f t="shared" si="236"/>
        <v>February</v>
      </c>
      <c r="E2975">
        <f t="shared" si="237"/>
        <v>2025</v>
      </c>
      <c r="F2975" t="str">
        <f>CONCATENATE(calendar[[#This Row],[Month]],"/",calendar[[#This Row],[Year]])</f>
        <v>2/2025</v>
      </c>
      <c r="G2975">
        <f>WEEKDAY(calendar[[#This Row],[Date]],1)</f>
        <v>6</v>
      </c>
      <c r="H2975" t="str">
        <f>TEXT(calendar[[#This Row],[WeekDay]],"dddd")</f>
        <v>Friday</v>
      </c>
      <c r="I2975">
        <f>IF((INT(calendar[[#This Row],[Count]]/7)-calendar[[#This Row],[Count]]/7)&lt;0,I2974,I2974+1)</f>
        <v>425</v>
      </c>
      <c r="J2975">
        <f t="shared" si="234"/>
        <v>2973</v>
      </c>
      <c r="K2975">
        <f>IF(calendar[[#This Row],[Month]]&lt;4,1,IF(calendar[[#This Row],[Month]]&lt;7,2,IF(calendar[[#This Row],[Month]]&lt;10,3,4)))</f>
        <v>1</v>
      </c>
      <c r="L2975">
        <f>IFERROR(IF(VLOOKUP(calendar[[#This Row],[Date]],BH!A:A,1,)&lt;&gt;"",1,0),0)</f>
        <v>0</v>
      </c>
      <c r="M2975">
        <f>IFERROR(IF(VLOOKUP(calendar[[#This Row],[Date]],BH!C:C,1,)&lt;&gt;"",1,0),0)</f>
        <v>0</v>
      </c>
      <c r="N2975">
        <f>IFERROR(IF(VLOOKUP(calendar[[#This Row],[Date]],BH!E:E,1,)&lt;&gt;"",1,0),0)</f>
        <v>0</v>
      </c>
      <c r="O2975">
        <f>IFERROR(IF(VLOOKUP(calendar[[#This Row],[Date]],BH!G:G,1,)&lt;&gt;"",1,0),0)</f>
        <v>0</v>
      </c>
      <c r="P2975">
        <f>IF(OR(calendar[[#This Row],[UK_BH]]=1,calendar[[#This Row],[WeekDay]]=1, calendar[[#This Row],[WeekDay]]=7),P2974,P2974+1)</f>
        <v>2124</v>
      </c>
      <c r="Q2975">
        <f>IF(OR(calendar[[#This Row],[FR_BH]]=1,calendar[[#This Row],[WeekDay]]=1, calendar[[#This Row],[WeekDay]]=7),P2974,P2974+1)</f>
        <v>2124</v>
      </c>
      <c r="R2975">
        <f>IF(OR(calendar[[#This Row],[SP_BH]]=1,calendar[[#This Row],[WeekDay]]=1, calendar[[#This Row],[WeekDay]]=7),P2974,P2974+1)</f>
        <v>2124</v>
      </c>
      <c r="S2975">
        <f>IF(OR(calendar[[#This Row],[PT_BH]]=1,calendar[[#This Row],[WeekDay]]=1, calendar[[#This Row],[WeekDay]]=7),P2974,P2974+1)</f>
        <v>2124</v>
      </c>
    </row>
    <row r="2976" spans="1:19" x14ac:dyDescent="0.25">
      <c r="A2976" s="2">
        <v>45710</v>
      </c>
      <c r="B2976" s="1">
        <f t="shared" si="233"/>
        <v>8</v>
      </c>
      <c r="C2976">
        <f t="shared" si="235"/>
        <v>2</v>
      </c>
      <c r="D2976" t="str">
        <f t="shared" si="236"/>
        <v>February</v>
      </c>
      <c r="E2976">
        <f t="shared" si="237"/>
        <v>2025</v>
      </c>
      <c r="F2976" t="str">
        <f>CONCATENATE(calendar[[#This Row],[Month]],"/",calendar[[#This Row],[Year]])</f>
        <v>2/2025</v>
      </c>
      <c r="G2976">
        <f>WEEKDAY(calendar[[#This Row],[Date]],1)</f>
        <v>7</v>
      </c>
      <c r="H2976" t="str">
        <f>TEXT(calendar[[#This Row],[WeekDay]],"dddd")</f>
        <v>Saturday</v>
      </c>
      <c r="I2976">
        <f>IF((INT(calendar[[#This Row],[Count]]/7)-calendar[[#This Row],[Count]]/7)&lt;0,I2975,I2975+1)</f>
        <v>425</v>
      </c>
      <c r="J2976">
        <f t="shared" si="234"/>
        <v>2974</v>
      </c>
      <c r="K2976">
        <f>IF(calendar[[#This Row],[Month]]&lt;4,1,IF(calendar[[#This Row],[Month]]&lt;7,2,IF(calendar[[#This Row],[Month]]&lt;10,3,4)))</f>
        <v>1</v>
      </c>
      <c r="L2976">
        <f>IFERROR(IF(VLOOKUP(calendar[[#This Row],[Date]],BH!A:A,1,)&lt;&gt;"",1,0),0)</f>
        <v>0</v>
      </c>
      <c r="M2976">
        <f>IFERROR(IF(VLOOKUP(calendar[[#This Row],[Date]],BH!C:C,1,)&lt;&gt;"",1,0),0)</f>
        <v>0</v>
      </c>
      <c r="N2976">
        <f>IFERROR(IF(VLOOKUP(calendar[[#This Row],[Date]],BH!E:E,1,)&lt;&gt;"",1,0),0)</f>
        <v>0</v>
      </c>
      <c r="O2976">
        <f>IFERROR(IF(VLOOKUP(calendar[[#This Row],[Date]],BH!G:G,1,)&lt;&gt;"",1,0),0)</f>
        <v>0</v>
      </c>
      <c r="P2976">
        <f>IF(OR(calendar[[#This Row],[UK_BH]]=1,calendar[[#This Row],[WeekDay]]=1, calendar[[#This Row],[WeekDay]]=7),P2975,P2975+1)</f>
        <v>2124</v>
      </c>
      <c r="Q2976">
        <f>IF(OR(calendar[[#This Row],[FR_BH]]=1,calendar[[#This Row],[WeekDay]]=1, calendar[[#This Row],[WeekDay]]=7),P2975,P2975+1)</f>
        <v>2124</v>
      </c>
      <c r="R2976">
        <f>IF(OR(calendar[[#This Row],[SP_BH]]=1,calendar[[#This Row],[WeekDay]]=1, calendar[[#This Row],[WeekDay]]=7),P2975,P2975+1)</f>
        <v>2124</v>
      </c>
      <c r="S2976">
        <f>IF(OR(calendar[[#This Row],[PT_BH]]=1,calendar[[#This Row],[WeekDay]]=1, calendar[[#This Row],[WeekDay]]=7),P2975,P2975+1)</f>
        <v>2124</v>
      </c>
    </row>
    <row r="2977" spans="1:19" x14ac:dyDescent="0.25">
      <c r="A2977" s="2">
        <v>45711</v>
      </c>
      <c r="B2977" s="1">
        <f t="shared" si="233"/>
        <v>9</v>
      </c>
      <c r="C2977">
        <f t="shared" si="235"/>
        <v>2</v>
      </c>
      <c r="D2977" t="str">
        <f t="shared" si="236"/>
        <v>February</v>
      </c>
      <c r="E2977">
        <f t="shared" si="237"/>
        <v>2025</v>
      </c>
      <c r="F2977" t="str">
        <f>CONCATENATE(calendar[[#This Row],[Month]],"/",calendar[[#This Row],[Year]])</f>
        <v>2/2025</v>
      </c>
      <c r="G2977">
        <f>WEEKDAY(calendar[[#This Row],[Date]],1)</f>
        <v>1</v>
      </c>
      <c r="H2977" t="str">
        <f>TEXT(calendar[[#This Row],[WeekDay]],"dddd")</f>
        <v>Sunday</v>
      </c>
      <c r="I2977">
        <f>IF((INT(calendar[[#This Row],[Count]]/7)-calendar[[#This Row],[Count]]/7)&lt;0,I2976,I2976+1)</f>
        <v>426</v>
      </c>
      <c r="J2977">
        <f t="shared" si="234"/>
        <v>2975</v>
      </c>
      <c r="K2977">
        <f>IF(calendar[[#This Row],[Month]]&lt;4,1,IF(calendar[[#This Row],[Month]]&lt;7,2,IF(calendar[[#This Row],[Month]]&lt;10,3,4)))</f>
        <v>1</v>
      </c>
      <c r="L2977">
        <f>IFERROR(IF(VLOOKUP(calendar[[#This Row],[Date]],BH!A:A,1,)&lt;&gt;"",1,0),0)</f>
        <v>0</v>
      </c>
      <c r="M2977">
        <f>IFERROR(IF(VLOOKUP(calendar[[#This Row],[Date]],BH!C:C,1,)&lt;&gt;"",1,0),0)</f>
        <v>0</v>
      </c>
      <c r="N2977">
        <f>IFERROR(IF(VLOOKUP(calendar[[#This Row],[Date]],BH!E:E,1,)&lt;&gt;"",1,0),0)</f>
        <v>0</v>
      </c>
      <c r="O2977">
        <f>IFERROR(IF(VLOOKUP(calendar[[#This Row],[Date]],BH!G:G,1,)&lt;&gt;"",1,0),0)</f>
        <v>0</v>
      </c>
      <c r="P2977">
        <f>IF(OR(calendar[[#This Row],[UK_BH]]=1,calendar[[#This Row],[WeekDay]]=1, calendar[[#This Row],[WeekDay]]=7),P2976,P2976+1)</f>
        <v>2124</v>
      </c>
      <c r="Q2977">
        <f>IF(OR(calendar[[#This Row],[FR_BH]]=1,calendar[[#This Row],[WeekDay]]=1, calendar[[#This Row],[WeekDay]]=7),P2976,P2976+1)</f>
        <v>2124</v>
      </c>
      <c r="R2977">
        <f>IF(OR(calendar[[#This Row],[SP_BH]]=1,calendar[[#This Row],[WeekDay]]=1, calendar[[#This Row],[WeekDay]]=7),P2976,P2976+1)</f>
        <v>2124</v>
      </c>
      <c r="S2977">
        <f>IF(OR(calendar[[#This Row],[PT_BH]]=1,calendar[[#This Row],[WeekDay]]=1, calendar[[#This Row],[WeekDay]]=7),P2976,P2976+1)</f>
        <v>2124</v>
      </c>
    </row>
    <row r="2978" spans="1:19" x14ac:dyDescent="0.25">
      <c r="A2978" s="2">
        <v>45712</v>
      </c>
      <c r="B2978" s="1">
        <f t="shared" si="233"/>
        <v>9</v>
      </c>
      <c r="C2978">
        <f t="shared" si="235"/>
        <v>2</v>
      </c>
      <c r="D2978" t="str">
        <f t="shared" si="236"/>
        <v>February</v>
      </c>
      <c r="E2978">
        <f t="shared" si="237"/>
        <v>2025</v>
      </c>
      <c r="F2978" t="str">
        <f>CONCATENATE(calendar[[#This Row],[Month]],"/",calendar[[#This Row],[Year]])</f>
        <v>2/2025</v>
      </c>
      <c r="G2978">
        <f>WEEKDAY(calendar[[#This Row],[Date]],1)</f>
        <v>2</v>
      </c>
      <c r="H2978" t="str">
        <f>TEXT(calendar[[#This Row],[WeekDay]],"dddd")</f>
        <v>Monday</v>
      </c>
      <c r="I2978">
        <f>IF((INT(calendar[[#This Row],[Count]]/7)-calendar[[#This Row],[Count]]/7)&lt;0,I2977,I2977+1)</f>
        <v>426</v>
      </c>
      <c r="J2978">
        <f t="shared" si="234"/>
        <v>2976</v>
      </c>
      <c r="K2978">
        <f>IF(calendar[[#This Row],[Month]]&lt;4,1,IF(calendar[[#This Row],[Month]]&lt;7,2,IF(calendar[[#This Row],[Month]]&lt;10,3,4)))</f>
        <v>1</v>
      </c>
      <c r="L2978">
        <f>IFERROR(IF(VLOOKUP(calendar[[#This Row],[Date]],BH!A:A,1,)&lt;&gt;"",1,0),0)</f>
        <v>0</v>
      </c>
      <c r="M2978">
        <f>IFERROR(IF(VLOOKUP(calendar[[#This Row],[Date]],BH!C:C,1,)&lt;&gt;"",1,0),0)</f>
        <v>0</v>
      </c>
      <c r="N2978">
        <f>IFERROR(IF(VLOOKUP(calendar[[#This Row],[Date]],BH!E:E,1,)&lt;&gt;"",1,0),0)</f>
        <v>0</v>
      </c>
      <c r="O2978">
        <f>IFERROR(IF(VLOOKUP(calendar[[#This Row],[Date]],BH!G:G,1,)&lt;&gt;"",1,0),0)</f>
        <v>0</v>
      </c>
      <c r="P2978">
        <f>IF(OR(calendar[[#This Row],[UK_BH]]=1,calendar[[#This Row],[WeekDay]]=1, calendar[[#This Row],[WeekDay]]=7),P2977,P2977+1)</f>
        <v>2125</v>
      </c>
      <c r="Q2978">
        <f>IF(OR(calendar[[#This Row],[FR_BH]]=1,calendar[[#This Row],[WeekDay]]=1, calendar[[#This Row],[WeekDay]]=7),P2977,P2977+1)</f>
        <v>2125</v>
      </c>
      <c r="R2978">
        <f>IF(OR(calendar[[#This Row],[SP_BH]]=1,calendar[[#This Row],[WeekDay]]=1, calendar[[#This Row],[WeekDay]]=7),P2977,P2977+1)</f>
        <v>2125</v>
      </c>
      <c r="S2978">
        <f>IF(OR(calendar[[#This Row],[PT_BH]]=1,calendar[[#This Row],[WeekDay]]=1, calendar[[#This Row],[WeekDay]]=7),P2977,P2977+1)</f>
        <v>2125</v>
      </c>
    </row>
    <row r="2979" spans="1:19" x14ac:dyDescent="0.25">
      <c r="A2979" s="2">
        <v>45713</v>
      </c>
      <c r="B2979" s="1">
        <f t="shared" si="233"/>
        <v>9</v>
      </c>
      <c r="C2979">
        <f t="shared" si="235"/>
        <v>2</v>
      </c>
      <c r="D2979" t="str">
        <f t="shared" si="236"/>
        <v>February</v>
      </c>
      <c r="E2979">
        <f t="shared" si="237"/>
        <v>2025</v>
      </c>
      <c r="F2979" t="str">
        <f>CONCATENATE(calendar[[#This Row],[Month]],"/",calendar[[#This Row],[Year]])</f>
        <v>2/2025</v>
      </c>
      <c r="G2979">
        <f>WEEKDAY(calendar[[#This Row],[Date]],1)</f>
        <v>3</v>
      </c>
      <c r="H2979" t="str">
        <f>TEXT(calendar[[#This Row],[WeekDay]],"dddd")</f>
        <v>Tuesday</v>
      </c>
      <c r="I2979">
        <f>IF((INT(calendar[[#This Row],[Count]]/7)-calendar[[#This Row],[Count]]/7)&lt;0,I2978,I2978+1)</f>
        <v>426</v>
      </c>
      <c r="J2979">
        <f t="shared" si="234"/>
        <v>2977</v>
      </c>
      <c r="K2979">
        <f>IF(calendar[[#This Row],[Month]]&lt;4,1,IF(calendar[[#This Row],[Month]]&lt;7,2,IF(calendar[[#This Row],[Month]]&lt;10,3,4)))</f>
        <v>1</v>
      </c>
      <c r="L2979">
        <f>IFERROR(IF(VLOOKUP(calendar[[#This Row],[Date]],BH!A:A,1,)&lt;&gt;"",1,0),0)</f>
        <v>0</v>
      </c>
      <c r="M2979">
        <f>IFERROR(IF(VLOOKUP(calendar[[#This Row],[Date]],BH!C:C,1,)&lt;&gt;"",1,0),0)</f>
        <v>0</v>
      </c>
      <c r="N2979">
        <f>IFERROR(IF(VLOOKUP(calendar[[#This Row],[Date]],BH!E:E,1,)&lt;&gt;"",1,0),0)</f>
        <v>0</v>
      </c>
      <c r="O2979">
        <f>IFERROR(IF(VLOOKUP(calendar[[#This Row],[Date]],BH!G:G,1,)&lt;&gt;"",1,0),0)</f>
        <v>0</v>
      </c>
      <c r="P2979">
        <f>IF(OR(calendar[[#This Row],[UK_BH]]=1,calendar[[#This Row],[WeekDay]]=1, calendar[[#This Row],[WeekDay]]=7),P2978,P2978+1)</f>
        <v>2126</v>
      </c>
      <c r="Q2979">
        <f>IF(OR(calendar[[#This Row],[FR_BH]]=1,calendar[[#This Row],[WeekDay]]=1, calendar[[#This Row],[WeekDay]]=7),P2978,P2978+1)</f>
        <v>2126</v>
      </c>
      <c r="R2979">
        <f>IF(OR(calendar[[#This Row],[SP_BH]]=1,calendar[[#This Row],[WeekDay]]=1, calendar[[#This Row],[WeekDay]]=7),P2978,P2978+1)</f>
        <v>2126</v>
      </c>
      <c r="S2979">
        <f>IF(OR(calendar[[#This Row],[PT_BH]]=1,calendar[[#This Row],[WeekDay]]=1, calendar[[#This Row],[WeekDay]]=7),P2978,P2978+1)</f>
        <v>2126</v>
      </c>
    </row>
    <row r="2980" spans="1:19" x14ac:dyDescent="0.25">
      <c r="A2980" s="2">
        <v>45714</v>
      </c>
      <c r="B2980" s="1">
        <f t="shared" si="233"/>
        <v>9</v>
      </c>
      <c r="C2980">
        <f t="shared" si="235"/>
        <v>2</v>
      </c>
      <c r="D2980" t="str">
        <f t="shared" si="236"/>
        <v>February</v>
      </c>
      <c r="E2980">
        <f t="shared" si="237"/>
        <v>2025</v>
      </c>
      <c r="F2980" t="str">
        <f>CONCATENATE(calendar[[#This Row],[Month]],"/",calendar[[#This Row],[Year]])</f>
        <v>2/2025</v>
      </c>
      <c r="G2980">
        <f>WEEKDAY(calendar[[#This Row],[Date]],1)</f>
        <v>4</v>
      </c>
      <c r="H2980" t="str">
        <f>TEXT(calendar[[#This Row],[WeekDay]],"dddd")</f>
        <v>Wednesday</v>
      </c>
      <c r="I2980">
        <f>IF((INT(calendar[[#This Row],[Count]]/7)-calendar[[#This Row],[Count]]/7)&lt;0,I2979,I2979+1)</f>
        <v>426</v>
      </c>
      <c r="J2980">
        <f t="shared" si="234"/>
        <v>2978</v>
      </c>
      <c r="K2980">
        <f>IF(calendar[[#This Row],[Month]]&lt;4,1,IF(calendar[[#This Row],[Month]]&lt;7,2,IF(calendar[[#This Row],[Month]]&lt;10,3,4)))</f>
        <v>1</v>
      </c>
      <c r="L2980">
        <f>IFERROR(IF(VLOOKUP(calendar[[#This Row],[Date]],BH!A:A,1,)&lt;&gt;"",1,0),0)</f>
        <v>0</v>
      </c>
      <c r="M2980">
        <f>IFERROR(IF(VLOOKUP(calendar[[#This Row],[Date]],BH!C:C,1,)&lt;&gt;"",1,0),0)</f>
        <v>0</v>
      </c>
      <c r="N2980">
        <f>IFERROR(IF(VLOOKUP(calendar[[#This Row],[Date]],BH!E:E,1,)&lt;&gt;"",1,0),0)</f>
        <v>0</v>
      </c>
      <c r="O2980">
        <f>IFERROR(IF(VLOOKUP(calendar[[#This Row],[Date]],BH!G:G,1,)&lt;&gt;"",1,0),0)</f>
        <v>0</v>
      </c>
      <c r="P2980">
        <f>IF(OR(calendar[[#This Row],[UK_BH]]=1,calendar[[#This Row],[WeekDay]]=1, calendar[[#This Row],[WeekDay]]=7),P2979,P2979+1)</f>
        <v>2127</v>
      </c>
      <c r="Q2980">
        <f>IF(OR(calendar[[#This Row],[FR_BH]]=1,calendar[[#This Row],[WeekDay]]=1, calendar[[#This Row],[WeekDay]]=7),P2979,P2979+1)</f>
        <v>2127</v>
      </c>
      <c r="R2980">
        <f>IF(OR(calendar[[#This Row],[SP_BH]]=1,calendar[[#This Row],[WeekDay]]=1, calendar[[#This Row],[WeekDay]]=7),P2979,P2979+1)</f>
        <v>2127</v>
      </c>
      <c r="S2980">
        <f>IF(OR(calendar[[#This Row],[PT_BH]]=1,calendar[[#This Row],[WeekDay]]=1, calendar[[#This Row],[WeekDay]]=7),P2979,P2979+1)</f>
        <v>2127</v>
      </c>
    </row>
    <row r="2981" spans="1:19" x14ac:dyDescent="0.25">
      <c r="A2981" s="2">
        <v>45715</v>
      </c>
      <c r="B2981" s="1">
        <f t="shared" si="233"/>
        <v>9</v>
      </c>
      <c r="C2981">
        <f t="shared" si="235"/>
        <v>2</v>
      </c>
      <c r="D2981" t="str">
        <f t="shared" si="236"/>
        <v>February</v>
      </c>
      <c r="E2981">
        <f t="shared" si="237"/>
        <v>2025</v>
      </c>
      <c r="F2981" t="str">
        <f>CONCATENATE(calendar[[#This Row],[Month]],"/",calendar[[#This Row],[Year]])</f>
        <v>2/2025</v>
      </c>
      <c r="G2981">
        <f>WEEKDAY(calendar[[#This Row],[Date]],1)</f>
        <v>5</v>
      </c>
      <c r="H2981" t="str">
        <f>TEXT(calendar[[#This Row],[WeekDay]],"dddd")</f>
        <v>Thursday</v>
      </c>
      <c r="I2981">
        <f>IF((INT(calendar[[#This Row],[Count]]/7)-calendar[[#This Row],[Count]]/7)&lt;0,I2980,I2980+1)</f>
        <v>426</v>
      </c>
      <c r="J2981">
        <f t="shared" si="234"/>
        <v>2979</v>
      </c>
      <c r="K2981">
        <f>IF(calendar[[#This Row],[Month]]&lt;4,1,IF(calendar[[#This Row],[Month]]&lt;7,2,IF(calendar[[#This Row],[Month]]&lt;10,3,4)))</f>
        <v>1</v>
      </c>
      <c r="L2981">
        <f>IFERROR(IF(VLOOKUP(calendar[[#This Row],[Date]],BH!A:A,1,)&lt;&gt;"",1,0),0)</f>
        <v>0</v>
      </c>
      <c r="M2981">
        <f>IFERROR(IF(VLOOKUP(calendar[[#This Row],[Date]],BH!C:C,1,)&lt;&gt;"",1,0),0)</f>
        <v>0</v>
      </c>
      <c r="N2981">
        <f>IFERROR(IF(VLOOKUP(calendar[[#This Row],[Date]],BH!E:E,1,)&lt;&gt;"",1,0),0)</f>
        <v>0</v>
      </c>
      <c r="O2981">
        <f>IFERROR(IF(VLOOKUP(calendar[[#This Row],[Date]],BH!G:G,1,)&lt;&gt;"",1,0),0)</f>
        <v>0</v>
      </c>
      <c r="P2981">
        <f>IF(OR(calendar[[#This Row],[UK_BH]]=1,calendar[[#This Row],[WeekDay]]=1, calendar[[#This Row],[WeekDay]]=7),P2980,P2980+1)</f>
        <v>2128</v>
      </c>
      <c r="Q2981">
        <f>IF(OR(calendar[[#This Row],[FR_BH]]=1,calendar[[#This Row],[WeekDay]]=1, calendar[[#This Row],[WeekDay]]=7),P2980,P2980+1)</f>
        <v>2128</v>
      </c>
      <c r="R2981">
        <f>IF(OR(calendar[[#This Row],[SP_BH]]=1,calendar[[#This Row],[WeekDay]]=1, calendar[[#This Row],[WeekDay]]=7),P2980,P2980+1)</f>
        <v>2128</v>
      </c>
      <c r="S2981">
        <f>IF(OR(calendar[[#This Row],[PT_BH]]=1,calendar[[#This Row],[WeekDay]]=1, calendar[[#This Row],[WeekDay]]=7),P2980,P2980+1)</f>
        <v>2128</v>
      </c>
    </row>
    <row r="2982" spans="1:19" x14ac:dyDescent="0.25">
      <c r="A2982" s="2">
        <v>45716</v>
      </c>
      <c r="B2982" s="1">
        <f t="shared" si="233"/>
        <v>9</v>
      </c>
      <c r="C2982">
        <f t="shared" si="235"/>
        <v>2</v>
      </c>
      <c r="D2982" t="str">
        <f t="shared" si="236"/>
        <v>February</v>
      </c>
      <c r="E2982">
        <f t="shared" si="237"/>
        <v>2025</v>
      </c>
      <c r="F2982" t="str">
        <f>CONCATENATE(calendar[[#This Row],[Month]],"/",calendar[[#This Row],[Year]])</f>
        <v>2/2025</v>
      </c>
      <c r="G2982">
        <f>WEEKDAY(calendar[[#This Row],[Date]],1)</f>
        <v>6</v>
      </c>
      <c r="H2982" t="str">
        <f>TEXT(calendar[[#This Row],[WeekDay]],"dddd")</f>
        <v>Friday</v>
      </c>
      <c r="I2982">
        <f>IF((INT(calendar[[#This Row],[Count]]/7)-calendar[[#This Row],[Count]]/7)&lt;0,I2981,I2981+1)</f>
        <v>426</v>
      </c>
      <c r="J2982">
        <f t="shared" si="234"/>
        <v>2980</v>
      </c>
      <c r="K2982">
        <f>IF(calendar[[#This Row],[Month]]&lt;4,1,IF(calendar[[#This Row],[Month]]&lt;7,2,IF(calendar[[#This Row],[Month]]&lt;10,3,4)))</f>
        <v>1</v>
      </c>
      <c r="L2982">
        <f>IFERROR(IF(VLOOKUP(calendar[[#This Row],[Date]],BH!A:A,1,)&lt;&gt;"",1,0),0)</f>
        <v>0</v>
      </c>
      <c r="M2982">
        <f>IFERROR(IF(VLOOKUP(calendar[[#This Row],[Date]],BH!C:C,1,)&lt;&gt;"",1,0),0)</f>
        <v>0</v>
      </c>
      <c r="N2982">
        <f>IFERROR(IF(VLOOKUP(calendar[[#This Row],[Date]],BH!E:E,1,)&lt;&gt;"",1,0),0)</f>
        <v>0</v>
      </c>
      <c r="O2982">
        <f>IFERROR(IF(VLOOKUP(calendar[[#This Row],[Date]],BH!G:G,1,)&lt;&gt;"",1,0),0)</f>
        <v>0</v>
      </c>
      <c r="P2982">
        <f>IF(OR(calendar[[#This Row],[UK_BH]]=1,calendar[[#This Row],[WeekDay]]=1, calendar[[#This Row],[WeekDay]]=7),P2981,P2981+1)</f>
        <v>2129</v>
      </c>
      <c r="Q2982">
        <f>IF(OR(calendar[[#This Row],[FR_BH]]=1,calendar[[#This Row],[WeekDay]]=1, calendar[[#This Row],[WeekDay]]=7),P2981,P2981+1)</f>
        <v>2129</v>
      </c>
      <c r="R2982">
        <f>IF(OR(calendar[[#This Row],[SP_BH]]=1,calendar[[#This Row],[WeekDay]]=1, calendar[[#This Row],[WeekDay]]=7),P2981,P2981+1)</f>
        <v>2129</v>
      </c>
      <c r="S2982">
        <f>IF(OR(calendar[[#This Row],[PT_BH]]=1,calendar[[#This Row],[WeekDay]]=1, calendar[[#This Row],[WeekDay]]=7),P2981,P2981+1)</f>
        <v>2129</v>
      </c>
    </row>
    <row r="2983" spans="1:19" x14ac:dyDescent="0.25">
      <c r="A2983" s="2">
        <v>45717</v>
      </c>
      <c r="B2983" s="1">
        <f t="shared" si="233"/>
        <v>9</v>
      </c>
      <c r="C2983">
        <f t="shared" si="235"/>
        <v>3</v>
      </c>
      <c r="D2983" t="str">
        <f t="shared" si="236"/>
        <v>March</v>
      </c>
      <c r="E2983">
        <f t="shared" si="237"/>
        <v>2025</v>
      </c>
      <c r="F2983" t="str">
        <f>CONCATENATE(calendar[[#This Row],[Month]],"/",calendar[[#This Row],[Year]])</f>
        <v>3/2025</v>
      </c>
      <c r="G2983">
        <f>WEEKDAY(calendar[[#This Row],[Date]],1)</f>
        <v>7</v>
      </c>
      <c r="H2983" t="str">
        <f>TEXT(calendar[[#This Row],[WeekDay]],"dddd")</f>
        <v>Saturday</v>
      </c>
      <c r="I2983">
        <f>IF((INT(calendar[[#This Row],[Count]]/7)-calendar[[#This Row],[Count]]/7)&lt;0,I2982,I2982+1)</f>
        <v>426</v>
      </c>
      <c r="J2983">
        <f t="shared" si="234"/>
        <v>2981</v>
      </c>
      <c r="K2983">
        <f>IF(calendar[[#This Row],[Month]]&lt;4,1,IF(calendar[[#This Row],[Month]]&lt;7,2,IF(calendar[[#This Row],[Month]]&lt;10,3,4)))</f>
        <v>1</v>
      </c>
      <c r="L2983">
        <f>IFERROR(IF(VLOOKUP(calendar[[#This Row],[Date]],BH!A:A,1,)&lt;&gt;"",1,0),0)</f>
        <v>0</v>
      </c>
      <c r="M2983">
        <f>IFERROR(IF(VLOOKUP(calendar[[#This Row],[Date]],BH!C:C,1,)&lt;&gt;"",1,0),0)</f>
        <v>0</v>
      </c>
      <c r="N2983">
        <f>IFERROR(IF(VLOOKUP(calendar[[#This Row],[Date]],BH!E:E,1,)&lt;&gt;"",1,0),0)</f>
        <v>1</v>
      </c>
      <c r="O2983">
        <f>IFERROR(IF(VLOOKUP(calendar[[#This Row],[Date]],BH!G:G,1,)&lt;&gt;"",1,0),0)</f>
        <v>0</v>
      </c>
      <c r="P2983">
        <f>IF(OR(calendar[[#This Row],[UK_BH]]=1,calendar[[#This Row],[WeekDay]]=1, calendar[[#This Row],[WeekDay]]=7),P2982,P2982+1)</f>
        <v>2129</v>
      </c>
      <c r="Q2983">
        <f>IF(OR(calendar[[#This Row],[FR_BH]]=1,calendar[[#This Row],[WeekDay]]=1, calendar[[#This Row],[WeekDay]]=7),P2982,P2982+1)</f>
        <v>2129</v>
      </c>
      <c r="R2983">
        <f>IF(OR(calendar[[#This Row],[SP_BH]]=1,calendar[[#This Row],[WeekDay]]=1, calendar[[#This Row],[WeekDay]]=7),P2982,P2982+1)</f>
        <v>2129</v>
      </c>
      <c r="S2983">
        <f>IF(OR(calendar[[#This Row],[PT_BH]]=1,calendar[[#This Row],[WeekDay]]=1, calendar[[#This Row],[WeekDay]]=7),P2982,P2982+1)</f>
        <v>2129</v>
      </c>
    </row>
    <row r="2984" spans="1:19" x14ac:dyDescent="0.25">
      <c r="A2984" s="2">
        <v>45718</v>
      </c>
      <c r="B2984" s="1">
        <f t="shared" si="233"/>
        <v>10</v>
      </c>
      <c r="C2984">
        <f t="shared" si="235"/>
        <v>3</v>
      </c>
      <c r="D2984" t="str">
        <f t="shared" si="236"/>
        <v>March</v>
      </c>
      <c r="E2984">
        <f t="shared" si="237"/>
        <v>2025</v>
      </c>
      <c r="F2984" t="str">
        <f>CONCATENATE(calendar[[#This Row],[Month]],"/",calendar[[#This Row],[Year]])</f>
        <v>3/2025</v>
      </c>
      <c r="G2984">
        <f>WEEKDAY(calendar[[#This Row],[Date]],1)</f>
        <v>1</v>
      </c>
      <c r="H2984" t="str">
        <f>TEXT(calendar[[#This Row],[WeekDay]],"dddd")</f>
        <v>Sunday</v>
      </c>
      <c r="I2984">
        <f>IF((INT(calendar[[#This Row],[Count]]/7)-calendar[[#This Row],[Count]]/7)&lt;0,I2983,I2983+1)</f>
        <v>427</v>
      </c>
      <c r="J2984">
        <f t="shared" si="234"/>
        <v>2982</v>
      </c>
      <c r="K2984">
        <f>IF(calendar[[#This Row],[Month]]&lt;4,1,IF(calendar[[#This Row],[Month]]&lt;7,2,IF(calendar[[#This Row],[Month]]&lt;10,3,4)))</f>
        <v>1</v>
      </c>
      <c r="L2984">
        <f>IFERROR(IF(VLOOKUP(calendar[[#This Row],[Date]],BH!A:A,1,)&lt;&gt;"",1,0),0)</f>
        <v>0</v>
      </c>
      <c r="M2984">
        <f>IFERROR(IF(VLOOKUP(calendar[[#This Row],[Date]],BH!C:C,1,)&lt;&gt;"",1,0),0)</f>
        <v>0</v>
      </c>
      <c r="N2984">
        <f>IFERROR(IF(VLOOKUP(calendar[[#This Row],[Date]],BH!E:E,1,)&lt;&gt;"",1,0),0)</f>
        <v>0</v>
      </c>
      <c r="O2984">
        <f>IFERROR(IF(VLOOKUP(calendar[[#This Row],[Date]],BH!G:G,1,)&lt;&gt;"",1,0),0)</f>
        <v>0</v>
      </c>
      <c r="P2984">
        <f>IF(OR(calendar[[#This Row],[UK_BH]]=1,calendar[[#This Row],[WeekDay]]=1, calendar[[#This Row],[WeekDay]]=7),P2983,P2983+1)</f>
        <v>2129</v>
      </c>
      <c r="Q2984">
        <f>IF(OR(calendar[[#This Row],[FR_BH]]=1,calendar[[#This Row],[WeekDay]]=1, calendar[[#This Row],[WeekDay]]=7),P2983,P2983+1)</f>
        <v>2129</v>
      </c>
      <c r="R2984">
        <f>IF(OR(calendar[[#This Row],[SP_BH]]=1,calendar[[#This Row],[WeekDay]]=1, calendar[[#This Row],[WeekDay]]=7),P2983,P2983+1)</f>
        <v>2129</v>
      </c>
      <c r="S2984">
        <f>IF(OR(calendar[[#This Row],[PT_BH]]=1,calendar[[#This Row],[WeekDay]]=1, calendar[[#This Row],[WeekDay]]=7),P2983,P2983+1)</f>
        <v>2129</v>
      </c>
    </row>
    <row r="2985" spans="1:19" x14ac:dyDescent="0.25">
      <c r="A2985" s="2">
        <v>45719</v>
      </c>
      <c r="B2985" s="1">
        <f t="shared" si="233"/>
        <v>10</v>
      </c>
      <c r="C2985">
        <f t="shared" si="235"/>
        <v>3</v>
      </c>
      <c r="D2985" t="str">
        <f t="shared" si="236"/>
        <v>March</v>
      </c>
      <c r="E2985">
        <f t="shared" si="237"/>
        <v>2025</v>
      </c>
      <c r="F2985" t="str">
        <f>CONCATENATE(calendar[[#This Row],[Month]],"/",calendar[[#This Row],[Year]])</f>
        <v>3/2025</v>
      </c>
      <c r="G2985">
        <f>WEEKDAY(calendar[[#This Row],[Date]],1)</f>
        <v>2</v>
      </c>
      <c r="H2985" t="str">
        <f>TEXT(calendar[[#This Row],[WeekDay]],"dddd")</f>
        <v>Monday</v>
      </c>
      <c r="I2985">
        <f>IF((INT(calendar[[#This Row],[Count]]/7)-calendar[[#This Row],[Count]]/7)&lt;0,I2984,I2984+1)</f>
        <v>427</v>
      </c>
      <c r="J2985">
        <f t="shared" si="234"/>
        <v>2983</v>
      </c>
      <c r="K2985">
        <f>IF(calendar[[#This Row],[Month]]&lt;4,1,IF(calendar[[#This Row],[Month]]&lt;7,2,IF(calendar[[#This Row],[Month]]&lt;10,3,4)))</f>
        <v>1</v>
      </c>
      <c r="L2985">
        <f>IFERROR(IF(VLOOKUP(calendar[[#This Row],[Date]],BH!A:A,1,)&lt;&gt;"",1,0),0)</f>
        <v>0</v>
      </c>
      <c r="M2985">
        <f>IFERROR(IF(VLOOKUP(calendar[[#This Row],[Date]],BH!C:C,1,)&lt;&gt;"",1,0),0)</f>
        <v>0</v>
      </c>
      <c r="N2985">
        <f>IFERROR(IF(VLOOKUP(calendar[[#This Row],[Date]],BH!E:E,1,)&lt;&gt;"",1,0),0)</f>
        <v>0</v>
      </c>
      <c r="O2985">
        <f>IFERROR(IF(VLOOKUP(calendar[[#This Row],[Date]],BH!G:G,1,)&lt;&gt;"",1,0),0)</f>
        <v>0</v>
      </c>
      <c r="P2985">
        <f>IF(OR(calendar[[#This Row],[UK_BH]]=1,calendar[[#This Row],[WeekDay]]=1, calendar[[#This Row],[WeekDay]]=7),P2984,P2984+1)</f>
        <v>2130</v>
      </c>
      <c r="Q2985">
        <f>IF(OR(calendar[[#This Row],[FR_BH]]=1,calendar[[#This Row],[WeekDay]]=1, calendar[[#This Row],[WeekDay]]=7),P2984,P2984+1)</f>
        <v>2130</v>
      </c>
      <c r="R2985">
        <f>IF(OR(calendar[[#This Row],[SP_BH]]=1,calendar[[#This Row],[WeekDay]]=1, calendar[[#This Row],[WeekDay]]=7),P2984,P2984+1)</f>
        <v>2130</v>
      </c>
      <c r="S2985">
        <f>IF(OR(calendar[[#This Row],[PT_BH]]=1,calendar[[#This Row],[WeekDay]]=1, calendar[[#This Row],[WeekDay]]=7),P2984,P2984+1)</f>
        <v>2130</v>
      </c>
    </row>
    <row r="2986" spans="1:19" x14ac:dyDescent="0.25">
      <c r="A2986" s="2">
        <v>45720</v>
      </c>
      <c r="B2986" s="1">
        <f t="shared" si="233"/>
        <v>10</v>
      </c>
      <c r="C2986">
        <f t="shared" si="235"/>
        <v>3</v>
      </c>
      <c r="D2986" t="str">
        <f t="shared" si="236"/>
        <v>March</v>
      </c>
      <c r="E2986">
        <f t="shared" si="237"/>
        <v>2025</v>
      </c>
      <c r="F2986" t="str">
        <f>CONCATENATE(calendar[[#This Row],[Month]],"/",calendar[[#This Row],[Year]])</f>
        <v>3/2025</v>
      </c>
      <c r="G2986">
        <f>WEEKDAY(calendar[[#This Row],[Date]],1)</f>
        <v>3</v>
      </c>
      <c r="H2986" t="str">
        <f>TEXT(calendar[[#This Row],[WeekDay]],"dddd")</f>
        <v>Tuesday</v>
      </c>
      <c r="I2986">
        <f>IF((INT(calendar[[#This Row],[Count]]/7)-calendar[[#This Row],[Count]]/7)&lt;0,I2985,I2985+1)</f>
        <v>427</v>
      </c>
      <c r="J2986">
        <f t="shared" si="234"/>
        <v>2984</v>
      </c>
      <c r="K2986">
        <f>IF(calendar[[#This Row],[Month]]&lt;4,1,IF(calendar[[#This Row],[Month]]&lt;7,2,IF(calendar[[#This Row],[Month]]&lt;10,3,4)))</f>
        <v>1</v>
      </c>
      <c r="L2986">
        <f>IFERROR(IF(VLOOKUP(calendar[[#This Row],[Date]],BH!A:A,1,)&lt;&gt;"",1,0),0)</f>
        <v>0</v>
      </c>
      <c r="M2986">
        <f>IFERROR(IF(VLOOKUP(calendar[[#This Row],[Date]],BH!C:C,1,)&lt;&gt;"",1,0),0)</f>
        <v>0</v>
      </c>
      <c r="N2986">
        <f>IFERROR(IF(VLOOKUP(calendar[[#This Row],[Date]],BH!E:E,1,)&lt;&gt;"",1,0),0)</f>
        <v>0</v>
      </c>
      <c r="O2986">
        <f>IFERROR(IF(VLOOKUP(calendar[[#This Row],[Date]],BH!G:G,1,)&lt;&gt;"",1,0),0)</f>
        <v>0</v>
      </c>
      <c r="P2986">
        <f>IF(OR(calendar[[#This Row],[UK_BH]]=1,calendar[[#This Row],[WeekDay]]=1, calendar[[#This Row],[WeekDay]]=7),P2985,P2985+1)</f>
        <v>2131</v>
      </c>
      <c r="Q2986">
        <f>IF(OR(calendar[[#This Row],[FR_BH]]=1,calendar[[#This Row],[WeekDay]]=1, calendar[[#This Row],[WeekDay]]=7),P2985,P2985+1)</f>
        <v>2131</v>
      </c>
      <c r="R2986">
        <f>IF(OR(calendar[[#This Row],[SP_BH]]=1,calendar[[#This Row],[WeekDay]]=1, calendar[[#This Row],[WeekDay]]=7),P2985,P2985+1)</f>
        <v>2131</v>
      </c>
      <c r="S2986">
        <f>IF(OR(calendar[[#This Row],[PT_BH]]=1,calendar[[#This Row],[WeekDay]]=1, calendar[[#This Row],[WeekDay]]=7),P2985,P2985+1)</f>
        <v>2131</v>
      </c>
    </row>
    <row r="2987" spans="1:19" x14ac:dyDescent="0.25">
      <c r="A2987" s="2">
        <v>45721</v>
      </c>
      <c r="B2987" s="1">
        <f t="shared" si="233"/>
        <v>10</v>
      </c>
      <c r="C2987">
        <f t="shared" si="235"/>
        <v>3</v>
      </c>
      <c r="D2987" t="str">
        <f t="shared" si="236"/>
        <v>March</v>
      </c>
      <c r="E2987">
        <f t="shared" si="237"/>
        <v>2025</v>
      </c>
      <c r="F2987" t="str">
        <f>CONCATENATE(calendar[[#This Row],[Month]],"/",calendar[[#This Row],[Year]])</f>
        <v>3/2025</v>
      </c>
      <c r="G2987">
        <f>WEEKDAY(calendar[[#This Row],[Date]],1)</f>
        <v>4</v>
      </c>
      <c r="H2987" t="str">
        <f>TEXT(calendar[[#This Row],[WeekDay]],"dddd")</f>
        <v>Wednesday</v>
      </c>
      <c r="I2987">
        <f>IF((INT(calendar[[#This Row],[Count]]/7)-calendar[[#This Row],[Count]]/7)&lt;0,I2986,I2986+1)</f>
        <v>427</v>
      </c>
      <c r="J2987">
        <f t="shared" si="234"/>
        <v>2985</v>
      </c>
      <c r="K2987">
        <f>IF(calendar[[#This Row],[Month]]&lt;4,1,IF(calendar[[#This Row],[Month]]&lt;7,2,IF(calendar[[#This Row],[Month]]&lt;10,3,4)))</f>
        <v>1</v>
      </c>
      <c r="L2987">
        <f>IFERROR(IF(VLOOKUP(calendar[[#This Row],[Date]],BH!A:A,1,)&lt;&gt;"",1,0),0)</f>
        <v>0</v>
      </c>
      <c r="M2987">
        <f>IFERROR(IF(VLOOKUP(calendar[[#This Row],[Date]],BH!C:C,1,)&lt;&gt;"",1,0),0)</f>
        <v>0</v>
      </c>
      <c r="N2987">
        <f>IFERROR(IF(VLOOKUP(calendar[[#This Row],[Date]],BH!E:E,1,)&lt;&gt;"",1,0),0)</f>
        <v>0</v>
      </c>
      <c r="O2987">
        <f>IFERROR(IF(VLOOKUP(calendar[[#This Row],[Date]],BH!G:G,1,)&lt;&gt;"",1,0),0)</f>
        <v>0</v>
      </c>
      <c r="P2987">
        <f>IF(OR(calendar[[#This Row],[UK_BH]]=1,calendar[[#This Row],[WeekDay]]=1, calendar[[#This Row],[WeekDay]]=7),P2986,P2986+1)</f>
        <v>2132</v>
      </c>
      <c r="Q2987">
        <f>IF(OR(calendar[[#This Row],[FR_BH]]=1,calendar[[#This Row],[WeekDay]]=1, calendar[[#This Row],[WeekDay]]=7),P2986,P2986+1)</f>
        <v>2132</v>
      </c>
      <c r="R2987">
        <f>IF(OR(calendar[[#This Row],[SP_BH]]=1,calendar[[#This Row],[WeekDay]]=1, calendar[[#This Row],[WeekDay]]=7),P2986,P2986+1)</f>
        <v>2132</v>
      </c>
      <c r="S2987">
        <f>IF(OR(calendar[[#This Row],[PT_BH]]=1,calendar[[#This Row],[WeekDay]]=1, calendar[[#This Row],[WeekDay]]=7),P2986,P2986+1)</f>
        <v>2132</v>
      </c>
    </row>
    <row r="2988" spans="1:19" x14ac:dyDescent="0.25">
      <c r="A2988" s="2">
        <v>45722</v>
      </c>
      <c r="B2988" s="1">
        <f t="shared" si="233"/>
        <v>10</v>
      </c>
      <c r="C2988">
        <f t="shared" si="235"/>
        <v>3</v>
      </c>
      <c r="D2988" t="str">
        <f t="shared" si="236"/>
        <v>March</v>
      </c>
      <c r="E2988">
        <f t="shared" si="237"/>
        <v>2025</v>
      </c>
      <c r="F2988" t="str">
        <f>CONCATENATE(calendar[[#This Row],[Month]],"/",calendar[[#This Row],[Year]])</f>
        <v>3/2025</v>
      </c>
      <c r="G2988">
        <f>WEEKDAY(calendar[[#This Row],[Date]],1)</f>
        <v>5</v>
      </c>
      <c r="H2988" t="str">
        <f>TEXT(calendar[[#This Row],[WeekDay]],"dddd")</f>
        <v>Thursday</v>
      </c>
      <c r="I2988">
        <f>IF((INT(calendar[[#This Row],[Count]]/7)-calendar[[#This Row],[Count]]/7)&lt;0,I2987,I2987+1)</f>
        <v>427</v>
      </c>
      <c r="J2988">
        <f t="shared" si="234"/>
        <v>2986</v>
      </c>
      <c r="K2988">
        <f>IF(calendar[[#This Row],[Month]]&lt;4,1,IF(calendar[[#This Row],[Month]]&lt;7,2,IF(calendar[[#This Row],[Month]]&lt;10,3,4)))</f>
        <v>1</v>
      </c>
      <c r="L2988">
        <f>IFERROR(IF(VLOOKUP(calendar[[#This Row],[Date]],BH!A:A,1,)&lt;&gt;"",1,0),0)</f>
        <v>0</v>
      </c>
      <c r="M2988">
        <f>IFERROR(IF(VLOOKUP(calendar[[#This Row],[Date]],BH!C:C,1,)&lt;&gt;"",1,0),0)</f>
        <v>0</v>
      </c>
      <c r="N2988">
        <f>IFERROR(IF(VLOOKUP(calendar[[#This Row],[Date]],BH!E:E,1,)&lt;&gt;"",1,0),0)</f>
        <v>0</v>
      </c>
      <c r="O2988">
        <f>IFERROR(IF(VLOOKUP(calendar[[#This Row],[Date]],BH!G:G,1,)&lt;&gt;"",1,0),0)</f>
        <v>0</v>
      </c>
      <c r="P2988">
        <f>IF(OR(calendar[[#This Row],[UK_BH]]=1,calendar[[#This Row],[WeekDay]]=1, calendar[[#This Row],[WeekDay]]=7),P2987,P2987+1)</f>
        <v>2133</v>
      </c>
      <c r="Q2988">
        <f>IF(OR(calendar[[#This Row],[FR_BH]]=1,calendar[[#This Row],[WeekDay]]=1, calendar[[#This Row],[WeekDay]]=7),P2987,P2987+1)</f>
        <v>2133</v>
      </c>
      <c r="R2988">
        <f>IF(OR(calendar[[#This Row],[SP_BH]]=1,calendar[[#This Row],[WeekDay]]=1, calendar[[#This Row],[WeekDay]]=7),P2987,P2987+1)</f>
        <v>2133</v>
      </c>
      <c r="S2988">
        <f>IF(OR(calendar[[#This Row],[PT_BH]]=1,calendar[[#This Row],[WeekDay]]=1, calendar[[#This Row],[WeekDay]]=7),P2987,P2987+1)</f>
        <v>2133</v>
      </c>
    </row>
    <row r="2989" spans="1:19" x14ac:dyDescent="0.25">
      <c r="A2989" s="2">
        <v>45723</v>
      </c>
      <c r="B2989" s="1">
        <f t="shared" si="233"/>
        <v>10</v>
      </c>
      <c r="C2989">
        <f t="shared" si="235"/>
        <v>3</v>
      </c>
      <c r="D2989" t="str">
        <f t="shared" si="236"/>
        <v>March</v>
      </c>
      <c r="E2989">
        <f t="shared" si="237"/>
        <v>2025</v>
      </c>
      <c r="F2989" t="str">
        <f>CONCATENATE(calendar[[#This Row],[Month]],"/",calendar[[#This Row],[Year]])</f>
        <v>3/2025</v>
      </c>
      <c r="G2989">
        <f>WEEKDAY(calendar[[#This Row],[Date]],1)</f>
        <v>6</v>
      </c>
      <c r="H2989" t="str">
        <f>TEXT(calendar[[#This Row],[WeekDay]],"dddd")</f>
        <v>Friday</v>
      </c>
      <c r="I2989">
        <f>IF((INT(calendar[[#This Row],[Count]]/7)-calendar[[#This Row],[Count]]/7)&lt;0,I2988,I2988+1)</f>
        <v>427</v>
      </c>
      <c r="J2989">
        <f t="shared" si="234"/>
        <v>2987</v>
      </c>
      <c r="K2989">
        <f>IF(calendar[[#This Row],[Month]]&lt;4,1,IF(calendar[[#This Row],[Month]]&lt;7,2,IF(calendar[[#This Row],[Month]]&lt;10,3,4)))</f>
        <v>1</v>
      </c>
      <c r="L2989">
        <f>IFERROR(IF(VLOOKUP(calendar[[#This Row],[Date]],BH!A:A,1,)&lt;&gt;"",1,0),0)</f>
        <v>0</v>
      </c>
      <c r="M2989">
        <f>IFERROR(IF(VLOOKUP(calendar[[#This Row],[Date]],BH!C:C,1,)&lt;&gt;"",1,0),0)</f>
        <v>0</v>
      </c>
      <c r="N2989">
        <f>IFERROR(IF(VLOOKUP(calendar[[#This Row],[Date]],BH!E:E,1,)&lt;&gt;"",1,0),0)</f>
        <v>0</v>
      </c>
      <c r="O2989">
        <f>IFERROR(IF(VLOOKUP(calendar[[#This Row],[Date]],BH!G:G,1,)&lt;&gt;"",1,0),0)</f>
        <v>0</v>
      </c>
      <c r="P2989">
        <f>IF(OR(calendar[[#This Row],[UK_BH]]=1,calendar[[#This Row],[WeekDay]]=1, calendar[[#This Row],[WeekDay]]=7),P2988,P2988+1)</f>
        <v>2134</v>
      </c>
      <c r="Q2989">
        <f>IF(OR(calendar[[#This Row],[FR_BH]]=1,calendar[[#This Row],[WeekDay]]=1, calendar[[#This Row],[WeekDay]]=7),P2988,P2988+1)</f>
        <v>2134</v>
      </c>
      <c r="R2989">
        <f>IF(OR(calendar[[#This Row],[SP_BH]]=1,calendar[[#This Row],[WeekDay]]=1, calendar[[#This Row],[WeekDay]]=7),P2988,P2988+1)</f>
        <v>2134</v>
      </c>
      <c r="S2989">
        <f>IF(OR(calendar[[#This Row],[PT_BH]]=1,calendar[[#This Row],[WeekDay]]=1, calendar[[#This Row],[WeekDay]]=7),P2988,P2988+1)</f>
        <v>2134</v>
      </c>
    </row>
    <row r="2990" spans="1:19" x14ac:dyDescent="0.25">
      <c r="A2990" s="2">
        <v>45724</v>
      </c>
      <c r="B2990" s="1">
        <f t="shared" si="233"/>
        <v>10</v>
      </c>
      <c r="C2990">
        <f t="shared" si="235"/>
        <v>3</v>
      </c>
      <c r="D2990" t="str">
        <f t="shared" si="236"/>
        <v>March</v>
      </c>
      <c r="E2990">
        <f t="shared" si="237"/>
        <v>2025</v>
      </c>
      <c r="F2990" t="str">
        <f>CONCATENATE(calendar[[#This Row],[Month]],"/",calendar[[#This Row],[Year]])</f>
        <v>3/2025</v>
      </c>
      <c r="G2990">
        <f>WEEKDAY(calendar[[#This Row],[Date]],1)</f>
        <v>7</v>
      </c>
      <c r="H2990" t="str">
        <f>TEXT(calendar[[#This Row],[WeekDay]],"dddd")</f>
        <v>Saturday</v>
      </c>
      <c r="I2990">
        <f>IF((INT(calendar[[#This Row],[Count]]/7)-calendar[[#This Row],[Count]]/7)&lt;0,I2989,I2989+1)</f>
        <v>427</v>
      </c>
      <c r="J2990">
        <f t="shared" si="234"/>
        <v>2988</v>
      </c>
      <c r="K2990">
        <f>IF(calendar[[#This Row],[Month]]&lt;4,1,IF(calendar[[#This Row],[Month]]&lt;7,2,IF(calendar[[#This Row],[Month]]&lt;10,3,4)))</f>
        <v>1</v>
      </c>
      <c r="L2990">
        <f>IFERROR(IF(VLOOKUP(calendar[[#This Row],[Date]],BH!A:A,1,)&lt;&gt;"",1,0),0)</f>
        <v>0</v>
      </c>
      <c r="M2990">
        <f>IFERROR(IF(VLOOKUP(calendar[[#This Row],[Date]],BH!C:C,1,)&lt;&gt;"",1,0),0)</f>
        <v>0</v>
      </c>
      <c r="N2990">
        <f>IFERROR(IF(VLOOKUP(calendar[[#This Row],[Date]],BH!E:E,1,)&lt;&gt;"",1,0),0)</f>
        <v>0</v>
      </c>
      <c r="O2990">
        <f>IFERROR(IF(VLOOKUP(calendar[[#This Row],[Date]],BH!G:G,1,)&lt;&gt;"",1,0),0)</f>
        <v>0</v>
      </c>
      <c r="P2990">
        <f>IF(OR(calendar[[#This Row],[UK_BH]]=1,calendar[[#This Row],[WeekDay]]=1, calendar[[#This Row],[WeekDay]]=7),P2989,P2989+1)</f>
        <v>2134</v>
      </c>
      <c r="Q2990">
        <f>IF(OR(calendar[[#This Row],[FR_BH]]=1,calendar[[#This Row],[WeekDay]]=1, calendar[[#This Row],[WeekDay]]=7),P2989,P2989+1)</f>
        <v>2134</v>
      </c>
      <c r="R2990">
        <f>IF(OR(calendar[[#This Row],[SP_BH]]=1,calendar[[#This Row],[WeekDay]]=1, calendar[[#This Row],[WeekDay]]=7),P2989,P2989+1)</f>
        <v>2134</v>
      </c>
      <c r="S2990">
        <f>IF(OR(calendar[[#This Row],[PT_BH]]=1,calendar[[#This Row],[WeekDay]]=1, calendar[[#This Row],[WeekDay]]=7),P2989,P2989+1)</f>
        <v>2134</v>
      </c>
    </row>
    <row r="2991" spans="1:19" x14ac:dyDescent="0.25">
      <c r="A2991" s="2">
        <v>45725</v>
      </c>
      <c r="B2991" s="1">
        <f t="shared" si="233"/>
        <v>11</v>
      </c>
      <c r="C2991">
        <f t="shared" si="235"/>
        <v>3</v>
      </c>
      <c r="D2991" t="str">
        <f t="shared" si="236"/>
        <v>March</v>
      </c>
      <c r="E2991">
        <f t="shared" si="237"/>
        <v>2025</v>
      </c>
      <c r="F2991" t="str">
        <f>CONCATENATE(calendar[[#This Row],[Month]],"/",calendar[[#This Row],[Year]])</f>
        <v>3/2025</v>
      </c>
      <c r="G2991">
        <f>WEEKDAY(calendar[[#This Row],[Date]],1)</f>
        <v>1</v>
      </c>
      <c r="H2991" t="str">
        <f>TEXT(calendar[[#This Row],[WeekDay]],"dddd")</f>
        <v>Sunday</v>
      </c>
      <c r="I2991">
        <f>IF((INT(calendar[[#This Row],[Count]]/7)-calendar[[#This Row],[Count]]/7)&lt;0,I2990,I2990+1)</f>
        <v>428</v>
      </c>
      <c r="J2991">
        <f t="shared" si="234"/>
        <v>2989</v>
      </c>
      <c r="K2991">
        <f>IF(calendar[[#This Row],[Month]]&lt;4,1,IF(calendar[[#This Row],[Month]]&lt;7,2,IF(calendar[[#This Row],[Month]]&lt;10,3,4)))</f>
        <v>1</v>
      </c>
      <c r="L2991">
        <f>IFERROR(IF(VLOOKUP(calendar[[#This Row],[Date]],BH!A:A,1,)&lt;&gt;"",1,0),0)</f>
        <v>0</v>
      </c>
      <c r="M2991">
        <f>IFERROR(IF(VLOOKUP(calendar[[#This Row],[Date]],BH!C:C,1,)&lt;&gt;"",1,0),0)</f>
        <v>0</v>
      </c>
      <c r="N2991">
        <f>IFERROR(IF(VLOOKUP(calendar[[#This Row],[Date]],BH!E:E,1,)&lt;&gt;"",1,0),0)</f>
        <v>0</v>
      </c>
      <c r="O2991">
        <f>IFERROR(IF(VLOOKUP(calendar[[#This Row],[Date]],BH!G:G,1,)&lt;&gt;"",1,0),0)</f>
        <v>0</v>
      </c>
      <c r="P2991">
        <f>IF(OR(calendar[[#This Row],[UK_BH]]=1,calendar[[#This Row],[WeekDay]]=1, calendar[[#This Row],[WeekDay]]=7),P2990,P2990+1)</f>
        <v>2134</v>
      </c>
      <c r="Q2991">
        <f>IF(OR(calendar[[#This Row],[FR_BH]]=1,calendar[[#This Row],[WeekDay]]=1, calendar[[#This Row],[WeekDay]]=7),P2990,P2990+1)</f>
        <v>2134</v>
      </c>
      <c r="R2991">
        <f>IF(OR(calendar[[#This Row],[SP_BH]]=1,calendar[[#This Row],[WeekDay]]=1, calendar[[#This Row],[WeekDay]]=7),P2990,P2990+1)</f>
        <v>2134</v>
      </c>
      <c r="S2991">
        <f>IF(OR(calendar[[#This Row],[PT_BH]]=1,calendar[[#This Row],[WeekDay]]=1, calendar[[#This Row],[WeekDay]]=7),P2990,P2990+1)</f>
        <v>2134</v>
      </c>
    </row>
    <row r="2992" spans="1:19" x14ac:dyDescent="0.25">
      <c r="A2992" s="2">
        <v>45726</v>
      </c>
      <c r="B2992" s="1">
        <f t="shared" si="233"/>
        <v>11</v>
      </c>
      <c r="C2992">
        <f t="shared" si="235"/>
        <v>3</v>
      </c>
      <c r="D2992" t="str">
        <f t="shared" si="236"/>
        <v>March</v>
      </c>
      <c r="E2992">
        <f t="shared" si="237"/>
        <v>2025</v>
      </c>
      <c r="F2992" t="str">
        <f>CONCATENATE(calendar[[#This Row],[Month]],"/",calendar[[#This Row],[Year]])</f>
        <v>3/2025</v>
      </c>
      <c r="G2992">
        <f>WEEKDAY(calendar[[#This Row],[Date]],1)</f>
        <v>2</v>
      </c>
      <c r="H2992" t="str">
        <f>TEXT(calendar[[#This Row],[WeekDay]],"dddd")</f>
        <v>Monday</v>
      </c>
      <c r="I2992">
        <f>IF((INT(calendar[[#This Row],[Count]]/7)-calendar[[#This Row],[Count]]/7)&lt;0,I2991,I2991+1)</f>
        <v>428</v>
      </c>
      <c r="J2992">
        <f t="shared" si="234"/>
        <v>2990</v>
      </c>
      <c r="K2992">
        <f>IF(calendar[[#This Row],[Month]]&lt;4,1,IF(calendar[[#This Row],[Month]]&lt;7,2,IF(calendar[[#This Row],[Month]]&lt;10,3,4)))</f>
        <v>1</v>
      </c>
      <c r="L2992">
        <f>IFERROR(IF(VLOOKUP(calendar[[#This Row],[Date]],BH!A:A,1,)&lt;&gt;"",1,0),0)</f>
        <v>0</v>
      </c>
      <c r="M2992">
        <f>IFERROR(IF(VLOOKUP(calendar[[#This Row],[Date]],BH!C:C,1,)&lt;&gt;"",1,0),0)</f>
        <v>0</v>
      </c>
      <c r="N2992">
        <f>IFERROR(IF(VLOOKUP(calendar[[#This Row],[Date]],BH!E:E,1,)&lt;&gt;"",1,0),0)</f>
        <v>0</v>
      </c>
      <c r="O2992">
        <f>IFERROR(IF(VLOOKUP(calendar[[#This Row],[Date]],BH!G:G,1,)&lt;&gt;"",1,0),0)</f>
        <v>0</v>
      </c>
      <c r="P2992">
        <f>IF(OR(calendar[[#This Row],[UK_BH]]=1,calendar[[#This Row],[WeekDay]]=1, calendar[[#This Row],[WeekDay]]=7),P2991,P2991+1)</f>
        <v>2135</v>
      </c>
      <c r="Q2992">
        <f>IF(OR(calendar[[#This Row],[FR_BH]]=1,calendar[[#This Row],[WeekDay]]=1, calendar[[#This Row],[WeekDay]]=7),P2991,P2991+1)</f>
        <v>2135</v>
      </c>
      <c r="R2992">
        <f>IF(OR(calendar[[#This Row],[SP_BH]]=1,calendar[[#This Row],[WeekDay]]=1, calendar[[#This Row],[WeekDay]]=7),P2991,P2991+1)</f>
        <v>2135</v>
      </c>
      <c r="S2992">
        <f>IF(OR(calendar[[#This Row],[PT_BH]]=1,calendar[[#This Row],[WeekDay]]=1, calendar[[#This Row],[WeekDay]]=7),P2991,P2991+1)</f>
        <v>2135</v>
      </c>
    </row>
    <row r="2993" spans="1:19" x14ac:dyDescent="0.25">
      <c r="A2993" s="2">
        <v>45727</v>
      </c>
      <c r="B2993" s="1">
        <f t="shared" si="233"/>
        <v>11</v>
      </c>
      <c r="C2993">
        <f t="shared" si="235"/>
        <v>3</v>
      </c>
      <c r="D2993" t="str">
        <f t="shared" si="236"/>
        <v>March</v>
      </c>
      <c r="E2993">
        <f t="shared" si="237"/>
        <v>2025</v>
      </c>
      <c r="F2993" t="str">
        <f>CONCATENATE(calendar[[#This Row],[Month]],"/",calendar[[#This Row],[Year]])</f>
        <v>3/2025</v>
      </c>
      <c r="G2993">
        <f>WEEKDAY(calendar[[#This Row],[Date]],1)</f>
        <v>3</v>
      </c>
      <c r="H2993" t="str">
        <f>TEXT(calendar[[#This Row],[WeekDay]],"dddd")</f>
        <v>Tuesday</v>
      </c>
      <c r="I2993">
        <f>IF((INT(calendar[[#This Row],[Count]]/7)-calendar[[#This Row],[Count]]/7)&lt;0,I2992,I2992+1)</f>
        <v>428</v>
      </c>
      <c r="J2993">
        <f t="shared" si="234"/>
        <v>2991</v>
      </c>
      <c r="K2993">
        <f>IF(calendar[[#This Row],[Month]]&lt;4,1,IF(calendar[[#This Row],[Month]]&lt;7,2,IF(calendar[[#This Row],[Month]]&lt;10,3,4)))</f>
        <v>1</v>
      </c>
      <c r="L2993">
        <f>IFERROR(IF(VLOOKUP(calendar[[#This Row],[Date]],BH!A:A,1,)&lt;&gt;"",1,0),0)</f>
        <v>0</v>
      </c>
      <c r="M2993">
        <f>IFERROR(IF(VLOOKUP(calendar[[#This Row],[Date]],BH!C:C,1,)&lt;&gt;"",1,0),0)</f>
        <v>0</v>
      </c>
      <c r="N2993">
        <f>IFERROR(IF(VLOOKUP(calendar[[#This Row],[Date]],BH!E:E,1,)&lt;&gt;"",1,0),0)</f>
        <v>0</v>
      </c>
      <c r="O2993">
        <f>IFERROR(IF(VLOOKUP(calendar[[#This Row],[Date]],BH!G:G,1,)&lt;&gt;"",1,0),0)</f>
        <v>0</v>
      </c>
      <c r="P2993">
        <f>IF(OR(calendar[[#This Row],[UK_BH]]=1,calendar[[#This Row],[WeekDay]]=1, calendar[[#This Row],[WeekDay]]=7),P2992,P2992+1)</f>
        <v>2136</v>
      </c>
      <c r="Q2993">
        <f>IF(OR(calendar[[#This Row],[FR_BH]]=1,calendar[[#This Row],[WeekDay]]=1, calendar[[#This Row],[WeekDay]]=7),P2992,P2992+1)</f>
        <v>2136</v>
      </c>
      <c r="R2993">
        <f>IF(OR(calendar[[#This Row],[SP_BH]]=1,calendar[[#This Row],[WeekDay]]=1, calendar[[#This Row],[WeekDay]]=7),P2992,P2992+1)</f>
        <v>2136</v>
      </c>
      <c r="S2993">
        <f>IF(OR(calendar[[#This Row],[PT_BH]]=1,calendar[[#This Row],[WeekDay]]=1, calendar[[#This Row],[WeekDay]]=7),P2992,P2992+1)</f>
        <v>2136</v>
      </c>
    </row>
    <row r="2994" spans="1:19" x14ac:dyDescent="0.25">
      <c r="A2994" s="2">
        <v>45728</v>
      </c>
      <c r="B2994" s="1">
        <f t="shared" si="233"/>
        <v>11</v>
      </c>
      <c r="C2994">
        <f t="shared" si="235"/>
        <v>3</v>
      </c>
      <c r="D2994" t="str">
        <f t="shared" si="236"/>
        <v>March</v>
      </c>
      <c r="E2994">
        <f t="shared" si="237"/>
        <v>2025</v>
      </c>
      <c r="F2994" t="str">
        <f>CONCATENATE(calendar[[#This Row],[Month]],"/",calendar[[#This Row],[Year]])</f>
        <v>3/2025</v>
      </c>
      <c r="G2994">
        <f>WEEKDAY(calendar[[#This Row],[Date]],1)</f>
        <v>4</v>
      </c>
      <c r="H2994" t="str">
        <f>TEXT(calendar[[#This Row],[WeekDay]],"dddd")</f>
        <v>Wednesday</v>
      </c>
      <c r="I2994">
        <f>IF((INT(calendar[[#This Row],[Count]]/7)-calendar[[#This Row],[Count]]/7)&lt;0,I2993,I2993+1)</f>
        <v>428</v>
      </c>
      <c r="J2994">
        <f t="shared" si="234"/>
        <v>2992</v>
      </c>
      <c r="K2994">
        <f>IF(calendar[[#This Row],[Month]]&lt;4,1,IF(calendar[[#This Row],[Month]]&lt;7,2,IF(calendar[[#This Row],[Month]]&lt;10,3,4)))</f>
        <v>1</v>
      </c>
      <c r="L2994">
        <f>IFERROR(IF(VLOOKUP(calendar[[#This Row],[Date]],BH!A:A,1,)&lt;&gt;"",1,0),0)</f>
        <v>0</v>
      </c>
      <c r="M2994">
        <f>IFERROR(IF(VLOOKUP(calendar[[#This Row],[Date]],BH!C:C,1,)&lt;&gt;"",1,0),0)</f>
        <v>0</v>
      </c>
      <c r="N2994">
        <f>IFERROR(IF(VLOOKUP(calendar[[#This Row],[Date]],BH!E:E,1,)&lt;&gt;"",1,0),0)</f>
        <v>0</v>
      </c>
      <c r="O2994">
        <f>IFERROR(IF(VLOOKUP(calendar[[#This Row],[Date]],BH!G:G,1,)&lt;&gt;"",1,0),0)</f>
        <v>0</v>
      </c>
      <c r="P2994">
        <f>IF(OR(calendar[[#This Row],[UK_BH]]=1,calendar[[#This Row],[WeekDay]]=1, calendar[[#This Row],[WeekDay]]=7),P2993,P2993+1)</f>
        <v>2137</v>
      </c>
      <c r="Q2994">
        <f>IF(OR(calendar[[#This Row],[FR_BH]]=1,calendar[[#This Row],[WeekDay]]=1, calendar[[#This Row],[WeekDay]]=7),P2993,P2993+1)</f>
        <v>2137</v>
      </c>
      <c r="R2994">
        <f>IF(OR(calendar[[#This Row],[SP_BH]]=1,calendar[[#This Row],[WeekDay]]=1, calendar[[#This Row],[WeekDay]]=7),P2993,P2993+1)</f>
        <v>2137</v>
      </c>
      <c r="S2994">
        <f>IF(OR(calendar[[#This Row],[PT_BH]]=1,calendar[[#This Row],[WeekDay]]=1, calendar[[#This Row],[WeekDay]]=7),P2993,P2993+1)</f>
        <v>2137</v>
      </c>
    </row>
    <row r="2995" spans="1:19" x14ac:dyDescent="0.25">
      <c r="A2995" s="2">
        <v>45729</v>
      </c>
      <c r="B2995" s="1">
        <f t="shared" si="233"/>
        <v>11</v>
      </c>
      <c r="C2995">
        <f t="shared" si="235"/>
        <v>3</v>
      </c>
      <c r="D2995" t="str">
        <f t="shared" si="236"/>
        <v>March</v>
      </c>
      <c r="E2995">
        <f t="shared" si="237"/>
        <v>2025</v>
      </c>
      <c r="F2995" t="str">
        <f>CONCATENATE(calendar[[#This Row],[Month]],"/",calendar[[#This Row],[Year]])</f>
        <v>3/2025</v>
      </c>
      <c r="G2995">
        <f>WEEKDAY(calendar[[#This Row],[Date]],1)</f>
        <v>5</v>
      </c>
      <c r="H2995" t="str">
        <f>TEXT(calendar[[#This Row],[WeekDay]],"dddd")</f>
        <v>Thursday</v>
      </c>
      <c r="I2995">
        <f>IF((INT(calendar[[#This Row],[Count]]/7)-calendar[[#This Row],[Count]]/7)&lt;0,I2994,I2994+1)</f>
        <v>428</v>
      </c>
      <c r="J2995">
        <f t="shared" si="234"/>
        <v>2993</v>
      </c>
      <c r="K2995">
        <f>IF(calendar[[#This Row],[Month]]&lt;4,1,IF(calendar[[#This Row],[Month]]&lt;7,2,IF(calendar[[#This Row],[Month]]&lt;10,3,4)))</f>
        <v>1</v>
      </c>
      <c r="L2995">
        <f>IFERROR(IF(VLOOKUP(calendar[[#This Row],[Date]],BH!A:A,1,)&lt;&gt;"",1,0),0)</f>
        <v>0</v>
      </c>
      <c r="M2995">
        <f>IFERROR(IF(VLOOKUP(calendar[[#This Row],[Date]],BH!C:C,1,)&lt;&gt;"",1,0),0)</f>
        <v>0</v>
      </c>
      <c r="N2995">
        <f>IFERROR(IF(VLOOKUP(calendar[[#This Row],[Date]],BH!E:E,1,)&lt;&gt;"",1,0),0)</f>
        <v>0</v>
      </c>
      <c r="O2995">
        <f>IFERROR(IF(VLOOKUP(calendar[[#This Row],[Date]],BH!G:G,1,)&lt;&gt;"",1,0),0)</f>
        <v>0</v>
      </c>
      <c r="P2995">
        <f>IF(OR(calendar[[#This Row],[UK_BH]]=1,calendar[[#This Row],[WeekDay]]=1, calendar[[#This Row],[WeekDay]]=7),P2994,P2994+1)</f>
        <v>2138</v>
      </c>
      <c r="Q2995">
        <f>IF(OR(calendar[[#This Row],[FR_BH]]=1,calendar[[#This Row],[WeekDay]]=1, calendar[[#This Row],[WeekDay]]=7),P2994,P2994+1)</f>
        <v>2138</v>
      </c>
      <c r="R2995">
        <f>IF(OR(calendar[[#This Row],[SP_BH]]=1,calendar[[#This Row],[WeekDay]]=1, calendar[[#This Row],[WeekDay]]=7),P2994,P2994+1)</f>
        <v>2138</v>
      </c>
      <c r="S2995">
        <f>IF(OR(calendar[[#This Row],[PT_BH]]=1,calendar[[#This Row],[WeekDay]]=1, calendar[[#This Row],[WeekDay]]=7),P2994,P2994+1)</f>
        <v>2138</v>
      </c>
    </row>
    <row r="2996" spans="1:19" x14ac:dyDescent="0.25">
      <c r="A2996" s="2">
        <v>45730</v>
      </c>
      <c r="B2996" s="1">
        <f t="shared" si="233"/>
        <v>11</v>
      </c>
      <c r="C2996">
        <f t="shared" si="235"/>
        <v>3</v>
      </c>
      <c r="D2996" t="str">
        <f t="shared" si="236"/>
        <v>March</v>
      </c>
      <c r="E2996">
        <f t="shared" si="237"/>
        <v>2025</v>
      </c>
      <c r="F2996" t="str">
        <f>CONCATENATE(calendar[[#This Row],[Month]],"/",calendar[[#This Row],[Year]])</f>
        <v>3/2025</v>
      </c>
      <c r="G2996">
        <f>WEEKDAY(calendar[[#This Row],[Date]],1)</f>
        <v>6</v>
      </c>
      <c r="H2996" t="str">
        <f>TEXT(calendar[[#This Row],[WeekDay]],"dddd")</f>
        <v>Friday</v>
      </c>
      <c r="I2996">
        <f>IF((INT(calendar[[#This Row],[Count]]/7)-calendar[[#This Row],[Count]]/7)&lt;0,I2995,I2995+1)</f>
        <v>428</v>
      </c>
      <c r="J2996">
        <f t="shared" si="234"/>
        <v>2994</v>
      </c>
      <c r="K2996">
        <f>IF(calendar[[#This Row],[Month]]&lt;4,1,IF(calendar[[#This Row],[Month]]&lt;7,2,IF(calendar[[#This Row],[Month]]&lt;10,3,4)))</f>
        <v>1</v>
      </c>
      <c r="L2996">
        <f>IFERROR(IF(VLOOKUP(calendar[[#This Row],[Date]],BH!A:A,1,)&lt;&gt;"",1,0),0)</f>
        <v>0</v>
      </c>
      <c r="M2996">
        <f>IFERROR(IF(VLOOKUP(calendar[[#This Row],[Date]],BH!C:C,1,)&lt;&gt;"",1,0),0)</f>
        <v>0</v>
      </c>
      <c r="N2996">
        <f>IFERROR(IF(VLOOKUP(calendar[[#This Row],[Date]],BH!E:E,1,)&lt;&gt;"",1,0),0)</f>
        <v>0</v>
      </c>
      <c r="O2996">
        <f>IFERROR(IF(VLOOKUP(calendar[[#This Row],[Date]],BH!G:G,1,)&lt;&gt;"",1,0),0)</f>
        <v>0</v>
      </c>
      <c r="P2996">
        <f>IF(OR(calendar[[#This Row],[UK_BH]]=1,calendar[[#This Row],[WeekDay]]=1, calendar[[#This Row],[WeekDay]]=7),P2995,P2995+1)</f>
        <v>2139</v>
      </c>
      <c r="Q2996">
        <f>IF(OR(calendar[[#This Row],[FR_BH]]=1,calendar[[#This Row],[WeekDay]]=1, calendar[[#This Row],[WeekDay]]=7),P2995,P2995+1)</f>
        <v>2139</v>
      </c>
      <c r="R2996">
        <f>IF(OR(calendar[[#This Row],[SP_BH]]=1,calendar[[#This Row],[WeekDay]]=1, calendar[[#This Row],[WeekDay]]=7),P2995,P2995+1)</f>
        <v>2139</v>
      </c>
      <c r="S2996">
        <f>IF(OR(calendar[[#This Row],[PT_BH]]=1,calendar[[#This Row],[WeekDay]]=1, calendar[[#This Row],[WeekDay]]=7),P2995,P2995+1)</f>
        <v>2139</v>
      </c>
    </row>
    <row r="2997" spans="1:19" x14ac:dyDescent="0.25">
      <c r="A2997" s="2">
        <v>45731</v>
      </c>
      <c r="B2997" s="1">
        <f t="shared" si="233"/>
        <v>11</v>
      </c>
      <c r="C2997">
        <f t="shared" si="235"/>
        <v>3</v>
      </c>
      <c r="D2997" t="str">
        <f t="shared" si="236"/>
        <v>March</v>
      </c>
      <c r="E2997">
        <f t="shared" si="237"/>
        <v>2025</v>
      </c>
      <c r="F2997" t="str">
        <f>CONCATENATE(calendar[[#This Row],[Month]],"/",calendar[[#This Row],[Year]])</f>
        <v>3/2025</v>
      </c>
      <c r="G2997">
        <f>WEEKDAY(calendar[[#This Row],[Date]],1)</f>
        <v>7</v>
      </c>
      <c r="H2997" t="str">
        <f>TEXT(calendar[[#This Row],[WeekDay]],"dddd")</f>
        <v>Saturday</v>
      </c>
      <c r="I2997">
        <f>IF((INT(calendar[[#This Row],[Count]]/7)-calendar[[#This Row],[Count]]/7)&lt;0,I2996,I2996+1)</f>
        <v>428</v>
      </c>
      <c r="J2997">
        <f t="shared" si="234"/>
        <v>2995</v>
      </c>
      <c r="K2997">
        <f>IF(calendar[[#This Row],[Month]]&lt;4,1,IF(calendar[[#This Row],[Month]]&lt;7,2,IF(calendar[[#This Row],[Month]]&lt;10,3,4)))</f>
        <v>1</v>
      </c>
      <c r="L2997">
        <f>IFERROR(IF(VLOOKUP(calendar[[#This Row],[Date]],BH!A:A,1,)&lt;&gt;"",1,0),0)</f>
        <v>0</v>
      </c>
      <c r="M2997">
        <f>IFERROR(IF(VLOOKUP(calendar[[#This Row],[Date]],BH!C:C,1,)&lt;&gt;"",1,0),0)</f>
        <v>0</v>
      </c>
      <c r="N2997">
        <f>IFERROR(IF(VLOOKUP(calendar[[#This Row],[Date]],BH!E:E,1,)&lt;&gt;"",1,0),0)</f>
        <v>0</v>
      </c>
      <c r="O2997">
        <f>IFERROR(IF(VLOOKUP(calendar[[#This Row],[Date]],BH!G:G,1,)&lt;&gt;"",1,0),0)</f>
        <v>0</v>
      </c>
      <c r="P2997">
        <f>IF(OR(calendar[[#This Row],[UK_BH]]=1,calendar[[#This Row],[WeekDay]]=1, calendar[[#This Row],[WeekDay]]=7),P2996,P2996+1)</f>
        <v>2139</v>
      </c>
      <c r="Q2997">
        <f>IF(OR(calendar[[#This Row],[FR_BH]]=1,calendar[[#This Row],[WeekDay]]=1, calendar[[#This Row],[WeekDay]]=7),P2996,P2996+1)</f>
        <v>2139</v>
      </c>
      <c r="R2997">
        <f>IF(OR(calendar[[#This Row],[SP_BH]]=1,calendar[[#This Row],[WeekDay]]=1, calendar[[#This Row],[WeekDay]]=7),P2996,P2996+1)</f>
        <v>2139</v>
      </c>
      <c r="S2997">
        <f>IF(OR(calendar[[#This Row],[PT_BH]]=1,calendar[[#This Row],[WeekDay]]=1, calendar[[#This Row],[WeekDay]]=7),P2996,P2996+1)</f>
        <v>2139</v>
      </c>
    </row>
    <row r="2998" spans="1:19" x14ac:dyDescent="0.25">
      <c r="A2998" s="2">
        <v>45732</v>
      </c>
      <c r="B2998" s="1">
        <f t="shared" si="233"/>
        <v>12</v>
      </c>
      <c r="C2998">
        <f t="shared" si="235"/>
        <v>3</v>
      </c>
      <c r="D2998" t="str">
        <f t="shared" si="236"/>
        <v>March</v>
      </c>
      <c r="E2998">
        <f t="shared" si="237"/>
        <v>2025</v>
      </c>
      <c r="F2998" t="str">
        <f>CONCATENATE(calendar[[#This Row],[Month]],"/",calendar[[#This Row],[Year]])</f>
        <v>3/2025</v>
      </c>
      <c r="G2998">
        <f>WEEKDAY(calendar[[#This Row],[Date]],1)</f>
        <v>1</v>
      </c>
      <c r="H2998" t="str">
        <f>TEXT(calendar[[#This Row],[WeekDay]],"dddd")</f>
        <v>Sunday</v>
      </c>
      <c r="I2998">
        <f>IF((INT(calendar[[#This Row],[Count]]/7)-calendar[[#This Row],[Count]]/7)&lt;0,I2997,I2997+1)</f>
        <v>429</v>
      </c>
      <c r="J2998">
        <f t="shared" si="234"/>
        <v>2996</v>
      </c>
      <c r="K2998">
        <f>IF(calendar[[#This Row],[Month]]&lt;4,1,IF(calendar[[#This Row],[Month]]&lt;7,2,IF(calendar[[#This Row],[Month]]&lt;10,3,4)))</f>
        <v>1</v>
      </c>
      <c r="L2998">
        <f>IFERROR(IF(VLOOKUP(calendar[[#This Row],[Date]],BH!A:A,1,)&lt;&gt;"",1,0),0)</f>
        <v>0</v>
      </c>
      <c r="M2998">
        <f>IFERROR(IF(VLOOKUP(calendar[[#This Row],[Date]],BH!C:C,1,)&lt;&gt;"",1,0),0)</f>
        <v>0</v>
      </c>
      <c r="N2998">
        <f>IFERROR(IF(VLOOKUP(calendar[[#This Row],[Date]],BH!E:E,1,)&lt;&gt;"",1,0),0)</f>
        <v>0</v>
      </c>
      <c r="O2998">
        <f>IFERROR(IF(VLOOKUP(calendar[[#This Row],[Date]],BH!G:G,1,)&lt;&gt;"",1,0),0)</f>
        <v>0</v>
      </c>
      <c r="P2998">
        <f>IF(OR(calendar[[#This Row],[UK_BH]]=1,calendar[[#This Row],[WeekDay]]=1, calendar[[#This Row],[WeekDay]]=7),P2997,P2997+1)</f>
        <v>2139</v>
      </c>
      <c r="Q2998">
        <f>IF(OR(calendar[[#This Row],[FR_BH]]=1,calendar[[#This Row],[WeekDay]]=1, calendar[[#This Row],[WeekDay]]=7),P2997,P2997+1)</f>
        <v>2139</v>
      </c>
      <c r="R2998">
        <f>IF(OR(calendar[[#This Row],[SP_BH]]=1,calendar[[#This Row],[WeekDay]]=1, calendar[[#This Row],[WeekDay]]=7),P2997,P2997+1)</f>
        <v>2139</v>
      </c>
      <c r="S2998">
        <f>IF(OR(calendar[[#This Row],[PT_BH]]=1,calendar[[#This Row],[WeekDay]]=1, calendar[[#This Row],[WeekDay]]=7),P2997,P2997+1)</f>
        <v>2139</v>
      </c>
    </row>
    <row r="2999" spans="1:19" x14ac:dyDescent="0.25">
      <c r="A2999" s="2">
        <v>45733</v>
      </c>
      <c r="B2999" s="1">
        <f t="shared" si="233"/>
        <v>12</v>
      </c>
      <c r="C2999">
        <f t="shared" si="235"/>
        <v>3</v>
      </c>
      <c r="D2999" t="str">
        <f t="shared" si="236"/>
        <v>March</v>
      </c>
      <c r="E2999">
        <f t="shared" si="237"/>
        <v>2025</v>
      </c>
      <c r="F2999" t="str">
        <f>CONCATENATE(calendar[[#This Row],[Month]],"/",calendar[[#This Row],[Year]])</f>
        <v>3/2025</v>
      </c>
      <c r="G2999">
        <f>WEEKDAY(calendar[[#This Row],[Date]],1)</f>
        <v>2</v>
      </c>
      <c r="H2999" t="str">
        <f>TEXT(calendar[[#This Row],[WeekDay]],"dddd")</f>
        <v>Monday</v>
      </c>
      <c r="I2999">
        <f>IF((INT(calendar[[#This Row],[Count]]/7)-calendar[[#This Row],[Count]]/7)&lt;0,I2998,I2998+1)</f>
        <v>429</v>
      </c>
      <c r="J2999">
        <f t="shared" si="234"/>
        <v>2997</v>
      </c>
      <c r="K2999">
        <f>IF(calendar[[#This Row],[Month]]&lt;4,1,IF(calendar[[#This Row],[Month]]&lt;7,2,IF(calendar[[#This Row],[Month]]&lt;10,3,4)))</f>
        <v>1</v>
      </c>
      <c r="L2999">
        <f>IFERROR(IF(VLOOKUP(calendar[[#This Row],[Date]],BH!A:A,1,)&lt;&gt;"",1,0),0)</f>
        <v>0</v>
      </c>
      <c r="M2999">
        <f>IFERROR(IF(VLOOKUP(calendar[[#This Row],[Date]],BH!C:C,1,)&lt;&gt;"",1,0),0)</f>
        <v>0</v>
      </c>
      <c r="N2999">
        <f>IFERROR(IF(VLOOKUP(calendar[[#This Row],[Date]],BH!E:E,1,)&lt;&gt;"",1,0),0)</f>
        <v>0</v>
      </c>
      <c r="O2999">
        <f>IFERROR(IF(VLOOKUP(calendar[[#This Row],[Date]],BH!G:G,1,)&lt;&gt;"",1,0),0)</f>
        <v>0</v>
      </c>
      <c r="P2999">
        <f>IF(OR(calendar[[#This Row],[UK_BH]]=1,calendar[[#This Row],[WeekDay]]=1, calendar[[#This Row],[WeekDay]]=7),P2998,P2998+1)</f>
        <v>2140</v>
      </c>
      <c r="Q2999">
        <f>IF(OR(calendar[[#This Row],[FR_BH]]=1,calendar[[#This Row],[WeekDay]]=1, calendar[[#This Row],[WeekDay]]=7),P2998,P2998+1)</f>
        <v>2140</v>
      </c>
      <c r="R2999">
        <f>IF(OR(calendar[[#This Row],[SP_BH]]=1,calendar[[#This Row],[WeekDay]]=1, calendar[[#This Row],[WeekDay]]=7),P2998,P2998+1)</f>
        <v>2140</v>
      </c>
      <c r="S2999">
        <f>IF(OR(calendar[[#This Row],[PT_BH]]=1,calendar[[#This Row],[WeekDay]]=1, calendar[[#This Row],[WeekDay]]=7),P2998,P2998+1)</f>
        <v>2140</v>
      </c>
    </row>
    <row r="3000" spans="1:19" x14ac:dyDescent="0.25">
      <c r="A3000" s="2">
        <v>45734</v>
      </c>
      <c r="B3000" s="1">
        <f t="shared" si="233"/>
        <v>12</v>
      </c>
      <c r="C3000">
        <f t="shared" si="235"/>
        <v>3</v>
      </c>
      <c r="D3000" t="str">
        <f t="shared" si="236"/>
        <v>March</v>
      </c>
      <c r="E3000">
        <f t="shared" si="237"/>
        <v>2025</v>
      </c>
      <c r="F3000" t="str">
        <f>CONCATENATE(calendar[[#This Row],[Month]],"/",calendar[[#This Row],[Year]])</f>
        <v>3/2025</v>
      </c>
      <c r="G3000">
        <f>WEEKDAY(calendar[[#This Row],[Date]],1)</f>
        <v>3</v>
      </c>
      <c r="H3000" t="str">
        <f>TEXT(calendar[[#This Row],[WeekDay]],"dddd")</f>
        <v>Tuesday</v>
      </c>
      <c r="I3000">
        <f>IF((INT(calendar[[#This Row],[Count]]/7)-calendar[[#This Row],[Count]]/7)&lt;0,I2999,I2999+1)</f>
        <v>429</v>
      </c>
      <c r="J3000">
        <f t="shared" si="234"/>
        <v>2998</v>
      </c>
      <c r="K3000">
        <f>IF(calendar[[#This Row],[Month]]&lt;4,1,IF(calendar[[#This Row],[Month]]&lt;7,2,IF(calendar[[#This Row],[Month]]&lt;10,3,4)))</f>
        <v>1</v>
      </c>
      <c r="L3000">
        <f>IFERROR(IF(VLOOKUP(calendar[[#This Row],[Date]],BH!A:A,1,)&lt;&gt;"",1,0),0)</f>
        <v>0</v>
      </c>
      <c r="M3000">
        <f>IFERROR(IF(VLOOKUP(calendar[[#This Row],[Date]],BH!C:C,1,)&lt;&gt;"",1,0),0)</f>
        <v>0</v>
      </c>
      <c r="N3000">
        <f>IFERROR(IF(VLOOKUP(calendar[[#This Row],[Date]],BH!E:E,1,)&lt;&gt;"",1,0),0)</f>
        <v>0</v>
      </c>
      <c r="O3000">
        <f>IFERROR(IF(VLOOKUP(calendar[[#This Row],[Date]],BH!G:G,1,)&lt;&gt;"",1,0),0)</f>
        <v>0</v>
      </c>
      <c r="P3000">
        <f>IF(OR(calendar[[#This Row],[UK_BH]]=1,calendar[[#This Row],[WeekDay]]=1, calendar[[#This Row],[WeekDay]]=7),P2999,P2999+1)</f>
        <v>2141</v>
      </c>
      <c r="Q3000">
        <f>IF(OR(calendar[[#This Row],[FR_BH]]=1,calendar[[#This Row],[WeekDay]]=1, calendar[[#This Row],[WeekDay]]=7),P2999,P2999+1)</f>
        <v>2141</v>
      </c>
      <c r="R3000">
        <f>IF(OR(calendar[[#This Row],[SP_BH]]=1,calendar[[#This Row],[WeekDay]]=1, calendar[[#This Row],[WeekDay]]=7),P2999,P2999+1)</f>
        <v>2141</v>
      </c>
      <c r="S3000">
        <f>IF(OR(calendar[[#This Row],[PT_BH]]=1,calendar[[#This Row],[WeekDay]]=1, calendar[[#This Row],[WeekDay]]=7),P2999,P2999+1)</f>
        <v>2141</v>
      </c>
    </row>
    <row r="3001" spans="1:19" x14ac:dyDescent="0.25">
      <c r="A3001" s="2">
        <v>45735</v>
      </c>
      <c r="B3001" s="1">
        <f t="shared" si="233"/>
        <v>12</v>
      </c>
      <c r="C3001">
        <f t="shared" si="235"/>
        <v>3</v>
      </c>
      <c r="D3001" t="str">
        <f t="shared" si="236"/>
        <v>March</v>
      </c>
      <c r="E3001">
        <f t="shared" si="237"/>
        <v>2025</v>
      </c>
      <c r="F3001" t="str">
        <f>CONCATENATE(calendar[[#This Row],[Month]],"/",calendar[[#This Row],[Year]])</f>
        <v>3/2025</v>
      </c>
      <c r="G3001">
        <f>WEEKDAY(calendar[[#This Row],[Date]],1)</f>
        <v>4</v>
      </c>
      <c r="H3001" t="str">
        <f>TEXT(calendar[[#This Row],[WeekDay]],"dddd")</f>
        <v>Wednesday</v>
      </c>
      <c r="I3001">
        <f>IF((INT(calendar[[#This Row],[Count]]/7)-calendar[[#This Row],[Count]]/7)&lt;0,I3000,I3000+1)</f>
        <v>429</v>
      </c>
      <c r="J3001">
        <f t="shared" si="234"/>
        <v>2999</v>
      </c>
      <c r="K3001">
        <f>IF(calendar[[#This Row],[Month]]&lt;4,1,IF(calendar[[#This Row],[Month]]&lt;7,2,IF(calendar[[#This Row],[Month]]&lt;10,3,4)))</f>
        <v>1</v>
      </c>
      <c r="L3001">
        <f>IFERROR(IF(VLOOKUP(calendar[[#This Row],[Date]],BH!A:A,1,)&lt;&gt;"",1,0),0)</f>
        <v>0</v>
      </c>
      <c r="M3001">
        <f>IFERROR(IF(VLOOKUP(calendar[[#This Row],[Date]],BH!C:C,1,)&lt;&gt;"",1,0),0)</f>
        <v>0</v>
      </c>
      <c r="N3001">
        <f>IFERROR(IF(VLOOKUP(calendar[[#This Row],[Date]],BH!E:E,1,)&lt;&gt;"",1,0),0)</f>
        <v>1</v>
      </c>
      <c r="O3001">
        <f>IFERROR(IF(VLOOKUP(calendar[[#This Row],[Date]],BH!G:G,1,)&lt;&gt;"",1,0),0)</f>
        <v>0</v>
      </c>
      <c r="P3001">
        <f>IF(OR(calendar[[#This Row],[UK_BH]]=1,calendar[[#This Row],[WeekDay]]=1, calendar[[#This Row],[WeekDay]]=7),P3000,P3000+1)</f>
        <v>2142</v>
      </c>
      <c r="Q3001">
        <f>IF(OR(calendar[[#This Row],[FR_BH]]=1,calendar[[#This Row],[WeekDay]]=1, calendar[[#This Row],[WeekDay]]=7),P3000,P3000+1)</f>
        <v>2142</v>
      </c>
      <c r="R3001">
        <f>IF(OR(calendar[[#This Row],[SP_BH]]=1,calendar[[#This Row],[WeekDay]]=1, calendar[[#This Row],[WeekDay]]=7),P3000,P3000+1)</f>
        <v>2141</v>
      </c>
      <c r="S3001">
        <f>IF(OR(calendar[[#This Row],[PT_BH]]=1,calendar[[#This Row],[WeekDay]]=1, calendar[[#This Row],[WeekDay]]=7),P3000,P3000+1)</f>
        <v>2142</v>
      </c>
    </row>
    <row r="3002" spans="1:19" x14ac:dyDescent="0.25">
      <c r="A3002" s="2">
        <v>45736</v>
      </c>
      <c r="B3002" s="1">
        <f t="shared" si="233"/>
        <v>12</v>
      </c>
      <c r="C3002">
        <f t="shared" si="235"/>
        <v>3</v>
      </c>
      <c r="D3002" t="str">
        <f t="shared" si="236"/>
        <v>March</v>
      </c>
      <c r="E3002">
        <f t="shared" si="237"/>
        <v>2025</v>
      </c>
      <c r="F3002" t="str">
        <f>CONCATENATE(calendar[[#This Row],[Month]],"/",calendar[[#This Row],[Year]])</f>
        <v>3/2025</v>
      </c>
      <c r="G3002">
        <f>WEEKDAY(calendar[[#This Row],[Date]],1)</f>
        <v>5</v>
      </c>
      <c r="H3002" t="str">
        <f>TEXT(calendar[[#This Row],[WeekDay]],"dddd")</f>
        <v>Thursday</v>
      </c>
      <c r="I3002">
        <f>IF((INT(calendar[[#This Row],[Count]]/7)-calendar[[#This Row],[Count]]/7)&lt;0,I3001,I3001+1)</f>
        <v>429</v>
      </c>
      <c r="J3002">
        <f t="shared" si="234"/>
        <v>3000</v>
      </c>
      <c r="K3002">
        <f>IF(calendar[[#This Row],[Month]]&lt;4,1,IF(calendar[[#This Row],[Month]]&lt;7,2,IF(calendar[[#This Row],[Month]]&lt;10,3,4)))</f>
        <v>1</v>
      </c>
      <c r="L3002">
        <f>IFERROR(IF(VLOOKUP(calendar[[#This Row],[Date]],BH!A:A,1,)&lt;&gt;"",1,0),0)</f>
        <v>0</v>
      </c>
      <c r="M3002">
        <f>IFERROR(IF(VLOOKUP(calendar[[#This Row],[Date]],BH!C:C,1,)&lt;&gt;"",1,0),0)</f>
        <v>0</v>
      </c>
      <c r="N3002">
        <f>IFERROR(IF(VLOOKUP(calendar[[#This Row],[Date]],BH!E:E,1,)&lt;&gt;"",1,0),0)</f>
        <v>0</v>
      </c>
      <c r="O3002">
        <f>IFERROR(IF(VLOOKUP(calendar[[#This Row],[Date]],BH!G:G,1,)&lt;&gt;"",1,0),0)</f>
        <v>0</v>
      </c>
      <c r="P3002">
        <f>IF(OR(calendar[[#This Row],[UK_BH]]=1,calendar[[#This Row],[WeekDay]]=1, calendar[[#This Row],[WeekDay]]=7),P3001,P3001+1)</f>
        <v>2143</v>
      </c>
      <c r="Q3002">
        <f>IF(OR(calendar[[#This Row],[FR_BH]]=1,calendar[[#This Row],[WeekDay]]=1, calendar[[#This Row],[WeekDay]]=7),P3001,P3001+1)</f>
        <v>2143</v>
      </c>
      <c r="R3002">
        <f>IF(OR(calendar[[#This Row],[SP_BH]]=1,calendar[[#This Row],[WeekDay]]=1, calendar[[#This Row],[WeekDay]]=7),P3001,P3001+1)</f>
        <v>2143</v>
      </c>
      <c r="S3002">
        <f>IF(OR(calendar[[#This Row],[PT_BH]]=1,calendar[[#This Row],[WeekDay]]=1, calendar[[#This Row],[WeekDay]]=7),P3001,P3001+1)</f>
        <v>2143</v>
      </c>
    </row>
    <row r="3003" spans="1:19" x14ac:dyDescent="0.25">
      <c r="A3003" s="2">
        <v>45737</v>
      </c>
      <c r="B3003" s="1">
        <f t="shared" si="233"/>
        <v>12</v>
      </c>
      <c r="C3003">
        <f t="shared" si="235"/>
        <v>3</v>
      </c>
      <c r="D3003" t="str">
        <f t="shared" si="236"/>
        <v>March</v>
      </c>
      <c r="E3003">
        <f t="shared" si="237"/>
        <v>2025</v>
      </c>
      <c r="F3003" t="str">
        <f>CONCATENATE(calendar[[#This Row],[Month]],"/",calendar[[#This Row],[Year]])</f>
        <v>3/2025</v>
      </c>
      <c r="G3003">
        <f>WEEKDAY(calendar[[#This Row],[Date]],1)</f>
        <v>6</v>
      </c>
      <c r="H3003" t="str">
        <f>TEXT(calendar[[#This Row],[WeekDay]],"dddd")</f>
        <v>Friday</v>
      </c>
      <c r="I3003">
        <f>IF((INT(calendar[[#This Row],[Count]]/7)-calendar[[#This Row],[Count]]/7)&lt;0,I3002,I3002+1)</f>
        <v>429</v>
      </c>
      <c r="J3003">
        <f t="shared" si="234"/>
        <v>3001</v>
      </c>
      <c r="K3003">
        <f>IF(calendar[[#This Row],[Month]]&lt;4,1,IF(calendar[[#This Row],[Month]]&lt;7,2,IF(calendar[[#This Row],[Month]]&lt;10,3,4)))</f>
        <v>1</v>
      </c>
      <c r="L3003">
        <f>IFERROR(IF(VLOOKUP(calendar[[#This Row],[Date]],BH!A:A,1,)&lt;&gt;"",1,0),0)</f>
        <v>0</v>
      </c>
      <c r="M3003">
        <f>IFERROR(IF(VLOOKUP(calendar[[#This Row],[Date]],BH!C:C,1,)&lt;&gt;"",1,0),0)</f>
        <v>0</v>
      </c>
      <c r="N3003">
        <f>IFERROR(IF(VLOOKUP(calendar[[#This Row],[Date]],BH!E:E,1,)&lt;&gt;"",1,0),0)</f>
        <v>0</v>
      </c>
      <c r="O3003">
        <f>IFERROR(IF(VLOOKUP(calendar[[#This Row],[Date]],BH!G:G,1,)&lt;&gt;"",1,0),0)</f>
        <v>0</v>
      </c>
      <c r="P3003">
        <f>IF(OR(calendar[[#This Row],[UK_BH]]=1,calendar[[#This Row],[WeekDay]]=1, calendar[[#This Row],[WeekDay]]=7),P3002,P3002+1)</f>
        <v>2144</v>
      </c>
      <c r="Q3003">
        <f>IF(OR(calendar[[#This Row],[FR_BH]]=1,calendar[[#This Row],[WeekDay]]=1, calendar[[#This Row],[WeekDay]]=7),P3002,P3002+1)</f>
        <v>2144</v>
      </c>
      <c r="R3003">
        <f>IF(OR(calendar[[#This Row],[SP_BH]]=1,calendar[[#This Row],[WeekDay]]=1, calendar[[#This Row],[WeekDay]]=7),P3002,P3002+1)</f>
        <v>2144</v>
      </c>
      <c r="S3003">
        <f>IF(OR(calendar[[#This Row],[PT_BH]]=1,calendar[[#This Row],[WeekDay]]=1, calendar[[#This Row],[WeekDay]]=7),P3002,P3002+1)</f>
        <v>2144</v>
      </c>
    </row>
    <row r="3004" spans="1:19" x14ac:dyDescent="0.25">
      <c r="A3004" s="2">
        <v>45738</v>
      </c>
      <c r="B3004" s="1">
        <f t="shared" si="233"/>
        <v>12</v>
      </c>
      <c r="C3004">
        <f t="shared" si="235"/>
        <v>3</v>
      </c>
      <c r="D3004" t="str">
        <f t="shared" si="236"/>
        <v>March</v>
      </c>
      <c r="E3004">
        <f t="shared" si="237"/>
        <v>2025</v>
      </c>
      <c r="F3004" t="str">
        <f>CONCATENATE(calendar[[#This Row],[Month]],"/",calendar[[#This Row],[Year]])</f>
        <v>3/2025</v>
      </c>
      <c r="G3004">
        <f>WEEKDAY(calendar[[#This Row],[Date]],1)</f>
        <v>7</v>
      </c>
      <c r="H3004" t="str">
        <f>TEXT(calendar[[#This Row],[WeekDay]],"dddd")</f>
        <v>Saturday</v>
      </c>
      <c r="I3004">
        <f>IF((INT(calendar[[#This Row],[Count]]/7)-calendar[[#This Row],[Count]]/7)&lt;0,I3003,I3003+1)</f>
        <v>429</v>
      </c>
      <c r="J3004">
        <f t="shared" si="234"/>
        <v>3002</v>
      </c>
      <c r="K3004">
        <f>IF(calendar[[#This Row],[Month]]&lt;4,1,IF(calendar[[#This Row],[Month]]&lt;7,2,IF(calendar[[#This Row],[Month]]&lt;10,3,4)))</f>
        <v>1</v>
      </c>
      <c r="L3004">
        <f>IFERROR(IF(VLOOKUP(calendar[[#This Row],[Date]],BH!A:A,1,)&lt;&gt;"",1,0),0)</f>
        <v>0</v>
      </c>
      <c r="M3004">
        <f>IFERROR(IF(VLOOKUP(calendar[[#This Row],[Date]],BH!C:C,1,)&lt;&gt;"",1,0),0)</f>
        <v>0</v>
      </c>
      <c r="N3004">
        <f>IFERROR(IF(VLOOKUP(calendar[[#This Row],[Date]],BH!E:E,1,)&lt;&gt;"",1,0),0)</f>
        <v>0</v>
      </c>
      <c r="O3004">
        <f>IFERROR(IF(VLOOKUP(calendar[[#This Row],[Date]],BH!G:G,1,)&lt;&gt;"",1,0),0)</f>
        <v>0</v>
      </c>
      <c r="P3004">
        <f>IF(OR(calendar[[#This Row],[UK_BH]]=1,calendar[[#This Row],[WeekDay]]=1, calendar[[#This Row],[WeekDay]]=7),P3003,P3003+1)</f>
        <v>2144</v>
      </c>
      <c r="Q3004">
        <f>IF(OR(calendar[[#This Row],[FR_BH]]=1,calendar[[#This Row],[WeekDay]]=1, calendar[[#This Row],[WeekDay]]=7),P3003,P3003+1)</f>
        <v>2144</v>
      </c>
      <c r="R3004">
        <f>IF(OR(calendar[[#This Row],[SP_BH]]=1,calendar[[#This Row],[WeekDay]]=1, calendar[[#This Row],[WeekDay]]=7),P3003,P3003+1)</f>
        <v>2144</v>
      </c>
      <c r="S3004">
        <f>IF(OR(calendar[[#This Row],[PT_BH]]=1,calendar[[#This Row],[WeekDay]]=1, calendar[[#This Row],[WeekDay]]=7),P3003,P3003+1)</f>
        <v>2144</v>
      </c>
    </row>
    <row r="3005" spans="1:19" x14ac:dyDescent="0.25">
      <c r="A3005" s="2">
        <v>45739</v>
      </c>
      <c r="B3005" s="1">
        <f t="shared" si="233"/>
        <v>13</v>
      </c>
      <c r="C3005">
        <f t="shared" si="235"/>
        <v>3</v>
      </c>
      <c r="D3005" t="str">
        <f t="shared" si="236"/>
        <v>March</v>
      </c>
      <c r="E3005">
        <f t="shared" si="237"/>
        <v>2025</v>
      </c>
      <c r="F3005" t="str">
        <f>CONCATENATE(calendar[[#This Row],[Month]],"/",calendar[[#This Row],[Year]])</f>
        <v>3/2025</v>
      </c>
      <c r="G3005">
        <f>WEEKDAY(calendar[[#This Row],[Date]],1)</f>
        <v>1</v>
      </c>
      <c r="H3005" t="str">
        <f>TEXT(calendar[[#This Row],[WeekDay]],"dddd")</f>
        <v>Sunday</v>
      </c>
      <c r="I3005">
        <f>IF((INT(calendar[[#This Row],[Count]]/7)-calendar[[#This Row],[Count]]/7)&lt;0,I3004,I3004+1)</f>
        <v>430</v>
      </c>
      <c r="J3005">
        <f t="shared" si="234"/>
        <v>3003</v>
      </c>
      <c r="K3005">
        <f>IF(calendar[[#This Row],[Month]]&lt;4,1,IF(calendar[[#This Row],[Month]]&lt;7,2,IF(calendar[[#This Row],[Month]]&lt;10,3,4)))</f>
        <v>1</v>
      </c>
      <c r="L3005">
        <f>IFERROR(IF(VLOOKUP(calendar[[#This Row],[Date]],BH!A:A,1,)&lt;&gt;"",1,0),0)</f>
        <v>0</v>
      </c>
      <c r="M3005">
        <f>IFERROR(IF(VLOOKUP(calendar[[#This Row],[Date]],BH!C:C,1,)&lt;&gt;"",1,0),0)</f>
        <v>0</v>
      </c>
      <c r="N3005">
        <f>IFERROR(IF(VLOOKUP(calendar[[#This Row],[Date]],BH!E:E,1,)&lt;&gt;"",1,0),0)</f>
        <v>0</v>
      </c>
      <c r="O3005">
        <f>IFERROR(IF(VLOOKUP(calendar[[#This Row],[Date]],BH!G:G,1,)&lt;&gt;"",1,0),0)</f>
        <v>0</v>
      </c>
      <c r="P3005">
        <f>IF(OR(calendar[[#This Row],[UK_BH]]=1,calendar[[#This Row],[WeekDay]]=1, calendar[[#This Row],[WeekDay]]=7),P3004,P3004+1)</f>
        <v>2144</v>
      </c>
      <c r="Q3005">
        <f>IF(OR(calendar[[#This Row],[FR_BH]]=1,calendar[[#This Row],[WeekDay]]=1, calendar[[#This Row],[WeekDay]]=7),P3004,P3004+1)</f>
        <v>2144</v>
      </c>
      <c r="R3005">
        <f>IF(OR(calendar[[#This Row],[SP_BH]]=1,calendar[[#This Row],[WeekDay]]=1, calendar[[#This Row],[WeekDay]]=7),P3004,P3004+1)</f>
        <v>2144</v>
      </c>
      <c r="S3005">
        <f>IF(OR(calendar[[#This Row],[PT_BH]]=1,calendar[[#This Row],[WeekDay]]=1, calendar[[#This Row],[WeekDay]]=7),P3004,P3004+1)</f>
        <v>2144</v>
      </c>
    </row>
    <row r="3006" spans="1:19" x14ac:dyDescent="0.25">
      <c r="A3006" s="2">
        <v>45740</v>
      </c>
      <c r="B3006" s="1">
        <f t="shared" si="233"/>
        <v>13</v>
      </c>
      <c r="C3006">
        <f t="shared" si="235"/>
        <v>3</v>
      </c>
      <c r="D3006" t="str">
        <f t="shared" si="236"/>
        <v>March</v>
      </c>
      <c r="E3006">
        <f t="shared" si="237"/>
        <v>2025</v>
      </c>
      <c r="F3006" t="str">
        <f>CONCATENATE(calendar[[#This Row],[Month]],"/",calendar[[#This Row],[Year]])</f>
        <v>3/2025</v>
      </c>
      <c r="G3006">
        <f>WEEKDAY(calendar[[#This Row],[Date]],1)</f>
        <v>2</v>
      </c>
      <c r="H3006" t="str">
        <f>TEXT(calendar[[#This Row],[WeekDay]],"dddd")</f>
        <v>Monday</v>
      </c>
      <c r="I3006">
        <f>IF((INT(calendar[[#This Row],[Count]]/7)-calendar[[#This Row],[Count]]/7)&lt;0,I3005,I3005+1)</f>
        <v>430</v>
      </c>
      <c r="J3006">
        <f t="shared" si="234"/>
        <v>3004</v>
      </c>
      <c r="K3006">
        <f>IF(calendar[[#This Row],[Month]]&lt;4,1,IF(calendar[[#This Row],[Month]]&lt;7,2,IF(calendar[[#This Row],[Month]]&lt;10,3,4)))</f>
        <v>1</v>
      </c>
      <c r="L3006">
        <f>IFERROR(IF(VLOOKUP(calendar[[#This Row],[Date]],BH!A:A,1,)&lt;&gt;"",1,0),0)</f>
        <v>0</v>
      </c>
      <c r="M3006">
        <f>IFERROR(IF(VLOOKUP(calendar[[#This Row],[Date]],BH!C:C,1,)&lt;&gt;"",1,0),0)</f>
        <v>0</v>
      </c>
      <c r="N3006">
        <f>IFERROR(IF(VLOOKUP(calendar[[#This Row],[Date]],BH!E:E,1,)&lt;&gt;"",1,0),0)</f>
        <v>0</v>
      </c>
      <c r="O3006">
        <f>IFERROR(IF(VLOOKUP(calendar[[#This Row],[Date]],BH!G:G,1,)&lt;&gt;"",1,0),0)</f>
        <v>0</v>
      </c>
      <c r="P3006">
        <f>IF(OR(calendar[[#This Row],[UK_BH]]=1,calendar[[#This Row],[WeekDay]]=1, calendar[[#This Row],[WeekDay]]=7),P3005,P3005+1)</f>
        <v>2145</v>
      </c>
      <c r="Q3006">
        <f>IF(OR(calendar[[#This Row],[FR_BH]]=1,calendar[[#This Row],[WeekDay]]=1, calendar[[#This Row],[WeekDay]]=7),P3005,P3005+1)</f>
        <v>2145</v>
      </c>
      <c r="R3006">
        <f>IF(OR(calendar[[#This Row],[SP_BH]]=1,calendar[[#This Row],[WeekDay]]=1, calendar[[#This Row],[WeekDay]]=7),P3005,P3005+1)</f>
        <v>2145</v>
      </c>
      <c r="S3006">
        <f>IF(OR(calendar[[#This Row],[PT_BH]]=1,calendar[[#This Row],[WeekDay]]=1, calendar[[#This Row],[WeekDay]]=7),P3005,P3005+1)</f>
        <v>2145</v>
      </c>
    </row>
    <row r="3007" spans="1:19" x14ac:dyDescent="0.25">
      <c r="A3007" s="2">
        <v>45741</v>
      </c>
      <c r="B3007" s="1">
        <f t="shared" si="233"/>
        <v>13</v>
      </c>
      <c r="C3007">
        <f t="shared" si="235"/>
        <v>3</v>
      </c>
      <c r="D3007" t="str">
        <f t="shared" si="236"/>
        <v>March</v>
      </c>
      <c r="E3007">
        <f t="shared" si="237"/>
        <v>2025</v>
      </c>
      <c r="F3007" t="str">
        <f>CONCATENATE(calendar[[#This Row],[Month]],"/",calendar[[#This Row],[Year]])</f>
        <v>3/2025</v>
      </c>
      <c r="G3007">
        <f>WEEKDAY(calendar[[#This Row],[Date]],1)</f>
        <v>3</v>
      </c>
      <c r="H3007" t="str">
        <f>TEXT(calendar[[#This Row],[WeekDay]],"dddd")</f>
        <v>Tuesday</v>
      </c>
      <c r="I3007">
        <f>IF((INT(calendar[[#This Row],[Count]]/7)-calendar[[#This Row],[Count]]/7)&lt;0,I3006,I3006+1)</f>
        <v>430</v>
      </c>
      <c r="J3007">
        <f t="shared" si="234"/>
        <v>3005</v>
      </c>
      <c r="K3007">
        <f>IF(calendar[[#This Row],[Month]]&lt;4,1,IF(calendar[[#This Row],[Month]]&lt;7,2,IF(calendar[[#This Row],[Month]]&lt;10,3,4)))</f>
        <v>1</v>
      </c>
      <c r="L3007">
        <f>IFERROR(IF(VLOOKUP(calendar[[#This Row],[Date]],BH!A:A,1,)&lt;&gt;"",1,0),0)</f>
        <v>0</v>
      </c>
      <c r="M3007">
        <f>IFERROR(IF(VLOOKUP(calendar[[#This Row],[Date]],BH!C:C,1,)&lt;&gt;"",1,0),0)</f>
        <v>0</v>
      </c>
      <c r="N3007">
        <f>IFERROR(IF(VLOOKUP(calendar[[#This Row],[Date]],BH!E:E,1,)&lt;&gt;"",1,0),0)</f>
        <v>0</v>
      </c>
      <c r="O3007">
        <f>IFERROR(IF(VLOOKUP(calendar[[#This Row],[Date]],BH!G:G,1,)&lt;&gt;"",1,0),0)</f>
        <v>0</v>
      </c>
      <c r="P3007">
        <f>IF(OR(calendar[[#This Row],[UK_BH]]=1,calendar[[#This Row],[WeekDay]]=1, calendar[[#This Row],[WeekDay]]=7),P3006,P3006+1)</f>
        <v>2146</v>
      </c>
      <c r="Q3007">
        <f>IF(OR(calendar[[#This Row],[FR_BH]]=1,calendar[[#This Row],[WeekDay]]=1, calendar[[#This Row],[WeekDay]]=7),P3006,P3006+1)</f>
        <v>2146</v>
      </c>
      <c r="R3007">
        <f>IF(OR(calendar[[#This Row],[SP_BH]]=1,calendar[[#This Row],[WeekDay]]=1, calendar[[#This Row],[WeekDay]]=7),P3006,P3006+1)</f>
        <v>2146</v>
      </c>
      <c r="S3007">
        <f>IF(OR(calendar[[#This Row],[PT_BH]]=1,calendar[[#This Row],[WeekDay]]=1, calendar[[#This Row],[WeekDay]]=7),P3006,P3006+1)</f>
        <v>2146</v>
      </c>
    </row>
    <row r="3008" spans="1:19" x14ac:dyDescent="0.25">
      <c r="A3008" s="2">
        <v>45742</v>
      </c>
      <c r="B3008" s="1">
        <f t="shared" si="233"/>
        <v>13</v>
      </c>
      <c r="C3008">
        <f t="shared" si="235"/>
        <v>3</v>
      </c>
      <c r="D3008" t="str">
        <f t="shared" si="236"/>
        <v>March</v>
      </c>
      <c r="E3008">
        <f t="shared" si="237"/>
        <v>2025</v>
      </c>
      <c r="F3008" t="str">
        <f>CONCATENATE(calendar[[#This Row],[Month]],"/",calendar[[#This Row],[Year]])</f>
        <v>3/2025</v>
      </c>
      <c r="G3008">
        <f>WEEKDAY(calendar[[#This Row],[Date]],1)</f>
        <v>4</v>
      </c>
      <c r="H3008" t="str">
        <f>TEXT(calendar[[#This Row],[WeekDay]],"dddd")</f>
        <v>Wednesday</v>
      </c>
      <c r="I3008">
        <f>IF((INT(calendar[[#This Row],[Count]]/7)-calendar[[#This Row],[Count]]/7)&lt;0,I3007,I3007+1)</f>
        <v>430</v>
      </c>
      <c r="J3008">
        <f t="shared" si="234"/>
        <v>3006</v>
      </c>
      <c r="K3008">
        <f>IF(calendar[[#This Row],[Month]]&lt;4,1,IF(calendar[[#This Row],[Month]]&lt;7,2,IF(calendar[[#This Row],[Month]]&lt;10,3,4)))</f>
        <v>1</v>
      </c>
      <c r="L3008">
        <f>IFERROR(IF(VLOOKUP(calendar[[#This Row],[Date]],BH!A:A,1,)&lt;&gt;"",1,0),0)</f>
        <v>0</v>
      </c>
      <c r="M3008">
        <f>IFERROR(IF(VLOOKUP(calendar[[#This Row],[Date]],BH!C:C,1,)&lt;&gt;"",1,0),0)</f>
        <v>0</v>
      </c>
      <c r="N3008">
        <f>IFERROR(IF(VLOOKUP(calendar[[#This Row],[Date]],BH!E:E,1,)&lt;&gt;"",1,0),0)</f>
        <v>0</v>
      </c>
      <c r="O3008">
        <f>IFERROR(IF(VLOOKUP(calendar[[#This Row],[Date]],BH!G:G,1,)&lt;&gt;"",1,0),0)</f>
        <v>0</v>
      </c>
      <c r="P3008">
        <f>IF(OR(calendar[[#This Row],[UK_BH]]=1,calendar[[#This Row],[WeekDay]]=1, calendar[[#This Row],[WeekDay]]=7),P3007,P3007+1)</f>
        <v>2147</v>
      </c>
      <c r="Q3008">
        <f>IF(OR(calendar[[#This Row],[FR_BH]]=1,calendar[[#This Row],[WeekDay]]=1, calendar[[#This Row],[WeekDay]]=7),P3007,P3007+1)</f>
        <v>2147</v>
      </c>
      <c r="R3008">
        <f>IF(OR(calendar[[#This Row],[SP_BH]]=1,calendar[[#This Row],[WeekDay]]=1, calendar[[#This Row],[WeekDay]]=7),P3007,P3007+1)</f>
        <v>2147</v>
      </c>
      <c r="S3008">
        <f>IF(OR(calendar[[#This Row],[PT_BH]]=1,calendar[[#This Row],[WeekDay]]=1, calendar[[#This Row],[WeekDay]]=7),P3007,P3007+1)</f>
        <v>2147</v>
      </c>
    </row>
    <row r="3009" spans="1:19" x14ac:dyDescent="0.25">
      <c r="A3009" s="2">
        <v>45743</v>
      </c>
      <c r="B3009" s="1">
        <f t="shared" si="233"/>
        <v>13</v>
      </c>
      <c r="C3009">
        <f t="shared" si="235"/>
        <v>3</v>
      </c>
      <c r="D3009" t="str">
        <f t="shared" si="236"/>
        <v>March</v>
      </c>
      <c r="E3009">
        <f t="shared" si="237"/>
        <v>2025</v>
      </c>
      <c r="F3009" t="str">
        <f>CONCATENATE(calendar[[#This Row],[Month]],"/",calendar[[#This Row],[Year]])</f>
        <v>3/2025</v>
      </c>
      <c r="G3009">
        <f>WEEKDAY(calendar[[#This Row],[Date]],1)</f>
        <v>5</v>
      </c>
      <c r="H3009" t="str">
        <f>TEXT(calendar[[#This Row],[WeekDay]],"dddd")</f>
        <v>Thursday</v>
      </c>
      <c r="I3009">
        <f>IF((INT(calendar[[#This Row],[Count]]/7)-calendar[[#This Row],[Count]]/7)&lt;0,I3008,I3008+1)</f>
        <v>430</v>
      </c>
      <c r="J3009">
        <f t="shared" si="234"/>
        <v>3007</v>
      </c>
      <c r="K3009">
        <f>IF(calendar[[#This Row],[Month]]&lt;4,1,IF(calendar[[#This Row],[Month]]&lt;7,2,IF(calendar[[#This Row],[Month]]&lt;10,3,4)))</f>
        <v>1</v>
      </c>
      <c r="L3009">
        <f>IFERROR(IF(VLOOKUP(calendar[[#This Row],[Date]],BH!A:A,1,)&lt;&gt;"",1,0),0)</f>
        <v>0</v>
      </c>
      <c r="M3009">
        <f>IFERROR(IF(VLOOKUP(calendar[[#This Row],[Date]],BH!C:C,1,)&lt;&gt;"",1,0),0)</f>
        <v>0</v>
      </c>
      <c r="N3009">
        <f>IFERROR(IF(VLOOKUP(calendar[[#This Row],[Date]],BH!E:E,1,)&lt;&gt;"",1,0),0)</f>
        <v>0</v>
      </c>
      <c r="O3009">
        <f>IFERROR(IF(VLOOKUP(calendar[[#This Row],[Date]],BH!G:G,1,)&lt;&gt;"",1,0),0)</f>
        <v>0</v>
      </c>
      <c r="P3009">
        <f>IF(OR(calendar[[#This Row],[UK_BH]]=1,calendar[[#This Row],[WeekDay]]=1, calendar[[#This Row],[WeekDay]]=7),P3008,P3008+1)</f>
        <v>2148</v>
      </c>
      <c r="Q3009">
        <f>IF(OR(calendar[[#This Row],[FR_BH]]=1,calendar[[#This Row],[WeekDay]]=1, calendar[[#This Row],[WeekDay]]=7),P3008,P3008+1)</f>
        <v>2148</v>
      </c>
      <c r="R3009">
        <f>IF(OR(calendar[[#This Row],[SP_BH]]=1,calendar[[#This Row],[WeekDay]]=1, calendar[[#This Row],[WeekDay]]=7),P3008,P3008+1)</f>
        <v>2148</v>
      </c>
      <c r="S3009">
        <f>IF(OR(calendar[[#This Row],[PT_BH]]=1,calendar[[#This Row],[WeekDay]]=1, calendar[[#This Row],[WeekDay]]=7),P3008,P3008+1)</f>
        <v>2148</v>
      </c>
    </row>
    <row r="3010" spans="1:19" x14ac:dyDescent="0.25">
      <c r="A3010" s="2">
        <v>45744</v>
      </c>
      <c r="B3010" s="1">
        <f t="shared" ref="B3010:B3073" si="238">WEEKNUM(A3010)</f>
        <v>13</v>
      </c>
      <c r="C3010">
        <f t="shared" si="235"/>
        <v>3</v>
      </c>
      <c r="D3010" t="str">
        <f t="shared" si="236"/>
        <v>March</v>
      </c>
      <c r="E3010">
        <f t="shared" si="237"/>
        <v>2025</v>
      </c>
      <c r="F3010" t="str">
        <f>CONCATENATE(calendar[[#This Row],[Month]],"/",calendar[[#This Row],[Year]])</f>
        <v>3/2025</v>
      </c>
      <c r="G3010">
        <f>WEEKDAY(calendar[[#This Row],[Date]],1)</f>
        <v>6</v>
      </c>
      <c r="H3010" t="str">
        <f>TEXT(calendar[[#This Row],[WeekDay]],"dddd")</f>
        <v>Friday</v>
      </c>
      <c r="I3010">
        <f>IF((INT(calendar[[#This Row],[Count]]/7)-calendar[[#This Row],[Count]]/7)&lt;0,I3009,I3009+1)</f>
        <v>430</v>
      </c>
      <c r="J3010">
        <f t="shared" si="234"/>
        <v>3008</v>
      </c>
      <c r="K3010">
        <f>IF(calendar[[#This Row],[Month]]&lt;4,1,IF(calendar[[#This Row],[Month]]&lt;7,2,IF(calendar[[#This Row],[Month]]&lt;10,3,4)))</f>
        <v>1</v>
      </c>
      <c r="L3010">
        <f>IFERROR(IF(VLOOKUP(calendar[[#This Row],[Date]],BH!A:A,1,)&lt;&gt;"",1,0),0)</f>
        <v>0</v>
      </c>
      <c r="M3010">
        <f>IFERROR(IF(VLOOKUP(calendar[[#This Row],[Date]],BH!C:C,1,)&lt;&gt;"",1,0),0)</f>
        <v>0</v>
      </c>
      <c r="N3010">
        <f>IFERROR(IF(VLOOKUP(calendar[[#This Row],[Date]],BH!E:E,1,)&lt;&gt;"",1,0),0)</f>
        <v>0</v>
      </c>
      <c r="O3010">
        <f>IFERROR(IF(VLOOKUP(calendar[[#This Row],[Date]],BH!G:G,1,)&lt;&gt;"",1,0),0)</f>
        <v>0</v>
      </c>
      <c r="P3010">
        <f>IF(OR(calendar[[#This Row],[UK_BH]]=1,calendar[[#This Row],[WeekDay]]=1, calendar[[#This Row],[WeekDay]]=7),P3009,P3009+1)</f>
        <v>2149</v>
      </c>
      <c r="Q3010">
        <f>IF(OR(calendar[[#This Row],[FR_BH]]=1,calendar[[#This Row],[WeekDay]]=1, calendar[[#This Row],[WeekDay]]=7),P3009,P3009+1)</f>
        <v>2149</v>
      </c>
      <c r="R3010">
        <f>IF(OR(calendar[[#This Row],[SP_BH]]=1,calendar[[#This Row],[WeekDay]]=1, calendar[[#This Row],[WeekDay]]=7),P3009,P3009+1)</f>
        <v>2149</v>
      </c>
      <c r="S3010">
        <f>IF(OR(calendar[[#This Row],[PT_BH]]=1,calendar[[#This Row],[WeekDay]]=1, calendar[[#This Row],[WeekDay]]=7),P3009,P3009+1)</f>
        <v>2149</v>
      </c>
    </row>
    <row r="3011" spans="1:19" x14ac:dyDescent="0.25">
      <c r="A3011" s="2">
        <v>45745</v>
      </c>
      <c r="B3011" s="1">
        <f t="shared" si="238"/>
        <v>13</v>
      </c>
      <c r="C3011">
        <f t="shared" si="235"/>
        <v>3</v>
      </c>
      <c r="D3011" t="str">
        <f t="shared" si="236"/>
        <v>March</v>
      </c>
      <c r="E3011">
        <f t="shared" si="237"/>
        <v>2025</v>
      </c>
      <c r="F3011" t="str">
        <f>CONCATENATE(calendar[[#This Row],[Month]],"/",calendar[[#This Row],[Year]])</f>
        <v>3/2025</v>
      </c>
      <c r="G3011">
        <f>WEEKDAY(calendar[[#This Row],[Date]],1)</f>
        <v>7</v>
      </c>
      <c r="H3011" t="str">
        <f>TEXT(calendar[[#This Row],[WeekDay]],"dddd")</f>
        <v>Saturday</v>
      </c>
      <c r="I3011">
        <f>IF((INT(calendar[[#This Row],[Count]]/7)-calendar[[#This Row],[Count]]/7)&lt;0,I3010,I3010+1)</f>
        <v>430</v>
      </c>
      <c r="J3011">
        <f t="shared" ref="J3011:J3074" si="239">J3010+1</f>
        <v>3009</v>
      </c>
      <c r="K3011">
        <f>IF(calendar[[#This Row],[Month]]&lt;4,1,IF(calendar[[#This Row],[Month]]&lt;7,2,IF(calendar[[#This Row],[Month]]&lt;10,3,4)))</f>
        <v>1</v>
      </c>
      <c r="L3011">
        <f>IFERROR(IF(VLOOKUP(calendar[[#This Row],[Date]],BH!A:A,1,)&lt;&gt;"",1,0),0)</f>
        <v>0</v>
      </c>
      <c r="M3011">
        <f>IFERROR(IF(VLOOKUP(calendar[[#This Row],[Date]],BH!C:C,1,)&lt;&gt;"",1,0),0)</f>
        <v>0</v>
      </c>
      <c r="N3011">
        <f>IFERROR(IF(VLOOKUP(calendar[[#This Row],[Date]],BH!E:E,1,)&lt;&gt;"",1,0),0)</f>
        <v>0</v>
      </c>
      <c r="O3011">
        <f>IFERROR(IF(VLOOKUP(calendar[[#This Row],[Date]],BH!G:G,1,)&lt;&gt;"",1,0),0)</f>
        <v>0</v>
      </c>
      <c r="P3011">
        <f>IF(OR(calendar[[#This Row],[UK_BH]]=1,calendar[[#This Row],[WeekDay]]=1, calendar[[#This Row],[WeekDay]]=7),P3010,P3010+1)</f>
        <v>2149</v>
      </c>
      <c r="Q3011">
        <f>IF(OR(calendar[[#This Row],[FR_BH]]=1,calendar[[#This Row],[WeekDay]]=1, calendar[[#This Row],[WeekDay]]=7),P3010,P3010+1)</f>
        <v>2149</v>
      </c>
      <c r="R3011">
        <f>IF(OR(calendar[[#This Row],[SP_BH]]=1,calendar[[#This Row],[WeekDay]]=1, calendar[[#This Row],[WeekDay]]=7),P3010,P3010+1)</f>
        <v>2149</v>
      </c>
      <c r="S3011">
        <f>IF(OR(calendar[[#This Row],[PT_BH]]=1,calendar[[#This Row],[WeekDay]]=1, calendar[[#This Row],[WeekDay]]=7),P3010,P3010+1)</f>
        <v>2149</v>
      </c>
    </row>
    <row r="3012" spans="1:19" x14ac:dyDescent="0.25">
      <c r="A3012" s="2">
        <v>45746</v>
      </c>
      <c r="B3012" s="1">
        <f t="shared" si="238"/>
        <v>14</v>
      </c>
      <c r="C3012">
        <f t="shared" si="235"/>
        <v>3</v>
      </c>
      <c r="D3012" t="str">
        <f t="shared" si="236"/>
        <v>March</v>
      </c>
      <c r="E3012">
        <f t="shared" si="237"/>
        <v>2025</v>
      </c>
      <c r="F3012" t="str">
        <f>CONCATENATE(calendar[[#This Row],[Month]],"/",calendar[[#This Row],[Year]])</f>
        <v>3/2025</v>
      </c>
      <c r="G3012">
        <f>WEEKDAY(calendar[[#This Row],[Date]],1)</f>
        <v>1</v>
      </c>
      <c r="H3012" t="str">
        <f>TEXT(calendar[[#This Row],[WeekDay]],"dddd")</f>
        <v>Sunday</v>
      </c>
      <c r="I3012">
        <f>IF((INT(calendar[[#This Row],[Count]]/7)-calendar[[#This Row],[Count]]/7)&lt;0,I3011,I3011+1)</f>
        <v>431</v>
      </c>
      <c r="J3012">
        <f t="shared" si="239"/>
        <v>3010</v>
      </c>
      <c r="K3012">
        <f>IF(calendar[[#This Row],[Month]]&lt;4,1,IF(calendar[[#This Row],[Month]]&lt;7,2,IF(calendar[[#This Row],[Month]]&lt;10,3,4)))</f>
        <v>1</v>
      </c>
      <c r="L3012">
        <f>IFERROR(IF(VLOOKUP(calendar[[#This Row],[Date]],BH!A:A,1,)&lt;&gt;"",1,0),0)</f>
        <v>0</v>
      </c>
      <c r="M3012">
        <f>IFERROR(IF(VLOOKUP(calendar[[#This Row],[Date]],BH!C:C,1,)&lt;&gt;"",1,0),0)</f>
        <v>0</v>
      </c>
      <c r="N3012">
        <f>IFERROR(IF(VLOOKUP(calendar[[#This Row],[Date]],BH!E:E,1,)&lt;&gt;"",1,0),0)</f>
        <v>0</v>
      </c>
      <c r="O3012">
        <f>IFERROR(IF(VLOOKUP(calendar[[#This Row],[Date]],BH!G:G,1,)&lt;&gt;"",1,0),0)</f>
        <v>0</v>
      </c>
      <c r="P3012">
        <f>IF(OR(calendar[[#This Row],[UK_BH]]=1,calendar[[#This Row],[WeekDay]]=1, calendar[[#This Row],[WeekDay]]=7),P3011,P3011+1)</f>
        <v>2149</v>
      </c>
      <c r="Q3012">
        <f>IF(OR(calendar[[#This Row],[FR_BH]]=1,calendar[[#This Row],[WeekDay]]=1, calendar[[#This Row],[WeekDay]]=7),P3011,P3011+1)</f>
        <v>2149</v>
      </c>
      <c r="R3012">
        <f>IF(OR(calendar[[#This Row],[SP_BH]]=1,calendar[[#This Row],[WeekDay]]=1, calendar[[#This Row],[WeekDay]]=7),P3011,P3011+1)</f>
        <v>2149</v>
      </c>
      <c r="S3012">
        <f>IF(OR(calendar[[#This Row],[PT_BH]]=1,calendar[[#This Row],[WeekDay]]=1, calendar[[#This Row],[WeekDay]]=7),P3011,P3011+1)</f>
        <v>2149</v>
      </c>
    </row>
    <row r="3013" spans="1:19" x14ac:dyDescent="0.25">
      <c r="A3013" s="2">
        <v>45747</v>
      </c>
      <c r="B3013" s="1">
        <f t="shared" si="238"/>
        <v>14</v>
      </c>
      <c r="C3013">
        <f t="shared" si="235"/>
        <v>3</v>
      </c>
      <c r="D3013" t="str">
        <f t="shared" si="236"/>
        <v>March</v>
      </c>
      <c r="E3013">
        <f t="shared" si="237"/>
        <v>2025</v>
      </c>
      <c r="F3013" t="str">
        <f>CONCATENATE(calendar[[#This Row],[Month]],"/",calendar[[#This Row],[Year]])</f>
        <v>3/2025</v>
      </c>
      <c r="G3013">
        <f>WEEKDAY(calendar[[#This Row],[Date]],1)</f>
        <v>2</v>
      </c>
      <c r="H3013" t="str">
        <f>TEXT(calendar[[#This Row],[WeekDay]],"dddd")</f>
        <v>Monday</v>
      </c>
      <c r="I3013">
        <f>IF((INT(calendar[[#This Row],[Count]]/7)-calendar[[#This Row],[Count]]/7)&lt;0,I3012,I3012+1)</f>
        <v>431</v>
      </c>
      <c r="J3013">
        <f t="shared" si="239"/>
        <v>3011</v>
      </c>
      <c r="K3013">
        <f>IF(calendar[[#This Row],[Month]]&lt;4,1,IF(calendar[[#This Row],[Month]]&lt;7,2,IF(calendar[[#This Row],[Month]]&lt;10,3,4)))</f>
        <v>1</v>
      </c>
      <c r="L3013">
        <f>IFERROR(IF(VLOOKUP(calendar[[#This Row],[Date]],BH!A:A,1,)&lt;&gt;"",1,0),0)</f>
        <v>0</v>
      </c>
      <c r="M3013">
        <f>IFERROR(IF(VLOOKUP(calendar[[#This Row],[Date]],BH!C:C,1,)&lt;&gt;"",1,0),0)</f>
        <v>0</v>
      </c>
      <c r="N3013">
        <f>IFERROR(IF(VLOOKUP(calendar[[#This Row],[Date]],BH!E:E,1,)&lt;&gt;"",1,0),0)</f>
        <v>0</v>
      </c>
      <c r="O3013">
        <f>IFERROR(IF(VLOOKUP(calendar[[#This Row],[Date]],BH!G:G,1,)&lt;&gt;"",1,0),0)</f>
        <v>0</v>
      </c>
      <c r="P3013">
        <f>IF(OR(calendar[[#This Row],[UK_BH]]=1,calendar[[#This Row],[WeekDay]]=1, calendar[[#This Row],[WeekDay]]=7),P3012,P3012+1)</f>
        <v>2150</v>
      </c>
      <c r="Q3013">
        <f>IF(OR(calendar[[#This Row],[FR_BH]]=1,calendar[[#This Row],[WeekDay]]=1, calendar[[#This Row],[WeekDay]]=7),P3012,P3012+1)</f>
        <v>2150</v>
      </c>
      <c r="R3013">
        <f>IF(OR(calendar[[#This Row],[SP_BH]]=1,calendar[[#This Row],[WeekDay]]=1, calendar[[#This Row],[WeekDay]]=7),P3012,P3012+1)</f>
        <v>2150</v>
      </c>
      <c r="S3013">
        <f>IF(OR(calendar[[#This Row],[PT_BH]]=1,calendar[[#This Row],[WeekDay]]=1, calendar[[#This Row],[WeekDay]]=7),P3012,P3012+1)</f>
        <v>2150</v>
      </c>
    </row>
    <row r="3014" spans="1:19" x14ac:dyDescent="0.25">
      <c r="A3014" s="2">
        <v>45748</v>
      </c>
      <c r="B3014" s="1">
        <f t="shared" si="238"/>
        <v>14</v>
      </c>
      <c r="C3014">
        <f t="shared" si="235"/>
        <v>4</v>
      </c>
      <c r="D3014" t="str">
        <f t="shared" si="236"/>
        <v>April</v>
      </c>
      <c r="E3014">
        <f t="shared" si="237"/>
        <v>2025</v>
      </c>
      <c r="F3014" t="str">
        <f>CONCATENATE(calendar[[#This Row],[Month]],"/",calendar[[#This Row],[Year]])</f>
        <v>4/2025</v>
      </c>
      <c r="G3014">
        <f>WEEKDAY(calendar[[#This Row],[Date]],1)</f>
        <v>3</v>
      </c>
      <c r="H3014" t="str">
        <f>TEXT(calendar[[#This Row],[WeekDay]],"dddd")</f>
        <v>Tuesday</v>
      </c>
      <c r="I3014">
        <f>IF((INT(calendar[[#This Row],[Count]]/7)-calendar[[#This Row],[Count]]/7)&lt;0,I3013,I3013+1)</f>
        <v>431</v>
      </c>
      <c r="J3014">
        <f t="shared" si="239"/>
        <v>3012</v>
      </c>
      <c r="K3014">
        <f>IF(calendar[[#This Row],[Month]]&lt;4,1,IF(calendar[[#This Row],[Month]]&lt;7,2,IF(calendar[[#This Row],[Month]]&lt;10,3,4)))</f>
        <v>2</v>
      </c>
      <c r="L3014">
        <f>IFERROR(IF(VLOOKUP(calendar[[#This Row],[Date]],BH!A:A,1,)&lt;&gt;"",1,0),0)</f>
        <v>0</v>
      </c>
      <c r="M3014">
        <f>IFERROR(IF(VLOOKUP(calendar[[#This Row],[Date]],BH!C:C,1,)&lt;&gt;"",1,0),0)</f>
        <v>0</v>
      </c>
      <c r="N3014">
        <f>IFERROR(IF(VLOOKUP(calendar[[#This Row],[Date]],BH!E:E,1,)&lt;&gt;"",1,0),0)</f>
        <v>0</v>
      </c>
      <c r="O3014">
        <f>IFERROR(IF(VLOOKUP(calendar[[#This Row],[Date]],BH!G:G,1,)&lt;&gt;"",1,0),0)</f>
        <v>0</v>
      </c>
      <c r="P3014">
        <f>IF(OR(calendar[[#This Row],[UK_BH]]=1,calendar[[#This Row],[WeekDay]]=1, calendar[[#This Row],[WeekDay]]=7),P3013,P3013+1)</f>
        <v>2151</v>
      </c>
      <c r="Q3014">
        <f>IF(OR(calendar[[#This Row],[FR_BH]]=1,calendar[[#This Row],[WeekDay]]=1, calendar[[#This Row],[WeekDay]]=7),P3013,P3013+1)</f>
        <v>2151</v>
      </c>
      <c r="R3014">
        <f>IF(OR(calendar[[#This Row],[SP_BH]]=1,calendar[[#This Row],[WeekDay]]=1, calendar[[#This Row],[WeekDay]]=7),P3013,P3013+1)</f>
        <v>2151</v>
      </c>
      <c r="S3014">
        <f>IF(OR(calendar[[#This Row],[PT_BH]]=1,calendar[[#This Row],[WeekDay]]=1, calendar[[#This Row],[WeekDay]]=7),P3013,P3013+1)</f>
        <v>2151</v>
      </c>
    </row>
    <row r="3015" spans="1:19" x14ac:dyDescent="0.25">
      <c r="A3015" s="2">
        <v>45749</v>
      </c>
      <c r="B3015" s="1">
        <f t="shared" si="238"/>
        <v>14</v>
      </c>
      <c r="C3015">
        <f t="shared" si="235"/>
        <v>4</v>
      </c>
      <c r="D3015" t="str">
        <f t="shared" si="236"/>
        <v>April</v>
      </c>
      <c r="E3015">
        <f t="shared" si="237"/>
        <v>2025</v>
      </c>
      <c r="F3015" t="str">
        <f>CONCATENATE(calendar[[#This Row],[Month]],"/",calendar[[#This Row],[Year]])</f>
        <v>4/2025</v>
      </c>
      <c r="G3015">
        <f>WEEKDAY(calendar[[#This Row],[Date]],1)</f>
        <v>4</v>
      </c>
      <c r="H3015" t="str">
        <f>TEXT(calendar[[#This Row],[WeekDay]],"dddd")</f>
        <v>Wednesday</v>
      </c>
      <c r="I3015">
        <f>IF((INT(calendar[[#This Row],[Count]]/7)-calendar[[#This Row],[Count]]/7)&lt;0,I3014,I3014+1)</f>
        <v>431</v>
      </c>
      <c r="J3015">
        <f t="shared" si="239"/>
        <v>3013</v>
      </c>
      <c r="K3015">
        <f>IF(calendar[[#This Row],[Month]]&lt;4,1,IF(calendar[[#This Row],[Month]]&lt;7,2,IF(calendar[[#This Row],[Month]]&lt;10,3,4)))</f>
        <v>2</v>
      </c>
      <c r="L3015">
        <f>IFERROR(IF(VLOOKUP(calendar[[#This Row],[Date]],BH!A:A,1,)&lt;&gt;"",1,0),0)</f>
        <v>0</v>
      </c>
      <c r="M3015">
        <f>IFERROR(IF(VLOOKUP(calendar[[#This Row],[Date]],BH!C:C,1,)&lt;&gt;"",1,0),0)</f>
        <v>0</v>
      </c>
      <c r="N3015">
        <f>IFERROR(IF(VLOOKUP(calendar[[#This Row],[Date]],BH!E:E,1,)&lt;&gt;"",1,0),0)</f>
        <v>0</v>
      </c>
      <c r="O3015">
        <f>IFERROR(IF(VLOOKUP(calendar[[#This Row],[Date]],BH!G:G,1,)&lt;&gt;"",1,0),0)</f>
        <v>0</v>
      </c>
      <c r="P3015">
        <f>IF(OR(calendar[[#This Row],[UK_BH]]=1,calendar[[#This Row],[WeekDay]]=1, calendar[[#This Row],[WeekDay]]=7),P3014,P3014+1)</f>
        <v>2152</v>
      </c>
      <c r="Q3015">
        <f>IF(OR(calendar[[#This Row],[FR_BH]]=1,calendar[[#This Row],[WeekDay]]=1, calendar[[#This Row],[WeekDay]]=7),P3014,P3014+1)</f>
        <v>2152</v>
      </c>
      <c r="R3015">
        <f>IF(OR(calendar[[#This Row],[SP_BH]]=1,calendar[[#This Row],[WeekDay]]=1, calendar[[#This Row],[WeekDay]]=7),P3014,P3014+1)</f>
        <v>2152</v>
      </c>
      <c r="S3015">
        <f>IF(OR(calendar[[#This Row],[PT_BH]]=1,calendar[[#This Row],[WeekDay]]=1, calendar[[#This Row],[WeekDay]]=7),P3014,P3014+1)</f>
        <v>2152</v>
      </c>
    </row>
    <row r="3016" spans="1:19" x14ac:dyDescent="0.25">
      <c r="A3016" s="2">
        <v>45750</v>
      </c>
      <c r="B3016" s="1">
        <f t="shared" si="238"/>
        <v>14</v>
      </c>
      <c r="C3016">
        <f t="shared" si="235"/>
        <v>4</v>
      </c>
      <c r="D3016" t="str">
        <f t="shared" si="236"/>
        <v>April</v>
      </c>
      <c r="E3016">
        <f t="shared" si="237"/>
        <v>2025</v>
      </c>
      <c r="F3016" t="str">
        <f>CONCATENATE(calendar[[#This Row],[Month]],"/",calendar[[#This Row],[Year]])</f>
        <v>4/2025</v>
      </c>
      <c r="G3016">
        <f>WEEKDAY(calendar[[#This Row],[Date]],1)</f>
        <v>5</v>
      </c>
      <c r="H3016" t="str">
        <f>TEXT(calendar[[#This Row],[WeekDay]],"dddd")</f>
        <v>Thursday</v>
      </c>
      <c r="I3016">
        <f>IF((INT(calendar[[#This Row],[Count]]/7)-calendar[[#This Row],[Count]]/7)&lt;0,I3015,I3015+1)</f>
        <v>431</v>
      </c>
      <c r="J3016">
        <f t="shared" si="239"/>
        <v>3014</v>
      </c>
      <c r="K3016">
        <f>IF(calendar[[#This Row],[Month]]&lt;4,1,IF(calendar[[#This Row],[Month]]&lt;7,2,IF(calendar[[#This Row],[Month]]&lt;10,3,4)))</f>
        <v>2</v>
      </c>
      <c r="L3016">
        <f>IFERROR(IF(VLOOKUP(calendar[[#This Row],[Date]],BH!A:A,1,)&lt;&gt;"",1,0),0)</f>
        <v>0</v>
      </c>
      <c r="M3016">
        <f>IFERROR(IF(VLOOKUP(calendar[[#This Row],[Date]],BH!C:C,1,)&lt;&gt;"",1,0),0)</f>
        <v>0</v>
      </c>
      <c r="N3016">
        <f>IFERROR(IF(VLOOKUP(calendar[[#This Row],[Date]],BH!E:E,1,)&lt;&gt;"",1,0),0)</f>
        <v>0</v>
      </c>
      <c r="O3016">
        <f>IFERROR(IF(VLOOKUP(calendar[[#This Row],[Date]],BH!G:G,1,)&lt;&gt;"",1,0),0)</f>
        <v>0</v>
      </c>
      <c r="P3016">
        <f>IF(OR(calendar[[#This Row],[UK_BH]]=1,calendar[[#This Row],[WeekDay]]=1, calendar[[#This Row],[WeekDay]]=7),P3015,P3015+1)</f>
        <v>2153</v>
      </c>
      <c r="Q3016">
        <f>IF(OR(calendar[[#This Row],[FR_BH]]=1,calendar[[#This Row],[WeekDay]]=1, calendar[[#This Row],[WeekDay]]=7),P3015,P3015+1)</f>
        <v>2153</v>
      </c>
      <c r="R3016">
        <f>IF(OR(calendar[[#This Row],[SP_BH]]=1,calendar[[#This Row],[WeekDay]]=1, calendar[[#This Row],[WeekDay]]=7),P3015,P3015+1)</f>
        <v>2153</v>
      </c>
      <c r="S3016">
        <f>IF(OR(calendar[[#This Row],[PT_BH]]=1,calendar[[#This Row],[WeekDay]]=1, calendar[[#This Row],[WeekDay]]=7),P3015,P3015+1)</f>
        <v>2153</v>
      </c>
    </row>
    <row r="3017" spans="1:19" x14ac:dyDescent="0.25">
      <c r="A3017" s="2">
        <v>45751</v>
      </c>
      <c r="B3017" s="1">
        <f t="shared" si="238"/>
        <v>14</v>
      </c>
      <c r="C3017">
        <f t="shared" si="235"/>
        <v>4</v>
      </c>
      <c r="D3017" t="str">
        <f t="shared" si="236"/>
        <v>April</v>
      </c>
      <c r="E3017">
        <f t="shared" si="237"/>
        <v>2025</v>
      </c>
      <c r="F3017" t="str">
        <f>CONCATENATE(calendar[[#This Row],[Month]],"/",calendar[[#This Row],[Year]])</f>
        <v>4/2025</v>
      </c>
      <c r="G3017">
        <f>WEEKDAY(calendar[[#This Row],[Date]],1)</f>
        <v>6</v>
      </c>
      <c r="H3017" t="str">
        <f>TEXT(calendar[[#This Row],[WeekDay]],"dddd")</f>
        <v>Friday</v>
      </c>
      <c r="I3017">
        <f>IF((INT(calendar[[#This Row],[Count]]/7)-calendar[[#This Row],[Count]]/7)&lt;0,I3016,I3016+1)</f>
        <v>431</v>
      </c>
      <c r="J3017">
        <f t="shared" si="239"/>
        <v>3015</v>
      </c>
      <c r="K3017">
        <f>IF(calendar[[#This Row],[Month]]&lt;4,1,IF(calendar[[#This Row],[Month]]&lt;7,2,IF(calendar[[#This Row],[Month]]&lt;10,3,4)))</f>
        <v>2</v>
      </c>
      <c r="L3017">
        <f>IFERROR(IF(VLOOKUP(calendar[[#This Row],[Date]],BH!A:A,1,)&lt;&gt;"",1,0),0)</f>
        <v>0</v>
      </c>
      <c r="M3017">
        <f>IFERROR(IF(VLOOKUP(calendar[[#This Row],[Date]],BH!C:C,1,)&lt;&gt;"",1,0),0)</f>
        <v>0</v>
      </c>
      <c r="N3017">
        <f>IFERROR(IF(VLOOKUP(calendar[[#This Row],[Date]],BH!E:E,1,)&lt;&gt;"",1,0),0)</f>
        <v>0</v>
      </c>
      <c r="O3017">
        <f>IFERROR(IF(VLOOKUP(calendar[[#This Row],[Date]],BH!G:G,1,)&lt;&gt;"",1,0),0)</f>
        <v>0</v>
      </c>
      <c r="P3017">
        <f>IF(OR(calendar[[#This Row],[UK_BH]]=1,calendar[[#This Row],[WeekDay]]=1, calendar[[#This Row],[WeekDay]]=7),P3016,P3016+1)</f>
        <v>2154</v>
      </c>
      <c r="Q3017">
        <f>IF(OR(calendar[[#This Row],[FR_BH]]=1,calendar[[#This Row],[WeekDay]]=1, calendar[[#This Row],[WeekDay]]=7),P3016,P3016+1)</f>
        <v>2154</v>
      </c>
      <c r="R3017">
        <f>IF(OR(calendar[[#This Row],[SP_BH]]=1,calendar[[#This Row],[WeekDay]]=1, calendar[[#This Row],[WeekDay]]=7),P3016,P3016+1)</f>
        <v>2154</v>
      </c>
      <c r="S3017">
        <f>IF(OR(calendar[[#This Row],[PT_BH]]=1,calendar[[#This Row],[WeekDay]]=1, calendar[[#This Row],[WeekDay]]=7),P3016,P3016+1)</f>
        <v>2154</v>
      </c>
    </row>
    <row r="3018" spans="1:19" x14ac:dyDescent="0.25">
      <c r="A3018" s="2">
        <v>45752</v>
      </c>
      <c r="B3018" s="1">
        <f t="shared" si="238"/>
        <v>14</v>
      </c>
      <c r="C3018">
        <f t="shared" si="235"/>
        <v>4</v>
      </c>
      <c r="D3018" t="str">
        <f t="shared" si="236"/>
        <v>April</v>
      </c>
      <c r="E3018">
        <f t="shared" si="237"/>
        <v>2025</v>
      </c>
      <c r="F3018" t="str">
        <f>CONCATENATE(calendar[[#This Row],[Month]],"/",calendar[[#This Row],[Year]])</f>
        <v>4/2025</v>
      </c>
      <c r="G3018">
        <f>WEEKDAY(calendar[[#This Row],[Date]],1)</f>
        <v>7</v>
      </c>
      <c r="H3018" t="str">
        <f>TEXT(calendar[[#This Row],[WeekDay]],"dddd")</f>
        <v>Saturday</v>
      </c>
      <c r="I3018">
        <f>IF((INT(calendar[[#This Row],[Count]]/7)-calendar[[#This Row],[Count]]/7)&lt;0,I3017,I3017+1)</f>
        <v>431</v>
      </c>
      <c r="J3018">
        <f t="shared" si="239"/>
        <v>3016</v>
      </c>
      <c r="K3018">
        <f>IF(calendar[[#This Row],[Month]]&lt;4,1,IF(calendar[[#This Row],[Month]]&lt;7,2,IF(calendar[[#This Row],[Month]]&lt;10,3,4)))</f>
        <v>2</v>
      </c>
      <c r="L3018">
        <f>IFERROR(IF(VLOOKUP(calendar[[#This Row],[Date]],BH!A:A,1,)&lt;&gt;"",1,0),0)</f>
        <v>0</v>
      </c>
      <c r="M3018">
        <f>IFERROR(IF(VLOOKUP(calendar[[#This Row],[Date]],BH!C:C,1,)&lt;&gt;"",1,0),0)</f>
        <v>0</v>
      </c>
      <c r="N3018">
        <f>IFERROR(IF(VLOOKUP(calendar[[#This Row],[Date]],BH!E:E,1,)&lt;&gt;"",1,0),0)</f>
        <v>0</v>
      </c>
      <c r="O3018">
        <f>IFERROR(IF(VLOOKUP(calendar[[#This Row],[Date]],BH!G:G,1,)&lt;&gt;"",1,0),0)</f>
        <v>0</v>
      </c>
      <c r="P3018">
        <f>IF(OR(calendar[[#This Row],[UK_BH]]=1,calendar[[#This Row],[WeekDay]]=1, calendar[[#This Row],[WeekDay]]=7),P3017,P3017+1)</f>
        <v>2154</v>
      </c>
      <c r="Q3018">
        <f>IF(OR(calendar[[#This Row],[FR_BH]]=1,calendar[[#This Row],[WeekDay]]=1, calendar[[#This Row],[WeekDay]]=7),P3017,P3017+1)</f>
        <v>2154</v>
      </c>
      <c r="R3018">
        <f>IF(OR(calendar[[#This Row],[SP_BH]]=1,calendar[[#This Row],[WeekDay]]=1, calendar[[#This Row],[WeekDay]]=7),P3017,P3017+1)</f>
        <v>2154</v>
      </c>
      <c r="S3018">
        <f>IF(OR(calendar[[#This Row],[PT_BH]]=1,calendar[[#This Row],[WeekDay]]=1, calendar[[#This Row],[WeekDay]]=7),P3017,P3017+1)</f>
        <v>2154</v>
      </c>
    </row>
    <row r="3019" spans="1:19" x14ac:dyDescent="0.25">
      <c r="A3019" s="2">
        <v>45753</v>
      </c>
      <c r="B3019" s="1">
        <f t="shared" si="238"/>
        <v>15</v>
      </c>
      <c r="C3019">
        <f t="shared" si="235"/>
        <v>4</v>
      </c>
      <c r="D3019" t="str">
        <f t="shared" si="236"/>
        <v>April</v>
      </c>
      <c r="E3019">
        <f t="shared" si="237"/>
        <v>2025</v>
      </c>
      <c r="F3019" t="str">
        <f>CONCATENATE(calendar[[#This Row],[Month]],"/",calendar[[#This Row],[Year]])</f>
        <v>4/2025</v>
      </c>
      <c r="G3019">
        <f>WEEKDAY(calendar[[#This Row],[Date]],1)</f>
        <v>1</v>
      </c>
      <c r="H3019" t="str">
        <f>TEXT(calendar[[#This Row],[WeekDay]],"dddd")</f>
        <v>Sunday</v>
      </c>
      <c r="I3019">
        <f>IF((INT(calendar[[#This Row],[Count]]/7)-calendar[[#This Row],[Count]]/7)&lt;0,I3018,I3018+1)</f>
        <v>432</v>
      </c>
      <c r="J3019">
        <f t="shared" si="239"/>
        <v>3017</v>
      </c>
      <c r="K3019">
        <f>IF(calendar[[#This Row],[Month]]&lt;4,1,IF(calendar[[#This Row],[Month]]&lt;7,2,IF(calendar[[#This Row],[Month]]&lt;10,3,4)))</f>
        <v>2</v>
      </c>
      <c r="L3019">
        <f>IFERROR(IF(VLOOKUP(calendar[[#This Row],[Date]],BH!A:A,1,)&lt;&gt;"",1,0),0)</f>
        <v>0</v>
      </c>
      <c r="M3019">
        <f>IFERROR(IF(VLOOKUP(calendar[[#This Row],[Date]],BH!C:C,1,)&lt;&gt;"",1,0),0)</f>
        <v>0</v>
      </c>
      <c r="N3019">
        <f>IFERROR(IF(VLOOKUP(calendar[[#This Row],[Date]],BH!E:E,1,)&lt;&gt;"",1,0),0)</f>
        <v>0</v>
      </c>
      <c r="O3019">
        <f>IFERROR(IF(VLOOKUP(calendar[[#This Row],[Date]],BH!G:G,1,)&lt;&gt;"",1,0),0)</f>
        <v>0</v>
      </c>
      <c r="P3019">
        <f>IF(OR(calendar[[#This Row],[UK_BH]]=1,calendar[[#This Row],[WeekDay]]=1, calendar[[#This Row],[WeekDay]]=7),P3018,P3018+1)</f>
        <v>2154</v>
      </c>
      <c r="Q3019">
        <f>IF(OR(calendar[[#This Row],[FR_BH]]=1,calendar[[#This Row],[WeekDay]]=1, calendar[[#This Row],[WeekDay]]=7),P3018,P3018+1)</f>
        <v>2154</v>
      </c>
      <c r="R3019">
        <f>IF(OR(calendar[[#This Row],[SP_BH]]=1,calendar[[#This Row],[WeekDay]]=1, calendar[[#This Row],[WeekDay]]=7),P3018,P3018+1)</f>
        <v>2154</v>
      </c>
      <c r="S3019">
        <f>IF(OR(calendar[[#This Row],[PT_BH]]=1,calendar[[#This Row],[WeekDay]]=1, calendar[[#This Row],[WeekDay]]=7),P3018,P3018+1)</f>
        <v>2154</v>
      </c>
    </row>
    <row r="3020" spans="1:19" x14ac:dyDescent="0.25">
      <c r="A3020" s="2">
        <v>45754</v>
      </c>
      <c r="B3020" s="1">
        <f t="shared" si="238"/>
        <v>15</v>
      </c>
      <c r="C3020">
        <f t="shared" si="235"/>
        <v>4</v>
      </c>
      <c r="D3020" t="str">
        <f t="shared" si="236"/>
        <v>April</v>
      </c>
      <c r="E3020">
        <f t="shared" si="237"/>
        <v>2025</v>
      </c>
      <c r="F3020" t="str">
        <f>CONCATENATE(calendar[[#This Row],[Month]],"/",calendar[[#This Row],[Year]])</f>
        <v>4/2025</v>
      </c>
      <c r="G3020">
        <f>WEEKDAY(calendar[[#This Row],[Date]],1)</f>
        <v>2</v>
      </c>
      <c r="H3020" t="str">
        <f>TEXT(calendar[[#This Row],[WeekDay]],"dddd")</f>
        <v>Monday</v>
      </c>
      <c r="I3020">
        <f>IF((INT(calendar[[#This Row],[Count]]/7)-calendar[[#This Row],[Count]]/7)&lt;0,I3019,I3019+1)</f>
        <v>432</v>
      </c>
      <c r="J3020">
        <f t="shared" si="239"/>
        <v>3018</v>
      </c>
      <c r="K3020">
        <f>IF(calendar[[#This Row],[Month]]&lt;4,1,IF(calendar[[#This Row],[Month]]&lt;7,2,IF(calendar[[#This Row],[Month]]&lt;10,3,4)))</f>
        <v>2</v>
      </c>
      <c r="L3020">
        <f>IFERROR(IF(VLOOKUP(calendar[[#This Row],[Date]],BH!A:A,1,)&lt;&gt;"",1,0),0)</f>
        <v>0</v>
      </c>
      <c r="M3020">
        <f>IFERROR(IF(VLOOKUP(calendar[[#This Row],[Date]],BH!C:C,1,)&lt;&gt;"",1,0),0)</f>
        <v>0</v>
      </c>
      <c r="N3020">
        <f>IFERROR(IF(VLOOKUP(calendar[[#This Row],[Date]],BH!E:E,1,)&lt;&gt;"",1,0),0)</f>
        <v>0</v>
      </c>
      <c r="O3020">
        <f>IFERROR(IF(VLOOKUP(calendar[[#This Row],[Date]],BH!G:G,1,)&lt;&gt;"",1,0),0)</f>
        <v>0</v>
      </c>
      <c r="P3020">
        <f>IF(OR(calendar[[#This Row],[UK_BH]]=1,calendar[[#This Row],[WeekDay]]=1, calendar[[#This Row],[WeekDay]]=7),P3019,P3019+1)</f>
        <v>2155</v>
      </c>
      <c r="Q3020">
        <f>IF(OR(calendar[[#This Row],[FR_BH]]=1,calendar[[#This Row],[WeekDay]]=1, calendar[[#This Row],[WeekDay]]=7),P3019,P3019+1)</f>
        <v>2155</v>
      </c>
      <c r="R3020">
        <f>IF(OR(calendar[[#This Row],[SP_BH]]=1,calendar[[#This Row],[WeekDay]]=1, calendar[[#This Row],[WeekDay]]=7),P3019,P3019+1)</f>
        <v>2155</v>
      </c>
      <c r="S3020">
        <f>IF(OR(calendar[[#This Row],[PT_BH]]=1,calendar[[#This Row],[WeekDay]]=1, calendar[[#This Row],[WeekDay]]=7),P3019,P3019+1)</f>
        <v>2155</v>
      </c>
    </row>
    <row r="3021" spans="1:19" x14ac:dyDescent="0.25">
      <c r="A3021" s="2">
        <v>45755</v>
      </c>
      <c r="B3021" s="1">
        <f t="shared" si="238"/>
        <v>15</v>
      </c>
      <c r="C3021">
        <f t="shared" si="235"/>
        <v>4</v>
      </c>
      <c r="D3021" t="str">
        <f t="shared" si="236"/>
        <v>April</v>
      </c>
      <c r="E3021">
        <f t="shared" si="237"/>
        <v>2025</v>
      </c>
      <c r="F3021" t="str">
        <f>CONCATENATE(calendar[[#This Row],[Month]],"/",calendar[[#This Row],[Year]])</f>
        <v>4/2025</v>
      </c>
      <c r="G3021">
        <f>WEEKDAY(calendar[[#This Row],[Date]],1)</f>
        <v>3</v>
      </c>
      <c r="H3021" t="str">
        <f>TEXT(calendar[[#This Row],[WeekDay]],"dddd")</f>
        <v>Tuesday</v>
      </c>
      <c r="I3021">
        <f>IF((INT(calendar[[#This Row],[Count]]/7)-calendar[[#This Row],[Count]]/7)&lt;0,I3020,I3020+1)</f>
        <v>432</v>
      </c>
      <c r="J3021">
        <f t="shared" si="239"/>
        <v>3019</v>
      </c>
      <c r="K3021">
        <f>IF(calendar[[#This Row],[Month]]&lt;4,1,IF(calendar[[#This Row],[Month]]&lt;7,2,IF(calendar[[#This Row],[Month]]&lt;10,3,4)))</f>
        <v>2</v>
      </c>
      <c r="L3021">
        <f>IFERROR(IF(VLOOKUP(calendar[[#This Row],[Date]],BH!A:A,1,)&lt;&gt;"",1,0),0)</f>
        <v>0</v>
      </c>
      <c r="M3021">
        <f>IFERROR(IF(VLOOKUP(calendar[[#This Row],[Date]],BH!C:C,1,)&lt;&gt;"",1,0),0)</f>
        <v>0</v>
      </c>
      <c r="N3021">
        <f>IFERROR(IF(VLOOKUP(calendar[[#This Row],[Date]],BH!E:E,1,)&lt;&gt;"",1,0),0)</f>
        <v>0</v>
      </c>
      <c r="O3021">
        <f>IFERROR(IF(VLOOKUP(calendar[[#This Row],[Date]],BH!G:G,1,)&lt;&gt;"",1,0),0)</f>
        <v>0</v>
      </c>
      <c r="P3021">
        <f>IF(OR(calendar[[#This Row],[UK_BH]]=1,calendar[[#This Row],[WeekDay]]=1, calendar[[#This Row],[WeekDay]]=7),P3020,P3020+1)</f>
        <v>2156</v>
      </c>
      <c r="Q3021">
        <f>IF(OR(calendar[[#This Row],[FR_BH]]=1,calendar[[#This Row],[WeekDay]]=1, calendar[[#This Row],[WeekDay]]=7),P3020,P3020+1)</f>
        <v>2156</v>
      </c>
      <c r="R3021">
        <f>IF(OR(calendar[[#This Row],[SP_BH]]=1,calendar[[#This Row],[WeekDay]]=1, calendar[[#This Row],[WeekDay]]=7),P3020,P3020+1)</f>
        <v>2156</v>
      </c>
      <c r="S3021">
        <f>IF(OR(calendar[[#This Row],[PT_BH]]=1,calendar[[#This Row],[WeekDay]]=1, calendar[[#This Row],[WeekDay]]=7),P3020,P3020+1)</f>
        <v>2156</v>
      </c>
    </row>
    <row r="3022" spans="1:19" x14ac:dyDescent="0.25">
      <c r="A3022" s="2">
        <v>45756</v>
      </c>
      <c r="B3022" s="1">
        <f t="shared" si="238"/>
        <v>15</v>
      </c>
      <c r="C3022">
        <f t="shared" si="235"/>
        <v>4</v>
      </c>
      <c r="D3022" t="str">
        <f t="shared" si="236"/>
        <v>April</v>
      </c>
      <c r="E3022">
        <f t="shared" si="237"/>
        <v>2025</v>
      </c>
      <c r="F3022" t="str">
        <f>CONCATENATE(calendar[[#This Row],[Month]],"/",calendar[[#This Row],[Year]])</f>
        <v>4/2025</v>
      </c>
      <c r="G3022">
        <f>WEEKDAY(calendar[[#This Row],[Date]],1)</f>
        <v>4</v>
      </c>
      <c r="H3022" t="str">
        <f>TEXT(calendar[[#This Row],[WeekDay]],"dddd")</f>
        <v>Wednesday</v>
      </c>
      <c r="I3022">
        <f>IF((INT(calendar[[#This Row],[Count]]/7)-calendar[[#This Row],[Count]]/7)&lt;0,I3021,I3021+1)</f>
        <v>432</v>
      </c>
      <c r="J3022">
        <f t="shared" si="239"/>
        <v>3020</v>
      </c>
      <c r="K3022">
        <f>IF(calendar[[#This Row],[Month]]&lt;4,1,IF(calendar[[#This Row],[Month]]&lt;7,2,IF(calendar[[#This Row],[Month]]&lt;10,3,4)))</f>
        <v>2</v>
      </c>
      <c r="L3022">
        <f>IFERROR(IF(VLOOKUP(calendar[[#This Row],[Date]],BH!A:A,1,)&lt;&gt;"",1,0),0)</f>
        <v>0</v>
      </c>
      <c r="M3022">
        <f>IFERROR(IF(VLOOKUP(calendar[[#This Row],[Date]],BH!C:C,1,)&lt;&gt;"",1,0),0)</f>
        <v>0</v>
      </c>
      <c r="N3022">
        <f>IFERROR(IF(VLOOKUP(calendar[[#This Row],[Date]],BH!E:E,1,)&lt;&gt;"",1,0),0)</f>
        <v>0</v>
      </c>
      <c r="O3022">
        <f>IFERROR(IF(VLOOKUP(calendar[[#This Row],[Date]],BH!G:G,1,)&lt;&gt;"",1,0),0)</f>
        <v>0</v>
      </c>
      <c r="P3022">
        <f>IF(OR(calendar[[#This Row],[UK_BH]]=1,calendar[[#This Row],[WeekDay]]=1, calendar[[#This Row],[WeekDay]]=7),P3021,P3021+1)</f>
        <v>2157</v>
      </c>
      <c r="Q3022">
        <f>IF(OR(calendar[[#This Row],[FR_BH]]=1,calendar[[#This Row],[WeekDay]]=1, calendar[[#This Row],[WeekDay]]=7),P3021,P3021+1)</f>
        <v>2157</v>
      </c>
      <c r="R3022">
        <f>IF(OR(calendar[[#This Row],[SP_BH]]=1,calendar[[#This Row],[WeekDay]]=1, calendar[[#This Row],[WeekDay]]=7),P3021,P3021+1)</f>
        <v>2157</v>
      </c>
      <c r="S3022">
        <f>IF(OR(calendar[[#This Row],[PT_BH]]=1,calendar[[#This Row],[WeekDay]]=1, calendar[[#This Row],[WeekDay]]=7),P3021,P3021+1)</f>
        <v>2157</v>
      </c>
    </row>
    <row r="3023" spans="1:19" x14ac:dyDescent="0.25">
      <c r="A3023" s="2">
        <v>45757</v>
      </c>
      <c r="B3023" s="1">
        <f t="shared" si="238"/>
        <v>15</v>
      </c>
      <c r="C3023">
        <f t="shared" si="235"/>
        <v>4</v>
      </c>
      <c r="D3023" t="str">
        <f t="shared" si="236"/>
        <v>April</v>
      </c>
      <c r="E3023">
        <f t="shared" si="237"/>
        <v>2025</v>
      </c>
      <c r="F3023" t="str">
        <f>CONCATENATE(calendar[[#This Row],[Month]],"/",calendar[[#This Row],[Year]])</f>
        <v>4/2025</v>
      </c>
      <c r="G3023">
        <f>WEEKDAY(calendar[[#This Row],[Date]],1)</f>
        <v>5</v>
      </c>
      <c r="H3023" t="str">
        <f>TEXT(calendar[[#This Row],[WeekDay]],"dddd")</f>
        <v>Thursday</v>
      </c>
      <c r="I3023">
        <f>IF((INT(calendar[[#This Row],[Count]]/7)-calendar[[#This Row],[Count]]/7)&lt;0,I3022,I3022+1)</f>
        <v>432</v>
      </c>
      <c r="J3023">
        <f t="shared" si="239"/>
        <v>3021</v>
      </c>
      <c r="K3023">
        <f>IF(calendar[[#This Row],[Month]]&lt;4,1,IF(calendar[[#This Row],[Month]]&lt;7,2,IF(calendar[[#This Row],[Month]]&lt;10,3,4)))</f>
        <v>2</v>
      </c>
      <c r="L3023">
        <f>IFERROR(IF(VLOOKUP(calendar[[#This Row],[Date]],BH!A:A,1,)&lt;&gt;"",1,0),0)</f>
        <v>0</v>
      </c>
      <c r="M3023">
        <f>IFERROR(IF(VLOOKUP(calendar[[#This Row],[Date]],BH!C:C,1,)&lt;&gt;"",1,0),0)</f>
        <v>0</v>
      </c>
      <c r="N3023">
        <f>IFERROR(IF(VLOOKUP(calendar[[#This Row],[Date]],BH!E:E,1,)&lt;&gt;"",1,0),0)</f>
        <v>0</v>
      </c>
      <c r="O3023">
        <f>IFERROR(IF(VLOOKUP(calendar[[#This Row],[Date]],BH!G:G,1,)&lt;&gt;"",1,0),0)</f>
        <v>0</v>
      </c>
      <c r="P3023">
        <f>IF(OR(calendar[[#This Row],[UK_BH]]=1,calendar[[#This Row],[WeekDay]]=1, calendar[[#This Row],[WeekDay]]=7),P3022,P3022+1)</f>
        <v>2158</v>
      </c>
      <c r="Q3023">
        <f>IF(OR(calendar[[#This Row],[FR_BH]]=1,calendar[[#This Row],[WeekDay]]=1, calendar[[#This Row],[WeekDay]]=7),P3022,P3022+1)</f>
        <v>2158</v>
      </c>
      <c r="R3023">
        <f>IF(OR(calendar[[#This Row],[SP_BH]]=1,calendar[[#This Row],[WeekDay]]=1, calendar[[#This Row],[WeekDay]]=7),P3022,P3022+1)</f>
        <v>2158</v>
      </c>
      <c r="S3023">
        <f>IF(OR(calendar[[#This Row],[PT_BH]]=1,calendar[[#This Row],[WeekDay]]=1, calendar[[#This Row],[WeekDay]]=7),P3022,P3022+1)</f>
        <v>2158</v>
      </c>
    </row>
    <row r="3024" spans="1:19" x14ac:dyDescent="0.25">
      <c r="A3024" s="2">
        <v>45758</v>
      </c>
      <c r="B3024" s="1">
        <f t="shared" si="238"/>
        <v>15</v>
      </c>
      <c r="C3024">
        <f t="shared" ref="C3024:C3087" si="240">MONTH(A3024)</f>
        <v>4</v>
      </c>
      <c r="D3024" t="str">
        <f t="shared" ref="D3024:D3087" si="241">TEXT(A3024,"mmmm")</f>
        <v>April</v>
      </c>
      <c r="E3024">
        <f t="shared" ref="E3024:E3087" si="242">YEAR(A3024)</f>
        <v>2025</v>
      </c>
      <c r="F3024" t="str">
        <f>CONCATENATE(calendar[[#This Row],[Month]],"/",calendar[[#This Row],[Year]])</f>
        <v>4/2025</v>
      </c>
      <c r="G3024">
        <f>WEEKDAY(calendar[[#This Row],[Date]],1)</f>
        <v>6</v>
      </c>
      <c r="H3024" t="str">
        <f>TEXT(calendar[[#This Row],[WeekDay]],"dddd")</f>
        <v>Friday</v>
      </c>
      <c r="I3024">
        <f>IF((INT(calendar[[#This Row],[Count]]/7)-calendar[[#This Row],[Count]]/7)&lt;0,I3023,I3023+1)</f>
        <v>432</v>
      </c>
      <c r="J3024">
        <f t="shared" si="239"/>
        <v>3022</v>
      </c>
      <c r="K3024">
        <f>IF(calendar[[#This Row],[Month]]&lt;4,1,IF(calendar[[#This Row],[Month]]&lt;7,2,IF(calendar[[#This Row],[Month]]&lt;10,3,4)))</f>
        <v>2</v>
      </c>
      <c r="L3024">
        <f>IFERROR(IF(VLOOKUP(calendar[[#This Row],[Date]],BH!A:A,1,)&lt;&gt;"",1,0),0)</f>
        <v>0</v>
      </c>
      <c r="M3024">
        <f>IFERROR(IF(VLOOKUP(calendar[[#This Row],[Date]],BH!C:C,1,)&lt;&gt;"",1,0),0)</f>
        <v>0</v>
      </c>
      <c r="N3024">
        <f>IFERROR(IF(VLOOKUP(calendar[[#This Row],[Date]],BH!E:E,1,)&lt;&gt;"",1,0),0)</f>
        <v>0</v>
      </c>
      <c r="O3024">
        <f>IFERROR(IF(VLOOKUP(calendar[[#This Row],[Date]],BH!G:G,1,)&lt;&gt;"",1,0),0)</f>
        <v>0</v>
      </c>
      <c r="P3024">
        <f>IF(OR(calendar[[#This Row],[UK_BH]]=1,calendar[[#This Row],[WeekDay]]=1, calendar[[#This Row],[WeekDay]]=7),P3023,P3023+1)</f>
        <v>2159</v>
      </c>
      <c r="Q3024">
        <f>IF(OR(calendar[[#This Row],[FR_BH]]=1,calendar[[#This Row],[WeekDay]]=1, calendar[[#This Row],[WeekDay]]=7),P3023,P3023+1)</f>
        <v>2159</v>
      </c>
      <c r="R3024">
        <f>IF(OR(calendar[[#This Row],[SP_BH]]=1,calendar[[#This Row],[WeekDay]]=1, calendar[[#This Row],[WeekDay]]=7),P3023,P3023+1)</f>
        <v>2159</v>
      </c>
      <c r="S3024">
        <f>IF(OR(calendar[[#This Row],[PT_BH]]=1,calendar[[#This Row],[WeekDay]]=1, calendar[[#This Row],[WeekDay]]=7),P3023,P3023+1)</f>
        <v>2159</v>
      </c>
    </row>
    <row r="3025" spans="1:19" x14ac:dyDescent="0.25">
      <c r="A3025" s="2">
        <v>45759</v>
      </c>
      <c r="B3025" s="1">
        <f t="shared" si="238"/>
        <v>15</v>
      </c>
      <c r="C3025">
        <f t="shared" si="240"/>
        <v>4</v>
      </c>
      <c r="D3025" t="str">
        <f t="shared" si="241"/>
        <v>April</v>
      </c>
      <c r="E3025">
        <f t="shared" si="242"/>
        <v>2025</v>
      </c>
      <c r="F3025" t="str">
        <f>CONCATENATE(calendar[[#This Row],[Month]],"/",calendar[[#This Row],[Year]])</f>
        <v>4/2025</v>
      </c>
      <c r="G3025">
        <f>WEEKDAY(calendar[[#This Row],[Date]],1)</f>
        <v>7</v>
      </c>
      <c r="H3025" t="str">
        <f>TEXT(calendar[[#This Row],[WeekDay]],"dddd")</f>
        <v>Saturday</v>
      </c>
      <c r="I3025">
        <f>IF((INT(calendar[[#This Row],[Count]]/7)-calendar[[#This Row],[Count]]/7)&lt;0,I3024,I3024+1)</f>
        <v>432</v>
      </c>
      <c r="J3025">
        <f t="shared" si="239"/>
        <v>3023</v>
      </c>
      <c r="K3025">
        <f>IF(calendar[[#This Row],[Month]]&lt;4,1,IF(calendar[[#This Row],[Month]]&lt;7,2,IF(calendar[[#This Row],[Month]]&lt;10,3,4)))</f>
        <v>2</v>
      </c>
      <c r="L3025">
        <f>IFERROR(IF(VLOOKUP(calendar[[#This Row],[Date]],BH!A:A,1,)&lt;&gt;"",1,0),0)</f>
        <v>0</v>
      </c>
      <c r="M3025">
        <f>IFERROR(IF(VLOOKUP(calendar[[#This Row],[Date]],BH!C:C,1,)&lt;&gt;"",1,0),0)</f>
        <v>0</v>
      </c>
      <c r="N3025">
        <f>IFERROR(IF(VLOOKUP(calendar[[#This Row],[Date]],BH!E:E,1,)&lt;&gt;"",1,0),0)</f>
        <v>0</v>
      </c>
      <c r="O3025">
        <f>IFERROR(IF(VLOOKUP(calendar[[#This Row],[Date]],BH!G:G,1,)&lt;&gt;"",1,0),0)</f>
        <v>0</v>
      </c>
      <c r="P3025">
        <f>IF(OR(calendar[[#This Row],[UK_BH]]=1,calendar[[#This Row],[WeekDay]]=1, calendar[[#This Row],[WeekDay]]=7),P3024,P3024+1)</f>
        <v>2159</v>
      </c>
      <c r="Q3025">
        <f>IF(OR(calendar[[#This Row],[FR_BH]]=1,calendar[[#This Row],[WeekDay]]=1, calendar[[#This Row],[WeekDay]]=7),P3024,P3024+1)</f>
        <v>2159</v>
      </c>
      <c r="R3025">
        <f>IF(OR(calendar[[#This Row],[SP_BH]]=1,calendar[[#This Row],[WeekDay]]=1, calendar[[#This Row],[WeekDay]]=7),P3024,P3024+1)</f>
        <v>2159</v>
      </c>
      <c r="S3025">
        <f>IF(OR(calendar[[#This Row],[PT_BH]]=1,calendar[[#This Row],[WeekDay]]=1, calendar[[#This Row],[WeekDay]]=7),P3024,P3024+1)</f>
        <v>2159</v>
      </c>
    </row>
    <row r="3026" spans="1:19" x14ac:dyDescent="0.25">
      <c r="A3026" s="2">
        <v>45760</v>
      </c>
      <c r="B3026" s="1">
        <f t="shared" si="238"/>
        <v>16</v>
      </c>
      <c r="C3026">
        <f t="shared" si="240"/>
        <v>4</v>
      </c>
      <c r="D3026" t="str">
        <f t="shared" si="241"/>
        <v>April</v>
      </c>
      <c r="E3026">
        <f t="shared" si="242"/>
        <v>2025</v>
      </c>
      <c r="F3026" t="str">
        <f>CONCATENATE(calendar[[#This Row],[Month]],"/",calendar[[#This Row],[Year]])</f>
        <v>4/2025</v>
      </c>
      <c r="G3026">
        <f>WEEKDAY(calendar[[#This Row],[Date]],1)</f>
        <v>1</v>
      </c>
      <c r="H3026" t="str">
        <f>TEXT(calendar[[#This Row],[WeekDay]],"dddd")</f>
        <v>Sunday</v>
      </c>
      <c r="I3026">
        <f>IF((INT(calendar[[#This Row],[Count]]/7)-calendar[[#This Row],[Count]]/7)&lt;0,I3025,I3025+1)</f>
        <v>433</v>
      </c>
      <c r="J3026">
        <f t="shared" si="239"/>
        <v>3024</v>
      </c>
      <c r="K3026">
        <f>IF(calendar[[#This Row],[Month]]&lt;4,1,IF(calendar[[#This Row],[Month]]&lt;7,2,IF(calendar[[#This Row],[Month]]&lt;10,3,4)))</f>
        <v>2</v>
      </c>
      <c r="L3026">
        <f>IFERROR(IF(VLOOKUP(calendar[[#This Row],[Date]],BH!A:A,1,)&lt;&gt;"",1,0),0)</f>
        <v>0</v>
      </c>
      <c r="M3026">
        <f>IFERROR(IF(VLOOKUP(calendar[[#This Row],[Date]],BH!C:C,1,)&lt;&gt;"",1,0),0)</f>
        <v>0</v>
      </c>
      <c r="N3026">
        <f>IFERROR(IF(VLOOKUP(calendar[[#This Row],[Date]],BH!E:E,1,)&lt;&gt;"",1,0),0)</f>
        <v>1</v>
      </c>
      <c r="O3026">
        <f>IFERROR(IF(VLOOKUP(calendar[[#This Row],[Date]],BH!G:G,1,)&lt;&gt;"",1,0),0)</f>
        <v>0</v>
      </c>
      <c r="P3026">
        <f>IF(OR(calendar[[#This Row],[UK_BH]]=1,calendar[[#This Row],[WeekDay]]=1, calendar[[#This Row],[WeekDay]]=7),P3025,P3025+1)</f>
        <v>2159</v>
      </c>
      <c r="Q3026">
        <f>IF(OR(calendar[[#This Row],[FR_BH]]=1,calendar[[#This Row],[WeekDay]]=1, calendar[[#This Row],[WeekDay]]=7),P3025,P3025+1)</f>
        <v>2159</v>
      </c>
      <c r="R3026">
        <f>IF(OR(calendar[[#This Row],[SP_BH]]=1,calendar[[#This Row],[WeekDay]]=1, calendar[[#This Row],[WeekDay]]=7),P3025,P3025+1)</f>
        <v>2159</v>
      </c>
      <c r="S3026">
        <f>IF(OR(calendar[[#This Row],[PT_BH]]=1,calendar[[#This Row],[WeekDay]]=1, calendar[[#This Row],[WeekDay]]=7),P3025,P3025+1)</f>
        <v>2159</v>
      </c>
    </row>
    <row r="3027" spans="1:19" x14ac:dyDescent="0.25">
      <c r="A3027" s="2">
        <v>45761</v>
      </c>
      <c r="B3027" s="1">
        <f t="shared" si="238"/>
        <v>16</v>
      </c>
      <c r="C3027">
        <f t="shared" si="240"/>
        <v>4</v>
      </c>
      <c r="D3027" t="str">
        <f t="shared" si="241"/>
        <v>April</v>
      </c>
      <c r="E3027">
        <f t="shared" si="242"/>
        <v>2025</v>
      </c>
      <c r="F3027" t="str">
        <f>CONCATENATE(calendar[[#This Row],[Month]],"/",calendar[[#This Row],[Year]])</f>
        <v>4/2025</v>
      </c>
      <c r="G3027">
        <f>WEEKDAY(calendar[[#This Row],[Date]],1)</f>
        <v>2</v>
      </c>
      <c r="H3027" t="str">
        <f>TEXT(calendar[[#This Row],[WeekDay]],"dddd")</f>
        <v>Monday</v>
      </c>
      <c r="I3027">
        <f>IF((INT(calendar[[#This Row],[Count]]/7)-calendar[[#This Row],[Count]]/7)&lt;0,I3026,I3026+1)</f>
        <v>433</v>
      </c>
      <c r="J3027">
        <f t="shared" si="239"/>
        <v>3025</v>
      </c>
      <c r="K3027">
        <f>IF(calendar[[#This Row],[Month]]&lt;4,1,IF(calendar[[#This Row],[Month]]&lt;7,2,IF(calendar[[#This Row],[Month]]&lt;10,3,4)))</f>
        <v>2</v>
      </c>
      <c r="L3027">
        <f>IFERROR(IF(VLOOKUP(calendar[[#This Row],[Date]],BH!A:A,1,)&lt;&gt;"",1,0),0)</f>
        <v>0</v>
      </c>
      <c r="M3027">
        <f>IFERROR(IF(VLOOKUP(calendar[[#This Row],[Date]],BH!C:C,1,)&lt;&gt;"",1,0),0)</f>
        <v>0</v>
      </c>
      <c r="N3027">
        <f>IFERROR(IF(VLOOKUP(calendar[[#This Row],[Date]],BH!E:E,1,)&lt;&gt;"",1,0),0)</f>
        <v>0</v>
      </c>
      <c r="O3027">
        <f>IFERROR(IF(VLOOKUP(calendar[[#This Row],[Date]],BH!G:G,1,)&lt;&gt;"",1,0),0)</f>
        <v>0</v>
      </c>
      <c r="P3027">
        <f>IF(OR(calendar[[#This Row],[UK_BH]]=1,calendar[[#This Row],[WeekDay]]=1, calendar[[#This Row],[WeekDay]]=7),P3026,P3026+1)</f>
        <v>2160</v>
      </c>
      <c r="Q3027">
        <f>IF(OR(calendar[[#This Row],[FR_BH]]=1,calendar[[#This Row],[WeekDay]]=1, calendar[[#This Row],[WeekDay]]=7),P3026,P3026+1)</f>
        <v>2160</v>
      </c>
      <c r="R3027">
        <f>IF(OR(calendar[[#This Row],[SP_BH]]=1,calendar[[#This Row],[WeekDay]]=1, calendar[[#This Row],[WeekDay]]=7),P3026,P3026+1)</f>
        <v>2160</v>
      </c>
      <c r="S3027">
        <f>IF(OR(calendar[[#This Row],[PT_BH]]=1,calendar[[#This Row],[WeekDay]]=1, calendar[[#This Row],[WeekDay]]=7),P3026,P3026+1)</f>
        <v>2160</v>
      </c>
    </row>
    <row r="3028" spans="1:19" x14ac:dyDescent="0.25">
      <c r="A3028" s="2">
        <v>45762</v>
      </c>
      <c r="B3028" s="1">
        <f t="shared" si="238"/>
        <v>16</v>
      </c>
      <c r="C3028">
        <f t="shared" si="240"/>
        <v>4</v>
      </c>
      <c r="D3028" t="str">
        <f t="shared" si="241"/>
        <v>April</v>
      </c>
      <c r="E3028">
        <f t="shared" si="242"/>
        <v>2025</v>
      </c>
      <c r="F3028" t="str">
        <f>CONCATENATE(calendar[[#This Row],[Month]],"/",calendar[[#This Row],[Year]])</f>
        <v>4/2025</v>
      </c>
      <c r="G3028">
        <f>WEEKDAY(calendar[[#This Row],[Date]],1)</f>
        <v>3</v>
      </c>
      <c r="H3028" t="str">
        <f>TEXT(calendar[[#This Row],[WeekDay]],"dddd")</f>
        <v>Tuesday</v>
      </c>
      <c r="I3028">
        <f>IF((INT(calendar[[#This Row],[Count]]/7)-calendar[[#This Row],[Count]]/7)&lt;0,I3027,I3027+1)</f>
        <v>433</v>
      </c>
      <c r="J3028">
        <f t="shared" si="239"/>
        <v>3026</v>
      </c>
      <c r="K3028">
        <f>IF(calendar[[#This Row],[Month]]&lt;4,1,IF(calendar[[#This Row],[Month]]&lt;7,2,IF(calendar[[#This Row],[Month]]&lt;10,3,4)))</f>
        <v>2</v>
      </c>
      <c r="L3028">
        <f>IFERROR(IF(VLOOKUP(calendar[[#This Row],[Date]],BH!A:A,1,)&lt;&gt;"",1,0),0)</f>
        <v>0</v>
      </c>
      <c r="M3028">
        <f>IFERROR(IF(VLOOKUP(calendar[[#This Row],[Date]],BH!C:C,1,)&lt;&gt;"",1,0),0)</f>
        <v>0</v>
      </c>
      <c r="N3028">
        <f>IFERROR(IF(VLOOKUP(calendar[[#This Row],[Date]],BH!E:E,1,)&lt;&gt;"",1,0),0)</f>
        <v>0</v>
      </c>
      <c r="O3028">
        <f>IFERROR(IF(VLOOKUP(calendar[[#This Row],[Date]],BH!G:G,1,)&lt;&gt;"",1,0),0)</f>
        <v>0</v>
      </c>
      <c r="P3028">
        <f>IF(OR(calendar[[#This Row],[UK_BH]]=1,calendar[[#This Row],[WeekDay]]=1, calendar[[#This Row],[WeekDay]]=7),P3027,P3027+1)</f>
        <v>2161</v>
      </c>
      <c r="Q3028">
        <f>IF(OR(calendar[[#This Row],[FR_BH]]=1,calendar[[#This Row],[WeekDay]]=1, calendar[[#This Row],[WeekDay]]=7),P3027,P3027+1)</f>
        <v>2161</v>
      </c>
      <c r="R3028">
        <f>IF(OR(calendar[[#This Row],[SP_BH]]=1,calendar[[#This Row],[WeekDay]]=1, calendar[[#This Row],[WeekDay]]=7),P3027,P3027+1)</f>
        <v>2161</v>
      </c>
      <c r="S3028">
        <f>IF(OR(calendar[[#This Row],[PT_BH]]=1,calendar[[#This Row],[WeekDay]]=1, calendar[[#This Row],[WeekDay]]=7),P3027,P3027+1)</f>
        <v>2161</v>
      </c>
    </row>
    <row r="3029" spans="1:19" x14ac:dyDescent="0.25">
      <c r="A3029" s="2">
        <v>45763</v>
      </c>
      <c r="B3029" s="1">
        <f t="shared" si="238"/>
        <v>16</v>
      </c>
      <c r="C3029">
        <f t="shared" si="240"/>
        <v>4</v>
      </c>
      <c r="D3029" t="str">
        <f t="shared" si="241"/>
        <v>April</v>
      </c>
      <c r="E3029">
        <f t="shared" si="242"/>
        <v>2025</v>
      </c>
      <c r="F3029" t="str">
        <f>CONCATENATE(calendar[[#This Row],[Month]],"/",calendar[[#This Row],[Year]])</f>
        <v>4/2025</v>
      </c>
      <c r="G3029">
        <f>WEEKDAY(calendar[[#This Row],[Date]],1)</f>
        <v>4</v>
      </c>
      <c r="H3029" t="str">
        <f>TEXT(calendar[[#This Row],[WeekDay]],"dddd")</f>
        <v>Wednesday</v>
      </c>
      <c r="I3029">
        <f>IF((INT(calendar[[#This Row],[Count]]/7)-calendar[[#This Row],[Count]]/7)&lt;0,I3028,I3028+1)</f>
        <v>433</v>
      </c>
      <c r="J3029">
        <f t="shared" si="239"/>
        <v>3027</v>
      </c>
      <c r="K3029">
        <f>IF(calendar[[#This Row],[Month]]&lt;4,1,IF(calendar[[#This Row],[Month]]&lt;7,2,IF(calendar[[#This Row],[Month]]&lt;10,3,4)))</f>
        <v>2</v>
      </c>
      <c r="L3029">
        <f>IFERROR(IF(VLOOKUP(calendar[[#This Row],[Date]],BH!A:A,1,)&lt;&gt;"",1,0),0)</f>
        <v>0</v>
      </c>
      <c r="M3029">
        <f>IFERROR(IF(VLOOKUP(calendar[[#This Row],[Date]],BH!C:C,1,)&lt;&gt;"",1,0),0)</f>
        <v>0</v>
      </c>
      <c r="N3029">
        <f>IFERROR(IF(VLOOKUP(calendar[[#This Row],[Date]],BH!E:E,1,)&lt;&gt;"",1,0),0)</f>
        <v>0</v>
      </c>
      <c r="O3029">
        <f>IFERROR(IF(VLOOKUP(calendar[[#This Row],[Date]],BH!G:G,1,)&lt;&gt;"",1,0),0)</f>
        <v>0</v>
      </c>
      <c r="P3029">
        <f>IF(OR(calendar[[#This Row],[UK_BH]]=1,calendar[[#This Row],[WeekDay]]=1, calendar[[#This Row],[WeekDay]]=7),P3028,P3028+1)</f>
        <v>2162</v>
      </c>
      <c r="Q3029">
        <f>IF(OR(calendar[[#This Row],[FR_BH]]=1,calendar[[#This Row],[WeekDay]]=1, calendar[[#This Row],[WeekDay]]=7),P3028,P3028+1)</f>
        <v>2162</v>
      </c>
      <c r="R3029">
        <f>IF(OR(calendar[[#This Row],[SP_BH]]=1,calendar[[#This Row],[WeekDay]]=1, calendar[[#This Row],[WeekDay]]=7),P3028,P3028+1)</f>
        <v>2162</v>
      </c>
      <c r="S3029">
        <f>IF(OR(calendar[[#This Row],[PT_BH]]=1,calendar[[#This Row],[WeekDay]]=1, calendar[[#This Row],[WeekDay]]=7),P3028,P3028+1)</f>
        <v>2162</v>
      </c>
    </row>
    <row r="3030" spans="1:19" x14ac:dyDescent="0.25">
      <c r="A3030" s="2">
        <v>45764</v>
      </c>
      <c r="B3030" s="1">
        <f t="shared" si="238"/>
        <v>16</v>
      </c>
      <c r="C3030">
        <f t="shared" si="240"/>
        <v>4</v>
      </c>
      <c r="D3030" t="str">
        <f t="shared" si="241"/>
        <v>April</v>
      </c>
      <c r="E3030">
        <f t="shared" si="242"/>
        <v>2025</v>
      </c>
      <c r="F3030" t="str">
        <f>CONCATENATE(calendar[[#This Row],[Month]],"/",calendar[[#This Row],[Year]])</f>
        <v>4/2025</v>
      </c>
      <c r="G3030">
        <f>WEEKDAY(calendar[[#This Row],[Date]],1)</f>
        <v>5</v>
      </c>
      <c r="H3030" t="str">
        <f>TEXT(calendar[[#This Row],[WeekDay]],"dddd")</f>
        <v>Thursday</v>
      </c>
      <c r="I3030">
        <f>IF((INT(calendar[[#This Row],[Count]]/7)-calendar[[#This Row],[Count]]/7)&lt;0,I3029,I3029+1)</f>
        <v>433</v>
      </c>
      <c r="J3030">
        <f t="shared" si="239"/>
        <v>3028</v>
      </c>
      <c r="K3030">
        <f>IF(calendar[[#This Row],[Month]]&lt;4,1,IF(calendar[[#This Row],[Month]]&lt;7,2,IF(calendar[[#This Row],[Month]]&lt;10,3,4)))</f>
        <v>2</v>
      </c>
      <c r="L3030">
        <f>IFERROR(IF(VLOOKUP(calendar[[#This Row],[Date]],BH!A:A,1,)&lt;&gt;"",1,0),0)</f>
        <v>0</v>
      </c>
      <c r="M3030">
        <f>IFERROR(IF(VLOOKUP(calendar[[#This Row],[Date]],BH!C:C,1,)&lt;&gt;"",1,0),0)</f>
        <v>0</v>
      </c>
      <c r="N3030">
        <f>IFERROR(IF(VLOOKUP(calendar[[#This Row],[Date]],BH!E:E,1,)&lt;&gt;"",1,0),0)</f>
        <v>1</v>
      </c>
      <c r="O3030">
        <f>IFERROR(IF(VLOOKUP(calendar[[#This Row],[Date]],BH!G:G,1,)&lt;&gt;"",1,0),0)</f>
        <v>0</v>
      </c>
      <c r="P3030">
        <f>IF(OR(calendar[[#This Row],[UK_BH]]=1,calendar[[#This Row],[WeekDay]]=1, calendar[[#This Row],[WeekDay]]=7),P3029,P3029+1)</f>
        <v>2163</v>
      </c>
      <c r="Q3030">
        <f>IF(OR(calendar[[#This Row],[FR_BH]]=1,calendar[[#This Row],[WeekDay]]=1, calendar[[#This Row],[WeekDay]]=7),P3029,P3029+1)</f>
        <v>2163</v>
      </c>
      <c r="R3030">
        <f>IF(OR(calendar[[#This Row],[SP_BH]]=1,calendar[[#This Row],[WeekDay]]=1, calendar[[#This Row],[WeekDay]]=7),P3029,P3029+1)</f>
        <v>2162</v>
      </c>
      <c r="S3030">
        <f>IF(OR(calendar[[#This Row],[PT_BH]]=1,calendar[[#This Row],[WeekDay]]=1, calendar[[#This Row],[WeekDay]]=7),P3029,P3029+1)</f>
        <v>2163</v>
      </c>
    </row>
    <row r="3031" spans="1:19" x14ac:dyDescent="0.25">
      <c r="A3031" s="2">
        <v>45765</v>
      </c>
      <c r="B3031" s="1">
        <f t="shared" si="238"/>
        <v>16</v>
      </c>
      <c r="C3031">
        <f t="shared" si="240"/>
        <v>4</v>
      </c>
      <c r="D3031" t="str">
        <f t="shared" si="241"/>
        <v>April</v>
      </c>
      <c r="E3031">
        <f t="shared" si="242"/>
        <v>2025</v>
      </c>
      <c r="F3031" t="str">
        <f>CONCATENATE(calendar[[#This Row],[Month]],"/",calendar[[#This Row],[Year]])</f>
        <v>4/2025</v>
      </c>
      <c r="G3031">
        <f>WEEKDAY(calendar[[#This Row],[Date]],1)</f>
        <v>6</v>
      </c>
      <c r="H3031" t="str">
        <f>TEXT(calendar[[#This Row],[WeekDay]],"dddd")</f>
        <v>Friday</v>
      </c>
      <c r="I3031">
        <f>IF((INT(calendar[[#This Row],[Count]]/7)-calendar[[#This Row],[Count]]/7)&lt;0,I3030,I3030+1)</f>
        <v>433</v>
      </c>
      <c r="J3031">
        <f t="shared" si="239"/>
        <v>3029</v>
      </c>
      <c r="K3031">
        <f>IF(calendar[[#This Row],[Month]]&lt;4,1,IF(calendar[[#This Row],[Month]]&lt;7,2,IF(calendar[[#This Row],[Month]]&lt;10,3,4)))</f>
        <v>2</v>
      </c>
      <c r="L3031">
        <f>IFERROR(IF(VLOOKUP(calendar[[#This Row],[Date]],BH!A:A,1,)&lt;&gt;"",1,0),0)</f>
        <v>1</v>
      </c>
      <c r="M3031">
        <f>IFERROR(IF(VLOOKUP(calendar[[#This Row],[Date]],BH!C:C,1,)&lt;&gt;"",1,0),0)</f>
        <v>1</v>
      </c>
      <c r="N3031">
        <f>IFERROR(IF(VLOOKUP(calendar[[#This Row],[Date]],BH!E:E,1,)&lt;&gt;"",1,0),0)</f>
        <v>1</v>
      </c>
      <c r="O3031">
        <f>IFERROR(IF(VLOOKUP(calendar[[#This Row],[Date]],BH!G:G,1,)&lt;&gt;"",1,0),0)</f>
        <v>1</v>
      </c>
      <c r="P3031">
        <f>IF(OR(calendar[[#This Row],[UK_BH]]=1,calendar[[#This Row],[WeekDay]]=1, calendar[[#This Row],[WeekDay]]=7),P3030,P3030+1)</f>
        <v>2163</v>
      </c>
      <c r="Q3031">
        <f>IF(OR(calendar[[#This Row],[FR_BH]]=1,calendar[[#This Row],[WeekDay]]=1, calendar[[#This Row],[WeekDay]]=7),P3030,P3030+1)</f>
        <v>2163</v>
      </c>
      <c r="R3031">
        <f>IF(OR(calendar[[#This Row],[SP_BH]]=1,calendar[[#This Row],[WeekDay]]=1, calendar[[#This Row],[WeekDay]]=7),P3030,P3030+1)</f>
        <v>2163</v>
      </c>
      <c r="S3031">
        <f>IF(OR(calendar[[#This Row],[PT_BH]]=1,calendar[[#This Row],[WeekDay]]=1, calendar[[#This Row],[WeekDay]]=7),P3030,P3030+1)</f>
        <v>2163</v>
      </c>
    </row>
    <row r="3032" spans="1:19" x14ac:dyDescent="0.25">
      <c r="A3032" s="2">
        <v>45766</v>
      </c>
      <c r="B3032" s="1">
        <f t="shared" si="238"/>
        <v>16</v>
      </c>
      <c r="C3032">
        <f t="shared" si="240"/>
        <v>4</v>
      </c>
      <c r="D3032" t="str">
        <f t="shared" si="241"/>
        <v>April</v>
      </c>
      <c r="E3032">
        <f t="shared" si="242"/>
        <v>2025</v>
      </c>
      <c r="F3032" t="str">
        <f>CONCATENATE(calendar[[#This Row],[Month]],"/",calendar[[#This Row],[Year]])</f>
        <v>4/2025</v>
      </c>
      <c r="G3032">
        <f>WEEKDAY(calendar[[#This Row],[Date]],1)</f>
        <v>7</v>
      </c>
      <c r="H3032" t="str">
        <f>TEXT(calendar[[#This Row],[WeekDay]],"dddd")</f>
        <v>Saturday</v>
      </c>
      <c r="I3032">
        <f>IF((INT(calendar[[#This Row],[Count]]/7)-calendar[[#This Row],[Count]]/7)&lt;0,I3031,I3031+1)</f>
        <v>433</v>
      </c>
      <c r="J3032">
        <f t="shared" si="239"/>
        <v>3030</v>
      </c>
      <c r="K3032">
        <f>IF(calendar[[#This Row],[Month]]&lt;4,1,IF(calendar[[#This Row],[Month]]&lt;7,2,IF(calendar[[#This Row],[Month]]&lt;10,3,4)))</f>
        <v>2</v>
      </c>
      <c r="L3032">
        <f>IFERROR(IF(VLOOKUP(calendar[[#This Row],[Date]],BH!A:A,1,)&lt;&gt;"",1,0),0)</f>
        <v>0</v>
      </c>
      <c r="M3032">
        <f>IFERROR(IF(VLOOKUP(calendar[[#This Row],[Date]],BH!C:C,1,)&lt;&gt;"",1,0),0)</f>
        <v>0</v>
      </c>
      <c r="N3032">
        <f>IFERROR(IF(VLOOKUP(calendar[[#This Row],[Date]],BH!E:E,1,)&lt;&gt;"",1,0),0)</f>
        <v>0</v>
      </c>
      <c r="O3032">
        <f>IFERROR(IF(VLOOKUP(calendar[[#This Row],[Date]],BH!G:G,1,)&lt;&gt;"",1,0),0)</f>
        <v>0</v>
      </c>
      <c r="P3032">
        <f>IF(OR(calendar[[#This Row],[UK_BH]]=1,calendar[[#This Row],[WeekDay]]=1, calendar[[#This Row],[WeekDay]]=7),P3031,P3031+1)</f>
        <v>2163</v>
      </c>
      <c r="Q3032">
        <f>IF(OR(calendar[[#This Row],[FR_BH]]=1,calendar[[#This Row],[WeekDay]]=1, calendar[[#This Row],[WeekDay]]=7),P3031,P3031+1)</f>
        <v>2163</v>
      </c>
      <c r="R3032">
        <f>IF(OR(calendar[[#This Row],[SP_BH]]=1,calendar[[#This Row],[WeekDay]]=1, calendar[[#This Row],[WeekDay]]=7),P3031,P3031+1)</f>
        <v>2163</v>
      </c>
      <c r="S3032">
        <f>IF(OR(calendar[[#This Row],[PT_BH]]=1,calendar[[#This Row],[WeekDay]]=1, calendar[[#This Row],[WeekDay]]=7),P3031,P3031+1)</f>
        <v>2163</v>
      </c>
    </row>
    <row r="3033" spans="1:19" x14ac:dyDescent="0.25">
      <c r="A3033" s="2">
        <v>45767</v>
      </c>
      <c r="B3033" s="1">
        <f t="shared" si="238"/>
        <v>17</v>
      </c>
      <c r="C3033">
        <f t="shared" si="240"/>
        <v>4</v>
      </c>
      <c r="D3033" t="str">
        <f t="shared" si="241"/>
        <v>April</v>
      </c>
      <c r="E3033">
        <f t="shared" si="242"/>
        <v>2025</v>
      </c>
      <c r="F3033" t="str">
        <f>CONCATENATE(calendar[[#This Row],[Month]],"/",calendar[[#This Row],[Year]])</f>
        <v>4/2025</v>
      </c>
      <c r="G3033">
        <f>WEEKDAY(calendar[[#This Row],[Date]],1)</f>
        <v>1</v>
      </c>
      <c r="H3033" t="str">
        <f>TEXT(calendar[[#This Row],[WeekDay]],"dddd")</f>
        <v>Sunday</v>
      </c>
      <c r="I3033">
        <f>IF((INT(calendar[[#This Row],[Count]]/7)-calendar[[#This Row],[Count]]/7)&lt;0,I3032,I3032+1)</f>
        <v>434</v>
      </c>
      <c r="J3033">
        <f t="shared" si="239"/>
        <v>3031</v>
      </c>
      <c r="K3033">
        <f>IF(calendar[[#This Row],[Month]]&lt;4,1,IF(calendar[[#This Row],[Month]]&lt;7,2,IF(calendar[[#This Row],[Month]]&lt;10,3,4)))</f>
        <v>2</v>
      </c>
      <c r="L3033">
        <f>IFERROR(IF(VLOOKUP(calendar[[#This Row],[Date]],BH!A:A,1,)&lt;&gt;"",1,0),0)</f>
        <v>0</v>
      </c>
      <c r="M3033">
        <f>IFERROR(IF(VLOOKUP(calendar[[#This Row],[Date]],BH!C:C,1,)&lt;&gt;"",1,0),0)</f>
        <v>0</v>
      </c>
      <c r="N3033">
        <f>IFERROR(IF(VLOOKUP(calendar[[#This Row],[Date]],BH!E:E,1,)&lt;&gt;"",1,0),0)</f>
        <v>1</v>
      </c>
      <c r="O3033">
        <f>IFERROR(IF(VLOOKUP(calendar[[#This Row],[Date]],BH!G:G,1,)&lt;&gt;"",1,0),0)</f>
        <v>1</v>
      </c>
      <c r="P3033">
        <f>IF(OR(calendar[[#This Row],[UK_BH]]=1,calendar[[#This Row],[WeekDay]]=1, calendar[[#This Row],[WeekDay]]=7),P3032,P3032+1)</f>
        <v>2163</v>
      </c>
      <c r="Q3033">
        <f>IF(OR(calendar[[#This Row],[FR_BH]]=1,calendar[[#This Row],[WeekDay]]=1, calendar[[#This Row],[WeekDay]]=7),P3032,P3032+1)</f>
        <v>2163</v>
      </c>
      <c r="R3033">
        <f>IF(OR(calendar[[#This Row],[SP_BH]]=1,calendar[[#This Row],[WeekDay]]=1, calendar[[#This Row],[WeekDay]]=7),P3032,P3032+1)</f>
        <v>2163</v>
      </c>
      <c r="S3033">
        <f>IF(OR(calendar[[#This Row],[PT_BH]]=1,calendar[[#This Row],[WeekDay]]=1, calendar[[#This Row],[WeekDay]]=7),P3032,P3032+1)</f>
        <v>2163</v>
      </c>
    </row>
    <row r="3034" spans="1:19" x14ac:dyDescent="0.25">
      <c r="A3034" s="2">
        <v>45768</v>
      </c>
      <c r="B3034" s="1">
        <f t="shared" si="238"/>
        <v>17</v>
      </c>
      <c r="C3034">
        <f t="shared" si="240"/>
        <v>4</v>
      </c>
      <c r="D3034" t="str">
        <f t="shared" si="241"/>
        <v>April</v>
      </c>
      <c r="E3034">
        <f t="shared" si="242"/>
        <v>2025</v>
      </c>
      <c r="F3034" t="str">
        <f>CONCATENATE(calendar[[#This Row],[Month]],"/",calendar[[#This Row],[Year]])</f>
        <v>4/2025</v>
      </c>
      <c r="G3034">
        <f>WEEKDAY(calendar[[#This Row],[Date]],1)</f>
        <v>2</v>
      </c>
      <c r="H3034" t="str">
        <f>TEXT(calendar[[#This Row],[WeekDay]],"dddd")</f>
        <v>Monday</v>
      </c>
      <c r="I3034">
        <f>IF((INT(calendar[[#This Row],[Count]]/7)-calendar[[#This Row],[Count]]/7)&lt;0,I3033,I3033+1)</f>
        <v>434</v>
      </c>
      <c r="J3034">
        <f t="shared" si="239"/>
        <v>3032</v>
      </c>
      <c r="K3034">
        <f>IF(calendar[[#This Row],[Month]]&lt;4,1,IF(calendar[[#This Row],[Month]]&lt;7,2,IF(calendar[[#This Row],[Month]]&lt;10,3,4)))</f>
        <v>2</v>
      </c>
      <c r="L3034">
        <f>IFERROR(IF(VLOOKUP(calendar[[#This Row],[Date]],BH!A:A,1,)&lt;&gt;"",1,0),0)</f>
        <v>1</v>
      </c>
      <c r="M3034">
        <f>IFERROR(IF(VLOOKUP(calendar[[#This Row],[Date]],BH!C:C,1,)&lt;&gt;"",1,0),0)</f>
        <v>1</v>
      </c>
      <c r="N3034">
        <f>IFERROR(IF(VLOOKUP(calendar[[#This Row],[Date]],BH!E:E,1,)&lt;&gt;"",1,0),0)</f>
        <v>0</v>
      </c>
      <c r="O3034">
        <f>IFERROR(IF(VLOOKUP(calendar[[#This Row],[Date]],BH!G:G,1,)&lt;&gt;"",1,0),0)</f>
        <v>0</v>
      </c>
      <c r="P3034">
        <f>IF(OR(calendar[[#This Row],[UK_BH]]=1,calendar[[#This Row],[WeekDay]]=1, calendar[[#This Row],[WeekDay]]=7),P3033,P3033+1)</f>
        <v>2163</v>
      </c>
      <c r="Q3034">
        <f>IF(OR(calendar[[#This Row],[FR_BH]]=1,calendar[[#This Row],[WeekDay]]=1, calendar[[#This Row],[WeekDay]]=7),P3033,P3033+1)</f>
        <v>2163</v>
      </c>
      <c r="R3034">
        <f>IF(OR(calendar[[#This Row],[SP_BH]]=1,calendar[[#This Row],[WeekDay]]=1, calendar[[#This Row],[WeekDay]]=7),P3033,P3033+1)</f>
        <v>2164</v>
      </c>
      <c r="S3034">
        <f>IF(OR(calendar[[#This Row],[PT_BH]]=1,calendar[[#This Row],[WeekDay]]=1, calendar[[#This Row],[WeekDay]]=7),P3033,P3033+1)</f>
        <v>2164</v>
      </c>
    </row>
    <row r="3035" spans="1:19" x14ac:dyDescent="0.25">
      <c r="A3035" s="2">
        <v>45769</v>
      </c>
      <c r="B3035" s="1">
        <f t="shared" si="238"/>
        <v>17</v>
      </c>
      <c r="C3035">
        <f t="shared" si="240"/>
        <v>4</v>
      </c>
      <c r="D3035" t="str">
        <f t="shared" si="241"/>
        <v>April</v>
      </c>
      <c r="E3035">
        <f t="shared" si="242"/>
        <v>2025</v>
      </c>
      <c r="F3035" t="str">
        <f>CONCATENATE(calendar[[#This Row],[Month]],"/",calendar[[#This Row],[Year]])</f>
        <v>4/2025</v>
      </c>
      <c r="G3035">
        <f>WEEKDAY(calendar[[#This Row],[Date]],1)</f>
        <v>3</v>
      </c>
      <c r="H3035" t="str">
        <f>TEXT(calendar[[#This Row],[WeekDay]],"dddd")</f>
        <v>Tuesday</v>
      </c>
      <c r="I3035">
        <f>IF((INT(calendar[[#This Row],[Count]]/7)-calendar[[#This Row],[Count]]/7)&lt;0,I3034,I3034+1)</f>
        <v>434</v>
      </c>
      <c r="J3035">
        <f t="shared" si="239"/>
        <v>3033</v>
      </c>
      <c r="K3035">
        <f>IF(calendar[[#This Row],[Month]]&lt;4,1,IF(calendar[[#This Row],[Month]]&lt;7,2,IF(calendar[[#This Row],[Month]]&lt;10,3,4)))</f>
        <v>2</v>
      </c>
      <c r="L3035">
        <f>IFERROR(IF(VLOOKUP(calendar[[#This Row],[Date]],BH!A:A,1,)&lt;&gt;"",1,0),0)</f>
        <v>0</v>
      </c>
      <c r="M3035">
        <f>IFERROR(IF(VLOOKUP(calendar[[#This Row],[Date]],BH!C:C,1,)&lt;&gt;"",1,0),0)</f>
        <v>0</v>
      </c>
      <c r="N3035">
        <f>IFERROR(IF(VLOOKUP(calendar[[#This Row],[Date]],BH!E:E,1,)&lt;&gt;"",1,0),0)</f>
        <v>0</v>
      </c>
      <c r="O3035">
        <f>IFERROR(IF(VLOOKUP(calendar[[#This Row],[Date]],BH!G:G,1,)&lt;&gt;"",1,0),0)</f>
        <v>0</v>
      </c>
      <c r="P3035">
        <f>IF(OR(calendar[[#This Row],[UK_BH]]=1,calendar[[#This Row],[WeekDay]]=1, calendar[[#This Row],[WeekDay]]=7),P3034,P3034+1)</f>
        <v>2164</v>
      </c>
      <c r="Q3035">
        <f>IF(OR(calendar[[#This Row],[FR_BH]]=1,calendar[[#This Row],[WeekDay]]=1, calendar[[#This Row],[WeekDay]]=7),P3034,P3034+1)</f>
        <v>2164</v>
      </c>
      <c r="R3035">
        <f>IF(OR(calendar[[#This Row],[SP_BH]]=1,calendar[[#This Row],[WeekDay]]=1, calendar[[#This Row],[WeekDay]]=7),P3034,P3034+1)</f>
        <v>2164</v>
      </c>
      <c r="S3035">
        <f>IF(OR(calendar[[#This Row],[PT_BH]]=1,calendar[[#This Row],[WeekDay]]=1, calendar[[#This Row],[WeekDay]]=7),P3034,P3034+1)</f>
        <v>2164</v>
      </c>
    </row>
    <row r="3036" spans="1:19" x14ac:dyDescent="0.25">
      <c r="A3036" s="2">
        <v>45770</v>
      </c>
      <c r="B3036" s="1">
        <f t="shared" si="238"/>
        <v>17</v>
      </c>
      <c r="C3036">
        <f t="shared" si="240"/>
        <v>4</v>
      </c>
      <c r="D3036" t="str">
        <f t="shared" si="241"/>
        <v>April</v>
      </c>
      <c r="E3036">
        <f t="shared" si="242"/>
        <v>2025</v>
      </c>
      <c r="F3036" t="str">
        <f>CONCATENATE(calendar[[#This Row],[Month]],"/",calendar[[#This Row],[Year]])</f>
        <v>4/2025</v>
      </c>
      <c r="G3036">
        <f>WEEKDAY(calendar[[#This Row],[Date]],1)</f>
        <v>4</v>
      </c>
      <c r="H3036" t="str">
        <f>TEXT(calendar[[#This Row],[WeekDay]],"dddd")</f>
        <v>Wednesday</v>
      </c>
      <c r="I3036">
        <f>IF((INT(calendar[[#This Row],[Count]]/7)-calendar[[#This Row],[Count]]/7)&lt;0,I3035,I3035+1)</f>
        <v>434</v>
      </c>
      <c r="J3036">
        <f t="shared" si="239"/>
        <v>3034</v>
      </c>
      <c r="K3036">
        <f>IF(calendar[[#This Row],[Month]]&lt;4,1,IF(calendar[[#This Row],[Month]]&lt;7,2,IF(calendar[[#This Row],[Month]]&lt;10,3,4)))</f>
        <v>2</v>
      </c>
      <c r="L3036">
        <f>IFERROR(IF(VLOOKUP(calendar[[#This Row],[Date]],BH!A:A,1,)&lt;&gt;"",1,0),0)</f>
        <v>0</v>
      </c>
      <c r="M3036">
        <f>IFERROR(IF(VLOOKUP(calendar[[#This Row],[Date]],BH!C:C,1,)&lt;&gt;"",1,0),0)</f>
        <v>0</v>
      </c>
      <c r="N3036">
        <f>IFERROR(IF(VLOOKUP(calendar[[#This Row],[Date]],BH!E:E,1,)&lt;&gt;"",1,0),0)</f>
        <v>0</v>
      </c>
      <c r="O3036">
        <f>IFERROR(IF(VLOOKUP(calendar[[#This Row],[Date]],BH!G:G,1,)&lt;&gt;"",1,0),0)</f>
        <v>0</v>
      </c>
      <c r="P3036">
        <f>IF(OR(calendar[[#This Row],[UK_BH]]=1,calendar[[#This Row],[WeekDay]]=1, calendar[[#This Row],[WeekDay]]=7),P3035,P3035+1)</f>
        <v>2165</v>
      </c>
      <c r="Q3036">
        <f>IF(OR(calendar[[#This Row],[FR_BH]]=1,calendar[[#This Row],[WeekDay]]=1, calendar[[#This Row],[WeekDay]]=7),P3035,P3035+1)</f>
        <v>2165</v>
      </c>
      <c r="R3036">
        <f>IF(OR(calendar[[#This Row],[SP_BH]]=1,calendar[[#This Row],[WeekDay]]=1, calendar[[#This Row],[WeekDay]]=7),P3035,P3035+1)</f>
        <v>2165</v>
      </c>
      <c r="S3036">
        <f>IF(OR(calendar[[#This Row],[PT_BH]]=1,calendar[[#This Row],[WeekDay]]=1, calendar[[#This Row],[WeekDay]]=7),P3035,P3035+1)</f>
        <v>2165</v>
      </c>
    </row>
    <row r="3037" spans="1:19" x14ac:dyDescent="0.25">
      <c r="A3037" s="2">
        <v>45771</v>
      </c>
      <c r="B3037" s="1">
        <f t="shared" si="238"/>
        <v>17</v>
      </c>
      <c r="C3037">
        <f t="shared" si="240"/>
        <v>4</v>
      </c>
      <c r="D3037" t="str">
        <f t="shared" si="241"/>
        <v>April</v>
      </c>
      <c r="E3037">
        <f t="shared" si="242"/>
        <v>2025</v>
      </c>
      <c r="F3037" t="str">
        <f>CONCATENATE(calendar[[#This Row],[Month]],"/",calendar[[#This Row],[Year]])</f>
        <v>4/2025</v>
      </c>
      <c r="G3037">
        <f>WEEKDAY(calendar[[#This Row],[Date]],1)</f>
        <v>5</v>
      </c>
      <c r="H3037" t="str">
        <f>TEXT(calendar[[#This Row],[WeekDay]],"dddd")</f>
        <v>Thursday</v>
      </c>
      <c r="I3037">
        <f>IF((INT(calendar[[#This Row],[Count]]/7)-calendar[[#This Row],[Count]]/7)&lt;0,I3036,I3036+1)</f>
        <v>434</v>
      </c>
      <c r="J3037">
        <f t="shared" si="239"/>
        <v>3035</v>
      </c>
      <c r="K3037">
        <f>IF(calendar[[#This Row],[Month]]&lt;4,1,IF(calendar[[#This Row],[Month]]&lt;7,2,IF(calendar[[#This Row],[Month]]&lt;10,3,4)))</f>
        <v>2</v>
      </c>
      <c r="L3037">
        <f>IFERROR(IF(VLOOKUP(calendar[[#This Row],[Date]],BH!A:A,1,)&lt;&gt;"",1,0),0)</f>
        <v>0</v>
      </c>
      <c r="M3037">
        <f>IFERROR(IF(VLOOKUP(calendar[[#This Row],[Date]],BH!C:C,1,)&lt;&gt;"",1,0),0)</f>
        <v>0</v>
      </c>
      <c r="N3037">
        <f>IFERROR(IF(VLOOKUP(calendar[[#This Row],[Date]],BH!E:E,1,)&lt;&gt;"",1,0),0)</f>
        <v>0</v>
      </c>
      <c r="O3037">
        <f>IFERROR(IF(VLOOKUP(calendar[[#This Row],[Date]],BH!G:G,1,)&lt;&gt;"",1,0),0)</f>
        <v>0</v>
      </c>
      <c r="P3037">
        <f>IF(OR(calendar[[#This Row],[UK_BH]]=1,calendar[[#This Row],[WeekDay]]=1, calendar[[#This Row],[WeekDay]]=7),P3036,P3036+1)</f>
        <v>2166</v>
      </c>
      <c r="Q3037">
        <f>IF(OR(calendar[[#This Row],[FR_BH]]=1,calendar[[#This Row],[WeekDay]]=1, calendar[[#This Row],[WeekDay]]=7),P3036,P3036+1)</f>
        <v>2166</v>
      </c>
      <c r="R3037">
        <f>IF(OR(calendar[[#This Row],[SP_BH]]=1,calendar[[#This Row],[WeekDay]]=1, calendar[[#This Row],[WeekDay]]=7),P3036,P3036+1)</f>
        <v>2166</v>
      </c>
      <c r="S3037">
        <f>IF(OR(calendar[[#This Row],[PT_BH]]=1,calendar[[#This Row],[WeekDay]]=1, calendar[[#This Row],[WeekDay]]=7),P3036,P3036+1)</f>
        <v>2166</v>
      </c>
    </row>
    <row r="3038" spans="1:19" x14ac:dyDescent="0.25">
      <c r="A3038" s="2">
        <v>45772</v>
      </c>
      <c r="B3038" s="1">
        <f t="shared" si="238"/>
        <v>17</v>
      </c>
      <c r="C3038">
        <f t="shared" si="240"/>
        <v>4</v>
      </c>
      <c r="D3038" t="str">
        <f t="shared" si="241"/>
        <v>April</v>
      </c>
      <c r="E3038">
        <f t="shared" si="242"/>
        <v>2025</v>
      </c>
      <c r="F3038" t="str">
        <f>CONCATENATE(calendar[[#This Row],[Month]],"/",calendar[[#This Row],[Year]])</f>
        <v>4/2025</v>
      </c>
      <c r="G3038">
        <f>WEEKDAY(calendar[[#This Row],[Date]],1)</f>
        <v>6</v>
      </c>
      <c r="H3038" t="str">
        <f>TEXT(calendar[[#This Row],[WeekDay]],"dddd")</f>
        <v>Friday</v>
      </c>
      <c r="I3038">
        <f>IF((INT(calendar[[#This Row],[Count]]/7)-calendar[[#This Row],[Count]]/7)&lt;0,I3037,I3037+1)</f>
        <v>434</v>
      </c>
      <c r="J3038">
        <f t="shared" si="239"/>
        <v>3036</v>
      </c>
      <c r="K3038">
        <f>IF(calendar[[#This Row],[Month]]&lt;4,1,IF(calendar[[#This Row],[Month]]&lt;7,2,IF(calendar[[#This Row],[Month]]&lt;10,3,4)))</f>
        <v>2</v>
      </c>
      <c r="L3038">
        <f>IFERROR(IF(VLOOKUP(calendar[[#This Row],[Date]],BH!A:A,1,)&lt;&gt;"",1,0),0)</f>
        <v>0</v>
      </c>
      <c r="M3038">
        <f>IFERROR(IF(VLOOKUP(calendar[[#This Row],[Date]],BH!C:C,1,)&lt;&gt;"",1,0),0)</f>
        <v>0</v>
      </c>
      <c r="N3038">
        <f>IFERROR(IF(VLOOKUP(calendar[[#This Row],[Date]],BH!E:E,1,)&lt;&gt;"",1,0),0)</f>
        <v>0</v>
      </c>
      <c r="O3038">
        <f>IFERROR(IF(VLOOKUP(calendar[[#This Row],[Date]],BH!G:G,1,)&lt;&gt;"",1,0),0)</f>
        <v>1</v>
      </c>
      <c r="P3038">
        <f>IF(OR(calendar[[#This Row],[UK_BH]]=1,calendar[[#This Row],[WeekDay]]=1, calendar[[#This Row],[WeekDay]]=7),P3037,P3037+1)</f>
        <v>2167</v>
      </c>
      <c r="Q3038">
        <f>IF(OR(calendar[[#This Row],[FR_BH]]=1,calendar[[#This Row],[WeekDay]]=1, calendar[[#This Row],[WeekDay]]=7),P3037,P3037+1)</f>
        <v>2167</v>
      </c>
      <c r="R3038">
        <f>IF(OR(calendar[[#This Row],[SP_BH]]=1,calendar[[#This Row],[WeekDay]]=1, calendar[[#This Row],[WeekDay]]=7),P3037,P3037+1)</f>
        <v>2167</v>
      </c>
      <c r="S3038">
        <f>IF(OR(calendar[[#This Row],[PT_BH]]=1,calendar[[#This Row],[WeekDay]]=1, calendar[[#This Row],[WeekDay]]=7),P3037,P3037+1)</f>
        <v>2166</v>
      </c>
    </row>
    <row r="3039" spans="1:19" x14ac:dyDescent="0.25">
      <c r="A3039" s="2">
        <v>45773</v>
      </c>
      <c r="B3039" s="1">
        <f t="shared" si="238"/>
        <v>17</v>
      </c>
      <c r="C3039">
        <f t="shared" si="240"/>
        <v>4</v>
      </c>
      <c r="D3039" t="str">
        <f t="shared" si="241"/>
        <v>April</v>
      </c>
      <c r="E3039">
        <f t="shared" si="242"/>
        <v>2025</v>
      </c>
      <c r="F3039" t="str">
        <f>CONCATENATE(calendar[[#This Row],[Month]],"/",calendar[[#This Row],[Year]])</f>
        <v>4/2025</v>
      </c>
      <c r="G3039">
        <f>WEEKDAY(calendar[[#This Row],[Date]],1)</f>
        <v>7</v>
      </c>
      <c r="H3039" t="str">
        <f>TEXT(calendar[[#This Row],[WeekDay]],"dddd")</f>
        <v>Saturday</v>
      </c>
      <c r="I3039">
        <f>IF((INT(calendar[[#This Row],[Count]]/7)-calendar[[#This Row],[Count]]/7)&lt;0,I3038,I3038+1)</f>
        <v>434</v>
      </c>
      <c r="J3039">
        <f t="shared" si="239"/>
        <v>3037</v>
      </c>
      <c r="K3039">
        <f>IF(calendar[[#This Row],[Month]]&lt;4,1,IF(calendar[[#This Row],[Month]]&lt;7,2,IF(calendar[[#This Row],[Month]]&lt;10,3,4)))</f>
        <v>2</v>
      </c>
      <c r="L3039">
        <f>IFERROR(IF(VLOOKUP(calendar[[#This Row],[Date]],BH!A:A,1,)&lt;&gt;"",1,0),0)</f>
        <v>0</v>
      </c>
      <c r="M3039">
        <f>IFERROR(IF(VLOOKUP(calendar[[#This Row],[Date]],BH!C:C,1,)&lt;&gt;"",1,0),0)</f>
        <v>0</v>
      </c>
      <c r="N3039">
        <f>IFERROR(IF(VLOOKUP(calendar[[#This Row],[Date]],BH!E:E,1,)&lt;&gt;"",1,0),0)</f>
        <v>0</v>
      </c>
      <c r="O3039">
        <f>IFERROR(IF(VLOOKUP(calendar[[#This Row],[Date]],BH!G:G,1,)&lt;&gt;"",1,0),0)</f>
        <v>0</v>
      </c>
      <c r="P3039">
        <f>IF(OR(calendar[[#This Row],[UK_BH]]=1,calendar[[#This Row],[WeekDay]]=1, calendar[[#This Row],[WeekDay]]=7),P3038,P3038+1)</f>
        <v>2167</v>
      </c>
      <c r="Q3039">
        <f>IF(OR(calendar[[#This Row],[FR_BH]]=1,calendar[[#This Row],[WeekDay]]=1, calendar[[#This Row],[WeekDay]]=7),P3038,P3038+1)</f>
        <v>2167</v>
      </c>
      <c r="R3039">
        <f>IF(OR(calendar[[#This Row],[SP_BH]]=1,calendar[[#This Row],[WeekDay]]=1, calendar[[#This Row],[WeekDay]]=7),P3038,P3038+1)</f>
        <v>2167</v>
      </c>
      <c r="S3039">
        <f>IF(OR(calendar[[#This Row],[PT_BH]]=1,calendar[[#This Row],[WeekDay]]=1, calendar[[#This Row],[WeekDay]]=7),P3038,P3038+1)</f>
        <v>2167</v>
      </c>
    </row>
    <row r="3040" spans="1:19" x14ac:dyDescent="0.25">
      <c r="A3040" s="2">
        <v>45774</v>
      </c>
      <c r="B3040" s="1">
        <f t="shared" si="238"/>
        <v>18</v>
      </c>
      <c r="C3040">
        <f t="shared" si="240"/>
        <v>4</v>
      </c>
      <c r="D3040" t="str">
        <f t="shared" si="241"/>
        <v>April</v>
      </c>
      <c r="E3040">
        <f t="shared" si="242"/>
        <v>2025</v>
      </c>
      <c r="F3040" t="str">
        <f>CONCATENATE(calendar[[#This Row],[Month]],"/",calendar[[#This Row],[Year]])</f>
        <v>4/2025</v>
      </c>
      <c r="G3040">
        <f>WEEKDAY(calendar[[#This Row],[Date]],1)</f>
        <v>1</v>
      </c>
      <c r="H3040" t="str">
        <f>TEXT(calendar[[#This Row],[WeekDay]],"dddd")</f>
        <v>Sunday</v>
      </c>
      <c r="I3040">
        <f>IF((INT(calendar[[#This Row],[Count]]/7)-calendar[[#This Row],[Count]]/7)&lt;0,I3039,I3039+1)</f>
        <v>435</v>
      </c>
      <c r="J3040">
        <f t="shared" si="239"/>
        <v>3038</v>
      </c>
      <c r="K3040">
        <f>IF(calendar[[#This Row],[Month]]&lt;4,1,IF(calendar[[#This Row],[Month]]&lt;7,2,IF(calendar[[#This Row],[Month]]&lt;10,3,4)))</f>
        <v>2</v>
      </c>
      <c r="L3040">
        <f>IFERROR(IF(VLOOKUP(calendar[[#This Row],[Date]],BH!A:A,1,)&lt;&gt;"",1,0),0)</f>
        <v>0</v>
      </c>
      <c r="M3040">
        <f>IFERROR(IF(VLOOKUP(calendar[[#This Row],[Date]],BH!C:C,1,)&lt;&gt;"",1,0),0)</f>
        <v>0</v>
      </c>
      <c r="N3040">
        <f>IFERROR(IF(VLOOKUP(calendar[[#This Row],[Date]],BH!E:E,1,)&lt;&gt;"",1,0),0)</f>
        <v>0</v>
      </c>
      <c r="O3040">
        <f>IFERROR(IF(VLOOKUP(calendar[[#This Row],[Date]],BH!G:G,1,)&lt;&gt;"",1,0),0)</f>
        <v>0</v>
      </c>
      <c r="P3040">
        <f>IF(OR(calendar[[#This Row],[UK_BH]]=1,calendar[[#This Row],[WeekDay]]=1, calendar[[#This Row],[WeekDay]]=7),P3039,P3039+1)</f>
        <v>2167</v>
      </c>
      <c r="Q3040">
        <f>IF(OR(calendar[[#This Row],[FR_BH]]=1,calendar[[#This Row],[WeekDay]]=1, calendar[[#This Row],[WeekDay]]=7),P3039,P3039+1)</f>
        <v>2167</v>
      </c>
      <c r="R3040">
        <f>IF(OR(calendar[[#This Row],[SP_BH]]=1,calendar[[#This Row],[WeekDay]]=1, calendar[[#This Row],[WeekDay]]=7),P3039,P3039+1)</f>
        <v>2167</v>
      </c>
      <c r="S3040">
        <f>IF(OR(calendar[[#This Row],[PT_BH]]=1,calendar[[#This Row],[WeekDay]]=1, calendar[[#This Row],[WeekDay]]=7),P3039,P3039+1)</f>
        <v>2167</v>
      </c>
    </row>
    <row r="3041" spans="1:19" x14ac:dyDescent="0.25">
      <c r="A3041" s="2">
        <v>45775</v>
      </c>
      <c r="B3041" s="1">
        <f t="shared" si="238"/>
        <v>18</v>
      </c>
      <c r="C3041">
        <f t="shared" si="240"/>
        <v>4</v>
      </c>
      <c r="D3041" t="str">
        <f t="shared" si="241"/>
        <v>April</v>
      </c>
      <c r="E3041">
        <f t="shared" si="242"/>
        <v>2025</v>
      </c>
      <c r="F3041" t="str">
        <f>CONCATENATE(calendar[[#This Row],[Month]],"/",calendar[[#This Row],[Year]])</f>
        <v>4/2025</v>
      </c>
      <c r="G3041">
        <f>WEEKDAY(calendar[[#This Row],[Date]],1)</f>
        <v>2</v>
      </c>
      <c r="H3041" t="str">
        <f>TEXT(calendar[[#This Row],[WeekDay]],"dddd")</f>
        <v>Monday</v>
      </c>
      <c r="I3041">
        <f>IF((INT(calendar[[#This Row],[Count]]/7)-calendar[[#This Row],[Count]]/7)&lt;0,I3040,I3040+1)</f>
        <v>435</v>
      </c>
      <c r="J3041">
        <f t="shared" si="239"/>
        <v>3039</v>
      </c>
      <c r="K3041">
        <f>IF(calendar[[#This Row],[Month]]&lt;4,1,IF(calendar[[#This Row],[Month]]&lt;7,2,IF(calendar[[#This Row],[Month]]&lt;10,3,4)))</f>
        <v>2</v>
      </c>
      <c r="L3041">
        <f>IFERROR(IF(VLOOKUP(calendar[[#This Row],[Date]],BH!A:A,1,)&lt;&gt;"",1,0),0)</f>
        <v>0</v>
      </c>
      <c r="M3041">
        <f>IFERROR(IF(VLOOKUP(calendar[[#This Row],[Date]],BH!C:C,1,)&lt;&gt;"",1,0),0)</f>
        <v>0</v>
      </c>
      <c r="N3041">
        <f>IFERROR(IF(VLOOKUP(calendar[[#This Row],[Date]],BH!E:E,1,)&lt;&gt;"",1,0),0)</f>
        <v>1</v>
      </c>
      <c r="O3041">
        <f>IFERROR(IF(VLOOKUP(calendar[[#This Row],[Date]],BH!G:G,1,)&lt;&gt;"",1,0),0)</f>
        <v>0</v>
      </c>
      <c r="P3041">
        <f>IF(OR(calendar[[#This Row],[UK_BH]]=1,calendar[[#This Row],[WeekDay]]=1, calendar[[#This Row],[WeekDay]]=7),P3040,P3040+1)</f>
        <v>2168</v>
      </c>
      <c r="Q3041">
        <f>IF(OR(calendar[[#This Row],[FR_BH]]=1,calendar[[#This Row],[WeekDay]]=1, calendar[[#This Row],[WeekDay]]=7),P3040,P3040+1)</f>
        <v>2168</v>
      </c>
      <c r="R3041">
        <f>IF(OR(calendar[[#This Row],[SP_BH]]=1,calendar[[#This Row],[WeekDay]]=1, calendar[[#This Row],[WeekDay]]=7),P3040,P3040+1)</f>
        <v>2167</v>
      </c>
      <c r="S3041">
        <f>IF(OR(calendar[[#This Row],[PT_BH]]=1,calendar[[#This Row],[WeekDay]]=1, calendar[[#This Row],[WeekDay]]=7),P3040,P3040+1)</f>
        <v>2168</v>
      </c>
    </row>
    <row r="3042" spans="1:19" x14ac:dyDescent="0.25">
      <c r="A3042" s="2">
        <v>45776</v>
      </c>
      <c r="B3042" s="1">
        <f t="shared" si="238"/>
        <v>18</v>
      </c>
      <c r="C3042">
        <f t="shared" si="240"/>
        <v>4</v>
      </c>
      <c r="D3042" t="str">
        <f t="shared" si="241"/>
        <v>April</v>
      </c>
      <c r="E3042">
        <f t="shared" si="242"/>
        <v>2025</v>
      </c>
      <c r="F3042" t="str">
        <f>CONCATENATE(calendar[[#This Row],[Month]],"/",calendar[[#This Row],[Year]])</f>
        <v>4/2025</v>
      </c>
      <c r="G3042">
        <f>WEEKDAY(calendar[[#This Row],[Date]],1)</f>
        <v>3</v>
      </c>
      <c r="H3042" t="str">
        <f>TEXT(calendar[[#This Row],[WeekDay]],"dddd")</f>
        <v>Tuesday</v>
      </c>
      <c r="I3042">
        <f>IF((INT(calendar[[#This Row],[Count]]/7)-calendar[[#This Row],[Count]]/7)&lt;0,I3041,I3041+1)</f>
        <v>435</v>
      </c>
      <c r="J3042">
        <f t="shared" si="239"/>
        <v>3040</v>
      </c>
      <c r="K3042">
        <f>IF(calendar[[#This Row],[Month]]&lt;4,1,IF(calendar[[#This Row],[Month]]&lt;7,2,IF(calendar[[#This Row],[Month]]&lt;10,3,4)))</f>
        <v>2</v>
      </c>
      <c r="L3042">
        <f>IFERROR(IF(VLOOKUP(calendar[[#This Row],[Date]],BH!A:A,1,)&lt;&gt;"",1,0),0)</f>
        <v>0</v>
      </c>
      <c r="M3042">
        <f>IFERROR(IF(VLOOKUP(calendar[[#This Row],[Date]],BH!C:C,1,)&lt;&gt;"",1,0),0)</f>
        <v>0</v>
      </c>
      <c r="N3042">
        <f>IFERROR(IF(VLOOKUP(calendar[[#This Row],[Date]],BH!E:E,1,)&lt;&gt;"",1,0),0)</f>
        <v>0</v>
      </c>
      <c r="O3042">
        <f>IFERROR(IF(VLOOKUP(calendar[[#This Row],[Date]],BH!G:G,1,)&lt;&gt;"",1,0),0)</f>
        <v>0</v>
      </c>
      <c r="P3042">
        <f>IF(OR(calendar[[#This Row],[UK_BH]]=1,calendar[[#This Row],[WeekDay]]=1, calendar[[#This Row],[WeekDay]]=7),P3041,P3041+1)</f>
        <v>2169</v>
      </c>
      <c r="Q3042">
        <f>IF(OR(calendar[[#This Row],[FR_BH]]=1,calendar[[#This Row],[WeekDay]]=1, calendar[[#This Row],[WeekDay]]=7),P3041,P3041+1)</f>
        <v>2169</v>
      </c>
      <c r="R3042">
        <f>IF(OR(calendar[[#This Row],[SP_BH]]=1,calendar[[#This Row],[WeekDay]]=1, calendar[[#This Row],[WeekDay]]=7),P3041,P3041+1)</f>
        <v>2169</v>
      </c>
      <c r="S3042">
        <f>IF(OR(calendar[[#This Row],[PT_BH]]=1,calendar[[#This Row],[WeekDay]]=1, calendar[[#This Row],[WeekDay]]=7),P3041,P3041+1)</f>
        <v>2169</v>
      </c>
    </row>
    <row r="3043" spans="1:19" x14ac:dyDescent="0.25">
      <c r="A3043" s="2">
        <v>45777</v>
      </c>
      <c r="B3043" s="1">
        <f t="shared" si="238"/>
        <v>18</v>
      </c>
      <c r="C3043">
        <f t="shared" si="240"/>
        <v>4</v>
      </c>
      <c r="D3043" t="str">
        <f t="shared" si="241"/>
        <v>April</v>
      </c>
      <c r="E3043">
        <f t="shared" si="242"/>
        <v>2025</v>
      </c>
      <c r="F3043" t="str">
        <f>CONCATENATE(calendar[[#This Row],[Month]],"/",calendar[[#This Row],[Year]])</f>
        <v>4/2025</v>
      </c>
      <c r="G3043">
        <f>WEEKDAY(calendar[[#This Row],[Date]],1)</f>
        <v>4</v>
      </c>
      <c r="H3043" t="str">
        <f>TEXT(calendar[[#This Row],[WeekDay]],"dddd")</f>
        <v>Wednesday</v>
      </c>
      <c r="I3043">
        <f>IF((INT(calendar[[#This Row],[Count]]/7)-calendar[[#This Row],[Count]]/7)&lt;0,I3042,I3042+1)</f>
        <v>435</v>
      </c>
      <c r="J3043">
        <f t="shared" si="239"/>
        <v>3041</v>
      </c>
      <c r="K3043">
        <f>IF(calendar[[#This Row],[Month]]&lt;4,1,IF(calendar[[#This Row],[Month]]&lt;7,2,IF(calendar[[#This Row],[Month]]&lt;10,3,4)))</f>
        <v>2</v>
      </c>
      <c r="L3043">
        <f>IFERROR(IF(VLOOKUP(calendar[[#This Row],[Date]],BH!A:A,1,)&lt;&gt;"",1,0),0)</f>
        <v>0</v>
      </c>
      <c r="M3043">
        <f>IFERROR(IF(VLOOKUP(calendar[[#This Row],[Date]],BH!C:C,1,)&lt;&gt;"",1,0),0)</f>
        <v>0</v>
      </c>
      <c r="N3043">
        <f>IFERROR(IF(VLOOKUP(calendar[[#This Row],[Date]],BH!E:E,1,)&lt;&gt;"",1,0),0)</f>
        <v>0</v>
      </c>
      <c r="O3043">
        <f>IFERROR(IF(VLOOKUP(calendar[[#This Row],[Date]],BH!G:G,1,)&lt;&gt;"",1,0),0)</f>
        <v>0</v>
      </c>
      <c r="P3043">
        <f>IF(OR(calendar[[#This Row],[UK_BH]]=1,calendar[[#This Row],[WeekDay]]=1, calendar[[#This Row],[WeekDay]]=7),P3042,P3042+1)</f>
        <v>2170</v>
      </c>
      <c r="Q3043">
        <f>IF(OR(calendar[[#This Row],[FR_BH]]=1,calendar[[#This Row],[WeekDay]]=1, calendar[[#This Row],[WeekDay]]=7),P3042,P3042+1)</f>
        <v>2170</v>
      </c>
      <c r="R3043">
        <f>IF(OR(calendar[[#This Row],[SP_BH]]=1,calendar[[#This Row],[WeekDay]]=1, calendar[[#This Row],[WeekDay]]=7),P3042,P3042+1)</f>
        <v>2170</v>
      </c>
      <c r="S3043">
        <f>IF(OR(calendar[[#This Row],[PT_BH]]=1,calendar[[#This Row],[WeekDay]]=1, calendar[[#This Row],[WeekDay]]=7),P3042,P3042+1)</f>
        <v>2170</v>
      </c>
    </row>
    <row r="3044" spans="1:19" x14ac:dyDescent="0.25">
      <c r="A3044" s="2">
        <v>45778</v>
      </c>
      <c r="B3044" s="1">
        <f t="shared" si="238"/>
        <v>18</v>
      </c>
      <c r="C3044">
        <f t="shared" si="240"/>
        <v>5</v>
      </c>
      <c r="D3044" t="str">
        <f t="shared" si="241"/>
        <v>May</v>
      </c>
      <c r="E3044">
        <f t="shared" si="242"/>
        <v>2025</v>
      </c>
      <c r="F3044" t="str">
        <f>CONCATENATE(calendar[[#This Row],[Month]],"/",calendar[[#This Row],[Year]])</f>
        <v>5/2025</v>
      </c>
      <c r="G3044">
        <f>WEEKDAY(calendar[[#This Row],[Date]],1)</f>
        <v>5</v>
      </c>
      <c r="H3044" t="str">
        <f>TEXT(calendar[[#This Row],[WeekDay]],"dddd")</f>
        <v>Thursday</v>
      </c>
      <c r="I3044">
        <f>IF((INT(calendar[[#This Row],[Count]]/7)-calendar[[#This Row],[Count]]/7)&lt;0,I3043,I3043+1)</f>
        <v>435</v>
      </c>
      <c r="J3044">
        <f t="shared" si="239"/>
        <v>3042</v>
      </c>
      <c r="K3044">
        <f>IF(calendar[[#This Row],[Month]]&lt;4,1,IF(calendar[[#This Row],[Month]]&lt;7,2,IF(calendar[[#This Row],[Month]]&lt;10,3,4)))</f>
        <v>2</v>
      </c>
      <c r="L3044">
        <f>IFERROR(IF(VLOOKUP(calendar[[#This Row],[Date]],BH!A:A,1,)&lt;&gt;"",1,0),0)</f>
        <v>0</v>
      </c>
      <c r="M3044">
        <f>IFERROR(IF(VLOOKUP(calendar[[#This Row],[Date]],BH!C:C,1,)&lt;&gt;"",1,0),0)</f>
        <v>1</v>
      </c>
      <c r="N3044">
        <f>IFERROR(IF(VLOOKUP(calendar[[#This Row],[Date]],BH!E:E,1,)&lt;&gt;"",1,0),0)</f>
        <v>1</v>
      </c>
      <c r="O3044">
        <f>IFERROR(IF(VLOOKUP(calendar[[#This Row],[Date]],BH!G:G,1,)&lt;&gt;"",1,0),0)</f>
        <v>1</v>
      </c>
      <c r="P3044">
        <f>IF(OR(calendar[[#This Row],[UK_BH]]=1,calendar[[#This Row],[WeekDay]]=1, calendar[[#This Row],[WeekDay]]=7),P3043,P3043+1)</f>
        <v>2171</v>
      </c>
      <c r="Q3044">
        <f>IF(OR(calendar[[#This Row],[FR_BH]]=1,calendar[[#This Row],[WeekDay]]=1, calendar[[#This Row],[WeekDay]]=7),P3043,P3043+1)</f>
        <v>2170</v>
      </c>
      <c r="R3044">
        <f>IF(OR(calendar[[#This Row],[SP_BH]]=1,calendar[[#This Row],[WeekDay]]=1, calendar[[#This Row],[WeekDay]]=7),P3043,P3043+1)</f>
        <v>2170</v>
      </c>
      <c r="S3044">
        <f>IF(OR(calendar[[#This Row],[PT_BH]]=1,calendar[[#This Row],[WeekDay]]=1, calendar[[#This Row],[WeekDay]]=7),P3043,P3043+1)</f>
        <v>2170</v>
      </c>
    </row>
    <row r="3045" spans="1:19" x14ac:dyDescent="0.25">
      <c r="A3045" s="2">
        <v>45779</v>
      </c>
      <c r="B3045" s="1">
        <f t="shared" si="238"/>
        <v>18</v>
      </c>
      <c r="C3045">
        <f t="shared" si="240"/>
        <v>5</v>
      </c>
      <c r="D3045" t="str">
        <f t="shared" si="241"/>
        <v>May</v>
      </c>
      <c r="E3045">
        <f t="shared" si="242"/>
        <v>2025</v>
      </c>
      <c r="F3045" t="str">
        <f>CONCATENATE(calendar[[#This Row],[Month]],"/",calendar[[#This Row],[Year]])</f>
        <v>5/2025</v>
      </c>
      <c r="G3045">
        <f>WEEKDAY(calendar[[#This Row],[Date]],1)</f>
        <v>6</v>
      </c>
      <c r="H3045" t="str">
        <f>TEXT(calendar[[#This Row],[WeekDay]],"dddd")</f>
        <v>Friday</v>
      </c>
      <c r="I3045">
        <f>IF((INT(calendar[[#This Row],[Count]]/7)-calendar[[#This Row],[Count]]/7)&lt;0,I3044,I3044+1)</f>
        <v>435</v>
      </c>
      <c r="J3045">
        <f t="shared" si="239"/>
        <v>3043</v>
      </c>
      <c r="K3045">
        <f>IF(calendar[[#This Row],[Month]]&lt;4,1,IF(calendar[[#This Row],[Month]]&lt;7,2,IF(calendar[[#This Row],[Month]]&lt;10,3,4)))</f>
        <v>2</v>
      </c>
      <c r="L3045">
        <f>IFERROR(IF(VLOOKUP(calendar[[#This Row],[Date]],BH!A:A,1,)&lt;&gt;"",1,0),0)</f>
        <v>0</v>
      </c>
      <c r="M3045">
        <f>IFERROR(IF(VLOOKUP(calendar[[#This Row],[Date]],BH!C:C,1,)&lt;&gt;"",1,0),0)</f>
        <v>0</v>
      </c>
      <c r="N3045">
        <f>IFERROR(IF(VLOOKUP(calendar[[#This Row],[Date]],BH!E:E,1,)&lt;&gt;"",1,0),0)</f>
        <v>1</v>
      </c>
      <c r="O3045">
        <f>IFERROR(IF(VLOOKUP(calendar[[#This Row],[Date]],BH!G:G,1,)&lt;&gt;"",1,0),0)</f>
        <v>0</v>
      </c>
      <c r="P3045">
        <f>IF(OR(calendar[[#This Row],[UK_BH]]=1,calendar[[#This Row],[WeekDay]]=1, calendar[[#This Row],[WeekDay]]=7),P3044,P3044+1)</f>
        <v>2172</v>
      </c>
      <c r="Q3045">
        <f>IF(OR(calendar[[#This Row],[FR_BH]]=1,calendar[[#This Row],[WeekDay]]=1, calendar[[#This Row],[WeekDay]]=7),P3044,P3044+1)</f>
        <v>2172</v>
      </c>
      <c r="R3045">
        <f>IF(OR(calendar[[#This Row],[SP_BH]]=1,calendar[[#This Row],[WeekDay]]=1, calendar[[#This Row],[WeekDay]]=7),P3044,P3044+1)</f>
        <v>2171</v>
      </c>
      <c r="S3045">
        <f>IF(OR(calendar[[#This Row],[PT_BH]]=1,calendar[[#This Row],[WeekDay]]=1, calendar[[#This Row],[WeekDay]]=7),P3044,P3044+1)</f>
        <v>2172</v>
      </c>
    </row>
    <row r="3046" spans="1:19" x14ac:dyDescent="0.25">
      <c r="A3046" s="2">
        <v>45780</v>
      </c>
      <c r="B3046" s="1">
        <f t="shared" si="238"/>
        <v>18</v>
      </c>
      <c r="C3046">
        <f t="shared" si="240"/>
        <v>5</v>
      </c>
      <c r="D3046" t="str">
        <f t="shared" si="241"/>
        <v>May</v>
      </c>
      <c r="E3046">
        <f t="shared" si="242"/>
        <v>2025</v>
      </c>
      <c r="F3046" t="str">
        <f>CONCATENATE(calendar[[#This Row],[Month]],"/",calendar[[#This Row],[Year]])</f>
        <v>5/2025</v>
      </c>
      <c r="G3046">
        <f>WEEKDAY(calendar[[#This Row],[Date]],1)</f>
        <v>7</v>
      </c>
      <c r="H3046" t="str">
        <f>TEXT(calendar[[#This Row],[WeekDay]],"dddd")</f>
        <v>Saturday</v>
      </c>
      <c r="I3046">
        <f>IF((INT(calendar[[#This Row],[Count]]/7)-calendar[[#This Row],[Count]]/7)&lt;0,I3045,I3045+1)</f>
        <v>435</v>
      </c>
      <c r="J3046">
        <f t="shared" si="239"/>
        <v>3044</v>
      </c>
      <c r="K3046">
        <f>IF(calendar[[#This Row],[Month]]&lt;4,1,IF(calendar[[#This Row],[Month]]&lt;7,2,IF(calendar[[#This Row],[Month]]&lt;10,3,4)))</f>
        <v>2</v>
      </c>
      <c r="L3046">
        <f>IFERROR(IF(VLOOKUP(calendar[[#This Row],[Date]],BH!A:A,1,)&lt;&gt;"",1,0),0)</f>
        <v>0</v>
      </c>
      <c r="M3046">
        <f>IFERROR(IF(VLOOKUP(calendar[[#This Row],[Date]],BH!C:C,1,)&lt;&gt;"",1,0),0)</f>
        <v>0</v>
      </c>
      <c r="N3046">
        <f>IFERROR(IF(VLOOKUP(calendar[[#This Row],[Date]],BH!E:E,1,)&lt;&gt;"",1,0),0)</f>
        <v>0</v>
      </c>
      <c r="O3046">
        <f>IFERROR(IF(VLOOKUP(calendar[[#This Row],[Date]],BH!G:G,1,)&lt;&gt;"",1,0),0)</f>
        <v>0</v>
      </c>
      <c r="P3046">
        <f>IF(OR(calendar[[#This Row],[UK_BH]]=1,calendar[[#This Row],[WeekDay]]=1, calendar[[#This Row],[WeekDay]]=7),P3045,P3045+1)</f>
        <v>2172</v>
      </c>
      <c r="Q3046">
        <f>IF(OR(calendar[[#This Row],[FR_BH]]=1,calendar[[#This Row],[WeekDay]]=1, calendar[[#This Row],[WeekDay]]=7),P3045,P3045+1)</f>
        <v>2172</v>
      </c>
      <c r="R3046">
        <f>IF(OR(calendar[[#This Row],[SP_BH]]=1,calendar[[#This Row],[WeekDay]]=1, calendar[[#This Row],[WeekDay]]=7),P3045,P3045+1)</f>
        <v>2172</v>
      </c>
      <c r="S3046">
        <f>IF(OR(calendar[[#This Row],[PT_BH]]=1,calendar[[#This Row],[WeekDay]]=1, calendar[[#This Row],[WeekDay]]=7),P3045,P3045+1)</f>
        <v>2172</v>
      </c>
    </row>
    <row r="3047" spans="1:19" x14ac:dyDescent="0.25">
      <c r="A3047" s="2">
        <v>45781</v>
      </c>
      <c r="B3047" s="1">
        <f t="shared" si="238"/>
        <v>19</v>
      </c>
      <c r="C3047">
        <f t="shared" si="240"/>
        <v>5</v>
      </c>
      <c r="D3047" t="str">
        <f t="shared" si="241"/>
        <v>May</v>
      </c>
      <c r="E3047">
        <f t="shared" si="242"/>
        <v>2025</v>
      </c>
      <c r="F3047" t="str">
        <f>CONCATENATE(calendar[[#This Row],[Month]],"/",calendar[[#This Row],[Year]])</f>
        <v>5/2025</v>
      </c>
      <c r="G3047">
        <f>WEEKDAY(calendar[[#This Row],[Date]],1)</f>
        <v>1</v>
      </c>
      <c r="H3047" t="str">
        <f>TEXT(calendar[[#This Row],[WeekDay]],"dddd")</f>
        <v>Sunday</v>
      </c>
      <c r="I3047">
        <f>IF((INT(calendar[[#This Row],[Count]]/7)-calendar[[#This Row],[Count]]/7)&lt;0,I3046,I3046+1)</f>
        <v>436</v>
      </c>
      <c r="J3047">
        <f t="shared" si="239"/>
        <v>3045</v>
      </c>
      <c r="K3047">
        <f>IF(calendar[[#This Row],[Month]]&lt;4,1,IF(calendar[[#This Row],[Month]]&lt;7,2,IF(calendar[[#This Row],[Month]]&lt;10,3,4)))</f>
        <v>2</v>
      </c>
      <c r="L3047">
        <f>IFERROR(IF(VLOOKUP(calendar[[#This Row],[Date]],BH!A:A,1,)&lt;&gt;"",1,0),0)</f>
        <v>0</v>
      </c>
      <c r="M3047">
        <f>IFERROR(IF(VLOOKUP(calendar[[#This Row],[Date]],BH!C:C,1,)&lt;&gt;"",1,0),0)</f>
        <v>0</v>
      </c>
      <c r="N3047">
        <f>IFERROR(IF(VLOOKUP(calendar[[#This Row],[Date]],BH!E:E,1,)&lt;&gt;"",1,0),0)</f>
        <v>1</v>
      </c>
      <c r="O3047">
        <f>IFERROR(IF(VLOOKUP(calendar[[#This Row],[Date]],BH!G:G,1,)&lt;&gt;"",1,0),0)</f>
        <v>0</v>
      </c>
      <c r="P3047">
        <f>IF(OR(calendar[[#This Row],[UK_BH]]=1,calendar[[#This Row],[WeekDay]]=1, calendar[[#This Row],[WeekDay]]=7),P3046,P3046+1)</f>
        <v>2172</v>
      </c>
      <c r="Q3047">
        <f>IF(OR(calendar[[#This Row],[FR_BH]]=1,calendar[[#This Row],[WeekDay]]=1, calendar[[#This Row],[WeekDay]]=7),P3046,P3046+1)</f>
        <v>2172</v>
      </c>
      <c r="R3047">
        <f>IF(OR(calendar[[#This Row],[SP_BH]]=1,calendar[[#This Row],[WeekDay]]=1, calendar[[#This Row],[WeekDay]]=7),P3046,P3046+1)</f>
        <v>2172</v>
      </c>
      <c r="S3047">
        <f>IF(OR(calendar[[#This Row],[PT_BH]]=1,calendar[[#This Row],[WeekDay]]=1, calendar[[#This Row],[WeekDay]]=7),P3046,P3046+1)</f>
        <v>2172</v>
      </c>
    </row>
    <row r="3048" spans="1:19" x14ac:dyDescent="0.25">
      <c r="A3048" s="2">
        <v>45782</v>
      </c>
      <c r="B3048" s="1">
        <f t="shared" si="238"/>
        <v>19</v>
      </c>
      <c r="C3048">
        <f t="shared" si="240"/>
        <v>5</v>
      </c>
      <c r="D3048" t="str">
        <f t="shared" si="241"/>
        <v>May</v>
      </c>
      <c r="E3048">
        <f t="shared" si="242"/>
        <v>2025</v>
      </c>
      <c r="F3048" t="str">
        <f>CONCATENATE(calendar[[#This Row],[Month]],"/",calendar[[#This Row],[Year]])</f>
        <v>5/2025</v>
      </c>
      <c r="G3048">
        <f>WEEKDAY(calendar[[#This Row],[Date]],1)</f>
        <v>2</v>
      </c>
      <c r="H3048" t="str">
        <f>TEXT(calendar[[#This Row],[WeekDay]],"dddd")</f>
        <v>Monday</v>
      </c>
      <c r="I3048">
        <f>IF((INT(calendar[[#This Row],[Count]]/7)-calendar[[#This Row],[Count]]/7)&lt;0,I3047,I3047+1)</f>
        <v>436</v>
      </c>
      <c r="J3048">
        <f t="shared" si="239"/>
        <v>3046</v>
      </c>
      <c r="K3048">
        <f>IF(calendar[[#This Row],[Month]]&lt;4,1,IF(calendar[[#This Row],[Month]]&lt;7,2,IF(calendar[[#This Row],[Month]]&lt;10,3,4)))</f>
        <v>2</v>
      </c>
      <c r="L3048">
        <f>IFERROR(IF(VLOOKUP(calendar[[#This Row],[Date]],BH!A:A,1,)&lt;&gt;"",1,0),0)</f>
        <v>1</v>
      </c>
      <c r="M3048">
        <f>IFERROR(IF(VLOOKUP(calendar[[#This Row],[Date]],BH!C:C,1,)&lt;&gt;"",1,0),0)</f>
        <v>0</v>
      </c>
      <c r="N3048">
        <f>IFERROR(IF(VLOOKUP(calendar[[#This Row],[Date]],BH!E:E,1,)&lt;&gt;"",1,0),0)</f>
        <v>0</v>
      </c>
      <c r="O3048">
        <f>IFERROR(IF(VLOOKUP(calendar[[#This Row],[Date]],BH!G:G,1,)&lt;&gt;"",1,0),0)</f>
        <v>0</v>
      </c>
      <c r="P3048">
        <f>IF(OR(calendar[[#This Row],[UK_BH]]=1,calendar[[#This Row],[WeekDay]]=1, calendar[[#This Row],[WeekDay]]=7),P3047,P3047+1)</f>
        <v>2172</v>
      </c>
      <c r="Q3048">
        <f>IF(OR(calendar[[#This Row],[FR_BH]]=1,calendar[[#This Row],[WeekDay]]=1, calendar[[#This Row],[WeekDay]]=7),P3047,P3047+1)</f>
        <v>2173</v>
      </c>
      <c r="R3048">
        <f>IF(OR(calendar[[#This Row],[SP_BH]]=1,calendar[[#This Row],[WeekDay]]=1, calendar[[#This Row],[WeekDay]]=7),P3047,P3047+1)</f>
        <v>2173</v>
      </c>
      <c r="S3048">
        <f>IF(OR(calendar[[#This Row],[PT_BH]]=1,calendar[[#This Row],[WeekDay]]=1, calendar[[#This Row],[WeekDay]]=7),P3047,P3047+1)</f>
        <v>2173</v>
      </c>
    </row>
    <row r="3049" spans="1:19" x14ac:dyDescent="0.25">
      <c r="A3049" s="2">
        <v>45783</v>
      </c>
      <c r="B3049" s="1">
        <f t="shared" si="238"/>
        <v>19</v>
      </c>
      <c r="C3049">
        <f t="shared" si="240"/>
        <v>5</v>
      </c>
      <c r="D3049" t="str">
        <f t="shared" si="241"/>
        <v>May</v>
      </c>
      <c r="E3049">
        <f t="shared" si="242"/>
        <v>2025</v>
      </c>
      <c r="F3049" t="str">
        <f>CONCATENATE(calendar[[#This Row],[Month]],"/",calendar[[#This Row],[Year]])</f>
        <v>5/2025</v>
      </c>
      <c r="G3049">
        <f>WEEKDAY(calendar[[#This Row],[Date]],1)</f>
        <v>3</v>
      </c>
      <c r="H3049" t="str">
        <f>TEXT(calendar[[#This Row],[WeekDay]],"dddd")</f>
        <v>Tuesday</v>
      </c>
      <c r="I3049">
        <f>IF((INT(calendar[[#This Row],[Count]]/7)-calendar[[#This Row],[Count]]/7)&lt;0,I3048,I3048+1)</f>
        <v>436</v>
      </c>
      <c r="J3049">
        <f t="shared" si="239"/>
        <v>3047</v>
      </c>
      <c r="K3049">
        <f>IF(calendar[[#This Row],[Month]]&lt;4,1,IF(calendar[[#This Row],[Month]]&lt;7,2,IF(calendar[[#This Row],[Month]]&lt;10,3,4)))</f>
        <v>2</v>
      </c>
      <c r="L3049">
        <f>IFERROR(IF(VLOOKUP(calendar[[#This Row],[Date]],BH!A:A,1,)&lt;&gt;"",1,0),0)</f>
        <v>0</v>
      </c>
      <c r="M3049">
        <f>IFERROR(IF(VLOOKUP(calendar[[#This Row],[Date]],BH!C:C,1,)&lt;&gt;"",1,0),0)</f>
        <v>0</v>
      </c>
      <c r="N3049">
        <f>IFERROR(IF(VLOOKUP(calendar[[#This Row],[Date]],BH!E:E,1,)&lt;&gt;"",1,0),0)</f>
        <v>0</v>
      </c>
      <c r="O3049">
        <f>IFERROR(IF(VLOOKUP(calendar[[#This Row],[Date]],BH!G:G,1,)&lt;&gt;"",1,0),0)</f>
        <v>0</v>
      </c>
      <c r="P3049">
        <f>IF(OR(calendar[[#This Row],[UK_BH]]=1,calendar[[#This Row],[WeekDay]]=1, calendar[[#This Row],[WeekDay]]=7),P3048,P3048+1)</f>
        <v>2173</v>
      </c>
      <c r="Q3049">
        <f>IF(OR(calendar[[#This Row],[FR_BH]]=1,calendar[[#This Row],[WeekDay]]=1, calendar[[#This Row],[WeekDay]]=7),P3048,P3048+1)</f>
        <v>2173</v>
      </c>
      <c r="R3049">
        <f>IF(OR(calendar[[#This Row],[SP_BH]]=1,calendar[[#This Row],[WeekDay]]=1, calendar[[#This Row],[WeekDay]]=7),P3048,P3048+1)</f>
        <v>2173</v>
      </c>
      <c r="S3049">
        <f>IF(OR(calendar[[#This Row],[PT_BH]]=1,calendar[[#This Row],[WeekDay]]=1, calendar[[#This Row],[WeekDay]]=7),P3048,P3048+1)</f>
        <v>2173</v>
      </c>
    </row>
    <row r="3050" spans="1:19" x14ac:dyDescent="0.25">
      <c r="A3050" s="2">
        <v>45784</v>
      </c>
      <c r="B3050" s="1">
        <f t="shared" si="238"/>
        <v>19</v>
      </c>
      <c r="C3050">
        <f t="shared" si="240"/>
        <v>5</v>
      </c>
      <c r="D3050" t="str">
        <f t="shared" si="241"/>
        <v>May</v>
      </c>
      <c r="E3050">
        <f t="shared" si="242"/>
        <v>2025</v>
      </c>
      <c r="F3050" t="str">
        <f>CONCATENATE(calendar[[#This Row],[Month]],"/",calendar[[#This Row],[Year]])</f>
        <v>5/2025</v>
      </c>
      <c r="G3050">
        <f>WEEKDAY(calendar[[#This Row],[Date]],1)</f>
        <v>4</v>
      </c>
      <c r="H3050" t="str">
        <f>TEXT(calendar[[#This Row],[WeekDay]],"dddd")</f>
        <v>Wednesday</v>
      </c>
      <c r="I3050">
        <f>IF((INT(calendar[[#This Row],[Count]]/7)-calendar[[#This Row],[Count]]/7)&lt;0,I3049,I3049+1)</f>
        <v>436</v>
      </c>
      <c r="J3050">
        <f t="shared" si="239"/>
        <v>3048</v>
      </c>
      <c r="K3050">
        <f>IF(calendar[[#This Row],[Month]]&lt;4,1,IF(calendar[[#This Row],[Month]]&lt;7,2,IF(calendar[[#This Row],[Month]]&lt;10,3,4)))</f>
        <v>2</v>
      </c>
      <c r="L3050">
        <f>IFERROR(IF(VLOOKUP(calendar[[#This Row],[Date]],BH!A:A,1,)&lt;&gt;"",1,0),0)</f>
        <v>0</v>
      </c>
      <c r="M3050">
        <f>IFERROR(IF(VLOOKUP(calendar[[#This Row],[Date]],BH!C:C,1,)&lt;&gt;"",1,0),0)</f>
        <v>0</v>
      </c>
      <c r="N3050">
        <f>IFERROR(IF(VLOOKUP(calendar[[#This Row],[Date]],BH!E:E,1,)&lt;&gt;"",1,0),0)</f>
        <v>0</v>
      </c>
      <c r="O3050">
        <f>IFERROR(IF(VLOOKUP(calendar[[#This Row],[Date]],BH!G:G,1,)&lt;&gt;"",1,0),0)</f>
        <v>0</v>
      </c>
      <c r="P3050">
        <f>IF(OR(calendar[[#This Row],[UK_BH]]=1,calendar[[#This Row],[WeekDay]]=1, calendar[[#This Row],[WeekDay]]=7),P3049,P3049+1)</f>
        <v>2174</v>
      </c>
      <c r="Q3050">
        <f>IF(OR(calendar[[#This Row],[FR_BH]]=1,calendar[[#This Row],[WeekDay]]=1, calendar[[#This Row],[WeekDay]]=7),P3049,P3049+1)</f>
        <v>2174</v>
      </c>
      <c r="R3050">
        <f>IF(OR(calendar[[#This Row],[SP_BH]]=1,calendar[[#This Row],[WeekDay]]=1, calendar[[#This Row],[WeekDay]]=7),P3049,P3049+1)</f>
        <v>2174</v>
      </c>
      <c r="S3050">
        <f>IF(OR(calendar[[#This Row],[PT_BH]]=1,calendar[[#This Row],[WeekDay]]=1, calendar[[#This Row],[WeekDay]]=7),P3049,P3049+1)</f>
        <v>2174</v>
      </c>
    </row>
    <row r="3051" spans="1:19" x14ac:dyDescent="0.25">
      <c r="A3051" s="2">
        <v>45785</v>
      </c>
      <c r="B3051" s="1">
        <f t="shared" si="238"/>
        <v>19</v>
      </c>
      <c r="C3051">
        <f t="shared" si="240"/>
        <v>5</v>
      </c>
      <c r="D3051" t="str">
        <f t="shared" si="241"/>
        <v>May</v>
      </c>
      <c r="E3051">
        <f t="shared" si="242"/>
        <v>2025</v>
      </c>
      <c r="F3051" t="str">
        <f>CONCATENATE(calendar[[#This Row],[Month]],"/",calendar[[#This Row],[Year]])</f>
        <v>5/2025</v>
      </c>
      <c r="G3051">
        <f>WEEKDAY(calendar[[#This Row],[Date]],1)</f>
        <v>5</v>
      </c>
      <c r="H3051" t="str">
        <f>TEXT(calendar[[#This Row],[WeekDay]],"dddd")</f>
        <v>Thursday</v>
      </c>
      <c r="I3051">
        <f>IF((INT(calendar[[#This Row],[Count]]/7)-calendar[[#This Row],[Count]]/7)&lt;0,I3050,I3050+1)</f>
        <v>436</v>
      </c>
      <c r="J3051">
        <f t="shared" si="239"/>
        <v>3049</v>
      </c>
      <c r="K3051">
        <f>IF(calendar[[#This Row],[Month]]&lt;4,1,IF(calendar[[#This Row],[Month]]&lt;7,2,IF(calendar[[#This Row],[Month]]&lt;10,3,4)))</f>
        <v>2</v>
      </c>
      <c r="L3051">
        <f>IFERROR(IF(VLOOKUP(calendar[[#This Row],[Date]],BH!A:A,1,)&lt;&gt;"",1,0),0)</f>
        <v>0</v>
      </c>
      <c r="M3051">
        <f>IFERROR(IF(VLOOKUP(calendar[[#This Row],[Date]],BH!C:C,1,)&lt;&gt;"",1,0),0)</f>
        <v>1</v>
      </c>
      <c r="N3051">
        <f>IFERROR(IF(VLOOKUP(calendar[[#This Row],[Date]],BH!E:E,1,)&lt;&gt;"",1,0),0)</f>
        <v>0</v>
      </c>
      <c r="O3051">
        <f>IFERROR(IF(VLOOKUP(calendar[[#This Row],[Date]],BH!G:G,1,)&lt;&gt;"",1,0),0)</f>
        <v>0</v>
      </c>
      <c r="P3051">
        <f>IF(OR(calendar[[#This Row],[UK_BH]]=1,calendar[[#This Row],[WeekDay]]=1, calendar[[#This Row],[WeekDay]]=7),P3050,P3050+1)</f>
        <v>2175</v>
      </c>
      <c r="Q3051">
        <f>IF(OR(calendar[[#This Row],[FR_BH]]=1,calendar[[#This Row],[WeekDay]]=1, calendar[[#This Row],[WeekDay]]=7),P3050,P3050+1)</f>
        <v>2174</v>
      </c>
      <c r="R3051">
        <f>IF(OR(calendar[[#This Row],[SP_BH]]=1,calendar[[#This Row],[WeekDay]]=1, calendar[[#This Row],[WeekDay]]=7),P3050,P3050+1)</f>
        <v>2175</v>
      </c>
      <c r="S3051">
        <f>IF(OR(calendar[[#This Row],[PT_BH]]=1,calendar[[#This Row],[WeekDay]]=1, calendar[[#This Row],[WeekDay]]=7),P3050,P3050+1)</f>
        <v>2175</v>
      </c>
    </row>
    <row r="3052" spans="1:19" x14ac:dyDescent="0.25">
      <c r="A3052" s="2">
        <v>45786</v>
      </c>
      <c r="B3052" s="1">
        <f t="shared" si="238"/>
        <v>19</v>
      </c>
      <c r="C3052">
        <f t="shared" si="240"/>
        <v>5</v>
      </c>
      <c r="D3052" t="str">
        <f t="shared" si="241"/>
        <v>May</v>
      </c>
      <c r="E3052">
        <f t="shared" si="242"/>
        <v>2025</v>
      </c>
      <c r="F3052" t="str">
        <f>CONCATENATE(calendar[[#This Row],[Month]],"/",calendar[[#This Row],[Year]])</f>
        <v>5/2025</v>
      </c>
      <c r="G3052">
        <f>WEEKDAY(calendar[[#This Row],[Date]],1)</f>
        <v>6</v>
      </c>
      <c r="H3052" t="str">
        <f>TEXT(calendar[[#This Row],[WeekDay]],"dddd")</f>
        <v>Friday</v>
      </c>
      <c r="I3052">
        <f>IF((INT(calendar[[#This Row],[Count]]/7)-calendar[[#This Row],[Count]]/7)&lt;0,I3051,I3051+1)</f>
        <v>436</v>
      </c>
      <c r="J3052">
        <f t="shared" si="239"/>
        <v>3050</v>
      </c>
      <c r="K3052">
        <f>IF(calendar[[#This Row],[Month]]&lt;4,1,IF(calendar[[#This Row],[Month]]&lt;7,2,IF(calendar[[#This Row],[Month]]&lt;10,3,4)))</f>
        <v>2</v>
      </c>
      <c r="L3052">
        <f>IFERROR(IF(VLOOKUP(calendar[[#This Row],[Date]],BH!A:A,1,)&lt;&gt;"",1,0),0)</f>
        <v>0</v>
      </c>
      <c r="M3052">
        <f>IFERROR(IF(VLOOKUP(calendar[[#This Row],[Date]],BH!C:C,1,)&lt;&gt;"",1,0),0)</f>
        <v>0</v>
      </c>
      <c r="N3052">
        <f>IFERROR(IF(VLOOKUP(calendar[[#This Row],[Date]],BH!E:E,1,)&lt;&gt;"",1,0),0)</f>
        <v>0</v>
      </c>
      <c r="O3052">
        <f>IFERROR(IF(VLOOKUP(calendar[[#This Row],[Date]],BH!G:G,1,)&lt;&gt;"",1,0),0)</f>
        <v>0</v>
      </c>
      <c r="P3052">
        <f>IF(OR(calendar[[#This Row],[UK_BH]]=1,calendar[[#This Row],[WeekDay]]=1, calendar[[#This Row],[WeekDay]]=7),P3051,P3051+1)</f>
        <v>2176</v>
      </c>
      <c r="Q3052">
        <f>IF(OR(calendar[[#This Row],[FR_BH]]=1,calendar[[#This Row],[WeekDay]]=1, calendar[[#This Row],[WeekDay]]=7),P3051,P3051+1)</f>
        <v>2176</v>
      </c>
      <c r="R3052">
        <f>IF(OR(calendar[[#This Row],[SP_BH]]=1,calendar[[#This Row],[WeekDay]]=1, calendar[[#This Row],[WeekDay]]=7),P3051,P3051+1)</f>
        <v>2176</v>
      </c>
      <c r="S3052">
        <f>IF(OR(calendar[[#This Row],[PT_BH]]=1,calendar[[#This Row],[WeekDay]]=1, calendar[[#This Row],[WeekDay]]=7),P3051,P3051+1)</f>
        <v>2176</v>
      </c>
    </row>
    <row r="3053" spans="1:19" x14ac:dyDescent="0.25">
      <c r="A3053" s="2">
        <v>45787</v>
      </c>
      <c r="B3053" s="1">
        <f t="shared" si="238"/>
        <v>19</v>
      </c>
      <c r="C3053">
        <f t="shared" si="240"/>
        <v>5</v>
      </c>
      <c r="D3053" t="str">
        <f t="shared" si="241"/>
        <v>May</v>
      </c>
      <c r="E3053">
        <f t="shared" si="242"/>
        <v>2025</v>
      </c>
      <c r="F3053" t="str">
        <f>CONCATENATE(calendar[[#This Row],[Month]],"/",calendar[[#This Row],[Year]])</f>
        <v>5/2025</v>
      </c>
      <c r="G3053">
        <f>WEEKDAY(calendar[[#This Row],[Date]],1)</f>
        <v>7</v>
      </c>
      <c r="H3053" t="str">
        <f>TEXT(calendar[[#This Row],[WeekDay]],"dddd")</f>
        <v>Saturday</v>
      </c>
      <c r="I3053">
        <f>IF((INT(calendar[[#This Row],[Count]]/7)-calendar[[#This Row],[Count]]/7)&lt;0,I3052,I3052+1)</f>
        <v>436</v>
      </c>
      <c r="J3053">
        <f t="shared" si="239"/>
        <v>3051</v>
      </c>
      <c r="K3053">
        <f>IF(calendar[[#This Row],[Month]]&lt;4,1,IF(calendar[[#This Row],[Month]]&lt;7,2,IF(calendar[[#This Row],[Month]]&lt;10,3,4)))</f>
        <v>2</v>
      </c>
      <c r="L3053">
        <f>IFERROR(IF(VLOOKUP(calendar[[#This Row],[Date]],BH!A:A,1,)&lt;&gt;"",1,0),0)</f>
        <v>0</v>
      </c>
      <c r="M3053">
        <f>IFERROR(IF(VLOOKUP(calendar[[#This Row],[Date]],BH!C:C,1,)&lt;&gt;"",1,0),0)</f>
        <v>0</v>
      </c>
      <c r="N3053">
        <f>IFERROR(IF(VLOOKUP(calendar[[#This Row],[Date]],BH!E:E,1,)&lt;&gt;"",1,0),0)</f>
        <v>0</v>
      </c>
      <c r="O3053">
        <f>IFERROR(IF(VLOOKUP(calendar[[#This Row],[Date]],BH!G:G,1,)&lt;&gt;"",1,0),0)</f>
        <v>0</v>
      </c>
      <c r="P3053">
        <f>IF(OR(calendar[[#This Row],[UK_BH]]=1,calendar[[#This Row],[WeekDay]]=1, calendar[[#This Row],[WeekDay]]=7),P3052,P3052+1)</f>
        <v>2176</v>
      </c>
      <c r="Q3053">
        <f>IF(OR(calendar[[#This Row],[FR_BH]]=1,calendar[[#This Row],[WeekDay]]=1, calendar[[#This Row],[WeekDay]]=7),P3052,P3052+1)</f>
        <v>2176</v>
      </c>
      <c r="R3053">
        <f>IF(OR(calendar[[#This Row],[SP_BH]]=1,calendar[[#This Row],[WeekDay]]=1, calendar[[#This Row],[WeekDay]]=7),P3052,P3052+1)</f>
        <v>2176</v>
      </c>
      <c r="S3053">
        <f>IF(OR(calendar[[#This Row],[PT_BH]]=1,calendar[[#This Row],[WeekDay]]=1, calendar[[#This Row],[WeekDay]]=7),P3052,P3052+1)</f>
        <v>2176</v>
      </c>
    </row>
    <row r="3054" spans="1:19" x14ac:dyDescent="0.25">
      <c r="A3054" s="2">
        <v>45788</v>
      </c>
      <c r="B3054" s="1">
        <f t="shared" si="238"/>
        <v>20</v>
      </c>
      <c r="C3054">
        <f t="shared" si="240"/>
        <v>5</v>
      </c>
      <c r="D3054" t="str">
        <f t="shared" si="241"/>
        <v>May</v>
      </c>
      <c r="E3054">
        <f t="shared" si="242"/>
        <v>2025</v>
      </c>
      <c r="F3054" t="str">
        <f>CONCATENATE(calendar[[#This Row],[Month]],"/",calendar[[#This Row],[Year]])</f>
        <v>5/2025</v>
      </c>
      <c r="G3054">
        <f>WEEKDAY(calendar[[#This Row],[Date]],1)</f>
        <v>1</v>
      </c>
      <c r="H3054" t="str">
        <f>TEXT(calendar[[#This Row],[WeekDay]],"dddd")</f>
        <v>Sunday</v>
      </c>
      <c r="I3054">
        <f>IF((INT(calendar[[#This Row],[Count]]/7)-calendar[[#This Row],[Count]]/7)&lt;0,I3053,I3053+1)</f>
        <v>437</v>
      </c>
      <c r="J3054">
        <f t="shared" si="239"/>
        <v>3052</v>
      </c>
      <c r="K3054">
        <f>IF(calendar[[#This Row],[Month]]&lt;4,1,IF(calendar[[#This Row],[Month]]&lt;7,2,IF(calendar[[#This Row],[Month]]&lt;10,3,4)))</f>
        <v>2</v>
      </c>
      <c r="L3054">
        <f>IFERROR(IF(VLOOKUP(calendar[[#This Row],[Date]],BH!A:A,1,)&lt;&gt;"",1,0),0)</f>
        <v>0</v>
      </c>
      <c r="M3054">
        <f>IFERROR(IF(VLOOKUP(calendar[[#This Row],[Date]],BH!C:C,1,)&lt;&gt;"",1,0),0)</f>
        <v>0</v>
      </c>
      <c r="N3054">
        <f>IFERROR(IF(VLOOKUP(calendar[[#This Row],[Date]],BH!E:E,1,)&lt;&gt;"",1,0),0)</f>
        <v>0</v>
      </c>
      <c r="O3054">
        <f>IFERROR(IF(VLOOKUP(calendar[[#This Row],[Date]],BH!G:G,1,)&lt;&gt;"",1,0),0)</f>
        <v>0</v>
      </c>
      <c r="P3054">
        <f>IF(OR(calendar[[#This Row],[UK_BH]]=1,calendar[[#This Row],[WeekDay]]=1, calendar[[#This Row],[WeekDay]]=7),P3053,P3053+1)</f>
        <v>2176</v>
      </c>
      <c r="Q3054">
        <f>IF(OR(calendar[[#This Row],[FR_BH]]=1,calendar[[#This Row],[WeekDay]]=1, calendar[[#This Row],[WeekDay]]=7),P3053,P3053+1)</f>
        <v>2176</v>
      </c>
      <c r="R3054">
        <f>IF(OR(calendar[[#This Row],[SP_BH]]=1,calendar[[#This Row],[WeekDay]]=1, calendar[[#This Row],[WeekDay]]=7),P3053,P3053+1)</f>
        <v>2176</v>
      </c>
      <c r="S3054">
        <f>IF(OR(calendar[[#This Row],[PT_BH]]=1,calendar[[#This Row],[WeekDay]]=1, calendar[[#This Row],[WeekDay]]=7),P3053,P3053+1)</f>
        <v>2176</v>
      </c>
    </row>
    <row r="3055" spans="1:19" x14ac:dyDescent="0.25">
      <c r="A3055" s="2">
        <v>45789</v>
      </c>
      <c r="B3055" s="1">
        <f t="shared" si="238"/>
        <v>20</v>
      </c>
      <c r="C3055">
        <f t="shared" si="240"/>
        <v>5</v>
      </c>
      <c r="D3055" t="str">
        <f t="shared" si="241"/>
        <v>May</v>
      </c>
      <c r="E3055">
        <f t="shared" si="242"/>
        <v>2025</v>
      </c>
      <c r="F3055" t="str">
        <f>CONCATENATE(calendar[[#This Row],[Month]],"/",calendar[[#This Row],[Year]])</f>
        <v>5/2025</v>
      </c>
      <c r="G3055">
        <f>WEEKDAY(calendar[[#This Row],[Date]],1)</f>
        <v>2</v>
      </c>
      <c r="H3055" t="str">
        <f>TEXT(calendar[[#This Row],[WeekDay]],"dddd")</f>
        <v>Monday</v>
      </c>
      <c r="I3055">
        <f>IF((INT(calendar[[#This Row],[Count]]/7)-calendar[[#This Row],[Count]]/7)&lt;0,I3054,I3054+1)</f>
        <v>437</v>
      </c>
      <c r="J3055">
        <f t="shared" si="239"/>
        <v>3053</v>
      </c>
      <c r="K3055">
        <f>IF(calendar[[#This Row],[Month]]&lt;4,1,IF(calendar[[#This Row],[Month]]&lt;7,2,IF(calendar[[#This Row],[Month]]&lt;10,3,4)))</f>
        <v>2</v>
      </c>
      <c r="L3055">
        <f>IFERROR(IF(VLOOKUP(calendar[[#This Row],[Date]],BH!A:A,1,)&lt;&gt;"",1,0),0)</f>
        <v>0</v>
      </c>
      <c r="M3055">
        <f>IFERROR(IF(VLOOKUP(calendar[[#This Row],[Date]],BH!C:C,1,)&lt;&gt;"",1,0),0)</f>
        <v>0</v>
      </c>
      <c r="N3055">
        <f>IFERROR(IF(VLOOKUP(calendar[[#This Row],[Date]],BH!E:E,1,)&lt;&gt;"",1,0),0)</f>
        <v>0</v>
      </c>
      <c r="O3055">
        <f>IFERROR(IF(VLOOKUP(calendar[[#This Row],[Date]],BH!G:G,1,)&lt;&gt;"",1,0),0)</f>
        <v>0</v>
      </c>
      <c r="P3055">
        <f>IF(OR(calendar[[#This Row],[UK_BH]]=1,calendar[[#This Row],[WeekDay]]=1, calendar[[#This Row],[WeekDay]]=7),P3054,P3054+1)</f>
        <v>2177</v>
      </c>
      <c r="Q3055">
        <f>IF(OR(calendar[[#This Row],[FR_BH]]=1,calendar[[#This Row],[WeekDay]]=1, calendar[[#This Row],[WeekDay]]=7),P3054,P3054+1)</f>
        <v>2177</v>
      </c>
      <c r="R3055">
        <f>IF(OR(calendar[[#This Row],[SP_BH]]=1,calendar[[#This Row],[WeekDay]]=1, calendar[[#This Row],[WeekDay]]=7),P3054,P3054+1)</f>
        <v>2177</v>
      </c>
      <c r="S3055">
        <f>IF(OR(calendar[[#This Row],[PT_BH]]=1,calendar[[#This Row],[WeekDay]]=1, calendar[[#This Row],[WeekDay]]=7),P3054,P3054+1)</f>
        <v>2177</v>
      </c>
    </row>
    <row r="3056" spans="1:19" x14ac:dyDescent="0.25">
      <c r="A3056" s="2">
        <v>45790</v>
      </c>
      <c r="B3056" s="1">
        <f t="shared" si="238"/>
        <v>20</v>
      </c>
      <c r="C3056">
        <f t="shared" si="240"/>
        <v>5</v>
      </c>
      <c r="D3056" t="str">
        <f t="shared" si="241"/>
        <v>May</v>
      </c>
      <c r="E3056">
        <f t="shared" si="242"/>
        <v>2025</v>
      </c>
      <c r="F3056" t="str">
        <f>CONCATENATE(calendar[[#This Row],[Month]],"/",calendar[[#This Row],[Year]])</f>
        <v>5/2025</v>
      </c>
      <c r="G3056">
        <f>WEEKDAY(calendar[[#This Row],[Date]],1)</f>
        <v>3</v>
      </c>
      <c r="H3056" t="str">
        <f>TEXT(calendar[[#This Row],[WeekDay]],"dddd")</f>
        <v>Tuesday</v>
      </c>
      <c r="I3056">
        <f>IF((INT(calendar[[#This Row],[Count]]/7)-calendar[[#This Row],[Count]]/7)&lt;0,I3055,I3055+1)</f>
        <v>437</v>
      </c>
      <c r="J3056">
        <f t="shared" si="239"/>
        <v>3054</v>
      </c>
      <c r="K3056">
        <f>IF(calendar[[#This Row],[Month]]&lt;4,1,IF(calendar[[#This Row],[Month]]&lt;7,2,IF(calendar[[#This Row],[Month]]&lt;10,3,4)))</f>
        <v>2</v>
      </c>
      <c r="L3056">
        <f>IFERROR(IF(VLOOKUP(calendar[[#This Row],[Date]],BH!A:A,1,)&lt;&gt;"",1,0),0)</f>
        <v>0</v>
      </c>
      <c r="M3056">
        <f>IFERROR(IF(VLOOKUP(calendar[[#This Row],[Date]],BH!C:C,1,)&lt;&gt;"",1,0),0)</f>
        <v>0</v>
      </c>
      <c r="N3056">
        <f>IFERROR(IF(VLOOKUP(calendar[[#This Row],[Date]],BH!E:E,1,)&lt;&gt;"",1,0),0)</f>
        <v>0</v>
      </c>
      <c r="O3056">
        <f>IFERROR(IF(VLOOKUP(calendar[[#This Row],[Date]],BH!G:G,1,)&lt;&gt;"",1,0),0)</f>
        <v>0</v>
      </c>
      <c r="P3056">
        <f>IF(OR(calendar[[#This Row],[UK_BH]]=1,calendar[[#This Row],[WeekDay]]=1, calendar[[#This Row],[WeekDay]]=7),P3055,P3055+1)</f>
        <v>2178</v>
      </c>
      <c r="Q3056">
        <f>IF(OR(calendar[[#This Row],[FR_BH]]=1,calendar[[#This Row],[WeekDay]]=1, calendar[[#This Row],[WeekDay]]=7),P3055,P3055+1)</f>
        <v>2178</v>
      </c>
      <c r="R3056">
        <f>IF(OR(calendar[[#This Row],[SP_BH]]=1,calendar[[#This Row],[WeekDay]]=1, calendar[[#This Row],[WeekDay]]=7),P3055,P3055+1)</f>
        <v>2178</v>
      </c>
      <c r="S3056">
        <f>IF(OR(calendar[[#This Row],[PT_BH]]=1,calendar[[#This Row],[WeekDay]]=1, calendar[[#This Row],[WeekDay]]=7),P3055,P3055+1)</f>
        <v>2178</v>
      </c>
    </row>
    <row r="3057" spans="1:19" x14ac:dyDescent="0.25">
      <c r="A3057" s="2">
        <v>45791</v>
      </c>
      <c r="B3057" s="1">
        <f t="shared" si="238"/>
        <v>20</v>
      </c>
      <c r="C3057">
        <f t="shared" si="240"/>
        <v>5</v>
      </c>
      <c r="D3057" t="str">
        <f t="shared" si="241"/>
        <v>May</v>
      </c>
      <c r="E3057">
        <f t="shared" si="242"/>
        <v>2025</v>
      </c>
      <c r="F3057" t="str">
        <f>CONCATENATE(calendar[[#This Row],[Month]],"/",calendar[[#This Row],[Year]])</f>
        <v>5/2025</v>
      </c>
      <c r="G3057">
        <f>WEEKDAY(calendar[[#This Row],[Date]],1)</f>
        <v>4</v>
      </c>
      <c r="H3057" t="str">
        <f>TEXT(calendar[[#This Row],[WeekDay]],"dddd")</f>
        <v>Wednesday</v>
      </c>
      <c r="I3057">
        <f>IF((INT(calendar[[#This Row],[Count]]/7)-calendar[[#This Row],[Count]]/7)&lt;0,I3056,I3056+1)</f>
        <v>437</v>
      </c>
      <c r="J3057">
        <f t="shared" si="239"/>
        <v>3055</v>
      </c>
      <c r="K3057">
        <f>IF(calendar[[#This Row],[Month]]&lt;4,1,IF(calendar[[#This Row],[Month]]&lt;7,2,IF(calendar[[#This Row],[Month]]&lt;10,3,4)))</f>
        <v>2</v>
      </c>
      <c r="L3057">
        <f>IFERROR(IF(VLOOKUP(calendar[[#This Row],[Date]],BH!A:A,1,)&lt;&gt;"",1,0),0)</f>
        <v>0</v>
      </c>
      <c r="M3057">
        <f>IFERROR(IF(VLOOKUP(calendar[[#This Row],[Date]],BH!C:C,1,)&lt;&gt;"",1,0),0)</f>
        <v>0</v>
      </c>
      <c r="N3057">
        <f>IFERROR(IF(VLOOKUP(calendar[[#This Row],[Date]],BH!E:E,1,)&lt;&gt;"",1,0),0)</f>
        <v>0</v>
      </c>
      <c r="O3057">
        <f>IFERROR(IF(VLOOKUP(calendar[[#This Row],[Date]],BH!G:G,1,)&lt;&gt;"",1,0),0)</f>
        <v>0</v>
      </c>
      <c r="P3057">
        <f>IF(OR(calendar[[#This Row],[UK_BH]]=1,calendar[[#This Row],[WeekDay]]=1, calendar[[#This Row],[WeekDay]]=7),P3056,P3056+1)</f>
        <v>2179</v>
      </c>
      <c r="Q3057">
        <f>IF(OR(calendar[[#This Row],[FR_BH]]=1,calendar[[#This Row],[WeekDay]]=1, calendar[[#This Row],[WeekDay]]=7),P3056,P3056+1)</f>
        <v>2179</v>
      </c>
      <c r="R3057">
        <f>IF(OR(calendar[[#This Row],[SP_BH]]=1,calendar[[#This Row],[WeekDay]]=1, calendar[[#This Row],[WeekDay]]=7),P3056,P3056+1)</f>
        <v>2179</v>
      </c>
      <c r="S3057">
        <f>IF(OR(calendar[[#This Row],[PT_BH]]=1,calendar[[#This Row],[WeekDay]]=1, calendar[[#This Row],[WeekDay]]=7),P3056,P3056+1)</f>
        <v>2179</v>
      </c>
    </row>
    <row r="3058" spans="1:19" x14ac:dyDescent="0.25">
      <c r="A3058" s="2">
        <v>45792</v>
      </c>
      <c r="B3058" s="1">
        <f t="shared" si="238"/>
        <v>20</v>
      </c>
      <c r="C3058">
        <f t="shared" si="240"/>
        <v>5</v>
      </c>
      <c r="D3058" t="str">
        <f t="shared" si="241"/>
        <v>May</v>
      </c>
      <c r="E3058">
        <f t="shared" si="242"/>
        <v>2025</v>
      </c>
      <c r="F3058" t="str">
        <f>CONCATENATE(calendar[[#This Row],[Month]],"/",calendar[[#This Row],[Year]])</f>
        <v>5/2025</v>
      </c>
      <c r="G3058">
        <f>WEEKDAY(calendar[[#This Row],[Date]],1)</f>
        <v>5</v>
      </c>
      <c r="H3058" t="str">
        <f>TEXT(calendar[[#This Row],[WeekDay]],"dddd")</f>
        <v>Thursday</v>
      </c>
      <c r="I3058">
        <f>IF((INT(calendar[[#This Row],[Count]]/7)-calendar[[#This Row],[Count]]/7)&lt;0,I3057,I3057+1)</f>
        <v>437</v>
      </c>
      <c r="J3058">
        <f t="shared" si="239"/>
        <v>3056</v>
      </c>
      <c r="K3058">
        <f>IF(calendar[[#This Row],[Month]]&lt;4,1,IF(calendar[[#This Row],[Month]]&lt;7,2,IF(calendar[[#This Row],[Month]]&lt;10,3,4)))</f>
        <v>2</v>
      </c>
      <c r="L3058">
        <f>IFERROR(IF(VLOOKUP(calendar[[#This Row],[Date]],BH!A:A,1,)&lt;&gt;"",1,0),0)</f>
        <v>0</v>
      </c>
      <c r="M3058">
        <f>IFERROR(IF(VLOOKUP(calendar[[#This Row],[Date]],BH!C:C,1,)&lt;&gt;"",1,0),0)</f>
        <v>0</v>
      </c>
      <c r="N3058">
        <f>IFERROR(IF(VLOOKUP(calendar[[#This Row],[Date]],BH!E:E,1,)&lt;&gt;"",1,0),0)</f>
        <v>1</v>
      </c>
      <c r="O3058">
        <f>IFERROR(IF(VLOOKUP(calendar[[#This Row],[Date]],BH!G:G,1,)&lt;&gt;"",1,0),0)</f>
        <v>0</v>
      </c>
      <c r="P3058">
        <f>IF(OR(calendar[[#This Row],[UK_BH]]=1,calendar[[#This Row],[WeekDay]]=1, calendar[[#This Row],[WeekDay]]=7),P3057,P3057+1)</f>
        <v>2180</v>
      </c>
      <c r="Q3058">
        <f>IF(OR(calendar[[#This Row],[FR_BH]]=1,calendar[[#This Row],[WeekDay]]=1, calendar[[#This Row],[WeekDay]]=7),P3057,P3057+1)</f>
        <v>2180</v>
      </c>
      <c r="R3058">
        <f>IF(OR(calendar[[#This Row],[SP_BH]]=1,calendar[[#This Row],[WeekDay]]=1, calendar[[#This Row],[WeekDay]]=7),P3057,P3057+1)</f>
        <v>2179</v>
      </c>
      <c r="S3058">
        <f>IF(OR(calendar[[#This Row],[PT_BH]]=1,calendar[[#This Row],[WeekDay]]=1, calendar[[#This Row],[WeekDay]]=7),P3057,P3057+1)</f>
        <v>2180</v>
      </c>
    </row>
    <row r="3059" spans="1:19" x14ac:dyDescent="0.25">
      <c r="A3059" s="2">
        <v>45793</v>
      </c>
      <c r="B3059" s="1">
        <f t="shared" si="238"/>
        <v>20</v>
      </c>
      <c r="C3059">
        <f t="shared" si="240"/>
        <v>5</v>
      </c>
      <c r="D3059" t="str">
        <f t="shared" si="241"/>
        <v>May</v>
      </c>
      <c r="E3059">
        <f t="shared" si="242"/>
        <v>2025</v>
      </c>
      <c r="F3059" t="str">
        <f>CONCATENATE(calendar[[#This Row],[Month]],"/",calendar[[#This Row],[Year]])</f>
        <v>5/2025</v>
      </c>
      <c r="G3059">
        <f>WEEKDAY(calendar[[#This Row],[Date]],1)</f>
        <v>6</v>
      </c>
      <c r="H3059" t="str">
        <f>TEXT(calendar[[#This Row],[WeekDay]],"dddd")</f>
        <v>Friday</v>
      </c>
      <c r="I3059">
        <f>IF((INT(calendar[[#This Row],[Count]]/7)-calendar[[#This Row],[Count]]/7)&lt;0,I3058,I3058+1)</f>
        <v>437</v>
      </c>
      <c r="J3059">
        <f t="shared" si="239"/>
        <v>3057</v>
      </c>
      <c r="K3059">
        <f>IF(calendar[[#This Row],[Month]]&lt;4,1,IF(calendar[[#This Row],[Month]]&lt;7,2,IF(calendar[[#This Row],[Month]]&lt;10,3,4)))</f>
        <v>2</v>
      </c>
      <c r="L3059">
        <f>IFERROR(IF(VLOOKUP(calendar[[#This Row],[Date]],BH!A:A,1,)&lt;&gt;"",1,0),0)</f>
        <v>0</v>
      </c>
      <c r="M3059">
        <f>IFERROR(IF(VLOOKUP(calendar[[#This Row],[Date]],BH!C:C,1,)&lt;&gt;"",1,0),0)</f>
        <v>0</v>
      </c>
      <c r="N3059">
        <f>IFERROR(IF(VLOOKUP(calendar[[#This Row],[Date]],BH!E:E,1,)&lt;&gt;"",1,0),0)</f>
        <v>0</v>
      </c>
      <c r="O3059">
        <f>IFERROR(IF(VLOOKUP(calendar[[#This Row],[Date]],BH!G:G,1,)&lt;&gt;"",1,0),0)</f>
        <v>0</v>
      </c>
      <c r="P3059">
        <f>IF(OR(calendar[[#This Row],[UK_BH]]=1,calendar[[#This Row],[WeekDay]]=1, calendar[[#This Row],[WeekDay]]=7),P3058,P3058+1)</f>
        <v>2181</v>
      </c>
      <c r="Q3059">
        <f>IF(OR(calendar[[#This Row],[FR_BH]]=1,calendar[[#This Row],[WeekDay]]=1, calendar[[#This Row],[WeekDay]]=7),P3058,P3058+1)</f>
        <v>2181</v>
      </c>
      <c r="R3059">
        <f>IF(OR(calendar[[#This Row],[SP_BH]]=1,calendar[[#This Row],[WeekDay]]=1, calendar[[#This Row],[WeekDay]]=7),P3058,P3058+1)</f>
        <v>2181</v>
      </c>
      <c r="S3059">
        <f>IF(OR(calendar[[#This Row],[PT_BH]]=1,calendar[[#This Row],[WeekDay]]=1, calendar[[#This Row],[WeekDay]]=7),P3058,P3058+1)</f>
        <v>2181</v>
      </c>
    </row>
    <row r="3060" spans="1:19" x14ac:dyDescent="0.25">
      <c r="A3060" s="2">
        <v>45794</v>
      </c>
      <c r="B3060" s="1">
        <f t="shared" si="238"/>
        <v>20</v>
      </c>
      <c r="C3060">
        <f t="shared" si="240"/>
        <v>5</v>
      </c>
      <c r="D3060" t="str">
        <f t="shared" si="241"/>
        <v>May</v>
      </c>
      <c r="E3060">
        <f t="shared" si="242"/>
        <v>2025</v>
      </c>
      <c r="F3060" t="str">
        <f>CONCATENATE(calendar[[#This Row],[Month]],"/",calendar[[#This Row],[Year]])</f>
        <v>5/2025</v>
      </c>
      <c r="G3060">
        <f>WEEKDAY(calendar[[#This Row],[Date]],1)</f>
        <v>7</v>
      </c>
      <c r="H3060" t="str">
        <f>TEXT(calendar[[#This Row],[WeekDay]],"dddd")</f>
        <v>Saturday</v>
      </c>
      <c r="I3060">
        <f>IF((INT(calendar[[#This Row],[Count]]/7)-calendar[[#This Row],[Count]]/7)&lt;0,I3059,I3059+1)</f>
        <v>437</v>
      </c>
      <c r="J3060">
        <f t="shared" si="239"/>
        <v>3058</v>
      </c>
      <c r="K3060">
        <f>IF(calendar[[#This Row],[Month]]&lt;4,1,IF(calendar[[#This Row],[Month]]&lt;7,2,IF(calendar[[#This Row],[Month]]&lt;10,3,4)))</f>
        <v>2</v>
      </c>
      <c r="L3060">
        <f>IFERROR(IF(VLOOKUP(calendar[[#This Row],[Date]],BH!A:A,1,)&lt;&gt;"",1,0),0)</f>
        <v>0</v>
      </c>
      <c r="M3060">
        <f>IFERROR(IF(VLOOKUP(calendar[[#This Row],[Date]],BH!C:C,1,)&lt;&gt;"",1,0),0)</f>
        <v>0</v>
      </c>
      <c r="N3060">
        <f>IFERROR(IF(VLOOKUP(calendar[[#This Row],[Date]],BH!E:E,1,)&lt;&gt;"",1,0),0)</f>
        <v>0</v>
      </c>
      <c r="O3060">
        <f>IFERROR(IF(VLOOKUP(calendar[[#This Row],[Date]],BH!G:G,1,)&lt;&gt;"",1,0),0)</f>
        <v>0</v>
      </c>
      <c r="P3060">
        <f>IF(OR(calendar[[#This Row],[UK_BH]]=1,calendar[[#This Row],[WeekDay]]=1, calendar[[#This Row],[WeekDay]]=7),P3059,P3059+1)</f>
        <v>2181</v>
      </c>
      <c r="Q3060">
        <f>IF(OR(calendar[[#This Row],[FR_BH]]=1,calendar[[#This Row],[WeekDay]]=1, calendar[[#This Row],[WeekDay]]=7),P3059,P3059+1)</f>
        <v>2181</v>
      </c>
      <c r="R3060">
        <f>IF(OR(calendar[[#This Row],[SP_BH]]=1,calendar[[#This Row],[WeekDay]]=1, calendar[[#This Row],[WeekDay]]=7),P3059,P3059+1)</f>
        <v>2181</v>
      </c>
      <c r="S3060">
        <f>IF(OR(calendar[[#This Row],[PT_BH]]=1,calendar[[#This Row],[WeekDay]]=1, calendar[[#This Row],[WeekDay]]=7),P3059,P3059+1)</f>
        <v>2181</v>
      </c>
    </row>
    <row r="3061" spans="1:19" x14ac:dyDescent="0.25">
      <c r="A3061" s="2">
        <v>45795</v>
      </c>
      <c r="B3061" s="1">
        <f t="shared" si="238"/>
        <v>21</v>
      </c>
      <c r="C3061">
        <f t="shared" si="240"/>
        <v>5</v>
      </c>
      <c r="D3061" t="str">
        <f t="shared" si="241"/>
        <v>May</v>
      </c>
      <c r="E3061">
        <f t="shared" si="242"/>
        <v>2025</v>
      </c>
      <c r="F3061" t="str">
        <f>CONCATENATE(calendar[[#This Row],[Month]],"/",calendar[[#This Row],[Year]])</f>
        <v>5/2025</v>
      </c>
      <c r="G3061">
        <f>WEEKDAY(calendar[[#This Row],[Date]],1)</f>
        <v>1</v>
      </c>
      <c r="H3061" t="str">
        <f>TEXT(calendar[[#This Row],[WeekDay]],"dddd")</f>
        <v>Sunday</v>
      </c>
      <c r="I3061">
        <f>IF((INT(calendar[[#This Row],[Count]]/7)-calendar[[#This Row],[Count]]/7)&lt;0,I3060,I3060+1)</f>
        <v>438</v>
      </c>
      <c r="J3061">
        <f t="shared" si="239"/>
        <v>3059</v>
      </c>
      <c r="K3061">
        <f>IF(calendar[[#This Row],[Month]]&lt;4,1,IF(calendar[[#This Row],[Month]]&lt;7,2,IF(calendar[[#This Row],[Month]]&lt;10,3,4)))</f>
        <v>2</v>
      </c>
      <c r="L3061">
        <f>IFERROR(IF(VLOOKUP(calendar[[#This Row],[Date]],BH!A:A,1,)&lt;&gt;"",1,0),0)</f>
        <v>0</v>
      </c>
      <c r="M3061">
        <f>IFERROR(IF(VLOOKUP(calendar[[#This Row],[Date]],BH!C:C,1,)&lt;&gt;"",1,0),0)</f>
        <v>0</v>
      </c>
      <c r="N3061">
        <f>IFERROR(IF(VLOOKUP(calendar[[#This Row],[Date]],BH!E:E,1,)&lt;&gt;"",1,0),0)</f>
        <v>0</v>
      </c>
      <c r="O3061">
        <f>IFERROR(IF(VLOOKUP(calendar[[#This Row],[Date]],BH!G:G,1,)&lt;&gt;"",1,0),0)</f>
        <v>0</v>
      </c>
      <c r="P3061">
        <f>IF(OR(calendar[[#This Row],[UK_BH]]=1,calendar[[#This Row],[WeekDay]]=1, calendar[[#This Row],[WeekDay]]=7),P3060,P3060+1)</f>
        <v>2181</v>
      </c>
      <c r="Q3061">
        <f>IF(OR(calendar[[#This Row],[FR_BH]]=1,calendar[[#This Row],[WeekDay]]=1, calendar[[#This Row],[WeekDay]]=7),P3060,P3060+1)</f>
        <v>2181</v>
      </c>
      <c r="R3061">
        <f>IF(OR(calendar[[#This Row],[SP_BH]]=1,calendar[[#This Row],[WeekDay]]=1, calendar[[#This Row],[WeekDay]]=7),P3060,P3060+1)</f>
        <v>2181</v>
      </c>
      <c r="S3061">
        <f>IF(OR(calendar[[#This Row],[PT_BH]]=1,calendar[[#This Row],[WeekDay]]=1, calendar[[#This Row],[WeekDay]]=7),P3060,P3060+1)</f>
        <v>2181</v>
      </c>
    </row>
    <row r="3062" spans="1:19" x14ac:dyDescent="0.25">
      <c r="A3062" s="2">
        <v>45796</v>
      </c>
      <c r="B3062" s="1">
        <f t="shared" si="238"/>
        <v>21</v>
      </c>
      <c r="C3062">
        <f t="shared" si="240"/>
        <v>5</v>
      </c>
      <c r="D3062" t="str">
        <f t="shared" si="241"/>
        <v>May</v>
      </c>
      <c r="E3062">
        <f t="shared" si="242"/>
        <v>2025</v>
      </c>
      <c r="F3062" t="str">
        <f>CONCATENATE(calendar[[#This Row],[Month]],"/",calendar[[#This Row],[Year]])</f>
        <v>5/2025</v>
      </c>
      <c r="G3062">
        <f>WEEKDAY(calendar[[#This Row],[Date]],1)</f>
        <v>2</v>
      </c>
      <c r="H3062" t="str">
        <f>TEXT(calendar[[#This Row],[WeekDay]],"dddd")</f>
        <v>Monday</v>
      </c>
      <c r="I3062">
        <f>IF((INT(calendar[[#This Row],[Count]]/7)-calendar[[#This Row],[Count]]/7)&lt;0,I3061,I3061+1)</f>
        <v>438</v>
      </c>
      <c r="J3062">
        <f t="shared" si="239"/>
        <v>3060</v>
      </c>
      <c r="K3062">
        <f>IF(calendar[[#This Row],[Month]]&lt;4,1,IF(calendar[[#This Row],[Month]]&lt;7,2,IF(calendar[[#This Row],[Month]]&lt;10,3,4)))</f>
        <v>2</v>
      </c>
      <c r="L3062">
        <f>IFERROR(IF(VLOOKUP(calendar[[#This Row],[Date]],BH!A:A,1,)&lt;&gt;"",1,0),0)</f>
        <v>0</v>
      </c>
      <c r="M3062">
        <f>IFERROR(IF(VLOOKUP(calendar[[#This Row],[Date]],BH!C:C,1,)&lt;&gt;"",1,0),0)</f>
        <v>0</v>
      </c>
      <c r="N3062">
        <f>IFERROR(IF(VLOOKUP(calendar[[#This Row],[Date]],BH!E:E,1,)&lt;&gt;"",1,0),0)</f>
        <v>0</v>
      </c>
      <c r="O3062">
        <f>IFERROR(IF(VLOOKUP(calendar[[#This Row],[Date]],BH!G:G,1,)&lt;&gt;"",1,0),0)</f>
        <v>0</v>
      </c>
      <c r="P3062">
        <f>IF(OR(calendar[[#This Row],[UK_BH]]=1,calendar[[#This Row],[WeekDay]]=1, calendar[[#This Row],[WeekDay]]=7),P3061,P3061+1)</f>
        <v>2182</v>
      </c>
      <c r="Q3062">
        <f>IF(OR(calendar[[#This Row],[FR_BH]]=1,calendar[[#This Row],[WeekDay]]=1, calendar[[#This Row],[WeekDay]]=7),P3061,P3061+1)</f>
        <v>2182</v>
      </c>
      <c r="R3062">
        <f>IF(OR(calendar[[#This Row],[SP_BH]]=1,calendar[[#This Row],[WeekDay]]=1, calendar[[#This Row],[WeekDay]]=7),P3061,P3061+1)</f>
        <v>2182</v>
      </c>
      <c r="S3062">
        <f>IF(OR(calendar[[#This Row],[PT_BH]]=1,calendar[[#This Row],[WeekDay]]=1, calendar[[#This Row],[WeekDay]]=7),P3061,P3061+1)</f>
        <v>2182</v>
      </c>
    </row>
    <row r="3063" spans="1:19" x14ac:dyDescent="0.25">
      <c r="A3063" s="2">
        <v>45797</v>
      </c>
      <c r="B3063" s="1">
        <f t="shared" si="238"/>
        <v>21</v>
      </c>
      <c r="C3063">
        <f t="shared" si="240"/>
        <v>5</v>
      </c>
      <c r="D3063" t="str">
        <f t="shared" si="241"/>
        <v>May</v>
      </c>
      <c r="E3063">
        <f t="shared" si="242"/>
        <v>2025</v>
      </c>
      <c r="F3063" t="str">
        <f>CONCATENATE(calendar[[#This Row],[Month]],"/",calendar[[#This Row],[Year]])</f>
        <v>5/2025</v>
      </c>
      <c r="G3063">
        <f>WEEKDAY(calendar[[#This Row],[Date]],1)</f>
        <v>3</v>
      </c>
      <c r="H3063" t="str">
        <f>TEXT(calendar[[#This Row],[WeekDay]],"dddd")</f>
        <v>Tuesday</v>
      </c>
      <c r="I3063">
        <f>IF((INT(calendar[[#This Row],[Count]]/7)-calendar[[#This Row],[Count]]/7)&lt;0,I3062,I3062+1)</f>
        <v>438</v>
      </c>
      <c r="J3063">
        <f t="shared" si="239"/>
        <v>3061</v>
      </c>
      <c r="K3063">
        <f>IF(calendar[[#This Row],[Month]]&lt;4,1,IF(calendar[[#This Row],[Month]]&lt;7,2,IF(calendar[[#This Row],[Month]]&lt;10,3,4)))</f>
        <v>2</v>
      </c>
      <c r="L3063">
        <f>IFERROR(IF(VLOOKUP(calendar[[#This Row],[Date]],BH!A:A,1,)&lt;&gt;"",1,0),0)</f>
        <v>0</v>
      </c>
      <c r="M3063">
        <f>IFERROR(IF(VLOOKUP(calendar[[#This Row],[Date]],BH!C:C,1,)&lt;&gt;"",1,0),0)</f>
        <v>0</v>
      </c>
      <c r="N3063">
        <f>IFERROR(IF(VLOOKUP(calendar[[#This Row],[Date]],BH!E:E,1,)&lt;&gt;"",1,0),0)</f>
        <v>0</v>
      </c>
      <c r="O3063">
        <f>IFERROR(IF(VLOOKUP(calendar[[#This Row],[Date]],BH!G:G,1,)&lt;&gt;"",1,0),0)</f>
        <v>0</v>
      </c>
      <c r="P3063">
        <f>IF(OR(calendar[[#This Row],[UK_BH]]=1,calendar[[#This Row],[WeekDay]]=1, calendar[[#This Row],[WeekDay]]=7),P3062,P3062+1)</f>
        <v>2183</v>
      </c>
      <c r="Q3063">
        <f>IF(OR(calendar[[#This Row],[FR_BH]]=1,calendar[[#This Row],[WeekDay]]=1, calendar[[#This Row],[WeekDay]]=7),P3062,P3062+1)</f>
        <v>2183</v>
      </c>
      <c r="R3063">
        <f>IF(OR(calendar[[#This Row],[SP_BH]]=1,calendar[[#This Row],[WeekDay]]=1, calendar[[#This Row],[WeekDay]]=7),P3062,P3062+1)</f>
        <v>2183</v>
      </c>
      <c r="S3063">
        <f>IF(OR(calendar[[#This Row],[PT_BH]]=1,calendar[[#This Row],[WeekDay]]=1, calendar[[#This Row],[WeekDay]]=7),P3062,P3062+1)</f>
        <v>2183</v>
      </c>
    </row>
    <row r="3064" spans="1:19" x14ac:dyDescent="0.25">
      <c r="A3064" s="2">
        <v>45798</v>
      </c>
      <c r="B3064" s="1">
        <f t="shared" si="238"/>
        <v>21</v>
      </c>
      <c r="C3064">
        <f t="shared" si="240"/>
        <v>5</v>
      </c>
      <c r="D3064" t="str">
        <f t="shared" si="241"/>
        <v>May</v>
      </c>
      <c r="E3064">
        <f t="shared" si="242"/>
        <v>2025</v>
      </c>
      <c r="F3064" t="str">
        <f>CONCATENATE(calendar[[#This Row],[Month]],"/",calendar[[#This Row],[Year]])</f>
        <v>5/2025</v>
      </c>
      <c r="G3064">
        <f>WEEKDAY(calendar[[#This Row],[Date]],1)</f>
        <v>4</v>
      </c>
      <c r="H3064" t="str">
        <f>TEXT(calendar[[#This Row],[WeekDay]],"dddd")</f>
        <v>Wednesday</v>
      </c>
      <c r="I3064">
        <f>IF((INT(calendar[[#This Row],[Count]]/7)-calendar[[#This Row],[Count]]/7)&lt;0,I3063,I3063+1)</f>
        <v>438</v>
      </c>
      <c r="J3064">
        <f t="shared" si="239"/>
        <v>3062</v>
      </c>
      <c r="K3064">
        <f>IF(calendar[[#This Row],[Month]]&lt;4,1,IF(calendar[[#This Row],[Month]]&lt;7,2,IF(calendar[[#This Row],[Month]]&lt;10,3,4)))</f>
        <v>2</v>
      </c>
      <c r="L3064">
        <f>IFERROR(IF(VLOOKUP(calendar[[#This Row],[Date]],BH!A:A,1,)&lt;&gt;"",1,0),0)</f>
        <v>0</v>
      </c>
      <c r="M3064">
        <f>IFERROR(IF(VLOOKUP(calendar[[#This Row],[Date]],BH!C:C,1,)&lt;&gt;"",1,0),0)</f>
        <v>0</v>
      </c>
      <c r="N3064">
        <f>IFERROR(IF(VLOOKUP(calendar[[#This Row],[Date]],BH!E:E,1,)&lt;&gt;"",1,0),0)</f>
        <v>0</v>
      </c>
      <c r="O3064">
        <f>IFERROR(IF(VLOOKUP(calendar[[#This Row],[Date]],BH!G:G,1,)&lt;&gt;"",1,0),0)</f>
        <v>0</v>
      </c>
      <c r="P3064">
        <f>IF(OR(calendar[[#This Row],[UK_BH]]=1,calendar[[#This Row],[WeekDay]]=1, calendar[[#This Row],[WeekDay]]=7),P3063,P3063+1)</f>
        <v>2184</v>
      </c>
      <c r="Q3064">
        <f>IF(OR(calendar[[#This Row],[FR_BH]]=1,calendar[[#This Row],[WeekDay]]=1, calendar[[#This Row],[WeekDay]]=7),P3063,P3063+1)</f>
        <v>2184</v>
      </c>
      <c r="R3064">
        <f>IF(OR(calendar[[#This Row],[SP_BH]]=1,calendar[[#This Row],[WeekDay]]=1, calendar[[#This Row],[WeekDay]]=7),P3063,P3063+1)</f>
        <v>2184</v>
      </c>
      <c r="S3064">
        <f>IF(OR(calendar[[#This Row],[PT_BH]]=1,calendar[[#This Row],[WeekDay]]=1, calendar[[#This Row],[WeekDay]]=7),P3063,P3063+1)</f>
        <v>2184</v>
      </c>
    </row>
    <row r="3065" spans="1:19" x14ac:dyDescent="0.25">
      <c r="A3065" s="2">
        <v>45799</v>
      </c>
      <c r="B3065" s="1">
        <f t="shared" si="238"/>
        <v>21</v>
      </c>
      <c r="C3065">
        <f t="shared" si="240"/>
        <v>5</v>
      </c>
      <c r="D3065" t="str">
        <f t="shared" si="241"/>
        <v>May</v>
      </c>
      <c r="E3065">
        <f t="shared" si="242"/>
        <v>2025</v>
      </c>
      <c r="F3065" t="str">
        <f>CONCATENATE(calendar[[#This Row],[Month]],"/",calendar[[#This Row],[Year]])</f>
        <v>5/2025</v>
      </c>
      <c r="G3065">
        <f>WEEKDAY(calendar[[#This Row],[Date]],1)</f>
        <v>5</v>
      </c>
      <c r="H3065" t="str">
        <f>TEXT(calendar[[#This Row],[WeekDay]],"dddd")</f>
        <v>Thursday</v>
      </c>
      <c r="I3065">
        <f>IF((INT(calendar[[#This Row],[Count]]/7)-calendar[[#This Row],[Count]]/7)&lt;0,I3064,I3064+1)</f>
        <v>438</v>
      </c>
      <c r="J3065">
        <f t="shared" si="239"/>
        <v>3063</v>
      </c>
      <c r="K3065">
        <f>IF(calendar[[#This Row],[Month]]&lt;4,1,IF(calendar[[#This Row],[Month]]&lt;7,2,IF(calendar[[#This Row],[Month]]&lt;10,3,4)))</f>
        <v>2</v>
      </c>
      <c r="L3065">
        <f>IFERROR(IF(VLOOKUP(calendar[[#This Row],[Date]],BH!A:A,1,)&lt;&gt;"",1,0),0)</f>
        <v>0</v>
      </c>
      <c r="M3065">
        <f>IFERROR(IF(VLOOKUP(calendar[[#This Row],[Date]],BH!C:C,1,)&lt;&gt;"",1,0),0)</f>
        <v>0</v>
      </c>
      <c r="N3065">
        <f>IFERROR(IF(VLOOKUP(calendar[[#This Row],[Date]],BH!E:E,1,)&lt;&gt;"",1,0),0)</f>
        <v>0</v>
      </c>
      <c r="O3065">
        <f>IFERROR(IF(VLOOKUP(calendar[[#This Row],[Date]],BH!G:G,1,)&lt;&gt;"",1,0),0)</f>
        <v>0</v>
      </c>
      <c r="P3065">
        <f>IF(OR(calendar[[#This Row],[UK_BH]]=1,calendar[[#This Row],[WeekDay]]=1, calendar[[#This Row],[WeekDay]]=7),P3064,P3064+1)</f>
        <v>2185</v>
      </c>
      <c r="Q3065">
        <f>IF(OR(calendar[[#This Row],[FR_BH]]=1,calendar[[#This Row],[WeekDay]]=1, calendar[[#This Row],[WeekDay]]=7),P3064,P3064+1)</f>
        <v>2185</v>
      </c>
      <c r="R3065">
        <f>IF(OR(calendar[[#This Row],[SP_BH]]=1,calendar[[#This Row],[WeekDay]]=1, calendar[[#This Row],[WeekDay]]=7),P3064,P3064+1)</f>
        <v>2185</v>
      </c>
      <c r="S3065">
        <f>IF(OR(calendar[[#This Row],[PT_BH]]=1,calendar[[#This Row],[WeekDay]]=1, calendar[[#This Row],[WeekDay]]=7),P3064,P3064+1)</f>
        <v>2185</v>
      </c>
    </row>
    <row r="3066" spans="1:19" x14ac:dyDescent="0.25">
      <c r="A3066" s="2">
        <v>45800</v>
      </c>
      <c r="B3066" s="1">
        <f t="shared" si="238"/>
        <v>21</v>
      </c>
      <c r="C3066">
        <f t="shared" si="240"/>
        <v>5</v>
      </c>
      <c r="D3066" t="str">
        <f t="shared" si="241"/>
        <v>May</v>
      </c>
      <c r="E3066">
        <f t="shared" si="242"/>
        <v>2025</v>
      </c>
      <c r="F3066" t="str">
        <f>CONCATENATE(calendar[[#This Row],[Month]],"/",calendar[[#This Row],[Year]])</f>
        <v>5/2025</v>
      </c>
      <c r="G3066">
        <f>WEEKDAY(calendar[[#This Row],[Date]],1)</f>
        <v>6</v>
      </c>
      <c r="H3066" t="str">
        <f>TEXT(calendar[[#This Row],[WeekDay]],"dddd")</f>
        <v>Friday</v>
      </c>
      <c r="I3066">
        <f>IF((INT(calendar[[#This Row],[Count]]/7)-calendar[[#This Row],[Count]]/7)&lt;0,I3065,I3065+1)</f>
        <v>438</v>
      </c>
      <c r="J3066">
        <f t="shared" si="239"/>
        <v>3064</v>
      </c>
      <c r="K3066">
        <f>IF(calendar[[#This Row],[Month]]&lt;4,1,IF(calendar[[#This Row],[Month]]&lt;7,2,IF(calendar[[#This Row],[Month]]&lt;10,3,4)))</f>
        <v>2</v>
      </c>
      <c r="L3066">
        <f>IFERROR(IF(VLOOKUP(calendar[[#This Row],[Date]],BH!A:A,1,)&lt;&gt;"",1,0),0)</f>
        <v>0</v>
      </c>
      <c r="M3066">
        <f>IFERROR(IF(VLOOKUP(calendar[[#This Row],[Date]],BH!C:C,1,)&lt;&gt;"",1,0),0)</f>
        <v>0</v>
      </c>
      <c r="N3066">
        <f>IFERROR(IF(VLOOKUP(calendar[[#This Row],[Date]],BH!E:E,1,)&lt;&gt;"",1,0),0)</f>
        <v>0</v>
      </c>
      <c r="O3066">
        <f>IFERROR(IF(VLOOKUP(calendar[[#This Row],[Date]],BH!G:G,1,)&lt;&gt;"",1,0),0)</f>
        <v>0</v>
      </c>
      <c r="P3066">
        <f>IF(OR(calendar[[#This Row],[UK_BH]]=1,calendar[[#This Row],[WeekDay]]=1, calendar[[#This Row],[WeekDay]]=7),P3065,P3065+1)</f>
        <v>2186</v>
      </c>
      <c r="Q3066">
        <f>IF(OR(calendar[[#This Row],[FR_BH]]=1,calendar[[#This Row],[WeekDay]]=1, calendar[[#This Row],[WeekDay]]=7),P3065,P3065+1)</f>
        <v>2186</v>
      </c>
      <c r="R3066">
        <f>IF(OR(calendar[[#This Row],[SP_BH]]=1,calendar[[#This Row],[WeekDay]]=1, calendar[[#This Row],[WeekDay]]=7),P3065,P3065+1)</f>
        <v>2186</v>
      </c>
      <c r="S3066">
        <f>IF(OR(calendar[[#This Row],[PT_BH]]=1,calendar[[#This Row],[WeekDay]]=1, calendar[[#This Row],[WeekDay]]=7),P3065,P3065+1)</f>
        <v>2186</v>
      </c>
    </row>
    <row r="3067" spans="1:19" x14ac:dyDescent="0.25">
      <c r="A3067" s="2">
        <v>45801</v>
      </c>
      <c r="B3067" s="1">
        <f t="shared" si="238"/>
        <v>21</v>
      </c>
      <c r="C3067">
        <f t="shared" si="240"/>
        <v>5</v>
      </c>
      <c r="D3067" t="str">
        <f t="shared" si="241"/>
        <v>May</v>
      </c>
      <c r="E3067">
        <f t="shared" si="242"/>
        <v>2025</v>
      </c>
      <c r="F3067" t="str">
        <f>CONCATENATE(calendar[[#This Row],[Month]],"/",calendar[[#This Row],[Year]])</f>
        <v>5/2025</v>
      </c>
      <c r="G3067">
        <f>WEEKDAY(calendar[[#This Row],[Date]],1)</f>
        <v>7</v>
      </c>
      <c r="H3067" t="str">
        <f>TEXT(calendar[[#This Row],[WeekDay]],"dddd")</f>
        <v>Saturday</v>
      </c>
      <c r="I3067">
        <f>IF((INT(calendar[[#This Row],[Count]]/7)-calendar[[#This Row],[Count]]/7)&lt;0,I3066,I3066+1)</f>
        <v>438</v>
      </c>
      <c r="J3067">
        <f t="shared" si="239"/>
        <v>3065</v>
      </c>
      <c r="K3067">
        <f>IF(calendar[[#This Row],[Month]]&lt;4,1,IF(calendar[[#This Row],[Month]]&lt;7,2,IF(calendar[[#This Row],[Month]]&lt;10,3,4)))</f>
        <v>2</v>
      </c>
      <c r="L3067">
        <f>IFERROR(IF(VLOOKUP(calendar[[#This Row],[Date]],BH!A:A,1,)&lt;&gt;"",1,0),0)</f>
        <v>0</v>
      </c>
      <c r="M3067">
        <f>IFERROR(IF(VLOOKUP(calendar[[#This Row],[Date]],BH!C:C,1,)&lt;&gt;"",1,0),0)</f>
        <v>0</v>
      </c>
      <c r="N3067">
        <f>IFERROR(IF(VLOOKUP(calendar[[#This Row],[Date]],BH!E:E,1,)&lt;&gt;"",1,0),0)</f>
        <v>0</v>
      </c>
      <c r="O3067">
        <f>IFERROR(IF(VLOOKUP(calendar[[#This Row],[Date]],BH!G:G,1,)&lt;&gt;"",1,0),0)</f>
        <v>0</v>
      </c>
      <c r="P3067">
        <f>IF(OR(calendar[[#This Row],[UK_BH]]=1,calendar[[#This Row],[WeekDay]]=1, calendar[[#This Row],[WeekDay]]=7),P3066,P3066+1)</f>
        <v>2186</v>
      </c>
      <c r="Q3067">
        <f>IF(OR(calendar[[#This Row],[FR_BH]]=1,calendar[[#This Row],[WeekDay]]=1, calendar[[#This Row],[WeekDay]]=7),P3066,P3066+1)</f>
        <v>2186</v>
      </c>
      <c r="R3067">
        <f>IF(OR(calendar[[#This Row],[SP_BH]]=1,calendar[[#This Row],[WeekDay]]=1, calendar[[#This Row],[WeekDay]]=7),P3066,P3066+1)</f>
        <v>2186</v>
      </c>
      <c r="S3067">
        <f>IF(OR(calendar[[#This Row],[PT_BH]]=1,calendar[[#This Row],[WeekDay]]=1, calendar[[#This Row],[WeekDay]]=7),P3066,P3066+1)</f>
        <v>2186</v>
      </c>
    </row>
    <row r="3068" spans="1:19" x14ac:dyDescent="0.25">
      <c r="A3068" s="2">
        <v>45802</v>
      </c>
      <c r="B3068" s="1">
        <f t="shared" si="238"/>
        <v>22</v>
      </c>
      <c r="C3068">
        <f t="shared" si="240"/>
        <v>5</v>
      </c>
      <c r="D3068" t="str">
        <f t="shared" si="241"/>
        <v>May</v>
      </c>
      <c r="E3068">
        <f t="shared" si="242"/>
        <v>2025</v>
      </c>
      <c r="F3068" t="str">
        <f>CONCATENATE(calendar[[#This Row],[Month]],"/",calendar[[#This Row],[Year]])</f>
        <v>5/2025</v>
      </c>
      <c r="G3068">
        <f>WEEKDAY(calendar[[#This Row],[Date]],1)</f>
        <v>1</v>
      </c>
      <c r="H3068" t="str">
        <f>TEXT(calendar[[#This Row],[WeekDay]],"dddd")</f>
        <v>Sunday</v>
      </c>
      <c r="I3068">
        <f>IF((INT(calendar[[#This Row],[Count]]/7)-calendar[[#This Row],[Count]]/7)&lt;0,I3067,I3067+1)</f>
        <v>439</v>
      </c>
      <c r="J3068">
        <f t="shared" si="239"/>
        <v>3066</v>
      </c>
      <c r="K3068">
        <f>IF(calendar[[#This Row],[Month]]&lt;4,1,IF(calendar[[#This Row],[Month]]&lt;7,2,IF(calendar[[#This Row],[Month]]&lt;10,3,4)))</f>
        <v>2</v>
      </c>
      <c r="L3068">
        <f>IFERROR(IF(VLOOKUP(calendar[[#This Row],[Date]],BH!A:A,1,)&lt;&gt;"",1,0),0)</f>
        <v>0</v>
      </c>
      <c r="M3068">
        <f>IFERROR(IF(VLOOKUP(calendar[[#This Row],[Date]],BH!C:C,1,)&lt;&gt;"",1,0),0)</f>
        <v>0</v>
      </c>
      <c r="N3068">
        <f>IFERROR(IF(VLOOKUP(calendar[[#This Row],[Date]],BH!E:E,1,)&lt;&gt;"",1,0),0)</f>
        <v>0</v>
      </c>
      <c r="O3068">
        <f>IFERROR(IF(VLOOKUP(calendar[[#This Row],[Date]],BH!G:G,1,)&lt;&gt;"",1,0),0)</f>
        <v>0</v>
      </c>
      <c r="P3068">
        <f>IF(OR(calendar[[#This Row],[UK_BH]]=1,calendar[[#This Row],[WeekDay]]=1, calendar[[#This Row],[WeekDay]]=7),P3067,P3067+1)</f>
        <v>2186</v>
      </c>
      <c r="Q3068">
        <f>IF(OR(calendar[[#This Row],[FR_BH]]=1,calendar[[#This Row],[WeekDay]]=1, calendar[[#This Row],[WeekDay]]=7),P3067,P3067+1)</f>
        <v>2186</v>
      </c>
      <c r="R3068">
        <f>IF(OR(calendar[[#This Row],[SP_BH]]=1,calendar[[#This Row],[WeekDay]]=1, calendar[[#This Row],[WeekDay]]=7),P3067,P3067+1)</f>
        <v>2186</v>
      </c>
      <c r="S3068">
        <f>IF(OR(calendar[[#This Row],[PT_BH]]=1,calendar[[#This Row],[WeekDay]]=1, calendar[[#This Row],[WeekDay]]=7),P3067,P3067+1)</f>
        <v>2186</v>
      </c>
    </row>
    <row r="3069" spans="1:19" x14ac:dyDescent="0.25">
      <c r="A3069" s="2">
        <v>45803</v>
      </c>
      <c r="B3069" s="1">
        <f t="shared" si="238"/>
        <v>22</v>
      </c>
      <c r="C3069">
        <f t="shared" si="240"/>
        <v>5</v>
      </c>
      <c r="D3069" t="str">
        <f t="shared" si="241"/>
        <v>May</v>
      </c>
      <c r="E3069">
        <f t="shared" si="242"/>
        <v>2025</v>
      </c>
      <c r="F3069" t="str">
        <f>CONCATENATE(calendar[[#This Row],[Month]],"/",calendar[[#This Row],[Year]])</f>
        <v>5/2025</v>
      </c>
      <c r="G3069">
        <f>WEEKDAY(calendar[[#This Row],[Date]],1)</f>
        <v>2</v>
      </c>
      <c r="H3069" t="str">
        <f>TEXT(calendar[[#This Row],[WeekDay]],"dddd")</f>
        <v>Monday</v>
      </c>
      <c r="I3069">
        <f>IF((INT(calendar[[#This Row],[Count]]/7)-calendar[[#This Row],[Count]]/7)&lt;0,I3068,I3068+1)</f>
        <v>439</v>
      </c>
      <c r="J3069">
        <f t="shared" si="239"/>
        <v>3067</v>
      </c>
      <c r="K3069">
        <f>IF(calendar[[#This Row],[Month]]&lt;4,1,IF(calendar[[#This Row],[Month]]&lt;7,2,IF(calendar[[#This Row],[Month]]&lt;10,3,4)))</f>
        <v>2</v>
      </c>
      <c r="L3069">
        <f>IFERROR(IF(VLOOKUP(calendar[[#This Row],[Date]],BH!A:A,1,)&lt;&gt;"",1,0),0)</f>
        <v>1</v>
      </c>
      <c r="M3069">
        <f>IFERROR(IF(VLOOKUP(calendar[[#This Row],[Date]],BH!C:C,1,)&lt;&gt;"",1,0),0)</f>
        <v>0</v>
      </c>
      <c r="N3069">
        <f>IFERROR(IF(VLOOKUP(calendar[[#This Row],[Date]],BH!E:E,1,)&lt;&gt;"",1,0),0)</f>
        <v>0</v>
      </c>
      <c r="O3069">
        <f>IFERROR(IF(VLOOKUP(calendar[[#This Row],[Date]],BH!G:G,1,)&lt;&gt;"",1,0),0)</f>
        <v>0</v>
      </c>
      <c r="P3069">
        <f>IF(OR(calendar[[#This Row],[UK_BH]]=1,calendar[[#This Row],[WeekDay]]=1, calendar[[#This Row],[WeekDay]]=7),P3068,P3068+1)</f>
        <v>2186</v>
      </c>
      <c r="Q3069">
        <f>IF(OR(calendar[[#This Row],[FR_BH]]=1,calendar[[#This Row],[WeekDay]]=1, calendar[[#This Row],[WeekDay]]=7),P3068,P3068+1)</f>
        <v>2187</v>
      </c>
      <c r="R3069">
        <f>IF(OR(calendar[[#This Row],[SP_BH]]=1,calendar[[#This Row],[WeekDay]]=1, calendar[[#This Row],[WeekDay]]=7),P3068,P3068+1)</f>
        <v>2187</v>
      </c>
      <c r="S3069">
        <f>IF(OR(calendar[[#This Row],[PT_BH]]=1,calendar[[#This Row],[WeekDay]]=1, calendar[[#This Row],[WeekDay]]=7),P3068,P3068+1)</f>
        <v>2187</v>
      </c>
    </row>
    <row r="3070" spans="1:19" x14ac:dyDescent="0.25">
      <c r="A3070" s="2">
        <v>45804</v>
      </c>
      <c r="B3070" s="1">
        <f t="shared" si="238"/>
        <v>22</v>
      </c>
      <c r="C3070">
        <f t="shared" si="240"/>
        <v>5</v>
      </c>
      <c r="D3070" t="str">
        <f t="shared" si="241"/>
        <v>May</v>
      </c>
      <c r="E3070">
        <f t="shared" si="242"/>
        <v>2025</v>
      </c>
      <c r="F3070" t="str">
        <f>CONCATENATE(calendar[[#This Row],[Month]],"/",calendar[[#This Row],[Year]])</f>
        <v>5/2025</v>
      </c>
      <c r="G3070">
        <f>WEEKDAY(calendar[[#This Row],[Date]],1)</f>
        <v>3</v>
      </c>
      <c r="H3070" t="str">
        <f>TEXT(calendar[[#This Row],[WeekDay]],"dddd")</f>
        <v>Tuesday</v>
      </c>
      <c r="I3070">
        <f>IF((INT(calendar[[#This Row],[Count]]/7)-calendar[[#This Row],[Count]]/7)&lt;0,I3069,I3069+1)</f>
        <v>439</v>
      </c>
      <c r="J3070">
        <f t="shared" si="239"/>
        <v>3068</v>
      </c>
      <c r="K3070">
        <f>IF(calendar[[#This Row],[Month]]&lt;4,1,IF(calendar[[#This Row],[Month]]&lt;7,2,IF(calendar[[#This Row],[Month]]&lt;10,3,4)))</f>
        <v>2</v>
      </c>
      <c r="L3070">
        <f>IFERROR(IF(VLOOKUP(calendar[[#This Row],[Date]],BH!A:A,1,)&lt;&gt;"",1,0),0)</f>
        <v>0</v>
      </c>
      <c r="M3070">
        <f>IFERROR(IF(VLOOKUP(calendar[[#This Row],[Date]],BH!C:C,1,)&lt;&gt;"",1,0),0)</f>
        <v>0</v>
      </c>
      <c r="N3070">
        <f>IFERROR(IF(VLOOKUP(calendar[[#This Row],[Date]],BH!E:E,1,)&lt;&gt;"",1,0),0)</f>
        <v>0</v>
      </c>
      <c r="O3070">
        <f>IFERROR(IF(VLOOKUP(calendar[[#This Row],[Date]],BH!G:G,1,)&lt;&gt;"",1,0),0)</f>
        <v>0</v>
      </c>
      <c r="P3070">
        <f>IF(OR(calendar[[#This Row],[UK_BH]]=1,calendar[[#This Row],[WeekDay]]=1, calendar[[#This Row],[WeekDay]]=7),P3069,P3069+1)</f>
        <v>2187</v>
      </c>
      <c r="Q3070">
        <f>IF(OR(calendar[[#This Row],[FR_BH]]=1,calendar[[#This Row],[WeekDay]]=1, calendar[[#This Row],[WeekDay]]=7),P3069,P3069+1)</f>
        <v>2187</v>
      </c>
      <c r="R3070">
        <f>IF(OR(calendar[[#This Row],[SP_BH]]=1,calendar[[#This Row],[WeekDay]]=1, calendar[[#This Row],[WeekDay]]=7),P3069,P3069+1)</f>
        <v>2187</v>
      </c>
      <c r="S3070">
        <f>IF(OR(calendar[[#This Row],[PT_BH]]=1,calendar[[#This Row],[WeekDay]]=1, calendar[[#This Row],[WeekDay]]=7),P3069,P3069+1)</f>
        <v>2187</v>
      </c>
    </row>
    <row r="3071" spans="1:19" x14ac:dyDescent="0.25">
      <c r="A3071" s="2">
        <v>45805</v>
      </c>
      <c r="B3071" s="1">
        <f t="shared" si="238"/>
        <v>22</v>
      </c>
      <c r="C3071">
        <f t="shared" si="240"/>
        <v>5</v>
      </c>
      <c r="D3071" t="str">
        <f t="shared" si="241"/>
        <v>May</v>
      </c>
      <c r="E3071">
        <f t="shared" si="242"/>
        <v>2025</v>
      </c>
      <c r="F3071" t="str">
        <f>CONCATENATE(calendar[[#This Row],[Month]],"/",calendar[[#This Row],[Year]])</f>
        <v>5/2025</v>
      </c>
      <c r="G3071">
        <f>WEEKDAY(calendar[[#This Row],[Date]],1)</f>
        <v>4</v>
      </c>
      <c r="H3071" t="str">
        <f>TEXT(calendar[[#This Row],[WeekDay]],"dddd")</f>
        <v>Wednesday</v>
      </c>
      <c r="I3071">
        <f>IF((INT(calendar[[#This Row],[Count]]/7)-calendar[[#This Row],[Count]]/7)&lt;0,I3070,I3070+1)</f>
        <v>439</v>
      </c>
      <c r="J3071">
        <f t="shared" si="239"/>
        <v>3069</v>
      </c>
      <c r="K3071">
        <f>IF(calendar[[#This Row],[Month]]&lt;4,1,IF(calendar[[#This Row],[Month]]&lt;7,2,IF(calendar[[#This Row],[Month]]&lt;10,3,4)))</f>
        <v>2</v>
      </c>
      <c r="L3071">
        <f>IFERROR(IF(VLOOKUP(calendar[[#This Row],[Date]],BH!A:A,1,)&lt;&gt;"",1,0),0)</f>
        <v>0</v>
      </c>
      <c r="M3071">
        <f>IFERROR(IF(VLOOKUP(calendar[[#This Row],[Date]],BH!C:C,1,)&lt;&gt;"",1,0),0)</f>
        <v>0</v>
      </c>
      <c r="N3071">
        <f>IFERROR(IF(VLOOKUP(calendar[[#This Row],[Date]],BH!E:E,1,)&lt;&gt;"",1,0),0)</f>
        <v>0</v>
      </c>
      <c r="O3071">
        <f>IFERROR(IF(VLOOKUP(calendar[[#This Row],[Date]],BH!G:G,1,)&lt;&gt;"",1,0),0)</f>
        <v>0</v>
      </c>
      <c r="P3071">
        <f>IF(OR(calendar[[#This Row],[UK_BH]]=1,calendar[[#This Row],[WeekDay]]=1, calendar[[#This Row],[WeekDay]]=7),P3070,P3070+1)</f>
        <v>2188</v>
      </c>
      <c r="Q3071">
        <f>IF(OR(calendar[[#This Row],[FR_BH]]=1,calendar[[#This Row],[WeekDay]]=1, calendar[[#This Row],[WeekDay]]=7),P3070,P3070+1)</f>
        <v>2188</v>
      </c>
      <c r="R3071">
        <f>IF(OR(calendar[[#This Row],[SP_BH]]=1,calendar[[#This Row],[WeekDay]]=1, calendar[[#This Row],[WeekDay]]=7),P3070,P3070+1)</f>
        <v>2188</v>
      </c>
      <c r="S3071">
        <f>IF(OR(calendar[[#This Row],[PT_BH]]=1,calendar[[#This Row],[WeekDay]]=1, calendar[[#This Row],[WeekDay]]=7),P3070,P3070+1)</f>
        <v>2188</v>
      </c>
    </row>
    <row r="3072" spans="1:19" x14ac:dyDescent="0.25">
      <c r="A3072" s="2">
        <v>45806</v>
      </c>
      <c r="B3072" s="1">
        <f t="shared" si="238"/>
        <v>22</v>
      </c>
      <c r="C3072">
        <f t="shared" si="240"/>
        <v>5</v>
      </c>
      <c r="D3072" t="str">
        <f t="shared" si="241"/>
        <v>May</v>
      </c>
      <c r="E3072">
        <f t="shared" si="242"/>
        <v>2025</v>
      </c>
      <c r="F3072" t="str">
        <f>CONCATENATE(calendar[[#This Row],[Month]],"/",calendar[[#This Row],[Year]])</f>
        <v>5/2025</v>
      </c>
      <c r="G3072">
        <f>WEEKDAY(calendar[[#This Row],[Date]],1)</f>
        <v>5</v>
      </c>
      <c r="H3072" t="str">
        <f>TEXT(calendar[[#This Row],[WeekDay]],"dddd")</f>
        <v>Thursday</v>
      </c>
      <c r="I3072">
        <f>IF((INT(calendar[[#This Row],[Count]]/7)-calendar[[#This Row],[Count]]/7)&lt;0,I3071,I3071+1)</f>
        <v>439</v>
      </c>
      <c r="J3072">
        <f t="shared" si="239"/>
        <v>3070</v>
      </c>
      <c r="K3072">
        <f>IF(calendar[[#This Row],[Month]]&lt;4,1,IF(calendar[[#This Row],[Month]]&lt;7,2,IF(calendar[[#This Row],[Month]]&lt;10,3,4)))</f>
        <v>2</v>
      </c>
      <c r="L3072">
        <f>IFERROR(IF(VLOOKUP(calendar[[#This Row],[Date]],BH!A:A,1,)&lt;&gt;"",1,0),0)</f>
        <v>0</v>
      </c>
      <c r="M3072">
        <f>IFERROR(IF(VLOOKUP(calendar[[#This Row],[Date]],BH!C:C,1,)&lt;&gt;"",1,0),0)</f>
        <v>1</v>
      </c>
      <c r="N3072">
        <f>IFERROR(IF(VLOOKUP(calendar[[#This Row],[Date]],BH!E:E,1,)&lt;&gt;"",1,0),0)</f>
        <v>0</v>
      </c>
      <c r="O3072">
        <f>IFERROR(IF(VLOOKUP(calendar[[#This Row],[Date]],BH!G:G,1,)&lt;&gt;"",1,0),0)</f>
        <v>0</v>
      </c>
      <c r="P3072">
        <f>IF(OR(calendar[[#This Row],[UK_BH]]=1,calendar[[#This Row],[WeekDay]]=1, calendar[[#This Row],[WeekDay]]=7),P3071,P3071+1)</f>
        <v>2189</v>
      </c>
      <c r="Q3072">
        <f>IF(OR(calendar[[#This Row],[FR_BH]]=1,calendar[[#This Row],[WeekDay]]=1, calendar[[#This Row],[WeekDay]]=7),P3071,P3071+1)</f>
        <v>2188</v>
      </c>
      <c r="R3072">
        <f>IF(OR(calendar[[#This Row],[SP_BH]]=1,calendar[[#This Row],[WeekDay]]=1, calendar[[#This Row],[WeekDay]]=7),P3071,P3071+1)</f>
        <v>2189</v>
      </c>
      <c r="S3072">
        <f>IF(OR(calendar[[#This Row],[PT_BH]]=1,calendar[[#This Row],[WeekDay]]=1, calendar[[#This Row],[WeekDay]]=7),P3071,P3071+1)</f>
        <v>2189</v>
      </c>
    </row>
    <row r="3073" spans="1:19" x14ac:dyDescent="0.25">
      <c r="A3073" s="2">
        <v>45807</v>
      </c>
      <c r="B3073" s="1">
        <f t="shared" si="238"/>
        <v>22</v>
      </c>
      <c r="C3073">
        <f t="shared" si="240"/>
        <v>5</v>
      </c>
      <c r="D3073" t="str">
        <f t="shared" si="241"/>
        <v>May</v>
      </c>
      <c r="E3073">
        <f t="shared" si="242"/>
        <v>2025</v>
      </c>
      <c r="F3073" t="str">
        <f>CONCATENATE(calendar[[#This Row],[Month]],"/",calendar[[#This Row],[Year]])</f>
        <v>5/2025</v>
      </c>
      <c r="G3073">
        <f>WEEKDAY(calendar[[#This Row],[Date]],1)</f>
        <v>6</v>
      </c>
      <c r="H3073" t="str">
        <f>TEXT(calendar[[#This Row],[WeekDay]],"dddd")</f>
        <v>Friday</v>
      </c>
      <c r="I3073">
        <f>IF((INT(calendar[[#This Row],[Count]]/7)-calendar[[#This Row],[Count]]/7)&lt;0,I3072,I3072+1)</f>
        <v>439</v>
      </c>
      <c r="J3073">
        <f t="shared" si="239"/>
        <v>3071</v>
      </c>
      <c r="K3073">
        <f>IF(calendar[[#This Row],[Month]]&lt;4,1,IF(calendar[[#This Row],[Month]]&lt;7,2,IF(calendar[[#This Row],[Month]]&lt;10,3,4)))</f>
        <v>2</v>
      </c>
      <c r="L3073">
        <f>IFERROR(IF(VLOOKUP(calendar[[#This Row],[Date]],BH!A:A,1,)&lt;&gt;"",1,0),0)</f>
        <v>0</v>
      </c>
      <c r="M3073">
        <f>IFERROR(IF(VLOOKUP(calendar[[#This Row],[Date]],BH!C:C,1,)&lt;&gt;"",1,0),0)</f>
        <v>0</v>
      </c>
      <c r="N3073">
        <f>IFERROR(IF(VLOOKUP(calendar[[#This Row],[Date]],BH!E:E,1,)&lt;&gt;"",1,0),0)</f>
        <v>1</v>
      </c>
      <c r="O3073">
        <f>IFERROR(IF(VLOOKUP(calendar[[#This Row],[Date]],BH!G:G,1,)&lt;&gt;"",1,0),0)</f>
        <v>0</v>
      </c>
      <c r="P3073">
        <f>IF(OR(calendar[[#This Row],[UK_BH]]=1,calendar[[#This Row],[WeekDay]]=1, calendar[[#This Row],[WeekDay]]=7),P3072,P3072+1)</f>
        <v>2190</v>
      </c>
      <c r="Q3073">
        <f>IF(OR(calendar[[#This Row],[FR_BH]]=1,calendar[[#This Row],[WeekDay]]=1, calendar[[#This Row],[WeekDay]]=7),P3072,P3072+1)</f>
        <v>2190</v>
      </c>
      <c r="R3073">
        <f>IF(OR(calendar[[#This Row],[SP_BH]]=1,calendar[[#This Row],[WeekDay]]=1, calendar[[#This Row],[WeekDay]]=7),P3072,P3072+1)</f>
        <v>2189</v>
      </c>
      <c r="S3073">
        <f>IF(OR(calendar[[#This Row],[PT_BH]]=1,calendar[[#This Row],[WeekDay]]=1, calendar[[#This Row],[WeekDay]]=7),P3072,P3072+1)</f>
        <v>2190</v>
      </c>
    </row>
    <row r="3074" spans="1:19" x14ac:dyDescent="0.25">
      <c r="A3074" s="2">
        <v>45808</v>
      </c>
      <c r="B3074" s="1">
        <f t="shared" ref="B3074:B3137" si="243">WEEKNUM(A3074)</f>
        <v>22</v>
      </c>
      <c r="C3074">
        <f t="shared" si="240"/>
        <v>5</v>
      </c>
      <c r="D3074" t="str">
        <f t="shared" si="241"/>
        <v>May</v>
      </c>
      <c r="E3074">
        <f t="shared" si="242"/>
        <v>2025</v>
      </c>
      <c r="F3074" t="str">
        <f>CONCATENATE(calendar[[#This Row],[Month]],"/",calendar[[#This Row],[Year]])</f>
        <v>5/2025</v>
      </c>
      <c r="G3074">
        <f>WEEKDAY(calendar[[#This Row],[Date]],1)</f>
        <v>7</v>
      </c>
      <c r="H3074" t="str">
        <f>TEXT(calendar[[#This Row],[WeekDay]],"dddd")</f>
        <v>Saturday</v>
      </c>
      <c r="I3074">
        <f>IF((INT(calendar[[#This Row],[Count]]/7)-calendar[[#This Row],[Count]]/7)&lt;0,I3073,I3073+1)</f>
        <v>439</v>
      </c>
      <c r="J3074">
        <f t="shared" si="239"/>
        <v>3072</v>
      </c>
      <c r="K3074">
        <f>IF(calendar[[#This Row],[Month]]&lt;4,1,IF(calendar[[#This Row],[Month]]&lt;7,2,IF(calendar[[#This Row],[Month]]&lt;10,3,4)))</f>
        <v>2</v>
      </c>
      <c r="L3074">
        <f>IFERROR(IF(VLOOKUP(calendar[[#This Row],[Date]],BH!A:A,1,)&lt;&gt;"",1,0),0)</f>
        <v>0</v>
      </c>
      <c r="M3074">
        <f>IFERROR(IF(VLOOKUP(calendar[[#This Row],[Date]],BH!C:C,1,)&lt;&gt;"",1,0),0)</f>
        <v>0</v>
      </c>
      <c r="N3074">
        <f>IFERROR(IF(VLOOKUP(calendar[[#This Row],[Date]],BH!E:E,1,)&lt;&gt;"",1,0),0)</f>
        <v>0</v>
      </c>
      <c r="O3074">
        <f>IFERROR(IF(VLOOKUP(calendar[[#This Row],[Date]],BH!G:G,1,)&lt;&gt;"",1,0),0)</f>
        <v>0</v>
      </c>
      <c r="P3074">
        <f>IF(OR(calendar[[#This Row],[UK_BH]]=1,calendar[[#This Row],[WeekDay]]=1, calendar[[#This Row],[WeekDay]]=7),P3073,P3073+1)</f>
        <v>2190</v>
      </c>
      <c r="Q3074">
        <f>IF(OR(calendar[[#This Row],[FR_BH]]=1,calendar[[#This Row],[WeekDay]]=1, calendar[[#This Row],[WeekDay]]=7),P3073,P3073+1)</f>
        <v>2190</v>
      </c>
      <c r="R3074">
        <f>IF(OR(calendar[[#This Row],[SP_BH]]=1,calendar[[#This Row],[WeekDay]]=1, calendar[[#This Row],[WeekDay]]=7),P3073,P3073+1)</f>
        <v>2190</v>
      </c>
      <c r="S3074">
        <f>IF(OR(calendar[[#This Row],[PT_BH]]=1,calendar[[#This Row],[WeekDay]]=1, calendar[[#This Row],[WeekDay]]=7),P3073,P3073+1)</f>
        <v>2190</v>
      </c>
    </row>
    <row r="3075" spans="1:19" x14ac:dyDescent="0.25">
      <c r="A3075" s="2">
        <v>45809</v>
      </c>
      <c r="B3075" s="1">
        <f t="shared" si="243"/>
        <v>23</v>
      </c>
      <c r="C3075">
        <f t="shared" si="240"/>
        <v>6</v>
      </c>
      <c r="D3075" t="str">
        <f t="shared" si="241"/>
        <v>June</v>
      </c>
      <c r="E3075">
        <f t="shared" si="242"/>
        <v>2025</v>
      </c>
      <c r="F3075" t="str">
        <f>CONCATENATE(calendar[[#This Row],[Month]],"/",calendar[[#This Row],[Year]])</f>
        <v>6/2025</v>
      </c>
      <c r="G3075">
        <f>WEEKDAY(calendar[[#This Row],[Date]],1)</f>
        <v>1</v>
      </c>
      <c r="H3075" t="str">
        <f>TEXT(calendar[[#This Row],[WeekDay]],"dddd")</f>
        <v>Sunday</v>
      </c>
      <c r="I3075">
        <f>IF((INT(calendar[[#This Row],[Count]]/7)-calendar[[#This Row],[Count]]/7)&lt;0,I3074,I3074+1)</f>
        <v>440</v>
      </c>
      <c r="J3075">
        <f t="shared" ref="J3075:J3138" si="244">J3074+1</f>
        <v>3073</v>
      </c>
      <c r="K3075">
        <f>IF(calendar[[#This Row],[Month]]&lt;4,1,IF(calendar[[#This Row],[Month]]&lt;7,2,IF(calendar[[#This Row],[Month]]&lt;10,3,4)))</f>
        <v>2</v>
      </c>
      <c r="L3075">
        <f>IFERROR(IF(VLOOKUP(calendar[[#This Row],[Date]],BH!A:A,1,)&lt;&gt;"",1,0),0)</f>
        <v>0</v>
      </c>
      <c r="M3075">
        <f>IFERROR(IF(VLOOKUP(calendar[[#This Row],[Date]],BH!C:C,1,)&lt;&gt;"",1,0),0)</f>
        <v>0</v>
      </c>
      <c r="N3075">
        <f>IFERROR(IF(VLOOKUP(calendar[[#This Row],[Date]],BH!E:E,1,)&lt;&gt;"",1,0),0)</f>
        <v>0</v>
      </c>
      <c r="O3075">
        <f>IFERROR(IF(VLOOKUP(calendar[[#This Row],[Date]],BH!G:G,1,)&lt;&gt;"",1,0),0)</f>
        <v>0</v>
      </c>
      <c r="P3075">
        <f>IF(OR(calendar[[#This Row],[UK_BH]]=1,calendar[[#This Row],[WeekDay]]=1, calendar[[#This Row],[WeekDay]]=7),P3074,P3074+1)</f>
        <v>2190</v>
      </c>
      <c r="Q3075">
        <f>IF(OR(calendar[[#This Row],[FR_BH]]=1,calendar[[#This Row],[WeekDay]]=1, calendar[[#This Row],[WeekDay]]=7),P3074,P3074+1)</f>
        <v>2190</v>
      </c>
      <c r="R3075">
        <f>IF(OR(calendar[[#This Row],[SP_BH]]=1,calendar[[#This Row],[WeekDay]]=1, calendar[[#This Row],[WeekDay]]=7),P3074,P3074+1)</f>
        <v>2190</v>
      </c>
      <c r="S3075">
        <f>IF(OR(calendar[[#This Row],[PT_BH]]=1,calendar[[#This Row],[WeekDay]]=1, calendar[[#This Row],[WeekDay]]=7),P3074,P3074+1)</f>
        <v>2190</v>
      </c>
    </row>
    <row r="3076" spans="1:19" x14ac:dyDescent="0.25">
      <c r="A3076" s="2">
        <v>45810</v>
      </c>
      <c r="B3076" s="1">
        <f t="shared" si="243"/>
        <v>23</v>
      </c>
      <c r="C3076">
        <f t="shared" si="240"/>
        <v>6</v>
      </c>
      <c r="D3076" t="str">
        <f t="shared" si="241"/>
        <v>June</v>
      </c>
      <c r="E3076">
        <f t="shared" si="242"/>
        <v>2025</v>
      </c>
      <c r="F3076" t="str">
        <f>CONCATENATE(calendar[[#This Row],[Month]],"/",calendar[[#This Row],[Year]])</f>
        <v>6/2025</v>
      </c>
      <c r="G3076">
        <f>WEEKDAY(calendar[[#This Row],[Date]],1)</f>
        <v>2</v>
      </c>
      <c r="H3076" t="str">
        <f>TEXT(calendar[[#This Row],[WeekDay]],"dddd")</f>
        <v>Monday</v>
      </c>
      <c r="I3076">
        <f>IF((INT(calendar[[#This Row],[Count]]/7)-calendar[[#This Row],[Count]]/7)&lt;0,I3075,I3075+1)</f>
        <v>440</v>
      </c>
      <c r="J3076">
        <f t="shared" si="244"/>
        <v>3074</v>
      </c>
      <c r="K3076">
        <f>IF(calendar[[#This Row],[Month]]&lt;4,1,IF(calendar[[#This Row],[Month]]&lt;7,2,IF(calendar[[#This Row],[Month]]&lt;10,3,4)))</f>
        <v>2</v>
      </c>
      <c r="L3076">
        <f>IFERROR(IF(VLOOKUP(calendar[[#This Row],[Date]],BH!A:A,1,)&lt;&gt;"",1,0),0)</f>
        <v>0</v>
      </c>
      <c r="M3076">
        <f>IFERROR(IF(VLOOKUP(calendar[[#This Row],[Date]],BH!C:C,1,)&lt;&gt;"",1,0),0)</f>
        <v>0</v>
      </c>
      <c r="N3076">
        <f>IFERROR(IF(VLOOKUP(calendar[[#This Row],[Date]],BH!E:E,1,)&lt;&gt;"",1,0),0)</f>
        <v>0</v>
      </c>
      <c r="O3076">
        <f>IFERROR(IF(VLOOKUP(calendar[[#This Row],[Date]],BH!G:G,1,)&lt;&gt;"",1,0),0)</f>
        <v>0</v>
      </c>
      <c r="P3076">
        <f>IF(OR(calendar[[#This Row],[UK_BH]]=1,calendar[[#This Row],[WeekDay]]=1, calendar[[#This Row],[WeekDay]]=7),P3075,P3075+1)</f>
        <v>2191</v>
      </c>
      <c r="Q3076">
        <f>IF(OR(calendar[[#This Row],[FR_BH]]=1,calendar[[#This Row],[WeekDay]]=1, calendar[[#This Row],[WeekDay]]=7),P3075,P3075+1)</f>
        <v>2191</v>
      </c>
      <c r="R3076">
        <f>IF(OR(calendar[[#This Row],[SP_BH]]=1,calendar[[#This Row],[WeekDay]]=1, calendar[[#This Row],[WeekDay]]=7),P3075,P3075+1)</f>
        <v>2191</v>
      </c>
      <c r="S3076">
        <f>IF(OR(calendar[[#This Row],[PT_BH]]=1,calendar[[#This Row],[WeekDay]]=1, calendar[[#This Row],[WeekDay]]=7),P3075,P3075+1)</f>
        <v>2191</v>
      </c>
    </row>
    <row r="3077" spans="1:19" x14ac:dyDescent="0.25">
      <c r="A3077" s="2">
        <v>45811</v>
      </c>
      <c r="B3077" s="1">
        <f t="shared" si="243"/>
        <v>23</v>
      </c>
      <c r="C3077">
        <f t="shared" si="240"/>
        <v>6</v>
      </c>
      <c r="D3077" t="str">
        <f t="shared" si="241"/>
        <v>June</v>
      </c>
      <c r="E3077">
        <f t="shared" si="242"/>
        <v>2025</v>
      </c>
      <c r="F3077" t="str">
        <f>CONCATENATE(calendar[[#This Row],[Month]],"/",calendar[[#This Row],[Year]])</f>
        <v>6/2025</v>
      </c>
      <c r="G3077">
        <f>WEEKDAY(calendar[[#This Row],[Date]],1)</f>
        <v>3</v>
      </c>
      <c r="H3077" t="str">
        <f>TEXT(calendar[[#This Row],[WeekDay]],"dddd")</f>
        <v>Tuesday</v>
      </c>
      <c r="I3077">
        <f>IF((INT(calendar[[#This Row],[Count]]/7)-calendar[[#This Row],[Count]]/7)&lt;0,I3076,I3076+1)</f>
        <v>440</v>
      </c>
      <c r="J3077">
        <f t="shared" si="244"/>
        <v>3075</v>
      </c>
      <c r="K3077">
        <f>IF(calendar[[#This Row],[Month]]&lt;4,1,IF(calendar[[#This Row],[Month]]&lt;7,2,IF(calendar[[#This Row],[Month]]&lt;10,3,4)))</f>
        <v>2</v>
      </c>
      <c r="L3077">
        <f>IFERROR(IF(VLOOKUP(calendar[[#This Row],[Date]],BH!A:A,1,)&lt;&gt;"",1,0),0)</f>
        <v>0</v>
      </c>
      <c r="M3077">
        <f>IFERROR(IF(VLOOKUP(calendar[[#This Row],[Date]],BH!C:C,1,)&lt;&gt;"",1,0),0)</f>
        <v>0</v>
      </c>
      <c r="N3077">
        <f>IFERROR(IF(VLOOKUP(calendar[[#This Row],[Date]],BH!E:E,1,)&lt;&gt;"",1,0),0)</f>
        <v>0</v>
      </c>
      <c r="O3077">
        <f>IFERROR(IF(VLOOKUP(calendar[[#This Row],[Date]],BH!G:G,1,)&lt;&gt;"",1,0),0)</f>
        <v>0</v>
      </c>
      <c r="P3077">
        <f>IF(OR(calendar[[#This Row],[UK_BH]]=1,calendar[[#This Row],[WeekDay]]=1, calendar[[#This Row],[WeekDay]]=7),P3076,P3076+1)</f>
        <v>2192</v>
      </c>
      <c r="Q3077">
        <f>IF(OR(calendar[[#This Row],[FR_BH]]=1,calendar[[#This Row],[WeekDay]]=1, calendar[[#This Row],[WeekDay]]=7),P3076,P3076+1)</f>
        <v>2192</v>
      </c>
      <c r="R3077">
        <f>IF(OR(calendar[[#This Row],[SP_BH]]=1,calendar[[#This Row],[WeekDay]]=1, calendar[[#This Row],[WeekDay]]=7),P3076,P3076+1)</f>
        <v>2192</v>
      </c>
      <c r="S3077">
        <f>IF(OR(calendar[[#This Row],[PT_BH]]=1,calendar[[#This Row],[WeekDay]]=1, calendar[[#This Row],[WeekDay]]=7),P3076,P3076+1)</f>
        <v>2192</v>
      </c>
    </row>
    <row r="3078" spans="1:19" x14ac:dyDescent="0.25">
      <c r="A3078" s="2">
        <v>45812</v>
      </c>
      <c r="B3078" s="1">
        <f t="shared" si="243"/>
        <v>23</v>
      </c>
      <c r="C3078">
        <f t="shared" si="240"/>
        <v>6</v>
      </c>
      <c r="D3078" t="str">
        <f t="shared" si="241"/>
        <v>June</v>
      </c>
      <c r="E3078">
        <f t="shared" si="242"/>
        <v>2025</v>
      </c>
      <c r="F3078" t="str">
        <f>CONCATENATE(calendar[[#This Row],[Month]],"/",calendar[[#This Row],[Year]])</f>
        <v>6/2025</v>
      </c>
      <c r="G3078">
        <f>WEEKDAY(calendar[[#This Row],[Date]],1)</f>
        <v>4</v>
      </c>
      <c r="H3078" t="str">
        <f>TEXT(calendar[[#This Row],[WeekDay]],"dddd")</f>
        <v>Wednesday</v>
      </c>
      <c r="I3078">
        <f>IF((INT(calendar[[#This Row],[Count]]/7)-calendar[[#This Row],[Count]]/7)&lt;0,I3077,I3077+1)</f>
        <v>440</v>
      </c>
      <c r="J3078">
        <f t="shared" si="244"/>
        <v>3076</v>
      </c>
      <c r="K3078">
        <f>IF(calendar[[#This Row],[Month]]&lt;4,1,IF(calendar[[#This Row],[Month]]&lt;7,2,IF(calendar[[#This Row],[Month]]&lt;10,3,4)))</f>
        <v>2</v>
      </c>
      <c r="L3078">
        <f>IFERROR(IF(VLOOKUP(calendar[[#This Row],[Date]],BH!A:A,1,)&lt;&gt;"",1,0),0)</f>
        <v>0</v>
      </c>
      <c r="M3078">
        <f>IFERROR(IF(VLOOKUP(calendar[[#This Row],[Date]],BH!C:C,1,)&lt;&gt;"",1,0),0)</f>
        <v>0</v>
      </c>
      <c r="N3078">
        <f>IFERROR(IF(VLOOKUP(calendar[[#This Row],[Date]],BH!E:E,1,)&lt;&gt;"",1,0),0)</f>
        <v>0</v>
      </c>
      <c r="O3078">
        <f>IFERROR(IF(VLOOKUP(calendar[[#This Row],[Date]],BH!G:G,1,)&lt;&gt;"",1,0),0)</f>
        <v>0</v>
      </c>
      <c r="P3078">
        <f>IF(OR(calendar[[#This Row],[UK_BH]]=1,calendar[[#This Row],[WeekDay]]=1, calendar[[#This Row],[WeekDay]]=7),P3077,P3077+1)</f>
        <v>2193</v>
      </c>
      <c r="Q3078">
        <f>IF(OR(calendar[[#This Row],[FR_BH]]=1,calendar[[#This Row],[WeekDay]]=1, calendar[[#This Row],[WeekDay]]=7),P3077,P3077+1)</f>
        <v>2193</v>
      </c>
      <c r="R3078">
        <f>IF(OR(calendar[[#This Row],[SP_BH]]=1,calendar[[#This Row],[WeekDay]]=1, calendar[[#This Row],[WeekDay]]=7),P3077,P3077+1)</f>
        <v>2193</v>
      </c>
      <c r="S3078">
        <f>IF(OR(calendar[[#This Row],[PT_BH]]=1,calendar[[#This Row],[WeekDay]]=1, calendar[[#This Row],[WeekDay]]=7),P3077,P3077+1)</f>
        <v>2193</v>
      </c>
    </row>
    <row r="3079" spans="1:19" x14ac:dyDescent="0.25">
      <c r="A3079" s="2">
        <v>45813</v>
      </c>
      <c r="B3079" s="1">
        <f t="shared" si="243"/>
        <v>23</v>
      </c>
      <c r="C3079">
        <f t="shared" si="240"/>
        <v>6</v>
      </c>
      <c r="D3079" t="str">
        <f t="shared" si="241"/>
        <v>June</v>
      </c>
      <c r="E3079">
        <f t="shared" si="242"/>
        <v>2025</v>
      </c>
      <c r="F3079" t="str">
        <f>CONCATENATE(calendar[[#This Row],[Month]],"/",calendar[[#This Row],[Year]])</f>
        <v>6/2025</v>
      </c>
      <c r="G3079">
        <f>WEEKDAY(calendar[[#This Row],[Date]],1)</f>
        <v>5</v>
      </c>
      <c r="H3079" t="str">
        <f>TEXT(calendar[[#This Row],[WeekDay]],"dddd")</f>
        <v>Thursday</v>
      </c>
      <c r="I3079">
        <f>IF((INT(calendar[[#This Row],[Count]]/7)-calendar[[#This Row],[Count]]/7)&lt;0,I3078,I3078+1)</f>
        <v>440</v>
      </c>
      <c r="J3079">
        <f t="shared" si="244"/>
        <v>3077</v>
      </c>
      <c r="K3079">
        <f>IF(calendar[[#This Row],[Month]]&lt;4,1,IF(calendar[[#This Row],[Month]]&lt;7,2,IF(calendar[[#This Row],[Month]]&lt;10,3,4)))</f>
        <v>2</v>
      </c>
      <c r="L3079">
        <f>IFERROR(IF(VLOOKUP(calendar[[#This Row],[Date]],BH!A:A,1,)&lt;&gt;"",1,0),0)</f>
        <v>0</v>
      </c>
      <c r="M3079">
        <f>IFERROR(IF(VLOOKUP(calendar[[#This Row],[Date]],BH!C:C,1,)&lt;&gt;"",1,0),0)</f>
        <v>0</v>
      </c>
      <c r="N3079">
        <f>IFERROR(IF(VLOOKUP(calendar[[#This Row],[Date]],BH!E:E,1,)&lt;&gt;"",1,0),0)</f>
        <v>0</v>
      </c>
      <c r="O3079">
        <f>IFERROR(IF(VLOOKUP(calendar[[#This Row],[Date]],BH!G:G,1,)&lt;&gt;"",1,0),0)</f>
        <v>0</v>
      </c>
      <c r="P3079">
        <f>IF(OR(calendar[[#This Row],[UK_BH]]=1,calendar[[#This Row],[WeekDay]]=1, calendar[[#This Row],[WeekDay]]=7),P3078,P3078+1)</f>
        <v>2194</v>
      </c>
      <c r="Q3079">
        <f>IF(OR(calendar[[#This Row],[FR_BH]]=1,calendar[[#This Row],[WeekDay]]=1, calendar[[#This Row],[WeekDay]]=7),P3078,P3078+1)</f>
        <v>2194</v>
      </c>
      <c r="R3079">
        <f>IF(OR(calendar[[#This Row],[SP_BH]]=1,calendar[[#This Row],[WeekDay]]=1, calendar[[#This Row],[WeekDay]]=7),P3078,P3078+1)</f>
        <v>2194</v>
      </c>
      <c r="S3079">
        <f>IF(OR(calendar[[#This Row],[PT_BH]]=1,calendar[[#This Row],[WeekDay]]=1, calendar[[#This Row],[WeekDay]]=7),P3078,P3078+1)</f>
        <v>2194</v>
      </c>
    </row>
    <row r="3080" spans="1:19" x14ac:dyDescent="0.25">
      <c r="A3080" s="2">
        <v>45814</v>
      </c>
      <c r="B3080" s="1">
        <f t="shared" si="243"/>
        <v>23</v>
      </c>
      <c r="C3080">
        <f t="shared" si="240"/>
        <v>6</v>
      </c>
      <c r="D3080" t="str">
        <f t="shared" si="241"/>
        <v>June</v>
      </c>
      <c r="E3080">
        <f t="shared" si="242"/>
        <v>2025</v>
      </c>
      <c r="F3080" t="str">
        <f>CONCATENATE(calendar[[#This Row],[Month]],"/",calendar[[#This Row],[Year]])</f>
        <v>6/2025</v>
      </c>
      <c r="G3080">
        <f>WEEKDAY(calendar[[#This Row],[Date]],1)</f>
        <v>6</v>
      </c>
      <c r="H3080" t="str">
        <f>TEXT(calendar[[#This Row],[WeekDay]],"dddd")</f>
        <v>Friday</v>
      </c>
      <c r="I3080">
        <f>IF((INT(calendar[[#This Row],[Count]]/7)-calendar[[#This Row],[Count]]/7)&lt;0,I3079,I3079+1)</f>
        <v>440</v>
      </c>
      <c r="J3080">
        <f t="shared" si="244"/>
        <v>3078</v>
      </c>
      <c r="K3080">
        <f>IF(calendar[[#This Row],[Month]]&lt;4,1,IF(calendar[[#This Row],[Month]]&lt;7,2,IF(calendar[[#This Row],[Month]]&lt;10,3,4)))</f>
        <v>2</v>
      </c>
      <c r="L3080">
        <f>IFERROR(IF(VLOOKUP(calendar[[#This Row],[Date]],BH!A:A,1,)&lt;&gt;"",1,0),0)</f>
        <v>0</v>
      </c>
      <c r="M3080">
        <f>IFERROR(IF(VLOOKUP(calendar[[#This Row],[Date]],BH!C:C,1,)&lt;&gt;"",1,0),0)</f>
        <v>0</v>
      </c>
      <c r="N3080">
        <f>IFERROR(IF(VLOOKUP(calendar[[#This Row],[Date]],BH!E:E,1,)&lt;&gt;"",1,0),0)</f>
        <v>0</v>
      </c>
      <c r="O3080">
        <f>IFERROR(IF(VLOOKUP(calendar[[#This Row],[Date]],BH!G:G,1,)&lt;&gt;"",1,0),0)</f>
        <v>0</v>
      </c>
      <c r="P3080">
        <f>IF(OR(calendar[[#This Row],[UK_BH]]=1,calendar[[#This Row],[WeekDay]]=1, calendar[[#This Row],[WeekDay]]=7),P3079,P3079+1)</f>
        <v>2195</v>
      </c>
      <c r="Q3080">
        <f>IF(OR(calendar[[#This Row],[FR_BH]]=1,calendar[[#This Row],[WeekDay]]=1, calendar[[#This Row],[WeekDay]]=7),P3079,P3079+1)</f>
        <v>2195</v>
      </c>
      <c r="R3080">
        <f>IF(OR(calendar[[#This Row],[SP_BH]]=1,calendar[[#This Row],[WeekDay]]=1, calendar[[#This Row],[WeekDay]]=7),P3079,P3079+1)</f>
        <v>2195</v>
      </c>
      <c r="S3080">
        <f>IF(OR(calendar[[#This Row],[PT_BH]]=1,calendar[[#This Row],[WeekDay]]=1, calendar[[#This Row],[WeekDay]]=7),P3079,P3079+1)</f>
        <v>2195</v>
      </c>
    </row>
    <row r="3081" spans="1:19" x14ac:dyDescent="0.25">
      <c r="A3081" s="2">
        <v>45815</v>
      </c>
      <c r="B3081" s="1">
        <f t="shared" si="243"/>
        <v>23</v>
      </c>
      <c r="C3081">
        <f t="shared" si="240"/>
        <v>6</v>
      </c>
      <c r="D3081" t="str">
        <f t="shared" si="241"/>
        <v>June</v>
      </c>
      <c r="E3081">
        <f t="shared" si="242"/>
        <v>2025</v>
      </c>
      <c r="F3081" t="str">
        <f>CONCATENATE(calendar[[#This Row],[Month]],"/",calendar[[#This Row],[Year]])</f>
        <v>6/2025</v>
      </c>
      <c r="G3081">
        <f>WEEKDAY(calendar[[#This Row],[Date]],1)</f>
        <v>7</v>
      </c>
      <c r="H3081" t="str">
        <f>TEXT(calendar[[#This Row],[WeekDay]],"dddd")</f>
        <v>Saturday</v>
      </c>
      <c r="I3081">
        <f>IF((INT(calendar[[#This Row],[Count]]/7)-calendar[[#This Row],[Count]]/7)&lt;0,I3080,I3080+1)</f>
        <v>440</v>
      </c>
      <c r="J3081">
        <f t="shared" si="244"/>
        <v>3079</v>
      </c>
      <c r="K3081">
        <f>IF(calendar[[#This Row],[Month]]&lt;4,1,IF(calendar[[#This Row],[Month]]&lt;7,2,IF(calendar[[#This Row],[Month]]&lt;10,3,4)))</f>
        <v>2</v>
      </c>
      <c r="L3081">
        <f>IFERROR(IF(VLOOKUP(calendar[[#This Row],[Date]],BH!A:A,1,)&lt;&gt;"",1,0),0)</f>
        <v>0</v>
      </c>
      <c r="M3081">
        <f>IFERROR(IF(VLOOKUP(calendar[[#This Row],[Date]],BH!C:C,1,)&lt;&gt;"",1,0),0)</f>
        <v>0</v>
      </c>
      <c r="N3081">
        <f>IFERROR(IF(VLOOKUP(calendar[[#This Row],[Date]],BH!E:E,1,)&lt;&gt;"",1,0),0)</f>
        <v>0</v>
      </c>
      <c r="O3081">
        <f>IFERROR(IF(VLOOKUP(calendar[[#This Row],[Date]],BH!G:G,1,)&lt;&gt;"",1,0),0)</f>
        <v>0</v>
      </c>
      <c r="P3081">
        <f>IF(OR(calendar[[#This Row],[UK_BH]]=1,calendar[[#This Row],[WeekDay]]=1, calendar[[#This Row],[WeekDay]]=7),P3080,P3080+1)</f>
        <v>2195</v>
      </c>
      <c r="Q3081">
        <f>IF(OR(calendar[[#This Row],[FR_BH]]=1,calendar[[#This Row],[WeekDay]]=1, calendar[[#This Row],[WeekDay]]=7),P3080,P3080+1)</f>
        <v>2195</v>
      </c>
      <c r="R3081">
        <f>IF(OR(calendar[[#This Row],[SP_BH]]=1,calendar[[#This Row],[WeekDay]]=1, calendar[[#This Row],[WeekDay]]=7),P3080,P3080+1)</f>
        <v>2195</v>
      </c>
      <c r="S3081">
        <f>IF(OR(calendar[[#This Row],[PT_BH]]=1,calendar[[#This Row],[WeekDay]]=1, calendar[[#This Row],[WeekDay]]=7),P3080,P3080+1)</f>
        <v>2195</v>
      </c>
    </row>
    <row r="3082" spans="1:19" x14ac:dyDescent="0.25">
      <c r="A3082" s="2">
        <v>45816</v>
      </c>
      <c r="B3082" s="1">
        <f t="shared" si="243"/>
        <v>24</v>
      </c>
      <c r="C3082">
        <f t="shared" si="240"/>
        <v>6</v>
      </c>
      <c r="D3082" t="str">
        <f t="shared" si="241"/>
        <v>June</v>
      </c>
      <c r="E3082">
        <f t="shared" si="242"/>
        <v>2025</v>
      </c>
      <c r="F3082" t="str">
        <f>CONCATENATE(calendar[[#This Row],[Month]],"/",calendar[[#This Row],[Year]])</f>
        <v>6/2025</v>
      </c>
      <c r="G3082">
        <f>WEEKDAY(calendar[[#This Row],[Date]],1)</f>
        <v>1</v>
      </c>
      <c r="H3082" t="str">
        <f>TEXT(calendar[[#This Row],[WeekDay]],"dddd")</f>
        <v>Sunday</v>
      </c>
      <c r="I3082">
        <f>IF((INT(calendar[[#This Row],[Count]]/7)-calendar[[#This Row],[Count]]/7)&lt;0,I3081,I3081+1)</f>
        <v>441</v>
      </c>
      <c r="J3082">
        <f t="shared" si="244"/>
        <v>3080</v>
      </c>
      <c r="K3082">
        <f>IF(calendar[[#This Row],[Month]]&lt;4,1,IF(calendar[[#This Row],[Month]]&lt;7,2,IF(calendar[[#This Row],[Month]]&lt;10,3,4)))</f>
        <v>2</v>
      </c>
      <c r="L3082">
        <f>IFERROR(IF(VLOOKUP(calendar[[#This Row],[Date]],BH!A:A,1,)&lt;&gt;"",1,0),0)</f>
        <v>0</v>
      </c>
      <c r="M3082">
        <f>IFERROR(IF(VLOOKUP(calendar[[#This Row],[Date]],BH!C:C,1,)&lt;&gt;"",1,0),0)</f>
        <v>1</v>
      </c>
      <c r="N3082">
        <f>IFERROR(IF(VLOOKUP(calendar[[#This Row],[Date]],BH!E:E,1,)&lt;&gt;"",1,0),0)</f>
        <v>0</v>
      </c>
      <c r="O3082">
        <f>IFERROR(IF(VLOOKUP(calendar[[#This Row],[Date]],BH!G:G,1,)&lt;&gt;"",1,0),0)</f>
        <v>0</v>
      </c>
      <c r="P3082">
        <f>IF(OR(calendar[[#This Row],[UK_BH]]=1,calendar[[#This Row],[WeekDay]]=1, calendar[[#This Row],[WeekDay]]=7),P3081,P3081+1)</f>
        <v>2195</v>
      </c>
      <c r="Q3082">
        <f>IF(OR(calendar[[#This Row],[FR_BH]]=1,calendar[[#This Row],[WeekDay]]=1, calendar[[#This Row],[WeekDay]]=7),P3081,P3081+1)</f>
        <v>2195</v>
      </c>
      <c r="R3082">
        <f>IF(OR(calendar[[#This Row],[SP_BH]]=1,calendar[[#This Row],[WeekDay]]=1, calendar[[#This Row],[WeekDay]]=7),P3081,P3081+1)</f>
        <v>2195</v>
      </c>
      <c r="S3082">
        <f>IF(OR(calendar[[#This Row],[PT_BH]]=1,calendar[[#This Row],[WeekDay]]=1, calendar[[#This Row],[WeekDay]]=7),P3081,P3081+1)</f>
        <v>2195</v>
      </c>
    </row>
    <row r="3083" spans="1:19" x14ac:dyDescent="0.25">
      <c r="A3083" s="2">
        <v>45817</v>
      </c>
      <c r="B3083" s="1">
        <f t="shared" si="243"/>
        <v>24</v>
      </c>
      <c r="C3083">
        <f t="shared" si="240"/>
        <v>6</v>
      </c>
      <c r="D3083" t="str">
        <f t="shared" si="241"/>
        <v>June</v>
      </c>
      <c r="E3083">
        <f t="shared" si="242"/>
        <v>2025</v>
      </c>
      <c r="F3083" t="str">
        <f>CONCATENATE(calendar[[#This Row],[Month]],"/",calendar[[#This Row],[Year]])</f>
        <v>6/2025</v>
      </c>
      <c r="G3083">
        <f>WEEKDAY(calendar[[#This Row],[Date]],1)</f>
        <v>2</v>
      </c>
      <c r="H3083" t="str">
        <f>TEXT(calendar[[#This Row],[WeekDay]],"dddd")</f>
        <v>Monday</v>
      </c>
      <c r="I3083">
        <f>IF((INT(calendar[[#This Row],[Count]]/7)-calendar[[#This Row],[Count]]/7)&lt;0,I3082,I3082+1)</f>
        <v>441</v>
      </c>
      <c r="J3083">
        <f t="shared" si="244"/>
        <v>3081</v>
      </c>
      <c r="K3083">
        <f>IF(calendar[[#This Row],[Month]]&lt;4,1,IF(calendar[[#This Row],[Month]]&lt;7,2,IF(calendar[[#This Row],[Month]]&lt;10,3,4)))</f>
        <v>2</v>
      </c>
      <c r="L3083">
        <f>IFERROR(IF(VLOOKUP(calendar[[#This Row],[Date]],BH!A:A,1,)&lt;&gt;"",1,0),0)</f>
        <v>0</v>
      </c>
      <c r="M3083">
        <f>IFERROR(IF(VLOOKUP(calendar[[#This Row],[Date]],BH!C:C,1,)&lt;&gt;"",1,0),0)</f>
        <v>1</v>
      </c>
      <c r="N3083">
        <f>IFERROR(IF(VLOOKUP(calendar[[#This Row],[Date]],BH!E:E,1,)&lt;&gt;"",1,0),0)</f>
        <v>0</v>
      </c>
      <c r="O3083">
        <f>IFERROR(IF(VLOOKUP(calendar[[#This Row],[Date]],BH!G:G,1,)&lt;&gt;"",1,0),0)</f>
        <v>0</v>
      </c>
      <c r="P3083">
        <f>IF(OR(calendar[[#This Row],[UK_BH]]=1,calendar[[#This Row],[WeekDay]]=1, calendar[[#This Row],[WeekDay]]=7),P3082,P3082+1)</f>
        <v>2196</v>
      </c>
      <c r="Q3083">
        <f>IF(OR(calendar[[#This Row],[FR_BH]]=1,calendar[[#This Row],[WeekDay]]=1, calendar[[#This Row],[WeekDay]]=7),P3082,P3082+1)</f>
        <v>2195</v>
      </c>
      <c r="R3083">
        <f>IF(OR(calendar[[#This Row],[SP_BH]]=1,calendar[[#This Row],[WeekDay]]=1, calendar[[#This Row],[WeekDay]]=7),P3082,P3082+1)</f>
        <v>2196</v>
      </c>
      <c r="S3083">
        <f>IF(OR(calendar[[#This Row],[PT_BH]]=1,calendar[[#This Row],[WeekDay]]=1, calendar[[#This Row],[WeekDay]]=7),P3082,P3082+1)</f>
        <v>2196</v>
      </c>
    </row>
    <row r="3084" spans="1:19" x14ac:dyDescent="0.25">
      <c r="A3084" s="2">
        <v>45818</v>
      </c>
      <c r="B3084" s="1">
        <f t="shared" si="243"/>
        <v>24</v>
      </c>
      <c r="C3084">
        <f t="shared" si="240"/>
        <v>6</v>
      </c>
      <c r="D3084" t="str">
        <f t="shared" si="241"/>
        <v>June</v>
      </c>
      <c r="E3084">
        <f t="shared" si="242"/>
        <v>2025</v>
      </c>
      <c r="F3084" t="str">
        <f>CONCATENATE(calendar[[#This Row],[Month]],"/",calendar[[#This Row],[Year]])</f>
        <v>6/2025</v>
      </c>
      <c r="G3084">
        <f>WEEKDAY(calendar[[#This Row],[Date]],1)</f>
        <v>3</v>
      </c>
      <c r="H3084" t="str">
        <f>TEXT(calendar[[#This Row],[WeekDay]],"dddd")</f>
        <v>Tuesday</v>
      </c>
      <c r="I3084">
        <f>IF((INT(calendar[[#This Row],[Count]]/7)-calendar[[#This Row],[Count]]/7)&lt;0,I3083,I3083+1)</f>
        <v>441</v>
      </c>
      <c r="J3084">
        <f t="shared" si="244"/>
        <v>3082</v>
      </c>
      <c r="K3084">
        <f>IF(calendar[[#This Row],[Month]]&lt;4,1,IF(calendar[[#This Row],[Month]]&lt;7,2,IF(calendar[[#This Row],[Month]]&lt;10,3,4)))</f>
        <v>2</v>
      </c>
      <c r="L3084">
        <f>IFERROR(IF(VLOOKUP(calendar[[#This Row],[Date]],BH!A:A,1,)&lt;&gt;"",1,0),0)</f>
        <v>0</v>
      </c>
      <c r="M3084">
        <f>IFERROR(IF(VLOOKUP(calendar[[#This Row],[Date]],BH!C:C,1,)&lt;&gt;"",1,0),0)</f>
        <v>0</v>
      </c>
      <c r="N3084">
        <f>IFERROR(IF(VLOOKUP(calendar[[#This Row],[Date]],BH!E:E,1,)&lt;&gt;"",1,0),0)</f>
        <v>0</v>
      </c>
      <c r="O3084">
        <f>IFERROR(IF(VLOOKUP(calendar[[#This Row],[Date]],BH!G:G,1,)&lt;&gt;"",1,0),0)</f>
        <v>1</v>
      </c>
      <c r="P3084">
        <f>IF(OR(calendar[[#This Row],[UK_BH]]=1,calendar[[#This Row],[WeekDay]]=1, calendar[[#This Row],[WeekDay]]=7),P3083,P3083+1)</f>
        <v>2197</v>
      </c>
      <c r="Q3084">
        <f>IF(OR(calendar[[#This Row],[FR_BH]]=1,calendar[[#This Row],[WeekDay]]=1, calendar[[#This Row],[WeekDay]]=7),P3083,P3083+1)</f>
        <v>2197</v>
      </c>
      <c r="R3084">
        <f>IF(OR(calendar[[#This Row],[SP_BH]]=1,calendar[[#This Row],[WeekDay]]=1, calendar[[#This Row],[WeekDay]]=7),P3083,P3083+1)</f>
        <v>2197</v>
      </c>
      <c r="S3084">
        <f>IF(OR(calendar[[#This Row],[PT_BH]]=1,calendar[[#This Row],[WeekDay]]=1, calendar[[#This Row],[WeekDay]]=7),P3083,P3083+1)</f>
        <v>2196</v>
      </c>
    </row>
    <row r="3085" spans="1:19" x14ac:dyDescent="0.25">
      <c r="A3085" s="2">
        <v>45819</v>
      </c>
      <c r="B3085" s="1">
        <f t="shared" si="243"/>
        <v>24</v>
      </c>
      <c r="C3085">
        <f t="shared" si="240"/>
        <v>6</v>
      </c>
      <c r="D3085" t="str">
        <f t="shared" si="241"/>
        <v>June</v>
      </c>
      <c r="E3085">
        <f t="shared" si="242"/>
        <v>2025</v>
      </c>
      <c r="F3085" t="str">
        <f>CONCATENATE(calendar[[#This Row],[Month]],"/",calendar[[#This Row],[Year]])</f>
        <v>6/2025</v>
      </c>
      <c r="G3085">
        <f>WEEKDAY(calendar[[#This Row],[Date]],1)</f>
        <v>4</v>
      </c>
      <c r="H3085" t="str">
        <f>TEXT(calendar[[#This Row],[WeekDay]],"dddd")</f>
        <v>Wednesday</v>
      </c>
      <c r="I3085">
        <f>IF((INT(calendar[[#This Row],[Count]]/7)-calendar[[#This Row],[Count]]/7)&lt;0,I3084,I3084+1)</f>
        <v>441</v>
      </c>
      <c r="J3085">
        <f t="shared" si="244"/>
        <v>3083</v>
      </c>
      <c r="K3085">
        <f>IF(calendar[[#This Row],[Month]]&lt;4,1,IF(calendar[[#This Row],[Month]]&lt;7,2,IF(calendar[[#This Row],[Month]]&lt;10,3,4)))</f>
        <v>2</v>
      </c>
      <c r="L3085">
        <f>IFERROR(IF(VLOOKUP(calendar[[#This Row],[Date]],BH!A:A,1,)&lt;&gt;"",1,0),0)</f>
        <v>0</v>
      </c>
      <c r="M3085">
        <f>IFERROR(IF(VLOOKUP(calendar[[#This Row],[Date]],BH!C:C,1,)&lt;&gt;"",1,0),0)</f>
        <v>0</v>
      </c>
      <c r="N3085">
        <f>IFERROR(IF(VLOOKUP(calendar[[#This Row],[Date]],BH!E:E,1,)&lt;&gt;"",1,0),0)</f>
        <v>0</v>
      </c>
      <c r="O3085">
        <f>IFERROR(IF(VLOOKUP(calendar[[#This Row],[Date]],BH!G:G,1,)&lt;&gt;"",1,0),0)</f>
        <v>0</v>
      </c>
      <c r="P3085">
        <f>IF(OR(calendar[[#This Row],[UK_BH]]=1,calendar[[#This Row],[WeekDay]]=1, calendar[[#This Row],[WeekDay]]=7),P3084,P3084+1)</f>
        <v>2198</v>
      </c>
      <c r="Q3085">
        <f>IF(OR(calendar[[#This Row],[FR_BH]]=1,calendar[[#This Row],[WeekDay]]=1, calendar[[#This Row],[WeekDay]]=7),P3084,P3084+1)</f>
        <v>2198</v>
      </c>
      <c r="R3085">
        <f>IF(OR(calendar[[#This Row],[SP_BH]]=1,calendar[[#This Row],[WeekDay]]=1, calendar[[#This Row],[WeekDay]]=7),P3084,P3084+1)</f>
        <v>2198</v>
      </c>
      <c r="S3085">
        <f>IF(OR(calendar[[#This Row],[PT_BH]]=1,calendar[[#This Row],[WeekDay]]=1, calendar[[#This Row],[WeekDay]]=7),P3084,P3084+1)</f>
        <v>2198</v>
      </c>
    </row>
    <row r="3086" spans="1:19" x14ac:dyDescent="0.25">
      <c r="A3086" s="2">
        <v>45820</v>
      </c>
      <c r="B3086" s="1">
        <f t="shared" si="243"/>
        <v>24</v>
      </c>
      <c r="C3086">
        <f t="shared" si="240"/>
        <v>6</v>
      </c>
      <c r="D3086" t="str">
        <f t="shared" si="241"/>
        <v>June</v>
      </c>
      <c r="E3086">
        <f t="shared" si="242"/>
        <v>2025</v>
      </c>
      <c r="F3086" t="str">
        <f>CONCATENATE(calendar[[#This Row],[Month]],"/",calendar[[#This Row],[Year]])</f>
        <v>6/2025</v>
      </c>
      <c r="G3086">
        <f>WEEKDAY(calendar[[#This Row],[Date]],1)</f>
        <v>5</v>
      </c>
      <c r="H3086" t="str">
        <f>TEXT(calendar[[#This Row],[WeekDay]],"dddd")</f>
        <v>Thursday</v>
      </c>
      <c r="I3086">
        <f>IF((INT(calendar[[#This Row],[Count]]/7)-calendar[[#This Row],[Count]]/7)&lt;0,I3085,I3085+1)</f>
        <v>441</v>
      </c>
      <c r="J3086">
        <f t="shared" si="244"/>
        <v>3084</v>
      </c>
      <c r="K3086">
        <f>IF(calendar[[#This Row],[Month]]&lt;4,1,IF(calendar[[#This Row],[Month]]&lt;7,2,IF(calendar[[#This Row],[Month]]&lt;10,3,4)))</f>
        <v>2</v>
      </c>
      <c r="L3086">
        <f>IFERROR(IF(VLOOKUP(calendar[[#This Row],[Date]],BH!A:A,1,)&lt;&gt;"",1,0),0)</f>
        <v>0</v>
      </c>
      <c r="M3086">
        <f>IFERROR(IF(VLOOKUP(calendar[[#This Row],[Date]],BH!C:C,1,)&lt;&gt;"",1,0),0)</f>
        <v>0</v>
      </c>
      <c r="N3086">
        <f>IFERROR(IF(VLOOKUP(calendar[[#This Row],[Date]],BH!E:E,1,)&lt;&gt;"",1,0),0)</f>
        <v>0</v>
      </c>
      <c r="O3086">
        <f>IFERROR(IF(VLOOKUP(calendar[[#This Row],[Date]],BH!G:G,1,)&lt;&gt;"",1,0),0)</f>
        <v>0</v>
      </c>
      <c r="P3086">
        <f>IF(OR(calendar[[#This Row],[UK_BH]]=1,calendar[[#This Row],[WeekDay]]=1, calendar[[#This Row],[WeekDay]]=7),P3085,P3085+1)</f>
        <v>2199</v>
      </c>
      <c r="Q3086">
        <f>IF(OR(calendar[[#This Row],[FR_BH]]=1,calendar[[#This Row],[WeekDay]]=1, calendar[[#This Row],[WeekDay]]=7),P3085,P3085+1)</f>
        <v>2199</v>
      </c>
      <c r="R3086">
        <f>IF(OR(calendar[[#This Row],[SP_BH]]=1,calendar[[#This Row],[WeekDay]]=1, calendar[[#This Row],[WeekDay]]=7),P3085,P3085+1)</f>
        <v>2199</v>
      </c>
      <c r="S3086">
        <f>IF(OR(calendar[[#This Row],[PT_BH]]=1,calendar[[#This Row],[WeekDay]]=1, calendar[[#This Row],[WeekDay]]=7),P3085,P3085+1)</f>
        <v>2199</v>
      </c>
    </row>
    <row r="3087" spans="1:19" x14ac:dyDescent="0.25">
      <c r="A3087" s="2">
        <v>45821</v>
      </c>
      <c r="B3087" s="1">
        <f t="shared" si="243"/>
        <v>24</v>
      </c>
      <c r="C3087">
        <f t="shared" si="240"/>
        <v>6</v>
      </c>
      <c r="D3087" t="str">
        <f t="shared" si="241"/>
        <v>June</v>
      </c>
      <c r="E3087">
        <f t="shared" si="242"/>
        <v>2025</v>
      </c>
      <c r="F3087" t="str">
        <f>CONCATENATE(calendar[[#This Row],[Month]],"/",calendar[[#This Row],[Year]])</f>
        <v>6/2025</v>
      </c>
      <c r="G3087">
        <f>WEEKDAY(calendar[[#This Row],[Date]],1)</f>
        <v>6</v>
      </c>
      <c r="H3087" t="str">
        <f>TEXT(calendar[[#This Row],[WeekDay]],"dddd")</f>
        <v>Friday</v>
      </c>
      <c r="I3087">
        <f>IF((INT(calendar[[#This Row],[Count]]/7)-calendar[[#This Row],[Count]]/7)&lt;0,I3086,I3086+1)</f>
        <v>441</v>
      </c>
      <c r="J3087">
        <f t="shared" si="244"/>
        <v>3085</v>
      </c>
      <c r="K3087">
        <f>IF(calendar[[#This Row],[Month]]&lt;4,1,IF(calendar[[#This Row],[Month]]&lt;7,2,IF(calendar[[#This Row],[Month]]&lt;10,3,4)))</f>
        <v>2</v>
      </c>
      <c r="L3087">
        <f>IFERROR(IF(VLOOKUP(calendar[[#This Row],[Date]],BH!A:A,1,)&lt;&gt;"",1,0),0)</f>
        <v>0</v>
      </c>
      <c r="M3087">
        <f>IFERROR(IF(VLOOKUP(calendar[[#This Row],[Date]],BH!C:C,1,)&lt;&gt;"",1,0),0)</f>
        <v>0</v>
      </c>
      <c r="N3087">
        <f>IFERROR(IF(VLOOKUP(calendar[[#This Row],[Date]],BH!E:E,1,)&lt;&gt;"",1,0),0)</f>
        <v>0</v>
      </c>
      <c r="O3087">
        <f>IFERROR(IF(VLOOKUP(calendar[[#This Row],[Date]],BH!G:G,1,)&lt;&gt;"",1,0),0)</f>
        <v>0</v>
      </c>
      <c r="P3087">
        <f>IF(OR(calendar[[#This Row],[UK_BH]]=1,calendar[[#This Row],[WeekDay]]=1, calendar[[#This Row],[WeekDay]]=7),P3086,P3086+1)</f>
        <v>2200</v>
      </c>
      <c r="Q3087">
        <f>IF(OR(calendar[[#This Row],[FR_BH]]=1,calendar[[#This Row],[WeekDay]]=1, calendar[[#This Row],[WeekDay]]=7),P3086,P3086+1)</f>
        <v>2200</v>
      </c>
      <c r="R3087">
        <f>IF(OR(calendar[[#This Row],[SP_BH]]=1,calendar[[#This Row],[WeekDay]]=1, calendar[[#This Row],[WeekDay]]=7),P3086,P3086+1)</f>
        <v>2200</v>
      </c>
      <c r="S3087">
        <f>IF(OR(calendar[[#This Row],[PT_BH]]=1,calendar[[#This Row],[WeekDay]]=1, calendar[[#This Row],[WeekDay]]=7),P3086,P3086+1)</f>
        <v>2200</v>
      </c>
    </row>
    <row r="3088" spans="1:19" x14ac:dyDescent="0.25">
      <c r="A3088" s="2">
        <v>45822</v>
      </c>
      <c r="B3088" s="1">
        <f t="shared" si="243"/>
        <v>24</v>
      </c>
      <c r="C3088">
        <f t="shared" ref="C3088:C3151" si="245">MONTH(A3088)</f>
        <v>6</v>
      </c>
      <c r="D3088" t="str">
        <f t="shared" ref="D3088:D3151" si="246">TEXT(A3088,"mmmm")</f>
        <v>June</v>
      </c>
      <c r="E3088">
        <f t="shared" ref="E3088:E3151" si="247">YEAR(A3088)</f>
        <v>2025</v>
      </c>
      <c r="F3088" t="str">
        <f>CONCATENATE(calendar[[#This Row],[Month]],"/",calendar[[#This Row],[Year]])</f>
        <v>6/2025</v>
      </c>
      <c r="G3088">
        <f>WEEKDAY(calendar[[#This Row],[Date]],1)</f>
        <v>7</v>
      </c>
      <c r="H3088" t="str">
        <f>TEXT(calendar[[#This Row],[WeekDay]],"dddd")</f>
        <v>Saturday</v>
      </c>
      <c r="I3088">
        <f>IF((INT(calendar[[#This Row],[Count]]/7)-calendar[[#This Row],[Count]]/7)&lt;0,I3087,I3087+1)</f>
        <v>441</v>
      </c>
      <c r="J3088">
        <f t="shared" si="244"/>
        <v>3086</v>
      </c>
      <c r="K3088">
        <f>IF(calendar[[#This Row],[Month]]&lt;4,1,IF(calendar[[#This Row],[Month]]&lt;7,2,IF(calendar[[#This Row],[Month]]&lt;10,3,4)))</f>
        <v>2</v>
      </c>
      <c r="L3088">
        <f>IFERROR(IF(VLOOKUP(calendar[[#This Row],[Date]],BH!A:A,1,)&lt;&gt;"",1,0),0)</f>
        <v>0</v>
      </c>
      <c r="M3088">
        <f>IFERROR(IF(VLOOKUP(calendar[[#This Row],[Date]],BH!C:C,1,)&lt;&gt;"",1,0),0)</f>
        <v>0</v>
      </c>
      <c r="N3088">
        <f>IFERROR(IF(VLOOKUP(calendar[[#This Row],[Date]],BH!E:E,1,)&lt;&gt;"",1,0),0)</f>
        <v>0</v>
      </c>
      <c r="O3088">
        <f>IFERROR(IF(VLOOKUP(calendar[[#This Row],[Date]],BH!G:G,1,)&lt;&gt;"",1,0),0)</f>
        <v>0</v>
      </c>
      <c r="P3088">
        <f>IF(OR(calendar[[#This Row],[UK_BH]]=1,calendar[[#This Row],[WeekDay]]=1, calendar[[#This Row],[WeekDay]]=7),P3087,P3087+1)</f>
        <v>2200</v>
      </c>
      <c r="Q3088">
        <f>IF(OR(calendar[[#This Row],[FR_BH]]=1,calendar[[#This Row],[WeekDay]]=1, calendar[[#This Row],[WeekDay]]=7),P3087,P3087+1)</f>
        <v>2200</v>
      </c>
      <c r="R3088">
        <f>IF(OR(calendar[[#This Row],[SP_BH]]=1,calendar[[#This Row],[WeekDay]]=1, calendar[[#This Row],[WeekDay]]=7),P3087,P3087+1)</f>
        <v>2200</v>
      </c>
      <c r="S3088">
        <f>IF(OR(calendar[[#This Row],[PT_BH]]=1,calendar[[#This Row],[WeekDay]]=1, calendar[[#This Row],[WeekDay]]=7),P3087,P3087+1)</f>
        <v>2200</v>
      </c>
    </row>
    <row r="3089" spans="1:19" x14ac:dyDescent="0.25">
      <c r="A3089" s="2">
        <v>45823</v>
      </c>
      <c r="B3089" s="1">
        <f t="shared" si="243"/>
        <v>25</v>
      </c>
      <c r="C3089">
        <f t="shared" si="245"/>
        <v>6</v>
      </c>
      <c r="D3089" t="str">
        <f t="shared" si="246"/>
        <v>June</v>
      </c>
      <c r="E3089">
        <f t="shared" si="247"/>
        <v>2025</v>
      </c>
      <c r="F3089" t="str">
        <f>CONCATENATE(calendar[[#This Row],[Month]],"/",calendar[[#This Row],[Year]])</f>
        <v>6/2025</v>
      </c>
      <c r="G3089">
        <f>WEEKDAY(calendar[[#This Row],[Date]],1)</f>
        <v>1</v>
      </c>
      <c r="H3089" t="str">
        <f>TEXT(calendar[[#This Row],[WeekDay]],"dddd")</f>
        <v>Sunday</v>
      </c>
      <c r="I3089">
        <f>IF((INT(calendar[[#This Row],[Count]]/7)-calendar[[#This Row],[Count]]/7)&lt;0,I3088,I3088+1)</f>
        <v>442</v>
      </c>
      <c r="J3089">
        <f t="shared" si="244"/>
        <v>3087</v>
      </c>
      <c r="K3089">
        <f>IF(calendar[[#This Row],[Month]]&lt;4,1,IF(calendar[[#This Row],[Month]]&lt;7,2,IF(calendar[[#This Row],[Month]]&lt;10,3,4)))</f>
        <v>2</v>
      </c>
      <c r="L3089">
        <f>IFERROR(IF(VLOOKUP(calendar[[#This Row],[Date]],BH!A:A,1,)&lt;&gt;"",1,0),0)</f>
        <v>0</v>
      </c>
      <c r="M3089">
        <f>IFERROR(IF(VLOOKUP(calendar[[#This Row],[Date]],BH!C:C,1,)&lt;&gt;"",1,0),0)</f>
        <v>0</v>
      </c>
      <c r="N3089">
        <f>IFERROR(IF(VLOOKUP(calendar[[#This Row],[Date]],BH!E:E,1,)&lt;&gt;"",1,0),0)</f>
        <v>0</v>
      </c>
      <c r="O3089">
        <f>IFERROR(IF(VLOOKUP(calendar[[#This Row],[Date]],BH!G:G,1,)&lt;&gt;"",1,0),0)</f>
        <v>0</v>
      </c>
      <c r="P3089">
        <f>IF(OR(calendar[[#This Row],[UK_BH]]=1,calendar[[#This Row],[WeekDay]]=1, calendar[[#This Row],[WeekDay]]=7),P3088,P3088+1)</f>
        <v>2200</v>
      </c>
      <c r="Q3089">
        <f>IF(OR(calendar[[#This Row],[FR_BH]]=1,calendar[[#This Row],[WeekDay]]=1, calendar[[#This Row],[WeekDay]]=7),P3088,P3088+1)</f>
        <v>2200</v>
      </c>
      <c r="R3089">
        <f>IF(OR(calendar[[#This Row],[SP_BH]]=1,calendar[[#This Row],[WeekDay]]=1, calendar[[#This Row],[WeekDay]]=7),P3088,P3088+1)</f>
        <v>2200</v>
      </c>
      <c r="S3089">
        <f>IF(OR(calendar[[#This Row],[PT_BH]]=1,calendar[[#This Row],[WeekDay]]=1, calendar[[#This Row],[WeekDay]]=7),P3088,P3088+1)</f>
        <v>2200</v>
      </c>
    </row>
    <row r="3090" spans="1:19" x14ac:dyDescent="0.25">
      <c r="A3090" s="2">
        <v>45824</v>
      </c>
      <c r="B3090" s="1">
        <f t="shared" si="243"/>
        <v>25</v>
      </c>
      <c r="C3090">
        <f t="shared" si="245"/>
        <v>6</v>
      </c>
      <c r="D3090" t="str">
        <f t="shared" si="246"/>
        <v>June</v>
      </c>
      <c r="E3090">
        <f t="shared" si="247"/>
        <v>2025</v>
      </c>
      <c r="F3090" t="str">
        <f>CONCATENATE(calendar[[#This Row],[Month]],"/",calendar[[#This Row],[Year]])</f>
        <v>6/2025</v>
      </c>
      <c r="G3090">
        <f>WEEKDAY(calendar[[#This Row],[Date]],1)</f>
        <v>2</v>
      </c>
      <c r="H3090" t="str">
        <f>TEXT(calendar[[#This Row],[WeekDay]],"dddd")</f>
        <v>Monday</v>
      </c>
      <c r="I3090">
        <f>IF((INT(calendar[[#This Row],[Count]]/7)-calendar[[#This Row],[Count]]/7)&lt;0,I3089,I3089+1)</f>
        <v>442</v>
      </c>
      <c r="J3090">
        <f t="shared" si="244"/>
        <v>3088</v>
      </c>
      <c r="K3090">
        <f>IF(calendar[[#This Row],[Month]]&lt;4,1,IF(calendar[[#This Row],[Month]]&lt;7,2,IF(calendar[[#This Row],[Month]]&lt;10,3,4)))</f>
        <v>2</v>
      </c>
      <c r="L3090">
        <f>IFERROR(IF(VLOOKUP(calendar[[#This Row],[Date]],BH!A:A,1,)&lt;&gt;"",1,0),0)</f>
        <v>0</v>
      </c>
      <c r="M3090">
        <f>IFERROR(IF(VLOOKUP(calendar[[#This Row],[Date]],BH!C:C,1,)&lt;&gt;"",1,0),0)</f>
        <v>0</v>
      </c>
      <c r="N3090">
        <f>IFERROR(IF(VLOOKUP(calendar[[#This Row],[Date]],BH!E:E,1,)&lt;&gt;"",1,0),0)</f>
        <v>0</v>
      </c>
      <c r="O3090">
        <f>IFERROR(IF(VLOOKUP(calendar[[#This Row],[Date]],BH!G:G,1,)&lt;&gt;"",1,0),0)</f>
        <v>0</v>
      </c>
      <c r="P3090">
        <f>IF(OR(calendar[[#This Row],[UK_BH]]=1,calendar[[#This Row],[WeekDay]]=1, calendar[[#This Row],[WeekDay]]=7),P3089,P3089+1)</f>
        <v>2201</v>
      </c>
      <c r="Q3090">
        <f>IF(OR(calendar[[#This Row],[FR_BH]]=1,calendar[[#This Row],[WeekDay]]=1, calendar[[#This Row],[WeekDay]]=7),P3089,P3089+1)</f>
        <v>2201</v>
      </c>
      <c r="R3090">
        <f>IF(OR(calendar[[#This Row],[SP_BH]]=1,calendar[[#This Row],[WeekDay]]=1, calendar[[#This Row],[WeekDay]]=7),P3089,P3089+1)</f>
        <v>2201</v>
      </c>
      <c r="S3090">
        <f>IF(OR(calendar[[#This Row],[PT_BH]]=1,calendar[[#This Row],[WeekDay]]=1, calendar[[#This Row],[WeekDay]]=7),P3089,P3089+1)</f>
        <v>2201</v>
      </c>
    </row>
    <row r="3091" spans="1:19" x14ac:dyDescent="0.25">
      <c r="A3091" s="2">
        <v>45825</v>
      </c>
      <c r="B3091" s="1">
        <f t="shared" si="243"/>
        <v>25</v>
      </c>
      <c r="C3091">
        <f t="shared" si="245"/>
        <v>6</v>
      </c>
      <c r="D3091" t="str">
        <f t="shared" si="246"/>
        <v>June</v>
      </c>
      <c r="E3091">
        <f t="shared" si="247"/>
        <v>2025</v>
      </c>
      <c r="F3091" t="str">
        <f>CONCATENATE(calendar[[#This Row],[Month]],"/",calendar[[#This Row],[Year]])</f>
        <v>6/2025</v>
      </c>
      <c r="G3091">
        <f>WEEKDAY(calendar[[#This Row],[Date]],1)</f>
        <v>3</v>
      </c>
      <c r="H3091" t="str">
        <f>TEXT(calendar[[#This Row],[WeekDay]],"dddd")</f>
        <v>Tuesday</v>
      </c>
      <c r="I3091">
        <f>IF((INT(calendar[[#This Row],[Count]]/7)-calendar[[#This Row],[Count]]/7)&lt;0,I3090,I3090+1)</f>
        <v>442</v>
      </c>
      <c r="J3091">
        <f t="shared" si="244"/>
        <v>3089</v>
      </c>
      <c r="K3091">
        <f>IF(calendar[[#This Row],[Month]]&lt;4,1,IF(calendar[[#This Row],[Month]]&lt;7,2,IF(calendar[[#This Row],[Month]]&lt;10,3,4)))</f>
        <v>2</v>
      </c>
      <c r="L3091">
        <f>IFERROR(IF(VLOOKUP(calendar[[#This Row],[Date]],BH!A:A,1,)&lt;&gt;"",1,0),0)</f>
        <v>0</v>
      </c>
      <c r="M3091">
        <f>IFERROR(IF(VLOOKUP(calendar[[#This Row],[Date]],BH!C:C,1,)&lt;&gt;"",1,0),0)</f>
        <v>0</v>
      </c>
      <c r="N3091">
        <f>IFERROR(IF(VLOOKUP(calendar[[#This Row],[Date]],BH!E:E,1,)&lt;&gt;"",1,0),0)</f>
        <v>0</v>
      </c>
      <c r="O3091">
        <f>IFERROR(IF(VLOOKUP(calendar[[#This Row],[Date]],BH!G:G,1,)&lt;&gt;"",1,0),0)</f>
        <v>0</v>
      </c>
      <c r="P3091">
        <f>IF(OR(calendar[[#This Row],[UK_BH]]=1,calendar[[#This Row],[WeekDay]]=1, calendar[[#This Row],[WeekDay]]=7),P3090,P3090+1)</f>
        <v>2202</v>
      </c>
      <c r="Q3091">
        <f>IF(OR(calendar[[#This Row],[FR_BH]]=1,calendar[[#This Row],[WeekDay]]=1, calendar[[#This Row],[WeekDay]]=7),P3090,P3090+1)</f>
        <v>2202</v>
      </c>
      <c r="R3091">
        <f>IF(OR(calendar[[#This Row],[SP_BH]]=1,calendar[[#This Row],[WeekDay]]=1, calendar[[#This Row],[WeekDay]]=7),P3090,P3090+1)</f>
        <v>2202</v>
      </c>
      <c r="S3091">
        <f>IF(OR(calendar[[#This Row],[PT_BH]]=1,calendar[[#This Row],[WeekDay]]=1, calendar[[#This Row],[WeekDay]]=7),P3090,P3090+1)</f>
        <v>2202</v>
      </c>
    </row>
    <row r="3092" spans="1:19" x14ac:dyDescent="0.25">
      <c r="A3092" s="2">
        <v>45826</v>
      </c>
      <c r="B3092" s="1">
        <f t="shared" si="243"/>
        <v>25</v>
      </c>
      <c r="C3092">
        <f t="shared" si="245"/>
        <v>6</v>
      </c>
      <c r="D3092" t="str">
        <f t="shared" si="246"/>
        <v>June</v>
      </c>
      <c r="E3092">
        <f t="shared" si="247"/>
        <v>2025</v>
      </c>
      <c r="F3092" t="str">
        <f>CONCATENATE(calendar[[#This Row],[Month]],"/",calendar[[#This Row],[Year]])</f>
        <v>6/2025</v>
      </c>
      <c r="G3092">
        <f>WEEKDAY(calendar[[#This Row],[Date]],1)</f>
        <v>4</v>
      </c>
      <c r="H3092" t="str">
        <f>TEXT(calendar[[#This Row],[WeekDay]],"dddd")</f>
        <v>Wednesday</v>
      </c>
      <c r="I3092">
        <f>IF((INT(calendar[[#This Row],[Count]]/7)-calendar[[#This Row],[Count]]/7)&lt;0,I3091,I3091+1)</f>
        <v>442</v>
      </c>
      <c r="J3092">
        <f t="shared" si="244"/>
        <v>3090</v>
      </c>
      <c r="K3092">
        <f>IF(calendar[[#This Row],[Month]]&lt;4,1,IF(calendar[[#This Row],[Month]]&lt;7,2,IF(calendar[[#This Row],[Month]]&lt;10,3,4)))</f>
        <v>2</v>
      </c>
      <c r="L3092">
        <f>IFERROR(IF(VLOOKUP(calendar[[#This Row],[Date]],BH!A:A,1,)&lt;&gt;"",1,0),0)</f>
        <v>0</v>
      </c>
      <c r="M3092">
        <f>IFERROR(IF(VLOOKUP(calendar[[#This Row],[Date]],BH!C:C,1,)&lt;&gt;"",1,0),0)</f>
        <v>0</v>
      </c>
      <c r="N3092">
        <f>IFERROR(IF(VLOOKUP(calendar[[#This Row],[Date]],BH!E:E,1,)&lt;&gt;"",1,0),0)</f>
        <v>0</v>
      </c>
      <c r="O3092">
        <f>IFERROR(IF(VLOOKUP(calendar[[#This Row],[Date]],BH!G:G,1,)&lt;&gt;"",1,0),0)</f>
        <v>0</v>
      </c>
      <c r="P3092">
        <f>IF(OR(calendar[[#This Row],[UK_BH]]=1,calendar[[#This Row],[WeekDay]]=1, calendar[[#This Row],[WeekDay]]=7),P3091,P3091+1)</f>
        <v>2203</v>
      </c>
      <c r="Q3092">
        <f>IF(OR(calendar[[#This Row],[FR_BH]]=1,calendar[[#This Row],[WeekDay]]=1, calendar[[#This Row],[WeekDay]]=7),P3091,P3091+1)</f>
        <v>2203</v>
      </c>
      <c r="R3092">
        <f>IF(OR(calendar[[#This Row],[SP_BH]]=1,calendar[[#This Row],[WeekDay]]=1, calendar[[#This Row],[WeekDay]]=7),P3091,P3091+1)</f>
        <v>2203</v>
      </c>
      <c r="S3092">
        <f>IF(OR(calendar[[#This Row],[PT_BH]]=1,calendar[[#This Row],[WeekDay]]=1, calendar[[#This Row],[WeekDay]]=7),P3091,P3091+1)</f>
        <v>2203</v>
      </c>
    </row>
    <row r="3093" spans="1:19" x14ac:dyDescent="0.25">
      <c r="A3093" s="2">
        <v>45827</v>
      </c>
      <c r="B3093" s="1">
        <f t="shared" si="243"/>
        <v>25</v>
      </c>
      <c r="C3093">
        <f t="shared" si="245"/>
        <v>6</v>
      </c>
      <c r="D3093" t="str">
        <f t="shared" si="246"/>
        <v>June</v>
      </c>
      <c r="E3093">
        <f t="shared" si="247"/>
        <v>2025</v>
      </c>
      <c r="F3093" t="str">
        <f>CONCATENATE(calendar[[#This Row],[Month]],"/",calendar[[#This Row],[Year]])</f>
        <v>6/2025</v>
      </c>
      <c r="G3093">
        <f>WEEKDAY(calendar[[#This Row],[Date]],1)</f>
        <v>5</v>
      </c>
      <c r="H3093" t="str">
        <f>TEXT(calendar[[#This Row],[WeekDay]],"dddd")</f>
        <v>Thursday</v>
      </c>
      <c r="I3093">
        <f>IF((INT(calendar[[#This Row],[Count]]/7)-calendar[[#This Row],[Count]]/7)&lt;0,I3092,I3092+1)</f>
        <v>442</v>
      </c>
      <c r="J3093">
        <f t="shared" si="244"/>
        <v>3091</v>
      </c>
      <c r="K3093">
        <f>IF(calendar[[#This Row],[Month]]&lt;4,1,IF(calendar[[#This Row],[Month]]&lt;7,2,IF(calendar[[#This Row],[Month]]&lt;10,3,4)))</f>
        <v>2</v>
      </c>
      <c r="L3093">
        <f>IFERROR(IF(VLOOKUP(calendar[[#This Row],[Date]],BH!A:A,1,)&lt;&gt;"",1,0),0)</f>
        <v>0</v>
      </c>
      <c r="M3093">
        <f>IFERROR(IF(VLOOKUP(calendar[[#This Row],[Date]],BH!C:C,1,)&lt;&gt;"",1,0),0)</f>
        <v>0</v>
      </c>
      <c r="N3093">
        <f>IFERROR(IF(VLOOKUP(calendar[[#This Row],[Date]],BH!E:E,1,)&lt;&gt;"",1,0),0)</f>
        <v>0</v>
      </c>
      <c r="O3093">
        <f>IFERROR(IF(VLOOKUP(calendar[[#This Row],[Date]],BH!G:G,1,)&lt;&gt;"",1,0),0)</f>
        <v>1</v>
      </c>
      <c r="P3093">
        <f>IF(OR(calendar[[#This Row],[UK_BH]]=1,calendar[[#This Row],[WeekDay]]=1, calendar[[#This Row],[WeekDay]]=7),P3092,P3092+1)</f>
        <v>2204</v>
      </c>
      <c r="Q3093">
        <f>IF(OR(calendar[[#This Row],[FR_BH]]=1,calendar[[#This Row],[WeekDay]]=1, calendar[[#This Row],[WeekDay]]=7),P3092,P3092+1)</f>
        <v>2204</v>
      </c>
      <c r="R3093">
        <f>IF(OR(calendar[[#This Row],[SP_BH]]=1,calendar[[#This Row],[WeekDay]]=1, calendar[[#This Row],[WeekDay]]=7),P3092,P3092+1)</f>
        <v>2204</v>
      </c>
      <c r="S3093">
        <f>IF(OR(calendar[[#This Row],[PT_BH]]=1,calendar[[#This Row],[WeekDay]]=1, calendar[[#This Row],[WeekDay]]=7),P3092,P3092+1)</f>
        <v>2203</v>
      </c>
    </row>
    <row r="3094" spans="1:19" x14ac:dyDescent="0.25">
      <c r="A3094" s="2">
        <v>45828</v>
      </c>
      <c r="B3094" s="1">
        <f t="shared" si="243"/>
        <v>25</v>
      </c>
      <c r="C3094">
        <f t="shared" si="245"/>
        <v>6</v>
      </c>
      <c r="D3094" t="str">
        <f t="shared" si="246"/>
        <v>June</v>
      </c>
      <c r="E3094">
        <f t="shared" si="247"/>
        <v>2025</v>
      </c>
      <c r="F3094" t="str">
        <f>CONCATENATE(calendar[[#This Row],[Month]],"/",calendar[[#This Row],[Year]])</f>
        <v>6/2025</v>
      </c>
      <c r="G3094">
        <f>WEEKDAY(calendar[[#This Row],[Date]],1)</f>
        <v>6</v>
      </c>
      <c r="H3094" t="str">
        <f>TEXT(calendar[[#This Row],[WeekDay]],"dddd")</f>
        <v>Friday</v>
      </c>
      <c r="I3094">
        <f>IF((INT(calendar[[#This Row],[Count]]/7)-calendar[[#This Row],[Count]]/7)&lt;0,I3093,I3093+1)</f>
        <v>442</v>
      </c>
      <c r="J3094">
        <f t="shared" si="244"/>
        <v>3092</v>
      </c>
      <c r="K3094">
        <f>IF(calendar[[#This Row],[Month]]&lt;4,1,IF(calendar[[#This Row],[Month]]&lt;7,2,IF(calendar[[#This Row],[Month]]&lt;10,3,4)))</f>
        <v>2</v>
      </c>
      <c r="L3094">
        <f>IFERROR(IF(VLOOKUP(calendar[[#This Row],[Date]],BH!A:A,1,)&lt;&gt;"",1,0),0)</f>
        <v>0</v>
      </c>
      <c r="M3094">
        <f>IFERROR(IF(VLOOKUP(calendar[[#This Row],[Date]],BH!C:C,1,)&lt;&gt;"",1,0),0)</f>
        <v>0</v>
      </c>
      <c r="N3094">
        <f>IFERROR(IF(VLOOKUP(calendar[[#This Row],[Date]],BH!E:E,1,)&lt;&gt;"",1,0),0)</f>
        <v>0</v>
      </c>
      <c r="O3094">
        <f>IFERROR(IF(VLOOKUP(calendar[[#This Row],[Date]],BH!G:G,1,)&lt;&gt;"",1,0),0)</f>
        <v>0</v>
      </c>
      <c r="P3094">
        <f>IF(OR(calendar[[#This Row],[UK_BH]]=1,calendar[[#This Row],[WeekDay]]=1, calendar[[#This Row],[WeekDay]]=7),P3093,P3093+1)</f>
        <v>2205</v>
      </c>
      <c r="Q3094">
        <f>IF(OR(calendar[[#This Row],[FR_BH]]=1,calendar[[#This Row],[WeekDay]]=1, calendar[[#This Row],[WeekDay]]=7),P3093,P3093+1)</f>
        <v>2205</v>
      </c>
      <c r="R3094">
        <f>IF(OR(calendar[[#This Row],[SP_BH]]=1,calendar[[#This Row],[WeekDay]]=1, calendar[[#This Row],[WeekDay]]=7),P3093,P3093+1)</f>
        <v>2205</v>
      </c>
      <c r="S3094">
        <f>IF(OR(calendar[[#This Row],[PT_BH]]=1,calendar[[#This Row],[WeekDay]]=1, calendar[[#This Row],[WeekDay]]=7),P3093,P3093+1)</f>
        <v>2205</v>
      </c>
    </row>
    <row r="3095" spans="1:19" x14ac:dyDescent="0.25">
      <c r="A3095" s="2">
        <v>45829</v>
      </c>
      <c r="B3095" s="1">
        <f t="shared" si="243"/>
        <v>25</v>
      </c>
      <c r="C3095">
        <f t="shared" si="245"/>
        <v>6</v>
      </c>
      <c r="D3095" t="str">
        <f t="shared" si="246"/>
        <v>June</v>
      </c>
      <c r="E3095">
        <f t="shared" si="247"/>
        <v>2025</v>
      </c>
      <c r="F3095" t="str">
        <f>CONCATENATE(calendar[[#This Row],[Month]],"/",calendar[[#This Row],[Year]])</f>
        <v>6/2025</v>
      </c>
      <c r="G3095">
        <f>WEEKDAY(calendar[[#This Row],[Date]],1)</f>
        <v>7</v>
      </c>
      <c r="H3095" t="str">
        <f>TEXT(calendar[[#This Row],[WeekDay]],"dddd")</f>
        <v>Saturday</v>
      </c>
      <c r="I3095">
        <f>IF((INT(calendar[[#This Row],[Count]]/7)-calendar[[#This Row],[Count]]/7)&lt;0,I3094,I3094+1)</f>
        <v>442</v>
      </c>
      <c r="J3095">
        <f t="shared" si="244"/>
        <v>3093</v>
      </c>
      <c r="K3095">
        <f>IF(calendar[[#This Row],[Month]]&lt;4,1,IF(calendar[[#This Row],[Month]]&lt;7,2,IF(calendar[[#This Row],[Month]]&lt;10,3,4)))</f>
        <v>2</v>
      </c>
      <c r="L3095">
        <f>IFERROR(IF(VLOOKUP(calendar[[#This Row],[Date]],BH!A:A,1,)&lt;&gt;"",1,0),0)</f>
        <v>0</v>
      </c>
      <c r="M3095">
        <f>IFERROR(IF(VLOOKUP(calendar[[#This Row],[Date]],BH!C:C,1,)&lt;&gt;"",1,0),0)</f>
        <v>0</v>
      </c>
      <c r="N3095">
        <f>IFERROR(IF(VLOOKUP(calendar[[#This Row],[Date]],BH!E:E,1,)&lt;&gt;"",1,0),0)</f>
        <v>0</v>
      </c>
      <c r="O3095">
        <f>IFERROR(IF(VLOOKUP(calendar[[#This Row],[Date]],BH!G:G,1,)&lt;&gt;"",1,0),0)</f>
        <v>0</v>
      </c>
      <c r="P3095">
        <f>IF(OR(calendar[[#This Row],[UK_BH]]=1,calendar[[#This Row],[WeekDay]]=1, calendar[[#This Row],[WeekDay]]=7),P3094,P3094+1)</f>
        <v>2205</v>
      </c>
      <c r="Q3095">
        <f>IF(OR(calendar[[#This Row],[FR_BH]]=1,calendar[[#This Row],[WeekDay]]=1, calendar[[#This Row],[WeekDay]]=7),P3094,P3094+1)</f>
        <v>2205</v>
      </c>
      <c r="R3095">
        <f>IF(OR(calendar[[#This Row],[SP_BH]]=1,calendar[[#This Row],[WeekDay]]=1, calendar[[#This Row],[WeekDay]]=7),P3094,P3094+1)</f>
        <v>2205</v>
      </c>
      <c r="S3095">
        <f>IF(OR(calendar[[#This Row],[PT_BH]]=1,calendar[[#This Row],[WeekDay]]=1, calendar[[#This Row],[WeekDay]]=7),P3094,P3094+1)</f>
        <v>2205</v>
      </c>
    </row>
    <row r="3096" spans="1:19" x14ac:dyDescent="0.25">
      <c r="A3096" s="2">
        <v>45830</v>
      </c>
      <c r="B3096" s="1">
        <f t="shared" si="243"/>
        <v>26</v>
      </c>
      <c r="C3096">
        <f t="shared" si="245"/>
        <v>6</v>
      </c>
      <c r="D3096" t="str">
        <f t="shared" si="246"/>
        <v>June</v>
      </c>
      <c r="E3096">
        <f t="shared" si="247"/>
        <v>2025</v>
      </c>
      <c r="F3096" t="str">
        <f>CONCATENATE(calendar[[#This Row],[Month]],"/",calendar[[#This Row],[Year]])</f>
        <v>6/2025</v>
      </c>
      <c r="G3096">
        <f>WEEKDAY(calendar[[#This Row],[Date]],1)</f>
        <v>1</v>
      </c>
      <c r="H3096" t="str">
        <f>TEXT(calendar[[#This Row],[WeekDay]],"dddd")</f>
        <v>Sunday</v>
      </c>
      <c r="I3096">
        <f>IF((INT(calendar[[#This Row],[Count]]/7)-calendar[[#This Row],[Count]]/7)&lt;0,I3095,I3095+1)</f>
        <v>443</v>
      </c>
      <c r="J3096">
        <f t="shared" si="244"/>
        <v>3094</v>
      </c>
      <c r="K3096">
        <f>IF(calendar[[#This Row],[Month]]&lt;4,1,IF(calendar[[#This Row],[Month]]&lt;7,2,IF(calendar[[#This Row],[Month]]&lt;10,3,4)))</f>
        <v>2</v>
      </c>
      <c r="L3096">
        <f>IFERROR(IF(VLOOKUP(calendar[[#This Row],[Date]],BH!A:A,1,)&lt;&gt;"",1,0),0)</f>
        <v>0</v>
      </c>
      <c r="M3096">
        <f>IFERROR(IF(VLOOKUP(calendar[[#This Row],[Date]],BH!C:C,1,)&lt;&gt;"",1,0),0)</f>
        <v>0</v>
      </c>
      <c r="N3096">
        <f>IFERROR(IF(VLOOKUP(calendar[[#This Row],[Date]],BH!E:E,1,)&lt;&gt;"",1,0),0)</f>
        <v>0</v>
      </c>
      <c r="O3096">
        <f>IFERROR(IF(VLOOKUP(calendar[[#This Row],[Date]],BH!G:G,1,)&lt;&gt;"",1,0),0)</f>
        <v>0</v>
      </c>
      <c r="P3096">
        <f>IF(OR(calendar[[#This Row],[UK_BH]]=1,calendar[[#This Row],[WeekDay]]=1, calendar[[#This Row],[WeekDay]]=7),P3095,P3095+1)</f>
        <v>2205</v>
      </c>
      <c r="Q3096">
        <f>IF(OR(calendar[[#This Row],[FR_BH]]=1,calendar[[#This Row],[WeekDay]]=1, calendar[[#This Row],[WeekDay]]=7),P3095,P3095+1)</f>
        <v>2205</v>
      </c>
      <c r="R3096">
        <f>IF(OR(calendar[[#This Row],[SP_BH]]=1,calendar[[#This Row],[WeekDay]]=1, calendar[[#This Row],[WeekDay]]=7),P3095,P3095+1)</f>
        <v>2205</v>
      </c>
      <c r="S3096">
        <f>IF(OR(calendar[[#This Row],[PT_BH]]=1,calendar[[#This Row],[WeekDay]]=1, calendar[[#This Row],[WeekDay]]=7),P3095,P3095+1)</f>
        <v>2205</v>
      </c>
    </row>
    <row r="3097" spans="1:19" x14ac:dyDescent="0.25">
      <c r="A3097" s="2">
        <v>45831</v>
      </c>
      <c r="B3097" s="1">
        <f t="shared" si="243"/>
        <v>26</v>
      </c>
      <c r="C3097">
        <f t="shared" si="245"/>
        <v>6</v>
      </c>
      <c r="D3097" t="str">
        <f t="shared" si="246"/>
        <v>June</v>
      </c>
      <c r="E3097">
        <f t="shared" si="247"/>
        <v>2025</v>
      </c>
      <c r="F3097" t="str">
        <f>CONCATENATE(calendar[[#This Row],[Month]],"/",calendar[[#This Row],[Year]])</f>
        <v>6/2025</v>
      </c>
      <c r="G3097">
        <f>WEEKDAY(calendar[[#This Row],[Date]],1)</f>
        <v>2</v>
      </c>
      <c r="H3097" t="str">
        <f>TEXT(calendar[[#This Row],[WeekDay]],"dddd")</f>
        <v>Monday</v>
      </c>
      <c r="I3097">
        <f>IF((INT(calendar[[#This Row],[Count]]/7)-calendar[[#This Row],[Count]]/7)&lt;0,I3096,I3096+1)</f>
        <v>443</v>
      </c>
      <c r="J3097">
        <f t="shared" si="244"/>
        <v>3095</v>
      </c>
      <c r="K3097">
        <f>IF(calendar[[#This Row],[Month]]&lt;4,1,IF(calendar[[#This Row],[Month]]&lt;7,2,IF(calendar[[#This Row],[Month]]&lt;10,3,4)))</f>
        <v>2</v>
      </c>
      <c r="L3097">
        <f>IFERROR(IF(VLOOKUP(calendar[[#This Row],[Date]],BH!A:A,1,)&lt;&gt;"",1,0),0)</f>
        <v>0</v>
      </c>
      <c r="M3097">
        <f>IFERROR(IF(VLOOKUP(calendar[[#This Row],[Date]],BH!C:C,1,)&lt;&gt;"",1,0),0)</f>
        <v>0</v>
      </c>
      <c r="N3097">
        <f>IFERROR(IF(VLOOKUP(calendar[[#This Row],[Date]],BH!E:E,1,)&lt;&gt;"",1,0),0)</f>
        <v>0</v>
      </c>
      <c r="O3097">
        <f>IFERROR(IF(VLOOKUP(calendar[[#This Row],[Date]],BH!G:G,1,)&lt;&gt;"",1,0),0)</f>
        <v>0</v>
      </c>
      <c r="P3097">
        <f>IF(OR(calendar[[#This Row],[UK_BH]]=1,calendar[[#This Row],[WeekDay]]=1, calendar[[#This Row],[WeekDay]]=7),P3096,P3096+1)</f>
        <v>2206</v>
      </c>
      <c r="Q3097">
        <f>IF(OR(calendar[[#This Row],[FR_BH]]=1,calendar[[#This Row],[WeekDay]]=1, calendar[[#This Row],[WeekDay]]=7),P3096,P3096+1)</f>
        <v>2206</v>
      </c>
      <c r="R3097">
        <f>IF(OR(calendar[[#This Row],[SP_BH]]=1,calendar[[#This Row],[WeekDay]]=1, calendar[[#This Row],[WeekDay]]=7),P3096,P3096+1)</f>
        <v>2206</v>
      </c>
      <c r="S3097">
        <f>IF(OR(calendar[[#This Row],[PT_BH]]=1,calendar[[#This Row],[WeekDay]]=1, calendar[[#This Row],[WeekDay]]=7),P3096,P3096+1)</f>
        <v>2206</v>
      </c>
    </row>
    <row r="3098" spans="1:19" x14ac:dyDescent="0.25">
      <c r="A3098" s="2">
        <v>45832</v>
      </c>
      <c r="B3098" s="1">
        <f t="shared" si="243"/>
        <v>26</v>
      </c>
      <c r="C3098">
        <f t="shared" si="245"/>
        <v>6</v>
      </c>
      <c r="D3098" t="str">
        <f t="shared" si="246"/>
        <v>June</v>
      </c>
      <c r="E3098">
        <f t="shared" si="247"/>
        <v>2025</v>
      </c>
      <c r="F3098" t="str">
        <f>CONCATENATE(calendar[[#This Row],[Month]],"/",calendar[[#This Row],[Year]])</f>
        <v>6/2025</v>
      </c>
      <c r="G3098">
        <f>WEEKDAY(calendar[[#This Row],[Date]],1)</f>
        <v>3</v>
      </c>
      <c r="H3098" t="str">
        <f>TEXT(calendar[[#This Row],[WeekDay]],"dddd")</f>
        <v>Tuesday</v>
      </c>
      <c r="I3098">
        <f>IF((INT(calendar[[#This Row],[Count]]/7)-calendar[[#This Row],[Count]]/7)&lt;0,I3097,I3097+1)</f>
        <v>443</v>
      </c>
      <c r="J3098">
        <f t="shared" si="244"/>
        <v>3096</v>
      </c>
      <c r="K3098">
        <f>IF(calendar[[#This Row],[Month]]&lt;4,1,IF(calendar[[#This Row],[Month]]&lt;7,2,IF(calendar[[#This Row],[Month]]&lt;10,3,4)))</f>
        <v>2</v>
      </c>
      <c r="L3098">
        <f>IFERROR(IF(VLOOKUP(calendar[[#This Row],[Date]],BH!A:A,1,)&lt;&gt;"",1,0),0)</f>
        <v>0</v>
      </c>
      <c r="M3098">
        <f>IFERROR(IF(VLOOKUP(calendar[[#This Row],[Date]],BH!C:C,1,)&lt;&gt;"",1,0),0)</f>
        <v>0</v>
      </c>
      <c r="N3098">
        <f>IFERROR(IF(VLOOKUP(calendar[[#This Row],[Date]],BH!E:E,1,)&lt;&gt;"",1,0),0)</f>
        <v>1</v>
      </c>
      <c r="O3098">
        <f>IFERROR(IF(VLOOKUP(calendar[[#This Row],[Date]],BH!G:G,1,)&lt;&gt;"",1,0),0)</f>
        <v>0</v>
      </c>
      <c r="P3098">
        <f>IF(OR(calendar[[#This Row],[UK_BH]]=1,calendar[[#This Row],[WeekDay]]=1, calendar[[#This Row],[WeekDay]]=7),P3097,P3097+1)</f>
        <v>2207</v>
      </c>
      <c r="Q3098">
        <f>IF(OR(calendar[[#This Row],[FR_BH]]=1,calendar[[#This Row],[WeekDay]]=1, calendar[[#This Row],[WeekDay]]=7),P3097,P3097+1)</f>
        <v>2207</v>
      </c>
      <c r="R3098">
        <f>IF(OR(calendar[[#This Row],[SP_BH]]=1,calendar[[#This Row],[WeekDay]]=1, calendar[[#This Row],[WeekDay]]=7),P3097,P3097+1)</f>
        <v>2206</v>
      </c>
      <c r="S3098">
        <f>IF(OR(calendar[[#This Row],[PT_BH]]=1,calendar[[#This Row],[WeekDay]]=1, calendar[[#This Row],[WeekDay]]=7),P3097,P3097+1)</f>
        <v>2207</v>
      </c>
    </row>
    <row r="3099" spans="1:19" x14ac:dyDescent="0.25">
      <c r="A3099" s="2">
        <v>45833</v>
      </c>
      <c r="B3099" s="1">
        <f t="shared" si="243"/>
        <v>26</v>
      </c>
      <c r="C3099">
        <f t="shared" si="245"/>
        <v>6</v>
      </c>
      <c r="D3099" t="str">
        <f t="shared" si="246"/>
        <v>June</v>
      </c>
      <c r="E3099">
        <f t="shared" si="247"/>
        <v>2025</v>
      </c>
      <c r="F3099" t="str">
        <f>CONCATENATE(calendar[[#This Row],[Month]],"/",calendar[[#This Row],[Year]])</f>
        <v>6/2025</v>
      </c>
      <c r="G3099">
        <f>WEEKDAY(calendar[[#This Row],[Date]],1)</f>
        <v>4</v>
      </c>
      <c r="H3099" t="str">
        <f>TEXT(calendar[[#This Row],[WeekDay]],"dddd")</f>
        <v>Wednesday</v>
      </c>
      <c r="I3099">
        <f>IF((INT(calendar[[#This Row],[Count]]/7)-calendar[[#This Row],[Count]]/7)&lt;0,I3098,I3098+1)</f>
        <v>443</v>
      </c>
      <c r="J3099">
        <f t="shared" si="244"/>
        <v>3097</v>
      </c>
      <c r="K3099">
        <f>IF(calendar[[#This Row],[Month]]&lt;4,1,IF(calendar[[#This Row],[Month]]&lt;7,2,IF(calendar[[#This Row],[Month]]&lt;10,3,4)))</f>
        <v>2</v>
      </c>
      <c r="L3099">
        <f>IFERROR(IF(VLOOKUP(calendar[[#This Row],[Date]],BH!A:A,1,)&lt;&gt;"",1,0),0)</f>
        <v>0</v>
      </c>
      <c r="M3099">
        <f>IFERROR(IF(VLOOKUP(calendar[[#This Row],[Date]],BH!C:C,1,)&lt;&gt;"",1,0),0)</f>
        <v>0</v>
      </c>
      <c r="N3099">
        <f>IFERROR(IF(VLOOKUP(calendar[[#This Row],[Date]],BH!E:E,1,)&lt;&gt;"",1,0),0)</f>
        <v>0</v>
      </c>
      <c r="O3099">
        <f>IFERROR(IF(VLOOKUP(calendar[[#This Row],[Date]],BH!G:G,1,)&lt;&gt;"",1,0),0)</f>
        <v>0</v>
      </c>
      <c r="P3099">
        <f>IF(OR(calendar[[#This Row],[UK_BH]]=1,calendar[[#This Row],[WeekDay]]=1, calendar[[#This Row],[WeekDay]]=7),P3098,P3098+1)</f>
        <v>2208</v>
      </c>
      <c r="Q3099">
        <f>IF(OR(calendar[[#This Row],[FR_BH]]=1,calendar[[#This Row],[WeekDay]]=1, calendar[[#This Row],[WeekDay]]=7),P3098,P3098+1)</f>
        <v>2208</v>
      </c>
      <c r="R3099">
        <f>IF(OR(calendar[[#This Row],[SP_BH]]=1,calendar[[#This Row],[WeekDay]]=1, calendar[[#This Row],[WeekDay]]=7),P3098,P3098+1)</f>
        <v>2208</v>
      </c>
      <c r="S3099">
        <f>IF(OR(calendar[[#This Row],[PT_BH]]=1,calendar[[#This Row],[WeekDay]]=1, calendar[[#This Row],[WeekDay]]=7),P3098,P3098+1)</f>
        <v>2208</v>
      </c>
    </row>
    <row r="3100" spans="1:19" x14ac:dyDescent="0.25">
      <c r="A3100" s="2">
        <v>45834</v>
      </c>
      <c r="B3100" s="1">
        <f t="shared" si="243"/>
        <v>26</v>
      </c>
      <c r="C3100">
        <f t="shared" si="245"/>
        <v>6</v>
      </c>
      <c r="D3100" t="str">
        <f t="shared" si="246"/>
        <v>June</v>
      </c>
      <c r="E3100">
        <f t="shared" si="247"/>
        <v>2025</v>
      </c>
      <c r="F3100" t="str">
        <f>CONCATENATE(calendar[[#This Row],[Month]],"/",calendar[[#This Row],[Year]])</f>
        <v>6/2025</v>
      </c>
      <c r="G3100">
        <f>WEEKDAY(calendar[[#This Row],[Date]],1)</f>
        <v>5</v>
      </c>
      <c r="H3100" t="str">
        <f>TEXT(calendar[[#This Row],[WeekDay]],"dddd")</f>
        <v>Thursday</v>
      </c>
      <c r="I3100">
        <f>IF((INT(calendar[[#This Row],[Count]]/7)-calendar[[#This Row],[Count]]/7)&lt;0,I3099,I3099+1)</f>
        <v>443</v>
      </c>
      <c r="J3100">
        <f t="shared" si="244"/>
        <v>3098</v>
      </c>
      <c r="K3100">
        <f>IF(calendar[[#This Row],[Month]]&lt;4,1,IF(calendar[[#This Row],[Month]]&lt;7,2,IF(calendar[[#This Row],[Month]]&lt;10,3,4)))</f>
        <v>2</v>
      </c>
      <c r="L3100">
        <f>IFERROR(IF(VLOOKUP(calendar[[#This Row],[Date]],BH!A:A,1,)&lt;&gt;"",1,0),0)</f>
        <v>0</v>
      </c>
      <c r="M3100">
        <f>IFERROR(IF(VLOOKUP(calendar[[#This Row],[Date]],BH!C:C,1,)&lt;&gt;"",1,0),0)</f>
        <v>0</v>
      </c>
      <c r="N3100">
        <f>IFERROR(IF(VLOOKUP(calendar[[#This Row],[Date]],BH!E:E,1,)&lt;&gt;"",1,0),0)</f>
        <v>0</v>
      </c>
      <c r="O3100">
        <f>IFERROR(IF(VLOOKUP(calendar[[#This Row],[Date]],BH!G:G,1,)&lt;&gt;"",1,0),0)</f>
        <v>0</v>
      </c>
      <c r="P3100">
        <f>IF(OR(calendar[[#This Row],[UK_BH]]=1,calendar[[#This Row],[WeekDay]]=1, calendar[[#This Row],[WeekDay]]=7),P3099,P3099+1)</f>
        <v>2209</v>
      </c>
      <c r="Q3100">
        <f>IF(OR(calendar[[#This Row],[FR_BH]]=1,calendar[[#This Row],[WeekDay]]=1, calendar[[#This Row],[WeekDay]]=7),P3099,P3099+1)</f>
        <v>2209</v>
      </c>
      <c r="R3100">
        <f>IF(OR(calendar[[#This Row],[SP_BH]]=1,calendar[[#This Row],[WeekDay]]=1, calendar[[#This Row],[WeekDay]]=7),P3099,P3099+1)</f>
        <v>2209</v>
      </c>
      <c r="S3100">
        <f>IF(OR(calendar[[#This Row],[PT_BH]]=1,calendar[[#This Row],[WeekDay]]=1, calendar[[#This Row],[WeekDay]]=7),P3099,P3099+1)</f>
        <v>2209</v>
      </c>
    </row>
    <row r="3101" spans="1:19" x14ac:dyDescent="0.25">
      <c r="A3101" s="2">
        <v>45835</v>
      </c>
      <c r="B3101" s="1">
        <f t="shared" si="243"/>
        <v>26</v>
      </c>
      <c r="C3101">
        <f t="shared" si="245"/>
        <v>6</v>
      </c>
      <c r="D3101" t="str">
        <f t="shared" si="246"/>
        <v>June</v>
      </c>
      <c r="E3101">
        <f t="shared" si="247"/>
        <v>2025</v>
      </c>
      <c r="F3101" t="str">
        <f>CONCATENATE(calendar[[#This Row],[Month]],"/",calendar[[#This Row],[Year]])</f>
        <v>6/2025</v>
      </c>
      <c r="G3101">
        <f>WEEKDAY(calendar[[#This Row],[Date]],1)</f>
        <v>6</v>
      </c>
      <c r="H3101" t="str">
        <f>TEXT(calendar[[#This Row],[WeekDay]],"dddd")</f>
        <v>Friday</v>
      </c>
      <c r="I3101">
        <f>IF((INT(calendar[[#This Row],[Count]]/7)-calendar[[#This Row],[Count]]/7)&lt;0,I3100,I3100+1)</f>
        <v>443</v>
      </c>
      <c r="J3101">
        <f t="shared" si="244"/>
        <v>3099</v>
      </c>
      <c r="K3101">
        <f>IF(calendar[[#This Row],[Month]]&lt;4,1,IF(calendar[[#This Row],[Month]]&lt;7,2,IF(calendar[[#This Row],[Month]]&lt;10,3,4)))</f>
        <v>2</v>
      </c>
      <c r="L3101">
        <f>IFERROR(IF(VLOOKUP(calendar[[#This Row],[Date]],BH!A:A,1,)&lt;&gt;"",1,0),0)</f>
        <v>0</v>
      </c>
      <c r="M3101">
        <f>IFERROR(IF(VLOOKUP(calendar[[#This Row],[Date]],BH!C:C,1,)&lt;&gt;"",1,0),0)</f>
        <v>0</v>
      </c>
      <c r="N3101">
        <f>IFERROR(IF(VLOOKUP(calendar[[#This Row],[Date]],BH!E:E,1,)&lt;&gt;"",1,0),0)</f>
        <v>0</v>
      </c>
      <c r="O3101">
        <f>IFERROR(IF(VLOOKUP(calendar[[#This Row],[Date]],BH!G:G,1,)&lt;&gt;"",1,0),0)</f>
        <v>0</v>
      </c>
      <c r="P3101">
        <f>IF(OR(calendar[[#This Row],[UK_BH]]=1,calendar[[#This Row],[WeekDay]]=1, calendar[[#This Row],[WeekDay]]=7),P3100,P3100+1)</f>
        <v>2210</v>
      </c>
      <c r="Q3101">
        <f>IF(OR(calendar[[#This Row],[FR_BH]]=1,calendar[[#This Row],[WeekDay]]=1, calendar[[#This Row],[WeekDay]]=7),P3100,P3100+1)</f>
        <v>2210</v>
      </c>
      <c r="R3101">
        <f>IF(OR(calendar[[#This Row],[SP_BH]]=1,calendar[[#This Row],[WeekDay]]=1, calendar[[#This Row],[WeekDay]]=7),P3100,P3100+1)</f>
        <v>2210</v>
      </c>
      <c r="S3101">
        <f>IF(OR(calendar[[#This Row],[PT_BH]]=1,calendar[[#This Row],[WeekDay]]=1, calendar[[#This Row],[WeekDay]]=7),P3100,P3100+1)</f>
        <v>2210</v>
      </c>
    </row>
    <row r="3102" spans="1:19" x14ac:dyDescent="0.25">
      <c r="A3102" s="2">
        <v>45836</v>
      </c>
      <c r="B3102" s="1">
        <f t="shared" si="243"/>
        <v>26</v>
      </c>
      <c r="C3102">
        <f t="shared" si="245"/>
        <v>6</v>
      </c>
      <c r="D3102" t="str">
        <f t="shared" si="246"/>
        <v>June</v>
      </c>
      <c r="E3102">
        <f t="shared" si="247"/>
        <v>2025</v>
      </c>
      <c r="F3102" t="str">
        <f>CONCATENATE(calendar[[#This Row],[Month]],"/",calendar[[#This Row],[Year]])</f>
        <v>6/2025</v>
      </c>
      <c r="G3102">
        <f>WEEKDAY(calendar[[#This Row],[Date]],1)</f>
        <v>7</v>
      </c>
      <c r="H3102" t="str">
        <f>TEXT(calendar[[#This Row],[WeekDay]],"dddd")</f>
        <v>Saturday</v>
      </c>
      <c r="I3102">
        <f>IF((INT(calendar[[#This Row],[Count]]/7)-calendar[[#This Row],[Count]]/7)&lt;0,I3101,I3101+1)</f>
        <v>443</v>
      </c>
      <c r="J3102">
        <f t="shared" si="244"/>
        <v>3100</v>
      </c>
      <c r="K3102">
        <f>IF(calendar[[#This Row],[Month]]&lt;4,1,IF(calendar[[#This Row],[Month]]&lt;7,2,IF(calendar[[#This Row],[Month]]&lt;10,3,4)))</f>
        <v>2</v>
      </c>
      <c r="L3102">
        <f>IFERROR(IF(VLOOKUP(calendar[[#This Row],[Date]],BH!A:A,1,)&lt;&gt;"",1,0),0)</f>
        <v>0</v>
      </c>
      <c r="M3102">
        <f>IFERROR(IF(VLOOKUP(calendar[[#This Row],[Date]],BH!C:C,1,)&lt;&gt;"",1,0),0)</f>
        <v>0</v>
      </c>
      <c r="N3102">
        <f>IFERROR(IF(VLOOKUP(calendar[[#This Row],[Date]],BH!E:E,1,)&lt;&gt;"",1,0),0)</f>
        <v>0</v>
      </c>
      <c r="O3102">
        <f>IFERROR(IF(VLOOKUP(calendar[[#This Row],[Date]],BH!G:G,1,)&lt;&gt;"",1,0),0)</f>
        <v>0</v>
      </c>
      <c r="P3102">
        <f>IF(OR(calendar[[#This Row],[UK_BH]]=1,calendar[[#This Row],[WeekDay]]=1, calendar[[#This Row],[WeekDay]]=7),P3101,P3101+1)</f>
        <v>2210</v>
      </c>
      <c r="Q3102">
        <f>IF(OR(calendar[[#This Row],[FR_BH]]=1,calendar[[#This Row],[WeekDay]]=1, calendar[[#This Row],[WeekDay]]=7),P3101,P3101+1)</f>
        <v>2210</v>
      </c>
      <c r="R3102">
        <f>IF(OR(calendar[[#This Row],[SP_BH]]=1,calendar[[#This Row],[WeekDay]]=1, calendar[[#This Row],[WeekDay]]=7),P3101,P3101+1)</f>
        <v>2210</v>
      </c>
      <c r="S3102">
        <f>IF(OR(calendar[[#This Row],[PT_BH]]=1,calendar[[#This Row],[WeekDay]]=1, calendar[[#This Row],[WeekDay]]=7),P3101,P3101+1)</f>
        <v>2210</v>
      </c>
    </row>
    <row r="3103" spans="1:19" x14ac:dyDescent="0.25">
      <c r="A3103" s="2">
        <v>45837</v>
      </c>
      <c r="B3103" s="1">
        <f t="shared" si="243"/>
        <v>27</v>
      </c>
      <c r="C3103">
        <f t="shared" si="245"/>
        <v>6</v>
      </c>
      <c r="D3103" t="str">
        <f t="shared" si="246"/>
        <v>June</v>
      </c>
      <c r="E3103">
        <f t="shared" si="247"/>
        <v>2025</v>
      </c>
      <c r="F3103" t="str">
        <f>CONCATENATE(calendar[[#This Row],[Month]],"/",calendar[[#This Row],[Year]])</f>
        <v>6/2025</v>
      </c>
      <c r="G3103">
        <f>WEEKDAY(calendar[[#This Row],[Date]],1)</f>
        <v>1</v>
      </c>
      <c r="H3103" t="str">
        <f>TEXT(calendar[[#This Row],[WeekDay]],"dddd")</f>
        <v>Sunday</v>
      </c>
      <c r="I3103">
        <f>IF((INT(calendar[[#This Row],[Count]]/7)-calendar[[#This Row],[Count]]/7)&lt;0,I3102,I3102+1)</f>
        <v>444</v>
      </c>
      <c r="J3103">
        <f t="shared" si="244"/>
        <v>3101</v>
      </c>
      <c r="K3103">
        <f>IF(calendar[[#This Row],[Month]]&lt;4,1,IF(calendar[[#This Row],[Month]]&lt;7,2,IF(calendar[[#This Row],[Month]]&lt;10,3,4)))</f>
        <v>2</v>
      </c>
      <c r="L3103">
        <f>IFERROR(IF(VLOOKUP(calendar[[#This Row],[Date]],BH!A:A,1,)&lt;&gt;"",1,0),0)</f>
        <v>0</v>
      </c>
      <c r="M3103">
        <f>IFERROR(IF(VLOOKUP(calendar[[#This Row],[Date]],BH!C:C,1,)&lt;&gt;"",1,0),0)</f>
        <v>0</v>
      </c>
      <c r="N3103">
        <f>IFERROR(IF(VLOOKUP(calendar[[#This Row],[Date]],BH!E:E,1,)&lt;&gt;"",1,0),0)</f>
        <v>0</v>
      </c>
      <c r="O3103">
        <f>IFERROR(IF(VLOOKUP(calendar[[#This Row],[Date]],BH!G:G,1,)&lt;&gt;"",1,0),0)</f>
        <v>0</v>
      </c>
      <c r="P3103">
        <f>IF(OR(calendar[[#This Row],[UK_BH]]=1,calendar[[#This Row],[WeekDay]]=1, calendar[[#This Row],[WeekDay]]=7),P3102,P3102+1)</f>
        <v>2210</v>
      </c>
      <c r="Q3103">
        <f>IF(OR(calendar[[#This Row],[FR_BH]]=1,calendar[[#This Row],[WeekDay]]=1, calendar[[#This Row],[WeekDay]]=7),P3102,P3102+1)</f>
        <v>2210</v>
      </c>
      <c r="R3103">
        <f>IF(OR(calendar[[#This Row],[SP_BH]]=1,calendar[[#This Row],[WeekDay]]=1, calendar[[#This Row],[WeekDay]]=7),P3102,P3102+1)</f>
        <v>2210</v>
      </c>
      <c r="S3103">
        <f>IF(OR(calendar[[#This Row],[PT_BH]]=1,calendar[[#This Row],[WeekDay]]=1, calendar[[#This Row],[WeekDay]]=7),P3102,P3102+1)</f>
        <v>2210</v>
      </c>
    </row>
    <row r="3104" spans="1:19" x14ac:dyDescent="0.25">
      <c r="A3104" s="2">
        <v>45838</v>
      </c>
      <c r="B3104" s="1">
        <f t="shared" si="243"/>
        <v>27</v>
      </c>
      <c r="C3104">
        <f t="shared" si="245"/>
        <v>6</v>
      </c>
      <c r="D3104" t="str">
        <f t="shared" si="246"/>
        <v>June</v>
      </c>
      <c r="E3104">
        <f t="shared" si="247"/>
        <v>2025</v>
      </c>
      <c r="F3104" t="str">
        <f>CONCATENATE(calendar[[#This Row],[Month]],"/",calendar[[#This Row],[Year]])</f>
        <v>6/2025</v>
      </c>
      <c r="G3104">
        <f>WEEKDAY(calendar[[#This Row],[Date]],1)</f>
        <v>2</v>
      </c>
      <c r="H3104" t="str">
        <f>TEXT(calendar[[#This Row],[WeekDay]],"dddd")</f>
        <v>Monday</v>
      </c>
      <c r="I3104">
        <f>IF((INT(calendar[[#This Row],[Count]]/7)-calendar[[#This Row],[Count]]/7)&lt;0,I3103,I3103+1)</f>
        <v>444</v>
      </c>
      <c r="J3104">
        <f t="shared" si="244"/>
        <v>3102</v>
      </c>
      <c r="K3104">
        <f>IF(calendar[[#This Row],[Month]]&lt;4,1,IF(calendar[[#This Row],[Month]]&lt;7,2,IF(calendar[[#This Row],[Month]]&lt;10,3,4)))</f>
        <v>2</v>
      </c>
      <c r="L3104">
        <f>IFERROR(IF(VLOOKUP(calendar[[#This Row],[Date]],BH!A:A,1,)&lt;&gt;"",1,0),0)</f>
        <v>0</v>
      </c>
      <c r="M3104">
        <f>IFERROR(IF(VLOOKUP(calendar[[#This Row],[Date]],BH!C:C,1,)&lt;&gt;"",1,0),0)</f>
        <v>0</v>
      </c>
      <c r="N3104">
        <f>IFERROR(IF(VLOOKUP(calendar[[#This Row],[Date]],BH!E:E,1,)&lt;&gt;"",1,0),0)</f>
        <v>0</v>
      </c>
      <c r="O3104">
        <f>IFERROR(IF(VLOOKUP(calendar[[#This Row],[Date]],BH!G:G,1,)&lt;&gt;"",1,0),0)</f>
        <v>0</v>
      </c>
      <c r="P3104">
        <f>IF(OR(calendar[[#This Row],[UK_BH]]=1,calendar[[#This Row],[WeekDay]]=1, calendar[[#This Row],[WeekDay]]=7),P3103,P3103+1)</f>
        <v>2211</v>
      </c>
      <c r="Q3104">
        <f>IF(OR(calendar[[#This Row],[FR_BH]]=1,calendar[[#This Row],[WeekDay]]=1, calendar[[#This Row],[WeekDay]]=7),P3103,P3103+1)</f>
        <v>2211</v>
      </c>
      <c r="R3104">
        <f>IF(OR(calendar[[#This Row],[SP_BH]]=1,calendar[[#This Row],[WeekDay]]=1, calendar[[#This Row],[WeekDay]]=7),P3103,P3103+1)</f>
        <v>2211</v>
      </c>
      <c r="S3104">
        <f>IF(OR(calendar[[#This Row],[PT_BH]]=1,calendar[[#This Row],[WeekDay]]=1, calendar[[#This Row],[WeekDay]]=7),P3103,P3103+1)</f>
        <v>2211</v>
      </c>
    </row>
    <row r="3105" spans="1:19" x14ac:dyDescent="0.25">
      <c r="A3105" s="2">
        <v>45839</v>
      </c>
      <c r="B3105" s="1">
        <f t="shared" si="243"/>
        <v>27</v>
      </c>
      <c r="C3105">
        <f t="shared" si="245"/>
        <v>7</v>
      </c>
      <c r="D3105" t="str">
        <f t="shared" si="246"/>
        <v>July</v>
      </c>
      <c r="E3105">
        <f t="shared" si="247"/>
        <v>2025</v>
      </c>
      <c r="F3105" t="str">
        <f>CONCATENATE(calendar[[#This Row],[Month]],"/",calendar[[#This Row],[Year]])</f>
        <v>7/2025</v>
      </c>
      <c r="G3105">
        <f>WEEKDAY(calendar[[#This Row],[Date]],1)</f>
        <v>3</v>
      </c>
      <c r="H3105" t="str">
        <f>TEXT(calendar[[#This Row],[WeekDay]],"dddd")</f>
        <v>Tuesday</v>
      </c>
      <c r="I3105">
        <f>IF((INT(calendar[[#This Row],[Count]]/7)-calendar[[#This Row],[Count]]/7)&lt;0,I3104,I3104+1)</f>
        <v>444</v>
      </c>
      <c r="J3105">
        <f t="shared" si="244"/>
        <v>3103</v>
      </c>
      <c r="K3105">
        <f>IF(calendar[[#This Row],[Month]]&lt;4,1,IF(calendar[[#This Row],[Month]]&lt;7,2,IF(calendar[[#This Row],[Month]]&lt;10,3,4)))</f>
        <v>3</v>
      </c>
      <c r="L3105">
        <f>IFERROR(IF(VLOOKUP(calendar[[#This Row],[Date]],BH!A:A,1,)&lt;&gt;"",1,0),0)</f>
        <v>0</v>
      </c>
      <c r="M3105">
        <f>IFERROR(IF(VLOOKUP(calendar[[#This Row],[Date]],BH!C:C,1,)&lt;&gt;"",1,0),0)</f>
        <v>0</v>
      </c>
      <c r="N3105">
        <f>IFERROR(IF(VLOOKUP(calendar[[#This Row],[Date]],BH!E:E,1,)&lt;&gt;"",1,0),0)</f>
        <v>0</v>
      </c>
      <c r="O3105">
        <f>IFERROR(IF(VLOOKUP(calendar[[#This Row],[Date]],BH!G:G,1,)&lt;&gt;"",1,0),0)</f>
        <v>0</v>
      </c>
      <c r="P3105">
        <f>IF(OR(calendar[[#This Row],[UK_BH]]=1,calendar[[#This Row],[WeekDay]]=1, calendar[[#This Row],[WeekDay]]=7),P3104,P3104+1)</f>
        <v>2212</v>
      </c>
      <c r="Q3105">
        <f>IF(OR(calendar[[#This Row],[FR_BH]]=1,calendar[[#This Row],[WeekDay]]=1, calendar[[#This Row],[WeekDay]]=7),P3104,P3104+1)</f>
        <v>2212</v>
      </c>
      <c r="R3105">
        <f>IF(OR(calendar[[#This Row],[SP_BH]]=1,calendar[[#This Row],[WeekDay]]=1, calendar[[#This Row],[WeekDay]]=7),P3104,P3104+1)</f>
        <v>2212</v>
      </c>
      <c r="S3105">
        <f>IF(OR(calendar[[#This Row],[PT_BH]]=1,calendar[[#This Row],[WeekDay]]=1, calendar[[#This Row],[WeekDay]]=7),P3104,P3104+1)</f>
        <v>2212</v>
      </c>
    </row>
    <row r="3106" spans="1:19" x14ac:dyDescent="0.25">
      <c r="A3106" s="2">
        <v>45840</v>
      </c>
      <c r="B3106" s="1">
        <f t="shared" si="243"/>
        <v>27</v>
      </c>
      <c r="C3106">
        <f t="shared" si="245"/>
        <v>7</v>
      </c>
      <c r="D3106" t="str">
        <f t="shared" si="246"/>
        <v>July</v>
      </c>
      <c r="E3106">
        <f t="shared" si="247"/>
        <v>2025</v>
      </c>
      <c r="F3106" t="str">
        <f>CONCATENATE(calendar[[#This Row],[Month]],"/",calendar[[#This Row],[Year]])</f>
        <v>7/2025</v>
      </c>
      <c r="G3106">
        <f>WEEKDAY(calendar[[#This Row],[Date]],1)</f>
        <v>4</v>
      </c>
      <c r="H3106" t="str">
        <f>TEXT(calendar[[#This Row],[WeekDay]],"dddd")</f>
        <v>Wednesday</v>
      </c>
      <c r="I3106">
        <f>IF((INT(calendar[[#This Row],[Count]]/7)-calendar[[#This Row],[Count]]/7)&lt;0,I3105,I3105+1)</f>
        <v>444</v>
      </c>
      <c r="J3106">
        <f t="shared" si="244"/>
        <v>3104</v>
      </c>
      <c r="K3106">
        <f>IF(calendar[[#This Row],[Month]]&lt;4,1,IF(calendar[[#This Row],[Month]]&lt;7,2,IF(calendar[[#This Row],[Month]]&lt;10,3,4)))</f>
        <v>3</v>
      </c>
      <c r="L3106">
        <f>IFERROR(IF(VLOOKUP(calendar[[#This Row],[Date]],BH!A:A,1,)&lt;&gt;"",1,0),0)</f>
        <v>0</v>
      </c>
      <c r="M3106">
        <f>IFERROR(IF(VLOOKUP(calendar[[#This Row],[Date]],BH!C:C,1,)&lt;&gt;"",1,0),0)</f>
        <v>0</v>
      </c>
      <c r="N3106">
        <f>IFERROR(IF(VLOOKUP(calendar[[#This Row],[Date]],BH!E:E,1,)&lt;&gt;"",1,0),0)</f>
        <v>0</v>
      </c>
      <c r="O3106">
        <f>IFERROR(IF(VLOOKUP(calendar[[#This Row],[Date]],BH!G:G,1,)&lt;&gt;"",1,0),0)</f>
        <v>0</v>
      </c>
      <c r="P3106">
        <f>IF(OR(calendar[[#This Row],[UK_BH]]=1,calendar[[#This Row],[WeekDay]]=1, calendar[[#This Row],[WeekDay]]=7),P3105,P3105+1)</f>
        <v>2213</v>
      </c>
      <c r="Q3106">
        <f>IF(OR(calendar[[#This Row],[FR_BH]]=1,calendar[[#This Row],[WeekDay]]=1, calendar[[#This Row],[WeekDay]]=7),P3105,P3105+1)</f>
        <v>2213</v>
      </c>
      <c r="R3106">
        <f>IF(OR(calendar[[#This Row],[SP_BH]]=1,calendar[[#This Row],[WeekDay]]=1, calendar[[#This Row],[WeekDay]]=7),P3105,P3105+1)</f>
        <v>2213</v>
      </c>
      <c r="S3106">
        <f>IF(OR(calendar[[#This Row],[PT_BH]]=1,calendar[[#This Row],[WeekDay]]=1, calendar[[#This Row],[WeekDay]]=7),P3105,P3105+1)</f>
        <v>2213</v>
      </c>
    </row>
    <row r="3107" spans="1:19" x14ac:dyDescent="0.25">
      <c r="A3107" s="2">
        <v>45841</v>
      </c>
      <c r="B3107" s="1">
        <f t="shared" si="243"/>
        <v>27</v>
      </c>
      <c r="C3107">
        <f t="shared" si="245"/>
        <v>7</v>
      </c>
      <c r="D3107" t="str">
        <f t="shared" si="246"/>
        <v>July</v>
      </c>
      <c r="E3107">
        <f t="shared" si="247"/>
        <v>2025</v>
      </c>
      <c r="F3107" t="str">
        <f>CONCATENATE(calendar[[#This Row],[Month]],"/",calendar[[#This Row],[Year]])</f>
        <v>7/2025</v>
      </c>
      <c r="G3107">
        <f>WEEKDAY(calendar[[#This Row],[Date]],1)</f>
        <v>5</v>
      </c>
      <c r="H3107" t="str">
        <f>TEXT(calendar[[#This Row],[WeekDay]],"dddd")</f>
        <v>Thursday</v>
      </c>
      <c r="I3107">
        <f>IF((INT(calendar[[#This Row],[Count]]/7)-calendar[[#This Row],[Count]]/7)&lt;0,I3106,I3106+1)</f>
        <v>444</v>
      </c>
      <c r="J3107">
        <f t="shared" si="244"/>
        <v>3105</v>
      </c>
      <c r="K3107">
        <f>IF(calendar[[#This Row],[Month]]&lt;4,1,IF(calendar[[#This Row],[Month]]&lt;7,2,IF(calendar[[#This Row],[Month]]&lt;10,3,4)))</f>
        <v>3</v>
      </c>
      <c r="L3107">
        <f>IFERROR(IF(VLOOKUP(calendar[[#This Row],[Date]],BH!A:A,1,)&lt;&gt;"",1,0),0)</f>
        <v>0</v>
      </c>
      <c r="M3107">
        <f>IFERROR(IF(VLOOKUP(calendar[[#This Row],[Date]],BH!C:C,1,)&lt;&gt;"",1,0),0)</f>
        <v>0</v>
      </c>
      <c r="N3107">
        <f>IFERROR(IF(VLOOKUP(calendar[[#This Row],[Date]],BH!E:E,1,)&lt;&gt;"",1,0),0)</f>
        <v>0</v>
      </c>
      <c r="O3107">
        <f>IFERROR(IF(VLOOKUP(calendar[[#This Row],[Date]],BH!G:G,1,)&lt;&gt;"",1,0),0)</f>
        <v>0</v>
      </c>
      <c r="P3107">
        <f>IF(OR(calendar[[#This Row],[UK_BH]]=1,calendar[[#This Row],[WeekDay]]=1, calendar[[#This Row],[WeekDay]]=7),P3106,P3106+1)</f>
        <v>2214</v>
      </c>
      <c r="Q3107">
        <f>IF(OR(calendar[[#This Row],[FR_BH]]=1,calendar[[#This Row],[WeekDay]]=1, calendar[[#This Row],[WeekDay]]=7),P3106,P3106+1)</f>
        <v>2214</v>
      </c>
      <c r="R3107">
        <f>IF(OR(calendar[[#This Row],[SP_BH]]=1,calendar[[#This Row],[WeekDay]]=1, calendar[[#This Row],[WeekDay]]=7),P3106,P3106+1)</f>
        <v>2214</v>
      </c>
      <c r="S3107">
        <f>IF(OR(calendar[[#This Row],[PT_BH]]=1,calendar[[#This Row],[WeekDay]]=1, calendar[[#This Row],[WeekDay]]=7),P3106,P3106+1)</f>
        <v>2214</v>
      </c>
    </row>
    <row r="3108" spans="1:19" x14ac:dyDescent="0.25">
      <c r="A3108" s="2">
        <v>45842</v>
      </c>
      <c r="B3108" s="1">
        <f t="shared" si="243"/>
        <v>27</v>
      </c>
      <c r="C3108">
        <f t="shared" si="245"/>
        <v>7</v>
      </c>
      <c r="D3108" t="str">
        <f t="shared" si="246"/>
        <v>July</v>
      </c>
      <c r="E3108">
        <f t="shared" si="247"/>
        <v>2025</v>
      </c>
      <c r="F3108" t="str">
        <f>CONCATENATE(calendar[[#This Row],[Month]],"/",calendar[[#This Row],[Year]])</f>
        <v>7/2025</v>
      </c>
      <c r="G3108">
        <f>WEEKDAY(calendar[[#This Row],[Date]],1)</f>
        <v>6</v>
      </c>
      <c r="H3108" t="str">
        <f>TEXT(calendar[[#This Row],[WeekDay]],"dddd")</f>
        <v>Friday</v>
      </c>
      <c r="I3108">
        <f>IF((INT(calendar[[#This Row],[Count]]/7)-calendar[[#This Row],[Count]]/7)&lt;0,I3107,I3107+1)</f>
        <v>444</v>
      </c>
      <c r="J3108">
        <f t="shared" si="244"/>
        <v>3106</v>
      </c>
      <c r="K3108">
        <f>IF(calendar[[#This Row],[Month]]&lt;4,1,IF(calendar[[#This Row],[Month]]&lt;7,2,IF(calendar[[#This Row],[Month]]&lt;10,3,4)))</f>
        <v>3</v>
      </c>
      <c r="L3108">
        <f>IFERROR(IF(VLOOKUP(calendar[[#This Row],[Date]],BH!A:A,1,)&lt;&gt;"",1,0),0)</f>
        <v>0</v>
      </c>
      <c r="M3108">
        <f>IFERROR(IF(VLOOKUP(calendar[[#This Row],[Date]],BH!C:C,1,)&lt;&gt;"",1,0),0)</f>
        <v>0</v>
      </c>
      <c r="N3108">
        <f>IFERROR(IF(VLOOKUP(calendar[[#This Row],[Date]],BH!E:E,1,)&lt;&gt;"",1,0),0)</f>
        <v>0</v>
      </c>
      <c r="O3108">
        <f>IFERROR(IF(VLOOKUP(calendar[[#This Row],[Date]],BH!G:G,1,)&lt;&gt;"",1,0),0)</f>
        <v>0</v>
      </c>
      <c r="P3108">
        <f>IF(OR(calendar[[#This Row],[UK_BH]]=1,calendar[[#This Row],[WeekDay]]=1, calendar[[#This Row],[WeekDay]]=7),P3107,P3107+1)</f>
        <v>2215</v>
      </c>
      <c r="Q3108">
        <f>IF(OR(calendar[[#This Row],[FR_BH]]=1,calendar[[#This Row],[WeekDay]]=1, calendar[[#This Row],[WeekDay]]=7),P3107,P3107+1)</f>
        <v>2215</v>
      </c>
      <c r="R3108">
        <f>IF(OR(calendar[[#This Row],[SP_BH]]=1,calendar[[#This Row],[WeekDay]]=1, calendar[[#This Row],[WeekDay]]=7),P3107,P3107+1)</f>
        <v>2215</v>
      </c>
      <c r="S3108">
        <f>IF(OR(calendar[[#This Row],[PT_BH]]=1,calendar[[#This Row],[WeekDay]]=1, calendar[[#This Row],[WeekDay]]=7),P3107,P3107+1)</f>
        <v>2215</v>
      </c>
    </row>
    <row r="3109" spans="1:19" x14ac:dyDescent="0.25">
      <c r="A3109" s="2">
        <v>45843</v>
      </c>
      <c r="B3109" s="1">
        <f t="shared" si="243"/>
        <v>27</v>
      </c>
      <c r="C3109">
        <f t="shared" si="245"/>
        <v>7</v>
      </c>
      <c r="D3109" t="str">
        <f t="shared" si="246"/>
        <v>July</v>
      </c>
      <c r="E3109">
        <f t="shared" si="247"/>
        <v>2025</v>
      </c>
      <c r="F3109" t="str">
        <f>CONCATENATE(calendar[[#This Row],[Month]],"/",calendar[[#This Row],[Year]])</f>
        <v>7/2025</v>
      </c>
      <c r="G3109">
        <f>WEEKDAY(calendar[[#This Row],[Date]],1)</f>
        <v>7</v>
      </c>
      <c r="H3109" t="str">
        <f>TEXT(calendar[[#This Row],[WeekDay]],"dddd")</f>
        <v>Saturday</v>
      </c>
      <c r="I3109">
        <f>IF((INT(calendar[[#This Row],[Count]]/7)-calendar[[#This Row],[Count]]/7)&lt;0,I3108,I3108+1)</f>
        <v>444</v>
      </c>
      <c r="J3109">
        <f t="shared" si="244"/>
        <v>3107</v>
      </c>
      <c r="K3109">
        <f>IF(calendar[[#This Row],[Month]]&lt;4,1,IF(calendar[[#This Row],[Month]]&lt;7,2,IF(calendar[[#This Row],[Month]]&lt;10,3,4)))</f>
        <v>3</v>
      </c>
      <c r="L3109">
        <f>IFERROR(IF(VLOOKUP(calendar[[#This Row],[Date]],BH!A:A,1,)&lt;&gt;"",1,0),0)</f>
        <v>0</v>
      </c>
      <c r="M3109">
        <f>IFERROR(IF(VLOOKUP(calendar[[#This Row],[Date]],BH!C:C,1,)&lt;&gt;"",1,0),0)</f>
        <v>0</v>
      </c>
      <c r="N3109">
        <f>IFERROR(IF(VLOOKUP(calendar[[#This Row],[Date]],BH!E:E,1,)&lt;&gt;"",1,0),0)</f>
        <v>0</v>
      </c>
      <c r="O3109">
        <f>IFERROR(IF(VLOOKUP(calendar[[#This Row],[Date]],BH!G:G,1,)&lt;&gt;"",1,0),0)</f>
        <v>0</v>
      </c>
      <c r="P3109">
        <f>IF(OR(calendar[[#This Row],[UK_BH]]=1,calendar[[#This Row],[WeekDay]]=1, calendar[[#This Row],[WeekDay]]=7),P3108,P3108+1)</f>
        <v>2215</v>
      </c>
      <c r="Q3109">
        <f>IF(OR(calendar[[#This Row],[FR_BH]]=1,calendar[[#This Row],[WeekDay]]=1, calendar[[#This Row],[WeekDay]]=7),P3108,P3108+1)</f>
        <v>2215</v>
      </c>
      <c r="R3109">
        <f>IF(OR(calendar[[#This Row],[SP_BH]]=1,calendar[[#This Row],[WeekDay]]=1, calendar[[#This Row],[WeekDay]]=7),P3108,P3108+1)</f>
        <v>2215</v>
      </c>
      <c r="S3109">
        <f>IF(OR(calendar[[#This Row],[PT_BH]]=1,calendar[[#This Row],[WeekDay]]=1, calendar[[#This Row],[WeekDay]]=7),P3108,P3108+1)</f>
        <v>2215</v>
      </c>
    </row>
    <row r="3110" spans="1:19" x14ac:dyDescent="0.25">
      <c r="A3110" s="2">
        <v>45844</v>
      </c>
      <c r="B3110" s="1">
        <f t="shared" si="243"/>
        <v>28</v>
      </c>
      <c r="C3110">
        <f t="shared" si="245"/>
        <v>7</v>
      </c>
      <c r="D3110" t="str">
        <f t="shared" si="246"/>
        <v>July</v>
      </c>
      <c r="E3110">
        <f t="shared" si="247"/>
        <v>2025</v>
      </c>
      <c r="F3110" t="str">
        <f>CONCATENATE(calendar[[#This Row],[Month]],"/",calendar[[#This Row],[Year]])</f>
        <v>7/2025</v>
      </c>
      <c r="G3110">
        <f>WEEKDAY(calendar[[#This Row],[Date]],1)</f>
        <v>1</v>
      </c>
      <c r="H3110" t="str">
        <f>TEXT(calendar[[#This Row],[WeekDay]],"dddd")</f>
        <v>Sunday</v>
      </c>
      <c r="I3110">
        <f>IF((INT(calendar[[#This Row],[Count]]/7)-calendar[[#This Row],[Count]]/7)&lt;0,I3109,I3109+1)</f>
        <v>445</v>
      </c>
      <c r="J3110">
        <f t="shared" si="244"/>
        <v>3108</v>
      </c>
      <c r="K3110">
        <f>IF(calendar[[#This Row],[Month]]&lt;4,1,IF(calendar[[#This Row],[Month]]&lt;7,2,IF(calendar[[#This Row],[Month]]&lt;10,3,4)))</f>
        <v>3</v>
      </c>
      <c r="L3110">
        <f>IFERROR(IF(VLOOKUP(calendar[[#This Row],[Date]],BH!A:A,1,)&lt;&gt;"",1,0),0)</f>
        <v>0</v>
      </c>
      <c r="M3110">
        <f>IFERROR(IF(VLOOKUP(calendar[[#This Row],[Date]],BH!C:C,1,)&lt;&gt;"",1,0),0)</f>
        <v>0</v>
      </c>
      <c r="N3110">
        <f>IFERROR(IF(VLOOKUP(calendar[[#This Row],[Date]],BH!E:E,1,)&lt;&gt;"",1,0),0)</f>
        <v>0</v>
      </c>
      <c r="O3110">
        <f>IFERROR(IF(VLOOKUP(calendar[[#This Row],[Date]],BH!G:G,1,)&lt;&gt;"",1,0),0)</f>
        <v>0</v>
      </c>
      <c r="P3110">
        <f>IF(OR(calendar[[#This Row],[UK_BH]]=1,calendar[[#This Row],[WeekDay]]=1, calendar[[#This Row],[WeekDay]]=7),P3109,P3109+1)</f>
        <v>2215</v>
      </c>
      <c r="Q3110">
        <f>IF(OR(calendar[[#This Row],[FR_BH]]=1,calendar[[#This Row],[WeekDay]]=1, calendar[[#This Row],[WeekDay]]=7),P3109,P3109+1)</f>
        <v>2215</v>
      </c>
      <c r="R3110">
        <f>IF(OR(calendar[[#This Row],[SP_BH]]=1,calendar[[#This Row],[WeekDay]]=1, calendar[[#This Row],[WeekDay]]=7),P3109,P3109+1)</f>
        <v>2215</v>
      </c>
      <c r="S3110">
        <f>IF(OR(calendar[[#This Row],[PT_BH]]=1,calendar[[#This Row],[WeekDay]]=1, calendar[[#This Row],[WeekDay]]=7),P3109,P3109+1)</f>
        <v>2215</v>
      </c>
    </row>
    <row r="3111" spans="1:19" x14ac:dyDescent="0.25">
      <c r="A3111" s="2">
        <v>45845</v>
      </c>
      <c r="B3111" s="1">
        <f t="shared" si="243"/>
        <v>28</v>
      </c>
      <c r="C3111">
        <f t="shared" si="245"/>
        <v>7</v>
      </c>
      <c r="D3111" t="str">
        <f t="shared" si="246"/>
        <v>July</v>
      </c>
      <c r="E3111">
        <f t="shared" si="247"/>
        <v>2025</v>
      </c>
      <c r="F3111" t="str">
        <f>CONCATENATE(calendar[[#This Row],[Month]],"/",calendar[[#This Row],[Year]])</f>
        <v>7/2025</v>
      </c>
      <c r="G3111">
        <f>WEEKDAY(calendar[[#This Row],[Date]],1)</f>
        <v>2</v>
      </c>
      <c r="H3111" t="str">
        <f>TEXT(calendar[[#This Row],[WeekDay]],"dddd")</f>
        <v>Monday</v>
      </c>
      <c r="I3111">
        <f>IF((INT(calendar[[#This Row],[Count]]/7)-calendar[[#This Row],[Count]]/7)&lt;0,I3110,I3110+1)</f>
        <v>445</v>
      </c>
      <c r="J3111">
        <f t="shared" si="244"/>
        <v>3109</v>
      </c>
      <c r="K3111">
        <f>IF(calendar[[#This Row],[Month]]&lt;4,1,IF(calendar[[#This Row],[Month]]&lt;7,2,IF(calendar[[#This Row],[Month]]&lt;10,3,4)))</f>
        <v>3</v>
      </c>
      <c r="L3111">
        <f>IFERROR(IF(VLOOKUP(calendar[[#This Row],[Date]],BH!A:A,1,)&lt;&gt;"",1,0),0)</f>
        <v>0</v>
      </c>
      <c r="M3111">
        <f>IFERROR(IF(VLOOKUP(calendar[[#This Row],[Date]],BH!C:C,1,)&lt;&gt;"",1,0),0)</f>
        <v>0</v>
      </c>
      <c r="N3111">
        <f>IFERROR(IF(VLOOKUP(calendar[[#This Row],[Date]],BH!E:E,1,)&lt;&gt;"",1,0),0)</f>
        <v>0</v>
      </c>
      <c r="O3111">
        <f>IFERROR(IF(VLOOKUP(calendar[[#This Row],[Date]],BH!G:G,1,)&lt;&gt;"",1,0),0)</f>
        <v>0</v>
      </c>
      <c r="P3111">
        <f>IF(OR(calendar[[#This Row],[UK_BH]]=1,calendar[[#This Row],[WeekDay]]=1, calendar[[#This Row],[WeekDay]]=7),P3110,P3110+1)</f>
        <v>2216</v>
      </c>
      <c r="Q3111">
        <f>IF(OR(calendar[[#This Row],[FR_BH]]=1,calendar[[#This Row],[WeekDay]]=1, calendar[[#This Row],[WeekDay]]=7),P3110,P3110+1)</f>
        <v>2216</v>
      </c>
      <c r="R3111">
        <f>IF(OR(calendar[[#This Row],[SP_BH]]=1,calendar[[#This Row],[WeekDay]]=1, calendar[[#This Row],[WeekDay]]=7),P3110,P3110+1)</f>
        <v>2216</v>
      </c>
      <c r="S3111">
        <f>IF(OR(calendar[[#This Row],[PT_BH]]=1,calendar[[#This Row],[WeekDay]]=1, calendar[[#This Row],[WeekDay]]=7),P3110,P3110+1)</f>
        <v>2216</v>
      </c>
    </row>
    <row r="3112" spans="1:19" x14ac:dyDescent="0.25">
      <c r="A3112" s="2">
        <v>45846</v>
      </c>
      <c r="B3112" s="1">
        <f t="shared" si="243"/>
        <v>28</v>
      </c>
      <c r="C3112">
        <f t="shared" si="245"/>
        <v>7</v>
      </c>
      <c r="D3112" t="str">
        <f t="shared" si="246"/>
        <v>July</v>
      </c>
      <c r="E3112">
        <f t="shared" si="247"/>
        <v>2025</v>
      </c>
      <c r="F3112" t="str">
        <f>CONCATENATE(calendar[[#This Row],[Month]],"/",calendar[[#This Row],[Year]])</f>
        <v>7/2025</v>
      </c>
      <c r="G3112">
        <f>WEEKDAY(calendar[[#This Row],[Date]],1)</f>
        <v>3</v>
      </c>
      <c r="H3112" t="str">
        <f>TEXT(calendar[[#This Row],[WeekDay]],"dddd")</f>
        <v>Tuesday</v>
      </c>
      <c r="I3112">
        <f>IF((INT(calendar[[#This Row],[Count]]/7)-calendar[[#This Row],[Count]]/7)&lt;0,I3111,I3111+1)</f>
        <v>445</v>
      </c>
      <c r="J3112">
        <f t="shared" si="244"/>
        <v>3110</v>
      </c>
      <c r="K3112">
        <f>IF(calendar[[#This Row],[Month]]&lt;4,1,IF(calendar[[#This Row],[Month]]&lt;7,2,IF(calendar[[#This Row],[Month]]&lt;10,3,4)))</f>
        <v>3</v>
      </c>
      <c r="L3112">
        <f>IFERROR(IF(VLOOKUP(calendar[[#This Row],[Date]],BH!A:A,1,)&lt;&gt;"",1,0),0)</f>
        <v>0</v>
      </c>
      <c r="M3112">
        <f>IFERROR(IF(VLOOKUP(calendar[[#This Row],[Date]],BH!C:C,1,)&lt;&gt;"",1,0),0)</f>
        <v>0</v>
      </c>
      <c r="N3112">
        <f>IFERROR(IF(VLOOKUP(calendar[[#This Row],[Date]],BH!E:E,1,)&lt;&gt;"",1,0),0)</f>
        <v>0</v>
      </c>
      <c r="O3112">
        <f>IFERROR(IF(VLOOKUP(calendar[[#This Row],[Date]],BH!G:G,1,)&lt;&gt;"",1,0),0)</f>
        <v>0</v>
      </c>
      <c r="P3112">
        <f>IF(OR(calendar[[#This Row],[UK_BH]]=1,calendar[[#This Row],[WeekDay]]=1, calendar[[#This Row],[WeekDay]]=7),P3111,P3111+1)</f>
        <v>2217</v>
      </c>
      <c r="Q3112">
        <f>IF(OR(calendar[[#This Row],[FR_BH]]=1,calendar[[#This Row],[WeekDay]]=1, calendar[[#This Row],[WeekDay]]=7),P3111,P3111+1)</f>
        <v>2217</v>
      </c>
      <c r="R3112">
        <f>IF(OR(calendar[[#This Row],[SP_BH]]=1,calendar[[#This Row],[WeekDay]]=1, calendar[[#This Row],[WeekDay]]=7),P3111,P3111+1)</f>
        <v>2217</v>
      </c>
      <c r="S3112">
        <f>IF(OR(calendar[[#This Row],[PT_BH]]=1,calendar[[#This Row],[WeekDay]]=1, calendar[[#This Row],[WeekDay]]=7),P3111,P3111+1)</f>
        <v>2217</v>
      </c>
    </row>
    <row r="3113" spans="1:19" x14ac:dyDescent="0.25">
      <c r="A3113" s="2">
        <v>45847</v>
      </c>
      <c r="B3113" s="1">
        <f t="shared" si="243"/>
        <v>28</v>
      </c>
      <c r="C3113">
        <f t="shared" si="245"/>
        <v>7</v>
      </c>
      <c r="D3113" t="str">
        <f t="shared" si="246"/>
        <v>July</v>
      </c>
      <c r="E3113">
        <f t="shared" si="247"/>
        <v>2025</v>
      </c>
      <c r="F3113" t="str">
        <f>CONCATENATE(calendar[[#This Row],[Month]],"/",calendar[[#This Row],[Year]])</f>
        <v>7/2025</v>
      </c>
      <c r="G3113">
        <f>WEEKDAY(calendar[[#This Row],[Date]],1)</f>
        <v>4</v>
      </c>
      <c r="H3113" t="str">
        <f>TEXT(calendar[[#This Row],[WeekDay]],"dddd")</f>
        <v>Wednesday</v>
      </c>
      <c r="I3113">
        <f>IF((INT(calendar[[#This Row],[Count]]/7)-calendar[[#This Row],[Count]]/7)&lt;0,I3112,I3112+1)</f>
        <v>445</v>
      </c>
      <c r="J3113">
        <f t="shared" si="244"/>
        <v>3111</v>
      </c>
      <c r="K3113">
        <f>IF(calendar[[#This Row],[Month]]&lt;4,1,IF(calendar[[#This Row],[Month]]&lt;7,2,IF(calendar[[#This Row],[Month]]&lt;10,3,4)))</f>
        <v>3</v>
      </c>
      <c r="L3113">
        <f>IFERROR(IF(VLOOKUP(calendar[[#This Row],[Date]],BH!A:A,1,)&lt;&gt;"",1,0),0)</f>
        <v>0</v>
      </c>
      <c r="M3113">
        <f>IFERROR(IF(VLOOKUP(calendar[[#This Row],[Date]],BH!C:C,1,)&lt;&gt;"",1,0),0)</f>
        <v>0</v>
      </c>
      <c r="N3113">
        <f>IFERROR(IF(VLOOKUP(calendar[[#This Row],[Date]],BH!E:E,1,)&lt;&gt;"",1,0),0)</f>
        <v>0</v>
      </c>
      <c r="O3113">
        <f>IFERROR(IF(VLOOKUP(calendar[[#This Row],[Date]],BH!G:G,1,)&lt;&gt;"",1,0),0)</f>
        <v>0</v>
      </c>
      <c r="P3113">
        <f>IF(OR(calendar[[#This Row],[UK_BH]]=1,calendar[[#This Row],[WeekDay]]=1, calendar[[#This Row],[WeekDay]]=7),P3112,P3112+1)</f>
        <v>2218</v>
      </c>
      <c r="Q3113">
        <f>IF(OR(calendar[[#This Row],[FR_BH]]=1,calendar[[#This Row],[WeekDay]]=1, calendar[[#This Row],[WeekDay]]=7),P3112,P3112+1)</f>
        <v>2218</v>
      </c>
      <c r="R3113">
        <f>IF(OR(calendar[[#This Row],[SP_BH]]=1,calendar[[#This Row],[WeekDay]]=1, calendar[[#This Row],[WeekDay]]=7),P3112,P3112+1)</f>
        <v>2218</v>
      </c>
      <c r="S3113">
        <f>IF(OR(calendar[[#This Row],[PT_BH]]=1,calendar[[#This Row],[WeekDay]]=1, calendar[[#This Row],[WeekDay]]=7),P3112,P3112+1)</f>
        <v>2218</v>
      </c>
    </row>
    <row r="3114" spans="1:19" x14ac:dyDescent="0.25">
      <c r="A3114" s="2">
        <v>45848</v>
      </c>
      <c r="B3114" s="1">
        <f t="shared" si="243"/>
        <v>28</v>
      </c>
      <c r="C3114">
        <f t="shared" si="245"/>
        <v>7</v>
      </c>
      <c r="D3114" t="str">
        <f t="shared" si="246"/>
        <v>July</v>
      </c>
      <c r="E3114">
        <f t="shared" si="247"/>
        <v>2025</v>
      </c>
      <c r="F3114" t="str">
        <f>CONCATENATE(calendar[[#This Row],[Month]],"/",calendar[[#This Row],[Year]])</f>
        <v>7/2025</v>
      </c>
      <c r="G3114">
        <f>WEEKDAY(calendar[[#This Row],[Date]],1)</f>
        <v>5</v>
      </c>
      <c r="H3114" t="str">
        <f>TEXT(calendar[[#This Row],[WeekDay]],"dddd")</f>
        <v>Thursday</v>
      </c>
      <c r="I3114">
        <f>IF((INT(calendar[[#This Row],[Count]]/7)-calendar[[#This Row],[Count]]/7)&lt;0,I3113,I3113+1)</f>
        <v>445</v>
      </c>
      <c r="J3114">
        <f t="shared" si="244"/>
        <v>3112</v>
      </c>
      <c r="K3114">
        <f>IF(calendar[[#This Row],[Month]]&lt;4,1,IF(calendar[[#This Row],[Month]]&lt;7,2,IF(calendar[[#This Row],[Month]]&lt;10,3,4)))</f>
        <v>3</v>
      </c>
      <c r="L3114">
        <f>IFERROR(IF(VLOOKUP(calendar[[#This Row],[Date]],BH!A:A,1,)&lt;&gt;"",1,0),0)</f>
        <v>0</v>
      </c>
      <c r="M3114">
        <f>IFERROR(IF(VLOOKUP(calendar[[#This Row],[Date]],BH!C:C,1,)&lt;&gt;"",1,0),0)</f>
        <v>0</v>
      </c>
      <c r="N3114">
        <f>IFERROR(IF(VLOOKUP(calendar[[#This Row],[Date]],BH!E:E,1,)&lt;&gt;"",1,0),0)</f>
        <v>0</v>
      </c>
      <c r="O3114">
        <f>IFERROR(IF(VLOOKUP(calendar[[#This Row],[Date]],BH!G:G,1,)&lt;&gt;"",1,0),0)</f>
        <v>0</v>
      </c>
      <c r="P3114">
        <f>IF(OR(calendar[[#This Row],[UK_BH]]=1,calendar[[#This Row],[WeekDay]]=1, calendar[[#This Row],[WeekDay]]=7),P3113,P3113+1)</f>
        <v>2219</v>
      </c>
      <c r="Q3114">
        <f>IF(OR(calendar[[#This Row],[FR_BH]]=1,calendar[[#This Row],[WeekDay]]=1, calendar[[#This Row],[WeekDay]]=7),P3113,P3113+1)</f>
        <v>2219</v>
      </c>
      <c r="R3114">
        <f>IF(OR(calendar[[#This Row],[SP_BH]]=1,calendar[[#This Row],[WeekDay]]=1, calendar[[#This Row],[WeekDay]]=7),P3113,P3113+1)</f>
        <v>2219</v>
      </c>
      <c r="S3114">
        <f>IF(OR(calendar[[#This Row],[PT_BH]]=1,calendar[[#This Row],[WeekDay]]=1, calendar[[#This Row],[WeekDay]]=7),P3113,P3113+1)</f>
        <v>2219</v>
      </c>
    </row>
    <row r="3115" spans="1:19" x14ac:dyDescent="0.25">
      <c r="A3115" s="2">
        <v>45849</v>
      </c>
      <c r="B3115" s="1">
        <f t="shared" si="243"/>
        <v>28</v>
      </c>
      <c r="C3115">
        <f t="shared" si="245"/>
        <v>7</v>
      </c>
      <c r="D3115" t="str">
        <f t="shared" si="246"/>
        <v>July</v>
      </c>
      <c r="E3115">
        <f t="shared" si="247"/>
        <v>2025</v>
      </c>
      <c r="F3115" t="str">
        <f>CONCATENATE(calendar[[#This Row],[Month]],"/",calendar[[#This Row],[Year]])</f>
        <v>7/2025</v>
      </c>
      <c r="G3115">
        <f>WEEKDAY(calendar[[#This Row],[Date]],1)</f>
        <v>6</v>
      </c>
      <c r="H3115" t="str">
        <f>TEXT(calendar[[#This Row],[WeekDay]],"dddd")</f>
        <v>Friday</v>
      </c>
      <c r="I3115">
        <f>IF((INT(calendar[[#This Row],[Count]]/7)-calendar[[#This Row],[Count]]/7)&lt;0,I3114,I3114+1)</f>
        <v>445</v>
      </c>
      <c r="J3115">
        <f t="shared" si="244"/>
        <v>3113</v>
      </c>
      <c r="K3115">
        <f>IF(calendar[[#This Row],[Month]]&lt;4,1,IF(calendar[[#This Row],[Month]]&lt;7,2,IF(calendar[[#This Row],[Month]]&lt;10,3,4)))</f>
        <v>3</v>
      </c>
      <c r="L3115">
        <f>IFERROR(IF(VLOOKUP(calendar[[#This Row],[Date]],BH!A:A,1,)&lt;&gt;"",1,0),0)</f>
        <v>0</v>
      </c>
      <c r="M3115">
        <f>IFERROR(IF(VLOOKUP(calendar[[#This Row],[Date]],BH!C:C,1,)&lt;&gt;"",1,0),0)</f>
        <v>0</v>
      </c>
      <c r="N3115">
        <f>IFERROR(IF(VLOOKUP(calendar[[#This Row],[Date]],BH!E:E,1,)&lt;&gt;"",1,0),0)</f>
        <v>0</v>
      </c>
      <c r="O3115">
        <f>IFERROR(IF(VLOOKUP(calendar[[#This Row],[Date]],BH!G:G,1,)&lt;&gt;"",1,0),0)</f>
        <v>0</v>
      </c>
      <c r="P3115">
        <f>IF(OR(calendar[[#This Row],[UK_BH]]=1,calendar[[#This Row],[WeekDay]]=1, calendar[[#This Row],[WeekDay]]=7),P3114,P3114+1)</f>
        <v>2220</v>
      </c>
      <c r="Q3115">
        <f>IF(OR(calendar[[#This Row],[FR_BH]]=1,calendar[[#This Row],[WeekDay]]=1, calendar[[#This Row],[WeekDay]]=7),P3114,P3114+1)</f>
        <v>2220</v>
      </c>
      <c r="R3115">
        <f>IF(OR(calendar[[#This Row],[SP_BH]]=1,calendar[[#This Row],[WeekDay]]=1, calendar[[#This Row],[WeekDay]]=7),P3114,P3114+1)</f>
        <v>2220</v>
      </c>
      <c r="S3115">
        <f>IF(OR(calendar[[#This Row],[PT_BH]]=1,calendar[[#This Row],[WeekDay]]=1, calendar[[#This Row],[WeekDay]]=7),P3114,P3114+1)</f>
        <v>2220</v>
      </c>
    </row>
    <row r="3116" spans="1:19" x14ac:dyDescent="0.25">
      <c r="A3116" s="2">
        <v>45850</v>
      </c>
      <c r="B3116" s="1">
        <f t="shared" si="243"/>
        <v>28</v>
      </c>
      <c r="C3116">
        <f t="shared" si="245"/>
        <v>7</v>
      </c>
      <c r="D3116" t="str">
        <f t="shared" si="246"/>
        <v>July</v>
      </c>
      <c r="E3116">
        <f t="shared" si="247"/>
        <v>2025</v>
      </c>
      <c r="F3116" t="str">
        <f>CONCATENATE(calendar[[#This Row],[Month]],"/",calendar[[#This Row],[Year]])</f>
        <v>7/2025</v>
      </c>
      <c r="G3116">
        <f>WEEKDAY(calendar[[#This Row],[Date]],1)</f>
        <v>7</v>
      </c>
      <c r="H3116" t="str">
        <f>TEXT(calendar[[#This Row],[WeekDay]],"dddd")</f>
        <v>Saturday</v>
      </c>
      <c r="I3116">
        <f>IF((INT(calendar[[#This Row],[Count]]/7)-calendar[[#This Row],[Count]]/7)&lt;0,I3115,I3115+1)</f>
        <v>445</v>
      </c>
      <c r="J3116">
        <f t="shared" si="244"/>
        <v>3114</v>
      </c>
      <c r="K3116">
        <f>IF(calendar[[#This Row],[Month]]&lt;4,1,IF(calendar[[#This Row],[Month]]&lt;7,2,IF(calendar[[#This Row],[Month]]&lt;10,3,4)))</f>
        <v>3</v>
      </c>
      <c r="L3116">
        <f>IFERROR(IF(VLOOKUP(calendar[[#This Row],[Date]],BH!A:A,1,)&lt;&gt;"",1,0),0)</f>
        <v>0</v>
      </c>
      <c r="M3116">
        <f>IFERROR(IF(VLOOKUP(calendar[[#This Row],[Date]],BH!C:C,1,)&lt;&gt;"",1,0),0)</f>
        <v>0</v>
      </c>
      <c r="N3116">
        <f>IFERROR(IF(VLOOKUP(calendar[[#This Row],[Date]],BH!E:E,1,)&lt;&gt;"",1,0),0)</f>
        <v>0</v>
      </c>
      <c r="O3116">
        <f>IFERROR(IF(VLOOKUP(calendar[[#This Row],[Date]],BH!G:G,1,)&lt;&gt;"",1,0),0)</f>
        <v>0</v>
      </c>
      <c r="P3116">
        <f>IF(OR(calendar[[#This Row],[UK_BH]]=1,calendar[[#This Row],[WeekDay]]=1, calendar[[#This Row],[WeekDay]]=7),P3115,P3115+1)</f>
        <v>2220</v>
      </c>
      <c r="Q3116">
        <f>IF(OR(calendar[[#This Row],[FR_BH]]=1,calendar[[#This Row],[WeekDay]]=1, calendar[[#This Row],[WeekDay]]=7),P3115,P3115+1)</f>
        <v>2220</v>
      </c>
      <c r="R3116">
        <f>IF(OR(calendar[[#This Row],[SP_BH]]=1,calendar[[#This Row],[WeekDay]]=1, calendar[[#This Row],[WeekDay]]=7),P3115,P3115+1)</f>
        <v>2220</v>
      </c>
      <c r="S3116">
        <f>IF(OR(calendar[[#This Row],[PT_BH]]=1,calendar[[#This Row],[WeekDay]]=1, calendar[[#This Row],[WeekDay]]=7),P3115,P3115+1)</f>
        <v>2220</v>
      </c>
    </row>
    <row r="3117" spans="1:19" x14ac:dyDescent="0.25">
      <c r="A3117" s="2">
        <v>45851</v>
      </c>
      <c r="B3117" s="1">
        <f t="shared" si="243"/>
        <v>29</v>
      </c>
      <c r="C3117">
        <f t="shared" si="245"/>
        <v>7</v>
      </c>
      <c r="D3117" t="str">
        <f t="shared" si="246"/>
        <v>July</v>
      </c>
      <c r="E3117">
        <f t="shared" si="247"/>
        <v>2025</v>
      </c>
      <c r="F3117" t="str">
        <f>CONCATENATE(calendar[[#This Row],[Month]],"/",calendar[[#This Row],[Year]])</f>
        <v>7/2025</v>
      </c>
      <c r="G3117">
        <f>WEEKDAY(calendar[[#This Row],[Date]],1)</f>
        <v>1</v>
      </c>
      <c r="H3117" t="str">
        <f>TEXT(calendar[[#This Row],[WeekDay]],"dddd")</f>
        <v>Sunday</v>
      </c>
      <c r="I3117">
        <f>IF((INT(calendar[[#This Row],[Count]]/7)-calendar[[#This Row],[Count]]/7)&lt;0,I3116,I3116+1)</f>
        <v>446</v>
      </c>
      <c r="J3117">
        <f t="shared" si="244"/>
        <v>3115</v>
      </c>
      <c r="K3117">
        <f>IF(calendar[[#This Row],[Month]]&lt;4,1,IF(calendar[[#This Row],[Month]]&lt;7,2,IF(calendar[[#This Row],[Month]]&lt;10,3,4)))</f>
        <v>3</v>
      </c>
      <c r="L3117">
        <f>IFERROR(IF(VLOOKUP(calendar[[#This Row],[Date]],BH!A:A,1,)&lt;&gt;"",1,0),0)</f>
        <v>0</v>
      </c>
      <c r="M3117">
        <f>IFERROR(IF(VLOOKUP(calendar[[#This Row],[Date]],BH!C:C,1,)&lt;&gt;"",1,0),0)</f>
        <v>0</v>
      </c>
      <c r="N3117">
        <f>IFERROR(IF(VLOOKUP(calendar[[#This Row],[Date]],BH!E:E,1,)&lt;&gt;"",1,0),0)</f>
        <v>0</v>
      </c>
      <c r="O3117">
        <f>IFERROR(IF(VLOOKUP(calendar[[#This Row],[Date]],BH!G:G,1,)&lt;&gt;"",1,0),0)</f>
        <v>0</v>
      </c>
      <c r="P3117">
        <f>IF(OR(calendar[[#This Row],[UK_BH]]=1,calendar[[#This Row],[WeekDay]]=1, calendar[[#This Row],[WeekDay]]=7),P3116,P3116+1)</f>
        <v>2220</v>
      </c>
      <c r="Q3117">
        <f>IF(OR(calendar[[#This Row],[FR_BH]]=1,calendar[[#This Row],[WeekDay]]=1, calendar[[#This Row],[WeekDay]]=7),P3116,P3116+1)</f>
        <v>2220</v>
      </c>
      <c r="R3117">
        <f>IF(OR(calendar[[#This Row],[SP_BH]]=1,calendar[[#This Row],[WeekDay]]=1, calendar[[#This Row],[WeekDay]]=7),P3116,P3116+1)</f>
        <v>2220</v>
      </c>
      <c r="S3117">
        <f>IF(OR(calendar[[#This Row],[PT_BH]]=1,calendar[[#This Row],[WeekDay]]=1, calendar[[#This Row],[WeekDay]]=7),P3116,P3116+1)</f>
        <v>2220</v>
      </c>
    </row>
    <row r="3118" spans="1:19" x14ac:dyDescent="0.25">
      <c r="A3118" s="2">
        <v>45852</v>
      </c>
      <c r="B3118" s="1">
        <f t="shared" si="243"/>
        <v>29</v>
      </c>
      <c r="C3118">
        <f t="shared" si="245"/>
        <v>7</v>
      </c>
      <c r="D3118" t="str">
        <f t="shared" si="246"/>
        <v>July</v>
      </c>
      <c r="E3118">
        <f t="shared" si="247"/>
        <v>2025</v>
      </c>
      <c r="F3118" t="str">
        <f>CONCATENATE(calendar[[#This Row],[Month]],"/",calendar[[#This Row],[Year]])</f>
        <v>7/2025</v>
      </c>
      <c r="G3118">
        <f>WEEKDAY(calendar[[#This Row],[Date]],1)</f>
        <v>2</v>
      </c>
      <c r="H3118" t="str">
        <f>TEXT(calendar[[#This Row],[WeekDay]],"dddd")</f>
        <v>Monday</v>
      </c>
      <c r="I3118">
        <f>IF((INT(calendar[[#This Row],[Count]]/7)-calendar[[#This Row],[Count]]/7)&lt;0,I3117,I3117+1)</f>
        <v>446</v>
      </c>
      <c r="J3118">
        <f t="shared" si="244"/>
        <v>3116</v>
      </c>
      <c r="K3118">
        <f>IF(calendar[[#This Row],[Month]]&lt;4,1,IF(calendar[[#This Row],[Month]]&lt;7,2,IF(calendar[[#This Row],[Month]]&lt;10,3,4)))</f>
        <v>3</v>
      </c>
      <c r="L3118">
        <f>IFERROR(IF(VLOOKUP(calendar[[#This Row],[Date]],BH!A:A,1,)&lt;&gt;"",1,0),0)</f>
        <v>0</v>
      </c>
      <c r="M3118">
        <f>IFERROR(IF(VLOOKUP(calendar[[#This Row],[Date]],BH!C:C,1,)&lt;&gt;"",1,0),0)</f>
        <v>1</v>
      </c>
      <c r="N3118">
        <f>IFERROR(IF(VLOOKUP(calendar[[#This Row],[Date]],BH!E:E,1,)&lt;&gt;"",1,0),0)</f>
        <v>0</v>
      </c>
      <c r="O3118">
        <f>IFERROR(IF(VLOOKUP(calendar[[#This Row],[Date]],BH!G:G,1,)&lt;&gt;"",1,0),0)</f>
        <v>0</v>
      </c>
      <c r="P3118">
        <f>IF(OR(calendar[[#This Row],[UK_BH]]=1,calendar[[#This Row],[WeekDay]]=1, calendar[[#This Row],[WeekDay]]=7),P3117,P3117+1)</f>
        <v>2221</v>
      </c>
      <c r="Q3118">
        <f>IF(OR(calendar[[#This Row],[FR_BH]]=1,calendar[[#This Row],[WeekDay]]=1, calendar[[#This Row],[WeekDay]]=7),P3117,P3117+1)</f>
        <v>2220</v>
      </c>
      <c r="R3118">
        <f>IF(OR(calendar[[#This Row],[SP_BH]]=1,calendar[[#This Row],[WeekDay]]=1, calendar[[#This Row],[WeekDay]]=7),P3117,P3117+1)</f>
        <v>2221</v>
      </c>
      <c r="S3118">
        <f>IF(OR(calendar[[#This Row],[PT_BH]]=1,calendar[[#This Row],[WeekDay]]=1, calendar[[#This Row],[WeekDay]]=7),P3117,P3117+1)</f>
        <v>2221</v>
      </c>
    </row>
    <row r="3119" spans="1:19" x14ac:dyDescent="0.25">
      <c r="A3119" s="2">
        <v>45853</v>
      </c>
      <c r="B3119" s="1">
        <f t="shared" si="243"/>
        <v>29</v>
      </c>
      <c r="C3119">
        <f t="shared" si="245"/>
        <v>7</v>
      </c>
      <c r="D3119" t="str">
        <f t="shared" si="246"/>
        <v>July</v>
      </c>
      <c r="E3119">
        <f t="shared" si="247"/>
        <v>2025</v>
      </c>
      <c r="F3119" t="str">
        <f>CONCATENATE(calendar[[#This Row],[Month]],"/",calendar[[#This Row],[Year]])</f>
        <v>7/2025</v>
      </c>
      <c r="G3119">
        <f>WEEKDAY(calendar[[#This Row],[Date]],1)</f>
        <v>3</v>
      </c>
      <c r="H3119" t="str">
        <f>TEXT(calendar[[#This Row],[WeekDay]],"dddd")</f>
        <v>Tuesday</v>
      </c>
      <c r="I3119">
        <f>IF((INT(calendar[[#This Row],[Count]]/7)-calendar[[#This Row],[Count]]/7)&lt;0,I3118,I3118+1)</f>
        <v>446</v>
      </c>
      <c r="J3119">
        <f t="shared" si="244"/>
        <v>3117</v>
      </c>
      <c r="K3119">
        <f>IF(calendar[[#This Row],[Month]]&lt;4,1,IF(calendar[[#This Row],[Month]]&lt;7,2,IF(calendar[[#This Row],[Month]]&lt;10,3,4)))</f>
        <v>3</v>
      </c>
      <c r="L3119">
        <f>IFERROR(IF(VLOOKUP(calendar[[#This Row],[Date]],BH!A:A,1,)&lt;&gt;"",1,0),0)</f>
        <v>0</v>
      </c>
      <c r="M3119">
        <f>IFERROR(IF(VLOOKUP(calendar[[#This Row],[Date]],BH!C:C,1,)&lt;&gt;"",1,0),0)</f>
        <v>0</v>
      </c>
      <c r="N3119">
        <f>IFERROR(IF(VLOOKUP(calendar[[#This Row],[Date]],BH!E:E,1,)&lt;&gt;"",1,0),0)</f>
        <v>0</v>
      </c>
      <c r="O3119">
        <f>IFERROR(IF(VLOOKUP(calendar[[#This Row],[Date]],BH!G:G,1,)&lt;&gt;"",1,0),0)</f>
        <v>0</v>
      </c>
      <c r="P3119">
        <f>IF(OR(calendar[[#This Row],[UK_BH]]=1,calendar[[#This Row],[WeekDay]]=1, calendar[[#This Row],[WeekDay]]=7),P3118,P3118+1)</f>
        <v>2222</v>
      </c>
      <c r="Q3119">
        <f>IF(OR(calendar[[#This Row],[FR_BH]]=1,calendar[[#This Row],[WeekDay]]=1, calendar[[#This Row],[WeekDay]]=7),P3118,P3118+1)</f>
        <v>2222</v>
      </c>
      <c r="R3119">
        <f>IF(OR(calendar[[#This Row],[SP_BH]]=1,calendar[[#This Row],[WeekDay]]=1, calendar[[#This Row],[WeekDay]]=7),P3118,P3118+1)</f>
        <v>2222</v>
      </c>
      <c r="S3119">
        <f>IF(OR(calendar[[#This Row],[PT_BH]]=1,calendar[[#This Row],[WeekDay]]=1, calendar[[#This Row],[WeekDay]]=7),P3118,P3118+1)</f>
        <v>2222</v>
      </c>
    </row>
    <row r="3120" spans="1:19" x14ac:dyDescent="0.25">
      <c r="A3120" s="2">
        <v>45854</v>
      </c>
      <c r="B3120" s="1">
        <f t="shared" si="243"/>
        <v>29</v>
      </c>
      <c r="C3120">
        <f t="shared" si="245"/>
        <v>7</v>
      </c>
      <c r="D3120" t="str">
        <f t="shared" si="246"/>
        <v>July</v>
      </c>
      <c r="E3120">
        <f t="shared" si="247"/>
        <v>2025</v>
      </c>
      <c r="F3120" t="str">
        <f>CONCATENATE(calendar[[#This Row],[Month]],"/",calendar[[#This Row],[Year]])</f>
        <v>7/2025</v>
      </c>
      <c r="G3120">
        <f>WEEKDAY(calendar[[#This Row],[Date]],1)</f>
        <v>4</v>
      </c>
      <c r="H3120" t="str">
        <f>TEXT(calendar[[#This Row],[WeekDay]],"dddd")</f>
        <v>Wednesday</v>
      </c>
      <c r="I3120">
        <f>IF((INT(calendar[[#This Row],[Count]]/7)-calendar[[#This Row],[Count]]/7)&lt;0,I3119,I3119+1)</f>
        <v>446</v>
      </c>
      <c r="J3120">
        <f t="shared" si="244"/>
        <v>3118</v>
      </c>
      <c r="K3120">
        <f>IF(calendar[[#This Row],[Month]]&lt;4,1,IF(calendar[[#This Row],[Month]]&lt;7,2,IF(calendar[[#This Row],[Month]]&lt;10,3,4)))</f>
        <v>3</v>
      </c>
      <c r="L3120">
        <f>IFERROR(IF(VLOOKUP(calendar[[#This Row],[Date]],BH!A:A,1,)&lt;&gt;"",1,0),0)</f>
        <v>0</v>
      </c>
      <c r="M3120">
        <f>IFERROR(IF(VLOOKUP(calendar[[#This Row],[Date]],BH!C:C,1,)&lt;&gt;"",1,0),0)</f>
        <v>0</v>
      </c>
      <c r="N3120">
        <f>IFERROR(IF(VLOOKUP(calendar[[#This Row],[Date]],BH!E:E,1,)&lt;&gt;"",1,0),0)</f>
        <v>0</v>
      </c>
      <c r="O3120">
        <f>IFERROR(IF(VLOOKUP(calendar[[#This Row],[Date]],BH!G:G,1,)&lt;&gt;"",1,0),0)</f>
        <v>0</v>
      </c>
      <c r="P3120">
        <f>IF(OR(calendar[[#This Row],[UK_BH]]=1,calendar[[#This Row],[WeekDay]]=1, calendar[[#This Row],[WeekDay]]=7),P3119,P3119+1)</f>
        <v>2223</v>
      </c>
      <c r="Q3120">
        <f>IF(OR(calendar[[#This Row],[FR_BH]]=1,calendar[[#This Row],[WeekDay]]=1, calendar[[#This Row],[WeekDay]]=7),P3119,P3119+1)</f>
        <v>2223</v>
      </c>
      <c r="R3120">
        <f>IF(OR(calendar[[#This Row],[SP_BH]]=1,calendar[[#This Row],[WeekDay]]=1, calendar[[#This Row],[WeekDay]]=7),P3119,P3119+1)</f>
        <v>2223</v>
      </c>
      <c r="S3120">
        <f>IF(OR(calendar[[#This Row],[PT_BH]]=1,calendar[[#This Row],[WeekDay]]=1, calendar[[#This Row],[WeekDay]]=7),P3119,P3119+1)</f>
        <v>2223</v>
      </c>
    </row>
    <row r="3121" spans="1:19" x14ac:dyDescent="0.25">
      <c r="A3121" s="2">
        <v>45855</v>
      </c>
      <c r="B3121" s="1">
        <f t="shared" si="243"/>
        <v>29</v>
      </c>
      <c r="C3121">
        <f t="shared" si="245"/>
        <v>7</v>
      </c>
      <c r="D3121" t="str">
        <f t="shared" si="246"/>
        <v>July</v>
      </c>
      <c r="E3121">
        <f t="shared" si="247"/>
        <v>2025</v>
      </c>
      <c r="F3121" t="str">
        <f>CONCATENATE(calendar[[#This Row],[Month]],"/",calendar[[#This Row],[Year]])</f>
        <v>7/2025</v>
      </c>
      <c r="G3121">
        <f>WEEKDAY(calendar[[#This Row],[Date]],1)</f>
        <v>5</v>
      </c>
      <c r="H3121" t="str">
        <f>TEXT(calendar[[#This Row],[WeekDay]],"dddd")</f>
        <v>Thursday</v>
      </c>
      <c r="I3121">
        <f>IF((INT(calendar[[#This Row],[Count]]/7)-calendar[[#This Row],[Count]]/7)&lt;0,I3120,I3120+1)</f>
        <v>446</v>
      </c>
      <c r="J3121">
        <f t="shared" si="244"/>
        <v>3119</v>
      </c>
      <c r="K3121">
        <f>IF(calendar[[#This Row],[Month]]&lt;4,1,IF(calendar[[#This Row],[Month]]&lt;7,2,IF(calendar[[#This Row],[Month]]&lt;10,3,4)))</f>
        <v>3</v>
      </c>
      <c r="L3121">
        <f>IFERROR(IF(VLOOKUP(calendar[[#This Row],[Date]],BH!A:A,1,)&lt;&gt;"",1,0),0)</f>
        <v>0</v>
      </c>
      <c r="M3121">
        <f>IFERROR(IF(VLOOKUP(calendar[[#This Row],[Date]],BH!C:C,1,)&lt;&gt;"",1,0),0)</f>
        <v>0</v>
      </c>
      <c r="N3121">
        <f>IFERROR(IF(VLOOKUP(calendar[[#This Row],[Date]],BH!E:E,1,)&lt;&gt;"",1,0),0)</f>
        <v>0</v>
      </c>
      <c r="O3121">
        <f>IFERROR(IF(VLOOKUP(calendar[[#This Row],[Date]],BH!G:G,1,)&lt;&gt;"",1,0),0)</f>
        <v>0</v>
      </c>
      <c r="P3121">
        <f>IF(OR(calendar[[#This Row],[UK_BH]]=1,calendar[[#This Row],[WeekDay]]=1, calendar[[#This Row],[WeekDay]]=7),P3120,P3120+1)</f>
        <v>2224</v>
      </c>
      <c r="Q3121">
        <f>IF(OR(calendar[[#This Row],[FR_BH]]=1,calendar[[#This Row],[WeekDay]]=1, calendar[[#This Row],[WeekDay]]=7),P3120,P3120+1)</f>
        <v>2224</v>
      </c>
      <c r="R3121">
        <f>IF(OR(calendar[[#This Row],[SP_BH]]=1,calendar[[#This Row],[WeekDay]]=1, calendar[[#This Row],[WeekDay]]=7),P3120,P3120+1)</f>
        <v>2224</v>
      </c>
      <c r="S3121">
        <f>IF(OR(calendar[[#This Row],[PT_BH]]=1,calendar[[#This Row],[WeekDay]]=1, calendar[[#This Row],[WeekDay]]=7),P3120,P3120+1)</f>
        <v>2224</v>
      </c>
    </row>
    <row r="3122" spans="1:19" x14ac:dyDescent="0.25">
      <c r="A3122" s="2">
        <v>45856</v>
      </c>
      <c r="B3122" s="1">
        <f t="shared" si="243"/>
        <v>29</v>
      </c>
      <c r="C3122">
        <f t="shared" si="245"/>
        <v>7</v>
      </c>
      <c r="D3122" t="str">
        <f t="shared" si="246"/>
        <v>July</v>
      </c>
      <c r="E3122">
        <f t="shared" si="247"/>
        <v>2025</v>
      </c>
      <c r="F3122" t="str">
        <f>CONCATENATE(calendar[[#This Row],[Month]],"/",calendar[[#This Row],[Year]])</f>
        <v>7/2025</v>
      </c>
      <c r="G3122">
        <f>WEEKDAY(calendar[[#This Row],[Date]],1)</f>
        <v>6</v>
      </c>
      <c r="H3122" t="str">
        <f>TEXT(calendar[[#This Row],[WeekDay]],"dddd")</f>
        <v>Friday</v>
      </c>
      <c r="I3122">
        <f>IF((INT(calendar[[#This Row],[Count]]/7)-calendar[[#This Row],[Count]]/7)&lt;0,I3121,I3121+1)</f>
        <v>446</v>
      </c>
      <c r="J3122">
        <f t="shared" si="244"/>
        <v>3120</v>
      </c>
      <c r="K3122">
        <f>IF(calendar[[#This Row],[Month]]&lt;4,1,IF(calendar[[#This Row],[Month]]&lt;7,2,IF(calendar[[#This Row],[Month]]&lt;10,3,4)))</f>
        <v>3</v>
      </c>
      <c r="L3122">
        <f>IFERROR(IF(VLOOKUP(calendar[[#This Row],[Date]],BH!A:A,1,)&lt;&gt;"",1,0),0)</f>
        <v>0</v>
      </c>
      <c r="M3122">
        <f>IFERROR(IF(VLOOKUP(calendar[[#This Row],[Date]],BH!C:C,1,)&lt;&gt;"",1,0),0)</f>
        <v>0</v>
      </c>
      <c r="N3122">
        <f>IFERROR(IF(VLOOKUP(calendar[[#This Row],[Date]],BH!E:E,1,)&lt;&gt;"",1,0),0)</f>
        <v>0</v>
      </c>
      <c r="O3122">
        <f>IFERROR(IF(VLOOKUP(calendar[[#This Row],[Date]],BH!G:G,1,)&lt;&gt;"",1,0),0)</f>
        <v>0</v>
      </c>
      <c r="P3122">
        <f>IF(OR(calendar[[#This Row],[UK_BH]]=1,calendar[[#This Row],[WeekDay]]=1, calendar[[#This Row],[WeekDay]]=7),P3121,P3121+1)</f>
        <v>2225</v>
      </c>
      <c r="Q3122">
        <f>IF(OR(calendar[[#This Row],[FR_BH]]=1,calendar[[#This Row],[WeekDay]]=1, calendar[[#This Row],[WeekDay]]=7),P3121,P3121+1)</f>
        <v>2225</v>
      </c>
      <c r="R3122">
        <f>IF(OR(calendar[[#This Row],[SP_BH]]=1,calendar[[#This Row],[WeekDay]]=1, calendar[[#This Row],[WeekDay]]=7),P3121,P3121+1)</f>
        <v>2225</v>
      </c>
      <c r="S3122">
        <f>IF(OR(calendar[[#This Row],[PT_BH]]=1,calendar[[#This Row],[WeekDay]]=1, calendar[[#This Row],[WeekDay]]=7),P3121,P3121+1)</f>
        <v>2225</v>
      </c>
    </row>
    <row r="3123" spans="1:19" x14ac:dyDescent="0.25">
      <c r="A3123" s="2">
        <v>45857</v>
      </c>
      <c r="B3123" s="1">
        <f t="shared" si="243"/>
        <v>29</v>
      </c>
      <c r="C3123">
        <f t="shared" si="245"/>
        <v>7</v>
      </c>
      <c r="D3123" t="str">
        <f t="shared" si="246"/>
        <v>July</v>
      </c>
      <c r="E3123">
        <f t="shared" si="247"/>
        <v>2025</v>
      </c>
      <c r="F3123" t="str">
        <f>CONCATENATE(calendar[[#This Row],[Month]],"/",calendar[[#This Row],[Year]])</f>
        <v>7/2025</v>
      </c>
      <c r="G3123">
        <f>WEEKDAY(calendar[[#This Row],[Date]],1)</f>
        <v>7</v>
      </c>
      <c r="H3123" t="str">
        <f>TEXT(calendar[[#This Row],[WeekDay]],"dddd")</f>
        <v>Saturday</v>
      </c>
      <c r="I3123">
        <f>IF((INT(calendar[[#This Row],[Count]]/7)-calendar[[#This Row],[Count]]/7)&lt;0,I3122,I3122+1)</f>
        <v>446</v>
      </c>
      <c r="J3123">
        <f t="shared" si="244"/>
        <v>3121</v>
      </c>
      <c r="K3123">
        <f>IF(calendar[[#This Row],[Month]]&lt;4,1,IF(calendar[[#This Row],[Month]]&lt;7,2,IF(calendar[[#This Row],[Month]]&lt;10,3,4)))</f>
        <v>3</v>
      </c>
      <c r="L3123">
        <f>IFERROR(IF(VLOOKUP(calendar[[#This Row],[Date]],BH!A:A,1,)&lt;&gt;"",1,0),0)</f>
        <v>0</v>
      </c>
      <c r="M3123">
        <f>IFERROR(IF(VLOOKUP(calendar[[#This Row],[Date]],BH!C:C,1,)&lt;&gt;"",1,0),0)</f>
        <v>0</v>
      </c>
      <c r="N3123">
        <f>IFERROR(IF(VLOOKUP(calendar[[#This Row],[Date]],BH!E:E,1,)&lt;&gt;"",1,0),0)</f>
        <v>0</v>
      </c>
      <c r="O3123">
        <f>IFERROR(IF(VLOOKUP(calendar[[#This Row],[Date]],BH!G:G,1,)&lt;&gt;"",1,0),0)</f>
        <v>0</v>
      </c>
      <c r="P3123">
        <f>IF(OR(calendar[[#This Row],[UK_BH]]=1,calendar[[#This Row],[WeekDay]]=1, calendar[[#This Row],[WeekDay]]=7),P3122,P3122+1)</f>
        <v>2225</v>
      </c>
      <c r="Q3123">
        <f>IF(OR(calendar[[#This Row],[FR_BH]]=1,calendar[[#This Row],[WeekDay]]=1, calendar[[#This Row],[WeekDay]]=7),P3122,P3122+1)</f>
        <v>2225</v>
      </c>
      <c r="R3123">
        <f>IF(OR(calendar[[#This Row],[SP_BH]]=1,calendar[[#This Row],[WeekDay]]=1, calendar[[#This Row],[WeekDay]]=7),P3122,P3122+1)</f>
        <v>2225</v>
      </c>
      <c r="S3123">
        <f>IF(OR(calendar[[#This Row],[PT_BH]]=1,calendar[[#This Row],[WeekDay]]=1, calendar[[#This Row],[WeekDay]]=7),P3122,P3122+1)</f>
        <v>2225</v>
      </c>
    </row>
    <row r="3124" spans="1:19" x14ac:dyDescent="0.25">
      <c r="A3124" s="2">
        <v>45858</v>
      </c>
      <c r="B3124" s="1">
        <f t="shared" si="243"/>
        <v>30</v>
      </c>
      <c r="C3124">
        <f t="shared" si="245"/>
        <v>7</v>
      </c>
      <c r="D3124" t="str">
        <f t="shared" si="246"/>
        <v>July</v>
      </c>
      <c r="E3124">
        <f t="shared" si="247"/>
        <v>2025</v>
      </c>
      <c r="F3124" t="str">
        <f>CONCATENATE(calendar[[#This Row],[Month]],"/",calendar[[#This Row],[Year]])</f>
        <v>7/2025</v>
      </c>
      <c r="G3124">
        <f>WEEKDAY(calendar[[#This Row],[Date]],1)</f>
        <v>1</v>
      </c>
      <c r="H3124" t="str">
        <f>TEXT(calendar[[#This Row],[WeekDay]],"dddd")</f>
        <v>Sunday</v>
      </c>
      <c r="I3124">
        <f>IF((INT(calendar[[#This Row],[Count]]/7)-calendar[[#This Row],[Count]]/7)&lt;0,I3123,I3123+1)</f>
        <v>447</v>
      </c>
      <c r="J3124">
        <f t="shared" si="244"/>
        <v>3122</v>
      </c>
      <c r="K3124">
        <f>IF(calendar[[#This Row],[Month]]&lt;4,1,IF(calendar[[#This Row],[Month]]&lt;7,2,IF(calendar[[#This Row],[Month]]&lt;10,3,4)))</f>
        <v>3</v>
      </c>
      <c r="L3124">
        <f>IFERROR(IF(VLOOKUP(calendar[[#This Row],[Date]],BH!A:A,1,)&lt;&gt;"",1,0),0)</f>
        <v>0</v>
      </c>
      <c r="M3124">
        <f>IFERROR(IF(VLOOKUP(calendar[[#This Row],[Date]],BH!C:C,1,)&lt;&gt;"",1,0),0)</f>
        <v>0</v>
      </c>
      <c r="N3124">
        <f>IFERROR(IF(VLOOKUP(calendar[[#This Row],[Date]],BH!E:E,1,)&lt;&gt;"",1,0),0)</f>
        <v>0</v>
      </c>
      <c r="O3124">
        <f>IFERROR(IF(VLOOKUP(calendar[[#This Row],[Date]],BH!G:G,1,)&lt;&gt;"",1,0),0)</f>
        <v>0</v>
      </c>
      <c r="P3124">
        <f>IF(OR(calendar[[#This Row],[UK_BH]]=1,calendar[[#This Row],[WeekDay]]=1, calendar[[#This Row],[WeekDay]]=7),P3123,P3123+1)</f>
        <v>2225</v>
      </c>
      <c r="Q3124">
        <f>IF(OR(calendar[[#This Row],[FR_BH]]=1,calendar[[#This Row],[WeekDay]]=1, calendar[[#This Row],[WeekDay]]=7),P3123,P3123+1)</f>
        <v>2225</v>
      </c>
      <c r="R3124">
        <f>IF(OR(calendar[[#This Row],[SP_BH]]=1,calendar[[#This Row],[WeekDay]]=1, calendar[[#This Row],[WeekDay]]=7),P3123,P3123+1)</f>
        <v>2225</v>
      </c>
      <c r="S3124">
        <f>IF(OR(calendar[[#This Row],[PT_BH]]=1,calendar[[#This Row],[WeekDay]]=1, calendar[[#This Row],[WeekDay]]=7),P3123,P3123+1)</f>
        <v>2225</v>
      </c>
    </row>
    <row r="3125" spans="1:19" x14ac:dyDescent="0.25">
      <c r="A3125" s="2">
        <v>45859</v>
      </c>
      <c r="B3125" s="1">
        <f t="shared" si="243"/>
        <v>30</v>
      </c>
      <c r="C3125">
        <f t="shared" si="245"/>
        <v>7</v>
      </c>
      <c r="D3125" t="str">
        <f t="shared" si="246"/>
        <v>July</v>
      </c>
      <c r="E3125">
        <f t="shared" si="247"/>
        <v>2025</v>
      </c>
      <c r="F3125" t="str">
        <f>CONCATENATE(calendar[[#This Row],[Month]],"/",calendar[[#This Row],[Year]])</f>
        <v>7/2025</v>
      </c>
      <c r="G3125">
        <f>WEEKDAY(calendar[[#This Row],[Date]],1)</f>
        <v>2</v>
      </c>
      <c r="H3125" t="str">
        <f>TEXT(calendar[[#This Row],[WeekDay]],"dddd")</f>
        <v>Monday</v>
      </c>
      <c r="I3125">
        <f>IF((INT(calendar[[#This Row],[Count]]/7)-calendar[[#This Row],[Count]]/7)&lt;0,I3124,I3124+1)</f>
        <v>447</v>
      </c>
      <c r="J3125">
        <f t="shared" si="244"/>
        <v>3123</v>
      </c>
      <c r="K3125">
        <f>IF(calendar[[#This Row],[Month]]&lt;4,1,IF(calendar[[#This Row],[Month]]&lt;7,2,IF(calendar[[#This Row],[Month]]&lt;10,3,4)))</f>
        <v>3</v>
      </c>
      <c r="L3125">
        <f>IFERROR(IF(VLOOKUP(calendar[[#This Row],[Date]],BH!A:A,1,)&lt;&gt;"",1,0),0)</f>
        <v>0</v>
      </c>
      <c r="M3125">
        <f>IFERROR(IF(VLOOKUP(calendar[[#This Row],[Date]],BH!C:C,1,)&lt;&gt;"",1,0),0)</f>
        <v>0</v>
      </c>
      <c r="N3125">
        <f>IFERROR(IF(VLOOKUP(calendar[[#This Row],[Date]],BH!E:E,1,)&lt;&gt;"",1,0),0)</f>
        <v>0</v>
      </c>
      <c r="O3125">
        <f>IFERROR(IF(VLOOKUP(calendar[[#This Row],[Date]],BH!G:G,1,)&lt;&gt;"",1,0),0)</f>
        <v>0</v>
      </c>
      <c r="P3125">
        <f>IF(OR(calendar[[#This Row],[UK_BH]]=1,calendar[[#This Row],[WeekDay]]=1, calendar[[#This Row],[WeekDay]]=7),P3124,P3124+1)</f>
        <v>2226</v>
      </c>
      <c r="Q3125">
        <f>IF(OR(calendar[[#This Row],[FR_BH]]=1,calendar[[#This Row],[WeekDay]]=1, calendar[[#This Row],[WeekDay]]=7),P3124,P3124+1)</f>
        <v>2226</v>
      </c>
      <c r="R3125">
        <f>IF(OR(calendar[[#This Row],[SP_BH]]=1,calendar[[#This Row],[WeekDay]]=1, calendar[[#This Row],[WeekDay]]=7),P3124,P3124+1)</f>
        <v>2226</v>
      </c>
      <c r="S3125">
        <f>IF(OR(calendar[[#This Row],[PT_BH]]=1,calendar[[#This Row],[WeekDay]]=1, calendar[[#This Row],[WeekDay]]=7),P3124,P3124+1)</f>
        <v>2226</v>
      </c>
    </row>
    <row r="3126" spans="1:19" x14ac:dyDescent="0.25">
      <c r="A3126" s="2">
        <v>45860</v>
      </c>
      <c r="B3126" s="1">
        <f t="shared" si="243"/>
        <v>30</v>
      </c>
      <c r="C3126">
        <f t="shared" si="245"/>
        <v>7</v>
      </c>
      <c r="D3126" t="str">
        <f t="shared" si="246"/>
        <v>July</v>
      </c>
      <c r="E3126">
        <f t="shared" si="247"/>
        <v>2025</v>
      </c>
      <c r="F3126" t="str">
        <f>CONCATENATE(calendar[[#This Row],[Month]],"/",calendar[[#This Row],[Year]])</f>
        <v>7/2025</v>
      </c>
      <c r="G3126">
        <f>WEEKDAY(calendar[[#This Row],[Date]],1)</f>
        <v>3</v>
      </c>
      <c r="H3126" t="str">
        <f>TEXT(calendar[[#This Row],[WeekDay]],"dddd")</f>
        <v>Tuesday</v>
      </c>
      <c r="I3126">
        <f>IF((INT(calendar[[#This Row],[Count]]/7)-calendar[[#This Row],[Count]]/7)&lt;0,I3125,I3125+1)</f>
        <v>447</v>
      </c>
      <c r="J3126">
        <f t="shared" si="244"/>
        <v>3124</v>
      </c>
      <c r="K3126">
        <f>IF(calendar[[#This Row],[Month]]&lt;4,1,IF(calendar[[#This Row],[Month]]&lt;7,2,IF(calendar[[#This Row],[Month]]&lt;10,3,4)))</f>
        <v>3</v>
      </c>
      <c r="L3126">
        <f>IFERROR(IF(VLOOKUP(calendar[[#This Row],[Date]],BH!A:A,1,)&lt;&gt;"",1,0),0)</f>
        <v>0</v>
      </c>
      <c r="M3126">
        <f>IFERROR(IF(VLOOKUP(calendar[[#This Row],[Date]],BH!C:C,1,)&lt;&gt;"",1,0),0)</f>
        <v>0</v>
      </c>
      <c r="N3126">
        <f>IFERROR(IF(VLOOKUP(calendar[[#This Row],[Date]],BH!E:E,1,)&lt;&gt;"",1,0),0)</f>
        <v>0</v>
      </c>
      <c r="O3126">
        <f>IFERROR(IF(VLOOKUP(calendar[[#This Row],[Date]],BH!G:G,1,)&lt;&gt;"",1,0),0)</f>
        <v>0</v>
      </c>
      <c r="P3126">
        <f>IF(OR(calendar[[#This Row],[UK_BH]]=1,calendar[[#This Row],[WeekDay]]=1, calendar[[#This Row],[WeekDay]]=7),P3125,P3125+1)</f>
        <v>2227</v>
      </c>
      <c r="Q3126">
        <f>IF(OR(calendar[[#This Row],[FR_BH]]=1,calendar[[#This Row],[WeekDay]]=1, calendar[[#This Row],[WeekDay]]=7),P3125,P3125+1)</f>
        <v>2227</v>
      </c>
      <c r="R3126">
        <f>IF(OR(calendar[[#This Row],[SP_BH]]=1,calendar[[#This Row],[WeekDay]]=1, calendar[[#This Row],[WeekDay]]=7),P3125,P3125+1)</f>
        <v>2227</v>
      </c>
      <c r="S3126">
        <f>IF(OR(calendar[[#This Row],[PT_BH]]=1,calendar[[#This Row],[WeekDay]]=1, calendar[[#This Row],[WeekDay]]=7),P3125,P3125+1)</f>
        <v>2227</v>
      </c>
    </row>
    <row r="3127" spans="1:19" x14ac:dyDescent="0.25">
      <c r="A3127" s="2">
        <v>45861</v>
      </c>
      <c r="B3127" s="1">
        <f t="shared" si="243"/>
        <v>30</v>
      </c>
      <c r="C3127">
        <f t="shared" si="245"/>
        <v>7</v>
      </c>
      <c r="D3127" t="str">
        <f t="shared" si="246"/>
        <v>July</v>
      </c>
      <c r="E3127">
        <f t="shared" si="247"/>
        <v>2025</v>
      </c>
      <c r="F3127" t="str">
        <f>CONCATENATE(calendar[[#This Row],[Month]],"/",calendar[[#This Row],[Year]])</f>
        <v>7/2025</v>
      </c>
      <c r="G3127">
        <f>WEEKDAY(calendar[[#This Row],[Date]],1)</f>
        <v>4</v>
      </c>
      <c r="H3127" t="str">
        <f>TEXT(calendar[[#This Row],[WeekDay]],"dddd")</f>
        <v>Wednesday</v>
      </c>
      <c r="I3127">
        <f>IF((INT(calendar[[#This Row],[Count]]/7)-calendar[[#This Row],[Count]]/7)&lt;0,I3126,I3126+1)</f>
        <v>447</v>
      </c>
      <c r="J3127">
        <f t="shared" si="244"/>
        <v>3125</v>
      </c>
      <c r="K3127">
        <f>IF(calendar[[#This Row],[Month]]&lt;4,1,IF(calendar[[#This Row],[Month]]&lt;7,2,IF(calendar[[#This Row],[Month]]&lt;10,3,4)))</f>
        <v>3</v>
      </c>
      <c r="L3127">
        <f>IFERROR(IF(VLOOKUP(calendar[[#This Row],[Date]],BH!A:A,1,)&lt;&gt;"",1,0),0)</f>
        <v>0</v>
      </c>
      <c r="M3127">
        <f>IFERROR(IF(VLOOKUP(calendar[[#This Row],[Date]],BH!C:C,1,)&lt;&gt;"",1,0),0)</f>
        <v>0</v>
      </c>
      <c r="N3127">
        <f>IFERROR(IF(VLOOKUP(calendar[[#This Row],[Date]],BH!E:E,1,)&lt;&gt;"",1,0),0)</f>
        <v>0</v>
      </c>
      <c r="O3127">
        <f>IFERROR(IF(VLOOKUP(calendar[[#This Row],[Date]],BH!G:G,1,)&lt;&gt;"",1,0),0)</f>
        <v>0</v>
      </c>
      <c r="P3127">
        <f>IF(OR(calendar[[#This Row],[UK_BH]]=1,calendar[[#This Row],[WeekDay]]=1, calendar[[#This Row],[WeekDay]]=7),P3126,P3126+1)</f>
        <v>2228</v>
      </c>
      <c r="Q3127">
        <f>IF(OR(calendar[[#This Row],[FR_BH]]=1,calendar[[#This Row],[WeekDay]]=1, calendar[[#This Row],[WeekDay]]=7),P3126,P3126+1)</f>
        <v>2228</v>
      </c>
      <c r="R3127">
        <f>IF(OR(calendar[[#This Row],[SP_BH]]=1,calendar[[#This Row],[WeekDay]]=1, calendar[[#This Row],[WeekDay]]=7),P3126,P3126+1)</f>
        <v>2228</v>
      </c>
      <c r="S3127">
        <f>IF(OR(calendar[[#This Row],[PT_BH]]=1,calendar[[#This Row],[WeekDay]]=1, calendar[[#This Row],[WeekDay]]=7),P3126,P3126+1)</f>
        <v>2228</v>
      </c>
    </row>
    <row r="3128" spans="1:19" x14ac:dyDescent="0.25">
      <c r="A3128" s="2">
        <v>45862</v>
      </c>
      <c r="B3128" s="1">
        <f t="shared" si="243"/>
        <v>30</v>
      </c>
      <c r="C3128">
        <f t="shared" si="245"/>
        <v>7</v>
      </c>
      <c r="D3128" t="str">
        <f t="shared" si="246"/>
        <v>July</v>
      </c>
      <c r="E3128">
        <f t="shared" si="247"/>
        <v>2025</v>
      </c>
      <c r="F3128" t="str">
        <f>CONCATENATE(calendar[[#This Row],[Month]],"/",calendar[[#This Row],[Year]])</f>
        <v>7/2025</v>
      </c>
      <c r="G3128">
        <f>WEEKDAY(calendar[[#This Row],[Date]],1)</f>
        <v>5</v>
      </c>
      <c r="H3128" t="str">
        <f>TEXT(calendar[[#This Row],[WeekDay]],"dddd")</f>
        <v>Thursday</v>
      </c>
      <c r="I3128">
        <f>IF((INT(calendar[[#This Row],[Count]]/7)-calendar[[#This Row],[Count]]/7)&lt;0,I3127,I3127+1)</f>
        <v>447</v>
      </c>
      <c r="J3128">
        <f t="shared" si="244"/>
        <v>3126</v>
      </c>
      <c r="K3128">
        <f>IF(calendar[[#This Row],[Month]]&lt;4,1,IF(calendar[[#This Row],[Month]]&lt;7,2,IF(calendar[[#This Row],[Month]]&lt;10,3,4)))</f>
        <v>3</v>
      </c>
      <c r="L3128">
        <f>IFERROR(IF(VLOOKUP(calendar[[#This Row],[Date]],BH!A:A,1,)&lt;&gt;"",1,0),0)</f>
        <v>0</v>
      </c>
      <c r="M3128">
        <f>IFERROR(IF(VLOOKUP(calendar[[#This Row],[Date]],BH!C:C,1,)&lt;&gt;"",1,0),0)</f>
        <v>0</v>
      </c>
      <c r="N3128">
        <f>IFERROR(IF(VLOOKUP(calendar[[#This Row],[Date]],BH!E:E,1,)&lt;&gt;"",1,0),0)</f>
        <v>0</v>
      </c>
      <c r="O3128">
        <f>IFERROR(IF(VLOOKUP(calendar[[#This Row],[Date]],BH!G:G,1,)&lt;&gt;"",1,0),0)</f>
        <v>0</v>
      </c>
      <c r="P3128">
        <f>IF(OR(calendar[[#This Row],[UK_BH]]=1,calendar[[#This Row],[WeekDay]]=1, calendar[[#This Row],[WeekDay]]=7),P3127,P3127+1)</f>
        <v>2229</v>
      </c>
      <c r="Q3128">
        <f>IF(OR(calendar[[#This Row],[FR_BH]]=1,calendar[[#This Row],[WeekDay]]=1, calendar[[#This Row],[WeekDay]]=7),P3127,P3127+1)</f>
        <v>2229</v>
      </c>
      <c r="R3128">
        <f>IF(OR(calendar[[#This Row],[SP_BH]]=1,calendar[[#This Row],[WeekDay]]=1, calendar[[#This Row],[WeekDay]]=7),P3127,P3127+1)</f>
        <v>2229</v>
      </c>
      <c r="S3128">
        <f>IF(OR(calendar[[#This Row],[PT_BH]]=1,calendar[[#This Row],[WeekDay]]=1, calendar[[#This Row],[WeekDay]]=7),P3127,P3127+1)</f>
        <v>2229</v>
      </c>
    </row>
    <row r="3129" spans="1:19" x14ac:dyDescent="0.25">
      <c r="A3129" s="2">
        <v>45863</v>
      </c>
      <c r="B3129" s="1">
        <f t="shared" si="243"/>
        <v>30</v>
      </c>
      <c r="C3129">
        <f t="shared" si="245"/>
        <v>7</v>
      </c>
      <c r="D3129" t="str">
        <f t="shared" si="246"/>
        <v>July</v>
      </c>
      <c r="E3129">
        <f t="shared" si="247"/>
        <v>2025</v>
      </c>
      <c r="F3129" t="str">
        <f>CONCATENATE(calendar[[#This Row],[Month]],"/",calendar[[#This Row],[Year]])</f>
        <v>7/2025</v>
      </c>
      <c r="G3129">
        <f>WEEKDAY(calendar[[#This Row],[Date]],1)</f>
        <v>6</v>
      </c>
      <c r="H3129" t="str">
        <f>TEXT(calendar[[#This Row],[WeekDay]],"dddd")</f>
        <v>Friday</v>
      </c>
      <c r="I3129">
        <f>IF((INT(calendar[[#This Row],[Count]]/7)-calendar[[#This Row],[Count]]/7)&lt;0,I3128,I3128+1)</f>
        <v>447</v>
      </c>
      <c r="J3129">
        <f t="shared" si="244"/>
        <v>3127</v>
      </c>
      <c r="K3129">
        <f>IF(calendar[[#This Row],[Month]]&lt;4,1,IF(calendar[[#This Row],[Month]]&lt;7,2,IF(calendar[[#This Row],[Month]]&lt;10,3,4)))</f>
        <v>3</v>
      </c>
      <c r="L3129">
        <f>IFERROR(IF(VLOOKUP(calendar[[#This Row],[Date]],BH!A:A,1,)&lt;&gt;"",1,0),0)</f>
        <v>0</v>
      </c>
      <c r="M3129">
        <f>IFERROR(IF(VLOOKUP(calendar[[#This Row],[Date]],BH!C:C,1,)&lt;&gt;"",1,0),0)</f>
        <v>0</v>
      </c>
      <c r="N3129">
        <f>IFERROR(IF(VLOOKUP(calendar[[#This Row],[Date]],BH!E:E,1,)&lt;&gt;"",1,0),0)</f>
        <v>0</v>
      </c>
      <c r="O3129">
        <f>IFERROR(IF(VLOOKUP(calendar[[#This Row],[Date]],BH!G:G,1,)&lt;&gt;"",1,0),0)</f>
        <v>0</v>
      </c>
      <c r="P3129">
        <f>IF(OR(calendar[[#This Row],[UK_BH]]=1,calendar[[#This Row],[WeekDay]]=1, calendar[[#This Row],[WeekDay]]=7),P3128,P3128+1)</f>
        <v>2230</v>
      </c>
      <c r="Q3129">
        <f>IF(OR(calendar[[#This Row],[FR_BH]]=1,calendar[[#This Row],[WeekDay]]=1, calendar[[#This Row],[WeekDay]]=7),P3128,P3128+1)</f>
        <v>2230</v>
      </c>
      <c r="R3129">
        <f>IF(OR(calendar[[#This Row],[SP_BH]]=1,calendar[[#This Row],[WeekDay]]=1, calendar[[#This Row],[WeekDay]]=7),P3128,P3128+1)</f>
        <v>2230</v>
      </c>
      <c r="S3129">
        <f>IF(OR(calendar[[#This Row],[PT_BH]]=1,calendar[[#This Row],[WeekDay]]=1, calendar[[#This Row],[WeekDay]]=7),P3128,P3128+1)</f>
        <v>2230</v>
      </c>
    </row>
    <row r="3130" spans="1:19" x14ac:dyDescent="0.25">
      <c r="A3130" s="2">
        <v>45864</v>
      </c>
      <c r="B3130" s="1">
        <f t="shared" si="243"/>
        <v>30</v>
      </c>
      <c r="C3130">
        <f t="shared" si="245"/>
        <v>7</v>
      </c>
      <c r="D3130" t="str">
        <f t="shared" si="246"/>
        <v>July</v>
      </c>
      <c r="E3130">
        <f t="shared" si="247"/>
        <v>2025</v>
      </c>
      <c r="F3130" t="str">
        <f>CONCATENATE(calendar[[#This Row],[Month]],"/",calendar[[#This Row],[Year]])</f>
        <v>7/2025</v>
      </c>
      <c r="G3130">
        <f>WEEKDAY(calendar[[#This Row],[Date]],1)</f>
        <v>7</v>
      </c>
      <c r="H3130" t="str">
        <f>TEXT(calendar[[#This Row],[WeekDay]],"dddd")</f>
        <v>Saturday</v>
      </c>
      <c r="I3130">
        <f>IF((INT(calendar[[#This Row],[Count]]/7)-calendar[[#This Row],[Count]]/7)&lt;0,I3129,I3129+1)</f>
        <v>447</v>
      </c>
      <c r="J3130">
        <f t="shared" si="244"/>
        <v>3128</v>
      </c>
      <c r="K3130">
        <f>IF(calendar[[#This Row],[Month]]&lt;4,1,IF(calendar[[#This Row],[Month]]&lt;7,2,IF(calendar[[#This Row],[Month]]&lt;10,3,4)))</f>
        <v>3</v>
      </c>
      <c r="L3130">
        <f>IFERROR(IF(VLOOKUP(calendar[[#This Row],[Date]],BH!A:A,1,)&lt;&gt;"",1,0),0)</f>
        <v>0</v>
      </c>
      <c r="M3130">
        <f>IFERROR(IF(VLOOKUP(calendar[[#This Row],[Date]],BH!C:C,1,)&lt;&gt;"",1,0),0)</f>
        <v>0</v>
      </c>
      <c r="N3130">
        <f>IFERROR(IF(VLOOKUP(calendar[[#This Row],[Date]],BH!E:E,1,)&lt;&gt;"",1,0),0)</f>
        <v>0</v>
      </c>
      <c r="O3130">
        <f>IFERROR(IF(VLOOKUP(calendar[[#This Row],[Date]],BH!G:G,1,)&lt;&gt;"",1,0),0)</f>
        <v>0</v>
      </c>
      <c r="P3130">
        <f>IF(OR(calendar[[#This Row],[UK_BH]]=1,calendar[[#This Row],[WeekDay]]=1, calendar[[#This Row],[WeekDay]]=7),P3129,P3129+1)</f>
        <v>2230</v>
      </c>
      <c r="Q3130">
        <f>IF(OR(calendar[[#This Row],[FR_BH]]=1,calendar[[#This Row],[WeekDay]]=1, calendar[[#This Row],[WeekDay]]=7),P3129,P3129+1)</f>
        <v>2230</v>
      </c>
      <c r="R3130">
        <f>IF(OR(calendar[[#This Row],[SP_BH]]=1,calendar[[#This Row],[WeekDay]]=1, calendar[[#This Row],[WeekDay]]=7),P3129,P3129+1)</f>
        <v>2230</v>
      </c>
      <c r="S3130">
        <f>IF(OR(calendar[[#This Row],[PT_BH]]=1,calendar[[#This Row],[WeekDay]]=1, calendar[[#This Row],[WeekDay]]=7),P3129,P3129+1)</f>
        <v>2230</v>
      </c>
    </row>
    <row r="3131" spans="1:19" x14ac:dyDescent="0.25">
      <c r="A3131" s="2">
        <v>45865</v>
      </c>
      <c r="B3131" s="1">
        <f t="shared" si="243"/>
        <v>31</v>
      </c>
      <c r="C3131">
        <f t="shared" si="245"/>
        <v>7</v>
      </c>
      <c r="D3131" t="str">
        <f t="shared" si="246"/>
        <v>July</v>
      </c>
      <c r="E3131">
        <f t="shared" si="247"/>
        <v>2025</v>
      </c>
      <c r="F3131" t="str">
        <f>CONCATENATE(calendar[[#This Row],[Month]],"/",calendar[[#This Row],[Year]])</f>
        <v>7/2025</v>
      </c>
      <c r="G3131">
        <f>WEEKDAY(calendar[[#This Row],[Date]],1)</f>
        <v>1</v>
      </c>
      <c r="H3131" t="str">
        <f>TEXT(calendar[[#This Row],[WeekDay]],"dddd")</f>
        <v>Sunday</v>
      </c>
      <c r="I3131">
        <f>IF((INT(calendar[[#This Row],[Count]]/7)-calendar[[#This Row],[Count]]/7)&lt;0,I3130,I3130+1)</f>
        <v>448</v>
      </c>
      <c r="J3131">
        <f t="shared" si="244"/>
        <v>3129</v>
      </c>
      <c r="K3131">
        <f>IF(calendar[[#This Row],[Month]]&lt;4,1,IF(calendar[[#This Row],[Month]]&lt;7,2,IF(calendar[[#This Row],[Month]]&lt;10,3,4)))</f>
        <v>3</v>
      </c>
      <c r="L3131">
        <f>IFERROR(IF(VLOOKUP(calendar[[#This Row],[Date]],BH!A:A,1,)&lt;&gt;"",1,0),0)</f>
        <v>0</v>
      </c>
      <c r="M3131">
        <f>IFERROR(IF(VLOOKUP(calendar[[#This Row],[Date]],BH!C:C,1,)&lt;&gt;"",1,0),0)</f>
        <v>0</v>
      </c>
      <c r="N3131">
        <f>IFERROR(IF(VLOOKUP(calendar[[#This Row],[Date]],BH!E:E,1,)&lt;&gt;"",1,0),0)</f>
        <v>0</v>
      </c>
      <c r="O3131">
        <f>IFERROR(IF(VLOOKUP(calendar[[#This Row],[Date]],BH!G:G,1,)&lt;&gt;"",1,0),0)</f>
        <v>0</v>
      </c>
      <c r="P3131">
        <f>IF(OR(calendar[[#This Row],[UK_BH]]=1,calendar[[#This Row],[WeekDay]]=1, calendar[[#This Row],[WeekDay]]=7),P3130,P3130+1)</f>
        <v>2230</v>
      </c>
      <c r="Q3131">
        <f>IF(OR(calendar[[#This Row],[FR_BH]]=1,calendar[[#This Row],[WeekDay]]=1, calendar[[#This Row],[WeekDay]]=7),P3130,P3130+1)</f>
        <v>2230</v>
      </c>
      <c r="R3131">
        <f>IF(OR(calendar[[#This Row],[SP_BH]]=1,calendar[[#This Row],[WeekDay]]=1, calendar[[#This Row],[WeekDay]]=7),P3130,P3130+1)</f>
        <v>2230</v>
      </c>
      <c r="S3131">
        <f>IF(OR(calendar[[#This Row],[PT_BH]]=1,calendar[[#This Row],[WeekDay]]=1, calendar[[#This Row],[WeekDay]]=7),P3130,P3130+1)</f>
        <v>2230</v>
      </c>
    </row>
    <row r="3132" spans="1:19" x14ac:dyDescent="0.25">
      <c r="A3132" s="2">
        <v>45866</v>
      </c>
      <c r="B3132" s="1">
        <f t="shared" si="243"/>
        <v>31</v>
      </c>
      <c r="C3132">
        <f t="shared" si="245"/>
        <v>7</v>
      </c>
      <c r="D3132" t="str">
        <f t="shared" si="246"/>
        <v>July</v>
      </c>
      <c r="E3132">
        <f t="shared" si="247"/>
        <v>2025</v>
      </c>
      <c r="F3132" t="str">
        <f>CONCATENATE(calendar[[#This Row],[Month]],"/",calendar[[#This Row],[Year]])</f>
        <v>7/2025</v>
      </c>
      <c r="G3132">
        <f>WEEKDAY(calendar[[#This Row],[Date]],1)</f>
        <v>2</v>
      </c>
      <c r="H3132" t="str">
        <f>TEXT(calendar[[#This Row],[WeekDay]],"dddd")</f>
        <v>Monday</v>
      </c>
      <c r="I3132">
        <f>IF((INT(calendar[[#This Row],[Count]]/7)-calendar[[#This Row],[Count]]/7)&lt;0,I3131,I3131+1)</f>
        <v>448</v>
      </c>
      <c r="J3132">
        <f t="shared" si="244"/>
        <v>3130</v>
      </c>
      <c r="K3132">
        <f>IF(calendar[[#This Row],[Month]]&lt;4,1,IF(calendar[[#This Row],[Month]]&lt;7,2,IF(calendar[[#This Row],[Month]]&lt;10,3,4)))</f>
        <v>3</v>
      </c>
      <c r="L3132">
        <f>IFERROR(IF(VLOOKUP(calendar[[#This Row],[Date]],BH!A:A,1,)&lt;&gt;"",1,0),0)</f>
        <v>0</v>
      </c>
      <c r="M3132">
        <f>IFERROR(IF(VLOOKUP(calendar[[#This Row],[Date]],BH!C:C,1,)&lt;&gt;"",1,0),0)</f>
        <v>0</v>
      </c>
      <c r="N3132">
        <f>IFERROR(IF(VLOOKUP(calendar[[#This Row],[Date]],BH!E:E,1,)&lt;&gt;"",1,0),0)</f>
        <v>0</v>
      </c>
      <c r="O3132">
        <f>IFERROR(IF(VLOOKUP(calendar[[#This Row],[Date]],BH!G:G,1,)&lt;&gt;"",1,0),0)</f>
        <v>0</v>
      </c>
      <c r="P3132">
        <f>IF(OR(calendar[[#This Row],[UK_BH]]=1,calendar[[#This Row],[WeekDay]]=1, calendar[[#This Row],[WeekDay]]=7),P3131,P3131+1)</f>
        <v>2231</v>
      </c>
      <c r="Q3132">
        <f>IF(OR(calendar[[#This Row],[FR_BH]]=1,calendar[[#This Row],[WeekDay]]=1, calendar[[#This Row],[WeekDay]]=7),P3131,P3131+1)</f>
        <v>2231</v>
      </c>
      <c r="R3132">
        <f>IF(OR(calendar[[#This Row],[SP_BH]]=1,calendar[[#This Row],[WeekDay]]=1, calendar[[#This Row],[WeekDay]]=7),P3131,P3131+1)</f>
        <v>2231</v>
      </c>
      <c r="S3132">
        <f>IF(OR(calendar[[#This Row],[PT_BH]]=1,calendar[[#This Row],[WeekDay]]=1, calendar[[#This Row],[WeekDay]]=7),P3131,P3131+1)</f>
        <v>2231</v>
      </c>
    </row>
    <row r="3133" spans="1:19" x14ac:dyDescent="0.25">
      <c r="A3133" s="2">
        <v>45867</v>
      </c>
      <c r="B3133" s="1">
        <f t="shared" si="243"/>
        <v>31</v>
      </c>
      <c r="C3133">
        <f t="shared" si="245"/>
        <v>7</v>
      </c>
      <c r="D3133" t="str">
        <f t="shared" si="246"/>
        <v>July</v>
      </c>
      <c r="E3133">
        <f t="shared" si="247"/>
        <v>2025</v>
      </c>
      <c r="F3133" t="str">
        <f>CONCATENATE(calendar[[#This Row],[Month]],"/",calendar[[#This Row],[Year]])</f>
        <v>7/2025</v>
      </c>
      <c r="G3133">
        <f>WEEKDAY(calendar[[#This Row],[Date]],1)</f>
        <v>3</v>
      </c>
      <c r="H3133" t="str">
        <f>TEXT(calendar[[#This Row],[WeekDay]],"dddd")</f>
        <v>Tuesday</v>
      </c>
      <c r="I3133">
        <f>IF((INT(calendar[[#This Row],[Count]]/7)-calendar[[#This Row],[Count]]/7)&lt;0,I3132,I3132+1)</f>
        <v>448</v>
      </c>
      <c r="J3133">
        <f t="shared" si="244"/>
        <v>3131</v>
      </c>
      <c r="K3133">
        <f>IF(calendar[[#This Row],[Month]]&lt;4,1,IF(calendar[[#This Row],[Month]]&lt;7,2,IF(calendar[[#This Row],[Month]]&lt;10,3,4)))</f>
        <v>3</v>
      </c>
      <c r="L3133">
        <f>IFERROR(IF(VLOOKUP(calendar[[#This Row],[Date]],BH!A:A,1,)&lt;&gt;"",1,0),0)</f>
        <v>0</v>
      </c>
      <c r="M3133">
        <f>IFERROR(IF(VLOOKUP(calendar[[#This Row],[Date]],BH!C:C,1,)&lt;&gt;"",1,0),0)</f>
        <v>0</v>
      </c>
      <c r="N3133">
        <f>IFERROR(IF(VLOOKUP(calendar[[#This Row],[Date]],BH!E:E,1,)&lt;&gt;"",1,0),0)</f>
        <v>0</v>
      </c>
      <c r="O3133">
        <f>IFERROR(IF(VLOOKUP(calendar[[#This Row],[Date]],BH!G:G,1,)&lt;&gt;"",1,0),0)</f>
        <v>0</v>
      </c>
      <c r="P3133">
        <f>IF(OR(calendar[[#This Row],[UK_BH]]=1,calendar[[#This Row],[WeekDay]]=1, calendar[[#This Row],[WeekDay]]=7),P3132,P3132+1)</f>
        <v>2232</v>
      </c>
      <c r="Q3133">
        <f>IF(OR(calendar[[#This Row],[FR_BH]]=1,calendar[[#This Row],[WeekDay]]=1, calendar[[#This Row],[WeekDay]]=7),P3132,P3132+1)</f>
        <v>2232</v>
      </c>
      <c r="R3133">
        <f>IF(OR(calendar[[#This Row],[SP_BH]]=1,calendar[[#This Row],[WeekDay]]=1, calendar[[#This Row],[WeekDay]]=7),P3132,P3132+1)</f>
        <v>2232</v>
      </c>
      <c r="S3133">
        <f>IF(OR(calendar[[#This Row],[PT_BH]]=1,calendar[[#This Row],[WeekDay]]=1, calendar[[#This Row],[WeekDay]]=7),P3132,P3132+1)</f>
        <v>2232</v>
      </c>
    </row>
    <row r="3134" spans="1:19" x14ac:dyDescent="0.25">
      <c r="A3134" s="2">
        <v>45868</v>
      </c>
      <c r="B3134" s="1">
        <f t="shared" si="243"/>
        <v>31</v>
      </c>
      <c r="C3134">
        <f t="shared" si="245"/>
        <v>7</v>
      </c>
      <c r="D3134" t="str">
        <f t="shared" si="246"/>
        <v>July</v>
      </c>
      <c r="E3134">
        <f t="shared" si="247"/>
        <v>2025</v>
      </c>
      <c r="F3134" t="str">
        <f>CONCATENATE(calendar[[#This Row],[Month]],"/",calendar[[#This Row],[Year]])</f>
        <v>7/2025</v>
      </c>
      <c r="G3134">
        <f>WEEKDAY(calendar[[#This Row],[Date]],1)</f>
        <v>4</v>
      </c>
      <c r="H3134" t="str">
        <f>TEXT(calendar[[#This Row],[WeekDay]],"dddd")</f>
        <v>Wednesday</v>
      </c>
      <c r="I3134">
        <f>IF((INT(calendar[[#This Row],[Count]]/7)-calendar[[#This Row],[Count]]/7)&lt;0,I3133,I3133+1)</f>
        <v>448</v>
      </c>
      <c r="J3134">
        <f t="shared" si="244"/>
        <v>3132</v>
      </c>
      <c r="K3134">
        <f>IF(calendar[[#This Row],[Month]]&lt;4,1,IF(calendar[[#This Row],[Month]]&lt;7,2,IF(calendar[[#This Row],[Month]]&lt;10,3,4)))</f>
        <v>3</v>
      </c>
      <c r="L3134">
        <f>IFERROR(IF(VLOOKUP(calendar[[#This Row],[Date]],BH!A:A,1,)&lt;&gt;"",1,0),0)</f>
        <v>0</v>
      </c>
      <c r="M3134">
        <f>IFERROR(IF(VLOOKUP(calendar[[#This Row],[Date]],BH!C:C,1,)&lt;&gt;"",1,0),0)</f>
        <v>0</v>
      </c>
      <c r="N3134">
        <f>IFERROR(IF(VLOOKUP(calendar[[#This Row],[Date]],BH!E:E,1,)&lt;&gt;"",1,0),0)</f>
        <v>0</v>
      </c>
      <c r="O3134">
        <f>IFERROR(IF(VLOOKUP(calendar[[#This Row],[Date]],BH!G:G,1,)&lt;&gt;"",1,0),0)</f>
        <v>0</v>
      </c>
      <c r="P3134">
        <f>IF(OR(calendar[[#This Row],[UK_BH]]=1,calendar[[#This Row],[WeekDay]]=1, calendar[[#This Row],[WeekDay]]=7),P3133,P3133+1)</f>
        <v>2233</v>
      </c>
      <c r="Q3134">
        <f>IF(OR(calendar[[#This Row],[FR_BH]]=1,calendar[[#This Row],[WeekDay]]=1, calendar[[#This Row],[WeekDay]]=7),P3133,P3133+1)</f>
        <v>2233</v>
      </c>
      <c r="R3134">
        <f>IF(OR(calendar[[#This Row],[SP_BH]]=1,calendar[[#This Row],[WeekDay]]=1, calendar[[#This Row],[WeekDay]]=7),P3133,P3133+1)</f>
        <v>2233</v>
      </c>
      <c r="S3134">
        <f>IF(OR(calendar[[#This Row],[PT_BH]]=1,calendar[[#This Row],[WeekDay]]=1, calendar[[#This Row],[WeekDay]]=7),P3133,P3133+1)</f>
        <v>2233</v>
      </c>
    </row>
    <row r="3135" spans="1:19" x14ac:dyDescent="0.25">
      <c r="A3135" s="2">
        <v>45869</v>
      </c>
      <c r="B3135" s="1">
        <f t="shared" si="243"/>
        <v>31</v>
      </c>
      <c r="C3135">
        <f t="shared" si="245"/>
        <v>7</v>
      </c>
      <c r="D3135" t="str">
        <f t="shared" si="246"/>
        <v>July</v>
      </c>
      <c r="E3135">
        <f t="shared" si="247"/>
        <v>2025</v>
      </c>
      <c r="F3135" t="str">
        <f>CONCATENATE(calendar[[#This Row],[Month]],"/",calendar[[#This Row],[Year]])</f>
        <v>7/2025</v>
      </c>
      <c r="G3135">
        <f>WEEKDAY(calendar[[#This Row],[Date]],1)</f>
        <v>5</v>
      </c>
      <c r="H3135" t="str">
        <f>TEXT(calendar[[#This Row],[WeekDay]],"dddd")</f>
        <v>Thursday</v>
      </c>
      <c r="I3135">
        <f>IF((INT(calendar[[#This Row],[Count]]/7)-calendar[[#This Row],[Count]]/7)&lt;0,I3134,I3134+1)</f>
        <v>448</v>
      </c>
      <c r="J3135">
        <f t="shared" si="244"/>
        <v>3133</v>
      </c>
      <c r="K3135">
        <f>IF(calendar[[#This Row],[Month]]&lt;4,1,IF(calendar[[#This Row],[Month]]&lt;7,2,IF(calendar[[#This Row],[Month]]&lt;10,3,4)))</f>
        <v>3</v>
      </c>
      <c r="L3135">
        <f>IFERROR(IF(VLOOKUP(calendar[[#This Row],[Date]],BH!A:A,1,)&lt;&gt;"",1,0),0)</f>
        <v>0</v>
      </c>
      <c r="M3135">
        <f>IFERROR(IF(VLOOKUP(calendar[[#This Row],[Date]],BH!C:C,1,)&lt;&gt;"",1,0),0)</f>
        <v>0</v>
      </c>
      <c r="N3135">
        <f>IFERROR(IF(VLOOKUP(calendar[[#This Row],[Date]],BH!E:E,1,)&lt;&gt;"",1,0),0)</f>
        <v>0</v>
      </c>
      <c r="O3135">
        <f>IFERROR(IF(VLOOKUP(calendar[[#This Row],[Date]],BH!G:G,1,)&lt;&gt;"",1,0),0)</f>
        <v>0</v>
      </c>
      <c r="P3135">
        <f>IF(OR(calendar[[#This Row],[UK_BH]]=1,calendar[[#This Row],[WeekDay]]=1, calendar[[#This Row],[WeekDay]]=7),P3134,P3134+1)</f>
        <v>2234</v>
      </c>
      <c r="Q3135">
        <f>IF(OR(calendar[[#This Row],[FR_BH]]=1,calendar[[#This Row],[WeekDay]]=1, calendar[[#This Row],[WeekDay]]=7),P3134,P3134+1)</f>
        <v>2234</v>
      </c>
      <c r="R3135">
        <f>IF(OR(calendar[[#This Row],[SP_BH]]=1,calendar[[#This Row],[WeekDay]]=1, calendar[[#This Row],[WeekDay]]=7),P3134,P3134+1)</f>
        <v>2234</v>
      </c>
      <c r="S3135">
        <f>IF(OR(calendar[[#This Row],[PT_BH]]=1,calendar[[#This Row],[WeekDay]]=1, calendar[[#This Row],[WeekDay]]=7),P3134,P3134+1)</f>
        <v>2234</v>
      </c>
    </row>
    <row r="3136" spans="1:19" x14ac:dyDescent="0.25">
      <c r="A3136" s="2">
        <v>45870</v>
      </c>
      <c r="B3136" s="1">
        <f t="shared" si="243"/>
        <v>31</v>
      </c>
      <c r="C3136">
        <f t="shared" si="245"/>
        <v>8</v>
      </c>
      <c r="D3136" t="str">
        <f t="shared" si="246"/>
        <v>August</v>
      </c>
      <c r="E3136">
        <f t="shared" si="247"/>
        <v>2025</v>
      </c>
      <c r="F3136" t="str">
        <f>CONCATENATE(calendar[[#This Row],[Month]],"/",calendar[[#This Row],[Year]])</f>
        <v>8/2025</v>
      </c>
      <c r="G3136">
        <f>WEEKDAY(calendar[[#This Row],[Date]],1)</f>
        <v>6</v>
      </c>
      <c r="H3136" t="str">
        <f>TEXT(calendar[[#This Row],[WeekDay]],"dddd")</f>
        <v>Friday</v>
      </c>
      <c r="I3136">
        <f>IF((INT(calendar[[#This Row],[Count]]/7)-calendar[[#This Row],[Count]]/7)&lt;0,I3135,I3135+1)</f>
        <v>448</v>
      </c>
      <c r="J3136">
        <f t="shared" si="244"/>
        <v>3134</v>
      </c>
      <c r="K3136">
        <f>IF(calendar[[#This Row],[Month]]&lt;4,1,IF(calendar[[#This Row],[Month]]&lt;7,2,IF(calendar[[#This Row],[Month]]&lt;10,3,4)))</f>
        <v>3</v>
      </c>
      <c r="L3136">
        <f>IFERROR(IF(VLOOKUP(calendar[[#This Row],[Date]],BH!A:A,1,)&lt;&gt;"",1,0),0)</f>
        <v>0</v>
      </c>
      <c r="M3136">
        <f>IFERROR(IF(VLOOKUP(calendar[[#This Row],[Date]],BH!C:C,1,)&lt;&gt;"",1,0),0)</f>
        <v>0</v>
      </c>
      <c r="N3136">
        <f>IFERROR(IF(VLOOKUP(calendar[[#This Row],[Date]],BH!E:E,1,)&lt;&gt;"",1,0),0)</f>
        <v>0</v>
      </c>
      <c r="O3136">
        <f>IFERROR(IF(VLOOKUP(calendar[[#This Row],[Date]],BH!G:G,1,)&lt;&gt;"",1,0),0)</f>
        <v>0</v>
      </c>
      <c r="P3136">
        <f>IF(OR(calendar[[#This Row],[UK_BH]]=1,calendar[[#This Row],[WeekDay]]=1, calendar[[#This Row],[WeekDay]]=7),P3135,P3135+1)</f>
        <v>2235</v>
      </c>
      <c r="Q3136">
        <f>IF(OR(calendar[[#This Row],[FR_BH]]=1,calendar[[#This Row],[WeekDay]]=1, calendar[[#This Row],[WeekDay]]=7),P3135,P3135+1)</f>
        <v>2235</v>
      </c>
      <c r="R3136">
        <f>IF(OR(calendar[[#This Row],[SP_BH]]=1,calendar[[#This Row],[WeekDay]]=1, calendar[[#This Row],[WeekDay]]=7),P3135,P3135+1)</f>
        <v>2235</v>
      </c>
      <c r="S3136">
        <f>IF(OR(calendar[[#This Row],[PT_BH]]=1,calendar[[#This Row],[WeekDay]]=1, calendar[[#This Row],[WeekDay]]=7),P3135,P3135+1)</f>
        <v>2235</v>
      </c>
    </row>
    <row r="3137" spans="1:19" x14ac:dyDescent="0.25">
      <c r="A3137" s="2">
        <v>45871</v>
      </c>
      <c r="B3137" s="1">
        <f t="shared" si="243"/>
        <v>31</v>
      </c>
      <c r="C3137">
        <f t="shared" si="245"/>
        <v>8</v>
      </c>
      <c r="D3137" t="str">
        <f t="shared" si="246"/>
        <v>August</v>
      </c>
      <c r="E3137">
        <f t="shared" si="247"/>
        <v>2025</v>
      </c>
      <c r="F3137" t="str">
        <f>CONCATENATE(calendar[[#This Row],[Month]],"/",calendar[[#This Row],[Year]])</f>
        <v>8/2025</v>
      </c>
      <c r="G3137">
        <f>WEEKDAY(calendar[[#This Row],[Date]],1)</f>
        <v>7</v>
      </c>
      <c r="H3137" t="str">
        <f>TEXT(calendar[[#This Row],[WeekDay]],"dddd")</f>
        <v>Saturday</v>
      </c>
      <c r="I3137">
        <f>IF((INT(calendar[[#This Row],[Count]]/7)-calendar[[#This Row],[Count]]/7)&lt;0,I3136,I3136+1)</f>
        <v>448</v>
      </c>
      <c r="J3137">
        <f t="shared" si="244"/>
        <v>3135</v>
      </c>
      <c r="K3137">
        <f>IF(calendar[[#This Row],[Month]]&lt;4,1,IF(calendar[[#This Row],[Month]]&lt;7,2,IF(calendar[[#This Row],[Month]]&lt;10,3,4)))</f>
        <v>3</v>
      </c>
      <c r="L3137">
        <f>IFERROR(IF(VLOOKUP(calendar[[#This Row],[Date]],BH!A:A,1,)&lt;&gt;"",1,0),0)</f>
        <v>0</v>
      </c>
      <c r="M3137">
        <f>IFERROR(IF(VLOOKUP(calendar[[#This Row],[Date]],BH!C:C,1,)&lt;&gt;"",1,0),0)</f>
        <v>0</v>
      </c>
      <c r="N3137">
        <f>IFERROR(IF(VLOOKUP(calendar[[#This Row],[Date]],BH!E:E,1,)&lt;&gt;"",1,0),0)</f>
        <v>0</v>
      </c>
      <c r="O3137">
        <f>IFERROR(IF(VLOOKUP(calendar[[#This Row],[Date]],BH!G:G,1,)&lt;&gt;"",1,0),0)</f>
        <v>0</v>
      </c>
      <c r="P3137">
        <f>IF(OR(calendar[[#This Row],[UK_BH]]=1,calendar[[#This Row],[WeekDay]]=1, calendar[[#This Row],[WeekDay]]=7),P3136,P3136+1)</f>
        <v>2235</v>
      </c>
      <c r="Q3137">
        <f>IF(OR(calendar[[#This Row],[FR_BH]]=1,calendar[[#This Row],[WeekDay]]=1, calendar[[#This Row],[WeekDay]]=7),P3136,P3136+1)</f>
        <v>2235</v>
      </c>
      <c r="R3137">
        <f>IF(OR(calendar[[#This Row],[SP_BH]]=1,calendar[[#This Row],[WeekDay]]=1, calendar[[#This Row],[WeekDay]]=7),P3136,P3136+1)</f>
        <v>2235</v>
      </c>
      <c r="S3137">
        <f>IF(OR(calendar[[#This Row],[PT_BH]]=1,calendar[[#This Row],[WeekDay]]=1, calendar[[#This Row],[WeekDay]]=7),P3136,P3136+1)</f>
        <v>2235</v>
      </c>
    </row>
    <row r="3138" spans="1:19" x14ac:dyDescent="0.25">
      <c r="A3138" s="2">
        <v>45872</v>
      </c>
      <c r="B3138" s="1">
        <f t="shared" ref="B3138:B3201" si="248">WEEKNUM(A3138)</f>
        <v>32</v>
      </c>
      <c r="C3138">
        <f t="shared" si="245"/>
        <v>8</v>
      </c>
      <c r="D3138" t="str">
        <f t="shared" si="246"/>
        <v>August</v>
      </c>
      <c r="E3138">
        <f t="shared" si="247"/>
        <v>2025</v>
      </c>
      <c r="F3138" t="str">
        <f>CONCATENATE(calendar[[#This Row],[Month]],"/",calendar[[#This Row],[Year]])</f>
        <v>8/2025</v>
      </c>
      <c r="G3138">
        <f>WEEKDAY(calendar[[#This Row],[Date]],1)</f>
        <v>1</v>
      </c>
      <c r="H3138" t="str">
        <f>TEXT(calendar[[#This Row],[WeekDay]],"dddd")</f>
        <v>Sunday</v>
      </c>
      <c r="I3138">
        <f>IF((INT(calendar[[#This Row],[Count]]/7)-calendar[[#This Row],[Count]]/7)&lt;0,I3137,I3137+1)</f>
        <v>449</v>
      </c>
      <c r="J3138">
        <f t="shared" si="244"/>
        <v>3136</v>
      </c>
      <c r="K3138">
        <f>IF(calendar[[#This Row],[Month]]&lt;4,1,IF(calendar[[#This Row],[Month]]&lt;7,2,IF(calendar[[#This Row],[Month]]&lt;10,3,4)))</f>
        <v>3</v>
      </c>
      <c r="L3138">
        <f>IFERROR(IF(VLOOKUP(calendar[[#This Row],[Date]],BH!A:A,1,)&lt;&gt;"",1,0),0)</f>
        <v>0</v>
      </c>
      <c r="M3138">
        <f>IFERROR(IF(VLOOKUP(calendar[[#This Row],[Date]],BH!C:C,1,)&lt;&gt;"",1,0),0)</f>
        <v>0</v>
      </c>
      <c r="N3138">
        <f>IFERROR(IF(VLOOKUP(calendar[[#This Row],[Date]],BH!E:E,1,)&lt;&gt;"",1,0),0)</f>
        <v>0</v>
      </c>
      <c r="O3138">
        <f>IFERROR(IF(VLOOKUP(calendar[[#This Row],[Date]],BH!G:G,1,)&lt;&gt;"",1,0),0)</f>
        <v>0</v>
      </c>
      <c r="P3138">
        <f>IF(OR(calendar[[#This Row],[UK_BH]]=1,calendar[[#This Row],[WeekDay]]=1, calendar[[#This Row],[WeekDay]]=7),P3137,P3137+1)</f>
        <v>2235</v>
      </c>
      <c r="Q3138">
        <f>IF(OR(calendar[[#This Row],[FR_BH]]=1,calendar[[#This Row],[WeekDay]]=1, calendar[[#This Row],[WeekDay]]=7),P3137,P3137+1)</f>
        <v>2235</v>
      </c>
      <c r="R3138">
        <f>IF(OR(calendar[[#This Row],[SP_BH]]=1,calendar[[#This Row],[WeekDay]]=1, calendar[[#This Row],[WeekDay]]=7),P3137,P3137+1)</f>
        <v>2235</v>
      </c>
      <c r="S3138">
        <f>IF(OR(calendar[[#This Row],[PT_BH]]=1,calendar[[#This Row],[WeekDay]]=1, calendar[[#This Row],[WeekDay]]=7),P3137,P3137+1)</f>
        <v>2235</v>
      </c>
    </row>
    <row r="3139" spans="1:19" x14ac:dyDescent="0.25">
      <c r="A3139" s="2">
        <v>45873</v>
      </c>
      <c r="B3139" s="1">
        <f t="shared" si="248"/>
        <v>32</v>
      </c>
      <c r="C3139">
        <f t="shared" si="245"/>
        <v>8</v>
      </c>
      <c r="D3139" t="str">
        <f t="shared" si="246"/>
        <v>August</v>
      </c>
      <c r="E3139">
        <f t="shared" si="247"/>
        <v>2025</v>
      </c>
      <c r="F3139" t="str">
        <f>CONCATENATE(calendar[[#This Row],[Month]],"/",calendar[[#This Row],[Year]])</f>
        <v>8/2025</v>
      </c>
      <c r="G3139">
        <f>WEEKDAY(calendar[[#This Row],[Date]],1)</f>
        <v>2</v>
      </c>
      <c r="H3139" t="str">
        <f>TEXT(calendar[[#This Row],[WeekDay]],"dddd")</f>
        <v>Monday</v>
      </c>
      <c r="I3139">
        <f>IF((INT(calendar[[#This Row],[Count]]/7)-calendar[[#This Row],[Count]]/7)&lt;0,I3138,I3138+1)</f>
        <v>449</v>
      </c>
      <c r="J3139">
        <f t="shared" ref="J3139:J3202" si="249">J3138+1</f>
        <v>3137</v>
      </c>
      <c r="K3139">
        <f>IF(calendar[[#This Row],[Month]]&lt;4,1,IF(calendar[[#This Row],[Month]]&lt;7,2,IF(calendar[[#This Row],[Month]]&lt;10,3,4)))</f>
        <v>3</v>
      </c>
      <c r="L3139">
        <f>IFERROR(IF(VLOOKUP(calendar[[#This Row],[Date]],BH!A:A,1,)&lt;&gt;"",1,0),0)</f>
        <v>0</v>
      </c>
      <c r="M3139">
        <f>IFERROR(IF(VLOOKUP(calendar[[#This Row],[Date]],BH!C:C,1,)&lt;&gt;"",1,0),0)</f>
        <v>0</v>
      </c>
      <c r="N3139">
        <f>IFERROR(IF(VLOOKUP(calendar[[#This Row],[Date]],BH!E:E,1,)&lt;&gt;"",1,0),0)</f>
        <v>0</v>
      </c>
      <c r="O3139">
        <f>IFERROR(IF(VLOOKUP(calendar[[#This Row],[Date]],BH!G:G,1,)&lt;&gt;"",1,0),0)</f>
        <v>0</v>
      </c>
      <c r="P3139">
        <f>IF(OR(calendar[[#This Row],[UK_BH]]=1,calendar[[#This Row],[WeekDay]]=1, calendar[[#This Row],[WeekDay]]=7),P3138,P3138+1)</f>
        <v>2236</v>
      </c>
      <c r="Q3139">
        <f>IF(OR(calendar[[#This Row],[FR_BH]]=1,calendar[[#This Row],[WeekDay]]=1, calendar[[#This Row],[WeekDay]]=7),P3138,P3138+1)</f>
        <v>2236</v>
      </c>
      <c r="R3139">
        <f>IF(OR(calendar[[#This Row],[SP_BH]]=1,calendar[[#This Row],[WeekDay]]=1, calendar[[#This Row],[WeekDay]]=7),P3138,P3138+1)</f>
        <v>2236</v>
      </c>
      <c r="S3139">
        <f>IF(OR(calendar[[#This Row],[PT_BH]]=1,calendar[[#This Row],[WeekDay]]=1, calendar[[#This Row],[WeekDay]]=7),P3138,P3138+1)</f>
        <v>2236</v>
      </c>
    </row>
    <row r="3140" spans="1:19" x14ac:dyDescent="0.25">
      <c r="A3140" s="2">
        <v>45874</v>
      </c>
      <c r="B3140" s="1">
        <f t="shared" si="248"/>
        <v>32</v>
      </c>
      <c r="C3140">
        <f t="shared" si="245"/>
        <v>8</v>
      </c>
      <c r="D3140" t="str">
        <f t="shared" si="246"/>
        <v>August</v>
      </c>
      <c r="E3140">
        <f t="shared" si="247"/>
        <v>2025</v>
      </c>
      <c r="F3140" t="str">
        <f>CONCATENATE(calendar[[#This Row],[Month]],"/",calendar[[#This Row],[Year]])</f>
        <v>8/2025</v>
      </c>
      <c r="G3140">
        <f>WEEKDAY(calendar[[#This Row],[Date]],1)</f>
        <v>3</v>
      </c>
      <c r="H3140" t="str">
        <f>TEXT(calendar[[#This Row],[WeekDay]],"dddd")</f>
        <v>Tuesday</v>
      </c>
      <c r="I3140">
        <f>IF((INT(calendar[[#This Row],[Count]]/7)-calendar[[#This Row],[Count]]/7)&lt;0,I3139,I3139+1)</f>
        <v>449</v>
      </c>
      <c r="J3140">
        <f t="shared" si="249"/>
        <v>3138</v>
      </c>
      <c r="K3140">
        <f>IF(calendar[[#This Row],[Month]]&lt;4,1,IF(calendar[[#This Row],[Month]]&lt;7,2,IF(calendar[[#This Row],[Month]]&lt;10,3,4)))</f>
        <v>3</v>
      </c>
      <c r="L3140">
        <f>IFERROR(IF(VLOOKUP(calendar[[#This Row],[Date]],BH!A:A,1,)&lt;&gt;"",1,0),0)</f>
        <v>0</v>
      </c>
      <c r="M3140">
        <f>IFERROR(IF(VLOOKUP(calendar[[#This Row],[Date]],BH!C:C,1,)&lt;&gt;"",1,0),0)</f>
        <v>0</v>
      </c>
      <c r="N3140">
        <f>IFERROR(IF(VLOOKUP(calendar[[#This Row],[Date]],BH!E:E,1,)&lt;&gt;"",1,0),0)</f>
        <v>0</v>
      </c>
      <c r="O3140">
        <f>IFERROR(IF(VLOOKUP(calendar[[#This Row],[Date]],BH!G:G,1,)&lt;&gt;"",1,0),0)</f>
        <v>0</v>
      </c>
      <c r="P3140">
        <f>IF(OR(calendar[[#This Row],[UK_BH]]=1,calendar[[#This Row],[WeekDay]]=1, calendar[[#This Row],[WeekDay]]=7),P3139,P3139+1)</f>
        <v>2237</v>
      </c>
      <c r="Q3140">
        <f>IF(OR(calendar[[#This Row],[FR_BH]]=1,calendar[[#This Row],[WeekDay]]=1, calendar[[#This Row],[WeekDay]]=7),P3139,P3139+1)</f>
        <v>2237</v>
      </c>
      <c r="R3140">
        <f>IF(OR(calendar[[#This Row],[SP_BH]]=1,calendar[[#This Row],[WeekDay]]=1, calendar[[#This Row],[WeekDay]]=7),P3139,P3139+1)</f>
        <v>2237</v>
      </c>
      <c r="S3140">
        <f>IF(OR(calendar[[#This Row],[PT_BH]]=1,calendar[[#This Row],[WeekDay]]=1, calendar[[#This Row],[WeekDay]]=7),P3139,P3139+1)</f>
        <v>2237</v>
      </c>
    </row>
    <row r="3141" spans="1:19" x14ac:dyDescent="0.25">
      <c r="A3141" s="2">
        <v>45875</v>
      </c>
      <c r="B3141" s="1">
        <f t="shared" si="248"/>
        <v>32</v>
      </c>
      <c r="C3141">
        <f t="shared" si="245"/>
        <v>8</v>
      </c>
      <c r="D3141" t="str">
        <f t="shared" si="246"/>
        <v>August</v>
      </c>
      <c r="E3141">
        <f t="shared" si="247"/>
        <v>2025</v>
      </c>
      <c r="F3141" t="str">
        <f>CONCATENATE(calendar[[#This Row],[Month]],"/",calendar[[#This Row],[Year]])</f>
        <v>8/2025</v>
      </c>
      <c r="G3141">
        <f>WEEKDAY(calendar[[#This Row],[Date]],1)</f>
        <v>4</v>
      </c>
      <c r="H3141" t="str">
        <f>TEXT(calendar[[#This Row],[WeekDay]],"dddd")</f>
        <v>Wednesday</v>
      </c>
      <c r="I3141">
        <f>IF((INT(calendar[[#This Row],[Count]]/7)-calendar[[#This Row],[Count]]/7)&lt;0,I3140,I3140+1)</f>
        <v>449</v>
      </c>
      <c r="J3141">
        <f t="shared" si="249"/>
        <v>3139</v>
      </c>
      <c r="K3141">
        <f>IF(calendar[[#This Row],[Month]]&lt;4,1,IF(calendar[[#This Row],[Month]]&lt;7,2,IF(calendar[[#This Row],[Month]]&lt;10,3,4)))</f>
        <v>3</v>
      </c>
      <c r="L3141">
        <f>IFERROR(IF(VLOOKUP(calendar[[#This Row],[Date]],BH!A:A,1,)&lt;&gt;"",1,0),0)</f>
        <v>0</v>
      </c>
      <c r="M3141">
        <f>IFERROR(IF(VLOOKUP(calendar[[#This Row],[Date]],BH!C:C,1,)&lt;&gt;"",1,0),0)</f>
        <v>0</v>
      </c>
      <c r="N3141">
        <f>IFERROR(IF(VLOOKUP(calendar[[#This Row],[Date]],BH!E:E,1,)&lt;&gt;"",1,0),0)</f>
        <v>0</v>
      </c>
      <c r="O3141">
        <f>IFERROR(IF(VLOOKUP(calendar[[#This Row],[Date]],BH!G:G,1,)&lt;&gt;"",1,0),0)</f>
        <v>0</v>
      </c>
      <c r="P3141">
        <f>IF(OR(calendar[[#This Row],[UK_BH]]=1,calendar[[#This Row],[WeekDay]]=1, calendar[[#This Row],[WeekDay]]=7),P3140,P3140+1)</f>
        <v>2238</v>
      </c>
      <c r="Q3141">
        <f>IF(OR(calendar[[#This Row],[FR_BH]]=1,calendar[[#This Row],[WeekDay]]=1, calendar[[#This Row],[WeekDay]]=7),P3140,P3140+1)</f>
        <v>2238</v>
      </c>
      <c r="R3141">
        <f>IF(OR(calendar[[#This Row],[SP_BH]]=1,calendar[[#This Row],[WeekDay]]=1, calendar[[#This Row],[WeekDay]]=7),P3140,P3140+1)</f>
        <v>2238</v>
      </c>
      <c r="S3141">
        <f>IF(OR(calendar[[#This Row],[PT_BH]]=1,calendar[[#This Row],[WeekDay]]=1, calendar[[#This Row],[WeekDay]]=7),P3140,P3140+1)</f>
        <v>2238</v>
      </c>
    </row>
    <row r="3142" spans="1:19" x14ac:dyDescent="0.25">
      <c r="A3142" s="2">
        <v>45876</v>
      </c>
      <c r="B3142" s="1">
        <f t="shared" si="248"/>
        <v>32</v>
      </c>
      <c r="C3142">
        <f t="shared" si="245"/>
        <v>8</v>
      </c>
      <c r="D3142" t="str">
        <f t="shared" si="246"/>
        <v>August</v>
      </c>
      <c r="E3142">
        <f t="shared" si="247"/>
        <v>2025</v>
      </c>
      <c r="F3142" t="str">
        <f>CONCATENATE(calendar[[#This Row],[Month]],"/",calendar[[#This Row],[Year]])</f>
        <v>8/2025</v>
      </c>
      <c r="G3142">
        <f>WEEKDAY(calendar[[#This Row],[Date]],1)</f>
        <v>5</v>
      </c>
      <c r="H3142" t="str">
        <f>TEXT(calendar[[#This Row],[WeekDay]],"dddd")</f>
        <v>Thursday</v>
      </c>
      <c r="I3142">
        <f>IF((INT(calendar[[#This Row],[Count]]/7)-calendar[[#This Row],[Count]]/7)&lt;0,I3141,I3141+1)</f>
        <v>449</v>
      </c>
      <c r="J3142">
        <f t="shared" si="249"/>
        <v>3140</v>
      </c>
      <c r="K3142">
        <f>IF(calendar[[#This Row],[Month]]&lt;4,1,IF(calendar[[#This Row],[Month]]&lt;7,2,IF(calendar[[#This Row],[Month]]&lt;10,3,4)))</f>
        <v>3</v>
      </c>
      <c r="L3142">
        <f>IFERROR(IF(VLOOKUP(calendar[[#This Row],[Date]],BH!A:A,1,)&lt;&gt;"",1,0),0)</f>
        <v>0</v>
      </c>
      <c r="M3142">
        <f>IFERROR(IF(VLOOKUP(calendar[[#This Row],[Date]],BH!C:C,1,)&lt;&gt;"",1,0),0)</f>
        <v>0</v>
      </c>
      <c r="N3142">
        <f>IFERROR(IF(VLOOKUP(calendar[[#This Row],[Date]],BH!E:E,1,)&lt;&gt;"",1,0),0)</f>
        <v>0</v>
      </c>
      <c r="O3142">
        <f>IFERROR(IF(VLOOKUP(calendar[[#This Row],[Date]],BH!G:G,1,)&lt;&gt;"",1,0),0)</f>
        <v>0</v>
      </c>
      <c r="P3142">
        <f>IF(OR(calendar[[#This Row],[UK_BH]]=1,calendar[[#This Row],[WeekDay]]=1, calendar[[#This Row],[WeekDay]]=7),P3141,P3141+1)</f>
        <v>2239</v>
      </c>
      <c r="Q3142">
        <f>IF(OR(calendar[[#This Row],[FR_BH]]=1,calendar[[#This Row],[WeekDay]]=1, calendar[[#This Row],[WeekDay]]=7),P3141,P3141+1)</f>
        <v>2239</v>
      </c>
      <c r="R3142">
        <f>IF(OR(calendar[[#This Row],[SP_BH]]=1,calendar[[#This Row],[WeekDay]]=1, calendar[[#This Row],[WeekDay]]=7),P3141,P3141+1)</f>
        <v>2239</v>
      </c>
      <c r="S3142">
        <f>IF(OR(calendar[[#This Row],[PT_BH]]=1,calendar[[#This Row],[WeekDay]]=1, calendar[[#This Row],[WeekDay]]=7),P3141,P3141+1)</f>
        <v>2239</v>
      </c>
    </row>
    <row r="3143" spans="1:19" x14ac:dyDescent="0.25">
      <c r="A3143" s="2">
        <v>45877</v>
      </c>
      <c r="B3143" s="1">
        <f t="shared" si="248"/>
        <v>32</v>
      </c>
      <c r="C3143">
        <f t="shared" si="245"/>
        <v>8</v>
      </c>
      <c r="D3143" t="str">
        <f t="shared" si="246"/>
        <v>August</v>
      </c>
      <c r="E3143">
        <f t="shared" si="247"/>
        <v>2025</v>
      </c>
      <c r="F3143" t="str">
        <f>CONCATENATE(calendar[[#This Row],[Month]],"/",calendar[[#This Row],[Year]])</f>
        <v>8/2025</v>
      </c>
      <c r="G3143">
        <f>WEEKDAY(calendar[[#This Row],[Date]],1)</f>
        <v>6</v>
      </c>
      <c r="H3143" t="str">
        <f>TEXT(calendar[[#This Row],[WeekDay]],"dddd")</f>
        <v>Friday</v>
      </c>
      <c r="I3143">
        <f>IF((INT(calendar[[#This Row],[Count]]/7)-calendar[[#This Row],[Count]]/7)&lt;0,I3142,I3142+1)</f>
        <v>449</v>
      </c>
      <c r="J3143">
        <f t="shared" si="249"/>
        <v>3141</v>
      </c>
      <c r="K3143">
        <f>IF(calendar[[#This Row],[Month]]&lt;4,1,IF(calendar[[#This Row],[Month]]&lt;7,2,IF(calendar[[#This Row],[Month]]&lt;10,3,4)))</f>
        <v>3</v>
      </c>
      <c r="L3143">
        <f>IFERROR(IF(VLOOKUP(calendar[[#This Row],[Date]],BH!A:A,1,)&lt;&gt;"",1,0),0)</f>
        <v>0</v>
      </c>
      <c r="M3143">
        <f>IFERROR(IF(VLOOKUP(calendar[[#This Row],[Date]],BH!C:C,1,)&lt;&gt;"",1,0),0)</f>
        <v>0</v>
      </c>
      <c r="N3143">
        <f>IFERROR(IF(VLOOKUP(calendar[[#This Row],[Date]],BH!E:E,1,)&lt;&gt;"",1,0),0)</f>
        <v>0</v>
      </c>
      <c r="O3143">
        <f>IFERROR(IF(VLOOKUP(calendar[[#This Row],[Date]],BH!G:G,1,)&lt;&gt;"",1,0),0)</f>
        <v>0</v>
      </c>
      <c r="P3143">
        <f>IF(OR(calendar[[#This Row],[UK_BH]]=1,calendar[[#This Row],[WeekDay]]=1, calendar[[#This Row],[WeekDay]]=7),P3142,P3142+1)</f>
        <v>2240</v>
      </c>
      <c r="Q3143">
        <f>IF(OR(calendar[[#This Row],[FR_BH]]=1,calendar[[#This Row],[WeekDay]]=1, calendar[[#This Row],[WeekDay]]=7),P3142,P3142+1)</f>
        <v>2240</v>
      </c>
      <c r="R3143">
        <f>IF(OR(calendar[[#This Row],[SP_BH]]=1,calendar[[#This Row],[WeekDay]]=1, calendar[[#This Row],[WeekDay]]=7),P3142,P3142+1)</f>
        <v>2240</v>
      </c>
      <c r="S3143">
        <f>IF(OR(calendar[[#This Row],[PT_BH]]=1,calendar[[#This Row],[WeekDay]]=1, calendar[[#This Row],[WeekDay]]=7),P3142,P3142+1)</f>
        <v>2240</v>
      </c>
    </row>
    <row r="3144" spans="1:19" x14ac:dyDescent="0.25">
      <c r="A3144" s="2">
        <v>45878</v>
      </c>
      <c r="B3144" s="1">
        <f t="shared" si="248"/>
        <v>32</v>
      </c>
      <c r="C3144">
        <f t="shared" si="245"/>
        <v>8</v>
      </c>
      <c r="D3144" t="str">
        <f t="shared" si="246"/>
        <v>August</v>
      </c>
      <c r="E3144">
        <f t="shared" si="247"/>
        <v>2025</v>
      </c>
      <c r="F3144" t="str">
        <f>CONCATENATE(calendar[[#This Row],[Month]],"/",calendar[[#This Row],[Year]])</f>
        <v>8/2025</v>
      </c>
      <c r="G3144">
        <f>WEEKDAY(calendar[[#This Row],[Date]],1)</f>
        <v>7</v>
      </c>
      <c r="H3144" t="str">
        <f>TEXT(calendar[[#This Row],[WeekDay]],"dddd")</f>
        <v>Saturday</v>
      </c>
      <c r="I3144">
        <f>IF((INT(calendar[[#This Row],[Count]]/7)-calendar[[#This Row],[Count]]/7)&lt;0,I3143,I3143+1)</f>
        <v>449</v>
      </c>
      <c r="J3144">
        <f t="shared" si="249"/>
        <v>3142</v>
      </c>
      <c r="K3144">
        <f>IF(calendar[[#This Row],[Month]]&lt;4,1,IF(calendar[[#This Row],[Month]]&lt;7,2,IF(calendar[[#This Row],[Month]]&lt;10,3,4)))</f>
        <v>3</v>
      </c>
      <c r="L3144">
        <f>IFERROR(IF(VLOOKUP(calendar[[#This Row],[Date]],BH!A:A,1,)&lt;&gt;"",1,0),0)</f>
        <v>0</v>
      </c>
      <c r="M3144">
        <f>IFERROR(IF(VLOOKUP(calendar[[#This Row],[Date]],BH!C:C,1,)&lt;&gt;"",1,0),0)</f>
        <v>0</v>
      </c>
      <c r="N3144">
        <f>IFERROR(IF(VLOOKUP(calendar[[#This Row],[Date]],BH!E:E,1,)&lt;&gt;"",1,0),0)</f>
        <v>0</v>
      </c>
      <c r="O3144">
        <f>IFERROR(IF(VLOOKUP(calendar[[#This Row],[Date]],BH!G:G,1,)&lt;&gt;"",1,0),0)</f>
        <v>0</v>
      </c>
      <c r="P3144">
        <f>IF(OR(calendar[[#This Row],[UK_BH]]=1,calendar[[#This Row],[WeekDay]]=1, calendar[[#This Row],[WeekDay]]=7),P3143,P3143+1)</f>
        <v>2240</v>
      </c>
      <c r="Q3144">
        <f>IF(OR(calendar[[#This Row],[FR_BH]]=1,calendar[[#This Row],[WeekDay]]=1, calendar[[#This Row],[WeekDay]]=7),P3143,P3143+1)</f>
        <v>2240</v>
      </c>
      <c r="R3144">
        <f>IF(OR(calendar[[#This Row],[SP_BH]]=1,calendar[[#This Row],[WeekDay]]=1, calendar[[#This Row],[WeekDay]]=7),P3143,P3143+1)</f>
        <v>2240</v>
      </c>
      <c r="S3144">
        <f>IF(OR(calendar[[#This Row],[PT_BH]]=1,calendar[[#This Row],[WeekDay]]=1, calendar[[#This Row],[WeekDay]]=7),P3143,P3143+1)</f>
        <v>2240</v>
      </c>
    </row>
    <row r="3145" spans="1:19" x14ac:dyDescent="0.25">
      <c r="A3145" s="2">
        <v>45879</v>
      </c>
      <c r="B3145" s="1">
        <f t="shared" si="248"/>
        <v>33</v>
      </c>
      <c r="C3145">
        <f t="shared" si="245"/>
        <v>8</v>
      </c>
      <c r="D3145" t="str">
        <f t="shared" si="246"/>
        <v>August</v>
      </c>
      <c r="E3145">
        <f t="shared" si="247"/>
        <v>2025</v>
      </c>
      <c r="F3145" t="str">
        <f>CONCATENATE(calendar[[#This Row],[Month]],"/",calendar[[#This Row],[Year]])</f>
        <v>8/2025</v>
      </c>
      <c r="G3145">
        <f>WEEKDAY(calendar[[#This Row],[Date]],1)</f>
        <v>1</v>
      </c>
      <c r="H3145" t="str">
        <f>TEXT(calendar[[#This Row],[WeekDay]],"dddd")</f>
        <v>Sunday</v>
      </c>
      <c r="I3145">
        <f>IF((INT(calendar[[#This Row],[Count]]/7)-calendar[[#This Row],[Count]]/7)&lt;0,I3144,I3144+1)</f>
        <v>450</v>
      </c>
      <c r="J3145">
        <f t="shared" si="249"/>
        <v>3143</v>
      </c>
      <c r="K3145">
        <f>IF(calendar[[#This Row],[Month]]&lt;4,1,IF(calendar[[#This Row],[Month]]&lt;7,2,IF(calendar[[#This Row],[Month]]&lt;10,3,4)))</f>
        <v>3</v>
      </c>
      <c r="L3145">
        <f>IFERROR(IF(VLOOKUP(calendar[[#This Row],[Date]],BH!A:A,1,)&lt;&gt;"",1,0),0)</f>
        <v>0</v>
      </c>
      <c r="M3145">
        <f>IFERROR(IF(VLOOKUP(calendar[[#This Row],[Date]],BH!C:C,1,)&lt;&gt;"",1,0),0)</f>
        <v>0</v>
      </c>
      <c r="N3145">
        <f>IFERROR(IF(VLOOKUP(calendar[[#This Row],[Date]],BH!E:E,1,)&lt;&gt;"",1,0),0)</f>
        <v>0</v>
      </c>
      <c r="O3145">
        <f>IFERROR(IF(VLOOKUP(calendar[[#This Row],[Date]],BH!G:G,1,)&lt;&gt;"",1,0),0)</f>
        <v>0</v>
      </c>
      <c r="P3145">
        <f>IF(OR(calendar[[#This Row],[UK_BH]]=1,calendar[[#This Row],[WeekDay]]=1, calendar[[#This Row],[WeekDay]]=7),P3144,P3144+1)</f>
        <v>2240</v>
      </c>
      <c r="Q3145">
        <f>IF(OR(calendar[[#This Row],[FR_BH]]=1,calendar[[#This Row],[WeekDay]]=1, calendar[[#This Row],[WeekDay]]=7),P3144,P3144+1)</f>
        <v>2240</v>
      </c>
      <c r="R3145">
        <f>IF(OR(calendar[[#This Row],[SP_BH]]=1,calendar[[#This Row],[WeekDay]]=1, calendar[[#This Row],[WeekDay]]=7),P3144,P3144+1)</f>
        <v>2240</v>
      </c>
      <c r="S3145">
        <f>IF(OR(calendar[[#This Row],[PT_BH]]=1,calendar[[#This Row],[WeekDay]]=1, calendar[[#This Row],[WeekDay]]=7),P3144,P3144+1)</f>
        <v>2240</v>
      </c>
    </row>
    <row r="3146" spans="1:19" x14ac:dyDescent="0.25">
      <c r="A3146" s="2">
        <v>45880</v>
      </c>
      <c r="B3146" s="1">
        <f t="shared" si="248"/>
        <v>33</v>
      </c>
      <c r="C3146">
        <f t="shared" si="245"/>
        <v>8</v>
      </c>
      <c r="D3146" t="str">
        <f t="shared" si="246"/>
        <v>August</v>
      </c>
      <c r="E3146">
        <f t="shared" si="247"/>
        <v>2025</v>
      </c>
      <c r="F3146" t="str">
        <f>CONCATENATE(calendar[[#This Row],[Month]],"/",calendar[[#This Row],[Year]])</f>
        <v>8/2025</v>
      </c>
      <c r="G3146">
        <f>WEEKDAY(calendar[[#This Row],[Date]],1)</f>
        <v>2</v>
      </c>
      <c r="H3146" t="str">
        <f>TEXT(calendar[[#This Row],[WeekDay]],"dddd")</f>
        <v>Monday</v>
      </c>
      <c r="I3146">
        <f>IF((INT(calendar[[#This Row],[Count]]/7)-calendar[[#This Row],[Count]]/7)&lt;0,I3145,I3145+1)</f>
        <v>450</v>
      </c>
      <c r="J3146">
        <f t="shared" si="249"/>
        <v>3144</v>
      </c>
      <c r="K3146">
        <f>IF(calendar[[#This Row],[Month]]&lt;4,1,IF(calendar[[#This Row],[Month]]&lt;7,2,IF(calendar[[#This Row],[Month]]&lt;10,3,4)))</f>
        <v>3</v>
      </c>
      <c r="L3146">
        <f>IFERROR(IF(VLOOKUP(calendar[[#This Row],[Date]],BH!A:A,1,)&lt;&gt;"",1,0),0)</f>
        <v>0</v>
      </c>
      <c r="M3146">
        <f>IFERROR(IF(VLOOKUP(calendar[[#This Row],[Date]],BH!C:C,1,)&lt;&gt;"",1,0),0)</f>
        <v>0</v>
      </c>
      <c r="N3146">
        <f>IFERROR(IF(VLOOKUP(calendar[[#This Row],[Date]],BH!E:E,1,)&lt;&gt;"",1,0),0)</f>
        <v>0</v>
      </c>
      <c r="O3146">
        <f>IFERROR(IF(VLOOKUP(calendar[[#This Row],[Date]],BH!G:G,1,)&lt;&gt;"",1,0),0)</f>
        <v>0</v>
      </c>
      <c r="P3146">
        <f>IF(OR(calendar[[#This Row],[UK_BH]]=1,calendar[[#This Row],[WeekDay]]=1, calendar[[#This Row],[WeekDay]]=7),P3145,P3145+1)</f>
        <v>2241</v>
      </c>
      <c r="Q3146">
        <f>IF(OR(calendar[[#This Row],[FR_BH]]=1,calendar[[#This Row],[WeekDay]]=1, calendar[[#This Row],[WeekDay]]=7),P3145,P3145+1)</f>
        <v>2241</v>
      </c>
      <c r="R3146">
        <f>IF(OR(calendar[[#This Row],[SP_BH]]=1,calendar[[#This Row],[WeekDay]]=1, calendar[[#This Row],[WeekDay]]=7),P3145,P3145+1)</f>
        <v>2241</v>
      </c>
      <c r="S3146">
        <f>IF(OR(calendar[[#This Row],[PT_BH]]=1,calendar[[#This Row],[WeekDay]]=1, calendar[[#This Row],[WeekDay]]=7),P3145,P3145+1)</f>
        <v>2241</v>
      </c>
    </row>
    <row r="3147" spans="1:19" x14ac:dyDescent="0.25">
      <c r="A3147" s="2">
        <v>45881</v>
      </c>
      <c r="B3147" s="1">
        <f t="shared" si="248"/>
        <v>33</v>
      </c>
      <c r="C3147">
        <f t="shared" si="245"/>
        <v>8</v>
      </c>
      <c r="D3147" t="str">
        <f t="shared" si="246"/>
        <v>August</v>
      </c>
      <c r="E3147">
        <f t="shared" si="247"/>
        <v>2025</v>
      </c>
      <c r="F3147" t="str">
        <f>CONCATENATE(calendar[[#This Row],[Month]],"/",calendar[[#This Row],[Year]])</f>
        <v>8/2025</v>
      </c>
      <c r="G3147">
        <f>WEEKDAY(calendar[[#This Row],[Date]],1)</f>
        <v>3</v>
      </c>
      <c r="H3147" t="str">
        <f>TEXT(calendar[[#This Row],[WeekDay]],"dddd")</f>
        <v>Tuesday</v>
      </c>
      <c r="I3147">
        <f>IF((INT(calendar[[#This Row],[Count]]/7)-calendar[[#This Row],[Count]]/7)&lt;0,I3146,I3146+1)</f>
        <v>450</v>
      </c>
      <c r="J3147">
        <f t="shared" si="249"/>
        <v>3145</v>
      </c>
      <c r="K3147">
        <f>IF(calendar[[#This Row],[Month]]&lt;4,1,IF(calendar[[#This Row],[Month]]&lt;7,2,IF(calendar[[#This Row],[Month]]&lt;10,3,4)))</f>
        <v>3</v>
      </c>
      <c r="L3147">
        <f>IFERROR(IF(VLOOKUP(calendar[[#This Row],[Date]],BH!A:A,1,)&lt;&gt;"",1,0),0)</f>
        <v>0</v>
      </c>
      <c r="M3147">
        <f>IFERROR(IF(VLOOKUP(calendar[[#This Row],[Date]],BH!C:C,1,)&lt;&gt;"",1,0),0)</f>
        <v>0</v>
      </c>
      <c r="N3147">
        <f>IFERROR(IF(VLOOKUP(calendar[[#This Row],[Date]],BH!E:E,1,)&lt;&gt;"",1,0),0)</f>
        <v>0</v>
      </c>
      <c r="O3147">
        <f>IFERROR(IF(VLOOKUP(calendar[[#This Row],[Date]],BH!G:G,1,)&lt;&gt;"",1,0),0)</f>
        <v>0</v>
      </c>
      <c r="P3147">
        <f>IF(OR(calendar[[#This Row],[UK_BH]]=1,calendar[[#This Row],[WeekDay]]=1, calendar[[#This Row],[WeekDay]]=7),P3146,P3146+1)</f>
        <v>2242</v>
      </c>
      <c r="Q3147">
        <f>IF(OR(calendar[[#This Row],[FR_BH]]=1,calendar[[#This Row],[WeekDay]]=1, calendar[[#This Row],[WeekDay]]=7),P3146,P3146+1)</f>
        <v>2242</v>
      </c>
      <c r="R3147">
        <f>IF(OR(calendar[[#This Row],[SP_BH]]=1,calendar[[#This Row],[WeekDay]]=1, calendar[[#This Row],[WeekDay]]=7),P3146,P3146+1)</f>
        <v>2242</v>
      </c>
      <c r="S3147">
        <f>IF(OR(calendar[[#This Row],[PT_BH]]=1,calendar[[#This Row],[WeekDay]]=1, calendar[[#This Row],[WeekDay]]=7),P3146,P3146+1)</f>
        <v>2242</v>
      </c>
    </row>
    <row r="3148" spans="1:19" x14ac:dyDescent="0.25">
      <c r="A3148" s="2">
        <v>45882</v>
      </c>
      <c r="B3148" s="1">
        <f t="shared" si="248"/>
        <v>33</v>
      </c>
      <c r="C3148">
        <f t="shared" si="245"/>
        <v>8</v>
      </c>
      <c r="D3148" t="str">
        <f t="shared" si="246"/>
        <v>August</v>
      </c>
      <c r="E3148">
        <f t="shared" si="247"/>
        <v>2025</v>
      </c>
      <c r="F3148" t="str">
        <f>CONCATENATE(calendar[[#This Row],[Month]],"/",calendar[[#This Row],[Year]])</f>
        <v>8/2025</v>
      </c>
      <c r="G3148">
        <f>WEEKDAY(calendar[[#This Row],[Date]],1)</f>
        <v>4</v>
      </c>
      <c r="H3148" t="str">
        <f>TEXT(calendar[[#This Row],[WeekDay]],"dddd")</f>
        <v>Wednesday</v>
      </c>
      <c r="I3148">
        <f>IF((INT(calendar[[#This Row],[Count]]/7)-calendar[[#This Row],[Count]]/7)&lt;0,I3147,I3147+1)</f>
        <v>450</v>
      </c>
      <c r="J3148">
        <f t="shared" si="249"/>
        <v>3146</v>
      </c>
      <c r="K3148">
        <f>IF(calendar[[#This Row],[Month]]&lt;4,1,IF(calendar[[#This Row],[Month]]&lt;7,2,IF(calendar[[#This Row],[Month]]&lt;10,3,4)))</f>
        <v>3</v>
      </c>
      <c r="L3148">
        <f>IFERROR(IF(VLOOKUP(calendar[[#This Row],[Date]],BH!A:A,1,)&lt;&gt;"",1,0),0)</f>
        <v>0</v>
      </c>
      <c r="M3148">
        <f>IFERROR(IF(VLOOKUP(calendar[[#This Row],[Date]],BH!C:C,1,)&lt;&gt;"",1,0),0)</f>
        <v>0</v>
      </c>
      <c r="N3148">
        <f>IFERROR(IF(VLOOKUP(calendar[[#This Row],[Date]],BH!E:E,1,)&lt;&gt;"",1,0),0)</f>
        <v>0</v>
      </c>
      <c r="O3148">
        <f>IFERROR(IF(VLOOKUP(calendar[[#This Row],[Date]],BH!G:G,1,)&lt;&gt;"",1,0),0)</f>
        <v>0</v>
      </c>
      <c r="P3148">
        <f>IF(OR(calendar[[#This Row],[UK_BH]]=1,calendar[[#This Row],[WeekDay]]=1, calendar[[#This Row],[WeekDay]]=7),P3147,P3147+1)</f>
        <v>2243</v>
      </c>
      <c r="Q3148">
        <f>IF(OR(calendar[[#This Row],[FR_BH]]=1,calendar[[#This Row],[WeekDay]]=1, calendar[[#This Row],[WeekDay]]=7),P3147,P3147+1)</f>
        <v>2243</v>
      </c>
      <c r="R3148">
        <f>IF(OR(calendar[[#This Row],[SP_BH]]=1,calendar[[#This Row],[WeekDay]]=1, calendar[[#This Row],[WeekDay]]=7),P3147,P3147+1)</f>
        <v>2243</v>
      </c>
      <c r="S3148">
        <f>IF(OR(calendar[[#This Row],[PT_BH]]=1,calendar[[#This Row],[WeekDay]]=1, calendar[[#This Row],[WeekDay]]=7),P3147,P3147+1)</f>
        <v>2243</v>
      </c>
    </row>
    <row r="3149" spans="1:19" x14ac:dyDescent="0.25">
      <c r="A3149" s="2">
        <v>45883</v>
      </c>
      <c r="B3149" s="1">
        <f t="shared" si="248"/>
        <v>33</v>
      </c>
      <c r="C3149">
        <f t="shared" si="245"/>
        <v>8</v>
      </c>
      <c r="D3149" t="str">
        <f t="shared" si="246"/>
        <v>August</v>
      </c>
      <c r="E3149">
        <f t="shared" si="247"/>
        <v>2025</v>
      </c>
      <c r="F3149" t="str">
        <f>CONCATENATE(calendar[[#This Row],[Month]],"/",calendar[[#This Row],[Year]])</f>
        <v>8/2025</v>
      </c>
      <c r="G3149">
        <f>WEEKDAY(calendar[[#This Row],[Date]],1)</f>
        <v>5</v>
      </c>
      <c r="H3149" t="str">
        <f>TEXT(calendar[[#This Row],[WeekDay]],"dddd")</f>
        <v>Thursday</v>
      </c>
      <c r="I3149">
        <f>IF((INT(calendar[[#This Row],[Count]]/7)-calendar[[#This Row],[Count]]/7)&lt;0,I3148,I3148+1)</f>
        <v>450</v>
      </c>
      <c r="J3149">
        <f t="shared" si="249"/>
        <v>3147</v>
      </c>
      <c r="K3149">
        <f>IF(calendar[[#This Row],[Month]]&lt;4,1,IF(calendar[[#This Row],[Month]]&lt;7,2,IF(calendar[[#This Row],[Month]]&lt;10,3,4)))</f>
        <v>3</v>
      </c>
      <c r="L3149">
        <f>IFERROR(IF(VLOOKUP(calendar[[#This Row],[Date]],BH!A:A,1,)&lt;&gt;"",1,0),0)</f>
        <v>0</v>
      </c>
      <c r="M3149">
        <f>IFERROR(IF(VLOOKUP(calendar[[#This Row],[Date]],BH!C:C,1,)&lt;&gt;"",1,0),0)</f>
        <v>0</v>
      </c>
      <c r="N3149">
        <f>IFERROR(IF(VLOOKUP(calendar[[#This Row],[Date]],BH!E:E,1,)&lt;&gt;"",1,0),0)</f>
        <v>0</v>
      </c>
      <c r="O3149">
        <f>IFERROR(IF(VLOOKUP(calendar[[#This Row],[Date]],BH!G:G,1,)&lt;&gt;"",1,0),0)</f>
        <v>0</v>
      </c>
      <c r="P3149">
        <f>IF(OR(calendar[[#This Row],[UK_BH]]=1,calendar[[#This Row],[WeekDay]]=1, calendar[[#This Row],[WeekDay]]=7),P3148,P3148+1)</f>
        <v>2244</v>
      </c>
      <c r="Q3149">
        <f>IF(OR(calendar[[#This Row],[FR_BH]]=1,calendar[[#This Row],[WeekDay]]=1, calendar[[#This Row],[WeekDay]]=7),P3148,P3148+1)</f>
        <v>2244</v>
      </c>
      <c r="R3149">
        <f>IF(OR(calendar[[#This Row],[SP_BH]]=1,calendar[[#This Row],[WeekDay]]=1, calendar[[#This Row],[WeekDay]]=7),P3148,P3148+1)</f>
        <v>2244</v>
      </c>
      <c r="S3149">
        <f>IF(OR(calendar[[#This Row],[PT_BH]]=1,calendar[[#This Row],[WeekDay]]=1, calendar[[#This Row],[WeekDay]]=7),P3148,P3148+1)</f>
        <v>2244</v>
      </c>
    </row>
    <row r="3150" spans="1:19" x14ac:dyDescent="0.25">
      <c r="A3150" s="2">
        <v>45884</v>
      </c>
      <c r="B3150" s="1">
        <f t="shared" si="248"/>
        <v>33</v>
      </c>
      <c r="C3150">
        <f t="shared" si="245"/>
        <v>8</v>
      </c>
      <c r="D3150" t="str">
        <f t="shared" si="246"/>
        <v>August</v>
      </c>
      <c r="E3150">
        <f t="shared" si="247"/>
        <v>2025</v>
      </c>
      <c r="F3150" t="str">
        <f>CONCATENATE(calendar[[#This Row],[Month]],"/",calendar[[#This Row],[Year]])</f>
        <v>8/2025</v>
      </c>
      <c r="G3150">
        <f>WEEKDAY(calendar[[#This Row],[Date]],1)</f>
        <v>6</v>
      </c>
      <c r="H3150" t="str">
        <f>TEXT(calendar[[#This Row],[WeekDay]],"dddd")</f>
        <v>Friday</v>
      </c>
      <c r="I3150">
        <f>IF((INT(calendar[[#This Row],[Count]]/7)-calendar[[#This Row],[Count]]/7)&lt;0,I3149,I3149+1)</f>
        <v>450</v>
      </c>
      <c r="J3150">
        <f t="shared" si="249"/>
        <v>3148</v>
      </c>
      <c r="K3150">
        <f>IF(calendar[[#This Row],[Month]]&lt;4,1,IF(calendar[[#This Row],[Month]]&lt;7,2,IF(calendar[[#This Row],[Month]]&lt;10,3,4)))</f>
        <v>3</v>
      </c>
      <c r="L3150">
        <f>IFERROR(IF(VLOOKUP(calendar[[#This Row],[Date]],BH!A:A,1,)&lt;&gt;"",1,0),0)</f>
        <v>0</v>
      </c>
      <c r="M3150">
        <f>IFERROR(IF(VLOOKUP(calendar[[#This Row],[Date]],BH!C:C,1,)&lt;&gt;"",1,0),0)</f>
        <v>1</v>
      </c>
      <c r="N3150">
        <f>IFERROR(IF(VLOOKUP(calendar[[#This Row],[Date]],BH!E:E,1,)&lt;&gt;"",1,0),0)</f>
        <v>1</v>
      </c>
      <c r="O3150">
        <f>IFERROR(IF(VLOOKUP(calendar[[#This Row],[Date]],BH!G:G,1,)&lt;&gt;"",1,0),0)</f>
        <v>1</v>
      </c>
      <c r="P3150">
        <f>IF(OR(calendar[[#This Row],[UK_BH]]=1,calendar[[#This Row],[WeekDay]]=1, calendar[[#This Row],[WeekDay]]=7),P3149,P3149+1)</f>
        <v>2245</v>
      </c>
      <c r="Q3150">
        <f>IF(OR(calendar[[#This Row],[FR_BH]]=1,calendar[[#This Row],[WeekDay]]=1, calendar[[#This Row],[WeekDay]]=7),P3149,P3149+1)</f>
        <v>2244</v>
      </c>
      <c r="R3150">
        <f>IF(OR(calendar[[#This Row],[SP_BH]]=1,calendar[[#This Row],[WeekDay]]=1, calendar[[#This Row],[WeekDay]]=7),P3149,P3149+1)</f>
        <v>2244</v>
      </c>
      <c r="S3150">
        <f>IF(OR(calendar[[#This Row],[PT_BH]]=1,calendar[[#This Row],[WeekDay]]=1, calendar[[#This Row],[WeekDay]]=7),P3149,P3149+1)</f>
        <v>2244</v>
      </c>
    </row>
    <row r="3151" spans="1:19" x14ac:dyDescent="0.25">
      <c r="A3151" s="2">
        <v>45885</v>
      </c>
      <c r="B3151" s="1">
        <f t="shared" si="248"/>
        <v>33</v>
      </c>
      <c r="C3151">
        <f t="shared" si="245"/>
        <v>8</v>
      </c>
      <c r="D3151" t="str">
        <f t="shared" si="246"/>
        <v>August</v>
      </c>
      <c r="E3151">
        <f t="shared" si="247"/>
        <v>2025</v>
      </c>
      <c r="F3151" t="str">
        <f>CONCATENATE(calendar[[#This Row],[Month]],"/",calendar[[#This Row],[Year]])</f>
        <v>8/2025</v>
      </c>
      <c r="G3151">
        <f>WEEKDAY(calendar[[#This Row],[Date]],1)</f>
        <v>7</v>
      </c>
      <c r="H3151" t="str">
        <f>TEXT(calendar[[#This Row],[WeekDay]],"dddd")</f>
        <v>Saturday</v>
      </c>
      <c r="I3151">
        <f>IF((INT(calendar[[#This Row],[Count]]/7)-calendar[[#This Row],[Count]]/7)&lt;0,I3150,I3150+1)</f>
        <v>450</v>
      </c>
      <c r="J3151">
        <f t="shared" si="249"/>
        <v>3149</v>
      </c>
      <c r="K3151">
        <f>IF(calendar[[#This Row],[Month]]&lt;4,1,IF(calendar[[#This Row],[Month]]&lt;7,2,IF(calendar[[#This Row],[Month]]&lt;10,3,4)))</f>
        <v>3</v>
      </c>
      <c r="L3151">
        <f>IFERROR(IF(VLOOKUP(calendar[[#This Row],[Date]],BH!A:A,1,)&lt;&gt;"",1,0),0)</f>
        <v>0</v>
      </c>
      <c r="M3151">
        <f>IFERROR(IF(VLOOKUP(calendar[[#This Row],[Date]],BH!C:C,1,)&lt;&gt;"",1,0),0)</f>
        <v>0</v>
      </c>
      <c r="N3151">
        <f>IFERROR(IF(VLOOKUP(calendar[[#This Row],[Date]],BH!E:E,1,)&lt;&gt;"",1,0),0)</f>
        <v>0</v>
      </c>
      <c r="O3151">
        <f>IFERROR(IF(VLOOKUP(calendar[[#This Row],[Date]],BH!G:G,1,)&lt;&gt;"",1,0),0)</f>
        <v>0</v>
      </c>
      <c r="P3151">
        <f>IF(OR(calendar[[#This Row],[UK_BH]]=1,calendar[[#This Row],[WeekDay]]=1, calendar[[#This Row],[WeekDay]]=7),P3150,P3150+1)</f>
        <v>2245</v>
      </c>
      <c r="Q3151">
        <f>IF(OR(calendar[[#This Row],[FR_BH]]=1,calendar[[#This Row],[WeekDay]]=1, calendar[[#This Row],[WeekDay]]=7),P3150,P3150+1)</f>
        <v>2245</v>
      </c>
      <c r="R3151">
        <f>IF(OR(calendar[[#This Row],[SP_BH]]=1,calendar[[#This Row],[WeekDay]]=1, calendar[[#This Row],[WeekDay]]=7),P3150,P3150+1)</f>
        <v>2245</v>
      </c>
      <c r="S3151">
        <f>IF(OR(calendar[[#This Row],[PT_BH]]=1,calendar[[#This Row],[WeekDay]]=1, calendar[[#This Row],[WeekDay]]=7),P3150,P3150+1)</f>
        <v>2245</v>
      </c>
    </row>
    <row r="3152" spans="1:19" x14ac:dyDescent="0.25">
      <c r="A3152" s="2">
        <v>45886</v>
      </c>
      <c r="B3152" s="1">
        <f t="shared" si="248"/>
        <v>34</v>
      </c>
      <c r="C3152">
        <f t="shared" ref="C3152:C3215" si="250">MONTH(A3152)</f>
        <v>8</v>
      </c>
      <c r="D3152" t="str">
        <f t="shared" ref="D3152:D3215" si="251">TEXT(A3152,"mmmm")</f>
        <v>August</v>
      </c>
      <c r="E3152">
        <f t="shared" ref="E3152:E3215" si="252">YEAR(A3152)</f>
        <v>2025</v>
      </c>
      <c r="F3152" t="str">
        <f>CONCATENATE(calendar[[#This Row],[Month]],"/",calendar[[#This Row],[Year]])</f>
        <v>8/2025</v>
      </c>
      <c r="G3152">
        <f>WEEKDAY(calendar[[#This Row],[Date]],1)</f>
        <v>1</v>
      </c>
      <c r="H3152" t="str">
        <f>TEXT(calendar[[#This Row],[WeekDay]],"dddd")</f>
        <v>Sunday</v>
      </c>
      <c r="I3152">
        <f>IF((INT(calendar[[#This Row],[Count]]/7)-calendar[[#This Row],[Count]]/7)&lt;0,I3151,I3151+1)</f>
        <v>451</v>
      </c>
      <c r="J3152">
        <f t="shared" si="249"/>
        <v>3150</v>
      </c>
      <c r="K3152">
        <f>IF(calendar[[#This Row],[Month]]&lt;4,1,IF(calendar[[#This Row],[Month]]&lt;7,2,IF(calendar[[#This Row],[Month]]&lt;10,3,4)))</f>
        <v>3</v>
      </c>
      <c r="L3152">
        <f>IFERROR(IF(VLOOKUP(calendar[[#This Row],[Date]],BH!A:A,1,)&lt;&gt;"",1,0),0)</f>
        <v>0</v>
      </c>
      <c r="M3152">
        <f>IFERROR(IF(VLOOKUP(calendar[[#This Row],[Date]],BH!C:C,1,)&lt;&gt;"",1,0),0)</f>
        <v>0</v>
      </c>
      <c r="N3152">
        <f>IFERROR(IF(VLOOKUP(calendar[[#This Row],[Date]],BH!E:E,1,)&lt;&gt;"",1,0),0)</f>
        <v>0</v>
      </c>
      <c r="O3152">
        <f>IFERROR(IF(VLOOKUP(calendar[[#This Row],[Date]],BH!G:G,1,)&lt;&gt;"",1,0),0)</f>
        <v>0</v>
      </c>
      <c r="P3152">
        <f>IF(OR(calendar[[#This Row],[UK_BH]]=1,calendar[[#This Row],[WeekDay]]=1, calendar[[#This Row],[WeekDay]]=7),P3151,P3151+1)</f>
        <v>2245</v>
      </c>
      <c r="Q3152">
        <f>IF(OR(calendar[[#This Row],[FR_BH]]=1,calendar[[#This Row],[WeekDay]]=1, calendar[[#This Row],[WeekDay]]=7),P3151,P3151+1)</f>
        <v>2245</v>
      </c>
      <c r="R3152">
        <f>IF(OR(calendar[[#This Row],[SP_BH]]=1,calendar[[#This Row],[WeekDay]]=1, calendar[[#This Row],[WeekDay]]=7),P3151,P3151+1)</f>
        <v>2245</v>
      </c>
      <c r="S3152">
        <f>IF(OR(calendar[[#This Row],[PT_BH]]=1,calendar[[#This Row],[WeekDay]]=1, calendar[[#This Row],[WeekDay]]=7),P3151,P3151+1)</f>
        <v>2245</v>
      </c>
    </row>
    <row r="3153" spans="1:19" x14ac:dyDescent="0.25">
      <c r="A3153" s="2">
        <v>45887</v>
      </c>
      <c r="B3153" s="1">
        <f t="shared" si="248"/>
        <v>34</v>
      </c>
      <c r="C3153">
        <f t="shared" si="250"/>
        <v>8</v>
      </c>
      <c r="D3153" t="str">
        <f t="shared" si="251"/>
        <v>August</v>
      </c>
      <c r="E3153">
        <f t="shared" si="252"/>
        <v>2025</v>
      </c>
      <c r="F3153" t="str">
        <f>CONCATENATE(calendar[[#This Row],[Month]],"/",calendar[[#This Row],[Year]])</f>
        <v>8/2025</v>
      </c>
      <c r="G3153">
        <f>WEEKDAY(calendar[[#This Row],[Date]],1)</f>
        <v>2</v>
      </c>
      <c r="H3153" t="str">
        <f>TEXT(calendar[[#This Row],[WeekDay]],"dddd")</f>
        <v>Monday</v>
      </c>
      <c r="I3153">
        <f>IF((INT(calendar[[#This Row],[Count]]/7)-calendar[[#This Row],[Count]]/7)&lt;0,I3152,I3152+1)</f>
        <v>451</v>
      </c>
      <c r="J3153">
        <f t="shared" si="249"/>
        <v>3151</v>
      </c>
      <c r="K3153">
        <f>IF(calendar[[#This Row],[Month]]&lt;4,1,IF(calendar[[#This Row],[Month]]&lt;7,2,IF(calendar[[#This Row],[Month]]&lt;10,3,4)))</f>
        <v>3</v>
      </c>
      <c r="L3153">
        <f>IFERROR(IF(VLOOKUP(calendar[[#This Row],[Date]],BH!A:A,1,)&lt;&gt;"",1,0),0)</f>
        <v>0</v>
      </c>
      <c r="M3153">
        <f>IFERROR(IF(VLOOKUP(calendar[[#This Row],[Date]],BH!C:C,1,)&lt;&gt;"",1,0),0)</f>
        <v>0</v>
      </c>
      <c r="N3153">
        <f>IFERROR(IF(VLOOKUP(calendar[[#This Row],[Date]],BH!E:E,1,)&lt;&gt;"",1,0),0)</f>
        <v>0</v>
      </c>
      <c r="O3153">
        <f>IFERROR(IF(VLOOKUP(calendar[[#This Row],[Date]],BH!G:G,1,)&lt;&gt;"",1,0),0)</f>
        <v>0</v>
      </c>
      <c r="P3153">
        <f>IF(OR(calendar[[#This Row],[UK_BH]]=1,calendar[[#This Row],[WeekDay]]=1, calendar[[#This Row],[WeekDay]]=7),P3152,P3152+1)</f>
        <v>2246</v>
      </c>
      <c r="Q3153">
        <f>IF(OR(calendar[[#This Row],[FR_BH]]=1,calendar[[#This Row],[WeekDay]]=1, calendar[[#This Row],[WeekDay]]=7),P3152,P3152+1)</f>
        <v>2246</v>
      </c>
      <c r="R3153">
        <f>IF(OR(calendar[[#This Row],[SP_BH]]=1,calendar[[#This Row],[WeekDay]]=1, calendar[[#This Row],[WeekDay]]=7),P3152,P3152+1)</f>
        <v>2246</v>
      </c>
      <c r="S3153">
        <f>IF(OR(calendar[[#This Row],[PT_BH]]=1,calendar[[#This Row],[WeekDay]]=1, calendar[[#This Row],[WeekDay]]=7),P3152,P3152+1)</f>
        <v>2246</v>
      </c>
    </row>
    <row r="3154" spans="1:19" x14ac:dyDescent="0.25">
      <c r="A3154" s="2">
        <v>45888</v>
      </c>
      <c r="B3154" s="1">
        <f t="shared" si="248"/>
        <v>34</v>
      </c>
      <c r="C3154">
        <f t="shared" si="250"/>
        <v>8</v>
      </c>
      <c r="D3154" t="str">
        <f t="shared" si="251"/>
        <v>August</v>
      </c>
      <c r="E3154">
        <f t="shared" si="252"/>
        <v>2025</v>
      </c>
      <c r="F3154" t="str">
        <f>CONCATENATE(calendar[[#This Row],[Month]],"/",calendar[[#This Row],[Year]])</f>
        <v>8/2025</v>
      </c>
      <c r="G3154">
        <f>WEEKDAY(calendar[[#This Row],[Date]],1)</f>
        <v>3</v>
      </c>
      <c r="H3154" t="str">
        <f>TEXT(calendar[[#This Row],[WeekDay]],"dddd")</f>
        <v>Tuesday</v>
      </c>
      <c r="I3154">
        <f>IF((INT(calendar[[#This Row],[Count]]/7)-calendar[[#This Row],[Count]]/7)&lt;0,I3153,I3153+1)</f>
        <v>451</v>
      </c>
      <c r="J3154">
        <f t="shared" si="249"/>
        <v>3152</v>
      </c>
      <c r="K3154">
        <f>IF(calendar[[#This Row],[Month]]&lt;4,1,IF(calendar[[#This Row],[Month]]&lt;7,2,IF(calendar[[#This Row],[Month]]&lt;10,3,4)))</f>
        <v>3</v>
      </c>
      <c r="L3154">
        <f>IFERROR(IF(VLOOKUP(calendar[[#This Row],[Date]],BH!A:A,1,)&lt;&gt;"",1,0),0)</f>
        <v>0</v>
      </c>
      <c r="M3154">
        <f>IFERROR(IF(VLOOKUP(calendar[[#This Row],[Date]],BH!C:C,1,)&lt;&gt;"",1,0),0)</f>
        <v>0</v>
      </c>
      <c r="N3154">
        <f>IFERROR(IF(VLOOKUP(calendar[[#This Row],[Date]],BH!E:E,1,)&lt;&gt;"",1,0),0)</f>
        <v>0</v>
      </c>
      <c r="O3154">
        <f>IFERROR(IF(VLOOKUP(calendar[[#This Row],[Date]],BH!G:G,1,)&lt;&gt;"",1,0),0)</f>
        <v>0</v>
      </c>
      <c r="P3154">
        <f>IF(OR(calendar[[#This Row],[UK_BH]]=1,calendar[[#This Row],[WeekDay]]=1, calendar[[#This Row],[WeekDay]]=7),P3153,P3153+1)</f>
        <v>2247</v>
      </c>
      <c r="Q3154">
        <f>IF(OR(calendar[[#This Row],[FR_BH]]=1,calendar[[#This Row],[WeekDay]]=1, calendar[[#This Row],[WeekDay]]=7),P3153,P3153+1)</f>
        <v>2247</v>
      </c>
      <c r="R3154">
        <f>IF(OR(calendar[[#This Row],[SP_BH]]=1,calendar[[#This Row],[WeekDay]]=1, calendar[[#This Row],[WeekDay]]=7),P3153,P3153+1)</f>
        <v>2247</v>
      </c>
      <c r="S3154">
        <f>IF(OR(calendar[[#This Row],[PT_BH]]=1,calendar[[#This Row],[WeekDay]]=1, calendar[[#This Row],[WeekDay]]=7),P3153,P3153+1)</f>
        <v>2247</v>
      </c>
    </row>
    <row r="3155" spans="1:19" x14ac:dyDescent="0.25">
      <c r="A3155" s="2">
        <v>45889</v>
      </c>
      <c r="B3155" s="1">
        <f t="shared" si="248"/>
        <v>34</v>
      </c>
      <c r="C3155">
        <f t="shared" si="250"/>
        <v>8</v>
      </c>
      <c r="D3155" t="str">
        <f t="shared" si="251"/>
        <v>August</v>
      </c>
      <c r="E3155">
        <f t="shared" si="252"/>
        <v>2025</v>
      </c>
      <c r="F3155" t="str">
        <f>CONCATENATE(calendar[[#This Row],[Month]],"/",calendar[[#This Row],[Year]])</f>
        <v>8/2025</v>
      </c>
      <c r="G3155">
        <f>WEEKDAY(calendar[[#This Row],[Date]],1)</f>
        <v>4</v>
      </c>
      <c r="H3155" t="str">
        <f>TEXT(calendar[[#This Row],[WeekDay]],"dddd")</f>
        <v>Wednesday</v>
      </c>
      <c r="I3155">
        <f>IF((INT(calendar[[#This Row],[Count]]/7)-calendar[[#This Row],[Count]]/7)&lt;0,I3154,I3154+1)</f>
        <v>451</v>
      </c>
      <c r="J3155">
        <f t="shared" si="249"/>
        <v>3153</v>
      </c>
      <c r="K3155">
        <f>IF(calendar[[#This Row],[Month]]&lt;4,1,IF(calendar[[#This Row],[Month]]&lt;7,2,IF(calendar[[#This Row],[Month]]&lt;10,3,4)))</f>
        <v>3</v>
      </c>
      <c r="L3155">
        <f>IFERROR(IF(VLOOKUP(calendar[[#This Row],[Date]],BH!A:A,1,)&lt;&gt;"",1,0),0)</f>
        <v>0</v>
      </c>
      <c r="M3155">
        <f>IFERROR(IF(VLOOKUP(calendar[[#This Row],[Date]],BH!C:C,1,)&lt;&gt;"",1,0),0)</f>
        <v>0</v>
      </c>
      <c r="N3155">
        <f>IFERROR(IF(VLOOKUP(calendar[[#This Row],[Date]],BH!E:E,1,)&lt;&gt;"",1,0),0)</f>
        <v>0</v>
      </c>
      <c r="O3155">
        <f>IFERROR(IF(VLOOKUP(calendar[[#This Row],[Date]],BH!G:G,1,)&lt;&gt;"",1,0),0)</f>
        <v>0</v>
      </c>
      <c r="P3155">
        <f>IF(OR(calendar[[#This Row],[UK_BH]]=1,calendar[[#This Row],[WeekDay]]=1, calendar[[#This Row],[WeekDay]]=7),P3154,P3154+1)</f>
        <v>2248</v>
      </c>
      <c r="Q3155">
        <f>IF(OR(calendar[[#This Row],[FR_BH]]=1,calendar[[#This Row],[WeekDay]]=1, calendar[[#This Row],[WeekDay]]=7),P3154,P3154+1)</f>
        <v>2248</v>
      </c>
      <c r="R3155">
        <f>IF(OR(calendar[[#This Row],[SP_BH]]=1,calendar[[#This Row],[WeekDay]]=1, calendar[[#This Row],[WeekDay]]=7),P3154,P3154+1)</f>
        <v>2248</v>
      </c>
      <c r="S3155">
        <f>IF(OR(calendar[[#This Row],[PT_BH]]=1,calendar[[#This Row],[WeekDay]]=1, calendar[[#This Row],[WeekDay]]=7),P3154,P3154+1)</f>
        <v>2248</v>
      </c>
    </row>
    <row r="3156" spans="1:19" x14ac:dyDescent="0.25">
      <c r="A3156" s="2">
        <v>45890</v>
      </c>
      <c r="B3156" s="1">
        <f t="shared" si="248"/>
        <v>34</v>
      </c>
      <c r="C3156">
        <f t="shared" si="250"/>
        <v>8</v>
      </c>
      <c r="D3156" t="str">
        <f t="shared" si="251"/>
        <v>August</v>
      </c>
      <c r="E3156">
        <f t="shared" si="252"/>
        <v>2025</v>
      </c>
      <c r="F3156" t="str">
        <f>CONCATENATE(calendar[[#This Row],[Month]],"/",calendar[[#This Row],[Year]])</f>
        <v>8/2025</v>
      </c>
      <c r="G3156">
        <f>WEEKDAY(calendar[[#This Row],[Date]],1)</f>
        <v>5</v>
      </c>
      <c r="H3156" t="str">
        <f>TEXT(calendar[[#This Row],[WeekDay]],"dddd")</f>
        <v>Thursday</v>
      </c>
      <c r="I3156">
        <f>IF((INT(calendar[[#This Row],[Count]]/7)-calendar[[#This Row],[Count]]/7)&lt;0,I3155,I3155+1)</f>
        <v>451</v>
      </c>
      <c r="J3156">
        <f t="shared" si="249"/>
        <v>3154</v>
      </c>
      <c r="K3156">
        <f>IF(calendar[[#This Row],[Month]]&lt;4,1,IF(calendar[[#This Row],[Month]]&lt;7,2,IF(calendar[[#This Row],[Month]]&lt;10,3,4)))</f>
        <v>3</v>
      </c>
      <c r="L3156">
        <f>IFERROR(IF(VLOOKUP(calendar[[#This Row],[Date]],BH!A:A,1,)&lt;&gt;"",1,0),0)</f>
        <v>0</v>
      </c>
      <c r="M3156">
        <f>IFERROR(IF(VLOOKUP(calendar[[#This Row],[Date]],BH!C:C,1,)&lt;&gt;"",1,0),0)</f>
        <v>0</v>
      </c>
      <c r="N3156">
        <f>IFERROR(IF(VLOOKUP(calendar[[#This Row],[Date]],BH!E:E,1,)&lt;&gt;"",1,0),0)</f>
        <v>0</v>
      </c>
      <c r="O3156">
        <f>IFERROR(IF(VLOOKUP(calendar[[#This Row],[Date]],BH!G:G,1,)&lt;&gt;"",1,0),0)</f>
        <v>0</v>
      </c>
      <c r="P3156">
        <f>IF(OR(calendar[[#This Row],[UK_BH]]=1,calendar[[#This Row],[WeekDay]]=1, calendar[[#This Row],[WeekDay]]=7),P3155,P3155+1)</f>
        <v>2249</v>
      </c>
      <c r="Q3156">
        <f>IF(OR(calendar[[#This Row],[FR_BH]]=1,calendar[[#This Row],[WeekDay]]=1, calendar[[#This Row],[WeekDay]]=7),P3155,P3155+1)</f>
        <v>2249</v>
      </c>
      <c r="R3156">
        <f>IF(OR(calendar[[#This Row],[SP_BH]]=1,calendar[[#This Row],[WeekDay]]=1, calendar[[#This Row],[WeekDay]]=7),P3155,P3155+1)</f>
        <v>2249</v>
      </c>
      <c r="S3156">
        <f>IF(OR(calendar[[#This Row],[PT_BH]]=1,calendar[[#This Row],[WeekDay]]=1, calendar[[#This Row],[WeekDay]]=7),P3155,P3155+1)</f>
        <v>2249</v>
      </c>
    </row>
    <row r="3157" spans="1:19" x14ac:dyDescent="0.25">
      <c r="A3157" s="2">
        <v>45891</v>
      </c>
      <c r="B3157" s="1">
        <f t="shared" si="248"/>
        <v>34</v>
      </c>
      <c r="C3157">
        <f t="shared" si="250"/>
        <v>8</v>
      </c>
      <c r="D3157" t="str">
        <f t="shared" si="251"/>
        <v>August</v>
      </c>
      <c r="E3157">
        <f t="shared" si="252"/>
        <v>2025</v>
      </c>
      <c r="F3157" t="str">
        <f>CONCATENATE(calendar[[#This Row],[Month]],"/",calendar[[#This Row],[Year]])</f>
        <v>8/2025</v>
      </c>
      <c r="G3157">
        <f>WEEKDAY(calendar[[#This Row],[Date]],1)</f>
        <v>6</v>
      </c>
      <c r="H3157" t="str">
        <f>TEXT(calendar[[#This Row],[WeekDay]],"dddd")</f>
        <v>Friday</v>
      </c>
      <c r="I3157">
        <f>IF((INT(calendar[[#This Row],[Count]]/7)-calendar[[#This Row],[Count]]/7)&lt;0,I3156,I3156+1)</f>
        <v>451</v>
      </c>
      <c r="J3157">
        <f t="shared" si="249"/>
        <v>3155</v>
      </c>
      <c r="K3157">
        <f>IF(calendar[[#This Row],[Month]]&lt;4,1,IF(calendar[[#This Row],[Month]]&lt;7,2,IF(calendar[[#This Row],[Month]]&lt;10,3,4)))</f>
        <v>3</v>
      </c>
      <c r="L3157">
        <f>IFERROR(IF(VLOOKUP(calendar[[#This Row],[Date]],BH!A:A,1,)&lt;&gt;"",1,0),0)</f>
        <v>0</v>
      </c>
      <c r="M3157">
        <f>IFERROR(IF(VLOOKUP(calendar[[#This Row],[Date]],BH!C:C,1,)&lt;&gt;"",1,0),0)</f>
        <v>0</v>
      </c>
      <c r="N3157">
        <f>IFERROR(IF(VLOOKUP(calendar[[#This Row],[Date]],BH!E:E,1,)&lt;&gt;"",1,0),0)</f>
        <v>0</v>
      </c>
      <c r="O3157">
        <f>IFERROR(IF(VLOOKUP(calendar[[#This Row],[Date]],BH!G:G,1,)&lt;&gt;"",1,0),0)</f>
        <v>0</v>
      </c>
      <c r="P3157">
        <f>IF(OR(calendar[[#This Row],[UK_BH]]=1,calendar[[#This Row],[WeekDay]]=1, calendar[[#This Row],[WeekDay]]=7),P3156,P3156+1)</f>
        <v>2250</v>
      </c>
      <c r="Q3157">
        <f>IF(OR(calendar[[#This Row],[FR_BH]]=1,calendar[[#This Row],[WeekDay]]=1, calendar[[#This Row],[WeekDay]]=7),P3156,P3156+1)</f>
        <v>2250</v>
      </c>
      <c r="R3157">
        <f>IF(OR(calendar[[#This Row],[SP_BH]]=1,calendar[[#This Row],[WeekDay]]=1, calendar[[#This Row],[WeekDay]]=7),P3156,P3156+1)</f>
        <v>2250</v>
      </c>
      <c r="S3157">
        <f>IF(OR(calendar[[#This Row],[PT_BH]]=1,calendar[[#This Row],[WeekDay]]=1, calendar[[#This Row],[WeekDay]]=7),P3156,P3156+1)</f>
        <v>2250</v>
      </c>
    </row>
    <row r="3158" spans="1:19" x14ac:dyDescent="0.25">
      <c r="A3158" s="2">
        <v>45892</v>
      </c>
      <c r="B3158" s="1">
        <f t="shared" si="248"/>
        <v>34</v>
      </c>
      <c r="C3158">
        <f t="shared" si="250"/>
        <v>8</v>
      </c>
      <c r="D3158" t="str">
        <f t="shared" si="251"/>
        <v>August</v>
      </c>
      <c r="E3158">
        <f t="shared" si="252"/>
        <v>2025</v>
      </c>
      <c r="F3158" t="str">
        <f>CONCATENATE(calendar[[#This Row],[Month]],"/",calendar[[#This Row],[Year]])</f>
        <v>8/2025</v>
      </c>
      <c r="G3158">
        <f>WEEKDAY(calendar[[#This Row],[Date]],1)</f>
        <v>7</v>
      </c>
      <c r="H3158" t="str">
        <f>TEXT(calendar[[#This Row],[WeekDay]],"dddd")</f>
        <v>Saturday</v>
      </c>
      <c r="I3158">
        <f>IF((INT(calendar[[#This Row],[Count]]/7)-calendar[[#This Row],[Count]]/7)&lt;0,I3157,I3157+1)</f>
        <v>451</v>
      </c>
      <c r="J3158">
        <f t="shared" si="249"/>
        <v>3156</v>
      </c>
      <c r="K3158">
        <f>IF(calendar[[#This Row],[Month]]&lt;4,1,IF(calendar[[#This Row],[Month]]&lt;7,2,IF(calendar[[#This Row],[Month]]&lt;10,3,4)))</f>
        <v>3</v>
      </c>
      <c r="L3158">
        <f>IFERROR(IF(VLOOKUP(calendar[[#This Row],[Date]],BH!A:A,1,)&lt;&gt;"",1,0),0)</f>
        <v>0</v>
      </c>
      <c r="M3158">
        <f>IFERROR(IF(VLOOKUP(calendar[[#This Row],[Date]],BH!C:C,1,)&lt;&gt;"",1,0),0)</f>
        <v>0</v>
      </c>
      <c r="N3158">
        <f>IFERROR(IF(VLOOKUP(calendar[[#This Row],[Date]],BH!E:E,1,)&lt;&gt;"",1,0),0)</f>
        <v>0</v>
      </c>
      <c r="O3158">
        <f>IFERROR(IF(VLOOKUP(calendar[[#This Row],[Date]],BH!G:G,1,)&lt;&gt;"",1,0),0)</f>
        <v>0</v>
      </c>
      <c r="P3158">
        <f>IF(OR(calendar[[#This Row],[UK_BH]]=1,calendar[[#This Row],[WeekDay]]=1, calendar[[#This Row],[WeekDay]]=7),P3157,P3157+1)</f>
        <v>2250</v>
      </c>
      <c r="Q3158">
        <f>IF(OR(calendar[[#This Row],[FR_BH]]=1,calendar[[#This Row],[WeekDay]]=1, calendar[[#This Row],[WeekDay]]=7),P3157,P3157+1)</f>
        <v>2250</v>
      </c>
      <c r="R3158">
        <f>IF(OR(calendar[[#This Row],[SP_BH]]=1,calendar[[#This Row],[WeekDay]]=1, calendar[[#This Row],[WeekDay]]=7),P3157,P3157+1)</f>
        <v>2250</v>
      </c>
      <c r="S3158">
        <f>IF(OR(calendar[[#This Row],[PT_BH]]=1,calendar[[#This Row],[WeekDay]]=1, calendar[[#This Row],[WeekDay]]=7),P3157,P3157+1)</f>
        <v>2250</v>
      </c>
    </row>
    <row r="3159" spans="1:19" x14ac:dyDescent="0.25">
      <c r="A3159" s="2">
        <v>45893</v>
      </c>
      <c r="B3159" s="1">
        <f t="shared" si="248"/>
        <v>35</v>
      </c>
      <c r="C3159">
        <f t="shared" si="250"/>
        <v>8</v>
      </c>
      <c r="D3159" t="str">
        <f t="shared" si="251"/>
        <v>August</v>
      </c>
      <c r="E3159">
        <f t="shared" si="252"/>
        <v>2025</v>
      </c>
      <c r="F3159" t="str">
        <f>CONCATENATE(calendar[[#This Row],[Month]],"/",calendar[[#This Row],[Year]])</f>
        <v>8/2025</v>
      </c>
      <c r="G3159">
        <f>WEEKDAY(calendar[[#This Row],[Date]],1)</f>
        <v>1</v>
      </c>
      <c r="H3159" t="str">
        <f>TEXT(calendar[[#This Row],[WeekDay]],"dddd")</f>
        <v>Sunday</v>
      </c>
      <c r="I3159">
        <f>IF((INT(calendar[[#This Row],[Count]]/7)-calendar[[#This Row],[Count]]/7)&lt;0,I3158,I3158+1)</f>
        <v>452</v>
      </c>
      <c r="J3159">
        <f t="shared" si="249"/>
        <v>3157</v>
      </c>
      <c r="K3159">
        <f>IF(calendar[[#This Row],[Month]]&lt;4,1,IF(calendar[[#This Row],[Month]]&lt;7,2,IF(calendar[[#This Row],[Month]]&lt;10,3,4)))</f>
        <v>3</v>
      </c>
      <c r="L3159">
        <f>IFERROR(IF(VLOOKUP(calendar[[#This Row],[Date]],BH!A:A,1,)&lt;&gt;"",1,0),0)</f>
        <v>0</v>
      </c>
      <c r="M3159">
        <f>IFERROR(IF(VLOOKUP(calendar[[#This Row],[Date]],BH!C:C,1,)&lt;&gt;"",1,0),0)</f>
        <v>0</v>
      </c>
      <c r="N3159">
        <f>IFERROR(IF(VLOOKUP(calendar[[#This Row],[Date]],BH!E:E,1,)&lt;&gt;"",1,0),0)</f>
        <v>0</v>
      </c>
      <c r="O3159">
        <f>IFERROR(IF(VLOOKUP(calendar[[#This Row],[Date]],BH!G:G,1,)&lt;&gt;"",1,0),0)</f>
        <v>0</v>
      </c>
      <c r="P3159">
        <f>IF(OR(calendar[[#This Row],[UK_BH]]=1,calendar[[#This Row],[WeekDay]]=1, calendar[[#This Row],[WeekDay]]=7),P3158,P3158+1)</f>
        <v>2250</v>
      </c>
      <c r="Q3159">
        <f>IF(OR(calendar[[#This Row],[FR_BH]]=1,calendar[[#This Row],[WeekDay]]=1, calendar[[#This Row],[WeekDay]]=7),P3158,P3158+1)</f>
        <v>2250</v>
      </c>
      <c r="R3159">
        <f>IF(OR(calendar[[#This Row],[SP_BH]]=1,calendar[[#This Row],[WeekDay]]=1, calendar[[#This Row],[WeekDay]]=7),P3158,P3158+1)</f>
        <v>2250</v>
      </c>
      <c r="S3159">
        <f>IF(OR(calendar[[#This Row],[PT_BH]]=1,calendar[[#This Row],[WeekDay]]=1, calendar[[#This Row],[WeekDay]]=7),P3158,P3158+1)</f>
        <v>2250</v>
      </c>
    </row>
    <row r="3160" spans="1:19" x14ac:dyDescent="0.25">
      <c r="A3160" s="2">
        <v>45894</v>
      </c>
      <c r="B3160" s="1">
        <f t="shared" si="248"/>
        <v>35</v>
      </c>
      <c r="C3160">
        <f t="shared" si="250"/>
        <v>8</v>
      </c>
      <c r="D3160" t="str">
        <f t="shared" si="251"/>
        <v>August</v>
      </c>
      <c r="E3160">
        <f t="shared" si="252"/>
        <v>2025</v>
      </c>
      <c r="F3160" t="str">
        <f>CONCATENATE(calendar[[#This Row],[Month]],"/",calendar[[#This Row],[Year]])</f>
        <v>8/2025</v>
      </c>
      <c r="G3160">
        <f>WEEKDAY(calendar[[#This Row],[Date]],1)</f>
        <v>2</v>
      </c>
      <c r="H3160" t="str">
        <f>TEXT(calendar[[#This Row],[WeekDay]],"dddd")</f>
        <v>Monday</v>
      </c>
      <c r="I3160">
        <f>IF((INT(calendar[[#This Row],[Count]]/7)-calendar[[#This Row],[Count]]/7)&lt;0,I3159,I3159+1)</f>
        <v>452</v>
      </c>
      <c r="J3160">
        <f t="shared" si="249"/>
        <v>3158</v>
      </c>
      <c r="K3160">
        <f>IF(calendar[[#This Row],[Month]]&lt;4,1,IF(calendar[[#This Row],[Month]]&lt;7,2,IF(calendar[[#This Row],[Month]]&lt;10,3,4)))</f>
        <v>3</v>
      </c>
      <c r="L3160">
        <f>IFERROR(IF(VLOOKUP(calendar[[#This Row],[Date]],BH!A:A,1,)&lt;&gt;"",1,0),0)</f>
        <v>1</v>
      </c>
      <c r="M3160">
        <f>IFERROR(IF(VLOOKUP(calendar[[#This Row],[Date]],BH!C:C,1,)&lt;&gt;"",1,0),0)</f>
        <v>0</v>
      </c>
      <c r="N3160">
        <f>IFERROR(IF(VLOOKUP(calendar[[#This Row],[Date]],BH!E:E,1,)&lt;&gt;"",1,0),0)</f>
        <v>0</v>
      </c>
      <c r="O3160">
        <f>IFERROR(IF(VLOOKUP(calendar[[#This Row],[Date]],BH!G:G,1,)&lt;&gt;"",1,0),0)</f>
        <v>0</v>
      </c>
      <c r="P3160">
        <f>IF(OR(calendar[[#This Row],[UK_BH]]=1,calendar[[#This Row],[WeekDay]]=1, calendar[[#This Row],[WeekDay]]=7),P3159,P3159+1)</f>
        <v>2250</v>
      </c>
      <c r="Q3160">
        <f>IF(OR(calendar[[#This Row],[FR_BH]]=1,calendar[[#This Row],[WeekDay]]=1, calendar[[#This Row],[WeekDay]]=7),P3159,P3159+1)</f>
        <v>2251</v>
      </c>
      <c r="R3160">
        <f>IF(OR(calendar[[#This Row],[SP_BH]]=1,calendar[[#This Row],[WeekDay]]=1, calendar[[#This Row],[WeekDay]]=7),P3159,P3159+1)</f>
        <v>2251</v>
      </c>
      <c r="S3160">
        <f>IF(OR(calendar[[#This Row],[PT_BH]]=1,calendar[[#This Row],[WeekDay]]=1, calendar[[#This Row],[WeekDay]]=7),P3159,P3159+1)</f>
        <v>2251</v>
      </c>
    </row>
    <row r="3161" spans="1:19" x14ac:dyDescent="0.25">
      <c r="A3161" s="2">
        <v>45895</v>
      </c>
      <c r="B3161" s="1">
        <f t="shared" si="248"/>
        <v>35</v>
      </c>
      <c r="C3161">
        <f t="shared" si="250"/>
        <v>8</v>
      </c>
      <c r="D3161" t="str">
        <f t="shared" si="251"/>
        <v>August</v>
      </c>
      <c r="E3161">
        <f t="shared" si="252"/>
        <v>2025</v>
      </c>
      <c r="F3161" t="str">
        <f>CONCATENATE(calendar[[#This Row],[Month]],"/",calendar[[#This Row],[Year]])</f>
        <v>8/2025</v>
      </c>
      <c r="G3161">
        <f>WEEKDAY(calendar[[#This Row],[Date]],1)</f>
        <v>3</v>
      </c>
      <c r="H3161" t="str">
        <f>TEXT(calendar[[#This Row],[WeekDay]],"dddd")</f>
        <v>Tuesday</v>
      </c>
      <c r="I3161">
        <f>IF((INT(calendar[[#This Row],[Count]]/7)-calendar[[#This Row],[Count]]/7)&lt;0,I3160,I3160+1)</f>
        <v>452</v>
      </c>
      <c r="J3161">
        <f t="shared" si="249"/>
        <v>3159</v>
      </c>
      <c r="K3161">
        <f>IF(calendar[[#This Row],[Month]]&lt;4,1,IF(calendar[[#This Row],[Month]]&lt;7,2,IF(calendar[[#This Row],[Month]]&lt;10,3,4)))</f>
        <v>3</v>
      </c>
      <c r="L3161">
        <f>IFERROR(IF(VLOOKUP(calendar[[#This Row],[Date]],BH!A:A,1,)&lt;&gt;"",1,0),0)</f>
        <v>0</v>
      </c>
      <c r="M3161">
        <f>IFERROR(IF(VLOOKUP(calendar[[#This Row],[Date]],BH!C:C,1,)&lt;&gt;"",1,0),0)</f>
        <v>0</v>
      </c>
      <c r="N3161">
        <f>IFERROR(IF(VLOOKUP(calendar[[#This Row],[Date]],BH!E:E,1,)&lt;&gt;"",1,0),0)</f>
        <v>0</v>
      </c>
      <c r="O3161">
        <f>IFERROR(IF(VLOOKUP(calendar[[#This Row],[Date]],BH!G:G,1,)&lt;&gt;"",1,0),0)</f>
        <v>0</v>
      </c>
      <c r="P3161">
        <f>IF(OR(calendar[[#This Row],[UK_BH]]=1,calendar[[#This Row],[WeekDay]]=1, calendar[[#This Row],[WeekDay]]=7),P3160,P3160+1)</f>
        <v>2251</v>
      </c>
      <c r="Q3161">
        <f>IF(OR(calendar[[#This Row],[FR_BH]]=1,calendar[[#This Row],[WeekDay]]=1, calendar[[#This Row],[WeekDay]]=7),P3160,P3160+1)</f>
        <v>2251</v>
      </c>
      <c r="R3161">
        <f>IF(OR(calendar[[#This Row],[SP_BH]]=1,calendar[[#This Row],[WeekDay]]=1, calendar[[#This Row],[WeekDay]]=7),P3160,P3160+1)</f>
        <v>2251</v>
      </c>
      <c r="S3161">
        <f>IF(OR(calendar[[#This Row],[PT_BH]]=1,calendar[[#This Row],[WeekDay]]=1, calendar[[#This Row],[WeekDay]]=7),P3160,P3160+1)</f>
        <v>2251</v>
      </c>
    </row>
    <row r="3162" spans="1:19" x14ac:dyDescent="0.25">
      <c r="A3162" s="2">
        <v>45896</v>
      </c>
      <c r="B3162" s="1">
        <f t="shared" si="248"/>
        <v>35</v>
      </c>
      <c r="C3162">
        <f t="shared" si="250"/>
        <v>8</v>
      </c>
      <c r="D3162" t="str">
        <f t="shared" si="251"/>
        <v>August</v>
      </c>
      <c r="E3162">
        <f t="shared" si="252"/>
        <v>2025</v>
      </c>
      <c r="F3162" t="str">
        <f>CONCATENATE(calendar[[#This Row],[Month]],"/",calendar[[#This Row],[Year]])</f>
        <v>8/2025</v>
      </c>
      <c r="G3162">
        <f>WEEKDAY(calendar[[#This Row],[Date]],1)</f>
        <v>4</v>
      </c>
      <c r="H3162" t="str">
        <f>TEXT(calendar[[#This Row],[WeekDay]],"dddd")</f>
        <v>Wednesday</v>
      </c>
      <c r="I3162">
        <f>IF((INT(calendar[[#This Row],[Count]]/7)-calendar[[#This Row],[Count]]/7)&lt;0,I3161,I3161+1)</f>
        <v>452</v>
      </c>
      <c r="J3162">
        <f t="shared" si="249"/>
        <v>3160</v>
      </c>
      <c r="K3162">
        <f>IF(calendar[[#This Row],[Month]]&lt;4,1,IF(calendar[[#This Row],[Month]]&lt;7,2,IF(calendar[[#This Row],[Month]]&lt;10,3,4)))</f>
        <v>3</v>
      </c>
      <c r="L3162">
        <f>IFERROR(IF(VLOOKUP(calendar[[#This Row],[Date]],BH!A:A,1,)&lt;&gt;"",1,0),0)</f>
        <v>0</v>
      </c>
      <c r="M3162">
        <f>IFERROR(IF(VLOOKUP(calendar[[#This Row],[Date]],BH!C:C,1,)&lt;&gt;"",1,0),0)</f>
        <v>0</v>
      </c>
      <c r="N3162">
        <f>IFERROR(IF(VLOOKUP(calendar[[#This Row],[Date]],BH!E:E,1,)&lt;&gt;"",1,0),0)</f>
        <v>0</v>
      </c>
      <c r="O3162">
        <f>IFERROR(IF(VLOOKUP(calendar[[#This Row],[Date]],BH!G:G,1,)&lt;&gt;"",1,0),0)</f>
        <v>0</v>
      </c>
      <c r="P3162">
        <f>IF(OR(calendar[[#This Row],[UK_BH]]=1,calendar[[#This Row],[WeekDay]]=1, calendar[[#This Row],[WeekDay]]=7),P3161,P3161+1)</f>
        <v>2252</v>
      </c>
      <c r="Q3162">
        <f>IF(OR(calendar[[#This Row],[FR_BH]]=1,calendar[[#This Row],[WeekDay]]=1, calendar[[#This Row],[WeekDay]]=7),P3161,P3161+1)</f>
        <v>2252</v>
      </c>
      <c r="R3162">
        <f>IF(OR(calendar[[#This Row],[SP_BH]]=1,calendar[[#This Row],[WeekDay]]=1, calendar[[#This Row],[WeekDay]]=7),P3161,P3161+1)</f>
        <v>2252</v>
      </c>
      <c r="S3162">
        <f>IF(OR(calendar[[#This Row],[PT_BH]]=1,calendar[[#This Row],[WeekDay]]=1, calendar[[#This Row],[WeekDay]]=7),P3161,P3161+1)</f>
        <v>2252</v>
      </c>
    </row>
    <row r="3163" spans="1:19" x14ac:dyDescent="0.25">
      <c r="A3163" s="2">
        <v>45897</v>
      </c>
      <c r="B3163" s="1">
        <f t="shared" si="248"/>
        <v>35</v>
      </c>
      <c r="C3163">
        <f t="shared" si="250"/>
        <v>8</v>
      </c>
      <c r="D3163" t="str">
        <f t="shared" si="251"/>
        <v>August</v>
      </c>
      <c r="E3163">
        <f t="shared" si="252"/>
        <v>2025</v>
      </c>
      <c r="F3163" t="str">
        <f>CONCATENATE(calendar[[#This Row],[Month]],"/",calendar[[#This Row],[Year]])</f>
        <v>8/2025</v>
      </c>
      <c r="G3163">
        <f>WEEKDAY(calendar[[#This Row],[Date]],1)</f>
        <v>5</v>
      </c>
      <c r="H3163" t="str">
        <f>TEXT(calendar[[#This Row],[WeekDay]],"dddd")</f>
        <v>Thursday</v>
      </c>
      <c r="I3163">
        <f>IF((INT(calendar[[#This Row],[Count]]/7)-calendar[[#This Row],[Count]]/7)&lt;0,I3162,I3162+1)</f>
        <v>452</v>
      </c>
      <c r="J3163">
        <f t="shared" si="249"/>
        <v>3161</v>
      </c>
      <c r="K3163">
        <f>IF(calendar[[#This Row],[Month]]&lt;4,1,IF(calendar[[#This Row],[Month]]&lt;7,2,IF(calendar[[#This Row],[Month]]&lt;10,3,4)))</f>
        <v>3</v>
      </c>
      <c r="L3163">
        <f>IFERROR(IF(VLOOKUP(calendar[[#This Row],[Date]],BH!A:A,1,)&lt;&gt;"",1,0),0)</f>
        <v>0</v>
      </c>
      <c r="M3163">
        <f>IFERROR(IF(VLOOKUP(calendar[[#This Row],[Date]],BH!C:C,1,)&lt;&gt;"",1,0),0)</f>
        <v>0</v>
      </c>
      <c r="N3163">
        <f>IFERROR(IF(VLOOKUP(calendar[[#This Row],[Date]],BH!E:E,1,)&lt;&gt;"",1,0),0)</f>
        <v>0</v>
      </c>
      <c r="O3163">
        <f>IFERROR(IF(VLOOKUP(calendar[[#This Row],[Date]],BH!G:G,1,)&lt;&gt;"",1,0),0)</f>
        <v>0</v>
      </c>
      <c r="P3163">
        <f>IF(OR(calendar[[#This Row],[UK_BH]]=1,calendar[[#This Row],[WeekDay]]=1, calendar[[#This Row],[WeekDay]]=7),P3162,P3162+1)</f>
        <v>2253</v>
      </c>
      <c r="Q3163">
        <f>IF(OR(calendar[[#This Row],[FR_BH]]=1,calendar[[#This Row],[WeekDay]]=1, calendar[[#This Row],[WeekDay]]=7),P3162,P3162+1)</f>
        <v>2253</v>
      </c>
      <c r="R3163">
        <f>IF(OR(calendar[[#This Row],[SP_BH]]=1,calendar[[#This Row],[WeekDay]]=1, calendar[[#This Row],[WeekDay]]=7),P3162,P3162+1)</f>
        <v>2253</v>
      </c>
      <c r="S3163">
        <f>IF(OR(calendar[[#This Row],[PT_BH]]=1,calendar[[#This Row],[WeekDay]]=1, calendar[[#This Row],[WeekDay]]=7),P3162,P3162+1)</f>
        <v>2253</v>
      </c>
    </row>
    <row r="3164" spans="1:19" x14ac:dyDescent="0.25">
      <c r="A3164" s="2">
        <v>45898</v>
      </c>
      <c r="B3164" s="1">
        <f t="shared" si="248"/>
        <v>35</v>
      </c>
      <c r="C3164">
        <f t="shared" si="250"/>
        <v>8</v>
      </c>
      <c r="D3164" t="str">
        <f t="shared" si="251"/>
        <v>August</v>
      </c>
      <c r="E3164">
        <f t="shared" si="252"/>
        <v>2025</v>
      </c>
      <c r="F3164" t="str">
        <f>CONCATENATE(calendar[[#This Row],[Month]],"/",calendar[[#This Row],[Year]])</f>
        <v>8/2025</v>
      </c>
      <c r="G3164">
        <f>WEEKDAY(calendar[[#This Row],[Date]],1)</f>
        <v>6</v>
      </c>
      <c r="H3164" t="str">
        <f>TEXT(calendar[[#This Row],[WeekDay]],"dddd")</f>
        <v>Friday</v>
      </c>
      <c r="I3164">
        <f>IF((INT(calendar[[#This Row],[Count]]/7)-calendar[[#This Row],[Count]]/7)&lt;0,I3163,I3163+1)</f>
        <v>452</v>
      </c>
      <c r="J3164">
        <f t="shared" si="249"/>
        <v>3162</v>
      </c>
      <c r="K3164">
        <f>IF(calendar[[#This Row],[Month]]&lt;4,1,IF(calendar[[#This Row],[Month]]&lt;7,2,IF(calendar[[#This Row],[Month]]&lt;10,3,4)))</f>
        <v>3</v>
      </c>
      <c r="L3164">
        <f>IFERROR(IF(VLOOKUP(calendar[[#This Row],[Date]],BH!A:A,1,)&lt;&gt;"",1,0),0)</f>
        <v>0</v>
      </c>
      <c r="M3164">
        <f>IFERROR(IF(VLOOKUP(calendar[[#This Row],[Date]],BH!C:C,1,)&lt;&gt;"",1,0),0)</f>
        <v>0</v>
      </c>
      <c r="N3164">
        <f>IFERROR(IF(VLOOKUP(calendar[[#This Row],[Date]],BH!E:E,1,)&lt;&gt;"",1,0),0)</f>
        <v>0</v>
      </c>
      <c r="O3164">
        <f>IFERROR(IF(VLOOKUP(calendar[[#This Row],[Date]],BH!G:G,1,)&lt;&gt;"",1,0),0)</f>
        <v>0</v>
      </c>
      <c r="P3164">
        <f>IF(OR(calendar[[#This Row],[UK_BH]]=1,calendar[[#This Row],[WeekDay]]=1, calendar[[#This Row],[WeekDay]]=7),P3163,P3163+1)</f>
        <v>2254</v>
      </c>
      <c r="Q3164">
        <f>IF(OR(calendar[[#This Row],[FR_BH]]=1,calendar[[#This Row],[WeekDay]]=1, calendar[[#This Row],[WeekDay]]=7),P3163,P3163+1)</f>
        <v>2254</v>
      </c>
      <c r="R3164">
        <f>IF(OR(calendar[[#This Row],[SP_BH]]=1,calendar[[#This Row],[WeekDay]]=1, calendar[[#This Row],[WeekDay]]=7),P3163,P3163+1)</f>
        <v>2254</v>
      </c>
      <c r="S3164">
        <f>IF(OR(calendar[[#This Row],[PT_BH]]=1,calendar[[#This Row],[WeekDay]]=1, calendar[[#This Row],[WeekDay]]=7),P3163,P3163+1)</f>
        <v>2254</v>
      </c>
    </row>
    <row r="3165" spans="1:19" x14ac:dyDescent="0.25">
      <c r="A3165" s="2">
        <v>45899</v>
      </c>
      <c r="B3165" s="1">
        <f t="shared" si="248"/>
        <v>35</v>
      </c>
      <c r="C3165">
        <f t="shared" si="250"/>
        <v>8</v>
      </c>
      <c r="D3165" t="str">
        <f t="shared" si="251"/>
        <v>August</v>
      </c>
      <c r="E3165">
        <f t="shared" si="252"/>
        <v>2025</v>
      </c>
      <c r="F3165" t="str">
        <f>CONCATENATE(calendar[[#This Row],[Month]],"/",calendar[[#This Row],[Year]])</f>
        <v>8/2025</v>
      </c>
      <c r="G3165">
        <f>WEEKDAY(calendar[[#This Row],[Date]],1)</f>
        <v>7</v>
      </c>
      <c r="H3165" t="str">
        <f>TEXT(calendar[[#This Row],[WeekDay]],"dddd")</f>
        <v>Saturday</v>
      </c>
      <c r="I3165">
        <f>IF((INT(calendar[[#This Row],[Count]]/7)-calendar[[#This Row],[Count]]/7)&lt;0,I3164,I3164+1)</f>
        <v>452</v>
      </c>
      <c r="J3165">
        <f t="shared" si="249"/>
        <v>3163</v>
      </c>
      <c r="K3165">
        <f>IF(calendar[[#This Row],[Month]]&lt;4,1,IF(calendar[[#This Row],[Month]]&lt;7,2,IF(calendar[[#This Row],[Month]]&lt;10,3,4)))</f>
        <v>3</v>
      </c>
      <c r="L3165">
        <f>IFERROR(IF(VLOOKUP(calendar[[#This Row],[Date]],BH!A:A,1,)&lt;&gt;"",1,0),0)</f>
        <v>0</v>
      </c>
      <c r="M3165">
        <f>IFERROR(IF(VLOOKUP(calendar[[#This Row],[Date]],BH!C:C,1,)&lt;&gt;"",1,0),0)</f>
        <v>0</v>
      </c>
      <c r="N3165">
        <f>IFERROR(IF(VLOOKUP(calendar[[#This Row],[Date]],BH!E:E,1,)&lt;&gt;"",1,0),0)</f>
        <v>0</v>
      </c>
      <c r="O3165">
        <f>IFERROR(IF(VLOOKUP(calendar[[#This Row],[Date]],BH!G:G,1,)&lt;&gt;"",1,0),0)</f>
        <v>0</v>
      </c>
      <c r="P3165">
        <f>IF(OR(calendar[[#This Row],[UK_BH]]=1,calendar[[#This Row],[WeekDay]]=1, calendar[[#This Row],[WeekDay]]=7),P3164,P3164+1)</f>
        <v>2254</v>
      </c>
      <c r="Q3165">
        <f>IF(OR(calendar[[#This Row],[FR_BH]]=1,calendar[[#This Row],[WeekDay]]=1, calendar[[#This Row],[WeekDay]]=7),P3164,P3164+1)</f>
        <v>2254</v>
      </c>
      <c r="R3165">
        <f>IF(OR(calendar[[#This Row],[SP_BH]]=1,calendar[[#This Row],[WeekDay]]=1, calendar[[#This Row],[WeekDay]]=7),P3164,P3164+1)</f>
        <v>2254</v>
      </c>
      <c r="S3165">
        <f>IF(OR(calendar[[#This Row],[PT_BH]]=1,calendar[[#This Row],[WeekDay]]=1, calendar[[#This Row],[WeekDay]]=7),P3164,P3164+1)</f>
        <v>2254</v>
      </c>
    </row>
    <row r="3166" spans="1:19" x14ac:dyDescent="0.25">
      <c r="A3166" s="2">
        <v>45900</v>
      </c>
      <c r="B3166" s="1">
        <f t="shared" si="248"/>
        <v>36</v>
      </c>
      <c r="C3166">
        <f t="shared" si="250"/>
        <v>8</v>
      </c>
      <c r="D3166" t="str">
        <f t="shared" si="251"/>
        <v>August</v>
      </c>
      <c r="E3166">
        <f t="shared" si="252"/>
        <v>2025</v>
      </c>
      <c r="F3166" t="str">
        <f>CONCATENATE(calendar[[#This Row],[Month]],"/",calendar[[#This Row],[Year]])</f>
        <v>8/2025</v>
      </c>
      <c r="G3166">
        <f>WEEKDAY(calendar[[#This Row],[Date]],1)</f>
        <v>1</v>
      </c>
      <c r="H3166" t="str">
        <f>TEXT(calendar[[#This Row],[WeekDay]],"dddd")</f>
        <v>Sunday</v>
      </c>
      <c r="I3166">
        <f>IF((INT(calendar[[#This Row],[Count]]/7)-calendar[[#This Row],[Count]]/7)&lt;0,I3165,I3165+1)</f>
        <v>453</v>
      </c>
      <c r="J3166">
        <f t="shared" si="249"/>
        <v>3164</v>
      </c>
      <c r="K3166">
        <f>IF(calendar[[#This Row],[Month]]&lt;4,1,IF(calendar[[#This Row],[Month]]&lt;7,2,IF(calendar[[#This Row],[Month]]&lt;10,3,4)))</f>
        <v>3</v>
      </c>
      <c r="L3166">
        <f>IFERROR(IF(VLOOKUP(calendar[[#This Row],[Date]],BH!A:A,1,)&lt;&gt;"",1,0),0)</f>
        <v>0</v>
      </c>
      <c r="M3166">
        <f>IFERROR(IF(VLOOKUP(calendar[[#This Row],[Date]],BH!C:C,1,)&lt;&gt;"",1,0),0)</f>
        <v>0</v>
      </c>
      <c r="N3166">
        <f>IFERROR(IF(VLOOKUP(calendar[[#This Row],[Date]],BH!E:E,1,)&lt;&gt;"",1,0),0)</f>
        <v>0</v>
      </c>
      <c r="O3166">
        <f>IFERROR(IF(VLOOKUP(calendar[[#This Row],[Date]],BH!G:G,1,)&lt;&gt;"",1,0),0)</f>
        <v>0</v>
      </c>
      <c r="P3166">
        <f>IF(OR(calendar[[#This Row],[UK_BH]]=1,calendar[[#This Row],[WeekDay]]=1, calendar[[#This Row],[WeekDay]]=7),P3165,P3165+1)</f>
        <v>2254</v>
      </c>
      <c r="Q3166">
        <f>IF(OR(calendar[[#This Row],[FR_BH]]=1,calendar[[#This Row],[WeekDay]]=1, calendar[[#This Row],[WeekDay]]=7),P3165,P3165+1)</f>
        <v>2254</v>
      </c>
      <c r="R3166">
        <f>IF(OR(calendar[[#This Row],[SP_BH]]=1,calendar[[#This Row],[WeekDay]]=1, calendar[[#This Row],[WeekDay]]=7),P3165,P3165+1)</f>
        <v>2254</v>
      </c>
      <c r="S3166">
        <f>IF(OR(calendar[[#This Row],[PT_BH]]=1,calendar[[#This Row],[WeekDay]]=1, calendar[[#This Row],[WeekDay]]=7),P3165,P3165+1)</f>
        <v>2254</v>
      </c>
    </row>
    <row r="3167" spans="1:19" x14ac:dyDescent="0.25">
      <c r="A3167" s="2">
        <v>45901</v>
      </c>
      <c r="B3167" s="1">
        <f t="shared" si="248"/>
        <v>36</v>
      </c>
      <c r="C3167">
        <f t="shared" si="250"/>
        <v>9</v>
      </c>
      <c r="D3167" t="str">
        <f t="shared" si="251"/>
        <v>September</v>
      </c>
      <c r="E3167">
        <f t="shared" si="252"/>
        <v>2025</v>
      </c>
      <c r="F3167" t="str">
        <f>CONCATENATE(calendar[[#This Row],[Month]],"/",calendar[[#This Row],[Year]])</f>
        <v>9/2025</v>
      </c>
      <c r="G3167">
        <f>WEEKDAY(calendar[[#This Row],[Date]],1)</f>
        <v>2</v>
      </c>
      <c r="H3167" t="str">
        <f>TEXT(calendar[[#This Row],[WeekDay]],"dddd")</f>
        <v>Monday</v>
      </c>
      <c r="I3167">
        <f>IF((INT(calendar[[#This Row],[Count]]/7)-calendar[[#This Row],[Count]]/7)&lt;0,I3166,I3166+1)</f>
        <v>453</v>
      </c>
      <c r="J3167">
        <f t="shared" si="249"/>
        <v>3165</v>
      </c>
      <c r="K3167">
        <f>IF(calendar[[#This Row],[Month]]&lt;4,1,IF(calendar[[#This Row],[Month]]&lt;7,2,IF(calendar[[#This Row],[Month]]&lt;10,3,4)))</f>
        <v>3</v>
      </c>
      <c r="L3167">
        <f>IFERROR(IF(VLOOKUP(calendar[[#This Row],[Date]],BH!A:A,1,)&lt;&gt;"",1,0),0)</f>
        <v>0</v>
      </c>
      <c r="M3167">
        <f>IFERROR(IF(VLOOKUP(calendar[[#This Row],[Date]],BH!C:C,1,)&lt;&gt;"",1,0),0)</f>
        <v>0</v>
      </c>
      <c r="N3167">
        <f>IFERROR(IF(VLOOKUP(calendar[[#This Row],[Date]],BH!E:E,1,)&lt;&gt;"",1,0),0)</f>
        <v>0</v>
      </c>
      <c r="O3167">
        <f>IFERROR(IF(VLOOKUP(calendar[[#This Row],[Date]],BH!G:G,1,)&lt;&gt;"",1,0),0)</f>
        <v>0</v>
      </c>
      <c r="P3167">
        <f>IF(OR(calendar[[#This Row],[UK_BH]]=1,calendar[[#This Row],[WeekDay]]=1, calendar[[#This Row],[WeekDay]]=7),P3166,P3166+1)</f>
        <v>2255</v>
      </c>
      <c r="Q3167">
        <f>IF(OR(calendar[[#This Row],[FR_BH]]=1,calendar[[#This Row],[WeekDay]]=1, calendar[[#This Row],[WeekDay]]=7),P3166,P3166+1)</f>
        <v>2255</v>
      </c>
      <c r="R3167">
        <f>IF(OR(calendar[[#This Row],[SP_BH]]=1,calendar[[#This Row],[WeekDay]]=1, calendar[[#This Row],[WeekDay]]=7),P3166,P3166+1)</f>
        <v>2255</v>
      </c>
      <c r="S3167">
        <f>IF(OR(calendar[[#This Row],[PT_BH]]=1,calendar[[#This Row],[WeekDay]]=1, calendar[[#This Row],[WeekDay]]=7),P3166,P3166+1)</f>
        <v>2255</v>
      </c>
    </row>
    <row r="3168" spans="1:19" x14ac:dyDescent="0.25">
      <c r="A3168" s="2">
        <v>45902</v>
      </c>
      <c r="B3168" s="1">
        <f t="shared" si="248"/>
        <v>36</v>
      </c>
      <c r="C3168">
        <f t="shared" si="250"/>
        <v>9</v>
      </c>
      <c r="D3168" t="str">
        <f t="shared" si="251"/>
        <v>September</v>
      </c>
      <c r="E3168">
        <f t="shared" si="252"/>
        <v>2025</v>
      </c>
      <c r="F3168" t="str">
        <f>CONCATENATE(calendar[[#This Row],[Month]],"/",calendar[[#This Row],[Year]])</f>
        <v>9/2025</v>
      </c>
      <c r="G3168">
        <f>WEEKDAY(calendar[[#This Row],[Date]],1)</f>
        <v>3</v>
      </c>
      <c r="H3168" t="str">
        <f>TEXT(calendar[[#This Row],[WeekDay]],"dddd")</f>
        <v>Tuesday</v>
      </c>
      <c r="I3168">
        <f>IF((INT(calendar[[#This Row],[Count]]/7)-calendar[[#This Row],[Count]]/7)&lt;0,I3167,I3167+1)</f>
        <v>453</v>
      </c>
      <c r="J3168">
        <f t="shared" si="249"/>
        <v>3166</v>
      </c>
      <c r="K3168">
        <f>IF(calendar[[#This Row],[Month]]&lt;4,1,IF(calendar[[#This Row],[Month]]&lt;7,2,IF(calendar[[#This Row],[Month]]&lt;10,3,4)))</f>
        <v>3</v>
      </c>
      <c r="L3168">
        <f>IFERROR(IF(VLOOKUP(calendar[[#This Row],[Date]],BH!A:A,1,)&lt;&gt;"",1,0),0)</f>
        <v>0</v>
      </c>
      <c r="M3168">
        <f>IFERROR(IF(VLOOKUP(calendar[[#This Row],[Date]],BH!C:C,1,)&lt;&gt;"",1,0),0)</f>
        <v>0</v>
      </c>
      <c r="N3168">
        <f>IFERROR(IF(VLOOKUP(calendar[[#This Row],[Date]],BH!E:E,1,)&lt;&gt;"",1,0),0)</f>
        <v>0</v>
      </c>
      <c r="O3168">
        <f>IFERROR(IF(VLOOKUP(calendar[[#This Row],[Date]],BH!G:G,1,)&lt;&gt;"",1,0),0)</f>
        <v>0</v>
      </c>
      <c r="P3168">
        <f>IF(OR(calendar[[#This Row],[UK_BH]]=1,calendar[[#This Row],[WeekDay]]=1, calendar[[#This Row],[WeekDay]]=7),P3167,P3167+1)</f>
        <v>2256</v>
      </c>
      <c r="Q3168">
        <f>IF(OR(calendar[[#This Row],[FR_BH]]=1,calendar[[#This Row],[WeekDay]]=1, calendar[[#This Row],[WeekDay]]=7),P3167,P3167+1)</f>
        <v>2256</v>
      </c>
      <c r="R3168">
        <f>IF(OR(calendar[[#This Row],[SP_BH]]=1,calendar[[#This Row],[WeekDay]]=1, calendar[[#This Row],[WeekDay]]=7),P3167,P3167+1)</f>
        <v>2256</v>
      </c>
      <c r="S3168">
        <f>IF(OR(calendar[[#This Row],[PT_BH]]=1,calendar[[#This Row],[WeekDay]]=1, calendar[[#This Row],[WeekDay]]=7),P3167,P3167+1)</f>
        <v>2256</v>
      </c>
    </row>
    <row r="3169" spans="1:19" x14ac:dyDescent="0.25">
      <c r="A3169" s="2">
        <v>45903</v>
      </c>
      <c r="B3169" s="1">
        <f t="shared" si="248"/>
        <v>36</v>
      </c>
      <c r="C3169">
        <f t="shared" si="250"/>
        <v>9</v>
      </c>
      <c r="D3169" t="str">
        <f t="shared" si="251"/>
        <v>September</v>
      </c>
      <c r="E3169">
        <f t="shared" si="252"/>
        <v>2025</v>
      </c>
      <c r="F3169" t="str">
        <f>CONCATENATE(calendar[[#This Row],[Month]],"/",calendar[[#This Row],[Year]])</f>
        <v>9/2025</v>
      </c>
      <c r="G3169">
        <f>WEEKDAY(calendar[[#This Row],[Date]],1)</f>
        <v>4</v>
      </c>
      <c r="H3169" t="str">
        <f>TEXT(calendar[[#This Row],[WeekDay]],"dddd")</f>
        <v>Wednesday</v>
      </c>
      <c r="I3169">
        <f>IF((INT(calendar[[#This Row],[Count]]/7)-calendar[[#This Row],[Count]]/7)&lt;0,I3168,I3168+1)</f>
        <v>453</v>
      </c>
      <c r="J3169">
        <f t="shared" si="249"/>
        <v>3167</v>
      </c>
      <c r="K3169">
        <f>IF(calendar[[#This Row],[Month]]&lt;4,1,IF(calendar[[#This Row],[Month]]&lt;7,2,IF(calendar[[#This Row],[Month]]&lt;10,3,4)))</f>
        <v>3</v>
      </c>
      <c r="L3169">
        <f>IFERROR(IF(VLOOKUP(calendar[[#This Row],[Date]],BH!A:A,1,)&lt;&gt;"",1,0),0)</f>
        <v>0</v>
      </c>
      <c r="M3169">
        <f>IFERROR(IF(VLOOKUP(calendar[[#This Row],[Date]],BH!C:C,1,)&lt;&gt;"",1,0),0)</f>
        <v>0</v>
      </c>
      <c r="N3169">
        <f>IFERROR(IF(VLOOKUP(calendar[[#This Row],[Date]],BH!E:E,1,)&lt;&gt;"",1,0),0)</f>
        <v>0</v>
      </c>
      <c r="O3169">
        <f>IFERROR(IF(VLOOKUP(calendar[[#This Row],[Date]],BH!G:G,1,)&lt;&gt;"",1,0),0)</f>
        <v>0</v>
      </c>
      <c r="P3169">
        <f>IF(OR(calendar[[#This Row],[UK_BH]]=1,calendar[[#This Row],[WeekDay]]=1, calendar[[#This Row],[WeekDay]]=7),P3168,P3168+1)</f>
        <v>2257</v>
      </c>
      <c r="Q3169">
        <f>IF(OR(calendar[[#This Row],[FR_BH]]=1,calendar[[#This Row],[WeekDay]]=1, calendar[[#This Row],[WeekDay]]=7),P3168,P3168+1)</f>
        <v>2257</v>
      </c>
      <c r="R3169">
        <f>IF(OR(calendar[[#This Row],[SP_BH]]=1,calendar[[#This Row],[WeekDay]]=1, calendar[[#This Row],[WeekDay]]=7),P3168,P3168+1)</f>
        <v>2257</v>
      </c>
      <c r="S3169">
        <f>IF(OR(calendar[[#This Row],[PT_BH]]=1,calendar[[#This Row],[WeekDay]]=1, calendar[[#This Row],[WeekDay]]=7),P3168,P3168+1)</f>
        <v>2257</v>
      </c>
    </row>
    <row r="3170" spans="1:19" x14ac:dyDescent="0.25">
      <c r="A3170" s="2">
        <v>45904</v>
      </c>
      <c r="B3170" s="1">
        <f t="shared" si="248"/>
        <v>36</v>
      </c>
      <c r="C3170">
        <f t="shared" si="250"/>
        <v>9</v>
      </c>
      <c r="D3170" t="str">
        <f t="shared" si="251"/>
        <v>September</v>
      </c>
      <c r="E3170">
        <f t="shared" si="252"/>
        <v>2025</v>
      </c>
      <c r="F3170" t="str">
        <f>CONCATENATE(calendar[[#This Row],[Month]],"/",calendar[[#This Row],[Year]])</f>
        <v>9/2025</v>
      </c>
      <c r="G3170">
        <f>WEEKDAY(calendar[[#This Row],[Date]],1)</f>
        <v>5</v>
      </c>
      <c r="H3170" t="str">
        <f>TEXT(calendar[[#This Row],[WeekDay]],"dddd")</f>
        <v>Thursday</v>
      </c>
      <c r="I3170">
        <f>IF((INT(calendar[[#This Row],[Count]]/7)-calendar[[#This Row],[Count]]/7)&lt;0,I3169,I3169+1)</f>
        <v>453</v>
      </c>
      <c r="J3170">
        <f t="shared" si="249"/>
        <v>3168</v>
      </c>
      <c r="K3170">
        <f>IF(calendar[[#This Row],[Month]]&lt;4,1,IF(calendar[[#This Row],[Month]]&lt;7,2,IF(calendar[[#This Row],[Month]]&lt;10,3,4)))</f>
        <v>3</v>
      </c>
      <c r="L3170">
        <f>IFERROR(IF(VLOOKUP(calendar[[#This Row],[Date]],BH!A:A,1,)&lt;&gt;"",1,0),0)</f>
        <v>0</v>
      </c>
      <c r="M3170">
        <f>IFERROR(IF(VLOOKUP(calendar[[#This Row],[Date]],BH!C:C,1,)&lt;&gt;"",1,0),0)</f>
        <v>0</v>
      </c>
      <c r="N3170">
        <f>IFERROR(IF(VLOOKUP(calendar[[#This Row],[Date]],BH!E:E,1,)&lt;&gt;"",1,0),0)</f>
        <v>0</v>
      </c>
      <c r="O3170">
        <f>IFERROR(IF(VLOOKUP(calendar[[#This Row],[Date]],BH!G:G,1,)&lt;&gt;"",1,0),0)</f>
        <v>0</v>
      </c>
      <c r="P3170">
        <f>IF(OR(calendar[[#This Row],[UK_BH]]=1,calendar[[#This Row],[WeekDay]]=1, calendar[[#This Row],[WeekDay]]=7),P3169,P3169+1)</f>
        <v>2258</v>
      </c>
      <c r="Q3170">
        <f>IF(OR(calendar[[#This Row],[FR_BH]]=1,calendar[[#This Row],[WeekDay]]=1, calendar[[#This Row],[WeekDay]]=7),P3169,P3169+1)</f>
        <v>2258</v>
      </c>
      <c r="R3170">
        <f>IF(OR(calendar[[#This Row],[SP_BH]]=1,calendar[[#This Row],[WeekDay]]=1, calendar[[#This Row],[WeekDay]]=7),P3169,P3169+1)</f>
        <v>2258</v>
      </c>
      <c r="S3170">
        <f>IF(OR(calendar[[#This Row],[PT_BH]]=1,calendar[[#This Row],[WeekDay]]=1, calendar[[#This Row],[WeekDay]]=7),P3169,P3169+1)</f>
        <v>2258</v>
      </c>
    </row>
    <row r="3171" spans="1:19" x14ac:dyDescent="0.25">
      <c r="A3171" s="2">
        <v>45905</v>
      </c>
      <c r="B3171" s="1">
        <f t="shared" si="248"/>
        <v>36</v>
      </c>
      <c r="C3171">
        <f t="shared" si="250"/>
        <v>9</v>
      </c>
      <c r="D3171" t="str">
        <f t="shared" si="251"/>
        <v>September</v>
      </c>
      <c r="E3171">
        <f t="shared" si="252"/>
        <v>2025</v>
      </c>
      <c r="F3171" t="str">
        <f>CONCATENATE(calendar[[#This Row],[Month]],"/",calendar[[#This Row],[Year]])</f>
        <v>9/2025</v>
      </c>
      <c r="G3171">
        <f>WEEKDAY(calendar[[#This Row],[Date]],1)</f>
        <v>6</v>
      </c>
      <c r="H3171" t="str">
        <f>TEXT(calendar[[#This Row],[WeekDay]],"dddd")</f>
        <v>Friday</v>
      </c>
      <c r="I3171">
        <f>IF((INT(calendar[[#This Row],[Count]]/7)-calendar[[#This Row],[Count]]/7)&lt;0,I3170,I3170+1)</f>
        <v>453</v>
      </c>
      <c r="J3171">
        <f t="shared" si="249"/>
        <v>3169</v>
      </c>
      <c r="K3171">
        <f>IF(calendar[[#This Row],[Month]]&lt;4,1,IF(calendar[[#This Row],[Month]]&lt;7,2,IF(calendar[[#This Row],[Month]]&lt;10,3,4)))</f>
        <v>3</v>
      </c>
      <c r="L3171">
        <f>IFERROR(IF(VLOOKUP(calendar[[#This Row],[Date]],BH!A:A,1,)&lt;&gt;"",1,0),0)</f>
        <v>0</v>
      </c>
      <c r="M3171">
        <f>IFERROR(IF(VLOOKUP(calendar[[#This Row],[Date]],BH!C:C,1,)&lt;&gt;"",1,0),0)</f>
        <v>0</v>
      </c>
      <c r="N3171">
        <f>IFERROR(IF(VLOOKUP(calendar[[#This Row],[Date]],BH!E:E,1,)&lt;&gt;"",1,0),0)</f>
        <v>0</v>
      </c>
      <c r="O3171">
        <f>IFERROR(IF(VLOOKUP(calendar[[#This Row],[Date]],BH!G:G,1,)&lt;&gt;"",1,0),0)</f>
        <v>0</v>
      </c>
      <c r="P3171">
        <f>IF(OR(calendar[[#This Row],[UK_BH]]=1,calendar[[#This Row],[WeekDay]]=1, calendar[[#This Row],[WeekDay]]=7),P3170,P3170+1)</f>
        <v>2259</v>
      </c>
      <c r="Q3171">
        <f>IF(OR(calendar[[#This Row],[FR_BH]]=1,calendar[[#This Row],[WeekDay]]=1, calendar[[#This Row],[WeekDay]]=7),P3170,P3170+1)</f>
        <v>2259</v>
      </c>
      <c r="R3171">
        <f>IF(OR(calendar[[#This Row],[SP_BH]]=1,calendar[[#This Row],[WeekDay]]=1, calendar[[#This Row],[WeekDay]]=7),P3170,P3170+1)</f>
        <v>2259</v>
      </c>
      <c r="S3171">
        <f>IF(OR(calendar[[#This Row],[PT_BH]]=1,calendar[[#This Row],[WeekDay]]=1, calendar[[#This Row],[WeekDay]]=7),P3170,P3170+1)</f>
        <v>2259</v>
      </c>
    </row>
    <row r="3172" spans="1:19" x14ac:dyDescent="0.25">
      <c r="A3172" s="2">
        <v>45906</v>
      </c>
      <c r="B3172" s="1">
        <f t="shared" si="248"/>
        <v>36</v>
      </c>
      <c r="C3172">
        <f t="shared" si="250"/>
        <v>9</v>
      </c>
      <c r="D3172" t="str">
        <f t="shared" si="251"/>
        <v>September</v>
      </c>
      <c r="E3172">
        <f t="shared" si="252"/>
        <v>2025</v>
      </c>
      <c r="F3172" t="str">
        <f>CONCATENATE(calendar[[#This Row],[Month]],"/",calendar[[#This Row],[Year]])</f>
        <v>9/2025</v>
      </c>
      <c r="G3172">
        <f>WEEKDAY(calendar[[#This Row],[Date]],1)</f>
        <v>7</v>
      </c>
      <c r="H3172" t="str">
        <f>TEXT(calendar[[#This Row],[WeekDay]],"dddd")</f>
        <v>Saturday</v>
      </c>
      <c r="I3172">
        <f>IF((INT(calendar[[#This Row],[Count]]/7)-calendar[[#This Row],[Count]]/7)&lt;0,I3171,I3171+1)</f>
        <v>453</v>
      </c>
      <c r="J3172">
        <f t="shared" si="249"/>
        <v>3170</v>
      </c>
      <c r="K3172">
        <f>IF(calendar[[#This Row],[Month]]&lt;4,1,IF(calendar[[#This Row],[Month]]&lt;7,2,IF(calendar[[#This Row],[Month]]&lt;10,3,4)))</f>
        <v>3</v>
      </c>
      <c r="L3172">
        <f>IFERROR(IF(VLOOKUP(calendar[[#This Row],[Date]],BH!A:A,1,)&lt;&gt;"",1,0),0)</f>
        <v>0</v>
      </c>
      <c r="M3172">
        <f>IFERROR(IF(VLOOKUP(calendar[[#This Row],[Date]],BH!C:C,1,)&lt;&gt;"",1,0),0)</f>
        <v>0</v>
      </c>
      <c r="N3172">
        <f>IFERROR(IF(VLOOKUP(calendar[[#This Row],[Date]],BH!E:E,1,)&lt;&gt;"",1,0),0)</f>
        <v>0</v>
      </c>
      <c r="O3172">
        <f>IFERROR(IF(VLOOKUP(calendar[[#This Row],[Date]],BH!G:G,1,)&lt;&gt;"",1,0),0)</f>
        <v>0</v>
      </c>
      <c r="P3172">
        <f>IF(OR(calendar[[#This Row],[UK_BH]]=1,calendar[[#This Row],[WeekDay]]=1, calendar[[#This Row],[WeekDay]]=7),P3171,P3171+1)</f>
        <v>2259</v>
      </c>
      <c r="Q3172">
        <f>IF(OR(calendar[[#This Row],[FR_BH]]=1,calendar[[#This Row],[WeekDay]]=1, calendar[[#This Row],[WeekDay]]=7),P3171,P3171+1)</f>
        <v>2259</v>
      </c>
      <c r="R3172">
        <f>IF(OR(calendar[[#This Row],[SP_BH]]=1,calendar[[#This Row],[WeekDay]]=1, calendar[[#This Row],[WeekDay]]=7),P3171,P3171+1)</f>
        <v>2259</v>
      </c>
      <c r="S3172">
        <f>IF(OR(calendar[[#This Row],[PT_BH]]=1,calendar[[#This Row],[WeekDay]]=1, calendar[[#This Row],[WeekDay]]=7),P3171,P3171+1)</f>
        <v>2259</v>
      </c>
    </row>
    <row r="3173" spans="1:19" x14ac:dyDescent="0.25">
      <c r="A3173" s="2">
        <v>45907</v>
      </c>
      <c r="B3173" s="1">
        <f t="shared" si="248"/>
        <v>37</v>
      </c>
      <c r="C3173">
        <f t="shared" si="250"/>
        <v>9</v>
      </c>
      <c r="D3173" t="str">
        <f t="shared" si="251"/>
        <v>September</v>
      </c>
      <c r="E3173">
        <f t="shared" si="252"/>
        <v>2025</v>
      </c>
      <c r="F3173" t="str">
        <f>CONCATENATE(calendar[[#This Row],[Month]],"/",calendar[[#This Row],[Year]])</f>
        <v>9/2025</v>
      </c>
      <c r="G3173">
        <f>WEEKDAY(calendar[[#This Row],[Date]],1)</f>
        <v>1</v>
      </c>
      <c r="H3173" t="str">
        <f>TEXT(calendar[[#This Row],[WeekDay]],"dddd")</f>
        <v>Sunday</v>
      </c>
      <c r="I3173">
        <f>IF((INT(calendar[[#This Row],[Count]]/7)-calendar[[#This Row],[Count]]/7)&lt;0,I3172,I3172+1)</f>
        <v>454</v>
      </c>
      <c r="J3173">
        <f t="shared" si="249"/>
        <v>3171</v>
      </c>
      <c r="K3173">
        <f>IF(calendar[[#This Row],[Month]]&lt;4,1,IF(calendar[[#This Row],[Month]]&lt;7,2,IF(calendar[[#This Row],[Month]]&lt;10,3,4)))</f>
        <v>3</v>
      </c>
      <c r="L3173">
        <f>IFERROR(IF(VLOOKUP(calendar[[#This Row],[Date]],BH!A:A,1,)&lt;&gt;"",1,0),0)</f>
        <v>0</v>
      </c>
      <c r="M3173">
        <f>IFERROR(IF(VLOOKUP(calendar[[#This Row],[Date]],BH!C:C,1,)&lt;&gt;"",1,0),0)</f>
        <v>0</v>
      </c>
      <c r="N3173">
        <f>IFERROR(IF(VLOOKUP(calendar[[#This Row],[Date]],BH!E:E,1,)&lt;&gt;"",1,0),0)</f>
        <v>0</v>
      </c>
      <c r="O3173">
        <f>IFERROR(IF(VLOOKUP(calendar[[#This Row],[Date]],BH!G:G,1,)&lt;&gt;"",1,0),0)</f>
        <v>0</v>
      </c>
      <c r="P3173">
        <f>IF(OR(calendar[[#This Row],[UK_BH]]=1,calendar[[#This Row],[WeekDay]]=1, calendar[[#This Row],[WeekDay]]=7),P3172,P3172+1)</f>
        <v>2259</v>
      </c>
      <c r="Q3173">
        <f>IF(OR(calendar[[#This Row],[FR_BH]]=1,calendar[[#This Row],[WeekDay]]=1, calendar[[#This Row],[WeekDay]]=7),P3172,P3172+1)</f>
        <v>2259</v>
      </c>
      <c r="R3173">
        <f>IF(OR(calendar[[#This Row],[SP_BH]]=1,calendar[[#This Row],[WeekDay]]=1, calendar[[#This Row],[WeekDay]]=7),P3172,P3172+1)</f>
        <v>2259</v>
      </c>
      <c r="S3173">
        <f>IF(OR(calendar[[#This Row],[PT_BH]]=1,calendar[[#This Row],[WeekDay]]=1, calendar[[#This Row],[WeekDay]]=7),P3172,P3172+1)</f>
        <v>2259</v>
      </c>
    </row>
    <row r="3174" spans="1:19" x14ac:dyDescent="0.25">
      <c r="A3174" s="2">
        <v>45908</v>
      </c>
      <c r="B3174" s="1">
        <f t="shared" si="248"/>
        <v>37</v>
      </c>
      <c r="C3174">
        <f t="shared" si="250"/>
        <v>9</v>
      </c>
      <c r="D3174" t="str">
        <f t="shared" si="251"/>
        <v>September</v>
      </c>
      <c r="E3174">
        <f t="shared" si="252"/>
        <v>2025</v>
      </c>
      <c r="F3174" t="str">
        <f>CONCATENATE(calendar[[#This Row],[Month]],"/",calendar[[#This Row],[Year]])</f>
        <v>9/2025</v>
      </c>
      <c r="G3174">
        <f>WEEKDAY(calendar[[#This Row],[Date]],1)</f>
        <v>2</v>
      </c>
      <c r="H3174" t="str">
        <f>TEXT(calendar[[#This Row],[WeekDay]],"dddd")</f>
        <v>Monday</v>
      </c>
      <c r="I3174">
        <f>IF((INT(calendar[[#This Row],[Count]]/7)-calendar[[#This Row],[Count]]/7)&lt;0,I3173,I3173+1)</f>
        <v>454</v>
      </c>
      <c r="J3174">
        <f t="shared" si="249"/>
        <v>3172</v>
      </c>
      <c r="K3174">
        <f>IF(calendar[[#This Row],[Month]]&lt;4,1,IF(calendar[[#This Row],[Month]]&lt;7,2,IF(calendar[[#This Row],[Month]]&lt;10,3,4)))</f>
        <v>3</v>
      </c>
      <c r="L3174">
        <f>IFERROR(IF(VLOOKUP(calendar[[#This Row],[Date]],BH!A:A,1,)&lt;&gt;"",1,0),0)</f>
        <v>0</v>
      </c>
      <c r="M3174">
        <f>IFERROR(IF(VLOOKUP(calendar[[#This Row],[Date]],BH!C:C,1,)&lt;&gt;"",1,0),0)</f>
        <v>0</v>
      </c>
      <c r="N3174">
        <f>IFERROR(IF(VLOOKUP(calendar[[#This Row],[Date]],BH!E:E,1,)&lt;&gt;"",1,0),0)</f>
        <v>0</v>
      </c>
      <c r="O3174">
        <f>IFERROR(IF(VLOOKUP(calendar[[#This Row],[Date]],BH!G:G,1,)&lt;&gt;"",1,0),0)</f>
        <v>0</v>
      </c>
      <c r="P3174">
        <f>IF(OR(calendar[[#This Row],[UK_BH]]=1,calendar[[#This Row],[WeekDay]]=1, calendar[[#This Row],[WeekDay]]=7),P3173,P3173+1)</f>
        <v>2260</v>
      </c>
      <c r="Q3174">
        <f>IF(OR(calendar[[#This Row],[FR_BH]]=1,calendar[[#This Row],[WeekDay]]=1, calendar[[#This Row],[WeekDay]]=7),P3173,P3173+1)</f>
        <v>2260</v>
      </c>
      <c r="R3174">
        <f>IF(OR(calendar[[#This Row],[SP_BH]]=1,calendar[[#This Row],[WeekDay]]=1, calendar[[#This Row],[WeekDay]]=7),P3173,P3173+1)</f>
        <v>2260</v>
      </c>
      <c r="S3174">
        <f>IF(OR(calendar[[#This Row],[PT_BH]]=1,calendar[[#This Row],[WeekDay]]=1, calendar[[#This Row],[WeekDay]]=7),P3173,P3173+1)</f>
        <v>2260</v>
      </c>
    </row>
    <row r="3175" spans="1:19" x14ac:dyDescent="0.25">
      <c r="A3175" s="2">
        <v>45909</v>
      </c>
      <c r="B3175" s="1">
        <f t="shared" si="248"/>
        <v>37</v>
      </c>
      <c r="C3175">
        <f t="shared" si="250"/>
        <v>9</v>
      </c>
      <c r="D3175" t="str">
        <f t="shared" si="251"/>
        <v>September</v>
      </c>
      <c r="E3175">
        <f t="shared" si="252"/>
        <v>2025</v>
      </c>
      <c r="F3175" t="str">
        <f>CONCATENATE(calendar[[#This Row],[Month]],"/",calendar[[#This Row],[Year]])</f>
        <v>9/2025</v>
      </c>
      <c r="G3175">
        <f>WEEKDAY(calendar[[#This Row],[Date]],1)</f>
        <v>3</v>
      </c>
      <c r="H3175" t="str">
        <f>TEXT(calendar[[#This Row],[WeekDay]],"dddd")</f>
        <v>Tuesday</v>
      </c>
      <c r="I3175">
        <f>IF((INT(calendar[[#This Row],[Count]]/7)-calendar[[#This Row],[Count]]/7)&lt;0,I3174,I3174+1)</f>
        <v>454</v>
      </c>
      <c r="J3175">
        <f t="shared" si="249"/>
        <v>3173</v>
      </c>
      <c r="K3175">
        <f>IF(calendar[[#This Row],[Month]]&lt;4,1,IF(calendar[[#This Row],[Month]]&lt;7,2,IF(calendar[[#This Row],[Month]]&lt;10,3,4)))</f>
        <v>3</v>
      </c>
      <c r="L3175">
        <f>IFERROR(IF(VLOOKUP(calendar[[#This Row],[Date]],BH!A:A,1,)&lt;&gt;"",1,0),0)</f>
        <v>0</v>
      </c>
      <c r="M3175">
        <f>IFERROR(IF(VLOOKUP(calendar[[#This Row],[Date]],BH!C:C,1,)&lt;&gt;"",1,0),0)</f>
        <v>0</v>
      </c>
      <c r="N3175">
        <f>IFERROR(IF(VLOOKUP(calendar[[#This Row],[Date]],BH!E:E,1,)&lt;&gt;"",1,0),0)</f>
        <v>0</v>
      </c>
      <c r="O3175">
        <f>IFERROR(IF(VLOOKUP(calendar[[#This Row],[Date]],BH!G:G,1,)&lt;&gt;"",1,0),0)</f>
        <v>0</v>
      </c>
      <c r="P3175">
        <f>IF(OR(calendar[[#This Row],[UK_BH]]=1,calendar[[#This Row],[WeekDay]]=1, calendar[[#This Row],[WeekDay]]=7),P3174,P3174+1)</f>
        <v>2261</v>
      </c>
      <c r="Q3175">
        <f>IF(OR(calendar[[#This Row],[FR_BH]]=1,calendar[[#This Row],[WeekDay]]=1, calendar[[#This Row],[WeekDay]]=7),P3174,P3174+1)</f>
        <v>2261</v>
      </c>
      <c r="R3175">
        <f>IF(OR(calendar[[#This Row],[SP_BH]]=1,calendar[[#This Row],[WeekDay]]=1, calendar[[#This Row],[WeekDay]]=7),P3174,P3174+1)</f>
        <v>2261</v>
      </c>
      <c r="S3175">
        <f>IF(OR(calendar[[#This Row],[PT_BH]]=1,calendar[[#This Row],[WeekDay]]=1, calendar[[#This Row],[WeekDay]]=7),P3174,P3174+1)</f>
        <v>2261</v>
      </c>
    </row>
    <row r="3176" spans="1:19" x14ac:dyDescent="0.25">
      <c r="A3176" s="2">
        <v>45910</v>
      </c>
      <c r="B3176" s="1">
        <f t="shared" si="248"/>
        <v>37</v>
      </c>
      <c r="C3176">
        <f t="shared" si="250"/>
        <v>9</v>
      </c>
      <c r="D3176" t="str">
        <f t="shared" si="251"/>
        <v>September</v>
      </c>
      <c r="E3176">
        <f t="shared" si="252"/>
        <v>2025</v>
      </c>
      <c r="F3176" t="str">
        <f>CONCATENATE(calendar[[#This Row],[Month]],"/",calendar[[#This Row],[Year]])</f>
        <v>9/2025</v>
      </c>
      <c r="G3176">
        <f>WEEKDAY(calendar[[#This Row],[Date]],1)</f>
        <v>4</v>
      </c>
      <c r="H3176" t="str">
        <f>TEXT(calendar[[#This Row],[WeekDay]],"dddd")</f>
        <v>Wednesday</v>
      </c>
      <c r="I3176">
        <f>IF((INT(calendar[[#This Row],[Count]]/7)-calendar[[#This Row],[Count]]/7)&lt;0,I3175,I3175+1)</f>
        <v>454</v>
      </c>
      <c r="J3176">
        <f t="shared" si="249"/>
        <v>3174</v>
      </c>
      <c r="K3176">
        <f>IF(calendar[[#This Row],[Month]]&lt;4,1,IF(calendar[[#This Row],[Month]]&lt;7,2,IF(calendar[[#This Row],[Month]]&lt;10,3,4)))</f>
        <v>3</v>
      </c>
      <c r="L3176">
        <f>IFERROR(IF(VLOOKUP(calendar[[#This Row],[Date]],BH!A:A,1,)&lt;&gt;"",1,0),0)</f>
        <v>0</v>
      </c>
      <c r="M3176">
        <f>IFERROR(IF(VLOOKUP(calendar[[#This Row],[Date]],BH!C:C,1,)&lt;&gt;"",1,0),0)</f>
        <v>0</v>
      </c>
      <c r="N3176">
        <f>IFERROR(IF(VLOOKUP(calendar[[#This Row],[Date]],BH!E:E,1,)&lt;&gt;"",1,0),0)</f>
        <v>0</v>
      </c>
      <c r="O3176">
        <f>IFERROR(IF(VLOOKUP(calendar[[#This Row],[Date]],BH!G:G,1,)&lt;&gt;"",1,0),0)</f>
        <v>0</v>
      </c>
      <c r="P3176">
        <f>IF(OR(calendar[[#This Row],[UK_BH]]=1,calendar[[#This Row],[WeekDay]]=1, calendar[[#This Row],[WeekDay]]=7),P3175,P3175+1)</f>
        <v>2262</v>
      </c>
      <c r="Q3176">
        <f>IF(OR(calendar[[#This Row],[FR_BH]]=1,calendar[[#This Row],[WeekDay]]=1, calendar[[#This Row],[WeekDay]]=7),P3175,P3175+1)</f>
        <v>2262</v>
      </c>
      <c r="R3176">
        <f>IF(OR(calendar[[#This Row],[SP_BH]]=1,calendar[[#This Row],[WeekDay]]=1, calendar[[#This Row],[WeekDay]]=7),P3175,P3175+1)</f>
        <v>2262</v>
      </c>
      <c r="S3176">
        <f>IF(OR(calendar[[#This Row],[PT_BH]]=1,calendar[[#This Row],[WeekDay]]=1, calendar[[#This Row],[WeekDay]]=7),P3175,P3175+1)</f>
        <v>2262</v>
      </c>
    </row>
    <row r="3177" spans="1:19" x14ac:dyDescent="0.25">
      <c r="A3177" s="2">
        <v>45911</v>
      </c>
      <c r="B3177" s="1">
        <f t="shared" si="248"/>
        <v>37</v>
      </c>
      <c r="C3177">
        <f t="shared" si="250"/>
        <v>9</v>
      </c>
      <c r="D3177" t="str">
        <f t="shared" si="251"/>
        <v>September</v>
      </c>
      <c r="E3177">
        <f t="shared" si="252"/>
        <v>2025</v>
      </c>
      <c r="F3177" t="str">
        <f>CONCATENATE(calendar[[#This Row],[Month]],"/",calendar[[#This Row],[Year]])</f>
        <v>9/2025</v>
      </c>
      <c r="G3177">
        <f>WEEKDAY(calendar[[#This Row],[Date]],1)</f>
        <v>5</v>
      </c>
      <c r="H3177" t="str">
        <f>TEXT(calendar[[#This Row],[WeekDay]],"dddd")</f>
        <v>Thursday</v>
      </c>
      <c r="I3177">
        <f>IF((INT(calendar[[#This Row],[Count]]/7)-calendar[[#This Row],[Count]]/7)&lt;0,I3176,I3176+1)</f>
        <v>454</v>
      </c>
      <c r="J3177">
        <f t="shared" si="249"/>
        <v>3175</v>
      </c>
      <c r="K3177">
        <f>IF(calendar[[#This Row],[Month]]&lt;4,1,IF(calendar[[#This Row],[Month]]&lt;7,2,IF(calendar[[#This Row],[Month]]&lt;10,3,4)))</f>
        <v>3</v>
      </c>
      <c r="L3177">
        <f>IFERROR(IF(VLOOKUP(calendar[[#This Row],[Date]],BH!A:A,1,)&lt;&gt;"",1,0),0)</f>
        <v>0</v>
      </c>
      <c r="M3177">
        <f>IFERROR(IF(VLOOKUP(calendar[[#This Row],[Date]],BH!C:C,1,)&lt;&gt;"",1,0),0)</f>
        <v>0</v>
      </c>
      <c r="N3177">
        <f>IFERROR(IF(VLOOKUP(calendar[[#This Row],[Date]],BH!E:E,1,)&lt;&gt;"",1,0),0)</f>
        <v>0</v>
      </c>
      <c r="O3177">
        <f>IFERROR(IF(VLOOKUP(calendar[[#This Row],[Date]],BH!G:G,1,)&lt;&gt;"",1,0),0)</f>
        <v>0</v>
      </c>
      <c r="P3177">
        <f>IF(OR(calendar[[#This Row],[UK_BH]]=1,calendar[[#This Row],[WeekDay]]=1, calendar[[#This Row],[WeekDay]]=7),P3176,P3176+1)</f>
        <v>2263</v>
      </c>
      <c r="Q3177">
        <f>IF(OR(calendar[[#This Row],[FR_BH]]=1,calendar[[#This Row],[WeekDay]]=1, calendar[[#This Row],[WeekDay]]=7),P3176,P3176+1)</f>
        <v>2263</v>
      </c>
      <c r="R3177">
        <f>IF(OR(calendar[[#This Row],[SP_BH]]=1,calendar[[#This Row],[WeekDay]]=1, calendar[[#This Row],[WeekDay]]=7),P3176,P3176+1)</f>
        <v>2263</v>
      </c>
      <c r="S3177">
        <f>IF(OR(calendar[[#This Row],[PT_BH]]=1,calendar[[#This Row],[WeekDay]]=1, calendar[[#This Row],[WeekDay]]=7),P3176,P3176+1)</f>
        <v>2263</v>
      </c>
    </row>
    <row r="3178" spans="1:19" x14ac:dyDescent="0.25">
      <c r="A3178" s="2">
        <v>45912</v>
      </c>
      <c r="B3178" s="1">
        <f t="shared" si="248"/>
        <v>37</v>
      </c>
      <c r="C3178">
        <f t="shared" si="250"/>
        <v>9</v>
      </c>
      <c r="D3178" t="str">
        <f t="shared" si="251"/>
        <v>September</v>
      </c>
      <c r="E3178">
        <f t="shared" si="252"/>
        <v>2025</v>
      </c>
      <c r="F3178" t="str">
        <f>CONCATENATE(calendar[[#This Row],[Month]],"/",calendar[[#This Row],[Year]])</f>
        <v>9/2025</v>
      </c>
      <c r="G3178">
        <f>WEEKDAY(calendar[[#This Row],[Date]],1)</f>
        <v>6</v>
      </c>
      <c r="H3178" t="str">
        <f>TEXT(calendar[[#This Row],[WeekDay]],"dddd")</f>
        <v>Friday</v>
      </c>
      <c r="I3178">
        <f>IF((INT(calendar[[#This Row],[Count]]/7)-calendar[[#This Row],[Count]]/7)&lt;0,I3177,I3177+1)</f>
        <v>454</v>
      </c>
      <c r="J3178">
        <f t="shared" si="249"/>
        <v>3176</v>
      </c>
      <c r="K3178">
        <f>IF(calendar[[#This Row],[Month]]&lt;4,1,IF(calendar[[#This Row],[Month]]&lt;7,2,IF(calendar[[#This Row],[Month]]&lt;10,3,4)))</f>
        <v>3</v>
      </c>
      <c r="L3178">
        <f>IFERROR(IF(VLOOKUP(calendar[[#This Row],[Date]],BH!A:A,1,)&lt;&gt;"",1,0),0)</f>
        <v>0</v>
      </c>
      <c r="M3178">
        <f>IFERROR(IF(VLOOKUP(calendar[[#This Row],[Date]],BH!C:C,1,)&lt;&gt;"",1,0),0)</f>
        <v>0</v>
      </c>
      <c r="N3178">
        <f>IFERROR(IF(VLOOKUP(calendar[[#This Row],[Date]],BH!E:E,1,)&lt;&gt;"",1,0),0)</f>
        <v>0</v>
      </c>
      <c r="O3178">
        <f>IFERROR(IF(VLOOKUP(calendar[[#This Row],[Date]],BH!G:G,1,)&lt;&gt;"",1,0),0)</f>
        <v>0</v>
      </c>
      <c r="P3178">
        <f>IF(OR(calendar[[#This Row],[UK_BH]]=1,calendar[[#This Row],[WeekDay]]=1, calendar[[#This Row],[WeekDay]]=7),P3177,P3177+1)</f>
        <v>2264</v>
      </c>
      <c r="Q3178">
        <f>IF(OR(calendar[[#This Row],[FR_BH]]=1,calendar[[#This Row],[WeekDay]]=1, calendar[[#This Row],[WeekDay]]=7),P3177,P3177+1)</f>
        <v>2264</v>
      </c>
      <c r="R3178">
        <f>IF(OR(calendar[[#This Row],[SP_BH]]=1,calendar[[#This Row],[WeekDay]]=1, calendar[[#This Row],[WeekDay]]=7),P3177,P3177+1)</f>
        <v>2264</v>
      </c>
      <c r="S3178">
        <f>IF(OR(calendar[[#This Row],[PT_BH]]=1,calendar[[#This Row],[WeekDay]]=1, calendar[[#This Row],[WeekDay]]=7),P3177,P3177+1)</f>
        <v>2264</v>
      </c>
    </row>
    <row r="3179" spans="1:19" x14ac:dyDescent="0.25">
      <c r="A3179" s="2">
        <v>45913</v>
      </c>
      <c r="B3179" s="1">
        <f t="shared" si="248"/>
        <v>37</v>
      </c>
      <c r="C3179">
        <f t="shared" si="250"/>
        <v>9</v>
      </c>
      <c r="D3179" t="str">
        <f t="shared" si="251"/>
        <v>September</v>
      </c>
      <c r="E3179">
        <f t="shared" si="252"/>
        <v>2025</v>
      </c>
      <c r="F3179" t="str">
        <f>CONCATENATE(calendar[[#This Row],[Month]],"/",calendar[[#This Row],[Year]])</f>
        <v>9/2025</v>
      </c>
      <c r="G3179">
        <f>WEEKDAY(calendar[[#This Row],[Date]],1)</f>
        <v>7</v>
      </c>
      <c r="H3179" t="str">
        <f>TEXT(calendar[[#This Row],[WeekDay]],"dddd")</f>
        <v>Saturday</v>
      </c>
      <c r="I3179">
        <f>IF((INT(calendar[[#This Row],[Count]]/7)-calendar[[#This Row],[Count]]/7)&lt;0,I3178,I3178+1)</f>
        <v>454</v>
      </c>
      <c r="J3179">
        <f t="shared" si="249"/>
        <v>3177</v>
      </c>
      <c r="K3179">
        <f>IF(calendar[[#This Row],[Month]]&lt;4,1,IF(calendar[[#This Row],[Month]]&lt;7,2,IF(calendar[[#This Row],[Month]]&lt;10,3,4)))</f>
        <v>3</v>
      </c>
      <c r="L3179">
        <f>IFERROR(IF(VLOOKUP(calendar[[#This Row],[Date]],BH!A:A,1,)&lt;&gt;"",1,0),0)</f>
        <v>0</v>
      </c>
      <c r="M3179">
        <f>IFERROR(IF(VLOOKUP(calendar[[#This Row],[Date]],BH!C:C,1,)&lt;&gt;"",1,0),0)</f>
        <v>0</v>
      </c>
      <c r="N3179">
        <f>IFERROR(IF(VLOOKUP(calendar[[#This Row],[Date]],BH!E:E,1,)&lt;&gt;"",1,0),0)</f>
        <v>0</v>
      </c>
      <c r="O3179">
        <f>IFERROR(IF(VLOOKUP(calendar[[#This Row],[Date]],BH!G:G,1,)&lt;&gt;"",1,0),0)</f>
        <v>0</v>
      </c>
      <c r="P3179">
        <f>IF(OR(calendar[[#This Row],[UK_BH]]=1,calendar[[#This Row],[WeekDay]]=1, calendar[[#This Row],[WeekDay]]=7),P3178,P3178+1)</f>
        <v>2264</v>
      </c>
      <c r="Q3179">
        <f>IF(OR(calendar[[#This Row],[FR_BH]]=1,calendar[[#This Row],[WeekDay]]=1, calendar[[#This Row],[WeekDay]]=7),P3178,P3178+1)</f>
        <v>2264</v>
      </c>
      <c r="R3179">
        <f>IF(OR(calendar[[#This Row],[SP_BH]]=1,calendar[[#This Row],[WeekDay]]=1, calendar[[#This Row],[WeekDay]]=7),P3178,P3178+1)</f>
        <v>2264</v>
      </c>
      <c r="S3179">
        <f>IF(OR(calendar[[#This Row],[PT_BH]]=1,calendar[[#This Row],[WeekDay]]=1, calendar[[#This Row],[WeekDay]]=7),P3178,P3178+1)</f>
        <v>2264</v>
      </c>
    </row>
    <row r="3180" spans="1:19" x14ac:dyDescent="0.25">
      <c r="A3180" s="2">
        <v>45914</v>
      </c>
      <c r="B3180" s="1">
        <f t="shared" si="248"/>
        <v>38</v>
      </c>
      <c r="C3180">
        <f t="shared" si="250"/>
        <v>9</v>
      </c>
      <c r="D3180" t="str">
        <f t="shared" si="251"/>
        <v>September</v>
      </c>
      <c r="E3180">
        <f t="shared" si="252"/>
        <v>2025</v>
      </c>
      <c r="F3180" t="str">
        <f>CONCATENATE(calendar[[#This Row],[Month]],"/",calendar[[#This Row],[Year]])</f>
        <v>9/2025</v>
      </c>
      <c r="G3180">
        <f>WEEKDAY(calendar[[#This Row],[Date]],1)</f>
        <v>1</v>
      </c>
      <c r="H3180" t="str">
        <f>TEXT(calendar[[#This Row],[WeekDay]],"dddd")</f>
        <v>Sunday</v>
      </c>
      <c r="I3180">
        <f>IF((INT(calendar[[#This Row],[Count]]/7)-calendar[[#This Row],[Count]]/7)&lt;0,I3179,I3179+1)</f>
        <v>455</v>
      </c>
      <c r="J3180">
        <f t="shared" si="249"/>
        <v>3178</v>
      </c>
      <c r="K3180">
        <f>IF(calendar[[#This Row],[Month]]&lt;4,1,IF(calendar[[#This Row],[Month]]&lt;7,2,IF(calendar[[#This Row],[Month]]&lt;10,3,4)))</f>
        <v>3</v>
      </c>
      <c r="L3180">
        <f>IFERROR(IF(VLOOKUP(calendar[[#This Row],[Date]],BH!A:A,1,)&lt;&gt;"",1,0),0)</f>
        <v>0</v>
      </c>
      <c r="M3180">
        <f>IFERROR(IF(VLOOKUP(calendar[[#This Row],[Date]],BH!C:C,1,)&lt;&gt;"",1,0),0)</f>
        <v>0</v>
      </c>
      <c r="N3180">
        <f>IFERROR(IF(VLOOKUP(calendar[[#This Row],[Date]],BH!E:E,1,)&lt;&gt;"",1,0),0)</f>
        <v>0</v>
      </c>
      <c r="O3180">
        <f>IFERROR(IF(VLOOKUP(calendar[[#This Row],[Date]],BH!G:G,1,)&lt;&gt;"",1,0),0)</f>
        <v>0</v>
      </c>
      <c r="P3180">
        <f>IF(OR(calendar[[#This Row],[UK_BH]]=1,calendar[[#This Row],[WeekDay]]=1, calendar[[#This Row],[WeekDay]]=7),P3179,P3179+1)</f>
        <v>2264</v>
      </c>
      <c r="Q3180">
        <f>IF(OR(calendar[[#This Row],[FR_BH]]=1,calendar[[#This Row],[WeekDay]]=1, calendar[[#This Row],[WeekDay]]=7),P3179,P3179+1)</f>
        <v>2264</v>
      </c>
      <c r="R3180">
        <f>IF(OR(calendar[[#This Row],[SP_BH]]=1,calendar[[#This Row],[WeekDay]]=1, calendar[[#This Row],[WeekDay]]=7),P3179,P3179+1)</f>
        <v>2264</v>
      </c>
      <c r="S3180">
        <f>IF(OR(calendar[[#This Row],[PT_BH]]=1,calendar[[#This Row],[WeekDay]]=1, calendar[[#This Row],[WeekDay]]=7),P3179,P3179+1)</f>
        <v>2264</v>
      </c>
    </row>
    <row r="3181" spans="1:19" x14ac:dyDescent="0.25">
      <c r="A3181" s="2">
        <v>45915</v>
      </c>
      <c r="B3181" s="1">
        <f t="shared" si="248"/>
        <v>38</v>
      </c>
      <c r="C3181">
        <f t="shared" si="250"/>
        <v>9</v>
      </c>
      <c r="D3181" t="str">
        <f t="shared" si="251"/>
        <v>September</v>
      </c>
      <c r="E3181">
        <f t="shared" si="252"/>
        <v>2025</v>
      </c>
      <c r="F3181" t="str">
        <f>CONCATENATE(calendar[[#This Row],[Month]],"/",calendar[[#This Row],[Year]])</f>
        <v>9/2025</v>
      </c>
      <c r="G3181">
        <f>WEEKDAY(calendar[[#This Row],[Date]],1)</f>
        <v>2</v>
      </c>
      <c r="H3181" t="str">
        <f>TEXT(calendar[[#This Row],[WeekDay]],"dddd")</f>
        <v>Monday</v>
      </c>
      <c r="I3181">
        <f>IF((INT(calendar[[#This Row],[Count]]/7)-calendar[[#This Row],[Count]]/7)&lt;0,I3180,I3180+1)</f>
        <v>455</v>
      </c>
      <c r="J3181">
        <f t="shared" si="249"/>
        <v>3179</v>
      </c>
      <c r="K3181">
        <f>IF(calendar[[#This Row],[Month]]&lt;4,1,IF(calendar[[#This Row],[Month]]&lt;7,2,IF(calendar[[#This Row],[Month]]&lt;10,3,4)))</f>
        <v>3</v>
      </c>
      <c r="L3181">
        <f>IFERROR(IF(VLOOKUP(calendar[[#This Row],[Date]],BH!A:A,1,)&lt;&gt;"",1,0),0)</f>
        <v>0</v>
      </c>
      <c r="M3181">
        <f>IFERROR(IF(VLOOKUP(calendar[[#This Row],[Date]],BH!C:C,1,)&lt;&gt;"",1,0),0)</f>
        <v>0</v>
      </c>
      <c r="N3181">
        <f>IFERROR(IF(VLOOKUP(calendar[[#This Row],[Date]],BH!E:E,1,)&lt;&gt;"",1,0),0)</f>
        <v>0</v>
      </c>
      <c r="O3181">
        <f>IFERROR(IF(VLOOKUP(calendar[[#This Row],[Date]],BH!G:G,1,)&lt;&gt;"",1,0),0)</f>
        <v>0</v>
      </c>
      <c r="P3181">
        <f>IF(OR(calendar[[#This Row],[UK_BH]]=1,calendar[[#This Row],[WeekDay]]=1, calendar[[#This Row],[WeekDay]]=7),P3180,P3180+1)</f>
        <v>2265</v>
      </c>
      <c r="Q3181">
        <f>IF(OR(calendar[[#This Row],[FR_BH]]=1,calendar[[#This Row],[WeekDay]]=1, calendar[[#This Row],[WeekDay]]=7),P3180,P3180+1)</f>
        <v>2265</v>
      </c>
      <c r="R3181">
        <f>IF(OR(calendar[[#This Row],[SP_BH]]=1,calendar[[#This Row],[WeekDay]]=1, calendar[[#This Row],[WeekDay]]=7),P3180,P3180+1)</f>
        <v>2265</v>
      </c>
      <c r="S3181">
        <f>IF(OR(calendar[[#This Row],[PT_BH]]=1,calendar[[#This Row],[WeekDay]]=1, calendar[[#This Row],[WeekDay]]=7),P3180,P3180+1)</f>
        <v>2265</v>
      </c>
    </row>
    <row r="3182" spans="1:19" x14ac:dyDescent="0.25">
      <c r="A3182" s="2">
        <v>45916</v>
      </c>
      <c r="B3182" s="1">
        <f t="shared" si="248"/>
        <v>38</v>
      </c>
      <c r="C3182">
        <f t="shared" si="250"/>
        <v>9</v>
      </c>
      <c r="D3182" t="str">
        <f t="shared" si="251"/>
        <v>September</v>
      </c>
      <c r="E3182">
        <f t="shared" si="252"/>
        <v>2025</v>
      </c>
      <c r="F3182" t="str">
        <f>CONCATENATE(calendar[[#This Row],[Month]],"/",calendar[[#This Row],[Year]])</f>
        <v>9/2025</v>
      </c>
      <c r="G3182">
        <f>WEEKDAY(calendar[[#This Row],[Date]],1)</f>
        <v>3</v>
      </c>
      <c r="H3182" t="str">
        <f>TEXT(calendar[[#This Row],[WeekDay]],"dddd")</f>
        <v>Tuesday</v>
      </c>
      <c r="I3182">
        <f>IF((INT(calendar[[#This Row],[Count]]/7)-calendar[[#This Row],[Count]]/7)&lt;0,I3181,I3181+1)</f>
        <v>455</v>
      </c>
      <c r="J3182">
        <f t="shared" si="249"/>
        <v>3180</v>
      </c>
      <c r="K3182">
        <f>IF(calendar[[#This Row],[Month]]&lt;4,1,IF(calendar[[#This Row],[Month]]&lt;7,2,IF(calendar[[#This Row],[Month]]&lt;10,3,4)))</f>
        <v>3</v>
      </c>
      <c r="L3182">
        <f>IFERROR(IF(VLOOKUP(calendar[[#This Row],[Date]],BH!A:A,1,)&lt;&gt;"",1,0),0)</f>
        <v>0</v>
      </c>
      <c r="M3182">
        <f>IFERROR(IF(VLOOKUP(calendar[[#This Row],[Date]],BH!C:C,1,)&lt;&gt;"",1,0),0)</f>
        <v>0</v>
      </c>
      <c r="N3182">
        <f>IFERROR(IF(VLOOKUP(calendar[[#This Row],[Date]],BH!E:E,1,)&lt;&gt;"",1,0),0)</f>
        <v>0</v>
      </c>
      <c r="O3182">
        <f>IFERROR(IF(VLOOKUP(calendar[[#This Row],[Date]],BH!G:G,1,)&lt;&gt;"",1,0),0)</f>
        <v>0</v>
      </c>
      <c r="P3182">
        <f>IF(OR(calendar[[#This Row],[UK_BH]]=1,calendar[[#This Row],[WeekDay]]=1, calendar[[#This Row],[WeekDay]]=7),P3181,P3181+1)</f>
        <v>2266</v>
      </c>
      <c r="Q3182">
        <f>IF(OR(calendar[[#This Row],[FR_BH]]=1,calendar[[#This Row],[WeekDay]]=1, calendar[[#This Row],[WeekDay]]=7),P3181,P3181+1)</f>
        <v>2266</v>
      </c>
      <c r="R3182">
        <f>IF(OR(calendar[[#This Row],[SP_BH]]=1,calendar[[#This Row],[WeekDay]]=1, calendar[[#This Row],[WeekDay]]=7),P3181,P3181+1)</f>
        <v>2266</v>
      </c>
      <c r="S3182">
        <f>IF(OR(calendar[[#This Row],[PT_BH]]=1,calendar[[#This Row],[WeekDay]]=1, calendar[[#This Row],[WeekDay]]=7),P3181,P3181+1)</f>
        <v>2266</v>
      </c>
    </row>
    <row r="3183" spans="1:19" x14ac:dyDescent="0.25">
      <c r="A3183" s="2">
        <v>45917</v>
      </c>
      <c r="B3183" s="1">
        <f t="shared" si="248"/>
        <v>38</v>
      </c>
      <c r="C3183">
        <f t="shared" si="250"/>
        <v>9</v>
      </c>
      <c r="D3183" t="str">
        <f t="shared" si="251"/>
        <v>September</v>
      </c>
      <c r="E3183">
        <f t="shared" si="252"/>
        <v>2025</v>
      </c>
      <c r="F3183" t="str">
        <f>CONCATENATE(calendar[[#This Row],[Month]],"/",calendar[[#This Row],[Year]])</f>
        <v>9/2025</v>
      </c>
      <c r="G3183">
        <f>WEEKDAY(calendar[[#This Row],[Date]],1)</f>
        <v>4</v>
      </c>
      <c r="H3183" t="str">
        <f>TEXT(calendar[[#This Row],[WeekDay]],"dddd")</f>
        <v>Wednesday</v>
      </c>
      <c r="I3183">
        <f>IF((INT(calendar[[#This Row],[Count]]/7)-calendar[[#This Row],[Count]]/7)&lt;0,I3182,I3182+1)</f>
        <v>455</v>
      </c>
      <c r="J3183">
        <f t="shared" si="249"/>
        <v>3181</v>
      </c>
      <c r="K3183">
        <f>IF(calendar[[#This Row],[Month]]&lt;4,1,IF(calendar[[#This Row],[Month]]&lt;7,2,IF(calendar[[#This Row],[Month]]&lt;10,3,4)))</f>
        <v>3</v>
      </c>
      <c r="L3183">
        <f>IFERROR(IF(VLOOKUP(calendar[[#This Row],[Date]],BH!A:A,1,)&lt;&gt;"",1,0),0)</f>
        <v>0</v>
      </c>
      <c r="M3183">
        <f>IFERROR(IF(VLOOKUP(calendar[[#This Row],[Date]],BH!C:C,1,)&lt;&gt;"",1,0),0)</f>
        <v>0</v>
      </c>
      <c r="N3183">
        <f>IFERROR(IF(VLOOKUP(calendar[[#This Row],[Date]],BH!E:E,1,)&lt;&gt;"",1,0),0)</f>
        <v>0</v>
      </c>
      <c r="O3183">
        <f>IFERROR(IF(VLOOKUP(calendar[[#This Row],[Date]],BH!G:G,1,)&lt;&gt;"",1,0),0)</f>
        <v>0</v>
      </c>
      <c r="P3183">
        <f>IF(OR(calendar[[#This Row],[UK_BH]]=1,calendar[[#This Row],[WeekDay]]=1, calendar[[#This Row],[WeekDay]]=7),P3182,P3182+1)</f>
        <v>2267</v>
      </c>
      <c r="Q3183">
        <f>IF(OR(calendar[[#This Row],[FR_BH]]=1,calendar[[#This Row],[WeekDay]]=1, calendar[[#This Row],[WeekDay]]=7),P3182,P3182+1)</f>
        <v>2267</v>
      </c>
      <c r="R3183">
        <f>IF(OR(calendar[[#This Row],[SP_BH]]=1,calendar[[#This Row],[WeekDay]]=1, calendar[[#This Row],[WeekDay]]=7),P3182,P3182+1)</f>
        <v>2267</v>
      </c>
      <c r="S3183">
        <f>IF(OR(calendar[[#This Row],[PT_BH]]=1,calendar[[#This Row],[WeekDay]]=1, calendar[[#This Row],[WeekDay]]=7),P3182,P3182+1)</f>
        <v>2267</v>
      </c>
    </row>
    <row r="3184" spans="1:19" x14ac:dyDescent="0.25">
      <c r="A3184" s="2">
        <v>45918</v>
      </c>
      <c r="B3184" s="1">
        <f t="shared" si="248"/>
        <v>38</v>
      </c>
      <c r="C3184">
        <f t="shared" si="250"/>
        <v>9</v>
      </c>
      <c r="D3184" t="str">
        <f t="shared" si="251"/>
        <v>September</v>
      </c>
      <c r="E3184">
        <f t="shared" si="252"/>
        <v>2025</v>
      </c>
      <c r="F3184" t="str">
        <f>CONCATENATE(calendar[[#This Row],[Month]],"/",calendar[[#This Row],[Year]])</f>
        <v>9/2025</v>
      </c>
      <c r="G3184">
        <f>WEEKDAY(calendar[[#This Row],[Date]],1)</f>
        <v>5</v>
      </c>
      <c r="H3184" t="str">
        <f>TEXT(calendar[[#This Row],[WeekDay]],"dddd")</f>
        <v>Thursday</v>
      </c>
      <c r="I3184">
        <f>IF((INT(calendar[[#This Row],[Count]]/7)-calendar[[#This Row],[Count]]/7)&lt;0,I3183,I3183+1)</f>
        <v>455</v>
      </c>
      <c r="J3184">
        <f t="shared" si="249"/>
        <v>3182</v>
      </c>
      <c r="K3184">
        <f>IF(calendar[[#This Row],[Month]]&lt;4,1,IF(calendar[[#This Row],[Month]]&lt;7,2,IF(calendar[[#This Row],[Month]]&lt;10,3,4)))</f>
        <v>3</v>
      </c>
      <c r="L3184">
        <f>IFERROR(IF(VLOOKUP(calendar[[#This Row],[Date]],BH!A:A,1,)&lt;&gt;"",1,0),0)</f>
        <v>0</v>
      </c>
      <c r="M3184">
        <f>IFERROR(IF(VLOOKUP(calendar[[#This Row],[Date]],BH!C:C,1,)&lt;&gt;"",1,0),0)</f>
        <v>0</v>
      </c>
      <c r="N3184">
        <f>IFERROR(IF(VLOOKUP(calendar[[#This Row],[Date]],BH!E:E,1,)&lt;&gt;"",1,0),0)</f>
        <v>0</v>
      </c>
      <c r="O3184">
        <f>IFERROR(IF(VLOOKUP(calendar[[#This Row],[Date]],BH!G:G,1,)&lt;&gt;"",1,0),0)</f>
        <v>0</v>
      </c>
      <c r="P3184">
        <f>IF(OR(calendar[[#This Row],[UK_BH]]=1,calendar[[#This Row],[WeekDay]]=1, calendar[[#This Row],[WeekDay]]=7),P3183,P3183+1)</f>
        <v>2268</v>
      </c>
      <c r="Q3184">
        <f>IF(OR(calendar[[#This Row],[FR_BH]]=1,calendar[[#This Row],[WeekDay]]=1, calendar[[#This Row],[WeekDay]]=7),P3183,P3183+1)</f>
        <v>2268</v>
      </c>
      <c r="R3184">
        <f>IF(OR(calendar[[#This Row],[SP_BH]]=1,calendar[[#This Row],[WeekDay]]=1, calendar[[#This Row],[WeekDay]]=7),P3183,P3183+1)</f>
        <v>2268</v>
      </c>
      <c r="S3184">
        <f>IF(OR(calendar[[#This Row],[PT_BH]]=1,calendar[[#This Row],[WeekDay]]=1, calendar[[#This Row],[WeekDay]]=7),P3183,P3183+1)</f>
        <v>2268</v>
      </c>
    </row>
    <row r="3185" spans="1:19" x14ac:dyDescent="0.25">
      <c r="A3185" s="2">
        <v>45919</v>
      </c>
      <c r="B3185" s="1">
        <f t="shared" si="248"/>
        <v>38</v>
      </c>
      <c r="C3185">
        <f t="shared" si="250"/>
        <v>9</v>
      </c>
      <c r="D3185" t="str">
        <f t="shared" si="251"/>
        <v>September</v>
      </c>
      <c r="E3185">
        <f t="shared" si="252"/>
        <v>2025</v>
      </c>
      <c r="F3185" t="str">
        <f>CONCATENATE(calendar[[#This Row],[Month]],"/",calendar[[#This Row],[Year]])</f>
        <v>9/2025</v>
      </c>
      <c r="G3185">
        <f>WEEKDAY(calendar[[#This Row],[Date]],1)</f>
        <v>6</v>
      </c>
      <c r="H3185" t="str">
        <f>TEXT(calendar[[#This Row],[WeekDay]],"dddd")</f>
        <v>Friday</v>
      </c>
      <c r="I3185">
        <f>IF((INT(calendar[[#This Row],[Count]]/7)-calendar[[#This Row],[Count]]/7)&lt;0,I3184,I3184+1)</f>
        <v>455</v>
      </c>
      <c r="J3185">
        <f t="shared" si="249"/>
        <v>3183</v>
      </c>
      <c r="K3185">
        <f>IF(calendar[[#This Row],[Month]]&lt;4,1,IF(calendar[[#This Row],[Month]]&lt;7,2,IF(calendar[[#This Row],[Month]]&lt;10,3,4)))</f>
        <v>3</v>
      </c>
      <c r="L3185">
        <f>IFERROR(IF(VLOOKUP(calendar[[#This Row],[Date]],BH!A:A,1,)&lt;&gt;"",1,0),0)</f>
        <v>0</v>
      </c>
      <c r="M3185">
        <f>IFERROR(IF(VLOOKUP(calendar[[#This Row],[Date]],BH!C:C,1,)&lt;&gt;"",1,0),0)</f>
        <v>0</v>
      </c>
      <c r="N3185">
        <f>IFERROR(IF(VLOOKUP(calendar[[#This Row],[Date]],BH!E:E,1,)&lt;&gt;"",1,0),0)</f>
        <v>0</v>
      </c>
      <c r="O3185">
        <f>IFERROR(IF(VLOOKUP(calendar[[#This Row],[Date]],BH!G:G,1,)&lt;&gt;"",1,0),0)</f>
        <v>0</v>
      </c>
      <c r="P3185">
        <f>IF(OR(calendar[[#This Row],[UK_BH]]=1,calendar[[#This Row],[WeekDay]]=1, calendar[[#This Row],[WeekDay]]=7),P3184,P3184+1)</f>
        <v>2269</v>
      </c>
      <c r="Q3185">
        <f>IF(OR(calendar[[#This Row],[FR_BH]]=1,calendar[[#This Row],[WeekDay]]=1, calendar[[#This Row],[WeekDay]]=7),P3184,P3184+1)</f>
        <v>2269</v>
      </c>
      <c r="R3185">
        <f>IF(OR(calendar[[#This Row],[SP_BH]]=1,calendar[[#This Row],[WeekDay]]=1, calendar[[#This Row],[WeekDay]]=7),P3184,P3184+1)</f>
        <v>2269</v>
      </c>
      <c r="S3185">
        <f>IF(OR(calendar[[#This Row],[PT_BH]]=1,calendar[[#This Row],[WeekDay]]=1, calendar[[#This Row],[WeekDay]]=7),P3184,P3184+1)</f>
        <v>2269</v>
      </c>
    </row>
    <row r="3186" spans="1:19" x14ac:dyDescent="0.25">
      <c r="A3186" s="2">
        <v>45920</v>
      </c>
      <c r="B3186" s="1">
        <f t="shared" si="248"/>
        <v>38</v>
      </c>
      <c r="C3186">
        <f t="shared" si="250"/>
        <v>9</v>
      </c>
      <c r="D3186" t="str">
        <f t="shared" si="251"/>
        <v>September</v>
      </c>
      <c r="E3186">
        <f t="shared" si="252"/>
        <v>2025</v>
      </c>
      <c r="F3186" t="str">
        <f>CONCATENATE(calendar[[#This Row],[Month]],"/",calendar[[#This Row],[Year]])</f>
        <v>9/2025</v>
      </c>
      <c r="G3186">
        <f>WEEKDAY(calendar[[#This Row],[Date]],1)</f>
        <v>7</v>
      </c>
      <c r="H3186" t="str">
        <f>TEXT(calendar[[#This Row],[WeekDay]],"dddd")</f>
        <v>Saturday</v>
      </c>
      <c r="I3186">
        <f>IF((INT(calendar[[#This Row],[Count]]/7)-calendar[[#This Row],[Count]]/7)&lt;0,I3185,I3185+1)</f>
        <v>455</v>
      </c>
      <c r="J3186">
        <f t="shared" si="249"/>
        <v>3184</v>
      </c>
      <c r="K3186">
        <f>IF(calendar[[#This Row],[Month]]&lt;4,1,IF(calendar[[#This Row],[Month]]&lt;7,2,IF(calendar[[#This Row],[Month]]&lt;10,3,4)))</f>
        <v>3</v>
      </c>
      <c r="L3186">
        <f>IFERROR(IF(VLOOKUP(calendar[[#This Row],[Date]],BH!A:A,1,)&lt;&gt;"",1,0),0)</f>
        <v>0</v>
      </c>
      <c r="M3186">
        <f>IFERROR(IF(VLOOKUP(calendar[[#This Row],[Date]],BH!C:C,1,)&lt;&gt;"",1,0),0)</f>
        <v>0</v>
      </c>
      <c r="N3186">
        <f>IFERROR(IF(VLOOKUP(calendar[[#This Row],[Date]],BH!E:E,1,)&lt;&gt;"",1,0),0)</f>
        <v>0</v>
      </c>
      <c r="O3186">
        <f>IFERROR(IF(VLOOKUP(calendar[[#This Row],[Date]],BH!G:G,1,)&lt;&gt;"",1,0),0)</f>
        <v>0</v>
      </c>
      <c r="P3186">
        <f>IF(OR(calendar[[#This Row],[UK_BH]]=1,calendar[[#This Row],[WeekDay]]=1, calendar[[#This Row],[WeekDay]]=7),P3185,P3185+1)</f>
        <v>2269</v>
      </c>
      <c r="Q3186">
        <f>IF(OR(calendar[[#This Row],[FR_BH]]=1,calendar[[#This Row],[WeekDay]]=1, calendar[[#This Row],[WeekDay]]=7),P3185,P3185+1)</f>
        <v>2269</v>
      </c>
      <c r="R3186">
        <f>IF(OR(calendar[[#This Row],[SP_BH]]=1,calendar[[#This Row],[WeekDay]]=1, calendar[[#This Row],[WeekDay]]=7),P3185,P3185+1)</f>
        <v>2269</v>
      </c>
      <c r="S3186">
        <f>IF(OR(calendar[[#This Row],[PT_BH]]=1,calendar[[#This Row],[WeekDay]]=1, calendar[[#This Row],[WeekDay]]=7),P3185,P3185+1)</f>
        <v>2269</v>
      </c>
    </row>
    <row r="3187" spans="1:19" x14ac:dyDescent="0.25">
      <c r="A3187" s="2">
        <v>45921</v>
      </c>
      <c r="B3187" s="1">
        <f t="shared" si="248"/>
        <v>39</v>
      </c>
      <c r="C3187">
        <f t="shared" si="250"/>
        <v>9</v>
      </c>
      <c r="D3187" t="str">
        <f t="shared" si="251"/>
        <v>September</v>
      </c>
      <c r="E3187">
        <f t="shared" si="252"/>
        <v>2025</v>
      </c>
      <c r="F3187" t="str">
        <f>CONCATENATE(calendar[[#This Row],[Month]],"/",calendar[[#This Row],[Year]])</f>
        <v>9/2025</v>
      </c>
      <c r="G3187">
        <f>WEEKDAY(calendar[[#This Row],[Date]],1)</f>
        <v>1</v>
      </c>
      <c r="H3187" t="str">
        <f>TEXT(calendar[[#This Row],[WeekDay]],"dddd")</f>
        <v>Sunday</v>
      </c>
      <c r="I3187">
        <f>IF((INT(calendar[[#This Row],[Count]]/7)-calendar[[#This Row],[Count]]/7)&lt;0,I3186,I3186+1)</f>
        <v>456</v>
      </c>
      <c r="J3187">
        <f t="shared" si="249"/>
        <v>3185</v>
      </c>
      <c r="K3187">
        <f>IF(calendar[[#This Row],[Month]]&lt;4,1,IF(calendar[[#This Row],[Month]]&lt;7,2,IF(calendar[[#This Row],[Month]]&lt;10,3,4)))</f>
        <v>3</v>
      </c>
      <c r="L3187">
        <f>IFERROR(IF(VLOOKUP(calendar[[#This Row],[Date]],BH!A:A,1,)&lt;&gt;"",1,0),0)</f>
        <v>0</v>
      </c>
      <c r="M3187">
        <f>IFERROR(IF(VLOOKUP(calendar[[#This Row],[Date]],BH!C:C,1,)&lt;&gt;"",1,0),0)</f>
        <v>0</v>
      </c>
      <c r="N3187">
        <f>IFERROR(IF(VLOOKUP(calendar[[#This Row],[Date]],BH!E:E,1,)&lt;&gt;"",1,0),0)</f>
        <v>0</v>
      </c>
      <c r="O3187">
        <f>IFERROR(IF(VLOOKUP(calendar[[#This Row],[Date]],BH!G:G,1,)&lt;&gt;"",1,0),0)</f>
        <v>0</v>
      </c>
      <c r="P3187">
        <f>IF(OR(calendar[[#This Row],[UK_BH]]=1,calendar[[#This Row],[WeekDay]]=1, calendar[[#This Row],[WeekDay]]=7),P3186,P3186+1)</f>
        <v>2269</v>
      </c>
      <c r="Q3187">
        <f>IF(OR(calendar[[#This Row],[FR_BH]]=1,calendar[[#This Row],[WeekDay]]=1, calendar[[#This Row],[WeekDay]]=7),P3186,P3186+1)</f>
        <v>2269</v>
      </c>
      <c r="R3187">
        <f>IF(OR(calendar[[#This Row],[SP_BH]]=1,calendar[[#This Row],[WeekDay]]=1, calendar[[#This Row],[WeekDay]]=7),P3186,P3186+1)</f>
        <v>2269</v>
      </c>
      <c r="S3187">
        <f>IF(OR(calendar[[#This Row],[PT_BH]]=1,calendar[[#This Row],[WeekDay]]=1, calendar[[#This Row],[WeekDay]]=7),P3186,P3186+1)</f>
        <v>2269</v>
      </c>
    </row>
    <row r="3188" spans="1:19" x14ac:dyDescent="0.25">
      <c r="A3188" s="2">
        <v>45922</v>
      </c>
      <c r="B3188" s="1">
        <f t="shared" si="248"/>
        <v>39</v>
      </c>
      <c r="C3188">
        <f t="shared" si="250"/>
        <v>9</v>
      </c>
      <c r="D3188" t="str">
        <f t="shared" si="251"/>
        <v>September</v>
      </c>
      <c r="E3188">
        <f t="shared" si="252"/>
        <v>2025</v>
      </c>
      <c r="F3188" t="str">
        <f>CONCATENATE(calendar[[#This Row],[Month]],"/",calendar[[#This Row],[Year]])</f>
        <v>9/2025</v>
      </c>
      <c r="G3188">
        <f>WEEKDAY(calendar[[#This Row],[Date]],1)</f>
        <v>2</v>
      </c>
      <c r="H3188" t="str">
        <f>TEXT(calendar[[#This Row],[WeekDay]],"dddd")</f>
        <v>Monday</v>
      </c>
      <c r="I3188">
        <f>IF((INT(calendar[[#This Row],[Count]]/7)-calendar[[#This Row],[Count]]/7)&lt;0,I3187,I3187+1)</f>
        <v>456</v>
      </c>
      <c r="J3188">
        <f t="shared" si="249"/>
        <v>3186</v>
      </c>
      <c r="K3188">
        <f>IF(calendar[[#This Row],[Month]]&lt;4,1,IF(calendar[[#This Row],[Month]]&lt;7,2,IF(calendar[[#This Row],[Month]]&lt;10,3,4)))</f>
        <v>3</v>
      </c>
      <c r="L3188">
        <f>IFERROR(IF(VLOOKUP(calendar[[#This Row],[Date]],BH!A:A,1,)&lt;&gt;"",1,0),0)</f>
        <v>0</v>
      </c>
      <c r="M3188">
        <f>IFERROR(IF(VLOOKUP(calendar[[#This Row],[Date]],BH!C:C,1,)&lt;&gt;"",1,0),0)</f>
        <v>0</v>
      </c>
      <c r="N3188">
        <f>IFERROR(IF(VLOOKUP(calendar[[#This Row],[Date]],BH!E:E,1,)&lt;&gt;"",1,0),0)</f>
        <v>0</v>
      </c>
      <c r="O3188">
        <f>IFERROR(IF(VLOOKUP(calendar[[#This Row],[Date]],BH!G:G,1,)&lt;&gt;"",1,0),0)</f>
        <v>0</v>
      </c>
      <c r="P3188">
        <f>IF(OR(calendar[[#This Row],[UK_BH]]=1,calendar[[#This Row],[WeekDay]]=1, calendar[[#This Row],[WeekDay]]=7),P3187,P3187+1)</f>
        <v>2270</v>
      </c>
      <c r="Q3188">
        <f>IF(OR(calendar[[#This Row],[FR_BH]]=1,calendar[[#This Row],[WeekDay]]=1, calendar[[#This Row],[WeekDay]]=7),P3187,P3187+1)</f>
        <v>2270</v>
      </c>
      <c r="R3188">
        <f>IF(OR(calendar[[#This Row],[SP_BH]]=1,calendar[[#This Row],[WeekDay]]=1, calendar[[#This Row],[WeekDay]]=7),P3187,P3187+1)</f>
        <v>2270</v>
      </c>
      <c r="S3188">
        <f>IF(OR(calendar[[#This Row],[PT_BH]]=1,calendar[[#This Row],[WeekDay]]=1, calendar[[#This Row],[WeekDay]]=7),P3187,P3187+1)</f>
        <v>2270</v>
      </c>
    </row>
    <row r="3189" spans="1:19" x14ac:dyDescent="0.25">
      <c r="A3189" s="2">
        <v>45923</v>
      </c>
      <c r="B3189" s="1">
        <f t="shared" si="248"/>
        <v>39</v>
      </c>
      <c r="C3189">
        <f t="shared" si="250"/>
        <v>9</v>
      </c>
      <c r="D3189" t="str">
        <f t="shared" si="251"/>
        <v>September</v>
      </c>
      <c r="E3189">
        <f t="shared" si="252"/>
        <v>2025</v>
      </c>
      <c r="F3189" t="str">
        <f>CONCATENATE(calendar[[#This Row],[Month]],"/",calendar[[#This Row],[Year]])</f>
        <v>9/2025</v>
      </c>
      <c r="G3189">
        <f>WEEKDAY(calendar[[#This Row],[Date]],1)</f>
        <v>3</v>
      </c>
      <c r="H3189" t="str">
        <f>TEXT(calendar[[#This Row],[WeekDay]],"dddd")</f>
        <v>Tuesday</v>
      </c>
      <c r="I3189">
        <f>IF((INT(calendar[[#This Row],[Count]]/7)-calendar[[#This Row],[Count]]/7)&lt;0,I3188,I3188+1)</f>
        <v>456</v>
      </c>
      <c r="J3189">
        <f t="shared" si="249"/>
        <v>3187</v>
      </c>
      <c r="K3189">
        <f>IF(calendar[[#This Row],[Month]]&lt;4,1,IF(calendar[[#This Row],[Month]]&lt;7,2,IF(calendar[[#This Row],[Month]]&lt;10,3,4)))</f>
        <v>3</v>
      </c>
      <c r="L3189">
        <f>IFERROR(IF(VLOOKUP(calendar[[#This Row],[Date]],BH!A:A,1,)&lt;&gt;"",1,0),0)</f>
        <v>0</v>
      </c>
      <c r="M3189">
        <f>IFERROR(IF(VLOOKUP(calendar[[#This Row],[Date]],BH!C:C,1,)&lt;&gt;"",1,0),0)</f>
        <v>0</v>
      </c>
      <c r="N3189">
        <f>IFERROR(IF(VLOOKUP(calendar[[#This Row],[Date]],BH!E:E,1,)&lt;&gt;"",1,0),0)</f>
        <v>0</v>
      </c>
      <c r="O3189">
        <f>IFERROR(IF(VLOOKUP(calendar[[#This Row],[Date]],BH!G:G,1,)&lt;&gt;"",1,0),0)</f>
        <v>0</v>
      </c>
      <c r="P3189">
        <f>IF(OR(calendar[[#This Row],[UK_BH]]=1,calendar[[#This Row],[WeekDay]]=1, calendar[[#This Row],[WeekDay]]=7),P3188,P3188+1)</f>
        <v>2271</v>
      </c>
      <c r="Q3189">
        <f>IF(OR(calendar[[#This Row],[FR_BH]]=1,calendar[[#This Row],[WeekDay]]=1, calendar[[#This Row],[WeekDay]]=7),P3188,P3188+1)</f>
        <v>2271</v>
      </c>
      <c r="R3189">
        <f>IF(OR(calendar[[#This Row],[SP_BH]]=1,calendar[[#This Row],[WeekDay]]=1, calendar[[#This Row],[WeekDay]]=7),P3188,P3188+1)</f>
        <v>2271</v>
      </c>
      <c r="S3189">
        <f>IF(OR(calendar[[#This Row],[PT_BH]]=1,calendar[[#This Row],[WeekDay]]=1, calendar[[#This Row],[WeekDay]]=7),P3188,P3188+1)</f>
        <v>2271</v>
      </c>
    </row>
    <row r="3190" spans="1:19" x14ac:dyDescent="0.25">
      <c r="A3190" s="2">
        <v>45924</v>
      </c>
      <c r="B3190" s="1">
        <f t="shared" si="248"/>
        <v>39</v>
      </c>
      <c r="C3190">
        <f t="shared" si="250"/>
        <v>9</v>
      </c>
      <c r="D3190" t="str">
        <f t="shared" si="251"/>
        <v>September</v>
      </c>
      <c r="E3190">
        <f t="shared" si="252"/>
        <v>2025</v>
      </c>
      <c r="F3190" t="str">
        <f>CONCATENATE(calendar[[#This Row],[Month]],"/",calendar[[#This Row],[Year]])</f>
        <v>9/2025</v>
      </c>
      <c r="G3190">
        <f>WEEKDAY(calendar[[#This Row],[Date]],1)</f>
        <v>4</v>
      </c>
      <c r="H3190" t="str">
        <f>TEXT(calendar[[#This Row],[WeekDay]],"dddd")</f>
        <v>Wednesday</v>
      </c>
      <c r="I3190">
        <f>IF((INT(calendar[[#This Row],[Count]]/7)-calendar[[#This Row],[Count]]/7)&lt;0,I3189,I3189+1)</f>
        <v>456</v>
      </c>
      <c r="J3190">
        <f t="shared" si="249"/>
        <v>3188</v>
      </c>
      <c r="K3190">
        <f>IF(calendar[[#This Row],[Month]]&lt;4,1,IF(calendar[[#This Row],[Month]]&lt;7,2,IF(calendar[[#This Row],[Month]]&lt;10,3,4)))</f>
        <v>3</v>
      </c>
      <c r="L3190">
        <f>IFERROR(IF(VLOOKUP(calendar[[#This Row],[Date]],BH!A:A,1,)&lt;&gt;"",1,0),0)</f>
        <v>0</v>
      </c>
      <c r="M3190">
        <f>IFERROR(IF(VLOOKUP(calendar[[#This Row],[Date]],BH!C:C,1,)&lt;&gt;"",1,0),0)</f>
        <v>0</v>
      </c>
      <c r="N3190">
        <f>IFERROR(IF(VLOOKUP(calendar[[#This Row],[Date]],BH!E:E,1,)&lt;&gt;"",1,0),0)</f>
        <v>0</v>
      </c>
      <c r="O3190">
        <f>IFERROR(IF(VLOOKUP(calendar[[#This Row],[Date]],BH!G:G,1,)&lt;&gt;"",1,0),0)</f>
        <v>0</v>
      </c>
      <c r="P3190">
        <f>IF(OR(calendar[[#This Row],[UK_BH]]=1,calendar[[#This Row],[WeekDay]]=1, calendar[[#This Row],[WeekDay]]=7),P3189,P3189+1)</f>
        <v>2272</v>
      </c>
      <c r="Q3190">
        <f>IF(OR(calendar[[#This Row],[FR_BH]]=1,calendar[[#This Row],[WeekDay]]=1, calendar[[#This Row],[WeekDay]]=7),P3189,P3189+1)</f>
        <v>2272</v>
      </c>
      <c r="R3190">
        <f>IF(OR(calendar[[#This Row],[SP_BH]]=1,calendar[[#This Row],[WeekDay]]=1, calendar[[#This Row],[WeekDay]]=7),P3189,P3189+1)</f>
        <v>2272</v>
      </c>
      <c r="S3190">
        <f>IF(OR(calendar[[#This Row],[PT_BH]]=1,calendar[[#This Row],[WeekDay]]=1, calendar[[#This Row],[WeekDay]]=7),P3189,P3189+1)</f>
        <v>2272</v>
      </c>
    </row>
    <row r="3191" spans="1:19" x14ac:dyDescent="0.25">
      <c r="A3191" s="2">
        <v>45925</v>
      </c>
      <c r="B3191" s="1">
        <f t="shared" si="248"/>
        <v>39</v>
      </c>
      <c r="C3191">
        <f t="shared" si="250"/>
        <v>9</v>
      </c>
      <c r="D3191" t="str">
        <f t="shared" si="251"/>
        <v>September</v>
      </c>
      <c r="E3191">
        <f t="shared" si="252"/>
        <v>2025</v>
      </c>
      <c r="F3191" t="str">
        <f>CONCATENATE(calendar[[#This Row],[Month]],"/",calendar[[#This Row],[Year]])</f>
        <v>9/2025</v>
      </c>
      <c r="G3191">
        <f>WEEKDAY(calendar[[#This Row],[Date]],1)</f>
        <v>5</v>
      </c>
      <c r="H3191" t="str">
        <f>TEXT(calendar[[#This Row],[WeekDay]],"dddd")</f>
        <v>Thursday</v>
      </c>
      <c r="I3191">
        <f>IF((INT(calendar[[#This Row],[Count]]/7)-calendar[[#This Row],[Count]]/7)&lt;0,I3190,I3190+1)</f>
        <v>456</v>
      </c>
      <c r="J3191">
        <f t="shared" si="249"/>
        <v>3189</v>
      </c>
      <c r="K3191">
        <f>IF(calendar[[#This Row],[Month]]&lt;4,1,IF(calendar[[#This Row],[Month]]&lt;7,2,IF(calendar[[#This Row],[Month]]&lt;10,3,4)))</f>
        <v>3</v>
      </c>
      <c r="L3191">
        <f>IFERROR(IF(VLOOKUP(calendar[[#This Row],[Date]],BH!A:A,1,)&lt;&gt;"",1,0),0)</f>
        <v>0</v>
      </c>
      <c r="M3191">
        <f>IFERROR(IF(VLOOKUP(calendar[[#This Row],[Date]],BH!C:C,1,)&lt;&gt;"",1,0),0)</f>
        <v>0</v>
      </c>
      <c r="N3191">
        <f>IFERROR(IF(VLOOKUP(calendar[[#This Row],[Date]],BH!E:E,1,)&lt;&gt;"",1,0),0)</f>
        <v>0</v>
      </c>
      <c r="O3191">
        <f>IFERROR(IF(VLOOKUP(calendar[[#This Row],[Date]],BH!G:G,1,)&lt;&gt;"",1,0),0)</f>
        <v>0</v>
      </c>
      <c r="P3191">
        <f>IF(OR(calendar[[#This Row],[UK_BH]]=1,calendar[[#This Row],[WeekDay]]=1, calendar[[#This Row],[WeekDay]]=7),P3190,P3190+1)</f>
        <v>2273</v>
      </c>
      <c r="Q3191">
        <f>IF(OR(calendar[[#This Row],[FR_BH]]=1,calendar[[#This Row],[WeekDay]]=1, calendar[[#This Row],[WeekDay]]=7),P3190,P3190+1)</f>
        <v>2273</v>
      </c>
      <c r="R3191">
        <f>IF(OR(calendar[[#This Row],[SP_BH]]=1,calendar[[#This Row],[WeekDay]]=1, calendar[[#This Row],[WeekDay]]=7),P3190,P3190+1)</f>
        <v>2273</v>
      </c>
      <c r="S3191">
        <f>IF(OR(calendar[[#This Row],[PT_BH]]=1,calendar[[#This Row],[WeekDay]]=1, calendar[[#This Row],[WeekDay]]=7),P3190,P3190+1)</f>
        <v>2273</v>
      </c>
    </row>
    <row r="3192" spans="1:19" x14ac:dyDescent="0.25">
      <c r="A3192" s="2">
        <v>45926</v>
      </c>
      <c r="B3192" s="1">
        <f t="shared" si="248"/>
        <v>39</v>
      </c>
      <c r="C3192">
        <f t="shared" si="250"/>
        <v>9</v>
      </c>
      <c r="D3192" t="str">
        <f t="shared" si="251"/>
        <v>September</v>
      </c>
      <c r="E3192">
        <f t="shared" si="252"/>
        <v>2025</v>
      </c>
      <c r="F3192" t="str">
        <f>CONCATENATE(calendar[[#This Row],[Month]],"/",calendar[[#This Row],[Year]])</f>
        <v>9/2025</v>
      </c>
      <c r="G3192">
        <f>WEEKDAY(calendar[[#This Row],[Date]],1)</f>
        <v>6</v>
      </c>
      <c r="H3192" t="str">
        <f>TEXT(calendar[[#This Row],[WeekDay]],"dddd")</f>
        <v>Friday</v>
      </c>
      <c r="I3192">
        <f>IF((INT(calendar[[#This Row],[Count]]/7)-calendar[[#This Row],[Count]]/7)&lt;0,I3191,I3191+1)</f>
        <v>456</v>
      </c>
      <c r="J3192">
        <f t="shared" si="249"/>
        <v>3190</v>
      </c>
      <c r="K3192">
        <f>IF(calendar[[#This Row],[Month]]&lt;4,1,IF(calendar[[#This Row],[Month]]&lt;7,2,IF(calendar[[#This Row],[Month]]&lt;10,3,4)))</f>
        <v>3</v>
      </c>
      <c r="L3192">
        <f>IFERROR(IF(VLOOKUP(calendar[[#This Row],[Date]],BH!A:A,1,)&lt;&gt;"",1,0),0)</f>
        <v>0</v>
      </c>
      <c r="M3192">
        <f>IFERROR(IF(VLOOKUP(calendar[[#This Row],[Date]],BH!C:C,1,)&lt;&gt;"",1,0),0)</f>
        <v>0</v>
      </c>
      <c r="N3192">
        <f>IFERROR(IF(VLOOKUP(calendar[[#This Row],[Date]],BH!E:E,1,)&lt;&gt;"",1,0),0)</f>
        <v>0</v>
      </c>
      <c r="O3192">
        <f>IFERROR(IF(VLOOKUP(calendar[[#This Row],[Date]],BH!G:G,1,)&lt;&gt;"",1,0),0)</f>
        <v>0</v>
      </c>
      <c r="P3192">
        <f>IF(OR(calendar[[#This Row],[UK_BH]]=1,calendar[[#This Row],[WeekDay]]=1, calendar[[#This Row],[WeekDay]]=7),P3191,P3191+1)</f>
        <v>2274</v>
      </c>
      <c r="Q3192">
        <f>IF(OR(calendar[[#This Row],[FR_BH]]=1,calendar[[#This Row],[WeekDay]]=1, calendar[[#This Row],[WeekDay]]=7),P3191,P3191+1)</f>
        <v>2274</v>
      </c>
      <c r="R3192">
        <f>IF(OR(calendar[[#This Row],[SP_BH]]=1,calendar[[#This Row],[WeekDay]]=1, calendar[[#This Row],[WeekDay]]=7),P3191,P3191+1)</f>
        <v>2274</v>
      </c>
      <c r="S3192">
        <f>IF(OR(calendar[[#This Row],[PT_BH]]=1,calendar[[#This Row],[WeekDay]]=1, calendar[[#This Row],[WeekDay]]=7),P3191,P3191+1)</f>
        <v>2274</v>
      </c>
    </row>
    <row r="3193" spans="1:19" x14ac:dyDescent="0.25">
      <c r="A3193" s="2">
        <v>45927</v>
      </c>
      <c r="B3193" s="1">
        <f t="shared" si="248"/>
        <v>39</v>
      </c>
      <c r="C3193">
        <f t="shared" si="250"/>
        <v>9</v>
      </c>
      <c r="D3193" t="str">
        <f t="shared" si="251"/>
        <v>September</v>
      </c>
      <c r="E3193">
        <f t="shared" si="252"/>
        <v>2025</v>
      </c>
      <c r="F3193" t="str">
        <f>CONCATENATE(calendar[[#This Row],[Month]],"/",calendar[[#This Row],[Year]])</f>
        <v>9/2025</v>
      </c>
      <c r="G3193">
        <f>WEEKDAY(calendar[[#This Row],[Date]],1)</f>
        <v>7</v>
      </c>
      <c r="H3193" t="str">
        <f>TEXT(calendar[[#This Row],[WeekDay]],"dddd")</f>
        <v>Saturday</v>
      </c>
      <c r="I3193">
        <f>IF((INT(calendar[[#This Row],[Count]]/7)-calendar[[#This Row],[Count]]/7)&lt;0,I3192,I3192+1)</f>
        <v>456</v>
      </c>
      <c r="J3193">
        <f t="shared" si="249"/>
        <v>3191</v>
      </c>
      <c r="K3193">
        <f>IF(calendar[[#This Row],[Month]]&lt;4,1,IF(calendar[[#This Row],[Month]]&lt;7,2,IF(calendar[[#This Row],[Month]]&lt;10,3,4)))</f>
        <v>3</v>
      </c>
      <c r="L3193">
        <f>IFERROR(IF(VLOOKUP(calendar[[#This Row],[Date]],BH!A:A,1,)&lt;&gt;"",1,0),0)</f>
        <v>0</v>
      </c>
      <c r="M3193">
        <f>IFERROR(IF(VLOOKUP(calendar[[#This Row],[Date]],BH!C:C,1,)&lt;&gt;"",1,0),0)</f>
        <v>0</v>
      </c>
      <c r="N3193">
        <f>IFERROR(IF(VLOOKUP(calendar[[#This Row],[Date]],BH!E:E,1,)&lt;&gt;"",1,0),0)</f>
        <v>0</v>
      </c>
      <c r="O3193">
        <f>IFERROR(IF(VLOOKUP(calendar[[#This Row],[Date]],BH!G:G,1,)&lt;&gt;"",1,0),0)</f>
        <v>0</v>
      </c>
      <c r="P3193">
        <f>IF(OR(calendar[[#This Row],[UK_BH]]=1,calendar[[#This Row],[WeekDay]]=1, calendar[[#This Row],[WeekDay]]=7),P3192,P3192+1)</f>
        <v>2274</v>
      </c>
      <c r="Q3193">
        <f>IF(OR(calendar[[#This Row],[FR_BH]]=1,calendar[[#This Row],[WeekDay]]=1, calendar[[#This Row],[WeekDay]]=7),P3192,P3192+1)</f>
        <v>2274</v>
      </c>
      <c r="R3193">
        <f>IF(OR(calendar[[#This Row],[SP_BH]]=1,calendar[[#This Row],[WeekDay]]=1, calendar[[#This Row],[WeekDay]]=7),P3192,P3192+1)</f>
        <v>2274</v>
      </c>
      <c r="S3193">
        <f>IF(OR(calendar[[#This Row],[PT_BH]]=1,calendar[[#This Row],[WeekDay]]=1, calendar[[#This Row],[WeekDay]]=7),P3192,P3192+1)</f>
        <v>2274</v>
      </c>
    </row>
    <row r="3194" spans="1:19" x14ac:dyDescent="0.25">
      <c r="A3194" s="2">
        <v>45928</v>
      </c>
      <c r="B3194" s="1">
        <f t="shared" si="248"/>
        <v>40</v>
      </c>
      <c r="C3194">
        <f t="shared" si="250"/>
        <v>9</v>
      </c>
      <c r="D3194" t="str">
        <f t="shared" si="251"/>
        <v>September</v>
      </c>
      <c r="E3194">
        <f t="shared" si="252"/>
        <v>2025</v>
      </c>
      <c r="F3194" t="str">
        <f>CONCATENATE(calendar[[#This Row],[Month]],"/",calendar[[#This Row],[Year]])</f>
        <v>9/2025</v>
      </c>
      <c r="G3194">
        <f>WEEKDAY(calendar[[#This Row],[Date]],1)</f>
        <v>1</v>
      </c>
      <c r="H3194" t="str">
        <f>TEXT(calendar[[#This Row],[WeekDay]],"dddd")</f>
        <v>Sunday</v>
      </c>
      <c r="I3194">
        <f>IF((INT(calendar[[#This Row],[Count]]/7)-calendar[[#This Row],[Count]]/7)&lt;0,I3193,I3193+1)</f>
        <v>457</v>
      </c>
      <c r="J3194">
        <f t="shared" si="249"/>
        <v>3192</v>
      </c>
      <c r="K3194">
        <f>IF(calendar[[#This Row],[Month]]&lt;4,1,IF(calendar[[#This Row],[Month]]&lt;7,2,IF(calendar[[#This Row],[Month]]&lt;10,3,4)))</f>
        <v>3</v>
      </c>
      <c r="L3194">
        <f>IFERROR(IF(VLOOKUP(calendar[[#This Row],[Date]],BH!A:A,1,)&lt;&gt;"",1,0),0)</f>
        <v>0</v>
      </c>
      <c r="M3194">
        <f>IFERROR(IF(VLOOKUP(calendar[[#This Row],[Date]],BH!C:C,1,)&lt;&gt;"",1,0),0)</f>
        <v>0</v>
      </c>
      <c r="N3194">
        <f>IFERROR(IF(VLOOKUP(calendar[[#This Row],[Date]],BH!E:E,1,)&lt;&gt;"",1,0),0)</f>
        <v>0</v>
      </c>
      <c r="O3194">
        <f>IFERROR(IF(VLOOKUP(calendar[[#This Row],[Date]],BH!G:G,1,)&lt;&gt;"",1,0),0)</f>
        <v>0</v>
      </c>
      <c r="P3194">
        <f>IF(OR(calendar[[#This Row],[UK_BH]]=1,calendar[[#This Row],[WeekDay]]=1, calendar[[#This Row],[WeekDay]]=7),P3193,P3193+1)</f>
        <v>2274</v>
      </c>
      <c r="Q3194">
        <f>IF(OR(calendar[[#This Row],[FR_BH]]=1,calendar[[#This Row],[WeekDay]]=1, calendar[[#This Row],[WeekDay]]=7),P3193,P3193+1)</f>
        <v>2274</v>
      </c>
      <c r="R3194">
        <f>IF(OR(calendar[[#This Row],[SP_BH]]=1,calendar[[#This Row],[WeekDay]]=1, calendar[[#This Row],[WeekDay]]=7),P3193,P3193+1)</f>
        <v>2274</v>
      </c>
      <c r="S3194">
        <f>IF(OR(calendar[[#This Row],[PT_BH]]=1,calendar[[#This Row],[WeekDay]]=1, calendar[[#This Row],[WeekDay]]=7),P3193,P3193+1)</f>
        <v>2274</v>
      </c>
    </row>
    <row r="3195" spans="1:19" x14ac:dyDescent="0.25">
      <c r="A3195" s="2">
        <v>45929</v>
      </c>
      <c r="B3195" s="1">
        <f t="shared" si="248"/>
        <v>40</v>
      </c>
      <c r="C3195">
        <f t="shared" si="250"/>
        <v>9</v>
      </c>
      <c r="D3195" t="str">
        <f t="shared" si="251"/>
        <v>September</v>
      </c>
      <c r="E3195">
        <f t="shared" si="252"/>
        <v>2025</v>
      </c>
      <c r="F3195" t="str">
        <f>CONCATENATE(calendar[[#This Row],[Month]],"/",calendar[[#This Row],[Year]])</f>
        <v>9/2025</v>
      </c>
      <c r="G3195">
        <f>WEEKDAY(calendar[[#This Row],[Date]],1)</f>
        <v>2</v>
      </c>
      <c r="H3195" t="str">
        <f>TEXT(calendar[[#This Row],[WeekDay]],"dddd")</f>
        <v>Monday</v>
      </c>
      <c r="I3195">
        <f>IF((INT(calendar[[#This Row],[Count]]/7)-calendar[[#This Row],[Count]]/7)&lt;0,I3194,I3194+1)</f>
        <v>457</v>
      </c>
      <c r="J3195">
        <f t="shared" si="249"/>
        <v>3193</v>
      </c>
      <c r="K3195">
        <f>IF(calendar[[#This Row],[Month]]&lt;4,1,IF(calendar[[#This Row],[Month]]&lt;7,2,IF(calendar[[#This Row],[Month]]&lt;10,3,4)))</f>
        <v>3</v>
      </c>
      <c r="L3195">
        <f>IFERROR(IF(VLOOKUP(calendar[[#This Row],[Date]],BH!A:A,1,)&lt;&gt;"",1,0),0)</f>
        <v>0</v>
      </c>
      <c r="M3195">
        <f>IFERROR(IF(VLOOKUP(calendar[[#This Row],[Date]],BH!C:C,1,)&lt;&gt;"",1,0),0)</f>
        <v>0</v>
      </c>
      <c r="N3195">
        <f>IFERROR(IF(VLOOKUP(calendar[[#This Row],[Date]],BH!E:E,1,)&lt;&gt;"",1,0),0)</f>
        <v>0</v>
      </c>
      <c r="O3195">
        <f>IFERROR(IF(VLOOKUP(calendar[[#This Row],[Date]],BH!G:G,1,)&lt;&gt;"",1,0),0)</f>
        <v>0</v>
      </c>
      <c r="P3195">
        <f>IF(OR(calendar[[#This Row],[UK_BH]]=1,calendar[[#This Row],[WeekDay]]=1, calendar[[#This Row],[WeekDay]]=7),P3194,P3194+1)</f>
        <v>2275</v>
      </c>
      <c r="Q3195">
        <f>IF(OR(calendar[[#This Row],[FR_BH]]=1,calendar[[#This Row],[WeekDay]]=1, calendar[[#This Row],[WeekDay]]=7),P3194,P3194+1)</f>
        <v>2275</v>
      </c>
      <c r="R3195">
        <f>IF(OR(calendar[[#This Row],[SP_BH]]=1,calendar[[#This Row],[WeekDay]]=1, calendar[[#This Row],[WeekDay]]=7),P3194,P3194+1)</f>
        <v>2275</v>
      </c>
      <c r="S3195">
        <f>IF(OR(calendar[[#This Row],[PT_BH]]=1,calendar[[#This Row],[WeekDay]]=1, calendar[[#This Row],[WeekDay]]=7),P3194,P3194+1)</f>
        <v>2275</v>
      </c>
    </row>
    <row r="3196" spans="1:19" x14ac:dyDescent="0.25">
      <c r="A3196" s="2">
        <v>45930</v>
      </c>
      <c r="B3196" s="1">
        <f t="shared" si="248"/>
        <v>40</v>
      </c>
      <c r="C3196">
        <f t="shared" si="250"/>
        <v>9</v>
      </c>
      <c r="D3196" t="str">
        <f t="shared" si="251"/>
        <v>September</v>
      </c>
      <c r="E3196">
        <f t="shared" si="252"/>
        <v>2025</v>
      </c>
      <c r="F3196" t="str">
        <f>CONCATENATE(calendar[[#This Row],[Month]],"/",calendar[[#This Row],[Year]])</f>
        <v>9/2025</v>
      </c>
      <c r="G3196">
        <f>WEEKDAY(calendar[[#This Row],[Date]],1)</f>
        <v>3</v>
      </c>
      <c r="H3196" t="str">
        <f>TEXT(calendar[[#This Row],[WeekDay]],"dddd")</f>
        <v>Tuesday</v>
      </c>
      <c r="I3196">
        <f>IF((INT(calendar[[#This Row],[Count]]/7)-calendar[[#This Row],[Count]]/7)&lt;0,I3195,I3195+1)</f>
        <v>457</v>
      </c>
      <c r="J3196">
        <f t="shared" si="249"/>
        <v>3194</v>
      </c>
      <c r="K3196">
        <f>IF(calendar[[#This Row],[Month]]&lt;4,1,IF(calendar[[#This Row],[Month]]&lt;7,2,IF(calendar[[#This Row],[Month]]&lt;10,3,4)))</f>
        <v>3</v>
      </c>
      <c r="L3196">
        <f>IFERROR(IF(VLOOKUP(calendar[[#This Row],[Date]],BH!A:A,1,)&lt;&gt;"",1,0),0)</f>
        <v>0</v>
      </c>
      <c r="M3196">
        <f>IFERROR(IF(VLOOKUP(calendar[[#This Row],[Date]],BH!C:C,1,)&lt;&gt;"",1,0),0)</f>
        <v>0</v>
      </c>
      <c r="N3196">
        <f>IFERROR(IF(VLOOKUP(calendar[[#This Row],[Date]],BH!E:E,1,)&lt;&gt;"",1,0),0)</f>
        <v>0</v>
      </c>
      <c r="O3196">
        <f>IFERROR(IF(VLOOKUP(calendar[[#This Row],[Date]],BH!G:G,1,)&lt;&gt;"",1,0),0)</f>
        <v>0</v>
      </c>
      <c r="P3196">
        <f>IF(OR(calendar[[#This Row],[UK_BH]]=1,calendar[[#This Row],[WeekDay]]=1, calendar[[#This Row],[WeekDay]]=7),P3195,P3195+1)</f>
        <v>2276</v>
      </c>
      <c r="Q3196">
        <f>IF(OR(calendar[[#This Row],[FR_BH]]=1,calendar[[#This Row],[WeekDay]]=1, calendar[[#This Row],[WeekDay]]=7),P3195,P3195+1)</f>
        <v>2276</v>
      </c>
      <c r="R3196">
        <f>IF(OR(calendar[[#This Row],[SP_BH]]=1,calendar[[#This Row],[WeekDay]]=1, calendar[[#This Row],[WeekDay]]=7),P3195,P3195+1)</f>
        <v>2276</v>
      </c>
      <c r="S3196">
        <f>IF(OR(calendar[[#This Row],[PT_BH]]=1,calendar[[#This Row],[WeekDay]]=1, calendar[[#This Row],[WeekDay]]=7),P3195,P3195+1)</f>
        <v>2276</v>
      </c>
    </row>
    <row r="3197" spans="1:19" x14ac:dyDescent="0.25">
      <c r="A3197" s="2">
        <v>45931</v>
      </c>
      <c r="B3197" s="1">
        <f t="shared" si="248"/>
        <v>40</v>
      </c>
      <c r="C3197">
        <f t="shared" si="250"/>
        <v>10</v>
      </c>
      <c r="D3197" t="str">
        <f t="shared" si="251"/>
        <v>October</v>
      </c>
      <c r="E3197">
        <f t="shared" si="252"/>
        <v>2025</v>
      </c>
      <c r="F3197" t="str">
        <f>CONCATENATE(calendar[[#This Row],[Month]],"/",calendar[[#This Row],[Year]])</f>
        <v>10/2025</v>
      </c>
      <c r="G3197">
        <f>WEEKDAY(calendar[[#This Row],[Date]],1)</f>
        <v>4</v>
      </c>
      <c r="H3197" t="str">
        <f>TEXT(calendar[[#This Row],[WeekDay]],"dddd")</f>
        <v>Wednesday</v>
      </c>
      <c r="I3197">
        <f>IF((INT(calendar[[#This Row],[Count]]/7)-calendar[[#This Row],[Count]]/7)&lt;0,I3196,I3196+1)</f>
        <v>457</v>
      </c>
      <c r="J3197">
        <f t="shared" si="249"/>
        <v>3195</v>
      </c>
      <c r="K3197">
        <f>IF(calendar[[#This Row],[Month]]&lt;4,1,IF(calendar[[#This Row],[Month]]&lt;7,2,IF(calendar[[#This Row],[Month]]&lt;10,3,4)))</f>
        <v>4</v>
      </c>
      <c r="L3197">
        <f>IFERROR(IF(VLOOKUP(calendar[[#This Row],[Date]],BH!A:A,1,)&lt;&gt;"",1,0),0)</f>
        <v>0</v>
      </c>
      <c r="M3197">
        <f>IFERROR(IF(VLOOKUP(calendar[[#This Row],[Date]],BH!C:C,1,)&lt;&gt;"",1,0),0)</f>
        <v>0</v>
      </c>
      <c r="N3197">
        <f>IFERROR(IF(VLOOKUP(calendar[[#This Row],[Date]],BH!E:E,1,)&lt;&gt;"",1,0),0)</f>
        <v>0</v>
      </c>
      <c r="O3197">
        <f>IFERROR(IF(VLOOKUP(calendar[[#This Row],[Date]],BH!G:G,1,)&lt;&gt;"",1,0),0)</f>
        <v>0</v>
      </c>
      <c r="P3197">
        <f>IF(OR(calendar[[#This Row],[UK_BH]]=1,calendar[[#This Row],[WeekDay]]=1, calendar[[#This Row],[WeekDay]]=7),P3196,P3196+1)</f>
        <v>2277</v>
      </c>
      <c r="Q3197">
        <f>IF(OR(calendar[[#This Row],[FR_BH]]=1,calendar[[#This Row],[WeekDay]]=1, calendar[[#This Row],[WeekDay]]=7),P3196,P3196+1)</f>
        <v>2277</v>
      </c>
      <c r="R3197">
        <f>IF(OR(calendar[[#This Row],[SP_BH]]=1,calendar[[#This Row],[WeekDay]]=1, calendar[[#This Row],[WeekDay]]=7),P3196,P3196+1)</f>
        <v>2277</v>
      </c>
      <c r="S3197">
        <f>IF(OR(calendar[[#This Row],[PT_BH]]=1,calendar[[#This Row],[WeekDay]]=1, calendar[[#This Row],[WeekDay]]=7),P3196,P3196+1)</f>
        <v>2277</v>
      </c>
    </row>
    <row r="3198" spans="1:19" x14ac:dyDescent="0.25">
      <c r="A3198" s="2">
        <v>45932</v>
      </c>
      <c r="B3198" s="1">
        <f t="shared" si="248"/>
        <v>40</v>
      </c>
      <c r="C3198">
        <f t="shared" si="250"/>
        <v>10</v>
      </c>
      <c r="D3198" t="str">
        <f t="shared" si="251"/>
        <v>October</v>
      </c>
      <c r="E3198">
        <f t="shared" si="252"/>
        <v>2025</v>
      </c>
      <c r="F3198" t="str">
        <f>CONCATENATE(calendar[[#This Row],[Month]],"/",calendar[[#This Row],[Year]])</f>
        <v>10/2025</v>
      </c>
      <c r="G3198">
        <f>WEEKDAY(calendar[[#This Row],[Date]],1)</f>
        <v>5</v>
      </c>
      <c r="H3198" t="str">
        <f>TEXT(calendar[[#This Row],[WeekDay]],"dddd")</f>
        <v>Thursday</v>
      </c>
      <c r="I3198">
        <f>IF((INT(calendar[[#This Row],[Count]]/7)-calendar[[#This Row],[Count]]/7)&lt;0,I3197,I3197+1)</f>
        <v>457</v>
      </c>
      <c r="J3198">
        <f t="shared" si="249"/>
        <v>3196</v>
      </c>
      <c r="K3198">
        <f>IF(calendar[[#This Row],[Month]]&lt;4,1,IF(calendar[[#This Row],[Month]]&lt;7,2,IF(calendar[[#This Row],[Month]]&lt;10,3,4)))</f>
        <v>4</v>
      </c>
      <c r="L3198">
        <f>IFERROR(IF(VLOOKUP(calendar[[#This Row],[Date]],BH!A:A,1,)&lt;&gt;"",1,0),0)</f>
        <v>0</v>
      </c>
      <c r="M3198">
        <f>IFERROR(IF(VLOOKUP(calendar[[#This Row],[Date]],BH!C:C,1,)&lt;&gt;"",1,0),0)</f>
        <v>0</v>
      </c>
      <c r="N3198">
        <f>IFERROR(IF(VLOOKUP(calendar[[#This Row],[Date]],BH!E:E,1,)&lt;&gt;"",1,0),0)</f>
        <v>0</v>
      </c>
      <c r="O3198">
        <f>IFERROR(IF(VLOOKUP(calendar[[#This Row],[Date]],BH!G:G,1,)&lt;&gt;"",1,0),0)</f>
        <v>0</v>
      </c>
      <c r="P3198">
        <f>IF(OR(calendar[[#This Row],[UK_BH]]=1,calendar[[#This Row],[WeekDay]]=1, calendar[[#This Row],[WeekDay]]=7),P3197,P3197+1)</f>
        <v>2278</v>
      </c>
      <c r="Q3198">
        <f>IF(OR(calendar[[#This Row],[FR_BH]]=1,calendar[[#This Row],[WeekDay]]=1, calendar[[#This Row],[WeekDay]]=7),P3197,P3197+1)</f>
        <v>2278</v>
      </c>
      <c r="R3198">
        <f>IF(OR(calendar[[#This Row],[SP_BH]]=1,calendar[[#This Row],[WeekDay]]=1, calendar[[#This Row],[WeekDay]]=7),P3197,P3197+1)</f>
        <v>2278</v>
      </c>
      <c r="S3198">
        <f>IF(OR(calendar[[#This Row],[PT_BH]]=1,calendar[[#This Row],[WeekDay]]=1, calendar[[#This Row],[WeekDay]]=7),P3197,P3197+1)</f>
        <v>2278</v>
      </c>
    </row>
    <row r="3199" spans="1:19" x14ac:dyDescent="0.25">
      <c r="A3199" s="2">
        <v>45933</v>
      </c>
      <c r="B3199" s="1">
        <f t="shared" si="248"/>
        <v>40</v>
      </c>
      <c r="C3199">
        <f t="shared" si="250"/>
        <v>10</v>
      </c>
      <c r="D3199" t="str">
        <f t="shared" si="251"/>
        <v>October</v>
      </c>
      <c r="E3199">
        <f t="shared" si="252"/>
        <v>2025</v>
      </c>
      <c r="F3199" t="str">
        <f>CONCATENATE(calendar[[#This Row],[Month]],"/",calendar[[#This Row],[Year]])</f>
        <v>10/2025</v>
      </c>
      <c r="G3199">
        <f>WEEKDAY(calendar[[#This Row],[Date]],1)</f>
        <v>6</v>
      </c>
      <c r="H3199" t="str">
        <f>TEXT(calendar[[#This Row],[WeekDay]],"dddd")</f>
        <v>Friday</v>
      </c>
      <c r="I3199">
        <f>IF((INT(calendar[[#This Row],[Count]]/7)-calendar[[#This Row],[Count]]/7)&lt;0,I3198,I3198+1)</f>
        <v>457</v>
      </c>
      <c r="J3199">
        <f t="shared" si="249"/>
        <v>3197</v>
      </c>
      <c r="K3199">
        <f>IF(calendar[[#This Row],[Month]]&lt;4,1,IF(calendar[[#This Row],[Month]]&lt;7,2,IF(calendar[[#This Row],[Month]]&lt;10,3,4)))</f>
        <v>4</v>
      </c>
      <c r="L3199">
        <f>IFERROR(IF(VLOOKUP(calendar[[#This Row],[Date]],BH!A:A,1,)&lt;&gt;"",1,0),0)</f>
        <v>0</v>
      </c>
      <c r="M3199">
        <f>IFERROR(IF(VLOOKUP(calendar[[#This Row],[Date]],BH!C:C,1,)&lt;&gt;"",1,0),0)</f>
        <v>0</v>
      </c>
      <c r="N3199">
        <f>IFERROR(IF(VLOOKUP(calendar[[#This Row],[Date]],BH!E:E,1,)&lt;&gt;"",1,0),0)</f>
        <v>0</v>
      </c>
      <c r="O3199">
        <f>IFERROR(IF(VLOOKUP(calendar[[#This Row],[Date]],BH!G:G,1,)&lt;&gt;"",1,0),0)</f>
        <v>0</v>
      </c>
      <c r="P3199">
        <f>IF(OR(calendar[[#This Row],[UK_BH]]=1,calendar[[#This Row],[WeekDay]]=1, calendar[[#This Row],[WeekDay]]=7),P3198,P3198+1)</f>
        <v>2279</v>
      </c>
      <c r="Q3199">
        <f>IF(OR(calendar[[#This Row],[FR_BH]]=1,calendar[[#This Row],[WeekDay]]=1, calendar[[#This Row],[WeekDay]]=7),P3198,P3198+1)</f>
        <v>2279</v>
      </c>
      <c r="R3199">
        <f>IF(OR(calendar[[#This Row],[SP_BH]]=1,calendar[[#This Row],[WeekDay]]=1, calendar[[#This Row],[WeekDay]]=7),P3198,P3198+1)</f>
        <v>2279</v>
      </c>
      <c r="S3199">
        <f>IF(OR(calendar[[#This Row],[PT_BH]]=1,calendar[[#This Row],[WeekDay]]=1, calendar[[#This Row],[WeekDay]]=7),P3198,P3198+1)</f>
        <v>2279</v>
      </c>
    </row>
    <row r="3200" spans="1:19" x14ac:dyDescent="0.25">
      <c r="A3200" s="2">
        <v>45934</v>
      </c>
      <c r="B3200" s="1">
        <f t="shared" si="248"/>
        <v>40</v>
      </c>
      <c r="C3200">
        <f t="shared" si="250"/>
        <v>10</v>
      </c>
      <c r="D3200" t="str">
        <f t="shared" si="251"/>
        <v>October</v>
      </c>
      <c r="E3200">
        <f t="shared" si="252"/>
        <v>2025</v>
      </c>
      <c r="F3200" t="str">
        <f>CONCATENATE(calendar[[#This Row],[Month]],"/",calendar[[#This Row],[Year]])</f>
        <v>10/2025</v>
      </c>
      <c r="G3200">
        <f>WEEKDAY(calendar[[#This Row],[Date]],1)</f>
        <v>7</v>
      </c>
      <c r="H3200" t="str">
        <f>TEXT(calendar[[#This Row],[WeekDay]],"dddd")</f>
        <v>Saturday</v>
      </c>
      <c r="I3200">
        <f>IF((INT(calendar[[#This Row],[Count]]/7)-calendar[[#This Row],[Count]]/7)&lt;0,I3199,I3199+1)</f>
        <v>457</v>
      </c>
      <c r="J3200">
        <f t="shared" si="249"/>
        <v>3198</v>
      </c>
      <c r="K3200">
        <f>IF(calendar[[#This Row],[Month]]&lt;4,1,IF(calendar[[#This Row],[Month]]&lt;7,2,IF(calendar[[#This Row],[Month]]&lt;10,3,4)))</f>
        <v>4</v>
      </c>
      <c r="L3200">
        <f>IFERROR(IF(VLOOKUP(calendar[[#This Row],[Date]],BH!A:A,1,)&lt;&gt;"",1,0),0)</f>
        <v>0</v>
      </c>
      <c r="M3200">
        <f>IFERROR(IF(VLOOKUP(calendar[[#This Row],[Date]],BH!C:C,1,)&lt;&gt;"",1,0),0)</f>
        <v>0</v>
      </c>
      <c r="N3200">
        <f>IFERROR(IF(VLOOKUP(calendar[[#This Row],[Date]],BH!E:E,1,)&lt;&gt;"",1,0),0)</f>
        <v>0</v>
      </c>
      <c r="O3200">
        <f>IFERROR(IF(VLOOKUP(calendar[[#This Row],[Date]],BH!G:G,1,)&lt;&gt;"",1,0),0)</f>
        <v>0</v>
      </c>
      <c r="P3200">
        <f>IF(OR(calendar[[#This Row],[UK_BH]]=1,calendar[[#This Row],[WeekDay]]=1, calendar[[#This Row],[WeekDay]]=7),P3199,P3199+1)</f>
        <v>2279</v>
      </c>
      <c r="Q3200">
        <f>IF(OR(calendar[[#This Row],[FR_BH]]=1,calendar[[#This Row],[WeekDay]]=1, calendar[[#This Row],[WeekDay]]=7),P3199,P3199+1)</f>
        <v>2279</v>
      </c>
      <c r="R3200">
        <f>IF(OR(calendar[[#This Row],[SP_BH]]=1,calendar[[#This Row],[WeekDay]]=1, calendar[[#This Row],[WeekDay]]=7),P3199,P3199+1)</f>
        <v>2279</v>
      </c>
      <c r="S3200">
        <f>IF(OR(calendar[[#This Row],[PT_BH]]=1,calendar[[#This Row],[WeekDay]]=1, calendar[[#This Row],[WeekDay]]=7),P3199,P3199+1)</f>
        <v>2279</v>
      </c>
    </row>
    <row r="3201" spans="1:19" x14ac:dyDescent="0.25">
      <c r="A3201" s="2">
        <v>45935</v>
      </c>
      <c r="B3201" s="1">
        <f t="shared" si="248"/>
        <v>41</v>
      </c>
      <c r="C3201">
        <f t="shared" si="250"/>
        <v>10</v>
      </c>
      <c r="D3201" t="str">
        <f t="shared" si="251"/>
        <v>October</v>
      </c>
      <c r="E3201">
        <f t="shared" si="252"/>
        <v>2025</v>
      </c>
      <c r="F3201" t="str">
        <f>CONCATENATE(calendar[[#This Row],[Month]],"/",calendar[[#This Row],[Year]])</f>
        <v>10/2025</v>
      </c>
      <c r="G3201">
        <f>WEEKDAY(calendar[[#This Row],[Date]],1)</f>
        <v>1</v>
      </c>
      <c r="H3201" t="str">
        <f>TEXT(calendar[[#This Row],[WeekDay]],"dddd")</f>
        <v>Sunday</v>
      </c>
      <c r="I3201">
        <f>IF((INT(calendar[[#This Row],[Count]]/7)-calendar[[#This Row],[Count]]/7)&lt;0,I3200,I3200+1)</f>
        <v>458</v>
      </c>
      <c r="J3201">
        <f t="shared" si="249"/>
        <v>3199</v>
      </c>
      <c r="K3201">
        <f>IF(calendar[[#This Row],[Month]]&lt;4,1,IF(calendar[[#This Row],[Month]]&lt;7,2,IF(calendar[[#This Row],[Month]]&lt;10,3,4)))</f>
        <v>4</v>
      </c>
      <c r="L3201">
        <f>IFERROR(IF(VLOOKUP(calendar[[#This Row],[Date]],BH!A:A,1,)&lt;&gt;"",1,0),0)</f>
        <v>0</v>
      </c>
      <c r="M3201">
        <f>IFERROR(IF(VLOOKUP(calendar[[#This Row],[Date]],BH!C:C,1,)&lt;&gt;"",1,0),0)</f>
        <v>0</v>
      </c>
      <c r="N3201">
        <f>IFERROR(IF(VLOOKUP(calendar[[#This Row],[Date]],BH!E:E,1,)&lt;&gt;"",1,0),0)</f>
        <v>0</v>
      </c>
      <c r="O3201">
        <f>IFERROR(IF(VLOOKUP(calendar[[#This Row],[Date]],BH!G:G,1,)&lt;&gt;"",1,0),0)</f>
        <v>1</v>
      </c>
      <c r="P3201">
        <f>IF(OR(calendar[[#This Row],[UK_BH]]=1,calendar[[#This Row],[WeekDay]]=1, calendar[[#This Row],[WeekDay]]=7),P3200,P3200+1)</f>
        <v>2279</v>
      </c>
      <c r="Q3201">
        <f>IF(OR(calendar[[#This Row],[FR_BH]]=1,calendar[[#This Row],[WeekDay]]=1, calendar[[#This Row],[WeekDay]]=7),P3200,P3200+1)</f>
        <v>2279</v>
      </c>
      <c r="R3201">
        <f>IF(OR(calendar[[#This Row],[SP_BH]]=1,calendar[[#This Row],[WeekDay]]=1, calendar[[#This Row],[WeekDay]]=7),P3200,P3200+1)</f>
        <v>2279</v>
      </c>
      <c r="S3201">
        <f>IF(OR(calendar[[#This Row],[PT_BH]]=1,calendar[[#This Row],[WeekDay]]=1, calendar[[#This Row],[WeekDay]]=7),P3200,P3200+1)</f>
        <v>2279</v>
      </c>
    </row>
    <row r="3202" spans="1:19" x14ac:dyDescent="0.25">
      <c r="A3202" s="2">
        <v>45936</v>
      </c>
      <c r="B3202" s="1">
        <f t="shared" ref="B3202:B3265" si="253">WEEKNUM(A3202)</f>
        <v>41</v>
      </c>
      <c r="C3202">
        <f t="shared" si="250"/>
        <v>10</v>
      </c>
      <c r="D3202" t="str">
        <f t="shared" si="251"/>
        <v>October</v>
      </c>
      <c r="E3202">
        <f t="shared" si="252"/>
        <v>2025</v>
      </c>
      <c r="F3202" t="str">
        <f>CONCATENATE(calendar[[#This Row],[Month]],"/",calendar[[#This Row],[Year]])</f>
        <v>10/2025</v>
      </c>
      <c r="G3202">
        <f>WEEKDAY(calendar[[#This Row],[Date]],1)</f>
        <v>2</v>
      </c>
      <c r="H3202" t="str">
        <f>TEXT(calendar[[#This Row],[WeekDay]],"dddd")</f>
        <v>Monday</v>
      </c>
      <c r="I3202">
        <f>IF((INT(calendar[[#This Row],[Count]]/7)-calendar[[#This Row],[Count]]/7)&lt;0,I3201,I3201+1)</f>
        <v>458</v>
      </c>
      <c r="J3202">
        <f t="shared" si="249"/>
        <v>3200</v>
      </c>
      <c r="K3202">
        <f>IF(calendar[[#This Row],[Month]]&lt;4,1,IF(calendar[[#This Row],[Month]]&lt;7,2,IF(calendar[[#This Row],[Month]]&lt;10,3,4)))</f>
        <v>4</v>
      </c>
      <c r="L3202">
        <f>IFERROR(IF(VLOOKUP(calendar[[#This Row],[Date]],BH!A:A,1,)&lt;&gt;"",1,0),0)</f>
        <v>0</v>
      </c>
      <c r="M3202">
        <f>IFERROR(IF(VLOOKUP(calendar[[#This Row],[Date]],BH!C:C,1,)&lt;&gt;"",1,0),0)</f>
        <v>0</v>
      </c>
      <c r="N3202">
        <f>IFERROR(IF(VLOOKUP(calendar[[#This Row],[Date]],BH!E:E,1,)&lt;&gt;"",1,0),0)</f>
        <v>0</v>
      </c>
      <c r="O3202">
        <f>IFERROR(IF(VLOOKUP(calendar[[#This Row],[Date]],BH!G:G,1,)&lt;&gt;"",1,0),0)</f>
        <v>0</v>
      </c>
      <c r="P3202">
        <f>IF(OR(calendar[[#This Row],[UK_BH]]=1,calendar[[#This Row],[WeekDay]]=1, calendar[[#This Row],[WeekDay]]=7),P3201,P3201+1)</f>
        <v>2280</v>
      </c>
      <c r="Q3202">
        <f>IF(OR(calendar[[#This Row],[FR_BH]]=1,calendar[[#This Row],[WeekDay]]=1, calendar[[#This Row],[WeekDay]]=7),P3201,P3201+1)</f>
        <v>2280</v>
      </c>
      <c r="R3202">
        <f>IF(OR(calendar[[#This Row],[SP_BH]]=1,calendar[[#This Row],[WeekDay]]=1, calendar[[#This Row],[WeekDay]]=7),P3201,P3201+1)</f>
        <v>2280</v>
      </c>
      <c r="S3202">
        <f>IF(OR(calendar[[#This Row],[PT_BH]]=1,calendar[[#This Row],[WeekDay]]=1, calendar[[#This Row],[WeekDay]]=7),P3201,P3201+1)</f>
        <v>2280</v>
      </c>
    </row>
    <row r="3203" spans="1:19" x14ac:dyDescent="0.25">
      <c r="A3203" s="2">
        <v>45937</v>
      </c>
      <c r="B3203" s="1">
        <f t="shared" si="253"/>
        <v>41</v>
      </c>
      <c r="C3203">
        <f t="shared" si="250"/>
        <v>10</v>
      </c>
      <c r="D3203" t="str">
        <f t="shared" si="251"/>
        <v>October</v>
      </c>
      <c r="E3203">
        <f t="shared" si="252"/>
        <v>2025</v>
      </c>
      <c r="F3203" t="str">
        <f>CONCATENATE(calendar[[#This Row],[Month]],"/",calendar[[#This Row],[Year]])</f>
        <v>10/2025</v>
      </c>
      <c r="G3203">
        <f>WEEKDAY(calendar[[#This Row],[Date]],1)</f>
        <v>3</v>
      </c>
      <c r="H3203" t="str">
        <f>TEXT(calendar[[#This Row],[WeekDay]],"dddd")</f>
        <v>Tuesday</v>
      </c>
      <c r="I3203">
        <f>IF((INT(calendar[[#This Row],[Count]]/7)-calendar[[#This Row],[Count]]/7)&lt;0,I3202,I3202+1)</f>
        <v>458</v>
      </c>
      <c r="J3203">
        <f t="shared" ref="J3203:J3266" si="254">J3202+1</f>
        <v>3201</v>
      </c>
      <c r="K3203">
        <f>IF(calendar[[#This Row],[Month]]&lt;4,1,IF(calendar[[#This Row],[Month]]&lt;7,2,IF(calendar[[#This Row],[Month]]&lt;10,3,4)))</f>
        <v>4</v>
      </c>
      <c r="L3203">
        <f>IFERROR(IF(VLOOKUP(calendar[[#This Row],[Date]],BH!A:A,1,)&lt;&gt;"",1,0),0)</f>
        <v>0</v>
      </c>
      <c r="M3203">
        <f>IFERROR(IF(VLOOKUP(calendar[[#This Row],[Date]],BH!C:C,1,)&lt;&gt;"",1,0),0)</f>
        <v>0</v>
      </c>
      <c r="N3203">
        <f>IFERROR(IF(VLOOKUP(calendar[[#This Row],[Date]],BH!E:E,1,)&lt;&gt;"",1,0),0)</f>
        <v>0</v>
      </c>
      <c r="O3203">
        <f>IFERROR(IF(VLOOKUP(calendar[[#This Row],[Date]],BH!G:G,1,)&lt;&gt;"",1,0),0)</f>
        <v>0</v>
      </c>
      <c r="P3203">
        <f>IF(OR(calendar[[#This Row],[UK_BH]]=1,calendar[[#This Row],[WeekDay]]=1, calendar[[#This Row],[WeekDay]]=7),P3202,P3202+1)</f>
        <v>2281</v>
      </c>
      <c r="Q3203">
        <f>IF(OR(calendar[[#This Row],[FR_BH]]=1,calendar[[#This Row],[WeekDay]]=1, calendar[[#This Row],[WeekDay]]=7),P3202,P3202+1)</f>
        <v>2281</v>
      </c>
      <c r="R3203">
        <f>IF(OR(calendar[[#This Row],[SP_BH]]=1,calendar[[#This Row],[WeekDay]]=1, calendar[[#This Row],[WeekDay]]=7),P3202,P3202+1)</f>
        <v>2281</v>
      </c>
      <c r="S3203">
        <f>IF(OR(calendar[[#This Row],[PT_BH]]=1,calendar[[#This Row],[WeekDay]]=1, calendar[[#This Row],[WeekDay]]=7),P3202,P3202+1)</f>
        <v>2281</v>
      </c>
    </row>
    <row r="3204" spans="1:19" x14ac:dyDescent="0.25">
      <c r="A3204" s="2">
        <v>45938</v>
      </c>
      <c r="B3204" s="1">
        <f t="shared" si="253"/>
        <v>41</v>
      </c>
      <c r="C3204">
        <f t="shared" si="250"/>
        <v>10</v>
      </c>
      <c r="D3204" t="str">
        <f t="shared" si="251"/>
        <v>October</v>
      </c>
      <c r="E3204">
        <f t="shared" si="252"/>
        <v>2025</v>
      </c>
      <c r="F3204" t="str">
        <f>CONCATENATE(calendar[[#This Row],[Month]],"/",calendar[[#This Row],[Year]])</f>
        <v>10/2025</v>
      </c>
      <c r="G3204">
        <f>WEEKDAY(calendar[[#This Row],[Date]],1)</f>
        <v>4</v>
      </c>
      <c r="H3204" t="str">
        <f>TEXT(calendar[[#This Row],[WeekDay]],"dddd")</f>
        <v>Wednesday</v>
      </c>
      <c r="I3204">
        <f>IF((INT(calendar[[#This Row],[Count]]/7)-calendar[[#This Row],[Count]]/7)&lt;0,I3203,I3203+1)</f>
        <v>458</v>
      </c>
      <c r="J3204">
        <f t="shared" si="254"/>
        <v>3202</v>
      </c>
      <c r="K3204">
        <f>IF(calendar[[#This Row],[Month]]&lt;4,1,IF(calendar[[#This Row],[Month]]&lt;7,2,IF(calendar[[#This Row],[Month]]&lt;10,3,4)))</f>
        <v>4</v>
      </c>
      <c r="L3204">
        <f>IFERROR(IF(VLOOKUP(calendar[[#This Row],[Date]],BH!A:A,1,)&lt;&gt;"",1,0),0)</f>
        <v>0</v>
      </c>
      <c r="M3204">
        <f>IFERROR(IF(VLOOKUP(calendar[[#This Row],[Date]],BH!C:C,1,)&lt;&gt;"",1,0),0)</f>
        <v>0</v>
      </c>
      <c r="N3204">
        <f>IFERROR(IF(VLOOKUP(calendar[[#This Row],[Date]],BH!E:E,1,)&lt;&gt;"",1,0),0)</f>
        <v>0</v>
      </c>
      <c r="O3204">
        <f>IFERROR(IF(VLOOKUP(calendar[[#This Row],[Date]],BH!G:G,1,)&lt;&gt;"",1,0),0)</f>
        <v>0</v>
      </c>
      <c r="P3204">
        <f>IF(OR(calendar[[#This Row],[UK_BH]]=1,calendar[[#This Row],[WeekDay]]=1, calendar[[#This Row],[WeekDay]]=7),P3203,P3203+1)</f>
        <v>2282</v>
      </c>
      <c r="Q3204">
        <f>IF(OR(calendar[[#This Row],[FR_BH]]=1,calendar[[#This Row],[WeekDay]]=1, calendar[[#This Row],[WeekDay]]=7),P3203,P3203+1)</f>
        <v>2282</v>
      </c>
      <c r="R3204">
        <f>IF(OR(calendar[[#This Row],[SP_BH]]=1,calendar[[#This Row],[WeekDay]]=1, calendar[[#This Row],[WeekDay]]=7),P3203,P3203+1)</f>
        <v>2282</v>
      </c>
      <c r="S3204">
        <f>IF(OR(calendar[[#This Row],[PT_BH]]=1,calendar[[#This Row],[WeekDay]]=1, calendar[[#This Row],[WeekDay]]=7),P3203,P3203+1)</f>
        <v>2282</v>
      </c>
    </row>
    <row r="3205" spans="1:19" x14ac:dyDescent="0.25">
      <c r="A3205" s="2">
        <v>45939</v>
      </c>
      <c r="B3205" s="1">
        <f t="shared" si="253"/>
        <v>41</v>
      </c>
      <c r="C3205">
        <f t="shared" si="250"/>
        <v>10</v>
      </c>
      <c r="D3205" t="str">
        <f t="shared" si="251"/>
        <v>October</v>
      </c>
      <c r="E3205">
        <f t="shared" si="252"/>
        <v>2025</v>
      </c>
      <c r="F3205" t="str">
        <f>CONCATENATE(calendar[[#This Row],[Month]],"/",calendar[[#This Row],[Year]])</f>
        <v>10/2025</v>
      </c>
      <c r="G3205">
        <f>WEEKDAY(calendar[[#This Row],[Date]],1)</f>
        <v>5</v>
      </c>
      <c r="H3205" t="str">
        <f>TEXT(calendar[[#This Row],[WeekDay]],"dddd")</f>
        <v>Thursday</v>
      </c>
      <c r="I3205">
        <f>IF((INT(calendar[[#This Row],[Count]]/7)-calendar[[#This Row],[Count]]/7)&lt;0,I3204,I3204+1)</f>
        <v>458</v>
      </c>
      <c r="J3205">
        <f t="shared" si="254"/>
        <v>3203</v>
      </c>
      <c r="K3205">
        <f>IF(calendar[[#This Row],[Month]]&lt;4,1,IF(calendar[[#This Row],[Month]]&lt;7,2,IF(calendar[[#This Row],[Month]]&lt;10,3,4)))</f>
        <v>4</v>
      </c>
      <c r="L3205">
        <f>IFERROR(IF(VLOOKUP(calendar[[#This Row],[Date]],BH!A:A,1,)&lt;&gt;"",1,0),0)</f>
        <v>0</v>
      </c>
      <c r="M3205">
        <f>IFERROR(IF(VLOOKUP(calendar[[#This Row],[Date]],BH!C:C,1,)&lt;&gt;"",1,0),0)</f>
        <v>0</v>
      </c>
      <c r="N3205">
        <f>IFERROR(IF(VLOOKUP(calendar[[#This Row],[Date]],BH!E:E,1,)&lt;&gt;"",1,0),0)</f>
        <v>1</v>
      </c>
      <c r="O3205">
        <f>IFERROR(IF(VLOOKUP(calendar[[#This Row],[Date]],BH!G:G,1,)&lt;&gt;"",1,0),0)</f>
        <v>0</v>
      </c>
      <c r="P3205">
        <f>IF(OR(calendar[[#This Row],[UK_BH]]=1,calendar[[#This Row],[WeekDay]]=1, calendar[[#This Row],[WeekDay]]=7),P3204,P3204+1)</f>
        <v>2283</v>
      </c>
      <c r="Q3205">
        <f>IF(OR(calendar[[#This Row],[FR_BH]]=1,calendar[[#This Row],[WeekDay]]=1, calendar[[#This Row],[WeekDay]]=7),P3204,P3204+1)</f>
        <v>2283</v>
      </c>
      <c r="R3205">
        <f>IF(OR(calendar[[#This Row],[SP_BH]]=1,calendar[[#This Row],[WeekDay]]=1, calendar[[#This Row],[WeekDay]]=7),P3204,P3204+1)</f>
        <v>2282</v>
      </c>
      <c r="S3205">
        <f>IF(OR(calendar[[#This Row],[PT_BH]]=1,calendar[[#This Row],[WeekDay]]=1, calendar[[#This Row],[WeekDay]]=7),P3204,P3204+1)</f>
        <v>2283</v>
      </c>
    </row>
    <row r="3206" spans="1:19" x14ac:dyDescent="0.25">
      <c r="A3206" s="2">
        <v>45940</v>
      </c>
      <c r="B3206" s="1">
        <f t="shared" si="253"/>
        <v>41</v>
      </c>
      <c r="C3206">
        <f t="shared" si="250"/>
        <v>10</v>
      </c>
      <c r="D3206" t="str">
        <f t="shared" si="251"/>
        <v>October</v>
      </c>
      <c r="E3206">
        <f t="shared" si="252"/>
        <v>2025</v>
      </c>
      <c r="F3206" t="str">
        <f>CONCATENATE(calendar[[#This Row],[Month]],"/",calendar[[#This Row],[Year]])</f>
        <v>10/2025</v>
      </c>
      <c r="G3206">
        <f>WEEKDAY(calendar[[#This Row],[Date]],1)</f>
        <v>6</v>
      </c>
      <c r="H3206" t="str">
        <f>TEXT(calendar[[#This Row],[WeekDay]],"dddd")</f>
        <v>Friday</v>
      </c>
      <c r="I3206">
        <f>IF((INT(calendar[[#This Row],[Count]]/7)-calendar[[#This Row],[Count]]/7)&lt;0,I3205,I3205+1)</f>
        <v>458</v>
      </c>
      <c r="J3206">
        <f t="shared" si="254"/>
        <v>3204</v>
      </c>
      <c r="K3206">
        <f>IF(calendar[[#This Row],[Month]]&lt;4,1,IF(calendar[[#This Row],[Month]]&lt;7,2,IF(calendar[[#This Row],[Month]]&lt;10,3,4)))</f>
        <v>4</v>
      </c>
      <c r="L3206">
        <f>IFERROR(IF(VLOOKUP(calendar[[#This Row],[Date]],BH!A:A,1,)&lt;&gt;"",1,0),0)</f>
        <v>0</v>
      </c>
      <c r="M3206">
        <f>IFERROR(IF(VLOOKUP(calendar[[#This Row],[Date]],BH!C:C,1,)&lt;&gt;"",1,0),0)</f>
        <v>0</v>
      </c>
      <c r="N3206">
        <f>IFERROR(IF(VLOOKUP(calendar[[#This Row],[Date]],BH!E:E,1,)&lt;&gt;"",1,0),0)</f>
        <v>0</v>
      </c>
      <c r="O3206">
        <f>IFERROR(IF(VLOOKUP(calendar[[#This Row],[Date]],BH!G:G,1,)&lt;&gt;"",1,0),0)</f>
        <v>0</v>
      </c>
      <c r="P3206">
        <f>IF(OR(calendar[[#This Row],[UK_BH]]=1,calendar[[#This Row],[WeekDay]]=1, calendar[[#This Row],[WeekDay]]=7),P3205,P3205+1)</f>
        <v>2284</v>
      </c>
      <c r="Q3206">
        <f>IF(OR(calendar[[#This Row],[FR_BH]]=1,calendar[[#This Row],[WeekDay]]=1, calendar[[#This Row],[WeekDay]]=7),P3205,P3205+1)</f>
        <v>2284</v>
      </c>
      <c r="R3206">
        <f>IF(OR(calendar[[#This Row],[SP_BH]]=1,calendar[[#This Row],[WeekDay]]=1, calendar[[#This Row],[WeekDay]]=7),P3205,P3205+1)</f>
        <v>2284</v>
      </c>
      <c r="S3206">
        <f>IF(OR(calendar[[#This Row],[PT_BH]]=1,calendar[[#This Row],[WeekDay]]=1, calendar[[#This Row],[WeekDay]]=7),P3205,P3205+1)</f>
        <v>2284</v>
      </c>
    </row>
    <row r="3207" spans="1:19" x14ac:dyDescent="0.25">
      <c r="A3207" s="2">
        <v>45941</v>
      </c>
      <c r="B3207" s="1">
        <f t="shared" si="253"/>
        <v>41</v>
      </c>
      <c r="C3207">
        <f t="shared" si="250"/>
        <v>10</v>
      </c>
      <c r="D3207" t="str">
        <f t="shared" si="251"/>
        <v>October</v>
      </c>
      <c r="E3207">
        <f t="shared" si="252"/>
        <v>2025</v>
      </c>
      <c r="F3207" t="str">
        <f>CONCATENATE(calendar[[#This Row],[Month]],"/",calendar[[#This Row],[Year]])</f>
        <v>10/2025</v>
      </c>
      <c r="G3207">
        <f>WEEKDAY(calendar[[#This Row],[Date]],1)</f>
        <v>7</v>
      </c>
      <c r="H3207" t="str">
        <f>TEXT(calendar[[#This Row],[WeekDay]],"dddd")</f>
        <v>Saturday</v>
      </c>
      <c r="I3207">
        <f>IF((INT(calendar[[#This Row],[Count]]/7)-calendar[[#This Row],[Count]]/7)&lt;0,I3206,I3206+1)</f>
        <v>458</v>
      </c>
      <c r="J3207">
        <f t="shared" si="254"/>
        <v>3205</v>
      </c>
      <c r="K3207">
        <f>IF(calendar[[#This Row],[Month]]&lt;4,1,IF(calendar[[#This Row],[Month]]&lt;7,2,IF(calendar[[#This Row],[Month]]&lt;10,3,4)))</f>
        <v>4</v>
      </c>
      <c r="L3207">
        <f>IFERROR(IF(VLOOKUP(calendar[[#This Row],[Date]],BH!A:A,1,)&lt;&gt;"",1,0),0)</f>
        <v>0</v>
      </c>
      <c r="M3207">
        <f>IFERROR(IF(VLOOKUP(calendar[[#This Row],[Date]],BH!C:C,1,)&lt;&gt;"",1,0),0)</f>
        <v>0</v>
      </c>
      <c r="N3207">
        <f>IFERROR(IF(VLOOKUP(calendar[[#This Row],[Date]],BH!E:E,1,)&lt;&gt;"",1,0),0)</f>
        <v>0</v>
      </c>
      <c r="O3207">
        <f>IFERROR(IF(VLOOKUP(calendar[[#This Row],[Date]],BH!G:G,1,)&lt;&gt;"",1,0),0)</f>
        <v>0</v>
      </c>
      <c r="P3207">
        <f>IF(OR(calendar[[#This Row],[UK_BH]]=1,calendar[[#This Row],[WeekDay]]=1, calendar[[#This Row],[WeekDay]]=7),P3206,P3206+1)</f>
        <v>2284</v>
      </c>
      <c r="Q3207">
        <f>IF(OR(calendar[[#This Row],[FR_BH]]=1,calendar[[#This Row],[WeekDay]]=1, calendar[[#This Row],[WeekDay]]=7),P3206,P3206+1)</f>
        <v>2284</v>
      </c>
      <c r="R3207">
        <f>IF(OR(calendar[[#This Row],[SP_BH]]=1,calendar[[#This Row],[WeekDay]]=1, calendar[[#This Row],[WeekDay]]=7),P3206,P3206+1)</f>
        <v>2284</v>
      </c>
      <c r="S3207">
        <f>IF(OR(calendar[[#This Row],[PT_BH]]=1,calendar[[#This Row],[WeekDay]]=1, calendar[[#This Row],[WeekDay]]=7),P3206,P3206+1)</f>
        <v>2284</v>
      </c>
    </row>
    <row r="3208" spans="1:19" x14ac:dyDescent="0.25">
      <c r="A3208" s="2">
        <v>45942</v>
      </c>
      <c r="B3208" s="1">
        <f t="shared" si="253"/>
        <v>42</v>
      </c>
      <c r="C3208">
        <f t="shared" si="250"/>
        <v>10</v>
      </c>
      <c r="D3208" t="str">
        <f t="shared" si="251"/>
        <v>October</v>
      </c>
      <c r="E3208">
        <f t="shared" si="252"/>
        <v>2025</v>
      </c>
      <c r="F3208" t="str">
        <f>CONCATENATE(calendar[[#This Row],[Month]],"/",calendar[[#This Row],[Year]])</f>
        <v>10/2025</v>
      </c>
      <c r="G3208">
        <f>WEEKDAY(calendar[[#This Row],[Date]],1)</f>
        <v>1</v>
      </c>
      <c r="H3208" t="str">
        <f>TEXT(calendar[[#This Row],[WeekDay]],"dddd")</f>
        <v>Sunday</v>
      </c>
      <c r="I3208">
        <f>IF((INT(calendar[[#This Row],[Count]]/7)-calendar[[#This Row],[Count]]/7)&lt;0,I3207,I3207+1)</f>
        <v>459</v>
      </c>
      <c r="J3208">
        <f t="shared" si="254"/>
        <v>3206</v>
      </c>
      <c r="K3208">
        <f>IF(calendar[[#This Row],[Month]]&lt;4,1,IF(calendar[[#This Row],[Month]]&lt;7,2,IF(calendar[[#This Row],[Month]]&lt;10,3,4)))</f>
        <v>4</v>
      </c>
      <c r="L3208">
        <f>IFERROR(IF(VLOOKUP(calendar[[#This Row],[Date]],BH!A:A,1,)&lt;&gt;"",1,0),0)</f>
        <v>0</v>
      </c>
      <c r="M3208">
        <f>IFERROR(IF(VLOOKUP(calendar[[#This Row],[Date]],BH!C:C,1,)&lt;&gt;"",1,0),0)</f>
        <v>0</v>
      </c>
      <c r="N3208">
        <f>IFERROR(IF(VLOOKUP(calendar[[#This Row],[Date]],BH!E:E,1,)&lt;&gt;"",1,0),0)</f>
        <v>1</v>
      </c>
      <c r="O3208">
        <f>IFERROR(IF(VLOOKUP(calendar[[#This Row],[Date]],BH!G:G,1,)&lt;&gt;"",1,0),0)</f>
        <v>0</v>
      </c>
      <c r="P3208">
        <f>IF(OR(calendar[[#This Row],[UK_BH]]=1,calendar[[#This Row],[WeekDay]]=1, calendar[[#This Row],[WeekDay]]=7),P3207,P3207+1)</f>
        <v>2284</v>
      </c>
      <c r="Q3208">
        <f>IF(OR(calendar[[#This Row],[FR_BH]]=1,calendar[[#This Row],[WeekDay]]=1, calendar[[#This Row],[WeekDay]]=7),P3207,P3207+1)</f>
        <v>2284</v>
      </c>
      <c r="R3208">
        <f>IF(OR(calendar[[#This Row],[SP_BH]]=1,calendar[[#This Row],[WeekDay]]=1, calendar[[#This Row],[WeekDay]]=7),P3207,P3207+1)</f>
        <v>2284</v>
      </c>
      <c r="S3208">
        <f>IF(OR(calendar[[#This Row],[PT_BH]]=1,calendar[[#This Row],[WeekDay]]=1, calendar[[#This Row],[WeekDay]]=7),P3207,P3207+1)</f>
        <v>2284</v>
      </c>
    </row>
    <row r="3209" spans="1:19" x14ac:dyDescent="0.25">
      <c r="A3209" s="2">
        <v>45943</v>
      </c>
      <c r="B3209" s="1">
        <f t="shared" si="253"/>
        <v>42</v>
      </c>
      <c r="C3209">
        <f t="shared" si="250"/>
        <v>10</v>
      </c>
      <c r="D3209" t="str">
        <f t="shared" si="251"/>
        <v>October</v>
      </c>
      <c r="E3209">
        <f t="shared" si="252"/>
        <v>2025</v>
      </c>
      <c r="F3209" t="str">
        <f>CONCATENATE(calendar[[#This Row],[Month]],"/",calendar[[#This Row],[Year]])</f>
        <v>10/2025</v>
      </c>
      <c r="G3209">
        <f>WEEKDAY(calendar[[#This Row],[Date]],1)</f>
        <v>2</v>
      </c>
      <c r="H3209" t="str">
        <f>TEXT(calendar[[#This Row],[WeekDay]],"dddd")</f>
        <v>Monday</v>
      </c>
      <c r="I3209">
        <f>IF((INT(calendar[[#This Row],[Count]]/7)-calendar[[#This Row],[Count]]/7)&lt;0,I3208,I3208+1)</f>
        <v>459</v>
      </c>
      <c r="J3209">
        <f t="shared" si="254"/>
        <v>3207</v>
      </c>
      <c r="K3209">
        <f>IF(calendar[[#This Row],[Month]]&lt;4,1,IF(calendar[[#This Row],[Month]]&lt;7,2,IF(calendar[[#This Row],[Month]]&lt;10,3,4)))</f>
        <v>4</v>
      </c>
      <c r="L3209">
        <f>IFERROR(IF(VLOOKUP(calendar[[#This Row],[Date]],BH!A:A,1,)&lt;&gt;"",1,0),0)</f>
        <v>0</v>
      </c>
      <c r="M3209">
        <f>IFERROR(IF(VLOOKUP(calendar[[#This Row],[Date]],BH!C:C,1,)&lt;&gt;"",1,0),0)</f>
        <v>0</v>
      </c>
      <c r="N3209">
        <f>IFERROR(IF(VLOOKUP(calendar[[#This Row],[Date]],BH!E:E,1,)&lt;&gt;"",1,0),0)</f>
        <v>0</v>
      </c>
      <c r="O3209">
        <f>IFERROR(IF(VLOOKUP(calendar[[#This Row],[Date]],BH!G:G,1,)&lt;&gt;"",1,0),0)</f>
        <v>0</v>
      </c>
      <c r="P3209">
        <f>IF(OR(calendar[[#This Row],[UK_BH]]=1,calendar[[#This Row],[WeekDay]]=1, calendar[[#This Row],[WeekDay]]=7),P3208,P3208+1)</f>
        <v>2285</v>
      </c>
      <c r="Q3209">
        <f>IF(OR(calendar[[#This Row],[FR_BH]]=1,calendar[[#This Row],[WeekDay]]=1, calendar[[#This Row],[WeekDay]]=7),P3208,P3208+1)</f>
        <v>2285</v>
      </c>
      <c r="R3209">
        <f>IF(OR(calendar[[#This Row],[SP_BH]]=1,calendar[[#This Row],[WeekDay]]=1, calendar[[#This Row],[WeekDay]]=7),P3208,P3208+1)</f>
        <v>2285</v>
      </c>
      <c r="S3209">
        <f>IF(OR(calendar[[#This Row],[PT_BH]]=1,calendar[[#This Row],[WeekDay]]=1, calendar[[#This Row],[WeekDay]]=7),P3208,P3208+1)</f>
        <v>2285</v>
      </c>
    </row>
    <row r="3210" spans="1:19" x14ac:dyDescent="0.25">
      <c r="A3210" s="2">
        <v>45944</v>
      </c>
      <c r="B3210" s="1">
        <f t="shared" si="253"/>
        <v>42</v>
      </c>
      <c r="C3210">
        <f t="shared" si="250"/>
        <v>10</v>
      </c>
      <c r="D3210" t="str">
        <f t="shared" si="251"/>
        <v>October</v>
      </c>
      <c r="E3210">
        <f t="shared" si="252"/>
        <v>2025</v>
      </c>
      <c r="F3210" t="str">
        <f>CONCATENATE(calendar[[#This Row],[Month]],"/",calendar[[#This Row],[Year]])</f>
        <v>10/2025</v>
      </c>
      <c r="G3210">
        <f>WEEKDAY(calendar[[#This Row],[Date]],1)</f>
        <v>3</v>
      </c>
      <c r="H3210" t="str">
        <f>TEXT(calendar[[#This Row],[WeekDay]],"dddd")</f>
        <v>Tuesday</v>
      </c>
      <c r="I3210">
        <f>IF((INT(calendar[[#This Row],[Count]]/7)-calendar[[#This Row],[Count]]/7)&lt;0,I3209,I3209+1)</f>
        <v>459</v>
      </c>
      <c r="J3210">
        <f t="shared" si="254"/>
        <v>3208</v>
      </c>
      <c r="K3210">
        <f>IF(calendar[[#This Row],[Month]]&lt;4,1,IF(calendar[[#This Row],[Month]]&lt;7,2,IF(calendar[[#This Row],[Month]]&lt;10,3,4)))</f>
        <v>4</v>
      </c>
      <c r="L3210">
        <f>IFERROR(IF(VLOOKUP(calendar[[#This Row],[Date]],BH!A:A,1,)&lt;&gt;"",1,0),0)</f>
        <v>0</v>
      </c>
      <c r="M3210">
        <f>IFERROR(IF(VLOOKUP(calendar[[#This Row],[Date]],BH!C:C,1,)&lt;&gt;"",1,0),0)</f>
        <v>0</v>
      </c>
      <c r="N3210">
        <f>IFERROR(IF(VLOOKUP(calendar[[#This Row],[Date]],BH!E:E,1,)&lt;&gt;"",1,0),0)</f>
        <v>0</v>
      </c>
      <c r="O3210">
        <f>IFERROR(IF(VLOOKUP(calendar[[#This Row],[Date]],BH!G:G,1,)&lt;&gt;"",1,0),0)</f>
        <v>0</v>
      </c>
      <c r="P3210">
        <f>IF(OR(calendar[[#This Row],[UK_BH]]=1,calendar[[#This Row],[WeekDay]]=1, calendar[[#This Row],[WeekDay]]=7),P3209,P3209+1)</f>
        <v>2286</v>
      </c>
      <c r="Q3210">
        <f>IF(OR(calendar[[#This Row],[FR_BH]]=1,calendar[[#This Row],[WeekDay]]=1, calendar[[#This Row],[WeekDay]]=7),P3209,P3209+1)</f>
        <v>2286</v>
      </c>
      <c r="R3210">
        <f>IF(OR(calendar[[#This Row],[SP_BH]]=1,calendar[[#This Row],[WeekDay]]=1, calendar[[#This Row],[WeekDay]]=7),P3209,P3209+1)</f>
        <v>2286</v>
      </c>
      <c r="S3210">
        <f>IF(OR(calendar[[#This Row],[PT_BH]]=1,calendar[[#This Row],[WeekDay]]=1, calendar[[#This Row],[WeekDay]]=7),P3209,P3209+1)</f>
        <v>2286</v>
      </c>
    </row>
    <row r="3211" spans="1:19" x14ac:dyDescent="0.25">
      <c r="A3211" s="2">
        <v>45945</v>
      </c>
      <c r="B3211" s="1">
        <f t="shared" si="253"/>
        <v>42</v>
      </c>
      <c r="C3211">
        <f t="shared" si="250"/>
        <v>10</v>
      </c>
      <c r="D3211" t="str">
        <f t="shared" si="251"/>
        <v>October</v>
      </c>
      <c r="E3211">
        <f t="shared" si="252"/>
        <v>2025</v>
      </c>
      <c r="F3211" t="str">
        <f>CONCATENATE(calendar[[#This Row],[Month]],"/",calendar[[#This Row],[Year]])</f>
        <v>10/2025</v>
      </c>
      <c r="G3211">
        <f>WEEKDAY(calendar[[#This Row],[Date]],1)</f>
        <v>4</v>
      </c>
      <c r="H3211" t="str">
        <f>TEXT(calendar[[#This Row],[WeekDay]],"dddd")</f>
        <v>Wednesday</v>
      </c>
      <c r="I3211">
        <f>IF((INT(calendar[[#This Row],[Count]]/7)-calendar[[#This Row],[Count]]/7)&lt;0,I3210,I3210+1)</f>
        <v>459</v>
      </c>
      <c r="J3211">
        <f t="shared" si="254"/>
        <v>3209</v>
      </c>
      <c r="K3211">
        <f>IF(calendar[[#This Row],[Month]]&lt;4,1,IF(calendar[[#This Row],[Month]]&lt;7,2,IF(calendar[[#This Row],[Month]]&lt;10,3,4)))</f>
        <v>4</v>
      </c>
      <c r="L3211">
        <f>IFERROR(IF(VLOOKUP(calendar[[#This Row],[Date]],BH!A:A,1,)&lt;&gt;"",1,0),0)</f>
        <v>0</v>
      </c>
      <c r="M3211">
        <f>IFERROR(IF(VLOOKUP(calendar[[#This Row],[Date]],BH!C:C,1,)&lt;&gt;"",1,0),0)</f>
        <v>0</v>
      </c>
      <c r="N3211">
        <f>IFERROR(IF(VLOOKUP(calendar[[#This Row],[Date]],BH!E:E,1,)&lt;&gt;"",1,0),0)</f>
        <v>0</v>
      </c>
      <c r="O3211">
        <f>IFERROR(IF(VLOOKUP(calendar[[#This Row],[Date]],BH!G:G,1,)&lt;&gt;"",1,0),0)</f>
        <v>0</v>
      </c>
      <c r="P3211">
        <f>IF(OR(calendar[[#This Row],[UK_BH]]=1,calendar[[#This Row],[WeekDay]]=1, calendar[[#This Row],[WeekDay]]=7),P3210,P3210+1)</f>
        <v>2287</v>
      </c>
      <c r="Q3211">
        <f>IF(OR(calendar[[#This Row],[FR_BH]]=1,calendar[[#This Row],[WeekDay]]=1, calendar[[#This Row],[WeekDay]]=7),P3210,P3210+1)</f>
        <v>2287</v>
      </c>
      <c r="R3211">
        <f>IF(OR(calendar[[#This Row],[SP_BH]]=1,calendar[[#This Row],[WeekDay]]=1, calendar[[#This Row],[WeekDay]]=7),P3210,P3210+1)</f>
        <v>2287</v>
      </c>
      <c r="S3211">
        <f>IF(OR(calendar[[#This Row],[PT_BH]]=1,calendar[[#This Row],[WeekDay]]=1, calendar[[#This Row],[WeekDay]]=7),P3210,P3210+1)</f>
        <v>2287</v>
      </c>
    </row>
    <row r="3212" spans="1:19" x14ac:dyDescent="0.25">
      <c r="A3212" s="2">
        <v>45946</v>
      </c>
      <c r="B3212" s="1">
        <f t="shared" si="253"/>
        <v>42</v>
      </c>
      <c r="C3212">
        <f t="shared" si="250"/>
        <v>10</v>
      </c>
      <c r="D3212" t="str">
        <f t="shared" si="251"/>
        <v>October</v>
      </c>
      <c r="E3212">
        <f t="shared" si="252"/>
        <v>2025</v>
      </c>
      <c r="F3212" t="str">
        <f>CONCATENATE(calendar[[#This Row],[Month]],"/",calendar[[#This Row],[Year]])</f>
        <v>10/2025</v>
      </c>
      <c r="G3212">
        <f>WEEKDAY(calendar[[#This Row],[Date]],1)</f>
        <v>5</v>
      </c>
      <c r="H3212" t="str">
        <f>TEXT(calendar[[#This Row],[WeekDay]],"dddd")</f>
        <v>Thursday</v>
      </c>
      <c r="I3212">
        <f>IF((INT(calendar[[#This Row],[Count]]/7)-calendar[[#This Row],[Count]]/7)&lt;0,I3211,I3211+1)</f>
        <v>459</v>
      </c>
      <c r="J3212">
        <f t="shared" si="254"/>
        <v>3210</v>
      </c>
      <c r="K3212">
        <f>IF(calendar[[#This Row],[Month]]&lt;4,1,IF(calendar[[#This Row],[Month]]&lt;7,2,IF(calendar[[#This Row],[Month]]&lt;10,3,4)))</f>
        <v>4</v>
      </c>
      <c r="L3212">
        <f>IFERROR(IF(VLOOKUP(calendar[[#This Row],[Date]],BH!A:A,1,)&lt;&gt;"",1,0),0)</f>
        <v>0</v>
      </c>
      <c r="M3212">
        <f>IFERROR(IF(VLOOKUP(calendar[[#This Row],[Date]],BH!C:C,1,)&lt;&gt;"",1,0),0)</f>
        <v>0</v>
      </c>
      <c r="N3212">
        <f>IFERROR(IF(VLOOKUP(calendar[[#This Row],[Date]],BH!E:E,1,)&lt;&gt;"",1,0),0)</f>
        <v>0</v>
      </c>
      <c r="O3212">
        <f>IFERROR(IF(VLOOKUP(calendar[[#This Row],[Date]],BH!G:G,1,)&lt;&gt;"",1,0),0)</f>
        <v>0</v>
      </c>
      <c r="P3212">
        <f>IF(OR(calendar[[#This Row],[UK_BH]]=1,calendar[[#This Row],[WeekDay]]=1, calendar[[#This Row],[WeekDay]]=7),P3211,P3211+1)</f>
        <v>2288</v>
      </c>
      <c r="Q3212">
        <f>IF(OR(calendar[[#This Row],[FR_BH]]=1,calendar[[#This Row],[WeekDay]]=1, calendar[[#This Row],[WeekDay]]=7),P3211,P3211+1)</f>
        <v>2288</v>
      </c>
      <c r="R3212">
        <f>IF(OR(calendar[[#This Row],[SP_BH]]=1,calendar[[#This Row],[WeekDay]]=1, calendar[[#This Row],[WeekDay]]=7),P3211,P3211+1)</f>
        <v>2288</v>
      </c>
      <c r="S3212">
        <f>IF(OR(calendar[[#This Row],[PT_BH]]=1,calendar[[#This Row],[WeekDay]]=1, calendar[[#This Row],[WeekDay]]=7),P3211,P3211+1)</f>
        <v>2288</v>
      </c>
    </row>
    <row r="3213" spans="1:19" x14ac:dyDescent="0.25">
      <c r="A3213" s="2">
        <v>45947</v>
      </c>
      <c r="B3213" s="1">
        <f t="shared" si="253"/>
        <v>42</v>
      </c>
      <c r="C3213">
        <f t="shared" si="250"/>
        <v>10</v>
      </c>
      <c r="D3213" t="str">
        <f t="shared" si="251"/>
        <v>October</v>
      </c>
      <c r="E3213">
        <f t="shared" si="252"/>
        <v>2025</v>
      </c>
      <c r="F3213" t="str">
        <f>CONCATENATE(calendar[[#This Row],[Month]],"/",calendar[[#This Row],[Year]])</f>
        <v>10/2025</v>
      </c>
      <c r="G3213">
        <f>WEEKDAY(calendar[[#This Row],[Date]],1)</f>
        <v>6</v>
      </c>
      <c r="H3213" t="str">
        <f>TEXT(calendar[[#This Row],[WeekDay]],"dddd")</f>
        <v>Friday</v>
      </c>
      <c r="I3213">
        <f>IF((INT(calendar[[#This Row],[Count]]/7)-calendar[[#This Row],[Count]]/7)&lt;0,I3212,I3212+1)</f>
        <v>459</v>
      </c>
      <c r="J3213">
        <f t="shared" si="254"/>
        <v>3211</v>
      </c>
      <c r="K3213">
        <f>IF(calendar[[#This Row],[Month]]&lt;4,1,IF(calendar[[#This Row],[Month]]&lt;7,2,IF(calendar[[#This Row],[Month]]&lt;10,3,4)))</f>
        <v>4</v>
      </c>
      <c r="L3213">
        <f>IFERROR(IF(VLOOKUP(calendar[[#This Row],[Date]],BH!A:A,1,)&lt;&gt;"",1,0),0)</f>
        <v>0</v>
      </c>
      <c r="M3213">
        <f>IFERROR(IF(VLOOKUP(calendar[[#This Row],[Date]],BH!C:C,1,)&lt;&gt;"",1,0),0)</f>
        <v>0</v>
      </c>
      <c r="N3213">
        <f>IFERROR(IF(VLOOKUP(calendar[[#This Row],[Date]],BH!E:E,1,)&lt;&gt;"",1,0),0)</f>
        <v>0</v>
      </c>
      <c r="O3213">
        <f>IFERROR(IF(VLOOKUP(calendar[[#This Row],[Date]],BH!G:G,1,)&lt;&gt;"",1,0),0)</f>
        <v>0</v>
      </c>
      <c r="P3213">
        <f>IF(OR(calendar[[#This Row],[UK_BH]]=1,calendar[[#This Row],[WeekDay]]=1, calendar[[#This Row],[WeekDay]]=7),P3212,P3212+1)</f>
        <v>2289</v>
      </c>
      <c r="Q3213">
        <f>IF(OR(calendar[[#This Row],[FR_BH]]=1,calendar[[#This Row],[WeekDay]]=1, calendar[[#This Row],[WeekDay]]=7),P3212,P3212+1)</f>
        <v>2289</v>
      </c>
      <c r="R3213">
        <f>IF(OR(calendar[[#This Row],[SP_BH]]=1,calendar[[#This Row],[WeekDay]]=1, calendar[[#This Row],[WeekDay]]=7),P3212,P3212+1)</f>
        <v>2289</v>
      </c>
      <c r="S3213">
        <f>IF(OR(calendar[[#This Row],[PT_BH]]=1,calendar[[#This Row],[WeekDay]]=1, calendar[[#This Row],[WeekDay]]=7),P3212,P3212+1)</f>
        <v>2289</v>
      </c>
    </row>
    <row r="3214" spans="1:19" x14ac:dyDescent="0.25">
      <c r="A3214" s="2">
        <v>45948</v>
      </c>
      <c r="B3214" s="1">
        <f t="shared" si="253"/>
        <v>42</v>
      </c>
      <c r="C3214">
        <f t="shared" si="250"/>
        <v>10</v>
      </c>
      <c r="D3214" t="str">
        <f t="shared" si="251"/>
        <v>October</v>
      </c>
      <c r="E3214">
        <f t="shared" si="252"/>
        <v>2025</v>
      </c>
      <c r="F3214" t="str">
        <f>CONCATENATE(calendar[[#This Row],[Month]],"/",calendar[[#This Row],[Year]])</f>
        <v>10/2025</v>
      </c>
      <c r="G3214">
        <f>WEEKDAY(calendar[[#This Row],[Date]],1)</f>
        <v>7</v>
      </c>
      <c r="H3214" t="str">
        <f>TEXT(calendar[[#This Row],[WeekDay]],"dddd")</f>
        <v>Saturday</v>
      </c>
      <c r="I3214">
        <f>IF((INT(calendar[[#This Row],[Count]]/7)-calendar[[#This Row],[Count]]/7)&lt;0,I3213,I3213+1)</f>
        <v>459</v>
      </c>
      <c r="J3214">
        <f t="shared" si="254"/>
        <v>3212</v>
      </c>
      <c r="K3214">
        <f>IF(calendar[[#This Row],[Month]]&lt;4,1,IF(calendar[[#This Row],[Month]]&lt;7,2,IF(calendar[[#This Row],[Month]]&lt;10,3,4)))</f>
        <v>4</v>
      </c>
      <c r="L3214">
        <f>IFERROR(IF(VLOOKUP(calendar[[#This Row],[Date]],BH!A:A,1,)&lt;&gt;"",1,0),0)</f>
        <v>0</v>
      </c>
      <c r="M3214">
        <f>IFERROR(IF(VLOOKUP(calendar[[#This Row],[Date]],BH!C:C,1,)&lt;&gt;"",1,0),0)</f>
        <v>0</v>
      </c>
      <c r="N3214">
        <f>IFERROR(IF(VLOOKUP(calendar[[#This Row],[Date]],BH!E:E,1,)&lt;&gt;"",1,0),0)</f>
        <v>0</v>
      </c>
      <c r="O3214">
        <f>IFERROR(IF(VLOOKUP(calendar[[#This Row],[Date]],BH!G:G,1,)&lt;&gt;"",1,0),0)</f>
        <v>0</v>
      </c>
      <c r="P3214">
        <f>IF(OR(calendar[[#This Row],[UK_BH]]=1,calendar[[#This Row],[WeekDay]]=1, calendar[[#This Row],[WeekDay]]=7),P3213,P3213+1)</f>
        <v>2289</v>
      </c>
      <c r="Q3214">
        <f>IF(OR(calendar[[#This Row],[FR_BH]]=1,calendar[[#This Row],[WeekDay]]=1, calendar[[#This Row],[WeekDay]]=7),P3213,P3213+1)</f>
        <v>2289</v>
      </c>
      <c r="R3214">
        <f>IF(OR(calendar[[#This Row],[SP_BH]]=1,calendar[[#This Row],[WeekDay]]=1, calendar[[#This Row],[WeekDay]]=7),P3213,P3213+1)</f>
        <v>2289</v>
      </c>
      <c r="S3214">
        <f>IF(OR(calendar[[#This Row],[PT_BH]]=1,calendar[[#This Row],[WeekDay]]=1, calendar[[#This Row],[WeekDay]]=7),P3213,P3213+1)</f>
        <v>2289</v>
      </c>
    </row>
    <row r="3215" spans="1:19" x14ac:dyDescent="0.25">
      <c r="A3215" s="2">
        <v>45949</v>
      </c>
      <c r="B3215" s="1">
        <f t="shared" si="253"/>
        <v>43</v>
      </c>
      <c r="C3215">
        <f t="shared" si="250"/>
        <v>10</v>
      </c>
      <c r="D3215" t="str">
        <f t="shared" si="251"/>
        <v>October</v>
      </c>
      <c r="E3215">
        <f t="shared" si="252"/>
        <v>2025</v>
      </c>
      <c r="F3215" t="str">
        <f>CONCATENATE(calendar[[#This Row],[Month]],"/",calendar[[#This Row],[Year]])</f>
        <v>10/2025</v>
      </c>
      <c r="G3215">
        <f>WEEKDAY(calendar[[#This Row],[Date]],1)</f>
        <v>1</v>
      </c>
      <c r="H3215" t="str">
        <f>TEXT(calendar[[#This Row],[WeekDay]],"dddd")</f>
        <v>Sunday</v>
      </c>
      <c r="I3215">
        <f>IF((INT(calendar[[#This Row],[Count]]/7)-calendar[[#This Row],[Count]]/7)&lt;0,I3214,I3214+1)</f>
        <v>460</v>
      </c>
      <c r="J3215">
        <f t="shared" si="254"/>
        <v>3213</v>
      </c>
      <c r="K3215">
        <f>IF(calendar[[#This Row],[Month]]&lt;4,1,IF(calendar[[#This Row],[Month]]&lt;7,2,IF(calendar[[#This Row],[Month]]&lt;10,3,4)))</f>
        <v>4</v>
      </c>
      <c r="L3215">
        <f>IFERROR(IF(VLOOKUP(calendar[[#This Row],[Date]],BH!A:A,1,)&lt;&gt;"",1,0),0)</f>
        <v>0</v>
      </c>
      <c r="M3215">
        <f>IFERROR(IF(VLOOKUP(calendar[[#This Row],[Date]],BH!C:C,1,)&lt;&gt;"",1,0),0)</f>
        <v>0</v>
      </c>
      <c r="N3215">
        <f>IFERROR(IF(VLOOKUP(calendar[[#This Row],[Date]],BH!E:E,1,)&lt;&gt;"",1,0),0)</f>
        <v>0</v>
      </c>
      <c r="O3215">
        <f>IFERROR(IF(VLOOKUP(calendar[[#This Row],[Date]],BH!G:G,1,)&lt;&gt;"",1,0),0)</f>
        <v>0</v>
      </c>
      <c r="P3215">
        <f>IF(OR(calendar[[#This Row],[UK_BH]]=1,calendar[[#This Row],[WeekDay]]=1, calendar[[#This Row],[WeekDay]]=7),P3214,P3214+1)</f>
        <v>2289</v>
      </c>
      <c r="Q3215">
        <f>IF(OR(calendar[[#This Row],[FR_BH]]=1,calendar[[#This Row],[WeekDay]]=1, calendar[[#This Row],[WeekDay]]=7),P3214,P3214+1)</f>
        <v>2289</v>
      </c>
      <c r="R3215">
        <f>IF(OR(calendar[[#This Row],[SP_BH]]=1,calendar[[#This Row],[WeekDay]]=1, calendar[[#This Row],[WeekDay]]=7),P3214,P3214+1)</f>
        <v>2289</v>
      </c>
      <c r="S3215">
        <f>IF(OR(calendar[[#This Row],[PT_BH]]=1,calendar[[#This Row],[WeekDay]]=1, calendar[[#This Row],[WeekDay]]=7),P3214,P3214+1)</f>
        <v>2289</v>
      </c>
    </row>
    <row r="3216" spans="1:19" x14ac:dyDescent="0.25">
      <c r="A3216" s="2">
        <v>45950</v>
      </c>
      <c r="B3216" s="1">
        <f t="shared" si="253"/>
        <v>43</v>
      </c>
      <c r="C3216">
        <f t="shared" ref="C3216:C3279" si="255">MONTH(A3216)</f>
        <v>10</v>
      </c>
      <c r="D3216" t="str">
        <f t="shared" ref="D3216:D3279" si="256">TEXT(A3216,"mmmm")</f>
        <v>October</v>
      </c>
      <c r="E3216">
        <f t="shared" ref="E3216:E3279" si="257">YEAR(A3216)</f>
        <v>2025</v>
      </c>
      <c r="F3216" t="str">
        <f>CONCATENATE(calendar[[#This Row],[Month]],"/",calendar[[#This Row],[Year]])</f>
        <v>10/2025</v>
      </c>
      <c r="G3216">
        <f>WEEKDAY(calendar[[#This Row],[Date]],1)</f>
        <v>2</v>
      </c>
      <c r="H3216" t="str">
        <f>TEXT(calendar[[#This Row],[WeekDay]],"dddd")</f>
        <v>Monday</v>
      </c>
      <c r="I3216">
        <f>IF((INT(calendar[[#This Row],[Count]]/7)-calendar[[#This Row],[Count]]/7)&lt;0,I3215,I3215+1)</f>
        <v>460</v>
      </c>
      <c r="J3216">
        <f t="shared" si="254"/>
        <v>3214</v>
      </c>
      <c r="K3216">
        <f>IF(calendar[[#This Row],[Month]]&lt;4,1,IF(calendar[[#This Row],[Month]]&lt;7,2,IF(calendar[[#This Row],[Month]]&lt;10,3,4)))</f>
        <v>4</v>
      </c>
      <c r="L3216">
        <f>IFERROR(IF(VLOOKUP(calendar[[#This Row],[Date]],BH!A:A,1,)&lt;&gt;"",1,0),0)</f>
        <v>0</v>
      </c>
      <c r="M3216">
        <f>IFERROR(IF(VLOOKUP(calendar[[#This Row],[Date]],BH!C:C,1,)&lt;&gt;"",1,0),0)</f>
        <v>0</v>
      </c>
      <c r="N3216">
        <f>IFERROR(IF(VLOOKUP(calendar[[#This Row],[Date]],BH!E:E,1,)&lt;&gt;"",1,0),0)</f>
        <v>0</v>
      </c>
      <c r="O3216">
        <f>IFERROR(IF(VLOOKUP(calendar[[#This Row],[Date]],BH!G:G,1,)&lt;&gt;"",1,0),0)</f>
        <v>0</v>
      </c>
      <c r="P3216">
        <f>IF(OR(calendar[[#This Row],[UK_BH]]=1,calendar[[#This Row],[WeekDay]]=1, calendar[[#This Row],[WeekDay]]=7),P3215,P3215+1)</f>
        <v>2290</v>
      </c>
      <c r="Q3216">
        <f>IF(OR(calendar[[#This Row],[FR_BH]]=1,calendar[[#This Row],[WeekDay]]=1, calendar[[#This Row],[WeekDay]]=7),P3215,P3215+1)</f>
        <v>2290</v>
      </c>
      <c r="R3216">
        <f>IF(OR(calendar[[#This Row],[SP_BH]]=1,calendar[[#This Row],[WeekDay]]=1, calendar[[#This Row],[WeekDay]]=7),P3215,P3215+1)</f>
        <v>2290</v>
      </c>
      <c r="S3216">
        <f>IF(OR(calendar[[#This Row],[PT_BH]]=1,calendar[[#This Row],[WeekDay]]=1, calendar[[#This Row],[WeekDay]]=7),P3215,P3215+1)</f>
        <v>2290</v>
      </c>
    </row>
    <row r="3217" spans="1:19" x14ac:dyDescent="0.25">
      <c r="A3217" s="2">
        <v>45951</v>
      </c>
      <c r="B3217" s="1">
        <f t="shared" si="253"/>
        <v>43</v>
      </c>
      <c r="C3217">
        <f t="shared" si="255"/>
        <v>10</v>
      </c>
      <c r="D3217" t="str">
        <f t="shared" si="256"/>
        <v>October</v>
      </c>
      <c r="E3217">
        <f t="shared" si="257"/>
        <v>2025</v>
      </c>
      <c r="F3217" t="str">
        <f>CONCATENATE(calendar[[#This Row],[Month]],"/",calendar[[#This Row],[Year]])</f>
        <v>10/2025</v>
      </c>
      <c r="G3217">
        <f>WEEKDAY(calendar[[#This Row],[Date]],1)</f>
        <v>3</v>
      </c>
      <c r="H3217" t="str">
        <f>TEXT(calendar[[#This Row],[WeekDay]],"dddd")</f>
        <v>Tuesday</v>
      </c>
      <c r="I3217">
        <f>IF((INT(calendar[[#This Row],[Count]]/7)-calendar[[#This Row],[Count]]/7)&lt;0,I3216,I3216+1)</f>
        <v>460</v>
      </c>
      <c r="J3217">
        <f t="shared" si="254"/>
        <v>3215</v>
      </c>
      <c r="K3217">
        <f>IF(calendar[[#This Row],[Month]]&lt;4,1,IF(calendar[[#This Row],[Month]]&lt;7,2,IF(calendar[[#This Row],[Month]]&lt;10,3,4)))</f>
        <v>4</v>
      </c>
      <c r="L3217">
        <f>IFERROR(IF(VLOOKUP(calendar[[#This Row],[Date]],BH!A:A,1,)&lt;&gt;"",1,0),0)</f>
        <v>0</v>
      </c>
      <c r="M3217">
        <f>IFERROR(IF(VLOOKUP(calendar[[#This Row],[Date]],BH!C:C,1,)&lt;&gt;"",1,0),0)</f>
        <v>0</v>
      </c>
      <c r="N3217">
        <f>IFERROR(IF(VLOOKUP(calendar[[#This Row],[Date]],BH!E:E,1,)&lt;&gt;"",1,0),0)</f>
        <v>0</v>
      </c>
      <c r="O3217">
        <f>IFERROR(IF(VLOOKUP(calendar[[#This Row],[Date]],BH!G:G,1,)&lt;&gt;"",1,0),0)</f>
        <v>0</v>
      </c>
      <c r="P3217">
        <f>IF(OR(calendar[[#This Row],[UK_BH]]=1,calendar[[#This Row],[WeekDay]]=1, calendar[[#This Row],[WeekDay]]=7),P3216,P3216+1)</f>
        <v>2291</v>
      </c>
      <c r="Q3217">
        <f>IF(OR(calendar[[#This Row],[FR_BH]]=1,calendar[[#This Row],[WeekDay]]=1, calendar[[#This Row],[WeekDay]]=7),P3216,P3216+1)</f>
        <v>2291</v>
      </c>
      <c r="R3217">
        <f>IF(OR(calendar[[#This Row],[SP_BH]]=1,calendar[[#This Row],[WeekDay]]=1, calendar[[#This Row],[WeekDay]]=7),P3216,P3216+1)</f>
        <v>2291</v>
      </c>
      <c r="S3217">
        <f>IF(OR(calendar[[#This Row],[PT_BH]]=1,calendar[[#This Row],[WeekDay]]=1, calendar[[#This Row],[WeekDay]]=7),P3216,P3216+1)</f>
        <v>2291</v>
      </c>
    </row>
    <row r="3218" spans="1:19" x14ac:dyDescent="0.25">
      <c r="A3218" s="2">
        <v>45952</v>
      </c>
      <c r="B3218" s="1">
        <f t="shared" si="253"/>
        <v>43</v>
      </c>
      <c r="C3218">
        <f t="shared" si="255"/>
        <v>10</v>
      </c>
      <c r="D3218" t="str">
        <f t="shared" si="256"/>
        <v>October</v>
      </c>
      <c r="E3218">
        <f t="shared" si="257"/>
        <v>2025</v>
      </c>
      <c r="F3218" t="str">
        <f>CONCATENATE(calendar[[#This Row],[Month]],"/",calendar[[#This Row],[Year]])</f>
        <v>10/2025</v>
      </c>
      <c r="G3218">
        <f>WEEKDAY(calendar[[#This Row],[Date]],1)</f>
        <v>4</v>
      </c>
      <c r="H3218" t="str">
        <f>TEXT(calendar[[#This Row],[WeekDay]],"dddd")</f>
        <v>Wednesday</v>
      </c>
      <c r="I3218">
        <f>IF((INT(calendar[[#This Row],[Count]]/7)-calendar[[#This Row],[Count]]/7)&lt;0,I3217,I3217+1)</f>
        <v>460</v>
      </c>
      <c r="J3218">
        <f t="shared" si="254"/>
        <v>3216</v>
      </c>
      <c r="K3218">
        <f>IF(calendar[[#This Row],[Month]]&lt;4,1,IF(calendar[[#This Row],[Month]]&lt;7,2,IF(calendar[[#This Row],[Month]]&lt;10,3,4)))</f>
        <v>4</v>
      </c>
      <c r="L3218">
        <f>IFERROR(IF(VLOOKUP(calendar[[#This Row],[Date]],BH!A:A,1,)&lt;&gt;"",1,0),0)</f>
        <v>0</v>
      </c>
      <c r="M3218">
        <f>IFERROR(IF(VLOOKUP(calendar[[#This Row],[Date]],BH!C:C,1,)&lt;&gt;"",1,0),0)</f>
        <v>0</v>
      </c>
      <c r="N3218">
        <f>IFERROR(IF(VLOOKUP(calendar[[#This Row],[Date]],BH!E:E,1,)&lt;&gt;"",1,0),0)</f>
        <v>0</v>
      </c>
      <c r="O3218">
        <f>IFERROR(IF(VLOOKUP(calendar[[#This Row],[Date]],BH!G:G,1,)&lt;&gt;"",1,0),0)</f>
        <v>0</v>
      </c>
      <c r="P3218">
        <f>IF(OR(calendar[[#This Row],[UK_BH]]=1,calendar[[#This Row],[WeekDay]]=1, calendar[[#This Row],[WeekDay]]=7),P3217,P3217+1)</f>
        <v>2292</v>
      </c>
      <c r="Q3218">
        <f>IF(OR(calendar[[#This Row],[FR_BH]]=1,calendar[[#This Row],[WeekDay]]=1, calendar[[#This Row],[WeekDay]]=7),P3217,P3217+1)</f>
        <v>2292</v>
      </c>
      <c r="R3218">
        <f>IF(OR(calendar[[#This Row],[SP_BH]]=1,calendar[[#This Row],[WeekDay]]=1, calendar[[#This Row],[WeekDay]]=7),P3217,P3217+1)</f>
        <v>2292</v>
      </c>
      <c r="S3218">
        <f>IF(OR(calendar[[#This Row],[PT_BH]]=1,calendar[[#This Row],[WeekDay]]=1, calendar[[#This Row],[WeekDay]]=7),P3217,P3217+1)</f>
        <v>2292</v>
      </c>
    </row>
    <row r="3219" spans="1:19" x14ac:dyDescent="0.25">
      <c r="A3219" s="2">
        <v>45953</v>
      </c>
      <c r="B3219" s="1">
        <f t="shared" si="253"/>
        <v>43</v>
      </c>
      <c r="C3219">
        <f t="shared" si="255"/>
        <v>10</v>
      </c>
      <c r="D3219" t="str">
        <f t="shared" si="256"/>
        <v>October</v>
      </c>
      <c r="E3219">
        <f t="shared" si="257"/>
        <v>2025</v>
      </c>
      <c r="F3219" t="str">
        <f>CONCATENATE(calendar[[#This Row],[Month]],"/",calendar[[#This Row],[Year]])</f>
        <v>10/2025</v>
      </c>
      <c r="G3219">
        <f>WEEKDAY(calendar[[#This Row],[Date]],1)</f>
        <v>5</v>
      </c>
      <c r="H3219" t="str">
        <f>TEXT(calendar[[#This Row],[WeekDay]],"dddd")</f>
        <v>Thursday</v>
      </c>
      <c r="I3219">
        <f>IF((INT(calendar[[#This Row],[Count]]/7)-calendar[[#This Row],[Count]]/7)&lt;0,I3218,I3218+1)</f>
        <v>460</v>
      </c>
      <c r="J3219">
        <f t="shared" si="254"/>
        <v>3217</v>
      </c>
      <c r="K3219">
        <f>IF(calendar[[#This Row],[Month]]&lt;4,1,IF(calendar[[#This Row],[Month]]&lt;7,2,IF(calendar[[#This Row],[Month]]&lt;10,3,4)))</f>
        <v>4</v>
      </c>
      <c r="L3219">
        <f>IFERROR(IF(VLOOKUP(calendar[[#This Row],[Date]],BH!A:A,1,)&lt;&gt;"",1,0),0)</f>
        <v>0</v>
      </c>
      <c r="M3219">
        <f>IFERROR(IF(VLOOKUP(calendar[[#This Row],[Date]],BH!C:C,1,)&lt;&gt;"",1,0),0)</f>
        <v>0</v>
      </c>
      <c r="N3219">
        <f>IFERROR(IF(VLOOKUP(calendar[[#This Row],[Date]],BH!E:E,1,)&lt;&gt;"",1,0),0)</f>
        <v>0</v>
      </c>
      <c r="O3219">
        <f>IFERROR(IF(VLOOKUP(calendar[[#This Row],[Date]],BH!G:G,1,)&lt;&gt;"",1,0),0)</f>
        <v>0</v>
      </c>
      <c r="P3219">
        <f>IF(OR(calendar[[#This Row],[UK_BH]]=1,calendar[[#This Row],[WeekDay]]=1, calendar[[#This Row],[WeekDay]]=7),P3218,P3218+1)</f>
        <v>2293</v>
      </c>
      <c r="Q3219">
        <f>IF(OR(calendar[[#This Row],[FR_BH]]=1,calendar[[#This Row],[WeekDay]]=1, calendar[[#This Row],[WeekDay]]=7),P3218,P3218+1)</f>
        <v>2293</v>
      </c>
      <c r="R3219">
        <f>IF(OR(calendar[[#This Row],[SP_BH]]=1,calendar[[#This Row],[WeekDay]]=1, calendar[[#This Row],[WeekDay]]=7),P3218,P3218+1)</f>
        <v>2293</v>
      </c>
      <c r="S3219">
        <f>IF(OR(calendar[[#This Row],[PT_BH]]=1,calendar[[#This Row],[WeekDay]]=1, calendar[[#This Row],[WeekDay]]=7),P3218,P3218+1)</f>
        <v>2293</v>
      </c>
    </row>
    <row r="3220" spans="1:19" x14ac:dyDescent="0.25">
      <c r="A3220" s="2">
        <v>45954</v>
      </c>
      <c r="B3220" s="1">
        <f t="shared" si="253"/>
        <v>43</v>
      </c>
      <c r="C3220">
        <f t="shared" si="255"/>
        <v>10</v>
      </c>
      <c r="D3220" t="str">
        <f t="shared" si="256"/>
        <v>October</v>
      </c>
      <c r="E3220">
        <f t="shared" si="257"/>
        <v>2025</v>
      </c>
      <c r="F3220" t="str">
        <f>CONCATENATE(calendar[[#This Row],[Month]],"/",calendar[[#This Row],[Year]])</f>
        <v>10/2025</v>
      </c>
      <c r="G3220">
        <f>WEEKDAY(calendar[[#This Row],[Date]],1)</f>
        <v>6</v>
      </c>
      <c r="H3220" t="str">
        <f>TEXT(calendar[[#This Row],[WeekDay]],"dddd")</f>
        <v>Friday</v>
      </c>
      <c r="I3220">
        <f>IF((INT(calendar[[#This Row],[Count]]/7)-calendar[[#This Row],[Count]]/7)&lt;0,I3219,I3219+1)</f>
        <v>460</v>
      </c>
      <c r="J3220">
        <f t="shared" si="254"/>
        <v>3218</v>
      </c>
      <c r="K3220">
        <f>IF(calendar[[#This Row],[Month]]&lt;4,1,IF(calendar[[#This Row],[Month]]&lt;7,2,IF(calendar[[#This Row],[Month]]&lt;10,3,4)))</f>
        <v>4</v>
      </c>
      <c r="L3220">
        <f>IFERROR(IF(VLOOKUP(calendar[[#This Row],[Date]],BH!A:A,1,)&lt;&gt;"",1,0),0)</f>
        <v>0</v>
      </c>
      <c r="M3220">
        <f>IFERROR(IF(VLOOKUP(calendar[[#This Row],[Date]],BH!C:C,1,)&lt;&gt;"",1,0),0)</f>
        <v>0</v>
      </c>
      <c r="N3220">
        <f>IFERROR(IF(VLOOKUP(calendar[[#This Row],[Date]],BH!E:E,1,)&lt;&gt;"",1,0),0)</f>
        <v>0</v>
      </c>
      <c r="O3220">
        <f>IFERROR(IF(VLOOKUP(calendar[[#This Row],[Date]],BH!G:G,1,)&lt;&gt;"",1,0),0)</f>
        <v>0</v>
      </c>
      <c r="P3220">
        <f>IF(OR(calendar[[#This Row],[UK_BH]]=1,calendar[[#This Row],[WeekDay]]=1, calendar[[#This Row],[WeekDay]]=7),P3219,P3219+1)</f>
        <v>2294</v>
      </c>
      <c r="Q3220">
        <f>IF(OR(calendar[[#This Row],[FR_BH]]=1,calendar[[#This Row],[WeekDay]]=1, calendar[[#This Row],[WeekDay]]=7),P3219,P3219+1)</f>
        <v>2294</v>
      </c>
      <c r="R3220">
        <f>IF(OR(calendar[[#This Row],[SP_BH]]=1,calendar[[#This Row],[WeekDay]]=1, calendar[[#This Row],[WeekDay]]=7),P3219,P3219+1)</f>
        <v>2294</v>
      </c>
      <c r="S3220">
        <f>IF(OR(calendar[[#This Row],[PT_BH]]=1,calendar[[#This Row],[WeekDay]]=1, calendar[[#This Row],[WeekDay]]=7),P3219,P3219+1)</f>
        <v>2294</v>
      </c>
    </row>
    <row r="3221" spans="1:19" x14ac:dyDescent="0.25">
      <c r="A3221" s="2">
        <v>45955</v>
      </c>
      <c r="B3221" s="1">
        <f t="shared" si="253"/>
        <v>43</v>
      </c>
      <c r="C3221">
        <f t="shared" si="255"/>
        <v>10</v>
      </c>
      <c r="D3221" t="str">
        <f t="shared" si="256"/>
        <v>October</v>
      </c>
      <c r="E3221">
        <f t="shared" si="257"/>
        <v>2025</v>
      </c>
      <c r="F3221" t="str">
        <f>CONCATENATE(calendar[[#This Row],[Month]],"/",calendar[[#This Row],[Year]])</f>
        <v>10/2025</v>
      </c>
      <c r="G3221">
        <f>WEEKDAY(calendar[[#This Row],[Date]],1)</f>
        <v>7</v>
      </c>
      <c r="H3221" t="str">
        <f>TEXT(calendar[[#This Row],[WeekDay]],"dddd")</f>
        <v>Saturday</v>
      </c>
      <c r="I3221">
        <f>IF((INT(calendar[[#This Row],[Count]]/7)-calendar[[#This Row],[Count]]/7)&lt;0,I3220,I3220+1)</f>
        <v>460</v>
      </c>
      <c r="J3221">
        <f t="shared" si="254"/>
        <v>3219</v>
      </c>
      <c r="K3221">
        <f>IF(calendar[[#This Row],[Month]]&lt;4,1,IF(calendar[[#This Row],[Month]]&lt;7,2,IF(calendar[[#This Row],[Month]]&lt;10,3,4)))</f>
        <v>4</v>
      </c>
      <c r="L3221">
        <f>IFERROR(IF(VLOOKUP(calendar[[#This Row],[Date]],BH!A:A,1,)&lt;&gt;"",1,0),0)</f>
        <v>0</v>
      </c>
      <c r="M3221">
        <f>IFERROR(IF(VLOOKUP(calendar[[#This Row],[Date]],BH!C:C,1,)&lt;&gt;"",1,0),0)</f>
        <v>0</v>
      </c>
      <c r="N3221">
        <f>IFERROR(IF(VLOOKUP(calendar[[#This Row],[Date]],BH!E:E,1,)&lt;&gt;"",1,0),0)</f>
        <v>0</v>
      </c>
      <c r="O3221">
        <f>IFERROR(IF(VLOOKUP(calendar[[#This Row],[Date]],BH!G:G,1,)&lt;&gt;"",1,0),0)</f>
        <v>0</v>
      </c>
      <c r="P3221">
        <f>IF(OR(calendar[[#This Row],[UK_BH]]=1,calendar[[#This Row],[WeekDay]]=1, calendar[[#This Row],[WeekDay]]=7),P3220,P3220+1)</f>
        <v>2294</v>
      </c>
      <c r="Q3221">
        <f>IF(OR(calendar[[#This Row],[FR_BH]]=1,calendar[[#This Row],[WeekDay]]=1, calendar[[#This Row],[WeekDay]]=7),P3220,P3220+1)</f>
        <v>2294</v>
      </c>
      <c r="R3221">
        <f>IF(OR(calendar[[#This Row],[SP_BH]]=1,calendar[[#This Row],[WeekDay]]=1, calendar[[#This Row],[WeekDay]]=7),P3220,P3220+1)</f>
        <v>2294</v>
      </c>
      <c r="S3221">
        <f>IF(OR(calendar[[#This Row],[PT_BH]]=1,calendar[[#This Row],[WeekDay]]=1, calendar[[#This Row],[WeekDay]]=7),P3220,P3220+1)</f>
        <v>2294</v>
      </c>
    </row>
    <row r="3222" spans="1:19" x14ac:dyDescent="0.25">
      <c r="A3222" s="2">
        <v>45956</v>
      </c>
      <c r="B3222" s="1">
        <f t="shared" si="253"/>
        <v>44</v>
      </c>
      <c r="C3222">
        <f t="shared" si="255"/>
        <v>10</v>
      </c>
      <c r="D3222" t="str">
        <f t="shared" si="256"/>
        <v>October</v>
      </c>
      <c r="E3222">
        <f t="shared" si="257"/>
        <v>2025</v>
      </c>
      <c r="F3222" t="str">
        <f>CONCATENATE(calendar[[#This Row],[Month]],"/",calendar[[#This Row],[Year]])</f>
        <v>10/2025</v>
      </c>
      <c r="G3222">
        <f>WEEKDAY(calendar[[#This Row],[Date]],1)</f>
        <v>1</v>
      </c>
      <c r="H3222" t="str">
        <f>TEXT(calendar[[#This Row],[WeekDay]],"dddd")</f>
        <v>Sunday</v>
      </c>
      <c r="I3222">
        <f>IF((INT(calendar[[#This Row],[Count]]/7)-calendar[[#This Row],[Count]]/7)&lt;0,I3221,I3221+1)</f>
        <v>461</v>
      </c>
      <c r="J3222">
        <f t="shared" si="254"/>
        <v>3220</v>
      </c>
      <c r="K3222">
        <f>IF(calendar[[#This Row],[Month]]&lt;4,1,IF(calendar[[#This Row],[Month]]&lt;7,2,IF(calendar[[#This Row],[Month]]&lt;10,3,4)))</f>
        <v>4</v>
      </c>
      <c r="L3222">
        <f>IFERROR(IF(VLOOKUP(calendar[[#This Row],[Date]],BH!A:A,1,)&lt;&gt;"",1,0),0)</f>
        <v>0</v>
      </c>
      <c r="M3222">
        <f>IFERROR(IF(VLOOKUP(calendar[[#This Row],[Date]],BH!C:C,1,)&lt;&gt;"",1,0),0)</f>
        <v>0</v>
      </c>
      <c r="N3222">
        <f>IFERROR(IF(VLOOKUP(calendar[[#This Row],[Date]],BH!E:E,1,)&lt;&gt;"",1,0),0)</f>
        <v>0</v>
      </c>
      <c r="O3222">
        <f>IFERROR(IF(VLOOKUP(calendar[[#This Row],[Date]],BH!G:G,1,)&lt;&gt;"",1,0),0)</f>
        <v>0</v>
      </c>
      <c r="P3222">
        <f>IF(OR(calendar[[#This Row],[UK_BH]]=1,calendar[[#This Row],[WeekDay]]=1, calendar[[#This Row],[WeekDay]]=7),P3221,P3221+1)</f>
        <v>2294</v>
      </c>
      <c r="Q3222">
        <f>IF(OR(calendar[[#This Row],[FR_BH]]=1,calendar[[#This Row],[WeekDay]]=1, calendar[[#This Row],[WeekDay]]=7),P3221,P3221+1)</f>
        <v>2294</v>
      </c>
      <c r="R3222">
        <f>IF(OR(calendar[[#This Row],[SP_BH]]=1,calendar[[#This Row],[WeekDay]]=1, calendar[[#This Row],[WeekDay]]=7),P3221,P3221+1)</f>
        <v>2294</v>
      </c>
      <c r="S3222">
        <f>IF(OR(calendar[[#This Row],[PT_BH]]=1,calendar[[#This Row],[WeekDay]]=1, calendar[[#This Row],[WeekDay]]=7),P3221,P3221+1)</f>
        <v>2294</v>
      </c>
    </row>
    <row r="3223" spans="1:19" x14ac:dyDescent="0.25">
      <c r="A3223" s="2">
        <v>45957</v>
      </c>
      <c r="B3223" s="1">
        <f t="shared" si="253"/>
        <v>44</v>
      </c>
      <c r="C3223">
        <f t="shared" si="255"/>
        <v>10</v>
      </c>
      <c r="D3223" t="str">
        <f t="shared" si="256"/>
        <v>October</v>
      </c>
      <c r="E3223">
        <f t="shared" si="257"/>
        <v>2025</v>
      </c>
      <c r="F3223" t="str">
        <f>CONCATENATE(calendar[[#This Row],[Month]],"/",calendar[[#This Row],[Year]])</f>
        <v>10/2025</v>
      </c>
      <c r="G3223">
        <f>WEEKDAY(calendar[[#This Row],[Date]],1)</f>
        <v>2</v>
      </c>
      <c r="H3223" t="str">
        <f>TEXT(calendar[[#This Row],[WeekDay]],"dddd")</f>
        <v>Monday</v>
      </c>
      <c r="I3223">
        <f>IF((INT(calendar[[#This Row],[Count]]/7)-calendar[[#This Row],[Count]]/7)&lt;0,I3222,I3222+1)</f>
        <v>461</v>
      </c>
      <c r="J3223">
        <f t="shared" si="254"/>
        <v>3221</v>
      </c>
      <c r="K3223">
        <f>IF(calendar[[#This Row],[Month]]&lt;4,1,IF(calendar[[#This Row],[Month]]&lt;7,2,IF(calendar[[#This Row],[Month]]&lt;10,3,4)))</f>
        <v>4</v>
      </c>
      <c r="L3223">
        <f>IFERROR(IF(VLOOKUP(calendar[[#This Row],[Date]],BH!A:A,1,)&lt;&gt;"",1,0),0)</f>
        <v>0</v>
      </c>
      <c r="M3223">
        <f>IFERROR(IF(VLOOKUP(calendar[[#This Row],[Date]],BH!C:C,1,)&lt;&gt;"",1,0),0)</f>
        <v>0</v>
      </c>
      <c r="N3223">
        <f>IFERROR(IF(VLOOKUP(calendar[[#This Row],[Date]],BH!E:E,1,)&lt;&gt;"",1,0),0)</f>
        <v>0</v>
      </c>
      <c r="O3223">
        <f>IFERROR(IF(VLOOKUP(calendar[[#This Row],[Date]],BH!G:G,1,)&lt;&gt;"",1,0),0)</f>
        <v>0</v>
      </c>
      <c r="P3223">
        <f>IF(OR(calendar[[#This Row],[UK_BH]]=1,calendar[[#This Row],[WeekDay]]=1, calendar[[#This Row],[WeekDay]]=7),P3222,P3222+1)</f>
        <v>2295</v>
      </c>
      <c r="Q3223">
        <f>IF(OR(calendar[[#This Row],[FR_BH]]=1,calendar[[#This Row],[WeekDay]]=1, calendar[[#This Row],[WeekDay]]=7),P3222,P3222+1)</f>
        <v>2295</v>
      </c>
      <c r="R3223">
        <f>IF(OR(calendar[[#This Row],[SP_BH]]=1,calendar[[#This Row],[WeekDay]]=1, calendar[[#This Row],[WeekDay]]=7),P3222,P3222+1)</f>
        <v>2295</v>
      </c>
      <c r="S3223">
        <f>IF(OR(calendar[[#This Row],[PT_BH]]=1,calendar[[#This Row],[WeekDay]]=1, calendar[[#This Row],[WeekDay]]=7),P3222,P3222+1)</f>
        <v>2295</v>
      </c>
    </row>
    <row r="3224" spans="1:19" x14ac:dyDescent="0.25">
      <c r="A3224" s="2">
        <v>45958</v>
      </c>
      <c r="B3224" s="1">
        <f t="shared" si="253"/>
        <v>44</v>
      </c>
      <c r="C3224">
        <f t="shared" si="255"/>
        <v>10</v>
      </c>
      <c r="D3224" t="str">
        <f t="shared" si="256"/>
        <v>October</v>
      </c>
      <c r="E3224">
        <f t="shared" si="257"/>
        <v>2025</v>
      </c>
      <c r="F3224" t="str">
        <f>CONCATENATE(calendar[[#This Row],[Month]],"/",calendar[[#This Row],[Year]])</f>
        <v>10/2025</v>
      </c>
      <c r="G3224">
        <f>WEEKDAY(calendar[[#This Row],[Date]],1)</f>
        <v>3</v>
      </c>
      <c r="H3224" t="str">
        <f>TEXT(calendar[[#This Row],[WeekDay]],"dddd")</f>
        <v>Tuesday</v>
      </c>
      <c r="I3224">
        <f>IF((INT(calendar[[#This Row],[Count]]/7)-calendar[[#This Row],[Count]]/7)&lt;0,I3223,I3223+1)</f>
        <v>461</v>
      </c>
      <c r="J3224">
        <f t="shared" si="254"/>
        <v>3222</v>
      </c>
      <c r="K3224">
        <f>IF(calendar[[#This Row],[Month]]&lt;4,1,IF(calendar[[#This Row],[Month]]&lt;7,2,IF(calendar[[#This Row],[Month]]&lt;10,3,4)))</f>
        <v>4</v>
      </c>
      <c r="L3224">
        <f>IFERROR(IF(VLOOKUP(calendar[[#This Row],[Date]],BH!A:A,1,)&lt;&gt;"",1,0),0)</f>
        <v>0</v>
      </c>
      <c r="M3224">
        <f>IFERROR(IF(VLOOKUP(calendar[[#This Row],[Date]],BH!C:C,1,)&lt;&gt;"",1,0),0)</f>
        <v>0</v>
      </c>
      <c r="N3224">
        <f>IFERROR(IF(VLOOKUP(calendar[[#This Row],[Date]],BH!E:E,1,)&lt;&gt;"",1,0),0)</f>
        <v>0</v>
      </c>
      <c r="O3224">
        <f>IFERROR(IF(VLOOKUP(calendar[[#This Row],[Date]],BH!G:G,1,)&lt;&gt;"",1,0),0)</f>
        <v>0</v>
      </c>
      <c r="P3224">
        <f>IF(OR(calendar[[#This Row],[UK_BH]]=1,calendar[[#This Row],[WeekDay]]=1, calendar[[#This Row],[WeekDay]]=7),P3223,P3223+1)</f>
        <v>2296</v>
      </c>
      <c r="Q3224">
        <f>IF(OR(calendar[[#This Row],[FR_BH]]=1,calendar[[#This Row],[WeekDay]]=1, calendar[[#This Row],[WeekDay]]=7),P3223,P3223+1)</f>
        <v>2296</v>
      </c>
      <c r="R3224">
        <f>IF(OR(calendar[[#This Row],[SP_BH]]=1,calendar[[#This Row],[WeekDay]]=1, calendar[[#This Row],[WeekDay]]=7),P3223,P3223+1)</f>
        <v>2296</v>
      </c>
      <c r="S3224">
        <f>IF(OR(calendar[[#This Row],[PT_BH]]=1,calendar[[#This Row],[WeekDay]]=1, calendar[[#This Row],[WeekDay]]=7),P3223,P3223+1)</f>
        <v>2296</v>
      </c>
    </row>
    <row r="3225" spans="1:19" x14ac:dyDescent="0.25">
      <c r="A3225" s="2">
        <v>45959</v>
      </c>
      <c r="B3225" s="1">
        <f t="shared" si="253"/>
        <v>44</v>
      </c>
      <c r="C3225">
        <f t="shared" si="255"/>
        <v>10</v>
      </c>
      <c r="D3225" t="str">
        <f t="shared" si="256"/>
        <v>October</v>
      </c>
      <c r="E3225">
        <f t="shared" si="257"/>
        <v>2025</v>
      </c>
      <c r="F3225" t="str">
        <f>CONCATENATE(calendar[[#This Row],[Month]],"/",calendar[[#This Row],[Year]])</f>
        <v>10/2025</v>
      </c>
      <c r="G3225">
        <f>WEEKDAY(calendar[[#This Row],[Date]],1)</f>
        <v>4</v>
      </c>
      <c r="H3225" t="str">
        <f>TEXT(calendar[[#This Row],[WeekDay]],"dddd")</f>
        <v>Wednesday</v>
      </c>
      <c r="I3225">
        <f>IF((INT(calendar[[#This Row],[Count]]/7)-calendar[[#This Row],[Count]]/7)&lt;0,I3224,I3224+1)</f>
        <v>461</v>
      </c>
      <c r="J3225">
        <f t="shared" si="254"/>
        <v>3223</v>
      </c>
      <c r="K3225">
        <f>IF(calendar[[#This Row],[Month]]&lt;4,1,IF(calendar[[#This Row],[Month]]&lt;7,2,IF(calendar[[#This Row],[Month]]&lt;10,3,4)))</f>
        <v>4</v>
      </c>
      <c r="L3225">
        <f>IFERROR(IF(VLOOKUP(calendar[[#This Row],[Date]],BH!A:A,1,)&lt;&gt;"",1,0),0)</f>
        <v>0</v>
      </c>
      <c r="M3225">
        <f>IFERROR(IF(VLOOKUP(calendar[[#This Row],[Date]],BH!C:C,1,)&lt;&gt;"",1,0),0)</f>
        <v>0</v>
      </c>
      <c r="N3225">
        <f>IFERROR(IF(VLOOKUP(calendar[[#This Row],[Date]],BH!E:E,1,)&lt;&gt;"",1,0),0)</f>
        <v>0</v>
      </c>
      <c r="O3225">
        <f>IFERROR(IF(VLOOKUP(calendar[[#This Row],[Date]],BH!G:G,1,)&lt;&gt;"",1,0),0)</f>
        <v>0</v>
      </c>
      <c r="P3225">
        <f>IF(OR(calendar[[#This Row],[UK_BH]]=1,calendar[[#This Row],[WeekDay]]=1, calendar[[#This Row],[WeekDay]]=7),P3224,P3224+1)</f>
        <v>2297</v>
      </c>
      <c r="Q3225">
        <f>IF(OR(calendar[[#This Row],[FR_BH]]=1,calendar[[#This Row],[WeekDay]]=1, calendar[[#This Row],[WeekDay]]=7),P3224,P3224+1)</f>
        <v>2297</v>
      </c>
      <c r="R3225">
        <f>IF(OR(calendar[[#This Row],[SP_BH]]=1,calendar[[#This Row],[WeekDay]]=1, calendar[[#This Row],[WeekDay]]=7),P3224,P3224+1)</f>
        <v>2297</v>
      </c>
      <c r="S3225">
        <f>IF(OR(calendar[[#This Row],[PT_BH]]=1,calendar[[#This Row],[WeekDay]]=1, calendar[[#This Row],[WeekDay]]=7),P3224,P3224+1)</f>
        <v>2297</v>
      </c>
    </row>
    <row r="3226" spans="1:19" x14ac:dyDescent="0.25">
      <c r="A3226" s="2">
        <v>45960</v>
      </c>
      <c r="B3226" s="1">
        <f t="shared" si="253"/>
        <v>44</v>
      </c>
      <c r="C3226">
        <f t="shared" si="255"/>
        <v>10</v>
      </c>
      <c r="D3226" t="str">
        <f t="shared" si="256"/>
        <v>October</v>
      </c>
      <c r="E3226">
        <f t="shared" si="257"/>
        <v>2025</v>
      </c>
      <c r="F3226" t="str">
        <f>CONCATENATE(calendar[[#This Row],[Month]],"/",calendar[[#This Row],[Year]])</f>
        <v>10/2025</v>
      </c>
      <c r="G3226">
        <f>WEEKDAY(calendar[[#This Row],[Date]],1)</f>
        <v>5</v>
      </c>
      <c r="H3226" t="str">
        <f>TEXT(calendar[[#This Row],[WeekDay]],"dddd")</f>
        <v>Thursday</v>
      </c>
      <c r="I3226">
        <f>IF((INT(calendar[[#This Row],[Count]]/7)-calendar[[#This Row],[Count]]/7)&lt;0,I3225,I3225+1)</f>
        <v>461</v>
      </c>
      <c r="J3226">
        <f t="shared" si="254"/>
        <v>3224</v>
      </c>
      <c r="K3226">
        <f>IF(calendar[[#This Row],[Month]]&lt;4,1,IF(calendar[[#This Row],[Month]]&lt;7,2,IF(calendar[[#This Row],[Month]]&lt;10,3,4)))</f>
        <v>4</v>
      </c>
      <c r="L3226">
        <f>IFERROR(IF(VLOOKUP(calendar[[#This Row],[Date]],BH!A:A,1,)&lt;&gt;"",1,0),0)</f>
        <v>0</v>
      </c>
      <c r="M3226">
        <f>IFERROR(IF(VLOOKUP(calendar[[#This Row],[Date]],BH!C:C,1,)&lt;&gt;"",1,0),0)</f>
        <v>0</v>
      </c>
      <c r="N3226">
        <f>IFERROR(IF(VLOOKUP(calendar[[#This Row],[Date]],BH!E:E,1,)&lt;&gt;"",1,0),0)</f>
        <v>0</v>
      </c>
      <c r="O3226">
        <f>IFERROR(IF(VLOOKUP(calendar[[#This Row],[Date]],BH!G:G,1,)&lt;&gt;"",1,0),0)</f>
        <v>0</v>
      </c>
      <c r="P3226">
        <f>IF(OR(calendar[[#This Row],[UK_BH]]=1,calendar[[#This Row],[WeekDay]]=1, calendar[[#This Row],[WeekDay]]=7),P3225,P3225+1)</f>
        <v>2298</v>
      </c>
      <c r="Q3226">
        <f>IF(OR(calendar[[#This Row],[FR_BH]]=1,calendar[[#This Row],[WeekDay]]=1, calendar[[#This Row],[WeekDay]]=7),P3225,P3225+1)</f>
        <v>2298</v>
      </c>
      <c r="R3226">
        <f>IF(OR(calendar[[#This Row],[SP_BH]]=1,calendar[[#This Row],[WeekDay]]=1, calendar[[#This Row],[WeekDay]]=7),P3225,P3225+1)</f>
        <v>2298</v>
      </c>
      <c r="S3226">
        <f>IF(OR(calendar[[#This Row],[PT_BH]]=1,calendar[[#This Row],[WeekDay]]=1, calendar[[#This Row],[WeekDay]]=7),P3225,P3225+1)</f>
        <v>2298</v>
      </c>
    </row>
    <row r="3227" spans="1:19" x14ac:dyDescent="0.25">
      <c r="A3227" s="2">
        <v>45961</v>
      </c>
      <c r="B3227" s="1">
        <f t="shared" si="253"/>
        <v>44</v>
      </c>
      <c r="C3227">
        <f t="shared" si="255"/>
        <v>10</v>
      </c>
      <c r="D3227" t="str">
        <f t="shared" si="256"/>
        <v>October</v>
      </c>
      <c r="E3227">
        <f t="shared" si="257"/>
        <v>2025</v>
      </c>
      <c r="F3227" t="str">
        <f>CONCATENATE(calendar[[#This Row],[Month]],"/",calendar[[#This Row],[Year]])</f>
        <v>10/2025</v>
      </c>
      <c r="G3227">
        <f>WEEKDAY(calendar[[#This Row],[Date]],1)</f>
        <v>6</v>
      </c>
      <c r="H3227" t="str">
        <f>TEXT(calendar[[#This Row],[WeekDay]],"dddd")</f>
        <v>Friday</v>
      </c>
      <c r="I3227">
        <f>IF((INT(calendar[[#This Row],[Count]]/7)-calendar[[#This Row],[Count]]/7)&lt;0,I3226,I3226+1)</f>
        <v>461</v>
      </c>
      <c r="J3227">
        <f t="shared" si="254"/>
        <v>3225</v>
      </c>
      <c r="K3227">
        <f>IF(calendar[[#This Row],[Month]]&lt;4,1,IF(calendar[[#This Row],[Month]]&lt;7,2,IF(calendar[[#This Row],[Month]]&lt;10,3,4)))</f>
        <v>4</v>
      </c>
      <c r="L3227">
        <f>IFERROR(IF(VLOOKUP(calendar[[#This Row],[Date]],BH!A:A,1,)&lt;&gt;"",1,0),0)</f>
        <v>0</v>
      </c>
      <c r="M3227">
        <f>IFERROR(IF(VLOOKUP(calendar[[#This Row],[Date]],BH!C:C,1,)&lt;&gt;"",1,0),0)</f>
        <v>0</v>
      </c>
      <c r="N3227">
        <f>IFERROR(IF(VLOOKUP(calendar[[#This Row],[Date]],BH!E:E,1,)&lt;&gt;"",1,0),0)</f>
        <v>0</v>
      </c>
      <c r="O3227">
        <f>IFERROR(IF(VLOOKUP(calendar[[#This Row],[Date]],BH!G:G,1,)&lt;&gt;"",1,0),0)</f>
        <v>0</v>
      </c>
      <c r="P3227">
        <f>IF(OR(calendar[[#This Row],[UK_BH]]=1,calendar[[#This Row],[WeekDay]]=1, calendar[[#This Row],[WeekDay]]=7),P3226,P3226+1)</f>
        <v>2299</v>
      </c>
      <c r="Q3227">
        <f>IF(OR(calendar[[#This Row],[FR_BH]]=1,calendar[[#This Row],[WeekDay]]=1, calendar[[#This Row],[WeekDay]]=7),P3226,P3226+1)</f>
        <v>2299</v>
      </c>
      <c r="R3227">
        <f>IF(OR(calendar[[#This Row],[SP_BH]]=1,calendar[[#This Row],[WeekDay]]=1, calendar[[#This Row],[WeekDay]]=7),P3226,P3226+1)</f>
        <v>2299</v>
      </c>
      <c r="S3227">
        <f>IF(OR(calendar[[#This Row],[PT_BH]]=1,calendar[[#This Row],[WeekDay]]=1, calendar[[#This Row],[WeekDay]]=7),P3226,P3226+1)</f>
        <v>2299</v>
      </c>
    </row>
    <row r="3228" spans="1:19" x14ac:dyDescent="0.25">
      <c r="A3228" s="2">
        <v>45962</v>
      </c>
      <c r="B3228" s="1">
        <f t="shared" si="253"/>
        <v>44</v>
      </c>
      <c r="C3228">
        <f t="shared" si="255"/>
        <v>11</v>
      </c>
      <c r="D3228" t="str">
        <f t="shared" si="256"/>
        <v>November</v>
      </c>
      <c r="E3228">
        <f t="shared" si="257"/>
        <v>2025</v>
      </c>
      <c r="F3228" t="str">
        <f>CONCATENATE(calendar[[#This Row],[Month]],"/",calendar[[#This Row],[Year]])</f>
        <v>11/2025</v>
      </c>
      <c r="G3228">
        <f>WEEKDAY(calendar[[#This Row],[Date]],1)</f>
        <v>7</v>
      </c>
      <c r="H3228" t="str">
        <f>TEXT(calendar[[#This Row],[WeekDay]],"dddd")</f>
        <v>Saturday</v>
      </c>
      <c r="I3228">
        <f>IF((INT(calendar[[#This Row],[Count]]/7)-calendar[[#This Row],[Count]]/7)&lt;0,I3227,I3227+1)</f>
        <v>461</v>
      </c>
      <c r="J3228">
        <f t="shared" si="254"/>
        <v>3226</v>
      </c>
      <c r="K3228">
        <f>IF(calendar[[#This Row],[Month]]&lt;4,1,IF(calendar[[#This Row],[Month]]&lt;7,2,IF(calendar[[#This Row],[Month]]&lt;10,3,4)))</f>
        <v>4</v>
      </c>
      <c r="L3228">
        <f>IFERROR(IF(VLOOKUP(calendar[[#This Row],[Date]],BH!A:A,1,)&lt;&gt;"",1,0),0)</f>
        <v>0</v>
      </c>
      <c r="M3228">
        <f>IFERROR(IF(VLOOKUP(calendar[[#This Row],[Date]],BH!C:C,1,)&lt;&gt;"",1,0),0)</f>
        <v>1</v>
      </c>
      <c r="N3228">
        <f>IFERROR(IF(VLOOKUP(calendar[[#This Row],[Date]],BH!E:E,1,)&lt;&gt;"",1,0),0)</f>
        <v>1</v>
      </c>
      <c r="O3228">
        <f>IFERROR(IF(VLOOKUP(calendar[[#This Row],[Date]],BH!G:G,1,)&lt;&gt;"",1,0),0)</f>
        <v>1</v>
      </c>
      <c r="P3228">
        <f>IF(OR(calendar[[#This Row],[UK_BH]]=1,calendar[[#This Row],[WeekDay]]=1, calendar[[#This Row],[WeekDay]]=7),P3227,P3227+1)</f>
        <v>2299</v>
      </c>
      <c r="Q3228">
        <f>IF(OR(calendar[[#This Row],[FR_BH]]=1,calendar[[#This Row],[WeekDay]]=1, calendar[[#This Row],[WeekDay]]=7),P3227,P3227+1)</f>
        <v>2299</v>
      </c>
      <c r="R3228">
        <f>IF(OR(calendar[[#This Row],[SP_BH]]=1,calendar[[#This Row],[WeekDay]]=1, calendar[[#This Row],[WeekDay]]=7),P3227,P3227+1)</f>
        <v>2299</v>
      </c>
      <c r="S3228">
        <f>IF(OR(calendar[[#This Row],[PT_BH]]=1,calendar[[#This Row],[WeekDay]]=1, calendar[[#This Row],[WeekDay]]=7),P3227,P3227+1)</f>
        <v>2299</v>
      </c>
    </row>
    <row r="3229" spans="1:19" x14ac:dyDescent="0.25">
      <c r="A3229" s="2">
        <v>45963</v>
      </c>
      <c r="B3229" s="1">
        <f t="shared" si="253"/>
        <v>45</v>
      </c>
      <c r="C3229">
        <f t="shared" si="255"/>
        <v>11</v>
      </c>
      <c r="D3229" t="str">
        <f t="shared" si="256"/>
        <v>November</v>
      </c>
      <c r="E3229">
        <f t="shared" si="257"/>
        <v>2025</v>
      </c>
      <c r="F3229" t="str">
        <f>CONCATENATE(calendar[[#This Row],[Month]],"/",calendar[[#This Row],[Year]])</f>
        <v>11/2025</v>
      </c>
      <c r="G3229">
        <f>WEEKDAY(calendar[[#This Row],[Date]],1)</f>
        <v>1</v>
      </c>
      <c r="H3229" t="str">
        <f>TEXT(calendar[[#This Row],[WeekDay]],"dddd")</f>
        <v>Sunday</v>
      </c>
      <c r="I3229">
        <f>IF((INT(calendar[[#This Row],[Count]]/7)-calendar[[#This Row],[Count]]/7)&lt;0,I3228,I3228+1)</f>
        <v>462</v>
      </c>
      <c r="J3229">
        <f t="shared" si="254"/>
        <v>3227</v>
      </c>
      <c r="K3229">
        <f>IF(calendar[[#This Row],[Month]]&lt;4,1,IF(calendar[[#This Row],[Month]]&lt;7,2,IF(calendar[[#This Row],[Month]]&lt;10,3,4)))</f>
        <v>4</v>
      </c>
      <c r="L3229">
        <f>IFERROR(IF(VLOOKUP(calendar[[#This Row],[Date]],BH!A:A,1,)&lt;&gt;"",1,0),0)</f>
        <v>0</v>
      </c>
      <c r="M3229">
        <f>IFERROR(IF(VLOOKUP(calendar[[#This Row],[Date]],BH!C:C,1,)&lt;&gt;"",1,0),0)</f>
        <v>0</v>
      </c>
      <c r="N3229">
        <f>IFERROR(IF(VLOOKUP(calendar[[#This Row],[Date]],BH!E:E,1,)&lt;&gt;"",1,0),0)</f>
        <v>1</v>
      </c>
      <c r="O3229">
        <f>IFERROR(IF(VLOOKUP(calendar[[#This Row],[Date]],BH!G:G,1,)&lt;&gt;"",1,0),0)</f>
        <v>0</v>
      </c>
      <c r="P3229">
        <f>IF(OR(calendar[[#This Row],[UK_BH]]=1,calendar[[#This Row],[WeekDay]]=1, calendar[[#This Row],[WeekDay]]=7),P3228,P3228+1)</f>
        <v>2299</v>
      </c>
      <c r="Q3229">
        <f>IF(OR(calendar[[#This Row],[FR_BH]]=1,calendar[[#This Row],[WeekDay]]=1, calendar[[#This Row],[WeekDay]]=7),P3228,P3228+1)</f>
        <v>2299</v>
      </c>
      <c r="R3229">
        <f>IF(OR(calendar[[#This Row],[SP_BH]]=1,calendar[[#This Row],[WeekDay]]=1, calendar[[#This Row],[WeekDay]]=7),P3228,P3228+1)</f>
        <v>2299</v>
      </c>
      <c r="S3229">
        <f>IF(OR(calendar[[#This Row],[PT_BH]]=1,calendar[[#This Row],[WeekDay]]=1, calendar[[#This Row],[WeekDay]]=7),P3228,P3228+1)</f>
        <v>2299</v>
      </c>
    </row>
    <row r="3230" spans="1:19" x14ac:dyDescent="0.25">
      <c r="A3230" s="2">
        <v>45964</v>
      </c>
      <c r="B3230" s="1">
        <f t="shared" si="253"/>
        <v>45</v>
      </c>
      <c r="C3230">
        <f t="shared" si="255"/>
        <v>11</v>
      </c>
      <c r="D3230" t="str">
        <f t="shared" si="256"/>
        <v>November</v>
      </c>
      <c r="E3230">
        <f t="shared" si="257"/>
        <v>2025</v>
      </c>
      <c r="F3230" t="str">
        <f>CONCATENATE(calendar[[#This Row],[Month]],"/",calendar[[#This Row],[Year]])</f>
        <v>11/2025</v>
      </c>
      <c r="G3230">
        <f>WEEKDAY(calendar[[#This Row],[Date]],1)</f>
        <v>2</v>
      </c>
      <c r="H3230" t="str">
        <f>TEXT(calendar[[#This Row],[WeekDay]],"dddd")</f>
        <v>Monday</v>
      </c>
      <c r="I3230">
        <f>IF((INT(calendar[[#This Row],[Count]]/7)-calendar[[#This Row],[Count]]/7)&lt;0,I3229,I3229+1)</f>
        <v>462</v>
      </c>
      <c r="J3230">
        <f t="shared" si="254"/>
        <v>3228</v>
      </c>
      <c r="K3230">
        <f>IF(calendar[[#This Row],[Month]]&lt;4,1,IF(calendar[[#This Row],[Month]]&lt;7,2,IF(calendar[[#This Row],[Month]]&lt;10,3,4)))</f>
        <v>4</v>
      </c>
      <c r="L3230">
        <f>IFERROR(IF(VLOOKUP(calendar[[#This Row],[Date]],BH!A:A,1,)&lt;&gt;"",1,0),0)</f>
        <v>0</v>
      </c>
      <c r="M3230">
        <f>IFERROR(IF(VLOOKUP(calendar[[#This Row],[Date]],BH!C:C,1,)&lt;&gt;"",1,0),0)</f>
        <v>0</v>
      </c>
      <c r="N3230">
        <f>IFERROR(IF(VLOOKUP(calendar[[#This Row],[Date]],BH!E:E,1,)&lt;&gt;"",1,0),0)</f>
        <v>0</v>
      </c>
      <c r="O3230">
        <f>IFERROR(IF(VLOOKUP(calendar[[#This Row],[Date]],BH!G:G,1,)&lt;&gt;"",1,0),0)</f>
        <v>0</v>
      </c>
      <c r="P3230">
        <f>IF(OR(calendar[[#This Row],[UK_BH]]=1,calendar[[#This Row],[WeekDay]]=1, calendar[[#This Row],[WeekDay]]=7),P3229,P3229+1)</f>
        <v>2300</v>
      </c>
      <c r="Q3230">
        <f>IF(OR(calendar[[#This Row],[FR_BH]]=1,calendar[[#This Row],[WeekDay]]=1, calendar[[#This Row],[WeekDay]]=7),P3229,P3229+1)</f>
        <v>2300</v>
      </c>
      <c r="R3230">
        <f>IF(OR(calendar[[#This Row],[SP_BH]]=1,calendar[[#This Row],[WeekDay]]=1, calendar[[#This Row],[WeekDay]]=7),P3229,P3229+1)</f>
        <v>2300</v>
      </c>
      <c r="S3230">
        <f>IF(OR(calendar[[#This Row],[PT_BH]]=1,calendar[[#This Row],[WeekDay]]=1, calendar[[#This Row],[WeekDay]]=7),P3229,P3229+1)</f>
        <v>2300</v>
      </c>
    </row>
    <row r="3231" spans="1:19" x14ac:dyDescent="0.25">
      <c r="A3231" s="2">
        <v>45965</v>
      </c>
      <c r="B3231" s="1">
        <f t="shared" si="253"/>
        <v>45</v>
      </c>
      <c r="C3231">
        <f t="shared" si="255"/>
        <v>11</v>
      </c>
      <c r="D3231" t="str">
        <f t="shared" si="256"/>
        <v>November</v>
      </c>
      <c r="E3231">
        <f t="shared" si="257"/>
        <v>2025</v>
      </c>
      <c r="F3231" t="str">
        <f>CONCATENATE(calendar[[#This Row],[Month]],"/",calendar[[#This Row],[Year]])</f>
        <v>11/2025</v>
      </c>
      <c r="G3231">
        <f>WEEKDAY(calendar[[#This Row],[Date]],1)</f>
        <v>3</v>
      </c>
      <c r="H3231" t="str">
        <f>TEXT(calendar[[#This Row],[WeekDay]],"dddd")</f>
        <v>Tuesday</v>
      </c>
      <c r="I3231">
        <f>IF((INT(calendar[[#This Row],[Count]]/7)-calendar[[#This Row],[Count]]/7)&lt;0,I3230,I3230+1)</f>
        <v>462</v>
      </c>
      <c r="J3231">
        <f t="shared" si="254"/>
        <v>3229</v>
      </c>
      <c r="K3231">
        <f>IF(calendar[[#This Row],[Month]]&lt;4,1,IF(calendar[[#This Row],[Month]]&lt;7,2,IF(calendar[[#This Row],[Month]]&lt;10,3,4)))</f>
        <v>4</v>
      </c>
      <c r="L3231">
        <f>IFERROR(IF(VLOOKUP(calendar[[#This Row],[Date]],BH!A:A,1,)&lt;&gt;"",1,0),0)</f>
        <v>0</v>
      </c>
      <c r="M3231">
        <f>IFERROR(IF(VLOOKUP(calendar[[#This Row],[Date]],BH!C:C,1,)&lt;&gt;"",1,0),0)</f>
        <v>0</v>
      </c>
      <c r="N3231">
        <f>IFERROR(IF(VLOOKUP(calendar[[#This Row],[Date]],BH!E:E,1,)&lt;&gt;"",1,0),0)</f>
        <v>0</v>
      </c>
      <c r="O3231">
        <f>IFERROR(IF(VLOOKUP(calendar[[#This Row],[Date]],BH!G:G,1,)&lt;&gt;"",1,0),0)</f>
        <v>0</v>
      </c>
      <c r="P3231">
        <f>IF(OR(calendar[[#This Row],[UK_BH]]=1,calendar[[#This Row],[WeekDay]]=1, calendar[[#This Row],[WeekDay]]=7),P3230,P3230+1)</f>
        <v>2301</v>
      </c>
      <c r="Q3231">
        <f>IF(OR(calendar[[#This Row],[FR_BH]]=1,calendar[[#This Row],[WeekDay]]=1, calendar[[#This Row],[WeekDay]]=7),P3230,P3230+1)</f>
        <v>2301</v>
      </c>
      <c r="R3231">
        <f>IF(OR(calendar[[#This Row],[SP_BH]]=1,calendar[[#This Row],[WeekDay]]=1, calendar[[#This Row],[WeekDay]]=7),P3230,P3230+1)</f>
        <v>2301</v>
      </c>
      <c r="S3231">
        <f>IF(OR(calendar[[#This Row],[PT_BH]]=1,calendar[[#This Row],[WeekDay]]=1, calendar[[#This Row],[WeekDay]]=7),P3230,P3230+1)</f>
        <v>2301</v>
      </c>
    </row>
    <row r="3232" spans="1:19" x14ac:dyDescent="0.25">
      <c r="A3232" s="2">
        <v>45966</v>
      </c>
      <c r="B3232" s="1">
        <f t="shared" si="253"/>
        <v>45</v>
      </c>
      <c r="C3232">
        <f t="shared" si="255"/>
        <v>11</v>
      </c>
      <c r="D3232" t="str">
        <f t="shared" si="256"/>
        <v>November</v>
      </c>
      <c r="E3232">
        <f t="shared" si="257"/>
        <v>2025</v>
      </c>
      <c r="F3232" t="str">
        <f>CONCATENATE(calendar[[#This Row],[Month]],"/",calendar[[#This Row],[Year]])</f>
        <v>11/2025</v>
      </c>
      <c r="G3232">
        <f>WEEKDAY(calendar[[#This Row],[Date]],1)</f>
        <v>4</v>
      </c>
      <c r="H3232" t="str">
        <f>TEXT(calendar[[#This Row],[WeekDay]],"dddd")</f>
        <v>Wednesday</v>
      </c>
      <c r="I3232">
        <f>IF((INT(calendar[[#This Row],[Count]]/7)-calendar[[#This Row],[Count]]/7)&lt;0,I3231,I3231+1)</f>
        <v>462</v>
      </c>
      <c r="J3232">
        <f t="shared" si="254"/>
        <v>3230</v>
      </c>
      <c r="K3232">
        <f>IF(calendar[[#This Row],[Month]]&lt;4,1,IF(calendar[[#This Row],[Month]]&lt;7,2,IF(calendar[[#This Row],[Month]]&lt;10,3,4)))</f>
        <v>4</v>
      </c>
      <c r="L3232">
        <f>IFERROR(IF(VLOOKUP(calendar[[#This Row],[Date]],BH!A:A,1,)&lt;&gt;"",1,0),0)</f>
        <v>0</v>
      </c>
      <c r="M3232">
        <f>IFERROR(IF(VLOOKUP(calendar[[#This Row],[Date]],BH!C:C,1,)&lt;&gt;"",1,0),0)</f>
        <v>0</v>
      </c>
      <c r="N3232">
        <f>IFERROR(IF(VLOOKUP(calendar[[#This Row],[Date]],BH!E:E,1,)&lt;&gt;"",1,0),0)</f>
        <v>0</v>
      </c>
      <c r="O3232">
        <f>IFERROR(IF(VLOOKUP(calendar[[#This Row],[Date]],BH!G:G,1,)&lt;&gt;"",1,0),0)</f>
        <v>0</v>
      </c>
      <c r="P3232">
        <f>IF(OR(calendar[[#This Row],[UK_BH]]=1,calendar[[#This Row],[WeekDay]]=1, calendar[[#This Row],[WeekDay]]=7),P3231,P3231+1)</f>
        <v>2302</v>
      </c>
      <c r="Q3232">
        <f>IF(OR(calendar[[#This Row],[FR_BH]]=1,calendar[[#This Row],[WeekDay]]=1, calendar[[#This Row],[WeekDay]]=7),P3231,P3231+1)</f>
        <v>2302</v>
      </c>
      <c r="R3232">
        <f>IF(OR(calendar[[#This Row],[SP_BH]]=1,calendar[[#This Row],[WeekDay]]=1, calendar[[#This Row],[WeekDay]]=7),P3231,P3231+1)</f>
        <v>2302</v>
      </c>
      <c r="S3232">
        <f>IF(OR(calendar[[#This Row],[PT_BH]]=1,calendar[[#This Row],[WeekDay]]=1, calendar[[#This Row],[WeekDay]]=7),P3231,P3231+1)</f>
        <v>2302</v>
      </c>
    </row>
    <row r="3233" spans="1:19" x14ac:dyDescent="0.25">
      <c r="A3233" s="2">
        <v>45967</v>
      </c>
      <c r="B3233" s="1">
        <f t="shared" si="253"/>
        <v>45</v>
      </c>
      <c r="C3233">
        <f t="shared" si="255"/>
        <v>11</v>
      </c>
      <c r="D3233" t="str">
        <f t="shared" si="256"/>
        <v>November</v>
      </c>
      <c r="E3233">
        <f t="shared" si="257"/>
        <v>2025</v>
      </c>
      <c r="F3233" t="str">
        <f>CONCATENATE(calendar[[#This Row],[Month]],"/",calendar[[#This Row],[Year]])</f>
        <v>11/2025</v>
      </c>
      <c r="G3233">
        <f>WEEKDAY(calendar[[#This Row],[Date]],1)</f>
        <v>5</v>
      </c>
      <c r="H3233" t="str">
        <f>TEXT(calendar[[#This Row],[WeekDay]],"dddd")</f>
        <v>Thursday</v>
      </c>
      <c r="I3233">
        <f>IF((INT(calendar[[#This Row],[Count]]/7)-calendar[[#This Row],[Count]]/7)&lt;0,I3232,I3232+1)</f>
        <v>462</v>
      </c>
      <c r="J3233">
        <f t="shared" si="254"/>
        <v>3231</v>
      </c>
      <c r="K3233">
        <f>IF(calendar[[#This Row],[Month]]&lt;4,1,IF(calendar[[#This Row],[Month]]&lt;7,2,IF(calendar[[#This Row],[Month]]&lt;10,3,4)))</f>
        <v>4</v>
      </c>
      <c r="L3233">
        <f>IFERROR(IF(VLOOKUP(calendar[[#This Row],[Date]],BH!A:A,1,)&lt;&gt;"",1,0),0)</f>
        <v>0</v>
      </c>
      <c r="M3233">
        <f>IFERROR(IF(VLOOKUP(calendar[[#This Row],[Date]],BH!C:C,1,)&lt;&gt;"",1,0),0)</f>
        <v>0</v>
      </c>
      <c r="N3233">
        <f>IFERROR(IF(VLOOKUP(calendar[[#This Row],[Date]],BH!E:E,1,)&lt;&gt;"",1,0),0)</f>
        <v>0</v>
      </c>
      <c r="O3233">
        <f>IFERROR(IF(VLOOKUP(calendar[[#This Row],[Date]],BH!G:G,1,)&lt;&gt;"",1,0),0)</f>
        <v>0</v>
      </c>
      <c r="P3233">
        <f>IF(OR(calendar[[#This Row],[UK_BH]]=1,calendar[[#This Row],[WeekDay]]=1, calendar[[#This Row],[WeekDay]]=7),P3232,P3232+1)</f>
        <v>2303</v>
      </c>
      <c r="Q3233">
        <f>IF(OR(calendar[[#This Row],[FR_BH]]=1,calendar[[#This Row],[WeekDay]]=1, calendar[[#This Row],[WeekDay]]=7),P3232,P3232+1)</f>
        <v>2303</v>
      </c>
      <c r="R3233">
        <f>IF(OR(calendar[[#This Row],[SP_BH]]=1,calendar[[#This Row],[WeekDay]]=1, calendar[[#This Row],[WeekDay]]=7),P3232,P3232+1)</f>
        <v>2303</v>
      </c>
      <c r="S3233">
        <f>IF(OR(calendar[[#This Row],[PT_BH]]=1,calendar[[#This Row],[WeekDay]]=1, calendar[[#This Row],[WeekDay]]=7),P3232,P3232+1)</f>
        <v>2303</v>
      </c>
    </row>
    <row r="3234" spans="1:19" x14ac:dyDescent="0.25">
      <c r="A3234" s="2">
        <v>45968</v>
      </c>
      <c r="B3234" s="1">
        <f t="shared" si="253"/>
        <v>45</v>
      </c>
      <c r="C3234">
        <f t="shared" si="255"/>
        <v>11</v>
      </c>
      <c r="D3234" t="str">
        <f t="shared" si="256"/>
        <v>November</v>
      </c>
      <c r="E3234">
        <f t="shared" si="257"/>
        <v>2025</v>
      </c>
      <c r="F3234" t="str">
        <f>CONCATENATE(calendar[[#This Row],[Month]],"/",calendar[[#This Row],[Year]])</f>
        <v>11/2025</v>
      </c>
      <c r="G3234">
        <f>WEEKDAY(calendar[[#This Row],[Date]],1)</f>
        <v>6</v>
      </c>
      <c r="H3234" t="str">
        <f>TEXT(calendar[[#This Row],[WeekDay]],"dddd")</f>
        <v>Friday</v>
      </c>
      <c r="I3234">
        <f>IF((INT(calendar[[#This Row],[Count]]/7)-calendar[[#This Row],[Count]]/7)&lt;0,I3233,I3233+1)</f>
        <v>462</v>
      </c>
      <c r="J3234">
        <f t="shared" si="254"/>
        <v>3232</v>
      </c>
      <c r="K3234">
        <f>IF(calendar[[#This Row],[Month]]&lt;4,1,IF(calendar[[#This Row],[Month]]&lt;7,2,IF(calendar[[#This Row],[Month]]&lt;10,3,4)))</f>
        <v>4</v>
      </c>
      <c r="L3234">
        <f>IFERROR(IF(VLOOKUP(calendar[[#This Row],[Date]],BH!A:A,1,)&lt;&gt;"",1,0),0)</f>
        <v>0</v>
      </c>
      <c r="M3234">
        <f>IFERROR(IF(VLOOKUP(calendar[[#This Row],[Date]],BH!C:C,1,)&lt;&gt;"",1,0),0)</f>
        <v>0</v>
      </c>
      <c r="N3234">
        <f>IFERROR(IF(VLOOKUP(calendar[[#This Row],[Date]],BH!E:E,1,)&lt;&gt;"",1,0),0)</f>
        <v>0</v>
      </c>
      <c r="O3234">
        <f>IFERROR(IF(VLOOKUP(calendar[[#This Row],[Date]],BH!G:G,1,)&lt;&gt;"",1,0),0)</f>
        <v>0</v>
      </c>
      <c r="P3234">
        <f>IF(OR(calendar[[#This Row],[UK_BH]]=1,calendar[[#This Row],[WeekDay]]=1, calendar[[#This Row],[WeekDay]]=7),P3233,P3233+1)</f>
        <v>2304</v>
      </c>
      <c r="Q3234">
        <f>IF(OR(calendar[[#This Row],[FR_BH]]=1,calendar[[#This Row],[WeekDay]]=1, calendar[[#This Row],[WeekDay]]=7),P3233,P3233+1)</f>
        <v>2304</v>
      </c>
      <c r="R3234">
        <f>IF(OR(calendar[[#This Row],[SP_BH]]=1,calendar[[#This Row],[WeekDay]]=1, calendar[[#This Row],[WeekDay]]=7),P3233,P3233+1)</f>
        <v>2304</v>
      </c>
      <c r="S3234">
        <f>IF(OR(calendar[[#This Row],[PT_BH]]=1,calendar[[#This Row],[WeekDay]]=1, calendar[[#This Row],[WeekDay]]=7),P3233,P3233+1)</f>
        <v>2304</v>
      </c>
    </row>
    <row r="3235" spans="1:19" x14ac:dyDescent="0.25">
      <c r="A3235" s="2">
        <v>45969</v>
      </c>
      <c r="B3235" s="1">
        <f t="shared" si="253"/>
        <v>45</v>
      </c>
      <c r="C3235">
        <f t="shared" si="255"/>
        <v>11</v>
      </c>
      <c r="D3235" t="str">
        <f t="shared" si="256"/>
        <v>November</v>
      </c>
      <c r="E3235">
        <f t="shared" si="257"/>
        <v>2025</v>
      </c>
      <c r="F3235" t="str">
        <f>CONCATENATE(calendar[[#This Row],[Month]],"/",calendar[[#This Row],[Year]])</f>
        <v>11/2025</v>
      </c>
      <c r="G3235">
        <f>WEEKDAY(calendar[[#This Row],[Date]],1)</f>
        <v>7</v>
      </c>
      <c r="H3235" t="str">
        <f>TEXT(calendar[[#This Row],[WeekDay]],"dddd")</f>
        <v>Saturday</v>
      </c>
      <c r="I3235">
        <f>IF((INT(calendar[[#This Row],[Count]]/7)-calendar[[#This Row],[Count]]/7)&lt;0,I3234,I3234+1)</f>
        <v>462</v>
      </c>
      <c r="J3235">
        <f t="shared" si="254"/>
        <v>3233</v>
      </c>
      <c r="K3235">
        <f>IF(calendar[[#This Row],[Month]]&lt;4,1,IF(calendar[[#This Row],[Month]]&lt;7,2,IF(calendar[[#This Row],[Month]]&lt;10,3,4)))</f>
        <v>4</v>
      </c>
      <c r="L3235">
        <f>IFERROR(IF(VLOOKUP(calendar[[#This Row],[Date]],BH!A:A,1,)&lt;&gt;"",1,0),0)</f>
        <v>0</v>
      </c>
      <c r="M3235">
        <f>IFERROR(IF(VLOOKUP(calendar[[#This Row],[Date]],BH!C:C,1,)&lt;&gt;"",1,0),0)</f>
        <v>0</v>
      </c>
      <c r="N3235">
        <f>IFERROR(IF(VLOOKUP(calendar[[#This Row],[Date]],BH!E:E,1,)&lt;&gt;"",1,0),0)</f>
        <v>0</v>
      </c>
      <c r="O3235">
        <f>IFERROR(IF(VLOOKUP(calendar[[#This Row],[Date]],BH!G:G,1,)&lt;&gt;"",1,0),0)</f>
        <v>0</v>
      </c>
      <c r="P3235">
        <f>IF(OR(calendar[[#This Row],[UK_BH]]=1,calendar[[#This Row],[WeekDay]]=1, calendar[[#This Row],[WeekDay]]=7),P3234,P3234+1)</f>
        <v>2304</v>
      </c>
      <c r="Q3235">
        <f>IF(OR(calendar[[#This Row],[FR_BH]]=1,calendar[[#This Row],[WeekDay]]=1, calendar[[#This Row],[WeekDay]]=7),P3234,P3234+1)</f>
        <v>2304</v>
      </c>
      <c r="R3235">
        <f>IF(OR(calendar[[#This Row],[SP_BH]]=1,calendar[[#This Row],[WeekDay]]=1, calendar[[#This Row],[WeekDay]]=7),P3234,P3234+1)</f>
        <v>2304</v>
      </c>
      <c r="S3235">
        <f>IF(OR(calendar[[#This Row],[PT_BH]]=1,calendar[[#This Row],[WeekDay]]=1, calendar[[#This Row],[WeekDay]]=7),P3234,P3234+1)</f>
        <v>2304</v>
      </c>
    </row>
    <row r="3236" spans="1:19" x14ac:dyDescent="0.25">
      <c r="A3236" s="2">
        <v>45970</v>
      </c>
      <c r="B3236" s="1">
        <f t="shared" si="253"/>
        <v>46</v>
      </c>
      <c r="C3236">
        <f t="shared" si="255"/>
        <v>11</v>
      </c>
      <c r="D3236" t="str">
        <f t="shared" si="256"/>
        <v>November</v>
      </c>
      <c r="E3236">
        <f t="shared" si="257"/>
        <v>2025</v>
      </c>
      <c r="F3236" t="str">
        <f>CONCATENATE(calendar[[#This Row],[Month]],"/",calendar[[#This Row],[Year]])</f>
        <v>11/2025</v>
      </c>
      <c r="G3236">
        <f>WEEKDAY(calendar[[#This Row],[Date]],1)</f>
        <v>1</v>
      </c>
      <c r="H3236" t="str">
        <f>TEXT(calendar[[#This Row],[WeekDay]],"dddd")</f>
        <v>Sunday</v>
      </c>
      <c r="I3236">
        <f>IF((INT(calendar[[#This Row],[Count]]/7)-calendar[[#This Row],[Count]]/7)&lt;0,I3235,I3235+1)</f>
        <v>463</v>
      </c>
      <c r="J3236">
        <f t="shared" si="254"/>
        <v>3234</v>
      </c>
      <c r="K3236">
        <f>IF(calendar[[#This Row],[Month]]&lt;4,1,IF(calendar[[#This Row],[Month]]&lt;7,2,IF(calendar[[#This Row],[Month]]&lt;10,3,4)))</f>
        <v>4</v>
      </c>
      <c r="L3236">
        <f>IFERROR(IF(VLOOKUP(calendar[[#This Row],[Date]],BH!A:A,1,)&lt;&gt;"",1,0),0)</f>
        <v>0</v>
      </c>
      <c r="M3236">
        <f>IFERROR(IF(VLOOKUP(calendar[[#This Row],[Date]],BH!C:C,1,)&lt;&gt;"",1,0),0)</f>
        <v>0</v>
      </c>
      <c r="N3236">
        <f>IFERROR(IF(VLOOKUP(calendar[[#This Row],[Date]],BH!E:E,1,)&lt;&gt;"",1,0),0)</f>
        <v>0</v>
      </c>
      <c r="O3236">
        <f>IFERROR(IF(VLOOKUP(calendar[[#This Row],[Date]],BH!G:G,1,)&lt;&gt;"",1,0),0)</f>
        <v>0</v>
      </c>
      <c r="P3236">
        <f>IF(OR(calendar[[#This Row],[UK_BH]]=1,calendar[[#This Row],[WeekDay]]=1, calendar[[#This Row],[WeekDay]]=7),P3235,P3235+1)</f>
        <v>2304</v>
      </c>
      <c r="Q3236">
        <f>IF(OR(calendar[[#This Row],[FR_BH]]=1,calendar[[#This Row],[WeekDay]]=1, calendar[[#This Row],[WeekDay]]=7),P3235,P3235+1)</f>
        <v>2304</v>
      </c>
      <c r="R3236">
        <f>IF(OR(calendar[[#This Row],[SP_BH]]=1,calendar[[#This Row],[WeekDay]]=1, calendar[[#This Row],[WeekDay]]=7),P3235,P3235+1)</f>
        <v>2304</v>
      </c>
      <c r="S3236">
        <f>IF(OR(calendar[[#This Row],[PT_BH]]=1,calendar[[#This Row],[WeekDay]]=1, calendar[[#This Row],[WeekDay]]=7),P3235,P3235+1)</f>
        <v>2304</v>
      </c>
    </row>
    <row r="3237" spans="1:19" x14ac:dyDescent="0.25">
      <c r="A3237" s="2">
        <v>45971</v>
      </c>
      <c r="B3237" s="1">
        <f t="shared" si="253"/>
        <v>46</v>
      </c>
      <c r="C3237">
        <f t="shared" si="255"/>
        <v>11</v>
      </c>
      <c r="D3237" t="str">
        <f t="shared" si="256"/>
        <v>November</v>
      </c>
      <c r="E3237">
        <f t="shared" si="257"/>
        <v>2025</v>
      </c>
      <c r="F3237" t="str">
        <f>CONCATENATE(calendar[[#This Row],[Month]],"/",calendar[[#This Row],[Year]])</f>
        <v>11/2025</v>
      </c>
      <c r="G3237">
        <f>WEEKDAY(calendar[[#This Row],[Date]],1)</f>
        <v>2</v>
      </c>
      <c r="H3237" t="str">
        <f>TEXT(calendar[[#This Row],[WeekDay]],"dddd")</f>
        <v>Monday</v>
      </c>
      <c r="I3237">
        <f>IF((INT(calendar[[#This Row],[Count]]/7)-calendar[[#This Row],[Count]]/7)&lt;0,I3236,I3236+1)</f>
        <v>463</v>
      </c>
      <c r="J3237">
        <f t="shared" si="254"/>
        <v>3235</v>
      </c>
      <c r="K3237">
        <f>IF(calendar[[#This Row],[Month]]&lt;4,1,IF(calendar[[#This Row],[Month]]&lt;7,2,IF(calendar[[#This Row],[Month]]&lt;10,3,4)))</f>
        <v>4</v>
      </c>
      <c r="L3237">
        <f>IFERROR(IF(VLOOKUP(calendar[[#This Row],[Date]],BH!A:A,1,)&lt;&gt;"",1,0),0)</f>
        <v>0</v>
      </c>
      <c r="M3237">
        <f>IFERROR(IF(VLOOKUP(calendar[[#This Row],[Date]],BH!C:C,1,)&lt;&gt;"",1,0),0)</f>
        <v>0</v>
      </c>
      <c r="N3237">
        <f>IFERROR(IF(VLOOKUP(calendar[[#This Row],[Date]],BH!E:E,1,)&lt;&gt;"",1,0),0)</f>
        <v>0</v>
      </c>
      <c r="O3237">
        <f>IFERROR(IF(VLOOKUP(calendar[[#This Row],[Date]],BH!G:G,1,)&lt;&gt;"",1,0),0)</f>
        <v>0</v>
      </c>
      <c r="P3237">
        <f>IF(OR(calendar[[#This Row],[UK_BH]]=1,calendar[[#This Row],[WeekDay]]=1, calendar[[#This Row],[WeekDay]]=7),P3236,P3236+1)</f>
        <v>2305</v>
      </c>
      <c r="Q3237">
        <f>IF(OR(calendar[[#This Row],[FR_BH]]=1,calendar[[#This Row],[WeekDay]]=1, calendar[[#This Row],[WeekDay]]=7),P3236,P3236+1)</f>
        <v>2305</v>
      </c>
      <c r="R3237">
        <f>IF(OR(calendar[[#This Row],[SP_BH]]=1,calendar[[#This Row],[WeekDay]]=1, calendar[[#This Row],[WeekDay]]=7),P3236,P3236+1)</f>
        <v>2305</v>
      </c>
      <c r="S3237">
        <f>IF(OR(calendar[[#This Row],[PT_BH]]=1,calendar[[#This Row],[WeekDay]]=1, calendar[[#This Row],[WeekDay]]=7),P3236,P3236+1)</f>
        <v>2305</v>
      </c>
    </row>
    <row r="3238" spans="1:19" x14ac:dyDescent="0.25">
      <c r="A3238" s="2">
        <v>45972</v>
      </c>
      <c r="B3238" s="1">
        <f t="shared" si="253"/>
        <v>46</v>
      </c>
      <c r="C3238">
        <f t="shared" si="255"/>
        <v>11</v>
      </c>
      <c r="D3238" t="str">
        <f t="shared" si="256"/>
        <v>November</v>
      </c>
      <c r="E3238">
        <f t="shared" si="257"/>
        <v>2025</v>
      </c>
      <c r="F3238" t="str">
        <f>CONCATENATE(calendar[[#This Row],[Month]],"/",calendar[[#This Row],[Year]])</f>
        <v>11/2025</v>
      </c>
      <c r="G3238">
        <f>WEEKDAY(calendar[[#This Row],[Date]],1)</f>
        <v>3</v>
      </c>
      <c r="H3238" t="str">
        <f>TEXT(calendar[[#This Row],[WeekDay]],"dddd")</f>
        <v>Tuesday</v>
      </c>
      <c r="I3238">
        <f>IF((INT(calendar[[#This Row],[Count]]/7)-calendar[[#This Row],[Count]]/7)&lt;0,I3237,I3237+1)</f>
        <v>463</v>
      </c>
      <c r="J3238">
        <f t="shared" si="254"/>
        <v>3236</v>
      </c>
      <c r="K3238">
        <f>IF(calendar[[#This Row],[Month]]&lt;4,1,IF(calendar[[#This Row],[Month]]&lt;7,2,IF(calendar[[#This Row],[Month]]&lt;10,3,4)))</f>
        <v>4</v>
      </c>
      <c r="L3238">
        <f>IFERROR(IF(VLOOKUP(calendar[[#This Row],[Date]],BH!A:A,1,)&lt;&gt;"",1,0),0)</f>
        <v>0</v>
      </c>
      <c r="M3238">
        <f>IFERROR(IF(VLOOKUP(calendar[[#This Row],[Date]],BH!C:C,1,)&lt;&gt;"",1,0),0)</f>
        <v>1</v>
      </c>
      <c r="N3238">
        <f>IFERROR(IF(VLOOKUP(calendar[[#This Row],[Date]],BH!E:E,1,)&lt;&gt;"",1,0),0)</f>
        <v>0</v>
      </c>
      <c r="O3238">
        <f>IFERROR(IF(VLOOKUP(calendar[[#This Row],[Date]],BH!G:G,1,)&lt;&gt;"",1,0),0)</f>
        <v>0</v>
      </c>
      <c r="P3238">
        <f>IF(OR(calendar[[#This Row],[UK_BH]]=1,calendar[[#This Row],[WeekDay]]=1, calendar[[#This Row],[WeekDay]]=7),P3237,P3237+1)</f>
        <v>2306</v>
      </c>
      <c r="Q3238">
        <f>IF(OR(calendar[[#This Row],[FR_BH]]=1,calendar[[#This Row],[WeekDay]]=1, calendar[[#This Row],[WeekDay]]=7),P3237,P3237+1)</f>
        <v>2305</v>
      </c>
      <c r="R3238">
        <f>IF(OR(calendar[[#This Row],[SP_BH]]=1,calendar[[#This Row],[WeekDay]]=1, calendar[[#This Row],[WeekDay]]=7),P3237,P3237+1)</f>
        <v>2306</v>
      </c>
      <c r="S3238">
        <f>IF(OR(calendar[[#This Row],[PT_BH]]=1,calendar[[#This Row],[WeekDay]]=1, calendar[[#This Row],[WeekDay]]=7),P3237,P3237+1)</f>
        <v>2306</v>
      </c>
    </row>
    <row r="3239" spans="1:19" x14ac:dyDescent="0.25">
      <c r="A3239" s="2">
        <v>45973</v>
      </c>
      <c r="B3239" s="1">
        <f t="shared" si="253"/>
        <v>46</v>
      </c>
      <c r="C3239">
        <f t="shared" si="255"/>
        <v>11</v>
      </c>
      <c r="D3239" t="str">
        <f t="shared" si="256"/>
        <v>November</v>
      </c>
      <c r="E3239">
        <f t="shared" si="257"/>
        <v>2025</v>
      </c>
      <c r="F3239" t="str">
        <f>CONCATENATE(calendar[[#This Row],[Month]],"/",calendar[[#This Row],[Year]])</f>
        <v>11/2025</v>
      </c>
      <c r="G3239">
        <f>WEEKDAY(calendar[[#This Row],[Date]],1)</f>
        <v>4</v>
      </c>
      <c r="H3239" t="str">
        <f>TEXT(calendar[[#This Row],[WeekDay]],"dddd")</f>
        <v>Wednesday</v>
      </c>
      <c r="I3239">
        <f>IF((INT(calendar[[#This Row],[Count]]/7)-calendar[[#This Row],[Count]]/7)&lt;0,I3238,I3238+1)</f>
        <v>463</v>
      </c>
      <c r="J3239">
        <f t="shared" si="254"/>
        <v>3237</v>
      </c>
      <c r="K3239">
        <f>IF(calendar[[#This Row],[Month]]&lt;4,1,IF(calendar[[#This Row],[Month]]&lt;7,2,IF(calendar[[#This Row],[Month]]&lt;10,3,4)))</f>
        <v>4</v>
      </c>
      <c r="L3239">
        <f>IFERROR(IF(VLOOKUP(calendar[[#This Row],[Date]],BH!A:A,1,)&lt;&gt;"",1,0),0)</f>
        <v>0</v>
      </c>
      <c r="M3239">
        <f>IFERROR(IF(VLOOKUP(calendar[[#This Row],[Date]],BH!C:C,1,)&lt;&gt;"",1,0),0)</f>
        <v>0</v>
      </c>
      <c r="N3239">
        <f>IFERROR(IF(VLOOKUP(calendar[[#This Row],[Date]],BH!E:E,1,)&lt;&gt;"",1,0),0)</f>
        <v>0</v>
      </c>
      <c r="O3239">
        <f>IFERROR(IF(VLOOKUP(calendar[[#This Row],[Date]],BH!G:G,1,)&lt;&gt;"",1,0),0)</f>
        <v>0</v>
      </c>
      <c r="P3239">
        <f>IF(OR(calendar[[#This Row],[UK_BH]]=1,calendar[[#This Row],[WeekDay]]=1, calendar[[#This Row],[WeekDay]]=7),P3238,P3238+1)</f>
        <v>2307</v>
      </c>
      <c r="Q3239">
        <f>IF(OR(calendar[[#This Row],[FR_BH]]=1,calendar[[#This Row],[WeekDay]]=1, calendar[[#This Row],[WeekDay]]=7),P3238,P3238+1)</f>
        <v>2307</v>
      </c>
      <c r="R3239">
        <f>IF(OR(calendar[[#This Row],[SP_BH]]=1,calendar[[#This Row],[WeekDay]]=1, calendar[[#This Row],[WeekDay]]=7),P3238,P3238+1)</f>
        <v>2307</v>
      </c>
      <c r="S3239">
        <f>IF(OR(calendar[[#This Row],[PT_BH]]=1,calendar[[#This Row],[WeekDay]]=1, calendar[[#This Row],[WeekDay]]=7),P3238,P3238+1)</f>
        <v>2307</v>
      </c>
    </row>
    <row r="3240" spans="1:19" x14ac:dyDescent="0.25">
      <c r="A3240" s="2">
        <v>45974</v>
      </c>
      <c r="B3240" s="1">
        <f t="shared" si="253"/>
        <v>46</v>
      </c>
      <c r="C3240">
        <f t="shared" si="255"/>
        <v>11</v>
      </c>
      <c r="D3240" t="str">
        <f t="shared" si="256"/>
        <v>November</v>
      </c>
      <c r="E3240">
        <f t="shared" si="257"/>
        <v>2025</v>
      </c>
      <c r="F3240" t="str">
        <f>CONCATENATE(calendar[[#This Row],[Month]],"/",calendar[[#This Row],[Year]])</f>
        <v>11/2025</v>
      </c>
      <c r="G3240">
        <f>WEEKDAY(calendar[[#This Row],[Date]],1)</f>
        <v>5</v>
      </c>
      <c r="H3240" t="str">
        <f>TEXT(calendar[[#This Row],[WeekDay]],"dddd")</f>
        <v>Thursday</v>
      </c>
      <c r="I3240">
        <f>IF((INT(calendar[[#This Row],[Count]]/7)-calendar[[#This Row],[Count]]/7)&lt;0,I3239,I3239+1)</f>
        <v>463</v>
      </c>
      <c r="J3240">
        <f t="shared" si="254"/>
        <v>3238</v>
      </c>
      <c r="K3240">
        <f>IF(calendar[[#This Row],[Month]]&lt;4,1,IF(calendar[[#This Row],[Month]]&lt;7,2,IF(calendar[[#This Row],[Month]]&lt;10,3,4)))</f>
        <v>4</v>
      </c>
      <c r="L3240">
        <f>IFERROR(IF(VLOOKUP(calendar[[#This Row],[Date]],BH!A:A,1,)&lt;&gt;"",1,0),0)</f>
        <v>0</v>
      </c>
      <c r="M3240">
        <f>IFERROR(IF(VLOOKUP(calendar[[#This Row],[Date]],BH!C:C,1,)&lt;&gt;"",1,0),0)</f>
        <v>0</v>
      </c>
      <c r="N3240">
        <f>IFERROR(IF(VLOOKUP(calendar[[#This Row],[Date]],BH!E:E,1,)&lt;&gt;"",1,0),0)</f>
        <v>0</v>
      </c>
      <c r="O3240">
        <f>IFERROR(IF(VLOOKUP(calendar[[#This Row],[Date]],BH!G:G,1,)&lt;&gt;"",1,0),0)</f>
        <v>0</v>
      </c>
      <c r="P3240">
        <f>IF(OR(calendar[[#This Row],[UK_BH]]=1,calendar[[#This Row],[WeekDay]]=1, calendar[[#This Row],[WeekDay]]=7),P3239,P3239+1)</f>
        <v>2308</v>
      </c>
      <c r="Q3240">
        <f>IF(OR(calendar[[#This Row],[FR_BH]]=1,calendar[[#This Row],[WeekDay]]=1, calendar[[#This Row],[WeekDay]]=7),P3239,P3239+1)</f>
        <v>2308</v>
      </c>
      <c r="R3240">
        <f>IF(OR(calendar[[#This Row],[SP_BH]]=1,calendar[[#This Row],[WeekDay]]=1, calendar[[#This Row],[WeekDay]]=7),P3239,P3239+1)</f>
        <v>2308</v>
      </c>
      <c r="S3240">
        <f>IF(OR(calendar[[#This Row],[PT_BH]]=1,calendar[[#This Row],[WeekDay]]=1, calendar[[#This Row],[WeekDay]]=7),P3239,P3239+1)</f>
        <v>2308</v>
      </c>
    </row>
    <row r="3241" spans="1:19" x14ac:dyDescent="0.25">
      <c r="A3241" s="2">
        <v>45975</v>
      </c>
      <c r="B3241" s="1">
        <f t="shared" si="253"/>
        <v>46</v>
      </c>
      <c r="C3241">
        <f t="shared" si="255"/>
        <v>11</v>
      </c>
      <c r="D3241" t="str">
        <f t="shared" si="256"/>
        <v>November</v>
      </c>
      <c r="E3241">
        <f t="shared" si="257"/>
        <v>2025</v>
      </c>
      <c r="F3241" t="str">
        <f>CONCATENATE(calendar[[#This Row],[Month]],"/",calendar[[#This Row],[Year]])</f>
        <v>11/2025</v>
      </c>
      <c r="G3241">
        <f>WEEKDAY(calendar[[#This Row],[Date]],1)</f>
        <v>6</v>
      </c>
      <c r="H3241" t="str">
        <f>TEXT(calendar[[#This Row],[WeekDay]],"dddd")</f>
        <v>Friday</v>
      </c>
      <c r="I3241">
        <f>IF((INT(calendar[[#This Row],[Count]]/7)-calendar[[#This Row],[Count]]/7)&lt;0,I3240,I3240+1)</f>
        <v>463</v>
      </c>
      <c r="J3241">
        <f t="shared" si="254"/>
        <v>3239</v>
      </c>
      <c r="K3241">
        <f>IF(calendar[[#This Row],[Month]]&lt;4,1,IF(calendar[[#This Row],[Month]]&lt;7,2,IF(calendar[[#This Row],[Month]]&lt;10,3,4)))</f>
        <v>4</v>
      </c>
      <c r="L3241">
        <f>IFERROR(IF(VLOOKUP(calendar[[#This Row],[Date]],BH!A:A,1,)&lt;&gt;"",1,0),0)</f>
        <v>0</v>
      </c>
      <c r="M3241">
        <f>IFERROR(IF(VLOOKUP(calendar[[#This Row],[Date]],BH!C:C,1,)&lt;&gt;"",1,0),0)</f>
        <v>0</v>
      </c>
      <c r="N3241">
        <f>IFERROR(IF(VLOOKUP(calendar[[#This Row],[Date]],BH!E:E,1,)&lt;&gt;"",1,0),0)</f>
        <v>0</v>
      </c>
      <c r="O3241">
        <f>IFERROR(IF(VLOOKUP(calendar[[#This Row],[Date]],BH!G:G,1,)&lt;&gt;"",1,0),0)</f>
        <v>0</v>
      </c>
      <c r="P3241">
        <f>IF(OR(calendar[[#This Row],[UK_BH]]=1,calendar[[#This Row],[WeekDay]]=1, calendar[[#This Row],[WeekDay]]=7),P3240,P3240+1)</f>
        <v>2309</v>
      </c>
      <c r="Q3241">
        <f>IF(OR(calendar[[#This Row],[FR_BH]]=1,calendar[[#This Row],[WeekDay]]=1, calendar[[#This Row],[WeekDay]]=7),P3240,P3240+1)</f>
        <v>2309</v>
      </c>
      <c r="R3241">
        <f>IF(OR(calendar[[#This Row],[SP_BH]]=1,calendar[[#This Row],[WeekDay]]=1, calendar[[#This Row],[WeekDay]]=7),P3240,P3240+1)</f>
        <v>2309</v>
      </c>
      <c r="S3241">
        <f>IF(OR(calendar[[#This Row],[PT_BH]]=1,calendar[[#This Row],[WeekDay]]=1, calendar[[#This Row],[WeekDay]]=7),P3240,P3240+1)</f>
        <v>2309</v>
      </c>
    </row>
    <row r="3242" spans="1:19" x14ac:dyDescent="0.25">
      <c r="A3242" s="2">
        <v>45976</v>
      </c>
      <c r="B3242" s="1">
        <f t="shared" si="253"/>
        <v>46</v>
      </c>
      <c r="C3242">
        <f t="shared" si="255"/>
        <v>11</v>
      </c>
      <c r="D3242" t="str">
        <f t="shared" si="256"/>
        <v>November</v>
      </c>
      <c r="E3242">
        <f t="shared" si="257"/>
        <v>2025</v>
      </c>
      <c r="F3242" t="str">
        <f>CONCATENATE(calendar[[#This Row],[Month]],"/",calendar[[#This Row],[Year]])</f>
        <v>11/2025</v>
      </c>
      <c r="G3242">
        <f>WEEKDAY(calendar[[#This Row],[Date]],1)</f>
        <v>7</v>
      </c>
      <c r="H3242" t="str">
        <f>TEXT(calendar[[#This Row],[WeekDay]],"dddd")</f>
        <v>Saturday</v>
      </c>
      <c r="I3242">
        <f>IF((INT(calendar[[#This Row],[Count]]/7)-calendar[[#This Row],[Count]]/7)&lt;0,I3241,I3241+1)</f>
        <v>463</v>
      </c>
      <c r="J3242">
        <f t="shared" si="254"/>
        <v>3240</v>
      </c>
      <c r="K3242">
        <f>IF(calendar[[#This Row],[Month]]&lt;4,1,IF(calendar[[#This Row],[Month]]&lt;7,2,IF(calendar[[#This Row],[Month]]&lt;10,3,4)))</f>
        <v>4</v>
      </c>
      <c r="L3242">
        <f>IFERROR(IF(VLOOKUP(calendar[[#This Row],[Date]],BH!A:A,1,)&lt;&gt;"",1,0),0)</f>
        <v>0</v>
      </c>
      <c r="M3242">
        <f>IFERROR(IF(VLOOKUP(calendar[[#This Row],[Date]],BH!C:C,1,)&lt;&gt;"",1,0),0)</f>
        <v>0</v>
      </c>
      <c r="N3242">
        <f>IFERROR(IF(VLOOKUP(calendar[[#This Row],[Date]],BH!E:E,1,)&lt;&gt;"",1,0),0)</f>
        <v>0</v>
      </c>
      <c r="O3242">
        <f>IFERROR(IF(VLOOKUP(calendar[[#This Row],[Date]],BH!G:G,1,)&lt;&gt;"",1,0),0)</f>
        <v>0</v>
      </c>
      <c r="P3242">
        <f>IF(OR(calendar[[#This Row],[UK_BH]]=1,calendar[[#This Row],[WeekDay]]=1, calendar[[#This Row],[WeekDay]]=7),P3241,P3241+1)</f>
        <v>2309</v>
      </c>
      <c r="Q3242">
        <f>IF(OR(calendar[[#This Row],[FR_BH]]=1,calendar[[#This Row],[WeekDay]]=1, calendar[[#This Row],[WeekDay]]=7),P3241,P3241+1)</f>
        <v>2309</v>
      </c>
      <c r="R3242">
        <f>IF(OR(calendar[[#This Row],[SP_BH]]=1,calendar[[#This Row],[WeekDay]]=1, calendar[[#This Row],[WeekDay]]=7),P3241,P3241+1)</f>
        <v>2309</v>
      </c>
      <c r="S3242">
        <f>IF(OR(calendar[[#This Row],[PT_BH]]=1,calendar[[#This Row],[WeekDay]]=1, calendar[[#This Row],[WeekDay]]=7),P3241,P3241+1)</f>
        <v>2309</v>
      </c>
    </row>
    <row r="3243" spans="1:19" x14ac:dyDescent="0.25">
      <c r="A3243" s="2">
        <v>45977</v>
      </c>
      <c r="B3243" s="1">
        <f t="shared" si="253"/>
        <v>47</v>
      </c>
      <c r="C3243">
        <f t="shared" si="255"/>
        <v>11</v>
      </c>
      <c r="D3243" t="str">
        <f t="shared" si="256"/>
        <v>November</v>
      </c>
      <c r="E3243">
        <f t="shared" si="257"/>
        <v>2025</v>
      </c>
      <c r="F3243" t="str">
        <f>CONCATENATE(calendar[[#This Row],[Month]],"/",calendar[[#This Row],[Year]])</f>
        <v>11/2025</v>
      </c>
      <c r="G3243">
        <f>WEEKDAY(calendar[[#This Row],[Date]],1)</f>
        <v>1</v>
      </c>
      <c r="H3243" t="str">
        <f>TEXT(calendar[[#This Row],[WeekDay]],"dddd")</f>
        <v>Sunday</v>
      </c>
      <c r="I3243">
        <f>IF((INT(calendar[[#This Row],[Count]]/7)-calendar[[#This Row],[Count]]/7)&lt;0,I3242,I3242+1)</f>
        <v>464</v>
      </c>
      <c r="J3243">
        <f t="shared" si="254"/>
        <v>3241</v>
      </c>
      <c r="K3243">
        <f>IF(calendar[[#This Row],[Month]]&lt;4,1,IF(calendar[[#This Row],[Month]]&lt;7,2,IF(calendar[[#This Row],[Month]]&lt;10,3,4)))</f>
        <v>4</v>
      </c>
      <c r="L3243">
        <f>IFERROR(IF(VLOOKUP(calendar[[#This Row],[Date]],BH!A:A,1,)&lt;&gt;"",1,0),0)</f>
        <v>0</v>
      </c>
      <c r="M3243">
        <f>IFERROR(IF(VLOOKUP(calendar[[#This Row],[Date]],BH!C:C,1,)&lt;&gt;"",1,0),0)</f>
        <v>0</v>
      </c>
      <c r="N3243">
        <f>IFERROR(IF(VLOOKUP(calendar[[#This Row],[Date]],BH!E:E,1,)&lt;&gt;"",1,0),0)</f>
        <v>0</v>
      </c>
      <c r="O3243">
        <f>IFERROR(IF(VLOOKUP(calendar[[#This Row],[Date]],BH!G:G,1,)&lt;&gt;"",1,0),0)</f>
        <v>0</v>
      </c>
      <c r="P3243">
        <f>IF(OR(calendar[[#This Row],[UK_BH]]=1,calendar[[#This Row],[WeekDay]]=1, calendar[[#This Row],[WeekDay]]=7),P3242,P3242+1)</f>
        <v>2309</v>
      </c>
      <c r="Q3243">
        <f>IF(OR(calendar[[#This Row],[FR_BH]]=1,calendar[[#This Row],[WeekDay]]=1, calendar[[#This Row],[WeekDay]]=7),P3242,P3242+1)</f>
        <v>2309</v>
      </c>
      <c r="R3243">
        <f>IF(OR(calendar[[#This Row],[SP_BH]]=1,calendar[[#This Row],[WeekDay]]=1, calendar[[#This Row],[WeekDay]]=7),P3242,P3242+1)</f>
        <v>2309</v>
      </c>
      <c r="S3243">
        <f>IF(OR(calendar[[#This Row],[PT_BH]]=1,calendar[[#This Row],[WeekDay]]=1, calendar[[#This Row],[WeekDay]]=7),P3242,P3242+1)</f>
        <v>2309</v>
      </c>
    </row>
    <row r="3244" spans="1:19" x14ac:dyDescent="0.25">
      <c r="A3244" s="2">
        <v>45978</v>
      </c>
      <c r="B3244" s="1">
        <f t="shared" si="253"/>
        <v>47</v>
      </c>
      <c r="C3244">
        <f t="shared" si="255"/>
        <v>11</v>
      </c>
      <c r="D3244" t="str">
        <f t="shared" si="256"/>
        <v>November</v>
      </c>
      <c r="E3244">
        <f t="shared" si="257"/>
        <v>2025</v>
      </c>
      <c r="F3244" t="str">
        <f>CONCATENATE(calendar[[#This Row],[Month]],"/",calendar[[#This Row],[Year]])</f>
        <v>11/2025</v>
      </c>
      <c r="G3244">
        <f>WEEKDAY(calendar[[#This Row],[Date]],1)</f>
        <v>2</v>
      </c>
      <c r="H3244" t="str">
        <f>TEXT(calendar[[#This Row],[WeekDay]],"dddd")</f>
        <v>Monday</v>
      </c>
      <c r="I3244">
        <f>IF((INT(calendar[[#This Row],[Count]]/7)-calendar[[#This Row],[Count]]/7)&lt;0,I3243,I3243+1)</f>
        <v>464</v>
      </c>
      <c r="J3244">
        <f t="shared" si="254"/>
        <v>3242</v>
      </c>
      <c r="K3244">
        <f>IF(calendar[[#This Row],[Month]]&lt;4,1,IF(calendar[[#This Row],[Month]]&lt;7,2,IF(calendar[[#This Row],[Month]]&lt;10,3,4)))</f>
        <v>4</v>
      </c>
      <c r="L3244">
        <f>IFERROR(IF(VLOOKUP(calendar[[#This Row],[Date]],BH!A:A,1,)&lt;&gt;"",1,0),0)</f>
        <v>0</v>
      </c>
      <c r="M3244">
        <f>IFERROR(IF(VLOOKUP(calendar[[#This Row],[Date]],BH!C:C,1,)&lt;&gt;"",1,0),0)</f>
        <v>0</v>
      </c>
      <c r="N3244">
        <f>IFERROR(IF(VLOOKUP(calendar[[#This Row],[Date]],BH!E:E,1,)&lt;&gt;"",1,0),0)</f>
        <v>0</v>
      </c>
      <c r="O3244">
        <f>IFERROR(IF(VLOOKUP(calendar[[#This Row],[Date]],BH!G:G,1,)&lt;&gt;"",1,0),0)</f>
        <v>0</v>
      </c>
      <c r="P3244">
        <f>IF(OR(calendar[[#This Row],[UK_BH]]=1,calendar[[#This Row],[WeekDay]]=1, calendar[[#This Row],[WeekDay]]=7),P3243,P3243+1)</f>
        <v>2310</v>
      </c>
      <c r="Q3244">
        <f>IF(OR(calendar[[#This Row],[FR_BH]]=1,calendar[[#This Row],[WeekDay]]=1, calendar[[#This Row],[WeekDay]]=7),P3243,P3243+1)</f>
        <v>2310</v>
      </c>
      <c r="R3244">
        <f>IF(OR(calendar[[#This Row],[SP_BH]]=1,calendar[[#This Row],[WeekDay]]=1, calendar[[#This Row],[WeekDay]]=7),P3243,P3243+1)</f>
        <v>2310</v>
      </c>
      <c r="S3244">
        <f>IF(OR(calendar[[#This Row],[PT_BH]]=1,calendar[[#This Row],[WeekDay]]=1, calendar[[#This Row],[WeekDay]]=7),P3243,P3243+1)</f>
        <v>2310</v>
      </c>
    </row>
    <row r="3245" spans="1:19" x14ac:dyDescent="0.25">
      <c r="A3245" s="2">
        <v>45979</v>
      </c>
      <c r="B3245" s="1">
        <f t="shared" si="253"/>
        <v>47</v>
      </c>
      <c r="C3245">
        <f t="shared" si="255"/>
        <v>11</v>
      </c>
      <c r="D3245" t="str">
        <f t="shared" si="256"/>
        <v>November</v>
      </c>
      <c r="E3245">
        <f t="shared" si="257"/>
        <v>2025</v>
      </c>
      <c r="F3245" t="str">
        <f>CONCATENATE(calendar[[#This Row],[Month]],"/",calendar[[#This Row],[Year]])</f>
        <v>11/2025</v>
      </c>
      <c r="G3245">
        <f>WEEKDAY(calendar[[#This Row],[Date]],1)</f>
        <v>3</v>
      </c>
      <c r="H3245" t="str">
        <f>TEXT(calendar[[#This Row],[WeekDay]],"dddd")</f>
        <v>Tuesday</v>
      </c>
      <c r="I3245">
        <f>IF((INT(calendar[[#This Row],[Count]]/7)-calendar[[#This Row],[Count]]/7)&lt;0,I3244,I3244+1)</f>
        <v>464</v>
      </c>
      <c r="J3245">
        <f t="shared" si="254"/>
        <v>3243</v>
      </c>
      <c r="K3245">
        <f>IF(calendar[[#This Row],[Month]]&lt;4,1,IF(calendar[[#This Row],[Month]]&lt;7,2,IF(calendar[[#This Row],[Month]]&lt;10,3,4)))</f>
        <v>4</v>
      </c>
      <c r="L3245">
        <f>IFERROR(IF(VLOOKUP(calendar[[#This Row],[Date]],BH!A:A,1,)&lt;&gt;"",1,0),0)</f>
        <v>0</v>
      </c>
      <c r="M3245">
        <f>IFERROR(IF(VLOOKUP(calendar[[#This Row],[Date]],BH!C:C,1,)&lt;&gt;"",1,0),0)</f>
        <v>0</v>
      </c>
      <c r="N3245">
        <f>IFERROR(IF(VLOOKUP(calendar[[#This Row],[Date]],BH!E:E,1,)&lt;&gt;"",1,0),0)</f>
        <v>0</v>
      </c>
      <c r="O3245">
        <f>IFERROR(IF(VLOOKUP(calendar[[#This Row],[Date]],BH!G:G,1,)&lt;&gt;"",1,0),0)</f>
        <v>0</v>
      </c>
      <c r="P3245">
        <f>IF(OR(calendar[[#This Row],[UK_BH]]=1,calendar[[#This Row],[WeekDay]]=1, calendar[[#This Row],[WeekDay]]=7),P3244,P3244+1)</f>
        <v>2311</v>
      </c>
      <c r="Q3245">
        <f>IF(OR(calendar[[#This Row],[FR_BH]]=1,calendar[[#This Row],[WeekDay]]=1, calendar[[#This Row],[WeekDay]]=7),P3244,P3244+1)</f>
        <v>2311</v>
      </c>
      <c r="R3245">
        <f>IF(OR(calendar[[#This Row],[SP_BH]]=1,calendar[[#This Row],[WeekDay]]=1, calendar[[#This Row],[WeekDay]]=7),P3244,P3244+1)</f>
        <v>2311</v>
      </c>
      <c r="S3245">
        <f>IF(OR(calendar[[#This Row],[PT_BH]]=1,calendar[[#This Row],[WeekDay]]=1, calendar[[#This Row],[WeekDay]]=7),P3244,P3244+1)</f>
        <v>2311</v>
      </c>
    </row>
    <row r="3246" spans="1:19" x14ac:dyDescent="0.25">
      <c r="A3246" s="2">
        <v>45980</v>
      </c>
      <c r="B3246" s="1">
        <f t="shared" si="253"/>
        <v>47</v>
      </c>
      <c r="C3246">
        <f t="shared" si="255"/>
        <v>11</v>
      </c>
      <c r="D3246" t="str">
        <f t="shared" si="256"/>
        <v>November</v>
      </c>
      <c r="E3246">
        <f t="shared" si="257"/>
        <v>2025</v>
      </c>
      <c r="F3246" t="str">
        <f>CONCATENATE(calendar[[#This Row],[Month]],"/",calendar[[#This Row],[Year]])</f>
        <v>11/2025</v>
      </c>
      <c r="G3246">
        <f>WEEKDAY(calendar[[#This Row],[Date]],1)</f>
        <v>4</v>
      </c>
      <c r="H3246" t="str">
        <f>TEXT(calendar[[#This Row],[WeekDay]],"dddd")</f>
        <v>Wednesday</v>
      </c>
      <c r="I3246">
        <f>IF((INT(calendar[[#This Row],[Count]]/7)-calendar[[#This Row],[Count]]/7)&lt;0,I3245,I3245+1)</f>
        <v>464</v>
      </c>
      <c r="J3246">
        <f t="shared" si="254"/>
        <v>3244</v>
      </c>
      <c r="K3246">
        <f>IF(calendar[[#This Row],[Month]]&lt;4,1,IF(calendar[[#This Row],[Month]]&lt;7,2,IF(calendar[[#This Row],[Month]]&lt;10,3,4)))</f>
        <v>4</v>
      </c>
      <c r="L3246">
        <f>IFERROR(IF(VLOOKUP(calendar[[#This Row],[Date]],BH!A:A,1,)&lt;&gt;"",1,0),0)</f>
        <v>0</v>
      </c>
      <c r="M3246">
        <f>IFERROR(IF(VLOOKUP(calendar[[#This Row],[Date]],BH!C:C,1,)&lt;&gt;"",1,0),0)</f>
        <v>0</v>
      </c>
      <c r="N3246">
        <f>IFERROR(IF(VLOOKUP(calendar[[#This Row],[Date]],BH!E:E,1,)&lt;&gt;"",1,0),0)</f>
        <v>0</v>
      </c>
      <c r="O3246">
        <f>IFERROR(IF(VLOOKUP(calendar[[#This Row],[Date]],BH!G:G,1,)&lt;&gt;"",1,0),0)</f>
        <v>0</v>
      </c>
      <c r="P3246">
        <f>IF(OR(calendar[[#This Row],[UK_BH]]=1,calendar[[#This Row],[WeekDay]]=1, calendar[[#This Row],[WeekDay]]=7),P3245,P3245+1)</f>
        <v>2312</v>
      </c>
      <c r="Q3246">
        <f>IF(OR(calendar[[#This Row],[FR_BH]]=1,calendar[[#This Row],[WeekDay]]=1, calendar[[#This Row],[WeekDay]]=7),P3245,P3245+1)</f>
        <v>2312</v>
      </c>
      <c r="R3246">
        <f>IF(OR(calendar[[#This Row],[SP_BH]]=1,calendar[[#This Row],[WeekDay]]=1, calendar[[#This Row],[WeekDay]]=7),P3245,P3245+1)</f>
        <v>2312</v>
      </c>
      <c r="S3246">
        <f>IF(OR(calendar[[#This Row],[PT_BH]]=1,calendar[[#This Row],[WeekDay]]=1, calendar[[#This Row],[WeekDay]]=7),P3245,P3245+1)</f>
        <v>2312</v>
      </c>
    </row>
    <row r="3247" spans="1:19" x14ac:dyDescent="0.25">
      <c r="A3247" s="2">
        <v>45981</v>
      </c>
      <c r="B3247" s="1">
        <f t="shared" si="253"/>
        <v>47</v>
      </c>
      <c r="C3247">
        <f t="shared" si="255"/>
        <v>11</v>
      </c>
      <c r="D3247" t="str">
        <f t="shared" si="256"/>
        <v>November</v>
      </c>
      <c r="E3247">
        <f t="shared" si="257"/>
        <v>2025</v>
      </c>
      <c r="F3247" t="str">
        <f>CONCATENATE(calendar[[#This Row],[Month]],"/",calendar[[#This Row],[Year]])</f>
        <v>11/2025</v>
      </c>
      <c r="G3247">
        <f>WEEKDAY(calendar[[#This Row],[Date]],1)</f>
        <v>5</v>
      </c>
      <c r="H3247" t="str">
        <f>TEXT(calendar[[#This Row],[WeekDay]],"dddd")</f>
        <v>Thursday</v>
      </c>
      <c r="I3247">
        <f>IF((INT(calendar[[#This Row],[Count]]/7)-calendar[[#This Row],[Count]]/7)&lt;0,I3246,I3246+1)</f>
        <v>464</v>
      </c>
      <c r="J3247">
        <f t="shared" si="254"/>
        <v>3245</v>
      </c>
      <c r="K3247">
        <f>IF(calendar[[#This Row],[Month]]&lt;4,1,IF(calendar[[#This Row],[Month]]&lt;7,2,IF(calendar[[#This Row],[Month]]&lt;10,3,4)))</f>
        <v>4</v>
      </c>
      <c r="L3247">
        <f>IFERROR(IF(VLOOKUP(calendar[[#This Row],[Date]],BH!A:A,1,)&lt;&gt;"",1,0),0)</f>
        <v>0</v>
      </c>
      <c r="M3247">
        <f>IFERROR(IF(VLOOKUP(calendar[[#This Row],[Date]],BH!C:C,1,)&lt;&gt;"",1,0),0)</f>
        <v>0</v>
      </c>
      <c r="N3247">
        <f>IFERROR(IF(VLOOKUP(calendar[[#This Row],[Date]],BH!E:E,1,)&lt;&gt;"",1,0),0)</f>
        <v>0</v>
      </c>
      <c r="O3247">
        <f>IFERROR(IF(VLOOKUP(calendar[[#This Row],[Date]],BH!G:G,1,)&lt;&gt;"",1,0),0)</f>
        <v>0</v>
      </c>
      <c r="P3247">
        <f>IF(OR(calendar[[#This Row],[UK_BH]]=1,calendar[[#This Row],[WeekDay]]=1, calendar[[#This Row],[WeekDay]]=7),P3246,P3246+1)</f>
        <v>2313</v>
      </c>
      <c r="Q3247">
        <f>IF(OR(calendar[[#This Row],[FR_BH]]=1,calendar[[#This Row],[WeekDay]]=1, calendar[[#This Row],[WeekDay]]=7),P3246,P3246+1)</f>
        <v>2313</v>
      </c>
      <c r="R3247">
        <f>IF(OR(calendar[[#This Row],[SP_BH]]=1,calendar[[#This Row],[WeekDay]]=1, calendar[[#This Row],[WeekDay]]=7),P3246,P3246+1)</f>
        <v>2313</v>
      </c>
      <c r="S3247">
        <f>IF(OR(calendar[[#This Row],[PT_BH]]=1,calendar[[#This Row],[WeekDay]]=1, calendar[[#This Row],[WeekDay]]=7),P3246,P3246+1)</f>
        <v>2313</v>
      </c>
    </row>
    <row r="3248" spans="1:19" x14ac:dyDescent="0.25">
      <c r="A3248" s="2">
        <v>45982</v>
      </c>
      <c r="B3248" s="1">
        <f t="shared" si="253"/>
        <v>47</v>
      </c>
      <c r="C3248">
        <f t="shared" si="255"/>
        <v>11</v>
      </c>
      <c r="D3248" t="str">
        <f t="shared" si="256"/>
        <v>November</v>
      </c>
      <c r="E3248">
        <f t="shared" si="257"/>
        <v>2025</v>
      </c>
      <c r="F3248" t="str">
        <f>CONCATENATE(calendar[[#This Row],[Month]],"/",calendar[[#This Row],[Year]])</f>
        <v>11/2025</v>
      </c>
      <c r="G3248">
        <f>WEEKDAY(calendar[[#This Row],[Date]],1)</f>
        <v>6</v>
      </c>
      <c r="H3248" t="str">
        <f>TEXT(calendar[[#This Row],[WeekDay]],"dddd")</f>
        <v>Friday</v>
      </c>
      <c r="I3248">
        <f>IF((INT(calendar[[#This Row],[Count]]/7)-calendar[[#This Row],[Count]]/7)&lt;0,I3247,I3247+1)</f>
        <v>464</v>
      </c>
      <c r="J3248">
        <f t="shared" si="254"/>
        <v>3246</v>
      </c>
      <c r="K3248">
        <f>IF(calendar[[#This Row],[Month]]&lt;4,1,IF(calendar[[#This Row],[Month]]&lt;7,2,IF(calendar[[#This Row],[Month]]&lt;10,3,4)))</f>
        <v>4</v>
      </c>
      <c r="L3248">
        <f>IFERROR(IF(VLOOKUP(calendar[[#This Row],[Date]],BH!A:A,1,)&lt;&gt;"",1,0),0)</f>
        <v>0</v>
      </c>
      <c r="M3248">
        <f>IFERROR(IF(VLOOKUP(calendar[[#This Row],[Date]],BH!C:C,1,)&lt;&gt;"",1,0),0)</f>
        <v>0</v>
      </c>
      <c r="N3248">
        <f>IFERROR(IF(VLOOKUP(calendar[[#This Row],[Date]],BH!E:E,1,)&lt;&gt;"",1,0),0)</f>
        <v>0</v>
      </c>
      <c r="O3248">
        <f>IFERROR(IF(VLOOKUP(calendar[[#This Row],[Date]],BH!G:G,1,)&lt;&gt;"",1,0),0)</f>
        <v>0</v>
      </c>
      <c r="P3248">
        <f>IF(OR(calendar[[#This Row],[UK_BH]]=1,calendar[[#This Row],[WeekDay]]=1, calendar[[#This Row],[WeekDay]]=7),P3247,P3247+1)</f>
        <v>2314</v>
      </c>
      <c r="Q3248">
        <f>IF(OR(calendar[[#This Row],[FR_BH]]=1,calendar[[#This Row],[WeekDay]]=1, calendar[[#This Row],[WeekDay]]=7),P3247,P3247+1)</f>
        <v>2314</v>
      </c>
      <c r="R3248">
        <f>IF(OR(calendar[[#This Row],[SP_BH]]=1,calendar[[#This Row],[WeekDay]]=1, calendar[[#This Row],[WeekDay]]=7),P3247,P3247+1)</f>
        <v>2314</v>
      </c>
      <c r="S3248">
        <f>IF(OR(calendar[[#This Row],[PT_BH]]=1,calendar[[#This Row],[WeekDay]]=1, calendar[[#This Row],[WeekDay]]=7),P3247,P3247+1)</f>
        <v>2314</v>
      </c>
    </row>
    <row r="3249" spans="1:19" x14ac:dyDescent="0.25">
      <c r="A3249" s="2">
        <v>45983</v>
      </c>
      <c r="B3249" s="1">
        <f t="shared" si="253"/>
        <v>47</v>
      </c>
      <c r="C3249">
        <f t="shared" si="255"/>
        <v>11</v>
      </c>
      <c r="D3249" t="str">
        <f t="shared" si="256"/>
        <v>November</v>
      </c>
      <c r="E3249">
        <f t="shared" si="257"/>
        <v>2025</v>
      </c>
      <c r="F3249" t="str">
        <f>CONCATENATE(calendar[[#This Row],[Month]],"/",calendar[[#This Row],[Year]])</f>
        <v>11/2025</v>
      </c>
      <c r="G3249">
        <f>WEEKDAY(calendar[[#This Row],[Date]],1)</f>
        <v>7</v>
      </c>
      <c r="H3249" t="str">
        <f>TEXT(calendar[[#This Row],[WeekDay]],"dddd")</f>
        <v>Saturday</v>
      </c>
      <c r="I3249">
        <f>IF((INT(calendar[[#This Row],[Count]]/7)-calendar[[#This Row],[Count]]/7)&lt;0,I3248,I3248+1)</f>
        <v>464</v>
      </c>
      <c r="J3249">
        <f t="shared" si="254"/>
        <v>3247</v>
      </c>
      <c r="K3249">
        <f>IF(calendar[[#This Row],[Month]]&lt;4,1,IF(calendar[[#This Row],[Month]]&lt;7,2,IF(calendar[[#This Row],[Month]]&lt;10,3,4)))</f>
        <v>4</v>
      </c>
      <c r="L3249">
        <f>IFERROR(IF(VLOOKUP(calendar[[#This Row],[Date]],BH!A:A,1,)&lt;&gt;"",1,0),0)</f>
        <v>0</v>
      </c>
      <c r="M3249">
        <f>IFERROR(IF(VLOOKUP(calendar[[#This Row],[Date]],BH!C:C,1,)&lt;&gt;"",1,0),0)</f>
        <v>0</v>
      </c>
      <c r="N3249">
        <f>IFERROR(IF(VLOOKUP(calendar[[#This Row],[Date]],BH!E:E,1,)&lt;&gt;"",1,0),0)</f>
        <v>0</v>
      </c>
      <c r="O3249">
        <f>IFERROR(IF(VLOOKUP(calendar[[#This Row],[Date]],BH!G:G,1,)&lt;&gt;"",1,0),0)</f>
        <v>0</v>
      </c>
      <c r="P3249">
        <f>IF(OR(calendar[[#This Row],[UK_BH]]=1,calendar[[#This Row],[WeekDay]]=1, calendar[[#This Row],[WeekDay]]=7),P3248,P3248+1)</f>
        <v>2314</v>
      </c>
      <c r="Q3249">
        <f>IF(OR(calendar[[#This Row],[FR_BH]]=1,calendar[[#This Row],[WeekDay]]=1, calendar[[#This Row],[WeekDay]]=7),P3248,P3248+1)</f>
        <v>2314</v>
      </c>
      <c r="R3249">
        <f>IF(OR(calendar[[#This Row],[SP_BH]]=1,calendar[[#This Row],[WeekDay]]=1, calendar[[#This Row],[WeekDay]]=7),P3248,P3248+1)</f>
        <v>2314</v>
      </c>
      <c r="S3249">
        <f>IF(OR(calendar[[#This Row],[PT_BH]]=1,calendar[[#This Row],[WeekDay]]=1, calendar[[#This Row],[WeekDay]]=7),P3248,P3248+1)</f>
        <v>2314</v>
      </c>
    </row>
    <row r="3250" spans="1:19" x14ac:dyDescent="0.25">
      <c r="A3250" s="2">
        <v>45984</v>
      </c>
      <c r="B3250" s="1">
        <f t="shared" si="253"/>
        <v>48</v>
      </c>
      <c r="C3250">
        <f t="shared" si="255"/>
        <v>11</v>
      </c>
      <c r="D3250" t="str">
        <f t="shared" si="256"/>
        <v>November</v>
      </c>
      <c r="E3250">
        <f t="shared" si="257"/>
        <v>2025</v>
      </c>
      <c r="F3250" t="str">
        <f>CONCATENATE(calendar[[#This Row],[Month]],"/",calendar[[#This Row],[Year]])</f>
        <v>11/2025</v>
      </c>
      <c r="G3250">
        <f>WEEKDAY(calendar[[#This Row],[Date]],1)</f>
        <v>1</v>
      </c>
      <c r="H3250" t="str">
        <f>TEXT(calendar[[#This Row],[WeekDay]],"dddd")</f>
        <v>Sunday</v>
      </c>
      <c r="I3250">
        <f>IF((INT(calendar[[#This Row],[Count]]/7)-calendar[[#This Row],[Count]]/7)&lt;0,I3249,I3249+1)</f>
        <v>465</v>
      </c>
      <c r="J3250">
        <f t="shared" si="254"/>
        <v>3248</v>
      </c>
      <c r="K3250">
        <f>IF(calendar[[#This Row],[Month]]&lt;4,1,IF(calendar[[#This Row],[Month]]&lt;7,2,IF(calendar[[#This Row],[Month]]&lt;10,3,4)))</f>
        <v>4</v>
      </c>
      <c r="L3250">
        <f>IFERROR(IF(VLOOKUP(calendar[[#This Row],[Date]],BH!A:A,1,)&lt;&gt;"",1,0),0)</f>
        <v>0</v>
      </c>
      <c r="M3250">
        <f>IFERROR(IF(VLOOKUP(calendar[[#This Row],[Date]],BH!C:C,1,)&lt;&gt;"",1,0),0)</f>
        <v>0</v>
      </c>
      <c r="N3250">
        <f>IFERROR(IF(VLOOKUP(calendar[[#This Row],[Date]],BH!E:E,1,)&lt;&gt;"",1,0),0)</f>
        <v>0</v>
      </c>
      <c r="O3250">
        <f>IFERROR(IF(VLOOKUP(calendar[[#This Row],[Date]],BH!G:G,1,)&lt;&gt;"",1,0),0)</f>
        <v>0</v>
      </c>
      <c r="P3250">
        <f>IF(OR(calendar[[#This Row],[UK_BH]]=1,calendar[[#This Row],[WeekDay]]=1, calendar[[#This Row],[WeekDay]]=7),P3249,P3249+1)</f>
        <v>2314</v>
      </c>
      <c r="Q3250">
        <f>IF(OR(calendar[[#This Row],[FR_BH]]=1,calendar[[#This Row],[WeekDay]]=1, calendar[[#This Row],[WeekDay]]=7),P3249,P3249+1)</f>
        <v>2314</v>
      </c>
      <c r="R3250">
        <f>IF(OR(calendar[[#This Row],[SP_BH]]=1,calendar[[#This Row],[WeekDay]]=1, calendar[[#This Row],[WeekDay]]=7),P3249,P3249+1)</f>
        <v>2314</v>
      </c>
      <c r="S3250">
        <f>IF(OR(calendar[[#This Row],[PT_BH]]=1,calendar[[#This Row],[WeekDay]]=1, calendar[[#This Row],[WeekDay]]=7),P3249,P3249+1)</f>
        <v>2314</v>
      </c>
    </row>
    <row r="3251" spans="1:19" x14ac:dyDescent="0.25">
      <c r="A3251" s="2">
        <v>45985</v>
      </c>
      <c r="B3251" s="1">
        <f t="shared" si="253"/>
        <v>48</v>
      </c>
      <c r="C3251">
        <f t="shared" si="255"/>
        <v>11</v>
      </c>
      <c r="D3251" t="str">
        <f t="shared" si="256"/>
        <v>November</v>
      </c>
      <c r="E3251">
        <f t="shared" si="257"/>
        <v>2025</v>
      </c>
      <c r="F3251" t="str">
        <f>CONCATENATE(calendar[[#This Row],[Month]],"/",calendar[[#This Row],[Year]])</f>
        <v>11/2025</v>
      </c>
      <c r="G3251">
        <f>WEEKDAY(calendar[[#This Row],[Date]],1)</f>
        <v>2</v>
      </c>
      <c r="H3251" t="str">
        <f>TEXT(calendar[[#This Row],[WeekDay]],"dddd")</f>
        <v>Monday</v>
      </c>
      <c r="I3251">
        <f>IF((INT(calendar[[#This Row],[Count]]/7)-calendar[[#This Row],[Count]]/7)&lt;0,I3250,I3250+1)</f>
        <v>465</v>
      </c>
      <c r="J3251">
        <f t="shared" si="254"/>
        <v>3249</v>
      </c>
      <c r="K3251">
        <f>IF(calendar[[#This Row],[Month]]&lt;4,1,IF(calendar[[#This Row],[Month]]&lt;7,2,IF(calendar[[#This Row],[Month]]&lt;10,3,4)))</f>
        <v>4</v>
      </c>
      <c r="L3251">
        <f>IFERROR(IF(VLOOKUP(calendar[[#This Row],[Date]],BH!A:A,1,)&lt;&gt;"",1,0),0)</f>
        <v>0</v>
      </c>
      <c r="M3251">
        <f>IFERROR(IF(VLOOKUP(calendar[[#This Row],[Date]],BH!C:C,1,)&lt;&gt;"",1,0),0)</f>
        <v>0</v>
      </c>
      <c r="N3251">
        <f>IFERROR(IF(VLOOKUP(calendar[[#This Row],[Date]],BH!E:E,1,)&lt;&gt;"",1,0),0)</f>
        <v>0</v>
      </c>
      <c r="O3251">
        <f>IFERROR(IF(VLOOKUP(calendar[[#This Row],[Date]],BH!G:G,1,)&lt;&gt;"",1,0),0)</f>
        <v>0</v>
      </c>
      <c r="P3251">
        <f>IF(OR(calendar[[#This Row],[UK_BH]]=1,calendar[[#This Row],[WeekDay]]=1, calendar[[#This Row],[WeekDay]]=7),P3250,P3250+1)</f>
        <v>2315</v>
      </c>
      <c r="Q3251">
        <f>IF(OR(calendar[[#This Row],[FR_BH]]=1,calendar[[#This Row],[WeekDay]]=1, calendar[[#This Row],[WeekDay]]=7),P3250,P3250+1)</f>
        <v>2315</v>
      </c>
      <c r="R3251">
        <f>IF(OR(calendar[[#This Row],[SP_BH]]=1,calendar[[#This Row],[WeekDay]]=1, calendar[[#This Row],[WeekDay]]=7),P3250,P3250+1)</f>
        <v>2315</v>
      </c>
      <c r="S3251">
        <f>IF(OR(calendar[[#This Row],[PT_BH]]=1,calendar[[#This Row],[WeekDay]]=1, calendar[[#This Row],[WeekDay]]=7),P3250,P3250+1)</f>
        <v>2315</v>
      </c>
    </row>
    <row r="3252" spans="1:19" x14ac:dyDescent="0.25">
      <c r="A3252" s="2">
        <v>45986</v>
      </c>
      <c r="B3252" s="1">
        <f t="shared" si="253"/>
        <v>48</v>
      </c>
      <c r="C3252">
        <f t="shared" si="255"/>
        <v>11</v>
      </c>
      <c r="D3252" t="str">
        <f t="shared" si="256"/>
        <v>November</v>
      </c>
      <c r="E3252">
        <f t="shared" si="257"/>
        <v>2025</v>
      </c>
      <c r="F3252" t="str">
        <f>CONCATENATE(calendar[[#This Row],[Month]],"/",calendar[[#This Row],[Year]])</f>
        <v>11/2025</v>
      </c>
      <c r="G3252">
        <f>WEEKDAY(calendar[[#This Row],[Date]],1)</f>
        <v>3</v>
      </c>
      <c r="H3252" t="str">
        <f>TEXT(calendar[[#This Row],[WeekDay]],"dddd")</f>
        <v>Tuesday</v>
      </c>
      <c r="I3252">
        <f>IF((INT(calendar[[#This Row],[Count]]/7)-calendar[[#This Row],[Count]]/7)&lt;0,I3251,I3251+1)</f>
        <v>465</v>
      </c>
      <c r="J3252">
        <f t="shared" si="254"/>
        <v>3250</v>
      </c>
      <c r="K3252">
        <f>IF(calendar[[#This Row],[Month]]&lt;4,1,IF(calendar[[#This Row],[Month]]&lt;7,2,IF(calendar[[#This Row],[Month]]&lt;10,3,4)))</f>
        <v>4</v>
      </c>
      <c r="L3252">
        <f>IFERROR(IF(VLOOKUP(calendar[[#This Row],[Date]],BH!A:A,1,)&lt;&gt;"",1,0),0)</f>
        <v>0</v>
      </c>
      <c r="M3252">
        <f>IFERROR(IF(VLOOKUP(calendar[[#This Row],[Date]],BH!C:C,1,)&lt;&gt;"",1,0),0)</f>
        <v>0</v>
      </c>
      <c r="N3252">
        <f>IFERROR(IF(VLOOKUP(calendar[[#This Row],[Date]],BH!E:E,1,)&lt;&gt;"",1,0),0)</f>
        <v>0</v>
      </c>
      <c r="O3252">
        <f>IFERROR(IF(VLOOKUP(calendar[[#This Row],[Date]],BH!G:G,1,)&lt;&gt;"",1,0),0)</f>
        <v>0</v>
      </c>
      <c r="P3252">
        <f>IF(OR(calendar[[#This Row],[UK_BH]]=1,calendar[[#This Row],[WeekDay]]=1, calendar[[#This Row],[WeekDay]]=7),P3251,P3251+1)</f>
        <v>2316</v>
      </c>
      <c r="Q3252">
        <f>IF(OR(calendar[[#This Row],[FR_BH]]=1,calendar[[#This Row],[WeekDay]]=1, calendar[[#This Row],[WeekDay]]=7),P3251,P3251+1)</f>
        <v>2316</v>
      </c>
      <c r="R3252">
        <f>IF(OR(calendar[[#This Row],[SP_BH]]=1,calendar[[#This Row],[WeekDay]]=1, calendar[[#This Row],[WeekDay]]=7),P3251,P3251+1)</f>
        <v>2316</v>
      </c>
      <c r="S3252">
        <f>IF(OR(calendar[[#This Row],[PT_BH]]=1,calendar[[#This Row],[WeekDay]]=1, calendar[[#This Row],[WeekDay]]=7),P3251,P3251+1)</f>
        <v>2316</v>
      </c>
    </row>
    <row r="3253" spans="1:19" x14ac:dyDescent="0.25">
      <c r="A3253" s="2">
        <v>45987</v>
      </c>
      <c r="B3253" s="1">
        <f t="shared" si="253"/>
        <v>48</v>
      </c>
      <c r="C3253">
        <f t="shared" si="255"/>
        <v>11</v>
      </c>
      <c r="D3253" t="str">
        <f t="shared" si="256"/>
        <v>November</v>
      </c>
      <c r="E3253">
        <f t="shared" si="257"/>
        <v>2025</v>
      </c>
      <c r="F3253" t="str">
        <f>CONCATENATE(calendar[[#This Row],[Month]],"/",calendar[[#This Row],[Year]])</f>
        <v>11/2025</v>
      </c>
      <c r="G3253">
        <f>WEEKDAY(calendar[[#This Row],[Date]],1)</f>
        <v>4</v>
      </c>
      <c r="H3253" t="str">
        <f>TEXT(calendar[[#This Row],[WeekDay]],"dddd")</f>
        <v>Wednesday</v>
      </c>
      <c r="I3253">
        <f>IF((INT(calendar[[#This Row],[Count]]/7)-calendar[[#This Row],[Count]]/7)&lt;0,I3252,I3252+1)</f>
        <v>465</v>
      </c>
      <c r="J3253">
        <f t="shared" si="254"/>
        <v>3251</v>
      </c>
      <c r="K3253">
        <f>IF(calendar[[#This Row],[Month]]&lt;4,1,IF(calendar[[#This Row],[Month]]&lt;7,2,IF(calendar[[#This Row],[Month]]&lt;10,3,4)))</f>
        <v>4</v>
      </c>
      <c r="L3253">
        <f>IFERROR(IF(VLOOKUP(calendar[[#This Row],[Date]],BH!A:A,1,)&lt;&gt;"",1,0),0)</f>
        <v>0</v>
      </c>
      <c r="M3253">
        <f>IFERROR(IF(VLOOKUP(calendar[[#This Row],[Date]],BH!C:C,1,)&lt;&gt;"",1,0),0)</f>
        <v>0</v>
      </c>
      <c r="N3253">
        <f>IFERROR(IF(VLOOKUP(calendar[[#This Row],[Date]],BH!E:E,1,)&lt;&gt;"",1,0),0)</f>
        <v>0</v>
      </c>
      <c r="O3253">
        <f>IFERROR(IF(VLOOKUP(calendar[[#This Row],[Date]],BH!G:G,1,)&lt;&gt;"",1,0),0)</f>
        <v>0</v>
      </c>
      <c r="P3253">
        <f>IF(OR(calendar[[#This Row],[UK_BH]]=1,calendar[[#This Row],[WeekDay]]=1, calendar[[#This Row],[WeekDay]]=7),P3252,P3252+1)</f>
        <v>2317</v>
      </c>
      <c r="Q3253">
        <f>IF(OR(calendar[[#This Row],[FR_BH]]=1,calendar[[#This Row],[WeekDay]]=1, calendar[[#This Row],[WeekDay]]=7),P3252,P3252+1)</f>
        <v>2317</v>
      </c>
      <c r="R3253">
        <f>IF(OR(calendar[[#This Row],[SP_BH]]=1,calendar[[#This Row],[WeekDay]]=1, calendar[[#This Row],[WeekDay]]=7),P3252,P3252+1)</f>
        <v>2317</v>
      </c>
      <c r="S3253">
        <f>IF(OR(calendar[[#This Row],[PT_BH]]=1,calendar[[#This Row],[WeekDay]]=1, calendar[[#This Row],[WeekDay]]=7),P3252,P3252+1)</f>
        <v>2317</v>
      </c>
    </row>
    <row r="3254" spans="1:19" x14ac:dyDescent="0.25">
      <c r="A3254" s="2">
        <v>45988</v>
      </c>
      <c r="B3254" s="1">
        <f t="shared" si="253"/>
        <v>48</v>
      </c>
      <c r="C3254">
        <f t="shared" si="255"/>
        <v>11</v>
      </c>
      <c r="D3254" t="str">
        <f t="shared" si="256"/>
        <v>November</v>
      </c>
      <c r="E3254">
        <f t="shared" si="257"/>
        <v>2025</v>
      </c>
      <c r="F3254" t="str">
        <f>CONCATENATE(calendar[[#This Row],[Month]],"/",calendar[[#This Row],[Year]])</f>
        <v>11/2025</v>
      </c>
      <c r="G3254">
        <f>WEEKDAY(calendar[[#This Row],[Date]],1)</f>
        <v>5</v>
      </c>
      <c r="H3254" t="str">
        <f>TEXT(calendar[[#This Row],[WeekDay]],"dddd")</f>
        <v>Thursday</v>
      </c>
      <c r="I3254">
        <f>IF((INT(calendar[[#This Row],[Count]]/7)-calendar[[#This Row],[Count]]/7)&lt;0,I3253,I3253+1)</f>
        <v>465</v>
      </c>
      <c r="J3254">
        <f t="shared" si="254"/>
        <v>3252</v>
      </c>
      <c r="K3254">
        <f>IF(calendar[[#This Row],[Month]]&lt;4,1,IF(calendar[[#This Row],[Month]]&lt;7,2,IF(calendar[[#This Row],[Month]]&lt;10,3,4)))</f>
        <v>4</v>
      </c>
      <c r="L3254">
        <f>IFERROR(IF(VLOOKUP(calendar[[#This Row],[Date]],BH!A:A,1,)&lt;&gt;"",1,0),0)</f>
        <v>0</v>
      </c>
      <c r="M3254">
        <f>IFERROR(IF(VLOOKUP(calendar[[#This Row],[Date]],BH!C:C,1,)&lt;&gt;"",1,0),0)</f>
        <v>0</v>
      </c>
      <c r="N3254">
        <f>IFERROR(IF(VLOOKUP(calendar[[#This Row],[Date]],BH!E:E,1,)&lt;&gt;"",1,0),0)</f>
        <v>0</v>
      </c>
      <c r="O3254">
        <f>IFERROR(IF(VLOOKUP(calendar[[#This Row],[Date]],BH!G:G,1,)&lt;&gt;"",1,0),0)</f>
        <v>0</v>
      </c>
      <c r="P3254">
        <f>IF(OR(calendar[[#This Row],[UK_BH]]=1,calendar[[#This Row],[WeekDay]]=1, calendar[[#This Row],[WeekDay]]=7),P3253,P3253+1)</f>
        <v>2318</v>
      </c>
      <c r="Q3254">
        <f>IF(OR(calendar[[#This Row],[FR_BH]]=1,calendar[[#This Row],[WeekDay]]=1, calendar[[#This Row],[WeekDay]]=7),P3253,P3253+1)</f>
        <v>2318</v>
      </c>
      <c r="R3254">
        <f>IF(OR(calendar[[#This Row],[SP_BH]]=1,calendar[[#This Row],[WeekDay]]=1, calendar[[#This Row],[WeekDay]]=7),P3253,P3253+1)</f>
        <v>2318</v>
      </c>
      <c r="S3254">
        <f>IF(OR(calendar[[#This Row],[PT_BH]]=1,calendar[[#This Row],[WeekDay]]=1, calendar[[#This Row],[WeekDay]]=7),P3253,P3253+1)</f>
        <v>2318</v>
      </c>
    </row>
    <row r="3255" spans="1:19" x14ac:dyDescent="0.25">
      <c r="A3255" s="2">
        <v>45989</v>
      </c>
      <c r="B3255" s="1">
        <f t="shared" si="253"/>
        <v>48</v>
      </c>
      <c r="C3255">
        <f t="shared" si="255"/>
        <v>11</v>
      </c>
      <c r="D3255" t="str">
        <f t="shared" si="256"/>
        <v>November</v>
      </c>
      <c r="E3255">
        <f t="shared" si="257"/>
        <v>2025</v>
      </c>
      <c r="F3255" t="str">
        <f>CONCATENATE(calendar[[#This Row],[Month]],"/",calendar[[#This Row],[Year]])</f>
        <v>11/2025</v>
      </c>
      <c r="G3255">
        <f>WEEKDAY(calendar[[#This Row],[Date]],1)</f>
        <v>6</v>
      </c>
      <c r="H3255" t="str">
        <f>TEXT(calendar[[#This Row],[WeekDay]],"dddd")</f>
        <v>Friday</v>
      </c>
      <c r="I3255">
        <f>IF((INT(calendar[[#This Row],[Count]]/7)-calendar[[#This Row],[Count]]/7)&lt;0,I3254,I3254+1)</f>
        <v>465</v>
      </c>
      <c r="J3255">
        <f t="shared" si="254"/>
        <v>3253</v>
      </c>
      <c r="K3255">
        <f>IF(calendar[[#This Row],[Month]]&lt;4,1,IF(calendar[[#This Row],[Month]]&lt;7,2,IF(calendar[[#This Row],[Month]]&lt;10,3,4)))</f>
        <v>4</v>
      </c>
      <c r="L3255">
        <f>IFERROR(IF(VLOOKUP(calendar[[#This Row],[Date]],BH!A:A,1,)&lt;&gt;"",1,0),0)</f>
        <v>0</v>
      </c>
      <c r="M3255">
        <f>IFERROR(IF(VLOOKUP(calendar[[#This Row],[Date]],BH!C:C,1,)&lt;&gt;"",1,0),0)</f>
        <v>0</v>
      </c>
      <c r="N3255">
        <f>IFERROR(IF(VLOOKUP(calendar[[#This Row],[Date]],BH!E:E,1,)&lt;&gt;"",1,0),0)</f>
        <v>0</v>
      </c>
      <c r="O3255">
        <f>IFERROR(IF(VLOOKUP(calendar[[#This Row],[Date]],BH!G:G,1,)&lt;&gt;"",1,0),0)</f>
        <v>0</v>
      </c>
      <c r="P3255">
        <f>IF(OR(calendar[[#This Row],[UK_BH]]=1,calendar[[#This Row],[WeekDay]]=1, calendar[[#This Row],[WeekDay]]=7),P3254,P3254+1)</f>
        <v>2319</v>
      </c>
      <c r="Q3255">
        <f>IF(OR(calendar[[#This Row],[FR_BH]]=1,calendar[[#This Row],[WeekDay]]=1, calendar[[#This Row],[WeekDay]]=7),P3254,P3254+1)</f>
        <v>2319</v>
      </c>
      <c r="R3255">
        <f>IF(OR(calendar[[#This Row],[SP_BH]]=1,calendar[[#This Row],[WeekDay]]=1, calendar[[#This Row],[WeekDay]]=7),P3254,P3254+1)</f>
        <v>2319</v>
      </c>
      <c r="S3255">
        <f>IF(OR(calendar[[#This Row],[PT_BH]]=1,calendar[[#This Row],[WeekDay]]=1, calendar[[#This Row],[WeekDay]]=7),P3254,P3254+1)</f>
        <v>2319</v>
      </c>
    </row>
    <row r="3256" spans="1:19" x14ac:dyDescent="0.25">
      <c r="A3256" s="2">
        <v>45990</v>
      </c>
      <c r="B3256" s="1">
        <f t="shared" si="253"/>
        <v>48</v>
      </c>
      <c r="C3256">
        <f t="shared" si="255"/>
        <v>11</v>
      </c>
      <c r="D3256" t="str">
        <f t="shared" si="256"/>
        <v>November</v>
      </c>
      <c r="E3256">
        <f t="shared" si="257"/>
        <v>2025</v>
      </c>
      <c r="F3256" t="str">
        <f>CONCATENATE(calendar[[#This Row],[Month]],"/",calendar[[#This Row],[Year]])</f>
        <v>11/2025</v>
      </c>
      <c r="G3256">
        <f>WEEKDAY(calendar[[#This Row],[Date]],1)</f>
        <v>7</v>
      </c>
      <c r="H3256" t="str">
        <f>TEXT(calendar[[#This Row],[WeekDay]],"dddd")</f>
        <v>Saturday</v>
      </c>
      <c r="I3256">
        <f>IF((INT(calendar[[#This Row],[Count]]/7)-calendar[[#This Row],[Count]]/7)&lt;0,I3255,I3255+1)</f>
        <v>465</v>
      </c>
      <c r="J3256">
        <f t="shared" si="254"/>
        <v>3254</v>
      </c>
      <c r="K3256">
        <f>IF(calendar[[#This Row],[Month]]&lt;4,1,IF(calendar[[#This Row],[Month]]&lt;7,2,IF(calendar[[#This Row],[Month]]&lt;10,3,4)))</f>
        <v>4</v>
      </c>
      <c r="L3256">
        <f>IFERROR(IF(VLOOKUP(calendar[[#This Row],[Date]],BH!A:A,1,)&lt;&gt;"",1,0),0)</f>
        <v>0</v>
      </c>
      <c r="M3256">
        <f>IFERROR(IF(VLOOKUP(calendar[[#This Row],[Date]],BH!C:C,1,)&lt;&gt;"",1,0),0)</f>
        <v>0</v>
      </c>
      <c r="N3256">
        <f>IFERROR(IF(VLOOKUP(calendar[[#This Row],[Date]],BH!E:E,1,)&lt;&gt;"",1,0),0)</f>
        <v>0</v>
      </c>
      <c r="O3256">
        <f>IFERROR(IF(VLOOKUP(calendar[[#This Row],[Date]],BH!G:G,1,)&lt;&gt;"",1,0),0)</f>
        <v>0</v>
      </c>
      <c r="P3256">
        <f>IF(OR(calendar[[#This Row],[UK_BH]]=1,calendar[[#This Row],[WeekDay]]=1, calendar[[#This Row],[WeekDay]]=7),P3255,P3255+1)</f>
        <v>2319</v>
      </c>
      <c r="Q3256">
        <f>IF(OR(calendar[[#This Row],[FR_BH]]=1,calendar[[#This Row],[WeekDay]]=1, calendar[[#This Row],[WeekDay]]=7),P3255,P3255+1)</f>
        <v>2319</v>
      </c>
      <c r="R3256">
        <f>IF(OR(calendar[[#This Row],[SP_BH]]=1,calendar[[#This Row],[WeekDay]]=1, calendar[[#This Row],[WeekDay]]=7),P3255,P3255+1)</f>
        <v>2319</v>
      </c>
      <c r="S3256">
        <f>IF(OR(calendar[[#This Row],[PT_BH]]=1,calendar[[#This Row],[WeekDay]]=1, calendar[[#This Row],[WeekDay]]=7),P3255,P3255+1)</f>
        <v>2319</v>
      </c>
    </row>
    <row r="3257" spans="1:19" x14ac:dyDescent="0.25">
      <c r="A3257" s="2">
        <v>45991</v>
      </c>
      <c r="B3257" s="1">
        <f t="shared" si="253"/>
        <v>49</v>
      </c>
      <c r="C3257">
        <f t="shared" si="255"/>
        <v>11</v>
      </c>
      <c r="D3257" t="str">
        <f t="shared" si="256"/>
        <v>November</v>
      </c>
      <c r="E3257">
        <f t="shared" si="257"/>
        <v>2025</v>
      </c>
      <c r="F3257" t="str">
        <f>CONCATENATE(calendar[[#This Row],[Month]],"/",calendar[[#This Row],[Year]])</f>
        <v>11/2025</v>
      </c>
      <c r="G3257">
        <f>WEEKDAY(calendar[[#This Row],[Date]],1)</f>
        <v>1</v>
      </c>
      <c r="H3257" t="str">
        <f>TEXT(calendar[[#This Row],[WeekDay]],"dddd")</f>
        <v>Sunday</v>
      </c>
      <c r="I3257">
        <f>IF((INT(calendar[[#This Row],[Count]]/7)-calendar[[#This Row],[Count]]/7)&lt;0,I3256,I3256+1)</f>
        <v>466</v>
      </c>
      <c r="J3257">
        <f t="shared" si="254"/>
        <v>3255</v>
      </c>
      <c r="K3257">
        <f>IF(calendar[[#This Row],[Month]]&lt;4,1,IF(calendar[[#This Row],[Month]]&lt;7,2,IF(calendar[[#This Row],[Month]]&lt;10,3,4)))</f>
        <v>4</v>
      </c>
      <c r="L3257">
        <f>IFERROR(IF(VLOOKUP(calendar[[#This Row],[Date]],BH!A:A,1,)&lt;&gt;"",1,0),0)</f>
        <v>0</v>
      </c>
      <c r="M3257">
        <f>IFERROR(IF(VLOOKUP(calendar[[#This Row],[Date]],BH!C:C,1,)&lt;&gt;"",1,0),0)</f>
        <v>0</v>
      </c>
      <c r="N3257">
        <f>IFERROR(IF(VLOOKUP(calendar[[#This Row],[Date]],BH!E:E,1,)&lt;&gt;"",1,0),0)</f>
        <v>0</v>
      </c>
      <c r="O3257">
        <f>IFERROR(IF(VLOOKUP(calendar[[#This Row],[Date]],BH!G:G,1,)&lt;&gt;"",1,0),0)</f>
        <v>0</v>
      </c>
      <c r="P3257">
        <f>IF(OR(calendar[[#This Row],[UK_BH]]=1,calendar[[#This Row],[WeekDay]]=1, calendar[[#This Row],[WeekDay]]=7),P3256,P3256+1)</f>
        <v>2319</v>
      </c>
      <c r="Q3257">
        <f>IF(OR(calendar[[#This Row],[FR_BH]]=1,calendar[[#This Row],[WeekDay]]=1, calendar[[#This Row],[WeekDay]]=7),P3256,P3256+1)</f>
        <v>2319</v>
      </c>
      <c r="R3257">
        <f>IF(OR(calendar[[#This Row],[SP_BH]]=1,calendar[[#This Row],[WeekDay]]=1, calendar[[#This Row],[WeekDay]]=7),P3256,P3256+1)</f>
        <v>2319</v>
      </c>
      <c r="S3257">
        <f>IF(OR(calendar[[#This Row],[PT_BH]]=1,calendar[[#This Row],[WeekDay]]=1, calendar[[#This Row],[WeekDay]]=7),P3256,P3256+1)</f>
        <v>2319</v>
      </c>
    </row>
    <row r="3258" spans="1:19" x14ac:dyDescent="0.25">
      <c r="A3258" s="2">
        <v>45992</v>
      </c>
      <c r="B3258" s="1">
        <f t="shared" si="253"/>
        <v>49</v>
      </c>
      <c r="C3258">
        <f t="shared" si="255"/>
        <v>12</v>
      </c>
      <c r="D3258" t="str">
        <f t="shared" si="256"/>
        <v>December</v>
      </c>
      <c r="E3258">
        <f t="shared" si="257"/>
        <v>2025</v>
      </c>
      <c r="F3258" t="str">
        <f>CONCATENATE(calendar[[#This Row],[Month]],"/",calendar[[#This Row],[Year]])</f>
        <v>12/2025</v>
      </c>
      <c r="G3258">
        <f>WEEKDAY(calendar[[#This Row],[Date]],1)</f>
        <v>2</v>
      </c>
      <c r="H3258" t="str">
        <f>TEXT(calendar[[#This Row],[WeekDay]],"dddd")</f>
        <v>Monday</v>
      </c>
      <c r="I3258">
        <f>IF((INT(calendar[[#This Row],[Count]]/7)-calendar[[#This Row],[Count]]/7)&lt;0,I3257,I3257+1)</f>
        <v>466</v>
      </c>
      <c r="J3258">
        <f t="shared" si="254"/>
        <v>3256</v>
      </c>
      <c r="K3258">
        <f>IF(calendar[[#This Row],[Month]]&lt;4,1,IF(calendar[[#This Row],[Month]]&lt;7,2,IF(calendar[[#This Row],[Month]]&lt;10,3,4)))</f>
        <v>4</v>
      </c>
      <c r="L3258">
        <f>IFERROR(IF(VLOOKUP(calendar[[#This Row],[Date]],BH!A:A,1,)&lt;&gt;"",1,0),0)</f>
        <v>0</v>
      </c>
      <c r="M3258">
        <f>IFERROR(IF(VLOOKUP(calendar[[#This Row],[Date]],BH!C:C,1,)&lt;&gt;"",1,0),0)</f>
        <v>0</v>
      </c>
      <c r="N3258">
        <f>IFERROR(IF(VLOOKUP(calendar[[#This Row],[Date]],BH!E:E,1,)&lt;&gt;"",1,0),0)</f>
        <v>0</v>
      </c>
      <c r="O3258">
        <f>IFERROR(IF(VLOOKUP(calendar[[#This Row],[Date]],BH!G:G,1,)&lt;&gt;"",1,0),0)</f>
        <v>1</v>
      </c>
      <c r="P3258">
        <f>IF(OR(calendar[[#This Row],[UK_BH]]=1,calendar[[#This Row],[WeekDay]]=1, calendar[[#This Row],[WeekDay]]=7),P3257,P3257+1)</f>
        <v>2320</v>
      </c>
      <c r="Q3258">
        <f>IF(OR(calendar[[#This Row],[FR_BH]]=1,calendar[[#This Row],[WeekDay]]=1, calendar[[#This Row],[WeekDay]]=7),P3257,P3257+1)</f>
        <v>2320</v>
      </c>
      <c r="R3258">
        <f>IF(OR(calendar[[#This Row],[SP_BH]]=1,calendar[[#This Row],[WeekDay]]=1, calendar[[#This Row],[WeekDay]]=7),P3257,P3257+1)</f>
        <v>2320</v>
      </c>
      <c r="S3258">
        <f>IF(OR(calendar[[#This Row],[PT_BH]]=1,calendar[[#This Row],[WeekDay]]=1, calendar[[#This Row],[WeekDay]]=7),P3257,P3257+1)</f>
        <v>2319</v>
      </c>
    </row>
    <row r="3259" spans="1:19" x14ac:dyDescent="0.25">
      <c r="A3259" s="2">
        <v>45993</v>
      </c>
      <c r="B3259" s="1">
        <f t="shared" si="253"/>
        <v>49</v>
      </c>
      <c r="C3259">
        <f t="shared" si="255"/>
        <v>12</v>
      </c>
      <c r="D3259" t="str">
        <f t="shared" si="256"/>
        <v>December</v>
      </c>
      <c r="E3259">
        <f t="shared" si="257"/>
        <v>2025</v>
      </c>
      <c r="F3259" t="str">
        <f>CONCATENATE(calendar[[#This Row],[Month]],"/",calendar[[#This Row],[Year]])</f>
        <v>12/2025</v>
      </c>
      <c r="G3259">
        <f>WEEKDAY(calendar[[#This Row],[Date]],1)</f>
        <v>3</v>
      </c>
      <c r="H3259" t="str">
        <f>TEXT(calendar[[#This Row],[WeekDay]],"dddd")</f>
        <v>Tuesday</v>
      </c>
      <c r="I3259">
        <f>IF((INT(calendar[[#This Row],[Count]]/7)-calendar[[#This Row],[Count]]/7)&lt;0,I3258,I3258+1)</f>
        <v>466</v>
      </c>
      <c r="J3259">
        <f t="shared" si="254"/>
        <v>3257</v>
      </c>
      <c r="K3259">
        <f>IF(calendar[[#This Row],[Month]]&lt;4,1,IF(calendar[[#This Row],[Month]]&lt;7,2,IF(calendar[[#This Row],[Month]]&lt;10,3,4)))</f>
        <v>4</v>
      </c>
      <c r="L3259">
        <f>IFERROR(IF(VLOOKUP(calendar[[#This Row],[Date]],BH!A:A,1,)&lt;&gt;"",1,0),0)</f>
        <v>0</v>
      </c>
      <c r="M3259">
        <f>IFERROR(IF(VLOOKUP(calendar[[#This Row],[Date]],BH!C:C,1,)&lt;&gt;"",1,0),0)</f>
        <v>0</v>
      </c>
      <c r="N3259">
        <f>IFERROR(IF(VLOOKUP(calendar[[#This Row],[Date]],BH!E:E,1,)&lt;&gt;"",1,0),0)</f>
        <v>0</v>
      </c>
      <c r="O3259">
        <f>IFERROR(IF(VLOOKUP(calendar[[#This Row],[Date]],BH!G:G,1,)&lt;&gt;"",1,0),0)</f>
        <v>0</v>
      </c>
      <c r="P3259">
        <f>IF(OR(calendar[[#This Row],[UK_BH]]=1,calendar[[#This Row],[WeekDay]]=1, calendar[[#This Row],[WeekDay]]=7),P3258,P3258+1)</f>
        <v>2321</v>
      </c>
      <c r="Q3259">
        <f>IF(OR(calendar[[#This Row],[FR_BH]]=1,calendar[[#This Row],[WeekDay]]=1, calendar[[#This Row],[WeekDay]]=7),P3258,P3258+1)</f>
        <v>2321</v>
      </c>
      <c r="R3259">
        <f>IF(OR(calendar[[#This Row],[SP_BH]]=1,calendar[[#This Row],[WeekDay]]=1, calendar[[#This Row],[WeekDay]]=7),P3258,P3258+1)</f>
        <v>2321</v>
      </c>
      <c r="S3259">
        <f>IF(OR(calendar[[#This Row],[PT_BH]]=1,calendar[[#This Row],[WeekDay]]=1, calendar[[#This Row],[WeekDay]]=7),P3258,P3258+1)</f>
        <v>2321</v>
      </c>
    </row>
    <row r="3260" spans="1:19" x14ac:dyDescent="0.25">
      <c r="A3260" s="2">
        <v>45994</v>
      </c>
      <c r="B3260" s="1">
        <f t="shared" si="253"/>
        <v>49</v>
      </c>
      <c r="C3260">
        <f t="shared" si="255"/>
        <v>12</v>
      </c>
      <c r="D3260" t="str">
        <f t="shared" si="256"/>
        <v>December</v>
      </c>
      <c r="E3260">
        <f t="shared" si="257"/>
        <v>2025</v>
      </c>
      <c r="F3260" t="str">
        <f>CONCATENATE(calendar[[#This Row],[Month]],"/",calendar[[#This Row],[Year]])</f>
        <v>12/2025</v>
      </c>
      <c r="G3260">
        <f>WEEKDAY(calendar[[#This Row],[Date]],1)</f>
        <v>4</v>
      </c>
      <c r="H3260" t="str">
        <f>TEXT(calendar[[#This Row],[WeekDay]],"dddd")</f>
        <v>Wednesday</v>
      </c>
      <c r="I3260">
        <f>IF((INT(calendar[[#This Row],[Count]]/7)-calendar[[#This Row],[Count]]/7)&lt;0,I3259,I3259+1)</f>
        <v>466</v>
      </c>
      <c r="J3260">
        <f t="shared" si="254"/>
        <v>3258</v>
      </c>
      <c r="K3260">
        <f>IF(calendar[[#This Row],[Month]]&lt;4,1,IF(calendar[[#This Row],[Month]]&lt;7,2,IF(calendar[[#This Row],[Month]]&lt;10,3,4)))</f>
        <v>4</v>
      </c>
      <c r="L3260">
        <f>IFERROR(IF(VLOOKUP(calendar[[#This Row],[Date]],BH!A:A,1,)&lt;&gt;"",1,0),0)</f>
        <v>0</v>
      </c>
      <c r="M3260">
        <f>IFERROR(IF(VLOOKUP(calendar[[#This Row],[Date]],BH!C:C,1,)&lt;&gt;"",1,0),0)</f>
        <v>0</v>
      </c>
      <c r="N3260">
        <f>IFERROR(IF(VLOOKUP(calendar[[#This Row],[Date]],BH!E:E,1,)&lt;&gt;"",1,0),0)</f>
        <v>0</v>
      </c>
      <c r="O3260">
        <f>IFERROR(IF(VLOOKUP(calendar[[#This Row],[Date]],BH!G:G,1,)&lt;&gt;"",1,0),0)</f>
        <v>0</v>
      </c>
      <c r="P3260">
        <f>IF(OR(calendar[[#This Row],[UK_BH]]=1,calendar[[#This Row],[WeekDay]]=1, calendar[[#This Row],[WeekDay]]=7),P3259,P3259+1)</f>
        <v>2322</v>
      </c>
      <c r="Q3260">
        <f>IF(OR(calendar[[#This Row],[FR_BH]]=1,calendar[[#This Row],[WeekDay]]=1, calendar[[#This Row],[WeekDay]]=7),P3259,P3259+1)</f>
        <v>2322</v>
      </c>
      <c r="R3260">
        <f>IF(OR(calendar[[#This Row],[SP_BH]]=1,calendar[[#This Row],[WeekDay]]=1, calendar[[#This Row],[WeekDay]]=7),P3259,P3259+1)</f>
        <v>2322</v>
      </c>
      <c r="S3260">
        <f>IF(OR(calendar[[#This Row],[PT_BH]]=1,calendar[[#This Row],[WeekDay]]=1, calendar[[#This Row],[WeekDay]]=7),P3259,P3259+1)</f>
        <v>2322</v>
      </c>
    </row>
    <row r="3261" spans="1:19" x14ac:dyDescent="0.25">
      <c r="A3261" s="2">
        <v>45995</v>
      </c>
      <c r="B3261" s="1">
        <f t="shared" si="253"/>
        <v>49</v>
      </c>
      <c r="C3261">
        <f t="shared" si="255"/>
        <v>12</v>
      </c>
      <c r="D3261" t="str">
        <f t="shared" si="256"/>
        <v>December</v>
      </c>
      <c r="E3261">
        <f t="shared" si="257"/>
        <v>2025</v>
      </c>
      <c r="F3261" t="str">
        <f>CONCATENATE(calendar[[#This Row],[Month]],"/",calendar[[#This Row],[Year]])</f>
        <v>12/2025</v>
      </c>
      <c r="G3261">
        <f>WEEKDAY(calendar[[#This Row],[Date]],1)</f>
        <v>5</v>
      </c>
      <c r="H3261" t="str">
        <f>TEXT(calendar[[#This Row],[WeekDay]],"dddd")</f>
        <v>Thursday</v>
      </c>
      <c r="I3261">
        <f>IF((INT(calendar[[#This Row],[Count]]/7)-calendar[[#This Row],[Count]]/7)&lt;0,I3260,I3260+1)</f>
        <v>466</v>
      </c>
      <c r="J3261">
        <f t="shared" si="254"/>
        <v>3259</v>
      </c>
      <c r="K3261">
        <f>IF(calendar[[#This Row],[Month]]&lt;4,1,IF(calendar[[#This Row],[Month]]&lt;7,2,IF(calendar[[#This Row],[Month]]&lt;10,3,4)))</f>
        <v>4</v>
      </c>
      <c r="L3261">
        <f>IFERROR(IF(VLOOKUP(calendar[[#This Row],[Date]],BH!A:A,1,)&lt;&gt;"",1,0),0)</f>
        <v>0</v>
      </c>
      <c r="M3261">
        <f>IFERROR(IF(VLOOKUP(calendar[[#This Row],[Date]],BH!C:C,1,)&lt;&gt;"",1,0),0)</f>
        <v>0</v>
      </c>
      <c r="N3261">
        <f>IFERROR(IF(VLOOKUP(calendar[[#This Row],[Date]],BH!E:E,1,)&lt;&gt;"",1,0),0)</f>
        <v>0</v>
      </c>
      <c r="O3261">
        <f>IFERROR(IF(VLOOKUP(calendar[[#This Row],[Date]],BH!G:G,1,)&lt;&gt;"",1,0),0)</f>
        <v>0</v>
      </c>
      <c r="P3261">
        <f>IF(OR(calendar[[#This Row],[UK_BH]]=1,calendar[[#This Row],[WeekDay]]=1, calendar[[#This Row],[WeekDay]]=7),P3260,P3260+1)</f>
        <v>2323</v>
      </c>
      <c r="Q3261">
        <f>IF(OR(calendar[[#This Row],[FR_BH]]=1,calendar[[#This Row],[WeekDay]]=1, calendar[[#This Row],[WeekDay]]=7),P3260,P3260+1)</f>
        <v>2323</v>
      </c>
      <c r="R3261">
        <f>IF(OR(calendar[[#This Row],[SP_BH]]=1,calendar[[#This Row],[WeekDay]]=1, calendar[[#This Row],[WeekDay]]=7),P3260,P3260+1)</f>
        <v>2323</v>
      </c>
      <c r="S3261">
        <f>IF(OR(calendar[[#This Row],[PT_BH]]=1,calendar[[#This Row],[WeekDay]]=1, calendar[[#This Row],[WeekDay]]=7),P3260,P3260+1)</f>
        <v>2323</v>
      </c>
    </row>
    <row r="3262" spans="1:19" x14ac:dyDescent="0.25">
      <c r="A3262" s="2">
        <v>45996</v>
      </c>
      <c r="B3262" s="1">
        <f t="shared" si="253"/>
        <v>49</v>
      </c>
      <c r="C3262">
        <f t="shared" si="255"/>
        <v>12</v>
      </c>
      <c r="D3262" t="str">
        <f t="shared" si="256"/>
        <v>December</v>
      </c>
      <c r="E3262">
        <f t="shared" si="257"/>
        <v>2025</v>
      </c>
      <c r="F3262" t="str">
        <f>CONCATENATE(calendar[[#This Row],[Month]],"/",calendar[[#This Row],[Year]])</f>
        <v>12/2025</v>
      </c>
      <c r="G3262">
        <f>WEEKDAY(calendar[[#This Row],[Date]],1)</f>
        <v>6</v>
      </c>
      <c r="H3262" t="str">
        <f>TEXT(calendar[[#This Row],[WeekDay]],"dddd")</f>
        <v>Friday</v>
      </c>
      <c r="I3262">
        <f>IF((INT(calendar[[#This Row],[Count]]/7)-calendar[[#This Row],[Count]]/7)&lt;0,I3261,I3261+1)</f>
        <v>466</v>
      </c>
      <c r="J3262">
        <f t="shared" si="254"/>
        <v>3260</v>
      </c>
      <c r="K3262">
        <f>IF(calendar[[#This Row],[Month]]&lt;4,1,IF(calendar[[#This Row],[Month]]&lt;7,2,IF(calendar[[#This Row],[Month]]&lt;10,3,4)))</f>
        <v>4</v>
      </c>
      <c r="L3262">
        <f>IFERROR(IF(VLOOKUP(calendar[[#This Row],[Date]],BH!A:A,1,)&lt;&gt;"",1,0),0)</f>
        <v>0</v>
      </c>
      <c r="M3262">
        <f>IFERROR(IF(VLOOKUP(calendar[[#This Row],[Date]],BH!C:C,1,)&lt;&gt;"",1,0),0)</f>
        <v>0</v>
      </c>
      <c r="N3262">
        <f>IFERROR(IF(VLOOKUP(calendar[[#This Row],[Date]],BH!E:E,1,)&lt;&gt;"",1,0),0)</f>
        <v>0</v>
      </c>
      <c r="O3262">
        <f>IFERROR(IF(VLOOKUP(calendar[[#This Row],[Date]],BH!G:G,1,)&lt;&gt;"",1,0),0)</f>
        <v>0</v>
      </c>
      <c r="P3262">
        <f>IF(OR(calendar[[#This Row],[UK_BH]]=1,calendar[[#This Row],[WeekDay]]=1, calendar[[#This Row],[WeekDay]]=7),P3261,P3261+1)</f>
        <v>2324</v>
      </c>
      <c r="Q3262">
        <f>IF(OR(calendar[[#This Row],[FR_BH]]=1,calendar[[#This Row],[WeekDay]]=1, calendar[[#This Row],[WeekDay]]=7),P3261,P3261+1)</f>
        <v>2324</v>
      </c>
      <c r="R3262">
        <f>IF(OR(calendar[[#This Row],[SP_BH]]=1,calendar[[#This Row],[WeekDay]]=1, calendar[[#This Row],[WeekDay]]=7),P3261,P3261+1)</f>
        <v>2324</v>
      </c>
      <c r="S3262">
        <f>IF(OR(calendar[[#This Row],[PT_BH]]=1,calendar[[#This Row],[WeekDay]]=1, calendar[[#This Row],[WeekDay]]=7),P3261,P3261+1)</f>
        <v>2324</v>
      </c>
    </row>
    <row r="3263" spans="1:19" x14ac:dyDescent="0.25">
      <c r="A3263" s="2">
        <v>45997</v>
      </c>
      <c r="B3263" s="1">
        <f t="shared" si="253"/>
        <v>49</v>
      </c>
      <c r="C3263">
        <f t="shared" si="255"/>
        <v>12</v>
      </c>
      <c r="D3263" t="str">
        <f t="shared" si="256"/>
        <v>December</v>
      </c>
      <c r="E3263">
        <f t="shared" si="257"/>
        <v>2025</v>
      </c>
      <c r="F3263" t="str">
        <f>CONCATENATE(calendar[[#This Row],[Month]],"/",calendar[[#This Row],[Year]])</f>
        <v>12/2025</v>
      </c>
      <c r="G3263">
        <f>WEEKDAY(calendar[[#This Row],[Date]],1)</f>
        <v>7</v>
      </c>
      <c r="H3263" t="str">
        <f>TEXT(calendar[[#This Row],[WeekDay]],"dddd")</f>
        <v>Saturday</v>
      </c>
      <c r="I3263">
        <f>IF((INT(calendar[[#This Row],[Count]]/7)-calendar[[#This Row],[Count]]/7)&lt;0,I3262,I3262+1)</f>
        <v>466</v>
      </c>
      <c r="J3263">
        <f t="shared" si="254"/>
        <v>3261</v>
      </c>
      <c r="K3263">
        <f>IF(calendar[[#This Row],[Month]]&lt;4,1,IF(calendar[[#This Row],[Month]]&lt;7,2,IF(calendar[[#This Row],[Month]]&lt;10,3,4)))</f>
        <v>4</v>
      </c>
      <c r="L3263">
        <f>IFERROR(IF(VLOOKUP(calendar[[#This Row],[Date]],BH!A:A,1,)&lt;&gt;"",1,0),0)</f>
        <v>0</v>
      </c>
      <c r="M3263">
        <f>IFERROR(IF(VLOOKUP(calendar[[#This Row],[Date]],BH!C:C,1,)&lt;&gt;"",1,0),0)</f>
        <v>0</v>
      </c>
      <c r="N3263">
        <f>IFERROR(IF(VLOOKUP(calendar[[#This Row],[Date]],BH!E:E,1,)&lt;&gt;"",1,0),0)</f>
        <v>1</v>
      </c>
      <c r="O3263">
        <f>IFERROR(IF(VLOOKUP(calendar[[#This Row],[Date]],BH!G:G,1,)&lt;&gt;"",1,0),0)</f>
        <v>0</v>
      </c>
      <c r="P3263">
        <f>IF(OR(calendar[[#This Row],[UK_BH]]=1,calendar[[#This Row],[WeekDay]]=1, calendar[[#This Row],[WeekDay]]=7),P3262,P3262+1)</f>
        <v>2324</v>
      </c>
      <c r="Q3263">
        <f>IF(OR(calendar[[#This Row],[FR_BH]]=1,calendar[[#This Row],[WeekDay]]=1, calendar[[#This Row],[WeekDay]]=7),P3262,P3262+1)</f>
        <v>2324</v>
      </c>
      <c r="R3263">
        <f>IF(OR(calendar[[#This Row],[SP_BH]]=1,calendar[[#This Row],[WeekDay]]=1, calendar[[#This Row],[WeekDay]]=7),P3262,P3262+1)</f>
        <v>2324</v>
      </c>
      <c r="S3263">
        <f>IF(OR(calendar[[#This Row],[PT_BH]]=1,calendar[[#This Row],[WeekDay]]=1, calendar[[#This Row],[WeekDay]]=7),P3262,P3262+1)</f>
        <v>2324</v>
      </c>
    </row>
    <row r="3264" spans="1:19" x14ac:dyDescent="0.25">
      <c r="A3264" s="2">
        <v>45998</v>
      </c>
      <c r="B3264" s="1">
        <f t="shared" si="253"/>
        <v>50</v>
      </c>
      <c r="C3264">
        <f t="shared" si="255"/>
        <v>12</v>
      </c>
      <c r="D3264" t="str">
        <f t="shared" si="256"/>
        <v>December</v>
      </c>
      <c r="E3264">
        <f t="shared" si="257"/>
        <v>2025</v>
      </c>
      <c r="F3264" t="str">
        <f>CONCATENATE(calendar[[#This Row],[Month]],"/",calendar[[#This Row],[Year]])</f>
        <v>12/2025</v>
      </c>
      <c r="G3264">
        <f>WEEKDAY(calendar[[#This Row],[Date]],1)</f>
        <v>1</v>
      </c>
      <c r="H3264" t="str">
        <f>TEXT(calendar[[#This Row],[WeekDay]],"dddd")</f>
        <v>Sunday</v>
      </c>
      <c r="I3264">
        <f>IF((INT(calendar[[#This Row],[Count]]/7)-calendar[[#This Row],[Count]]/7)&lt;0,I3263,I3263+1)</f>
        <v>467</v>
      </c>
      <c r="J3264">
        <f t="shared" si="254"/>
        <v>3262</v>
      </c>
      <c r="K3264">
        <f>IF(calendar[[#This Row],[Month]]&lt;4,1,IF(calendar[[#This Row],[Month]]&lt;7,2,IF(calendar[[#This Row],[Month]]&lt;10,3,4)))</f>
        <v>4</v>
      </c>
      <c r="L3264">
        <f>IFERROR(IF(VLOOKUP(calendar[[#This Row],[Date]],BH!A:A,1,)&lt;&gt;"",1,0),0)</f>
        <v>0</v>
      </c>
      <c r="M3264">
        <f>IFERROR(IF(VLOOKUP(calendar[[#This Row],[Date]],BH!C:C,1,)&lt;&gt;"",1,0),0)</f>
        <v>0</v>
      </c>
      <c r="N3264">
        <f>IFERROR(IF(VLOOKUP(calendar[[#This Row],[Date]],BH!E:E,1,)&lt;&gt;"",1,0),0)</f>
        <v>0</v>
      </c>
      <c r="O3264">
        <f>IFERROR(IF(VLOOKUP(calendar[[#This Row],[Date]],BH!G:G,1,)&lt;&gt;"",1,0),0)</f>
        <v>0</v>
      </c>
      <c r="P3264">
        <f>IF(OR(calendar[[#This Row],[UK_BH]]=1,calendar[[#This Row],[WeekDay]]=1, calendar[[#This Row],[WeekDay]]=7),P3263,P3263+1)</f>
        <v>2324</v>
      </c>
      <c r="Q3264">
        <f>IF(OR(calendar[[#This Row],[FR_BH]]=1,calendar[[#This Row],[WeekDay]]=1, calendar[[#This Row],[WeekDay]]=7),P3263,P3263+1)</f>
        <v>2324</v>
      </c>
      <c r="R3264">
        <f>IF(OR(calendar[[#This Row],[SP_BH]]=1,calendar[[#This Row],[WeekDay]]=1, calendar[[#This Row],[WeekDay]]=7),P3263,P3263+1)</f>
        <v>2324</v>
      </c>
      <c r="S3264">
        <f>IF(OR(calendar[[#This Row],[PT_BH]]=1,calendar[[#This Row],[WeekDay]]=1, calendar[[#This Row],[WeekDay]]=7),P3263,P3263+1)</f>
        <v>2324</v>
      </c>
    </row>
    <row r="3265" spans="1:19" x14ac:dyDescent="0.25">
      <c r="A3265" s="2">
        <v>45999</v>
      </c>
      <c r="B3265" s="1">
        <f t="shared" si="253"/>
        <v>50</v>
      </c>
      <c r="C3265">
        <f t="shared" si="255"/>
        <v>12</v>
      </c>
      <c r="D3265" t="str">
        <f t="shared" si="256"/>
        <v>December</v>
      </c>
      <c r="E3265">
        <f t="shared" si="257"/>
        <v>2025</v>
      </c>
      <c r="F3265" t="str">
        <f>CONCATENATE(calendar[[#This Row],[Month]],"/",calendar[[#This Row],[Year]])</f>
        <v>12/2025</v>
      </c>
      <c r="G3265">
        <f>WEEKDAY(calendar[[#This Row],[Date]],1)</f>
        <v>2</v>
      </c>
      <c r="H3265" t="str">
        <f>TEXT(calendar[[#This Row],[WeekDay]],"dddd")</f>
        <v>Monday</v>
      </c>
      <c r="I3265">
        <f>IF((INT(calendar[[#This Row],[Count]]/7)-calendar[[#This Row],[Count]]/7)&lt;0,I3264,I3264+1)</f>
        <v>467</v>
      </c>
      <c r="J3265">
        <f t="shared" si="254"/>
        <v>3263</v>
      </c>
      <c r="K3265">
        <f>IF(calendar[[#This Row],[Month]]&lt;4,1,IF(calendar[[#This Row],[Month]]&lt;7,2,IF(calendar[[#This Row],[Month]]&lt;10,3,4)))</f>
        <v>4</v>
      </c>
      <c r="L3265">
        <f>IFERROR(IF(VLOOKUP(calendar[[#This Row],[Date]],BH!A:A,1,)&lt;&gt;"",1,0),0)</f>
        <v>0</v>
      </c>
      <c r="M3265">
        <f>IFERROR(IF(VLOOKUP(calendar[[#This Row],[Date]],BH!C:C,1,)&lt;&gt;"",1,0),0)</f>
        <v>0</v>
      </c>
      <c r="N3265">
        <f>IFERROR(IF(VLOOKUP(calendar[[#This Row],[Date]],BH!E:E,1,)&lt;&gt;"",1,0),0)</f>
        <v>1</v>
      </c>
      <c r="O3265">
        <f>IFERROR(IF(VLOOKUP(calendar[[#This Row],[Date]],BH!G:G,1,)&lt;&gt;"",1,0),0)</f>
        <v>1</v>
      </c>
      <c r="P3265">
        <f>IF(OR(calendar[[#This Row],[UK_BH]]=1,calendar[[#This Row],[WeekDay]]=1, calendar[[#This Row],[WeekDay]]=7),P3264,P3264+1)</f>
        <v>2325</v>
      </c>
      <c r="Q3265">
        <f>IF(OR(calendar[[#This Row],[FR_BH]]=1,calendar[[#This Row],[WeekDay]]=1, calendar[[#This Row],[WeekDay]]=7),P3264,P3264+1)</f>
        <v>2325</v>
      </c>
      <c r="R3265">
        <f>IF(OR(calendar[[#This Row],[SP_BH]]=1,calendar[[#This Row],[WeekDay]]=1, calendar[[#This Row],[WeekDay]]=7),P3264,P3264+1)</f>
        <v>2324</v>
      </c>
      <c r="S3265">
        <f>IF(OR(calendar[[#This Row],[PT_BH]]=1,calendar[[#This Row],[WeekDay]]=1, calendar[[#This Row],[WeekDay]]=7),P3264,P3264+1)</f>
        <v>2324</v>
      </c>
    </row>
    <row r="3266" spans="1:19" x14ac:dyDescent="0.25">
      <c r="A3266" s="2">
        <v>46000</v>
      </c>
      <c r="B3266" s="1">
        <f t="shared" ref="B3266:B3329" si="258">WEEKNUM(A3266)</f>
        <v>50</v>
      </c>
      <c r="C3266">
        <f t="shared" si="255"/>
        <v>12</v>
      </c>
      <c r="D3266" t="str">
        <f t="shared" si="256"/>
        <v>December</v>
      </c>
      <c r="E3266">
        <f t="shared" si="257"/>
        <v>2025</v>
      </c>
      <c r="F3266" t="str">
        <f>CONCATENATE(calendar[[#This Row],[Month]],"/",calendar[[#This Row],[Year]])</f>
        <v>12/2025</v>
      </c>
      <c r="G3266">
        <f>WEEKDAY(calendar[[#This Row],[Date]],1)</f>
        <v>3</v>
      </c>
      <c r="H3266" t="str">
        <f>TEXT(calendar[[#This Row],[WeekDay]],"dddd")</f>
        <v>Tuesday</v>
      </c>
      <c r="I3266">
        <f>IF((INT(calendar[[#This Row],[Count]]/7)-calendar[[#This Row],[Count]]/7)&lt;0,I3265,I3265+1)</f>
        <v>467</v>
      </c>
      <c r="J3266">
        <f t="shared" si="254"/>
        <v>3264</v>
      </c>
      <c r="K3266">
        <f>IF(calendar[[#This Row],[Month]]&lt;4,1,IF(calendar[[#This Row],[Month]]&lt;7,2,IF(calendar[[#This Row],[Month]]&lt;10,3,4)))</f>
        <v>4</v>
      </c>
      <c r="L3266">
        <f>IFERROR(IF(VLOOKUP(calendar[[#This Row],[Date]],BH!A:A,1,)&lt;&gt;"",1,0),0)</f>
        <v>0</v>
      </c>
      <c r="M3266">
        <f>IFERROR(IF(VLOOKUP(calendar[[#This Row],[Date]],BH!C:C,1,)&lt;&gt;"",1,0),0)</f>
        <v>0</v>
      </c>
      <c r="N3266">
        <f>IFERROR(IF(VLOOKUP(calendar[[#This Row],[Date]],BH!E:E,1,)&lt;&gt;"",1,0),0)</f>
        <v>0</v>
      </c>
      <c r="O3266">
        <f>IFERROR(IF(VLOOKUP(calendar[[#This Row],[Date]],BH!G:G,1,)&lt;&gt;"",1,0),0)</f>
        <v>0</v>
      </c>
      <c r="P3266">
        <f>IF(OR(calendar[[#This Row],[UK_BH]]=1,calendar[[#This Row],[WeekDay]]=1, calendar[[#This Row],[WeekDay]]=7),P3265,P3265+1)</f>
        <v>2326</v>
      </c>
      <c r="Q3266">
        <f>IF(OR(calendar[[#This Row],[FR_BH]]=1,calendar[[#This Row],[WeekDay]]=1, calendar[[#This Row],[WeekDay]]=7),P3265,P3265+1)</f>
        <v>2326</v>
      </c>
      <c r="R3266">
        <f>IF(OR(calendar[[#This Row],[SP_BH]]=1,calendar[[#This Row],[WeekDay]]=1, calendar[[#This Row],[WeekDay]]=7),P3265,P3265+1)</f>
        <v>2326</v>
      </c>
      <c r="S3266">
        <f>IF(OR(calendar[[#This Row],[PT_BH]]=1,calendar[[#This Row],[WeekDay]]=1, calendar[[#This Row],[WeekDay]]=7),P3265,P3265+1)</f>
        <v>2326</v>
      </c>
    </row>
    <row r="3267" spans="1:19" x14ac:dyDescent="0.25">
      <c r="A3267" s="2">
        <v>46001</v>
      </c>
      <c r="B3267" s="1">
        <f t="shared" si="258"/>
        <v>50</v>
      </c>
      <c r="C3267">
        <f t="shared" si="255"/>
        <v>12</v>
      </c>
      <c r="D3267" t="str">
        <f t="shared" si="256"/>
        <v>December</v>
      </c>
      <c r="E3267">
        <f t="shared" si="257"/>
        <v>2025</v>
      </c>
      <c r="F3267" t="str">
        <f>CONCATENATE(calendar[[#This Row],[Month]],"/",calendar[[#This Row],[Year]])</f>
        <v>12/2025</v>
      </c>
      <c r="G3267">
        <f>WEEKDAY(calendar[[#This Row],[Date]],1)</f>
        <v>4</v>
      </c>
      <c r="H3267" t="str">
        <f>TEXT(calendar[[#This Row],[WeekDay]],"dddd")</f>
        <v>Wednesday</v>
      </c>
      <c r="I3267">
        <f>IF((INT(calendar[[#This Row],[Count]]/7)-calendar[[#This Row],[Count]]/7)&lt;0,I3266,I3266+1)</f>
        <v>467</v>
      </c>
      <c r="J3267">
        <f t="shared" ref="J3267:J3330" si="259">J3266+1</f>
        <v>3265</v>
      </c>
      <c r="K3267">
        <f>IF(calendar[[#This Row],[Month]]&lt;4,1,IF(calendar[[#This Row],[Month]]&lt;7,2,IF(calendar[[#This Row],[Month]]&lt;10,3,4)))</f>
        <v>4</v>
      </c>
      <c r="L3267">
        <f>IFERROR(IF(VLOOKUP(calendar[[#This Row],[Date]],BH!A:A,1,)&lt;&gt;"",1,0),0)</f>
        <v>0</v>
      </c>
      <c r="M3267">
        <f>IFERROR(IF(VLOOKUP(calendar[[#This Row],[Date]],BH!C:C,1,)&lt;&gt;"",1,0),0)</f>
        <v>0</v>
      </c>
      <c r="N3267">
        <f>IFERROR(IF(VLOOKUP(calendar[[#This Row],[Date]],BH!E:E,1,)&lt;&gt;"",1,0),0)</f>
        <v>0</v>
      </c>
      <c r="O3267">
        <f>IFERROR(IF(VLOOKUP(calendar[[#This Row],[Date]],BH!G:G,1,)&lt;&gt;"",1,0),0)</f>
        <v>0</v>
      </c>
      <c r="P3267">
        <f>IF(OR(calendar[[#This Row],[UK_BH]]=1,calendar[[#This Row],[WeekDay]]=1, calendar[[#This Row],[WeekDay]]=7),P3266,P3266+1)</f>
        <v>2327</v>
      </c>
      <c r="Q3267">
        <f>IF(OR(calendar[[#This Row],[FR_BH]]=1,calendar[[#This Row],[WeekDay]]=1, calendar[[#This Row],[WeekDay]]=7),P3266,P3266+1)</f>
        <v>2327</v>
      </c>
      <c r="R3267">
        <f>IF(OR(calendar[[#This Row],[SP_BH]]=1,calendar[[#This Row],[WeekDay]]=1, calendar[[#This Row],[WeekDay]]=7),P3266,P3266+1)</f>
        <v>2327</v>
      </c>
      <c r="S3267">
        <f>IF(OR(calendar[[#This Row],[PT_BH]]=1,calendar[[#This Row],[WeekDay]]=1, calendar[[#This Row],[WeekDay]]=7),P3266,P3266+1)</f>
        <v>2327</v>
      </c>
    </row>
    <row r="3268" spans="1:19" x14ac:dyDescent="0.25">
      <c r="A3268" s="2">
        <v>46002</v>
      </c>
      <c r="B3268" s="1">
        <f t="shared" si="258"/>
        <v>50</v>
      </c>
      <c r="C3268">
        <f t="shared" si="255"/>
        <v>12</v>
      </c>
      <c r="D3268" t="str">
        <f t="shared" si="256"/>
        <v>December</v>
      </c>
      <c r="E3268">
        <f t="shared" si="257"/>
        <v>2025</v>
      </c>
      <c r="F3268" t="str">
        <f>CONCATENATE(calendar[[#This Row],[Month]],"/",calendar[[#This Row],[Year]])</f>
        <v>12/2025</v>
      </c>
      <c r="G3268">
        <f>WEEKDAY(calendar[[#This Row],[Date]],1)</f>
        <v>5</v>
      </c>
      <c r="H3268" t="str">
        <f>TEXT(calendar[[#This Row],[WeekDay]],"dddd")</f>
        <v>Thursday</v>
      </c>
      <c r="I3268">
        <f>IF((INT(calendar[[#This Row],[Count]]/7)-calendar[[#This Row],[Count]]/7)&lt;0,I3267,I3267+1)</f>
        <v>467</v>
      </c>
      <c r="J3268">
        <f t="shared" si="259"/>
        <v>3266</v>
      </c>
      <c r="K3268">
        <f>IF(calendar[[#This Row],[Month]]&lt;4,1,IF(calendar[[#This Row],[Month]]&lt;7,2,IF(calendar[[#This Row],[Month]]&lt;10,3,4)))</f>
        <v>4</v>
      </c>
      <c r="L3268">
        <f>IFERROR(IF(VLOOKUP(calendar[[#This Row],[Date]],BH!A:A,1,)&lt;&gt;"",1,0),0)</f>
        <v>0</v>
      </c>
      <c r="M3268">
        <f>IFERROR(IF(VLOOKUP(calendar[[#This Row],[Date]],BH!C:C,1,)&lt;&gt;"",1,0),0)</f>
        <v>0</v>
      </c>
      <c r="N3268">
        <f>IFERROR(IF(VLOOKUP(calendar[[#This Row],[Date]],BH!E:E,1,)&lt;&gt;"",1,0),0)</f>
        <v>0</v>
      </c>
      <c r="O3268">
        <f>IFERROR(IF(VLOOKUP(calendar[[#This Row],[Date]],BH!G:G,1,)&lt;&gt;"",1,0),0)</f>
        <v>0</v>
      </c>
      <c r="P3268">
        <f>IF(OR(calendar[[#This Row],[UK_BH]]=1,calendar[[#This Row],[WeekDay]]=1, calendar[[#This Row],[WeekDay]]=7),P3267,P3267+1)</f>
        <v>2328</v>
      </c>
      <c r="Q3268">
        <f>IF(OR(calendar[[#This Row],[FR_BH]]=1,calendar[[#This Row],[WeekDay]]=1, calendar[[#This Row],[WeekDay]]=7),P3267,P3267+1)</f>
        <v>2328</v>
      </c>
      <c r="R3268">
        <f>IF(OR(calendar[[#This Row],[SP_BH]]=1,calendar[[#This Row],[WeekDay]]=1, calendar[[#This Row],[WeekDay]]=7),P3267,P3267+1)</f>
        <v>2328</v>
      </c>
      <c r="S3268">
        <f>IF(OR(calendar[[#This Row],[PT_BH]]=1,calendar[[#This Row],[WeekDay]]=1, calendar[[#This Row],[WeekDay]]=7),P3267,P3267+1)</f>
        <v>2328</v>
      </c>
    </row>
    <row r="3269" spans="1:19" x14ac:dyDescent="0.25">
      <c r="A3269" s="2">
        <v>46003</v>
      </c>
      <c r="B3269" s="1">
        <f t="shared" si="258"/>
        <v>50</v>
      </c>
      <c r="C3269">
        <f t="shared" si="255"/>
        <v>12</v>
      </c>
      <c r="D3269" t="str">
        <f t="shared" si="256"/>
        <v>December</v>
      </c>
      <c r="E3269">
        <f t="shared" si="257"/>
        <v>2025</v>
      </c>
      <c r="F3269" t="str">
        <f>CONCATENATE(calendar[[#This Row],[Month]],"/",calendar[[#This Row],[Year]])</f>
        <v>12/2025</v>
      </c>
      <c r="G3269">
        <f>WEEKDAY(calendar[[#This Row],[Date]],1)</f>
        <v>6</v>
      </c>
      <c r="H3269" t="str">
        <f>TEXT(calendar[[#This Row],[WeekDay]],"dddd")</f>
        <v>Friday</v>
      </c>
      <c r="I3269">
        <f>IF((INT(calendar[[#This Row],[Count]]/7)-calendar[[#This Row],[Count]]/7)&lt;0,I3268,I3268+1)</f>
        <v>467</v>
      </c>
      <c r="J3269">
        <f t="shared" si="259"/>
        <v>3267</v>
      </c>
      <c r="K3269">
        <f>IF(calendar[[#This Row],[Month]]&lt;4,1,IF(calendar[[#This Row],[Month]]&lt;7,2,IF(calendar[[#This Row],[Month]]&lt;10,3,4)))</f>
        <v>4</v>
      </c>
      <c r="L3269">
        <f>IFERROR(IF(VLOOKUP(calendar[[#This Row],[Date]],BH!A:A,1,)&lt;&gt;"",1,0),0)</f>
        <v>0</v>
      </c>
      <c r="M3269">
        <f>IFERROR(IF(VLOOKUP(calendar[[#This Row],[Date]],BH!C:C,1,)&lt;&gt;"",1,0),0)</f>
        <v>0</v>
      </c>
      <c r="N3269">
        <f>IFERROR(IF(VLOOKUP(calendar[[#This Row],[Date]],BH!E:E,1,)&lt;&gt;"",1,0),0)</f>
        <v>0</v>
      </c>
      <c r="O3269">
        <f>IFERROR(IF(VLOOKUP(calendar[[#This Row],[Date]],BH!G:G,1,)&lt;&gt;"",1,0),0)</f>
        <v>0</v>
      </c>
      <c r="P3269">
        <f>IF(OR(calendar[[#This Row],[UK_BH]]=1,calendar[[#This Row],[WeekDay]]=1, calendar[[#This Row],[WeekDay]]=7),P3268,P3268+1)</f>
        <v>2329</v>
      </c>
      <c r="Q3269">
        <f>IF(OR(calendar[[#This Row],[FR_BH]]=1,calendar[[#This Row],[WeekDay]]=1, calendar[[#This Row],[WeekDay]]=7),P3268,P3268+1)</f>
        <v>2329</v>
      </c>
      <c r="R3269">
        <f>IF(OR(calendar[[#This Row],[SP_BH]]=1,calendar[[#This Row],[WeekDay]]=1, calendar[[#This Row],[WeekDay]]=7),P3268,P3268+1)</f>
        <v>2329</v>
      </c>
      <c r="S3269">
        <f>IF(OR(calendar[[#This Row],[PT_BH]]=1,calendar[[#This Row],[WeekDay]]=1, calendar[[#This Row],[WeekDay]]=7),P3268,P3268+1)</f>
        <v>2329</v>
      </c>
    </row>
    <row r="3270" spans="1:19" x14ac:dyDescent="0.25">
      <c r="A3270" s="2">
        <v>46004</v>
      </c>
      <c r="B3270" s="1">
        <f t="shared" si="258"/>
        <v>50</v>
      </c>
      <c r="C3270">
        <f t="shared" si="255"/>
        <v>12</v>
      </c>
      <c r="D3270" t="str">
        <f t="shared" si="256"/>
        <v>December</v>
      </c>
      <c r="E3270">
        <f t="shared" si="257"/>
        <v>2025</v>
      </c>
      <c r="F3270" t="str">
        <f>CONCATENATE(calendar[[#This Row],[Month]],"/",calendar[[#This Row],[Year]])</f>
        <v>12/2025</v>
      </c>
      <c r="G3270">
        <f>WEEKDAY(calendar[[#This Row],[Date]],1)</f>
        <v>7</v>
      </c>
      <c r="H3270" t="str">
        <f>TEXT(calendar[[#This Row],[WeekDay]],"dddd")</f>
        <v>Saturday</v>
      </c>
      <c r="I3270">
        <f>IF((INT(calendar[[#This Row],[Count]]/7)-calendar[[#This Row],[Count]]/7)&lt;0,I3269,I3269+1)</f>
        <v>467</v>
      </c>
      <c r="J3270">
        <f t="shared" si="259"/>
        <v>3268</v>
      </c>
      <c r="K3270">
        <f>IF(calendar[[#This Row],[Month]]&lt;4,1,IF(calendar[[#This Row],[Month]]&lt;7,2,IF(calendar[[#This Row],[Month]]&lt;10,3,4)))</f>
        <v>4</v>
      </c>
      <c r="L3270">
        <f>IFERROR(IF(VLOOKUP(calendar[[#This Row],[Date]],BH!A:A,1,)&lt;&gt;"",1,0),0)</f>
        <v>0</v>
      </c>
      <c r="M3270">
        <f>IFERROR(IF(VLOOKUP(calendar[[#This Row],[Date]],BH!C:C,1,)&lt;&gt;"",1,0),0)</f>
        <v>0</v>
      </c>
      <c r="N3270">
        <f>IFERROR(IF(VLOOKUP(calendar[[#This Row],[Date]],BH!E:E,1,)&lt;&gt;"",1,0),0)</f>
        <v>0</v>
      </c>
      <c r="O3270">
        <f>IFERROR(IF(VLOOKUP(calendar[[#This Row],[Date]],BH!G:G,1,)&lt;&gt;"",1,0),0)</f>
        <v>0</v>
      </c>
      <c r="P3270">
        <f>IF(OR(calendar[[#This Row],[UK_BH]]=1,calendar[[#This Row],[WeekDay]]=1, calendar[[#This Row],[WeekDay]]=7),P3269,P3269+1)</f>
        <v>2329</v>
      </c>
      <c r="Q3270">
        <f>IF(OR(calendar[[#This Row],[FR_BH]]=1,calendar[[#This Row],[WeekDay]]=1, calendar[[#This Row],[WeekDay]]=7),P3269,P3269+1)</f>
        <v>2329</v>
      </c>
      <c r="R3270">
        <f>IF(OR(calendar[[#This Row],[SP_BH]]=1,calendar[[#This Row],[WeekDay]]=1, calendar[[#This Row],[WeekDay]]=7),P3269,P3269+1)</f>
        <v>2329</v>
      </c>
      <c r="S3270">
        <f>IF(OR(calendar[[#This Row],[PT_BH]]=1,calendar[[#This Row],[WeekDay]]=1, calendar[[#This Row],[WeekDay]]=7),P3269,P3269+1)</f>
        <v>2329</v>
      </c>
    </row>
    <row r="3271" spans="1:19" x14ac:dyDescent="0.25">
      <c r="A3271" s="2">
        <v>46005</v>
      </c>
      <c r="B3271" s="1">
        <f t="shared" si="258"/>
        <v>51</v>
      </c>
      <c r="C3271">
        <f t="shared" si="255"/>
        <v>12</v>
      </c>
      <c r="D3271" t="str">
        <f t="shared" si="256"/>
        <v>December</v>
      </c>
      <c r="E3271">
        <f t="shared" si="257"/>
        <v>2025</v>
      </c>
      <c r="F3271" t="str">
        <f>CONCATENATE(calendar[[#This Row],[Month]],"/",calendar[[#This Row],[Year]])</f>
        <v>12/2025</v>
      </c>
      <c r="G3271">
        <f>WEEKDAY(calendar[[#This Row],[Date]],1)</f>
        <v>1</v>
      </c>
      <c r="H3271" t="str">
        <f>TEXT(calendar[[#This Row],[WeekDay]],"dddd")</f>
        <v>Sunday</v>
      </c>
      <c r="I3271">
        <f>IF((INT(calendar[[#This Row],[Count]]/7)-calendar[[#This Row],[Count]]/7)&lt;0,I3270,I3270+1)</f>
        <v>468</v>
      </c>
      <c r="J3271">
        <f t="shared" si="259"/>
        <v>3269</v>
      </c>
      <c r="K3271">
        <f>IF(calendar[[#This Row],[Month]]&lt;4,1,IF(calendar[[#This Row],[Month]]&lt;7,2,IF(calendar[[#This Row],[Month]]&lt;10,3,4)))</f>
        <v>4</v>
      </c>
      <c r="L3271">
        <f>IFERROR(IF(VLOOKUP(calendar[[#This Row],[Date]],BH!A:A,1,)&lt;&gt;"",1,0),0)</f>
        <v>0</v>
      </c>
      <c r="M3271">
        <f>IFERROR(IF(VLOOKUP(calendar[[#This Row],[Date]],BH!C:C,1,)&lt;&gt;"",1,0),0)</f>
        <v>0</v>
      </c>
      <c r="N3271">
        <f>IFERROR(IF(VLOOKUP(calendar[[#This Row],[Date]],BH!E:E,1,)&lt;&gt;"",1,0),0)</f>
        <v>0</v>
      </c>
      <c r="O3271">
        <f>IFERROR(IF(VLOOKUP(calendar[[#This Row],[Date]],BH!G:G,1,)&lt;&gt;"",1,0),0)</f>
        <v>0</v>
      </c>
      <c r="P3271">
        <f>IF(OR(calendar[[#This Row],[UK_BH]]=1,calendar[[#This Row],[WeekDay]]=1, calendar[[#This Row],[WeekDay]]=7),P3270,P3270+1)</f>
        <v>2329</v>
      </c>
      <c r="Q3271">
        <f>IF(OR(calendar[[#This Row],[FR_BH]]=1,calendar[[#This Row],[WeekDay]]=1, calendar[[#This Row],[WeekDay]]=7),P3270,P3270+1)</f>
        <v>2329</v>
      </c>
      <c r="R3271">
        <f>IF(OR(calendar[[#This Row],[SP_BH]]=1,calendar[[#This Row],[WeekDay]]=1, calendar[[#This Row],[WeekDay]]=7),P3270,P3270+1)</f>
        <v>2329</v>
      </c>
      <c r="S3271">
        <f>IF(OR(calendar[[#This Row],[PT_BH]]=1,calendar[[#This Row],[WeekDay]]=1, calendar[[#This Row],[WeekDay]]=7),P3270,P3270+1)</f>
        <v>2329</v>
      </c>
    </row>
    <row r="3272" spans="1:19" x14ac:dyDescent="0.25">
      <c r="A3272" s="2">
        <v>46006</v>
      </c>
      <c r="B3272" s="1">
        <f t="shared" si="258"/>
        <v>51</v>
      </c>
      <c r="C3272">
        <f t="shared" si="255"/>
        <v>12</v>
      </c>
      <c r="D3272" t="str">
        <f t="shared" si="256"/>
        <v>December</v>
      </c>
      <c r="E3272">
        <f t="shared" si="257"/>
        <v>2025</v>
      </c>
      <c r="F3272" t="str">
        <f>CONCATENATE(calendar[[#This Row],[Month]],"/",calendar[[#This Row],[Year]])</f>
        <v>12/2025</v>
      </c>
      <c r="G3272">
        <f>WEEKDAY(calendar[[#This Row],[Date]],1)</f>
        <v>2</v>
      </c>
      <c r="H3272" t="str">
        <f>TEXT(calendar[[#This Row],[WeekDay]],"dddd")</f>
        <v>Monday</v>
      </c>
      <c r="I3272">
        <f>IF((INT(calendar[[#This Row],[Count]]/7)-calendar[[#This Row],[Count]]/7)&lt;0,I3271,I3271+1)</f>
        <v>468</v>
      </c>
      <c r="J3272">
        <f t="shared" si="259"/>
        <v>3270</v>
      </c>
      <c r="K3272">
        <f>IF(calendar[[#This Row],[Month]]&lt;4,1,IF(calendar[[#This Row],[Month]]&lt;7,2,IF(calendar[[#This Row],[Month]]&lt;10,3,4)))</f>
        <v>4</v>
      </c>
      <c r="L3272">
        <f>IFERROR(IF(VLOOKUP(calendar[[#This Row],[Date]],BH!A:A,1,)&lt;&gt;"",1,0),0)</f>
        <v>0</v>
      </c>
      <c r="M3272">
        <f>IFERROR(IF(VLOOKUP(calendar[[#This Row],[Date]],BH!C:C,1,)&lt;&gt;"",1,0),0)</f>
        <v>0</v>
      </c>
      <c r="N3272">
        <f>IFERROR(IF(VLOOKUP(calendar[[#This Row],[Date]],BH!E:E,1,)&lt;&gt;"",1,0),0)</f>
        <v>0</v>
      </c>
      <c r="O3272">
        <f>IFERROR(IF(VLOOKUP(calendar[[#This Row],[Date]],BH!G:G,1,)&lt;&gt;"",1,0),0)</f>
        <v>0</v>
      </c>
      <c r="P3272">
        <f>IF(OR(calendar[[#This Row],[UK_BH]]=1,calendar[[#This Row],[WeekDay]]=1, calendar[[#This Row],[WeekDay]]=7),P3271,P3271+1)</f>
        <v>2330</v>
      </c>
      <c r="Q3272">
        <f>IF(OR(calendar[[#This Row],[FR_BH]]=1,calendar[[#This Row],[WeekDay]]=1, calendar[[#This Row],[WeekDay]]=7),P3271,P3271+1)</f>
        <v>2330</v>
      </c>
      <c r="R3272">
        <f>IF(OR(calendar[[#This Row],[SP_BH]]=1,calendar[[#This Row],[WeekDay]]=1, calendar[[#This Row],[WeekDay]]=7),P3271,P3271+1)</f>
        <v>2330</v>
      </c>
      <c r="S3272">
        <f>IF(OR(calendar[[#This Row],[PT_BH]]=1,calendar[[#This Row],[WeekDay]]=1, calendar[[#This Row],[WeekDay]]=7),P3271,P3271+1)</f>
        <v>2330</v>
      </c>
    </row>
    <row r="3273" spans="1:19" x14ac:dyDescent="0.25">
      <c r="A3273" s="2">
        <v>46007</v>
      </c>
      <c r="B3273" s="1">
        <f t="shared" si="258"/>
        <v>51</v>
      </c>
      <c r="C3273">
        <f t="shared" si="255"/>
        <v>12</v>
      </c>
      <c r="D3273" t="str">
        <f t="shared" si="256"/>
        <v>December</v>
      </c>
      <c r="E3273">
        <f t="shared" si="257"/>
        <v>2025</v>
      </c>
      <c r="F3273" t="str">
        <f>CONCATENATE(calendar[[#This Row],[Month]],"/",calendar[[#This Row],[Year]])</f>
        <v>12/2025</v>
      </c>
      <c r="G3273">
        <f>WEEKDAY(calendar[[#This Row],[Date]],1)</f>
        <v>3</v>
      </c>
      <c r="H3273" t="str">
        <f>TEXT(calendar[[#This Row],[WeekDay]],"dddd")</f>
        <v>Tuesday</v>
      </c>
      <c r="I3273">
        <f>IF((INT(calendar[[#This Row],[Count]]/7)-calendar[[#This Row],[Count]]/7)&lt;0,I3272,I3272+1)</f>
        <v>468</v>
      </c>
      <c r="J3273">
        <f t="shared" si="259"/>
        <v>3271</v>
      </c>
      <c r="K3273">
        <f>IF(calendar[[#This Row],[Month]]&lt;4,1,IF(calendar[[#This Row],[Month]]&lt;7,2,IF(calendar[[#This Row],[Month]]&lt;10,3,4)))</f>
        <v>4</v>
      </c>
      <c r="L3273">
        <f>IFERROR(IF(VLOOKUP(calendar[[#This Row],[Date]],BH!A:A,1,)&lt;&gt;"",1,0),0)</f>
        <v>0</v>
      </c>
      <c r="M3273">
        <f>IFERROR(IF(VLOOKUP(calendar[[#This Row],[Date]],BH!C:C,1,)&lt;&gt;"",1,0),0)</f>
        <v>0</v>
      </c>
      <c r="N3273">
        <f>IFERROR(IF(VLOOKUP(calendar[[#This Row],[Date]],BH!E:E,1,)&lt;&gt;"",1,0),0)</f>
        <v>0</v>
      </c>
      <c r="O3273">
        <f>IFERROR(IF(VLOOKUP(calendar[[#This Row],[Date]],BH!G:G,1,)&lt;&gt;"",1,0),0)</f>
        <v>0</v>
      </c>
      <c r="P3273">
        <f>IF(OR(calendar[[#This Row],[UK_BH]]=1,calendar[[#This Row],[WeekDay]]=1, calendar[[#This Row],[WeekDay]]=7),P3272,P3272+1)</f>
        <v>2331</v>
      </c>
      <c r="Q3273">
        <f>IF(OR(calendar[[#This Row],[FR_BH]]=1,calendar[[#This Row],[WeekDay]]=1, calendar[[#This Row],[WeekDay]]=7),P3272,P3272+1)</f>
        <v>2331</v>
      </c>
      <c r="R3273">
        <f>IF(OR(calendar[[#This Row],[SP_BH]]=1,calendar[[#This Row],[WeekDay]]=1, calendar[[#This Row],[WeekDay]]=7),P3272,P3272+1)</f>
        <v>2331</v>
      </c>
      <c r="S3273">
        <f>IF(OR(calendar[[#This Row],[PT_BH]]=1,calendar[[#This Row],[WeekDay]]=1, calendar[[#This Row],[WeekDay]]=7),P3272,P3272+1)</f>
        <v>2331</v>
      </c>
    </row>
    <row r="3274" spans="1:19" x14ac:dyDescent="0.25">
      <c r="A3274" s="2">
        <v>46008</v>
      </c>
      <c r="B3274" s="1">
        <f t="shared" si="258"/>
        <v>51</v>
      </c>
      <c r="C3274">
        <f t="shared" si="255"/>
        <v>12</v>
      </c>
      <c r="D3274" t="str">
        <f t="shared" si="256"/>
        <v>December</v>
      </c>
      <c r="E3274">
        <f t="shared" si="257"/>
        <v>2025</v>
      </c>
      <c r="F3274" t="str">
        <f>CONCATENATE(calendar[[#This Row],[Month]],"/",calendar[[#This Row],[Year]])</f>
        <v>12/2025</v>
      </c>
      <c r="G3274">
        <f>WEEKDAY(calendar[[#This Row],[Date]],1)</f>
        <v>4</v>
      </c>
      <c r="H3274" t="str">
        <f>TEXT(calendar[[#This Row],[WeekDay]],"dddd")</f>
        <v>Wednesday</v>
      </c>
      <c r="I3274">
        <f>IF((INT(calendar[[#This Row],[Count]]/7)-calendar[[#This Row],[Count]]/7)&lt;0,I3273,I3273+1)</f>
        <v>468</v>
      </c>
      <c r="J3274">
        <f t="shared" si="259"/>
        <v>3272</v>
      </c>
      <c r="K3274">
        <f>IF(calendar[[#This Row],[Month]]&lt;4,1,IF(calendar[[#This Row],[Month]]&lt;7,2,IF(calendar[[#This Row],[Month]]&lt;10,3,4)))</f>
        <v>4</v>
      </c>
      <c r="L3274">
        <f>IFERROR(IF(VLOOKUP(calendar[[#This Row],[Date]],BH!A:A,1,)&lt;&gt;"",1,0),0)</f>
        <v>0</v>
      </c>
      <c r="M3274">
        <f>IFERROR(IF(VLOOKUP(calendar[[#This Row],[Date]],BH!C:C,1,)&lt;&gt;"",1,0),0)</f>
        <v>0</v>
      </c>
      <c r="N3274">
        <f>IFERROR(IF(VLOOKUP(calendar[[#This Row],[Date]],BH!E:E,1,)&lt;&gt;"",1,0),0)</f>
        <v>0</v>
      </c>
      <c r="O3274">
        <f>IFERROR(IF(VLOOKUP(calendar[[#This Row],[Date]],BH!G:G,1,)&lt;&gt;"",1,0),0)</f>
        <v>0</v>
      </c>
      <c r="P3274">
        <f>IF(OR(calendar[[#This Row],[UK_BH]]=1,calendar[[#This Row],[WeekDay]]=1, calendar[[#This Row],[WeekDay]]=7),P3273,P3273+1)</f>
        <v>2332</v>
      </c>
      <c r="Q3274">
        <f>IF(OR(calendar[[#This Row],[FR_BH]]=1,calendar[[#This Row],[WeekDay]]=1, calendar[[#This Row],[WeekDay]]=7),P3273,P3273+1)</f>
        <v>2332</v>
      </c>
      <c r="R3274">
        <f>IF(OR(calendar[[#This Row],[SP_BH]]=1,calendar[[#This Row],[WeekDay]]=1, calendar[[#This Row],[WeekDay]]=7),P3273,P3273+1)</f>
        <v>2332</v>
      </c>
      <c r="S3274">
        <f>IF(OR(calendar[[#This Row],[PT_BH]]=1,calendar[[#This Row],[WeekDay]]=1, calendar[[#This Row],[WeekDay]]=7),P3273,P3273+1)</f>
        <v>2332</v>
      </c>
    </row>
    <row r="3275" spans="1:19" x14ac:dyDescent="0.25">
      <c r="A3275" s="2">
        <v>46009</v>
      </c>
      <c r="B3275" s="1">
        <f t="shared" si="258"/>
        <v>51</v>
      </c>
      <c r="C3275">
        <f t="shared" si="255"/>
        <v>12</v>
      </c>
      <c r="D3275" t="str">
        <f t="shared" si="256"/>
        <v>December</v>
      </c>
      <c r="E3275">
        <f t="shared" si="257"/>
        <v>2025</v>
      </c>
      <c r="F3275" t="str">
        <f>CONCATENATE(calendar[[#This Row],[Month]],"/",calendar[[#This Row],[Year]])</f>
        <v>12/2025</v>
      </c>
      <c r="G3275">
        <f>WEEKDAY(calendar[[#This Row],[Date]],1)</f>
        <v>5</v>
      </c>
      <c r="H3275" t="str">
        <f>TEXT(calendar[[#This Row],[WeekDay]],"dddd")</f>
        <v>Thursday</v>
      </c>
      <c r="I3275">
        <f>IF((INT(calendar[[#This Row],[Count]]/7)-calendar[[#This Row],[Count]]/7)&lt;0,I3274,I3274+1)</f>
        <v>468</v>
      </c>
      <c r="J3275">
        <f t="shared" si="259"/>
        <v>3273</v>
      </c>
      <c r="K3275">
        <f>IF(calendar[[#This Row],[Month]]&lt;4,1,IF(calendar[[#This Row],[Month]]&lt;7,2,IF(calendar[[#This Row],[Month]]&lt;10,3,4)))</f>
        <v>4</v>
      </c>
      <c r="L3275">
        <f>IFERROR(IF(VLOOKUP(calendar[[#This Row],[Date]],BH!A:A,1,)&lt;&gt;"",1,0),0)</f>
        <v>0</v>
      </c>
      <c r="M3275">
        <f>IFERROR(IF(VLOOKUP(calendar[[#This Row],[Date]],BH!C:C,1,)&lt;&gt;"",1,0),0)</f>
        <v>0</v>
      </c>
      <c r="N3275">
        <f>IFERROR(IF(VLOOKUP(calendar[[#This Row],[Date]],BH!E:E,1,)&lt;&gt;"",1,0),0)</f>
        <v>0</v>
      </c>
      <c r="O3275">
        <f>IFERROR(IF(VLOOKUP(calendar[[#This Row],[Date]],BH!G:G,1,)&lt;&gt;"",1,0),0)</f>
        <v>0</v>
      </c>
      <c r="P3275">
        <f>IF(OR(calendar[[#This Row],[UK_BH]]=1,calendar[[#This Row],[WeekDay]]=1, calendar[[#This Row],[WeekDay]]=7),P3274,P3274+1)</f>
        <v>2333</v>
      </c>
      <c r="Q3275">
        <f>IF(OR(calendar[[#This Row],[FR_BH]]=1,calendar[[#This Row],[WeekDay]]=1, calendar[[#This Row],[WeekDay]]=7),P3274,P3274+1)</f>
        <v>2333</v>
      </c>
      <c r="R3275">
        <f>IF(OR(calendar[[#This Row],[SP_BH]]=1,calendar[[#This Row],[WeekDay]]=1, calendar[[#This Row],[WeekDay]]=7),P3274,P3274+1)</f>
        <v>2333</v>
      </c>
      <c r="S3275">
        <f>IF(OR(calendar[[#This Row],[PT_BH]]=1,calendar[[#This Row],[WeekDay]]=1, calendar[[#This Row],[WeekDay]]=7),P3274,P3274+1)</f>
        <v>2333</v>
      </c>
    </row>
    <row r="3276" spans="1:19" x14ac:dyDescent="0.25">
      <c r="A3276" s="2">
        <v>46010</v>
      </c>
      <c r="B3276" s="1">
        <f t="shared" si="258"/>
        <v>51</v>
      </c>
      <c r="C3276">
        <f t="shared" si="255"/>
        <v>12</v>
      </c>
      <c r="D3276" t="str">
        <f t="shared" si="256"/>
        <v>December</v>
      </c>
      <c r="E3276">
        <f t="shared" si="257"/>
        <v>2025</v>
      </c>
      <c r="F3276" t="str">
        <f>CONCATENATE(calendar[[#This Row],[Month]],"/",calendar[[#This Row],[Year]])</f>
        <v>12/2025</v>
      </c>
      <c r="G3276">
        <f>WEEKDAY(calendar[[#This Row],[Date]],1)</f>
        <v>6</v>
      </c>
      <c r="H3276" t="str">
        <f>TEXT(calendar[[#This Row],[WeekDay]],"dddd")</f>
        <v>Friday</v>
      </c>
      <c r="I3276">
        <f>IF((INT(calendar[[#This Row],[Count]]/7)-calendar[[#This Row],[Count]]/7)&lt;0,I3275,I3275+1)</f>
        <v>468</v>
      </c>
      <c r="J3276">
        <f t="shared" si="259"/>
        <v>3274</v>
      </c>
      <c r="K3276">
        <f>IF(calendar[[#This Row],[Month]]&lt;4,1,IF(calendar[[#This Row],[Month]]&lt;7,2,IF(calendar[[#This Row],[Month]]&lt;10,3,4)))</f>
        <v>4</v>
      </c>
      <c r="L3276">
        <f>IFERROR(IF(VLOOKUP(calendar[[#This Row],[Date]],BH!A:A,1,)&lt;&gt;"",1,0),0)</f>
        <v>0</v>
      </c>
      <c r="M3276">
        <f>IFERROR(IF(VLOOKUP(calendar[[#This Row],[Date]],BH!C:C,1,)&lt;&gt;"",1,0),0)</f>
        <v>0</v>
      </c>
      <c r="N3276">
        <f>IFERROR(IF(VLOOKUP(calendar[[#This Row],[Date]],BH!E:E,1,)&lt;&gt;"",1,0),0)</f>
        <v>0</v>
      </c>
      <c r="O3276">
        <f>IFERROR(IF(VLOOKUP(calendar[[#This Row],[Date]],BH!G:G,1,)&lt;&gt;"",1,0),0)</f>
        <v>0</v>
      </c>
      <c r="P3276">
        <f>IF(OR(calendar[[#This Row],[UK_BH]]=1,calendar[[#This Row],[WeekDay]]=1, calendar[[#This Row],[WeekDay]]=7),P3275,P3275+1)</f>
        <v>2334</v>
      </c>
      <c r="Q3276">
        <f>IF(OR(calendar[[#This Row],[FR_BH]]=1,calendar[[#This Row],[WeekDay]]=1, calendar[[#This Row],[WeekDay]]=7),P3275,P3275+1)</f>
        <v>2334</v>
      </c>
      <c r="R3276">
        <f>IF(OR(calendar[[#This Row],[SP_BH]]=1,calendar[[#This Row],[WeekDay]]=1, calendar[[#This Row],[WeekDay]]=7),P3275,P3275+1)</f>
        <v>2334</v>
      </c>
      <c r="S3276">
        <f>IF(OR(calendar[[#This Row],[PT_BH]]=1,calendar[[#This Row],[WeekDay]]=1, calendar[[#This Row],[WeekDay]]=7),P3275,P3275+1)</f>
        <v>2334</v>
      </c>
    </row>
    <row r="3277" spans="1:19" x14ac:dyDescent="0.25">
      <c r="A3277" s="2">
        <v>46011</v>
      </c>
      <c r="B3277" s="1">
        <f t="shared" si="258"/>
        <v>51</v>
      </c>
      <c r="C3277">
        <f t="shared" si="255"/>
        <v>12</v>
      </c>
      <c r="D3277" t="str">
        <f t="shared" si="256"/>
        <v>December</v>
      </c>
      <c r="E3277">
        <f t="shared" si="257"/>
        <v>2025</v>
      </c>
      <c r="F3277" t="str">
        <f>CONCATENATE(calendar[[#This Row],[Month]],"/",calendar[[#This Row],[Year]])</f>
        <v>12/2025</v>
      </c>
      <c r="G3277">
        <f>WEEKDAY(calendar[[#This Row],[Date]],1)</f>
        <v>7</v>
      </c>
      <c r="H3277" t="str">
        <f>TEXT(calendar[[#This Row],[WeekDay]],"dddd")</f>
        <v>Saturday</v>
      </c>
      <c r="I3277">
        <f>IF((INT(calendar[[#This Row],[Count]]/7)-calendar[[#This Row],[Count]]/7)&lt;0,I3276,I3276+1)</f>
        <v>468</v>
      </c>
      <c r="J3277">
        <f t="shared" si="259"/>
        <v>3275</v>
      </c>
      <c r="K3277">
        <f>IF(calendar[[#This Row],[Month]]&lt;4,1,IF(calendar[[#This Row],[Month]]&lt;7,2,IF(calendar[[#This Row],[Month]]&lt;10,3,4)))</f>
        <v>4</v>
      </c>
      <c r="L3277">
        <f>IFERROR(IF(VLOOKUP(calendar[[#This Row],[Date]],BH!A:A,1,)&lt;&gt;"",1,0),0)</f>
        <v>0</v>
      </c>
      <c r="M3277">
        <f>IFERROR(IF(VLOOKUP(calendar[[#This Row],[Date]],BH!C:C,1,)&lt;&gt;"",1,0),0)</f>
        <v>0</v>
      </c>
      <c r="N3277">
        <f>IFERROR(IF(VLOOKUP(calendar[[#This Row],[Date]],BH!E:E,1,)&lt;&gt;"",1,0),0)</f>
        <v>0</v>
      </c>
      <c r="O3277">
        <f>IFERROR(IF(VLOOKUP(calendar[[#This Row],[Date]],BH!G:G,1,)&lt;&gt;"",1,0),0)</f>
        <v>0</v>
      </c>
      <c r="P3277">
        <f>IF(OR(calendar[[#This Row],[UK_BH]]=1,calendar[[#This Row],[WeekDay]]=1, calendar[[#This Row],[WeekDay]]=7),P3276,P3276+1)</f>
        <v>2334</v>
      </c>
      <c r="Q3277">
        <f>IF(OR(calendar[[#This Row],[FR_BH]]=1,calendar[[#This Row],[WeekDay]]=1, calendar[[#This Row],[WeekDay]]=7),P3276,P3276+1)</f>
        <v>2334</v>
      </c>
      <c r="R3277">
        <f>IF(OR(calendar[[#This Row],[SP_BH]]=1,calendar[[#This Row],[WeekDay]]=1, calendar[[#This Row],[WeekDay]]=7),P3276,P3276+1)</f>
        <v>2334</v>
      </c>
      <c r="S3277">
        <f>IF(OR(calendar[[#This Row],[PT_BH]]=1,calendar[[#This Row],[WeekDay]]=1, calendar[[#This Row],[WeekDay]]=7),P3276,P3276+1)</f>
        <v>2334</v>
      </c>
    </row>
    <row r="3278" spans="1:19" x14ac:dyDescent="0.25">
      <c r="A3278" s="2">
        <v>46012</v>
      </c>
      <c r="B3278" s="1">
        <f t="shared" si="258"/>
        <v>52</v>
      </c>
      <c r="C3278">
        <f t="shared" si="255"/>
        <v>12</v>
      </c>
      <c r="D3278" t="str">
        <f t="shared" si="256"/>
        <v>December</v>
      </c>
      <c r="E3278">
        <f t="shared" si="257"/>
        <v>2025</v>
      </c>
      <c r="F3278" t="str">
        <f>CONCATENATE(calendar[[#This Row],[Month]],"/",calendar[[#This Row],[Year]])</f>
        <v>12/2025</v>
      </c>
      <c r="G3278">
        <f>WEEKDAY(calendar[[#This Row],[Date]],1)</f>
        <v>1</v>
      </c>
      <c r="H3278" t="str">
        <f>TEXT(calendar[[#This Row],[WeekDay]],"dddd")</f>
        <v>Sunday</v>
      </c>
      <c r="I3278">
        <f>IF((INT(calendar[[#This Row],[Count]]/7)-calendar[[#This Row],[Count]]/7)&lt;0,I3277,I3277+1)</f>
        <v>469</v>
      </c>
      <c r="J3278">
        <f t="shared" si="259"/>
        <v>3276</v>
      </c>
      <c r="K3278">
        <f>IF(calendar[[#This Row],[Month]]&lt;4,1,IF(calendar[[#This Row],[Month]]&lt;7,2,IF(calendar[[#This Row],[Month]]&lt;10,3,4)))</f>
        <v>4</v>
      </c>
      <c r="L3278">
        <f>IFERROR(IF(VLOOKUP(calendar[[#This Row],[Date]],BH!A:A,1,)&lt;&gt;"",1,0),0)</f>
        <v>0</v>
      </c>
      <c r="M3278">
        <f>IFERROR(IF(VLOOKUP(calendar[[#This Row],[Date]],BH!C:C,1,)&lt;&gt;"",1,0),0)</f>
        <v>0</v>
      </c>
      <c r="N3278">
        <f>IFERROR(IF(VLOOKUP(calendar[[#This Row],[Date]],BH!E:E,1,)&lt;&gt;"",1,0),0)</f>
        <v>0</v>
      </c>
      <c r="O3278">
        <f>IFERROR(IF(VLOOKUP(calendar[[#This Row],[Date]],BH!G:G,1,)&lt;&gt;"",1,0),0)</f>
        <v>0</v>
      </c>
      <c r="P3278">
        <f>IF(OR(calendar[[#This Row],[UK_BH]]=1,calendar[[#This Row],[WeekDay]]=1, calendar[[#This Row],[WeekDay]]=7),P3277,P3277+1)</f>
        <v>2334</v>
      </c>
      <c r="Q3278">
        <f>IF(OR(calendar[[#This Row],[FR_BH]]=1,calendar[[#This Row],[WeekDay]]=1, calendar[[#This Row],[WeekDay]]=7),P3277,P3277+1)</f>
        <v>2334</v>
      </c>
      <c r="R3278">
        <f>IF(OR(calendar[[#This Row],[SP_BH]]=1,calendar[[#This Row],[WeekDay]]=1, calendar[[#This Row],[WeekDay]]=7),P3277,P3277+1)</f>
        <v>2334</v>
      </c>
      <c r="S3278">
        <f>IF(OR(calendar[[#This Row],[PT_BH]]=1,calendar[[#This Row],[WeekDay]]=1, calendar[[#This Row],[WeekDay]]=7),P3277,P3277+1)</f>
        <v>2334</v>
      </c>
    </row>
    <row r="3279" spans="1:19" x14ac:dyDescent="0.25">
      <c r="A3279" s="2">
        <v>46013</v>
      </c>
      <c r="B3279" s="1">
        <f t="shared" si="258"/>
        <v>52</v>
      </c>
      <c r="C3279">
        <f t="shared" si="255"/>
        <v>12</v>
      </c>
      <c r="D3279" t="str">
        <f t="shared" si="256"/>
        <v>December</v>
      </c>
      <c r="E3279">
        <f t="shared" si="257"/>
        <v>2025</v>
      </c>
      <c r="F3279" t="str">
        <f>CONCATENATE(calendar[[#This Row],[Month]],"/",calendar[[#This Row],[Year]])</f>
        <v>12/2025</v>
      </c>
      <c r="G3279">
        <f>WEEKDAY(calendar[[#This Row],[Date]],1)</f>
        <v>2</v>
      </c>
      <c r="H3279" t="str">
        <f>TEXT(calendar[[#This Row],[WeekDay]],"dddd")</f>
        <v>Monday</v>
      </c>
      <c r="I3279">
        <f>IF((INT(calendar[[#This Row],[Count]]/7)-calendar[[#This Row],[Count]]/7)&lt;0,I3278,I3278+1)</f>
        <v>469</v>
      </c>
      <c r="J3279">
        <f t="shared" si="259"/>
        <v>3277</v>
      </c>
      <c r="K3279">
        <f>IF(calendar[[#This Row],[Month]]&lt;4,1,IF(calendar[[#This Row],[Month]]&lt;7,2,IF(calendar[[#This Row],[Month]]&lt;10,3,4)))</f>
        <v>4</v>
      </c>
      <c r="L3279">
        <f>IFERROR(IF(VLOOKUP(calendar[[#This Row],[Date]],BH!A:A,1,)&lt;&gt;"",1,0),0)</f>
        <v>0</v>
      </c>
      <c r="M3279">
        <f>IFERROR(IF(VLOOKUP(calendar[[#This Row],[Date]],BH!C:C,1,)&lt;&gt;"",1,0),0)</f>
        <v>0</v>
      </c>
      <c r="N3279">
        <f>IFERROR(IF(VLOOKUP(calendar[[#This Row],[Date]],BH!E:E,1,)&lt;&gt;"",1,0),0)</f>
        <v>0</v>
      </c>
      <c r="O3279">
        <f>IFERROR(IF(VLOOKUP(calendar[[#This Row],[Date]],BH!G:G,1,)&lt;&gt;"",1,0),0)</f>
        <v>0</v>
      </c>
      <c r="P3279">
        <f>IF(OR(calendar[[#This Row],[UK_BH]]=1,calendar[[#This Row],[WeekDay]]=1, calendar[[#This Row],[WeekDay]]=7),P3278,P3278+1)</f>
        <v>2335</v>
      </c>
      <c r="Q3279">
        <f>IF(OR(calendar[[#This Row],[FR_BH]]=1,calendar[[#This Row],[WeekDay]]=1, calendar[[#This Row],[WeekDay]]=7),P3278,P3278+1)</f>
        <v>2335</v>
      </c>
      <c r="R3279">
        <f>IF(OR(calendar[[#This Row],[SP_BH]]=1,calendar[[#This Row],[WeekDay]]=1, calendar[[#This Row],[WeekDay]]=7),P3278,P3278+1)</f>
        <v>2335</v>
      </c>
      <c r="S3279">
        <f>IF(OR(calendar[[#This Row],[PT_BH]]=1,calendar[[#This Row],[WeekDay]]=1, calendar[[#This Row],[WeekDay]]=7),P3278,P3278+1)</f>
        <v>2335</v>
      </c>
    </row>
    <row r="3280" spans="1:19" x14ac:dyDescent="0.25">
      <c r="A3280" s="2">
        <v>46014</v>
      </c>
      <c r="B3280" s="1">
        <f t="shared" si="258"/>
        <v>52</v>
      </c>
      <c r="C3280">
        <f t="shared" ref="C3280:C3291" si="260">MONTH(A3280)</f>
        <v>12</v>
      </c>
      <c r="D3280" t="str">
        <f t="shared" ref="D3280:D3291" si="261">TEXT(A3280,"mmmm")</f>
        <v>December</v>
      </c>
      <c r="E3280">
        <f t="shared" ref="E3280:E3291" si="262">YEAR(A3280)</f>
        <v>2025</v>
      </c>
      <c r="F3280" t="str">
        <f>CONCATENATE(calendar[[#This Row],[Month]],"/",calendar[[#This Row],[Year]])</f>
        <v>12/2025</v>
      </c>
      <c r="G3280">
        <f>WEEKDAY(calendar[[#This Row],[Date]],1)</f>
        <v>3</v>
      </c>
      <c r="H3280" t="str">
        <f>TEXT(calendar[[#This Row],[WeekDay]],"dddd")</f>
        <v>Tuesday</v>
      </c>
      <c r="I3280">
        <f>IF((INT(calendar[[#This Row],[Count]]/7)-calendar[[#This Row],[Count]]/7)&lt;0,I3279,I3279+1)</f>
        <v>469</v>
      </c>
      <c r="J3280">
        <f t="shared" si="259"/>
        <v>3278</v>
      </c>
      <c r="K3280">
        <f>IF(calendar[[#This Row],[Month]]&lt;4,1,IF(calendar[[#This Row],[Month]]&lt;7,2,IF(calendar[[#This Row],[Month]]&lt;10,3,4)))</f>
        <v>4</v>
      </c>
      <c r="L3280">
        <f>IFERROR(IF(VLOOKUP(calendar[[#This Row],[Date]],BH!A:A,1,)&lt;&gt;"",1,0),0)</f>
        <v>0</v>
      </c>
      <c r="M3280">
        <f>IFERROR(IF(VLOOKUP(calendar[[#This Row],[Date]],BH!C:C,1,)&lt;&gt;"",1,0),0)</f>
        <v>0</v>
      </c>
      <c r="N3280">
        <f>IFERROR(IF(VLOOKUP(calendar[[#This Row],[Date]],BH!E:E,1,)&lt;&gt;"",1,0),0)</f>
        <v>0</v>
      </c>
      <c r="O3280">
        <f>IFERROR(IF(VLOOKUP(calendar[[#This Row],[Date]],BH!G:G,1,)&lt;&gt;"",1,0),0)</f>
        <v>0</v>
      </c>
      <c r="P3280">
        <f>IF(OR(calendar[[#This Row],[UK_BH]]=1,calendar[[#This Row],[WeekDay]]=1, calendar[[#This Row],[WeekDay]]=7),P3279,P3279+1)</f>
        <v>2336</v>
      </c>
      <c r="Q3280">
        <f>IF(OR(calendar[[#This Row],[FR_BH]]=1,calendar[[#This Row],[WeekDay]]=1, calendar[[#This Row],[WeekDay]]=7),P3279,P3279+1)</f>
        <v>2336</v>
      </c>
      <c r="R3280">
        <f>IF(OR(calendar[[#This Row],[SP_BH]]=1,calendar[[#This Row],[WeekDay]]=1, calendar[[#This Row],[WeekDay]]=7),P3279,P3279+1)</f>
        <v>2336</v>
      </c>
      <c r="S3280">
        <f>IF(OR(calendar[[#This Row],[PT_BH]]=1,calendar[[#This Row],[WeekDay]]=1, calendar[[#This Row],[WeekDay]]=7),P3279,P3279+1)</f>
        <v>2336</v>
      </c>
    </row>
    <row r="3281" spans="1:19" x14ac:dyDescent="0.25">
      <c r="A3281" s="2">
        <v>46015</v>
      </c>
      <c r="B3281" s="1">
        <f t="shared" si="258"/>
        <v>52</v>
      </c>
      <c r="C3281">
        <f t="shared" si="260"/>
        <v>12</v>
      </c>
      <c r="D3281" t="str">
        <f t="shared" si="261"/>
        <v>December</v>
      </c>
      <c r="E3281">
        <f t="shared" si="262"/>
        <v>2025</v>
      </c>
      <c r="F3281" t="str">
        <f>CONCATENATE(calendar[[#This Row],[Month]],"/",calendar[[#This Row],[Year]])</f>
        <v>12/2025</v>
      </c>
      <c r="G3281">
        <f>WEEKDAY(calendar[[#This Row],[Date]],1)</f>
        <v>4</v>
      </c>
      <c r="H3281" t="str">
        <f>TEXT(calendar[[#This Row],[WeekDay]],"dddd")</f>
        <v>Wednesday</v>
      </c>
      <c r="I3281">
        <f>IF((INT(calendar[[#This Row],[Count]]/7)-calendar[[#This Row],[Count]]/7)&lt;0,I3280,I3280+1)</f>
        <v>469</v>
      </c>
      <c r="J3281">
        <f t="shared" si="259"/>
        <v>3279</v>
      </c>
      <c r="K3281">
        <f>IF(calendar[[#This Row],[Month]]&lt;4,1,IF(calendar[[#This Row],[Month]]&lt;7,2,IF(calendar[[#This Row],[Month]]&lt;10,3,4)))</f>
        <v>4</v>
      </c>
      <c r="L3281">
        <f>IFERROR(IF(VLOOKUP(calendar[[#This Row],[Date]],BH!A:A,1,)&lt;&gt;"",1,0),0)</f>
        <v>0</v>
      </c>
      <c r="M3281">
        <f>IFERROR(IF(VLOOKUP(calendar[[#This Row],[Date]],BH!C:C,1,)&lt;&gt;"",1,0),0)</f>
        <v>0</v>
      </c>
      <c r="N3281">
        <f>IFERROR(IF(VLOOKUP(calendar[[#This Row],[Date]],BH!E:E,1,)&lt;&gt;"",1,0),0)</f>
        <v>0</v>
      </c>
      <c r="O3281">
        <f>IFERROR(IF(VLOOKUP(calendar[[#This Row],[Date]],BH!G:G,1,)&lt;&gt;"",1,0),0)</f>
        <v>0</v>
      </c>
      <c r="P3281">
        <f>IF(OR(calendar[[#This Row],[UK_BH]]=1,calendar[[#This Row],[WeekDay]]=1, calendar[[#This Row],[WeekDay]]=7),P3280,P3280+1)</f>
        <v>2337</v>
      </c>
      <c r="Q3281">
        <f>IF(OR(calendar[[#This Row],[FR_BH]]=1,calendar[[#This Row],[WeekDay]]=1, calendar[[#This Row],[WeekDay]]=7),P3280,P3280+1)</f>
        <v>2337</v>
      </c>
      <c r="R3281">
        <f>IF(OR(calendar[[#This Row],[SP_BH]]=1,calendar[[#This Row],[WeekDay]]=1, calendar[[#This Row],[WeekDay]]=7),P3280,P3280+1)</f>
        <v>2337</v>
      </c>
      <c r="S3281">
        <f>IF(OR(calendar[[#This Row],[PT_BH]]=1,calendar[[#This Row],[WeekDay]]=1, calendar[[#This Row],[WeekDay]]=7),P3280,P3280+1)</f>
        <v>2337</v>
      </c>
    </row>
    <row r="3282" spans="1:19" x14ac:dyDescent="0.25">
      <c r="A3282" s="2">
        <v>46016</v>
      </c>
      <c r="B3282" s="1">
        <f t="shared" si="258"/>
        <v>52</v>
      </c>
      <c r="C3282">
        <f t="shared" si="260"/>
        <v>12</v>
      </c>
      <c r="D3282" t="str">
        <f t="shared" si="261"/>
        <v>December</v>
      </c>
      <c r="E3282">
        <f t="shared" si="262"/>
        <v>2025</v>
      </c>
      <c r="F3282" t="str">
        <f>CONCATENATE(calendar[[#This Row],[Month]],"/",calendar[[#This Row],[Year]])</f>
        <v>12/2025</v>
      </c>
      <c r="G3282">
        <f>WEEKDAY(calendar[[#This Row],[Date]],1)</f>
        <v>5</v>
      </c>
      <c r="H3282" t="str">
        <f>TEXT(calendar[[#This Row],[WeekDay]],"dddd")</f>
        <v>Thursday</v>
      </c>
      <c r="I3282">
        <f>IF((INT(calendar[[#This Row],[Count]]/7)-calendar[[#This Row],[Count]]/7)&lt;0,I3281,I3281+1)</f>
        <v>469</v>
      </c>
      <c r="J3282">
        <f t="shared" si="259"/>
        <v>3280</v>
      </c>
      <c r="K3282">
        <f>IF(calendar[[#This Row],[Month]]&lt;4,1,IF(calendar[[#This Row],[Month]]&lt;7,2,IF(calendar[[#This Row],[Month]]&lt;10,3,4)))</f>
        <v>4</v>
      </c>
      <c r="L3282">
        <f>IFERROR(IF(VLOOKUP(calendar[[#This Row],[Date]],BH!A:A,1,)&lt;&gt;"",1,0),0)</f>
        <v>1</v>
      </c>
      <c r="M3282">
        <f>IFERROR(IF(VLOOKUP(calendar[[#This Row],[Date]],BH!C:C,1,)&lt;&gt;"",1,0),0)</f>
        <v>1</v>
      </c>
      <c r="N3282">
        <f>IFERROR(IF(VLOOKUP(calendar[[#This Row],[Date]],BH!E:E,1,)&lt;&gt;"",1,0),0)</f>
        <v>1</v>
      </c>
      <c r="O3282">
        <f>IFERROR(IF(VLOOKUP(calendar[[#This Row],[Date]],BH!G:G,1,)&lt;&gt;"",1,0),0)</f>
        <v>1</v>
      </c>
      <c r="P3282">
        <f>IF(OR(calendar[[#This Row],[UK_BH]]=1,calendar[[#This Row],[WeekDay]]=1, calendar[[#This Row],[WeekDay]]=7),P3281,P3281+1)</f>
        <v>2337</v>
      </c>
      <c r="Q3282">
        <f>IF(OR(calendar[[#This Row],[FR_BH]]=1,calendar[[#This Row],[WeekDay]]=1, calendar[[#This Row],[WeekDay]]=7),P3281,P3281+1)</f>
        <v>2337</v>
      </c>
      <c r="R3282">
        <f>IF(OR(calendar[[#This Row],[SP_BH]]=1,calendar[[#This Row],[WeekDay]]=1, calendar[[#This Row],[WeekDay]]=7),P3281,P3281+1)</f>
        <v>2337</v>
      </c>
      <c r="S3282">
        <f>IF(OR(calendar[[#This Row],[PT_BH]]=1,calendar[[#This Row],[WeekDay]]=1, calendar[[#This Row],[WeekDay]]=7),P3281,P3281+1)</f>
        <v>2337</v>
      </c>
    </row>
    <row r="3283" spans="1:19" x14ac:dyDescent="0.25">
      <c r="A3283" s="2">
        <v>46017</v>
      </c>
      <c r="B3283" s="1">
        <f t="shared" si="258"/>
        <v>52</v>
      </c>
      <c r="C3283">
        <f t="shared" si="260"/>
        <v>12</v>
      </c>
      <c r="D3283" t="str">
        <f t="shared" si="261"/>
        <v>December</v>
      </c>
      <c r="E3283">
        <f t="shared" si="262"/>
        <v>2025</v>
      </c>
      <c r="F3283" t="str">
        <f>CONCATENATE(calendar[[#This Row],[Month]],"/",calendar[[#This Row],[Year]])</f>
        <v>12/2025</v>
      </c>
      <c r="G3283">
        <f>WEEKDAY(calendar[[#This Row],[Date]],1)</f>
        <v>6</v>
      </c>
      <c r="H3283" t="str">
        <f>TEXT(calendar[[#This Row],[WeekDay]],"dddd")</f>
        <v>Friday</v>
      </c>
      <c r="I3283">
        <f>IF((INT(calendar[[#This Row],[Count]]/7)-calendar[[#This Row],[Count]]/7)&lt;0,I3282,I3282+1)</f>
        <v>469</v>
      </c>
      <c r="J3283">
        <f t="shared" si="259"/>
        <v>3281</v>
      </c>
      <c r="K3283">
        <f>IF(calendar[[#This Row],[Month]]&lt;4,1,IF(calendar[[#This Row],[Month]]&lt;7,2,IF(calendar[[#This Row],[Month]]&lt;10,3,4)))</f>
        <v>4</v>
      </c>
      <c r="L3283">
        <f>IFERROR(IF(VLOOKUP(calendar[[#This Row],[Date]],BH!A:A,1,)&lt;&gt;"",1,0),0)</f>
        <v>1</v>
      </c>
      <c r="M3283">
        <f>IFERROR(IF(VLOOKUP(calendar[[#This Row],[Date]],BH!C:C,1,)&lt;&gt;"",1,0),0)</f>
        <v>1</v>
      </c>
      <c r="N3283">
        <f>IFERROR(IF(VLOOKUP(calendar[[#This Row],[Date]],BH!E:E,1,)&lt;&gt;"",1,0),0)</f>
        <v>1</v>
      </c>
      <c r="O3283">
        <f>IFERROR(IF(VLOOKUP(calendar[[#This Row],[Date]],BH!G:G,1,)&lt;&gt;"",1,0),0)</f>
        <v>0</v>
      </c>
      <c r="P3283">
        <f>IF(OR(calendar[[#This Row],[UK_BH]]=1,calendar[[#This Row],[WeekDay]]=1, calendar[[#This Row],[WeekDay]]=7),P3282,P3282+1)</f>
        <v>2337</v>
      </c>
      <c r="Q3283">
        <f>IF(OR(calendar[[#This Row],[FR_BH]]=1,calendar[[#This Row],[WeekDay]]=1, calendar[[#This Row],[WeekDay]]=7),P3282,P3282+1)</f>
        <v>2337</v>
      </c>
      <c r="R3283">
        <f>IF(OR(calendar[[#This Row],[SP_BH]]=1,calendar[[#This Row],[WeekDay]]=1, calendar[[#This Row],[WeekDay]]=7),P3282,P3282+1)</f>
        <v>2337</v>
      </c>
      <c r="S3283">
        <f>IF(OR(calendar[[#This Row],[PT_BH]]=1,calendar[[#This Row],[WeekDay]]=1, calendar[[#This Row],[WeekDay]]=7),P3282,P3282+1)</f>
        <v>2338</v>
      </c>
    </row>
    <row r="3284" spans="1:19" x14ac:dyDescent="0.25">
      <c r="A3284" s="2">
        <v>46018</v>
      </c>
      <c r="B3284" s="1">
        <f t="shared" si="258"/>
        <v>52</v>
      </c>
      <c r="C3284">
        <f t="shared" si="260"/>
        <v>12</v>
      </c>
      <c r="D3284" t="str">
        <f t="shared" si="261"/>
        <v>December</v>
      </c>
      <c r="E3284">
        <f t="shared" si="262"/>
        <v>2025</v>
      </c>
      <c r="F3284" t="str">
        <f>CONCATENATE(calendar[[#This Row],[Month]],"/",calendar[[#This Row],[Year]])</f>
        <v>12/2025</v>
      </c>
      <c r="G3284">
        <f>WEEKDAY(calendar[[#This Row],[Date]],1)</f>
        <v>7</v>
      </c>
      <c r="H3284" t="str">
        <f>TEXT(calendar[[#This Row],[WeekDay]],"dddd")</f>
        <v>Saturday</v>
      </c>
      <c r="I3284">
        <f>IF((INT(calendar[[#This Row],[Count]]/7)-calendar[[#This Row],[Count]]/7)&lt;0,I3283,I3283+1)</f>
        <v>469</v>
      </c>
      <c r="J3284">
        <f t="shared" si="259"/>
        <v>3282</v>
      </c>
      <c r="K3284">
        <f>IF(calendar[[#This Row],[Month]]&lt;4,1,IF(calendar[[#This Row],[Month]]&lt;7,2,IF(calendar[[#This Row],[Month]]&lt;10,3,4)))</f>
        <v>4</v>
      </c>
      <c r="L3284">
        <f>IFERROR(IF(VLOOKUP(calendar[[#This Row],[Date]],BH!A:A,1,)&lt;&gt;"",1,0),0)</f>
        <v>0</v>
      </c>
      <c r="M3284">
        <f>IFERROR(IF(VLOOKUP(calendar[[#This Row],[Date]],BH!C:C,1,)&lt;&gt;"",1,0),0)</f>
        <v>0</v>
      </c>
      <c r="N3284">
        <f>IFERROR(IF(VLOOKUP(calendar[[#This Row],[Date]],BH!E:E,1,)&lt;&gt;"",1,0),0)</f>
        <v>0</v>
      </c>
      <c r="O3284">
        <f>IFERROR(IF(VLOOKUP(calendar[[#This Row],[Date]],BH!G:G,1,)&lt;&gt;"",1,0),0)</f>
        <v>0</v>
      </c>
      <c r="P3284">
        <f>IF(OR(calendar[[#This Row],[UK_BH]]=1,calendar[[#This Row],[WeekDay]]=1, calendar[[#This Row],[WeekDay]]=7),P3283,P3283+1)</f>
        <v>2337</v>
      </c>
      <c r="Q3284">
        <f>IF(OR(calendar[[#This Row],[FR_BH]]=1,calendar[[#This Row],[WeekDay]]=1, calendar[[#This Row],[WeekDay]]=7),P3283,P3283+1)</f>
        <v>2337</v>
      </c>
      <c r="R3284">
        <f>IF(OR(calendar[[#This Row],[SP_BH]]=1,calendar[[#This Row],[WeekDay]]=1, calendar[[#This Row],[WeekDay]]=7),P3283,P3283+1)</f>
        <v>2337</v>
      </c>
      <c r="S3284">
        <f>IF(OR(calendar[[#This Row],[PT_BH]]=1,calendar[[#This Row],[WeekDay]]=1, calendar[[#This Row],[WeekDay]]=7),P3283,P3283+1)</f>
        <v>2337</v>
      </c>
    </row>
    <row r="3285" spans="1:19" x14ac:dyDescent="0.25">
      <c r="A3285" s="2">
        <v>46019</v>
      </c>
      <c r="B3285" s="1">
        <f t="shared" si="258"/>
        <v>53</v>
      </c>
      <c r="C3285">
        <f t="shared" si="260"/>
        <v>12</v>
      </c>
      <c r="D3285" t="str">
        <f t="shared" si="261"/>
        <v>December</v>
      </c>
      <c r="E3285">
        <f t="shared" si="262"/>
        <v>2025</v>
      </c>
      <c r="F3285" t="str">
        <f>CONCATENATE(calendar[[#This Row],[Month]],"/",calendar[[#This Row],[Year]])</f>
        <v>12/2025</v>
      </c>
      <c r="G3285">
        <f>WEEKDAY(calendar[[#This Row],[Date]],1)</f>
        <v>1</v>
      </c>
      <c r="H3285" t="str">
        <f>TEXT(calendar[[#This Row],[WeekDay]],"dddd")</f>
        <v>Sunday</v>
      </c>
      <c r="I3285">
        <f>IF((INT(calendar[[#This Row],[Count]]/7)-calendar[[#This Row],[Count]]/7)&lt;0,I3284,I3284+1)</f>
        <v>470</v>
      </c>
      <c r="J3285">
        <f t="shared" si="259"/>
        <v>3283</v>
      </c>
      <c r="K3285">
        <f>IF(calendar[[#This Row],[Month]]&lt;4,1,IF(calendar[[#This Row],[Month]]&lt;7,2,IF(calendar[[#This Row],[Month]]&lt;10,3,4)))</f>
        <v>4</v>
      </c>
      <c r="L3285">
        <f>IFERROR(IF(VLOOKUP(calendar[[#This Row],[Date]],BH!A:A,1,)&lt;&gt;"",1,0),0)</f>
        <v>0</v>
      </c>
      <c r="M3285">
        <f>IFERROR(IF(VLOOKUP(calendar[[#This Row],[Date]],BH!C:C,1,)&lt;&gt;"",1,0),0)</f>
        <v>0</v>
      </c>
      <c r="N3285">
        <f>IFERROR(IF(VLOOKUP(calendar[[#This Row],[Date]],BH!E:E,1,)&lt;&gt;"",1,0),0)</f>
        <v>0</v>
      </c>
      <c r="O3285">
        <f>IFERROR(IF(VLOOKUP(calendar[[#This Row],[Date]],BH!G:G,1,)&lt;&gt;"",1,0),0)</f>
        <v>0</v>
      </c>
      <c r="P3285">
        <f>IF(OR(calendar[[#This Row],[UK_BH]]=1,calendar[[#This Row],[WeekDay]]=1, calendar[[#This Row],[WeekDay]]=7),P3284,P3284+1)</f>
        <v>2337</v>
      </c>
      <c r="Q3285">
        <f>IF(OR(calendar[[#This Row],[FR_BH]]=1,calendar[[#This Row],[WeekDay]]=1, calendar[[#This Row],[WeekDay]]=7),P3284,P3284+1)</f>
        <v>2337</v>
      </c>
      <c r="R3285">
        <f>IF(OR(calendar[[#This Row],[SP_BH]]=1,calendar[[#This Row],[WeekDay]]=1, calendar[[#This Row],[WeekDay]]=7),P3284,P3284+1)</f>
        <v>2337</v>
      </c>
      <c r="S3285">
        <f>IF(OR(calendar[[#This Row],[PT_BH]]=1,calendar[[#This Row],[WeekDay]]=1, calendar[[#This Row],[WeekDay]]=7),P3284,P3284+1)</f>
        <v>2337</v>
      </c>
    </row>
    <row r="3286" spans="1:19" x14ac:dyDescent="0.25">
      <c r="A3286" s="2">
        <v>46020</v>
      </c>
      <c r="B3286" s="1">
        <f t="shared" si="258"/>
        <v>53</v>
      </c>
      <c r="C3286">
        <f t="shared" si="260"/>
        <v>12</v>
      </c>
      <c r="D3286" t="str">
        <f t="shared" si="261"/>
        <v>December</v>
      </c>
      <c r="E3286">
        <f t="shared" si="262"/>
        <v>2025</v>
      </c>
      <c r="F3286" t="str">
        <f>CONCATENATE(calendar[[#This Row],[Month]],"/",calendar[[#This Row],[Year]])</f>
        <v>12/2025</v>
      </c>
      <c r="G3286">
        <f>WEEKDAY(calendar[[#This Row],[Date]],1)</f>
        <v>2</v>
      </c>
      <c r="H3286" t="str">
        <f>TEXT(calendar[[#This Row],[WeekDay]],"dddd")</f>
        <v>Monday</v>
      </c>
      <c r="I3286">
        <f>IF((INT(calendar[[#This Row],[Count]]/7)-calendar[[#This Row],[Count]]/7)&lt;0,I3285,I3285+1)</f>
        <v>470</v>
      </c>
      <c r="J3286">
        <f t="shared" si="259"/>
        <v>3284</v>
      </c>
      <c r="K3286">
        <f>IF(calendar[[#This Row],[Month]]&lt;4,1,IF(calendar[[#This Row],[Month]]&lt;7,2,IF(calendar[[#This Row],[Month]]&lt;10,3,4)))</f>
        <v>4</v>
      </c>
      <c r="L3286">
        <f>IFERROR(IF(VLOOKUP(calendar[[#This Row],[Date]],BH!A:A,1,)&lt;&gt;"",1,0),0)</f>
        <v>0</v>
      </c>
      <c r="M3286">
        <f>IFERROR(IF(VLOOKUP(calendar[[#This Row],[Date]],BH!C:C,1,)&lt;&gt;"",1,0),0)</f>
        <v>0</v>
      </c>
      <c r="N3286">
        <f>IFERROR(IF(VLOOKUP(calendar[[#This Row],[Date]],BH!E:E,1,)&lt;&gt;"",1,0),0)</f>
        <v>0</v>
      </c>
      <c r="O3286">
        <f>IFERROR(IF(VLOOKUP(calendar[[#This Row],[Date]],BH!G:G,1,)&lt;&gt;"",1,0),0)</f>
        <v>0</v>
      </c>
      <c r="P3286">
        <f>IF(OR(calendar[[#This Row],[UK_BH]]=1,calendar[[#This Row],[WeekDay]]=1, calendar[[#This Row],[WeekDay]]=7),P3285,P3285+1)</f>
        <v>2338</v>
      </c>
      <c r="Q3286">
        <f>IF(OR(calendar[[#This Row],[FR_BH]]=1,calendar[[#This Row],[WeekDay]]=1, calendar[[#This Row],[WeekDay]]=7),P3285,P3285+1)</f>
        <v>2338</v>
      </c>
      <c r="R3286">
        <f>IF(OR(calendar[[#This Row],[SP_BH]]=1,calendar[[#This Row],[WeekDay]]=1, calendar[[#This Row],[WeekDay]]=7),P3285,P3285+1)</f>
        <v>2338</v>
      </c>
      <c r="S3286">
        <f>IF(OR(calendar[[#This Row],[PT_BH]]=1,calendar[[#This Row],[WeekDay]]=1, calendar[[#This Row],[WeekDay]]=7),P3285,P3285+1)</f>
        <v>2338</v>
      </c>
    </row>
    <row r="3287" spans="1:19" x14ac:dyDescent="0.25">
      <c r="A3287" s="2">
        <v>46021</v>
      </c>
      <c r="B3287" s="1">
        <f t="shared" si="258"/>
        <v>53</v>
      </c>
      <c r="C3287">
        <f t="shared" si="260"/>
        <v>12</v>
      </c>
      <c r="D3287" t="str">
        <f t="shared" si="261"/>
        <v>December</v>
      </c>
      <c r="E3287">
        <f t="shared" si="262"/>
        <v>2025</v>
      </c>
      <c r="F3287" t="str">
        <f>CONCATENATE(calendar[[#This Row],[Month]],"/",calendar[[#This Row],[Year]])</f>
        <v>12/2025</v>
      </c>
      <c r="G3287">
        <f>WEEKDAY(calendar[[#This Row],[Date]],1)</f>
        <v>3</v>
      </c>
      <c r="H3287" t="str">
        <f>TEXT(calendar[[#This Row],[WeekDay]],"dddd")</f>
        <v>Tuesday</v>
      </c>
      <c r="I3287">
        <f>IF((INT(calendar[[#This Row],[Count]]/7)-calendar[[#This Row],[Count]]/7)&lt;0,I3286,I3286+1)</f>
        <v>470</v>
      </c>
      <c r="J3287">
        <f t="shared" si="259"/>
        <v>3285</v>
      </c>
      <c r="K3287">
        <f>IF(calendar[[#This Row],[Month]]&lt;4,1,IF(calendar[[#This Row],[Month]]&lt;7,2,IF(calendar[[#This Row],[Month]]&lt;10,3,4)))</f>
        <v>4</v>
      </c>
      <c r="L3287">
        <f>IFERROR(IF(VLOOKUP(calendar[[#This Row],[Date]],BH!A:A,1,)&lt;&gt;"",1,0),0)</f>
        <v>0</v>
      </c>
      <c r="M3287">
        <f>IFERROR(IF(VLOOKUP(calendar[[#This Row],[Date]],BH!C:C,1,)&lt;&gt;"",1,0),0)</f>
        <v>0</v>
      </c>
      <c r="N3287">
        <f>IFERROR(IF(VLOOKUP(calendar[[#This Row],[Date]],BH!E:E,1,)&lt;&gt;"",1,0),0)</f>
        <v>0</v>
      </c>
      <c r="O3287">
        <f>IFERROR(IF(VLOOKUP(calendar[[#This Row],[Date]],BH!G:G,1,)&lt;&gt;"",1,0),0)</f>
        <v>0</v>
      </c>
      <c r="P3287">
        <f>IF(OR(calendar[[#This Row],[UK_BH]]=1,calendar[[#This Row],[WeekDay]]=1, calendar[[#This Row],[WeekDay]]=7),P3286,P3286+1)</f>
        <v>2339</v>
      </c>
      <c r="Q3287">
        <f>IF(OR(calendar[[#This Row],[FR_BH]]=1,calendar[[#This Row],[WeekDay]]=1, calendar[[#This Row],[WeekDay]]=7),P3286,P3286+1)</f>
        <v>2339</v>
      </c>
      <c r="R3287">
        <f>IF(OR(calendar[[#This Row],[SP_BH]]=1,calendar[[#This Row],[WeekDay]]=1, calendar[[#This Row],[WeekDay]]=7),P3286,P3286+1)</f>
        <v>2339</v>
      </c>
      <c r="S3287">
        <f>IF(OR(calendar[[#This Row],[PT_BH]]=1,calendar[[#This Row],[WeekDay]]=1, calendar[[#This Row],[WeekDay]]=7),P3286,P3286+1)</f>
        <v>2339</v>
      </c>
    </row>
    <row r="3288" spans="1:19" x14ac:dyDescent="0.25">
      <c r="A3288" s="2">
        <v>46022</v>
      </c>
      <c r="B3288" s="1">
        <f t="shared" si="258"/>
        <v>53</v>
      </c>
      <c r="C3288">
        <f t="shared" si="260"/>
        <v>12</v>
      </c>
      <c r="D3288" t="str">
        <f t="shared" si="261"/>
        <v>December</v>
      </c>
      <c r="E3288">
        <f t="shared" si="262"/>
        <v>2025</v>
      </c>
      <c r="F3288" t="str">
        <f>CONCATENATE(calendar[[#This Row],[Month]],"/",calendar[[#This Row],[Year]])</f>
        <v>12/2025</v>
      </c>
      <c r="G3288">
        <f>WEEKDAY(calendar[[#This Row],[Date]],1)</f>
        <v>4</v>
      </c>
      <c r="H3288" t="str">
        <f>TEXT(calendar[[#This Row],[WeekDay]],"dddd")</f>
        <v>Wednesday</v>
      </c>
      <c r="I3288">
        <f>IF((INT(calendar[[#This Row],[Count]]/7)-calendar[[#This Row],[Count]]/7)&lt;0,I3287,I3287+1)</f>
        <v>470</v>
      </c>
      <c r="J3288">
        <f t="shared" si="259"/>
        <v>3286</v>
      </c>
      <c r="K3288">
        <f>IF(calendar[[#This Row],[Month]]&lt;4,1,IF(calendar[[#This Row],[Month]]&lt;7,2,IF(calendar[[#This Row],[Month]]&lt;10,3,4)))</f>
        <v>4</v>
      </c>
      <c r="L3288">
        <f>IFERROR(IF(VLOOKUP(calendar[[#This Row],[Date]],BH!A:A,1,)&lt;&gt;"",1,0),0)</f>
        <v>0</v>
      </c>
      <c r="M3288">
        <f>IFERROR(IF(VLOOKUP(calendar[[#This Row],[Date]],BH!C:C,1,)&lt;&gt;"",1,0),0)</f>
        <v>0</v>
      </c>
      <c r="N3288">
        <f>IFERROR(IF(VLOOKUP(calendar[[#This Row],[Date]],BH!E:E,1,)&lt;&gt;"",1,0),0)</f>
        <v>0</v>
      </c>
      <c r="O3288">
        <f>IFERROR(IF(VLOOKUP(calendar[[#This Row],[Date]],BH!G:G,1,)&lt;&gt;"",1,0),0)</f>
        <v>0</v>
      </c>
      <c r="P3288">
        <f>IF(OR(calendar[[#This Row],[UK_BH]]=1,calendar[[#This Row],[WeekDay]]=1, calendar[[#This Row],[WeekDay]]=7),P3287,P3287+1)</f>
        <v>2340</v>
      </c>
      <c r="Q3288">
        <f>IF(OR(calendar[[#This Row],[FR_BH]]=1,calendar[[#This Row],[WeekDay]]=1, calendar[[#This Row],[WeekDay]]=7),P3287,P3287+1)</f>
        <v>2340</v>
      </c>
      <c r="R3288">
        <f>IF(OR(calendar[[#This Row],[SP_BH]]=1,calendar[[#This Row],[WeekDay]]=1, calendar[[#This Row],[WeekDay]]=7),P3287,P3287+1)</f>
        <v>2340</v>
      </c>
      <c r="S3288">
        <f>IF(OR(calendar[[#This Row],[PT_BH]]=1,calendar[[#This Row],[WeekDay]]=1, calendar[[#This Row],[WeekDay]]=7),P3287,P3287+1)</f>
        <v>2340</v>
      </c>
    </row>
    <row r="3289" spans="1:19" x14ac:dyDescent="0.25">
      <c r="A3289" s="2">
        <v>46023</v>
      </c>
      <c r="B3289" s="1">
        <f t="shared" si="258"/>
        <v>1</v>
      </c>
      <c r="C3289">
        <f t="shared" si="260"/>
        <v>1</v>
      </c>
      <c r="D3289" t="str">
        <f t="shared" si="261"/>
        <v>January</v>
      </c>
      <c r="E3289">
        <f t="shared" si="262"/>
        <v>2026</v>
      </c>
      <c r="F3289" t="str">
        <f>CONCATENATE(calendar[[#This Row],[Month]],"/",calendar[[#This Row],[Year]])</f>
        <v>1/2026</v>
      </c>
      <c r="G3289">
        <f>WEEKDAY(calendar[[#This Row],[Date]],1)</f>
        <v>5</v>
      </c>
      <c r="H3289" t="str">
        <f>TEXT(calendar[[#This Row],[WeekDay]],"dddd")</f>
        <v>Thursday</v>
      </c>
      <c r="I3289">
        <f>IF((INT(calendar[[#This Row],[Count]]/7)-calendar[[#This Row],[Count]]/7)&lt;0,I3288,I3288+1)</f>
        <v>470</v>
      </c>
      <c r="J3289">
        <f t="shared" si="259"/>
        <v>3287</v>
      </c>
      <c r="K3289">
        <f>IF(calendar[[#This Row],[Month]]&lt;4,1,IF(calendar[[#This Row],[Month]]&lt;7,2,IF(calendar[[#This Row],[Month]]&lt;10,3,4)))</f>
        <v>1</v>
      </c>
      <c r="L3289">
        <f>IFERROR(IF(VLOOKUP(calendar[[#This Row],[Date]],BH!A:A,1,)&lt;&gt;"",1,0),0)</f>
        <v>1</v>
      </c>
      <c r="M3289">
        <f>IFERROR(IF(VLOOKUP(calendar[[#This Row],[Date]],BH!C:C,1,)&lt;&gt;"",1,0),0)</f>
        <v>1</v>
      </c>
      <c r="N3289">
        <f>IFERROR(IF(VLOOKUP(calendar[[#This Row],[Date]],BH!E:E,1,)&lt;&gt;"",1,0),0)</f>
        <v>1</v>
      </c>
      <c r="O3289">
        <f>IFERROR(IF(VLOOKUP(calendar[[#This Row],[Date]],BH!G:G,1,)&lt;&gt;"",1,0),0)</f>
        <v>1</v>
      </c>
      <c r="P3289">
        <f>IF(OR(calendar[[#This Row],[UK_BH]]=1,calendar[[#This Row],[WeekDay]]=1, calendar[[#This Row],[WeekDay]]=7),P3288,P3288+1)</f>
        <v>2340</v>
      </c>
      <c r="Q3289">
        <f>IF(OR(calendar[[#This Row],[FR_BH]]=1,calendar[[#This Row],[WeekDay]]=1, calendar[[#This Row],[WeekDay]]=7),P3288,P3288+1)</f>
        <v>2340</v>
      </c>
      <c r="R3289">
        <f>IF(OR(calendar[[#This Row],[SP_BH]]=1,calendar[[#This Row],[WeekDay]]=1, calendar[[#This Row],[WeekDay]]=7),P3288,P3288+1)</f>
        <v>2340</v>
      </c>
      <c r="S3289">
        <f>IF(OR(calendar[[#This Row],[PT_BH]]=1,calendar[[#This Row],[WeekDay]]=1, calendar[[#This Row],[WeekDay]]=7),P3288,P3288+1)</f>
        <v>2340</v>
      </c>
    </row>
    <row r="3290" spans="1:19" x14ac:dyDescent="0.25">
      <c r="A3290" s="2">
        <v>46024</v>
      </c>
      <c r="B3290" s="1">
        <f t="shared" si="258"/>
        <v>1</v>
      </c>
      <c r="C3290">
        <f t="shared" si="260"/>
        <v>1</v>
      </c>
      <c r="D3290" t="str">
        <f t="shared" si="261"/>
        <v>January</v>
      </c>
      <c r="E3290">
        <f t="shared" si="262"/>
        <v>2026</v>
      </c>
      <c r="F3290" t="str">
        <f>CONCATENATE(calendar[[#This Row],[Month]],"/",calendar[[#This Row],[Year]])</f>
        <v>1/2026</v>
      </c>
      <c r="G3290">
        <f>WEEKDAY(calendar[[#This Row],[Date]],1)</f>
        <v>6</v>
      </c>
      <c r="H3290" t="str">
        <f>TEXT(calendar[[#This Row],[WeekDay]],"dddd")</f>
        <v>Friday</v>
      </c>
      <c r="I3290">
        <f>IF((INT(calendar[[#This Row],[Count]]/7)-calendar[[#This Row],[Count]]/7)&lt;0,I3289,I3289+1)</f>
        <v>470</v>
      </c>
      <c r="J3290">
        <f t="shared" si="259"/>
        <v>3288</v>
      </c>
      <c r="K3290">
        <f>IF(calendar[[#This Row],[Month]]&lt;4,1,IF(calendar[[#This Row],[Month]]&lt;7,2,IF(calendar[[#This Row],[Month]]&lt;10,3,4)))</f>
        <v>1</v>
      </c>
      <c r="L3290">
        <f>IFERROR(IF(VLOOKUP(calendar[[#This Row],[Date]],BH!A:A,1,)&lt;&gt;"",1,0),0)</f>
        <v>0</v>
      </c>
      <c r="M3290">
        <f>IFERROR(IF(VLOOKUP(calendar[[#This Row],[Date]],BH!C:C,1,)&lt;&gt;"",1,0),0)</f>
        <v>0</v>
      </c>
      <c r="N3290">
        <f>IFERROR(IF(VLOOKUP(calendar[[#This Row],[Date]],BH!E:E,1,)&lt;&gt;"",1,0),0)</f>
        <v>0</v>
      </c>
      <c r="O3290">
        <f>IFERROR(IF(VLOOKUP(calendar[[#This Row],[Date]],BH!G:G,1,)&lt;&gt;"",1,0),0)</f>
        <v>0</v>
      </c>
      <c r="P3290">
        <f>IF(OR(calendar[[#This Row],[UK_BH]]=1,calendar[[#This Row],[WeekDay]]=1, calendar[[#This Row],[WeekDay]]=7),P3289,P3289+1)</f>
        <v>2341</v>
      </c>
      <c r="Q3290">
        <f>IF(OR(calendar[[#This Row],[FR_BH]]=1,calendar[[#This Row],[WeekDay]]=1, calendar[[#This Row],[WeekDay]]=7),P3289,P3289+1)</f>
        <v>2341</v>
      </c>
      <c r="R3290">
        <f>IF(OR(calendar[[#This Row],[SP_BH]]=1,calendar[[#This Row],[WeekDay]]=1, calendar[[#This Row],[WeekDay]]=7),P3289,P3289+1)</f>
        <v>2341</v>
      </c>
      <c r="S3290">
        <f>IF(OR(calendar[[#This Row],[PT_BH]]=1,calendar[[#This Row],[WeekDay]]=1, calendar[[#This Row],[WeekDay]]=7),P3289,P3289+1)</f>
        <v>2341</v>
      </c>
    </row>
    <row r="3291" spans="1:19" x14ac:dyDescent="0.25">
      <c r="A3291" s="2">
        <v>46025</v>
      </c>
      <c r="B3291" s="1">
        <f t="shared" si="258"/>
        <v>1</v>
      </c>
      <c r="C3291">
        <f t="shared" si="260"/>
        <v>1</v>
      </c>
      <c r="D3291" t="str">
        <f t="shared" si="261"/>
        <v>January</v>
      </c>
      <c r="E3291">
        <f t="shared" si="262"/>
        <v>2026</v>
      </c>
      <c r="F3291" t="str">
        <f>CONCATENATE(calendar[[#This Row],[Month]],"/",calendar[[#This Row],[Year]])</f>
        <v>1/2026</v>
      </c>
      <c r="G3291">
        <f>WEEKDAY(calendar[[#This Row],[Date]],1)</f>
        <v>7</v>
      </c>
      <c r="H3291" t="str">
        <f>TEXT(calendar[[#This Row],[WeekDay]],"dddd")</f>
        <v>Saturday</v>
      </c>
      <c r="I3291">
        <f>IF((INT(calendar[[#This Row],[Count]]/7)-calendar[[#This Row],[Count]]/7)&lt;0,I3290,I3290+1)</f>
        <v>470</v>
      </c>
      <c r="J3291">
        <f t="shared" si="259"/>
        <v>3289</v>
      </c>
      <c r="K3291">
        <f>IF(calendar[[#This Row],[Month]]&lt;4,1,IF(calendar[[#This Row],[Month]]&lt;7,2,IF(calendar[[#This Row],[Month]]&lt;10,3,4)))</f>
        <v>1</v>
      </c>
      <c r="L3291">
        <f>IFERROR(IF(VLOOKUP(calendar[[#This Row],[Date]],BH!A:A,1,)&lt;&gt;"",1,0),0)</f>
        <v>0</v>
      </c>
      <c r="M3291">
        <f>IFERROR(IF(VLOOKUP(calendar[[#This Row],[Date]],BH!C:C,1,)&lt;&gt;"",1,0),0)</f>
        <v>0</v>
      </c>
      <c r="N3291">
        <f>IFERROR(IF(VLOOKUP(calendar[[#This Row],[Date]],BH!E:E,1,)&lt;&gt;"",1,0),0)</f>
        <v>0</v>
      </c>
      <c r="O3291">
        <f>IFERROR(IF(VLOOKUP(calendar[[#This Row],[Date]],BH!G:G,1,)&lt;&gt;"",1,0),0)</f>
        <v>0</v>
      </c>
      <c r="P3291">
        <f>IF(OR(calendar[[#This Row],[UK_BH]]=1,calendar[[#This Row],[WeekDay]]=1, calendar[[#This Row],[WeekDay]]=7),P3290,P3290+1)</f>
        <v>2341</v>
      </c>
      <c r="Q3291">
        <f>IF(OR(calendar[[#This Row],[FR_BH]]=1,calendar[[#This Row],[WeekDay]]=1, calendar[[#This Row],[WeekDay]]=7),P3290,P3290+1)</f>
        <v>2341</v>
      </c>
      <c r="R3291">
        <f>IF(OR(calendar[[#This Row],[SP_BH]]=1,calendar[[#This Row],[WeekDay]]=1, calendar[[#This Row],[WeekDay]]=7),P3290,P3290+1)</f>
        <v>2341</v>
      </c>
      <c r="S3291">
        <f>IF(OR(calendar[[#This Row],[PT_BH]]=1,calendar[[#This Row],[WeekDay]]=1, calendar[[#This Row],[WeekDay]]=7),P3290,P3290+1)</f>
        <v>2341</v>
      </c>
    </row>
    <row r="3292" spans="1:19" x14ac:dyDescent="0.25">
      <c r="A3292" s="2">
        <v>46026</v>
      </c>
      <c r="B3292" s="1">
        <f t="shared" si="258"/>
        <v>2</v>
      </c>
      <c r="C3292">
        <f t="shared" ref="C3292:C3355" si="263">MONTH(A3292)</f>
        <v>1</v>
      </c>
      <c r="D3292" t="str">
        <f t="shared" ref="D3292:D3355" si="264">TEXT(A3292,"mmmm")</f>
        <v>January</v>
      </c>
      <c r="E3292">
        <f t="shared" ref="E3292:E3355" si="265">YEAR(A3292)</f>
        <v>2026</v>
      </c>
      <c r="F3292" t="str">
        <f>CONCATENATE(calendar[[#This Row],[Month]],"/",calendar[[#This Row],[Year]])</f>
        <v>1/2026</v>
      </c>
      <c r="G3292">
        <f>WEEKDAY(calendar[[#This Row],[Date]],1)</f>
        <v>1</v>
      </c>
      <c r="H3292" t="str">
        <f>TEXT(calendar[[#This Row],[WeekDay]],"dddd")</f>
        <v>Sunday</v>
      </c>
      <c r="I3292">
        <f>IF((INT(calendar[[#This Row],[Count]]/7)-calendar[[#This Row],[Count]]/7)&lt;0,I3291,I3291+1)</f>
        <v>471</v>
      </c>
      <c r="J3292">
        <f t="shared" si="259"/>
        <v>3290</v>
      </c>
      <c r="K3292">
        <f>IF(calendar[[#This Row],[Month]]&lt;4,1,IF(calendar[[#This Row],[Month]]&lt;7,2,IF(calendar[[#This Row],[Month]]&lt;10,3,4)))</f>
        <v>1</v>
      </c>
      <c r="L3292">
        <f>IFERROR(IF(VLOOKUP(calendar[[#This Row],[Date]],BH!A:A,1,)&lt;&gt;"",1,0),0)</f>
        <v>0</v>
      </c>
      <c r="M3292">
        <f>IFERROR(IF(VLOOKUP(calendar[[#This Row],[Date]],BH!C:C,1,)&lt;&gt;"",1,0),0)</f>
        <v>0</v>
      </c>
      <c r="N3292">
        <f>IFERROR(IF(VLOOKUP(calendar[[#This Row],[Date]],BH!E:E,1,)&lt;&gt;"",1,0),0)</f>
        <v>0</v>
      </c>
      <c r="O3292">
        <f>IFERROR(IF(VLOOKUP(calendar[[#This Row],[Date]],BH!G:G,1,)&lt;&gt;"",1,0),0)</f>
        <v>0</v>
      </c>
      <c r="P3292">
        <f>IF(OR(calendar[[#This Row],[UK_BH]]=1,calendar[[#This Row],[WeekDay]]=1, calendar[[#This Row],[WeekDay]]=7),P3291,P3291+1)</f>
        <v>2341</v>
      </c>
      <c r="Q3292">
        <f>IF(OR(calendar[[#This Row],[FR_BH]]=1,calendar[[#This Row],[WeekDay]]=1, calendar[[#This Row],[WeekDay]]=7),P3291,P3291+1)</f>
        <v>2341</v>
      </c>
      <c r="R3292">
        <f>IF(OR(calendar[[#This Row],[SP_BH]]=1,calendar[[#This Row],[WeekDay]]=1, calendar[[#This Row],[WeekDay]]=7),P3291,P3291+1)</f>
        <v>2341</v>
      </c>
      <c r="S3292">
        <f>IF(OR(calendar[[#This Row],[PT_BH]]=1,calendar[[#This Row],[WeekDay]]=1, calendar[[#This Row],[WeekDay]]=7),P3291,P3291+1)</f>
        <v>2341</v>
      </c>
    </row>
    <row r="3293" spans="1:19" x14ac:dyDescent="0.25">
      <c r="A3293" s="2">
        <v>46027</v>
      </c>
      <c r="B3293" s="1">
        <f t="shared" si="258"/>
        <v>2</v>
      </c>
      <c r="C3293">
        <f t="shared" si="263"/>
        <v>1</v>
      </c>
      <c r="D3293" t="str">
        <f t="shared" si="264"/>
        <v>January</v>
      </c>
      <c r="E3293">
        <f t="shared" si="265"/>
        <v>2026</v>
      </c>
      <c r="F3293" t="str">
        <f>CONCATENATE(calendar[[#This Row],[Month]],"/",calendar[[#This Row],[Year]])</f>
        <v>1/2026</v>
      </c>
      <c r="G3293">
        <f>WEEKDAY(calendar[[#This Row],[Date]],1)</f>
        <v>2</v>
      </c>
      <c r="H3293" t="str">
        <f>TEXT(calendar[[#This Row],[WeekDay]],"dddd")</f>
        <v>Monday</v>
      </c>
      <c r="I3293">
        <f>IF((INT(calendar[[#This Row],[Count]]/7)-calendar[[#This Row],[Count]]/7)&lt;0,I3292,I3292+1)</f>
        <v>471</v>
      </c>
      <c r="J3293">
        <f t="shared" si="259"/>
        <v>3291</v>
      </c>
      <c r="K3293">
        <f>IF(calendar[[#This Row],[Month]]&lt;4,1,IF(calendar[[#This Row],[Month]]&lt;7,2,IF(calendar[[#This Row],[Month]]&lt;10,3,4)))</f>
        <v>1</v>
      </c>
      <c r="L3293">
        <f>IFERROR(IF(VLOOKUP(calendar[[#This Row],[Date]],BH!A:A,1,)&lt;&gt;"",1,0),0)</f>
        <v>0</v>
      </c>
      <c r="M3293">
        <f>IFERROR(IF(VLOOKUP(calendar[[#This Row],[Date]],BH!C:C,1,)&lt;&gt;"",1,0),0)</f>
        <v>0</v>
      </c>
      <c r="N3293">
        <f>IFERROR(IF(VLOOKUP(calendar[[#This Row],[Date]],BH!E:E,1,)&lt;&gt;"",1,0),0)</f>
        <v>0</v>
      </c>
      <c r="O3293">
        <f>IFERROR(IF(VLOOKUP(calendar[[#This Row],[Date]],BH!G:G,1,)&lt;&gt;"",1,0),0)</f>
        <v>0</v>
      </c>
      <c r="P3293">
        <f>IF(OR(calendar[[#This Row],[UK_BH]]=1,calendar[[#This Row],[WeekDay]]=1, calendar[[#This Row],[WeekDay]]=7),P3292,P3292+1)</f>
        <v>2342</v>
      </c>
      <c r="Q3293">
        <f>IF(OR(calendar[[#This Row],[FR_BH]]=1,calendar[[#This Row],[WeekDay]]=1, calendar[[#This Row],[WeekDay]]=7),P3292,P3292+1)</f>
        <v>2342</v>
      </c>
      <c r="R3293">
        <f>IF(OR(calendar[[#This Row],[SP_BH]]=1,calendar[[#This Row],[WeekDay]]=1, calendar[[#This Row],[WeekDay]]=7),P3292,P3292+1)</f>
        <v>2342</v>
      </c>
      <c r="S3293">
        <f>IF(OR(calendar[[#This Row],[PT_BH]]=1,calendar[[#This Row],[WeekDay]]=1, calendar[[#This Row],[WeekDay]]=7),P3292,P3292+1)</f>
        <v>2342</v>
      </c>
    </row>
    <row r="3294" spans="1:19" x14ac:dyDescent="0.25">
      <c r="A3294" s="2">
        <v>46028</v>
      </c>
      <c r="B3294" s="1">
        <f t="shared" si="258"/>
        <v>2</v>
      </c>
      <c r="C3294">
        <f t="shared" si="263"/>
        <v>1</v>
      </c>
      <c r="D3294" t="str">
        <f t="shared" si="264"/>
        <v>January</v>
      </c>
      <c r="E3294">
        <f t="shared" si="265"/>
        <v>2026</v>
      </c>
      <c r="F3294" t="str">
        <f>CONCATENATE(calendar[[#This Row],[Month]],"/",calendar[[#This Row],[Year]])</f>
        <v>1/2026</v>
      </c>
      <c r="G3294">
        <f>WEEKDAY(calendar[[#This Row],[Date]],1)</f>
        <v>3</v>
      </c>
      <c r="H3294" t="str">
        <f>TEXT(calendar[[#This Row],[WeekDay]],"dddd")</f>
        <v>Tuesday</v>
      </c>
      <c r="I3294">
        <f>IF((INT(calendar[[#This Row],[Count]]/7)-calendar[[#This Row],[Count]]/7)&lt;0,I3293,I3293+1)</f>
        <v>471</v>
      </c>
      <c r="J3294">
        <f t="shared" si="259"/>
        <v>3292</v>
      </c>
      <c r="K3294">
        <f>IF(calendar[[#This Row],[Month]]&lt;4,1,IF(calendar[[#This Row],[Month]]&lt;7,2,IF(calendar[[#This Row],[Month]]&lt;10,3,4)))</f>
        <v>1</v>
      </c>
      <c r="L3294">
        <f>IFERROR(IF(VLOOKUP(calendar[[#This Row],[Date]],BH!A:A,1,)&lt;&gt;"",1,0),0)</f>
        <v>0</v>
      </c>
      <c r="M3294">
        <f>IFERROR(IF(VLOOKUP(calendar[[#This Row],[Date]],BH!C:C,1,)&lt;&gt;"",1,0),0)</f>
        <v>0</v>
      </c>
      <c r="N3294">
        <f>IFERROR(IF(VLOOKUP(calendar[[#This Row],[Date]],BH!E:E,1,)&lt;&gt;"",1,0),0)</f>
        <v>1</v>
      </c>
      <c r="O3294">
        <f>IFERROR(IF(VLOOKUP(calendar[[#This Row],[Date]],BH!G:G,1,)&lt;&gt;"",1,0),0)</f>
        <v>0</v>
      </c>
      <c r="P3294">
        <f>IF(OR(calendar[[#This Row],[UK_BH]]=1,calendar[[#This Row],[WeekDay]]=1, calendar[[#This Row],[WeekDay]]=7),P3293,P3293+1)</f>
        <v>2343</v>
      </c>
      <c r="Q3294">
        <f>IF(OR(calendar[[#This Row],[FR_BH]]=1,calendar[[#This Row],[WeekDay]]=1, calendar[[#This Row],[WeekDay]]=7),P3293,P3293+1)</f>
        <v>2343</v>
      </c>
      <c r="R3294">
        <f>IF(OR(calendar[[#This Row],[SP_BH]]=1,calendar[[#This Row],[WeekDay]]=1, calendar[[#This Row],[WeekDay]]=7),P3293,P3293+1)</f>
        <v>2342</v>
      </c>
      <c r="S3294">
        <f>IF(OR(calendar[[#This Row],[PT_BH]]=1,calendar[[#This Row],[WeekDay]]=1, calendar[[#This Row],[WeekDay]]=7),P3293,P3293+1)</f>
        <v>2343</v>
      </c>
    </row>
    <row r="3295" spans="1:19" x14ac:dyDescent="0.25">
      <c r="A3295" s="2">
        <v>46029</v>
      </c>
      <c r="B3295" s="1">
        <f t="shared" si="258"/>
        <v>2</v>
      </c>
      <c r="C3295">
        <f t="shared" si="263"/>
        <v>1</v>
      </c>
      <c r="D3295" t="str">
        <f t="shared" si="264"/>
        <v>January</v>
      </c>
      <c r="E3295">
        <f t="shared" si="265"/>
        <v>2026</v>
      </c>
      <c r="F3295" t="str">
        <f>CONCATENATE(calendar[[#This Row],[Month]],"/",calendar[[#This Row],[Year]])</f>
        <v>1/2026</v>
      </c>
      <c r="G3295">
        <f>WEEKDAY(calendar[[#This Row],[Date]],1)</f>
        <v>4</v>
      </c>
      <c r="H3295" t="str">
        <f>TEXT(calendar[[#This Row],[WeekDay]],"dddd")</f>
        <v>Wednesday</v>
      </c>
      <c r="I3295">
        <f>IF((INT(calendar[[#This Row],[Count]]/7)-calendar[[#This Row],[Count]]/7)&lt;0,I3294,I3294+1)</f>
        <v>471</v>
      </c>
      <c r="J3295">
        <f t="shared" si="259"/>
        <v>3293</v>
      </c>
      <c r="K3295">
        <f>IF(calendar[[#This Row],[Month]]&lt;4,1,IF(calendar[[#This Row],[Month]]&lt;7,2,IF(calendar[[#This Row],[Month]]&lt;10,3,4)))</f>
        <v>1</v>
      </c>
      <c r="L3295">
        <f>IFERROR(IF(VLOOKUP(calendar[[#This Row],[Date]],BH!A:A,1,)&lt;&gt;"",1,0),0)</f>
        <v>0</v>
      </c>
      <c r="M3295">
        <f>IFERROR(IF(VLOOKUP(calendar[[#This Row],[Date]],BH!C:C,1,)&lt;&gt;"",1,0),0)</f>
        <v>0</v>
      </c>
      <c r="N3295">
        <f>IFERROR(IF(VLOOKUP(calendar[[#This Row],[Date]],BH!E:E,1,)&lt;&gt;"",1,0),0)</f>
        <v>0</v>
      </c>
      <c r="O3295">
        <f>IFERROR(IF(VLOOKUP(calendar[[#This Row],[Date]],BH!G:G,1,)&lt;&gt;"",1,0),0)</f>
        <v>0</v>
      </c>
      <c r="P3295">
        <f>IF(OR(calendar[[#This Row],[UK_BH]]=1,calendar[[#This Row],[WeekDay]]=1, calendar[[#This Row],[WeekDay]]=7),P3294,P3294+1)</f>
        <v>2344</v>
      </c>
      <c r="Q3295">
        <f>IF(OR(calendar[[#This Row],[FR_BH]]=1,calendar[[#This Row],[WeekDay]]=1, calendar[[#This Row],[WeekDay]]=7),P3294,P3294+1)</f>
        <v>2344</v>
      </c>
      <c r="R3295">
        <f>IF(OR(calendar[[#This Row],[SP_BH]]=1,calendar[[#This Row],[WeekDay]]=1, calendar[[#This Row],[WeekDay]]=7),P3294,P3294+1)</f>
        <v>2344</v>
      </c>
      <c r="S3295">
        <f>IF(OR(calendar[[#This Row],[PT_BH]]=1,calendar[[#This Row],[WeekDay]]=1, calendar[[#This Row],[WeekDay]]=7),P3294,P3294+1)</f>
        <v>2344</v>
      </c>
    </row>
    <row r="3296" spans="1:19" x14ac:dyDescent="0.25">
      <c r="A3296" s="2">
        <v>46030</v>
      </c>
      <c r="B3296" s="1">
        <f t="shared" si="258"/>
        <v>2</v>
      </c>
      <c r="C3296">
        <f t="shared" si="263"/>
        <v>1</v>
      </c>
      <c r="D3296" t="str">
        <f t="shared" si="264"/>
        <v>January</v>
      </c>
      <c r="E3296">
        <f t="shared" si="265"/>
        <v>2026</v>
      </c>
      <c r="F3296" t="str">
        <f>CONCATENATE(calendar[[#This Row],[Month]],"/",calendar[[#This Row],[Year]])</f>
        <v>1/2026</v>
      </c>
      <c r="G3296">
        <f>WEEKDAY(calendar[[#This Row],[Date]],1)</f>
        <v>5</v>
      </c>
      <c r="H3296" t="str">
        <f>TEXT(calendar[[#This Row],[WeekDay]],"dddd")</f>
        <v>Thursday</v>
      </c>
      <c r="I3296">
        <f>IF((INT(calendar[[#This Row],[Count]]/7)-calendar[[#This Row],[Count]]/7)&lt;0,I3295,I3295+1)</f>
        <v>471</v>
      </c>
      <c r="J3296">
        <f t="shared" si="259"/>
        <v>3294</v>
      </c>
      <c r="K3296">
        <f>IF(calendar[[#This Row],[Month]]&lt;4,1,IF(calendar[[#This Row],[Month]]&lt;7,2,IF(calendar[[#This Row],[Month]]&lt;10,3,4)))</f>
        <v>1</v>
      </c>
      <c r="L3296">
        <f>IFERROR(IF(VLOOKUP(calendar[[#This Row],[Date]],BH!A:A,1,)&lt;&gt;"",1,0),0)</f>
        <v>0</v>
      </c>
      <c r="M3296">
        <f>IFERROR(IF(VLOOKUP(calendar[[#This Row],[Date]],BH!C:C,1,)&lt;&gt;"",1,0),0)</f>
        <v>0</v>
      </c>
      <c r="N3296">
        <f>IFERROR(IF(VLOOKUP(calendar[[#This Row],[Date]],BH!E:E,1,)&lt;&gt;"",1,0),0)</f>
        <v>0</v>
      </c>
      <c r="O3296">
        <f>IFERROR(IF(VLOOKUP(calendar[[#This Row],[Date]],BH!G:G,1,)&lt;&gt;"",1,0),0)</f>
        <v>0</v>
      </c>
      <c r="P3296">
        <f>IF(OR(calendar[[#This Row],[UK_BH]]=1,calendar[[#This Row],[WeekDay]]=1, calendar[[#This Row],[WeekDay]]=7),P3295,P3295+1)</f>
        <v>2345</v>
      </c>
      <c r="Q3296">
        <f>IF(OR(calendar[[#This Row],[FR_BH]]=1,calendar[[#This Row],[WeekDay]]=1, calendar[[#This Row],[WeekDay]]=7),P3295,P3295+1)</f>
        <v>2345</v>
      </c>
      <c r="R3296">
        <f>IF(OR(calendar[[#This Row],[SP_BH]]=1,calendar[[#This Row],[WeekDay]]=1, calendar[[#This Row],[WeekDay]]=7),P3295,P3295+1)</f>
        <v>2345</v>
      </c>
      <c r="S3296">
        <f>IF(OR(calendar[[#This Row],[PT_BH]]=1,calendar[[#This Row],[WeekDay]]=1, calendar[[#This Row],[WeekDay]]=7),P3295,P3295+1)</f>
        <v>2345</v>
      </c>
    </row>
    <row r="3297" spans="1:19" x14ac:dyDescent="0.25">
      <c r="A3297" s="2">
        <v>46031</v>
      </c>
      <c r="B3297" s="1">
        <f t="shared" si="258"/>
        <v>2</v>
      </c>
      <c r="C3297">
        <f t="shared" si="263"/>
        <v>1</v>
      </c>
      <c r="D3297" t="str">
        <f t="shared" si="264"/>
        <v>January</v>
      </c>
      <c r="E3297">
        <f t="shared" si="265"/>
        <v>2026</v>
      </c>
      <c r="F3297" t="str">
        <f>CONCATENATE(calendar[[#This Row],[Month]],"/",calendar[[#This Row],[Year]])</f>
        <v>1/2026</v>
      </c>
      <c r="G3297">
        <f>WEEKDAY(calendar[[#This Row],[Date]],1)</f>
        <v>6</v>
      </c>
      <c r="H3297" t="str">
        <f>TEXT(calendar[[#This Row],[WeekDay]],"dddd")</f>
        <v>Friday</v>
      </c>
      <c r="I3297">
        <f>IF((INT(calendar[[#This Row],[Count]]/7)-calendar[[#This Row],[Count]]/7)&lt;0,I3296,I3296+1)</f>
        <v>471</v>
      </c>
      <c r="J3297">
        <f t="shared" si="259"/>
        <v>3295</v>
      </c>
      <c r="K3297">
        <f>IF(calendar[[#This Row],[Month]]&lt;4,1,IF(calendar[[#This Row],[Month]]&lt;7,2,IF(calendar[[#This Row],[Month]]&lt;10,3,4)))</f>
        <v>1</v>
      </c>
      <c r="L3297">
        <f>IFERROR(IF(VLOOKUP(calendar[[#This Row],[Date]],BH!A:A,1,)&lt;&gt;"",1,0),0)</f>
        <v>0</v>
      </c>
      <c r="M3297">
        <f>IFERROR(IF(VLOOKUP(calendar[[#This Row],[Date]],BH!C:C,1,)&lt;&gt;"",1,0),0)</f>
        <v>0</v>
      </c>
      <c r="N3297">
        <f>IFERROR(IF(VLOOKUP(calendar[[#This Row],[Date]],BH!E:E,1,)&lt;&gt;"",1,0),0)</f>
        <v>0</v>
      </c>
      <c r="O3297">
        <f>IFERROR(IF(VLOOKUP(calendar[[#This Row],[Date]],BH!G:G,1,)&lt;&gt;"",1,0),0)</f>
        <v>0</v>
      </c>
      <c r="P3297">
        <f>IF(OR(calendar[[#This Row],[UK_BH]]=1,calendar[[#This Row],[WeekDay]]=1, calendar[[#This Row],[WeekDay]]=7),P3296,P3296+1)</f>
        <v>2346</v>
      </c>
      <c r="Q3297">
        <f>IF(OR(calendar[[#This Row],[FR_BH]]=1,calendar[[#This Row],[WeekDay]]=1, calendar[[#This Row],[WeekDay]]=7),P3296,P3296+1)</f>
        <v>2346</v>
      </c>
      <c r="R3297">
        <f>IF(OR(calendar[[#This Row],[SP_BH]]=1,calendar[[#This Row],[WeekDay]]=1, calendar[[#This Row],[WeekDay]]=7),P3296,P3296+1)</f>
        <v>2346</v>
      </c>
      <c r="S3297">
        <f>IF(OR(calendar[[#This Row],[PT_BH]]=1,calendar[[#This Row],[WeekDay]]=1, calendar[[#This Row],[WeekDay]]=7),P3296,P3296+1)</f>
        <v>2346</v>
      </c>
    </row>
    <row r="3298" spans="1:19" x14ac:dyDescent="0.25">
      <c r="A3298" s="2">
        <v>46032</v>
      </c>
      <c r="B3298" s="1">
        <f t="shared" si="258"/>
        <v>2</v>
      </c>
      <c r="C3298">
        <f t="shared" si="263"/>
        <v>1</v>
      </c>
      <c r="D3298" t="str">
        <f t="shared" si="264"/>
        <v>January</v>
      </c>
      <c r="E3298">
        <f t="shared" si="265"/>
        <v>2026</v>
      </c>
      <c r="F3298" t="str">
        <f>CONCATENATE(calendar[[#This Row],[Month]],"/",calendar[[#This Row],[Year]])</f>
        <v>1/2026</v>
      </c>
      <c r="G3298">
        <f>WEEKDAY(calendar[[#This Row],[Date]],1)</f>
        <v>7</v>
      </c>
      <c r="H3298" t="str">
        <f>TEXT(calendar[[#This Row],[WeekDay]],"dddd")</f>
        <v>Saturday</v>
      </c>
      <c r="I3298">
        <f>IF((INT(calendar[[#This Row],[Count]]/7)-calendar[[#This Row],[Count]]/7)&lt;0,I3297,I3297+1)</f>
        <v>471</v>
      </c>
      <c r="J3298">
        <f t="shared" si="259"/>
        <v>3296</v>
      </c>
      <c r="K3298">
        <f>IF(calendar[[#This Row],[Month]]&lt;4,1,IF(calendar[[#This Row],[Month]]&lt;7,2,IF(calendar[[#This Row],[Month]]&lt;10,3,4)))</f>
        <v>1</v>
      </c>
      <c r="L3298">
        <f>IFERROR(IF(VLOOKUP(calendar[[#This Row],[Date]],BH!A:A,1,)&lt;&gt;"",1,0),0)</f>
        <v>0</v>
      </c>
      <c r="M3298">
        <f>IFERROR(IF(VLOOKUP(calendar[[#This Row],[Date]],BH!C:C,1,)&lt;&gt;"",1,0),0)</f>
        <v>0</v>
      </c>
      <c r="N3298">
        <f>IFERROR(IF(VLOOKUP(calendar[[#This Row],[Date]],BH!E:E,1,)&lt;&gt;"",1,0),0)</f>
        <v>0</v>
      </c>
      <c r="O3298">
        <f>IFERROR(IF(VLOOKUP(calendar[[#This Row],[Date]],BH!G:G,1,)&lt;&gt;"",1,0),0)</f>
        <v>0</v>
      </c>
      <c r="P3298">
        <f>IF(OR(calendar[[#This Row],[UK_BH]]=1,calendar[[#This Row],[WeekDay]]=1, calendar[[#This Row],[WeekDay]]=7),P3297,P3297+1)</f>
        <v>2346</v>
      </c>
      <c r="Q3298">
        <f>IF(OR(calendar[[#This Row],[FR_BH]]=1,calendar[[#This Row],[WeekDay]]=1, calendar[[#This Row],[WeekDay]]=7),P3297,P3297+1)</f>
        <v>2346</v>
      </c>
      <c r="R3298">
        <f>IF(OR(calendar[[#This Row],[SP_BH]]=1,calendar[[#This Row],[WeekDay]]=1, calendar[[#This Row],[WeekDay]]=7),P3297,P3297+1)</f>
        <v>2346</v>
      </c>
      <c r="S3298">
        <f>IF(OR(calendar[[#This Row],[PT_BH]]=1,calendar[[#This Row],[WeekDay]]=1, calendar[[#This Row],[WeekDay]]=7),P3297,P3297+1)</f>
        <v>2346</v>
      </c>
    </row>
    <row r="3299" spans="1:19" x14ac:dyDescent="0.25">
      <c r="A3299" s="2">
        <v>46033</v>
      </c>
      <c r="B3299" s="1">
        <f t="shared" si="258"/>
        <v>3</v>
      </c>
      <c r="C3299">
        <f t="shared" si="263"/>
        <v>1</v>
      </c>
      <c r="D3299" t="str">
        <f t="shared" si="264"/>
        <v>January</v>
      </c>
      <c r="E3299">
        <f t="shared" si="265"/>
        <v>2026</v>
      </c>
      <c r="F3299" t="str">
        <f>CONCATENATE(calendar[[#This Row],[Month]],"/",calendar[[#This Row],[Year]])</f>
        <v>1/2026</v>
      </c>
      <c r="G3299">
        <f>WEEKDAY(calendar[[#This Row],[Date]],1)</f>
        <v>1</v>
      </c>
      <c r="H3299" t="str">
        <f>TEXT(calendar[[#This Row],[WeekDay]],"dddd")</f>
        <v>Sunday</v>
      </c>
      <c r="I3299">
        <f>IF((INT(calendar[[#This Row],[Count]]/7)-calendar[[#This Row],[Count]]/7)&lt;0,I3298,I3298+1)</f>
        <v>472</v>
      </c>
      <c r="J3299">
        <f t="shared" si="259"/>
        <v>3297</v>
      </c>
      <c r="K3299">
        <f>IF(calendar[[#This Row],[Month]]&lt;4,1,IF(calendar[[#This Row],[Month]]&lt;7,2,IF(calendar[[#This Row],[Month]]&lt;10,3,4)))</f>
        <v>1</v>
      </c>
      <c r="L3299">
        <f>IFERROR(IF(VLOOKUP(calendar[[#This Row],[Date]],BH!A:A,1,)&lt;&gt;"",1,0),0)</f>
        <v>0</v>
      </c>
      <c r="M3299">
        <f>IFERROR(IF(VLOOKUP(calendar[[#This Row],[Date]],BH!C:C,1,)&lt;&gt;"",1,0),0)</f>
        <v>0</v>
      </c>
      <c r="N3299">
        <f>IFERROR(IF(VLOOKUP(calendar[[#This Row],[Date]],BH!E:E,1,)&lt;&gt;"",1,0),0)</f>
        <v>0</v>
      </c>
      <c r="O3299">
        <f>IFERROR(IF(VLOOKUP(calendar[[#This Row],[Date]],BH!G:G,1,)&lt;&gt;"",1,0),0)</f>
        <v>0</v>
      </c>
      <c r="P3299">
        <f>IF(OR(calendar[[#This Row],[UK_BH]]=1,calendar[[#This Row],[WeekDay]]=1, calendar[[#This Row],[WeekDay]]=7),P3298,P3298+1)</f>
        <v>2346</v>
      </c>
      <c r="Q3299">
        <f>IF(OR(calendar[[#This Row],[FR_BH]]=1,calendar[[#This Row],[WeekDay]]=1, calendar[[#This Row],[WeekDay]]=7),P3298,P3298+1)</f>
        <v>2346</v>
      </c>
      <c r="R3299">
        <f>IF(OR(calendar[[#This Row],[SP_BH]]=1,calendar[[#This Row],[WeekDay]]=1, calendar[[#This Row],[WeekDay]]=7),P3298,P3298+1)</f>
        <v>2346</v>
      </c>
      <c r="S3299">
        <f>IF(OR(calendar[[#This Row],[PT_BH]]=1,calendar[[#This Row],[WeekDay]]=1, calendar[[#This Row],[WeekDay]]=7),P3298,P3298+1)</f>
        <v>2346</v>
      </c>
    </row>
    <row r="3300" spans="1:19" x14ac:dyDescent="0.25">
      <c r="A3300" s="2">
        <v>46034</v>
      </c>
      <c r="B3300" s="1">
        <f t="shared" si="258"/>
        <v>3</v>
      </c>
      <c r="C3300">
        <f t="shared" si="263"/>
        <v>1</v>
      </c>
      <c r="D3300" t="str">
        <f t="shared" si="264"/>
        <v>January</v>
      </c>
      <c r="E3300">
        <f t="shared" si="265"/>
        <v>2026</v>
      </c>
      <c r="F3300" t="str">
        <f>CONCATENATE(calendar[[#This Row],[Month]],"/",calendar[[#This Row],[Year]])</f>
        <v>1/2026</v>
      </c>
      <c r="G3300">
        <f>WEEKDAY(calendar[[#This Row],[Date]],1)</f>
        <v>2</v>
      </c>
      <c r="H3300" t="str">
        <f>TEXT(calendar[[#This Row],[WeekDay]],"dddd")</f>
        <v>Monday</v>
      </c>
      <c r="I3300">
        <f>IF((INT(calendar[[#This Row],[Count]]/7)-calendar[[#This Row],[Count]]/7)&lt;0,I3299,I3299+1)</f>
        <v>472</v>
      </c>
      <c r="J3300">
        <f t="shared" si="259"/>
        <v>3298</v>
      </c>
      <c r="K3300">
        <f>IF(calendar[[#This Row],[Month]]&lt;4,1,IF(calendar[[#This Row],[Month]]&lt;7,2,IF(calendar[[#This Row],[Month]]&lt;10,3,4)))</f>
        <v>1</v>
      </c>
      <c r="L3300">
        <f>IFERROR(IF(VLOOKUP(calendar[[#This Row],[Date]],BH!A:A,1,)&lt;&gt;"",1,0),0)</f>
        <v>0</v>
      </c>
      <c r="M3300">
        <f>IFERROR(IF(VLOOKUP(calendar[[#This Row],[Date]],BH!C:C,1,)&lt;&gt;"",1,0),0)</f>
        <v>0</v>
      </c>
      <c r="N3300">
        <f>IFERROR(IF(VLOOKUP(calendar[[#This Row],[Date]],BH!E:E,1,)&lt;&gt;"",1,0),0)</f>
        <v>0</v>
      </c>
      <c r="O3300">
        <f>IFERROR(IF(VLOOKUP(calendar[[#This Row],[Date]],BH!G:G,1,)&lt;&gt;"",1,0),0)</f>
        <v>0</v>
      </c>
      <c r="P3300">
        <f>IF(OR(calendar[[#This Row],[UK_BH]]=1,calendar[[#This Row],[WeekDay]]=1, calendar[[#This Row],[WeekDay]]=7),P3299,P3299+1)</f>
        <v>2347</v>
      </c>
      <c r="Q3300">
        <f>IF(OR(calendar[[#This Row],[FR_BH]]=1,calendar[[#This Row],[WeekDay]]=1, calendar[[#This Row],[WeekDay]]=7),P3299,P3299+1)</f>
        <v>2347</v>
      </c>
      <c r="R3300">
        <f>IF(OR(calendar[[#This Row],[SP_BH]]=1,calendar[[#This Row],[WeekDay]]=1, calendar[[#This Row],[WeekDay]]=7),P3299,P3299+1)</f>
        <v>2347</v>
      </c>
      <c r="S3300">
        <f>IF(OR(calendar[[#This Row],[PT_BH]]=1,calendar[[#This Row],[WeekDay]]=1, calendar[[#This Row],[WeekDay]]=7),P3299,P3299+1)</f>
        <v>2347</v>
      </c>
    </row>
    <row r="3301" spans="1:19" x14ac:dyDescent="0.25">
      <c r="A3301" s="2">
        <v>46035</v>
      </c>
      <c r="B3301" s="1">
        <f t="shared" si="258"/>
        <v>3</v>
      </c>
      <c r="C3301">
        <f t="shared" si="263"/>
        <v>1</v>
      </c>
      <c r="D3301" t="str">
        <f t="shared" si="264"/>
        <v>January</v>
      </c>
      <c r="E3301">
        <f t="shared" si="265"/>
        <v>2026</v>
      </c>
      <c r="F3301" t="str">
        <f>CONCATENATE(calendar[[#This Row],[Month]],"/",calendar[[#This Row],[Year]])</f>
        <v>1/2026</v>
      </c>
      <c r="G3301">
        <f>WEEKDAY(calendar[[#This Row],[Date]],1)</f>
        <v>3</v>
      </c>
      <c r="H3301" t="str">
        <f>TEXT(calendar[[#This Row],[WeekDay]],"dddd")</f>
        <v>Tuesday</v>
      </c>
      <c r="I3301">
        <f>IF((INT(calendar[[#This Row],[Count]]/7)-calendar[[#This Row],[Count]]/7)&lt;0,I3300,I3300+1)</f>
        <v>472</v>
      </c>
      <c r="J3301">
        <f t="shared" si="259"/>
        <v>3299</v>
      </c>
      <c r="K3301">
        <f>IF(calendar[[#This Row],[Month]]&lt;4,1,IF(calendar[[#This Row],[Month]]&lt;7,2,IF(calendar[[#This Row],[Month]]&lt;10,3,4)))</f>
        <v>1</v>
      </c>
      <c r="L3301">
        <f>IFERROR(IF(VLOOKUP(calendar[[#This Row],[Date]],BH!A:A,1,)&lt;&gt;"",1,0),0)</f>
        <v>0</v>
      </c>
      <c r="M3301">
        <f>IFERROR(IF(VLOOKUP(calendar[[#This Row],[Date]],BH!C:C,1,)&lt;&gt;"",1,0),0)</f>
        <v>0</v>
      </c>
      <c r="N3301">
        <f>IFERROR(IF(VLOOKUP(calendar[[#This Row],[Date]],BH!E:E,1,)&lt;&gt;"",1,0),0)</f>
        <v>0</v>
      </c>
      <c r="O3301">
        <f>IFERROR(IF(VLOOKUP(calendar[[#This Row],[Date]],BH!G:G,1,)&lt;&gt;"",1,0),0)</f>
        <v>0</v>
      </c>
      <c r="P3301">
        <f>IF(OR(calendar[[#This Row],[UK_BH]]=1,calendar[[#This Row],[WeekDay]]=1, calendar[[#This Row],[WeekDay]]=7),P3300,P3300+1)</f>
        <v>2348</v>
      </c>
      <c r="Q3301">
        <f>IF(OR(calendar[[#This Row],[FR_BH]]=1,calendar[[#This Row],[WeekDay]]=1, calendar[[#This Row],[WeekDay]]=7),P3300,P3300+1)</f>
        <v>2348</v>
      </c>
      <c r="R3301">
        <f>IF(OR(calendar[[#This Row],[SP_BH]]=1,calendar[[#This Row],[WeekDay]]=1, calendar[[#This Row],[WeekDay]]=7),P3300,P3300+1)</f>
        <v>2348</v>
      </c>
      <c r="S3301">
        <f>IF(OR(calendar[[#This Row],[PT_BH]]=1,calendar[[#This Row],[WeekDay]]=1, calendar[[#This Row],[WeekDay]]=7),P3300,P3300+1)</f>
        <v>2348</v>
      </c>
    </row>
    <row r="3302" spans="1:19" x14ac:dyDescent="0.25">
      <c r="A3302" s="2">
        <v>46036</v>
      </c>
      <c r="B3302" s="1">
        <f t="shared" si="258"/>
        <v>3</v>
      </c>
      <c r="C3302">
        <f t="shared" si="263"/>
        <v>1</v>
      </c>
      <c r="D3302" t="str">
        <f t="shared" si="264"/>
        <v>January</v>
      </c>
      <c r="E3302">
        <f t="shared" si="265"/>
        <v>2026</v>
      </c>
      <c r="F3302" t="str">
        <f>CONCATENATE(calendar[[#This Row],[Month]],"/",calendar[[#This Row],[Year]])</f>
        <v>1/2026</v>
      </c>
      <c r="G3302">
        <f>WEEKDAY(calendar[[#This Row],[Date]],1)</f>
        <v>4</v>
      </c>
      <c r="H3302" t="str">
        <f>TEXT(calendar[[#This Row],[WeekDay]],"dddd")</f>
        <v>Wednesday</v>
      </c>
      <c r="I3302">
        <f>IF((INT(calendar[[#This Row],[Count]]/7)-calendar[[#This Row],[Count]]/7)&lt;0,I3301,I3301+1)</f>
        <v>472</v>
      </c>
      <c r="J3302">
        <f t="shared" si="259"/>
        <v>3300</v>
      </c>
      <c r="K3302">
        <f>IF(calendar[[#This Row],[Month]]&lt;4,1,IF(calendar[[#This Row],[Month]]&lt;7,2,IF(calendar[[#This Row],[Month]]&lt;10,3,4)))</f>
        <v>1</v>
      </c>
      <c r="L3302">
        <f>IFERROR(IF(VLOOKUP(calendar[[#This Row],[Date]],BH!A:A,1,)&lt;&gt;"",1,0),0)</f>
        <v>0</v>
      </c>
      <c r="M3302">
        <f>IFERROR(IF(VLOOKUP(calendar[[#This Row],[Date]],BH!C:C,1,)&lt;&gt;"",1,0),0)</f>
        <v>0</v>
      </c>
      <c r="N3302">
        <f>IFERROR(IF(VLOOKUP(calendar[[#This Row],[Date]],BH!E:E,1,)&lt;&gt;"",1,0),0)</f>
        <v>0</v>
      </c>
      <c r="O3302">
        <f>IFERROR(IF(VLOOKUP(calendar[[#This Row],[Date]],BH!G:G,1,)&lt;&gt;"",1,0),0)</f>
        <v>0</v>
      </c>
      <c r="P3302">
        <f>IF(OR(calendar[[#This Row],[UK_BH]]=1,calendar[[#This Row],[WeekDay]]=1, calendar[[#This Row],[WeekDay]]=7),P3301,P3301+1)</f>
        <v>2349</v>
      </c>
      <c r="Q3302">
        <f>IF(OR(calendar[[#This Row],[FR_BH]]=1,calendar[[#This Row],[WeekDay]]=1, calendar[[#This Row],[WeekDay]]=7),P3301,P3301+1)</f>
        <v>2349</v>
      </c>
      <c r="R3302">
        <f>IF(OR(calendar[[#This Row],[SP_BH]]=1,calendar[[#This Row],[WeekDay]]=1, calendar[[#This Row],[WeekDay]]=7),P3301,P3301+1)</f>
        <v>2349</v>
      </c>
      <c r="S3302">
        <f>IF(OR(calendar[[#This Row],[PT_BH]]=1,calendar[[#This Row],[WeekDay]]=1, calendar[[#This Row],[WeekDay]]=7),P3301,P3301+1)</f>
        <v>2349</v>
      </c>
    </row>
    <row r="3303" spans="1:19" x14ac:dyDescent="0.25">
      <c r="A3303" s="2">
        <v>46037</v>
      </c>
      <c r="B3303" s="1">
        <f t="shared" si="258"/>
        <v>3</v>
      </c>
      <c r="C3303">
        <f t="shared" si="263"/>
        <v>1</v>
      </c>
      <c r="D3303" t="str">
        <f t="shared" si="264"/>
        <v>January</v>
      </c>
      <c r="E3303">
        <f t="shared" si="265"/>
        <v>2026</v>
      </c>
      <c r="F3303" t="str">
        <f>CONCATENATE(calendar[[#This Row],[Month]],"/",calendar[[#This Row],[Year]])</f>
        <v>1/2026</v>
      </c>
      <c r="G3303">
        <f>WEEKDAY(calendar[[#This Row],[Date]],1)</f>
        <v>5</v>
      </c>
      <c r="H3303" t="str">
        <f>TEXT(calendar[[#This Row],[WeekDay]],"dddd")</f>
        <v>Thursday</v>
      </c>
      <c r="I3303">
        <f>IF((INT(calendar[[#This Row],[Count]]/7)-calendar[[#This Row],[Count]]/7)&lt;0,I3302,I3302+1)</f>
        <v>472</v>
      </c>
      <c r="J3303">
        <f t="shared" si="259"/>
        <v>3301</v>
      </c>
      <c r="K3303">
        <f>IF(calendar[[#This Row],[Month]]&lt;4,1,IF(calendar[[#This Row],[Month]]&lt;7,2,IF(calendar[[#This Row],[Month]]&lt;10,3,4)))</f>
        <v>1</v>
      </c>
      <c r="L3303">
        <f>IFERROR(IF(VLOOKUP(calendar[[#This Row],[Date]],BH!A:A,1,)&lt;&gt;"",1,0),0)</f>
        <v>0</v>
      </c>
      <c r="M3303">
        <f>IFERROR(IF(VLOOKUP(calendar[[#This Row],[Date]],BH!C:C,1,)&lt;&gt;"",1,0),0)</f>
        <v>0</v>
      </c>
      <c r="N3303">
        <f>IFERROR(IF(VLOOKUP(calendar[[#This Row],[Date]],BH!E:E,1,)&lt;&gt;"",1,0),0)</f>
        <v>0</v>
      </c>
      <c r="O3303">
        <f>IFERROR(IF(VLOOKUP(calendar[[#This Row],[Date]],BH!G:G,1,)&lt;&gt;"",1,0),0)</f>
        <v>0</v>
      </c>
      <c r="P3303">
        <f>IF(OR(calendar[[#This Row],[UK_BH]]=1,calendar[[#This Row],[WeekDay]]=1, calendar[[#This Row],[WeekDay]]=7),P3302,P3302+1)</f>
        <v>2350</v>
      </c>
      <c r="Q3303">
        <f>IF(OR(calendar[[#This Row],[FR_BH]]=1,calendar[[#This Row],[WeekDay]]=1, calendar[[#This Row],[WeekDay]]=7),P3302,P3302+1)</f>
        <v>2350</v>
      </c>
      <c r="R3303">
        <f>IF(OR(calendar[[#This Row],[SP_BH]]=1,calendar[[#This Row],[WeekDay]]=1, calendar[[#This Row],[WeekDay]]=7),P3302,P3302+1)</f>
        <v>2350</v>
      </c>
      <c r="S3303">
        <f>IF(OR(calendar[[#This Row],[PT_BH]]=1,calendar[[#This Row],[WeekDay]]=1, calendar[[#This Row],[WeekDay]]=7),P3302,P3302+1)</f>
        <v>2350</v>
      </c>
    </row>
    <row r="3304" spans="1:19" x14ac:dyDescent="0.25">
      <c r="A3304" s="2">
        <v>46038</v>
      </c>
      <c r="B3304" s="1">
        <f t="shared" si="258"/>
        <v>3</v>
      </c>
      <c r="C3304">
        <f t="shared" si="263"/>
        <v>1</v>
      </c>
      <c r="D3304" t="str">
        <f t="shared" si="264"/>
        <v>January</v>
      </c>
      <c r="E3304">
        <f t="shared" si="265"/>
        <v>2026</v>
      </c>
      <c r="F3304" t="str">
        <f>CONCATENATE(calendar[[#This Row],[Month]],"/",calendar[[#This Row],[Year]])</f>
        <v>1/2026</v>
      </c>
      <c r="G3304">
        <f>WEEKDAY(calendar[[#This Row],[Date]],1)</f>
        <v>6</v>
      </c>
      <c r="H3304" t="str">
        <f>TEXT(calendar[[#This Row],[WeekDay]],"dddd")</f>
        <v>Friday</v>
      </c>
      <c r="I3304">
        <f>IF((INT(calendar[[#This Row],[Count]]/7)-calendar[[#This Row],[Count]]/7)&lt;0,I3303,I3303+1)</f>
        <v>472</v>
      </c>
      <c r="J3304">
        <f t="shared" si="259"/>
        <v>3302</v>
      </c>
      <c r="K3304">
        <f>IF(calendar[[#This Row],[Month]]&lt;4,1,IF(calendar[[#This Row],[Month]]&lt;7,2,IF(calendar[[#This Row],[Month]]&lt;10,3,4)))</f>
        <v>1</v>
      </c>
      <c r="L3304">
        <f>IFERROR(IF(VLOOKUP(calendar[[#This Row],[Date]],BH!A:A,1,)&lt;&gt;"",1,0),0)</f>
        <v>0</v>
      </c>
      <c r="M3304">
        <f>IFERROR(IF(VLOOKUP(calendar[[#This Row],[Date]],BH!C:C,1,)&lt;&gt;"",1,0),0)</f>
        <v>0</v>
      </c>
      <c r="N3304">
        <f>IFERROR(IF(VLOOKUP(calendar[[#This Row],[Date]],BH!E:E,1,)&lt;&gt;"",1,0),0)</f>
        <v>0</v>
      </c>
      <c r="O3304">
        <f>IFERROR(IF(VLOOKUP(calendar[[#This Row],[Date]],BH!G:G,1,)&lt;&gt;"",1,0),0)</f>
        <v>0</v>
      </c>
      <c r="P3304">
        <f>IF(OR(calendar[[#This Row],[UK_BH]]=1,calendar[[#This Row],[WeekDay]]=1, calendar[[#This Row],[WeekDay]]=7),P3303,P3303+1)</f>
        <v>2351</v>
      </c>
      <c r="Q3304">
        <f>IF(OR(calendar[[#This Row],[FR_BH]]=1,calendar[[#This Row],[WeekDay]]=1, calendar[[#This Row],[WeekDay]]=7),P3303,P3303+1)</f>
        <v>2351</v>
      </c>
      <c r="R3304">
        <f>IF(OR(calendar[[#This Row],[SP_BH]]=1,calendar[[#This Row],[WeekDay]]=1, calendar[[#This Row],[WeekDay]]=7),P3303,P3303+1)</f>
        <v>2351</v>
      </c>
      <c r="S3304">
        <f>IF(OR(calendar[[#This Row],[PT_BH]]=1,calendar[[#This Row],[WeekDay]]=1, calendar[[#This Row],[WeekDay]]=7),P3303,P3303+1)</f>
        <v>2351</v>
      </c>
    </row>
    <row r="3305" spans="1:19" x14ac:dyDescent="0.25">
      <c r="A3305" s="2">
        <v>46039</v>
      </c>
      <c r="B3305" s="1">
        <f t="shared" si="258"/>
        <v>3</v>
      </c>
      <c r="C3305">
        <f t="shared" si="263"/>
        <v>1</v>
      </c>
      <c r="D3305" t="str">
        <f t="shared" si="264"/>
        <v>January</v>
      </c>
      <c r="E3305">
        <f t="shared" si="265"/>
        <v>2026</v>
      </c>
      <c r="F3305" t="str">
        <f>CONCATENATE(calendar[[#This Row],[Month]],"/",calendar[[#This Row],[Year]])</f>
        <v>1/2026</v>
      </c>
      <c r="G3305">
        <f>WEEKDAY(calendar[[#This Row],[Date]],1)</f>
        <v>7</v>
      </c>
      <c r="H3305" t="str">
        <f>TEXT(calendar[[#This Row],[WeekDay]],"dddd")</f>
        <v>Saturday</v>
      </c>
      <c r="I3305">
        <f>IF((INT(calendar[[#This Row],[Count]]/7)-calendar[[#This Row],[Count]]/7)&lt;0,I3304,I3304+1)</f>
        <v>472</v>
      </c>
      <c r="J3305">
        <f t="shared" si="259"/>
        <v>3303</v>
      </c>
      <c r="K3305">
        <f>IF(calendar[[#This Row],[Month]]&lt;4,1,IF(calendar[[#This Row],[Month]]&lt;7,2,IF(calendar[[#This Row],[Month]]&lt;10,3,4)))</f>
        <v>1</v>
      </c>
      <c r="L3305">
        <f>IFERROR(IF(VLOOKUP(calendar[[#This Row],[Date]],BH!A:A,1,)&lt;&gt;"",1,0),0)</f>
        <v>0</v>
      </c>
      <c r="M3305">
        <f>IFERROR(IF(VLOOKUP(calendar[[#This Row],[Date]],BH!C:C,1,)&lt;&gt;"",1,0),0)</f>
        <v>0</v>
      </c>
      <c r="N3305">
        <f>IFERROR(IF(VLOOKUP(calendar[[#This Row],[Date]],BH!E:E,1,)&lt;&gt;"",1,0),0)</f>
        <v>0</v>
      </c>
      <c r="O3305">
        <f>IFERROR(IF(VLOOKUP(calendar[[#This Row],[Date]],BH!G:G,1,)&lt;&gt;"",1,0),0)</f>
        <v>0</v>
      </c>
      <c r="P3305">
        <f>IF(OR(calendar[[#This Row],[UK_BH]]=1,calendar[[#This Row],[WeekDay]]=1, calendar[[#This Row],[WeekDay]]=7),P3304,P3304+1)</f>
        <v>2351</v>
      </c>
      <c r="Q3305">
        <f>IF(OR(calendar[[#This Row],[FR_BH]]=1,calendar[[#This Row],[WeekDay]]=1, calendar[[#This Row],[WeekDay]]=7),P3304,P3304+1)</f>
        <v>2351</v>
      </c>
      <c r="R3305">
        <f>IF(OR(calendar[[#This Row],[SP_BH]]=1,calendar[[#This Row],[WeekDay]]=1, calendar[[#This Row],[WeekDay]]=7),P3304,P3304+1)</f>
        <v>2351</v>
      </c>
      <c r="S3305">
        <f>IF(OR(calendar[[#This Row],[PT_BH]]=1,calendar[[#This Row],[WeekDay]]=1, calendar[[#This Row],[WeekDay]]=7),P3304,P3304+1)</f>
        <v>2351</v>
      </c>
    </row>
    <row r="3306" spans="1:19" x14ac:dyDescent="0.25">
      <c r="A3306" s="2">
        <v>46040</v>
      </c>
      <c r="B3306" s="1">
        <f t="shared" si="258"/>
        <v>4</v>
      </c>
      <c r="C3306">
        <f t="shared" si="263"/>
        <v>1</v>
      </c>
      <c r="D3306" t="str">
        <f t="shared" si="264"/>
        <v>January</v>
      </c>
      <c r="E3306">
        <f t="shared" si="265"/>
        <v>2026</v>
      </c>
      <c r="F3306" t="str">
        <f>CONCATENATE(calendar[[#This Row],[Month]],"/",calendar[[#This Row],[Year]])</f>
        <v>1/2026</v>
      </c>
      <c r="G3306">
        <f>WEEKDAY(calendar[[#This Row],[Date]],1)</f>
        <v>1</v>
      </c>
      <c r="H3306" t="str">
        <f>TEXT(calendar[[#This Row],[WeekDay]],"dddd")</f>
        <v>Sunday</v>
      </c>
      <c r="I3306">
        <f>IF((INT(calendar[[#This Row],[Count]]/7)-calendar[[#This Row],[Count]]/7)&lt;0,I3305,I3305+1)</f>
        <v>473</v>
      </c>
      <c r="J3306">
        <f t="shared" si="259"/>
        <v>3304</v>
      </c>
      <c r="K3306">
        <f>IF(calendar[[#This Row],[Month]]&lt;4,1,IF(calendar[[#This Row],[Month]]&lt;7,2,IF(calendar[[#This Row],[Month]]&lt;10,3,4)))</f>
        <v>1</v>
      </c>
      <c r="L3306">
        <f>IFERROR(IF(VLOOKUP(calendar[[#This Row],[Date]],BH!A:A,1,)&lt;&gt;"",1,0),0)</f>
        <v>0</v>
      </c>
      <c r="M3306">
        <f>IFERROR(IF(VLOOKUP(calendar[[#This Row],[Date]],BH!C:C,1,)&lt;&gt;"",1,0),0)</f>
        <v>0</v>
      </c>
      <c r="N3306">
        <f>IFERROR(IF(VLOOKUP(calendar[[#This Row],[Date]],BH!E:E,1,)&lt;&gt;"",1,0),0)</f>
        <v>0</v>
      </c>
      <c r="O3306">
        <f>IFERROR(IF(VLOOKUP(calendar[[#This Row],[Date]],BH!G:G,1,)&lt;&gt;"",1,0),0)</f>
        <v>0</v>
      </c>
      <c r="P3306">
        <f>IF(OR(calendar[[#This Row],[UK_BH]]=1,calendar[[#This Row],[WeekDay]]=1, calendar[[#This Row],[WeekDay]]=7),P3305,P3305+1)</f>
        <v>2351</v>
      </c>
      <c r="Q3306">
        <f>IF(OR(calendar[[#This Row],[FR_BH]]=1,calendar[[#This Row],[WeekDay]]=1, calendar[[#This Row],[WeekDay]]=7),P3305,P3305+1)</f>
        <v>2351</v>
      </c>
      <c r="R3306">
        <f>IF(OR(calendar[[#This Row],[SP_BH]]=1,calendar[[#This Row],[WeekDay]]=1, calendar[[#This Row],[WeekDay]]=7),P3305,P3305+1)</f>
        <v>2351</v>
      </c>
      <c r="S3306">
        <f>IF(OR(calendar[[#This Row],[PT_BH]]=1,calendar[[#This Row],[WeekDay]]=1, calendar[[#This Row],[WeekDay]]=7),P3305,P3305+1)</f>
        <v>2351</v>
      </c>
    </row>
    <row r="3307" spans="1:19" x14ac:dyDescent="0.25">
      <c r="A3307" s="2">
        <v>46041</v>
      </c>
      <c r="B3307" s="1">
        <f t="shared" si="258"/>
        <v>4</v>
      </c>
      <c r="C3307">
        <f t="shared" si="263"/>
        <v>1</v>
      </c>
      <c r="D3307" t="str">
        <f t="shared" si="264"/>
        <v>January</v>
      </c>
      <c r="E3307">
        <f t="shared" si="265"/>
        <v>2026</v>
      </c>
      <c r="F3307" t="str">
        <f>CONCATENATE(calendar[[#This Row],[Month]],"/",calendar[[#This Row],[Year]])</f>
        <v>1/2026</v>
      </c>
      <c r="G3307">
        <f>WEEKDAY(calendar[[#This Row],[Date]],1)</f>
        <v>2</v>
      </c>
      <c r="H3307" t="str">
        <f>TEXT(calendar[[#This Row],[WeekDay]],"dddd")</f>
        <v>Monday</v>
      </c>
      <c r="I3307">
        <f>IF((INT(calendar[[#This Row],[Count]]/7)-calendar[[#This Row],[Count]]/7)&lt;0,I3306,I3306+1)</f>
        <v>473</v>
      </c>
      <c r="J3307">
        <f t="shared" si="259"/>
        <v>3305</v>
      </c>
      <c r="K3307">
        <f>IF(calendar[[#This Row],[Month]]&lt;4,1,IF(calendar[[#This Row],[Month]]&lt;7,2,IF(calendar[[#This Row],[Month]]&lt;10,3,4)))</f>
        <v>1</v>
      </c>
      <c r="L3307">
        <f>IFERROR(IF(VLOOKUP(calendar[[#This Row],[Date]],BH!A:A,1,)&lt;&gt;"",1,0),0)</f>
        <v>0</v>
      </c>
      <c r="M3307">
        <f>IFERROR(IF(VLOOKUP(calendar[[#This Row],[Date]],BH!C:C,1,)&lt;&gt;"",1,0),0)</f>
        <v>0</v>
      </c>
      <c r="N3307">
        <f>IFERROR(IF(VLOOKUP(calendar[[#This Row],[Date]],BH!E:E,1,)&lt;&gt;"",1,0),0)</f>
        <v>0</v>
      </c>
      <c r="O3307">
        <f>IFERROR(IF(VLOOKUP(calendar[[#This Row],[Date]],BH!G:G,1,)&lt;&gt;"",1,0),0)</f>
        <v>0</v>
      </c>
      <c r="P3307">
        <f>IF(OR(calendar[[#This Row],[UK_BH]]=1,calendar[[#This Row],[WeekDay]]=1, calendar[[#This Row],[WeekDay]]=7),P3306,P3306+1)</f>
        <v>2352</v>
      </c>
      <c r="Q3307">
        <f>IF(OR(calendar[[#This Row],[FR_BH]]=1,calendar[[#This Row],[WeekDay]]=1, calendar[[#This Row],[WeekDay]]=7),P3306,P3306+1)</f>
        <v>2352</v>
      </c>
      <c r="R3307">
        <f>IF(OR(calendar[[#This Row],[SP_BH]]=1,calendar[[#This Row],[WeekDay]]=1, calendar[[#This Row],[WeekDay]]=7),P3306,P3306+1)</f>
        <v>2352</v>
      </c>
      <c r="S3307">
        <f>IF(OR(calendar[[#This Row],[PT_BH]]=1,calendar[[#This Row],[WeekDay]]=1, calendar[[#This Row],[WeekDay]]=7),P3306,P3306+1)</f>
        <v>2352</v>
      </c>
    </row>
    <row r="3308" spans="1:19" x14ac:dyDescent="0.25">
      <c r="A3308" s="2">
        <v>46042</v>
      </c>
      <c r="B3308" s="1">
        <f t="shared" si="258"/>
        <v>4</v>
      </c>
      <c r="C3308">
        <f t="shared" si="263"/>
        <v>1</v>
      </c>
      <c r="D3308" t="str">
        <f t="shared" si="264"/>
        <v>January</v>
      </c>
      <c r="E3308">
        <f t="shared" si="265"/>
        <v>2026</v>
      </c>
      <c r="F3308" t="str">
        <f>CONCATENATE(calendar[[#This Row],[Month]],"/",calendar[[#This Row],[Year]])</f>
        <v>1/2026</v>
      </c>
      <c r="G3308">
        <f>WEEKDAY(calendar[[#This Row],[Date]],1)</f>
        <v>3</v>
      </c>
      <c r="H3308" t="str">
        <f>TEXT(calendar[[#This Row],[WeekDay]],"dddd")</f>
        <v>Tuesday</v>
      </c>
      <c r="I3308">
        <f>IF((INT(calendar[[#This Row],[Count]]/7)-calendar[[#This Row],[Count]]/7)&lt;0,I3307,I3307+1)</f>
        <v>473</v>
      </c>
      <c r="J3308">
        <f t="shared" si="259"/>
        <v>3306</v>
      </c>
      <c r="K3308">
        <f>IF(calendar[[#This Row],[Month]]&lt;4,1,IF(calendar[[#This Row],[Month]]&lt;7,2,IF(calendar[[#This Row],[Month]]&lt;10,3,4)))</f>
        <v>1</v>
      </c>
      <c r="L3308">
        <f>IFERROR(IF(VLOOKUP(calendar[[#This Row],[Date]],BH!A:A,1,)&lt;&gt;"",1,0),0)</f>
        <v>0</v>
      </c>
      <c r="M3308">
        <f>IFERROR(IF(VLOOKUP(calendar[[#This Row],[Date]],BH!C:C,1,)&lt;&gt;"",1,0),0)</f>
        <v>0</v>
      </c>
      <c r="N3308">
        <f>IFERROR(IF(VLOOKUP(calendar[[#This Row],[Date]],BH!E:E,1,)&lt;&gt;"",1,0),0)</f>
        <v>0</v>
      </c>
      <c r="O3308">
        <f>IFERROR(IF(VLOOKUP(calendar[[#This Row],[Date]],BH!G:G,1,)&lt;&gt;"",1,0),0)</f>
        <v>0</v>
      </c>
      <c r="P3308">
        <f>IF(OR(calendar[[#This Row],[UK_BH]]=1,calendar[[#This Row],[WeekDay]]=1, calendar[[#This Row],[WeekDay]]=7),P3307,P3307+1)</f>
        <v>2353</v>
      </c>
      <c r="Q3308">
        <f>IF(OR(calendar[[#This Row],[FR_BH]]=1,calendar[[#This Row],[WeekDay]]=1, calendar[[#This Row],[WeekDay]]=7),P3307,P3307+1)</f>
        <v>2353</v>
      </c>
      <c r="R3308">
        <f>IF(OR(calendar[[#This Row],[SP_BH]]=1,calendar[[#This Row],[WeekDay]]=1, calendar[[#This Row],[WeekDay]]=7),P3307,P3307+1)</f>
        <v>2353</v>
      </c>
      <c r="S3308">
        <f>IF(OR(calendar[[#This Row],[PT_BH]]=1,calendar[[#This Row],[WeekDay]]=1, calendar[[#This Row],[WeekDay]]=7),P3307,P3307+1)</f>
        <v>2353</v>
      </c>
    </row>
    <row r="3309" spans="1:19" x14ac:dyDescent="0.25">
      <c r="A3309" s="2">
        <v>46043</v>
      </c>
      <c r="B3309" s="1">
        <f t="shared" si="258"/>
        <v>4</v>
      </c>
      <c r="C3309">
        <f t="shared" si="263"/>
        <v>1</v>
      </c>
      <c r="D3309" t="str">
        <f t="shared" si="264"/>
        <v>January</v>
      </c>
      <c r="E3309">
        <f t="shared" si="265"/>
        <v>2026</v>
      </c>
      <c r="F3309" t="str">
        <f>CONCATENATE(calendar[[#This Row],[Month]],"/",calendar[[#This Row],[Year]])</f>
        <v>1/2026</v>
      </c>
      <c r="G3309">
        <f>WEEKDAY(calendar[[#This Row],[Date]],1)</f>
        <v>4</v>
      </c>
      <c r="H3309" t="str">
        <f>TEXT(calendar[[#This Row],[WeekDay]],"dddd")</f>
        <v>Wednesday</v>
      </c>
      <c r="I3309">
        <f>IF((INT(calendar[[#This Row],[Count]]/7)-calendar[[#This Row],[Count]]/7)&lt;0,I3308,I3308+1)</f>
        <v>473</v>
      </c>
      <c r="J3309">
        <f t="shared" si="259"/>
        <v>3307</v>
      </c>
      <c r="K3309">
        <f>IF(calendar[[#This Row],[Month]]&lt;4,1,IF(calendar[[#This Row],[Month]]&lt;7,2,IF(calendar[[#This Row],[Month]]&lt;10,3,4)))</f>
        <v>1</v>
      </c>
      <c r="L3309">
        <f>IFERROR(IF(VLOOKUP(calendar[[#This Row],[Date]],BH!A:A,1,)&lt;&gt;"",1,0),0)</f>
        <v>0</v>
      </c>
      <c r="M3309">
        <f>IFERROR(IF(VLOOKUP(calendar[[#This Row],[Date]],BH!C:C,1,)&lt;&gt;"",1,0),0)</f>
        <v>0</v>
      </c>
      <c r="N3309">
        <f>IFERROR(IF(VLOOKUP(calendar[[#This Row],[Date]],BH!E:E,1,)&lt;&gt;"",1,0),0)</f>
        <v>0</v>
      </c>
      <c r="O3309">
        <f>IFERROR(IF(VLOOKUP(calendar[[#This Row],[Date]],BH!G:G,1,)&lt;&gt;"",1,0),0)</f>
        <v>0</v>
      </c>
      <c r="P3309">
        <f>IF(OR(calendar[[#This Row],[UK_BH]]=1,calendar[[#This Row],[WeekDay]]=1, calendar[[#This Row],[WeekDay]]=7),P3308,P3308+1)</f>
        <v>2354</v>
      </c>
      <c r="Q3309">
        <f>IF(OR(calendar[[#This Row],[FR_BH]]=1,calendar[[#This Row],[WeekDay]]=1, calendar[[#This Row],[WeekDay]]=7),P3308,P3308+1)</f>
        <v>2354</v>
      </c>
      <c r="R3309">
        <f>IF(OR(calendar[[#This Row],[SP_BH]]=1,calendar[[#This Row],[WeekDay]]=1, calendar[[#This Row],[WeekDay]]=7),P3308,P3308+1)</f>
        <v>2354</v>
      </c>
      <c r="S3309">
        <f>IF(OR(calendar[[#This Row],[PT_BH]]=1,calendar[[#This Row],[WeekDay]]=1, calendar[[#This Row],[WeekDay]]=7),P3308,P3308+1)</f>
        <v>2354</v>
      </c>
    </row>
    <row r="3310" spans="1:19" x14ac:dyDescent="0.25">
      <c r="A3310" s="2">
        <v>46044</v>
      </c>
      <c r="B3310" s="1">
        <f t="shared" si="258"/>
        <v>4</v>
      </c>
      <c r="C3310">
        <f t="shared" si="263"/>
        <v>1</v>
      </c>
      <c r="D3310" t="str">
        <f t="shared" si="264"/>
        <v>January</v>
      </c>
      <c r="E3310">
        <f t="shared" si="265"/>
        <v>2026</v>
      </c>
      <c r="F3310" t="str">
        <f>CONCATENATE(calendar[[#This Row],[Month]],"/",calendar[[#This Row],[Year]])</f>
        <v>1/2026</v>
      </c>
      <c r="G3310">
        <f>WEEKDAY(calendar[[#This Row],[Date]],1)</f>
        <v>5</v>
      </c>
      <c r="H3310" t="str">
        <f>TEXT(calendar[[#This Row],[WeekDay]],"dddd")</f>
        <v>Thursday</v>
      </c>
      <c r="I3310">
        <f>IF((INT(calendar[[#This Row],[Count]]/7)-calendar[[#This Row],[Count]]/7)&lt;0,I3309,I3309+1)</f>
        <v>473</v>
      </c>
      <c r="J3310">
        <f t="shared" si="259"/>
        <v>3308</v>
      </c>
      <c r="K3310">
        <f>IF(calendar[[#This Row],[Month]]&lt;4,1,IF(calendar[[#This Row],[Month]]&lt;7,2,IF(calendar[[#This Row],[Month]]&lt;10,3,4)))</f>
        <v>1</v>
      </c>
      <c r="L3310">
        <f>IFERROR(IF(VLOOKUP(calendar[[#This Row],[Date]],BH!A:A,1,)&lt;&gt;"",1,0),0)</f>
        <v>0</v>
      </c>
      <c r="M3310">
        <f>IFERROR(IF(VLOOKUP(calendar[[#This Row],[Date]],BH!C:C,1,)&lt;&gt;"",1,0),0)</f>
        <v>0</v>
      </c>
      <c r="N3310">
        <f>IFERROR(IF(VLOOKUP(calendar[[#This Row],[Date]],BH!E:E,1,)&lt;&gt;"",1,0),0)</f>
        <v>0</v>
      </c>
      <c r="O3310">
        <f>IFERROR(IF(VLOOKUP(calendar[[#This Row],[Date]],BH!G:G,1,)&lt;&gt;"",1,0),0)</f>
        <v>0</v>
      </c>
      <c r="P3310">
        <f>IF(OR(calendar[[#This Row],[UK_BH]]=1,calendar[[#This Row],[WeekDay]]=1, calendar[[#This Row],[WeekDay]]=7),P3309,P3309+1)</f>
        <v>2355</v>
      </c>
      <c r="Q3310">
        <f>IF(OR(calendar[[#This Row],[FR_BH]]=1,calendar[[#This Row],[WeekDay]]=1, calendar[[#This Row],[WeekDay]]=7),P3309,P3309+1)</f>
        <v>2355</v>
      </c>
      <c r="R3310">
        <f>IF(OR(calendar[[#This Row],[SP_BH]]=1,calendar[[#This Row],[WeekDay]]=1, calendar[[#This Row],[WeekDay]]=7),P3309,P3309+1)</f>
        <v>2355</v>
      </c>
      <c r="S3310">
        <f>IF(OR(calendar[[#This Row],[PT_BH]]=1,calendar[[#This Row],[WeekDay]]=1, calendar[[#This Row],[WeekDay]]=7),P3309,P3309+1)</f>
        <v>2355</v>
      </c>
    </row>
    <row r="3311" spans="1:19" x14ac:dyDescent="0.25">
      <c r="A3311" s="2">
        <v>46045</v>
      </c>
      <c r="B3311" s="1">
        <f t="shared" si="258"/>
        <v>4</v>
      </c>
      <c r="C3311">
        <f t="shared" si="263"/>
        <v>1</v>
      </c>
      <c r="D3311" t="str">
        <f t="shared" si="264"/>
        <v>January</v>
      </c>
      <c r="E3311">
        <f t="shared" si="265"/>
        <v>2026</v>
      </c>
      <c r="F3311" t="str">
        <f>CONCATENATE(calendar[[#This Row],[Month]],"/",calendar[[#This Row],[Year]])</f>
        <v>1/2026</v>
      </c>
      <c r="G3311">
        <f>WEEKDAY(calendar[[#This Row],[Date]],1)</f>
        <v>6</v>
      </c>
      <c r="H3311" t="str">
        <f>TEXT(calendar[[#This Row],[WeekDay]],"dddd")</f>
        <v>Friday</v>
      </c>
      <c r="I3311">
        <f>IF((INT(calendar[[#This Row],[Count]]/7)-calendar[[#This Row],[Count]]/7)&lt;0,I3310,I3310+1)</f>
        <v>473</v>
      </c>
      <c r="J3311">
        <f t="shared" si="259"/>
        <v>3309</v>
      </c>
      <c r="K3311">
        <f>IF(calendar[[#This Row],[Month]]&lt;4,1,IF(calendar[[#This Row],[Month]]&lt;7,2,IF(calendar[[#This Row],[Month]]&lt;10,3,4)))</f>
        <v>1</v>
      </c>
      <c r="L3311">
        <f>IFERROR(IF(VLOOKUP(calendar[[#This Row],[Date]],BH!A:A,1,)&lt;&gt;"",1,0),0)</f>
        <v>0</v>
      </c>
      <c r="M3311">
        <f>IFERROR(IF(VLOOKUP(calendar[[#This Row],[Date]],BH!C:C,1,)&lt;&gt;"",1,0),0)</f>
        <v>0</v>
      </c>
      <c r="N3311">
        <f>IFERROR(IF(VLOOKUP(calendar[[#This Row],[Date]],BH!E:E,1,)&lt;&gt;"",1,0),0)</f>
        <v>0</v>
      </c>
      <c r="O3311">
        <f>IFERROR(IF(VLOOKUP(calendar[[#This Row],[Date]],BH!G:G,1,)&lt;&gt;"",1,0),0)</f>
        <v>0</v>
      </c>
      <c r="P3311">
        <f>IF(OR(calendar[[#This Row],[UK_BH]]=1,calendar[[#This Row],[WeekDay]]=1, calendar[[#This Row],[WeekDay]]=7),P3310,P3310+1)</f>
        <v>2356</v>
      </c>
      <c r="Q3311">
        <f>IF(OR(calendar[[#This Row],[FR_BH]]=1,calendar[[#This Row],[WeekDay]]=1, calendar[[#This Row],[WeekDay]]=7),P3310,P3310+1)</f>
        <v>2356</v>
      </c>
      <c r="R3311">
        <f>IF(OR(calendar[[#This Row],[SP_BH]]=1,calendar[[#This Row],[WeekDay]]=1, calendar[[#This Row],[WeekDay]]=7),P3310,P3310+1)</f>
        <v>2356</v>
      </c>
      <c r="S3311">
        <f>IF(OR(calendar[[#This Row],[PT_BH]]=1,calendar[[#This Row],[WeekDay]]=1, calendar[[#This Row],[WeekDay]]=7),P3310,P3310+1)</f>
        <v>2356</v>
      </c>
    </row>
    <row r="3312" spans="1:19" x14ac:dyDescent="0.25">
      <c r="A3312" s="2">
        <v>46046</v>
      </c>
      <c r="B3312" s="1">
        <f t="shared" si="258"/>
        <v>4</v>
      </c>
      <c r="C3312">
        <f t="shared" si="263"/>
        <v>1</v>
      </c>
      <c r="D3312" t="str">
        <f t="shared" si="264"/>
        <v>January</v>
      </c>
      <c r="E3312">
        <f t="shared" si="265"/>
        <v>2026</v>
      </c>
      <c r="F3312" t="str">
        <f>CONCATENATE(calendar[[#This Row],[Month]],"/",calendar[[#This Row],[Year]])</f>
        <v>1/2026</v>
      </c>
      <c r="G3312">
        <f>WEEKDAY(calendar[[#This Row],[Date]],1)</f>
        <v>7</v>
      </c>
      <c r="H3312" t="str">
        <f>TEXT(calendar[[#This Row],[WeekDay]],"dddd")</f>
        <v>Saturday</v>
      </c>
      <c r="I3312">
        <f>IF((INT(calendar[[#This Row],[Count]]/7)-calendar[[#This Row],[Count]]/7)&lt;0,I3311,I3311+1)</f>
        <v>473</v>
      </c>
      <c r="J3312">
        <f t="shared" si="259"/>
        <v>3310</v>
      </c>
      <c r="K3312">
        <f>IF(calendar[[#This Row],[Month]]&lt;4,1,IF(calendar[[#This Row],[Month]]&lt;7,2,IF(calendar[[#This Row],[Month]]&lt;10,3,4)))</f>
        <v>1</v>
      </c>
      <c r="L3312">
        <f>IFERROR(IF(VLOOKUP(calendar[[#This Row],[Date]],BH!A:A,1,)&lt;&gt;"",1,0),0)</f>
        <v>0</v>
      </c>
      <c r="M3312">
        <f>IFERROR(IF(VLOOKUP(calendar[[#This Row],[Date]],BH!C:C,1,)&lt;&gt;"",1,0),0)</f>
        <v>0</v>
      </c>
      <c r="N3312">
        <f>IFERROR(IF(VLOOKUP(calendar[[#This Row],[Date]],BH!E:E,1,)&lt;&gt;"",1,0),0)</f>
        <v>0</v>
      </c>
      <c r="O3312">
        <f>IFERROR(IF(VLOOKUP(calendar[[#This Row],[Date]],BH!G:G,1,)&lt;&gt;"",1,0),0)</f>
        <v>0</v>
      </c>
      <c r="P3312">
        <f>IF(OR(calendar[[#This Row],[UK_BH]]=1,calendar[[#This Row],[WeekDay]]=1, calendar[[#This Row],[WeekDay]]=7),P3311,P3311+1)</f>
        <v>2356</v>
      </c>
      <c r="Q3312">
        <f>IF(OR(calendar[[#This Row],[FR_BH]]=1,calendar[[#This Row],[WeekDay]]=1, calendar[[#This Row],[WeekDay]]=7),P3311,P3311+1)</f>
        <v>2356</v>
      </c>
      <c r="R3312">
        <f>IF(OR(calendar[[#This Row],[SP_BH]]=1,calendar[[#This Row],[WeekDay]]=1, calendar[[#This Row],[WeekDay]]=7),P3311,P3311+1)</f>
        <v>2356</v>
      </c>
      <c r="S3312">
        <f>IF(OR(calendar[[#This Row],[PT_BH]]=1,calendar[[#This Row],[WeekDay]]=1, calendar[[#This Row],[WeekDay]]=7),P3311,P3311+1)</f>
        <v>2356</v>
      </c>
    </row>
    <row r="3313" spans="1:19" x14ac:dyDescent="0.25">
      <c r="A3313" s="2">
        <v>46047</v>
      </c>
      <c r="B3313" s="1">
        <f t="shared" si="258"/>
        <v>5</v>
      </c>
      <c r="C3313">
        <f t="shared" si="263"/>
        <v>1</v>
      </c>
      <c r="D3313" t="str">
        <f t="shared" si="264"/>
        <v>January</v>
      </c>
      <c r="E3313">
        <f t="shared" si="265"/>
        <v>2026</v>
      </c>
      <c r="F3313" t="str">
        <f>CONCATENATE(calendar[[#This Row],[Month]],"/",calendar[[#This Row],[Year]])</f>
        <v>1/2026</v>
      </c>
      <c r="G3313">
        <f>WEEKDAY(calendar[[#This Row],[Date]],1)</f>
        <v>1</v>
      </c>
      <c r="H3313" t="str">
        <f>TEXT(calendar[[#This Row],[WeekDay]],"dddd")</f>
        <v>Sunday</v>
      </c>
      <c r="I3313">
        <f>IF((INT(calendar[[#This Row],[Count]]/7)-calendar[[#This Row],[Count]]/7)&lt;0,I3312,I3312+1)</f>
        <v>474</v>
      </c>
      <c r="J3313">
        <f t="shared" si="259"/>
        <v>3311</v>
      </c>
      <c r="K3313">
        <f>IF(calendar[[#This Row],[Month]]&lt;4,1,IF(calendar[[#This Row],[Month]]&lt;7,2,IF(calendar[[#This Row],[Month]]&lt;10,3,4)))</f>
        <v>1</v>
      </c>
      <c r="L3313">
        <f>IFERROR(IF(VLOOKUP(calendar[[#This Row],[Date]],BH!A:A,1,)&lt;&gt;"",1,0),0)</f>
        <v>0</v>
      </c>
      <c r="M3313">
        <f>IFERROR(IF(VLOOKUP(calendar[[#This Row],[Date]],BH!C:C,1,)&lt;&gt;"",1,0),0)</f>
        <v>0</v>
      </c>
      <c r="N3313">
        <f>IFERROR(IF(VLOOKUP(calendar[[#This Row],[Date]],BH!E:E,1,)&lt;&gt;"",1,0),0)</f>
        <v>0</v>
      </c>
      <c r="O3313">
        <f>IFERROR(IF(VLOOKUP(calendar[[#This Row],[Date]],BH!G:G,1,)&lt;&gt;"",1,0),0)</f>
        <v>0</v>
      </c>
      <c r="P3313">
        <f>IF(OR(calendar[[#This Row],[UK_BH]]=1,calendar[[#This Row],[WeekDay]]=1, calendar[[#This Row],[WeekDay]]=7),P3312,P3312+1)</f>
        <v>2356</v>
      </c>
      <c r="Q3313">
        <f>IF(OR(calendar[[#This Row],[FR_BH]]=1,calendar[[#This Row],[WeekDay]]=1, calendar[[#This Row],[WeekDay]]=7),P3312,P3312+1)</f>
        <v>2356</v>
      </c>
      <c r="R3313">
        <f>IF(OR(calendar[[#This Row],[SP_BH]]=1,calendar[[#This Row],[WeekDay]]=1, calendar[[#This Row],[WeekDay]]=7),P3312,P3312+1)</f>
        <v>2356</v>
      </c>
      <c r="S3313">
        <f>IF(OR(calendar[[#This Row],[PT_BH]]=1,calendar[[#This Row],[WeekDay]]=1, calendar[[#This Row],[WeekDay]]=7),P3312,P3312+1)</f>
        <v>2356</v>
      </c>
    </row>
    <row r="3314" spans="1:19" x14ac:dyDescent="0.25">
      <c r="A3314" s="2">
        <v>46048</v>
      </c>
      <c r="B3314" s="1">
        <f t="shared" si="258"/>
        <v>5</v>
      </c>
      <c r="C3314">
        <f t="shared" si="263"/>
        <v>1</v>
      </c>
      <c r="D3314" t="str">
        <f t="shared" si="264"/>
        <v>January</v>
      </c>
      <c r="E3314">
        <f t="shared" si="265"/>
        <v>2026</v>
      </c>
      <c r="F3314" t="str">
        <f>CONCATENATE(calendar[[#This Row],[Month]],"/",calendar[[#This Row],[Year]])</f>
        <v>1/2026</v>
      </c>
      <c r="G3314">
        <f>WEEKDAY(calendar[[#This Row],[Date]],1)</f>
        <v>2</v>
      </c>
      <c r="H3314" t="str">
        <f>TEXT(calendar[[#This Row],[WeekDay]],"dddd")</f>
        <v>Monday</v>
      </c>
      <c r="I3314">
        <f>IF((INT(calendar[[#This Row],[Count]]/7)-calendar[[#This Row],[Count]]/7)&lt;0,I3313,I3313+1)</f>
        <v>474</v>
      </c>
      <c r="J3314">
        <f t="shared" si="259"/>
        <v>3312</v>
      </c>
      <c r="K3314">
        <f>IF(calendar[[#This Row],[Month]]&lt;4,1,IF(calendar[[#This Row],[Month]]&lt;7,2,IF(calendar[[#This Row],[Month]]&lt;10,3,4)))</f>
        <v>1</v>
      </c>
      <c r="L3314">
        <f>IFERROR(IF(VLOOKUP(calendar[[#This Row],[Date]],BH!A:A,1,)&lt;&gt;"",1,0),0)</f>
        <v>0</v>
      </c>
      <c r="M3314">
        <f>IFERROR(IF(VLOOKUP(calendar[[#This Row],[Date]],BH!C:C,1,)&lt;&gt;"",1,0),0)</f>
        <v>0</v>
      </c>
      <c r="N3314">
        <f>IFERROR(IF(VLOOKUP(calendar[[#This Row],[Date]],BH!E:E,1,)&lt;&gt;"",1,0),0)</f>
        <v>0</v>
      </c>
      <c r="O3314">
        <f>IFERROR(IF(VLOOKUP(calendar[[#This Row],[Date]],BH!G:G,1,)&lt;&gt;"",1,0),0)</f>
        <v>0</v>
      </c>
      <c r="P3314">
        <f>IF(OR(calendar[[#This Row],[UK_BH]]=1,calendar[[#This Row],[WeekDay]]=1, calendar[[#This Row],[WeekDay]]=7),P3313,P3313+1)</f>
        <v>2357</v>
      </c>
      <c r="Q3314">
        <f>IF(OR(calendar[[#This Row],[FR_BH]]=1,calendar[[#This Row],[WeekDay]]=1, calendar[[#This Row],[WeekDay]]=7),P3313,P3313+1)</f>
        <v>2357</v>
      </c>
      <c r="R3314">
        <f>IF(OR(calendar[[#This Row],[SP_BH]]=1,calendar[[#This Row],[WeekDay]]=1, calendar[[#This Row],[WeekDay]]=7),P3313,P3313+1)</f>
        <v>2357</v>
      </c>
      <c r="S3314">
        <f>IF(OR(calendar[[#This Row],[PT_BH]]=1,calendar[[#This Row],[WeekDay]]=1, calendar[[#This Row],[WeekDay]]=7),P3313,P3313+1)</f>
        <v>2357</v>
      </c>
    </row>
    <row r="3315" spans="1:19" x14ac:dyDescent="0.25">
      <c r="A3315" s="2">
        <v>46049</v>
      </c>
      <c r="B3315" s="1">
        <f t="shared" si="258"/>
        <v>5</v>
      </c>
      <c r="C3315">
        <f t="shared" si="263"/>
        <v>1</v>
      </c>
      <c r="D3315" t="str">
        <f t="shared" si="264"/>
        <v>January</v>
      </c>
      <c r="E3315">
        <f t="shared" si="265"/>
        <v>2026</v>
      </c>
      <c r="F3315" t="str">
        <f>CONCATENATE(calendar[[#This Row],[Month]],"/",calendar[[#This Row],[Year]])</f>
        <v>1/2026</v>
      </c>
      <c r="G3315">
        <f>WEEKDAY(calendar[[#This Row],[Date]],1)</f>
        <v>3</v>
      </c>
      <c r="H3315" t="str">
        <f>TEXT(calendar[[#This Row],[WeekDay]],"dddd")</f>
        <v>Tuesday</v>
      </c>
      <c r="I3315">
        <f>IF((INT(calendar[[#This Row],[Count]]/7)-calendar[[#This Row],[Count]]/7)&lt;0,I3314,I3314+1)</f>
        <v>474</v>
      </c>
      <c r="J3315">
        <f t="shared" si="259"/>
        <v>3313</v>
      </c>
      <c r="K3315">
        <f>IF(calendar[[#This Row],[Month]]&lt;4,1,IF(calendar[[#This Row],[Month]]&lt;7,2,IF(calendar[[#This Row],[Month]]&lt;10,3,4)))</f>
        <v>1</v>
      </c>
      <c r="L3315">
        <f>IFERROR(IF(VLOOKUP(calendar[[#This Row],[Date]],BH!A:A,1,)&lt;&gt;"",1,0),0)</f>
        <v>0</v>
      </c>
      <c r="M3315">
        <f>IFERROR(IF(VLOOKUP(calendar[[#This Row],[Date]],BH!C:C,1,)&lt;&gt;"",1,0),0)</f>
        <v>0</v>
      </c>
      <c r="N3315">
        <f>IFERROR(IF(VLOOKUP(calendar[[#This Row],[Date]],BH!E:E,1,)&lt;&gt;"",1,0),0)</f>
        <v>0</v>
      </c>
      <c r="O3315">
        <f>IFERROR(IF(VLOOKUP(calendar[[#This Row],[Date]],BH!G:G,1,)&lt;&gt;"",1,0),0)</f>
        <v>0</v>
      </c>
      <c r="P3315">
        <f>IF(OR(calendar[[#This Row],[UK_BH]]=1,calendar[[#This Row],[WeekDay]]=1, calendar[[#This Row],[WeekDay]]=7),P3314,P3314+1)</f>
        <v>2358</v>
      </c>
      <c r="Q3315">
        <f>IF(OR(calendar[[#This Row],[FR_BH]]=1,calendar[[#This Row],[WeekDay]]=1, calendar[[#This Row],[WeekDay]]=7),P3314,P3314+1)</f>
        <v>2358</v>
      </c>
      <c r="R3315">
        <f>IF(OR(calendar[[#This Row],[SP_BH]]=1,calendar[[#This Row],[WeekDay]]=1, calendar[[#This Row],[WeekDay]]=7),P3314,P3314+1)</f>
        <v>2358</v>
      </c>
      <c r="S3315">
        <f>IF(OR(calendar[[#This Row],[PT_BH]]=1,calendar[[#This Row],[WeekDay]]=1, calendar[[#This Row],[WeekDay]]=7),P3314,P3314+1)</f>
        <v>2358</v>
      </c>
    </row>
    <row r="3316" spans="1:19" x14ac:dyDescent="0.25">
      <c r="A3316" s="2">
        <v>46050</v>
      </c>
      <c r="B3316" s="1">
        <f t="shared" si="258"/>
        <v>5</v>
      </c>
      <c r="C3316">
        <f t="shared" si="263"/>
        <v>1</v>
      </c>
      <c r="D3316" t="str">
        <f t="shared" si="264"/>
        <v>January</v>
      </c>
      <c r="E3316">
        <f t="shared" si="265"/>
        <v>2026</v>
      </c>
      <c r="F3316" t="str">
        <f>CONCATENATE(calendar[[#This Row],[Month]],"/",calendar[[#This Row],[Year]])</f>
        <v>1/2026</v>
      </c>
      <c r="G3316">
        <f>WEEKDAY(calendar[[#This Row],[Date]],1)</f>
        <v>4</v>
      </c>
      <c r="H3316" t="str">
        <f>TEXT(calendar[[#This Row],[WeekDay]],"dddd")</f>
        <v>Wednesday</v>
      </c>
      <c r="I3316">
        <f>IF((INT(calendar[[#This Row],[Count]]/7)-calendar[[#This Row],[Count]]/7)&lt;0,I3315,I3315+1)</f>
        <v>474</v>
      </c>
      <c r="J3316">
        <f t="shared" si="259"/>
        <v>3314</v>
      </c>
      <c r="K3316">
        <f>IF(calendar[[#This Row],[Month]]&lt;4,1,IF(calendar[[#This Row],[Month]]&lt;7,2,IF(calendar[[#This Row],[Month]]&lt;10,3,4)))</f>
        <v>1</v>
      </c>
      <c r="L3316">
        <f>IFERROR(IF(VLOOKUP(calendar[[#This Row],[Date]],BH!A:A,1,)&lt;&gt;"",1,0),0)</f>
        <v>0</v>
      </c>
      <c r="M3316">
        <f>IFERROR(IF(VLOOKUP(calendar[[#This Row],[Date]],BH!C:C,1,)&lt;&gt;"",1,0),0)</f>
        <v>0</v>
      </c>
      <c r="N3316">
        <f>IFERROR(IF(VLOOKUP(calendar[[#This Row],[Date]],BH!E:E,1,)&lt;&gt;"",1,0),0)</f>
        <v>0</v>
      </c>
      <c r="O3316">
        <f>IFERROR(IF(VLOOKUP(calendar[[#This Row],[Date]],BH!G:G,1,)&lt;&gt;"",1,0),0)</f>
        <v>0</v>
      </c>
      <c r="P3316">
        <f>IF(OR(calendar[[#This Row],[UK_BH]]=1,calendar[[#This Row],[WeekDay]]=1, calendar[[#This Row],[WeekDay]]=7),P3315,P3315+1)</f>
        <v>2359</v>
      </c>
      <c r="Q3316">
        <f>IF(OR(calendar[[#This Row],[FR_BH]]=1,calendar[[#This Row],[WeekDay]]=1, calendar[[#This Row],[WeekDay]]=7),P3315,P3315+1)</f>
        <v>2359</v>
      </c>
      <c r="R3316">
        <f>IF(OR(calendar[[#This Row],[SP_BH]]=1,calendar[[#This Row],[WeekDay]]=1, calendar[[#This Row],[WeekDay]]=7),P3315,P3315+1)</f>
        <v>2359</v>
      </c>
      <c r="S3316">
        <f>IF(OR(calendar[[#This Row],[PT_BH]]=1,calendar[[#This Row],[WeekDay]]=1, calendar[[#This Row],[WeekDay]]=7),P3315,P3315+1)</f>
        <v>2359</v>
      </c>
    </row>
    <row r="3317" spans="1:19" x14ac:dyDescent="0.25">
      <c r="A3317" s="2">
        <v>46051</v>
      </c>
      <c r="B3317" s="1">
        <f t="shared" si="258"/>
        <v>5</v>
      </c>
      <c r="C3317">
        <f t="shared" si="263"/>
        <v>1</v>
      </c>
      <c r="D3317" t="str">
        <f t="shared" si="264"/>
        <v>January</v>
      </c>
      <c r="E3317">
        <f t="shared" si="265"/>
        <v>2026</v>
      </c>
      <c r="F3317" t="str">
        <f>CONCATENATE(calendar[[#This Row],[Month]],"/",calendar[[#This Row],[Year]])</f>
        <v>1/2026</v>
      </c>
      <c r="G3317">
        <f>WEEKDAY(calendar[[#This Row],[Date]],1)</f>
        <v>5</v>
      </c>
      <c r="H3317" t="str">
        <f>TEXT(calendar[[#This Row],[WeekDay]],"dddd")</f>
        <v>Thursday</v>
      </c>
      <c r="I3317">
        <f>IF((INT(calendar[[#This Row],[Count]]/7)-calendar[[#This Row],[Count]]/7)&lt;0,I3316,I3316+1)</f>
        <v>474</v>
      </c>
      <c r="J3317">
        <f t="shared" si="259"/>
        <v>3315</v>
      </c>
      <c r="K3317">
        <f>IF(calendar[[#This Row],[Month]]&lt;4,1,IF(calendar[[#This Row],[Month]]&lt;7,2,IF(calendar[[#This Row],[Month]]&lt;10,3,4)))</f>
        <v>1</v>
      </c>
      <c r="L3317">
        <f>IFERROR(IF(VLOOKUP(calendar[[#This Row],[Date]],BH!A:A,1,)&lt;&gt;"",1,0),0)</f>
        <v>0</v>
      </c>
      <c r="M3317">
        <f>IFERROR(IF(VLOOKUP(calendar[[#This Row],[Date]],BH!C:C,1,)&lt;&gt;"",1,0),0)</f>
        <v>0</v>
      </c>
      <c r="N3317">
        <f>IFERROR(IF(VLOOKUP(calendar[[#This Row],[Date]],BH!E:E,1,)&lt;&gt;"",1,0),0)</f>
        <v>0</v>
      </c>
      <c r="O3317">
        <f>IFERROR(IF(VLOOKUP(calendar[[#This Row],[Date]],BH!G:G,1,)&lt;&gt;"",1,0),0)</f>
        <v>0</v>
      </c>
      <c r="P3317">
        <f>IF(OR(calendar[[#This Row],[UK_BH]]=1,calendar[[#This Row],[WeekDay]]=1, calendar[[#This Row],[WeekDay]]=7),P3316,P3316+1)</f>
        <v>2360</v>
      </c>
      <c r="Q3317">
        <f>IF(OR(calendar[[#This Row],[FR_BH]]=1,calendar[[#This Row],[WeekDay]]=1, calendar[[#This Row],[WeekDay]]=7),P3316,P3316+1)</f>
        <v>2360</v>
      </c>
      <c r="R3317">
        <f>IF(OR(calendar[[#This Row],[SP_BH]]=1,calendar[[#This Row],[WeekDay]]=1, calendar[[#This Row],[WeekDay]]=7),P3316,P3316+1)</f>
        <v>2360</v>
      </c>
      <c r="S3317">
        <f>IF(OR(calendar[[#This Row],[PT_BH]]=1,calendar[[#This Row],[WeekDay]]=1, calendar[[#This Row],[WeekDay]]=7),P3316,P3316+1)</f>
        <v>2360</v>
      </c>
    </row>
    <row r="3318" spans="1:19" x14ac:dyDescent="0.25">
      <c r="A3318" s="2">
        <v>46052</v>
      </c>
      <c r="B3318" s="1">
        <f t="shared" si="258"/>
        <v>5</v>
      </c>
      <c r="C3318">
        <f t="shared" si="263"/>
        <v>1</v>
      </c>
      <c r="D3318" t="str">
        <f t="shared" si="264"/>
        <v>January</v>
      </c>
      <c r="E3318">
        <f t="shared" si="265"/>
        <v>2026</v>
      </c>
      <c r="F3318" t="str">
        <f>CONCATENATE(calendar[[#This Row],[Month]],"/",calendar[[#This Row],[Year]])</f>
        <v>1/2026</v>
      </c>
      <c r="G3318">
        <f>WEEKDAY(calendar[[#This Row],[Date]],1)</f>
        <v>6</v>
      </c>
      <c r="H3318" t="str">
        <f>TEXT(calendar[[#This Row],[WeekDay]],"dddd")</f>
        <v>Friday</v>
      </c>
      <c r="I3318">
        <f>IF((INT(calendar[[#This Row],[Count]]/7)-calendar[[#This Row],[Count]]/7)&lt;0,I3317,I3317+1)</f>
        <v>474</v>
      </c>
      <c r="J3318">
        <f t="shared" si="259"/>
        <v>3316</v>
      </c>
      <c r="K3318">
        <f>IF(calendar[[#This Row],[Month]]&lt;4,1,IF(calendar[[#This Row],[Month]]&lt;7,2,IF(calendar[[#This Row],[Month]]&lt;10,3,4)))</f>
        <v>1</v>
      </c>
      <c r="L3318">
        <f>IFERROR(IF(VLOOKUP(calendar[[#This Row],[Date]],BH!A:A,1,)&lt;&gt;"",1,0),0)</f>
        <v>0</v>
      </c>
      <c r="M3318">
        <f>IFERROR(IF(VLOOKUP(calendar[[#This Row],[Date]],BH!C:C,1,)&lt;&gt;"",1,0),0)</f>
        <v>0</v>
      </c>
      <c r="N3318">
        <f>IFERROR(IF(VLOOKUP(calendar[[#This Row],[Date]],BH!E:E,1,)&lt;&gt;"",1,0),0)</f>
        <v>0</v>
      </c>
      <c r="O3318">
        <f>IFERROR(IF(VLOOKUP(calendar[[#This Row],[Date]],BH!G:G,1,)&lt;&gt;"",1,0),0)</f>
        <v>0</v>
      </c>
      <c r="P3318">
        <f>IF(OR(calendar[[#This Row],[UK_BH]]=1,calendar[[#This Row],[WeekDay]]=1, calendar[[#This Row],[WeekDay]]=7),P3317,P3317+1)</f>
        <v>2361</v>
      </c>
      <c r="Q3318">
        <f>IF(OR(calendar[[#This Row],[FR_BH]]=1,calendar[[#This Row],[WeekDay]]=1, calendar[[#This Row],[WeekDay]]=7),P3317,P3317+1)</f>
        <v>2361</v>
      </c>
      <c r="R3318">
        <f>IF(OR(calendar[[#This Row],[SP_BH]]=1,calendar[[#This Row],[WeekDay]]=1, calendar[[#This Row],[WeekDay]]=7),P3317,P3317+1)</f>
        <v>2361</v>
      </c>
      <c r="S3318">
        <f>IF(OR(calendar[[#This Row],[PT_BH]]=1,calendar[[#This Row],[WeekDay]]=1, calendar[[#This Row],[WeekDay]]=7),P3317,P3317+1)</f>
        <v>2361</v>
      </c>
    </row>
    <row r="3319" spans="1:19" x14ac:dyDescent="0.25">
      <c r="A3319" s="2">
        <v>46053</v>
      </c>
      <c r="B3319" s="1">
        <f t="shared" si="258"/>
        <v>5</v>
      </c>
      <c r="C3319">
        <f t="shared" si="263"/>
        <v>1</v>
      </c>
      <c r="D3319" t="str">
        <f t="shared" si="264"/>
        <v>January</v>
      </c>
      <c r="E3319">
        <f t="shared" si="265"/>
        <v>2026</v>
      </c>
      <c r="F3319" t="str">
        <f>CONCATENATE(calendar[[#This Row],[Month]],"/",calendar[[#This Row],[Year]])</f>
        <v>1/2026</v>
      </c>
      <c r="G3319">
        <f>WEEKDAY(calendar[[#This Row],[Date]],1)</f>
        <v>7</v>
      </c>
      <c r="H3319" t="str">
        <f>TEXT(calendar[[#This Row],[WeekDay]],"dddd")</f>
        <v>Saturday</v>
      </c>
      <c r="I3319">
        <f>IF((INT(calendar[[#This Row],[Count]]/7)-calendar[[#This Row],[Count]]/7)&lt;0,I3318,I3318+1)</f>
        <v>474</v>
      </c>
      <c r="J3319">
        <f t="shared" si="259"/>
        <v>3317</v>
      </c>
      <c r="K3319">
        <f>IF(calendar[[#This Row],[Month]]&lt;4,1,IF(calendar[[#This Row],[Month]]&lt;7,2,IF(calendar[[#This Row],[Month]]&lt;10,3,4)))</f>
        <v>1</v>
      </c>
      <c r="L3319">
        <f>IFERROR(IF(VLOOKUP(calendar[[#This Row],[Date]],BH!A:A,1,)&lt;&gt;"",1,0),0)</f>
        <v>0</v>
      </c>
      <c r="M3319">
        <f>IFERROR(IF(VLOOKUP(calendar[[#This Row],[Date]],BH!C:C,1,)&lt;&gt;"",1,0),0)</f>
        <v>0</v>
      </c>
      <c r="N3319">
        <f>IFERROR(IF(VLOOKUP(calendar[[#This Row],[Date]],BH!E:E,1,)&lt;&gt;"",1,0),0)</f>
        <v>0</v>
      </c>
      <c r="O3319">
        <f>IFERROR(IF(VLOOKUP(calendar[[#This Row],[Date]],BH!G:G,1,)&lt;&gt;"",1,0),0)</f>
        <v>0</v>
      </c>
      <c r="P3319">
        <f>IF(OR(calendar[[#This Row],[UK_BH]]=1,calendar[[#This Row],[WeekDay]]=1, calendar[[#This Row],[WeekDay]]=7),P3318,P3318+1)</f>
        <v>2361</v>
      </c>
      <c r="Q3319">
        <f>IF(OR(calendar[[#This Row],[FR_BH]]=1,calendar[[#This Row],[WeekDay]]=1, calendar[[#This Row],[WeekDay]]=7),P3318,P3318+1)</f>
        <v>2361</v>
      </c>
      <c r="R3319">
        <f>IF(OR(calendar[[#This Row],[SP_BH]]=1,calendar[[#This Row],[WeekDay]]=1, calendar[[#This Row],[WeekDay]]=7),P3318,P3318+1)</f>
        <v>2361</v>
      </c>
      <c r="S3319">
        <f>IF(OR(calendar[[#This Row],[PT_BH]]=1,calendar[[#This Row],[WeekDay]]=1, calendar[[#This Row],[WeekDay]]=7),P3318,P3318+1)</f>
        <v>2361</v>
      </c>
    </row>
    <row r="3320" spans="1:19" x14ac:dyDescent="0.25">
      <c r="A3320" s="2">
        <v>46054</v>
      </c>
      <c r="B3320" s="1">
        <f t="shared" si="258"/>
        <v>6</v>
      </c>
      <c r="C3320">
        <f t="shared" si="263"/>
        <v>2</v>
      </c>
      <c r="D3320" t="str">
        <f t="shared" si="264"/>
        <v>February</v>
      </c>
      <c r="E3320">
        <f t="shared" si="265"/>
        <v>2026</v>
      </c>
      <c r="F3320" t="str">
        <f>CONCATENATE(calendar[[#This Row],[Month]],"/",calendar[[#This Row],[Year]])</f>
        <v>2/2026</v>
      </c>
      <c r="G3320">
        <f>WEEKDAY(calendar[[#This Row],[Date]],1)</f>
        <v>1</v>
      </c>
      <c r="H3320" t="str">
        <f>TEXT(calendar[[#This Row],[WeekDay]],"dddd")</f>
        <v>Sunday</v>
      </c>
      <c r="I3320">
        <f>IF((INT(calendar[[#This Row],[Count]]/7)-calendar[[#This Row],[Count]]/7)&lt;0,I3319,I3319+1)</f>
        <v>475</v>
      </c>
      <c r="J3320">
        <f t="shared" si="259"/>
        <v>3318</v>
      </c>
      <c r="K3320">
        <f>IF(calendar[[#This Row],[Month]]&lt;4,1,IF(calendar[[#This Row],[Month]]&lt;7,2,IF(calendar[[#This Row],[Month]]&lt;10,3,4)))</f>
        <v>1</v>
      </c>
      <c r="L3320">
        <f>IFERROR(IF(VLOOKUP(calendar[[#This Row],[Date]],BH!A:A,1,)&lt;&gt;"",1,0),0)</f>
        <v>0</v>
      </c>
      <c r="M3320">
        <f>IFERROR(IF(VLOOKUP(calendar[[#This Row],[Date]],BH!C:C,1,)&lt;&gt;"",1,0),0)</f>
        <v>0</v>
      </c>
      <c r="N3320">
        <f>IFERROR(IF(VLOOKUP(calendar[[#This Row],[Date]],BH!E:E,1,)&lt;&gt;"",1,0),0)</f>
        <v>0</v>
      </c>
      <c r="O3320">
        <f>IFERROR(IF(VLOOKUP(calendar[[#This Row],[Date]],BH!G:G,1,)&lt;&gt;"",1,0),0)</f>
        <v>0</v>
      </c>
      <c r="P3320">
        <f>IF(OR(calendar[[#This Row],[UK_BH]]=1,calendar[[#This Row],[WeekDay]]=1, calendar[[#This Row],[WeekDay]]=7),P3319,P3319+1)</f>
        <v>2361</v>
      </c>
      <c r="Q3320">
        <f>IF(OR(calendar[[#This Row],[FR_BH]]=1,calendar[[#This Row],[WeekDay]]=1, calendar[[#This Row],[WeekDay]]=7),P3319,P3319+1)</f>
        <v>2361</v>
      </c>
      <c r="R3320">
        <f>IF(OR(calendar[[#This Row],[SP_BH]]=1,calendar[[#This Row],[WeekDay]]=1, calendar[[#This Row],[WeekDay]]=7),P3319,P3319+1)</f>
        <v>2361</v>
      </c>
      <c r="S3320">
        <f>IF(OR(calendar[[#This Row],[PT_BH]]=1,calendar[[#This Row],[WeekDay]]=1, calendar[[#This Row],[WeekDay]]=7),P3319,P3319+1)</f>
        <v>2361</v>
      </c>
    </row>
    <row r="3321" spans="1:19" x14ac:dyDescent="0.25">
      <c r="A3321" s="2">
        <v>46055</v>
      </c>
      <c r="B3321" s="1">
        <f t="shared" si="258"/>
        <v>6</v>
      </c>
      <c r="C3321">
        <f t="shared" si="263"/>
        <v>2</v>
      </c>
      <c r="D3321" t="str">
        <f t="shared" si="264"/>
        <v>February</v>
      </c>
      <c r="E3321">
        <f t="shared" si="265"/>
        <v>2026</v>
      </c>
      <c r="F3321" t="str">
        <f>CONCATENATE(calendar[[#This Row],[Month]],"/",calendar[[#This Row],[Year]])</f>
        <v>2/2026</v>
      </c>
      <c r="G3321">
        <f>WEEKDAY(calendar[[#This Row],[Date]],1)</f>
        <v>2</v>
      </c>
      <c r="H3321" t="str">
        <f>TEXT(calendar[[#This Row],[WeekDay]],"dddd")</f>
        <v>Monday</v>
      </c>
      <c r="I3321">
        <f>IF((INT(calendar[[#This Row],[Count]]/7)-calendar[[#This Row],[Count]]/7)&lt;0,I3320,I3320+1)</f>
        <v>475</v>
      </c>
      <c r="J3321">
        <f t="shared" si="259"/>
        <v>3319</v>
      </c>
      <c r="K3321">
        <f>IF(calendar[[#This Row],[Month]]&lt;4,1,IF(calendar[[#This Row],[Month]]&lt;7,2,IF(calendar[[#This Row],[Month]]&lt;10,3,4)))</f>
        <v>1</v>
      </c>
      <c r="L3321">
        <f>IFERROR(IF(VLOOKUP(calendar[[#This Row],[Date]],BH!A:A,1,)&lt;&gt;"",1,0),0)</f>
        <v>0</v>
      </c>
      <c r="M3321">
        <f>IFERROR(IF(VLOOKUP(calendar[[#This Row],[Date]],BH!C:C,1,)&lt;&gt;"",1,0),0)</f>
        <v>0</v>
      </c>
      <c r="N3321">
        <f>IFERROR(IF(VLOOKUP(calendar[[#This Row],[Date]],BH!E:E,1,)&lt;&gt;"",1,0),0)</f>
        <v>0</v>
      </c>
      <c r="O3321">
        <f>IFERROR(IF(VLOOKUP(calendar[[#This Row],[Date]],BH!G:G,1,)&lt;&gt;"",1,0),0)</f>
        <v>0</v>
      </c>
      <c r="P3321">
        <f>IF(OR(calendar[[#This Row],[UK_BH]]=1,calendar[[#This Row],[WeekDay]]=1, calendar[[#This Row],[WeekDay]]=7),P3320,P3320+1)</f>
        <v>2362</v>
      </c>
      <c r="Q3321">
        <f>IF(OR(calendar[[#This Row],[FR_BH]]=1,calendar[[#This Row],[WeekDay]]=1, calendar[[#This Row],[WeekDay]]=7),P3320,P3320+1)</f>
        <v>2362</v>
      </c>
      <c r="R3321">
        <f>IF(OR(calendar[[#This Row],[SP_BH]]=1,calendar[[#This Row],[WeekDay]]=1, calendar[[#This Row],[WeekDay]]=7),P3320,P3320+1)</f>
        <v>2362</v>
      </c>
      <c r="S3321">
        <f>IF(OR(calendar[[#This Row],[PT_BH]]=1,calendar[[#This Row],[WeekDay]]=1, calendar[[#This Row],[WeekDay]]=7),P3320,P3320+1)</f>
        <v>2362</v>
      </c>
    </row>
    <row r="3322" spans="1:19" x14ac:dyDescent="0.25">
      <c r="A3322" s="2">
        <v>46056</v>
      </c>
      <c r="B3322" s="1">
        <f t="shared" si="258"/>
        <v>6</v>
      </c>
      <c r="C3322">
        <f t="shared" si="263"/>
        <v>2</v>
      </c>
      <c r="D3322" t="str">
        <f t="shared" si="264"/>
        <v>February</v>
      </c>
      <c r="E3322">
        <f t="shared" si="265"/>
        <v>2026</v>
      </c>
      <c r="F3322" t="str">
        <f>CONCATENATE(calendar[[#This Row],[Month]],"/",calendar[[#This Row],[Year]])</f>
        <v>2/2026</v>
      </c>
      <c r="G3322">
        <f>WEEKDAY(calendar[[#This Row],[Date]],1)</f>
        <v>3</v>
      </c>
      <c r="H3322" t="str">
        <f>TEXT(calendar[[#This Row],[WeekDay]],"dddd")</f>
        <v>Tuesday</v>
      </c>
      <c r="I3322">
        <f>IF((INT(calendar[[#This Row],[Count]]/7)-calendar[[#This Row],[Count]]/7)&lt;0,I3321,I3321+1)</f>
        <v>475</v>
      </c>
      <c r="J3322">
        <f t="shared" si="259"/>
        <v>3320</v>
      </c>
      <c r="K3322">
        <f>IF(calendar[[#This Row],[Month]]&lt;4,1,IF(calendar[[#This Row],[Month]]&lt;7,2,IF(calendar[[#This Row],[Month]]&lt;10,3,4)))</f>
        <v>1</v>
      </c>
      <c r="L3322">
        <f>IFERROR(IF(VLOOKUP(calendar[[#This Row],[Date]],BH!A:A,1,)&lt;&gt;"",1,0),0)</f>
        <v>0</v>
      </c>
      <c r="M3322">
        <f>IFERROR(IF(VLOOKUP(calendar[[#This Row],[Date]],BH!C:C,1,)&lt;&gt;"",1,0),0)</f>
        <v>0</v>
      </c>
      <c r="N3322">
        <f>IFERROR(IF(VLOOKUP(calendar[[#This Row],[Date]],BH!E:E,1,)&lt;&gt;"",1,0),0)</f>
        <v>0</v>
      </c>
      <c r="O3322">
        <f>IFERROR(IF(VLOOKUP(calendar[[#This Row],[Date]],BH!G:G,1,)&lt;&gt;"",1,0),0)</f>
        <v>0</v>
      </c>
      <c r="P3322">
        <f>IF(OR(calendar[[#This Row],[UK_BH]]=1,calendar[[#This Row],[WeekDay]]=1, calendar[[#This Row],[WeekDay]]=7),P3321,P3321+1)</f>
        <v>2363</v>
      </c>
      <c r="Q3322">
        <f>IF(OR(calendar[[#This Row],[FR_BH]]=1,calendar[[#This Row],[WeekDay]]=1, calendar[[#This Row],[WeekDay]]=7),P3321,P3321+1)</f>
        <v>2363</v>
      </c>
      <c r="R3322">
        <f>IF(OR(calendar[[#This Row],[SP_BH]]=1,calendar[[#This Row],[WeekDay]]=1, calendar[[#This Row],[WeekDay]]=7),P3321,P3321+1)</f>
        <v>2363</v>
      </c>
      <c r="S3322">
        <f>IF(OR(calendar[[#This Row],[PT_BH]]=1,calendar[[#This Row],[WeekDay]]=1, calendar[[#This Row],[WeekDay]]=7),P3321,P3321+1)</f>
        <v>2363</v>
      </c>
    </row>
    <row r="3323" spans="1:19" x14ac:dyDescent="0.25">
      <c r="A3323" s="2">
        <v>46057</v>
      </c>
      <c r="B3323" s="1">
        <f t="shared" si="258"/>
        <v>6</v>
      </c>
      <c r="C3323">
        <f t="shared" si="263"/>
        <v>2</v>
      </c>
      <c r="D3323" t="str">
        <f t="shared" si="264"/>
        <v>February</v>
      </c>
      <c r="E3323">
        <f t="shared" si="265"/>
        <v>2026</v>
      </c>
      <c r="F3323" t="str">
        <f>CONCATENATE(calendar[[#This Row],[Month]],"/",calendar[[#This Row],[Year]])</f>
        <v>2/2026</v>
      </c>
      <c r="G3323">
        <f>WEEKDAY(calendar[[#This Row],[Date]],1)</f>
        <v>4</v>
      </c>
      <c r="H3323" t="str">
        <f>TEXT(calendar[[#This Row],[WeekDay]],"dddd")</f>
        <v>Wednesday</v>
      </c>
      <c r="I3323">
        <f>IF((INT(calendar[[#This Row],[Count]]/7)-calendar[[#This Row],[Count]]/7)&lt;0,I3322,I3322+1)</f>
        <v>475</v>
      </c>
      <c r="J3323">
        <f t="shared" si="259"/>
        <v>3321</v>
      </c>
      <c r="K3323">
        <f>IF(calendar[[#This Row],[Month]]&lt;4,1,IF(calendar[[#This Row],[Month]]&lt;7,2,IF(calendar[[#This Row],[Month]]&lt;10,3,4)))</f>
        <v>1</v>
      </c>
      <c r="L3323">
        <f>IFERROR(IF(VLOOKUP(calendar[[#This Row],[Date]],BH!A:A,1,)&lt;&gt;"",1,0),0)</f>
        <v>0</v>
      </c>
      <c r="M3323">
        <f>IFERROR(IF(VLOOKUP(calendar[[#This Row],[Date]],BH!C:C,1,)&lt;&gt;"",1,0),0)</f>
        <v>0</v>
      </c>
      <c r="N3323">
        <f>IFERROR(IF(VLOOKUP(calendar[[#This Row],[Date]],BH!E:E,1,)&lt;&gt;"",1,0),0)</f>
        <v>0</v>
      </c>
      <c r="O3323">
        <f>IFERROR(IF(VLOOKUP(calendar[[#This Row],[Date]],BH!G:G,1,)&lt;&gt;"",1,0),0)</f>
        <v>0</v>
      </c>
      <c r="P3323">
        <f>IF(OR(calendar[[#This Row],[UK_BH]]=1,calendar[[#This Row],[WeekDay]]=1, calendar[[#This Row],[WeekDay]]=7),P3322,P3322+1)</f>
        <v>2364</v>
      </c>
      <c r="Q3323">
        <f>IF(OR(calendar[[#This Row],[FR_BH]]=1,calendar[[#This Row],[WeekDay]]=1, calendar[[#This Row],[WeekDay]]=7),P3322,P3322+1)</f>
        <v>2364</v>
      </c>
      <c r="R3323">
        <f>IF(OR(calendar[[#This Row],[SP_BH]]=1,calendar[[#This Row],[WeekDay]]=1, calendar[[#This Row],[WeekDay]]=7),P3322,P3322+1)</f>
        <v>2364</v>
      </c>
      <c r="S3323">
        <f>IF(OR(calendar[[#This Row],[PT_BH]]=1,calendar[[#This Row],[WeekDay]]=1, calendar[[#This Row],[WeekDay]]=7),P3322,P3322+1)</f>
        <v>2364</v>
      </c>
    </row>
    <row r="3324" spans="1:19" x14ac:dyDescent="0.25">
      <c r="A3324" s="2">
        <v>46058</v>
      </c>
      <c r="B3324" s="1">
        <f t="shared" si="258"/>
        <v>6</v>
      </c>
      <c r="C3324">
        <f t="shared" si="263"/>
        <v>2</v>
      </c>
      <c r="D3324" t="str">
        <f t="shared" si="264"/>
        <v>February</v>
      </c>
      <c r="E3324">
        <f t="shared" si="265"/>
        <v>2026</v>
      </c>
      <c r="F3324" t="str">
        <f>CONCATENATE(calendar[[#This Row],[Month]],"/",calendar[[#This Row],[Year]])</f>
        <v>2/2026</v>
      </c>
      <c r="G3324">
        <f>WEEKDAY(calendar[[#This Row],[Date]],1)</f>
        <v>5</v>
      </c>
      <c r="H3324" t="str">
        <f>TEXT(calendar[[#This Row],[WeekDay]],"dddd")</f>
        <v>Thursday</v>
      </c>
      <c r="I3324">
        <f>IF((INT(calendar[[#This Row],[Count]]/7)-calendar[[#This Row],[Count]]/7)&lt;0,I3323,I3323+1)</f>
        <v>475</v>
      </c>
      <c r="J3324">
        <f t="shared" si="259"/>
        <v>3322</v>
      </c>
      <c r="K3324">
        <f>IF(calendar[[#This Row],[Month]]&lt;4,1,IF(calendar[[#This Row],[Month]]&lt;7,2,IF(calendar[[#This Row],[Month]]&lt;10,3,4)))</f>
        <v>1</v>
      </c>
      <c r="L3324">
        <f>IFERROR(IF(VLOOKUP(calendar[[#This Row],[Date]],BH!A:A,1,)&lt;&gt;"",1,0),0)</f>
        <v>0</v>
      </c>
      <c r="M3324">
        <f>IFERROR(IF(VLOOKUP(calendar[[#This Row],[Date]],BH!C:C,1,)&lt;&gt;"",1,0),0)</f>
        <v>0</v>
      </c>
      <c r="N3324">
        <f>IFERROR(IF(VLOOKUP(calendar[[#This Row],[Date]],BH!E:E,1,)&lt;&gt;"",1,0),0)</f>
        <v>0</v>
      </c>
      <c r="O3324">
        <f>IFERROR(IF(VLOOKUP(calendar[[#This Row],[Date]],BH!G:G,1,)&lt;&gt;"",1,0),0)</f>
        <v>0</v>
      </c>
      <c r="P3324">
        <f>IF(OR(calendar[[#This Row],[UK_BH]]=1,calendar[[#This Row],[WeekDay]]=1, calendar[[#This Row],[WeekDay]]=7),P3323,P3323+1)</f>
        <v>2365</v>
      </c>
      <c r="Q3324">
        <f>IF(OR(calendar[[#This Row],[FR_BH]]=1,calendar[[#This Row],[WeekDay]]=1, calendar[[#This Row],[WeekDay]]=7),P3323,P3323+1)</f>
        <v>2365</v>
      </c>
      <c r="R3324">
        <f>IF(OR(calendar[[#This Row],[SP_BH]]=1,calendar[[#This Row],[WeekDay]]=1, calendar[[#This Row],[WeekDay]]=7),P3323,P3323+1)</f>
        <v>2365</v>
      </c>
      <c r="S3324">
        <f>IF(OR(calendar[[#This Row],[PT_BH]]=1,calendar[[#This Row],[WeekDay]]=1, calendar[[#This Row],[WeekDay]]=7),P3323,P3323+1)</f>
        <v>2365</v>
      </c>
    </row>
    <row r="3325" spans="1:19" x14ac:dyDescent="0.25">
      <c r="A3325" s="2">
        <v>46059</v>
      </c>
      <c r="B3325" s="1">
        <f t="shared" si="258"/>
        <v>6</v>
      </c>
      <c r="C3325">
        <f t="shared" si="263"/>
        <v>2</v>
      </c>
      <c r="D3325" t="str">
        <f t="shared" si="264"/>
        <v>February</v>
      </c>
      <c r="E3325">
        <f t="shared" si="265"/>
        <v>2026</v>
      </c>
      <c r="F3325" t="str">
        <f>CONCATENATE(calendar[[#This Row],[Month]],"/",calendar[[#This Row],[Year]])</f>
        <v>2/2026</v>
      </c>
      <c r="G3325">
        <f>WEEKDAY(calendar[[#This Row],[Date]],1)</f>
        <v>6</v>
      </c>
      <c r="H3325" t="str">
        <f>TEXT(calendar[[#This Row],[WeekDay]],"dddd")</f>
        <v>Friday</v>
      </c>
      <c r="I3325">
        <f>IF((INT(calendar[[#This Row],[Count]]/7)-calendar[[#This Row],[Count]]/7)&lt;0,I3324,I3324+1)</f>
        <v>475</v>
      </c>
      <c r="J3325">
        <f t="shared" si="259"/>
        <v>3323</v>
      </c>
      <c r="K3325">
        <f>IF(calendar[[#This Row],[Month]]&lt;4,1,IF(calendar[[#This Row],[Month]]&lt;7,2,IF(calendar[[#This Row],[Month]]&lt;10,3,4)))</f>
        <v>1</v>
      </c>
      <c r="L3325">
        <f>IFERROR(IF(VLOOKUP(calendar[[#This Row],[Date]],BH!A:A,1,)&lt;&gt;"",1,0),0)</f>
        <v>0</v>
      </c>
      <c r="M3325">
        <f>IFERROR(IF(VLOOKUP(calendar[[#This Row],[Date]],BH!C:C,1,)&lt;&gt;"",1,0),0)</f>
        <v>0</v>
      </c>
      <c r="N3325">
        <f>IFERROR(IF(VLOOKUP(calendar[[#This Row],[Date]],BH!E:E,1,)&lt;&gt;"",1,0),0)</f>
        <v>0</v>
      </c>
      <c r="O3325">
        <f>IFERROR(IF(VLOOKUP(calendar[[#This Row],[Date]],BH!G:G,1,)&lt;&gt;"",1,0),0)</f>
        <v>0</v>
      </c>
      <c r="P3325">
        <f>IF(OR(calendar[[#This Row],[UK_BH]]=1,calendar[[#This Row],[WeekDay]]=1, calendar[[#This Row],[WeekDay]]=7),P3324,P3324+1)</f>
        <v>2366</v>
      </c>
      <c r="Q3325">
        <f>IF(OR(calendar[[#This Row],[FR_BH]]=1,calendar[[#This Row],[WeekDay]]=1, calendar[[#This Row],[WeekDay]]=7),P3324,P3324+1)</f>
        <v>2366</v>
      </c>
      <c r="R3325">
        <f>IF(OR(calendar[[#This Row],[SP_BH]]=1,calendar[[#This Row],[WeekDay]]=1, calendar[[#This Row],[WeekDay]]=7),P3324,P3324+1)</f>
        <v>2366</v>
      </c>
      <c r="S3325">
        <f>IF(OR(calendar[[#This Row],[PT_BH]]=1,calendar[[#This Row],[WeekDay]]=1, calendar[[#This Row],[WeekDay]]=7),P3324,P3324+1)</f>
        <v>2366</v>
      </c>
    </row>
    <row r="3326" spans="1:19" x14ac:dyDescent="0.25">
      <c r="A3326" s="2">
        <v>46060</v>
      </c>
      <c r="B3326" s="1">
        <f t="shared" si="258"/>
        <v>6</v>
      </c>
      <c r="C3326">
        <f t="shared" si="263"/>
        <v>2</v>
      </c>
      <c r="D3326" t="str">
        <f t="shared" si="264"/>
        <v>February</v>
      </c>
      <c r="E3326">
        <f t="shared" si="265"/>
        <v>2026</v>
      </c>
      <c r="F3326" t="str">
        <f>CONCATENATE(calendar[[#This Row],[Month]],"/",calendar[[#This Row],[Year]])</f>
        <v>2/2026</v>
      </c>
      <c r="G3326">
        <f>WEEKDAY(calendar[[#This Row],[Date]],1)</f>
        <v>7</v>
      </c>
      <c r="H3326" t="str">
        <f>TEXT(calendar[[#This Row],[WeekDay]],"dddd")</f>
        <v>Saturday</v>
      </c>
      <c r="I3326">
        <f>IF((INT(calendar[[#This Row],[Count]]/7)-calendar[[#This Row],[Count]]/7)&lt;0,I3325,I3325+1)</f>
        <v>475</v>
      </c>
      <c r="J3326">
        <f t="shared" si="259"/>
        <v>3324</v>
      </c>
      <c r="K3326">
        <f>IF(calendar[[#This Row],[Month]]&lt;4,1,IF(calendar[[#This Row],[Month]]&lt;7,2,IF(calendar[[#This Row],[Month]]&lt;10,3,4)))</f>
        <v>1</v>
      </c>
      <c r="L3326">
        <f>IFERROR(IF(VLOOKUP(calendar[[#This Row],[Date]],BH!A:A,1,)&lt;&gt;"",1,0),0)</f>
        <v>0</v>
      </c>
      <c r="M3326">
        <f>IFERROR(IF(VLOOKUP(calendar[[#This Row],[Date]],BH!C:C,1,)&lt;&gt;"",1,0),0)</f>
        <v>0</v>
      </c>
      <c r="N3326">
        <f>IFERROR(IF(VLOOKUP(calendar[[#This Row],[Date]],BH!E:E,1,)&lt;&gt;"",1,0),0)</f>
        <v>0</v>
      </c>
      <c r="O3326">
        <f>IFERROR(IF(VLOOKUP(calendar[[#This Row],[Date]],BH!G:G,1,)&lt;&gt;"",1,0),0)</f>
        <v>0</v>
      </c>
      <c r="P3326">
        <f>IF(OR(calendar[[#This Row],[UK_BH]]=1,calendar[[#This Row],[WeekDay]]=1, calendar[[#This Row],[WeekDay]]=7),P3325,P3325+1)</f>
        <v>2366</v>
      </c>
      <c r="Q3326">
        <f>IF(OR(calendar[[#This Row],[FR_BH]]=1,calendar[[#This Row],[WeekDay]]=1, calendar[[#This Row],[WeekDay]]=7),P3325,P3325+1)</f>
        <v>2366</v>
      </c>
      <c r="R3326">
        <f>IF(OR(calendar[[#This Row],[SP_BH]]=1,calendar[[#This Row],[WeekDay]]=1, calendar[[#This Row],[WeekDay]]=7),P3325,P3325+1)</f>
        <v>2366</v>
      </c>
      <c r="S3326">
        <f>IF(OR(calendar[[#This Row],[PT_BH]]=1,calendar[[#This Row],[WeekDay]]=1, calendar[[#This Row],[WeekDay]]=7),P3325,P3325+1)</f>
        <v>2366</v>
      </c>
    </row>
    <row r="3327" spans="1:19" x14ac:dyDescent="0.25">
      <c r="A3327" s="2">
        <v>46061</v>
      </c>
      <c r="B3327" s="1">
        <f t="shared" si="258"/>
        <v>7</v>
      </c>
      <c r="C3327">
        <f t="shared" si="263"/>
        <v>2</v>
      </c>
      <c r="D3327" t="str">
        <f t="shared" si="264"/>
        <v>February</v>
      </c>
      <c r="E3327">
        <f t="shared" si="265"/>
        <v>2026</v>
      </c>
      <c r="F3327" t="str">
        <f>CONCATENATE(calendar[[#This Row],[Month]],"/",calendar[[#This Row],[Year]])</f>
        <v>2/2026</v>
      </c>
      <c r="G3327">
        <f>WEEKDAY(calendar[[#This Row],[Date]],1)</f>
        <v>1</v>
      </c>
      <c r="H3327" t="str">
        <f>TEXT(calendar[[#This Row],[WeekDay]],"dddd")</f>
        <v>Sunday</v>
      </c>
      <c r="I3327">
        <f>IF((INT(calendar[[#This Row],[Count]]/7)-calendar[[#This Row],[Count]]/7)&lt;0,I3326,I3326+1)</f>
        <v>476</v>
      </c>
      <c r="J3327">
        <f t="shared" si="259"/>
        <v>3325</v>
      </c>
      <c r="K3327">
        <f>IF(calendar[[#This Row],[Month]]&lt;4,1,IF(calendar[[#This Row],[Month]]&lt;7,2,IF(calendar[[#This Row],[Month]]&lt;10,3,4)))</f>
        <v>1</v>
      </c>
      <c r="L3327">
        <f>IFERROR(IF(VLOOKUP(calendar[[#This Row],[Date]],BH!A:A,1,)&lt;&gt;"",1,0),0)</f>
        <v>0</v>
      </c>
      <c r="M3327">
        <f>IFERROR(IF(VLOOKUP(calendar[[#This Row],[Date]],BH!C:C,1,)&lt;&gt;"",1,0),0)</f>
        <v>0</v>
      </c>
      <c r="N3327">
        <f>IFERROR(IF(VLOOKUP(calendar[[#This Row],[Date]],BH!E:E,1,)&lt;&gt;"",1,0),0)</f>
        <v>0</v>
      </c>
      <c r="O3327">
        <f>IFERROR(IF(VLOOKUP(calendar[[#This Row],[Date]],BH!G:G,1,)&lt;&gt;"",1,0),0)</f>
        <v>0</v>
      </c>
      <c r="P3327">
        <f>IF(OR(calendar[[#This Row],[UK_BH]]=1,calendar[[#This Row],[WeekDay]]=1, calendar[[#This Row],[WeekDay]]=7),P3326,P3326+1)</f>
        <v>2366</v>
      </c>
      <c r="Q3327">
        <f>IF(OR(calendar[[#This Row],[FR_BH]]=1,calendar[[#This Row],[WeekDay]]=1, calendar[[#This Row],[WeekDay]]=7),P3326,P3326+1)</f>
        <v>2366</v>
      </c>
      <c r="R3327">
        <f>IF(OR(calendar[[#This Row],[SP_BH]]=1,calendar[[#This Row],[WeekDay]]=1, calendar[[#This Row],[WeekDay]]=7),P3326,P3326+1)</f>
        <v>2366</v>
      </c>
      <c r="S3327">
        <f>IF(OR(calendar[[#This Row],[PT_BH]]=1,calendar[[#This Row],[WeekDay]]=1, calendar[[#This Row],[WeekDay]]=7),P3326,P3326+1)</f>
        <v>2366</v>
      </c>
    </row>
    <row r="3328" spans="1:19" x14ac:dyDescent="0.25">
      <c r="A3328" s="2">
        <v>46062</v>
      </c>
      <c r="B3328" s="1">
        <f t="shared" si="258"/>
        <v>7</v>
      </c>
      <c r="C3328">
        <f t="shared" si="263"/>
        <v>2</v>
      </c>
      <c r="D3328" t="str">
        <f t="shared" si="264"/>
        <v>February</v>
      </c>
      <c r="E3328">
        <f t="shared" si="265"/>
        <v>2026</v>
      </c>
      <c r="F3328" t="str">
        <f>CONCATENATE(calendar[[#This Row],[Month]],"/",calendar[[#This Row],[Year]])</f>
        <v>2/2026</v>
      </c>
      <c r="G3328">
        <f>WEEKDAY(calendar[[#This Row],[Date]],1)</f>
        <v>2</v>
      </c>
      <c r="H3328" t="str">
        <f>TEXT(calendar[[#This Row],[WeekDay]],"dddd")</f>
        <v>Monday</v>
      </c>
      <c r="I3328">
        <f>IF((INT(calendar[[#This Row],[Count]]/7)-calendar[[#This Row],[Count]]/7)&lt;0,I3327,I3327+1)</f>
        <v>476</v>
      </c>
      <c r="J3328">
        <f t="shared" si="259"/>
        <v>3326</v>
      </c>
      <c r="K3328">
        <f>IF(calendar[[#This Row],[Month]]&lt;4,1,IF(calendar[[#This Row],[Month]]&lt;7,2,IF(calendar[[#This Row],[Month]]&lt;10,3,4)))</f>
        <v>1</v>
      </c>
      <c r="L3328">
        <f>IFERROR(IF(VLOOKUP(calendar[[#This Row],[Date]],BH!A:A,1,)&lt;&gt;"",1,0),0)</f>
        <v>0</v>
      </c>
      <c r="M3328">
        <f>IFERROR(IF(VLOOKUP(calendar[[#This Row],[Date]],BH!C:C,1,)&lt;&gt;"",1,0),0)</f>
        <v>0</v>
      </c>
      <c r="N3328">
        <f>IFERROR(IF(VLOOKUP(calendar[[#This Row],[Date]],BH!E:E,1,)&lt;&gt;"",1,0),0)</f>
        <v>0</v>
      </c>
      <c r="O3328">
        <f>IFERROR(IF(VLOOKUP(calendar[[#This Row],[Date]],BH!G:G,1,)&lt;&gt;"",1,0),0)</f>
        <v>0</v>
      </c>
      <c r="P3328">
        <f>IF(OR(calendar[[#This Row],[UK_BH]]=1,calendar[[#This Row],[WeekDay]]=1, calendar[[#This Row],[WeekDay]]=7),P3327,P3327+1)</f>
        <v>2367</v>
      </c>
      <c r="Q3328">
        <f>IF(OR(calendar[[#This Row],[FR_BH]]=1,calendar[[#This Row],[WeekDay]]=1, calendar[[#This Row],[WeekDay]]=7),P3327,P3327+1)</f>
        <v>2367</v>
      </c>
      <c r="R3328">
        <f>IF(OR(calendar[[#This Row],[SP_BH]]=1,calendar[[#This Row],[WeekDay]]=1, calendar[[#This Row],[WeekDay]]=7),P3327,P3327+1)</f>
        <v>2367</v>
      </c>
      <c r="S3328">
        <f>IF(OR(calendar[[#This Row],[PT_BH]]=1,calendar[[#This Row],[WeekDay]]=1, calendar[[#This Row],[WeekDay]]=7),P3327,P3327+1)</f>
        <v>2367</v>
      </c>
    </row>
    <row r="3329" spans="1:19" x14ac:dyDescent="0.25">
      <c r="A3329" s="2">
        <v>46063</v>
      </c>
      <c r="B3329" s="1">
        <f t="shared" si="258"/>
        <v>7</v>
      </c>
      <c r="C3329">
        <f t="shared" si="263"/>
        <v>2</v>
      </c>
      <c r="D3329" t="str">
        <f t="shared" si="264"/>
        <v>February</v>
      </c>
      <c r="E3329">
        <f t="shared" si="265"/>
        <v>2026</v>
      </c>
      <c r="F3329" t="str">
        <f>CONCATENATE(calendar[[#This Row],[Month]],"/",calendar[[#This Row],[Year]])</f>
        <v>2/2026</v>
      </c>
      <c r="G3329">
        <f>WEEKDAY(calendar[[#This Row],[Date]],1)</f>
        <v>3</v>
      </c>
      <c r="H3329" t="str">
        <f>TEXT(calendar[[#This Row],[WeekDay]],"dddd")</f>
        <v>Tuesday</v>
      </c>
      <c r="I3329">
        <f>IF((INT(calendar[[#This Row],[Count]]/7)-calendar[[#This Row],[Count]]/7)&lt;0,I3328,I3328+1)</f>
        <v>476</v>
      </c>
      <c r="J3329">
        <f t="shared" si="259"/>
        <v>3327</v>
      </c>
      <c r="K3329">
        <f>IF(calendar[[#This Row],[Month]]&lt;4,1,IF(calendar[[#This Row],[Month]]&lt;7,2,IF(calendar[[#This Row],[Month]]&lt;10,3,4)))</f>
        <v>1</v>
      </c>
      <c r="L3329">
        <f>IFERROR(IF(VLOOKUP(calendar[[#This Row],[Date]],BH!A:A,1,)&lt;&gt;"",1,0),0)</f>
        <v>0</v>
      </c>
      <c r="M3329">
        <f>IFERROR(IF(VLOOKUP(calendar[[#This Row],[Date]],BH!C:C,1,)&lt;&gt;"",1,0),0)</f>
        <v>0</v>
      </c>
      <c r="N3329">
        <f>IFERROR(IF(VLOOKUP(calendar[[#This Row],[Date]],BH!E:E,1,)&lt;&gt;"",1,0),0)</f>
        <v>0</v>
      </c>
      <c r="O3329">
        <f>IFERROR(IF(VLOOKUP(calendar[[#This Row],[Date]],BH!G:G,1,)&lt;&gt;"",1,0),0)</f>
        <v>0</v>
      </c>
      <c r="P3329">
        <f>IF(OR(calendar[[#This Row],[UK_BH]]=1,calendar[[#This Row],[WeekDay]]=1, calendar[[#This Row],[WeekDay]]=7),P3328,P3328+1)</f>
        <v>2368</v>
      </c>
      <c r="Q3329">
        <f>IF(OR(calendar[[#This Row],[FR_BH]]=1,calendar[[#This Row],[WeekDay]]=1, calendar[[#This Row],[WeekDay]]=7),P3328,P3328+1)</f>
        <v>2368</v>
      </c>
      <c r="R3329">
        <f>IF(OR(calendar[[#This Row],[SP_BH]]=1,calendar[[#This Row],[WeekDay]]=1, calendar[[#This Row],[WeekDay]]=7),P3328,P3328+1)</f>
        <v>2368</v>
      </c>
      <c r="S3329">
        <f>IF(OR(calendar[[#This Row],[PT_BH]]=1,calendar[[#This Row],[WeekDay]]=1, calendar[[#This Row],[WeekDay]]=7),P3328,P3328+1)</f>
        <v>2368</v>
      </c>
    </row>
    <row r="3330" spans="1:19" x14ac:dyDescent="0.25">
      <c r="A3330" s="2">
        <v>46064</v>
      </c>
      <c r="B3330" s="1">
        <f t="shared" ref="B3330:B3393" si="266">WEEKNUM(A3330)</f>
        <v>7</v>
      </c>
      <c r="C3330">
        <f t="shared" si="263"/>
        <v>2</v>
      </c>
      <c r="D3330" t="str">
        <f t="shared" si="264"/>
        <v>February</v>
      </c>
      <c r="E3330">
        <f t="shared" si="265"/>
        <v>2026</v>
      </c>
      <c r="F3330" t="str">
        <f>CONCATENATE(calendar[[#This Row],[Month]],"/",calendar[[#This Row],[Year]])</f>
        <v>2/2026</v>
      </c>
      <c r="G3330">
        <f>WEEKDAY(calendar[[#This Row],[Date]],1)</f>
        <v>4</v>
      </c>
      <c r="H3330" t="str">
        <f>TEXT(calendar[[#This Row],[WeekDay]],"dddd")</f>
        <v>Wednesday</v>
      </c>
      <c r="I3330">
        <f>IF((INT(calendar[[#This Row],[Count]]/7)-calendar[[#This Row],[Count]]/7)&lt;0,I3329,I3329+1)</f>
        <v>476</v>
      </c>
      <c r="J3330">
        <f t="shared" si="259"/>
        <v>3328</v>
      </c>
      <c r="K3330">
        <f>IF(calendar[[#This Row],[Month]]&lt;4,1,IF(calendar[[#This Row],[Month]]&lt;7,2,IF(calendar[[#This Row],[Month]]&lt;10,3,4)))</f>
        <v>1</v>
      </c>
      <c r="L3330">
        <f>IFERROR(IF(VLOOKUP(calendar[[#This Row],[Date]],BH!A:A,1,)&lt;&gt;"",1,0),0)</f>
        <v>0</v>
      </c>
      <c r="M3330">
        <f>IFERROR(IF(VLOOKUP(calendar[[#This Row],[Date]],BH!C:C,1,)&lt;&gt;"",1,0),0)</f>
        <v>0</v>
      </c>
      <c r="N3330">
        <f>IFERROR(IF(VLOOKUP(calendar[[#This Row],[Date]],BH!E:E,1,)&lt;&gt;"",1,0),0)</f>
        <v>0</v>
      </c>
      <c r="O3330">
        <f>IFERROR(IF(VLOOKUP(calendar[[#This Row],[Date]],BH!G:G,1,)&lt;&gt;"",1,0),0)</f>
        <v>0</v>
      </c>
      <c r="P3330">
        <f>IF(OR(calendar[[#This Row],[UK_BH]]=1,calendar[[#This Row],[WeekDay]]=1, calendar[[#This Row],[WeekDay]]=7),P3329,P3329+1)</f>
        <v>2369</v>
      </c>
      <c r="Q3330">
        <f>IF(OR(calendar[[#This Row],[FR_BH]]=1,calendar[[#This Row],[WeekDay]]=1, calendar[[#This Row],[WeekDay]]=7),P3329,P3329+1)</f>
        <v>2369</v>
      </c>
      <c r="R3330">
        <f>IF(OR(calendar[[#This Row],[SP_BH]]=1,calendar[[#This Row],[WeekDay]]=1, calendar[[#This Row],[WeekDay]]=7),P3329,P3329+1)</f>
        <v>2369</v>
      </c>
      <c r="S3330">
        <f>IF(OR(calendar[[#This Row],[PT_BH]]=1,calendar[[#This Row],[WeekDay]]=1, calendar[[#This Row],[WeekDay]]=7),P3329,P3329+1)</f>
        <v>2369</v>
      </c>
    </row>
    <row r="3331" spans="1:19" x14ac:dyDescent="0.25">
      <c r="A3331" s="2">
        <v>46065</v>
      </c>
      <c r="B3331" s="1">
        <f t="shared" si="266"/>
        <v>7</v>
      </c>
      <c r="C3331">
        <f t="shared" si="263"/>
        <v>2</v>
      </c>
      <c r="D3331" t="str">
        <f t="shared" si="264"/>
        <v>February</v>
      </c>
      <c r="E3331">
        <f t="shared" si="265"/>
        <v>2026</v>
      </c>
      <c r="F3331" t="str">
        <f>CONCATENATE(calendar[[#This Row],[Month]],"/",calendar[[#This Row],[Year]])</f>
        <v>2/2026</v>
      </c>
      <c r="G3331">
        <f>WEEKDAY(calendar[[#This Row],[Date]],1)</f>
        <v>5</v>
      </c>
      <c r="H3331" t="str">
        <f>TEXT(calendar[[#This Row],[WeekDay]],"dddd")</f>
        <v>Thursday</v>
      </c>
      <c r="I3331">
        <f>IF((INT(calendar[[#This Row],[Count]]/7)-calendar[[#This Row],[Count]]/7)&lt;0,I3330,I3330+1)</f>
        <v>476</v>
      </c>
      <c r="J3331">
        <f t="shared" ref="J3331:J3394" si="267">J3330+1</f>
        <v>3329</v>
      </c>
      <c r="K3331">
        <f>IF(calendar[[#This Row],[Month]]&lt;4,1,IF(calendar[[#This Row],[Month]]&lt;7,2,IF(calendar[[#This Row],[Month]]&lt;10,3,4)))</f>
        <v>1</v>
      </c>
      <c r="L3331">
        <f>IFERROR(IF(VLOOKUP(calendar[[#This Row],[Date]],BH!A:A,1,)&lt;&gt;"",1,0),0)</f>
        <v>0</v>
      </c>
      <c r="M3331">
        <f>IFERROR(IF(VLOOKUP(calendar[[#This Row],[Date]],BH!C:C,1,)&lt;&gt;"",1,0),0)</f>
        <v>0</v>
      </c>
      <c r="N3331">
        <f>IFERROR(IF(VLOOKUP(calendar[[#This Row],[Date]],BH!E:E,1,)&lt;&gt;"",1,0),0)</f>
        <v>0</v>
      </c>
      <c r="O3331">
        <f>IFERROR(IF(VLOOKUP(calendar[[#This Row],[Date]],BH!G:G,1,)&lt;&gt;"",1,0),0)</f>
        <v>0</v>
      </c>
      <c r="P3331">
        <f>IF(OR(calendar[[#This Row],[UK_BH]]=1,calendar[[#This Row],[WeekDay]]=1, calendar[[#This Row],[WeekDay]]=7),P3330,P3330+1)</f>
        <v>2370</v>
      </c>
      <c r="Q3331">
        <f>IF(OR(calendar[[#This Row],[FR_BH]]=1,calendar[[#This Row],[WeekDay]]=1, calendar[[#This Row],[WeekDay]]=7),P3330,P3330+1)</f>
        <v>2370</v>
      </c>
      <c r="R3331">
        <f>IF(OR(calendar[[#This Row],[SP_BH]]=1,calendar[[#This Row],[WeekDay]]=1, calendar[[#This Row],[WeekDay]]=7),P3330,P3330+1)</f>
        <v>2370</v>
      </c>
      <c r="S3331">
        <f>IF(OR(calendar[[#This Row],[PT_BH]]=1,calendar[[#This Row],[WeekDay]]=1, calendar[[#This Row],[WeekDay]]=7),P3330,P3330+1)</f>
        <v>2370</v>
      </c>
    </row>
    <row r="3332" spans="1:19" x14ac:dyDescent="0.25">
      <c r="A3332" s="2">
        <v>46066</v>
      </c>
      <c r="B3332" s="1">
        <f t="shared" si="266"/>
        <v>7</v>
      </c>
      <c r="C3332">
        <f t="shared" si="263"/>
        <v>2</v>
      </c>
      <c r="D3332" t="str">
        <f t="shared" si="264"/>
        <v>February</v>
      </c>
      <c r="E3332">
        <f t="shared" si="265"/>
        <v>2026</v>
      </c>
      <c r="F3332" t="str">
        <f>CONCATENATE(calendar[[#This Row],[Month]],"/",calendar[[#This Row],[Year]])</f>
        <v>2/2026</v>
      </c>
      <c r="G3332">
        <f>WEEKDAY(calendar[[#This Row],[Date]],1)</f>
        <v>6</v>
      </c>
      <c r="H3332" t="str">
        <f>TEXT(calendar[[#This Row],[WeekDay]],"dddd")</f>
        <v>Friday</v>
      </c>
      <c r="I3332">
        <f>IF((INT(calendar[[#This Row],[Count]]/7)-calendar[[#This Row],[Count]]/7)&lt;0,I3331,I3331+1)</f>
        <v>476</v>
      </c>
      <c r="J3332">
        <f t="shared" si="267"/>
        <v>3330</v>
      </c>
      <c r="K3332">
        <f>IF(calendar[[#This Row],[Month]]&lt;4,1,IF(calendar[[#This Row],[Month]]&lt;7,2,IF(calendar[[#This Row],[Month]]&lt;10,3,4)))</f>
        <v>1</v>
      </c>
      <c r="L3332">
        <f>IFERROR(IF(VLOOKUP(calendar[[#This Row],[Date]],BH!A:A,1,)&lt;&gt;"",1,0),0)</f>
        <v>0</v>
      </c>
      <c r="M3332">
        <f>IFERROR(IF(VLOOKUP(calendar[[#This Row],[Date]],BH!C:C,1,)&lt;&gt;"",1,0),0)</f>
        <v>0</v>
      </c>
      <c r="N3332">
        <f>IFERROR(IF(VLOOKUP(calendar[[#This Row],[Date]],BH!E:E,1,)&lt;&gt;"",1,0),0)</f>
        <v>0</v>
      </c>
      <c r="O3332">
        <f>IFERROR(IF(VLOOKUP(calendar[[#This Row],[Date]],BH!G:G,1,)&lt;&gt;"",1,0),0)</f>
        <v>0</v>
      </c>
      <c r="P3332">
        <f>IF(OR(calendar[[#This Row],[UK_BH]]=1,calendar[[#This Row],[WeekDay]]=1, calendar[[#This Row],[WeekDay]]=7),P3331,P3331+1)</f>
        <v>2371</v>
      </c>
      <c r="Q3332">
        <f>IF(OR(calendar[[#This Row],[FR_BH]]=1,calendar[[#This Row],[WeekDay]]=1, calendar[[#This Row],[WeekDay]]=7),P3331,P3331+1)</f>
        <v>2371</v>
      </c>
      <c r="R3332">
        <f>IF(OR(calendar[[#This Row],[SP_BH]]=1,calendar[[#This Row],[WeekDay]]=1, calendar[[#This Row],[WeekDay]]=7),P3331,P3331+1)</f>
        <v>2371</v>
      </c>
      <c r="S3332">
        <f>IF(OR(calendar[[#This Row],[PT_BH]]=1,calendar[[#This Row],[WeekDay]]=1, calendar[[#This Row],[WeekDay]]=7),P3331,P3331+1)</f>
        <v>2371</v>
      </c>
    </row>
    <row r="3333" spans="1:19" x14ac:dyDescent="0.25">
      <c r="A3333" s="2">
        <v>46067</v>
      </c>
      <c r="B3333" s="1">
        <f t="shared" si="266"/>
        <v>7</v>
      </c>
      <c r="C3333">
        <f t="shared" si="263"/>
        <v>2</v>
      </c>
      <c r="D3333" t="str">
        <f t="shared" si="264"/>
        <v>February</v>
      </c>
      <c r="E3333">
        <f t="shared" si="265"/>
        <v>2026</v>
      </c>
      <c r="F3333" t="str">
        <f>CONCATENATE(calendar[[#This Row],[Month]],"/",calendar[[#This Row],[Year]])</f>
        <v>2/2026</v>
      </c>
      <c r="G3333">
        <f>WEEKDAY(calendar[[#This Row],[Date]],1)</f>
        <v>7</v>
      </c>
      <c r="H3333" t="str">
        <f>TEXT(calendar[[#This Row],[WeekDay]],"dddd")</f>
        <v>Saturday</v>
      </c>
      <c r="I3333">
        <f>IF((INT(calendar[[#This Row],[Count]]/7)-calendar[[#This Row],[Count]]/7)&lt;0,I3332,I3332+1)</f>
        <v>476</v>
      </c>
      <c r="J3333">
        <f t="shared" si="267"/>
        <v>3331</v>
      </c>
      <c r="K3333">
        <f>IF(calendar[[#This Row],[Month]]&lt;4,1,IF(calendar[[#This Row],[Month]]&lt;7,2,IF(calendar[[#This Row],[Month]]&lt;10,3,4)))</f>
        <v>1</v>
      </c>
      <c r="L3333">
        <f>IFERROR(IF(VLOOKUP(calendar[[#This Row],[Date]],BH!A:A,1,)&lt;&gt;"",1,0),0)</f>
        <v>0</v>
      </c>
      <c r="M3333">
        <f>IFERROR(IF(VLOOKUP(calendar[[#This Row],[Date]],BH!C:C,1,)&lt;&gt;"",1,0),0)</f>
        <v>0</v>
      </c>
      <c r="N3333">
        <f>IFERROR(IF(VLOOKUP(calendar[[#This Row],[Date]],BH!E:E,1,)&lt;&gt;"",1,0),0)</f>
        <v>0</v>
      </c>
      <c r="O3333">
        <f>IFERROR(IF(VLOOKUP(calendar[[#This Row],[Date]],BH!G:G,1,)&lt;&gt;"",1,0),0)</f>
        <v>0</v>
      </c>
      <c r="P3333">
        <f>IF(OR(calendar[[#This Row],[UK_BH]]=1,calendar[[#This Row],[WeekDay]]=1, calendar[[#This Row],[WeekDay]]=7),P3332,P3332+1)</f>
        <v>2371</v>
      </c>
      <c r="Q3333">
        <f>IF(OR(calendar[[#This Row],[FR_BH]]=1,calendar[[#This Row],[WeekDay]]=1, calendar[[#This Row],[WeekDay]]=7),P3332,P3332+1)</f>
        <v>2371</v>
      </c>
      <c r="R3333">
        <f>IF(OR(calendar[[#This Row],[SP_BH]]=1,calendar[[#This Row],[WeekDay]]=1, calendar[[#This Row],[WeekDay]]=7),P3332,P3332+1)</f>
        <v>2371</v>
      </c>
      <c r="S3333">
        <f>IF(OR(calendar[[#This Row],[PT_BH]]=1,calendar[[#This Row],[WeekDay]]=1, calendar[[#This Row],[WeekDay]]=7),P3332,P3332+1)</f>
        <v>2371</v>
      </c>
    </row>
    <row r="3334" spans="1:19" x14ac:dyDescent="0.25">
      <c r="A3334" s="2">
        <v>46068</v>
      </c>
      <c r="B3334" s="1">
        <f t="shared" si="266"/>
        <v>8</v>
      </c>
      <c r="C3334">
        <f t="shared" si="263"/>
        <v>2</v>
      </c>
      <c r="D3334" t="str">
        <f t="shared" si="264"/>
        <v>February</v>
      </c>
      <c r="E3334">
        <f t="shared" si="265"/>
        <v>2026</v>
      </c>
      <c r="F3334" t="str">
        <f>CONCATENATE(calendar[[#This Row],[Month]],"/",calendar[[#This Row],[Year]])</f>
        <v>2/2026</v>
      </c>
      <c r="G3334">
        <f>WEEKDAY(calendar[[#This Row],[Date]],1)</f>
        <v>1</v>
      </c>
      <c r="H3334" t="str">
        <f>TEXT(calendar[[#This Row],[WeekDay]],"dddd")</f>
        <v>Sunday</v>
      </c>
      <c r="I3334">
        <f>IF((INT(calendar[[#This Row],[Count]]/7)-calendar[[#This Row],[Count]]/7)&lt;0,I3333,I3333+1)</f>
        <v>477</v>
      </c>
      <c r="J3334">
        <f t="shared" si="267"/>
        <v>3332</v>
      </c>
      <c r="K3334">
        <f>IF(calendar[[#This Row],[Month]]&lt;4,1,IF(calendar[[#This Row],[Month]]&lt;7,2,IF(calendar[[#This Row],[Month]]&lt;10,3,4)))</f>
        <v>1</v>
      </c>
      <c r="L3334">
        <f>IFERROR(IF(VLOOKUP(calendar[[#This Row],[Date]],BH!A:A,1,)&lt;&gt;"",1,0),0)</f>
        <v>0</v>
      </c>
      <c r="M3334">
        <f>IFERROR(IF(VLOOKUP(calendar[[#This Row],[Date]],BH!C:C,1,)&lt;&gt;"",1,0),0)</f>
        <v>0</v>
      </c>
      <c r="N3334">
        <f>IFERROR(IF(VLOOKUP(calendar[[#This Row],[Date]],BH!E:E,1,)&lt;&gt;"",1,0),0)</f>
        <v>0</v>
      </c>
      <c r="O3334">
        <f>IFERROR(IF(VLOOKUP(calendar[[#This Row],[Date]],BH!G:G,1,)&lt;&gt;"",1,0),0)</f>
        <v>0</v>
      </c>
      <c r="P3334">
        <f>IF(OR(calendar[[#This Row],[UK_BH]]=1,calendar[[#This Row],[WeekDay]]=1, calendar[[#This Row],[WeekDay]]=7),P3333,P3333+1)</f>
        <v>2371</v>
      </c>
      <c r="Q3334">
        <f>IF(OR(calendar[[#This Row],[FR_BH]]=1,calendar[[#This Row],[WeekDay]]=1, calendar[[#This Row],[WeekDay]]=7),P3333,P3333+1)</f>
        <v>2371</v>
      </c>
      <c r="R3334">
        <f>IF(OR(calendar[[#This Row],[SP_BH]]=1,calendar[[#This Row],[WeekDay]]=1, calendar[[#This Row],[WeekDay]]=7),P3333,P3333+1)</f>
        <v>2371</v>
      </c>
      <c r="S3334">
        <f>IF(OR(calendar[[#This Row],[PT_BH]]=1,calendar[[#This Row],[WeekDay]]=1, calendar[[#This Row],[WeekDay]]=7),P3333,P3333+1)</f>
        <v>2371</v>
      </c>
    </row>
    <row r="3335" spans="1:19" x14ac:dyDescent="0.25">
      <c r="A3335" s="2">
        <v>46069</v>
      </c>
      <c r="B3335" s="1">
        <f t="shared" si="266"/>
        <v>8</v>
      </c>
      <c r="C3335">
        <f t="shared" si="263"/>
        <v>2</v>
      </c>
      <c r="D3335" t="str">
        <f t="shared" si="264"/>
        <v>February</v>
      </c>
      <c r="E3335">
        <f t="shared" si="265"/>
        <v>2026</v>
      </c>
      <c r="F3335" t="str">
        <f>CONCATENATE(calendar[[#This Row],[Month]],"/",calendar[[#This Row],[Year]])</f>
        <v>2/2026</v>
      </c>
      <c r="G3335">
        <f>WEEKDAY(calendar[[#This Row],[Date]],1)</f>
        <v>2</v>
      </c>
      <c r="H3335" t="str">
        <f>TEXT(calendar[[#This Row],[WeekDay]],"dddd")</f>
        <v>Monday</v>
      </c>
      <c r="I3335">
        <f>IF((INT(calendar[[#This Row],[Count]]/7)-calendar[[#This Row],[Count]]/7)&lt;0,I3334,I3334+1)</f>
        <v>477</v>
      </c>
      <c r="J3335">
        <f t="shared" si="267"/>
        <v>3333</v>
      </c>
      <c r="K3335">
        <f>IF(calendar[[#This Row],[Month]]&lt;4,1,IF(calendar[[#This Row],[Month]]&lt;7,2,IF(calendar[[#This Row],[Month]]&lt;10,3,4)))</f>
        <v>1</v>
      </c>
      <c r="L3335">
        <f>IFERROR(IF(VLOOKUP(calendar[[#This Row],[Date]],BH!A:A,1,)&lt;&gt;"",1,0),0)</f>
        <v>0</v>
      </c>
      <c r="M3335">
        <f>IFERROR(IF(VLOOKUP(calendar[[#This Row],[Date]],BH!C:C,1,)&lt;&gt;"",1,0),0)</f>
        <v>0</v>
      </c>
      <c r="N3335">
        <f>IFERROR(IF(VLOOKUP(calendar[[#This Row],[Date]],BH!E:E,1,)&lt;&gt;"",1,0),0)</f>
        <v>0</v>
      </c>
      <c r="O3335">
        <f>IFERROR(IF(VLOOKUP(calendar[[#This Row],[Date]],BH!G:G,1,)&lt;&gt;"",1,0),0)</f>
        <v>0</v>
      </c>
      <c r="P3335">
        <f>IF(OR(calendar[[#This Row],[UK_BH]]=1,calendar[[#This Row],[WeekDay]]=1, calendar[[#This Row],[WeekDay]]=7),P3334,P3334+1)</f>
        <v>2372</v>
      </c>
      <c r="Q3335">
        <f>IF(OR(calendar[[#This Row],[FR_BH]]=1,calendar[[#This Row],[WeekDay]]=1, calendar[[#This Row],[WeekDay]]=7),P3334,P3334+1)</f>
        <v>2372</v>
      </c>
      <c r="R3335">
        <f>IF(OR(calendar[[#This Row],[SP_BH]]=1,calendar[[#This Row],[WeekDay]]=1, calendar[[#This Row],[WeekDay]]=7),P3334,P3334+1)</f>
        <v>2372</v>
      </c>
      <c r="S3335">
        <f>IF(OR(calendar[[#This Row],[PT_BH]]=1,calendar[[#This Row],[WeekDay]]=1, calendar[[#This Row],[WeekDay]]=7),P3334,P3334+1)</f>
        <v>2372</v>
      </c>
    </row>
    <row r="3336" spans="1:19" x14ac:dyDescent="0.25">
      <c r="A3336" s="2">
        <v>46070</v>
      </c>
      <c r="B3336" s="1">
        <f t="shared" si="266"/>
        <v>8</v>
      </c>
      <c r="C3336">
        <f t="shared" si="263"/>
        <v>2</v>
      </c>
      <c r="D3336" t="str">
        <f t="shared" si="264"/>
        <v>February</v>
      </c>
      <c r="E3336">
        <f t="shared" si="265"/>
        <v>2026</v>
      </c>
      <c r="F3336" t="str">
        <f>CONCATENATE(calendar[[#This Row],[Month]],"/",calendar[[#This Row],[Year]])</f>
        <v>2/2026</v>
      </c>
      <c r="G3336">
        <f>WEEKDAY(calendar[[#This Row],[Date]],1)</f>
        <v>3</v>
      </c>
      <c r="H3336" t="str">
        <f>TEXT(calendar[[#This Row],[WeekDay]],"dddd")</f>
        <v>Tuesday</v>
      </c>
      <c r="I3336">
        <f>IF((INT(calendar[[#This Row],[Count]]/7)-calendar[[#This Row],[Count]]/7)&lt;0,I3335,I3335+1)</f>
        <v>477</v>
      </c>
      <c r="J3336">
        <f t="shared" si="267"/>
        <v>3334</v>
      </c>
      <c r="K3336">
        <f>IF(calendar[[#This Row],[Month]]&lt;4,1,IF(calendar[[#This Row],[Month]]&lt;7,2,IF(calendar[[#This Row],[Month]]&lt;10,3,4)))</f>
        <v>1</v>
      </c>
      <c r="L3336">
        <f>IFERROR(IF(VLOOKUP(calendar[[#This Row],[Date]],BH!A:A,1,)&lt;&gt;"",1,0),0)</f>
        <v>0</v>
      </c>
      <c r="M3336">
        <f>IFERROR(IF(VLOOKUP(calendar[[#This Row],[Date]],BH!C:C,1,)&lt;&gt;"",1,0),0)</f>
        <v>0</v>
      </c>
      <c r="N3336">
        <f>IFERROR(IF(VLOOKUP(calendar[[#This Row],[Date]],BH!E:E,1,)&lt;&gt;"",1,0),0)</f>
        <v>0</v>
      </c>
      <c r="O3336">
        <f>IFERROR(IF(VLOOKUP(calendar[[#This Row],[Date]],BH!G:G,1,)&lt;&gt;"",1,0),0)</f>
        <v>0</v>
      </c>
      <c r="P3336">
        <f>IF(OR(calendar[[#This Row],[UK_BH]]=1,calendar[[#This Row],[WeekDay]]=1, calendar[[#This Row],[WeekDay]]=7),P3335,P3335+1)</f>
        <v>2373</v>
      </c>
      <c r="Q3336">
        <f>IF(OR(calendar[[#This Row],[FR_BH]]=1,calendar[[#This Row],[WeekDay]]=1, calendar[[#This Row],[WeekDay]]=7),P3335,P3335+1)</f>
        <v>2373</v>
      </c>
      <c r="R3336">
        <f>IF(OR(calendar[[#This Row],[SP_BH]]=1,calendar[[#This Row],[WeekDay]]=1, calendar[[#This Row],[WeekDay]]=7),P3335,P3335+1)</f>
        <v>2373</v>
      </c>
      <c r="S3336">
        <f>IF(OR(calendar[[#This Row],[PT_BH]]=1,calendar[[#This Row],[WeekDay]]=1, calendar[[#This Row],[WeekDay]]=7),P3335,P3335+1)</f>
        <v>2373</v>
      </c>
    </row>
    <row r="3337" spans="1:19" x14ac:dyDescent="0.25">
      <c r="A3337" s="2">
        <v>46071</v>
      </c>
      <c r="B3337" s="1">
        <f t="shared" si="266"/>
        <v>8</v>
      </c>
      <c r="C3337">
        <f t="shared" si="263"/>
        <v>2</v>
      </c>
      <c r="D3337" t="str">
        <f t="shared" si="264"/>
        <v>February</v>
      </c>
      <c r="E3337">
        <f t="shared" si="265"/>
        <v>2026</v>
      </c>
      <c r="F3337" t="str">
        <f>CONCATENATE(calendar[[#This Row],[Month]],"/",calendar[[#This Row],[Year]])</f>
        <v>2/2026</v>
      </c>
      <c r="G3337">
        <f>WEEKDAY(calendar[[#This Row],[Date]],1)</f>
        <v>4</v>
      </c>
      <c r="H3337" t="str">
        <f>TEXT(calendar[[#This Row],[WeekDay]],"dddd")</f>
        <v>Wednesday</v>
      </c>
      <c r="I3337">
        <f>IF((INT(calendar[[#This Row],[Count]]/7)-calendar[[#This Row],[Count]]/7)&lt;0,I3336,I3336+1)</f>
        <v>477</v>
      </c>
      <c r="J3337">
        <f t="shared" si="267"/>
        <v>3335</v>
      </c>
      <c r="K3337">
        <f>IF(calendar[[#This Row],[Month]]&lt;4,1,IF(calendar[[#This Row],[Month]]&lt;7,2,IF(calendar[[#This Row],[Month]]&lt;10,3,4)))</f>
        <v>1</v>
      </c>
      <c r="L3337">
        <f>IFERROR(IF(VLOOKUP(calendar[[#This Row],[Date]],BH!A:A,1,)&lt;&gt;"",1,0),0)</f>
        <v>0</v>
      </c>
      <c r="M3337">
        <f>IFERROR(IF(VLOOKUP(calendar[[#This Row],[Date]],BH!C:C,1,)&lt;&gt;"",1,0),0)</f>
        <v>0</v>
      </c>
      <c r="N3337">
        <f>IFERROR(IF(VLOOKUP(calendar[[#This Row],[Date]],BH!E:E,1,)&lt;&gt;"",1,0),0)</f>
        <v>0</v>
      </c>
      <c r="O3337">
        <f>IFERROR(IF(VLOOKUP(calendar[[#This Row],[Date]],BH!G:G,1,)&lt;&gt;"",1,0),0)</f>
        <v>0</v>
      </c>
      <c r="P3337">
        <f>IF(OR(calendar[[#This Row],[UK_BH]]=1,calendar[[#This Row],[WeekDay]]=1, calendar[[#This Row],[WeekDay]]=7),P3336,P3336+1)</f>
        <v>2374</v>
      </c>
      <c r="Q3337">
        <f>IF(OR(calendar[[#This Row],[FR_BH]]=1,calendar[[#This Row],[WeekDay]]=1, calendar[[#This Row],[WeekDay]]=7),P3336,P3336+1)</f>
        <v>2374</v>
      </c>
      <c r="R3337">
        <f>IF(OR(calendar[[#This Row],[SP_BH]]=1,calendar[[#This Row],[WeekDay]]=1, calendar[[#This Row],[WeekDay]]=7),P3336,P3336+1)</f>
        <v>2374</v>
      </c>
      <c r="S3337">
        <f>IF(OR(calendar[[#This Row],[PT_BH]]=1,calendar[[#This Row],[WeekDay]]=1, calendar[[#This Row],[WeekDay]]=7),P3336,P3336+1)</f>
        <v>2374</v>
      </c>
    </row>
    <row r="3338" spans="1:19" x14ac:dyDescent="0.25">
      <c r="A3338" s="2">
        <v>46072</v>
      </c>
      <c r="B3338" s="1">
        <f t="shared" si="266"/>
        <v>8</v>
      </c>
      <c r="C3338">
        <f t="shared" si="263"/>
        <v>2</v>
      </c>
      <c r="D3338" t="str">
        <f t="shared" si="264"/>
        <v>February</v>
      </c>
      <c r="E3338">
        <f t="shared" si="265"/>
        <v>2026</v>
      </c>
      <c r="F3338" t="str">
        <f>CONCATENATE(calendar[[#This Row],[Month]],"/",calendar[[#This Row],[Year]])</f>
        <v>2/2026</v>
      </c>
      <c r="G3338">
        <f>WEEKDAY(calendar[[#This Row],[Date]],1)</f>
        <v>5</v>
      </c>
      <c r="H3338" t="str">
        <f>TEXT(calendar[[#This Row],[WeekDay]],"dddd")</f>
        <v>Thursday</v>
      </c>
      <c r="I3338">
        <f>IF((INT(calendar[[#This Row],[Count]]/7)-calendar[[#This Row],[Count]]/7)&lt;0,I3337,I3337+1)</f>
        <v>477</v>
      </c>
      <c r="J3338">
        <f t="shared" si="267"/>
        <v>3336</v>
      </c>
      <c r="K3338">
        <f>IF(calendar[[#This Row],[Month]]&lt;4,1,IF(calendar[[#This Row],[Month]]&lt;7,2,IF(calendar[[#This Row],[Month]]&lt;10,3,4)))</f>
        <v>1</v>
      </c>
      <c r="L3338">
        <f>IFERROR(IF(VLOOKUP(calendar[[#This Row],[Date]],BH!A:A,1,)&lt;&gt;"",1,0),0)</f>
        <v>0</v>
      </c>
      <c r="M3338">
        <f>IFERROR(IF(VLOOKUP(calendar[[#This Row],[Date]],BH!C:C,1,)&lt;&gt;"",1,0),0)</f>
        <v>0</v>
      </c>
      <c r="N3338">
        <f>IFERROR(IF(VLOOKUP(calendar[[#This Row],[Date]],BH!E:E,1,)&lt;&gt;"",1,0),0)</f>
        <v>0</v>
      </c>
      <c r="O3338">
        <f>IFERROR(IF(VLOOKUP(calendar[[#This Row],[Date]],BH!G:G,1,)&lt;&gt;"",1,0),0)</f>
        <v>0</v>
      </c>
      <c r="P3338">
        <f>IF(OR(calendar[[#This Row],[UK_BH]]=1,calendar[[#This Row],[WeekDay]]=1, calendar[[#This Row],[WeekDay]]=7),P3337,P3337+1)</f>
        <v>2375</v>
      </c>
      <c r="Q3338">
        <f>IF(OR(calendar[[#This Row],[FR_BH]]=1,calendar[[#This Row],[WeekDay]]=1, calendar[[#This Row],[WeekDay]]=7),P3337,P3337+1)</f>
        <v>2375</v>
      </c>
      <c r="R3338">
        <f>IF(OR(calendar[[#This Row],[SP_BH]]=1,calendar[[#This Row],[WeekDay]]=1, calendar[[#This Row],[WeekDay]]=7),P3337,P3337+1)</f>
        <v>2375</v>
      </c>
      <c r="S3338">
        <f>IF(OR(calendar[[#This Row],[PT_BH]]=1,calendar[[#This Row],[WeekDay]]=1, calendar[[#This Row],[WeekDay]]=7),P3337,P3337+1)</f>
        <v>2375</v>
      </c>
    </row>
    <row r="3339" spans="1:19" x14ac:dyDescent="0.25">
      <c r="A3339" s="2">
        <v>46073</v>
      </c>
      <c r="B3339" s="1">
        <f t="shared" si="266"/>
        <v>8</v>
      </c>
      <c r="C3339">
        <f t="shared" si="263"/>
        <v>2</v>
      </c>
      <c r="D3339" t="str">
        <f t="shared" si="264"/>
        <v>February</v>
      </c>
      <c r="E3339">
        <f t="shared" si="265"/>
        <v>2026</v>
      </c>
      <c r="F3339" t="str">
        <f>CONCATENATE(calendar[[#This Row],[Month]],"/",calendar[[#This Row],[Year]])</f>
        <v>2/2026</v>
      </c>
      <c r="G3339">
        <f>WEEKDAY(calendar[[#This Row],[Date]],1)</f>
        <v>6</v>
      </c>
      <c r="H3339" t="str">
        <f>TEXT(calendar[[#This Row],[WeekDay]],"dddd")</f>
        <v>Friday</v>
      </c>
      <c r="I3339">
        <f>IF((INT(calendar[[#This Row],[Count]]/7)-calendar[[#This Row],[Count]]/7)&lt;0,I3338,I3338+1)</f>
        <v>477</v>
      </c>
      <c r="J3339">
        <f t="shared" si="267"/>
        <v>3337</v>
      </c>
      <c r="K3339">
        <f>IF(calendar[[#This Row],[Month]]&lt;4,1,IF(calendar[[#This Row],[Month]]&lt;7,2,IF(calendar[[#This Row],[Month]]&lt;10,3,4)))</f>
        <v>1</v>
      </c>
      <c r="L3339">
        <f>IFERROR(IF(VLOOKUP(calendar[[#This Row],[Date]],BH!A:A,1,)&lt;&gt;"",1,0),0)</f>
        <v>0</v>
      </c>
      <c r="M3339">
        <f>IFERROR(IF(VLOOKUP(calendar[[#This Row],[Date]],BH!C:C,1,)&lt;&gt;"",1,0),0)</f>
        <v>0</v>
      </c>
      <c r="N3339">
        <f>IFERROR(IF(VLOOKUP(calendar[[#This Row],[Date]],BH!E:E,1,)&lt;&gt;"",1,0),0)</f>
        <v>0</v>
      </c>
      <c r="O3339">
        <f>IFERROR(IF(VLOOKUP(calendar[[#This Row],[Date]],BH!G:G,1,)&lt;&gt;"",1,0),0)</f>
        <v>0</v>
      </c>
      <c r="P3339">
        <f>IF(OR(calendar[[#This Row],[UK_BH]]=1,calendar[[#This Row],[WeekDay]]=1, calendar[[#This Row],[WeekDay]]=7),P3338,P3338+1)</f>
        <v>2376</v>
      </c>
      <c r="Q3339">
        <f>IF(OR(calendar[[#This Row],[FR_BH]]=1,calendar[[#This Row],[WeekDay]]=1, calendar[[#This Row],[WeekDay]]=7),P3338,P3338+1)</f>
        <v>2376</v>
      </c>
      <c r="R3339">
        <f>IF(OR(calendar[[#This Row],[SP_BH]]=1,calendar[[#This Row],[WeekDay]]=1, calendar[[#This Row],[WeekDay]]=7),P3338,P3338+1)</f>
        <v>2376</v>
      </c>
      <c r="S3339">
        <f>IF(OR(calendar[[#This Row],[PT_BH]]=1,calendar[[#This Row],[WeekDay]]=1, calendar[[#This Row],[WeekDay]]=7),P3338,P3338+1)</f>
        <v>2376</v>
      </c>
    </row>
    <row r="3340" spans="1:19" x14ac:dyDescent="0.25">
      <c r="A3340" s="2">
        <v>46074</v>
      </c>
      <c r="B3340" s="1">
        <f t="shared" si="266"/>
        <v>8</v>
      </c>
      <c r="C3340">
        <f t="shared" si="263"/>
        <v>2</v>
      </c>
      <c r="D3340" t="str">
        <f t="shared" si="264"/>
        <v>February</v>
      </c>
      <c r="E3340">
        <f t="shared" si="265"/>
        <v>2026</v>
      </c>
      <c r="F3340" t="str">
        <f>CONCATENATE(calendar[[#This Row],[Month]],"/",calendar[[#This Row],[Year]])</f>
        <v>2/2026</v>
      </c>
      <c r="G3340">
        <f>WEEKDAY(calendar[[#This Row],[Date]],1)</f>
        <v>7</v>
      </c>
      <c r="H3340" t="str">
        <f>TEXT(calendar[[#This Row],[WeekDay]],"dddd")</f>
        <v>Saturday</v>
      </c>
      <c r="I3340">
        <f>IF((INT(calendar[[#This Row],[Count]]/7)-calendar[[#This Row],[Count]]/7)&lt;0,I3339,I3339+1)</f>
        <v>477</v>
      </c>
      <c r="J3340">
        <f t="shared" si="267"/>
        <v>3338</v>
      </c>
      <c r="K3340">
        <f>IF(calendar[[#This Row],[Month]]&lt;4,1,IF(calendar[[#This Row],[Month]]&lt;7,2,IF(calendar[[#This Row],[Month]]&lt;10,3,4)))</f>
        <v>1</v>
      </c>
      <c r="L3340">
        <f>IFERROR(IF(VLOOKUP(calendar[[#This Row],[Date]],BH!A:A,1,)&lt;&gt;"",1,0),0)</f>
        <v>0</v>
      </c>
      <c r="M3340">
        <f>IFERROR(IF(VLOOKUP(calendar[[#This Row],[Date]],BH!C:C,1,)&lt;&gt;"",1,0),0)</f>
        <v>0</v>
      </c>
      <c r="N3340">
        <f>IFERROR(IF(VLOOKUP(calendar[[#This Row],[Date]],BH!E:E,1,)&lt;&gt;"",1,0),0)</f>
        <v>0</v>
      </c>
      <c r="O3340">
        <f>IFERROR(IF(VLOOKUP(calendar[[#This Row],[Date]],BH!G:G,1,)&lt;&gt;"",1,0),0)</f>
        <v>0</v>
      </c>
      <c r="P3340">
        <f>IF(OR(calendar[[#This Row],[UK_BH]]=1,calendar[[#This Row],[WeekDay]]=1, calendar[[#This Row],[WeekDay]]=7),P3339,P3339+1)</f>
        <v>2376</v>
      </c>
      <c r="Q3340">
        <f>IF(OR(calendar[[#This Row],[FR_BH]]=1,calendar[[#This Row],[WeekDay]]=1, calendar[[#This Row],[WeekDay]]=7),P3339,P3339+1)</f>
        <v>2376</v>
      </c>
      <c r="R3340">
        <f>IF(OR(calendar[[#This Row],[SP_BH]]=1,calendar[[#This Row],[WeekDay]]=1, calendar[[#This Row],[WeekDay]]=7),P3339,P3339+1)</f>
        <v>2376</v>
      </c>
      <c r="S3340">
        <f>IF(OR(calendar[[#This Row],[PT_BH]]=1,calendar[[#This Row],[WeekDay]]=1, calendar[[#This Row],[WeekDay]]=7),P3339,P3339+1)</f>
        <v>2376</v>
      </c>
    </row>
    <row r="3341" spans="1:19" x14ac:dyDescent="0.25">
      <c r="A3341" s="2">
        <v>46075</v>
      </c>
      <c r="B3341" s="1">
        <f t="shared" si="266"/>
        <v>9</v>
      </c>
      <c r="C3341">
        <f t="shared" si="263"/>
        <v>2</v>
      </c>
      <c r="D3341" t="str">
        <f t="shared" si="264"/>
        <v>February</v>
      </c>
      <c r="E3341">
        <f t="shared" si="265"/>
        <v>2026</v>
      </c>
      <c r="F3341" t="str">
        <f>CONCATENATE(calendar[[#This Row],[Month]],"/",calendar[[#This Row],[Year]])</f>
        <v>2/2026</v>
      </c>
      <c r="G3341">
        <f>WEEKDAY(calendar[[#This Row],[Date]],1)</f>
        <v>1</v>
      </c>
      <c r="H3341" t="str">
        <f>TEXT(calendar[[#This Row],[WeekDay]],"dddd")</f>
        <v>Sunday</v>
      </c>
      <c r="I3341">
        <f>IF((INT(calendar[[#This Row],[Count]]/7)-calendar[[#This Row],[Count]]/7)&lt;0,I3340,I3340+1)</f>
        <v>478</v>
      </c>
      <c r="J3341">
        <f t="shared" si="267"/>
        <v>3339</v>
      </c>
      <c r="K3341">
        <f>IF(calendar[[#This Row],[Month]]&lt;4,1,IF(calendar[[#This Row],[Month]]&lt;7,2,IF(calendar[[#This Row],[Month]]&lt;10,3,4)))</f>
        <v>1</v>
      </c>
      <c r="L3341">
        <f>IFERROR(IF(VLOOKUP(calendar[[#This Row],[Date]],BH!A:A,1,)&lt;&gt;"",1,0),0)</f>
        <v>0</v>
      </c>
      <c r="M3341">
        <f>IFERROR(IF(VLOOKUP(calendar[[#This Row],[Date]],BH!C:C,1,)&lt;&gt;"",1,0),0)</f>
        <v>0</v>
      </c>
      <c r="N3341">
        <f>IFERROR(IF(VLOOKUP(calendar[[#This Row],[Date]],BH!E:E,1,)&lt;&gt;"",1,0),0)</f>
        <v>0</v>
      </c>
      <c r="O3341">
        <f>IFERROR(IF(VLOOKUP(calendar[[#This Row],[Date]],BH!G:G,1,)&lt;&gt;"",1,0),0)</f>
        <v>0</v>
      </c>
      <c r="P3341">
        <f>IF(OR(calendar[[#This Row],[UK_BH]]=1,calendar[[#This Row],[WeekDay]]=1, calendar[[#This Row],[WeekDay]]=7),P3340,P3340+1)</f>
        <v>2376</v>
      </c>
      <c r="Q3341">
        <f>IF(OR(calendar[[#This Row],[FR_BH]]=1,calendar[[#This Row],[WeekDay]]=1, calendar[[#This Row],[WeekDay]]=7),P3340,P3340+1)</f>
        <v>2376</v>
      </c>
      <c r="R3341">
        <f>IF(OR(calendar[[#This Row],[SP_BH]]=1,calendar[[#This Row],[WeekDay]]=1, calendar[[#This Row],[WeekDay]]=7),P3340,P3340+1)</f>
        <v>2376</v>
      </c>
      <c r="S3341">
        <f>IF(OR(calendar[[#This Row],[PT_BH]]=1,calendar[[#This Row],[WeekDay]]=1, calendar[[#This Row],[WeekDay]]=7),P3340,P3340+1)</f>
        <v>2376</v>
      </c>
    </row>
    <row r="3342" spans="1:19" x14ac:dyDescent="0.25">
      <c r="A3342" s="2">
        <v>46076</v>
      </c>
      <c r="B3342" s="1">
        <f t="shared" si="266"/>
        <v>9</v>
      </c>
      <c r="C3342">
        <f t="shared" si="263"/>
        <v>2</v>
      </c>
      <c r="D3342" t="str">
        <f t="shared" si="264"/>
        <v>February</v>
      </c>
      <c r="E3342">
        <f t="shared" si="265"/>
        <v>2026</v>
      </c>
      <c r="F3342" t="str">
        <f>CONCATENATE(calendar[[#This Row],[Month]],"/",calendar[[#This Row],[Year]])</f>
        <v>2/2026</v>
      </c>
      <c r="G3342">
        <f>WEEKDAY(calendar[[#This Row],[Date]],1)</f>
        <v>2</v>
      </c>
      <c r="H3342" t="str">
        <f>TEXT(calendar[[#This Row],[WeekDay]],"dddd")</f>
        <v>Monday</v>
      </c>
      <c r="I3342">
        <f>IF((INT(calendar[[#This Row],[Count]]/7)-calendar[[#This Row],[Count]]/7)&lt;0,I3341,I3341+1)</f>
        <v>478</v>
      </c>
      <c r="J3342">
        <f t="shared" si="267"/>
        <v>3340</v>
      </c>
      <c r="K3342">
        <f>IF(calendar[[#This Row],[Month]]&lt;4,1,IF(calendar[[#This Row],[Month]]&lt;7,2,IF(calendar[[#This Row],[Month]]&lt;10,3,4)))</f>
        <v>1</v>
      </c>
      <c r="L3342">
        <f>IFERROR(IF(VLOOKUP(calendar[[#This Row],[Date]],BH!A:A,1,)&lt;&gt;"",1,0),0)</f>
        <v>0</v>
      </c>
      <c r="M3342">
        <f>IFERROR(IF(VLOOKUP(calendar[[#This Row],[Date]],BH!C:C,1,)&lt;&gt;"",1,0),0)</f>
        <v>0</v>
      </c>
      <c r="N3342">
        <f>IFERROR(IF(VLOOKUP(calendar[[#This Row],[Date]],BH!E:E,1,)&lt;&gt;"",1,0),0)</f>
        <v>0</v>
      </c>
      <c r="O3342">
        <f>IFERROR(IF(VLOOKUP(calendar[[#This Row],[Date]],BH!G:G,1,)&lt;&gt;"",1,0),0)</f>
        <v>0</v>
      </c>
      <c r="P3342">
        <f>IF(OR(calendar[[#This Row],[UK_BH]]=1,calendar[[#This Row],[WeekDay]]=1, calendar[[#This Row],[WeekDay]]=7),P3341,P3341+1)</f>
        <v>2377</v>
      </c>
      <c r="Q3342">
        <f>IF(OR(calendar[[#This Row],[FR_BH]]=1,calendar[[#This Row],[WeekDay]]=1, calendar[[#This Row],[WeekDay]]=7),P3341,P3341+1)</f>
        <v>2377</v>
      </c>
      <c r="R3342">
        <f>IF(OR(calendar[[#This Row],[SP_BH]]=1,calendar[[#This Row],[WeekDay]]=1, calendar[[#This Row],[WeekDay]]=7),P3341,P3341+1)</f>
        <v>2377</v>
      </c>
      <c r="S3342">
        <f>IF(OR(calendar[[#This Row],[PT_BH]]=1,calendar[[#This Row],[WeekDay]]=1, calendar[[#This Row],[WeekDay]]=7),P3341,P3341+1)</f>
        <v>2377</v>
      </c>
    </row>
    <row r="3343" spans="1:19" x14ac:dyDescent="0.25">
      <c r="A3343" s="2">
        <v>46077</v>
      </c>
      <c r="B3343" s="1">
        <f t="shared" si="266"/>
        <v>9</v>
      </c>
      <c r="C3343">
        <f t="shared" si="263"/>
        <v>2</v>
      </c>
      <c r="D3343" t="str">
        <f t="shared" si="264"/>
        <v>February</v>
      </c>
      <c r="E3343">
        <f t="shared" si="265"/>
        <v>2026</v>
      </c>
      <c r="F3343" t="str">
        <f>CONCATENATE(calendar[[#This Row],[Month]],"/",calendar[[#This Row],[Year]])</f>
        <v>2/2026</v>
      </c>
      <c r="G3343">
        <f>WEEKDAY(calendar[[#This Row],[Date]],1)</f>
        <v>3</v>
      </c>
      <c r="H3343" t="str">
        <f>TEXT(calendar[[#This Row],[WeekDay]],"dddd")</f>
        <v>Tuesday</v>
      </c>
      <c r="I3343">
        <f>IF((INT(calendar[[#This Row],[Count]]/7)-calendar[[#This Row],[Count]]/7)&lt;0,I3342,I3342+1)</f>
        <v>478</v>
      </c>
      <c r="J3343">
        <f t="shared" si="267"/>
        <v>3341</v>
      </c>
      <c r="K3343">
        <f>IF(calendar[[#This Row],[Month]]&lt;4,1,IF(calendar[[#This Row],[Month]]&lt;7,2,IF(calendar[[#This Row],[Month]]&lt;10,3,4)))</f>
        <v>1</v>
      </c>
      <c r="L3343">
        <f>IFERROR(IF(VLOOKUP(calendar[[#This Row],[Date]],BH!A:A,1,)&lt;&gt;"",1,0),0)</f>
        <v>0</v>
      </c>
      <c r="M3343">
        <f>IFERROR(IF(VLOOKUP(calendar[[#This Row],[Date]],BH!C:C,1,)&lt;&gt;"",1,0),0)</f>
        <v>0</v>
      </c>
      <c r="N3343">
        <f>IFERROR(IF(VLOOKUP(calendar[[#This Row],[Date]],BH!E:E,1,)&lt;&gt;"",1,0),0)</f>
        <v>0</v>
      </c>
      <c r="O3343">
        <f>IFERROR(IF(VLOOKUP(calendar[[#This Row],[Date]],BH!G:G,1,)&lt;&gt;"",1,0),0)</f>
        <v>0</v>
      </c>
      <c r="P3343">
        <f>IF(OR(calendar[[#This Row],[UK_BH]]=1,calendar[[#This Row],[WeekDay]]=1, calendar[[#This Row],[WeekDay]]=7),P3342,P3342+1)</f>
        <v>2378</v>
      </c>
      <c r="Q3343">
        <f>IF(OR(calendar[[#This Row],[FR_BH]]=1,calendar[[#This Row],[WeekDay]]=1, calendar[[#This Row],[WeekDay]]=7),P3342,P3342+1)</f>
        <v>2378</v>
      </c>
      <c r="R3343">
        <f>IF(OR(calendar[[#This Row],[SP_BH]]=1,calendar[[#This Row],[WeekDay]]=1, calendar[[#This Row],[WeekDay]]=7),P3342,P3342+1)</f>
        <v>2378</v>
      </c>
      <c r="S3343">
        <f>IF(OR(calendar[[#This Row],[PT_BH]]=1,calendar[[#This Row],[WeekDay]]=1, calendar[[#This Row],[WeekDay]]=7),P3342,P3342+1)</f>
        <v>2378</v>
      </c>
    </row>
    <row r="3344" spans="1:19" x14ac:dyDescent="0.25">
      <c r="A3344" s="2">
        <v>46078</v>
      </c>
      <c r="B3344" s="1">
        <f t="shared" si="266"/>
        <v>9</v>
      </c>
      <c r="C3344">
        <f t="shared" si="263"/>
        <v>2</v>
      </c>
      <c r="D3344" t="str">
        <f t="shared" si="264"/>
        <v>February</v>
      </c>
      <c r="E3344">
        <f t="shared" si="265"/>
        <v>2026</v>
      </c>
      <c r="F3344" t="str">
        <f>CONCATENATE(calendar[[#This Row],[Month]],"/",calendar[[#This Row],[Year]])</f>
        <v>2/2026</v>
      </c>
      <c r="G3344">
        <f>WEEKDAY(calendar[[#This Row],[Date]],1)</f>
        <v>4</v>
      </c>
      <c r="H3344" t="str">
        <f>TEXT(calendar[[#This Row],[WeekDay]],"dddd")</f>
        <v>Wednesday</v>
      </c>
      <c r="I3344">
        <f>IF((INT(calendar[[#This Row],[Count]]/7)-calendar[[#This Row],[Count]]/7)&lt;0,I3343,I3343+1)</f>
        <v>478</v>
      </c>
      <c r="J3344">
        <f t="shared" si="267"/>
        <v>3342</v>
      </c>
      <c r="K3344">
        <f>IF(calendar[[#This Row],[Month]]&lt;4,1,IF(calendar[[#This Row],[Month]]&lt;7,2,IF(calendar[[#This Row],[Month]]&lt;10,3,4)))</f>
        <v>1</v>
      </c>
      <c r="L3344">
        <f>IFERROR(IF(VLOOKUP(calendar[[#This Row],[Date]],BH!A:A,1,)&lt;&gt;"",1,0),0)</f>
        <v>0</v>
      </c>
      <c r="M3344">
        <f>IFERROR(IF(VLOOKUP(calendar[[#This Row],[Date]],BH!C:C,1,)&lt;&gt;"",1,0),0)</f>
        <v>0</v>
      </c>
      <c r="N3344">
        <f>IFERROR(IF(VLOOKUP(calendar[[#This Row],[Date]],BH!E:E,1,)&lt;&gt;"",1,0),0)</f>
        <v>0</v>
      </c>
      <c r="O3344">
        <f>IFERROR(IF(VLOOKUP(calendar[[#This Row],[Date]],BH!G:G,1,)&lt;&gt;"",1,0),0)</f>
        <v>0</v>
      </c>
      <c r="P3344">
        <f>IF(OR(calendar[[#This Row],[UK_BH]]=1,calendar[[#This Row],[WeekDay]]=1, calendar[[#This Row],[WeekDay]]=7),P3343,P3343+1)</f>
        <v>2379</v>
      </c>
      <c r="Q3344">
        <f>IF(OR(calendar[[#This Row],[FR_BH]]=1,calendar[[#This Row],[WeekDay]]=1, calendar[[#This Row],[WeekDay]]=7),P3343,P3343+1)</f>
        <v>2379</v>
      </c>
      <c r="R3344">
        <f>IF(OR(calendar[[#This Row],[SP_BH]]=1,calendar[[#This Row],[WeekDay]]=1, calendar[[#This Row],[WeekDay]]=7),P3343,P3343+1)</f>
        <v>2379</v>
      </c>
      <c r="S3344">
        <f>IF(OR(calendar[[#This Row],[PT_BH]]=1,calendar[[#This Row],[WeekDay]]=1, calendar[[#This Row],[WeekDay]]=7),P3343,P3343+1)</f>
        <v>2379</v>
      </c>
    </row>
    <row r="3345" spans="1:19" x14ac:dyDescent="0.25">
      <c r="A3345" s="2">
        <v>46079</v>
      </c>
      <c r="B3345" s="1">
        <f t="shared" si="266"/>
        <v>9</v>
      </c>
      <c r="C3345">
        <f t="shared" si="263"/>
        <v>2</v>
      </c>
      <c r="D3345" t="str">
        <f t="shared" si="264"/>
        <v>February</v>
      </c>
      <c r="E3345">
        <f t="shared" si="265"/>
        <v>2026</v>
      </c>
      <c r="F3345" t="str">
        <f>CONCATENATE(calendar[[#This Row],[Month]],"/",calendar[[#This Row],[Year]])</f>
        <v>2/2026</v>
      </c>
      <c r="G3345">
        <f>WEEKDAY(calendar[[#This Row],[Date]],1)</f>
        <v>5</v>
      </c>
      <c r="H3345" t="str">
        <f>TEXT(calendar[[#This Row],[WeekDay]],"dddd")</f>
        <v>Thursday</v>
      </c>
      <c r="I3345">
        <f>IF((INT(calendar[[#This Row],[Count]]/7)-calendar[[#This Row],[Count]]/7)&lt;0,I3344,I3344+1)</f>
        <v>478</v>
      </c>
      <c r="J3345">
        <f t="shared" si="267"/>
        <v>3343</v>
      </c>
      <c r="K3345">
        <f>IF(calendar[[#This Row],[Month]]&lt;4,1,IF(calendar[[#This Row],[Month]]&lt;7,2,IF(calendar[[#This Row],[Month]]&lt;10,3,4)))</f>
        <v>1</v>
      </c>
      <c r="L3345">
        <f>IFERROR(IF(VLOOKUP(calendar[[#This Row],[Date]],BH!A:A,1,)&lt;&gt;"",1,0),0)</f>
        <v>0</v>
      </c>
      <c r="M3345">
        <f>IFERROR(IF(VLOOKUP(calendar[[#This Row],[Date]],BH!C:C,1,)&lt;&gt;"",1,0),0)</f>
        <v>0</v>
      </c>
      <c r="N3345">
        <f>IFERROR(IF(VLOOKUP(calendar[[#This Row],[Date]],BH!E:E,1,)&lt;&gt;"",1,0),0)</f>
        <v>0</v>
      </c>
      <c r="O3345">
        <f>IFERROR(IF(VLOOKUP(calendar[[#This Row],[Date]],BH!G:G,1,)&lt;&gt;"",1,0),0)</f>
        <v>0</v>
      </c>
      <c r="P3345">
        <f>IF(OR(calendar[[#This Row],[UK_BH]]=1,calendar[[#This Row],[WeekDay]]=1, calendar[[#This Row],[WeekDay]]=7),P3344,P3344+1)</f>
        <v>2380</v>
      </c>
      <c r="Q3345">
        <f>IF(OR(calendar[[#This Row],[FR_BH]]=1,calendar[[#This Row],[WeekDay]]=1, calendar[[#This Row],[WeekDay]]=7),P3344,P3344+1)</f>
        <v>2380</v>
      </c>
      <c r="R3345">
        <f>IF(OR(calendar[[#This Row],[SP_BH]]=1,calendar[[#This Row],[WeekDay]]=1, calendar[[#This Row],[WeekDay]]=7),P3344,P3344+1)</f>
        <v>2380</v>
      </c>
      <c r="S3345">
        <f>IF(OR(calendar[[#This Row],[PT_BH]]=1,calendar[[#This Row],[WeekDay]]=1, calendar[[#This Row],[WeekDay]]=7),P3344,P3344+1)</f>
        <v>2380</v>
      </c>
    </row>
    <row r="3346" spans="1:19" x14ac:dyDescent="0.25">
      <c r="A3346" s="2">
        <v>46080</v>
      </c>
      <c r="B3346" s="1">
        <f t="shared" si="266"/>
        <v>9</v>
      </c>
      <c r="C3346">
        <f t="shared" si="263"/>
        <v>2</v>
      </c>
      <c r="D3346" t="str">
        <f t="shared" si="264"/>
        <v>February</v>
      </c>
      <c r="E3346">
        <f t="shared" si="265"/>
        <v>2026</v>
      </c>
      <c r="F3346" t="str">
        <f>CONCATENATE(calendar[[#This Row],[Month]],"/",calendar[[#This Row],[Year]])</f>
        <v>2/2026</v>
      </c>
      <c r="G3346">
        <f>WEEKDAY(calendar[[#This Row],[Date]],1)</f>
        <v>6</v>
      </c>
      <c r="H3346" t="str">
        <f>TEXT(calendar[[#This Row],[WeekDay]],"dddd")</f>
        <v>Friday</v>
      </c>
      <c r="I3346">
        <f>IF((INT(calendar[[#This Row],[Count]]/7)-calendar[[#This Row],[Count]]/7)&lt;0,I3345,I3345+1)</f>
        <v>478</v>
      </c>
      <c r="J3346">
        <f t="shared" si="267"/>
        <v>3344</v>
      </c>
      <c r="K3346">
        <f>IF(calendar[[#This Row],[Month]]&lt;4,1,IF(calendar[[#This Row],[Month]]&lt;7,2,IF(calendar[[#This Row],[Month]]&lt;10,3,4)))</f>
        <v>1</v>
      </c>
      <c r="L3346">
        <f>IFERROR(IF(VLOOKUP(calendar[[#This Row],[Date]],BH!A:A,1,)&lt;&gt;"",1,0),0)</f>
        <v>0</v>
      </c>
      <c r="M3346">
        <f>IFERROR(IF(VLOOKUP(calendar[[#This Row],[Date]],BH!C:C,1,)&lt;&gt;"",1,0),0)</f>
        <v>0</v>
      </c>
      <c r="N3346">
        <f>IFERROR(IF(VLOOKUP(calendar[[#This Row],[Date]],BH!E:E,1,)&lt;&gt;"",1,0),0)</f>
        <v>0</v>
      </c>
      <c r="O3346">
        <f>IFERROR(IF(VLOOKUP(calendar[[#This Row],[Date]],BH!G:G,1,)&lt;&gt;"",1,0),0)</f>
        <v>0</v>
      </c>
      <c r="P3346">
        <f>IF(OR(calendar[[#This Row],[UK_BH]]=1,calendar[[#This Row],[WeekDay]]=1, calendar[[#This Row],[WeekDay]]=7),P3345,P3345+1)</f>
        <v>2381</v>
      </c>
      <c r="Q3346">
        <f>IF(OR(calendar[[#This Row],[FR_BH]]=1,calendar[[#This Row],[WeekDay]]=1, calendar[[#This Row],[WeekDay]]=7),P3345,P3345+1)</f>
        <v>2381</v>
      </c>
      <c r="R3346">
        <f>IF(OR(calendar[[#This Row],[SP_BH]]=1,calendar[[#This Row],[WeekDay]]=1, calendar[[#This Row],[WeekDay]]=7),P3345,P3345+1)</f>
        <v>2381</v>
      </c>
      <c r="S3346">
        <f>IF(OR(calendar[[#This Row],[PT_BH]]=1,calendar[[#This Row],[WeekDay]]=1, calendar[[#This Row],[WeekDay]]=7),P3345,P3345+1)</f>
        <v>2381</v>
      </c>
    </row>
    <row r="3347" spans="1:19" x14ac:dyDescent="0.25">
      <c r="A3347" s="2">
        <v>46081</v>
      </c>
      <c r="B3347" s="1">
        <f t="shared" si="266"/>
        <v>9</v>
      </c>
      <c r="C3347">
        <f t="shared" si="263"/>
        <v>2</v>
      </c>
      <c r="D3347" t="str">
        <f t="shared" si="264"/>
        <v>February</v>
      </c>
      <c r="E3347">
        <f t="shared" si="265"/>
        <v>2026</v>
      </c>
      <c r="F3347" t="str">
        <f>CONCATENATE(calendar[[#This Row],[Month]],"/",calendar[[#This Row],[Year]])</f>
        <v>2/2026</v>
      </c>
      <c r="G3347">
        <f>WEEKDAY(calendar[[#This Row],[Date]],1)</f>
        <v>7</v>
      </c>
      <c r="H3347" t="str">
        <f>TEXT(calendar[[#This Row],[WeekDay]],"dddd")</f>
        <v>Saturday</v>
      </c>
      <c r="I3347">
        <f>IF((INT(calendar[[#This Row],[Count]]/7)-calendar[[#This Row],[Count]]/7)&lt;0,I3346,I3346+1)</f>
        <v>478</v>
      </c>
      <c r="J3347">
        <f t="shared" si="267"/>
        <v>3345</v>
      </c>
      <c r="K3347">
        <f>IF(calendar[[#This Row],[Month]]&lt;4,1,IF(calendar[[#This Row],[Month]]&lt;7,2,IF(calendar[[#This Row],[Month]]&lt;10,3,4)))</f>
        <v>1</v>
      </c>
      <c r="L3347">
        <f>IFERROR(IF(VLOOKUP(calendar[[#This Row],[Date]],BH!A:A,1,)&lt;&gt;"",1,0),0)</f>
        <v>0</v>
      </c>
      <c r="M3347">
        <f>IFERROR(IF(VLOOKUP(calendar[[#This Row],[Date]],BH!C:C,1,)&lt;&gt;"",1,0),0)</f>
        <v>0</v>
      </c>
      <c r="N3347">
        <f>IFERROR(IF(VLOOKUP(calendar[[#This Row],[Date]],BH!E:E,1,)&lt;&gt;"",1,0),0)</f>
        <v>0</v>
      </c>
      <c r="O3347">
        <f>IFERROR(IF(VLOOKUP(calendar[[#This Row],[Date]],BH!G:G,1,)&lt;&gt;"",1,0),0)</f>
        <v>0</v>
      </c>
      <c r="P3347">
        <f>IF(OR(calendar[[#This Row],[UK_BH]]=1,calendar[[#This Row],[WeekDay]]=1, calendar[[#This Row],[WeekDay]]=7),P3346,P3346+1)</f>
        <v>2381</v>
      </c>
      <c r="Q3347">
        <f>IF(OR(calendar[[#This Row],[FR_BH]]=1,calendar[[#This Row],[WeekDay]]=1, calendar[[#This Row],[WeekDay]]=7),P3346,P3346+1)</f>
        <v>2381</v>
      </c>
      <c r="R3347">
        <f>IF(OR(calendar[[#This Row],[SP_BH]]=1,calendar[[#This Row],[WeekDay]]=1, calendar[[#This Row],[WeekDay]]=7),P3346,P3346+1)</f>
        <v>2381</v>
      </c>
      <c r="S3347">
        <f>IF(OR(calendar[[#This Row],[PT_BH]]=1,calendar[[#This Row],[WeekDay]]=1, calendar[[#This Row],[WeekDay]]=7),P3346,P3346+1)</f>
        <v>2381</v>
      </c>
    </row>
    <row r="3348" spans="1:19" x14ac:dyDescent="0.25">
      <c r="A3348" s="2">
        <v>46082</v>
      </c>
      <c r="B3348" s="1">
        <f t="shared" si="266"/>
        <v>10</v>
      </c>
      <c r="C3348">
        <f t="shared" si="263"/>
        <v>3</v>
      </c>
      <c r="D3348" t="str">
        <f t="shared" si="264"/>
        <v>March</v>
      </c>
      <c r="E3348">
        <f t="shared" si="265"/>
        <v>2026</v>
      </c>
      <c r="F3348" t="str">
        <f>CONCATENATE(calendar[[#This Row],[Month]],"/",calendar[[#This Row],[Year]])</f>
        <v>3/2026</v>
      </c>
      <c r="G3348">
        <f>WEEKDAY(calendar[[#This Row],[Date]],1)</f>
        <v>1</v>
      </c>
      <c r="H3348" t="str">
        <f>TEXT(calendar[[#This Row],[WeekDay]],"dddd")</f>
        <v>Sunday</v>
      </c>
      <c r="I3348">
        <f>IF((INT(calendar[[#This Row],[Count]]/7)-calendar[[#This Row],[Count]]/7)&lt;0,I3347,I3347+1)</f>
        <v>479</v>
      </c>
      <c r="J3348">
        <f t="shared" si="267"/>
        <v>3346</v>
      </c>
      <c r="K3348">
        <f>IF(calendar[[#This Row],[Month]]&lt;4,1,IF(calendar[[#This Row],[Month]]&lt;7,2,IF(calendar[[#This Row],[Month]]&lt;10,3,4)))</f>
        <v>1</v>
      </c>
      <c r="L3348">
        <f>IFERROR(IF(VLOOKUP(calendar[[#This Row],[Date]],BH!A:A,1,)&lt;&gt;"",1,0),0)</f>
        <v>0</v>
      </c>
      <c r="M3348">
        <f>IFERROR(IF(VLOOKUP(calendar[[#This Row],[Date]],BH!C:C,1,)&lt;&gt;"",1,0),0)</f>
        <v>0</v>
      </c>
      <c r="N3348">
        <f>IFERROR(IF(VLOOKUP(calendar[[#This Row],[Date]],BH!E:E,1,)&lt;&gt;"",1,0),0)</f>
        <v>1</v>
      </c>
      <c r="O3348">
        <f>IFERROR(IF(VLOOKUP(calendar[[#This Row],[Date]],BH!G:G,1,)&lt;&gt;"",1,0),0)</f>
        <v>0</v>
      </c>
      <c r="P3348">
        <f>IF(OR(calendar[[#This Row],[UK_BH]]=1,calendar[[#This Row],[WeekDay]]=1, calendar[[#This Row],[WeekDay]]=7),P3347,P3347+1)</f>
        <v>2381</v>
      </c>
      <c r="Q3348">
        <f>IF(OR(calendar[[#This Row],[FR_BH]]=1,calendar[[#This Row],[WeekDay]]=1, calendar[[#This Row],[WeekDay]]=7),P3347,P3347+1)</f>
        <v>2381</v>
      </c>
      <c r="R3348">
        <f>IF(OR(calendar[[#This Row],[SP_BH]]=1,calendar[[#This Row],[WeekDay]]=1, calendar[[#This Row],[WeekDay]]=7),P3347,P3347+1)</f>
        <v>2381</v>
      </c>
      <c r="S3348">
        <f>IF(OR(calendar[[#This Row],[PT_BH]]=1,calendar[[#This Row],[WeekDay]]=1, calendar[[#This Row],[WeekDay]]=7),P3347,P3347+1)</f>
        <v>2381</v>
      </c>
    </row>
    <row r="3349" spans="1:19" x14ac:dyDescent="0.25">
      <c r="A3349" s="2">
        <v>46083</v>
      </c>
      <c r="B3349" s="1">
        <f t="shared" si="266"/>
        <v>10</v>
      </c>
      <c r="C3349">
        <f t="shared" si="263"/>
        <v>3</v>
      </c>
      <c r="D3349" t="str">
        <f t="shared" si="264"/>
        <v>March</v>
      </c>
      <c r="E3349">
        <f t="shared" si="265"/>
        <v>2026</v>
      </c>
      <c r="F3349" t="str">
        <f>CONCATENATE(calendar[[#This Row],[Month]],"/",calendar[[#This Row],[Year]])</f>
        <v>3/2026</v>
      </c>
      <c r="G3349">
        <f>WEEKDAY(calendar[[#This Row],[Date]],1)</f>
        <v>2</v>
      </c>
      <c r="H3349" t="str">
        <f>TEXT(calendar[[#This Row],[WeekDay]],"dddd")</f>
        <v>Monday</v>
      </c>
      <c r="I3349">
        <f>IF((INT(calendar[[#This Row],[Count]]/7)-calendar[[#This Row],[Count]]/7)&lt;0,I3348,I3348+1)</f>
        <v>479</v>
      </c>
      <c r="J3349">
        <f t="shared" si="267"/>
        <v>3347</v>
      </c>
      <c r="K3349">
        <f>IF(calendar[[#This Row],[Month]]&lt;4,1,IF(calendar[[#This Row],[Month]]&lt;7,2,IF(calendar[[#This Row],[Month]]&lt;10,3,4)))</f>
        <v>1</v>
      </c>
      <c r="L3349">
        <f>IFERROR(IF(VLOOKUP(calendar[[#This Row],[Date]],BH!A:A,1,)&lt;&gt;"",1,0),0)</f>
        <v>0</v>
      </c>
      <c r="M3349">
        <f>IFERROR(IF(VLOOKUP(calendar[[#This Row],[Date]],BH!C:C,1,)&lt;&gt;"",1,0),0)</f>
        <v>0</v>
      </c>
      <c r="N3349">
        <f>IFERROR(IF(VLOOKUP(calendar[[#This Row],[Date]],BH!E:E,1,)&lt;&gt;"",1,0),0)</f>
        <v>0</v>
      </c>
      <c r="O3349">
        <f>IFERROR(IF(VLOOKUP(calendar[[#This Row],[Date]],BH!G:G,1,)&lt;&gt;"",1,0),0)</f>
        <v>0</v>
      </c>
      <c r="P3349">
        <f>IF(OR(calendar[[#This Row],[UK_BH]]=1,calendar[[#This Row],[WeekDay]]=1, calendar[[#This Row],[WeekDay]]=7),P3348,P3348+1)</f>
        <v>2382</v>
      </c>
      <c r="Q3349">
        <f>IF(OR(calendar[[#This Row],[FR_BH]]=1,calendar[[#This Row],[WeekDay]]=1, calendar[[#This Row],[WeekDay]]=7),P3348,P3348+1)</f>
        <v>2382</v>
      </c>
      <c r="R3349">
        <f>IF(OR(calendar[[#This Row],[SP_BH]]=1,calendar[[#This Row],[WeekDay]]=1, calendar[[#This Row],[WeekDay]]=7),P3348,P3348+1)</f>
        <v>2382</v>
      </c>
      <c r="S3349">
        <f>IF(OR(calendar[[#This Row],[PT_BH]]=1,calendar[[#This Row],[WeekDay]]=1, calendar[[#This Row],[WeekDay]]=7),P3348,P3348+1)</f>
        <v>2382</v>
      </c>
    </row>
    <row r="3350" spans="1:19" x14ac:dyDescent="0.25">
      <c r="A3350" s="2">
        <v>46084</v>
      </c>
      <c r="B3350" s="1">
        <f t="shared" si="266"/>
        <v>10</v>
      </c>
      <c r="C3350">
        <f t="shared" si="263"/>
        <v>3</v>
      </c>
      <c r="D3350" t="str">
        <f t="shared" si="264"/>
        <v>March</v>
      </c>
      <c r="E3350">
        <f t="shared" si="265"/>
        <v>2026</v>
      </c>
      <c r="F3350" t="str">
        <f>CONCATENATE(calendar[[#This Row],[Month]],"/",calendar[[#This Row],[Year]])</f>
        <v>3/2026</v>
      </c>
      <c r="G3350">
        <f>WEEKDAY(calendar[[#This Row],[Date]],1)</f>
        <v>3</v>
      </c>
      <c r="H3350" t="str">
        <f>TEXT(calendar[[#This Row],[WeekDay]],"dddd")</f>
        <v>Tuesday</v>
      </c>
      <c r="I3350">
        <f>IF((INT(calendar[[#This Row],[Count]]/7)-calendar[[#This Row],[Count]]/7)&lt;0,I3349,I3349+1)</f>
        <v>479</v>
      </c>
      <c r="J3350">
        <f t="shared" si="267"/>
        <v>3348</v>
      </c>
      <c r="K3350">
        <f>IF(calendar[[#This Row],[Month]]&lt;4,1,IF(calendar[[#This Row],[Month]]&lt;7,2,IF(calendar[[#This Row],[Month]]&lt;10,3,4)))</f>
        <v>1</v>
      </c>
      <c r="L3350">
        <f>IFERROR(IF(VLOOKUP(calendar[[#This Row],[Date]],BH!A:A,1,)&lt;&gt;"",1,0),0)</f>
        <v>0</v>
      </c>
      <c r="M3350">
        <f>IFERROR(IF(VLOOKUP(calendar[[#This Row],[Date]],BH!C:C,1,)&lt;&gt;"",1,0),0)</f>
        <v>0</v>
      </c>
      <c r="N3350">
        <f>IFERROR(IF(VLOOKUP(calendar[[#This Row],[Date]],BH!E:E,1,)&lt;&gt;"",1,0),0)</f>
        <v>0</v>
      </c>
      <c r="O3350">
        <f>IFERROR(IF(VLOOKUP(calendar[[#This Row],[Date]],BH!G:G,1,)&lt;&gt;"",1,0),0)</f>
        <v>0</v>
      </c>
      <c r="P3350">
        <f>IF(OR(calendar[[#This Row],[UK_BH]]=1,calendar[[#This Row],[WeekDay]]=1, calendar[[#This Row],[WeekDay]]=7),P3349,P3349+1)</f>
        <v>2383</v>
      </c>
      <c r="Q3350">
        <f>IF(OR(calendar[[#This Row],[FR_BH]]=1,calendar[[#This Row],[WeekDay]]=1, calendar[[#This Row],[WeekDay]]=7),P3349,P3349+1)</f>
        <v>2383</v>
      </c>
      <c r="R3350">
        <f>IF(OR(calendar[[#This Row],[SP_BH]]=1,calendar[[#This Row],[WeekDay]]=1, calendar[[#This Row],[WeekDay]]=7),P3349,P3349+1)</f>
        <v>2383</v>
      </c>
      <c r="S3350">
        <f>IF(OR(calendar[[#This Row],[PT_BH]]=1,calendar[[#This Row],[WeekDay]]=1, calendar[[#This Row],[WeekDay]]=7),P3349,P3349+1)</f>
        <v>2383</v>
      </c>
    </row>
    <row r="3351" spans="1:19" x14ac:dyDescent="0.25">
      <c r="A3351" s="2">
        <v>46085</v>
      </c>
      <c r="B3351" s="1">
        <f t="shared" si="266"/>
        <v>10</v>
      </c>
      <c r="C3351">
        <f t="shared" si="263"/>
        <v>3</v>
      </c>
      <c r="D3351" t="str">
        <f t="shared" si="264"/>
        <v>March</v>
      </c>
      <c r="E3351">
        <f t="shared" si="265"/>
        <v>2026</v>
      </c>
      <c r="F3351" t="str">
        <f>CONCATENATE(calendar[[#This Row],[Month]],"/",calendar[[#This Row],[Year]])</f>
        <v>3/2026</v>
      </c>
      <c r="G3351">
        <f>WEEKDAY(calendar[[#This Row],[Date]],1)</f>
        <v>4</v>
      </c>
      <c r="H3351" t="str">
        <f>TEXT(calendar[[#This Row],[WeekDay]],"dddd")</f>
        <v>Wednesday</v>
      </c>
      <c r="I3351">
        <f>IF((INT(calendar[[#This Row],[Count]]/7)-calendar[[#This Row],[Count]]/7)&lt;0,I3350,I3350+1)</f>
        <v>479</v>
      </c>
      <c r="J3351">
        <f t="shared" si="267"/>
        <v>3349</v>
      </c>
      <c r="K3351">
        <f>IF(calendar[[#This Row],[Month]]&lt;4,1,IF(calendar[[#This Row],[Month]]&lt;7,2,IF(calendar[[#This Row],[Month]]&lt;10,3,4)))</f>
        <v>1</v>
      </c>
      <c r="L3351">
        <f>IFERROR(IF(VLOOKUP(calendar[[#This Row],[Date]],BH!A:A,1,)&lt;&gt;"",1,0),0)</f>
        <v>0</v>
      </c>
      <c r="M3351">
        <f>IFERROR(IF(VLOOKUP(calendar[[#This Row],[Date]],BH!C:C,1,)&lt;&gt;"",1,0),0)</f>
        <v>0</v>
      </c>
      <c r="N3351">
        <f>IFERROR(IF(VLOOKUP(calendar[[#This Row],[Date]],BH!E:E,1,)&lt;&gt;"",1,0),0)</f>
        <v>0</v>
      </c>
      <c r="O3351">
        <f>IFERROR(IF(VLOOKUP(calendar[[#This Row],[Date]],BH!G:G,1,)&lt;&gt;"",1,0),0)</f>
        <v>0</v>
      </c>
      <c r="P3351">
        <f>IF(OR(calendar[[#This Row],[UK_BH]]=1,calendar[[#This Row],[WeekDay]]=1, calendar[[#This Row],[WeekDay]]=7),P3350,P3350+1)</f>
        <v>2384</v>
      </c>
      <c r="Q3351">
        <f>IF(OR(calendar[[#This Row],[FR_BH]]=1,calendar[[#This Row],[WeekDay]]=1, calendar[[#This Row],[WeekDay]]=7),P3350,P3350+1)</f>
        <v>2384</v>
      </c>
      <c r="R3351">
        <f>IF(OR(calendar[[#This Row],[SP_BH]]=1,calendar[[#This Row],[WeekDay]]=1, calendar[[#This Row],[WeekDay]]=7),P3350,P3350+1)</f>
        <v>2384</v>
      </c>
      <c r="S3351">
        <f>IF(OR(calendar[[#This Row],[PT_BH]]=1,calendar[[#This Row],[WeekDay]]=1, calendar[[#This Row],[WeekDay]]=7),P3350,P3350+1)</f>
        <v>2384</v>
      </c>
    </row>
    <row r="3352" spans="1:19" x14ac:dyDescent="0.25">
      <c r="A3352" s="2">
        <v>46086</v>
      </c>
      <c r="B3352" s="1">
        <f t="shared" si="266"/>
        <v>10</v>
      </c>
      <c r="C3352">
        <f t="shared" si="263"/>
        <v>3</v>
      </c>
      <c r="D3352" t="str">
        <f t="shared" si="264"/>
        <v>March</v>
      </c>
      <c r="E3352">
        <f t="shared" si="265"/>
        <v>2026</v>
      </c>
      <c r="F3352" t="str">
        <f>CONCATENATE(calendar[[#This Row],[Month]],"/",calendar[[#This Row],[Year]])</f>
        <v>3/2026</v>
      </c>
      <c r="G3352">
        <f>WEEKDAY(calendar[[#This Row],[Date]],1)</f>
        <v>5</v>
      </c>
      <c r="H3352" t="str">
        <f>TEXT(calendar[[#This Row],[WeekDay]],"dddd")</f>
        <v>Thursday</v>
      </c>
      <c r="I3352">
        <f>IF((INT(calendar[[#This Row],[Count]]/7)-calendar[[#This Row],[Count]]/7)&lt;0,I3351,I3351+1)</f>
        <v>479</v>
      </c>
      <c r="J3352">
        <f t="shared" si="267"/>
        <v>3350</v>
      </c>
      <c r="K3352">
        <f>IF(calendar[[#This Row],[Month]]&lt;4,1,IF(calendar[[#This Row],[Month]]&lt;7,2,IF(calendar[[#This Row],[Month]]&lt;10,3,4)))</f>
        <v>1</v>
      </c>
      <c r="L3352">
        <f>IFERROR(IF(VLOOKUP(calendar[[#This Row],[Date]],BH!A:A,1,)&lt;&gt;"",1,0),0)</f>
        <v>0</v>
      </c>
      <c r="M3352">
        <f>IFERROR(IF(VLOOKUP(calendar[[#This Row],[Date]],BH!C:C,1,)&lt;&gt;"",1,0),0)</f>
        <v>0</v>
      </c>
      <c r="N3352">
        <f>IFERROR(IF(VLOOKUP(calendar[[#This Row],[Date]],BH!E:E,1,)&lt;&gt;"",1,0),0)</f>
        <v>0</v>
      </c>
      <c r="O3352">
        <f>IFERROR(IF(VLOOKUP(calendar[[#This Row],[Date]],BH!G:G,1,)&lt;&gt;"",1,0),0)</f>
        <v>0</v>
      </c>
      <c r="P3352">
        <f>IF(OR(calendar[[#This Row],[UK_BH]]=1,calendar[[#This Row],[WeekDay]]=1, calendar[[#This Row],[WeekDay]]=7),P3351,P3351+1)</f>
        <v>2385</v>
      </c>
      <c r="Q3352">
        <f>IF(OR(calendar[[#This Row],[FR_BH]]=1,calendar[[#This Row],[WeekDay]]=1, calendar[[#This Row],[WeekDay]]=7),P3351,P3351+1)</f>
        <v>2385</v>
      </c>
      <c r="R3352">
        <f>IF(OR(calendar[[#This Row],[SP_BH]]=1,calendar[[#This Row],[WeekDay]]=1, calendar[[#This Row],[WeekDay]]=7),P3351,P3351+1)</f>
        <v>2385</v>
      </c>
      <c r="S3352">
        <f>IF(OR(calendar[[#This Row],[PT_BH]]=1,calendar[[#This Row],[WeekDay]]=1, calendar[[#This Row],[WeekDay]]=7),P3351,P3351+1)</f>
        <v>2385</v>
      </c>
    </row>
    <row r="3353" spans="1:19" x14ac:dyDescent="0.25">
      <c r="A3353" s="2">
        <v>46087</v>
      </c>
      <c r="B3353" s="1">
        <f t="shared" si="266"/>
        <v>10</v>
      </c>
      <c r="C3353">
        <f t="shared" si="263"/>
        <v>3</v>
      </c>
      <c r="D3353" t="str">
        <f t="shared" si="264"/>
        <v>March</v>
      </c>
      <c r="E3353">
        <f t="shared" si="265"/>
        <v>2026</v>
      </c>
      <c r="F3353" t="str">
        <f>CONCATENATE(calendar[[#This Row],[Month]],"/",calendar[[#This Row],[Year]])</f>
        <v>3/2026</v>
      </c>
      <c r="G3353">
        <f>WEEKDAY(calendar[[#This Row],[Date]],1)</f>
        <v>6</v>
      </c>
      <c r="H3353" t="str">
        <f>TEXT(calendar[[#This Row],[WeekDay]],"dddd")</f>
        <v>Friday</v>
      </c>
      <c r="I3353">
        <f>IF((INT(calendar[[#This Row],[Count]]/7)-calendar[[#This Row],[Count]]/7)&lt;0,I3352,I3352+1)</f>
        <v>479</v>
      </c>
      <c r="J3353">
        <f t="shared" si="267"/>
        <v>3351</v>
      </c>
      <c r="K3353">
        <f>IF(calendar[[#This Row],[Month]]&lt;4,1,IF(calendar[[#This Row],[Month]]&lt;7,2,IF(calendar[[#This Row],[Month]]&lt;10,3,4)))</f>
        <v>1</v>
      </c>
      <c r="L3353">
        <f>IFERROR(IF(VLOOKUP(calendar[[#This Row],[Date]],BH!A:A,1,)&lt;&gt;"",1,0),0)</f>
        <v>0</v>
      </c>
      <c r="M3353">
        <f>IFERROR(IF(VLOOKUP(calendar[[#This Row],[Date]],BH!C:C,1,)&lt;&gt;"",1,0),0)</f>
        <v>0</v>
      </c>
      <c r="N3353">
        <f>IFERROR(IF(VLOOKUP(calendar[[#This Row],[Date]],BH!E:E,1,)&lt;&gt;"",1,0),0)</f>
        <v>0</v>
      </c>
      <c r="O3353">
        <f>IFERROR(IF(VLOOKUP(calendar[[#This Row],[Date]],BH!G:G,1,)&lt;&gt;"",1,0),0)</f>
        <v>0</v>
      </c>
      <c r="P3353">
        <f>IF(OR(calendar[[#This Row],[UK_BH]]=1,calendar[[#This Row],[WeekDay]]=1, calendar[[#This Row],[WeekDay]]=7),P3352,P3352+1)</f>
        <v>2386</v>
      </c>
      <c r="Q3353">
        <f>IF(OR(calendar[[#This Row],[FR_BH]]=1,calendar[[#This Row],[WeekDay]]=1, calendar[[#This Row],[WeekDay]]=7),P3352,P3352+1)</f>
        <v>2386</v>
      </c>
      <c r="R3353">
        <f>IF(OR(calendar[[#This Row],[SP_BH]]=1,calendar[[#This Row],[WeekDay]]=1, calendar[[#This Row],[WeekDay]]=7),P3352,P3352+1)</f>
        <v>2386</v>
      </c>
      <c r="S3353">
        <f>IF(OR(calendar[[#This Row],[PT_BH]]=1,calendar[[#This Row],[WeekDay]]=1, calendar[[#This Row],[WeekDay]]=7),P3352,P3352+1)</f>
        <v>2386</v>
      </c>
    </row>
    <row r="3354" spans="1:19" x14ac:dyDescent="0.25">
      <c r="A3354" s="2">
        <v>46088</v>
      </c>
      <c r="B3354" s="1">
        <f t="shared" si="266"/>
        <v>10</v>
      </c>
      <c r="C3354">
        <f t="shared" si="263"/>
        <v>3</v>
      </c>
      <c r="D3354" t="str">
        <f t="shared" si="264"/>
        <v>March</v>
      </c>
      <c r="E3354">
        <f t="shared" si="265"/>
        <v>2026</v>
      </c>
      <c r="F3354" t="str">
        <f>CONCATENATE(calendar[[#This Row],[Month]],"/",calendar[[#This Row],[Year]])</f>
        <v>3/2026</v>
      </c>
      <c r="G3354">
        <f>WEEKDAY(calendar[[#This Row],[Date]],1)</f>
        <v>7</v>
      </c>
      <c r="H3354" t="str">
        <f>TEXT(calendar[[#This Row],[WeekDay]],"dddd")</f>
        <v>Saturday</v>
      </c>
      <c r="I3354">
        <f>IF((INT(calendar[[#This Row],[Count]]/7)-calendar[[#This Row],[Count]]/7)&lt;0,I3353,I3353+1)</f>
        <v>479</v>
      </c>
      <c r="J3354">
        <f t="shared" si="267"/>
        <v>3352</v>
      </c>
      <c r="K3354">
        <f>IF(calendar[[#This Row],[Month]]&lt;4,1,IF(calendar[[#This Row],[Month]]&lt;7,2,IF(calendar[[#This Row],[Month]]&lt;10,3,4)))</f>
        <v>1</v>
      </c>
      <c r="L3354">
        <f>IFERROR(IF(VLOOKUP(calendar[[#This Row],[Date]],BH!A:A,1,)&lt;&gt;"",1,0),0)</f>
        <v>0</v>
      </c>
      <c r="M3354">
        <f>IFERROR(IF(VLOOKUP(calendar[[#This Row],[Date]],BH!C:C,1,)&lt;&gt;"",1,0),0)</f>
        <v>0</v>
      </c>
      <c r="N3354">
        <f>IFERROR(IF(VLOOKUP(calendar[[#This Row],[Date]],BH!E:E,1,)&lt;&gt;"",1,0),0)</f>
        <v>0</v>
      </c>
      <c r="O3354">
        <f>IFERROR(IF(VLOOKUP(calendar[[#This Row],[Date]],BH!G:G,1,)&lt;&gt;"",1,0),0)</f>
        <v>0</v>
      </c>
      <c r="P3354">
        <f>IF(OR(calendar[[#This Row],[UK_BH]]=1,calendar[[#This Row],[WeekDay]]=1, calendar[[#This Row],[WeekDay]]=7),P3353,P3353+1)</f>
        <v>2386</v>
      </c>
      <c r="Q3354">
        <f>IF(OR(calendar[[#This Row],[FR_BH]]=1,calendar[[#This Row],[WeekDay]]=1, calendar[[#This Row],[WeekDay]]=7),P3353,P3353+1)</f>
        <v>2386</v>
      </c>
      <c r="R3354">
        <f>IF(OR(calendar[[#This Row],[SP_BH]]=1,calendar[[#This Row],[WeekDay]]=1, calendar[[#This Row],[WeekDay]]=7),P3353,P3353+1)</f>
        <v>2386</v>
      </c>
      <c r="S3354">
        <f>IF(OR(calendar[[#This Row],[PT_BH]]=1,calendar[[#This Row],[WeekDay]]=1, calendar[[#This Row],[WeekDay]]=7),P3353,P3353+1)</f>
        <v>2386</v>
      </c>
    </row>
    <row r="3355" spans="1:19" x14ac:dyDescent="0.25">
      <c r="A3355" s="2">
        <v>46089</v>
      </c>
      <c r="B3355" s="1">
        <f t="shared" si="266"/>
        <v>11</v>
      </c>
      <c r="C3355">
        <f t="shared" si="263"/>
        <v>3</v>
      </c>
      <c r="D3355" t="str">
        <f t="shared" si="264"/>
        <v>March</v>
      </c>
      <c r="E3355">
        <f t="shared" si="265"/>
        <v>2026</v>
      </c>
      <c r="F3355" t="str">
        <f>CONCATENATE(calendar[[#This Row],[Month]],"/",calendar[[#This Row],[Year]])</f>
        <v>3/2026</v>
      </c>
      <c r="G3355">
        <f>WEEKDAY(calendar[[#This Row],[Date]],1)</f>
        <v>1</v>
      </c>
      <c r="H3355" t="str">
        <f>TEXT(calendar[[#This Row],[WeekDay]],"dddd")</f>
        <v>Sunday</v>
      </c>
      <c r="I3355">
        <f>IF((INT(calendar[[#This Row],[Count]]/7)-calendar[[#This Row],[Count]]/7)&lt;0,I3354,I3354+1)</f>
        <v>480</v>
      </c>
      <c r="J3355">
        <f t="shared" si="267"/>
        <v>3353</v>
      </c>
      <c r="K3355">
        <f>IF(calendar[[#This Row],[Month]]&lt;4,1,IF(calendar[[#This Row],[Month]]&lt;7,2,IF(calendar[[#This Row],[Month]]&lt;10,3,4)))</f>
        <v>1</v>
      </c>
      <c r="L3355">
        <f>IFERROR(IF(VLOOKUP(calendar[[#This Row],[Date]],BH!A:A,1,)&lt;&gt;"",1,0),0)</f>
        <v>0</v>
      </c>
      <c r="M3355">
        <f>IFERROR(IF(VLOOKUP(calendar[[#This Row],[Date]],BH!C:C,1,)&lt;&gt;"",1,0),0)</f>
        <v>0</v>
      </c>
      <c r="N3355">
        <f>IFERROR(IF(VLOOKUP(calendar[[#This Row],[Date]],BH!E:E,1,)&lt;&gt;"",1,0),0)</f>
        <v>0</v>
      </c>
      <c r="O3355">
        <f>IFERROR(IF(VLOOKUP(calendar[[#This Row],[Date]],BH!G:G,1,)&lt;&gt;"",1,0),0)</f>
        <v>0</v>
      </c>
      <c r="P3355">
        <f>IF(OR(calendar[[#This Row],[UK_BH]]=1,calendar[[#This Row],[WeekDay]]=1, calendar[[#This Row],[WeekDay]]=7),P3354,P3354+1)</f>
        <v>2386</v>
      </c>
      <c r="Q3355">
        <f>IF(OR(calendar[[#This Row],[FR_BH]]=1,calendar[[#This Row],[WeekDay]]=1, calendar[[#This Row],[WeekDay]]=7),P3354,P3354+1)</f>
        <v>2386</v>
      </c>
      <c r="R3355">
        <f>IF(OR(calendar[[#This Row],[SP_BH]]=1,calendar[[#This Row],[WeekDay]]=1, calendar[[#This Row],[WeekDay]]=7),P3354,P3354+1)</f>
        <v>2386</v>
      </c>
      <c r="S3355">
        <f>IF(OR(calendar[[#This Row],[PT_BH]]=1,calendar[[#This Row],[WeekDay]]=1, calendar[[#This Row],[WeekDay]]=7),P3354,P3354+1)</f>
        <v>2386</v>
      </c>
    </row>
    <row r="3356" spans="1:19" x14ac:dyDescent="0.25">
      <c r="A3356" s="2">
        <v>46090</v>
      </c>
      <c r="B3356" s="1">
        <f t="shared" si="266"/>
        <v>11</v>
      </c>
      <c r="C3356">
        <f t="shared" ref="C3356:C3419" si="268">MONTH(A3356)</f>
        <v>3</v>
      </c>
      <c r="D3356" t="str">
        <f t="shared" ref="D3356:D3419" si="269">TEXT(A3356,"mmmm")</f>
        <v>March</v>
      </c>
      <c r="E3356">
        <f t="shared" ref="E3356:E3419" si="270">YEAR(A3356)</f>
        <v>2026</v>
      </c>
      <c r="F3356" t="str">
        <f>CONCATENATE(calendar[[#This Row],[Month]],"/",calendar[[#This Row],[Year]])</f>
        <v>3/2026</v>
      </c>
      <c r="G3356">
        <f>WEEKDAY(calendar[[#This Row],[Date]],1)</f>
        <v>2</v>
      </c>
      <c r="H3356" t="str">
        <f>TEXT(calendar[[#This Row],[WeekDay]],"dddd")</f>
        <v>Monday</v>
      </c>
      <c r="I3356">
        <f>IF((INT(calendar[[#This Row],[Count]]/7)-calendar[[#This Row],[Count]]/7)&lt;0,I3355,I3355+1)</f>
        <v>480</v>
      </c>
      <c r="J3356">
        <f t="shared" si="267"/>
        <v>3354</v>
      </c>
      <c r="K3356">
        <f>IF(calendar[[#This Row],[Month]]&lt;4,1,IF(calendar[[#This Row],[Month]]&lt;7,2,IF(calendar[[#This Row],[Month]]&lt;10,3,4)))</f>
        <v>1</v>
      </c>
      <c r="L3356">
        <f>IFERROR(IF(VLOOKUP(calendar[[#This Row],[Date]],BH!A:A,1,)&lt;&gt;"",1,0),0)</f>
        <v>0</v>
      </c>
      <c r="M3356">
        <f>IFERROR(IF(VLOOKUP(calendar[[#This Row],[Date]],BH!C:C,1,)&lt;&gt;"",1,0),0)</f>
        <v>0</v>
      </c>
      <c r="N3356">
        <f>IFERROR(IF(VLOOKUP(calendar[[#This Row],[Date]],BH!E:E,1,)&lt;&gt;"",1,0),0)</f>
        <v>0</v>
      </c>
      <c r="O3356">
        <f>IFERROR(IF(VLOOKUP(calendar[[#This Row],[Date]],BH!G:G,1,)&lt;&gt;"",1,0),0)</f>
        <v>0</v>
      </c>
      <c r="P3356">
        <f>IF(OR(calendar[[#This Row],[UK_BH]]=1,calendar[[#This Row],[WeekDay]]=1, calendar[[#This Row],[WeekDay]]=7),P3355,P3355+1)</f>
        <v>2387</v>
      </c>
      <c r="Q3356">
        <f>IF(OR(calendar[[#This Row],[FR_BH]]=1,calendar[[#This Row],[WeekDay]]=1, calendar[[#This Row],[WeekDay]]=7),P3355,P3355+1)</f>
        <v>2387</v>
      </c>
      <c r="R3356">
        <f>IF(OR(calendar[[#This Row],[SP_BH]]=1,calendar[[#This Row],[WeekDay]]=1, calendar[[#This Row],[WeekDay]]=7),P3355,P3355+1)</f>
        <v>2387</v>
      </c>
      <c r="S3356">
        <f>IF(OR(calendar[[#This Row],[PT_BH]]=1,calendar[[#This Row],[WeekDay]]=1, calendar[[#This Row],[WeekDay]]=7),P3355,P3355+1)</f>
        <v>2387</v>
      </c>
    </row>
    <row r="3357" spans="1:19" x14ac:dyDescent="0.25">
      <c r="A3357" s="2">
        <v>46091</v>
      </c>
      <c r="B3357" s="1">
        <f t="shared" si="266"/>
        <v>11</v>
      </c>
      <c r="C3357">
        <f t="shared" si="268"/>
        <v>3</v>
      </c>
      <c r="D3357" t="str">
        <f t="shared" si="269"/>
        <v>March</v>
      </c>
      <c r="E3357">
        <f t="shared" si="270"/>
        <v>2026</v>
      </c>
      <c r="F3357" t="str">
        <f>CONCATENATE(calendar[[#This Row],[Month]],"/",calendar[[#This Row],[Year]])</f>
        <v>3/2026</v>
      </c>
      <c r="G3357">
        <f>WEEKDAY(calendar[[#This Row],[Date]],1)</f>
        <v>3</v>
      </c>
      <c r="H3357" t="str">
        <f>TEXT(calendar[[#This Row],[WeekDay]],"dddd")</f>
        <v>Tuesday</v>
      </c>
      <c r="I3357">
        <f>IF((INT(calendar[[#This Row],[Count]]/7)-calendar[[#This Row],[Count]]/7)&lt;0,I3356,I3356+1)</f>
        <v>480</v>
      </c>
      <c r="J3357">
        <f t="shared" si="267"/>
        <v>3355</v>
      </c>
      <c r="K3357">
        <f>IF(calendar[[#This Row],[Month]]&lt;4,1,IF(calendar[[#This Row],[Month]]&lt;7,2,IF(calendar[[#This Row],[Month]]&lt;10,3,4)))</f>
        <v>1</v>
      </c>
      <c r="L3357">
        <f>IFERROR(IF(VLOOKUP(calendar[[#This Row],[Date]],BH!A:A,1,)&lt;&gt;"",1,0),0)</f>
        <v>0</v>
      </c>
      <c r="M3357">
        <f>IFERROR(IF(VLOOKUP(calendar[[#This Row],[Date]],BH!C:C,1,)&lt;&gt;"",1,0),0)</f>
        <v>0</v>
      </c>
      <c r="N3357">
        <f>IFERROR(IF(VLOOKUP(calendar[[#This Row],[Date]],BH!E:E,1,)&lt;&gt;"",1,0),0)</f>
        <v>0</v>
      </c>
      <c r="O3357">
        <f>IFERROR(IF(VLOOKUP(calendar[[#This Row],[Date]],BH!G:G,1,)&lt;&gt;"",1,0),0)</f>
        <v>0</v>
      </c>
      <c r="P3357">
        <f>IF(OR(calendar[[#This Row],[UK_BH]]=1,calendar[[#This Row],[WeekDay]]=1, calendar[[#This Row],[WeekDay]]=7),P3356,P3356+1)</f>
        <v>2388</v>
      </c>
      <c r="Q3357">
        <f>IF(OR(calendar[[#This Row],[FR_BH]]=1,calendar[[#This Row],[WeekDay]]=1, calendar[[#This Row],[WeekDay]]=7),P3356,P3356+1)</f>
        <v>2388</v>
      </c>
      <c r="R3357">
        <f>IF(OR(calendar[[#This Row],[SP_BH]]=1,calendar[[#This Row],[WeekDay]]=1, calendar[[#This Row],[WeekDay]]=7),P3356,P3356+1)</f>
        <v>2388</v>
      </c>
      <c r="S3357">
        <f>IF(OR(calendar[[#This Row],[PT_BH]]=1,calendar[[#This Row],[WeekDay]]=1, calendar[[#This Row],[WeekDay]]=7),P3356,P3356+1)</f>
        <v>2388</v>
      </c>
    </row>
    <row r="3358" spans="1:19" x14ac:dyDescent="0.25">
      <c r="A3358" s="2">
        <v>46092</v>
      </c>
      <c r="B3358" s="1">
        <f t="shared" si="266"/>
        <v>11</v>
      </c>
      <c r="C3358">
        <f t="shared" si="268"/>
        <v>3</v>
      </c>
      <c r="D3358" t="str">
        <f t="shared" si="269"/>
        <v>March</v>
      </c>
      <c r="E3358">
        <f t="shared" si="270"/>
        <v>2026</v>
      </c>
      <c r="F3358" t="str">
        <f>CONCATENATE(calendar[[#This Row],[Month]],"/",calendar[[#This Row],[Year]])</f>
        <v>3/2026</v>
      </c>
      <c r="G3358">
        <f>WEEKDAY(calendar[[#This Row],[Date]],1)</f>
        <v>4</v>
      </c>
      <c r="H3358" t="str">
        <f>TEXT(calendar[[#This Row],[WeekDay]],"dddd")</f>
        <v>Wednesday</v>
      </c>
      <c r="I3358">
        <f>IF((INT(calendar[[#This Row],[Count]]/7)-calendar[[#This Row],[Count]]/7)&lt;0,I3357,I3357+1)</f>
        <v>480</v>
      </c>
      <c r="J3358">
        <f t="shared" si="267"/>
        <v>3356</v>
      </c>
      <c r="K3358">
        <f>IF(calendar[[#This Row],[Month]]&lt;4,1,IF(calendar[[#This Row],[Month]]&lt;7,2,IF(calendar[[#This Row],[Month]]&lt;10,3,4)))</f>
        <v>1</v>
      </c>
      <c r="L3358">
        <f>IFERROR(IF(VLOOKUP(calendar[[#This Row],[Date]],BH!A:A,1,)&lt;&gt;"",1,0),0)</f>
        <v>0</v>
      </c>
      <c r="M3358">
        <f>IFERROR(IF(VLOOKUP(calendar[[#This Row],[Date]],BH!C:C,1,)&lt;&gt;"",1,0),0)</f>
        <v>0</v>
      </c>
      <c r="N3358">
        <f>IFERROR(IF(VLOOKUP(calendar[[#This Row],[Date]],BH!E:E,1,)&lt;&gt;"",1,0),0)</f>
        <v>0</v>
      </c>
      <c r="O3358">
        <f>IFERROR(IF(VLOOKUP(calendar[[#This Row],[Date]],BH!G:G,1,)&lt;&gt;"",1,0),0)</f>
        <v>0</v>
      </c>
      <c r="P3358">
        <f>IF(OR(calendar[[#This Row],[UK_BH]]=1,calendar[[#This Row],[WeekDay]]=1, calendar[[#This Row],[WeekDay]]=7),P3357,P3357+1)</f>
        <v>2389</v>
      </c>
      <c r="Q3358">
        <f>IF(OR(calendar[[#This Row],[FR_BH]]=1,calendar[[#This Row],[WeekDay]]=1, calendar[[#This Row],[WeekDay]]=7),P3357,P3357+1)</f>
        <v>2389</v>
      </c>
      <c r="R3358">
        <f>IF(OR(calendar[[#This Row],[SP_BH]]=1,calendar[[#This Row],[WeekDay]]=1, calendar[[#This Row],[WeekDay]]=7),P3357,P3357+1)</f>
        <v>2389</v>
      </c>
      <c r="S3358">
        <f>IF(OR(calendar[[#This Row],[PT_BH]]=1,calendar[[#This Row],[WeekDay]]=1, calendar[[#This Row],[WeekDay]]=7),P3357,P3357+1)</f>
        <v>2389</v>
      </c>
    </row>
    <row r="3359" spans="1:19" x14ac:dyDescent="0.25">
      <c r="A3359" s="2">
        <v>46093</v>
      </c>
      <c r="B3359" s="1">
        <f t="shared" si="266"/>
        <v>11</v>
      </c>
      <c r="C3359">
        <f t="shared" si="268"/>
        <v>3</v>
      </c>
      <c r="D3359" t="str">
        <f t="shared" si="269"/>
        <v>March</v>
      </c>
      <c r="E3359">
        <f t="shared" si="270"/>
        <v>2026</v>
      </c>
      <c r="F3359" t="str">
        <f>CONCATENATE(calendar[[#This Row],[Month]],"/",calendar[[#This Row],[Year]])</f>
        <v>3/2026</v>
      </c>
      <c r="G3359">
        <f>WEEKDAY(calendar[[#This Row],[Date]],1)</f>
        <v>5</v>
      </c>
      <c r="H3359" t="str">
        <f>TEXT(calendar[[#This Row],[WeekDay]],"dddd")</f>
        <v>Thursday</v>
      </c>
      <c r="I3359">
        <f>IF((INT(calendar[[#This Row],[Count]]/7)-calendar[[#This Row],[Count]]/7)&lt;0,I3358,I3358+1)</f>
        <v>480</v>
      </c>
      <c r="J3359">
        <f t="shared" si="267"/>
        <v>3357</v>
      </c>
      <c r="K3359">
        <f>IF(calendar[[#This Row],[Month]]&lt;4,1,IF(calendar[[#This Row],[Month]]&lt;7,2,IF(calendar[[#This Row],[Month]]&lt;10,3,4)))</f>
        <v>1</v>
      </c>
      <c r="L3359">
        <f>IFERROR(IF(VLOOKUP(calendar[[#This Row],[Date]],BH!A:A,1,)&lt;&gt;"",1,0),0)</f>
        <v>0</v>
      </c>
      <c r="M3359">
        <f>IFERROR(IF(VLOOKUP(calendar[[#This Row],[Date]],BH!C:C,1,)&lt;&gt;"",1,0),0)</f>
        <v>0</v>
      </c>
      <c r="N3359">
        <f>IFERROR(IF(VLOOKUP(calendar[[#This Row],[Date]],BH!E:E,1,)&lt;&gt;"",1,0),0)</f>
        <v>0</v>
      </c>
      <c r="O3359">
        <f>IFERROR(IF(VLOOKUP(calendar[[#This Row],[Date]],BH!G:G,1,)&lt;&gt;"",1,0),0)</f>
        <v>0</v>
      </c>
      <c r="P3359">
        <f>IF(OR(calendar[[#This Row],[UK_BH]]=1,calendar[[#This Row],[WeekDay]]=1, calendar[[#This Row],[WeekDay]]=7),P3358,P3358+1)</f>
        <v>2390</v>
      </c>
      <c r="Q3359">
        <f>IF(OR(calendar[[#This Row],[FR_BH]]=1,calendar[[#This Row],[WeekDay]]=1, calendar[[#This Row],[WeekDay]]=7),P3358,P3358+1)</f>
        <v>2390</v>
      </c>
      <c r="R3359">
        <f>IF(OR(calendar[[#This Row],[SP_BH]]=1,calendar[[#This Row],[WeekDay]]=1, calendar[[#This Row],[WeekDay]]=7),P3358,P3358+1)</f>
        <v>2390</v>
      </c>
      <c r="S3359">
        <f>IF(OR(calendar[[#This Row],[PT_BH]]=1,calendar[[#This Row],[WeekDay]]=1, calendar[[#This Row],[WeekDay]]=7),P3358,P3358+1)</f>
        <v>2390</v>
      </c>
    </row>
    <row r="3360" spans="1:19" x14ac:dyDescent="0.25">
      <c r="A3360" s="2">
        <v>46094</v>
      </c>
      <c r="B3360" s="1">
        <f t="shared" si="266"/>
        <v>11</v>
      </c>
      <c r="C3360">
        <f t="shared" si="268"/>
        <v>3</v>
      </c>
      <c r="D3360" t="str">
        <f t="shared" si="269"/>
        <v>March</v>
      </c>
      <c r="E3360">
        <f t="shared" si="270"/>
        <v>2026</v>
      </c>
      <c r="F3360" t="str">
        <f>CONCATENATE(calendar[[#This Row],[Month]],"/",calendar[[#This Row],[Year]])</f>
        <v>3/2026</v>
      </c>
      <c r="G3360">
        <f>WEEKDAY(calendar[[#This Row],[Date]],1)</f>
        <v>6</v>
      </c>
      <c r="H3360" t="str">
        <f>TEXT(calendar[[#This Row],[WeekDay]],"dddd")</f>
        <v>Friday</v>
      </c>
      <c r="I3360">
        <f>IF((INT(calendar[[#This Row],[Count]]/7)-calendar[[#This Row],[Count]]/7)&lt;0,I3359,I3359+1)</f>
        <v>480</v>
      </c>
      <c r="J3360">
        <f t="shared" si="267"/>
        <v>3358</v>
      </c>
      <c r="K3360">
        <f>IF(calendar[[#This Row],[Month]]&lt;4,1,IF(calendar[[#This Row],[Month]]&lt;7,2,IF(calendar[[#This Row],[Month]]&lt;10,3,4)))</f>
        <v>1</v>
      </c>
      <c r="L3360">
        <f>IFERROR(IF(VLOOKUP(calendar[[#This Row],[Date]],BH!A:A,1,)&lt;&gt;"",1,0),0)</f>
        <v>0</v>
      </c>
      <c r="M3360">
        <f>IFERROR(IF(VLOOKUP(calendar[[#This Row],[Date]],BH!C:C,1,)&lt;&gt;"",1,0),0)</f>
        <v>0</v>
      </c>
      <c r="N3360">
        <f>IFERROR(IF(VLOOKUP(calendar[[#This Row],[Date]],BH!E:E,1,)&lt;&gt;"",1,0),0)</f>
        <v>0</v>
      </c>
      <c r="O3360">
        <f>IFERROR(IF(VLOOKUP(calendar[[#This Row],[Date]],BH!G:G,1,)&lt;&gt;"",1,0),0)</f>
        <v>0</v>
      </c>
      <c r="P3360">
        <f>IF(OR(calendar[[#This Row],[UK_BH]]=1,calendar[[#This Row],[WeekDay]]=1, calendar[[#This Row],[WeekDay]]=7),P3359,P3359+1)</f>
        <v>2391</v>
      </c>
      <c r="Q3360">
        <f>IF(OR(calendar[[#This Row],[FR_BH]]=1,calendar[[#This Row],[WeekDay]]=1, calendar[[#This Row],[WeekDay]]=7),P3359,P3359+1)</f>
        <v>2391</v>
      </c>
      <c r="R3360">
        <f>IF(OR(calendar[[#This Row],[SP_BH]]=1,calendar[[#This Row],[WeekDay]]=1, calendar[[#This Row],[WeekDay]]=7),P3359,P3359+1)</f>
        <v>2391</v>
      </c>
      <c r="S3360">
        <f>IF(OR(calendar[[#This Row],[PT_BH]]=1,calendar[[#This Row],[WeekDay]]=1, calendar[[#This Row],[WeekDay]]=7),P3359,P3359+1)</f>
        <v>2391</v>
      </c>
    </row>
    <row r="3361" spans="1:19" x14ac:dyDescent="0.25">
      <c r="A3361" s="2">
        <v>46095</v>
      </c>
      <c r="B3361" s="1">
        <f t="shared" si="266"/>
        <v>11</v>
      </c>
      <c r="C3361">
        <f t="shared" si="268"/>
        <v>3</v>
      </c>
      <c r="D3361" t="str">
        <f t="shared" si="269"/>
        <v>March</v>
      </c>
      <c r="E3361">
        <f t="shared" si="270"/>
        <v>2026</v>
      </c>
      <c r="F3361" t="str">
        <f>CONCATENATE(calendar[[#This Row],[Month]],"/",calendar[[#This Row],[Year]])</f>
        <v>3/2026</v>
      </c>
      <c r="G3361">
        <f>WEEKDAY(calendar[[#This Row],[Date]],1)</f>
        <v>7</v>
      </c>
      <c r="H3361" t="str">
        <f>TEXT(calendar[[#This Row],[WeekDay]],"dddd")</f>
        <v>Saturday</v>
      </c>
      <c r="I3361">
        <f>IF((INT(calendar[[#This Row],[Count]]/7)-calendar[[#This Row],[Count]]/7)&lt;0,I3360,I3360+1)</f>
        <v>480</v>
      </c>
      <c r="J3361">
        <f t="shared" si="267"/>
        <v>3359</v>
      </c>
      <c r="K3361">
        <f>IF(calendar[[#This Row],[Month]]&lt;4,1,IF(calendar[[#This Row],[Month]]&lt;7,2,IF(calendar[[#This Row],[Month]]&lt;10,3,4)))</f>
        <v>1</v>
      </c>
      <c r="L3361">
        <f>IFERROR(IF(VLOOKUP(calendar[[#This Row],[Date]],BH!A:A,1,)&lt;&gt;"",1,0),0)</f>
        <v>0</v>
      </c>
      <c r="M3361">
        <f>IFERROR(IF(VLOOKUP(calendar[[#This Row],[Date]],BH!C:C,1,)&lt;&gt;"",1,0),0)</f>
        <v>0</v>
      </c>
      <c r="N3361">
        <f>IFERROR(IF(VLOOKUP(calendar[[#This Row],[Date]],BH!E:E,1,)&lt;&gt;"",1,0),0)</f>
        <v>0</v>
      </c>
      <c r="O3361">
        <f>IFERROR(IF(VLOOKUP(calendar[[#This Row],[Date]],BH!G:G,1,)&lt;&gt;"",1,0),0)</f>
        <v>0</v>
      </c>
      <c r="P3361">
        <f>IF(OR(calendar[[#This Row],[UK_BH]]=1,calendar[[#This Row],[WeekDay]]=1, calendar[[#This Row],[WeekDay]]=7),P3360,P3360+1)</f>
        <v>2391</v>
      </c>
      <c r="Q3361">
        <f>IF(OR(calendar[[#This Row],[FR_BH]]=1,calendar[[#This Row],[WeekDay]]=1, calendar[[#This Row],[WeekDay]]=7),P3360,P3360+1)</f>
        <v>2391</v>
      </c>
      <c r="R3361">
        <f>IF(OR(calendar[[#This Row],[SP_BH]]=1,calendar[[#This Row],[WeekDay]]=1, calendar[[#This Row],[WeekDay]]=7),P3360,P3360+1)</f>
        <v>2391</v>
      </c>
      <c r="S3361">
        <f>IF(OR(calendar[[#This Row],[PT_BH]]=1,calendar[[#This Row],[WeekDay]]=1, calendar[[#This Row],[WeekDay]]=7),P3360,P3360+1)</f>
        <v>2391</v>
      </c>
    </row>
    <row r="3362" spans="1:19" x14ac:dyDescent="0.25">
      <c r="A3362" s="2">
        <v>46096</v>
      </c>
      <c r="B3362" s="1">
        <f t="shared" si="266"/>
        <v>12</v>
      </c>
      <c r="C3362">
        <f t="shared" si="268"/>
        <v>3</v>
      </c>
      <c r="D3362" t="str">
        <f t="shared" si="269"/>
        <v>March</v>
      </c>
      <c r="E3362">
        <f t="shared" si="270"/>
        <v>2026</v>
      </c>
      <c r="F3362" t="str">
        <f>CONCATENATE(calendar[[#This Row],[Month]],"/",calendar[[#This Row],[Year]])</f>
        <v>3/2026</v>
      </c>
      <c r="G3362">
        <f>WEEKDAY(calendar[[#This Row],[Date]],1)</f>
        <v>1</v>
      </c>
      <c r="H3362" t="str">
        <f>TEXT(calendar[[#This Row],[WeekDay]],"dddd")</f>
        <v>Sunday</v>
      </c>
      <c r="I3362">
        <f>IF((INT(calendar[[#This Row],[Count]]/7)-calendar[[#This Row],[Count]]/7)&lt;0,I3361,I3361+1)</f>
        <v>481</v>
      </c>
      <c r="J3362">
        <f t="shared" si="267"/>
        <v>3360</v>
      </c>
      <c r="K3362">
        <f>IF(calendar[[#This Row],[Month]]&lt;4,1,IF(calendar[[#This Row],[Month]]&lt;7,2,IF(calendar[[#This Row],[Month]]&lt;10,3,4)))</f>
        <v>1</v>
      </c>
      <c r="L3362">
        <f>IFERROR(IF(VLOOKUP(calendar[[#This Row],[Date]],BH!A:A,1,)&lt;&gt;"",1,0),0)</f>
        <v>0</v>
      </c>
      <c r="M3362">
        <f>IFERROR(IF(VLOOKUP(calendar[[#This Row],[Date]],BH!C:C,1,)&lt;&gt;"",1,0),0)</f>
        <v>0</v>
      </c>
      <c r="N3362">
        <f>IFERROR(IF(VLOOKUP(calendar[[#This Row],[Date]],BH!E:E,1,)&lt;&gt;"",1,0),0)</f>
        <v>0</v>
      </c>
      <c r="O3362">
        <f>IFERROR(IF(VLOOKUP(calendar[[#This Row],[Date]],BH!G:G,1,)&lt;&gt;"",1,0),0)</f>
        <v>0</v>
      </c>
      <c r="P3362">
        <f>IF(OR(calendar[[#This Row],[UK_BH]]=1,calendar[[#This Row],[WeekDay]]=1, calendar[[#This Row],[WeekDay]]=7),P3361,P3361+1)</f>
        <v>2391</v>
      </c>
      <c r="Q3362">
        <f>IF(OR(calendar[[#This Row],[FR_BH]]=1,calendar[[#This Row],[WeekDay]]=1, calendar[[#This Row],[WeekDay]]=7),P3361,P3361+1)</f>
        <v>2391</v>
      </c>
      <c r="R3362">
        <f>IF(OR(calendar[[#This Row],[SP_BH]]=1,calendar[[#This Row],[WeekDay]]=1, calendar[[#This Row],[WeekDay]]=7),P3361,P3361+1)</f>
        <v>2391</v>
      </c>
      <c r="S3362">
        <f>IF(OR(calendar[[#This Row],[PT_BH]]=1,calendar[[#This Row],[WeekDay]]=1, calendar[[#This Row],[WeekDay]]=7),P3361,P3361+1)</f>
        <v>2391</v>
      </c>
    </row>
    <row r="3363" spans="1:19" x14ac:dyDescent="0.25">
      <c r="A3363" s="2">
        <v>46097</v>
      </c>
      <c r="B3363" s="1">
        <f t="shared" si="266"/>
        <v>12</v>
      </c>
      <c r="C3363">
        <f t="shared" si="268"/>
        <v>3</v>
      </c>
      <c r="D3363" t="str">
        <f t="shared" si="269"/>
        <v>March</v>
      </c>
      <c r="E3363">
        <f t="shared" si="270"/>
        <v>2026</v>
      </c>
      <c r="F3363" t="str">
        <f>CONCATENATE(calendar[[#This Row],[Month]],"/",calendar[[#This Row],[Year]])</f>
        <v>3/2026</v>
      </c>
      <c r="G3363">
        <f>WEEKDAY(calendar[[#This Row],[Date]],1)</f>
        <v>2</v>
      </c>
      <c r="H3363" t="str">
        <f>TEXT(calendar[[#This Row],[WeekDay]],"dddd")</f>
        <v>Monday</v>
      </c>
      <c r="I3363">
        <f>IF((INT(calendar[[#This Row],[Count]]/7)-calendar[[#This Row],[Count]]/7)&lt;0,I3362,I3362+1)</f>
        <v>481</v>
      </c>
      <c r="J3363">
        <f t="shared" si="267"/>
        <v>3361</v>
      </c>
      <c r="K3363">
        <f>IF(calendar[[#This Row],[Month]]&lt;4,1,IF(calendar[[#This Row],[Month]]&lt;7,2,IF(calendar[[#This Row],[Month]]&lt;10,3,4)))</f>
        <v>1</v>
      </c>
      <c r="L3363">
        <f>IFERROR(IF(VLOOKUP(calendar[[#This Row],[Date]],BH!A:A,1,)&lt;&gt;"",1,0),0)</f>
        <v>0</v>
      </c>
      <c r="M3363">
        <f>IFERROR(IF(VLOOKUP(calendar[[#This Row],[Date]],BH!C:C,1,)&lt;&gt;"",1,0),0)</f>
        <v>0</v>
      </c>
      <c r="N3363">
        <f>IFERROR(IF(VLOOKUP(calendar[[#This Row],[Date]],BH!E:E,1,)&lt;&gt;"",1,0),0)</f>
        <v>0</v>
      </c>
      <c r="O3363">
        <f>IFERROR(IF(VLOOKUP(calendar[[#This Row],[Date]],BH!G:G,1,)&lt;&gt;"",1,0),0)</f>
        <v>0</v>
      </c>
      <c r="P3363">
        <f>IF(OR(calendar[[#This Row],[UK_BH]]=1,calendar[[#This Row],[WeekDay]]=1, calendar[[#This Row],[WeekDay]]=7),P3362,P3362+1)</f>
        <v>2392</v>
      </c>
      <c r="Q3363">
        <f>IF(OR(calendar[[#This Row],[FR_BH]]=1,calendar[[#This Row],[WeekDay]]=1, calendar[[#This Row],[WeekDay]]=7),P3362,P3362+1)</f>
        <v>2392</v>
      </c>
      <c r="R3363">
        <f>IF(OR(calendar[[#This Row],[SP_BH]]=1,calendar[[#This Row],[WeekDay]]=1, calendar[[#This Row],[WeekDay]]=7),P3362,P3362+1)</f>
        <v>2392</v>
      </c>
      <c r="S3363">
        <f>IF(OR(calendar[[#This Row],[PT_BH]]=1,calendar[[#This Row],[WeekDay]]=1, calendar[[#This Row],[WeekDay]]=7),P3362,P3362+1)</f>
        <v>2392</v>
      </c>
    </row>
    <row r="3364" spans="1:19" x14ac:dyDescent="0.25">
      <c r="A3364" s="2">
        <v>46098</v>
      </c>
      <c r="B3364" s="1">
        <f t="shared" si="266"/>
        <v>12</v>
      </c>
      <c r="C3364">
        <f t="shared" si="268"/>
        <v>3</v>
      </c>
      <c r="D3364" t="str">
        <f t="shared" si="269"/>
        <v>March</v>
      </c>
      <c r="E3364">
        <f t="shared" si="270"/>
        <v>2026</v>
      </c>
      <c r="F3364" t="str">
        <f>CONCATENATE(calendar[[#This Row],[Month]],"/",calendar[[#This Row],[Year]])</f>
        <v>3/2026</v>
      </c>
      <c r="G3364">
        <f>WEEKDAY(calendar[[#This Row],[Date]],1)</f>
        <v>3</v>
      </c>
      <c r="H3364" t="str">
        <f>TEXT(calendar[[#This Row],[WeekDay]],"dddd")</f>
        <v>Tuesday</v>
      </c>
      <c r="I3364">
        <f>IF((INT(calendar[[#This Row],[Count]]/7)-calendar[[#This Row],[Count]]/7)&lt;0,I3363,I3363+1)</f>
        <v>481</v>
      </c>
      <c r="J3364">
        <f t="shared" si="267"/>
        <v>3362</v>
      </c>
      <c r="K3364">
        <f>IF(calendar[[#This Row],[Month]]&lt;4,1,IF(calendar[[#This Row],[Month]]&lt;7,2,IF(calendar[[#This Row],[Month]]&lt;10,3,4)))</f>
        <v>1</v>
      </c>
      <c r="L3364">
        <f>IFERROR(IF(VLOOKUP(calendar[[#This Row],[Date]],BH!A:A,1,)&lt;&gt;"",1,0),0)</f>
        <v>0</v>
      </c>
      <c r="M3364">
        <f>IFERROR(IF(VLOOKUP(calendar[[#This Row],[Date]],BH!C:C,1,)&lt;&gt;"",1,0),0)</f>
        <v>0</v>
      </c>
      <c r="N3364">
        <f>IFERROR(IF(VLOOKUP(calendar[[#This Row],[Date]],BH!E:E,1,)&lt;&gt;"",1,0),0)</f>
        <v>0</v>
      </c>
      <c r="O3364">
        <f>IFERROR(IF(VLOOKUP(calendar[[#This Row],[Date]],BH!G:G,1,)&lt;&gt;"",1,0),0)</f>
        <v>0</v>
      </c>
      <c r="P3364">
        <f>IF(OR(calendar[[#This Row],[UK_BH]]=1,calendar[[#This Row],[WeekDay]]=1, calendar[[#This Row],[WeekDay]]=7),P3363,P3363+1)</f>
        <v>2393</v>
      </c>
      <c r="Q3364">
        <f>IF(OR(calendar[[#This Row],[FR_BH]]=1,calendar[[#This Row],[WeekDay]]=1, calendar[[#This Row],[WeekDay]]=7),P3363,P3363+1)</f>
        <v>2393</v>
      </c>
      <c r="R3364">
        <f>IF(OR(calendar[[#This Row],[SP_BH]]=1,calendar[[#This Row],[WeekDay]]=1, calendar[[#This Row],[WeekDay]]=7),P3363,P3363+1)</f>
        <v>2393</v>
      </c>
      <c r="S3364">
        <f>IF(OR(calendar[[#This Row],[PT_BH]]=1,calendar[[#This Row],[WeekDay]]=1, calendar[[#This Row],[WeekDay]]=7),P3363,P3363+1)</f>
        <v>2393</v>
      </c>
    </row>
    <row r="3365" spans="1:19" x14ac:dyDescent="0.25">
      <c r="A3365" s="2">
        <v>46099</v>
      </c>
      <c r="B3365" s="1">
        <f t="shared" si="266"/>
        <v>12</v>
      </c>
      <c r="C3365">
        <f t="shared" si="268"/>
        <v>3</v>
      </c>
      <c r="D3365" t="str">
        <f t="shared" si="269"/>
        <v>March</v>
      </c>
      <c r="E3365">
        <f t="shared" si="270"/>
        <v>2026</v>
      </c>
      <c r="F3365" t="str">
        <f>CONCATENATE(calendar[[#This Row],[Month]],"/",calendar[[#This Row],[Year]])</f>
        <v>3/2026</v>
      </c>
      <c r="G3365">
        <f>WEEKDAY(calendar[[#This Row],[Date]],1)</f>
        <v>4</v>
      </c>
      <c r="H3365" t="str">
        <f>TEXT(calendar[[#This Row],[WeekDay]],"dddd")</f>
        <v>Wednesday</v>
      </c>
      <c r="I3365">
        <f>IF((INT(calendar[[#This Row],[Count]]/7)-calendar[[#This Row],[Count]]/7)&lt;0,I3364,I3364+1)</f>
        <v>481</v>
      </c>
      <c r="J3365">
        <f t="shared" si="267"/>
        <v>3363</v>
      </c>
      <c r="K3365">
        <f>IF(calendar[[#This Row],[Month]]&lt;4,1,IF(calendar[[#This Row],[Month]]&lt;7,2,IF(calendar[[#This Row],[Month]]&lt;10,3,4)))</f>
        <v>1</v>
      </c>
      <c r="L3365">
        <f>IFERROR(IF(VLOOKUP(calendar[[#This Row],[Date]],BH!A:A,1,)&lt;&gt;"",1,0),0)</f>
        <v>0</v>
      </c>
      <c r="M3365">
        <f>IFERROR(IF(VLOOKUP(calendar[[#This Row],[Date]],BH!C:C,1,)&lt;&gt;"",1,0),0)</f>
        <v>0</v>
      </c>
      <c r="N3365">
        <f>IFERROR(IF(VLOOKUP(calendar[[#This Row],[Date]],BH!E:E,1,)&lt;&gt;"",1,0),0)</f>
        <v>0</v>
      </c>
      <c r="O3365">
        <f>IFERROR(IF(VLOOKUP(calendar[[#This Row],[Date]],BH!G:G,1,)&lt;&gt;"",1,0),0)</f>
        <v>0</v>
      </c>
      <c r="P3365">
        <f>IF(OR(calendar[[#This Row],[UK_BH]]=1,calendar[[#This Row],[WeekDay]]=1, calendar[[#This Row],[WeekDay]]=7),P3364,P3364+1)</f>
        <v>2394</v>
      </c>
      <c r="Q3365">
        <f>IF(OR(calendar[[#This Row],[FR_BH]]=1,calendar[[#This Row],[WeekDay]]=1, calendar[[#This Row],[WeekDay]]=7),P3364,P3364+1)</f>
        <v>2394</v>
      </c>
      <c r="R3365">
        <f>IF(OR(calendar[[#This Row],[SP_BH]]=1,calendar[[#This Row],[WeekDay]]=1, calendar[[#This Row],[WeekDay]]=7),P3364,P3364+1)</f>
        <v>2394</v>
      </c>
      <c r="S3365">
        <f>IF(OR(calendar[[#This Row],[PT_BH]]=1,calendar[[#This Row],[WeekDay]]=1, calendar[[#This Row],[WeekDay]]=7),P3364,P3364+1)</f>
        <v>2394</v>
      </c>
    </row>
    <row r="3366" spans="1:19" x14ac:dyDescent="0.25">
      <c r="A3366" s="2">
        <v>46100</v>
      </c>
      <c r="B3366" s="1">
        <f t="shared" si="266"/>
        <v>12</v>
      </c>
      <c r="C3366">
        <f t="shared" si="268"/>
        <v>3</v>
      </c>
      <c r="D3366" t="str">
        <f t="shared" si="269"/>
        <v>March</v>
      </c>
      <c r="E3366">
        <f t="shared" si="270"/>
        <v>2026</v>
      </c>
      <c r="F3366" t="str">
        <f>CONCATENATE(calendar[[#This Row],[Month]],"/",calendar[[#This Row],[Year]])</f>
        <v>3/2026</v>
      </c>
      <c r="G3366">
        <f>WEEKDAY(calendar[[#This Row],[Date]],1)</f>
        <v>5</v>
      </c>
      <c r="H3366" t="str">
        <f>TEXT(calendar[[#This Row],[WeekDay]],"dddd")</f>
        <v>Thursday</v>
      </c>
      <c r="I3366">
        <f>IF((INT(calendar[[#This Row],[Count]]/7)-calendar[[#This Row],[Count]]/7)&lt;0,I3365,I3365+1)</f>
        <v>481</v>
      </c>
      <c r="J3366">
        <f t="shared" si="267"/>
        <v>3364</v>
      </c>
      <c r="K3366">
        <f>IF(calendar[[#This Row],[Month]]&lt;4,1,IF(calendar[[#This Row],[Month]]&lt;7,2,IF(calendar[[#This Row],[Month]]&lt;10,3,4)))</f>
        <v>1</v>
      </c>
      <c r="L3366">
        <f>IFERROR(IF(VLOOKUP(calendar[[#This Row],[Date]],BH!A:A,1,)&lt;&gt;"",1,0),0)</f>
        <v>0</v>
      </c>
      <c r="M3366">
        <f>IFERROR(IF(VLOOKUP(calendar[[#This Row],[Date]],BH!C:C,1,)&lt;&gt;"",1,0),0)</f>
        <v>0</v>
      </c>
      <c r="N3366">
        <f>IFERROR(IF(VLOOKUP(calendar[[#This Row],[Date]],BH!E:E,1,)&lt;&gt;"",1,0),0)</f>
        <v>1</v>
      </c>
      <c r="O3366">
        <f>IFERROR(IF(VLOOKUP(calendar[[#This Row],[Date]],BH!G:G,1,)&lt;&gt;"",1,0),0)</f>
        <v>0</v>
      </c>
      <c r="P3366">
        <f>IF(OR(calendar[[#This Row],[UK_BH]]=1,calendar[[#This Row],[WeekDay]]=1, calendar[[#This Row],[WeekDay]]=7),P3365,P3365+1)</f>
        <v>2395</v>
      </c>
      <c r="Q3366">
        <f>IF(OR(calendar[[#This Row],[FR_BH]]=1,calendar[[#This Row],[WeekDay]]=1, calendar[[#This Row],[WeekDay]]=7),P3365,P3365+1)</f>
        <v>2395</v>
      </c>
      <c r="R3366">
        <f>IF(OR(calendar[[#This Row],[SP_BH]]=1,calendar[[#This Row],[WeekDay]]=1, calendar[[#This Row],[WeekDay]]=7),P3365,P3365+1)</f>
        <v>2394</v>
      </c>
      <c r="S3366">
        <f>IF(OR(calendar[[#This Row],[PT_BH]]=1,calendar[[#This Row],[WeekDay]]=1, calendar[[#This Row],[WeekDay]]=7),P3365,P3365+1)</f>
        <v>2395</v>
      </c>
    </row>
    <row r="3367" spans="1:19" x14ac:dyDescent="0.25">
      <c r="A3367" s="2">
        <v>46101</v>
      </c>
      <c r="B3367" s="1">
        <f t="shared" si="266"/>
        <v>12</v>
      </c>
      <c r="C3367">
        <f t="shared" si="268"/>
        <v>3</v>
      </c>
      <c r="D3367" t="str">
        <f t="shared" si="269"/>
        <v>March</v>
      </c>
      <c r="E3367">
        <f t="shared" si="270"/>
        <v>2026</v>
      </c>
      <c r="F3367" t="str">
        <f>CONCATENATE(calendar[[#This Row],[Month]],"/",calendar[[#This Row],[Year]])</f>
        <v>3/2026</v>
      </c>
      <c r="G3367">
        <f>WEEKDAY(calendar[[#This Row],[Date]],1)</f>
        <v>6</v>
      </c>
      <c r="H3367" t="str">
        <f>TEXT(calendar[[#This Row],[WeekDay]],"dddd")</f>
        <v>Friday</v>
      </c>
      <c r="I3367">
        <f>IF((INT(calendar[[#This Row],[Count]]/7)-calendar[[#This Row],[Count]]/7)&lt;0,I3366,I3366+1)</f>
        <v>481</v>
      </c>
      <c r="J3367">
        <f t="shared" si="267"/>
        <v>3365</v>
      </c>
      <c r="K3367">
        <f>IF(calendar[[#This Row],[Month]]&lt;4,1,IF(calendar[[#This Row],[Month]]&lt;7,2,IF(calendar[[#This Row],[Month]]&lt;10,3,4)))</f>
        <v>1</v>
      </c>
      <c r="L3367">
        <f>IFERROR(IF(VLOOKUP(calendar[[#This Row],[Date]],BH!A:A,1,)&lt;&gt;"",1,0),0)</f>
        <v>0</v>
      </c>
      <c r="M3367">
        <f>IFERROR(IF(VLOOKUP(calendar[[#This Row],[Date]],BH!C:C,1,)&lt;&gt;"",1,0),0)</f>
        <v>0</v>
      </c>
      <c r="N3367">
        <f>IFERROR(IF(VLOOKUP(calendar[[#This Row],[Date]],BH!E:E,1,)&lt;&gt;"",1,0),0)</f>
        <v>0</v>
      </c>
      <c r="O3367">
        <f>IFERROR(IF(VLOOKUP(calendar[[#This Row],[Date]],BH!G:G,1,)&lt;&gt;"",1,0),0)</f>
        <v>0</v>
      </c>
      <c r="P3367">
        <f>IF(OR(calendar[[#This Row],[UK_BH]]=1,calendar[[#This Row],[WeekDay]]=1, calendar[[#This Row],[WeekDay]]=7),P3366,P3366+1)</f>
        <v>2396</v>
      </c>
      <c r="Q3367">
        <f>IF(OR(calendar[[#This Row],[FR_BH]]=1,calendar[[#This Row],[WeekDay]]=1, calendar[[#This Row],[WeekDay]]=7),P3366,P3366+1)</f>
        <v>2396</v>
      </c>
      <c r="R3367">
        <f>IF(OR(calendar[[#This Row],[SP_BH]]=1,calendar[[#This Row],[WeekDay]]=1, calendar[[#This Row],[WeekDay]]=7),P3366,P3366+1)</f>
        <v>2396</v>
      </c>
      <c r="S3367">
        <f>IF(OR(calendar[[#This Row],[PT_BH]]=1,calendar[[#This Row],[WeekDay]]=1, calendar[[#This Row],[WeekDay]]=7),P3366,P3366+1)</f>
        <v>2396</v>
      </c>
    </row>
    <row r="3368" spans="1:19" x14ac:dyDescent="0.25">
      <c r="A3368" s="2">
        <v>46102</v>
      </c>
      <c r="B3368" s="1">
        <f t="shared" si="266"/>
        <v>12</v>
      </c>
      <c r="C3368">
        <f t="shared" si="268"/>
        <v>3</v>
      </c>
      <c r="D3368" t="str">
        <f t="shared" si="269"/>
        <v>March</v>
      </c>
      <c r="E3368">
        <f t="shared" si="270"/>
        <v>2026</v>
      </c>
      <c r="F3368" t="str">
        <f>CONCATENATE(calendar[[#This Row],[Month]],"/",calendar[[#This Row],[Year]])</f>
        <v>3/2026</v>
      </c>
      <c r="G3368">
        <f>WEEKDAY(calendar[[#This Row],[Date]],1)</f>
        <v>7</v>
      </c>
      <c r="H3368" t="str">
        <f>TEXT(calendar[[#This Row],[WeekDay]],"dddd")</f>
        <v>Saturday</v>
      </c>
      <c r="I3368">
        <f>IF((INT(calendar[[#This Row],[Count]]/7)-calendar[[#This Row],[Count]]/7)&lt;0,I3367,I3367+1)</f>
        <v>481</v>
      </c>
      <c r="J3368">
        <f t="shared" si="267"/>
        <v>3366</v>
      </c>
      <c r="K3368">
        <f>IF(calendar[[#This Row],[Month]]&lt;4,1,IF(calendar[[#This Row],[Month]]&lt;7,2,IF(calendar[[#This Row],[Month]]&lt;10,3,4)))</f>
        <v>1</v>
      </c>
      <c r="L3368">
        <f>IFERROR(IF(VLOOKUP(calendar[[#This Row],[Date]],BH!A:A,1,)&lt;&gt;"",1,0),0)</f>
        <v>0</v>
      </c>
      <c r="M3368">
        <f>IFERROR(IF(VLOOKUP(calendar[[#This Row],[Date]],BH!C:C,1,)&lt;&gt;"",1,0),0)</f>
        <v>0</v>
      </c>
      <c r="N3368">
        <f>IFERROR(IF(VLOOKUP(calendar[[#This Row],[Date]],BH!E:E,1,)&lt;&gt;"",1,0),0)</f>
        <v>0</v>
      </c>
      <c r="O3368">
        <f>IFERROR(IF(VLOOKUP(calendar[[#This Row],[Date]],BH!G:G,1,)&lt;&gt;"",1,0),0)</f>
        <v>0</v>
      </c>
      <c r="P3368">
        <f>IF(OR(calendar[[#This Row],[UK_BH]]=1,calendar[[#This Row],[WeekDay]]=1, calendar[[#This Row],[WeekDay]]=7),P3367,P3367+1)</f>
        <v>2396</v>
      </c>
      <c r="Q3368">
        <f>IF(OR(calendar[[#This Row],[FR_BH]]=1,calendar[[#This Row],[WeekDay]]=1, calendar[[#This Row],[WeekDay]]=7),P3367,P3367+1)</f>
        <v>2396</v>
      </c>
      <c r="R3368">
        <f>IF(OR(calendar[[#This Row],[SP_BH]]=1,calendar[[#This Row],[WeekDay]]=1, calendar[[#This Row],[WeekDay]]=7),P3367,P3367+1)</f>
        <v>2396</v>
      </c>
      <c r="S3368">
        <f>IF(OR(calendar[[#This Row],[PT_BH]]=1,calendar[[#This Row],[WeekDay]]=1, calendar[[#This Row],[WeekDay]]=7),P3367,P3367+1)</f>
        <v>2396</v>
      </c>
    </row>
    <row r="3369" spans="1:19" x14ac:dyDescent="0.25">
      <c r="A3369" s="2">
        <v>46103</v>
      </c>
      <c r="B3369" s="1">
        <f t="shared" si="266"/>
        <v>13</v>
      </c>
      <c r="C3369">
        <f t="shared" si="268"/>
        <v>3</v>
      </c>
      <c r="D3369" t="str">
        <f t="shared" si="269"/>
        <v>March</v>
      </c>
      <c r="E3369">
        <f t="shared" si="270"/>
        <v>2026</v>
      </c>
      <c r="F3369" t="str">
        <f>CONCATENATE(calendar[[#This Row],[Month]],"/",calendar[[#This Row],[Year]])</f>
        <v>3/2026</v>
      </c>
      <c r="G3369">
        <f>WEEKDAY(calendar[[#This Row],[Date]],1)</f>
        <v>1</v>
      </c>
      <c r="H3369" t="str">
        <f>TEXT(calendar[[#This Row],[WeekDay]],"dddd")</f>
        <v>Sunday</v>
      </c>
      <c r="I3369">
        <f>IF((INT(calendar[[#This Row],[Count]]/7)-calendar[[#This Row],[Count]]/7)&lt;0,I3368,I3368+1)</f>
        <v>482</v>
      </c>
      <c r="J3369">
        <f t="shared" si="267"/>
        <v>3367</v>
      </c>
      <c r="K3369">
        <f>IF(calendar[[#This Row],[Month]]&lt;4,1,IF(calendar[[#This Row],[Month]]&lt;7,2,IF(calendar[[#This Row],[Month]]&lt;10,3,4)))</f>
        <v>1</v>
      </c>
      <c r="L3369">
        <f>IFERROR(IF(VLOOKUP(calendar[[#This Row],[Date]],BH!A:A,1,)&lt;&gt;"",1,0),0)</f>
        <v>0</v>
      </c>
      <c r="M3369">
        <f>IFERROR(IF(VLOOKUP(calendar[[#This Row],[Date]],BH!C:C,1,)&lt;&gt;"",1,0),0)</f>
        <v>0</v>
      </c>
      <c r="N3369">
        <f>IFERROR(IF(VLOOKUP(calendar[[#This Row],[Date]],BH!E:E,1,)&lt;&gt;"",1,0),0)</f>
        <v>0</v>
      </c>
      <c r="O3369">
        <f>IFERROR(IF(VLOOKUP(calendar[[#This Row],[Date]],BH!G:G,1,)&lt;&gt;"",1,0),0)</f>
        <v>0</v>
      </c>
      <c r="P3369">
        <f>IF(OR(calendar[[#This Row],[UK_BH]]=1,calendar[[#This Row],[WeekDay]]=1, calendar[[#This Row],[WeekDay]]=7),P3368,P3368+1)</f>
        <v>2396</v>
      </c>
      <c r="Q3369">
        <f>IF(OR(calendar[[#This Row],[FR_BH]]=1,calendar[[#This Row],[WeekDay]]=1, calendar[[#This Row],[WeekDay]]=7),P3368,P3368+1)</f>
        <v>2396</v>
      </c>
      <c r="R3369">
        <f>IF(OR(calendar[[#This Row],[SP_BH]]=1,calendar[[#This Row],[WeekDay]]=1, calendar[[#This Row],[WeekDay]]=7),P3368,P3368+1)</f>
        <v>2396</v>
      </c>
      <c r="S3369">
        <f>IF(OR(calendar[[#This Row],[PT_BH]]=1,calendar[[#This Row],[WeekDay]]=1, calendar[[#This Row],[WeekDay]]=7),P3368,P3368+1)</f>
        <v>2396</v>
      </c>
    </row>
    <row r="3370" spans="1:19" x14ac:dyDescent="0.25">
      <c r="A3370" s="2">
        <v>46104</v>
      </c>
      <c r="B3370" s="1">
        <f t="shared" si="266"/>
        <v>13</v>
      </c>
      <c r="C3370">
        <f t="shared" si="268"/>
        <v>3</v>
      </c>
      <c r="D3370" t="str">
        <f t="shared" si="269"/>
        <v>March</v>
      </c>
      <c r="E3370">
        <f t="shared" si="270"/>
        <v>2026</v>
      </c>
      <c r="F3370" t="str">
        <f>CONCATENATE(calendar[[#This Row],[Month]],"/",calendar[[#This Row],[Year]])</f>
        <v>3/2026</v>
      </c>
      <c r="G3370">
        <f>WEEKDAY(calendar[[#This Row],[Date]],1)</f>
        <v>2</v>
      </c>
      <c r="H3370" t="str">
        <f>TEXT(calendar[[#This Row],[WeekDay]],"dddd")</f>
        <v>Monday</v>
      </c>
      <c r="I3370">
        <f>IF((INT(calendar[[#This Row],[Count]]/7)-calendar[[#This Row],[Count]]/7)&lt;0,I3369,I3369+1)</f>
        <v>482</v>
      </c>
      <c r="J3370">
        <f t="shared" si="267"/>
        <v>3368</v>
      </c>
      <c r="K3370">
        <f>IF(calendar[[#This Row],[Month]]&lt;4,1,IF(calendar[[#This Row],[Month]]&lt;7,2,IF(calendar[[#This Row],[Month]]&lt;10,3,4)))</f>
        <v>1</v>
      </c>
      <c r="L3370">
        <f>IFERROR(IF(VLOOKUP(calendar[[#This Row],[Date]],BH!A:A,1,)&lt;&gt;"",1,0),0)</f>
        <v>0</v>
      </c>
      <c r="M3370">
        <f>IFERROR(IF(VLOOKUP(calendar[[#This Row],[Date]],BH!C:C,1,)&lt;&gt;"",1,0),0)</f>
        <v>0</v>
      </c>
      <c r="N3370">
        <f>IFERROR(IF(VLOOKUP(calendar[[#This Row],[Date]],BH!E:E,1,)&lt;&gt;"",1,0),0)</f>
        <v>0</v>
      </c>
      <c r="O3370">
        <f>IFERROR(IF(VLOOKUP(calendar[[#This Row],[Date]],BH!G:G,1,)&lt;&gt;"",1,0),0)</f>
        <v>0</v>
      </c>
      <c r="P3370">
        <f>IF(OR(calendar[[#This Row],[UK_BH]]=1,calendar[[#This Row],[WeekDay]]=1, calendar[[#This Row],[WeekDay]]=7),P3369,P3369+1)</f>
        <v>2397</v>
      </c>
      <c r="Q3370">
        <f>IF(OR(calendar[[#This Row],[FR_BH]]=1,calendar[[#This Row],[WeekDay]]=1, calendar[[#This Row],[WeekDay]]=7),P3369,P3369+1)</f>
        <v>2397</v>
      </c>
      <c r="R3370">
        <f>IF(OR(calendar[[#This Row],[SP_BH]]=1,calendar[[#This Row],[WeekDay]]=1, calendar[[#This Row],[WeekDay]]=7),P3369,P3369+1)</f>
        <v>2397</v>
      </c>
      <c r="S3370">
        <f>IF(OR(calendar[[#This Row],[PT_BH]]=1,calendar[[#This Row],[WeekDay]]=1, calendar[[#This Row],[WeekDay]]=7),P3369,P3369+1)</f>
        <v>2397</v>
      </c>
    </row>
    <row r="3371" spans="1:19" x14ac:dyDescent="0.25">
      <c r="A3371" s="2">
        <v>46105</v>
      </c>
      <c r="B3371" s="1">
        <f t="shared" si="266"/>
        <v>13</v>
      </c>
      <c r="C3371">
        <f t="shared" si="268"/>
        <v>3</v>
      </c>
      <c r="D3371" t="str">
        <f t="shared" si="269"/>
        <v>March</v>
      </c>
      <c r="E3371">
        <f t="shared" si="270"/>
        <v>2026</v>
      </c>
      <c r="F3371" t="str">
        <f>CONCATENATE(calendar[[#This Row],[Month]],"/",calendar[[#This Row],[Year]])</f>
        <v>3/2026</v>
      </c>
      <c r="G3371">
        <f>WEEKDAY(calendar[[#This Row],[Date]],1)</f>
        <v>3</v>
      </c>
      <c r="H3371" t="str">
        <f>TEXT(calendar[[#This Row],[WeekDay]],"dddd")</f>
        <v>Tuesday</v>
      </c>
      <c r="I3371">
        <f>IF((INT(calendar[[#This Row],[Count]]/7)-calendar[[#This Row],[Count]]/7)&lt;0,I3370,I3370+1)</f>
        <v>482</v>
      </c>
      <c r="J3371">
        <f t="shared" si="267"/>
        <v>3369</v>
      </c>
      <c r="K3371">
        <f>IF(calendar[[#This Row],[Month]]&lt;4,1,IF(calendar[[#This Row],[Month]]&lt;7,2,IF(calendar[[#This Row],[Month]]&lt;10,3,4)))</f>
        <v>1</v>
      </c>
      <c r="L3371">
        <f>IFERROR(IF(VLOOKUP(calendar[[#This Row],[Date]],BH!A:A,1,)&lt;&gt;"",1,0),0)</f>
        <v>0</v>
      </c>
      <c r="M3371">
        <f>IFERROR(IF(VLOOKUP(calendar[[#This Row],[Date]],BH!C:C,1,)&lt;&gt;"",1,0),0)</f>
        <v>0</v>
      </c>
      <c r="N3371">
        <f>IFERROR(IF(VLOOKUP(calendar[[#This Row],[Date]],BH!E:E,1,)&lt;&gt;"",1,0),0)</f>
        <v>0</v>
      </c>
      <c r="O3371">
        <f>IFERROR(IF(VLOOKUP(calendar[[#This Row],[Date]],BH!G:G,1,)&lt;&gt;"",1,0),0)</f>
        <v>0</v>
      </c>
      <c r="P3371">
        <f>IF(OR(calendar[[#This Row],[UK_BH]]=1,calendar[[#This Row],[WeekDay]]=1, calendar[[#This Row],[WeekDay]]=7),P3370,P3370+1)</f>
        <v>2398</v>
      </c>
      <c r="Q3371">
        <f>IF(OR(calendar[[#This Row],[FR_BH]]=1,calendar[[#This Row],[WeekDay]]=1, calendar[[#This Row],[WeekDay]]=7),P3370,P3370+1)</f>
        <v>2398</v>
      </c>
      <c r="R3371">
        <f>IF(OR(calendar[[#This Row],[SP_BH]]=1,calendar[[#This Row],[WeekDay]]=1, calendar[[#This Row],[WeekDay]]=7),P3370,P3370+1)</f>
        <v>2398</v>
      </c>
      <c r="S3371">
        <f>IF(OR(calendar[[#This Row],[PT_BH]]=1,calendar[[#This Row],[WeekDay]]=1, calendar[[#This Row],[WeekDay]]=7),P3370,P3370+1)</f>
        <v>2398</v>
      </c>
    </row>
    <row r="3372" spans="1:19" x14ac:dyDescent="0.25">
      <c r="A3372" s="2">
        <v>46106</v>
      </c>
      <c r="B3372" s="1">
        <f t="shared" si="266"/>
        <v>13</v>
      </c>
      <c r="C3372">
        <f t="shared" si="268"/>
        <v>3</v>
      </c>
      <c r="D3372" t="str">
        <f t="shared" si="269"/>
        <v>March</v>
      </c>
      <c r="E3372">
        <f t="shared" si="270"/>
        <v>2026</v>
      </c>
      <c r="F3372" t="str">
        <f>CONCATENATE(calendar[[#This Row],[Month]],"/",calendar[[#This Row],[Year]])</f>
        <v>3/2026</v>
      </c>
      <c r="G3372">
        <f>WEEKDAY(calendar[[#This Row],[Date]],1)</f>
        <v>4</v>
      </c>
      <c r="H3372" t="str">
        <f>TEXT(calendar[[#This Row],[WeekDay]],"dddd")</f>
        <v>Wednesday</v>
      </c>
      <c r="I3372">
        <f>IF((INT(calendar[[#This Row],[Count]]/7)-calendar[[#This Row],[Count]]/7)&lt;0,I3371,I3371+1)</f>
        <v>482</v>
      </c>
      <c r="J3372">
        <f t="shared" si="267"/>
        <v>3370</v>
      </c>
      <c r="K3372">
        <f>IF(calendar[[#This Row],[Month]]&lt;4,1,IF(calendar[[#This Row],[Month]]&lt;7,2,IF(calendar[[#This Row],[Month]]&lt;10,3,4)))</f>
        <v>1</v>
      </c>
      <c r="L3372">
        <f>IFERROR(IF(VLOOKUP(calendar[[#This Row],[Date]],BH!A:A,1,)&lt;&gt;"",1,0),0)</f>
        <v>0</v>
      </c>
      <c r="M3372">
        <f>IFERROR(IF(VLOOKUP(calendar[[#This Row],[Date]],BH!C:C,1,)&lt;&gt;"",1,0),0)</f>
        <v>0</v>
      </c>
      <c r="N3372">
        <f>IFERROR(IF(VLOOKUP(calendar[[#This Row],[Date]],BH!E:E,1,)&lt;&gt;"",1,0),0)</f>
        <v>0</v>
      </c>
      <c r="O3372">
        <f>IFERROR(IF(VLOOKUP(calendar[[#This Row],[Date]],BH!G:G,1,)&lt;&gt;"",1,0),0)</f>
        <v>0</v>
      </c>
      <c r="P3372">
        <f>IF(OR(calendar[[#This Row],[UK_BH]]=1,calendar[[#This Row],[WeekDay]]=1, calendar[[#This Row],[WeekDay]]=7),P3371,P3371+1)</f>
        <v>2399</v>
      </c>
      <c r="Q3372">
        <f>IF(OR(calendar[[#This Row],[FR_BH]]=1,calendar[[#This Row],[WeekDay]]=1, calendar[[#This Row],[WeekDay]]=7),P3371,P3371+1)</f>
        <v>2399</v>
      </c>
      <c r="R3372">
        <f>IF(OR(calendar[[#This Row],[SP_BH]]=1,calendar[[#This Row],[WeekDay]]=1, calendar[[#This Row],[WeekDay]]=7),P3371,P3371+1)</f>
        <v>2399</v>
      </c>
      <c r="S3372">
        <f>IF(OR(calendar[[#This Row],[PT_BH]]=1,calendar[[#This Row],[WeekDay]]=1, calendar[[#This Row],[WeekDay]]=7),P3371,P3371+1)</f>
        <v>2399</v>
      </c>
    </row>
    <row r="3373" spans="1:19" x14ac:dyDescent="0.25">
      <c r="A3373" s="2">
        <v>46107</v>
      </c>
      <c r="B3373" s="1">
        <f t="shared" si="266"/>
        <v>13</v>
      </c>
      <c r="C3373">
        <f t="shared" si="268"/>
        <v>3</v>
      </c>
      <c r="D3373" t="str">
        <f t="shared" si="269"/>
        <v>March</v>
      </c>
      <c r="E3373">
        <f t="shared" si="270"/>
        <v>2026</v>
      </c>
      <c r="F3373" t="str">
        <f>CONCATENATE(calendar[[#This Row],[Month]],"/",calendar[[#This Row],[Year]])</f>
        <v>3/2026</v>
      </c>
      <c r="G3373">
        <f>WEEKDAY(calendar[[#This Row],[Date]],1)</f>
        <v>5</v>
      </c>
      <c r="H3373" t="str">
        <f>TEXT(calendar[[#This Row],[WeekDay]],"dddd")</f>
        <v>Thursday</v>
      </c>
      <c r="I3373">
        <f>IF((INT(calendar[[#This Row],[Count]]/7)-calendar[[#This Row],[Count]]/7)&lt;0,I3372,I3372+1)</f>
        <v>482</v>
      </c>
      <c r="J3373">
        <f t="shared" si="267"/>
        <v>3371</v>
      </c>
      <c r="K3373">
        <f>IF(calendar[[#This Row],[Month]]&lt;4,1,IF(calendar[[#This Row],[Month]]&lt;7,2,IF(calendar[[#This Row],[Month]]&lt;10,3,4)))</f>
        <v>1</v>
      </c>
      <c r="L3373">
        <f>IFERROR(IF(VLOOKUP(calendar[[#This Row],[Date]],BH!A:A,1,)&lt;&gt;"",1,0),0)</f>
        <v>0</v>
      </c>
      <c r="M3373">
        <f>IFERROR(IF(VLOOKUP(calendar[[#This Row],[Date]],BH!C:C,1,)&lt;&gt;"",1,0),0)</f>
        <v>0</v>
      </c>
      <c r="N3373">
        <f>IFERROR(IF(VLOOKUP(calendar[[#This Row],[Date]],BH!E:E,1,)&lt;&gt;"",1,0),0)</f>
        <v>0</v>
      </c>
      <c r="O3373">
        <f>IFERROR(IF(VLOOKUP(calendar[[#This Row],[Date]],BH!G:G,1,)&lt;&gt;"",1,0),0)</f>
        <v>0</v>
      </c>
      <c r="P3373">
        <f>IF(OR(calendar[[#This Row],[UK_BH]]=1,calendar[[#This Row],[WeekDay]]=1, calendar[[#This Row],[WeekDay]]=7),P3372,P3372+1)</f>
        <v>2400</v>
      </c>
      <c r="Q3373">
        <f>IF(OR(calendar[[#This Row],[FR_BH]]=1,calendar[[#This Row],[WeekDay]]=1, calendar[[#This Row],[WeekDay]]=7),P3372,P3372+1)</f>
        <v>2400</v>
      </c>
      <c r="R3373">
        <f>IF(OR(calendar[[#This Row],[SP_BH]]=1,calendar[[#This Row],[WeekDay]]=1, calendar[[#This Row],[WeekDay]]=7),P3372,P3372+1)</f>
        <v>2400</v>
      </c>
      <c r="S3373">
        <f>IF(OR(calendar[[#This Row],[PT_BH]]=1,calendar[[#This Row],[WeekDay]]=1, calendar[[#This Row],[WeekDay]]=7),P3372,P3372+1)</f>
        <v>2400</v>
      </c>
    </row>
    <row r="3374" spans="1:19" x14ac:dyDescent="0.25">
      <c r="A3374" s="2">
        <v>46108</v>
      </c>
      <c r="B3374" s="1">
        <f t="shared" si="266"/>
        <v>13</v>
      </c>
      <c r="C3374">
        <f t="shared" si="268"/>
        <v>3</v>
      </c>
      <c r="D3374" t="str">
        <f t="shared" si="269"/>
        <v>March</v>
      </c>
      <c r="E3374">
        <f t="shared" si="270"/>
        <v>2026</v>
      </c>
      <c r="F3374" t="str">
        <f>CONCATENATE(calendar[[#This Row],[Month]],"/",calendar[[#This Row],[Year]])</f>
        <v>3/2026</v>
      </c>
      <c r="G3374">
        <f>WEEKDAY(calendar[[#This Row],[Date]],1)</f>
        <v>6</v>
      </c>
      <c r="H3374" t="str">
        <f>TEXT(calendar[[#This Row],[WeekDay]],"dddd")</f>
        <v>Friday</v>
      </c>
      <c r="I3374">
        <f>IF((INT(calendar[[#This Row],[Count]]/7)-calendar[[#This Row],[Count]]/7)&lt;0,I3373,I3373+1)</f>
        <v>482</v>
      </c>
      <c r="J3374">
        <f t="shared" si="267"/>
        <v>3372</v>
      </c>
      <c r="K3374">
        <f>IF(calendar[[#This Row],[Month]]&lt;4,1,IF(calendar[[#This Row],[Month]]&lt;7,2,IF(calendar[[#This Row],[Month]]&lt;10,3,4)))</f>
        <v>1</v>
      </c>
      <c r="L3374">
        <f>IFERROR(IF(VLOOKUP(calendar[[#This Row],[Date]],BH!A:A,1,)&lt;&gt;"",1,0),0)</f>
        <v>0</v>
      </c>
      <c r="M3374">
        <f>IFERROR(IF(VLOOKUP(calendar[[#This Row],[Date]],BH!C:C,1,)&lt;&gt;"",1,0),0)</f>
        <v>0</v>
      </c>
      <c r="N3374">
        <f>IFERROR(IF(VLOOKUP(calendar[[#This Row],[Date]],BH!E:E,1,)&lt;&gt;"",1,0),0)</f>
        <v>0</v>
      </c>
      <c r="O3374">
        <f>IFERROR(IF(VLOOKUP(calendar[[#This Row],[Date]],BH!G:G,1,)&lt;&gt;"",1,0),0)</f>
        <v>0</v>
      </c>
      <c r="P3374">
        <f>IF(OR(calendar[[#This Row],[UK_BH]]=1,calendar[[#This Row],[WeekDay]]=1, calendar[[#This Row],[WeekDay]]=7),P3373,P3373+1)</f>
        <v>2401</v>
      </c>
      <c r="Q3374">
        <f>IF(OR(calendar[[#This Row],[FR_BH]]=1,calendar[[#This Row],[WeekDay]]=1, calendar[[#This Row],[WeekDay]]=7),P3373,P3373+1)</f>
        <v>2401</v>
      </c>
      <c r="R3374">
        <f>IF(OR(calendar[[#This Row],[SP_BH]]=1,calendar[[#This Row],[WeekDay]]=1, calendar[[#This Row],[WeekDay]]=7),P3373,P3373+1)</f>
        <v>2401</v>
      </c>
      <c r="S3374">
        <f>IF(OR(calendar[[#This Row],[PT_BH]]=1,calendar[[#This Row],[WeekDay]]=1, calendar[[#This Row],[WeekDay]]=7),P3373,P3373+1)</f>
        <v>2401</v>
      </c>
    </row>
    <row r="3375" spans="1:19" x14ac:dyDescent="0.25">
      <c r="A3375" s="2">
        <v>46109</v>
      </c>
      <c r="B3375" s="1">
        <f t="shared" si="266"/>
        <v>13</v>
      </c>
      <c r="C3375">
        <f t="shared" si="268"/>
        <v>3</v>
      </c>
      <c r="D3375" t="str">
        <f t="shared" si="269"/>
        <v>March</v>
      </c>
      <c r="E3375">
        <f t="shared" si="270"/>
        <v>2026</v>
      </c>
      <c r="F3375" t="str">
        <f>CONCATENATE(calendar[[#This Row],[Month]],"/",calendar[[#This Row],[Year]])</f>
        <v>3/2026</v>
      </c>
      <c r="G3375">
        <f>WEEKDAY(calendar[[#This Row],[Date]],1)</f>
        <v>7</v>
      </c>
      <c r="H3375" t="str">
        <f>TEXT(calendar[[#This Row],[WeekDay]],"dddd")</f>
        <v>Saturday</v>
      </c>
      <c r="I3375">
        <f>IF((INT(calendar[[#This Row],[Count]]/7)-calendar[[#This Row],[Count]]/7)&lt;0,I3374,I3374+1)</f>
        <v>482</v>
      </c>
      <c r="J3375">
        <f t="shared" si="267"/>
        <v>3373</v>
      </c>
      <c r="K3375">
        <f>IF(calendar[[#This Row],[Month]]&lt;4,1,IF(calendar[[#This Row],[Month]]&lt;7,2,IF(calendar[[#This Row],[Month]]&lt;10,3,4)))</f>
        <v>1</v>
      </c>
      <c r="L3375">
        <f>IFERROR(IF(VLOOKUP(calendar[[#This Row],[Date]],BH!A:A,1,)&lt;&gt;"",1,0),0)</f>
        <v>0</v>
      </c>
      <c r="M3375">
        <f>IFERROR(IF(VLOOKUP(calendar[[#This Row],[Date]],BH!C:C,1,)&lt;&gt;"",1,0),0)</f>
        <v>0</v>
      </c>
      <c r="N3375">
        <f>IFERROR(IF(VLOOKUP(calendar[[#This Row],[Date]],BH!E:E,1,)&lt;&gt;"",1,0),0)</f>
        <v>0</v>
      </c>
      <c r="O3375">
        <f>IFERROR(IF(VLOOKUP(calendar[[#This Row],[Date]],BH!G:G,1,)&lt;&gt;"",1,0),0)</f>
        <v>0</v>
      </c>
      <c r="P3375">
        <f>IF(OR(calendar[[#This Row],[UK_BH]]=1,calendar[[#This Row],[WeekDay]]=1, calendar[[#This Row],[WeekDay]]=7),P3374,P3374+1)</f>
        <v>2401</v>
      </c>
      <c r="Q3375">
        <f>IF(OR(calendar[[#This Row],[FR_BH]]=1,calendar[[#This Row],[WeekDay]]=1, calendar[[#This Row],[WeekDay]]=7),P3374,P3374+1)</f>
        <v>2401</v>
      </c>
      <c r="R3375">
        <f>IF(OR(calendar[[#This Row],[SP_BH]]=1,calendar[[#This Row],[WeekDay]]=1, calendar[[#This Row],[WeekDay]]=7),P3374,P3374+1)</f>
        <v>2401</v>
      </c>
      <c r="S3375">
        <f>IF(OR(calendar[[#This Row],[PT_BH]]=1,calendar[[#This Row],[WeekDay]]=1, calendar[[#This Row],[WeekDay]]=7),P3374,P3374+1)</f>
        <v>2401</v>
      </c>
    </row>
    <row r="3376" spans="1:19" x14ac:dyDescent="0.25">
      <c r="A3376" s="2">
        <v>46110</v>
      </c>
      <c r="B3376" s="1">
        <f t="shared" si="266"/>
        <v>14</v>
      </c>
      <c r="C3376">
        <f t="shared" si="268"/>
        <v>3</v>
      </c>
      <c r="D3376" t="str">
        <f t="shared" si="269"/>
        <v>March</v>
      </c>
      <c r="E3376">
        <f t="shared" si="270"/>
        <v>2026</v>
      </c>
      <c r="F3376" t="str">
        <f>CONCATENATE(calendar[[#This Row],[Month]],"/",calendar[[#This Row],[Year]])</f>
        <v>3/2026</v>
      </c>
      <c r="G3376">
        <f>WEEKDAY(calendar[[#This Row],[Date]],1)</f>
        <v>1</v>
      </c>
      <c r="H3376" t="str">
        <f>TEXT(calendar[[#This Row],[WeekDay]],"dddd")</f>
        <v>Sunday</v>
      </c>
      <c r="I3376">
        <f>IF((INT(calendar[[#This Row],[Count]]/7)-calendar[[#This Row],[Count]]/7)&lt;0,I3375,I3375+1)</f>
        <v>483</v>
      </c>
      <c r="J3376">
        <f t="shared" si="267"/>
        <v>3374</v>
      </c>
      <c r="K3376">
        <f>IF(calendar[[#This Row],[Month]]&lt;4,1,IF(calendar[[#This Row],[Month]]&lt;7,2,IF(calendar[[#This Row],[Month]]&lt;10,3,4)))</f>
        <v>1</v>
      </c>
      <c r="L3376">
        <f>IFERROR(IF(VLOOKUP(calendar[[#This Row],[Date]],BH!A:A,1,)&lt;&gt;"",1,0),0)</f>
        <v>0</v>
      </c>
      <c r="M3376">
        <f>IFERROR(IF(VLOOKUP(calendar[[#This Row],[Date]],BH!C:C,1,)&lt;&gt;"",1,0),0)</f>
        <v>0</v>
      </c>
      <c r="N3376">
        <f>IFERROR(IF(VLOOKUP(calendar[[#This Row],[Date]],BH!E:E,1,)&lt;&gt;"",1,0),0)</f>
        <v>1</v>
      </c>
      <c r="O3376">
        <f>IFERROR(IF(VLOOKUP(calendar[[#This Row],[Date]],BH!G:G,1,)&lt;&gt;"",1,0),0)</f>
        <v>0</v>
      </c>
      <c r="P3376">
        <f>IF(OR(calendar[[#This Row],[UK_BH]]=1,calendar[[#This Row],[WeekDay]]=1, calendar[[#This Row],[WeekDay]]=7),P3375,P3375+1)</f>
        <v>2401</v>
      </c>
      <c r="Q3376">
        <f>IF(OR(calendar[[#This Row],[FR_BH]]=1,calendar[[#This Row],[WeekDay]]=1, calendar[[#This Row],[WeekDay]]=7),P3375,P3375+1)</f>
        <v>2401</v>
      </c>
      <c r="R3376">
        <f>IF(OR(calendar[[#This Row],[SP_BH]]=1,calendar[[#This Row],[WeekDay]]=1, calendar[[#This Row],[WeekDay]]=7),P3375,P3375+1)</f>
        <v>2401</v>
      </c>
      <c r="S3376">
        <f>IF(OR(calendar[[#This Row],[PT_BH]]=1,calendar[[#This Row],[WeekDay]]=1, calendar[[#This Row],[WeekDay]]=7),P3375,P3375+1)</f>
        <v>2401</v>
      </c>
    </row>
    <row r="3377" spans="1:19" x14ac:dyDescent="0.25">
      <c r="A3377" s="2">
        <v>46111</v>
      </c>
      <c r="B3377" s="1">
        <f t="shared" si="266"/>
        <v>14</v>
      </c>
      <c r="C3377">
        <f t="shared" si="268"/>
        <v>3</v>
      </c>
      <c r="D3377" t="str">
        <f t="shared" si="269"/>
        <v>March</v>
      </c>
      <c r="E3377">
        <f t="shared" si="270"/>
        <v>2026</v>
      </c>
      <c r="F3377" t="str">
        <f>CONCATENATE(calendar[[#This Row],[Month]],"/",calendar[[#This Row],[Year]])</f>
        <v>3/2026</v>
      </c>
      <c r="G3377">
        <f>WEEKDAY(calendar[[#This Row],[Date]],1)</f>
        <v>2</v>
      </c>
      <c r="H3377" t="str">
        <f>TEXT(calendar[[#This Row],[WeekDay]],"dddd")</f>
        <v>Monday</v>
      </c>
      <c r="I3377">
        <f>IF((INT(calendar[[#This Row],[Count]]/7)-calendar[[#This Row],[Count]]/7)&lt;0,I3376,I3376+1)</f>
        <v>483</v>
      </c>
      <c r="J3377">
        <f t="shared" si="267"/>
        <v>3375</v>
      </c>
      <c r="K3377">
        <f>IF(calendar[[#This Row],[Month]]&lt;4,1,IF(calendar[[#This Row],[Month]]&lt;7,2,IF(calendar[[#This Row],[Month]]&lt;10,3,4)))</f>
        <v>1</v>
      </c>
      <c r="L3377">
        <f>IFERROR(IF(VLOOKUP(calendar[[#This Row],[Date]],BH!A:A,1,)&lt;&gt;"",1,0),0)</f>
        <v>0</v>
      </c>
      <c r="M3377">
        <f>IFERROR(IF(VLOOKUP(calendar[[#This Row],[Date]],BH!C:C,1,)&lt;&gt;"",1,0),0)</f>
        <v>0</v>
      </c>
      <c r="N3377">
        <f>IFERROR(IF(VLOOKUP(calendar[[#This Row],[Date]],BH!E:E,1,)&lt;&gt;"",1,0),0)</f>
        <v>0</v>
      </c>
      <c r="O3377">
        <f>IFERROR(IF(VLOOKUP(calendar[[#This Row],[Date]],BH!G:G,1,)&lt;&gt;"",1,0),0)</f>
        <v>0</v>
      </c>
      <c r="P3377">
        <f>IF(OR(calendar[[#This Row],[UK_BH]]=1,calendar[[#This Row],[WeekDay]]=1, calendar[[#This Row],[WeekDay]]=7),P3376,P3376+1)</f>
        <v>2402</v>
      </c>
      <c r="Q3377">
        <f>IF(OR(calendar[[#This Row],[FR_BH]]=1,calendar[[#This Row],[WeekDay]]=1, calendar[[#This Row],[WeekDay]]=7),P3376,P3376+1)</f>
        <v>2402</v>
      </c>
      <c r="R3377">
        <f>IF(OR(calendar[[#This Row],[SP_BH]]=1,calendar[[#This Row],[WeekDay]]=1, calendar[[#This Row],[WeekDay]]=7),P3376,P3376+1)</f>
        <v>2402</v>
      </c>
      <c r="S3377">
        <f>IF(OR(calendar[[#This Row],[PT_BH]]=1,calendar[[#This Row],[WeekDay]]=1, calendar[[#This Row],[WeekDay]]=7),P3376,P3376+1)</f>
        <v>2402</v>
      </c>
    </row>
    <row r="3378" spans="1:19" x14ac:dyDescent="0.25">
      <c r="A3378" s="2">
        <v>46112</v>
      </c>
      <c r="B3378" s="1">
        <f t="shared" si="266"/>
        <v>14</v>
      </c>
      <c r="C3378">
        <f t="shared" si="268"/>
        <v>3</v>
      </c>
      <c r="D3378" t="str">
        <f t="shared" si="269"/>
        <v>March</v>
      </c>
      <c r="E3378">
        <f t="shared" si="270"/>
        <v>2026</v>
      </c>
      <c r="F3378" t="str">
        <f>CONCATENATE(calendar[[#This Row],[Month]],"/",calendar[[#This Row],[Year]])</f>
        <v>3/2026</v>
      </c>
      <c r="G3378">
        <f>WEEKDAY(calendar[[#This Row],[Date]],1)</f>
        <v>3</v>
      </c>
      <c r="H3378" t="str">
        <f>TEXT(calendar[[#This Row],[WeekDay]],"dddd")</f>
        <v>Tuesday</v>
      </c>
      <c r="I3378">
        <f>IF((INT(calendar[[#This Row],[Count]]/7)-calendar[[#This Row],[Count]]/7)&lt;0,I3377,I3377+1)</f>
        <v>483</v>
      </c>
      <c r="J3378">
        <f t="shared" si="267"/>
        <v>3376</v>
      </c>
      <c r="K3378">
        <f>IF(calendar[[#This Row],[Month]]&lt;4,1,IF(calendar[[#This Row],[Month]]&lt;7,2,IF(calendar[[#This Row],[Month]]&lt;10,3,4)))</f>
        <v>1</v>
      </c>
      <c r="L3378">
        <f>IFERROR(IF(VLOOKUP(calendar[[#This Row],[Date]],BH!A:A,1,)&lt;&gt;"",1,0),0)</f>
        <v>0</v>
      </c>
      <c r="M3378">
        <f>IFERROR(IF(VLOOKUP(calendar[[#This Row],[Date]],BH!C:C,1,)&lt;&gt;"",1,0),0)</f>
        <v>0</v>
      </c>
      <c r="N3378">
        <f>IFERROR(IF(VLOOKUP(calendar[[#This Row],[Date]],BH!E:E,1,)&lt;&gt;"",1,0),0)</f>
        <v>0</v>
      </c>
      <c r="O3378">
        <f>IFERROR(IF(VLOOKUP(calendar[[#This Row],[Date]],BH!G:G,1,)&lt;&gt;"",1,0),0)</f>
        <v>0</v>
      </c>
      <c r="P3378">
        <f>IF(OR(calendar[[#This Row],[UK_BH]]=1,calendar[[#This Row],[WeekDay]]=1, calendar[[#This Row],[WeekDay]]=7),P3377,P3377+1)</f>
        <v>2403</v>
      </c>
      <c r="Q3378">
        <f>IF(OR(calendar[[#This Row],[FR_BH]]=1,calendar[[#This Row],[WeekDay]]=1, calendar[[#This Row],[WeekDay]]=7),P3377,P3377+1)</f>
        <v>2403</v>
      </c>
      <c r="R3378">
        <f>IF(OR(calendar[[#This Row],[SP_BH]]=1,calendar[[#This Row],[WeekDay]]=1, calendar[[#This Row],[WeekDay]]=7),P3377,P3377+1)</f>
        <v>2403</v>
      </c>
      <c r="S3378">
        <f>IF(OR(calendar[[#This Row],[PT_BH]]=1,calendar[[#This Row],[WeekDay]]=1, calendar[[#This Row],[WeekDay]]=7),P3377,P3377+1)</f>
        <v>2403</v>
      </c>
    </row>
    <row r="3379" spans="1:19" x14ac:dyDescent="0.25">
      <c r="A3379" s="2">
        <v>46113</v>
      </c>
      <c r="B3379" s="1">
        <f t="shared" si="266"/>
        <v>14</v>
      </c>
      <c r="C3379">
        <f t="shared" si="268"/>
        <v>4</v>
      </c>
      <c r="D3379" t="str">
        <f t="shared" si="269"/>
        <v>April</v>
      </c>
      <c r="E3379">
        <f t="shared" si="270"/>
        <v>2026</v>
      </c>
      <c r="F3379" t="str">
        <f>CONCATENATE(calendar[[#This Row],[Month]],"/",calendar[[#This Row],[Year]])</f>
        <v>4/2026</v>
      </c>
      <c r="G3379">
        <f>WEEKDAY(calendar[[#This Row],[Date]],1)</f>
        <v>4</v>
      </c>
      <c r="H3379" t="str">
        <f>TEXT(calendar[[#This Row],[WeekDay]],"dddd")</f>
        <v>Wednesday</v>
      </c>
      <c r="I3379">
        <f>IF((INT(calendar[[#This Row],[Count]]/7)-calendar[[#This Row],[Count]]/7)&lt;0,I3378,I3378+1)</f>
        <v>483</v>
      </c>
      <c r="J3379">
        <f t="shared" si="267"/>
        <v>3377</v>
      </c>
      <c r="K3379">
        <f>IF(calendar[[#This Row],[Month]]&lt;4,1,IF(calendar[[#This Row],[Month]]&lt;7,2,IF(calendar[[#This Row],[Month]]&lt;10,3,4)))</f>
        <v>2</v>
      </c>
      <c r="L3379">
        <f>IFERROR(IF(VLOOKUP(calendar[[#This Row],[Date]],BH!A:A,1,)&lt;&gt;"",1,0),0)</f>
        <v>0</v>
      </c>
      <c r="M3379">
        <f>IFERROR(IF(VLOOKUP(calendar[[#This Row],[Date]],BH!C:C,1,)&lt;&gt;"",1,0),0)</f>
        <v>0</v>
      </c>
      <c r="N3379">
        <f>IFERROR(IF(VLOOKUP(calendar[[#This Row],[Date]],BH!E:E,1,)&lt;&gt;"",1,0),0)</f>
        <v>0</v>
      </c>
      <c r="O3379">
        <f>IFERROR(IF(VLOOKUP(calendar[[#This Row],[Date]],BH!G:G,1,)&lt;&gt;"",1,0),0)</f>
        <v>0</v>
      </c>
      <c r="P3379">
        <f>IF(OR(calendar[[#This Row],[UK_BH]]=1,calendar[[#This Row],[WeekDay]]=1, calendar[[#This Row],[WeekDay]]=7),P3378,P3378+1)</f>
        <v>2404</v>
      </c>
      <c r="Q3379">
        <f>IF(OR(calendar[[#This Row],[FR_BH]]=1,calendar[[#This Row],[WeekDay]]=1, calendar[[#This Row],[WeekDay]]=7),P3378,P3378+1)</f>
        <v>2404</v>
      </c>
      <c r="R3379">
        <f>IF(OR(calendar[[#This Row],[SP_BH]]=1,calendar[[#This Row],[WeekDay]]=1, calendar[[#This Row],[WeekDay]]=7),P3378,P3378+1)</f>
        <v>2404</v>
      </c>
      <c r="S3379">
        <f>IF(OR(calendar[[#This Row],[PT_BH]]=1,calendar[[#This Row],[WeekDay]]=1, calendar[[#This Row],[WeekDay]]=7),P3378,P3378+1)</f>
        <v>2404</v>
      </c>
    </row>
    <row r="3380" spans="1:19" x14ac:dyDescent="0.25">
      <c r="A3380" s="2">
        <v>46114</v>
      </c>
      <c r="B3380" s="1">
        <f t="shared" si="266"/>
        <v>14</v>
      </c>
      <c r="C3380">
        <f t="shared" si="268"/>
        <v>4</v>
      </c>
      <c r="D3380" t="str">
        <f t="shared" si="269"/>
        <v>April</v>
      </c>
      <c r="E3380">
        <f t="shared" si="270"/>
        <v>2026</v>
      </c>
      <c r="F3380" t="str">
        <f>CONCATENATE(calendar[[#This Row],[Month]],"/",calendar[[#This Row],[Year]])</f>
        <v>4/2026</v>
      </c>
      <c r="G3380">
        <f>WEEKDAY(calendar[[#This Row],[Date]],1)</f>
        <v>5</v>
      </c>
      <c r="H3380" t="str">
        <f>TEXT(calendar[[#This Row],[WeekDay]],"dddd")</f>
        <v>Thursday</v>
      </c>
      <c r="I3380">
        <f>IF((INT(calendar[[#This Row],[Count]]/7)-calendar[[#This Row],[Count]]/7)&lt;0,I3379,I3379+1)</f>
        <v>483</v>
      </c>
      <c r="J3380">
        <f t="shared" si="267"/>
        <v>3378</v>
      </c>
      <c r="K3380">
        <f>IF(calendar[[#This Row],[Month]]&lt;4,1,IF(calendar[[#This Row],[Month]]&lt;7,2,IF(calendar[[#This Row],[Month]]&lt;10,3,4)))</f>
        <v>2</v>
      </c>
      <c r="L3380">
        <f>IFERROR(IF(VLOOKUP(calendar[[#This Row],[Date]],BH!A:A,1,)&lt;&gt;"",1,0),0)</f>
        <v>0</v>
      </c>
      <c r="M3380">
        <f>IFERROR(IF(VLOOKUP(calendar[[#This Row],[Date]],BH!C:C,1,)&lt;&gt;"",1,0),0)</f>
        <v>0</v>
      </c>
      <c r="N3380">
        <f>IFERROR(IF(VLOOKUP(calendar[[#This Row],[Date]],BH!E:E,1,)&lt;&gt;"",1,0),0)</f>
        <v>1</v>
      </c>
      <c r="O3380">
        <f>IFERROR(IF(VLOOKUP(calendar[[#This Row],[Date]],BH!G:G,1,)&lt;&gt;"",1,0),0)</f>
        <v>0</v>
      </c>
      <c r="P3380">
        <f>IF(OR(calendar[[#This Row],[UK_BH]]=1,calendar[[#This Row],[WeekDay]]=1, calendar[[#This Row],[WeekDay]]=7),P3379,P3379+1)</f>
        <v>2405</v>
      </c>
      <c r="Q3380">
        <f>IF(OR(calendar[[#This Row],[FR_BH]]=1,calendar[[#This Row],[WeekDay]]=1, calendar[[#This Row],[WeekDay]]=7),P3379,P3379+1)</f>
        <v>2405</v>
      </c>
      <c r="R3380">
        <f>IF(OR(calendar[[#This Row],[SP_BH]]=1,calendar[[#This Row],[WeekDay]]=1, calendar[[#This Row],[WeekDay]]=7),P3379,P3379+1)</f>
        <v>2404</v>
      </c>
      <c r="S3380">
        <f>IF(OR(calendar[[#This Row],[PT_BH]]=1,calendar[[#This Row],[WeekDay]]=1, calendar[[#This Row],[WeekDay]]=7),P3379,P3379+1)</f>
        <v>2405</v>
      </c>
    </row>
    <row r="3381" spans="1:19" x14ac:dyDescent="0.25">
      <c r="A3381" s="2">
        <v>46115</v>
      </c>
      <c r="B3381" s="1">
        <f t="shared" si="266"/>
        <v>14</v>
      </c>
      <c r="C3381">
        <f t="shared" si="268"/>
        <v>4</v>
      </c>
      <c r="D3381" t="str">
        <f t="shared" si="269"/>
        <v>April</v>
      </c>
      <c r="E3381">
        <f t="shared" si="270"/>
        <v>2026</v>
      </c>
      <c r="F3381" t="str">
        <f>CONCATENATE(calendar[[#This Row],[Month]],"/",calendar[[#This Row],[Year]])</f>
        <v>4/2026</v>
      </c>
      <c r="G3381">
        <f>WEEKDAY(calendar[[#This Row],[Date]],1)</f>
        <v>6</v>
      </c>
      <c r="H3381" t="str">
        <f>TEXT(calendar[[#This Row],[WeekDay]],"dddd")</f>
        <v>Friday</v>
      </c>
      <c r="I3381">
        <f>IF((INT(calendar[[#This Row],[Count]]/7)-calendar[[#This Row],[Count]]/7)&lt;0,I3380,I3380+1)</f>
        <v>483</v>
      </c>
      <c r="J3381">
        <f t="shared" si="267"/>
        <v>3379</v>
      </c>
      <c r="K3381">
        <f>IF(calendar[[#This Row],[Month]]&lt;4,1,IF(calendar[[#This Row],[Month]]&lt;7,2,IF(calendar[[#This Row],[Month]]&lt;10,3,4)))</f>
        <v>2</v>
      </c>
      <c r="L3381">
        <f>IFERROR(IF(VLOOKUP(calendar[[#This Row],[Date]],BH!A:A,1,)&lt;&gt;"",1,0),0)</f>
        <v>1</v>
      </c>
      <c r="M3381">
        <f>IFERROR(IF(VLOOKUP(calendar[[#This Row],[Date]],BH!C:C,1,)&lt;&gt;"",1,0),0)</f>
        <v>1</v>
      </c>
      <c r="N3381">
        <f>IFERROR(IF(VLOOKUP(calendar[[#This Row],[Date]],BH!E:E,1,)&lt;&gt;"",1,0),0)</f>
        <v>1</v>
      </c>
      <c r="O3381">
        <f>IFERROR(IF(VLOOKUP(calendar[[#This Row],[Date]],BH!G:G,1,)&lt;&gt;"",1,0),0)</f>
        <v>1</v>
      </c>
      <c r="P3381">
        <f>IF(OR(calendar[[#This Row],[UK_BH]]=1,calendar[[#This Row],[WeekDay]]=1, calendar[[#This Row],[WeekDay]]=7),P3380,P3380+1)</f>
        <v>2405</v>
      </c>
      <c r="Q3381">
        <f>IF(OR(calendar[[#This Row],[FR_BH]]=1,calendar[[#This Row],[WeekDay]]=1, calendar[[#This Row],[WeekDay]]=7),P3380,P3380+1)</f>
        <v>2405</v>
      </c>
      <c r="R3381">
        <f>IF(OR(calendar[[#This Row],[SP_BH]]=1,calendar[[#This Row],[WeekDay]]=1, calendar[[#This Row],[WeekDay]]=7),P3380,P3380+1)</f>
        <v>2405</v>
      </c>
      <c r="S3381">
        <f>IF(OR(calendar[[#This Row],[PT_BH]]=1,calendar[[#This Row],[WeekDay]]=1, calendar[[#This Row],[WeekDay]]=7),P3380,P3380+1)</f>
        <v>2405</v>
      </c>
    </row>
    <row r="3382" spans="1:19" x14ac:dyDescent="0.25">
      <c r="A3382" s="2">
        <v>46116</v>
      </c>
      <c r="B3382" s="1">
        <f t="shared" si="266"/>
        <v>14</v>
      </c>
      <c r="C3382">
        <f t="shared" si="268"/>
        <v>4</v>
      </c>
      <c r="D3382" t="str">
        <f t="shared" si="269"/>
        <v>April</v>
      </c>
      <c r="E3382">
        <f t="shared" si="270"/>
        <v>2026</v>
      </c>
      <c r="F3382" t="str">
        <f>CONCATENATE(calendar[[#This Row],[Month]],"/",calendar[[#This Row],[Year]])</f>
        <v>4/2026</v>
      </c>
      <c r="G3382">
        <f>WEEKDAY(calendar[[#This Row],[Date]],1)</f>
        <v>7</v>
      </c>
      <c r="H3382" t="str">
        <f>TEXT(calendar[[#This Row],[WeekDay]],"dddd")</f>
        <v>Saturday</v>
      </c>
      <c r="I3382">
        <f>IF((INT(calendar[[#This Row],[Count]]/7)-calendar[[#This Row],[Count]]/7)&lt;0,I3381,I3381+1)</f>
        <v>483</v>
      </c>
      <c r="J3382">
        <f t="shared" si="267"/>
        <v>3380</v>
      </c>
      <c r="K3382">
        <f>IF(calendar[[#This Row],[Month]]&lt;4,1,IF(calendar[[#This Row],[Month]]&lt;7,2,IF(calendar[[#This Row],[Month]]&lt;10,3,4)))</f>
        <v>2</v>
      </c>
      <c r="L3382">
        <f>IFERROR(IF(VLOOKUP(calendar[[#This Row],[Date]],BH!A:A,1,)&lt;&gt;"",1,0),0)</f>
        <v>0</v>
      </c>
      <c r="M3382">
        <f>IFERROR(IF(VLOOKUP(calendar[[#This Row],[Date]],BH!C:C,1,)&lt;&gt;"",1,0),0)</f>
        <v>0</v>
      </c>
      <c r="N3382">
        <f>IFERROR(IF(VLOOKUP(calendar[[#This Row],[Date]],BH!E:E,1,)&lt;&gt;"",1,0),0)</f>
        <v>0</v>
      </c>
      <c r="O3382">
        <f>IFERROR(IF(VLOOKUP(calendar[[#This Row],[Date]],BH!G:G,1,)&lt;&gt;"",1,0),0)</f>
        <v>0</v>
      </c>
      <c r="P3382">
        <f>IF(OR(calendar[[#This Row],[UK_BH]]=1,calendar[[#This Row],[WeekDay]]=1, calendar[[#This Row],[WeekDay]]=7),P3381,P3381+1)</f>
        <v>2405</v>
      </c>
      <c r="Q3382">
        <f>IF(OR(calendar[[#This Row],[FR_BH]]=1,calendar[[#This Row],[WeekDay]]=1, calendar[[#This Row],[WeekDay]]=7),P3381,P3381+1)</f>
        <v>2405</v>
      </c>
      <c r="R3382">
        <f>IF(OR(calendar[[#This Row],[SP_BH]]=1,calendar[[#This Row],[WeekDay]]=1, calendar[[#This Row],[WeekDay]]=7),P3381,P3381+1)</f>
        <v>2405</v>
      </c>
      <c r="S3382">
        <f>IF(OR(calendar[[#This Row],[PT_BH]]=1,calendar[[#This Row],[WeekDay]]=1, calendar[[#This Row],[WeekDay]]=7),P3381,P3381+1)</f>
        <v>2405</v>
      </c>
    </row>
    <row r="3383" spans="1:19" x14ac:dyDescent="0.25">
      <c r="A3383" s="2">
        <v>46117</v>
      </c>
      <c r="B3383" s="1">
        <f t="shared" si="266"/>
        <v>15</v>
      </c>
      <c r="C3383">
        <f t="shared" si="268"/>
        <v>4</v>
      </c>
      <c r="D3383" t="str">
        <f t="shared" si="269"/>
        <v>April</v>
      </c>
      <c r="E3383">
        <f t="shared" si="270"/>
        <v>2026</v>
      </c>
      <c r="F3383" t="str">
        <f>CONCATENATE(calendar[[#This Row],[Month]],"/",calendar[[#This Row],[Year]])</f>
        <v>4/2026</v>
      </c>
      <c r="G3383">
        <f>WEEKDAY(calendar[[#This Row],[Date]],1)</f>
        <v>1</v>
      </c>
      <c r="H3383" t="str">
        <f>TEXT(calendar[[#This Row],[WeekDay]],"dddd")</f>
        <v>Sunday</v>
      </c>
      <c r="I3383">
        <f>IF((INT(calendar[[#This Row],[Count]]/7)-calendar[[#This Row],[Count]]/7)&lt;0,I3382,I3382+1)</f>
        <v>484</v>
      </c>
      <c r="J3383">
        <f t="shared" si="267"/>
        <v>3381</v>
      </c>
      <c r="K3383">
        <f>IF(calendar[[#This Row],[Month]]&lt;4,1,IF(calendar[[#This Row],[Month]]&lt;7,2,IF(calendar[[#This Row],[Month]]&lt;10,3,4)))</f>
        <v>2</v>
      </c>
      <c r="L3383">
        <f>IFERROR(IF(VLOOKUP(calendar[[#This Row],[Date]],BH!A:A,1,)&lt;&gt;"",1,0),0)</f>
        <v>0</v>
      </c>
      <c r="M3383">
        <f>IFERROR(IF(VLOOKUP(calendar[[#This Row],[Date]],BH!C:C,1,)&lt;&gt;"",1,0),0)</f>
        <v>0</v>
      </c>
      <c r="N3383">
        <f>IFERROR(IF(VLOOKUP(calendar[[#This Row],[Date]],BH!E:E,1,)&lt;&gt;"",1,0),0)</f>
        <v>1</v>
      </c>
      <c r="O3383">
        <f>IFERROR(IF(VLOOKUP(calendar[[#This Row],[Date]],BH!G:G,1,)&lt;&gt;"",1,0),0)</f>
        <v>1</v>
      </c>
      <c r="P3383">
        <f>IF(OR(calendar[[#This Row],[UK_BH]]=1,calendar[[#This Row],[WeekDay]]=1, calendar[[#This Row],[WeekDay]]=7),P3382,P3382+1)</f>
        <v>2405</v>
      </c>
      <c r="Q3383">
        <f>IF(OR(calendar[[#This Row],[FR_BH]]=1,calendar[[#This Row],[WeekDay]]=1, calendar[[#This Row],[WeekDay]]=7),P3382,P3382+1)</f>
        <v>2405</v>
      </c>
      <c r="R3383">
        <f>IF(OR(calendar[[#This Row],[SP_BH]]=1,calendar[[#This Row],[WeekDay]]=1, calendar[[#This Row],[WeekDay]]=7),P3382,P3382+1)</f>
        <v>2405</v>
      </c>
      <c r="S3383">
        <f>IF(OR(calendar[[#This Row],[PT_BH]]=1,calendar[[#This Row],[WeekDay]]=1, calendar[[#This Row],[WeekDay]]=7),P3382,P3382+1)</f>
        <v>2405</v>
      </c>
    </row>
    <row r="3384" spans="1:19" x14ac:dyDescent="0.25">
      <c r="A3384" s="2">
        <v>46118</v>
      </c>
      <c r="B3384" s="1">
        <f t="shared" si="266"/>
        <v>15</v>
      </c>
      <c r="C3384">
        <f t="shared" si="268"/>
        <v>4</v>
      </c>
      <c r="D3384" t="str">
        <f t="shared" si="269"/>
        <v>April</v>
      </c>
      <c r="E3384">
        <f t="shared" si="270"/>
        <v>2026</v>
      </c>
      <c r="F3384" t="str">
        <f>CONCATENATE(calendar[[#This Row],[Month]],"/",calendar[[#This Row],[Year]])</f>
        <v>4/2026</v>
      </c>
      <c r="G3384">
        <f>WEEKDAY(calendar[[#This Row],[Date]],1)</f>
        <v>2</v>
      </c>
      <c r="H3384" t="str">
        <f>TEXT(calendar[[#This Row],[WeekDay]],"dddd")</f>
        <v>Monday</v>
      </c>
      <c r="I3384">
        <f>IF((INT(calendar[[#This Row],[Count]]/7)-calendar[[#This Row],[Count]]/7)&lt;0,I3383,I3383+1)</f>
        <v>484</v>
      </c>
      <c r="J3384">
        <f t="shared" si="267"/>
        <v>3382</v>
      </c>
      <c r="K3384">
        <f>IF(calendar[[#This Row],[Month]]&lt;4,1,IF(calendar[[#This Row],[Month]]&lt;7,2,IF(calendar[[#This Row],[Month]]&lt;10,3,4)))</f>
        <v>2</v>
      </c>
      <c r="L3384">
        <f>IFERROR(IF(VLOOKUP(calendar[[#This Row],[Date]],BH!A:A,1,)&lt;&gt;"",1,0),0)</f>
        <v>1</v>
      </c>
      <c r="M3384">
        <f>IFERROR(IF(VLOOKUP(calendar[[#This Row],[Date]],BH!C:C,1,)&lt;&gt;"",1,0),0)</f>
        <v>1</v>
      </c>
      <c r="N3384">
        <f>IFERROR(IF(VLOOKUP(calendar[[#This Row],[Date]],BH!E:E,1,)&lt;&gt;"",1,0),0)</f>
        <v>1</v>
      </c>
      <c r="O3384">
        <f>IFERROR(IF(VLOOKUP(calendar[[#This Row],[Date]],BH!G:G,1,)&lt;&gt;"",1,0),0)</f>
        <v>0</v>
      </c>
      <c r="P3384">
        <f>IF(OR(calendar[[#This Row],[UK_BH]]=1,calendar[[#This Row],[WeekDay]]=1, calendar[[#This Row],[WeekDay]]=7),P3383,P3383+1)</f>
        <v>2405</v>
      </c>
      <c r="Q3384">
        <f>IF(OR(calendar[[#This Row],[FR_BH]]=1,calendar[[#This Row],[WeekDay]]=1, calendar[[#This Row],[WeekDay]]=7),P3383,P3383+1)</f>
        <v>2405</v>
      </c>
      <c r="R3384">
        <f>IF(OR(calendar[[#This Row],[SP_BH]]=1,calendar[[#This Row],[WeekDay]]=1, calendar[[#This Row],[WeekDay]]=7),P3383,P3383+1)</f>
        <v>2405</v>
      </c>
      <c r="S3384">
        <f>IF(OR(calendar[[#This Row],[PT_BH]]=1,calendar[[#This Row],[WeekDay]]=1, calendar[[#This Row],[WeekDay]]=7),P3383,P3383+1)</f>
        <v>2406</v>
      </c>
    </row>
    <row r="3385" spans="1:19" x14ac:dyDescent="0.25">
      <c r="A3385" s="2">
        <v>46119</v>
      </c>
      <c r="B3385" s="1">
        <f t="shared" si="266"/>
        <v>15</v>
      </c>
      <c r="C3385">
        <f t="shared" si="268"/>
        <v>4</v>
      </c>
      <c r="D3385" t="str">
        <f t="shared" si="269"/>
        <v>April</v>
      </c>
      <c r="E3385">
        <f t="shared" si="270"/>
        <v>2026</v>
      </c>
      <c r="F3385" t="str">
        <f>CONCATENATE(calendar[[#This Row],[Month]],"/",calendar[[#This Row],[Year]])</f>
        <v>4/2026</v>
      </c>
      <c r="G3385">
        <f>WEEKDAY(calendar[[#This Row],[Date]],1)</f>
        <v>3</v>
      </c>
      <c r="H3385" t="str">
        <f>TEXT(calendar[[#This Row],[WeekDay]],"dddd")</f>
        <v>Tuesday</v>
      </c>
      <c r="I3385">
        <f>IF((INT(calendar[[#This Row],[Count]]/7)-calendar[[#This Row],[Count]]/7)&lt;0,I3384,I3384+1)</f>
        <v>484</v>
      </c>
      <c r="J3385">
        <f t="shared" si="267"/>
        <v>3383</v>
      </c>
      <c r="K3385">
        <f>IF(calendar[[#This Row],[Month]]&lt;4,1,IF(calendar[[#This Row],[Month]]&lt;7,2,IF(calendar[[#This Row],[Month]]&lt;10,3,4)))</f>
        <v>2</v>
      </c>
      <c r="L3385">
        <f>IFERROR(IF(VLOOKUP(calendar[[#This Row],[Date]],BH!A:A,1,)&lt;&gt;"",1,0),0)</f>
        <v>0</v>
      </c>
      <c r="M3385">
        <f>IFERROR(IF(VLOOKUP(calendar[[#This Row],[Date]],BH!C:C,1,)&lt;&gt;"",1,0),0)</f>
        <v>0</v>
      </c>
      <c r="N3385">
        <f>IFERROR(IF(VLOOKUP(calendar[[#This Row],[Date]],BH!E:E,1,)&lt;&gt;"",1,0),0)</f>
        <v>0</v>
      </c>
      <c r="O3385">
        <f>IFERROR(IF(VLOOKUP(calendar[[#This Row],[Date]],BH!G:G,1,)&lt;&gt;"",1,0),0)</f>
        <v>0</v>
      </c>
      <c r="P3385">
        <f>IF(OR(calendar[[#This Row],[UK_BH]]=1,calendar[[#This Row],[WeekDay]]=1, calendar[[#This Row],[WeekDay]]=7),P3384,P3384+1)</f>
        <v>2406</v>
      </c>
      <c r="Q3385">
        <f>IF(OR(calendar[[#This Row],[FR_BH]]=1,calendar[[#This Row],[WeekDay]]=1, calendar[[#This Row],[WeekDay]]=7),P3384,P3384+1)</f>
        <v>2406</v>
      </c>
      <c r="R3385">
        <f>IF(OR(calendar[[#This Row],[SP_BH]]=1,calendar[[#This Row],[WeekDay]]=1, calendar[[#This Row],[WeekDay]]=7),P3384,P3384+1)</f>
        <v>2406</v>
      </c>
      <c r="S3385">
        <f>IF(OR(calendar[[#This Row],[PT_BH]]=1,calendar[[#This Row],[WeekDay]]=1, calendar[[#This Row],[WeekDay]]=7),P3384,P3384+1)</f>
        <v>2406</v>
      </c>
    </row>
    <row r="3386" spans="1:19" x14ac:dyDescent="0.25">
      <c r="A3386" s="2">
        <v>46120</v>
      </c>
      <c r="B3386" s="1">
        <f t="shared" si="266"/>
        <v>15</v>
      </c>
      <c r="C3386">
        <f t="shared" si="268"/>
        <v>4</v>
      </c>
      <c r="D3386" t="str">
        <f t="shared" si="269"/>
        <v>April</v>
      </c>
      <c r="E3386">
        <f t="shared" si="270"/>
        <v>2026</v>
      </c>
      <c r="F3386" t="str">
        <f>CONCATENATE(calendar[[#This Row],[Month]],"/",calendar[[#This Row],[Year]])</f>
        <v>4/2026</v>
      </c>
      <c r="G3386">
        <f>WEEKDAY(calendar[[#This Row],[Date]],1)</f>
        <v>4</v>
      </c>
      <c r="H3386" t="str">
        <f>TEXT(calendar[[#This Row],[WeekDay]],"dddd")</f>
        <v>Wednesday</v>
      </c>
      <c r="I3386">
        <f>IF((INT(calendar[[#This Row],[Count]]/7)-calendar[[#This Row],[Count]]/7)&lt;0,I3385,I3385+1)</f>
        <v>484</v>
      </c>
      <c r="J3386">
        <f t="shared" si="267"/>
        <v>3384</v>
      </c>
      <c r="K3386">
        <f>IF(calendar[[#This Row],[Month]]&lt;4,1,IF(calendar[[#This Row],[Month]]&lt;7,2,IF(calendar[[#This Row],[Month]]&lt;10,3,4)))</f>
        <v>2</v>
      </c>
      <c r="L3386">
        <f>IFERROR(IF(VLOOKUP(calendar[[#This Row],[Date]],BH!A:A,1,)&lt;&gt;"",1,0),0)</f>
        <v>0</v>
      </c>
      <c r="M3386">
        <f>IFERROR(IF(VLOOKUP(calendar[[#This Row],[Date]],BH!C:C,1,)&lt;&gt;"",1,0),0)</f>
        <v>0</v>
      </c>
      <c r="N3386">
        <f>IFERROR(IF(VLOOKUP(calendar[[#This Row],[Date]],BH!E:E,1,)&lt;&gt;"",1,0),0)</f>
        <v>0</v>
      </c>
      <c r="O3386">
        <f>IFERROR(IF(VLOOKUP(calendar[[#This Row],[Date]],BH!G:G,1,)&lt;&gt;"",1,0),0)</f>
        <v>0</v>
      </c>
      <c r="P3386">
        <f>IF(OR(calendar[[#This Row],[UK_BH]]=1,calendar[[#This Row],[WeekDay]]=1, calendar[[#This Row],[WeekDay]]=7),P3385,P3385+1)</f>
        <v>2407</v>
      </c>
      <c r="Q3386">
        <f>IF(OR(calendar[[#This Row],[FR_BH]]=1,calendar[[#This Row],[WeekDay]]=1, calendar[[#This Row],[WeekDay]]=7),P3385,P3385+1)</f>
        <v>2407</v>
      </c>
      <c r="R3386">
        <f>IF(OR(calendar[[#This Row],[SP_BH]]=1,calendar[[#This Row],[WeekDay]]=1, calendar[[#This Row],[WeekDay]]=7),P3385,P3385+1)</f>
        <v>2407</v>
      </c>
      <c r="S3386">
        <f>IF(OR(calendar[[#This Row],[PT_BH]]=1,calendar[[#This Row],[WeekDay]]=1, calendar[[#This Row],[WeekDay]]=7),P3385,P3385+1)</f>
        <v>2407</v>
      </c>
    </row>
    <row r="3387" spans="1:19" x14ac:dyDescent="0.25">
      <c r="A3387" s="2">
        <v>46121</v>
      </c>
      <c r="B3387" s="1">
        <f t="shared" si="266"/>
        <v>15</v>
      </c>
      <c r="C3387">
        <f t="shared" si="268"/>
        <v>4</v>
      </c>
      <c r="D3387" t="str">
        <f t="shared" si="269"/>
        <v>April</v>
      </c>
      <c r="E3387">
        <f t="shared" si="270"/>
        <v>2026</v>
      </c>
      <c r="F3387" t="str">
        <f>CONCATENATE(calendar[[#This Row],[Month]],"/",calendar[[#This Row],[Year]])</f>
        <v>4/2026</v>
      </c>
      <c r="G3387">
        <f>WEEKDAY(calendar[[#This Row],[Date]],1)</f>
        <v>5</v>
      </c>
      <c r="H3387" t="str">
        <f>TEXT(calendar[[#This Row],[WeekDay]],"dddd")</f>
        <v>Thursday</v>
      </c>
      <c r="I3387">
        <f>IF((INT(calendar[[#This Row],[Count]]/7)-calendar[[#This Row],[Count]]/7)&lt;0,I3386,I3386+1)</f>
        <v>484</v>
      </c>
      <c r="J3387">
        <f t="shared" si="267"/>
        <v>3385</v>
      </c>
      <c r="K3387">
        <f>IF(calendar[[#This Row],[Month]]&lt;4,1,IF(calendar[[#This Row],[Month]]&lt;7,2,IF(calendar[[#This Row],[Month]]&lt;10,3,4)))</f>
        <v>2</v>
      </c>
      <c r="L3387">
        <f>IFERROR(IF(VLOOKUP(calendar[[#This Row],[Date]],BH!A:A,1,)&lt;&gt;"",1,0),0)</f>
        <v>0</v>
      </c>
      <c r="M3387">
        <f>IFERROR(IF(VLOOKUP(calendar[[#This Row],[Date]],BH!C:C,1,)&lt;&gt;"",1,0),0)</f>
        <v>0</v>
      </c>
      <c r="N3387">
        <f>IFERROR(IF(VLOOKUP(calendar[[#This Row],[Date]],BH!E:E,1,)&lt;&gt;"",1,0),0)</f>
        <v>0</v>
      </c>
      <c r="O3387">
        <f>IFERROR(IF(VLOOKUP(calendar[[#This Row],[Date]],BH!G:G,1,)&lt;&gt;"",1,0),0)</f>
        <v>0</v>
      </c>
      <c r="P3387">
        <f>IF(OR(calendar[[#This Row],[UK_BH]]=1,calendar[[#This Row],[WeekDay]]=1, calendar[[#This Row],[WeekDay]]=7),P3386,P3386+1)</f>
        <v>2408</v>
      </c>
      <c r="Q3387">
        <f>IF(OR(calendar[[#This Row],[FR_BH]]=1,calendar[[#This Row],[WeekDay]]=1, calendar[[#This Row],[WeekDay]]=7),P3386,P3386+1)</f>
        <v>2408</v>
      </c>
      <c r="R3387">
        <f>IF(OR(calendar[[#This Row],[SP_BH]]=1,calendar[[#This Row],[WeekDay]]=1, calendar[[#This Row],[WeekDay]]=7),P3386,P3386+1)</f>
        <v>2408</v>
      </c>
      <c r="S3387">
        <f>IF(OR(calendar[[#This Row],[PT_BH]]=1,calendar[[#This Row],[WeekDay]]=1, calendar[[#This Row],[WeekDay]]=7),P3386,P3386+1)</f>
        <v>2408</v>
      </c>
    </row>
    <row r="3388" spans="1:19" x14ac:dyDescent="0.25">
      <c r="A3388" s="2">
        <v>46122</v>
      </c>
      <c r="B3388" s="1">
        <f t="shared" si="266"/>
        <v>15</v>
      </c>
      <c r="C3388">
        <f t="shared" si="268"/>
        <v>4</v>
      </c>
      <c r="D3388" t="str">
        <f t="shared" si="269"/>
        <v>April</v>
      </c>
      <c r="E3388">
        <f t="shared" si="270"/>
        <v>2026</v>
      </c>
      <c r="F3388" t="str">
        <f>CONCATENATE(calendar[[#This Row],[Month]],"/",calendar[[#This Row],[Year]])</f>
        <v>4/2026</v>
      </c>
      <c r="G3388">
        <f>WEEKDAY(calendar[[#This Row],[Date]],1)</f>
        <v>6</v>
      </c>
      <c r="H3388" t="str">
        <f>TEXT(calendar[[#This Row],[WeekDay]],"dddd")</f>
        <v>Friday</v>
      </c>
      <c r="I3388">
        <f>IF((INT(calendar[[#This Row],[Count]]/7)-calendar[[#This Row],[Count]]/7)&lt;0,I3387,I3387+1)</f>
        <v>484</v>
      </c>
      <c r="J3388">
        <f t="shared" si="267"/>
        <v>3386</v>
      </c>
      <c r="K3388">
        <f>IF(calendar[[#This Row],[Month]]&lt;4,1,IF(calendar[[#This Row],[Month]]&lt;7,2,IF(calendar[[#This Row],[Month]]&lt;10,3,4)))</f>
        <v>2</v>
      </c>
      <c r="L3388">
        <f>IFERROR(IF(VLOOKUP(calendar[[#This Row],[Date]],BH!A:A,1,)&lt;&gt;"",1,0),0)</f>
        <v>0</v>
      </c>
      <c r="M3388">
        <f>IFERROR(IF(VLOOKUP(calendar[[#This Row],[Date]],BH!C:C,1,)&lt;&gt;"",1,0),0)</f>
        <v>0</v>
      </c>
      <c r="N3388">
        <f>IFERROR(IF(VLOOKUP(calendar[[#This Row],[Date]],BH!E:E,1,)&lt;&gt;"",1,0),0)</f>
        <v>0</v>
      </c>
      <c r="O3388">
        <f>IFERROR(IF(VLOOKUP(calendar[[#This Row],[Date]],BH!G:G,1,)&lt;&gt;"",1,0),0)</f>
        <v>0</v>
      </c>
      <c r="P3388">
        <f>IF(OR(calendar[[#This Row],[UK_BH]]=1,calendar[[#This Row],[WeekDay]]=1, calendar[[#This Row],[WeekDay]]=7),P3387,P3387+1)</f>
        <v>2409</v>
      </c>
      <c r="Q3388">
        <f>IF(OR(calendar[[#This Row],[FR_BH]]=1,calendar[[#This Row],[WeekDay]]=1, calendar[[#This Row],[WeekDay]]=7),P3387,P3387+1)</f>
        <v>2409</v>
      </c>
      <c r="R3388">
        <f>IF(OR(calendar[[#This Row],[SP_BH]]=1,calendar[[#This Row],[WeekDay]]=1, calendar[[#This Row],[WeekDay]]=7),P3387,P3387+1)</f>
        <v>2409</v>
      </c>
      <c r="S3388">
        <f>IF(OR(calendar[[#This Row],[PT_BH]]=1,calendar[[#This Row],[WeekDay]]=1, calendar[[#This Row],[WeekDay]]=7),P3387,P3387+1)</f>
        <v>2409</v>
      </c>
    </row>
    <row r="3389" spans="1:19" x14ac:dyDescent="0.25">
      <c r="A3389" s="2">
        <v>46123</v>
      </c>
      <c r="B3389" s="1">
        <f t="shared" si="266"/>
        <v>15</v>
      </c>
      <c r="C3389">
        <f t="shared" si="268"/>
        <v>4</v>
      </c>
      <c r="D3389" t="str">
        <f t="shared" si="269"/>
        <v>April</v>
      </c>
      <c r="E3389">
        <f t="shared" si="270"/>
        <v>2026</v>
      </c>
      <c r="F3389" t="str">
        <f>CONCATENATE(calendar[[#This Row],[Month]],"/",calendar[[#This Row],[Year]])</f>
        <v>4/2026</v>
      </c>
      <c r="G3389">
        <f>WEEKDAY(calendar[[#This Row],[Date]],1)</f>
        <v>7</v>
      </c>
      <c r="H3389" t="str">
        <f>TEXT(calendar[[#This Row],[WeekDay]],"dddd")</f>
        <v>Saturday</v>
      </c>
      <c r="I3389">
        <f>IF((INT(calendar[[#This Row],[Count]]/7)-calendar[[#This Row],[Count]]/7)&lt;0,I3388,I3388+1)</f>
        <v>484</v>
      </c>
      <c r="J3389">
        <f t="shared" si="267"/>
        <v>3387</v>
      </c>
      <c r="K3389">
        <f>IF(calendar[[#This Row],[Month]]&lt;4,1,IF(calendar[[#This Row],[Month]]&lt;7,2,IF(calendar[[#This Row],[Month]]&lt;10,3,4)))</f>
        <v>2</v>
      </c>
      <c r="L3389">
        <f>IFERROR(IF(VLOOKUP(calendar[[#This Row],[Date]],BH!A:A,1,)&lt;&gt;"",1,0),0)</f>
        <v>0</v>
      </c>
      <c r="M3389">
        <f>IFERROR(IF(VLOOKUP(calendar[[#This Row],[Date]],BH!C:C,1,)&lt;&gt;"",1,0),0)</f>
        <v>0</v>
      </c>
      <c r="N3389">
        <f>IFERROR(IF(VLOOKUP(calendar[[#This Row],[Date]],BH!E:E,1,)&lt;&gt;"",1,0),0)</f>
        <v>0</v>
      </c>
      <c r="O3389">
        <f>IFERROR(IF(VLOOKUP(calendar[[#This Row],[Date]],BH!G:G,1,)&lt;&gt;"",1,0),0)</f>
        <v>0</v>
      </c>
      <c r="P3389">
        <f>IF(OR(calendar[[#This Row],[UK_BH]]=1,calendar[[#This Row],[WeekDay]]=1, calendar[[#This Row],[WeekDay]]=7),P3388,P3388+1)</f>
        <v>2409</v>
      </c>
      <c r="Q3389">
        <f>IF(OR(calendar[[#This Row],[FR_BH]]=1,calendar[[#This Row],[WeekDay]]=1, calendar[[#This Row],[WeekDay]]=7),P3388,P3388+1)</f>
        <v>2409</v>
      </c>
      <c r="R3389">
        <f>IF(OR(calendar[[#This Row],[SP_BH]]=1,calendar[[#This Row],[WeekDay]]=1, calendar[[#This Row],[WeekDay]]=7),P3388,P3388+1)</f>
        <v>2409</v>
      </c>
      <c r="S3389">
        <f>IF(OR(calendar[[#This Row],[PT_BH]]=1,calendar[[#This Row],[WeekDay]]=1, calendar[[#This Row],[WeekDay]]=7),P3388,P3388+1)</f>
        <v>2409</v>
      </c>
    </row>
    <row r="3390" spans="1:19" x14ac:dyDescent="0.25">
      <c r="A3390" s="2">
        <v>46124</v>
      </c>
      <c r="B3390" s="1">
        <f t="shared" si="266"/>
        <v>16</v>
      </c>
      <c r="C3390">
        <f t="shared" si="268"/>
        <v>4</v>
      </c>
      <c r="D3390" t="str">
        <f t="shared" si="269"/>
        <v>April</v>
      </c>
      <c r="E3390">
        <f t="shared" si="270"/>
        <v>2026</v>
      </c>
      <c r="F3390" t="str">
        <f>CONCATENATE(calendar[[#This Row],[Month]],"/",calendar[[#This Row],[Year]])</f>
        <v>4/2026</v>
      </c>
      <c r="G3390">
        <f>WEEKDAY(calendar[[#This Row],[Date]],1)</f>
        <v>1</v>
      </c>
      <c r="H3390" t="str">
        <f>TEXT(calendar[[#This Row],[WeekDay]],"dddd")</f>
        <v>Sunday</v>
      </c>
      <c r="I3390">
        <f>IF((INT(calendar[[#This Row],[Count]]/7)-calendar[[#This Row],[Count]]/7)&lt;0,I3389,I3389+1)</f>
        <v>485</v>
      </c>
      <c r="J3390">
        <f t="shared" si="267"/>
        <v>3388</v>
      </c>
      <c r="K3390">
        <f>IF(calendar[[#This Row],[Month]]&lt;4,1,IF(calendar[[#This Row],[Month]]&lt;7,2,IF(calendar[[#This Row],[Month]]&lt;10,3,4)))</f>
        <v>2</v>
      </c>
      <c r="L3390">
        <f>IFERROR(IF(VLOOKUP(calendar[[#This Row],[Date]],BH!A:A,1,)&lt;&gt;"",1,0),0)</f>
        <v>0</v>
      </c>
      <c r="M3390">
        <f>IFERROR(IF(VLOOKUP(calendar[[#This Row],[Date]],BH!C:C,1,)&lt;&gt;"",1,0),0)</f>
        <v>0</v>
      </c>
      <c r="N3390">
        <f>IFERROR(IF(VLOOKUP(calendar[[#This Row],[Date]],BH!E:E,1,)&lt;&gt;"",1,0),0)</f>
        <v>0</v>
      </c>
      <c r="O3390">
        <f>IFERROR(IF(VLOOKUP(calendar[[#This Row],[Date]],BH!G:G,1,)&lt;&gt;"",1,0),0)</f>
        <v>0</v>
      </c>
      <c r="P3390">
        <f>IF(OR(calendar[[#This Row],[UK_BH]]=1,calendar[[#This Row],[WeekDay]]=1, calendar[[#This Row],[WeekDay]]=7),P3389,P3389+1)</f>
        <v>2409</v>
      </c>
      <c r="Q3390">
        <f>IF(OR(calendar[[#This Row],[FR_BH]]=1,calendar[[#This Row],[WeekDay]]=1, calendar[[#This Row],[WeekDay]]=7),P3389,P3389+1)</f>
        <v>2409</v>
      </c>
      <c r="R3390">
        <f>IF(OR(calendar[[#This Row],[SP_BH]]=1,calendar[[#This Row],[WeekDay]]=1, calendar[[#This Row],[WeekDay]]=7),P3389,P3389+1)</f>
        <v>2409</v>
      </c>
      <c r="S3390">
        <f>IF(OR(calendar[[#This Row],[PT_BH]]=1,calendar[[#This Row],[WeekDay]]=1, calendar[[#This Row],[WeekDay]]=7),P3389,P3389+1)</f>
        <v>2409</v>
      </c>
    </row>
    <row r="3391" spans="1:19" x14ac:dyDescent="0.25">
      <c r="A3391" s="2">
        <v>46125</v>
      </c>
      <c r="B3391" s="1">
        <f t="shared" si="266"/>
        <v>16</v>
      </c>
      <c r="C3391">
        <f t="shared" si="268"/>
        <v>4</v>
      </c>
      <c r="D3391" t="str">
        <f t="shared" si="269"/>
        <v>April</v>
      </c>
      <c r="E3391">
        <f t="shared" si="270"/>
        <v>2026</v>
      </c>
      <c r="F3391" t="str">
        <f>CONCATENATE(calendar[[#This Row],[Month]],"/",calendar[[#This Row],[Year]])</f>
        <v>4/2026</v>
      </c>
      <c r="G3391">
        <f>WEEKDAY(calendar[[#This Row],[Date]],1)</f>
        <v>2</v>
      </c>
      <c r="H3391" t="str">
        <f>TEXT(calendar[[#This Row],[WeekDay]],"dddd")</f>
        <v>Monday</v>
      </c>
      <c r="I3391">
        <f>IF((INT(calendar[[#This Row],[Count]]/7)-calendar[[#This Row],[Count]]/7)&lt;0,I3390,I3390+1)</f>
        <v>485</v>
      </c>
      <c r="J3391">
        <f t="shared" si="267"/>
        <v>3389</v>
      </c>
      <c r="K3391">
        <f>IF(calendar[[#This Row],[Month]]&lt;4,1,IF(calendar[[#This Row],[Month]]&lt;7,2,IF(calendar[[#This Row],[Month]]&lt;10,3,4)))</f>
        <v>2</v>
      </c>
      <c r="L3391">
        <f>IFERROR(IF(VLOOKUP(calendar[[#This Row],[Date]],BH!A:A,1,)&lt;&gt;"",1,0),0)</f>
        <v>0</v>
      </c>
      <c r="M3391">
        <f>IFERROR(IF(VLOOKUP(calendar[[#This Row],[Date]],BH!C:C,1,)&lt;&gt;"",1,0),0)</f>
        <v>0</v>
      </c>
      <c r="N3391">
        <f>IFERROR(IF(VLOOKUP(calendar[[#This Row],[Date]],BH!E:E,1,)&lt;&gt;"",1,0),0)</f>
        <v>0</v>
      </c>
      <c r="O3391">
        <f>IFERROR(IF(VLOOKUP(calendar[[#This Row],[Date]],BH!G:G,1,)&lt;&gt;"",1,0),0)</f>
        <v>0</v>
      </c>
      <c r="P3391">
        <f>IF(OR(calendar[[#This Row],[UK_BH]]=1,calendar[[#This Row],[WeekDay]]=1, calendar[[#This Row],[WeekDay]]=7),P3390,P3390+1)</f>
        <v>2410</v>
      </c>
      <c r="Q3391">
        <f>IF(OR(calendar[[#This Row],[FR_BH]]=1,calendar[[#This Row],[WeekDay]]=1, calendar[[#This Row],[WeekDay]]=7),P3390,P3390+1)</f>
        <v>2410</v>
      </c>
      <c r="R3391">
        <f>IF(OR(calendar[[#This Row],[SP_BH]]=1,calendar[[#This Row],[WeekDay]]=1, calendar[[#This Row],[WeekDay]]=7),P3390,P3390+1)</f>
        <v>2410</v>
      </c>
      <c r="S3391">
        <f>IF(OR(calendar[[#This Row],[PT_BH]]=1,calendar[[#This Row],[WeekDay]]=1, calendar[[#This Row],[WeekDay]]=7),P3390,P3390+1)</f>
        <v>2410</v>
      </c>
    </row>
    <row r="3392" spans="1:19" x14ac:dyDescent="0.25">
      <c r="A3392" s="2">
        <v>46126</v>
      </c>
      <c r="B3392" s="1">
        <f t="shared" si="266"/>
        <v>16</v>
      </c>
      <c r="C3392">
        <f t="shared" si="268"/>
        <v>4</v>
      </c>
      <c r="D3392" t="str">
        <f t="shared" si="269"/>
        <v>April</v>
      </c>
      <c r="E3392">
        <f t="shared" si="270"/>
        <v>2026</v>
      </c>
      <c r="F3392" t="str">
        <f>CONCATENATE(calendar[[#This Row],[Month]],"/",calendar[[#This Row],[Year]])</f>
        <v>4/2026</v>
      </c>
      <c r="G3392">
        <f>WEEKDAY(calendar[[#This Row],[Date]],1)</f>
        <v>3</v>
      </c>
      <c r="H3392" t="str">
        <f>TEXT(calendar[[#This Row],[WeekDay]],"dddd")</f>
        <v>Tuesday</v>
      </c>
      <c r="I3392">
        <f>IF((INT(calendar[[#This Row],[Count]]/7)-calendar[[#This Row],[Count]]/7)&lt;0,I3391,I3391+1)</f>
        <v>485</v>
      </c>
      <c r="J3392">
        <f t="shared" si="267"/>
        <v>3390</v>
      </c>
      <c r="K3392">
        <f>IF(calendar[[#This Row],[Month]]&lt;4,1,IF(calendar[[#This Row],[Month]]&lt;7,2,IF(calendar[[#This Row],[Month]]&lt;10,3,4)))</f>
        <v>2</v>
      </c>
      <c r="L3392">
        <f>IFERROR(IF(VLOOKUP(calendar[[#This Row],[Date]],BH!A:A,1,)&lt;&gt;"",1,0),0)</f>
        <v>0</v>
      </c>
      <c r="M3392">
        <f>IFERROR(IF(VLOOKUP(calendar[[#This Row],[Date]],BH!C:C,1,)&lt;&gt;"",1,0),0)</f>
        <v>0</v>
      </c>
      <c r="N3392">
        <f>IFERROR(IF(VLOOKUP(calendar[[#This Row],[Date]],BH!E:E,1,)&lt;&gt;"",1,0),0)</f>
        <v>0</v>
      </c>
      <c r="O3392">
        <f>IFERROR(IF(VLOOKUP(calendar[[#This Row],[Date]],BH!G:G,1,)&lt;&gt;"",1,0),0)</f>
        <v>0</v>
      </c>
      <c r="P3392">
        <f>IF(OR(calendar[[#This Row],[UK_BH]]=1,calendar[[#This Row],[WeekDay]]=1, calendar[[#This Row],[WeekDay]]=7),P3391,P3391+1)</f>
        <v>2411</v>
      </c>
      <c r="Q3392">
        <f>IF(OR(calendar[[#This Row],[FR_BH]]=1,calendar[[#This Row],[WeekDay]]=1, calendar[[#This Row],[WeekDay]]=7),P3391,P3391+1)</f>
        <v>2411</v>
      </c>
      <c r="R3392">
        <f>IF(OR(calendar[[#This Row],[SP_BH]]=1,calendar[[#This Row],[WeekDay]]=1, calendar[[#This Row],[WeekDay]]=7),P3391,P3391+1)</f>
        <v>2411</v>
      </c>
      <c r="S3392">
        <f>IF(OR(calendar[[#This Row],[PT_BH]]=1,calendar[[#This Row],[WeekDay]]=1, calendar[[#This Row],[WeekDay]]=7),P3391,P3391+1)</f>
        <v>2411</v>
      </c>
    </row>
    <row r="3393" spans="1:19" x14ac:dyDescent="0.25">
      <c r="A3393" s="2">
        <v>46127</v>
      </c>
      <c r="B3393" s="1">
        <f t="shared" si="266"/>
        <v>16</v>
      </c>
      <c r="C3393">
        <f t="shared" si="268"/>
        <v>4</v>
      </c>
      <c r="D3393" t="str">
        <f t="shared" si="269"/>
        <v>April</v>
      </c>
      <c r="E3393">
        <f t="shared" si="270"/>
        <v>2026</v>
      </c>
      <c r="F3393" t="str">
        <f>CONCATENATE(calendar[[#This Row],[Month]],"/",calendar[[#This Row],[Year]])</f>
        <v>4/2026</v>
      </c>
      <c r="G3393">
        <f>WEEKDAY(calendar[[#This Row],[Date]],1)</f>
        <v>4</v>
      </c>
      <c r="H3393" t="str">
        <f>TEXT(calendar[[#This Row],[WeekDay]],"dddd")</f>
        <v>Wednesday</v>
      </c>
      <c r="I3393">
        <f>IF((INT(calendar[[#This Row],[Count]]/7)-calendar[[#This Row],[Count]]/7)&lt;0,I3392,I3392+1)</f>
        <v>485</v>
      </c>
      <c r="J3393">
        <f t="shared" si="267"/>
        <v>3391</v>
      </c>
      <c r="K3393">
        <f>IF(calendar[[#This Row],[Month]]&lt;4,1,IF(calendar[[#This Row],[Month]]&lt;7,2,IF(calendar[[#This Row],[Month]]&lt;10,3,4)))</f>
        <v>2</v>
      </c>
      <c r="L3393">
        <f>IFERROR(IF(VLOOKUP(calendar[[#This Row],[Date]],BH!A:A,1,)&lt;&gt;"",1,0),0)</f>
        <v>0</v>
      </c>
      <c r="M3393">
        <f>IFERROR(IF(VLOOKUP(calendar[[#This Row],[Date]],BH!C:C,1,)&lt;&gt;"",1,0),0)</f>
        <v>0</v>
      </c>
      <c r="N3393">
        <f>IFERROR(IF(VLOOKUP(calendar[[#This Row],[Date]],BH!E:E,1,)&lt;&gt;"",1,0),0)</f>
        <v>0</v>
      </c>
      <c r="O3393">
        <f>IFERROR(IF(VLOOKUP(calendar[[#This Row],[Date]],BH!G:G,1,)&lt;&gt;"",1,0),0)</f>
        <v>0</v>
      </c>
      <c r="P3393">
        <f>IF(OR(calendar[[#This Row],[UK_BH]]=1,calendar[[#This Row],[WeekDay]]=1, calendar[[#This Row],[WeekDay]]=7),P3392,P3392+1)</f>
        <v>2412</v>
      </c>
      <c r="Q3393">
        <f>IF(OR(calendar[[#This Row],[FR_BH]]=1,calendar[[#This Row],[WeekDay]]=1, calendar[[#This Row],[WeekDay]]=7),P3392,P3392+1)</f>
        <v>2412</v>
      </c>
      <c r="R3393">
        <f>IF(OR(calendar[[#This Row],[SP_BH]]=1,calendar[[#This Row],[WeekDay]]=1, calendar[[#This Row],[WeekDay]]=7),P3392,P3392+1)</f>
        <v>2412</v>
      </c>
      <c r="S3393">
        <f>IF(OR(calendar[[#This Row],[PT_BH]]=1,calendar[[#This Row],[WeekDay]]=1, calendar[[#This Row],[WeekDay]]=7),P3392,P3392+1)</f>
        <v>2412</v>
      </c>
    </row>
    <row r="3394" spans="1:19" x14ac:dyDescent="0.25">
      <c r="A3394" s="2">
        <v>46128</v>
      </c>
      <c r="B3394" s="1">
        <f t="shared" ref="B3394:B3457" si="271">WEEKNUM(A3394)</f>
        <v>16</v>
      </c>
      <c r="C3394">
        <f t="shared" si="268"/>
        <v>4</v>
      </c>
      <c r="D3394" t="str">
        <f t="shared" si="269"/>
        <v>April</v>
      </c>
      <c r="E3394">
        <f t="shared" si="270"/>
        <v>2026</v>
      </c>
      <c r="F3394" t="str">
        <f>CONCATENATE(calendar[[#This Row],[Month]],"/",calendar[[#This Row],[Year]])</f>
        <v>4/2026</v>
      </c>
      <c r="G3394">
        <f>WEEKDAY(calendar[[#This Row],[Date]],1)</f>
        <v>5</v>
      </c>
      <c r="H3394" t="str">
        <f>TEXT(calendar[[#This Row],[WeekDay]],"dddd")</f>
        <v>Thursday</v>
      </c>
      <c r="I3394">
        <f>IF((INT(calendar[[#This Row],[Count]]/7)-calendar[[#This Row],[Count]]/7)&lt;0,I3393,I3393+1)</f>
        <v>485</v>
      </c>
      <c r="J3394">
        <f t="shared" si="267"/>
        <v>3392</v>
      </c>
      <c r="K3394">
        <f>IF(calendar[[#This Row],[Month]]&lt;4,1,IF(calendar[[#This Row],[Month]]&lt;7,2,IF(calendar[[#This Row],[Month]]&lt;10,3,4)))</f>
        <v>2</v>
      </c>
      <c r="L3394">
        <f>IFERROR(IF(VLOOKUP(calendar[[#This Row],[Date]],BH!A:A,1,)&lt;&gt;"",1,0),0)</f>
        <v>0</v>
      </c>
      <c r="M3394">
        <f>IFERROR(IF(VLOOKUP(calendar[[#This Row],[Date]],BH!C:C,1,)&lt;&gt;"",1,0),0)</f>
        <v>0</v>
      </c>
      <c r="N3394">
        <f>IFERROR(IF(VLOOKUP(calendar[[#This Row],[Date]],BH!E:E,1,)&lt;&gt;"",1,0),0)</f>
        <v>0</v>
      </c>
      <c r="O3394">
        <f>IFERROR(IF(VLOOKUP(calendar[[#This Row],[Date]],BH!G:G,1,)&lt;&gt;"",1,0),0)</f>
        <v>0</v>
      </c>
      <c r="P3394">
        <f>IF(OR(calendar[[#This Row],[UK_BH]]=1,calendar[[#This Row],[WeekDay]]=1, calendar[[#This Row],[WeekDay]]=7),P3393,P3393+1)</f>
        <v>2413</v>
      </c>
      <c r="Q3394">
        <f>IF(OR(calendar[[#This Row],[FR_BH]]=1,calendar[[#This Row],[WeekDay]]=1, calendar[[#This Row],[WeekDay]]=7),P3393,P3393+1)</f>
        <v>2413</v>
      </c>
      <c r="R3394">
        <f>IF(OR(calendar[[#This Row],[SP_BH]]=1,calendar[[#This Row],[WeekDay]]=1, calendar[[#This Row],[WeekDay]]=7),P3393,P3393+1)</f>
        <v>2413</v>
      </c>
      <c r="S3394">
        <f>IF(OR(calendar[[#This Row],[PT_BH]]=1,calendar[[#This Row],[WeekDay]]=1, calendar[[#This Row],[WeekDay]]=7),P3393,P3393+1)</f>
        <v>2413</v>
      </c>
    </row>
    <row r="3395" spans="1:19" x14ac:dyDescent="0.25">
      <c r="A3395" s="2">
        <v>46129</v>
      </c>
      <c r="B3395" s="1">
        <f t="shared" si="271"/>
        <v>16</v>
      </c>
      <c r="C3395">
        <f t="shared" si="268"/>
        <v>4</v>
      </c>
      <c r="D3395" t="str">
        <f t="shared" si="269"/>
        <v>April</v>
      </c>
      <c r="E3395">
        <f t="shared" si="270"/>
        <v>2026</v>
      </c>
      <c r="F3395" t="str">
        <f>CONCATENATE(calendar[[#This Row],[Month]],"/",calendar[[#This Row],[Year]])</f>
        <v>4/2026</v>
      </c>
      <c r="G3395">
        <f>WEEKDAY(calendar[[#This Row],[Date]],1)</f>
        <v>6</v>
      </c>
      <c r="H3395" t="str">
        <f>TEXT(calendar[[#This Row],[WeekDay]],"dddd")</f>
        <v>Friday</v>
      </c>
      <c r="I3395">
        <f>IF((INT(calendar[[#This Row],[Count]]/7)-calendar[[#This Row],[Count]]/7)&lt;0,I3394,I3394+1)</f>
        <v>485</v>
      </c>
      <c r="J3395">
        <f t="shared" ref="J3395:J3458" si="272">J3394+1</f>
        <v>3393</v>
      </c>
      <c r="K3395">
        <f>IF(calendar[[#This Row],[Month]]&lt;4,1,IF(calendar[[#This Row],[Month]]&lt;7,2,IF(calendar[[#This Row],[Month]]&lt;10,3,4)))</f>
        <v>2</v>
      </c>
      <c r="L3395">
        <f>IFERROR(IF(VLOOKUP(calendar[[#This Row],[Date]],BH!A:A,1,)&lt;&gt;"",1,0),0)</f>
        <v>0</v>
      </c>
      <c r="M3395">
        <f>IFERROR(IF(VLOOKUP(calendar[[#This Row],[Date]],BH!C:C,1,)&lt;&gt;"",1,0),0)</f>
        <v>0</v>
      </c>
      <c r="N3395">
        <f>IFERROR(IF(VLOOKUP(calendar[[#This Row],[Date]],BH!E:E,1,)&lt;&gt;"",1,0),0)</f>
        <v>0</v>
      </c>
      <c r="O3395">
        <f>IFERROR(IF(VLOOKUP(calendar[[#This Row],[Date]],BH!G:G,1,)&lt;&gt;"",1,0),0)</f>
        <v>0</v>
      </c>
      <c r="P3395">
        <f>IF(OR(calendar[[#This Row],[UK_BH]]=1,calendar[[#This Row],[WeekDay]]=1, calendar[[#This Row],[WeekDay]]=7),P3394,P3394+1)</f>
        <v>2414</v>
      </c>
      <c r="Q3395">
        <f>IF(OR(calendar[[#This Row],[FR_BH]]=1,calendar[[#This Row],[WeekDay]]=1, calendar[[#This Row],[WeekDay]]=7),P3394,P3394+1)</f>
        <v>2414</v>
      </c>
      <c r="R3395">
        <f>IF(OR(calendar[[#This Row],[SP_BH]]=1,calendar[[#This Row],[WeekDay]]=1, calendar[[#This Row],[WeekDay]]=7),P3394,P3394+1)</f>
        <v>2414</v>
      </c>
      <c r="S3395">
        <f>IF(OR(calendar[[#This Row],[PT_BH]]=1,calendar[[#This Row],[WeekDay]]=1, calendar[[#This Row],[WeekDay]]=7),P3394,P3394+1)</f>
        <v>2414</v>
      </c>
    </row>
    <row r="3396" spans="1:19" x14ac:dyDescent="0.25">
      <c r="A3396" s="2">
        <v>46130</v>
      </c>
      <c r="B3396" s="1">
        <f t="shared" si="271"/>
        <v>16</v>
      </c>
      <c r="C3396">
        <f t="shared" si="268"/>
        <v>4</v>
      </c>
      <c r="D3396" t="str">
        <f t="shared" si="269"/>
        <v>April</v>
      </c>
      <c r="E3396">
        <f t="shared" si="270"/>
        <v>2026</v>
      </c>
      <c r="F3396" t="str">
        <f>CONCATENATE(calendar[[#This Row],[Month]],"/",calendar[[#This Row],[Year]])</f>
        <v>4/2026</v>
      </c>
      <c r="G3396">
        <f>WEEKDAY(calendar[[#This Row],[Date]],1)</f>
        <v>7</v>
      </c>
      <c r="H3396" t="str">
        <f>TEXT(calendar[[#This Row],[WeekDay]],"dddd")</f>
        <v>Saturday</v>
      </c>
      <c r="I3396">
        <f>IF((INT(calendar[[#This Row],[Count]]/7)-calendar[[#This Row],[Count]]/7)&lt;0,I3395,I3395+1)</f>
        <v>485</v>
      </c>
      <c r="J3396">
        <f t="shared" si="272"/>
        <v>3394</v>
      </c>
      <c r="K3396">
        <f>IF(calendar[[#This Row],[Month]]&lt;4,1,IF(calendar[[#This Row],[Month]]&lt;7,2,IF(calendar[[#This Row],[Month]]&lt;10,3,4)))</f>
        <v>2</v>
      </c>
      <c r="L3396">
        <f>IFERROR(IF(VLOOKUP(calendar[[#This Row],[Date]],BH!A:A,1,)&lt;&gt;"",1,0),0)</f>
        <v>0</v>
      </c>
      <c r="M3396">
        <f>IFERROR(IF(VLOOKUP(calendar[[#This Row],[Date]],BH!C:C,1,)&lt;&gt;"",1,0),0)</f>
        <v>0</v>
      </c>
      <c r="N3396">
        <f>IFERROR(IF(VLOOKUP(calendar[[#This Row],[Date]],BH!E:E,1,)&lt;&gt;"",1,0),0)</f>
        <v>0</v>
      </c>
      <c r="O3396">
        <f>IFERROR(IF(VLOOKUP(calendar[[#This Row],[Date]],BH!G:G,1,)&lt;&gt;"",1,0),0)</f>
        <v>0</v>
      </c>
      <c r="P3396">
        <f>IF(OR(calendar[[#This Row],[UK_BH]]=1,calendar[[#This Row],[WeekDay]]=1, calendar[[#This Row],[WeekDay]]=7),P3395,P3395+1)</f>
        <v>2414</v>
      </c>
      <c r="Q3396">
        <f>IF(OR(calendar[[#This Row],[FR_BH]]=1,calendar[[#This Row],[WeekDay]]=1, calendar[[#This Row],[WeekDay]]=7),P3395,P3395+1)</f>
        <v>2414</v>
      </c>
      <c r="R3396">
        <f>IF(OR(calendar[[#This Row],[SP_BH]]=1,calendar[[#This Row],[WeekDay]]=1, calendar[[#This Row],[WeekDay]]=7),P3395,P3395+1)</f>
        <v>2414</v>
      </c>
      <c r="S3396">
        <f>IF(OR(calendar[[#This Row],[PT_BH]]=1,calendar[[#This Row],[WeekDay]]=1, calendar[[#This Row],[WeekDay]]=7),P3395,P3395+1)</f>
        <v>2414</v>
      </c>
    </row>
    <row r="3397" spans="1:19" x14ac:dyDescent="0.25">
      <c r="A3397" s="2">
        <v>46131</v>
      </c>
      <c r="B3397" s="1">
        <f t="shared" si="271"/>
        <v>17</v>
      </c>
      <c r="C3397">
        <f t="shared" si="268"/>
        <v>4</v>
      </c>
      <c r="D3397" t="str">
        <f t="shared" si="269"/>
        <v>April</v>
      </c>
      <c r="E3397">
        <f t="shared" si="270"/>
        <v>2026</v>
      </c>
      <c r="F3397" t="str">
        <f>CONCATENATE(calendar[[#This Row],[Month]],"/",calendar[[#This Row],[Year]])</f>
        <v>4/2026</v>
      </c>
      <c r="G3397">
        <f>WEEKDAY(calendar[[#This Row],[Date]],1)</f>
        <v>1</v>
      </c>
      <c r="H3397" t="str">
        <f>TEXT(calendar[[#This Row],[WeekDay]],"dddd")</f>
        <v>Sunday</v>
      </c>
      <c r="I3397">
        <f>IF((INT(calendar[[#This Row],[Count]]/7)-calendar[[#This Row],[Count]]/7)&lt;0,I3396,I3396+1)</f>
        <v>486</v>
      </c>
      <c r="J3397">
        <f t="shared" si="272"/>
        <v>3395</v>
      </c>
      <c r="K3397">
        <f>IF(calendar[[#This Row],[Month]]&lt;4,1,IF(calendar[[#This Row],[Month]]&lt;7,2,IF(calendar[[#This Row],[Month]]&lt;10,3,4)))</f>
        <v>2</v>
      </c>
      <c r="L3397">
        <f>IFERROR(IF(VLOOKUP(calendar[[#This Row],[Date]],BH!A:A,1,)&lt;&gt;"",1,0),0)</f>
        <v>0</v>
      </c>
      <c r="M3397">
        <f>IFERROR(IF(VLOOKUP(calendar[[#This Row],[Date]],BH!C:C,1,)&lt;&gt;"",1,0),0)</f>
        <v>0</v>
      </c>
      <c r="N3397">
        <f>IFERROR(IF(VLOOKUP(calendar[[#This Row],[Date]],BH!E:E,1,)&lt;&gt;"",1,0),0)</f>
        <v>0</v>
      </c>
      <c r="O3397">
        <f>IFERROR(IF(VLOOKUP(calendar[[#This Row],[Date]],BH!G:G,1,)&lt;&gt;"",1,0),0)</f>
        <v>0</v>
      </c>
      <c r="P3397">
        <f>IF(OR(calendar[[#This Row],[UK_BH]]=1,calendar[[#This Row],[WeekDay]]=1, calendar[[#This Row],[WeekDay]]=7),P3396,P3396+1)</f>
        <v>2414</v>
      </c>
      <c r="Q3397">
        <f>IF(OR(calendar[[#This Row],[FR_BH]]=1,calendar[[#This Row],[WeekDay]]=1, calendar[[#This Row],[WeekDay]]=7),P3396,P3396+1)</f>
        <v>2414</v>
      </c>
      <c r="R3397">
        <f>IF(OR(calendar[[#This Row],[SP_BH]]=1,calendar[[#This Row],[WeekDay]]=1, calendar[[#This Row],[WeekDay]]=7),P3396,P3396+1)</f>
        <v>2414</v>
      </c>
      <c r="S3397">
        <f>IF(OR(calendar[[#This Row],[PT_BH]]=1,calendar[[#This Row],[WeekDay]]=1, calendar[[#This Row],[WeekDay]]=7),P3396,P3396+1)</f>
        <v>2414</v>
      </c>
    </row>
    <row r="3398" spans="1:19" x14ac:dyDescent="0.25">
      <c r="A3398" s="2">
        <v>46132</v>
      </c>
      <c r="B3398" s="1">
        <f t="shared" si="271"/>
        <v>17</v>
      </c>
      <c r="C3398">
        <f t="shared" si="268"/>
        <v>4</v>
      </c>
      <c r="D3398" t="str">
        <f t="shared" si="269"/>
        <v>April</v>
      </c>
      <c r="E3398">
        <f t="shared" si="270"/>
        <v>2026</v>
      </c>
      <c r="F3398" t="str">
        <f>CONCATENATE(calendar[[#This Row],[Month]],"/",calendar[[#This Row],[Year]])</f>
        <v>4/2026</v>
      </c>
      <c r="G3398">
        <f>WEEKDAY(calendar[[#This Row],[Date]],1)</f>
        <v>2</v>
      </c>
      <c r="H3398" t="str">
        <f>TEXT(calendar[[#This Row],[WeekDay]],"dddd")</f>
        <v>Monday</v>
      </c>
      <c r="I3398">
        <f>IF((INT(calendar[[#This Row],[Count]]/7)-calendar[[#This Row],[Count]]/7)&lt;0,I3397,I3397+1)</f>
        <v>486</v>
      </c>
      <c r="J3398">
        <f t="shared" si="272"/>
        <v>3396</v>
      </c>
      <c r="K3398">
        <f>IF(calendar[[#This Row],[Month]]&lt;4,1,IF(calendar[[#This Row],[Month]]&lt;7,2,IF(calendar[[#This Row],[Month]]&lt;10,3,4)))</f>
        <v>2</v>
      </c>
      <c r="L3398">
        <f>IFERROR(IF(VLOOKUP(calendar[[#This Row],[Date]],BH!A:A,1,)&lt;&gt;"",1,0),0)</f>
        <v>0</v>
      </c>
      <c r="M3398">
        <f>IFERROR(IF(VLOOKUP(calendar[[#This Row],[Date]],BH!C:C,1,)&lt;&gt;"",1,0),0)</f>
        <v>0</v>
      </c>
      <c r="N3398">
        <f>IFERROR(IF(VLOOKUP(calendar[[#This Row],[Date]],BH!E:E,1,)&lt;&gt;"",1,0),0)</f>
        <v>0</v>
      </c>
      <c r="O3398">
        <f>IFERROR(IF(VLOOKUP(calendar[[#This Row],[Date]],BH!G:G,1,)&lt;&gt;"",1,0),0)</f>
        <v>0</v>
      </c>
      <c r="P3398">
        <f>IF(OR(calendar[[#This Row],[UK_BH]]=1,calendar[[#This Row],[WeekDay]]=1, calendar[[#This Row],[WeekDay]]=7),P3397,P3397+1)</f>
        <v>2415</v>
      </c>
      <c r="Q3398">
        <f>IF(OR(calendar[[#This Row],[FR_BH]]=1,calendar[[#This Row],[WeekDay]]=1, calendar[[#This Row],[WeekDay]]=7),P3397,P3397+1)</f>
        <v>2415</v>
      </c>
      <c r="R3398">
        <f>IF(OR(calendar[[#This Row],[SP_BH]]=1,calendar[[#This Row],[WeekDay]]=1, calendar[[#This Row],[WeekDay]]=7),P3397,P3397+1)</f>
        <v>2415</v>
      </c>
      <c r="S3398">
        <f>IF(OR(calendar[[#This Row],[PT_BH]]=1,calendar[[#This Row],[WeekDay]]=1, calendar[[#This Row],[WeekDay]]=7),P3397,P3397+1)</f>
        <v>2415</v>
      </c>
    </row>
    <row r="3399" spans="1:19" x14ac:dyDescent="0.25">
      <c r="A3399" s="2">
        <v>46133</v>
      </c>
      <c r="B3399" s="1">
        <f t="shared" si="271"/>
        <v>17</v>
      </c>
      <c r="C3399">
        <f t="shared" si="268"/>
        <v>4</v>
      </c>
      <c r="D3399" t="str">
        <f t="shared" si="269"/>
        <v>April</v>
      </c>
      <c r="E3399">
        <f t="shared" si="270"/>
        <v>2026</v>
      </c>
      <c r="F3399" t="str">
        <f>CONCATENATE(calendar[[#This Row],[Month]],"/",calendar[[#This Row],[Year]])</f>
        <v>4/2026</v>
      </c>
      <c r="G3399">
        <f>WEEKDAY(calendar[[#This Row],[Date]],1)</f>
        <v>3</v>
      </c>
      <c r="H3399" t="str">
        <f>TEXT(calendar[[#This Row],[WeekDay]],"dddd")</f>
        <v>Tuesday</v>
      </c>
      <c r="I3399">
        <f>IF((INT(calendar[[#This Row],[Count]]/7)-calendar[[#This Row],[Count]]/7)&lt;0,I3398,I3398+1)</f>
        <v>486</v>
      </c>
      <c r="J3399">
        <f t="shared" si="272"/>
        <v>3397</v>
      </c>
      <c r="K3399">
        <f>IF(calendar[[#This Row],[Month]]&lt;4,1,IF(calendar[[#This Row],[Month]]&lt;7,2,IF(calendar[[#This Row],[Month]]&lt;10,3,4)))</f>
        <v>2</v>
      </c>
      <c r="L3399">
        <f>IFERROR(IF(VLOOKUP(calendar[[#This Row],[Date]],BH!A:A,1,)&lt;&gt;"",1,0),0)</f>
        <v>0</v>
      </c>
      <c r="M3399">
        <f>IFERROR(IF(VLOOKUP(calendar[[#This Row],[Date]],BH!C:C,1,)&lt;&gt;"",1,0),0)</f>
        <v>0</v>
      </c>
      <c r="N3399">
        <f>IFERROR(IF(VLOOKUP(calendar[[#This Row],[Date]],BH!E:E,1,)&lt;&gt;"",1,0),0)</f>
        <v>0</v>
      </c>
      <c r="O3399">
        <f>IFERROR(IF(VLOOKUP(calendar[[#This Row],[Date]],BH!G:G,1,)&lt;&gt;"",1,0),0)</f>
        <v>0</v>
      </c>
      <c r="P3399">
        <f>IF(OR(calendar[[#This Row],[UK_BH]]=1,calendar[[#This Row],[WeekDay]]=1, calendar[[#This Row],[WeekDay]]=7),P3398,P3398+1)</f>
        <v>2416</v>
      </c>
      <c r="Q3399">
        <f>IF(OR(calendar[[#This Row],[FR_BH]]=1,calendar[[#This Row],[WeekDay]]=1, calendar[[#This Row],[WeekDay]]=7),P3398,P3398+1)</f>
        <v>2416</v>
      </c>
      <c r="R3399">
        <f>IF(OR(calendar[[#This Row],[SP_BH]]=1,calendar[[#This Row],[WeekDay]]=1, calendar[[#This Row],[WeekDay]]=7),P3398,P3398+1)</f>
        <v>2416</v>
      </c>
      <c r="S3399">
        <f>IF(OR(calendar[[#This Row],[PT_BH]]=1,calendar[[#This Row],[WeekDay]]=1, calendar[[#This Row],[WeekDay]]=7),P3398,P3398+1)</f>
        <v>2416</v>
      </c>
    </row>
    <row r="3400" spans="1:19" x14ac:dyDescent="0.25">
      <c r="A3400" s="2">
        <v>46134</v>
      </c>
      <c r="B3400" s="1">
        <f t="shared" si="271"/>
        <v>17</v>
      </c>
      <c r="C3400">
        <f t="shared" si="268"/>
        <v>4</v>
      </c>
      <c r="D3400" t="str">
        <f t="shared" si="269"/>
        <v>April</v>
      </c>
      <c r="E3400">
        <f t="shared" si="270"/>
        <v>2026</v>
      </c>
      <c r="F3400" t="str">
        <f>CONCATENATE(calendar[[#This Row],[Month]],"/",calendar[[#This Row],[Year]])</f>
        <v>4/2026</v>
      </c>
      <c r="G3400">
        <f>WEEKDAY(calendar[[#This Row],[Date]],1)</f>
        <v>4</v>
      </c>
      <c r="H3400" t="str">
        <f>TEXT(calendar[[#This Row],[WeekDay]],"dddd")</f>
        <v>Wednesday</v>
      </c>
      <c r="I3400">
        <f>IF((INT(calendar[[#This Row],[Count]]/7)-calendar[[#This Row],[Count]]/7)&lt;0,I3399,I3399+1)</f>
        <v>486</v>
      </c>
      <c r="J3400">
        <f t="shared" si="272"/>
        <v>3398</v>
      </c>
      <c r="K3400">
        <f>IF(calendar[[#This Row],[Month]]&lt;4,1,IF(calendar[[#This Row],[Month]]&lt;7,2,IF(calendar[[#This Row],[Month]]&lt;10,3,4)))</f>
        <v>2</v>
      </c>
      <c r="L3400">
        <f>IFERROR(IF(VLOOKUP(calendar[[#This Row],[Date]],BH!A:A,1,)&lt;&gt;"",1,0),0)</f>
        <v>0</v>
      </c>
      <c r="M3400">
        <f>IFERROR(IF(VLOOKUP(calendar[[#This Row],[Date]],BH!C:C,1,)&lt;&gt;"",1,0),0)</f>
        <v>0</v>
      </c>
      <c r="N3400">
        <f>IFERROR(IF(VLOOKUP(calendar[[#This Row],[Date]],BH!E:E,1,)&lt;&gt;"",1,0),0)</f>
        <v>0</v>
      </c>
      <c r="O3400">
        <f>IFERROR(IF(VLOOKUP(calendar[[#This Row],[Date]],BH!G:G,1,)&lt;&gt;"",1,0),0)</f>
        <v>0</v>
      </c>
      <c r="P3400">
        <f>IF(OR(calendar[[#This Row],[UK_BH]]=1,calendar[[#This Row],[WeekDay]]=1, calendar[[#This Row],[WeekDay]]=7),P3399,P3399+1)</f>
        <v>2417</v>
      </c>
      <c r="Q3400">
        <f>IF(OR(calendar[[#This Row],[FR_BH]]=1,calendar[[#This Row],[WeekDay]]=1, calendar[[#This Row],[WeekDay]]=7),P3399,P3399+1)</f>
        <v>2417</v>
      </c>
      <c r="R3400">
        <f>IF(OR(calendar[[#This Row],[SP_BH]]=1,calendar[[#This Row],[WeekDay]]=1, calendar[[#This Row],[WeekDay]]=7),P3399,P3399+1)</f>
        <v>2417</v>
      </c>
      <c r="S3400">
        <f>IF(OR(calendar[[#This Row],[PT_BH]]=1,calendar[[#This Row],[WeekDay]]=1, calendar[[#This Row],[WeekDay]]=7),P3399,P3399+1)</f>
        <v>2417</v>
      </c>
    </row>
    <row r="3401" spans="1:19" x14ac:dyDescent="0.25">
      <c r="A3401" s="2">
        <v>46135</v>
      </c>
      <c r="B3401" s="1">
        <f t="shared" si="271"/>
        <v>17</v>
      </c>
      <c r="C3401">
        <f t="shared" si="268"/>
        <v>4</v>
      </c>
      <c r="D3401" t="str">
        <f t="shared" si="269"/>
        <v>April</v>
      </c>
      <c r="E3401">
        <f t="shared" si="270"/>
        <v>2026</v>
      </c>
      <c r="F3401" t="str">
        <f>CONCATENATE(calendar[[#This Row],[Month]],"/",calendar[[#This Row],[Year]])</f>
        <v>4/2026</v>
      </c>
      <c r="G3401">
        <f>WEEKDAY(calendar[[#This Row],[Date]],1)</f>
        <v>5</v>
      </c>
      <c r="H3401" t="str">
        <f>TEXT(calendar[[#This Row],[WeekDay]],"dddd")</f>
        <v>Thursday</v>
      </c>
      <c r="I3401">
        <f>IF((INT(calendar[[#This Row],[Count]]/7)-calendar[[#This Row],[Count]]/7)&lt;0,I3400,I3400+1)</f>
        <v>486</v>
      </c>
      <c r="J3401">
        <f t="shared" si="272"/>
        <v>3399</v>
      </c>
      <c r="K3401">
        <f>IF(calendar[[#This Row],[Month]]&lt;4,1,IF(calendar[[#This Row],[Month]]&lt;7,2,IF(calendar[[#This Row],[Month]]&lt;10,3,4)))</f>
        <v>2</v>
      </c>
      <c r="L3401">
        <f>IFERROR(IF(VLOOKUP(calendar[[#This Row],[Date]],BH!A:A,1,)&lt;&gt;"",1,0),0)</f>
        <v>0</v>
      </c>
      <c r="M3401">
        <f>IFERROR(IF(VLOOKUP(calendar[[#This Row],[Date]],BH!C:C,1,)&lt;&gt;"",1,0),0)</f>
        <v>0</v>
      </c>
      <c r="N3401">
        <f>IFERROR(IF(VLOOKUP(calendar[[#This Row],[Date]],BH!E:E,1,)&lt;&gt;"",1,0),0)</f>
        <v>0</v>
      </c>
      <c r="O3401">
        <f>IFERROR(IF(VLOOKUP(calendar[[#This Row],[Date]],BH!G:G,1,)&lt;&gt;"",1,0),0)</f>
        <v>0</v>
      </c>
      <c r="P3401">
        <f>IF(OR(calendar[[#This Row],[UK_BH]]=1,calendar[[#This Row],[WeekDay]]=1, calendar[[#This Row],[WeekDay]]=7),P3400,P3400+1)</f>
        <v>2418</v>
      </c>
      <c r="Q3401">
        <f>IF(OR(calendar[[#This Row],[FR_BH]]=1,calendar[[#This Row],[WeekDay]]=1, calendar[[#This Row],[WeekDay]]=7),P3400,P3400+1)</f>
        <v>2418</v>
      </c>
      <c r="R3401">
        <f>IF(OR(calendar[[#This Row],[SP_BH]]=1,calendar[[#This Row],[WeekDay]]=1, calendar[[#This Row],[WeekDay]]=7),P3400,P3400+1)</f>
        <v>2418</v>
      </c>
      <c r="S3401">
        <f>IF(OR(calendar[[#This Row],[PT_BH]]=1,calendar[[#This Row],[WeekDay]]=1, calendar[[#This Row],[WeekDay]]=7),P3400,P3400+1)</f>
        <v>2418</v>
      </c>
    </row>
    <row r="3402" spans="1:19" x14ac:dyDescent="0.25">
      <c r="A3402" s="2">
        <v>46136</v>
      </c>
      <c r="B3402" s="1">
        <f t="shared" si="271"/>
        <v>17</v>
      </c>
      <c r="C3402">
        <f t="shared" si="268"/>
        <v>4</v>
      </c>
      <c r="D3402" t="str">
        <f t="shared" si="269"/>
        <v>April</v>
      </c>
      <c r="E3402">
        <f t="shared" si="270"/>
        <v>2026</v>
      </c>
      <c r="F3402" t="str">
        <f>CONCATENATE(calendar[[#This Row],[Month]],"/",calendar[[#This Row],[Year]])</f>
        <v>4/2026</v>
      </c>
      <c r="G3402">
        <f>WEEKDAY(calendar[[#This Row],[Date]],1)</f>
        <v>6</v>
      </c>
      <c r="H3402" t="str">
        <f>TEXT(calendar[[#This Row],[WeekDay]],"dddd")</f>
        <v>Friday</v>
      </c>
      <c r="I3402">
        <f>IF((INT(calendar[[#This Row],[Count]]/7)-calendar[[#This Row],[Count]]/7)&lt;0,I3401,I3401+1)</f>
        <v>486</v>
      </c>
      <c r="J3402">
        <f t="shared" si="272"/>
        <v>3400</v>
      </c>
      <c r="K3402">
        <f>IF(calendar[[#This Row],[Month]]&lt;4,1,IF(calendar[[#This Row],[Month]]&lt;7,2,IF(calendar[[#This Row],[Month]]&lt;10,3,4)))</f>
        <v>2</v>
      </c>
      <c r="L3402">
        <f>IFERROR(IF(VLOOKUP(calendar[[#This Row],[Date]],BH!A:A,1,)&lt;&gt;"",1,0),0)</f>
        <v>0</v>
      </c>
      <c r="M3402">
        <f>IFERROR(IF(VLOOKUP(calendar[[#This Row],[Date]],BH!C:C,1,)&lt;&gt;"",1,0),0)</f>
        <v>0</v>
      </c>
      <c r="N3402">
        <f>IFERROR(IF(VLOOKUP(calendar[[#This Row],[Date]],BH!E:E,1,)&lt;&gt;"",1,0),0)</f>
        <v>0</v>
      </c>
      <c r="O3402">
        <f>IFERROR(IF(VLOOKUP(calendar[[#This Row],[Date]],BH!G:G,1,)&lt;&gt;"",1,0),0)</f>
        <v>0</v>
      </c>
      <c r="P3402">
        <f>IF(OR(calendar[[#This Row],[UK_BH]]=1,calendar[[#This Row],[WeekDay]]=1, calendar[[#This Row],[WeekDay]]=7),P3401,P3401+1)</f>
        <v>2419</v>
      </c>
      <c r="Q3402">
        <f>IF(OR(calendar[[#This Row],[FR_BH]]=1,calendar[[#This Row],[WeekDay]]=1, calendar[[#This Row],[WeekDay]]=7),P3401,P3401+1)</f>
        <v>2419</v>
      </c>
      <c r="R3402">
        <f>IF(OR(calendar[[#This Row],[SP_BH]]=1,calendar[[#This Row],[WeekDay]]=1, calendar[[#This Row],[WeekDay]]=7),P3401,P3401+1)</f>
        <v>2419</v>
      </c>
      <c r="S3402">
        <f>IF(OR(calendar[[#This Row],[PT_BH]]=1,calendar[[#This Row],[WeekDay]]=1, calendar[[#This Row],[WeekDay]]=7),P3401,P3401+1)</f>
        <v>2419</v>
      </c>
    </row>
    <row r="3403" spans="1:19" x14ac:dyDescent="0.25">
      <c r="A3403" s="2">
        <v>46137</v>
      </c>
      <c r="B3403" s="1">
        <f t="shared" si="271"/>
        <v>17</v>
      </c>
      <c r="C3403">
        <f t="shared" si="268"/>
        <v>4</v>
      </c>
      <c r="D3403" t="str">
        <f t="shared" si="269"/>
        <v>April</v>
      </c>
      <c r="E3403">
        <f t="shared" si="270"/>
        <v>2026</v>
      </c>
      <c r="F3403" t="str">
        <f>CONCATENATE(calendar[[#This Row],[Month]],"/",calendar[[#This Row],[Year]])</f>
        <v>4/2026</v>
      </c>
      <c r="G3403">
        <f>WEEKDAY(calendar[[#This Row],[Date]],1)</f>
        <v>7</v>
      </c>
      <c r="H3403" t="str">
        <f>TEXT(calendar[[#This Row],[WeekDay]],"dddd")</f>
        <v>Saturday</v>
      </c>
      <c r="I3403">
        <f>IF((INT(calendar[[#This Row],[Count]]/7)-calendar[[#This Row],[Count]]/7)&lt;0,I3402,I3402+1)</f>
        <v>486</v>
      </c>
      <c r="J3403">
        <f t="shared" si="272"/>
        <v>3401</v>
      </c>
      <c r="K3403">
        <f>IF(calendar[[#This Row],[Month]]&lt;4,1,IF(calendar[[#This Row],[Month]]&lt;7,2,IF(calendar[[#This Row],[Month]]&lt;10,3,4)))</f>
        <v>2</v>
      </c>
      <c r="L3403">
        <f>IFERROR(IF(VLOOKUP(calendar[[#This Row],[Date]],BH!A:A,1,)&lt;&gt;"",1,0),0)</f>
        <v>0</v>
      </c>
      <c r="M3403">
        <f>IFERROR(IF(VLOOKUP(calendar[[#This Row],[Date]],BH!C:C,1,)&lt;&gt;"",1,0),0)</f>
        <v>0</v>
      </c>
      <c r="N3403">
        <f>IFERROR(IF(VLOOKUP(calendar[[#This Row],[Date]],BH!E:E,1,)&lt;&gt;"",1,0),0)</f>
        <v>0</v>
      </c>
      <c r="O3403">
        <f>IFERROR(IF(VLOOKUP(calendar[[#This Row],[Date]],BH!G:G,1,)&lt;&gt;"",1,0),0)</f>
        <v>1</v>
      </c>
      <c r="P3403">
        <f>IF(OR(calendar[[#This Row],[UK_BH]]=1,calendar[[#This Row],[WeekDay]]=1, calendar[[#This Row],[WeekDay]]=7),P3402,P3402+1)</f>
        <v>2419</v>
      </c>
      <c r="Q3403">
        <f>IF(OR(calendar[[#This Row],[FR_BH]]=1,calendar[[#This Row],[WeekDay]]=1, calendar[[#This Row],[WeekDay]]=7),P3402,P3402+1)</f>
        <v>2419</v>
      </c>
      <c r="R3403">
        <f>IF(OR(calendar[[#This Row],[SP_BH]]=1,calendar[[#This Row],[WeekDay]]=1, calendar[[#This Row],[WeekDay]]=7),P3402,P3402+1)</f>
        <v>2419</v>
      </c>
      <c r="S3403">
        <f>IF(OR(calendar[[#This Row],[PT_BH]]=1,calendar[[#This Row],[WeekDay]]=1, calendar[[#This Row],[WeekDay]]=7),P3402,P3402+1)</f>
        <v>2419</v>
      </c>
    </row>
    <row r="3404" spans="1:19" x14ac:dyDescent="0.25">
      <c r="A3404" s="2">
        <v>46138</v>
      </c>
      <c r="B3404" s="1">
        <f t="shared" si="271"/>
        <v>18</v>
      </c>
      <c r="C3404">
        <f t="shared" si="268"/>
        <v>4</v>
      </c>
      <c r="D3404" t="str">
        <f t="shared" si="269"/>
        <v>April</v>
      </c>
      <c r="E3404">
        <f t="shared" si="270"/>
        <v>2026</v>
      </c>
      <c r="F3404" t="str">
        <f>CONCATENATE(calendar[[#This Row],[Month]],"/",calendar[[#This Row],[Year]])</f>
        <v>4/2026</v>
      </c>
      <c r="G3404">
        <f>WEEKDAY(calendar[[#This Row],[Date]],1)</f>
        <v>1</v>
      </c>
      <c r="H3404" t="str">
        <f>TEXT(calendar[[#This Row],[WeekDay]],"dddd")</f>
        <v>Sunday</v>
      </c>
      <c r="I3404">
        <f>IF((INT(calendar[[#This Row],[Count]]/7)-calendar[[#This Row],[Count]]/7)&lt;0,I3403,I3403+1)</f>
        <v>487</v>
      </c>
      <c r="J3404">
        <f t="shared" si="272"/>
        <v>3402</v>
      </c>
      <c r="K3404">
        <f>IF(calendar[[#This Row],[Month]]&lt;4,1,IF(calendar[[#This Row],[Month]]&lt;7,2,IF(calendar[[#This Row],[Month]]&lt;10,3,4)))</f>
        <v>2</v>
      </c>
      <c r="L3404">
        <f>IFERROR(IF(VLOOKUP(calendar[[#This Row],[Date]],BH!A:A,1,)&lt;&gt;"",1,0),0)</f>
        <v>0</v>
      </c>
      <c r="M3404">
        <f>IFERROR(IF(VLOOKUP(calendar[[#This Row],[Date]],BH!C:C,1,)&lt;&gt;"",1,0),0)</f>
        <v>0</v>
      </c>
      <c r="N3404">
        <f>IFERROR(IF(VLOOKUP(calendar[[#This Row],[Date]],BH!E:E,1,)&lt;&gt;"",1,0),0)</f>
        <v>0</v>
      </c>
      <c r="O3404">
        <f>IFERROR(IF(VLOOKUP(calendar[[#This Row],[Date]],BH!G:G,1,)&lt;&gt;"",1,0),0)</f>
        <v>0</v>
      </c>
      <c r="P3404">
        <f>IF(OR(calendar[[#This Row],[UK_BH]]=1,calendar[[#This Row],[WeekDay]]=1, calendar[[#This Row],[WeekDay]]=7),P3403,P3403+1)</f>
        <v>2419</v>
      </c>
      <c r="Q3404">
        <f>IF(OR(calendar[[#This Row],[FR_BH]]=1,calendar[[#This Row],[WeekDay]]=1, calendar[[#This Row],[WeekDay]]=7),P3403,P3403+1)</f>
        <v>2419</v>
      </c>
      <c r="R3404">
        <f>IF(OR(calendar[[#This Row],[SP_BH]]=1,calendar[[#This Row],[WeekDay]]=1, calendar[[#This Row],[WeekDay]]=7),P3403,P3403+1)</f>
        <v>2419</v>
      </c>
      <c r="S3404">
        <f>IF(OR(calendar[[#This Row],[PT_BH]]=1,calendar[[#This Row],[WeekDay]]=1, calendar[[#This Row],[WeekDay]]=7),P3403,P3403+1)</f>
        <v>2419</v>
      </c>
    </row>
    <row r="3405" spans="1:19" x14ac:dyDescent="0.25">
      <c r="A3405" s="2">
        <v>46139</v>
      </c>
      <c r="B3405" s="1">
        <f t="shared" si="271"/>
        <v>18</v>
      </c>
      <c r="C3405">
        <f t="shared" si="268"/>
        <v>4</v>
      </c>
      <c r="D3405" t="str">
        <f t="shared" si="269"/>
        <v>April</v>
      </c>
      <c r="E3405">
        <f t="shared" si="270"/>
        <v>2026</v>
      </c>
      <c r="F3405" t="str">
        <f>CONCATENATE(calendar[[#This Row],[Month]],"/",calendar[[#This Row],[Year]])</f>
        <v>4/2026</v>
      </c>
      <c r="G3405">
        <f>WEEKDAY(calendar[[#This Row],[Date]],1)</f>
        <v>2</v>
      </c>
      <c r="H3405" t="str">
        <f>TEXT(calendar[[#This Row],[WeekDay]],"dddd")</f>
        <v>Monday</v>
      </c>
      <c r="I3405">
        <f>IF((INT(calendar[[#This Row],[Count]]/7)-calendar[[#This Row],[Count]]/7)&lt;0,I3404,I3404+1)</f>
        <v>487</v>
      </c>
      <c r="J3405">
        <f t="shared" si="272"/>
        <v>3403</v>
      </c>
      <c r="K3405">
        <f>IF(calendar[[#This Row],[Month]]&lt;4,1,IF(calendar[[#This Row],[Month]]&lt;7,2,IF(calendar[[#This Row],[Month]]&lt;10,3,4)))</f>
        <v>2</v>
      </c>
      <c r="L3405">
        <f>IFERROR(IF(VLOOKUP(calendar[[#This Row],[Date]],BH!A:A,1,)&lt;&gt;"",1,0),0)</f>
        <v>0</v>
      </c>
      <c r="M3405">
        <f>IFERROR(IF(VLOOKUP(calendar[[#This Row],[Date]],BH!C:C,1,)&lt;&gt;"",1,0),0)</f>
        <v>0</v>
      </c>
      <c r="N3405">
        <f>IFERROR(IF(VLOOKUP(calendar[[#This Row],[Date]],BH!E:E,1,)&lt;&gt;"",1,0),0)</f>
        <v>0</v>
      </c>
      <c r="O3405">
        <f>IFERROR(IF(VLOOKUP(calendar[[#This Row],[Date]],BH!G:G,1,)&lt;&gt;"",1,0),0)</f>
        <v>0</v>
      </c>
      <c r="P3405">
        <f>IF(OR(calendar[[#This Row],[UK_BH]]=1,calendar[[#This Row],[WeekDay]]=1, calendar[[#This Row],[WeekDay]]=7),P3404,P3404+1)</f>
        <v>2420</v>
      </c>
      <c r="Q3405">
        <f>IF(OR(calendar[[#This Row],[FR_BH]]=1,calendar[[#This Row],[WeekDay]]=1, calendar[[#This Row],[WeekDay]]=7),P3404,P3404+1)</f>
        <v>2420</v>
      </c>
      <c r="R3405">
        <f>IF(OR(calendar[[#This Row],[SP_BH]]=1,calendar[[#This Row],[WeekDay]]=1, calendar[[#This Row],[WeekDay]]=7),P3404,P3404+1)</f>
        <v>2420</v>
      </c>
      <c r="S3405">
        <f>IF(OR(calendar[[#This Row],[PT_BH]]=1,calendar[[#This Row],[WeekDay]]=1, calendar[[#This Row],[WeekDay]]=7),P3404,P3404+1)</f>
        <v>2420</v>
      </c>
    </row>
    <row r="3406" spans="1:19" x14ac:dyDescent="0.25">
      <c r="A3406" s="2">
        <v>46140</v>
      </c>
      <c r="B3406" s="1">
        <f t="shared" si="271"/>
        <v>18</v>
      </c>
      <c r="C3406">
        <f t="shared" si="268"/>
        <v>4</v>
      </c>
      <c r="D3406" t="str">
        <f t="shared" si="269"/>
        <v>April</v>
      </c>
      <c r="E3406">
        <f t="shared" si="270"/>
        <v>2026</v>
      </c>
      <c r="F3406" t="str">
        <f>CONCATENATE(calendar[[#This Row],[Month]],"/",calendar[[#This Row],[Year]])</f>
        <v>4/2026</v>
      </c>
      <c r="G3406">
        <f>WEEKDAY(calendar[[#This Row],[Date]],1)</f>
        <v>3</v>
      </c>
      <c r="H3406" t="str">
        <f>TEXT(calendar[[#This Row],[WeekDay]],"dddd")</f>
        <v>Tuesday</v>
      </c>
      <c r="I3406">
        <f>IF((INT(calendar[[#This Row],[Count]]/7)-calendar[[#This Row],[Count]]/7)&lt;0,I3405,I3405+1)</f>
        <v>487</v>
      </c>
      <c r="J3406">
        <f t="shared" si="272"/>
        <v>3404</v>
      </c>
      <c r="K3406">
        <f>IF(calendar[[#This Row],[Month]]&lt;4,1,IF(calendar[[#This Row],[Month]]&lt;7,2,IF(calendar[[#This Row],[Month]]&lt;10,3,4)))</f>
        <v>2</v>
      </c>
      <c r="L3406">
        <f>IFERROR(IF(VLOOKUP(calendar[[#This Row],[Date]],BH!A:A,1,)&lt;&gt;"",1,0),0)</f>
        <v>0</v>
      </c>
      <c r="M3406">
        <f>IFERROR(IF(VLOOKUP(calendar[[#This Row],[Date]],BH!C:C,1,)&lt;&gt;"",1,0),0)</f>
        <v>0</v>
      </c>
      <c r="N3406">
        <f>IFERROR(IF(VLOOKUP(calendar[[#This Row],[Date]],BH!E:E,1,)&lt;&gt;"",1,0),0)</f>
        <v>1</v>
      </c>
      <c r="O3406">
        <f>IFERROR(IF(VLOOKUP(calendar[[#This Row],[Date]],BH!G:G,1,)&lt;&gt;"",1,0),0)</f>
        <v>0</v>
      </c>
      <c r="P3406">
        <f>IF(OR(calendar[[#This Row],[UK_BH]]=1,calendar[[#This Row],[WeekDay]]=1, calendar[[#This Row],[WeekDay]]=7),P3405,P3405+1)</f>
        <v>2421</v>
      </c>
      <c r="Q3406">
        <f>IF(OR(calendar[[#This Row],[FR_BH]]=1,calendar[[#This Row],[WeekDay]]=1, calendar[[#This Row],[WeekDay]]=7),P3405,P3405+1)</f>
        <v>2421</v>
      </c>
      <c r="R3406">
        <f>IF(OR(calendar[[#This Row],[SP_BH]]=1,calendar[[#This Row],[WeekDay]]=1, calendar[[#This Row],[WeekDay]]=7),P3405,P3405+1)</f>
        <v>2420</v>
      </c>
      <c r="S3406">
        <f>IF(OR(calendar[[#This Row],[PT_BH]]=1,calendar[[#This Row],[WeekDay]]=1, calendar[[#This Row],[WeekDay]]=7),P3405,P3405+1)</f>
        <v>2421</v>
      </c>
    </row>
    <row r="3407" spans="1:19" x14ac:dyDescent="0.25">
      <c r="A3407" s="2">
        <v>46141</v>
      </c>
      <c r="B3407" s="1">
        <f t="shared" si="271"/>
        <v>18</v>
      </c>
      <c r="C3407">
        <f t="shared" si="268"/>
        <v>4</v>
      </c>
      <c r="D3407" t="str">
        <f t="shared" si="269"/>
        <v>April</v>
      </c>
      <c r="E3407">
        <f t="shared" si="270"/>
        <v>2026</v>
      </c>
      <c r="F3407" t="str">
        <f>CONCATENATE(calendar[[#This Row],[Month]],"/",calendar[[#This Row],[Year]])</f>
        <v>4/2026</v>
      </c>
      <c r="G3407">
        <f>WEEKDAY(calendar[[#This Row],[Date]],1)</f>
        <v>4</v>
      </c>
      <c r="H3407" t="str">
        <f>TEXT(calendar[[#This Row],[WeekDay]],"dddd")</f>
        <v>Wednesday</v>
      </c>
      <c r="I3407">
        <f>IF((INT(calendar[[#This Row],[Count]]/7)-calendar[[#This Row],[Count]]/7)&lt;0,I3406,I3406+1)</f>
        <v>487</v>
      </c>
      <c r="J3407">
        <f t="shared" si="272"/>
        <v>3405</v>
      </c>
      <c r="K3407">
        <f>IF(calendar[[#This Row],[Month]]&lt;4,1,IF(calendar[[#This Row],[Month]]&lt;7,2,IF(calendar[[#This Row],[Month]]&lt;10,3,4)))</f>
        <v>2</v>
      </c>
      <c r="L3407">
        <f>IFERROR(IF(VLOOKUP(calendar[[#This Row],[Date]],BH!A:A,1,)&lt;&gt;"",1,0),0)</f>
        <v>0</v>
      </c>
      <c r="M3407">
        <f>IFERROR(IF(VLOOKUP(calendar[[#This Row],[Date]],BH!C:C,1,)&lt;&gt;"",1,0),0)</f>
        <v>0</v>
      </c>
      <c r="N3407">
        <f>IFERROR(IF(VLOOKUP(calendar[[#This Row],[Date]],BH!E:E,1,)&lt;&gt;"",1,0),0)</f>
        <v>0</v>
      </c>
      <c r="O3407">
        <f>IFERROR(IF(VLOOKUP(calendar[[#This Row],[Date]],BH!G:G,1,)&lt;&gt;"",1,0),0)</f>
        <v>0</v>
      </c>
      <c r="P3407">
        <f>IF(OR(calendar[[#This Row],[UK_BH]]=1,calendar[[#This Row],[WeekDay]]=1, calendar[[#This Row],[WeekDay]]=7),P3406,P3406+1)</f>
        <v>2422</v>
      </c>
      <c r="Q3407">
        <f>IF(OR(calendar[[#This Row],[FR_BH]]=1,calendar[[#This Row],[WeekDay]]=1, calendar[[#This Row],[WeekDay]]=7),P3406,P3406+1)</f>
        <v>2422</v>
      </c>
      <c r="R3407">
        <f>IF(OR(calendar[[#This Row],[SP_BH]]=1,calendar[[#This Row],[WeekDay]]=1, calendar[[#This Row],[WeekDay]]=7),P3406,P3406+1)</f>
        <v>2422</v>
      </c>
      <c r="S3407">
        <f>IF(OR(calendar[[#This Row],[PT_BH]]=1,calendar[[#This Row],[WeekDay]]=1, calendar[[#This Row],[WeekDay]]=7),P3406,P3406+1)</f>
        <v>2422</v>
      </c>
    </row>
    <row r="3408" spans="1:19" x14ac:dyDescent="0.25">
      <c r="A3408" s="2">
        <v>46142</v>
      </c>
      <c r="B3408" s="1">
        <f t="shared" si="271"/>
        <v>18</v>
      </c>
      <c r="C3408">
        <f t="shared" si="268"/>
        <v>4</v>
      </c>
      <c r="D3408" t="str">
        <f t="shared" si="269"/>
        <v>April</v>
      </c>
      <c r="E3408">
        <f t="shared" si="270"/>
        <v>2026</v>
      </c>
      <c r="F3408" t="str">
        <f>CONCATENATE(calendar[[#This Row],[Month]],"/",calendar[[#This Row],[Year]])</f>
        <v>4/2026</v>
      </c>
      <c r="G3408">
        <f>WEEKDAY(calendar[[#This Row],[Date]],1)</f>
        <v>5</v>
      </c>
      <c r="H3408" t="str">
        <f>TEXT(calendar[[#This Row],[WeekDay]],"dddd")</f>
        <v>Thursday</v>
      </c>
      <c r="I3408">
        <f>IF((INT(calendar[[#This Row],[Count]]/7)-calendar[[#This Row],[Count]]/7)&lt;0,I3407,I3407+1)</f>
        <v>487</v>
      </c>
      <c r="J3408">
        <f t="shared" si="272"/>
        <v>3406</v>
      </c>
      <c r="K3408">
        <f>IF(calendar[[#This Row],[Month]]&lt;4,1,IF(calendar[[#This Row],[Month]]&lt;7,2,IF(calendar[[#This Row],[Month]]&lt;10,3,4)))</f>
        <v>2</v>
      </c>
      <c r="L3408">
        <f>IFERROR(IF(VLOOKUP(calendar[[#This Row],[Date]],BH!A:A,1,)&lt;&gt;"",1,0),0)</f>
        <v>0</v>
      </c>
      <c r="M3408">
        <f>IFERROR(IF(VLOOKUP(calendar[[#This Row],[Date]],BH!C:C,1,)&lt;&gt;"",1,0),0)</f>
        <v>0</v>
      </c>
      <c r="N3408">
        <f>IFERROR(IF(VLOOKUP(calendar[[#This Row],[Date]],BH!E:E,1,)&lt;&gt;"",1,0),0)</f>
        <v>0</v>
      </c>
      <c r="O3408">
        <f>IFERROR(IF(VLOOKUP(calendar[[#This Row],[Date]],BH!G:G,1,)&lt;&gt;"",1,0),0)</f>
        <v>0</v>
      </c>
      <c r="P3408">
        <f>IF(OR(calendar[[#This Row],[UK_BH]]=1,calendar[[#This Row],[WeekDay]]=1, calendar[[#This Row],[WeekDay]]=7),P3407,P3407+1)</f>
        <v>2423</v>
      </c>
      <c r="Q3408">
        <f>IF(OR(calendar[[#This Row],[FR_BH]]=1,calendar[[#This Row],[WeekDay]]=1, calendar[[#This Row],[WeekDay]]=7),P3407,P3407+1)</f>
        <v>2423</v>
      </c>
      <c r="R3408">
        <f>IF(OR(calendar[[#This Row],[SP_BH]]=1,calendar[[#This Row],[WeekDay]]=1, calendar[[#This Row],[WeekDay]]=7),P3407,P3407+1)</f>
        <v>2423</v>
      </c>
      <c r="S3408">
        <f>IF(OR(calendar[[#This Row],[PT_BH]]=1,calendar[[#This Row],[WeekDay]]=1, calendar[[#This Row],[WeekDay]]=7),P3407,P3407+1)</f>
        <v>2423</v>
      </c>
    </row>
    <row r="3409" spans="1:19" x14ac:dyDescent="0.25">
      <c r="A3409" s="2">
        <v>46143</v>
      </c>
      <c r="B3409" s="1">
        <f t="shared" si="271"/>
        <v>18</v>
      </c>
      <c r="C3409">
        <f t="shared" si="268"/>
        <v>5</v>
      </c>
      <c r="D3409" t="str">
        <f t="shared" si="269"/>
        <v>May</v>
      </c>
      <c r="E3409">
        <f t="shared" si="270"/>
        <v>2026</v>
      </c>
      <c r="F3409" t="str">
        <f>CONCATENATE(calendar[[#This Row],[Month]],"/",calendar[[#This Row],[Year]])</f>
        <v>5/2026</v>
      </c>
      <c r="G3409">
        <f>WEEKDAY(calendar[[#This Row],[Date]],1)</f>
        <v>6</v>
      </c>
      <c r="H3409" t="str">
        <f>TEXT(calendar[[#This Row],[WeekDay]],"dddd")</f>
        <v>Friday</v>
      </c>
      <c r="I3409">
        <f>IF((INT(calendar[[#This Row],[Count]]/7)-calendar[[#This Row],[Count]]/7)&lt;0,I3408,I3408+1)</f>
        <v>487</v>
      </c>
      <c r="J3409">
        <f t="shared" si="272"/>
        <v>3407</v>
      </c>
      <c r="K3409">
        <f>IF(calendar[[#This Row],[Month]]&lt;4,1,IF(calendar[[#This Row],[Month]]&lt;7,2,IF(calendar[[#This Row],[Month]]&lt;10,3,4)))</f>
        <v>2</v>
      </c>
      <c r="L3409">
        <f>IFERROR(IF(VLOOKUP(calendar[[#This Row],[Date]],BH!A:A,1,)&lt;&gt;"",1,0),0)</f>
        <v>0</v>
      </c>
      <c r="M3409">
        <f>IFERROR(IF(VLOOKUP(calendar[[#This Row],[Date]],BH!C:C,1,)&lt;&gt;"",1,0),0)</f>
        <v>1</v>
      </c>
      <c r="N3409">
        <f>IFERROR(IF(VLOOKUP(calendar[[#This Row],[Date]],BH!E:E,1,)&lt;&gt;"",1,0),0)</f>
        <v>1</v>
      </c>
      <c r="O3409">
        <f>IFERROR(IF(VLOOKUP(calendar[[#This Row],[Date]],BH!G:G,1,)&lt;&gt;"",1,0),0)</f>
        <v>1</v>
      </c>
      <c r="P3409">
        <f>IF(OR(calendar[[#This Row],[UK_BH]]=1,calendar[[#This Row],[WeekDay]]=1, calendar[[#This Row],[WeekDay]]=7),P3408,P3408+1)</f>
        <v>2424</v>
      </c>
      <c r="Q3409">
        <f>IF(OR(calendar[[#This Row],[FR_BH]]=1,calendar[[#This Row],[WeekDay]]=1, calendar[[#This Row],[WeekDay]]=7),P3408,P3408+1)</f>
        <v>2423</v>
      </c>
      <c r="R3409">
        <f>IF(OR(calendar[[#This Row],[SP_BH]]=1,calendar[[#This Row],[WeekDay]]=1, calendar[[#This Row],[WeekDay]]=7),P3408,P3408+1)</f>
        <v>2423</v>
      </c>
      <c r="S3409">
        <f>IF(OR(calendar[[#This Row],[PT_BH]]=1,calendar[[#This Row],[WeekDay]]=1, calendar[[#This Row],[WeekDay]]=7),P3408,P3408+1)</f>
        <v>2423</v>
      </c>
    </row>
    <row r="3410" spans="1:19" x14ac:dyDescent="0.25">
      <c r="A3410" s="2">
        <v>46144</v>
      </c>
      <c r="B3410" s="1">
        <f t="shared" si="271"/>
        <v>18</v>
      </c>
      <c r="C3410">
        <f t="shared" si="268"/>
        <v>5</v>
      </c>
      <c r="D3410" t="str">
        <f t="shared" si="269"/>
        <v>May</v>
      </c>
      <c r="E3410">
        <f t="shared" si="270"/>
        <v>2026</v>
      </c>
      <c r="F3410" t="str">
        <f>CONCATENATE(calendar[[#This Row],[Month]],"/",calendar[[#This Row],[Year]])</f>
        <v>5/2026</v>
      </c>
      <c r="G3410">
        <f>WEEKDAY(calendar[[#This Row],[Date]],1)</f>
        <v>7</v>
      </c>
      <c r="H3410" t="str">
        <f>TEXT(calendar[[#This Row],[WeekDay]],"dddd")</f>
        <v>Saturday</v>
      </c>
      <c r="I3410">
        <f>IF((INT(calendar[[#This Row],[Count]]/7)-calendar[[#This Row],[Count]]/7)&lt;0,I3409,I3409+1)</f>
        <v>487</v>
      </c>
      <c r="J3410">
        <f t="shared" si="272"/>
        <v>3408</v>
      </c>
      <c r="K3410">
        <f>IF(calendar[[#This Row],[Month]]&lt;4,1,IF(calendar[[#This Row],[Month]]&lt;7,2,IF(calendar[[#This Row],[Month]]&lt;10,3,4)))</f>
        <v>2</v>
      </c>
      <c r="L3410">
        <f>IFERROR(IF(VLOOKUP(calendar[[#This Row],[Date]],BH!A:A,1,)&lt;&gt;"",1,0),0)</f>
        <v>0</v>
      </c>
      <c r="M3410">
        <f>IFERROR(IF(VLOOKUP(calendar[[#This Row],[Date]],BH!C:C,1,)&lt;&gt;"",1,0),0)</f>
        <v>0</v>
      </c>
      <c r="N3410">
        <f>IFERROR(IF(VLOOKUP(calendar[[#This Row],[Date]],BH!E:E,1,)&lt;&gt;"",1,0),0)</f>
        <v>1</v>
      </c>
      <c r="O3410">
        <f>IFERROR(IF(VLOOKUP(calendar[[#This Row],[Date]],BH!G:G,1,)&lt;&gt;"",1,0),0)</f>
        <v>0</v>
      </c>
      <c r="P3410">
        <f>IF(OR(calendar[[#This Row],[UK_BH]]=1,calendar[[#This Row],[WeekDay]]=1, calendar[[#This Row],[WeekDay]]=7),P3409,P3409+1)</f>
        <v>2424</v>
      </c>
      <c r="Q3410">
        <f>IF(OR(calendar[[#This Row],[FR_BH]]=1,calendar[[#This Row],[WeekDay]]=1, calendar[[#This Row],[WeekDay]]=7),P3409,P3409+1)</f>
        <v>2424</v>
      </c>
      <c r="R3410">
        <f>IF(OR(calendar[[#This Row],[SP_BH]]=1,calendar[[#This Row],[WeekDay]]=1, calendar[[#This Row],[WeekDay]]=7),P3409,P3409+1)</f>
        <v>2424</v>
      </c>
      <c r="S3410">
        <f>IF(OR(calendar[[#This Row],[PT_BH]]=1,calendar[[#This Row],[WeekDay]]=1, calendar[[#This Row],[WeekDay]]=7),P3409,P3409+1)</f>
        <v>2424</v>
      </c>
    </row>
    <row r="3411" spans="1:19" x14ac:dyDescent="0.25">
      <c r="A3411" s="2">
        <v>46145</v>
      </c>
      <c r="B3411" s="1">
        <f t="shared" si="271"/>
        <v>19</v>
      </c>
      <c r="C3411">
        <f t="shared" si="268"/>
        <v>5</v>
      </c>
      <c r="D3411" t="str">
        <f t="shared" si="269"/>
        <v>May</v>
      </c>
      <c r="E3411">
        <f t="shared" si="270"/>
        <v>2026</v>
      </c>
      <c r="F3411" t="str">
        <f>CONCATENATE(calendar[[#This Row],[Month]],"/",calendar[[#This Row],[Year]])</f>
        <v>5/2026</v>
      </c>
      <c r="G3411">
        <f>WEEKDAY(calendar[[#This Row],[Date]],1)</f>
        <v>1</v>
      </c>
      <c r="H3411" t="str">
        <f>TEXT(calendar[[#This Row],[WeekDay]],"dddd")</f>
        <v>Sunday</v>
      </c>
      <c r="I3411">
        <f>IF((INT(calendar[[#This Row],[Count]]/7)-calendar[[#This Row],[Count]]/7)&lt;0,I3410,I3410+1)</f>
        <v>488</v>
      </c>
      <c r="J3411">
        <f t="shared" si="272"/>
        <v>3409</v>
      </c>
      <c r="K3411">
        <f>IF(calendar[[#This Row],[Month]]&lt;4,1,IF(calendar[[#This Row],[Month]]&lt;7,2,IF(calendar[[#This Row],[Month]]&lt;10,3,4)))</f>
        <v>2</v>
      </c>
      <c r="L3411">
        <f>IFERROR(IF(VLOOKUP(calendar[[#This Row],[Date]],BH!A:A,1,)&lt;&gt;"",1,0),0)</f>
        <v>0</v>
      </c>
      <c r="M3411">
        <f>IFERROR(IF(VLOOKUP(calendar[[#This Row],[Date]],BH!C:C,1,)&lt;&gt;"",1,0),0)</f>
        <v>0</v>
      </c>
      <c r="N3411">
        <f>IFERROR(IF(VLOOKUP(calendar[[#This Row],[Date]],BH!E:E,1,)&lt;&gt;"",1,0),0)</f>
        <v>1</v>
      </c>
      <c r="O3411">
        <f>IFERROR(IF(VLOOKUP(calendar[[#This Row],[Date]],BH!G:G,1,)&lt;&gt;"",1,0),0)</f>
        <v>0</v>
      </c>
      <c r="P3411">
        <f>IF(OR(calendar[[#This Row],[UK_BH]]=1,calendar[[#This Row],[WeekDay]]=1, calendar[[#This Row],[WeekDay]]=7),P3410,P3410+1)</f>
        <v>2424</v>
      </c>
      <c r="Q3411">
        <f>IF(OR(calendar[[#This Row],[FR_BH]]=1,calendar[[#This Row],[WeekDay]]=1, calendar[[#This Row],[WeekDay]]=7),P3410,P3410+1)</f>
        <v>2424</v>
      </c>
      <c r="R3411">
        <f>IF(OR(calendar[[#This Row],[SP_BH]]=1,calendar[[#This Row],[WeekDay]]=1, calendar[[#This Row],[WeekDay]]=7),P3410,P3410+1)</f>
        <v>2424</v>
      </c>
      <c r="S3411">
        <f>IF(OR(calendar[[#This Row],[PT_BH]]=1,calendar[[#This Row],[WeekDay]]=1, calendar[[#This Row],[WeekDay]]=7),P3410,P3410+1)</f>
        <v>2424</v>
      </c>
    </row>
    <row r="3412" spans="1:19" x14ac:dyDescent="0.25">
      <c r="A3412" s="2">
        <v>46146</v>
      </c>
      <c r="B3412" s="1">
        <f t="shared" si="271"/>
        <v>19</v>
      </c>
      <c r="C3412">
        <f t="shared" si="268"/>
        <v>5</v>
      </c>
      <c r="D3412" t="str">
        <f t="shared" si="269"/>
        <v>May</v>
      </c>
      <c r="E3412">
        <f t="shared" si="270"/>
        <v>2026</v>
      </c>
      <c r="F3412" t="str">
        <f>CONCATENATE(calendar[[#This Row],[Month]],"/",calendar[[#This Row],[Year]])</f>
        <v>5/2026</v>
      </c>
      <c r="G3412">
        <f>WEEKDAY(calendar[[#This Row],[Date]],1)</f>
        <v>2</v>
      </c>
      <c r="H3412" t="str">
        <f>TEXT(calendar[[#This Row],[WeekDay]],"dddd")</f>
        <v>Monday</v>
      </c>
      <c r="I3412">
        <f>IF((INT(calendar[[#This Row],[Count]]/7)-calendar[[#This Row],[Count]]/7)&lt;0,I3411,I3411+1)</f>
        <v>488</v>
      </c>
      <c r="J3412">
        <f t="shared" si="272"/>
        <v>3410</v>
      </c>
      <c r="K3412">
        <f>IF(calendar[[#This Row],[Month]]&lt;4,1,IF(calendar[[#This Row],[Month]]&lt;7,2,IF(calendar[[#This Row],[Month]]&lt;10,3,4)))</f>
        <v>2</v>
      </c>
      <c r="L3412">
        <f>IFERROR(IF(VLOOKUP(calendar[[#This Row],[Date]],BH!A:A,1,)&lt;&gt;"",1,0),0)</f>
        <v>1</v>
      </c>
      <c r="M3412">
        <f>IFERROR(IF(VLOOKUP(calendar[[#This Row],[Date]],BH!C:C,1,)&lt;&gt;"",1,0),0)</f>
        <v>0</v>
      </c>
      <c r="N3412">
        <f>IFERROR(IF(VLOOKUP(calendar[[#This Row],[Date]],BH!E:E,1,)&lt;&gt;"",1,0),0)</f>
        <v>0</v>
      </c>
      <c r="O3412">
        <f>IFERROR(IF(VLOOKUP(calendar[[#This Row],[Date]],BH!G:G,1,)&lt;&gt;"",1,0),0)</f>
        <v>0</v>
      </c>
      <c r="P3412">
        <f>IF(OR(calendar[[#This Row],[UK_BH]]=1,calendar[[#This Row],[WeekDay]]=1, calendar[[#This Row],[WeekDay]]=7),P3411,P3411+1)</f>
        <v>2424</v>
      </c>
      <c r="Q3412">
        <f>IF(OR(calendar[[#This Row],[FR_BH]]=1,calendar[[#This Row],[WeekDay]]=1, calendar[[#This Row],[WeekDay]]=7),P3411,P3411+1)</f>
        <v>2425</v>
      </c>
      <c r="R3412">
        <f>IF(OR(calendar[[#This Row],[SP_BH]]=1,calendar[[#This Row],[WeekDay]]=1, calendar[[#This Row],[WeekDay]]=7),P3411,P3411+1)</f>
        <v>2425</v>
      </c>
      <c r="S3412">
        <f>IF(OR(calendar[[#This Row],[PT_BH]]=1,calendar[[#This Row],[WeekDay]]=1, calendar[[#This Row],[WeekDay]]=7),P3411,P3411+1)</f>
        <v>2425</v>
      </c>
    </row>
    <row r="3413" spans="1:19" x14ac:dyDescent="0.25">
      <c r="A3413" s="2">
        <v>46147</v>
      </c>
      <c r="B3413" s="1">
        <f t="shared" si="271"/>
        <v>19</v>
      </c>
      <c r="C3413">
        <f t="shared" si="268"/>
        <v>5</v>
      </c>
      <c r="D3413" t="str">
        <f t="shared" si="269"/>
        <v>May</v>
      </c>
      <c r="E3413">
        <f t="shared" si="270"/>
        <v>2026</v>
      </c>
      <c r="F3413" t="str">
        <f>CONCATENATE(calendar[[#This Row],[Month]],"/",calendar[[#This Row],[Year]])</f>
        <v>5/2026</v>
      </c>
      <c r="G3413">
        <f>WEEKDAY(calendar[[#This Row],[Date]],1)</f>
        <v>3</v>
      </c>
      <c r="H3413" t="str">
        <f>TEXT(calendar[[#This Row],[WeekDay]],"dddd")</f>
        <v>Tuesday</v>
      </c>
      <c r="I3413">
        <f>IF((INT(calendar[[#This Row],[Count]]/7)-calendar[[#This Row],[Count]]/7)&lt;0,I3412,I3412+1)</f>
        <v>488</v>
      </c>
      <c r="J3413">
        <f t="shared" si="272"/>
        <v>3411</v>
      </c>
      <c r="K3413">
        <f>IF(calendar[[#This Row],[Month]]&lt;4,1,IF(calendar[[#This Row],[Month]]&lt;7,2,IF(calendar[[#This Row],[Month]]&lt;10,3,4)))</f>
        <v>2</v>
      </c>
      <c r="L3413">
        <f>IFERROR(IF(VLOOKUP(calendar[[#This Row],[Date]],BH!A:A,1,)&lt;&gt;"",1,0),0)</f>
        <v>0</v>
      </c>
      <c r="M3413">
        <f>IFERROR(IF(VLOOKUP(calendar[[#This Row],[Date]],BH!C:C,1,)&lt;&gt;"",1,0),0)</f>
        <v>0</v>
      </c>
      <c r="N3413">
        <f>IFERROR(IF(VLOOKUP(calendar[[#This Row],[Date]],BH!E:E,1,)&lt;&gt;"",1,0),0)</f>
        <v>0</v>
      </c>
      <c r="O3413">
        <f>IFERROR(IF(VLOOKUP(calendar[[#This Row],[Date]],BH!G:G,1,)&lt;&gt;"",1,0),0)</f>
        <v>0</v>
      </c>
      <c r="P3413">
        <f>IF(OR(calendar[[#This Row],[UK_BH]]=1,calendar[[#This Row],[WeekDay]]=1, calendar[[#This Row],[WeekDay]]=7),P3412,P3412+1)</f>
        <v>2425</v>
      </c>
      <c r="Q3413">
        <f>IF(OR(calendar[[#This Row],[FR_BH]]=1,calendar[[#This Row],[WeekDay]]=1, calendar[[#This Row],[WeekDay]]=7),P3412,P3412+1)</f>
        <v>2425</v>
      </c>
      <c r="R3413">
        <f>IF(OR(calendar[[#This Row],[SP_BH]]=1,calendar[[#This Row],[WeekDay]]=1, calendar[[#This Row],[WeekDay]]=7),P3412,P3412+1)</f>
        <v>2425</v>
      </c>
      <c r="S3413">
        <f>IF(OR(calendar[[#This Row],[PT_BH]]=1,calendar[[#This Row],[WeekDay]]=1, calendar[[#This Row],[WeekDay]]=7),P3412,P3412+1)</f>
        <v>2425</v>
      </c>
    </row>
    <row r="3414" spans="1:19" x14ac:dyDescent="0.25">
      <c r="A3414" s="2">
        <v>46148</v>
      </c>
      <c r="B3414" s="1">
        <f t="shared" si="271"/>
        <v>19</v>
      </c>
      <c r="C3414">
        <f t="shared" si="268"/>
        <v>5</v>
      </c>
      <c r="D3414" t="str">
        <f t="shared" si="269"/>
        <v>May</v>
      </c>
      <c r="E3414">
        <f t="shared" si="270"/>
        <v>2026</v>
      </c>
      <c r="F3414" t="str">
        <f>CONCATENATE(calendar[[#This Row],[Month]],"/",calendar[[#This Row],[Year]])</f>
        <v>5/2026</v>
      </c>
      <c r="G3414">
        <f>WEEKDAY(calendar[[#This Row],[Date]],1)</f>
        <v>4</v>
      </c>
      <c r="H3414" t="str">
        <f>TEXT(calendar[[#This Row],[WeekDay]],"dddd")</f>
        <v>Wednesday</v>
      </c>
      <c r="I3414">
        <f>IF((INT(calendar[[#This Row],[Count]]/7)-calendar[[#This Row],[Count]]/7)&lt;0,I3413,I3413+1)</f>
        <v>488</v>
      </c>
      <c r="J3414">
        <f t="shared" si="272"/>
        <v>3412</v>
      </c>
      <c r="K3414">
        <f>IF(calendar[[#This Row],[Month]]&lt;4,1,IF(calendar[[#This Row],[Month]]&lt;7,2,IF(calendar[[#This Row],[Month]]&lt;10,3,4)))</f>
        <v>2</v>
      </c>
      <c r="L3414">
        <f>IFERROR(IF(VLOOKUP(calendar[[#This Row],[Date]],BH!A:A,1,)&lt;&gt;"",1,0),0)</f>
        <v>0</v>
      </c>
      <c r="M3414">
        <f>IFERROR(IF(VLOOKUP(calendar[[#This Row],[Date]],BH!C:C,1,)&lt;&gt;"",1,0),0)</f>
        <v>0</v>
      </c>
      <c r="N3414">
        <f>IFERROR(IF(VLOOKUP(calendar[[#This Row],[Date]],BH!E:E,1,)&lt;&gt;"",1,0),0)</f>
        <v>0</v>
      </c>
      <c r="O3414">
        <f>IFERROR(IF(VLOOKUP(calendar[[#This Row],[Date]],BH!G:G,1,)&lt;&gt;"",1,0),0)</f>
        <v>0</v>
      </c>
      <c r="P3414">
        <f>IF(OR(calendar[[#This Row],[UK_BH]]=1,calendar[[#This Row],[WeekDay]]=1, calendar[[#This Row],[WeekDay]]=7),P3413,P3413+1)</f>
        <v>2426</v>
      </c>
      <c r="Q3414">
        <f>IF(OR(calendar[[#This Row],[FR_BH]]=1,calendar[[#This Row],[WeekDay]]=1, calendar[[#This Row],[WeekDay]]=7),P3413,P3413+1)</f>
        <v>2426</v>
      </c>
      <c r="R3414">
        <f>IF(OR(calendar[[#This Row],[SP_BH]]=1,calendar[[#This Row],[WeekDay]]=1, calendar[[#This Row],[WeekDay]]=7),P3413,P3413+1)</f>
        <v>2426</v>
      </c>
      <c r="S3414">
        <f>IF(OR(calendar[[#This Row],[PT_BH]]=1,calendar[[#This Row],[WeekDay]]=1, calendar[[#This Row],[WeekDay]]=7),P3413,P3413+1)</f>
        <v>2426</v>
      </c>
    </row>
    <row r="3415" spans="1:19" x14ac:dyDescent="0.25">
      <c r="A3415" s="2">
        <v>46149</v>
      </c>
      <c r="B3415" s="1">
        <f t="shared" si="271"/>
        <v>19</v>
      </c>
      <c r="C3415">
        <f t="shared" si="268"/>
        <v>5</v>
      </c>
      <c r="D3415" t="str">
        <f t="shared" si="269"/>
        <v>May</v>
      </c>
      <c r="E3415">
        <f t="shared" si="270"/>
        <v>2026</v>
      </c>
      <c r="F3415" t="str">
        <f>CONCATENATE(calendar[[#This Row],[Month]],"/",calendar[[#This Row],[Year]])</f>
        <v>5/2026</v>
      </c>
      <c r="G3415">
        <f>WEEKDAY(calendar[[#This Row],[Date]],1)</f>
        <v>5</v>
      </c>
      <c r="H3415" t="str">
        <f>TEXT(calendar[[#This Row],[WeekDay]],"dddd")</f>
        <v>Thursday</v>
      </c>
      <c r="I3415">
        <f>IF((INT(calendar[[#This Row],[Count]]/7)-calendar[[#This Row],[Count]]/7)&lt;0,I3414,I3414+1)</f>
        <v>488</v>
      </c>
      <c r="J3415">
        <f t="shared" si="272"/>
        <v>3413</v>
      </c>
      <c r="K3415">
        <f>IF(calendar[[#This Row],[Month]]&lt;4,1,IF(calendar[[#This Row],[Month]]&lt;7,2,IF(calendar[[#This Row],[Month]]&lt;10,3,4)))</f>
        <v>2</v>
      </c>
      <c r="L3415">
        <f>IFERROR(IF(VLOOKUP(calendar[[#This Row],[Date]],BH!A:A,1,)&lt;&gt;"",1,0),0)</f>
        <v>0</v>
      </c>
      <c r="M3415">
        <f>IFERROR(IF(VLOOKUP(calendar[[#This Row],[Date]],BH!C:C,1,)&lt;&gt;"",1,0),0)</f>
        <v>0</v>
      </c>
      <c r="N3415">
        <f>IFERROR(IF(VLOOKUP(calendar[[#This Row],[Date]],BH!E:E,1,)&lt;&gt;"",1,0),0)</f>
        <v>0</v>
      </c>
      <c r="O3415">
        <f>IFERROR(IF(VLOOKUP(calendar[[#This Row],[Date]],BH!G:G,1,)&lt;&gt;"",1,0),0)</f>
        <v>0</v>
      </c>
      <c r="P3415">
        <f>IF(OR(calendar[[#This Row],[UK_BH]]=1,calendar[[#This Row],[WeekDay]]=1, calendar[[#This Row],[WeekDay]]=7),P3414,P3414+1)</f>
        <v>2427</v>
      </c>
      <c r="Q3415">
        <f>IF(OR(calendar[[#This Row],[FR_BH]]=1,calendar[[#This Row],[WeekDay]]=1, calendar[[#This Row],[WeekDay]]=7),P3414,P3414+1)</f>
        <v>2427</v>
      </c>
      <c r="R3415">
        <f>IF(OR(calendar[[#This Row],[SP_BH]]=1,calendar[[#This Row],[WeekDay]]=1, calendar[[#This Row],[WeekDay]]=7),P3414,P3414+1)</f>
        <v>2427</v>
      </c>
      <c r="S3415">
        <f>IF(OR(calendar[[#This Row],[PT_BH]]=1,calendar[[#This Row],[WeekDay]]=1, calendar[[#This Row],[WeekDay]]=7),P3414,P3414+1)</f>
        <v>2427</v>
      </c>
    </row>
    <row r="3416" spans="1:19" x14ac:dyDescent="0.25">
      <c r="A3416" s="2">
        <v>46150</v>
      </c>
      <c r="B3416" s="1">
        <f t="shared" si="271"/>
        <v>19</v>
      </c>
      <c r="C3416">
        <f t="shared" si="268"/>
        <v>5</v>
      </c>
      <c r="D3416" t="str">
        <f t="shared" si="269"/>
        <v>May</v>
      </c>
      <c r="E3416">
        <f t="shared" si="270"/>
        <v>2026</v>
      </c>
      <c r="F3416" t="str">
        <f>CONCATENATE(calendar[[#This Row],[Month]],"/",calendar[[#This Row],[Year]])</f>
        <v>5/2026</v>
      </c>
      <c r="G3416">
        <f>WEEKDAY(calendar[[#This Row],[Date]],1)</f>
        <v>6</v>
      </c>
      <c r="H3416" t="str">
        <f>TEXT(calendar[[#This Row],[WeekDay]],"dddd")</f>
        <v>Friday</v>
      </c>
      <c r="I3416">
        <f>IF((INT(calendar[[#This Row],[Count]]/7)-calendar[[#This Row],[Count]]/7)&lt;0,I3415,I3415+1)</f>
        <v>488</v>
      </c>
      <c r="J3416">
        <f t="shared" si="272"/>
        <v>3414</v>
      </c>
      <c r="K3416">
        <f>IF(calendar[[#This Row],[Month]]&lt;4,1,IF(calendar[[#This Row],[Month]]&lt;7,2,IF(calendar[[#This Row],[Month]]&lt;10,3,4)))</f>
        <v>2</v>
      </c>
      <c r="L3416">
        <f>IFERROR(IF(VLOOKUP(calendar[[#This Row],[Date]],BH!A:A,1,)&lt;&gt;"",1,0),0)</f>
        <v>0</v>
      </c>
      <c r="M3416">
        <f>IFERROR(IF(VLOOKUP(calendar[[#This Row],[Date]],BH!C:C,1,)&lt;&gt;"",1,0),0)</f>
        <v>1</v>
      </c>
      <c r="N3416">
        <f>IFERROR(IF(VLOOKUP(calendar[[#This Row],[Date]],BH!E:E,1,)&lt;&gt;"",1,0),0)</f>
        <v>0</v>
      </c>
      <c r="O3416">
        <f>IFERROR(IF(VLOOKUP(calendar[[#This Row],[Date]],BH!G:G,1,)&lt;&gt;"",1,0),0)</f>
        <v>0</v>
      </c>
      <c r="P3416">
        <f>IF(OR(calendar[[#This Row],[UK_BH]]=1,calendar[[#This Row],[WeekDay]]=1, calendar[[#This Row],[WeekDay]]=7),P3415,P3415+1)</f>
        <v>2428</v>
      </c>
      <c r="Q3416">
        <f>IF(OR(calendar[[#This Row],[FR_BH]]=1,calendar[[#This Row],[WeekDay]]=1, calendar[[#This Row],[WeekDay]]=7),P3415,P3415+1)</f>
        <v>2427</v>
      </c>
      <c r="R3416">
        <f>IF(OR(calendar[[#This Row],[SP_BH]]=1,calendar[[#This Row],[WeekDay]]=1, calendar[[#This Row],[WeekDay]]=7),P3415,P3415+1)</f>
        <v>2428</v>
      </c>
      <c r="S3416">
        <f>IF(OR(calendar[[#This Row],[PT_BH]]=1,calendar[[#This Row],[WeekDay]]=1, calendar[[#This Row],[WeekDay]]=7),P3415,P3415+1)</f>
        <v>2428</v>
      </c>
    </row>
    <row r="3417" spans="1:19" x14ac:dyDescent="0.25">
      <c r="A3417" s="2">
        <v>46151</v>
      </c>
      <c r="B3417" s="1">
        <f t="shared" si="271"/>
        <v>19</v>
      </c>
      <c r="C3417">
        <f t="shared" si="268"/>
        <v>5</v>
      </c>
      <c r="D3417" t="str">
        <f t="shared" si="269"/>
        <v>May</v>
      </c>
      <c r="E3417">
        <f t="shared" si="270"/>
        <v>2026</v>
      </c>
      <c r="F3417" t="str">
        <f>CONCATENATE(calendar[[#This Row],[Month]],"/",calendar[[#This Row],[Year]])</f>
        <v>5/2026</v>
      </c>
      <c r="G3417">
        <f>WEEKDAY(calendar[[#This Row],[Date]],1)</f>
        <v>7</v>
      </c>
      <c r="H3417" t="str">
        <f>TEXT(calendar[[#This Row],[WeekDay]],"dddd")</f>
        <v>Saturday</v>
      </c>
      <c r="I3417">
        <f>IF((INT(calendar[[#This Row],[Count]]/7)-calendar[[#This Row],[Count]]/7)&lt;0,I3416,I3416+1)</f>
        <v>488</v>
      </c>
      <c r="J3417">
        <f t="shared" si="272"/>
        <v>3415</v>
      </c>
      <c r="K3417">
        <f>IF(calendar[[#This Row],[Month]]&lt;4,1,IF(calendar[[#This Row],[Month]]&lt;7,2,IF(calendar[[#This Row],[Month]]&lt;10,3,4)))</f>
        <v>2</v>
      </c>
      <c r="L3417">
        <f>IFERROR(IF(VLOOKUP(calendar[[#This Row],[Date]],BH!A:A,1,)&lt;&gt;"",1,0),0)</f>
        <v>0</v>
      </c>
      <c r="M3417">
        <f>IFERROR(IF(VLOOKUP(calendar[[#This Row],[Date]],BH!C:C,1,)&lt;&gt;"",1,0),0)</f>
        <v>0</v>
      </c>
      <c r="N3417">
        <f>IFERROR(IF(VLOOKUP(calendar[[#This Row],[Date]],BH!E:E,1,)&lt;&gt;"",1,0),0)</f>
        <v>0</v>
      </c>
      <c r="O3417">
        <f>IFERROR(IF(VLOOKUP(calendar[[#This Row],[Date]],BH!G:G,1,)&lt;&gt;"",1,0),0)</f>
        <v>0</v>
      </c>
      <c r="P3417">
        <f>IF(OR(calendar[[#This Row],[UK_BH]]=1,calendar[[#This Row],[WeekDay]]=1, calendar[[#This Row],[WeekDay]]=7),P3416,P3416+1)</f>
        <v>2428</v>
      </c>
      <c r="Q3417">
        <f>IF(OR(calendar[[#This Row],[FR_BH]]=1,calendar[[#This Row],[WeekDay]]=1, calendar[[#This Row],[WeekDay]]=7),P3416,P3416+1)</f>
        <v>2428</v>
      </c>
      <c r="R3417">
        <f>IF(OR(calendar[[#This Row],[SP_BH]]=1,calendar[[#This Row],[WeekDay]]=1, calendar[[#This Row],[WeekDay]]=7),P3416,P3416+1)</f>
        <v>2428</v>
      </c>
      <c r="S3417">
        <f>IF(OR(calendar[[#This Row],[PT_BH]]=1,calendar[[#This Row],[WeekDay]]=1, calendar[[#This Row],[WeekDay]]=7),P3416,P3416+1)</f>
        <v>2428</v>
      </c>
    </row>
    <row r="3418" spans="1:19" x14ac:dyDescent="0.25">
      <c r="A3418" s="2">
        <v>46152</v>
      </c>
      <c r="B3418" s="1">
        <f t="shared" si="271"/>
        <v>20</v>
      </c>
      <c r="C3418">
        <f t="shared" si="268"/>
        <v>5</v>
      </c>
      <c r="D3418" t="str">
        <f t="shared" si="269"/>
        <v>May</v>
      </c>
      <c r="E3418">
        <f t="shared" si="270"/>
        <v>2026</v>
      </c>
      <c r="F3418" t="str">
        <f>CONCATENATE(calendar[[#This Row],[Month]],"/",calendar[[#This Row],[Year]])</f>
        <v>5/2026</v>
      </c>
      <c r="G3418">
        <f>WEEKDAY(calendar[[#This Row],[Date]],1)</f>
        <v>1</v>
      </c>
      <c r="H3418" t="str">
        <f>TEXT(calendar[[#This Row],[WeekDay]],"dddd")</f>
        <v>Sunday</v>
      </c>
      <c r="I3418">
        <f>IF((INT(calendar[[#This Row],[Count]]/7)-calendar[[#This Row],[Count]]/7)&lt;0,I3417,I3417+1)</f>
        <v>489</v>
      </c>
      <c r="J3418">
        <f t="shared" si="272"/>
        <v>3416</v>
      </c>
      <c r="K3418">
        <f>IF(calendar[[#This Row],[Month]]&lt;4,1,IF(calendar[[#This Row],[Month]]&lt;7,2,IF(calendar[[#This Row],[Month]]&lt;10,3,4)))</f>
        <v>2</v>
      </c>
      <c r="L3418">
        <f>IFERROR(IF(VLOOKUP(calendar[[#This Row],[Date]],BH!A:A,1,)&lt;&gt;"",1,0),0)</f>
        <v>0</v>
      </c>
      <c r="M3418">
        <f>IFERROR(IF(VLOOKUP(calendar[[#This Row],[Date]],BH!C:C,1,)&lt;&gt;"",1,0),0)</f>
        <v>0</v>
      </c>
      <c r="N3418">
        <f>IFERROR(IF(VLOOKUP(calendar[[#This Row],[Date]],BH!E:E,1,)&lt;&gt;"",1,0),0)</f>
        <v>0</v>
      </c>
      <c r="O3418">
        <f>IFERROR(IF(VLOOKUP(calendar[[#This Row],[Date]],BH!G:G,1,)&lt;&gt;"",1,0),0)</f>
        <v>0</v>
      </c>
      <c r="P3418">
        <f>IF(OR(calendar[[#This Row],[UK_BH]]=1,calendar[[#This Row],[WeekDay]]=1, calendar[[#This Row],[WeekDay]]=7),P3417,P3417+1)</f>
        <v>2428</v>
      </c>
      <c r="Q3418">
        <f>IF(OR(calendar[[#This Row],[FR_BH]]=1,calendar[[#This Row],[WeekDay]]=1, calendar[[#This Row],[WeekDay]]=7),P3417,P3417+1)</f>
        <v>2428</v>
      </c>
      <c r="R3418">
        <f>IF(OR(calendar[[#This Row],[SP_BH]]=1,calendar[[#This Row],[WeekDay]]=1, calendar[[#This Row],[WeekDay]]=7),P3417,P3417+1)</f>
        <v>2428</v>
      </c>
      <c r="S3418">
        <f>IF(OR(calendar[[#This Row],[PT_BH]]=1,calendar[[#This Row],[WeekDay]]=1, calendar[[#This Row],[WeekDay]]=7),P3417,P3417+1)</f>
        <v>2428</v>
      </c>
    </row>
    <row r="3419" spans="1:19" x14ac:dyDescent="0.25">
      <c r="A3419" s="2">
        <v>46153</v>
      </c>
      <c r="B3419" s="1">
        <f t="shared" si="271"/>
        <v>20</v>
      </c>
      <c r="C3419">
        <f t="shared" si="268"/>
        <v>5</v>
      </c>
      <c r="D3419" t="str">
        <f t="shared" si="269"/>
        <v>May</v>
      </c>
      <c r="E3419">
        <f t="shared" si="270"/>
        <v>2026</v>
      </c>
      <c r="F3419" t="str">
        <f>CONCATENATE(calendar[[#This Row],[Month]],"/",calendar[[#This Row],[Year]])</f>
        <v>5/2026</v>
      </c>
      <c r="G3419">
        <f>WEEKDAY(calendar[[#This Row],[Date]],1)</f>
        <v>2</v>
      </c>
      <c r="H3419" t="str">
        <f>TEXT(calendar[[#This Row],[WeekDay]],"dddd")</f>
        <v>Monday</v>
      </c>
      <c r="I3419">
        <f>IF((INT(calendar[[#This Row],[Count]]/7)-calendar[[#This Row],[Count]]/7)&lt;0,I3418,I3418+1)</f>
        <v>489</v>
      </c>
      <c r="J3419">
        <f t="shared" si="272"/>
        <v>3417</v>
      </c>
      <c r="K3419">
        <f>IF(calendar[[#This Row],[Month]]&lt;4,1,IF(calendar[[#This Row],[Month]]&lt;7,2,IF(calendar[[#This Row],[Month]]&lt;10,3,4)))</f>
        <v>2</v>
      </c>
      <c r="L3419">
        <f>IFERROR(IF(VLOOKUP(calendar[[#This Row],[Date]],BH!A:A,1,)&lt;&gt;"",1,0),0)</f>
        <v>0</v>
      </c>
      <c r="M3419">
        <f>IFERROR(IF(VLOOKUP(calendar[[#This Row],[Date]],BH!C:C,1,)&lt;&gt;"",1,0),0)</f>
        <v>0</v>
      </c>
      <c r="N3419">
        <f>IFERROR(IF(VLOOKUP(calendar[[#This Row],[Date]],BH!E:E,1,)&lt;&gt;"",1,0),0)</f>
        <v>0</v>
      </c>
      <c r="O3419">
        <f>IFERROR(IF(VLOOKUP(calendar[[#This Row],[Date]],BH!G:G,1,)&lt;&gt;"",1,0),0)</f>
        <v>0</v>
      </c>
      <c r="P3419">
        <f>IF(OR(calendar[[#This Row],[UK_BH]]=1,calendar[[#This Row],[WeekDay]]=1, calendar[[#This Row],[WeekDay]]=7),P3418,P3418+1)</f>
        <v>2429</v>
      </c>
      <c r="Q3419">
        <f>IF(OR(calendar[[#This Row],[FR_BH]]=1,calendar[[#This Row],[WeekDay]]=1, calendar[[#This Row],[WeekDay]]=7),P3418,P3418+1)</f>
        <v>2429</v>
      </c>
      <c r="R3419">
        <f>IF(OR(calendar[[#This Row],[SP_BH]]=1,calendar[[#This Row],[WeekDay]]=1, calendar[[#This Row],[WeekDay]]=7),P3418,P3418+1)</f>
        <v>2429</v>
      </c>
      <c r="S3419">
        <f>IF(OR(calendar[[#This Row],[PT_BH]]=1,calendar[[#This Row],[WeekDay]]=1, calendar[[#This Row],[WeekDay]]=7),P3418,P3418+1)</f>
        <v>2429</v>
      </c>
    </row>
    <row r="3420" spans="1:19" x14ac:dyDescent="0.25">
      <c r="A3420" s="2">
        <v>46154</v>
      </c>
      <c r="B3420" s="1">
        <f t="shared" si="271"/>
        <v>20</v>
      </c>
      <c r="C3420">
        <f t="shared" ref="C3420:C3483" si="273">MONTH(A3420)</f>
        <v>5</v>
      </c>
      <c r="D3420" t="str">
        <f t="shared" ref="D3420:D3483" si="274">TEXT(A3420,"mmmm")</f>
        <v>May</v>
      </c>
      <c r="E3420">
        <f t="shared" ref="E3420:E3483" si="275">YEAR(A3420)</f>
        <v>2026</v>
      </c>
      <c r="F3420" t="str">
        <f>CONCATENATE(calendar[[#This Row],[Month]],"/",calendar[[#This Row],[Year]])</f>
        <v>5/2026</v>
      </c>
      <c r="G3420">
        <f>WEEKDAY(calendar[[#This Row],[Date]],1)</f>
        <v>3</v>
      </c>
      <c r="H3420" t="str">
        <f>TEXT(calendar[[#This Row],[WeekDay]],"dddd")</f>
        <v>Tuesday</v>
      </c>
      <c r="I3420">
        <f>IF((INT(calendar[[#This Row],[Count]]/7)-calendar[[#This Row],[Count]]/7)&lt;0,I3419,I3419+1)</f>
        <v>489</v>
      </c>
      <c r="J3420">
        <f t="shared" si="272"/>
        <v>3418</v>
      </c>
      <c r="K3420">
        <f>IF(calendar[[#This Row],[Month]]&lt;4,1,IF(calendar[[#This Row],[Month]]&lt;7,2,IF(calendar[[#This Row],[Month]]&lt;10,3,4)))</f>
        <v>2</v>
      </c>
      <c r="L3420">
        <f>IFERROR(IF(VLOOKUP(calendar[[#This Row],[Date]],BH!A:A,1,)&lt;&gt;"",1,0),0)</f>
        <v>0</v>
      </c>
      <c r="M3420">
        <f>IFERROR(IF(VLOOKUP(calendar[[#This Row],[Date]],BH!C:C,1,)&lt;&gt;"",1,0),0)</f>
        <v>0</v>
      </c>
      <c r="N3420">
        <f>IFERROR(IF(VLOOKUP(calendar[[#This Row],[Date]],BH!E:E,1,)&lt;&gt;"",1,0),0)</f>
        <v>0</v>
      </c>
      <c r="O3420">
        <f>IFERROR(IF(VLOOKUP(calendar[[#This Row],[Date]],BH!G:G,1,)&lt;&gt;"",1,0),0)</f>
        <v>0</v>
      </c>
      <c r="P3420">
        <f>IF(OR(calendar[[#This Row],[UK_BH]]=1,calendar[[#This Row],[WeekDay]]=1, calendar[[#This Row],[WeekDay]]=7),P3419,P3419+1)</f>
        <v>2430</v>
      </c>
      <c r="Q3420">
        <f>IF(OR(calendar[[#This Row],[FR_BH]]=1,calendar[[#This Row],[WeekDay]]=1, calendar[[#This Row],[WeekDay]]=7),P3419,P3419+1)</f>
        <v>2430</v>
      </c>
      <c r="R3420">
        <f>IF(OR(calendar[[#This Row],[SP_BH]]=1,calendar[[#This Row],[WeekDay]]=1, calendar[[#This Row],[WeekDay]]=7),P3419,P3419+1)</f>
        <v>2430</v>
      </c>
      <c r="S3420">
        <f>IF(OR(calendar[[#This Row],[PT_BH]]=1,calendar[[#This Row],[WeekDay]]=1, calendar[[#This Row],[WeekDay]]=7),P3419,P3419+1)</f>
        <v>2430</v>
      </c>
    </row>
    <row r="3421" spans="1:19" x14ac:dyDescent="0.25">
      <c r="A3421" s="2">
        <v>46155</v>
      </c>
      <c r="B3421" s="1">
        <f t="shared" si="271"/>
        <v>20</v>
      </c>
      <c r="C3421">
        <f t="shared" si="273"/>
        <v>5</v>
      </c>
      <c r="D3421" t="str">
        <f t="shared" si="274"/>
        <v>May</v>
      </c>
      <c r="E3421">
        <f t="shared" si="275"/>
        <v>2026</v>
      </c>
      <c r="F3421" t="str">
        <f>CONCATENATE(calendar[[#This Row],[Month]],"/",calendar[[#This Row],[Year]])</f>
        <v>5/2026</v>
      </c>
      <c r="G3421">
        <f>WEEKDAY(calendar[[#This Row],[Date]],1)</f>
        <v>4</v>
      </c>
      <c r="H3421" t="str">
        <f>TEXT(calendar[[#This Row],[WeekDay]],"dddd")</f>
        <v>Wednesday</v>
      </c>
      <c r="I3421">
        <f>IF((INT(calendar[[#This Row],[Count]]/7)-calendar[[#This Row],[Count]]/7)&lt;0,I3420,I3420+1)</f>
        <v>489</v>
      </c>
      <c r="J3421">
        <f t="shared" si="272"/>
        <v>3419</v>
      </c>
      <c r="K3421">
        <f>IF(calendar[[#This Row],[Month]]&lt;4,1,IF(calendar[[#This Row],[Month]]&lt;7,2,IF(calendar[[#This Row],[Month]]&lt;10,3,4)))</f>
        <v>2</v>
      </c>
      <c r="L3421">
        <f>IFERROR(IF(VLOOKUP(calendar[[#This Row],[Date]],BH!A:A,1,)&lt;&gt;"",1,0),0)</f>
        <v>0</v>
      </c>
      <c r="M3421">
        <f>IFERROR(IF(VLOOKUP(calendar[[#This Row],[Date]],BH!C:C,1,)&lt;&gt;"",1,0),0)</f>
        <v>0</v>
      </c>
      <c r="N3421">
        <f>IFERROR(IF(VLOOKUP(calendar[[#This Row],[Date]],BH!E:E,1,)&lt;&gt;"",1,0),0)</f>
        <v>0</v>
      </c>
      <c r="O3421">
        <f>IFERROR(IF(VLOOKUP(calendar[[#This Row],[Date]],BH!G:G,1,)&lt;&gt;"",1,0),0)</f>
        <v>0</v>
      </c>
      <c r="P3421">
        <f>IF(OR(calendar[[#This Row],[UK_BH]]=1,calendar[[#This Row],[WeekDay]]=1, calendar[[#This Row],[WeekDay]]=7),P3420,P3420+1)</f>
        <v>2431</v>
      </c>
      <c r="Q3421">
        <f>IF(OR(calendar[[#This Row],[FR_BH]]=1,calendar[[#This Row],[WeekDay]]=1, calendar[[#This Row],[WeekDay]]=7),P3420,P3420+1)</f>
        <v>2431</v>
      </c>
      <c r="R3421">
        <f>IF(OR(calendar[[#This Row],[SP_BH]]=1,calendar[[#This Row],[WeekDay]]=1, calendar[[#This Row],[WeekDay]]=7),P3420,P3420+1)</f>
        <v>2431</v>
      </c>
      <c r="S3421">
        <f>IF(OR(calendar[[#This Row],[PT_BH]]=1,calendar[[#This Row],[WeekDay]]=1, calendar[[#This Row],[WeekDay]]=7),P3420,P3420+1)</f>
        <v>2431</v>
      </c>
    </row>
    <row r="3422" spans="1:19" x14ac:dyDescent="0.25">
      <c r="A3422" s="2">
        <v>46156</v>
      </c>
      <c r="B3422" s="1">
        <f t="shared" si="271"/>
        <v>20</v>
      </c>
      <c r="C3422">
        <f t="shared" si="273"/>
        <v>5</v>
      </c>
      <c r="D3422" t="str">
        <f t="shared" si="274"/>
        <v>May</v>
      </c>
      <c r="E3422">
        <f t="shared" si="275"/>
        <v>2026</v>
      </c>
      <c r="F3422" t="str">
        <f>CONCATENATE(calendar[[#This Row],[Month]],"/",calendar[[#This Row],[Year]])</f>
        <v>5/2026</v>
      </c>
      <c r="G3422">
        <f>WEEKDAY(calendar[[#This Row],[Date]],1)</f>
        <v>5</v>
      </c>
      <c r="H3422" t="str">
        <f>TEXT(calendar[[#This Row],[WeekDay]],"dddd")</f>
        <v>Thursday</v>
      </c>
      <c r="I3422">
        <f>IF((INT(calendar[[#This Row],[Count]]/7)-calendar[[#This Row],[Count]]/7)&lt;0,I3421,I3421+1)</f>
        <v>489</v>
      </c>
      <c r="J3422">
        <f t="shared" si="272"/>
        <v>3420</v>
      </c>
      <c r="K3422">
        <f>IF(calendar[[#This Row],[Month]]&lt;4,1,IF(calendar[[#This Row],[Month]]&lt;7,2,IF(calendar[[#This Row],[Month]]&lt;10,3,4)))</f>
        <v>2</v>
      </c>
      <c r="L3422">
        <f>IFERROR(IF(VLOOKUP(calendar[[#This Row],[Date]],BH!A:A,1,)&lt;&gt;"",1,0),0)</f>
        <v>0</v>
      </c>
      <c r="M3422">
        <f>IFERROR(IF(VLOOKUP(calendar[[#This Row],[Date]],BH!C:C,1,)&lt;&gt;"",1,0),0)</f>
        <v>1</v>
      </c>
      <c r="N3422">
        <f>IFERROR(IF(VLOOKUP(calendar[[#This Row],[Date]],BH!E:E,1,)&lt;&gt;"",1,0),0)</f>
        <v>0</v>
      </c>
      <c r="O3422">
        <f>IFERROR(IF(VLOOKUP(calendar[[#This Row],[Date]],BH!G:G,1,)&lt;&gt;"",1,0),0)</f>
        <v>0</v>
      </c>
      <c r="P3422">
        <f>IF(OR(calendar[[#This Row],[UK_BH]]=1,calendar[[#This Row],[WeekDay]]=1, calendar[[#This Row],[WeekDay]]=7),P3421,P3421+1)</f>
        <v>2432</v>
      </c>
      <c r="Q3422">
        <f>IF(OR(calendar[[#This Row],[FR_BH]]=1,calendar[[#This Row],[WeekDay]]=1, calendar[[#This Row],[WeekDay]]=7),P3421,P3421+1)</f>
        <v>2431</v>
      </c>
      <c r="R3422">
        <f>IF(OR(calendar[[#This Row],[SP_BH]]=1,calendar[[#This Row],[WeekDay]]=1, calendar[[#This Row],[WeekDay]]=7),P3421,P3421+1)</f>
        <v>2432</v>
      </c>
      <c r="S3422">
        <f>IF(OR(calendar[[#This Row],[PT_BH]]=1,calendar[[#This Row],[WeekDay]]=1, calendar[[#This Row],[WeekDay]]=7),P3421,P3421+1)</f>
        <v>2432</v>
      </c>
    </row>
    <row r="3423" spans="1:19" x14ac:dyDescent="0.25">
      <c r="A3423" s="2">
        <v>46157</v>
      </c>
      <c r="B3423" s="1">
        <f t="shared" si="271"/>
        <v>20</v>
      </c>
      <c r="C3423">
        <f t="shared" si="273"/>
        <v>5</v>
      </c>
      <c r="D3423" t="str">
        <f t="shared" si="274"/>
        <v>May</v>
      </c>
      <c r="E3423">
        <f t="shared" si="275"/>
        <v>2026</v>
      </c>
      <c r="F3423" t="str">
        <f>CONCATENATE(calendar[[#This Row],[Month]],"/",calendar[[#This Row],[Year]])</f>
        <v>5/2026</v>
      </c>
      <c r="G3423">
        <f>WEEKDAY(calendar[[#This Row],[Date]],1)</f>
        <v>6</v>
      </c>
      <c r="H3423" t="str">
        <f>TEXT(calendar[[#This Row],[WeekDay]],"dddd")</f>
        <v>Friday</v>
      </c>
      <c r="I3423">
        <f>IF((INT(calendar[[#This Row],[Count]]/7)-calendar[[#This Row],[Count]]/7)&lt;0,I3422,I3422+1)</f>
        <v>489</v>
      </c>
      <c r="J3423">
        <f t="shared" si="272"/>
        <v>3421</v>
      </c>
      <c r="K3423">
        <f>IF(calendar[[#This Row],[Month]]&lt;4,1,IF(calendar[[#This Row],[Month]]&lt;7,2,IF(calendar[[#This Row],[Month]]&lt;10,3,4)))</f>
        <v>2</v>
      </c>
      <c r="L3423">
        <f>IFERROR(IF(VLOOKUP(calendar[[#This Row],[Date]],BH!A:A,1,)&lt;&gt;"",1,0),0)</f>
        <v>0</v>
      </c>
      <c r="M3423">
        <f>IFERROR(IF(VLOOKUP(calendar[[#This Row],[Date]],BH!C:C,1,)&lt;&gt;"",1,0),0)</f>
        <v>0</v>
      </c>
      <c r="N3423">
        <f>IFERROR(IF(VLOOKUP(calendar[[#This Row],[Date]],BH!E:E,1,)&lt;&gt;"",1,0),0)</f>
        <v>1</v>
      </c>
      <c r="O3423">
        <f>IFERROR(IF(VLOOKUP(calendar[[#This Row],[Date]],BH!G:G,1,)&lt;&gt;"",1,0),0)</f>
        <v>0</v>
      </c>
      <c r="P3423">
        <f>IF(OR(calendar[[#This Row],[UK_BH]]=1,calendar[[#This Row],[WeekDay]]=1, calendar[[#This Row],[WeekDay]]=7),P3422,P3422+1)</f>
        <v>2433</v>
      </c>
      <c r="Q3423">
        <f>IF(OR(calendar[[#This Row],[FR_BH]]=1,calendar[[#This Row],[WeekDay]]=1, calendar[[#This Row],[WeekDay]]=7),P3422,P3422+1)</f>
        <v>2433</v>
      </c>
      <c r="R3423">
        <f>IF(OR(calendar[[#This Row],[SP_BH]]=1,calendar[[#This Row],[WeekDay]]=1, calendar[[#This Row],[WeekDay]]=7),P3422,P3422+1)</f>
        <v>2432</v>
      </c>
      <c r="S3423">
        <f>IF(OR(calendar[[#This Row],[PT_BH]]=1,calendar[[#This Row],[WeekDay]]=1, calendar[[#This Row],[WeekDay]]=7),P3422,P3422+1)</f>
        <v>2433</v>
      </c>
    </row>
    <row r="3424" spans="1:19" x14ac:dyDescent="0.25">
      <c r="A3424" s="2">
        <v>46158</v>
      </c>
      <c r="B3424" s="1">
        <f t="shared" si="271"/>
        <v>20</v>
      </c>
      <c r="C3424">
        <f t="shared" si="273"/>
        <v>5</v>
      </c>
      <c r="D3424" t="str">
        <f t="shared" si="274"/>
        <v>May</v>
      </c>
      <c r="E3424">
        <f t="shared" si="275"/>
        <v>2026</v>
      </c>
      <c r="F3424" t="str">
        <f>CONCATENATE(calendar[[#This Row],[Month]],"/",calendar[[#This Row],[Year]])</f>
        <v>5/2026</v>
      </c>
      <c r="G3424">
        <f>WEEKDAY(calendar[[#This Row],[Date]],1)</f>
        <v>7</v>
      </c>
      <c r="H3424" t="str">
        <f>TEXT(calendar[[#This Row],[WeekDay]],"dddd")</f>
        <v>Saturday</v>
      </c>
      <c r="I3424">
        <f>IF((INT(calendar[[#This Row],[Count]]/7)-calendar[[#This Row],[Count]]/7)&lt;0,I3423,I3423+1)</f>
        <v>489</v>
      </c>
      <c r="J3424">
        <f t="shared" si="272"/>
        <v>3422</v>
      </c>
      <c r="K3424">
        <f>IF(calendar[[#This Row],[Month]]&lt;4,1,IF(calendar[[#This Row],[Month]]&lt;7,2,IF(calendar[[#This Row],[Month]]&lt;10,3,4)))</f>
        <v>2</v>
      </c>
      <c r="L3424">
        <f>IFERROR(IF(VLOOKUP(calendar[[#This Row],[Date]],BH!A:A,1,)&lt;&gt;"",1,0),0)</f>
        <v>0</v>
      </c>
      <c r="M3424">
        <f>IFERROR(IF(VLOOKUP(calendar[[#This Row],[Date]],BH!C:C,1,)&lt;&gt;"",1,0),0)</f>
        <v>0</v>
      </c>
      <c r="N3424">
        <f>IFERROR(IF(VLOOKUP(calendar[[#This Row],[Date]],BH!E:E,1,)&lt;&gt;"",1,0),0)</f>
        <v>0</v>
      </c>
      <c r="O3424">
        <f>IFERROR(IF(VLOOKUP(calendar[[#This Row],[Date]],BH!G:G,1,)&lt;&gt;"",1,0),0)</f>
        <v>0</v>
      </c>
      <c r="P3424">
        <f>IF(OR(calendar[[#This Row],[UK_BH]]=1,calendar[[#This Row],[WeekDay]]=1, calendar[[#This Row],[WeekDay]]=7),P3423,P3423+1)</f>
        <v>2433</v>
      </c>
      <c r="Q3424">
        <f>IF(OR(calendar[[#This Row],[FR_BH]]=1,calendar[[#This Row],[WeekDay]]=1, calendar[[#This Row],[WeekDay]]=7),P3423,P3423+1)</f>
        <v>2433</v>
      </c>
      <c r="R3424">
        <f>IF(OR(calendar[[#This Row],[SP_BH]]=1,calendar[[#This Row],[WeekDay]]=1, calendar[[#This Row],[WeekDay]]=7),P3423,P3423+1)</f>
        <v>2433</v>
      </c>
      <c r="S3424">
        <f>IF(OR(calendar[[#This Row],[PT_BH]]=1,calendar[[#This Row],[WeekDay]]=1, calendar[[#This Row],[WeekDay]]=7),P3423,P3423+1)</f>
        <v>2433</v>
      </c>
    </row>
    <row r="3425" spans="1:19" x14ac:dyDescent="0.25">
      <c r="A3425" s="2">
        <v>46159</v>
      </c>
      <c r="B3425" s="1">
        <f t="shared" si="271"/>
        <v>21</v>
      </c>
      <c r="C3425">
        <f t="shared" si="273"/>
        <v>5</v>
      </c>
      <c r="D3425" t="str">
        <f t="shared" si="274"/>
        <v>May</v>
      </c>
      <c r="E3425">
        <f t="shared" si="275"/>
        <v>2026</v>
      </c>
      <c r="F3425" t="str">
        <f>CONCATENATE(calendar[[#This Row],[Month]],"/",calendar[[#This Row],[Year]])</f>
        <v>5/2026</v>
      </c>
      <c r="G3425">
        <f>WEEKDAY(calendar[[#This Row],[Date]],1)</f>
        <v>1</v>
      </c>
      <c r="H3425" t="str">
        <f>TEXT(calendar[[#This Row],[WeekDay]],"dddd")</f>
        <v>Sunday</v>
      </c>
      <c r="I3425">
        <f>IF((INT(calendar[[#This Row],[Count]]/7)-calendar[[#This Row],[Count]]/7)&lt;0,I3424,I3424+1)</f>
        <v>490</v>
      </c>
      <c r="J3425">
        <f t="shared" si="272"/>
        <v>3423</v>
      </c>
      <c r="K3425">
        <f>IF(calendar[[#This Row],[Month]]&lt;4,1,IF(calendar[[#This Row],[Month]]&lt;7,2,IF(calendar[[#This Row],[Month]]&lt;10,3,4)))</f>
        <v>2</v>
      </c>
      <c r="L3425">
        <f>IFERROR(IF(VLOOKUP(calendar[[#This Row],[Date]],BH!A:A,1,)&lt;&gt;"",1,0),0)</f>
        <v>0</v>
      </c>
      <c r="M3425">
        <f>IFERROR(IF(VLOOKUP(calendar[[#This Row],[Date]],BH!C:C,1,)&lt;&gt;"",1,0),0)</f>
        <v>0</v>
      </c>
      <c r="N3425">
        <f>IFERROR(IF(VLOOKUP(calendar[[#This Row],[Date]],BH!E:E,1,)&lt;&gt;"",1,0),0)</f>
        <v>0</v>
      </c>
      <c r="O3425">
        <f>IFERROR(IF(VLOOKUP(calendar[[#This Row],[Date]],BH!G:G,1,)&lt;&gt;"",1,0),0)</f>
        <v>0</v>
      </c>
      <c r="P3425">
        <f>IF(OR(calendar[[#This Row],[UK_BH]]=1,calendar[[#This Row],[WeekDay]]=1, calendar[[#This Row],[WeekDay]]=7),P3424,P3424+1)</f>
        <v>2433</v>
      </c>
      <c r="Q3425">
        <f>IF(OR(calendar[[#This Row],[FR_BH]]=1,calendar[[#This Row],[WeekDay]]=1, calendar[[#This Row],[WeekDay]]=7),P3424,P3424+1)</f>
        <v>2433</v>
      </c>
      <c r="R3425">
        <f>IF(OR(calendar[[#This Row],[SP_BH]]=1,calendar[[#This Row],[WeekDay]]=1, calendar[[#This Row],[WeekDay]]=7),P3424,P3424+1)</f>
        <v>2433</v>
      </c>
      <c r="S3425">
        <f>IF(OR(calendar[[#This Row],[PT_BH]]=1,calendar[[#This Row],[WeekDay]]=1, calendar[[#This Row],[WeekDay]]=7),P3424,P3424+1)</f>
        <v>2433</v>
      </c>
    </row>
    <row r="3426" spans="1:19" x14ac:dyDescent="0.25">
      <c r="A3426" s="2">
        <v>46160</v>
      </c>
      <c r="B3426" s="1">
        <f t="shared" si="271"/>
        <v>21</v>
      </c>
      <c r="C3426">
        <f t="shared" si="273"/>
        <v>5</v>
      </c>
      <c r="D3426" t="str">
        <f t="shared" si="274"/>
        <v>May</v>
      </c>
      <c r="E3426">
        <f t="shared" si="275"/>
        <v>2026</v>
      </c>
      <c r="F3426" t="str">
        <f>CONCATENATE(calendar[[#This Row],[Month]],"/",calendar[[#This Row],[Year]])</f>
        <v>5/2026</v>
      </c>
      <c r="G3426">
        <f>WEEKDAY(calendar[[#This Row],[Date]],1)</f>
        <v>2</v>
      </c>
      <c r="H3426" t="str">
        <f>TEXT(calendar[[#This Row],[WeekDay]],"dddd")</f>
        <v>Monday</v>
      </c>
      <c r="I3426">
        <f>IF((INT(calendar[[#This Row],[Count]]/7)-calendar[[#This Row],[Count]]/7)&lt;0,I3425,I3425+1)</f>
        <v>490</v>
      </c>
      <c r="J3426">
        <f t="shared" si="272"/>
        <v>3424</v>
      </c>
      <c r="K3426">
        <f>IF(calendar[[#This Row],[Month]]&lt;4,1,IF(calendar[[#This Row],[Month]]&lt;7,2,IF(calendar[[#This Row],[Month]]&lt;10,3,4)))</f>
        <v>2</v>
      </c>
      <c r="L3426">
        <f>IFERROR(IF(VLOOKUP(calendar[[#This Row],[Date]],BH!A:A,1,)&lt;&gt;"",1,0),0)</f>
        <v>0</v>
      </c>
      <c r="M3426">
        <f>IFERROR(IF(VLOOKUP(calendar[[#This Row],[Date]],BH!C:C,1,)&lt;&gt;"",1,0),0)</f>
        <v>0</v>
      </c>
      <c r="N3426">
        <f>IFERROR(IF(VLOOKUP(calendar[[#This Row],[Date]],BH!E:E,1,)&lt;&gt;"",1,0),0)</f>
        <v>0</v>
      </c>
      <c r="O3426">
        <f>IFERROR(IF(VLOOKUP(calendar[[#This Row],[Date]],BH!G:G,1,)&lt;&gt;"",1,0),0)</f>
        <v>0</v>
      </c>
      <c r="P3426">
        <f>IF(OR(calendar[[#This Row],[UK_BH]]=1,calendar[[#This Row],[WeekDay]]=1, calendar[[#This Row],[WeekDay]]=7),P3425,P3425+1)</f>
        <v>2434</v>
      </c>
      <c r="Q3426">
        <f>IF(OR(calendar[[#This Row],[FR_BH]]=1,calendar[[#This Row],[WeekDay]]=1, calendar[[#This Row],[WeekDay]]=7),P3425,P3425+1)</f>
        <v>2434</v>
      </c>
      <c r="R3426">
        <f>IF(OR(calendar[[#This Row],[SP_BH]]=1,calendar[[#This Row],[WeekDay]]=1, calendar[[#This Row],[WeekDay]]=7),P3425,P3425+1)</f>
        <v>2434</v>
      </c>
      <c r="S3426">
        <f>IF(OR(calendar[[#This Row],[PT_BH]]=1,calendar[[#This Row],[WeekDay]]=1, calendar[[#This Row],[WeekDay]]=7),P3425,P3425+1)</f>
        <v>2434</v>
      </c>
    </row>
    <row r="3427" spans="1:19" x14ac:dyDescent="0.25">
      <c r="A3427" s="2">
        <v>46161</v>
      </c>
      <c r="B3427" s="1">
        <f t="shared" si="271"/>
        <v>21</v>
      </c>
      <c r="C3427">
        <f t="shared" si="273"/>
        <v>5</v>
      </c>
      <c r="D3427" t="str">
        <f t="shared" si="274"/>
        <v>May</v>
      </c>
      <c r="E3427">
        <f t="shared" si="275"/>
        <v>2026</v>
      </c>
      <c r="F3427" t="str">
        <f>CONCATENATE(calendar[[#This Row],[Month]],"/",calendar[[#This Row],[Year]])</f>
        <v>5/2026</v>
      </c>
      <c r="G3427">
        <f>WEEKDAY(calendar[[#This Row],[Date]],1)</f>
        <v>3</v>
      </c>
      <c r="H3427" t="str">
        <f>TEXT(calendar[[#This Row],[WeekDay]],"dddd")</f>
        <v>Tuesday</v>
      </c>
      <c r="I3427">
        <f>IF((INT(calendar[[#This Row],[Count]]/7)-calendar[[#This Row],[Count]]/7)&lt;0,I3426,I3426+1)</f>
        <v>490</v>
      </c>
      <c r="J3427">
        <f t="shared" si="272"/>
        <v>3425</v>
      </c>
      <c r="K3427">
        <f>IF(calendar[[#This Row],[Month]]&lt;4,1,IF(calendar[[#This Row],[Month]]&lt;7,2,IF(calendar[[#This Row],[Month]]&lt;10,3,4)))</f>
        <v>2</v>
      </c>
      <c r="L3427">
        <f>IFERROR(IF(VLOOKUP(calendar[[#This Row],[Date]],BH!A:A,1,)&lt;&gt;"",1,0),0)</f>
        <v>0</v>
      </c>
      <c r="M3427">
        <f>IFERROR(IF(VLOOKUP(calendar[[#This Row],[Date]],BH!C:C,1,)&lt;&gt;"",1,0),0)</f>
        <v>0</v>
      </c>
      <c r="N3427">
        <f>IFERROR(IF(VLOOKUP(calendar[[#This Row],[Date]],BH!E:E,1,)&lt;&gt;"",1,0),0)</f>
        <v>0</v>
      </c>
      <c r="O3427">
        <f>IFERROR(IF(VLOOKUP(calendar[[#This Row],[Date]],BH!G:G,1,)&lt;&gt;"",1,0),0)</f>
        <v>0</v>
      </c>
      <c r="P3427">
        <f>IF(OR(calendar[[#This Row],[UK_BH]]=1,calendar[[#This Row],[WeekDay]]=1, calendar[[#This Row],[WeekDay]]=7),P3426,P3426+1)</f>
        <v>2435</v>
      </c>
      <c r="Q3427">
        <f>IF(OR(calendar[[#This Row],[FR_BH]]=1,calendar[[#This Row],[WeekDay]]=1, calendar[[#This Row],[WeekDay]]=7),P3426,P3426+1)</f>
        <v>2435</v>
      </c>
      <c r="R3427">
        <f>IF(OR(calendar[[#This Row],[SP_BH]]=1,calendar[[#This Row],[WeekDay]]=1, calendar[[#This Row],[WeekDay]]=7),P3426,P3426+1)</f>
        <v>2435</v>
      </c>
      <c r="S3427">
        <f>IF(OR(calendar[[#This Row],[PT_BH]]=1,calendar[[#This Row],[WeekDay]]=1, calendar[[#This Row],[WeekDay]]=7),P3426,P3426+1)</f>
        <v>2435</v>
      </c>
    </row>
    <row r="3428" spans="1:19" x14ac:dyDescent="0.25">
      <c r="A3428" s="2">
        <v>46162</v>
      </c>
      <c r="B3428" s="1">
        <f t="shared" si="271"/>
        <v>21</v>
      </c>
      <c r="C3428">
        <f t="shared" si="273"/>
        <v>5</v>
      </c>
      <c r="D3428" t="str">
        <f t="shared" si="274"/>
        <v>May</v>
      </c>
      <c r="E3428">
        <f t="shared" si="275"/>
        <v>2026</v>
      </c>
      <c r="F3428" t="str">
        <f>CONCATENATE(calendar[[#This Row],[Month]],"/",calendar[[#This Row],[Year]])</f>
        <v>5/2026</v>
      </c>
      <c r="G3428">
        <f>WEEKDAY(calendar[[#This Row],[Date]],1)</f>
        <v>4</v>
      </c>
      <c r="H3428" t="str">
        <f>TEXT(calendar[[#This Row],[WeekDay]],"dddd")</f>
        <v>Wednesday</v>
      </c>
      <c r="I3428">
        <f>IF((INT(calendar[[#This Row],[Count]]/7)-calendar[[#This Row],[Count]]/7)&lt;0,I3427,I3427+1)</f>
        <v>490</v>
      </c>
      <c r="J3428">
        <f t="shared" si="272"/>
        <v>3426</v>
      </c>
      <c r="K3428">
        <f>IF(calendar[[#This Row],[Month]]&lt;4,1,IF(calendar[[#This Row],[Month]]&lt;7,2,IF(calendar[[#This Row],[Month]]&lt;10,3,4)))</f>
        <v>2</v>
      </c>
      <c r="L3428">
        <f>IFERROR(IF(VLOOKUP(calendar[[#This Row],[Date]],BH!A:A,1,)&lt;&gt;"",1,0),0)</f>
        <v>0</v>
      </c>
      <c r="M3428">
        <f>IFERROR(IF(VLOOKUP(calendar[[#This Row],[Date]],BH!C:C,1,)&lt;&gt;"",1,0),0)</f>
        <v>0</v>
      </c>
      <c r="N3428">
        <f>IFERROR(IF(VLOOKUP(calendar[[#This Row],[Date]],BH!E:E,1,)&lt;&gt;"",1,0),0)</f>
        <v>0</v>
      </c>
      <c r="O3428">
        <f>IFERROR(IF(VLOOKUP(calendar[[#This Row],[Date]],BH!G:G,1,)&lt;&gt;"",1,0),0)</f>
        <v>0</v>
      </c>
      <c r="P3428">
        <f>IF(OR(calendar[[#This Row],[UK_BH]]=1,calendar[[#This Row],[WeekDay]]=1, calendar[[#This Row],[WeekDay]]=7),P3427,P3427+1)</f>
        <v>2436</v>
      </c>
      <c r="Q3428">
        <f>IF(OR(calendar[[#This Row],[FR_BH]]=1,calendar[[#This Row],[WeekDay]]=1, calendar[[#This Row],[WeekDay]]=7),P3427,P3427+1)</f>
        <v>2436</v>
      </c>
      <c r="R3428">
        <f>IF(OR(calendar[[#This Row],[SP_BH]]=1,calendar[[#This Row],[WeekDay]]=1, calendar[[#This Row],[WeekDay]]=7),P3427,P3427+1)</f>
        <v>2436</v>
      </c>
      <c r="S3428">
        <f>IF(OR(calendar[[#This Row],[PT_BH]]=1,calendar[[#This Row],[WeekDay]]=1, calendar[[#This Row],[WeekDay]]=7),P3427,P3427+1)</f>
        <v>2436</v>
      </c>
    </row>
    <row r="3429" spans="1:19" x14ac:dyDescent="0.25">
      <c r="A3429" s="2">
        <v>46163</v>
      </c>
      <c r="B3429" s="1">
        <f t="shared" si="271"/>
        <v>21</v>
      </c>
      <c r="C3429">
        <f t="shared" si="273"/>
        <v>5</v>
      </c>
      <c r="D3429" t="str">
        <f t="shared" si="274"/>
        <v>May</v>
      </c>
      <c r="E3429">
        <f t="shared" si="275"/>
        <v>2026</v>
      </c>
      <c r="F3429" t="str">
        <f>CONCATENATE(calendar[[#This Row],[Month]],"/",calendar[[#This Row],[Year]])</f>
        <v>5/2026</v>
      </c>
      <c r="G3429">
        <f>WEEKDAY(calendar[[#This Row],[Date]],1)</f>
        <v>5</v>
      </c>
      <c r="H3429" t="str">
        <f>TEXT(calendar[[#This Row],[WeekDay]],"dddd")</f>
        <v>Thursday</v>
      </c>
      <c r="I3429">
        <f>IF((INT(calendar[[#This Row],[Count]]/7)-calendar[[#This Row],[Count]]/7)&lt;0,I3428,I3428+1)</f>
        <v>490</v>
      </c>
      <c r="J3429">
        <f t="shared" si="272"/>
        <v>3427</v>
      </c>
      <c r="K3429">
        <f>IF(calendar[[#This Row],[Month]]&lt;4,1,IF(calendar[[#This Row],[Month]]&lt;7,2,IF(calendar[[#This Row],[Month]]&lt;10,3,4)))</f>
        <v>2</v>
      </c>
      <c r="L3429">
        <f>IFERROR(IF(VLOOKUP(calendar[[#This Row],[Date]],BH!A:A,1,)&lt;&gt;"",1,0),0)</f>
        <v>0</v>
      </c>
      <c r="M3429">
        <f>IFERROR(IF(VLOOKUP(calendar[[#This Row],[Date]],BH!C:C,1,)&lt;&gt;"",1,0),0)</f>
        <v>0</v>
      </c>
      <c r="N3429">
        <f>IFERROR(IF(VLOOKUP(calendar[[#This Row],[Date]],BH!E:E,1,)&lt;&gt;"",1,0),0)</f>
        <v>0</v>
      </c>
      <c r="O3429">
        <f>IFERROR(IF(VLOOKUP(calendar[[#This Row],[Date]],BH!G:G,1,)&lt;&gt;"",1,0),0)</f>
        <v>0</v>
      </c>
      <c r="P3429">
        <f>IF(OR(calendar[[#This Row],[UK_BH]]=1,calendar[[#This Row],[WeekDay]]=1, calendar[[#This Row],[WeekDay]]=7),P3428,P3428+1)</f>
        <v>2437</v>
      </c>
      <c r="Q3429">
        <f>IF(OR(calendar[[#This Row],[FR_BH]]=1,calendar[[#This Row],[WeekDay]]=1, calendar[[#This Row],[WeekDay]]=7),P3428,P3428+1)</f>
        <v>2437</v>
      </c>
      <c r="R3429">
        <f>IF(OR(calendar[[#This Row],[SP_BH]]=1,calendar[[#This Row],[WeekDay]]=1, calendar[[#This Row],[WeekDay]]=7),P3428,P3428+1)</f>
        <v>2437</v>
      </c>
      <c r="S3429">
        <f>IF(OR(calendar[[#This Row],[PT_BH]]=1,calendar[[#This Row],[WeekDay]]=1, calendar[[#This Row],[WeekDay]]=7),P3428,P3428+1)</f>
        <v>2437</v>
      </c>
    </row>
    <row r="3430" spans="1:19" x14ac:dyDescent="0.25">
      <c r="A3430" s="2">
        <v>46164</v>
      </c>
      <c r="B3430" s="1">
        <f t="shared" si="271"/>
        <v>21</v>
      </c>
      <c r="C3430">
        <f t="shared" si="273"/>
        <v>5</v>
      </c>
      <c r="D3430" t="str">
        <f t="shared" si="274"/>
        <v>May</v>
      </c>
      <c r="E3430">
        <f t="shared" si="275"/>
        <v>2026</v>
      </c>
      <c r="F3430" t="str">
        <f>CONCATENATE(calendar[[#This Row],[Month]],"/",calendar[[#This Row],[Year]])</f>
        <v>5/2026</v>
      </c>
      <c r="G3430">
        <f>WEEKDAY(calendar[[#This Row],[Date]],1)</f>
        <v>6</v>
      </c>
      <c r="H3430" t="str">
        <f>TEXT(calendar[[#This Row],[WeekDay]],"dddd")</f>
        <v>Friday</v>
      </c>
      <c r="I3430">
        <f>IF((INT(calendar[[#This Row],[Count]]/7)-calendar[[#This Row],[Count]]/7)&lt;0,I3429,I3429+1)</f>
        <v>490</v>
      </c>
      <c r="J3430">
        <f t="shared" si="272"/>
        <v>3428</v>
      </c>
      <c r="K3430">
        <f>IF(calendar[[#This Row],[Month]]&lt;4,1,IF(calendar[[#This Row],[Month]]&lt;7,2,IF(calendar[[#This Row],[Month]]&lt;10,3,4)))</f>
        <v>2</v>
      </c>
      <c r="L3430">
        <f>IFERROR(IF(VLOOKUP(calendar[[#This Row],[Date]],BH!A:A,1,)&lt;&gt;"",1,0),0)</f>
        <v>0</v>
      </c>
      <c r="M3430">
        <f>IFERROR(IF(VLOOKUP(calendar[[#This Row],[Date]],BH!C:C,1,)&lt;&gt;"",1,0),0)</f>
        <v>0</v>
      </c>
      <c r="N3430">
        <f>IFERROR(IF(VLOOKUP(calendar[[#This Row],[Date]],BH!E:E,1,)&lt;&gt;"",1,0),0)</f>
        <v>0</v>
      </c>
      <c r="O3430">
        <f>IFERROR(IF(VLOOKUP(calendar[[#This Row],[Date]],BH!G:G,1,)&lt;&gt;"",1,0),0)</f>
        <v>0</v>
      </c>
      <c r="P3430">
        <f>IF(OR(calendar[[#This Row],[UK_BH]]=1,calendar[[#This Row],[WeekDay]]=1, calendar[[#This Row],[WeekDay]]=7),P3429,P3429+1)</f>
        <v>2438</v>
      </c>
      <c r="Q3430">
        <f>IF(OR(calendar[[#This Row],[FR_BH]]=1,calendar[[#This Row],[WeekDay]]=1, calendar[[#This Row],[WeekDay]]=7),P3429,P3429+1)</f>
        <v>2438</v>
      </c>
      <c r="R3430">
        <f>IF(OR(calendar[[#This Row],[SP_BH]]=1,calendar[[#This Row],[WeekDay]]=1, calendar[[#This Row],[WeekDay]]=7),P3429,P3429+1)</f>
        <v>2438</v>
      </c>
      <c r="S3430">
        <f>IF(OR(calendar[[#This Row],[PT_BH]]=1,calendar[[#This Row],[WeekDay]]=1, calendar[[#This Row],[WeekDay]]=7),P3429,P3429+1)</f>
        <v>2438</v>
      </c>
    </row>
    <row r="3431" spans="1:19" x14ac:dyDescent="0.25">
      <c r="A3431" s="2">
        <v>46165</v>
      </c>
      <c r="B3431" s="1">
        <f t="shared" si="271"/>
        <v>21</v>
      </c>
      <c r="C3431">
        <f t="shared" si="273"/>
        <v>5</v>
      </c>
      <c r="D3431" t="str">
        <f t="shared" si="274"/>
        <v>May</v>
      </c>
      <c r="E3431">
        <f t="shared" si="275"/>
        <v>2026</v>
      </c>
      <c r="F3431" t="str">
        <f>CONCATENATE(calendar[[#This Row],[Month]],"/",calendar[[#This Row],[Year]])</f>
        <v>5/2026</v>
      </c>
      <c r="G3431">
        <f>WEEKDAY(calendar[[#This Row],[Date]],1)</f>
        <v>7</v>
      </c>
      <c r="H3431" t="str">
        <f>TEXT(calendar[[#This Row],[WeekDay]],"dddd")</f>
        <v>Saturday</v>
      </c>
      <c r="I3431">
        <f>IF((INT(calendar[[#This Row],[Count]]/7)-calendar[[#This Row],[Count]]/7)&lt;0,I3430,I3430+1)</f>
        <v>490</v>
      </c>
      <c r="J3431">
        <f t="shared" si="272"/>
        <v>3429</v>
      </c>
      <c r="K3431">
        <f>IF(calendar[[#This Row],[Month]]&lt;4,1,IF(calendar[[#This Row],[Month]]&lt;7,2,IF(calendar[[#This Row],[Month]]&lt;10,3,4)))</f>
        <v>2</v>
      </c>
      <c r="L3431">
        <f>IFERROR(IF(VLOOKUP(calendar[[#This Row],[Date]],BH!A:A,1,)&lt;&gt;"",1,0),0)</f>
        <v>0</v>
      </c>
      <c r="M3431">
        <f>IFERROR(IF(VLOOKUP(calendar[[#This Row],[Date]],BH!C:C,1,)&lt;&gt;"",1,0),0)</f>
        <v>0</v>
      </c>
      <c r="N3431">
        <f>IFERROR(IF(VLOOKUP(calendar[[#This Row],[Date]],BH!E:E,1,)&lt;&gt;"",1,0),0)</f>
        <v>0</v>
      </c>
      <c r="O3431">
        <f>IFERROR(IF(VLOOKUP(calendar[[#This Row],[Date]],BH!G:G,1,)&lt;&gt;"",1,0),0)</f>
        <v>0</v>
      </c>
      <c r="P3431">
        <f>IF(OR(calendar[[#This Row],[UK_BH]]=1,calendar[[#This Row],[WeekDay]]=1, calendar[[#This Row],[WeekDay]]=7),P3430,P3430+1)</f>
        <v>2438</v>
      </c>
      <c r="Q3431">
        <f>IF(OR(calendar[[#This Row],[FR_BH]]=1,calendar[[#This Row],[WeekDay]]=1, calendar[[#This Row],[WeekDay]]=7),P3430,P3430+1)</f>
        <v>2438</v>
      </c>
      <c r="R3431">
        <f>IF(OR(calendar[[#This Row],[SP_BH]]=1,calendar[[#This Row],[WeekDay]]=1, calendar[[#This Row],[WeekDay]]=7),P3430,P3430+1)</f>
        <v>2438</v>
      </c>
      <c r="S3431">
        <f>IF(OR(calendar[[#This Row],[PT_BH]]=1,calendar[[#This Row],[WeekDay]]=1, calendar[[#This Row],[WeekDay]]=7),P3430,P3430+1)</f>
        <v>2438</v>
      </c>
    </row>
    <row r="3432" spans="1:19" x14ac:dyDescent="0.25">
      <c r="A3432" s="2">
        <v>46166</v>
      </c>
      <c r="B3432" s="1">
        <f t="shared" si="271"/>
        <v>22</v>
      </c>
      <c r="C3432">
        <f t="shared" si="273"/>
        <v>5</v>
      </c>
      <c r="D3432" t="str">
        <f t="shared" si="274"/>
        <v>May</v>
      </c>
      <c r="E3432">
        <f t="shared" si="275"/>
        <v>2026</v>
      </c>
      <c r="F3432" t="str">
        <f>CONCATENATE(calendar[[#This Row],[Month]],"/",calendar[[#This Row],[Year]])</f>
        <v>5/2026</v>
      </c>
      <c r="G3432">
        <f>WEEKDAY(calendar[[#This Row],[Date]],1)</f>
        <v>1</v>
      </c>
      <c r="H3432" t="str">
        <f>TEXT(calendar[[#This Row],[WeekDay]],"dddd")</f>
        <v>Sunday</v>
      </c>
      <c r="I3432">
        <f>IF((INT(calendar[[#This Row],[Count]]/7)-calendar[[#This Row],[Count]]/7)&lt;0,I3431,I3431+1)</f>
        <v>491</v>
      </c>
      <c r="J3432">
        <f t="shared" si="272"/>
        <v>3430</v>
      </c>
      <c r="K3432">
        <f>IF(calendar[[#This Row],[Month]]&lt;4,1,IF(calendar[[#This Row],[Month]]&lt;7,2,IF(calendar[[#This Row],[Month]]&lt;10,3,4)))</f>
        <v>2</v>
      </c>
      <c r="L3432">
        <f>IFERROR(IF(VLOOKUP(calendar[[#This Row],[Date]],BH!A:A,1,)&lt;&gt;"",1,0),0)</f>
        <v>0</v>
      </c>
      <c r="M3432">
        <f>IFERROR(IF(VLOOKUP(calendar[[#This Row],[Date]],BH!C:C,1,)&lt;&gt;"",1,0),0)</f>
        <v>1</v>
      </c>
      <c r="N3432">
        <f>IFERROR(IF(VLOOKUP(calendar[[#This Row],[Date]],BH!E:E,1,)&lt;&gt;"",1,0),0)</f>
        <v>1</v>
      </c>
      <c r="O3432">
        <f>IFERROR(IF(VLOOKUP(calendar[[#This Row],[Date]],BH!G:G,1,)&lt;&gt;"",1,0),0)</f>
        <v>0</v>
      </c>
      <c r="P3432">
        <f>IF(OR(calendar[[#This Row],[UK_BH]]=1,calendar[[#This Row],[WeekDay]]=1, calendar[[#This Row],[WeekDay]]=7),P3431,P3431+1)</f>
        <v>2438</v>
      </c>
      <c r="Q3432">
        <f>IF(OR(calendar[[#This Row],[FR_BH]]=1,calendar[[#This Row],[WeekDay]]=1, calendar[[#This Row],[WeekDay]]=7),P3431,P3431+1)</f>
        <v>2438</v>
      </c>
      <c r="R3432">
        <f>IF(OR(calendar[[#This Row],[SP_BH]]=1,calendar[[#This Row],[WeekDay]]=1, calendar[[#This Row],[WeekDay]]=7),P3431,P3431+1)</f>
        <v>2438</v>
      </c>
      <c r="S3432">
        <f>IF(OR(calendar[[#This Row],[PT_BH]]=1,calendar[[#This Row],[WeekDay]]=1, calendar[[#This Row],[WeekDay]]=7),P3431,P3431+1)</f>
        <v>2438</v>
      </c>
    </row>
    <row r="3433" spans="1:19" x14ac:dyDescent="0.25">
      <c r="A3433" s="2">
        <v>46167</v>
      </c>
      <c r="B3433" s="1">
        <f t="shared" si="271"/>
        <v>22</v>
      </c>
      <c r="C3433">
        <f t="shared" si="273"/>
        <v>5</v>
      </c>
      <c r="D3433" t="str">
        <f t="shared" si="274"/>
        <v>May</v>
      </c>
      <c r="E3433">
        <f t="shared" si="275"/>
        <v>2026</v>
      </c>
      <c r="F3433" t="str">
        <f>CONCATENATE(calendar[[#This Row],[Month]],"/",calendar[[#This Row],[Year]])</f>
        <v>5/2026</v>
      </c>
      <c r="G3433">
        <f>WEEKDAY(calendar[[#This Row],[Date]],1)</f>
        <v>2</v>
      </c>
      <c r="H3433" t="str">
        <f>TEXT(calendar[[#This Row],[WeekDay]],"dddd")</f>
        <v>Monday</v>
      </c>
      <c r="I3433">
        <f>IF((INT(calendar[[#This Row],[Count]]/7)-calendar[[#This Row],[Count]]/7)&lt;0,I3432,I3432+1)</f>
        <v>491</v>
      </c>
      <c r="J3433">
        <f t="shared" si="272"/>
        <v>3431</v>
      </c>
      <c r="K3433">
        <f>IF(calendar[[#This Row],[Month]]&lt;4,1,IF(calendar[[#This Row],[Month]]&lt;7,2,IF(calendar[[#This Row],[Month]]&lt;10,3,4)))</f>
        <v>2</v>
      </c>
      <c r="L3433">
        <f>IFERROR(IF(VLOOKUP(calendar[[#This Row],[Date]],BH!A:A,1,)&lt;&gt;"",1,0),0)</f>
        <v>1</v>
      </c>
      <c r="M3433">
        <f>IFERROR(IF(VLOOKUP(calendar[[#This Row],[Date]],BH!C:C,1,)&lt;&gt;"",1,0),0)</f>
        <v>1</v>
      </c>
      <c r="N3433">
        <f>IFERROR(IF(VLOOKUP(calendar[[#This Row],[Date]],BH!E:E,1,)&lt;&gt;"",1,0),0)</f>
        <v>0</v>
      </c>
      <c r="O3433">
        <f>IFERROR(IF(VLOOKUP(calendar[[#This Row],[Date]],BH!G:G,1,)&lt;&gt;"",1,0),0)</f>
        <v>0</v>
      </c>
      <c r="P3433">
        <f>IF(OR(calendar[[#This Row],[UK_BH]]=1,calendar[[#This Row],[WeekDay]]=1, calendar[[#This Row],[WeekDay]]=7),P3432,P3432+1)</f>
        <v>2438</v>
      </c>
      <c r="Q3433">
        <f>IF(OR(calendar[[#This Row],[FR_BH]]=1,calendar[[#This Row],[WeekDay]]=1, calendar[[#This Row],[WeekDay]]=7),P3432,P3432+1)</f>
        <v>2438</v>
      </c>
      <c r="R3433">
        <f>IF(OR(calendar[[#This Row],[SP_BH]]=1,calendar[[#This Row],[WeekDay]]=1, calendar[[#This Row],[WeekDay]]=7),P3432,P3432+1)</f>
        <v>2439</v>
      </c>
      <c r="S3433">
        <f>IF(OR(calendar[[#This Row],[PT_BH]]=1,calendar[[#This Row],[WeekDay]]=1, calendar[[#This Row],[WeekDay]]=7),P3432,P3432+1)</f>
        <v>2439</v>
      </c>
    </row>
    <row r="3434" spans="1:19" x14ac:dyDescent="0.25">
      <c r="A3434" s="2">
        <v>46168</v>
      </c>
      <c r="B3434" s="1">
        <f t="shared" si="271"/>
        <v>22</v>
      </c>
      <c r="C3434">
        <f t="shared" si="273"/>
        <v>5</v>
      </c>
      <c r="D3434" t="str">
        <f t="shared" si="274"/>
        <v>May</v>
      </c>
      <c r="E3434">
        <f t="shared" si="275"/>
        <v>2026</v>
      </c>
      <c r="F3434" t="str">
        <f>CONCATENATE(calendar[[#This Row],[Month]],"/",calendar[[#This Row],[Year]])</f>
        <v>5/2026</v>
      </c>
      <c r="G3434">
        <f>WEEKDAY(calendar[[#This Row],[Date]],1)</f>
        <v>3</v>
      </c>
      <c r="H3434" t="str">
        <f>TEXT(calendar[[#This Row],[WeekDay]],"dddd")</f>
        <v>Tuesday</v>
      </c>
      <c r="I3434">
        <f>IF((INT(calendar[[#This Row],[Count]]/7)-calendar[[#This Row],[Count]]/7)&lt;0,I3433,I3433+1)</f>
        <v>491</v>
      </c>
      <c r="J3434">
        <f t="shared" si="272"/>
        <v>3432</v>
      </c>
      <c r="K3434">
        <f>IF(calendar[[#This Row],[Month]]&lt;4,1,IF(calendar[[#This Row],[Month]]&lt;7,2,IF(calendar[[#This Row],[Month]]&lt;10,3,4)))</f>
        <v>2</v>
      </c>
      <c r="L3434">
        <f>IFERROR(IF(VLOOKUP(calendar[[#This Row],[Date]],BH!A:A,1,)&lt;&gt;"",1,0),0)</f>
        <v>0</v>
      </c>
      <c r="M3434">
        <f>IFERROR(IF(VLOOKUP(calendar[[#This Row],[Date]],BH!C:C,1,)&lt;&gt;"",1,0),0)</f>
        <v>0</v>
      </c>
      <c r="N3434">
        <f>IFERROR(IF(VLOOKUP(calendar[[#This Row],[Date]],BH!E:E,1,)&lt;&gt;"",1,0),0)</f>
        <v>0</v>
      </c>
      <c r="O3434">
        <f>IFERROR(IF(VLOOKUP(calendar[[#This Row],[Date]],BH!G:G,1,)&lt;&gt;"",1,0),0)</f>
        <v>0</v>
      </c>
      <c r="P3434">
        <f>IF(OR(calendar[[#This Row],[UK_BH]]=1,calendar[[#This Row],[WeekDay]]=1, calendar[[#This Row],[WeekDay]]=7),P3433,P3433+1)</f>
        <v>2439</v>
      </c>
      <c r="Q3434">
        <f>IF(OR(calendar[[#This Row],[FR_BH]]=1,calendar[[#This Row],[WeekDay]]=1, calendar[[#This Row],[WeekDay]]=7),P3433,P3433+1)</f>
        <v>2439</v>
      </c>
      <c r="R3434">
        <f>IF(OR(calendar[[#This Row],[SP_BH]]=1,calendar[[#This Row],[WeekDay]]=1, calendar[[#This Row],[WeekDay]]=7),P3433,P3433+1)</f>
        <v>2439</v>
      </c>
      <c r="S3434">
        <f>IF(OR(calendar[[#This Row],[PT_BH]]=1,calendar[[#This Row],[WeekDay]]=1, calendar[[#This Row],[WeekDay]]=7),P3433,P3433+1)</f>
        <v>2439</v>
      </c>
    </row>
    <row r="3435" spans="1:19" x14ac:dyDescent="0.25">
      <c r="A3435" s="2">
        <v>46169</v>
      </c>
      <c r="B3435" s="1">
        <f t="shared" si="271"/>
        <v>22</v>
      </c>
      <c r="C3435">
        <f t="shared" si="273"/>
        <v>5</v>
      </c>
      <c r="D3435" t="str">
        <f t="shared" si="274"/>
        <v>May</v>
      </c>
      <c r="E3435">
        <f t="shared" si="275"/>
        <v>2026</v>
      </c>
      <c r="F3435" t="str">
        <f>CONCATENATE(calendar[[#This Row],[Month]],"/",calendar[[#This Row],[Year]])</f>
        <v>5/2026</v>
      </c>
      <c r="G3435">
        <f>WEEKDAY(calendar[[#This Row],[Date]],1)</f>
        <v>4</v>
      </c>
      <c r="H3435" t="str">
        <f>TEXT(calendar[[#This Row],[WeekDay]],"dddd")</f>
        <v>Wednesday</v>
      </c>
      <c r="I3435">
        <f>IF((INT(calendar[[#This Row],[Count]]/7)-calendar[[#This Row],[Count]]/7)&lt;0,I3434,I3434+1)</f>
        <v>491</v>
      </c>
      <c r="J3435">
        <f t="shared" si="272"/>
        <v>3433</v>
      </c>
      <c r="K3435">
        <f>IF(calendar[[#This Row],[Month]]&lt;4,1,IF(calendar[[#This Row],[Month]]&lt;7,2,IF(calendar[[#This Row],[Month]]&lt;10,3,4)))</f>
        <v>2</v>
      </c>
      <c r="L3435">
        <f>IFERROR(IF(VLOOKUP(calendar[[#This Row],[Date]],BH!A:A,1,)&lt;&gt;"",1,0),0)</f>
        <v>0</v>
      </c>
      <c r="M3435">
        <f>IFERROR(IF(VLOOKUP(calendar[[#This Row],[Date]],BH!C:C,1,)&lt;&gt;"",1,0),0)</f>
        <v>0</v>
      </c>
      <c r="N3435">
        <f>IFERROR(IF(VLOOKUP(calendar[[#This Row],[Date]],BH!E:E,1,)&lt;&gt;"",1,0),0)</f>
        <v>0</v>
      </c>
      <c r="O3435">
        <f>IFERROR(IF(VLOOKUP(calendar[[#This Row],[Date]],BH!G:G,1,)&lt;&gt;"",1,0),0)</f>
        <v>0</v>
      </c>
      <c r="P3435">
        <f>IF(OR(calendar[[#This Row],[UK_BH]]=1,calendar[[#This Row],[WeekDay]]=1, calendar[[#This Row],[WeekDay]]=7),P3434,P3434+1)</f>
        <v>2440</v>
      </c>
      <c r="Q3435">
        <f>IF(OR(calendar[[#This Row],[FR_BH]]=1,calendar[[#This Row],[WeekDay]]=1, calendar[[#This Row],[WeekDay]]=7),P3434,P3434+1)</f>
        <v>2440</v>
      </c>
      <c r="R3435">
        <f>IF(OR(calendar[[#This Row],[SP_BH]]=1,calendar[[#This Row],[WeekDay]]=1, calendar[[#This Row],[WeekDay]]=7),P3434,P3434+1)</f>
        <v>2440</v>
      </c>
      <c r="S3435">
        <f>IF(OR(calendar[[#This Row],[PT_BH]]=1,calendar[[#This Row],[WeekDay]]=1, calendar[[#This Row],[WeekDay]]=7),P3434,P3434+1)</f>
        <v>2440</v>
      </c>
    </row>
    <row r="3436" spans="1:19" x14ac:dyDescent="0.25">
      <c r="A3436" s="2">
        <v>46170</v>
      </c>
      <c r="B3436" s="1">
        <f t="shared" si="271"/>
        <v>22</v>
      </c>
      <c r="C3436">
        <f t="shared" si="273"/>
        <v>5</v>
      </c>
      <c r="D3436" t="str">
        <f t="shared" si="274"/>
        <v>May</v>
      </c>
      <c r="E3436">
        <f t="shared" si="275"/>
        <v>2026</v>
      </c>
      <c r="F3436" t="str">
        <f>CONCATENATE(calendar[[#This Row],[Month]],"/",calendar[[#This Row],[Year]])</f>
        <v>5/2026</v>
      </c>
      <c r="G3436">
        <f>WEEKDAY(calendar[[#This Row],[Date]],1)</f>
        <v>5</v>
      </c>
      <c r="H3436" t="str">
        <f>TEXT(calendar[[#This Row],[WeekDay]],"dddd")</f>
        <v>Thursday</v>
      </c>
      <c r="I3436">
        <f>IF((INT(calendar[[#This Row],[Count]]/7)-calendar[[#This Row],[Count]]/7)&lt;0,I3435,I3435+1)</f>
        <v>491</v>
      </c>
      <c r="J3436">
        <f t="shared" si="272"/>
        <v>3434</v>
      </c>
      <c r="K3436">
        <f>IF(calendar[[#This Row],[Month]]&lt;4,1,IF(calendar[[#This Row],[Month]]&lt;7,2,IF(calendar[[#This Row],[Month]]&lt;10,3,4)))</f>
        <v>2</v>
      </c>
      <c r="L3436">
        <f>IFERROR(IF(VLOOKUP(calendar[[#This Row],[Date]],BH!A:A,1,)&lt;&gt;"",1,0),0)</f>
        <v>0</v>
      </c>
      <c r="M3436">
        <f>IFERROR(IF(VLOOKUP(calendar[[#This Row],[Date]],BH!C:C,1,)&lt;&gt;"",1,0),0)</f>
        <v>0</v>
      </c>
      <c r="N3436">
        <f>IFERROR(IF(VLOOKUP(calendar[[#This Row],[Date]],BH!E:E,1,)&lt;&gt;"",1,0),0)</f>
        <v>0</v>
      </c>
      <c r="O3436">
        <f>IFERROR(IF(VLOOKUP(calendar[[#This Row],[Date]],BH!G:G,1,)&lt;&gt;"",1,0),0)</f>
        <v>0</v>
      </c>
      <c r="P3436">
        <f>IF(OR(calendar[[#This Row],[UK_BH]]=1,calendar[[#This Row],[WeekDay]]=1, calendar[[#This Row],[WeekDay]]=7),P3435,P3435+1)</f>
        <v>2441</v>
      </c>
      <c r="Q3436">
        <f>IF(OR(calendar[[#This Row],[FR_BH]]=1,calendar[[#This Row],[WeekDay]]=1, calendar[[#This Row],[WeekDay]]=7),P3435,P3435+1)</f>
        <v>2441</v>
      </c>
      <c r="R3436">
        <f>IF(OR(calendar[[#This Row],[SP_BH]]=1,calendar[[#This Row],[WeekDay]]=1, calendar[[#This Row],[WeekDay]]=7),P3435,P3435+1)</f>
        <v>2441</v>
      </c>
      <c r="S3436">
        <f>IF(OR(calendar[[#This Row],[PT_BH]]=1,calendar[[#This Row],[WeekDay]]=1, calendar[[#This Row],[WeekDay]]=7),P3435,P3435+1)</f>
        <v>2441</v>
      </c>
    </row>
    <row r="3437" spans="1:19" x14ac:dyDescent="0.25">
      <c r="A3437" s="2">
        <v>46171</v>
      </c>
      <c r="B3437" s="1">
        <f t="shared" si="271"/>
        <v>22</v>
      </c>
      <c r="C3437">
        <f t="shared" si="273"/>
        <v>5</v>
      </c>
      <c r="D3437" t="str">
        <f t="shared" si="274"/>
        <v>May</v>
      </c>
      <c r="E3437">
        <f t="shared" si="275"/>
        <v>2026</v>
      </c>
      <c r="F3437" t="str">
        <f>CONCATENATE(calendar[[#This Row],[Month]],"/",calendar[[#This Row],[Year]])</f>
        <v>5/2026</v>
      </c>
      <c r="G3437">
        <f>WEEKDAY(calendar[[#This Row],[Date]],1)</f>
        <v>6</v>
      </c>
      <c r="H3437" t="str">
        <f>TEXT(calendar[[#This Row],[WeekDay]],"dddd")</f>
        <v>Friday</v>
      </c>
      <c r="I3437">
        <f>IF((INT(calendar[[#This Row],[Count]]/7)-calendar[[#This Row],[Count]]/7)&lt;0,I3436,I3436+1)</f>
        <v>491</v>
      </c>
      <c r="J3437">
        <f t="shared" si="272"/>
        <v>3435</v>
      </c>
      <c r="K3437">
        <f>IF(calendar[[#This Row],[Month]]&lt;4,1,IF(calendar[[#This Row],[Month]]&lt;7,2,IF(calendar[[#This Row],[Month]]&lt;10,3,4)))</f>
        <v>2</v>
      </c>
      <c r="L3437">
        <f>IFERROR(IF(VLOOKUP(calendar[[#This Row],[Date]],BH!A:A,1,)&lt;&gt;"",1,0),0)</f>
        <v>0</v>
      </c>
      <c r="M3437">
        <f>IFERROR(IF(VLOOKUP(calendar[[#This Row],[Date]],BH!C:C,1,)&lt;&gt;"",1,0),0)</f>
        <v>0</v>
      </c>
      <c r="N3437">
        <f>IFERROR(IF(VLOOKUP(calendar[[#This Row],[Date]],BH!E:E,1,)&lt;&gt;"",1,0),0)</f>
        <v>0</v>
      </c>
      <c r="O3437">
        <f>IFERROR(IF(VLOOKUP(calendar[[#This Row],[Date]],BH!G:G,1,)&lt;&gt;"",1,0),0)</f>
        <v>0</v>
      </c>
      <c r="P3437">
        <f>IF(OR(calendar[[#This Row],[UK_BH]]=1,calendar[[#This Row],[WeekDay]]=1, calendar[[#This Row],[WeekDay]]=7),P3436,P3436+1)</f>
        <v>2442</v>
      </c>
      <c r="Q3437">
        <f>IF(OR(calendar[[#This Row],[FR_BH]]=1,calendar[[#This Row],[WeekDay]]=1, calendar[[#This Row],[WeekDay]]=7),P3436,P3436+1)</f>
        <v>2442</v>
      </c>
      <c r="R3437">
        <f>IF(OR(calendar[[#This Row],[SP_BH]]=1,calendar[[#This Row],[WeekDay]]=1, calendar[[#This Row],[WeekDay]]=7),P3436,P3436+1)</f>
        <v>2442</v>
      </c>
      <c r="S3437">
        <f>IF(OR(calendar[[#This Row],[PT_BH]]=1,calendar[[#This Row],[WeekDay]]=1, calendar[[#This Row],[WeekDay]]=7),P3436,P3436+1)</f>
        <v>2442</v>
      </c>
    </row>
    <row r="3438" spans="1:19" x14ac:dyDescent="0.25">
      <c r="A3438" s="2">
        <v>46172</v>
      </c>
      <c r="B3438" s="1">
        <f t="shared" si="271"/>
        <v>22</v>
      </c>
      <c r="C3438">
        <f t="shared" si="273"/>
        <v>5</v>
      </c>
      <c r="D3438" t="str">
        <f t="shared" si="274"/>
        <v>May</v>
      </c>
      <c r="E3438">
        <f t="shared" si="275"/>
        <v>2026</v>
      </c>
      <c r="F3438" t="str">
        <f>CONCATENATE(calendar[[#This Row],[Month]],"/",calendar[[#This Row],[Year]])</f>
        <v>5/2026</v>
      </c>
      <c r="G3438">
        <f>WEEKDAY(calendar[[#This Row],[Date]],1)</f>
        <v>7</v>
      </c>
      <c r="H3438" t="str">
        <f>TEXT(calendar[[#This Row],[WeekDay]],"dddd")</f>
        <v>Saturday</v>
      </c>
      <c r="I3438">
        <f>IF((INT(calendar[[#This Row],[Count]]/7)-calendar[[#This Row],[Count]]/7)&lt;0,I3437,I3437+1)</f>
        <v>491</v>
      </c>
      <c r="J3438">
        <f t="shared" si="272"/>
        <v>3436</v>
      </c>
      <c r="K3438">
        <f>IF(calendar[[#This Row],[Month]]&lt;4,1,IF(calendar[[#This Row],[Month]]&lt;7,2,IF(calendar[[#This Row],[Month]]&lt;10,3,4)))</f>
        <v>2</v>
      </c>
      <c r="L3438">
        <f>IFERROR(IF(VLOOKUP(calendar[[#This Row],[Date]],BH!A:A,1,)&lt;&gt;"",1,0),0)</f>
        <v>0</v>
      </c>
      <c r="M3438">
        <f>IFERROR(IF(VLOOKUP(calendar[[#This Row],[Date]],BH!C:C,1,)&lt;&gt;"",1,0),0)</f>
        <v>0</v>
      </c>
      <c r="N3438">
        <f>IFERROR(IF(VLOOKUP(calendar[[#This Row],[Date]],BH!E:E,1,)&lt;&gt;"",1,0),0)</f>
        <v>1</v>
      </c>
      <c r="O3438">
        <f>IFERROR(IF(VLOOKUP(calendar[[#This Row],[Date]],BH!G:G,1,)&lt;&gt;"",1,0),0)</f>
        <v>0</v>
      </c>
      <c r="P3438">
        <f>IF(OR(calendar[[#This Row],[UK_BH]]=1,calendar[[#This Row],[WeekDay]]=1, calendar[[#This Row],[WeekDay]]=7),P3437,P3437+1)</f>
        <v>2442</v>
      </c>
      <c r="Q3438">
        <f>IF(OR(calendar[[#This Row],[FR_BH]]=1,calendar[[#This Row],[WeekDay]]=1, calendar[[#This Row],[WeekDay]]=7),P3437,P3437+1)</f>
        <v>2442</v>
      </c>
      <c r="R3438">
        <f>IF(OR(calendar[[#This Row],[SP_BH]]=1,calendar[[#This Row],[WeekDay]]=1, calendar[[#This Row],[WeekDay]]=7),P3437,P3437+1)</f>
        <v>2442</v>
      </c>
      <c r="S3438">
        <f>IF(OR(calendar[[#This Row],[PT_BH]]=1,calendar[[#This Row],[WeekDay]]=1, calendar[[#This Row],[WeekDay]]=7),P3437,P3437+1)</f>
        <v>2442</v>
      </c>
    </row>
    <row r="3439" spans="1:19" x14ac:dyDescent="0.25">
      <c r="A3439" s="2">
        <v>46173</v>
      </c>
      <c r="B3439" s="1">
        <f t="shared" si="271"/>
        <v>23</v>
      </c>
      <c r="C3439">
        <f t="shared" si="273"/>
        <v>5</v>
      </c>
      <c r="D3439" t="str">
        <f t="shared" si="274"/>
        <v>May</v>
      </c>
      <c r="E3439">
        <f t="shared" si="275"/>
        <v>2026</v>
      </c>
      <c r="F3439" t="str">
        <f>CONCATENATE(calendar[[#This Row],[Month]],"/",calendar[[#This Row],[Year]])</f>
        <v>5/2026</v>
      </c>
      <c r="G3439">
        <f>WEEKDAY(calendar[[#This Row],[Date]],1)</f>
        <v>1</v>
      </c>
      <c r="H3439" t="str">
        <f>TEXT(calendar[[#This Row],[WeekDay]],"dddd")</f>
        <v>Sunday</v>
      </c>
      <c r="I3439">
        <f>IF((INT(calendar[[#This Row],[Count]]/7)-calendar[[#This Row],[Count]]/7)&lt;0,I3438,I3438+1)</f>
        <v>492</v>
      </c>
      <c r="J3439">
        <f t="shared" si="272"/>
        <v>3437</v>
      </c>
      <c r="K3439">
        <f>IF(calendar[[#This Row],[Month]]&lt;4,1,IF(calendar[[#This Row],[Month]]&lt;7,2,IF(calendar[[#This Row],[Month]]&lt;10,3,4)))</f>
        <v>2</v>
      </c>
      <c r="L3439">
        <f>IFERROR(IF(VLOOKUP(calendar[[#This Row],[Date]],BH!A:A,1,)&lt;&gt;"",1,0),0)</f>
        <v>0</v>
      </c>
      <c r="M3439">
        <f>IFERROR(IF(VLOOKUP(calendar[[#This Row],[Date]],BH!C:C,1,)&lt;&gt;"",1,0),0)</f>
        <v>0</v>
      </c>
      <c r="N3439">
        <f>IFERROR(IF(VLOOKUP(calendar[[#This Row],[Date]],BH!E:E,1,)&lt;&gt;"",1,0),0)</f>
        <v>0</v>
      </c>
      <c r="O3439">
        <f>IFERROR(IF(VLOOKUP(calendar[[#This Row],[Date]],BH!G:G,1,)&lt;&gt;"",1,0),0)</f>
        <v>0</v>
      </c>
      <c r="P3439">
        <f>IF(OR(calendar[[#This Row],[UK_BH]]=1,calendar[[#This Row],[WeekDay]]=1, calendar[[#This Row],[WeekDay]]=7),P3438,P3438+1)</f>
        <v>2442</v>
      </c>
      <c r="Q3439">
        <f>IF(OR(calendar[[#This Row],[FR_BH]]=1,calendar[[#This Row],[WeekDay]]=1, calendar[[#This Row],[WeekDay]]=7),P3438,P3438+1)</f>
        <v>2442</v>
      </c>
      <c r="R3439">
        <f>IF(OR(calendar[[#This Row],[SP_BH]]=1,calendar[[#This Row],[WeekDay]]=1, calendar[[#This Row],[WeekDay]]=7),P3438,P3438+1)</f>
        <v>2442</v>
      </c>
      <c r="S3439">
        <f>IF(OR(calendar[[#This Row],[PT_BH]]=1,calendar[[#This Row],[WeekDay]]=1, calendar[[#This Row],[WeekDay]]=7),P3438,P3438+1)</f>
        <v>2442</v>
      </c>
    </row>
    <row r="3440" spans="1:19" x14ac:dyDescent="0.25">
      <c r="A3440" s="2">
        <v>46174</v>
      </c>
      <c r="B3440" s="1">
        <f t="shared" si="271"/>
        <v>23</v>
      </c>
      <c r="C3440">
        <f t="shared" si="273"/>
        <v>6</v>
      </c>
      <c r="D3440" t="str">
        <f t="shared" si="274"/>
        <v>June</v>
      </c>
      <c r="E3440">
        <f t="shared" si="275"/>
        <v>2026</v>
      </c>
      <c r="F3440" t="str">
        <f>CONCATENATE(calendar[[#This Row],[Month]],"/",calendar[[#This Row],[Year]])</f>
        <v>6/2026</v>
      </c>
      <c r="G3440">
        <f>WEEKDAY(calendar[[#This Row],[Date]],1)</f>
        <v>2</v>
      </c>
      <c r="H3440" t="str">
        <f>TEXT(calendar[[#This Row],[WeekDay]],"dddd")</f>
        <v>Monday</v>
      </c>
      <c r="I3440">
        <f>IF((INT(calendar[[#This Row],[Count]]/7)-calendar[[#This Row],[Count]]/7)&lt;0,I3439,I3439+1)</f>
        <v>492</v>
      </c>
      <c r="J3440">
        <f t="shared" si="272"/>
        <v>3438</v>
      </c>
      <c r="K3440">
        <f>IF(calendar[[#This Row],[Month]]&lt;4,1,IF(calendar[[#This Row],[Month]]&lt;7,2,IF(calendar[[#This Row],[Month]]&lt;10,3,4)))</f>
        <v>2</v>
      </c>
      <c r="L3440">
        <f>IFERROR(IF(VLOOKUP(calendar[[#This Row],[Date]],BH!A:A,1,)&lt;&gt;"",1,0),0)</f>
        <v>0</v>
      </c>
      <c r="M3440">
        <f>IFERROR(IF(VLOOKUP(calendar[[#This Row],[Date]],BH!C:C,1,)&lt;&gt;"",1,0),0)</f>
        <v>0</v>
      </c>
      <c r="N3440">
        <f>IFERROR(IF(VLOOKUP(calendar[[#This Row],[Date]],BH!E:E,1,)&lt;&gt;"",1,0),0)</f>
        <v>0</v>
      </c>
      <c r="O3440">
        <f>IFERROR(IF(VLOOKUP(calendar[[#This Row],[Date]],BH!G:G,1,)&lt;&gt;"",1,0),0)</f>
        <v>0</v>
      </c>
      <c r="P3440">
        <f>IF(OR(calendar[[#This Row],[UK_BH]]=1,calendar[[#This Row],[WeekDay]]=1, calendar[[#This Row],[WeekDay]]=7),P3439,P3439+1)</f>
        <v>2443</v>
      </c>
      <c r="Q3440">
        <f>IF(OR(calendar[[#This Row],[FR_BH]]=1,calendar[[#This Row],[WeekDay]]=1, calendar[[#This Row],[WeekDay]]=7),P3439,P3439+1)</f>
        <v>2443</v>
      </c>
      <c r="R3440">
        <f>IF(OR(calendar[[#This Row],[SP_BH]]=1,calendar[[#This Row],[WeekDay]]=1, calendar[[#This Row],[WeekDay]]=7),P3439,P3439+1)</f>
        <v>2443</v>
      </c>
      <c r="S3440">
        <f>IF(OR(calendar[[#This Row],[PT_BH]]=1,calendar[[#This Row],[WeekDay]]=1, calendar[[#This Row],[WeekDay]]=7),P3439,P3439+1)</f>
        <v>2443</v>
      </c>
    </row>
    <row r="3441" spans="1:19" x14ac:dyDescent="0.25">
      <c r="A3441" s="2">
        <v>46175</v>
      </c>
      <c r="B3441" s="1">
        <f t="shared" si="271"/>
        <v>23</v>
      </c>
      <c r="C3441">
        <f t="shared" si="273"/>
        <v>6</v>
      </c>
      <c r="D3441" t="str">
        <f t="shared" si="274"/>
        <v>June</v>
      </c>
      <c r="E3441">
        <f t="shared" si="275"/>
        <v>2026</v>
      </c>
      <c r="F3441" t="str">
        <f>CONCATENATE(calendar[[#This Row],[Month]],"/",calendar[[#This Row],[Year]])</f>
        <v>6/2026</v>
      </c>
      <c r="G3441">
        <f>WEEKDAY(calendar[[#This Row],[Date]],1)</f>
        <v>3</v>
      </c>
      <c r="H3441" t="str">
        <f>TEXT(calendar[[#This Row],[WeekDay]],"dddd")</f>
        <v>Tuesday</v>
      </c>
      <c r="I3441">
        <f>IF((INT(calendar[[#This Row],[Count]]/7)-calendar[[#This Row],[Count]]/7)&lt;0,I3440,I3440+1)</f>
        <v>492</v>
      </c>
      <c r="J3441">
        <f t="shared" si="272"/>
        <v>3439</v>
      </c>
      <c r="K3441">
        <f>IF(calendar[[#This Row],[Month]]&lt;4,1,IF(calendar[[#This Row],[Month]]&lt;7,2,IF(calendar[[#This Row],[Month]]&lt;10,3,4)))</f>
        <v>2</v>
      </c>
      <c r="L3441">
        <f>IFERROR(IF(VLOOKUP(calendar[[#This Row],[Date]],BH!A:A,1,)&lt;&gt;"",1,0),0)</f>
        <v>0</v>
      </c>
      <c r="M3441">
        <f>IFERROR(IF(VLOOKUP(calendar[[#This Row],[Date]],BH!C:C,1,)&lt;&gt;"",1,0),0)</f>
        <v>0</v>
      </c>
      <c r="N3441">
        <f>IFERROR(IF(VLOOKUP(calendar[[#This Row],[Date]],BH!E:E,1,)&lt;&gt;"",1,0),0)</f>
        <v>0</v>
      </c>
      <c r="O3441">
        <f>IFERROR(IF(VLOOKUP(calendar[[#This Row],[Date]],BH!G:G,1,)&lt;&gt;"",1,0),0)</f>
        <v>0</v>
      </c>
      <c r="P3441">
        <f>IF(OR(calendar[[#This Row],[UK_BH]]=1,calendar[[#This Row],[WeekDay]]=1, calendar[[#This Row],[WeekDay]]=7),P3440,P3440+1)</f>
        <v>2444</v>
      </c>
      <c r="Q3441">
        <f>IF(OR(calendar[[#This Row],[FR_BH]]=1,calendar[[#This Row],[WeekDay]]=1, calendar[[#This Row],[WeekDay]]=7),P3440,P3440+1)</f>
        <v>2444</v>
      </c>
      <c r="R3441">
        <f>IF(OR(calendar[[#This Row],[SP_BH]]=1,calendar[[#This Row],[WeekDay]]=1, calendar[[#This Row],[WeekDay]]=7),P3440,P3440+1)</f>
        <v>2444</v>
      </c>
      <c r="S3441">
        <f>IF(OR(calendar[[#This Row],[PT_BH]]=1,calendar[[#This Row],[WeekDay]]=1, calendar[[#This Row],[WeekDay]]=7),P3440,P3440+1)</f>
        <v>2444</v>
      </c>
    </row>
    <row r="3442" spans="1:19" x14ac:dyDescent="0.25">
      <c r="A3442" s="2">
        <v>46176</v>
      </c>
      <c r="B3442" s="1">
        <f t="shared" si="271"/>
        <v>23</v>
      </c>
      <c r="C3442">
        <f t="shared" si="273"/>
        <v>6</v>
      </c>
      <c r="D3442" t="str">
        <f t="shared" si="274"/>
        <v>June</v>
      </c>
      <c r="E3442">
        <f t="shared" si="275"/>
        <v>2026</v>
      </c>
      <c r="F3442" t="str">
        <f>CONCATENATE(calendar[[#This Row],[Month]],"/",calendar[[#This Row],[Year]])</f>
        <v>6/2026</v>
      </c>
      <c r="G3442">
        <f>WEEKDAY(calendar[[#This Row],[Date]],1)</f>
        <v>4</v>
      </c>
      <c r="H3442" t="str">
        <f>TEXT(calendar[[#This Row],[WeekDay]],"dddd")</f>
        <v>Wednesday</v>
      </c>
      <c r="I3442">
        <f>IF((INT(calendar[[#This Row],[Count]]/7)-calendar[[#This Row],[Count]]/7)&lt;0,I3441,I3441+1)</f>
        <v>492</v>
      </c>
      <c r="J3442">
        <f t="shared" si="272"/>
        <v>3440</v>
      </c>
      <c r="K3442">
        <f>IF(calendar[[#This Row],[Month]]&lt;4,1,IF(calendar[[#This Row],[Month]]&lt;7,2,IF(calendar[[#This Row],[Month]]&lt;10,3,4)))</f>
        <v>2</v>
      </c>
      <c r="L3442">
        <f>IFERROR(IF(VLOOKUP(calendar[[#This Row],[Date]],BH!A:A,1,)&lt;&gt;"",1,0),0)</f>
        <v>0</v>
      </c>
      <c r="M3442">
        <f>IFERROR(IF(VLOOKUP(calendar[[#This Row],[Date]],BH!C:C,1,)&lt;&gt;"",1,0),0)</f>
        <v>0</v>
      </c>
      <c r="N3442">
        <f>IFERROR(IF(VLOOKUP(calendar[[#This Row],[Date]],BH!E:E,1,)&lt;&gt;"",1,0),0)</f>
        <v>0</v>
      </c>
      <c r="O3442">
        <f>IFERROR(IF(VLOOKUP(calendar[[#This Row],[Date]],BH!G:G,1,)&lt;&gt;"",1,0),0)</f>
        <v>0</v>
      </c>
      <c r="P3442">
        <f>IF(OR(calendar[[#This Row],[UK_BH]]=1,calendar[[#This Row],[WeekDay]]=1, calendar[[#This Row],[WeekDay]]=7),P3441,P3441+1)</f>
        <v>2445</v>
      </c>
      <c r="Q3442">
        <f>IF(OR(calendar[[#This Row],[FR_BH]]=1,calendar[[#This Row],[WeekDay]]=1, calendar[[#This Row],[WeekDay]]=7),P3441,P3441+1)</f>
        <v>2445</v>
      </c>
      <c r="R3442">
        <f>IF(OR(calendar[[#This Row],[SP_BH]]=1,calendar[[#This Row],[WeekDay]]=1, calendar[[#This Row],[WeekDay]]=7),P3441,P3441+1)</f>
        <v>2445</v>
      </c>
      <c r="S3442">
        <f>IF(OR(calendar[[#This Row],[PT_BH]]=1,calendar[[#This Row],[WeekDay]]=1, calendar[[#This Row],[WeekDay]]=7),P3441,P3441+1)</f>
        <v>2445</v>
      </c>
    </row>
    <row r="3443" spans="1:19" x14ac:dyDescent="0.25">
      <c r="A3443" s="2">
        <v>46177</v>
      </c>
      <c r="B3443" s="1">
        <f t="shared" si="271"/>
        <v>23</v>
      </c>
      <c r="C3443">
        <f t="shared" si="273"/>
        <v>6</v>
      </c>
      <c r="D3443" t="str">
        <f t="shared" si="274"/>
        <v>June</v>
      </c>
      <c r="E3443">
        <f t="shared" si="275"/>
        <v>2026</v>
      </c>
      <c r="F3443" t="str">
        <f>CONCATENATE(calendar[[#This Row],[Month]],"/",calendar[[#This Row],[Year]])</f>
        <v>6/2026</v>
      </c>
      <c r="G3443">
        <f>WEEKDAY(calendar[[#This Row],[Date]],1)</f>
        <v>5</v>
      </c>
      <c r="H3443" t="str">
        <f>TEXT(calendar[[#This Row],[WeekDay]],"dddd")</f>
        <v>Thursday</v>
      </c>
      <c r="I3443">
        <f>IF((INT(calendar[[#This Row],[Count]]/7)-calendar[[#This Row],[Count]]/7)&lt;0,I3442,I3442+1)</f>
        <v>492</v>
      </c>
      <c r="J3443">
        <f t="shared" si="272"/>
        <v>3441</v>
      </c>
      <c r="K3443">
        <f>IF(calendar[[#This Row],[Month]]&lt;4,1,IF(calendar[[#This Row],[Month]]&lt;7,2,IF(calendar[[#This Row],[Month]]&lt;10,3,4)))</f>
        <v>2</v>
      </c>
      <c r="L3443">
        <f>IFERROR(IF(VLOOKUP(calendar[[#This Row],[Date]],BH!A:A,1,)&lt;&gt;"",1,0),0)</f>
        <v>0</v>
      </c>
      <c r="M3443">
        <f>IFERROR(IF(VLOOKUP(calendar[[#This Row],[Date]],BH!C:C,1,)&lt;&gt;"",1,0),0)</f>
        <v>0</v>
      </c>
      <c r="N3443">
        <f>IFERROR(IF(VLOOKUP(calendar[[#This Row],[Date]],BH!E:E,1,)&lt;&gt;"",1,0),0)</f>
        <v>0</v>
      </c>
      <c r="O3443">
        <f>IFERROR(IF(VLOOKUP(calendar[[#This Row],[Date]],BH!G:G,1,)&lt;&gt;"",1,0),0)</f>
        <v>1</v>
      </c>
      <c r="P3443">
        <f>IF(OR(calendar[[#This Row],[UK_BH]]=1,calendar[[#This Row],[WeekDay]]=1, calendar[[#This Row],[WeekDay]]=7),P3442,P3442+1)</f>
        <v>2446</v>
      </c>
      <c r="Q3443">
        <f>IF(OR(calendar[[#This Row],[FR_BH]]=1,calendar[[#This Row],[WeekDay]]=1, calendar[[#This Row],[WeekDay]]=7),P3442,P3442+1)</f>
        <v>2446</v>
      </c>
      <c r="R3443">
        <f>IF(OR(calendar[[#This Row],[SP_BH]]=1,calendar[[#This Row],[WeekDay]]=1, calendar[[#This Row],[WeekDay]]=7),P3442,P3442+1)</f>
        <v>2446</v>
      </c>
      <c r="S3443">
        <f>IF(OR(calendar[[#This Row],[PT_BH]]=1,calendar[[#This Row],[WeekDay]]=1, calendar[[#This Row],[WeekDay]]=7),P3442,P3442+1)</f>
        <v>2445</v>
      </c>
    </row>
    <row r="3444" spans="1:19" x14ac:dyDescent="0.25">
      <c r="A3444" s="2">
        <v>46178</v>
      </c>
      <c r="B3444" s="1">
        <f t="shared" si="271"/>
        <v>23</v>
      </c>
      <c r="C3444">
        <f t="shared" si="273"/>
        <v>6</v>
      </c>
      <c r="D3444" t="str">
        <f t="shared" si="274"/>
        <v>June</v>
      </c>
      <c r="E3444">
        <f t="shared" si="275"/>
        <v>2026</v>
      </c>
      <c r="F3444" t="str">
        <f>CONCATENATE(calendar[[#This Row],[Month]],"/",calendar[[#This Row],[Year]])</f>
        <v>6/2026</v>
      </c>
      <c r="G3444">
        <f>WEEKDAY(calendar[[#This Row],[Date]],1)</f>
        <v>6</v>
      </c>
      <c r="H3444" t="str">
        <f>TEXT(calendar[[#This Row],[WeekDay]],"dddd")</f>
        <v>Friday</v>
      </c>
      <c r="I3444">
        <f>IF((INT(calendar[[#This Row],[Count]]/7)-calendar[[#This Row],[Count]]/7)&lt;0,I3443,I3443+1)</f>
        <v>492</v>
      </c>
      <c r="J3444">
        <f t="shared" si="272"/>
        <v>3442</v>
      </c>
      <c r="K3444">
        <f>IF(calendar[[#This Row],[Month]]&lt;4,1,IF(calendar[[#This Row],[Month]]&lt;7,2,IF(calendar[[#This Row],[Month]]&lt;10,3,4)))</f>
        <v>2</v>
      </c>
      <c r="L3444">
        <f>IFERROR(IF(VLOOKUP(calendar[[#This Row],[Date]],BH!A:A,1,)&lt;&gt;"",1,0),0)</f>
        <v>0</v>
      </c>
      <c r="M3444">
        <f>IFERROR(IF(VLOOKUP(calendar[[#This Row],[Date]],BH!C:C,1,)&lt;&gt;"",1,0),0)</f>
        <v>0</v>
      </c>
      <c r="N3444">
        <f>IFERROR(IF(VLOOKUP(calendar[[#This Row],[Date]],BH!E:E,1,)&lt;&gt;"",1,0),0)</f>
        <v>0</v>
      </c>
      <c r="O3444">
        <f>IFERROR(IF(VLOOKUP(calendar[[#This Row],[Date]],BH!G:G,1,)&lt;&gt;"",1,0),0)</f>
        <v>0</v>
      </c>
      <c r="P3444">
        <f>IF(OR(calendar[[#This Row],[UK_BH]]=1,calendar[[#This Row],[WeekDay]]=1, calendar[[#This Row],[WeekDay]]=7),P3443,P3443+1)</f>
        <v>2447</v>
      </c>
      <c r="Q3444">
        <f>IF(OR(calendar[[#This Row],[FR_BH]]=1,calendar[[#This Row],[WeekDay]]=1, calendar[[#This Row],[WeekDay]]=7),P3443,P3443+1)</f>
        <v>2447</v>
      </c>
      <c r="R3444">
        <f>IF(OR(calendar[[#This Row],[SP_BH]]=1,calendar[[#This Row],[WeekDay]]=1, calendar[[#This Row],[WeekDay]]=7),P3443,P3443+1)</f>
        <v>2447</v>
      </c>
      <c r="S3444">
        <f>IF(OR(calendar[[#This Row],[PT_BH]]=1,calendar[[#This Row],[WeekDay]]=1, calendar[[#This Row],[WeekDay]]=7),P3443,P3443+1)</f>
        <v>2447</v>
      </c>
    </row>
    <row r="3445" spans="1:19" x14ac:dyDescent="0.25">
      <c r="A3445" s="2">
        <v>46179</v>
      </c>
      <c r="B3445" s="1">
        <f t="shared" si="271"/>
        <v>23</v>
      </c>
      <c r="C3445">
        <f t="shared" si="273"/>
        <v>6</v>
      </c>
      <c r="D3445" t="str">
        <f t="shared" si="274"/>
        <v>June</v>
      </c>
      <c r="E3445">
        <f t="shared" si="275"/>
        <v>2026</v>
      </c>
      <c r="F3445" t="str">
        <f>CONCATENATE(calendar[[#This Row],[Month]],"/",calendar[[#This Row],[Year]])</f>
        <v>6/2026</v>
      </c>
      <c r="G3445">
        <f>WEEKDAY(calendar[[#This Row],[Date]],1)</f>
        <v>7</v>
      </c>
      <c r="H3445" t="str">
        <f>TEXT(calendar[[#This Row],[WeekDay]],"dddd")</f>
        <v>Saturday</v>
      </c>
      <c r="I3445">
        <f>IF((INT(calendar[[#This Row],[Count]]/7)-calendar[[#This Row],[Count]]/7)&lt;0,I3444,I3444+1)</f>
        <v>492</v>
      </c>
      <c r="J3445">
        <f t="shared" si="272"/>
        <v>3443</v>
      </c>
      <c r="K3445">
        <f>IF(calendar[[#This Row],[Month]]&lt;4,1,IF(calendar[[#This Row],[Month]]&lt;7,2,IF(calendar[[#This Row],[Month]]&lt;10,3,4)))</f>
        <v>2</v>
      </c>
      <c r="L3445">
        <f>IFERROR(IF(VLOOKUP(calendar[[#This Row],[Date]],BH!A:A,1,)&lt;&gt;"",1,0),0)</f>
        <v>0</v>
      </c>
      <c r="M3445">
        <f>IFERROR(IF(VLOOKUP(calendar[[#This Row],[Date]],BH!C:C,1,)&lt;&gt;"",1,0),0)</f>
        <v>0</v>
      </c>
      <c r="N3445">
        <f>IFERROR(IF(VLOOKUP(calendar[[#This Row],[Date]],BH!E:E,1,)&lt;&gt;"",1,0),0)</f>
        <v>0</v>
      </c>
      <c r="O3445">
        <f>IFERROR(IF(VLOOKUP(calendar[[#This Row],[Date]],BH!G:G,1,)&lt;&gt;"",1,0),0)</f>
        <v>0</v>
      </c>
      <c r="P3445">
        <f>IF(OR(calendar[[#This Row],[UK_BH]]=1,calendar[[#This Row],[WeekDay]]=1, calendar[[#This Row],[WeekDay]]=7),P3444,P3444+1)</f>
        <v>2447</v>
      </c>
      <c r="Q3445">
        <f>IF(OR(calendar[[#This Row],[FR_BH]]=1,calendar[[#This Row],[WeekDay]]=1, calendar[[#This Row],[WeekDay]]=7),P3444,P3444+1)</f>
        <v>2447</v>
      </c>
      <c r="R3445">
        <f>IF(OR(calendar[[#This Row],[SP_BH]]=1,calendar[[#This Row],[WeekDay]]=1, calendar[[#This Row],[WeekDay]]=7),P3444,P3444+1)</f>
        <v>2447</v>
      </c>
      <c r="S3445">
        <f>IF(OR(calendar[[#This Row],[PT_BH]]=1,calendar[[#This Row],[WeekDay]]=1, calendar[[#This Row],[WeekDay]]=7),P3444,P3444+1)</f>
        <v>2447</v>
      </c>
    </row>
    <row r="3446" spans="1:19" x14ac:dyDescent="0.25">
      <c r="A3446" s="2">
        <v>46180</v>
      </c>
      <c r="B3446" s="1">
        <f t="shared" si="271"/>
        <v>24</v>
      </c>
      <c r="C3446">
        <f t="shared" si="273"/>
        <v>6</v>
      </c>
      <c r="D3446" t="str">
        <f t="shared" si="274"/>
        <v>June</v>
      </c>
      <c r="E3446">
        <f t="shared" si="275"/>
        <v>2026</v>
      </c>
      <c r="F3446" t="str">
        <f>CONCATENATE(calendar[[#This Row],[Month]],"/",calendar[[#This Row],[Year]])</f>
        <v>6/2026</v>
      </c>
      <c r="G3446">
        <f>WEEKDAY(calendar[[#This Row],[Date]],1)</f>
        <v>1</v>
      </c>
      <c r="H3446" t="str">
        <f>TEXT(calendar[[#This Row],[WeekDay]],"dddd")</f>
        <v>Sunday</v>
      </c>
      <c r="I3446">
        <f>IF((INT(calendar[[#This Row],[Count]]/7)-calendar[[#This Row],[Count]]/7)&lt;0,I3445,I3445+1)</f>
        <v>493</v>
      </c>
      <c r="J3446">
        <f t="shared" si="272"/>
        <v>3444</v>
      </c>
      <c r="K3446">
        <f>IF(calendar[[#This Row],[Month]]&lt;4,1,IF(calendar[[#This Row],[Month]]&lt;7,2,IF(calendar[[#This Row],[Month]]&lt;10,3,4)))</f>
        <v>2</v>
      </c>
      <c r="L3446">
        <f>IFERROR(IF(VLOOKUP(calendar[[#This Row],[Date]],BH!A:A,1,)&lt;&gt;"",1,0),0)</f>
        <v>0</v>
      </c>
      <c r="M3446">
        <f>IFERROR(IF(VLOOKUP(calendar[[#This Row],[Date]],BH!C:C,1,)&lt;&gt;"",1,0),0)</f>
        <v>0</v>
      </c>
      <c r="N3446">
        <f>IFERROR(IF(VLOOKUP(calendar[[#This Row],[Date]],BH!E:E,1,)&lt;&gt;"",1,0),0)</f>
        <v>0</v>
      </c>
      <c r="O3446">
        <f>IFERROR(IF(VLOOKUP(calendar[[#This Row],[Date]],BH!G:G,1,)&lt;&gt;"",1,0),0)</f>
        <v>0</v>
      </c>
      <c r="P3446">
        <f>IF(OR(calendar[[#This Row],[UK_BH]]=1,calendar[[#This Row],[WeekDay]]=1, calendar[[#This Row],[WeekDay]]=7),P3445,P3445+1)</f>
        <v>2447</v>
      </c>
      <c r="Q3446">
        <f>IF(OR(calendar[[#This Row],[FR_BH]]=1,calendar[[#This Row],[WeekDay]]=1, calendar[[#This Row],[WeekDay]]=7),P3445,P3445+1)</f>
        <v>2447</v>
      </c>
      <c r="R3446">
        <f>IF(OR(calendar[[#This Row],[SP_BH]]=1,calendar[[#This Row],[WeekDay]]=1, calendar[[#This Row],[WeekDay]]=7),P3445,P3445+1)</f>
        <v>2447</v>
      </c>
      <c r="S3446">
        <f>IF(OR(calendar[[#This Row],[PT_BH]]=1,calendar[[#This Row],[WeekDay]]=1, calendar[[#This Row],[WeekDay]]=7),P3445,P3445+1)</f>
        <v>2447</v>
      </c>
    </row>
    <row r="3447" spans="1:19" x14ac:dyDescent="0.25">
      <c r="A3447" s="2">
        <v>46181</v>
      </c>
      <c r="B3447" s="1">
        <f t="shared" si="271"/>
        <v>24</v>
      </c>
      <c r="C3447">
        <f t="shared" si="273"/>
        <v>6</v>
      </c>
      <c r="D3447" t="str">
        <f t="shared" si="274"/>
        <v>June</v>
      </c>
      <c r="E3447">
        <f t="shared" si="275"/>
        <v>2026</v>
      </c>
      <c r="F3447" t="str">
        <f>CONCATENATE(calendar[[#This Row],[Month]],"/",calendar[[#This Row],[Year]])</f>
        <v>6/2026</v>
      </c>
      <c r="G3447">
        <f>WEEKDAY(calendar[[#This Row],[Date]],1)</f>
        <v>2</v>
      </c>
      <c r="H3447" t="str">
        <f>TEXT(calendar[[#This Row],[WeekDay]],"dddd")</f>
        <v>Monday</v>
      </c>
      <c r="I3447">
        <f>IF((INT(calendar[[#This Row],[Count]]/7)-calendar[[#This Row],[Count]]/7)&lt;0,I3446,I3446+1)</f>
        <v>493</v>
      </c>
      <c r="J3447">
        <f t="shared" si="272"/>
        <v>3445</v>
      </c>
      <c r="K3447">
        <f>IF(calendar[[#This Row],[Month]]&lt;4,1,IF(calendar[[#This Row],[Month]]&lt;7,2,IF(calendar[[#This Row],[Month]]&lt;10,3,4)))</f>
        <v>2</v>
      </c>
      <c r="L3447">
        <f>IFERROR(IF(VLOOKUP(calendar[[#This Row],[Date]],BH!A:A,1,)&lt;&gt;"",1,0),0)</f>
        <v>0</v>
      </c>
      <c r="M3447">
        <f>IFERROR(IF(VLOOKUP(calendar[[#This Row],[Date]],BH!C:C,1,)&lt;&gt;"",1,0),0)</f>
        <v>0</v>
      </c>
      <c r="N3447">
        <f>IFERROR(IF(VLOOKUP(calendar[[#This Row],[Date]],BH!E:E,1,)&lt;&gt;"",1,0),0)</f>
        <v>0</v>
      </c>
      <c r="O3447">
        <f>IFERROR(IF(VLOOKUP(calendar[[#This Row],[Date]],BH!G:G,1,)&lt;&gt;"",1,0),0)</f>
        <v>0</v>
      </c>
      <c r="P3447">
        <f>IF(OR(calendar[[#This Row],[UK_BH]]=1,calendar[[#This Row],[WeekDay]]=1, calendar[[#This Row],[WeekDay]]=7),P3446,P3446+1)</f>
        <v>2448</v>
      </c>
      <c r="Q3447">
        <f>IF(OR(calendar[[#This Row],[FR_BH]]=1,calendar[[#This Row],[WeekDay]]=1, calendar[[#This Row],[WeekDay]]=7),P3446,P3446+1)</f>
        <v>2448</v>
      </c>
      <c r="R3447">
        <f>IF(OR(calendar[[#This Row],[SP_BH]]=1,calendar[[#This Row],[WeekDay]]=1, calendar[[#This Row],[WeekDay]]=7),P3446,P3446+1)</f>
        <v>2448</v>
      </c>
      <c r="S3447">
        <f>IF(OR(calendar[[#This Row],[PT_BH]]=1,calendar[[#This Row],[WeekDay]]=1, calendar[[#This Row],[WeekDay]]=7),P3446,P3446+1)</f>
        <v>2448</v>
      </c>
    </row>
    <row r="3448" spans="1:19" x14ac:dyDescent="0.25">
      <c r="A3448" s="2">
        <v>46182</v>
      </c>
      <c r="B3448" s="1">
        <f t="shared" si="271"/>
        <v>24</v>
      </c>
      <c r="C3448">
        <f t="shared" si="273"/>
        <v>6</v>
      </c>
      <c r="D3448" t="str">
        <f t="shared" si="274"/>
        <v>June</v>
      </c>
      <c r="E3448">
        <f t="shared" si="275"/>
        <v>2026</v>
      </c>
      <c r="F3448" t="str">
        <f>CONCATENATE(calendar[[#This Row],[Month]],"/",calendar[[#This Row],[Year]])</f>
        <v>6/2026</v>
      </c>
      <c r="G3448">
        <f>WEEKDAY(calendar[[#This Row],[Date]],1)</f>
        <v>3</v>
      </c>
      <c r="H3448" t="str">
        <f>TEXT(calendar[[#This Row],[WeekDay]],"dddd")</f>
        <v>Tuesday</v>
      </c>
      <c r="I3448">
        <f>IF((INT(calendar[[#This Row],[Count]]/7)-calendar[[#This Row],[Count]]/7)&lt;0,I3447,I3447+1)</f>
        <v>493</v>
      </c>
      <c r="J3448">
        <f t="shared" si="272"/>
        <v>3446</v>
      </c>
      <c r="K3448">
        <f>IF(calendar[[#This Row],[Month]]&lt;4,1,IF(calendar[[#This Row],[Month]]&lt;7,2,IF(calendar[[#This Row],[Month]]&lt;10,3,4)))</f>
        <v>2</v>
      </c>
      <c r="L3448">
        <f>IFERROR(IF(VLOOKUP(calendar[[#This Row],[Date]],BH!A:A,1,)&lt;&gt;"",1,0),0)</f>
        <v>0</v>
      </c>
      <c r="M3448">
        <f>IFERROR(IF(VLOOKUP(calendar[[#This Row],[Date]],BH!C:C,1,)&lt;&gt;"",1,0),0)</f>
        <v>0</v>
      </c>
      <c r="N3448">
        <f>IFERROR(IF(VLOOKUP(calendar[[#This Row],[Date]],BH!E:E,1,)&lt;&gt;"",1,0),0)</f>
        <v>0</v>
      </c>
      <c r="O3448">
        <f>IFERROR(IF(VLOOKUP(calendar[[#This Row],[Date]],BH!G:G,1,)&lt;&gt;"",1,0),0)</f>
        <v>0</v>
      </c>
      <c r="P3448">
        <f>IF(OR(calendar[[#This Row],[UK_BH]]=1,calendar[[#This Row],[WeekDay]]=1, calendar[[#This Row],[WeekDay]]=7),P3447,P3447+1)</f>
        <v>2449</v>
      </c>
      <c r="Q3448">
        <f>IF(OR(calendar[[#This Row],[FR_BH]]=1,calendar[[#This Row],[WeekDay]]=1, calendar[[#This Row],[WeekDay]]=7),P3447,P3447+1)</f>
        <v>2449</v>
      </c>
      <c r="R3448">
        <f>IF(OR(calendar[[#This Row],[SP_BH]]=1,calendar[[#This Row],[WeekDay]]=1, calendar[[#This Row],[WeekDay]]=7),P3447,P3447+1)</f>
        <v>2449</v>
      </c>
      <c r="S3448">
        <f>IF(OR(calendar[[#This Row],[PT_BH]]=1,calendar[[#This Row],[WeekDay]]=1, calendar[[#This Row],[WeekDay]]=7),P3447,P3447+1)</f>
        <v>2449</v>
      </c>
    </row>
    <row r="3449" spans="1:19" x14ac:dyDescent="0.25">
      <c r="A3449" s="2">
        <v>46183</v>
      </c>
      <c r="B3449" s="1">
        <f t="shared" si="271"/>
        <v>24</v>
      </c>
      <c r="C3449">
        <f t="shared" si="273"/>
        <v>6</v>
      </c>
      <c r="D3449" t="str">
        <f t="shared" si="274"/>
        <v>June</v>
      </c>
      <c r="E3449">
        <f t="shared" si="275"/>
        <v>2026</v>
      </c>
      <c r="F3449" t="str">
        <f>CONCATENATE(calendar[[#This Row],[Month]],"/",calendar[[#This Row],[Year]])</f>
        <v>6/2026</v>
      </c>
      <c r="G3449">
        <f>WEEKDAY(calendar[[#This Row],[Date]],1)</f>
        <v>4</v>
      </c>
      <c r="H3449" t="str">
        <f>TEXT(calendar[[#This Row],[WeekDay]],"dddd")</f>
        <v>Wednesday</v>
      </c>
      <c r="I3449">
        <f>IF((INT(calendar[[#This Row],[Count]]/7)-calendar[[#This Row],[Count]]/7)&lt;0,I3448,I3448+1)</f>
        <v>493</v>
      </c>
      <c r="J3449">
        <f t="shared" si="272"/>
        <v>3447</v>
      </c>
      <c r="K3449">
        <f>IF(calendar[[#This Row],[Month]]&lt;4,1,IF(calendar[[#This Row],[Month]]&lt;7,2,IF(calendar[[#This Row],[Month]]&lt;10,3,4)))</f>
        <v>2</v>
      </c>
      <c r="L3449">
        <f>IFERROR(IF(VLOOKUP(calendar[[#This Row],[Date]],BH!A:A,1,)&lt;&gt;"",1,0),0)</f>
        <v>0</v>
      </c>
      <c r="M3449">
        <f>IFERROR(IF(VLOOKUP(calendar[[#This Row],[Date]],BH!C:C,1,)&lt;&gt;"",1,0),0)</f>
        <v>0</v>
      </c>
      <c r="N3449">
        <f>IFERROR(IF(VLOOKUP(calendar[[#This Row],[Date]],BH!E:E,1,)&lt;&gt;"",1,0),0)</f>
        <v>0</v>
      </c>
      <c r="O3449">
        <f>IFERROR(IF(VLOOKUP(calendar[[#This Row],[Date]],BH!G:G,1,)&lt;&gt;"",1,0),0)</f>
        <v>1</v>
      </c>
      <c r="P3449">
        <f>IF(OR(calendar[[#This Row],[UK_BH]]=1,calendar[[#This Row],[WeekDay]]=1, calendar[[#This Row],[WeekDay]]=7),P3448,P3448+1)</f>
        <v>2450</v>
      </c>
      <c r="Q3449">
        <f>IF(OR(calendar[[#This Row],[FR_BH]]=1,calendar[[#This Row],[WeekDay]]=1, calendar[[#This Row],[WeekDay]]=7),P3448,P3448+1)</f>
        <v>2450</v>
      </c>
      <c r="R3449">
        <f>IF(OR(calendar[[#This Row],[SP_BH]]=1,calendar[[#This Row],[WeekDay]]=1, calendar[[#This Row],[WeekDay]]=7),P3448,P3448+1)</f>
        <v>2450</v>
      </c>
      <c r="S3449">
        <f>IF(OR(calendar[[#This Row],[PT_BH]]=1,calendar[[#This Row],[WeekDay]]=1, calendar[[#This Row],[WeekDay]]=7),P3448,P3448+1)</f>
        <v>2449</v>
      </c>
    </row>
    <row r="3450" spans="1:19" x14ac:dyDescent="0.25">
      <c r="A3450" s="2">
        <v>46184</v>
      </c>
      <c r="B3450" s="1">
        <f t="shared" si="271"/>
        <v>24</v>
      </c>
      <c r="C3450">
        <f t="shared" si="273"/>
        <v>6</v>
      </c>
      <c r="D3450" t="str">
        <f t="shared" si="274"/>
        <v>June</v>
      </c>
      <c r="E3450">
        <f t="shared" si="275"/>
        <v>2026</v>
      </c>
      <c r="F3450" t="str">
        <f>CONCATENATE(calendar[[#This Row],[Month]],"/",calendar[[#This Row],[Year]])</f>
        <v>6/2026</v>
      </c>
      <c r="G3450">
        <f>WEEKDAY(calendar[[#This Row],[Date]],1)</f>
        <v>5</v>
      </c>
      <c r="H3450" t="str">
        <f>TEXT(calendar[[#This Row],[WeekDay]],"dddd")</f>
        <v>Thursday</v>
      </c>
      <c r="I3450">
        <f>IF((INT(calendar[[#This Row],[Count]]/7)-calendar[[#This Row],[Count]]/7)&lt;0,I3449,I3449+1)</f>
        <v>493</v>
      </c>
      <c r="J3450">
        <f t="shared" si="272"/>
        <v>3448</v>
      </c>
      <c r="K3450">
        <f>IF(calendar[[#This Row],[Month]]&lt;4,1,IF(calendar[[#This Row],[Month]]&lt;7,2,IF(calendar[[#This Row],[Month]]&lt;10,3,4)))</f>
        <v>2</v>
      </c>
      <c r="L3450">
        <f>IFERROR(IF(VLOOKUP(calendar[[#This Row],[Date]],BH!A:A,1,)&lt;&gt;"",1,0),0)</f>
        <v>0</v>
      </c>
      <c r="M3450">
        <f>IFERROR(IF(VLOOKUP(calendar[[#This Row],[Date]],BH!C:C,1,)&lt;&gt;"",1,0),0)</f>
        <v>0</v>
      </c>
      <c r="N3450">
        <f>IFERROR(IF(VLOOKUP(calendar[[#This Row],[Date]],BH!E:E,1,)&lt;&gt;"",1,0),0)</f>
        <v>0</v>
      </c>
      <c r="O3450">
        <f>IFERROR(IF(VLOOKUP(calendar[[#This Row],[Date]],BH!G:G,1,)&lt;&gt;"",1,0),0)</f>
        <v>0</v>
      </c>
      <c r="P3450">
        <f>IF(OR(calendar[[#This Row],[UK_BH]]=1,calendar[[#This Row],[WeekDay]]=1, calendar[[#This Row],[WeekDay]]=7),P3449,P3449+1)</f>
        <v>2451</v>
      </c>
      <c r="Q3450">
        <f>IF(OR(calendar[[#This Row],[FR_BH]]=1,calendar[[#This Row],[WeekDay]]=1, calendar[[#This Row],[WeekDay]]=7),P3449,P3449+1)</f>
        <v>2451</v>
      </c>
      <c r="R3450">
        <f>IF(OR(calendar[[#This Row],[SP_BH]]=1,calendar[[#This Row],[WeekDay]]=1, calendar[[#This Row],[WeekDay]]=7),P3449,P3449+1)</f>
        <v>2451</v>
      </c>
      <c r="S3450">
        <f>IF(OR(calendar[[#This Row],[PT_BH]]=1,calendar[[#This Row],[WeekDay]]=1, calendar[[#This Row],[WeekDay]]=7),P3449,P3449+1)</f>
        <v>2451</v>
      </c>
    </row>
    <row r="3451" spans="1:19" x14ac:dyDescent="0.25">
      <c r="A3451" s="2">
        <v>46185</v>
      </c>
      <c r="B3451" s="1">
        <f t="shared" si="271"/>
        <v>24</v>
      </c>
      <c r="C3451">
        <f t="shared" si="273"/>
        <v>6</v>
      </c>
      <c r="D3451" t="str">
        <f t="shared" si="274"/>
        <v>June</v>
      </c>
      <c r="E3451">
        <f t="shared" si="275"/>
        <v>2026</v>
      </c>
      <c r="F3451" t="str">
        <f>CONCATENATE(calendar[[#This Row],[Month]],"/",calendar[[#This Row],[Year]])</f>
        <v>6/2026</v>
      </c>
      <c r="G3451">
        <f>WEEKDAY(calendar[[#This Row],[Date]],1)</f>
        <v>6</v>
      </c>
      <c r="H3451" t="str">
        <f>TEXT(calendar[[#This Row],[WeekDay]],"dddd")</f>
        <v>Friday</v>
      </c>
      <c r="I3451">
        <f>IF((INT(calendar[[#This Row],[Count]]/7)-calendar[[#This Row],[Count]]/7)&lt;0,I3450,I3450+1)</f>
        <v>493</v>
      </c>
      <c r="J3451">
        <f t="shared" si="272"/>
        <v>3449</v>
      </c>
      <c r="K3451">
        <f>IF(calendar[[#This Row],[Month]]&lt;4,1,IF(calendar[[#This Row],[Month]]&lt;7,2,IF(calendar[[#This Row],[Month]]&lt;10,3,4)))</f>
        <v>2</v>
      </c>
      <c r="L3451">
        <f>IFERROR(IF(VLOOKUP(calendar[[#This Row],[Date]],BH!A:A,1,)&lt;&gt;"",1,0),0)</f>
        <v>0</v>
      </c>
      <c r="M3451">
        <f>IFERROR(IF(VLOOKUP(calendar[[#This Row],[Date]],BH!C:C,1,)&lt;&gt;"",1,0),0)</f>
        <v>0</v>
      </c>
      <c r="N3451">
        <f>IFERROR(IF(VLOOKUP(calendar[[#This Row],[Date]],BH!E:E,1,)&lt;&gt;"",1,0),0)</f>
        <v>0</v>
      </c>
      <c r="O3451">
        <f>IFERROR(IF(VLOOKUP(calendar[[#This Row],[Date]],BH!G:G,1,)&lt;&gt;"",1,0),0)</f>
        <v>0</v>
      </c>
      <c r="P3451">
        <f>IF(OR(calendar[[#This Row],[UK_BH]]=1,calendar[[#This Row],[WeekDay]]=1, calendar[[#This Row],[WeekDay]]=7),P3450,P3450+1)</f>
        <v>2452</v>
      </c>
      <c r="Q3451">
        <f>IF(OR(calendar[[#This Row],[FR_BH]]=1,calendar[[#This Row],[WeekDay]]=1, calendar[[#This Row],[WeekDay]]=7),P3450,P3450+1)</f>
        <v>2452</v>
      </c>
      <c r="R3451">
        <f>IF(OR(calendar[[#This Row],[SP_BH]]=1,calendar[[#This Row],[WeekDay]]=1, calendar[[#This Row],[WeekDay]]=7),P3450,P3450+1)</f>
        <v>2452</v>
      </c>
      <c r="S3451">
        <f>IF(OR(calendar[[#This Row],[PT_BH]]=1,calendar[[#This Row],[WeekDay]]=1, calendar[[#This Row],[WeekDay]]=7),P3450,P3450+1)</f>
        <v>2452</v>
      </c>
    </row>
    <row r="3452" spans="1:19" x14ac:dyDescent="0.25">
      <c r="A3452" s="2">
        <v>46186</v>
      </c>
      <c r="B3452" s="1">
        <f t="shared" si="271"/>
        <v>24</v>
      </c>
      <c r="C3452">
        <f t="shared" si="273"/>
        <v>6</v>
      </c>
      <c r="D3452" t="str">
        <f t="shared" si="274"/>
        <v>June</v>
      </c>
      <c r="E3452">
        <f t="shared" si="275"/>
        <v>2026</v>
      </c>
      <c r="F3452" t="str">
        <f>CONCATENATE(calendar[[#This Row],[Month]],"/",calendar[[#This Row],[Year]])</f>
        <v>6/2026</v>
      </c>
      <c r="G3452">
        <f>WEEKDAY(calendar[[#This Row],[Date]],1)</f>
        <v>7</v>
      </c>
      <c r="H3452" t="str">
        <f>TEXT(calendar[[#This Row],[WeekDay]],"dddd")</f>
        <v>Saturday</v>
      </c>
      <c r="I3452">
        <f>IF((INT(calendar[[#This Row],[Count]]/7)-calendar[[#This Row],[Count]]/7)&lt;0,I3451,I3451+1)</f>
        <v>493</v>
      </c>
      <c r="J3452">
        <f t="shared" si="272"/>
        <v>3450</v>
      </c>
      <c r="K3452">
        <f>IF(calendar[[#This Row],[Month]]&lt;4,1,IF(calendar[[#This Row],[Month]]&lt;7,2,IF(calendar[[#This Row],[Month]]&lt;10,3,4)))</f>
        <v>2</v>
      </c>
      <c r="L3452">
        <f>IFERROR(IF(VLOOKUP(calendar[[#This Row],[Date]],BH!A:A,1,)&lt;&gt;"",1,0),0)</f>
        <v>0</v>
      </c>
      <c r="M3452">
        <f>IFERROR(IF(VLOOKUP(calendar[[#This Row],[Date]],BH!C:C,1,)&lt;&gt;"",1,0),0)</f>
        <v>0</v>
      </c>
      <c r="N3452">
        <f>IFERROR(IF(VLOOKUP(calendar[[#This Row],[Date]],BH!E:E,1,)&lt;&gt;"",1,0),0)</f>
        <v>0</v>
      </c>
      <c r="O3452">
        <f>IFERROR(IF(VLOOKUP(calendar[[#This Row],[Date]],BH!G:G,1,)&lt;&gt;"",1,0),0)</f>
        <v>0</v>
      </c>
      <c r="P3452">
        <f>IF(OR(calendar[[#This Row],[UK_BH]]=1,calendar[[#This Row],[WeekDay]]=1, calendar[[#This Row],[WeekDay]]=7),P3451,P3451+1)</f>
        <v>2452</v>
      </c>
      <c r="Q3452">
        <f>IF(OR(calendar[[#This Row],[FR_BH]]=1,calendar[[#This Row],[WeekDay]]=1, calendar[[#This Row],[WeekDay]]=7),P3451,P3451+1)</f>
        <v>2452</v>
      </c>
      <c r="R3452">
        <f>IF(OR(calendar[[#This Row],[SP_BH]]=1,calendar[[#This Row],[WeekDay]]=1, calendar[[#This Row],[WeekDay]]=7),P3451,P3451+1)</f>
        <v>2452</v>
      </c>
      <c r="S3452">
        <f>IF(OR(calendar[[#This Row],[PT_BH]]=1,calendar[[#This Row],[WeekDay]]=1, calendar[[#This Row],[WeekDay]]=7),P3451,P3451+1)</f>
        <v>2452</v>
      </c>
    </row>
    <row r="3453" spans="1:19" x14ac:dyDescent="0.25">
      <c r="A3453" s="2">
        <v>46187</v>
      </c>
      <c r="B3453" s="1">
        <f t="shared" si="271"/>
        <v>25</v>
      </c>
      <c r="C3453">
        <f t="shared" si="273"/>
        <v>6</v>
      </c>
      <c r="D3453" t="str">
        <f t="shared" si="274"/>
        <v>June</v>
      </c>
      <c r="E3453">
        <f t="shared" si="275"/>
        <v>2026</v>
      </c>
      <c r="F3453" t="str">
        <f>CONCATENATE(calendar[[#This Row],[Month]],"/",calendar[[#This Row],[Year]])</f>
        <v>6/2026</v>
      </c>
      <c r="G3453">
        <f>WEEKDAY(calendar[[#This Row],[Date]],1)</f>
        <v>1</v>
      </c>
      <c r="H3453" t="str">
        <f>TEXT(calendar[[#This Row],[WeekDay]],"dddd")</f>
        <v>Sunday</v>
      </c>
      <c r="I3453">
        <f>IF((INT(calendar[[#This Row],[Count]]/7)-calendar[[#This Row],[Count]]/7)&lt;0,I3452,I3452+1)</f>
        <v>494</v>
      </c>
      <c r="J3453">
        <f t="shared" si="272"/>
        <v>3451</v>
      </c>
      <c r="K3453">
        <f>IF(calendar[[#This Row],[Month]]&lt;4,1,IF(calendar[[#This Row],[Month]]&lt;7,2,IF(calendar[[#This Row],[Month]]&lt;10,3,4)))</f>
        <v>2</v>
      </c>
      <c r="L3453">
        <f>IFERROR(IF(VLOOKUP(calendar[[#This Row],[Date]],BH!A:A,1,)&lt;&gt;"",1,0),0)</f>
        <v>0</v>
      </c>
      <c r="M3453">
        <f>IFERROR(IF(VLOOKUP(calendar[[#This Row],[Date]],BH!C:C,1,)&lt;&gt;"",1,0),0)</f>
        <v>0</v>
      </c>
      <c r="N3453">
        <f>IFERROR(IF(VLOOKUP(calendar[[#This Row],[Date]],BH!E:E,1,)&lt;&gt;"",1,0),0)</f>
        <v>0</v>
      </c>
      <c r="O3453">
        <f>IFERROR(IF(VLOOKUP(calendar[[#This Row],[Date]],BH!G:G,1,)&lt;&gt;"",1,0),0)</f>
        <v>0</v>
      </c>
      <c r="P3453">
        <f>IF(OR(calendar[[#This Row],[UK_BH]]=1,calendar[[#This Row],[WeekDay]]=1, calendar[[#This Row],[WeekDay]]=7),P3452,P3452+1)</f>
        <v>2452</v>
      </c>
      <c r="Q3453">
        <f>IF(OR(calendar[[#This Row],[FR_BH]]=1,calendar[[#This Row],[WeekDay]]=1, calendar[[#This Row],[WeekDay]]=7),P3452,P3452+1)</f>
        <v>2452</v>
      </c>
      <c r="R3453">
        <f>IF(OR(calendar[[#This Row],[SP_BH]]=1,calendar[[#This Row],[WeekDay]]=1, calendar[[#This Row],[WeekDay]]=7),P3452,P3452+1)</f>
        <v>2452</v>
      </c>
      <c r="S3453">
        <f>IF(OR(calendar[[#This Row],[PT_BH]]=1,calendar[[#This Row],[WeekDay]]=1, calendar[[#This Row],[WeekDay]]=7),P3452,P3452+1)</f>
        <v>2452</v>
      </c>
    </row>
    <row r="3454" spans="1:19" x14ac:dyDescent="0.25">
      <c r="A3454" s="2">
        <v>46188</v>
      </c>
      <c r="B3454" s="1">
        <f t="shared" si="271"/>
        <v>25</v>
      </c>
      <c r="C3454">
        <f t="shared" si="273"/>
        <v>6</v>
      </c>
      <c r="D3454" t="str">
        <f t="shared" si="274"/>
        <v>June</v>
      </c>
      <c r="E3454">
        <f t="shared" si="275"/>
        <v>2026</v>
      </c>
      <c r="F3454" t="str">
        <f>CONCATENATE(calendar[[#This Row],[Month]],"/",calendar[[#This Row],[Year]])</f>
        <v>6/2026</v>
      </c>
      <c r="G3454">
        <f>WEEKDAY(calendar[[#This Row],[Date]],1)</f>
        <v>2</v>
      </c>
      <c r="H3454" t="str">
        <f>TEXT(calendar[[#This Row],[WeekDay]],"dddd")</f>
        <v>Monday</v>
      </c>
      <c r="I3454">
        <f>IF((INT(calendar[[#This Row],[Count]]/7)-calendar[[#This Row],[Count]]/7)&lt;0,I3453,I3453+1)</f>
        <v>494</v>
      </c>
      <c r="J3454">
        <f t="shared" si="272"/>
        <v>3452</v>
      </c>
      <c r="K3454">
        <f>IF(calendar[[#This Row],[Month]]&lt;4,1,IF(calendar[[#This Row],[Month]]&lt;7,2,IF(calendar[[#This Row],[Month]]&lt;10,3,4)))</f>
        <v>2</v>
      </c>
      <c r="L3454">
        <f>IFERROR(IF(VLOOKUP(calendar[[#This Row],[Date]],BH!A:A,1,)&lt;&gt;"",1,0),0)</f>
        <v>0</v>
      </c>
      <c r="M3454">
        <f>IFERROR(IF(VLOOKUP(calendar[[#This Row],[Date]],BH!C:C,1,)&lt;&gt;"",1,0),0)</f>
        <v>0</v>
      </c>
      <c r="N3454">
        <f>IFERROR(IF(VLOOKUP(calendar[[#This Row],[Date]],BH!E:E,1,)&lt;&gt;"",1,0),0)</f>
        <v>0</v>
      </c>
      <c r="O3454">
        <f>IFERROR(IF(VLOOKUP(calendar[[#This Row],[Date]],BH!G:G,1,)&lt;&gt;"",1,0),0)</f>
        <v>0</v>
      </c>
      <c r="P3454">
        <f>IF(OR(calendar[[#This Row],[UK_BH]]=1,calendar[[#This Row],[WeekDay]]=1, calendar[[#This Row],[WeekDay]]=7),P3453,P3453+1)</f>
        <v>2453</v>
      </c>
      <c r="Q3454">
        <f>IF(OR(calendar[[#This Row],[FR_BH]]=1,calendar[[#This Row],[WeekDay]]=1, calendar[[#This Row],[WeekDay]]=7),P3453,P3453+1)</f>
        <v>2453</v>
      </c>
      <c r="R3454">
        <f>IF(OR(calendar[[#This Row],[SP_BH]]=1,calendar[[#This Row],[WeekDay]]=1, calendar[[#This Row],[WeekDay]]=7),P3453,P3453+1)</f>
        <v>2453</v>
      </c>
      <c r="S3454">
        <f>IF(OR(calendar[[#This Row],[PT_BH]]=1,calendar[[#This Row],[WeekDay]]=1, calendar[[#This Row],[WeekDay]]=7),P3453,P3453+1)</f>
        <v>2453</v>
      </c>
    </row>
    <row r="3455" spans="1:19" x14ac:dyDescent="0.25">
      <c r="A3455" s="2">
        <v>46189</v>
      </c>
      <c r="B3455" s="1">
        <f t="shared" si="271"/>
        <v>25</v>
      </c>
      <c r="C3455">
        <f t="shared" si="273"/>
        <v>6</v>
      </c>
      <c r="D3455" t="str">
        <f t="shared" si="274"/>
        <v>June</v>
      </c>
      <c r="E3455">
        <f t="shared" si="275"/>
        <v>2026</v>
      </c>
      <c r="F3455" t="str">
        <f>CONCATENATE(calendar[[#This Row],[Month]],"/",calendar[[#This Row],[Year]])</f>
        <v>6/2026</v>
      </c>
      <c r="G3455">
        <f>WEEKDAY(calendar[[#This Row],[Date]],1)</f>
        <v>3</v>
      </c>
      <c r="H3455" t="str">
        <f>TEXT(calendar[[#This Row],[WeekDay]],"dddd")</f>
        <v>Tuesday</v>
      </c>
      <c r="I3455">
        <f>IF((INT(calendar[[#This Row],[Count]]/7)-calendar[[#This Row],[Count]]/7)&lt;0,I3454,I3454+1)</f>
        <v>494</v>
      </c>
      <c r="J3455">
        <f t="shared" si="272"/>
        <v>3453</v>
      </c>
      <c r="K3455">
        <f>IF(calendar[[#This Row],[Month]]&lt;4,1,IF(calendar[[#This Row],[Month]]&lt;7,2,IF(calendar[[#This Row],[Month]]&lt;10,3,4)))</f>
        <v>2</v>
      </c>
      <c r="L3455">
        <f>IFERROR(IF(VLOOKUP(calendar[[#This Row],[Date]],BH!A:A,1,)&lt;&gt;"",1,0),0)</f>
        <v>0</v>
      </c>
      <c r="M3455">
        <f>IFERROR(IF(VLOOKUP(calendar[[#This Row],[Date]],BH!C:C,1,)&lt;&gt;"",1,0),0)</f>
        <v>0</v>
      </c>
      <c r="N3455">
        <f>IFERROR(IF(VLOOKUP(calendar[[#This Row],[Date]],BH!E:E,1,)&lt;&gt;"",1,0),0)</f>
        <v>0</v>
      </c>
      <c r="O3455">
        <f>IFERROR(IF(VLOOKUP(calendar[[#This Row],[Date]],BH!G:G,1,)&lt;&gt;"",1,0),0)</f>
        <v>0</v>
      </c>
      <c r="P3455">
        <f>IF(OR(calendar[[#This Row],[UK_BH]]=1,calendar[[#This Row],[WeekDay]]=1, calendar[[#This Row],[WeekDay]]=7),P3454,P3454+1)</f>
        <v>2454</v>
      </c>
      <c r="Q3455">
        <f>IF(OR(calendar[[#This Row],[FR_BH]]=1,calendar[[#This Row],[WeekDay]]=1, calendar[[#This Row],[WeekDay]]=7),P3454,P3454+1)</f>
        <v>2454</v>
      </c>
      <c r="R3455">
        <f>IF(OR(calendar[[#This Row],[SP_BH]]=1,calendar[[#This Row],[WeekDay]]=1, calendar[[#This Row],[WeekDay]]=7),P3454,P3454+1)</f>
        <v>2454</v>
      </c>
      <c r="S3455">
        <f>IF(OR(calendar[[#This Row],[PT_BH]]=1,calendar[[#This Row],[WeekDay]]=1, calendar[[#This Row],[WeekDay]]=7),P3454,P3454+1)</f>
        <v>2454</v>
      </c>
    </row>
    <row r="3456" spans="1:19" x14ac:dyDescent="0.25">
      <c r="A3456" s="2">
        <v>46190</v>
      </c>
      <c r="B3456" s="1">
        <f t="shared" si="271"/>
        <v>25</v>
      </c>
      <c r="C3456">
        <f t="shared" si="273"/>
        <v>6</v>
      </c>
      <c r="D3456" t="str">
        <f t="shared" si="274"/>
        <v>June</v>
      </c>
      <c r="E3456">
        <f t="shared" si="275"/>
        <v>2026</v>
      </c>
      <c r="F3456" t="str">
        <f>CONCATENATE(calendar[[#This Row],[Month]],"/",calendar[[#This Row],[Year]])</f>
        <v>6/2026</v>
      </c>
      <c r="G3456">
        <f>WEEKDAY(calendar[[#This Row],[Date]],1)</f>
        <v>4</v>
      </c>
      <c r="H3456" t="str">
        <f>TEXT(calendar[[#This Row],[WeekDay]],"dddd")</f>
        <v>Wednesday</v>
      </c>
      <c r="I3456">
        <f>IF((INT(calendar[[#This Row],[Count]]/7)-calendar[[#This Row],[Count]]/7)&lt;0,I3455,I3455+1)</f>
        <v>494</v>
      </c>
      <c r="J3456">
        <f t="shared" si="272"/>
        <v>3454</v>
      </c>
      <c r="K3456">
        <f>IF(calendar[[#This Row],[Month]]&lt;4,1,IF(calendar[[#This Row],[Month]]&lt;7,2,IF(calendar[[#This Row],[Month]]&lt;10,3,4)))</f>
        <v>2</v>
      </c>
      <c r="L3456">
        <f>IFERROR(IF(VLOOKUP(calendar[[#This Row],[Date]],BH!A:A,1,)&lt;&gt;"",1,0),0)</f>
        <v>0</v>
      </c>
      <c r="M3456">
        <f>IFERROR(IF(VLOOKUP(calendar[[#This Row],[Date]],BH!C:C,1,)&lt;&gt;"",1,0),0)</f>
        <v>0</v>
      </c>
      <c r="N3456">
        <f>IFERROR(IF(VLOOKUP(calendar[[#This Row],[Date]],BH!E:E,1,)&lt;&gt;"",1,0),0)</f>
        <v>0</v>
      </c>
      <c r="O3456">
        <f>IFERROR(IF(VLOOKUP(calendar[[#This Row],[Date]],BH!G:G,1,)&lt;&gt;"",1,0),0)</f>
        <v>0</v>
      </c>
      <c r="P3456">
        <f>IF(OR(calendar[[#This Row],[UK_BH]]=1,calendar[[#This Row],[WeekDay]]=1, calendar[[#This Row],[WeekDay]]=7),P3455,P3455+1)</f>
        <v>2455</v>
      </c>
      <c r="Q3456">
        <f>IF(OR(calendar[[#This Row],[FR_BH]]=1,calendar[[#This Row],[WeekDay]]=1, calendar[[#This Row],[WeekDay]]=7),P3455,P3455+1)</f>
        <v>2455</v>
      </c>
      <c r="R3456">
        <f>IF(OR(calendar[[#This Row],[SP_BH]]=1,calendar[[#This Row],[WeekDay]]=1, calendar[[#This Row],[WeekDay]]=7),P3455,P3455+1)</f>
        <v>2455</v>
      </c>
      <c r="S3456">
        <f>IF(OR(calendar[[#This Row],[PT_BH]]=1,calendar[[#This Row],[WeekDay]]=1, calendar[[#This Row],[WeekDay]]=7),P3455,P3455+1)</f>
        <v>2455</v>
      </c>
    </row>
    <row r="3457" spans="1:19" x14ac:dyDescent="0.25">
      <c r="A3457" s="2">
        <v>46191</v>
      </c>
      <c r="B3457" s="1">
        <f t="shared" si="271"/>
        <v>25</v>
      </c>
      <c r="C3457">
        <f t="shared" si="273"/>
        <v>6</v>
      </c>
      <c r="D3457" t="str">
        <f t="shared" si="274"/>
        <v>June</v>
      </c>
      <c r="E3457">
        <f t="shared" si="275"/>
        <v>2026</v>
      </c>
      <c r="F3457" t="str">
        <f>CONCATENATE(calendar[[#This Row],[Month]],"/",calendar[[#This Row],[Year]])</f>
        <v>6/2026</v>
      </c>
      <c r="G3457">
        <f>WEEKDAY(calendar[[#This Row],[Date]],1)</f>
        <v>5</v>
      </c>
      <c r="H3457" t="str">
        <f>TEXT(calendar[[#This Row],[WeekDay]],"dddd")</f>
        <v>Thursday</v>
      </c>
      <c r="I3457">
        <f>IF((INT(calendar[[#This Row],[Count]]/7)-calendar[[#This Row],[Count]]/7)&lt;0,I3456,I3456+1)</f>
        <v>494</v>
      </c>
      <c r="J3457">
        <f t="shared" si="272"/>
        <v>3455</v>
      </c>
      <c r="K3457">
        <f>IF(calendar[[#This Row],[Month]]&lt;4,1,IF(calendar[[#This Row],[Month]]&lt;7,2,IF(calendar[[#This Row],[Month]]&lt;10,3,4)))</f>
        <v>2</v>
      </c>
      <c r="L3457">
        <f>IFERROR(IF(VLOOKUP(calendar[[#This Row],[Date]],BH!A:A,1,)&lt;&gt;"",1,0),0)</f>
        <v>0</v>
      </c>
      <c r="M3457">
        <f>IFERROR(IF(VLOOKUP(calendar[[#This Row],[Date]],BH!C:C,1,)&lt;&gt;"",1,0),0)</f>
        <v>0</v>
      </c>
      <c r="N3457">
        <f>IFERROR(IF(VLOOKUP(calendar[[#This Row],[Date]],BH!E:E,1,)&lt;&gt;"",1,0),0)</f>
        <v>0</v>
      </c>
      <c r="O3457">
        <f>IFERROR(IF(VLOOKUP(calendar[[#This Row],[Date]],BH!G:G,1,)&lt;&gt;"",1,0),0)</f>
        <v>0</v>
      </c>
      <c r="P3457">
        <f>IF(OR(calendar[[#This Row],[UK_BH]]=1,calendar[[#This Row],[WeekDay]]=1, calendar[[#This Row],[WeekDay]]=7),P3456,P3456+1)</f>
        <v>2456</v>
      </c>
      <c r="Q3457">
        <f>IF(OR(calendar[[#This Row],[FR_BH]]=1,calendar[[#This Row],[WeekDay]]=1, calendar[[#This Row],[WeekDay]]=7),P3456,P3456+1)</f>
        <v>2456</v>
      </c>
      <c r="R3457">
        <f>IF(OR(calendar[[#This Row],[SP_BH]]=1,calendar[[#This Row],[WeekDay]]=1, calendar[[#This Row],[WeekDay]]=7),P3456,P3456+1)</f>
        <v>2456</v>
      </c>
      <c r="S3457">
        <f>IF(OR(calendar[[#This Row],[PT_BH]]=1,calendar[[#This Row],[WeekDay]]=1, calendar[[#This Row],[WeekDay]]=7),P3456,P3456+1)</f>
        <v>2456</v>
      </c>
    </row>
    <row r="3458" spans="1:19" x14ac:dyDescent="0.25">
      <c r="A3458" s="2">
        <v>46192</v>
      </c>
      <c r="B3458" s="1">
        <f t="shared" ref="B3458:B3521" si="276">WEEKNUM(A3458)</f>
        <v>25</v>
      </c>
      <c r="C3458">
        <f t="shared" si="273"/>
        <v>6</v>
      </c>
      <c r="D3458" t="str">
        <f t="shared" si="274"/>
        <v>June</v>
      </c>
      <c r="E3458">
        <f t="shared" si="275"/>
        <v>2026</v>
      </c>
      <c r="F3458" t="str">
        <f>CONCATENATE(calendar[[#This Row],[Month]],"/",calendar[[#This Row],[Year]])</f>
        <v>6/2026</v>
      </c>
      <c r="G3458">
        <f>WEEKDAY(calendar[[#This Row],[Date]],1)</f>
        <v>6</v>
      </c>
      <c r="H3458" t="str">
        <f>TEXT(calendar[[#This Row],[WeekDay]],"dddd")</f>
        <v>Friday</v>
      </c>
      <c r="I3458">
        <f>IF((INT(calendar[[#This Row],[Count]]/7)-calendar[[#This Row],[Count]]/7)&lt;0,I3457,I3457+1)</f>
        <v>494</v>
      </c>
      <c r="J3458">
        <f t="shared" si="272"/>
        <v>3456</v>
      </c>
      <c r="K3458">
        <f>IF(calendar[[#This Row],[Month]]&lt;4,1,IF(calendar[[#This Row],[Month]]&lt;7,2,IF(calendar[[#This Row],[Month]]&lt;10,3,4)))</f>
        <v>2</v>
      </c>
      <c r="L3458">
        <f>IFERROR(IF(VLOOKUP(calendar[[#This Row],[Date]],BH!A:A,1,)&lt;&gt;"",1,0),0)</f>
        <v>0</v>
      </c>
      <c r="M3458">
        <f>IFERROR(IF(VLOOKUP(calendar[[#This Row],[Date]],BH!C:C,1,)&lt;&gt;"",1,0),0)</f>
        <v>0</v>
      </c>
      <c r="N3458">
        <f>IFERROR(IF(VLOOKUP(calendar[[#This Row],[Date]],BH!E:E,1,)&lt;&gt;"",1,0),0)</f>
        <v>0</v>
      </c>
      <c r="O3458">
        <f>IFERROR(IF(VLOOKUP(calendar[[#This Row],[Date]],BH!G:G,1,)&lt;&gt;"",1,0),0)</f>
        <v>0</v>
      </c>
      <c r="P3458">
        <f>IF(OR(calendar[[#This Row],[UK_BH]]=1,calendar[[#This Row],[WeekDay]]=1, calendar[[#This Row],[WeekDay]]=7),P3457,P3457+1)</f>
        <v>2457</v>
      </c>
      <c r="Q3458">
        <f>IF(OR(calendar[[#This Row],[FR_BH]]=1,calendar[[#This Row],[WeekDay]]=1, calendar[[#This Row],[WeekDay]]=7),P3457,P3457+1)</f>
        <v>2457</v>
      </c>
      <c r="R3458">
        <f>IF(OR(calendar[[#This Row],[SP_BH]]=1,calendar[[#This Row],[WeekDay]]=1, calendar[[#This Row],[WeekDay]]=7),P3457,P3457+1)</f>
        <v>2457</v>
      </c>
      <c r="S3458">
        <f>IF(OR(calendar[[#This Row],[PT_BH]]=1,calendar[[#This Row],[WeekDay]]=1, calendar[[#This Row],[WeekDay]]=7),P3457,P3457+1)</f>
        <v>2457</v>
      </c>
    </row>
    <row r="3459" spans="1:19" x14ac:dyDescent="0.25">
      <c r="A3459" s="2">
        <v>46193</v>
      </c>
      <c r="B3459" s="1">
        <f t="shared" si="276"/>
        <v>25</v>
      </c>
      <c r="C3459">
        <f t="shared" si="273"/>
        <v>6</v>
      </c>
      <c r="D3459" t="str">
        <f t="shared" si="274"/>
        <v>June</v>
      </c>
      <c r="E3459">
        <f t="shared" si="275"/>
        <v>2026</v>
      </c>
      <c r="F3459" t="str">
        <f>CONCATENATE(calendar[[#This Row],[Month]],"/",calendar[[#This Row],[Year]])</f>
        <v>6/2026</v>
      </c>
      <c r="G3459">
        <f>WEEKDAY(calendar[[#This Row],[Date]],1)</f>
        <v>7</v>
      </c>
      <c r="H3459" t="str">
        <f>TEXT(calendar[[#This Row],[WeekDay]],"dddd")</f>
        <v>Saturday</v>
      </c>
      <c r="I3459">
        <f>IF((INT(calendar[[#This Row],[Count]]/7)-calendar[[#This Row],[Count]]/7)&lt;0,I3458,I3458+1)</f>
        <v>494</v>
      </c>
      <c r="J3459">
        <f t="shared" ref="J3459:J3522" si="277">J3458+1</f>
        <v>3457</v>
      </c>
      <c r="K3459">
        <f>IF(calendar[[#This Row],[Month]]&lt;4,1,IF(calendar[[#This Row],[Month]]&lt;7,2,IF(calendar[[#This Row],[Month]]&lt;10,3,4)))</f>
        <v>2</v>
      </c>
      <c r="L3459">
        <f>IFERROR(IF(VLOOKUP(calendar[[#This Row],[Date]],BH!A:A,1,)&lt;&gt;"",1,0),0)</f>
        <v>0</v>
      </c>
      <c r="M3459">
        <f>IFERROR(IF(VLOOKUP(calendar[[#This Row],[Date]],BH!C:C,1,)&lt;&gt;"",1,0),0)</f>
        <v>0</v>
      </c>
      <c r="N3459">
        <f>IFERROR(IF(VLOOKUP(calendar[[#This Row],[Date]],BH!E:E,1,)&lt;&gt;"",1,0),0)</f>
        <v>0</v>
      </c>
      <c r="O3459">
        <f>IFERROR(IF(VLOOKUP(calendar[[#This Row],[Date]],BH!G:G,1,)&lt;&gt;"",1,0),0)</f>
        <v>0</v>
      </c>
      <c r="P3459">
        <f>IF(OR(calendar[[#This Row],[UK_BH]]=1,calendar[[#This Row],[WeekDay]]=1, calendar[[#This Row],[WeekDay]]=7),P3458,P3458+1)</f>
        <v>2457</v>
      </c>
      <c r="Q3459">
        <f>IF(OR(calendar[[#This Row],[FR_BH]]=1,calendar[[#This Row],[WeekDay]]=1, calendar[[#This Row],[WeekDay]]=7),P3458,P3458+1)</f>
        <v>2457</v>
      </c>
      <c r="R3459">
        <f>IF(OR(calendar[[#This Row],[SP_BH]]=1,calendar[[#This Row],[WeekDay]]=1, calendar[[#This Row],[WeekDay]]=7),P3458,P3458+1)</f>
        <v>2457</v>
      </c>
      <c r="S3459">
        <f>IF(OR(calendar[[#This Row],[PT_BH]]=1,calendar[[#This Row],[WeekDay]]=1, calendar[[#This Row],[WeekDay]]=7),P3458,P3458+1)</f>
        <v>2457</v>
      </c>
    </row>
    <row r="3460" spans="1:19" x14ac:dyDescent="0.25">
      <c r="A3460" s="2">
        <v>46194</v>
      </c>
      <c r="B3460" s="1">
        <f t="shared" si="276"/>
        <v>26</v>
      </c>
      <c r="C3460">
        <f t="shared" si="273"/>
        <v>6</v>
      </c>
      <c r="D3460" t="str">
        <f t="shared" si="274"/>
        <v>June</v>
      </c>
      <c r="E3460">
        <f t="shared" si="275"/>
        <v>2026</v>
      </c>
      <c r="F3460" t="str">
        <f>CONCATENATE(calendar[[#This Row],[Month]],"/",calendar[[#This Row],[Year]])</f>
        <v>6/2026</v>
      </c>
      <c r="G3460">
        <f>WEEKDAY(calendar[[#This Row],[Date]],1)</f>
        <v>1</v>
      </c>
      <c r="H3460" t="str">
        <f>TEXT(calendar[[#This Row],[WeekDay]],"dddd")</f>
        <v>Sunday</v>
      </c>
      <c r="I3460">
        <f>IF((INT(calendar[[#This Row],[Count]]/7)-calendar[[#This Row],[Count]]/7)&lt;0,I3459,I3459+1)</f>
        <v>495</v>
      </c>
      <c r="J3460">
        <f t="shared" si="277"/>
        <v>3458</v>
      </c>
      <c r="K3460">
        <f>IF(calendar[[#This Row],[Month]]&lt;4,1,IF(calendar[[#This Row],[Month]]&lt;7,2,IF(calendar[[#This Row],[Month]]&lt;10,3,4)))</f>
        <v>2</v>
      </c>
      <c r="L3460">
        <f>IFERROR(IF(VLOOKUP(calendar[[#This Row],[Date]],BH!A:A,1,)&lt;&gt;"",1,0),0)</f>
        <v>0</v>
      </c>
      <c r="M3460">
        <f>IFERROR(IF(VLOOKUP(calendar[[#This Row],[Date]],BH!C:C,1,)&lt;&gt;"",1,0),0)</f>
        <v>0</v>
      </c>
      <c r="N3460">
        <f>IFERROR(IF(VLOOKUP(calendar[[#This Row],[Date]],BH!E:E,1,)&lt;&gt;"",1,0),0)</f>
        <v>0</v>
      </c>
      <c r="O3460">
        <f>IFERROR(IF(VLOOKUP(calendar[[#This Row],[Date]],BH!G:G,1,)&lt;&gt;"",1,0),0)</f>
        <v>0</v>
      </c>
      <c r="P3460">
        <f>IF(OR(calendar[[#This Row],[UK_BH]]=1,calendar[[#This Row],[WeekDay]]=1, calendar[[#This Row],[WeekDay]]=7),P3459,P3459+1)</f>
        <v>2457</v>
      </c>
      <c r="Q3460">
        <f>IF(OR(calendar[[#This Row],[FR_BH]]=1,calendar[[#This Row],[WeekDay]]=1, calendar[[#This Row],[WeekDay]]=7),P3459,P3459+1)</f>
        <v>2457</v>
      </c>
      <c r="R3460">
        <f>IF(OR(calendar[[#This Row],[SP_BH]]=1,calendar[[#This Row],[WeekDay]]=1, calendar[[#This Row],[WeekDay]]=7),P3459,P3459+1)</f>
        <v>2457</v>
      </c>
      <c r="S3460">
        <f>IF(OR(calendar[[#This Row],[PT_BH]]=1,calendar[[#This Row],[WeekDay]]=1, calendar[[#This Row],[WeekDay]]=7),P3459,P3459+1)</f>
        <v>2457</v>
      </c>
    </row>
    <row r="3461" spans="1:19" x14ac:dyDescent="0.25">
      <c r="A3461" s="2">
        <v>46195</v>
      </c>
      <c r="B3461" s="1">
        <f t="shared" si="276"/>
        <v>26</v>
      </c>
      <c r="C3461">
        <f t="shared" si="273"/>
        <v>6</v>
      </c>
      <c r="D3461" t="str">
        <f t="shared" si="274"/>
        <v>June</v>
      </c>
      <c r="E3461">
        <f t="shared" si="275"/>
        <v>2026</v>
      </c>
      <c r="F3461" t="str">
        <f>CONCATENATE(calendar[[#This Row],[Month]],"/",calendar[[#This Row],[Year]])</f>
        <v>6/2026</v>
      </c>
      <c r="G3461">
        <f>WEEKDAY(calendar[[#This Row],[Date]],1)</f>
        <v>2</v>
      </c>
      <c r="H3461" t="str">
        <f>TEXT(calendar[[#This Row],[WeekDay]],"dddd")</f>
        <v>Monday</v>
      </c>
      <c r="I3461">
        <f>IF((INT(calendar[[#This Row],[Count]]/7)-calendar[[#This Row],[Count]]/7)&lt;0,I3460,I3460+1)</f>
        <v>495</v>
      </c>
      <c r="J3461">
        <f t="shared" si="277"/>
        <v>3459</v>
      </c>
      <c r="K3461">
        <f>IF(calendar[[#This Row],[Month]]&lt;4,1,IF(calendar[[#This Row],[Month]]&lt;7,2,IF(calendar[[#This Row],[Month]]&lt;10,3,4)))</f>
        <v>2</v>
      </c>
      <c r="L3461">
        <f>IFERROR(IF(VLOOKUP(calendar[[#This Row],[Date]],BH!A:A,1,)&lt;&gt;"",1,0),0)</f>
        <v>0</v>
      </c>
      <c r="M3461">
        <f>IFERROR(IF(VLOOKUP(calendar[[#This Row],[Date]],BH!C:C,1,)&lt;&gt;"",1,0),0)</f>
        <v>0</v>
      </c>
      <c r="N3461">
        <f>IFERROR(IF(VLOOKUP(calendar[[#This Row],[Date]],BH!E:E,1,)&lt;&gt;"",1,0),0)</f>
        <v>0</v>
      </c>
      <c r="O3461">
        <f>IFERROR(IF(VLOOKUP(calendar[[#This Row],[Date]],BH!G:G,1,)&lt;&gt;"",1,0),0)</f>
        <v>0</v>
      </c>
      <c r="P3461">
        <f>IF(OR(calendar[[#This Row],[UK_BH]]=1,calendar[[#This Row],[WeekDay]]=1, calendar[[#This Row],[WeekDay]]=7),P3460,P3460+1)</f>
        <v>2458</v>
      </c>
      <c r="Q3461">
        <f>IF(OR(calendar[[#This Row],[FR_BH]]=1,calendar[[#This Row],[WeekDay]]=1, calendar[[#This Row],[WeekDay]]=7),P3460,P3460+1)</f>
        <v>2458</v>
      </c>
      <c r="R3461">
        <f>IF(OR(calendar[[#This Row],[SP_BH]]=1,calendar[[#This Row],[WeekDay]]=1, calendar[[#This Row],[WeekDay]]=7),P3460,P3460+1)</f>
        <v>2458</v>
      </c>
      <c r="S3461">
        <f>IF(OR(calendar[[#This Row],[PT_BH]]=1,calendar[[#This Row],[WeekDay]]=1, calendar[[#This Row],[WeekDay]]=7),P3460,P3460+1)</f>
        <v>2458</v>
      </c>
    </row>
    <row r="3462" spans="1:19" x14ac:dyDescent="0.25">
      <c r="A3462" s="2">
        <v>46196</v>
      </c>
      <c r="B3462" s="1">
        <f t="shared" si="276"/>
        <v>26</v>
      </c>
      <c r="C3462">
        <f t="shared" si="273"/>
        <v>6</v>
      </c>
      <c r="D3462" t="str">
        <f t="shared" si="274"/>
        <v>June</v>
      </c>
      <c r="E3462">
        <f t="shared" si="275"/>
        <v>2026</v>
      </c>
      <c r="F3462" t="str">
        <f>CONCATENATE(calendar[[#This Row],[Month]],"/",calendar[[#This Row],[Year]])</f>
        <v>6/2026</v>
      </c>
      <c r="G3462">
        <f>WEEKDAY(calendar[[#This Row],[Date]],1)</f>
        <v>3</v>
      </c>
      <c r="H3462" t="str">
        <f>TEXT(calendar[[#This Row],[WeekDay]],"dddd")</f>
        <v>Tuesday</v>
      </c>
      <c r="I3462">
        <f>IF((INT(calendar[[#This Row],[Count]]/7)-calendar[[#This Row],[Count]]/7)&lt;0,I3461,I3461+1)</f>
        <v>495</v>
      </c>
      <c r="J3462">
        <f t="shared" si="277"/>
        <v>3460</v>
      </c>
      <c r="K3462">
        <f>IF(calendar[[#This Row],[Month]]&lt;4,1,IF(calendar[[#This Row],[Month]]&lt;7,2,IF(calendar[[#This Row],[Month]]&lt;10,3,4)))</f>
        <v>2</v>
      </c>
      <c r="L3462">
        <f>IFERROR(IF(VLOOKUP(calendar[[#This Row],[Date]],BH!A:A,1,)&lt;&gt;"",1,0),0)</f>
        <v>0</v>
      </c>
      <c r="M3462">
        <f>IFERROR(IF(VLOOKUP(calendar[[#This Row],[Date]],BH!C:C,1,)&lt;&gt;"",1,0),0)</f>
        <v>0</v>
      </c>
      <c r="N3462">
        <f>IFERROR(IF(VLOOKUP(calendar[[#This Row],[Date]],BH!E:E,1,)&lt;&gt;"",1,0),0)</f>
        <v>0</v>
      </c>
      <c r="O3462">
        <f>IFERROR(IF(VLOOKUP(calendar[[#This Row],[Date]],BH!G:G,1,)&lt;&gt;"",1,0),0)</f>
        <v>0</v>
      </c>
      <c r="P3462">
        <f>IF(OR(calendar[[#This Row],[UK_BH]]=1,calendar[[#This Row],[WeekDay]]=1, calendar[[#This Row],[WeekDay]]=7),P3461,P3461+1)</f>
        <v>2459</v>
      </c>
      <c r="Q3462">
        <f>IF(OR(calendar[[#This Row],[FR_BH]]=1,calendar[[#This Row],[WeekDay]]=1, calendar[[#This Row],[WeekDay]]=7),P3461,P3461+1)</f>
        <v>2459</v>
      </c>
      <c r="R3462">
        <f>IF(OR(calendar[[#This Row],[SP_BH]]=1,calendar[[#This Row],[WeekDay]]=1, calendar[[#This Row],[WeekDay]]=7),P3461,P3461+1)</f>
        <v>2459</v>
      </c>
      <c r="S3462">
        <f>IF(OR(calendar[[#This Row],[PT_BH]]=1,calendar[[#This Row],[WeekDay]]=1, calendar[[#This Row],[WeekDay]]=7),P3461,P3461+1)</f>
        <v>2459</v>
      </c>
    </row>
    <row r="3463" spans="1:19" x14ac:dyDescent="0.25">
      <c r="A3463" s="2">
        <v>46197</v>
      </c>
      <c r="B3463" s="1">
        <f t="shared" si="276"/>
        <v>26</v>
      </c>
      <c r="C3463">
        <f t="shared" si="273"/>
        <v>6</v>
      </c>
      <c r="D3463" t="str">
        <f t="shared" si="274"/>
        <v>June</v>
      </c>
      <c r="E3463">
        <f t="shared" si="275"/>
        <v>2026</v>
      </c>
      <c r="F3463" t="str">
        <f>CONCATENATE(calendar[[#This Row],[Month]],"/",calendar[[#This Row],[Year]])</f>
        <v>6/2026</v>
      </c>
      <c r="G3463">
        <f>WEEKDAY(calendar[[#This Row],[Date]],1)</f>
        <v>4</v>
      </c>
      <c r="H3463" t="str">
        <f>TEXT(calendar[[#This Row],[WeekDay]],"dddd")</f>
        <v>Wednesday</v>
      </c>
      <c r="I3463">
        <f>IF((INT(calendar[[#This Row],[Count]]/7)-calendar[[#This Row],[Count]]/7)&lt;0,I3462,I3462+1)</f>
        <v>495</v>
      </c>
      <c r="J3463">
        <f t="shared" si="277"/>
        <v>3461</v>
      </c>
      <c r="K3463">
        <f>IF(calendar[[#This Row],[Month]]&lt;4,1,IF(calendar[[#This Row],[Month]]&lt;7,2,IF(calendar[[#This Row],[Month]]&lt;10,3,4)))</f>
        <v>2</v>
      </c>
      <c r="L3463">
        <f>IFERROR(IF(VLOOKUP(calendar[[#This Row],[Date]],BH!A:A,1,)&lt;&gt;"",1,0),0)</f>
        <v>0</v>
      </c>
      <c r="M3463">
        <f>IFERROR(IF(VLOOKUP(calendar[[#This Row],[Date]],BH!C:C,1,)&lt;&gt;"",1,0),0)</f>
        <v>0</v>
      </c>
      <c r="N3463">
        <f>IFERROR(IF(VLOOKUP(calendar[[#This Row],[Date]],BH!E:E,1,)&lt;&gt;"",1,0),0)</f>
        <v>1</v>
      </c>
      <c r="O3463">
        <f>IFERROR(IF(VLOOKUP(calendar[[#This Row],[Date]],BH!G:G,1,)&lt;&gt;"",1,0),0)</f>
        <v>0</v>
      </c>
      <c r="P3463">
        <f>IF(OR(calendar[[#This Row],[UK_BH]]=1,calendar[[#This Row],[WeekDay]]=1, calendar[[#This Row],[WeekDay]]=7),P3462,P3462+1)</f>
        <v>2460</v>
      </c>
      <c r="Q3463">
        <f>IF(OR(calendar[[#This Row],[FR_BH]]=1,calendar[[#This Row],[WeekDay]]=1, calendar[[#This Row],[WeekDay]]=7),P3462,P3462+1)</f>
        <v>2460</v>
      </c>
      <c r="R3463">
        <f>IF(OR(calendar[[#This Row],[SP_BH]]=1,calendar[[#This Row],[WeekDay]]=1, calendar[[#This Row],[WeekDay]]=7),P3462,P3462+1)</f>
        <v>2459</v>
      </c>
      <c r="S3463">
        <f>IF(OR(calendar[[#This Row],[PT_BH]]=1,calendar[[#This Row],[WeekDay]]=1, calendar[[#This Row],[WeekDay]]=7),P3462,P3462+1)</f>
        <v>2460</v>
      </c>
    </row>
    <row r="3464" spans="1:19" x14ac:dyDescent="0.25">
      <c r="A3464" s="2">
        <v>46198</v>
      </c>
      <c r="B3464" s="1">
        <f t="shared" si="276"/>
        <v>26</v>
      </c>
      <c r="C3464">
        <f t="shared" si="273"/>
        <v>6</v>
      </c>
      <c r="D3464" t="str">
        <f t="shared" si="274"/>
        <v>June</v>
      </c>
      <c r="E3464">
        <f t="shared" si="275"/>
        <v>2026</v>
      </c>
      <c r="F3464" t="str">
        <f>CONCATENATE(calendar[[#This Row],[Month]],"/",calendar[[#This Row],[Year]])</f>
        <v>6/2026</v>
      </c>
      <c r="G3464">
        <f>WEEKDAY(calendar[[#This Row],[Date]],1)</f>
        <v>5</v>
      </c>
      <c r="H3464" t="str">
        <f>TEXT(calendar[[#This Row],[WeekDay]],"dddd")</f>
        <v>Thursday</v>
      </c>
      <c r="I3464">
        <f>IF((INT(calendar[[#This Row],[Count]]/7)-calendar[[#This Row],[Count]]/7)&lt;0,I3463,I3463+1)</f>
        <v>495</v>
      </c>
      <c r="J3464">
        <f t="shared" si="277"/>
        <v>3462</v>
      </c>
      <c r="K3464">
        <f>IF(calendar[[#This Row],[Month]]&lt;4,1,IF(calendar[[#This Row],[Month]]&lt;7,2,IF(calendar[[#This Row],[Month]]&lt;10,3,4)))</f>
        <v>2</v>
      </c>
      <c r="L3464">
        <f>IFERROR(IF(VLOOKUP(calendar[[#This Row],[Date]],BH!A:A,1,)&lt;&gt;"",1,0),0)</f>
        <v>0</v>
      </c>
      <c r="M3464">
        <f>IFERROR(IF(VLOOKUP(calendar[[#This Row],[Date]],BH!C:C,1,)&lt;&gt;"",1,0),0)</f>
        <v>0</v>
      </c>
      <c r="N3464">
        <f>IFERROR(IF(VLOOKUP(calendar[[#This Row],[Date]],BH!E:E,1,)&lt;&gt;"",1,0),0)</f>
        <v>0</v>
      </c>
      <c r="O3464">
        <f>IFERROR(IF(VLOOKUP(calendar[[#This Row],[Date]],BH!G:G,1,)&lt;&gt;"",1,0),0)</f>
        <v>0</v>
      </c>
      <c r="P3464">
        <f>IF(OR(calendar[[#This Row],[UK_BH]]=1,calendar[[#This Row],[WeekDay]]=1, calendar[[#This Row],[WeekDay]]=7),P3463,P3463+1)</f>
        <v>2461</v>
      </c>
      <c r="Q3464">
        <f>IF(OR(calendar[[#This Row],[FR_BH]]=1,calendar[[#This Row],[WeekDay]]=1, calendar[[#This Row],[WeekDay]]=7),P3463,P3463+1)</f>
        <v>2461</v>
      </c>
      <c r="R3464">
        <f>IF(OR(calendar[[#This Row],[SP_BH]]=1,calendar[[#This Row],[WeekDay]]=1, calendar[[#This Row],[WeekDay]]=7),P3463,P3463+1)</f>
        <v>2461</v>
      </c>
      <c r="S3464">
        <f>IF(OR(calendar[[#This Row],[PT_BH]]=1,calendar[[#This Row],[WeekDay]]=1, calendar[[#This Row],[WeekDay]]=7),P3463,P3463+1)</f>
        <v>2461</v>
      </c>
    </row>
    <row r="3465" spans="1:19" x14ac:dyDescent="0.25">
      <c r="A3465" s="2">
        <v>46199</v>
      </c>
      <c r="B3465" s="1">
        <f t="shared" si="276"/>
        <v>26</v>
      </c>
      <c r="C3465">
        <f t="shared" si="273"/>
        <v>6</v>
      </c>
      <c r="D3465" t="str">
        <f t="shared" si="274"/>
        <v>June</v>
      </c>
      <c r="E3465">
        <f t="shared" si="275"/>
        <v>2026</v>
      </c>
      <c r="F3465" t="str">
        <f>CONCATENATE(calendar[[#This Row],[Month]],"/",calendar[[#This Row],[Year]])</f>
        <v>6/2026</v>
      </c>
      <c r="G3465">
        <f>WEEKDAY(calendar[[#This Row],[Date]],1)</f>
        <v>6</v>
      </c>
      <c r="H3465" t="str">
        <f>TEXT(calendar[[#This Row],[WeekDay]],"dddd")</f>
        <v>Friday</v>
      </c>
      <c r="I3465">
        <f>IF((INT(calendar[[#This Row],[Count]]/7)-calendar[[#This Row],[Count]]/7)&lt;0,I3464,I3464+1)</f>
        <v>495</v>
      </c>
      <c r="J3465">
        <f t="shared" si="277"/>
        <v>3463</v>
      </c>
      <c r="K3465">
        <f>IF(calendar[[#This Row],[Month]]&lt;4,1,IF(calendar[[#This Row],[Month]]&lt;7,2,IF(calendar[[#This Row],[Month]]&lt;10,3,4)))</f>
        <v>2</v>
      </c>
      <c r="L3465">
        <f>IFERROR(IF(VLOOKUP(calendar[[#This Row],[Date]],BH!A:A,1,)&lt;&gt;"",1,0),0)</f>
        <v>0</v>
      </c>
      <c r="M3465">
        <f>IFERROR(IF(VLOOKUP(calendar[[#This Row],[Date]],BH!C:C,1,)&lt;&gt;"",1,0),0)</f>
        <v>0</v>
      </c>
      <c r="N3465">
        <f>IFERROR(IF(VLOOKUP(calendar[[#This Row],[Date]],BH!E:E,1,)&lt;&gt;"",1,0),0)</f>
        <v>0</v>
      </c>
      <c r="O3465">
        <f>IFERROR(IF(VLOOKUP(calendar[[#This Row],[Date]],BH!G:G,1,)&lt;&gt;"",1,0),0)</f>
        <v>0</v>
      </c>
      <c r="P3465">
        <f>IF(OR(calendar[[#This Row],[UK_BH]]=1,calendar[[#This Row],[WeekDay]]=1, calendar[[#This Row],[WeekDay]]=7),P3464,P3464+1)</f>
        <v>2462</v>
      </c>
      <c r="Q3465">
        <f>IF(OR(calendar[[#This Row],[FR_BH]]=1,calendar[[#This Row],[WeekDay]]=1, calendar[[#This Row],[WeekDay]]=7),P3464,P3464+1)</f>
        <v>2462</v>
      </c>
      <c r="R3465">
        <f>IF(OR(calendar[[#This Row],[SP_BH]]=1,calendar[[#This Row],[WeekDay]]=1, calendar[[#This Row],[WeekDay]]=7),P3464,P3464+1)</f>
        <v>2462</v>
      </c>
      <c r="S3465">
        <f>IF(OR(calendar[[#This Row],[PT_BH]]=1,calendar[[#This Row],[WeekDay]]=1, calendar[[#This Row],[WeekDay]]=7),P3464,P3464+1)</f>
        <v>2462</v>
      </c>
    </row>
    <row r="3466" spans="1:19" x14ac:dyDescent="0.25">
      <c r="A3466" s="2">
        <v>46200</v>
      </c>
      <c r="B3466" s="1">
        <f t="shared" si="276"/>
        <v>26</v>
      </c>
      <c r="C3466">
        <f t="shared" si="273"/>
        <v>6</v>
      </c>
      <c r="D3466" t="str">
        <f t="shared" si="274"/>
        <v>June</v>
      </c>
      <c r="E3466">
        <f t="shared" si="275"/>
        <v>2026</v>
      </c>
      <c r="F3466" t="str">
        <f>CONCATENATE(calendar[[#This Row],[Month]],"/",calendar[[#This Row],[Year]])</f>
        <v>6/2026</v>
      </c>
      <c r="G3466">
        <f>WEEKDAY(calendar[[#This Row],[Date]],1)</f>
        <v>7</v>
      </c>
      <c r="H3466" t="str">
        <f>TEXT(calendar[[#This Row],[WeekDay]],"dddd")</f>
        <v>Saturday</v>
      </c>
      <c r="I3466">
        <f>IF((INT(calendar[[#This Row],[Count]]/7)-calendar[[#This Row],[Count]]/7)&lt;0,I3465,I3465+1)</f>
        <v>495</v>
      </c>
      <c r="J3466">
        <f t="shared" si="277"/>
        <v>3464</v>
      </c>
      <c r="K3466">
        <f>IF(calendar[[#This Row],[Month]]&lt;4,1,IF(calendar[[#This Row],[Month]]&lt;7,2,IF(calendar[[#This Row],[Month]]&lt;10,3,4)))</f>
        <v>2</v>
      </c>
      <c r="L3466">
        <f>IFERROR(IF(VLOOKUP(calendar[[#This Row],[Date]],BH!A:A,1,)&lt;&gt;"",1,0),0)</f>
        <v>0</v>
      </c>
      <c r="M3466">
        <f>IFERROR(IF(VLOOKUP(calendar[[#This Row],[Date]],BH!C:C,1,)&lt;&gt;"",1,0),0)</f>
        <v>0</v>
      </c>
      <c r="N3466">
        <f>IFERROR(IF(VLOOKUP(calendar[[#This Row],[Date]],BH!E:E,1,)&lt;&gt;"",1,0),0)</f>
        <v>0</v>
      </c>
      <c r="O3466">
        <f>IFERROR(IF(VLOOKUP(calendar[[#This Row],[Date]],BH!G:G,1,)&lt;&gt;"",1,0),0)</f>
        <v>0</v>
      </c>
      <c r="P3466">
        <f>IF(OR(calendar[[#This Row],[UK_BH]]=1,calendar[[#This Row],[WeekDay]]=1, calendar[[#This Row],[WeekDay]]=7),P3465,P3465+1)</f>
        <v>2462</v>
      </c>
      <c r="Q3466">
        <f>IF(OR(calendar[[#This Row],[FR_BH]]=1,calendar[[#This Row],[WeekDay]]=1, calendar[[#This Row],[WeekDay]]=7),P3465,P3465+1)</f>
        <v>2462</v>
      </c>
      <c r="R3466">
        <f>IF(OR(calendar[[#This Row],[SP_BH]]=1,calendar[[#This Row],[WeekDay]]=1, calendar[[#This Row],[WeekDay]]=7),P3465,P3465+1)</f>
        <v>2462</v>
      </c>
      <c r="S3466">
        <f>IF(OR(calendar[[#This Row],[PT_BH]]=1,calendar[[#This Row],[WeekDay]]=1, calendar[[#This Row],[WeekDay]]=7),P3465,P3465+1)</f>
        <v>2462</v>
      </c>
    </row>
    <row r="3467" spans="1:19" x14ac:dyDescent="0.25">
      <c r="A3467" s="2">
        <v>46201</v>
      </c>
      <c r="B3467" s="1">
        <f t="shared" si="276"/>
        <v>27</v>
      </c>
      <c r="C3467">
        <f t="shared" si="273"/>
        <v>6</v>
      </c>
      <c r="D3467" t="str">
        <f t="shared" si="274"/>
        <v>June</v>
      </c>
      <c r="E3467">
        <f t="shared" si="275"/>
        <v>2026</v>
      </c>
      <c r="F3467" t="str">
        <f>CONCATENATE(calendar[[#This Row],[Month]],"/",calendar[[#This Row],[Year]])</f>
        <v>6/2026</v>
      </c>
      <c r="G3467">
        <f>WEEKDAY(calendar[[#This Row],[Date]],1)</f>
        <v>1</v>
      </c>
      <c r="H3467" t="str">
        <f>TEXT(calendar[[#This Row],[WeekDay]],"dddd")</f>
        <v>Sunday</v>
      </c>
      <c r="I3467">
        <f>IF((INT(calendar[[#This Row],[Count]]/7)-calendar[[#This Row],[Count]]/7)&lt;0,I3466,I3466+1)</f>
        <v>496</v>
      </c>
      <c r="J3467">
        <f t="shared" si="277"/>
        <v>3465</v>
      </c>
      <c r="K3467">
        <f>IF(calendar[[#This Row],[Month]]&lt;4,1,IF(calendar[[#This Row],[Month]]&lt;7,2,IF(calendar[[#This Row],[Month]]&lt;10,3,4)))</f>
        <v>2</v>
      </c>
      <c r="L3467">
        <f>IFERROR(IF(VLOOKUP(calendar[[#This Row],[Date]],BH!A:A,1,)&lt;&gt;"",1,0),0)</f>
        <v>0</v>
      </c>
      <c r="M3467">
        <f>IFERROR(IF(VLOOKUP(calendar[[#This Row],[Date]],BH!C:C,1,)&lt;&gt;"",1,0),0)</f>
        <v>0</v>
      </c>
      <c r="N3467">
        <f>IFERROR(IF(VLOOKUP(calendar[[#This Row],[Date]],BH!E:E,1,)&lt;&gt;"",1,0),0)</f>
        <v>0</v>
      </c>
      <c r="O3467">
        <f>IFERROR(IF(VLOOKUP(calendar[[#This Row],[Date]],BH!G:G,1,)&lt;&gt;"",1,0),0)</f>
        <v>0</v>
      </c>
      <c r="P3467">
        <f>IF(OR(calendar[[#This Row],[UK_BH]]=1,calendar[[#This Row],[WeekDay]]=1, calendar[[#This Row],[WeekDay]]=7),P3466,P3466+1)</f>
        <v>2462</v>
      </c>
      <c r="Q3467">
        <f>IF(OR(calendar[[#This Row],[FR_BH]]=1,calendar[[#This Row],[WeekDay]]=1, calendar[[#This Row],[WeekDay]]=7),P3466,P3466+1)</f>
        <v>2462</v>
      </c>
      <c r="R3467">
        <f>IF(OR(calendar[[#This Row],[SP_BH]]=1,calendar[[#This Row],[WeekDay]]=1, calendar[[#This Row],[WeekDay]]=7),P3466,P3466+1)</f>
        <v>2462</v>
      </c>
      <c r="S3467">
        <f>IF(OR(calendar[[#This Row],[PT_BH]]=1,calendar[[#This Row],[WeekDay]]=1, calendar[[#This Row],[WeekDay]]=7),P3466,P3466+1)</f>
        <v>2462</v>
      </c>
    </row>
    <row r="3468" spans="1:19" x14ac:dyDescent="0.25">
      <c r="A3468" s="2">
        <v>46202</v>
      </c>
      <c r="B3468" s="1">
        <f t="shared" si="276"/>
        <v>27</v>
      </c>
      <c r="C3468">
        <f t="shared" si="273"/>
        <v>6</v>
      </c>
      <c r="D3468" t="str">
        <f t="shared" si="274"/>
        <v>June</v>
      </c>
      <c r="E3468">
        <f t="shared" si="275"/>
        <v>2026</v>
      </c>
      <c r="F3468" t="str">
        <f>CONCATENATE(calendar[[#This Row],[Month]],"/",calendar[[#This Row],[Year]])</f>
        <v>6/2026</v>
      </c>
      <c r="G3468">
        <f>WEEKDAY(calendar[[#This Row],[Date]],1)</f>
        <v>2</v>
      </c>
      <c r="H3468" t="str">
        <f>TEXT(calendar[[#This Row],[WeekDay]],"dddd")</f>
        <v>Monday</v>
      </c>
      <c r="I3468">
        <f>IF((INT(calendar[[#This Row],[Count]]/7)-calendar[[#This Row],[Count]]/7)&lt;0,I3467,I3467+1)</f>
        <v>496</v>
      </c>
      <c r="J3468">
        <f t="shared" si="277"/>
        <v>3466</v>
      </c>
      <c r="K3468">
        <f>IF(calendar[[#This Row],[Month]]&lt;4,1,IF(calendar[[#This Row],[Month]]&lt;7,2,IF(calendar[[#This Row],[Month]]&lt;10,3,4)))</f>
        <v>2</v>
      </c>
      <c r="L3468">
        <f>IFERROR(IF(VLOOKUP(calendar[[#This Row],[Date]],BH!A:A,1,)&lt;&gt;"",1,0),0)</f>
        <v>0</v>
      </c>
      <c r="M3468">
        <f>IFERROR(IF(VLOOKUP(calendar[[#This Row],[Date]],BH!C:C,1,)&lt;&gt;"",1,0),0)</f>
        <v>0</v>
      </c>
      <c r="N3468">
        <f>IFERROR(IF(VLOOKUP(calendar[[#This Row],[Date]],BH!E:E,1,)&lt;&gt;"",1,0),0)</f>
        <v>0</v>
      </c>
      <c r="O3468">
        <f>IFERROR(IF(VLOOKUP(calendar[[#This Row],[Date]],BH!G:G,1,)&lt;&gt;"",1,0),0)</f>
        <v>0</v>
      </c>
      <c r="P3468">
        <f>IF(OR(calendar[[#This Row],[UK_BH]]=1,calendar[[#This Row],[WeekDay]]=1, calendar[[#This Row],[WeekDay]]=7),P3467,P3467+1)</f>
        <v>2463</v>
      </c>
      <c r="Q3468">
        <f>IF(OR(calendar[[#This Row],[FR_BH]]=1,calendar[[#This Row],[WeekDay]]=1, calendar[[#This Row],[WeekDay]]=7),P3467,P3467+1)</f>
        <v>2463</v>
      </c>
      <c r="R3468">
        <f>IF(OR(calendar[[#This Row],[SP_BH]]=1,calendar[[#This Row],[WeekDay]]=1, calendar[[#This Row],[WeekDay]]=7),P3467,P3467+1)</f>
        <v>2463</v>
      </c>
      <c r="S3468">
        <f>IF(OR(calendar[[#This Row],[PT_BH]]=1,calendar[[#This Row],[WeekDay]]=1, calendar[[#This Row],[WeekDay]]=7),P3467,P3467+1)</f>
        <v>2463</v>
      </c>
    </row>
    <row r="3469" spans="1:19" x14ac:dyDescent="0.25">
      <c r="A3469" s="2">
        <v>46203</v>
      </c>
      <c r="B3469" s="1">
        <f t="shared" si="276"/>
        <v>27</v>
      </c>
      <c r="C3469">
        <f t="shared" si="273"/>
        <v>6</v>
      </c>
      <c r="D3469" t="str">
        <f t="shared" si="274"/>
        <v>June</v>
      </c>
      <c r="E3469">
        <f t="shared" si="275"/>
        <v>2026</v>
      </c>
      <c r="F3469" t="str">
        <f>CONCATENATE(calendar[[#This Row],[Month]],"/",calendar[[#This Row],[Year]])</f>
        <v>6/2026</v>
      </c>
      <c r="G3469">
        <f>WEEKDAY(calendar[[#This Row],[Date]],1)</f>
        <v>3</v>
      </c>
      <c r="H3469" t="str">
        <f>TEXT(calendar[[#This Row],[WeekDay]],"dddd")</f>
        <v>Tuesday</v>
      </c>
      <c r="I3469">
        <f>IF((INT(calendar[[#This Row],[Count]]/7)-calendar[[#This Row],[Count]]/7)&lt;0,I3468,I3468+1)</f>
        <v>496</v>
      </c>
      <c r="J3469">
        <f t="shared" si="277"/>
        <v>3467</v>
      </c>
      <c r="K3469">
        <f>IF(calendar[[#This Row],[Month]]&lt;4,1,IF(calendar[[#This Row],[Month]]&lt;7,2,IF(calendar[[#This Row],[Month]]&lt;10,3,4)))</f>
        <v>2</v>
      </c>
      <c r="L3469">
        <f>IFERROR(IF(VLOOKUP(calendar[[#This Row],[Date]],BH!A:A,1,)&lt;&gt;"",1,0),0)</f>
        <v>0</v>
      </c>
      <c r="M3469">
        <f>IFERROR(IF(VLOOKUP(calendar[[#This Row],[Date]],BH!C:C,1,)&lt;&gt;"",1,0),0)</f>
        <v>0</v>
      </c>
      <c r="N3469">
        <f>IFERROR(IF(VLOOKUP(calendar[[#This Row],[Date]],BH!E:E,1,)&lt;&gt;"",1,0),0)</f>
        <v>0</v>
      </c>
      <c r="O3469">
        <f>IFERROR(IF(VLOOKUP(calendar[[#This Row],[Date]],BH!G:G,1,)&lt;&gt;"",1,0),0)</f>
        <v>0</v>
      </c>
      <c r="P3469">
        <f>IF(OR(calendar[[#This Row],[UK_BH]]=1,calendar[[#This Row],[WeekDay]]=1, calendar[[#This Row],[WeekDay]]=7),P3468,P3468+1)</f>
        <v>2464</v>
      </c>
      <c r="Q3469">
        <f>IF(OR(calendar[[#This Row],[FR_BH]]=1,calendar[[#This Row],[WeekDay]]=1, calendar[[#This Row],[WeekDay]]=7),P3468,P3468+1)</f>
        <v>2464</v>
      </c>
      <c r="R3469">
        <f>IF(OR(calendar[[#This Row],[SP_BH]]=1,calendar[[#This Row],[WeekDay]]=1, calendar[[#This Row],[WeekDay]]=7),P3468,P3468+1)</f>
        <v>2464</v>
      </c>
      <c r="S3469">
        <f>IF(OR(calendar[[#This Row],[PT_BH]]=1,calendar[[#This Row],[WeekDay]]=1, calendar[[#This Row],[WeekDay]]=7),P3468,P3468+1)</f>
        <v>2464</v>
      </c>
    </row>
    <row r="3470" spans="1:19" x14ac:dyDescent="0.25">
      <c r="A3470" s="2">
        <v>46204</v>
      </c>
      <c r="B3470" s="1">
        <f t="shared" si="276"/>
        <v>27</v>
      </c>
      <c r="C3470">
        <f t="shared" si="273"/>
        <v>7</v>
      </c>
      <c r="D3470" t="str">
        <f t="shared" si="274"/>
        <v>July</v>
      </c>
      <c r="E3470">
        <f t="shared" si="275"/>
        <v>2026</v>
      </c>
      <c r="F3470" t="str">
        <f>CONCATENATE(calendar[[#This Row],[Month]],"/",calendar[[#This Row],[Year]])</f>
        <v>7/2026</v>
      </c>
      <c r="G3470">
        <f>WEEKDAY(calendar[[#This Row],[Date]],1)</f>
        <v>4</v>
      </c>
      <c r="H3470" t="str">
        <f>TEXT(calendar[[#This Row],[WeekDay]],"dddd")</f>
        <v>Wednesday</v>
      </c>
      <c r="I3470">
        <f>IF((INT(calendar[[#This Row],[Count]]/7)-calendar[[#This Row],[Count]]/7)&lt;0,I3469,I3469+1)</f>
        <v>496</v>
      </c>
      <c r="J3470">
        <f t="shared" si="277"/>
        <v>3468</v>
      </c>
      <c r="K3470">
        <f>IF(calendar[[#This Row],[Month]]&lt;4,1,IF(calendar[[#This Row],[Month]]&lt;7,2,IF(calendar[[#This Row],[Month]]&lt;10,3,4)))</f>
        <v>3</v>
      </c>
      <c r="L3470">
        <f>IFERROR(IF(VLOOKUP(calendar[[#This Row],[Date]],BH!A:A,1,)&lt;&gt;"",1,0),0)</f>
        <v>0</v>
      </c>
      <c r="M3470">
        <f>IFERROR(IF(VLOOKUP(calendar[[#This Row],[Date]],BH!C:C,1,)&lt;&gt;"",1,0),0)</f>
        <v>0</v>
      </c>
      <c r="N3470">
        <f>IFERROR(IF(VLOOKUP(calendar[[#This Row],[Date]],BH!E:E,1,)&lt;&gt;"",1,0),0)</f>
        <v>0</v>
      </c>
      <c r="O3470">
        <f>IFERROR(IF(VLOOKUP(calendar[[#This Row],[Date]],BH!G:G,1,)&lt;&gt;"",1,0),0)</f>
        <v>0</v>
      </c>
      <c r="P3470">
        <f>IF(OR(calendar[[#This Row],[UK_BH]]=1,calendar[[#This Row],[WeekDay]]=1, calendar[[#This Row],[WeekDay]]=7),P3469,P3469+1)</f>
        <v>2465</v>
      </c>
      <c r="Q3470">
        <f>IF(OR(calendar[[#This Row],[FR_BH]]=1,calendar[[#This Row],[WeekDay]]=1, calendar[[#This Row],[WeekDay]]=7),P3469,P3469+1)</f>
        <v>2465</v>
      </c>
      <c r="R3470">
        <f>IF(OR(calendar[[#This Row],[SP_BH]]=1,calendar[[#This Row],[WeekDay]]=1, calendar[[#This Row],[WeekDay]]=7),P3469,P3469+1)</f>
        <v>2465</v>
      </c>
      <c r="S3470">
        <f>IF(OR(calendar[[#This Row],[PT_BH]]=1,calendar[[#This Row],[WeekDay]]=1, calendar[[#This Row],[WeekDay]]=7),P3469,P3469+1)</f>
        <v>2465</v>
      </c>
    </row>
    <row r="3471" spans="1:19" x14ac:dyDescent="0.25">
      <c r="A3471" s="2">
        <v>46205</v>
      </c>
      <c r="B3471" s="1">
        <f t="shared" si="276"/>
        <v>27</v>
      </c>
      <c r="C3471">
        <f t="shared" si="273"/>
        <v>7</v>
      </c>
      <c r="D3471" t="str">
        <f t="shared" si="274"/>
        <v>July</v>
      </c>
      <c r="E3471">
        <f t="shared" si="275"/>
        <v>2026</v>
      </c>
      <c r="F3471" t="str">
        <f>CONCATENATE(calendar[[#This Row],[Month]],"/",calendar[[#This Row],[Year]])</f>
        <v>7/2026</v>
      </c>
      <c r="G3471">
        <f>WEEKDAY(calendar[[#This Row],[Date]],1)</f>
        <v>5</v>
      </c>
      <c r="H3471" t="str">
        <f>TEXT(calendar[[#This Row],[WeekDay]],"dddd")</f>
        <v>Thursday</v>
      </c>
      <c r="I3471">
        <f>IF((INT(calendar[[#This Row],[Count]]/7)-calendar[[#This Row],[Count]]/7)&lt;0,I3470,I3470+1)</f>
        <v>496</v>
      </c>
      <c r="J3471">
        <f t="shared" si="277"/>
        <v>3469</v>
      </c>
      <c r="K3471">
        <f>IF(calendar[[#This Row],[Month]]&lt;4,1,IF(calendar[[#This Row],[Month]]&lt;7,2,IF(calendar[[#This Row],[Month]]&lt;10,3,4)))</f>
        <v>3</v>
      </c>
      <c r="L3471">
        <f>IFERROR(IF(VLOOKUP(calendar[[#This Row],[Date]],BH!A:A,1,)&lt;&gt;"",1,0),0)</f>
        <v>0</v>
      </c>
      <c r="M3471">
        <f>IFERROR(IF(VLOOKUP(calendar[[#This Row],[Date]],BH!C:C,1,)&lt;&gt;"",1,0),0)</f>
        <v>0</v>
      </c>
      <c r="N3471">
        <f>IFERROR(IF(VLOOKUP(calendar[[#This Row],[Date]],BH!E:E,1,)&lt;&gt;"",1,0),0)</f>
        <v>0</v>
      </c>
      <c r="O3471">
        <f>IFERROR(IF(VLOOKUP(calendar[[#This Row],[Date]],BH!G:G,1,)&lt;&gt;"",1,0),0)</f>
        <v>0</v>
      </c>
      <c r="P3471">
        <f>IF(OR(calendar[[#This Row],[UK_BH]]=1,calendar[[#This Row],[WeekDay]]=1, calendar[[#This Row],[WeekDay]]=7),P3470,P3470+1)</f>
        <v>2466</v>
      </c>
      <c r="Q3471">
        <f>IF(OR(calendar[[#This Row],[FR_BH]]=1,calendar[[#This Row],[WeekDay]]=1, calendar[[#This Row],[WeekDay]]=7),P3470,P3470+1)</f>
        <v>2466</v>
      </c>
      <c r="R3471">
        <f>IF(OR(calendar[[#This Row],[SP_BH]]=1,calendar[[#This Row],[WeekDay]]=1, calendar[[#This Row],[WeekDay]]=7),P3470,P3470+1)</f>
        <v>2466</v>
      </c>
      <c r="S3471">
        <f>IF(OR(calendar[[#This Row],[PT_BH]]=1,calendar[[#This Row],[WeekDay]]=1, calendar[[#This Row],[WeekDay]]=7),P3470,P3470+1)</f>
        <v>2466</v>
      </c>
    </row>
    <row r="3472" spans="1:19" x14ac:dyDescent="0.25">
      <c r="A3472" s="2">
        <v>46206</v>
      </c>
      <c r="B3472" s="1">
        <f t="shared" si="276"/>
        <v>27</v>
      </c>
      <c r="C3472">
        <f t="shared" si="273"/>
        <v>7</v>
      </c>
      <c r="D3472" t="str">
        <f t="shared" si="274"/>
        <v>July</v>
      </c>
      <c r="E3472">
        <f t="shared" si="275"/>
        <v>2026</v>
      </c>
      <c r="F3472" t="str">
        <f>CONCATENATE(calendar[[#This Row],[Month]],"/",calendar[[#This Row],[Year]])</f>
        <v>7/2026</v>
      </c>
      <c r="G3472">
        <f>WEEKDAY(calendar[[#This Row],[Date]],1)</f>
        <v>6</v>
      </c>
      <c r="H3472" t="str">
        <f>TEXT(calendar[[#This Row],[WeekDay]],"dddd")</f>
        <v>Friday</v>
      </c>
      <c r="I3472">
        <f>IF((INT(calendar[[#This Row],[Count]]/7)-calendar[[#This Row],[Count]]/7)&lt;0,I3471,I3471+1)</f>
        <v>496</v>
      </c>
      <c r="J3472">
        <f t="shared" si="277"/>
        <v>3470</v>
      </c>
      <c r="K3472">
        <f>IF(calendar[[#This Row],[Month]]&lt;4,1,IF(calendar[[#This Row],[Month]]&lt;7,2,IF(calendar[[#This Row],[Month]]&lt;10,3,4)))</f>
        <v>3</v>
      </c>
      <c r="L3472">
        <f>IFERROR(IF(VLOOKUP(calendar[[#This Row],[Date]],BH!A:A,1,)&lt;&gt;"",1,0),0)</f>
        <v>0</v>
      </c>
      <c r="M3472">
        <f>IFERROR(IF(VLOOKUP(calendar[[#This Row],[Date]],BH!C:C,1,)&lt;&gt;"",1,0),0)</f>
        <v>0</v>
      </c>
      <c r="N3472">
        <f>IFERROR(IF(VLOOKUP(calendar[[#This Row],[Date]],BH!E:E,1,)&lt;&gt;"",1,0),0)</f>
        <v>0</v>
      </c>
      <c r="O3472">
        <f>IFERROR(IF(VLOOKUP(calendar[[#This Row],[Date]],BH!G:G,1,)&lt;&gt;"",1,0),0)</f>
        <v>0</v>
      </c>
      <c r="P3472">
        <f>IF(OR(calendar[[#This Row],[UK_BH]]=1,calendar[[#This Row],[WeekDay]]=1, calendar[[#This Row],[WeekDay]]=7),P3471,P3471+1)</f>
        <v>2467</v>
      </c>
      <c r="Q3472">
        <f>IF(OR(calendar[[#This Row],[FR_BH]]=1,calendar[[#This Row],[WeekDay]]=1, calendar[[#This Row],[WeekDay]]=7),P3471,P3471+1)</f>
        <v>2467</v>
      </c>
      <c r="R3472">
        <f>IF(OR(calendar[[#This Row],[SP_BH]]=1,calendar[[#This Row],[WeekDay]]=1, calendar[[#This Row],[WeekDay]]=7),P3471,P3471+1)</f>
        <v>2467</v>
      </c>
      <c r="S3472">
        <f>IF(OR(calendar[[#This Row],[PT_BH]]=1,calendar[[#This Row],[WeekDay]]=1, calendar[[#This Row],[WeekDay]]=7),P3471,P3471+1)</f>
        <v>2467</v>
      </c>
    </row>
    <row r="3473" spans="1:19" x14ac:dyDescent="0.25">
      <c r="A3473" s="2">
        <v>46207</v>
      </c>
      <c r="B3473" s="1">
        <f t="shared" si="276"/>
        <v>27</v>
      </c>
      <c r="C3473">
        <f t="shared" si="273"/>
        <v>7</v>
      </c>
      <c r="D3473" t="str">
        <f t="shared" si="274"/>
        <v>July</v>
      </c>
      <c r="E3473">
        <f t="shared" si="275"/>
        <v>2026</v>
      </c>
      <c r="F3473" t="str">
        <f>CONCATENATE(calendar[[#This Row],[Month]],"/",calendar[[#This Row],[Year]])</f>
        <v>7/2026</v>
      </c>
      <c r="G3473">
        <f>WEEKDAY(calendar[[#This Row],[Date]],1)</f>
        <v>7</v>
      </c>
      <c r="H3473" t="str">
        <f>TEXT(calendar[[#This Row],[WeekDay]],"dddd")</f>
        <v>Saturday</v>
      </c>
      <c r="I3473">
        <f>IF((INT(calendar[[#This Row],[Count]]/7)-calendar[[#This Row],[Count]]/7)&lt;0,I3472,I3472+1)</f>
        <v>496</v>
      </c>
      <c r="J3473">
        <f t="shared" si="277"/>
        <v>3471</v>
      </c>
      <c r="K3473">
        <f>IF(calendar[[#This Row],[Month]]&lt;4,1,IF(calendar[[#This Row],[Month]]&lt;7,2,IF(calendar[[#This Row],[Month]]&lt;10,3,4)))</f>
        <v>3</v>
      </c>
      <c r="L3473">
        <f>IFERROR(IF(VLOOKUP(calendar[[#This Row],[Date]],BH!A:A,1,)&lt;&gt;"",1,0),0)</f>
        <v>0</v>
      </c>
      <c r="M3473">
        <f>IFERROR(IF(VLOOKUP(calendar[[#This Row],[Date]],BH!C:C,1,)&lt;&gt;"",1,0),0)</f>
        <v>0</v>
      </c>
      <c r="N3473">
        <f>IFERROR(IF(VLOOKUP(calendar[[#This Row],[Date]],BH!E:E,1,)&lt;&gt;"",1,0),0)</f>
        <v>0</v>
      </c>
      <c r="O3473">
        <f>IFERROR(IF(VLOOKUP(calendar[[#This Row],[Date]],BH!G:G,1,)&lt;&gt;"",1,0),0)</f>
        <v>0</v>
      </c>
      <c r="P3473">
        <f>IF(OR(calendar[[#This Row],[UK_BH]]=1,calendar[[#This Row],[WeekDay]]=1, calendar[[#This Row],[WeekDay]]=7),P3472,P3472+1)</f>
        <v>2467</v>
      </c>
      <c r="Q3473">
        <f>IF(OR(calendar[[#This Row],[FR_BH]]=1,calendar[[#This Row],[WeekDay]]=1, calendar[[#This Row],[WeekDay]]=7),P3472,P3472+1)</f>
        <v>2467</v>
      </c>
      <c r="R3473">
        <f>IF(OR(calendar[[#This Row],[SP_BH]]=1,calendar[[#This Row],[WeekDay]]=1, calendar[[#This Row],[WeekDay]]=7),P3472,P3472+1)</f>
        <v>2467</v>
      </c>
      <c r="S3473">
        <f>IF(OR(calendar[[#This Row],[PT_BH]]=1,calendar[[#This Row],[WeekDay]]=1, calendar[[#This Row],[WeekDay]]=7),P3472,P3472+1)</f>
        <v>2467</v>
      </c>
    </row>
    <row r="3474" spans="1:19" x14ac:dyDescent="0.25">
      <c r="A3474" s="2">
        <v>46208</v>
      </c>
      <c r="B3474" s="1">
        <f t="shared" si="276"/>
        <v>28</v>
      </c>
      <c r="C3474">
        <f t="shared" si="273"/>
        <v>7</v>
      </c>
      <c r="D3474" t="str">
        <f t="shared" si="274"/>
        <v>July</v>
      </c>
      <c r="E3474">
        <f t="shared" si="275"/>
        <v>2026</v>
      </c>
      <c r="F3474" t="str">
        <f>CONCATENATE(calendar[[#This Row],[Month]],"/",calendar[[#This Row],[Year]])</f>
        <v>7/2026</v>
      </c>
      <c r="G3474">
        <f>WEEKDAY(calendar[[#This Row],[Date]],1)</f>
        <v>1</v>
      </c>
      <c r="H3474" t="str">
        <f>TEXT(calendar[[#This Row],[WeekDay]],"dddd")</f>
        <v>Sunday</v>
      </c>
      <c r="I3474">
        <f>IF((INT(calendar[[#This Row],[Count]]/7)-calendar[[#This Row],[Count]]/7)&lt;0,I3473,I3473+1)</f>
        <v>497</v>
      </c>
      <c r="J3474">
        <f t="shared" si="277"/>
        <v>3472</v>
      </c>
      <c r="K3474">
        <f>IF(calendar[[#This Row],[Month]]&lt;4,1,IF(calendar[[#This Row],[Month]]&lt;7,2,IF(calendar[[#This Row],[Month]]&lt;10,3,4)))</f>
        <v>3</v>
      </c>
      <c r="L3474">
        <f>IFERROR(IF(VLOOKUP(calendar[[#This Row],[Date]],BH!A:A,1,)&lt;&gt;"",1,0),0)</f>
        <v>0</v>
      </c>
      <c r="M3474">
        <f>IFERROR(IF(VLOOKUP(calendar[[#This Row],[Date]],BH!C:C,1,)&lt;&gt;"",1,0),0)</f>
        <v>0</v>
      </c>
      <c r="N3474">
        <f>IFERROR(IF(VLOOKUP(calendar[[#This Row],[Date]],BH!E:E,1,)&lt;&gt;"",1,0),0)</f>
        <v>0</v>
      </c>
      <c r="O3474">
        <f>IFERROR(IF(VLOOKUP(calendar[[#This Row],[Date]],BH!G:G,1,)&lt;&gt;"",1,0),0)</f>
        <v>0</v>
      </c>
      <c r="P3474">
        <f>IF(OR(calendar[[#This Row],[UK_BH]]=1,calendar[[#This Row],[WeekDay]]=1, calendar[[#This Row],[WeekDay]]=7),P3473,P3473+1)</f>
        <v>2467</v>
      </c>
      <c r="Q3474">
        <f>IF(OR(calendar[[#This Row],[FR_BH]]=1,calendar[[#This Row],[WeekDay]]=1, calendar[[#This Row],[WeekDay]]=7),P3473,P3473+1)</f>
        <v>2467</v>
      </c>
      <c r="R3474">
        <f>IF(OR(calendar[[#This Row],[SP_BH]]=1,calendar[[#This Row],[WeekDay]]=1, calendar[[#This Row],[WeekDay]]=7),P3473,P3473+1)</f>
        <v>2467</v>
      </c>
      <c r="S3474">
        <f>IF(OR(calendar[[#This Row],[PT_BH]]=1,calendar[[#This Row],[WeekDay]]=1, calendar[[#This Row],[WeekDay]]=7),P3473,P3473+1)</f>
        <v>2467</v>
      </c>
    </row>
    <row r="3475" spans="1:19" x14ac:dyDescent="0.25">
      <c r="A3475" s="2">
        <v>46209</v>
      </c>
      <c r="B3475" s="1">
        <f t="shared" si="276"/>
        <v>28</v>
      </c>
      <c r="C3475">
        <f t="shared" si="273"/>
        <v>7</v>
      </c>
      <c r="D3475" t="str">
        <f t="shared" si="274"/>
        <v>July</v>
      </c>
      <c r="E3475">
        <f t="shared" si="275"/>
        <v>2026</v>
      </c>
      <c r="F3475" t="str">
        <f>CONCATENATE(calendar[[#This Row],[Month]],"/",calendar[[#This Row],[Year]])</f>
        <v>7/2026</v>
      </c>
      <c r="G3475">
        <f>WEEKDAY(calendar[[#This Row],[Date]],1)</f>
        <v>2</v>
      </c>
      <c r="H3475" t="str">
        <f>TEXT(calendar[[#This Row],[WeekDay]],"dddd")</f>
        <v>Monday</v>
      </c>
      <c r="I3475">
        <f>IF((INT(calendar[[#This Row],[Count]]/7)-calendar[[#This Row],[Count]]/7)&lt;0,I3474,I3474+1)</f>
        <v>497</v>
      </c>
      <c r="J3475">
        <f t="shared" si="277"/>
        <v>3473</v>
      </c>
      <c r="K3475">
        <f>IF(calendar[[#This Row],[Month]]&lt;4,1,IF(calendar[[#This Row],[Month]]&lt;7,2,IF(calendar[[#This Row],[Month]]&lt;10,3,4)))</f>
        <v>3</v>
      </c>
      <c r="L3475">
        <f>IFERROR(IF(VLOOKUP(calendar[[#This Row],[Date]],BH!A:A,1,)&lt;&gt;"",1,0),0)</f>
        <v>0</v>
      </c>
      <c r="M3475">
        <f>IFERROR(IF(VLOOKUP(calendar[[#This Row],[Date]],BH!C:C,1,)&lt;&gt;"",1,0),0)</f>
        <v>0</v>
      </c>
      <c r="N3475">
        <f>IFERROR(IF(VLOOKUP(calendar[[#This Row],[Date]],BH!E:E,1,)&lt;&gt;"",1,0),0)</f>
        <v>0</v>
      </c>
      <c r="O3475">
        <f>IFERROR(IF(VLOOKUP(calendar[[#This Row],[Date]],BH!G:G,1,)&lt;&gt;"",1,0),0)</f>
        <v>0</v>
      </c>
      <c r="P3475">
        <f>IF(OR(calendar[[#This Row],[UK_BH]]=1,calendar[[#This Row],[WeekDay]]=1, calendar[[#This Row],[WeekDay]]=7),P3474,P3474+1)</f>
        <v>2468</v>
      </c>
      <c r="Q3475">
        <f>IF(OR(calendar[[#This Row],[FR_BH]]=1,calendar[[#This Row],[WeekDay]]=1, calendar[[#This Row],[WeekDay]]=7),P3474,P3474+1)</f>
        <v>2468</v>
      </c>
      <c r="R3475">
        <f>IF(OR(calendar[[#This Row],[SP_BH]]=1,calendar[[#This Row],[WeekDay]]=1, calendar[[#This Row],[WeekDay]]=7),P3474,P3474+1)</f>
        <v>2468</v>
      </c>
      <c r="S3475">
        <f>IF(OR(calendar[[#This Row],[PT_BH]]=1,calendar[[#This Row],[WeekDay]]=1, calendar[[#This Row],[WeekDay]]=7),P3474,P3474+1)</f>
        <v>2468</v>
      </c>
    </row>
    <row r="3476" spans="1:19" x14ac:dyDescent="0.25">
      <c r="A3476" s="2">
        <v>46210</v>
      </c>
      <c r="B3476" s="1">
        <f t="shared" si="276"/>
        <v>28</v>
      </c>
      <c r="C3476">
        <f t="shared" si="273"/>
        <v>7</v>
      </c>
      <c r="D3476" t="str">
        <f t="shared" si="274"/>
        <v>July</v>
      </c>
      <c r="E3476">
        <f t="shared" si="275"/>
        <v>2026</v>
      </c>
      <c r="F3476" t="str">
        <f>CONCATENATE(calendar[[#This Row],[Month]],"/",calendar[[#This Row],[Year]])</f>
        <v>7/2026</v>
      </c>
      <c r="G3476">
        <f>WEEKDAY(calendar[[#This Row],[Date]],1)</f>
        <v>3</v>
      </c>
      <c r="H3476" t="str">
        <f>TEXT(calendar[[#This Row],[WeekDay]],"dddd")</f>
        <v>Tuesday</v>
      </c>
      <c r="I3476">
        <f>IF((INT(calendar[[#This Row],[Count]]/7)-calendar[[#This Row],[Count]]/7)&lt;0,I3475,I3475+1)</f>
        <v>497</v>
      </c>
      <c r="J3476">
        <f t="shared" si="277"/>
        <v>3474</v>
      </c>
      <c r="K3476">
        <f>IF(calendar[[#This Row],[Month]]&lt;4,1,IF(calendar[[#This Row],[Month]]&lt;7,2,IF(calendar[[#This Row],[Month]]&lt;10,3,4)))</f>
        <v>3</v>
      </c>
      <c r="L3476">
        <f>IFERROR(IF(VLOOKUP(calendar[[#This Row],[Date]],BH!A:A,1,)&lt;&gt;"",1,0),0)</f>
        <v>0</v>
      </c>
      <c r="M3476">
        <f>IFERROR(IF(VLOOKUP(calendar[[#This Row],[Date]],BH!C:C,1,)&lt;&gt;"",1,0),0)</f>
        <v>0</v>
      </c>
      <c r="N3476">
        <f>IFERROR(IF(VLOOKUP(calendar[[#This Row],[Date]],BH!E:E,1,)&lt;&gt;"",1,0),0)</f>
        <v>0</v>
      </c>
      <c r="O3476">
        <f>IFERROR(IF(VLOOKUP(calendar[[#This Row],[Date]],BH!G:G,1,)&lt;&gt;"",1,0),0)</f>
        <v>0</v>
      </c>
      <c r="P3476">
        <f>IF(OR(calendar[[#This Row],[UK_BH]]=1,calendar[[#This Row],[WeekDay]]=1, calendar[[#This Row],[WeekDay]]=7),P3475,P3475+1)</f>
        <v>2469</v>
      </c>
      <c r="Q3476">
        <f>IF(OR(calendar[[#This Row],[FR_BH]]=1,calendar[[#This Row],[WeekDay]]=1, calendar[[#This Row],[WeekDay]]=7),P3475,P3475+1)</f>
        <v>2469</v>
      </c>
      <c r="R3476">
        <f>IF(OR(calendar[[#This Row],[SP_BH]]=1,calendar[[#This Row],[WeekDay]]=1, calendar[[#This Row],[WeekDay]]=7),P3475,P3475+1)</f>
        <v>2469</v>
      </c>
      <c r="S3476">
        <f>IF(OR(calendar[[#This Row],[PT_BH]]=1,calendar[[#This Row],[WeekDay]]=1, calendar[[#This Row],[WeekDay]]=7),P3475,P3475+1)</f>
        <v>2469</v>
      </c>
    </row>
    <row r="3477" spans="1:19" x14ac:dyDescent="0.25">
      <c r="A3477" s="2">
        <v>46211</v>
      </c>
      <c r="B3477" s="1">
        <f t="shared" si="276"/>
        <v>28</v>
      </c>
      <c r="C3477">
        <f t="shared" si="273"/>
        <v>7</v>
      </c>
      <c r="D3477" t="str">
        <f t="shared" si="274"/>
        <v>July</v>
      </c>
      <c r="E3477">
        <f t="shared" si="275"/>
        <v>2026</v>
      </c>
      <c r="F3477" t="str">
        <f>CONCATENATE(calendar[[#This Row],[Month]],"/",calendar[[#This Row],[Year]])</f>
        <v>7/2026</v>
      </c>
      <c r="G3477">
        <f>WEEKDAY(calendar[[#This Row],[Date]],1)</f>
        <v>4</v>
      </c>
      <c r="H3477" t="str">
        <f>TEXT(calendar[[#This Row],[WeekDay]],"dddd")</f>
        <v>Wednesday</v>
      </c>
      <c r="I3477">
        <f>IF((INT(calendar[[#This Row],[Count]]/7)-calendar[[#This Row],[Count]]/7)&lt;0,I3476,I3476+1)</f>
        <v>497</v>
      </c>
      <c r="J3477">
        <f t="shared" si="277"/>
        <v>3475</v>
      </c>
      <c r="K3477">
        <f>IF(calendar[[#This Row],[Month]]&lt;4,1,IF(calendar[[#This Row],[Month]]&lt;7,2,IF(calendar[[#This Row],[Month]]&lt;10,3,4)))</f>
        <v>3</v>
      </c>
      <c r="L3477">
        <f>IFERROR(IF(VLOOKUP(calendar[[#This Row],[Date]],BH!A:A,1,)&lt;&gt;"",1,0),0)</f>
        <v>0</v>
      </c>
      <c r="M3477">
        <f>IFERROR(IF(VLOOKUP(calendar[[#This Row],[Date]],BH!C:C,1,)&lt;&gt;"",1,0),0)</f>
        <v>0</v>
      </c>
      <c r="N3477">
        <f>IFERROR(IF(VLOOKUP(calendar[[#This Row],[Date]],BH!E:E,1,)&lt;&gt;"",1,0),0)</f>
        <v>0</v>
      </c>
      <c r="O3477">
        <f>IFERROR(IF(VLOOKUP(calendar[[#This Row],[Date]],BH!G:G,1,)&lt;&gt;"",1,0),0)</f>
        <v>0</v>
      </c>
      <c r="P3477">
        <f>IF(OR(calendar[[#This Row],[UK_BH]]=1,calendar[[#This Row],[WeekDay]]=1, calendar[[#This Row],[WeekDay]]=7),P3476,P3476+1)</f>
        <v>2470</v>
      </c>
      <c r="Q3477">
        <f>IF(OR(calendar[[#This Row],[FR_BH]]=1,calendar[[#This Row],[WeekDay]]=1, calendar[[#This Row],[WeekDay]]=7),P3476,P3476+1)</f>
        <v>2470</v>
      </c>
      <c r="R3477">
        <f>IF(OR(calendar[[#This Row],[SP_BH]]=1,calendar[[#This Row],[WeekDay]]=1, calendar[[#This Row],[WeekDay]]=7),P3476,P3476+1)</f>
        <v>2470</v>
      </c>
      <c r="S3477">
        <f>IF(OR(calendar[[#This Row],[PT_BH]]=1,calendar[[#This Row],[WeekDay]]=1, calendar[[#This Row],[WeekDay]]=7),P3476,P3476+1)</f>
        <v>2470</v>
      </c>
    </row>
    <row r="3478" spans="1:19" x14ac:dyDescent="0.25">
      <c r="A3478" s="2">
        <v>46212</v>
      </c>
      <c r="B3478" s="1">
        <f t="shared" si="276"/>
        <v>28</v>
      </c>
      <c r="C3478">
        <f t="shared" si="273"/>
        <v>7</v>
      </c>
      <c r="D3478" t="str">
        <f t="shared" si="274"/>
        <v>July</v>
      </c>
      <c r="E3478">
        <f t="shared" si="275"/>
        <v>2026</v>
      </c>
      <c r="F3478" t="str">
        <f>CONCATENATE(calendar[[#This Row],[Month]],"/",calendar[[#This Row],[Year]])</f>
        <v>7/2026</v>
      </c>
      <c r="G3478">
        <f>WEEKDAY(calendar[[#This Row],[Date]],1)</f>
        <v>5</v>
      </c>
      <c r="H3478" t="str">
        <f>TEXT(calendar[[#This Row],[WeekDay]],"dddd")</f>
        <v>Thursday</v>
      </c>
      <c r="I3478">
        <f>IF((INT(calendar[[#This Row],[Count]]/7)-calendar[[#This Row],[Count]]/7)&lt;0,I3477,I3477+1)</f>
        <v>497</v>
      </c>
      <c r="J3478">
        <f t="shared" si="277"/>
        <v>3476</v>
      </c>
      <c r="K3478">
        <f>IF(calendar[[#This Row],[Month]]&lt;4,1,IF(calendar[[#This Row],[Month]]&lt;7,2,IF(calendar[[#This Row],[Month]]&lt;10,3,4)))</f>
        <v>3</v>
      </c>
      <c r="L3478">
        <f>IFERROR(IF(VLOOKUP(calendar[[#This Row],[Date]],BH!A:A,1,)&lt;&gt;"",1,0),0)</f>
        <v>0</v>
      </c>
      <c r="M3478">
        <f>IFERROR(IF(VLOOKUP(calendar[[#This Row],[Date]],BH!C:C,1,)&lt;&gt;"",1,0),0)</f>
        <v>0</v>
      </c>
      <c r="N3478">
        <f>IFERROR(IF(VLOOKUP(calendar[[#This Row],[Date]],BH!E:E,1,)&lt;&gt;"",1,0),0)</f>
        <v>0</v>
      </c>
      <c r="O3478">
        <f>IFERROR(IF(VLOOKUP(calendar[[#This Row],[Date]],BH!G:G,1,)&lt;&gt;"",1,0),0)</f>
        <v>0</v>
      </c>
      <c r="P3478">
        <f>IF(OR(calendar[[#This Row],[UK_BH]]=1,calendar[[#This Row],[WeekDay]]=1, calendar[[#This Row],[WeekDay]]=7),P3477,P3477+1)</f>
        <v>2471</v>
      </c>
      <c r="Q3478">
        <f>IF(OR(calendar[[#This Row],[FR_BH]]=1,calendar[[#This Row],[WeekDay]]=1, calendar[[#This Row],[WeekDay]]=7),P3477,P3477+1)</f>
        <v>2471</v>
      </c>
      <c r="R3478">
        <f>IF(OR(calendar[[#This Row],[SP_BH]]=1,calendar[[#This Row],[WeekDay]]=1, calendar[[#This Row],[WeekDay]]=7),P3477,P3477+1)</f>
        <v>2471</v>
      </c>
      <c r="S3478">
        <f>IF(OR(calendar[[#This Row],[PT_BH]]=1,calendar[[#This Row],[WeekDay]]=1, calendar[[#This Row],[WeekDay]]=7),P3477,P3477+1)</f>
        <v>2471</v>
      </c>
    </row>
    <row r="3479" spans="1:19" x14ac:dyDescent="0.25">
      <c r="A3479" s="2">
        <v>46213</v>
      </c>
      <c r="B3479" s="1">
        <f t="shared" si="276"/>
        <v>28</v>
      </c>
      <c r="C3479">
        <f t="shared" si="273"/>
        <v>7</v>
      </c>
      <c r="D3479" t="str">
        <f t="shared" si="274"/>
        <v>July</v>
      </c>
      <c r="E3479">
        <f t="shared" si="275"/>
        <v>2026</v>
      </c>
      <c r="F3479" t="str">
        <f>CONCATENATE(calendar[[#This Row],[Month]],"/",calendar[[#This Row],[Year]])</f>
        <v>7/2026</v>
      </c>
      <c r="G3479">
        <f>WEEKDAY(calendar[[#This Row],[Date]],1)</f>
        <v>6</v>
      </c>
      <c r="H3479" t="str">
        <f>TEXT(calendar[[#This Row],[WeekDay]],"dddd")</f>
        <v>Friday</v>
      </c>
      <c r="I3479">
        <f>IF((INT(calendar[[#This Row],[Count]]/7)-calendar[[#This Row],[Count]]/7)&lt;0,I3478,I3478+1)</f>
        <v>497</v>
      </c>
      <c r="J3479">
        <f t="shared" si="277"/>
        <v>3477</v>
      </c>
      <c r="K3479">
        <f>IF(calendar[[#This Row],[Month]]&lt;4,1,IF(calendar[[#This Row],[Month]]&lt;7,2,IF(calendar[[#This Row],[Month]]&lt;10,3,4)))</f>
        <v>3</v>
      </c>
      <c r="L3479">
        <f>IFERROR(IF(VLOOKUP(calendar[[#This Row],[Date]],BH!A:A,1,)&lt;&gt;"",1,0),0)</f>
        <v>0</v>
      </c>
      <c r="M3479">
        <f>IFERROR(IF(VLOOKUP(calendar[[#This Row],[Date]],BH!C:C,1,)&lt;&gt;"",1,0),0)</f>
        <v>0</v>
      </c>
      <c r="N3479">
        <f>IFERROR(IF(VLOOKUP(calendar[[#This Row],[Date]],BH!E:E,1,)&lt;&gt;"",1,0),0)</f>
        <v>0</v>
      </c>
      <c r="O3479">
        <f>IFERROR(IF(VLOOKUP(calendar[[#This Row],[Date]],BH!G:G,1,)&lt;&gt;"",1,0),0)</f>
        <v>0</v>
      </c>
      <c r="P3479">
        <f>IF(OR(calendar[[#This Row],[UK_BH]]=1,calendar[[#This Row],[WeekDay]]=1, calendar[[#This Row],[WeekDay]]=7),P3478,P3478+1)</f>
        <v>2472</v>
      </c>
      <c r="Q3479">
        <f>IF(OR(calendar[[#This Row],[FR_BH]]=1,calendar[[#This Row],[WeekDay]]=1, calendar[[#This Row],[WeekDay]]=7),P3478,P3478+1)</f>
        <v>2472</v>
      </c>
      <c r="R3479">
        <f>IF(OR(calendar[[#This Row],[SP_BH]]=1,calendar[[#This Row],[WeekDay]]=1, calendar[[#This Row],[WeekDay]]=7),P3478,P3478+1)</f>
        <v>2472</v>
      </c>
      <c r="S3479">
        <f>IF(OR(calendar[[#This Row],[PT_BH]]=1,calendar[[#This Row],[WeekDay]]=1, calendar[[#This Row],[WeekDay]]=7),P3478,P3478+1)</f>
        <v>2472</v>
      </c>
    </row>
    <row r="3480" spans="1:19" x14ac:dyDescent="0.25">
      <c r="A3480" s="2">
        <v>46214</v>
      </c>
      <c r="B3480" s="1">
        <f t="shared" si="276"/>
        <v>28</v>
      </c>
      <c r="C3480">
        <f t="shared" si="273"/>
        <v>7</v>
      </c>
      <c r="D3480" t="str">
        <f t="shared" si="274"/>
        <v>July</v>
      </c>
      <c r="E3480">
        <f t="shared" si="275"/>
        <v>2026</v>
      </c>
      <c r="F3480" t="str">
        <f>CONCATENATE(calendar[[#This Row],[Month]],"/",calendar[[#This Row],[Year]])</f>
        <v>7/2026</v>
      </c>
      <c r="G3480">
        <f>WEEKDAY(calendar[[#This Row],[Date]],1)</f>
        <v>7</v>
      </c>
      <c r="H3480" t="str">
        <f>TEXT(calendar[[#This Row],[WeekDay]],"dddd")</f>
        <v>Saturday</v>
      </c>
      <c r="I3480">
        <f>IF((INT(calendar[[#This Row],[Count]]/7)-calendar[[#This Row],[Count]]/7)&lt;0,I3479,I3479+1)</f>
        <v>497</v>
      </c>
      <c r="J3480">
        <f t="shared" si="277"/>
        <v>3478</v>
      </c>
      <c r="K3480">
        <f>IF(calendar[[#This Row],[Month]]&lt;4,1,IF(calendar[[#This Row],[Month]]&lt;7,2,IF(calendar[[#This Row],[Month]]&lt;10,3,4)))</f>
        <v>3</v>
      </c>
      <c r="L3480">
        <f>IFERROR(IF(VLOOKUP(calendar[[#This Row],[Date]],BH!A:A,1,)&lt;&gt;"",1,0),0)</f>
        <v>0</v>
      </c>
      <c r="M3480">
        <f>IFERROR(IF(VLOOKUP(calendar[[#This Row],[Date]],BH!C:C,1,)&lt;&gt;"",1,0),0)</f>
        <v>0</v>
      </c>
      <c r="N3480">
        <f>IFERROR(IF(VLOOKUP(calendar[[#This Row],[Date]],BH!E:E,1,)&lt;&gt;"",1,0),0)</f>
        <v>0</v>
      </c>
      <c r="O3480">
        <f>IFERROR(IF(VLOOKUP(calendar[[#This Row],[Date]],BH!G:G,1,)&lt;&gt;"",1,0),0)</f>
        <v>0</v>
      </c>
      <c r="P3480">
        <f>IF(OR(calendar[[#This Row],[UK_BH]]=1,calendar[[#This Row],[WeekDay]]=1, calendar[[#This Row],[WeekDay]]=7),P3479,P3479+1)</f>
        <v>2472</v>
      </c>
      <c r="Q3480">
        <f>IF(OR(calendar[[#This Row],[FR_BH]]=1,calendar[[#This Row],[WeekDay]]=1, calendar[[#This Row],[WeekDay]]=7),P3479,P3479+1)</f>
        <v>2472</v>
      </c>
      <c r="R3480">
        <f>IF(OR(calendar[[#This Row],[SP_BH]]=1,calendar[[#This Row],[WeekDay]]=1, calendar[[#This Row],[WeekDay]]=7),P3479,P3479+1)</f>
        <v>2472</v>
      </c>
      <c r="S3480">
        <f>IF(OR(calendar[[#This Row],[PT_BH]]=1,calendar[[#This Row],[WeekDay]]=1, calendar[[#This Row],[WeekDay]]=7),P3479,P3479+1)</f>
        <v>2472</v>
      </c>
    </row>
    <row r="3481" spans="1:19" x14ac:dyDescent="0.25">
      <c r="A3481" s="2">
        <v>46215</v>
      </c>
      <c r="B3481" s="1">
        <f t="shared" si="276"/>
        <v>29</v>
      </c>
      <c r="C3481">
        <f t="shared" si="273"/>
        <v>7</v>
      </c>
      <c r="D3481" t="str">
        <f t="shared" si="274"/>
        <v>July</v>
      </c>
      <c r="E3481">
        <f t="shared" si="275"/>
        <v>2026</v>
      </c>
      <c r="F3481" t="str">
        <f>CONCATENATE(calendar[[#This Row],[Month]],"/",calendar[[#This Row],[Year]])</f>
        <v>7/2026</v>
      </c>
      <c r="G3481">
        <f>WEEKDAY(calendar[[#This Row],[Date]],1)</f>
        <v>1</v>
      </c>
      <c r="H3481" t="str">
        <f>TEXT(calendar[[#This Row],[WeekDay]],"dddd")</f>
        <v>Sunday</v>
      </c>
      <c r="I3481">
        <f>IF((INT(calendar[[#This Row],[Count]]/7)-calendar[[#This Row],[Count]]/7)&lt;0,I3480,I3480+1)</f>
        <v>498</v>
      </c>
      <c r="J3481">
        <f t="shared" si="277"/>
        <v>3479</v>
      </c>
      <c r="K3481">
        <f>IF(calendar[[#This Row],[Month]]&lt;4,1,IF(calendar[[#This Row],[Month]]&lt;7,2,IF(calendar[[#This Row],[Month]]&lt;10,3,4)))</f>
        <v>3</v>
      </c>
      <c r="L3481">
        <f>IFERROR(IF(VLOOKUP(calendar[[#This Row],[Date]],BH!A:A,1,)&lt;&gt;"",1,0),0)</f>
        <v>0</v>
      </c>
      <c r="M3481">
        <f>IFERROR(IF(VLOOKUP(calendar[[#This Row],[Date]],BH!C:C,1,)&lt;&gt;"",1,0),0)</f>
        <v>0</v>
      </c>
      <c r="N3481">
        <f>IFERROR(IF(VLOOKUP(calendar[[#This Row],[Date]],BH!E:E,1,)&lt;&gt;"",1,0),0)</f>
        <v>0</v>
      </c>
      <c r="O3481">
        <f>IFERROR(IF(VLOOKUP(calendar[[#This Row],[Date]],BH!G:G,1,)&lt;&gt;"",1,0),0)</f>
        <v>0</v>
      </c>
      <c r="P3481">
        <f>IF(OR(calendar[[#This Row],[UK_BH]]=1,calendar[[#This Row],[WeekDay]]=1, calendar[[#This Row],[WeekDay]]=7),P3480,P3480+1)</f>
        <v>2472</v>
      </c>
      <c r="Q3481">
        <f>IF(OR(calendar[[#This Row],[FR_BH]]=1,calendar[[#This Row],[WeekDay]]=1, calendar[[#This Row],[WeekDay]]=7),P3480,P3480+1)</f>
        <v>2472</v>
      </c>
      <c r="R3481">
        <f>IF(OR(calendar[[#This Row],[SP_BH]]=1,calendar[[#This Row],[WeekDay]]=1, calendar[[#This Row],[WeekDay]]=7),P3480,P3480+1)</f>
        <v>2472</v>
      </c>
      <c r="S3481">
        <f>IF(OR(calendar[[#This Row],[PT_BH]]=1,calendar[[#This Row],[WeekDay]]=1, calendar[[#This Row],[WeekDay]]=7),P3480,P3480+1)</f>
        <v>2472</v>
      </c>
    </row>
    <row r="3482" spans="1:19" x14ac:dyDescent="0.25">
      <c r="A3482" s="2">
        <v>46216</v>
      </c>
      <c r="B3482" s="1">
        <f t="shared" si="276"/>
        <v>29</v>
      </c>
      <c r="C3482">
        <f t="shared" si="273"/>
        <v>7</v>
      </c>
      <c r="D3482" t="str">
        <f t="shared" si="274"/>
        <v>July</v>
      </c>
      <c r="E3482">
        <f t="shared" si="275"/>
        <v>2026</v>
      </c>
      <c r="F3482" t="str">
        <f>CONCATENATE(calendar[[#This Row],[Month]],"/",calendar[[#This Row],[Year]])</f>
        <v>7/2026</v>
      </c>
      <c r="G3482">
        <f>WEEKDAY(calendar[[#This Row],[Date]],1)</f>
        <v>2</v>
      </c>
      <c r="H3482" t="str">
        <f>TEXT(calendar[[#This Row],[WeekDay]],"dddd")</f>
        <v>Monday</v>
      </c>
      <c r="I3482">
        <f>IF((INT(calendar[[#This Row],[Count]]/7)-calendar[[#This Row],[Count]]/7)&lt;0,I3481,I3481+1)</f>
        <v>498</v>
      </c>
      <c r="J3482">
        <f t="shared" si="277"/>
        <v>3480</v>
      </c>
      <c r="K3482">
        <f>IF(calendar[[#This Row],[Month]]&lt;4,1,IF(calendar[[#This Row],[Month]]&lt;7,2,IF(calendar[[#This Row],[Month]]&lt;10,3,4)))</f>
        <v>3</v>
      </c>
      <c r="L3482">
        <f>IFERROR(IF(VLOOKUP(calendar[[#This Row],[Date]],BH!A:A,1,)&lt;&gt;"",1,0),0)</f>
        <v>0</v>
      </c>
      <c r="M3482">
        <f>IFERROR(IF(VLOOKUP(calendar[[#This Row],[Date]],BH!C:C,1,)&lt;&gt;"",1,0),0)</f>
        <v>0</v>
      </c>
      <c r="N3482">
        <f>IFERROR(IF(VLOOKUP(calendar[[#This Row],[Date]],BH!E:E,1,)&lt;&gt;"",1,0),0)</f>
        <v>0</v>
      </c>
      <c r="O3482">
        <f>IFERROR(IF(VLOOKUP(calendar[[#This Row],[Date]],BH!G:G,1,)&lt;&gt;"",1,0),0)</f>
        <v>0</v>
      </c>
      <c r="P3482">
        <f>IF(OR(calendar[[#This Row],[UK_BH]]=1,calendar[[#This Row],[WeekDay]]=1, calendar[[#This Row],[WeekDay]]=7),P3481,P3481+1)</f>
        <v>2473</v>
      </c>
      <c r="Q3482">
        <f>IF(OR(calendar[[#This Row],[FR_BH]]=1,calendar[[#This Row],[WeekDay]]=1, calendar[[#This Row],[WeekDay]]=7),P3481,P3481+1)</f>
        <v>2473</v>
      </c>
      <c r="R3482">
        <f>IF(OR(calendar[[#This Row],[SP_BH]]=1,calendar[[#This Row],[WeekDay]]=1, calendar[[#This Row],[WeekDay]]=7),P3481,P3481+1)</f>
        <v>2473</v>
      </c>
      <c r="S3482">
        <f>IF(OR(calendar[[#This Row],[PT_BH]]=1,calendar[[#This Row],[WeekDay]]=1, calendar[[#This Row],[WeekDay]]=7),P3481,P3481+1)</f>
        <v>2473</v>
      </c>
    </row>
    <row r="3483" spans="1:19" x14ac:dyDescent="0.25">
      <c r="A3483" s="2">
        <v>46217</v>
      </c>
      <c r="B3483" s="1">
        <f t="shared" si="276"/>
        <v>29</v>
      </c>
      <c r="C3483">
        <f t="shared" si="273"/>
        <v>7</v>
      </c>
      <c r="D3483" t="str">
        <f t="shared" si="274"/>
        <v>July</v>
      </c>
      <c r="E3483">
        <f t="shared" si="275"/>
        <v>2026</v>
      </c>
      <c r="F3483" t="str">
        <f>CONCATENATE(calendar[[#This Row],[Month]],"/",calendar[[#This Row],[Year]])</f>
        <v>7/2026</v>
      </c>
      <c r="G3483">
        <f>WEEKDAY(calendar[[#This Row],[Date]],1)</f>
        <v>3</v>
      </c>
      <c r="H3483" t="str">
        <f>TEXT(calendar[[#This Row],[WeekDay]],"dddd")</f>
        <v>Tuesday</v>
      </c>
      <c r="I3483">
        <f>IF((INT(calendar[[#This Row],[Count]]/7)-calendar[[#This Row],[Count]]/7)&lt;0,I3482,I3482+1)</f>
        <v>498</v>
      </c>
      <c r="J3483">
        <f t="shared" si="277"/>
        <v>3481</v>
      </c>
      <c r="K3483">
        <f>IF(calendar[[#This Row],[Month]]&lt;4,1,IF(calendar[[#This Row],[Month]]&lt;7,2,IF(calendar[[#This Row],[Month]]&lt;10,3,4)))</f>
        <v>3</v>
      </c>
      <c r="L3483">
        <f>IFERROR(IF(VLOOKUP(calendar[[#This Row],[Date]],BH!A:A,1,)&lt;&gt;"",1,0),0)</f>
        <v>0</v>
      </c>
      <c r="M3483">
        <f>IFERROR(IF(VLOOKUP(calendar[[#This Row],[Date]],BH!C:C,1,)&lt;&gt;"",1,0),0)</f>
        <v>1</v>
      </c>
      <c r="N3483">
        <f>IFERROR(IF(VLOOKUP(calendar[[#This Row],[Date]],BH!E:E,1,)&lt;&gt;"",1,0),0)</f>
        <v>0</v>
      </c>
      <c r="O3483">
        <f>IFERROR(IF(VLOOKUP(calendar[[#This Row],[Date]],BH!G:G,1,)&lt;&gt;"",1,0),0)</f>
        <v>0</v>
      </c>
      <c r="P3483">
        <f>IF(OR(calendar[[#This Row],[UK_BH]]=1,calendar[[#This Row],[WeekDay]]=1, calendar[[#This Row],[WeekDay]]=7),P3482,P3482+1)</f>
        <v>2474</v>
      </c>
      <c r="Q3483">
        <f>IF(OR(calendar[[#This Row],[FR_BH]]=1,calendar[[#This Row],[WeekDay]]=1, calendar[[#This Row],[WeekDay]]=7),P3482,P3482+1)</f>
        <v>2473</v>
      </c>
      <c r="R3483">
        <f>IF(OR(calendar[[#This Row],[SP_BH]]=1,calendar[[#This Row],[WeekDay]]=1, calendar[[#This Row],[WeekDay]]=7),P3482,P3482+1)</f>
        <v>2474</v>
      </c>
      <c r="S3483">
        <f>IF(OR(calendar[[#This Row],[PT_BH]]=1,calendar[[#This Row],[WeekDay]]=1, calendar[[#This Row],[WeekDay]]=7),P3482,P3482+1)</f>
        <v>2474</v>
      </c>
    </row>
    <row r="3484" spans="1:19" x14ac:dyDescent="0.25">
      <c r="A3484" s="2">
        <v>46218</v>
      </c>
      <c r="B3484" s="1">
        <f t="shared" si="276"/>
        <v>29</v>
      </c>
      <c r="C3484">
        <f t="shared" ref="C3484:C3547" si="278">MONTH(A3484)</f>
        <v>7</v>
      </c>
      <c r="D3484" t="str">
        <f t="shared" ref="D3484:D3547" si="279">TEXT(A3484,"mmmm")</f>
        <v>July</v>
      </c>
      <c r="E3484">
        <f t="shared" ref="E3484:E3547" si="280">YEAR(A3484)</f>
        <v>2026</v>
      </c>
      <c r="F3484" t="str">
        <f>CONCATENATE(calendar[[#This Row],[Month]],"/",calendar[[#This Row],[Year]])</f>
        <v>7/2026</v>
      </c>
      <c r="G3484">
        <f>WEEKDAY(calendar[[#This Row],[Date]],1)</f>
        <v>4</v>
      </c>
      <c r="H3484" t="str">
        <f>TEXT(calendar[[#This Row],[WeekDay]],"dddd")</f>
        <v>Wednesday</v>
      </c>
      <c r="I3484">
        <f>IF((INT(calendar[[#This Row],[Count]]/7)-calendar[[#This Row],[Count]]/7)&lt;0,I3483,I3483+1)</f>
        <v>498</v>
      </c>
      <c r="J3484">
        <f t="shared" si="277"/>
        <v>3482</v>
      </c>
      <c r="K3484">
        <f>IF(calendar[[#This Row],[Month]]&lt;4,1,IF(calendar[[#This Row],[Month]]&lt;7,2,IF(calendar[[#This Row],[Month]]&lt;10,3,4)))</f>
        <v>3</v>
      </c>
      <c r="L3484">
        <f>IFERROR(IF(VLOOKUP(calendar[[#This Row],[Date]],BH!A:A,1,)&lt;&gt;"",1,0),0)</f>
        <v>0</v>
      </c>
      <c r="M3484">
        <f>IFERROR(IF(VLOOKUP(calendar[[#This Row],[Date]],BH!C:C,1,)&lt;&gt;"",1,0),0)</f>
        <v>0</v>
      </c>
      <c r="N3484">
        <f>IFERROR(IF(VLOOKUP(calendar[[#This Row],[Date]],BH!E:E,1,)&lt;&gt;"",1,0),0)</f>
        <v>0</v>
      </c>
      <c r="O3484">
        <f>IFERROR(IF(VLOOKUP(calendar[[#This Row],[Date]],BH!G:G,1,)&lt;&gt;"",1,0),0)</f>
        <v>0</v>
      </c>
      <c r="P3484">
        <f>IF(OR(calendar[[#This Row],[UK_BH]]=1,calendar[[#This Row],[WeekDay]]=1, calendar[[#This Row],[WeekDay]]=7),P3483,P3483+1)</f>
        <v>2475</v>
      </c>
      <c r="Q3484">
        <f>IF(OR(calendar[[#This Row],[FR_BH]]=1,calendar[[#This Row],[WeekDay]]=1, calendar[[#This Row],[WeekDay]]=7),P3483,P3483+1)</f>
        <v>2475</v>
      </c>
      <c r="R3484">
        <f>IF(OR(calendar[[#This Row],[SP_BH]]=1,calendar[[#This Row],[WeekDay]]=1, calendar[[#This Row],[WeekDay]]=7),P3483,P3483+1)</f>
        <v>2475</v>
      </c>
      <c r="S3484">
        <f>IF(OR(calendar[[#This Row],[PT_BH]]=1,calendar[[#This Row],[WeekDay]]=1, calendar[[#This Row],[WeekDay]]=7),P3483,P3483+1)</f>
        <v>2475</v>
      </c>
    </row>
    <row r="3485" spans="1:19" x14ac:dyDescent="0.25">
      <c r="A3485" s="2">
        <v>46219</v>
      </c>
      <c r="B3485" s="1">
        <f t="shared" si="276"/>
        <v>29</v>
      </c>
      <c r="C3485">
        <f t="shared" si="278"/>
        <v>7</v>
      </c>
      <c r="D3485" t="str">
        <f t="shared" si="279"/>
        <v>July</v>
      </c>
      <c r="E3485">
        <f t="shared" si="280"/>
        <v>2026</v>
      </c>
      <c r="F3485" t="str">
        <f>CONCATENATE(calendar[[#This Row],[Month]],"/",calendar[[#This Row],[Year]])</f>
        <v>7/2026</v>
      </c>
      <c r="G3485">
        <f>WEEKDAY(calendar[[#This Row],[Date]],1)</f>
        <v>5</v>
      </c>
      <c r="H3485" t="str">
        <f>TEXT(calendar[[#This Row],[WeekDay]],"dddd")</f>
        <v>Thursday</v>
      </c>
      <c r="I3485">
        <f>IF((INT(calendar[[#This Row],[Count]]/7)-calendar[[#This Row],[Count]]/7)&lt;0,I3484,I3484+1)</f>
        <v>498</v>
      </c>
      <c r="J3485">
        <f t="shared" si="277"/>
        <v>3483</v>
      </c>
      <c r="K3485">
        <f>IF(calendar[[#This Row],[Month]]&lt;4,1,IF(calendar[[#This Row],[Month]]&lt;7,2,IF(calendar[[#This Row],[Month]]&lt;10,3,4)))</f>
        <v>3</v>
      </c>
      <c r="L3485">
        <f>IFERROR(IF(VLOOKUP(calendar[[#This Row],[Date]],BH!A:A,1,)&lt;&gt;"",1,0),0)</f>
        <v>0</v>
      </c>
      <c r="M3485">
        <f>IFERROR(IF(VLOOKUP(calendar[[#This Row],[Date]],BH!C:C,1,)&lt;&gt;"",1,0),0)</f>
        <v>0</v>
      </c>
      <c r="N3485">
        <f>IFERROR(IF(VLOOKUP(calendar[[#This Row],[Date]],BH!E:E,1,)&lt;&gt;"",1,0),0)</f>
        <v>0</v>
      </c>
      <c r="O3485">
        <f>IFERROR(IF(VLOOKUP(calendar[[#This Row],[Date]],BH!G:G,1,)&lt;&gt;"",1,0),0)</f>
        <v>0</v>
      </c>
      <c r="P3485">
        <f>IF(OR(calendar[[#This Row],[UK_BH]]=1,calendar[[#This Row],[WeekDay]]=1, calendar[[#This Row],[WeekDay]]=7),P3484,P3484+1)</f>
        <v>2476</v>
      </c>
      <c r="Q3485">
        <f>IF(OR(calendar[[#This Row],[FR_BH]]=1,calendar[[#This Row],[WeekDay]]=1, calendar[[#This Row],[WeekDay]]=7),P3484,P3484+1)</f>
        <v>2476</v>
      </c>
      <c r="R3485">
        <f>IF(OR(calendar[[#This Row],[SP_BH]]=1,calendar[[#This Row],[WeekDay]]=1, calendar[[#This Row],[WeekDay]]=7),P3484,P3484+1)</f>
        <v>2476</v>
      </c>
      <c r="S3485">
        <f>IF(OR(calendar[[#This Row],[PT_BH]]=1,calendar[[#This Row],[WeekDay]]=1, calendar[[#This Row],[WeekDay]]=7),P3484,P3484+1)</f>
        <v>2476</v>
      </c>
    </row>
    <row r="3486" spans="1:19" x14ac:dyDescent="0.25">
      <c r="A3486" s="2">
        <v>46220</v>
      </c>
      <c r="B3486" s="1">
        <f t="shared" si="276"/>
        <v>29</v>
      </c>
      <c r="C3486">
        <f t="shared" si="278"/>
        <v>7</v>
      </c>
      <c r="D3486" t="str">
        <f t="shared" si="279"/>
        <v>July</v>
      </c>
      <c r="E3486">
        <f t="shared" si="280"/>
        <v>2026</v>
      </c>
      <c r="F3486" t="str">
        <f>CONCATENATE(calendar[[#This Row],[Month]],"/",calendar[[#This Row],[Year]])</f>
        <v>7/2026</v>
      </c>
      <c r="G3486">
        <f>WEEKDAY(calendar[[#This Row],[Date]],1)</f>
        <v>6</v>
      </c>
      <c r="H3486" t="str">
        <f>TEXT(calendar[[#This Row],[WeekDay]],"dddd")</f>
        <v>Friday</v>
      </c>
      <c r="I3486">
        <f>IF((INT(calendar[[#This Row],[Count]]/7)-calendar[[#This Row],[Count]]/7)&lt;0,I3485,I3485+1)</f>
        <v>498</v>
      </c>
      <c r="J3486">
        <f t="shared" si="277"/>
        <v>3484</v>
      </c>
      <c r="K3486">
        <f>IF(calendar[[#This Row],[Month]]&lt;4,1,IF(calendar[[#This Row],[Month]]&lt;7,2,IF(calendar[[#This Row],[Month]]&lt;10,3,4)))</f>
        <v>3</v>
      </c>
      <c r="L3486">
        <f>IFERROR(IF(VLOOKUP(calendar[[#This Row],[Date]],BH!A:A,1,)&lt;&gt;"",1,0),0)</f>
        <v>0</v>
      </c>
      <c r="M3486">
        <f>IFERROR(IF(VLOOKUP(calendar[[#This Row],[Date]],BH!C:C,1,)&lt;&gt;"",1,0),0)</f>
        <v>0</v>
      </c>
      <c r="N3486">
        <f>IFERROR(IF(VLOOKUP(calendar[[#This Row],[Date]],BH!E:E,1,)&lt;&gt;"",1,0),0)</f>
        <v>0</v>
      </c>
      <c r="O3486">
        <f>IFERROR(IF(VLOOKUP(calendar[[#This Row],[Date]],BH!G:G,1,)&lt;&gt;"",1,0),0)</f>
        <v>0</v>
      </c>
      <c r="P3486">
        <f>IF(OR(calendar[[#This Row],[UK_BH]]=1,calendar[[#This Row],[WeekDay]]=1, calendar[[#This Row],[WeekDay]]=7),P3485,P3485+1)</f>
        <v>2477</v>
      </c>
      <c r="Q3486">
        <f>IF(OR(calendar[[#This Row],[FR_BH]]=1,calendar[[#This Row],[WeekDay]]=1, calendar[[#This Row],[WeekDay]]=7),P3485,P3485+1)</f>
        <v>2477</v>
      </c>
      <c r="R3486">
        <f>IF(OR(calendar[[#This Row],[SP_BH]]=1,calendar[[#This Row],[WeekDay]]=1, calendar[[#This Row],[WeekDay]]=7),P3485,P3485+1)</f>
        <v>2477</v>
      </c>
      <c r="S3486">
        <f>IF(OR(calendar[[#This Row],[PT_BH]]=1,calendar[[#This Row],[WeekDay]]=1, calendar[[#This Row],[WeekDay]]=7),P3485,P3485+1)</f>
        <v>2477</v>
      </c>
    </row>
    <row r="3487" spans="1:19" x14ac:dyDescent="0.25">
      <c r="A3487" s="2">
        <v>46221</v>
      </c>
      <c r="B3487" s="1">
        <f t="shared" si="276"/>
        <v>29</v>
      </c>
      <c r="C3487">
        <f t="shared" si="278"/>
        <v>7</v>
      </c>
      <c r="D3487" t="str">
        <f t="shared" si="279"/>
        <v>July</v>
      </c>
      <c r="E3487">
        <f t="shared" si="280"/>
        <v>2026</v>
      </c>
      <c r="F3487" t="str">
        <f>CONCATENATE(calendar[[#This Row],[Month]],"/",calendar[[#This Row],[Year]])</f>
        <v>7/2026</v>
      </c>
      <c r="G3487">
        <f>WEEKDAY(calendar[[#This Row],[Date]],1)</f>
        <v>7</v>
      </c>
      <c r="H3487" t="str">
        <f>TEXT(calendar[[#This Row],[WeekDay]],"dddd")</f>
        <v>Saturday</v>
      </c>
      <c r="I3487">
        <f>IF((INT(calendar[[#This Row],[Count]]/7)-calendar[[#This Row],[Count]]/7)&lt;0,I3486,I3486+1)</f>
        <v>498</v>
      </c>
      <c r="J3487">
        <f t="shared" si="277"/>
        <v>3485</v>
      </c>
      <c r="K3487">
        <f>IF(calendar[[#This Row],[Month]]&lt;4,1,IF(calendar[[#This Row],[Month]]&lt;7,2,IF(calendar[[#This Row],[Month]]&lt;10,3,4)))</f>
        <v>3</v>
      </c>
      <c r="L3487">
        <f>IFERROR(IF(VLOOKUP(calendar[[#This Row],[Date]],BH!A:A,1,)&lt;&gt;"",1,0),0)</f>
        <v>0</v>
      </c>
      <c r="M3487">
        <f>IFERROR(IF(VLOOKUP(calendar[[#This Row],[Date]],BH!C:C,1,)&lt;&gt;"",1,0),0)</f>
        <v>0</v>
      </c>
      <c r="N3487">
        <f>IFERROR(IF(VLOOKUP(calendar[[#This Row],[Date]],BH!E:E,1,)&lt;&gt;"",1,0),0)</f>
        <v>0</v>
      </c>
      <c r="O3487">
        <f>IFERROR(IF(VLOOKUP(calendar[[#This Row],[Date]],BH!G:G,1,)&lt;&gt;"",1,0),0)</f>
        <v>0</v>
      </c>
      <c r="P3487">
        <f>IF(OR(calendar[[#This Row],[UK_BH]]=1,calendar[[#This Row],[WeekDay]]=1, calendar[[#This Row],[WeekDay]]=7),P3486,P3486+1)</f>
        <v>2477</v>
      </c>
      <c r="Q3487">
        <f>IF(OR(calendar[[#This Row],[FR_BH]]=1,calendar[[#This Row],[WeekDay]]=1, calendar[[#This Row],[WeekDay]]=7),P3486,P3486+1)</f>
        <v>2477</v>
      </c>
      <c r="R3487">
        <f>IF(OR(calendar[[#This Row],[SP_BH]]=1,calendar[[#This Row],[WeekDay]]=1, calendar[[#This Row],[WeekDay]]=7),P3486,P3486+1)</f>
        <v>2477</v>
      </c>
      <c r="S3487">
        <f>IF(OR(calendar[[#This Row],[PT_BH]]=1,calendar[[#This Row],[WeekDay]]=1, calendar[[#This Row],[WeekDay]]=7),P3486,P3486+1)</f>
        <v>2477</v>
      </c>
    </row>
    <row r="3488" spans="1:19" x14ac:dyDescent="0.25">
      <c r="A3488" s="2">
        <v>46222</v>
      </c>
      <c r="B3488" s="1">
        <f t="shared" si="276"/>
        <v>30</v>
      </c>
      <c r="C3488">
        <f t="shared" si="278"/>
        <v>7</v>
      </c>
      <c r="D3488" t="str">
        <f t="shared" si="279"/>
        <v>July</v>
      </c>
      <c r="E3488">
        <f t="shared" si="280"/>
        <v>2026</v>
      </c>
      <c r="F3488" t="str">
        <f>CONCATENATE(calendar[[#This Row],[Month]],"/",calendar[[#This Row],[Year]])</f>
        <v>7/2026</v>
      </c>
      <c r="G3488">
        <f>WEEKDAY(calendar[[#This Row],[Date]],1)</f>
        <v>1</v>
      </c>
      <c r="H3488" t="str">
        <f>TEXT(calendar[[#This Row],[WeekDay]],"dddd")</f>
        <v>Sunday</v>
      </c>
      <c r="I3488">
        <f>IF((INT(calendar[[#This Row],[Count]]/7)-calendar[[#This Row],[Count]]/7)&lt;0,I3487,I3487+1)</f>
        <v>499</v>
      </c>
      <c r="J3488">
        <f t="shared" si="277"/>
        <v>3486</v>
      </c>
      <c r="K3488">
        <f>IF(calendar[[#This Row],[Month]]&lt;4,1,IF(calendar[[#This Row],[Month]]&lt;7,2,IF(calendar[[#This Row],[Month]]&lt;10,3,4)))</f>
        <v>3</v>
      </c>
      <c r="L3488">
        <f>IFERROR(IF(VLOOKUP(calendar[[#This Row],[Date]],BH!A:A,1,)&lt;&gt;"",1,0),0)</f>
        <v>0</v>
      </c>
      <c r="M3488">
        <f>IFERROR(IF(VLOOKUP(calendar[[#This Row],[Date]],BH!C:C,1,)&lt;&gt;"",1,0),0)</f>
        <v>0</v>
      </c>
      <c r="N3488">
        <f>IFERROR(IF(VLOOKUP(calendar[[#This Row],[Date]],BH!E:E,1,)&lt;&gt;"",1,0),0)</f>
        <v>0</v>
      </c>
      <c r="O3488">
        <f>IFERROR(IF(VLOOKUP(calendar[[#This Row],[Date]],BH!G:G,1,)&lt;&gt;"",1,0),0)</f>
        <v>0</v>
      </c>
      <c r="P3488">
        <f>IF(OR(calendar[[#This Row],[UK_BH]]=1,calendar[[#This Row],[WeekDay]]=1, calendar[[#This Row],[WeekDay]]=7),P3487,P3487+1)</f>
        <v>2477</v>
      </c>
      <c r="Q3488">
        <f>IF(OR(calendar[[#This Row],[FR_BH]]=1,calendar[[#This Row],[WeekDay]]=1, calendar[[#This Row],[WeekDay]]=7),P3487,P3487+1)</f>
        <v>2477</v>
      </c>
      <c r="R3488">
        <f>IF(OR(calendar[[#This Row],[SP_BH]]=1,calendar[[#This Row],[WeekDay]]=1, calendar[[#This Row],[WeekDay]]=7),P3487,P3487+1)</f>
        <v>2477</v>
      </c>
      <c r="S3488">
        <f>IF(OR(calendar[[#This Row],[PT_BH]]=1,calendar[[#This Row],[WeekDay]]=1, calendar[[#This Row],[WeekDay]]=7),P3487,P3487+1)</f>
        <v>2477</v>
      </c>
    </row>
    <row r="3489" spans="1:19" x14ac:dyDescent="0.25">
      <c r="A3489" s="2">
        <v>46223</v>
      </c>
      <c r="B3489" s="1">
        <f t="shared" si="276"/>
        <v>30</v>
      </c>
      <c r="C3489">
        <f t="shared" si="278"/>
        <v>7</v>
      </c>
      <c r="D3489" t="str">
        <f t="shared" si="279"/>
        <v>July</v>
      </c>
      <c r="E3489">
        <f t="shared" si="280"/>
        <v>2026</v>
      </c>
      <c r="F3489" t="str">
        <f>CONCATENATE(calendar[[#This Row],[Month]],"/",calendar[[#This Row],[Year]])</f>
        <v>7/2026</v>
      </c>
      <c r="G3489">
        <f>WEEKDAY(calendar[[#This Row],[Date]],1)</f>
        <v>2</v>
      </c>
      <c r="H3489" t="str">
        <f>TEXT(calendar[[#This Row],[WeekDay]],"dddd")</f>
        <v>Monday</v>
      </c>
      <c r="I3489">
        <f>IF((INT(calendar[[#This Row],[Count]]/7)-calendar[[#This Row],[Count]]/7)&lt;0,I3488,I3488+1)</f>
        <v>499</v>
      </c>
      <c r="J3489">
        <f t="shared" si="277"/>
        <v>3487</v>
      </c>
      <c r="K3489">
        <f>IF(calendar[[#This Row],[Month]]&lt;4,1,IF(calendar[[#This Row],[Month]]&lt;7,2,IF(calendar[[#This Row],[Month]]&lt;10,3,4)))</f>
        <v>3</v>
      </c>
      <c r="L3489">
        <f>IFERROR(IF(VLOOKUP(calendar[[#This Row],[Date]],BH!A:A,1,)&lt;&gt;"",1,0),0)</f>
        <v>0</v>
      </c>
      <c r="M3489">
        <f>IFERROR(IF(VLOOKUP(calendar[[#This Row],[Date]],BH!C:C,1,)&lt;&gt;"",1,0),0)</f>
        <v>0</v>
      </c>
      <c r="N3489">
        <f>IFERROR(IF(VLOOKUP(calendar[[#This Row],[Date]],BH!E:E,1,)&lt;&gt;"",1,0),0)</f>
        <v>0</v>
      </c>
      <c r="O3489">
        <f>IFERROR(IF(VLOOKUP(calendar[[#This Row],[Date]],BH!G:G,1,)&lt;&gt;"",1,0),0)</f>
        <v>0</v>
      </c>
      <c r="P3489">
        <f>IF(OR(calendar[[#This Row],[UK_BH]]=1,calendar[[#This Row],[WeekDay]]=1, calendar[[#This Row],[WeekDay]]=7),P3488,P3488+1)</f>
        <v>2478</v>
      </c>
      <c r="Q3489">
        <f>IF(OR(calendar[[#This Row],[FR_BH]]=1,calendar[[#This Row],[WeekDay]]=1, calendar[[#This Row],[WeekDay]]=7),P3488,P3488+1)</f>
        <v>2478</v>
      </c>
      <c r="R3489">
        <f>IF(OR(calendar[[#This Row],[SP_BH]]=1,calendar[[#This Row],[WeekDay]]=1, calendar[[#This Row],[WeekDay]]=7),P3488,P3488+1)</f>
        <v>2478</v>
      </c>
      <c r="S3489">
        <f>IF(OR(calendar[[#This Row],[PT_BH]]=1,calendar[[#This Row],[WeekDay]]=1, calendar[[#This Row],[WeekDay]]=7),P3488,P3488+1)</f>
        <v>2478</v>
      </c>
    </row>
    <row r="3490" spans="1:19" x14ac:dyDescent="0.25">
      <c r="A3490" s="2">
        <v>46224</v>
      </c>
      <c r="B3490" s="1">
        <f t="shared" si="276"/>
        <v>30</v>
      </c>
      <c r="C3490">
        <f t="shared" si="278"/>
        <v>7</v>
      </c>
      <c r="D3490" t="str">
        <f t="shared" si="279"/>
        <v>July</v>
      </c>
      <c r="E3490">
        <f t="shared" si="280"/>
        <v>2026</v>
      </c>
      <c r="F3490" t="str">
        <f>CONCATENATE(calendar[[#This Row],[Month]],"/",calendar[[#This Row],[Year]])</f>
        <v>7/2026</v>
      </c>
      <c r="G3490">
        <f>WEEKDAY(calendar[[#This Row],[Date]],1)</f>
        <v>3</v>
      </c>
      <c r="H3490" t="str">
        <f>TEXT(calendar[[#This Row],[WeekDay]],"dddd")</f>
        <v>Tuesday</v>
      </c>
      <c r="I3490">
        <f>IF((INT(calendar[[#This Row],[Count]]/7)-calendar[[#This Row],[Count]]/7)&lt;0,I3489,I3489+1)</f>
        <v>499</v>
      </c>
      <c r="J3490">
        <f t="shared" si="277"/>
        <v>3488</v>
      </c>
      <c r="K3490">
        <f>IF(calendar[[#This Row],[Month]]&lt;4,1,IF(calendar[[#This Row],[Month]]&lt;7,2,IF(calendar[[#This Row],[Month]]&lt;10,3,4)))</f>
        <v>3</v>
      </c>
      <c r="L3490">
        <f>IFERROR(IF(VLOOKUP(calendar[[#This Row],[Date]],BH!A:A,1,)&lt;&gt;"",1,0),0)</f>
        <v>0</v>
      </c>
      <c r="M3490">
        <f>IFERROR(IF(VLOOKUP(calendar[[#This Row],[Date]],BH!C:C,1,)&lt;&gt;"",1,0),0)</f>
        <v>0</v>
      </c>
      <c r="N3490">
        <f>IFERROR(IF(VLOOKUP(calendar[[#This Row],[Date]],BH!E:E,1,)&lt;&gt;"",1,0),0)</f>
        <v>0</v>
      </c>
      <c r="O3490">
        <f>IFERROR(IF(VLOOKUP(calendar[[#This Row],[Date]],BH!G:G,1,)&lt;&gt;"",1,0),0)</f>
        <v>0</v>
      </c>
      <c r="P3490">
        <f>IF(OR(calendar[[#This Row],[UK_BH]]=1,calendar[[#This Row],[WeekDay]]=1, calendar[[#This Row],[WeekDay]]=7),P3489,P3489+1)</f>
        <v>2479</v>
      </c>
      <c r="Q3490">
        <f>IF(OR(calendar[[#This Row],[FR_BH]]=1,calendar[[#This Row],[WeekDay]]=1, calendar[[#This Row],[WeekDay]]=7),P3489,P3489+1)</f>
        <v>2479</v>
      </c>
      <c r="R3490">
        <f>IF(OR(calendar[[#This Row],[SP_BH]]=1,calendar[[#This Row],[WeekDay]]=1, calendar[[#This Row],[WeekDay]]=7),P3489,P3489+1)</f>
        <v>2479</v>
      </c>
      <c r="S3490">
        <f>IF(OR(calendar[[#This Row],[PT_BH]]=1,calendar[[#This Row],[WeekDay]]=1, calendar[[#This Row],[WeekDay]]=7),P3489,P3489+1)</f>
        <v>2479</v>
      </c>
    </row>
    <row r="3491" spans="1:19" x14ac:dyDescent="0.25">
      <c r="A3491" s="2">
        <v>46225</v>
      </c>
      <c r="B3491" s="1">
        <f t="shared" si="276"/>
        <v>30</v>
      </c>
      <c r="C3491">
        <f t="shared" si="278"/>
        <v>7</v>
      </c>
      <c r="D3491" t="str">
        <f t="shared" si="279"/>
        <v>July</v>
      </c>
      <c r="E3491">
        <f t="shared" si="280"/>
        <v>2026</v>
      </c>
      <c r="F3491" t="str">
        <f>CONCATENATE(calendar[[#This Row],[Month]],"/",calendar[[#This Row],[Year]])</f>
        <v>7/2026</v>
      </c>
      <c r="G3491">
        <f>WEEKDAY(calendar[[#This Row],[Date]],1)</f>
        <v>4</v>
      </c>
      <c r="H3491" t="str">
        <f>TEXT(calendar[[#This Row],[WeekDay]],"dddd")</f>
        <v>Wednesday</v>
      </c>
      <c r="I3491">
        <f>IF((INT(calendar[[#This Row],[Count]]/7)-calendar[[#This Row],[Count]]/7)&lt;0,I3490,I3490+1)</f>
        <v>499</v>
      </c>
      <c r="J3491">
        <f t="shared" si="277"/>
        <v>3489</v>
      </c>
      <c r="K3491">
        <f>IF(calendar[[#This Row],[Month]]&lt;4,1,IF(calendar[[#This Row],[Month]]&lt;7,2,IF(calendar[[#This Row],[Month]]&lt;10,3,4)))</f>
        <v>3</v>
      </c>
      <c r="L3491">
        <f>IFERROR(IF(VLOOKUP(calendar[[#This Row],[Date]],BH!A:A,1,)&lt;&gt;"",1,0),0)</f>
        <v>0</v>
      </c>
      <c r="M3491">
        <f>IFERROR(IF(VLOOKUP(calendar[[#This Row],[Date]],BH!C:C,1,)&lt;&gt;"",1,0),0)</f>
        <v>0</v>
      </c>
      <c r="N3491">
        <f>IFERROR(IF(VLOOKUP(calendar[[#This Row],[Date]],BH!E:E,1,)&lt;&gt;"",1,0),0)</f>
        <v>0</v>
      </c>
      <c r="O3491">
        <f>IFERROR(IF(VLOOKUP(calendar[[#This Row],[Date]],BH!G:G,1,)&lt;&gt;"",1,0),0)</f>
        <v>0</v>
      </c>
      <c r="P3491">
        <f>IF(OR(calendar[[#This Row],[UK_BH]]=1,calendar[[#This Row],[WeekDay]]=1, calendar[[#This Row],[WeekDay]]=7),P3490,P3490+1)</f>
        <v>2480</v>
      </c>
      <c r="Q3491">
        <f>IF(OR(calendar[[#This Row],[FR_BH]]=1,calendar[[#This Row],[WeekDay]]=1, calendar[[#This Row],[WeekDay]]=7),P3490,P3490+1)</f>
        <v>2480</v>
      </c>
      <c r="R3491">
        <f>IF(OR(calendar[[#This Row],[SP_BH]]=1,calendar[[#This Row],[WeekDay]]=1, calendar[[#This Row],[WeekDay]]=7),P3490,P3490+1)</f>
        <v>2480</v>
      </c>
      <c r="S3491">
        <f>IF(OR(calendar[[#This Row],[PT_BH]]=1,calendar[[#This Row],[WeekDay]]=1, calendar[[#This Row],[WeekDay]]=7),P3490,P3490+1)</f>
        <v>2480</v>
      </c>
    </row>
    <row r="3492" spans="1:19" x14ac:dyDescent="0.25">
      <c r="A3492" s="2">
        <v>46226</v>
      </c>
      <c r="B3492" s="1">
        <f t="shared" si="276"/>
        <v>30</v>
      </c>
      <c r="C3492">
        <f t="shared" si="278"/>
        <v>7</v>
      </c>
      <c r="D3492" t="str">
        <f t="shared" si="279"/>
        <v>July</v>
      </c>
      <c r="E3492">
        <f t="shared" si="280"/>
        <v>2026</v>
      </c>
      <c r="F3492" t="str">
        <f>CONCATENATE(calendar[[#This Row],[Month]],"/",calendar[[#This Row],[Year]])</f>
        <v>7/2026</v>
      </c>
      <c r="G3492">
        <f>WEEKDAY(calendar[[#This Row],[Date]],1)</f>
        <v>5</v>
      </c>
      <c r="H3492" t="str">
        <f>TEXT(calendar[[#This Row],[WeekDay]],"dddd")</f>
        <v>Thursday</v>
      </c>
      <c r="I3492">
        <f>IF((INT(calendar[[#This Row],[Count]]/7)-calendar[[#This Row],[Count]]/7)&lt;0,I3491,I3491+1)</f>
        <v>499</v>
      </c>
      <c r="J3492">
        <f t="shared" si="277"/>
        <v>3490</v>
      </c>
      <c r="K3492">
        <f>IF(calendar[[#This Row],[Month]]&lt;4,1,IF(calendar[[#This Row],[Month]]&lt;7,2,IF(calendar[[#This Row],[Month]]&lt;10,3,4)))</f>
        <v>3</v>
      </c>
      <c r="L3492">
        <f>IFERROR(IF(VLOOKUP(calendar[[#This Row],[Date]],BH!A:A,1,)&lt;&gt;"",1,0),0)</f>
        <v>0</v>
      </c>
      <c r="M3492">
        <f>IFERROR(IF(VLOOKUP(calendar[[#This Row],[Date]],BH!C:C,1,)&lt;&gt;"",1,0),0)</f>
        <v>0</v>
      </c>
      <c r="N3492">
        <f>IFERROR(IF(VLOOKUP(calendar[[#This Row],[Date]],BH!E:E,1,)&lt;&gt;"",1,0),0)</f>
        <v>0</v>
      </c>
      <c r="O3492">
        <f>IFERROR(IF(VLOOKUP(calendar[[#This Row],[Date]],BH!G:G,1,)&lt;&gt;"",1,0),0)</f>
        <v>0</v>
      </c>
      <c r="P3492">
        <f>IF(OR(calendar[[#This Row],[UK_BH]]=1,calendar[[#This Row],[WeekDay]]=1, calendar[[#This Row],[WeekDay]]=7),P3491,P3491+1)</f>
        <v>2481</v>
      </c>
      <c r="Q3492">
        <f>IF(OR(calendar[[#This Row],[FR_BH]]=1,calendar[[#This Row],[WeekDay]]=1, calendar[[#This Row],[WeekDay]]=7),P3491,P3491+1)</f>
        <v>2481</v>
      </c>
      <c r="R3492">
        <f>IF(OR(calendar[[#This Row],[SP_BH]]=1,calendar[[#This Row],[WeekDay]]=1, calendar[[#This Row],[WeekDay]]=7),P3491,P3491+1)</f>
        <v>2481</v>
      </c>
      <c r="S3492">
        <f>IF(OR(calendar[[#This Row],[PT_BH]]=1,calendar[[#This Row],[WeekDay]]=1, calendar[[#This Row],[WeekDay]]=7),P3491,P3491+1)</f>
        <v>2481</v>
      </c>
    </row>
    <row r="3493" spans="1:19" x14ac:dyDescent="0.25">
      <c r="A3493" s="2">
        <v>46227</v>
      </c>
      <c r="B3493" s="1">
        <f t="shared" si="276"/>
        <v>30</v>
      </c>
      <c r="C3493">
        <f t="shared" si="278"/>
        <v>7</v>
      </c>
      <c r="D3493" t="str">
        <f t="shared" si="279"/>
        <v>July</v>
      </c>
      <c r="E3493">
        <f t="shared" si="280"/>
        <v>2026</v>
      </c>
      <c r="F3493" t="str">
        <f>CONCATENATE(calendar[[#This Row],[Month]],"/",calendar[[#This Row],[Year]])</f>
        <v>7/2026</v>
      </c>
      <c r="G3493">
        <f>WEEKDAY(calendar[[#This Row],[Date]],1)</f>
        <v>6</v>
      </c>
      <c r="H3493" t="str">
        <f>TEXT(calendar[[#This Row],[WeekDay]],"dddd")</f>
        <v>Friday</v>
      </c>
      <c r="I3493">
        <f>IF((INT(calendar[[#This Row],[Count]]/7)-calendar[[#This Row],[Count]]/7)&lt;0,I3492,I3492+1)</f>
        <v>499</v>
      </c>
      <c r="J3493">
        <f t="shared" si="277"/>
        <v>3491</v>
      </c>
      <c r="K3493">
        <f>IF(calendar[[#This Row],[Month]]&lt;4,1,IF(calendar[[#This Row],[Month]]&lt;7,2,IF(calendar[[#This Row],[Month]]&lt;10,3,4)))</f>
        <v>3</v>
      </c>
      <c r="L3493">
        <f>IFERROR(IF(VLOOKUP(calendar[[#This Row],[Date]],BH!A:A,1,)&lt;&gt;"",1,0),0)</f>
        <v>0</v>
      </c>
      <c r="M3493">
        <f>IFERROR(IF(VLOOKUP(calendar[[#This Row],[Date]],BH!C:C,1,)&lt;&gt;"",1,0),0)</f>
        <v>0</v>
      </c>
      <c r="N3493">
        <f>IFERROR(IF(VLOOKUP(calendar[[#This Row],[Date]],BH!E:E,1,)&lt;&gt;"",1,0),0)</f>
        <v>0</v>
      </c>
      <c r="O3493">
        <f>IFERROR(IF(VLOOKUP(calendar[[#This Row],[Date]],BH!G:G,1,)&lt;&gt;"",1,0),0)</f>
        <v>0</v>
      </c>
      <c r="P3493">
        <f>IF(OR(calendar[[#This Row],[UK_BH]]=1,calendar[[#This Row],[WeekDay]]=1, calendar[[#This Row],[WeekDay]]=7),P3492,P3492+1)</f>
        <v>2482</v>
      </c>
      <c r="Q3493">
        <f>IF(OR(calendar[[#This Row],[FR_BH]]=1,calendar[[#This Row],[WeekDay]]=1, calendar[[#This Row],[WeekDay]]=7),P3492,P3492+1)</f>
        <v>2482</v>
      </c>
      <c r="R3493">
        <f>IF(OR(calendar[[#This Row],[SP_BH]]=1,calendar[[#This Row],[WeekDay]]=1, calendar[[#This Row],[WeekDay]]=7),P3492,P3492+1)</f>
        <v>2482</v>
      </c>
      <c r="S3493">
        <f>IF(OR(calendar[[#This Row],[PT_BH]]=1,calendar[[#This Row],[WeekDay]]=1, calendar[[#This Row],[WeekDay]]=7),P3492,P3492+1)</f>
        <v>2482</v>
      </c>
    </row>
    <row r="3494" spans="1:19" x14ac:dyDescent="0.25">
      <c r="A3494" s="2">
        <v>46228</v>
      </c>
      <c r="B3494" s="1">
        <f t="shared" si="276"/>
        <v>30</v>
      </c>
      <c r="C3494">
        <f t="shared" si="278"/>
        <v>7</v>
      </c>
      <c r="D3494" t="str">
        <f t="shared" si="279"/>
        <v>July</v>
      </c>
      <c r="E3494">
        <f t="shared" si="280"/>
        <v>2026</v>
      </c>
      <c r="F3494" t="str">
        <f>CONCATENATE(calendar[[#This Row],[Month]],"/",calendar[[#This Row],[Year]])</f>
        <v>7/2026</v>
      </c>
      <c r="G3494">
        <f>WEEKDAY(calendar[[#This Row],[Date]],1)</f>
        <v>7</v>
      </c>
      <c r="H3494" t="str">
        <f>TEXT(calendar[[#This Row],[WeekDay]],"dddd")</f>
        <v>Saturday</v>
      </c>
      <c r="I3494">
        <f>IF((INT(calendar[[#This Row],[Count]]/7)-calendar[[#This Row],[Count]]/7)&lt;0,I3493,I3493+1)</f>
        <v>499</v>
      </c>
      <c r="J3494">
        <f t="shared" si="277"/>
        <v>3492</v>
      </c>
      <c r="K3494">
        <f>IF(calendar[[#This Row],[Month]]&lt;4,1,IF(calendar[[#This Row],[Month]]&lt;7,2,IF(calendar[[#This Row],[Month]]&lt;10,3,4)))</f>
        <v>3</v>
      </c>
      <c r="L3494">
        <f>IFERROR(IF(VLOOKUP(calendar[[#This Row],[Date]],BH!A:A,1,)&lt;&gt;"",1,0),0)</f>
        <v>0</v>
      </c>
      <c r="M3494">
        <f>IFERROR(IF(VLOOKUP(calendar[[#This Row],[Date]],BH!C:C,1,)&lt;&gt;"",1,0),0)</f>
        <v>0</v>
      </c>
      <c r="N3494">
        <f>IFERROR(IF(VLOOKUP(calendar[[#This Row],[Date]],BH!E:E,1,)&lt;&gt;"",1,0),0)</f>
        <v>0</v>
      </c>
      <c r="O3494">
        <f>IFERROR(IF(VLOOKUP(calendar[[#This Row],[Date]],BH!G:G,1,)&lt;&gt;"",1,0),0)</f>
        <v>0</v>
      </c>
      <c r="P3494">
        <f>IF(OR(calendar[[#This Row],[UK_BH]]=1,calendar[[#This Row],[WeekDay]]=1, calendar[[#This Row],[WeekDay]]=7),P3493,P3493+1)</f>
        <v>2482</v>
      </c>
      <c r="Q3494">
        <f>IF(OR(calendar[[#This Row],[FR_BH]]=1,calendar[[#This Row],[WeekDay]]=1, calendar[[#This Row],[WeekDay]]=7),P3493,P3493+1)</f>
        <v>2482</v>
      </c>
      <c r="R3494">
        <f>IF(OR(calendar[[#This Row],[SP_BH]]=1,calendar[[#This Row],[WeekDay]]=1, calendar[[#This Row],[WeekDay]]=7),P3493,P3493+1)</f>
        <v>2482</v>
      </c>
      <c r="S3494">
        <f>IF(OR(calendar[[#This Row],[PT_BH]]=1,calendar[[#This Row],[WeekDay]]=1, calendar[[#This Row],[WeekDay]]=7),P3493,P3493+1)</f>
        <v>2482</v>
      </c>
    </row>
    <row r="3495" spans="1:19" x14ac:dyDescent="0.25">
      <c r="A3495" s="2">
        <v>46229</v>
      </c>
      <c r="B3495" s="1">
        <f t="shared" si="276"/>
        <v>31</v>
      </c>
      <c r="C3495">
        <f t="shared" si="278"/>
        <v>7</v>
      </c>
      <c r="D3495" t="str">
        <f t="shared" si="279"/>
        <v>July</v>
      </c>
      <c r="E3495">
        <f t="shared" si="280"/>
        <v>2026</v>
      </c>
      <c r="F3495" t="str">
        <f>CONCATENATE(calendar[[#This Row],[Month]],"/",calendar[[#This Row],[Year]])</f>
        <v>7/2026</v>
      </c>
      <c r="G3495">
        <f>WEEKDAY(calendar[[#This Row],[Date]],1)</f>
        <v>1</v>
      </c>
      <c r="H3495" t="str">
        <f>TEXT(calendar[[#This Row],[WeekDay]],"dddd")</f>
        <v>Sunday</v>
      </c>
      <c r="I3495">
        <f>IF((INT(calendar[[#This Row],[Count]]/7)-calendar[[#This Row],[Count]]/7)&lt;0,I3494,I3494+1)</f>
        <v>500</v>
      </c>
      <c r="J3495">
        <f t="shared" si="277"/>
        <v>3493</v>
      </c>
      <c r="K3495">
        <f>IF(calendar[[#This Row],[Month]]&lt;4,1,IF(calendar[[#This Row],[Month]]&lt;7,2,IF(calendar[[#This Row],[Month]]&lt;10,3,4)))</f>
        <v>3</v>
      </c>
      <c r="L3495">
        <f>IFERROR(IF(VLOOKUP(calendar[[#This Row],[Date]],BH!A:A,1,)&lt;&gt;"",1,0),0)</f>
        <v>0</v>
      </c>
      <c r="M3495">
        <f>IFERROR(IF(VLOOKUP(calendar[[#This Row],[Date]],BH!C:C,1,)&lt;&gt;"",1,0),0)</f>
        <v>0</v>
      </c>
      <c r="N3495">
        <f>IFERROR(IF(VLOOKUP(calendar[[#This Row],[Date]],BH!E:E,1,)&lt;&gt;"",1,0),0)</f>
        <v>0</v>
      </c>
      <c r="O3495">
        <f>IFERROR(IF(VLOOKUP(calendar[[#This Row],[Date]],BH!G:G,1,)&lt;&gt;"",1,0),0)</f>
        <v>0</v>
      </c>
      <c r="P3495">
        <f>IF(OR(calendar[[#This Row],[UK_BH]]=1,calendar[[#This Row],[WeekDay]]=1, calendar[[#This Row],[WeekDay]]=7),P3494,P3494+1)</f>
        <v>2482</v>
      </c>
      <c r="Q3495">
        <f>IF(OR(calendar[[#This Row],[FR_BH]]=1,calendar[[#This Row],[WeekDay]]=1, calendar[[#This Row],[WeekDay]]=7),P3494,P3494+1)</f>
        <v>2482</v>
      </c>
      <c r="R3495">
        <f>IF(OR(calendar[[#This Row],[SP_BH]]=1,calendar[[#This Row],[WeekDay]]=1, calendar[[#This Row],[WeekDay]]=7),P3494,P3494+1)</f>
        <v>2482</v>
      </c>
      <c r="S3495">
        <f>IF(OR(calendar[[#This Row],[PT_BH]]=1,calendar[[#This Row],[WeekDay]]=1, calendar[[#This Row],[WeekDay]]=7),P3494,P3494+1)</f>
        <v>2482</v>
      </c>
    </row>
    <row r="3496" spans="1:19" x14ac:dyDescent="0.25">
      <c r="A3496" s="2">
        <v>46230</v>
      </c>
      <c r="B3496" s="1">
        <f t="shared" si="276"/>
        <v>31</v>
      </c>
      <c r="C3496">
        <f t="shared" si="278"/>
        <v>7</v>
      </c>
      <c r="D3496" t="str">
        <f t="shared" si="279"/>
        <v>July</v>
      </c>
      <c r="E3496">
        <f t="shared" si="280"/>
        <v>2026</v>
      </c>
      <c r="F3496" t="str">
        <f>CONCATENATE(calendar[[#This Row],[Month]],"/",calendar[[#This Row],[Year]])</f>
        <v>7/2026</v>
      </c>
      <c r="G3496">
        <f>WEEKDAY(calendar[[#This Row],[Date]],1)</f>
        <v>2</v>
      </c>
      <c r="H3496" t="str">
        <f>TEXT(calendar[[#This Row],[WeekDay]],"dddd")</f>
        <v>Monday</v>
      </c>
      <c r="I3496">
        <f>IF((INT(calendar[[#This Row],[Count]]/7)-calendar[[#This Row],[Count]]/7)&lt;0,I3495,I3495+1)</f>
        <v>500</v>
      </c>
      <c r="J3496">
        <f t="shared" si="277"/>
        <v>3494</v>
      </c>
      <c r="K3496">
        <f>IF(calendar[[#This Row],[Month]]&lt;4,1,IF(calendar[[#This Row],[Month]]&lt;7,2,IF(calendar[[#This Row],[Month]]&lt;10,3,4)))</f>
        <v>3</v>
      </c>
      <c r="L3496">
        <f>IFERROR(IF(VLOOKUP(calendar[[#This Row],[Date]],BH!A:A,1,)&lt;&gt;"",1,0),0)</f>
        <v>0</v>
      </c>
      <c r="M3496">
        <f>IFERROR(IF(VLOOKUP(calendar[[#This Row],[Date]],BH!C:C,1,)&lt;&gt;"",1,0),0)</f>
        <v>0</v>
      </c>
      <c r="N3496">
        <f>IFERROR(IF(VLOOKUP(calendar[[#This Row],[Date]],BH!E:E,1,)&lt;&gt;"",1,0),0)</f>
        <v>0</v>
      </c>
      <c r="O3496">
        <f>IFERROR(IF(VLOOKUP(calendar[[#This Row],[Date]],BH!G:G,1,)&lt;&gt;"",1,0),0)</f>
        <v>0</v>
      </c>
      <c r="P3496">
        <f>IF(OR(calendar[[#This Row],[UK_BH]]=1,calendar[[#This Row],[WeekDay]]=1, calendar[[#This Row],[WeekDay]]=7),P3495,P3495+1)</f>
        <v>2483</v>
      </c>
      <c r="Q3496">
        <f>IF(OR(calendar[[#This Row],[FR_BH]]=1,calendar[[#This Row],[WeekDay]]=1, calendar[[#This Row],[WeekDay]]=7),P3495,P3495+1)</f>
        <v>2483</v>
      </c>
      <c r="R3496">
        <f>IF(OR(calendar[[#This Row],[SP_BH]]=1,calendar[[#This Row],[WeekDay]]=1, calendar[[#This Row],[WeekDay]]=7),P3495,P3495+1)</f>
        <v>2483</v>
      </c>
      <c r="S3496">
        <f>IF(OR(calendar[[#This Row],[PT_BH]]=1,calendar[[#This Row],[WeekDay]]=1, calendar[[#This Row],[WeekDay]]=7),P3495,P3495+1)</f>
        <v>2483</v>
      </c>
    </row>
    <row r="3497" spans="1:19" x14ac:dyDescent="0.25">
      <c r="A3497" s="2">
        <v>46231</v>
      </c>
      <c r="B3497" s="1">
        <f t="shared" si="276"/>
        <v>31</v>
      </c>
      <c r="C3497">
        <f t="shared" si="278"/>
        <v>7</v>
      </c>
      <c r="D3497" t="str">
        <f t="shared" si="279"/>
        <v>July</v>
      </c>
      <c r="E3497">
        <f t="shared" si="280"/>
        <v>2026</v>
      </c>
      <c r="F3497" t="str">
        <f>CONCATENATE(calendar[[#This Row],[Month]],"/",calendar[[#This Row],[Year]])</f>
        <v>7/2026</v>
      </c>
      <c r="G3497">
        <f>WEEKDAY(calendar[[#This Row],[Date]],1)</f>
        <v>3</v>
      </c>
      <c r="H3497" t="str">
        <f>TEXT(calendar[[#This Row],[WeekDay]],"dddd")</f>
        <v>Tuesday</v>
      </c>
      <c r="I3497">
        <f>IF((INT(calendar[[#This Row],[Count]]/7)-calendar[[#This Row],[Count]]/7)&lt;0,I3496,I3496+1)</f>
        <v>500</v>
      </c>
      <c r="J3497">
        <f t="shared" si="277"/>
        <v>3495</v>
      </c>
      <c r="K3497">
        <f>IF(calendar[[#This Row],[Month]]&lt;4,1,IF(calendar[[#This Row],[Month]]&lt;7,2,IF(calendar[[#This Row],[Month]]&lt;10,3,4)))</f>
        <v>3</v>
      </c>
      <c r="L3497">
        <f>IFERROR(IF(VLOOKUP(calendar[[#This Row],[Date]],BH!A:A,1,)&lt;&gt;"",1,0),0)</f>
        <v>0</v>
      </c>
      <c r="M3497">
        <f>IFERROR(IF(VLOOKUP(calendar[[#This Row],[Date]],BH!C:C,1,)&lt;&gt;"",1,0),0)</f>
        <v>0</v>
      </c>
      <c r="N3497">
        <f>IFERROR(IF(VLOOKUP(calendar[[#This Row],[Date]],BH!E:E,1,)&lt;&gt;"",1,0),0)</f>
        <v>0</v>
      </c>
      <c r="O3497">
        <f>IFERROR(IF(VLOOKUP(calendar[[#This Row],[Date]],BH!G:G,1,)&lt;&gt;"",1,0),0)</f>
        <v>0</v>
      </c>
      <c r="P3497">
        <f>IF(OR(calendar[[#This Row],[UK_BH]]=1,calendar[[#This Row],[WeekDay]]=1, calendar[[#This Row],[WeekDay]]=7),P3496,P3496+1)</f>
        <v>2484</v>
      </c>
      <c r="Q3497">
        <f>IF(OR(calendar[[#This Row],[FR_BH]]=1,calendar[[#This Row],[WeekDay]]=1, calendar[[#This Row],[WeekDay]]=7),P3496,P3496+1)</f>
        <v>2484</v>
      </c>
      <c r="R3497">
        <f>IF(OR(calendar[[#This Row],[SP_BH]]=1,calendar[[#This Row],[WeekDay]]=1, calendar[[#This Row],[WeekDay]]=7),P3496,P3496+1)</f>
        <v>2484</v>
      </c>
      <c r="S3497">
        <f>IF(OR(calendar[[#This Row],[PT_BH]]=1,calendar[[#This Row],[WeekDay]]=1, calendar[[#This Row],[WeekDay]]=7),P3496,P3496+1)</f>
        <v>2484</v>
      </c>
    </row>
    <row r="3498" spans="1:19" x14ac:dyDescent="0.25">
      <c r="A3498" s="2">
        <v>46232</v>
      </c>
      <c r="B3498" s="1">
        <f t="shared" si="276"/>
        <v>31</v>
      </c>
      <c r="C3498">
        <f t="shared" si="278"/>
        <v>7</v>
      </c>
      <c r="D3498" t="str">
        <f t="shared" si="279"/>
        <v>July</v>
      </c>
      <c r="E3498">
        <f t="shared" si="280"/>
        <v>2026</v>
      </c>
      <c r="F3498" t="str">
        <f>CONCATENATE(calendar[[#This Row],[Month]],"/",calendar[[#This Row],[Year]])</f>
        <v>7/2026</v>
      </c>
      <c r="G3498">
        <f>WEEKDAY(calendar[[#This Row],[Date]],1)</f>
        <v>4</v>
      </c>
      <c r="H3498" t="str">
        <f>TEXT(calendar[[#This Row],[WeekDay]],"dddd")</f>
        <v>Wednesday</v>
      </c>
      <c r="I3498">
        <f>IF((INT(calendar[[#This Row],[Count]]/7)-calendar[[#This Row],[Count]]/7)&lt;0,I3497,I3497+1)</f>
        <v>500</v>
      </c>
      <c r="J3498">
        <f t="shared" si="277"/>
        <v>3496</v>
      </c>
      <c r="K3498">
        <f>IF(calendar[[#This Row],[Month]]&lt;4,1,IF(calendar[[#This Row],[Month]]&lt;7,2,IF(calendar[[#This Row],[Month]]&lt;10,3,4)))</f>
        <v>3</v>
      </c>
      <c r="L3498">
        <f>IFERROR(IF(VLOOKUP(calendar[[#This Row],[Date]],BH!A:A,1,)&lt;&gt;"",1,0),0)</f>
        <v>0</v>
      </c>
      <c r="M3498">
        <f>IFERROR(IF(VLOOKUP(calendar[[#This Row],[Date]],BH!C:C,1,)&lt;&gt;"",1,0),0)</f>
        <v>0</v>
      </c>
      <c r="N3498">
        <f>IFERROR(IF(VLOOKUP(calendar[[#This Row],[Date]],BH!E:E,1,)&lt;&gt;"",1,0),0)</f>
        <v>0</v>
      </c>
      <c r="O3498">
        <f>IFERROR(IF(VLOOKUP(calendar[[#This Row],[Date]],BH!G:G,1,)&lt;&gt;"",1,0),0)</f>
        <v>0</v>
      </c>
      <c r="P3498">
        <f>IF(OR(calendar[[#This Row],[UK_BH]]=1,calendar[[#This Row],[WeekDay]]=1, calendar[[#This Row],[WeekDay]]=7),P3497,P3497+1)</f>
        <v>2485</v>
      </c>
      <c r="Q3498">
        <f>IF(OR(calendar[[#This Row],[FR_BH]]=1,calendar[[#This Row],[WeekDay]]=1, calendar[[#This Row],[WeekDay]]=7),P3497,P3497+1)</f>
        <v>2485</v>
      </c>
      <c r="R3498">
        <f>IF(OR(calendar[[#This Row],[SP_BH]]=1,calendar[[#This Row],[WeekDay]]=1, calendar[[#This Row],[WeekDay]]=7),P3497,P3497+1)</f>
        <v>2485</v>
      </c>
      <c r="S3498">
        <f>IF(OR(calendar[[#This Row],[PT_BH]]=1,calendar[[#This Row],[WeekDay]]=1, calendar[[#This Row],[WeekDay]]=7),P3497,P3497+1)</f>
        <v>2485</v>
      </c>
    </row>
    <row r="3499" spans="1:19" x14ac:dyDescent="0.25">
      <c r="A3499" s="2">
        <v>46233</v>
      </c>
      <c r="B3499" s="1">
        <f t="shared" si="276"/>
        <v>31</v>
      </c>
      <c r="C3499">
        <f t="shared" si="278"/>
        <v>7</v>
      </c>
      <c r="D3499" t="str">
        <f t="shared" si="279"/>
        <v>July</v>
      </c>
      <c r="E3499">
        <f t="shared" si="280"/>
        <v>2026</v>
      </c>
      <c r="F3499" t="str">
        <f>CONCATENATE(calendar[[#This Row],[Month]],"/",calendar[[#This Row],[Year]])</f>
        <v>7/2026</v>
      </c>
      <c r="G3499">
        <f>WEEKDAY(calendar[[#This Row],[Date]],1)</f>
        <v>5</v>
      </c>
      <c r="H3499" t="str">
        <f>TEXT(calendar[[#This Row],[WeekDay]],"dddd")</f>
        <v>Thursday</v>
      </c>
      <c r="I3499">
        <f>IF((INT(calendar[[#This Row],[Count]]/7)-calendar[[#This Row],[Count]]/7)&lt;0,I3498,I3498+1)</f>
        <v>500</v>
      </c>
      <c r="J3499">
        <f t="shared" si="277"/>
        <v>3497</v>
      </c>
      <c r="K3499">
        <f>IF(calendar[[#This Row],[Month]]&lt;4,1,IF(calendar[[#This Row],[Month]]&lt;7,2,IF(calendar[[#This Row],[Month]]&lt;10,3,4)))</f>
        <v>3</v>
      </c>
      <c r="L3499">
        <f>IFERROR(IF(VLOOKUP(calendar[[#This Row],[Date]],BH!A:A,1,)&lt;&gt;"",1,0),0)</f>
        <v>0</v>
      </c>
      <c r="M3499">
        <f>IFERROR(IF(VLOOKUP(calendar[[#This Row],[Date]],BH!C:C,1,)&lt;&gt;"",1,0),0)</f>
        <v>0</v>
      </c>
      <c r="N3499">
        <f>IFERROR(IF(VLOOKUP(calendar[[#This Row],[Date]],BH!E:E,1,)&lt;&gt;"",1,0),0)</f>
        <v>0</v>
      </c>
      <c r="O3499">
        <f>IFERROR(IF(VLOOKUP(calendar[[#This Row],[Date]],BH!G:G,1,)&lt;&gt;"",1,0),0)</f>
        <v>0</v>
      </c>
      <c r="P3499">
        <f>IF(OR(calendar[[#This Row],[UK_BH]]=1,calendar[[#This Row],[WeekDay]]=1, calendar[[#This Row],[WeekDay]]=7),P3498,P3498+1)</f>
        <v>2486</v>
      </c>
      <c r="Q3499">
        <f>IF(OR(calendar[[#This Row],[FR_BH]]=1,calendar[[#This Row],[WeekDay]]=1, calendar[[#This Row],[WeekDay]]=7),P3498,P3498+1)</f>
        <v>2486</v>
      </c>
      <c r="R3499">
        <f>IF(OR(calendar[[#This Row],[SP_BH]]=1,calendar[[#This Row],[WeekDay]]=1, calendar[[#This Row],[WeekDay]]=7),P3498,P3498+1)</f>
        <v>2486</v>
      </c>
      <c r="S3499">
        <f>IF(OR(calendar[[#This Row],[PT_BH]]=1,calendar[[#This Row],[WeekDay]]=1, calendar[[#This Row],[WeekDay]]=7),P3498,P3498+1)</f>
        <v>2486</v>
      </c>
    </row>
    <row r="3500" spans="1:19" x14ac:dyDescent="0.25">
      <c r="A3500" s="2">
        <v>46234</v>
      </c>
      <c r="B3500" s="1">
        <f t="shared" si="276"/>
        <v>31</v>
      </c>
      <c r="C3500">
        <f t="shared" si="278"/>
        <v>7</v>
      </c>
      <c r="D3500" t="str">
        <f t="shared" si="279"/>
        <v>July</v>
      </c>
      <c r="E3500">
        <f t="shared" si="280"/>
        <v>2026</v>
      </c>
      <c r="F3500" t="str">
        <f>CONCATENATE(calendar[[#This Row],[Month]],"/",calendar[[#This Row],[Year]])</f>
        <v>7/2026</v>
      </c>
      <c r="G3500">
        <f>WEEKDAY(calendar[[#This Row],[Date]],1)</f>
        <v>6</v>
      </c>
      <c r="H3500" t="str">
        <f>TEXT(calendar[[#This Row],[WeekDay]],"dddd")</f>
        <v>Friday</v>
      </c>
      <c r="I3500">
        <f>IF((INT(calendar[[#This Row],[Count]]/7)-calendar[[#This Row],[Count]]/7)&lt;0,I3499,I3499+1)</f>
        <v>500</v>
      </c>
      <c r="J3500">
        <f t="shared" si="277"/>
        <v>3498</v>
      </c>
      <c r="K3500">
        <f>IF(calendar[[#This Row],[Month]]&lt;4,1,IF(calendar[[#This Row],[Month]]&lt;7,2,IF(calendar[[#This Row],[Month]]&lt;10,3,4)))</f>
        <v>3</v>
      </c>
      <c r="L3500">
        <f>IFERROR(IF(VLOOKUP(calendar[[#This Row],[Date]],BH!A:A,1,)&lt;&gt;"",1,0),0)</f>
        <v>0</v>
      </c>
      <c r="M3500">
        <f>IFERROR(IF(VLOOKUP(calendar[[#This Row],[Date]],BH!C:C,1,)&lt;&gt;"",1,0),0)</f>
        <v>0</v>
      </c>
      <c r="N3500">
        <f>IFERROR(IF(VLOOKUP(calendar[[#This Row],[Date]],BH!E:E,1,)&lt;&gt;"",1,0),0)</f>
        <v>0</v>
      </c>
      <c r="O3500">
        <f>IFERROR(IF(VLOOKUP(calendar[[#This Row],[Date]],BH!G:G,1,)&lt;&gt;"",1,0),0)</f>
        <v>0</v>
      </c>
      <c r="P3500">
        <f>IF(OR(calendar[[#This Row],[UK_BH]]=1,calendar[[#This Row],[WeekDay]]=1, calendar[[#This Row],[WeekDay]]=7),P3499,P3499+1)</f>
        <v>2487</v>
      </c>
      <c r="Q3500">
        <f>IF(OR(calendar[[#This Row],[FR_BH]]=1,calendar[[#This Row],[WeekDay]]=1, calendar[[#This Row],[WeekDay]]=7),P3499,P3499+1)</f>
        <v>2487</v>
      </c>
      <c r="R3500">
        <f>IF(OR(calendar[[#This Row],[SP_BH]]=1,calendar[[#This Row],[WeekDay]]=1, calendar[[#This Row],[WeekDay]]=7),P3499,P3499+1)</f>
        <v>2487</v>
      </c>
      <c r="S3500">
        <f>IF(OR(calendar[[#This Row],[PT_BH]]=1,calendar[[#This Row],[WeekDay]]=1, calendar[[#This Row],[WeekDay]]=7),P3499,P3499+1)</f>
        <v>2487</v>
      </c>
    </row>
    <row r="3501" spans="1:19" x14ac:dyDescent="0.25">
      <c r="A3501" s="2">
        <v>46235</v>
      </c>
      <c r="B3501" s="1">
        <f t="shared" si="276"/>
        <v>31</v>
      </c>
      <c r="C3501">
        <f t="shared" si="278"/>
        <v>8</v>
      </c>
      <c r="D3501" t="str">
        <f t="shared" si="279"/>
        <v>August</v>
      </c>
      <c r="E3501">
        <f t="shared" si="280"/>
        <v>2026</v>
      </c>
      <c r="F3501" t="str">
        <f>CONCATENATE(calendar[[#This Row],[Month]],"/",calendar[[#This Row],[Year]])</f>
        <v>8/2026</v>
      </c>
      <c r="G3501">
        <f>WEEKDAY(calendar[[#This Row],[Date]],1)</f>
        <v>7</v>
      </c>
      <c r="H3501" t="str">
        <f>TEXT(calendar[[#This Row],[WeekDay]],"dddd")</f>
        <v>Saturday</v>
      </c>
      <c r="I3501">
        <f>IF((INT(calendar[[#This Row],[Count]]/7)-calendar[[#This Row],[Count]]/7)&lt;0,I3500,I3500+1)</f>
        <v>500</v>
      </c>
      <c r="J3501">
        <f t="shared" si="277"/>
        <v>3499</v>
      </c>
      <c r="K3501">
        <f>IF(calendar[[#This Row],[Month]]&lt;4,1,IF(calendar[[#This Row],[Month]]&lt;7,2,IF(calendar[[#This Row],[Month]]&lt;10,3,4)))</f>
        <v>3</v>
      </c>
      <c r="L3501">
        <f>IFERROR(IF(VLOOKUP(calendar[[#This Row],[Date]],BH!A:A,1,)&lt;&gt;"",1,0),0)</f>
        <v>0</v>
      </c>
      <c r="M3501">
        <f>IFERROR(IF(VLOOKUP(calendar[[#This Row],[Date]],BH!C:C,1,)&lt;&gt;"",1,0),0)</f>
        <v>0</v>
      </c>
      <c r="N3501">
        <f>IFERROR(IF(VLOOKUP(calendar[[#This Row],[Date]],BH!E:E,1,)&lt;&gt;"",1,0),0)</f>
        <v>0</v>
      </c>
      <c r="O3501">
        <f>IFERROR(IF(VLOOKUP(calendar[[#This Row],[Date]],BH!G:G,1,)&lt;&gt;"",1,0),0)</f>
        <v>0</v>
      </c>
      <c r="P3501">
        <f>IF(OR(calendar[[#This Row],[UK_BH]]=1,calendar[[#This Row],[WeekDay]]=1, calendar[[#This Row],[WeekDay]]=7),P3500,P3500+1)</f>
        <v>2487</v>
      </c>
      <c r="Q3501">
        <f>IF(OR(calendar[[#This Row],[FR_BH]]=1,calendar[[#This Row],[WeekDay]]=1, calendar[[#This Row],[WeekDay]]=7),P3500,P3500+1)</f>
        <v>2487</v>
      </c>
      <c r="R3501">
        <f>IF(OR(calendar[[#This Row],[SP_BH]]=1,calendar[[#This Row],[WeekDay]]=1, calendar[[#This Row],[WeekDay]]=7),P3500,P3500+1)</f>
        <v>2487</v>
      </c>
      <c r="S3501">
        <f>IF(OR(calendar[[#This Row],[PT_BH]]=1,calendar[[#This Row],[WeekDay]]=1, calendar[[#This Row],[WeekDay]]=7),P3500,P3500+1)</f>
        <v>2487</v>
      </c>
    </row>
    <row r="3502" spans="1:19" x14ac:dyDescent="0.25">
      <c r="A3502" s="2">
        <v>46236</v>
      </c>
      <c r="B3502" s="1">
        <f t="shared" si="276"/>
        <v>32</v>
      </c>
      <c r="C3502">
        <f t="shared" si="278"/>
        <v>8</v>
      </c>
      <c r="D3502" t="str">
        <f t="shared" si="279"/>
        <v>August</v>
      </c>
      <c r="E3502">
        <f t="shared" si="280"/>
        <v>2026</v>
      </c>
      <c r="F3502" t="str">
        <f>CONCATENATE(calendar[[#This Row],[Month]],"/",calendar[[#This Row],[Year]])</f>
        <v>8/2026</v>
      </c>
      <c r="G3502">
        <f>WEEKDAY(calendar[[#This Row],[Date]],1)</f>
        <v>1</v>
      </c>
      <c r="H3502" t="str">
        <f>TEXT(calendar[[#This Row],[WeekDay]],"dddd")</f>
        <v>Sunday</v>
      </c>
      <c r="I3502">
        <f>IF((INT(calendar[[#This Row],[Count]]/7)-calendar[[#This Row],[Count]]/7)&lt;0,I3501,I3501+1)</f>
        <v>501</v>
      </c>
      <c r="J3502">
        <f t="shared" si="277"/>
        <v>3500</v>
      </c>
      <c r="K3502">
        <f>IF(calendar[[#This Row],[Month]]&lt;4,1,IF(calendar[[#This Row],[Month]]&lt;7,2,IF(calendar[[#This Row],[Month]]&lt;10,3,4)))</f>
        <v>3</v>
      </c>
      <c r="L3502">
        <f>IFERROR(IF(VLOOKUP(calendar[[#This Row],[Date]],BH!A:A,1,)&lt;&gt;"",1,0),0)</f>
        <v>0</v>
      </c>
      <c r="M3502">
        <f>IFERROR(IF(VLOOKUP(calendar[[#This Row],[Date]],BH!C:C,1,)&lt;&gt;"",1,0),0)</f>
        <v>0</v>
      </c>
      <c r="N3502">
        <f>IFERROR(IF(VLOOKUP(calendar[[#This Row],[Date]],BH!E:E,1,)&lt;&gt;"",1,0),0)</f>
        <v>0</v>
      </c>
      <c r="O3502">
        <f>IFERROR(IF(VLOOKUP(calendar[[#This Row],[Date]],BH!G:G,1,)&lt;&gt;"",1,0),0)</f>
        <v>0</v>
      </c>
      <c r="P3502">
        <f>IF(OR(calendar[[#This Row],[UK_BH]]=1,calendar[[#This Row],[WeekDay]]=1, calendar[[#This Row],[WeekDay]]=7),P3501,P3501+1)</f>
        <v>2487</v>
      </c>
      <c r="Q3502">
        <f>IF(OR(calendar[[#This Row],[FR_BH]]=1,calendar[[#This Row],[WeekDay]]=1, calendar[[#This Row],[WeekDay]]=7),P3501,P3501+1)</f>
        <v>2487</v>
      </c>
      <c r="R3502">
        <f>IF(OR(calendar[[#This Row],[SP_BH]]=1,calendar[[#This Row],[WeekDay]]=1, calendar[[#This Row],[WeekDay]]=7),P3501,P3501+1)</f>
        <v>2487</v>
      </c>
      <c r="S3502">
        <f>IF(OR(calendar[[#This Row],[PT_BH]]=1,calendar[[#This Row],[WeekDay]]=1, calendar[[#This Row],[WeekDay]]=7),P3501,P3501+1)</f>
        <v>2487</v>
      </c>
    </row>
    <row r="3503" spans="1:19" x14ac:dyDescent="0.25">
      <c r="A3503" s="2">
        <v>46237</v>
      </c>
      <c r="B3503" s="1">
        <f t="shared" si="276"/>
        <v>32</v>
      </c>
      <c r="C3503">
        <f t="shared" si="278"/>
        <v>8</v>
      </c>
      <c r="D3503" t="str">
        <f t="shared" si="279"/>
        <v>August</v>
      </c>
      <c r="E3503">
        <f t="shared" si="280"/>
        <v>2026</v>
      </c>
      <c r="F3503" t="str">
        <f>CONCATENATE(calendar[[#This Row],[Month]],"/",calendar[[#This Row],[Year]])</f>
        <v>8/2026</v>
      </c>
      <c r="G3503">
        <f>WEEKDAY(calendar[[#This Row],[Date]],1)</f>
        <v>2</v>
      </c>
      <c r="H3503" t="str">
        <f>TEXT(calendar[[#This Row],[WeekDay]],"dddd")</f>
        <v>Monday</v>
      </c>
      <c r="I3503">
        <f>IF((INT(calendar[[#This Row],[Count]]/7)-calendar[[#This Row],[Count]]/7)&lt;0,I3502,I3502+1)</f>
        <v>501</v>
      </c>
      <c r="J3503">
        <f t="shared" si="277"/>
        <v>3501</v>
      </c>
      <c r="K3503">
        <f>IF(calendar[[#This Row],[Month]]&lt;4,1,IF(calendar[[#This Row],[Month]]&lt;7,2,IF(calendar[[#This Row],[Month]]&lt;10,3,4)))</f>
        <v>3</v>
      </c>
      <c r="L3503">
        <f>IFERROR(IF(VLOOKUP(calendar[[#This Row],[Date]],BH!A:A,1,)&lt;&gt;"",1,0),0)</f>
        <v>0</v>
      </c>
      <c r="M3503">
        <f>IFERROR(IF(VLOOKUP(calendar[[#This Row],[Date]],BH!C:C,1,)&lt;&gt;"",1,0),0)</f>
        <v>0</v>
      </c>
      <c r="N3503">
        <f>IFERROR(IF(VLOOKUP(calendar[[#This Row],[Date]],BH!E:E,1,)&lt;&gt;"",1,0),0)</f>
        <v>0</v>
      </c>
      <c r="O3503">
        <f>IFERROR(IF(VLOOKUP(calendar[[#This Row],[Date]],BH!G:G,1,)&lt;&gt;"",1,0),0)</f>
        <v>0</v>
      </c>
      <c r="P3503">
        <f>IF(OR(calendar[[#This Row],[UK_BH]]=1,calendar[[#This Row],[WeekDay]]=1, calendar[[#This Row],[WeekDay]]=7),P3502,P3502+1)</f>
        <v>2488</v>
      </c>
      <c r="Q3503">
        <f>IF(OR(calendar[[#This Row],[FR_BH]]=1,calendar[[#This Row],[WeekDay]]=1, calendar[[#This Row],[WeekDay]]=7),P3502,P3502+1)</f>
        <v>2488</v>
      </c>
      <c r="R3503">
        <f>IF(OR(calendar[[#This Row],[SP_BH]]=1,calendar[[#This Row],[WeekDay]]=1, calendar[[#This Row],[WeekDay]]=7),P3502,P3502+1)</f>
        <v>2488</v>
      </c>
      <c r="S3503">
        <f>IF(OR(calendar[[#This Row],[PT_BH]]=1,calendar[[#This Row],[WeekDay]]=1, calendar[[#This Row],[WeekDay]]=7),P3502,P3502+1)</f>
        <v>2488</v>
      </c>
    </row>
    <row r="3504" spans="1:19" x14ac:dyDescent="0.25">
      <c r="A3504" s="2">
        <v>46238</v>
      </c>
      <c r="B3504" s="1">
        <f t="shared" si="276"/>
        <v>32</v>
      </c>
      <c r="C3504">
        <f t="shared" si="278"/>
        <v>8</v>
      </c>
      <c r="D3504" t="str">
        <f t="shared" si="279"/>
        <v>August</v>
      </c>
      <c r="E3504">
        <f t="shared" si="280"/>
        <v>2026</v>
      </c>
      <c r="F3504" t="str">
        <f>CONCATENATE(calendar[[#This Row],[Month]],"/",calendar[[#This Row],[Year]])</f>
        <v>8/2026</v>
      </c>
      <c r="G3504">
        <f>WEEKDAY(calendar[[#This Row],[Date]],1)</f>
        <v>3</v>
      </c>
      <c r="H3504" t="str">
        <f>TEXT(calendar[[#This Row],[WeekDay]],"dddd")</f>
        <v>Tuesday</v>
      </c>
      <c r="I3504">
        <f>IF((INT(calendar[[#This Row],[Count]]/7)-calendar[[#This Row],[Count]]/7)&lt;0,I3503,I3503+1)</f>
        <v>501</v>
      </c>
      <c r="J3504">
        <f t="shared" si="277"/>
        <v>3502</v>
      </c>
      <c r="K3504">
        <f>IF(calendar[[#This Row],[Month]]&lt;4,1,IF(calendar[[#This Row],[Month]]&lt;7,2,IF(calendar[[#This Row],[Month]]&lt;10,3,4)))</f>
        <v>3</v>
      </c>
      <c r="L3504">
        <f>IFERROR(IF(VLOOKUP(calendar[[#This Row],[Date]],BH!A:A,1,)&lt;&gt;"",1,0),0)</f>
        <v>0</v>
      </c>
      <c r="M3504">
        <f>IFERROR(IF(VLOOKUP(calendar[[#This Row],[Date]],BH!C:C,1,)&lt;&gt;"",1,0),0)</f>
        <v>0</v>
      </c>
      <c r="N3504">
        <f>IFERROR(IF(VLOOKUP(calendar[[#This Row],[Date]],BH!E:E,1,)&lt;&gt;"",1,0),0)</f>
        <v>0</v>
      </c>
      <c r="O3504">
        <f>IFERROR(IF(VLOOKUP(calendar[[#This Row],[Date]],BH!G:G,1,)&lt;&gt;"",1,0),0)</f>
        <v>0</v>
      </c>
      <c r="P3504">
        <f>IF(OR(calendar[[#This Row],[UK_BH]]=1,calendar[[#This Row],[WeekDay]]=1, calendar[[#This Row],[WeekDay]]=7),P3503,P3503+1)</f>
        <v>2489</v>
      </c>
      <c r="Q3504">
        <f>IF(OR(calendar[[#This Row],[FR_BH]]=1,calendar[[#This Row],[WeekDay]]=1, calendar[[#This Row],[WeekDay]]=7),P3503,P3503+1)</f>
        <v>2489</v>
      </c>
      <c r="R3504">
        <f>IF(OR(calendar[[#This Row],[SP_BH]]=1,calendar[[#This Row],[WeekDay]]=1, calendar[[#This Row],[WeekDay]]=7),P3503,P3503+1)</f>
        <v>2489</v>
      </c>
      <c r="S3504">
        <f>IF(OR(calendar[[#This Row],[PT_BH]]=1,calendar[[#This Row],[WeekDay]]=1, calendar[[#This Row],[WeekDay]]=7),P3503,P3503+1)</f>
        <v>2489</v>
      </c>
    </row>
    <row r="3505" spans="1:19" x14ac:dyDescent="0.25">
      <c r="A3505" s="2">
        <v>46239</v>
      </c>
      <c r="B3505" s="1">
        <f t="shared" si="276"/>
        <v>32</v>
      </c>
      <c r="C3505">
        <f t="shared" si="278"/>
        <v>8</v>
      </c>
      <c r="D3505" t="str">
        <f t="shared" si="279"/>
        <v>August</v>
      </c>
      <c r="E3505">
        <f t="shared" si="280"/>
        <v>2026</v>
      </c>
      <c r="F3505" t="str">
        <f>CONCATENATE(calendar[[#This Row],[Month]],"/",calendar[[#This Row],[Year]])</f>
        <v>8/2026</v>
      </c>
      <c r="G3505">
        <f>WEEKDAY(calendar[[#This Row],[Date]],1)</f>
        <v>4</v>
      </c>
      <c r="H3505" t="str">
        <f>TEXT(calendar[[#This Row],[WeekDay]],"dddd")</f>
        <v>Wednesday</v>
      </c>
      <c r="I3505">
        <f>IF((INT(calendar[[#This Row],[Count]]/7)-calendar[[#This Row],[Count]]/7)&lt;0,I3504,I3504+1)</f>
        <v>501</v>
      </c>
      <c r="J3505">
        <f t="shared" si="277"/>
        <v>3503</v>
      </c>
      <c r="K3505">
        <f>IF(calendar[[#This Row],[Month]]&lt;4,1,IF(calendar[[#This Row],[Month]]&lt;7,2,IF(calendar[[#This Row],[Month]]&lt;10,3,4)))</f>
        <v>3</v>
      </c>
      <c r="L3505">
        <f>IFERROR(IF(VLOOKUP(calendar[[#This Row],[Date]],BH!A:A,1,)&lt;&gt;"",1,0),0)</f>
        <v>0</v>
      </c>
      <c r="M3505">
        <f>IFERROR(IF(VLOOKUP(calendar[[#This Row],[Date]],BH!C:C,1,)&lt;&gt;"",1,0),0)</f>
        <v>0</v>
      </c>
      <c r="N3505">
        <f>IFERROR(IF(VLOOKUP(calendar[[#This Row],[Date]],BH!E:E,1,)&lt;&gt;"",1,0),0)</f>
        <v>0</v>
      </c>
      <c r="O3505">
        <f>IFERROR(IF(VLOOKUP(calendar[[#This Row],[Date]],BH!G:G,1,)&lt;&gt;"",1,0),0)</f>
        <v>0</v>
      </c>
      <c r="P3505">
        <f>IF(OR(calendar[[#This Row],[UK_BH]]=1,calendar[[#This Row],[WeekDay]]=1, calendar[[#This Row],[WeekDay]]=7),P3504,P3504+1)</f>
        <v>2490</v>
      </c>
      <c r="Q3505">
        <f>IF(OR(calendar[[#This Row],[FR_BH]]=1,calendar[[#This Row],[WeekDay]]=1, calendar[[#This Row],[WeekDay]]=7),P3504,P3504+1)</f>
        <v>2490</v>
      </c>
      <c r="R3505">
        <f>IF(OR(calendar[[#This Row],[SP_BH]]=1,calendar[[#This Row],[WeekDay]]=1, calendar[[#This Row],[WeekDay]]=7),P3504,P3504+1)</f>
        <v>2490</v>
      </c>
      <c r="S3505">
        <f>IF(OR(calendar[[#This Row],[PT_BH]]=1,calendar[[#This Row],[WeekDay]]=1, calendar[[#This Row],[WeekDay]]=7),P3504,P3504+1)</f>
        <v>2490</v>
      </c>
    </row>
    <row r="3506" spans="1:19" x14ac:dyDescent="0.25">
      <c r="A3506" s="2">
        <v>46240</v>
      </c>
      <c r="B3506" s="1">
        <f t="shared" si="276"/>
        <v>32</v>
      </c>
      <c r="C3506">
        <f t="shared" si="278"/>
        <v>8</v>
      </c>
      <c r="D3506" t="str">
        <f t="shared" si="279"/>
        <v>August</v>
      </c>
      <c r="E3506">
        <f t="shared" si="280"/>
        <v>2026</v>
      </c>
      <c r="F3506" t="str">
        <f>CONCATENATE(calendar[[#This Row],[Month]],"/",calendar[[#This Row],[Year]])</f>
        <v>8/2026</v>
      </c>
      <c r="G3506">
        <f>WEEKDAY(calendar[[#This Row],[Date]],1)</f>
        <v>5</v>
      </c>
      <c r="H3506" t="str">
        <f>TEXT(calendar[[#This Row],[WeekDay]],"dddd")</f>
        <v>Thursday</v>
      </c>
      <c r="I3506">
        <f>IF((INT(calendar[[#This Row],[Count]]/7)-calendar[[#This Row],[Count]]/7)&lt;0,I3505,I3505+1)</f>
        <v>501</v>
      </c>
      <c r="J3506">
        <f t="shared" si="277"/>
        <v>3504</v>
      </c>
      <c r="K3506">
        <f>IF(calendar[[#This Row],[Month]]&lt;4,1,IF(calendar[[#This Row],[Month]]&lt;7,2,IF(calendar[[#This Row],[Month]]&lt;10,3,4)))</f>
        <v>3</v>
      </c>
      <c r="L3506">
        <f>IFERROR(IF(VLOOKUP(calendar[[#This Row],[Date]],BH!A:A,1,)&lt;&gt;"",1,0),0)</f>
        <v>0</v>
      </c>
      <c r="M3506">
        <f>IFERROR(IF(VLOOKUP(calendar[[#This Row],[Date]],BH!C:C,1,)&lt;&gt;"",1,0),0)</f>
        <v>0</v>
      </c>
      <c r="N3506">
        <f>IFERROR(IF(VLOOKUP(calendar[[#This Row],[Date]],BH!E:E,1,)&lt;&gt;"",1,0),0)</f>
        <v>0</v>
      </c>
      <c r="O3506">
        <f>IFERROR(IF(VLOOKUP(calendar[[#This Row],[Date]],BH!G:G,1,)&lt;&gt;"",1,0),0)</f>
        <v>0</v>
      </c>
      <c r="P3506">
        <f>IF(OR(calendar[[#This Row],[UK_BH]]=1,calendar[[#This Row],[WeekDay]]=1, calendar[[#This Row],[WeekDay]]=7),P3505,P3505+1)</f>
        <v>2491</v>
      </c>
      <c r="Q3506">
        <f>IF(OR(calendar[[#This Row],[FR_BH]]=1,calendar[[#This Row],[WeekDay]]=1, calendar[[#This Row],[WeekDay]]=7),P3505,P3505+1)</f>
        <v>2491</v>
      </c>
      <c r="R3506">
        <f>IF(OR(calendar[[#This Row],[SP_BH]]=1,calendar[[#This Row],[WeekDay]]=1, calendar[[#This Row],[WeekDay]]=7),P3505,P3505+1)</f>
        <v>2491</v>
      </c>
      <c r="S3506">
        <f>IF(OR(calendar[[#This Row],[PT_BH]]=1,calendar[[#This Row],[WeekDay]]=1, calendar[[#This Row],[WeekDay]]=7),P3505,P3505+1)</f>
        <v>2491</v>
      </c>
    </row>
    <row r="3507" spans="1:19" x14ac:dyDescent="0.25">
      <c r="A3507" s="2">
        <v>46241</v>
      </c>
      <c r="B3507" s="1">
        <f t="shared" si="276"/>
        <v>32</v>
      </c>
      <c r="C3507">
        <f t="shared" si="278"/>
        <v>8</v>
      </c>
      <c r="D3507" t="str">
        <f t="shared" si="279"/>
        <v>August</v>
      </c>
      <c r="E3507">
        <f t="shared" si="280"/>
        <v>2026</v>
      </c>
      <c r="F3507" t="str">
        <f>CONCATENATE(calendar[[#This Row],[Month]],"/",calendar[[#This Row],[Year]])</f>
        <v>8/2026</v>
      </c>
      <c r="G3507">
        <f>WEEKDAY(calendar[[#This Row],[Date]],1)</f>
        <v>6</v>
      </c>
      <c r="H3507" t="str">
        <f>TEXT(calendar[[#This Row],[WeekDay]],"dddd")</f>
        <v>Friday</v>
      </c>
      <c r="I3507">
        <f>IF((INT(calendar[[#This Row],[Count]]/7)-calendar[[#This Row],[Count]]/7)&lt;0,I3506,I3506+1)</f>
        <v>501</v>
      </c>
      <c r="J3507">
        <f t="shared" si="277"/>
        <v>3505</v>
      </c>
      <c r="K3507">
        <f>IF(calendar[[#This Row],[Month]]&lt;4,1,IF(calendar[[#This Row],[Month]]&lt;7,2,IF(calendar[[#This Row],[Month]]&lt;10,3,4)))</f>
        <v>3</v>
      </c>
      <c r="L3507">
        <f>IFERROR(IF(VLOOKUP(calendar[[#This Row],[Date]],BH!A:A,1,)&lt;&gt;"",1,0),0)</f>
        <v>0</v>
      </c>
      <c r="M3507">
        <f>IFERROR(IF(VLOOKUP(calendar[[#This Row],[Date]],BH!C:C,1,)&lt;&gt;"",1,0),0)</f>
        <v>0</v>
      </c>
      <c r="N3507">
        <f>IFERROR(IF(VLOOKUP(calendar[[#This Row],[Date]],BH!E:E,1,)&lt;&gt;"",1,0),0)</f>
        <v>0</v>
      </c>
      <c r="O3507">
        <f>IFERROR(IF(VLOOKUP(calendar[[#This Row],[Date]],BH!G:G,1,)&lt;&gt;"",1,0),0)</f>
        <v>0</v>
      </c>
      <c r="P3507">
        <f>IF(OR(calendar[[#This Row],[UK_BH]]=1,calendar[[#This Row],[WeekDay]]=1, calendar[[#This Row],[WeekDay]]=7),P3506,P3506+1)</f>
        <v>2492</v>
      </c>
      <c r="Q3507">
        <f>IF(OR(calendar[[#This Row],[FR_BH]]=1,calendar[[#This Row],[WeekDay]]=1, calendar[[#This Row],[WeekDay]]=7),P3506,P3506+1)</f>
        <v>2492</v>
      </c>
      <c r="R3507">
        <f>IF(OR(calendar[[#This Row],[SP_BH]]=1,calendar[[#This Row],[WeekDay]]=1, calendar[[#This Row],[WeekDay]]=7),P3506,P3506+1)</f>
        <v>2492</v>
      </c>
      <c r="S3507">
        <f>IF(OR(calendar[[#This Row],[PT_BH]]=1,calendar[[#This Row],[WeekDay]]=1, calendar[[#This Row],[WeekDay]]=7),P3506,P3506+1)</f>
        <v>2492</v>
      </c>
    </row>
    <row r="3508" spans="1:19" x14ac:dyDescent="0.25">
      <c r="A3508" s="2">
        <v>46242</v>
      </c>
      <c r="B3508" s="1">
        <f t="shared" si="276"/>
        <v>32</v>
      </c>
      <c r="C3508">
        <f t="shared" si="278"/>
        <v>8</v>
      </c>
      <c r="D3508" t="str">
        <f t="shared" si="279"/>
        <v>August</v>
      </c>
      <c r="E3508">
        <f t="shared" si="280"/>
        <v>2026</v>
      </c>
      <c r="F3508" t="str">
        <f>CONCATENATE(calendar[[#This Row],[Month]],"/",calendar[[#This Row],[Year]])</f>
        <v>8/2026</v>
      </c>
      <c r="G3508">
        <f>WEEKDAY(calendar[[#This Row],[Date]],1)</f>
        <v>7</v>
      </c>
      <c r="H3508" t="str">
        <f>TEXT(calendar[[#This Row],[WeekDay]],"dddd")</f>
        <v>Saturday</v>
      </c>
      <c r="I3508">
        <f>IF((INT(calendar[[#This Row],[Count]]/7)-calendar[[#This Row],[Count]]/7)&lt;0,I3507,I3507+1)</f>
        <v>501</v>
      </c>
      <c r="J3508">
        <f t="shared" si="277"/>
        <v>3506</v>
      </c>
      <c r="K3508">
        <f>IF(calendar[[#This Row],[Month]]&lt;4,1,IF(calendar[[#This Row],[Month]]&lt;7,2,IF(calendar[[#This Row],[Month]]&lt;10,3,4)))</f>
        <v>3</v>
      </c>
      <c r="L3508">
        <f>IFERROR(IF(VLOOKUP(calendar[[#This Row],[Date]],BH!A:A,1,)&lt;&gt;"",1,0),0)</f>
        <v>0</v>
      </c>
      <c r="M3508">
        <f>IFERROR(IF(VLOOKUP(calendar[[#This Row],[Date]],BH!C:C,1,)&lt;&gt;"",1,0),0)</f>
        <v>0</v>
      </c>
      <c r="N3508">
        <f>IFERROR(IF(VLOOKUP(calendar[[#This Row],[Date]],BH!E:E,1,)&lt;&gt;"",1,0),0)</f>
        <v>0</v>
      </c>
      <c r="O3508">
        <f>IFERROR(IF(VLOOKUP(calendar[[#This Row],[Date]],BH!G:G,1,)&lt;&gt;"",1,0),0)</f>
        <v>0</v>
      </c>
      <c r="P3508">
        <f>IF(OR(calendar[[#This Row],[UK_BH]]=1,calendar[[#This Row],[WeekDay]]=1, calendar[[#This Row],[WeekDay]]=7),P3507,P3507+1)</f>
        <v>2492</v>
      </c>
      <c r="Q3508">
        <f>IF(OR(calendar[[#This Row],[FR_BH]]=1,calendar[[#This Row],[WeekDay]]=1, calendar[[#This Row],[WeekDay]]=7),P3507,P3507+1)</f>
        <v>2492</v>
      </c>
      <c r="R3508">
        <f>IF(OR(calendar[[#This Row],[SP_BH]]=1,calendar[[#This Row],[WeekDay]]=1, calendar[[#This Row],[WeekDay]]=7),P3507,P3507+1)</f>
        <v>2492</v>
      </c>
      <c r="S3508">
        <f>IF(OR(calendar[[#This Row],[PT_BH]]=1,calendar[[#This Row],[WeekDay]]=1, calendar[[#This Row],[WeekDay]]=7),P3507,P3507+1)</f>
        <v>2492</v>
      </c>
    </row>
    <row r="3509" spans="1:19" x14ac:dyDescent="0.25">
      <c r="A3509" s="2">
        <v>46243</v>
      </c>
      <c r="B3509" s="1">
        <f t="shared" si="276"/>
        <v>33</v>
      </c>
      <c r="C3509">
        <f t="shared" si="278"/>
        <v>8</v>
      </c>
      <c r="D3509" t="str">
        <f t="shared" si="279"/>
        <v>August</v>
      </c>
      <c r="E3509">
        <f t="shared" si="280"/>
        <v>2026</v>
      </c>
      <c r="F3509" t="str">
        <f>CONCATENATE(calendar[[#This Row],[Month]],"/",calendar[[#This Row],[Year]])</f>
        <v>8/2026</v>
      </c>
      <c r="G3509">
        <f>WEEKDAY(calendar[[#This Row],[Date]],1)</f>
        <v>1</v>
      </c>
      <c r="H3509" t="str">
        <f>TEXT(calendar[[#This Row],[WeekDay]],"dddd")</f>
        <v>Sunday</v>
      </c>
      <c r="I3509">
        <f>IF((INT(calendar[[#This Row],[Count]]/7)-calendar[[#This Row],[Count]]/7)&lt;0,I3508,I3508+1)</f>
        <v>502</v>
      </c>
      <c r="J3509">
        <f t="shared" si="277"/>
        <v>3507</v>
      </c>
      <c r="K3509">
        <f>IF(calendar[[#This Row],[Month]]&lt;4,1,IF(calendar[[#This Row],[Month]]&lt;7,2,IF(calendar[[#This Row],[Month]]&lt;10,3,4)))</f>
        <v>3</v>
      </c>
      <c r="L3509">
        <f>IFERROR(IF(VLOOKUP(calendar[[#This Row],[Date]],BH!A:A,1,)&lt;&gt;"",1,0),0)</f>
        <v>0</v>
      </c>
      <c r="M3509">
        <f>IFERROR(IF(VLOOKUP(calendar[[#This Row],[Date]],BH!C:C,1,)&lt;&gt;"",1,0),0)</f>
        <v>0</v>
      </c>
      <c r="N3509">
        <f>IFERROR(IF(VLOOKUP(calendar[[#This Row],[Date]],BH!E:E,1,)&lt;&gt;"",1,0),0)</f>
        <v>0</v>
      </c>
      <c r="O3509">
        <f>IFERROR(IF(VLOOKUP(calendar[[#This Row],[Date]],BH!G:G,1,)&lt;&gt;"",1,0),0)</f>
        <v>0</v>
      </c>
      <c r="P3509">
        <f>IF(OR(calendar[[#This Row],[UK_BH]]=1,calendar[[#This Row],[WeekDay]]=1, calendar[[#This Row],[WeekDay]]=7),P3508,P3508+1)</f>
        <v>2492</v>
      </c>
      <c r="Q3509">
        <f>IF(OR(calendar[[#This Row],[FR_BH]]=1,calendar[[#This Row],[WeekDay]]=1, calendar[[#This Row],[WeekDay]]=7),P3508,P3508+1)</f>
        <v>2492</v>
      </c>
      <c r="R3509">
        <f>IF(OR(calendar[[#This Row],[SP_BH]]=1,calendar[[#This Row],[WeekDay]]=1, calendar[[#This Row],[WeekDay]]=7),P3508,P3508+1)</f>
        <v>2492</v>
      </c>
      <c r="S3509">
        <f>IF(OR(calendar[[#This Row],[PT_BH]]=1,calendar[[#This Row],[WeekDay]]=1, calendar[[#This Row],[WeekDay]]=7),P3508,P3508+1)</f>
        <v>2492</v>
      </c>
    </row>
    <row r="3510" spans="1:19" x14ac:dyDescent="0.25">
      <c r="A3510" s="2">
        <v>46244</v>
      </c>
      <c r="B3510" s="1">
        <f t="shared" si="276"/>
        <v>33</v>
      </c>
      <c r="C3510">
        <f t="shared" si="278"/>
        <v>8</v>
      </c>
      <c r="D3510" t="str">
        <f t="shared" si="279"/>
        <v>August</v>
      </c>
      <c r="E3510">
        <f t="shared" si="280"/>
        <v>2026</v>
      </c>
      <c r="F3510" t="str">
        <f>CONCATENATE(calendar[[#This Row],[Month]],"/",calendar[[#This Row],[Year]])</f>
        <v>8/2026</v>
      </c>
      <c r="G3510">
        <f>WEEKDAY(calendar[[#This Row],[Date]],1)</f>
        <v>2</v>
      </c>
      <c r="H3510" t="str">
        <f>TEXT(calendar[[#This Row],[WeekDay]],"dddd")</f>
        <v>Monday</v>
      </c>
      <c r="I3510">
        <f>IF((INT(calendar[[#This Row],[Count]]/7)-calendar[[#This Row],[Count]]/7)&lt;0,I3509,I3509+1)</f>
        <v>502</v>
      </c>
      <c r="J3510">
        <f t="shared" si="277"/>
        <v>3508</v>
      </c>
      <c r="K3510">
        <f>IF(calendar[[#This Row],[Month]]&lt;4,1,IF(calendar[[#This Row],[Month]]&lt;7,2,IF(calendar[[#This Row],[Month]]&lt;10,3,4)))</f>
        <v>3</v>
      </c>
      <c r="L3510">
        <f>IFERROR(IF(VLOOKUP(calendar[[#This Row],[Date]],BH!A:A,1,)&lt;&gt;"",1,0),0)</f>
        <v>0</v>
      </c>
      <c r="M3510">
        <f>IFERROR(IF(VLOOKUP(calendar[[#This Row],[Date]],BH!C:C,1,)&lt;&gt;"",1,0),0)</f>
        <v>0</v>
      </c>
      <c r="N3510">
        <f>IFERROR(IF(VLOOKUP(calendar[[#This Row],[Date]],BH!E:E,1,)&lt;&gt;"",1,0),0)</f>
        <v>0</v>
      </c>
      <c r="O3510">
        <f>IFERROR(IF(VLOOKUP(calendar[[#This Row],[Date]],BH!G:G,1,)&lt;&gt;"",1,0),0)</f>
        <v>0</v>
      </c>
      <c r="P3510">
        <f>IF(OR(calendar[[#This Row],[UK_BH]]=1,calendar[[#This Row],[WeekDay]]=1, calendar[[#This Row],[WeekDay]]=7),P3509,P3509+1)</f>
        <v>2493</v>
      </c>
      <c r="Q3510">
        <f>IF(OR(calendar[[#This Row],[FR_BH]]=1,calendar[[#This Row],[WeekDay]]=1, calendar[[#This Row],[WeekDay]]=7),P3509,P3509+1)</f>
        <v>2493</v>
      </c>
      <c r="R3510">
        <f>IF(OR(calendar[[#This Row],[SP_BH]]=1,calendar[[#This Row],[WeekDay]]=1, calendar[[#This Row],[WeekDay]]=7),P3509,P3509+1)</f>
        <v>2493</v>
      </c>
      <c r="S3510">
        <f>IF(OR(calendar[[#This Row],[PT_BH]]=1,calendar[[#This Row],[WeekDay]]=1, calendar[[#This Row],[WeekDay]]=7),P3509,P3509+1)</f>
        <v>2493</v>
      </c>
    </row>
    <row r="3511" spans="1:19" x14ac:dyDescent="0.25">
      <c r="A3511" s="2">
        <v>46245</v>
      </c>
      <c r="B3511" s="1">
        <f t="shared" si="276"/>
        <v>33</v>
      </c>
      <c r="C3511">
        <f t="shared" si="278"/>
        <v>8</v>
      </c>
      <c r="D3511" t="str">
        <f t="shared" si="279"/>
        <v>August</v>
      </c>
      <c r="E3511">
        <f t="shared" si="280"/>
        <v>2026</v>
      </c>
      <c r="F3511" t="str">
        <f>CONCATENATE(calendar[[#This Row],[Month]],"/",calendar[[#This Row],[Year]])</f>
        <v>8/2026</v>
      </c>
      <c r="G3511">
        <f>WEEKDAY(calendar[[#This Row],[Date]],1)</f>
        <v>3</v>
      </c>
      <c r="H3511" t="str">
        <f>TEXT(calendar[[#This Row],[WeekDay]],"dddd")</f>
        <v>Tuesday</v>
      </c>
      <c r="I3511">
        <f>IF((INT(calendar[[#This Row],[Count]]/7)-calendar[[#This Row],[Count]]/7)&lt;0,I3510,I3510+1)</f>
        <v>502</v>
      </c>
      <c r="J3511">
        <f t="shared" si="277"/>
        <v>3509</v>
      </c>
      <c r="K3511">
        <f>IF(calendar[[#This Row],[Month]]&lt;4,1,IF(calendar[[#This Row],[Month]]&lt;7,2,IF(calendar[[#This Row],[Month]]&lt;10,3,4)))</f>
        <v>3</v>
      </c>
      <c r="L3511">
        <f>IFERROR(IF(VLOOKUP(calendar[[#This Row],[Date]],BH!A:A,1,)&lt;&gt;"",1,0),0)</f>
        <v>0</v>
      </c>
      <c r="M3511">
        <f>IFERROR(IF(VLOOKUP(calendar[[#This Row],[Date]],BH!C:C,1,)&lt;&gt;"",1,0),0)</f>
        <v>0</v>
      </c>
      <c r="N3511">
        <f>IFERROR(IF(VLOOKUP(calendar[[#This Row],[Date]],BH!E:E,1,)&lt;&gt;"",1,0),0)</f>
        <v>0</v>
      </c>
      <c r="O3511">
        <f>IFERROR(IF(VLOOKUP(calendar[[#This Row],[Date]],BH!G:G,1,)&lt;&gt;"",1,0),0)</f>
        <v>0</v>
      </c>
      <c r="P3511">
        <f>IF(OR(calendar[[#This Row],[UK_BH]]=1,calendar[[#This Row],[WeekDay]]=1, calendar[[#This Row],[WeekDay]]=7),P3510,P3510+1)</f>
        <v>2494</v>
      </c>
      <c r="Q3511">
        <f>IF(OR(calendar[[#This Row],[FR_BH]]=1,calendar[[#This Row],[WeekDay]]=1, calendar[[#This Row],[WeekDay]]=7),P3510,P3510+1)</f>
        <v>2494</v>
      </c>
      <c r="R3511">
        <f>IF(OR(calendar[[#This Row],[SP_BH]]=1,calendar[[#This Row],[WeekDay]]=1, calendar[[#This Row],[WeekDay]]=7),P3510,P3510+1)</f>
        <v>2494</v>
      </c>
      <c r="S3511">
        <f>IF(OR(calendar[[#This Row],[PT_BH]]=1,calendar[[#This Row],[WeekDay]]=1, calendar[[#This Row],[WeekDay]]=7),P3510,P3510+1)</f>
        <v>2494</v>
      </c>
    </row>
    <row r="3512" spans="1:19" x14ac:dyDescent="0.25">
      <c r="A3512" s="2">
        <v>46246</v>
      </c>
      <c r="B3512" s="1">
        <f t="shared" si="276"/>
        <v>33</v>
      </c>
      <c r="C3512">
        <f t="shared" si="278"/>
        <v>8</v>
      </c>
      <c r="D3512" t="str">
        <f t="shared" si="279"/>
        <v>August</v>
      </c>
      <c r="E3512">
        <f t="shared" si="280"/>
        <v>2026</v>
      </c>
      <c r="F3512" t="str">
        <f>CONCATENATE(calendar[[#This Row],[Month]],"/",calendar[[#This Row],[Year]])</f>
        <v>8/2026</v>
      </c>
      <c r="G3512">
        <f>WEEKDAY(calendar[[#This Row],[Date]],1)</f>
        <v>4</v>
      </c>
      <c r="H3512" t="str">
        <f>TEXT(calendar[[#This Row],[WeekDay]],"dddd")</f>
        <v>Wednesday</v>
      </c>
      <c r="I3512">
        <f>IF((INT(calendar[[#This Row],[Count]]/7)-calendar[[#This Row],[Count]]/7)&lt;0,I3511,I3511+1)</f>
        <v>502</v>
      </c>
      <c r="J3512">
        <f t="shared" si="277"/>
        <v>3510</v>
      </c>
      <c r="K3512">
        <f>IF(calendar[[#This Row],[Month]]&lt;4,1,IF(calendar[[#This Row],[Month]]&lt;7,2,IF(calendar[[#This Row],[Month]]&lt;10,3,4)))</f>
        <v>3</v>
      </c>
      <c r="L3512">
        <f>IFERROR(IF(VLOOKUP(calendar[[#This Row],[Date]],BH!A:A,1,)&lt;&gt;"",1,0),0)</f>
        <v>0</v>
      </c>
      <c r="M3512">
        <f>IFERROR(IF(VLOOKUP(calendar[[#This Row],[Date]],BH!C:C,1,)&lt;&gt;"",1,0),0)</f>
        <v>0</v>
      </c>
      <c r="N3512">
        <f>IFERROR(IF(VLOOKUP(calendar[[#This Row],[Date]],BH!E:E,1,)&lt;&gt;"",1,0),0)</f>
        <v>0</v>
      </c>
      <c r="O3512">
        <f>IFERROR(IF(VLOOKUP(calendar[[#This Row],[Date]],BH!G:G,1,)&lt;&gt;"",1,0),0)</f>
        <v>0</v>
      </c>
      <c r="P3512">
        <f>IF(OR(calendar[[#This Row],[UK_BH]]=1,calendar[[#This Row],[WeekDay]]=1, calendar[[#This Row],[WeekDay]]=7),P3511,P3511+1)</f>
        <v>2495</v>
      </c>
      <c r="Q3512">
        <f>IF(OR(calendar[[#This Row],[FR_BH]]=1,calendar[[#This Row],[WeekDay]]=1, calendar[[#This Row],[WeekDay]]=7),P3511,P3511+1)</f>
        <v>2495</v>
      </c>
      <c r="R3512">
        <f>IF(OR(calendar[[#This Row],[SP_BH]]=1,calendar[[#This Row],[WeekDay]]=1, calendar[[#This Row],[WeekDay]]=7),P3511,P3511+1)</f>
        <v>2495</v>
      </c>
      <c r="S3512">
        <f>IF(OR(calendar[[#This Row],[PT_BH]]=1,calendar[[#This Row],[WeekDay]]=1, calendar[[#This Row],[WeekDay]]=7),P3511,P3511+1)</f>
        <v>2495</v>
      </c>
    </row>
    <row r="3513" spans="1:19" x14ac:dyDescent="0.25">
      <c r="A3513" s="2">
        <v>46247</v>
      </c>
      <c r="B3513" s="1">
        <f t="shared" si="276"/>
        <v>33</v>
      </c>
      <c r="C3513">
        <f t="shared" si="278"/>
        <v>8</v>
      </c>
      <c r="D3513" t="str">
        <f t="shared" si="279"/>
        <v>August</v>
      </c>
      <c r="E3513">
        <f t="shared" si="280"/>
        <v>2026</v>
      </c>
      <c r="F3513" t="str">
        <f>CONCATENATE(calendar[[#This Row],[Month]],"/",calendar[[#This Row],[Year]])</f>
        <v>8/2026</v>
      </c>
      <c r="G3513">
        <f>WEEKDAY(calendar[[#This Row],[Date]],1)</f>
        <v>5</v>
      </c>
      <c r="H3513" t="str">
        <f>TEXT(calendar[[#This Row],[WeekDay]],"dddd")</f>
        <v>Thursday</v>
      </c>
      <c r="I3513">
        <f>IF((INT(calendar[[#This Row],[Count]]/7)-calendar[[#This Row],[Count]]/7)&lt;0,I3512,I3512+1)</f>
        <v>502</v>
      </c>
      <c r="J3513">
        <f t="shared" si="277"/>
        <v>3511</v>
      </c>
      <c r="K3513">
        <f>IF(calendar[[#This Row],[Month]]&lt;4,1,IF(calendar[[#This Row],[Month]]&lt;7,2,IF(calendar[[#This Row],[Month]]&lt;10,3,4)))</f>
        <v>3</v>
      </c>
      <c r="L3513">
        <f>IFERROR(IF(VLOOKUP(calendar[[#This Row],[Date]],BH!A:A,1,)&lt;&gt;"",1,0),0)</f>
        <v>0</v>
      </c>
      <c r="M3513">
        <f>IFERROR(IF(VLOOKUP(calendar[[#This Row],[Date]],BH!C:C,1,)&lt;&gt;"",1,0),0)</f>
        <v>0</v>
      </c>
      <c r="N3513">
        <f>IFERROR(IF(VLOOKUP(calendar[[#This Row],[Date]],BH!E:E,1,)&lt;&gt;"",1,0),0)</f>
        <v>0</v>
      </c>
      <c r="O3513">
        <f>IFERROR(IF(VLOOKUP(calendar[[#This Row],[Date]],BH!G:G,1,)&lt;&gt;"",1,0),0)</f>
        <v>0</v>
      </c>
      <c r="P3513">
        <f>IF(OR(calendar[[#This Row],[UK_BH]]=1,calendar[[#This Row],[WeekDay]]=1, calendar[[#This Row],[WeekDay]]=7),P3512,P3512+1)</f>
        <v>2496</v>
      </c>
      <c r="Q3513">
        <f>IF(OR(calendar[[#This Row],[FR_BH]]=1,calendar[[#This Row],[WeekDay]]=1, calendar[[#This Row],[WeekDay]]=7),P3512,P3512+1)</f>
        <v>2496</v>
      </c>
      <c r="R3513">
        <f>IF(OR(calendar[[#This Row],[SP_BH]]=1,calendar[[#This Row],[WeekDay]]=1, calendar[[#This Row],[WeekDay]]=7),P3512,P3512+1)</f>
        <v>2496</v>
      </c>
      <c r="S3513">
        <f>IF(OR(calendar[[#This Row],[PT_BH]]=1,calendar[[#This Row],[WeekDay]]=1, calendar[[#This Row],[WeekDay]]=7),P3512,P3512+1)</f>
        <v>2496</v>
      </c>
    </row>
    <row r="3514" spans="1:19" x14ac:dyDescent="0.25">
      <c r="A3514" s="2">
        <v>46248</v>
      </c>
      <c r="B3514" s="1">
        <f t="shared" si="276"/>
        <v>33</v>
      </c>
      <c r="C3514">
        <f t="shared" si="278"/>
        <v>8</v>
      </c>
      <c r="D3514" t="str">
        <f t="shared" si="279"/>
        <v>August</v>
      </c>
      <c r="E3514">
        <f t="shared" si="280"/>
        <v>2026</v>
      </c>
      <c r="F3514" t="str">
        <f>CONCATENATE(calendar[[#This Row],[Month]],"/",calendar[[#This Row],[Year]])</f>
        <v>8/2026</v>
      </c>
      <c r="G3514">
        <f>WEEKDAY(calendar[[#This Row],[Date]],1)</f>
        <v>6</v>
      </c>
      <c r="H3514" t="str">
        <f>TEXT(calendar[[#This Row],[WeekDay]],"dddd")</f>
        <v>Friday</v>
      </c>
      <c r="I3514">
        <f>IF((INT(calendar[[#This Row],[Count]]/7)-calendar[[#This Row],[Count]]/7)&lt;0,I3513,I3513+1)</f>
        <v>502</v>
      </c>
      <c r="J3514">
        <f t="shared" si="277"/>
        <v>3512</v>
      </c>
      <c r="K3514">
        <f>IF(calendar[[#This Row],[Month]]&lt;4,1,IF(calendar[[#This Row],[Month]]&lt;7,2,IF(calendar[[#This Row],[Month]]&lt;10,3,4)))</f>
        <v>3</v>
      </c>
      <c r="L3514">
        <f>IFERROR(IF(VLOOKUP(calendar[[#This Row],[Date]],BH!A:A,1,)&lt;&gt;"",1,0),0)</f>
        <v>0</v>
      </c>
      <c r="M3514">
        <f>IFERROR(IF(VLOOKUP(calendar[[#This Row],[Date]],BH!C:C,1,)&lt;&gt;"",1,0),0)</f>
        <v>0</v>
      </c>
      <c r="N3514">
        <f>IFERROR(IF(VLOOKUP(calendar[[#This Row],[Date]],BH!E:E,1,)&lt;&gt;"",1,0),0)</f>
        <v>0</v>
      </c>
      <c r="O3514">
        <f>IFERROR(IF(VLOOKUP(calendar[[#This Row],[Date]],BH!G:G,1,)&lt;&gt;"",1,0),0)</f>
        <v>0</v>
      </c>
      <c r="P3514">
        <f>IF(OR(calendar[[#This Row],[UK_BH]]=1,calendar[[#This Row],[WeekDay]]=1, calendar[[#This Row],[WeekDay]]=7),P3513,P3513+1)</f>
        <v>2497</v>
      </c>
      <c r="Q3514">
        <f>IF(OR(calendar[[#This Row],[FR_BH]]=1,calendar[[#This Row],[WeekDay]]=1, calendar[[#This Row],[WeekDay]]=7),P3513,P3513+1)</f>
        <v>2497</v>
      </c>
      <c r="R3514">
        <f>IF(OR(calendar[[#This Row],[SP_BH]]=1,calendar[[#This Row],[WeekDay]]=1, calendar[[#This Row],[WeekDay]]=7),P3513,P3513+1)</f>
        <v>2497</v>
      </c>
      <c r="S3514">
        <f>IF(OR(calendar[[#This Row],[PT_BH]]=1,calendar[[#This Row],[WeekDay]]=1, calendar[[#This Row],[WeekDay]]=7),P3513,P3513+1)</f>
        <v>2497</v>
      </c>
    </row>
    <row r="3515" spans="1:19" x14ac:dyDescent="0.25">
      <c r="A3515" s="2">
        <v>46249</v>
      </c>
      <c r="B3515" s="1">
        <f t="shared" si="276"/>
        <v>33</v>
      </c>
      <c r="C3515">
        <f t="shared" si="278"/>
        <v>8</v>
      </c>
      <c r="D3515" t="str">
        <f t="shared" si="279"/>
        <v>August</v>
      </c>
      <c r="E3515">
        <f t="shared" si="280"/>
        <v>2026</v>
      </c>
      <c r="F3515" t="str">
        <f>CONCATENATE(calendar[[#This Row],[Month]],"/",calendar[[#This Row],[Year]])</f>
        <v>8/2026</v>
      </c>
      <c r="G3515">
        <f>WEEKDAY(calendar[[#This Row],[Date]],1)</f>
        <v>7</v>
      </c>
      <c r="H3515" t="str">
        <f>TEXT(calendar[[#This Row],[WeekDay]],"dddd")</f>
        <v>Saturday</v>
      </c>
      <c r="I3515">
        <f>IF((INT(calendar[[#This Row],[Count]]/7)-calendar[[#This Row],[Count]]/7)&lt;0,I3514,I3514+1)</f>
        <v>502</v>
      </c>
      <c r="J3515">
        <f t="shared" si="277"/>
        <v>3513</v>
      </c>
      <c r="K3515">
        <f>IF(calendar[[#This Row],[Month]]&lt;4,1,IF(calendar[[#This Row],[Month]]&lt;7,2,IF(calendar[[#This Row],[Month]]&lt;10,3,4)))</f>
        <v>3</v>
      </c>
      <c r="L3515">
        <f>IFERROR(IF(VLOOKUP(calendar[[#This Row],[Date]],BH!A:A,1,)&lt;&gt;"",1,0),0)</f>
        <v>0</v>
      </c>
      <c r="M3515">
        <f>IFERROR(IF(VLOOKUP(calendar[[#This Row],[Date]],BH!C:C,1,)&lt;&gt;"",1,0),0)</f>
        <v>1</v>
      </c>
      <c r="N3515">
        <f>IFERROR(IF(VLOOKUP(calendar[[#This Row],[Date]],BH!E:E,1,)&lt;&gt;"",1,0),0)</f>
        <v>1</v>
      </c>
      <c r="O3515">
        <f>IFERROR(IF(VLOOKUP(calendar[[#This Row],[Date]],BH!G:G,1,)&lt;&gt;"",1,0),0)</f>
        <v>1</v>
      </c>
      <c r="P3515">
        <f>IF(OR(calendar[[#This Row],[UK_BH]]=1,calendar[[#This Row],[WeekDay]]=1, calendar[[#This Row],[WeekDay]]=7),P3514,P3514+1)</f>
        <v>2497</v>
      </c>
      <c r="Q3515">
        <f>IF(OR(calendar[[#This Row],[FR_BH]]=1,calendar[[#This Row],[WeekDay]]=1, calendar[[#This Row],[WeekDay]]=7),P3514,P3514+1)</f>
        <v>2497</v>
      </c>
      <c r="R3515">
        <f>IF(OR(calendar[[#This Row],[SP_BH]]=1,calendar[[#This Row],[WeekDay]]=1, calendar[[#This Row],[WeekDay]]=7),P3514,P3514+1)</f>
        <v>2497</v>
      </c>
      <c r="S3515">
        <f>IF(OR(calendar[[#This Row],[PT_BH]]=1,calendar[[#This Row],[WeekDay]]=1, calendar[[#This Row],[WeekDay]]=7),P3514,P3514+1)</f>
        <v>2497</v>
      </c>
    </row>
    <row r="3516" spans="1:19" x14ac:dyDescent="0.25">
      <c r="A3516" s="2">
        <v>46250</v>
      </c>
      <c r="B3516" s="1">
        <f t="shared" si="276"/>
        <v>34</v>
      </c>
      <c r="C3516">
        <f t="shared" si="278"/>
        <v>8</v>
      </c>
      <c r="D3516" t="str">
        <f t="shared" si="279"/>
        <v>August</v>
      </c>
      <c r="E3516">
        <f t="shared" si="280"/>
        <v>2026</v>
      </c>
      <c r="F3516" t="str">
        <f>CONCATENATE(calendar[[#This Row],[Month]],"/",calendar[[#This Row],[Year]])</f>
        <v>8/2026</v>
      </c>
      <c r="G3516">
        <f>WEEKDAY(calendar[[#This Row],[Date]],1)</f>
        <v>1</v>
      </c>
      <c r="H3516" t="str">
        <f>TEXT(calendar[[#This Row],[WeekDay]],"dddd")</f>
        <v>Sunday</v>
      </c>
      <c r="I3516">
        <f>IF((INT(calendar[[#This Row],[Count]]/7)-calendar[[#This Row],[Count]]/7)&lt;0,I3515,I3515+1)</f>
        <v>503</v>
      </c>
      <c r="J3516">
        <f t="shared" si="277"/>
        <v>3514</v>
      </c>
      <c r="K3516">
        <f>IF(calendar[[#This Row],[Month]]&lt;4,1,IF(calendar[[#This Row],[Month]]&lt;7,2,IF(calendar[[#This Row],[Month]]&lt;10,3,4)))</f>
        <v>3</v>
      </c>
      <c r="L3516">
        <f>IFERROR(IF(VLOOKUP(calendar[[#This Row],[Date]],BH!A:A,1,)&lt;&gt;"",1,0),0)</f>
        <v>0</v>
      </c>
      <c r="M3516">
        <f>IFERROR(IF(VLOOKUP(calendar[[#This Row],[Date]],BH!C:C,1,)&lt;&gt;"",1,0),0)</f>
        <v>0</v>
      </c>
      <c r="N3516">
        <f>IFERROR(IF(VLOOKUP(calendar[[#This Row],[Date]],BH!E:E,1,)&lt;&gt;"",1,0),0)</f>
        <v>0</v>
      </c>
      <c r="O3516">
        <f>IFERROR(IF(VLOOKUP(calendar[[#This Row],[Date]],BH!G:G,1,)&lt;&gt;"",1,0),0)</f>
        <v>0</v>
      </c>
      <c r="P3516">
        <f>IF(OR(calendar[[#This Row],[UK_BH]]=1,calendar[[#This Row],[WeekDay]]=1, calendar[[#This Row],[WeekDay]]=7),P3515,P3515+1)</f>
        <v>2497</v>
      </c>
      <c r="Q3516">
        <f>IF(OR(calendar[[#This Row],[FR_BH]]=1,calendar[[#This Row],[WeekDay]]=1, calendar[[#This Row],[WeekDay]]=7),P3515,P3515+1)</f>
        <v>2497</v>
      </c>
      <c r="R3516">
        <f>IF(OR(calendar[[#This Row],[SP_BH]]=1,calendar[[#This Row],[WeekDay]]=1, calendar[[#This Row],[WeekDay]]=7),P3515,P3515+1)</f>
        <v>2497</v>
      </c>
      <c r="S3516">
        <f>IF(OR(calendar[[#This Row],[PT_BH]]=1,calendar[[#This Row],[WeekDay]]=1, calendar[[#This Row],[WeekDay]]=7),P3515,P3515+1)</f>
        <v>2497</v>
      </c>
    </row>
    <row r="3517" spans="1:19" x14ac:dyDescent="0.25">
      <c r="A3517" s="2">
        <v>46251</v>
      </c>
      <c r="B3517" s="1">
        <f t="shared" si="276"/>
        <v>34</v>
      </c>
      <c r="C3517">
        <f t="shared" si="278"/>
        <v>8</v>
      </c>
      <c r="D3517" t="str">
        <f t="shared" si="279"/>
        <v>August</v>
      </c>
      <c r="E3517">
        <f t="shared" si="280"/>
        <v>2026</v>
      </c>
      <c r="F3517" t="str">
        <f>CONCATENATE(calendar[[#This Row],[Month]],"/",calendar[[#This Row],[Year]])</f>
        <v>8/2026</v>
      </c>
      <c r="G3517">
        <f>WEEKDAY(calendar[[#This Row],[Date]],1)</f>
        <v>2</v>
      </c>
      <c r="H3517" t="str">
        <f>TEXT(calendar[[#This Row],[WeekDay]],"dddd")</f>
        <v>Monday</v>
      </c>
      <c r="I3517">
        <f>IF((INT(calendar[[#This Row],[Count]]/7)-calendar[[#This Row],[Count]]/7)&lt;0,I3516,I3516+1)</f>
        <v>503</v>
      </c>
      <c r="J3517">
        <f t="shared" si="277"/>
        <v>3515</v>
      </c>
      <c r="K3517">
        <f>IF(calendar[[#This Row],[Month]]&lt;4,1,IF(calendar[[#This Row],[Month]]&lt;7,2,IF(calendar[[#This Row],[Month]]&lt;10,3,4)))</f>
        <v>3</v>
      </c>
      <c r="L3517">
        <f>IFERROR(IF(VLOOKUP(calendar[[#This Row],[Date]],BH!A:A,1,)&lt;&gt;"",1,0),0)</f>
        <v>0</v>
      </c>
      <c r="M3517">
        <f>IFERROR(IF(VLOOKUP(calendar[[#This Row],[Date]],BH!C:C,1,)&lt;&gt;"",1,0),0)</f>
        <v>0</v>
      </c>
      <c r="N3517">
        <f>IFERROR(IF(VLOOKUP(calendar[[#This Row],[Date]],BH!E:E,1,)&lt;&gt;"",1,0),0)</f>
        <v>0</v>
      </c>
      <c r="O3517">
        <f>IFERROR(IF(VLOOKUP(calendar[[#This Row],[Date]],BH!G:G,1,)&lt;&gt;"",1,0),0)</f>
        <v>0</v>
      </c>
      <c r="P3517">
        <f>IF(OR(calendar[[#This Row],[UK_BH]]=1,calendar[[#This Row],[WeekDay]]=1, calendar[[#This Row],[WeekDay]]=7),P3516,P3516+1)</f>
        <v>2498</v>
      </c>
      <c r="Q3517">
        <f>IF(OR(calendar[[#This Row],[FR_BH]]=1,calendar[[#This Row],[WeekDay]]=1, calendar[[#This Row],[WeekDay]]=7),P3516,P3516+1)</f>
        <v>2498</v>
      </c>
      <c r="R3517">
        <f>IF(OR(calendar[[#This Row],[SP_BH]]=1,calendar[[#This Row],[WeekDay]]=1, calendar[[#This Row],[WeekDay]]=7),P3516,P3516+1)</f>
        <v>2498</v>
      </c>
      <c r="S3517">
        <f>IF(OR(calendar[[#This Row],[PT_BH]]=1,calendar[[#This Row],[WeekDay]]=1, calendar[[#This Row],[WeekDay]]=7),P3516,P3516+1)</f>
        <v>2498</v>
      </c>
    </row>
    <row r="3518" spans="1:19" x14ac:dyDescent="0.25">
      <c r="A3518" s="2">
        <v>46252</v>
      </c>
      <c r="B3518" s="1">
        <f t="shared" si="276"/>
        <v>34</v>
      </c>
      <c r="C3518">
        <f t="shared" si="278"/>
        <v>8</v>
      </c>
      <c r="D3518" t="str">
        <f t="shared" si="279"/>
        <v>August</v>
      </c>
      <c r="E3518">
        <f t="shared" si="280"/>
        <v>2026</v>
      </c>
      <c r="F3518" t="str">
        <f>CONCATENATE(calendar[[#This Row],[Month]],"/",calendar[[#This Row],[Year]])</f>
        <v>8/2026</v>
      </c>
      <c r="G3518">
        <f>WEEKDAY(calendar[[#This Row],[Date]],1)</f>
        <v>3</v>
      </c>
      <c r="H3518" t="str">
        <f>TEXT(calendar[[#This Row],[WeekDay]],"dddd")</f>
        <v>Tuesday</v>
      </c>
      <c r="I3518">
        <f>IF((INT(calendar[[#This Row],[Count]]/7)-calendar[[#This Row],[Count]]/7)&lt;0,I3517,I3517+1)</f>
        <v>503</v>
      </c>
      <c r="J3518">
        <f t="shared" si="277"/>
        <v>3516</v>
      </c>
      <c r="K3518">
        <f>IF(calendar[[#This Row],[Month]]&lt;4,1,IF(calendar[[#This Row],[Month]]&lt;7,2,IF(calendar[[#This Row],[Month]]&lt;10,3,4)))</f>
        <v>3</v>
      </c>
      <c r="L3518">
        <f>IFERROR(IF(VLOOKUP(calendar[[#This Row],[Date]],BH!A:A,1,)&lt;&gt;"",1,0),0)</f>
        <v>0</v>
      </c>
      <c r="M3518">
        <f>IFERROR(IF(VLOOKUP(calendar[[#This Row],[Date]],BH!C:C,1,)&lt;&gt;"",1,0),0)</f>
        <v>0</v>
      </c>
      <c r="N3518">
        <f>IFERROR(IF(VLOOKUP(calendar[[#This Row],[Date]],BH!E:E,1,)&lt;&gt;"",1,0),0)</f>
        <v>0</v>
      </c>
      <c r="O3518">
        <f>IFERROR(IF(VLOOKUP(calendar[[#This Row],[Date]],BH!G:G,1,)&lt;&gt;"",1,0),0)</f>
        <v>0</v>
      </c>
      <c r="P3518">
        <f>IF(OR(calendar[[#This Row],[UK_BH]]=1,calendar[[#This Row],[WeekDay]]=1, calendar[[#This Row],[WeekDay]]=7),P3517,P3517+1)</f>
        <v>2499</v>
      </c>
      <c r="Q3518">
        <f>IF(OR(calendar[[#This Row],[FR_BH]]=1,calendar[[#This Row],[WeekDay]]=1, calendar[[#This Row],[WeekDay]]=7),P3517,P3517+1)</f>
        <v>2499</v>
      </c>
      <c r="R3518">
        <f>IF(OR(calendar[[#This Row],[SP_BH]]=1,calendar[[#This Row],[WeekDay]]=1, calendar[[#This Row],[WeekDay]]=7),P3517,P3517+1)</f>
        <v>2499</v>
      </c>
      <c r="S3518">
        <f>IF(OR(calendar[[#This Row],[PT_BH]]=1,calendar[[#This Row],[WeekDay]]=1, calendar[[#This Row],[WeekDay]]=7),P3517,P3517+1)</f>
        <v>2499</v>
      </c>
    </row>
    <row r="3519" spans="1:19" x14ac:dyDescent="0.25">
      <c r="A3519" s="2">
        <v>46253</v>
      </c>
      <c r="B3519" s="1">
        <f t="shared" si="276"/>
        <v>34</v>
      </c>
      <c r="C3519">
        <f t="shared" si="278"/>
        <v>8</v>
      </c>
      <c r="D3519" t="str">
        <f t="shared" si="279"/>
        <v>August</v>
      </c>
      <c r="E3519">
        <f t="shared" si="280"/>
        <v>2026</v>
      </c>
      <c r="F3519" t="str">
        <f>CONCATENATE(calendar[[#This Row],[Month]],"/",calendar[[#This Row],[Year]])</f>
        <v>8/2026</v>
      </c>
      <c r="G3519">
        <f>WEEKDAY(calendar[[#This Row],[Date]],1)</f>
        <v>4</v>
      </c>
      <c r="H3519" t="str">
        <f>TEXT(calendar[[#This Row],[WeekDay]],"dddd")</f>
        <v>Wednesday</v>
      </c>
      <c r="I3519">
        <f>IF((INT(calendar[[#This Row],[Count]]/7)-calendar[[#This Row],[Count]]/7)&lt;0,I3518,I3518+1)</f>
        <v>503</v>
      </c>
      <c r="J3519">
        <f t="shared" si="277"/>
        <v>3517</v>
      </c>
      <c r="K3519">
        <f>IF(calendar[[#This Row],[Month]]&lt;4,1,IF(calendar[[#This Row],[Month]]&lt;7,2,IF(calendar[[#This Row],[Month]]&lt;10,3,4)))</f>
        <v>3</v>
      </c>
      <c r="L3519">
        <f>IFERROR(IF(VLOOKUP(calendar[[#This Row],[Date]],BH!A:A,1,)&lt;&gt;"",1,0),0)</f>
        <v>0</v>
      </c>
      <c r="M3519">
        <f>IFERROR(IF(VLOOKUP(calendar[[#This Row],[Date]],BH!C:C,1,)&lt;&gt;"",1,0),0)</f>
        <v>0</v>
      </c>
      <c r="N3519">
        <f>IFERROR(IF(VLOOKUP(calendar[[#This Row],[Date]],BH!E:E,1,)&lt;&gt;"",1,0),0)</f>
        <v>0</v>
      </c>
      <c r="O3519">
        <f>IFERROR(IF(VLOOKUP(calendar[[#This Row],[Date]],BH!G:G,1,)&lt;&gt;"",1,0),0)</f>
        <v>0</v>
      </c>
      <c r="P3519">
        <f>IF(OR(calendar[[#This Row],[UK_BH]]=1,calendar[[#This Row],[WeekDay]]=1, calendar[[#This Row],[WeekDay]]=7),P3518,P3518+1)</f>
        <v>2500</v>
      </c>
      <c r="Q3519">
        <f>IF(OR(calendar[[#This Row],[FR_BH]]=1,calendar[[#This Row],[WeekDay]]=1, calendar[[#This Row],[WeekDay]]=7),P3518,P3518+1)</f>
        <v>2500</v>
      </c>
      <c r="R3519">
        <f>IF(OR(calendar[[#This Row],[SP_BH]]=1,calendar[[#This Row],[WeekDay]]=1, calendar[[#This Row],[WeekDay]]=7),P3518,P3518+1)</f>
        <v>2500</v>
      </c>
      <c r="S3519">
        <f>IF(OR(calendar[[#This Row],[PT_BH]]=1,calendar[[#This Row],[WeekDay]]=1, calendar[[#This Row],[WeekDay]]=7),P3518,P3518+1)</f>
        <v>2500</v>
      </c>
    </row>
    <row r="3520" spans="1:19" x14ac:dyDescent="0.25">
      <c r="A3520" s="2">
        <v>46254</v>
      </c>
      <c r="B3520" s="1">
        <f t="shared" si="276"/>
        <v>34</v>
      </c>
      <c r="C3520">
        <f t="shared" si="278"/>
        <v>8</v>
      </c>
      <c r="D3520" t="str">
        <f t="shared" si="279"/>
        <v>August</v>
      </c>
      <c r="E3520">
        <f t="shared" si="280"/>
        <v>2026</v>
      </c>
      <c r="F3520" t="str">
        <f>CONCATENATE(calendar[[#This Row],[Month]],"/",calendar[[#This Row],[Year]])</f>
        <v>8/2026</v>
      </c>
      <c r="G3520">
        <f>WEEKDAY(calendar[[#This Row],[Date]],1)</f>
        <v>5</v>
      </c>
      <c r="H3520" t="str">
        <f>TEXT(calendar[[#This Row],[WeekDay]],"dddd")</f>
        <v>Thursday</v>
      </c>
      <c r="I3520">
        <f>IF((INT(calendar[[#This Row],[Count]]/7)-calendar[[#This Row],[Count]]/7)&lt;0,I3519,I3519+1)</f>
        <v>503</v>
      </c>
      <c r="J3520">
        <f t="shared" si="277"/>
        <v>3518</v>
      </c>
      <c r="K3520">
        <f>IF(calendar[[#This Row],[Month]]&lt;4,1,IF(calendar[[#This Row],[Month]]&lt;7,2,IF(calendar[[#This Row],[Month]]&lt;10,3,4)))</f>
        <v>3</v>
      </c>
      <c r="L3520">
        <f>IFERROR(IF(VLOOKUP(calendar[[#This Row],[Date]],BH!A:A,1,)&lt;&gt;"",1,0),0)</f>
        <v>0</v>
      </c>
      <c r="M3520">
        <f>IFERROR(IF(VLOOKUP(calendar[[#This Row],[Date]],BH!C:C,1,)&lt;&gt;"",1,0),0)</f>
        <v>0</v>
      </c>
      <c r="N3520">
        <f>IFERROR(IF(VLOOKUP(calendar[[#This Row],[Date]],BH!E:E,1,)&lt;&gt;"",1,0),0)</f>
        <v>0</v>
      </c>
      <c r="O3520">
        <f>IFERROR(IF(VLOOKUP(calendar[[#This Row],[Date]],BH!G:G,1,)&lt;&gt;"",1,0),0)</f>
        <v>0</v>
      </c>
      <c r="P3520">
        <f>IF(OR(calendar[[#This Row],[UK_BH]]=1,calendar[[#This Row],[WeekDay]]=1, calendar[[#This Row],[WeekDay]]=7),P3519,P3519+1)</f>
        <v>2501</v>
      </c>
      <c r="Q3520">
        <f>IF(OR(calendar[[#This Row],[FR_BH]]=1,calendar[[#This Row],[WeekDay]]=1, calendar[[#This Row],[WeekDay]]=7),P3519,P3519+1)</f>
        <v>2501</v>
      </c>
      <c r="R3520">
        <f>IF(OR(calendar[[#This Row],[SP_BH]]=1,calendar[[#This Row],[WeekDay]]=1, calendar[[#This Row],[WeekDay]]=7),P3519,P3519+1)</f>
        <v>2501</v>
      </c>
      <c r="S3520">
        <f>IF(OR(calendar[[#This Row],[PT_BH]]=1,calendar[[#This Row],[WeekDay]]=1, calendar[[#This Row],[WeekDay]]=7),P3519,P3519+1)</f>
        <v>2501</v>
      </c>
    </row>
    <row r="3521" spans="1:19" x14ac:dyDescent="0.25">
      <c r="A3521" s="2">
        <v>46255</v>
      </c>
      <c r="B3521" s="1">
        <f t="shared" si="276"/>
        <v>34</v>
      </c>
      <c r="C3521">
        <f t="shared" si="278"/>
        <v>8</v>
      </c>
      <c r="D3521" t="str">
        <f t="shared" si="279"/>
        <v>August</v>
      </c>
      <c r="E3521">
        <f t="shared" si="280"/>
        <v>2026</v>
      </c>
      <c r="F3521" t="str">
        <f>CONCATENATE(calendar[[#This Row],[Month]],"/",calendar[[#This Row],[Year]])</f>
        <v>8/2026</v>
      </c>
      <c r="G3521">
        <f>WEEKDAY(calendar[[#This Row],[Date]],1)</f>
        <v>6</v>
      </c>
      <c r="H3521" t="str">
        <f>TEXT(calendar[[#This Row],[WeekDay]],"dddd")</f>
        <v>Friday</v>
      </c>
      <c r="I3521">
        <f>IF((INT(calendar[[#This Row],[Count]]/7)-calendar[[#This Row],[Count]]/7)&lt;0,I3520,I3520+1)</f>
        <v>503</v>
      </c>
      <c r="J3521">
        <f t="shared" si="277"/>
        <v>3519</v>
      </c>
      <c r="K3521">
        <f>IF(calendar[[#This Row],[Month]]&lt;4,1,IF(calendar[[#This Row],[Month]]&lt;7,2,IF(calendar[[#This Row],[Month]]&lt;10,3,4)))</f>
        <v>3</v>
      </c>
      <c r="L3521">
        <f>IFERROR(IF(VLOOKUP(calendar[[#This Row],[Date]],BH!A:A,1,)&lt;&gt;"",1,0),0)</f>
        <v>0</v>
      </c>
      <c r="M3521">
        <f>IFERROR(IF(VLOOKUP(calendar[[#This Row],[Date]],BH!C:C,1,)&lt;&gt;"",1,0),0)</f>
        <v>0</v>
      </c>
      <c r="N3521">
        <f>IFERROR(IF(VLOOKUP(calendar[[#This Row],[Date]],BH!E:E,1,)&lt;&gt;"",1,0),0)</f>
        <v>0</v>
      </c>
      <c r="O3521">
        <f>IFERROR(IF(VLOOKUP(calendar[[#This Row],[Date]],BH!G:G,1,)&lt;&gt;"",1,0),0)</f>
        <v>0</v>
      </c>
      <c r="P3521">
        <f>IF(OR(calendar[[#This Row],[UK_BH]]=1,calendar[[#This Row],[WeekDay]]=1, calendar[[#This Row],[WeekDay]]=7),P3520,P3520+1)</f>
        <v>2502</v>
      </c>
      <c r="Q3521">
        <f>IF(OR(calendar[[#This Row],[FR_BH]]=1,calendar[[#This Row],[WeekDay]]=1, calendar[[#This Row],[WeekDay]]=7),P3520,P3520+1)</f>
        <v>2502</v>
      </c>
      <c r="R3521">
        <f>IF(OR(calendar[[#This Row],[SP_BH]]=1,calendar[[#This Row],[WeekDay]]=1, calendar[[#This Row],[WeekDay]]=7),P3520,P3520+1)</f>
        <v>2502</v>
      </c>
      <c r="S3521">
        <f>IF(OR(calendar[[#This Row],[PT_BH]]=1,calendar[[#This Row],[WeekDay]]=1, calendar[[#This Row],[WeekDay]]=7),P3520,P3520+1)</f>
        <v>2502</v>
      </c>
    </row>
    <row r="3522" spans="1:19" x14ac:dyDescent="0.25">
      <c r="A3522" s="2">
        <v>46256</v>
      </c>
      <c r="B3522" s="1">
        <f t="shared" ref="B3522:B3585" si="281">WEEKNUM(A3522)</f>
        <v>34</v>
      </c>
      <c r="C3522">
        <f t="shared" si="278"/>
        <v>8</v>
      </c>
      <c r="D3522" t="str">
        <f t="shared" si="279"/>
        <v>August</v>
      </c>
      <c r="E3522">
        <f t="shared" si="280"/>
        <v>2026</v>
      </c>
      <c r="F3522" t="str">
        <f>CONCATENATE(calendar[[#This Row],[Month]],"/",calendar[[#This Row],[Year]])</f>
        <v>8/2026</v>
      </c>
      <c r="G3522">
        <f>WEEKDAY(calendar[[#This Row],[Date]],1)</f>
        <v>7</v>
      </c>
      <c r="H3522" t="str">
        <f>TEXT(calendar[[#This Row],[WeekDay]],"dddd")</f>
        <v>Saturday</v>
      </c>
      <c r="I3522">
        <f>IF((INT(calendar[[#This Row],[Count]]/7)-calendar[[#This Row],[Count]]/7)&lt;0,I3521,I3521+1)</f>
        <v>503</v>
      </c>
      <c r="J3522">
        <f t="shared" si="277"/>
        <v>3520</v>
      </c>
      <c r="K3522">
        <f>IF(calendar[[#This Row],[Month]]&lt;4,1,IF(calendar[[#This Row],[Month]]&lt;7,2,IF(calendar[[#This Row],[Month]]&lt;10,3,4)))</f>
        <v>3</v>
      </c>
      <c r="L3522">
        <f>IFERROR(IF(VLOOKUP(calendar[[#This Row],[Date]],BH!A:A,1,)&lt;&gt;"",1,0),0)</f>
        <v>0</v>
      </c>
      <c r="M3522">
        <f>IFERROR(IF(VLOOKUP(calendar[[#This Row],[Date]],BH!C:C,1,)&lt;&gt;"",1,0),0)</f>
        <v>0</v>
      </c>
      <c r="N3522">
        <f>IFERROR(IF(VLOOKUP(calendar[[#This Row],[Date]],BH!E:E,1,)&lt;&gt;"",1,0),0)</f>
        <v>0</v>
      </c>
      <c r="O3522">
        <f>IFERROR(IF(VLOOKUP(calendar[[#This Row],[Date]],BH!G:G,1,)&lt;&gt;"",1,0),0)</f>
        <v>0</v>
      </c>
      <c r="P3522">
        <f>IF(OR(calendar[[#This Row],[UK_BH]]=1,calendar[[#This Row],[WeekDay]]=1, calendar[[#This Row],[WeekDay]]=7),P3521,P3521+1)</f>
        <v>2502</v>
      </c>
      <c r="Q3522">
        <f>IF(OR(calendar[[#This Row],[FR_BH]]=1,calendar[[#This Row],[WeekDay]]=1, calendar[[#This Row],[WeekDay]]=7),P3521,P3521+1)</f>
        <v>2502</v>
      </c>
      <c r="R3522">
        <f>IF(OR(calendar[[#This Row],[SP_BH]]=1,calendar[[#This Row],[WeekDay]]=1, calendar[[#This Row],[WeekDay]]=7),P3521,P3521+1)</f>
        <v>2502</v>
      </c>
      <c r="S3522">
        <f>IF(OR(calendar[[#This Row],[PT_BH]]=1,calendar[[#This Row],[WeekDay]]=1, calendar[[#This Row],[WeekDay]]=7),P3521,P3521+1)</f>
        <v>2502</v>
      </c>
    </row>
    <row r="3523" spans="1:19" x14ac:dyDescent="0.25">
      <c r="A3523" s="2">
        <v>46257</v>
      </c>
      <c r="B3523" s="1">
        <f t="shared" si="281"/>
        <v>35</v>
      </c>
      <c r="C3523">
        <f t="shared" si="278"/>
        <v>8</v>
      </c>
      <c r="D3523" t="str">
        <f t="shared" si="279"/>
        <v>August</v>
      </c>
      <c r="E3523">
        <f t="shared" si="280"/>
        <v>2026</v>
      </c>
      <c r="F3523" t="str">
        <f>CONCATENATE(calendar[[#This Row],[Month]],"/",calendar[[#This Row],[Year]])</f>
        <v>8/2026</v>
      </c>
      <c r="G3523">
        <f>WEEKDAY(calendar[[#This Row],[Date]],1)</f>
        <v>1</v>
      </c>
      <c r="H3523" t="str">
        <f>TEXT(calendar[[#This Row],[WeekDay]],"dddd")</f>
        <v>Sunday</v>
      </c>
      <c r="I3523">
        <f>IF((INT(calendar[[#This Row],[Count]]/7)-calendar[[#This Row],[Count]]/7)&lt;0,I3522,I3522+1)</f>
        <v>504</v>
      </c>
      <c r="J3523">
        <f t="shared" ref="J3523:J3586" si="282">J3522+1</f>
        <v>3521</v>
      </c>
      <c r="K3523">
        <f>IF(calendar[[#This Row],[Month]]&lt;4,1,IF(calendar[[#This Row],[Month]]&lt;7,2,IF(calendar[[#This Row],[Month]]&lt;10,3,4)))</f>
        <v>3</v>
      </c>
      <c r="L3523">
        <f>IFERROR(IF(VLOOKUP(calendar[[#This Row],[Date]],BH!A:A,1,)&lt;&gt;"",1,0),0)</f>
        <v>0</v>
      </c>
      <c r="M3523">
        <f>IFERROR(IF(VLOOKUP(calendar[[#This Row],[Date]],BH!C:C,1,)&lt;&gt;"",1,0),0)</f>
        <v>0</v>
      </c>
      <c r="N3523">
        <f>IFERROR(IF(VLOOKUP(calendar[[#This Row],[Date]],BH!E:E,1,)&lt;&gt;"",1,0),0)</f>
        <v>0</v>
      </c>
      <c r="O3523">
        <f>IFERROR(IF(VLOOKUP(calendar[[#This Row],[Date]],BH!G:G,1,)&lt;&gt;"",1,0),0)</f>
        <v>0</v>
      </c>
      <c r="P3523">
        <f>IF(OR(calendar[[#This Row],[UK_BH]]=1,calendar[[#This Row],[WeekDay]]=1, calendar[[#This Row],[WeekDay]]=7),P3522,P3522+1)</f>
        <v>2502</v>
      </c>
      <c r="Q3523">
        <f>IF(OR(calendar[[#This Row],[FR_BH]]=1,calendar[[#This Row],[WeekDay]]=1, calendar[[#This Row],[WeekDay]]=7),P3522,P3522+1)</f>
        <v>2502</v>
      </c>
      <c r="R3523">
        <f>IF(OR(calendar[[#This Row],[SP_BH]]=1,calendar[[#This Row],[WeekDay]]=1, calendar[[#This Row],[WeekDay]]=7),P3522,P3522+1)</f>
        <v>2502</v>
      </c>
      <c r="S3523">
        <f>IF(OR(calendar[[#This Row],[PT_BH]]=1,calendar[[#This Row],[WeekDay]]=1, calendar[[#This Row],[WeekDay]]=7),P3522,P3522+1)</f>
        <v>2502</v>
      </c>
    </row>
    <row r="3524" spans="1:19" x14ac:dyDescent="0.25">
      <c r="A3524" s="2">
        <v>46258</v>
      </c>
      <c r="B3524" s="1">
        <f t="shared" si="281"/>
        <v>35</v>
      </c>
      <c r="C3524">
        <f t="shared" si="278"/>
        <v>8</v>
      </c>
      <c r="D3524" t="str">
        <f t="shared" si="279"/>
        <v>August</v>
      </c>
      <c r="E3524">
        <f t="shared" si="280"/>
        <v>2026</v>
      </c>
      <c r="F3524" t="str">
        <f>CONCATENATE(calendar[[#This Row],[Month]],"/",calendar[[#This Row],[Year]])</f>
        <v>8/2026</v>
      </c>
      <c r="G3524">
        <f>WEEKDAY(calendar[[#This Row],[Date]],1)</f>
        <v>2</v>
      </c>
      <c r="H3524" t="str">
        <f>TEXT(calendar[[#This Row],[WeekDay]],"dddd")</f>
        <v>Monday</v>
      </c>
      <c r="I3524">
        <f>IF((INT(calendar[[#This Row],[Count]]/7)-calendar[[#This Row],[Count]]/7)&lt;0,I3523,I3523+1)</f>
        <v>504</v>
      </c>
      <c r="J3524">
        <f t="shared" si="282"/>
        <v>3522</v>
      </c>
      <c r="K3524">
        <f>IF(calendar[[#This Row],[Month]]&lt;4,1,IF(calendar[[#This Row],[Month]]&lt;7,2,IF(calendar[[#This Row],[Month]]&lt;10,3,4)))</f>
        <v>3</v>
      </c>
      <c r="L3524">
        <f>IFERROR(IF(VLOOKUP(calendar[[#This Row],[Date]],BH!A:A,1,)&lt;&gt;"",1,0),0)</f>
        <v>0</v>
      </c>
      <c r="M3524">
        <f>IFERROR(IF(VLOOKUP(calendar[[#This Row],[Date]],BH!C:C,1,)&lt;&gt;"",1,0),0)</f>
        <v>0</v>
      </c>
      <c r="N3524">
        <f>IFERROR(IF(VLOOKUP(calendar[[#This Row],[Date]],BH!E:E,1,)&lt;&gt;"",1,0),0)</f>
        <v>0</v>
      </c>
      <c r="O3524">
        <f>IFERROR(IF(VLOOKUP(calendar[[#This Row],[Date]],BH!G:G,1,)&lt;&gt;"",1,0),0)</f>
        <v>0</v>
      </c>
      <c r="P3524">
        <f>IF(OR(calendar[[#This Row],[UK_BH]]=1,calendar[[#This Row],[WeekDay]]=1, calendar[[#This Row],[WeekDay]]=7),P3523,P3523+1)</f>
        <v>2503</v>
      </c>
      <c r="Q3524">
        <f>IF(OR(calendar[[#This Row],[FR_BH]]=1,calendar[[#This Row],[WeekDay]]=1, calendar[[#This Row],[WeekDay]]=7),P3523,P3523+1)</f>
        <v>2503</v>
      </c>
      <c r="R3524">
        <f>IF(OR(calendar[[#This Row],[SP_BH]]=1,calendar[[#This Row],[WeekDay]]=1, calendar[[#This Row],[WeekDay]]=7),P3523,P3523+1)</f>
        <v>2503</v>
      </c>
      <c r="S3524">
        <f>IF(OR(calendar[[#This Row],[PT_BH]]=1,calendar[[#This Row],[WeekDay]]=1, calendar[[#This Row],[WeekDay]]=7),P3523,P3523+1)</f>
        <v>2503</v>
      </c>
    </row>
    <row r="3525" spans="1:19" x14ac:dyDescent="0.25">
      <c r="A3525" s="2">
        <v>46259</v>
      </c>
      <c r="B3525" s="1">
        <f t="shared" si="281"/>
        <v>35</v>
      </c>
      <c r="C3525">
        <f t="shared" si="278"/>
        <v>8</v>
      </c>
      <c r="D3525" t="str">
        <f t="shared" si="279"/>
        <v>August</v>
      </c>
      <c r="E3525">
        <f t="shared" si="280"/>
        <v>2026</v>
      </c>
      <c r="F3525" t="str">
        <f>CONCATENATE(calendar[[#This Row],[Month]],"/",calendar[[#This Row],[Year]])</f>
        <v>8/2026</v>
      </c>
      <c r="G3525">
        <f>WEEKDAY(calendar[[#This Row],[Date]],1)</f>
        <v>3</v>
      </c>
      <c r="H3525" t="str">
        <f>TEXT(calendar[[#This Row],[WeekDay]],"dddd")</f>
        <v>Tuesday</v>
      </c>
      <c r="I3525">
        <f>IF((INT(calendar[[#This Row],[Count]]/7)-calendar[[#This Row],[Count]]/7)&lt;0,I3524,I3524+1)</f>
        <v>504</v>
      </c>
      <c r="J3525">
        <f t="shared" si="282"/>
        <v>3523</v>
      </c>
      <c r="K3525">
        <f>IF(calendar[[#This Row],[Month]]&lt;4,1,IF(calendar[[#This Row],[Month]]&lt;7,2,IF(calendar[[#This Row],[Month]]&lt;10,3,4)))</f>
        <v>3</v>
      </c>
      <c r="L3525">
        <f>IFERROR(IF(VLOOKUP(calendar[[#This Row],[Date]],BH!A:A,1,)&lt;&gt;"",1,0),0)</f>
        <v>0</v>
      </c>
      <c r="M3525">
        <f>IFERROR(IF(VLOOKUP(calendar[[#This Row],[Date]],BH!C:C,1,)&lt;&gt;"",1,0),0)</f>
        <v>0</v>
      </c>
      <c r="N3525">
        <f>IFERROR(IF(VLOOKUP(calendar[[#This Row],[Date]],BH!E:E,1,)&lt;&gt;"",1,0),0)</f>
        <v>0</v>
      </c>
      <c r="O3525">
        <f>IFERROR(IF(VLOOKUP(calendar[[#This Row],[Date]],BH!G:G,1,)&lt;&gt;"",1,0),0)</f>
        <v>0</v>
      </c>
      <c r="P3525">
        <f>IF(OR(calendar[[#This Row],[UK_BH]]=1,calendar[[#This Row],[WeekDay]]=1, calendar[[#This Row],[WeekDay]]=7),P3524,P3524+1)</f>
        <v>2504</v>
      </c>
      <c r="Q3525">
        <f>IF(OR(calendar[[#This Row],[FR_BH]]=1,calendar[[#This Row],[WeekDay]]=1, calendar[[#This Row],[WeekDay]]=7),P3524,P3524+1)</f>
        <v>2504</v>
      </c>
      <c r="R3525">
        <f>IF(OR(calendar[[#This Row],[SP_BH]]=1,calendar[[#This Row],[WeekDay]]=1, calendar[[#This Row],[WeekDay]]=7),P3524,P3524+1)</f>
        <v>2504</v>
      </c>
      <c r="S3525">
        <f>IF(OR(calendar[[#This Row],[PT_BH]]=1,calendar[[#This Row],[WeekDay]]=1, calendar[[#This Row],[WeekDay]]=7),P3524,P3524+1)</f>
        <v>2504</v>
      </c>
    </row>
    <row r="3526" spans="1:19" x14ac:dyDescent="0.25">
      <c r="A3526" s="2">
        <v>46260</v>
      </c>
      <c r="B3526" s="1">
        <f t="shared" si="281"/>
        <v>35</v>
      </c>
      <c r="C3526">
        <f t="shared" si="278"/>
        <v>8</v>
      </c>
      <c r="D3526" t="str">
        <f t="shared" si="279"/>
        <v>August</v>
      </c>
      <c r="E3526">
        <f t="shared" si="280"/>
        <v>2026</v>
      </c>
      <c r="F3526" t="str">
        <f>CONCATENATE(calendar[[#This Row],[Month]],"/",calendar[[#This Row],[Year]])</f>
        <v>8/2026</v>
      </c>
      <c r="G3526">
        <f>WEEKDAY(calendar[[#This Row],[Date]],1)</f>
        <v>4</v>
      </c>
      <c r="H3526" t="str">
        <f>TEXT(calendar[[#This Row],[WeekDay]],"dddd")</f>
        <v>Wednesday</v>
      </c>
      <c r="I3526">
        <f>IF((INT(calendar[[#This Row],[Count]]/7)-calendar[[#This Row],[Count]]/7)&lt;0,I3525,I3525+1)</f>
        <v>504</v>
      </c>
      <c r="J3526">
        <f t="shared" si="282"/>
        <v>3524</v>
      </c>
      <c r="K3526">
        <f>IF(calendar[[#This Row],[Month]]&lt;4,1,IF(calendar[[#This Row],[Month]]&lt;7,2,IF(calendar[[#This Row],[Month]]&lt;10,3,4)))</f>
        <v>3</v>
      </c>
      <c r="L3526">
        <f>IFERROR(IF(VLOOKUP(calendar[[#This Row],[Date]],BH!A:A,1,)&lt;&gt;"",1,0),0)</f>
        <v>0</v>
      </c>
      <c r="M3526">
        <f>IFERROR(IF(VLOOKUP(calendar[[#This Row],[Date]],BH!C:C,1,)&lt;&gt;"",1,0),0)</f>
        <v>0</v>
      </c>
      <c r="N3526">
        <f>IFERROR(IF(VLOOKUP(calendar[[#This Row],[Date]],BH!E:E,1,)&lt;&gt;"",1,0),0)</f>
        <v>0</v>
      </c>
      <c r="O3526">
        <f>IFERROR(IF(VLOOKUP(calendar[[#This Row],[Date]],BH!G:G,1,)&lt;&gt;"",1,0),0)</f>
        <v>0</v>
      </c>
      <c r="P3526">
        <f>IF(OR(calendar[[#This Row],[UK_BH]]=1,calendar[[#This Row],[WeekDay]]=1, calendar[[#This Row],[WeekDay]]=7),P3525,P3525+1)</f>
        <v>2505</v>
      </c>
      <c r="Q3526">
        <f>IF(OR(calendar[[#This Row],[FR_BH]]=1,calendar[[#This Row],[WeekDay]]=1, calendar[[#This Row],[WeekDay]]=7),P3525,P3525+1)</f>
        <v>2505</v>
      </c>
      <c r="R3526">
        <f>IF(OR(calendar[[#This Row],[SP_BH]]=1,calendar[[#This Row],[WeekDay]]=1, calendar[[#This Row],[WeekDay]]=7),P3525,P3525+1)</f>
        <v>2505</v>
      </c>
      <c r="S3526">
        <f>IF(OR(calendar[[#This Row],[PT_BH]]=1,calendar[[#This Row],[WeekDay]]=1, calendar[[#This Row],[WeekDay]]=7),P3525,P3525+1)</f>
        <v>2505</v>
      </c>
    </row>
    <row r="3527" spans="1:19" x14ac:dyDescent="0.25">
      <c r="A3527" s="2">
        <v>46261</v>
      </c>
      <c r="B3527" s="1">
        <f t="shared" si="281"/>
        <v>35</v>
      </c>
      <c r="C3527">
        <f t="shared" si="278"/>
        <v>8</v>
      </c>
      <c r="D3527" t="str">
        <f t="shared" si="279"/>
        <v>August</v>
      </c>
      <c r="E3527">
        <f t="shared" si="280"/>
        <v>2026</v>
      </c>
      <c r="F3527" t="str">
        <f>CONCATENATE(calendar[[#This Row],[Month]],"/",calendar[[#This Row],[Year]])</f>
        <v>8/2026</v>
      </c>
      <c r="G3527">
        <f>WEEKDAY(calendar[[#This Row],[Date]],1)</f>
        <v>5</v>
      </c>
      <c r="H3527" t="str">
        <f>TEXT(calendar[[#This Row],[WeekDay]],"dddd")</f>
        <v>Thursday</v>
      </c>
      <c r="I3527">
        <f>IF((INT(calendar[[#This Row],[Count]]/7)-calendar[[#This Row],[Count]]/7)&lt;0,I3526,I3526+1)</f>
        <v>504</v>
      </c>
      <c r="J3527">
        <f t="shared" si="282"/>
        <v>3525</v>
      </c>
      <c r="K3527">
        <f>IF(calendar[[#This Row],[Month]]&lt;4,1,IF(calendar[[#This Row],[Month]]&lt;7,2,IF(calendar[[#This Row],[Month]]&lt;10,3,4)))</f>
        <v>3</v>
      </c>
      <c r="L3527">
        <f>IFERROR(IF(VLOOKUP(calendar[[#This Row],[Date]],BH!A:A,1,)&lt;&gt;"",1,0),0)</f>
        <v>0</v>
      </c>
      <c r="M3527">
        <f>IFERROR(IF(VLOOKUP(calendar[[#This Row],[Date]],BH!C:C,1,)&lt;&gt;"",1,0),0)</f>
        <v>0</v>
      </c>
      <c r="N3527">
        <f>IFERROR(IF(VLOOKUP(calendar[[#This Row],[Date]],BH!E:E,1,)&lt;&gt;"",1,0),0)</f>
        <v>0</v>
      </c>
      <c r="O3527">
        <f>IFERROR(IF(VLOOKUP(calendar[[#This Row],[Date]],BH!G:G,1,)&lt;&gt;"",1,0),0)</f>
        <v>0</v>
      </c>
      <c r="P3527">
        <f>IF(OR(calendar[[#This Row],[UK_BH]]=1,calendar[[#This Row],[WeekDay]]=1, calendar[[#This Row],[WeekDay]]=7),P3526,P3526+1)</f>
        <v>2506</v>
      </c>
      <c r="Q3527">
        <f>IF(OR(calendar[[#This Row],[FR_BH]]=1,calendar[[#This Row],[WeekDay]]=1, calendar[[#This Row],[WeekDay]]=7),P3526,P3526+1)</f>
        <v>2506</v>
      </c>
      <c r="R3527">
        <f>IF(OR(calendar[[#This Row],[SP_BH]]=1,calendar[[#This Row],[WeekDay]]=1, calendar[[#This Row],[WeekDay]]=7),P3526,P3526+1)</f>
        <v>2506</v>
      </c>
      <c r="S3527">
        <f>IF(OR(calendar[[#This Row],[PT_BH]]=1,calendar[[#This Row],[WeekDay]]=1, calendar[[#This Row],[WeekDay]]=7),P3526,P3526+1)</f>
        <v>2506</v>
      </c>
    </row>
    <row r="3528" spans="1:19" x14ac:dyDescent="0.25">
      <c r="A3528" s="2">
        <v>46262</v>
      </c>
      <c r="B3528" s="1">
        <f t="shared" si="281"/>
        <v>35</v>
      </c>
      <c r="C3528">
        <f t="shared" si="278"/>
        <v>8</v>
      </c>
      <c r="D3528" t="str">
        <f t="shared" si="279"/>
        <v>August</v>
      </c>
      <c r="E3528">
        <f t="shared" si="280"/>
        <v>2026</v>
      </c>
      <c r="F3528" t="str">
        <f>CONCATENATE(calendar[[#This Row],[Month]],"/",calendar[[#This Row],[Year]])</f>
        <v>8/2026</v>
      </c>
      <c r="G3528">
        <f>WEEKDAY(calendar[[#This Row],[Date]],1)</f>
        <v>6</v>
      </c>
      <c r="H3528" t="str">
        <f>TEXT(calendar[[#This Row],[WeekDay]],"dddd")</f>
        <v>Friday</v>
      </c>
      <c r="I3528">
        <f>IF((INT(calendar[[#This Row],[Count]]/7)-calendar[[#This Row],[Count]]/7)&lt;0,I3527,I3527+1)</f>
        <v>504</v>
      </c>
      <c r="J3528">
        <f t="shared" si="282"/>
        <v>3526</v>
      </c>
      <c r="K3528">
        <f>IF(calendar[[#This Row],[Month]]&lt;4,1,IF(calendar[[#This Row],[Month]]&lt;7,2,IF(calendar[[#This Row],[Month]]&lt;10,3,4)))</f>
        <v>3</v>
      </c>
      <c r="L3528">
        <f>IFERROR(IF(VLOOKUP(calendar[[#This Row],[Date]],BH!A:A,1,)&lt;&gt;"",1,0),0)</f>
        <v>0</v>
      </c>
      <c r="M3528">
        <f>IFERROR(IF(VLOOKUP(calendar[[#This Row],[Date]],BH!C:C,1,)&lt;&gt;"",1,0),0)</f>
        <v>0</v>
      </c>
      <c r="N3528">
        <f>IFERROR(IF(VLOOKUP(calendar[[#This Row],[Date]],BH!E:E,1,)&lt;&gt;"",1,0),0)</f>
        <v>0</v>
      </c>
      <c r="O3528">
        <f>IFERROR(IF(VLOOKUP(calendar[[#This Row],[Date]],BH!G:G,1,)&lt;&gt;"",1,0),0)</f>
        <v>0</v>
      </c>
      <c r="P3528">
        <f>IF(OR(calendar[[#This Row],[UK_BH]]=1,calendar[[#This Row],[WeekDay]]=1, calendar[[#This Row],[WeekDay]]=7),P3527,P3527+1)</f>
        <v>2507</v>
      </c>
      <c r="Q3528">
        <f>IF(OR(calendar[[#This Row],[FR_BH]]=1,calendar[[#This Row],[WeekDay]]=1, calendar[[#This Row],[WeekDay]]=7),P3527,P3527+1)</f>
        <v>2507</v>
      </c>
      <c r="R3528">
        <f>IF(OR(calendar[[#This Row],[SP_BH]]=1,calendar[[#This Row],[WeekDay]]=1, calendar[[#This Row],[WeekDay]]=7),P3527,P3527+1)</f>
        <v>2507</v>
      </c>
      <c r="S3528">
        <f>IF(OR(calendar[[#This Row],[PT_BH]]=1,calendar[[#This Row],[WeekDay]]=1, calendar[[#This Row],[WeekDay]]=7),P3527,P3527+1)</f>
        <v>2507</v>
      </c>
    </row>
    <row r="3529" spans="1:19" x14ac:dyDescent="0.25">
      <c r="A3529" s="2">
        <v>46263</v>
      </c>
      <c r="B3529" s="1">
        <f t="shared" si="281"/>
        <v>35</v>
      </c>
      <c r="C3529">
        <f t="shared" si="278"/>
        <v>8</v>
      </c>
      <c r="D3529" t="str">
        <f t="shared" si="279"/>
        <v>August</v>
      </c>
      <c r="E3529">
        <f t="shared" si="280"/>
        <v>2026</v>
      </c>
      <c r="F3529" t="str">
        <f>CONCATENATE(calendar[[#This Row],[Month]],"/",calendar[[#This Row],[Year]])</f>
        <v>8/2026</v>
      </c>
      <c r="G3529">
        <f>WEEKDAY(calendar[[#This Row],[Date]],1)</f>
        <v>7</v>
      </c>
      <c r="H3529" t="str">
        <f>TEXT(calendar[[#This Row],[WeekDay]],"dddd")</f>
        <v>Saturday</v>
      </c>
      <c r="I3529">
        <f>IF((INT(calendar[[#This Row],[Count]]/7)-calendar[[#This Row],[Count]]/7)&lt;0,I3528,I3528+1)</f>
        <v>504</v>
      </c>
      <c r="J3529">
        <f t="shared" si="282"/>
        <v>3527</v>
      </c>
      <c r="K3529">
        <f>IF(calendar[[#This Row],[Month]]&lt;4,1,IF(calendar[[#This Row],[Month]]&lt;7,2,IF(calendar[[#This Row],[Month]]&lt;10,3,4)))</f>
        <v>3</v>
      </c>
      <c r="L3529">
        <f>IFERROR(IF(VLOOKUP(calendar[[#This Row],[Date]],BH!A:A,1,)&lt;&gt;"",1,0),0)</f>
        <v>0</v>
      </c>
      <c r="M3529">
        <f>IFERROR(IF(VLOOKUP(calendar[[#This Row],[Date]],BH!C:C,1,)&lt;&gt;"",1,0),0)</f>
        <v>0</v>
      </c>
      <c r="N3529">
        <f>IFERROR(IF(VLOOKUP(calendar[[#This Row],[Date]],BH!E:E,1,)&lt;&gt;"",1,0),0)</f>
        <v>0</v>
      </c>
      <c r="O3529">
        <f>IFERROR(IF(VLOOKUP(calendar[[#This Row],[Date]],BH!G:G,1,)&lt;&gt;"",1,0),0)</f>
        <v>0</v>
      </c>
      <c r="P3529">
        <f>IF(OR(calendar[[#This Row],[UK_BH]]=1,calendar[[#This Row],[WeekDay]]=1, calendar[[#This Row],[WeekDay]]=7),P3528,P3528+1)</f>
        <v>2507</v>
      </c>
      <c r="Q3529">
        <f>IF(OR(calendar[[#This Row],[FR_BH]]=1,calendar[[#This Row],[WeekDay]]=1, calendar[[#This Row],[WeekDay]]=7),P3528,P3528+1)</f>
        <v>2507</v>
      </c>
      <c r="R3529">
        <f>IF(OR(calendar[[#This Row],[SP_BH]]=1,calendar[[#This Row],[WeekDay]]=1, calendar[[#This Row],[WeekDay]]=7),P3528,P3528+1)</f>
        <v>2507</v>
      </c>
      <c r="S3529">
        <f>IF(OR(calendar[[#This Row],[PT_BH]]=1,calendar[[#This Row],[WeekDay]]=1, calendar[[#This Row],[WeekDay]]=7),P3528,P3528+1)</f>
        <v>2507</v>
      </c>
    </row>
    <row r="3530" spans="1:19" x14ac:dyDescent="0.25">
      <c r="A3530" s="2">
        <v>46264</v>
      </c>
      <c r="B3530" s="1">
        <f t="shared" si="281"/>
        <v>36</v>
      </c>
      <c r="C3530">
        <f t="shared" si="278"/>
        <v>8</v>
      </c>
      <c r="D3530" t="str">
        <f t="shared" si="279"/>
        <v>August</v>
      </c>
      <c r="E3530">
        <f t="shared" si="280"/>
        <v>2026</v>
      </c>
      <c r="F3530" t="str">
        <f>CONCATENATE(calendar[[#This Row],[Month]],"/",calendar[[#This Row],[Year]])</f>
        <v>8/2026</v>
      </c>
      <c r="G3530">
        <f>WEEKDAY(calendar[[#This Row],[Date]],1)</f>
        <v>1</v>
      </c>
      <c r="H3530" t="str">
        <f>TEXT(calendar[[#This Row],[WeekDay]],"dddd")</f>
        <v>Sunday</v>
      </c>
      <c r="I3530">
        <f>IF((INT(calendar[[#This Row],[Count]]/7)-calendar[[#This Row],[Count]]/7)&lt;0,I3529,I3529+1)</f>
        <v>505</v>
      </c>
      <c r="J3530">
        <f t="shared" si="282"/>
        <v>3528</v>
      </c>
      <c r="K3530">
        <f>IF(calendar[[#This Row],[Month]]&lt;4,1,IF(calendar[[#This Row],[Month]]&lt;7,2,IF(calendar[[#This Row],[Month]]&lt;10,3,4)))</f>
        <v>3</v>
      </c>
      <c r="L3530">
        <f>IFERROR(IF(VLOOKUP(calendar[[#This Row],[Date]],BH!A:A,1,)&lt;&gt;"",1,0),0)</f>
        <v>0</v>
      </c>
      <c r="M3530">
        <f>IFERROR(IF(VLOOKUP(calendar[[#This Row],[Date]],BH!C:C,1,)&lt;&gt;"",1,0),0)</f>
        <v>0</v>
      </c>
      <c r="N3530">
        <f>IFERROR(IF(VLOOKUP(calendar[[#This Row],[Date]],BH!E:E,1,)&lt;&gt;"",1,0),0)</f>
        <v>0</v>
      </c>
      <c r="O3530">
        <f>IFERROR(IF(VLOOKUP(calendar[[#This Row],[Date]],BH!G:G,1,)&lt;&gt;"",1,0),0)</f>
        <v>0</v>
      </c>
      <c r="P3530">
        <f>IF(OR(calendar[[#This Row],[UK_BH]]=1,calendar[[#This Row],[WeekDay]]=1, calendar[[#This Row],[WeekDay]]=7),P3529,P3529+1)</f>
        <v>2507</v>
      </c>
      <c r="Q3530">
        <f>IF(OR(calendar[[#This Row],[FR_BH]]=1,calendar[[#This Row],[WeekDay]]=1, calendar[[#This Row],[WeekDay]]=7),P3529,P3529+1)</f>
        <v>2507</v>
      </c>
      <c r="R3530">
        <f>IF(OR(calendar[[#This Row],[SP_BH]]=1,calendar[[#This Row],[WeekDay]]=1, calendar[[#This Row],[WeekDay]]=7),P3529,P3529+1)</f>
        <v>2507</v>
      </c>
      <c r="S3530">
        <f>IF(OR(calendar[[#This Row],[PT_BH]]=1,calendar[[#This Row],[WeekDay]]=1, calendar[[#This Row],[WeekDay]]=7),P3529,P3529+1)</f>
        <v>2507</v>
      </c>
    </row>
    <row r="3531" spans="1:19" x14ac:dyDescent="0.25">
      <c r="A3531" s="2">
        <v>46265</v>
      </c>
      <c r="B3531" s="1">
        <f t="shared" si="281"/>
        <v>36</v>
      </c>
      <c r="C3531">
        <f t="shared" si="278"/>
        <v>8</v>
      </c>
      <c r="D3531" t="str">
        <f t="shared" si="279"/>
        <v>August</v>
      </c>
      <c r="E3531">
        <f t="shared" si="280"/>
        <v>2026</v>
      </c>
      <c r="F3531" t="str">
        <f>CONCATENATE(calendar[[#This Row],[Month]],"/",calendar[[#This Row],[Year]])</f>
        <v>8/2026</v>
      </c>
      <c r="G3531">
        <f>WEEKDAY(calendar[[#This Row],[Date]],1)</f>
        <v>2</v>
      </c>
      <c r="H3531" t="str">
        <f>TEXT(calendar[[#This Row],[WeekDay]],"dddd")</f>
        <v>Monday</v>
      </c>
      <c r="I3531">
        <f>IF((INT(calendar[[#This Row],[Count]]/7)-calendar[[#This Row],[Count]]/7)&lt;0,I3530,I3530+1)</f>
        <v>505</v>
      </c>
      <c r="J3531">
        <f t="shared" si="282"/>
        <v>3529</v>
      </c>
      <c r="K3531">
        <f>IF(calendar[[#This Row],[Month]]&lt;4,1,IF(calendar[[#This Row],[Month]]&lt;7,2,IF(calendar[[#This Row],[Month]]&lt;10,3,4)))</f>
        <v>3</v>
      </c>
      <c r="L3531">
        <f>IFERROR(IF(VLOOKUP(calendar[[#This Row],[Date]],BH!A:A,1,)&lt;&gt;"",1,0),0)</f>
        <v>1</v>
      </c>
      <c r="M3531">
        <f>IFERROR(IF(VLOOKUP(calendar[[#This Row],[Date]],BH!C:C,1,)&lt;&gt;"",1,0),0)</f>
        <v>0</v>
      </c>
      <c r="N3531">
        <f>IFERROR(IF(VLOOKUP(calendar[[#This Row],[Date]],BH!E:E,1,)&lt;&gt;"",1,0),0)</f>
        <v>0</v>
      </c>
      <c r="O3531">
        <f>IFERROR(IF(VLOOKUP(calendar[[#This Row],[Date]],BH!G:G,1,)&lt;&gt;"",1,0),0)</f>
        <v>0</v>
      </c>
      <c r="P3531">
        <f>IF(OR(calendar[[#This Row],[UK_BH]]=1,calendar[[#This Row],[WeekDay]]=1, calendar[[#This Row],[WeekDay]]=7),P3530,P3530+1)</f>
        <v>2507</v>
      </c>
      <c r="Q3531">
        <f>IF(OR(calendar[[#This Row],[FR_BH]]=1,calendar[[#This Row],[WeekDay]]=1, calendar[[#This Row],[WeekDay]]=7),P3530,P3530+1)</f>
        <v>2508</v>
      </c>
      <c r="R3531">
        <f>IF(OR(calendar[[#This Row],[SP_BH]]=1,calendar[[#This Row],[WeekDay]]=1, calendar[[#This Row],[WeekDay]]=7),P3530,P3530+1)</f>
        <v>2508</v>
      </c>
      <c r="S3531">
        <f>IF(OR(calendar[[#This Row],[PT_BH]]=1,calendar[[#This Row],[WeekDay]]=1, calendar[[#This Row],[WeekDay]]=7),P3530,P3530+1)</f>
        <v>2508</v>
      </c>
    </row>
    <row r="3532" spans="1:19" x14ac:dyDescent="0.25">
      <c r="A3532" s="2">
        <v>46266</v>
      </c>
      <c r="B3532" s="1">
        <f t="shared" si="281"/>
        <v>36</v>
      </c>
      <c r="C3532">
        <f t="shared" si="278"/>
        <v>9</v>
      </c>
      <c r="D3532" t="str">
        <f t="shared" si="279"/>
        <v>September</v>
      </c>
      <c r="E3532">
        <f t="shared" si="280"/>
        <v>2026</v>
      </c>
      <c r="F3532" t="str">
        <f>CONCATENATE(calendar[[#This Row],[Month]],"/",calendar[[#This Row],[Year]])</f>
        <v>9/2026</v>
      </c>
      <c r="G3532">
        <f>WEEKDAY(calendar[[#This Row],[Date]],1)</f>
        <v>3</v>
      </c>
      <c r="H3532" t="str">
        <f>TEXT(calendar[[#This Row],[WeekDay]],"dddd")</f>
        <v>Tuesday</v>
      </c>
      <c r="I3532">
        <f>IF((INT(calendar[[#This Row],[Count]]/7)-calendar[[#This Row],[Count]]/7)&lt;0,I3531,I3531+1)</f>
        <v>505</v>
      </c>
      <c r="J3532">
        <f t="shared" si="282"/>
        <v>3530</v>
      </c>
      <c r="K3532">
        <f>IF(calendar[[#This Row],[Month]]&lt;4,1,IF(calendar[[#This Row],[Month]]&lt;7,2,IF(calendar[[#This Row],[Month]]&lt;10,3,4)))</f>
        <v>3</v>
      </c>
      <c r="L3532">
        <f>IFERROR(IF(VLOOKUP(calendar[[#This Row],[Date]],BH!A:A,1,)&lt;&gt;"",1,0),0)</f>
        <v>0</v>
      </c>
      <c r="M3532">
        <f>IFERROR(IF(VLOOKUP(calendar[[#This Row],[Date]],BH!C:C,1,)&lt;&gt;"",1,0),0)</f>
        <v>0</v>
      </c>
      <c r="N3532">
        <f>IFERROR(IF(VLOOKUP(calendar[[#This Row],[Date]],BH!E:E,1,)&lt;&gt;"",1,0),0)</f>
        <v>0</v>
      </c>
      <c r="O3532">
        <f>IFERROR(IF(VLOOKUP(calendar[[#This Row],[Date]],BH!G:G,1,)&lt;&gt;"",1,0),0)</f>
        <v>0</v>
      </c>
      <c r="P3532">
        <f>IF(OR(calendar[[#This Row],[UK_BH]]=1,calendar[[#This Row],[WeekDay]]=1, calendar[[#This Row],[WeekDay]]=7),P3531,P3531+1)</f>
        <v>2508</v>
      </c>
      <c r="Q3532">
        <f>IF(OR(calendar[[#This Row],[FR_BH]]=1,calendar[[#This Row],[WeekDay]]=1, calendar[[#This Row],[WeekDay]]=7),P3531,P3531+1)</f>
        <v>2508</v>
      </c>
      <c r="R3532">
        <f>IF(OR(calendar[[#This Row],[SP_BH]]=1,calendar[[#This Row],[WeekDay]]=1, calendar[[#This Row],[WeekDay]]=7),P3531,P3531+1)</f>
        <v>2508</v>
      </c>
      <c r="S3532">
        <f>IF(OR(calendar[[#This Row],[PT_BH]]=1,calendar[[#This Row],[WeekDay]]=1, calendar[[#This Row],[WeekDay]]=7),P3531,P3531+1)</f>
        <v>2508</v>
      </c>
    </row>
    <row r="3533" spans="1:19" x14ac:dyDescent="0.25">
      <c r="A3533" s="2">
        <v>46267</v>
      </c>
      <c r="B3533" s="1">
        <f t="shared" si="281"/>
        <v>36</v>
      </c>
      <c r="C3533">
        <f t="shared" si="278"/>
        <v>9</v>
      </c>
      <c r="D3533" t="str">
        <f t="shared" si="279"/>
        <v>September</v>
      </c>
      <c r="E3533">
        <f t="shared" si="280"/>
        <v>2026</v>
      </c>
      <c r="F3533" t="str">
        <f>CONCATENATE(calendar[[#This Row],[Month]],"/",calendar[[#This Row],[Year]])</f>
        <v>9/2026</v>
      </c>
      <c r="G3533">
        <f>WEEKDAY(calendar[[#This Row],[Date]],1)</f>
        <v>4</v>
      </c>
      <c r="H3533" t="str">
        <f>TEXT(calendar[[#This Row],[WeekDay]],"dddd")</f>
        <v>Wednesday</v>
      </c>
      <c r="I3533">
        <f>IF((INT(calendar[[#This Row],[Count]]/7)-calendar[[#This Row],[Count]]/7)&lt;0,I3532,I3532+1)</f>
        <v>505</v>
      </c>
      <c r="J3533">
        <f t="shared" si="282"/>
        <v>3531</v>
      </c>
      <c r="K3533">
        <f>IF(calendar[[#This Row],[Month]]&lt;4,1,IF(calendar[[#This Row],[Month]]&lt;7,2,IF(calendar[[#This Row],[Month]]&lt;10,3,4)))</f>
        <v>3</v>
      </c>
      <c r="L3533">
        <f>IFERROR(IF(VLOOKUP(calendar[[#This Row],[Date]],BH!A:A,1,)&lt;&gt;"",1,0),0)</f>
        <v>0</v>
      </c>
      <c r="M3533">
        <f>IFERROR(IF(VLOOKUP(calendar[[#This Row],[Date]],BH!C:C,1,)&lt;&gt;"",1,0),0)</f>
        <v>0</v>
      </c>
      <c r="N3533">
        <f>IFERROR(IF(VLOOKUP(calendar[[#This Row],[Date]],BH!E:E,1,)&lt;&gt;"",1,0),0)</f>
        <v>0</v>
      </c>
      <c r="O3533">
        <f>IFERROR(IF(VLOOKUP(calendar[[#This Row],[Date]],BH!G:G,1,)&lt;&gt;"",1,0),0)</f>
        <v>0</v>
      </c>
      <c r="P3533">
        <f>IF(OR(calendar[[#This Row],[UK_BH]]=1,calendar[[#This Row],[WeekDay]]=1, calendar[[#This Row],[WeekDay]]=7),P3532,P3532+1)</f>
        <v>2509</v>
      </c>
      <c r="Q3533">
        <f>IF(OR(calendar[[#This Row],[FR_BH]]=1,calendar[[#This Row],[WeekDay]]=1, calendar[[#This Row],[WeekDay]]=7),P3532,P3532+1)</f>
        <v>2509</v>
      </c>
      <c r="R3533">
        <f>IF(OR(calendar[[#This Row],[SP_BH]]=1,calendar[[#This Row],[WeekDay]]=1, calendar[[#This Row],[WeekDay]]=7),P3532,P3532+1)</f>
        <v>2509</v>
      </c>
      <c r="S3533">
        <f>IF(OR(calendar[[#This Row],[PT_BH]]=1,calendar[[#This Row],[WeekDay]]=1, calendar[[#This Row],[WeekDay]]=7),P3532,P3532+1)</f>
        <v>2509</v>
      </c>
    </row>
    <row r="3534" spans="1:19" x14ac:dyDescent="0.25">
      <c r="A3534" s="2">
        <v>46268</v>
      </c>
      <c r="B3534" s="1">
        <f t="shared" si="281"/>
        <v>36</v>
      </c>
      <c r="C3534">
        <f t="shared" si="278"/>
        <v>9</v>
      </c>
      <c r="D3534" t="str">
        <f t="shared" si="279"/>
        <v>September</v>
      </c>
      <c r="E3534">
        <f t="shared" si="280"/>
        <v>2026</v>
      </c>
      <c r="F3534" t="str">
        <f>CONCATENATE(calendar[[#This Row],[Month]],"/",calendar[[#This Row],[Year]])</f>
        <v>9/2026</v>
      </c>
      <c r="G3534">
        <f>WEEKDAY(calendar[[#This Row],[Date]],1)</f>
        <v>5</v>
      </c>
      <c r="H3534" t="str">
        <f>TEXT(calendar[[#This Row],[WeekDay]],"dddd")</f>
        <v>Thursday</v>
      </c>
      <c r="I3534">
        <f>IF((INT(calendar[[#This Row],[Count]]/7)-calendar[[#This Row],[Count]]/7)&lt;0,I3533,I3533+1)</f>
        <v>505</v>
      </c>
      <c r="J3534">
        <f t="shared" si="282"/>
        <v>3532</v>
      </c>
      <c r="K3534">
        <f>IF(calendar[[#This Row],[Month]]&lt;4,1,IF(calendar[[#This Row],[Month]]&lt;7,2,IF(calendar[[#This Row],[Month]]&lt;10,3,4)))</f>
        <v>3</v>
      </c>
      <c r="L3534">
        <f>IFERROR(IF(VLOOKUP(calendar[[#This Row],[Date]],BH!A:A,1,)&lt;&gt;"",1,0),0)</f>
        <v>0</v>
      </c>
      <c r="M3534">
        <f>IFERROR(IF(VLOOKUP(calendar[[#This Row],[Date]],BH!C:C,1,)&lt;&gt;"",1,0),0)</f>
        <v>0</v>
      </c>
      <c r="N3534">
        <f>IFERROR(IF(VLOOKUP(calendar[[#This Row],[Date]],BH!E:E,1,)&lt;&gt;"",1,0),0)</f>
        <v>0</v>
      </c>
      <c r="O3534">
        <f>IFERROR(IF(VLOOKUP(calendar[[#This Row],[Date]],BH!G:G,1,)&lt;&gt;"",1,0),0)</f>
        <v>0</v>
      </c>
      <c r="P3534">
        <f>IF(OR(calendar[[#This Row],[UK_BH]]=1,calendar[[#This Row],[WeekDay]]=1, calendar[[#This Row],[WeekDay]]=7),P3533,P3533+1)</f>
        <v>2510</v>
      </c>
      <c r="Q3534">
        <f>IF(OR(calendar[[#This Row],[FR_BH]]=1,calendar[[#This Row],[WeekDay]]=1, calendar[[#This Row],[WeekDay]]=7),P3533,P3533+1)</f>
        <v>2510</v>
      </c>
      <c r="R3534">
        <f>IF(OR(calendar[[#This Row],[SP_BH]]=1,calendar[[#This Row],[WeekDay]]=1, calendar[[#This Row],[WeekDay]]=7),P3533,P3533+1)</f>
        <v>2510</v>
      </c>
      <c r="S3534">
        <f>IF(OR(calendar[[#This Row],[PT_BH]]=1,calendar[[#This Row],[WeekDay]]=1, calendar[[#This Row],[WeekDay]]=7),P3533,P3533+1)</f>
        <v>2510</v>
      </c>
    </row>
    <row r="3535" spans="1:19" x14ac:dyDescent="0.25">
      <c r="A3535" s="2">
        <v>46269</v>
      </c>
      <c r="B3535" s="1">
        <f t="shared" si="281"/>
        <v>36</v>
      </c>
      <c r="C3535">
        <f t="shared" si="278"/>
        <v>9</v>
      </c>
      <c r="D3535" t="str">
        <f t="shared" si="279"/>
        <v>September</v>
      </c>
      <c r="E3535">
        <f t="shared" si="280"/>
        <v>2026</v>
      </c>
      <c r="F3535" t="str">
        <f>CONCATENATE(calendar[[#This Row],[Month]],"/",calendar[[#This Row],[Year]])</f>
        <v>9/2026</v>
      </c>
      <c r="G3535">
        <f>WEEKDAY(calendar[[#This Row],[Date]],1)</f>
        <v>6</v>
      </c>
      <c r="H3535" t="str">
        <f>TEXT(calendar[[#This Row],[WeekDay]],"dddd")</f>
        <v>Friday</v>
      </c>
      <c r="I3535">
        <f>IF((INT(calendar[[#This Row],[Count]]/7)-calendar[[#This Row],[Count]]/7)&lt;0,I3534,I3534+1)</f>
        <v>505</v>
      </c>
      <c r="J3535">
        <f t="shared" si="282"/>
        <v>3533</v>
      </c>
      <c r="K3535">
        <f>IF(calendar[[#This Row],[Month]]&lt;4,1,IF(calendar[[#This Row],[Month]]&lt;7,2,IF(calendar[[#This Row],[Month]]&lt;10,3,4)))</f>
        <v>3</v>
      </c>
      <c r="L3535">
        <f>IFERROR(IF(VLOOKUP(calendar[[#This Row],[Date]],BH!A:A,1,)&lt;&gt;"",1,0),0)</f>
        <v>0</v>
      </c>
      <c r="M3535">
        <f>IFERROR(IF(VLOOKUP(calendar[[#This Row],[Date]],BH!C:C,1,)&lt;&gt;"",1,0),0)</f>
        <v>0</v>
      </c>
      <c r="N3535">
        <f>IFERROR(IF(VLOOKUP(calendar[[#This Row],[Date]],BH!E:E,1,)&lt;&gt;"",1,0),0)</f>
        <v>0</v>
      </c>
      <c r="O3535">
        <f>IFERROR(IF(VLOOKUP(calendar[[#This Row],[Date]],BH!G:G,1,)&lt;&gt;"",1,0),0)</f>
        <v>0</v>
      </c>
      <c r="P3535">
        <f>IF(OR(calendar[[#This Row],[UK_BH]]=1,calendar[[#This Row],[WeekDay]]=1, calendar[[#This Row],[WeekDay]]=7),P3534,P3534+1)</f>
        <v>2511</v>
      </c>
      <c r="Q3535">
        <f>IF(OR(calendar[[#This Row],[FR_BH]]=1,calendar[[#This Row],[WeekDay]]=1, calendar[[#This Row],[WeekDay]]=7),P3534,P3534+1)</f>
        <v>2511</v>
      </c>
      <c r="R3535">
        <f>IF(OR(calendar[[#This Row],[SP_BH]]=1,calendar[[#This Row],[WeekDay]]=1, calendar[[#This Row],[WeekDay]]=7),P3534,P3534+1)</f>
        <v>2511</v>
      </c>
      <c r="S3535">
        <f>IF(OR(calendar[[#This Row],[PT_BH]]=1,calendar[[#This Row],[WeekDay]]=1, calendar[[#This Row],[WeekDay]]=7),P3534,P3534+1)</f>
        <v>2511</v>
      </c>
    </row>
    <row r="3536" spans="1:19" x14ac:dyDescent="0.25">
      <c r="A3536" s="2">
        <v>46270</v>
      </c>
      <c r="B3536" s="1">
        <f t="shared" si="281"/>
        <v>36</v>
      </c>
      <c r="C3536">
        <f t="shared" si="278"/>
        <v>9</v>
      </c>
      <c r="D3536" t="str">
        <f t="shared" si="279"/>
        <v>September</v>
      </c>
      <c r="E3536">
        <f t="shared" si="280"/>
        <v>2026</v>
      </c>
      <c r="F3536" t="str">
        <f>CONCATENATE(calendar[[#This Row],[Month]],"/",calendar[[#This Row],[Year]])</f>
        <v>9/2026</v>
      </c>
      <c r="G3536">
        <f>WEEKDAY(calendar[[#This Row],[Date]],1)</f>
        <v>7</v>
      </c>
      <c r="H3536" t="str">
        <f>TEXT(calendar[[#This Row],[WeekDay]],"dddd")</f>
        <v>Saturday</v>
      </c>
      <c r="I3536">
        <f>IF((INT(calendar[[#This Row],[Count]]/7)-calendar[[#This Row],[Count]]/7)&lt;0,I3535,I3535+1)</f>
        <v>505</v>
      </c>
      <c r="J3536">
        <f t="shared" si="282"/>
        <v>3534</v>
      </c>
      <c r="K3536">
        <f>IF(calendar[[#This Row],[Month]]&lt;4,1,IF(calendar[[#This Row],[Month]]&lt;7,2,IF(calendar[[#This Row],[Month]]&lt;10,3,4)))</f>
        <v>3</v>
      </c>
      <c r="L3536">
        <f>IFERROR(IF(VLOOKUP(calendar[[#This Row],[Date]],BH!A:A,1,)&lt;&gt;"",1,0),0)</f>
        <v>0</v>
      </c>
      <c r="M3536">
        <f>IFERROR(IF(VLOOKUP(calendar[[#This Row],[Date]],BH!C:C,1,)&lt;&gt;"",1,0),0)</f>
        <v>0</v>
      </c>
      <c r="N3536">
        <f>IFERROR(IF(VLOOKUP(calendar[[#This Row],[Date]],BH!E:E,1,)&lt;&gt;"",1,0),0)</f>
        <v>0</v>
      </c>
      <c r="O3536">
        <f>IFERROR(IF(VLOOKUP(calendar[[#This Row],[Date]],BH!G:G,1,)&lt;&gt;"",1,0),0)</f>
        <v>0</v>
      </c>
      <c r="P3536">
        <f>IF(OR(calendar[[#This Row],[UK_BH]]=1,calendar[[#This Row],[WeekDay]]=1, calendar[[#This Row],[WeekDay]]=7),P3535,P3535+1)</f>
        <v>2511</v>
      </c>
      <c r="Q3536">
        <f>IF(OR(calendar[[#This Row],[FR_BH]]=1,calendar[[#This Row],[WeekDay]]=1, calendar[[#This Row],[WeekDay]]=7),P3535,P3535+1)</f>
        <v>2511</v>
      </c>
      <c r="R3536">
        <f>IF(OR(calendar[[#This Row],[SP_BH]]=1,calendar[[#This Row],[WeekDay]]=1, calendar[[#This Row],[WeekDay]]=7),P3535,P3535+1)</f>
        <v>2511</v>
      </c>
      <c r="S3536">
        <f>IF(OR(calendar[[#This Row],[PT_BH]]=1,calendar[[#This Row],[WeekDay]]=1, calendar[[#This Row],[WeekDay]]=7),P3535,P3535+1)</f>
        <v>2511</v>
      </c>
    </row>
    <row r="3537" spans="1:19" x14ac:dyDescent="0.25">
      <c r="A3537" s="2">
        <v>46271</v>
      </c>
      <c r="B3537" s="1">
        <f t="shared" si="281"/>
        <v>37</v>
      </c>
      <c r="C3537">
        <f t="shared" si="278"/>
        <v>9</v>
      </c>
      <c r="D3537" t="str">
        <f t="shared" si="279"/>
        <v>September</v>
      </c>
      <c r="E3537">
        <f t="shared" si="280"/>
        <v>2026</v>
      </c>
      <c r="F3537" t="str">
        <f>CONCATENATE(calendar[[#This Row],[Month]],"/",calendar[[#This Row],[Year]])</f>
        <v>9/2026</v>
      </c>
      <c r="G3537">
        <f>WEEKDAY(calendar[[#This Row],[Date]],1)</f>
        <v>1</v>
      </c>
      <c r="H3537" t="str">
        <f>TEXT(calendar[[#This Row],[WeekDay]],"dddd")</f>
        <v>Sunday</v>
      </c>
      <c r="I3537">
        <f>IF((INT(calendar[[#This Row],[Count]]/7)-calendar[[#This Row],[Count]]/7)&lt;0,I3536,I3536+1)</f>
        <v>506</v>
      </c>
      <c r="J3537">
        <f t="shared" si="282"/>
        <v>3535</v>
      </c>
      <c r="K3537">
        <f>IF(calendar[[#This Row],[Month]]&lt;4,1,IF(calendar[[#This Row],[Month]]&lt;7,2,IF(calendar[[#This Row],[Month]]&lt;10,3,4)))</f>
        <v>3</v>
      </c>
      <c r="L3537">
        <f>IFERROR(IF(VLOOKUP(calendar[[#This Row],[Date]],BH!A:A,1,)&lt;&gt;"",1,0),0)</f>
        <v>0</v>
      </c>
      <c r="M3537">
        <f>IFERROR(IF(VLOOKUP(calendar[[#This Row],[Date]],BH!C:C,1,)&lt;&gt;"",1,0),0)</f>
        <v>0</v>
      </c>
      <c r="N3537">
        <f>IFERROR(IF(VLOOKUP(calendar[[#This Row],[Date]],BH!E:E,1,)&lt;&gt;"",1,0),0)</f>
        <v>0</v>
      </c>
      <c r="O3537">
        <f>IFERROR(IF(VLOOKUP(calendar[[#This Row],[Date]],BH!G:G,1,)&lt;&gt;"",1,0),0)</f>
        <v>0</v>
      </c>
      <c r="P3537">
        <f>IF(OR(calendar[[#This Row],[UK_BH]]=1,calendar[[#This Row],[WeekDay]]=1, calendar[[#This Row],[WeekDay]]=7),P3536,P3536+1)</f>
        <v>2511</v>
      </c>
      <c r="Q3537">
        <f>IF(OR(calendar[[#This Row],[FR_BH]]=1,calendar[[#This Row],[WeekDay]]=1, calendar[[#This Row],[WeekDay]]=7),P3536,P3536+1)</f>
        <v>2511</v>
      </c>
      <c r="R3537">
        <f>IF(OR(calendar[[#This Row],[SP_BH]]=1,calendar[[#This Row],[WeekDay]]=1, calendar[[#This Row],[WeekDay]]=7),P3536,P3536+1)</f>
        <v>2511</v>
      </c>
      <c r="S3537">
        <f>IF(OR(calendar[[#This Row],[PT_BH]]=1,calendar[[#This Row],[WeekDay]]=1, calendar[[#This Row],[WeekDay]]=7),P3536,P3536+1)</f>
        <v>2511</v>
      </c>
    </row>
    <row r="3538" spans="1:19" x14ac:dyDescent="0.25">
      <c r="A3538" s="2">
        <v>46272</v>
      </c>
      <c r="B3538" s="1">
        <f t="shared" si="281"/>
        <v>37</v>
      </c>
      <c r="C3538">
        <f t="shared" si="278"/>
        <v>9</v>
      </c>
      <c r="D3538" t="str">
        <f t="shared" si="279"/>
        <v>September</v>
      </c>
      <c r="E3538">
        <f t="shared" si="280"/>
        <v>2026</v>
      </c>
      <c r="F3538" t="str">
        <f>CONCATENATE(calendar[[#This Row],[Month]],"/",calendar[[#This Row],[Year]])</f>
        <v>9/2026</v>
      </c>
      <c r="G3538">
        <f>WEEKDAY(calendar[[#This Row],[Date]],1)</f>
        <v>2</v>
      </c>
      <c r="H3538" t="str">
        <f>TEXT(calendar[[#This Row],[WeekDay]],"dddd")</f>
        <v>Monday</v>
      </c>
      <c r="I3538">
        <f>IF((INT(calendar[[#This Row],[Count]]/7)-calendar[[#This Row],[Count]]/7)&lt;0,I3537,I3537+1)</f>
        <v>506</v>
      </c>
      <c r="J3538">
        <f t="shared" si="282"/>
        <v>3536</v>
      </c>
      <c r="K3538">
        <f>IF(calendar[[#This Row],[Month]]&lt;4,1,IF(calendar[[#This Row],[Month]]&lt;7,2,IF(calendar[[#This Row],[Month]]&lt;10,3,4)))</f>
        <v>3</v>
      </c>
      <c r="L3538">
        <f>IFERROR(IF(VLOOKUP(calendar[[#This Row],[Date]],BH!A:A,1,)&lt;&gt;"",1,0),0)</f>
        <v>0</v>
      </c>
      <c r="M3538">
        <f>IFERROR(IF(VLOOKUP(calendar[[#This Row],[Date]],BH!C:C,1,)&lt;&gt;"",1,0),0)</f>
        <v>0</v>
      </c>
      <c r="N3538">
        <f>IFERROR(IF(VLOOKUP(calendar[[#This Row],[Date]],BH!E:E,1,)&lt;&gt;"",1,0),0)</f>
        <v>0</v>
      </c>
      <c r="O3538">
        <f>IFERROR(IF(VLOOKUP(calendar[[#This Row],[Date]],BH!G:G,1,)&lt;&gt;"",1,0),0)</f>
        <v>0</v>
      </c>
      <c r="P3538">
        <f>IF(OR(calendar[[#This Row],[UK_BH]]=1,calendar[[#This Row],[WeekDay]]=1, calendar[[#This Row],[WeekDay]]=7),P3537,P3537+1)</f>
        <v>2512</v>
      </c>
      <c r="Q3538">
        <f>IF(OR(calendar[[#This Row],[FR_BH]]=1,calendar[[#This Row],[WeekDay]]=1, calendar[[#This Row],[WeekDay]]=7),P3537,P3537+1)</f>
        <v>2512</v>
      </c>
      <c r="R3538">
        <f>IF(OR(calendar[[#This Row],[SP_BH]]=1,calendar[[#This Row],[WeekDay]]=1, calendar[[#This Row],[WeekDay]]=7),P3537,P3537+1)</f>
        <v>2512</v>
      </c>
      <c r="S3538">
        <f>IF(OR(calendar[[#This Row],[PT_BH]]=1,calendar[[#This Row],[WeekDay]]=1, calendar[[#This Row],[WeekDay]]=7),P3537,P3537+1)</f>
        <v>2512</v>
      </c>
    </row>
    <row r="3539" spans="1:19" x14ac:dyDescent="0.25">
      <c r="A3539" s="2">
        <v>46273</v>
      </c>
      <c r="B3539" s="1">
        <f t="shared" si="281"/>
        <v>37</v>
      </c>
      <c r="C3539">
        <f t="shared" si="278"/>
        <v>9</v>
      </c>
      <c r="D3539" t="str">
        <f t="shared" si="279"/>
        <v>September</v>
      </c>
      <c r="E3539">
        <f t="shared" si="280"/>
        <v>2026</v>
      </c>
      <c r="F3539" t="str">
        <f>CONCATENATE(calendar[[#This Row],[Month]],"/",calendar[[#This Row],[Year]])</f>
        <v>9/2026</v>
      </c>
      <c r="G3539">
        <f>WEEKDAY(calendar[[#This Row],[Date]],1)</f>
        <v>3</v>
      </c>
      <c r="H3539" t="str">
        <f>TEXT(calendar[[#This Row],[WeekDay]],"dddd")</f>
        <v>Tuesday</v>
      </c>
      <c r="I3539">
        <f>IF((INT(calendar[[#This Row],[Count]]/7)-calendar[[#This Row],[Count]]/7)&lt;0,I3538,I3538+1)</f>
        <v>506</v>
      </c>
      <c r="J3539">
        <f t="shared" si="282"/>
        <v>3537</v>
      </c>
      <c r="K3539">
        <f>IF(calendar[[#This Row],[Month]]&lt;4,1,IF(calendar[[#This Row],[Month]]&lt;7,2,IF(calendar[[#This Row],[Month]]&lt;10,3,4)))</f>
        <v>3</v>
      </c>
      <c r="L3539">
        <f>IFERROR(IF(VLOOKUP(calendar[[#This Row],[Date]],BH!A:A,1,)&lt;&gt;"",1,0),0)</f>
        <v>0</v>
      </c>
      <c r="M3539">
        <f>IFERROR(IF(VLOOKUP(calendar[[#This Row],[Date]],BH!C:C,1,)&lt;&gt;"",1,0),0)</f>
        <v>0</v>
      </c>
      <c r="N3539">
        <f>IFERROR(IF(VLOOKUP(calendar[[#This Row],[Date]],BH!E:E,1,)&lt;&gt;"",1,0),0)</f>
        <v>0</v>
      </c>
      <c r="O3539">
        <f>IFERROR(IF(VLOOKUP(calendar[[#This Row],[Date]],BH!G:G,1,)&lt;&gt;"",1,0),0)</f>
        <v>0</v>
      </c>
      <c r="P3539">
        <f>IF(OR(calendar[[#This Row],[UK_BH]]=1,calendar[[#This Row],[WeekDay]]=1, calendar[[#This Row],[WeekDay]]=7),P3538,P3538+1)</f>
        <v>2513</v>
      </c>
      <c r="Q3539">
        <f>IF(OR(calendar[[#This Row],[FR_BH]]=1,calendar[[#This Row],[WeekDay]]=1, calendar[[#This Row],[WeekDay]]=7),P3538,P3538+1)</f>
        <v>2513</v>
      </c>
      <c r="R3539">
        <f>IF(OR(calendar[[#This Row],[SP_BH]]=1,calendar[[#This Row],[WeekDay]]=1, calendar[[#This Row],[WeekDay]]=7),P3538,P3538+1)</f>
        <v>2513</v>
      </c>
      <c r="S3539">
        <f>IF(OR(calendar[[#This Row],[PT_BH]]=1,calendar[[#This Row],[WeekDay]]=1, calendar[[#This Row],[WeekDay]]=7),P3538,P3538+1)</f>
        <v>2513</v>
      </c>
    </row>
    <row r="3540" spans="1:19" x14ac:dyDescent="0.25">
      <c r="A3540" s="2">
        <v>46274</v>
      </c>
      <c r="B3540" s="1">
        <f t="shared" si="281"/>
        <v>37</v>
      </c>
      <c r="C3540">
        <f t="shared" si="278"/>
        <v>9</v>
      </c>
      <c r="D3540" t="str">
        <f t="shared" si="279"/>
        <v>September</v>
      </c>
      <c r="E3540">
        <f t="shared" si="280"/>
        <v>2026</v>
      </c>
      <c r="F3540" t="str">
        <f>CONCATENATE(calendar[[#This Row],[Month]],"/",calendar[[#This Row],[Year]])</f>
        <v>9/2026</v>
      </c>
      <c r="G3540">
        <f>WEEKDAY(calendar[[#This Row],[Date]],1)</f>
        <v>4</v>
      </c>
      <c r="H3540" t="str">
        <f>TEXT(calendar[[#This Row],[WeekDay]],"dddd")</f>
        <v>Wednesday</v>
      </c>
      <c r="I3540">
        <f>IF((INT(calendar[[#This Row],[Count]]/7)-calendar[[#This Row],[Count]]/7)&lt;0,I3539,I3539+1)</f>
        <v>506</v>
      </c>
      <c r="J3540">
        <f t="shared" si="282"/>
        <v>3538</v>
      </c>
      <c r="K3540">
        <f>IF(calendar[[#This Row],[Month]]&lt;4,1,IF(calendar[[#This Row],[Month]]&lt;7,2,IF(calendar[[#This Row],[Month]]&lt;10,3,4)))</f>
        <v>3</v>
      </c>
      <c r="L3540">
        <f>IFERROR(IF(VLOOKUP(calendar[[#This Row],[Date]],BH!A:A,1,)&lt;&gt;"",1,0),0)</f>
        <v>0</v>
      </c>
      <c r="M3540">
        <f>IFERROR(IF(VLOOKUP(calendar[[#This Row],[Date]],BH!C:C,1,)&lt;&gt;"",1,0),0)</f>
        <v>0</v>
      </c>
      <c r="N3540">
        <f>IFERROR(IF(VLOOKUP(calendar[[#This Row],[Date]],BH!E:E,1,)&lt;&gt;"",1,0),0)</f>
        <v>0</v>
      </c>
      <c r="O3540">
        <f>IFERROR(IF(VLOOKUP(calendar[[#This Row],[Date]],BH!G:G,1,)&lt;&gt;"",1,0),0)</f>
        <v>0</v>
      </c>
      <c r="P3540">
        <f>IF(OR(calendar[[#This Row],[UK_BH]]=1,calendar[[#This Row],[WeekDay]]=1, calendar[[#This Row],[WeekDay]]=7),P3539,P3539+1)</f>
        <v>2514</v>
      </c>
      <c r="Q3540">
        <f>IF(OR(calendar[[#This Row],[FR_BH]]=1,calendar[[#This Row],[WeekDay]]=1, calendar[[#This Row],[WeekDay]]=7),P3539,P3539+1)</f>
        <v>2514</v>
      </c>
      <c r="R3540">
        <f>IF(OR(calendar[[#This Row],[SP_BH]]=1,calendar[[#This Row],[WeekDay]]=1, calendar[[#This Row],[WeekDay]]=7),P3539,P3539+1)</f>
        <v>2514</v>
      </c>
      <c r="S3540">
        <f>IF(OR(calendar[[#This Row],[PT_BH]]=1,calendar[[#This Row],[WeekDay]]=1, calendar[[#This Row],[WeekDay]]=7),P3539,P3539+1)</f>
        <v>2514</v>
      </c>
    </row>
    <row r="3541" spans="1:19" x14ac:dyDescent="0.25">
      <c r="A3541" s="2">
        <v>46275</v>
      </c>
      <c r="B3541" s="1">
        <f t="shared" si="281"/>
        <v>37</v>
      </c>
      <c r="C3541">
        <f t="shared" si="278"/>
        <v>9</v>
      </c>
      <c r="D3541" t="str">
        <f t="shared" si="279"/>
        <v>September</v>
      </c>
      <c r="E3541">
        <f t="shared" si="280"/>
        <v>2026</v>
      </c>
      <c r="F3541" t="str">
        <f>CONCATENATE(calendar[[#This Row],[Month]],"/",calendar[[#This Row],[Year]])</f>
        <v>9/2026</v>
      </c>
      <c r="G3541">
        <f>WEEKDAY(calendar[[#This Row],[Date]],1)</f>
        <v>5</v>
      </c>
      <c r="H3541" t="str">
        <f>TEXT(calendar[[#This Row],[WeekDay]],"dddd")</f>
        <v>Thursday</v>
      </c>
      <c r="I3541">
        <f>IF((INT(calendar[[#This Row],[Count]]/7)-calendar[[#This Row],[Count]]/7)&lt;0,I3540,I3540+1)</f>
        <v>506</v>
      </c>
      <c r="J3541">
        <f t="shared" si="282"/>
        <v>3539</v>
      </c>
      <c r="K3541">
        <f>IF(calendar[[#This Row],[Month]]&lt;4,1,IF(calendar[[#This Row],[Month]]&lt;7,2,IF(calendar[[#This Row],[Month]]&lt;10,3,4)))</f>
        <v>3</v>
      </c>
      <c r="L3541">
        <f>IFERROR(IF(VLOOKUP(calendar[[#This Row],[Date]],BH!A:A,1,)&lt;&gt;"",1,0),0)</f>
        <v>0</v>
      </c>
      <c r="M3541">
        <f>IFERROR(IF(VLOOKUP(calendar[[#This Row],[Date]],BH!C:C,1,)&lt;&gt;"",1,0),0)</f>
        <v>0</v>
      </c>
      <c r="N3541">
        <f>IFERROR(IF(VLOOKUP(calendar[[#This Row],[Date]],BH!E:E,1,)&lt;&gt;"",1,0),0)</f>
        <v>0</v>
      </c>
      <c r="O3541">
        <f>IFERROR(IF(VLOOKUP(calendar[[#This Row],[Date]],BH!G:G,1,)&lt;&gt;"",1,0),0)</f>
        <v>0</v>
      </c>
      <c r="P3541">
        <f>IF(OR(calendar[[#This Row],[UK_BH]]=1,calendar[[#This Row],[WeekDay]]=1, calendar[[#This Row],[WeekDay]]=7),P3540,P3540+1)</f>
        <v>2515</v>
      </c>
      <c r="Q3541">
        <f>IF(OR(calendar[[#This Row],[FR_BH]]=1,calendar[[#This Row],[WeekDay]]=1, calendar[[#This Row],[WeekDay]]=7),P3540,P3540+1)</f>
        <v>2515</v>
      </c>
      <c r="R3541">
        <f>IF(OR(calendar[[#This Row],[SP_BH]]=1,calendar[[#This Row],[WeekDay]]=1, calendar[[#This Row],[WeekDay]]=7),P3540,P3540+1)</f>
        <v>2515</v>
      </c>
      <c r="S3541">
        <f>IF(OR(calendar[[#This Row],[PT_BH]]=1,calendar[[#This Row],[WeekDay]]=1, calendar[[#This Row],[WeekDay]]=7),P3540,P3540+1)</f>
        <v>2515</v>
      </c>
    </row>
    <row r="3542" spans="1:19" x14ac:dyDescent="0.25">
      <c r="A3542" s="2">
        <v>46276</v>
      </c>
      <c r="B3542" s="1">
        <f t="shared" si="281"/>
        <v>37</v>
      </c>
      <c r="C3542">
        <f t="shared" si="278"/>
        <v>9</v>
      </c>
      <c r="D3542" t="str">
        <f t="shared" si="279"/>
        <v>September</v>
      </c>
      <c r="E3542">
        <f t="shared" si="280"/>
        <v>2026</v>
      </c>
      <c r="F3542" t="str">
        <f>CONCATENATE(calendar[[#This Row],[Month]],"/",calendar[[#This Row],[Year]])</f>
        <v>9/2026</v>
      </c>
      <c r="G3542">
        <f>WEEKDAY(calendar[[#This Row],[Date]],1)</f>
        <v>6</v>
      </c>
      <c r="H3542" t="str">
        <f>TEXT(calendar[[#This Row],[WeekDay]],"dddd")</f>
        <v>Friday</v>
      </c>
      <c r="I3542">
        <f>IF((INT(calendar[[#This Row],[Count]]/7)-calendar[[#This Row],[Count]]/7)&lt;0,I3541,I3541+1)</f>
        <v>506</v>
      </c>
      <c r="J3542">
        <f t="shared" si="282"/>
        <v>3540</v>
      </c>
      <c r="K3542">
        <f>IF(calendar[[#This Row],[Month]]&lt;4,1,IF(calendar[[#This Row],[Month]]&lt;7,2,IF(calendar[[#This Row],[Month]]&lt;10,3,4)))</f>
        <v>3</v>
      </c>
      <c r="L3542">
        <f>IFERROR(IF(VLOOKUP(calendar[[#This Row],[Date]],BH!A:A,1,)&lt;&gt;"",1,0),0)</f>
        <v>0</v>
      </c>
      <c r="M3542">
        <f>IFERROR(IF(VLOOKUP(calendar[[#This Row],[Date]],BH!C:C,1,)&lt;&gt;"",1,0),0)</f>
        <v>0</v>
      </c>
      <c r="N3542">
        <f>IFERROR(IF(VLOOKUP(calendar[[#This Row],[Date]],BH!E:E,1,)&lt;&gt;"",1,0),0)</f>
        <v>0</v>
      </c>
      <c r="O3542">
        <f>IFERROR(IF(VLOOKUP(calendar[[#This Row],[Date]],BH!G:G,1,)&lt;&gt;"",1,0),0)</f>
        <v>0</v>
      </c>
      <c r="P3542">
        <f>IF(OR(calendar[[#This Row],[UK_BH]]=1,calendar[[#This Row],[WeekDay]]=1, calendar[[#This Row],[WeekDay]]=7),P3541,P3541+1)</f>
        <v>2516</v>
      </c>
      <c r="Q3542">
        <f>IF(OR(calendar[[#This Row],[FR_BH]]=1,calendar[[#This Row],[WeekDay]]=1, calendar[[#This Row],[WeekDay]]=7),P3541,P3541+1)</f>
        <v>2516</v>
      </c>
      <c r="R3542">
        <f>IF(OR(calendar[[#This Row],[SP_BH]]=1,calendar[[#This Row],[WeekDay]]=1, calendar[[#This Row],[WeekDay]]=7),P3541,P3541+1)</f>
        <v>2516</v>
      </c>
      <c r="S3542">
        <f>IF(OR(calendar[[#This Row],[PT_BH]]=1,calendar[[#This Row],[WeekDay]]=1, calendar[[#This Row],[WeekDay]]=7),P3541,P3541+1)</f>
        <v>2516</v>
      </c>
    </row>
    <row r="3543" spans="1:19" x14ac:dyDescent="0.25">
      <c r="A3543" s="2">
        <v>46277</v>
      </c>
      <c r="B3543" s="1">
        <f t="shared" si="281"/>
        <v>37</v>
      </c>
      <c r="C3543">
        <f t="shared" si="278"/>
        <v>9</v>
      </c>
      <c r="D3543" t="str">
        <f t="shared" si="279"/>
        <v>September</v>
      </c>
      <c r="E3543">
        <f t="shared" si="280"/>
        <v>2026</v>
      </c>
      <c r="F3543" t="str">
        <f>CONCATENATE(calendar[[#This Row],[Month]],"/",calendar[[#This Row],[Year]])</f>
        <v>9/2026</v>
      </c>
      <c r="G3543">
        <f>WEEKDAY(calendar[[#This Row],[Date]],1)</f>
        <v>7</v>
      </c>
      <c r="H3543" t="str">
        <f>TEXT(calendar[[#This Row],[WeekDay]],"dddd")</f>
        <v>Saturday</v>
      </c>
      <c r="I3543">
        <f>IF((INT(calendar[[#This Row],[Count]]/7)-calendar[[#This Row],[Count]]/7)&lt;0,I3542,I3542+1)</f>
        <v>506</v>
      </c>
      <c r="J3543">
        <f t="shared" si="282"/>
        <v>3541</v>
      </c>
      <c r="K3543">
        <f>IF(calendar[[#This Row],[Month]]&lt;4,1,IF(calendar[[#This Row],[Month]]&lt;7,2,IF(calendar[[#This Row],[Month]]&lt;10,3,4)))</f>
        <v>3</v>
      </c>
      <c r="L3543">
        <f>IFERROR(IF(VLOOKUP(calendar[[#This Row],[Date]],BH!A:A,1,)&lt;&gt;"",1,0),0)</f>
        <v>0</v>
      </c>
      <c r="M3543">
        <f>IFERROR(IF(VLOOKUP(calendar[[#This Row],[Date]],BH!C:C,1,)&lt;&gt;"",1,0),0)</f>
        <v>0</v>
      </c>
      <c r="N3543">
        <f>IFERROR(IF(VLOOKUP(calendar[[#This Row],[Date]],BH!E:E,1,)&lt;&gt;"",1,0),0)</f>
        <v>0</v>
      </c>
      <c r="O3543">
        <f>IFERROR(IF(VLOOKUP(calendar[[#This Row],[Date]],BH!G:G,1,)&lt;&gt;"",1,0),0)</f>
        <v>0</v>
      </c>
      <c r="P3543">
        <f>IF(OR(calendar[[#This Row],[UK_BH]]=1,calendar[[#This Row],[WeekDay]]=1, calendar[[#This Row],[WeekDay]]=7),P3542,P3542+1)</f>
        <v>2516</v>
      </c>
      <c r="Q3543">
        <f>IF(OR(calendar[[#This Row],[FR_BH]]=1,calendar[[#This Row],[WeekDay]]=1, calendar[[#This Row],[WeekDay]]=7),P3542,P3542+1)</f>
        <v>2516</v>
      </c>
      <c r="R3543">
        <f>IF(OR(calendar[[#This Row],[SP_BH]]=1,calendar[[#This Row],[WeekDay]]=1, calendar[[#This Row],[WeekDay]]=7),P3542,P3542+1)</f>
        <v>2516</v>
      </c>
      <c r="S3543">
        <f>IF(OR(calendar[[#This Row],[PT_BH]]=1,calendar[[#This Row],[WeekDay]]=1, calendar[[#This Row],[WeekDay]]=7),P3542,P3542+1)</f>
        <v>2516</v>
      </c>
    </row>
    <row r="3544" spans="1:19" x14ac:dyDescent="0.25">
      <c r="A3544" s="2">
        <v>46278</v>
      </c>
      <c r="B3544" s="1">
        <f t="shared" si="281"/>
        <v>38</v>
      </c>
      <c r="C3544">
        <f t="shared" si="278"/>
        <v>9</v>
      </c>
      <c r="D3544" t="str">
        <f t="shared" si="279"/>
        <v>September</v>
      </c>
      <c r="E3544">
        <f t="shared" si="280"/>
        <v>2026</v>
      </c>
      <c r="F3544" t="str">
        <f>CONCATENATE(calendar[[#This Row],[Month]],"/",calendar[[#This Row],[Year]])</f>
        <v>9/2026</v>
      </c>
      <c r="G3544">
        <f>WEEKDAY(calendar[[#This Row],[Date]],1)</f>
        <v>1</v>
      </c>
      <c r="H3544" t="str">
        <f>TEXT(calendar[[#This Row],[WeekDay]],"dddd")</f>
        <v>Sunday</v>
      </c>
      <c r="I3544">
        <f>IF((INT(calendar[[#This Row],[Count]]/7)-calendar[[#This Row],[Count]]/7)&lt;0,I3543,I3543+1)</f>
        <v>507</v>
      </c>
      <c r="J3544">
        <f t="shared" si="282"/>
        <v>3542</v>
      </c>
      <c r="K3544">
        <f>IF(calendar[[#This Row],[Month]]&lt;4,1,IF(calendar[[#This Row],[Month]]&lt;7,2,IF(calendar[[#This Row],[Month]]&lt;10,3,4)))</f>
        <v>3</v>
      </c>
      <c r="L3544">
        <f>IFERROR(IF(VLOOKUP(calendar[[#This Row],[Date]],BH!A:A,1,)&lt;&gt;"",1,0),0)</f>
        <v>0</v>
      </c>
      <c r="M3544">
        <f>IFERROR(IF(VLOOKUP(calendar[[#This Row],[Date]],BH!C:C,1,)&lt;&gt;"",1,0),0)</f>
        <v>0</v>
      </c>
      <c r="N3544">
        <f>IFERROR(IF(VLOOKUP(calendar[[#This Row],[Date]],BH!E:E,1,)&lt;&gt;"",1,0),0)</f>
        <v>0</v>
      </c>
      <c r="O3544">
        <f>IFERROR(IF(VLOOKUP(calendar[[#This Row],[Date]],BH!G:G,1,)&lt;&gt;"",1,0),0)</f>
        <v>0</v>
      </c>
      <c r="P3544">
        <f>IF(OR(calendar[[#This Row],[UK_BH]]=1,calendar[[#This Row],[WeekDay]]=1, calendar[[#This Row],[WeekDay]]=7),P3543,P3543+1)</f>
        <v>2516</v>
      </c>
      <c r="Q3544">
        <f>IF(OR(calendar[[#This Row],[FR_BH]]=1,calendar[[#This Row],[WeekDay]]=1, calendar[[#This Row],[WeekDay]]=7),P3543,P3543+1)</f>
        <v>2516</v>
      </c>
      <c r="R3544">
        <f>IF(OR(calendar[[#This Row],[SP_BH]]=1,calendar[[#This Row],[WeekDay]]=1, calendar[[#This Row],[WeekDay]]=7),P3543,P3543+1)</f>
        <v>2516</v>
      </c>
      <c r="S3544">
        <f>IF(OR(calendar[[#This Row],[PT_BH]]=1,calendar[[#This Row],[WeekDay]]=1, calendar[[#This Row],[WeekDay]]=7),P3543,P3543+1)</f>
        <v>2516</v>
      </c>
    </row>
    <row r="3545" spans="1:19" x14ac:dyDescent="0.25">
      <c r="A3545" s="2">
        <v>46279</v>
      </c>
      <c r="B3545" s="1">
        <f t="shared" si="281"/>
        <v>38</v>
      </c>
      <c r="C3545">
        <f t="shared" si="278"/>
        <v>9</v>
      </c>
      <c r="D3545" t="str">
        <f t="shared" si="279"/>
        <v>September</v>
      </c>
      <c r="E3545">
        <f t="shared" si="280"/>
        <v>2026</v>
      </c>
      <c r="F3545" t="str">
        <f>CONCATENATE(calendar[[#This Row],[Month]],"/",calendar[[#This Row],[Year]])</f>
        <v>9/2026</v>
      </c>
      <c r="G3545">
        <f>WEEKDAY(calendar[[#This Row],[Date]],1)</f>
        <v>2</v>
      </c>
      <c r="H3545" t="str">
        <f>TEXT(calendar[[#This Row],[WeekDay]],"dddd")</f>
        <v>Monday</v>
      </c>
      <c r="I3545">
        <f>IF((INT(calendar[[#This Row],[Count]]/7)-calendar[[#This Row],[Count]]/7)&lt;0,I3544,I3544+1)</f>
        <v>507</v>
      </c>
      <c r="J3545">
        <f t="shared" si="282"/>
        <v>3543</v>
      </c>
      <c r="K3545">
        <f>IF(calendar[[#This Row],[Month]]&lt;4,1,IF(calendar[[#This Row],[Month]]&lt;7,2,IF(calendar[[#This Row],[Month]]&lt;10,3,4)))</f>
        <v>3</v>
      </c>
      <c r="L3545">
        <f>IFERROR(IF(VLOOKUP(calendar[[#This Row],[Date]],BH!A:A,1,)&lt;&gt;"",1,0),0)</f>
        <v>0</v>
      </c>
      <c r="M3545">
        <f>IFERROR(IF(VLOOKUP(calendar[[#This Row],[Date]],BH!C:C,1,)&lt;&gt;"",1,0),0)</f>
        <v>0</v>
      </c>
      <c r="N3545">
        <f>IFERROR(IF(VLOOKUP(calendar[[#This Row],[Date]],BH!E:E,1,)&lt;&gt;"",1,0),0)</f>
        <v>0</v>
      </c>
      <c r="O3545">
        <f>IFERROR(IF(VLOOKUP(calendar[[#This Row],[Date]],BH!G:G,1,)&lt;&gt;"",1,0),0)</f>
        <v>0</v>
      </c>
      <c r="P3545">
        <f>IF(OR(calendar[[#This Row],[UK_BH]]=1,calendar[[#This Row],[WeekDay]]=1, calendar[[#This Row],[WeekDay]]=7),P3544,P3544+1)</f>
        <v>2517</v>
      </c>
      <c r="Q3545">
        <f>IF(OR(calendar[[#This Row],[FR_BH]]=1,calendar[[#This Row],[WeekDay]]=1, calendar[[#This Row],[WeekDay]]=7),P3544,P3544+1)</f>
        <v>2517</v>
      </c>
      <c r="R3545">
        <f>IF(OR(calendar[[#This Row],[SP_BH]]=1,calendar[[#This Row],[WeekDay]]=1, calendar[[#This Row],[WeekDay]]=7),P3544,P3544+1)</f>
        <v>2517</v>
      </c>
      <c r="S3545">
        <f>IF(OR(calendar[[#This Row],[PT_BH]]=1,calendar[[#This Row],[WeekDay]]=1, calendar[[#This Row],[WeekDay]]=7),P3544,P3544+1)</f>
        <v>2517</v>
      </c>
    </row>
    <row r="3546" spans="1:19" x14ac:dyDescent="0.25">
      <c r="A3546" s="2">
        <v>46280</v>
      </c>
      <c r="B3546" s="1">
        <f t="shared" si="281"/>
        <v>38</v>
      </c>
      <c r="C3546">
        <f t="shared" si="278"/>
        <v>9</v>
      </c>
      <c r="D3546" t="str">
        <f t="shared" si="279"/>
        <v>September</v>
      </c>
      <c r="E3546">
        <f t="shared" si="280"/>
        <v>2026</v>
      </c>
      <c r="F3546" t="str">
        <f>CONCATENATE(calendar[[#This Row],[Month]],"/",calendar[[#This Row],[Year]])</f>
        <v>9/2026</v>
      </c>
      <c r="G3546">
        <f>WEEKDAY(calendar[[#This Row],[Date]],1)</f>
        <v>3</v>
      </c>
      <c r="H3546" t="str">
        <f>TEXT(calendar[[#This Row],[WeekDay]],"dddd")</f>
        <v>Tuesday</v>
      </c>
      <c r="I3546">
        <f>IF((INT(calendar[[#This Row],[Count]]/7)-calendar[[#This Row],[Count]]/7)&lt;0,I3545,I3545+1)</f>
        <v>507</v>
      </c>
      <c r="J3546">
        <f t="shared" si="282"/>
        <v>3544</v>
      </c>
      <c r="K3546">
        <f>IF(calendar[[#This Row],[Month]]&lt;4,1,IF(calendar[[#This Row],[Month]]&lt;7,2,IF(calendar[[#This Row],[Month]]&lt;10,3,4)))</f>
        <v>3</v>
      </c>
      <c r="L3546">
        <f>IFERROR(IF(VLOOKUP(calendar[[#This Row],[Date]],BH!A:A,1,)&lt;&gt;"",1,0),0)</f>
        <v>0</v>
      </c>
      <c r="M3546">
        <f>IFERROR(IF(VLOOKUP(calendar[[#This Row],[Date]],BH!C:C,1,)&lt;&gt;"",1,0),0)</f>
        <v>0</v>
      </c>
      <c r="N3546">
        <f>IFERROR(IF(VLOOKUP(calendar[[#This Row],[Date]],BH!E:E,1,)&lt;&gt;"",1,0),0)</f>
        <v>0</v>
      </c>
      <c r="O3546">
        <f>IFERROR(IF(VLOOKUP(calendar[[#This Row],[Date]],BH!G:G,1,)&lt;&gt;"",1,0),0)</f>
        <v>0</v>
      </c>
      <c r="P3546">
        <f>IF(OR(calendar[[#This Row],[UK_BH]]=1,calendar[[#This Row],[WeekDay]]=1, calendar[[#This Row],[WeekDay]]=7),P3545,P3545+1)</f>
        <v>2518</v>
      </c>
      <c r="Q3546">
        <f>IF(OR(calendar[[#This Row],[FR_BH]]=1,calendar[[#This Row],[WeekDay]]=1, calendar[[#This Row],[WeekDay]]=7),P3545,P3545+1)</f>
        <v>2518</v>
      </c>
      <c r="R3546">
        <f>IF(OR(calendar[[#This Row],[SP_BH]]=1,calendar[[#This Row],[WeekDay]]=1, calendar[[#This Row],[WeekDay]]=7),P3545,P3545+1)</f>
        <v>2518</v>
      </c>
      <c r="S3546">
        <f>IF(OR(calendar[[#This Row],[PT_BH]]=1,calendar[[#This Row],[WeekDay]]=1, calendar[[#This Row],[WeekDay]]=7),P3545,P3545+1)</f>
        <v>2518</v>
      </c>
    </row>
    <row r="3547" spans="1:19" x14ac:dyDescent="0.25">
      <c r="A3547" s="2">
        <v>46281</v>
      </c>
      <c r="B3547" s="1">
        <f t="shared" si="281"/>
        <v>38</v>
      </c>
      <c r="C3547">
        <f t="shared" si="278"/>
        <v>9</v>
      </c>
      <c r="D3547" t="str">
        <f t="shared" si="279"/>
        <v>September</v>
      </c>
      <c r="E3547">
        <f t="shared" si="280"/>
        <v>2026</v>
      </c>
      <c r="F3547" t="str">
        <f>CONCATENATE(calendar[[#This Row],[Month]],"/",calendar[[#This Row],[Year]])</f>
        <v>9/2026</v>
      </c>
      <c r="G3547">
        <f>WEEKDAY(calendar[[#This Row],[Date]],1)</f>
        <v>4</v>
      </c>
      <c r="H3547" t="str">
        <f>TEXT(calendar[[#This Row],[WeekDay]],"dddd")</f>
        <v>Wednesday</v>
      </c>
      <c r="I3547">
        <f>IF((INT(calendar[[#This Row],[Count]]/7)-calendar[[#This Row],[Count]]/7)&lt;0,I3546,I3546+1)</f>
        <v>507</v>
      </c>
      <c r="J3547">
        <f t="shared" si="282"/>
        <v>3545</v>
      </c>
      <c r="K3547">
        <f>IF(calendar[[#This Row],[Month]]&lt;4,1,IF(calendar[[#This Row],[Month]]&lt;7,2,IF(calendar[[#This Row],[Month]]&lt;10,3,4)))</f>
        <v>3</v>
      </c>
      <c r="L3547">
        <f>IFERROR(IF(VLOOKUP(calendar[[#This Row],[Date]],BH!A:A,1,)&lt;&gt;"",1,0),0)</f>
        <v>0</v>
      </c>
      <c r="M3547">
        <f>IFERROR(IF(VLOOKUP(calendar[[#This Row],[Date]],BH!C:C,1,)&lt;&gt;"",1,0),0)</f>
        <v>0</v>
      </c>
      <c r="N3547">
        <f>IFERROR(IF(VLOOKUP(calendar[[#This Row],[Date]],BH!E:E,1,)&lt;&gt;"",1,0),0)</f>
        <v>0</v>
      </c>
      <c r="O3547">
        <f>IFERROR(IF(VLOOKUP(calendar[[#This Row],[Date]],BH!G:G,1,)&lt;&gt;"",1,0),0)</f>
        <v>0</v>
      </c>
      <c r="P3547">
        <f>IF(OR(calendar[[#This Row],[UK_BH]]=1,calendar[[#This Row],[WeekDay]]=1, calendar[[#This Row],[WeekDay]]=7),P3546,P3546+1)</f>
        <v>2519</v>
      </c>
      <c r="Q3547">
        <f>IF(OR(calendar[[#This Row],[FR_BH]]=1,calendar[[#This Row],[WeekDay]]=1, calendar[[#This Row],[WeekDay]]=7),P3546,P3546+1)</f>
        <v>2519</v>
      </c>
      <c r="R3547">
        <f>IF(OR(calendar[[#This Row],[SP_BH]]=1,calendar[[#This Row],[WeekDay]]=1, calendar[[#This Row],[WeekDay]]=7),P3546,P3546+1)</f>
        <v>2519</v>
      </c>
      <c r="S3547">
        <f>IF(OR(calendar[[#This Row],[PT_BH]]=1,calendar[[#This Row],[WeekDay]]=1, calendar[[#This Row],[WeekDay]]=7),P3546,P3546+1)</f>
        <v>2519</v>
      </c>
    </row>
    <row r="3548" spans="1:19" x14ac:dyDescent="0.25">
      <c r="A3548" s="2">
        <v>46282</v>
      </c>
      <c r="B3548" s="1">
        <f t="shared" si="281"/>
        <v>38</v>
      </c>
      <c r="C3548">
        <f t="shared" ref="C3548:C3611" si="283">MONTH(A3548)</f>
        <v>9</v>
      </c>
      <c r="D3548" t="str">
        <f t="shared" ref="D3548:D3611" si="284">TEXT(A3548,"mmmm")</f>
        <v>September</v>
      </c>
      <c r="E3548">
        <f t="shared" ref="E3548:E3611" si="285">YEAR(A3548)</f>
        <v>2026</v>
      </c>
      <c r="F3548" t="str">
        <f>CONCATENATE(calendar[[#This Row],[Month]],"/",calendar[[#This Row],[Year]])</f>
        <v>9/2026</v>
      </c>
      <c r="G3548">
        <f>WEEKDAY(calendar[[#This Row],[Date]],1)</f>
        <v>5</v>
      </c>
      <c r="H3548" t="str">
        <f>TEXT(calendar[[#This Row],[WeekDay]],"dddd")</f>
        <v>Thursday</v>
      </c>
      <c r="I3548">
        <f>IF((INT(calendar[[#This Row],[Count]]/7)-calendar[[#This Row],[Count]]/7)&lt;0,I3547,I3547+1)</f>
        <v>507</v>
      </c>
      <c r="J3548">
        <f t="shared" si="282"/>
        <v>3546</v>
      </c>
      <c r="K3548">
        <f>IF(calendar[[#This Row],[Month]]&lt;4,1,IF(calendar[[#This Row],[Month]]&lt;7,2,IF(calendar[[#This Row],[Month]]&lt;10,3,4)))</f>
        <v>3</v>
      </c>
      <c r="L3548">
        <f>IFERROR(IF(VLOOKUP(calendar[[#This Row],[Date]],BH!A:A,1,)&lt;&gt;"",1,0),0)</f>
        <v>0</v>
      </c>
      <c r="M3548">
        <f>IFERROR(IF(VLOOKUP(calendar[[#This Row],[Date]],BH!C:C,1,)&lt;&gt;"",1,0),0)</f>
        <v>0</v>
      </c>
      <c r="N3548">
        <f>IFERROR(IF(VLOOKUP(calendar[[#This Row],[Date]],BH!E:E,1,)&lt;&gt;"",1,0),0)</f>
        <v>0</v>
      </c>
      <c r="O3548">
        <f>IFERROR(IF(VLOOKUP(calendar[[#This Row],[Date]],BH!G:G,1,)&lt;&gt;"",1,0),0)</f>
        <v>0</v>
      </c>
      <c r="P3548">
        <f>IF(OR(calendar[[#This Row],[UK_BH]]=1,calendar[[#This Row],[WeekDay]]=1, calendar[[#This Row],[WeekDay]]=7),P3547,P3547+1)</f>
        <v>2520</v>
      </c>
      <c r="Q3548">
        <f>IF(OR(calendar[[#This Row],[FR_BH]]=1,calendar[[#This Row],[WeekDay]]=1, calendar[[#This Row],[WeekDay]]=7),P3547,P3547+1)</f>
        <v>2520</v>
      </c>
      <c r="R3548">
        <f>IF(OR(calendar[[#This Row],[SP_BH]]=1,calendar[[#This Row],[WeekDay]]=1, calendar[[#This Row],[WeekDay]]=7),P3547,P3547+1)</f>
        <v>2520</v>
      </c>
      <c r="S3548">
        <f>IF(OR(calendar[[#This Row],[PT_BH]]=1,calendar[[#This Row],[WeekDay]]=1, calendar[[#This Row],[WeekDay]]=7),P3547,P3547+1)</f>
        <v>2520</v>
      </c>
    </row>
    <row r="3549" spans="1:19" x14ac:dyDescent="0.25">
      <c r="A3549" s="2">
        <v>46283</v>
      </c>
      <c r="B3549" s="1">
        <f t="shared" si="281"/>
        <v>38</v>
      </c>
      <c r="C3549">
        <f t="shared" si="283"/>
        <v>9</v>
      </c>
      <c r="D3549" t="str">
        <f t="shared" si="284"/>
        <v>September</v>
      </c>
      <c r="E3549">
        <f t="shared" si="285"/>
        <v>2026</v>
      </c>
      <c r="F3549" t="str">
        <f>CONCATENATE(calendar[[#This Row],[Month]],"/",calendar[[#This Row],[Year]])</f>
        <v>9/2026</v>
      </c>
      <c r="G3549">
        <f>WEEKDAY(calendar[[#This Row],[Date]],1)</f>
        <v>6</v>
      </c>
      <c r="H3549" t="str">
        <f>TEXT(calendar[[#This Row],[WeekDay]],"dddd")</f>
        <v>Friday</v>
      </c>
      <c r="I3549">
        <f>IF((INT(calendar[[#This Row],[Count]]/7)-calendar[[#This Row],[Count]]/7)&lt;0,I3548,I3548+1)</f>
        <v>507</v>
      </c>
      <c r="J3549">
        <f t="shared" si="282"/>
        <v>3547</v>
      </c>
      <c r="K3549">
        <f>IF(calendar[[#This Row],[Month]]&lt;4,1,IF(calendar[[#This Row],[Month]]&lt;7,2,IF(calendar[[#This Row],[Month]]&lt;10,3,4)))</f>
        <v>3</v>
      </c>
      <c r="L3549">
        <f>IFERROR(IF(VLOOKUP(calendar[[#This Row],[Date]],BH!A:A,1,)&lt;&gt;"",1,0),0)</f>
        <v>0</v>
      </c>
      <c r="M3549">
        <f>IFERROR(IF(VLOOKUP(calendar[[#This Row],[Date]],BH!C:C,1,)&lt;&gt;"",1,0),0)</f>
        <v>0</v>
      </c>
      <c r="N3549">
        <f>IFERROR(IF(VLOOKUP(calendar[[#This Row],[Date]],BH!E:E,1,)&lt;&gt;"",1,0),0)</f>
        <v>0</v>
      </c>
      <c r="O3549">
        <f>IFERROR(IF(VLOOKUP(calendar[[#This Row],[Date]],BH!G:G,1,)&lt;&gt;"",1,0),0)</f>
        <v>0</v>
      </c>
      <c r="P3549">
        <f>IF(OR(calendar[[#This Row],[UK_BH]]=1,calendar[[#This Row],[WeekDay]]=1, calendar[[#This Row],[WeekDay]]=7),P3548,P3548+1)</f>
        <v>2521</v>
      </c>
      <c r="Q3549">
        <f>IF(OR(calendar[[#This Row],[FR_BH]]=1,calendar[[#This Row],[WeekDay]]=1, calendar[[#This Row],[WeekDay]]=7),P3548,P3548+1)</f>
        <v>2521</v>
      </c>
      <c r="R3549">
        <f>IF(OR(calendar[[#This Row],[SP_BH]]=1,calendar[[#This Row],[WeekDay]]=1, calendar[[#This Row],[WeekDay]]=7),P3548,P3548+1)</f>
        <v>2521</v>
      </c>
      <c r="S3549">
        <f>IF(OR(calendar[[#This Row],[PT_BH]]=1,calendar[[#This Row],[WeekDay]]=1, calendar[[#This Row],[WeekDay]]=7),P3548,P3548+1)</f>
        <v>2521</v>
      </c>
    </row>
    <row r="3550" spans="1:19" x14ac:dyDescent="0.25">
      <c r="A3550" s="2">
        <v>46284</v>
      </c>
      <c r="B3550" s="1">
        <f t="shared" si="281"/>
        <v>38</v>
      </c>
      <c r="C3550">
        <f t="shared" si="283"/>
        <v>9</v>
      </c>
      <c r="D3550" t="str">
        <f t="shared" si="284"/>
        <v>September</v>
      </c>
      <c r="E3550">
        <f t="shared" si="285"/>
        <v>2026</v>
      </c>
      <c r="F3550" t="str">
        <f>CONCATENATE(calendar[[#This Row],[Month]],"/",calendar[[#This Row],[Year]])</f>
        <v>9/2026</v>
      </c>
      <c r="G3550">
        <f>WEEKDAY(calendar[[#This Row],[Date]],1)</f>
        <v>7</v>
      </c>
      <c r="H3550" t="str">
        <f>TEXT(calendar[[#This Row],[WeekDay]],"dddd")</f>
        <v>Saturday</v>
      </c>
      <c r="I3550">
        <f>IF((INT(calendar[[#This Row],[Count]]/7)-calendar[[#This Row],[Count]]/7)&lt;0,I3549,I3549+1)</f>
        <v>507</v>
      </c>
      <c r="J3550">
        <f t="shared" si="282"/>
        <v>3548</v>
      </c>
      <c r="K3550">
        <f>IF(calendar[[#This Row],[Month]]&lt;4,1,IF(calendar[[#This Row],[Month]]&lt;7,2,IF(calendar[[#This Row],[Month]]&lt;10,3,4)))</f>
        <v>3</v>
      </c>
      <c r="L3550">
        <f>IFERROR(IF(VLOOKUP(calendar[[#This Row],[Date]],BH!A:A,1,)&lt;&gt;"",1,0),0)</f>
        <v>0</v>
      </c>
      <c r="M3550">
        <f>IFERROR(IF(VLOOKUP(calendar[[#This Row],[Date]],BH!C:C,1,)&lt;&gt;"",1,0),0)</f>
        <v>0</v>
      </c>
      <c r="N3550">
        <f>IFERROR(IF(VLOOKUP(calendar[[#This Row],[Date]],BH!E:E,1,)&lt;&gt;"",1,0),0)</f>
        <v>0</v>
      </c>
      <c r="O3550">
        <f>IFERROR(IF(VLOOKUP(calendar[[#This Row],[Date]],BH!G:G,1,)&lt;&gt;"",1,0),0)</f>
        <v>0</v>
      </c>
      <c r="P3550">
        <f>IF(OR(calendar[[#This Row],[UK_BH]]=1,calendar[[#This Row],[WeekDay]]=1, calendar[[#This Row],[WeekDay]]=7),P3549,P3549+1)</f>
        <v>2521</v>
      </c>
      <c r="Q3550">
        <f>IF(OR(calendar[[#This Row],[FR_BH]]=1,calendar[[#This Row],[WeekDay]]=1, calendar[[#This Row],[WeekDay]]=7),P3549,P3549+1)</f>
        <v>2521</v>
      </c>
      <c r="R3550">
        <f>IF(OR(calendar[[#This Row],[SP_BH]]=1,calendar[[#This Row],[WeekDay]]=1, calendar[[#This Row],[WeekDay]]=7),P3549,P3549+1)</f>
        <v>2521</v>
      </c>
      <c r="S3550">
        <f>IF(OR(calendar[[#This Row],[PT_BH]]=1,calendar[[#This Row],[WeekDay]]=1, calendar[[#This Row],[WeekDay]]=7),P3549,P3549+1)</f>
        <v>2521</v>
      </c>
    </row>
    <row r="3551" spans="1:19" x14ac:dyDescent="0.25">
      <c r="A3551" s="2">
        <v>46285</v>
      </c>
      <c r="B3551" s="1">
        <f t="shared" si="281"/>
        <v>39</v>
      </c>
      <c r="C3551">
        <f t="shared" si="283"/>
        <v>9</v>
      </c>
      <c r="D3551" t="str">
        <f t="shared" si="284"/>
        <v>September</v>
      </c>
      <c r="E3551">
        <f t="shared" si="285"/>
        <v>2026</v>
      </c>
      <c r="F3551" t="str">
        <f>CONCATENATE(calendar[[#This Row],[Month]],"/",calendar[[#This Row],[Year]])</f>
        <v>9/2026</v>
      </c>
      <c r="G3551">
        <f>WEEKDAY(calendar[[#This Row],[Date]],1)</f>
        <v>1</v>
      </c>
      <c r="H3551" t="str">
        <f>TEXT(calendar[[#This Row],[WeekDay]],"dddd")</f>
        <v>Sunday</v>
      </c>
      <c r="I3551">
        <f>IF((INT(calendar[[#This Row],[Count]]/7)-calendar[[#This Row],[Count]]/7)&lt;0,I3550,I3550+1)</f>
        <v>508</v>
      </c>
      <c r="J3551">
        <f t="shared" si="282"/>
        <v>3549</v>
      </c>
      <c r="K3551">
        <f>IF(calendar[[#This Row],[Month]]&lt;4,1,IF(calendar[[#This Row],[Month]]&lt;7,2,IF(calendar[[#This Row],[Month]]&lt;10,3,4)))</f>
        <v>3</v>
      </c>
      <c r="L3551">
        <f>IFERROR(IF(VLOOKUP(calendar[[#This Row],[Date]],BH!A:A,1,)&lt;&gt;"",1,0),0)</f>
        <v>0</v>
      </c>
      <c r="M3551">
        <f>IFERROR(IF(VLOOKUP(calendar[[#This Row],[Date]],BH!C:C,1,)&lt;&gt;"",1,0),0)</f>
        <v>0</v>
      </c>
      <c r="N3551">
        <f>IFERROR(IF(VLOOKUP(calendar[[#This Row],[Date]],BH!E:E,1,)&lt;&gt;"",1,0),0)</f>
        <v>0</v>
      </c>
      <c r="O3551">
        <f>IFERROR(IF(VLOOKUP(calendar[[#This Row],[Date]],BH!G:G,1,)&lt;&gt;"",1,0),0)</f>
        <v>0</v>
      </c>
      <c r="P3551">
        <f>IF(OR(calendar[[#This Row],[UK_BH]]=1,calendar[[#This Row],[WeekDay]]=1, calendar[[#This Row],[WeekDay]]=7),P3550,P3550+1)</f>
        <v>2521</v>
      </c>
      <c r="Q3551">
        <f>IF(OR(calendar[[#This Row],[FR_BH]]=1,calendar[[#This Row],[WeekDay]]=1, calendar[[#This Row],[WeekDay]]=7),P3550,P3550+1)</f>
        <v>2521</v>
      </c>
      <c r="R3551">
        <f>IF(OR(calendar[[#This Row],[SP_BH]]=1,calendar[[#This Row],[WeekDay]]=1, calendar[[#This Row],[WeekDay]]=7),P3550,P3550+1)</f>
        <v>2521</v>
      </c>
      <c r="S3551">
        <f>IF(OR(calendar[[#This Row],[PT_BH]]=1,calendar[[#This Row],[WeekDay]]=1, calendar[[#This Row],[WeekDay]]=7),P3550,P3550+1)</f>
        <v>2521</v>
      </c>
    </row>
    <row r="3552" spans="1:19" x14ac:dyDescent="0.25">
      <c r="A3552" s="2">
        <v>46286</v>
      </c>
      <c r="B3552" s="1">
        <f t="shared" si="281"/>
        <v>39</v>
      </c>
      <c r="C3552">
        <f t="shared" si="283"/>
        <v>9</v>
      </c>
      <c r="D3552" t="str">
        <f t="shared" si="284"/>
        <v>September</v>
      </c>
      <c r="E3552">
        <f t="shared" si="285"/>
        <v>2026</v>
      </c>
      <c r="F3552" t="str">
        <f>CONCATENATE(calendar[[#This Row],[Month]],"/",calendar[[#This Row],[Year]])</f>
        <v>9/2026</v>
      </c>
      <c r="G3552">
        <f>WEEKDAY(calendar[[#This Row],[Date]],1)</f>
        <v>2</v>
      </c>
      <c r="H3552" t="str">
        <f>TEXT(calendar[[#This Row],[WeekDay]],"dddd")</f>
        <v>Monday</v>
      </c>
      <c r="I3552">
        <f>IF((INT(calendar[[#This Row],[Count]]/7)-calendar[[#This Row],[Count]]/7)&lt;0,I3551,I3551+1)</f>
        <v>508</v>
      </c>
      <c r="J3552">
        <f t="shared" si="282"/>
        <v>3550</v>
      </c>
      <c r="K3552">
        <f>IF(calendar[[#This Row],[Month]]&lt;4,1,IF(calendar[[#This Row],[Month]]&lt;7,2,IF(calendar[[#This Row],[Month]]&lt;10,3,4)))</f>
        <v>3</v>
      </c>
      <c r="L3552">
        <f>IFERROR(IF(VLOOKUP(calendar[[#This Row],[Date]],BH!A:A,1,)&lt;&gt;"",1,0),0)</f>
        <v>0</v>
      </c>
      <c r="M3552">
        <f>IFERROR(IF(VLOOKUP(calendar[[#This Row],[Date]],BH!C:C,1,)&lt;&gt;"",1,0),0)</f>
        <v>0</v>
      </c>
      <c r="N3552">
        <f>IFERROR(IF(VLOOKUP(calendar[[#This Row],[Date]],BH!E:E,1,)&lt;&gt;"",1,0),0)</f>
        <v>0</v>
      </c>
      <c r="O3552">
        <f>IFERROR(IF(VLOOKUP(calendar[[#This Row],[Date]],BH!G:G,1,)&lt;&gt;"",1,0),0)</f>
        <v>0</v>
      </c>
      <c r="P3552">
        <f>IF(OR(calendar[[#This Row],[UK_BH]]=1,calendar[[#This Row],[WeekDay]]=1, calendar[[#This Row],[WeekDay]]=7),P3551,P3551+1)</f>
        <v>2522</v>
      </c>
      <c r="Q3552">
        <f>IF(OR(calendar[[#This Row],[FR_BH]]=1,calendar[[#This Row],[WeekDay]]=1, calendar[[#This Row],[WeekDay]]=7),P3551,P3551+1)</f>
        <v>2522</v>
      </c>
      <c r="R3552">
        <f>IF(OR(calendar[[#This Row],[SP_BH]]=1,calendar[[#This Row],[WeekDay]]=1, calendar[[#This Row],[WeekDay]]=7),P3551,P3551+1)</f>
        <v>2522</v>
      </c>
      <c r="S3552">
        <f>IF(OR(calendar[[#This Row],[PT_BH]]=1,calendar[[#This Row],[WeekDay]]=1, calendar[[#This Row],[WeekDay]]=7),P3551,P3551+1)</f>
        <v>2522</v>
      </c>
    </row>
    <row r="3553" spans="1:19" x14ac:dyDescent="0.25">
      <c r="A3553" s="2">
        <v>46287</v>
      </c>
      <c r="B3553" s="1">
        <f t="shared" si="281"/>
        <v>39</v>
      </c>
      <c r="C3553">
        <f t="shared" si="283"/>
        <v>9</v>
      </c>
      <c r="D3553" t="str">
        <f t="shared" si="284"/>
        <v>September</v>
      </c>
      <c r="E3553">
        <f t="shared" si="285"/>
        <v>2026</v>
      </c>
      <c r="F3553" t="str">
        <f>CONCATENATE(calendar[[#This Row],[Month]],"/",calendar[[#This Row],[Year]])</f>
        <v>9/2026</v>
      </c>
      <c r="G3553">
        <f>WEEKDAY(calendar[[#This Row],[Date]],1)</f>
        <v>3</v>
      </c>
      <c r="H3553" t="str">
        <f>TEXT(calendar[[#This Row],[WeekDay]],"dddd")</f>
        <v>Tuesday</v>
      </c>
      <c r="I3553">
        <f>IF((INT(calendar[[#This Row],[Count]]/7)-calendar[[#This Row],[Count]]/7)&lt;0,I3552,I3552+1)</f>
        <v>508</v>
      </c>
      <c r="J3553">
        <f t="shared" si="282"/>
        <v>3551</v>
      </c>
      <c r="K3553">
        <f>IF(calendar[[#This Row],[Month]]&lt;4,1,IF(calendar[[#This Row],[Month]]&lt;7,2,IF(calendar[[#This Row],[Month]]&lt;10,3,4)))</f>
        <v>3</v>
      </c>
      <c r="L3553">
        <f>IFERROR(IF(VLOOKUP(calendar[[#This Row],[Date]],BH!A:A,1,)&lt;&gt;"",1,0),0)</f>
        <v>0</v>
      </c>
      <c r="M3553">
        <f>IFERROR(IF(VLOOKUP(calendar[[#This Row],[Date]],BH!C:C,1,)&lt;&gt;"",1,0),0)</f>
        <v>0</v>
      </c>
      <c r="N3553">
        <f>IFERROR(IF(VLOOKUP(calendar[[#This Row],[Date]],BH!E:E,1,)&lt;&gt;"",1,0),0)</f>
        <v>0</v>
      </c>
      <c r="O3553">
        <f>IFERROR(IF(VLOOKUP(calendar[[#This Row],[Date]],BH!G:G,1,)&lt;&gt;"",1,0),0)</f>
        <v>0</v>
      </c>
      <c r="P3553">
        <f>IF(OR(calendar[[#This Row],[UK_BH]]=1,calendar[[#This Row],[WeekDay]]=1, calendar[[#This Row],[WeekDay]]=7),P3552,P3552+1)</f>
        <v>2523</v>
      </c>
      <c r="Q3553">
        <f>IF(OR(calendar[[#This Row],[FR_BH]]=1,calendar[[#This Row],[WeekDay]]=1, calendar[[#This Row],[WeekDay]]=7),P3552,P3552+1)</f>
        <v>2523</v>
      </c>
      <c r="R3553">
        <f>IF(OR(calendar[[#This Row],[SP_BH]]=1,calendar[[#This Row],[WeekDay]]=1, calendar[[#This Row],[WeekDay]]=7),P3552,P3552+1)</f>
        <v>2523</v>
      </c>
      <c r="S3553">
        <f>IF(OR(calendar[[#This Row],[PT_BH]]=1,calendar[[#This Row],[WeekDay]]=1, calendar[[#This Row],[WeekDay]]=7),P3552,P3552+1)</f>
        <v>2523</v>
      </c>
    </row>
    <row r="3554" spans="1:19" x14ac:dyDescent="0.25">
      <c r="A3554" s="2">
        <v>46288</v>
      </c>
      <c r="B3554" s="1">
        <f t="shared" si="281"/>
        <v>39</v>
      </c>
      <c r="C3554">
        <f t="shared" si="283"/>
        <v>9</v>
      </c>
      <c r="D3554" t="str">
        <f t="shared" si="284"/>
        <v>September</v>
      </c>
      <c r="E3554">
        <f t="shared" si="285"/>
        <v>2026</v>
      </c>
      <c r="F3554" t="str">
        <f>CONCATENATE(calendar[[#This Row],[Month]],"/",calendar[[#This Row],[Year]])</f>
        <v>9/2026</v>
      </c>
      <c r="G3554">
        <f>WEEKDAY(calendar[[#This Row],[Date]],1)</f>
        <v>4</v>
      </c>
      <c r="H3554" t="str">
        <f>TEXT(calendar[[#This Row],[WeekDay]],"dddd")</f>
        <v>Wednesday</v>
      </c>
      <c r="I3554">
        <f>IF((INT(calendar[[#This Row],[Count]]/7)-calendar[[#This Row],[Count]]/7)&lt;0,I3553,I3553+1)</f>
        <v>508</v>
      </c>
      <c r="J3554">
        <f t="shared" si="282"/>
        <v>3552</v>
      </c>
      <c r="K3554">
        <f>IF(calendar[[#This Row],[Month]]&lt;4,1,IF(calendar[[#This Row],[Month]]&lt;7,2,IF(calendar[[#This Row],[Month]]&lt;10,3,4)))</f>
        <v>3</v>
      </c>
      <c r="L3554">
        <f>IFERROR(IF(VLOOKUP(calendar[[#This Row],[Date]],BH!A:A,1,)&lt;&gt;"",1,0),0)</f>
        <v>0</v>
      </c>
      <c r="M3554">
        <f>IFERROR(IF(VLOOKUP(calendar[[#This Row],[Date]],BH!C:C,1,)&lt;&gt;"",1,0),0)</f>
        <v>0</v>
      </c>
      <c r="N3554">
        <f>IFERROR(IF(VLOOKUP(calendar[[#This Row],[Date]],BH!E:E,1,)&lt;&gt;"",1,0),0)</f>
        <v>0</v>
      </c>
      <c r="O3554">
        <f>IFERROR(IF(VLOOKUP(calendar[[#This Row],[Date]],BH!G:G,1,)&lt;&gt;"",1,0),0)</f>
        <v>0</v>
      </c>
      <c r="P3554">
        <f>IF(OR(calendar[[#This Row],[UK_BH]]=1,calendar[[#This Row],[WeekDay]]=1, calendar[[#This Row],[WeekDay]]=7),P3553,P3553+1)</f>
        <v>2524</v>
      </c>
      <c r="Q3554">
        <f>IF(OR(calendar[[#This Row],[FR_BH]]=1,calendar[[#This Row],[WeekDay]]=1, calendar[[#This Row],[WeekDay]]=7),P3553,P3553+1)</f>
        <v>2524</v>
      </c>
      <c r="R3554">
        <f>IF(OR(calendar[[#This Row],[SP_BH]]=1,calendar[[#This Row],[WeekDay]]=1, calendar[[#This Row],[WeekDay]]=7),P3553,P3553+1)</f>
        <v>2524</v>
      </c>
      <c r="S3554">
        <f>IF(OR(calendar[[#This Row],[PT_BH]]=1,calendar[[#This Row],[WeekDay]]=1, calendar[[#This Row],[WeekDay]]=7),P3553,P3553+1)</f>
        <v>2524</v>
      </c>
    </row>
    <row r="3555" spans="1:19" x14ac:dyDescent="0.25">
      <c r="A3555" s="2">
        <v>46289</v>
      </c>
      <c r="B3555" s="1">
        <f t="shared" si="281"/>
        <v>39</v>
      </c>
      <c r="C3555">
        <f t="shared" si="283"/>
        <v>9</v>
      </c>
      <c r="D3555" t="str">
        <f t="shared" si="284"/>
        <v>September</v>
      </c>
      <c r="E3555">
        <f t="shared" si="285"/>
        <v>2026</v>
      </c>
      <c r="F3555" t="str">
        <f>CONCATENATE(calendar[[#This Row],[Month]],"/",calendar[[#This Row],[Year]])</f>
        <v>9/2026</v>
      </c>
      <c r="G3555">
        <f>WEEKDAY(calendar[[#This Row],[Date]],1)</f>
        <v>5</v>
      </c>
      <c r="H3555" t="str">
        <f>TEXT(calendar[[#This Row],[WeekDay]],"dddd")</f>
        <v>Thursday</v>
      </c>
      <c r="I3555">
        <f>IF((INT(calendar[[#This Row],[Count]]/7)-calendar[[#This Row],[Count]]/7)&lt;0,I3554,I3554+1)</f>
        <v>508</v>
      </c>
      <c r="J3555">
        <f t="shared" si="282"/>
        <v>3553</v>
      </c>
      <c r="K3555">
        <f>IF(calendar[[#This Row],[Month]]&lt;4,1,IF(calendar[[#This Row],[Month]]&lt;7,2,IF(calendar[[#This Row],[Month]]&lt;10,3,4)))</f>
        <v>3</v>
      </c>
      <c r="L3555">
        <f>IFERROR(IF(VLOOKUP(calendar[[#This Row],[Date]],BH!A:A,1,)&lt;&gt;"",1,0),0)</f>
        <v>0</v>
      </c>
      <c r="M3555">
        <f>IFERROR(IF(VLOOKUP(calendar[[#This Row],[Date]],BH!C:C,1,)&lt;&gt;"",1,0),0)</f>
        <v>0</v>
      </c>
      <c r="N3555">
        <f>IFERROR(IF(VLOOKUP(calendar[[#This Row],[Date]],BH!E:E,1,)&lt;&gt;"",1,0),0)</f>
        <v>0</v>
      </c>
      <c r="O3555">
        <f>IFERROR(IF(VLOOKUP(calendar[[#This Row],[Date]],BH!G:G,1,)&lt;&gt;"",1,0),0)</f>
        <v>0</v>
      </c>
      <c r="P3555">
        <f>IF(OR(calendar[[#This Row],[UK_BH]]=1,calendar[[#This Row],[WeekDay]]=1, calendar[[#This Row],[WeekDay]]=7),P3554,P3554+1)</f>
        <v>2525</v>
      </c>
      <c r="Q3555">
        <f>IF(OR(calendar[[#This Row],[FR_BH]]=1,calendar[[#This Row],[WeekDay]]=1, calendar[[#This Row],[WeekDay]]=7),P3554,P3554+1)</f>
        <v>2525</v>
      </c>
      <c r="R3555">
        <f>IF(OR(calendar[[#This Row],[SP_BH]]=1,calendar[[#This Row],[WeekDay]]=1, calendar[[#This Row],[WeekDay]]=7),P3554,P3554+1)</f>
        <v>2525</v>
      </c>
      <c r="S3555">
        <f>IF(OR(calendar[[#This Row],[PT_BH]]=1,calendar[[#This Row],[WeekDay]]=1, calendar[[#This Row],[WeekDay]]=7),P3554,P3554+1)</f>
        <v>2525</v>
      </c>
    </row>
    <row r="3556" spans="1:19" x14ac:dyDescent="0.25">
      <c r="A3556" s="2">
        <v>46290</v>
      </c>
      <c r="B3556" s="1">
        <f t="shared" si="281"/>
        <v>39</v>
      </c>
      <c r="C3556">
        <f t="shared" si="283"/>
        <v>9</v>
      </c>
      <c r="D3556" t="str">
        <f t="shared" si="284"/>
        <v>September</v>
      </c>
      <c r="E3556">
        <f t="shared" si="285"/>
        <v>2026</v>
      </c>
      <c r="F3556" t="str">
        <f>CONCATENATE(calendar[[#This Row],[Month]],"/",calendar[[#This Row],[Year]])</f>
        <v>9/2026</v>
      </c>
      <c r="G3556">
        <f>WEEKDAY(calendar[[#This Row],[Date]],1)</f>
        <v>6</v>
      </c>
      <c r="H3556" t="str">
        <f>TEXT(calendar[[#This Row],[WeekDay]],"dddd")</f>
        <v>Friday</v>
      </c>
      <c r="I3556">
        <f>IF((INT(calendar[[#This Row],[Count]]/7)-calendar[[#This Row],[Count]]/7)&lt;0,I3555,I3555+1)</f>
        <v>508</v>
      </c>
      <c r="J3556">
        <f t="shared" si="282"/>
        <v>3554</v>
      </c>
      <c r="K3556">
        <f>IF(calendar[[#This Row],[Month]]&lt;4,1,IF(calendar[[#This Row],[Month]]&lt;7,2,IF(calendar[[#This Row],[Month]]&lt;10,3,4)))</f>
        <v>3</v>
      </c>
      <c r="L3556">
        <f>IFERROR(IF(VLOOKUP(calendar[[#This Row],[Date]],BH!A:A,1,)&lt;&gt;"",1,0),0)</f>
        <v>0</v>
      </c>
      <c r="M3556">
        <f>IFERROR(IF(VLOOKUP(calendar[[#This Row],[Date]],BH!C:C,1,)&lt;&gt;"",1,0),0)</f>
        <v>0</v>
      </c>
      <c r="N3556">
        <f>IFERROR(IF(VLOOKUP(calendar[[#This Row],[Date]],BH!E:E,1,)&lt;&gt;"",1,0),0)</f>
        <v>0</v>
      </c>
      <c r="O3556">
        <f>IFERROR(IF(VLOOKUP(calendar[[#This Row],[Date]],BH!G:G,1,)&lt;&gt;"",1,0),0)</f>
        <v>0</v>
      </c>
      <c r="P3556">
        <f>IF(OR(calendar[[#This Row],[UK_BH]]=1,calendar[[#This Row],[WeekDay]]=1, calendar[[#This Row],[WeekDay]]=7),P3555,P3555+1)</f>
        <v>2526</v>
      </c>
      <c r="Q3556">
        <f>IF(OR(calendar[[#This Row],[FR_BH]]=1,calendar[[#This Row],[WeekDay]]=1, calendar[[#This Row],[WeekDay]]=7),P3555,P3555+1)</f>
        <v>2526</v>
      </c>
      <c r="R3556">
        <f>IF(OR(calendar[[#This Row],[SP_BH]]=1,calendar[[#This Row],[WeekDay]]=1, calendar[[#This Row],[WeekDay]]=7),P3555,P3555+1)</f>
        <v>2526</v>
      </c>
      <c r="S3556">
        <f>IF(OR(calendar[[#This Row],[PT_BH]]=1,calendar[[#This Row],[WeekDay]]=1, calendar[[#This Row],[WeekDay]]=7),P3555,P3555+1)</f>
        <v>2526</v>
      </c>
    </row>
    <row r="3557" spans="1:19" x14ac:dyDescent="0.25">
      <c r="A3557" s="2">
        <v>46291</v>
      </c>
      <c r="B3557" s="1">
        <f t="shared" si="281"/>
        <v>39</v>
      </c>
      <c r="C3557">
        <f t="shared" si="283"/>
        <v>9</v>
      </c>
      <c r="D3557" t="str">
        <f t="shared" si="284"/>
        <v>September</v>
      </c>
      <c r="E3557">
        <f t="shared" si="285"/>
        <v>2026</v>
      </c>
      <c r="F3557" t="str">
        <f>CONCATENATE(calendar[[#This Row],[Month]],"/",calendar[[#This Row],[Year]])</f>
        <v>9/2026</v>
      </c>
      <c r="G3557">
        <f>WEEKDAY(calendar[[#This Row],[Date]],1)</f>
        <v>7</v>
      </c>
      <c r="H3557" t="str">
        <f>TEXT(calendar[[#This Row],[WeekDay]],"dddd")</f>
        <v>Saturday</v>
      </c>
      <c r="I3557">
        <f>IF((INT(calendar[[#This Row],[Count]]/7)-calendar[[#This Row],[Count]]/7)&lt;0,I3556,I3556+1)</f>
        <v>508</v>
      </c>
      <c r="J3557">
        <f t="shared" si="282"/>
        <v>3555</v>
      </c>
      <c r="K3557">
        <f>IF(calendar[[#This Row],[Month]]&lt;4,1,IF(calendar[[#This Row],[Month]]&lt;7,2,IF(calendar[[#This Row],[Month]]&lt;10,3,4)))</f>
        <v>3</v>
      </c>
      <c r="L3557">
        <f>IFERROR(IF(VLOOKUP(calendar[[#This Row],[Date]],BH!A:A,1,)&lt;&gt;"",1,0),0)</f>
        <v>0</v>
      </c>
      <c r="M3557">
        <f>IFERROR(IF(VLOOKUP(calendar[[#This Row],[Date]],BH!C:C,1,)&lt;&gt;"",1,0),0)</f>
        <v>0</v>
      </c>
      <c r="N3557">
        <f>IFERROR(IF(VLOOKUP(calendar[[#This Row],[Date]],BH!E:E,1,)&lt;&gt;"",1,0),0)</f>
        <v>0</v>
      </c>
      <c r="O3557">
        <f>IFERROR(IF(VLOOKUP(calendar[[#This Row],[Date]],BH!G:G,1,)&lt;&gt;"",1,0),0)</f>
        <v>0</v>
      </c>
      <c r="P3557">
        <f>IF(OR(calendar[[#This Row],[UK_BH]]=1,calendar[[#This Row],[WeekDay]]=1, calendar[[#This Row],[WeekDay]]=7),P3556,P3556+1)</f>
        <v>2526</v>
      </c>
      <c r="Q3557">
        <f>IF(OR(calendar[[#This Row],[FR_BH]]=1,calendar[[#This Row],[WeekDay]]=1, calendar[[#This Row],[WeekDay]]=7),P3556,P3556+1)</f>
        <v>2526</v>
      </c>
      <c r="R3557">
        <f>IF(OR(calendar[[#This Row],[SP_BH]]=1,calendar[[#This Row],[WeekDay]]=1, calendar[[#This Row],[WeekDay]]=7),P3556,P3556+1)</f>
        <v>2526</v>
      </c>
      <c r="S3557">
        <f>IF(OR(calendar[[#This Row],[PT_BH]]=1,calendar[[#This Row],[WeekDay]]=1, calendar[[#This Row],[WeekDay]]=7),P3556,P3556+1)</f>
        <v>2526</v>
      </c>
    </row>
    <row r="3558" spans="1:19" x14ac:dyDescent="0.25">
      <c r="A3558" s="2">
        <v>46292</v>
      </c>
      <c r="B3558" s="1">
        <f t="shared" si="281"/>
        <v>40</v>
      </c>
      <c r="C3558">
        <f t="shared" si="283"/>
        <v>9</v>
      </c>
      <c r="D3558" t="str">
        <f t="shared" si="284"/>
        <v>September</v>
      </c>
      <c r="E3558">
        <f t="shared" si="285"/>
        <v>2026</v>
      </c>
      <c r="F3558" t="str">
        <f>CONCATENATE(calendar[[#This Row],[Month]],"/",calendar[[#This Row],[Year]])</f>
        <v>9/2026</v>
      </c>
      <c r="G3558">
        <f>WEEKDAY(calendar[[#This Row],[Date]],1)</f>
        <v>1</v>
      </c>
      <c r="H3558" t="str">
        <f>TEXT(calendar[[#This Row],[WeekDay]],"dddd")</f>
        <v>Sunday</v>
      </c>
      <c r="I3558">
        <f>IF((INT(calendar[[#This Row],[Count]]/7)-calendar[[#This Row],[Count]]/7)&lt;0,I3557,I3557+1)</f>
        <v>509</v>
      </c>
      <c r="J3558">
        <f t="shared" si="282"/>
        <v>3556</v>
      </c>
      <c r="K3558">
        <f>IF(calendar[[#This Row],[Month]]&lt;4,1,IF(calendar[[#This Row],[Month]]&lt;7,2,IF(calendar[[#This Row],[Month]]&lt;10,3,4)))</f>
        <v>3</v>
      </c>
      <c r="L3558">
        <f>IFERROR(IF(VLOOKUP(calendar[[#This Row],[Date]],BH!A:A,1,)&lt;&gt;"",1,0),0)</f>
        <v>0</v>
      </c>
      <c r="M3558">
        <f>IFERROR(IF(VLOOKUP(calendar[[#This Row],[Date]],BH!C:C,1,)&lt;&gt;"",1,0),0)</f>
        <v>0</v>
      </c>
      <c r="N3558">
        <f>IFERROR(IF(VLOOKUP(calendar[[#This Row],[Date]],BH!E:E,1,)&lt;&gt;"",1,0),0)</f>
        <v>0</v>
      </c>
      <c r="O3558">
        <f>IFERROR(IF(VLOOKUP(calendar[[#This Row],[Date]],BH!G:G,1,)&lt;&gt;"",1,0),0)</f>
        <v>0</v>
      </c>
      <c r="P3558">
        <f>IF(OR(calendar[[#This Row],[UK_BH]]=1,calendar[[#This Row],[WeekDay]]=1, calendar[[#This Row],[WeekDay]]=7),P3557,P3557+1)</f>
        <v>2526</v>
      </c>
      <c r="Q3558">
        <f>IF(OR(calendar[[#This Row],[FR_BH]]=1,calendar[[#This Row],[WeekDay]]=1, calendar[[#This Row],[WeekDay]]=7),P3557,P3557+1)</f>
        <v>2526</v>
      </c>
      <c r="R3558">
        <f>IF(OR(calendar[[#This Row],[SP_BH]]=1,calendar[[#This Row],[WeekDay]]=1, calendar[[#This Row],[WeekDay]]=7),P3557,P3557+1)</f>
        <v>2526</v>
      </c>
      <c r="S3558">
        <f>IF(OR(calendar[[#This Row],[PT_BH]]=1,calendar[[#This Row],[WeekDay]]=1, calendar[[#This Row],[WeekDay]]=7),P3557,P3557+1)</f>
        <v>2526</v>
      </c>
    </row>
    <row r="3559" spans="1:19" x14ac:dyDescent="0.25">
      <c r="A3559" s="2">
        <v>46293</v>
      </c>
      <c r="B3559" s="1">
        <f t="shared" si="281"/>
        <v>40</v>
      </c>
      <c r="C3559">
        <f t="shared" si="283"/>
        <v>9</v>
      </c>
      <c r="D3559" t="str">
        <f t="shared" si="284"/>
        <v>September</v>
      </c>
      <c r="E3559">
        <f t="shared" si="285"/>
        <v>2026</v>
      </c>
      <c r="F3559" t="str">
        <f>CONCATENATE(calendar[[#This Row],[Month]],"/",calendar[[#This Row],[Year]])</f>
        <v>9/2026</v>
      </c>
      <c r="G3559">
        <f>WEEKDAY(calendar[[#This Row],[Date]],1)</f>
        <v>2</v>
      </c>
      <c r="H3559" t="str">
        <f>TEXT(calendar[[#This Row],[WeekDay]],"dddd")</f>
        <v>Monday</v>
      </c>
      <c r="I3559">
        <f>IF((INT(calendar[[#This Row],[Count]]/7)-calendar[[#This Row],[Count]]/7)&lt;0,I3558,I3558+1)</f>
        <v>509</v>
      </c>
      <c r="J3559">
        <f t="shared" si="282"/>
        <v>3557</v>
      </c>
      <c r="K3559">
        <f>IF(calendar[[#This Row],[Month]]&lt;4,1,IF(calendar[[#This Row],[Month]]&lt;7,2,IF(calendar[[#This Row],[Month]]&lt;10,3,4)))</f>
        <v>3</v>
      </c>
      <c r="L3559">
        <f>IFERROR(IF(VLOOKUP(calendar[[#This Row],[Date]],BH!A:A,1,)&lt;&gt;"",1,0),0)</f>
        <v>0</v>
      </c>
      <c r="M3559">
        <f>IFERROR(IF(VLOOKUP(calendar[[#This Row],[Date]],BH!C:C,1,)&lt;&gt;"",1,0),0)</f>
        <v>0</v>
      </c>
      <c r="N3559">
        <f>IFERROR(IF(VLOOKUP(calendar[[#This Row],[Date]],BH!E:E,1,)&lt;&gt;"",1,0),0)</f>
        <v>0</v>
      </c>
      <c r="O3559">
        <f>IFERROR(IF(VLOOKUP(calendar[[#This Row],[Date]],BH!G:G,1,)&lt;&gt;"",1,0),0)</f>
        <v>0</v>
      </c>
      <c r="P3559">
        <f>IF(OR(calendar[[#This Row],[UK_BH]]=1,calendar[[#This Row],[WeekDay]]=1, calendar[[#This Row],[WeekDay]]=7),P3558,P3558+1)</f>
        <v>2527</v>
      </c>
      <c r="Q3559">
        <f>IF(OR(calendar[[#This Row],[FR_BH]]=1,calendar[[#This Row],[WeekDay]]=1, calendar[[#This Row],[WeekDay]]=7),P3558,P3558+1)</f>
        <v>2527</v>
      </c>
      <c r="R3559">
        <f>IF(OR(calendar[[#This Row],[SP_BH]]=1,calendar[[#This Row],[WeekDay]]=1, calendar[[#This Row],[WeekDay]]=7),P3558,P3558+1)</f>
        <v>2527</v>
      </c>
      <c r="S3559">
        <f>IF(OR(calendar[[#This Row],[PT_BH]]=1,calendar[[#This Row],[WeekDay]]=1, calendar[[#This Row],[WeekDay]]=7),P3558,P3558+1)</f>
        <v>2527</v>
      </c>
    </row>
    <row r="3560" spans="1:19" x14ac:dyDescent="0.25">
      <c r="A3560" s="2">
        <v>46294</v>
      </c>
      <c r="B3560" s="1">
        <f t="shared" si="281"/>
        <v>40</v>
      </c>
      <c r="C3560">
        <f t="shared" si="283"/>
        <v>9</v>
      </c>
      <c r="D3560" t="str">
        <f t="shared" si="284"/>
        <v>September</v>
      </c>
      <c r="E3560">
        <f t="shared" si="285"/>
        <v>2026</v>
      </c>
      <c r="F3560" t="str">
        <f>CONCATENATE(calendar[[#This Row],[Month]],"/",calendar[[#This Row],[Year]])</f>
        <v>9/2026</v>
      </c>
      <c r="G3560">
        <f>WEEKDAY(calendar[[#This Row],[Date]],1)</f>
        <v>3</v>
      </c>
      <c r="H3560" t="str">
        <f>TEXT(calendar[[#This Row],[WeekDay]],"dddd")</f>
        <v>Tuesday</v>
      </c>
      <c r="I3560">
        <f>IF((INT(calendar[[#This Row],[Count]]/7)-calendar[[#This Row],[Count]]/7)&lt;0,I3559,I3559+1)</f>
        <v>509</v>
      </c>
      <c r="J3560">
        <f t="shared" si="282"/>
        <v>3558</v>
      </c>
      <c r="K3560">
        <f>IF(calendar[[#This Row],[Month]]&lt;4,1,IF(calendar[[#This Row],[Month]]&lt;7,2,IF(calendar[[#This Row],[Month]]&lt;10,3,4)))</f>
        <v>3</v>
      </c>
      <c r="L3560">
        <f>IFERROR(IF(VLOOKUP(calendar[[#This Row],[Date]],BH!A:A,1,)&lt;&gt;"",1,0),0)</f>
        <v>0</v>
      </c>
      <c r="M3560">
        <f>IFERROR(IF(VLOOKUP(calendar[[#This Row],[Date]],BH!C:C,1,)&lt;&gt;"",1,0),0)</f>
        <v>0</v>
      </c>
      <c r="N3560">
        <f>IFERROR(IF(VLOOKUP(calendar[[#This Row],[Date]],BH!E:E,1,)&lt;&gt;"",1,0),0)</f>
        <v>0</v>
      </c>
      <c r="O3560">
        <f>IFERROR(IF(VLOOKUP(calendar[[#This Row],[Date]],BH!G:G,1,)&lt;&gt;"",1,0),0)</f>
        <v>0</v>
      </c>
      <c r="P3560">
        <f>IF(OR(calendar[[#This Row],[UK_BH]]=1,calendar[[#This Row],[WeekDay]]=1, calendar[[#This Row],[WeekDay]]=7),P3559,P3559+1)</f>
        <v>2528</v>
      </c>
      <c r="Q3560">
        <f>IF(OR(calendar[[#This Row],[FR_BH]]=1,calendar[[#This Row],[WeekDay]]=1, calendar[[#This Row],[WeekDay]]=7),P3559,P3559+1)</f>
        <v>2528</v>
      </c>
      <c r="R3560">
        <f>IF(OR(calendar[[#This Row],[SP_BH]]=1,calendar[[#This Row],[WeekDay]]=1, calendar[[#This Row],[WeekDay]]=7),P3559,P3559+1)</f>
        <v>2528</v>
      </c>
      <c r="S3560">
        <f>IF(OR(calendar[[#This Row],[PT_BH]]=1,calendar[[#This Row],[WeekDay]]=1, calendar[[#This Row],[WeekDay]]=7),P3559,P3559+1)</f>
        <v>2528</v>
      </c>
    </row>
    <row r="3561" spans="1:19" x14ac:dyDescent="0.25">
      <c r="A3561" s="2">
        <v>46295</v>
      </c>
      <c r="B3561" s="1">
        <f t="shared" si="281"/>
        <v>40</v>
      </c>
      <c r="C3561">
        <f t="shared" si="283"/>
        <v>9</v>
      </c>
      <c r="D3561" t="str">
        <f t="shared" si="284"/>
        <v>September</v>
      </c>
      <c r="E3561">
        <f t="shared" si="285"/>
        <v>2026</v>
      </c>
      <c r="F3561" t="str">
        <f>CONCATENATE(calendar[[#This Row],[Month]],"/",calendar[[#This Row],[Year]])</f>
        <v>9/2026</v>
      </c>
      <c r="G3561">
        <f>WEEKDAY(calendar[[#This Row],[Date]],1)</f>
        <v>4</v>
      </c>
      <c r="H3561" t="str">
        <f>TEXT(calendar[[#This Row],[WeekDay]],"dddd")</f>
        <v>Wednesday</v>
      </c>
      <c r="I3561">
        <f>IF((INT(calendar[[#This Row],[Count]]/7)-calendar[[#This Row],[Count]]/7)&lt;0,I3560,I3560+1)</f>
        <v>509</v>
      </c>
      <c r="J3561">
        <f t="shared" si="282"/>
        <v>3559</v>
      </c>
      <c r="K3561">
        <f>IF(calendar[[#This Row],[Month]]&lt;4,1,IF(calendar[[#This Row],[Month]]&lt;7,2,IF(calendar[[#This Row],[Month]]&lt;10,3,4)))</f>
        <v>3</v>
      </c>
      <c r="L3561">
        <f>IFERROR(IF(VLOOKUP(calendar[[#This Row],[Date]],BH!A:A,1,)&lt;&gt;"",1,0),0)</f>
        <v>0</v>
      </c>
      <c r="M3561">
        <f>IFERROR(IF(VLOOKUP(calendar[[#This Row],[Date]],BH!C:C,1,)&lt;&gt;"",1,0),0)</f>
        <v>0</v>
      </c>
      <c r="N3561">
        <f>IFERROR(IF(VLOOKUP(calendar[[#This Row],[Date]],BH!E:E,1,)&lt;&gt;"",1,0),0)</f>
        <v>0</v>
      </c>
      <c r="O3561">
        <f>IFERROR(IF(VLOOKUP(calendar[[#This Row],[Date]],BH!G:G,1,)&lt;&gt;"",1,0),0)</f>
        <v>0</v>
      </c>
      <c r="P3561">
        <f>IF(OR(calendar[[#This Row],[UK_BH]]=1,calendar[[#This Row],[WeekDay]]=1, calendar[[#This Row],[WeekDay]]=7),P3560,P3560+1)</f>
        <v>2529</v>
      </c>
      <c r="Q3561">
        <f>IF(OR(calendar[[#This Row],[FR_BH]]=1,calendar[[#This Row],[WeekDay]]=1, calendar[[#This Row],[WeekDay]]=7),P3560,P3560+1)</f>
        <v>2529</v>
      </c>
      <c r="R3561">
        <f>IF(OR(calendar[[#This Row],[SP_BH]]=1,calendar[[#This Row],[WeekDay]]=1, calendar[[#This Row],[WeekDay]]=7),P3560,P3560+1)</f>
        <v>2529</v>
      </c>
      <c r="S3561">
        <f>IF(OR(calendar[[#This Row],[PT_BH]]=1,calendar[[#This Row],[WeekDay]]=1, calendar[[#This Row],[WeekDay]]=7),P3560,P3560+1)</f>
        <v>2529</v>
      </c>
    </row>
    <row r="3562" spans="1:19" x14ac:dyDescent="0.25">
      <c r="A3562" s="2">
        <v>46296</v>
      </c>
      <c r="B3562" s="1">
        <f t="shared" si="281"/>
        <v>40</v>
      </c>
      <c r="C3562">
        <f t="shared" si="283"/>
        <v>10</v>
      </c>
      <c r="D3562" t="str">
        <f t="shared" si="284"/>
        <v>October</v>
      </c>
      <c r="E3562">
        <f t="shared" si="285"/>
        <v>2026</v>
      </c>
      <c r="F3562" t="str">
        <f>CONCATENATE(calendar[[#This Row],[Month]],"/",calendar[[#This Row],[Year]])</f>
        <v>10/2026</v>
      </c>
      <c r="G3562">
        <f>WEEKDAY(calendar[[#This Row],[Date]],1)</f>
        <v>5</v>
      </c>
      <c r="H3562" t="str">
        <f>TEXT(calendar[[#This Row],[WeekDay]],"dddd")</f>
        <v>Thursday</v>
      </c>
      <c r="I3562">
        <f>IF((INT(calendar[[#This Row],[Count]]/7)-calendar[[#This Row],[Count]]/7)&lt;0,I3561,I3561+1)</f>
        <v>509</v>
      </c>
      <c r="J3562">
        <f t="shared" si="282"/>
        <v>3560</v>
      </c>
      <c r="K3562">
        <f>IF(calendar[[#This Row],[Month]]&lt;4,1,IF(calendar[[#This Row],[Month]]&lt;7,2,IF(calendar[[#This Row],[Month]]&lt;10,3,4)))</f>
        <v>4</v>
      </c>
      <c r="L3562">
        <f>IFERROR(IF(VLOOKUP(calendar[[#This Row],[Date]],BH!A:A,1,)&lt;&gt;"",1,0),0)</f>
        <v>0</v>
      </c>
      <c r="M3562">
        <f>IFERROR(IF(VLOOKUP(calendar[[#This Row],[Date]],BH!C:C,1,)&lt;&gt;"",1,0),0)</f>
        <v>0</v>
      </c>
      <c r="N3562">
        <f>IFERROR(IF(VLOOKUP(calendar[[#This Row],[Date]],BH!E:E,1,)&lt;&gt;"",1,0),0)</f>
        <v>0</v>
      </c>
      <c r="O3562">
        <f>IFERROR(IF(VLOOKUP(calendar[[#This Row],[Date]],BH!G:G,1,)&lt;&gt;"",1,0),0)</f>
        <v>0</v>
      </c>
      <c r="P3562">
        <f>IF(OR(calendar[[#This Row],[UK_BH]]=1,calendar[[#This Row],[WeekDay]]=1, calendar[[#This Row],[WeekDay]]=7),P3561,P3561+1)</f>
        <v>2530</v>
      </c>
      <c r="Q3562">
        <f>IF(OR(calendar[[#This Row],[FR_BH]]=1,calendar[[#This Row],[WeekDay]]=1, calendar[[#This Row],[WeekDay]]=7),P3561,P3561+1)</f>
        <v>2530</v>
      </c>
      <c r="R3562">
        <f>IF(OR(calendar[[#This Row],[SP_BH]]=1,calendar[[#This Row],[WeekDay]]=1, calendar[[#This Row],[WeekDay]]=7),P3561,P3561+1)</f>
        <v>2530</v>
      </c>
      <c r="S3562">
        <f>IF(OR(calendar[[#This Row],[PT_BH]]=1,calendar[[#This Row],[WeekDay]]=1, calendar[[#This Row],[WeekDay]]=7),P3561,P3561+1)</f>
        <v>2530</v>
      </c>
    </row>
    <row r="3563" spans="1:19" x14ac:dyDescent="0.25">
      <c r="A3563" s="2">
        <v>46297</v>
      </c>
      <c r="B3563" s="1">
        <f t="shared" si="281"/>
        <v>40</v>
      </c>
      <c r="C3563">
        <f t="shared" si="283"/>
        <v>10</v>
      </c>
      <c r="D3563" t="str">
        <f t="shared" si="284"/>
        <v>October</v>
      </c>
      <c r="E3563">
        <f t="shared" si="285"/>
        <v>2026</v>
      </c>
      <c r="F3563" t="str">
        <f>CONCATENATE(calendar[[#This Row],[Month]],"/",calendar[[#This Row],[Year]])</f>
        <v>10/2026</v>
      </c>
      <c r="G3563">
        <f>WEEKDAY(calendar[[#This Row],[Date]],1)</f>
        <v>6</v>
      </c>
      <c r="H3563" t="str">
        <f>TEXT(calendar[[#This Row],[WeekDay]],"dddd")</f>
        <v>Friday</v>
      </c>
      <c r="I3563">
        <f>IF((INT(calendar[[#This Row],[Count]]/7)-calendar[[#This Row],[Count]]/7)&lt;0,I3562,I3562+1)</f>
        <v>509</v>
      </c>
      <c r="J3563">
        <f t="shared" si="282"/>
        <v>3561</v>
      </c>
      <c r="K3563">
        <f>IF(calendar[[#This Row],[Month]]&lt;4,1,IF(calendar[[#This Row],[Month]]&lt;7,2,IF(calendar[[#This Row],[Month]]&lt;10,3,4)))</f>
        <v>4</v>
      </c>
      <c r="L3563">
        <f>IFERROR(IF(VLOOKUP(calendar[[#This Row],[Date]],BH!A:A,1,)&lt;&gt;"",1,0),0)</f>
        <v>0</v>
      </c>
      <c r="M3563">
        <f>IFERROR(IF(VLOOKUP(calendar[[#This Row],[Date]],BH!C:C,1,)&lt;&gt;"",1,0),0)</f>
        <v>0</v>
      </c>
      <c r="N3563">
        <f>IFERROR(IF(VLOOKUP(calendar[[#This Row],[Date]],BH!E:E,1,)&lt;&gt;"",1,0),0)</f>
        <v>0</v>
      </c>
      <c r="O3563">
        <f>IFERROR(IF(VLOOKUP(calendar[[#This Row],[Date]],BH!G:G,1,)&lt;&gt;"",1,0),0)</f>
        <v>0</v>
      </c>
      <c r="P3563">
        <f>IF(OR(calendar[[#This Row],[UK_BH]]=1,calendar[[#This Row],[WeekDay]]=1, calendar[[#This Row],[WeekDay]]=7),P3562,P3562+1)</f>
        <v>2531</v>
      </c>
      <c r="Q3563">
        <f>IF(OR(calendar[[#This Row],[FR_BH]]=1,calendar[[#This Row],[WeekDay]]=1, calendar[[#This Row],[WeekDay]]=7),P3562,P3562+1)</f>
        <v>2531</v>
      </c>
      <c r="R3563">
        <f>IF(OR(calendar[[#This Row],[SP_BH]]=1,calendar[[#This Row],[WeekDay]]=1, calendar[[#This Row],[WeekDay]]=7),P3562,P3562+1)</f>
        <v>2531</v>
      </c>
      <c r="S3563">
        <f>IF(OR(calendar[[#This Row],[PT_BH]]=1,calendar[[#This Row],[WeekDay]]=1, calendar[[#This Row],[WeekDay]]=7),P3562,P3562+1)</f>
        <v>2531</v>
      </c>
    </row>
    <row r="3564" spans="1:19" x14ac:dyDescent="0.25">
      <c r="A3564" s="2">
        <v>46298</v>
      </c>
      <c r="B3564" s="1">
        <f t="shared" si="281"/>
        <v>40</v>
      </c>
      <c r="C3564">
        <f t="shared" si="283"/>
        <v>10</v>
      </c>
      <c r="D3564" t="str">
        <f t="shared" si="284"/>
        <v>October</v>
      </c>
      <c r="E3564">
        <f t="shared" si="285"/>
        <v>2026</v>
      </c>
      <c r="F3564" t="str">
        <f>CONCATENATE(calendar[[#This Row],[Month]],"/",calendar[[#This Row],[Year]])</f>
        <v>10/2026</v>
      </c>
      <c r="G3564">
        <f>WEEKDAY(calendar[[#This Row],[Date]],1)</f>
        <v>7</v>
      </c>
      <c r="H3564" t="str">
        <f>TEXT(calendar[[#This Row],[WeekDay]],"dddd")</f>
        <v>Saturday</v>
      </c>
      <c r="I3564">
        <f>IF((INT(calendar[[#This Row],[Count]]/7)-calendar[[#This Row],[Count]]/7)&lt;0,I3563,I3563+1)</f>
        <v>509</v>
      </c>
      <c r="J3564">
        <f t="shared" si="282"/>
        <v>3562</v>
      </c>
      <c r="K3564">
        <f>IF(calendar[[#This Row],[Month]]&lt;4,1,IF(calendar[[#This Row],[Month]]&lt;7,2,IF(calendar[[#This Row],[Month]]&lt;10,3,4)))</f>
        <v>4</v>
      </c>
      <c r="L3564">
        <f>IFERROR(IF(VLOOKUP(calendar[[#This Row],[Date]],BH!A:A,1,)&lt;&gt;"",1,0),0)</f>
        <v>0</v>
      </c>
      <c r="M3564">
        <f>IFERROR(IF(VLOOKUP(calendar[[#This Row],[Date]],BH!C:C,1,)&lt;&gt;"",1,0),0)</f>
        <v>0</v>
      </c>
      <c r="N3564">
        <f>IFERROR(IF(VLOOKUP(calendar[[#This Row],[Date]],BH!E:E,1,)&lt;&gt;"",1,0),0)</f>
        <v>0</v>
      </c>
      <c r="O3564">
        <f>IFERROR(IF(VLOOKUP(calendar[[#This Row],[Date]],BH!G:G,1,)&lt;&gt;"",1,0),0)</f>
        <v>0</v>
      </c>
      <c r="P3564">
        <f>IF(OR(calendar[[#This Row],[UK_BH]]=1,calendar[[#This Row],[WeekDay]]=1, calendar[[#This Row],[WeekDay]]=7),P3563,P3563+1)</f>
        <v>2531</v>
      </c>
      <c r="Q3564">
        <f>IF(OR(calendar[[#This Row],[FR_BH]]=1,calendar[[#This Row],[WeekDay]]=1, calendar[[#This Row],[WeekDay]]=7),P3563,P3563+1)</f>
        <v>2531</v>
      </c>
      <c r="R3564">
        <f>IF(OR(calendar[[#This Row],[SP_BH]]=1,calendar[[#This Row],[WeekDay]]=1, calendar[[#This Row],[WeekDay]]=7),P3563,P3563+1)</f>
        <v>2531</v>
      </c>
      <c r="S3564">
        <f>IF(OR(calendar[[#This Row],[PT_BH]]=1,calendar[[#This Row],[WeekDay]]=1, calendar[[#This Row],[WeekDay]]=7),P3563,P3563+1)</f>
        <v>2531</v>
      </c>
    </row>
    <row r="3565" spans="1:19" x14ac:dyDescent="0.25">
      <c r="A3565" s="2">
        <v>46299</v>
      </c>
      <c r="B3565" s="1">
        <f t="shared" si="281"/>
        <v>41</v>
      </c>
      <c r="C3565">
        <f t="shared" si="283"/>
        <v>10</v>
      </c>
      <c r="D3565" t="str">
        <f t="shared" si="284"/>
        <v>October</v>
      </c>
      <c r="E3565">
        <f t="shared" si="285"/>
        <v>2026</v>
      </c>
      <c r="F3565" t="str">
        <f>CONCATENATE(calendar[[#This Row],[Month]],"/",calendar[[#This Row],[Year]])</f>
        <v>10/2026</v>
      </c>
      <c r="G3565">
        <f>WEEKDAY(calendar[[#This Row],[Date]],1)</f>
        <v>1</v>
      </c>
      <c r="H3565" t="str">
        <f>TEXT(calendar[[#This Row],[WeekDay]],"dddd")</f>
        <v>Sunday</v>
      </c>
      <c r="I3565">
        <f>IF((INT(calendar[[#This Row],[Count]]/7)-calendar[[#This Row],[Count]]/7)&lt;0,I3564,I3564+1)</f>
        <v>510</v>
      </c>
      <c r="J3565">
        <f t="shared" si="282"/>
        <v>3563</v>
      </c>
      <c r="K3565">
        <f>IF(calendar[[#This Row],[Month]]&lt;4,1,IF(calendar[[#This Row],[Month]]&lt;7,2,IF(calendar[[#This Row],[Month]]&lt;10,3,4)))</f>
        <v>4</v>
      </c>
      <c r="L3565">
        <f>IFERROR(IF(VLOOKUP(calendar[[#This Row],[Date]],BH!A:A,1,)&lt;&gt;"",1,0),0)</f>
        <v>0</v>
      </c>
      <c r="M3565">
        <f>IFERROR(IF(VLOOKUP(calendar[[#This Row],[Date]],BH!C:C,1,)&lt;&gt;"",1,0),0)</f>
        <v>0</v>
      </c>
      <c r="N3565">
        <f>IFERROR(IF(VLOOKUP(calendar[[#This Row],[Date]],BH!E:E,1,)&lt;&gt;"",1,0),0)</f>
        <v>0</v>
      </c>
      <c r="O3565">
        <f>IFERROR(IF(VLOOKUP(calendar[[#This Row],[Date]],BH!G:G,1,)&lt;&gt;"",1,0),0)</f>
        <v>0</v>
      </c>
      <c r="P3565">
        <f>IF(OR(calendar[[#This Row],[UK_BH]]=1,calendar[[#This Row],[WeekDay]]=1, calendar[[#This Row],[WeekDay]]=7),P3564,P3564+1)</f>
        <v>2531</v>
      </c>
      <c r="Q3565">
        <f>IF(OR(calendar[[#This Row],[FR_BH]]=1,calendar[[#This Row],[WeekDay]]=1, calendar[[#This Row],[WeekDay]]=7),P3564,P3564+1)</f>
        <v>2531</v>
      </c>
      <c r="R3565">
        <f>IF(OR(calendar[[#This Row],[SP_BH]]=1,calendar[[#This Row],[WeekDay]]=1, calendar[[#This Row],[WeekDay]]=7),P3564,P3564+1)</f>
        <v>2531</v>
      </c>
      <c r="S3565">
        <f>IF(OR(calendar[[#This Row],[PT_BH]]=1,calendar[[#This Row],[WeekDay]]=1, calendar[[#This Row],[WeekDay]]=7),P3564,P3564+1)</f>
        <v>2531</v>
      </c>
    </row>
    <row r="3566" spans="1:19" x14ac:dyDescent="0.25">
      <c r="A3566" s="2">
        <v>46300</v>
      </c>
      <c r="B3566" s="1">
        <f t="shared" si="281"/>
        <v>41</v>
      </c>
      <c r="C3566">
        <f t="shared" si="283"/>
        <v>10</v>
      </c>
      <c r="D3566" t="str">
        <f t="shared" si="284"/>
        <v>October</v>
      </c>
      <c r="E3566">
        <f t="shared" si="285"/>
        <v>2026</v>
      </c>
      <c r="F3566" t="str">
        <f>CONCATENATE(calendar[[#This Row],[Month]],"/",calendar[[#This Row],[Year]])</f>
        <v>10/2026</v>
      </c>
      <c r="G3566">
        <f>WEEKDAY(calendar[[#This Row],[Date]],1)</f>
        <v>2</v>
      </c>
      <c r="H3566" t="str">
        <f>TEXT(calendar[[#This Row],[WeekDay]],"dddd")</f>
        <v>Monday</v>
      </c>
      <c r="I3566">
        <f>IF((INT(calendar[[#This Row],[Count]]/7)-calendar[[#This Row],[Count]]/7)&lt;0,I3565,I3565+1)</f>
        <v>510</v>
      </c>
      <c r="J3566">
        <f t="shared" si="282"/>
        <v>3564</v>
      </c>
      <c r="K3566">
        <f>IF(calendar[[#This Row],[Month]]&lt;4,1,IF(calendar[[#This Row],[Month]]&lt;7,2,IF(calendar[[#This Row],[Month]]&lt;10,3,4)))</f>
        <v>4</v>
      </c>
      <c r="L3566">
        <f>IFERROR(IF(VLOOKUP(calendar[[#This Row],[Date]],BH!A:A,1,)&lt;&gt;"",1,0),0)</f>
        <v>0</v>
      </c>
      <c r="M3566">
        <f>IFERROR(IF(VLOOKUP(calendar[[#This Row],[Date]],BH!C:C,1,)&lt;&gt;"",1,0),0)</f>
        <v>0</v>
      </c>
      <c r="N3566">
        <f>IFERROR(IF(VLOOKUP(calendar[[#This Row],[Date]],BH!E:E,1,)&lt;&gt;"",1,0),0)</f>
        <v>0</v>
      </c>
      <c r="O3566">
        <f>IFERROR(IF(VLOOKUP(calendar[[#This Row],[Date]],BH!G:G,1,)&lt;&gt;"",1,0),0)</f>
        <v>1</v>
      </c>
      <c r="P3566">
        <f>IF(OR(calendar[[#This Row],[UK_BH]]=1,calendar[[#This Row],[WeekDay]]=1, calendar[[#This Row],[WeekDay]]=7),P3565,P3565+1)</f>
        <v>2532</v>
      </c>
      <c r="Q3566">
        <f>IF(OR(calendar[[#This Row],[FR_BH]]=1,calendar[[#This Row],[WeekDay]]=1, calendar[[#This Row],[WeekDay]]=7),P3565,P3565+1)</f>
        <v>2532</v>
      </c>
      <c r="R3566">
        <f>IF(OR(calendar[[#This Row],[SP_BH]]=1,calendar[[#This Row],[WeekDay]]=1, calendar[[#This Row],[WeekDay]]=7),P3565,P3565+1)</f>
        <v>2532</v>
      </c>
      <c r="S3566">
        <f>IF(OR(calendar[[#This Row],[PT_BH]]=1,calendar[[#This Row],[WeekDay]]=1, calendar[[#This Row],[WeekDay]]=7),P3565,P3565+1)</f>
        <v>2531</v>
      </c>
    </row>
    <row r="3567" spans="1:19" x14ac:dyDescent="0.25">
      <c r="A3567" s="2">
        <v>46301</v>
      </c>
      <c r="B3567" s="1">
        <f t="shared" si="281"/>
        <v>41</v>
      </c>
      <c r="C3567">
        <f t="shared" si="283"/>
        <v>10</v>
      </c>
      <c r="D3567" t="str">
        <f t="shared" si="284"/>
        <v>October</v>
      </c>
      <c r="E3567">
        <f t="shared" si="285"/>
        <v>2026</v>
      </c>
      <c r="F3567" t="str">
        <f>CONCATENATE(calendar[[#This Row],[Month]],"/",calendar[[#This Row],[Year]])</f>
        <v>10/2026</v>
      </c>
      <c r="G3567">
        <f>WEEKDAY(calendar[[#This Row],[Date]],1)</f>
        <v>3</v>
      </c>
      <c r="H3567" t="str">
        <f>TEXT(calendar[[#This Row],[WeekDay]],"dddd")</f>
        <v>Tuesday</v>
      </c>
      <c r="I3567">
        <f>IF((INT(calendar[[#This Row],[Count]]/7)-calendar[[#This Row],[Count]]/7)&lt;0,I3566,I3566+1)</f>
        <v>510</v>
      </c>
      <c r="J3567">
        <f t="shared" si="282"/>
        <v>3565</v>
      </c>
      <c r="K3567">
        <f>IF(calendar[[#This Row],[Month]]&lt;4,1,IF(calendar[[#This Row],[Month]]&lt;7,2,IF(calendar[[#This Row],[Month]]&lt;10,3,4)))</f>
        <v>4</v>
      </c>
      <c r="L3567">
        <f>IFERROR(IF(VLOOKUP(calendar[[#This Row],[Date]],BH!A:A,1,)&lt;&gt;"",1,0),0)</f>
        <v>0</v>
      </c>
      <c r="M3567">
        <f>IFERROR(IF(VLOOKUP(calendar[[#This Row],[Date]],BH!C:C,1,)&lt;&gt;"",1,0),0)</f>
        <v>0</v>
      </c>
      <c r="N3567">
        <f>IFERROR(IF(VLOOKUP(calendar[[#This Row],[Date]],BH!E:E,1,)&lt;&gt;"",1,0),0)</f>
        <v>0</v>
      </c>
      <c r="O3567">
        <f>IFERROR(IF(VLOOKUP(calendar[[#This Row],[Date]],BH!G:G,1,)&lt;&gt;"",1,0),0)</f>
        <v>0</v>
      </c>
      <c r="P3567">
        <f>IF(OR(calendar[[#This Row],[UK_BH]]=1,calendar[[#This Row],[WeekDay]]=1, calendar[[#This Row],[WeekDay]]=7),P3566,P3566+1)</f>
        <v>2533</v>
      </c>
      <c r="Q3567">
        <f>IF(OR(calendar[[#This Row],[FR_BH]]=1,calendar[[#This Row],[WeekDay]]=1, calendar[[#This Row],[WeekDay]]=7),P3566,P3566+1)</f>
        <v>2533</v>
      </c>
      <c r="R3567">
        <f>IF(OR(calendar[[#This Row],[SP_BH]]=1,calendar[[#This Row],[WeekDay]]=1, calendar[[#This Row],[WeekDay]]=7),P3566,P3566+1)</f>
        <v>2533</v>
      </c>
      <c r="S3567">
        <f>IF(OR(calendar[[#This Row],[PT_BH]]=1,calendar[[#This Row],[WeekDay]]=1, calendar[[#This Row],[WeekDay]]=7),P3566,P3566+1)</f>
        <v>2533</v>
      </c>
    </row>
    <row r="3568" spans="1:19" x14ac:dyDescent="0.25">
      <c r="A3568" s="2">
        <v>46302</v>
      </c>
      <c r="B3568" s="1">
        <f t="shared" si="281"/>
        <v>41</v>
      </c>
      <c r="C3568">
        <f t="shared" si="283"/>
        <v>10</v>
      </c>
      <c r="D3568" t="str">
        <f t="shared" si="284"/>
        <v>October</v>
      </c>
      <c r="E3568">
        <f t="shared" si="285"/>
        <v>2026</v>
      </c>
      <c r="F3568" t="str">
        <f>CONCATENATE(calendar[[#This Row],[Month]],"/",calendar[[#This Row],[Year]])</f>
        <v>10/2026</v>
      </c>
      <c r="G3568">
        <f>WEEKDAY(calendar[[#This Row],[Date]],1)</f>
        <v>4</v>
      </c>
      <c r="H3568" t="str">
        <f>TEXT(calendar[[#This Row],[WeekDay]],"dddd")</f>
        <v>Wednesday</v>
      </c>
      <c r="I3568">
        <f>IF((INT(calendar[[#This Row],[Count]]/7)-calendar[[#This Row],[Count]]/7)&lt;0,I3567,I3567+1)</f>
        <v>510</v>
      </c>
      <c r="J3568">
        <f t="shared" si="282"/>
        <v>3566</v>
      </c>
      <c r="K3568">
        <f>IF(calendar[[#This Row],[Month]]&lt;4,1,IF(calendar[[#This Row],[Month]]&lt;7,2,IF(calendar[[#This Row],[Month]]&lt;10,3,4)))</f>
        <v>4</v>
      </c>
      <c r="L3568">
        <f>IFERROR(IF(VLOOKUP(calendar[[#This Row],[Date]],BH!A:A,1,)&lt;&gt;"",1,0),0)</f>
        <v>0</v>
      </c>
      <c r="M3568">
        <f>IFERROR(IF(VLOOKUP(calendar[[#This Row],[Date]],BH!C:C,1,)&lt;&gt;"",1,0),0)</f>
        <v>0</v>
      </c>
      <c r="N3568">
        <f>IFERROR(IF(VLOOKUP(calendar[[#This Row],[Date]],BH!E:E,1,)&lt;&gt;"",1,0),0)</f>
        <v>0</v>
      </c>
      <c r="O3568">
        <f>IFERROR(IF(VLOOKUP(calendar[[#This Row],[Date]],BH!G:G,1,)&lt;&gt;"",1,0),0)</f>
        <v>0</v>
      </c>
      <c r="P3568">
        <f>IF(OR(calendar[[#This Row],[UK_BH]]=1,calendar[[#This Row],[WeekDay]]=1, calendar[[#This Row],[WeekDay]]=7),P3567,P3567+1)</f>
        <v>2534</v>
      </c>
      <c r="Q3568">
        <f>IF(OR(calendar[[#This Row],[FR_BH]]=1,calendar[[#This Row],[WeekDay]]=1, calendar[[#This Row],[WeekDay]]=7),P3567,P3567+1)</f>
        <v>2534</v>
      </c>
      <c r="R3568">
        <f>IF(OR(calendar[[#This Row],[SP_BH]]=1,calendar[[#This Row],[WeekDay]]=1, calendar[[#This Row],[WeekDay]]=7),P3567,P3567+1)</f>
        <v>2534</v>
      </c>
      <c r="S3568">
        <f>IF(OR(calendar[[#This Row],[PT_BH]]=1,calendar[[#This Row],[WeekDay]]=1, calendar[[#This Row],[WeekDay]]=7),P3567,P3567+1)</f>
        <v>2534</v>
      </c>
    </row>
    <row r="3569" spans="1:19" x14ac:dyDescent="0.25">
      <c r="A3569" s="2">
        <v>46303</v>
      </c>
      <c r="B3569" s="1">
        <f t="shared" si="281"/>
        <v>41</v>
      </c>
      <c r="C3569">
        <f t="shared" si="283"/>
        <v>10</v>
      </c>
      <c r="D3569" t="str">
        <f t="shared" si="284"/>
        <v>October</v>
      </c>
      <c r="E3569">
        <f t="shared" si="285"/>
        <v>2026</v>
      </c>
      <c r="F3569" t="str">
        <f>CONCATENATE(calendar[[#This Row],[Month]],"/",calendar[[#This Row],[Year]])</f>
        <v>10/2026</v>
      </c>
      <c r="G3569">
        <f>WEEKDAY(calendar[[#This Row],[Date]],1)</f>
        <v>5</v>
      </c>
      <c r="H3569" t="str">
        <f>TEXT(calendar[[#This Row],[WeekDay]],"dddd")</f>
        <v>Thursday</v>
      </c>
      <c r="I3569">
        <f>IF((INT(calendar[[#This Row],[Count]]/7)-calendar[[#This Row],[Count]]/7)&lt;0,I3568,I3568+1)</f>
        <v>510</v>
      </c>
      <c r="J3569">
        <f t="shared" si="282"/>
        <v>3567</v>
      </c>
      <c r="K3569">
        <f>IF(calendar[[#This Row],[Month]]&lt;4,1,IF(calendar[[#This Row],[Month]]&lt;7,2,IF(calendar[[#This Row],[Month]]&lt;10,3,4)))</f>
        <v>4</v>
      </c>
      <c r="L3569">
        <f>IFERROR(IF(VLOOKUP(calendar[[#This Row],[Date]],BH!A:A,1,)&lt;&gt;"",1,0),0)</f>
        <v>0</v>
      </c>
      <c r="M3569">
        <f>IFERROR(IF(VLOOKUP(calendar[[#This Row],[Date]],BH!C:C,1,)&lt;&gt;"",1,0),0)</f>
        <v>0</v>
      </c>
      <c r="N3569">
        <f>IFERROR(IF(VLOOKUP(calendar[[#This Row],[Date]],BH!E:E,1,)&lt;&gt;"",1,0),0)</f>
        <v>0</v>
      </c>
      <c r="O3569">
        <f>IFERROR(IF(VLOOKUP(calendar[[#This Row],[Date]],BH!G:G,1,)&lt;&gt;"",1,0),0)</f>
        <v>0</v>
      </c>
      <c r="P3569">
        <f>IF(OR(calendar[[#This Row],[UK_BH]]=1,calendar[[#This Row],[WeekDay]]=1, calendar[[#This Row],[WeekDay]]=7),P3568,P3568+1)</f>
        <v>2535</v>
      </c>
      <c r="Q3569">
        <f>IF(OR(calendar[[#This Row],[FR_BH]]=1,calendar[[#This Row],[WeekDay]]=1, calendar[[#This Row],[WeekDay]]=7),P3568,P3568+1)</f>
        <v>2535</v>
      </c>
      <c r="R3569">
        <f>IF(OR(calendar[[#This Row],[SP_BH]]=1,calendar[[#This Row],[WeekDay]]=1, calendar[[#This Row],[WeekDay]]=7),P3568,P3568+1)</f>
        <v>2535</v>
      </c>
      <c r="S3569">
        <f>IF(OR(calendar[[#This Row],[PT_BH]]=1,calendar[[#This Row],[WeekDay]]=1, calendar[[#This Row],[WeekDay]]=7),P3568,P3568+1)</f>
        <v>2535</v>
      </c>
    </row>
    <row r="3570" spans="1:19" x14ac:dyDescent="0.25">
      <c r="A3570" s="2">
        <v>46304</v>
      </c>
      <c r="B3570" s="1">
        <f t="shared" si="281"/>
        <v>41</v>
      </c>
      <c r="C3570">
        <f t="shared" si="283"/>
        <v>10</v>
      </c>
      <c r="D3570" t="str">
        <f t="shared" si="284"/>
        <v>October</v>
      </c>
      <c r="E3570">
        <f t="shared" si="285"/>
        <v>2026</v>
      </c>
      <c r="F3570" t="str">
        <f>CONCATENATE(calendar[[#This Row],[Month]],"/",calendar[[#This Row],[Year]])</f>
        <v>10/2026</v>
      </c>
      <c r="G3570">
        <f>WEEKDAY(calendar[[#This Row],[Date]],1)</f>
        <v>6</v>
      </c>
      <c r="H3570" t="str">
        <f>TEXT(calendar[[#This Row],[WeekDay]],"dddd")</f>
        <v>Friday</v>
      </c>
      <c r="I3570">
        <f>IF((INT(calendar[[#This Row],[Count]]/7)-calendar[[#This Row],[Count]]/7)&lt;0,I3569,I3569+1)</f>
        <v>510</v>
      </c>
      <c r="J3570">
        <f t="shared" si="282"/>
        <v>3568</v>
      </c>
      <c r="K3570">
        <f>IF(calendar[[#This Row],[Month]]&lt;4,1,IF(calendar[[#This Row],[Month]]&lt;7,2,IF(calendar[[#This Row],[Month]]&lt;10,3,4)))</f>
        <v>4</v>
      </c>
      <c r="L3570">
        <f>IFERROR(IF(VLOOKUP(calendar[[#This Row],[Date]],BH!A:A,1,)&lt;&gt;"",1,0),0)</f>
        <v>0</v>
      </c>
      <c r="M3570">
        <f>IFERROR(IF(VLOOKUP(calendar[[#This Row],[Date]],BH!C:C,1,)&lt;&gt;"",1,0),0)</f>
        <v>0</v>
      </c>
      <c r="N3570">
        <f>IFERROR(IF(VLOOKUP(calendar[[#This Row],[Date]],BH!E:E,1,)&lt;&gt;"",1,0),0)</f>
        <v>1</v>
      </c>
      <c r="O3570">
        <f>IFERROR(IF(VLOOKUP(calendar[[#This Row],[Date]],BH!G:G,1,)&lt;&gt;"",1,0),0)</f>
        <v>0</v>
      </c>
      <c r="P3570">
        <f>IF(OR(calendar[[#This Row],[UK_BH]]=1,calendar[[#This Row],[WeekDay]]=1, calendar[[#This Row],[WeekDay]]=7),P3569,P3569+1)</f>
        <v>2536</v>
      </c>
      <c r="Q3570">
        <f>IF(OR(calendar[[#This Row],[FR_BH]]=1,calendar[[#This Row],[WeekDay]]=1, calendar[[#This Row],[WeekDay]]=7),P3569,P3569+1)</f>
        <v>2536</v>
      </c>
      <c r="R3570">
        <f>IF(OR(calendar[[#This Row],[SP_BH]]=1,calendar[[#This Row],[WeekDay]]=1, calendar[[#This Row],[WeekDay]]=7),P3569,P3569+1)</f>
        <v>2535</v>
      </c>
      <c r="S3570">
        <f>IF(OR(calendar[[#This Row],[PT_BH]]=1,calendar[[#This Row],[WeekDay]]=1, calendar[[#This Row],[WeekDay]]=7),P3569,P3569+1)</f>
        <v>2536</v>
      </c>
    </row>
    <row r="3571" spans="1:19" x14ac:dyDescent="0.25">
      <c r="A3571" s="2">
        <v>46305</v>
      </c>
      <c r="B3571" s="1">
        <f t="shared" si="281"/>
        <v>41</v>
      </c>
      <c r="C3571">
        <f t="shared" si="283"/>
        <v>10</v>
      </c>
      <c r="D3571" t="str">
        <f t="shared" si="284"/>
        <v>October</v>
      </c>
      <c r="E3571">
        <f t="shared" si="285"/>
        <v>2026</v>
      </c>
      <c r="F3571" t="str">
        <f>CONCATENATE(calendar[[#This Row],[Month]],"/",calendar[[#This Row],[Year]])</f>
        <v>10/2026</v>
      </c>
      <c r="G3571">
        <f>WEEKDAY(calendar[[#This Row],[Date]],1)</f>
        <v>7</v>
      </c>
      <c r="H3571" t="str">
        <f>TEXT(calendar[[#This Row],[WeekDay]],"dddd")</f>
        <v>Saturday</v>
      </c>
      <c r="I3571">
        <f>IF((INT(calendar[[#This Row],[Count]]/7)-calendar[[#This Row],[Count]]/7)&lt;0,I3570,I3570+1)</f>
        <v>510</v>
      </c>
      <c r="J3571">
        <f t="shared" si="282"/>
        <v>3569</v>
      </c>
      <c r="K3571">
        <f>IF(calendar[[#This Row],[Month]]&lt;4,1,IF(calendar[[#This Row],[Month]]&lt;7,2,IF(calendar[[#This Row],[Month]]&lt;10,3,4)))</f>
        <v>4</v>
      </c>
      <c r="L3571">
        <f>IFERROR(IF(VLOOKUP(calendar[[#This Row],[Date]],BH!A:A,1,)&lt;&gt;"",1,0),0)</f>
        <v>0</v>
      </c>
      <c r="M3571">
        <f>IFERROR(IF(VLOOKUP(calendar[[#This Row],[Date]],BH!C:C,1,)&lt;&gt;"",1,0),0)</f>
        <v>0</v>
      </c>
      <c r="N3571">
        <f>IFERROR(IF(VLOOKUP(calendar[[#This Row],[Date]],BH!E:E,1,)&lt;&gt;"",1,0),0)</f>
        <v>0</v>
      </c>
      <c r="O3571">
        <f>IFERROR(IF(VLOOKUP(calendar[[#This Row],[Date]],BH!G:G,1,)&lt;&gt;"",1,0),0)</f>
        <v>0</v>
      </c>
      <c r="P3571">
        <f>IF(OR(calendar[[#This Row],[UK_BH]]=1,calendar[[#This Row],[WeekDay]]=1, calendar[[#This Row],[WeekDay]]=7),P3570,P3570+1)</f>
        <v>2536</v>
      </c>
      <c r="Q3571">
        <f>IF(OR(calendar[[#This Row],[FR_BH]]=1,calendar[[#This Row],[WeekDay]]=1, calendar[[#This Row],[WeekDay]]=7),P3570,P3570+1)</f>
        <v>2536</v>
      </c>
      <c r="R3571">
        <f>IF(OR(calendar[[#This Row],[SP_BH]]=1,calendar[[#This Row],[WeekDay]]=1, calendar[[#This Row],[WeekDay]]=7),P3570,P3570+1)</f>
        <v>2536</v>
      </c>
      <c r="S3571">
        <f>IF(OR(calendar[[#This Row],[PT_BH]]=1,calendar[[#This Row],[WeekDay]]=1, calendar[[#This Row],[WeekDay]]=7),P3570,P3570+1)</f>
        <v>2536</v>
      </c>
    </row>
    <row r="3572" spans="1:19" x14ac:dyDescent="0.25">
      <c r="A3572" s="2">
        <v>46306</v>
      </c>
      <c r="B3572" s="1">
        <f t="shared" si="281"/>
        <v>42</v>
      </c>
      <c r="C3572">
        <f t="shared" si="283"/>
        <v>10</v>
      </c>
      <c r="D3572" t="str">
        <f t="shared" si="284"/>
        <v>October</v>
      </c>
      <c r="E3572">
        <f t="shared" si="285"/>
        <v>2026</v>
      </c>
      <c r="F3572" t="str">
        <f>CONCATENATE(calendar[[#This Row],[Month]],"/",calendar[[#This Row],[Year]])</f>
        <v>10/2026</v>
      </c>
      <c r="G3572">
        <f>WEEKDAY(calendar[[#This Row],[Date]],1)</f>
        <v>1</v>
      </c>
      <c r="H3572" t="str">
        <f>TEXT(calendar[[#This Row],[WeekDay]],"dddd")</f>
        <v>Sunday</v>
      </c>
      <c r="I3572">
        <f>IF((INT(calendar[[#This Row],[Count]]/7)-calendar[[#This Row],[Count]]/7)&lt;0,I3571,I3571+1)</f>
        <v>511</v>
      </c>
      <c r="J3572">
        <f t="shared" si="282"/>
        <v>3570</v>
      </c>
      <c r="K3572">
        <f>IF(calendar[[#This Row],[Month]]&lt;4,1,IF(calendar[[#This Row],[Month]]&lt;7,2,IF(calendar[[#This Row],[Month]]&lt;10,3,4)))</f>
        <v>4</v>
      </c>
      <c r="L3572">
        <f>IFERROR(IF(VLOOKUP(calendar[[#This Row],[Date]],BH!A:A,1,)&lt;&gt;"",1,0),0)</f>
        <v>0</v>
      </c>
      <c r="M3572">
        <f>IFERROR(IF(VLOOKUP(calendar[[#This Row],[Date]],BH!C:C,1,)&lt;&gt;"",1,0),0)</f>
        <v>0</v>
      </c>
      <c r="N3572">
        <f>IFERROR(IF(VLOOKUP(calendar[[#This Row],[Date]],BH!E:E,1,)&lt;&gt;"",1,0),0)</f>
        <v>0</v>
      </c>
      <c r="O3572">
        <f>IFERROR(IF(VLOOKUP(calendar[[#This Row],[Date]],BH!G:G,1,)&lt;&gt;"",1,0),0)</f>
        <v>0</v>
      </c>
      <c r="P3572">
        <f>IF(OR(calendar[[#This Row],[UK_BH]]=1,calendar[[#This Row],[WeekDay]]=1, calendar[[#This Row],[WeekDay]]=7),P3571,P3571+1)</f>
        <v>2536</v>
      </c>
      <c r="Q3572">
        <f>IF(OR(calendar[[#This Row],[FR_BH]]=1,calendar[[#This Row],[WeekDay]]=1, calendar[[#This Row],[WeekDay]]=7),P3571,P3571+1)</f>
        <v>2536</v>
      </c>
      <c r="R3572">
        <f>IF(OR(calendar[[#This Row],[SP_BH]]=1,calendar[[#This Row],[WeekDay]]=1, calendar[[#This Row],[WeekDay]]=7),P3571,P3571+1)</f>
        <v>2536</v>
      </c>
      <c r="S3572">
        <f>IF(OR(calendar[[#This Row],[PT_BH]]=1,calendar[[#This Row],[WeekDay]]=1, calendar[[#This Row],[WeekDay]]=7),P3571,P3571+1)</f>
        <v>2536</v>
      </c>
    </row>
    <row r="3573" spans="1:19" x14ac:dyDescent="0.25">
      <c r="A3573" s="2">
        <v>46307</v>
      </c>
      <c r="B3573" s="1">
        <f t="shared" si="281"/>
        <v>42</v>
      </c>
      <c r="C3573">
        <f t="shared" si="283"/>
        <v>10</v>
      </c>
      <c r="D3573" t="str">
        <f t="shared" si="284"/>
        <v>October</v>
      </c>
      <c r="E3573">
        <f t="shared" si="285"/>
        <v>2026</v>
      </c>
      <c r="F3573" t="str">
        <f>CONCATENATE(calendar[[#This Row],[Month]],"/",calendar[[#This Row],[Year]])</f>
        <v>10/2026</v>
      </c>
      <c r="G3573">
        <f>WEEKDAY(calendar[[#This Row],[Date]],1)</f>
        <v>2</v>
      </c>
      <c r="H3573" t="str">
        <f>TEXT(calendar[[#This Row],[WeekDay]],"dddd")</f>
        <v>Monday</v>
      </c>
      <c r="I3573">
        <f>IF((INT(calendar[[#This Row],[Count]]/7)-calendar[[#This Row],[Count]]/7)&lt;0,I3572,I3572+1)</f>
        <v>511</v>
      </c>
      <c r="J3573">
        <f t="shared" si="282"/>
        <v>3571</v>
      </c>
      <c r="K3573">
        <f>IF(calendar[[#This Row],[Month]]&lt;4,1,IF(calendar[[#This Row],[Month]]&lt;7,2,IF(calendar[[#This Row],[Month]]&lt;10,3,4)))</f>
        <v>4</v>
      </c>
      <c r="L3573">
        <f>IFERROR(IF(VLOOKUP(calendar[[#This Row],[Date]],BH!A:A,1,)&lt;&gt;"",1,0),0)</f>
        <v>0</v>
      </c>
      <c r="M3573">
        <f>IFERROR(IF(VLOOKUP(calendar[[#This Row],[Date]],BH!C:C,1,)&lt;&gt;"",1,0),0)</f>
        <v>0</v>
      </c>
      <c r="N3573">
        <f>IFERROR(IF(VLOOKUP(calendar[[#This Row],[Date]],BH!E:E,1,)&lt;&gt;"",1,0),0)</f>
        <v>1</v>
      </c>
      <c r="O3573">
        <f>IFERROR(IF(VLOOKUP(calendar[[#This Row],[Date]],BH!G:G,1,)&lt;&gt;"",1,0),0)</f>
        <v>0</v>
      </c>
      <c r="P3573">
        <f>IF(OR(calendar[[#This Row],[UK_BH]]=1,calendar[[#This Row],[WeekDay]]=1, calendar[[#This Row],[WeekDay]]=7),P3572,P3572+1)</f>
        <v>2537</v>
      </c>
      <c r="Q3573">
        <f>IF(OR(calendar[[#This Row],[FR_BH]]=1,calendar[[#This Row],[WeekDay]]=1, calendar[[#This Row],[WeekDay]]=7),P3572,P3572+1)</f>
        <v>2537</v>
      </c>
      <c r="R3573">
        <f>IF(OR(calendar[[#This Row],[SP_BH]]=1,calendar[[#This Row],[WeekDay]]=1, calendar[[#This Row],[WeekDay]]=7),P3572,P3572+1)</f>
        <v>2536</v>
      </c>
      <c r="S3573">
        <f>IF(OR(calendar[[#This Row],[PT_BH]]=1,calendar[[#This Row],[WeekDay]]=1, calendar[[#This Row],[WeekDay]]=7),P3572,P3572+1)</f>
        <v>2537</v>
      </c>
    </row>
    <row r="3574" spans="1:19" x14ac:dyDescent="0.25">
      <c r="A3574" s="2">
        <v>46308</v>
      </c>
      <c r="B3574" s="1">
        <f t="shared" si="281"/>
        <v>42</v>
      </c>
      <c r="C3574">
        <f t="shared" si="283"/>
        <v>10</v>
      </c>
      <c r="D3574" t="str">
        <f t="shared" si="284"/>
        <v>October</v>
      </c>
      <c r="E3574">
        <f t="shared" si="285"/>
        <v>2026</v>
      </c>
      <c r="F3574" t="str">
        <f>CONCATENATE(calendar[[#This Row],[Month]],"/",calendar[[#This Row],[Year]])</f>
        <v>10/2026</v>
      </c>
      <c r="G3574">
        <f>WEEKDAY(calendar[[#This Row],[Date]],1)</f>
        <v>3</v>
      </c>
      <c r="H3574" t="str">
        <f>TEXT(calendar[[#This Row],[WeekDay]],"dddd")</f>
        <v>Tuesday</v>
      </c>
      <c r="I3574">
        <f>IF((INT(calendar[[#This Row],[Count]]/7)-calendar[[#This Row],[Count]]/7)&lt;0,I3573,I3573+1)</f>
        <v>511</v>
      </c>
      <c r="J3574">
        <f t="shared" si="282"/>
        <v>3572</v>
      </c>
      <c r="K3574">
        <f>IF(calendar[[#This Row],[Month]]&lt;4,1,IF(calendar[[#This Row],[Month]]&lt;7,2,IF(calendar[[#This Row],[Month]]&lt;10,3,4)))</f>
        <v>4</v>
      </c>
      <c r="L3574">
        <f>IFERROR(IF(VLOOKUP(calendar[[#This Row],[Date]],BH!A:A,1,)&lt;&gt;"",1,0),0)</f>
        <v>0</v>
      </c>
      <c r="M3574">
        <f>IFERROR(IF(VLOOKUP(calendar[[#This Row],[Date]],BH!C:C,1,)&lt;&gt;"",1,0),0)</f>
        <v>0</v>
      </c>
      <c r="N3574">
        <f>IFERROR(IF(VLOOKUP(calendar[[#This Row],[Date]],BH!E:E,1,)&lt;&gt;"",1,0),0)</f>
        <v>0</v>
      </c>
      <c r="O3574">
        <f>IFERROR(IF(VLOOKUP(calendar[[#This Row],[Date]],BH!G:G,1,)&lt;&gt;"",1,0),0)</f>
        <v>0</v>
      </c>
      <c r="P3574">
        <f>IF(OR(calendar[[#This Row],[UK_BH]]=1,calendar[[#This Row],[WeekDay]]=1, calendar[[#This Row],[WeekDay]]=7),P3573,P3573+1)</f>
        <v>2538</v>
      </c>
      <c r="Q3574">
        <f>IF(OR(calendar[[#This Row],[FR_BH]]=1,calendar[[#This Row],[WeekDay]]=1, calendar[[#This Row],[WeekDay]]=7),P3573,P3573+1)</f>
        <v>2538</v>
      </c>
      <c r="R3574">
        <f>IF(OR(calendar[[#This Row],[SP_BH]]=1,calendar[[#This Row],[WeekDay]]=1, calendar[[#This Row],[WeekDay]]=7),P3573,P3573+1)</f>
        <v>2538</v>
      </c>
      <c r="S3574">
        <f>IF(OR(calendar[[#This Row],[PT_BH]]=1,calendar[[#This Row],[WeekDay]]=1, calendar[[#This Row],[WeekDay]]=7),P3573,P3573+1)</f>
        <v>2538</v>
      </c>
    </row>
    <row r="3575" spans="1:19" x14ac:dyDescent="0.25">
      <c r="A3575" s="2">
        <v>46309</v>
      </c>
      <c r="B3575" s="1">
        <f t="shared" si="281"/>
        <v>42</v>
      </c>
      <c r="C3575">
        <f t="shared" si="283"/>
        <v>10</v>
      </c>
      <c r="D3575" t="str">
        <f t="shared" si="284"/>
        <v>October</v>
      </c>
      <c r="E3575">
        <f t="shared" si="285"/>
        <v>2026</v>
      </c>
      <c r="F3575" t="str">
        <f>CONCATENATE(calendar[[#This Row],[Month]],"/",calendar[[#This Row],[Year]])</f>
        <v>10/2026</v>
      </c>
      <c r="G3575">
        <f>WEEKDAY(calendar[[#This Row],[Date]],1)</f>
        <v>4</v>
      </c>
      <c r="H3575" t="str">
        <f>TEXT(calendar[[#This Row],[WeekDay]],"dddd")</f>
        <v>Wednesday</v>
      </c>
      <c r="I3575">
        <f>IF((INT(calendar[[#This Row],[Count]]/7)-calendar[[#This Row],[Count]]/7)&lt;0,I3574,I3574+1)</f>
        <v>511</v>
      </c>
      <c r="J3575">
        <f t="shared" si="282"/>
        <v>3573</v>
      </c>
      <c r="K3575">
        <f>IF(calendar[[#This Row],[Month]]&lt;4,1,IF(calendar[[#This Row],[Month]]&lt;7,2,IF(calendar[[#This Row],[Month]]&lt;10,3,4)))</f>
        <v>4</v>
      </c>
      <c r="L3575">
        <f>IFERROR(IF(VLOOKUP(calendar[[#This Row],[Date]],BH!A:A,1,)&lt;&gt;"",1,0),0)</f>
        <v>0</v>
      </c>
      <c r="M3575">
        <f>IFERROR(IF(VLOOKUP(calendar[[#This Row],[Date]],BH!C:C,1,)&lt;&gt;"",1,0),0)</f>
        <v>0</v>
      </c>
      <c r="N3575">
        <f>IFERROR(IF(VLOOKUP(calendar[[#This Row],[Date]],BH!E:E,1,)&lt;&gt;"",1,0),0)</f>
        <v>0</v>
      </c>
      <c r="O3575">
        <f>IFERROR(IF(VLOOKUP(calendar[[#This Row],[Date]],BH!G:G,1,)&lt;&gt;"",1,0),0)</f>
        <v>0</v>
      </c>
      <c r="P3575">
        <f>IF(OR(calendar[[#This Row],[UK_BH]]=1,calendar[[#This Row],[WeekDay]]=1, calendar[[#This Row],[WeekDay]]=7),P3574,P3574+1)</f>
        <v>2539</v>
      </c>
      <c r="Q3575">
        <f>IF(OR(calendar[[#This Row],[FR_BH]]=1,calendar[[#This Row],[WeekDay]]=1, calendar[[#This Row],[WeekDay]]=7),P3574,P3574+1)</f>
        <v>2539</v>
      </c>
      <c r="R3575">
        <f>IF(OR(calendar[[#This Row],[SP_BH]]=1,calendar[[#This Row],[WeekDay]]=1, calendar[[#This Row],[WeekDay]]=7),P3574,P3574+1)</f>
        <v>2539</v>
      </c>
      <c r="S3575">
        <f>IF(OR(calendar[[#This Row],[PT_BH]]=1,calendar[[#This Row],[WeekDay]]=1, calendar[[#This Row],[WeekDay]]=7),P3574,P3574+1)</f>
        <v>2539</v>
      </c>
    </row>
    <row r="3576" spans="1:19" x14ac:dyDescent="0.25">
      <c r="A3576" s="2">
        <v>46310</v>
      </c>
      <c r="B3576" s="1">
        <f t="shared" si="281"/>
        <v>42</v>
      </c>
      <c r="C3576">
        <f t="shared" si="283"/>
        <v>10</v>
      </c>
      <c r="D3576" t="str">
        <f t="shared" si="284"/>
        <v>October</v>
      </c>
      <c r="E3576">
        <f t="shared" si="285"/>
        <v>2026</v>
      </c>
      <c r="F3576" t="str">
        <f>CONCATENATE(calendar[[#This Row],[Month]],"/",calendar[[#This Row],[Year]])</f>
        <v>10/2026</v>
      </c>
      <c r="G3576">
        <f>WEEKDAY(calendar[[#This Row],[Date]],1)</f>
        <v>5</v>
      </c>
      <c r="H3576" t="str">
        <f>TEXT(calendar[[#This Row],[WeekDay]],"dddd")</f>
        <v>Thursday</v>
      </c>
      <c r="I3576">
        <f>IF((INT(calendar[[#This Row],[Count]]/7)-calendar[[#This Row],[Count]]/7)&lt;0,I3575,I3575+1)</f>
        <v>511</v>
      </c>
      <c r="J3576">
        <f t="shared" si="282"/>
        <v>3574</v>
      </c>
      <c r="K3576">
        <f>IF(calendar[[#This Row],[Month]]&lt;4,1,IF(calendar[[#This Row],[Month]]&lt;7,2,IF(calendar[[#This Row],[Month]]&lt;10,3,4)))</f>
        <v>4</v>
      </c>
      <c r="L3576">
        <f>IFERROR(IF(VLOOKUP(calendar[[#This Row],[Date]],BH!A:A,1,)&lt;&gt;"",1,0),0)</f>
        <v>0</v>
      </c>
      <c r="M3576">
        <f>IFERROR(IF(VLOOKUP(calendar[[#This Row],[Date]],BH!C:C,1,)&lt;&gt;"",1,0),0)</f>
        <v>0</v>
      </c>
      <c r="N3576">
        <f>IFERROR(IF(VLOOKUP(calendar[[#This Row],[Date]],BH!E:E,1,)&lt;&gt;"",1,0),0)</f>
        <v>0</v>
      </c>
      <c r="O3576">
        <f>IFERROR(IF(VLOOKUP(calendar[[#This Row],[Date]],BH!G:G,1,)&lt;&gt;"",1,0),0)</f>
        <v>0</v>
      </c>
      <c r="P3576">
        <f>IF(OR(calendar[[#This Row],[UK_BH]]=1,calendar[[#This Row],[WeekDay]]=1, calendar[[#This Row],[WeekDay]]=7),P3575,P3575+1)</f>
        <v>2540</v>
      </c>
      <c r="Q3576">
        <f>IF(OR(calendar[[#This Row],[FR_BH]]=1,calendar[[#This Row],[WeekDay]]=1, calendar[[#This Row],[WeekDay]]=7),P3575,P3575+1)</f>
        <v>2540</v>
      </c>
      <c r="R3576">
        <f>IF(OR(calendar[[#This Row],[SP_BH]]=1,calendar[[#This Row],[WeekDay]]=1, calendar[[#This Row],[WeekDay]]=7),P3575,P3575+1)</f>
        <v>2540</v>
      </c>
      <c r="S3576">
        <f>IF(OR(calendar[[#This Row],[PT_BH]]=1,calendar[[#This Row],[WeekDay]]=1, calendar[[#This Row],[WeekDay]]=7),P3575,P3575+1)</f>
        <v>2540</v>
      </c>
    </row>
    <row r="3577" spans="1:19" x14ac:dyDescent="0.25">
      <c r="A3577" s="2">
        <v>46311</v>
      </c>
      <c r="B3577" s="1">
        <f t="shared" si="281"/>
        <v>42</v>
      </c>
      <c r="C3577">
        <f t="shared" si="283"/>
        <v>10</v>
      </c>
      <c r="D3577" t="str">
        <f t="shared" si="284"/>
        <v>October</v>
      </c>
      <c r="E3577">
        <f t="shared" si="285"/>
        <v>2026</v>
      </c>
      <c r="F3577" t="str">
        <f>CONCATENATE(calendar[[#This Row],[Month]],"/",calendar[[#This Row],[Year]])</f>
        <v>10/2026</v>
      </c>
      <c r="G3577">
        <f>WEEKDAY(calendar[[#This Row],[Date]],1)</f>
        <v>6</v>
      </c>
      <c r="H3577" t="str">
        <f>TEXT(calendar[[#This Row],[WeekDay]],"dddd")</f>
        <v>Friday</v>
      </c>
      <c r="I3577">
        <f>IF((INT(calendar[[#This Row],[Count]]/7)-calendar[[#This Row],[Count]]/7)&lt;0,I3576,I3576+1)</f>
        <v>511</v>
      </c>
      <c r="J3577">
        <f t="shared" si="282"/>
        <v>3575</v>
      </c>
      <c r="K3577">
        <f>IF(calendar[[#This Row],[Month]]&lt;4,1,IF(calendar[[#This Row],[Month]]&lt;7,2,IF(calendar[[#This Row],[Month]]&lt;10,3,4)))</f>
        <v>4</v>
      </c>
      <c r="L3577">
        <f>IFERROR(IF(VLOOKUP(calendar[[#This Row],[Date]],BH!A:A,1,)&lt;&gt;"",1,0),0)</f>
        <v>0</v>
      </c>
      <c r="M3577">
        <f>IFERROR(IF(VLOOKUP(calendar[[#This Row],[Date]],BH!C:C,1,)&lt;&gt;"",1,0),0)</f>
        <v>0</v>
      </c>
      <c r="N3577">
        <f>IFERROR(IF(VLOOKUP(calendar[[#This Row],[Date]],BH!E:E,1,)&lt;&gt;"",1,0),0)</f>
        <v>0</v>
      </c>
      <c r="O3577">
        <f>IFERROR(IF(VLOOKUP(calendar[[#This Row],[Date]],BH!G:G,1,)&lt;&gt;"",1,0),0)</f>
        <v>0</v>
      </c>
      <c r="P3577">
        <f>IF(OR(calendar[[#This Row],[UK_BH]]=1,calendar[[#This Row],[WeekDay]]=1, calendar[[#This Row],[WeekDay]]=7),P3576,P3576+1)</f>
        <v>2541</v>
      </c>
      <c r="Q3577">
        <f>IF(OR(calendar[[#This Row],[FR_BH]]=1,calendar[[#This Row],[WeekDay]]=1, calendar[[#This Row],[WeekDay]]=7),P3576,P3576+1)</f>
        <v>2541</v>
      </c>
      <c r="R3577">
        <f>IF(OR(calendar[[#This Row],[SP_BH]]=1,calendar[[#This Row],[WeekDay]]=1, calendar[[#This Row],[WeekDay]]=7),P3576,P3576+1)</f>
        <v>2541</v>
      </c>
      <c r="S3577">
        <f>IF(OR(calendar[[#This Row],[PT_BH]]=1,calendar[[#This Row],[WeekDay]]=1, calendar[[#This Row],[WeekDay]]=7),P3576,P3576+1)</f>
        <v>2541</v>
      </c>
    </row>
    <row r="3578" spans="1:19" x14ac:dyDescent="0.25">
      <c r="A3578" s="2">
        <v>46312</v>
      </c>
      <c r="B3578" s="1">
        <f t="shared" si="281"/>
        <v>42</v>
      </c>
      <c r="C3578">
        <f t="shared" si="283"/>
        <v>10</v>
      </c>
      <c r="D3578" t="str">
        <f t="shared" si="284"/>
        <v>October</v>
      </c>
      <c r="E3578">
        <f t="shared" si="285"/>
        <v>2026</v>
      </c>
      <c r="F3578" t="str">
        <f>CONCATENATE(calendar[[#This Row],[Month]],"/",calendar[[#This Row],[Year]])</f>
        <v>10/2026</v>
      </c>
      <c r="G3578">
        <f>WEEKDAY(calendar[[#This Row],[Date]],1)</f>
        <v>7</v>
      </c>
      <c r="H3578" t="str">
        <f>TEXT(calendar[[#This Row],[WeekDay]],"dddd")</f>
        <v>Saturday</v>
      </c>
      <c r="I3578">
        <f>IF((INT(calendar[[#This Row],[Count]]/7)-calendar[[#This Row],[Count]]/7)&lt;0,I3577,I3577+1)</f>
        <v>511</v>
      </c>
      <c r="J3578">
        <f t="shared" si="282"/>
        <v>3576</v>
      </c>
      <c r="K3578">
        <f>IF(calendar[[#This Row],[Month]]&lt;4,1,IF(calendar[[#This Row],[Month]]&lt;7,2,IF(calendar[[#This Row],[Month]]&lt;10,3,4)))</f>
        <v>4</v>
      </c>
      <c r="L3578">
        <f>IFERROR(IF(VLOOKUP(calendar[[#This Row],[Date]],BH!A:A,1,)&lt;&gt;"",1,0),0)</f>
        <v>0</v>
      </c>
      <c r="M3578">
        <f>IFERROR(IF(VLOOKUP(calendar[[#This Row],[Date]],BH!C:C,1,)&lt;&gt;"",1,0),0)</f>
        <v>0</v>
      </c>
      <c r="N3578">
        <f>IFERROR(IF(VLOOKUP(calendar[[#This Row],[Date]],BH!E:E,1,)&lt;&gt;"",1,0),0)</f>
        <v>0</v>
      </c>
      <c r="O3578">
        <f>IFERROR(IF(VLOOKUP(calendar[[#This Row],[Date]],BH!G:G,1,)&lt;&gt;"",1,0),0)</f>
        <v>0</v>
      </c>
      <c r="P3578">
        <f>IF(OR(calendar[[#This Row],[UK_BH]]=1,calendar[[#This Row],[WeekDay]]=1, calendar[[#This Row],[WeekDay]]=7),P3577,P3577+1)</f>
        <v>2541</v>
      </c>
      <c r="Q3578">
        <f>IF(OR(calendar[[#This Row],[FR_BH]]=1,calendar[[#This Row],[WeekDay]]=1, calendar[[#This Row],[WeekDay]]=7),P3577,P3577+1)</f>
        <v>2541</v>
      </c>
      <c r="R3578">
        <f>IF(OR(calendar[[#This Row],[SP_BH]]=1,calendar[[#This Row],[WeekDay]]=1, calendar[[#This Row],[WeekDay]]=7),P3577,P3577+1)</f>
        <v>2541</v>
      </c>
      <c r="S3578">
        <f>IF(OR(calendar[[#This Row],[PT_BH]]=1,calendar[[#This Row],[WeekDay]]=1, calendar[[#This Row],[WeekDay]]=7),P3577,P3577+1)</f>
        <v>2541</v>
      </c>
    </row>
    <row r="3579" spans="1:19" x14ac:dyDescent="0.25">
      <c r="A3579" s="2">
        <v>46313</v>
      </c>
      <c r="B3579" s="1">
        <f t="shared" si="281"/>
        <v>43</v>
      </c>
      <c r="C3579">
        <f t="shared" si="283"/>
        <v>10</v>
      </c>
      <c r="D3579" t="str">
        <f t="shared" si="284"/>
        <v>October</v>
      </c>
      <c r="E3579">
        <f t="shared" si="285"/>
        <v>2026</v>
      </c>
      <c r="F3579" t="str">
        <f>CONCATENATE(calendar[[#This Row],[Month]],"/",calendar[[#This Row],[Year]])</f>
        <v>10/2026</v>
      </c>
      <c r="G3579">
        <f>WEEKDAY(calendar[[#This Row],[Date]],1)</f>
        <v>1</v>
      </c>
      <c r="H3579" t="str">
        <f>TEXT(calendar[[#This Row],[WeekDay]],"dddd")</f>
        <v>Sunday</v>
      </c>
      <c r="I3579">
        <f>IF((INT(calendar[[#This Row],[Count]]/7)-calendar[[#This Row],[Count]]/7)&lt;0,I3578,I3578+1)</f>
        <v>512</v>
      </c>
      <c r="J3579">
        <f t="shared" si="282"/>
        <v>3577</v>
      </c>
      <c r="K3579">
        <f>IF(calendar[[#This Row],[Month]]&lt;4,1,IF(calendar[[#This Row],[Month]]&lt;7,2,IF(calendar[[#This Row],[Month]]&lt;10,3,4)))</f>
        <v>4</v>
      </c>
      <c r="L3579">
        <f>IFERROR(IF(VLOOKUP(calendar[[#This Row],[Date]],BH!A:A,1,)&lt;&gt;"",1,0),0)</f>
        <v>0</v>
      </c>
      <c r="M3579">
        <f>IFERROR(IF(VLOOKUP(calendar[[#This Row],[Date]],BH!C:C,1,)&lt;&gt;"",1,0),0)</f>
        <v>0</v>
      </c>
      <c r="N3579">
        <f>IFERROR(IF(VLOOKUP(calendar[[#This Row],[Date]],BH!E:E,1,)&lt;&gt;"",1,0),0)</f>
        <v>0</v>
      </c>
      <c r="O3579">
        <f>IFERROR(IF(VLOOKUP(calendar[[#This Row],[Date]],BH!G:G,1,)&lt;&gt;"",1,0),0)</f>
        <v>0</v>
      </c>
      <c r="P3579">
        <f>IF(OR(calendar[[#This Row],[UK_BH]]=1,calendar[[#This Row],[WeekDay]]=1, calendar[[#This Row],[WeekDay]]=7),P3578,P3578+1)</f>
        <v>2541</v>
      </c>
      <c r="Q3579">
        <f>IF(OR(calendar[[#This Row],[FR_BH]]=1,calendar[[#This Row],[WeekDay]]=1, calendar[[#This Row],[WeekDay]]=7),P3578,P3578+1)</f>
        <v>2541</v>
      </c>
      <c r="R3579">
        <f>IF(OR(calendar[[#This Row],[SP_BH]]=1,calendar[[#This Row],[WeekDay]]=1, calendar[[#This Row],[WeekDay]]=7),P3578,P3578+1)</f>
        <v>2541</v>
      </c>
      <c r="S3579">
        <f>IF(OR(calendar[[#This Row],[PT_BH]]=1,calendar[[#This Row],[WeekDay]]=1, calendar[[#This Row],[WeekDay]]=7),P3578,P3578+1)</f>
        <v>2541</v>
      </c>
    </row>
    <row r="3580" spans="1:19" x14ac:dyDescent="0.25">
      <c r="A3580" s="2">
        <v>46314</v>
      </c>
      <c r="B3580" s="1">
        <f t="shared" si="281"/>
        <v>43</v>
      </c>
      <c r="C3580">
        <f t="shared" si="283"/>
        <v>10</v>
      </c>
      <c r="D3580" t="str">
        <f t="shared" si="284"/>
        <v>October</v>
      </c>
      <c r="E3580">
        <f t="shared" si="285"/>
        <v>2026</v>
      </c>
      <c r="F3580" t="str">
        <f>CONCATENATE(calendar[[#This Row],[Month]],"/",calendar[[#This Row],[Year]])</f>
        <v>10/2026</v>
      </c>
      <c r="G3580">
        <f>WEEKDAY(calendar[[#This Row],[Date]],1)</f>
        <v>2</v>
      </c>
      <c r="H3580" t="str">
        <f>TEXT(calendar[[#This Row],[WeekDay]],"dddd")</f>
        <v>Monday</v>
      </c>
      <c r="I3580">
        <f>IF((INT(calendar[[#This Row],[Count]]/7)-calendar[[#This Row],[Count]]/7)&lt;0,I3579,I3579+1)</f>
        <v>512</v>
      </c>
      <c r="J3580">
        <f t="shared" si="282"/>
        <v>3578</v>
      </c>
      <c r="K3580">
        <f>IF(calendar[[#This Row],[Month]]&lt;4,1,IF(calendar[[#This Row],[Month]]&lt;7,2,IF(calendar[[#This Row],[Month]]&lt;10,3,4)))</f>
        <v>4</v>
      </c>
      <c r="L3580">
        <f>IFERROR(IF(VLOOKUP(calendar[[#This Row],[Date]],BH!A:A,1,)&lt;&gt;"",1,0),0)</f>
        <v>0</v>
      </c>
      <c r="M3580">
        <f>IFERROR(IF(VLOOKUP(calendar[[#This Row],[Date]],BH!C:C,1,)&lt;&gt;"",1,0),0)</f>
        <v>0</v>
      </c>
      <c r="N3580">
        <f>IFERROR(IF(VLOOKUP(calendar[[#This Row],[Date]],BH!E:E,1,)&lt;&gt;"",1,0),0)</f>
        <v>0</v>
      </c>
      <c r="O3580">
        <f>IFERROR(IF(VLOOKUP(calendar[[#This Row],[Date]],BH!G:G,1,)&lt;&gt;"",1,0),0)</f>
        <v>0</v>
      </c>
      <c r="P3580">
        <f>IF(OR(calendar[[#This Row],[UK_BH]]=1,calendar[[#This Row],[WeekDay]]=1, calendar[[#This Row],[WeekDay]]=7),P3579,P3579+1)</f>
        <v>2542</v>
      </c>
      <c r="Q3580">
        <f>IF(OR(calendar[[#This Row],[FR_BH]]=1,calendar[[#This Row],[WeekDay]]=1, calendar[[#This Row],[WeekDay]]=7),P3579,P3579+1)</f>
        <v>2542</v>
      </c>
      <c r="R3580">
        <f>IF(OR(calendar[[#This Row],[SP_BH]]=1,calendar[[#This Row],[WeekDay]]=1, calendar[[#This Row],[WeekDay]]=7),P3579,P3579+1)</f>
        <v>2542</v>
      </c>
      <c r="S3580">
        <f>IF(OR(calendar[[#This Row],[PT_BH]]=1,calendar[[#This Row],[WeekDay]]=1, calendar[[#This Row],[WeekDay]]=7),P3579,P3579+1)</f>
        <v>2542</v>
      </c>
    </row>
    <row r="3581" spans="1:19" x14ac:dyDescent="0.25">
      <c r="A3581" s="2">
        <v>46315</v>
      </c>
      <c r="B3581" s="1">
        <f t="shared" si="281"/>
        <v>43</v>
      </c>
      <c r="C3581">
        <f t="shared" si="283"/>
        <v>10</v>
      </c>
      <c r="D3581" t="str">
        <f t="shared" si="284"/>
        <v>October</v>
      </c>
      <c r="E3581">
        <f t="shared" si="285"/>
        <v>2026</v>
      </c>
      <c r="F3581" t="str">
        <f>CONCATENATE(calendar[[#This Row],[Month]],"/",calendar[[#This Row],[Year]])</f>
        <v>10/2026</v>
      </c>
      <c r="G3581">
        <f>WEEKDAY(calendar[[#This Row],[Date]],1)</f>
        <v>3</v>
      </c>
      <c r="H3581" t="str">
        <f>TEXT(calendar[[#This Row],[WeekDay]],"dddd")</f>
        <v>Tuesday</v>
      </c>
      <c r="I3581">
        <f>IF((INT(calendar[[#This Row],[Count]]/7)-calendar[[#This Row],[Count]]/7)&lt;0,I3580,I3580+1)</f>
        <v>512</v>
      </c>
      <c r="J3581">
        <f t="shared" si="282"/>
        <v>3579</v>
      </c>
      <c r="K3581">
        <f>IF(calendar[[#This Row],[Month]]&lt;4,1,IF(calendar[[#This Row],[Month]]&lt;7,2,IF(calendar[[#This Row],[Month]]&lt;10,3,4)))</f>
        <v>4</v>
      </c>
      <c r="L3581">
        <f>IFERROR(IF(VLOOKUP(calendar[[#This Row],[Date]],BH!A:A,1,)&lt;&gt;"",1,0),0)</f>
        <v>0</v>
      </c>
      <c r="M3581">
        <f>IFERROR(IF(VLOOKUP(calendar[[#This Row],[Date]],BH!C:C,1,)&lt;&gt;"",1,0),0)</f>
        <v>0</v>
      </c>
      <c r="N3581">
        <f>IFERROR(IF(VLOOKUP(calendar[[#This Row],[Date]],BH!E:E,1,)&lt;&gt;"",1,0),0)</f>
        <v>0</v>
      </c>
      <c r="O3581">
        <f>IFERROR(IF(VLOOKUP(calendar[[#This Row],[Date]],BH!G:G,1,)&lt;&gt;"",1,0),0)</f>
        <v>0</v>
      </c>
      <c r="P3581">
        <f>IF(OR(calendar[[#This Row],[UK_BH]]=1,calendar[[#This Row],[WeekDay]]=1, calendar[[#This Row],[WeekDay]]=7),P3580,P3580+1)</f>
        <v>2543</v>
      </c>
      <c r="Q3581">
        <f>IF(OR(calendar[[#This Row],[FR_BH]]=1,calendar[[#This Row],[WeekDay]]=1, calendar[[#This Row],[WeekDay]]=7),P3580,P3580+1)</f>
        <v>2543</v>
      </c>
      <c r="R3581">
        <f>IF(OR(calendar[[#This Row],[SP_BH]]=1,calendar[[#This Row],[WeekDay]]=1, calendar[[#This Row],[WeekDay]]=7),P3580,P3580+1)</f>
        <v>2543</v>
      </c>
      <c r="S3581">
        <f>IF(OR(calendar[[#This Row],[PT_BH]]=1,calendar[[#This Row],[WeekDay]]=1, calendar[[#This Row],[WeekDay]]=7),P3580,P3580+1)</f>
        <v>2543</v>
      </c>
    </row>
    <row r="3582" spans="1:19" x14ac:dyDescent="0.25">
      <c r="A3582" s="2">
        <v>46316</v>
      </c>
      <c r="B3582" s="1">
        <f t="shared" si="281"/>
        <v>43</v>
      </c>
      <c r="C3582">
        <f t="shared" si="283"/>
        <v>10</v>
      </c>
      <c r="D3582" t="str">
        <f t="shared" si="284"/>
        <v>October</v>
      </c>
      <c r="E3582">
        <f t="shared" si="285"/>
        <v>2026</v>
      </c>
      <c r="F3582" t="str">
        <f>CONCATENATE(calendar[[#This Row],[Month]],"/",calendar[[#This Row],[Year]])</f>
        <v>10/2026</v>
      </c>
      <c r="G3582">
        <f>WEEKDAY(calendar[[#This Row],[Date]],1)</f>
        <v>4</v>
      </c>
      <c r="H3582" t="str">
        <f>TEXT(calendar[[#This Row],[WeekDay]],"dddd")</f>
        <v>Wednesday</v>
      </c>
      <c r="I3582">
        <f>IF((INT(calendar[[#This Row],[Count]]/7)-calendar[[#This Row],[Count]]/7)&lt;0,I3581,I3581+1)</f>
        <v>512</v>
      </c>
      <c r="J3582">
        <f t="shared" si="282"/>
        <v>3580</v>
      </c>
      <c r="K3582">
        <f>IF(calendar[[#This Row],[Month]]&lt;4,1,IF(calendar[[#This Row],[Month]]&lt;7,2,IF(calendar[[#This Row],[Month]]&lt;10,3,4)))</f>
        <v>4</v>
      </c>
      <c r="L3582">
        <f>IFERROR(IF(VLOOKUP(calendar[[#This Row],[Date]],BH!A:A,1,)&lt;&gt;"",1,0),0)</f>
        <v>0</v>
      </c>
      <c r="M3582">
        <f>IFERROR(IF(VLOOKUP(calendar[[#This Row],[Date]],BH!C:C,1,)&lt;&gt;"",1,0),0)</f>
        <v>0</v>
      </c>
      <c r="N3582">
        <f>IFERROR(IF(VLOOKUP(calendar[[#This Row],[Date]],BH!E:E,1,)&lt;&gt;"",1,0),0)</f>
        <v>0</v>
      </c>
      <c r="O3582">
        <f>IFERROR(IF(VLOOKUP(calendar[[#This Row],[Date]],BH!G:G,1,)&lt;&gt;"",1,0),0)</f>
        <v>0</v>
      </c>
      <c r="P3582">
        <f>IF(OR(calendar[[#This Row],[UK_BH]]=1,calendar[[#This Row],[WeekDay]]=1, calendar[[#This Row],[WeekDay]]=7),P3581,P3581+1)</f>
        <v>2544</v>
      </c>
      <c r="Q3582">
        <f>IF(OR(calendar[[#This Row],[FR_BH]]=1,calendar[[#This Row],[WeekDay]]=1, calendar[[#This Row],[WeekDay]]=7),P3581,P3581+1)</f>
        <v>2544</v>
      </c>
      <c r="R3582">
        <f>IF(OR(calendar[[#This Row],[SP_BH]]=1,calendar[[#This Row],[WeekDay]]=1, calendar[[#This Row],[WeekDay]]=7),P3581,P3581+1)</f>
        <v>2544</v>
      </c>
      <c r="S3582">
        <f>IF(OR(calendar[[#This Row],[PT_BH]]=1,calendar[[#This Row],[WeekDay]]=1, calendar[[#This Row],[WeekDay]]=7),P3581,P3581+1)</f>
        <v>2544</v>
      </c>
    </row>
    <row r="3583" spans="1:19" x14ac:dyDescent="0.25">
      <c r="A3583" s="2">
        <v>46317</v>
      </c>
      <c r="B3583" s="1">
        <f t="shared" si="281"/>
        <v>43</v>
      </c>
      <c r="C3583">
        <f t="shared" si="283"/>
        <v>10</v>
      </c>
      <c r="D3583" t="str">
        <f t="shared" si="284"/>
        <v>October</v>
      </c>
      <c r="E3583">
        <f t="shared" si="285"/>
        <v>2026</v>
      </c>
      <c r="F3583" t="str">
        <f>CONCATENATE(calendar[[#This Row],[Month]],"/",calendar[[#This Row],[Year]])</f>
        <v>10/2026</v>
      </c>
      <c r="G3583">
        <f>WEEKDAY(calendar[[#This Row],[Date]],1)</f>
        <v>5</v>
      </c>
      <c r="H3583" t="str">
        <f>TEXT(calendar[[#This Row],[WeekDay]],"dddd")</f>
        <v>Thursday</v>
      </c>
      <c r="I3583">
        <f>IF((INT(calendar[[#This Row],[Count]]/7)-calendar[[#This Row],[Count]]/7)&lt;0,I3582,I3582+1)</f>
        <v>512</v>
      </c>
      <c r="J3583">
        <f t="shared" si="282"/>
        <v>3581</v>
      </c>
      <c r="K3583">
        <f>IF(calendar[[#This Row],[Month]]&lt;4,1,IF(calendar[[#This Row],[Month]]&lt;7,2,IF(calendar[[#This Row],[Month]]&lt;10,3,4)))</f>
        <v>4</v>
      </c>
      <c r="L3583">
        <f>IFERROR(IF(VLOOKUP(calendar[[#This Row],[Date]],BH!A:A,1,)&lt;&gt;"",1,0),0)</f>
        <v>0</v>
      </c>
      <c r="M3583">
        <f>IFERROR(IF(VLOOKUP(calendar[[#This Row],[Date]],BH!C:C,1,)&lt;&gt;"",1,0),0)</f>
        <v>0</v>
      </c>
      <c r="N3583">
        <f>IFERROR(IF(VLOOKUP(calendar[[#This Row],[Date]],BH!E:E,1,)&lt;&gt;"",1,0),0)</f>
        <v>0</v>
      </c>
      <c r="O3583">
        <f>IFERROR(IF(VLOOKUP(calendar[[#This Row],[Date]],BH!G:G,1,)&lt;&gt;"",1,0),0)</f>
        <v>0</v>
      </c>
      <c r="P3583">
        <f>IF(OR(calendar[[#This Row],[UK_BH]]=1,calendar[[#This Row],[WeekDay]]=1, calendar[[#This Row],[WeekDay]]=7),P3582,P3582+1)</f>
        <v>2545</v>
      </c>
      <c r="Q3583">
        <f>IF(OR(calendar[[#This Row],[FR_BH]]=1,calendar[[#This Row],[WeekDay]]=1, calendar[[#This Row],[WeekDay]]=7),P3582,P3582+1)</f>
        <v>2545</v>
      </c>
      <c r="R3583">
        <f>IF(OR(calendar[[#This Row],[SP_BH]]=1,calendar[[#This Row],[WeekDay]]=1, calendar[[#This Row],[WeekDay]]=7),P3582,P3582+1)</f>
        <v>2545</v>
      </c>
      <c r="S3583">
        <f>IF(OR(calendar[[#This Row],[PT_BH]]=1,calendar[[#This Row],[WeekDay]]=1, calendar[[#This Row],[WeekDay]]=7),P3582,P3582+1)</f>
        <v>2545</v>
      </c>
    </row>
    <row r="3584" spans="1:19" x14ac:dyDescent="0.25">
      <c r="A3584" s="2">
        <v>46318</v>
      </c>
      <c r="B3584" s="1">
        <f t="shared" si="281"/>
        <v>43</v>
      </c>
      <c r="C3584">
        <f t="shared" si="283"/>
        <v>10</v>
      </c>
      <c r="D3584" t="str">
        <f t="shared" si="284"/>
        <v>October</v>
      </c>
      <c r="E3584">
        <f t="shared" si="285"/>
        <v>2026</v>
      </c>
      <c r="F3584" t="str">
        <f>CONCATENATE(calendar[[#This Row],[Month]],"/",calendar[[#This Row],[Year]])</f>
        <v>10/2026</v>
      </c>
      <c r="G3584">
        <f>WEEKDAY(calendar[[#This Row],[Date]],1)</f>
        <v>6</v>
      </c>
      <c r="H3584" t="str">
        <f>TEXT(calendar[[#This Row],[WeekDay]],"dddd")</f>
        <v>Friday</v>
      </c>
      <c r="I3584">
        <f>IF((INT(calendar[[#This Row],[Count]]/7)-calendar[[#This Row],[Count]]/7)&lt;0,I3583,I3583+1)</f>
        <v>512</v>
      </c>
      <c r="J3584">
        <f t="shared" si="282"/>
        <v>3582</v>
      </c>
      <c r="K3584">
        <f>IF(calendar[[#This Row],[Month]]&lt;4,1,IF(calendar[[#This Row],[Month]]&lt;7,2,IF(calendar[[#This Row],[Month]]&lt;10,3,4)))</f>
        <v>4</v>
      </c>
      <c r="L3584">
        <f>IFERROR(IF(VLOOKUP(calendar[[#This Row],[Date]],BH!A:A,1,)&lt;&gt;"",1,0),0)</f>
        <v>0</v>
      </c>
      <c r="M3584">
        <f>IFERROR(IF(VLOOKUP(calendar[[#This Row],[Date]],BH!C:C,1,)&lt;&gt;"",1,0),0)</f>
        <v>0</v>
      </c>
      <c r="N3584">
        <f>IFERROR(IF(VLOOKUP(calendar[[#This Row],[Date]],BH!E:E,1,)&lt;&gt;"",1,0),0)</f>
        <v>0</v>
      </c>
      <c r="O3584">
        <f>IFERROR(IF(VLOOKUP(calendar[[#This Row],[Date]],BH!G:G,1,)&lt;&gt;"",1,0),0)</f>
        <v>0</v>
      </c>
      <c r="P3584">
        <f>IF(OR(calendar[[#This Row],[UK_BH]]=1,calendar[[#This Row],[WeekDay]]=1, calendar[[#This Row],[WeekDay]]=7),P3583,P3583+1)</f>
        <v>2546</v>
      </c>
      <c r="Q3584">
        <f>IF(OR(calendar[[#This Row],[FR_BH]]=1,calendar[[#This Row],[WeekDay]]=1, calendar[[#This Row],[WeekDay]]=7),P3583,P3583+1)</f>
        <v>2546</v>
      </c>
      <c r="R3584">
        <f>IF(OR(calendar[[#This Row],[SP_BH]]=1,calendar[[#This Row],[WeekDay]]=1, calendar[[#This Row],[WeekDay]]=7),P3583,P3583+1)</f>
        <v>2546</v>
      </c>
      <c r="S3584">
        <f>IF(OR(calendar[[#This Row],[PT_BH]]=1,calendar[[#This Row],[WeekDay]]=1, calendar[[#This Row],[WeekDay]]=7),P3583,P3583+1)</f>
        <v>2546</v>
      </c>
    </row>
    <row r="3585" spans="1:19" x14ac:dyDescent="0.25">
      <c r="A3585" s="2">
        <v>46319</v>
      </c>
      <c r="B3585" s="1">
        <f t="shared" si="281"/>
        <v>43</v>
      </c>
      <c r="C3585">
        <f t="shared" si="283"/>
        <v>10</v>
      </c>
      <c r="D3585" t="str">
        <f t="shared" si="284"/>
        <v>October</v>
      </c>
      <c r="E3585">
        <f t="shared" si="285"/>
        <v>2026</v>
      </c>
      <c r="F3585" t="str">
        <f>CONCATENATE(calendar[[#This Row],[Month]],"/",calendar[[#This Row],[Year]])</f>
        <v>10/2026</v>
      </c>
      <c r="G3585">
        <f>WEEKDAY(calendar[[#This Row],[Date]],1)</f>
        <v>7</v>
      </c>
      <c r="H3585" t="str">
        <f>TEXT(calendar[[#This Row],[WeekDay]],"dddd")</f>
        <v>Saturday</v>
      </c>
      <c r="I3585">
        <f>IF((INT(calendar[[#This Row],[Count]]/7)-calendar[[#This Row],[Count]]/7)&lt;0,I3584,I3584+1)</f>
        <v>512</v>
      </c>
      <c r="J3585">
        <f t="shared" si="282"/>
        <v>3583</v>
      </c>
      <c r="K3585">
        <f>IF(calendar[[#This Row],[Month]]&lt;4,1,IF(calendar[[#This Row],[Month]]&lt;7,2,IF(calendar[[#This Row],[Month]]&lt;10,3,4)))</f>
        <v>4</v>
      </c>
      <c r="L3585">
        <f>IFERROR(IF(VLOOKUP(calendar[[#This Row],[Date]],BH!A:A,1,)&lt;&gt;"",1,0),0)</f>
        <v>0</v>
      </c>
      <c r="M3585">
        <f>IFERROR(IF(VLOOKUP(calendar[[#This Row],[Date]],BH!C:C,1,)&lt;&gt;"",1,0),0)</f>
        <v>0</v>
      </c>
      <c r="N3585">
        <f>IFERROR(IF(VLOOKUP(calendar[[#This Row],[Date]],BH!E:E,1,)&lt;&gt;"",1,0),0)</f>
        <v>0</v>
      </c>
      <c r="O3585">
        <f>IFERROR(IF(VLOOKUP(calendar[[#This Row],[Date]],BH!G:G,1,)&lt;&gt;"",1,0),0)</f>
        <v>0</v>
      </c>
      <c r="P3585">
        <f>IF(OR(calendar[[#This Row],[UK_BH]]=1,calendar[[#This Row],[WeekDay]]=1, calendar[[#This Row],[WeekDay]]=7),P3584,P3584+1)</f>
        <v>2546</v>
      </c>
      <c r="Q3585">
        <f>IF(OR(calendar[[#This Row],[FR_BH]]=1,calendar[[#This Row],[WeekDay]]=1, calendar[[#This Row],[WeekDay]]=7),P3584,P3584+1)</f>
        <v>2546</v>
      </c>
      <c r="R3585">
        <f>IF(OR(calendar[[#This Row],[SP_BH]]=1,calendar[[#This Row],[WeekDay]]=1, calendar[[#This Row],[WeekDay]]=7),P3584,P3584+1)</f>
        <v>2546</v>
      </c>
      <c r="S3585">
        <f>IF(OR(calendar[[#This Row],[PT_BH]]=1,calendar[[#This Row],[WeekDay]]=1, calendar[[#This Row],[WeekDay]]=7),P3584,P3584+1)</f>
        <v>2546</v>
      </c>
    </row>
    <row r="3586" spans="1:19" x14ac:dyDescent="0.25">
      <c r="A3586" s="2">
        <v>46320</v>
      </c>
      <c r="B3586" s="1">
        <f t="shared" ref="B3586:B3649" si="286">WEEKNUM(A3586)</f>
        <v>44</v>
      </c>
      <c r="C3586">
        <f t="shared" si="283"/>
        <v>10</v>
      </c>
      <c r="D3586" t="str">
        <f t="shared" si="284"/>
        <v>October</v>
      </c>
      <c r="E3586">
        <f t="shared" si="285"/>
        <v>2026</v>
      </c>
      <c r="F3586" t="str">
        <f>CONCATENATE(calendar[[#This Row],[Month]],"/",calendar[[#This Row],[Year]])</f>
        <v>10/2026</v>
      </c>
      <c r="G3586">
        <f>WEEKDAY(calendar[[#This Row],[Date]],1)</f>
        <v>1</v>
      </c>
      <c r="H3586" t="str">
        <f>TEXT(calendar[[#This Row],[WeekDay]],"dddd")</f>
        <v>Sunday</v>
      </c>
      <c r="I3586">
        <f>IF((INT(calendar[[#This Row],[Count]]/7)-calendar[[#This Row],[Count]]/7)&lt;0,I3585,I3585+1)</f>
        <v>513</v>
      </c>
      <c r="J3586">
        <f t="shared" si="282"/>
        <v>3584</v>
      </c>
      <c r="K3586">
        <f>IF(calendar[[#This Row],[Month]]&lt;4,1,IF(calendar[[#This Row],[Month]]&lt;7,2,IF(calendar[[#This Row],[Month]]&lt;10,3,4)))</f>
        <v>4</v>
      </c>
      <c r="L3586">
        <f>IFERROR(IF(VLOOKUP(calendar[[#This Row],[Date]],BH!A:A,1,)&lt;&gt;"",1,0),0)</f>
        <v>0</v>
      </c>
      <c r="M3586">
        <f>IFERROR(IF(VLOOKUP(calendar[[#This Row],[Date]],BH!C:C,1,)&lt;&gt;"",1,0),0)</f>
        <v>0</v>
      </c>
      <c r="N3586">
        <f>IFERROR(IF(VLOOKUP(calendar[[#This Row],[Date]],BH!E:E,1,)&lt;&gt;"",1,0),0)</f>
        <v>0</v>
      </c>
      <c r="O3586">
        <f>IFERROR(IF(VLOOKUP(calendar[[#This Row],[Date]],BH!G:G,1,)&lt;&gt;"",1,0),0)</f>
        <v>0</v>
      </c>
      <c r="P3586">
        <f>IF(OR(calendar[[#This Row],[UK_BH]]=1,calendar[[#This Row],[WeekDay]]=1, calendar[[#This Row],[WeekDay]]=7),P3585,P3585+1)</f>
        <v>2546</v>
      </c>
      <c r="Q3586">
        <f>IF(OR(calendar[[#This Row],[FR_BH]]=1,calendar[[#This Row],[WeekDay]]=1, calendar[[#This Row],[WeekDay]]=7),P3585,P3585+1)</f>
        <v>2546</v>
      </c>
      <c r="R3586">
        <f>IF(OR(calendar[[#This Row],[SP_BH]]=1,calendar[[#This Row],[WeekDay]]=1, calendar[[#This Row],[WeekDay]]=7),P3585,P3585+1)</f>
        <v>2546</v>
      </c>
      <c r="S3586">
        <f>IF(OR(calendar[[#This Row],[PT_BH]]=1,calendar[[#This Row],[WeekDay]]=1, calendar[[#This Row],[WeekDay]]=7),P3585,P3585+1)</f>
        <v>2546</v>
      </c>
    </row>
    <row r="3587" spans="1:19" x14ac:dyDescent="0.25">
      <c r="A3587" s="2">
        <v>46321</v>
      </c>
      <c r="B3587" s="1">
        <f t="shared" si="286"/>
        <v>44</v>
      </c>
      <c r="C3587">
        <f t="shared" si="283"/>
        <v>10</v>
      </c>
      <c r="D3587" t="str">
        <f t="shared" si="284"/>
        <v>October</v>
      </c>
      <c r="E3587">
        <f t="shared" si="285"/>
        <v>2026</v>
      </c>
      <c r="F3587" t="str">
        <f>CONCATENATE(calendar[[#This Row],[Month]],"/",calendar[[#This Row],[Year]])</f>
        <v>10/2026</v>
      </c>
      <c r="G3587">
        <f>WEEKDAY(calendar[[#This Row],[Date]],1)</f>
        <v>2</v>
      </c>
      <c r="H3587" t="str">
        <f>TEXT(calendar[[#This Row],[WeekDay]],"dddd")</f>
        <v>Monday</v>
      </c>
      <c r="I3587">
        <f>IF((INT(calendar[[#This Row],[Count]]/7)-calendar[[#This Row],[Count]]/7)&lt;0,I3586,I3586+1)</f>
        <v>513</v>
      </c>
      <c r="J3587">
        <f t="shared" ref="J3587:J3650" si="287">J3586+1</f>
        <v>3585</v>
      </c>
      <c r="K3587">
        <f>IF(calendar[[#This Row],[Month]]&lt;4,1,IF(calendar[[#This Row],[Month]]&lt;7,2,IF(calendar[[#This Row],[Month]]&lt;10,3,4)))</f>
        <v>4</v>
      </c>
      <c r="L3587">
        <f>IFERROR(IF(VLOOKUP(calendar[[#This Row],[Date]],BH!A:A,1,)&lt;&gt;"",1,0),0)</f>
        <v>0</v>
      </c>
      <c r="M3587">
        <f>IFERROR(IF(VLOOKUP(calendar[[#This Row],[Date]],BH!C:C,1,)&lt;&gt;"",1,0),0)</f>
        <v>0</v>
      </c>
      <c r="N3587">
        <f>IFERROR(IF(VLOOKUP(calendar[[#This Row],[Date]],BH!E:E,1,)&lt;&gt;"",1,0),0)</f>
        <v>0</v>
      </c>
      <c r="O3587">
        <f>IFERROR(IF(VLOOKUP(calendar[[#This Row],[Date]],BH!G:G,1,)&lt;&gt;"",1,0),0)</f>
        <v>0</v>
      </c>
      <c r="P3587">
        <f>IF(OR(calendar[[#This Row],[UK_BH]]=1,calendar[[#This Row],[WeekDay]]=1, calendar[[#This Row],[WeekDay]]=7),P3586,P3586+1)</f>
        <v>2547</v>
      </c>
      <c r="Q3587">
        <f>IF(OR(calendar[[#This Row],[FR_BH]]=1,calendar[[#This Row],[WeekDay]]=1, calendar[[#This Row],[WeekDay]]=7),P3586,P3586+1)</f>
        <v>2547</v>
      </c>
      <c r="R3587">
        <f>IF(OR(calendar[[#This Row],[SP_BH]]=1,calendar[[#This Row],[WeekDay]]=1, calendar[[#This Row],[WeekDay]]=7),P3586,P3586+1)</f>
        <v>2547</v>
      </c>
      <c r="S3587">
        <f>IF(OR(calendar[[#This Row],[PT_BH]]=1,calendar[[#This Row],[WeekDay]]=1, calendar[[#This Row],[WeekDay]]=7),P3586,P3586+1)</f>
        <v>2547</v>
      </c>
    </row>
    <row r="3588" spans="1:19" x14ac:dyDescent="0.25">
      <c r="A3588" s="2">
        <v>46322</v>
      </c>
      <c r="B3588" s="1">
        <f t="shared" si="286"/>
        <v>44</v>
      </c>
      <c r="C3588">
        <f t="shared" si="283"/>
        <v>10</v>
      </c>
      <c r="D3588" t="str">
        <f t="shared" si="284"/>
        <v>October</v>
      </c>
      <c r="E3588">
        <f t="shared" si="285"/>
        <v>2026</v>
      </c>
      <c r="F3588" t="str">
        <f>CONCATENATE(calendar[[#This Row],[Month]],"/",calendar[[#This Row],[Year]])</f>
        <v>10/2026</v>
      </c>
      <c r="G3588">
        <f>WEEKDAY(calendar[[#This Row],[Date]],1)</f>
        <v>3</v>
      </c>
      <c r="H3588" t="str">
        <f>TEXT(calendar[[#This Row],[WeekDay]],"dddd")</f>
        <v>Tuesday</v>
      </c>
      <c r="I3588">
        <f>IF((INT(calendar[[#This Row],[Count]]/7)-calendar[[#This Row],[Count]]/7)&lt;0,I3587,I3587+1)</f>
        <v>513</v>
      </c>
      <c r="J3588">
        <f t="shared" si="287"/>
        <v>3586</v>
      </c>
      <c r="K3588">
        <f>IF(calendar[[#This Row],[Month]]&lt;4,1,IF(calendar[[#This Row],[Month]]&lt;7,2,IF(calendar[[#This Row],[Month]]&lt;10,3,4)))</f>
        <v>4</v>
      </c>
      <c r="L3588">
        <f>IFERROR(IF(VLOOKUP(calendar[[#This Row],[Date]],BH!A:A,1,)&lt;&gt;"",1,0),0)</f>
        <v>0</v>
      </c>
      <c r="M3588">
        <f>IFERROR(IF(VLOOKUP(calendar[[#This Row],[Date]],BH!C:C,1,)&lt;&gt;"",1,0),0)</f>
        <v>0</v>
      </c>
      <c r="N3588">
        <f>IFERROR(IF(VLOOKUP(calendar[[#This Row],[Date]],BH!E:E,1,)&lt;&gt;"",1,0),0)</f>
        <v>0</v>
      </c>
      <c r="O3588">
        <f>IFERROR(IF(VLOOKUP(calendar[[#This Row],[Date]],BH!G:G,1,)&lt;&gt;"",1,0),0)</f>
        <v>0</v>
      </c>
      <c r="P3588">
        <f>IF(OR(calendar[[#This Row],[UK_BH]]=1,calendar[[#This Row],[WeekDay]]=1, calendar[[#This Row],[WeekDay]]=7),P3587,P3587+1)</f>
        <v>2548</v>
      </c>
      <c r="Q3588">
        <f>IF(OR(calendar[[#This Row],[FR_BH]]=1,calendar[[#This Row],[WeekDay]]=1, calendar[[#This Row],[WeekDay]]=7),P3587,P3587+1)</f>
        <v>2548</v>
      </c>
      <c r="R3588">
        <f>IF(OR(calendar[[#This Row],[SP_BH]]=1,calendar[[#This Row],[WeekDay]]=1, calendar[[#This Row],[WeekDay]]=7),P3587,P3587+1)</f>
        <v>2548</v>
      </c>
      <c r="S3588">
        <f>IF(OR(calendar[[#This Row],[PT_BH]]=1,calendar[[#This Row],[WeekDay]]=1, calendar[[#This Row],[WeekDay]]=7),P3587,P3587+1)</f>
        <v>2548</v>
      </c>
    </row>
    <row r="3589" spans="1:19" x14ac:dyDescent="0.25">
      <c r="A3589" s="2">
        <v>46323</v>
      </c>
      <c r="B3589" s="1">
        <f t="shared" si="286"/>
        <v>44</v>
      </c>
      <c r="C3589">
        <f t="shared" si="283"/>
        <v>10</v>
      </c>
      <c r="D3589" t="str">
        <f t="shared" si="284"/>
        <v>October</v>
      </c>
      <c r="E3589">
        <f t="shared" si="285"/>
        <v>2026</v>
      </c>
      <c r="F3589" t="str">
        <f>CONCATENATE(calendar[[#This Row],[Month]],"/",calendar[[#This Row],[Year]])</f>
        <v>10/2026</v>
      </c>
      <c r="G3589">
        <f>WEEKDAY(calendar[[#This Row],[Date]],1)</f>
        <v>4</v>
      </c>
      <c r="H3589" t="str">
        <f>TEXT(calendar[[#This Row],[WeekDay]],"dddd")</f>
        <v>Wednesday</v>
      </c>
      <c r="I3589">
        <f>IF((INT(calendar[[#This Row],[Count]]/7)-calendar[[#This Row],[Count]]/7)&lt;0,I3588,I3588+1)</f>
        <v>513</v>
      </c>
      <c r="J3589">
        <f t="shared" si="287"/>
        <v>3587</v>
      </c>
      <c r="K3589">
        <f>IF(calendar[[#This Row],[Month]]&lt;4,1,IF(calendar[[#This Row],[Month]]&lt;7,2,IF(calendar[[#This Row],[Month]]&lt;10,3,4)))</f>
        <v>4</v>
      </c>
      <c r="L3589">
        <f>IFERROR(IF(VLOOKUP(calendar[[#This Row],[Date]],BH!A:A,1,)&lt;&gt;"",1,0),0)</f>
        <v>0</v>
      </c>
      <c r="M3589">
        <f>IFERROR(IF(VLOOKUP(calendar[[#This Row],[Date]],BH!C:C,1,)&lt;&gt;"",1,0),0)</f>
        <v>0</v>
      </c>
      <c r="N3589">
        <f>IFERROR(IF(VLOOKUP(calendar[[#This Row],[Date]],BH!E:E,1,)&lt;&gt;"",1,0),0)</f>
        <v>0</v>
      </c>
      <c r="O3589">
        <f>IFERROR(IF(VLOOKUP(calendar[[#This Row],[Date]],BH!G:G,1,)&lt;&gt;"",1,0),0)</f>
        <v>0</v>
      </c>
      <c r="P3589">
        <f>IF(OR(calendar[[#This Row],[UK_BH]]=1,calendar[[#This Row],[WeekDay]]=1, calendar[[#This Row],[WeekDay]]=7),P3588,P3588+1)</f>
        <v>2549</v>
      </c>
      <c r="Q3589">
        <f>IF(OR(calendar[[#This Row],[FR_BH]]=1,calendar[[#This Row],[WeekDay]]=1, calendar[[#This Row],[WeekDay]]=7),P3588,P3588+1)</f>
        <v>2549</v>
      </c>
      <c r="R3589">
        <f>IF(OR(calendar[[#This Row],[SP_BH]]=1,calendar[[#This Row],[WeekDay]]=1, calendar[[#This Row],[WeekDay]]=7),P3588,P3588+1)</f>
        <v>2549</v>
      </c>
      <c r="S3589">
        <f>IF(OR(calendar[[#This Row],[PT_BH]]=1,calendar[[#This Row],[WeekDay]]=1, calendar[[#This Row],[WeekDay]]=7),P3588,P3588+1)</f>
        <v>2549</v>
      </c>
    </row>
    <row r="3590" spans="1:19" x14ac:dyDescent="0.25">
      <c r="A3590" s="2">
        <v>46324</v>
      </c>
      <c r="B3590" s="1">
        <f t="shared" si="286"/>
        <v>44</v>
      </c>
      <c r="C3590">
        <f t="shared" si="283"/>
        <v>10</v>
      </c>
      <c r="D3590" t="str">
        <f t="shared" si="284"/>
        <v>October</v>
      </c>
      <c r="E3590">
        <f t="shared" si="285"/>
        <v>2026</v>
      </c>
      <c r="F3590" t="str">
        <f>CONCATENATE(calendar[[#This Row],[Month]],"/",calendar[[#This Row],[Year]])</f>
        <v>10/2026</v>
      </c>
      <c r="G3590">
        <f>WEEKDAY(calendar[[#This Row],[Date]],1)</f>
        <v>5</v>
      </c>
      <c r="H3590" t="str">
        <f>TEXT(calendar[[#This Row],[WeekDay]],"dddd")</f>
        <v>Thursday</v>
      </c>
      <c r="I3590">
        <f>IF((INT(calendar[[#This Row],[Count]]/7)-calendar[[#This Row],[Count]]/7)&lt;0,I3589,I3589+1)</f>
        <v>513</v>
      </c>
      <c r="J3590">
        <f t="shared" si="287"/>
        <v>3588</v>
      </c>
      <c r="K3590">
        <f>IF(calendar[[#This Row],[Month]]&lt;4,1,IF(calendar[[#This Row],[Month]]&lt;7,2,IF(calendar[[#This Row],[Month]]&lt;10,3,4)))</f>
        <v>4</v>
      </c>
      <c r="L3590">
        <f>IFERROR(IF(VLOOKUP(calendar[[#This Row],[Date]],BH!A:A,1,)&lt;&gt;"",1,0),0)</f>
        <v>0</v>
      </c>
      <c r="M3590">
        <f>IFERROR(IF(VLOOKUP(calendar[[#This Row],[Date]],BH!C:C,1,)&lt;&gt;"",1,0),0)</f>
        <v>0</v>
      </c>
      <c r="N3590">
        <f>IFERROR(IF(VLOOKUP(calendar[[#This Row],[Date]],BH!E:E,1,)&lt;&gt;"",1,0),0)</f>
        <v>0</v>
      </c>
      <c r="O3590">
        <f>IFERROR(IF(VLOOKUP(calendar[[#This Row],[Date]],BH!G:G,1,)&lt;&gt;"",1,0),0)</f>
        <v>0</v>
      </c>
      <c r="P3590">
        <f>IF(OR(calendar[[#This Row],[UK_BH]]=1,calendar[[#This Row],[WeekDay]]=1, calendar[[#This Row],[WeekDay]]=7),P3589,P3589+1)</f>
        <v>2550</v>
      </c>
      <c r="Q3590">
        <f>IF(OR(calendar[[#This Row],[FR_BH]]=1,calendar[[#This Row],[WeekDay]]=1, calendar[[#This Row],[WeekDay]]=7),P3589,P3589+1)</f>
        <v>2550</v>
      </c>
      <c r="R3590">
        <f>IF(OR(calendar[[#This Row],[SP_BH]]=1,calendar[[#This Row],[WeekDay]]=1, calendar[[#This Row],[WeekDay]]=7),P3589,P3589+1)</f>
        <v>2550</v>
      </c>
      <c r="S3590">
        <f>IF(OR(calendar[[#This Row],[PT_BH]]=1,calendar[[#This Row],[WeekDay]]=1, calendar[[#This Row],[WeekDay]]=7),P3589,P3589+1)</f>
        <v>2550</v>
      </c>
    </row>
    <row r="3591" spans="1:19" x14ac:dyDescent="0.25">
      <c r="A3591" s="2">
        <v>46325</v>
      </c>
      <c r="B3591" s="1">
        <f t="shared" si="286"/>
        <v>44</v>
      </c>
      <c r="C3591">
        <f t="shared" si="283"/>
        <v>10</v>
      </c>
      <c r="D3591" t="str">
        <f t="shared" si="284"/>
        <v>October</v>
      </c>
      <c r="E3591">
        <f t="shared" si="285"/>
        <v>2026</v>
      </c>
      <c r="F3591" t="str">
        <f>CONCATENATE(calendar[[#This Row],[Month]],"/",calendar[[#This Row],[Year]])</f>
        <v>10/2026</v>
      </c>
      <c r="G3591">
        <f>WEEKDAY(calendar[[#This Row],[Date]],1)</f>
        <v>6</v>
      </c>
      <c r="H3591" t="str">
        <f>TEXT(calendar[[#This Row],[WeekDay]],"dddd")</f>
        <v>Friday</v>
      </c>
      <c r="I3591">
        <f>IF((INT(calendar[[#This Row],[Count]]/7)-calendar[[#This Row],[Count]]/7)&lt;0,I3590,I3590+1)</f>
        <v>513</v>
      </c>
      <c r="J3591">
        <f t="shared" si="287"/>
        <v>3589</v>
      </c>
      <c r="K3591">
        <f>IF(calendar[[#This Row],[Month]]&lt;4,1,IF(calendar[[#This Row],[Month]]&lt;7,2,IF(calendar[[#This Row],[Month]]&lt;10,3,4)))</f>
        <v>4</v>
      </c>
      <c r="L3591">
        <f>IFERROR(IF(VLOOKUP(calendar[[#This Row],[Date]],BH!A:A,1,)&lt;&gt;"",1,0),0)</f>
        <v>0</v>
      </c>
      <c r="M3591">
        <f>IFERROR(IF(VLOOKUP(calendar[[#This Row],[Date]],BH!C:C,1,)&lt;&gt;"",1,0),0)</f>
        <v>0</v>
      </c>
      <c r="N3591">
        <f>IFERROR(IF(VLOOKUP(calendar[[#This Row],[Date]],BH!E:E,1,)&lt;&gt;"",1,0),0)</f>
        <v>0</v>
      </c>
      <c r="O3591">
        <f>IFERROR(IF(VLOOKUP(calendar[[#This Row],[Date]],BH!G:G,1,)&lt;&gt;"",1,0),0)</f>
        <v>0</v>
      </c>
      <c r="P3591">
        <f>IF(OR(calendar[[#This Row],[UK_BH]]=1,calendar[[#This Row],[WeekDay]]=1, calendar[[#This Row],[WeekDay]]=7),P3590,P3590+1)</f>
        <v>2551</v>
      </c>
      <c r="Q3591">
        <f>IF(OR(calendar[[#This Row],[FR_BH]]=1,calendar[[#This Row],[WeekDay]]=1, calendar[[#This Row],[WeekDay]]=7),P3590,P3590+1)</f>
        <v>2551</v>
      </c>
      <c r="R3591">
        <f>IF(OR(calendar[[#This Row],[SP_BH]]=1,calendar[[#This Row],[WeekDay]]=1, calendar[[#This Row],[WeekDay]]=7),P3590,P3590+1)</f>
        <v>2551</v>
      </c>
      <c r="S3591">
        <f>IF(OR(calendar[[#This Row],[PT_BH]]=1,calendar[[#This Row],[WeekDay]]=1, calendar[[#This Row],[WeekDay]]=7),P3590,P3590+1)</f>
        <v>2551</v>
      </c>
    </row>
    <row r="3592" spans="1:19" x14ac:dyDescent="0.25">
      <c r="A3592" s="2">
        <v>46326</v>
      </c>
      <c r="B3592" s="1">
        <f t="shared" si="286"/>
        <v>44</v>
      </c>
      <c r="C3592">
        <f t="shared" si="283"/>
        <v>10</v>
      </c>
      <c r="D3592" t="str">
        <f t="shared" si="284"/>
        <v>October</v>
      </c>
      <c r="E3592">
        <f t="shared" si="285"/>
        <v>2026</v>
      </c>
      <c r="F3592" t="str">
        <f>CONCATENATE(calendar[[#This Row],[Month]],"/",calendar[[#This Row],[Year]])</f>
        <v>10/2026</v>
      </c>
      <c r="G3592">
        <f>WEEKDAY(calendar[[#This Row],[Date]],1)</f>
        <v>7</v>
      </c>
      <c r="H3592" t="str">
        <f>TEXT(calendar[[#This Row],[WeekDay]],"dddd")</f>
        <v>Saturday</v>
      </c>
      <c r="I3592">
        <f>IF((INT(calendar[[#This Row],[Count]]/7)-calendar[[#This Row],[Count]]/7)&lt;0,I3591,I3591+1)</f>
        <v>513</v>
      </c>
      <c r="J3592">
        <f t="shared" si="287"/>
        <v>3590</v>
      </c>
      <c r="K3592">
        <f>IF(calendar[[#This Row],[Month]]&lt;4,1,IF(calendar[[#This Row],[Month]]&lt;7,2,IF(calendar[[#This Row],[Month]]&lt;10,3,4)))</f>
        <v>4</v>
      </c>
      <c r="L3592">
        <f>IFERROR(IF(VLOOKUP(calendar[[#This Row],[Date]],BH!A:A,1,)&lt;&gt;"",1,0),0)</f>
        <v>0</v>
      </c>
      <c r="M3592">
        <f>IFERROR(IF(VLOOKUP(calendar[[#This Row],[Date]],BH!C:C,1,)&lt;&gt;"",1,0),0)</f>
        <v>0</v>
      </c>
      <c r="N3592">
        <f>IFERROR(IF(VLOOKUP(calendar[[#This Row],[Date]],BH!E:E,1,)&lt;&gt;"",1,0),0)</f>
        <v>0</v>
      </c>
      <c r="O3592">
        <f>IFERROR(IF(VLOOKUP(calendar[[#This Row],[Date]],BH!G:G,1,)&lt;&gt;"",1,0),0)</f>
        <v>0</v>
      </c>
      <c r="P3592">
        <f>IF(OR(calendar[[#This Row],[UK_BH]]=1,calendar[[#This Row],[WeekDay]]=1, calendar[[#This Row],[WeekDay]]=7),P3591,P3591+1)</f>
        <v>2551</v>
      </c>
      <c r="Q3592">
        <f>IF(OR(calendar[[#This Row],[FR_BH]]=1,calendar[[#This Row],[WeekDay]]=1, calendar[[#This Row],[WeekDay]]=7),P3591,P3591+1)</f>
        <v>2551</v>
      </c>
      <c r="R3592">
        <f>IF(OR(calendar[[#This Row],[SP_BH]]=1,calendar[[#This Row],[WeekDay]]=1, calendar[[#This Row],[WeekDay]]=7),P3591,P3591+1)</f>
        <v>2551</v>
      </c>
      <c r="S3592">
        <f>IF(OR(calendar[[#This Row],[PT_BH]]=1,calendar[[#This Row],[WeekDay]]=1, calendar[[#This Row],[WeekDay]]=7),P3591,P3591+1)</f>
        <v>2551</v>
      </c>
    </row>
    <row r="3593" spans="1:19" x14ac:dyDescent="0.25">
      <c r="A3593" s="2">
        <v>46327</v>
      </c>
      <c r="B3593" s="1">
        <f t="shared" si="286"/>
        <v>45</v>
      </c>
      <c r="C3593">
        <f t="shared" si="283"/>
        <v>11</v>
      </c>
      <c r="D3593" t="str">
        <f t="shared" si="284"/>
        <v>November</v>
      </c>
      <c r="E3593">
        <f t="shared" si="285"/>
        <v>2026</v>
      </c>
      <c r="F3593" t="str">
        <f>CONCATENATE(calendar[[#This Row],[Month]],"/",calendar[[#This Row],[Year]])</f>
        <v>11/2026</v>
      </c>
      <c r="G3593">
        <f>WEEKDAY(calendar[[#This Row],[Date]],1)</f>
        <v>1</v>
      </c>
      <c r="H3593" t="str">
        <f>TEXT(calendar[[#This Row],[WeekDay]],"dddd")</f>
        <v>Sunday</v>
      </c>
      <c r="I3593">
        <f>IF((INT(calendar[[#This Row],[Count]]/7)-calendar[[#This Row],[Count]]/7)&lt;0,I3592,I3592+1)</f>
        <v>514</v>
      </c>
      <c r="J3593">
        <f t="shared" si="287"/>
        <v>3591</v>
      </c>
      <c r="K3593">
        <f>IF(calendar[[#This Row],[Month]]&lt;4,1,IF(calendar[[#This Row],[Month]]&lt;7,2,IF(calendar[[#This Row],[Month]]&lt;10,3,4)))</f>
        <v>4</v>
      </c>
      <c r="L3593">
        <f>IFERROR(IF(VLOOKUP(calendar[[#This Row],[Date]],BH!A:A,1,)&lt;&gt;"",1,0),0)</f>
        <v>0</v>
      </c>
      <c r="M3593">
        <f>IFERROR(IF(VLOOKUP(calendar[[#This Row],[Date]],BH!C:C,1,)&lt;&gt;"",1,0),0)</f>
        <v>1</v>
      </c>
      <c r="N3593">
        <f>IFERROR(IF(VLOOKUP(calendar[[#This Row],[Date]],BH!E:E,1,)&lt;&gt;"",1,0),0)</f>
        <v>1</v>
      </c>
      <c r="O3593">
        <f>IFERROR(IF(VLOOKUP(calendar[[#This Row],[Date]],BH!G:G,1,)&lt;&gt;"",1,0),0)</f>
        <v>1</v>
      </c>
      <c r="P3593">
        <f>IF(OR(calendar[[#This Row],[UK_BH]]=1,calendar[[#This Row],[WeekDay]]=1, calendar[[#This Row],[WeekDay]]=7),P3592,P3592+1)</f>
        <v>2551</v>
      </c>
      <c r="Q3593">
        <f>IF(OR(calendar[[#This Row],[FR_BH]]=1,calendar[[#This Row],[WeekDay]]=1, calendar[[#This Row],[WeekDay]]=7),P3592,P3592+1)</f>
        <v>2551</v>
      </c>
      <c r="R3593">
        <f>IF(OR(calendar[[#This Row],[SP_BH]]=1,calendar[[#This Row],[WeekDay]]=1, calendar[[#This Row],[WeekDay]]=7),P3592,P3592+1)</f>
        <v>2551</v>
      </c>
      <c r="S3593">
        <f>IF(OR(calendar[[#This Row],[PT_BH]]=1,calendar[[#This Row],[WeekDay]]=1, calendar[[#This Row],[WeekDay]]=7),P3592,P3592+1)</f>
        <v>2551</v>
      </c>
    </row>
    <row r="3594" spans="1:19" x14ac:dyDescent="0.25">
      <c r="A3594" s="2">
        <v>46328</v>
      </c>
      <c r="B3594" s="1">
        <f t="shared" si="286"/>
        <v>45</v>
      </c>
      <c r="C3594">
        <f t="shared" si="283"/>
        <v>11</v>
      </c>
      <c r="D3594" t="str">
        <f t="shared" si="284"/>
        <v>November</v>
      </c>
      <c r="E3594">
        <f t="shared" si="285"/>
        <v>2026</v>
      </c>
      <c r="F3594" t="str">
        <f>CONCATENATE(calendar[[#This Row],[Month]],"/",calendar[[#This Row],[Year]])</f>
        <v>11/2026</v>
      </c>
      <c r="G3594">
        <f>WEEKDAY(calendar[[#This Row],[Date]],1)</f>
        <v>2</v>
      </c>
      <c r="H3594" t="str">
        <f>TEXT(calendar[[#This Row],[WeekDay]],"dddd")</f>
        <v>Monday</v>
      </c>
      <c r="I3594">
        <f>IF((INT(calendar[[#This Row],[Count]]/7)-calendar[[#This Row],[Count]]/7)&lt;0,I3593,I3593+1)</f>
        <v>514</v>
      </c>
      <c r="J3594">
        <f t="shared" si="287"/>
        <v>3592</v>
      </c>
      <c r="K3594">
        <f>IF(calendar[[#This Row],[Month]]&lt;4,1,IF(calendar[[#This Row],[Month]]&lt;7,2,IF(calendar[[#This Row],[Month]]&lt;10,3,4)))</f>
        <v>4</v>
      </c>
      <c r="L3594">
        <f>IFERROR(IF(VLOOKUP(calendar[[#This Row],[Date]],BH!A:A,1,)&lt;&gt;"",1,0),0)</f>
        <v>0</v>
      </c>
      <c r="M3594">
        <f>IFERROR(IF(VLOOKUP(calendar[[#This Row],[Date]],BH!C:C,1,)&lt;&gt;"",1,0),0)</f>
        <v>0</v>
      </c>
      <c r="N3594">
        <f>IFERROR(IF(VLOOKUP(calendar[[#This Row],[Date]],BH!E:E,1,)&lt;&gt;"",1,0),0)</f>
        <v>1</v>
      </c>
      <c r="O3594">
        <f>IFERROR(IF(VLOOKUP(calendar[[#This Row],[Date]],BH!G:G,1,)&lt;&gt;"",1,0),0)</f>
        <v>0</v>
      </c>
      <c r="P3594">
        <f>IF(OR(calendar[[#This Row],[UK_BH]]=1,calendar[[#This Row],[WeekDay]]=1, calendar[[#This Row],[WeekDay]]=7),P3593,P3593+1)</f>
        <v>2552</v>
      </c>
      <c r="Q3594">
        <f>IF(OR(calendar[[#This Row],[FR_BH]]=1,calendar[[#This Row],[WeekDay]]=1, calendar[[#This Row],[WeekDay]]=7),P3593,P3593+1)</f>
        <v>2552</v>
      </c>
      <c r="R3594">
        <f>IF(OR(calendar[[#This Row],[SP_BH]]=1,calendar[[#This Row],[WeekDay]]=1, calendar[[#This Row],[WeekDay]]=7),P3593,P3593+1)</f>
        <v>2551</v>
      </c>
      <c r="S3594">
        <f>IF(OR(calendar[[#This Row],[PT_BH]]=1,calendar[[#This Row],[WeekDay]]=1, calendar[[#This Row],[WeekDay]]=7),P3593,P3593+1)</f>
        <v>2552</v>
      </c>
    </row>
    <row r="3595" spans="1:19" x14ac:dyDescent="0.25">
      <c r="A3595" s="2">
        <v>46329</v>
      </c>
      <c r="B3595" s="1">
        <f t="shared" si="286"/>
        <v>45</v>
      </c>
      <c r="C3595">
        <f t="shared" si="283"/>
        <v>11</v>
      </c>
      <c r="D3595" t="str">
        <f t="shared" si="284"/>
        <v>November</v>
      </c>
      <c r="E3595">
        <f t="shared" si="285"/>
        <v>2026</v>
      </c>
      <c r="F3595" t="str">
        <f>CONCATENATE(calendar[[#This Row],[Month]],"/",calendar[[#This Row],[Year]])</f>
        <v>11/2026</v>
      </c>
      <c r="G3595">
        <f>WEEKDAY(calendar[[#This Row],[Date]],1)</f>
        <v>3</v>
      </c>
      <c r="H3595" t="str">
        <f>TEXT(calendar[[#This Row],[WeekDay]],"dddd")</f>
        <v>Tuesday</v>
      </c>
      <c r="I3595">
        <f>IF((INT(calendar[[#This Row],[Count]]/7)-calendar[[#This Row],[Count]]/7)&lt;0,I3594,I3594+1)</f>
        <v>514</v>
      </c>
      <c r="J3595">
        <f t="shared" si="287"/>
        <v>3593</v>
      </c>
      <c r="K3595">
        <f>IF(calendar[[#This Row],[Month]]&lt;4,1,IF(calendar[[#This Row],[Month]]&lt;7,2,IF(calendar[[#This Row],[Month]]&lt;10,3,4)))</f>
        <v>4</v>
      </c>
      <c r="L3595">
        <f>IFERROR(IF(VLOOKUP(calendar[[#This Row],[Date]],BH!A:A,1,)&lt;&gt;"",1,0),0)</f>
        <v>0</v>
      </c>
      <c r="M3595">
        <f>IFERROR(IF(VLOOKUP(calendar[[#This Row],[Date]],BH!C:C,1,)&lt;&gt;"",1,0),0)</f>
        <v>0</v>
      </c>
      <c r="N3595">
        <f>IFERROR(IF(VLOOKUP(calendar[[#This Row],[Date]],BH!E:E,1,)&lt;&gt;"",1,0),0)</f>
        <v>0</v>
      </c>
      <c r="O3595">
        <f>IFERROR(IF(VLOOKUP(calendar[[#This Row],[Date]],BH!G:G,1,)&lt;&gt;"",1,0),0)</f>
        <v>0</v>
      </c>
      <c r="P3595">
        <f>IF(OR(calendar[[#This Row],[UK_BH]]=1,calendar[[#This Row],[WeekDay]]=1, calendar[[#This Row],[WeekDay]]=7),P3594,P3594+1)</f>
        <v>2553</v>
      </c>
      <c r="Q3595">
        <f>IF(OR(calendar[[#This Row],[FR_BH]]=1,calendar[[#This Row],[WeekDay]]=1, calendar[[#This Row],[WeekDay]]=7),P3594,P3594+1)</f>
        <v>2553</v>
      </c>
      <c r="R3595">
        <f>IF(OR(calendar[[#This Row],[SP_BH]]=1,calendar[[#This Row],[WeekDay]]=1, calendar[[#This Row],[WeekDay]]=7),P3594,P3594+1)</f>
        <v>2553</v>
      </c>
      <c r="S3595">
        <f>IF(OR(calendar[[#This Row],[PT_BH]]=1,calendar[[#This Row],[WeekDay]]=1, calendar[[#This Row],[WeekDay]]=7),P3594,P3594+1)</f>
        <v>2553</v>
      </c>
    </row>
    <row r="3596" spans="1:19" x14ac:dyDescent="0.25">
      <c r="A3596" s="2">
        <v>46330</v>
      </c>
      <c r="B3596" s="1">
        <f t="shared" si="286"/>
        <v>45</v>
      </c>
      <c r="C3596">
        <f t="shared" si="283"/>
        <v>11</v>
      </c>
      <c r="D3596" t="str">
        <f t="shared" si="284"/>
        <v>November</v>
      </c>
      <c r="E3596">
        <f t="shared" si="285"/>
        <v>2026</v>
      </c>
      <c r="F3596" t="str">
        <f>CONCATENATE(calendar[[#This Row],[Month]],"/",calendar[[#This Row],[Year]])</f>
        <v>11/2026</v>
      </c>
      <c r="G3596">
        <f>WEEKDAY(calendar[[#This Row],[Date]],1)</f>
        <v>4</v>
      </c>
      <c r="H3596" t="str">
        <f>TEXT(calendar[[#This Row],[WeekDay]],"dddd")</f>
        <v>Wednesday</v>
      </c>
      <c r="I3596">
        <f>IF((INT(calendar[[#This Row],[Count]]/7)-calendar[[#This Row],[Count]]/7)&lt;0,I3595,I3595+1)</f>
        <v>514</v>
      </c>
      <c r="J3596">
        <f t="shared" si="287"/>
        <v>3594</v>
      </c>
      <c r="K3596">
        <f>IF(calendar[[#This Row],[Month]]&lt;4,1,IF(calendar[[#This Row],[Month]]&lt;7,2,IF(calendar[[#This Row],[Month]]&lt;10,3,4)))</f>
        <v>4</v>
      </c>
      <c r="L3596">
        <f>IFERROR(IF(VLOOKUP(calendar[[#This Row],[Date]],BH!A:A,1,)&lt;&gt;"",1,0),0)</f>
        <v>0</v>
      </c>
      <c r="M3596">
        <f>IFERROR(IF(VLOOKUP(calendar[[#This Row],[Date]],BH!C:C,1,)&lt;&gt;"",1,0),0)</f>
        <v>0</v>
      </c>
      <c r="N3596">
        <f>IFERROR(IF(VLOOKUP(calendar[[#This Row],[Date]],BH!E:E,1,)&lt;&gt;"",1,0),0)</f>
        <v>0</v>
      </c>
      <c r="O3596">
        <f>IFERROR(IF(VLOOKUP(calendar[[#This Row],[Date]],BH!G:G,1,)&lt;&gt;"",1,0),0)</f>
        <v>0</v>
      </c>
      <c r="P3596">
        <f>IF(OR(calendar[[#This Row],[UK_BH]]=1,calendar[[#This Row],[WeekDay]]=1, calendar[[#This Row],[WeekDay]]=7),P3595,P3595+1)</f>
        <v>2554</v>
      </c>
      <c r="Q3596">
        <f>IF(OR(calendar[[#This Row],[FR_BH]]=1,calendar[[#This Row],[WeekDay]]=1, calendar[[#This Row],[WeekDay]]=7),P3595,P3595+1)</f>
        <v>2554</v>
      </c>
      <c r="R3596">
        <f>IF(OR(calendar[[#This Row],[SP_BH]]=1,calendar[[#This Row],[WeekDay]]=1, calendar[[#This Row],[WeekDay]]=7),P3595,P3595+1)</f>
        <v>2554</v>
      </c>
      <c r="S3596">
        <f>IF(OR(calendar[[#This Row],[PT_BH]]=1,calendar[[#This Row],[WeekDay]]=1, calendar[[#This Row],[WeekDay]]=7),P3595,P3595+1)</f>
        <v>2554</v>
      </c>
    </row>
    <row r="3597" spans="1:19" x14ac:dyDescent="0.25">
      <c r="A3597" s="2">
        <v>46331</v>
      </c>
      <c r="B3597" s="1">
        <f t="shared" si="286"/>
        <v>45</v>
      </c>
      <c r="C3597">
        <f t="shared" si="283"/>
        <v>11</v>
      </c>
      <c r="D3597" t="str">
        <f t="shared" si="284"/>
        <v>November</v>
      </c>
      <c r="E3597">
        <f t="shared" si="285"/>
        <v>2026</v>
      </c>
      <c r="F3597" t="str">
        <f>CONCATENATE(calendar[[#This Row],[Month]],"/",calendar[[#This Row],[Year]])</f>
        <v>11/2026</v>
      </c>
      <c r="G3597">
        <f>WEEKDAY(calendar[[#This Row],[Date]],1)</f>
        <v>5</v>
      </c>
      <c r="H3597" t="str">
        <f>TEXT(calendar[[#This Row],[WeekDay]],"dddd")</f>
        <v>Thursday</v>
      </c>
      <c r="I3597">
        <f>IF((INT(calendar[[#This Row],[Count]]/7)-calendar[[#This Row],[Count]]/7)&lt;0,I3596,I3596+1)</f>
        <v>514</v>
      </c>
      <c r="J3597">
        <f t="shared" si="287"/>
        <v>3595</v>
      </c>
      <c r="K3597">
        <f>IF(calendar[[#This Row],[Month]]&lt;4,1,IF(calendar[[#This Row],[Month]]&lt;7,2,IF(calendar[[#This Row],[Month]]&lt;10,3,4)))</f>
        <v>4</v>
      </c>
      <c r="L3597">
        <f>IFERROR(IF(VLOOKUP(calendar[[#This Row],[Date]],BH!A:A,1,)&lt;&gt;"",1,0),0)</f>
        <v>0</v>
      </c>
      <c r="M3597">
        <f>IFERROR(IF(VLOOKUP(calendar[[#This Row],[Date]],BH!C:C,1,)&lt;&gt;"",1,0),0)</f>
        <v>0</v>
      </c>
      <c r="N3597">
        <f>IFERROR(IF(VLOOKUP(calendar[[#This Row],[Date]],BH!E:E,1,)&lt;&gt;"",1,0),0)</f>
        <v>0</v>
      </c>
      <c r="O3597">
        <f>IFERROR(IF(VLOOKUP(calendar[[#This Row],[Date]],BH!G:G,1,)&lt;&gt;"",1,0),0)</f>
        <v>0</v>
      </c>
      <c r="P3597">
        <f>IF(OR(calendar[[#This Row],[UK_BH]]=1,calendar[[#This Row],[WeekDay]]=1, calendar[[#This Row],[WeekDay]]=7),P3596,P3596+1)</f>
        <v>2555</v>
      </c>
      <c r="Q3597">
        <f>IF(OR(calendar[[#This Row],[FR_BH]]=1,calendar[[#This Row],[WeekDay]]=1, calendar[[#This Row],[WeekDay]]=7),P3596,P3596+1)</f>
        <v>2555</v>
      </c>
      <c r="R3597">
        <f>IF(OR(calendar[[#This Row],[SP_BH]]=1,calendar[[#This Row],[WeekDay]]=1, calendar[[#This Row],[WeekDay]]=7),P3596,P3596+1)</f>
        <v>2555</v>
      </c>
      <c r="S3597">
        <f>IF(OR(calendar[[#This Row],[PT_BH]]=1,calendar[[#This Row],[WeekDay]]=1, calendar[[#This Row],[WeekDay]]=7),P3596,P3596+1)</f>
        <v>2555</v>
      </c>
    </row>
    <row r="3598" spans="1:19" x14ac:dyDescent="0.25">
      <c r="A3598" s="2">
        <v>46332</v>
      </c>
      <c r="B3598" s="1">
        <f t="shared" si="286"/>
        <v>45</v>
      </c>
      <c r="C3598">
        <f t="shared" si="283"/>
        <v>11</v>
      </c>
      <c r="D3598" t="str">
        <f t="shared" si="284"/>
        <v>November</v>
      </c>
      <c r="E3598">
        <f t="shared" si="285"/>
        <v>2026</v>
      </c>
      <c r="F3598" t="str">
        <f>CONCATENATE(calendar[[#This Row],[Month]],"/",calendar[[#This Row],[Year]])</f>
        <v>11/2026</v>
      </c>
      <c r="G3598">
        <f>WEEKDAY(calendar[[#This Row],[Date]],1)</f>
        <v>6</v>
      </c>
      <c r="H3598" t="str">
        <f>TEXT(calendar[[#This Row],[WeekDay]],"dddd")</f>
        <v>Friday</v>
      </c>
      <c r="I3598">
        <f>IF((INT(calendar[[#This Row],[Count]]/7)-calendar[[#This Row],[Count]]/7)&lt;0,I3597,I3597+1)</f>
        <v>514</v>
      </c>
      <c r="J3598">
        <f t="shared" si="287"/>
        <v>3596</v>
      </c>
      <c r="K3598">
        <f>IF(calendar[[#This Row],[Month]]&lt;4,1,IF(calendar[[#This Row],[Month]]&lt;7,2,IF(calendar[[#This Row],[Month]]&lt;10,3,4)))</f>
        <v>4</v>
      </c>
      <c r="L3598">
        <f>IFERROR(IF(VLOOKUP(calendar[[#This Row],[Date]],BH!A:A,1,)&lt;&gt;"",1,0),0)</f>
        <v>0</v>
      </c>
      <c r="M3598">
        <f>IFERROR(IF(VLOOKUP(calendar[[#This Row],[Date]],BH!C:C,1,)&lt;&gt;"",1,0),0)</f>
        <v>0</v>
      </c>
      <c r="N3598">
        <f>IFERROR(IF(VLOOKUP(calendar[[#This Row],[Date]],BH!E:E,1,)&lt;&gt;"",1,0),0)</f>
        <v>0</v>
      </c>
      <c r="O3598">
        <f>IFERROR(IF(VLOOKUP(calendar[[#This Row],[Date]],BH!G:G,1,)&lt;&gt;"",1,0),0)</f>
        <v>0</v>
      </c>
      <c r="P3598">
        <f>IF(OR(calendar[[#This Row],[UK_BH]]=1,calendar[[#This Row],[WeekDay]]=1, calendar[[#This Row],[WeekDay]]=7),P3597,P3597+1)</f>
        <v>2556</v>
      </c>
      <c r="Q3598">
        <f>IF(OR(calendar[[#This Row],[FR_BH]]=1,calendar[[#This Row],[WeekDay]]=1, calendar[[#This Row],[WeekDay]]=7),P3597,P3597+1)</f>
        <v>2556</v>
      </c>
      <c r="R3598">
        <f>IF(OR(calendar[[#This Row],[SP_BH]]=1,calendar[[#This Row],[WeekDay]]=1, calendar[[#This Row],[WeekDay]]=7),P3597,P3597+1)</f>
        <v>2556</v>
      </c>
      <c r="S3598">
        <f>IF(OR(calendar[[#This Row],[PT_BH]]=1,calendar[[#This Row],[WeekDay]]=1, calendar[[#This Row],[WeekDay]]=7),P3597,P3597+1)</f>
        <v>2556</v>
      </c>
    </row>
    <row r="3599" spans="1:19" x14ac:dyDescent="0.25">
      <c r="A3599" s="2">
        <v>46333</v>
      </c>
      <c r="B3599" s="1">
        <f t="shared" si="286"/>
        <v>45</v>
      </c>
      <c r="C3599">
        <f t="shared" si="283"/>
        <v>11</v>
      </c>
      <c r="D3599" t="str">
        <f t="shared" si="284"/>
        <v>November</v>
      </c>
      <c r="E3599">
        <f t="shared" si="285"/>
        <v>2026</v>
      </c>
      <c r="F3599" t="str">
        <f>CONCATENATE(calendar[[#This Row],[Month]],"/",calendar[[#This Row],[Year]])</f>
        <v>11/2026</v>
      </c>
      <c r="G3599">
        <f>WEEKDAY(calendar[[#This Row],[Date]],1)</f>
        <v>7</v>
      </c>
      <c r="H3599" t="str">
        <f>TEXT(calendar[[#This Row],[WeekDay]],"dddd")</f>
        <v>Saturday</v>
      </c>
      <c r="I3599">
        <f>IF((INT(calendar[[#This Row],[Count]]/7)-calendar[[#This Row],[Count]]/7)&lt;0,I3598,I3598+1)</f>
        <v>514</v>
      </c>
      <c r="J3599">
        <f t="shared" si="287"/>
        <v>3597</v>
      </c>
      <c r="K3599">
        <f>IF(calendar[[#This Row],[Month]]&lt;4,1,IF(calendar[[#This Row],[Month]]&lt;7,2,IF(calendar[[#This Row],[Month]]&lt;10,3,4)))</f>
        <v>4</v>
      </c>
      <c r="L3599">
        <f>IFERROR(IF(VLOOKUP(calendar[[#This Row],[Date]],BH!A:A,1,)&lt;&gt;"",1,0),0)</f>
        <v>0</v>
      </c>
      <c r="M3599">
        <f>IFERROR(IF(VLOOKUP(calendar[[#This Row],[Date]],BH!C:C,1,)&lt;&gt;"",1,0),0)</f>
        <v>0</v>
      </c>
      <c r="N3599">
        <f>IFERROR(IF(VLOOKUP(calendar[[#This Row],[Date]],BH!E:E,1,)&lt;&gt;"",1,0),0)</f>
        <v>0</v>
      </c>
      <c r="O3599">
        <f>IFERROR(IF(VLOOKUP(calendar[[#This Row],[Date]],BH!G:G,1,)&lt;&gt;"",1,0),0)</f>
        <v>0</v>
      </c>
      <c r="P3599">
        <f>IF(OR(calendar[[#This Row],[UK_BH]]=1,calendar[[#This Row],[WeekDay]]=1, calendar[[#This Row],[WeekDay]]=7),P3598,P3598+1)</f>
        <v>2556</v>
      </c>
      <c r="Q3599">
        <f>IF(OR(calendar[[#This Row],[FR_BH]]=1,calendar[[#This Row],[WeekDay]]=1, calendar[[#This Row],[WeekDay]]=7),P3598,P3598+1)</f>
        <v>2556</v>
      </c>
      <c r="R3599">
        <f>IF(OR(calendar[[#This Row],[SP_BH]]=1,calendar[[#This Row],[WeekDay]]=1, calendar[[#This Row],[WeekDay]]=7),P3598,P3598+1)</f>
        <v>2556</v>
      </c>
      <c r="S3599">
        <f>IF(OR(calendar[[#This Row],[PT_BH]]=1,calendar[[#This Row],[WeekDay]]=1, calendar[[#This Row],[WeekDay]]=7),P3598,P3598+1)</f>
        <v>2556</v>
      </c>
    </row>
    <row r="3600" spans="1:19" x14ac:dyDescent="0.25">
      <c r="A3600" s="2">
        <v>46334</v>
      </c>
      <c r="B3600" s="1">
        <f t="shared" si="286"/>
        <v>46</v>
      </c>
      <c r="C3600">
        <f t="shared" si="283"/>
        <v>11</v>
      </c>
      <c r="D3600" t="str">
        <f t="shared" si="284"/>
        <v>November</v>
      </c>
      <c r="E3600">
        <f t="shared" si="285"/>
        <v>2026</v>
      </c>
      <c r="F3600" t="str">
        <f>CONCATENATE(calendar[[#This Row],[Month]],"/",calendar[[#This Row],[Year]])</f>
        <v>11/2026</v>
      </c>
      <c r="G3600">
        <f>WEEKDAY(calendar[[#This Row],[Date]],1)</f>
        <v>1</v>
      </c>
      <c r="H3600" t="str">
        <f>TEXT(calendar[[#This Row],[WeekDay]],"dddd")</f>
        <v>Sunday</v>
      </c>
      <c r="I3600">
        <f>IF((INT(calendar[[#This Row],[Count]]/7)-calendar[[#This Row],[Count]]/7)&lt;0,I3599,I3599+1)</f>
        <v>515</v>
      </c>
      <c r="J3600">
        <f t="shared" si="287"/>
        <v>3598</v>
      </c>
      <c r="K3600">
        <f>IF(calendar[[#This Row],[Month]]&lt;4,1,IF(calendar[[#This Row],[Month]]&lt;7,2,IF(calendar[[#This Row],[Month]]&lt;10,3,4)))</f>
        <v>4</v>
      </c>
      <c r="L3600">
        <f>IFERROR(IF(VLOOKUP(calendar[[#This Row],[Date]],BH!A:A,1,)&lt;&gt;"",1,0),0)</f>
        <v>0</v>
      </c>
      <c r="M3600">
        <f>IFERROR(IF(VLOOKUP(calendar[[#This Row],[Date]],BH!C:C,1,)&lt;&gt;"",1,0),0)</f>
        <v>0</v>
      </c>
      <c r="N3600">
        <f>IFERROR(IF(VLOOKUP(calendar[[#This Row],[Date]],BH!E:E,1,)&lt;&gt;"",1,0),0)</f>
        <v>0</v>
      </c>
      <c r="O3600">
        <f>IFERROR(IF(VLOOKUP(calendar[[#This Row],[Date]],BH!G:G,1,)&lt;&gt;"",1,0),0)</f>
        <v>0</v>
      </c>
      <c r="P3600">
        <f>IF(OR(calendar[[#This Row],[UK_BH]]=1,calendar[[#This Row],[WeekDay]]=1, calendar[[#This Row],[WeekDay]]=7),P3599,P3599+1)</f>
        <v>2556</v>
      </c>
      <c r="Q3600">
        <f>IF(OR(calendar[[#This Row],[FR_BH]]=1,calendar[[#This Row],[WeekDay]]=1, calendar[[#This Row],[WeekDay]]=7),P3599,P3599+1)</f>
        <v>2556</v>
      </c>
      <c r="R3600">
        <f>IF(OR(calendar[[#This Row],[SP_BH]]=1,calendar[[#This Row],[WeekDay]]=1, calendar[[#This Row],[WeekDay]]=7),P3599,P3599+1)</f>
        <v>2556</v>
      </c>
      <c r="S3600">
        <f>IF(OR(calendar[[#This Row],[PT_BH]]=1,calendar[[#This Row],[WeekDay]]=1, calendar[[#This Row],[WeekDay]]=7),P3599,P3599+1)</f>
        <v>2556</v>
      </c>
    </row>
    <row r="3601" spans="1:19" x14ac:dyDescent="0.25">
      <c r="A3601" s="2">
        <v>46335</v>
      </c>
      <c r="B3601" s="1">
        <f t="shared" si="286"/>
        <v>46</v>
      </c>
      <c r="C3601">
        <f t="shared" si="283"/>
        <v>11</v>
      </c>
      <c r="D3601" t="str">
        <f t="shared" si="284"/>
        <v>November</v>
      </c>
      <c r="E3601">
        <f t="shared" si="285"/>
        <v>2026</v>
      </c>
      <c r="F3601" t="str">
        <f>CONCATENATE(calendar[[#This Row],[Month]],"/",calendar[[#This Row],[Year]])</f>
        <v>11/2026</v>
      </c>
      <c r="G3601">
        <f>WEEKDAY(calendar[[#This Row],[Date]],1)</f>
        <v>2</v>
      </c>
      <c r="H3601" t="str">
        <f>TEXT(calendar[[#This Row],[WeekDay]],"dddd")</f>
        <v>Monday</v>
      </c>
      <c r="I3601">
        <f>IF((INT(calendar[[#This Row],[Count]]/7)-calendar[[#This Row],[Count]]/7)&lt;0,I3600,I3600+1)</f>
        <v>515</v>
      </c>
      <c r="J3601">
        <f t="shared" si="287"/>
        <v>3599</v>
      </c>
      <c r="K3601">
        <f>IF(calendar[[#This Row],[Month]]&lt;4,1,IF(calendar[[#This Row],[Month]]&lt;7,2,IF(calendar[[#This Row],[Month]]&lt;10,3,4)))</f>
        <v>4</v>
      </c>
      <c r="L3601">
        <f>IFERROR(IF(VLOOKUP(calendar[[#This Row],[Date]],BH!A:A,1,)&lt;&gt;"",1,0),0)</f>
        <v>0</v>
      </c>
      <c r="M3601">
        <f>IFERROR(IF(VLOOKUP(calendar[[#This Row],[Date]],BH!C:C,1,)&lt;&gt;"",1,0),0)</f>
        <v>0</v>
      </c>
      <c r="N3601">
        <f>IFERROR(IF(VLOOKUP(calendar[[#This Row],[Date]],BH!E:E,1,)&lt;&gt;"",1,0),0)</f>
        <v>0</v>
      </c>
      <c r="O3601">
        <f>IFERROR(IF(VLOOKUP(calendar[[#This Row],[Date]],BH!G:G,1,)&lt;&gt;"",1,0),0)</f>
        <v>0</v>
      </c>
      <c r="P3601">
        <f>IF(OR(calendar[[#This Row],[UK_BH]]=1,calendar[[#This Row],[WeekDay]]=1, calendar[[#This Row],[WeekDay]]=7),P3600,P3600+1)</f>
        <v>2557</v>
      </c>
      <c r="Q3601">
        <f>IF(OR(calendar[[#This Row],[FR_BH]]=1,calendar[[#This Row],[WeekDay]]=1, calendar[[#This Row],[WeekDay]]=7),P3600,P3600+1)</f>
        <v>2557</v>
      </c>
      <c r="R3601">
        <f>IF(OR(calendar[[#This Row],[SP_BH]]=1,calendar[[#This Row],[WeekDay]]=1, calendar[[#This Row],[WeekDay]]=7),P3600,P3600+1)</f>
        <v>2557</v>
      </c>
      <c r="S3601">
        <f>IF(OR(calendar[[#This Row],[PT_BH]]=1,calendar[[#This Row],[WeekDay]]=1, calendar[[#This Row],[WeekDay]]=7),P3600,P3600+1)</f>
        <v>2557</v>
      </c>
    </row>
    <row r="3602" spans="1:19" x14ac:dyDescent="0.25">
      <c r="A3602" s="2">
        <v>46336</v>
      </c>
      <c r="B3602" s="1">
        <f t="shared" si="286"/>
        <v>46</v>
      </c>
      <c r="C3602">
        <f t="shared" si="283"/>
        <v>11</v>
      </c>
      <c r="D3602" t="str">
        <f t="shared" si="284"/>
        <v>November</v>
      </c>
      <c r="E3602">
        <f t="shared" si="285"/>
        <v>2026</v>
      </c>
      <c r="F3602" t="str">
        <f>CONCATENATE(calendar[[#This Row],[Month]],"/",calendar[[#This Row],[Year]])</f>
        <v>11/2026</v>
      </c>
      <c r="G3602">
        <f>WEEKDAY(calendar[[#This Row],[Date]],1)</f>
        <v>3</v>
      </c>
      <c r="H3602" t="str">
        <f>TEXT(calendar[[#This Row],[WeekDay]],"dddd")</f>
        <v>Tuesday</v>
      </c>
      <c r="I3602">
        <f>IF((INT(calendar[[#This Row],[Count]]/7)-calendar[[#This Row],[Count]]/7)&lt;0,I3601,I3601+1)</f>
        <v>515</v>
      </c>
      <c r="J3602">
        <f t="shared" si="287"/>
        <v>3600</v>
      </c>
      <c r="K3602">
        <f>IF(calendar[[#This Row],[Month]]&lt;4,1,IF(calendar[[#This Row],[Month]]&lt;7,2,IF(calendar[[#This Row],[Month]]&lt;10,3,4)))</f>
        <v>4</v>
      </c>
      <c r="L3602">
        <f>IFERROR(IF(VLOOKUP(calendar[[#This Row],[Date]],BH!A:A,1,)&lt;&gt;"",1,0),0)</f>
        <v>0</v>
      </c>
      <c r="M3602">
        <f>IFERROR(IF(VLOOKUP(calendar[[#This Row],[Date]],BH!C:C,1,)&lt;&gt;"",1,0),0)</f>
        <v>0</v>
      </c>
      <c r="N3602">
        <f>IFERROR(IF(VLOOKUP(calendar[[#This Row],[Date]],BH!E:E,1,)&lt;&gt;"",1,0),0)</f>
        <v>0</v>
      </c>
      <c r="O3602">
        <f>IFERROR(IF(VLOOKUP(calendar[[#This Row],[Date]],BH!G:G,1,)&lt;&gt;"",1,0),0)</f>
        <v>0</v>
      </c>
      <c r="P3602">
        <f>IF(OR(calendar[[#This Row],[UK_BH]]=1,calendar[[#This Row],[WeekDay]]=1, calendar[[#This Row],[WeekDay]]=7),P3601,P3601+1)</f>
        <v>2558</v>
      </c>
      <c r="Q3602">
        <f>IF(OR(calendar[[#This Row],[FR_BH]]=1,calendar[[#This Row],[WeekDay]]=1, calendar[[#This Row],[WeekDay]]=7),P3601,P3601+1)</f>
        <v>2558</v>
      </c>
      <c r="R3602">
        <f>IF(OR(calendar[[#This Row],[SP_BH]]=1,calendar[[#This Row],[WeekDay]]=1, calendar[[#This Row],[WeekDay]]=7),P3601,P3601+1)</f>
        <v>2558</v>
      </c>
      <c r="S3602">
        <f>IF(OR(calendar[[#This Row],[PT_BH]]=1,calendar[[#This Row],[WeekDay]]=1, calendar[[#This Row],[WeekDay]]=7),P3601,P3601+1)</f>
        <v>2558</v>
      </c>
    </row>
    <row r="3603" spans="1:19" x14ac:dyDescent="0.25">
      <c r="A3603" s="2">
        <v>46337</v>
      </c>
      <c r="B3603" s="1">
        <f t="shared" si="286"/>
        <v>46</v>
      </c>
      <c r="C3603">
        <f t="shared" si="283"/>
        <v>11</v>
      </c>
      <c r="D3603" t="str">
        <f t="shared" si="284"/>
        <v>November</v>
      </c>
      <c r="E3603">
        <f t="shared" si="285"/>
        <v>2026</v>
      </c>
      <c r="F3603" t="str">
        <f>CONCATENATE(calendar[[#This Row],[Month]],"/",calendar[[#This Row],[Year]])</f>
        <v>11/2026</v>
      </c>
      <c r="G3603">
        <f>WEEKDAY(calendar[[#This Row],[Date]],1)</f>
        <v>4</v>
      </c>
      <c r="H3603" t="str">
        <f>TEXT(calendar[[#This Row],[WeekDay]],"dddd")</f>
        <v>Wednesday</v>
      </c>
      <c r="I3603">
        <f>IF((INT(calendar[[#This Row],[Count]]/7)-calendar[[#This Row],[Count]]/7)&lt;0,I3602,I3602+1)</f>
        <v>515</v>
      </c>
      <c r="J3603">
        <f t="shared" si="287"/>
        <v>3601</v>
      </c>
      <c r="K3603">
        <f>IF(calendar[[#This Row],[Month]]&lt;4,1,IF(calendar[[#This Row],[Month]]&lt;7,2,IF(calendar[[#This Row],[Month]]&lt;10,3,4)))</f>
        <v>4</v>
      </c>
      <c r="L3603">
        <f>IFERROR(IF(VLOOKUP(calendar[[#This Row],[Date]],BH!A:A,1,)&lt;&gt;"",1,0),0)</f>
        <v>0</v>
      </c>
      <c r="M3603">
        <f>IFERROR(IF(VLOOKUP(calendar[[#This Row],[Date]],BH!C:C,1,)&lt;&gt;"",1,0),0)</f>
        <v>1</v>
      </c>
      <c r="N3603">
        <f>IFERROR(IF(VLOOKUP(calendar[[#This Row],[Date]],BH!E:E,1,)&lt;&gt;"",1,0),0)</f>
        <v>0</v>
      </c>
      <c r="O3603">
        <f>IFERROR(IF(VLOOKUP(calendar[[#This Row],[Date]],BH!G:G,1,)&lt;&gt;"",1,0),0)</f>
        <v>0</v>
      </c>
      <c r="P3603">
        <f>IF(OR(calendar[[#This Row],[UK_BH]]=1,calendar[[#This Row],[WeekDay]]=1, calendar[[#This Row],[WeekDay]]=7),P3602,P3602+1)</f>
        <v>2559</v>
      </c>
      <c r="Q3603">
        <f>IF(OR(calendar[[#This Row],[FR_BH]]=1,calendar[[#This Row],[WeekDay]]=1, calendar[[#This Row],[WeekDay]]=7),P3602,P3602+1)</f>
        <v>2558</v>
      </c>
      <c r="R3603">
        <f>IF(OR(calendar[[#This Row],[SP_BH]]=1,calendar[[#This Row],[WeekDay]]=1, calendar[[#This Row],[WeekDay]]=7),P3602,P3602+1)</f>
        <v>2559</v>
      </c>
      <c r="S3603">
        <f>IF(OR(calendar[[#This Row],[PT_BH]]=1,calendar[[#This Row],[WeekDay]]=1, calendar[[#This Row],[WeekDay]]=7),P3602,P3602+1)</f>
        <v>2559</v>
      </c>
    </row>
    <row r="3604" spans="1:19" x14ac:dyDescent="0.25">
      <c r="A3604" s="2">
        <v>46338</v>
      </c>
      <c r="B3604" s="1">
        <f t="shared" si="286"/>
        <v>46</v>
      </c>
      <c r="C3604">
        <f t="shared" si="283"/>
        <v>11</v>
      </c>
      <c r="D3604" t="str">
        <f t="shared" si="284"/>
        <v>November</v>
      </c>
      <c r="E3604">
        <f t="shared" si="285"/>
        <v>2026</v>
      </c>
      <c r="F3604" t="str">
        <f>CONCATENATE(calendar[[#This Row],[Month]],"/",calendar[[#This Row],[Year]])</f>
        <v>11/2026</v>
      </c>
      <c r="G3604">
        <f>WEEKDAY(calendar[[#This Row],[Date]],1)</f>
        <v>5</v>
      </c>
      <c r="H3604" t="str">
        <f>TEXT(calendar[[#This Row],[WeekDay]],"dddd")</f>
        <v>Thursday</v>
      </c>
      <c r="I3604">
        <f>IF((INT(calendar[[#This Row],[Count]]/7)-calendar[[#This Row],[Count]]/7)&lt;0,I3603,I3603+1)</f>
        <v>515</v>
      </c>
      <c r="J3604">
        <f t="shared" si="287"/>
        <v>3602</v>
      </c>
      <c r="K3604">
        <f>IF(calendar[[#This Row],[Month]]&lt;4,1,IF(calendar[[#This Row],[Month]]&lt;7,2,IF(calendar[[#This Row],[Month]]&lt;10,3,4)))</f>
        <v>4</v>
      </c>
      <c r="L3604">
        <f>IFERROR(IF(VLOOKUP(calendar[[#This Row],[Date]],BH!A:A,1,)&lt;&gt;"",1,0),0)</f>
        <v>0</v>
      </c>
      <c r="M3604">
        <f>IFERROR(IF(VLOOKUP(calendar[[#This Row],[Date]],BH!C:C,1,)&lt;&gt;"",1,0),0)</f>
        <v>0</v>
      </c>
      <c r="N3604">
        <f>IFERROR(IF(VLOOKUP(calendar[[#This Row],[Date]],BH!E:E,1,)&lt;&gt;"",1,0),0)</f>
        <v>0</v>
      </c>
      <c r="O3604">
        <f>IFERROR(IF(VLOOKUP(calendar[[#This Row],[Date]],BH!G:G,1,)&lt;&gt;"",1,0),0)</f>
        <v>0</v>
      </c>
      <c r="P3604">
        <f>IF(OR(calendar[[#This Row],[UK_BH]]=1,calendar[[#This Row],[WeekDay]]=1, calendar[[#This Row],[WeekDay]]=7),P3603,P3603+1)</f>
        <v>2560</v>
      </c>
      <c r="Q3604">
        <f>IF(OR(calendar[[#This Row],[FR_BH]]=1,calendar[[#This Row],[WeekDay]]=1, calendar[[#This Row],[WeekDay]]=7),P3603,P3603+1)</f>
        <v>2560</v>
      </c>
      <c r="R3604">
        <f>IF(OR(calendar[[#This Row],[SP_BH]]=1,calendar[[#This Row],[WeekDay]]=1, calendar[[#This Row],[WeekDay]]=7),P3603,P3603+1)</f>
        <v>2560</v>
      </c>
      <c r="S3604">
        <f>IF(OR(calendar[[#This Row],[PT_BH]]=1,calendar[[#This Row],[WeekDay]]=1, calendar[[#This Row],[WeekDay]]=7),P3603,P3603+1)</f>
        <v>2560</v>
      </c>
    </row>
    <row r="3605" spans="1:19" x14ac:dyDescent="0.25">
      <c r="A3605" s="2">
        <v>46339</v>
      </c>
      <c r="B3605" s="1">
        <f t="shared" si="286"/>
        <v>46</v>
      </c>
      <c r="C3605">
        <f t="shared" si="283"/>
        <v>11</v>
      </c>
      <c r="D3605" t="str">
        <f t="shared" si="284"/>
        <v>November</v>
      </c>
      <c r="E3605">
        <f t="shared" si="285"/>
        <v>2026</v>
      </c>
      <c r="F3605" t="str">
        <f>CONCATENATE(calendar[[#This Row],[Month]],"/",calendar[[#This Row],[Year]])</f>
        <v>11/2026</v>
      </c>
      <c r="G3605">
        <f>WEEKDAY(calendar[[#This Row],[Date]],1)</f>
        <v>6</v>
      </c>
      <c r="H3605" t="str">
        <f>TEXT(calendar[[#This Row],[WeekDay]],"dddd")</f>
        <v>Friday</v>
      </c>
      <c r="I3605">
        <f>IF((INT(calendar[[#This Row],[Count]]/7)-calendar[[#This Row],[Count]]/7)&lt;0,I3604,I3604+1)</f>
        <v>515</v>
      </c>
      <c r="J3605">
        <f t="shared" si="287"/>
        <v>3603</v>
      </c>
      <c r="K3605">
        <f>IF(calendar[[#This Row],[Month]]&lt;4,1,IF(calendar[[#This Row],[Month]]&lt;7,2,IF(calendar[[#This Row],[Month]]&lt;10,3,4)))</f>
        <v>4</v>
      </c>
      <c r="L3605">
        <f>IFERROR(IF(VLOOKUP(calendar[[#This Row],[Date]],BH!A:A,1,)&lt;&gt;"",1,0),0)</f>
        <v>0</v>
      </c>
      <c r="M3605">
        <f>IFERROR(IF(VLOOKUP(calendar[[#This Row],[Date]],BH!C:C,1,)&lt;&gt;"",1,0),0)</f>
        <v>0</v>
      </c>
      <c r="N3605">
        <f>IFERROR(IF(VLOOKUP(calendar[[#This Row],[Date]],BH!E:E,1,)&lt;&gt;"",1,0),0)</f>
        <v>0</v>
      </c>
      <c r="O3605">
        <f>IFERROR(IF(VLOOKUP(calendar[[#This Row],[Date]],BH!G:G,1,)&lt;&gt;"",1,0),0)</f>
        <v>0</v>
      </c>
      <c r="P3605">
        <f>IF(OR(calendar[[#This Row],[UK_BH]]=1,calendar[[#This Row],[WeekDay]]=1, calendar[[#This Row],[WeekDay]]=7),P3604,P3604+1)</f>
        <v>2561</v>
      </c>
      <c r="Q3605">
        <f>IF(OR(calendar[[#This Row],[FR_BH]]=1,calendar[[#This Row],[WeekDay]]=1, calendar[[#This Row],[WeekDay]]=7),P3604,P3604+1)</f>
        <v>2561</v>
      </c>
      <c r="R3605">
        <f>IF(OR(calendar[[#This Row],[SP_BH]]=1,calendar[[#This Row],[WeekDay]]=1, calendar[[#This Row],[WeekDay]]=7),P3604,P3604+1)</f>
        <v>2561</v>
      </c>
      <c r="S3605">
        <f>IF(OR(calendar[[#This Row],[PT_BH]]=1,calendar[[#This Row],[WeekDay]]=1, calendar[[#This Row],[WeekDay]]=7),P3604,P3604+1)</f>
        <v>2561</v>
      </c>
    </row>
    <row r="3606" spans="1:19" x14ac:dyDescent="0.25">
      <c r="A3606" s="2">
        <v>46340</v>
      </c>
      <c r="B3606" s="1">
        <f t="shared" si="286"/>
        <v>46</v>
      </c>
      <c r="C3606">
        <f t="shared" si="283"/>
        <v>11</v>
      </c>
      <c r="D3606" t="str">
        <f t="shared" si="284"/>
        <v>November</v>
      </c>
      <c r="E3606">
        <f t="shared" si="285"/>
        <v>2026</v>
      </c>
      <c r="F3606" t="str">
        <f>CONCATENATE(calendar[[#This Row],[Month]],"/",calendar[[#This Row],[Year]])</f>
        <v>11/2026</v>
      </c>
      <c r="G3606">
        <f>WEEKDAY(calendar[[#This Row],[Date]],1)</f>
        <v>7</v>
      </c>
      <c r="H3606" t="str">
        <f>TEXT(calendar[[#This Row],[WeekDay]],"dddd")</f>
        <v>Saturday</v>
      </c>
      <c r="I3606">
        <f>IF((INT(calendar[[#This Row],[Count]]/7)-calendar[[#This Row],[Count]]/7)&lt;0,I3605,I3605+1)</f>
        <v>515</v>
      </c>
      <c r="J3606">
        <f t="shared" si="287"/>
        <v>3604</v>
      </c>
      <c r="K3606">
        <f>IF(calendar[[#This Row],[Month]]&lt;4,1,IF(calendar[[#This Row],[Month]]&lt;7,2,IF(calendar[[#This Row],[Month]]&lt;10,3,4)))</f>
        <v>4</v>
      </c>
      <c r="L3606">
        <f>IFERROR(IF(VLOOKUP(calendar[[#This Row],[Date]],BH!A:A,1,)&lt;&gt;"",1,0),0)</f>
        <v>0</v>
      </c>
      <c r="M3606">
        <f>IFERROR(IF(VLOOKUP(calendar[[#This Row],[Date]],BH!C:C,1,)&lt;&gt;"",1,0),0)</f>
        <v>0</v>
      </c>
      <c r="N3606">
        <f>IFERROR(IF(VLOOKUP(calendar[[#This Row],[Date]],BH!E:E,1,)&lt;&gt;"",1,0),0)</f>
        <v>0</v>
      </c>
      <c r="O3606">
        <f>IFERROR(IF(VLOOKUP(calendar[[#This Row],[Date]],BH!G:G,1,)&lt;&gt;"",1,0),0)</f>
        <v>0</v>
      </c>
      <c r="P3606">
        <f>IF(OR(calendar[[#This Row],[UK_BH]]=1,calendar[[#This Row],[WeekDay]]=1, calendar[[#This Row],[WeekDay]]=7),P3605,P3605+1)</f>
        <v>2561</v>
      </c>
      <c r="Q3606">
        <f>IF(OR(calendar[[#This Row],[FR_BH]]=1,calendar[[#This Row],[WeekDay]]=1, calendar[[#This Row],[WeekDay]]=7),P3605,P3605+1)</f>
        <v>2561</v>
      </c>
      <c r="R3606">
        <f>IF(OR(calendar[[#This Row],[SP_BH]]=1,calendar[[#This Row],[WeekDay]]=1, calendar[[#This Row],[WeekDay]]=7),P3605,P3605+1)</f>
        <v>2561</v>
      </c>
      <c r="S3606">
        <f>IF(OR(calendar[[#This Row],[PT_BH]]=1,calendar[[#This Row],[WeekDay]]=1, calendar[[#This Row],[WeekDay]]=7),P3605,P3605+1)</f>
        <v>2561</v>
      </c>
    </row>
    <row r="3607" spans="1:19" x14ac:dyDescent="0.25">
      <c r="A3607" s="2">
        <v>46341</v>
      </c>
      <c r="B3607" s="1">
        <f t="shared" si="286"/>
        <v>47</v>
      </c>
      <c r="C3607">
        <f t="shared" si="283"/>
        <v>11</v>
      </c>
      <c r="D3607" t="str">
        <f t="shared" si="284"/>
        <v>November</v>
      </c>
      <c r="E3607">
        <f t="shared" si="285"/>
        <v>2026</v>
      </c>
      <c r="F3607" t="str">
        <f>CONCATENATE(calendar[[#This Row],[Month]],"/",calendar[[#This Row],[Year]])</f>
        <v>11/2026</v>
      </c>
      <c r="G3607">
        <f>WEEKDAY(calendar[[#This Row],[Date]],1)</f>
        <v>1</v>
      </c>
      <c r="H3607" t="str">
        <f>TEXT(calendar[[#This Row],[WeekDay]],"dddd")</f>
        <v>Sunday</v>
      </c>
      <c r="I3607">
        <f>IF((INT(calendar[[#This Row],[Count]]/7)-calendar[[#This Row],[Count]]/7)&lt;0,I3606,I3606+1)</f>
        <v>516</v>
      </c>
      <c r="J3607">
        <f t="shared" si="287"/>
        <v>3605</v>
      </c>
      <c r="K3607">
        <f>IF(calendar[[#This Row],[Month]]&lt;4,1,IF(calendar[[#This Row],[Month]]&lt;7,2,IF(calendar[[#This Row],[Month]]&lt;10,3,4)))</f>
        <v>4</v>
      </c>
      <c r="L3607">
        <f>IFERROR(IF(VLOOKUP(calendar[[#This Row],[Date]],BH!A:A,1,)&lt;&gt;"",1,0),0)</f>
        <v>0</v>
      </c>
      <c r="M3607">
        <f>IFERROR(IF(VLOOKUP(calendar[[#This Row],[Date]],BH!C:C,1,)&lt;&gt;"",1,0),0)</f>
        <v>0</v>
      </c>
      <c r="N3607">
        <f>IFERROR(IF(VLOOKUP(calendar[[#This Row],[Date]],BH!E:E,1,)&lt;&gt;"",1,0),0)</f>
        <v>0</v>
      </c>
      <c r="O3607">
        <f>IFERROR(IF(VLOOKUP(calendar[[#This Row],[Date]],BH!G:G,1,)&lt;&gt;"",1,0),0)</f>
        <v>0</v>
      </c>
      <c r="P3607">
        <f>IF(OR(calendar[[#This Row],[UK_BH]]=1,calendar[[#This Row],[WeekDay]]=1, calendar[[#This Row],[WeekDay]]=7),P3606,P3606+1)</f>
        <v>2561</v>
      </c>
      <c r="Q3607">
        <f>IF(OR(calendar[[#This Row],[FR_BH]]=1,calendar[[#This Row],[WeekDay]]=1, calendar[[#This Row],[WeekDay]]=7),P3606,P3606+1)</f>
        <v>2561</v>
      </c>
      <c r="R3607">
        <f>IF(OR(calendar[[#This Row],[SP_BH]]=1,calendar[[#This Row],[WeekDay]]=1, calendar[[#This Row],[WeekDay]]=7),P3606,P3606+1)</f>
        <v>2561</v>
      </c>
      <c r="S3607">
        <f>IF(OR(calendar[[#This Row],[PT_BH]]=1,calendar[[#This Row],[WeekDay]]=1, calendar[[#This Row],[WeekDay]]=7),P3606,P3606+1)</f>
        <v>2561</v>
      </c>
    </row>
    <row r="3608" spans="1:19" x14ac:dyDescent="0.25">
      <c r="A3608" s="2">
        <v>46342</v>
      </c>
      <c r="B3608" s="1">
        <f t="shared" si="286"/>
        <v>47</v>
      </c>
      <c r="C3608">
        <f t="shared" si="283"/>
        <v>11</v>
      </c>
      <c r="D3608" t="str">
        <f t="shared" si="284"/>
        <v>November</v>
      </c>
      <c r="E3608">
        <f t="shared" si="285"/>
        <v>2026</v>
      </c>
      <c r="F3608" t="str">
        <f>CONCATENATE(calendar[[#This Row],[Month]],"/",calendar[[#This Row],[Year]])</f>
        <v>11/2026</v>
      </c>
      <c r="G3608">
        <f>WEEKDAY(calendar[[#This Row],[Date]],1)</f>
        <v>2</v>
      </c>
      <c r="H3608" t="str">
        <f>TEXT(calendar[[#This Row],[WeekDay]],"dddd")</f>
        <v>Monday</v>
      </c>
      <c r="I3608">
        <f>IF((INT(calendar[[#This Row],[Count]]/7)-calendar[[#This Row],[Count]]/7)&lt;0,I3607,I3607+1)</f>
        <v>516</v>
      </c>
      <c r="J3608">
        <f t="shared" si="287"/>
        <v>3606</v>
      </c>
      <c r="K3608">
        <f>IF(calendar[[#This Row],[Month]]&lt;4,1,IF(calendar[[#This Row],[Month]]&lt;7,2,IF(calendar[[#This Row],[Month]]&lt;10,3,4)))</f>
        <v>4</v>
      </c>
      <c r="L3608">
        <f>IFERROR(IF(VLOOKUP(calendar[[#This Row],[Date]],BH!A:A,1,)&lt;&gt;"",1,0),0)</f>
        <v>0</v>
      </c>
      <c r="M3608">
        <f>IFERROR(IF(VLOOKUP(calendar[[#This Row],[Date]],BH!C:C,1,)&lt;&gt;"",1,0),0)</f>
        <v>0</v>
      </c>
      <c r="N3608">
        <f>IFERROR(IF(VLOOKUP(calendar[[#This Row],[Date]],BH!E:E,1,)&lt;&gt;"",1,0),0)</f>
        <v>0</v>
      </c>
      <c r="O3608">
        <f>IFERROR(IF(VLOOKUP(calendar[[#This Row],[Date]],BH!G:G,1,)&lt;&gt;"",1,0),0)</f>
        <v>0</v>
      </c>
      <c r="P3608">
        <f>IF(OR(calendar[[#This Row],[UK_BH]]=1,calendar[[#This Row],[WeekDay]]=1, calendar[[#This Row],[WeekDay]]=7),P3607,P3607+1)</f>
        <v>2562</v>
      </c>
      <c r="Q3608">
        <f>IF(OR(calendar[[#This Row],[FR_BH]]=1,calendar[[#This Row],[WeekDay]]=1, calendar[[#This Row],[WeekDay]]=7),P3607,P3607+1)</f>
        <v>2562</v>
      </c>
      <c r="R3608">
        <f>IF(OR(calendar[[#This Row],[SP_BH]]=1,calendar[[#This Row],[WeekDay]]=1, calendar[[#This Row],[WeekDay]]=7),P3607,P3607+1)</f>
        <v>2562</v>
      </c>
      <c r="S3608">
        <f>IF(OR(calendar[[#This Row],[PT_BH]]=1,calendar[[#This Row],[WeekDay]]=1, calendar[[#This Row],[WeekDay]]=7),P3607,P3607+1)</f>
        <v>2562</v>
      </c>
    </row>
    <row r="3609" spans="1:19" x14ac:dyDescent="0.25">
      <c r="A3609" s="2">
        <v>46343</v>
      </c>
      <c r="B3609" s="1">
        <f t="shared" si="286"/>
        <v>47</v>
      </c>
      <c r="C3609">
        <f t="shared" si="283"/>
        <v>11</v>
      </c>
      <c r="D3609" t="str">
        <f t="shared" si="284"/>
        <v>November</v>
      </c>
      <c r="E3609">
        <f t="shared" si="285"/>
        <v>2026</v>
      </c>
      <c r="F3609" t="str">
        <f>CONCATENATE(calendar[[#This Row],[Month]],"/",calendar[[#This Row],[Year]])</f>
        <v>11/2026</v>
      </c>
      <c r="G3609">
        <f>WEEKDAY(calendar[[#This Row],[Date]],1)</f>
        <v>3</v>
      </c>
      <c r="H3609" t="str">
        <f>TEXT(calendar[[#This Row],[WeekDay]],"dddd")</f>
        <v>Tuesday</v>
      </c>
      <c r="I3609">
        <f>IF((INT(calendar[[#This Row],[Count]]/7)-calendar[[#This Row],[Count]]/7)&lt;0,I3608,I3608+1)</f>
        <v>516</v>
      </c>
      <c r="J3609">
        <f t="shared" si="287"/>
        <v>3607</v>
      </c>
      <c r="K3609">
        <f>IF(calendar[[#This Row],[Month]]&lt;4,1,IF(calendar[[#This Row],[Month]]&lt;7,2,IF(calendar[[#This Row],[Month]]&lt;10,3,4)))</f>
        <v>4</v>
      </c>
      <c r="L3609">
        <f>IFERROR(IF(VLOOKUP(calendar[[#This Row],[Date]],BH!A:A,1,)&lt;&gt;"",1,0),0)</f>
        <v>0</v>
      </c>
      <c r="M3609">
        <f>IFERROR(IF(VLOOKUP(calendar[[#This Row],[Date]],BH!C:C,1,)&lt;&gt;"",1,0),0)</f>
        <v>0</v>
      </c>
      <c r="N3609">
        <f>IFERROR(IF(VLOOKUP(calendar[[#This Row],[Date]],BH!E:E,1,)&lt;&gt;"",1,0),0)</f>
        <v>0</v>
      </c>
      <c r="O3609">
        <f>IFERROR(IF(VLOOKUP(calendar[[#This Row],[Date]],BH!G:G,1,)&lt;&gt;"",1,0),0)</f>
        <v>0</v>
      </c>
      <c r="P3609">
        <f>IF(OR(calendar[[#This Row],[UK_BH]]=1,calendar[[#This Row],[WeekDay]]=1, calendar[[#This Row],[WeekDay]]=7),P3608,P3608+1)</f>
        <v>2563</v>
      </c>
      <c r="Q3609">
        <f>IF(OR(calendar[[#This Row],[FR_BH]]=1,calendar[[#This Row],[WeekDay]]=1, calendar[[#This Row],[WeekDay]]=7),P3608,P3608+1)</f>
        <v>2563</v>
      </c>
      <c r="R3609">
        <f>IF(OR(calendar[[#This Row],[SP_BH]]=1,calendar[[#This Row],[WeekDay]]=1, calendar[[#This Row],[WeekDay]]=7),P3608,P3608+1)</f>
        <v>2563</v>
      </c>
      <c r="S3609">
        <f>IF(OR(calendar[[#This Row],[PT_BH]]=1,calendar[[#This Row],[WeekDay]]=1, calendar[[#This Row],[WeekDay]]=7),P3608,P3608+1)</f>
        <v>2563</v>
      </c>
    </row>
    <row r="3610" spans="1:19" x14ac:dyDescent="0.25">
      <c r="A3610" s="2">
        <v>46344</v>
      </c>
      <c r="B3610" s="1">
        <f t="shared" si="286"/>
        <v>47</v>
      </c>
      <c r="C3610">
        <f t="shared" si="283"/>
        <v>11</v>
      </c>
      <c r="D3610" t="str">
        <f t="shared" si="284"/>
        <v>November</v>
      </c>
      <c r="E3610">
        <f t="shared" si="285"/>
        <v>2026</v>
      </c>
      <c r="F3610" t="str">
        <f>CONCATENATE(calendar[[#This Row],[Month]],"/",calendar[[#This Row],[Year]])</f>
        <v>11/2026</v>
      </c>
      <c r="G3610">
        <f>WEEKDAY(calendar[[#This Row],[Date]],1)</f>
        <v>4</v>
      </c>
      <c r="H3610" t="str">
        <f>TEXT(calendar[[#This Row],[WeekDay]],"dddd")</f>
        <v>Wednesday</v>
      </c>
      <c r="I3610">
        <f>IF((INT(calendar[[#This Row],[Count]]/7)-calendar[[#This Row],[Count]]/7)&lt;0,I3609,I3609+1)</f>
        <v>516</v>
      </c>
      <c r="J3610">
        <f t="shared" si="287"/>
        <v>3608</v>
      </c>
      <c r="K3610">
        <f>IF(calendar[[#This Row],[Month]]&lt;4,1,IF(calendar[[#This Row],[Month]]&lt;7,2,IF(calendar[[#This Row],[Month]]&lt;10,3,4)))</f>
        <v>4</v>
      </c>
      <c r="L3610">
        <f>IFERROR(IF(VLOOKUP(calendar[[#This Row],[Date]],BH!A:A,1,)&lt;&gt;"",1,0),0)</f>
        <v>0</v>
      </c>
      <c r="M3610">
        <f>IFERROR(IF(VLOOKUP(calendar[[#This Row],[Date]],BH!C:C,1,)&lt;&gt;"",1,0),0)</f>
        <v>0</v>
      </c>
      <c r="N3610">
        <f>IFERROR(IF(VLOOKUP(calendar[[#This Row],[Date]],BH!E:E,1,)&lt;&gt;"",1,0),0)</f>
        <v>0</v>
      </c>
      <c r="O3610">
        <f>IFERROR(IF(VLOOKUP(calendar[[#This Row],[Date]],BH!G:G,1,)&lt;&gt;"",1,0),0)</f>
        <v>0</v>
      </c>
      <c r="P3610">
        <f>IF(OR(calendar[[#This Row],[UK_BH]]=1,calendar[[#This Row],[WeekDay]]=1, calendar[[#This Row],[WeekDay]]=7),P3609,P3609+1)</f>
        <v>2564</v>
      </c>
      <c r="Q3610">
        <f>IF(OR(calendar[[#This Row],[FR_BH]]=1,calendar[[#This Row],[WeekDay]]=1, calendar[[#This Row],[WeekDay]]=7),P3609,P3609+1)</f>
        <v>2564</v>
      </c>
      <c r="R3610">
        <f>IF(OR(calendar[[#This Row],[SP_BH]]=1,calendar[[#This Row],[WeekDay]]=1, calendar[[#This Row],[WeekDay]]=7),P3609,P3609+1)</f>
        <v>2564</v>
      </c>
      <c r="S3610">
        <f>IF(OR(calendar[[#This Row],[PT_BH]]=1,calendar[[#This Row],[WeekDay]]=1, calendar[[#This Row],[WeekDay]]=7),P3609,P3609+1)</f>
        <v>2564</v>
      </c>
    </row>
    <row r="3611" spans="1:19" x14ac:dyDescent="0.25">
      <c r="A3611" s="2">
        <v>46345</v>
      </c>
      <c r="B3611" s="1">
        <f t="shared" si="286"/>
        <v>47</v>
      </c>
      <c r="C3611">
        <f t="shared" si="283"/>
        <v>11</v>
      </c>
      <c r="D3611" t="str">
        <f t="shared" si="284"/>
        <v>November</v>
      </c>
      <c r="E3611">
        <f t="shared" si="285"/>
        <v>2026</v>
      </c>
      <c r="F3611" t="str">
        <f>CONCATENATE(calendar[[#This Row],[Month]],"/",calendar[[#This Row],[Year]])</f>
        <v>11/2026</v>
      </c>
      <c r="G3611">
        <f>WEEKDAY(calendar[[#This Row],[Date]],1)</f>
        <v>5</v>
      </c>
      <c r="H3611" t="str">
        <f>TEXT(calendar[[#This Row],[WeekDay]],"dddd")</f>
        <v>Thursday</v>
      </c>
      <c r="I3611">
        <f>IF((INT(calendar[[#This Row],[Count]]/7)-calendar[[#This Row],[Count]]/7)&lt;0,I3610,I3610+1)</f>
        <v>516</v>
      </c>
      <c r="J3611">
        <f t="shared" si="287"/>
        <v>3609</v>
      </c>
      <c r="K3611">
        <f>IF(calendar[[#This Row],[Month]]&lt;4,1,IF(calendar[[#This Row],[Month]]&lt;7,2,IF(calendar[[#This Row],[Month]]&lt;10,3,4)))</f>
        <v>4</v>
      </c>
      <c r="L3611">
        <f>IFERROR(IF(VLOOKUP(calendar[[#This Row],[Date]],BH!A:A,1,)&lt;&gt;"",1,0),0)</f>
        <v>0</v>
      </c>
      <c r="M3611">
        <f>IFERROR(IF(VLOOKUP(calendar[[#This Row],[Date]],BH!C:C,1,)&lt;&gt;"",1,0),0)</f>
        <v>0</v>
      </c>
      <c r="N3611">
        <f>IFERROR(IF(VLOOKUP(calendar[[#This Row],[Date]],BH!E:E,1,)&lt;&gt;"",1,0),0)</f>
        <v>0</v>
      </c>
      <c r="O3611">
        <f>IFERROR(IF(VLOOKUP(calendar[[#This Row],[Date]],BH!G:G,1,)&lt;&gt;"",1,0),0)</f>
        <v>0</v>
      </c>
      <c r="P3611">
        <f>IF(OR(calendar[[#This Row],[UK_BH]]=1,calendar[[#This Row],[WeekDay]]=1, calendar[[#This Row],[WeekDay]]=7),P3610,P3610+1)</f>
        <v>2565</v>
      </c>
      <c r="Q3611">
        <f>IF(OR(calendar[[#This Row],[FR_BH]]=1,calendar[[#This Row],[WeekDay]]=1, calendar[[#This Row],[WeekDay]]=7),P3610,P3610+1)</f>
        <v>2565</v>
      </c>
      <c r="R3611">
        <f>IF(OR(calendar[[#This Row],[SP_BH]]=1,calendar[[#This Row],[WeekDay]]=1, calendar[[#This Row],[WeekDay]]=7),P3610,P3610+1)</f>
        <v>2565</v>
      </c>
      <c r="S3611">
        <f>IF(OR(calendar[[#This Row],[PT_BH]]=1,calendar[[#This Row],[WeekDay]]=1, calendar[[#This Row],[WeekDay]]=7),P3610,P3610+1)</f>
        <v>2565</v>
      </c>
    </row>
    <row r="3612" spans="1:19" x14ac:dyDescent="0.25">
      <c r="A3612" s="2">
        <v>46346</v>
      </c>
      <c r="B3612" s="1">
        <f t="shared" si="286"/>
        <v>47</v>
      </c>
      <c r="C3612">
        <f t="shared" ref="C3612:C3675" si="288">MONTH(A3612)</f>
        <v>11</v>
      </c>
      <c r="D3612" t="str">
        <f t="shared" ref="D3612:D3675" si="289">TEXT(A3612,"mmmm")</f>
        <v>November</v>
      </c>
      <c r="E3612">
        <f t="shared" ref="E3612:E3675" si="290">YEAR(A3612)</f>
        <v>2026</v>
      </c>
      <c r="F3612" t="str">
        <f>CONCATENATE(calendar[[#This Row],[Month]],"/",calendar[[#This Row],[Year]])</f>
        <v>11/2026</v>
      </c>
      <c r="G3612">
        <f>WEEKDAY(calendar[[#This Row],[Date]],1)</f>
        <v>6</v>
      </c>
      <c r="H3612" t="str">
        <f>TEXT(calendar[[#This Row],[WeekDay]],"dddd")</f>
        <v>Friday</v>
      </c>
      <c r="I3612">
        <f>IF((INT(calendar[[#This Row],[Count]]/7)-calendar[[#This Row],[Count]]/7)&lt;0,I3611,I3611+1)</f>
        <v>516</v>
      </c>
      <c r="J3612">
        <f t="shared" si="287"/>
        <v>3610</v>
      </c>
      <c r="K3612">
        <f>IF(calendar[[#This Row],[Month]]&lt;4,1,IF(calendar[[#This Row],[Month]]&lt;7,2,IF(calendar[[#This Row],[Month]]&lt;10,3,4)))</f>
        <v>4</v>
      </c>
      <c r="L3612">
        <f>IFERROR(IF(VLOOKUP(calendar[[#This Row],[Date]],BH!A:A,1,)&lt;&gt;"",1,0),0)</f>
        <v>0</v>
      </c>
      <c r="M3612">
        <f>IFERROR(IF(VLOOKUP(calendar[[#This Row],[Date]],BH!C:C,1,)&lt;&gt;"",1,0),0)</f>
        <v>0</v>
      </c>
      <c r="N3612">
        <f>IFERROR(IF(VLOOKUP(calendar[[#This Row],[Date]],BH!E:E,1,)&lt;&gt;"",1,0),0)</f>
        <v>0</v>
      </c>
      <c r="O3612">
        <f>IFERROR(IF(VLOOKUP(calendar[[#This Row],[Date]],BH!G:G,1,)&lt;&gt;"",1,0),0)</f>
        <v>0</v>
      </c>
      <c r="P3612">
        <f>IF(OR(calendar[[#This Row],[UK_BH]]=1,calendar[[#This Row],[WeekDay]]=1, calendar[[#This Row],[WeekDay]]=7),P3611,P3611+1)</f>
        <v>2566</v>
      </c>
      <c r="Q3612">
        <f>IF(OR(calendar[[#This Row],[FR_BH]]=1,calendar[[#This Row],[WeekDay]]=1, calendar[[#This Row],[WeekDay]]=7),P3611,P3611+1)</f>
        <v>2566</v>
      </c>
      <c r="R3612">
        <f>IF(OR(calendar[[#This Row],[SP_BH]]=1,calendar[[#This Row],[WeekDay]]=1, calendar[[#This Row],[WeekDay]]=7),P3611,P3611+1)</f>
        <v>2566</v>
      </c>
      <c r="S3612">
        <f>IF(OR(calendar[[#This Row],[PT_BH]]=1,calendar[[#This Row],[WeekDay]]=1, calendar[[#This Row],[WeekDay]]=7),P3611,P3611+1)</f>
        <v>2566</v>
      </c>
    </row>
    <row r="3613" spans="1:19" x14ac:dyDescent="0.25">
      <c r="A3613" s="2">
        <v>46347</v>
      </c>
      <c r="B3613" s="1">
        <f t="shared" si="286"/>
        <v>47</v>
      </c>
      <c r="C3613">
        <f t="shared" si="288"/>
        <v>11</v>
      </c>
      <c r="D3613" t="str">
        <f t="shared" si="289"/>
        <v>November</v>
      </c>
      <c r="E3613">
        <f t="shared" si="290"/>
        <v>2026</v>
      </c>
      <c r="F3613" t="str">
        <f>CONCATENATE(calendar[[#This Row],[Month]],"/",calendar[[#This Row],[Year]])</f>
        <v>11/2026</v>
      </c>
      <c r="G3613">
        <f>WEEKDAY(calendar[[#This Row],[Date]],1)</f>
        <v>7</v>
      </c>
      <c r="H3613" t="str">
        <f>TEXT(calendar[[#This Row],[WeekDay]],"dddd")</f>
        <v>Saturday</v>
      </c>
      <c r="I3613">
        <f>IF((INT(calendar[[#This Row],[Count]]/7)-calendar[[#This Row],[Count]]/7)&lt;0,I3612,I3612+1)</f>
        <v>516</v>
      </c>
      <c r="J3613">
        <f t="shared" si="287"/>
        <v>3611</v>
      </c>
      <c r="K3613">
        <f>IF(calendar[[#This Row],[Month]]&lt;4,1,IF(calendar[[#This Row],[Month]]&lt;7,2,IF(calendar[[#This Row],[Month]]&lt;10,3,4)))</f>
        <v>4</v>
      </c>
      <c r="L3613">
        <f>IFERROR(IF(VLOOKUP(calendar[[#This Row],[Date]],BH!A:A,1,)&lt;&gt;"",1,0),0)</f>
        <v>0</v>
      </c>
      <c r="M3613">
        <f>IFERROR(IF(VLOOKUP(calendar[[#This Row],[Date]],BH!C:C,1,)&lt;&gt;"",1,0),0)</f>
        <v>0</v>
      </c>
      <c r="N3613">
        <f>IFERROR(IF(VLOOKUP(calendar[[#This Row],[Date]],BH!E:E,1,)&lt;&gt;"",1,0),0)</f>
        <v>0</v>
      </c>
      <c r="O3613">
        <f>IFERROR(IF(VLOOKUP(calendar[[#This Row],[Date]],BH!G:G,1,)&lt;&gt;"",1,0),0)</f>
        <v>0</v>
      </c>
      <c r="P3613">
        <f>IF(OR(calendar[[#This Row],[UK_BH]]=1,calendar[[#This Row],[WeekDay]]=1, calendar[[#This Row],[WeekDay]]=7),P3612,P3612+1)</f>
        <v>2566</v>
      </c>
      <c r="Q3613">
        <f>IF(OR(calendar[[#This Row],[FR_BH]]=1,calendar[[#This Row],[WeekDay]]=1, calendar[[#This Row],[WeekDay]]=7),P3612,P3612+1)</f>
        <v>2566</v>
      </c>
      <c r="R3613">
        <f>IF(OR(calendar[[#This Row],[SP_BH]]=1,calendar[[#This Row],[WeekDay]]=1, calendar[[#This Row],[WeekDay]]=7),P3612,P3612+1)</f>
        <v>2566</v>
      </c>
      <c r="S3613">
        <f>IF(OR(calendar[[#This Row],[PT_BH]]=1,calendar[[#This Row],[WeekDay]]=1, calendar[[#This Row],[WeekDay]]=7),P3612,P3612+1)</f>
        <v>2566</v>
      </c>
    </row>
    <row r="3614" spans="1:19" x14ac:dyDescent="0.25">
      <c r="A3614" s="2">
        <v>46348</v>
      </c>
      <c r="B3614" s="1">
        <f t="shared" si="286"/>
        <v>48</v>
      </c>
      <c r="C3614">
        <f t="shared" si="288"/>
        <v>11</v>
      </c>
      <c r="D3614" t="str">
        <f t="shared" si="289"/>
        <v>November</v>
      </c>
      <c r="E3614">
        <f t="shared" si="290"/>
        <v>2026</v>
      </c>
      <c r="F3614" t="str">
        <f>CONCATENATE(calendar[[#This Row],[Month]],"/",calendar[[#This Row],[Year]])</f>
        <v>11/2026</v>
      </c>
      <c r="G3614">
        <f>WEEKDAY(calendar[[#This Row],[Date]],1)</f>
        <v>1</v>
      </c>
      <c r="H3614" t="str">
        <f>TEXT(calendar[[#This Row],[WeekDay]],"dddd")</f>
        <v>Sunday</v>
      </c>
      <c r="I3614">
        <f>IF((INT(calendar[[#This Row],[Count]]/7)-calendar[[#This Row],[Count]]/7)&lt;0,I3613,I3613+1)</f>
        <v>517</v>
      </c>
      <c r="J3614">
        <f t="shared" si="287"/>
        <v>3612</v>
      </c>
      <c r="K3614">
        <f>IF(calendar[[#This Row],[Month]]&lt;4,1,IF(calendar[[#This Row],[Month]]&lt;7,2,IF(calendar[[#This Row],[Month]]&lt;10,3,4)))</f>
        <v>4</v>
      </c>
      <c r="L3614">
        <f>IFERROR(IF(VLOOKUP(calendar[[#This Row],[Date]],BH!A:A,1,)&lt;&gt;"",1,0),0)</f>
        <v>0</v>
      </c>
      <c r="M3614">
        <f>IFERROR(IF(VLOOKUP(calendar[[#This Row],[Date]],BH!C:C,1,)&lt;&gt;"",1,0),0)</f>
        <v>0</v>
      </c>
      <c r="N3614">
        <f>IFERROR(IF(VLOOKUP(calendar[[#This Row],[Date]],BH!E:E,1,)&lt;&gt;"",1,0),0)</f>
        <v>0</v>
      </c>
      <c r="O3614">
        <f>IFERROR(IF(VLOOKUP(calendar[[#This Row],[Date]],BH!G:G,1,)&lt;&gt;"",1,0),0)</f>
        <v>0</v>
      </c>
      <c r="P3614">
        <f>IF(OR(calendar[[#This Row],[UK_BH]]=1,calendar[[#This Row],[WeekDay]]=1, calendar[[#This Row],[WeekDay]]=7),P3613,P3613+1)</f>
        <v>2566</v>
      </c>
      <c r="Q3614">
        <f>IF(OR(calendar[[#This Row],[FR_BH]]=1,calendar[[#This Row],[WeekDay]]=1, calendar[[#This Row],[WeekDay]]=7),P3613,P3613+1)</f>
        <v>2566</v>
      </c>
      <c r="R3614">
        <f>IF(OR(calendar[[#This Row],[SP_BH]]=1,calendar[[#This Row],[WeekDay]]=1, calendar[[#This Row],[WeekDay]]=7),P3613,P3613+1)</f>
        <v>2566</v>
      </c>
      <c r="S3614">
        <f>IF(OR(calendar[[#This Row],[PT_BH]]=1,calendar[[#This Row],[WeekDay]]=1, calendar[[#This Row],[WeekDay]]=7),P3613,P3613+1)</f>
        <v>2566</v>
      </c>
    </row>
    <row r="3615" spans="1:19" x14ac:dyDescent="0.25">
      <c r="A3615" s="2">
        <v>46349</v>
      </c>
      <c r="B3615" s="1">
        <f t="shared" si="286"/>
        <v>48</v>
      </c>
      <c r="C3615">
        <f t="shared" si="288"/>
        <v>11</v>
      </c>
      <c r="D3615" t="str">
        <f t="shared" si="289"/>
        <v>November</v>
      </c>
      <c r="E3615">
        <f t="shared" si="290"/>
        <v>2026</v>
      </c>
      <c r="F3615" t="str">
        <f>CONCATENATE(calendar[[#This Row],[Month]],"/",calendar[[#This Row],[Year]])</f>
        <v>11/2026</v>
      </c>
      <c r="G3615">
        <f>WEEKDAY(calendar[[#This Row],[Date]],1)</f>
        <v>2</v>
      </c>
      <c r="H3615" t="str">
        <f>TEXT(calendar[[#This Row],[WeekDay]],"dddd")</f>
        <v>Monday</v>
      </c>
      <c r="I3615">
        <f>IF((INT(calendar[[#This Row],[Count]]/7)-calendar[[#This Row],[Count]]/7)&lt;0,I3614,I3614+1)</f>
        <v>517</v>
      </c>
      <c r="J3615">
        <f t="shared" si="287"/>
        <v>3613</v>
      </c>
      <c r="K3615">
        <f>IF(calendar[[#This Row],[Month]]&lt;4,1,IF(calendar[[#This Row],[Month]]&lt;7,2,IF(calendar[[#This Row],[Month]]&lt;10,3,4)))</f>
        <v>4</v>
      </c>
      <c r="L3615">
        <f>IFERROR(IF(VLOOKUP(calendar[[#This Row],[Date]],BH!A:A,1,)&lt;&gt;"",1,0),0)</f>
        <v>0</v>
      </c>
      <c r="M3615">
        <f>IFERROR(IF(VLOOKUP(calendar[[#This Row],[Date]],BH!C:C,1,)&lt;&gt;"",1,0),0)</f>
        <v>0</v>
      </c>
      <c r="N3615">
        <f>IFERROR(IF(VLOOKUP(calendar[[#This Row],[Date]],BH!E:E,1,)&lt;&gt;"",1,0),0)</f>
        <v>0</v>
      </c>
      <c r="O3615">
        <f>IFERROR(IF(VLOOKUP(calendar[[#This Row],[Date]],BH!G:G,1,)&lt;&gt;"",1,0),0)</f>
        <v>0</v>
      </c>
      <c r="P3615">
        <f>IF(OR(calendar[[#This Row],[UK_BH]]=1,calendar[[#This Row],[WeekDay]]=1, calendar[[#This Row],[WeekDay]]=7),P3614,P3614+1)</f>
        <v>2567</v>
      </c>
      <c r="Q3615">
        <f>IF(OR(calendar[[#This Row],[FR_BH]]=1,calendar[[#This Row],[WeekDay]]=1, calendar[[#This Row],[WeekDay]]=7),P3614,P3614+1)</f>
        <v>2567</v>
      </c>
      <c r="R3615">
        <f>IF(OR(calendar[[#This Row],[SP_BH]]=1,calendar[[#This Row],[WeekDay]]=1, calendar[[#This Row],[WeekDay]]=7),P3614,P3614+1)</f>
        <v>2567</v>
      </c>
      <c r="S3615">
        <f>IF(OR(calendar[[#This Row],[PT_BH]]=1,calendar[[#This Row],[WeekDay]]=1, calendar[[#This Row],[WeekDay]]=7),P3614,P3614+1)</f>
        <v>2567</v>
      </c>
    </row>
    <row r="3616" spans="1:19" x14ac:dyDescent="0.25">
      <c r="A3616" s="2">
        <v>46350</v>
      </c>
      <c r="B3616" s="1">
        <f t="shared" si="286"/>
        <v>48</v>
      </c>
      <c r="C3616">
        <f t="shared" si="288"/>
        <v>11</v>
      </c>
      <c r="D3616" t="str">
        <f t="shared" si="289"/>
        <v>November</v>
      </c>
      <c r="E3616">
        <f t="shared" si="290"/>
        <v>2026</v>
      </c>
      <c r="F3616" t="str">
        <f>CONCATENATE(calendar[[#This Row],[Month]],"/",calendar[[#This Row],[Year]])</f>
        <v>11/2026</v>
      </c>
      <c r="G3616">
        <f>WEEKDAY(calendar[[#This Row],[Date]],1)</f>
        <v>3</v>
      </c>
      <c r="H3616" t="str">
        <f>TEXT(calendar[[#This Row],[WeekDay]],"dddd")</f>
        <v>Tuesday</v>
      </c>
      <c r="I3616">
        <f>IF((INT(calendar[[#This Row],[Count]]/7)-calendar[[#This Row],[Count]]/7)&lt;0,I3615,I3615+1)</f>
        <v>517</v>
      </c>
      <c r="J3616">
        <f t="shared" si="287"/>
        <v>3614</v>
      </c>
      <c r="K3616">
        <f>IF(calendar[[#This Row],[Month]]&lt;4,1,IF(calendar[[#This Row],[Month]]&lt;7,2,IF(calendar[[#This Row],[Month]]&lt;10,3,4)))</f>
        <v>4</v>
      </c>
      <c r="L3616">
        <f>IFERROR(IF(VLOOKUP(calendar[[#This Row],[Date]],BH!A:A,1,)&lt;&gt;"",1,0),0)</f>
        <v>0</v>
      </c>
      <c r="M3616">
        <f>IFERROR(IF(VLOOKUP(calendar[[#This Row],[Date]],BH!C:C,1,)&lt;&gt;"",1,0),0)</f>
        <v>0</v>
      </c>
      <c r="N3616">
        <f>IFERROR(IF(VLOOKUP(calendar[[#This Row],[Date]],BH!E:E,1,)&lt;&gt;"",1,0),0)</f>
        <v>0</v>
      </c>
      <c r="O3616">
        <f>IFERROR(IF(VLOOKUP(calendar[[#This Row],[Date]],BH!G:G,1,)&lt;&gt;"",1,0),0)</f>
        <v>0</v>
      </c>
      <c r="P3616">
        <f>IF(OR(calendar[[#This Row],[UK_BH]]=1,calendar[[#This Row],[WeekDay]]=1, calendar[[#This Row],[WeekDay]]=7),P3615,P3615+1)</f>
        <v>2568</v>
      </c>
      <c r="Q3616">
        <f>IF(OR(calendar[[#This Row],[FR_BH]]=1,calendar[[#This Row],[WeekDay]]=1, calendar[[#This Row],[WeekDay]]=7),P3615,P3615+1)</f>
        <v>2568</v>
      </c>
      <c r="R3616">
        <f>IF(OR(calendar[[#This Row],[SP_BH]]=1,calendar[[#This Row],[WeekDay]]=1, calendar[[#This Row],[WeekDay]]=7),P3615,P3615+1)</f>
        <v>2568</v>
      </c>
      <c r="S3616">
        <f>IF(OR(calendar[[#This Row],[PT_BH]]=1,calendar[[#This Row],[WeekDay]]=1, calendar[[#This Row],[WeekDay]]=7),P3615,P3615+1)</f>
        <v>2568</v>
      </c>
    </row>
    <row r="3617" spans="1:19" x14ac:dyDescent="0.25">
      <c r="A3617" s="2">
        <v>46351</v>
      </c>
      <c r="B3617" s="1">
        <f t="shared" si="286"/>
        <v>48</v>
      </c>
      <c r="C3617">
        <f t="shared" si="288"/>
        <v>11</v>
      </c>
      <c r="D3617" t="str">
        <f t="shared" si="289"/>
        <v>November</v>
      </c>
      <c r="E3617">
        <f t="shared" si="290"/>
        <v>2026</v>
      </c>
      <c r="F3617" t="str">
        <f>CONCATENATE(calendar[[#This Row],[Month]],"/",calendar[[#This Row],[Year]])</f>
        <v>11/2026</v>
      </c>
      <c r="G3617">
        <f>WEEKDAY(calendar[[#This Row],[Date]],1)</f>
        <v>4</v>
      </c>
      <c r="H3617" t="str">
        <f>TEXT(calendar[[#This Row],[WeekDay]],"dddd")</f>
        <v>Wednesday</v>
      </c>
      <c r="I3617">
        <f>IF((INT(calendar[[#This Row],[Count]]/7)-calendar[[#This Row],[Count]]/7)&lt;0,I3616,I3616+1)</f>
        <v>517</v>
      </c>
      <c r="J3617">
        <f t="shared" si="287"/>
        <v>3615</v>
      </c>
      <c r="K3617">
        <f>IF(calendar[[#This Row],[Month]]&lt;4,1,IF(calendar[[#This Row],[Month]]&lt;7,2,IF(calendar[[#This Row],[Month]]&lt;10,3,4)))</f>
        <v>4</v>
      </c>
      <c r="L3617">
        <f>IFERROR(IF(VLOOKUP(calendar[[#This Row],[Date]],BH!A:A,1,)&lt;&gt;"",1,0),0)</f>
        <v>0</v>
      </c>
      <c r="M3617">
        <f>IFERROR(IF(VLOOKUP(calendar[[#This Row],[Date]],BH!C:C,1,)&lt;&gt;"",1,0),0)</f>
        <v>0</v>
      </c>
      <c r="N3617">
        <f>IFERROR(IF(VLOOKUP(calendar[[#This Row],[Date]],BH!E:E,1,)&lt;&gt;"",1,0),0)</f>
        <v>0</v>
      </c>
      <c r="O3617">
        <f>IFERROR(IF(VLOOKUP(calendar[[#This Row],[Date]],BH!G:G,1,)&lt;&gt;"",1,0),0)</f>
        <v>0</v>
      </c>
      <c r="P3617">
        <f>IF(OR(calendar[[#This Row],[UK_BH]]=1,calendar[[#This Row],[WeekDay]]=1, calendar[[#This Row],[WeekDay]]=7),P3616,P3616+1)</f>
        <v>2569</v>
      </c>
      <c r="Q3617">
        <f>IF(OR(calendar[[#This Row],[FR_BH]]=1,calendar[[#This Row],[WeekDay]]=1, calendar[[#This Row],[WeekDay]]=7),P3616,P3616+1)</f>
        <v>2569</v>
      </c>
      <c r="R3617">
        <f>IF(OR(calendar[[#This Row],[SP_BH]]=1,calendar[[#This Row],[WeekDay]]=1, calendar[[#This Row],[WeekDay]]=7),P3616,P3616+1)</f>
        <v>2569</v>
      </c>
      <c r="S3617">
        <f>IF(OR(calendar[[#This Row],[PT_BH]]=1,calendar[[#This Row],[WeekDay]]=1, calendar[[#This Row],[WeekDay]]=7),P3616,P3616+1)</f>
        <v>2569</v>
      </c>
    </row>
    <row r="3618" spans="1:19" x14ac:dyDescent="0.25">
      <c r="A3618" s="2">
        <v>46352</v>
      </c>
      <c r="B3618" s="1">
        <f t="shared" si="286"/>
        <v>48</v>
      </c>
      <c r="C3618">
        <f t="shared" si="288"/>
        <v>11</v>
      </c>
      <c r="D3618" t="str">
        <f t="shared" si="289"/>
        <v>November</v>
      </c>
      <c r="E3618">
        <f t="shared" si="290"/>
        <v>2026</v>
      </c>
      <c r="F3618" t="str">
        <f>CONCATENATE(calendar[[#This Row],[Month]],"/",calendar[[#This Row],[Year]])</f>
        <v>11/2026</v>
      </c>
      <c r="G3618">
        <f>WEEKDAY(calendar[[#This Row],[Date]],1)</f>
        <v>5</v>
      </c>
      <c r="H3618" t="str">
        <f>TEXT(calendar[[#This Row],[WeekDay]],"dddd")</f>
        <v>Thursday</v>
      </c>
      <c r="I3618">
        <f>IF((INT(calendar[[#This Row],[Count]]/7)-calendar[[#This Row],[Count]]/7)&lt;0,I3617,I3617+1)</f>
        <v>517</v>
      </c>
      <c r="J3618">
        <f t="shared" si="287"/>
        <v>3616</v>
      </c>
      <c r="K3618">
        <f>IF(calendar[[#This Row],[Month]]&lt;4,1,IF(calendar[[#This Row],[Month]]&lt;7,2,IF(calendar[[#This Row],[Month]]&lt;10,3,4)))</f>
        <v>4</v>
      </c>
      <c r="L3618">
        <f>IFERROR(IF(VLOOKUP(calendar[[#This Row],[Date]],BH!A:A,1,)&lt;&gt;"",1,0),0)</f>
        <v>0</v>
      </c>
      <c r="M3618">
        <f>IFERROR(IF(VLOOKUP(calendar[[#This Row],[Date]],BH!C:C,1,)&lt;&gt;"",1,0),0)</f>
        <v>0</v>
      </c>
      <c r="N3618">
        <f>IFERROR(IF(VLOOKUP(calendar[[#This Row],[Date]],BH!E:E,1,)&lt;&gt;"",1,0),0)</f>
        <v>0</v>
      </c>
      <c r="O3618">
        <f>IFERROR(IF(VLOOKUP(calendar[[#This Row],[Date]],BH!G:G,1,)&lt;&gt;"",1,0),0)</f>
        <v>0</v>
      </c>
      <c r="P3618">
        <f>IF(OR(calendar[[#This Row],[UK_BH]]=1,calendar[[#This Row],[WeekDay]]=1, calendar[[#This Row],[WeekDay]]=7),P3617,P3617+1)</f>
        <v>2570</v>
      </c>
      <c r="Q3618">
        <f>IF(OR(calendar[[#This Row],[FR_BH]]=1,calendar[[#This Row],[WeekDay]]=1, calendar[[#This Row],[WeekDay]]=7),P3617,P3617+1)</f>
        <v>2570</v>
      </c>
      <c r="R3618">
        <f>IF(OR(calendar[[#This Row],[SP_BH]]=1,calendar[[#This Row],[WeekDay]]=1, calendar[[#This Row],[WeekDay]]=7),P3617,P3617+1)</f>
        <v>2570</v>
      </c>
      <c r="S3618">
        <f>IF(OR(calendar[[#This Row],[PT_BH]]=1,calendar[[#This Row],[WeekDay]]=1, calendar[[#This Row],[WeekDay]]=7),P3617,P3617+1)</f>
        <v>2570</v>
      </c>
    </row>
    <row r="3619" spans="1:19" x14ac:dyDescent="0.25">
      <c r="A3619" s="2">
        <v>46353</v>
      </c>
      <c r="B3619" s="1">
        <f t="shared" si="286"/>
        <v>48</v>
      </c>
      <c r="C3619">
        <f t="shared" si="288"/>
        <v>11</v>
      </c>
      <c r="D3619" t="str">
        <f t="shared" si="289"/>
        <v>November</v>
      </c>
      <c r="E3619">
        <f t="shared" si="290"/>
        <v>2026</v>
      </c>
      <c r="F3619" t="str">
        <f>CONCATENATE(calendar[[#This Row],[Month]],"/",calendar[[#This Row],[Year]])</f>
        <v>11/2026</v>
      </c>
      <c r="G3619">
        <f>WEEKDAY(calendar[[#This Row],[Date]],1)</f>
        <v>6</v>
      </c>
      <c r="H3619" t="str">
        <f>TEXT(calendar[[#This Row],[WeekDay]],"dddd")</f>
        <v>Friday</v>
      </c>
      <c r="I3619">
        <f>IF((INT(calendar[[#This Row],[Count]]/7)-calendar[[#This Row],[Count]]/7)&lt;0,I3618,I3618+1)</f>
        <v>517</v>
      </c>
      <c r="J3619">
        <f t="shared" si="287"/>
        <v>3617</v>
      </c>
      <c r="K3619">
        <f>IF(calendar[[#This Row],[Month]]&lt;4,1,IF(calendar[[#This Row],[Month]]&lt;7,2,IF(calendar[[#This Row],[Month]]&lt;10,3,4)))</f>
        <v>4</v>
      </c>
      <c r="L3619">
        <f>IFERROR(IF(VLOOKUP(calendar[[#This Row],[Date]],BH!A:A,1,)&lt;&gt;"",1,0),0)</f>
        <v>0</v>
      </c>
      <c r="M3619">
        <f>IFERROR(IF(VLOOKUP(calendar[[#This Row],[Date]],BH!C:C,1,)&lt;&gt;"",1,0),0)</f>
        <v>0</v>
      </c>
      <c r="N3619">
        <f>IFERROR(IF(VLOOKUP(calendar[[#This Row],[Date]],BH!E:E,1,)&lt;&gt;"",1,0),0)</f>
        <v>0</v>
      </c>
      <c r="O3619">
        <f>IFERROR(IF(VLOOKUP(calendar[[#This Row],[Date]],BH!G:G,1,)&lt;&gt;"",1,0),0)</f>
        <v>0</v>
      </c>
      <c r="P3619">
        <f>IF(OR(calendar[[#This Row],[UK_BH]]=1,calendar[[#This Row],[WeekDay]]=1, calendar[[#This Row],[WeekDay]]=7),P3618,P3618+1)</f>
        <v>2571</v>
      </c>
      <c r="Q3619">
        <f>IF(OR(calendar[[#This Row],[FR_BH]]=1,calendar[[#This Row],[WeekDay]]=1, calendar[[#This Row],[WeekDay]]=7),P3618,P3618+1)</f>
        <v>2571</v>
      </c>
      <c r="R3619">
        <f>IF(OR(calendar[[#This Row],[SP_BH]]=1,calendar[[#This Row],[WeekDay]]=1, calendar[[#This Row],[WeekDay]]=7),P3618,P3618+1)</f>
        <v>2571</v>
      </c>
      <c r="S3619">
        <f>IF(OR(calendar[[#This Row],[PT_BH]]=1,calendar[[#This Row],[WeekDay]]=1, calendar[[#This Row],[WeekDay]]=7),P3618,P3618+1)</f>
        <v>2571</v>
      </c>
    </row>
    <row r="3620" spans="1:19" x14ac:dyDescent="0.25">
      <c r="A3620" s="2">
        <v>46354</v>
      </c>
      <c r="B3620" s="1">
        <f t="shared" si="286"/>
        <v>48</v>
      </c>
      <c r="C3620">
        <f t="shared" si="288"/>
        <v>11</v>
      </c>
      <c r="D3620" t="str">
        <f t="shared" si="289"/>
        <v>November</v>
      </c>
      <c r="E3620">
        <f t="shared" si="290"/>
        <v>2026</v>
      </c>
      <c r="F3620" t="str">
        <f>CONCATENATE(calendar[[#This Row],[Month]],"/",calendar[[#This Row],[Year]])</f>
        <v>11/2026</v>
      </c>
      <c r="G3620">
        <f>WEEKDAY(calendar[[#This Row],[Date]],1)</f>
        <v>7</v>
      </c>
      <c r="H3620" t="str">
        <f>TEXT(calendar[[#This Row],[WeekDay]],"dddd")</f>
        <v>Saturday</v>
      </c>
      <c r="I3620">
        <f>IF((INT(calendar[[#This Row],[Count]]/7)-calendar[[#This Row],[Count]]/7)&lt;0,I3619,I3619+1)</f>
        <v>517</v>
      </c>
      <c r="J3620">
        <f t="shared" si="287"/>
        <v>3618</v>
      </c>
      <c r="K3620">
        <f>IF(calendar[[#This Row],[Month]]&lt;4,1,IF(calendar[[#This Row],[Month]]&lt;7,2,IF(calendar[[#This Row],[Month]]&lt;10,3,4)))</f>
        <v>4</v>
      </c>
      <c r="L3620">
        <f>IFERROR(IF(VLOOKUP(calendar[[#This Row],[Date]],BH!A:A,1,)&lt;&gt;"",1,0),0)</f>
        <v>0</v>
      </c>
      <c r="M3620">
        <f>IFERROR(IF(VLOOKUP(calendar[[#This Row],[Date]],BH!C:C,1,)&lt;&gt;"",1,0),0)</f>
        <v>0</v>
      </c>
      <c r="N3620">
        <f>IFERROR(IF(VLOOKUP(calendar[[#This Row],[Date]],BH!E:E,1,)&lt;&gt;"",1,0),0)</f>
        <v>0</v>
      </c>
      <c r="O3620">
        <f>IFERROR(IF(VLOOKUP(calendar[[#This Row],[Date]],BH!G:G,1,)&lt;&gt;"",1,0),0)</f>
        <v>0</v>
      </c>
      <c r="P3620">
        <f>IF(OR(calendar[[#This Row],[UK_BH]]=1,calendar[[#This Row],[WeekDay]]=1, calendar[[#This Row],[WeekDay]]=7),P3619,P3619+1)</f>
        <v>2571</v>
      </c>
      <c r="Q3620">
        <f>IF(OR(calendar[[#This Row],[FR_BH]]=1,calendar[[#This Row],[WeekDay]]=1, calendar[[#This Row],[WeekDay]]=7),P3619,P3619+1)</f>
        <v>2571</v>
      </c>
      <c r="R3620">
        <f>IF(OR(calendar[[#This Row],[SP_BH]]=1,calendar[[#This Row],[WeekDay]]=1, calendar[[#This Row],[WeekDay]]=7),P3619,P3619+1)</f>
        <v>2571</v>
      </c>
      <c r="S3620">
        <f>IF(OR(calendar[[#This Row],[PT_BH]]=1,calendar[[#This Row],[WeekDay]]=1, calendar[[#This Row],[WeekDay]]=7),P3619,P3619+1)</f>
        <v>2571</v>
      </c>
    </row>
    <row r="3621" spans="1:19" x14ac:dyDescent="0.25">
      <c r="A3621" s="2">
        <v>46355</v>
      </c>
      <c r="B3621" s="1">
        <f t="shared" si="286"/>
        <v>49</v>
      </c>
      <c r="C3621">
        <f t="shared" si="288"/>
        <v>11</v>
      </c>
      <c r="D3621" t="str">
        <f t="shared" si="289"/>
        <v>November</v>
      </c>
      <c r="E3621">
        <f t="shared" si="290"/>
        <v>2026</v>
      </c>
      <c r="F3621" t="str">
        <f>CONCATENATE(calendar[[#This Row],[Month]],"/",calendar[[#This Row],[Year]])</f>
        <v>11/2026</v>
      </c>
      <c r="G3621">
        <f>WEEKDAY(calendar[[#This Row],[Date]],1)</f>
        <v>1</v>
      </c>
      <c r="H3621" t="str">
        <f>TEXT(calendar[[#This Row],[WeekDay]],"dddd")</f>
        <v>Sunday</v>
      </c>
      <c r="I3621">
        <f>IF((INT(calendar[[#This Row],[Count]]/7)-calendar[[#This Row],[Count]]/7)&lt;0,I3620,I3620+1)</f>
        <v>518</v>
      </c>
      <c r="J3621">
        <f t="shared" si="287"/>
        <v>3619</v>
      </c>
      <c r="K3621">
        <f>IF(calendar[[#This Row],[Month]]&lt;4,1,IF(calendar[[#This Row],[Month]]&lt;7,2,IF(calendar[[#This Row],[Month]]&lt;10,3,4)))</f>
        <v>4</v>
      </c>
      <c r="L3621">
        <f>IFERROR(IF(VLOOKUP(calendar[[#This Row],[Date]],BH!A:A,1,)&lt;&gt;"",1,0),0)</f>
        <v>0</v>
      </c>
      <c r="M3621">
        <f>IFERROR(IF(VLOOKUP(calendar[[#This Row],[Date]],BH!C:C,1,)&lt;&gt;"",1,0),0)</f>
        <v>0</v>
      </c>
      <c r="N3621">
        <f>IFERROR(IF(VLOOKUP(calendar[[#This Row],[Date]],BH!E:E,1,)&lt;&gt;"",1,0),0)</f>
        <v>0</v>
      </c>
      <c r="O3621">
        <f>IFERROR(IF(VLOOKUP(calendar[[#This Row],[Date]],BH!G:G,1,)&lt;&gt;"",1,0),0)</f>
        <v>0</v>
      </c>
      <c r="P3621">
        <f>IF(OR(calendar[[#This Row],[UK_BH]]=1,calendar[[#This Row],[WeekDay]]=1, calendar[[#This Row],[WeekDay]]=7),P3620,P3620+1)</f>
        <v>2571</v>
      </c>
      <c r="Q3621">
        <f>IF(OR(calendar[[#This Row],[FR_BH]]=1,calendar[[#This Row],[WeekDay]]=1, calendar[[#This Row],[WeekDay]]=7),P3620,P3620+1)</f>
        <v>2571</v>
      </c>
      <c r="R3621">
        <f>IF(OR(calendar[[#This Row],[SP_BH]]=1,calendar[[#This Row],[WeekDay]]=1, calendar[[#This Row],[WeekDay]]=7),P3620,P3620+1)</f>
        <v>2571</v>
      </c>
      <c r="S3621">
        <f>IF(OR(calendar[[#This Row],[PT_BH]]=1,calendar[[#This Row],[WeekDay]]=1, calendar[[#This Row],[WeekDay]]=7),P3620,P3620+1)</f>
        <v>2571</v>
      </c>
    </row>
    <row r="3622" spans="1:19" x14ac:dyDescent="0.25">
      <c r="A3622" s="2">
        <v>46356</v>
      </c>
      <c r="B3622" s="1">
        <f t="shared" si="286"/>
        <v>49</v>
      </c>
      <c r="C3622">
        <f t="shared" si="288"/>
        <v>11</v>
      </c>
      <c r="D3622" t="str">
        <f t="shared" si="289"/>
        <v>November</v>
      </c>
      <c r="E3622">
        <f t="shared" si="290"/>
        <v>2026</v>
      </c>
      <c r="F3622" t="str">
        <f>CONCATENATE(calendar[[#This Row],[Month]],"/",calendar[[#This Row],[Year]])</f>
        <v>11/2026</v>
      </c>
      <c r="G3622">
        <f>WEEKDAY(calendar[[#This Row],[Date]],1)</f>
        <v>2</v>
      </c>
      <c r="H3622" t="str">
        <f>TEXT(calendar[[#This Row],[WeekDay]],"dddd")</f>
        <v>Monday</v>
      </c>
      <c r="I3622">
        <f>IF((INT(calendar[[#This Row],[Count]]/7)-calendar[[#This Row],[Count]]/7)&lt;0,I3621,I3621+1)</f>
        <v>518</v>
      </c>
      <c r="J3622">
        <f t="shared" si="287"/>
        <v>3620</v>
      </c>
      <c r="K3622">
        <f>IF(calendar[[#This Row],[Month]]&lt;4,1,IF(calendar[[#This Row],[Month]]&lt;7,2,IF(calendar[[#This Row],[Month]]&lt;10,3,4)))</f>
        <v>4</v>
      </c>
      <c r="L3622">
        <f>IFERROR(IF(VLOOKUP(calendar[[#This Row],[Date]],BH!A:A,1,)&lt;&gt;"",1,0),0)</f>
        <v>0</v>
      </c>
      <c r="M3622">
        <f>IFERROR(IF(VLOOKUP(calendar[[#This Row],[Date]],BH!C:C,1,)&lt;&gt;"",1,0),0)</f>
        <v>0</v>
      </c>
      <c r="N3622">
        <f>IFERROR(IF(VLOOKUP(calendar[[#This Row],[Date]],BH!E:E,1,)&lt;&gt;"",1,0),0)</f>
        <v>0</v>
      </c>
      <c r="O3622">
        <f>IFERROR(IF(VLOOKUP(calendar[[#This Row],[Date]],BH!G:G,1,)&lt;&gt;"",1,0),0)</f>
        <v>0</v>
      </c>
      <c r="P3622">
        <f>IF(OR(calendar[[#This Row],[UK_BH]]=1,calendar[[#This Row],[WeekDay]]=1, calendar[[#This Row],[WeekDay]]=7),P3621,P3621+1)</f>
        <v>2572</v>
      </c>
      <c r="Q3622">
        <f>IF(OR(calendar[[#This Row],[FR_BH]]=1,calendar[[#This Row],[WeekDay]]=1, calendar[[#This Row],[WeekDay]]=7),P3621,P3621+1)</f>
        <v>2572</v>
      </c>
      <c r="R3622">
        <f>IF(OR(calendar[[#This Row],[SP_BH]]=1,calendar[[#This Row],[WeekDay]]=1, calendar[[#This Row],[WeekDay]]=7),P3621,P3621+1)</f>
        <v>2572</v>
      </c>
      <c r="S3622">
        <f>IF(OR(calendar[[#This Row],[PT_BH]]=1,calendar[[#This Row],[WeekDay]]=1, calendar[[#This Row],[WeekDay]]=7),P3621,P3621+1)</f>
        <v>2572</v>
      </c>
    </row>
    <row r="3623" spans="1:19" x14ac:dyDescent="0.25">
      <c r="A3623" s="2">
        <v>46357</v>
      </c>
      <c r="B3623" s="1">
        <f t="shared" si="286"/>
        <v>49</v>
      </c>
      <c r="C3623">
        <f t="shared" si="288"/>
        <v>12</v>
      </c>
      <c r="D3623" t="str">
        <f t="shared" si="289"/>
        <v>December</v>
      </c>
      <c r="E3623">
        <f t="shared" si="290"/>
        <v>2026</v>
      </c>
      <c r="F3623" t="str">
        <f>CONCATENATE(calendar[[#This Row],[Month]],"/",calendar[[#This Row],[Year]])</f>
        <v>12/2026</v>
      </c>
      <c r="G3623">
        <f>WEEKDAY(calendar[[#This Row],[Date]],1)</f>
        <v>3</v>
      </c>
      <c r="H3623" t="str">
        <f>TEXT(calendar[[#This Row],[WeekDay]],"dddd")</f>
        <v>Tuesday</v>
      </c>
      <c r="I3623">
        <f>IF((INT(calendar[[#This Row],[Count]]/7)-calendar[[#This Row],[Count]]/7)&lt;0,I3622,I3622+1)</f>
        <v>518</v>
      </c>
      <c r="J3623">
        <f t="shared" si="287"/>
        <v>3621</v>
      </c>
      <c r="K3623">
        <f>IF(calendar[[#This Row],[Month]]&lt;4,1,IF(calendar[[#This Row],[Month]]&lt;7,2,IF(calendar[[#This Row],[Month]]&lt;10,3,4)))</f>
        <v>4</v>
      </c>
      <c r="L3623">
        <f>IFERROR(IF(VLOOKUP(calendar[[#This Row],[Date]],BH!A:A,1,)&lt;&gt;"",1,0),0)</f>
        <v>0</v>
      </c>
      <c r="M3623">
        <f>IFERROR(IF(VLOOKUP(calendar[[#This Row],[Date]],BH!C:C,1,)&lt;&gt;"",1,0),0)</f>
        <v>0</v>
      </c>
      <c r="N3623">
        <f>IFERROR(IF(VLOOKUP(calendar[[#This Row],[Date]],BH!E:E,1,)&lt;&gt;"",1,0),0)</f>
        <v>0</v>
      </c>
      <c r="O3623">
        <f>IFERROR(IF(VLOOKUP(calendar[[#This Row],[Date]],BH!G:G,1,)&lt;&gt;"",1,0),0)</f>
        <v>1</v>
      </c>
      <c r="P3623">
        <f>IF(OR(calendar[[#This Row],[UK_BH]]=1,calendar[[#This Row],[WeekDay]]=1, calendar[[#This Row],[WeekDay]]=7),P3622,P3622+1)</f>
        <v>2573</v>
      </c>
      <c r="Q3623">
        <f>IF(OR(calendar[[#This Row],[FR_BH]]=1,calendar[[#This Row],[WeekDay]]=1, calendar[[#This Row],[WeekDay]]=7),P3622,P3622+1)</f>
        <v>2573</v>
      </c>
      <c r="R3623">
        <f>IF(OR(calendar[[#This Row],[SP_BH]]=1,calendar[[#This Row],[WeekDay]]=1, calendar[[#This Row],[WeekDay]]=7),P3622,P3622+1)</f>
        <v>2573</v>
      </c>
      <c r="S3623">
        <f>IF(OR(calendar[[#This Row],[PT_BH]]=1,calendar[[#This Row],[WeekDay]]=1, calendar[[#This Row],[WeekDay]]=7),P3622,P3622+1)</f>
        <v>2572</v>
      </c>
    </row>
    <row r="3624" spans="1:19" x14ac:dyDescent="0.25">
      <c r="A3624" s="2">
        <v>46358</v>
      </c>
      <c r="B3624" s="1">
        <f t="shared" si="286"/>
        <v>49</v>
      </c>
      <c r="C3624">
        <f t="shared" si="288"/>
        <v>12</v>
      </c>
      <c r="D3624" t="str">
        <f t="shared" si="289"/>
        <v>December</v>
      </c>
      <c r="E3624">
        <f t="shared" si="290"/>
        <v>2026</v>
      </c>
      <c r="F3624" t="str">
        <f>CONCATENATE(calendar[[#This Row],[Month]],"/",calendar[[#This Row],[Year]])</f>
        <v>12/2026</v>
      </c>
      <c r="G3624">
        <f>WEEKDAY(calendar[[#This Row],[Date]],1)</f>
        <v>4</v>
      </c>
      <c r="H3624" t="str">
        <f>TEXT(calendar[[#This Row],[WeekDay]],"dddd")</f>
        <v>Wednesday</v>
      </c>
      <c r="I3624">
        <f>IF((INT(calendar[[#This Row],[Count]]/7)-calendar[[#This Row],[Count]]/7)&lt;0,I3623,I3623+1)</f>
        <v>518</v>
      </c>
      <c r="J3624">
        <f t="shared" si="287"/>
        <v>3622</v>
      </c>
      <c r="K3624">
        <f>IF(calendar[[#This Row],[Month]]&lt;4,1,IF(calendar[[#This Row],[Month]]&lt;7,2,IF(calendar[[#This Row],[Month]]&lt;10,3,4)))</f>
        <v>4</v>
      </c>
      <c r="L3624">
        <f>IFERROR(IF(VLOOKUP(calendar[[#This Row],[Date]],BH!A:A,1,)&lt;&gt;"",1,0),0)</f>
        <v>0</v>
      </c>
      <c r="M3624">
        <f>IFERROR(IF(VLOOKUP(calendar[[#This Row],[Date]],BH!C:C,1,)&lt;&gt;"",1,0),0)</f>
        <v>0</v>
      </c>
      <c r="N3624">
        <f>IFERROR(IF(VLOOKUP(calendar[[#This Row],[Date]],BH!E:E,1,)&lt;&gt;"",1,0),0)</f>
        <v>0</v>
      </c>
      <c r="O3624">
        <f>IFERROR(IF(VLOOKUP(calendar[[#This Row],[Date]],BH!G:G,1,)&lt;&gt;"",1,0),0)</f>
        <v>0</v>
      </c>
      <c r="P3624">
        <f>IF(OR(calendar[[#This Row],[UK_BH]]=1,calendar[[#This Row],[WeekDay]]=1, calendar[[#This Row],[WeekDay]]=7),P3623,P3623+1)</f>
        <v>2574</v>
      </c>
      <c r="Q3624">
        <f>IF(OR(calendar[[#This Row],[FR_BH]]=1,calendar[[#This Row],[WeekDay]]=1, calendar[[#This Row],[WeekDay]]=7),P3623,P3623+1)</f>
        <v>2574</v>
      </c>
      <c r="R3624">
        <f>IF(OR(calendar[[#This Row],[SP_BH]]=1,calendar[[#This Row],[WeekDay]]=1, calendar[[#This Row],[WeekDay]]=7),P3623,P3623+1)</f>
        <v>2574</v>
      </c>
      <c r="S3624">
        <f>IF(OR(calendar[[#This Row],[PT_BH]]=1,calendar[[#This Row],[WeekDay]]=1, calendar[[#This Row],[WeekDay]]=7),P3623,P3623+1)</f>
        <v>2574</v>
      </c>
    </row>
    <row r="3625" spans="1:19" x14ac:dyDescent="0.25">
      <c r="A3625" s="2">
        <v>46359</v>
      </c>
      <c r="B3625" s="1">
        <f t="shared" si="286"/>
        <v>49</v>
      </c>
      <c r="C3625">
        <f t="shared" si="288"/>
        <v>12</v>
      </c>
      <c r="D3625" t="str">
        <f t="shared" si="289"/>
        <v>December</v>
      </c>
      <c r="E3625">
        <f t="shared" si="290"/>
        <v>2026</v>
      </c>
      <c r="F3625" t="str">
        <f>CONCATENATE(calendar[[#This Row],[Month]],"/",calendar[[#This Row],[Year]])</f>
        <v>12/2026</v>
      </c>
      <c r="G3625">
        <f>WEEKDAY(calendar[[#This Row],[Date]],1)</f>
        <v>5</v>
      </c>
      <c r="H3625" t="str">
        <f>TEXT(calendar[[#This Row],[WeekDay]],"dddd")</f>
        <v>Thursday</v>
      </c>
      <c r="I3625">
        <f>IF((INT(calendar[[#This Row],[Count]]/7)-calendar[[#This Row],[Count]]/7)&lt;0,I3624,I3624+1)</f>
        <v>518</v>
      </c>
      <c r="J3625">
        <f t="shared" si="287"/>
        <v>3623</v>
      </c>
      <c r="K3625">
        <f>IF(calendar[[#This Row],[Month]]&lt;4,1,IF(calendar[[#This Row],[Month]]&lt;7,2,IF(calendar[[#This Row],[Month]]&lt;10,3,4)))</f>
        <v>4</v>
      </c>
      <c r="L3625">
        <f>IFERROR(IF(VLOOKUP(calendar[[#This Row],[Date]],BH!A:A,1,)&lt;&gt;"",1,0),0)</f>
        <v>0</v>
      </c>
      <c r="M3625">
        <f>IFERROR(IF(VLOOKUP(calendar[[#This Row],[Date]],BH!C:C,1,)&lt;&gt;"",1,0),0)</f>
        <v>0</v>
      </c>
      <c r="N3625">
        <f>IFERROR(IF(VLOOKUP(calendar[[#This Row],[Date]],BH!E:E,1,)&lt;&gt;"",1,0),0)</f>
        <v>0</v>
      </c>
      <c r="O3625">
        <f>IFERROR(IF(VLOOKUP(calendar[[#This Row],[Date]],BH!G:G,1,)&lt;&gt;"",1,0),0)</f>
        <v>0</v>
      </c>
      <c r="P3625">
        <f>IF(OR(calendar[[#This Row],[UK_BH]]=1,calendar[[#This Row],[WeekDay]]=1, calendar[[#This Row],[WeekDay]]=7),P3624,P3624+1)</f>
        <v>2575</v>
      </c>
      <c r="Q3625">
        <f>IF(OR(calendar[[#This Row],[FR_BH]]=1,calendar[[#This Row],[WeekDay]]=1, calendar[[#This Row],[WeekDay]]=7),P3624,P3624+1)</f>
        <v>2575</v>
      </c>
      <c r="R3625">
        <f>IF(OR(calendar[[#This Row],[SP_BH]]=1,calendar[[#This Row],[WeekDay]]=1, calendar[[#This Row],[WeekDay]]=7),P3624,P3624+1)</f>
        <v>2575</v>
      </c>
      <c r="S3625">
        <f>IF(OR(calendar[[#This Row],[PT_BH]]=1,calendar[[#This Row],[WeekDay]]=1, calendar[[#This Row],[WeekDay]]=7),P3624,P3624+1)</f>
        <v>2575</v>
      </c>
    </row>
    <row r="3626" spans="1:19" x14ac:dyDescent="0.25">
      <c r="A3626" s="2">
        <v>46360</v>
      </c>
      <c r="B3626" s="1">
        <f t="shared" si="286"/>
        <v>49</v>
      </c>
      <c r="C3626">
        <f t="shared" si="288"/>
        <v>12</v>
      </c>
      <c r="D3626" t="str">
        <f t="shared" si="289"/>
        <v>December</v>
      </c>
      <c r="E3626">
        <f t="shared" si="290"/>
        <v>2026</v>
      </c>
      <c r="F3626" t="str">
        <f>CONCATENATE(calendar[[#This Row],[Month]],"/",calendar[[#This Row],[Year]])</f>
        <v>12/2026</v>
      </c>
      <c r="G3626">
        <f>WEEKDAY(calendar[[#This Row],[Date]],1)</f>
        <v>6</v>
      </c>
      <c r="H3626" t="str">
        <f>TEXT(calendar[[#This Row],[WeekDay]],"dddd")</f>
        <v>Friday</v>
      </c>
      <c r="I3626">
        <f>IF((INT(calendar[[#This Row],[Count]]/7)-calendar[[#This Row],[Count]]/7)&lt;0,I3625,I3625+1)</f>
        <v>518</v>
      </c>
      <c r="J3626">
        <f t="shared" si="287"/>
        <v>3624</v>
      </c>
      <c r="K3626">
        <f>IF(calendar[[#This Row],[Month]]&lt;4,1,IF(calendar[[#This Row],[Month]]&lt;7,2,IF(calendar[[#This Row],[Month]]&lt;10,3,4)))</f>
        <v>4</v>
      </c>
      <c r="L3626">
        <f>IFERROR(IF(VLOOKUP(calendar[[#This Row],[Date]],BH!A:A,1,)&lt;&gt;"",1,0),0)</f>
        <v>0</v>
      </c>
      <c r="M3626">
        <f>IFERROR(IF(VLOOKUP(calendar[[#This Row],[Date]],BH!C:C,1,)&lt;&gt;"",1,0),0)</f>
        <v>0</v>
      </c>
      <c r="N3626">
        <f>IFERROR(IF(VLOOKUP(calendar[[#This Row],[Date]],BH!E:E,1,)&lt;&gt;"",1,0),0)</f>
        <v>0</v>
      </c>
      <c r="O3626">
        <f>IFERROR(IF(VLOOKUP(calendar[[#This Row],[Date]],BH!G:G,1,)&lt;&gt;"",1,0),0)</f>
        <v>0</v>
      </c>
      <c r="P3626">
        <f>IF(OR(calendar[[#This Row],[UK_BH]]=1,calendar[[#This Row],[WeekDay]]=1, calendar[[#This Row],[WeekDay]]=7),P3625,P3625+1)</f>
        <v>2576</v>
      </c>
      <c r="Q3626">
        <f>IF(OR(calendar[[#This Row],[FR_BH]]=1,calendar[[#This Row],[WeekDay]]=1, calendar[[#This Row],[WeekDay]]=7),P3625,P3625+1)</f>
        <v>2576</v>
      </c>
      <c r="R3626">
        <f>IF(OR(calendar[[#This Row],[SP_BH]]=1,calendar[[#This Row],[WeekDay]]=1, calendar[[#This Row],[WeekDay]]=7),P3625,P3625+1)</f>
        <v>2576</v>
      </c>
      <c r="S3626">
        <f>IF(OR(calendar[[#This Row],[PT_BH]]=1,calendar[[#This Row],[WeekDay]]=1, calendar[[#This Row],[WeekDay]]=7),P3625,P3625+1)</f>
        <v>2576</v>
      </c>
    </row>
    <row r="3627" spans="1:19" x14ac:dyDescent="0.25">
      <c r="A3627" s="2">
        <v>46361</v>
      </c>
      <c r="B3627" s="1">
        <f t="shared" si="286"/>
        <v>49</v>
      </c>
      <c r="C3627">
        <f t="shared" si="288"/>
        <v>12</v>
      </c>
      <c r="D3627" t="str">
        <f t="shared" si="289"/>
        <v>December</v>
      </c>
      <c r="E3627">
        <f t="shared" si="290"/>
        <v>2026</v>
      </c>
      <c r="F3627" t="str">
        <f>CONCATENATE(calendar[[#This Row],[Month]],"/",calendar[[#This Row],[Year]])</f>
        <v>12/2026</v>
      </c>
      <c r="G3627">
        <f>WEEKDAY(calendar[[#This Row],[Date]],1)</f>
        <v>7</v>
      </c>
      <c r="H3627" t="str">
        <f>TEXT(calendar[[#This Row],[WeekDay]],"dddd")</f>
        <v>Saturday</v>
      </c>
      <c r="I3627">
        <f>IF((INT(calendar[[#This Row],[Count]]/7)-calendar[[#This Row],[Count]]/7)&lt;0,I3626,I3626+1)</f>
        <v>518</v>
      </c>
      <c r="J3627">
        <f t="shared" si="287"/>
        <v>3625</v>
      </c>
      <c r="K3627">
        <f>IF(calendar[[#This Row],[Month]]&lt;4,1,IF(calendar[[#This Row],[Month]]&lt;7,2,IF(calendar[[#This Row],[Month]]&lt;10,3,4)))</f>
        <v>4</v>
      </c>
      <c r="L3627">
        <f>IFERROR(IF(VLOOKUP(calendar[[#This Row],[Date]],BH!A:A,1,)&lt;&gt;"",1,0),0)</f>
        <v>0</v>
      </c>
      <c r="M3627">
        <f>IFERROR(IF(VLOOKUP(calendar[[#This Row],[Date]],BH!C:C,1,)&lt;&gt;"",1,0),0)</f>
        <v>0</v>
      </c>
      <c r="N3627">
        <f>IFERROR(IF(VLOOKUP(calendar[[#This Row],[Date]],BH!E:E,1,)&lt;&gt;"",1,0),0)</f>
        <v>0</v>
      </c>
      <c r="O3627">
        <f>IFERROR(IF(VLOOKUP(calendar[[#This Row],[Date]],BH!G:G,1,)&lt;&gt;"",1,0),0)</f>
        <v>0</v>
      </c>
      <c r="P3627">
        <f>IF(OR(calendar[[#This Row],[UK_BH]]=1,calendar[[#This Row],[WeekDay]]=1, calendar[[#This Row],[WeekDay]]=7),P3626,P3626+1)</f>
        <v>2576</v>
      </c>
      <c r="Q3627">
        <f>IF(OR(calendar[[#This Row],[FR_BH]]=1,calendar[[#This Row],[WeekDay]]=1, calendar[[#This Row],[WeekDay]]=7),P3626,P3626+1)</f>
        <v>2576</v>
      </c>
      <c r="R3627">
        <f>IF(OR(calendar[[#This Row],[SP_BH]]=1,calendar[[#This Row],[WeekDay]]=1, calendar[[#This Row],[WeekDay]]=7),P3626,P3626+1)</f>
        <v>2576</v>
      </c>
      <c r="S3627">
        <f>IF(OR(calendar[[#This Row],[PT_BH]]=1,calendar[[#This Row],[WeekDay]]=1, calendar[[#This Row],[WeekDay]]=7),P3626,P3626+1)</f>
        <v>2576</v>
      </c>
    </row>
    <row r="3628" spans="1:19" x14ac:dyDescent="0.25">
      <c r="A3628" s="2">
        <v>46362</v>
      </c>
      <c r="B3628" s="1">
        <f t="shared" si="286"/>
        <v>50</v>
      </c>
      <c r="C3628">
        <f t="shared" si="288"/>
        <v>12</v>
      </c>
      <c r="D3628" t="str">
        <f t="shared" si="289"/>
        <v>December</v>
      </c>
      <c r="E3628">
        <f t="shared" si="290"/>
        <v>2026</v>
      </c>
      <c r="F3628" t="str">
        <f>CONCATENATE(calendar[[#This Row],[Month]],"/",calendar[[#This Row],[Year]])</f>
        <v>12/2026</v>
      </c>
      <c r="G3628">
        <f>WEEKDAY(calendar[[#This Row],[Date]],1)</f>
        <v>1</v>
      </c>
      <c r="H3628" t="str">
        <f>TEXT(calendar[[#This Row],[WeekDay]],"dddd")</f>
        <v>Sunday</v>
      </c>
      <c r="I3628">
        <f>IF((INT(calendar[[#This Row],[Count]]/7)-calendar[[#This Row],[Count]]/7)&lt;0,I3627,I3627+1)</f>
        <v>519</v>
      </c>
      <c r="J3628">
        <f t="shared" si="287"/>
        <v>3626</v>
      </c>
      <c r="K3628">
        <f>IF(calendar[[#This Row],[Month]]&lt;4,1,IF(calendar[[#This Row],[Month]]&lt;7,2,IF(calendar[[#This Row],[Month]]&lt;10,3,4)))</f>
        <v>4</v>
      </c>
      <c r="L3628">
        <f>IFERROR(IF(VLOOKUP(calendar[[#This Row],[Date]],BH!A:A,1,)&lt;&gt;"",1,0),0)</f>
        <v>0</v>
      </c>
      <c r="M3628">
        <f>IFERROR(IF(VLOOKUP(calendar[[#This Row],[Date]],BH!C:C,1,)&lt;&gt;"",1,0),0)</f>
        <v>0</v>
      </c>
      <c r="N3628">
        <f>IFERROR(IF(VLOOKUP(calendar[[#This Row],[Date]],BH!E:E,1,)&lt;&gt;"",1,0),0)</f>
        <v>1</v>
      </c>
      <c r="O3628">
        <f>IFERROR(IF(VLOOKUP(calendar[[#This Row],[Date]],BH!G:G,1,)&lt;&gt;"",1,0),0)</f>
        <v>0</v>
      </c>
      <c r="P3628">
        <f>IF(OR(calendar[[#This Row],[UK_BH]]=1,calendar[[#This Row],[WeekDay]]=1, calendar[[#This Row],[WeekDay]]=7),P3627,P3627+1)</f>
        <v>2576</v>
      </c>
      <c r="Q3628">
        <f>IF(OR(calendar[[#This Row],[FR_BH]]=1,calendar[[#This Row],[WeekDay]]=1, calendar[[#This Row],[WeekDay]]=7),P3627,P3627+1)</f>
        <v>2576</v>
      </c>
      <c r="R3628">
        <f>IF(OR(calendar[[#This Row],[SP_BH]]=1,calendar[[#This Row],[WeekDay]]=1, calendar[[#This Row],[WeekDay]]=7),P3627,P3627+1)</f>
        <v>2576</v>
      </c>
      <c r="S3628">
        <f>IF(OR(calendar[[#This Row],[PT_BH]]=1,calendar[[#This Row],[WeekDay]]=1, calendar[[#This Row],[WeekDay]]=7),P3627,P3627+1)</f>
        <v>2576</v>
      </c>
    </row>
    <row r="3629" spans="1:19" x14ac:dyDescent="0.25">
      <c r="A3629" s="2">
        <v>46363</v>
      </c>
      <c r="B3629" s="1">
        <f t="shared" si="286"/>
        <v>50</v>
      </c>
      <c r="C3629">
        <f t="shared" si="288"/>
        <v>12</v>
      </c>
      <c r="D3629" t="str">
        <f t="shared" si="289"/>
        <v>December</v>
      </c>
      <c r="E3629">
        <f t="shared" si="290"/>
        <v>2026</v>
      </c>
      <c r="F3629" t="str">
        <f>CONCATENATE(calendar[[#This Row],[Month]],"/",calendar[[#This Row],[Year]])</f>
        <v>12/2026</v>
      </c>
      <c r="G3629">
        <f>WEEKDAY(calendar[[#This Row],[Date]],1)</f>
        <v>2</v>
      </c>
      <c r="H3629" t="str">
        <f>TEXT(calendar[[#This Row],[WeekDay]],"dddd")</f>
        <v>Monday</v>
      </c>
      <c r="I3629">
        <f>IF((INT(calendar[[#This Row],[Count]]/7)-calendar[[#This Row],[Count]]/7)&lt;0,I3628,I3628+1)</f>
        <v>519</v>
      </c>
      <c r="J3629">
        <f t="shared" si="287"/>
        <v>3627</v>
      </c>
      <c r="K3629">
        <f>IF(calendar[[#This Row],[Month]]&lt;4,1,IF(calendar[[#This Row],[Month]]&lt;7,2,IF(calendar[[#This Row],[Month]]&lt;10,3,4)))</f>
        <v>4</v>
      </c>
      <c r="L3629">
        <f>IFERROR(IF(VLOOKUP(calendar[[#This Row],[Date]],BH!A:A,1,)&lt;&gt;"",1,0),0)</f>
        <v>0</v>
      </c>
      <c r="M3629">
        <f>IFERROR(IF(VLOOKUP(calendar[[#This Row],[Date]],BH!C:C,1,)&lt;&gt;"",1,0),0)</f>
        <v>0</v>
      </c>
      <c r="N3629">
        <f>IFERROR(IF(VLOOKUP(calendar[[#This Row],[Date]],BH!E:E,1,)&lt;&gt;"",1,0),0)</f>
        <v>0</v>
      </c>
      <c r="O3629">
        <f>IFERROR(IF(VLOOKUP(calendar[[#This Row],[Date]],BH!G:G,1,)&lt;&gt;"",1,0),0)</f>
        <v>0</v>
      </c>
      <c r="P3629">
        <f>IF(OR(calendar[[#This Row],[UK_BH]]=1,calendar[[#This Row],[WeekDay]]=1, calendar[[#This Row],[WeekDay]]=7),P3628,P3628+1)</f>
        <v>2577</v>
      </c>
      <c r="Q3629">
        <f>IF(OR(calendar[[#This Row],[FR_BH]]=1,calendar[[#This Row],[WeekDay]]=1, calendar[[#This Row],[WeekDay]]=7),P3628,P3628+1)</f>
        <v>2577</v>
      </c>
      <c r="R3629">
        <f>IF(OR(calendar[[#This Row],[SP_BH]]=1,calendar[[#This Row],[WeekDay]]=1, calendar[[#This Row],[WeekDay]]=7),P3628,P3628+1)</f>
        <v>2577</v>
      </c>
      <c r="S3629">
        <f>IF(OR(calendar[[#This Row],[PT_BH]]=1,calendar[[#This Row],[WeekDay]]=1, calendar[[#This Row],[WeekDay]]=7),P3628,P3628+1)</f>
        <v>2577</v>
      </c>
    </row>
    <row r="3630" spans="1:19" x14ac:dyDescent="0.25">
      <c r="A3630" s="2">
        <v>46364</v>
      </c>
      <c r="B3630" s="1">
        <f t="shared" si="286"/>
        <v>50</v>
      </c>
      <c r="C3630">
        <f t="shared" si="288"/>
        <v>12</v>
      </c>
      <c r="D3630" t="str">
        <f t="shared" si="289"/>
        <v>December</v>
      </c>
      <c r="E3630">
        <f t="shared" si="290"/>
        <v>2026</v>
      </c>
      <c r="F3630" t="str">
        <f>CONCATENATE(calendar[[#This Row],[Month]],"/",calendar[[#This Row],[Year]])</f>
        <v>12/2026</v>
      </c>
      <c r="G3630">
        <f>WEEKDAY(calendar[[#This Row],[Date]],1)</f>
        <v>3</v>
      </c>
      <c r="H3630" t="str">
        <f>TEXT(calendar[[#This Row],[WeekDay]],"dddd")</f>
        <v>Tuesday</v>
      </c>
      <c r="I3630">
        <f>IF((INT(calendar[[#This Row],[Count]]/7)-calendar[[#This Row],[Count]]/7)&lt;0,I3629,I3629+1)</f>
        <v>519</v>
      </c>
      <c r="J3630">
        <f t="shared" si="287"/>
        <v>3628</v>
      </c>
      <c r="K3630">
        <f>IF(calendar[[#This Row],[Month]]&lt;4,1,IF(calendar[[#This Row],[Month]]&lt;7,2,IF(calendar[[#This Row],[Month]]&lt;10,3,4)))</f>
        <v>4</v>
      </c>
      <c r="L3630">
        <f>IFERROR(IF(VLOOKUP(calendar[[#This Row],[Date]],BH!A:A,1,)&lt;&gt;"",1,0),0)</f>
        <v>0</v>
      </c>
      <c r="M3630">
        <f>IFERROR(IF(VLOOKUP(calendar[[#This Row],[Date]],BH!C:C,1,)&lt;&gt;"",1,0),0)</f>
        <v>0</v>
      </c>
      <c r="N3630">
        <f>IFERROR(IF(VLOOKUP(calendar[[#This Row],[Date]],BH!E:E,1,)&lt;&gt;"",1,0),0)</f>
        <v>1</v>
      </c>
      <c r="O3630">
        <f>IFERROR(IF(VLOOKUP(calendar[[#This Row],[Date]],BH!G:G,1,)&lt;&gt;"",1,0),0)</f>
        <v>1</v>
      </c>
      <c r="P3630">
        <f>IF(OR(calendar[[#This Row],[UK_BH]]=1,calendar[[#This Row],[WeekDay]]=1, calendar[[#This Row],[WeekDay]]=7),P3629,P3629+1)</f>
        <v>2578</v>
      </c>
      <c r="Q3630">
        <f>IF(OR(calendar[[#This Row],[FR_BH]]=1,calendar[[#This Row],[WeekDay]]=1, calendar[[#This Row],[WeekDay]]=7),P3629,P3629+1)</f>
        <v>2578</v>
      </c>
      <c r="R3630">
        <f>IF(OR(calendar[[#This Row],[SP_BH]]=1,calendar[[#This Row],[WeekDay]]=1, calendar[[#This Row],[WeekDay]]=7),P3629,P3629+1)</f>
        <v>2577</v>
      </c>
      <c r="S3630">
        <f>IF(OR(calendar[[#This Row],[PT_BH]]=1,calendar[[#This Row],[WeekDay]]=1, calendar[[#This Row],[WeekDay]]=7),P3629,P3629+1)</f>
        <v>2577</v>
      </c>
    </row>
    <row r="3631" spans="1:19" x14ac:dyDescent="0.25">
      <c r="A3631" s="2">
        <v>46365</v>
      </c>
      <c r="B3631" s="1">
        <f t="shared" si="286"/>
        <v>50</v>
      </c>
      <c r="C3631">
        <f t="shared" si="288"/>
        <v>12</v>
      </c>
      <c r="D3631" t="str">
        <f t="shared" si="289"/>
        <v>December</v>
      </c>
      <c r="E3631">
        <f t="shared" si="290"/>
        <v>2026</v>
      </c>
      <c r="F3631" t="str">
        <f>CONCATENATE(calendar[[#This Row],[Month]],"/",calendar[[#This Row],[Year]])</f>
        <v>12/2026</v>
      </c>
      <c r="G3631">
        <f>WEEKDAY(calendar[[#This Row],[Date]],1)</f>
        <v>4</v>
      </c>
      <c r="H3631" t="str">
        <f>TEXT(calendar[[#This Row],[WeekDay]],"dddd")</f>
        <v>Wednesday</v>
      </c>
      <c r="I3631">
        <f>IF((INT(calendar[[#This Row],[Count]]/7)-calendar[[#This Row],[Count]]/7)&lt;0,I3630,I3630+1)</f>
        <v>519</v>
      </c>
      <c r="J3631">
        <f t="shared" si="287"/>
        <v>3629</v>
      </c>
      <c r="K3631">
        <f>IF(calendar[[#This Row],[Month]]&lt;4,1,IF(calendar[[#This Row],[Month]]&lt;7,2,IF(calendar[[#This Row],[Month]]&lt;10,3,4)))</f>
        <v>4</v>
      </c>
      <c r="L3631">
        <f>IFERROR(IF(VLOOKUP(calendar[[#This Row],[Date]],BH!A:A,1,)&lt;&gt;"",1,0),0)</f>
        <v>0</v>
      </c>
      <c r="M3631">
        <f>IFERROR(IF(VLOOKUP(calendar[[#This Row],[Date]],BH!C:C,1,)&lt;&gt;"",1,0),0)</f>
        <v>0</v>
      </c>
      <c r="N3631">
        <f>IFERROR(IF(VLOOKUP(calendar[[#This Row],[Date]],BH!E:E,1,)&lt;&gt;"",1,0),0)</f>
        <v>0</v>
      </c>
      <c r="O3631">
        <f>IFERROR(IF(VLOOKUP(calendar[[#This Row],[Date]],BH!G:G,1,)&lt;&gt;"",1,0),0)</f>
        <v>0</v>
      </c>
      <c r="P3631">
        <f>IF(OR(calendar[[#This Row],[UK_BH]]=1,calendar[[#This Row],[WeekDay]]=1, calendar[[#This Row],[WeekDay]]=7),P3630,P3630+1)</f>
        <v>2579</v>
      </c>
      <c r="Q3631">
        <f>IF(OR(calendar[[#This Row],[FR_BH]]=1,calendar[[#This Row],[WeekDay]]=1, calendar[[#This Row],[WeekDay]]=7),P3630,P3630+1)</f>
        <v>2579</v>
      </c>
      <c r="R3631">
        <f>IF(OR(calendar[[#This Row],[SP_BH]]=1,calendar[[#This Row],[WeekDay]]=1, calendar[[#This Row],[WeekDay]]=7),P3630,P3630+1)</f>
        <v>2579</v>
      </c>
      <c r="S3631">
        <f>IF(OR(calendar[[#This Row],[PT_BH]]=1,calendar[[#This Row],[WeekDay]]=1, calendar[[#This Row],[WeekDay]]=7),P3630,P3630+1)</f>
        <v>2579</v>
      </c>
    </row>
    <row r="3632" spans="1:19" x14ac:dyDescent="0.25">
      <c r="A3632" s="2">
        <v>46366</v>
      </c>
      <c r="B3632" s="1">
        <f t="shared" si="286"/>
        <v>50</v>
      </c>
      <c r="C3632">
        <f t="shared" si="288"/>
        <v>12</v>
      </c>
      <c r="D3632" t="str">
        <f t="shared" si="289"/>
        <v>December</v>
      </c>
      <c r="E3632">
        <f t="shared" si="290"/>
        <v>2026</v>
      </c>
      <c r="F3632" t="str">
        <f>CONCATENATE(calendar[[#This Row],[Month]],"/",calendar[[#This Row],[Year]])</f>
        <v>12/2026</v>
      </c>
      <c r="G3632">
        <f>WEEKDAY(calendar[[#This Row],[Date]],1)</f>
        <v>5</v>
      </c>
      <c r="H3632" t="str">
        <f>TEXT(calendar[[#This Row],[WeekDay]],"dddd")</f>
        <v>Thursday</v>
      </c>
      <c r="I3632">
        <f>IF((INT(calendar[[#This Row],[Count]]/7)-calendar[[#This Row],[Count]]/7)&lt;0,I3631,I3631+1)</f>
        <v>519</v>
      </c>
      <c r="J3632">
        <f t="shared" si="287"/>
        <v>3630</v>
      </c>
      <c r="K3632">
        <f>IF(calendar[[#This Row],[Month]]&lt;4,1,IF(calendar[[#This Row],[Month]]&lt;7,2,IF(calendar[[#This Row],[Month]]&lt;10,3,4)))</f>
        <v>4</v>
      </c>
      <c r="L3632">
        <f>IFERROR(IF(VLOOKUP(calendar[[#This Row],[Date]],BH!A:A,1,)&lt;&gt;"",1,0),0)</f>
        <v>0</v>
      </c>
      <c r="M3632">
        <f>IFERROR(IF(VLOOKUP(calendar[[#This Row],[Date]],BH!C:C,1,)&lt;&gt;"",1,0),0)</f>
        <v>0</v>
      </c>
      <c r="N3632">
        <f>IFERROR(IF(VLOOKUP(calendar[[#This Row],[Date]],BH!E:E,1,)&lt;&gt;"",1,0),0)</f>
        <v>0</v>
      </c>
      <c r="O3632">
        <f>IFERROR(IF(VLOOKUP(calendar[[#This Row],[Date]],BH!G:G,1,)&lt;&gt;"",1,0),0)</f>
        <v>0</v>
      </c>
      <c r="P3632">
        <f>IF(OR(calendar[[#This Row],[UK_BH]]=1,calendar[[#This Row],[WeekDay]]=1, calendar[[#This Row],[WeekDay]]=7),P3631,P3631+1)</f>
        <v>2580</v>
      </c>
      <c r="Q3632">
        <f>IF(OR(calendar[[#This Row],[FR_BH]]=1,calendar[[#This Row],[WeekDay]]=1, calendar[[#This Row],[WeekDay]]=7),P3631,P3631+1)</f>
        <v>2580</v>
      </c>
      <c r="R3632">
        <f>IF(OR(calendar[[#This Row],[SP_BH]]=1,calendar[[#This Row],[WeekDay]]=1, calendar[[#This Row],[WeekDay]]=7),P3631,P3631+1)</f>
        <v>2580</v>
      </c>
      <c r="S3632">
        <f>IF(OR(calendar[[#This Row],[PT_BH]]=1,calendar[[#This Row],[WeekDay]]=1, calendar[[#This Row],[WeekDay]]=7),P3631,P3631+1)</f>
        <v>2580</v>
      </c>
    </row>
    <row r="3633" spans="1:19" x14ac:dyDescent="0.25">
      <c r="A3633" s="2">
        <v>46367</v>
      </c>
      <c r="B3633" s="1">
        <f t="shared" si="286"/>
        <v>50</v>
      </c>
      <c r="C3633">
        <f t="shared" si="288"/>
        <v>12</v>
      </c>
      <c r="D3633" t="str">
        <f t="shared" si="289"/>
        <v>December</v>
      </c>
      <c r="E3633">
        <f t="shared" si="290"/>
        <v>2026</v>
      </c>
      <c r="F3633" t="str">
        <f>CONCATENATE(calendar[[#This Row],[Month]],"/",calendar[[#This Row],[Year]])</f>
        <v>12/2026</v>
      </c>
      <c r="G3633">
        <f>WEEKDAY(calendar[[#This Row],[Date]],1)</f>
        <v>6</v>
      </c>
      <c r="H3633" t="str">
        <f>TEXT(calendar[[#This Row],[WeekDay]],"dddd")</f>
        <v>Friday</v>
      </c>
      <c r="I3633">
        <f>IF((INT(calendar[[#This Row],[Count]]/7)-calendar[[#This Row],[Count]]/7)&lt;0,I3632,I3632+1)</f>
        <v>519</v>
      </c>
      <c r="J3633">
        <f t="shared" si="287"/>
        <v>3631</v>
      </c>
      <c r="K3633">
        <f>IF(calendar[[#This Row],[Month]]&lt;4,1,IF(calendar[[#This Row],[Month]]&lt;7,2,IF(calendar[[#This Row],[Month]]&lt;10,3,4)))</f>
        <v>4</v>
      </c>
      <c r="L3633">
        <f>IFERROR(IF(VLOOKUP(calendar[[#This Row],[Date]],BH!A:A,1,)&lt;&gt;"",1,0),0)</f>
        <v>0</v>
      </c>
      <c r="M3633">
        <f>IFERROR(IF(VLOOKUP(calendar[[#This Row],[Date]],BH!C:C,1,)&lt;&gt;"",1,0),0)</f>
        <v>0</v>
      </c>
      <c r="N3633">
        <f>IFERROR(IF(VLOOKUP(calendar[[#This Row],[Date]],BH!E:E,1,)&lt;&gt;"",1,0),0)</f>
        <v>0</v>
      </c>
      <c r="O3633">
        <f>IFERROR(IF(VLOOKUP(calendar[[#This Row],[Date]],BH!G:G,1,)&lt;&gt;"",1,0),0)</f>
        <v>0</v>
      </c>
      <c r="P3633">
        <f>IF(OR(calendar[[#This Row],[UK_BH]]=1,calendar[[#This Row],[WeekDay]]=1, calendar[[#This Row],[WeekDay]]=7),P3632,P3632+1)</f>
        <v>2581</v>
      </c>
      <c r="Q3633">
        <f>IF(OR(calendar[[#This Row],[FR_BH]]=1,calendar[[#This Row],[WeekDay]]=1, calendar[[#This Row],[WeekDay]]=7),P3632,P3632+1)</f>
        <v>2581</v>
      </c>
      <c r="R3633">
        <f>IF(OR(calendar[[#This Row],[SP_BH]]=1,calendar[[#This Row],[WeekDay]]=1, calendar[[#This Row],[WeekDay]]=7),P3632,P3632+1)</f>
        <v>2581</v>
      </c>
      <c r="S3633">
        <f>IF(OR(calendar[[#This Row],[PT_BH]]=1,calendar[[#This Row],[WeekDay]]=1, calendar[[#This Row],[WeekDay]]=7),P3632,P3632+1)</f>
        <v>2581</v>
      </c>
    </row>
    <row r="3634" spans="1:19" x14ac:dyDescent="0.25">
      <c r="A3634" s="2">
        <v>46368</v>
      </c>
      <c r="B3634" s="1">
        <f t="shared" si="286"/>
        <v>50</v>
      </c>
      <c r="C3634">
        <f t="shared" si="288"/>
        <v>12</v>
      </c>
      <c r="D3634" t="str">
        <f t="shared" si="289"/>
        <v>December</v>
      </c>
      <c r="E3634">
        <f t="shared" si="290"/>
        <v>2026</v>
      </c>
      <c r="F3634" t="str">
        <f>CONCATENATE(calendar[[#This Row],[Month]],"/",calendar[[#This Row],[Year]])</f>
        <v>12/2026</v>
      </c>
      <c r="G3634">
        <f>WEEKDAY(calendar[[#This Row],[Date]],1)</f>
        <v>7</v>
      </c>
      <c r="H3634" t="str">
        <f>TEXT(calendar[[#This Row],[WeekDay]],"dddd")</f>
        <v>Saturday</v>
      </c>
      <c r="I3634">
        <f>IF((INT(calendar[[#This Row],[Count]]/7)-calendar[[#This Row],[Count]]/7)&lt;0,I3633,I3633+1)</f>
        <v>519</v>
      </c>
      <c r="J3634">
        <f t="shared" si="287"/>
        <v>3632</v>
      </c>
      <c r="K3634">
        <f>IF(calendar[[#This Row],[Month]]&lt;4,1,IF(calendar[[#This Row],[Month]]&lt;7,2,IF(calendar[[#This Row],[Month]]&lt;10,3,4)))</f>
        <v>4</v>
      </c>
      <c r="L3634">
        <f>IFERROR(IF(VLOOKUP(calendar[[#This Row],[Date]],BH!A:A,1,)&lt;&gt;"",1,0),0)</f>
        <v>0</v>
      </c>
      <c r="M3634">
        <f>IFERROR(IF(VLOOKUP(calendar[[#This Row],[Date]],BH!C:C,1,)&lt;&gt;"",1,0),0)</f>
        <v>0</v>
      </c>
      <c r="N3634">
        <f>IFERROR(IF(VLOOKUP(calendar[[#This Row],[Date]],BH!E:E,1,)&lt;&gt;"",1,0),0)</f>
        <v>0</v>
      </c>
      <c r="O3634">
        <f>IFERROR(IF(VLOOKUP(calendar[[#This Row],[Date]],BH!G:G,1,)&lt;&gt;"",1,0),0)</f>
        <v>0</v>
      </c>
      <c r="P3634">
        <f>IF(OR(calendar[[#This Row],[UK_BH]]=1,calendar[[#This Row],[WeekDay]]=1, calendar[[#This Row],[WeekDay]]=7),P3633,P3633+1)</f>
        <v>2581</v>
      </c>
      <c r="Q3634">
        <f>IF(OR(calendar[[#This Row],[FR_BH]]=1,calendar[[#This Row],[WeekDay]]=1, calendar[[#This Row],[WeekDay]]=7),P3633,P3633+1)</f>
        <v>2581</v>
      </c>
      <c r="R3634">
        <f>IF(OR(calendar[[#This Row],[SP_BH]]=1,calendar[[#This Row],[WeekDay]]=1, calendar[[#This Row],[WeekDay]]=7),P3633,P3633+1)</f>
        <v>2581</v>
      </c>
      <c r="S3634">
        <f>IF(OR(calendar[[#This Row],[PT_BH]]=1,calendar[[#This Row],[WeekDay]]=1, calendar[[#This Row],[WeekDay]]=7),P3633,P3633+1)</f>
        <v>2581</v>
      </c>
    </row>
    <row r="3635" spans="1:19" x14ac:dyDescent="0.25">
      <c r="A3635" s="2">
        <v>46369</v>
      </c>
      <c r="B3635" s="1">
        <f t="shared" si="286"/>
        <v>51</v>
      </c>
      <c r="C3635">
        <f t="shared" si="288"/>
        <v>12</v>
      </c>
      <c r="D3635" t="str">
        <f t="shared" si="289"/>
        <v>December</v>
      </c>
      <c r="E3635">
        <f t="shared" si="290"/>
        <v>2026</v>
      </c>
      <c r="F3635" t="str">
        <f>CONCATENATE(calendar[[#This Row],[Month]],"/",calendar[[#This Row],[Year]])</f>
        <v>12/2026</v>
      </c>
      <c r="G3635">
        <f>WEEKDAY(calendar[[#This Row],[Date]],1)</f>
        <v>1</v>
      </c>
      <c r="H3635" t="str">
        <f>TEXT(calendar[[#This Row],[WeekDay]],"dddd")</f>
        <v>Sunday</v>
      </c>
      <c r="I3635">
        <f>IF((INT(calendar[[#This Row],[Count]]/7)-calendar[[#This Row],[Count]]/7)&lt;0,I3634,I3634+1)</f>
        <v>520</v>
      </c>
      <c r="J3635">
        <f t="shared" si="287"/>
        <v>3633</v>
      </c>
      <c r="K3635">
        <f>IF(calendar[[#This Row],[Month]]&lt;4,1,IF(calendar[[#This Row],[Month]]&lt;7,2,IF(calendar[[#This Row],[Month]]&lt;10,3,4)))</f>
        <v>4</v>
      </c>
      <c r="L3635">
        <f>IFERROR(IF(VLOOKUP(calendar[[#This Row],[Date]],BH!A:A,1,)&lt;&gt;"",1,0),0)</f>
        <v>0</v>
      </c>
      <c r="M3635">
        <f>IFERROR(IF(VLOOKUP(calendar[[#This Row],[Date]],BH!C:C,1,)&lt;&gt;"",1,0),0)</f>
        <v>0</v>
      </c>
      <c r="N3635">
        <f>IFERROR(IF(VLOOKUP(calendar[[#This Row],[Date]],BH!E:E,1,)&lt;&gt;"",1,0),0)</f>
        <v>0</v>
      </c>
      <c r="O3635">
        <f>IFERROR(IF(VLOOKUP(calendar[[#This Row],[Date]],BH!G:G,1,)&lt;&gt;"",1,0),0)</f>
        <v>0</v>
      </c>
      <c r="P3635">
        <f>IF(OR(calendar[[#This Row],[UK_BH]]=1,calendar[[#This Row],[WeekDay]]=1, calendar[[#This Row],[WeekDay]]=7),P3634,P3634+1)</f>
        <v>2581</v>
      </c>
      <c r="Q3635">
        <f>IF(OR(calendar[[#This Row],[FR_BH]]=1,calendar[[#This Row],[WeekDay]]=1, calendar[[#This Row],[WeekDay]]=7),P3634,P3634+1)</f>
        <v>2581</v>
      </c>
      <c r="R3635">
        <f>IF(OR(calendar[[#This Row],[SP_BH]]=1,calendar[[#This Row],[WeekDay]]=1, calendar[[#This Row],[WeekDay]]=7),P3634,P3634+1)</f>
        <v>2581</v>
      </c>
      <c r="S3635">
        <f>IF(OR(calendar[[#This Row],[PT_BH]]=1,calendar[[#This Row],[WeekDay]]=1, calendar[[#This Row],[WeekDay]]=7),P3634,P3634+1)</f>
        <v>2581</v>
      </c>
    </row>
    <row r="3636" spans="1:19" x14ac:dyDescent="0.25">
      <c r="A3636" s="2">
        <v>46370</v>
      </c>
      <c r="B3636" s="1">
        <f t="shared" si="286"/>
        <v>51</v>
      </c>
      <c r="C3636">
        <f t="shared" si="288"/>
        <v>12</v>
      </c>
      <c r="D3636" t="str">
        <f t="shared" si="289"/>
        <v>December</v>
      </c>
      <c r="E3636">
        <f t="shared" si="290"/>
        <v>2026</v>
      </c>
      <c r="F3636" t="str">
        <f>CONCATENATE(calendar[[#This Row],[Month]],"/",calendar[[#This Row],[Year]])</f>
        <v>12/2026</v>
      </c>
      <c r="G3636">
        <f>WEEKDAY(calendar[[#This Row],[Date]],1)</f>
        <v>2</v>
      </c>
      <c r="H3636" t="str">
        <f>TEXT(calendar[[#This Row],[WeekDay]],"dddd")</f>
        <v>Monday</v>
      </c>
      <c r="I3636">
        <f>IF((INT(calendar[[#This Row],[Count]]/7)-calendar[[#This Row],[Count]]/7)&lt;0,I3635,I3635+1)</f>
        <v>520</v>
      </c>
      <c r="J3636">
        <f t="shared" si="287"/>
        <v>3634</v>
      </c>
      <c r="K3636">
        <f>IF(calendar[[#This Row],[Month]]&lt;4,1,IF(calendar[[#This Row],[Month]]&lt;7,2,IF(calendar[[#This Row],[Month]]&lt;10,3,4)))</f>
        <v>4</v>
      </c>
      <c r="L3636">
        <f>IFERROR(IF(VLOOKUP(calendar[[#This Row],[Date]],BH!A:A,1,)&lt;&gt;"",1,0),0)</f>
        <v>0</v>
      </c>
      <c r="M3636">
        <f>IFERROR(IF(VLOOKUP(calendar[[#This Row],[Date]],BH!C:C,1,)&lt;&gt;"",1,0),0)</f>
        <v>0</v>
      </c>
      <c r="N3636">
        <f>IFERROR(IF(VLOOKUP(calendar[[#This Row],[Date]],BH!E:E,1,)&lt;&gt;"",1,0),0)</f>
        <v>0</v>
      </c>
      <c r="O3636">
        <f>IFERROR(IF(VLOOKUP(calendar[[#This Row],[Date]],BH!G:G,1,)&lt;&gt;"",1,0),0)</f>
        <v>0</v>
      </c>
      <c r="P3636">
        <f>IF(OR(calendar[[#This Row],[UK_BH]]=1,calendar[[#This Row],[WeekDay]]=1, calendar[[#This Row],[WeekDay]]=7),P3635,P3635+1)</f>
        <v>2582</v>
      </c>
      <c r="Q3636">
        <f>IF(OR(calendar[[#This Row],[FR_BH]]=1,calendar[[#This Row],[WeekDay]]=1, calendar[[#This Row],[WeekDay]]=7),P3635,P3635+1)</f>
        <v>2582</v>
      </c>
      <c r="R3636">
        <f>IF(OR(calendar[[#This Row],[SP_BH]]=1,calendar[[#This Row],[WeekDay]]=1, calendar[[#This Row],[WeekDay]]=7),P3635,P3635+1)</f>
        <v>2582</v>
      </c>
      <c r="S3636">
        <f>IF(OR(calendar[[#This Row],[PT_BH]]=1,calendar[[#This Row],[WeekDay]]=1, calendar[[#This Row],[WeekDay]]=7),P3635,P3635+1)</f>
        <v>2582</v>
      </c>
    </row>
    <row r="3637" spans="1:19" x14ac:dyDescent="0.25">
      <c r="A3637" s="2">
        <v>46371</v>
      </c>
      <c r="B3637" s="1">
        <f t="shared" si="286"/>
        <v>51</v>
      </c>
      <c r="C3637">
        <f t="shared" si="288"/>
        <v>12</v>
      </c>
      <c r="D3637" t="str">
        <f t="shared" si="289"/>
        <v>December</v>
      </c>
      <c r="E3637">
        <f t="shared" si="290"/>
        <v>2026</v>
      </c>
      <c r="F3637" t="str">
        <f>CONCATENATE(calendar[[#This Row],[Month]],"/",calendar[[#This Row],[Year]])</f>
        <v>12/2026</v>
      </c>
      <c r="G3637">
        <f>WEEKDAY(calendar[[#This Row],[Date]],1)</f>
        <v>3</v>
      </c>
      <c r="H3637" t="str">
        <f>TEXT(calendar[[#This Row],[WeekDay]],"dddd")</f>
        <v>Tuesday</v>
      </c>
      <c r="I3637">
        <f>IF((INT(calendar[[#This Row],[Count]]/7)-calendar[[#This Row],[Count]]/7)&lt;0,I3636,I3636+1)</f>
        <v>520</v>
      </c>
      <c r="J3637">
        <f t="shared" si="287"/>
        <v>3635</v>
      </c>
      <c r="K3637">
        <f>IF(calendar[[#This Row],[Month]]&lt;4,1,IF(calendar[[#This Row],[Month]]&lt;7,2,IF(calendar[[#This Row],[Month]]&lt;10,3,4)))</f>
        <v>4</v>
      </c>
      <c r="L3637">
        <f>IFERROR(IF(VLOOKUP(calendar[[#This Row],[Date]],BH!A:A,1,)&lt;&gt;"",1,0),0)</f>
        <v>0</v>
      </c>
      <c r="M3637">
        <f>IFERROR(IF(VLOOKUP(calendar[[#This Row],[Date]],BH!C:C,1,)&lt;&gt;"",1,0),0)</f>
        <v>0</v>
      </c>
      <c r="N3637">
        <f>IFERROR(IF(VLOOKUP(calendar[[#This Row],[Date]],BH!E:E,1,)&lt;&gt;"",1,0),0)</f>
        <v>0</v>
      </c>
      <c r="O3637">
        <f>IFERROR(IF(VLOOKUP(calendar[[#This Row],[Date]],BH!G:G,1,)&lt;&gt;"",1,0),0)</f>
        <v>0</v>
      </c>
      <c r="P3637">
        <f>IF(OR(calendar[[#This Row],[UK_BH]]=1,calendar[[#This Row],[WeekDay]]=1, calendar[[#This Row],[WeekDay]]=7),P3636,P3636+1)</f>
        <v>2583</v>
      </c>
      <c r="Q3637">
        <f>IF(OR(calendar[[#This Row],[FR_BH]]=1,calendar[[#This Row],[WeekDay]]=1, calendar[[#This Row],[WeekDay]]=7),P3636,P3636+1)</f>
        <v>2583</v>
      </c>
      <c r="R3637">
        <f>IF(OR(calendar[[#This Row],[SP_BH]]=1,calendar[[#This Row],[WeekDay]]=1, calendar[[#This Row],[WeekDay]]=7),P3636,P3636+1)</f>
        <v>2583</v>
      </c>
      <c r="S3637">
        <f>IF(OR(calendar[[#This Row],[PT_BH]]=1,calendar[[#This Row],[WeekDay]]=1, calendar[[#This Row],[WeekDay]]=7),P3636,P3636+1)</f>
        <v>2583</v>
      </c>
    </row>
    <row r="3638" spans="1:19" x14ac:dyDescent="0.25">
      <c r="A3638" s="2">
        <v>46372</v>
      </c>
      <c r="B3638" s="1">
        <f t="shared" si="286"/>
        <v>51</v>
      </c>
      <c r="C3638">
        <f t="shared" si="288"/>
        <v>12</v>
      </c>
      <c r="D3638" t="str">
        <f t="shared" si="289"/>
        <v>December</v>
      </c>
      <c r="E3638">
        <f t="shared" si="290"/>
        <v>2026</v>
      </c>
      <c r="F3638" t="str">
        <f>CONCATENATE(calendar[[#This Row],[Month]],"/",calendar[[#This Row],[Year]])</f>
        <v>12/2026</v>
      </c>
      <c r="G3638">
        <f>WEEKDAY(calendar[[#This Row],[Date]],1)</f>
        <v>4</v>
      </c>
      <c r="H3638" t="str">
        <f>TEXT(calendar[[#This Row],[WeekDay]],"dddd")</f>
        <v>Wednesday</v>
      </c>
      <c r="I3638">
        <f>IF((INT(calendar[[#This Row],[Count]]/7)-calendar[[#This Row],[Count]]/7)&lt;0,I3637,I3637+1)</f>
        <v>520</v>
      </c>
      <c r="J3638">
        <f t="shared" si="287"/>
        <v>3636</v>
      </c>
      <c r="K3638">
        <f>IF(calendar[[#This Row],[Month]]&lt;4,1,IF(calendar[[#This Row],[Month]]&lt;7,2,IF(calendar[[#This Row],[Month]]&lt;10,3,4)))</f>
        <v>4</v>
      </c>
      <c r="L3638">
        <f>IFERROR(IF(VLOOKUP(calendar[[#This Row],[Date]],BH!A:A,1,)&lt;&gt;"",1,0),0)</f>
        <v>0</v>
      </c>
      <c r="M3638">
        <f>IFERROR(IF(VLOOKUP(calendar[[#This Row],[Date]],BH!C:C,1,)&lt;&gt;"",1,0),0)</f>
        <v>0</v>
      </c>
      <c r="N3638">
        <f>IFERROR(IF(VLOOKUP(calendar[[#This Row],[Date]],BH!E:E,1,)&lt;&gt;"",1,0),0)</f>
        <v>0</v>
      </c>
      <c r="O3638">
        <f>IFERROR(IF(VLOOKUP(calendar[[#This Row],[Date]],BH!G:G,1,)&lt;&gt;"",1,0),0)</f>
        <v>0</v>
      </c>
      <c r="P3638">
        <f>IF(OR(calendar[[#This Row],[UK_BH]]=1,calendar[[#This Row],[WeekDay]]=1, calendar[[#This Row],[WeekDay]]=7),P3637,P3637+1)</f>
        <v>2584</v>
      </c>
      <c r="Q3638">
        <f>IF(OR(calendar[[#This Row],[FR_BH]]=1,calendar[[#This Row],[WeekDay]]=1, calendar[[#This Row],[WeekDay]]=7),P3637,P3637+1)</f>
        <v>2584</v>
      </c>
      <c r="R3638">
        <f>IF(OR(calendar[[#This Row],[SP_BH]]=1,calendar[[#This Row],[WeekDay]]=1, calendar[[#This Row],[WeekDay]]=7),P3637,P3637+1)</f>
        <v>2584</v>
      </c>
      <c r="S3638">
        <f>IF(OR(calendar[[#This Row],[PT_BH]]=1,calendar[[#This Row],[WeekDay]]=1, calendar[[#This Row],[WeekDay]]=7),P3637,P3637+1)</f>
        <v>2584</v>
      </c>
    </row>
    <row r="3639" spans="1:19" x14ac:dyDescent="0.25">
      <c r="A3639" s="2">
        <v>46373</v>
      </c>
      <c r="B3639" s="1">
        <f t="shared" si="286"/>
        <v>51</v>
      </c>
      <c r="C3639">
        <f t="shared" si="288"/>
        <v>12</v>
      </c>
      <c r="D3639" t="str">
        <f t="shared" si="289"/>
        <v>December</v>
      </c>
      <c r="E3639">
        <f t="shared" si="290"/>
        <v>2026</v>
      </c>
      <c r="F3639" t="str">
        <f>CONCATENATE(calendar[[#This Row],[Month]],"/",calendar[[#This Row],[Year]])</f>
        <v>12/2026</v>
      </c>
      <c r="G3639">
        <f>WEEKDAY(calendar[[#This Row],[Date]],1)</f>
        <v>5</v>
      </c>
      <c r="H3639" t="str">
        <f>TEXT(calendar[[#This Row],[WeekDay]],"dddd")</f>
        <v>Thursday</v>
      </c>
      <c r="I3639">
        <f>IF((INT(calendar[[#This Row],[Count]]/7)-calendar[[#This Row],[Count]]/7)&lt;0,I3638,I3638+1)</f>
        <v>520</v>
      </c>
      <c r="J3639">
        <f t="shared" si="287"/>
        <v>3637</v>
      </c>
      <c r="K3639">
        <f>IF(calendar[[#This Row],[Month]]&lt;4,1,IF(calendar[[#This Row],[Month]]&lt;7,2,IF(calendar[[#This Row],[Month]]&lt;10,3,4)))</f>
        <v>4</v>
      </c>
      <c r="L3639">
        <f>IFERROR(IF(VLOOKUP(calendar[[#This Row],[Date]],BH!A:A,1,)&lt;&gt;"",1,0),0)</f>
        <v>0</v>
      </c>
      <c r="M3639">
        <f>IFERROR(IF(VLOOKUP(calendar[[#This Row],[Date]],BH!C:C,1,)&lt;&gt;"",1,0),0)</f>
        <v>0</v>
      </c>
      <c r="N3639">
        <f>IFERROR(IF(VLOOKUP(calendar[[#This Row],[Date]],BH!E:E,1,)&lt;&gt;"",1,0),0)</f>
        <v>0</v>
      </c>
      <c r="O3639">
        <f>IFERROR(IF(VLOOKUP(calendar[[#This Row],[Date]],BH!G:G,1,)&lt;&gt;"",1,0),0)</f>
        <v>0</v>
      </c>
      <c r="P3639">
        <f>IF(OR(calendar[[#This Row],[UK_BH]]=1,calendar[[#This Row],[WeekDay]]=1, calendar[[#This Row],[WeekDay]]=7),P3638,P3638+1)</f>
        <v>2585</v>
      </c>
      <c r="Q3639">
        <f>IF(OR(calendar[[#This Row],[FR_BH]]=1,calendar[[#This Row],[WeekDay]]=1, calendar[[#This Row],[WeekDay]]=7),P3638,P3638+1)</f>
        <v>2585</v>
      </c>
      <c r="R3639">
        <f>IF(OR(calendar[[#This Row],[SP_BH]]=1,calendar[[#This Row],[WeekDay]]=1, calendar[[#This Row],[WeekDay]]=7),P3638,P3638+1)</f>
        <v>2585</v>
      </c>
      <c r="S3639">
        <f>IF(OR(calendar[[#This Row],[PT_BH]]=1,calendar[[#This Row],[WeekDay]]=1, calendar[[#This Row],[WeekDay]]=7),P3638,P3638+1)</f>
        <v>2585</v>
      </c>
    </row>
    <row r="3640" spans="1:19" x14ac:dyDescent="0.25">
      <c r="A3640" s="2">
        <v>46374</v>
      </c>
      <c r="B3640" s="1">
        <f t="shared" si="286"/>
        <v>51</v>
      </c>
      <c r="C3640">
        <f t="shared" si="288"/>
        <v>12</v>
      </c>
      <c r="D3640" t="str">
        <f t="shared" si="289"/>
        <v>December</v>
      </c>
      <c r="E3640">
        <f t="shared" si="290"/>
        <v>2026</v>
      </c>
      <c r="F3640" t="str">
        <f>CONCATENATE(calendar[[#This Row],[Month]],"/",calendar[[#This Row],[Year]])</f>
        <v>12/2026</v>
      </c>
      <c r="G3640">
        <f>WEEKDAY(calendar[[#This Row],[Date]],1)</f>
        <v>6</v>
      </c>
      <c r="H3640" t="str">
        <f>TEXT(calendar[[#This Row],[WeekDay]],"dddd")</f>
        <v>Friday</v>
      </c>
      <c r="I3640">
        <f>IF((INT(calendar[[#This Row],[Count]]/7)-calendar[[#This Row],[Count]]/7)&lt;0,I3639,I3639+1)</f>
        <v>520</v>
      </c>
      <c r="J3640">
        <f t="shared" si="287"/>
        <v>3638</v>
      </c>
      <c r="K3640">
        <f>IF(calendar[[#This Row],[Month]]&lt;4,1,IF(calendar[[#This Row],[Month]]&lt;7,2,IF(calendar[[#This Row],[Month]]&lt;10,3,4)))</f>
        <v>4</v>
      </c>
      <c r="L3640">
        <f>IFERROR(IF(VLOOKUP(calendar[[#This Row],[Date]],BH!A:A,1,)&lt;&gt;"",1,0),0)</f>
        <v>0</v>
      </c>
      <c r="M3640">
        <f>IFERROR(IF(VLOOKUP(calendar[[#This Row],[Date]],BH!C:C,1,)&lt;&gt;"",1,0),0)</f>
        <v>0</v>
      </c>
      <c r="N3640">
        <f>IFERROR(IF(VLOOKUP(calendar[[#This Row],[Date]],BH!E:E,1,)&lt;&gt;"",1,0),0)</f>
        <v>0</v>
      </c>
      <c r="O3640">
        <f>IFERROR(IF(VLOOKUP(calendar[[#This Row],[Date]],BH!G:G,1,)&lt;&gt;"",1,0),0)</f>
        <v>0</v>
      </c>
      <c r="P3640">
        <f>IF(OR(calendar[[#This Row],[UK_BH]]=1,calendar[[#This Row],[WeekDay]]=1, calendar[[#This Row],[WeekDay]]=7),P3639,P3639+1)</f>
        <v>2586</v>
      </c>
      <c r="Q3640">
        <f>IF(OR(calendar[[#This Row],[FR_BH]]=1,calendar[[#This Row],[WeekDay]]=1, calendar[[#This Row],[WeekDay]]=7),P3639,P3639+1)</f>
        <v>2586</v>
      </c>
      <c r="R3640">
        <f>IF(OR(calendar[[#This Row],[SP_BH]]=1,calendar[[#This Row],[WeekDay]]=1, calendar[[#This Row],[WeekDay]]=7),P3639,P3639+1)</f>
        <v>2586</v>
      </c>
      <c r="S3640">
        <f>IF(OR(calendar[[#This Row],[PT_BH]]=1,calendar[[#This Row],[WeekDay]]=1, calendar[[#This Row],[WeekDay]]=7),P3639,P3639+1)</f>
        <v>2586</v>
      </c>
    </row>
    <row r="3641" spans="1:19" x14ac:dyDescent="0.25">
      <c r="A3641" s="2">
        <v>46375</v>
      </c>
      <c r="B3641" s="1">
        <f t="shared" si="286"/>
        <v>51</v>
      </c>
      <c r="C3641">
        <f t="shared" si="288"/>
        <v>12</v>
      </c>
      <c r="D3641" t="str">
        <f t="shared" si="289"/>
        <v>December</v>
      </c>
      <c r="E3641">
        <f t="shared" si="290"/>
        <v>2026</v>
      </c>
      <c r="F3641" t="str">
        <f>CONCATENATE(calendar[[#This Row],[Month]],"/",calendar[[#This Row],[Year]])</f>
        <v>12/2026</v>
      </c>
      <c r="G3641">
        <f>WEEKDAY(calendar[[#This Row],[Date]],1)</f>
        <v>7</v>
      </c>
      <c r="H3641" t="str">
        <f>TEXT(calendar[[#This Row],[WeekDay]],"dddd")</f>
        <v>Saturday</v>
      </c>
      <c r="I3641">
        <f>IF((INT(calendar[[#This Row],[Count]]/7)-calendar[[#This Row],[Count]]/7)&lt;0,I3640,I3640+1)</f>
        <v>520</v>
      </c>
      <c r="J3641">
        <f t="shared" si="287"/>
        <v>3639</v>
      </c>
      <c r="K3641">
        <f>IF(calendar[[#This Row],[Month]]&lt;4,1,IF(calendar[[#This Row],[Month]]&lt;7,2,IF(calendar[[#This Row],[Month]]&lt;10,3,4)))</f>
        <v>4</v>
      </c>
      <c r="L3641">
        <f>IFERROR(IF(VLOOKUP(calendar[[#This Row],[Date]],BH!A:A,1,)&lt;&gt;"",1,0),0)</f>
        <v>0</v>
      </c>
      <c r="M3641">
        <f>IFERROR(IF(VLOOKUP(calendar[[#This Row],[Date]],BH!C:C,1,)&lt;&gt;"",1,0),0)</f>
        <v>0</v>
      </c>
      <c r="N3641">
        <f>IFERROR(IF(VLOOKUP(calendar[[#This Row],[Date]],BH!E:E,1,)&lt;&gt;"",1,0),0)</f>
        <v>0</v>
      </c>
      <c r="O3641">
        <f>IFERROR(IF(VLOOKUP(calendar[[#This Row],[Date]],BH!G:G,1,)&lt;&gt;"",1,0),0)</f>
        <v>0</v>
      </c>
      <c r="P3641">
        <f>IF(OR(calendar[[#This Row],[UK_BH]]=1,calendar[[#This Row],[WeekDay]]=1, calendar[[#This Row],[WeekDay]]=7),P3640,P3640+1)</f>
        <v>2586</v>
      </c>
      <c r="Q3641">
        <f>IF(OR(calendar[[#This Row],[FR_BH]]=1,calendar[[#This Row],[WeekDay]]=1, calendar[[#This Row],[WeekDay]]=7),P3640,P3640+1)</f>
        <v>2586</v>
      </c>
      <c r="R3641">
        <f>IF(OR(calendar[[#This Row],[SP_BH]]=1,calendar[[#This Row],[WeekDay]]=1, calendar[[#This Row],[WeekDay]]=7),P3640,P3640+1)</f>
        <v>2586</v>
      </c>
      <c r="S3641">
        <f>IF(OR(calendar[[#This Row],[PT_BH]]=1,calendar[[#This Row],[WeekDay]]=1, calendar[[#This Row],[WeekDay]]=7),P3640,P3640+1)</f>
        <v>2586</v>
      </c>
    </row>
    <row r="3642" spans="1:19" x14ac:dyDescent="0.25">
      <c r="A3642" s="2">
        <v>46376</v>
      </c>
      <c r="B3642" s="1">
        <f t="shared" si="286"/>
        <v>52</v>
      </c>
      <c r="C3642">
        <f t="shared" si="288"/>
        <v>12</v>
      </c>
      <c r="D3642" t="str">
        <f t="shared" si="289"/>
        <v>December</v>
      </c>
      <c r="E3642">
        <f t="shared" si="290"/>
        <v>2026</v>
      </c>
      <c r="F3642" t="str">
        <f>CONCATENATE(calendar[[#This Row],[Month]],"/",calendar[[#This Row],[Year]])</f>
        <v>12/2026</v>
      </c>
      <c r="G3642">
        <f>WEEKDAY(calendar[[#This Row],[Date]],1)</f>
        <v>1</v>
      </c>
      <c r="H3642" t="str">
        <f>TEXT(calendar[[#This Row],[WeekDay]],"dddd")</f>
        <v>Sunday</v>
      </c>
      <c r="I3642">
        <f>IF((INT(calendar[[#This Row],[Count]]/7)-calendar[[#This Row],[Count]]/7)&lt;0,I3641,I3641+1)</f>
        <v>521</v>
      </c>
      <c r="J3642">
        <f t="shared" si="287"/>
        <v>3640</v>
      </c>
      <c r="K3642">
        <f>IF(calendar[[#This Row],[Month]]&lt;4,1,IF(calendar[[#This Row],[Month]]&lt;7,2,IF(calendar[[#This Row],[Month]]&lt;10,3,4)))</f>
        <v>4</v>
      </c>
      <c r="L3642">
        <f>IFERROR(IF(VLOOKUP(calendar[[#This Row],[Date]],BH!A:A,1,)&lt;&gt;"",1,0),0)</f>
        <v>0</v>
      </c>
      <c r="M3642">
        <f>IFERROR(IF(VLOOKUP(calendar[[#This Row],[Date]],BH!C:C,1,)&lt;&gt;"",1,0),0)</f>
        <v>0</v>
      </c>
      <c r="N3642">
        <f>IFERROR(IF(VLOOKUP(calendar[[#This Row],[Date]],BH!E:E,1,)&lt;&gt;"",1,0),0)</f>
        <v>0</v>
      </c>
      <c r="O3642">
        <f>IFERROR(IF(VLOOKUP(calendar[[#This Row],[Date]],BH!G:G,1,)&lt;&gt;"",1,0),0)</f>
        <v>0</v>
      </c>
      <c r="P3642">
        <f>IF(OR(calendar[[#This Row],[UK_BH]]=1,calendar[[#This Row],[WeekDay]]=1, calendar[[#This Row],[WeekDay]]=7),P3641,P3641+1)</f>
        <v>2586</v>
      </c>
      <c r="Q3642">
        <f>IF(OR(calendar[[#This Row],[FR_BH]]=1,calendar[[#This Row],[WeekDay]]=1, calendar[[#This Row],[WeekDay]]=7),P3641,P3641+1)</f>
        <v>2586</v>
      </c>
      <c r="R3642">
        <f>IF(OR(calendar[[#This Row],[SP_BH]]=1,calendar[[#This Row],[WeekDay]]=1, calendar[[#This Row],[WeekDay]]=7),P3641,P3641+1)</f>
        <v>2586</v>
      </c>
      <c r="S3642">
        <f>IF(OR(calendar[[#This Row],[PT_BH]]=1,calendar[[#This Row],[WeekDay]]=1, calendar[[#This Row],[WeekDay]]=7),P3641,P3641+1)</f>
        <v>2586</v>
      </c>
    </row>
    <row r="3643" spans="1:19" x14ac:dyDescent="0.25">
      <c r="A3643" s="2">
        <v>46377</v>
      </c>
      <c r="B3643" s="1">
        <f t="shared" si="286"/>
        <v>52</v>
      </c>
      <c r="C3643">
        <f t="shared" si="288"/>
        <v>12</v>
      </c>
      <c r="D3643" t="str">
        <f t="shared" si="289"/>
        <v>December</v>
      </c>
      <c r="E3643">
        <f t="shared" si="290"/>
        <v>2026</v>
      </c>
      <c r="F3643" t="str">
        <f>CONCATENATE(calendar[[#This Row],[Month]],"/",calendar[[#This Row],[Year]])</f>
        <v>12/2026</v>
      </c>
      <c r="G3643">
        <f>WEEKDAY(calendar[[#This Row],[Date]],1)</f>
        <v>2</v>
      </c>
      <c r="H3643" t="str">
        <f>TEXT(calendar[[#This Row],[WeekDay]],"dddd")</f>
        <v>Monday</v>
      </c>
      <c r="I3643">
        <f>IF((INT(calendar[[#This Row],[Count]]/7)-calendar[[#This Row],[Count]]/7)&lt;0,I3642,I3642+1)</f>
        <v>521</v>
      </c>
      <c r="J3643">
        <f t="shared" si="287"/>
        <v>3641</v>
      </c>
      <c r="K3643">
        <f>IF(calendar[[#This Row],[Month]]&lt;4,1,IF(calendar[[#This Row],[Month]]&lt;7,2,IF(calendar[[#This Row],[Month]]&lt;10,3,4)))</f>
        <v>4</v>
      </c>
      <c r="L3643">
        <f>IFERROR(IF(VLOOKUP(calendar[[#This Row],[Date]],BH!A:A,1,)&lt;&gt;"",1,0),0)</f>
        <v>0</v>
      </c>
      <c r="M3643">
        <f>IFERROR(IF(VLOOKUP(calendar[[#This Row],[Date]],BH!C:C,1,)&lt;&gt;"",1,0),0)</f>
        <v>0</v>
      </c>
      <c r="N3643">
        <f>IFERROR(IF(VLOOKUP(calendar[[#This Row],[Date]],BH!E:E,1,)&lt;&gt;"",1,0),0)</f>
        <v>0</v>
      </c>
      <c r="O3643">
        <f>IFERROR(IF(VLOOKUP(calendar[[#This Row],[Date]],BH!G:G,1,)&lt;&gt;"",1,0),0)</f>
        <v>0</v>
      </c>
      <c r="P3643">
        <f>IF(OR(calendar[[#This Row],[UK_BH]]=1,calendar[[#This Row],[WeekDay]]=1, calendar[[#This Row],[WeekDay]]=7),P3642,P3642+1)</f>
        <v>2587</v>
      </c>
      <c r="Q3643">
        <f>IF(OR(calendar[[#This Row],[FR_BH]]=1,calendar[[#This Row],[WeekDay]]=1, calendar[[#This Row],[WeekDay]]=7),P3642,P3642+1)</f>
        <v>2587</v>
      </c>
      <c r="R3643">
        <f>IF(OR(calendar[[#This Row],[SP_BH]]=1,calendar[[#This Row],[WeekDay]]=1, calendar[[#This Row],[WeekDay]]=7),P3642,P3642+1)</f>
        <v>2587</v>
      </c>
      <c r="S3643">
        <f>IF(OR(calendar[[#This Row],[PT_BH]]=1,calendar[[#This Row],[WeekDay]]=1, calendar[[#This Row],[WeekDay]]=7),P3642,P3642+1)</f>
        <v>2587</v>
      </c>
    </row>
    <row r="3644" spans="1:19" x14ac:dyDescent="0.25">
      <c r="A3644" s="2">
        <v>46378</v>
      </c>
      <c r="B3644" s="1">
        <f t="shared" si="286"/>
        <v>52</v>
      </c>
      <c r="C3644">
        <f t="shared" si="288"/>
        <v>12</v>
      </c>
      <c r="D3644" t="str">
        <f t="shared" si="289"/>
        <v>December</v>
      </c>
      <c r="E3644">
        <f t="shared" si="290"/>
        <v>2026</v>
      </c>
      <c r="F3644" t="str">
        <f>CONCATENATE(calendar[[#This Row],[Month]],"/",calendar[[#This Row],[Year]])</f>
        <v>12/2026</v>
      </c>
      <c r="G3644">
        <f>WEEKDAY(calendar[[#This Row],[Date]],1)</f>
        <v>3</v>
      </c>
      <c r="H3644" t="str">
        <f>TEXT(calendar[[#This Row],[WeekDay]],"dddd")</f>
        <v>Tuesday</v>
      </c>
      <c r="I3644">
        <f>IF((INT(calendar[[#This Row],[Count]]/7)-calendar[[#This Row],[Count]]/7)&lt;0,I3643,I3643+1)</f>
        <v>521</v>
      </c>
      <c r="J3644">
        <f t="shared" si="287"/>
        <v>3642</v>
      </c>
      <c r="K3644">
        <f>IF(calendar[[#This Row],[Month]]&lt;4,1,IF(calendar[[#This Row],[Month]]&lt;7,2,IF(calendar[[#This Row],[Month]]&lt;10,3,4)))</f>
        <v>4</v>
      </c>
      <c r="L3644">
        <f>IFERROR(IF(VLOOKUP(calendar[[#This Row],[Date]],BH!A:A,1,)&lt;&gt;"",1,0),0)</f>
        <v>0</v>
      </c>
      <c r="M3644">
        <f>IFERROR(IF(VLOOKUP(calendar[[#This Row],[Date]],BH!C:C,1,)&lt;&gt;"",1,0),0)</f>
        <v>0</v>
      </c>
      <c r="N3644">
        <f>IFERROR(IF(VLOOKUP(calendar[[#This Row],[Date]],BH!E:E,1,)&lt;&gt;"",1,0),0)</f>
        <v>0</v>
      </c>
      <c r="O3644">
        <f>IFERROR(IF(VLOOKUP(calendar[[#This Row],[Date]],BH!G:G,1,)&lt;&gt;"",1,0),0)</f>
        <v>0</v>
      </c>
      <c r="P3644">
        <f>IF(OR(calendar[[#This Row],[UK_BH]]=1,calendar[[#This Row],[WeekDay]]=1, calendar[[#This Row],[WeekDay]]=7),P3643,P3643+1)</f>
        <v>2588</v>
      </c>
      <c r="Q3644">
        <f>IF(OR(calendar[[#This Row],[FR_BH]]=1,calendar[[#This Row],[WeekDay]]=1, calendar[[#This Row],[WeekDay]]=7),P3643,P3643+1)</f>
        <v>2588</v>
      </c>
      <c r="R3644">
        <f>IF(OR(calendar[[#This Row],[SP_BH]]=1,calendar[[#This Row],[WeekDay]]=1, calendar[[#This Row],[WeekDay]]=7),P3643,P3643+1)</f>
        <v>2588</v>
      </c>
      <c r="S3644">
        <f>IF(OR(calendar[[#This Row],[PT_BH]]=1,calendar[[#This Row],[WeekDay]]=1, calendar[[#This Row],[WeekDay]]=7),P3643,P3643+1)</f>
        <v>2588</v>
      </c>
    </row>
    <row r="3645" spans="1:19" x14ac:dyDescent="0.25">
      <c r="A3645" s="2">
        <v>46379</v>
      </c>
      <c r="B3645" s="1">
        <f t="shared" si="286"/>
        <v>52</v>
      </c>
      <c r="C3645">
        <f t="shared" si="288"/>
        <v>12</v>
      </c>
      <c r="D3645" t="str">
        <f t="shared" si="289"/>
        <v>December</v>
      </c>
      <c r="E3645">
        <f t="shared" si="290"/>
        <v>2026</v>
      </c>
      <c r="F3645" t="str">
        <f>CONCATENATE(calendar[[#This Row],[Month]],"/",calendar[[#This Row],[Year]])</f>
        <v>12/2026</v>
      </c>
      <c r="G3645">
        <f>WEEKDAY(calendar[[#This Row],[Date]],1)</f>
        <v>4</v>
      </c>
      <c r="H3645" t="str">
        <f>TEXT(calendar[[#This Row],[WeekDay]],"dddd")</f>
        <v>Wednesday</v>
      </c>
      <c r="I3645">
        <f>IF((INT(calendar[[#This Row],[Count]]/7)-calendar[[#This Row],[Count]]/7)&lt;0,I3644,I3644+1)</f>
        <v>521</v>
      </c>
      <c r="J3645">
        <f t="shared" si="287"/>
        <v>3643</v>
      </c>
      <c r="K3645">
        <f>IF(calendar[[#This Row],[Month]]&lt;4,1,IF(calendar[[#This Row],[Month]]&lt;7,2,IF(calendar[[#This Row],[Month]]&lt;10,3,4)))</f>
        <v>4</v>
      </c>
      <c r="L3645">
        <f>IFERROR(IF(VLOOKUP(calendar[[#This Row],[Date]],BH!A:A,1,)&lt;&gt;"",1,0),0)</f>
        <v>0</v>
      </c>
      <c r="M3645">
        <f>IFERROR(IF(VLOOKUP(calendar[[#This Row],[Date]],BH!C:C,1,)&lt;&gt;"",1,0),0)</f>
        <v>0</v>
      </c>
      <c r="N3645">
        <f>IFERROR(IF(VLOOKUP(calendar[[#This Row],[Date]],BH!E:E,1,)&lt;&gt;"",1,0),0)</f>
        <v>0</v>
      </c>
      <c r="O3645">
        <f>IFERROR(IF(VLOOKUP(calendar[[#This Row],[Date]],BH!G:G,1,)&lt;&gt;"",1,0),0)</f>
        <v>0</v>
      </c>
      <c r="P3645">
        <f>IF(OR(calendar[[#This Row],[UK_BH]]=1,calendar[[#This Row],[WeekDay]]=1, calendar[[#This Row],[WeekDay]]=7),P3644,P3644+1)</f>
        <v>2589</v>
      </c>
      <c r="Q3645">
        <f>IF(OR(calendar[[#This Row],[FR_BH]]=1,calendar[[#This Row],[WeekDay]]=1, calendar[[#This Row],[WeekDay]]=7),P3644,P3644+1)</f>
        <v>2589</v>
      </c>
      <c r="R3645">
        <f>IF(OR(calendar[[#This Row],[SP_BH]]=1,calendar[[#This Row],[WeekDay]]=1, calendar[[#This Row],[WeekDay]]=7),P3644,P3644+1)</f>
        <v>2589</v>
      </c>
      <c r="S3645">
        <f>IF(OR(calendar[[#This Row],[PT_BH]]=1,calendar[[#This Row],[WeekDay]]=1, calendar[[#This Row],[WeekDay]]=7),P3644,P3644+1)</f>
        <v>2589</v>
      </c>
    </row>
    <row r="3646" spans="1:19" x14ac:dyDescent="0.25">
      <c r="A3646" s="2">
        <v>46380</v>
      </c>
      <c r="B3646" s="1">
        <f t="shared" si="286"/>
        <v>52</v>
      </c>
      <c r="C3646">
        <f t="shared" si="288"/>
        <v>12</v>
      </c>
      <c r="D3646" t="str">
        <f t="shared" si="289"/>
        <v>December</v>
      </c>
      <c r="E3646">
        <f t="shared" si="290"/>
        <v>2026</v>
      </c>
      <c r="F3646" t="str">
        <f>CONCATENATE(calendar[[#This Row],[Month]],"/",calendar[[#This Row],[Year]])</f>
        <v>12/2026</v>
      </c>
      <c r="G3646">
        <f>WEEKDAY(calendar[[#This Row],[Date]],1)</f>
        <v>5</v>
      </c>
      <c r="H3646" t="str">
        <f>TEXT(calendar[[#This Row],[WeekDay]],"dddd")</f>
        <v>Thursday</v>
      </c>
      <c r="I3646">
        <f>IF((INT(calendar[[#This Row],[Count]]/7)-calendar[[#This Row],[Count]]/7)&lt;0,I3645,I3645+1)</f>
        <v>521</v>
      </c>
      <c r="J3646">
        <f t="shared" si="287"/>
        <v>3644</v>
      </c>
      <c r="K3646">
        <f>IF(calendar[[#This Row],[Month]]&lt;4,1,IF(calendar[[#This Row],[Month]]&lt;7,2,IF(calendar[[#This Row],[Month]]&lt;10,3,4)))</f>
        <v>4</v>
      </c>
      <c r="L3646">
        <f>IFERROR(IF(VLOOKUP(calendar[[#This Row],[Date]],BH!A:A,1,)&lt;&gt;"",1,0),0)</f>
        <v>0</v>
      </c>
      <c r="M3646">
        <f>IFERROR(IF(VLOOKUP(calendar[[#This Row],[Date]],BH!C:C,1,)&lt;&gt;"",1,0),0)</f>
        <v>0</v>
      </c>
      <c r="N3646">
        <f>IFERROR(IF(VLOOKUP(calendar[[#This Row],[Date]],BH!E:E,1,)&lt;&gt;"",1,0),0)</f>
        <v>0</v>
      </c>
      <c r="O3646">
        <f>IFERROR(IF(VLOOKUP(calendar[[#This Row],[Date]],BH!G:G,1,)&lt;&gt;"",1,0),0)</f>
        <v>0</v>
      </c>
      <c r="P3646">
        <f>IF(OR(calendar[[#This Row],[UK_BH]]=1,calendar[[#This Row],[WeekDay]]=1, calendar[[#This Row],[WeekDay]]=7),P3645,P3645+1)</f>
        <v>2590</v>
      </c>
      <c r="Q3646">
        <f>IF(OR(calendar[[#This Row],[FR_BH]]=1,calendar[[#This Row],[WeekDay]]=1, calendar[[#This Row],[WeekDay]]=7),P3645,P3645+1)</f>
        <v>2590</v>
      </c>
      <c r="R3646">
        <f>IF(OR(calendar[[#This Row],[SP_BH]]=1,calendar[[#This Row],[WeekDay]]=1, calendar[[#This Row],[WeekDay]]=7),P3645,P3645+1)</f>
        <v>2590</v>
      </c>
      <c r="S3646">
        <f>IF(OR(calendar[[#This Row],[PT_BH]]=1,calendar[[#This Row],[WeekDay]]=1, calendar[[#This Row],[WeekDay]]=7),P3645,P3645+1)</f>
        <v>2590</v>
      </c>
    </row>
    <row r="3647" spans="1:19" x14ac:dyDescent="0.25">
      <c r="A3647" s="2">
        <v>46381</v>
      </c>
      <c r="B3647" s="1">
        <f t="shared" si="286"/>
        <v>52</v>
      </c>
      <c r="C3647">
        <f t="shared" si="288"/>
        <v>12</v>
      </c>
      <c r="D3647" t="str">
        <f t="shared" si="289"/>
        <v>December</v>
      </c>
      <c r="E3647">
        <f t="shared" si="290"/>
        <v>2026</v>
      </c>
      <c r="F3647" t="str">
        <f>CONCATENATE(calendar[[#This Row],[Month]],"/",calendar[[#This Row],[Year]])</f>
        <v>12/2026</v>
      </c>
      <c r="G3647">
        <f>WEEKDAY(calendar[[#This Row],[Date]],1)</f>
        <v>6</v>
      </c>
      <c r="H3647" t="str">
        <f>TEXT(calendar[[#This Row],[WeekDay]],"dddd")</f>
        <v>Friday</v>
      </c>
      <c r="I3647">
        <f>IF((INT(calendar[[#This Row],[Count]]/7)-calendar[[#This Row],[Count]]/7)&lt;0,I3646,I3646+1)</f>
        <v>521</v>
      </c>
      <c r="J3647">
        <f t="shared" si="287"/>
        <v>3645</v>
      </c>
      <c r="K3647">
        <f>IF(calendar[[#This Row],[Month]]&lt;4,1,IF(calendar[[#This Row],[Month]]&lt;7,2,IF(calendar[[#This Row],[Month]]&lt;10,3,4)))</f>
        <v>4</v>
      </c>
      <c r="L3647">
        <f>IFERROR(IF(VLOOKUP(calendar[[#This Row],[Date]],BH!A:A,1,)&lt;&gt;"",1,0),0)</f>
        <v>1</v>
      </c>
      <c r="M3647">
        <f>IFERROR(IF(VLOOKUP(calendar[[#This Row],[Date]],BH!C:C,1,)&lt;&gt;"",1,0),0)</f>
        <v>1</v>
      </c>
      <c r="N3647">
        <f>IFERROR(IF(VLOOKUP(calendar[[#This Row],[Date]],BH!E:E,1,)&lt;&gt;"",1,0),0)</f>
        <v>1</v>
      </c>
      <c r="O3647">
        <f>IFERROR(IF(VLOOKUP(calendar[[#This Row],[Date]],BH!G:G,1,)&lt;&gt;"",1,0),0)</f>
        <v>1</v>
      </c>
      <c r="P3647">
        <f>IF(OR(calendar[[#This Row],[UK_BH]]=1,calendar[[#This Row],[WeekDay]]=1, calendar[[#This Row],[WeekDay]]=7),P3646,P3646+1)</f>
        <v>2590</v>
      </c>
      <c r="Q3647">
        <f>IF(OR(calendar[[#This Row],[FR_BH]]=1,calendar[[#This Row],[WeekDay]]=1, calendar[[#This Row],[WeekDay]]=7),P3646,P3646+1)</f>
        <v>2590</v>
      </c>
      <c r="R3647">
        <f>IF(OR(calendar[[#This Row],[SP_BH]]=1,calendar[[#This Row],[WeekDay]]=1, calendar[[#This Row],[WeekDay]]=7),P3646,P3646+1)</f>
        <v>2590</v>
      </c>
      <c r="S3647">
        <f>IF(OR(calendar[[#This Row],[PT_BH]]=1,calendar[[#This Row],[WeekDay]]=1, calendar[[#This Row],[WeekDay]]=7),P3646,P3646+1)</f>
        <v>2590</v>
      </c>
    </row>
    <row r="3648" spans="1:19" x14ac:dyDescent="0.25">
      <c r="A3648" s="2">
        <v>46382</v>
      </c>
      <c r="B3648" s="1">
        <f t="shared" si="286"/>
        <v>52</v>
      </c>
      <c r="C3648">
        <f t="shared" si="288"/>
        <v>12</v>
      </c>
      <c r="D3648" t="str">
        <f t="shared" si="289"/>
        <v>December</v>
      </c>
      <c r="E3648">
        <f t="shared" si="290"/>
        <v>2026</v>
      </c>
      <c r="F3648" t="str">
        <f>CONCATENATE(calendar[[#This Row],[Month]],"/",calendar[[#This Row],[Year]])</f>
        <v>12/2026</v>
      </c>
      <c r="G3648">
        <f>WEEKDAY(calendar[[#This Row],[Date]],1)</f>
        <v>7</v>
      </c>
      <c r="H3648" t="str">
        <f>TEXT(calendar[[#This Row],[WeekDay]],"dddd")</f>
        <v>Saturday</v>
      </c>
      <c r="I3648">
        <f>IF((INT(calendar[[#This Row],[Count]]/7)-calendar[[#This Row],[Count]]/7)&lt;0,I3647,I3647+1)</f>
        <v>521</v>
      </c>
      <c r="J3648">
        <f t="shared" si="287"/>
        <v>3646</v>
      </c>
      <c r="K3648">
        <f>IF(calendar[[#This Row],[Month]]&lt;4,1,IF(calendar[[#This Row],[Month]]&lt;7,2,IF(calendar[[#This Row],[Month]]&lt;10,3,4)))</f>
        <v>4</v>
      </c>
      <c r="L3648">
        <f>IFERROR(IF(VLOOKUP(calendar[[#This Row],[Date]],BH!A:A,1,)&lt;&gt;"",1,0),0)</f>
        <v>0</v>
      </c>
      <c r="M3648">
        <f>IFERROR(IF(VLOOKUP(calendar[[#This Row],[Date]],BH!C:C,1,)&lt;&gt;"",1,0),0)</f>
        <v>1</v>
      </c>
      <c r="N3648">
        <f>IFERROR(IF(VLOOKUP(calendar[[#This Row],[Date]],BH!E:E,1,)&lt;&gt;"",1,0),0)</f>
        <v>1</v>
      </c>
      <c r="O3648">
        <f>IFERROR(IF(VLOOKUP(calendar[[#This Row],[Date]],BH!G:G,1,)&lt;&gt;"",1,0),0)</f>
        <v>0</v>
      </c>
      <c r="P3648">
        <f>IF(OR(calendar[[#This Row],[UK_BH]]=1,calendar[[#This Row],[WeekDay]]=1, calendar[[#This Row],[WeekDay]]=7),P3647,P3647+1)</f>
        <v>2590</v>
      </c>
      <c r="Q3648">
        <f>IF(OR(calendar[[#This Row],[FR_BH]]=1,calendar[[#This Row],[WeekDay]]=1, calendar[[#This Row],[WeekDay]]=7),P3647,P3647+1)</f>
        <v>2590</v>
      </c>
      <c r="R3648">
        <f>IF(OR(calendar[[#This Row],[SP_BH]]=1,calendar[[#This Row],[WeekDay]]=1, calendar[[#This Row],[WeekDay]]=7),P3647,P3647+1)</f>
        <v>2590</v>
      </c>
      <c r="S3648">
        <f>IF(OR(calendar[[#This Row],[PT_BH]]=1,calendar[[#This Row],[WeekDay]]=1, calendar[[#This Row],[WeekDay]]=7),P3647,P3647+1)</f>
        <v>2590</v>
      </c>
    </row>
    <row r="3649" spans="1:19" x14ac:dyDescent="0.25">
      <c r="A3649" s="2">
        <v>46383</v>
      </c>
      <c r="B3649" s="1">
        <f t="shared" si="286"/>
        <v>53</v>
      </c>
      <c r="C3649">
        <f t="shared" si="288"/>
        <v>12</v>
      </c>
      <c r="D3649" t="str">
        <f t="shared" si="289"/>
        <v>December</v>
      </c>
      <c r="E3649">
        <f t="shared" si="290"/>
        <v>2026</v>
      </c>
      <c r="F3649" t="str">
        <f>CONCATENATE(calendar[[#This Row],[Month]],"/",calendar[[#This Row],[Year]])</f>
        <v>12/2026</v>
      </c>
      <c r="G3649">
        <f>WEEKDAY(calendar[[#This Row],[Date]],1)</f>
        <v>1</v>
      </c>
      <c r="H3649" t="str">
        <f>TEXT(calendar[[#This Row],[WeekDay]],"dddd")</f>
        <v>Sunday</v>
      </c>
      <c r="I3649">
        <f>IF((INT(calendar[[#This Row],[Count]]/7)-calendar[[#This Row],[Count]]/7)&lt;0,I3648,I3648+1)</f>
        <v>522</v>
      </c>
      <c r="J3649">
        <f t="shared" si="287"/>
        <v>3647</v>
      </c>
      <c r="K3649">
        <f>IF(calendar[[#This Row],[Month]]&lt;4,1,IF(calendar[[#This Row],[Month]]&lt;7,2,IF(calendar[[#This Row],[Month]]&lt;10,3,4)))</f>
        <v>4</v>
      </c>
      <c r="L3649">
        <f>IFERROR(IF(VLOOKUP(calendar[[#This Row],[Date]],BH!A:A,1,)&lt;&gt;"",1,0),0)</f>
        <v>0</v>
      </c>
      <c r="M3649">
        <f>IFERROR(IF(VLOOKUP(calendar[[#This Row],[Date]],BH!C:C,1,)&lt;&gt;"",1,0),0)</f>
        <v>0</v>
      </c>
      <c r="N3649">
        <f>IFERROR(IF(VLOOKUP(calendar[[#This Row],[Date]],BH!E:E,1,)&lt;&gt;"",1,0),0)</f>
        <v>0</v>
      </c>
      <c r="O3649">
        <f>IFERROR(IF(VLOOKUP(calendar[[#This Row],[Date]],BH!G:G,1,)&lt;&gt;"",1,0),0)</f>
        <v>0</v>
      </c>
      <c r="P3649">
        <f>IF(OR(calendar[[#This Row],[UK_BH]]=1,calendar[[#This Row],[WeekDay]]=1, calendar[[#This Row],[WeekDay]]=7),P3648,P3648+1)</f>
        <v>2590</v>
      </c>
      <c r="Q3649">
        <f>IF(OR(calendar[[#This Row],[FR_BH]]=1,calendar[[#This Row],[WeekDay]]=1, calendar[[#This Row],[WeekDay]]=7),P3648,P3648+1)</f>
        <v>2590</v>
      </c>
      <c r="R3649">
        <f>IF(OR(calendar[[#This Row],[SP_BH]]=1,calendar[[#This Row],[WeekDay]]=1, calendar[[#This Row],[WeekDay]]=7),P3648,P3648+1)</f>
        <v>2590</v>
      </c>
      <c r="S3649">
        <f>IF(OR(calendar[[#This Row],[PT_BH]]=1,calendar[[#This Row],[WeekDay]]=1, calendar[[#This Row],[WeekDay]]=7),P3648,P3648+1)</f>
        <v>2590</v>
      </c>
    </row>
    <row r="3650" spans="1:19" x14ac:dyDescent="0.25">
      <c r="A3650" s="2">
        <v>46384</v>
      </c>
      <c r="B3650" s="1">
        <f t="shared" ref="B3650:B3713" si="291">WEEKNUM(A3650)</f>
        <v>53</v>
      </c>
      <c r="C3650">
        <f t="shared" si="288"/>
        <v>12</v>
      </c>
      <c r="D3650" t="str">
        <f t="shared" si="289"/>
        <v>December</v>
      </c>
      <c r="E3650">
        <f t="shared" si="290"/>
        <v>2026</v>
      </c>
      <c r="F3650" t="str">
        <f>CONCATENATE(calendar[[#This Row],[Month]],"/",calendar[[#This Row],[Year]])</f>
        <v>12/2026</v>
      </c>
      <c r="G3650">
        <f>WEEKDAY(calendar[[#This Row],[Date]],1)</f>
        <v>2</v>
      </c>
      <c r="H3650" t="str">
        <f>TEXT(calendar[[#This Row],[WeekDay]],"dddd")</f>
        <v>Monday</v>
      </c>
      <c r="I3650">
        <f>IF((INT(calendar[[#This Row],[Count]]/7)-calendar[[#This Row],[Count]]/7)&lt;0,I3649,I3649+1)</f>
        <v>522</v>
      </c>
      <c r="J3650">
        <f t="shared" si="287"/>
        <v>3648</v>
      </c>
      <c r="K3650">
        <f>IF(calendar[[#This Row],[Month]]&lt;4,1,IF(calendar[[#This Row],[Month]]&lt;7,2,IF(calendar[[#This Row],[Month]]&lt;10,3,4)))</f>
        <v>4</v>
      </c>
      <c r="L3650">
        <f>IFERROR(IF(VLOOKUP(calendar[[#This Row],[Date]],BH!A:A,1,)&lt;&gt;"",1,0),0)</f>
        <v>1</v>
      </c>
      <c r="M3650">
        <f>IFERROR(IF(VLOOKUP(calendar[[#This Row],[Date]],BH!C:C,1,)&lt;&gt;"",1,0),0)</f>
        <v>0</v>
      </c>
      <c r="N3650">
        <f>IFERROR(IF(VLOOKUP(calendar[[#This Row],[Date]],BH!E:E,1,)&lt;&gt;"",1,0),0)</f>
        <v>0</v>
      </c>
      <c r="O3650">
        <f>IFERROR(IF(VLOOKUP(calendar[[#This Row],[Date]],BH!G:G,1,)&lt;&gt;"",1,0),0)</f>
        <v>0</v>
      </c>
      <c r="P3650">
        <f>IF(OR(calendar[[#This Row],[UK_BH]]=1,calendar[[#This Row],[WeekDay]]=1, calendar[[#This Row],[WeekDay]]=7),P3649,P3649+1)</f>
        <v>2590</v>
      </c>
      <c r="Q3650">
        <f>IF(OR(calendar[[#This Row],[FR_BH]]=1,calendar[[#This Row],[WeekDay]]=1, calendar[[#This Row],[WeekDay]]=7),P3649,P3649+1)</f>
        <v>2591</v>
      </c>
      <c r="R3650">
        <f>IF(OR(calendar[[#This Row],[SP_BH]]=1,calendar[[#This Row],[WeekDay]]=1, calendar[[#This Row],[WeekDay]]=7),P3649,P3649+1)</f>
        <v>2591</v>
      </c>
      <c r="S3650">
        <f>IF(OR(calendar[[#This Row],[PT_BH]]=1,calendar[[#This Row],[WeekDay]]=1, calendar[[#This Row],[WeekDay]]=7),P3649,P3649+1)</f>
        <v>2591</v>
      </c>
    </row>
    <row r="3651" spans="1:19" x14ac:dyDescent="0.25">
      <c r="A3651" s="2">
        <v>46385</v>
      </c>
      <c r="B3651" s="1">
        <f t="shared" si="291"/>
        <v>53</v>
      </c>
      <c r="C3651">
        <f t="shared" si="288"/>
        <v>12</v>
      </c>
      <c r="D3651" t="str">
        <f t="shared" si="289"/>
        <v>December</v>
      </c>
      <c r="E3651">
        <f t="shared" si="290"/>
        <v>2026</v>
      </c>
      <c r="F3651" t="str">
        <f>CONCATENATE(calendar[[#This Row],[Month]],"/",calendar[[#This Row],[Year]])</f>
        <v>12/2026</v>
      </c>
      <c r="G3651">
        <f>WEEKDAY(calendar[[#This Row],[Date]],1)</f>
        <v>3</v>
      </c>
      <c r="H3651" t="str">
        <f>TEXT(calendar[[#This Row],[WeekDay]],"dddd")</f>
        <v>Tuesday</v>
      </c>
      <c r="I3651">
        <f>IF((INT(calendar[[#This Row],[Count]]/7)-calendar[[#This Row],[Count]]/7)&lt;0,I3650,I3650+1)</f>
        <v>522</v>
      </c>
      <c r="J3651">
        <f t="shared" ref="J3651:J3714" si="292">J3650+1</f>
        <v>3649</v>
      </c>
      <c r="K3651">
        <f>IF(calendar[[#This Row],[Month]]&lt;4,1,IF(calendar[[#This Row],[Month]]&lt;7,2,IF(calendar[[#This Row],[Month]]&lt;10,3,4)))</f>
        <v>4</v>
      </c>
      <c r="L3651">
        <f>IFERROR(IF(VLOOKUP(calendar[[#This Row],[Date]],BH!A:A,1,)&lt;&gt;"",1,0),0)</f>
        <v>0</v>
      </c>
      <c r="M3651">
        <f>IFERROR(IF(VLOOKUP(calendar[[#This Row],[Date]],BH!C:C,1,)&lt;&gt;"",1,0),0)</f>
        <v>0</v>
      </c>
      <c r="N3651">
        <f>IFERROR(IF(VLOOKUP(calendar[[#This Row],[Date]],BH!E:E,1,)&lt;&gt;"",1,0),0)</f>
        <v>0</v>
      </c>
      <c r="O3651">
        <f>IFERROR(IF(VLOOKUP(calendar[[#This Row],[Date]],BH!G:G,1,)&lt;&gt;"",1,0),0)</f>
        <v>0</v>
      </c>
      <c r="P3651">
        <f>IF(OR(calendar[[#This Row],[UK_BH]]=1,calendar[[#This Row],[WeekDay]]=1, calendar[[#This Row],[WeekDay]]=7),P3650,P3650+1)</f>
        <v>2591</v>
      </c>
      <c r="Q3651">
        <f>IF(OR(calendar[[#This Row],[FR_BH]]=1,calendar[[#This Row],[WeekDay]]=1, calendar[[#This Row],[WeekDay]]=7),P3650,P3650+1)</f>
        <v>2591</v>
      </c>
      <c r="R3651">
        <f>IF(OR(calendar[[#This Row],[SP_BH]]=1,calendar[[#This Row],[WeekDay]]=1, calendar[[#This Row],[WeekDay]]=7),P3650,P3650+1)</f>
        <v>2591</v>
      </c>
      <c r="S3651">
        <f>IF(OR(calendar[[#This Row],[PT_BH]]=1,calendar[[#This Row],[WeekDay]]=1, calendar[[#This Row],[WeekDay]]=7),P3650,P3650+1)</f>
        <v>2591</v>
      </c>
    </row>
    <row r="3652" spans="1:19" x14ac:dyDescent="0.25">
      <c r="A3652" s="2">
        <v>46386</v>
      </c>
      <c r="B3652" s="1">
        <f t="shared" si="291"/>
        <v>53</v>
      </c>
      <c r="C3652">
        <f t="shared" si="288"/>
        <v>12</v>
      </c>
      <c r="D3652" t="str">
        <f t="shared" si="289"/>
        <v>December</v>
      </c>
      <c r="E3652">
        <f t="shared" si="290"/>
        <v>2026</v>
      </c>
      <c r="F3652" t="str">
        <f>CONCATENATE(calendar[[#This Row],[Month]],"/",calendar[[#This Row],[Year]])</f>
        <v>12/2026</v>
      </c>
      <c r="G3652">
        <f>WEEKDAY(calendar[[#This Row],[Date]],1)</f>
        <v>4</v>
      </c>
      <c r="H3652" t="str">
        <f>TEXT(calendar[[#This Row],[WeekDay]],"dddd")</f>
        <v>Wednesday</v>
      </c>
      <c r="I3652">
        <f>IF((INT(calendar[[#This Row],[Count]]/7)-calendar[[#This Row],[Count]]/7)&lt;0,I3651,I3651+1)</f>
        <v>522</v>
      </c>
      <c r="J3652">
        <f t="shared" si="292"/>
        <v>3650</v>
      </c>
      <c r="K3652">
        <f>IF(calendar[[#This Row],[Month]]&lt;4,1,IF(calendar[[#This Row],[Month]]&lt;7,2,IF(calendar[[#This Row],[Month]]&lt;10,3,4)))</f>
        <v>4</v>
      </c>
      <c r="L3652">
        <f>IFERROR(IF(VLOOKUP(calendar[[#This Row],[Date]],BH!A:A,1,)&lt;&gt;"",1,0),0)</f>
        <v>0</v>
      </c>
      <c r="M3652">
        <f>IFERROR(IF(VLOOKUP(calendar[[#This Row],[Date]],BH!C:C,1,)&lt;&gt;"",1,0),0)</f>
        <v>0</v>
      </c>
      <c r="N3652">
        <f>IFERROR(IF(VLOOKUP(calendar[[#This Row],[Date]],BH!E:E,1,)&lt;&gt;"",1,0),0)</f>
        <v>0</v>
      </c>
      <c r="O3652">
        <f>IFERROR(IF(VLOOKUP(calendar[[#This Row],[Date]],BH!G:G,1,)&lt;&gt;"",1,0),0)</f>
        <v>0</v>
      </c>
      <c r="P3652">
        <f>IF(OR(calendar[[#This Row],[UK_BH]]=1,calendar[[#This Row],[WeekDay]]=1, calendar[[#This Row],[WeekDay]]=7),P3651,P3651+1)</f>
        <v>2592</v>
      </c>
      <c r="Q3652">
        <f>IF(OR(calendar[[#This Row],[FR_BH]]=1,calendar[[#This Row],[WeekDay]]=1, calendar[[#This Row],[WeekDay]]=7),P3651,P3651+1)</f>
        <v>2592</v>
      </c>
      <c r="R3652">
        <f>IF(OR(calendar[[#This Row],[SP_BH]]=1,calendar[[#This Row],[WeekDay]]=1, calendar[[#This Row],[WeekDay]]=7),P3651,P3651+1)</f>
        <v>2592</v>
      </c>
      <c r="S3652">
        <f>IF(OR(calendar[[#This Row],[PT_BH]]=1,calendar[[#This Row],[WeekDay]]=1, calendar[[#This Row],[WeekDay]]=7),P3651,P3651+1)</f>
        <v>2592</v>
      </c>
    </row>
    <row r="3653" spans="1:19" x14ac:dyDescent="0.25">
      <c r="A3653" s="2">
        <v>46387</v>
      </c>
      <c r="B3653" s="1">
        <f t="shared" si="291"/>
        <v>53</v>
      </c>
      <c r="C3653">
        <f t="shared" si="288"/>
        <v>12</v>
      </c>
      <c r="D3653" t="str">
        <f t="shared" si="289"/>
        <v>December</v>
      </c>
      <c r="E3653">
        <f t="shared" si="290"/>
        <v>2026</v>
      </c>
      <c r="F3653" t="str">
        <f>CONCATENATE(calendar[[#This Row],[Month]],"/",calendar[[#This Row],[Year]])</f>
        <v>12/2026</v>
      </c>
      <c r="G3653">
        <f>WEEKDAY(calendar[[#This Row],[Date]],1)</f>
        <v>5</v>
      </c>
      <c r="H3653" t="str">
        <f>TEXT(calendar[[#This Row],[WeekDay]],"dddd")</f>
        <v>Thursday</v>
      </c>
      <c r="I3653">
        <f>IF((INT(calendar[[#This Row],[Count]]/7)-calendar[[#This Row],[Count]]/7)&lt;0,I3652,I3652+1)</f>
        <v>522</v>
      </c>
      <c r="J3653">
        <f t="shared" si="292"/>
        <v>3651</v>
      </c>
      <c r="K3653">
        <f>IF(calendar[[#This Row],[Month]]&lt;4,1,IF(calendar[[#This Row],[Month]]&lt;7,2,IF(calendar[[#This Row],[Month]]&lt;10,3,4)))</f>
        <v>4</v>
      </c>
      <c r="L3653">
        <f>IFERROR(IF(VLOOKUP(calendar[[#This Row],[Date]],BH!A:A,1,)&lt;&gt;"",1,0),0)</f>
        <v>0</v>
      </c>
      <c r="M3653">
        <f>IFERROR(IF(VLOOKUP(calendar[[#This Row],[Date]],BH!C:C,1,)&lt;&gt;"",1,0),0)</f>
        <v>0</v>
      </c>
      <c r="N3653">
        <f>IFERROR(IF(VLOOKUP(calendar[[#This Row],[Date]],BH!E:E,1,)&lt;&gt;"",1,0),0)</f>
        <v>0</v>
      </c>
      <c r="O3653">
        <f>IFERROR(IF(VLOOKUP(calendar[[#This Row],[Date]],BH!G:G,1,)&lt;&gt;"",1,0),0)</f>
        <v>0</v>
      </c>
      <c r="P3653">
        <f>IF(OR(calendar[[#This Row],[UK_BH]]=1,calendar[[#This Row],[WeekDay]]=1, calendar[[#This Row],[WeekDay]]=7),P3652,P3652+1)</f>
        <v>2593</v>
      </c>
      <c r="Q3653">
        <f>IF(OR(calendar[[#This Row],[FR_BH]]=1,calendar[[#This Row],[WeekDay]]=1, calendar[[#This Row],[WeekDay]]=7),P3652,P3652+1)</f>
        <v>2593</v>
      </c>
      <c r="R3653">
        <f>IF(OR(calendar[[#This Row],[SP_BH]]=1,calendar[[#This Row],[WeekDay]]=1, calendar[[#This Row],[WeekDay]]=7),P3652,P3652+1)</f>
        <v>2593</v>
      </c>
      <c r="S3653">
        <f>IF(OR(calendar[[#This Row],[PT_BH]]=1,calendar[[#This Row],[WeekDay]]=1, calendar[[#This Row],[WeekDay]]=7),P3652,P3652+1)</f>
        <v>2593</v>
      </c>
    </row>
    <row r="3654" spans="1:19" x14ac:dyDescent="0.25">
      <c r="A3654" s="2">
        <v>46388</v>
      </c>
      <c r="B3654" s="1">
        <f t="shared" si="291"/>
        <v>1</v>
      </c>
      <c r="C3654">
        <f t="shared" si="288"/>
        <v>1</v>
      </c>
      <c r="D3654" t="str">
        <f t="shared" si="289"/>
        <v>January</v>
      </c>
      <c r="E3654">
        <f t="shared" si="290"/>
        <v>2027</v>
      </c>
      <c r="F3654" t="str">
        <f>CONCATENATE(calendar[[#This Row],[Month]],"/",calendar[[#This Row],[Year]])</f>
        <v>1/2027</v>
      </c>
      <c r="G3654">
        <f>WEEKDAY(calendar[[#This Row],[Date]],1)</f>
        <v>6</v>
      </c>
      <c r="H3654" t="str">
        <f>TEXT(calendar[[#This Row],[WeekDay]],"dddd")</f>
        <v>Friday</v>
      </c>
      <c r="I3654">
        <f>IF((INT(calendar[[#This Row],[Count]]/7)-calendar[[#This Row],[Count]]/7)&lt;0,I3653,I3653+1)</f>
        <v>522</v>
      </c>
      <c r="J3654">
        <f t="shared" si="292"/>
        <v>3652</v>
      </c>
      <c r="K3654">
        <f>IF(calendar[[#This Row],[Month]]&lt;4,1,IF(calendar[[#This Row],[Month]]&lt;7,2,IF(calendar[[#This Row],[Month]]&lt;10,3,4)))</f>
        <v>1</v>
      </c>
      <c r="L3654">
        <f>IFERROR(IF(VLOOKUP(calendar[[#This Row],[Date]],BH!A:A,1,)&lt;&gt;"",1,0),0)</f>
        <v>1</v>
      </c>
      <c r="M3654">
        <f>IFERROR(IF(VLOOKUP(calendar[[#This Row],[Date]],BH!C:C,1,)&lt;&gt;"",1,0),0)</f>
        <v>1</v>
      </c>
      <c r="N3654">
        <f>IFERROR(IF(VLOOKUP(calendar[[#This Row],[Date]],BH!E:E,1,)&lt;&gt;"",1,0),0)</f>
        <v>1</v>
      </c>
      <c r="O3654">
        <f>IFERROR(IF(VLOOKUP(calendar[[#This Row],[Date]],BH!G:G,1,)&lt;&gt;"",1,0),0)</f>
        <v>1</v>
      </c>
      <c r="P3654">
        <f>IF(OR(calendar[[#This Row],[UK_BH]]=1,calendar[[#This Row],[WeekDay]]=1, calendar[[#This Row],[WeekDay]]=7),P3653,P3653+1)</f>
        <v>2593</v>
      </c>
      <c r="Q3654">
        <f>IF(OR(calendar[[#This Row],[FR_BH]]=1,calendar[[#This Row],[WeekDay]]=1, calendar[[#This Row],[WeekDay]]=7),P3653,P3653+1)</f>
        <v>2593</v>
      </c>
      <c r="R3654">
        <f>IF(OR(calendar[[#This Row],[SP_BH]]=1,calendar[[#This Row],[WeekDay]]=1, calendar[[#This Row],[WeekDay]]=7),P3653,P3653+1)</f>
        <v>2593</v>
      </c>
      <c r="S3654">
        <f>IF(OR(calendar[[#This Row],[PT_BH]]=1,calendar[[#This Row],[WeekDay]]=1, calendar[[#This Row],[WeekDay]]=7),P3653,P3653+1)</f>
        <v>2593</v>
      </c>
    </row>
    <row r="3655" spans="1:19" x14ac:dyDescent="0.25">
      <c r="A3655" s="2">
        <v>46389</v>
      </c>
      <c r="B3655" s="1">
        <f t="shared" si="291"/>
        <v>1</v>
      </c>
      <c r="C3655">
        <f t="shared" si="288"/>
        <v>1</v>
      </c>
      <c r="D3655" t="str">
        <f t="shared" si="289"/>
        <v>January</v>
      </c>
      <c r="E3655">
        <f t="shared" si="290"/>
        <v>2027</v>
      </c>
      <c r="F3655" t="str">
        <f>CONCATENATE(calendar[[#This Row],[Month]],"/",calendar[[#This Row],[Year]])</f>
        <v>1/2027</v>
      </c>
      <c r="G3655">
        <f>WEEKDAY(calendar[[#This Row],[Date]],1)</f>
        <v>7</v>
      </c>
      <c r="H3655" t="str">
        <f>TEXT(calendar[[#This Row],[WeekDay]],"dddd")</f>
        <v>Saturday</v>
      </c>
      <c r="I3655">
        <f>IF((INT(calendar[[#This Row],[Count]]/7)-calendar[[#This Row],[Count]]/7)&lt;0,I3654,I3654+1)</f>
        <v>522</v>
      </c>
      <c r="J3655">
        <f t="shared" si="292"/>
        <v>3653</v>
      </c>
      <c r="K3655">
        <f>IF(calendar[[#This Row],[Month]]&lt;4,1,IF(calendar[[#This Row],[Month]]&lt;7,2,IF(calendar[[#This Row],[Month]]&lt;10,3,4)))</f>
        <v>1</v>
      </c>
      <c r="L3655">
        <f>IFERROR(IF(VLOOKUP(calendar[[#This Row],[Date]],BH!A:A,1,)&lt;&gt;"",1,0),0)</f>
        <v>0</v>
      </c>
      <c r="M3655">
        <f>IFERROR(IF(VLOOKUP(calendar[[#This Row],[Date]],BH!C:C,1,)&lt;&gt;"",1,0),0)</f>
        <v>0</v>
      </c>
      <c r="N3655">
        <f>IFERROR(IF(VLOOKUP(calendar[[#This Row],[Date]],BH!E:E,1,)&lt;&gt;"",1,0),0)</f>
        <v>0</v>
      </c>
      <c r="O3655">
        <f>IFERROR(IF(VLOOKUP(calendar[[#This Row],[Date]],BH!G:G,1,)&lt;&gt;"",1,0),0)</f>
        <v>0</v>
      </c>
      <c r="P3655">
        <f>IF(OR(calendar[[#This Row],[UK_BH]]=1,calendar[[#This Row],[WeekDay]]=1, calendar[[#This Row],[WeekDay]]=7),P3654,P3654+1)</f>
        <v>2593</v>
      </c>
      <c r="Q3655">
        <f>IF(OR(calendar[[#This Row],[FR_BH]]=1,calendar[[#This Row],[WeekDay]]=1, calendar[[#This Row],[WeekDay]]=7),P3654,P3654+1)</f>
        <v>2593</v>
      </c>
      <c r="R3655">
        <f>IF(OR(calendar[[#This Row],[SP_BH]]=1,calendar[[#This Row],[WeekDay]]=1, calendar[[#This Row],[WeekDay]]=7),P3654,P3654+1)</f>
        <v>2593</v>
      </c>
      <c r="S3655">
        <f>IF(OR(calendar[[#This Row],[PT_BH]]=1,calendar[[#This Row],[WeekDay]]=1, calendar[[#This Row],[WeekDay]]=7),P3654,P3654+1)</f>
        <v>2593</v>
      </c>
    </row>
    <row r="3656" spans="1:19" x14ac:dyDescent="0.25">
      <c r="A3656" s="2">
        <v>46390</v>
      </c>
      <c r="B3656" s="1">
        <f t="shared" si="291"/>
        <v>2</v>
      </c>
      <c r="C3656">
        <f t="shared" si="288"/>
        <v>1</v>
      </c>
      <c r="D3656" t="str">
        <f t="shared" si="289"/>
        <v>January</v>
      </c>
      <c r="E3656">
        <f t="shared" si="290"/>
        <v>2027</v>
      </c>
      <c r="F3656" t="str">
        <f>CONCATENATE(calendar[[#This Row],[Month]],"/",calendar[[#This Row],[Year]])</f>
        <v>1/2027</v>
      </c>
      <c r="G3656">
        <f>WEEKDAY(calendar[[#This Row],[Date]],1)</f>
        <v>1</v>
      </c>
      <c r="H3656" t="str">
        <f>TEXT(calendar[[#This Row],[WeekDay]],"dddd")</f>
        <v>Sunday</v>
      </c>
      <c r="I3656">
        <f>IF((INT(calendar[[#This Row],[Count]]/7)-calendar[[#This Row],[Count]]/7)&lt;0,I3655,I3655+1)</f>
        <v>523</v>
      </c>
      <c r="J3656">
        <f t="shared" si="292"/>
        <v>3654</v>
      </c>
      <c r="K3656">
        <f>IF(calendar[[#This Row],[Month]]&lt;4,1,IF(calendar[[#This Row],[Month]]&lt;7,2,IF(calendar[[#This Row],[Month]]&lt;10,3,4)))</f>
        <v>1</v>
      </c>
      <c r="L3656">
        <f>IFERROR(IF(VLOOKUP(calendar[[#This Row],[Date]],BH!A:A,1,)&lt;&gt;"",1,0),0)</f>
        <v>0</v>
      </c>
      <c r="M3656">
        <f>IFERROR(IF(VLOOKUP(calendar[[#This Row],[Date]],BH!C:C,1,)&lt;&gt;"",1,0),0)</f>
        <v>0</v>
      </c>
      <c r="N3656">
        <f>IFERROR(IF(VLOOKUP(calendar[[#This Row],[Date]],BH!E:E,1,)&lt;&gt;"",1,0),0)</f>
        <v>0</v>
      </c>
      <c r="O3656">
        <f>IFERROR(IF(VLOOKUP(calendar[[#This Row],[Date]],BH!G:G,1,)&lt;&gt;"",1,0),0)</f>
        <v>0</v>
      </c>
      <c r="P3656">
        <f>IF(OR(calendar[[#This Row],[UK_BH]]=1,calendar[[#This Row],[WeekDay]]=1, calendar[[#This Row],[WeekDay]]=7),P3655,P3655+1)</f>
        <v>2593</v>
      </c>
      <c r="Q3656">
        <f>IF(OR(calendar[[#This Row],[FR_BH]]=1,calendar[[#This Row],[WeekDay]]=1, calendar[[#This Row],[WeekDay]]=7),P3655,P3655+1)</f>
        <v>2593</v>
      </c>
      <c r="R3656">
        <f>IF(OR(calendar[[#This Row],[SP_BH]]=1,calendar[[#This Row],[WeekDay]]=1, calendar[[#This Row],[WeekDay]]=7),P3655,P3655+1)</f>
        <v>2593</v>
      </c>
      <c r="S3656">
        <f>IF(OR(calendar[[#This Row],[PT_BH]]=1,calendar[[#This Row],[WeekDay]]=1, calendar[[#This Row],[WeekDay]]=7),P3655,P3655+1)</f>
        <v>2593</v>
      </c>
    </row>
    <row r="3657" spans="1:19" x14ac:dyDescent="0.25">
      <c r="A3657" s="2">
        <v>46391</v>
      </c>
      <c r="B3657" s="1">
        <f t="shared" si="291"/>
        <v>2</v>
      </c>
      <c r="C3657">
        <f t="shared" si="288"/>
        <v>1</v>
      </c>
      <c r="D3657" t="str">
        <f t="shared" si="289"/>
        <v>January</v>
      </c>
      <c r="E3657">
        <f t="shared" si="290"/>
        <v>2027</v>
      </c>
      <c r="F3657" t="str">
        <f>CONCATENATE(calendar[[#This Row],[Month]],"/",calendar[[#This Row],[Year]])</f>
        <v>1/2027</v>
      </c>
      <c r="G3657">
        <f>WEEKDAY(calendar[[#This Row],[Date]],1)</f>
        <v>2</v>
      </c>
      <c r="H3657" t="str">
        <f>TEXT(calendar[[#This Row],[WeekDay]],"dddd")</f>
        <v>Monday</v>
      </c>
      <c r="I3657">
        <f>IF((INT(calendar[[#This Row],[Count]]/7)-calendar[[#This Row],[Count]]/7)&lt;0,I3656,I3656+1)</f>
        <v>523</v>
      </c>
      <c r="J3657">
        <f t="shared" si="292"/>
        <v>3655</v>
      </c>
      <c r="K3657">
        <f>IF(calendar[[#This Row],[Month]]&lt;4,1,IF(calendar[[#This Row],[Month]]&lt;7,2,IF(calendar[[#This Row],[Month]]&lt;10,3,4)))</f>
        <v>1</v>
      </c>
      <c r="L3657">
        <f>IFERROR(IF(VLOOKUP(calendar[[#This Row],[Date]],BH!A:A,1,)&lt;&gt;"",1,0),0)</f>
        <v>0</v>
      </c>
      <c r="M3657">
        <f>IFERROR(IF(VLOOKUP(calendar[[#This Row],[Date]],BH!C:C,1,)&lt;&gt;"",1,0),0)</f>
        <v>0</v>
      </c>
      <c r="N3657">
        <f>IFERROR(IF(VLOOKUP(calendar[[#This Row],[Date]],BH!E:E,1,)&lt;&gt;"",1,0),0)</f>
        <v>0</v>
      </c>
      <c r="O3657">
        <f>IFERROR(IF(VLOOKUP(calendar[[#This Row],[Date]],BH!G:G,1,)&lt;&gt;"",1,0),0)</f>
        <v>0</v>
      </c>
      <c r="P3657">
        <f>IF(OR(calendar[[#This Row],[UK_BH]]=1,calendar[[#This Row],[WeekDay]]=1, calendar[[#This Row],[WeekDay]]=7),P3656,P3656+1)</f>
        <v>2594</v>
      </c>
      <c r="Q3657">
        <f>IF(OR(calendar[[#This Row],[FR_BH]]=1,calendar[[#This Row],[WeekDay]]=1, calendar[[#This Row],[WeekDay]]=7),P3656,P3656+1)</f>
        <v>2594</v>
      </c>
      <c r="R3657">
        <f>IF(OR(calendar[[#This Row],[SP_BH]]=1,calendar[[#This Row],[WeekDay]]=1, calendar[[#This Row],[WeekDay]]=7),P3656,P3656+1)</f>
        <v>2594</v>
      </c>
      <c r="S3657">
        <f>IF(OR(calendar[[#This Row],[PT_BH]]=1,calendar[[#This Row],[WeekDay]]=1, calendar[[#This Row],[WeekDay]]=7),P3656,P3656+1)</f>
        <v>2594</v>
      </c>
    </row>
    <row r="3658" spans="1:19" x14ac:dyDescent="0.25">
      <c r="A3658" s="2">
        <v>46392</v>
      </c>
      <c r="B3658" s="1">
        <f t="shared" si="291"/>
        <v>2</v>
      </c>
      <c r="C3658">
        <f t="shared" si="288"/>
        <v>1</v>
      </c>
      <c r="D3658" t="str">
        <f t="shared" si="289"/>
        <v>January</v>
      </c>
      <c r="E3658">
        <f t="shared" si="290"/>
        <v>2027</v>
      </c>
      <c r="F3658" t="str">
        <f>CONCATENATE(calendar[[#This Row],[Month]],"/",calendar[[#This Row],[Year]])</f>
        <v>1/2027</v>
      </c>
      <c r="G3658">
        <f>WEEKDAY(calendar[[#This Row],[Date]],1)</f>
        <v>3</v>
      </c>
      <c r="H3658" t="str">
        <f>TEXT(calendar[[#This Row],[WeekDay]],"dddd")</f>
        <v>Tuesday</v>
      </c>
      <c r="I3658">
        <f>IF((INT(calendar[[#This Row],[Count]]/7)-calendar[[#This Row],[Count]]/7)&lt;0,I3657,I3657+1)</f>
        <v>523</v>
      </c>
      <c r="J3658">
        <f t="shared" si="292"/>
        <v>3656</v>
      </c>
      <c r="K3658">
        <f>IF(calendar[[#This Row],[Month]]&lt;4,1,IF(calendar[[#This Row],[Month]]&lt;7,2,IF(calendar[[#This Row],[Month]]&lt;10,3,4)))</f>
        <v>1</v>
      </c>
      <c r="L3658">
        <f>IFERROR(IF(VLOOKUP(calendar[[#This Row],[Date]],BH!A:A,1,)&lt;&gt;"",1,0),0)</f>
        <v>0</v>
      </c>
      <c r="M3658">
        <f>IFERROR(IF(VLOOKUP(calendar[[#This Row],[Date]],BH!C:C,1,)&lt;&gt;"",1,0),0)</f>
        <v>0</v>
      </c>
      <c r="N3658">
        <f>IFERROR(IF(VLOOKUP(calendar[[#This Row],[Date]],BH!E:E,1,)&lt;&gt;"",1,0),0)</f>
        <v>0</v>
      </c>
      <c r="O3658">
        <f>IFERROR(IF(VLOOKUP(calendar[[#This Row],[Date]],BH!G:G,1,)&lt;&gt;"",1,0),0)</f>
        <v>0</v>
      </c>
      <c r="P3658">
        <f>IF(OR(calendar[[#This Row],[UK_BH]]=1,calendar[[#This Row],[WeekDay]]=1, calendar[[#This Row],[WeekDay]]=7),P3657,P3657+1)</f>
        <v>2595</v>
      </c>
      <c r="Q3658">
        <f>IF(OR(calendar[[#This Row],[FR_BH]]=1,calendar[[#This Row],[WeekDay]]=1, calendar[[#This Row],[WeekDay]]=7),P3657,P3657+1)</f>
        <v>2595</v>
      </c>
      <c r="R3658">
        <f>IF(OR(calendar[[#This Row],[SP_BH]]=1,calendar[[#This Row],[WeekDay]]=1, calendar[[#This Row],[WeekDay]]=7),P3657,P3657+1)</f>
        <v>2595</v>
      </c>
      <c r="S3658">
        <f>IF(OR(calendar[[#This Row],[PT_BH]]=1,calendar[[#This Row],[WeekDay]]=1, calendar[[#This Row],[WeekDay]]=7),P3657,P3657+1)</f>
        <v>2595</v>
      </c>
    </row>
    <row r="3659" spans="1:19" x14ac:dyDescent="0.25">
      <c r="A3659" s="2">
        <v>46393</v>
      </c>
      <c r="B3659" s="1">
        <f t="shared" si="291"/>
        <v>2</v>
      </c>
      <c r="C3659">
        <f t="shared" si="288"/>
        <v>1</v>
      </c>
      <c r="D3659" t="str">
        <f t="shared" si="289"/>
        <v>January</v>
      </c>
      <c r="E3659">
        <f t="shared" si="290"/>
        <v>2027</v>
      </c>
      <c r="F3659" t="str">
        <f>CONCATENATE(calendar[[#This Row],[Month]],"/",calendar[[#This Row],[Year]])</f>
        <v>1/2027</v>
      </c>
      <c r="G3659">
        <f>WEEKDAY(calendar[[#This Row],[Date]],1)</f>
        <v>4</v>
      </c>
      <c r="H3659" t="str">
        <f>TEXT(calendar[[#This Row],[WeekDay]],"dddd")</f>
        <v>Wednesday</v>
      </c>
      <c r="I3659">
        <f>IF((INT(calendar[[#This Row],[Count]]/7)-calendar[[#This Row],[Count]]/7)&lt;0,I3658,I3658+1)</f>
        <v>523</v>
      </c>
      <c r="J3659">
        <f t="shared" si="292"/>
        <v>3657</v>
      </c>
      <c r="K3659">
        <f>IF(calendar[[#This Row],[Month]]&lt;4,1,IF(calendar[[#This Row],[Month]]&lt;7,2,IF(calendar[[#This Row],[Month]]&lt;10,3,4)))</f>
        <v>1</v>
      </c>
      <c r="L3659">
        <f>IFERROR(IF(VLOOKUP(calendar[[#This Row],[Date]],BH!A:A,1,)&lt;&gt;"",1,0),0)</f>
        <v>0</v>
      </c>
      <c r="M3659">
        <f>IFERROR(IF(VLOOKUP(calendar[[#This Row],[Date]],BH!C:C,1,)&lt;&gt;"",1,0),0)</f>
        <v>0</v>
      </c>
      <c r="N3659">
        <f>IFERROR(IF(VLOOKUP(calendar[[#This Row],[Date]],BH!E:E,1,)&lt;&gt;"",1,0),0)</f>
        <v>1</v>
      </c>
      <c r="O3659">
        <f>IFERROR(IF(VLOOKUP(calendar[[#This Row],[Date]],BH!G:G,1,)&lt;&gt;"",1,0),0)</f>
        <v>0</v>
      </c>
      <c r="P3659">
        <f>IF(OR(calendar[[#This Row],[UK_BH]]=1,calendar[[#This Row],[WeekDay]]=1, calendar[[#This Row],[WeekDay]]=7),P3658,P3658+1)</f>
        <v>2596</v>
      </c>
      <c r="Q3659">
        <f>IF(OR(calendar[[#This Row],[FR_BH]]=1,calendar[[#This Row],[WeekDay]]=1, calendar[[#This Row],[WeekDay]]=7),P3658,P3658+1)</f>
        <v>2596</v>
      </c>
      <c r="R3659">
        <f>IF(OR(calendar[[#This Row],[SP_BH]]=1,calendar[[#This Row],[WeekDay]]=1, calendar[[#This Row],[WeekDay]]=7),P3658,P3658+1)</f>
        <v>2595</v>
      </c>
      <c r="S3659">
        <f>IF(OR(calendar[[#This Row],[PT_BH]]=1,calendar[[#This Row],[WeekDay]]=1, calendar[[#This Row],[WeekDay]]=7),P3658,P3658+1)</f>
        <v>2596</v>
      </c>
    </row>
    <row r="3660" spans="1:19" x14ac:dyDescent="0.25">
      <c r="A3660" s="2">
        <v>46394</v>
      </c>
      <c r="B3660" s="1">
        <f t="shared" si="291"/>
        <v>2</v>
      </c>
      <c r="C3660">
        <f t="shared" si="288"/>
        <v>1</v>
      </c>
      <c r="D3660" t="str">
        <f t="shared" si="289"/>
        <v>January</v>
      </c>
      <c r="E3660">
        <f t="shared" si="290"/>
        <v>2027</v>
      </c>
      <c r="F3660" t="str">
        <f>CONCATENATE(calendar[[#This Row],[Month]],"/",calendar[[#This Row],[Year]])</f>
        <v>1/2027</v>
      </c>
      <c r="G3660">
        <f>WEEKDAY(calendar[[#This Row],[Date]],1)</f>
        <v>5</v>
      </c>
      <c r="H3660" t="str">
        <f>TEXT(calendar[[#This Row],[WeekDay]],"dddd")</f>
        <v>Thursday</v>
      </c>
      <c r="I3660">
        <f>IF((INT(calendar[[#This Row],[Count]]/7)-calendar[[#This Row],[Count]]/7)&lt;0,I3659,I3659+1)</f>
        <v>523</v>
      </c>
      <c r="J3660">
        <f t="shared" si="292"/>
        <v>3658</v>
      </c>
      <c r="K3660">
        <f>IF(calendar[[#This Row],[Month]]&lt;4,1,IF(calendar[[#This Row],[Month]]&lt;7,2,IF(calendar[[#This Row],[Month]]&lt;10,3,4)))</f>
        <v>1</v>
      </c>
      <c r="L3660">
        <f>IFERROR(IF(VLOOKUP(calendar[[#This Row],[Date]],BH!A:A,1,)&lt;&gt;"",1,0),0)</f>
        <v>0</v>
      </c>
      <c r="M3660">
        <f>IFERROR(IF(VLOOKUP(calendar[[#This Row],[Date]],BH!C:C,1,)&lt;&gt;"",1,0),0)</f>
        <v>0</v>
      </c>
      <c r="N3660">
        <f>IFERROR(IF(VLOOKUP(calendar[[#This Row],[Date]],BH!E:E,1,)&lt;&gt;"",1,0),0)</f>
        <v>0</v>
      </c>
      <c r="O3660">
        <f>IFERROR(IF(VLOOKUP(calendar[[#This Row],[Date]],BH!G:G,1,)&lt;&gt;"",1,0),0)</f>
        <v>0</v>
      </c>
      <c r="P3660">
        <f>IF(OR(calendar[[#This Row],[UK_BH]]=1,calendar[[#This Row],[WeekDay]]=1, calendar[[#This Row],[WeekDay]]=7),P3659,P3659+1)</f>
        <v>2597</v>
      </c>
      <c r="Q3660">
        <f>IF(OR(calendar[[#This Row],[FR_BH]]=1,calendar[[#This Row],[WeekDay]]=1, calendar[[#This Row],[WeekDay]]=7),P3659,P3659+1)</f>
        <v>2597</v>
      </c>
      <c r="R3660">
        <f>IF(OR(calendar[[#This Row],[SP_BH]]=1,calendar[[#This Row],[WeekDay]]=1, calendar[[#This Row],[WeekDay]]=7),P3659,P3659+1)</f>
        <v>2597</v>
      </c>
      <c r="S3660">
        <f>IF(OR(calendar[[#This Row],[PT_BH]]=1,calendar[[#This Row],[WeekDay]]=1, calendar[[#This Row],[WeekDay]]=7),P3659,P3659+1)</f>
        <v>2597</v>
      </c>
    </row>
    <row r="3661" spans="1:19" x14ac:dyDescent="0.25">
      <c r="A3661" s="2">
        <v>46395</v>
      </c>
      <c r="B3661" s="1">
        <f t="shared" si="291"/>
        <v>2</v>
      </c>
      <c r="C3661">
        <f t="shared" si="288"/>
        <v>1</v>
      </c>
      <c r="D3661" t="str">
        <f t="shared" si="289"/>
        <v>January</v>
      </c>
      <c r="E3661">
        <f t="shared" si="290"/>
        <v>2027</v>
      </c>
      <c r="F3661" t="str">
        <f>CONCATENATE(calendar[[#This Row],[Month]],"/",calendar[[#This Row],[Year]])</f>
        <v>1/2027</v>
      </c>
      <c r="G3661">
        <f>WEEKDAY(calendar[[#This Row],[Date]],1)</f>
        <v>6</v>
      </c>
      <c r="H3661" t="str">
        <f>TEXT(calendar[[#This Row],[WeekDay]],"dddd")</f>
        <v>Friday</v>
      </c>
      <c r="I3661">
        <f>IF((INT(calendar[[#This Row],[Count]]/7)-calendar[[#This Row],[Count]]/7)&lt;0,I3660,I3660+1)</f>
        <v>523</v>
      </c>
      <c r="J3661">
        <f t="shared" si="292"/>
        <v>3659</v>
      </c>
      <c r="K3661">
        <f>IF(calendar[[#This Row],[Month]]&lt;4,1,IF(calendar[[#This Row],[Month]]&lt;7,2,IF(calendar[[#This Row],[Month]]&lt;10,3,4)))</f>
        <v>1</v>
      </c>
      <c r="L3661">
        <f>IFERROR(IF(VLOOKUP(calendar[[#This Row],[Date]],BH!A:A,1,)&lt;&gt;"",1,0),0)</f>
        <v>0</v>
      </c>
      <c r="M3661">
        <f>IFERROR(IF(VLOOKUP(calendar[[#This Row],[Date]],BH!C:C,1,)&lt;&gt;"",1,0),0)</f>
        <v>0</v>
      </c>
      <c r="N3661">
        <f>IFERROR(IF(VLOOKUP(calendar[[#This Row],[Date]],BH!E:E,1,)&lt;&gt;"",1,0),0)</f>
        <v>0</v>
      </c>
      <c r="O3661">
        <f>IFERROR(IF(VLOOKUP(calendar[[#This Row],[Date]],BH!G:G,1,)&lt;&gt;"",1,0),0)</f>
        <v>0</v>
      </c>
      <c r="P3661">
        <f>IF(OR(calendar[[#This Row],[UK_BH]]=1,calendar[[#This Row],[WeekDay]]=1, calendar[[#This Row],[WeekDay]]=7),P3660,P3660+1)</f>
        <v>2598</v>
      </c>
      <c r="Q3661">
        <f>IF(OR(calendar[[#This Row],[FR_BH]]=1,calendar[[#This Row],[WeekDay]]=1, calendar[[#This Row],[WeekDay]]=7),P3660,P3660+1)</f>
        <v>2598</v>
      </c>
      <c r="R3661">
        <f>IF(OR(calendar[[#This Row],[SP_BH]]=1,calendar[[#This Row],[WeekDay]]=1, calendar[[#This Row],[WeekDay]]=7),P3660,P3660+1)</f>
        <v>2598</v>
      </c>
      <c r="S3661">
        <f>IF(OR(calendar[[#This Row],[PT_BH]]=1,calendar[[#This Row],[WeekDay]]=1, calendar[[#This Row],[WeekDay]]=7),P3660,P3660+1)</f>
        <v>2598</v>
      </c>
    </row>
    <row r="3662" spans="1:19" x14ac:dyDescent="0.25">
      <c r="A3662" s="2">
        <v>46396</v>
      </c>
      <c r="B3662" s="1">
        <f t="shared" si="291"/>
        <v>2</v>
      </c>
      <c r="C3662">
        <f t="shared" si="288"/>
        <v>1</v>
      </c>
      <c r="D3662" t="str">
        <f t="shared" si="289"/>
        <v>January</v>
      </c>
      <c r="E3662">
        <f t="shared" si="290"/>
        <v>2027</v>
      </c>
      <c r="F3662" t="str">
        <f>CONCATENATE(calendar[[#This Row],[Month]],"/",calendar[[#This Row],[Year]])</f>
        <v>1/2027</v>
      </c>
      <c r="G3662">
        <f>WEEKDAY(calendar[[#This Row],[Date]],1)</f>
        <v>7</v>
      </c>
      <c r="H3662" t="str">
        <f>TEXT(calendar[[#This Row],[WeekDay]],"dddd")</f>
        <v>Saturday</v>
      </c>
      <c r="I3662">
        <f>IF((INT(calendar[[#This Row],[Count]]/7)-calendar[[#This Row],[Count]]/7)&lt;0,I3661,I3661+1)</f>
        <v>523</v>
      </c>
      <c r="J3662">
        <f t="shared" si="292"/>
        <v>3660</v>
      </c>
      <c r="K3662">
        <f>IF(calendar[[#This Row],[Month]]&lt;4,1,IF(calendar[[#This Row],[Month]]&lt;7,2,IF(calendar[[#This Row],[Month]]&lt;10,3,4)))</f>
        <v>1</v>
      </c>
      <c r="L3662">
        <f>IFERROR(IF(VLOOKUP(calendar[[#This Row],[Date]],BH!A:A,1,)&lt;&gt;"",1,0),0)</f>
        <v>0</v>
      </c>
      <c r="M3662">
        <f>IFERROR(IF(VLOOKUP(calendar[[#This Row],[Date]],BH!C:C,1,)&lt;&gt;"",1,0),0)</f>
        <v>0</v>
      </c>
      <c r="N3662">
        <f>IFERROR(IF(VLOOKUP(calendar[[#This Row],[Date]],BH!E:E,1,)&lt;&gt;"",1,0),0)</f>
        <v>0</v>
      </c>
      <c r="O3662">
        <f>IFERROR(IF(VLOOKUP(calendar[[#This Row],[Date]],BH!G:G,1,)&lt;&gt;"",1,0),0)</f>
        <v>0</v>
      </c>
      <c r="P3662">
        <f>IF(OR(calendar[[#This Row],[UK_BH]]=1,calendar[[#This Row],[WeekDay]]=1, calendar[[#This Row],[WeekDay]]=7),P3661,P3661+1)</f>
        <v>2598</v>
      </c>
      <c r="Q3662">
        <f>IF(OR(calendar[[#This Row],[FR_BH]]=1,calendar[[#This Row],[WeekDay]]=1, calendar[[#This Row],[WeekDay]]=7),P3661,P3661+1)</f>
        <v>2598</v>
      </c>
      <c r="R3662">
        <f>IF(OR(calendar[[#This Row],[SP_BH]]=1,calendar[[#This Row],[WeekDay]]=1, calendar[[#This Row],[WeekDay]]=7),P3661,P3661+1)</f>
        <v>2598</v>
      </c>
      <c r="S3662">
        <f>IF(OR(calendar[[#This Row],[PT_BH]]=1,calendar[[#This Row],[WeekDay]]=1, calendar[[#This Row],[WeekDay]]=7),P3661,P3661+1)</f>
        <v>2598</v>
      </c>
    </row>
    <row r="3663" spans="1:19" x14ac:dyDescent="0.25">
      <c r="A3663" s="2">
        <v>46397</v>
      </c>
      <c r="B3663" s="1">
        <f t="shared" si="291"/>
        <v>3</v>
      </c>
      <c r="C3663">
        <f t="shared" si="288"/>
        <v>1</v>
      </c>
      <c r="D3663" t="str">
        <f t="shared" si="289"/>
        <v>January</v>
      </c>
      <c r="E3663">
        <f t="shared" si="290"/>
        <v>2027</v>
      </c>
      <c r="F3663" t="str">
        <f>CONCATENATE(calendar[[#This Row],[Month]],"/",calendar[[#This Row],[Year]])</f>
        <v>1/2027</v>
      </c>
      <c r="G3663">
        <f>WEEKDAY(calendar[[#This Row],[Date]],1)</f>
        <v>1</v>
      </c>
      <c r="H3663" t="str">
        <f>TEXT(calendar[[#This Row],[WeekDay]],"dddd")</f>
        <v>Sunday</v>
      </c>
      <c r="I3663">
        <f>IF((INT(calendar[[#This Row],[Count]]/7)-calendar[[#This Row],[Count]]/7)&lt;0,I3662,I3662+1)</f>
        <v>524</v>
      </c>
      <c r="J3663">
        <f t="shared" si="292"/>
        <v>3661</v>
      </c>
      <c r="K3663">
        <f>IF(calendar[[#This Row],[Month]]&lt;4,1,IF(calendar[[#This Row],[Month]]&lt;7,2,IF(calendar[[#This Row],[Month]]&lt;10,3,4)))</f>
        <v>1</v>
      </c>
      <c r="L3663">
        <f>IFERROR(IF(VLOOKUP(calendar[[#This Row],[Date]],BH!A:A,1,)&lt;&gt;"",1,0),0)</f>
        <v>0</v>
      </c>
      <c r="M3663">
        <f>IFERROR(IF(VLOOKUP(calendar[[#This Row],[Date]],BH!C:C,1,)&lt;&gt;"",1,0),0)</f>
        <v>0</v>
      </c>
      <c r="N3663">
        <f>IFERROR(IF(VLOOKUP(calendar[[#This Row],[Date]],BH!E:E,1,)&lt;&gt;"",1,0),0)</f>
        <v>0</v>
      </c>
      <c r="O3663">
        <f>IFERROR(IF(VLOOKUP(calendar[[#This Row],[Date]],BH!G:G,1,)&lt;&gt;"",1,0),0)</f>
        <v>0</v>
      </c>
      <c r="P3663">
        <f>IF(OR(calendar[[#This Row],[UK_BH]]=1,calendar[[#This Row],[WeekDay]]=1, calendar[[#This Row],[WeekDay]]=7),P3662,P3662+1)</f>
        <v>2598</v>
      </c>
      <c r="Q3663">
        <f>IF(OR(calendar[[#This Row],[FR_BH]]=1,calendar[[#This Row],[WeekDay]]=1, calendar[[#This Row],[WeekDay]]=7),P3662,P3662+1)</f>
        <v>2598</v>
      </c>
      <c r="R3663">
        <f>IF(OR(calendar[[#This Row],[SP_BH]]=1,calendar[[#This Row],[WeekDay]]=1, calendar[[#This Row],[WeekDay]]=7),P3662,P3662+1)</f>
        <v>2598</v>
      </c>
      <c r="S3663">
        <f>IF(OR(calendar[[#This Row],[PT_BH]]=1,calendar[[#This Row],[WeekDay]]=1, calendar[[#This Row],[WeekDay]]=7),P3662,P3662+1)</f>
        <v>2598</v>
      </c>
    </row>
    <row r="3664" spans="1:19" x14ac:dyDescent="0.25">
      <c r="A3664" s="2">
        <v>46398</v>
      </c>
      <c r="B3664" s="1">
        <f t="shared" si="291"/>
        <v>3</v>
      </c>
      <c r="C3664">
        <f t="shared" si="288"/>
        <v>1</v>
      </c>
      <c r="D3664" t="str">
        <f t="shared" si="289"/>
        <v>January</v>
      </c>
      <c r="E3664">
        <f t="shared" si="290"/>
        <v>2027</v>
      </c>
      <c r="F3664" t="str">
        <f>CONCATENATE(calendar[[#This Row],[Month]],"/",calendar[[#This Row],[Year]])</f>
        <v>1/2027</v>
      </c>
      <c r="G3664">
        <f>WEEKDAY(calendar[[#This Row],[Date]],1)</f>
        <v>2</v>
      </c>
      <c r="H3664" t="str">
        <f>TEXT(calendar[[#This Row],[WeekDay]],"dddd")</f>
        <v>Monday</v>
      </c>
      <c r="I3664">
        <f>IF((INT(calendar[[#This Row],[Count]]/7)-calendar[[#This Row],[Count]]/7)&lt;0,I3663,I3663+1)</f>
        <v>524</v>
      </c>
      <c r="J3664">
        <f t="shared" si="292"/>
        <v>3662</v>
      </c>
      <c r="K3664">
        <f>IF(calendar[[#This Row],[Month]]&lt;4,1,IF(calendar[[#This Row],[Month]]&lt;7,2,IF(calendar[[#This Row],[Month]]&lt;10,3,4)))</f>
        <v>1</v>
      </c>
      <c r="L3664">
        <f>IFERROR(IF(VLOOKUP(calendar[[#This Row],[Date]],BH!A:A,1,)&lt;&gt;"",1,0),0)</f>
        <v>0</v>
      </c>
      <c r="M3664">
        <f>IFERROR(IF(VLOOKUP(calendar[[#This Row],[Date]],BH!C:C,1,)&lt;&gt;"",1,0),0)</f>
        <v>0</v>
      </c>
      <c r="N3664">
        <f>IFERROR(IF(VLOOKUP(calendar[[#This Row],[Date]],BH!E:E,1,)&lt;&gt;"",1,0),0)</f>
        <v>0</v>
      </c>
      <c r="O3664">
        <f>IFERROR(IF(VLOOKUP(calendar[[#This Row],[Date]],BH!G:G,1,)&lt;&gt;"",1,0),0)</f>
        <v>0</v>
      </c>
      <c r="P3664">
        <f>IF(OR(calendar[[#This Row],[UK_BH]]=1,calendar[[#This Row],[WeekDay]]=1, calendar[[#This Row],[WeekDay]]=7),P3663,P3663+1)</f>
        <v>2599</v>
      </c>
      <c r="Q3664">
        <f>IF(OR(calendar[[#This Row],[FR_BH]]=1,calendar[[#This Row],[WeekDay]]=1, calendar[[#This Row],[WeekDay]]=7),P3663,P3663+1)</f>
        <v>2599</v>
      </c>
      <c r="R3664">
        <f>IF(OR(calendar[[#This Row],[SP_BH]]=1,calendar[[#This Row],[WeekDay]]=1, calendar[[#This Row],[WeekDay]]=7),P3663,P3663+1)</f>
        <v>2599</v>
      </c>
      <c r="S3664">
        <f>IF(OR(calendar[[#This Row],[PT_BH]]=1,calendar[[#This Row],[WeekDay]]=1, calendar[[#This Row],[WeekDay]]=7),P3663,P3663+1)</f>
        <v>2599</v>
      </c>
    </row>
    <row r="3665" spans="1:19" x14ac:dyDescent="0.25">
      <c r="A3665" s="2">
        <v>46399</v>
      </c>
      <c r="B3665" s="1">
        <f t="shared" si="291"/>
        <v>3</v>
      </c>
      <c r="C3665">
        <f t="shared" si="288"/>
        <v>1</v>
      </c>
      <c r="D3665" t="str">
        <f t="shared" si="289"/>
        <v>January</v>
      </c>
      <c r="E3665">
        <f t="shared" si="290"/>
        <v>2027</v>
      </c>
      <c r="F3665" t="str">
        <f>CONCATENATE(calendar[[#This Row],[Month]],"/",calendar[[#This Row],[Year]])</f>
        <v>1/2027</v>
      </c>
      <c r="G3665">
        <f>WEEKDAY(calendar[[#This Row],[Date]],1)</f>
        <v>3</v>
      </c>
      <c r="H3665" t="str">
        <f>TEXT(calendar[[#This Row],[WeekDay]],"dddd")</f>
        <v>Tuesday</v>
      </c>
      <c r="I3665">
        <f>IF((INT(calendar[[#This Row],[Count]]/7)-calendar[[#This Row],[Count]]/7)&lt;0,I3664,I3664+1)</f>
        <v>524</v>
      </c>
      <c r="J3665">
        <f t="shared" si="292"/>
        <v>3663</v>
      </c>
      <c r="K3665">
        <f>IF(calendar[[#This Row],[Month]]&lt;4,1,IF(calendar[[#This Row],[Month]]&lt;7,2,IF(calendar[[#This Row],[Month]]&lt;10,3,4)))</f>
        <v>1</v>
      </c>
      <c r="L3665">
        <f>IFERROR(IF(VLOOKUP(calendar[[#This Row],[Date]],BH!A:A,1,)&lt;&gt;"",1,0),0)</f>
        <v>0</v>
      </c>
      <c r="M3665">
        <f>IFERROR(IF(VLOOKUP(calendar[[#This Row],[Date]],BH!C:C,1,)&lt;&gt;"",1,0),0)</f>
        <v>0</v>
      </c>
      <c r="N3665">
        <f>IFERROR(IF(VLOOKUP(calendar[[#This Row],[Date]],BH!E:E,1,)&lt;&gt;"",1,0),0)</f>
        <v>0</v>
      </c>
      <c r="O3665">
        <f>IFERROR(IF(VLOOKUP(calendar[[#This Row],[Date]],BH!G:G,1,)&lt;&gt;"",1,0),0)</f>
        <v>0</v>
      </c>
      <c r="P3665">
        <f>IF(OR(calendar[[#This Row],[UK_BH]]=1,calendar[[#This Row],[WeekDay]]=1, calendar[[#This Row],[WeekDay]]=7),P3664,P3664+1)</f>
        <v>2600</v>
      </c>
      <c r="Q3665">
        <f>IF(OR(calendar[[#This Row],[FR_BH]]=1,calendar[[#This Row],[WeekDay]]=1, calendar[[#This Row],[WeekDay]]=7),P3664,P3664+1)</f>
        <v>2600</v>
      </c>
      <c r="R3665">
        <f>IF(OR(calendar[[#This Row],[SP_BH]]=1,calendar[[#This Row],[WeekDay]]=1, calendar[[#This Row],[WeekDay]]=7),P3664,P3664+1)</f>
        <v>2600</v>
      </c>
      <c r="S3665">
        <f>IF(OR(calendar[[#This Row],[PT_BH]]=1,calendar[[#This Row],[WeekDay]]=1, calendar[[#This Row],[WeekDay]]=7),P3664,P3664+1)</f>
        <v>2600</v>
      </c>
    </row>
    <row r="3666" spans="1:19" x14ac:dyDescent="0.25">
      <c r="A3666" s="2">
        <v>46400</v>
      </c>
      <c r="B3666" s="1">
        <f t="shared" si="291"/>
        <v>3</v>
      </c>
      <c r="C3666">
        <f t="shared" si="288"/>
        <v>1</v>
      </c>
      <c r="D3666" t="str">
        <f t="shared" si="289"/>
        <v>January</v>
      </c>
      <c r="E3666">
        <f t="shared" si="290"/>
        <v>2027</v>
      </c>
      <c r="F3666" t="str">
        <f>CONCATENATE(calendar[[#This Row],[Month]],"/",calendar[[#This Row],[Year]])</f>
        <v>1/2027</v>
      </c>
      <c r="G3666">
        <f>WEEKDAY(calendar[[#This Row],[Date]],1)</f>
        <v>4</v>
      </c>
      <c r="H3666" t="str">
        <f>TEXT(calendar[[#This Row],[WeekDay]],"dddd")</f>
        <v>Wednesday</v>
      </c>
      <c r="I3666">
        <f>IF((INT(calendar[[#This Row],[Count]]/7)-calendar[[#This Row],[Count]]/7)&lt;0,I3665,I3665+1)</f>
        <v>524</v>
      </c>
      <c r="J3666">
        <f t="shared" si="292"/>
        <v>3664</v>
      </c>
      <c r="K3666">
        <f>IF(calendar[[#This Row],[Month]]&lt;4,1,IF(calendar[[#This Row],[Month]]&lt;7,2,IF(calendar[[#This Row],[Month]]&lt;10,3,4)))</f>
        <v>1</v>
      </c>
      <c r="L3666">
        <f>IFERROR(IF(VLOOKUP(calendar[[#This Row],[Date]],BH!A:A,1,)&lt;&gt;"",1,0),0)</f>
        <v>0</v>
      </c>
      <c r="M3666">
        <f>IFERROR(IF(VLOOKUP(calendar[[#This Row],[Date]],BH!C:C,1,)&lt;&gt;"",1,0),0)</f>
        <v>0</v>
      </c>
      <c r="N3666">
        <f>IFERROR(IF(VLOOKUP(calendar[[#This Row],[Date]],BH!E:E,1,)&lt;&gt;"",1,0),0)</f>
        <v>0</v>
      </c>
      <c r="O3666">
        <f>IFERROR(IF(VLOOKUP(calendar[[#This Row],[Date]],BH!G:G,1,)&lt;&gt;"",1,0),0)</f>
        <v>0</v>
      </c>
      <c r="P3666">
        <f>IF(OR(calendar[[#This Row],[UK_BH]]=1,calendar[[#This Row],[WeekDay]]=1, calendar[[#This Row],[WeekDay]]=7),P3665,P3665+1)</f>
        <v>2601</v>
      </c>
      <c r="Q3666">
        <f>IF(OR(calendar[[#This Row],[FR_BH]]=1,calendar[[#This Row],[WeekDay]]=1, calendar[[#This Row],[WeekDay]]=7),P3665,P3665+1)</f>
        <v>2601</v>
      </c>
      <c r="R3666">
        <f>IF(OR(calendar[[#This Row],[SP_BH]]=1,calendar[[#This Row],[WeekDay]]=1, calendar[[#This Row],[WeekDay]]=7),P3665,P3665+1)</f>
        <v>2601</v>
      </c>
      <c r="S3666">
        <f>IF(OR(calendar[[#This Row],[PT_BH]]=1,calendar[[#This Row],[WeekDay]]=1, calendar[[#This Row],[WeekDay]]=7),P3665,P3665+1)</f>
        <v>2601</v>
      </c>
    </row>
    <row r="3667" spans="1:19" x14ac:dyDescent="0.25">
      <c r="A3667" s="2">
        <v>46401</v>
      </c>
      <c r="B3667" s="1">
        <f t="shared" si="291"/>
        <v>3</v>
      </c>
      <c r="C3667">
        <f t="shared" si="288"/>
        <v>1</v>
      </c>
      <c r="D3667" t="str">
        <f t="shared" si="289"/>
        <v>January</v>
      </c>
      <c r="E3667">
        <f t="shared" si="290"/>
        <v>2027</v>
      </c>
      <c r="F3667" t="str">
        <f>CONCATENATE(calendar[[#This Row],[Month]],"/",calendar[[#This Row],[Year]])</f>
        <v>1/2027</v>
      </c>
      <c r="G3667">
        <f>WEEKDAY(calendar[[#This Row],[Date]],1)</f>
        <v>5</v>
      </c>
      <c r="H3667" t="str">
        <f>TEXT(calendar[[#This Row],[WeekDay]],"dddd")</f>
        <v>Thursday</v>
      </c>
      <c r="I3667">
        <f>IF((INT(calendar[[#This Row],[Count]]/7)-calendar[[#This Row],[Count]]/7)&lt;0,I3666,I3666+1)</f>
        <v>524</v>
      </c>
      <c r="J3667">
        <f t="shared" si="292"/>
        <v>3665</v>
      </c>
      <c r="K3667">
        <f>IF(calendar[[#This Row],[Month]]&lt;4,1,IF(calendar[[#This Row],[Month]]&lt;7,2,IF(calendar[[#This Row],[Month]]&lt;10,3,4)))</f>
        <v>1</v>
      </c>
      <c r="L3667">
        <f>IFERROR(IF(VLOOKUP(calendar[[#This Row],[Date]],BH!A:A,1,)&lt;&gt;"",1,0),0)</f>
        <v>0</v>
      </c>
      <c r="M3667">
        <f>IFERROR(IF(VLOOKUP(calendar[[#This Row],[Date]],BH!C:C,1,)&lt;&gt;"",1,0),0)</f>
        <v>0</v>
      </c>
      <c r="N3667">
        <f>IFERROR(IF(VLOOKUP(calendar[[#This Row],[Date]],BH!E:E,1,)&lt;&gt;"",1,0),0)</f>
        <v>0</v>
      </c>
      <c r="O3667">
        <f>IFERROR(IF(VLOOKUP(calendar[[#This Row],[Date]],BH!G:G,1,)&lt;&gt;"",1,0),0)</f>
        <v>0</v>
      </c>
      <c r="P3667">
        <f>IF(OR(calendar[[#This Row],[UK_BH]]=1,calendar[[#This Row],[WeekDay]]=1, calendar[[#This Row],[WeekDay]]=7),P3666,P3666+1)</f>
        <v>2602</v>
      </c>
      <c r="Q3667">
        <f>IF(OR(calendar[[#This Row],[FR_BH]]=1,calendar[[#This Row],[WeekDay]]=1, calendar[[#This Row],[WeekDay]]=7),P3666,P3666+1)</f>
        <v>2602</v>
      </c>
      <c r="R3667">
        <f>IF(OR(calendar[[#This Row],[SP_BH]]=1,calendar[[#This Row],[WeekDay]]=1, calendar[[#This Row],[WeekDay]]=7),P3666,P3666+1)</f>
        <v>2602</v>
      </c>
      <c r="S3667">
        <f>IF(OR(calendar[[#This Row],[PT_BH]]=1,calendar[[#This Row],[WeekDay]]=1, calendar[[#This Row],[WeekDay]]=7),P3666,P3666+1)</f>
        <v>2602</v>
      </c>
    </row>
    <row r="3668" spans="1:19" x14ac:dyDescent="0.25">
      <c r="A3668" s="2">
        <v>46402</v>
      </c>
      <c r="B3668" s="1">
        <f t="shared" si="291"/>
        <v>3</v>
      </c>
      <c r="C3668">
        <f t="shared" si="288"/>
        <v>1</v>
      </c>
      <c r="D3668" t="str">
        <f t="shared" si="289"/>
        <v>January</v>
      </c>
      <c r="E3668">
        <f t="shared" si="290"/>
        <v>2027</v>
      </c>
      <c r="F3668" t="str">
        <f>CONCATENATE(calendar[[#This Row],[Month]],"/",calendar[[#This Row],[Year]])</f>
        <v>1/2027</v>
      </c>
      <c r="G3668">
        <f>WEEKDAY(calendar[[#This Row],[Date]],1)</f>
        <v>6</v>
      </c>
      <c r="H3668" t="str">
        <f>TEXT(calendar[[#This Row],[WeekDay]],"dddd")</f>
        <v>Friday</v>
      </c>
      <c r="I3668">
        <f>IF((INT(calendar[[#This Row],[Count]]/7)-calendar[[#This Row],[Count]]/7)&lt;0,I3667,I3667+1)</f>
        <v>524</v>
      </c>
      <c r="J3668">
        <f t="shared" si="292"/>
        <v>3666</v>
      </c>
      <c r="K3668">
        <f>IF(calendar[[#This Row],[Month]]&lt;4,1,IF(calendar[[#This Row],[Month]]&lt;7,2,IF(calendar[[#This Row],[Month]]&lt;10,3,4)))</f>
        <v>1</v>
      </c>
      <c r="L3668">
        <f>IFERROR(IF(VLOOKUP(calendar[[#This Row],[Date]],BH!A:A,1,)&lt;&gt;"",1,0),0)</f>
        <v>0</v>
      </c>
      <c r="M3668">
        <f>IFERROR(IF(VLOOKUP(calendar[[#This Row],[Date]],BH!C:C,1,)&lt;&gt;"",1,0),0)</f>
        <v>0</v>
      </c>
      <c r="N3668">
        <f>IFERROR(IF(VLOOKUP(calendar[[#This Row],[Date]],BH!E:E,1,)&lt;&gt;"",1,0),0)</f>
        <v>0</v>
      </c>
      <c r="O3668">
        <f>IFERROR(IF(VLOOKUP(calendar[[#This Row],[Date]],BH!G:G,1,)&lt;&gt;"",1,0),0)</f>
        <v>0</v>
      </c>
      <c r="P3668">
        <f>IF(OR(calendar[[#This Row],[UK_BH]]=1,calendar[[#This Row],[WeekDay]]=1, calendar[[#This Row],[WeekDay]]=7),P3667,P3667+1)</f>
        <v>2603</v>
      </c>
      <c r="Q3668">
        <f>IF(OR(calendar[[#This Row],[FR_BH]]=1,calendar[[#This Row],[WeekDay]]=1, calendar[[#This Row],[WeekDay]]=7),P3667,P3667+1)</f>
        <v>2603</v>
      </c>
      <c r="R3668">
        <f>IF(OR(calendar[[#This Row],[SP_BH]]=1,calendar[[#This Row],[WeekDay]]=1, calendar[[#This Row],[WeekDay]]=7),P3667,P3667+1)</f>
        <v>2603</v>
      </c>
      <c r="S3668">
        <f>IF(OR(calendar[[#This Row],[PT_BH]]=1,calendar[[#This Row],[WeekDay]]=1, calendar[[#This Row],[WeekDay]]=7),P3667,P3667+1)</f>
        <v>2603</v>
      </c>
    </row>
    <row r="3669" spans="1:19" x14ac:dyDescent="0.25">
      <c r="A3669" s="2">
        <v>46403</v>
      </c>
      <c r="B3669" s="1">
        <f t="shared" si="291"/>
        <v>3</v>
      </c>
      <c r="C3669">
        <f t="shared" si="288"/>
        <v>1</v>
      </c>
      <c r="D3669" t="str">
        <f t="shared" si="289"/>
        <v>January</v>
      </c>
      <c r="E3669">
        <f t="shared" si="290"/>
        <v>2027</v>
      </c>
      <c r="F3669" t="str">
        <f>CONCATENATE(calendar[[#This Row],[Month]],"/",calendar[[#This Row],[Year]])</f>
        <v>1/2027</v>
      </c>
      <c r="G3669">
        <f>WEEKDAY(calendar[[#This Row],[Date]],1)</f>
        <v>7</v>
      </c>
      <c r="H3669" t="str">
        <f>TEXT(calendar[[#This Row],[WeekDay]],"dddd")</f>
        <v>Saturday</v>
      </c>
      <c r="I3669">
        <f>IF((INT(calendar[[#This Row],[Count]]/7)-calendar[[#This Row],[Count]]/7)&lt;0,I3668,I3668+1)</f>
        <v>524</v>
      </c>
      <c r="J3669">
        <f t="shared" si="292"/>
        <v>3667</v>
      </c>
      <c r="K3669">
        <f>IF(calendar[[#This Row],[Month]]&lt;4,1,IF(calendar[[#This Row],[Month]]&lt;7,2,IF(calendar[[#This Row],[Month]]&lt;10,3,4)))</f>
        <v>1</v>
      </c>
      <c r="L3669">
        <f>IFERROR(IF(VLOOKUP(calendar[[#This Row],[Date]],BH!A:A,1,)&lt;&gt;"",1,0),0)</f>
        <v>0</v>
      </c>
      <c r="M3669">
        <f>IFERROR(IF(VLOOKUP(calendar[[#This Row],[Date]],BH!C:C,1,)&lt;&gt;"",1,0),0)</f>
        <v>0</v>
      </c>
      <c r="N3669">
        <f>IFERROR(IF(VLOOKUP(calendar[[#This Row],[Date]],BH!E:E,1,)&lt;&gt;"",1,0),0)</f>
        <v>0</v>
      </c>
      <c r="O3669">
        <f>IFERROR(IF(VLOOKUP(calendar[[#This Row],[Date]],BH!G:G,1,)&lt;&gt;"",1,0),0)</f>
        <v>0</v>
      </c>
      <c r="P3669">
        <f>IF(OR(calendar[[#This Row],[UK_BH]]=1,calendar[[#This Row],[WeekDay]]=1, calendar[[#This Row],[WeekDay]]=7),P3668,P3668+1)</f>
        <v>2603</v>
      </c>
      <c r="Q3669">
        <f>IF(OR(calendar[[#This Row],[FR_BH]]=1,calendar[[#This Row],[WeekDay]]=1, calendar[[#This Row],[WeekDay]]=7),P3668,P3668+1)</f>
        <v>2603</v>
      </c>
      <c r="R3669">
        <f>IF(OR(calendar[[#This Row],[SP_BH]]=1,calendar[[#This Row],[WeekDay]]=1, calendar[[#This Row],[WeekDay]]=7),P3668,P3668+1)</f>
        <v>2603</v>
      </c>
      <c r="S3669">
        <f>IF(OR(calendar[[#This Row],[PT_BH]]=1,calendar[[#This Row],[WeekDay]]=1, calendar[[#This Row],[WeekDay]]=7),P3668,P3668+1)</f>
        <v>2603</v>
      </c>
    </row>
    <row r="3670" spans="1:19" x14ac:dyDescent="0.25">
      <c r="A3670" s="2">
        <v>46404</v>
      </c>
      <c r="B3670" s="1">
        <f t="shared" si="291"/>
        <v>4</v>
      </c>
      <c r="C3670">
        <f t="shared" si="288"/>
        <v>1</v>
      </c>
      <c r="D3670" t="str">
        <f t="shared" si="289"/>
        <v>January</v>
      </c>
      <c r="E3670">
        <f t="shared" si="290"/>
        <v>2027</v>
      </c>
      <c r="F3670" t="str">
        <f>CONCATENATE(calendar[[#This Row],[Month]],"/",calendar[[#This Row],[Year]])</f>
        <v>1/2027</v>
      </c>
      <c r="G3670">
        <f>WEEKDAY(calendar[[#This Row],[Date]],1)</f>
        <v>1</v>
      </c>
      <c r="H3670" t="str">
        <f>TEXT(calendar[[#This Row],[WeekDay]],"dddd")</f>
        <v>Sunday</v>
      </c>
      <c r="I3670">
        <f>IF((INT(calendar[[#This Row],[Count]]/7)-calendar[[#This Row],[Count]]/7)&lt;0,I3669,I3669+1)</f>
        <v>525</v>
      </c>
      <c r="J3670">
        <f t="shared" si="292"/>
        <v>3668</v>
      </c>
      <c r="K3670">
        <f>IF(calendar[[#This Row],[Month]]&lt;4,1,IF(calendar[[#This Row],[Month]]&lt;7,2,IF(calendar[[#This Row],[Month]]&lt;10,3,4)))</f>
        <v>1</v>
      </c>
      <c r="L3670">
        <f>IFERROR(IF(VLOOKUP(calendar[[#This Row],[Date]],BH!A:A,1,)&lt;&gt;"",1,0),0)</f>
        <v>0</v>
      </c>
      <c r="M3670">
        <f>IFERROR(IF(VLOOKUP(calendar[[#This Row],[Date]],BH!C:C,1,)&lt;&gt;"",1,0),0)</f>
        <v>0</v>
      </c>
      <c r="N3670">
        <f>IFERROR(IF(VLOOKUP(calendar[[#This Row],[Date]],BH!E:E,1,)&lt;&gt;"",1,0),0)</f>
        <v>0</v>
      </c>
      <c r="O3670">
        <f>IFERROR(IF(VLOOKUP(calendar[[#This Row],[Date]],BH!G:G,1,)&lt;&gt;"",1,0),0)</f>
        <v>0</v>
      </c>
      <c r="P3670">
        <f>IF(OR(calendar[[#This Row],[UK_BH]]=1,calendar[[#This Row],[WeekDay]]=1, calendar[[#This Row],[WeekDay]]=7),P3669,P3669+1)</f>
        <v>2603</v>
      </c>
      <c r="Q3670">
        <f>IF(OR(calendar[[#This Row],[FR_BH]]=1,calendar[[#This Row],[WeekDay]]=1, calendar[[#This Row],[WeekDay]]=7),P3669,P3669+1)</f>
        <v>2603</v>
      </c>
      <c r="R3670">
        <f>IF(OR(calendar[[#This Row],[SP_BH]]=1,calendar[[#This Row],[WeekDay]]=1, calendar[[#This Row],[WeekDay]]=7),P3669,P3669+1)</f>
        <v>2603</v>
      </c>
      <c r="S3670">
        <f>IF(OR(calendar[[#This Row],[PT_BH]]=1,calendar[[#This Row],[WeekDay]]=1, calendar[[#This Row],[WeekDay]]=7),P3669,P3669+1)</f>
        <v>2603</v>
      </c>
    </row>
    <row r="3671" spans="1:19" x14ac:dyDescent="0.25">
      <c r="A3671" s="2">
        <v>46405</v>
      </c>
      <c r="B3671" s="1">
        <f t="shared" si="291"/>
        <v>4</v>
      </c>
      <c r="C3671">
        <f t="shared" si="288"/>
        <v>1</v>
      </c>
      <c r="D3671" t="str">
        <f t="shared" si="289"/>
        <v>January</v>
      </c>
      <c r="E3671">
        <f t="shared" si="290"/>
        <v>2027</v>
      </c>
      <c r="F3671" t="str">
        <f>CONCATENATE(calendar[[#This Row],[Month]],"/",calendar[[#This Row],[Year]])</f>
        <v>1/2027</v>
      </c>
      <c r="G3671">
        <f>WEEKDAY(calendar[[#This Row],[Date]],1)</f>
        <v>2</v>
      </c>
      <c r="H3671" t="str">
        <f>TEXT(calendar[[#This Row],[WeekDay]],"dddd")</f>
        <v>Monday</v>
      </c>
      <c r="I3671">
        <f>IF((INT(calendar[[#This Row],[Count]]/7)-calendar[[#This Row],[Count]]/7)&lt;0,I3670,I3670+1)</f>
        <v>525</v>
      </c>
      <c r="J3671">
        <f t="shared" si="292"/>
        <v>3669</v>
      </c>
      <c r="K3671">
        <f>IF(calendar[[#This Row],[Month]]&lt;4,1,IF(calendar[[#This Row],[Month]]&lt;7,2,IF(calendar[[#This Row],[Month]]&lt;10,3,4)))</f>
        <v>1</v>
      </c>
      <c r="L3671">
        <f>IFERROR(IF(VLOOKUP(calendar[[#This Row],[Date]],BH!A:A,1,)&lt;&gt;"",1,0),0)</f>
        <v>0</v>
      </c>
      <c r="M3671">
        <f>IFERROR(IF(VLOOKUP(calendar[[#This Row],[Date]],BH!C:C,1,)&lt;&gt;"",1,0),0)</f>
        <v>0</v>
      </c>
      <c r="N3671">
        <f>IFERROR(IF(VLOOKUP(calendar[[#This Row],[Date]],BH!E:E,1,)&lt;&gt;"",1,0),0)</f>
        <v>0</v>
      </c>
      <c r="O3671">
        <f>IFERROR(IF(VLOOKUP(calendar[[#This Row],[Date]],BH!G:G,1,)&lt;&gt;"",1,0),0)</f>
        <v>0</v>
      </c>
      <c r="P3671">
        <f>IF(OR(calendar[[#This Row],[UK_BH]]=1,calendar[[#This Row],[WeekDay]]=1, calendar[[#This Row],[WeekDay]]=7),P3670,P3670+1)</f>
        <v>2604</v>
      </c>
      <c r="Q3671">
        <f>IF(OR(calendar[[#This Row],[FR_BH]]=1,calendar[[#This Row],[WeekDay]]=1, calendar[[#This Row],[WeekDay]]=7),P3670,P3670+1)</f>
        <v>2604</v>
      </c>
      <c r="R3671">
        <f>IF(OR(calendar[[#This Row],[SP_BH]]=1,calendar[[#This Row],[WeekDay]]=1, calendar[[#This Row],[WeekDay]]=7),P3670,P3670+1)</f>
        <v>2604</v>
      </c>
      <c r="S3671">
        <f>IF(OR(calendar[[#This Row],[PT_BH]]=1,calendar[[#This Row],[WeekDay]]=1, calendar[[#This Row],[WeekDay]]=7),P3670,P3670+1)</f>
        <v>2604</v>
      </c>
    </row>
    <row r="3672" spans="1:19" x14ac:dyDescent="0.25">
      <c r="A3672" s="2">
        <v>46406</v>
      </c>
      <c r="B3672" s="1">
        <f t="shared" si="291"/>
        <v>4</v>
      </c>
      <c r="C3672">
        <f t="shared" si="288"/>
        <v>1</v>
      </c>
      <c r="D3672" t="str">
        <f t="shared" si="289"/>
        <v>January</v>
      </c>
      <c r="E3672">
        <f t="shared" si="290"/>
        <v>2027</v>
      </c>
      <c r="F3672" t="str">
        <f>CONCATENATE(calendar[[#This Row],[Month]],"/",calendar[[#This Row],[Year]])</f>
        <v>1/2027</v>
      </c>
      <c r="G3672">
        <f>WEEKDAY(calendar[[#This Row],[Date]],1)</f>
        <v>3</v>
      </c>
      <c r="H3672" t="str">
        <f>TEXT(calendar[[#This Row],[WeekDay]],"dddd")</f>
        <v>Tuesday</v>
      </c>
      <c r="I3672">
        <f>IF((INT(calendar[[#This Row],[Count]]/7)-calendar[[#This Row],[Count]]/7)&lt;0,I3671,I3671+1)</f>
        <v>525</v>
      </c>
      <c r="J3672">
        <f t="shared" si="292"/>
        <v>3670</v>
      </c>
      <c r="K3672">
        <f>IF(calendar[[#This Row],[Month]]&lt;4,1,IF(calendar[[#This Row],[Month]]&lt;7,2,IF(calendar[[#This Row],[Month]]&lt;10,3,4)))</f>
        <v>1</v>
      </c>
      <c r="L3672">
        <f>IFERROR(IF(VLOOKUP(calendar[[#This Row],[Date]],BH!A:A,1,)&lt;&gt;"",1,0),0)</f>
        <v>0</v>
      </c>
      <c r="M3672">
        <f>IFERROR(IF(VLOOKUP(calendar[[#This Row],[Date]],BH!C:C,1,)&lt;&gt;"",1,0),0)</f>
        <v>0</v>
      </c>
      <c r="N3672">
        <f>IFERROR(IF(VLOOKUP(calendar[[#This Row],[Date]],BH!E:E,1,)&lt;&gt;"",1,0),0)</f>
        <v>0</v>
      </c>
      <c r="O3672">
        <f>IFERROR(IF(VLOOKUP(calendar[[#This Row],[Date]],BH!G:G,1,)&lt;&gt;"",1,0),0)</f>
        <v>0</v>
      </c>
      <c r="P3672">
        <f>IF(OR(calendar[[#This Row],[UK_BH]]=1,calendar[[#This Row],[WeekDay]]=1, calendar[[#This Row],[WeekDay]]=7),P3671,P3671+1)</f>
        <v>2605</v>
      </c>
      <c r="Q3672">
        <f>IF(OR(calendar[[#This Row],[FR_BH]]=1,calendar[[#This Row],[WeekDay]]=1, calendar[[#This Row],[WeekDay]]=7),P3671,P3671+1)</f>
        <v>2605</v>
      </c>
      <c r="R3672">
        <f>IF(OR(calendar[[#This Row],[SP_BH]]=1,calendar[[#This Row],[WeekDay]]=1, calendar[[#This Row],[WeekDay]]=7),P3671,P3671+1)</f>
        <v>2605</v>
      </c>
      <c r="S3672">
        <f>IF(OR(calendar[[#This Row],[PT_BH]]=1,calendar[[#This Row],[WeekDay]]=1, calendar[[#This Row],[WeekDay]]=7),P3671,P3671+1)</f>
        <v>2605</v>
      </c>
    </row>
    <row r="3673" spans="1:19" x14ac:dyDescent="0.25">
      <c r="A3673" s="2">
        <v>46407</v>
      </c>
      <c r="B3673" s="1">
        <f t="shared" si="291"/>
        <v>4</v>
      </c>
      <c r="C3673">
        <f t="shared" si="288"/>
        <v>1</v>
      </c>
      <c r="D3673" t="str">
        <f t="shared" si="289"/>
        <v>January</v>
      </c>
      <c r="E3673">
        <f t="shared" si="290"/>
        <v>2027</v>
      </c>
      <c r="F3673" t="str">
        <f>CONCATENATE(calendar[[#This Row],[Month]],"/",calendar[[#This Row],[Year]])</f>
        <v>1/2027</v>
      </c>
      <c r="G3673">
        <f>WEEKDAY(calendar[[#This Row],[Date]],1)</f>
        <v>4</v>
      </c>
      <c r="H3673" t="str">
        <f>TEXT(calendar[[#This Row],[WeekDay]],"dddd")</f>
        <v>Wednesday</v>
      </c>
      <c r="I3673">
        <f>IF((INT(calendar[[#This Row],[Count]]/7)-calendar[[#This Row],[Count]]/7)&lt;0,I3672,I3672+1)</f>
        <v>525</v>
      </c>
      <c r="J3673">
        <f t="shared" si="292"/>
        <v>3671</v>
      </c>
      <c r="K3673">
        <f>IF(calendar[[#This Row],[Month]]&lt;4,1,IF(calendar[[#This Row],[Month]]&lt;7,2,IF(calendar[[#This Row],[Month]]&lt;10,3,4)))</f>
        <v>1</v>
      </c>
      <c r="L3673">
        <f>IFERROR(IF(VLOOKUP(calendar[[#This Row],[Date]],BH!A:A,1,)&lt;&gt;"",1,0),0)</f>
        <v>0</v>
      </c>
      <c r="M3673">
        <f>IFERROR(IF(VLOOKUP(calendar[[#This Row],[Date]],BH!C:C,1,)&lt;&gt;"",1,0),0)</f>
        <v>0</v>
      </c>
      <c r="N3673">
        <f>IFERROR(IF(VLOOKUP(calendar[[#This Row],[Date]],BH!E:E,1,)&lt;&gt;"",1,0),0)</f>
        <v>0</v>
      </c>
      <c r="O3673">
        <f>IFERROR(IF(VLOOKUP(calendar[[#This Row],[Date]],BH!G:G,1,)&lt;&gt;"",1,0),0)</f>
        <v>0</v>
      </c>
      <c r="P3673">
        <f>IF(OR(calendar[[#This Row],[UK_BH]]=1,calendar[[#This Row],[WeekDay]]=1, calendar[[#This Row],[WeekDay]]=7),P3672,P3672+1)</f>
        <v>2606</v>
      </c>
      <c r="Q3673">
        <f>IF(OR(calendar[[#This Row],[FR_BH]]=1,calendar[[#This Row],[WeekDay]]=1, calendar[[#This Row],[WeekDay]]=7),P3672,P3672+1)</f>
        <v>2606</v>
      </c>
      <c r="R3673">
        <f>IF(OR(calendar[[#This Row],[SP_BH]]=1,calendar[[#This Row],[WeekDay]]=1, calendar[[#This Row],[WeekDay]]=7),P3672,P3672+1)</f>
        <v>2606</v>
      </c>
      <c r="S3673">
        <f>IF(OR(calendar[[#This Row],[PT_BH]]=1,calendar[[#This Row],[WeekDay]]=1, calendar[[#This Row],[WeekDay]]=7),P3672,P3672+1)</f>
        <v>2606</v>
      </c>
    </row>
    <row r="3674" spans="1:19" x14ac:dyDescent="0.25">
      <c r="A3674" s="2">
        <v>46408</v>
      </c>
      <c r="B3674" s="1">
        <f t="shared" si="291"/>
        <v>4</v>
      </c>
      <c r="C3674">
        <f t="shared" si="288"/>
        <v>1</v>
      </c>
      <c r="D3674" t="str">
        <f t="shared" si="289"/>
        <v>January</v>
      </c>
      <c r="E3674">
        <f t="shared" si="290"/>
        <v>2027</v>
      </c>
      <c r="F3674" t="str">
        <f>CONCATENATE(calendar[[#This Row],[Month]],"/",calendar[[#This Row],[Year]])</f>
        <v>1/2027</v>
      </c>
      <c r="G3674">
        <f>WEEKDAY(calendar[[#This Row],[Date]],1)</f>
        <v>5</v>
      </c>
      <c r="H3674" t="str">
        <f>TEXT(calendar[[#This Row],[WeekDay]],"dddd")</f>
        <v>Thursday</v>
      </c>
      <c r="I3674">
        <f>IF((INT(calendar[[#This Row],[Count]]/7)-calendar[[#This Row],[Count]]/7)&lt;0,I3673,I3673+1)</f>
        <v>525</v>
      </c>
      <c r="J3674">
        <f t="shared" si="292"/>
        <v>3672</v>
      </c>
      <c r="K3674">
        <f>IF(calendar[[#This Row],[Month]]&lt;4,1,IF(calendar[[#This Row],[Month]]&lt;7,2,IF(calendar[[#This Row],[Month]]&lt;10,3,4)))</f>
        <v>1</v>
      </c>
      <c r="L3674">
        <f>IFERROR(IF(VLOOKUP(calendar[[#This Row],[Date]],BH!A:A,1,)&lt;&gt;"",1,0),0)</f>
        <v>0</v>
      </c>
      <c r="M3674">
        <f>IFERROR(IF(VLOOKUP(calendar[[#This Row],[Date]],BH!C:C,1,)&lt;&gt;"",1,0),0)</f>
        <v>0</v>
      </c>
      <c r="N3674">
        <f>IFERROR(IF(VLOOKUP(calendar[[#This Row],[Date]],BH!E:E,1,)&lt;&gt;"",1,0),0)</f>
        <v>0</v>
      </c>
      <c r="O3674">
        <f>IFERROR(IF(VLOOKUP(calendar[[#This Row],[Date]],BH!G:G,1,)&lt;&gt;"",1,0),0)</f>
        <v>0</v>
      </c>
      <c r="P3674">
        <f>IF(OR(calendar[[#This Row],[UK_BH]]=1,calendar[[#This Row],[WeekDay]]=1, calendar[[#This Row],[WeekDay]]=7),P3673,P3673+1)</f>
        <v>2607</v>
      </c>
      <c r="Q3674">
        <f>IF(OR(calendar[[#This Row],[FR_BH]]=1,calendar[[#This Row],[WeekDay]]=1, calendar[[#This Row],[WeekDay]]=7),P3673,P3673+1)</f>
        <v>2607</v>
      </c>
      <c r="R3674">
        <f>IF(OR(calendar[[#This Row],[SP_BH]]=1,calendar[[#This Row],[WeekDay]]=1, calendar[[#This Row],[WeekDay]]=7),P3673,P3673+1)</f>
        <v>2607</v>
      </c>
      <c r="S3674">
        <f>IF(OR(calendar[[#This Row],[PT_BH]]=1,calendar[[#This Row],[WeekDay]]=1, calendar[[#This Row],[WeekDay]]=7),P3673,P3673+1)</f>
        <v>2607</v>
      </c>
    </row>
    <row r="3675" spans="1:19" x14ac:dyDescent="0.25">
      <c r="A3675" s="2">
        <v>46409</v>
      </c>
      <c r="B3675" s="1">
        <f t="shared" si="291"/>
        <v>4</v>
      </c>
      <c r="C3675">
        <f t="shared" si="288"/>
        <v>1</v>
      </c>
      <c r="D3675" t="str">
        <f t="shared" si="289"/>
        <v>January</v>
      </c>
      <c r="E3675">
        <f t="shared" si="290"/>
        <v>2027</v>
      </c>
      <c r="F3675" t="str">
        <f>CONCATENATE(calendar[[#This Row],[Month]],"/",calendar[[#This Row],[Year]])</f>
        <v>1/2027</v>
      </c>
      <c r="G3675">
        <f>WEEKDAY(calendar[[#This Row],[Date]],1)</f>
        <v>6</v>
      </c>
      <c r="H3675" t="str">
        <f>TEXT(calendar[[#This Row],[WeekDay]],"dddd")</f>
        <v>Friday</v>
      </c>
      <c r="I3675">
        <f>IF((INT(calendar[[#This Row],[Count]]/7)-calendar[[#This Row],[Count]]/7)&lt;0,I3674,I3674+1)</f>
        <v>525</v>
      </c>
      <c r="J3675">
        <f t="shared" si="292"/>
        <v>3673</v>
      </c>
      <c r="K3675">
        <f>IF(calendar[[#This Row],[Month]]&lt;4,1,IF(calendar[[#This Row],[Month]]&lt;7,2,IF(calendar[[#This Row],[Month]]&lt;10,3,4)))</f>
        <v>1</v>
      </c>
      <c r="L3675">
        <f>IFERROR(IF(VLOOKUP(calendar[[#This Row],[Date]],BH!A:A,1,)&lt;&gt;"",1,0),0)</f>
        <v>0</v>
      </c>
      <c r="M3675">
        <f>IFERROR(IF(VLOOKUP(calendar[[#This Row],[Date]],BH!C:C,1,)&lt;&gt;"",1,0),0)</f>
        <v>0</v>
      </c>
      <c r="N3675">
        <f>IFERROR(IF(VLOOKUP(calendar[[#This Row],[Date]],BH!E:E,1,)&lt;&gt;"",1,0),0)</f>
        <v>0</v>
      </c>
      <c r="O3675">
        <f>IFERROR(IF(VLOOKUP(calendar[[#This Row],[Date]],BH!G:G,1,)&lt;&gt;"",1,0),0)</f>
        <v>0</v>
      </c>
      <c r="P3675">
        <f>IF(OR(calendar[[#This Row],[UK_BH]]=1,calendar[[#This Row],[WeekDay]]=1, calendar[[#This Row],[WeekDay]]=7),P3674,P3674+1)</f>
        <v>2608</v>
      </c>
      <c r="Q3675">
        <f>IF(OR(calendar[[#This Row],[FR_BH]]=1,calendar[[#This Row],[WeekDay]]=1, calendar[[#This Row],[WeekDay]]=7),P3674,P3674+1)</f>
        <v>2608</v>
      </c>
      <c r="R3675">
        <f>IF(OR(calendar[[#This Row],[SP_BH]]=1,calendar[[#This Row],[WeekDay]]=1, calendar[[#This Row],[WeekDay]]=7),P3674,P3674+1)</f>
        <v>2608</v>
      </c>
      <c r="S3675">
        <f>IF(OR(calendar[[#This Row],[PT_BH]]=1,calendar[[#This Row],[WeekDay]]=1, calendar[[#This Row],[WeekDay]]=7),P3674,P3674+1)</f>
        <v>2608</v>
      </c>
    </row>
    <row r="3676" spans="1:19" x14ac:dyDescent="0.25">
      <c r="A3676" s="2">
        <v>46410</v>
      </c>
      <c r="B3676" s="1">
        <f t="shared" si="291"/>
        <v>4</v>
      </c>
      <c r="C3676">
        <f t="shared" ref="C3676:C3739" si="293">MONTH(A3676)</f>
        <v>1</v>
      </c>
      <c r="D3676" t="str">
        <f t="shared" ref="D3676:D3739" si="294">TEXT(A3676,"mmmm")</f>
        <v>January</v>
      </c>
      <c r="E3676">
        <f t="shared" ref="E3676:E3739" si="295">YEAR(A3676)</f>
        <v>2027</v>
      </c>
      <c r="F3676" t="str">
        <f>CONCATENATE(calendar[[#This Row],[Month]],"/",calendar[[#This Row],[Year]])</f>
        <v>1/2027</v>
      </c>
      <c r="G3676">
        <f>WEEKDAY(calendar[[#This Row],[Date]],1)</f>
        <v>7</v>
      </c>
      <c r="H3676" t="str">
        <f>TEXT(calendar[[#This Row],[WeekDay]],"dddd")</f>
        <v>Saturday</v>
      </c>
      <c r="I3676">
        <f>IF((INT(calendar[[#This Row],[Count]]/7)-calendar[[#This Row],[Count]]/7)&lt;0,I3675,I3675+1)</f>
        <v>525</v>
      </c>
      <c r="J3676">
        <f t="shared" si="292"/>
        <v>3674</v>
      </c>
      <c r="K3676">
        <f>IF(calendar[[#This Row],[Month]]&lt;4,1,IF(calendar[[#This Row],[Month]]&lt;7,2,IF(calendar[[#This Row],[Month]]&lt;10,3,4)))</f>
        <v>1</v>
      </c>
      <c r="L3676">
        <f>IFERROR(IF(VLOOKUP(calendar[[#This Row],[Date]],BH!A:A,1,)&lt;&gt;"",1,0),0)</f>
        <v>0</v>
      </c>
      <c r="M3676">
        <f>IFERROR(IF(VLOOKUP(calendar[[#This Row],[Date]],BH!C:C,1,)&lt;&gt;"",1,0),0)</f>
        <v>0</v>
      </c>
      <c r="N3676">
        <f>IFERROR(IF(VLOOKUP(calendar[[#This Row],[Date]],BH!E:E,1,)&lt;&gt;"",1,0),0)</f>
        <v>0</v>
      </c>
      <c r="O3676">
        <f>IFERROR(IF(VLOOKUP(calendar[[#This Row],[Date]],BH!G:G,1,)&lt;&gt;"",1,0),0)</f>
        <v>0</v>
      </c>
      <c r="P3676">
        <f>IF(OR(calendar[[#This Row],[UK_BH]]=1,calendar[[#This Row],[WeekDay]]=1, calendar[[#This Row],[WeekDay]]=7),P3675,P3675+1)</f>
        <v>2608</v>
      </c>
      <c r="Q3676">
        <f>IF(OR(calendar[[#This Row],[FR_BH]]=1,calendar[[#This Row],[WeekDay]]=1, calendar[[#This Row],[WeekDay]]=7),P3675,P3675+1)</f>
        <v>2608</v>
      </c>
      <c r="R3676">
        <f>IF(OR(calendar[[#This Row],[SP_BH]]=1,calendar[[#This Row],[WeekDay]]=1, calendar[[#This Row],[WeekDay]]=7),P3675,P3675+1)</f>
        <v>2608</v>
      </c>
      <c r="S3676">
        <f>IF(OR(calendar[[#This Row],[PT_BH]]=1,calendar[[#This Row],[WeekDay]]=1, calendar[[#This Row],[WeekDay]]=7),P3675,P3675+1)</f>
        <v>2608</v>
      </c>
    </row>
    <row r="3677" spans="1:19" x14ac:dyDescent="0.25">
      <c r="A3677" s="2">
        <v>46411</v>
      </c>
      <c r="B3677" s="1">
        <f t="shared" si="291"/>
        <v>5</v>
      </c>
      <c r="C3677">
        <f t="shared" si="293"/>
        <v>1</v>
      </c>
      <c r="D3677" t="str">
        <f t="shared" si="294"/>
        <v>January</v>
      </c>
      <c r="E3677">
        <f t="shared" si="295"/>
        <v>2027</v>
      </c>
      <c r="F3677" t="str">
        <f>CONCATENATE(calendar[[#This Row],[Month]],"/",calendar[[#This Row],[Year]])</f>
        <v>1/2027</v>
      </c>
      <c r="G3677">
        <f>WEEKDAY(calendar[[#This Row],[Date]],1)</f>
        <v>1</v>
      </c>
      <c r="H3677" t="str">
        <f>TEXT(calendar[[#This Row],[WeekDay]],"dddd")</f>
        <v>Sunday</v>
      </c>
      <c r="I3677">
        <f>IF((INT(calendar[[#This Row],[Count]]/7)-calendar[[#This Row],[Count]]/7)&lt;0,I3676,I3676+1)</f>
        <v>526</v>
      </c>
      <c r="J3677">
        <f t="shared" si="292"/>
        <v>3675</v>
      </c>
      <c r="K3677">
        <f>IF(calendar[[#This Row],[Month]]&lt;4,1,IF(calendar[[#This Row],[Month]]&lt;7,2,IF(calendar[[#This Row],[Month]]&lt;10,3,4)))</f>
        <v>1</v>
      </c>
      <c r="L3677">
        <f>IFERROR(IF(VLOOKUP(calendar[[#This Row],[Date]],BH!A:A,1,)&lt;&gt;"",1,0),0)</f>
        <v>0</v>
      </c>
      <c r="M3677">
        <f>IFERROR(IF(VLOOKUP(calendar[[#This Row],[Date]],BH!C:C,1,)&lt;&gt;"",1,0),0)</f>
        <v>0</v>
      </c>
      <c r="N3677">
        <f>IFERROR(IF(VLOOKUP(calendar[[#This Row],[Date]],BH!E:E,1,)&lt;&gt;"",1,0),0)</f>
        <v>0</v>
      </c>
      <c r="O3677">
        <f>IFERROR(IF(VLOOKUP(calendar[[#This Row],[Date]],BH!G:G,1,)&lt;&gt;"",1,0),0)</f>
        <v>0</v>
      </c>
      <c r="P3677">
        <f>IF(OR(calendar[[#This Row],[UK_BH]]=1,calendar[[#This Row],[WeekDay]]=1, calendar[[#This Row],[WeekDay]]=7),P3676,P3676+1)</f>
        <v>2608</v>
      </c>
      <c r="Q3677">
        <f>IF(OR(calendar[[#This Row],[FR_BH]]=1,calendar[[#This Row],[WeekDay]]=1, calendar[[#This Row],[WeekDay]]=7),P3676,P3676+1)</f>
        <v>2608</v>
      </c>
      <c r="R3677">
        <f>IF(OR(calendar[[#This Row],[SP_BH]]=1,calendar[[#This Row],[WeekDay]]=1, calendar[[#This Row],[WeekDay]]=7),P3676,P3676+1)</f>
        <v>2608</v>
      </c>
      <c r="S3677">
        <f>IF(OR(calendar[[#This Row],[PT_BH]]=1,calendar[[#This Row],[WeekDay]]=1, calendar[[#This Row],[WeekDay]]=7),P3676,P3676+1)</f>
        <v>2608</v>
      </c>
    </row>
    <row r="3678" spans="1:19" x14ac:dyDescent="0.25">
      <c r="A3678" s="2">
        <v>46412</v>
      </c>
      <c r="B3678" s="1">
        <f t="shared" si="291"/>
        <v>5</v>
      </c>
      <c r="C3678">
        <f t="shared" si="293"/>
        <v>1</v>
      </c>
      <c r="D3678" t="str">
        <f t="shared" si="294"/>
        <v>January</v>
      </c>
      <c r="E3678">
        <f t="shared" si="295"/>
        <v>2027</v>
      </c>
      <c r="F3678" t="str">
        <f>CONCATENATE(calendar[[#This Row],[Month]],"/",calendar[[#This Row],[Year]])</f>
        <v>1/2027</v>
      </c>
      <c r="G3678">
        <f>WEEKDAY(calendar[[#This Row],[Date]],1)</f>
        <v>2</v>
      </c>
      <c r="H3678" t="str">
        <f>TEXT(calendar[[#This Row],[WeekDay]],"dddd")</f>
        <v>Monday</v>
      </c>
      <c r="I3678">
        <f>IF((INT(calendar[[#This Row],[Count]]/7)-calendar[[#This Row],[Count]]/7)&lt;0,I3677,I3677+1)</f>
        <v>526</v>
      </c>
      <c r="J3678">
        <f t="shared" si="292"/>
        <v>3676</v>
      </c>
      <c r="K3678">
        <f>IF(calendar[[#This Row],[Month]]&lt;4,1,IF(calendar[[#This Row],[Month]]&lt;7,2,IF(calendar[[#This Row],[Month]]&lt;10,3,4)))</f>
        <v>1</v>
      </c>
      <c r="L3678">
        <f>IFERROR(IF(VLOOKUP(calendar[[#This Row],[Date]],BH!A:A,1,)&lt;&gt;"",1,0),0)</f>
        <v>0</v>
      </c>
      <c r="M3678">
        <f>IFERROR(IF(VLOOKUP(calendar[[#This Row],[Date]],BH!C:C,1,)&lt;&gt;"",1,0),0)</f>
        <v>0</v>
      </c>
      <c r="N3678">
        <f>IFERROR(IF(VLOOKUP(calendar[[#This Row],[Date]],BH!E:E,1,)&lt;&gt;"",1,0),0)</f>
        <v>0</v>
      </c>
      <c r="O3678">
        <f>IFERROR(IF(VLOOKUP(calendar[[#This Row],[Date]],BH!G:G,1,)&lt;&gt;"",1,0),0)</f>
        <v>0</v>
      </c>
      <c r="P3678">
        <f>IF(OR(calendar[[#This Row],[UK_BH]]=1,calendar[[#This Row],[WeekDay]]=1, calendar[[#This Row],[WeekDay]]=7),P3677,P3677+1)</f>
        <v>2609</v>
      </c>
      <c r="Q3678">
        <f>IF(OR(calendar[[#This Row],[FR_BH]]=1,calendar[[#This Row],[WeekDay]]=1, calendar[[#This Row],[WeekDay]]=7),P3677,P3677+1)</f>
        <v>2609</v>
      </c>
      <c r="R3678">
        <f>IF(OR(calendar[[#This Row],[SP_BH]]=1,calendar[[#This Row],[WeekDay]]=1, calendar[[#This Row],[WeekDay]]=7),P3677,P3677+1)</f>
        <v>2609</v>
      </c>
      <c r="S3678">
        <f>IF(OR(calendar[[#This Row],[PT_BH]]=1,calendar[[#This Row],[WeekDay]]=1, calendar[[#This Row],[WeekDay]]=7),P3677,P3677+1)</f>
        <v>2609</v>
      </c>
    </row>
    <row r="3679" spans="1:19" x14ac:dyDescent="0.25">
      <c r="A3679" s="2">
        <v>46413</v>
      </c>
      <c r="B3679" s="1">
        <f t="shared" si="291"/>
        <v>5</v>
      </c>
      <c r="C3679">
        <f t="shared" si="293"/>
        <v>1</v>
      </c>
      <c r="D3679" t="str">
        <f t="shared" si="294"/>
        <v>January</v>
      </c>
      <c r="E3679">
        <f t="shared" si="295"/>
        <v>2027</v>
      </c>
      <c r="F3679" t="str">
        <f>CONCATENATE(calendar[[#This Row],[Month]],"/",calendar[[#This Row],[Year]])</f>
        <v>1/2027</v>
      </c>
      <c r="G3679">
        <f>WEEKDAY(calendar[[#This Row],[Date]],1)</f>
        <v>3</v>
      </c>
      <c r="H3679" t="str">
        <f>TEXT(calendar[[#This Row],[WeekDay]],"dddd")</f>
        <v>Tuesday</v>
      </c>
      <c r="I3679">
        <f>IF((INT(calendar[[#This Row],[Count]]/7)-calendar[[#This Row],[Count]]/7)&lt;0,I3678,I3678+1)</f>
        <v>526</v>
      </c>
      <c r="J3679">
        <f t="shared" si="292"/>
        <v>3677</v>
      </c>
      <c r="K3679">
        <f>IF(calendar[[#This Row],[Month]]&lt;4,1,IF(calendar[[#This Row],[Month]]&lt;7,2,IF(calendar[[#This Row],[Month]]&lt;10,3,4)))</f>
        <v>1</v>
      </c>
      <c r="L3679">
        <f>IFERROR(IF(VLOOKUP(calendar[[#This Row],[Date]],BH!A:A,1,)&lt;&gt;"",1,0),0)</f>
        <v>0</v>
      </c>
      <c r="M3679">
        <f>IFERROR(IF(VLOOKUP(calendar[[#This Row],[Date]],BH!C:C,1,)&lt;&gt;"",1,0),0)</f>
        <v>0</v>
      </c>
      <c r="N3679">
        <f>IFERROR(IF(VLOOKUP(calendar[[#This Row],[Date]],BH!E:E,1,)&lt;&gt;"",1,0),0)</f>
        <v>0</v>
      </c>
      <c r="O3679">
        <f>IFERROR(IF(VLOOKUP(calendar[[#This Row],[Date]],BH!G:G,1,)&lt;&gt;"",1,0),0)</f>
        <v>0</v>
      </c>
      <c r="P3679">
        <f>IF(OR(calendar[[#This Row],[UK_BH]]=1,calendar[[#This Row],[WeekDay]]=1, calendar[[#This Row],[WeekDay]]=7),P3678,P3678+1)</f>
        <v>2610</v>
      </c>
      <c r="Q3679">
        <f>IF(OR(calendar[[#This Row],[FR_BH]]=1,calendar[[#This Row],[WeekDay]]=1, calendar[[#This Row],[WeekDay]]=7),P3678,P3678+1)</f>
        <v>2610</v>
      </c>
      <c r="R3679">
        <f>IF(OR(calendar[[#This Row],[SP_BH]]=1,calendar[[#This Row],[WeekDay]]=1, calendar[[#This Row],[WeekDay]]=7),P3678,P3678+1)</f>
        <v>2610</v>
      </c>
      <c r="S3679">
        <f>IF(OR(calendar[[#This Row],[PT_BH]]=1,calendar[[#This Row],[WeekDay]]=1, calendar[[#This Row],[WeekDay]]=7),P3678,P3678+1)</f>
        <v>2610</v>
      </c>
    </row>
    <row r="3680" spans="1:19" x14ac:dyDescent="0.25">
      <c r="A3680" s="2">
        <v>46414</v>
      </c>
      <c r="B3680" s="1">
        <f t="shared" si="291"/>
        <v>5</v>
      </c>
      <c r="C3680">
        <f t="shared" si="293"/>
        <v>1</v>
      </c>
      <c r="D3680" t="str">
        <f t="shared" si="294"/>
        <v>January</v>
      </c>
      <c r="E3680">
        <f t="shared" si="295"/>
        <v>2027</v>
      </c>
      <c r="F3680" t="str">
        <f>CONCATENATE(calendar[[#This Row],[Month]],"/",calendar[[#This Row],[Year]])</f>
        <v>1/2027</v>
      </c>
      <c r="G3680">
        <f>WEEKDAY(calendar[[#This Row],[Date]],1)</f>
        <v>4</v>
      </c>
      <c r="H3680" t="str">
        <f>TEXT(calendar[[#This Row],[WeekDay]],"dddd")</f>
        <v>Wednesday</v>
      </c>
      <c r="I3680">
        <f>IF((INT(calendar[[#This Row],[Count]]/7)-calendar[[#This Row],[Count]]/7)&lt;0,I3679,I3679+1)</f>
        <v>526</v>
      </c>
      <c r="J3680">
        <f t="shared" si="292"/>
        <v>3678</v>
      </c>
      <c r="K3680">
        <f>IF(calendar[[#This Row],[Month]]&lt;4,1,IF(calendar[[#This Row],[Month]]&lt;7,2,IF(calendar[[#This Row],[Month]]&lt;10,3,4)))</f>
        <v>1</v>
      </c>
      <c r="L3680">
        <f>IFERROR(IF(VLOOKUP(calendar[[#This Row],[Date]],BH!A:A,1,)&lt;&gt;"",1,0),0)</f>
        <v>0</v>
      </c>
      <c r="M3680">
        <f>IFERROR(IF(VLOOKUP(calendar[[#This Row],[Date]],BH!C:C,1,)&lt;&gt;"",1,0),0)</f>
        <v>0</v>
      </c>
      <c r="N3680">
        <f>IFERROR(IF(VLOOKUP(calendar[[#This Row],[Date]],BH!E:E,1,)&lt;&gt;"",1,0),0)</f>
        <v>0</v>
      </c>
      <c r="O3680">
        <f>IFERROR(IF(VLOOKUP(calendar[[#This Row],[Date]],BH!G:G,1,)&lt;&gt;"",1,0),0)</f>
        <v>0</v>
      </c>
      <c r="P3680">
        <f>IF(OR(calendar[[#This Row],[UK_BH]]=1,calendar[[#This Row],[WeekDay]]=1, calendar[[#This Row],[WeekDay]]=7),P3679,P3679+1)</f>
        <v>2611</v>
      </c>
      <c r="Q3680">
        <f>IF(OR(calendar[[#This Row],[FR_BH]]=1,calendar[[#This Row],[WeekDay]]=1, calendar[[#This Row],[WeekDay]]=7),P3679,P3679+1)</f>
        <v>2611</v>
      </c>
      <c r="R3680">
        <f>IF(OR(calendar[[#This Row],[SP_BH]]=1,calendar[[#This Row],[WeekDay]]=1, calendar[[#This Row],[WeekDay]]=7),P3679,P3679+1)</f>
        <v>2611</v>
      </c>
      <c r="S3680">
        <f>IF(OR(calendar[[#This Row],[PT_BH]]=1,calendar[[#This Row],[WeekDay]]=1, calendar[[#This Row],[WeekDay]]=7),P3679,P3679+1)</f>
        <v>2611</v>
      </c>
    </row>
    <row r="3681" spans="1:19" x14ac:dyDescent="0.25">
      <c r="A3681" s="2">
        <v>46415</v>
      </c>
      <c r="B3681" s="1">
        <f t="shared" si="291"/>
        <v>5</v>
      </c>
      <c r="C3681">
        <f t="shared" si="293"/>
        <v>1</v>
      </c>
      <c r="D3681" t="str">
        <f t="shared" si="294"/>
        <v>January</v>
      </c>
      <c r="E3681">
        <f t="shared" si="295"/>
        <v>2027</v>
      </c>
      <c r="F3681" t="str">
        <f>CONCATENATE(calendar[[#This Row],[Month]],"/",calendar[[#This Row],[Year]])</f>
        <v>1/2027</v>
      </c>
      <c r="G3681">
        <f>WEEKDAY(calendar[[#This Row],[Date]],1)</f>
        <v>5</v>
      </c>
      <c r="H3681" t="str">
        <f>TEXT(calendar[[#This Row],[WeekDay]],"dddd")</f>
        <v>Thursday</v>
      </c>
      <c r="I3681">
        <f>IF((INT(calendar[[#This Row],[Count]]/7)-calendar[[#This Row],[Count]]/7)&lt;0,I3680,I3680+1)</f>
        <v>526</v>
      </c>
      <c r="J3681">
        <f t="shared" si="292"/>
        <v>3679</v>
      </c>
      <c r="K3681">
        <f>IF(calendar[[#This Row],[Month]]&lt;4,1,IF(calendar[[#This Row],[Month]]&lt;7,2,IF(calendar[[#This Row],[Month]]&lt;10,3,4)))</f>
        <v>1</v>
      </c>
      <c r="L3681">
        <f>IFERROR(IF(VLOOKUP(calendar[[#This Row],[Date]],BH!A:A,1,)&lt;&gt;"",1,0),0)</f>
        <v>0</v>
      </c>
      <c r="M3681">
        <f>IFERROR(IF(VLOOKUP(calendar[[#This Row],[Date]],BH!C:C,1,)&lt;&gt;"",1,0),0)</f>
        <v>0</v>
      </c>
      <c r="N3681">
        <f>IFERROR(IF(VLOOKUP(calendar[[#This Row],[Date]],BH!E:E,1,)&lt;&gt;"",1,0),0)</f>
        <v>0</v>
      </c>
      <c r="O3681">
        <f>IFERROR(IF(VLOOKUP(calendar[[#This Row],[Date]],BH!G:G,1,)&lt;&gt;"",1,0),0)</f>
        <v>0</v>
      </c>
      <c r="P3681">
        <f>IF(OR(calendar[[#This Row],[UK_BH]]=1,calendar[[#This Row],[WeekDay]]=1, calendar[[#This Row],[WeekDay]]=7),P3680,P3680+1)</f>
        <v>2612</v>
      </c>
      <c r="Q3681">
        <f>IF(OR(calendar[[#This Row],[FR_BH]]=1,calendar[[#This Row],[WeekDay]]=1, calendar[[#This Row],[WeekDay]]=7),P3680,P3680+1)</f>
        <v>2612</v>
      </c>
      <c r="R3681">
        <f>IF(OR(calendar[[#This Row],[SP_BH]]=1,calendar[[#This Row],[WeekDay]]=1, calendar[[#This Row],[WeekDay]]=7),P3680,P3680+1)</f>
        <v>2612</v>
      </c>
      <c r="S3681">
        <f>IF(OR(calendar[[#This Row],[PT_BH]]=1,calendar[[#This Row],[WeekDay]]=1, calendar[[#This Row],[WeekDay]]=7),P3680,P3680+1)</f>
        <v>2612</v>
      </c>
    </row>
    <row r="3682" spans="1:19" x14ac:dyDescent="0.25">
      <c r="A3682" s="2">
        <v>46416</v>
      </c>
      <c r="B3682" s="1">
        <f t="shared" si="291"/>
        <v>5</v>
      </c>
      <c r="C3682">
        <f t="shared" si="293"/>
        <v>1</v>
      </c>
      <c r="D3682" t="str">
        <f t="shared" si="294"/>
        <v>January</v>
      </c>
      <c r="E3682">
        <f t="shared" si="295"/>
        <v>2027</v>
      </c>
      <c r="F3682" t="str">
        <f>CONCATENATE(calendar[[#This Row],[Month]],"/",calendar[[#This Row],[Year]])</f>
        <v>1/2027</v>
      </c>
      <c r="G3682">
        <f>WEEKDAY(calendar[[#This Row],[Date]],1)</f>
        <v>6</v>
      </c>
      <c r="H3682" t="str">
        <f>TEXT(calendar[[#This Row],[WeekDay]],"dddd")</f>
        <v>Friday</v>
      </c>
      <c r="I3682">
        <f>IF((INT(calendar[[#This Row],[Count]]/7)-calendar[[#This Row],[Count]]/7)&lt;0,I3681,I3681+1)</f>
        <v>526</v>
      </c>
      <c r="J3682">
        <f t="shared" si="292"/>
        <v>3680</v>
      </c>
      <c r="K3682">
        <f>IF(calendar[[#This Row],[Month]]&lt;4,1,IF(calendar[[#This Row],[Month]]&lt;7,2,IF(calendar[[#This Row],[Month]]&lt;10,3,4)))</f>
        <v>1</v>
      </c>
      <c r="L3682">
        <f>IFERROR(IF(VLOOKUP(calendar[[#This Row],[Date]],BH!A:A,1,)&lt;&gt;"",1,0),0)</f>
        <v>0</v>
      </c>
      <c r="M3682">
        <f>IFERROR(IF(VLOOKUP(calendar[[#This Row],[Date]],BH!C:C,1,)&lt;&gt;"",1,0),0)</f>
        <v>0</v>
      </c>
      <c r="N3682">
        <f>IFERROR(IF(VLOOKUP(calendar[[#This Row],[Date]],BH!E:E,1,)&lt;&gt;"",1,0),0)</f>
        <v>0</v>
      </c>
      <c r="O3682">
        <f>IFERROR(IF(VLOOKUP(calendar[[#This Row],[Date]],BH!G:G,1,)&lt;&gt;"",1,0),0)</f>
        <v>0</v>
      </c>
      <c r="P3682">
        <f>IF(OR(calendar[[#This Row],[UK_BH]]=1,calendar[[#This Row],[WeekDay]]=1, calendar[[#This Row],[WeekDay]]=7),P3681,P3681+1)</f>
        <v>2613</v>
      </c>
      <c r="Q3682">
        <f>IF(OR(calendar[[#This Row],[FR_BH]]=1,calendar[[#This Row],[WeekDay]]=1, calendar[[#This Row],[WeekDay]]=7),P3681,P3681+1)</f>
        <v>2613</v>
      </c>
      <c r="R3682">
        <f>IF(OR(calendar[[#This Row],[SP_BH]]=1,calendar[[#This Row],[WeekDay]]=1, calendar[[#This Row],[WeekDay]]=7),P3681,P3681+1)</f>
        <v>2613</v>
      </c>
      <c r="S3682">
        <f>IF(OR(calendar[[#This Row],[PT_BH]]=1,calendar[[#This Row],[WeekDay]]=1, calendar[[#This Row],[WeekDay]]=7),P3681,P3681+1)</f>
        <v>2613</v>
      </c>
    </row>
    <row r="3683" spans="1:19" x14ac:dyDescent="0.25">
      <c r="A3683" s="2">
        <v>46417</v>
      </c>
      <c r="B3683" s="1">
        <f t="shared" si="291"/>
        <v>5</v>
      </c>
      <c r="C3683">
        <f t="shared" si="293"/>
        <v>1</v>
      </c>
      <c r="D3683" t="str">
        <f t="shared" si="294"/>
        <v>January</v>
      </c>
      <c r="E3683">
        <f t="shared" si="295"/>
        <v>2027</v>
      </c>
      <c r="F3683" t="str">
        <f>CONCATENATE(calendar[[#This Row],[Month]],"/",calendar[[#This Row],[Year]])</f>
        <v>1/2027</v>
      </c>
      <c r="G3683">
        <f>WEEKDAY(calendar[[#This Row],[Date]],1)</f>
        <v>7</v>
      </c>
      <c r="H3683" t="str">
        <f>TEXT(calendar[[#This Row],[WeekDay]],"dddd")</f>
        <v>Saturday</v>
      </c>
      <c r="I3683">
        <f>IF((INT(calendar[[#This Row],[Count]]/7)-calendar[[#This Row],[Count]]/7)&lt;0,I3682,I3682+1)</f>
        <v>526</v>
      </c>
      <c r="J3683">
        <f t="shared" si="292"/>
        <v>3681</v>
      </c>
      <c r="K3683">
        <f>IF(calendar[[#This Row],[Month]]&lt;4,1,IF(calendar[[#This Row],[Month]]&lt;7,2,IF(calendar[[#This Row],[Month]]&lt;10,3,4)))</f>
        <v>1</v>
      </c>
      <c r="L3683">
        <f>IFERROR(IF(VLOOKUP(calendar[[#This Row],[Date]],BH!A:A,1,)&lt;&gt;"",1,0),0)</f>
        <v>0</v>
      </c>
      <c r="M3683">
        <f>IFERROR(IF(VLOOKUP(calendar[[#This Row],[Date]],BH!C:C,1,)&lt;&gt;"",1,0),0)</f>
        <v>0</v>
      </c>
      <c r="N3683">
        <f>IFERROR(IF(VLOOKUP(calendar[[#This Row],[Date]],BH!E:E,1,)&lt;&gt;"",1,0),0)</f>
        <v>0</v>
      </c>
      <c r="O3683">
        <f>IFERROR(IF(VLOOKUP(calendar[[#This Row],[Date]],BH!G:G,1,)&lt;&gt;"",1,0),0)</f>
        <v>0</v>
      </c>
      <c r="P3683">
        <f>IF(OR(calendar[[#This Row],[UK_BH]]=1,calendar[[#This Row],[WeekDay]]=1, calendar[[#This Row],[WeekDay]]=7),P3682,P3682+1)</f>
        <v>2613</v>
      </c>
      <c r="Q3683">
        <f>IF(OR(calendar[[#This Row],[FR_BH]]=1,calendar[[#This Row],[WeekDay]]=1, calendar[[#This Row],[WeekDay]]=7),P3682,P3682+1)</f>
        <v>2613</v>
      </c>
      <c r="R3683">
        <f>IF(OR(calendar[[#This Row],[SP_BH]]=1,calendar[[#This Row],[WeekDay]]=1, calendar[[#This Row],[WeekDay]]=7),P3682,P3682+1)</f>
        <v>2613</v>
      </c>
      <c r="S3683">
        <f>IF(OR(calendar[[#This Row],[PT_BH]]=1,calendar[[#This Row],[WeekDay]]=1, calendar[[#This Row],[WeekDay]]=7),P3682,P3682+1)</f>
        <v>2613</v>
      </c>
    </row>
    <row r="3684" spans="1:19" x14ac:dyDescent="0.25">
      <c r="A3684" s="2">
        <v>46418</v>
      </c>
      <c r="B3684" s="1">
        <f t="shared" si="291"/>
        <v>6</v>
      </c>
      <c r="C3684">
        <f t="shared" si="293"/>
        <v>1</v>
      </c>
      <c r="D3684" t="str">
        <f t="shared" si="294"/>
        <v>January</v>
      </c>
      <c r="E3684">
        <f t="shared" si="295"/>
        <v>2027</v>
      </c>
      <c r="F3684" t="str">
        <f>CONCATENATE(calendar[[#This Row],[Month]],"/",calendar[[#This Row],[Year]])</f>
        <v>1/2027</v>
      </c>
      <c r="G3684">
        <f>WEEKDAY(calendar[[#This Row],[Date]],1)</f>
        <v>1</v>
      </c>
      <c r="H3684" t="str">
        <f>TEXT(calendar[[#This Row],[WeekDay]],"dddd")</f>
        <v>Sunday</v>
      </c>
      <c r="I3684">
        <f>IF((INT(calendar[[#This Row],[Count]]/7)-calendar[[#This Row],[Count]]/7)&lt;0,I3683,I3683+1)</f>
        <v>527</v>
      </c>
      <c r="J3684">
        <f t="shared" si="292"/>
        <v>3682</v>
      </c>
      <c r="K3684">
        <f>IF(calendar[[#This Row],[Month]]&lt;4,1,IF(calendar[[#This Row],[Month]]&lt;7,2,IF(calendar[[#This Row],[Month]]&lt;10,3,4)))</f>
        <v>1</v>
      </c>
      <c r="L3684">
        <f>IFERROR(IF(VLOOKUP(calendar[[#This Row],[Date]],BH!A:A,1,)&lt;&gt;"",1,0),0)</f>
        <v>0</v>
      </c>
      <c r="M3684">
        <f>IFERROR(IF(VLOOKUP(calendar[[#This Row],[Date]],BH!C:C,1,)&lt;&gt;"",1,0),0)</f>
        <v>0</v>
      </c>
      <c r="N3684">
        <f>IFERROR(IF(VLOOKUP(calendar[[#This Row],[Date]],BH!E:E,1,)&lt;&gt;"",1,0),0)</f>
        <v>0</v>
      </c>
      <c r="O3684">
        <f>IFERROR(IF(VLOOKUP(calendar[[#This Row],[Date]],BH!G:G,1,)&lt;&gt;"",1,0),0)</f>
        <v>0</v>
      </c>
      <c r="P3684">
        <f>IF(OR(calendar[[#This Row],[UK_BH]]=1,calendar[[#This Row],[WeekDay]]=1, calendar[[#This Row],[WeekDay]]=7),P3683,P3683+1)</f>
        <v>2613</v>
      </c>
      <c r="Q3684">
        <f>IF(OR(calendar[[#This Row],[FR_BH]]=1,calendar[[#This Row],[WeekDay]]=1, calendar[[#This Row],[WeekDay]]=7),P3683,P3683+1)</f>
        <v>2613</v>
      </c>
      <c r="R3684">
        <f>IF(OR(calendar[[#This Row],[SP_BH]]=1,calendar[[#This Row],[WeekDay]]=1, calendar[[#This Row],[WeekDay]]=7),P3683,P3683+1)</f>
        <v>2613</v>
      </c>
      <c r="S3684">
        <f>IF(OR(calendar[[#This Row],[PT_BH]]=1,calendar[[#This Row],[WeekDay]]=1, calendar[[#This Row],[WeekDay]]=7),P3683,P3683+1)</f>
        <v>2613</v>
      </c>
    </row>
    <row r="3685" spans="1:19" x14ac:dyDescent="0.25">
      <c r="A3685" s="2">
        <v>46419</v>
      </c>
      <c r="B3685" s="1">
        <f t="shared" si="291"/>
        <v>6</v>
      </c>
      <c r="C3685">
        <f t="shared" si="293"/>
        <v>2</v>
      </c>
      <c r="D3685" t="str">
        <f t="shared" si="294"/>
        <v>February</v>
      </c>
      <c r="E3685">
        <f t="shared" si="295"/>
        <v>2027</v>
      </c>
      <c r="F3685" t="str">
        <f>CONCATENATE(calendar[[#This Row],[Month]],"/",calendar[[#This Row],[Year]])</f>
        <v>2/2027</v>
      </c>
      <c r="G3685">
        <f>WEEKDAY(calendar[[#This Row],[Date]],1)</f>
        <v>2</v>
      </c>
      <c r="H3685" t="str">
        <f>TEXT(calendar[[#This Row],[WeekDay]],"dddd")</f>
        <v>Monday</v>
      </c>
      <c r="I3685">
        <f>IF((INT(calendar[[#This Row],[Count]]/7)-calendar[[#This Row],[Count]]/7)&lt;0,I3684,I3684+1)</f>
        <v>527</v>
      </c>
      <c r="J3685">
        <f t="shared" si="292"/>
        <v>3683</v>
      </c>
      <c r="K3685">
        <f>IF(calendar[[#This Row],[Month]]&lt;4,1,IF(calendar[[#This Row],[Month]]&lt;7,2,IF(calendar[[#This Row],[Month]]&lt;10,3,4)))</f>
        <v>1</v>
      </c>
      <c r="L3685">
        <f>IFERROR(IF(VLOOKUP(calendar[[#This Row],[Date]],BH!A:A,1,)&lt;&gt;"",1,0),0)</f>
        <v>0</v>
      </c>
      <c r="M3685">
        <f>IFERROR(IF(VLOOKUP(calendar[[#This Row],[Date]],BH!C:C,1,)&lt;&gt;"",1,0),0)</f>
        <v>0</v>
      </c>
      <c r="N3685">
        <f>IFERROR(IF(VLOOKUP(calendar[[#This Row],[Date]],BH!E:E,1,)&lt;&gt;"",1,0),0)</f>
        <v>0</v>
      </c>
      <c r="O3685">
        <f>IFERROR(IF(VLOOKUP(calendar[[#This Row],[Date]],BH!G:G,1,)&lt;&gt;"",1,0),0)</f>
        <v>0</v>
      </c>
      <c r="P3685">
        <f>IF(OR(calendar[[#This Row],[UK_BH]]=1,calendar[[#This Row],[WeekDay]]=1, calendar[[#This Row],[WeekDay]]=7),P3684,P3684+1)</f>
        <v>2614</v>
      </c>
      <c r="Q3685">
        <f>IF(OR(calendar[[#This Row],[FR_BH]]=1,calendar[[#This Row],[WeekDay]]=1, calendar[[#This Row],[WeekDay]]=7),P3684,P3684+1)</f>
        <v>2614</v>
      </c>
      <c r="R3685">
        <f>IF(OR(calendar[[#This Row],[SP_BH]]=1,calendar[[#This Row],[WeekDay]]=1, calendar[[#This Row],[WeekDay]]=7),P3684,P3684+1)</f>
        <v>2614</v>
      </c>
      <c r="S3685">
        <f>IF(OR(calendar[[#This Row],[PT_BH]]=1,calendar[[#This Row],[WeekDay]]=1, calendar[[#This Row],[WeekDay]]=7),P3684,P3684+1)</f>
        <v>2614</v>
      </c>
    </row>
    <row r="3686" spans="1:19" x14ac:dyDescent="0.25">
      <c r="A3686" s="2">
        <v>46420</v>
      </c>
      <c r="B3686" s="1">
        <f t="shared" si="291"/>
        <v>6</v>
      </c>
      <c r="C3686">
        <f t="shared" si="293"/>
        <v>2</v>
      </c>
      <c r="D3686" t="str">
        <f t="shared" si="294"/>
        <v>February</v>
      </c>
      <c r="E3686">
        <f t="shared" si="295"/>
        <v>2027</v>
      </c>
      <c r="F3686" t="str">
        <f>CONCATENATE(calendar[[#This Row],[Month]],"/",calendar[[#This Row],[Year]])</f>
        <v>2/2027</v>
      </c>
      <c r="G3686">
        <f>WEEKDAY(calendar[[#This Row],[Date]],1)</f>
        <v>3</v>
      </c>
      <c r="H3686" t="str">
        <f>TEXT(calendar[[#This Row],[WeekDay]],"dddd")</f>
        <v>Tuesday</v>
      </c>
      <c r="I3686">
        <f>IF((INT(calendar[[#This Row],[Count]]/7)-calendar[[#This Row],[Count]]/7)&lt;0,I3685,I3685+1)</f>
        <v>527</v>
      </c>
      <c r="J3686">
        <f t="shared" si="292"/>
        <v>3684</v>
      </c>
      <c r="K3686">
        <f>IF(calendar[[#This Row],[Month]]&lt;4,1,IF(calendar[[#This Row],[Month]]&lt;7,2,IF(calendar[[#This Row],[Month]]&lt;10,3,4)))</f>
        <v>1</v>
      </c>
      <c r="L3686">
        <f>IFERROR(IF(VLOOKUP(calendar[[#This Row],[Date]],BH!A:A,1,)&lt;&gt;"",1,0),0)</f>
        <v>0</v>
      </c>
      <c r="M3686">
        <f>IFERROR(IF(VLOOKUP(calendar[[#This Row],[Date]],BH!C:C,1,)&lt;&gt;"",1,0),0)</f>
        <v>0</v>
      </c>
      <c r="N3686">
        <f>IFERROR(IF(VLOOKUP(calendar[[#This Row],[Date]],BH!E:E,1,)&lt;&gt;"",1,0),0)</f>
        <v>0</v>
      </c>
      <c r="O3686">
        <f>IFERROR(IF(VLOOKUP(calendar[[#This Row],[Date]],BH!G:G,1,)&lt;&gt;"",1,0),0)</f>
        <v>0</v>
      </c>
      <c r="P3686">
        <f>IF(OR(calendar[[#This Row],[UK_BH]]=1,calendar[[#This Row],[WeekDay]]=1, calendar[[#This Row],[WeekDay]]=7),P3685,P3685+1)</f>
        <v>2615</v>
      </c>
      <c r="Q3686">
        <f>IF(OR(calendar[[#This Row],[FR_BH]]=1,calendar[[#This Row],[WeekDay]]=1, calendar[[#This Row],[WeekDay]]=7),P3685,P3685+1)</f>
        <v>2615</v>
      </c>
      <c r="R3686">
        <f>IF(OR(calendar[[#This Row],[SP_BH]]=1,calendar[[#This Row],[WeekDay]]=1, calendar[[#This Row],[WeekDay]]=7),P3685,P3685+1)</f>
        <v>2615</v>
      </c>
      <c r="S3686">
        <f>IF(OR(calendar[[#This Row],[PT_BH]]=1,calendar[[#This Row],[WeekDay]]=1, calendar[[#This Row],[WeekDay]]=7),P3685,P3685+1)</f>
        <v>2615</v>
      </c>
    </row>
    <row r="3687" spans="1:19" x14ac:dyDescent="0.25">
      <c r="A3687" s="2">
        <v>46421</v>
      </c>
      <c r="B3687" s="1">
        <f t="shared" si="291"/>
        <v>6</v>
      </c>
      <c r="C3687">
        <f t="shared" si="293"/>
        <v>2</v>
      </c>
      <c r="D3687" t="str">
        <f t="shared" si="294"/>
        <v>February</v>
      </c>
      <c r="E3687">
        <f t="shared" si="295"/>
        <v>2027</v>
      </c>
      <c r="F3687" t="str">
        <f>CONCATENATE(calendar[[#This Row],[Month]],"/",calendar[[#This Row],[Year]])</f>
        <v>2/2027</v>
      </c>
      <c r="G3687">
        <f>WEEKDAY(calendar[[#This Row],[Date]],1)</f>
        <v>4</v>
      </c>
      <c r="H3687" t="str">
        <f>TEXT(calendar[[#This Row],[WeekDay]],"dddd")</f>
        <v>Wednesday</v>
      </c>
      <c r="I3687">
        <f>IF((INT(calendar[[#This Row],[Count]]/7)-calendar[[#This Row],[Count]]/7)&lt;0,I3686,I3686+1)</f>
        <v>527</v>
      </c>
      <c r="J3687">
        <f t="shared" si="292"/>
        <v>3685</v>
      </c>
      <c r="K3687">
        <f>IF(calendar[[#This Row],[Month]]&lt;4,1,IF(calendar[[#This Row],[Month]]&lt;7,2,IF(calendar[[#This Row],[Month]]&lt;10,3,4)))</f>
        <v>1</v>
      </c>
      <c r="L3687">
        <f>IFERROR(IF(VLOOKUP(calendar[[#This Row],[Date]],BH!A:A,1,)&lt;&gt;"",1,0),0)</f>
        <v>0</v>
      </c>
      <c r="M3687">
        <f>IFERROR(IF(VLOOKUP(calendar[[#This Row],[Date]],BH!C:C,1,)&lt;&gt;"",1,0),0)</f>
        <v>0</v>
      </c>
      <c r="N3687">
        <f>IFERROR(IF(VLOOKUP(calendar[[#This Row],[Date]],BH!E:E,1,)&lt;&gt;"",1,0),0)</f>
        <v>0</v>
      </c>
      <c r="O3687">
        <f>IFERROR(IF(VLOOKUP(calendar[[#This Row],[Date]],BH!G:G,1,)&lt;&gt;"",1,0),0)</f>
        <v>0</v>
      </c>
      <c r="P3687">
        <f>IF(OR(calendar[[#This Row],[UK_BH]]=1,calendar[[#This Row],[WeekDay]]=1, calendar[[#This Row],[WeekDay]]=7),P3686,P3686+1)</f>
        <v>2616</v>
      </c>
      <c r="Q3687">
        <f>IF(OR(calendar[[#This Row],[FR_BH]]=1,calendar[[#This Row],[WeekDay]]=1, calendar[[#This Row],[WeekDay]]=7),P3686,P3686+1)</f>
        <v>2616</v>
      </c>
      <c r="R3687">
        <f>IF(OR(calendar[[#This Row],[SP_BH]]=1,calendar[[#This Row],[WeekDay]]=1, calendar[[#This Row],[WeekDay]]=7),P3686,P3686+1)</f>
        <v>2616</v>
      </c>
      <c r="S3687">
        <f>IF(OR(calendar[[#This Row],[PT_BH]]=1,calendar[[#This Row],[WeekDay]]=1, calendar[[#This Row],[WeekDay]]=7),P3686,P3686+1)</f>
        <v>2616</v>
      </c>
    </row>
    <row r="3688" spans="1:19" x14ac:dyDescent="0.25">
      <c r="A3688" s="2">
        <v>46422</v>
      </c>
      <c r="B3688" s="1">
        <f t="shared" si="291"/>
        <v>6</v>
      </c>
      <c r="C3688">
        <f t="shared" si="293"/>
        <v>2</v>
      </c>
      <c r="D3688" t="str">
        <f t="shared" si="294"/>
        <v>February</v>
      </c>
      <c r="E3688">
        <f t="shared" si="295"/>
        <v>2027</v>
      </c>
      <c r="F3688" t="str">
        <f>CONCATENATE(calendar[[#This Row],[Month]],"/",calendar[[#This Row],[Year]])</f>
        <v>2/2027</v>
      </c>
      <c r="G3688">
        <f>WEEKDAY(calendar[[#This Row],[Date]],1)</f>
        <v>5</v>
      </c>
      <c r="H3688" t="str">
        <f>TEXT(calendar[[#This Row],[WeekDay]],"dddd")</f>
        <v>Thursday</v>
      </c>
      <c r="I3688">
        <f>IF((INT(calendar[[#This Row],[Count]]/7)-calendar[[#This Row],[Count]]/7)&lt;0,I3687,I3687+1)</f>
        <v>527</v>
      </c>
      <c r="J3688">
        <f t="shared" si="292"/>
        <v>3686</v>
      </c>
      <c r="K3688">
        <f>IF(calendar[[#This Row],[Month]]&lt;4,1,IF(calendar[[#This Row],[Month]]&lt;7,2,IF(calendar[[#This Row],[Month]]&lt;10,3,4)))</f>
        <v>1</v>
      </c>
      <c r="L3688">
        <f>IFERROR(IF(VLOOKUP(calendar[[#This Row],[Date]],BH!A:A,1,)&lt;&gt;"",1,0),0)</f>
        <v>0</v>
      </c>
      <c r="M3688">
        <f>IFERROR(IF(VLOOKUP(calendar[[#This Row],[Date]],BH!C:C,1,)&lt;&gt;"",1,0),0)</f>
        <v>0</v>
      </c>
      <c r="N3688">
        <f>IFERROR(IF(VLOOKUP(calendar[[#This Row],[Date]],BH!E:E,1,)&lt;&gt;"",1,0),0)</f>
        <v>0</v>
      </c>
      <c r="O3688">
        <f>IFERROR(IF(VLOOKUP(calendar[[#This Row],[Date]],BH!G:G,1,)&lt;&gt;"",1,0),0)</f>
        <v>0</v>
      </c>
      <c r="P3688">
        <f>IF(OR(calendar[[#This Row],[UK_BH]]=1,calendar[[#This Row],[WeekDay]]=1, calendar[[#This Row],[WeekDay]]=7),P3687,P3687+1)</f>
        <v>2617</v>
      </c>
      <c r="Q3688">
        <f>IF(OR(calendar[[#This Row],[FR_BH]]=1,calendar[[#This Row],[WeekDay]]=1, calendar[[#This Row],[WeekDay]]=7),P3687,P3687+1)</f>
        <v>2617</v>
      </c>
      <c r="R3688">
        <f>IF(OR(calendar[[#This Row],[SP_BH]]=1,calendar[[#This Row],[WeekDay]]=1, calendar[[#This Row],[WeekDay]]=7),P3687,P3687+1)</f>
        <v>2617</v>
      </c>
      <c r="S3688">
        <f>IF(OR(calendar[[#This Row],[PT_BH]]=1,calendar[[#This Row],[WeekDay]]=1, calendar[[#This Row],[WeekDay]]=7),P3687,P3687+1)</f>
        <v>2617</v>
      </c>
    </row>
    <row r="3689" spans="1:19" x14ac:dyDescent="0.25">
      <c r="A3689" s="2">
        <v>46423</v>
      </c>
      <c r="B3689" s="1">
        <f t="shared" si="291"/>
        <v>6</v>
      </c>
      <c r="C3689">
        <f t="shared" si="293"/>
        <v>2</v>
      </c>
      <c r="D3689" t="str">
        <f t="shared" si="294"/>
        <v>February</v>
      </c>
      <c r="E3689">
        <f t="shared" si="295"/>
        <v>2027</v>
      </c>
      <c r="F3689" t="str">
        <f>CONCATENATE(calendar[[#This Row],[Month]],"/",calendar[[#This Row],[Year]])</f>
        <v>2/2027</v>
      </c>
      <c r="G3689">
        <f>WEEKDAY(calendar[[#This Row],[Date]],1)</f>
        <v>6</v>
      </c>
      <c r="H3689" t="str">
        <f>TEXT(calendar[[#This Row],[WeekDay]],"dddd")</f>
        <v>Friday</v>
      </c>
      <c r="I3689">
        <f>IF((INT(calendar[[#This Row],[Count]]/7)-calendar[[#This Row],[Count]]/7)&lt;0,I3688,I3688+1)</f>
        <v>527</v>
      </c>
      <c r="J3689">
        <f t="shared" si="292"/>
        <v>3687</v>
      </c>
      <c r="K3689">
        <f>IF(calendar[[#This Row],[Month]]&lt;4,1,IF(calendar[[#This Row],[Month]]&lt;7,2,IF(calendar[[#This Row],[Month]]&lt;10,3,4)))</f>
        <v>1</v>
      </c>
      <c r="L3689">
        <f>IFERROR(IF(VLOOKUP(calendar[[#This Row],[Date]],BH!A:A,1,)&lt;&gt;"",1,0),0)</f>
        <v>0</v>
      </c>
      <c r="M3689">
        <f>IFERROR(IF(VLOOKUP(calendar[[#This Row],[Date]],BH!C:C,1,)&lt;&gt;"",1,0),0)</f>
        <v>0</v>
      </c>
      <c r="N3689">
        <f>IFERROR(IF(VLOOKUP(calendar[[#This Row],[Date]],BH!E:E,1,)&lt;&gt;"",1,0),0)</f>
        <v>0</v>
      </c>
      <c r="O3689">
        <f>IFERROR(IF(VLOOKUP(calendar[[#This Row],[Date]],BH!G:G,1,)&lt;&gt;"",1,0),0)</f>
        <v>0</v>
      </c>
      <c r="P3689">
        <f>IF(OR(calendar[[#This Row],[UK_BH]]=1,calendar[[#This Row],[WeekDay]]=1, calendar[[#This Row],[WeekDay]]=7),P3688,P3688+1)</f>
        <v>2618</v>
      </c>
      <c r="Q3689">
        <f>IF(OR(calendar[[#This Row],[FR_BH]]=1,calendar[[#This Row],[WeekDay]]=1, calendar[[#This Row],[WeekDay]]=7),P3688,P3688+1)</f>
        <v>2618</v>
      </c>
      <c r="R3689">
        <f>IF(OR(calendar[[#This Row],[SP_BH]]=1,calendar[[#This Row],[WeekDay]]=1, calendar[[#This Row],[WeekDay]]=7),P3688,P3688+1)</f>
        <v>2618</v>
      </c>
      <c r="S3689">
        <f>IF(OR(calendar[[#This Row],[PT_BH]]=1,calendar[[#This Row],[WeekDay]]=1, calendar[[#This Row],[WeekDay]]=7),P3688,P3688+1)</f>
        <v>2618</v>
      </c>
    </row>
    <row r="3690" spans="1:19" x14ac:dyDescent="0.25">
      <c r="A3690" s="2">
        <v>46424</v>
      </c>
      <c r="B3690" s="1">
        <f t="shared" si="291"/>
        <v>6</v>
      </c>
      <c r="C3690">
        <f t="shared" si="293"/>
        <v>2</v>
      </c>
      <c r="D3690" t="str">
        <f t="shared" si="294"/>
        <v>February</v>
      </c>
      <c r="E3690">
        <f t="shared" si="295"/>
        <v>2027</v>
      </c>
      <c r="F3690" t="str">
        <f>CONCATENATE(calendar[[#This Row],[Month]],"/",calendar[[#This Row],[Year]])</f>
        <v>2/2027</v>
      </c>
      <c r="G3690">
        <f>WEEKDAY(calendar[[#This Row],[Date]],1)</f>
        <v>7</v>
      </c>
      <c r="H3690" t="str">
        <f>TEXT(calendar[[#This Row],[WeekDay]],"dddd")</f>
        <v>Saturday</v>
      </c>
      <c r="I3690">
        <f>IF((INT(calendar[[#This Row],[Count]]/7)-calendar[[#This Row],[Count]]/7)&lt;0,I3689,I3689+1)</f>
        <v>527</v>
      </c>
      <c r="J3690">
        <f t="shared" si="292"/>
        <v>3688</v>
      </c>
      <c r="K3690">
        <f>IF(calendar[[#This Row],[Month]]&lt;4,1,IF(calendar[[#This Row],[Month]]&lt;7,2,IF(calendar[[#This Row],[Month]]&lt;10,3,4)))</f>
        <v>1</v>
      </c>
      <c r="L3690">
        <f>IFERROR(IF(VLOOKUP(calendar[[#This Row],[Date]],BH!A:A,1,)&lt;&gt;"",1,0),0)</f>
        <v>0</v>
      </c>
      <c r="M3690">
        <f>IFERROR(IF(VLOOKUP(calendar[[#This Row],[Date]],BH!C:C,1,)&lt;&gt;"",1,0),0)</f>
        <v>0</v>
      </c>
      <c r="N3690">
        <f>IFERROR(IF(VLOOKUP(calendar[[#This Row],[Date]],BH!E:E,1,)&lt;&gt;"",1,0),0)</f>
        <v>0</v>
      </c>
      <c r="O3690">
        <f>IFERROR(IF(VLOOKUP(calendar[[#This Row],[Date]],BH!G:G,1,)&lt;&gt;"",1,0),0)</f>
        <v>0</v>
      </c>
      <c r="P3690">
        <f>IF(OR(calendar[[#This Row],[UK_BH]]=1,calendar[[#This Row],[WeekDay]]=1, calendar[[#This Row],[WeekDay]]=7),P3689,P3689+1)</f>
        <v>2618</v>
      </c>
      <c r="Q3690">
        <f>IF(OR(calendar[[#This Row],[FR_BH]]=1,calendar[[#This Row],[WeekDay]]=1, calendar[[#This Row],[WeekDay]]=7),P3689,P3689+1)</f>
        <v>2618</v>
      </c>
      <c r="R3690">
        <f>IF(OR(calendar[[#This Row],[SP_BH]]=1,calendar[[#This Row],[WeekDay]]=1, calendar[[#This Row],[WeekDay]]=7),P3689,P3689+1)</f>
        <v>2618</v>
      </c>
      <c r="S3690">
        <f>IF(OR(calendar[[#This Row],[PT_BH]]=1,calendar[[#This Row],[WeekDay]]=1, calendar[[#This Row],[WeekDay]]=7),P3689,P3689+1)</f>
        <v>2618</v>
      </c>
    </row>
    <row r="3691" spans="1:19" x14ac:dyDescent="0.25">
      <c r="A3691" s="2">
        <v>46425</v>
      </c>
      <c r="B3691" s="1">
        <f t="shared" si="291"/>
        <v>7</v>
      </c>
      <c r="C3691">
        <f t="shared" si="293"/>
        <v>2</v>
      </c>
      <c r="D3691" t="str">
        <f t="shared" si="294"/>
        <v>February</v>
      </c>
      <c r="E3691">
        <f t="shared" si="295"/>
        <v>2027</v>
      </c>
      <c r="F3691" t="str">
        <f>CONCATENATE(calendar[[#This Row],[Month]],"/",calendar[[#This Row],[Year]])</f>
        <v>2/2027</v>
      </c>
      <c r="G3691">
        <f>WEEKDAY(calendar[[#This Row],[Date]],1)</f>
        <v>1</v>
      </c>
      <c r="H3691" t="str">
        <f>TEXT(calendar[[#This Row],[WeekDay]],"dddd")</f>
        <v>Sunday</v>
      </c>
      <c r="I3691">
        <f>IF((INT(calendar[[#This Row],[Count]]/7)-calendar[[#This Row],[Count]]/7)&lt;0,I3690,I3690+1)</f>
        <v>528</v>
      </c>
      <c r="J3691">
        <f t="shared" si="292"/>
        <v>3689</v>
      </c>
      <c r="K3691">
        <f>IF(calendar[[#This Row],[Month]]&lt;4,1,IF(calendar[[#This Row],[Month]]&lt;7,2,IF(calendar[[#This Row],[Month]]&lt;10,3,4)))</f>
        <v>1</v>
      </c>
      <c r="L3691">
        <f>IFERROR(IF(VLOOKUP(calendar[[#This Row],[Date]],BH!A:A,1,)&lt;&gt;"",1,0),0)</f>
        <v>0</v>
      </c>
      <c r="M3691">
        <f>IFERROR(IF(VLOOKUP(calendar[[#This Row],[Date]],BH!C:C,1,)&lt;&gt;"",1,0),0)</f>
        <v>0</v>
      </c>
      <c r="N3691">
        <f>IFERROR(IF(VLOOKUP(calendar[[#This Row],[Date]],BH!E:E,1,)&lt;&gt;"",1,0),0)</f>
        <v>0</v>
      </c>
      <c r="O3691">
        <f>IFERROR(IF(VLOOKUP(calendar[[#This Row],[Date]],BH!G:G,1,)&lt;&gt;"",1,0),0)</f>
        <v>0</v>
      </c>
      <c r="P3691">
        <f>IF(OR(calendar[[#This Row],[UK_BH]]=1,calendar[[#This Row],[WeekDay]]=1, calendar[[#This Row],[WeekDay]]=7),P3690,P3690+1)</f>
        <v>2618</v>
      </c>
      <c r="Q3691">
        <f>IF(OR(calendar[[#This Row],[FR_BH]]=1,calendar[[#This Row],[WeekDay]]=1, calendar[[#This Row],[WeekDay]]=7),P3690,P3690+1)</f>
        <v>2618</v>
      </c>
      <c r="R3691">
        <f>IF(OR(calendar[[#This Row],[SP_BH]]=1,calendar[[#This Row],[WeekDay]]=1, calendar[[#This Row],[WeekDay]]=7),P3690,P3690+1)</f>
        <v>2618</v>
      </c>
      <c r="S3691">
        <f>IF(OR(calendar[[#This Row],[PT_BH]]=1,calendar[[#This Row],[WeekDay]]=1, calendar[[#This Row],[WeekDay]]=7),P3690,P3690+1)</f>
        <v>2618</v>
      </c>
    </row>
    <row r="3692" spans="1:19" x14ac:dyDescent="0.25">
      <c r="A3692" s="2">
        <v>46426</v>
      </c>
      <c r="B3692" s="1">
        <f t="shared" si="291"/>
        <v>7</v>
      </c>
      <c r="C3692">
        <f t="shared" si="293"/>
        <v>2</v>
      </c>
      <c r="D3692" t="str">
        <f t="shared" si="294"/>
        <v>February</v>
      </c>
      <c r="E3692">
        <f t="shared" si="295"/>
        <v>2027</v>
      </c>
      <c r="F3692" t="str">
        <f>CONCATENATE(calendar[[#This Row],[Month]],"/",calendar[[#This Row],[Year]])</f>
        <v>2/2027</v>
      </c>
      <c r="G3692">
        <f>WEEKDAY(calendar[[#This Row],[Date]],1)</f>
        <v>2</v>
      </c>
      <c r="H3692" t="str">
        <f>TEXT(calendar[[#This Row],[WeekDay]],"dddd")</f>
        <v>Monday</v>
      </c>
      <c r="I3692">
        <f>IF((INT(calendar[[#This Row],[Count]]/7)-calendar[[#This Row],[Count]]/7)&lt;0,I3691,I3691+1)</f>
        <v>528</v>
      </c>
      <c r="J3692">
        <f t="shared" si="292"/>
        <v>3690</v>
      </c>
      <c r="K3692">
        <f>IF(calendar[[#This Row],[Month]]&lt;4,1,IF(calendar[[#This Row],[Month]]&lt;7,2,IF(calendar[[#This Row],[Month]]&lt;10,3,4)))</f>
        <v>1</v>
      </c>
      <c r="L3692">
        <f>IFERROR(IF(VLOOKUP(calendar[[#This Row],[Date]],BH!A:A,1,)&lt;&gt;"",1,0),0)</f>
        <v>0</v>
      </c>
      <c r="M3692">
        <f>IFERROR(IF(VLOOKUP(calendar[[#This Row],[Date]],BH!C:C,1,)&lt;&gt;"",1,0),0)</f>
        <v>0</v>
      </c>
      <c r="N3692">
        <f>IFERROR(IF(VLOOKUP(calendar[[#This Row],[Date]],BH!E:E,1,)&lt;&gt;"",1,0),0)</f>
        <v>0</v>
      </c>
      <c r="O3692">
        <f>IFERROR(IF(VLOOKUP(calendar[[#This Row],[Date]],BH!G:G,1,)&lt;&gt;"",1,0),0)</f>
        <v>0</v>
      </c>
      <c r="P3692">
        <f>IF(OR(calendar[[#This Row],[UK_BH]]=1,calendar[[#This Row],[WeekDay]]=1, calendar[[#This Row],[WeekDay]]=7),P3691,P3691+1)</f>
        <v>2619</v>
      </c>
      <c r="Q3692">
        <f>IF(OR(calendar[[#This Row],[FR_BH]]=1,calendar[[#This Row],[WeekDay]]=1, calendar[[#This Row],[WeekDay]]=7),P3691,P3691+1)</f>
        <v>2619</v>
      </c>
      <c r="R3692">
        <f>IF(OR(calendar[[#This Row],[SP_BH]]=1,calendar[[#This Row],[WeekDay]]=1, calendar[[#This Row],[WeekDay]]=7),P3691,P3691+1)</f>
        <v>2619</v>
      </c>
      <c r="S3692">
        <f>IF(OR(calendar[[#This Row],[PT_BH]]=1,calendar[[#This Row],[WeekDay]]=1, calendar[[#This Row],[WeekDay]]=7),P3691,P3691+1)</f>
        <v>2619</v>
      </c>
    </row>
    <row r="3693" spans="1:19" x14ac:dyDescent="0.25">
      <c r="A3693" s="2">
        <v>46427</v>
      </c>
      <c r="B3693" s="1">
        <f t="shared" si="291"/>
        <v>7</v>
      </c>
      <c r="C3693">
        <f t="shared" si="293"/>
        <v>2</v>
      </c>
      <c r="D3693" t="str">
        <f t="shared" si="294"/>
        <v>February</v>
      </c>
      <c r="E3693">
        <f t="shared" si="295"/>
        <v>2027</v>
      </c>
      <c r="F3693" t="str">
        <f>CONCATENATE(calendar[[#This Row],[Month]],"/",calendar[[#This Row],[Year]])</f>
        <v>2/2027</v>
      </c>
      <c r="G3693">
        <f>WEEKDAY(calendar[[#This Row],[Date]],1)</f>
        <v>3</v>
      </c>
      <c r="H3693" t="str">
        <f>TEXT(calendar[[#This Row],[WeekDay]],"dddd")</f>
        <v>Tuesday</v>
      </c>
      <c r="I3693">
        <f>IF((INT(calendar[[#This Row],[Count]]/7)-calendar[[#This Row],[Count]]/7)&lt;0,I3692,I3692+1)</f>
        <v>528</v>
      </c>
      <c r="J3693">
        <f t="shared" si="292"/>
        <v>3691</v>
      </c>
      <c r="K3693">
        <f>IF(calendar[[#This Row],[Month]]&lt;4,1,IF(calendar[[#This Row],[Month]]&lt;7,2,IF(calendar[[#This Row],[Month]]&lt;10,3,4)))</f>
        <v>1</v>
      </c>
      <c r="L3693">
        <f>IFERROR(IF(VLOOKUP(calendar[[#This Row],[Date]],BH!A:A,1,)&lt;&gt;"",1,0),0)</f>
        <v>0</v>
      </c>
      <c r="M3693">
        <f>IFERROR(IF(VLOOKUP(calendar[[#This Row],[Date]],BH!C:C,1,)&lt;&gt;"",1,0),0)</f>
        <v>0</v>
      </c>
      <c r="N3693">
        <f>IFERROR(IF(VLOOKUP(calendar[[#This Row],[Date]],BH!E:E,1,)&lt;&gt;"",1,0),0)</f>
        <v>0</v>
      </c>
      <c r="O3693">
        <f>IFERROR(IF(VLOOKUP(calendar[[#This Row],[Date]],BH!G:G,1,)&lt;&gt;"",1,0),0)</f>
        <v>0</v>
      </c>
      <c r="P3693">
        <f>IF(OR(calendar[[#This Row],[UK_BH]]=1,calendar[[#This Row],[WeekDay]]=1, calendar[[#This Row],[WeekDay]]=7),P3692,P3692+1)</f>
        <v>2620</v>
      </c>
      <c r="Q3693">
        <f>IF(OR(calendar[[#This Row],[FR_BH]]=1,calendar[[#This Row],[WeekDay]]=1, calendar[[#This Row],[WeekDay]]=7),P3692,P3692+1)</f>
        <v>2620</v>
      </c>
      <c r="R3693">
        <f>IF(OR(calendar[[#This Row],[SP_BH]]=1,calendar[[#This Row],[WeekDay]]=1, calendar[[#This Row],[WeekDay]]=7),P3692,P3692+1)</f>
        <v>2620</v>
      </c>
      <c r="S3693">
        <f>IF(OR(calendar[[#This Row],[PT_BH]]=1,calendar[[#This Row],[WeekDay]]=1, calendar[[#This Row],[WeekDay]]=7),P3692,P3692+1)</f>
        <v>2620</v>
      </c>
    </row>
    <row r="3694" spans="1:19" x14ac:dyDescent="0.25">
      <c r="A3694" s="2">
        <v>46428</v>
      </c>
      <c r="B3694" s="1">
        <f t="shared" si="291"/>
        <v>7</v>
      </c>
      <c r="C3694">
        <f t="shared" si="293"/>
        <v>2</v>
      </c>
      <c r="D3694" t="str">
        <f t="shared" si="294"/>
        <v>February</v>
      </c>
      <c r="E3694">
        <f t="shared" si="295"/>
        <v>2027</v>
      </c>
      <c r="F3694" t="str">
        <f>CONCATENATE(calendar[[#This Row],[Month]],"/",calendar[[#This Row],[Year]])</f>
        <v>2/2027</v>
      </c>
      <c r="G3694">
        <f>WEEKDAY(calendar[[#This Row],[Date]],1)</f>
        <v>4</v>
      </c>
      <c r="H3694" t="str">
        <f>TEXT(calendar[[#This Row],[WeekDay]],"dddd")</f>
        <v>Wednesday</v>
      </c>
      <c r="I3694">
        <f>IF((INT(calendar[[#This Row],[Count]]/7)-calendar[[#This Row],[Count]]/7)&lt;0,I3693,I3693+1)</f>
        <v>528</v>
      </c>
      <c r="J3694">
        <f t="shared" si="292"/>
        <v>3692</v>
      </c>
      <c r="K3694">
        <f>IF(calendar[[#This Row],[Month]]&lt;4,1,IF(calendar[[#This Row],[Month]]&lt;7,2,IF(calendar[[#This Row],[Month]]&lt;10,3,4)))</f>
        <v>1</v>
      </c>
      <c r="L3694">
        <f>IFERROR(IF(VLOOKUP(calendar[[#This Row],[Date]],BH!A:A,1,)&lt;&gt;"",1,0),0)</f>
        <v>0</v>
      </c>
      <c r="M3694">
        <f>IFERROR(IF(VLOOKUP(calendar[[#This Row],[Date]],BH!C:C,1,)&lt;&gt;"",1,0),0)</f>
        <v>0</v>
      </c>
      <c r="N3694">
        <f>IFERROR(IF(VLOOKUP(calendar[[#This Row],[Date]],BH!E:E,1,)&lt;&gt;"",1,0),0)</f>
        <v>0</v>
      </c>
      <c r="O3694">
        <f>IFERROR(IF(VLOOKUP(calendar[[#This Row],[Date]],BH!G:G,1,)&lt;&gt;"",1,0),0)</f>
        <v>0</v>
      </c>
      <c r="P3694">
        <f>IF(OR(calendar[[#This Row],[UK_BH]]=1,calendar[[#This Row],[WeekDay]]=1, calendar[[#This Row],[WeekDay]]=7),P3693,P3693+1)</f>
        <v>2621</v>
      </c>
      <c r="Q3694">
        <f>IF(OR(calendar[[#This Row],[FR_BH]]=1,calendar[[#This Row],[WeekDay]]=1, calendar[[#This Row],[WeekDay]]=7),P3693,P3693+1)</f>
        <v>2621</v>
      </c>
      <c r="R3694">
        <f>IF(OR(calendar[[#This Row],[SP_BH]]=1,calendar[[#This Row],[WeekDay]]=1, calendar[[#This Row],[WeekDay]]=7),P3693,P3693+1)</f>
        <v>2621</v>
      </c>
      <c r="S3694">
        <f>IF(OR(calendar[[#This Row],[PT_BH]]=1,calendar[[#This Row],[WeekDay]]=1, calendar[[#This Row],[WeekDay]]=7),P3693,P3693+1)</f>
        <v>2621</v>
      </c>
    </row>
    <row r="3695" spans="1:19" x14ac:dyDescent="0.25">
      <c r="A3695" s="2">
        <v>46429</v>
      </c>
      <c r="B3695" s="1">
        <f t="shared" si="291"/>
        <v>7</v>
      </c>
      <c r="C3695">
        <f t="shared" si="293"/>
        <v>2</v>
      </c>
      <c r="D3695" t="str">
        <f t="shared" si="294"/>
        <v>February</v>
      </c>
      <c r="E3695">
        <f t="shared" si="295"/>
        <v>2027</v>
      </c>
      <c r="F3695" t="str">
        <f>CONCATENATE(calendar[[#This Row],[Month]],"/",calendar[[#This Row],[Year]])</f>
        <v>2/2027</v>
      </c>
      <c r="G3695">
        <f>WEEKDAY(calendar[[#This Row],[Date]],1)</f>
        <v>5</v>
      </c>
      <c r="H3695" t="str">
        <f>TEXT(calendar[[#This Row],[WeekDay]],"dddd")</f>
        <v>Thursday</v>
      </c>
      <c r="I3695">
        <f>IF((INT(calendar[[#This Row],[Count]]/7)-calendar[[#This Row],[Count]]/7)&lt;0,I3694,I3694+1)</f>
        <v>528</v>
      </c>
      <c r="J3695">
        <f t="shared" si="292"/>
        <v>3693</v>
      </c>
      <c r="K3695">
        <f>IF(calendar[[#This Row],[Month]]&lt;4,1,IF(calendar[[#This Row],[Month]]&lt;7,2,IF(calendar[[#This Row],[Month]]&lt;10,3,4)))</f>
        <v>1</v>
      </c>
      <c r="L3695">
        <f>IFERROR(IF(VLOOKUP(calendar[[#This Row],[Date]],BH!A:A,1,)&lt;&gt;"",1,0),0)</f>
        <v>0</v>
      </c>
      <c r="M3695">
        <f>IFERROR(IF(VLOOKUP(calendar[[#This Row],[Date]],BH!C:C,1,)&lt;&gt;"",1,0),0)</f>
        <v>0</v>
      </c>
      <c r="N3695">
        <f>IFERROR(IF(VLOOKUP(calendar[[#This Row],[Date]],BH!E:E,1,)&lt;&gt;"",1,0),0)</f>
        <v>0</v>
      </c>
      <c r="O3695">
        <f>IFERROR(IF(VLOOKUP(calendar[[#This Row],[Date]],BH!G:G,1,)&lt;&gt;"",1,0),0)</f>
        <v>0</v>
      </c>
      <c r="P3695">
        <f>IF(OR(calendar[[#This Row],[UK_BH]]=1,calendar[[#This Row],[WeekDay]]=1, calendar[[#This Row],[WeekDay]]=7),P3694,P3694+1)</f>
        <v>2622</v>
      </c>
      <c r="Q3695">
        <f>IF(OR(calendar[[#This Row],[FR_BH]]=1,calendar[[#This Row],[WeekDay]]=1, calendar[[#This Row],[WeekDay]]=7),P3694,P3694+1)</f>
        <v>2622</v>
      </c>
      <c r="R3695">
        <f>IF(OR(calendar[[#This Row],[SP_BH]]=1,calendar[[#This Row],[WeekDay]]=1, calendar[[#This Row],[WeekDay]]=7),P3694,P3694+1)</f>
        <v>2622</v>
      </c>
      <c r="S3695">
        <f>IF(OR(calendar[[#This Row],[PT_BH]]=1,calendar[[#This Row],[WeekDay]]=1, calendar[[#This Row],[WeekDay]]=7),P3694,P3694+1)</f>
        <v>2622</v>
      </c>
    </row>
    <row r="3696" spans="1:19" x14ac:dyDescent="0.25">
      <c r="A3696" s="2">
        <v>46430</v>
      </c>
      <c r="B3696" s="1">
        <f t="shared" si="291"/>
        <v>7</v>
      </c>
      <c r="C3696">
        <f t="shared" si="293"/>
        <v>2</v>
      </c>
      <c r="D3696" t="str">
        <f t="shared" si="294"/>
        <v>February</v>
      </c>
      <c r="E3696">
        <f t="shared" si="295"/>
        <v>2027</v>
      </c>
      <c r="F3696" t="str">
        <f>CONCATENATE(calendar[[#This Row],[Month]],"/",calendar[[#This Row],[Year]])</f>
        <v>2/2027</v>
      </c>
      <c r="G3696">
        <f>WEEKDAY(calendar[[#This Row],[Date]],1)</f>
        <v>6</v>
      </c>
      <c r="H3696" t="str">
        <f>TEXT(calendar[[#This Row],[WeekDay]],"dddd")</f>
        <v>Friday</v>
      </c>
      <c r="I3696">
        <f>IF((INT(calendar[[#This Row],[Count]]/7)-calendar[[#This Row],[Count]]/7)&lt;0,I3695,I3695+1)</f>
        <v>528</v>
      </c>
      <c r="J3696">
        <f t="shared" si="292"/>
        <v>3694</v>
      </c>
      <c r="K3696">
        <f>IF(calendar[[#This Row],[Month]]&lt;4,1,IF(calendar[[#This Row],[Month]]&lt;7,2,IF(calendar[[#This Row],[Month]]&lt;10,3,4)))</f>
        <v>1</v>
      </c>
      <c r="L3696">
        <f>IFERROR(IF(VLOOKUP(calendar[[#This Row],[Date]],BH!A:A,1,)&lt;&gt;"",1,0),0)</f>
        <v>0</v>
      </c>
      <c r="M3696">
        <f>IFERROR(IF(VLOOKUP(calendar[[#This Row],[Date]],BH!C:C,1,)&lt;&gt;"",1,0),0)</f>
        <v>0</v>
      </c>
      <c r="N3696">
        <f>IFERROR(IF(VLOOKUP(calendar[[#This Row],[Date]],BH!E:E,1,)&lt;&gt;"",1,0),0)</f>
        <v>0</v>
      </c>
      <c r="O3696">
        <f>IFERROR(IF(VLOOKUP(calendar[[#This Row],[Date]],BH!G:G,1,)&lt;&gt;"",1,0),0)</f>
        <v>0</v>
      </c>
      <c r="P3696">
        <f>IF(OR(calendar[[#This Row],[UK_BH]]=1,calendar[[#This Row],[WeekDay]]=1, calendar[[#This Row],[WeekDay]]=7),P3695,P3695+1)</f>
        <v>2623</v>
      </c>
      <c r="Q3696">
        <f>IF(OR(calendar[[#This Row],[FR_BH]]=1,calendar[[#This Row],[WeekDay]]=1, calendar[[#This Row],[WeekDay]]=7),P3695,P3695+1)</f>
        <v>2623</v>
      </c>
      <c r="R3696">
        <f>IF(OR(calendar[[#This Row],[SP_BH]]=1,calendar[[#This Row],[WeekDay]]=1, calendar[[#This Row],[WeekDay]]=7),P3695,P3695+1)</f>
        <v>2623</v>
      </c>
      <c r="S3696">
        <f>IF(OR(calendar[[#This Row],[PT_BH]]=1,calendar[[#This Row],[WeekDay]]=1, calendar[[#This Row],[WeekDay]]=7),P3695,P3695+1)</f>
        <v>2623</v>
      </c>
    </row>
    <row r="3697" spans="1:19" x14ac:dyDescent="0.25">
      <c r="A3697" s="2">
        <v>46431</v>
      </c>
      <c r="B3697" s="1">
        <f t="shared" si="291"/>
        <v>7</v>
      </c>
      <c r="C3697">
        <f t="shared" si="293"/>
        <v>2</v>
      </c>
      <c r="D3697" t="str">
        <f t="shared" si="294"/>
        <v>February</v>
      </c>
      <c r="E3697">
        <f t="shared" si="295"/>
        <v>2027</v>
      </c>
      <c r="F3697" t="str">
        <f>CONCATENATE(calendar[[#This Row],[Month]],"/",calendar[[#This Row],[Year]])</f>
        <v>2/2027</v>
      </c>
      <c r="G3697">
        <f>WEEKDAY(calendar[[#This Row],[Date]],1)</f>
        <v>7</v>
      </c>
      <c r="H3697" t="str">
        <f>TEXT(calendar[[#This Row],[WeekDay]],"dddd")</f>
        <v>Saturday</v>
      </c>
      <c r="I3697">
        <f>IF((INT(calendar[[#This Row],[Count]]/7)-calendar[[#This Row],[Count]]/7)&lt;0,I3696,I3696+1)</f>
        <v>528</v>
      </c>
      <c r="J3697">
        <f t="shared" si="292"/>
        <v>3695</v>
      </c>
      <c r="K3697">
        <f>IF(calendar[[#This Row],[Month]]&lt;4,1,IF(calendar[[#This Row],[Month]]&lt;7,2,IF(calendar[[#This Row],[Month]]&lt;10,3,4)))</f>
        <v>1</v>
      </c>
      <c r="L3697">
        <f>IFERROR(IF(VLOOKUP(calendar[[#This Row],[Date]],BH!A:A,1,)&lt;&gt;"",1,0),0)</f>
        <v>0</v>
      </c>
      <c r="M3697">
        <f>IFERROR(IF(VLOOKUP(calendar[[#This Row],[Date]],BH!C:C,1,)&lt;&gt;"",1,0),0)</f>
        <v>0</v>
      </c>
      <c r="N3697">
        <f>IFERROR(IF(VLOOKUP(calendar[[#This Row],[Date]],BH!E:E,1,)&lt;&gt;"",1,0),0)</f>
        <v>0</v>
      </c>
      <c r="O3697">
        <f>IFERROR(IF(VLOOKUP(calendar[[#This Row],[Date]],BH!G:G,1,)&lt;&gt;"",1,0),0)</f>
        <v>0</v>
      </c>
      <c r="P3697">
        <f>IF(OR(calendar[[#This Row],[UK_BH]]=1,calendar[[#This Row],[WeekDay]]=1, calendar[[#This Row],[WeekDay]]=7),P3696,P3696+1)</f>
        <v>2623</v>
      </c>
      <c r="Q3697">
        <f>IF(OR(calendar[[#This Row],[FR_BH]]=1,calendar[[#This Row],[WeekDay]]=1, calendar[[#This Row],[WeekDay]]=7),P3696,P3696+1)</f>
        <v>2623</v>
      </c>
      <c r="R3697">
        <f>IF(OR(calendar[[#This Row],[SP_BH]]=1,calendar[[#This Row],[WeekDay]]=1, calendar[[#This Row],[WeekDay]]=7),P3696,P3696+1)</f>
        <v>2623</v>
      </c>
      <c r="S3697">
        <f>IF(OR(calendar[[#This Row],[PT_BH]]=1,calendar[[#This Row],[WeekDay]]=1, calendar[[#This Row],[WeekDay]]=7),P3696,P3696+1)</f>
        <v>2623</v>
      </c>
    </row>
    <row r="3698" spans="1:19" x14ac:dyDescent="0.25">
      <c r="A3698" s="2">
        <v>46432</v>
      </c>
      <c r="B3698" s="1">
        <f t="shared" si="291"/>
        <v>8</v>
      </c>
      <c r="C3698">
        <f t="shared" si="293"/>
        <v>2</v>
      </c>
      <c r="D3698" t="str">
        <f t="shared" si="294"/>
        <v>February</v>
      </c>
      <c r="E3698">
        <f t="shared" si="295"/>
        <v>2027</v>
      </c>
      <c r="F3698" t="str">
        <f>CONCATENATE(calendar[[#This Row],[Month]],"/",calendar[[#This Row],[Year]])</f>
        <v>2/2027</v>
      </c>
      <c r="G3698">
        <f>WEEKDAY(calendar[[#This Row],[Date]],1)</f>
        <v>1</v>
      </c>
      <c r="H3698" t="str">
        <f>TEXT(calendar[[#This Row],[WeekDay]],"dddd")</f>
        <v>Sunday</v>
      </c>
      <c r="I3698">
        <f>IF((INT(calendar[[#This Row],[Count]]/7)-calendar[[#This Row],[Count]]/7)&lt;0,I3697,I3697+1)</f>
        <v>529</v>
      </c>
      <c r="J3698">
        <f t="shared" si="292"/>
        <v>3696</v>
      </c>
      <c r="K3698">
        <f>IF(calendar[[#This Row],[Month]]&lt;4,1,IF(calendar[[#This Row],[Month]]&lt;7,2,IF(calendar[[#This Row],[Month]]&lt;10,3,4)))</f>
        <v>1</v>
      </c>
      <c r="L3698">
        <f>IFERROR(IF(VLOOKUP(calendar[[#This Row],[Date]],BH!A:A,1,)&lt;&gt;"",1,0),0)</f>
        <v>0</v>
      </c>
      <c r="M3698">
        <f>IFERROR(IF(VLOOKUP(calendar[[#This Row],[Date]],BH!C:C,1,)&lt;&gt;"",1,0),0)</f>
        <v>0</v>
      </c>
      <c r="N3698">
        <f>IFERROR(IF(VLOOKUP(calendar[[#This Row],[Date]],BH!E:E,1,)&lt;&gt;"",1,0),0)</f>
        <v>0</v>
      </c>
      <c r="O3698">
        <f>IFERROR(IF(VLOOKUP(calendar[[#This Row],[Date]],BH!G:G,1,)&lt;&gt;"",1,0),0)</f>
        <v>0</v>
      </c>
      <c r="P3698">
        <f>IF(OR(calendar[[#This Row],[UK_BH]]=1,calendar[[#This Row],[WeekDay]]=1, calendar[[#This Row],[WeekDay]]=7),P3697,P3697+1)</f>
        <v>2623</v>
      </c>
      <c r="Q3698">
        <f>IF(OR(calendar[[#This Row],[FR_BH]]=1,calendar[[#This Row],[WeekDay]]=1, calendar[[#This Row],[WeekDay]]=7),P3697,P3697+1)</f>
        <v>2623</v>
      </c>
      <c r="R3698">
        <f>IF(OR(calendar[[#This Row],[SP_BH]]=1,calendar[[#This Row],[WeekDay]]=1, calendar[[#This Row],[WeekDay]]=7),P3697,P3697+1)</f>
        <v>2623</v>
      </c>
      <c r="S3698">
        <f>IF(OR(calendar[[#This Row],[PT_BH]]=1,calendar[[#This Row],[WeekDay]]=1, calendar[[#This Row],[WeekDay]]=7),P3697,P3697+1)</f>
        <v>2623</v>
      </c>
    </row>
    <row r="3699" spans="1:19" x14ac:dyDescent="0.25">
      <c r="A3699" s="2">
        <v>46433</v>
      </c>
      <c r="B3699" s="1">
        <f t="shared" si="291"/>
        <v>8</v>
      </c>
      <c r="C3699">
        <f t="shared" si="293"/>
        <v>2</v>
      </c>
      <c r="D3699" t="str">
        <f t="shared" si="294"/>
        <v>February</v>
      </c>
      <c r="E3699">
        <f t="shared" si="295"/>
        <v>2027</v>
      </c>
      <c r="F3699" t="str">
        <f>CONCATENATE(calendar[[#This Row],[Month]],"/",calendar[[#This Row],[Year]])</f>
        <v>2/2027</v>
      </c>
      <c r="G3699">
        <f>WEEKDAY(calendar[[#This Row],[Date]],1)</f>
        <v>2</v>
      </c>
      <c r="H3699" t="str">
        <f>TEXT(calendar[[#This Row],[WeekDay]],"dddd")</f>
        <v>Monday</v>
      </c>
      <c r="I3699">
        <f>IF((INT(calendar[[#This Row],[Count]]/7)-calendar[[#This Row],[Count]]/7)&lt;0,I3698,I3698+1)</f>
        <v>529</v>
      </c>
      <c r="J3699">
        <f t="shared" si="292"/>
        <v>3697</v>
      </c>
      <c r="K3699">
        <f>IF(calendar[[#This Row],[Month]]&lt;4,1,IF(calendar[[#This Row],[Month]]&lt;7,2,IF(calendar[[#This Row],[Month]]&lt;10,3,4)))</f>
        <v>1</v>
      </c>
      <c r="L3699">
        <f>IFERROR(IF(VLOOKUP(calendar[[#This Row],[Date]],BH!A:A,1,)&lt;&gt;"",1,0),0)</f>
        <v>0</v>
      </c>
      <c r="M3699">
        <f>IFERROR(IF(VLOOKUP(calendar[[#This Row],[Date]],BH!C:C,1,)&lt;&gt;"",1,0),0)</f>
        <v>0</v>
      </c>
      <c r="N3699">
        <f>IFERROR(IF(VLOOKUP(calendar[[#This Row],[Date]],BH!E:E,1,)&lt;&gt;"",1,0),0)</f>
        <v>0</v>
      </c>
      <c r="O3699">
        <f>IFERROR(IF(VLOOKUP(calendar[[#This Row],[Date]],BH!G:G,1,)&lt;&gt;"",1,0),0)</f>
        <v>0</v>
      </c>
      <c r="P3699">
        <f>IF(OR(calendar[[#This Row],[UK_BH]]=1,calendar[[#This Row],[WeekDay]]=1, calendar[[#This Row],[WeekDay]]=7),P3698,P3698+1)</f>
        <v>2624</v>
      </c>
      <c r="Q3699">
        <f>IF(OR(calendar[[#This Row],[FR_BH]]=1,calendar[[#This Row],[WeekDay]]=1, calendar[[#This Row],[WeekDay]]=7),P3698,P3698+1)</f>
        <v>2624</v>
      </c>
      <c r="R3699">
        <f>IF(OR(calendar[[#This Row],[SP_BH]]=1,calendar[[#This Row],[WeekDay]]=1, calendar[[#This Row],[WeekDay]]=7),P3698,P3698+1)</f>
        <v>2624</v>
      </c>
      <c r="S3699">
        <f>IF(OR(calendar[[#This Row],[PT_BH]]=1,calendar[[#This Row],[WeekDay]]=1, calendar[[#This Row],[WeekDay]]=7),P3698,P3698+1)</f>
        <v>2624</v>
      </c>
    </row>
    <row r="3700" spans="1:19" x14ac:dyDescent="0.25">
      <c r="A3700" s="2">
        <v>46434</v>
      </c>
      <c r="B3700" s="1">
        <f t="shared" si="291"/>
        <v>8</v>
      </c>
      <c r="C3700">
        <f t="shared" si="293"/>
        <v>2</v>
      </c>
      <c r="D3700" t="str">
        <f t="shared" si="294"/>
        <v>February</v>
      </c>
      <c r="E3700">
        <f t="shared" si="295"/>
        <v>2027</v>
      </c>
      <c r="F3700" t="str">
        <f>CONCATENATE(calendar[[#This Row],[Month]],"/",calendar[[#This Row],[Year]])</f>
        <v>2/2027</v>
      </c>
      <c r="G3700">
        <f>WEEKDAY(calendar[[#This Row],[Date]],1)</f>
        <v>3</v>
      </c>
      <c r="H3700" t="str">
        <f>TEXT(calendar[[#This Row],[WeekDay]],"dddd")</f>
        <v>Tuesday</v>
      </c>
      <c r="I3700">
        <f>IF((INT(calendar[[#This Row],[Count]]/7)-calendar[[#This Row],[Count]]/7)&lt;0,I3699,I3699+1)</f>
        <v>529</v>
      </c>
      <c r="J3700">
        <f t="shared" si="292"/>
        <v>3698</v>
      </c>
      <c r="K3700">
        <f>IF(calendar[[#This Row],[Month]]&lt;4,1,IF(calendar[[#This Row],[Month]]&lt;7,2,IF(calendar[[#This Row],[Month]]&lt;10,3,4)))</f>
        <v>1</v>
      </c>
      <c r="L3700">
        <f>IFERROR(IF(VLOOKUP(calendar[[#This Row],[Date]],BH!A:A,1,)&lt;&gt;"",1,0),0)</f>
        <v>0</v>
      </c>
      <c r="M3700">
        <f>IFERROR(IF(VLOOKUP(calendar[[#This Row],[Date]],BH!C:C,1,)&lt;&gt;"",1,0),0)</f>
        <v>0</v>
      </c>
      <c r="N3700">
        <f>IFERROR(IF(VLOOKUP(calendar[[#This Row],[Date]],BH!E:E,1,)&lt;&gt;"",1,0),0)</f>
        <v>0</v>
      </c>
      <c r="O3700">
        <f>IFERROR(IF(VLOOKUP(calendar[[#This Row],[Date]],BH!G:G,1,)&lt;&gt;"",1,0),0)</f>
        <v>0</v>
      </c>
      <c r="P3700">
        <f>IF(OR(calendar[[#This Row],[UK_BH]]=1,calendar[[#This Row],[WeekDay]]=1, calendar[[#This Row],[WeekDay]]=7),P3699,P3699+1)</f>
        <v>2625</v>
      </c>
      <c r="Q3700">
        <f>IF(OR(calendar[[#This Row],[FR_BH]]=1,calendar[[#This Row],[WeekDay]]=1, calendar[[#This Row],[WeekDay]]=7),P3699,P3699+1)</f>
        <v>2625</v>
      </c>
      <c r="R3700">
        <f>IF(OR(calendar[[#This Row],[SP_BH]]=1,calendar[[#This Row],[WeekDay]]=1, calendar[[#This Row],[WeekDay]]=7),P3699,P3699+1)</f>
        <v>2625</v>
      </c>
      <c r="S3700">
        <f>IF(OR(calendar[[#This Row],[PT_BH]]=1,calendar[[#This Row],[WeekDay]]=1, calendar[[#This Row],[WeekDay]]=7),P3699,P3699+1)</f>
        <v>2625</v>
      </c>
    </row>
    <row r="3701" spans="1:19" x14ac:dyDescent="0.25">
      <c r="A3701" s="2">
        <v>46435</v>
      </c>
      <c r="B3701" s="1">
        <f t="shared" si="291"/>
        <v>8</v>
      </c>
      <c r="C3701">
        <f t="shared" si="293"/>
        <v>2</v>
      </c>
      <c r="D3701" t="str">
        <f t="shared" si="294"/>
        <v>February</v>
      </c>
      <c r="E3701">
        <f t="shared" si="295"/>
        <v>2027</v>
      </c>
      <c r="F3701" t="str">
        <f>CONCATENATE(calendar[[#This Row],[Month]],"/",calendar[[#This Row],[Year]])</f>
        <v>2/2027</v>
      </c>
      <c r="G3701">
        <f>WEEKDAY(calendar[[#This Row],[Date]],1)</f>
        <v>4</v>
      </c>
      <c r="H3701" t="str">
        <f>TEXT(calendar[[#This Row],[WeekDay]],"dddd")</f>
        <v>Wednesday</v>
      </c>
      <c r="I3701">
        <f>IF((INT(calendar[[#This Row],[Count]]/7)-calendar[[#This Row],[Count]]/7)&lt;0,I3700,I3700+1)</f>
        <v>529</v>
      </c>
      <c r="J3701">
        <f t="shared" si="292"/>
        <v>3699</v>
      </c>
      <c r="K3701">
        <f>IF(calendar[[#This Row],[Month]]&lt;4,1,IF(calendar[[#This Row],[Month]]&lt;7,2,IF(calendar[[#This Row],[Month]]&lt;10,3,4)))</f>
        <v>1</v>
      </c>
      <c r="L3701">
        <f>IFERROR(IF(VLOOKUP(calendar[[#This Row],[Date]],BH!A:A,1,)&lt;&gt;"",1,0),0)</f>
        <v>0</v>
      </c>
      <c r="M3701">
        <f>IFERROR(IF(VLOOKUP(calendar[[#This Row],[Date]],BH!C:C,1,)&lt;&gt;"",1,0),0)</f>
        <v>0</v>
      </c>
      <c r="N3701">
        <f>IFERROR(IF(VLOOKUP(calendar[[#This Row],[Date]],BH!E:E,1,)&lt;&gt;"",1,0),0)</f>
        <v>0</v>
      </c>
      <c r="O3701">
        <f>IFERROR(IF(VLOOKUP(calendar[[#This Row],[Date]],BH!G:G,1,)&lt;&gt;"",1,0),0)</f>
        <v>0</v>
      </c>
      <c r="P3701">
        <f>IF(OR(calendar[[#This Row],[UK_BH]]=1,calendar[[#This Row],[WeekDay]]=1, calendar[[#This Row],[WeekDay]]=7),P3700,P3700+1)</f>
        <v>2626</v>
      </c>
      <c r="Q3701">
        <f>IF(OR(calendar[[#This Row],[FR_BH]]=1,calendar[[#This Row],[WeekDay]]=1, calendar[[#This Row],[WeekDay]]=7),P3700,P3700+1)</f>
        <v>2626</v>
      </c>
      <c r="R3701">
        <f>IF(OR(calendar[[#This Row],[SP_BH]]=1,calendar[[#This Row],[WeekDay]]=1, calendar[[#This Row],[WeekDay]]=7),P3700,P3700+1)</f>
        <v>2626</v>
      </c>
      <c r="S3701">
        <f>IF(OR(calendar[[#This Row],[PT_BH]]=1,calendar[[#This Row],[WeekDay]]=1, calendar[[#This Row],[WeekDay]]=7),P3700,P3700+1)</f>
        <v>2626</v>
      </c>
    </row>
    <row r="3702" spans="1:19" x14ac:dyDescent="0.25">
      <c r="A3702" s="2">
        <v>46436</v>
      </c>
      <c r="B3702" s="1">
        <f t="shared" si="291"/>
        <v>8</v>
      </c>
      <c r="C3702">
        <f t="shared" si="293"/>
        <v>2</v>
      </c>
      <c r="D3702" t="str">
        <f t="shared" si="294"/>
        <v>February</v>
      </c>
      <c r="E3702">
        <f t="shared" si="295"/>
        <v>2027</v>
      </c>
      <c r="F3702" t="str">
        <f>CONCATENATE(calendar[[#This Row],[Month]],"/",calendar[[#This Row],[Year]])</f>
        <v>2/2027</v>
      </c>
      <c r="G3702">
        <f>WEEKDAY(calendar[[#This Row],[Date]],1)</f>
        <v>5</v>
      </c>
      <c r="H3702" t="str">
        <f>TEXT(calendar[[#This Row],[WeekDay]],"dddd")</f>
        <v>Thursday</v>
      </c>
      <c r="I3702">
        <f>IF((INT(calendar[[#This Row],[Count]]/7)-calendar[[#This Row],[Count]]/7)&lt;0,I3701,I3701+1)</f>
        <v>529</v>
      </c>
      <c r="J3702">
        <f t="shared" si="292"/>
        <v>3700</v>
      </c>
      <c r="K3702">
        <f>IF(calendar[[#This Row],[Month]]&lt;4,1,IF(calendar[[#This Row],[Month]]&lt;7,2,IF(calendar[[#This Row],[Month]]&lt;10,3,4)))</f>
        <v>1</v>
      </c>
      <c r="L3702">
        <f>IFERROR(IF(VLOOKUP(calendar[[#This Row],[Date]],BH!A:A,1,)&lt;&gt;"",1,0),0)</f>
        <v>0</v>
      </c>
      <c r="M3702">
        <f>IFERROR(IF(VLOOKUP(calendar[[#This Row],[Date]],BH!C:C,1,)&lt;&gt;"",1,0),0)</f>
        <v>0</v>
      </c>
      <c r="N3702">
        <f>IFERROR(IF(VLOOKUP(calendar[[#This Row],[Date]],BH!E:E,1,)&lt;&gt;"",1,0),0)</f>
        <v>0</v>
      </c>
      <c r="O3702">
        <f>IFERROR(IF(VLOOKUP(calendar[[#This Row],[Date]],BH!G:G,1,)&lt;&gt;"",1,0),0)</f>
        <v>0</v>
      </c>
      <c r="P3702">
        <f>IF(OR(calendar[[#This Row],[UK_BH]]=1,calendar[[#This Row],[WeekDay]]=1, calendar[[#This Row],[WeekDay]]=7),P3701,P3701+1)</f>
        <v>2627</v>
      </c>
      <c r="Q3702">
        <f>IF(OR(calendar[[#This Row],[FR_BH]]=1,calendar[[#This Row],[WeekDay]]=1, calendar[[#This Row],[WeekDay]]=7),P3701,P3701+1)</f>
        <v>2627</v>
      </c>
      <c r="R3702">
        <f>IF(OR(calendar[[#This Row],[SP_BH]]=1,calendar[[#This Row],[WeekDay]]=1, calendar[[#This Row],[WeekDay]]=7),P3701,P3701+1)</f>
        <v>2627</v>
      </c>
      <c r="S3702">
        <f>IF(OR(calendar[[#This Row],[PT_BH]]=1,calendar[[#This Row],[WeekDay]]=1, calendar[[#This Row],[WeekDay]]=7),P3701,P3701+1)</f>
        <v>2627</v>
      </c>
    </row>
    <row r="3703" spans="1:19" x14ac:dyDescent="0.25">
      <c r="A3703" s="2">
        <v>46437</v>
      </c>
      <c r="B3703" s="1">
        <f t="shared" si="291"/>
        <v>8</v>
      </c>
      <c r="C3703">
        <f t="shared" si="293"/>
        <v>2</v>
      </c>
      <c r="D3703" t="str">
        <f t="shared" si="294"/>
        <v>February</v>
      </c>
      <c r="E3703">
        <f t="shared" si="295"/>
        <v>2027</v>
      </c>
      <c r="F3703" t="str">
        <f>CONCATENATE(calendar[[#This Row],[Month]],"/",calendar[[#This Row],[Year]])</f>
        <v>2/2027</v>
      </c>
      <c r="G3703">
        <f>WEEKDAY(calendar[[#This Row],[Date]],1)</f>
        <v>6</v>
      </c>
      <c r="H3703" t="str">
        <f>TEXT(calendar[[#This Row],[WeekDay]],"dddd")</f>
        <v>Friday</v>
      </c>
      <c r="I3703">
        <f>IF((INT(calendar[[#This Row],[Count]]/7)-calendar[[#This Row],[Count]]/7)&lt;0,I3702,I3702+1)</f>
        <v>529</v>
      </c>
      <c r="J3703">
        <f t="shared" si="292"/>
        <v>3701</v>
      </c>
      <c r="K3703">
        <f>IF(calendar[[#This Row],[Month]]&lt;4,1,IF(calendar[[#This Row],[Month]]&lt;7,2,IF(calendar[[#This Row],[Month]]&lt;10,3,4)))</f>
        <v>1</v>
      </c>
      <c r="L3703">
        <f>IFERROR(IF(VLOOKUP(calendar[[#This Row],[Date]],BH!A:A,1,)&lt;&gt;"",1,0),0)</f>
        <v>0</v>
      </c>
      <c r="M3703">
        <f>IFERROR(IF(VLOOKUP(calendar[[#This Row],[Date]],BH!C:C,1,)&lt;&gt;"",1,0),0)</f>
        <v>0</v>
      </c>
      <c r="N3703">
        <f>IFERROR(IF(VLOOKUP(calendar[[#This Row],[Date]],BH!E:E,1,)&lt;&gt;"",1,0),0)</f>
        <v>0</v>
      </c>
      <c r="O3703">
        <f>IFERROR(IF(VLOOKUP(calendar[[#This Row],[Date]],BH!G:G,1,)&lt;&gt;"",1,0),0)</f>
        <v>0</v>
      </c>
      <c r="P3703">
        <f>IF(OR(calendar[[#This Row],[UK_BH]]=1,calendar[[#This Row],[WeekDay]]=1, calendar[[#This Row],[WeekDay]]=7),P3702,P3702+1)</f>
        <v>2628</v>
      </c>
      <c r="Q3703">
        <f>IF(OR(calendar[[#This Row],[FR_BH]]=1,calendar[[#This Row],[WeekDay]]=1, calendar[[#This Row],[WeekDay]]=7),P3702,P3702+1)</f>
        <v>2628</v>
      </c>
      <c r="R3703">
        <f>IF(OR(calendar[[#This Row],[SP_BH]]=1,calendar[[#This Row],[WeekDay]]=1, calendar[[#This Row],[WeekDay]]=7),P3702,P3702+1)</f>
        <v>2628</v>
      </c>
      <c r="S3703">
        <f>IF(OR(calendar[[#This Row],[PT_BH]]=1,calendar[[#This Row],[WeekDay]]=1, calendar[[#This Row],[WeekDay]]=7),P3702,P3702+1)</f>
        <v>2628</v>
      </c>
    </row>
    <row r="3704" spans="1:19" x14ac:dyDescent="0.25">
      <c r="A3704" s="2">
        <v>46438</v>
      </c>
      <c r="B3704" s="1">
        <f t="shared" si="291"/>
        <v>8</v>
      </c>
      <c r="C3704">
        <f t="shared" si="293"/>
        <v>2</v>
      </c>
      <c r="D3704" t="str">
        <f t="shared" si="294"/>
        <v>February</v>
      </c>
      <c r="E3704">
        <f t="shared" si="295"/>
        <v>2027</v>
      </c>
      <c r="F3704" t="str">
        <f>CONCATENATE(calendar[[#This Row],[Month]],"/",calendar[[#This Row],[Year]])</f>
        <v>2/2027</v>
      </c>
      <c r="G3704">
        <f>WEEKDAY(calendar[[#This Row],[Date]],1)</f>
        <v>7</v>
      </c>
      <c r="H3704" t="str">
        <f>TEXT(calendar[[#This Row],[WeekDay]],"dddd")</f>
        <v>Saturday</v>
      </c>
      <c r="I3704">
        <f>IF((INT(calendar[[#This Row],[Count]]/7)-calendar[[#This Row],[Count]]/7)&lt;0,I3703,I3703+1)</f>
        <v>529</v>
      </c>
      <c r="J3704">
        <f t="shared" si="292"/>
        <v>3702</v>
      </c>
      <c r="K3704">
        <f>IF(calendar[[#This Row],[Month]]&lt;4,1,IF(calendar[[#This Row],[Month]]&lt;7,2,IF(calendar[[#This Row],[Month]]&lt;10,3,4)))</f>
        <v>1</v>
      </c>
      <c r="L3704">
        <f>IFERROR(IF(VLOOKUP(calendar[[#This Row],[Date]],BH!A:A,1,)&lt;&gt;"",1,0),0)</f>
        <v>0</v>
      </c>
      <c r="M3704">
        <f>IFERROR(IF(VLOOKUP(calendar[[#This Row],[Date]],BH!C:C,1,)&lt;&gt;"",1,0),0)</f>
        <v>0</v>
      </c>
      <c r="N3704">
        <f>IFERROR(IF(VLOOKUP(calendar[[#This Row],[Date]],BH!E:E,1,)&lt;&gt;"",1,0),0)</f>
        <v>0</v>
      </c>
      <c r="O3704">
        <f>IFERROR(IF(VLOOKUP(calendar[[#This Row],[Date]],BH!G:G,1,)&lt;&gt;"",1,0),0)</f>
        <v>0</v>
      </c>
      <c r="P3704">
        <f>IF(OR(calendar[[#This Row],[UK_BH]]=1,calendar[[#This Row],[WeekDay]]=1, calendar[[#This Row],[WeekDay]]=7),P3703,P3703+1)</f>
        <v>2628</v>
      </c>
      <c r="Q3704">
        <f>IF(OR(calendar[[#This Row],[FR_BH]]=1,calendar[[#This Row],[WeekDay]]=1, calendar[[#This Row],[WeekDay]]=7),P3703,P3703+1)</f>
        <v>2628</v>
      </c>
      <c r="R3704">
        <f>IF(OR(calendar[[#This Row],[SP_BH]]=1,calendar[[#This Row],[WeekDay]]=1, calendar[[#This Row],[WeekDay]]=7),P3703,P3703+1)</f>
        <v>2628</v>
      </c>
      <c r="S3704">
        <f>IF(OR(calendar[[#This Row],[PT_BH]]=1,calendar[[#This Row],[WeekDay]]=1, calendar[[#This Row],[WeekDay]]=7),P3703,P3703+1)</f>
        <v>2628</v>
      </c>
    </row>
    <row r="3705" spans="1:19" x14ac:dyDescent="0.25">
      <c r="A3705" s="2">
        <v>46439</v>
      </c>
      <c r="B3705" s="1">
        <f t="shared" si="291"/>
        <v>9</v>
      </c>
      <c r="C3705">
        <f t="shared" si="293"/>
        <v>2</v>
      </c>
      <c r="D3705" t="str">
        <f t="shared" si="294"/>
        <v>February</v>
      </c>
      <c r="E3705">
        <f t="shared" si="295"/>
        <v>2027</v>
      </c>
      <c r="F3705" t="str">
        <f>CONCATENATE(calendar[[#This Row],[Month]],"/",calendar[[#This Row],[Year]])</f>
        <v>2/2027</v>
      </c>
      <c r="G3705">
        <f>WEEKDAY(calendar[[#This Row],[Date]],1)</f>
        <v>1</v>
      </c>
      <c r="H3705" t="str">
        <f>TEXT(calendar[[#This Row],[WeekDay]],"dddd")</f>
        <v>Sunday</v>
      </c>
      <c r="I3705">
        <f>IF((INT(calendar[[#This Row],[Count]]/7)-calendar[[#This Row],[Count]]/7)&lt;0,I3704,I3704+1)</f>
        <v>530</v>
      </c>
      <c r="J3705">
        <f t="shared" si="292"/>
        <v>3703</v>
      </c>
      <c r="K3705">
        <f>IF(calendar[[#This Row],[Month]]&lt;4,1,IF(calendar[[#This Row],[Month]]&lt;7,2,IF(calendar[[#This Row],[Month]]&lt;10,3,4)))</f>
        <v>1</v>
      </c>
      <c r="L3705">
        <f>IFERROR(IF(VLOOKUP(calendar[[#This Row],[Date]],BH!A:A,1,)&lt;&gt;"",1,0),0)</f>
        <v>0</v>
      </c>
      <c r="M3705">
        <f>IFERROR(IF(VLOOKUP(calendar[[#This Row],[Date]],BH!C:C,1,)&lt;&gt;"",1,0),0)</f>
        <v>0</v>
      </c>
      <c r="N3705">
        <f>IFERROR(IF(VLOOKUP(calendar[[#This Row],[Date]],BH!E:E,1,)&lt;&gt;"",1,0),0)</f>
        <v>0</v>
      </c>
      <c r="O3705">
        <f>IFERROR(IF(VLOOKUP(calendar[[#This Row],[Date]],BH!G:G,1,)&lt;&gt;"",1,0),0)</f>
        <v>0</v>
      </c>
      <c r="P3705">
        <f>IF(OR(calendar[[#This Row],[UK_BH]]=1,calendar[[#This Row],[WeekDay]]=1, calendar[[#This Row],[WeekDay]]=7),P3704,P3704+1)</f>
        <v>2628</v>
      </c>
      <c r="Q3705">
        <f>IF(OR(calendar[[#This Row],[FR_BH]]=1,calendar[[#This Row],[WeekDay]]=1, calendar[[#This Row],[WeekDay]]=7),P3704,P3704+1)</f>
        <v>2628</v>
      </c>
      <c r="R3705">
        <f>IF(OR(calendar[[#This Row],[SP_BH]]=1,calendar[[#This Row],[WeekDay]]=1, calendar[[#This Row],[WeekDay]]=7),P3704,P3704+1)</f>
        <v>2628</v>
      </c>
      <c r="S3705">
        <f>IF(OR(calendar[[#This Row],[PT_BH]]=1,calendar[[#This Row],[WeekDay]]=1, calendar[[#This Row],[WeekDay]]=7),P3704,P3704+1)</f>
        <v>2628</v>
      </c>
    </row>
    <row r="3706" spans="1:19" x14ac:dyDescent="0.25">
      <c r="A3706" s="2">
        <v>46440</v>
      </c>
      <c r="B3706" s="1">
        <f t="shared" si="291"/>
        <v>9</v>
      </c>
      <c r="C3706">
        <f t="shared" si="293"/>
        <v>2</v>
      </c>
      <c r="D3706" t="str">
        <f t="shared" si="294"/>
        <v>February</v>
      </c>
      <c r="E3706">
        <f t="shared" si="295"/>
        <v>2027</v>
      </c>
      <c r="F3706" t="str">
        <f>CONCATENATE(calendar[[#This Row],[Month]],"/",calendar[[#This Row],[Year]])</f>
        <v>2/2027</v>
      </c>
      <c r="G3706">
        <f>WEEKDAY(calendar[[#This Row],[Date]],1)</f>
        <v>2</v>
      </c>
      <c r="H3706" t="str">
        <f>TEXT(calendar[[#This Row],[WeekDay]],"dddd")</f>
        <v>Monday</v>
      </c>
      <c r="I3706">
        <f>IF((INT(calendar[[#This Row],[Count]]/7)-calendar[[#This Row],[Count]]/7)&lt;0,I3705,I3705+1)</f>
        <v>530</v>
      </c>
      <c r="J3706">
        <f t="shared" si="292"/>
        <v>3704</v>
      </c>
      <c r="K3706">
        <f>IF(calendar[[#This Row],[Month]]&lt;4,1,IF(calendar[[#This Row],[Month]]&lt;7,2,IF(calendar[[#This Row],[Month]]&lt;10,3,4)))</f>
        <v>1</v>
      </c>
      <c r="L3706">
        <f>IFERROR(IF(VLOOKUP(calendar[[#This Row],[Date]],BH!A:A,1,)&lt;&gt;"",1,0),0)</f>
        <v>0</v>
      </c>
      <c r="M3706">
        <f>IFERROR(IF(VLOOKUP(calendar[[#This Row],[Date]],BH!C:C,1,)&lt;&gt;"",1,0),0)</f>
        <v>0</v>
      </c>
      <c r="N3706">
        <f>IFERROR(IF(VLOOKUP(calendar[[#This Row],[Date]],BH!E:E,1,)&lt;&gt;"",1,0),0)</f>
        <v>0</v>
      </c>
      <c r="O3706">
        <f>IFERROR(IF(VLOOKUP(calendar[[#This Row],[Date]],BH!G:G,1,)&lt;&gt;"",1,0),0)</f>
        <v>0</v>
      </c>
      <c r="P3706">
        <f>IF(OR(calendar[[#This Row],[UK_BH]]=1,calendar[[#This Row],[WeekDay]]=1, calendar[[#This Row],[WeekDay]]=7),P3705,P3705+1)</f>
        <v>2629</v>
      </c>
      <c r="Q3706">
        <f>IF(OR(calendar[[#This Row],[FR_BH]]=1,calendar[[#This Row],[WeekDay]]=1, calendar[[#This Row],[WeekDay]]=7),P3705,P3705+1)</f>
        <v>2629</v>
      </c>
      <c r="R3706">
        <f>IF(OR(calendar[[#This Row],[SP_BH]]=1,calendar[[#This Row],[WeekDay]]=1, calendar[[#This Row],[WeekDay]]=7),P3705,P3705+1)</f>
        <v>2629</v>
      </c>
      <c r="S3706">
        <f>IF(OR(calendar[[#This Row],[PT_BH]]=1,calendar[[#This Row],[WeekDay]]=1, calendar[[#This Row],[WeekDay]]=7),P3705,P3705+1)</f>
        <v>2629</v>
      </c>
    </row>
    <row r="3707" spans="1:19" x14ac:dyDescent="0.25">
      <c r="A3707" s="2">
        <v>46441</v>
      </c>
      <c r="B3707" s="1">
        <f t="shared" si="291"/>
        <v>9</v>
      </c>
      <c r="C3707">
        <f t="shared" si="293"/>
        <v>2</v>
      </c>
      <c r="D3707" t="str">
        <f t="shared" si="294"/>
        <v>February</v>
      </c>
      <c r="E3707">
        <f t="shared" si="295"/>
        <v>2027</v>
      </c>
      <c r="F3707" t="str">
        <f>CONCATENATE(calendar[[#This Row],[Month]],"/",calendar[[#This Row],[Year]])</f>
        <v>2/2027</v>
      </c>
      <c r="G3707">
        <f>WEEKDAY(calendar[[#This Row],[Date]],1)</f>
        <v>3</v>
      </c>
      <c r="H3707" t="str">
        <f>TEXT(calendar[[#This Row],[WeekDay]],"dddd")</f>
        <v>Tuesday</v>
      </c>
      <c r="I3707">
        <f>IF((INT(calendar[[#This Row],[Count]]/7)-calendar[[#This Row],[Count]]/7)&lt;0,I3706,I3706+1)</f>
        <v>530</v>
      </c>
      <c r="J3707">
        <f t="shared" si="292"/>
        <v>3705</v>
      </c>
      <c r="K3707">
        <f>IF(calendar[[#This Row],[Month]]&lt;4,1,IF(calendar[[#This Row],[Month]]&lt;7,2,IF(calendar[[#This Row],[Month]]&lt;10,3,4)))</f>
        <v>1</v>
      </c>
      <c r="L3707">
        <f>IFERROR(IF(VLOOKUP(calendar[[#This Row],[Date]],BH!A:A,1,)&lt;&gt;"",1,0),0)</f>
        <v>0</v>
      </c>
      <c r="M3707">
        <f>IFERROR(IF(VLOOKUP(calendar[[#This Row],[Date]],BH!C:C,1,)&lt;&gt;"",1,0),0)</f>
        <v>0</v>
      </c>
      <c r="N3707">
        <f>IFERROR(IF(VLOOKUP(calendar[[#This Row],[Date]],BH!E:E,1,)&lt;&gt;"",1,0),0)</f>
        <v>0</v>
      </c>
      <c r="O3707">
        <f>IFERROR(IF(VLOOKUP(calendar[[#This Row],[Date]],BH!G:G,1,)&lt;&gt;"",1,0),0)</f>
        <v>0</v>
      </c>
      <c r="P3707">
        <f>IF(OR(calendar[[#This Row],[UK_BH]]=1,calendar[[#This Row],[WeekDay]]=1, calendar[[#This Row],[WeekDay]]=7),P3706,P3706+1)</f>
        <v>2630</v>
      </c>
      <c r="Q3707">
        <f>IF(OR(calendar[[#This Row],[FR_BH]]=1,calendar[[#This Row],[WeekDay]]=1, calendar[[#This Row],[WeekDay]]=7),P3706,P3706+1)</f>
        <v>2630</v>
      </c>
      <c r="R3707">
        <f>IF(OR(calendar[[#This Row],[SP_BH]]=1,calendar[[#This Row],[WeekDay]]=1, calendar[[#This Row],[WeekDay]]=7),P3706,P3706+1)</f>
        <v>2630</v>
      </c>
      <c r="S3707">
        <f>IF(OR(calendar[[#This Row],[PT_BH]]=1,calendar[[#This Row],[WeekDay]]=1, calendar[[#This Row],[WeekDay]]=7),P3706,P3706+1)</f>
        <v>2630</v>
      </c>
    </row>
    <row r="3708" spans="1:19" x14ac:dyDescent="0.25">
      <c r="A3708" s="2">
        <v>46442</v>
      </c>
      <c r="B3708" s="1">
        <f t="shared" si="291"/>
        <v>9</v>
      </c>
      <c r="C3708">
        <f t="shared" si="293"/>
        <v>2</v>
      </c>
      <c r="D3708" t="str">
        <f t="shared" si="294"/>
        <v>February</v>
      </c>
      <c r="E3708">
        <f t="shared" si="295"/>
        <v>2027</v>
      </c>
      <c r="F3708" t="str">
        <f>CONCATENATE(calendar[[#This Row],[Month]],"/",calendar[[#This Row],[Year]])</f>
        <v>2/2027</v>
      </c>
      <c r="G3708">
        <f>WEEKDAY(calendar[[#This Row],[Date]],1)</f>
        <v>4</v>
      </c>
      <c r="H3708" t="str">
        <f>TEXT(calendar[[#This Row],[WeekDay]],"dddd")</f>
        <v>Wednesday</v>
      </c>
      <c r="I3708">
        <f>IF((INT(calendar[[#This Row],[Count]]/7)-calendar[[#This Row],[Count]]/7)&lt;0,I3707,I3707+1)</f>
        <v>530</v>
      </c>
      <c r="J3708">
        <f t="shared" si="292"/>
        <v>3706</v>
      </c>
      <c r="K3708">
        <f>IF(calendar[[#This Row],[Month]]&lt;4,1,IF(calendar[[#This Row],[Month]]&lt;7,2,IF(calendar[[#This Row],[Month]]&lt;10,3,4)))</f>
        <v>1</v>
      </c>
      <c r="L3708">
        <f>IFERROR(IF(VLOOKUP(calendar[[#This Row],[Date]],BH!A:A,1,)&lt;&gt;"",1,0),0)</f>
        <v>0</v>
      </c>
      <c r="M3708">
        <f>IFERROR(IF(VLOOKUP(calendar[[#This Row],[Date]],BH!C:C,1,)&lt;&gt;"",1,0),0)</f>
        <v>0</v>
      </c>
      <c r="N3708">
        <f>IFERROR(IF(VLOOKUP(calendar[[#This Row],[Date]],BH!E:E,1,)&lt;&gt;"",1,0),0)</f>
        <v>0</v>
      </c>
      <c r="O3708">
        <f>IFERROR(IF(VLOOKUP(calendar[[#This Row],[Date]],BH!G:G,1,)&lt;&gt;"",1,0),0)</f>
        <v>0</v>
      </c>
      <c r="P3708">
        <f>IF(OR(calendar[[#This Row],[UK_BH]]=1,calendar[[#This Row],[WeekDay]]=1, calendar[[#This Row],[WeekDay]]=7),P3707,P3707+1)</f>
        <v>2631</v>
      </c>
      <c r="Q3708">
        <f>IF(OR(calendar[[#This Row],[FR_BH]]=1,calendar[[#This Row],[WeekDay]]=1, calendar[[#This Row],[WeekDay]]=7),P3707,P3707+1)</f>
        <v>2631</v>
      </c>
      <c r="R3708">
        <f>IF(OR(calendar[[#This Row],[SP_BH]]=1,calendar[[#This Row],[WeekDay]]=1, calendar[[#This Row],[WeekDay]]=7),P3707,P3707+1)</f>
        <v>2631</v>
      </c>
      <c r="S3708">
        <f>IF(OR(calendar[[#This Row],[PT_BH]]=1,calendar[[#This Row],[WeekDay]]=1, calendar[[#This Row],[WeekDay]]=7),P3707,P3707+1)</f>
        <v>2631</v>
      </c>
    </row>
    <row r="3709" spans="1:19" x14ac:dyDescent="0.25">
      <c r="A3709" s="2">
        <v>46443</v>
      </c>
      <c r="B3709" s="1">
        <f t="shared" si="291"/>
        <v>9</v>
      </c>
      <c r="C3709">
        <f t="shared" si="293"/>
        <v>2</v>
      </c>
      <c r="D3709" t="str">
        <f t="shared" si="294"/>
        <v>February</v>
      </c>
      <c r="E3709">
        <f t="shared" si="295"/>
        <v>2027</v>
      </c>
      <c r="F3709" t="str">
        <f>CONCATENATE(calendar[[#This Row],[Month]],"/",calendar[[#This Row],[Year]])</f>
        <v>2/2027</v>
      </c>
      <c r="G3709">
        <f>WEEKDAY(calendar[[#This Row],[Date]],1)</f>
        <v>5</v>
      </c>
      <c r="H3709" t="str">
        <f>TEXT(calendar[[#This Row],[WeekDay]],"dddd")</f>
        <v>Thursday</v>
      </c>
      <c r="I3709">
        <f>IF((INT(calendar[[#This Row],[Count]]/7)-calendar[[#This Row],[Count]]/7)&lt;0,I3708,I3708+1)</f>
        <v>530</v>
      </c>
      <c r="J3709">
        <f t="shared" si="292"/>
        <v>3707</v>
      </c>
      <c r="K3709">
        <f>IF(calendar[[#This Row],[Month]]&lt;4,1,IF(calendar[[#This Row],[Month]]&lt;7,2,IF(calendar[[#This Row],[Month]]&lt;10,3,4)))</f>
        <v>1</v>
      </c>
      <c r="L3709">
        <f>IFERROR(IF(VLOOKUP(calendar[[#This Row],[Date]],BH!A:A,1,)&lt;&gt;"",1,0),0)</f>
        <v>0</v>
      </c>
      <c r="M3709">
        <f>IFERROR(IF(VLOOKUP(calendar[[#This Row],[Date]],BH!C:C,1,)&lt;&gt;"",1,0),0)</f>
        <v>0</v>
      </c>
      <c r="N3709">
        <f>IFERROR(IF(VLOOKUP(calendar[[#This Row],[Date]],BH!E:E,1,)&lt;&gt;"",1,0),0)</f>
        <v>0</v>
      </c>
      <c r="O3709">
        <f>IFERROR(IF(VLOOKUP(calendar[[#This Row],[Date]],BH!G:G,1,)&lt;&gt;"",1,0),0)</f>
        <v>0</v>
      </c>
      <c r="P3709">
        <f>IF(OR(calendar[[#This Row],[UK_BH]]=1,calendar[[#This Row],[WeekDay]]=1, calendar[[#This Row],[WeekDay]]=7),P3708,P3708+1)</f>
        <v>2632</v>
      </c>
      <c r="Q3709">
        <f>IF(OR(calendar[[#This Row],[FR_BH]]=1,calendar[[#This Row],[WeekDay]]=1, calendar[[#This Row],[WeekDay]]=7),P3708,P3708+1)</f>
        <v>2632</v>
      </c>
      <c r="R3709">
        <f>IF(OR(calendar[[#This Row],[SP_BH]]=1,calendar[[#This Row],[WeekDay]]=1, calendar[[#This Row],[WeekDay]]=7),P3708,P3708+1)</f>
        <v>2632</v>
      </c>
      <c r="S3709">
        <f>IF(OR(calendar[[#This Row],[PT_BH]]=1,calendar[[#This Row],[WeekDay]]=1, calendar[[#This Row],[WeekDay]]=7),P3708,P3708+1)</f>
        <v>2632</v>
      </c>
    </row>
    <row r="3710" spans="1:19" x14ac:dyDescent="0.25">
      <c r="A3710" s="2">
        <v>46444</v>
      </c>
      <c r="B3710" s="1">
        <f t="shared" si="291"/>
        <v>9</v>
      </c>
      <c r="C3710">
        <f t="shared" si="293"/>
        <v>2</v>
      </c>
      <c r="D3710" t="str">
        <f t="shared" si="294"/>
        <v>February</v>
      </c>
      <c r="E3710">
        <f t="shared" si="295"/>
        <v>2027</v>
      </c>
      <c r="F3710" t="str">
        <f>CONCATENATE(calendar[[#This Row],[Month]],"/",calendar[[#This Row],[Year]])</f>
        <v>2/2027</v>
      </c>
      <c r="G3710">
        <f>WEEKDAY(calendar[[#This Row],[Date]],1)</f>
        <v>6</v>
      </c>
      <c r="H3710" t="str">
        <f>TEXT(calendar[[#This Row],[WeekDay]],"dddd")</f>
        <v>Friday</v>
      </c>
      <c r="I3710">
        <f>IF((INT(calendar[[#This Row],[Count]]/7)-calendar[[#This Row],[Count]]/7)&lt;0,I3709,I3709+1)</f>
        <v>530</v>
      </c>
      <c r="J3710">
        <f t="shared" si="292"/>
        <v>3708</v>
      </c>
      <c r="K3710">
        <f>IF(calendar[[#This Row],[Month]]&lt;4,1,IF(calendar[[#This Row],[Month]]&lt;7,2,IF(calendar[[#This Row],[Month]]&lt;10,3,4)))</f>
        <v>1</v>
      </c>
      <c r="L3710">
        <f>IFERROR(IF(VLOOKUP(calendar[[#This Row],[Date]],BH!A:A,1,)&lt;&gt;"",1,0),0)</f>
        <v>0</v>
      </c>
      <c r="M3710">
        <f>IFERROR(IF(VLOOKUP(calendar[[#This Row],[Date]],BH!C:C,1,)&lt;&gt;"",1,0),0)</f>
        <v>0</v>
      </c>
      <c r="N3710">
        <f>IFERROR(IF(VLOOKUP(calendar[[#This Row],[Date]],BH!E:E,1,)&lt;&gt;"",1,0),0)</f>
        <v>0</v>
      </c>
      <c r="O3710">
        <f>IFERROR(IF(VLOOKUP(calendar[[#This Row],[Date]],BH!G:G,1,)&lt;&gt;"",1,0),0)</f>
        <v>0</v>
      </c>
      <c r="P3710">
        <f>IF(OR(calendar[[#This Row],[UK_BH]]=1,calendar[[#This Row],[WeekDay]]=1, calendar[[#This Row],[WeekDay]]=7),P3709,P3709+1)</f>
        <v>2633</v>
      </c>
      <c r="Q3710">
        <f>IF(OR(calendar[[#This Row],[FR_BH]]=1,calendar[[#This Row],[WeekDay]]=1, calendar[[#This Row],[WeekDay]]=7),P3709,P3709+1)</f>
        <v>2633</v>
      </c>
      <c r="R3710">
        <f>IF(OR(calendar[[#This Row],[SP_BH]]=1,calendar[[#This Row],[WeekDay]]=1, calendar[[#This Row],[WeekDay]]=7),P3709,P3709+1)</f>
        <v>2633</v>
      </c>
      <c r="S3710">
        <f>IF(OR(calendar[[#This Row],[PT_BH]]=1,calendar[[#This Row],[WeekDay]]=1, calendar[[#This Row],[WeekDay]]=7),P3709,P3709+1)</f>
        <v>2633</v>
      </c>
    </row>
    <row r="3711" spans="1:19" x14ac:dyDescent="0.25">
      <c r="A3711" s="2">
        <v>46445</v>
      </c>
      <c r="B3711" s="1">
        <f t="shared" si="291"/>
        <v>9</v>
      </c>
      <c r="C3711">
        <f t="shared" si="293"/>
        <v>2</v>
      </c>
      <c r="D3711" t="str">
        <f t="shared" si="294"/>
        <v>February</v>
      </c>
      <c r="E3711">
        <f t="shared" si="295"/>
        <v>2027</v>
      </c>
      <c r="F3711" t="str">
        <f>CONCATENATE(calendar[[#This Row],[Month]],"/",calendar[[#This Row],[Year]])</f>
        <v>2/2027</v>
      </c>
      <c r="G3711">
        <f>WEEKDAY(calendar[[#This Row],[Date]],1)</f>
        <v>7</v>
      </c>
      <c r="H3711" t="str">
        <f>TEXT(calendar[[#This Row],[WeekDay]],"dddd")</f>
        <v>Saturday</v>
      </c>
      <c r="I3711">
        <f>IF((INT(calendar[[#This Row],[Count]]/7)-calendar[[#This Row],[Count]]/7)&lt;0,I3710,I3710+1)</f>
        <v>530</v>
      </c>
      <c r="J3711">
        <f t="shared" si="292"/>
        <v>3709</v>
      </c>
      <c r="K3711">
        <f>IF(calendar[[#This Row],[Month]]&lt;4,1,IF(calendar[[#This Row],[Month]]&lt;7,2,IF(calendar[[#This Row],[Month]]&lt;10,3,4)))</f>
        <v>1</v>
      </c>
      <c r="L3711">
        <f>IFERROR(IF(VLOOKUP(calendar[[#This Row],[Date]],BH!A:A,1,)&lt;&gt;"",1,0),0)</f>
        <v>0</v>
      </c>
      <c r="M3711">
        <f>IFERROR(IF(VLOOKUP(calendar[[#This Row],[Date]],BH!C:C,1,)&lt;&gt;"",1,0),0)</f>
        <v>0</v>
      </c>
      <c r="N3711">
        <f>IFERROR(IF(VLOOKUP(calendar[[#This Row],[Date]],BH!E:E,1,)&lt;&gt;"",1,0),0)</f>
        <v>0</v>
      </c>
      <c r="O3711">
        <f>IFERROR(IF(VLOOKUP(calendar[[#This Row],[Date]],BH!G:G,1,)&lt;&gt;"",1,0),0)</f>
        <v>0</v>
      </c>
      <c r="P3711">
        <f>IF(OR(calendar[[#This Row],[UK_BH]]=1,calendar[[#This Row],[WeekDay]]=1, calendar[[#This Row],[WeekDay]]=7),P3710,P3710+1)</f>
        <v>2633</v>
      </c>
      <c r="Q3711">
        <f>IF(OR(calendar[[#This Row],[FR_BH]]=1,calendar[[#This Row],[WeekDay]]=1, calendar[[#This Row],[WeekDay]]=7),P3710,P3710+1)</f>
        <v>2633</v>
      </c>
      <c r="R3711">
        <f>IF(OR(calendar[[#This Row],[SP_BH]]=1,calendar[[#This Row],[WeekDay]]=1, calendar[[#This Row],[WeekDay]]=7),P3710,P3710+1)</f>
        <v>2633</v>
      </c>
      <c r="S3711">
        <f>IF(OR(calendar[[#This Row],[PT_BH]]=1,calendar[[#This Row],[WeekDay]]=1, calendar[[#This Row],[WeekDay]]=7),P3710,P3710+1)</f>
        <v>2633</v>
      </c>
    </row>
    <row r="3712" spans="1:19" x14ac:dyDescent="0.25">
      <c r="A3712" s="2">
        <v>46446</v>
      </c>
      <c r="B3712" s="1">
        <f t="shared" si="291"/>
        <v>10</v>
      </c>
      <c r="C3712">
        <f t="shared" si="293"/>
        <v>2</v>
      </c>
      <c r="D3712" t="str">
        <f t="shared" si="294"/>
        <v>February</v>
      </c>
      <c r="E3712">
        <f t="shared" si="295"/>
        <v>2027</v>
      </c>
      <c r="F3712" t="str">
        <f>CONCATENATE(calendar[[#This Row],[Month]],"/",calendar[[#This Row],[Year]])</f>
        <v>2/2027</v>
      </c>
      <c r="G3712">
        <f>WEEKDAY(calendar[[#This Row],[Date]],1)</f>
        <v>1</v>
      </c>
      <c r="H3712" t="str">
        <f>TEXT(calendar[[#This Row],[WeekDay]],"dddd")</f>
        <v>Sunday</v>
      </c>
      <c r="I3712">
        <f>IF((INT(calendar[[#This Row],[Count]]/7)-calendar[[#This Row],[Count]]/7)&lt;0,I3711,I3711+1)</f>
        <v>531</v>
      </c>
      <c r="J3712">
        <f t="shared" si="292"/>
        <v>3710</v>
      </c>
      <c r="K3712">
        <f>IF(calendar[[#This Row],[Month]]&lt;4,1,IF(calendar[[#This Row],[Month]]&lt;7,2,IF(calendar[[#This Row],[Month]]&lt;10,3,4)))</f>
        <v>1</v>
      </c>
      <c r="L3712">
        <f>IFERROR(IF(VLOOKUP(calendar[[#This Row],[Date]],BH!A:A,1,)&lt;&gt;"",1,0),0)</f>
        <v>0</v>
      </c>
      <c r="M3712">
        <f>IFERROR(IF(VLOOKUP(calendar[[#This Row],[Date]],BH!C:C,1,)&lt;&gt;"",1,0),0)</f>
        <v>0</v>
      </c>
      <c r="N3712">
        <f>IFERROR(IF(VLOOKUP(calendar[[#This Row],[Date]],BH!E:E,1,)&lt;&gt;"",1,0),0)</f>
        <v>0</v>
      </c>
      <c r="O3712">
        <f>IFERROR(IF(VLOOKUP(calendar[[#This Row],[Date]],BH!G:G,1,)&lt;&gt;"",1,0),0)</f>
        <v>0</v>
      </c>
      <c r="P3712">
        <f>IF(OR(calendar[[#This Row],[UK_BH]]=1,calendar[[#This Row],[WeekDay]]=1, calendar[[#This Row],[WeekDay]]=7),P3711,P3711+1)</f>
        <v>2633</v>
      </c>
      <c r="Q3712">
        <f>IF(OR(calendar[[#This Row],[FR_BH]]=1,calendar[[#This Row],[WeekDay]]=1, calendar[[#This Row],[WeekDay]]=7),P3711,P3711+1)</f>
        <v>2633</v>
      </c>
      <c r="R3712">
        <f>IF(OR(calendar[[#This Row],[SP_BH]]=1,calendar[[#This Row],[WeekDay]]=1, calendar[[#This Row],[WeekDay]]=7),P3711,P3711+1)</f>
        <v>2633</v>
      </c>
      <c r="S3712">
        <f>IF(OR(calendar[[#This Row],[PT_BH]]=1,calendar[[#This Row],[WeekDay]]=1, calendar[[#This Row],[WeekDay]]=7),P3711,P3711+1)</f>
        <v>2633</v>
      </c>
    </row>
    <row r="3713" spans="1:19" x14ac:dyDescent="0.25">
      <c r="A3713" s="2">
        <v>46447</v>
      </c>
      <c r="B3713" s="1">
        <f t="shared" si="291"/>
        <v>10</v>
      </c>
      <c r="C3713">
        <f t="shared" si="293"/>
        <v>3</v>
      </c>
      <c r="D3713" t="str">
        <f t="shared" si="294"/>
        <v>March</v>
      </c>
      <c r="E3713">
        <f t="shared" si="295"/>
        <v>2027</v>
      </c>
      <c r="F3713" t="str">
        <f>CONCATENATE(calendar[[#This Row],[Month]],"/",calendar[[#This Row],[Year]])</f>
        <v>3/2027</v>
      </c>
      <c r="G3713">
        <f>WEEKDAY(calendar[[#This Row],[Date]],1)</f>
        <v>2</v>
      </c>
      <c r="H3713" t="str">
        <f>TEXT(calendar[[#This Row],[WeekDay]],"dddd")</f>
        <v>Monday</v>
      </c>
      <c r="I3713">
        <f>IF((INT(calendar[[#This Row],[Count]]/7)-calendar[[#This Row],[Count]]/7)&lt;0,I3712,I3712+1)</f>
        <v>531</v>
      </c>
      <c r="J3713">
        <f t="shared" si="292"/>
        <v>3711</v>
      </c>
      <c r="K3713">
        <f>IF(calendar[[#This Row],[Month]]&lt;4,1,IF(calendar[[#This Row],[Month]]&lt;7,2,IF(calendar[[#This Row],[Month]]&lt;10,3,4)))</f>
        <v>1</v>
      </c>
      <c r="L3713">
        <f>IFERROR(IF(VLOOKUP(calendar[[#This Row],[Date]],BH!A:A,1,)&lt;&gt;"",1,0),0)</f>
        <v>0</v>
      </c>
      <c r="M3713">
        <f>IFERROR(IF(VLOOKUP(calendar[[#This Row],[Date]],BH!C:C,1,)&lt;&gt;"",1,0),0)</f>
        <v>0</v>
      </c>
      <c r="N3713">
        <f>IFERROR(IF(VLOOKUP(calendar[[#This Row],[Date]],BH!E:E,1,)&lt;&gt;"",1,0),0)</f>
        <v>1</v>
      </c>
      <c r="O3713">
        <f>IFERROR(IF(VLOOKUP(calendar[[#This Row],[Date]],BH!G:G,1,)&lt;&gt;"",1,0),0)</f>
        <v>0</v>
      </c>
      <c r="P3713">
        <f>IF(OR(calendar[[#This Row],[UK_BH]]=1,calendar[[#This Row],[WeekDay]]=1, calendar[[#This Row],[WeekDay]]=7),P3712,P3712+1)</f>
        <v>2634</v>
      </c>
      <c r="Q3713">
        <f>IF(OR(calendar[[#This Row],[FR_BH]]=1,calendar[[#This Row],[WeekDay]]=1, calendar[[#This Row],[WeekDay]]=7),P3712,P3712+1)</f>
        <v>2634</v>
      </c>
      <c r="R3713">
        <f>IF(OR(calendar[[#This Row],[SP_BH]]=1,calendar[[#This Row],[WeekDay]]=1, calendar[[#This Row],[WeekDay]]=7),P3712,P3712+1)</f>
        <v>2633</v>
      </c>
      <c r="S3713">
        <f>IF(OR(calendar[[#This Row],[PT_BH]]=1,calendar[[#This Row],[WeekDay]]=1, calendar[[#This Row],[WeekDay]]=7),P3712,P3712+1)</f>
        <v>2634</v>
      </c>
    </row>
    <row r="3714" spans="1:19" x14ac:dyDescent="0.25">
      <c r="A3714" s="2">
        <v>46448</v>
      </c>
      <c r="B3714" s="1">
        <f t="shared" ref="B3714:B3777" si="296">WEEKNUM(A3714)</f>
        <v>10</v>
      </c>
      <c r="C3714">
        <f t="shared" si="293"/>
        <v>3</v>
      </c>
      <c r="D3714" t="str">
        <f t="shared" si="294"/>
        <v>March</v>
      </c>
      <c r="E3714">
        <f t="shared" si="295"/>
        <v>2027</v>
      </c>
      <c r="F3714" t="str">
        <f>CONCATENATE(calendar[[#This Row],[Month]],"/",calendar[[#This Row],[Year]])</f>
        <v>3/2027</v>
      </c>
      <c r="G3714">
        <f>WEEKDAY(calendar[[#This Row],[Date]],1)</f>
        <v>3</v>
      </c>
      <c r="H3714" t="str">
        <f>TEXT(calendar[[#This Row],[WeekDay]],"dddd")</f>
        <v>Tuesday</v>
      </c>
      <c r="I3714">
        <f>IF((INT(calendar[[#This Row],[Count]]/7)-calendar[[#This Row],[Count]]/7)&lt;0,I3713,I3713+1)</f>
        <v>531</v>
      </c>
      <c r="J3714">
        <f t="shared" si="292"/>
        <v>3712</v>
      </c>
      <c r="K3714">
        <f>IF(calendar[[#This Row],[Month]]&lt;4,1,IF(calendar[[#This Row],[Month]]&lt;7,2,IF(calendar[[#This Row],[Month]]&lt;10,3,4)))</f>
        <v>1</v>
      </c>
      <c r="L3714">
        <f>IFERROR(IF(VLOOKUP(calendar[[#This Row],[Date]],BH!A:A,1,)&lt;&gt;"",1,0),0)</f>
        <v>0</v>
      </c>
      <c r="M3714">
        <f>IFERROR(IF(VLOOKUP(calendar[[#This Row],[Date]],BH!C:C,1,)&lt;&gt;"",1,0),0)</f>
        <v>0</v>
      </c>
      <c r="N3714">
        <f>IFERROR(IF(VLOOKUP(calendar[[#This Row],[Date]],BH!E:E,1,)&lt;&gt;"",1,0),0)</f>
        <v>0</v>
      </c>
      <c r="O3714">
        <f>IFERROR(IF(VLOOKUP(calendar[[#This Row],[Date]],BH!G:G,1,)&lt;&gt;"",1,0),0)</f>
        <v>0</v>
      </c>
      <c r="P3714">
        <f>IF(OR(calendar[[#This Row],[UK_BH]]=1,calendar[[#This Row],[WeekDay]]=1, calendar[[#This Row],[WeekDay]]=7),P3713,P3713+1)</f>
        <v>2635</v>
      </c>
      <c r="Q3714">
        <f>IF(OR(calendar[[#This Row],[FR_BH]]=1,calendar[[#This Row],[WeekDay]]=1, calendar[[#This Row],[WeekDay]]=7),P3713,P3713+1)</f>
        <v>2635</v>
      </c>
      <c r="R3714">
        <f>IF(OR(calendar[[#This Row],[SP_BH]]=1,calendar[[#This Row],[WeekDay]]=1, calendar[[#This Row],[WeekDay]]=7),P3713,P3713+1)</f>
        <v>2635</v>
      </c>
      <c r="S3714">
        <f>IF(OR(calendar[[#This Row],[PT_BH]]=1,calendar[[#This Row],[WeekDay]]=1, calendar[[#This Row],[WeekDay]]=7),P3713,P3713+1)</f>
        <v>2635</v>
      </c>
    </row>
    <row r="3715" spans="1:19" x14ac:dyDescent="0.25">
      <c r="A3715" s="2">
        <v>46449</v>
      </c>
      <c r="B3715" s="1">
        <f t="shared" si="296"/>
        <v>10</v>
      </c>
      <c r="C3715">
        <f t="shared" si="293"/>
        <v>3</v>
      </c>
      <c r="D3715" t="str">
        <f t="shared" si="294"/>
        <v>March</v>
      </c>
      <c r="E3715">
        <f t="shared" si="295"/>
        <v>2027</v>
      </c>
      <c r="F3715" t="str">
        <f>CONCATENATE(calendar[[#This Row],[Month]],"/",calendar[[#This Row],[Year]])</f>
        <v>3/2027</v>
      </c>
      <c r="G3715">
        <f>WEEKDAY(calendar[[#This Row],[Date]],1)</f>
        <v>4</v>
      </c>
      <c r="H3715" t="str">
        <f>TEXT(calendar[[#This Row],[WeekDay]],"dddd")</f>
        <v>Wednesday</v>
      </c>
      <c r="I3715">
        <f>IF((INT(calendar[[#This Row],[Count]]/7)-calendar[[#This Row],[Count]]/7)&lt;0,I3714,I3714+1)</f>
        <v>531</v>
      </c>
      <c r="J3715">
        <f t="shared" ref="J3715:J3778" si="297">J3714+1</f>
        <v>3713</v>
      </c>
      <c r="K3715">
        <f>IF(calendar[[#This Row],[Month]]&lt;4,1,IF(calendar[[#This Row],[Month]]&lt;7,2,IF(calendar[[#This Row],[Month]]&lt;10,3,4)))</f>
        <v>1</v>
      </c>
      <c r="L3715">
        <f>IFERROR(IF(VLOOKUP(calendar[[#This Row],[Date]],BH!A:A,1,)&lt;&gt;"",1,0),0)</f>
        <v>0</v>
      </c>
      <c r="M3715">
        <f>IFERROR(IF(VLOOKUP(calendar[[#This Row],[Date]],BH!C:C,1,)&lt;&gt;"",1,0),0)</f>
        <v>0</v>
      </c>
      <c r="N3715">
        <f>IFERROR(IF(VLOOKUP(calendar[[#This Row],[Date]],BH!E:E,1,)&lt;&gt;"",1,0),0)</f>
        <v>0</v>
      </c>
      <c r="O3715">
        <f>IFERROR(IF(VLOOKUP(calendar[[#This Row],[Date]],BH!G:G,1,)&lt;&gt;"",1,0),0)</f>
        <v>0</v>
      </c>
      <c r="P3715">
        <f>IF(OR(calendar[[#This Row],[UK_BH]]=1,calendar[[#This Row],[WeekDay]]=1, calendar[[#This Row],[WeekDay]]=7),P3714,P3714+1)</f>
        <v>2636</v>
      </c>
      <c r="Q3715">
        <f>IF(OR(calendar[[#This Row],[FR_BH]]=1,calendar[[#This Row],[WeekDay]]=1, calendar[[#This Row],[WeekDay]]=7),P3714,P3714+1)</f>
        <v>2636</v>
      </c>
      <c r="R3715">
        <f>IF(OR(calendar[[#This Row],[SP_BH]]=1,calendar[[#This Row],[WeekDay]]=1, calendar[[#This Row],[WeekDay]]=7),P3714,P3714+1)</f>
        <v>2636</v>
      </c>
      <c r="S3715">
        <f>IF(OR(calendar[[#This Row],[PT_BH]]=1,calendar[[#This Row],[WeekDay]]=1, calendar[[#This Row],[WeekDay]]=7),P3714,P3714+1)</f>
        <v>2636</v>
      </c>
    </row>
    <row r="3716" spans="1:19" x14ac:dyDescent="0.25">
      <c r="A3716" s="2">
        <v>46450</v>
      </c>
      <c r="B3716" s="1">
        <f t="shared" si="296"/>
        <v>10</v>
      </c>
      <c r="C3716">
        <f t="shared" si="293"/>
        <v>3</v>
      </c>
      <c r="D3716" t="str">
        <f t="shared" si="294"/>
        <v>March</v>
      </c>
      <c r="E3716">
        <f t="shared" si="295"/>
        <v>2027</v>
      </c>
      <c r="F3716" t="str">
        <f>CONCATENATE(calendar[[#This Row],[Month]],"/",calendar[[#This Row],[Year]])</f>
        <v>3/2027</v>
      </c>
      <c r="G3716">
        <f>WEEKDAY(calendar[[#This Row],[Date]],1)</f>
        <v>5</v>
      </c>
      <c r="H3716" t="str">
        <f>TEXT(calendar[[#This Row],[WeekDay]],"dddd")</f>
        <v>Thursday</v>
      </c>
      <c r="I3716">
        <f>IF((INT(calendar[[#This Row],[Count]]/7)-calendar[[#This Row],[Count]]/7)&lt;0,I3715,I3715+1)</f>
        <v>531</v>
      </c>
      <c r="J3716">
        <f t="shared" si="297"/>
        <v>3714</v>
      </c>
      <c r="K3716">
        <f>IF(calendar[[#This Row],[Month]]&lt;4,1,IF(calendar[[#This Row],[Month]]&lt;7,2,IF(calendar[[#This Row],[Month]]&lt;10,3,4)))</f>
        <v>1</v>
      </c>
      <c r="L3716">
        <f>IFERROR(IF(VLOOKUP(calendar[[#This Row],[Date]],BH!A:A,1,)&lt;&gt;"",1,0),0)</f>
        <v>0</v>
      </c>
      <c r="M3716">
        <f>IFERROR(IF(VLOOKUP(calendar[[#This Row],[Date]],BH!C:C,1,)&lt;&gt;"",1,0),0)</f>
        <v>0</v>
      </c>
      <c r="N3716">
        <f>IFERROR(IF(VLOOKUP(calendar[[#This Row],[Date]],BH!E:E,1,)&lt;&gt;"",1,0),0)</f>
        <v>0</v>
      </c>
      <c r="O3716">
        <f>IFERROR(IF(VLOOKUP(calendar[[#This Row],[Date]],BH!G:G,1,)&lt;&gt;"",1,0),0)</f>
        <v>0</v>
      </c>
      <c r="P3716">
        <f>IF(OR(calendar[[#This Row],[UK_BH]]=1,calendar[[#This Row],[WeekDay]]=1, calendar[[#This Row],[WeekDay]]=7),P3715,P3715+1)</f>
        <v>2637</v>
      </c>
      <c r="Q3716">
        <f>IF(OR(calendar[[#This Row],[FR_BH]]=1,calendar[[#This Row],[WeekDay]]=1, calendar[[#This Row],[WeekDay]]=7),P3715,P3715+1)</f>
        <v>2637</v>
      </c>
      <c r="R3716">
        <f>IF(OR(calendar[[#This Row],[SP_BH]]=1,calendar[[#This Row],[WeekDay]]=1, calendar[[#This Row],[WeekDay]]=7),P3715,P3715+1)</f>
        <v>2637</v>
      </c>
      <c r="S3716">
        <f>IF(OR(calendar[[#This Row],[PT_BH]]=1,calendar[[#This Row],[WeekDay]]=1, calendar[[#This Row],[WeekDay]]=7),P3715,P3715+1)</f>
        <v>2637</v>
      </c>
    </row>
    <row r="3717" spans="1:19" x14ac:dyDescent="0.25">
      <c r="A3717" s="2">
        <v>46451</v>
      </c>
      <c r="B3717" s="1">
        <f t="shared" si="296"/>
        <v>10</v>
      </c>
      <c r="C3717">
        <f t="shared" si="293"/>
        <v>3</v>
      </c>
      <c r="D3717" t="str">
        <f t="shared" si="294"/>
        <v>March</v>
      </c>
      <c r="E3717">
        <f t="shared" si="295"/>
        <v>2027</v>
      </c>
      <c r="F3717" t="str">
        <f>CONCATENATE(calendar[[#This Row],[Month]],"/",calendar[[#This Row],[Year]])</f>
        <v>3/2027</v>
      </c>
      <c r="G3717">
        <f>WEEKDAY(calendar[[#This Row],[Date]],1)</f>
        <v>6</v>
      </c>
      <c r="H3717" t="str">
        <f>TEXT(calendar[[#This Row],[WeekDay]],"dddd")</f>
        <v>Friday</v>
      </c>
      <c r="I3717">
        <f>IF((INT(calendar[[#This Row],[Count]]/7)-calendar[[#This Row],[Count]]/7)&lt;0,I3716,I3716+1)</f>
        <v>531</v>
      </c>
      <c r="J3717">
        <f t="shared" si="297"/>
        <v>3715</v>
      </c>
      <c r="K3717">
        <f>IF(calendar[[#This Row],[Month]]&lt;4,1,IF(calendar[[#This Row],[Month]]&lt;7,2,IF(calendar[[#This Row],[Month]]&lt;10,3,4)))</f>
        <v>1</v>
      </c>
      <c r="L3717">
        <f>IFERROR(IF(VLOOKUP(calendar[[#This Row],[Date]],BH!A:A,1,)&lt;&gt;"",1,0),0)</f>
        <v>0</v>
      </c>
      <c r="M3717">
        <f>IFERROR(IF(VLOOKUP(calendar[[#This Row],[Date]],BH!C:C,1,)&lt;&gt;"",1,0),0)</f>
        <v>0</v>
      </c>
      <c r="N3717">
        <f>IFERROR(IF(VLOOKUP(calendar[[#This Row],[Date]],BH!E:E,1,)&lt;&gt;"",1,0),0)</f>
        <v>0</v>
      </c>
      <c r="O3717">
        <f>IFERROR(IF(VLOOKUP(calendar[[#This Row],[Date]],BH!G:G,1,)&lt;&gt;"",1,0),0)</f>
        <v>0</v>
      </c>
      <c r="P3717">
        <f>IF(OR(calendar[[#This Row],[UK_BH]]=1,calendar[[#This Row],[WeekDay]]=1, calendar[[#This Row],[WeekDay]]=7),P3716,P3716+1)</f>
        <v>2638</v>
      </c>
      <c r="Q3717">
        <f>IF(OR(calendar[[#This Row],[FR_BH]]=1,calendar[[#This Row],[WeekDay]]=1, calendar[[#This Row],[WeekDay]]=7),P3716,P3716+1)</f>
        <v>2638</v>
      </c>
      <c r="R3717">
        <f>IF(OR(calendar[[#This Row],[SP_BH]]=1,calendar[[#This Row],[WeekDay]]=1, calendar[[#This Row],[WeekDay]]=7),P3716,P3716+1)</f>
        <v>2638</v>
      </c>
      <c r="S3717">
        <f>IF(OR(calendar[[#This Row],[PT_BH]]=1,calendar[[#This Row],[WeekDay]]=1, calendar[[#This Row],[WeekDay]]=7),P3716,P3716+1)</f>
        <v>2638</v>
      </c>
    </row>
    <row r="3718" spans="1:19" x14ac:dyDescent="0.25">
      <c r="A3718" s="2">
        <v>46452</v>
      </c>
      <c r="B3718" s="1">
        <f t="shared" si="296"/>
        <v>10</v>
      </c>
      <c r="C3718">
        <f t="shared" si="293"/>
        <v>3</v>
      </c>
      <c r="D3718" t="str">
        <f t="shared" si="294"/>
        <v>March</v>
      </c>
      <c r="E3718">
        <f t="shared" si="295"/>
        <v>2027</v>
      </c>
      <c r="F3718" t="str">
        <f>CONCATENATE(calendar[[#This Row],[Month]],"/",calendar[[#This Row],[Year]])</f>
        <v>3/2027</v>
      </c>
      <c r="G3718">
        <f>WEEKDAY(calendar[[#This Row],[Date]],1)</f>
        <v>7</v>
      </c>
      <c r="H3718" t="str">
        <f>TEXT(calendar[[#This Row],[WeekDay]],"dddd")</f>
        <v>Saturday</v>
      </c>
      <c r="I3718">
        <f>IF((INT(calendar[[#This Row],[Count]]/7)-calendar[[#This Row],[Count]]/7)&lt;0,I3717,I3717+1)</f>
        <v>531</v>
      </c>
      <c r="J3718">
        <f t="shared" si="297"/>
        <v>3716</v>
      </c>
      <c r="K3718">
        <f>IF(calendar[[#This Row],[Month]]&lt;4,1,IF(calendar[[#This Row],[Month]]&lt;7,2,IF(calendar[[#This Row],[Month]]&lt;10,3,4)))</f>
        <v>1</v>
      </c>
      <c r="L3718">
        <f>IFERROR(IF(VLOOKUP(calendar[[#This Row],[Date]],BH!A:A,1,)&lt;&gt;"",1,0),0)</f>
        <v>0</v>
      </c>
      <c r="M3718">
        <f>IFERROR(IF(VLOOKUP(calendar[[#This Row],[Date]],BH!C:C,1,)&lt;&gt;"",1,0),0)</f>
        <v>0</v>
      </c>
      <c r="N3718">
        <f>IFERROR(IF(VLOOKUP(calendar[[#This Row],[Date]],BH!E:E,1,)&lt;&gt;"",1,0),0)</f>
        <v>0</v>
      </c>
      <c r="O3718">
        <f>IFERROR(IF(VLOOKUP(calendar[[#This Row],[Date]],BH!G:G,1,)&lt;&gt;"",1,0),0)</f>
        <v>0</v>
      </c>
      <c r="P3718">
        <f>IF(OR(calendar[[#This Row],[UK_BH]]=1,calendar[[#This Row],[WeekDay]]=1, calendar[[#This Row],[WeekDay]]=7),P3717,P3717+1)</f>
        <v>2638</v>
      </c>
      <c r="Q3718">
        <f>IF(OR(calendar[[#This Row],[FR_BH]]=1,calendar[[#This Row],[WeekDay]]=1, calendar[[#This Row],[WeekDay]]=7),P3717,P3717+1)</f>
        <v>2638</v>
      </c>
      <c r="R3718">
        <f>IF(OR(calendar[[#This Row],[SP_BH]]=1,calendar[[#This Row],[WeekDay]]=1, calendar[[#This Row],[WeekDay]]=7),P3717,P3717+1)</f>
        <v>2638</v>
      </c>
      <c r="S3718">
        <f>IF(OR(calendar[[#This Row],[PT_BH]]=1,calendar[[#This Row],[WeekDay]]=1, calendar[[#This Row],[WeekDay]]=7),P3717,P3717+1)</f>
        <v>2638</v>
      </c>
    </row>
    <row r="3719" spans="1:19" x14ac:dyDescent="0.25">
      <c r="A3719" s="2">
        <v>46453</v>
      </c>
      <c r="B3719" s="1">
        <f t="shared" si="296"/>
        <v>11</v>
      </c>
      <c r="C3719">
        <f t="shared" si="293"/>
        <v>3</v>
      </c>
      <c r="D3719" t="str">
        <f t="shared" si="294"/>
        <v>March</v>
      </c>
      <c r="E3719">
        <f t="shared" si="295"/>
        <v>2027</v>
      </c>
      <c r="F3719" t="str">
        <f>CONCATENATE(calendar[[#This Row],[Month]],"/",calendar[[#This Row],[Year]])</f>
        <v>3/2027</v>
      </c>
      <c r="G3719">
        <f>WEEKDAY(calendar[[#This Row],[Date]],1)</f>
        <v>1</v>
      </c>
      <c r="H3719" t="str">
        <f>TEXT(calendar[[#This Row],[WeekDay]],"dddd")</f>
        <v>Sunday</v>
      </c>
      <c r="I3719">
        <f>IF((INT(calendar[[#This Row],[Count]]/7)-calendar[[#This Row],[Count]]/7)&lt;0,I3718,I3718+1)</f>
        <v>532</v>
      </c>
      <c r="J3719">
        <f t="shared" si="297"/>
        <v>3717</v>
      </c>
      <c r="K3719">
        <f>IF(calendar[[#This Row],[Month]]&lt;4,1,IF(calendar[[#This Row],[Month]]&lt;7,2,IF(calendar[[#This Row],[Month]]&lt;10,3,4)))</f>
        <v>1</v>
      </c>
      <c r="L3719">
        <f>IFERROR(IF(VLOOKUP(calendar[[#This Row],[Date]],BH!A:A,1,)&lt;&gt;"",1,0),0)</f>
        <v>0</v>
      </c>
      <c r="M3719">
        <f>IFERROR(IF(VLOOKUP(calendar[[#This Row],[Date]],BH!C:C,1,)&lt;&gt;"",1,0),0)</f>
        <v>0</v>
      </c>
      <c r="N3719">
        <f>IFERROR(IF(VLOOKUP(calendar[[#This Row],[Date]],BH!E:E,1,)&lt;&gt;"",1,0),0)</f>
        <v>0</v>
      </c>
      <c r="O3719">
        <f>IFERROR(IF(VLOOKUP(calendar[[#This Row],[Date]],BH!G:G,1,)&lt;&gt;"",1,0),0)</f>
        <v>0</v>
      </c>
      <c r="P3719">
        <f>IF(OR(calendar[[#This Row],[UK_BH]]=1,calendar[[#This Row],[WeekDay]]=1, calendar[[#This Row],[WeekDay]]=7),P3718,P3718+1)</f>
        <v>2638</v>
      </c>
      <c r="Q3719">
        <f>IF(OR(calendar[[#This Row],[FR_BH]]=1,calendar[[#This Row],[WeekDay]]=1, calendar[[#This Row],[WeekDay]]=7),P3718,P3718+1)</f>
        <v>2638</v>
      </c>
      <c r="R3719">
        <f>IF(OR(calendar[[#This Row],[SP_BH]]=1,calendar[[#This Row],[WeekDay]]=1, calendar[[#This Row],[WeekDay]]=7),P3718,P3718+1)</f>
        <v>2638</v>
      </c>
      <c r="S3719">
        <f>IF(OR(calendar[[#This Row],[PT_BH]]=1,calendar[[#This Row],[WeekDay]]=1, calendar[[#This Row],[WeekDay]]=7),P3718,P3718+1)</f>
        <v>2638</v>
      </c>
    </row>
    <row r="3720" spans="1:19" x14ac:dyDescent="0.25">
      <c r="A3720" s="2">
        <v>46454</v>
      </c>
      <c r="B3720" s="1">
        <f t="shared" si="296"/>
        <v>11</v>
      </c>
      <c r="C3720">
        <f t="shared" si="293"/>
        <v>3</v>
      </c>
      <c r="D3720" t="str">
        <f t="shared" si="294"/>
        <v>March</v>
      </c>
      <c r="E3720">
        <f t="shared" si="295"/>
        <v>2027</v>
      </c>
      <c r="F3720" t="str">
        <f>CONCATENATE(calendar[[#This Row],[Month]],"/",calendar[[#This Row],[Year]])</f>
        <v>3/2027</v>
      </c>
      <c r="G3720">
        <f>WEEKDAY(calendar[[#This Row],[Date]],1)</f>
        <v>2</v>
      </c>
      <c r="H3720" t="str">
        <f>TEXT(calendar[[#This Row],[WeekDay]],"dddd")</f>
        <v>Monday</v>
      </c>
      <c r="I3720">
        <f>IF((INT(calendar[[#This Row],[Count]]/7)-calendar[[#This Row],[Count]]/7)&lt;0,I3719,I3719+1)</f>
        <v>532</v>
      </c>
      <c r="J3720">
        <f t="shared" si="297"/>
        <v>3718</v>
      </c>
      <c r="K3720">
        <f>IF(calendar[[#This Row],[Month]]&lt;4,1,IF(calendar[[#This Row],[Month]]&lt;7,2,IF(calendar[[#This Row],[Month]]&lt;10,3,4)))</f>
        <v>1</v>
      </c>
      <c r="L3720">
        <f>IFERROR(IF(VLOOKUP(calendar[[#This Row],[Date]],BH!A:A,1,)&lt;&gt;"",1,0),0)</f>
        <v>0</v>
      </c>
      <c r="M3720">
        <f>IFERROR(IF(VLOOKUP(calendar[[#This Row],[Date]],BH!C:C,1,)&lt;&gt;"",1,0),0)</f>
        <v>0</v>
      </c>
      <c r="N3720">
        <f>IFERROR(IF(VLOOKUP(calendar[[#This Row],[Date]],BH!E:E,1,)&lt;&gt;"",1,0),0)</f>
        <v>0</v>
      </c>
      <c r="O3720">
        <f>IFERROR(IF(VLOOKUP(calendar[[#This Row],[Date]],BH!G:G,1,)&lt;&gt;"",1,0),0)</f>
        <v>0</v>
      </c>
      <c r="P3720">
        <f>IF(OR(calendar[[#This Row],[UK_BH]]=1,calendar[[#This Row],[WeekDay]]=1, calendar[[#This Row],[WeekDay]]=7),P3719,P3719+1)</f>
        <v>2639</v>
      </c>
      <c r="Q3720">
        <f>IF(OR(calendar[[#This Row],[FR_BH]]=1,calendar[[#This Row],[WeekDay]]=1, calendar[[#This Row],[WeekDay]]=7),P3719,P3719+1)</f>
        <v>2639</v>
      </c>
      <c r="R3720">
        <f>IF(OR(calendar[[#This Row],[SP_BH]]=1,calendar[[#This Row],[WeekDay]]=1, calendar[[#This Row],[WeekDay]]=7),P3719,P3719+1)</f>
        <v>2639</v>
      </c>
      <c r="S3720">
        <f>IF(OR(calendar[[#This Row],[PT_BH]]=1,calendar[[#This Row],[WeekDay]]=1, calendar[[#This Row],[WeekDay]]=7),P3719,P3719+1)</f>
        <v>2639</v>
      </c>
    </row>
    <row r="3721" spans="1:19" x14ac:dyDescent="0.25">
      <c r="A3721" s="2">
        <v>46455</v>
      </c>
      <c r="B3721" s="1">
        <f t="shared" si="296"/>
        <v>11</v>
      </c>
      <c r="C3721">
        <f t="shared" si="293"/>
        <v>3</v>
      </c>
      <c r="D3721" t="str">
        <f t="shared" si="294"/>
        <v>March</v>
      </c>
      <c r="E3721">
        <f t="shared" si="295"/>
        <v>2027</v>
      </c>
      <c r="F3721" t="str">
        <f>CONCATENATE(calendar[[#This Row],[Month]],"/",calendar[[#This Row],[Year]])</f>
        <v>3/2027</v>
      </c>
      <c r="G3721">
        <f>WEEKDAY(calendar[[#This Row],[Date]],1)</f>
        <v>3</v>
      </c>
      <c r="H3721" t="str">
        <f>TEXT(calendar[[#This Row],[WeekDay]],"dddd")</f>
        <v>Tuesday</v>
      </c>
      <c r="I3721">
        <f>IF((INT(calendar[[#This Row],[Count]]/7)-calendar[[#This Row],[Count]]/7)&lt;0,I3720,I3720+1)</f>
        <v>532</v>
      </c>
      <c r="J3721">
        <f t="shared" si="297"/>
        <v>3719</v>
      </c>
      <c r="K3721">
        <f>IF(calendar[[#This Row],[Month]]&lt;4,1,IF(calendar[[#This Row],[Month]]&lt;7,2,IF(calendar[[#This Row],[Month]]&lt;10,3,4)))</f>
        <v>1</v>
      </c>
      <c r="L3721">
        <f>IFERROR(IF(VLOOKUP(calendar[[#This Row],[Date]],BH!A:A,1,)&lt;&gt;"",1,0),0)</f>
        <v>0</v>
      </c>
      <c r="M3721">
        <f>IFERROR(IF(VLOOKUP(calendar[[#This Row],[Date]],BH!C:C,1,)&lt;&gt;"",1,0),0)</f>
        <v>0</v>
      </c>
      <c r="N3721">
        <f>IFERROR(IF(VLOOKUP(calendar[[#This Row],[Date]],BH!E:E,1,)&lt;&gt;"",1,0),0)</f>
        <v>0</v>
      </c>
      <c r="O3721">
        <f>IFERROR(IF(VLOOKUP(calendar[[#This Row],[Date]],BH!G:G,1,)&lt;&gt;"",1,0),0)</f>
        <v>0</v>
      </c>
      <c r="P3721">
        <f>IF(OR(calendar[[#This Row],[UK_BH]]=1,calendar[[#This Row],[WeekDay]]=1, calendar[[#This Row],[WeekDay]]=7),P3720,P3720+1)</f>
        <v>2640</v>
      </c>
      <c r="Q3721">
        <f>IF(OR(calendar[[#This Row],[FR_BH]]=1,calendar[[#This Row],[WeekDay]]=1, calendar[[#This Row],[WeekDay]]=7),P3720,P3720+1)</f>
        <v>2640</v>
      </c>
      <c r="R3721">
        <f>IF(OR(calendar[[#This Row],[SP_BH]]=1,calendar[[#This Row],[WeekDay]]=1, calendar[[#This Row],[WeekDay]]=7),P3720,P3720+1)</f>
        <v>2640</v>
      </c>
      <c r="S3721">
        <f>IF(OR(calendar[[#This Row],[PT_BH]]=1,calendar[[#This Row],[WeekDay]]=1, calendar[[#This Row],[WeekDay]]=7),P3720,P3720+1)</f>
        <v>2640</v>
      </c>
    </row>
    <row r="3722" spans="1:19" x14ac:dyDescent="0.25">
      <c r="A3722" s="2">
        <v>46456</v>
      </c>
      <c r="B3722" s="1">
        <f t="shared" si="296"/>
        <v>11</v>
      </c>
      <c r="C3722">
        <f t="shared" si="293"/>
        <v>3</v>
      </c>
      <c r="D3722" t="str">
        <f t="shared" si="294"/>
        <v>March</v>
      </c>
      <c r="E3722">
        <f t="shared" si="295"/>
        <v>2027</v>
      </c>
      <c r="F3722" t="str">
        <f>CONCATENATE(calendar[[#This Row],[Month]],"/",calendar[[#This Row],[Year]])</f>
        <v>3/2027</v>
      </c>
      <c r="G3722">
        <f>WEEKDAY(calendar[[#This Row],[Date]],1)</f>
        <v>4</v>
      </c>
      <c r="H3722" t="str">
        <f>TEXT(calendar[[#This Row],[WeekDay]],"dddd")</f>
        <v>Wednesday</v>
      </c>
      <c r="I3722">
        <f>IF((INT(calendar[[#This Row],[Count]]/7)-calendar[[#This Row],[Count]]/7)&lt;0,I3721,I3721+1)</f>
        <v>532</v>
      </c>
      <c r="J3722">
        <f t="shared" si="297"/>
        <v>3720</v>
      </c>
      <c r="K3722">
        <f>IF(calendar[[#This Row],[Month]]&lt;4,1,IF(calendar[[#This Row],[Month]]&lt;7,2,IF(calendar[[#This Row],[Month]]&lt;10,3,4)))</f>
        <v>1</v>
      </c>
      <c r="L3722">
        <f>IFERROR(IF(VLOOKUP(calendar[[#This Row],[Date]],BH!A:A,1,)&lt;&gt;"",1,0),0)</f>
        <v>0</v>
      </c>
      <c r="M3722">
        <f>IFERROR(IF(VLOOKUP(calendar[[#This Row],[Date]],BH!C:C,1,)&lt;&gt;"",1,0),0)</f>
        <v>0</v>
      </c>
      <c r="N3722">
        <f>IFERROR(IF(VLOOKUP(calendar[[#This Row],[Date]],BH!E:E,1,)&lt;&gt;"",1,0),0)</f>
        <v>0</v>
      </c>
      <c r="O3722">
        <f>IFERROR(IF(VLOOKUP(calendar[[#This Row],[Date]],BH!G:G,1,)&lt;&gt;"",1,0),0)</f>
        <v>0</v>
      </c>
      <c r="P3722">
        <f>IF(OR(calendar[[#This Row],[UK_BH]]=1,calendar[[#This Row],[WeekDay]]=1, calendar[[#This Row],[WeekDay]]=7),P3721,P3721+1)</f>
        <v>2641</v>
      </c>
      <c r="Q3722">
        <f>IF(OR(calendar[[#This Row],[FR_BH]]=1,calendar[[#This Row],[WeekDay]]=1, calendar[[#This Row],[WeekDay]]=7),P3721,P3721+1)</f>
        <v>2641</v>
      </c>
      <c r="R3722">
        <f>IF(OR(calendar[[#This Row],[SP_BH]]=1,calendar[[#This Row],[WeekDay]]=1, calendar[[#This Row],[WeekDay]]=7),P3721,P3721+1)</f>
        <v>2641</v>
      </c>
      <c r="S3722">
        <f>IF(OR(calendar[[#This Row],[PT_BH]]=1,calendar[[#This Row],[WeekDay]]=1, calendar[[#This Row],[WeekDay]]=7),P3721,P3721+1)</f>
        <v>2641</v>
      </c>
    </row>
    <row r="3723" spans="1:19" x14ac:dyDescent="0.25">
      <c r="A3723" s="2">
        <v>46457</v>
      </c>
      <c r="B3723" s="1">
        <f t="shared" si="296"/>
        <v>11</v>
      </c>
      <c r="C3723">
        <f t="shared" si="293"/>
        <v>3</v>
      </c>
      <c r="D3723" t="str">
        <f t="shared" si="294"/>
        <v>March</v>
      </c>
      <c r="E3723">
        <f t="shared" si="295"/>
        <v>2027</v>
      </c>
      <c r="F3723" t="str">
        <f>CONCATENATE(calendar[[#This Row],[Month]],"/",calendar[[#This Row],[Year]])</f>
        <v>3/2027</v>
      </c>
      <c r="G3723">
        <f>WEEKDAY(calendar[[#This Row],[Date]],1)</f>
        <v>5</v>
      </c>
      <c r="H3723" t="str">
        <f>TEXT(calendar[[#This Row],[WeekDay]],"dddd")</f>
        <v>Thursday</v>
      </c>
      <c r="I3723">
        <f>IF((INT(calendar[[#This Row],[Count]]/7)-calendar[[#This Row],[Count]]/7)&lt;0,I3722,I3722+1)</f>
        <v>532</v>
      </c>
      <c r="J3723">
        <f t="shared" si="297"/>
        <v>3721</v>
      </c>
      <c r="K3723">
        <f>IF(calendar[[#This Row],[Month]]&lt;4,1,IF(calendar[[#This Row],[Month]]&lt;7,2,IF(calendar[[#This Row],[Month]]&lt;10,3,4)))</f>
        <v>1</v>
      </c>
      <c r="L3723">
        <f>IFERROR(IF(VLOOKUP(calendar[[#This Row],[Date]],BH!A:A,1,)&lt;&gt;"",1,0),0)</f>
        <v>0</v>
      </c>
      <c r="M3723">
        <f>IFERROR(IF(VLOOKUP(calendar[[#This Row],[Date]],BH!C:C,1,)&lt;&gt;"",1,0),0)</f>
        <v>0</v>
      </c>
      <c r="N3723">
        <f>IFERROR(IF(VLOOKUP(calendar[[#This Row],[Date]],BH!E:E,1,)&lt;&gt;"",1,0),0)</f>
        <v>0</v>
      </c>
      <c r="O3723">
        <f>IFERROR(IF(VLOOKUP(calendar[[#This Row],[Date]],BH!G:G,1,)&lt;&gt;"",1,0),0)</f>
        <v>0</v>
      </c>
      <c r="P3723">
        <f>IF(OR(calendar[[#This Row],[UK_BH]]=1,calendar[[#This Row],[WeekDay]]=1, calendar[[#This Row],[WeekDay]]=7),P3722,P3722+1)</f>
        <v>2642</v>
      </c>
      <c r="Q3723">
        <f>IF(OR(calendar[[#This Row],[FR_BH]]=1,calendar[[#This Row],[WeekDay]]=1, calendar[[#This Row],[WeekDay]]=7),P3722,P3722+1)</f>
        <v>2642</v>
      </c>
      <c r="R3723">
        <f>IF(OR(calendar[[#This Row],[SP_BH]]=1,calendar[[#This Row],[WeekDay]]=1, calendar[[#This Row],[WeekDay]]=7),P3722,P3722+1)</f>
        <v>2642</v>
      </c>
      <c r="S3723">
        <f>IF(OR(calendar[[#This Row],[PT_BH]]=1,calendar[[#This Row],[WeekDay]]=1, calendar[[#This Row],[WeekDay]]=7),P3722,P3722+1)</f>
        <v>2642</v>
      </c>
    </row>
    <row r="3724" spans="1:19" x14ac:dyDescent="0.25">
      <c r="A3724" s="2">
        <v>46458</v>
      </c>
      <c r="B3724" s="1">
        <f t="shared" si="296"/>
        <v>11</v>
      </c>
      <c r="C3724">
        <f t="shared" si="293"/>
        <v>3</v>
      </c>
      <c r="D3724" t="str">
        <f t="shared" si="294"/>
        <v>March</v>
      </c>
      <c r="E3724">
        <f t="shared" si="295"/>
        <v>2027</v>
      </c>
      <c r="F3724" t="str">
        <f>CONCATENATE(calendar[[#This Row],[Month]],"/",calendar[[#This Row],[Year]])</f>
        <v>3/2027</v>
      </c>
      <c r="G3724">
        <f>WEEKDAY(calendar[[#This Row],[Date]],1)</f>
        <v>6</v>
      </c>
      <c r="H3724" t="str">
        <f>TEXT(calendar[[#This Row],[WeekDay]],"dddd")</f>
        <v>Friday</v>
      </c>
      <c r="I3724">
        <f>IF((INT(calendar[[#This Row],[Count]]/7)-calendar[[#This Row],[Count]]/7)&lt;0,I3723,I3723+1)</f>
        <v>532</v>
      </c>
      <c r="J3724">
        <f t="shared" si="297"/>
        <v>3722</v>
      </c>
      <c r="K3724">
        <f>IF(calendar[[#This Row],[Month]]&lt;4,1,IF(calendar[[#This Row],[Month]]&lt;7,2,IF(calendar[[#This Row],[Month]]&lt;10,3,4)))</f>
        <v>1</v>
      </c>
      <c r="L3724">
        <f>IFERROR(IF(VLOOKUP(calendar[[#This Row],[Date]],BH!A:A,1,)&lt;&gt;"",1,0),0)</f>
        <v>0</v>
      </c>
      <c r="M3724">
        <f>IFERROR(IF(VLOOKUP(calendar[[#This Row],[Date]],BH!C:C,1,)&lt;&gt;"",1,0),0)</f>
        <v>0</v>
      </c>
      <c r="N3724">
        <f>IFERROR(IF(VLOOKUP(calendar[[#This Row],[Date]],BH!E:E,1,)&lt;&gt;"",1,0),0)</f>
        <v>0</v>
      </c>
      <c r="O3724">
        <f>IFERROR(IF(VLOOKUP(calendar[[#This Row],[Date]],BH!G:G,1,)&lt;&gt;"",1,0),0)</f>
        <v>0</v>
      </c>
      <c r="P3724">
        <f>IF(OR(calendar[[#This Row],[UK_BH]]=1,calendar[[#This Row],[WeekDay]]=1, calendar[[#This Row],[WeekDay]]=7),P3723,P3723+1)</f>
        <v>2643</v>
      </c>
      <c r="Q3724">
        <f>IF(OR(calendar[[#This Row],[FR_BH]]=1,calendar[[#This Row],[WeekDay]]=1, calendar[[#This Row],[WeekDay]]=7),P3723,P3723+1)</f>
        <v>2643</v>
      </c>
      <c r="R3724">
        <f>IF(OR(calendar[[#This Row],[SP_BH]]=1,calendar[[#This Row],[WeekDay]]=1, calendar[[#This Row],[WeekDay]]=7),P3723,P3723+1)</f>
        <v>2643</v>
      </c>
      <c r="S3724">
        <f>IF(OR(calendar[[#This Row],[PT_BH]]=1,calendar[[#This Row],[WeekDay]]=1, calendar[[#This Row],[WeekDay]]=7),P3723,P3723+1)</f>
        <v>2643</v>
      </c>
    </row>
    <row r="3725" spans="1:19" x14ac:dyDescent="0.25">
      <c r="A3725" s="2">
        <v>46459</v>
      </c>
      <c r="B3725" s="1">
        <f t="shared" si="296"/>
        <v>11</v>
      </c>
      <c r="C3725">
        <f t="shared" si="293"/>
        <v>3</v>
      </c>
      <c r="D3725" t="str">
        <f t="shared" si="294"/>
        <v>March</v>
      </c>
      <c r="E3725">
        <f t="shared" si="295"/>
        <v>2027</v>
      </c>
      <c r="F3725" t="str">
        <f>CONCATENATE(calendar[[#This Row],[Month]],"/",calendar[[#This Row],[Year]])</f>
        <v>3/2027</v>
      </c>
      <c r="G3725">
        <f>WEEKDAY(calendar[[#This Row],[Date]],1)</f>
        <v>7</v>
      </c>
      <c r="H3725" t="str">
        <f>TEXT(calendar[[#This Row],[WeekDay]],"dddd")</f>
        <v>Saturday</v>
      </c>
      <c r="I3725">
        <f>IF((INT(calendar[[#This Row],[Count]]/7)-calendar[[#This Row],[Count]]/7)&lt;0,I3724,I3724+1)</f>
        <v>532</v>
      </c>
      <c r="J3725">
        <f t="shared" si="297"/>
        <v>3723</v>
      </c>
      <c r="K3725">
        <f>IF(calendar[[#This Row],[Month]]&lt;4,1,IF(calendar[[#This Row],[Month]]&lt;7,2,IF(calendar[[#This Row],[Month]]&lt;10,3,4)))</f>
        <v>1</v>
      </c>
      <c r="L3725">
        <f>IFERROR(IF(VLOOKUP(calendar[[#This Row],[Date]],BH!A:A,1,)&lt;&gt;"",1,0),0)</f>
        <v>0</v>
      </c>
      <c r="M3725">
        <f>IFERROR(IF(VLOOKUP(calendar[[#This Row],[Date]],BH!C:C,1,)&lt;&gt;"",1,0),0)</f>
        <v>0</v>
      </c>
      <c r="N3725">
        <f>IFERROR(IF(VLOOKUP(calendar[[#This Row],[Date]],BH!E:E,1,)&lt;&gt;"",1,0),0)</f>
        <v>0</v>
      </c>
      <c r="O3725">
        <f>IFERROR(IF(VLOOKUP(calendar[[#This Row],[Date]],BH!G:G,1,)&lt;&gt;"",1,0),0)</f>
        <v>0</v>
      </c>
      <c r="P3725">
        <f>IF(OR(calendar[[#This Row],[UK_BH]]=1,calendar[[#This Row],[WeekDay]]=1, calendar[[#This Row],[WeekDay]]=7),P3724,P3724+1)</f>
        <v>2643</v>
      </c>
      <c r="Q3725">
        <f>IF(OR(calendar[[#This Row],[FR_BH]]=1,calendar[[#This Row],[WeekDay]]=1, calendar[[#This Row],[WeekDay]]=7),P3724,P3724+1)</f>
        <v>2643</v>
      </c>
      <c r="R3725">
        <f>IF(OR(calendar[[#This Row],[SP_BH]]=1,calendar[[#This Row],[WeekDay]]=1, calendar[[#This Row],[WeekDay]]=7),P3724,P3724+1)</f>
        <v>2643</v>
      </c>
      <c r="S3725">
        <f>IF(OR(calendar[[#This Row],[PT_BH]]=1,calendar[[#This Row],[WeekDay]]=1, calendar[[#This Row],[WeekDay]]=7),P3724,P3724+1)</f>
        <v>2643</v>
      </c>
    </row>
    <row r="3726" spans="1:19" x14ac:dyDescent="0.25">
      <c r="A3726" s="2">
        <v>46460</v>
      </c>
      <c r="B3726" s="1">
        <f t="shared" si="296"/>
        <v>12</v>
      </c>
      <c r="C3726">
        <f t="shared" si="293"/>
        <v>3</v>
      </c>
      <c r="D3726" t="str">
        <f t="shared" si="294"/>
        <v>March</v>
      </c>
      <c r="E3726">
        <f t="shared" si="295"/>
        <v>2027</v>
      </c>
      <c r="F3726" t="str">
        <f>CONCATENATE(calendar[[#This Row],[Month]],"/",calendar[[#This Row],[Year]])</f>
        <v>3/2027</v>
      </c>
      <c r="G3726">
        <f>WEEKDAY(calendar[[#This Row],[Date]],1)</f>
        <v>1</v>
      </c>
      <c r="H3726" t="str">
        <f>TEXT(calendar[[#This Row],[WeekDay]],"dddd")</f>
        <v>Sunday</v>
      </c>
      <c r="I3726">
        <f>IF((INT(calendar[[#This Row],[Count]]/7)-calendar[[#This Row],[Count]]/7)&lt;0,I3725,I3725+1)</f>
        <v>533</v>
      </c>
      <c r="J3726">
        <f t="shared" si="297"/>
        <v>3724</v>
      </c>
      <c r="K3726">
        <f>IF(calendar[[#This Row],[Month]]&lt;4,1,IF(calendar[[#This Row],[Month]]&lt;7,2,IF(calendar[[#This Row],[Month]]&lt;10,3,4)))</f>
        <v>1</v>
      </c>
      <c r="L3726">
        <f>IFERROR(IF(VLOOKUP(calendar[[#This Row],[Date]],BH!A:A,1,)&lt;&gt;"",1,0),0)</f>
        <v>0</v>
      </c>
      <c r="M3726">
        <f>IFERROR(IF(VLOOKUP(calendar[[#This Row],[Date]],BH!C:C,1,)&lt;&gt;"",1,0),0)</f>
        <v>0</v>
      </c>
      <c r="N3726">
        <f>IFERROR(IF(VLOOKUP(calendar[[#This Row],[Date]],BH!E:E,1,)&lt;&gt;"",1,0),0)</f>
        <v>0</v>
      </c>
      <c r="O3726">
        <f>IFERROR(IF(VLOOKUP(calendar[[#This Row],[Date]],BH!G:G,1,)&lt;&gt;"",1,0),0)</f>
        <v>0</v>
      </c>
      <c r="P3726">
        <f>IF(OR(calendar[[#This Row],[UK_BH]]=1,calendar[[#This Row],[WeekDay]]=1, calendar[[#This Row],[WeekDay]]=7),P3725,P3725+1)</f>
        <v>2643</v>
      </c>
      <c r="Q3726">
        <f>IF(OR(calendar[[#This Row],[FR_BH]]=1,calendar[[#This Row],[WeekDay]]=1, calendar[[#This Row],[WeekDay]]=7),P3725,P3725+1)</f>
        <v>2643</v>
      </c>
      <c r="R3726">
        <f>IF(OR(calendar[[#This Row],[SP_BH]]=1,calendar[[#This Row],[WeekDay]]=1, calendar[[#This Row],[WeekDay]]=7),P3725,P3725+1)</f>
        <v>2643</v>
      </c>
      <c r="S3726">
        <f>IF(OR(calendar[[#This Row],[PT_BH]]=1,calendar[[#This Row],[WeekDay]]=1, calendar[[#This Row],[WeekDay]]=7),P3725,P3725+1)</f>
        <v>2643</v>
      </c>
    </row>
    <row r="3727" spans="1:19" x14ac:dyDescent="0.25">
      <c r="A3727" s="2">
        <v>46461</v>
      </c>
      <c r="B3727" s="1">
        <f t="shared" si="296"/>
        <v>12</v>
      </c>
      <c r="C3727">
        <f t="shared" si="293"/>
        <v>3</v>
      </c>
      <c r="D3727" t="str">
        <f t="shared" si="294"/>
        <v>March</v>
      </c>
      <c r="E3727">
        <f t="shared" si="295"/>
        <v>2027</v>
      </c>
      <c r="F3727" t="str">
        <f>CONCATENATE(calendar[[#This Row],[Month]],"/",calendar[[#This Row],[Year]])</f>
        <v>3/2027</v>
      </c>
      <c r="G3727">
        <f>WEEKDAY(calendar[[#This Row],[Date]],1)</f>
        <v>2</v>
      </c>
      <c r="H3727" t="str">
        <f>TEXT(calendar[[#This Row],[WeekDay]],"dddd")</f>
        <v>Monday</v>
      </c>
      <c r="I3727">
        <f>IF((INT(calendar[[#This Row],[Count]]/7)-calendar[[#This Row],[Count]]/7)&lt;0,I3726,I3726+1)</f>
        <v>533</v>
      </c>
      <c r="J3727">
        <f t="shared" si="297"/>
        <v>3725</v>
      </c>
      <c r="K3727">
        <f>IF(calendar[[#This Row],[Month]]&lt;4,1,IF(calendar[[#This Row],[Month]]&lt;7,2,IF(calendar[[#This Row],[Month]]&lt;10,3,4)))</f>
        <v>1</v>
      </c>
      <c r="L3727">
        <f>IFERROR(IF(VLOOKUP(calendar[[#This Row],[Date]],BH!A:A,1,)&lt;&gt;"",1,0),0)</f>
        <v>0</v>
      </c>
      <c r="M3727">
        <f>IFERROR(IF(VLOOKUP(calendar[[#This Row],[Date]],BH!C:C,1,)&lt;&gt;"",1,0),0)</f>
        <v>0</v>
      </c>
      <c r="N3727">
        <f>IFERROR(IF(VLOOKUP(calendar[[#This Row],[Date]],BH!E:E,1,)&lt;&gt;"",1,0),0)</f>
        <v>0</v>
      </c>
      <c r="O3727">
        <f>IFERROR(IF(VLOOKUP(calendar[[#This Row],[Date]],BH!G:G,1,)&lt;&gt;"",1,0),0)</f>
        <v>0</v>
      </c>
      <c r="P3727">
        <f>IF(OR(calendar[[#This Row],[UK_BH]]=1,calendar[[#This Row],[WeekDay]]=1, calendar[[#This Row],[WeekDay]]=7),P3726,P3726+1)</f>
        <v>2644</v>
      </c>
      <c r="Q3727">
        <f>IF(OR(calendar[[#This Row],[FR_BH]]=1,calendar[[#This Row],[WeekDay]]=1, calendar[[#This Row],[WeekDay]]=7),P3726,P3726+1)</f>
        <v>2644</v>
      </c>
      <c r="R3727">
        <f>IF(OR(calendar[[#This Row],[SP_BH]]=1,calendar[[#This Row],[WeekDay]]=1, calendar[[#This Row],[WeekDay]]=7),P3726,P3726+1)</f>
        <v>2644</v>
      </c>
      <c r="S3727">
        <f>IF(OR(calendar[[#This Row],[PT_BH]]=1,calendar[[#This Row],[WeekDay]]=1, calendar[[#This Row],[WeekDay]]=7),P3726,P3726+1)</f>
        <v>2644</v>
      </c>
    </row>
    <row r="3728" spans="1:19" x14ac:dyDescent="0.25">
      <c r="A3728" s="2">
        <v>46462</v>
      </c>
      <c r="B3728" s="1">
        <f t="shared" si="296"/>
        <v>12</v>
      </c>
      <c r="C3728">
        <f t="shared" si="293"/>
        <v>3</v>
      </c>
      <c r="D3728" t="str">
        <f t="shared" si="294"/>
        <v>March</v>
      </c>
      <c r="E3728">
        <f t="shared" si="295"/>
        <v>2027</v>
      </c>
      <c r="F3728" t="str">
        <f>CONCATENATE(calendar[[#This Row],[Month]],"/",calendar[[#This Row],[Year]])</f>
        <v>3/2027</v>
      </c>
      <c r="G3728">
        <f>WEEKDAY(calendar[[#This Row],[Date]],1)</f>
        <v>3</v>
      </c>
      <c r="H3728" t="str">
        <f>TEXT(calendar[[#This Row],[WeekDay]],"dddd")</f>
        <v>Tuesday</v>
      </c>
      <c r="I3728">
        <f>IF((INT(calendar[[#This Row],[Count]]/7)-calendar[[#This Row],[Count]]/7)&lt;0,I3727,I3727+1)</f>
        <v>533</v>
      </c>
      <c r="J3728">
        <f t="shared" si="297"/>
        <v>3726</v>
      </c>
      <c r="K3728">
        <f>IF(calendar[[#This Row],[Month]]&lt;4,1,IF(calendar[[#This Row],[Month]]&lt;7,2,IF(calendar[[#This Row],[Month]]&lt;10,3,4)))</f>
        <v>1</v>
      </c>
      <c r="L3728">
        <f>IFERROR(IF(VLOOKUP(calendar[[#This Row],[Date]],BH!A:A,1,)&lt;&gt;"",1,0),0)</f>
        <v>0</v>
      </c>
      <c r="M3728">
        <f>IFERROR(IF(VLOOKUP(calendar[[#This Row],[Date]],BH!C:C,1,)&lt;&gt;"",1,0),0)</f>
        <v>0</v>
      </c>
      <c r="N3728">
        <f>IFERROR(IF(VLOOKUP(calendar[[#This Row],[Date]],BH!E:E,1,)&lt;&gt;"",1,0),0)</f>
        <v>0</v>
      </c>
      <c r="O3728">
        <f>IFERROR(IF(VLOOKUP(calendar[[#This Row],[Date]],BH!G:G,1,)&lt;&gt;"",1,0),0)</f>
        <v>0</v>
      </c>
      <c r="P3728">
        <f>IF(OR(calendar[[#This Row],[UK_BH]]=1,calendar[[#This Row],[WeekDay]]=1, calendar[[#This Row],[WeekDay]]=7),P3727,P3727+1)</f>
        <v>2645</v>
      </c>
      <c r="Q3728">
        <f>IF(OR(calendar[[#This Row],[FR_BH]]=1,calendar[[#This Row],[WeekDay]]=1, calendar[[#This Row],[WeekDay]]=7),P3727,P3727+1)</f>
        <v>2645</v>
      </c>
      <c r="R3728">
        <f>IF(OR(calendar[[#This Row],[SP_BH]]=1,calendar[[#This Row],[WeekDay]]=1, calendar[[#This Row],[WeekDay]]=7),P3727,P3727+1)</f>
        <v>2645</v>
      </c>
      <c r="S3728">
        <f>IF(OR(calendar[[#This Row],[PT_BH]]=1,calendar[[#This Row],[WeekDay]]=1, calendar[[#This Row],[WeekDay]]=7),P3727,P3727+1)</f>
        <v>2645</v>
      </c>
    </row>
    <row r="3729" spans="1:19" x14ac:dyDescent="0.25">
      <c r="A3729" s="2">
        <v>46463</v>
      </c>
      <c r="B3729" s="1">
        <f t="shared" si="296"/>
        <v>12</v>
      </c>
      <c r="C3729">
        <f t="shared" si="293"/>
        <v>3</v>
      </c>
      <c r="D3729" t="str">
        <f t="shared" si="294"/>
        <v>March</v>
      </c>
      <c r="E3729">
        <f t="shared" si="295"/>
        <v>2027</v>
      </c>
      <c r="F3729" t="str">
        <f>CONCATENATE(calendar[[#This Row],[Month]],"/",calendar[[#This Row],[Year]])</f>
        <v>3/2027</v>
      </c>
      <c r="G3729">
        <f>WEEKDAY(calendar[[#This Row],[Date]],1)</f>
        <v>4</v>
      </c>
      <c r="H3729" t="str">
        <f>TEXT(calendar[[#This Row],[WeekDay]],"dddd")</f>
        <v>Wednesday</v>
      </c>
      <c r="I3729">
        <f>IF((INT(calendar[[#This Row],[Count]]/7)-calendar[[#This Row],[Count]]/7)&lt;0,I3728,I3728+1)</f>
        <v>533</v>
      </c>
      <c r="J3729">
        <f t="shared" si="297"/>
        <v>3727</v>
      </c>
      <c r="K3729">
        <f>IF(calendar[[#This Row],[Month]]&lt;4,1,IF(calendar[[#This Row],[Month]]&lt;7,2,IF(calendar[[#This Row],[Month]]&lt;10,3,4)))</f>
        <v>1</v>
      </c>
      <c r="L3729">
        <f>IFERROR(IF(VLOOKUP(calendar[[#This Row],[Date]],BH!A:A,1,)&lt;&gt;"",1,0),0)</f>
        <v>0</v>
      </c>
      <c r="M3729">
        <f>IFERROR(IF(VLOOKUP(calendar[[#This Row],[Date]],BH!C:C,1,)&lt;&gt;"",1,0),0)</f>
        <v>0</v>
      </c>
      <c r="N3729">
        <f>IFERROR(IF(VLOOKUP(calendar[[#This Row],[Date]],BH!E:E,1,)&lt;&gt;"",1,0),0)</f>
        <v>0</v>
      </c>
      <c r="O3729">
        <f>IFERROR(IF(VLOOKUP(calendar[[#This Row],[Date]],BH!G:G,1,)&lt;&gt;"",1,0),0)</f>
        <v>0</v>
      </c>
      <c r="P3729">
        <f>IF(OR(calendar[[#This Row],[UK_BH]]=1,calendar[[#This Row],[WeekDay]]=1, calendar[[#This Row],[WeekDay]]=7),P3728,P3728+1)</f>
        <v>2646</v>
      </c>
      <c r="Q3729">
        <f>IF(OR(calendar[[#This Row],[FR_BH]]=1,calendar[[#This Row],[WeekDay]]=1, calendar[[#This Row],[WeekDay]]=7),P3728,P3728+1)</f>
        <v>2646</v>
      </c>
      <c r="R3729">
        <f>IF(OR(calendar[[#This Row],[SP_BH]]=1,calendar[[#This Row],[WeekDay]]=1, calendar[[#This Row],[WeekDay]]=7),P3728,P3728+1)</f>
        <v>2646</v>
      </c>
      <c r="S3729">
        <f>IF(OR(calendar[[#This Row],[PT_BH]]=1,calendar[[#This Row],[WeekDay]]=1, calendar[[#This Row],[WeekDay]]=7),P3728,P3728+1)</f>
        <v>2646</v>
      </c>
    </row>
    <row r="3730" spans="1:19" x14ac:dyDescent="0.25">
      <c r="A3730" s="2">
        <v>46464</v>
      </c>
      <c r="B3730" s="1">
        <f t="shared" si="296"/>
        <v>12</v>
      </c>
      <c r="C3730">
        <f t="shared" si="293"/>
        <v>3</v>
      </c>
      <c r="D3730" t="str">
        <f t="shared" si="294"/>
        <v>March</v>
      </c>
      <c r="E3730">
        <f t="shared" si="295"/>
        <v>2027</v>
      </c>
      <c r="F3730" t="str">
        <f>CONCATENATE(calendar[[#This Row],[Month]],"/",calendar[[#This Row],[Year]])</f>
        <v>3/2027</v>
      </c>
      <c r="G3730">
        <f>WEEKDAY(calendar[[#This Row],[Date]],1)</f>
        <v>5</v>
      </c>
      <c r="H3730" t="str">
        <f>TEXT(calendar[[#This Row],[WeekDay]],"dddd")</f>
        <v>Thursday</v>
      </c>
      <c r="I3730">
        <f>IF((INT(calendar[[#This Row],[Count]]/7)-calendar[[#This Row],[Count]]/7)&lt;0,I3729,I3729+1)</f>
        <v>533</v>
      </c>
      <c r="J3730">
        <f t="shared" si="297"/>
        <v>3728</v>
      </c>
      <c r="K3730">
        <f>IF(calendar[[#This Row],[Month]]&lt;4,1,IF(calendar[[#This Row],[Month]]&lt;7,2,IF(calendar[[#This Row],[Month]]&lt;10,3,4)))</f>
        <v>1</v>
      </c>
      <c r="L3730">
        <f>IFERROR(IF(VLOOKUP(calendar[[#This Row],[Date]],BH!A:A,1,)&lt;&gt;"",1,0),0)</f>
        <v>0</v>
      </c>
      <c r="M3730">
        <f>IFERROR(IF(VLOOKUP(calendar[[#This Row],[Date]],BH!C:C,1,)&lt;&gt;"",1,0),0)</f>
        <v>0</v>
      </c>
      <c r="N3730">
        <f>IFERROR(IF(VLOOKUP(calendar[[#This Row],[Date]],BH!E:E,1,)&lt;&gt;"",1,0),0)</f>
        <v>0</v>
      </c>
      <c r="O3730">
        <f>IFERROR(IF(VLOOKUP(calendar[[#This Row],[Date]],BH!G:G,1,)&lt;&gt;"",1,0),0)</f>
        <v>0</v>
      </c>
      <c r="P3730">
        <f>IF(OR(calendar[[#This Row],[UK_BH]]=1,calendar[[#This Row],[WeekDay]]=1, calendar[[#This Row],[WeekDay]]=7),P3729,P3729+1)</f>
        <v>2647</v>
      </c>
      <c r="Q3730">
        <f>IF(OR(calendar[[#This Row],[FR_BH]]=1,calendar[[#This Row],[WeekDay]]=1, calendar[[#This Row],[WeekDay]]=7),P3729,P3729+1)</f>
        <v>2647</v>
      </c>
      <c r="R3730">
        <f>IF(OR(calendar[[#This Row],[SP_BH]]=1,calendar[[#This Row],[WeekDay]]=1, calendar[[#This Row],[WeekDay]]=7),P3729,P3729+1)</f>
        <v>2647</v>
      </c>
      <c r="S3730">
        <f>IF(OR(calendar[[#This Row],[PT_BH]]=1,calendar[[#This Row],[WeekDay]]=1, calendar[[#This Row],[WeekDay]]=7),P3729,P3729+1)</f>
        <v>2647</v>
      </c>
    </row>
    <row r="3731" spans="1:19" x14ac:dyDescent="0.25">
      <c r="A3731" s="2">
        <v>46465</v>
      </c>
      <c r="B3731" s="1">
        <f t="shared" si="296"/>
        <v>12</v>
      </c>
      <c r="C3731">
        <f t="shared" si="293"/>
        <v>3</v>
      </c>
      <c r="D3731" t="str">
        <f t="shared" si="294"/>
        <v>March</v>
      </c>
      <c r="E3731">
        <f t="shared" si="295"/>
        <v>2027</v>
      </c>
      <c r="F3731" t="str">
        <f>CONCATENATE(calendar[[#This Row],[Month]],"/",calendar[[#This Row],[Year]])</f>
        <v>3/2027</v>
      </c>
      <c r="G3731">
        <f>WEEKDAY(calendar[[#This Row],[Date]],1)</f>
        <v>6</v>
      </c>
      <c r="H3731" t="str">
        <f>TEXT(calendar[[#This Row],[WeekDay]],"dddd")</f>
        <v>Friday</v>
      </c>
      <c r="I3731">
        <f>IF((INT(calendar[[#This Row],[Count]]/7)-calendar[[#This Row],[Count]]/7)&lt;0,I3730,I3730+1)</f>
        <v>533</v>
      </c>
      <c r="J3731">
        <f t="shared" si="297"/>
        <v>3729</v>
      </c>
      <c r="K3731">
        <f>IF(calendar[[#This Row],[Month]]&lt;4,1,IF(calendar[[#This Row],[Month]]&lt;7,2,IF(calendar[[#This Row],[Month]]&lt;10,3,4)))</f>
        <v>1</v>
      </c>
      <c r="L3731">
        <f>IFERROR(IF(VLOOKUP(calendar[[#This Row],[Date]],BH!A:A,1,)&lt;&gt;"",1,0),0)</f>
        <v>0</v>
      </c>
      <c r="M3731">
        <f>IFERROR(IF(VLOOKUP(calendar[[#This Row],[Date]],BH!C:C,1,)&lt;&gt;"",1,0),0)</f>
        <v>0</v>
      </c>
      <c r="N3731">
        <f>IFERROR(IF(VLOOKUP(calendar[[#This Row],[Date]],BH!E:E,1,)&lt;&gt;"",1,0),0)</f>
        <v>1</v>
      </c>
      <c r="O3731">
        <f>IFERROR(IF(VLOOKUP(calendar[[#This Row],[Date]],BH!G:G,1,)&lt;&gt;"",1,0),0)</f>
        <v>0</v>
      </c>
      <c r="P3731">
        <f>IF(OR(calendar[[#This Row],[UK_BH]]=1,calendar[[#This Row],[WeekDay]]=1, calendar[[#This Row],[WeekDay]]=7),P3730,P3730+1)</f>
        <v>2648</v>
      </c>
      <c r="Q3731">
        <f>IF(OR(calendar[[#This Row],[FR_BH]]=1,calendar[[#This Row],[WeekDay]]=1, calendar[[#This Row],[WeekDay]]=7),P3730,P3730+1)</f>
        <v>2648</v>
      </c>
      <c r="R3731">
        <f>IF(OR(calendar[[#This Row],[SP_BH]]=1,calendar[[#This Row],[WeekDay]]=1, calendar[[#This Row],[WeekDay]]=7),P3730,P3730+1)</f>
        <v>2647</v>
      </c>
      <c r="S3731">
        <f>IF(OR(calendar[[#This Row],[PT_BH]]=1,calendar[[#This Row],[WeekDay]]=1, calendar[[#This Row],[WeekDay]]=7),P3730,P3730+1)</f>
        <v>2648</v>
      </c>
    </row>
    <row r="3732" spans="1:19" x14ac:dyDescent="0.25">
      <c r="A3732" s="2">
        <v>46466</v>
      </c>
      <c r="B3732" s="1">
        <f t="shared" si="296"/>
        <v>12</v>
      </c>
      <c r="C3732">
        <f t="shared" si="293"/>
        <v>3</v>
      </c>
      <c r="D3732" t="str">
        <f t="shared" si="294"/>
        <v>March</v>
      </c>
      <c r="E3732">
        <f t="shared" si="295"/>
        <v>2027</v>
      </c>
      <c r="F3732" t="str">
        <f>CONCATENATE(calendar[[#This Row],[Month]],"/",calendar[[#This Row],[Year]])</f>
        <v>3/2027</v>
      </c>
      <c r="G3732">
        <f>WEEKDAY(calendar[[#This Row],[Date]],1)</f>
        <v>7</v>
      </c>
      <c r="H3732" t="str">
        <f>TEXT(calendar[[#This Row],[WeekDay]],"dddd")</f>
        <v>Saturday</v>
      </c>
      <c r="I3732">
        <f>IF((INT(calendar[[#This Row],[Count]]/7)-calendar[[#This Row],[Count]]/7)&lt;0,I3731,I3731+1)</f>
        <v>533</v>
      </c>
      <c r="J3732">
        <f t="shared" si="297"/>
        <v>3730</v>
      </c>
      <c r="K3732">
        <f>IF(calendar[[#This Row],[Month]]&lt;4,1,IF(calendar[[#This Row],[Month]]&lt;7,2,IF(calendar[[#This Row],[Month]]&lt;10,3,4)))</f>
        <v>1</v>
      </c>
      <c r="L3732">
        <f>IFERROR(IF(VLOOKUP(calendar[[#This Row],[Date]],BH!A:A,1,)&lt;&gt;"",1,0),0)</f>
        <v>0</v>
      </c>
      <c r="M3732">
        <f>IFERROR(IF(VLOOKUP(calendar[[#This Row],[Date]],BH!C:C,1,)&lt;&gt;"",1,0),0)</f>
        <v>0</v>
      </c>
      <c r="N3732">
        <f>IFERROR(IF(VLOOKUP(calendar[[#This Row],[Date]],BH!E:E,1,)&lt;&gt;"",1,0),0)</f>
        <v>0</v>
      </c>
      <c r="O3732">
        <f>IFERROR(IF(VLOOKUP(calendar[[#This Row],[Date]],BH!G:G,1,)&lt;&gt;"",1,0),0)</f>
        <v>0</v>
      </c>
      <c r="P3732">
        <f>IF(OR(calendar[[#This Row],[UK_BH]]=1,calendar[[#This Row],[WeekDay]]=1, calendar[[#This Row],[WeekDay]]=7),P3731,P3731+1)</f>
        <v>2648</v>
      </c>
      <c r="Q3732">
        <f>IF(OR(calendar[[#This Row],[FR_BH]]=1,calendar[[#This Row],[WeekDay]]=1, calendar[[#This Row],[WeekDay]]=7),P3731,P3731+1)</f>
        <v>2648</v>
      </c>
      <c r="R3732">
        <f>IF(OR(calendar[[#This Row],[SP_BH]]=1,calendar[[#This Row],[WeekDay]]=1, calendar[[#This Row],[WeekDay]]=7),P3731,P3731+1)</f>
        <v>2648</v>
      </c>
      <c r="S3732">
        <f>IF(OR(calendar[[#This Row],[PT_BH]]=1,calendar[[#This Row],[WeekDay]]=1, calendar[[#This Row],[WeekDay]]=7),P3731,P3731+1)</f>
        <v>2648</v>
      </c>
    </row>
    <row r="3733" spans="1:19" x14ac:dyDescent="0.25">
      <c r="A3733" s="2">
        <v>46467</v>
      </c>
      <c r="B3733" s="1">
        <f t="shared" si="296"/>
        <v>13</v>
      </c>
      <c r="C3733">
        <f t="shared" si="293"/>
        <v>3</v>
      </c>
      <c r="D3733" t="str">
        <f t="shared" si="294"/>
        <v>March</v>
      </c>
      <c r="E3733">
        <f t="shared" si="295"/>
        <v>2027</v>
      </c>
      <c r="F3733" t="str">
        <f>CONCATENATE(calendar[[#This Row],[Month]],"/",calendar[[#This Row],[Year]])</f>
        <v>3/2027</v>
      </c>
      <c r="G3733">
        <f>WEEKDAY(calendar[[#This Row],[Date]],1)</f>
        <v>1</v>
      </c>
      <c r="H3733" t="str">
        <f>TEXT(calendar[[#This Row],[WeekDay]],"dddd")</f>
        <v>Sunday</v>
      </c>
      <c r="I3733">
        <f>IF((INT(calendar[[#This Row],[Count]]/7)-calendar[[#This Row],[Count]]/7)&lt;0,I3732,I3732+1)</f>
        <v>534</v>
      </c>
      <c r="J3733">
        <f t="shared" si="297"/>
        <v>3731</v>
      </c>
      <c r="K3733">
        <f>IF(calendar[[#This Row],[Month]]&lt;4,1,IF(calendar[[#This Row],[Month]]&lt;7,2,IF(calendar[[#This Row],[Month]]&lt;10,3,4)))</f>
        <v>1</v>
      </c>
      <c r="L3733">
        <f>IFERROR(IF(VLOOKUP(calendar[[#This Row],[Date]],BH!A:A,1,)&lt;&gt;"",1,0),0)</f>
        <v>0</v>
      </c>
      <c r="M3733">
        <f>IFERROR(IF(VLOOKUP(calendar[[#This Row],[Date]],BH!C:C,1,)&lt;&gt;"",1,0),0)</f>
        <v>0</v>
      </c>
      <c r="N3733">
        <f>IFERROR(IF(VLOOKUP(calendar[[#This Row],[Date]],BH!E:E,1,)&lt;&gt;"",1,0),0)</f>
        <v>1</v>
      </c>
      <c r="O3733">
        <f>IFERROR(IF(VLOOKUP(calendar[[#This Row],[Date]],BH!G:G,1,)&lt;&gt;"",1,0),0)</f>
        <v>0</v>
      </c>
      <c r="P3733">
        <f>IF(OR(calendar[[#This Row],[UK_BH]]=1,calendar[[#This Row],[WeekDay]]=1, calendar[[#This Row],[WeekDay]]=7),P3732,P3732+1)</f>
        <v>2648</v>
      </c>
      <c r="Q3733">
        <f>IF(OR(calendar[[#This Row],[FR_BH]]=1,calendar[[#This Row],[WeekDay]]=1, calendar[[#This Row],[WeekDay]]=7),P3732,P3732+1)</f>
        <v>2648</v>
      </c>
      <c r="R3733">
        <f>IF(OR(calendar[[#This Row],[SP_BH]]=1,calendar[[#This Row],[WeekDay]]=1, calendar[[#This Row],[WeekDay]]=7),P3732,P3732+1)</f>
        <v>2648</v>
      </c>
      <c r="S3733">
        <f>IF(OR(calendar[[#This Row],[PT_BH]]=1,calendar[[#This Row],[WeekDay]]=1, calendar[[#This Row],[WeekDay]]=7),P3732,P3732+1)</f>
        <v>2648</v>
      </c>
    </row>
    <row r="3734" spans="1:19" x14ac:dyDescent="0.25">
      <c r="A3734" s="2">
        <v>46468</v>
      </c>
      <c r="B3734" s="1">
        <f t="shared" si="296"/>
        <v>13</v>
      </c>
      <c r="C3734">
        <f t="shared" si="293"/>
        <v>3</v>
      </c>
      <c r="D3734" t="str">
        <f t="shared" si="294"/>
        <v>March</v>
      </c>
      <c r="E3734">
        <f t="shared" si="295"/>
        <v>2027</v>
      </c>
      <c r="F3734" t="str">
        <f>CONCATENATE(calendar[[#This Row],[Month]],"/",calendar[[#This Row],[Year]])</f>
        <v>3/2027</v>
      </c>
      <c r="G3734">
        <f>WEEKDAY(calendar[[#This Row],[Date]],1)</f>
        <v>2</v>
      </c>
      <c r="H3734" t="str">
        <f>TEXT(calendar[[#This Row],[WeekDay]],"dddd")</f>
        <v>Monday</v>
      </c>
      <c r="I3734">
        <f>IF((INT(calendar[[#This Row],[Count]]/7)-calendar[[#This Row],[Count]]/7)&lt;0,I3733,I3733+1)</f>
        <v>534</v>
      </c>
      <c r="J3734">
        <f t="shared" si="297"/>
        <v>3732</v>
      </c>
      <c r="K3734">
        <f>IF(calendar[[#This Row],[Month]]&lt;4,1,IF(calendar[[#This Row],[Month]]&lt;7,2,IF(calendar[[#This Row],[Month]]&lt;10,3,4)))</f>
        <v>1</v>
      </c>
      <c r="L3734">
        <f>IFERROR(IF(VLOOKUP(calendar[[#This Row],[Date]],BH!A:A,1,)&lt;&gt;"",1,0),0)</f>
        <v>0</v>
      </c>
      <c r="M3734">
        <f>IFERROR(IF(VLOOKUP(calendar[[#This Row],[Date]],BH!C:C,1,)&lt;&gt;"",1,0),0)</f>
        <v>0</v>
      </c>
      <c r="N3734">
        <f>IFERROR(IF(VLOOKUP(calendar[[#This Row],[Date]],BH!E:E,1,)&lt;&gt;"",1,0),0)</f>
        <v>0</v>
      </c>
      <c r="O3734">
        <f>IFERROR(IF(VLOOKUP(calendar[[#This Row],[Date]],BH!G:G,1,)&lt;&gt;"",1,0),0)</f>
        <v>0</v>
      </c>
      <c r="P3734">
        <f>IF(OR(calendar[[#This Row],[UK_BH]]=1,calendar[[#This Row],[WeekDay]]=1, calendar[[#This Row],[WeekDay]]=7),P3733,P3733+1)</f>
        <v>2649</v>
      </c>
      <c r="Q3734">
        <f>IF(OR(calendar[[#This Row],[FR_BH]]=1,calendar[[#This Row],[WeekDay]]=1, calendar[[#This Row],[WeekDay]]=7),P3733,P3733+1)</f>
        <v>2649</v>
      </c>
      <c r="R3734">
        <f>IF(OR(calendar[[#This Row],[SP_BH]]=1,calendar[[#This Row],[WeekDay]]=1, calendar[[#This Row],[WeekDay]]=7),P3733,P3733+1)</f>
        <v>2649</v>
      </c>
      <c r="S3734">
        <f>IF(OR(calendar[[#This Row],[PT_BH]]=1,calendar[[#This Row],[WeekDay]]=1, calendar[[#This Row],[WeekDay]]=7),P3733,P3733+1)</f>
        <v>2649</v>
      </c>
    </row>
    <row r="3735" spans="1:19" x14ac:dyDescent="0.25">
      <c r="A3735" s="2">
        <v>46469</v>
      </c>
      <c r="B3735" s="1">
        <f t="shared" si="296"/>
        <v>13</v>
      </c>
      <c r="C3735">
        <f t="shared" si="293"/>
        <v>3</v>
      </c>
      <c r="D3735" t="str">
        <f t="shared" si="294"/>
        <v>March</v>
      </c>
      <c r="E3735">
        <f t="shared" si="295"/>
        <v>2027</v>
      </c>
      <c r="F3735" t="str">
        <f>CONCATENATE(calendar[[#This Row],[Month]],"/",calendar[[#This Row],[Year]])</f>
        <v>3/2027</v>
      </c>
      <c r="G3735">
        <f>WEEKDAY(calendar[[#This Row],[Date]],1)</f>
        <v>3</v>
      </c>
      <c r="H3735" t="str">
        <f>TEXT(calendar[[#This Row],[WeekDay]],"dddd")</f>
        <v>Tuesday</v>
      </c>
      <c r="I3735">
        <f>IF((INT(calendar[[#This Row],[Count]]/7)-calendar[[#This Row],[Count]]/7)&lt;0,I3734,I3734+1)</f>
        <v>534</v>
      </c>
      <c r="J3735">
        <f t="shared" si="297"/>
        <v>3733</v>
      </c>
      <c r="K3735">
        <f>IF(calendar[[#This Row],[Month]]&lt;4,1,IF(calendar[[#This Row],[Month]]&lt;7,2,IF(calendar[[#This Row],[Month]]&lt;10,3,4)))</f>
        <v>1</v>
      </c>
      <c r="L3735">
        <f>IFERROR(IF(VLOOKUP(calendar[[#This Row],[Date]],BH!A:A,1,)&lt;&gt;"",1,0),0)</f>
        <v>0</v>
      </c>
      <c r="M3735">
        <f>IFERROR(IF(VLOOKUP(calendar[[#This Row],[Date]],BH!C:C,1,)&lt;&gt;"",1,0),0)</f>
        <v>0</v>
      </c>
      <c r="N3735">
        <f>IFERROR(IF(VLOOKUP(calendar[[#This Row],[Date]],BH!E:E,1,)&lt;&gt;"",1,0),0)</f>
        <v>0</v>
      </c>
      <c r="O3735">
        <f>IFERROR(IF(VLOOKUP(calendar[[#This Row],[Date]],BH!G:G,1,)&lt;&gt;"",1,0),0)</f>
        <v>0</v>
      </c>
      <c r="P3735">
        <f>IF(OR(calendar[[#This Row],[UK_BH]]=1,calendar[[#This Row],[WeekDay]]=1, calendar[[#This Row],[WeekDay]]=7),P3734,P3734+1)</f>
        <v>2650</v>
      </c>
      <c r="Q3735">
        <f>IF(OR(calendar[[#This Row],[FR_BH]]=1,calendar[[#This Row],[WeekDay]]=1, calendar[[#This Row],[WeekDay]]=7),P3734,P3734+1)</f>
        <v>2650</v>
      </c>
      <c r="R3735">
        <f>IF(OR(calendar[[#This Row],[SP_BH]]=1,calendar[[#This Row],[WeekDay]]=1, calendar[[#This Row],[WeekDay]]=7),P3734,P3734+1)</f>
        <v>2650</v>
      </c>
      <c r="S3735">
        <f>IF(OR(calendar[[#This Row],[PT_BH]]=1,calendar[[#This Row],[WeekDay]]=1, calendar[[#This Row],[WeekDay]]=7),P3734,P3734+1)</f>
        <v>2650</v>
      </c>
    </row>
    <row r="3736" spans="1:19" x14ac:dyDescent="0.25">
      <c r="A3736" s="2">
        <v>46470</v>
      </c>
      <c r="B3736" s="1">
        <f t="shared" si="296"/>
        <v>13</v>
      </c>
      <c r="C3736">
        <f t="shared" si="293"/>
        <v>3</v>
      </c>
      <c r="D3736" t="str">
        <f t="shared" si="294"/>
        <v>March</v>
      </c>
      <c r="E3736">
        <f t="shared" si="295"/>
        <v>2027</v>
      </c>
      <c r="F3736" t="str">
        <f>CONCATENATE(calendar[[#This Row],[Month]],"/",calendar[[#This Row],[Year]])</f>
        <v>3/2027</v>
      </c>
      <c r="G3736">
        <f>WEEKDAY(calendar[[#This Row],[Date]],1)</f>
        <v>4</v>
      </c>
      <c r="H3736" t="str">
        <f>TEXT(calendar[[#This Row],[WeekDay]],"dddd")</f>
        <v>Wednesday</v>
      </c>
      <c r="I3736">
        <f>IF((INT(calendar[[#This Row],[Count]]/7)-calendar[[#This Row],[Count]]/7)&lt;0,I3735,I3735+1)</f>
        <v>534</v>
      </c>
      <c r="J3736">
        <f t="shared" si="297"/>
        <v>3734</v>
      </c>
      <c r="K3736">
        <f>IF(calendar[[#This Row],[Month]]&lt;4,1,IF(calendar[[#This Row],[Month]]&lt;7,2,IF(calendar[[#This Row],[Month]]&lt;10,3,4)))</f>
        <v>1</v>
      </c>
      <c r="L3736">
        <f>IFERROR(IF(VLOOKUP(calendar[[#This Row],[Date]],BH!A:A,1,)&lt;&gt;"",1,0),0)</f>
        <v>0</v>
      </c>
      <c r="M3736">
        <f>IFERROR(IF(VLOOKUP(calendar[[#This Row],[Date]],BH!C:C,1,)&lt;&gt;"",1,0),0)</f>
        <v>0</v>
      </c>
      <c r="N3736">
        <f>IFERROR(IF(VLOOKUP(calendar[[#This Row],[Date]],BH!E:E,1,)&lt;&gt;"",1,0),0)</f>
        <v>0</v>
      </c>
      <c r="O3736">
        <f>IFERROR(IF(VLOOKUP(calendar[[#This Row],[Date]],BH!G:G,1,)&lt;&gt;"",1,0),0)</f>
        <v>0</v>
      </c>
      <c r="P3736">
        <f>IF(OR(calendar[[#This Row],[UK_BH]]=1,calendar[[#This Row],[WeekDay]]=1, calendar[[#This Row],[WeekDay]]=7),P3735,P3735+1)</f>
        <v>2651</v>
      </c>
      <c r="Q3736">
        <f>IF(OR(calendar[[#This Row],[FR_BH]]=1,calendar[[#This Row],[WeekDay]]=1, calendar[[#This Row],[WeekDay]]=7),P3735,P3735+1)</f>
        <v>2651</v>
      </c>
      <c r="R3736">
        <f>IF(OR(calendar[[#This Row],[SP_BH]]=1,calendar[[#This Row],[WeekDay]]=1, calendar[[#This Row],[WeekDay]]=7),P3735,P3735+1)</f>
        <v>2651</v>
      </c>
      <c r="S3736">
        <f>IF(OR(calendar[[#This Row],[PT_BH]]=1,calendar[[#This Row],[WeekDay]]=1, calendar[[#This Row],[WeekDay]]=7),P3735,P3735+1)</f>
        <v>2651</v>
      </c>
    </row>
    <row r="3737" spans="1:19" x14ac:dyDescent="0.25">
      <c r="A3737" s="2">
        <v>46471</v>
      </c>
      <c r="B3737" s="1">
        <f t="shared" si="296"/>
        <v>13</v>
      </c>
      <c r="C3737">
        <f t="shared" si="293"/>
        <v>3</v>
      </c>
      <c r="D3737" t="str">
        <f t="shared" si="294"/>
        <v>March</v>
      </c>
      <c r="E3737">
        <f t="shared" si="295"/>
        <v>2027</v>
      </c>
      <c r="F3737" t="str">
        <f>CONCATENATE(calendar[[#This Row],[Month]],"/",calendar[[#This Row],[Year]])</f>
        <v>3/2027</v>
      </c>
      <c r="G3737">
        <f>WEEKDAY(calendar[[#This Row],[Date]],1)</f>
        <v>5</v>
      </c>
      <c r="H3737" t="str">
        <f>TEXT(calendar[[#This Row],[WeekDay]],"dddd")</f>
        <v>Thursday</v>
      </c>
      <c r="I3737">
        <f>IF((INT(calendar[[#This Row],[Count]]/7)-calendar[[#This Row],[Count]]/7)&lt;0,I3736,I3736+1)</f>
        <v>534</v>
      </c>
      <c r="J3737">
        <f t="shared" si="297"/>
        <v>3735</v>
      </c>
      <c r="K3737">
        <f>IF(calendar[[#This Row],[Month]]&lt;4,1,IF(calendar[[#This Row],[Month]]&lt;7,2,IF(calendar[[#This Row],[Month]]&lt;10,3,4)))</f>
        <v>1</v>
      </c>
      <c r="L3737">
        <f>IFERROR(IF(VLOOKUP(calendar[[#This Row],[Date]],BH!A:A,1,)&lt;&gt;"",1,0),0)</f>
        <v>0</v>
      </c>
      <c r="M3737">
        <f>IFERROR(IF(VLOOKUP(calendar[[#This Row],[Date]],BH!C:C,1,)&lt;&gt;"",1,0),0)</f>
        <v>0</v>
      </c>
      <c r="N3737">
        <f>IFERROR(IF(VLOOKUP(calendar[[#This Row],[Date]],BH!E:E,1,)&lt;&gt;"",1,0),0)</f>
        <v>1</v>
      </c>
      <c r="O3737">
        <f>IFERROR(IF(VLOOKUP(calendar[[#This Row],[Date]],BH!G:G,1,)&lt;&gt;"",1,0),0)</f>
        <v>0</v>
      </c>
      <c r="P3737">
        <f>IF(OR(calendar[[#This Row],[UK_BH]]=1,calendar[[#This Row],[WeekDay]]=1, calendar[[#This Row],[WeekDay]]=7),P3736,P3736+1)</f>
        <v>2652</v>
      </c>
      <c r="Q3737">
        <f>IF(OR(calendar[[#This Row],[FR_BH]]=1,calendar[[#This Row],[WeekDay]]=1, calendar[[#This Row],[WeekDay]]=7),P3736,P3736+1)</f>
        <v>2652</v>
      </c>
      <c r="R3737">
        <f>IF(OR(calendar[[#This Row],[SP_BH]]=1,calendar[[#This Row],[WeekDay]]=1, calendar[[#This Row],[WeekDay]]=7),P3736,P3736+1)</f>
        <v>2651</v>
      </c>
      <c r="S3737">
        <f>IF(OR(calendar[[#This Row],[PT_BH]]=1,calendar[[#This Row],[WeekDay]]=1, calendar[[#This Row],[WeekDay]]=7),P3736,P3736+1)</f>
        <v>2652</v>
      </c>
    </row>
    <row r="3738" spans="1:19" x14ac:dyDescent="0.25">
      <c r="A3738" s="2">
        <v>46472</v>
      </c>
      <c r="B3738" s="1">
        <f t="shared" si="296"/>
        <v>13</v>
      </c>
      <c r="C3738">
        <f t="shared" si="293"/>
        <v>3</v>
      </c>
      <c r="D3738" t="str">
        <f t="shared" si="294"/>
        <v>March</v>
      </c>
      <c r="E3738">
        <f t="shared" si="295"/>
        <v>2027</v>
      </c>
      <c r="F3738" t="str">
        <f>CONCATENATE(calendar[[#This Row],[Month]],"/",calendar[[#This Row],[Year]])</f>
        <v>3/2027</v>
      </c>
      <c r="G3738">
        <f>WEEKDAY(calendar[[#This Row],[Date]],1)</f>
        <v>6</v>
      </c>
      <c r="H3738" t="str">
        <f>TEXT(calendar[[#This Row],[WeekDay]],"dddd")</f>
        <v>Friday</v>
      </c>
      <c r="I3738">
        <f>IF((INT(calendar[[#This Row],[Count]]/7)-calendar[[#This Row],[Count]]/7)&lt;0,I3737,I3737+1)</f>
        <v>534</v>
      </c>
      <c r="J3738">
        <f t="shared" si="297"/>
        <v>3736</v>
      </c>
      <c r="K3738">
        <f>IF(calendar[[#This Row],[Month]]&lt;4,1,IF(calendar[[#This Row],[Month]]&lt;7,2,IF(calendar[[#This Row],[Month]]&lt;10,3,4)))</f>
        <v>1</v>
      </c>
      <c r="L3738">
        <f>IFERROR(IF(VLOOKUP(calendar[[#This Row],[Date]],BH!A:A,1,)&lt;&gt;"",1,0),0)</f>
        <v>1</v>
      </c>
      <c r="M3738">
        <f>IFERROR(IF(VLOOKUP(calendar[[#This Row],[Date]],BH!C:C,1,)&lt;&gt;"",1,0),0)</f>
        <v>1</v>
      </c>
      <c r="N3738">
        <f>IFERROR(IF(VLOOKUP(calendar[[#This Row],[Date]],BH!E:E,1,)&lt;&gt;"",1,0),0)</f>
        <v>1</v>
      </c>
      <c r="O3738">
        <f>IFERROR(IF(VLOOKUP(calendar[[#This Row],[Date]],BH!G:G,1,)&lt;&gt;"",1,0),0)</f>
        <v>1</v>
      </c>
      <c r="P3738">
        <f>IF(OR(calendar[[#This Row],[UK_BH]]=1,calendar[[#This Row],[WeekDay]]=1, calendar[[#This Row],[WeekDay]]=7),P3737,P3737+1)</f>
        <v>2652</v>
      </c>
      <c r="Q3738">
        <f>IF(OR(calendar[[#This Row],[FR_BH]]=1,calendar[[#This Row],[WeekDay]]=1, calendar[[#This Row],[WeekDay]]=7),P3737,P3737+1)</f>
        <v>2652</v>
      </c>
      <c r="R3738">
        <f>IF(OR(calendar[[#This Row],[SP_BH]]=1,calendar[[#This Row],[WeekDay]]=1, calendar[[#This Row],[WeekDay]]=7),P3737,P3737+1)</f>
        <v>2652</v>
      </c>
      <c r="S3738">
        <f>IF(OR(calendar[[#This Row],[PT_BH]]=1,calendar[[#This Row],[WeekDay]]=1, calendar[[#This Row],[WeekDay]]=7),P3737,P3737+1)</f>
        <v>2652</v>
      </c>
    </row>
    <row r="3739" spans="1:19" x14ac:dyDescent="0.25">
      <c r="A3739" s="2">
        <v>46473</v>
      </c>
      <c r="B3739" s="1">
        <f t="shared" si="296"/>
        <v>13</v>
      </c>
      <c r="C3739">
        <f t="shared" si="293"/>
        <v>3</v>
      </c>
      <c r="D3739" t="str">
        <f t="shared" si="294"/>
        <v>March</v>
      </c>
      <c r="E3739">
        <f t="shared" si="295"/>
        <v>2027</v>
      </c>
      <c r="F3739" t="str">
        <f>CONCATENATE(calendar[[#This Row],[Month]],"/",calendar[[#This Row],[Year]])</f>
        <v>3/2027</v>
      </c>
      <c r="G3739">
        <f>WEEKDAY(calendar[[#This Row],[Date]],1)</f>
        <v>7</v>
      </c>
      <c r="H3739" t="str">
        <f>TEXT(calendar[[#This Row],[WeekDay]],"dddd")</f>
        <v>Saturday</v>
      </c>
      <c r="I3739">
        <f>IF((INT(calendar[[#This Row],[Count]]/7)-calendar[[#This Row],[Count]]/7)&lt;0,I3738,I3738+1)</f>
        <v>534</v>
      </c>
      <c r="J3739">
        <f t="shared" si="297"/>
        <v>3737</v>
      </c>
      <c r="K3739">
        <f>IF(calendar[[#This Row],[Month]]&lt;4,1,IF(calendar[[#This Row],[Month]]&lt;7,2,IF(calendar[[#This Row],[Month]]&lt;10,3,4)))</f>
        <v>1</v>
      </c>
      <c r="L3739">
        <f>IFERROR(IF(VLOOKUP(calendar[[#This Row],[Date]],BH!A:A,1,)&lt;&gt;"",1,0),0)</f>
        <v>0</v>
      </c>
      <c r="M3739">
        <f>IFERROR(IF(VLOOKUP(calendar[[#This Row],[Date]],BH!C:C,1,)&lt;&gt;"",1,0),0)</f>
        <v>0</v>
      </c>
      <c r="N3739">
        <f>IFERROR(IF(VLOOKUP(calendar[[#This Row],[Date]],BH!E:E,1,)&lt;&gt;"",1,0),0)</f>
        <v>0</v>
      </c>
      <c r="O3739">
        <f>IFERROR(IF(VLOOKUP(calendar[[#This Row],[Date]],BH!G:G,1,)&lt;&gt;"",1,0),0)</f>
        <v>0</v>
      </c>
      <c r="P3739">
        <f>IF(OR(calendar[[#This Row],[UK_BH]]=1,calendar[[#This Row],[WeekDay]]=1, calendar[[#This Row],[WeekDay]]=7),P3738,P3738+1)</f>
        <v>2652</v>
      </c>
      <c r="Q3739">
        <f>IF(OR(calendar[[#This Row],[FR_BH]]=1,calendar[[#This Row],[WeekDay]]=1, calendar[[#This Row],[WeekDay]]=7),P3738,P3738+1)</f>
        <v>2652</v>
      </c>
      <c r="R3739">
        <f>IF(OR(calendar[[#This Row],[SP_BH]]=1,calendar[[#This Row],[WeekDay]]=1, calendar[[#This Row],[WeekDay]]=7),P3738,P3738+1)</f>
        <v>2652</v>
      </c>
      <c r="S3739">
        <f>IF(OR(calendar[[#This Row],[PT_BH]]=1,calendar[[#This Row],[WeekDay]]=1, calendar[[#This Row],[WeekDay]]=7),P3738,P3738+1)</f>
        <v>2652</v>
      </c>
    </row>
    <row r="3740" spans="1:19" x14ac:dyDescent="0.25">
      <c r="A3740" s="2">
        <v>46474</v>
      </c>
      <c r="B3740" s="1">
        <f t="shared" si="296"/>
        <v>14</v>
      </c>
      <c r="C3740">
        <f t="shared" ref="C3740:C3803" si="298">MONTH(A3740)</f>
        <v>3</v>
      </c>
      <c r="D3740" t="str">
        <f t="shared" ref="D3740:D3803" si="299">TEXT(A3740,"mmmm")</f>
        <v>March</v>
      </c>
      <c r="E3740">
        <f t="shared" ref="E3740:E3803" si="300">YEAR(A3740)</f>
        <v>2027</v>
      </c>
      <c r="F3740" t="str">
        <f>CONCATENATE(calendar[[#This Row],[Month]],"/",calendar[[#This Row],[Year]])</f>
        <v>3/2027</v>
      </c>
      <c r="G3740">
        <f>WEEKDAY(calendar[[#This Row],[Date]],1)</f>
        <v>1</v>
      </c>
      <c r="H3740" t="str">
        <f>TEXT(calendar[[#This Row],[WeekDay]],"dddd")</f>
        <v>Sunday</v>
      </c>
      <c r="I3740">
        <f>IF((INT(calendar[[#This Row],[Count]]/7)-calendar[[#This Row],[Count]]/7)&lt;0,I3739,I3739+1)</f>
        <v>535</v>
      </c>
      <c r="J3740">
        <f t="shared" si="297"/>
        <v>3738</v>
      </c>
      <c r="K3740">
        <f>IF(calendar[[#This Row],[Month]]&lt;4,1,IF(calendar[[#This Row],[Month]]&lt;7,2,IF(calendar[[#This Row],[Month]]&lt;10,3,4)))</f>
        <v>1</v>
      </c>
      <c r="L3740">
        <f>IFERROR(IF(VLOOKUP(calendar[[#This Row],[Date]],BH!A:A,1,)&lt;&gt;"",1,0),0)</f>
        <v>0</v>
      </c>
      <c r="M3740">
        <f>IFERROR(IF(VLOOKUP(calendar[[#This Row],[Date]],BH!C:C,1,)&lt;&gt;"",1,0),0)</f>
        <v>0</v>
      </c>
      <c r="N3740">
        <f>IFERROR(IF(VLOOKUP(calendar[[#This Row],[Date]],BH!E:E,1,)&lt;&gt;"",1,0),0)</f>
        <v>1</v>
      </c>
      <c r="O3740">
        <f>IFERROR(IF(VLOOKUP(calendar[[#This Row],[Date]],BH!G:G,1,)&lt;&gt;"",1,0),0)</f>
        <v>1</v>
      </c>
      <c r="P3740">
        <f>IF(OR(calendar[[#This Row],[UK_BH]]=1,calendar[[#This Row],[WeekDay]]=1, calendar[[#This Row],[WeekDay]]=7),P3739,P3739+1)</f>
        <v>2652</v>
      </c>
      <c r="Q3740">
        <f>IF(OR(calendar[[#This Row],[FR_BH]]=1,calendar[[#This Row],[WeekDay]]=1, calendar[[#This Row],[WeekDay]]=7),P3739,P3739+1)</f>
        <v>2652</v>
      </c>
      <c r="R3740">
        <f>IF(OR(calendar[[#This Row],[SP_BH]]=1,calendar[[#This Row],[WeekDay]]=1, calendar[[#This Row],[WeekDay]]=7),P3739,P3739+1)</f>
        <v>2652</v>
      </c>
      <c r="S3740">
        <f>IF(OR(calendar[[#This Row],[PT_BH]]=1,calendar[[#This Row],[WeekDay]]=1, calendar[[#This Row],[WeekDay]]=7),P3739,P3739+1)</f>
        <v>2652</v>
      </c>
    </row>
    <row r="3741" spans="1:19" x14ac:dyDescent="0.25">
      <c r="A3741" s="2">
        <v>46475</v>
      </c>
      <c r="B3741" s="1">
        <f t="shared" si="296"/>
        <v>14</v>
      </c>
      <c r="C3741">
        <f t="shared" si="298"/>
        <v>3</v>
      </c>
      <c r="D3741" t="str">
        <f t="shared" si="299"/>
        <v>March</v>
      </c>
      <c r="E3741">
        <f t="shared" si="300"/>
        <v>2027</v>
      </c>
      <c r="F3741" t="str">
        <f>CONCATENATE(calendar[[#This Row],[Month]],"/",calendar[[#This Row],[Year]])</f>
        <v>3/2027</v>
      </c>
      <c r="G3741">
        <f>WEEKDAY(calendar[[#This Row],[Date]],1)</f>
        <v>2</v>
      </c>
      <c r="H3741" t="str">
        <f>TEXT(calendar[[#This Row],[WeekDay]],"dddd")</f>
        <v>Monday</v>
      </c>
      <c r="I3741">
        <f>IF((INT(calendar[[#This Row],[Count]]/7)-calendar[[#This Row],[Count]]/7)&lt;0,I3740,I3740+1)</f>
        <v>535</v>
      </c>
      <c r="J3741">
        <f t="shared" si="297"/>
        <v>3739</v>
      </c>
      <c r="K3741">
        <f>IF(calendar[[#This Row],[Month]]&lt;4,1,IF(calendar[[#This Row],[Month]]&lt;7,2,IF(calendar[[#This Row],[Month]]&lt;10,3,4)))</f>
        <v>1</v>
      </c>
      <c r="L3741">
        <f>IFERROR(IF(VLOOKUP(calendar[[#This Row],[Date]],BH!A:A,1,)&lt;&gt;"",1,0),0)</f>
        <v>1</v>
      </c>
      <c r="M3741">
        <f>IFERROR(IF(VLOOKUP(calendar[[#This Row],[Date]],BH!C:C,1,)&lt;&gt;"",1,0),0)</f>
        <v>1</v>
      </c>
      <c r="N3741">
        <f>IFERROR(IF(VLOOKUP(calendar[[#This Row],[Date]],BH!E:E,1,)&lt;&gt;"",1,0),0)</f>
        <v>1</v>
      </c>
      <c r="O3741">
        <f>IFERROR(IF(VLOOKUP(calendar[[#This Row],[Date]],BH!G:G,1,)&lt;&gt;"",1,0),0)</f>
        <v>0</v>
      </c>
      <c r="P3741">
        <f>IF(OR(calendar[[#This Row],[UK_BH]]=1,calendar[[#This Row],[WeekDay]]=1, calendar[[#This Row],[WeekDay]]=7),P3740,P3740+1)</f>
        <v>2652</v>
      </c>
      <c r="Q3741">
        <f>IF(OR(calendar[[#This Row],[FR_BH]]=1,calendar[[#This Row],[WeekDay]]=1, calendar[[#This Row],[WeekDay]]=7),P3740,P3740+1)</f>
        <v>2652</v>
      </c>
      <c r="R3741">
        <f>IF(OR(calendar[[#This Row],[SP_BH]]=1,calendar[[#This Row],[WeekDay]]=1, calendar[[#This Row],[WeekDay]]=7),P3740,P3740+1)</f>
        <v>2652</v>
      </c>
      <c r="S3741">
        <f>IF(OR(calendar[[#This Row],[PT_BH]]=1,calendar[[#This Row],[WeekDay]]=1, calendar[[#This Row],[WeekDay]]=7),P3740,P3740+1)</f>
        <v>2653</v>
      </c>
    </row>
    <row r="3742" spans="1:19" x14ac:dyDescent="0.25">
      <c r="A3742" s="2">
        <v>46476</v>
      </c>
      <c r="B3742" s="1">
        <f t="shared" si="296"/>
        <v>14</v>
      </c>
      <c r="C3742">
        <f t="shared" si="298"/>
        <v>3</v>
      </c>
      <c r="D3742" t="str">
        <f t="shared" si="299"/>
        <v>March</v>
      </c>
      <c r="E3742">
        <f t="shared" si="300"/>
        <v>2027</v>
      </c>
      <c r="F3742" t="str">
        <f>CONCATENATE(calendar[[#This Row],[Month]],"/",calendar[[#This Row],[Year]])</f>
        <v>3/2027</v>
      </c>
      <c r="G3742">
        <f>WEEKDAY(calendar[[#This Row],[Date]],1)</f>
        <v>3</v>
      </c>
      <c r="H3742" t="str">
        <f>TEXT(calendar[[#This Row],[WeekDay]],"dddd")</f>
        <v>Tuesday</v>
      </c>
      <c r="I3742">
        <f>IF((INT(calendar[[#This Row],[Count]]/7)-calendar[[#This Row],[Count]]/7)&lt;0,I3741,I3741+1)</f>
        <v>535</v>
      </c>
      <c r="J3742">
        <f t="shared" si="297"/>
        <v>3740</v>
      </c>
      <c r="K3742">
        <f>IF(calendar[[#This Row],[Month]]&lt;4,1,IF(calendar[[#This Row],[Month]]&lt;7,2,IF(calendar[[#This Row],[Month]]&lt;10,3,4)))</f>
        <v>1</v>
      </c>
      <c r="L3742">
        <f>IFERROR(IF(VLOOKUP(calendar[[#This Row],[Date]],BH!A:A,1,)&lt;&gt;"",1,0),0)</f>
        <v>0</v>
      </c>
      <c r="M3742">
        <f>IFERROR(IF(VLOOKUP(calendar[[#This Row],[Date]],BH!C:C,1,)&lt;&gt;"",1,0),0)</f>
        <v>0</v>
      </c>
      <c r="N3742">
        <f>IFERROR(IF(VLOOKUP(calendar[[#This Row],[Date]],BH!E:E,1,)&lt;&gt;"",1,0),0)</f>
        <v>0</v>
      </c>
      <c r="O3742">
        <f>IFERROR(IF(VLOOKUP(calendar[[#This Row],[Date]],BH!G:G,1,)&lt;&gt;"",1,0),0)</f>
        <v>0</v>
      </c>
      <c r="P3742">
        <f>IF(OR(calendar[[#This Row],[UK_BH]]=1,calendar[[#This Row],[WeekDay]]=1, calendar[[#This Row],[WeekDay]]=7),P3741,P3741+1)</f>
        <v>2653</v>
      </c>
      <c r="Q3742">
        <f>IF(OR(calendar[[#This Row],[FR_BH]]=1,calendar[[#This Row],[WeekDay]]=1, calendar[[#This Row],[WeekDay]]=7),P3741,P3741+1)</f>
        <v>2653</v>
      </c>
      <c r="R3742">
        <f>IF(OR(calendar[[#This Row],[SP_BH]]=1,calendar[[#This Row],[WeekDay]]=1, calendar[[#This Row],[WeekDay]]=7),P3741,P3741+1)</f>
        <v>2653</v>
      </c>
      <c r="S3742">
        <f>IF(OR(calendar[[#This Row],[PT_BH]]=1,calendar[[#This Row],[WeekDay]]=1, calendar[[#This Row],[WeekDay]]=7),P3741,P3741+1)</f>
        <v>2653</v>
      </c>
    </row>
    <row r="3743" spans="1:19" x14ac:dyDescent="0.25">
      <c r="A3743" s="2">
        <v>46477</v>
      </c>
      <c r="B3743" s="1">
        <f t="shared" si="296"/>
        <v>14</v>
      </c>
      <c r="C3743">
        <f t="shared" si="298"/>
        <v>3</v>
      </c>
      <c r="D3743" t="str">
        <f t="shared" si="299"/>
        <v>March</v>
      </c>
      <c r="E3743">
        <f t="shared" si="300"/>
        <v>2027</v>
      </c>
      <c r="F3743" t="str">
        <f>CONCATENATE(calendar[[#This Row],[Month]],"/",calendar[[#This Row],[Year]])</f>
        <v>3/2027</v>
      </c>
      <c r="G3743">
        <f>WEEKDAY(calendar[[#This Row],[Date]],1)</f>
        <v>4</v>
      </c>
      <c r="H3743" t="str">
        <f>TEXT(calendar[[#This Row],[WeekDay]],"dddd")</f>
        <v>Wednesday</v>
      </c>
      <c r="I3743">
        <f>IF((INT(calendar[[#This Row],[Count]]/7)-calendar[[#This Row],[Count]]/7)&lt;0,I3742,I3742+1)</f>
        <v>535</v>
      </c>
      <c r="J3743">
        <f t="shared" si="297"/>
        <v>3741</v>
      </c>
      <c r="K3743">
        <f>IF(calendar[[#This Row],[Month]]&lt;4,1,IF(calendar[[#This Row],[Month]]&lt;7,2,IF(calendar[[#This Row],[Month]]&lt;10,3,4)))</f>
        <v>1</v>
      </c>
      <c r="L3743">
        <f>IFERROR(IF(VLOOKUP(calendar[[#This Row],[Date]],BH!A:A,1,)&lt;&gt;"",1,0),0)</f>
        <v>0</v>
      </c>
      <c r="M3743">
        <f>IFERROR(IF(VLOOKUP(calendar[[#This Row],[Date]],BH!C:C,1,)&lt;&gt;"",1,0),0)</f>
        <v>0</v>
      </c>
      <c r="N3743">
        <f>IFERROR(IF(VLOOKUP(calendar[[#This Row],[Date]],BH!E:E,1,)&lt;&gt;"",1,0),0)</f>
        <v>0</v>
      </c>
      <c r="O3743">
        <f>IFERROR(IF(VLOOKUP(calendar[[#This Row],[Date]],BH!G:G,1,)&lt;&gt;"",1,0),0)</f>
        <v>0</v>
      </c>
      <c r="P3743">
        <f>IF(OR(calendar[[#This Row],[UK_BH]]=1,calendar[[#This Row],[WeekDay]]=1, calendar[[#This Row],[WeekDay]]=7),P3742,P3742+1)</f>
        <v>2654</v>
      </c>
      <c r="Q3743">
        <f>IF(OR(calendar[[#This Row],[FR_BH]]=1,calendar[[#This Row],[WeekDay]]=1, calendar[[#This Row],[WeekDay]]=7),P3742,P3742+1)</f>
        <v>2654</v>
      </c>
      <c r="R3743">
        <f>IF(OR(calendar[[#This Row],[SP_BH]]=1,calendar[[#This Row],[WeekDay]]=1, calendar[[#This Row],[WeekDay]]=7),P3742,P3742+1)</f>
        <v>2654</v>
      </c>
      <c r="S3743">
        <f>IF(OR(calendar[[#This Row],[PT_BH]]=1,calendar[[#This Row],[WeekDay]]=1, calendar[[#This Row],[WeekDay]]=7),P3742,P3742+1)</f>
        <v>2654</v>
      </c>
    </row>
    <row r="3744" spans="1:19" x14ac:dyDescent="0.25">
      <c r="A3744" s="2">
        <v>46478</v>
      </c>
      <c r="B3744" s="1">
        <f t="shared" si="296"/>
        <v>14</v>
      </c>
      <c r="C3744">
        <f t="shared" si="298"/>
        <v>4</v>
      </c>
      <c r="D3744" t="str">
        <f t="shared" si="299"/>
        <v>April</v>
      </c>
      <c r="E3744">
        <f t="shared" si="300"/>
        <v>2027</v>
      </c>
      <c r="F3744" t="str">
        <f>CONCATENATE(calendar[[#This Row],[Month]],"/",calendar[[#This Row],[Year]])</f>
        <v>4/2027</v>
      </c>
      <c r="G3744">
        <f>WEEKDAY(calendar[[#This Row],[Date]],1)</f>
        <v>5</v>
      </c>
      <c r="H3744" t="str">
        <f>TEXT(calendar[[#This Row],[WeekDay]],"dddd")</f>
        <v>Thursday</v>
      </c>
      <c r="I3744">
        <f>IF((INT(calendar[[#This Row],[Count]]/7)-calendar[[#This Row],[Count]]/7)&lt;0,I3743,I3743+1)</f>
        <v>535</v>
      </c>
      <c r="J3744">
        <f t="shared" si="297"/>
        <v>3742</v>
      </c>
      <c r="K3744">
        <f>IF(calendar[[#This Row],[Month]]&lt;4,1,IF(calendar[[#This Row],[Month]]&lt;7,2,IF(calendar[[#This Row],[Month]]&lt;10,3,4)))</f>
        <v>2</v>
      </c>
      <c r="L3744">
        <f>IFERROR(IF(VLOOKUP(calendar[[#This Row],[Date]],BH!A:A,1,)&lt;&gt;"",1,0),0)</f>
        <v>0</v>
      </c>
      <c r="M3744">
        <f>IFERROR(IF(VLOOKUP(calendar[[#This Row],[Date]],BH!C:C,1,)&lt;&gt;"",1,0),0)</f>
        <v>0</v>
      </c>
      <c r="N3744">
        <f>IFERROR(IF(VLOOKUP(calendar[[#This Row],[Date]],BH!E:E,1,)&lt;&gt;"",1,0),0)</f>
        <v>0</v>
      </c>
      <c r="O3744">
        <f>IFERROR(IF(VLOOKUP(calendar[[#This Row],[Date]],BH!G:G,1,)&lt;&gt;"",1,0),0)</f>
        <v>0</v>
      </c>
      <c r="P3744">
        <f>IF(OR(calendar[[#This Row],[UK_BH]]=1,calendar[[#This Row],[WeekDay]]=1, calendar[[#This Row],[WeekDay]]=7),P3743,P3743+1)</f>
        <v>2655</v>
      </c>
      <c r="Q3744">
        <f>IF(OR(calendar[[#This Row],[FR_BH]]=1,calendar[[#This Row],[WeekDay]]=1, calendar[[#This Row],[WeekDay]]=7),P3743,P3743+1)</f>
        <v>2655</v>
      </c>
      <c r="R3744">
        <f>IF(OR(calendar[[#This Row],[SP_BH]]=1,calendar[[#This Row],[WeekDay]]=1, calendar[[#This Row],[WeekDay]]=7),P3743,P3743+1)</f>
        <v>2655</v>
      </c>
      <c r="S3744">
        <f>IF(OR(calendar[[#This Row],[PT_BH]]=1,calendar[[#This Row],[WeekDay]]=1, calendar[[#This Row],[WeekDay]]=7),P3743,P3743+1)</f>
        <v>2655</v>
      </c>
    </row>
    <row r="3745" spans="1:19" x14ac:dyDescent="0.25">
      <c r="A3745" s="2">
        <v>46479</v>
      </c>
      <c r="B3745" s="1">
        <f t="shared" si="296"/>
        <v>14</v>
      </c>
      <c r="C3745">
        <f t="shared" si="298"/>
        <v>4</v>
      </c>
      <c r="D3745" t="str">
        <f t="shared" si="299"/>
        <v>April</v>
      </c>
      <c r="E3745">
        <f t="shared" si="300"/>
        <v>2027</v>
      </c>
      <c r="F3745" t="str">
        <f>CONCATENATE(calendar[[#This Row],[Month]],"/",calendar[[#This Row],[Year]])</f>
        <v>4/2027</v>
      </c>
      <c r="G3745">
        <f>WEEKDAY(calendar[[#This Row],[Date]],1)</f>
        <v>6</v>
      </c>
      <c r="H3745" t="str">
        <f>TEXT(calendar[[#This Row],[WeekDay]],"dddd")</f>
        <v>Friday</v>
      </c>
      <c r="I3745">
        <f>IF((INT(calendar[[#This Row],[Count]]/7)-calendar[[#This Row],[Count]]/7)&lt;0,I3744,I3744+1)</f>
        <v>535</v>
      </c>
      <c r="J3745">
        <f t="shared" si="297"/>
        <v>3743</v>
      </c>
      <c r="K3745">
        <f>IF(calendar[[#This Row],[Month]]&lt;4,1,IF(calendar[[#This Row],[Month]]&lt;7,2,IF(calendar[[#This Row],[Month]]&lt;10,3,4)))</f>
        <v>2</v>
      </c>
      <c r="L3745">
        <f>IFERROR(IF(VLOOKUP(calendar[[#This Row],[Date]],BH!A:A,1,)&lt;&gt;"",1,0),0)</f>
        <v>0</v>
      </c>
      <c r="M3745">
        <f>IFERROR(IF(VLOOKUP(calendar[[#This Row],[Date]],BH!C:C,1,)&lt;&gt;"",1,0),0)</f>
        <v>0</v>
      </c>
      <c r="N3745">
        <f>IFERROR(IF(VLOOKUP(calendar[[#This Row],[Date]],BH!E:E,1,)&lt;&gt;"",1,0),0)</f>
        <v>0</v>
      </c>
      <c r="O3745">
        <f>IFERROR(IF(VLOOKUP(calendar[[#This Row],[Date]],BH!G:G,1,)&lt;&gt;"",1,0),0)</f>
        <v>0</v>
      </c>
      <c r="P3745">
        <f>IF(OR(calendar[[#This Row],[UK_BH]]=1,calendar[[#This Row],[WeekDay]]=1, calendar[[#This Row],[WeekDay]]=7),P3744,P3744+1)</f>
        <v>2656</v>
      </c>
      <c r="Q3745">
        <f>IF(OR(calendar[[#This Row],[FR_BH]]=1,calendar[[#This Row],[WeekDay]]=1, calendar[[#This Row],[WeekDay]]=7),P3744,P3744+1)</f>
        <v>2656</v>
      </c>
      <c r="R3745">
        <f>IF(OR(calendar[[#This Row],[SP_BH]]=1,calendar[[#This Row],[WeekDay]]=1, calendar[[#This Row],[WeekDay]]=7),P3744,P3744+1)</f>
        <v>2656</v>
      </c>
      <c r="S3745">
        <f>IF(OR(calendar[[#This Row],[PT_BH]]=1,calendar[[#This Row],[WeekDay]]=1, calendar[[#This Row],[WeekDay]]=7),P3744,P3744+1)</f>
        <v>2656</v>
      </c>
    </row>
    <row r="3746" spans="1:19" x14ac:dyDescent="0.25">
      <c r="A3746" s="2">
        <v>46480</v>
      </c>
      <c r="B3746" s="1">
        <f t="shared" si="296"/>
        <v>14</v>
      </c>
      <c r="C3746">
        <f t="shared" si="298"/>
        <v>4</v>
      </c>
      <c r="D3746" t="str">
        <f t="shared" si="299"/>
        <v>April</v>
      </c>
      <c r="E3746">
        <f t="shared" si="300"/>
        <v>2027</v>
      </c>
      <c r="F3746" t="str">
        <f>CONCATENATE(calendar[[#This Row],[Month]],"/",calendar[[#This Row],[Year]])</f>
        <v>4/2027</v>
      </c>
      <c r="G3746">
        <f>WEEKDAY(calendar[[#This Row],[Date]],1)</f>
        <v>7</v>
      </c>
      <c r="H3746" t="str">
        <f>TEXT(calendar[[#This Row],[WeekDay]],"dddd")</f>
        <v>Saturday</v>
      </c>
      <c r="I3746">
        <f>IF((INT(calendar[[#This Row],[Count]]/7)-calendar[[#This Row],[Count]]/7)&lt;0,I3745,I3745+1)</f>
        <v>535</v>
      </c>
      <c r="J3746">
        <f t="shared" si="297"/>
        <v>3744</v>
      </c>
      <c r="K3746">
        <f>IF(calendar[[#This Row],[Month]]&lt;4,1,IF(calendar[[#This Row],[Month]]&lt;7,2,IF(calendar[[#This Row],[Month]]&lt;10,3,4)))</f>
        <v>2</v>
      </c>
      <c r="L3746">
        <f>IFERROR(IF(VLOOKUP(calendar[[#This Row],[Date]],BH!A:A,1,)&lt;&gt;"",1,0),0)</f>
        <v>0</v>
      </c>
      <c r="M3746">
        <f>IFERROR(IF(VLOOKUP(calendar[[#This Row],[Date]],BH!C:C,1,)&lt;&gt;"",1,0),0)</f>
        <v>0</v>
      </c>
      <c r="N3746">
        <f>IFERROR(IF(VLOOKUP(calendar[[#This Row],[Date]],BH!E:E,1,)&lt;&gt;"",1,0),0)</f>
        <v>0</v>
      </c>
      <c r="O3746">
        <f>IFERROR(IF(VLOOKUP(calendar[[#This Row],[Date]],BH!G:G,1,)&lt;&gt;"",1,0),0)</f>
        <v>0</v>
      </c>
      <c r="P3746">
        <f>IF(OR(calendar[[#This Row],[UK_BH]]=1,calendar[[#This Row],[WeekDay]]=1, calendar[[#This Row],[WeekDay]]=7),P3745,P3745+1)</f>
        <v>2656</v>
      </c>
      <c r="Q3746">
        <f>IF(OR(calendar[[#This Row],[FR_BH]]=1,calendar[[#This Row],[WeekDay]]=1, calendar[[#This Row],[WeekDay]]=7),P3745,P3745+1)</f>
        <v>2656</v>
      </c>
      <c r="R3746">
        <f>IF(OR(calendar[[#This Row],[SP_BH]]=1,calendar[[#This Row],[WeekDay]]=1, calendar[[#This Row],[WeekDay]]=7),P3745,P3745+1)</f>
        <v>2656</v>
      </c>
      <c r="S3746">
        <f>IF(OR(calendar[[#This Row],[PT_BH]]=1,calendar[[#This Row],[WeekDay]]=1, calendar[[#This Row],[WeekDay]]=7),P3745,P3745+1)</f>
        <v>2656</v>
      </c>
    </row>
    <row r="3747" spans="1:19" x14ac:dyDescent="0.25">
      <c r="A3747" s="2">
        <v>46481</v>
      </c>
      <c r="B3747" s="1">
        <f t="shared" si="296"/>
        <v>15</v>
      </c>
      <c r="C3747">
        <f t="shared" si="298"/>
        <v>4</v>
      </c>
      <c r="D3747" t="str">
        <f t="shared" si="299"/>
        <v>April</v>
      </c>
      <c r="E3747">
        <f t="shared" si="300"/>
        <v>2027</v>
      </c>
      <c r="F3747" t="str">
        <f>CONCATENATE(calendar[[#This Row],[Month]],"/",calendar[[#This Row],[Year]])</f>
        <v>4/2027</v>
      </c>
      <c r="G3747">
        <f>WEEKDAY(calendar[[#This Row],[Date]],1)</f>
        <v>1</v>
      </c>
      <c r="H3747" t="str">
        <f>TEXT(calendar[[#This Row],[WeekDay]],"dddd")</f>
        <v>Sunday</v>
      </c>
      <c r="I3747">
        <f>IF((INT(calendar[[#This Row],[Count]]/7)-calendar[[#This Row],[Count]]/7)&lt;0,I3746,I3746+1)</f>
        <v>536</v>
      </c>
      <c r="J3747">
        <f t="shared" si="297"/>
        <v>3745</v>
      </c>
      <c r="K3747">
        <f>IF(calendar[[#This Row],[Month]]&lt;4,1,IF(calendar[[#This Row],[Month]]&lt;7,2,IF(calendar[[#This Row],[Month]]&lt;10,3,4)))</f>
        <v>2</v>
      </c>
      <c r="L3747">
        <f>IFERROR(IF(VLOOKUP(calendar[[#This Row],[Date]],BH!A:A,1,)&lt;&gt;"",1,0),0)</f>
        <v>0</v>
      </c>
      <c r="M3747">
        <f>IFERROR(IF(VLOOKUP(calendar[[#This Row],[Date]],BH!C:C,1,)&lt;&gt;"",1,0),0)</f>
        <v>0</v>
      </c>
      <c r="N3747">
        <f>IFERROR(IF(VLOOKUP(calendar[[#This Row],[Date]],BH!E:E,1,)&lt;&gt;"",1,0),0)</f>
        <v>0</v>
      </c>
      <c r="O3747">
        <f>IFERROR(IF(VLOOKUP(calendar[[#This Row],[Date]],BH!G:G,1,)&lt;&gt;"",1,0),0)</f>
        <v>0</v>
      </c>
      <c r="P3747">
        <f>IF(OR(calendar[[#This Row],[UK_BH]]=1,calendar[[#This Row],[WeekDay]]=1, calendar[[#This Row],[WeekDay]]=7),P3746,P3746+1)</f>
        <v>2656</v>
      </c>
      <c r="Q3747">
        <f>IF(OR(calendar[[#This Row],[FR_BH]]=1,calendar[[#This Row],[WeekDay]]=1, calendar[[#This Row],[WeekDay]]=7),P3746,P3746+1)</f>
        <v>2656</v>
      </c>
      <c r="R3747">
        <f>IF(OR(calendar[[#This Row],[SP_BH]]=1,calendar[[#This Row],[WeekDay]]=1, calendar[[#This Row],[WeekDay]]=7),P3746,P3746+1)</f>
        <v>2656</v>
      </c>
      <c r="S3747">
        <f>IF(OR(calendar[[#This Row],[PT_BH]]=1,calendar[[#This Row],[WeekDay]]=1, calendar[[#This Row],[WeekDay]]=7),P3746,P3746+1)</f>
        <v>2656</v>
      </c>
    </row>
    <row r="3748" spans="1:19" x14ac:dyDescent="0.25">
      <c r="A3748" s="2">
        <v>46482</v>
      </c>
      <c r="B3748" s="1">
        <f t="shared" si="296"/>
        <v>15</v>
      </c>
      <c r="C3748">
        <f t="shared" si="298"/>
        <v>4</v>
      </c>
      <c r="D3748" t="str">
        <f t="shared" si="299"/>
        <v>April</v>
      </c>
      <c r="E3748">
        <f t="shared" si="300"/>
        <v>2027</v>
      </c>
      <c r="F3748" t="str">
        <f>CONCATENATE(calendar[[#This Row],[Month]],"/",calendar[[#This Row],[Year]])</f>
        <v>4/2027</v>
      </c>
      <c r="G3748">
        <f>WEEKDAY(calendar[[#This Row],[Date]],1)</f>
        <v>2</v>
      </c>
      <c r="H3748" t="str">
        <f>TEXT(calendar[[#This Row],[WeekDay]],"dddd")</f>
        <v>Monday</v>
      </c>
      <c r="I3748">
        <f>IF((INT(calendar[[#This Row],[Count]]/7)-calendar[[#This Row],[Count]]/7)&lt;0,I3747,I3747+1)</f>
        <v>536</v>
      </c>
      <c r="J3748">
        <f t="shared" si="297"/>
        <v>3746</v>
      </c>
      <c r="K3748">
        <f>IF(calendar[[#This Row],[Month]]&lt;4,1,IF(calendar[[#This Row],[Month]]&lt;7,2,IF(calendar[[#This Row],[Month]]&lt;10,3,4)))</f>
        <v>2</v>
      </c>
      <c r="L3748">
        <f>IFERROR(IF(VLOOKUP(calendar[[#This Row],[Date]],BH!A:A,1,)&lt;&gt;"",1,0),0)</f>
        <v>0</v>
      </c>
      <c r="M3748">
        <f>IFERROR(IF(VLOOKUP(calendar[[#This Row],[Date]],BH!C:C,1,)&lt;&gt;"",1,0),0)</f>
        <v>0</v>
      </c>
      <c r="N3748">
        <f>IFERROR(IF(VLOOKUP(calendar[[#This Row],[Date]],BH!E:E,1,)&lt;&gt;"",1,0),0)</f>
        <v>0</v>
      </c>
      <c r="O3748">
        <f>IFERROR(IF(VLOOKUP(calendar[[#This Row],[Date]],BH!G:G,1,)&lt;&gt;"",1,0),0)</f>
        <v>0</v>
      </c>
      <c r="P3748">
        <f>IF(OR(calendar[[#This Row],[UK_BH]]=1,calendar[[#This Row],[WeekDay]]=1, calendar[[#This Row],[WeekDay]]=7),P3747,P3747+1)</f>
        <v>2657</v>
      </c>
      <c r="Q3748">
        <f>IF(OR(calendar[[#This Row],[FR_BH]]=1,calendar[[#This Row],[WeekDay]]=1, calendar[[#This Row],[WeekDay]]=7),P3747,P3747+1)</f>
        <v>2657</v>
      </c>
      <c r="R3748">
        <f>IF(OR(calendar[[#This Row],[SP_BH]]=1,calendar[[#This Row],[WeekDay]]=1, calendar[[#This Row],[WeekDay]]=7),P3747,P3747+1)</f>
        <v>2657</v>
      </c>
      <c r="S3748">
        <f>IF(OR(calendar[[#This Row],[PT_BH]]=1,calendar[[#This Row],[WeekDay]]=1, calendar[[#This Row],[WeekDay]]=7),P3747,P3747+1)</f>
        <v>2657</v>
      </c>
    </row>
    <row r="3749" spans="1:19" x14ac:dyDescent="0.25">
      <c r="A3749" s="2">
        <v>46483</v>
      </c>
      <c r="B3749" s="1">
        <f t="shared" si="296"/>
        <v>15</v>
      </c>
      <c r="C3749">
        <f t="shared" si="298"/>
        <v>4</v>
      </c>
      <c r="D3749" t="str">
        <f t="shared" si="299"/>
        <v>April</v>
      </c>
      <c r="E3749">
        <f t="shared" si="300"/>
        <v>2027</v>
      </c>
      <c r="F3749" t="str">
        <f>CONCATENATE(calendar[[#This Row],[Month]],"/",calendar[[#This Row],[Year]])</f>
        <v>4/2027</v>
      </c>
      <c r="G3749">
        <f>WEEKDAY(calendar[[#This Row],[Date]],1)</f>
        <v>3</v>
      </c>
      <c r="H3749" t="str">
        <f>TEXT(calendar[[#This Row],[WeekDay]],"dddd")</f>
        <v>Tuesday</v>
      </c>
      <c r="I3749">
        <f>IF((INT(calendar[[#This Row],[Count]]/7)-calendar[[#This Row],[Count]]/7)&lt;0,I3748,I3748+1)</f>
        <v>536</v>
      </c>
      <c r="J3749">
        <f t="shared" si="297"/>
        <v>3747</v>
      </c>
      <c r="K3749">
        <f>IF(calendar[[#This Row],[Month]]&lt;4,1,IF(calendar[[#This Row],[Month]]&lt;7,2,IF(calendar[[#This Row],[Month]]&lt;10,3,4)))</f>
        <v>2</v>
      </c>
      <c r="L3749">
        <f>IFERROR(IF(VLOOKUP(calendar[[#This Row],[Date]],BH!A:A,1,)&lt;&gt;"",1,0),0)</f>
        <v>0</v>
      </c>
      <c r="M3749">
        <f>IFERROR(IF(VLOOKUP(calendar[[#This Row],[Date]],BH!C:C,1,)&lt;&gt;"",1,0),0)</f>
        <v>0</v>
      </c>
      <c r="N3749">
        <f>IFERROR(IF(VLOOKUP(calendar[[#This Row],[Date]],BH!E:E,1,)&lt;&gt;"",1,0),0)</f>
        <v>0</v>
      </c>
      <c r="O3749">
        <f>IFERROR(IF(VLOOKUP(calendar[[#This Row],[Date]],BH!G:G,1,)&lt;&gt;"",1,0),0)</f>
        <v>0</v>
      </c>
      <c r="P3749">
        <f>IF(OR(calendar[[#This Row],[UK_BH]]=1,calendar[[#This Row],[WeekDay]]=1, calendar[[#This Row],[WeekDay]]=7),P3748,P3748+1)</f>
        <v>2658</v>
      </c>
      <c r="Q3749">
        <f>IF(OR(calendar[[#This Row],[FR_BH]]=1,calendar[[#This Row],[WeekDay]]=1, calendar[[#This Row],[WeekDay]]=7),P3748,P3748+1)</f>
        <v>2658</v>
      </c>
      <c r="R3749">
        <f>IF(OR(calendar[[#This Row],[SP_BH]]=1,calendar[[#This Row],[WeekDay]]=1, calendar[[#This Row],[WeekDay]]=7),P3748,P3748+1)</f>
        <v>2658</v>
      </c>
      <c r="S3749">
        <f>IF(OR(calendar[[#This Row],[PT_BH]]=1,calendar[[#This Row],[WeekDay]]=1, calendar[[#This Row],[WeekDay]]=7),P3748,P3748+1)</f>
        <v>2658</v>
      </c>
    </row>
    <row r="3750" spans="1:19" x14ac:dyDescent="0.25">
      <c r="A3750" s="2">
        <v>46484</v>
      </c>
      <c r="B3750" s="1">
        <f t="shared" si="296"/>
        <v>15</v>
      </c>
      <c r="C3750">
        <f t="shared" si="298"/>
        <v>4</v>
      </c>
      <c r="D3750" t="str">
        <f t="shared" si="299"/>
        <v>April</v>
      </c>
      <c r="E3750">
        <f t="shared" si="300"/>
        <v>2027</v>
      </c>
      <c r="F3750" t="str">
        <f>CONCATENATE(calendar[[#This Row],[Month]],"/",calendar[[#This Row],[Year]])</f>
        <v>4/2027</v>
      </c>
      <c r="G3750">
        <f>WEEKDAY(calendar[[#This Row],[Date]],1)</f>
        <v>4</v>
      </c>
      <c r="H3750" t="str">
        <f>TEXT(calendar[[#This Row],[WeekDay]],"dddd")</f>
        <v>Wednesday</v>
      </c>
      <c r="I3750">
        <f>IF((INT(calendar[[#This Row],[Count]]/7)-calendar[[#This Row],[Count]]/7)&lt;0,I3749,I3749+1)</f>
        <v>536</v>
      </c>
      <c r="J3750">
        <f t="shared" si="297"/>
        <v>3748</v>
      </c>
      <c r="K3750">
        <f>IF(calendar[[#This Row],[Month]]&lt;4,1,IF(calendar[[#This Row],[Month]]&lt;7,2,IF(calendar[[#This Row],[Month]]&lt;10,3,4)))</f>
        <v>2</v>
      </c>
      <c r="L3750">
        <f>IFERROR(IF(VLOOKUP(calendar[[#This Row],[Date]],BH!A:A,1,)&lt;&gt;"",1,0),0)</f>
        <v>0</v>
      </c>
      <c r="M3750">
        <f>IFERROR(IF(VLOOKUP(calendar[[#This Row],[Date]],BH!C:C,1,)&lt;&gt;"",1,0),0)</f>
        <v>0</v>
      </c>
      <c r="N3750">
        <f>IFERROR(IF(VLOOKUP(calendar[[#This Row],[Date]],BH!E:E,1,)&lt;&gt;"",1,0),0)</f>
        <v>0</v>
      </c>
      <c r="O3750">
        <f>IFERROR(IF(VLOOKUP(calendar[[#This Row],[Date]],BH!G:G,1,)&lt;&gt;"",1,0),0)</f>
        <v>0</v>
      </c>
      <c r="P3750">
        <f>IF(OR(calendar[[#This Row],[UK_BH]]=1,calendar[[#This Row],[WeekDay]]=1, calendar[[#This Row],[WeekDay]]=7),P3749,P3749+1)</f>
        <v>2659</v>
      </c>
      <c r="Q3750">
        <f>IF(OR(calendar[[#This Row],[FR_BH]]=1,calendar[[#This Row],[WeekDay]]=1, calendar[[#This Row],[WeekDay]]=7),P3749,P3749+1)</f>
        <v>2659</v>
      </c>
      <c r="R3750">
        <f>IF(OR(calendar[[#This Row],[SP_BH]]=1,calendar[[#This Row],[WeekDay]]=1, calendar[[#This Row],[WeekDay]]=7),P3749,P3749+1)</f>
        <v>2659</v>
      </c>
      <c r="S3750">
        <f>IF(OR(calendar[[#This Row],[PT_BH]]=1,calendar[[#This Row],[WeekDay]]=1, calendar[[#This Row],[WeekDay]]=7),P3749,P3749+1)</f>
        <v>2659</v>
      </c>
    </row>
    <row r="3751" spans="1:19" x14ac:dyDescent="0.25">
      <c r="A3751" s="2">
        <v>46485</v>
      </c>
      <c r="B3751" s="1">
        <f t="shared" si="296"/>
        <v>15</v>
      </c>
      <c r="C3751">
        <f t="shared" si="298"/>
        <v>4</v>
      </c>
      <c r="D3751" t="str">
        <f t="shared" si="299"/>
        <v>April</v>
      </c>
      <c r="E3751">
        <f t="shared" si="300"/>
        <v>2027</v>
      </c>
      <c r="F3751" t="str">
        <f>CONCATENATE(calendar[[#This Row],[Month]],"/",calendar[[#This Row],[Year]])</f>
        <v>4/2027</v>
      </c>
      <c r="G3751">
        <f>WEEKDAY(calendar[[#This Row],[Date]],1)</f>
        <v>5</v>
      </c>
      <c r="H3751" t="str">
        <f>TEXT(calendar[[#This Row],[WeekDay]],"dddd")</f>
        <v>Thursday</v>
      </c>
      <c r="I3751">
        <f>IF((INT(calendar[[#This Row],[Count]]/7)-calendar[[#This Row],[Count]]/7)&lt;0,I3750,I3750+1)</f>
        <v>536</v>
      </c>
      <c r="J3751">
        <f t="shared" si="297"/>
        <v>3749</v>
      </c>
      <c r="K3751">
        <f>IF(calendar[[#This Row],[Month]]&lt;4,1,IF(calendar[[#This Row],[Month]]&lt;7,2,IF(calendar[[#This Row],[Month]]&lt;10,3,4)))</f>
        <v>2</v>
      </c>
      <c r="L3751">
        <f>IFERROR(IF(VLOOKUP(calendar[[#This Row],[Date]],BH!A:A,1,)&lt;&gt;"",1,0),0)</f>
        <v>0</v>
      </c>
      <c r="M3751">
        <f>IFERROR(IF(VLOOKUP(calendar[[#This Row],[Date]],BH!C:C,1,)&lt;&gt;"",1,0),0)</f>
        <v>0</v>
      </c>
      <c r="N3751">
        <f>IFERROR(IF(VLOOKUP(calendar[[#This Row],[Date]],BH!E:E,1,)&lt;&gt;"",1,0),0)</f>
        <v>0</v>
      </c>
      <c r="O3751">
        <f>IFERROR(IF(VLOOKUP(calendar[[#This Row],[Date]],BH!G:G,1,)&lt;&gt;"",1,0),0)</f>
        <v>0</v>
      </c>
      <c r="P3751">
        <f>IF(OR(calendar[[#This Row],[UK_BH]]=1,calendar[[#This Row],[WeekDay]]=1, calendar[[#This Row],[WeekDay]]=7),P3750,P3750+1)</f>
        <v>2660</v>
      </c>
      <c r="Q3751">
        <f>IF(OR(calendar[[#This Row],[FR_BH]]=1,calendar[[#This Row],[WeekDay]]=1, calendar[[#This Row],[WeekDay]]=7),P3750,P3750+1)</f>
        <v>2660</v>
      </c>
      <c r="R3751">
        <f>IF(OR(calendar[[#This Row],[SP_BH]]=1,calendar[[#This Row],[WeekDay]]=1, calendar[[#This Row],[WeekDay]]=7),P3750,P3750+1)</f>
        <v>2660</v>
      </c>
      <c r="S3751">
        <f>IF(OR(calendar[[#This Row],[PT_BH]]=1,calendar[[#This Row],[WeekDay]]=1, calendar[[#This Row],[WeekDay]]=7),P3750,P3750+1)</f>
        <v>2660</v>
      </c>
    </row>
    <row r="3752" spans="1:19" x14ac:dyDescent="0.25">
      <c r="A3752" s="2">
        <v>46486</v>
      </c>
      <c r="B3752" s="1">
        <f t="shared" si="296"/>
        <v>15</v>
      </c>
      <c r="C3752">
        <f t="shared" si="298"/>
        <v>4</v>
      </c>
      <c r="D3752" t="str">
        <f t="shared" si="299"/>
        <v>April</v>
      </c>
      <c r="E3752">
        <f t="shared" si="300"/>
        <v>2027</v>
      </c>
      <c r="F3752" t="str">
        <f>CONCATENATE(calendar[[#This Row],[Month]],"/",calendar[[#This Row],[Year]])</f>
        <v>4/2027</v>
      </c>
      <c r="G3752">
        <f>WEEKDAY(calendar[[#This Row],[Date]],1)</f>
        <v>6</v>
      </c>
      <c r="H3752" t="str">
        <f>TEXT(calendar[[#This Row],[WeekDay]],"dddd")</f>
        <v>Friday</v>
      </c>
      <c r="I3752">
        <f>IF((INT(calendar[[#This Row],[Count]]/7)-calendar[[#This Row],[Count]]/7)&lt;0,I3751,I3751+1)</f>
        <v>536</v>
      </c>
      <c r="J3752">
        <f t="shared" si="297"/>
        <v>3750</v>
      </c>
      <c r="K3752">
        <f>IF(calendar[[#This Row],[Month]]&lt;4,1,IF(calendar[[#This Row],[Month]]&lt;7,2,IF(calendar[[#This Row],[Month]]&lt;10,3,4)))</f>
        <v>2</v>
      </c>
      <c r="L3752">
        <f>IFERROR(IF(VLOOKUP(calendar[[#This Row],[Date]],BH!A:A,1,)&lt;&gt;"",1,0),0)</f>
        <v>0</v>
      </c>
      <c r="M3752">
        <f>IFERROR(IF(VLOOKUP(calendar[[#This Row],[Date]],BH!C:C,1,)&lt;&gt;"",1,0),0)</f>
        <v>0</v>
      </c>
      <c r="N3752">
        <f>IFERROR(IF(VLOOKUP(calendar[[#This Row],[Date]],BH!E:E,1,)&lt;&gt;"",1,0),0)</f>
        <v>0</v>
      </c>
      <c r="O3752">
        <f>IFERROR(IF(VLOOKUP(calendar[[#This Row],[Date]],BH!G:G,1,)&lt;&gt;"",1,0),0)</f>
        <v>0</v>
      </c>
      <c r="P3752">
        <f>IF(OR(calendar[[#This Row],[UK_BH]]=1,calendar[[#This Row],[WeekDay]]=1, calendar[[#This Row],[WeekDay]]=7),P3751,P3751+1)</f>
        <v>2661</v>
      </c>
      <c r="Q3752">
        <f>IF(OR(calendar[[#This Row],[FR_BH]]=1,calendar[[#This Row],[WeekDay]]=1, calendar[[#This Row],[WeekDay]]=7),P3751,P3751+1)</f>
        <v>2661</v>
      </c>
      <c r="R3752">
        <f>IF(OR(calendar[[#This Row],[SP_BH]]=1,calendar[[#This Row],[WeekDay]]=1, calendar[[#This Row],[WeekDay]]=7),P3751,P3751+1)</f>
        <v>2661</v>
      </c>
      <c r="S3752">
        <f>IF(OR(calendar[[#This Row],[PT_BH]]=1,calendar[[#This Row],[WeekDay]]=1, calendar[[#This Row],[WeekDay]]=7),P3751,P3751+1)</f>
        <v>2661</v>
      </c>
    </row>
    <row r="3753" spans="1:19" x14ac:dyDescent="0.25">
      <c r="A3753" s="2">
        <v>46487</v>
      </c>
      <c r="B3753" s="1">
        <f t="shared" si="296"/>
        <v>15</v>
      </c>
      <c r="C3753">
        <f t="shared" si="298"/>
        <v>4</v>
      </c>
      <c r="D3753" t="str">
        <f t="shared" si="299"/>
        <v>April</v>
      </c>
      <c r="E3753">
        <f t="shared" si="300"/>
        <v>2027</v>
      </c>
      <c r="F3753" t="str">
        <f>CONCATENATE(calendar[[#This Row],[Month]],"/",calendar[[#This Row],[Year]])</f>
        <v>4/2027</v>
      </c>
      <c r="G3753">
        <f>WEEKDAY(calendar[[#This Row],[Date]],1)</f>
        <v>7</v>
      </c>
      <c r="H3753" t="str">
        <f>TEXT(calendar[[#This Row],[WeekDay]],"dddd")</f>
        <v>Saturday</v>
      </c>
      <c r="I3753">
        <f>IF((INT(calendar[[#This Row],[Count]]/7)-calendar[[#This Row],[Count]]/7)&lt;0,I3752,I3752+1)</f>
        <v>536</v>
      </c>
      <c r="J3753">
        <f t="shared" si="297"/>
        <v>3751</v>
      </c>
      <c r="K3753">
        <f>IF(calendar[[#This Row],[Month]]&lt;4,1,IF(calendar[[#This Row],[Month]]&lt;7,2,IF(calendar[[#This Row],[Month]]&lt;10,3,4)))</f>
        <v>2</v>
      </c>
      <c r="L3753">
        <f>IFERROR(IF(VLOOKUP(calendar[[#This Row],[Date]],BH!A:A,1,)&lt;&gt;"",1,0),0)</f>
        <v>0</v>
      </c>
      <c r="M3753">
        <f>IFERROR(IF(VLOOKUP(calendar[[#This Row],[Date]],BH!C:C,1,)&lt;&gt;"",1,0),0)</f>
        <v>0</v>
      </c>
      <c r="N3753">
        <f>IFERROR(IF(VLOOKUP(calendar[[#This Row],[Date]],BH!E:E,1,)&lt;&gt;"",1,0),0)</f>
        <v>0</v>
      </c>
      <c r="O3753">
        <f>IFERROR(IF(VLOOKUP(calendar[[#This Row],[Date]],BH!G:G,1,)&lt;&gt;"",1,0),0)</f>
        <v>0</v>
      </c>
      <c r="P3753">
        <f>IF(OR(calendar[[#This Row],[UK_BH]]=1,calendar[[#This Row],[WeekDay]]=1, calendar[[#This Row],[WeekDay]]=7),P3752,P3752+1)</f>
        <v>2661</v>
      </c>
      <c r="Q3753">
        <f>IF(OR(calendar[[#This Row],[FR_BH]]=1,calendar[[#This Row],[WeekDay]]=1, calendar[[#This Row],[WeekDay]]=7),P3752,P3752+1)</f>
        <v>2661</v>
      </c>
      <c r="R3753">
        <f>IF(OR(calendar[[#This Row],[SP_BH]]=1,calendar[[#This Row],[WeekDay]]=1, calendar[[#This Row],[WeekDay]]=7),P3752,P3752+1)</f>
        <v>2661</v>
      </c>
      <c r="S3753">
        <f>IF(OR(calendar[[#This Row],[PT_BH]]=1,calendar[[#This Row],[WeekDay]]=1, calendar[[#This Row],[WeekDay]]=7),P3752,P3752+1)</f>
        <v>2661</v>
      </c>
    </row>
    <row r="3754" spans="1:19" x14ac:dyDescent="0.25">
      <c r="A3754" s="2">
        <v>46488</v>
      </c>
      <c r="B3754" s="1">
        <f t="shared" si="296"/>
        <v>16</v>
      </c>
      <c r="C3754">
        <f t="shared" si="298"/>
        <v>4</v>
      </c>
      <c r="D3754" t="str">
        <f t="shared" si="299"/>
        <v>April</v>
      </c>
      <c r="E3754">
        <f t="shared" si="300"/>
        <v>2027</v>
      </c>
      <c r="F3754" t="str">
        <f>CONCATENATE(calendar[[#This Row],[Month]],"/",calendar[[#This Row],[Year]])</f>
        <v>4/2027</v>
      </c>
      <c r="G3754">
        <f>WEEKDAY(calendar[[#This Row],[Date]],1)</f>
        <v>1</v>
      </c>
      <c r="H3754" t="str">
        <f>TEXT(calendar[[#This Row],[WeekDay]],"dddd")</f>
        <v>Sunday</v>
      </c>
      <c r="I3754">
        <f>IF((INT(calendar[[#This Row],[Count]]/7)-calendar[[#This Row],[Count]]/7)&lt;0,I3753,I3753+1)</f>
        <v>537</v>
      </c>
      <c r="J3754">
        <f t="shared" si="297"/>
        <v>3752</v>
      </c>
      <c r="K3754">
        <f>IF(calendar[[#This Row],[Month]]&lt;4,1,IF(calendar[[#This Row],[Month]]&lt;7,2,IF(calendar[[#This Row],[Month]]&lt;10,3,4)))</f>
        <v>2</v>
      </c>
      <c r="L3754">
        <f>IFERROR(IF(VLOOKUP(calendar[[#This Row],[Date]],BH!A:A,1,)&lt;&gt;"",1,0),0)</f>
        <v>0</v>
      </c>
      <c r="M3754">
        <f>IFERROR(IF(VLOOKUP(calendar[[#This Row],[Date]],BH!C:C,1,)&lt;&gt;"",1,0),0)</f>
        <v>0</v>
      </c>
      <c r="N3754">
        <f>IFERROR(IF(VLOOKUP(calendar[[#This Row],[Date]],BH!E:E,1,)&lt;&gt;"",1,0),0)</f>
        <v>0</v>
      </c>
      <c r="O3754">
        <f>IFERROR(IF(VLOOKUP(calendar[[#This Row],[Date]],BH!G:G,1,)&lt;&gt;"",1,0),0)</f>
        <v>0</v>
      </c>
      <c r="P3754">
        <f>IF(OR(calendar[[#This Row],[UK_BH]]=1,calendar[[#This Row],[WeekDay]]=1, calendar[[#This Row],[WeekDay]]=7),P3753,P3753+1)</f>
        <v>2661</v>
      </c>
      <c r="Q3754">
        <f>IF(OR(calendar[[#This Row],[FR_BH]]=1,calendar[[#This Row],[WeekDay]]=1, calendar[[#This Row],[WeekDay]]=7),P3753,P3753+1)</f>
        <v>2661</v>
      </c>
      <c r="R3754">
        <f>IF(OR(calendar[[#This Row],[SP_BH]]=1,calendar[[#This Row],[WeekDay]]=1, calendar[[#This Row],[WeekDay]]=7),P3753,P3753+1)</f>
        <v>2661</v>
      </c>
      <c r="S3754">
        <f>IF(OR(calendar[[#This Row],[PT_BH]]=1,calendar[[#This Row],[WeekDay]]=1, calendar[[#This Row],[WeekDay]]=7),P3753,P3753+1)</f>
        <v>2661</v>
      </c>
    </row>
    <row r="3755" spans="1:19" x14ac:dyDescent="0.25">
      <c r="A3755" s="2">
        <v>46489</v>
      </c>
      <c r="B3755" s="1">
        <f t="shared" si="296"/>
        <v>16</v>
      </c>
      <c r="C3755">
        <f t="shared" si="298"/>
        <v>4</v>
      </c>
      <c r="D3755" t="str">
        <f t="shared" si="299"/>
        <v>April</v>
      </c>
      <c r="E3755">
        <f t="shared" si="300"/>
        <v>2027</v>
      </c>
      <c r="F3755" t="str">
        <f>CONCATENATE(calendar[[#This Row],[Month]],"/",calendar[[#This Row],[Year]])</f>
        <v>4/2027</v>
      </c>
      <c r="G3755">
        <f>WEEKDAY(calendar[[#This Row],[Date]],1)</f>
        <v>2</v>
      </c>
      <c r="H3755" t="str">
        <f>TEXT(calendar[[#This Row],[WeekDay]],"dddd")</f>
        <v>Monday</v>
      </c>
      <c r="I3755">
        <f>IF((INT(calendar[[#This Row],[Count]]/7)-calendar[[#This Row],[Count]]/7)&lt;0,I3754,I3754+1)</f>
        <v>537</v>
      </c>
      <c r="J3755">
        <f t="shared" si="297"/>
        <v>3753</v>
      </c>
      <c r="K3755">
        <f>IF(calendar[[#This Row],[Month]]&lt;4,1,IF(calendar[[#This Row],[Month]]&lt;7,2,IF(calendar[[#This Row],[Month]]&lt;10,3,4)))</f>
        <v>2</v>
      </c>
      <c r="L3755">
        <f>IFERROR(IF(VLOOKUP(calendar[[#This Row],[Date]],BH!A:A,1,)&lt;&gt;"",1,0),0)</f>
        <v>0</v>
      </c>
      <c r="M3755">
        <f>IFERROR(IF(VLOOKUP(calendar[[#This Row],[Date]],BH!C:C,1,)&lt;&gt;"",1,0),0)</f>
        <v>0</v>
      </c>
      <c r="N3755">
        <f>IFERROR(IF(VLOOKUP(calendar[[#This Row],[Date]],BH!E:E,1,)&lt;&gt;"",1,0),0)</f>
        <v>0</v>
      </c>
      <c r="O3755">
        <f>IFERROR(IF(VLOOKUP(calendar[[#This Row],[Date]],BH!G:G,1,)&lt;&gt;"",1,0),0)</f>
        <v>0</v>
      </c>
      <c r="P3755">
        <f>IF(OR(calendar[[#This Row],[UK_BH]]=1,calendar[[#This Row],[WeekDay]]=1, calendar[[#This Row],[WeekDay]]=7),P3754,P3754+1)</f>
        <v>2662</v>
      </c>
      <c r="Q3755">
        <f>IF(OR(calendar[[#This Row],[FR_BH]]=1,calendar[[#This Row],[WeekDay]]=1, calendar[[#This Row],[WeekDay]]=7),P3754,P3754+1)</f>
        <v>2662</v>
      </c>
      <c r="R3755">
        <f>IF(OR(calendar[[#This Row],[SP_BH]]=1,calendar[[#This Row],[WeekDay]]=1, calendar[[#This Row],[WeekDay]]=7),P3754,P3754+1)</f>
        <v>2662</v>
      </c>
      <c r="S3755">
        <f>IF(OR(calendar[[#This Row],[PT_BH]]=1,calendar[[#This Row],[WeekDay]]=1, calendar[[#This Row],[WeekDay]]=7),P3754,P3754+1)</f>
        <v>2662</v>
      </c>
    </row>
    <row r="3756" spans="1:19" x14ac:dyDescent="0.25">
      <c r="A3756" s="2">
        <v>46490</v>
      </c>
      <c r="B3756" s="1">
        <f t="shared" si="296"/>
        <v>16</v>
      </c>
      <c r="C3756">
        <f t="shared" si="298"/>
        <v>4</v>
      </c>
      <c r="D3756" t="str">
        <f t="shared" si="299"/>
        <v>April</v>
      </c>
      <c r="E3756">
        <f t="shared" si="300"/>
        <v>2027</v>
      </c>
      <c r="F3756" t="str">
        <f>CONCATENATE(calendar[[#This Row],[Month]],"/",calendar[[#This Row],[Year]])</f>
        <v>4/2027</v>
      </c>
      <c r="G3756">
        <f>WEEKDAY(calendar[[#This Row],[Date]],1)</f>
        <v>3</v>
      </c>
      <c r="H3756" t="str">
        <f>TEXT(calendar[[#This Row],[WeekDay]],"dddd")</f>
        <v>Tuesday</v>
      </c>
      <c r="I3756">
        <f>IF((INT(calendar[[#This Row],[Count]]/7)-calendar[[#This Row],[Count]]/7)&lt;0,I3755,I3755+1)</f>
        <v>537</v>
      </c>
      <c r="J3756">
        <f t="shared" si="297"/>
        <v>3754</v>
      </c>
      <c r="K3756">
        <f>IF(calendar[[#This Row],[Month]]&lt;4,1,IF(calendar[[#This Row],[Month]]&lt;7,2,IF(calendar[[#This Row],[Month]]&lt;10,3,4)))</f>
        <v>2</v>
      </c>
      <c r="L3756">
        <f>IFERROR(IF(VLOOKUP(calendar[[#This Row],[Date]],BH!A:A,1,)&lt;&gt;"",1,0),0)</f>
        <v>0</v>
      </c>
      <c r="M3756">
        <f>IFERROR(IF(VLOOKUP(calendar[[#This Row],[Date]],BH!C:C,1,)&lt;&gt;"",1,0),0)</f>
        <v>0</v>
      </c>
      <c r="N3756">
        <f>IFERROR(IF(VLOOKUP(calendar[[#This Row],[Date]],BH!E:E,1,)&lt;&gt;"",1,0),0)</f>
        <v>0</v>
      </c>
      <c r="O3756">
        <f>IFERROR(IF(VLOOKUP(calendar[[#This Row],[Date]],BH!G:G,1,)&lt;&gt;"",1,0),0)</f>
        <v>0</v>
      </c>
      <c r="P3756">
        <f>IF(OR(calendar[[#This Row],[UK_BH]]=1,calendar[[#This Row],[WeekDay]]=1, calendar[[#This Row],[WeekDay]]=7),P3755,P3755+1)</f>
        <v>2663</v>
      </c>
      <c r="Q3756">
        <f>IF(OR(calendar[[#This Row],[FR_BH]]=1,calendar[[#This Row],[WeekDay]]=1, calendar[[#This Row],[WeekDay]]=7),P3755,P3755+1)</f>
        <v>2663</v>
      </c>
      <c r="R3756">
        <f>IF(OR(calendar[[#This Row],[SP_BH]]=1,calendar[[#This Row],[WeekDay]]=1, calendar[[#This Row],[WeekDay]]=7),P3755,P3755+1)</f>
        <v>2663</v>
      </c>
      <c r="S3756">
        <f>IF(OR(calendar[[#This Row],[PT_BH]]=1,calendar[[#This Row],[WeekDay]]=1, calendar[[#This Row],[WeekDay]]=7),P3755,P3755+1)</f>
        <v>2663</v>
      </c>
    </row>
    <row r="3757" spans="1:19" x14ac:dyDescent="0.25">
      <c r="A3757" s="2">
        <v>46491</v>
      </c>
      <c r="B3757" s="1">
        <f t="shared" si="296"/>
        <v>16</v>
      </c>
      <c r="C3757">
        <f t="shared" si="298"/>
        <v>4</v>
      </c>
      <c r="D3757" t="str">
        <f t="shared" si="299"/>
        <v>April</v>
      </c>
      <c r="E3757">
        <f t="shared" si="300"/>
        <v>2027</v>
      </c>
      <c r="F3757" t="str">
        <f>CONCATENATE(calendar[[#This Row],[Month]],"/",calendar[[#This Row],[Year]])</f>
        <v>4/2027</v>
      </c>
      <c r="G3757">
        <f>WEEKDAY(calendar[[#This Row],[Date]],1)</f>
        <v>4</v>
      </c>
      <c r="H3757" t="str">
        <f>TEXT(calendar[[#This Row],[WeekDay]],"dddd")</f>
        <v>Wednesday</v>
      </c>
      <c r="I3757">
        <f>IF((INT(calendar[[#This Row],[Count]]/7)-calendar[[#This Row],[Count]]/7)&lt;0,I3756,I3756+1)</f>
        <v>537</v>
      </c>
      <c r="J3757">
        <f t="shared" si="297"/>
        <v>3755</v>
      </c>
      <c r="K3757">
        <f>IF(calendar[[#This Row],[Month]]&lt;4,1,IF(calendar[[#This Row],[Month]]&lt;7,2,IF(calendar[[#This Row],[Month]]&lt;10,3,4)))</f>
        <v>2</v>
      </c>
      <c r="L3757">
        <f>IFERROR(IF(VLOOKUP(calendar[[#This Row],[Date]],BH!A:A,1,)&lt;&gt;"",1,0),0)</f>
        <v>0</v>
      </c>
      <c r="M3757">
        <f>IFERROR(IF(VLOOKUP(calendar[[#This Row],[Date]],BH!C:C,1,)&lt;&gt;"",1,0),0)</f>
        <v>0</v>
      </c>
      <c r="N3757">
        <f>IFERROR(IF(VLOOKUP(calendar[[#This Row],[Date]],BH!E:E,1,)&lt;&gt;"",1,0),0)</f>
        <v>0</v>
      </c>
      <c r="O3757">
        <f>IFERROR(IF(VLOOKUP(calendar[[#This Row],[Date]],BH!G:G,1,)&lt;&gt;"",1,0),0)</f>
        <v>0</v>
      </c>
      <c r="P3757">
        <f>IF(OR(calendar[[#This Row],[UK_BH]]=1,calendar[[#This Row],[WeekDay]]=1, calendar[[#This Row],[WeekDay]]=7),P3756,P3756+1)</f>
        <v>2664</v>
      </c>
      <c r="Q3757">
        <f>IF(OR(calendar[[#This Row],[FR_BH]]=1,calendar[[#This Row],[WeekDay]]=1, calendar[[#This Row],[WeekDay]]=7),P3756,P3756+1)</f>
        <v>2664</v>
      </c>
      <c r="R3757">
        <f>IF(OR(calendar[[#This Row],[SP_BH]]=1,calendar[[#This Row],[WeekDay]]=1, calendar[[#This Row],[WeekDay]]=7),P3756,P3756+1)</f>
        <v>2664</v>
      </c>
      <c r="S3757">
        <f>IF(OR(calendar[[#This Row],[PT_BH]]=1,calendar[[#This Row],[WeekDay]]=1, calendar[[#This Row],[WeekDay]]=7),P3756,P3756+1)</f>
        <v>2664</v>
      </c>
    </row>
    <row r="3758" spans="1:19" x14ac:dyDescent="0.25">
      <c r="A3758" s="2">
        <v>46492</v>
      </c>
      <c r="B3758" s="1">
        <f t="shared" si="296"/>
        <v>16</v>
      </c>
      <c r="C3758">
        <f t="shared" si="298"/>
        <v>4</v>
      </c>
      <c r="D3758" t="str">
        <f t="shared" si="299"/>
        <v>April</v>
      </c>
      <c r="E3758">
        <f t="shared" si="300"/>
        <v>2027</v>
      </c>
      <c r="F3758" t="str">
        <f>CONCATENATE(calendar[[#This Row],[Month]],"/",calendar[[#This Row],[Year]])</f>
        <v>4/2027</v>
      </c>
      <c r="G3758">
        <f>WEEKDAY(calendar[[#This Row],[Date]],1)</f>
        <v>5</v>
      </c>
      <c r="H3758" t="str">
        <f>TEXT(calendar[[#This Row],[WeekDay]],"dddd")</f>
        <v>Thursday</v>
      </c>
      <c r="I3758">
        <f>IF((INT(calendar[[#This Row],[Count]]/7)-calendar[[#This Row],[Count]]/7)&lt;0,I3757,I3757+1)</f>
        <v>537</v>
      </c>
      <c r="J3758">
        <f t="shared" si="297"/>
        <v>3756</v>
      </c>
      <c r="K3758">
        <f>IF(calendar[[#This Row],[Month]]&lt;4,1,IF(calendar[[#This Row],[Month]]&lt;7,2,IF(calendar[[#This Row],[Month]]&lt;10,3,4)))</f>
        <v>2</v>
      </c>
      <c r="L3758">
        <f>IFERROR(IF(VLOOKUP(calendar[[#This Row],[Date]],BH!A:A,1,)&lt;&gt;"",1,0),0)</f>
        <v>0</v>
      </c>
      <c r="M3758">
        <f>IFERROR(IF(VLOOKUP(calendar[[#This Row],[Date]],BH!C:C,1,)&lt;&gt;"",1,0),0)</f>
        <v>0</v>
      </c>
      <c r="N3758">
        <f>IFERROR(IF(VLOOKUP(calendar[[#This Row],[Date]],BH!E:E,1,)&lt;&gt;"",1,0),0)</f>
        <v>0</v>
      </c>
      <c r="O3758">
        <f>IFERROR(IF(VLOOKUP(calendar[[#This Row],[Date]],BH!G:G,1,)&lt;&gt;"",1,0),0)</f>
        <v>0</v>
      </c>
      <c r="P3758">
        <f>IF(OR(calendar[[#This Row],[UK_BH]]=1,calendar[[#This Row],[WeekDay]]=1, calendar[[#This Row],[WeekDay]]=7),P3757,P3757+1)</f>
        <v>2665</v>
      </c>
      <c r="Q3758">
        <f>IF(OR(calendar[[#This Row],[FR_BH]]=1,calendar[[#This Row],[WeekDay]]=1, calendar[[#This Row],[WeekDay]]=7),P3757,P3757+1)</f>
        <v>2665</v>
      </c>
      <c r="R3758">
        <f>IF(OR(calendar[[#This Row],[SP_BH]]=1,calendar[[#This Row],[WeekDay]]=1, calendar[[#This Row],[WeekDay]]=7),P3757,P3757+1)</f>
        <v>2665</v>
      </c>
      <c r="S3758">
        <f>IF(OR(calendar[[#This Row],[PT_BH]]=1,calendar[[#This Row],[WeekDay]]=1, calendar[[#This Row],[WeekDay]]=7),P3757,P3757+1)</f>
        <v>2665</v>
      </c>
    </row>
    <row r="3759" spans="1:19" x14ac:dyDescent="0.25">
      <c r="A3759" s="2">
        <v>46493</v>
      </c>
      <c r="B3759" s="1">
        <f t="shared" si="296"/>
        <v>16</v>
      </c>
      <c r="C3759">
        <f t="shared" si="298"/>
        <v>4</v>
      </c>
      <c r="D3759" t="str">
        <f t="shared" si="299"/>
        <v>April</v>
      </c>
      <c r="E3759">
        <f t="shared" si="300"/>
        <v>2027</v>
      </c>
      <c r="F3759" t="str">
        <f>CONCATENATE(calendar[[#This Row],[Month]],"/",calendar[[#This Row],[Year]])</f>
        <v>4/2027</v>
      </c>
      <c r="G3759">
        <f>WEEKDAY(calendar[[#This Row],[Date]],1)</f>
        <v>6</v>
      </c>
      <c r="H3759" t="str">
        <f>TEXT(calendar[[#This Row],[WeekDay]],"dddd")</f>
        <v>Friday</v>
      </c>
      <c r="I3759">
        <f>IF((INT(calendar[[#This Row],[Count]]/7)-calendar[[#This Row],[Count]]/7)&lt;0,I3758,I3758+1)</f>
        <v>537</v>
      </c>
      <c r="J3759">
        <f t="shared" si="297"/>
        <v>3757</v>
      </c>
      <c r="K3759">
        <f>IF(calendar[[#This Row],[Month]]&lt;4,1,IF(calendar[[#This Row],[Month]]&lt;7,2,IF(calendar[[#This Row],[Month]]&lt;10,3,4)))</f>
        <v>2</v>
      </c>
      <c r="L3759">
        <f>IFERROR(IF(VLOOKUP(calendar[[#This Row],[Date]],BH!A:A,1,)&lt;&gt;"",1,0),0)</f>
        <v>0</v>
      </c>
      <c r="M3759">
        <f>IFERROR(IF(VLOOKUP(calendar[[#This Row],[Date]],BH!C:C,1,)&lt;&gt;"",1,0),0)</f>
        <v>0</v>
      </c>
      <c r="N3759">
        <f>IFERROR(IF(VLOOKUP(calendar[[#This Row],[Date]],BH!E:E,1,)&lt;&gt;"",1,0),0)</f>
        <v>0</v>
      </c>
      <c r="O3759">
        <f>IFERROR(IF(VLOOKUP(calendar[[#This Row],[Date]],BH!G:G,1,)&lt;&gt;"",1,0),0)</f>
        <v>0</v>
      </c>
      <c r="P3759">
        <f>IF(OR(calendar[[#This Row],[UK_BH]]=1,calendar[[#This Row],[WeekDay]]=1, calendar[[#This Row],[WeekDay]]=7),P3758,P3758+1)</f>
        <v>2666</v>
      </c>
      <c r="Q3759">
        <f>IF(OR(calendar[[#This Row],[FR_BH]]=1,calendar[[#This Row],[WeekDay]]=1, calendar[[#This Row],[WeekDay]]=7),P3758,P3758+1)</f>
        <v>2666</v>
      </c>
      <c r="R3759">
        <f>IF(OR(calendar[[#This Row],[SP_BH]]=1,calendar[[#This Row],[WeekDay]]=1, calendar[[#This Row],[WeekDay]]=7),P3758,P3758+1)</f>
        <v>2666</v>
      </c>
      <c r="S3759">
        <f>IF(OR(calendar[[#This Row],[PT_BH]]=1,calendar[[#This Row],[WeekDay]]=1, calendar[[#This Row],[WeekDay]]=7),P3758,P3758+1)</f>
        <v>2666</v>
      </c>
    </row>
    <row r="3760" spans="1:19" x14ac:dyDescent="0.25">
      <c r="A3760" s="2">
        <v>46494</v>
      </c>
      <c r="B3760" s="1">
        <f t="shared" si="296"/>
        <v>16</v>
      </c>
      <c r="C3760">
        <f t="shared" si="298"/>
        <v>4</v>
      </c>
      <c r="D3760" t="str">
        <f t="shared" si="299"/>
        <v>April</v>
      </c>
      <c r="E3760">
        <f t="shared" si="300"/>
        <v>2027</v>
      </c>
      <c r="F3760" t="str">
        <f>CONCATENATE(calendar[[#This Row],[Month]],"/",calendar[[#This Row],[Year]])</f>
        <v>4/2027</v>
      </c>
      <c r="G3760">
        <f>WEEKDAY(calendar[[#This Row],[Date]],1)</f>
        <v>7</v>
      </c>
      <c r="H3760" t="str">
        <f>TEXT(calendar[[#This Row],[WeekDay]],"dddd")</f>
        <v>Saturday</v>
      </c>
      <c r="I3760">
        <f>IF((INT(calendar[[#This Row],[Count]]/7)-calendar[[#This Row],[Count]]/7)&lt;0,I3759,I3759+1)</f>
        <v>537</v>
      </c>
      <c r="J3760">
        <f t="shared" si="297"/>
        <v>3758</v>
      </c>
      <c r="K3760">
        <f>IF(calendar[[#This Row],[Month]]&lt;4,1,IF(calendar[[#This Row],[Month]]&lt;7,2,IF(calendar[[#This Row],[Month]]&lt;10,3,4)))</f>
        <v>2</v>
      </c>
      <c r="L3760">
        <f>IFERROR(IF(VLOOKUP(calendar[[#This Row],[Date]],BH!A:A,1,)&lt;&gt;"",1,0),0)</f>
        <v>0</v>
      </c>
      <c r="M3760">
        <f>IFERROR(IF(VLOOKUP(calendar[[#This Row],[Date]],BH!C:C,1,)&lt;&gt;"",1,0),0)</f>
        <v>0</v>
      </c>
      <c r="N3760">
        <f>IFERROR(IF(VLOOKUP(calendar[[#This Row],[Date]],BH!E:E,1,)&lt;&gt;"",1,0),0)</f>
        <v>0</v>
      </c>
      <c r="O3760">
        <f>IFERROR(IF(VLOOKUP(calendar[[#This Row],[Date]],BH!G:G,1,)&lt;&gt;"",1,0),0)</f>
        <v>0</v>
      </c>
      <c r="P3760">
        <f>IF(OR(calendar[[#This Row],[UK_BH]]=1,calendar[[#This Row],[WeekDay]]=1, calendar[[#This Row],[WeekDay]]=7),P3759,P3759+1)</f>
        <v>2666</v>
      </c>
      <c r="Q3760">
        <f>IF(OR(calendar[[#This Row],[FR_BH]]=1,calendar[[#This Row],[WeekDay]]=1, calendar[[#This Row],[WeekDay]]=7),P3759,P3759+1)</f>
        <v>2666</v>
      </c>
      <c r="R3760">
        <f>IF(OR(calendar[[#This Row],[SP_BH]]=1,calendar[[#This Row],[WeekDay]]=1, calendar[[#This Row],[WeekDay]]=7),P3759,P3759+1)</f>
        <v>2666</v>
      </c>
      <c r="S3760">
        <f>IF(OR(calendar[[#This Row],[PT_BH]]=1,calendar[[#This Row],[WeekDay]]=1, calendar[[#This Row],[WeekDay]]=7),P3759,P3759+1)</f>
        <v>2666</v>
      </c>
    </row>
    <row r="3761" spans="1:19" x14ac:dyDescent="0.25">
      <c r="A3761" s="2">
        <v>46495</v>
      </c>
      <c r="B3761" s="1">
        <f t="shared" si="296"/>
        <v>17</v>
      </c>
      <c r="C3761">
        <f t="shared" si="298"/>
        <v>4</v>
      </c>
      <c r="D3761" t="str">
        <f t="shared" si="299"/>
        <v>April</v>
      </c>
      <c r="E3761">
        <f t="shared" si="300"/>
        <v>2027</v>
      </c>
      <c r="F3761" t="str">
        <f>CONCATENATE(calendar[[#This Row],[Month]],"/",calendar[[#This Row],[Year]])</f>
        <v>4/2027</v>
      </c>
      <c r="G3761">
        <f>WEEKDAY(calendar[[#This Row],[Date]],1)</f>
        <v>1</v>
      </c>
      <c r="H3761" t="str">
        <f>TEXT(calendar[[#This Row],[WeekDay]],"dddd")</f>
        <v>Sunday</v>
      </c>
      <c r="I3761">
        <f>IF((INT(calendar[[#This Row],[Count]]/7)-calendar[[#This Row],[Count]]/7)&lt;0,I3760,I3760+1)</f>
        <v>538</v>
      </c>
      <c r="J3761">
        <f t="shared" si="297"/>
        <v>3759</v>
      </c>
      <c r="K3761">
        <f>IF(calendar[[#This Row],[Month]]&lt;4,1,IF(calendar[[#This Row],[Month]]&lt;7,2,IF(calendar[[#This Row],[Month]]&lt;10,3,4)))</f>
        <v>2</v>
      </c>
      <c r="L3761">
        <f>IFERROR(IF(VLOOKUP(calendar[[#This Row],[Date]],BH!A:A,1,)&lt;&gt;"",1,0),0)</f>
        <v>0</v>
      </c>
      <c r="M3761">
        <f>IFERROR(IF(VLOOKUP(calendar[[#This Row],[Date]],BH!C:C,1,)&lt;&gt;"",1,0),0)</f>
        <v>0</v>
      </c>
      <c r="N3761">
        <f>IFERROR(IF(VLOOKUP(calendar[[#This Row],[Date]],BH!E:E,1,)&lt;&gt;"",1,0),0)</f>
        <v>0</v>
      </c>
      <c r="O3761">
        <f>IFERROR(IF(VLOOKUP(calendar[[#This Row],[Date]],BH!G:G,1,)&lt;&gt;"",1,0),0)</f>
        <v>0</v>
      </c>
      <c r="P3761">
        <f>IF(OR(calendar[[#This Row],[UK_BH]]=1,calendar[[#This Row],[WeekDay]]=1, calendar[[#This Row],[WeekDay]]=7),P3760,P3760+1)</f>
        <v>2666</v>
      </c>
      <c r="Q3761">
        <f>IF(OR(calendar[[#This Row],[FR_BH]]=1,calendar[[#This Row],[WeekDay]]=1, calendar[[#This Row],[WeekDay]]=7),P3760,P3760+1)</f>
        <v>2666</v>
      </c>
      <c r="R3761">
        <f>IF(OR(calendar[[#This Row],[SP_BH]]=1,calendar[[#This Row],[WeekDay]]=1, calendar[[#This Row],[WeekDay]]=7),P3760,P3760+1)</f>
        <v>2666</v>
      </c>
      <c r="S3761">
        <f>IF(OR(calendar[[#This Row],[PT_BH]]=1,calendar[[#This Row],[WeekDay]]=1, calendar[[#This Row],[WeekDay]]=7),P3760,P3760+1)</f>
        <v>2666</v>
      </c>
    </row>
    <row r="3762" spans="1:19" x14ac:dyDescent="0.25">
      <c r="A3762" s="2">
        <v>46496</v>
      </c>
      <c r="B3762" s="1">
        <f t="shared" si="296"/>
        <v>17</v>
      </c>
      <c r="C3762">
        <f t="shared" si="298"/>
        <v>4</v>
      </c>
      <c r="D3762" t="str">
        <f t="shared" si="299"/>
        <v>April</v>
      </c>
      <c r="E3762">
        <f t="shared" si="300"/>
        <v>2027</v>
      </c>
      <c r="F3762" t="str">
        <f>CONCATENATE(calendar[[#This Row],[Month]],"/",calendar[[#This Row],[Year]])</f>
        <v>4/2027</v>
      </c>
      <c r="G3762">
        <f>WEEKDAY(calendar[[#This Row],[Date]],1)</f>
        <v>2</v>
      </c>
      <c r="H3762" t="str">
        <f>TEXT(calendar[[#This Row],[WeekDay]],"dddd")</f>
        <v>Monday</v>
      </c>
      <c r="I3762">
        <f>IF((INT(calendar[[#This Row],[Count]]/7)-calendar[[#This Row],[Count]]/7)&lt;0,I3761,I3761+1)</f>
        <v>538</v>
      </c>
      <c r="J3762">
        <f t="shared" si="297"/>
        <v>3760</v>
      </c>
      <c r="K3762">
        <f>IF(calendar[[#This Row],[Month]]&lt;4,1,IF(calendar[[#This Row],[Month]]&lt;7,2,IF(calendar[[#This Row],[Month]]&lt;10,3,4)))</f>
        <v>2</v>
      </c>
      <c r="L3762">
        <f>IFERROR(IF(VLOOKUP(calendar[[#This Row],[Date]],BH!A:A,1,)&lt;&gt;"",1,0),0)</f>
        <v>0</v>
      </c>
      <c r="M3762">
        <f>IFERROR(IF(VLOOKUP(calendar[[#This Row],[Date]],BH!C:C,1,)&lt;&gt;"",1,0),0)</f>
        <v>0</v>
      </c>
      <c r="N3762">
        <f>IFERROR(IF(VLOOKUP(calendar[[#This Row],[Date]],BH!E:E,1,)&lt;&gt;"",1,0),0)</f>
        <v>0</v>
      </c>
      <c r="O3762">
        <f>IFERROR(IF(VLOOKUP(calendar[[#This Row],[Date]],BH!G:G,1,)&lt;&gt;"",1,0),0)</f>
        <v>0</v>
      </c>
      <c r="P3762">
        <f>IF(OR(calendar[[#This Row],[UK_BH]]=1,calendar[[#This Row],[WeekDay]]=1, calendar[[#This Row],[WeekDay]]=7),P3761,P3761+1)</f>
        <v>2667</v>
      </c>
      <c r="Q3762">
        <f>IF(OR(calendar[[#This Row],[FR_BH]]=1,calendar[[#This Row],[WeekDay]]=1, calendar[[#This Row],[WeekDay]]=7),P3761,P3761+1)</f>
        <v>2667</v>
      </c>
      <c r="R3762">
        <f>IF(OR(calendar[[#This Row],[SP_BH]]=1,calendar[[#This Row],[WeekDay]]=1, calendar[[#This Row],[WeekDay]]=7),P3761,P3761+1)</f>
        <v>2667</v>
      </c>
      <c r="S3762">
        <f>IF(OR(calendar[[#This Row],[PT_BH]]=1,calendar[[#This Row],[WeekDay]]=1, calendar[[#This Row],[WeekDay]]=7),P3761,P3761+1)</f>
        <v>2667</v>
      </c>
    </row>
    <row r="3763" spans="1:19" x14ac:dyDescent="0.25">
      <c r="A3763" s="2">
        <v>46497</v>
      </c>
      <c r="B3763" s="1">
        <f t="shared" si="296"/>
        <v>17</v>
      </c>
      <c r="C3763">
        <f t="shared" si="298"/>
        <v>4</v>
      </c>
      <c r="D3763" t="str">
        <f t="shared" si="299"/>
        <v>April</v>
      </c>
      <c r="E3763">
        <f t="shared" si="300"/>
        <v>2027</v>
      </c>
      <c r="F3763" t="str">
        <f>CONCATENATE(calendar[[#This Row],[Month]],"/",calendar[[#This Row],[Year]])</f>
        <v>4/2027</v>
      </c>
      <c r="G3763">
        <f>WEEKDAY(calendar[[#This Row],[Date]],1)</f>
        <v>3</v>
      </c>
      <c r="H3763" t="str">
        <f>TEXT(calendar[[#This Row],[WeekDay]],"dddd")</f>
        <v>Tuesday</v>
      </c>
      <c r="I3763">
        <f>IF((INT(calendar[[#This Row],[Count]]/7)-calendar[[#This Row],[Count]]/7)&lt;0,I3762,I3762+1)</f>
        <v>538</v>
      </c>
      <c r="J3763">
        <f t="shared" si="297"/>
        <v>3761</v>
      </c>
      <c r="K3763">
        <f>IF(calendar[[#This Row],[Month]]&lt;4,1,IF(calendar[[#This Row],[Month]]&lt;7,2,IF(calendar[[#This Row],[Month]]&lt;10,3,4)))</f>
        <v>2</v>
      </c>
      <c r="L3763">
        <f>IFERROR(IF(VLOOKUP(calendar[[#This Row],[Date]],BH!A:A,1,)&lt;&gt;"",1,0),0)</f>
        <v>0</v>
      </c>
      <c r="M3763">
        <f>IFERROR(IF(VLOOKUP(calendar[[#This Row],[Date]],BH!C:C,1,)&lt;&gt;"",1,0),0)</f>
        <v>0</v>
      </c>
      <c r="N3763">
        <f>IFERROR(IF(VLOOKUP(calendar[[#This Row],[Date]],BH!E:E,1,)&lt;&gt;"",1,0),0)</f>
        <v>0</v>
      </c>
      <c r="O3763">
        <f>IFERROR(IF(VLOOKUP(calendar[[#This Row],[Date]],BH!G:G,1,)&lt;&gt;"",1,0),0)</f>
        <v>0</v>
      </c>
      <c r="P3763">
        <f>IF(OR(calendar[[#This Row],[UK_BH]]=1,calendar[[#This Row],[WeekDay]]=1, calendar[[#This Row],[WeekDay]]=7),P3762,P3762+1)</f>
        <v>2668</v>
      </c>
      <c r="Q3763">
        <f>IF(OR(calendar[[#This Row],[FR_BH]]=1,calendar[[#This Row],[WeekDay]]=1, calendar[[#This Row],[WeekDay]]=7),P3762,P3762+1)</f>
        <v>2668</v>
      </c>
      <c r="R3763">
        <f>IF(OR(calendar[[#This Row],[SP_BH]]=1,calendar[[#This Row],[WeekDay]]=1, calendar[[#This Row],[WeekDay]]=7),P3762,P3762+1)</f>
        <v>2668</v>
      </c>
      <c r="S3763">
        <f>IF(OR(calendar[[#This Row],[PT_BH]]=1,calendar[[#This Row],[WeekDay]]=1, calendar[[#This Row],[WeekDay]]=7),P3762,P3762+1)</f>
        <v>2668</v>
      </c>
    </row>
    <row r="3764" spans="1:19" x14ac:dyDescent="0.25">
      <c r="A3764" s="2">
        <v>46498</v>
      </c>
      <c r="B3764" s="1">
        <f t="shared" si="296"/>
        <v>17</v>
      </c>
      <c r="C3764">
        <f t="shared" si="298"/>
        <v>4</v>
      </c>
      <c r="D3764" t="str">
        <f t="shared" si="299"/>
        <v>April</v>
      </c>
      <c r="E3764">
        <f t="shared" si="300"/>
        <v>2027</v>
      </c>
      <c r="F3764" t="str">
        <f>CONCATENATE(calendar[[#This Row],[Month]],"/",calendar[[#This Row],[Year]])</f>
        <v>4/2027</v>
      </c>
      <c r="G3764">
        <f>WEEKDAY(calendar[[#This Row],[Date]],1)</f>
        <v>4</v>
      </c>
      <c r="H3764" t="str">
        <f>TEXT(calendar[[#This Row],[WeekDay]],"dddd")</f>
        <v>Wednesday</v>
      </c>
      <c r="I3764">
        <f>IF((INT(calendar[[#This Row],[Count]]/7)-calendar[[#This Row],[Count]]/7)&lt;0,I3763,I3763+1)</f>
        <v>538</v>
      </c>
      <c r="J3764">
        <f t="shared" si="297"/>
        <v>3762</v>
      </c>
      <c r="K3764">
        <f>IF(calendar[[#This Row],[Month]]&lt;4,1,IF(calendar[[#This Row],[Month]]&lt;7,2,IF(calendar[[#This Row],[Month]]&lt;10,3,4)))</f>
        <v>2</v>
      </c>
      <c r="L3764">
        <f>IFERROR(IF(VLOOKUP(calendar[[#This Row],[Date]],BH!A:A,1,)&lt;&gt;"",1,0),0)</f>
        <v>0</v>
      </c>
      <c r="M3764">
        <f>IFERROR(IF(VLOOKUP(calendar[[#This Row],[Date]],BH!C:C,1,)&lt;&gt;"",1,0),0)</f>
        <v>0</v>
      </c>
      <c r="N3764">
        <f>IFERROR(IF(VLOOKUP(calendar[[#This Row],[Date]],BH!E:E,1,)&lt;&gt;"",1,0),0)</f>
        <v>0</v>
      </c>
      <c r="O3764">
        <f>IFERROR(IF(VLOOKUP(calendar[[#This Row],[Date]],BH!G:G,1,)&lt;&gt;"",1,0),0)</f>
        <v>0</v>
      </c>
      <c r="P3764">
        <f>IF(OR(calendar[[#This Row],[UK_BH]]=1,calendar[[#This Row],[WeekDay]]=1, calendar[[#This Row],[WeekDay]]=7),P3763,P3763+1)</f>
        <v>2669</v>
      </c>
      <c r="Q3764">
        <f>IF(OR(calendar[[#This Row],[FR_BH]]=1,calendar[[#This Row],[WeekDay]]=1, calendar[[#This Row],[WeekDay]]=7),P3763,P3763+1)</f>
        <v>2669</v>
      </c>
      <c r="R3764">
        <f>IF(OR(calendar[[#This Row],[SP_BH]]=1,calendar[[#This Row],[WeekDay]]=1, calendar[[#This Row],[WeekDay]]=7),P3763,P3763+1)</f>
        <v>2669</v>
      </c>
      <c r="S3764">
        <f>IF(OR(calendar[[#This Row],[PT_BH]]=1,calendar[[#This Row],[WeekDay]]=1, calendar[[#This Row],[WeekDay]]=7),P3763,P3763+1)</f>
        <v>2669</v>
      </c>
    </row>
    <row r="3765" spans="1:19" x14ac:dyDescent="0.25">
      <c r="A3765" s="2">
        <v>46499</v>
      </c>
      <c r="B3765" s="1">
        <f t="shared" si="296"/>
        <v>17</v>
      </c>
      <c r="C3765">
        <f t="shared" si="298"/>
        <v>4</v>
      </c>
      <c r="D3765" t="str">
        <f t="shared" si="299"/>
        <v>April</v>
      </c>
      <c r="E3765">
        <f t="shared" si="300"/>
        <v>2027</v>
      </c>
      <c r="F3765" t="str">
        <f>CONCATENATE(calendar[[#This Row],[Month]],"/",calendar[[#This Row],[Year]])</f>
        <v>4/2027</v>
      </c>
      <c r="G3765">
        <f>WEEKDAY(calendar[[#This Row],[Date]],1)</f>
        <v>5</v>
      </c>
      <c r="H3765" t="str">
        <f>TEXT(calendar[[#This Row],[WeekDay]],"dddd")</f>
        <v>Thursday</v>
      </c>
      <c r="I3765">
        <f>IF((INT(calendar[[#This Row],[Count]]/7)-calendar[[#This Row],[Count]]/7)&lt;0,I3764,I3764+1)</f>
        <v>538</v>
      </c>
      <c r="J3765">
        <f t="shared" si="297"/>
        <v>3763</v>
      </c>
      <c r="K3765">
        <f>IF(calendar[[#This Row],[Month]]&lt;4,1,IF(calendar[[#This Row],[Month]]&lt;7,2,IF(calendar[[#This Row],[Month]]&lt;10,3,4)))</f>
        <v>2</v>
      </c>
      <c r="L3765">
        <f>IFERROR(IF(VLOOKUP(calendar[[#This Row],[Date]],BH!A:A,1,)&lt;&gt;"",1,0),0)</f>
        <v>0</v>
      </c>
      <c r="M3765">
        <f>IFERROR(IF(VLOOKUP(calendar[[#This Row],[Date]],BH!C:C,1,)&lt;&gt;"",1,0),0)</f>
        <v>0</v>
      </c>
      <c r="N3765">
        <f>IFERROR(IF(VLOOKUP(calendar[[#This Row],[Date]],BH!E:E,1,)&lt;&gt;"",1,0),0)</f>
        <v>0</v>
      </c>
      <c r="O3765">
        <f>IFERROR(IF(VLOOKUP(calendar[[#This Row],[Date]],BH!G:G,1,)&lt;&gt;"",1,0),0)</f>
        <v>0</v>
      </c>
      <c r="P3765">
        <f>IF(OR(calendar[[#This Row],[UK_BH]]=1,calendar[[#This Row],[WeekDay]]=1, calendar[[#This Row],[WeekDay]]=7),P3764,P3764+1)</f>
        <v>2670</v>
      </c>
      <c r="Q3765">
        <f>IF(OR(calendar[[#This Row],[FR_BH]]=1,calendar[[#This Row],[WeekDay]]=1, calendar[[#This Row],[WeekDay]]=7),P3764,P3764+1)</f>
        <v>2670</v>
      </c>
      <c r="R3765">
        <f>IF(OR(calendar[[#This Row],[SP_BH]]=1,calendar[[#This Row],[WeekDay]]=1, calendar[[#This Row],[WeekDay]]=7),P3764,P3764+1)</f>
        <v>2670</v>
      </c>
      <c r="S3765">
        <f>IF(OR(calendar[[#This Row],[PT_BH]]=1,calendar[[#This Row],[WeekDay]]=1, calendar[[#This Row],[WeekDay]]=7),P3764,P3764+1)</f>
        <v>2670</v>
      </c>
    </row>
    <row r="3766" spans="1:19" x14ac:dyDescent="0.25">
      <c r="A3766" s="2">
        <v>46500</v>
      </c>
      <c r="B3766" s="1">
        <f t="shared" si="296"/>
        <v>17</v>
      </c>
      <c r="C3766">
        <f t="shared" si="298"/>
        <v>4</v>
      </c>
      <c r="D3766" t="str">
        <f t="shared" si="299"/>
        <v>April</v>
      </c>
      <c r="E3766">
        <f t="shared" si="300"/>
        <v>2027</v>
      </c>
      <c r="F3766" t="str">
        <f>CONCATENATE(calendar[[#This Row],[Month]],"/",calendar[[#This Row],[Year]])</f>
        <v>4/2027</v>
      </c>
      <c r="G3766">
        <f>WEEKDAY(calendar[[#This Row],[Date]],1)</f>
        <v>6</v>
      </c>
      <c r="H3766" t="str">
        <f>TEXT(calendar[[#This Row],[WeekDay]],"dddd")</f>
        <v>Friday</v>
      </c>
      <c r="I3766">
        <f>IF((INT(calendar[[#This Row],[Count]]/7)-calendar[[#This Row],[Count]]/7)&lt;0,I3765,I3765+1)</f>
        <v>538</v>
      </c>
      <c r="J3766">
        <f t="shared" si="297"/>
        <v>3764</v>
      </c>
      <c r="K3766">
        <f>IF(calendar[[#This Row],[Month]]&lt;4,1,IF(calendar[[#This Row],[Month]]&lt;7,2,IF(calendar[[#This Row],[Month]]&lt;10,3,4)))</f>
        <v>2</v>
      </c>
      <c r="L3766">
        <f>IFERROR(IF(VLOOKUP(calendar[[#This Row],[Date]],BH!A:A,1,)&lt;&gt;"",1,0),0)</f>
        <v>0</v>
      </c>
      <c r="M3766">
        <f>IFERROR(IF(VLOOKUP(calendar[[#This Row],[Date]],BH!C:C,1,)&lt;&gt;"",1,0),0)</f>
        <v>0</v>
      </c>
      <c r="N3766">
        <f>IFERROR(IF(VLOOKUP(calendar[[#This Row],[Date]],BH!E:E,1,)&lt;&gt;"",1,0),0)</f>
        <v>0</v>
      </c>
      <c r="O3766">
        <f>IFERROR(IF(VLOOKUP(calendar[[#This Row],[Date]],BH!G:G,1,)&lt;&gt;"",1,0),0)</f>
        <v>0</v>
      </c>
      <c r="P3766">
        <f>IF(OR(calendar[[#This Row],[UK_BH]]=1,calendar[[#This Row],[WeekDay]]=1, calendar[[#This Row],[WeekDay]]=7),P3765,P3765+1)</f>
        <v>2671</v>
      </c>
      <c r="Q3766">
        <f>IF(OR(calendar[[#This Row],[FR_BH]]=1,calendar[[#This Row],[WeekDay]]=1, calendar[[#This Row],[WeekDay]]=7),P3765,P3765+1)</f>
        <v>2671</v>
      </c>
      <c r="R3766">
        <f>IF(OR(calendar[[#This Row],[SP_BH]]=1,calendar[[#This Row],[WeekDay]]=1, calendar[[#This Row],[WeekDay]]=7),P3765,P3765+1)</f>
        <v>2671</v>
      </c>
      <c r="S3766">
        <f>IF(OR(calendar[[#This Row],[PT_BH]]=1,calendar[[#This Row],[WeekDay]]=1, calendar[[#This Row],[WeekDay]]=7),P3765,P3765+1)</f>
        <v>2671</v>
      </c>
    </row>
    <row r="3767" spans="1:19" x14ac:dyDescent="0.25">
      <c r="A3767" s="2">
        <v>46501</v>
      </c>
      <c r="B3767" s="1">
        <f t="shared" si="296"/>
        <v>17</v>
      </c>
      <c r="C3767">
        <f t="shared" si="298"/>
        <v>4</v>
      </c>
      <c r="D3767" t="str">
        <f t="shared" si="299"/>
        <v>April</v>
      </c>
      <c r="E3767">
        <f t="shared" si="300"/>
        <v>2027</v>
      </c>
      <c r="F3767" t="str">
        <f>CONCATENATE(calendar[[#This Row],[Month]],"/",calendar[[#This Row],[Year]])</f>
        <v>4/2027</v>
      </c>
      <c r="G3767">
        <f>WEEKDAY(calendar[[#This Row],[Date]],1)</f>
        <v>7</v>
      </c>
      <c r="H3767" t="str">
        <f>TEXT(calendar[[#This Row],[WeekDay]],"dddd")</f>
        <v>Saturday</v>
      </c>
      <c r="I3767">
        <f>IF((INT(calendar[[#This Row],[Count]]/7)-calendar[[#This Row],[Count]]/7)&lt;0,I3766,I3766+1)</f>
        <v>538</v>
      </c>
      <c r="J3767">
        <f t="shared" si="297"/>
        <v>3765</v>
      </c>
      <c r="K3767">
        <f>IF(calendar[[#This Row],[Month]]&lt;4,1,IF(calendar[[#This Row],[Month]]&lt;7,2,IF(calendar[[#This Row],[Month]]&lt;10,3,4)))</f>
        <v>2</v>
      </c>
      <c r="L3767">
        <f>IFERROR(IF(VLOOKUP(calendar[[#This Row],[Date]],BH!A:A,1,)&lt;&gt;"",1,0),0)</f>
        <v>0</v>
      </c>
      <c r="M3767">
        <f>IFERROR(IF(VLOOKUP(calendar[[#This Row],[Date]],BH!C:C,1,)&lt;&gt;"",1,0),0)</f>
        <v>0</v>
      </c>
      <c r="N3767">
        <f>IFERROR(IF(VLOOKUP(calendar[[#This Row],[Date]],BH!E:E,1,)&lt;&gt;"",1,0),0)</f>
        <v>0</v>
      </c>
      <c r="O3767">
        <f>IFERROR(IF(VLOOKUP(calendar[[#This Row],[Date]],BH!G:G,1,)&lt;&gt;"",1,0),0)</f>
        <v>0</v>
      </c>
      <c r="P3767">
        <f>IF(OR(calendar[[#This Row],[UK_BH]]=1,calendar[[#This Row],[WeekDay]]=1, calendar[[#This Row],[WeekDay]]=7),P3766,P3766+1)</f>
        <v>2671</v>
      </c>
      <c r="Q3767">
        <f>IF(OR(calendar[[#This Row],[FR_BH]]=1,calendar[[#This Row],[WeekDay]]=1, calendar[[#This Row],[WeekDay]]=7),P3766,P3766+1)</f>
        <v>2671</v>
      </c>
      <c r="R3767">
        <f>IF(OR(calendar[[#This Row],[SP_BH]]=1,calendar[[#This Row],[WeekDay]]=1, calendar[[#This Row],[WeekDay]]=7),P3766,P3766+1)</f>
        <v>2671</v>
      </c>
      <c r="S3767">
        <f>IF(OR(calendar[[#This Row],[PT_BH]]=1,calendar[[#This Row],[WeekDay]]=1, calendar[[#This Row],[WeekDay]]=7),P3766,P3766+1)</f>
        <v>2671</v>
      </c>
    </row>
    <row r="3768" spans="1:19" x14ac:dyDescent="0.25">
      <c r="A3768" s="2">
        <v>46502</v>
      </c>
      <c r="B3768" s="1">
        <f t="shared" si="296"/>
        <v>18</v>
      </c>
      <c r="C3768">
        <f t="shared" si="298"/>
        <v>4</v>
      </c>
      <c r="D3768" t="str">
        <f t="shared" si="299"/>
        <v>April</v>
      </c>
      <c r="E3768">
        <f t="shared" si="300"/>
        <v>2027</v>
      </c>
      <c r="F3768" t="str">
        <f>CONCATENATE(calendar[[#This Row],[Month]],"/",calendar[[#This Row],[Year]])</f>
        <v>4/2027</v>
      </c>
      <c r="G3768">
        <f>WEEKDAY(calendar[[#This Row],[Date]],1)</f>
        <v>1</v>
      </c>
      <c r="H3768" t="str">
        <f>TEXT(calendar[[#This Row],[WeekDay]],"dddd")</f>
        <v>Sunday</v>
      </c>
      <c r="I3768">
        <f>IF((INT(calendar[[#This Row],[Count]]/7)-calendar[[#This Row],[Count]]/7)&lt;0,I3767,I3767+1)</f>
        <v>539</v>
      </c>
      <c r="J3768">
        <f t="shared" si="297"/>
        <v>3766</v>
      </c>
      <c r="K3768">
        <f>IF(calendar[[#This Row],[Month]]&lt;4,1,IF(calendar[[#This Row],[Month]]&lt;7,2,IF(calendar[[#This Row],[Month]]&lt;10,3,4)))</f>
        <v>2</v>
      </c>
      <c r="L3768">
        <f>IFERROR(IF(VLOOKUP(calendar[[#This Row],[Date]],BH!A:A,1,)&lt;&gt;"",1,0),0)</f>
        <v>0</v>
      </c>
      <c r="M3768">
        <f>IFERROR(IF(VLOOKUP(calendar[[#This Row],[Date]],BH!C:C,1,)&lt;&gt;"",1,0),0)</f>
        <v>0</v>
      </c>
      <c r="N3768">
        <f>IFERROR(IF(VLOOKUP(calendar[[#This Row],[Date]],BH!E:E,1,)&lt;&gt;"",1,0),0)</f>
        <v>0</v>
      </c>
      <c r="O3768">
        <f>IFERROR(IF(VLOOKUP(calendar[[#This Row],[Date]],BH!G:G,1,)&lt;&gt;"",1,0),0)</f>
        <v>1</v>
      </c>
      <c r="P3768">
        <f>IF(OR(calendar[[#This Row],[UK_BH]]=1,calendar[[#This Row],[WeekDay]]=1, calendar[[#This Row],[WeekDay]]=7),P3767,P3767+1)</f>
        <v>2671</v>
      </c>
      <c r="Q3768">
        <f>IF(OR(calendar[[#This Row],[FR_BH]]=1,calendar[[#This Row],[WeekDay]]=1, calendar[[#This Row],[WeekDay]]=7),P3767,P3767+1)</f>
        <v>2671</v>
      </c>
      <c r="R3768">
        <f>IF(OR(calendar[[#This Row],[SP_BH]]=1,calendar[[#This Row],[WeekDay]]=1, calendar[[#This Row],[WeekDay]]=7),P3767,P3767+1)</f>
        <v>2671</v>
      </c>
      <c r="S3768">
        <f>IF(OR(calendar[[#This Row],[PT_BH]]=1,calendar[[#This Row],[WeekDay]]=1, calendar[[#This Row],[WeekDay]]=7),P3767,P3767+1)</f>
        <v>2671</v>
      </c>
    </row>
    <row r="3769" spans="1:19" x14ac:dyDescent="0.25">
      <c r="A3769" s="2">
        <v>46503</v>
      </c>
      <c r="B3769" s="1">
        <f t="shared" si="296"/>
        <v>18</v>
      </c>
      <c r="C3769">
        <f t="shared" si="298"/>
        <v>4</v>
      </c>
      <c r="D3769" t="str">
        <f t="shared" si="299"/>
        <v>April</v>
      </c>
      <c r="E3769">
        <f t="shared" si="300"/>
        <v>2027</v>
      </c>
      <c r="F3769" t="str">
        <f>CONCATENATE(calendar[[#This Row],[Month]],"/",calendar[[#This Row],[Year]])</f>
        <v>4/2027</v>
      </c>
      <c r="G3769">
        <f>WEEKDAY(calendar[[#This Row],[Date]],1)</f>
        <v>2</v>
      </c>
      <c r="H3769" t="str">
        <f>TEXT(calendar[[#This Row],[WeekDay]],"dddd")</f>
        <v>Monday</v>
      </c>
      <c r="I3769">
        <f>IF((INT(calendar[[#This Row],[Count]]/7)-calendar[[#This Row],[Count]]/7)&lt;0,I3768,I3768+1)</f>
        <v>539</v>
      </c>
      <c r="J3769">
        <f t="shared" si="297"/>
        <v>3767</v>
      </c>
      <c r="K3769">
        <f>IF(calendar[[#This Row],[Month]]&lt;4,1,IF(calendar[[#This Row],[Month]]&lt;7,2,IF(calendar[[#This Row],[Month]]&lt;10,3,4)))</f>
        <v>2</v>
      </c>
      <c r="L3769">
        <f>IFERROR(IF(VLOOKUP(calendar[[#This Row],[Date]],BH!A:A,1,)&lt;&gt;"",1,0),0)</f>
        <v>0</v>
      </c>
      <c r="M3769">
        <f>IFERROR(IF(VLOOKUP(calendar[[#This Row],[Date]],BH!C:C,1,)&lt;&gt;"",1,0),0)</f>
        <v>0</v>
      </c>
      <c r="N3769">
        <f>IFERROR(IF(VLOOKUP(calendar[[#This Row],[Date]],BH!E:E,1,)&lt;&gt;"",1,0),0)</f>
        <v>0</v>
      </c>
      <c r="O3769">
        <f>IFERROR(IF(VLOOKUP(calendar[[#This Row],[Date]],BH!G:G,1,)&lt;&gt;"",1,0),0)</f>
        <v>0</v>
      </c>
      <c r="P3769">
        <f>IF(OR(calendar[[#This Row],[UK_BH]]=1,calendar[[#This Row],[WeekDay]]=1, calendar[[#This Row],[WeekDay]]=7),P3768,P3768+1)</f>
        <v>2672</v>
      </c>
      <c r="Q3769">
        <f>IF(OR(calendar[[#This Row],[FR_BH]]=1,calendar[[#This Row],[WeekDay]]=1, calendar[[#This Row],[WeekDay]]=7),P3768,P3768+1)</f>
        <v>2672</v>
      </c>
      <c r="R3769">
        <f>IF(OR(calendar[[#This Row],[SP_BH]]=1,calendar[[#This Row],[WeekDay]]=1, calendar[[#This Row],[WeekDay]]=7),P3768,P3768+1)</f>
        <v>2672</v>
      </c>
      <c r="S3769">
        <f>IF(OR(calendar[[#This Row],[PT_BH]]=1,calendar[[#This Row],[WeekDay]]=1, calendar[[#This Row],[WeekDay]]=7),P3768,P3768+1)</f>
        <v>2672</v>
      </c>
    </row>
    <row r="3770" spans="1:19" x14ac:dyDescent="0.25">
      <c r="A3770" s="2">
        <v>46504</v>
      </c>
      <c r="B3770" s="1">
        <f t="shared" si="296"/>
        <v>18</v>
      </c>
      <c r="C3770">
        <f t="shared" si="298"/>
        <v>4</v>
      </c>
      <c r="D3770" t="str">
        <f t="shared" si="299"/>
        <v>April</v>
      </c>
      <c r="E3770">
        <f t="shared" si="300"/>
        <v>2027</v>
      </c>
      <c r="F3770" t="str">
        <f>CONCATENATE(calendar[[#This Row],[Month]],"/",calendar[[#This Row],[Year]])</f>
        <v>4/2027</v>
      </c>
      <c r="G3770">
        <f>WEEKDAY(calendar[[#This Row],[Date]],1)</f>
        <v>3</v>
      </c>
      <c r="H3770" t="str">
        <f>TEXT(calendar[[#This Row],[WeekDay]],"dddd")</f>
        <v>Tuesday</v>
      </c>
      <c r="I3770">
        <f>IF((INT(calendar[[#This Row],[Count]]/7)-calendar[[#This Row],[Count]]/7)&lt;0,I3769,I3769+1)</f>
        <v>539</v>
      </c>
      <c r="J3770">
        <f t="shared" si="297"/>
        <v>3768</v>
      </c>
      <c r="K3770">
        <f>IF(calendar[[#This Row],[Month]]&lt;4,1,IF(calendar[[#This Row],[Month]]&lt;7,2,IF(calendar[[#This Row],[Month]]&lt;10,3,4)))</f>
        <v>2</v>
      </c>
      <c r="L3770">
        <f>IFERROR(IF(VLOOKUP(calendar[[#This Row],[Date]],BH!A:A,1,)&lt;&gt;"",1,0),0)</f>
        <v>0</v>
      </c>
      <c r="M3770">
        <f>IFERROR(IF(VLOOKUP(calendar[[#This Row],[Date]],BH!C:C,1,)&lt;&gt;"",1,0),0)</f>
        <v>0</v>
      </c>
      <c r="N3770">
        <f>IFERROR(IF(VLOOKUP(calendar[[#This Row],[Date]],BH!E:E,1,)&lt;&gt;"",1,0),0)</f>
        <v>0</v>
      </c>
      <c r="O3770">
        <f>IFERROR(IF(VLOOKUP(calendar[[#This Row],[Date]],BH!G:G,1,)&lt;&gt;"",1,0),0)</f>
        <v>0</v>
      </c>
      <c r="P3770">
        <f>IF(OR(calendar[[#This Row],[UK_BH]]=1,calendar[[#This Row],[WeekDay]]=1, calendar[[#This Row],[WeekDay]]=7),P3769,P3769+1)</f>
        <v>2673</v>
      </c>
      <c r="Q3770">
        <f>IF(OR(calendar[[#This Row],[FR_BH]]=1,calendar[[#This Row],[WeekDay]]=1, calendar[[#This Row],[WeekDay]]=7),P3769,P3769+1)</f>
        <v>2673</v>
      </c>
      <c r="R3770">
        <f>IF(OR(calendar[[#This Row],[SP_BH]]=1,calendar[[#This Row],[WeekDay]]=1, calendar[[#This Row],[WeekDay]]=7),P3769,P3769+1)</f>
        <v>2673</v>
      </c>
      <c r="S3770">
        <f>IF(OR(calendar[[#This Row],[PT_BH]]=1,calendar[[#This Row],[WeekDay]]=1, calendar[[#This Row],[WeekDay]]=7),P3769,P3769+1)</f>
        <v>2673</v>
      </c>
    </row>
    <row r="3771" spans="1:19" x14ac:dyDescent="0.25">
      <c r="A3771" s="2">
        <v>46505</v>
      </c>
      <c r="B3771" s="1">
        <f t="shared" si="296"/>
        <v>18</v>
      </c>
      <c r="C3771">
        <f t="shared" si="298"/>
        <v>4</v>
      </c>
      <c r="D3771" t="str">
        <f t="shared" si="299"/>
        <v>April</v>
      </c>
      <c r="E3771">
        <f t="shared" si="300"/>
        <v>2027</v>
      </c>
      <c r="F3771" t="str">
        <f>CONCATENATE(calendar[[#This Row],[Month]],"/",calendar[[#This Row],[Year]])</f>
        <v>4/2027</v>
      </c>
      <c r="G3771">
        <f>WEEKDAY(calendar[[#This Row],[Date]],1)</f>
        <v>4</v>
      </c>
      <c r="H3771" t="str">
        <f>TEXT(calendar[[#This Row],[WeekDay]],"dddd")</f>
        <v>Wednesday</v>
      </c>
      <c r="I3771">
        <f>IF((INT(calendar[[#This Row],[Count]]/7)-calendar[[#This Row],[Count]]/7)&lt;0,I3770,I3770+1)</f>
        <v>539</v>
      </c>
      <c r="J3771">
        <f t="shared" si="297"/>
        <v>3769</v>
      </c>
      <c r="K3771">
        <f>IF(calendar[[#This Row],[Month]]&lt;4,1,IF(calendar[[#This Row],[Month]]&lt;7,2,IF(calendar[[#This Row],[Month]]&lt;10,3,4)))</f>
        <v>2</v>
      </c>
      <c r="L3771">
        <f>IFERROR(IF(VLOOKUP(calendar[[#This Row],[Date]],BH!A:A,1,)&lt;&gt;"",1,0),0)</f>
        <v>0</v>
      </c>
      <c r="M3771">
        <f>IFERROR(IF(VLOOKUP(calendar[[#This Row],[Date]],BH!C:C,1,)&lt;&gt;"",1,0),0)</f>
        <v>0</v>
      </c>
      <c r="N3771">
        <f>IFERROR(IF(VLOOKUP(calendar[[#This Row],[Date]],BH!E:E,1,)&lt;&gt;"",1,0),0)</f>
        <v>1</v>
      </c>
      <c r="O3771">
        <f>IFERROR(IF(VLOOKUP(calendar[[#This Row],[Date]],BH!G:G,1,)&lt;&gt;"",1,0),0)</f>
        <v>0</v>
      </c>
      <c r="P3771">
        <f>IF(OR(calendar[[#This Row],[UK_BH]]=1,calendar[[#This Row],[WeekDay]]=1, calendar[[#This Row],[WeekDay]]=7),P3770,P3770+1)</f>
        <v>2674</v>
      </c>
      <c r="Q3771">
        <f>IF(OR(calendar[[#This Row],[FR_BH]]=1,calendar[[#This Row],[WeekDay]]=1, calendar[[#This Row],[WeekDay]]=7),P3770,P3770+1)</f>
        <v>2674</v>
      </c>
      <c r="R3771">
        <f>IF(OR(calendar[[#This Row],[SP_BH]]=1,calendar[[#This Row],[WeekDay]]=1, calendar[[#This Row],[WeekDay]]=7),P3770,P3770+1)</f>
        <v>2673</v>
      </c>
      <c r="S3771">
        <f>IF(OR(calendar[[#This Row],[PT_BH]]=1,calendar[[#This Row],[WeekDay]]=1, calendar[[#This Row],[WeekDay]]=7),P3770,P3770+1)</f>
        <v>2674</v>
      </c>
    </row>
    <row r="3772" spans="1:19" x14ac:dyDescent="0.25">
      <c r="A3772" s="2">
        <v>46506</v>
      </c>
      <c r="B3772" s="1">
        <f t="shared" si="296"/>
        <v>18</v>
      </c>
      <c r="C3772">
        <f t="shared" si="298"/>
        <v>4</v>
      </c>
      <c r="D3772" t="str">
        <f t="shared" si="299"/>
        <v>April</v>
      </c>
      <c r="E3772">
        <f t="shared" si="300"/>
        <v>2027</v>
      </c>
      <c r="F3772" t="str">
        <f>CONCATENATE(calendar[[#This Row],[Month]],"/",calendar[[#This Row],[Year]])</f>
        <v>4/2027</v>
      </c>
      <c r="G3772">
        <f>WEEKDAY(calendar[[#This Row],[Date]],1)</f>
        <v>5</v>
      </c>
      <c r="H3772" t="str">
        <f>TEXT(calendar[[#This Row],[WeekDay]],"dddd")</f>
        <v>Thursday</v>
      </c>
      <c r="I3772">
        <f>IF((INT(calendar[[#This Row],[Count]]/7)-calendar[[#This Row],[Count]]/7)&lt;0,I3771,I3771+1)</f>
        <v>539</v>
      </c>
      <c r="J3772">
        <f t="shared" si="297"/>
        <v>3770</v>
      </c>
      <c r="K3772">
        <f>IF(calendar[[#This Row],[Month]]&lt;4,1,IF(calendar[[#This Row],[Month]]&lt;7,2,IF(calendar[[#This Row],[Month]]&lt;10,3,4)))</f>
        <v>2</v>
      </c>
      <c r="L3772">
        <f>IFERROR(IF(VLOOKUP(calendar[[#This Row],[Date]],BH!A:A,1,)&lt;&gt;"",1,0),0)</f>
        <v>0</v>
      </c>
      <c r="M3772">
        <f>IFERROR(IF(VLOOKUP(calendar[[#This Row],[Date]],BH!C:C,1,)&lt;&gt;"",1,0),0)</f>
        <v>0</v>
      </c>
      <c r="N3772">
        <f>IFERROR(IF(VLOOKUP(calendar[[#This Row],[Date]],BH!E:E,1,)&lt;&gt;"",1,0),0)</f>
        <v>0</v>
      </c>
      <c r="O3772">
        <f>IFERROR(IF(VLOOKUP(calendar[[#This Row],[Date]],BH!G:G,1,)&lt;&gt;"",1,0),0)</f>
        <v>0</v>
      </c>
      <c r="P3772">
        <f>IF(OR(calendar[[#This Row],[UK_BH]]=1,calendar[[#This Row],[WeekDay]]=1, calendar[[#This Row],[WeekDay]]=7),P3771,P3771+1)</f>
        <v>2675</v>
      </c>
      <c r="Q3772">
        <f>IF(OR(calendar[[#This Row],[FR_BH]]=1,calendar[[#This Row],[WeekDay]]=1, calendar[[#This Row],[WeekDay]]=7),P3771,P3771+1)</f>
        <v>2675</v>
      </c>
      <c r="R3772">
        <f>IF(OR(calendar[[#This Row],[SP_BH]]=1,calendar[[#This Row],[WeekDay]]=1, calendar[[#This Row],[WeekDay]]=7),P3771,P3771+1)</f>
        <v>2675</v>
      </c>
      <c r="S3772">
        <f>IF(OR(calendar[[#This Row],[PT_BH]]=1,calendar[[#This Row],[WeekDay]]=1, calendar[[#This Row],[WeekDay]]=7),P3771,P3771+1)</f>
        <v>2675</v>
      </c>
    </row>
    <row r="3773" spans="1:19" x14ac:dyDescent="0.25">
      <c r="A3773" s="2">
        <v>46507</v>
      </c>
      <c r="B3773" s="1">
        <f t="shared" si="296"/>
        <v>18</v>
      </c>
      <c r="C3773">
        <f t="shared" si="298"/>
        <v>4</v>
      </c>
      <c r="D3773" t="str">
        <f t="shared" si="299"/>
        <v>April</v>
      </c>
      <c r="E3773">
        <f t="shared" si="300"/>
        <v>2027</v>
      </c>
      <c r="F3773" t="str">
        <f>CONCATENATE(calendar[[#This Row],[Month]],"/",calendar[[#This Row],[Year]])</f>
        <v>4/2027</v>
      </c>
      <c r="G3773">
        <f>WEEKDAY(calendar[[#This Row],[Date]],1)</f>
        <v>6</v>
      </c>
      <c r="H3773" t="str">
        <f>TEXT(calendar[[#This Row],[WeekDay]],"dddd")</f>
        <v>Friday</v>
      </c>
      <c r="I3773">
        <f>IF((INT(calendar[[#This Row],[Count]]/7)-calendar[[#This Row],[Count]]/7)&lt;0,I3772,I3772+1)</f>
        <v>539</v>
      </c>
      <c r="J3773">
        <f t="shared" si="297"/>
        <v>3771</v>
      </c>
      <c r="K3773">
        <f>IF(calendar[[#This Row],[Month]]&lt;4,1,IF(calendar[[#This Row],[Month]]&lt;7,2,IF(calendar[[#This Row],[Month]]&lt;10,3,4)))</f>
        <v>2</v>
      </c>
      <c r="L3773">
        <f>IFERROR(IF(VLOOKUP(calendar[[#This Row],[Date]],BH!A:A,1,)&lt;&gt;"",1,0),0)</f>
        <v>0</v>
      </c>
      <c r="M3773">
        <f>IFERROR(IF(VLOOKUP(calendar[[#This Row],[Date]],BH!C:C,1,)&lt;&gt;"",1,0),0)</f>
        <v>0</v>
      </c>
      <c r="N3773">
        <f>IFERROR(IF(VLOOKUP(calendar[[#This Row],[Date]],BH!E:E,1,)&lt;&gt;"",1,0),0)</f>
        <v>0</v>
      </c>
      <c r="O3773">
        <f>IFERROR(IF(VLOOKUP(calendar[[#This Row],[Date]],BH!G:G,1,)&lt;&gt;"",1,0),0)</f>
        <v>0</v>
      </c>
      <c r="P3773">
        <f>IF(OR(calendar[[#This Row],[UK_BH]]=1,calendar[[#This Row],[WeekDay]]=1, calendar[[#This Row],[WeekDay]]=7),P3772,P3772+1)</f>
        <v>2676</v>
      </c>
      <c r="Q3773">
        <f>IF(OR(calendar[[#This Row],[FR_BH]]=1,calendar[[#This Row],[WeekDay]]=1, calendar[[#This Row],[WeekDay]]=7),P3772,P3772+1)</f>
        <v>2676</v>
      </c>
      <c r="R3773">
        <f>IF(OR(calendar[[#This Row],[SP_BH]]=1,calendar[[#This Row],[WeekDay]]=1, calendar[[#This Row],[WeekDay]]=7),P3772,P3772+1)</f>
        <v>2676</v>
      </c>
      <c r="S3773">
        <f>IF(OR(calendar[[#This Row],[PT_BH]]=1,calendar[[#This Row],[WeekDay]]=1, calendar[[#This Row],[WeekDay]]=7),P3772,P3772+1)</f>
        <v>2676</v>
      </c>
    </row>
    <row r="3774" spans="1:19" x14ac:dyDescent="0.25">
      <c r="A3774" s="2">
        <v>46508</v>
      </c>
      <c r="B3774" s="1">
        <f t="shared" si="296"/>
        <v>18</v>
      </c>
      <c r="C3774">
        <f t="shared" si="298"/>
        <v>5</v>
      </c>
      <c r="D3774" t="str">
        <f t="shared" si="299"/>
        <v>May</v>
      </c>
      <c r="E3774">
        <f t="shared" si="300"/>
        <v>2027</v>
      </c>
      <c r="F3774" t="str">
        <f>CONCATENATE(calendar[[#This Row],[Month]],"/",calendar[[#This Row],[Year]])</f>
        <v>5/2027</v>
      </c>
      <c r="G3774">
        <f>WEEKDAY(calendar[[#This Row],[Date]],1)</f>
        <v>7</v>
      </c>
      <c r="H3774" t="str">
        <f>TEXT(calendar[[#This Row],[WeekDay]],"dddd")</f>
        <v>Saturday</v>
      </c>
      <c r="I3774">
        <f>IF((INT(calendar[[#This Row],[Count]]/7)-calendar[[#This Row],[Count]]/7)&lt;0,I3773,I3773+1)</f>
        <v>539</v>
      </c>
      <c r="J3774">
        <f t="shared" si="297"/>
        <v>3772</v>
      </c>
      <c r="K3774">
        <f>IF(calendar[[#This Row],[Month]]&lt;4,1,IF(calendar[[#This Row],[Month]]&lt;7,2,IF(calendar[[#This Row],[Month]]&lt;10,3,4)))</f>
        <v>2</v>
      </c>
      <c r="L3774">
        <f>IFERROR(IF(VLOOKUP(calendar[[#This Row],[Date]],BH!A:A,1,)&lt;&gt;"",1,0),0)</f>
        <v>0</v>
      </c>
      <c r="M3774">
        <f>IFERROR(IF(VLOOKUP(calendar[[#This Row],[Date]],BH!C:C,1,)&lt;&gt;"",1,0),0)</f>
        <v>0</v>
      </c>
      <c r="N3774">
        <f>IFERROR(IF(VLOOKUP(calendar[[#This Row],[Date]],BH!E:E,1,)&lt;&gt;"",1,0),0)</f>
        <v>1</v>
      </c>
      <c r="O3774">
        <f>IFERROR(IF(VLOOKUP(calendar[[#This Row],[Date]],BH!G:G,1,)&lt;&gt;"",1,0),0)</f>
        <v>1</v>
      </c>
      <c r="P3774">
        <f>IF(OR(calendar[[#This Row],[UK_BH]]=1,calendar[[#This Row],[WeekDay]]=1, calendar[[#This Row],[WeekDay]]=7),P3773,P3773+1)</f>
        <v>2676</v>
      </c>
      <c r="Q3774">
        <f>IF(OR(calendar[[#This Row],[FR_BH]]=1,calendar[[#This Row],[WeekDay]]=1, calendar[[#This Row],[WeekDay]]=7),P3773,P3773+1)</f>
        <v>2676</v>
      </c>
      <c r="R3774">
        <f>IF(OR(calendar[[#This Row],[SP_BH]]=1,calendar[[#This Row],[WeekDay]]=1, calendar[[#This Row],[WeekDay]]=7),P3773,P3773+1)</f>
        <v>2676</v>
      </c>
      <c r="S3774">
        <f>IF(OR(calendar[[#This Row],[PT_BH]]=1,calendar[[#This Row],[WeekDay]]=1, calendar[[#This Row],[WeekDay]]=7),P3773,P3773+1)</f>
        <v>2676</v>
      </c>
    </row>
    <row r="3775" spans="1:19" x14ac:dyDescent="0.25">
      <c r="A3775" s="2">
        <v>46509</v>
      </c>
      <c r="B3775" s="1">
        <f t="shared" si="296"/>
        <v>19</v>
      </c>
      <c r="C3775">
        <f t="shared" si="298"/>
        <v>5</v>
      </c>
      <c r="D3775" t="str">
        <f t="shared" si="299"/>
        <v>May</v>
      </c>
      <c r="E3775">
        <f t="shared" si="300"/>
        <v>2027</v>
      </c>
      <c r="F3775" t="str">
        <f>CONCATENATE(calendar[[#This Row],[Month]],"/",calendar[[#This Row],[Year]])</f>
        <v>5/2027</v>
      </c>
      <c r="G3775">
        <f>WEEKDAY(calendar[[#This Row],[Date]],1)</f>
        <v>1</v>
      </c>
      <c r="H3775" t="str">
        <f>TEXT(calendar[[#This Row],[WeekDay]],"dddd")</f>
        <v>Sunday</v>
      </c>
      <c r="I3775">
        <f>IF((INT(calendar[[#This Row],[Count]]/7)-calendar[[#This Row],[Count]]/7)&lt;0,I3774,I3774+1)</f>
        <v>540</v>
      </c>
      <c r="J3775">
        <f t="shared" si="297"/>
        <v>3773</v>
      </c>
      <c r="K3775">
        <f>IF(calendar[[#This Row],[Month]]&lt;4,1,IF(calendar[[#This Row],[Month]]&lt;7,2,IF(calendar[[#This Row],[Month]]&lt;10,3,4)))</f>
        <v>2</v>
      </c>
      <c r="L3775">
        <f>IFERROR(IF(VLOOKUP(calendar[[#This Row],[Date]],BH!A:A,1,)&lt;&gt;"",1,0),0)</f>
        <v>0</v>
      </c>
      <c r="M3775">
        <f>IFERROR(IF(VLOOKUP(calendar[[#This Row],[Date]],BH!C:C,1,)&lt;&gt;"",1,0),0)</f>
        <v>0</v>
      </c>
      <c r="N3775">
        <f>IFERROR(IF(VLOOKUP(calendar[[#This Row],[Date]],BH!E:E,1,)&lt;&gt;"",1,0),0)</f>
        <v>1</v>
      </c>
      <c r="O3775">
        <f>IFERROR(IF(VLOOKUP(calendar[[#This Row],[Date]],BH!G:G,1,)&lt;&gt;"",1,0),0)</f>
        <v>0</v>
      </c>
      <c r="P3775">
        <f>IF(OR(calendar[[#This Row],[UK_BH]]=1,calendar[[#This Row],[WeekDay]]=1, calendar[[#This Row],[WeekDay]]=7),P3774,P3774+1)</f>
        <v>2676</v>
      </c>
      <c r="Q3775">
        <f>IF(OR(calendar[[#This Row],[FR_BH]]=1,calendar[[#This Row],[WeekDay]]=1, calendar[[#This Row],[WeekDay]]=7),P3774,P3774+1)</f>
        <v>2676</v>
      </c>
      <c r="R3775">
        <f>IF(OR(calendar[[#This Row],[SP_BH]]=1,calendar[[#This Row],[WeekDay]]=1, calendar[[#This Row],[WeekDay]]=7),P3774,P3774+1)</f>
        <v>2676</v>
      </c>
      <c r="S3775">
        <f>IF(OR(calendar[[#This Row],[PT_BH]]=1,calendar[[#This Row],[WeekDay]]=1, calendar[[#This Row],[WeekDay]]=7),P3774,P3774+1)</f>
        <v>2676</v>
      </c>
    </row>
    <row r="3776" spans="1:19" x14ac:dyDescent="0.25">
      <c r="A3776" s="2">
        <v>46510</v>
      </c>
      <c r="B3776" s="1">
        <f t="shared" si="296"/>
        <v>19</v>
      </c>
      <c r="C3776">
        <f t="shared" si="298"/>
        <v>5</v>
      </c>
      <c r="D3776" t="str">
        <f t="shared" si="299"/>
        <v>May</v>
      </c>
      <c r="E3776">
        <f t="shared" si="300"/>
        <v>2027</v>
      </c>
      <c r="F3776" t="str">
        <f>CONCATENATE(calendar[[#This Row],[Month]],"/",calendar[[#This Row],[Year]])</f>
        <v>5/2027</v>
      </c>
      <c r="G3776">
        <f>WEEKDAY(calendar[[#This Row],[Date]],1)</f>
        <v>2</v>
      </c>
      <c r="H3776" t="str">
        <f>TEXT(calendar[[#This Row],[WeekDay]],"dddd")</f>
        <v>Monday</v>
      </c>
      <c r="I3776">
        <f>IF((INT(calendar[[#This Row],[Count]]/7)-calendar[[#This Row],[Count]]/7)&lt;0,I3775,I3775+1)</f>
        <v>540</v>
      </c>
      <c r="J3776">
        <f t="shared" si="297"/>
        <v>3774</v>
      </c>
      <c r="K3776">
        <f>IF(calendar[[#This Row],[Month]]&lt;4,1,IF(calendar[[#This Row],[Month]]&lt;7,2,IF(calendar[[#This Row],[Month]]&lt;10,3,4)))</f>
        <v>2</v>
      </c>
      <c r="L3776">
        <f>IFERROR(IF(VLOOKUP(calendar[[#This Row],[Date]],BH!A:A,1,)&lt;&gt;"",1,0),0)</f>
        <v>1</v>
      </c>
      <c r="M3776">
        <f>IFERROR(IF(VLOOKUP(calendar[[#This Row],[Date]],BH!C:C,1,)&lt;&gt;"",1,0),0)</f>
        <v>0</v>
      </c>
      <c r="N3776">
        <f>IFERROR(IF(VLOOKUP(calendar[[#This Row],[Date]],BH!E:E,1,)&lt;&gt;"",1,0),0)</f>
        <v>0</v>
      </c>
      <c r="O3776">
        <f>IFERROR(IF(VLOOKUP(calendar[[#This Row],[Date]],BH!G:G,1,)&lt;&gt;"",1,0),0)</f>
        <v>0</v>
      </c>
      <c r="P3776">
        <f>IF(OR(calendar[[#This Row],[UK_BH]]=1,calendar[[#This Row],[WeekDay]]=1, calendar[[#This Row],[WeekDay]]=7),P3775,P3775+1)</f>
        <v>2676</v>
      </c>
      <c r="Q3776">
        <f>IF(OR(calendar[[#This Row],[FR_BH]]=1,calendar[[#This Row],[WeekDay]]=1, calendar[[#This Row],[WeekDay]]=7),P3775,P3775+1)</f>
        <v>2677</v>
      </c>
      <c r="R3776">
        <f>IF(OR(calendar[[#This Row],[SP_BH]]=1,calendar[[#This Row],[WeekDay]]=1, calendar[[#This Row],[WeekDay]]=7),P3775,P3775+1)</f>
        <v>2677</v>
      </c>
      <c r="S3776">
        <f>IF(OR(calendar[[#This Row],[PT_BH]]=1,calendar[[#This Row],[WeekDay]]=1, calendar[[#This Row],[WeekDay]]=7),P3775,P3775+1)</f>
        <v>2677</v>
      </c>
    </row>
    <row r="3777" spans="1:19" x14ac:dyDescent="0.25">
      <c r="A3777" s="2">
        <v>46511</v>
      </c>
      <c r="B3777" s="1">
        <f t="shared" si="296"/>
        <v>19</v>
      </c>
      <c r="C3777">
        <f t="shared" si="298"/>
        <v>5</v>
      </c>
      <c r="D3777" t="str">
        <f t="shared" si="299"/>
        <v>May</v>
      </c>
      <c r="E3777">
        <f t="shared" si="300"/>
        <v>2027</v>
      </c>
      <c r="F3777" t="str">
        <f>CONCATENATE(calendar[[#This Row],[Month]],"/",calendar[[#This Row],[Year]])</f>
        <v>5/2027</v>
      </c>
      <c r="G3777">
        <f>WEEKDAY(calendar[[#This Row],[Date]],1)</f>
        <v>3</v>
      </c>
      <c r="H3777" t="str">
        <f>TEXT(calendar[[#This Row],[WeekDay]],"dddd")</f>
        <v>Tuesday</v>
      </c>
      <c r="I3777">
        <f>IF((INT(calendar[[#This Row],[Count]]/7)-calendar[[#This Row],[Count]]/7)&lt;0,I3776,I3776+1)</f>
        <v>540</v>
      </c>
      <c r="J3777">
        <f t="shared" si="297"/>
        <v>3775</v>
      </c>
      <c r="K3777">
        <f>IF(calendar[[#This Row],[Month]]&lt;4,1,IF(calendar[[#This Row],[Month]]&lt;7,2,IF(calendar[[#This Row],[Month]]&lt;10,3,4)))</f>
        <v>2</v>
      </c>
      <c r="L3777">
        <f>IFERROR(IF(VLOOKUP(calendar[[#This Row],[Date]],BH!A:A,1,)&lt;&gt;"",1,0),0)</f>
        <v>0</v>
      </c>
      <c r="M3777">
        <f>IFERROR(IF(VLOOKUP(calendar[[#This Row],[Date]],BH!C:C,1,)&lt;&gt;"",1,0),0)</f>
        <v>0</v>
      </c>
      <c r="N3777">
        <f>IFERROR(IF(VLOOKUP(calendar[[#This Row],[Date]],BH!E:E,1,)&lt;&gt;"",1,0),0)</f>
        <v>0</v>
      </c>
      <c r="O3777">
        <f>IFERROR(IF(VLOOKUP(calendar[[#This Row],[Date]],BH!G:G,1,)&lt;&gt;"",1,0),0)</f>
        <v>0</v>
      </c>
      <c r="P3777">
        <f>IF(OR(calendar[[#This Row],[UK_BH]]=1,calendar[[#This Row],[WeekDay]]=1, calendar[[#This Row],[WeekDay]]=7),P3776,P3776+1)</f>
        <v>2677</v>
      </c>
      <c r="Q3777">
        <f>IF(OR(calendar[[#This Row],[FR_BH]]=1,calendar[[#This Row],[WeekDay]]=1, calendar[[#This Row],[WeekDay]]=7),P3776,P3776+1)</f>
        <v>2677</v>
      </c>
      <c r="R3777">
        <f>IF(OR(calendar[[#This Row],[SP_BH]]=1,calendar[[#This Row],[WeekDay]]=1, calendar[[#This Row],[WeekDay]]=7),P3776,P3776+1)</f>
        <v>2677</v>
      </c>
      <c r="S3777">
        <f>IF(OR(calendar[[#This Row],[PT_BH]]=1,calendar[[#This Row],[WeekDay]]=1, calendar[[#This Row],[WeekDay]]=7),P3776,P3776+1)</f>
        <v>2677</v>
      </c>
    </row>
    <row r="3778" spans="1:19" x14ac:dyDescent="0.25">
      <c r="A3778" s="2">
        <v>46512</v>
      </c>
      <c r="B3778" s="1">
        <f t="shared" ref="B3778:B3841" si="301">WEEKNUM(A3778)</f>
        <v>19</v>
      </c>
      <c r="C3778">
        <f t="shared" si="298"/>
        <v>5</v>
      </c>
      <c r="D3778" t="str">
        <f t="shared" si="299"/>
        <v>May</v>
      </c>
      <c r="E3778">
        <f t="shared" si="300"/>
        <v>2027</v>
      </c>
      <c r="F3778" t="str">
        <f>CONCATENATE(calendar[[#This Row],[Month]],"/",calendar[[#This Row],[Year]])</f>
        <v>5/2027</v>
      </c>
      <c r="G3778">
        <f>WEEKDAY(calendar[[#This Row],[Date]],1)</f>
        <v>4</v>
      </c>
      <c r="H3778" t="str">
        <f>TEXT(calendar[[#This Row],[WeekDay]],"dddd")</f>
        <v>Wednesday</v>
      </c>
      <c r="I3778">
        <f>IF((INT(calendar[[#This Row],[Count]]/7)-calendar[[#This Row],[Count]]/7)&lt;0,I3777,I3777+1)</f>
        <v>540</v>
      </c>
      <c r="J3778">
        <f t="shared" si="297"/>
        <v>3776</v>
      </c>
      <c r="K3778">
        <f>IF(calendar[[#This Row],[Month]]&lt;4,1,IF(calendar[[#This Row],[Month]]&lt;7,2,IF(calendar[[#This Row],[Month]]&lt;10,3,4)))</f>
        <v>2</v>
      </c>
      <c r="L3778">
        <f>IFERROR(IF(VLOOKUP(calendar[[#This Row],[Date]],BH!A:A,1,)&lt;&gt;"",1,0),0)</f>
        <v>0</v>
      </c>
      <c r="M3778">
        <f>IFERROR(IF(VLOOKUP(calendar[[#This Row],[Date]],BH!C:C,1,)&lt;&gt;"",1,0),0)</f>
        <v>0</v>
      </c>
      <c r="N3778">
        <f>IFERROR(IF(VLOOKUP(calendar[[#This Row],[Date]],BH!E:E,1,)&lt;&gt;"",1,0),0)</f>
        <v>0</v>
      </c>
      <c r="O3778">
        <f>IFERROR(IF(VLOOKUP(calendar[[#This Row],[Date]],BH!G:G,1,)&lt;&gt;"",1,0),0)</f>
        <v>0</v>
      </c>
      <c r="P3778">
        <f>IF(OR(calendar[[#This Row],[UK_BH]]=1,calendar[[#This Row],[WeekDay]]=1, calendar[[#This Row],[WeekDay]]=7),P3777,P3777+1)</f>
        <v>2678</v>
      </c>
      <c r="Q3778">
        <f>IF(OR(calendar[[#This Row],[FR_BH]]=1,calendar[[#This Row],[WeekDay]]=1, calendar[[#This Row],[WeekDay]]=7),P3777,P3777+1)</f>
        <v>2678</v>
      </c>
      <c r="R3778">
        <f>IF(OR(calendar[[#This Row],[SP_BH]]=1,calendar[[#This Row],[WeekDay]]=1, calendar[[#This Row],[WeekDay]]=7),P3777,P3777+1)</f>
        <v>2678</v>
      </c>
      <c r="S3778">
        <f>IF(OR(calendar[[#This Row],[PT_BH]]=1,calendar[[#This Row],[WeekDay]]=1, calendar[[#This Row],[WeekDay]]=7),P3777,P3777+1)</f>
        <v>2678</v>
      </c>
    </row>
    <row r="3779" spans="1:19" x14ac:dyDescent="0.25">
      <c r="A3779" s="2">
        <v>46513</v>
      </c>
      <c r="B3779" s="1">
        <f t="shared" si="301"/>
        <v>19</v>
      </c>
      <c r="C3779">
        <f t="shared" si="298"/>
        <v>5</v>
      </c>
      <c r="D3779" t="str">
        <f t="shared" si="299"/>
        <v>May</v>
      </c>
      <c r="E3779">
        <f t="shared" si="300"/>
        <v>2027</v>
      </c>
      <c r="F3779" t="str">
        <f>CONCATENATE(calendar[[#This Row],[Month]],"/",calendar[[#This Row],[Year]])</f>
        <v>5/2027</v>
      </c>
      <c r="G3779">
        <f>WEEKDAY(calendar[[#This Row],[Date]],1)</f>
        <v>5</v>
      </c>
      <c r="H3779" t="str">
        <f>TEXT(calendar[[#This Row],[WeekDay]],"dddd")</f>
        <v>Thursday</v>
      </c>
      <c r="I3779">
        <f>IF((INT(calendar[[#This Row],[Count]]/7)-calendar[[#This Row],[Count]]/7)&lt;0,I3778,I3778+1)</f>
        <v>540</v>
      </c>
      <c r="J3779">
        <f t="shared" ref="J3779:J3842" si="302">J3778+1</f>
        <v>3777</v>
      </c>
      <c r="K3779">
        <f>IF(calendar[[#This Row],[Month]]&lt;4,1,IF(calendar[[#This Row],[Month]]&lt;7,2,IF(calendar[[#This Row],[Month]]&lt;10,3,4)))</f>
        <v>2</v>
      </c>
      <c r="L3779">
        <f>IFERROR(IF(VLOOKUP(calendar[[#This Row],[Date]],BH!A:A,1,)&lt;&gt;"",1,0),0)</f>
        <v>0</v>
      </c>
      <c r="M3779">
        <f>IFERROR(IF(VLOOKUP(calendar[[#This Row],[Date]],BH!C:C,1,)&lt;&gt;"",1,0),0)</f>
        <v>1</v>
      </c>
      <c r="N3779">
        <f>IFERROR(IF(VLOOKUP(calendar[[#This Row],[Date]],BH!E:E,1,)&lt;&gt;"",1,0),0)</f>
        <v>0</v>
      </c>
      <c r="O3779">
        <f>IFERROR(IF(VLOOKUP(calendar[[#This Row],[Date]],BH!G:G,1,)&lt;&gt;"",1,0),0)</f>
        <v>0</v>
      </c>
      <c r="P3779">
        <f>IF(OR(calendar[[#This Row],[UK_BH]]=1,calendar[[#This Row],[WeekDay]]=1, calendar[[#This Row],[WeekDay]]=7),P3778,P3778+1)</f>
        <v>2679</v>
      </c>
      <c r="Q3779">
        <f>IF(OR(calendar[[#This Row],[FR_BH]]=1,calendar[[#This Row],[WeekDay]]=1, calendar[[#This Row],[WeekDay]]=7),P3778,P3778+1)</f>
        <v>2678</v>
      </c>
      <c r="R3779">
        <f>IF(OR(calendar[[#This Row],[SP_BH]]=1,calendar[[#This Row],[WeekDay]]=1, calendar[[#This Row],[WeekDay]]=7),P3778,P3778+1)</f>
        <v>2679</v>
      </c>
      <c r="S3779">
        <f>IF(OR(calendar[[#This Row],[PT_BH]]=1,calendar[[#This Row],[WeekDay]]=1, calendar[[#This Row],[WeekDay]]=7),P3778,P3778+1)</f>
        <v>2679</v>
      </c>
    </row>
    <row r="3780" spans="1:19" x14ac:dyDescent="0.25">
      <c r="A3780" s="2">
        <v>46514</v>
      </c>
      <c r="B3780" s="1">
        <f t="shared" si="301"/>
        <v>19</v>
      </c>
      <c r="C3780">
        <f t="shared" si="298"/>
        <v>5</v>
      </c>
      <c r="D3780" t="str">
        <f t="shared" si="299"/>
        <v>May</v>
      </c>
      <c r="E3780">
        <f t="shared" si="300"/>
        <v>2027</v>
      </c>
      <c r="F3780" t="str">
        <f>CONCATENATE(calendar[[#This Row],[Month]],"/",calendar[[#This Row],[Year]])</f>
        <v>5/2027</v>
      </c>
      <c r="G3780">
        <f>WEEKDAY(calendar[[#This Row],[Date]],1)</f>
        <v>6</v>
      </c>
      <c r="H3780" t="str">
        <f>TEXT(calendar[[#This Row],[WeekDay]],"dddd")</f>
        <v>Friday</v>
      </c>
      <c r="I3780">
        <f>IF((INT(calendar[[#This Row],[Count]]/7)-calendar[[#This Row],[Count]]/7)&lt;0,I3779,I3779+1)</f>
        <v>540</v>
      </c>
      <c r="J3780">
        <f t="shared" si="302"/>
        <v>3778</v>
      </c>
      <c r="K3780">
        <f>IF(calendar[[#This Row],[Month]]&lt;4,1,IF(calendar[[#This Row],[Month]]&lt;7,2,IF(calendar[[#This Row],[Month]]&lt;10,3,4)))</f>
        <v>2</v>
      </c>
      <c r="L3780">
        <f>IFERROR(IF(VLOOKUP(calendar[[#This Row],[Date]],BH!A:A,1,)&lt;&gt;"",1,0),0)</f>
        <v>0</v>
      </c>
      <c r="M3780">
        <f>IFERROR(IF(VLOOKUP(calendar[[#This Row],[Date]],BH!C:C,1,)&lt;&gt;"",1,0),0)</f>
        <v>0</v>
      </c>
      <c r="N3780">
        <f>IFERROR(IF(VLOOKUP(calendar[[#This Row],[Date]],BH!E:E,1,)&lt;&gt;"",1,0),0)</f>
        <v>0</v>
      </c>
      <c r="O3780">
        <f>IFERROR(IF(VLOOKUP(calendar[[#This Row],[Date]],BH!G:G,1,)&lt;&gt;"",1,0),0)</f>
        <v>0</v>
      </c>
      <c r="P3780">
        <f>IF(OR(calendar[[#This Row],[UK_BH]]=1,calendar[[#This Row],[WeekDay]]=1, calendar[[#This Row],[WeekDay]]=7),P3779,P3779+1)</f>
        <v>2680</v>
      </c>
      <c r="Q3780">
        <f>IF(OR(calendar[[#This Row],[FR_BH]]=1,calendar[[#This Row],[WeekDay]]=1, calendar[[#This Row],[WeekDay]]=7),P3779,P3779+1)</f>
        <v>2680</v>
      </c>
      <c r="R3780">
        <f>IF(OR(calendar[[#This Row],[SP_BH]]=1,calendar[[#This Row],[WeekDay]]=1, calendar[[#This Row],[WeekDay]]=7),P3779,P3779+1)</f>
        <v>2680</v>
      </c>
      <c r="S3780">
        <f>IF(OR(calendar[[#This Row],[PT_BH]]=1,calendar[[#This Row],[WeekDay]]=1, calendar[[#This Row],[WeekDay]]=7),P3779,P3779+1)</f>
        <v>2680</v>
      </c>
    </row>
    <row r="3781" spans="1:19" x14ac:dyDescent="0.25">
      <c r="A3781" s="2">
        <v>46515</v>
      </c>
      <c r="B3781" s="1">
        <f t="shared" si="301"/>
        <v>19</v>
      </c>
      <c r="C3781">
        <f t="shared" si="298"/>
        <v>5</v>
      </c>
      <c r="D3781" t="str">
        <f t="shared" si="299"/>
        <v>May</v>
      </c>
      <c r="E3781">
        <f t="shared" si="300"/>
        <v>2027</v>
      </c>
      <c r="F3781" t="str">
        <f>CONCATENATE(calendar[[#This Row],[Month]],"/",calendar[[#This Row],[Year]])</f>
        <v>5/2027</v>
      </c>
      <c r="G3781">
        <f>WEEKDAY(calendar[[#This Row],[Date]],1)</f>
        <v>7</v>
      </c>
      <c r="H3781" t="str">
        <f>TEXT(calendar[[#This Row],[WeekDay]],"dddd")</f>
        <v>Saturday</v>
      </c>
      <c r="I3781">
        <f>IF((INT(calendar[[#This Row],[Count]]/7)-calendar[[#This Row],[Count]]/7)&lt;0,I3780,I3780+1)</f>
        <v>540</v>
      </c>
      <c r="J3781">
        <f t="shared" si="302"/>
        <v>3779</v>
      </c>
      <c r="K3781">
        <f>IF(calendar[[#This Row],[Month]]&lt;4,1,IF(calendar[[#This Row],[Month]]&lt;7,2,IF(calendar[[#This Row],[Month]]&lt;10,3,4)))</f>
        <v>2</v>
      </c>
      <c r="L3781">
        <f>IFERROR(IF(VLOOKUP(calendar[[#This Row],[Date]],BH!A:A,1,)&lt;&gt;"",1,0),0)</f>
        <v>0</v>
      </c>
      <c r="M3781">
        <f>IFERROR(IF(VLOOKUP(calendar[[#This Row],[Date]],BH!C:C,1,)&lt;&gt;"",1,0),0)</f>
        <v>1</v>
      </c>
      <c r="N3781">
        <f>IFERROR(IF(VLOOKUP(calendar[[#This Row],[Date]],BH!E:E,1,)&lt;&gt;"",1,0),0)</f>
        <v>0</v>
      </c>
      <c r="O3781">
        <f>IFERROR(IF(VLOOKUP(calendar[[#This Row],[Date]],BH!G:G,1,)&lt;&gt;"",1,0),0)</f>
        <v>0</v>
      </c>
      <c r="P3781">
        <f>IF(OR(calendar[[#This Row],[UK_BH]]=1,calendar[[#This Row],[WeekDay]]=1, calendar[[#This Row],[WeekDay]]=7),P3780,P3780+1)</f>
        <v>2680</v>
      </c>
      <c r="Q3781">
        <f>IF(OR(calendar[[#This Row],[FR_BH]]=1,calendar[[#This Row],[WeekDay]]=1, calendar[[#This Row],[WeekDay]]=7),P3780,P3780+1)</f>
        <v>2680</v>
      </c>
      <c r="R3781">
        <f>IF(OR(calendar[[#This Row],[SP_BH]]=1,calendar[[#This Row],[WeekDay]]=1, calendar[[#This Row],[WeekDay]]=7),P3780,P3780+1)</f>
        <v>2680</v>
      </c>
      <c r="S3781">
        <f>IF(OR(calendar[[#This Row],[PT_BH]]=1,calendar[[#This Row],[WeekDay]]=1, calendar[[#This Row],[WeekDay]]=7),P3780,P3780+1)</f>
        <v>2680</v>
      </c>
    </row>
    <row r="3782" spans="1:19" x14ac:dyDescent="0.25">
      <c r="A3782" s="2">
        <v>46516</v>
      </c>
      <c r="B3782" s="1">
        <f t="shared" si="301"/>
        <v>20</v>
      </c>
      <c r="C3782">
        <f t="shared" si="298"/>
        <v>5</v>
      </c>
      <c r="D3782" t="str">
        <f t="shared" si="299"/>
        <v>May</v>
      </c>
      <c r="E3782">
        <f t="shared" si="300"/>
        <v>2027</v>
      </c>
      <c r="F3782" t="str">
        <f>CONCATENATE(calendar[[#This Row],[Month]],"/",calendar[[#This Row],[Year]])</f>
        <v>5/2027</v>
      </c>
      <c r="G3782">
        <f>WEEKDAY(calendar[[#This Row],[Date]],1)</f>
        <v>1</v>
      </c>
      <c r="H3782" t="str">
        <f>TEXT(calendar[[#This Row],[WeekDay]],"dddd")</f>
        <v>Sunday</v>
      </c>
      <c r="I3782">
        <f>IF((INT(calendar[[#This Row],[Count]]/7)-calendar[[#This Row],[Count]]/7)&lt;0,I3781,I3781+1)</f>
        <v>541</v>
      </c>
      <c r="J3782">
        <f t="shared" si="302"/>
        <v>3780</v>
      </c>
      <c r="K3782">
        <f>IF(calendar[[#This Row],[Month]]&lt;4,1,IF(calendar[[#This Row],[Month]]&lt;7,2,IF(calendar[[#This Row],[Month]]&lt;10,3,4)))</f>
        <v>2</v>
      </c>
      <c r="L3782">
        <f>IFERROR(IF(VLOOKUP(calendar[[#This Row],[Date]],BH!A:A,1,)&lt;&gt;"",1,0),0)</f>
        <v>0</v>
      </c>
      <c r="M3782">
        <f>IFERROR(IF(VLOOKUP(calendar[[#This Row],[Date]],BH!C:C,1,)&lt;&gt;"",1,0),0)</f>
        <v>0</v>
      </c>
      <c r="N3782">
        <f>IFERROR(IF(VLOOKUP(calendar[[#This Row],[Date]],BH!E:E,1,)&lt;&gt;"",1,0),0)</f>
        <v>0</v>
      </c>
      <c r="O3782">
        <f>IFERROR(IF(VLOOKUP(calendar[[#This Row],[Date]],BH!G:G,1,)&lt;&gt;"",1,0),0)</f>
        <v>0</v>
      </c>
      <c r="P3782">
        <f>IF(OR(calendar[[#This Row],[UK_BH]]=1,calendar[[#This Row],[WeekDay]]=1, calendar[[#This Row],[WeekDay]]=7),P3781,P3781+1)</f>
        <v>2680</v>
      </c>
      <c r="Q3782">
        <f>IF(OR(calendar[[#This Row],[FR_BH]]=1,calendar[[#This Row],[WeekDay]]=1, calendar[[#This Row],[WeekDay]]=7),P3781,P3781+1)</f>
        <v>2680</v>
      </c>
      <c r="R3782">
        <f>IF(OR(calendar[[#This Row],[SP_BH]]=1,calendar[[#This Row],[WeekDay]]=1, calendar[[#This Row],[WeekDay]]=7),P3781,P3781+1)</f>
        <v>2680</v>
      </c>
      <c r="S3782">
        <f>IF(OR(calendar[[#This Row],[PT_BH]]=1,calendar[[#This Row],[WeekDay]]=1, calendar[[#This Row],[WeekDay]]=7),P3781,P3781+1)</f>
        <v>2680</v>
      </c>
    </row>
    <row r="3783" spans="1:19" x14ac:dyDescent="0.25">
      <c r="A3783" s="2">
        <v>46517</v>
      </c>
      <c r="B3783" s="1">
        <f t="shared" si="301"/>
        <v>20</v>
      </c>
      <c r="C3783">
        <f t="shared" si="298"/>
        <v>5</v>
      </c>
      <c r="D3783" t="str">
        <f t="shared" si="299"/>
        <v>May</v>
      </c>
      <c r="E3783">
        <f t="shared" si="300"/>
        <v>2027</v>
      </c>
      <c r="F3783" t="str">
        <f>CONCATENATE(calendar[[#This Row],[Month]],"/",calendar[[#This Row],[Year]])</f>
        <v>5/2027</v>
      </c>
      <c r="G3783">
        <f>WEEKDAY(calendar[[#This Row],[Date]],1)</f>
        <v>2</v>
      </c>
      <c r="H3783" t="str">
        <f>TEXT(calendar[[#This Row],[WeekDay]],"dddd")</f>
        <v>Monday</v>
      </c>
      <c r="I3783">
        <f>IF((INT(calendar[[#This Row],[Count]]/7)-calendar[[#This Row],[Count]]/7)&lt;0,I3782,I3782+1)</f>
        <v>541</v>
      </c>
      <c r="J3783">
        <f t="shared" si="302"/>
        <v>3781</v>
      </c>
      <c r="K3783">
        <f>IF(calendar[[#This Row],[Month]]&lt;4,1,IF(calendar[[#This Row],[Month]]&lt;7,2,IF(calendar[[#This Row],[Month]]&lt;10,3,4)))</f>
        <v>2</v>
      </c>
      <c r="L3783">
        <f>IFERROR(IF(VLOOKUP(calendar[[#This Row],[Date]],BH!A:A,1,)&lt;&gt;"",1,0),0)</f>
        <v>0</v>
      </c>
      <c r="M3783">
        <f>IFERROR(IF(VLOOKUP(calendar[[#This Row],[Date]],BH!C:C,1,)&lt;&gt;"",1,0),0)</f>
        <v>0</v>
      </c>
      <c r="N3783">
        <f>IFERROR(IF(VLOOKUP(calendar[[#This Row],[Date]],BH!E:E,1,)&lt;&gt;"",1,0),0)</f>
        <v>0</v>
      </c>
      <c r="O3783">
        <f>IFERROR(IF(VLOOKUP(calendar[[#This Row],[Date]],BH!G:G,1,)&lt;&gt;"",1,0),0)</f>
        <v>0</v>
      </c>
      <c r="P3783">
        <f>IF(OR(calendar[[#This Row],[UK_BH]]=1,calendar[[#This Row],[WeekDay]]=1, calendar[[#This Row],[WeekDay]]=7),P3782,P3782+1)</f>
        <v>2681</v>
      </c>
      <c r="Q3783">
        <f>IF(OR(calendar[[#This Row],[FR_BH]]=1,calendar[[#This Row],[WeekDay]]=1, calendar[[#This Row],[WeekDay]]=7),P3782,P3782+1)</f>
        <v>2681</v>
      </c>
      <c r="R3783">
        <f>IF(OR(calendar[[#This Row],[SP_BH]]=1,calendar[[#This Row],[WeekDay]]=1, calendar[[#This Row],[WeekDay]]=7),P3782,P3782+1)</f>
        <v>2681</v>
      </c>
      <c r="S3783">
        <f>IF(OR(calendar[[#This Row],[PT_BH]]=1,calendar[[#This Row],[WeekDay]]=1, calendar[[#This Row],[WeekDay]]=7),P3782,P3782+1)</f>
        <v>2681</v>
      </c>
    </row>
    <row r="3784" spans="1:19" x14ac:dyDescent="0.25">
      <c r="A3784" s="2">
        <v>46518</v>
      </c>
      <c r="B3784" s="1">
        <f t="shared" si="301"/>
        <v>20</v>
      </c>
      <c r="C3784">
        <f t="shared" si="298"/>
        <v>5</v>
      </c>
      <c r="D3784" t="str">
        <f t="shared" si="299"/>
        <v>May</v>
      </c>
      <c r="E3784">
        <f t="shared" si="300"/>
        <v>2027</v>
      </c>
      <c r="F3784" t="str">
        <f>CONCATENATE(calendar[[#This Row],[Month]],"/",calendar[[#This Row],[Year]])</f>
        <v>5/2027</v>
      </c>
      <c r="G3784">
        <f>WEEKDAY(calendar[[#This Row],[Date]],1)</f>
        <v>3</v>
      </c>
      <c r="H3784" t="str">
        <f>TEXT(calendar[[#This Row],[WeekDay]],"dddd")</f>
        <v>Tuesday</v>
      </c>
      <c r="I3784">
        <f>IF((INT(calendar[[#This Row],[Count]]/7)-calendar[[#This Row],[Count]]/7)&lt;0,I3783,I3783+1)</f>
        <v>541</v>
      </c>
      <c r="J3784">
        <f t="shared" si="302"/>
        <v>3782</v>
      </c>
      <c r="K3784">
        <f>IF(calendar[[#This Row],[Month]]&lt;4,1,IF(calendar[[#This Row],[Month]]&lt;7,2,IF(calendar[[#This Row],[Month]]&lt;10,3,4)))</f>
        <v>2</v>
      </c>
      <c r="L3784">
        <f>IFERROR(IF(VLOOKUP(calendar[[#This Row],[Date]],BH!A:A,1,)&lt;&gt;"",1,0),0)</f>
        <v>0</v>
      </c>
      <c r="M3784">
        <f>IFERROR(IF(VLOOKUP(calendar[[#This Row],[Date]],BH!C:C,1,)&lt;&gt;"",1,0),0)</f>
        <v>0</v>
      </c>
      <c r="N3784">
        <f>IFERROR(IF(VLOOKUP(calendar[[#This Row],[Date]],BH!E:E,1,)&lt;&gt;"",1,0),0)</f>
        <v>0</v>
      </c>
      <c r="O3784">
        <f>IFERROR(IF(VLOOKUP(calendar[[#This Row],[Date]],BH!G:G,1,)&lt;&gt;"",1,0),0)</f>
        <v>0</v>
      </c>
      <c r="P3784">
        <f>IF(OR(calendar[[#This Row],[UK_BH]]=1,calendar[[#This Row],[WeekDay]]=1, calendar[[#This Row],[WeekDay]]=7),P3783,P3783+1)</f>
        <v>2682</v>
      </c>
      <c r="Q3784">
        <f>IF(OR(calendar[[#This Row],[FR_BH]]=1,calendar[[#This Row],[WeekDay]]=1, calendar[[#This Row],[WeekDay]]=7),P3783,P3783+1)</f>
        <v>2682</v>
      </c>
      <c r="R3784">
        <f>IF(OR(calendar[[#This Row],[SP_BH]]=1,calendar[[#This Row],[WeekDay]]=1, calendar[[#This Row],[WeekDay]]=7),P3783,P3783+1)</f>
        <v>2682</v>
      </c>
      <c r="S3784">
        <f>IF(OR(calendar[[#This Row],[PT_BH]]=1,calendar[[#This Row],[WeekDay]]=1, calendar[[#This Row],[WeekDay]]=7),P3783,P3783+1)</f>
        <v>2682</v>
      </c>
    </row>
    <row r="3785" spans="1:19" x14ac:dyDescent="0.25">
      <c r="A3785" s="2">
        <v>46519</v>
      </c>
      <c r="B3785" s="1">
        <f t="shared" si="301"/>
        <v>20</v>
      </c>
      <c r="C3785">
        <f t="shared" si="298"/>
        <v>5</v>
      </c>
      <c r="D3785" t="str">
        <f t="shared" si="299"/>
        <v>May</v>
      </c>
      <c r="E3785">
        <f t="shared" si="300"/>
        <v>2027</v>
      </c>
      <c r="F3785" t="str">
        <f>CONCATENATE(calendar[[#This Row],[Month]],"/",calendar[[#This Row],[Year]])</f>
        <v>5/2027</v>
      </c>
      <c r="G3785">
        <f>WEEKDAY(calendar[[#This Row],[Date]],1)</f>
        <v>4</v>
      </c>
      <c r="H3785" t="str">
        <f>TEXT(calendar[[#This Row],[WeekDay]],"dddd")</f>
        <v>Wednesday</v>
      </c>
      <c r="I3785">
        <f>IF((INT(calendar[[#This Row],[Count]]/7)-calendar[[#This Row],[Count]]/7)&lt;0,I3784,I3784+1)</f>
        <v>541</v>
      </c>
      <c r="J3785">
        <f t="shared" si="302"/>
        <v>3783</v>
      </c>
      <c r="K3785">
        <f>IF(calendar[[#This Row],[Month]]&lt;4,1,IF(calendar[[#This Row],[Month]]&lt;7,2,IF(calendar[[#This Row],[Month]]&lt;10,3,4)))</f>
        <v>2</v>
      </c>
      <c r="L3785">
        <f>IFERROR(IF(VLOOKUP(calendar[[#This Row],[Date]],BH!A:A,1,)&lt;&gt;"",1,0),0)</f>
        <v>0</v>
      </c>
      <c r="M3785">
        <f>IFERROR(IF(VLOOKUP(calendar[[#This Row],[Date]],BH!C:C,1,)&lt;&gt;"",1,0),0)</f>
        <v>0</v>
      </c>
      <c r="N3785">
        <f>IFERROR(IF(VLOOKUP(calendar[[#This Row],[Date]],BH!E:E,1,)&lt;&gt;"",1,0),0)</f>
        <v>0</v>
      </c>
      <c r="O3785">
        <f>IFERROR(IF(VLOOKUP(calendar[[#This Row],[Date]],BH!G:G,1,)&lt;&gt;"",1,0),0)</f>
        <v>0</v>
      </c>
      <c r="P3785">
        <f>IF(OR(calendar[[#This Row],[UK_BH]]=1,calendar[[#This Row],[WeekDay]]=1, calendar[[#This Row],[WeekDay]]=7),P3784,P3784+1)</f>
        <v>2683</v>
      </c>
      <c r="Q3785">
        <f>IF(OR(calendar[[#This Row],[FR_BH]]=1,calendar[[#This Row],[WeekDay]]=1, calendar[[#This Row],[WeekDay]]=7),P3784,P3784+1)</f>
        <v>2683</v>
      </c>
      <c r="R3785">
        <f>IF(OR(calendar[[#This Row],[SP_BH]]=1,calendar[[#This Row],[WeekDay]]=1, calendar[[#This Row],[WeekDay]]=7),P3784,P3784+1)</f>
        <v>2683</v>
      </c>
      <c r="S3785">
        <f>IF(OR(calendar[[#This Row],[PT_BH]]=1,calendar[[#This Row],[WeekDay]]=1, calendar[[#This Row],[WeekDay]]=7),P3784,P3784+1)</f>
        <v>2683</v>
      </c>
    </row>
    <row r="3786" spans="1:19" x14ac:dyDescent="0.25">
      <c r="A3786" s="2">
        <v>46520</v>
      </c>
      <c r="B3786" s="1">
        <f t="shared" si="301"/>
        <v>20</v>
      </c>
      <c r="C3786">
        <f t="shared" si="298"/>
        <v>5</v>
      </c>
      <c r="D3786" t="str">
        <f t="shared" si="299"/>
        <v>May</v>
      </c>
      <c r="E3786">
        <f t="shared" si="300"/>
        <v>2027</v>
      </c>
      <c r="F3786" t="str">
        <f>CONCATENATE(calendar[[#This Row],[Month]],"/",calendar[[#This Row],[Year]])</f>
        <v>5/2027</v>
      </c>
      <c r="G3786">
        <f>WEEKDAY(calendar[[#This Row],[Date]],1)</f>
        <v>5</v>
      </c>
      <c r="H3786" t="str">
        <f>TEXT(calendar[[#This Row],[WeekDay]],"dddd")</f>
        <v>Thursday</v>
      </c>
      <c r="I3786">
        <f>IF((INT(calendar[[#This Row],[Count]]/7)-calendar[[#This Row],[Count]]/7)&lt;0,I3785,I3785+1)</f>
        <v>541</v>
      </c>
      <c r="J3786">
        <f t="shared" si="302"/>
        <v>3784</v>
      </c>
      <c r="K3786">
        <f>IF(calendar[[#This Row],[Month]]&lt;4,1,IF(calendar[[#This Row],[Month]]&lt;7,2,IF(calendar[[#This Row],[Month]]&lt;10,3,4)))</f>
        <v>2</v>
      </c>
      <c r="L3786">
        <f>IFERROR(IF(VLOOKUP(calendar[[#This Row],[Date]],BH!A:A,1,)&lt;&gt;"",1,0),0)</f>
        <v>0</v>
      </c>
      <c r="M3786">
        <f>IFERROR(IF(VLOOKUP(calendar[[#This Row],[Date]],BH!C:C,1,)&lt;&gt;"",1,0),0)</f>
        <v>0</v>
      </c>
      <c r="N3786">
        <f>IFERROR(IF(VLOOKUP(calendar[[#This Row],[Date]],BH!E:E,1,)&lt;&gt;"",1,0),0)</f>
        <v>0</v>
      </c>
      <c r="O3786">
        <f>IFERROR(IF(VLOOKUP(calendar[[#This Row],[Date]],BH!G:G,1,)&lt;&gt;"",1,0),0)</f>
        <v>0</v>
      </c>
      <c r="P3786">
        <f>IF(OR(calendar[[#This Row],[UK_BH]]=1,calendar[[#This Row],[WeekDay]]=1, calendar[[#This Row],[WeekDay]]=7),P3785,P3785+1)</f>
        <v>2684</v>
      </c>
      <c r="Q3786">
        <f>IF(OR(calendar[[#This Row],[FR_BH]]=1,calendar[[#This Row],[WeekDay]]=1, calendar[[#This Row],[WeekDay]]=7),P3785,P3785+1)</f>
        <v>2684</v>
      </c>
      <c r="R3786">
        <f>IF(OR(calendar[[#This Row],[SP_BH]]=1,calendar[[#This Row],[WeekDay]]=1, calendar[[#This Row],[WeekDay]]=7),P3785,P3785+1)</f>
        <v>2684</v>
      </c>
      <c r="S3786">
        <f>IF(OR(calendar[[#This Row],[PT_BH]]=1,calendar[[#This Row],[WeekDay]]=1, calendar[[#This Row],[WeekDay]]=7),P3785,P3785+1)</f>
        <v>2684</v>
      </c>
    </row>
    <row r="3787" spans="1:19" x14ac:dyDescent="0.25">
      <c r="A3787" s="2">
        <v>46521</v>
      </c>
      <c r="B3787" s="1">
        <f t="shared" si="301"/>
        <v>20</v>
      </c>
      <c r="C3787">
        <f t="shared" si="298"/>
        <v>5</v>
      </c>
      <c r="D3787" t="str">
        <f t="shared" si="299"/>
        <v>May</v>
      </c>
      <c r="E3787">
        <f t="shared" si="300"/>
        <v>2027</v>
      </c>
      <c r="F3787" t="str">
        <f>CONCATENATE(calendar[[#This Row],[Month]],"/",calendar[[#This Row],[Year]])</f>
        <v>5/2027</v>
      </c>
      <c r="G3787">
        <f>WEEKDAY(calendar[[#This Row],[Date]],1)</f>
        <v>6</v>
      </c>
      <c r="H3787" t="str">
        <f>TEXT(calendar[[#This Row],[WeekDay]],"dddd")</f>
        <v>Friday</v>
      </c>
      <c r="I3787">
        <f>IF((INT(calendar[[#This Row],[Count]]/7)-calendar[[#This Row],[Count]]/7)&lt;0,I3786,I3786+1)</f>
        <v>541</v>
      </c>
      <c r="J3787">
        <f t="shared" si="302"/>
        <v>3785</v>
      </c>
      <c r="K3787">
        <f>IF(calendar[[#This Row],[Month]]&lt;4,1,IF(calendar[[#This Row],[Month]]&lt;7,2,IF(calendar[[#This Row],[Month]]&lt;10,3,4)))</f>
        <v>2</v>
      </c>
      <c r="L3787">
        <f>IFERROR(IF(VLOOKUP(calendar[[#This Row],[Date]],BH!A:A,1,)&lt;&gt;"",1,0),0)</f>
        <v>0</v>
      </c>
      <c r="M3787">
        <f>IFERROR(IF(VLOOKUP(calendar[[#This Row],[Date]],BH!C:C,1,)&lt;&gt;"",1,0),0)</f>
        <v>0</v>
      </c>
      <c r="N3787">
        <f>IFERROR(IF(VLOOKUP(calendar[[#This Row],[Date]],BH!E:E,1,)&lt;&gt;"",1,0),0)</f>
        <v>0</v>
      </c>
      <c r="O3787">
        <f>IFERROR(IF(VLOOKUP(calendar[[#This Row],[Date]],BH!G:G,1,)&lt;&gt;"",1,0),0)</f>
        <v>0</v>
      </c>
      <c r="P3787">
        <f>IF(OR(calendar[[#This Row],[UK_BH]]=1,calendar[[#This Row],[WeekDay]]=1, calendar[[#This Row],[WeekDay]]=7),P3786,P3786+1)</f>
        <v>2685</v>
      </c>
      <c r="Q3787">
        <f>IF(OR(calendar[[#This Row],[FR_BH]]=1,calendar[[#This Row],[WeekDay]]=1, calendar[[#This Row],[WeekDay]]=7),P3786,P3786+1)</f>
        <v>2685</v>
      </c>
      <c r="R3787">
        <f>IF(OR(calendar[[#This Row],[SP_BH]]=1,calendar[[#This Row],[WeekDay]]=1, calendar[[#This Row],[WeekDay]]=7),P3786,P3786+1)</f>
        <v>2685</v>
      </c>
      <c r="S3787">
        <f>IF(OR(calendar[[#This Row],[PT_BH]]=1,calendar[[#This Row],[WeekDay]]=1, calendar[[#This Row],[WeekDay]]=7),P3786,P3786+1)</f>
        <v>2685</v>
      </c>
    </row>
    <row r="3788" spans="1:19" x14ac:dyDescent="0.25">
      <c r="A3788" s="2">
        <v>46522</v>
      </c>
      <c r="B3788" s="1">
        <f t="shared" si="301"/>
        <v>20</v>
      </c>
      <c r="C3788">
        <f t="shared" si="298"/>
        <v>5</v>
      </c>
      <c r="D3788" t="str">
        <f t="shared" si="299"/>
        <v>May</v>
      </c>
      <c r="E3788">
        <f t="shared" si="300"/>
        <v>2027</v>
      </c>
      <c r="F3788" t="str">
        <f>CONCATENATE(calendar[[#This Row],[Month]],"/",calendar[[#This Row],[Year]])</f>
        <v>5/2027</v>
      </c>
      <c r="G3788">
        <f>WEEKDAY(calendar[[#This Row],[Date]],1)</f>
        <v>7</v>
      </c>
      <c r="H3788" t="str">
        <f>TEXT(calendar[[#This Row],[WeekDay]],"dddd")</f>
        <v>Saturday</v>
      </c>
      <c r="I3788">
        <f>IF((INT(calendar[[#This Row],[Count]]/7)-calendar[[#This Row],[Count]]/7)&lt;0,I3787,I3787+1)</f>
        <v>541</v>
      </c>
      <c r="J3788">
        <f t="shared" si="302"/>
        <v>3786</v>
      </c>
      <c r="K3788">
        <f>IF(calendar[[#This Row],[Month]]&lt;4,1,IF(calendar[[#This Row],[Month]]&lt;7,2,IF(calendar[[#This Row],[Month]]&lt;10,3,4)))</f>
        <v>2</v>
      </c>
      <c r="L3788">
        <f>IFERROR(IF(VLOOKUP(calendar[[#This Row],[Date]],BH!A:A,1,)&lt;&gt;"",1,0),0)</f>
        <v>0</v>
      </c>
      <c r="M3788">
        <f>IFERROR(IF(VLOOKUP(calendar[[#This Row],[Date]],BH!C:C,1,)&lt;&gt;"",1,0),0)</f>
        <v>0</v>
      </c>
      <c r="N3788">
        <f>IFERROR(IF(VLOOKUP(calendar[[#This Row],[Date]],BH!E:E,1,)&lt;&gt;"",1,0),0)</f>
        <v>1</v>
      </c>
      <c r="O3788">
        <f>IFERROR(IF(VLOOKUP(calendar[[#This Row],[Date]],BH!G:G,1,)&lt;&gt;"",1,0),0)</f>
        <v>0</v>
      </c>
      <c r="P3788">
        <f>IF(OR(calendar[[#This Row],[UK_BH]]=1,calendar[[#This Row],[WeekDay]]=1, calendar[[#This Row],[WeekDay]]=7),P3787,P3787+1)</f>
        <v>2685</v>
      </c>
      <c r="Q3788">
        <f>IF(OR(calendar[[#This Row],[FR_BH]]=1,calendar[[#This Row],[WeekDay]]=1, calendar[[#This Row],[WeekDay]]=7),P3787,P3787+1)</f>
        <v>2685</v>
      </c>
      <c r="R3788">
        <f>IF(OR(calendar[[#This Row],[SP_BH]]=1,calendar[[#This Row],[WeekDay]]=1, calendar[[#This Row],[WeekDay]]=7),P3787,P3787+1)</f>
        <v>2685</v>
      </c>
      <c r="S3788">
        <f>IF(OR(calendar[[#This Row],[PT_BH]]=1,calendar[[#This Row],[WeekDay]]=1, calendar[[#This Row],[WeekDay]]=7),P3787,P3787+1)</f>
        <v>2685</v>
      </c>
    </row>
    <row r="3789" spans="1:19" x14ac:dyDescent="0.25">
      <c r="A3789" s="2">
        <v>46523</v>
      </c>
      <c r="B3789" s="1">
        <f t="shared" si="301"/>
        <v>21</v>
      </c>
      <c r="C3789">
        <f t="shared" si="298"/>
        <v>5</v>
      </c>
      <c r="D3789" t="str">
        <f t="shared" si="299"/>
        <v>May</v>
      </c>
      <c r="E3789">
        <f t="shared" si="300"/>
        <v>2027</v>
      </c>
      <c r="F3789" t="str">
        <f>CONCATENATE(calendar[[#This Row],[Month]],"/",calendar[[#This Row],[Year]])</f>
        <v>5/2027</v>
      </c>
      <c r="G3789">
        <f>WEEKDAY(calendar[[#This Row],[Date]],1)</f>
        <v>1</v>
      </c>
      <c r="H3789" t="str">
        <f>TEXT(calendar[[#This Row],[WeekDay]],"dddd")</f>
        <v>Sunday</v>
      </c>
      <c r="I3789">
        <f>IF((INT(calendar[[#This Row],[Count]]/7)-calendar[[#This Row],[Count]]/7)&lt;0,I3788,I3788+1)</f>
        <v>542</v>
      </c>
      <c r="J3789">
        <f t="shared" si="302"/>
        <v>3787</v>
      </c>
      <c r="K3789">
        <f>IF(calendar[[#This Row],[Month]]&lt;4,1,IF(calendar[[#This Row],[Month]]&lt;7,2,IF(calendar[[#This Row],[Month]]&lt;10,3,4)))</f>
        <v>2</v>
      </c>
      <c r="L3789">
        <f>IFERROR(IF(VLOOKUP(calendar[[#This Row],[Date]],BH!A:A,1,)&lt;&gt;"",1,0),0)</f>
        <v>0</v>
      </c>
      <c r="M3789">
        <f>IFERROR(IF(VLOOKUP(calendar[[#This Row],[Date]],BH!C:C,1,)&lt;&gt;"",1,0),0)</f>
        <v>1</v>
      </c>
      <c r="N3789">
        <f>IFERROR(IF(VLOOKUP(calendar[[#This Row],[Date]],BH!E:E,1,)&lt;&gt;"",1,0),0)</f>
        <v>1</v>
      </c>
      <c r="O3789">
        <f>IFERROR(IF(VLOOKUP(calendar[[#This Row],[Date]],BH!G:G,1,)&lt;&gt;"",1,0),0)</f>
        <v>0</v>
      </c>
      <c r="P3789">
        <f>IF(OR(calendar[[#This Row],[UK_BH]]=1,calendar[[#This Row],[WeekDay]]=1, calendar[[#This Row],[WeekDay]]=7),P3788,P3788+1)</f>
        <v>2685</v>
      </c>
      <c r="Q3789">
        <f>IF(OR(calendar[[#This Row],[FR_BH]]=1,calendar[[#This Row],[WeekDay]]=1, calendar[[#This Row],[WeekDay]]=7),P3788,P3788+1)</f>
        <v>2685</v>
      </c>
      <c r="R3789">
        <f>IF(OR(calendar[[#This Row],[SP_BH]]=1,calendar[[#This Row],[WeekDay]]=1, calendar[[#This Row],[WeekDay]]=7),P3788,P3788+1)</f>
        <v>2685</v>
      </c>
      <c r="S3789">
        <f>IF(OR(calendar[[#This Row],[PT_BH]]=1,calendar[[#This Row],[WeekDay]]=1, calendar[[#This Row],[WeekDay]]=7),P3788,P3788+1)</f>
        <v>2685</v>
      </c>
    </row>
    <row r="3790" spans="1:19" x14ac:dyDescent="0.25">
      <c r="A3790" s="2">
        <v>46524</v>
      </c>
      <c r="B3790" s="1">
        <f t="shared" si="301"/>
        <v>21</v>
      </c>
      <c r="C3790">
        <f t="shared" si="298"/>
        <v>5</v>
      </c>
      <c r="D3790" t="str">
        <f t="shared" si="299"/>
        <v>May</v>
      </c>
      <c r="E3790">
        <f t="shared" si="300"/>
        <v>2027</v>
      </c>
      <c r="F3790" t="str">
        <f>CONCATENATE(calendar[[#This Row],[Month]],"/",calendar[[#This Row],[Year]])</f>
        <v>5/2027</v>
      </c>
      <c r="G3790">
        <f>WEEKDAY(calendar[[#This Row],[Date]],1)</f>
        <v>2</v>
      </c>
      <c r="H3790" t="str">
        <f>TEXT(calendar[[#This Row],[WeekDay]],"dddd")</f>
        <v>Monday</v>
      </c>
      <c r="I3790">
        <f>IF((INT(calendar[[#This Row],[Count]]/7)-calendar[[#This Row],[Count]]/7)&lt;0,I3789,I3789+1)</f>
        <v>542</v>
      </c>
      <c r="J3790">
        <f t="shared" si="302"/>
        <v>3788</v>
      </c>
      <c r="K3790">
        <f>IF(calendar[[#This Row],[Month]]&lt;4,1,IF(calendar[[#This Row],[Month]]&lt;7,2,IF(calendar[[#This Row],[Month]]&lt;10,3,4)))</f>
        <v>2</v>
      </c>
      <c r="L3790">
        <f>IFERROR(IF(VLOOKUP(calendar[[#This Row],[Date]],BH!A:A,1,)&lt;&gt;"",1,0),0)</f>
        <v>0</v>
      </c>
      <c r="M3790">
        <f>IFERROR(IF(VLOOKUP(calendar[[#This Row],[Date]],BH!C:C,1,)&lt;&gt;"",1,0),0)</f>
        <v>1</v>
      </c>
      <c r="N3790">
        <f>IFERROR(IF(VLOOKUP(calendar[[#This Row],[Date]],BH!E:E,1,)&lt;&gt;"",1,0),0)</f>
        <v>0</v>
      </c>
      <c r="O3790">
        <f>IFERROR(IF(VLOOKUP(calendar[[#This Row],[Date]],BH!G:G,1,)&lt;&gt;"",1,0),0)</f>
        <v>0</v>
      </c>
      <c r="P3790">
        <f>IF(OR(calendar[[#This Row],[UK_BH]]=1,calendar[[#This Row],[WeekDay]]=1, calendar[[#This Row],[WeekDay]]=7),P3789,P3789+1)</f>
        <v>2686</v>
      </c>
      <c r="Q3790">
        <f>IF(OR(calendar[[#This Row],[FR_BH]]=1,calendar[[#This Row],[WeekDay]]=1, calendar[[#This Row],[WeekDay]]=7),P3789,P3789+1)</f>
        <v>2685</v>
      </c>
      <c r="R3790">
        <f>IF(OR(calendar[[#This Row],[SP_BH]]=1,calendar[[#This Row],[WeekDay]]=1, calendar[[#This Row],[WeekDay]]=7),P3789,P3789+1)</f>
        <v>2686</v>
      </c>
      <c r="S3790">
        <f>IF(OR(calendar[[#This Row],[PT_BH]]=1,calendar[[#This Row],[WeekDay]]=1, calendar[[#This Row],[WeekDay]]=7),P3789,P3789+1)</f>
        <v>2686</v>
      </c>
    </row>
    <row r="3791" spans="1:19" x14ac:dyDescent="0.25">
      <c r="A3791" s="2">
        <v>46525</v>
      </c>
      <c r="B3791" s="1">
        <f t="shared" si="301"/>
        <v>21</v>
      </c>
      <c r="C3791">
        <f t="shared" si="298"/>
        <v>5</v>
      </c>
      <c r="D3791" t="str">
        <f t="shared" si="299"/>
        <v>May</v>
      </c>
      <c r="E3791">
        <f t="shared" si="300"/>
        <v>2027</v>
      </c>
      <c r="F3791" t="str">
        <f>CONCATENATE(calendar[[#This Row],[Month]],"/",calendar[[#This Row],[Year]])</f>
        <v>5/2027</v>
      </c>
      <c r="G3791">
        <f>WEEKDAY(calendar[[#This Row],[Date]],1)</f>
        <v>3</v>
      </c>
      <c r="H3791" t="str">
        <f>TEXT(calendar[[#This Row],[WeekDay]],"dddd")</f>
        <v>Tuesday</v>
      </c>
      <c r="I3791">
        <f>IF((INT(calendar[[#This Row],[Count]]/7)-calendar[[#This Row],[Count]]/7)&lt;0,I3790,I3790+1)</f>
        <v>542</v>
      </c>
      <c r="J3791">
        <f t="shared" si="302"/>
        <v>3789</v>
      </c>
      <c r="K3791">
        <f>IF(calendar[[#This Row],[Month]]&lt;4,1,IF(calendar[[#This Row],[Month]]&lt;7,2,IF(calendar[[#This Row],[Month]]&lt;10,3,4)))</f>
        <v>2</v>
      </c>
      <c r="L3791">
        <f>IFERROR(IF(VLOOKUP(calendar[[#This Row],[Date]],BH!A:A,1,)&lt;&gt;"",1,0),0)</f>
        <v>0</v>
      </c>
      <c r="M3791">
        <f>IFERROR(IF(VLOOKUP(calendar[[#This Row],[Date]],BH!C:C,1,)&lt;&gt;"",1,0),0)</f>
        <v>0</v>
      </c>
      <c r="N3791">
        <f>IFERROR(IF(VLOOKUP(calendar[[#This Row],[Date]],BH!E:E,1,)&lt;&gt;"",1,0),0)</f>
        <v>0</v>
      </c>
      <c r="O3791">
        <f>IFERROR(IF(VLOOKUP(calendar[[#This Row],[Date]],BH!G:G,1,)&lt;&gt;"",1,0),0)</f>
        <v>0</v>
      </c>
      <c r="P3791">
        <f>IF(OR(calendar[[#This Row],[UK_BH]]=1,calendar[[#This Row],[WeekDay]]=1, calendar[[#This Row],[WeekDay]]=7),P3790,P3790+1)</f>
        <v>2687</v>
      </c>
      <c r="Q3791">
        <f>IF(OR(calendar[[#This Row],[FR_BH]]=1,calendar[[#This Row],[WeekDay]]=1, calendar[[#This Row],[WeekDay]]=7),P3790,P3790+1)</f>
        <v>2687</v>
      </c>
      <c r="R3791">
        <f>IF(OR(calendar[[#This Row],[SP_BH]]=1,calendar[[#This Row],[WeekDay]]=1, calendar[[#This Row],[WeekDay]]=7),P3790,P3790+1)</f>
        <v>2687</v>
      </c>
      <c r="S3791">
        <f>IF(OR(calendar[[#This Row],[PT_BH]]=1,calendar[[#This Row],[WeekDay]]=1, calendar[[#This Row],[WeekDay]]=7),P3790,P3790+1)</f>
        <v>2687</v>
      </c>
    </row>
    <row r="3792" spans="1:19" x14ac:dyDescent="0.25">
      <c r="A3792" s="2">
        <v>46526</v>
      </c>
      <c r="B3792" s="1">
        <f t="shared" si="301"/>
        <v>21</v>
      </c>
      <c r="C3792">
        <f t="shared" si="298"/>
        <v>5</v>
      </c>
      <c r="D3792" t="str">
        <f t="shared" si="299"/>
        <v>May</v>
      </c>
      <c r="E3792">
        <f t="shared" si="300"/>
        <v>2027</v>
      </c>
      <c r="F3792" t="str">
        <f>CONCATENATE(calendar[[#This Row],[Month]],"/",calendar[[#This Row],[Year]])</f>
        <v>5/2027</v>
      </c>
      <c r="G3792">
        <f>WEEKDAY(calendar[[#This Row],[Date]],1)</f>
        <v>4</v>
      </c>
      <c r="H3792" t="str">
        <f>TEXT(calendar[[#This Row],[WeekDay]],"dddd")</f>
        <v>Wednesday</v>
      </c>
      <c r="I3792">
        <f>IF((INT(calendar[[#This Row],[Count]]/7)-calendar[[#This Row],[Count]]/7)&lt;0,I3791,I3791+1)</f>
        <v>542</v>
      </c>
      <c r="J3792">
        <f t="shared" si="302"/>
        <v>3790</v>
      </c>
      <c r="K3792">
        <f>IF(calendar[[#This Row],[Month]]&lt;4,1,IF(calendar[[#This Row],[Month]]&lt;7,2,IF(calendar[[#This Row],[Month]]&lt;10,3,4)))</f>
        <v>2</v>
      </c>
      <c r="L3792">
        <f>IFERROR(IF(VLOOKUP(calendar[[#This Row],[Date]],BH!A:A,1,)&lt;&gt;"",1,0),0)</f>
        <v>0</v>
      </c>
      <c r="M3792">
        <f>IFERROR(IF(VLOOKUP(calendar[[#This Row],[Date]],BH!C:C,1,)&lt;&gt;"",1,0),0)</f>
        <v>0</v>
      </c>
      <c r="N3792">
        <f>IFERROR(IF(VLOOKUP(calendar[[#This Row],[Date]],BH!E:E,1,)&lt;&gt;"",1,0),0)</f>
        <v>0</v>
      </c>
      <c r="O3792">
        <f>IFERROR(IF(VLOOKUP(calendar[[#This Row],[Date]],BH!G:G,1,)&lt;&gt;"",1,0),0)</f>
        <v>0</v>
      </c>
      <c r="P3792">
        <f>IF(OR(calendar[[#This Row],[UK_BH]]=1,calendar[[#This Row],[WeekDay]]=1, calendar[[#This Row],[WeekDay]]=7),P3791,P3791+1)</f>
        <v>2688</v>
      </c>
      <c r="Q3792">
        <f>IF(OR(calendar[[#This Row],[FR_BH]]=1,calendar[[#This Row],[WeekDay]]=1, calendar[[#This Row],[WeekDay]]=7),P3791,P3791+1)</f>
        <v>2688</v>
      </c>
      <c r="R3792">
        <f>IF(OR(calendar[[#This Row],[SP_BH]]=1,calendar[[#This Row],[WeekDay]]=1, calendar[[#This Row],[WeekDay]]=7),P3791,P3791+1)</f>
        <v>2688</v>
      </c>
      <c r="S3792">
        <f>IF(OR(calendar[[#This Row],[PT_BH]]=1,calendar[[#This Row],[WeekDay]]=1, calendar[[#This Row],[WeekDay]]=7),P3791,P3791+1)</f>
        <v>2688</v>
      </c>
    </row>
    <row r="3793" spans="1:19" x14ac:dyDescent="0.25">
      <c r="A3793" s="2">
        <v>46527</v>
      </c>
      <c r="B3793" s="1">
        <f t="shared" si="301"/>
        <v>21</v>
      </c>
      <c r="C3793">
        <f t="shared" si="298"/>
        <v>5</v>
      </c>
      <c r="D3793" t="str">
        <f t="shared" si="299"/>
        <v>May</v>
      </c>
      <c r="E3793">
        <f t="shared" si="300"/>
        <v>2027</v>
      </c>
      <c r="F3793" t="str">
        <f>CONCATENATE(calendar[[#This Row],[Month]],"/",calendar[[#This Row],[Year]])</f>
        <v>5/2027</v>
      </c>
      <c r="G3793">
        <f>WEEKDAY(calendar[[#This Row],[Date]],1)</f>
        <v>5</v>
      </c>
      <c r="H3793" t="str">
        <f>TEXT(calendar[[#This Row],[WeekDay]],"dddd")</f>
        <v>Thursday</v>
      </c>
      <c r="I3793">
        <f>IF((INT(calendar[[#This Row],[Count]]/7)-calendar[[#This Row],[Count]]/7)&lt;0,I3792,I3792+1)</f>
        <v>542</v>
      </c>
      <c r="J3793">
        <f t="shared" si="302"/>
        <v>3791</v>
      </c>
      <c r="K3793">
        <f>IF(calendar[[#This Row],[Month]]&lt;4,1,IF(calendar[[#This Row],[Month]]&lt;7,2,IF(calendar[[#This Row],[Month]]&lt;10,3,4)))</f>
        <v>2</v>
      </c>
      <c r="L3793">
        <f>IFERROR(IF(VLOOKUP(calendar[[#This Row],[Date]],BH!A:A,1,)&lt;&gt;"",1,0),0)</f>
        <v>0</v>
      </c>
      <c r="M3793">
        <f>IFERROR(IF(VLOOKUP(calendar[[#This Row],[Date]],BH!C:C,1,)&lt;&gt;"",1,0),0)</f>
        <v>0</v>
      </c>
      <c r="N3793">
        <f>IFERROR(IF(VLOOKUP(calendar[[#This Row],[Date]],BH!E:E,1,)&lt;&gt;"",1,0),0)</f>
        <v>0</v>
      </c>
      <c r="O3793">
        <f>IFERROR(IF(VLOOKUP(calendar[[#This Row],[Date]],BH!G:G,1,)&lt;&gt;"",1,0),0)</f>
        <v>0</v>
      </c>
      <c r="P3793">
        <f>IF(OR(calendar[[#This Row],[UK_BH]]=1,calendar[[#This Row],[WeekDay]]=1, calendar[[#This Row],[WeekDay]]=7),P3792,P3792+1)</f>
        <v>2689</v>
      </c>
      <c r="Q3793">
        <f>IF(OR(calendar[[#This Row],[FR_BH]]=1,calendar[[#This Row],[WeekDay]]=1, calendar[[#This Row],[WeekDay]]=7),P3792,P3792+1)</f>
        <v>2689</v>
      </c>
      <c r="R3793">
        <f>IF(OR(calendar[[#This Row],[SP_BH]]=1,calendar[[#This Row],[WeekDay]]=1, calendar[[#This Row],[WeekDay]]=7),P3792,P3792+1)</f>
        <v>2689</v>
      </c>
      <c r="S3793">
        <f>IF(OR(calendar[[#This Row],[PT_BH]]=1,calendar[[#This Row],[WeekDay]]=1, calendar[[#This Row],[WeekDay]]=7),P3792,P3792+1)</f>
        <v>2689</v>
      </c>
    </row>
    <row r="3794" spans="1:19" x14ac:dyDescent="0.25">
      <c r="A3794" s="2">
        <v>46528</v>
      </c>
      <c r="B3794" s="1">
        <f t="shared" si="301"/>
        <v>21</v>
      </c>
      <c r="C3794">
        <f t="shared" si="298"/>
        <v>5</v>
      </c>
      <c r="D3794" t="str">
        <f t="shared" si="299"/>
        <v>May</v>
      </c>
      <c r="E3794">
        <f t="shared" si="300"/>
        <v>2027</v>
      </c>
      <c r="F3794" t="str">
        <f>CONCATENATE(calendar[[#This Row],[Month]],"/",calendar[[#This Row],[Year]])</f>
        <v>5/2027</v>
      </c>
      <c r="G3794">
        <f>WEEKDAY(calendar[[#This Row],[Date]],1)</f>
        <v>6</v>
      </c>
      <c r="H3794" t="str">
        <f>TEXT(calendar[[#This Row],[WeekDay]],"dddd")</f>
        <v>Friday</v>
      </c>
      <c r="I3794">
        <f>IF((INT(calendar[[#This Row],[Count]]/7)-calendar[[#This Row],[Count]]/7)&lt;0,I3793,I3793+1)</f>
        <v>542</v>
      </c>
      <c r="J3794">
        <f t="shared" si="302"/>
        <v>3792</v>
      </c>
      <c r="K3794">
        <f>IF(calendar[[#This Row],[Month]]&lt;4,1,IF(calendar[[#This Row],[Month]]&lt;7,2,IF(calendar[[#This Row],[Month]]&lt;10,3,4)))</f>
        <v>2</v>
      </c>
      <c r="L3794">
        <f>IFERROR(IF(VLOOKUP(calendar[[#This Row],[Date]],BH!A:A,1,)&lt;&gt;"",1,0),0)</f>
        <v>0</v>
      </c>
      <c r="M3794">
        <f>IFERROR(IF(VLOOKUP(calendar[[#This Row],[Date]],BH!C:C,1,)&lt;&gt;"",1,0),0)</f>
        <v>0</v>
      </c>
      <c r="N3794">
        <f>IFERROR(IF(VLOOKUP(calendar[[#This Row],[Date]],BH!E:E,1,)&lt;&gt;"",1,0),0)</f>
        <v>0</v>
      </c>
      <c r="O3794">
        <f>IFERROR(IF(VLOOKUP(calendar[[#This Row],[Date]],BH!G:G,1,)&lt;&gt;"",1,0),0)</f>
        <v>0</v>
      </c>
      <c r="P3794">
        <f>IF(OR(calendar[[#This Row],[UK_BH]]=1,calendar[[#This Row],[WeekDay]]=1, calendar[[#This Row],[WeekDay]]=7),P3793,P3793+1)</f>
        <v>2690</v>
      </c>
      <c r="Q3794">
        <f>IF(OR(calendar[[#This Row],[FR_BH]]=1,calendar[[#This Row],[WeekDay]]=1, calendar[[#This Row],[WeekDay]]=7),P3793,P3793+1)</f>
        <v>2690</v>
      </c>
      <c r="R3794">
        <f>IF(OR(calendar[[#This Row],[SP_BH]]=1,calendar[[#This Row],[WeekDay]]=1, calendar[[#This Row],[WeekDay]]=7),P3793,P3793+1)</f>
        <v>2690</v>
      </c>
      <c r="S3794">
        <f>IF(OR(calendar[[#This Row],[PT_BH]]=1,calendar[[#This Row],[WeekDay]]=1, calendar[[#This Row],[WeekDay]]=7),P3793,P3793+1)</f>
        <v>2690</v>
      </c>
    </row>
    <row r="3795" spans="1:19" x14ac:dyDescent="0.25">
      <c r="A3795" s="2">
        <v>46529</v>
      </c>
      <c r="B3795" s="1">
        <f t="shared" si="301"/>
        <v>21</v>
      </c>
      <c r="C3795">
        <f t="shared" si="298"/>
        <v>5</v>
      </c>
      <c r="D3795" t="str">
        <f t="shared" si="299"/>
        <v>May</v>
      </c>
      <c r="E3795">
        <f t="shared" si="300"/>
        <v>2027</v>
      </c>
      <c r="F3795" t="str">
        <f>CONCATENATE(calendar[[#This Row],[Month]],"/",calendar[[#This Row],[Year]])</f>
        <v>5/2027</v>
      </c>
      <c r="G3795">
        <f>WEEKDAY(calendar[[#This Row],[Date]],1)</f>
        <v>7</v>
      </c>
      <c r="H3795" t="str">
        <f>TEXT(calendar[[#This Row],[WeekDay]],"dddd")</f>
        <v>Saturday</v>
      </c>
      <c r="I3795">
        <f>IF((INT(calendar[[#This Row],[Count]]/7)-calendar[[#This Row],[Count]]/7)&lt;0,I3794,I3794+1)</f>
        <v>542</v>
      </c>
      <c r="J3795">
        <f t="shared" si="302"/>
        <v>3793</v>
      </c>
      <c r="K3795">
        <f>IF(calendar[[#This Row],[Month]]&lt;4,1,IF(calendar[[#This Row],[Month]]&lt;7,2,IF(calendar[[#This Row],[Month]]&lt;10,3,4)))</f>
        <v>2</v>
      </c>
      <c r="L3795">
        <f>IFERROR(IF(VLOOKUP(calendar[[#This Row],[Date]],BH!A:A,1,)&lt;&gt;"",1,0),0)</f>
        <v>0</v>
      </c>
      <c r="M3795">
        <f>IFERROR(IF(VLOOKUP(calendar[[#This Row],[Date]],BH!C:C,1,)&lt;&gt;"",1,0),0)</f>
        <v>0</v>
      </c>
      <c r="N3795">
        <f>IFERROR(IF(VLOOKUP(calendar[[#This Row],[Date]],BH!E:E,1,)&lt;&gt;"",1,0),0)</f>
        <v>0</v>
      </c>
      <c r="O3795">
        <f>IFERROR(IF(VLOOKUP(calendar[[#This Row],[Date]],BH!G:G,1,)&lt;&gt;"",1,0),0)</f>
        <v>0</v>
      </c>
      <c r="P3795">
        <f>IF(OR(calendar[[#This Row],[UK_BH]]=1,calendar[[#This Row],[WeekDay]]=1, calendar[[#This Row],[WeekDay]]=7),P3794,P3794+1)</f>
        <v>2690</v>
      </c>
      <c r="Q3795">
        <f>IF(OR(calendar[[#This Row],[FR_BH]]=1,calendar[[#This Row],[WeekDay]]=1, calendar[[#This Row],[WeekDay]]=7),P3794,P3794+1)</f>
        <v>2690</v>
      </c>
      <c r="R3795">
        <f>IF(OR(calendar[[#This Row],[SP_BH]]=1,calendar[[#This Row],[WeekDay]]=1, calendar[[#This Row],[WeekDay]]=7),P3794,P3794+1)</f>
        <v>2690</v>
      </c>
      <c r="S3795">
        <f>IF(OR(calendar[[#This Row],[PT_BH]]=1,calendar[[#This Row],[WeekDay]]=1, calendar[[#This Row],[WeekDay]]=7),P3794,P3794+1)</f>
        <v>2690</v>
      </c>
    </row>
    <row r="3796" spans="1:19" x14ac:dyDescent="0.25">
      <c r="A3796" s="2">
        <v>46530</v>
      </c>
      <c r="B3796" s="1">
        <f t="shared" si="301"/>
        <v>22</v>
      </c>
      <c r="C3796">
        <f t="shared" si="298"/>
        <v>5</v>
      </c>
      <c r="D3796" t="str">
        <f t="shared" si="299"/>
        <v>May</v>
      </c>
      <c r="E3796">
        <f t="shared" si="300"/>
        <v>2027</v>
      </c>
      <c r="F3796" t="str">
        <f>CONCATENATE(calendar[[#This Row],[Month]],"/",calendar[[#This Row],[Year]])</f>
        <v>5/2027</v>
      </c>
      <c r="G3796">
        <f>WEEKDAY(calendar[[#This Row],[Date]],1)</f>
        <v>1</v>
      </c>
      <c r="H3796" t="str">
        <f>TEXT(calendar[[#This Row],[WeekDay]],"dddd")</f>
        <v>Sunday</v>
      </c>
      <c r="I3796">
        <f>IF((INT(calendar[[#This Row],[Count]]/7)-calendar[[#This Row],[Count]]/7)&lt;0,I3795,I3795+1)</f>
        <v>543</v>
      </c>
      <c r="J3796">
        <f t="shared" si="302"/>
        <v>3794</v>
      </c>
      <c r="K3796">
        <f>IF(calendar[[#This Row],[Month]]&lt;4,1,IF(calendar[[#This Row],[Month]]&lt;7,2,IF(calendar[[#This Row],[Month]]&lt;10,3,4)))</f>
        <v>2</v>
      </c>
      <c r="L3796">
        <f>IFERROR(IF(VLOOKUP(calendar[[#This Row],[Date]],BH!A:A,1,)&lt;&gt;"",1,0),0)</f>
        <v>0</v>
      </c>
      <c r="M3796">
        <f>IFERROR(IF(VLOOKUP(calendar[[#This Row],[Date]],BH!C:C,1,)&lt;&gt;"",1,0),0)</f>
        <v>0</v>
      </c>
      <c r="N3796">
        <f>IFERROR(IF(VLOOKUP(calendar[[#This Row],[Date]],BH!E:E,1,)&lt;&gt;"",1,0),0)</f>
        <v>0</v>
      </c>
      <c r="O3796">
        <f>IFERROR(IF(VLOOKUP(calendar[[#This Row],[Date]],BH!G:G,1,)&lt;&gt;"",1,0),0)</f>
        <v>0</v>
      </c>
      <c r="P3796">
        <f>IF(OR(calendar[[#This Row],[UK_BH]]=1,calendar[[#This Row],[WeekDay]]=1, calendar[[#This Row],[WeekDay]]=7),P3795,P3795+1)</f>
        <v>2690</v>
      </c>
      <c r="Q3796">
        <f>IF(OR(calendar[[#This Row],[FR_BH]]=1,calendar[[#This Row],[WeekDay]]=1, calendar[[#This Row],[WeekDay]]=7),P3795,P3795+1)</f>
        <v>2690</v>
      </c>
      <c r="R3796">
        <f>IF(OR(calendar[[#This Row],[SP_BH]]=1,calendar[[#This Row],[WeekDay]]=1, calendar[[#This Row],[WeekDay]]=7),P3795,P3795+1)</f>
        <v>2690</v>
      </c>
      <c r="S3796">
        <f>IF(OR(calendar[[#This Row],[PT_BH]]=1,calendar[[#This Row],[WeekDay]]=1, calendar[[#This Row],[WeekDay]]=7),P3795,P3795+1)</f>
        <v>2690</v>
      </c>
    </row>
    <row r="3797" spans="1:19" x14ac:dyDescent="0.25">
      <c r="A3797" s="2">
        <v>46531</v>
      </c>
      <c r="B3797" s="1">
        <f t="shared" si="301"/>
        <v>22</v>
      </c>
      <c r="C3797">
        <f t="shared" si="298"/>
        <v>5</v>
      </c>
      <c r="D3797" t="str">
        <f t="shared" si="299"/>
        <v>May</v>
      </c>
      <c r="E3797">
        <f t="shared" si="300"/>
        <v>2027</v>
      </c>
      <c r="F3797" t="str">
        <f>CONCATENATE(calendar[[#This Row],[Month]],"/",calendar[[#This Row],[Year]])</f>
        <v>5/2027</v>
      </c>
      <c r="G3797">
        <f>WEEKDAY(calendar[[#This Row],[Date]],1)</f>
        <v>2</v>
      </c>
      <c r="H3797" t="str">
        <f>TEXT(calendar[[#This Row],[WeekDay]],"dddd")</f>
        <v>Monday</v>
      </c>
      <c r="I3797">
        <f>IF((INT(calendar[[#This Row],[Count]]/7)-calendar[[#This Row],[Count]]/7)&lt;0,I3796,I3796+1)</f>
        <v>543</v>
      </c>
      <c r="J3797">
        <f t="shared" si="302"/>
        <v>3795</v>
      </c>
      <c r="K3797">
        <f>IF(calendar[[#This Row],[Month]]&lt;4,1,IF(calendar[[#This Row],[Month]]&lt;7,2,IF(calendar[[#This Row],[Month]]&lt;10,3,4)))</f>
        <v>2</v>
      </c>
      <c r="L3797">
        <f>IFERROR(IF(VLOOKUP(calendar[[#This Row],[Date]],BH!A:A,1,)&lt;&gt;"",1,0),0)</f>
        <v>0</v>
      </c>
      <c r="M3797">
        <f>IFERROR(IF(VLOOKUP(calendar[[#This Row],[Date]],BH!C:C,1,)&lt;&gt;"",1,0),0)</f>
        <v>0</v>
      </c>
      <c r="N3797">
        <f>IFERROR(IF(VLOOKUP(calendar[[#This Row],[Date]],BH!E:E,1,)&lt;&gt;"",1,0),0)</f>
        <v>0</v>
      </c>
      <c r="O3797">
        <f>IFERROR(IF(VLOOKUP(calendar[[#This Row],[Date]],BH!G:G,1,)&lt;&gt;"",1,0),0)</f>
        <v>0</v>
      </c>
      <c r="P3797">
        <f>IF(OR(calendar[[#This Row],[UK_BH]]=1,calendar[[#This Row],[WeekDay]]=1, calendar[[#This Row],[WeekDay]]=7),P3796,P3796+1)</f>
        <v>2691</v>
      </c>
      <c r="Q3797">
        <f>IF(OR(calendar[[#This Row],[FR_BH]]=1,calendar[[#This Row],[WeekDay]]=1, calendar[[#This Row],[WeekDay]]=7),P3796,P3796+1)</f>
        <v>2691</v>
      </c>
      <c r="R3797">
        <f>IF(OR(calendar[[#This Row],[SP_BH]]=1,calendar[[#This Row],[WeekDay]]=1, calendar[[#This Row],[WeekDay]]=7),P3796,P3796+1)</f>
        <v>2691</v>
      </c>
      <c r="S3797">
        <f>IF(OR(calendar[[#This Row],[PT_BH]]=1,calendar[[#This Row],[WeekDay]]=1, calendar[[#This Row],[WeekDay]]=7),P3796,P3796+1)</f>
        <v>2691</v>
      </c>
    </row>
    <row r="3798" spans="1:19" x14ac:dyDescent="0.25">
      <c r="A3798" s="2">
        <v>46532</v>
      </c>
      <c r="B3798" s="1">
        <f t="shared" si="301"/>
        <v>22</v>
      </c>
      <c r="C3798">
        <f t="shared" si="298"/>
        <v>5</v>
      </c>
      <c r="D3798" t="str">
        <f t="shared" si="299"/>
        <v>May</v>
      </c>
      <c r="E3798">
        <f t="shared" si="300"/>
        <v>2027</v>
      </c>
      <c r="F3798" t="str">
        <f>CONCATENATE(calendar[[#This Row],[Month]],"/",calendar[[#This Row],[Year]])</f>
        <v>5/2027</v>
      </c>
      <c r="G3798">
        <f>WEEKDAY(calendar[[#This Row],[Date]],1)</f>
        <v>3</v>
      </c>
      <c r="H3798" t="str">
        <f>TEXT(calendar[[#This Row],[WeekDay]],"dddd")</f>
        <v>Tuesday</v>
      </c>
      <c r="I3798">
        <f>IF((INT(calendar[[#This Row],[Count]]/7)-calendar[[#This Row],[Count]]/7)&lt;0,I3797,I3797+1)</f>
        <v>543</v>
      </c>
      <c r="J3798">
        <f t="shared" si="302"/>
        <v>3796</v>
      </c>
      <c r="K3798">
        <f>IF(calendar[[#This Row],[Month]]&lt;4,1,IF(calendar[[#This Row],[Month]]&lt;7,2,IF(calendar[[#This Row],[Month]]&lt;10,3,4)))</f>
        <v>2</v>
      </c>
      <c r="L3798">
        <f>IFERROR(IF(VLOOKUP(calendar[[#This Row],[Date]],BH!A:A,1,)&lt;&gt;"",1,0),0)</f>
        <v>0</v>
      </c>
      <c r="M3798">
        <f>IFERROR(IF(VLOOKUP(calendar[[#This Row],[Date]],BH!C:C,1,)&lt;&gt;"",1,0),0)</f>
        <v>0</v>
      </c>
      <c r="N3798">
        <f>IFERROR(IF(VLOOKUP(calendar[[#This Row],[Date]],BH!E:E,1,)&lt;&gt;"",1,0),0)</f>
        <v>0</v>
      </c>
      <c r="O3798">
        <f>IFERROR(IF(VLOOKUP(calendar[[#This Row],[Date]],BH!G:G,1,)&lt;&gt;"",1,0),0)</f>
        <v>0</v>
      </c>
      <c r="P3798">
        <f>IF(OR(calendar[[#This Row],[UK_BH]]=1,calendar[[#This Row],[WeekDay]]=1, calendar[[#This Row],[WeekDay]]=7),P3797,P3797+1)</f>
        <v>2692</v>
      </c>
      <c r="Q3798">
        <f>IF(OR(calendar[[#This Row],[FR_BH]]=1,calendar[[#This Row],[WeekDay]]=1, calendar[[#This Row],[WeekDay]]=7),P3797,P3797+1)</f>
        <v>2692</v>
      </c>
      <c r="R3798">
        <f>IF(OR(calendar[[#This Row],[SP_BH]]=1,calendar[[#This Row],[WeekDay]]=1, calendar[[#This Row],[WeekDay]]=7),P3797,P3797+1)</f>
        <v>2692</v>
      </c>
      <c r="S3798">
        <f>IF(OR(calendar[[#This Row],[PT_BH]]=1,calendar[[#This Row],[WeekDay]]=1, calendar[[#This Row],[WeekDay]]=7),P3797,P3797+1)</f>
        <v>2692</v>
      </c>
    </row>
    <row r="3799" spans="1:19" x14ac:dyDescent="0.25">
      <c r="A3799" s="2">
        <v>46533</v>
      </c>
      <c r="B3799" s="1">
        <f t="shared" si="301"/>
        <v>22</v>
      </c>
      <c r="C3799">
        <f t="shared" si="298"/>
        <v>5</v>
      </c>
      <c r="D3799" t="str">
        <f t="shared" si="299"/>
        <v>May</v>
      </c>
      <c r="E3799">
        <f t="shared" si="300"/>
        <v>2027</v>
      </c>
      <c r="F3799" t="str">
        <f>CONCATENATE(calendar[[#This Row],[Month]],"/",calendar[[#This Row],[Year]])</f>
        <v>5/2027</v>
      </c>
      <c r="G3799">
        <f>WEEKDAY(calendar[[#This Row],[Date]],1)</f>
        <v>4</v>
      </c>
      <c r="H3799" t="str">
        <f>TEXT(calendar[[#This Row],[WeekDay]],"dddd")</f>
        <v>Wednesday</v>
      </c>
      <c r="I3799">
        <f>IF((INT(calendar[[#This Row],[Count]]/7)-calendar[[#This Row],[Count]]/7)&lt;0,I3798,I3798+1)</f>
        <v>543</v>
      </c>
      <c r="J3799">
        <f t="shared" si="302"/>
        <v>3797</v>
      </c>
      <c r="K3799">
        <f>IF(calendar[[#This Row],[Month]]&lt;4,1,IF(calendar[[#This Row],[Month]]&lt;7,2,IF(calendar[[#This Row],[Month]]&lt;10,3,4)))</f>
        <v>2</v>
      </c>
      <c r="L3799">
        <f>IFERROR(IF(VLOOKUP(calendar[[#This Row],[Date]],BH!A:A,1,)&lt;&gt;"",1,0),0)</f>
        <v>0</v>
      </c>
      <c r="M3799">
        <f>IFERROR(IF(VLOOKUP(calendar[[#This Row],[Date]],BH!C:C,1,)&lt;&gt;"",1,0),0)</f>
        <v>0</v>
      </c>
      <c r="N3799">
        <f>IFERROR(IF(VLOOKUP(calendar[[#This Row],[Date]],BH!E:E,1,)&lt;&gt;"",1,0),0)</f>
        <v>0</v>
      </c>
      <c r="O3799">
        <f>IFERROR(IF(VLOOKUP(calendar[[#This Row],[Date]],BH!G:G,1,)&lt;&gt;"",1,0),0)</f>
        <v>0</v>
      </c>
      <c r="P3799">
        <f>IF(OR(calendar[[#This Row],[UK_BH]]=1,calendar[[#This Row],[WeekDay]]=1, calendar[[#This Row],[WeekDay]]=7),P3798,P3798+1)</f>
        <v>2693</v>
      </c>
      <c r="Q3799">
        <f>IF(OR(calendar[[#This Row],[FR_BH]]=1,calendar[[#This Row],[WeekDay]]=1, calendar[[#This Row],[WeekDay]]=7),P3798,P3798+1)</f>
        <v>2693</v>
      </c>
      <c r="R3799">
        <f>IF(OR(calendar[[#This Row],[SP_BH]]=1,calendar[[#This Row],[WeekDay]]=1, calendar[[#This Row],[WeekDay]]=7),P3798,P3798+1)</f>
        <v>2693</v>
      </c>
      <c r="S3799">
        <f>IF(OR(calendar[[#This Row],[PT_BH]]=1,calendar[[#This Row],[WeekDay]]=1, calendar[[#This Row],[WeekDay]]=7),P3798,P3798+1)</f>
        <v>2693</v>
      </c>
    </row>
    <row r="3800" spans="1:19" x14ac:dyDescent="0.25">
      <c r="A3800" s="2">
        <v>46534</v>
      </c>
      <c r="B3800" s="1">
        <f t="shared" si="301"/>
        <v>22</v>
      </c>
      <c r="C3800">
        <f t="shared" si="298"/>
        <v>5</v>
      </c>
      <c r="D3800" t="str">
        <f t="shared" si="299"/>
        <v>May</v>
      </c>
      <c r="E3800">
        <f t="shared" si="300"/>
        <v>2027</v>
      </c>
      <c r="F3800" t="str">
        <f>CONCATENATE(calendar[[#This Row],[Month]],"/",calendar[[#This Row],[Year]])</f>
        <v>5/2027</v>
      </c>
      <c r="G3800">
        <f>WEEKDAY(calendar[[#This Row],[Date]],1)</f>
        <v>5</v>
      </c>
      <c r="H3800" t="str">
        <f>TEXT(calendar[[#This Row],[WeekDay]],"dddd")</f>
        <v>Thursday</v>
      </c>
      <c r="I3800">
        <f>IF((INT(calendar[[#This Row],[Count]]/7)-calendar[[#This Row],[Count]]/7)&lt;0,I3799,I3799+1)</f>
        <v>543</v>
      </c>
      <c r="J3800">
        <f t="shared" si="302"/>
        <v>3798</v>
      </c>
      <c r="K3800">
        <f>IF(calendar[[#This Row],[Month]]&lt;4,1,IF(calendar[[#This Row],[Month]]&lt;7,2,IF(calendar[[#This Row],[Month]]&lt;10,3,4)))</f>
        <v>2</v>
      </c>
      <c r="L3800">
        <f>IFERROR(IF(VLOOKUP(calendar[[#This Row],[Date]],BH!A:A,1,)&lt;&gt;"",1,0),0)</f>
        <v>0</v>
      </c>
      <c r="M3800">
        <f>IFERROR(IF(VLOOKUP(calendar[[#This Row],[Date]],BH!C:C,1,)&lt;&gt;"",1,0),0)</f>
        <v>0</v>
      </c>
      <c r="N3800">
        <f>IFERROR(IF(VLOOKUP(calendar[[#This Row],[Date]],BH!E:E,1,)&lt;&gt;"",1,0),0)</f>
        <v>0</v>
      </c>
      <c r="O3800">
        <f>IFERROR(IF(VLOOKUP(calendar[[#This Row],[Date]],BH!G:G,1,)&lt;&gt;"",1,0),0)</f>
        <v>1</v>
      </c>
      <c r="P3800">
        <f>IF(OR(calendar[[#This Row],[UK_BH]]=1,calendar[[#This Row],[WeekDay]]=1, calendar[[#This Row],[WeekDay]]=7),P3799,P3799+1)</f>
        <v>2694</v>
      </c>
      <c r="Q3800">
        <f>IF(OR(calendar[[#This Row],[FR_BH]]=1,calendar[[#This Row],[WeekDay]]=1, calendar[[#This Row],[WeekDay]]=7),P3799,P3799+1)</f>
        <v>2694</v>
      </c>
      <c r="R3800">
        <f>IF(OR(calendar[[#This Row],[SP_BH]]=1,calendar[[#This Row],[WeekDay]]=1, calendar[[#This Row],[WeekDay]]=7),P3799,P3799+1)</f>
        <v>2694</v>
      </c>
      <c r="S3800">
        <f>IF(OR(calendar[[#This Row],[PT_BH]]=1,calendar[[#This Row],[WeekDay]]=1, calendar[[#This Row],[WeekDay]]=7),P3799,P3799+1)</f>
        <v>2693</v>
      </c>
    </row>
    <row r="3801" spans="1:19" x14ac:dyDescent="0.25">
      <c r="A3801" s="2">
        <v>46535</v>
      </c>
      <c r="B3801" s="1">
        <f t="shared" si="301"/>
        <v>22</v>
      </c>
      <c r="C3801">
        <f t="shared" si="298"/>
        <v>5</v>
      </c>
      <c r="D3801" t="str">
        <f t="shared" si="299"/>
        <v>May</v>
      </c>
      <c r="E3801">
        <f t="shared" si="300"/>
        <v>2027</v>
      </c>
      <c r="F3801" t="str">
        <f>CONCATENATE(calendar[[#This Row],[Month]],"/",calendar[[#This Row],[Year]])</f>
        <v>5/2027</v>
      </c>
      <c r="G3801">
        <f>WEEKDAY(calendar[[#This Row],[Date]],1)</f>
        <v>6</v>
      </c>
      <c r="H3801" t="str">
        <f>TEXT(calendar[[#This Row],[WeekDay]],"dddd")</f>
        <v>Friday</v>
      </c>
      <c r="I3801">
        <f>IF((INT(calendar[[#This Row],[Count]]/7)-calendar[[#This Row],[Count]]/7)&lt;0,I3800,I3800+1)</f>
        <v>543</v>
      </c>
      <c r="J3801">
        <f t="shared" si="302"/>
        <v>3799</v>
      </c>
      <c r="K3801">
        <f>IF(calendar[[#This Row],[Month]]&lt;4,1,IF(calendar[[#This Row],[Month]]&lt;7,2,IF(calendar[[#This Row],[Month]]&lt;10,3,4)))</f>
        <v>2</v>
      </c>
      <c r="L3801">
        <f>IFERROR(IF(VLOOKUP(calendar[[#This Row],[Date]],BH!A:A,1,)&lt;&gt;"",1,0),0)</f>
        <v>0</v>
      </c>
      <c r="M3801">
        <f>IFERROR(IF(VLOOKUP(calendar[[#This Row],[Date]],BH!C:C,1,)&lt;&gt;"",1,0),0)</f>
        <v>0</v>
      </c>
      <c r="N3801">
        <f>IFERROR(IF(VLOOKUP(calendar[[#This Row],[Date]],BH!E:E,1,)&lt;&gt;"",1,0),0)</f>
        <v>0</v>
      </c>
      <c r="O3801">
        <f>IFERROR(IF(VLOOKUP(calendar[[#This Row],[Date]],BH!G:G,1,)&lt;&gt;"",1,0),0)</f>
        <v>0</v>
      </c>
      <c r="P3801">
        <f>IF(OR(calendar[[#This Row],[UK_BH]]=1,calendar[[#This Row],[WeekDay]]=1, calendar[[#This Row],[WeekDay]]=7),P3800,P3800+1)</f>
        <v>2695</v>
      </c>
      <c r="Q3801">
        <f>IF(OR(calendar[[#This Row],[FR_BH]]=1,calendar[[#This Row],[WeekDay]]=1, calendar[[#This Row],[WeekDay]]=7),P3800,P3800+1)</f>
        <v>2695</v>
      </c>
      <c r="R3801">
        <f>IF(OR(calendar[[#This Row],[SP_BH]]=1,calendar[[#This Row],[WeekDay]]=1, calendar[[#This Row],[WeekDay]]=7),P3800,P3800+1)</f>
        <v>2695</v>
      </c>
      <c r="S3801">
        <f>IF(OR(calendar[[#This Row],[PT_BH]]=1,calendar[[#This Row],[WeekDay]]=1, calendar[[#This Row],[WeekDay]]=7),P3800,P3800+1)</f>
        <v>2695</v>
      </c>
    </row>
    <row r="3802" spans="1:19" x14ac:dyDescent="0.25">
      <c r="A3802" s="2">
        <v>46536</v>
      </c>
      <c r="B3802" s="1">
        <f t="shared" si="301"/>
        <v>22</v>
      </c>
      <c r="C3802">
        <f t="shared" si="298"/>
        <v>5</v>
      </c>
      <c r="D3802" t="str">
        <f t="shared" si="299"/>
        <v>May</v>
      </c>
      <c r="E3802">
        <f t="shared" si="300"/>
        <v>2027</v>
      </c>
      <c r="F3802" t="str">
        <f>CONCATENATE(calendar[[#This Row],[Month]],"/",calendar[[#This Row],[Year]])</f>
        <v>5/2027</v>
      </c>
      <c r="G3802">
        <f>WEEKDAY(calendar[[#This Row],[Date]],1)</f>
        <v>7</v>
      </c>
      <c r="H3802" t="str">
        <f>TEXT(calendar[[#This Row],[WeekDay]],"dddd")</f>
        <v>Saturday</v>
      </c>
      <c r="I3802">
        <f>IF((INT(calendar[[#This Row],[Count]]/7)-calendar[[#This Row],[Count]]/7)&lt;0,I3801,I3801+1)</f>
        <v>543</v>
      </c>
      <c r="J3802">
        <f t="shared" si="302"/>
        <v>3800</v>
      </c>
      <c r="K3802">
        <f>IF(calendar[[#This Row],[Month]]&lt;4,1,IF(calendar[[#This Row],[Month]]&lt;7,2,IF(calendar[[#This Row],[Month]]&lt;10,3,4)))</f>
        <v>2</v>
      </c>
      <c r="L3802">
        <f>IFERROR(IF(VLOOKUP(calendar[[#This Row],[Date]],BH!A:A,1,)&lt;&gt;"",1,0),0)</f>
        <v>0</v>
      </c>
      <c r="M3802">
        <f>IFERROR(IF(VLOOKUP(calendar[[#This Row],[Date]],BH!C:C,1,)&lt;&gt;"",1,0),0)</f>
        <v>0</v>
      </c>
      <c r="N3802">
        <f>IFERROR(IF(VLOOKUP(calendar[[#This Row],[Date]],BH!E:E,1,)&lt;&gt;"",1,0),0)</f>
        <v>0</v>
      </c>
      <c r="O3802">
        <f>IFERROR(IF(VLOOKUP(calendar[[#This Row],[Date]],BH!G:G,1,)&lt;&gt;"",1,0),0)</f>
        <v>0</v>
      </c>
      <c r="P3802">
        <f>IF(OR(calendar[[#This Row],[UK_BH]]=1,calendar[[#This Row],[WeekDay]]=1, calendar[[#This Row],[WeekDay]]=7),P3801,P3801+1)</f>
        <v>2695</v>
      </c>
      <c r="Q3802">
        <f>IF(OR(calendar[[#This Row],[FR_BH]]=1,calendar[[#This Row],[WeekDay]]=1, calendar[[#This Row],[WeekDay]]=7),P3801,P3801+1)</f>
        <v>2695</v>
      </c>
      <c r="R3802">
        <f>IF(OR(calendar[[#This Row],[SP_BH]]=1,calendar[[#This Row],[WeekDay]]=1, calendar[[#This Row],[WeekDay]]=7),P3801,P3801+1)</f>
        <v>2695</v>
      </c>
      <c r="S3802">
        <f>IF(OR(calendar[[#This Row],[PT_BH]]=1,calendar[[#This Row],[WeekDay]]=1, calendar[[#This Row],[WeekDay]]=7),P3801,P3801+1)</f>
        <v>2695</v>
      </c>
    </row>
    <row r="3803" spans="1:19" x14ac:dyDescent="0.25">
      <c r="A3803" s="2">
        <v>46537</v>
      </c>
      <c r="B3803" s="1">
        <f t="shared" si="301"/>
        <v>23</v>
      </c>
      <c r="C3803">
        <f t="shared" si="298"/>
        <v>5</v>
      </c>
      <c r="D3803" t="str">
        <f t="shared" si="299"/>
        <v>May</v>
      </c>
      <c r="E3803">
        <f t="shared" si="300"/>
        <v>2027</v>
      </c>
      <c r="F3803" t="str">
        <f>CONCATENATE(calendar[[#This Row],[Month]],"/",calendar[[#This Row],[Year]])</f>
        <v>5/2027</v>
      </c>
      <c r="G3803">
        <f>WEEKDAY(calendar[[#This Row],[Date]],1)</f>
        <v>1</v>
      </c>
      <c r="H3803" t="str">
        <f>TEXT(calendar[[#This Row],[WeekDay]],"dddd")</f>
        <v>Sunday</v>
      </c>
      <c r="I3803">
        <f>IF((INT(calendar[[#This Row],[Count]]/7)-calendar[[#This Row],[Count]]/7)&lt;0,I3802,I3802+1)</f>
        <v>544</v>
      </c>
      <c r="J3803">
        <f t="shared" si="302"/>
        <v>3801</v>
      </c>
      <c r="K3803">
        <f>IF(calendar[[#This Row],[Month]]&lt;4,1,IF(calendar[[#This Row],[Month]]&lt;7,2,IF(calendar[[#This Row],[Month]]&lt;10,3,4)))</f>
        <v>2</v>
      </c>
      <c r="L3803">
        <f>IFERROR(IF(VLOOKUP(calendar[[#This Row],[Date]],BH!A:A,1,)&lt;&gt;"",1,0),0)</f>
        <v>0</v>
      </c>
      <c r="M3803">
        <f>IFERROR(IF(VLOOKUP(calendar[[#This Row],[Date]],BH!C:C,1,)&lt;&gt;"",1,0),0)</f>
        <v>0</v>
      </c>
      <c r="N3803">
        <f>IFERROR(IF(VLOOKUP(calendar[[#This Row],[Date]],BH!E:E,1,)&lt;&gt;"",1,0),0)</f>
        <v>1</v>
      </c>
      <c r="O3803">
        <f>IFERROR(IF(VLOOKUP(calendar[[#This Row],[Date]],BH!G:G,1,)&lt;&gt;"",1,0),0)</f>
        <v>0</v>
      </c>
      <c r="P3803">
        <f>IF(OR(calendar[[#This Row],[UK_BH]]=1,calendar[[#This Row],[WeekDay]]=1, calendar[[#This Row],[WeekDay]]=7),P3802,P3802+1)</f>
        <v>2695</v>
      </c>
      <c r="Q3803">
        <f>IF(OR(calendar[[#This Row],[FR_BH]]=1,calendar[[#This Row],[WeekDay]]=1, calendar[[#This Row],[WeekDay]]=7),P3802,P3802+1)</f>
        <v>2695</v>
      </c>
      <c r="R3803">
        <f>IF(OR(calendar[[#This Row],[SP_BH]]=1,calendar[[#This Row],[WeekDay]]=1, calendar[[#This Row],[WeekDay]]=7),P3802,P3802+1)</f>
        <v>2695</v>
      </c>
      <c r="S3803">
        <f>IF(OR(calendar[[#This Row],[PT_BH]]=1,calendar[[#This Row],[WeekDay]]=1, calendar[[#This Row],[WeekDay]]=7),P3802,P3802+1)</f>
        <v>2695</v>
      </c>
    </row>
    <row r="3804" spans="1:19" x14ac:dyDescent="0.25">
      <c r="A3804" s="2">
        <v>46538</v>
      </c>
      <c r="B3804" s="1">
        <f t="shared" si="301"/>
        <v>23</v>
      </c>
      <c r="C3804">
        <f t="shared" ref="C3804:C3842" si="303">MONTH(A3804)</f>
        <v>5</v>
      </c>
      <c r="D3804" t="str">
        <f t="shared" ref="D3804:D3842" si="304">TEXT(A3804,"mmmm")</f>
        <v>May</v>
      </c>
      <c r="E3804">
        <f t="shared" ref="E3804:E3842" si="305">YEAR(A3804)</f>
        <v>2027</v>
      </c>
      <c r="F3804" t="str">
        <f>CONCATENATE(calendar[[#This Row],[Month]],"/",calendar[[#This Row],[Year]])</f>
        <v>5/2027</v>
      </c>
      <c r="G3804">
        <f>WEEKDAY(calendar[[#This Row],[Date]],1)</f>
        <v>2</v>
      </c>
      <c r="H3804" t="str">
        <f>TEXT(calendar[[#This Row],[WeekDay]],"dddd")</f>
        <v>Monday</v>
      </c>
      <c r="I3804">
        <f>IF((INT(calendar[[#This Row],[Count]]/7)-calendar[[#This Row],[Count]]/7)&lt;0,I3803,I3803+1)</f>
        <v>544</v>
      </c>
      <c r="J3804">
        <f t="shared" si="302"/>
        <v>3802</v>
      </c>
      <c r="K3804">
        <f>IF(calendar[[#This Row],[Month]]&lt;4,1,IF(calendar[[#This Row],[Month]]&lt;7,2,IF(calendar[[#This Row],[Month]]&lt;10,3,4)))</f>
        <v>2</v>
      </c>
      <c r="L3804">
        <f>IFERROR(IF(VLOOKUP(calendar[[#This Row],[Date]],BH!A:A,1,)&lt;&gt;"",1,0),0)</f>
        <v>1</v>
      </c>
      <c r="M3804">
        <f>IFERROR(IF(VLOOKUP(calendar[[#This Row],[Date]],BH!C:C,1,)&lt;&gt;"",1,0),0)</f>
        <v>0</v>
      </c>
      <c r="N3804">
        <f>IFERROR(IF(VLOOKUP(calendar[[#This Row],[Date]],BH!E:E,1,)&lt;&gt;"",1,0),0)</f>
        <v>0</v>
      </c>
      <c r="O3804">
        <f>IFERROR(IF(VLOOKUP(calendar[[#This Row],[Date]],BH!G:G,1,)&lt;&gt;"",1,0),0)</f>
        <v>0</v>
      </c>
      <c r="P3804">
        <f>IF(OR(calendar[[#This Row],[UK_BH]]=1,calendar[[#This Row],[WeekDay]]=1, calendar[[#This Row],[WeekDay]]=7),P3803,P3803+1)</f>
        <v>2695</v>
      </c>
      <c r="Q3804">
        <f>IF(OR(calendar[[#This Row],[FR_BH]]=1,calendar[[#This Row],[WeekDay]]=1, calendar[[#This Row],[WeekDay]]=7),P3803,P3803+1)</f>
        <v>2696</v>
      </c>
      <c r="R3804">
        <f>IF(OR(calendar[[#This Row],[SP_BH]]=1,calendar[[#This Row],[WeekDay]]=1, calendar[[#This Row],[WeekDay]]=7),P3803,P3803+1)</f>
        <v>2696</v>
      </c>
      <c r="S3804">
        <f>IF(OR(calendar[[#This Row],[PT_BH]]=1,calendar[[#This Row],[WeekDay]]=1, calendar[[#This Row],[WeekDay]]=7),P3803,P3803+1)</f>
        <v>2696</v>
      </c>
    </row>
    <row r="3805" spans="1:19" x14ac:dyDescent="0.25">
      <c r="A3805" s="2">
        <v>46539</v>
      </c>
      <c r="B3805" s="1">
        <f t="shared" si="301"/>
        <v>23</v>
      </c>
      <c r="C3805">
        <f t="shared" si="303"/>
        <v>6</v>
      </c>
      <c r="D3805" t="str">
        <f t="shared" si="304"/>
        <v>June</v>
      </c>
      <c r="E3805">
        <f t="shared" si="305"/>
        <v>2027</v>
      </c>
      <c r="F3805" t="str">
        <f>CONCATENATE(calendar[[#This Row],[Month]],"/",calendar[[#This Row],[Year]])</f>
        <v>6/2027</v>
      </c>
      <c r="G3805">
        <f>WEEKDAY(calendar[[#This Row],[Date]],1)</f>
        <v>3</v>
      </c>
      <c r="H3805" t="str">
        <f>TEXT(calendar[[#This Row],[WeekDay]],"dddd")</f>
        <v>Tuesday</v>
      </c>
      <c r="I3805">
        <f>IF((INT(calendar[[#This Row],[Count]]/7)-calendar[[#This Row],[Count]]/7)&lt;0,I3804,I3804+1)</f>
        <v>544</v>
      </c>
      <c r="J3805">
        <f t="shared" si="302"/>
        <v>3803</v>
      </c>
      <c r="K3805">
        <f>IF(calendar[[#This Row],[Month]]&lt;4,1,IF(calendar[[#This Row],[Month]]&lt;7,2,IF(calendar[[#This Row],[Month]]&lt;10,3,4)))</f>
        <v>2</v>
      </c>
      <c r="L3805">
        <f>IFERROR(IF(VLOOKUP(calendar[[#This Row],[Date]],BH!A:A,1,)&lt;&gt;"",1,0),0)</f>
        <v>0</v>
      </c>
      <c r="M3805">
        <f>IFERROR(IF(VLOOKUP(calendar[[#This Row],[Date]],BH!C:C,1,)&lt;&gt;"",1,0),0)</f>
        <v>1</v>
      </c>
      <c r="N3805">
        <f>IFERROR(IF(VLOOKUP(calendar[[#This Row],[Date]],BH!E:E,1,)&lt;&gt;"",1,0),0)</f>
        <v>0</v>
      </c>
      <c r="O3805">
        <f>IFERROR(IF(VLOOKUP(calendar[[#This Row],[Date]],BH!G:G,1,)&lt;&gt;"",1,0),0)</f>
        <v>0</v>
      </c>
      <c r="P3805">
        <f>IF(OR(calendar[[#This Row],[UK_BH]]=1,calendar[[#This Row],[WeekDay]]=1, calendar[[#This Row],[WeekDay]]=7),P3804,P3804+1)</f>
        <v>2696</v>
      </c>
      <c r="Q3805">
        <f>IF(OR(calendar[[#This Row],[FR_BH]]=1,calendar[[#This Row],[WeekDay]]=1, calendar[[#This Row],[WeekDay]]=7),P3804,P3804+1)</f>
        <v>2695</v>
      </c>
      <c r="R3805">
        <f>IF(OR(calendar[[#This Row],[SP_BH]]=1,calendar[[#This Row],[WeekDay]]=1, calendar[[#This Row],[WeekDay]]=7),P3804,P3804+1)</f>
        <v>2696</v>
      </c>
      <c r="S3805">
        <f>IF(OR(calendar[[#This Row],[PT_BH]]=1,calendar[[#This Row],[WeekDay]]=1, calendar[[#This Row],[WeekDay]]=7),P3804,P3804+1)</f>
        <v>2696</v>
      </c>
    </row>
    <row r="3806" spans="1:19" x14ac:dyDescent="0.25">
      <c r="A3806" s="2">
        <v>46540</v>
      </c>
      <c r="B3806" s="1">
        <f t="shared" si="301"/>
        <v>23</v>
      </c>
      <c r="C3806">
        <f t="shared" si="303"/>
        <v>6</v>
      </c>
      <c r="D3806" t="str">
        <f t="shared" si="304"/>
        <v>June</v>
      </c>
      <c r="E3806">
        <f t="shared" si="305"/>
        <v>2027</v>
      </c>
      <c r="F3806" t="str">
        <f>CONCATENATE(calendar[[#This Row],[Month]],"/",calendar[[#This Row],[Year]])</f>
        <v>6/2027</v>
      </c>
      <c r="G3806">
        <f>WEEKDAY(calendar[[#This Row],[Date]],1)</f>
        <v>4</v>
      </c>
      <c r="H3806" t="str">
        <f>TEXT(calendar[[#This Row],[WeekDay]],"dddd")</f>
        <v>Wednesday</v>
      </c>
      <c r="I3806">
        <f>IF((INT(calendar[[#This Row],[Count]]/7)-calendar[[#This Row],[Count]]/7)&lt;0,I3805,I3805+1)</f>
        <v>544</v>
      </c>
      <c r="J3806">
        <f t="shared" si="302"/>
        <v>3804</v>
      </c>
      <c r="K3806">
        <f>IF(calendar[[#This Row],[Month]]&lt;4,1,IF(calendar[[#This Row],[Month]]&lt;7,2,IF(calendar[[#This Row],[Month]]&lt;10,3,4)))</f>
        <v>2</v>
      </c>
      <c r="L3806">
        <f>IFERROR(IF(VLOOKUP(calendar[[#This Row],[Date]],BH!A:A,1,)&lt;&gt;"",1,0),0)</f>
        <v>0</v>
      </c>
      <c r="M3806">
        <f>IFERROR(IF(VLOOKUP(calendar[[#This Row],[Date]],BH!C:C,1,)&lt;&gt;"",1,0),0)</f>
        <v>0</v>
      </c>
      <c r="N3806">
        <f>IFERROR(IF(VLOOKUP(calendar[[#This Row],[Date]],BH!E:E,1,)&lt;&gt;"",1,0),0)</f>
        <v>0</v>
      </c>
      <c r="O3806">
        <f>IFERROR(IF(VLOOKUP(calendar[[#This Row],[Date]],BH!G:G,1,)&lt;&gt;"",1,0),0)</f>
        <v>0</v>
      </c>
      <c r="P3806">
        <f>IF(OR(calendar[[#This Row],[UK_BH]]=1,calendar[[#This Row],[WeekDay]]=1, calendar[[#This Row],[WeekDay]]=7),P3805,P3805+1)</f>
        <v>2697</v>
      </c>
      <c r="Q3806">
        <f>IF(OR(calendar[[#This Row],[FR_BH]]=1,calendar[[#This Row],[WeekDay]]=1, calendar[[#This Row],[WeekDay]]=7),P3805,P3805+1)</f>
        <v>2697</v>
      </c>
      <c r="R3806">
        <f>IF(OR(calendar[[#This Row],[SP_BH]]=1,calendar[[#This Row],[WeekDay]]=1, calendar[[#This Row],[WeekDay]]=7),P3805,P3805+1)</f>
        <v>2697</v>
      </c>
      <c r="S3806">
        <f>IF(OR(calendar[[#This Row],[PT_BH]]=1,calendar[[#This Row],[WeekDay]]=1, calendar[[#This Row],[WeekDay]]=7),P3805,P3805+1)</f>
        <v>2697</v>
      </c>
    </row>
    <row r="3807" spans="1:19" x14ac:dyDescent="0.25">
      <c r="A3807" s="2">
        <v>46541</v>
      </c>
      <c r="B3807" s="1">
        <f t="shared" si="301"/>
        <v>23</v>
      </c>
      <c r="C3807">
        <f t="shared" si="303"/>
        <v>6</v>
      </c>
      <c r="D3807" t="str">
        <f t="shared" si="304"/>
        <v>June</v>
      </c>
      <c r="E3807">
        <f t="shared" si="305"/>
        <v>2027</v>
      </c>
      <c r="F3807" t="str">
        <f>CONCATENATE(calendar[[#This Row],[Month]],"/",calendar[[#This Row],[Year]])</f>
        <v>6/2027</v>
      </c>
      <c r="G3807">
        <f>WEEKDAY(calendar[[#This Row],[Date]],1)</f>
        <v>5</v>
      </c>
      <c r="H3807" t="str">
        <f>TEXT(calendar[[#This Row],[WeekDay]],"dddd")</f>
        <v>Thursday</v>
      </c>
      <c r="I3807">
        <f>IF((INT(calendar[[#This Row],[Count]]/7)-calendar[[#This Row],[Count]]/7)&lt;0,I3806,I3806+1)</f>
        <v>544</v>
      </c>
      <c r="J3807">
        <f t="shared" si="302"/>
        <v>3805</v>
      </c>
      <c r="K3807">
        <f>IF(calendar[[#This Row],[Month]]&lt;4,1,IF(calendar[[#This Row],[Month]]&lt;7,2,IF(calendar[[#This Row],[Month]]&lt;10,3,4)))</f>
        <v>2</v>
      </c>
      <c r="L3807">
        <f>IFERROR(IF(VLOOKUP(calendar[[#This Row],[Date]],BH!A:A,1,)&lt;&gt;"",1,0),0)</f>
        <v>0</v>
      </c>
      <c r="M3807">
        <f>IFERROR(IF(VLOOKUP(calendar[[#This Row],[Date]],BH!C:C,1,)&lt;&gt;"",1,0),0)</f>
        <v>0</v>
      </c>
      <c r="N3807">
        <f>IFERROR(IF(VLOOKUP(calendar[[#This Row],[Date]],BH!E:E,1,)&lt;&gt;"",1,0),0)</f>
        <v>0</v>
      </c>
      <c r="O3807">
        <f>IFERROR(IF(VLOOKUP(calendar[[#This Row],[Date]],BH!G:G,1,)&lt;&gt;"",1,0),0)</f>
        <v>0</v>
      </c>
      <c r="P3807">
        <f>IF(OR(calendar[[#This Row],[UK_BH]]=1,calendar[[#This Row],[WeekDay]]=1, calendar[[#This Row],[WeekDay]]=7),P3806,P3806+1)</f>
        <v>2698</v>
      </c>
      <c r="Q3807">
        <f>IF(OR(calendar[[#This Row],[FR_BH]]=1,calendar[[#This Row],[WeekDay]]=1, calendar[[#This Row],[WeekDay]]=7),P3806,P3806+1)</f>
        <v>2698</v>
      </c>
      <c r="R3807">
        <f>IF(OR(calendar[[#This Row],[SP_BH]]=1,calendar[[#This Row],[WeekDay]]=1, calendar[[#This Row],[WeekDay]]=7),P3806,P3806+1)</f>
        <v>2698</v>
      </c>
      <c r="S3807">
        <f>IF(OR(calendar[[#This Row],[PT_BH]]=1,calendar[[#This Row],[WeekDay]]=1, calendar[[#This Row],[WeekDay]]=7),P3806,P3806+1)</f>
        <v>2698</v>
      </c>
    </row>
    <row r="3808" spans="1:19" x14ac:dyDescent="0.25">
      <c r="A3808" s="2">
        <v>46542</v>
      </c>
      <c r="B3808" s="1">
        <f t="shared" si="301"/>
        <v>23</v>
      </c>
      <c r="C3808">
        <f t="shared" si="303"/>
        <v>6</v>
      </c>
      <c r="D3808" t="str">
        <f t="shared" si="304"/>
        <v>June</v>
      </c>
      <c r="E3808">
        <f t="shared" si="305"/>
        <v>2027</v>
      </c>
      <c r="F3808" t="str">
        <f>CONCATENATE(calendar[[#This Row],[Month]],"/",calendar[[#This Row],[Year]])</f>
        <v>6/2027</v>
      </c>
      <c r="G3808">
        <f>WEEKDAY(calendar[[#This Row],[Date]],1)</f>
        <v>6</v>
      </c>
      <c r="H3808" t="str">
        <f>TEXT(calendar[[#This Row],[WeekDay]],"dddd")</f>
        <v>Friday</v>
      </c>
      <c r="I3808">
        <f>IF((INT(calendar[[#This Row],[Count]]/7)-calendar[[#This Row],[Count]]/7)&lt;0,I3807,I3807+1)</f>
        <v>544</v>
      </c>
      <c r="J3808">
        <f t="shared" si="302"/>
        <v>3806</v>
      </c>
      <c r="K3808">
        <f>IF(calendar[[#This Row],[Month]]&lt;4,1,IF(calendar[[#This Row],[Month]]&lt;7,2,IF(calendar[[#This Row],[Month]]&lt;10,3,4)))</f>
        <v>2</v>
      </c>
      <c r="L3808">
        <f>IFERROR(IF(VLOOKUP(calendar[[#This Row],[Date]],BH!A:A,1,)&lt;&gt;"",1,0),0)</f>
        <v>0</v>
      </c>
      <c r="M3808">
        <f>IFERROR(IF(VLOOKUP(calendar[[#This Row],[Date]],BH!C:C,1,)&lt;&gt;"",1,0),0)</f>
        <v>0</v>
      </c>
      <c r="N3808">
        <f>IFERROR(IF(VLOOKUP(calendar[[#This Row],[Date]],BH!E:E,1,)&lt;&gt;"",1,0),0)</f>
        <v>0</v>
      </c>
      <c r="O3808">
        <f>IFERROR(IF(VLOOKUP(calendar[[#This Row],[Date]],BH!G:G,1,)&lt;&gt;"",1,0),0)</f>
        <v>0</v>
      </c>
      <c r="P3808">
        <f>IF(OR(calendar[[#This Row],[UK_BH]]=1,calendar[[#This Row],[WeekDay]]=1, calendar[[#This Row],[WeekDay]]=7),P3807,P3807+1)</f>
        <v>2699</v>
      </c>
      <c r="Q3808">
        <f>IF(OR(calendar[[#This Row],[FR_BH]]=1,calendar[[#This Row],[WeekDay]]=1, calendar[[#This Row],[WeekDay]]=7),P3807,P3807+1)</f>
        <v>2699</v>
      </c>
      <c r="R3808">
        <f>IF(OR(calendar[[#This Row],[SP_BH]]=1,calendar[[#This Row],[WeekDay]]=1, calendar[[#This Row],[WeekDay]]=7),P3807,P3807+1)</f>
        <v>2699</v>
      </c>
      <c r="S3808">
        <f>IF(OR(calendar[[#This Row],[PT_BH]]=1,calendar[[#This Row],[WeekDay]]=1, calendar[[#This Row],[WeekDay]]=7),P3807,P3807+1)</f>
        <v>2699</v>
      </c>
    </row>
    <row r="3809" spans="1:19" x14ac:dyDescent="0.25">
      <c r="A3809" s="2">
        <v>46543</v>
      </c>
      <c r="B3809" s="1">
        <f t="shared" si="301"/>
        <v>23</v>
      </c>
      <c r="C3809">
        <f t="shared" si="303"/>
        <v>6</v>
      </c>
      <c r="D3809" t="str">
        <f t="shared" si="304"/>
        <v>June</v>
      </c>
      <c r="E3809">
        <f t="shared" si="305"/>
        <v>2027</v>
      </c>
      <c r="F3809" t="str">
        <f>CONCATENATE(calendar[[#This Row],[Month]],"/",calendar[[#This Row],[Year]])</f>
        <v>6/2027</v>
      </c>
      <c r="G3809">
        <f>WEEKDAY(calendar[[#This Row],[Date]],1)</f>
        <v>7</v>
      </c>
      <c r="H3809" t="str">
        <f>TEXT(calendar[[#This Row],[WeekDay]],"dddd")</f>
        <v>Saturday</v>
      </c>
      <c r="I3809">
        <f>IF((INT(calendar[[#This Row],[Count]]/7)-calendar[[#This Row],[Count]]/7)&lt;0,I3808,I3808+1)</f>
        <v>544</v>
      </c>
      <c r="J3809">
        <f t="shared" si="302"/>
        <v>3807</v>
      </c>
      <c r="K3809">
        <f>IF(calendar[[#This Row],[Month]]&lt;4,1,IF(calendar[[#This Row],[Month]]&lt;7,2,IF(calendar[[#This Row],[Month]]&lt;10,3,4)))</f>
        <v>2</v>
      </c>
      <c r="L3809">
        <f>IFERROR(IF(VLOOKUP(calendar[[#This Row],[Date]],BH!A:A,1,)&lt;&gt;"",1,0),0)</f>
        <v>0</v>
      </c>
      <c r="M3809">
        <f>IFERROR(IF(VLOOKUP(calendar[[#This Row],[Date]],BH!C:C,1,)&lt;&gt;"",1,0),0)</f>
        <v>0</v>
      </c>
      <c r="N3809">
        <f>IFERROR(IF(VLOOKUP(calendar[[#This Row],[Date]],BH!E:E,1,)&lt;&gt;"",1,0),0)</f>
        <v>0</v>
      </c>
      <c r="O3809">
        <f>IFERROR(IF(VLOOKUP(calendar[[#This Row],[Date]],BH!G:G,1,)&lt;&gt;"",1,0),0)</f>
        <v>0</v>
      </c>
      <c r="P3809">
        <f>IF(OR(calendar[[#This Row],[UK_BH]]=1,calendar[[#This Row],[WeekDay]]=1, calendar[[#This Row],[WeekDay]]=7),P3808,P3808+1)</f>
        <v>2699</v>
      </c>
      <c r="Q3809">
        <f>IF(OR(calendar[[#This Row],[FR_BH]]=1,calendar[[#This Row],[WeekDay]]=1, calendar[[#This Row],[WeekDay]]=7),P3808,P3808+1)</f>
        <v>2699</v>
      </c>
      <c r="R3809">
        <f>IF(OR(calendar[[#This Row],[SP_BH]]=1,calendar[[#This Row],[WeekDay]]=1, calendar[[#This Row],[WeekDay]]=7),P3808,P3808+1)</f>
        <v>2699</v>
      </c>
      <c r="S3809">
        <f>IF(OR(calendar[[#This Row],[PT_BH]]=1,calendar[[#This Row],[WeekDay]]=1, calendar[[#This Row],[WeekDay]]=7),P3808,P3808+1)</f>
        <v>2699</v>
      </c>
    </row>
    <row r="3810" spans="1:19" x14ac:dyDescent="0.25">
      <c r="A3810" s="2">
        <v>46544</v>
      </c>
      <c r="B3810" s="1">
        <f t="shared" si="301"/>
        <v>24</v>
      </c>
      <c r="C3810">
        <f t="shared" si="303"/>
        <v>6</v>
      </c>
      <c r="D3810" t="str">
        <f t="shared" si="304"/>
        <v>June</v>
      </c>
      <c r="E3810">
        <f t="shared" si="305"/>
        <v>2027</v>
      </c>
      <c r="F3810" t="str">
        <f>CONCATENATE(calendar[[#This Row],[Month]],"/",calendar[[#This Row],[Year]])</f>
        <v>6/2027</v>
      </c>
      <c r="G3810">
        <f>WEEKDAY(calendar[[#This Row],[Date]],1)</f>
        <v>1</v>
      </c>
      <c r="H3810" t="str">
        <f>TEXT(calendar[[#This Row],[WeekDay]],"dddd")</f>
        <v>Sunday</v>
      </c>
      <c r="I3810">
        <f>IF((INT(calendar[[#This Row],[Count]]/7)-calendar[[#This Row],[Count]]/7)&lt;0,I3809,I3809+1)</f>
        <v>545</v>
      </c>
      <c r="J3810">
        <f t="shared" si="302"/>
        <v>3808</v>
      </c>
      <c r="K3810">
        <f>IF(calendar[[#This Row],[Month]]&lt;4,1,IF(calendar[[#This Row],[Month]]&lt;7,2,IF(calendar[[#This Row],[Month]]&lt;10,3,4)))</f>
        <v>2</v>
      </c>
      <c r="L3810">
        <f>IFERROR(IF(VLOOKUP(calendar[[#This Row],[Date]],BH!A:A,1,)&lt;&gt;"",1,0),0)</f>
        <v>0</v>
      </c>
      <c r="M3810">
        <f>IFERROR(IF(VLOOKUP(calendar[[#This Row],[Date]],BH!C:C,1,)&lt;&gt;"",1,0),0)</f>
        <v>0</v>
      </c>
      <c r="N3810">
        <f>IFERROR(IF(VLOOKUP(calendar[[#This Row],[Date]],BH!E:E,1,)&lt;&gt;"",1,0),0)</f>
        <v>0</v>
      </c>
      <c r="O3810">
        <f>IFERROR(IF(VLOOKUP(calendar[[#This Row],[Date]],BH!G:G,1,)&lt;&gt;"",1,0),0)</f>
        <v>0</v>
      </c>
      <c r="P3810">
        <f>IF(OR(calendar[[#This Row],[UK_BH]]=1,calendar[[#This Row],[WeekDay]]=1, calendar[[#This Row],[WeekDay]]=7),P3809,P3809+1)</f>
        <v>2699</v>
      </c>
      <c r="Q3810">
        <f>IF(OR(calendar[[#This Row],[FR_BH]]=1,calendar[[#This Row],[WeekDay]]=1, calendar[[#This Row],[WeekDay]]=7),P3809,P3809+1)</f>
        <v>2699</v>
      </c>
      <c r="R3810">
        <f>IF(OR(calendar[[#This Row],[SP_BH]]=1,calendar[[#This Row],[WeekDay]]=1, calendar[[#This Row],[WeekDay]]=7),P3809,P3809+1)</f>
        <v>2699</v>
      </c>
      <c r="S3810">
        <f>IF(OR(calendar[[#This Row],[PT_BH]]=1,calendar[[#This Row],[WeekDay]]=1, calendar[[#This Row],[WeekDay]]=7),P3809,P3809+1)</f>
        <v>2699</v>
      </c>
    </row>
    <row r="3811" spans="1:19" x14ac:dyDescent="0.25">
      <c r="A3811" s="2">
        <v>46545</v>
      </c>
      <c r="B3811" s="1">
        <f t="shared" si="301"/>
        <v>24</v>
      </c>
      <c r="C3811">
        <f t="shared" si="303"/>
        <v>6</v>
      </c>
      <c r="D3811" t="str">
        <f t="shared" si="304"/>
        <v>June</v>
      </c>
      <c r="E3811">
        <f t="shared" si="305"/>
        <v>2027</v>
      </c>
      <c r="F3811" t="str">
        <f>CONCATENATE(calendar[[#This Row],[Month]],"/",calendar[[#This Row],[Year]])</f>
        <v>6/2027</v>
      </c>
      <c r="G3811">
        <f>WEEKDAY(calendar[[#This Row],[Date]],1)</f>
        <v>2</v>
      </c>
      <c r="H3811" t="str">
        <f>TEXT(calendar[[#This Row],[WeekDay]],"dddd")</f>
        <v>Monday</v>
      </c>
      <c r="I3811">
        <f>IF((INT(calendar[[#This Row],[Count]]/7)-calendar[[#This Row],[Count]]/7)&lt;0,I3810,I3810+1)</f>
        <v>545</v>
      </c>
      <c r="J3811">
        <f t="shared" si="302"/>
        <v>3809</v>
      </c>
      <c r="K3811">
        <f>IF(calendar[[#This Row],[Month]]&lt;4,1,IF(calendar[[#This Row],[Month]]&lt;7,2,IF(calendar[[#This Row],[Month]]&lt;10,3,4)))</f>
        <v>2</v>
      </c>
      <c r="L3811">
        <f>IFERROR(IF(VLOOKUP(calendar[[#This Row],[Date]],BH!A:A,1,)&lt;&gt;"",1,0),0)</f>
        <v>0</v>
      </c>
      <c r="M3811">
        <f>IFERROR(IF(VLOOKUP(calendar[[#This Row],[Date]],BH!C:C,1,)&lt;&gt;"",1,0),0)</f>
        <v>0</v>
      </c>
      <c r="N3811">
        <f>IFERROR(IF(VLOOKUP(calendar[[#This Row],[Date]],BH!E:E,1,)&lt;&gt;"",1,0),0)</f>
        <v>0</v>
      </c>
      <c r="O3811">
        <f>IFERROR(IF(VLOOKUP(calendar[[#This Row],[Date]],BH!G:G,1,)&lt;&gt;"",1,0),0)</f>
        <v>0</v>
      </c>
      <c r="P3811">
        <f>IF(OR(calendar[[#This Row],[UK_BH]]=1,calendar[[#This Row],[WeekDay]]=1, calendar[[#This Row],[WeekDay]]=7),P3810,P3810+1)</f>
        <v>2700</v>
      </c>
      <c r="Q3811">
        <f>IF(OR(calendar[[#This Row],[FR_BH]]=1,calendar[[#This Row],[WeekDay]]=1, calendar[[#This Row],[WeekDay]]=7),P3810,P3810+1)</f>
        <v>2700</v>
      </c>
      <c r="R3811">
        <f>IF(OR(calendar[[#This Row],[SP_BH]]=1,calendar[[#This Row],[WeekDay]]=1, calendar[[#This Row],[WeekDay]]=7),P3810,P3810+1)</f>
        <v>2700</v>
      </c>
      <c r="S3811">
        <f>IF(OR(calendar[[#This Row],[PT_BH]]=1,calendar[[#This Row],[WeekDay]]=1, calendar[[#This Row],[WeekDay]]=7),P3810,P3810+1)</f>
        <v>2700</v>
      </c>
    </row>
    <row r="3812" spans="1:19" x14ac:dyDescent="0.25">
      <c r="A3812" s="2">
        <v>46546</v>
      </c>
      <c r="B3812" s="1">
        <f t="shared" si="301"/>
        <v>24</v>
      </c>
      <c r="C3812">
        <f t="shared" si="303"/>
        <v>6</v>
      </c>
      <c r="D3812" t="str">
        <f t="shared" si="304"/>
        <v>June</v>
      </c>
      <c r="E3812">
        <f t="shared" si="305"/>
        <v>2027</v>
      </c>
      <c r="F3812" t="str">
        <f>CONCATENATE(calendar[[#This Row],[Month]],"/",calendar[[#This Row],[Year]])</f>
        <v>6/2027</v>
      </c>
      <c r="G3812">
        <f>WEEKDAY(calendar[[#This Row],[Date]],1)</f>
        <v>3</v>
      </c>
      <c r="H3812" t="str">
        <f>TEXT(calendar[[#This Row],[WeekDay]],"dddd")</f>
        <v>Tuesday</v>
      </c>
      <c r="I3812">
        <f>IF((INT(calendar[[#This Row],[Count]]/7)-calendar[[#This Row],[Count]]/7)&lt;0,I3811,I3811+1)</f>
        <v>545</v>
      </c>
      <c r="J3812">
        <f t="shared" si="302"/>
        <v>3810</v>
      </c>
      <c r="K3812">
        <f>IF(calendar[[#This Row],[Month]]&lt;4,1,IF(calendar[[#This Row],[Month]]&lt;7,2,IF(calendar[[#This Row],[Month]]&lt;10,3,4)))</f>
        <v>2</v>
      </c>
      <c r="L3812">
        <f>IFERROR(IF(VLOOKUP(calendar[[#This Row],[Date]],BH!A:A,1,)&lt;&gt;"",1,0),0)</f>
        <v>0</v>
      </c>
      <c r="M3812">
        <f>IFERROR(IF(VLOOKUP(calendar[[#This Row],[Date]],BH!C:C,1,)&lt;&gt;"",1,0),0)</f>
        <v>0</v>
      </c>
      <c r="N3812">
        <f>IFERROR(IF(VLOOKUP(calendar[[#This Row],[Date]],BH!E:E,1,)&lt;&gt;"",1,0),0)</f>
        <v>0</v>
      </c>
      <c r="O3812">
        <f>IFERROR(IF(VLOOKUP(calendar[[#This Row],[Date]],BH!G:G,1,)&lt;&gt;"",1,0),0)</f>
        <v>0</v>
      </c>
      <c r="P3812">
        <f>IF(OR(calendar[[#This Row],[UK_BH]]=1,calendar[[#This Row],[WeekDay]]=1, calendar[[#This Row],[WeekDay]]=7),P3811,P3811+1)</f>
        <v>2701</v>
      </c>
      <c r="Q3812">
        <f>IF(OR(calendar[[#This Row],[FR_BH]]=1,calendar[[#This Row],[WeekDay]]=1, calendar[[#This Row],[WeekDay]]=7),P3811,P3811+1)</f>
        <v>2701</v>
      </c>
      <c r="R3812">
        <f>IF(OR(calendar[[#This Row],[SP_BH]]=1,calendar[[#This Row],[WeekDay]]=1, calendar[[#This Row],[WeekDay]]=7),P3811,P3811+1)</f>
        <v>2701</v>
      </c>
      <c r="S3812">
        <f>IF(OR(calendar[[#This Row],[PT_BH]]=1,calendar[[#This Row],[WeekDay]]=1, calendar[[#This Row],[WeekDay]]=7),P3811,P3811+1)</f>
        <v>2701</v>
      </c>
    </row>
    <row r="3813" spans="1:19" x14ac:dyDescent="0.25">
      <c r="A3813" s="2">
        <v>46547</v>
      </c>
      <c r="B3813" s="1">
        <f t="shared" si="301"/>
        <v>24</v>
      </c>
      <c r="C3813">
        <f t="shared" si="303"/>
        <v>6</v>
      </c>
      <c r="D3813" t="str">
        <f t="shared" si="304"/>
        <v>June</v>
      </c>
      <c r="E3813">
        <f t="shared" si="305"/>
        <v>2027</v>
      </c>
      <c r="F3813" t="str">
        <f>CONCATENATE(calendar[[#This Row],[Month]],"/",calendar[[#This Row],[Year]])</f>
        <v>6/2027</v>
      </c>
      <c r="G3813">
        <f>WEEKDAY(calendar[[#This Row],[Date]],1)</f>
        <v>4</v>
      </c>
      <c r="H3813" t="str">
        <f>TEXT(calendar[[#This Row],[WeekDay]],"dddd")</f>
        <v>Wednesday</v>
      </c>
      <c r="I3813">
        <f>IF((INT(calendar[[#This Row],[Count]]/7)-calendar[[#This Row],[Count]]/7)&lt;0,I3812,I3812+1)</f>
        <v>545</v>
      </c>
      <c r="J3813">
        <f t="shared" si="302"/>
        <v>3811</v>
      </c>
      <c r="K3813">
        <f>IF(calendar[[#This Row],[Month]]&lt;4,1,IF(calendar[[#This Row],[Month]]&lt;7,2,IF(calendar[[#This Row],[Month]]&lt;10,3,4)))</f>
        <v>2</v>
      </c>
      <c r="L3813">
        <f>IFERROR(IF(VLOOKUP(calendar[[#This Row],[Date]],BH!A:A,1,)&lt;&gt;"",1,0),0)</f>
        <v>0</v>
      </c>
      <c r="M3813">
        <f>IFERROR(IF(VLOOKUP(calendar[[#This Row],[Date]],BH!C:C,1,)&lt;&gt;"",1,0),0)</f>
        <v>0</v>
      </c>
      <c r="N3813">
        <f>IFERROR(IF(VLOOKUP(calendar[[#This Row],[Date]],BH!E:E,1,)&lt;&gt;"",1,0),0)</f>
        <v>0</v>
      </c>
      <c r="O3813">
        <f>IFERROR(IF(VLOOKUP(calendar[[#This Row],[Date]],BH!G:G,1,)&lt;&gt;"",1,0),0)</f>
        <v>0</v>
      </c>
      <c r="P3813">
        <f>IF(OR(calendar[[#This Row],[UK_BH]]=1,calendar[[#This Row],[WeekDay]]=1, calendar[[#This Row],[WeekDay]]=7),P3812,P3812+1)</f>
        <v>2702</v>
      </c>
      <c r="Q3813">
        <f>IF(OR(calendar[[#This Row],[FR_BH]]=1,calendar[[#This Row],[WeekDay]]=1, calendar[[#This Row],[WeekDay]]=7),P3812,P3812+1)</f>
        <v>2702</v>
      </c>
      <c r="R3813">
        <f>IF(OR(calendar[[#This Row],[SP_BH]]=1,calendar[[#This Row],[WeekDay]]=1, calendar[[#This Row],[WeekDay]]=7),P3812,P3812+1)</f>
        <v>2702</v>
      </c>
      <c r="S3813">
        <f>IF(OR(calendar[[#This Row],[PT_BH]]=1,calendar[[#This Row],[WeekDay]]=1, calendar[[#This Row],[WeekDay]]=7),P3812,P3812+1)</f>
        <v>2702</v>
      </c>
    </row>
    <row r="3814" spans="1:19" x14ac:dyDescent="0.25">
      <c r="A3814" s="2">
        <v>46548</v>
      </c>
      <c r="B3814" s="1">
        <f t="shared" si="301"/>
        <v>24</v>
      </c>
      <c r="C3814">
        <f t="shared" si="303"/>
        <v>6</v>
      </c>
      <c r="D3814" t="str">
        <f t="shared" si="304"/>
        <v>June</v>
      </c>
      <c r="E3814">
        <f t="shared" si="305"/>
        <v>2027</v>
      </c>
      <c r="F3814" t="str">
        <f>CONCATENATE(calendar[[#This Row],[Month]],"/",calendar[[#This Row],[Year]])</f>
        <v>6/2027</v>
      </c>
      <c r="G3814">
        <f>WEEKDAY(calendar[[#This Row],[Date]],1)</f>
        <v>5</v>
      </c>
      <c r="H3814" t="str">
        <f>TEXT(calendar[[#This Row],[WeekDay]],"dddd")</f>
        <v>Thursday</v>
      </c>
      <c r="I3814">
        <f>IF((INT(calendar[[#This Row],[Count]]/7)-calendar[[#This Row],[Count]]/7)&lt;0,I3813,I3813+1)</f>
        <v>545</v>
      </c>
      <c r="J3814">
        <f t="shared" si="302"/>
        <v>3812</v>
      </c>
      <c r="K3814">
        <f>IF(calendar[[#This Row],[Month]]&lt;4,1,IF(calendar[[#This Row],[Month]]&lt;7,2,IF(calendar[[#This Row],[Month]]&lt;10,3,4)))</f>
        <v>2</v>
      </c>
      <c r="L3814">
        <f>IFERROR(IF(VLOOKUP(calendar[[#This Row],[Date]],BH!A:A,1,)&lt;&gt;"",1,0),0)</f>
        <v>0</v>
      </c>
      <c r="M3814">
        <f>IFERROR(IF(VLOOKUP(calendar[[#This Row],[Date]],BH!C:C,1,)&lt;&gt;"",1,0),0)</f>
        <v>0</v>
      </c>
      <c r="N3814">
        <f>IFERROR(IF(VLOOKUP(calendar[[#This Row],[Date]],BH!E:E,1,)&lt;&gt;"",1,0),0)</f>
        <v>0</v>
      </c>
      <c r="O3814">
        <f>IFERROR(IF(VLOOKUP(calendar[[#This Row],[Date]],BH!G:G,1,)&lt;&gt;"",1,0),0)</f>
        <v>1</v>
      </c>
      <c r="P3814">
        <f>IF(OR(calendar[[#This Row],[UK_BH]]=1,calendar[[#This Row],[WeekDay]]=1, calendar[[#This Row],[WeekDay]]=7),P3813,P3813+1)</f>
        <v>2703</v>
      </c>
      <c r="Q3814">
        <f>IF(OR(calendar[[#This Row],[FR_BH]]=1,calendar[[#This Row],[WeekDay]]=1, calendar[[#This Row],[WeekDay]]=7),P3813,P3813+1)</f>
        <v>2703</v>
      </c>
      <c r="R3814">
        <f>IF(OR(calendar[[#This Row],[SP_BH]]=1,calendar[[#This Row],[WeekDay]]=1, calendar[[#This Row],[WeekDay]]=7),P3813,P3813+1)</f>
        <v>2703</v>
      </c>
      <c r="S3814">
        <f>IF(OR(calendar[[#This Row],[PT_BH]]=1,calendar[[#This Row],[WeekDay]]=1, calendar[[#This Row],[WeekDay]]=7),P3813,P3813+1)</f>
        <v>2702</v>
      </c>
    </row>
    <row r="3815" spans="1:19" x14ac:dyDescent="0.25">
      <c r="A3815" s="2">
        <v>46549</v>
      </c>
      <c r="B3815" s="1">
        <f t="shared" si="301"/>
        <v>24</v>
      </c>
      <c r="C3815">
        <f t="shared" si="303"/>
        <v>6</v>
      </c>
      <c r="D3815" t="str">
        <f t="shared" si="304"/>
        <v>June</v>
      </c>
      <c r="E3815">
        <f t="shared" si="305"/>
        <v>2027</v>
      </c>
      <c r="F3815" t="str">
        <f>CONCATENATE(calendar[[#This Row],[Month]],"/",calendar[[#This Row],[Year]])</f>
        <v>6/2027</v>
      </c>
      <c r="G3815">
        <f>WEEKDAY(calendar[[#This Row],[Date]],1)</f>
        <v>6</v>
      </c>
      <c r="H3815" t="str">
        <f>TEXT(calendar[[#This Row],[WeekDay]],"dddd")</f>
        <v>Friday</v>
      </c>
      <c r="I3815">
        <f>IF((INT(calendar[[#This Row],[Count]]/7)-calendar[[#This Row],[Count]]/7)&lt;0,I3814,I3814+1)</f>
        <v>545</v>
      </c>
      <c r="J3815">
        <f t="shared" si="302"/>
        <v>3813</v>
      </c>
      <c r="K3815">
        <f>IF(calendar[[#This Row],[Month]]&lt;4,1,IF(calendar[[#This Row],[Month]]&lt;7,2,IF(calendar[[#This Row],[Month]]&lt;10,3,4)))</f>
        <v>2</v>
      </c>
      <c r="L3815">
        <f>IFERROR(IF(VLOOKUP(calendar[[#This Row],[Date]],BH!A:A,1,)&lt;&gt;"",1,0),0)</f>
        <v>0</v>
      </c>
      <c r="M3815">
        <f>IFERROR(IF(VLOOKUP(calendar[[#This Row],[Date]],BH!C:C,1,)&lt;&gt;"",1,0),0)</f>
        <v>0</v>
      </c>
      <c r="N3815">
        <f>IFERROR(IF(VLOOKUP(calendar[[#This Row],[Date]],BH!E:E,1,)&lt;&gt;"",1,0),0)</f>
        <v>0</v>
      </c>
      <c r="O3815">
        <f>IFERROR(IF(VLOOKUP(calendar[[#This Row],[Date]],BH!G:G,1,)&lt;&gt;"",1,0),0)</f>
        <v>0</v>
      </c>
      <c r="P3815">
        <f>IF(OR(calendar[[#This Row],[UK_BH]]=1,calendar[[#This Row],[WeekDay]]=1, calendar[[#This Row],[WeekDay]]=7),P3814,P3814+1)</f>
        <v>2704</v>
      </c>
      <c r="Q3815">
        <f>IF(OR(calendar[[#This Row],[FR_BH]]=1,calendar[[#This Row],[WeekDay]]=1, calendar[[#This Row],[WeekDay]]=7),P3814,P3814+1)</f>
        <v>2704</v>
      </c>
      <c r="R3815">
        <f>IF(OR(calendar[[#This Row],[SP_BH]]=1,calendar[[#This Row],[WeekDay]]=1, calendar[[#This Row],[WeekDay]]=7),P3814,P3814+1)</f>
        <v>2704</v>
      </c>
      <c r="S3815">
        <f>IF(OR(calendar[[#This Row],[PT_BH]]=1,calendar[[#This Row],[WeekDay]]=1, calendar[[#This Row],[WeekDay]]=7),P3814,P3814+1)</f>
        <v>2704</v>
      </c>
    </row>
    <row r="3816" spans="1:19" x14ac:dyDescent="0.25">
      <c r="A3816" s="2">
        <v>46550</v>
      </c>
      <c r="B3816" s="1">
        <f t="shared" si="301"/>
        <v>24</v>
      </c>
      <c r="C3816">
        <f t="shared" si="303"/>
        <v>6</v>
      </c>
      <c r="D3816" t="str">
        <f t="shared" si="304"/>
        <v>June</v>
      </c>
      <c r="E3816">
        <f t="shared" si="305"/>
        <v>2027</v>
      </c>
      <c r="F3816" t="str">
        <f>CONCATENATE(calendar[[#This Row],[Month]],"/",calendar[[#This Row],[Year]])</f>
        <v>6/2027</v>
      </c>
      <c r="G3816">
        <f>WEEKDAY(calendar[[#This Row],[Date]],1)</f>
        <v>7</v>
      </c>
      <c r="H3816" t="str">
        <f>TEXT(calendar[[#This Row],[WeekDay]],"dddd")</f>
        <v>Saturday</v>
      </c>
      <c r="I3816">
        <f>IF((INT(calendar[[#This Row],[Count]]/7)-calendar[[#This Row],[Count]]/7)&lt;0,I3815,I3815+1)</f>
        <v>545</v>
      </c>
      <c r="J3816">
        <f t="shared" si="302"/>
        <v>3814</v>
      </c>
      <c r="K3816">
        <f>IF(calendar[[#This Row],[Month]]&lt;4,1,IF(calendar[[#This Row],[Month]]&lt;7,2,IF(calendar[[#This Row],[Month]]&lt;10,3,4)))</f>
        <v>2</v>
      </c>
      <c r="L3816">
        <f>IFERROR(IF(VLOOKUP(calendar[[#This Row],[Date]],BH!A:A,1,)&lt;&gt;"",1,0),0)</f>
        <v>0</v>
      </c>
      <c r="M3816">
        <f>IFERROR(IF(VLOOKUP(calendar[[#This Row],[Date]],BH!C:C,1,)&lt;&gt;"",1,0),0)</f>
        <v>0</v>
      </c>
      <c r="N3816">
        <f>IFERROR(IF(VLOOKUP(calendar[[#This Row],[Date]],BH!E:E,1,)&lt;&gt;"",1,0),0)</f>
        <v>0</v>
      </c>
      <c r="O3816">
        <f>IFERROR(IF(VLOOKUP(calendar[[#This Row],[Date]],BH!G:G,1,)&lt;&gt;"",1,0),0)</f>
        <v>0</v>
      </c>
      <c r="P3816">
        <f>IF(OR(calendar[[#This Row],[UK_BH]]=1,calendar[[#This Row],[WeekDay]]=1, calendar[[#This Row],[WeekDay]]=7),P3815,P3815+1)</f>
        <v>2704</v>
      </c>
      <c r="Q3816">
        <f>IF(OR(calendar[[#This Row],[FR_BH]]=1,calendar[[#This Row],[WeekDay]]=1, calendar[[#This Row],[WeekDay]]=7),P3815,P3815+1)</f>
        <v>2704</v>
      </c>
      <c r="R3816">
        <f>IF(OR(calendar[[#This Row],[SP_BH]]=1,calendar[[#This Row],[WeekDay]]=1, calendar[[#This Row],[WeekDay]]=7),P3815,P3815+1)</f>
        <v>2704</v>
      </c>
      <c r="S3816">
        <f>IF(OR(calendar[[#This Row],[PT_BH]]=1,calendar[[#This Row],[WeekDay]]=1, calendar[[#This Row],[WeekDay]]=7),P3815,P3815+1)</f>
        <v>2704</v>
      </c>
    </row>
    <row r="3817" spans="1:19" x14ac:dyDescent="0.25">
      <c r="A3817" s="2">
        <v>46551</v>
      </c>
      <c r="B3817" s="1">
        <f t="shared" si="301"/>
        <v>25</v>
      </c>
      <c r="C3817">
        <f t="shared" si="303"/>
        <v>6</v>
      </c>
      <c r="D3817" t="str">
        <f t="shared" si="304"/>
        <v>June</v>
      </c>
      <c r="E3817">
        <f t="shared" si="305"/>
        <v>2027</v>
      </c>
      <c r="F3817" t="str">
        <f>CONCATENATE(calendar[[#This Row],[Month]],"/",calendar[[#This Row],[Year]])</f>
        <v>6/2027</v>
      </c>
      <c r="G3817">
        <f>WEEKDAY(calendar[[#This Row],[Date]],1)</f>
        <v>1</v>
      </c>
      <c r="H3817" t="str">
        <f>TEXT(calendar[[#This Row],[WeekDay]],"dddd")</f>
        <v>Sunday</v>
      </c>
      <c r="I3817">
        <f>IF((INT(calendar[[#This Row],[Count]]/7)-calendar[[#This Row],[Count]]/7)&lt;0,I3816,I3816+1)</f>
        <v>546</v>
      </c>
      <c r="J3817">
        <f t="shared" si="302"/>
        <v>3815</v>
      </c>
      <c r="K3817">
        <f>IF(calendar[[#This Row],[Month]]&lt;4,1,IF(calendar[[#This Row],[Month]]&lt;7,2,IF(calendar[[#This Row],[Month]]&lt;10,3,4)))</f>
        <v>2</v>
      </c>
      <c r="L3817">
        <f>IFERROR(IF(VLOOKUP(calendar[[#This Row],[Date]],BH!A:A,1,)&lt;&gt;"",1,0),0)</f>
        <v>0</v>
      </c>
      <c r="M3817">
        <f>IFERROR(IF(VLOOKUP(calendar[[#This Row],[Date]],BH!C:C,1,)&lt;&gt;"",1,0),0)</f>
        <v>0</v>
      </c>
      <c r="N3817">
        <f>IFERROR(IF(VLOOKUP(calendar[[#This Row],[Date]],BH!E:E,1,)&lt;&gt;"",1,0),0)</f>
        <v>0</v>
      </c>
      <c r="O3817">
        <f>IFERROR(IF(VLOOKUP(calendar[[#This Row],[Date]],BH!G:G,1,)&lt;&gt;"",1,0),0)</f>
        <v>0</v>
      </c>
      <c r="P3817">
        <f>IF(OR(calendar[[#This Row],[UK_BH]]=1,calendar[[#This Row],[WeekDay]]=1, calendar[[#This Row],[WeekDay]]=7),P3816,P3816+1)</f>
        <v>2704</v>
      </c>
      <c r="Q3817">
        <f>IF(OR(calendar[[#This Row],[FR_BH]]=1,calendar[[#This Row],[WeekDay]]=1, calendar[[#This Row],[WeekDay]]=7),P3816,P3816+1)</f>
        <v>2704</v>
      </c>
      <c r="R3817">
        <f>IF(OR(calendar[[#This Row],[SP_BH]]=1,calendar[[#This Row],[WeekDay]]=1, calendar[[#This Row],[WeekDay]]=7),P3816,P3816+1)</f>
        <v>2704</v>
      </c>
      <c r="S3817">
        <f>IF(OR(calendar[[#This Row],[PT_BH]]=1,calendar[[#This Row],[WeekDay]]=1, calendar[[#This Row],[WeekDay]]=7),P3816,P3816+1)</f>
        <v>2704</v>
      </c>
    </row>
    <row r="3818" spans="1:19" x14ac:dyDescent="0.25">
      <c r="A3818" s="2">
        <v>46552</v>
      </c>
      <c r="B3818" s="1">
        <f t="shared" si="301"/>
        <v>25</v>
      </c>
      <c r="C3818">
        <f t="shared" si="303"/>
        <v>6</v>
      </c>
      <c r="D3818" t="str">
        <f t="shared" si="304"/>
        <v>June</v>
      </c>
      <c r="E3818">
        <f t="shared" si="305"/>
        <v>2027</v>
      </c>
      <c r="F3818" t="str">
        <f>CONCATENATE(calendar[[#This Row],[Month]],"/",calendar[[#This Row],[Year]])</f>
        <v>6/2027</v>
      </c>
      <c r="G3818">
        <f>WEEKDAY(calendar[[#This Row],[Date]],1)</f>
        <v>2</v>
      </c>
      <c r="H3818" t="str">
        <f>TEXT(calendar[[#This Row],[WeekDay]],"dddd")</f>
        <v>Monday</v>
      </c>
      <c r="I3818">
        <f>IF((INT(calendar[[#This Row],[Count]]/7)-calendar[[#This Row],[Count]]/7)&lt;0,I3817,I3817+1)</f>
        <v>546</v>
      </c>
      <c r="J3818">
        <f t="shared" si="302"/>
        <v>3816</v>
      </c>
      <c r="K3818">
        <f>IF(calendar[[#This Row],[Month]]&lt;4,1,IF(calendar[[#This Row],[Month]]&lt;7,2,IF(calendar[[#This Row],[Month]]&lt;10,3,4)))</f>
        <v>2</v>
      </c>
      <c r="L3818">
        <f>IFERROR(IF(VLOOKUP(calendar[[#This Row],[Date]],BH!A:A,1,)&lt;&gt;"",1,0),0)</f>
        <v>0</v>
      </c>
      <c r="M3818">
        <f>IFERROR(IF(VLOOKUP(calendar[[#This Row],[Date]],BH!C:C,1,)&lt;&gt;"",1,0),0)</f>
        <v>0</v>
      </c>
      <c r="N3818">
        <f>IFERROR(IF(VLOOKUP(calendar[[#This Row],[Date]],BH!E:E,1,)&lt;&gt;"",1,0),0)</f>
        <v>0</v>
      </c>
      <c r="O3818">
        <f>IFERROR(IF(VLOOKUP(calendar[[#This Row],[Date]],BH!G:G,1,)&lt;&gt;"",1,0),0)</f>
        <v>0</v>
      </c>
      <c r="P3818">
        <f>IF(OR(calendar[[#This Row],[UK_BH]]=1,calendar[[#This Row],[WeekDay]]=1, calendar[[#This Row],[WeekDay]]=7),P3817,P3817+1)</f>
        <v>2705</v>
      </c>
      <c r="Q3818">
        <f>IF(OR(calendar[[#This Row],[FR_BH]]=1,calendar[[#This Row],[WeekDay]]=1, calendar[[#This Row],[WeekDay]]=7),P3817,P3817+1)</f>
        <v>2705</v>
      </c>
      <c r="R3818">
        <f>IF(OR(calendar[[#This Row],[SP_BH]]=1,calendar[[#This Row],[WeekDay]]=1, calendar[[#This Row],[WeekDay]]=7),P3817,P3817+1)</f>
        <v>2705</v>
      </c>
      <c r="S3818">
        <f>IF(OR(calendar[[#This Row],[PT_BH]]=1,calendar[[#This Row],[WeekDay]]=1, calendar[[#This Row],[WeekDay]]=7),P3817,P3817+1)</f>
        <v>2705</v>
      </c>
    </row>
    <row r="3819" spans="1:19" x14ac:dyDescent="0.25">
      <c r="A3819" s="2">
        <v>46553</v>
      </c>
      <c r="B3819" s="1">
        <f t="shared" si="301"/>
        <v>25</v>
      </c>
      <c r="C3819">
        <f t="shared" si="303"/>
        <v>6</v>
      </c>
      <c r="D3819" t="str">
        <f t="shared" si="304"/>
        <v>June</v>
      </c>
      <c r="E3819">
        <f t="shared" si="305"/>
        <v>2027</v>
      </c>
      <c r="F3819" t="str">
        <f>CONCATENATE(calendar[[#This Row],[Month]],"/",calendar[[#This Row],[Year]])</f>
        <v>6/2027</v>
      </c>
      <c r="G3819">
        <f>WEEKDAY(calendar[[#This Row],[Date]],1)</f>
        <v>3</v>
      </c>
      <c r="H3819" t="str">
        <f>TEXT(calendar[[#This Row],[WeekDay]],"dddd")</f>
        <v>Tuesday</v>
      </c>
      <c r="I3819">
        <f>IF((INT(calendar[[#This Row],[Count]]/7)-calendar[[#This Row],[Count]]/7)&lt;0,I3818,I3818+1)</f>
        <v>546</v>
      </c>
      <c r="J3819">
        <f t="shared" si="302"/>
        <v>3817</v>
      </c>
      <c r="K3819">
        <f>IF(calendar[[#This Row],[Month]]&lt;4,1,IF(calendar[[#This Row],[Month]]&lt;7,2,IF(calendar[[#This Row],[Month]]&lt;10,3,4)))</f>
        <v>2</v>
      </c>
      <c r="L3819">
        <f>IFERROR(IF(VLOOKUP(calendar[[#This Row],[Date]],BH!A:A,1,)&lt;&gt;"",1,0),0)</f>
        <v>0</v>
      </c>
      <c r="M3819">
        <f>IFERROR(IF(VLOOKUP(calendar[[#This Row],[Date]],BH!C:C,1,)&lt;&gt;"",1,0),0)</f>
        <v>0</v>
      </c>
      <c r="N3819">
        <f>IFERROR(IF(VLOOKUP(calendar[[#This Row],[Date]],BH!E:E,1,)&lt;&gt;"",1,0),0)</f>
        <v>0</v>
      </c>
      <c r="O3819">
        <f>IFERROR(IF(VLOOKUP(calendar[[#This Row],[Date]],BH!G:G,1,)&lt;&gt;"",1,0),0)</f>
        <v>0</v>
      </c>
      <c r="P3819">
        <f>IF(OR(calendar[[#This Row],[UK_BH]]=1,calendar[[#This Row],[WeekDay]]=1, calendar[[#This Row],[WeekDay]]=7),P3818,P3818+1)</f>
        <v>2706</v>
      </c>
      <c r="Q3819">
        <f>IF(OR(calendar[[#This Row],[FR_BH]]=1,calendar[[#This Row],[WeekDay]]=1, calendar[[#This Row],[WeekDay]]=7),P3818,P3818+1)</f>
        <v>2706</v>
      </c>
      <c r="R3819">
        <f>IF(OR(calendar[[#This Row],[SP_BH]]=1,calendar[[#This Row],[WeekDay]]=1, calendar[[#This Row],[WeekDay]]=7),P3818,P3818+1)</f>
        <v>2706</v>
      </c>
      <c r="S3819">
        <f>IF(OR(calendar[[#This Row],[PT_BH]]=1,calendar[[#This Row],[WeekDay]]=1, calendar[[#This Row],[WeekDay]]=7),P3818,P3818+1)</f>
        <v>2706</v>
      </c>
    </row>
    <row r="3820" spans="1:19" x14ac:dyDescent="0.25">
      <c r="A3820" s="2">
        <v>46554</v>
      </c>
      <c r="B3820" s="1">
        <f t="shared" si="301"/>
        <v>25</v>
      </c>
      <c r="C3820">
        <f t="shared" si="303"/>
        <v>6</v>
      </c>
      <c r="D3820" t="str">
        <f t="shared" si="304"/>
        <v>June</v>
      </c>
      <c r="E3820">
        <f t="shared" si="305"/>
        <v>2027</v>
      </c>
      <c r="F3820" t="str">
        <f>CONCATENATE(calendar[[#This Row],[Month]],"/",calendar[[#This Row],[Year]])</f>
        <v>6/2027</v>
      </c>
      <c r="G3820">
        <f>WEEKDAY(calendar[[#This Row],[Date]],1)</f>
        <v>4</v>
      </c>
      <c r="H3820" t="str">
        <f>TEXT(calendar[[#This Row],[WeekDay]],"dddd")</f>
        <v>Wednesday</v>
      </c>
      <c r="I3820">
        <f>IF((INT(calendar[[#This Row],[Count]]/7)-calendar[[#This Row],[Count]]/7)&lt;0,I3819,I3819+1)</f>
        <v>546</v>
      </c>
      <c r="J3820">
        <f t="shared" si="302"/>
        <v>3818</v>
      </c>
      <c r="K3820">
        <f>IF(calendar[[#This Row],[Month]]&lt;4,1,IF(calendar[[#This Row],[Month]]&lt;7,2,IF(calendar[[#This Row],[Month]]&lt;10,3,4)))</f>
        <v>2</v>
      </c>
      <c r="L3820">
        <f>IFERROR(IF(VLOOKUP(calendar[[#This Row],[Date]],BH!A:A,1,)&lt;&gt;"",1,0),0)</f>
        <v>0</v>
      </c>
      <c r="M3820">
        <f>IFERROR(IF(VLOOKUP(calendar[[#This Row],[Date]],BH!C:C,1,)&lt;&gt;"",1,0),0)</f>
        <v>0</v>
      </c>
      <c r="N3820">
        <f>IFERROR(IF(VLOOKUP(calendar[[#This Row],[Date]],BH!E:E,1,)&lt;&gt;"",1,0),0)</f>
        <v>0</v>
      </c>
      <c r="O3820">
        <f>IFERROR(IF(VLOOKUP(calendar[[#This Row],[Date]],BH!G:G,1,)&lt;&gt;"",1,0),0)</f>
        <v>0</v>
      </c>
      <c r="P3820">
        <f>IF(OR(calendar[[#This Row],[UK_BH]]=1,calendar[[#This Row],[WeekDay]]=1, calendar[[#This Row],[WeekDay]]=7),P3819,P3819+1)</f>
        <v>2707</v>
      </c>
      <c r="Q3820">
        <f>IF(OR(calendar[[#This Row],[FR_BH]]=1,calendar[[#This Row],[WeekDay]]=1, calendar[[#This Row],[WeekDay]]=7),P3819,P3819+1)</f>
        <v>2707</v>
      </c>
      <c r="R3820">
        <f>IF(OR(calendar[[#This Row],[SP_BH]]=1,calendar[[#This Row],[WeekDay]]=1, calendar[[#This Row],[WeekDay]]=7),P3819,P3819+1)</f>
        <v>2707</v>
      </c>
      <c r="S3820">
        <f>IF(OR(calendar[[#This Row],[PT_BH]]=1,calendar[[#This Row],[WeekDay]]=1, calendar[[#This Row],[WeekDay]]=7),P3819,P3819+1)</f>
        <v>2707</v>
      </c>
    </row>
    <row r="3821" spans="1:19" x14ac:dyDescent="0.25">
      <c r="A3821" s="2">
        <v>46555</v>
      </c>
      <c r="B3821" s="1">
        <f t="shared" si="301"/>
        <v>25</v>
      </c>
      <c r="C3821">
        <f t="shared" si="303"/>
        <v>6</v>
      </c>
      <c r="D3821" t="str">
        <f t="shared" si="304"/>
        <v>June</v>
      </c>
      <c r="E3821">
        <f t="shared" si="305"/>
        <v>2027</v>
      </c>
      <c r="F3821" t="str">
        <f>CONCATENATE(calendar[[#This Row],[Month]],"/",calendar[[#This Row],[Year]])</f>
        <v>6/2027</v>
      </c>
      <c r="G3821">
        <f>WEEKDAY(calendar[[#This Row],[Date]],1)</f>
        <v>5</v>
      </c>
      <c r="H3821" t="str">
        <f>TEXT(calendar[[#This Row],[WeekDay]],"dddd")</f>
        <v>Thursday</v>
      </c>
      <c r="I3821">
        <f>IF((INT(calendar[[#This Row],[Count]]/7)-calendar[[#This Row],[Count]]/7)&lt;0,I3820,I3820+1)</f>
        <v>546</v>
      </c>
      <c r="J3821">
        <f t="shared" si="302"/>
        <v>3819</v>
      </c>
      <c r="K3821">
        <f>IF(calendar[[#This Row],[Month]]&lt;4,1,IF(calendar[[#This Row],[Month]]&lt;7,2,IF(calendar[[#This Row],[Month]]&lt;10,3,4)))</f>
        <v>2</v>
      </c>
      <c r="L3821">
        <f>IFERROR(IF(VLOOKUP(calendar[[#This Row],[Date]],BH!A:A,1,)&lt;&gt;"",1,0),0)</f>
        <v>0</v>
      </c>
      <c r="M3821">
        <f>IFERROR(IF(VLOOKUP(calendar[[#This Row],[Date]],BH!C:C,1,)&lt;&gt;"",1,0),0)</f>
        <v>0</v>
      </c>
      <c r="N3821">
        <f>IFERROR(IF(VLOOKUP(calendar[[#This Row],[Date]],BH!E:E,1,)&lt;&gt;"",1,0),0)</f>
        <v>0</v>
      </c>
      <c r="O3821">
        <f>IFERROR(IF(VLOOKUP(calendar[[#This Row],[Date]],BH!G:G,1,)&lt;&gt;"",1,0),0)</f>
        <v>0</v>
      </c>
      <c r="P3821">
        <f>IF(OR(calendar[[#This Row],[UK_BH]]=1,calendar[[#This Row],[WeekDay]]=1, calendar[[#This Row],[WeekDay]]=7),P3820,P3820+1)</f>
        <v>2708</v>
      </c>
      <c r="Q3821">
        <f>IF(OR(calendar[[#This Row],[FR_BH]]=1,calendar[[#This Row],[WeekDay]]=1, calendar[[#This Row],[WeekDay]]=7),P3820,P3820+1)</f>
        <v>2708</v>
      </c>
      <c r="R3821">
        <f>IF(OR(calendar[[#This Row],[SP_BH]]=1,calendar[[#This Row],[WeekDay]]=1, calendar[[#This Row],[WeekDay]]=7),P3820,P3820+1)</f>
        <v>2708</v>
      </c>
      <c r="S3821">
        <f>IF(OR(calendar[[#This Row],[PT_BH]]=1,calendar[[#This Row],[WeekDay]]=1, calendar[[#This Row],[WeekDay]]=7),P3820,P3820+1)</f>
        <v>2708</v>
      </c>
    </row>
    <row r="3822" spans="1:19" x14ac:dyDescent="0.25">
      <c r="A3822" s="2">
        <v>46556</v>
      </c>
      <c r="B3822" s="1">
        <f t="shared" si="301"/>
        <v>25</v>
      </c>
      <c r="C3822">
        <f t="shared" si="303"/>
        <v>6</v>
      </c>
      <c r="D3822" t="str">
        <f t="shared" si="304"/>
        <v>June</v>
      </c>
      <c r="E3822">
        <f t="shared" si="305"/>
        <v>2027</v>
      </c>
      <c r="F3822" t="str">
        <f>CONCATENATE(calendar[[#This Row],[Month]],"/",calendar[[#This Row],[Year]])</f>
        <v>6/2027</v>
      </c>
      <c r="G3822">
        <f>WEEKDAY(calendar[[#This Row],[Date]],1)</f>
        <v>6</v>
      </c>
      <c r="H3822" t="str">
        <f>TEXT(calendar[[#This Row],[WeekDay]],"dddd")</f>
        <v>Friday</v>
      </c>
      <c r="I3822">
        <f>IF((INT(calendar[[#This Row],[Count]]/7)-calendar[[#This Row],[Count]]/7)&lt;0,I3821,I3821+1)</f>
        <v>546</v>
      </c>
      <c r="J3822">
        <f t="shared" si="302"/>
        <v>3820</v>
      </c>
      <c r="K3822">
        <f>IF(calendar[[#This Row],[Month]]&lt;4,1,IF(calendar[[#This Row],[Month]]&lt;7,2,IF(calendar[[#This Row],[Month]]&lt;10,3,4)))</f>
        <v>2</v>
      </c>
      <c r="L3822">
        <f>IFERROR(IF(VLOOKUP(calendar[[#This Row],[Date]],BH!A:A,1,)&lt;&gt;"",1,0),0)</f>
        <v>0</v>
      </c>
      <c r="M3822">
        <f>IFERROR(IF(VLOOKUP(calendar[[#This Row],[Date]],BH!C:C,1,)&lt;&gt;"",1,0),0)</f>
        <v>0</v>
      </c>
      <c r="N3822">
        <f>IFERROR(IF(VLOOKUP(calendar[[#This Row],[Date]],BH!E:E,1,)&lt;&gt;"",1,0),0)</f>
        <v>0</v>
      </c>
      <c r="O3822">
        <f>IFERROR(IF(VLOOKUP(calendar[[#This Row],[Date]],BH!G:G,1,)&lt;&gt;"",1,0),0)</f>
        <v>0</v>
      </c>
      <c r="P3822">
        <f>IF(OR(calendar[[#This Row],[UK_BH]]=1,calendar[[#This Row],[WeekDay]]=1, calendar[[#This Row],[WeekDay]]=7),P3821,P3821+1)</f>
        <v>2709</v>
      </c>
      <c r="Q3822">
        <f>IF(OR(calendar[[#This Row],[FR_BH]]=1,calendar[[#This Row],[WeekDay]]=1, calendar[[#This Row],[WeekDay]]=7),P3821,P3821+1)</f>
        <v>2709</v>
      </c>
      <c r="R3822">
        <f>IF(OR(calendar[[#This Row],[SP_BH]]=1,calendar[[#This Row],[WeekDay]]=1, calendar[[#This Row],[WeekDay]]=7),P3821,P3821+1)</f>
        <v>2709</v>
      </c>
      <c r="S3822">
        <f>IF(OR(calendar[[#This Row],[PT_BH]]=1,calendar[[#This Row],[WeekDay]]=1, calendar[[#This Row],[WeekDay]]=7),P3821,P3821+1)</f>
        <v>2709</v>
      </c>
    </row>
    <row r="3823" spans="1:19" x14ac:dyDescent="0.25">
      <c r="A3823" s="2">
        <v>46557</v>
      </c>
      <c r="B3823" s="1">
        <f t="shared" si="301"/>
        <v>25</v>
      </c>
      <c r="C3823">
        <f t="shared" si="303"/>
        <v>6</v>
      </c>
      <c r="D3823" t="str">
        <f t="shared" si="304"/>
        <v>June</v>
      </c>
      <c r="E3823">
        <f t="shared" si="305"/>
        <v>2027</v>
      </c>
      <c r="F3823" t="str">
        <f>CONCATENATE(calendar[[#This Row],[Month]],"/",calendar[[#This Row],[Year]])</f>
        <v>6/2027</v>
      </c>
      <c r="G3823">
        <f>WEEKDAY(calendar[[#This Row],[Date]],1)</f>
        <v>7</v>
      </c>
      <c r="H3823" t="str">
        <f>TEXT(calendar[[#This Row],[WeekDay]],"dddd")</f>
        <v>Saturday</v>
      </c>
      <c r="I3823">
        <f>IF((INT(calendar[[#This Row],[Count]]/7)-calendar[[#This Row],[Count]]/7)&lt;0,I3822,I3822+1)</f>
        <v>546</v>
      </c>
      <c r="J3823">
        <f t="shared" si="302"/>
        <v>3821</v>
      </c>
      <c r="K3823">
        <f>IF(calendar[[#This Row],[Month]]&lt;4,1,IF(calendar[[#This Row],[Month]]&lt;7,2,IF(calendar[[#This Row],[Month]]&lt;10,3,4)))</f>
        <v>2</v>
      </c>
      <c r="L3823">
        <f>IFERROR(IF(VLOOKUP(calendar[[#This Row],[Date]],BH!A:A,1,)&lt;&gt;"",1,0),0)</f>
        <v>0</v>
      </c>
      <c r="M3823">
        <f>IFERROR(IF(VLOOKUP(calendar[[#This Row],[Date]],BH!C:C,1,)&lt;&gt;"",1,0),0)</f>
        <v>0</v>
      </c>
      <c r="N3823">
        <f>IFERROR(IF(VLOOKUP(calendar[[#This Row],[Date]],BH!E:E,1,)&lt;&gt;"",1,0),0)</f>
        <v>0</v>
      </c>
      <c r="O3823">
        <f>IFERROR(IF(VLOOKUP(calendar[[#This Row],[Date]],BH!G:G,1,)&lt;&gt;"",1,0),0)</f>
        <v>0</v>
      </c>
      <c r="P3823">
        <f>IF(OR(calendar[[#This Row],[UK_BH]]=1,calendar[[#This Row],[WeekDay]]=1, calendar[[#This Row],[WeekDay]]=7),P3822,P3822+1)</f>
        <v>2709</v>
      </c>
      <c r="Q3823">
        <f>IF(OR(calendar[[#This Row],[FR_BH]]=1,calendar[[#This Row],[WeekDay]]=1, calendar[[#This Row],[WeekDay]]=7),P3822,P3822+1)</f>
        <v>2709</v>
      </c>
      <c r="R3823">
        <f>IF(OR(calendar[[#This Row],[SP_BH]]=1,calendar[[#This Row],[WeekDay]]=1, calendar[[#This Row],[WeekDay]]=7),P3822,P3822+1)</f>
        <v>2709</v>
      </c>
      <c r="S3823">
        <f>IF(OR(calendar[[#This Row],[PT_BH]]=1,calendar[[#This Row],[WeekDay]]=1, calendar[[#This Row],[WeekDay]]=7),P3822,P3822+1)</f>
        <v>2709</v>
      </c>
    </row>
    <row r="3824" spans="1:19" x14ac:dyDescent="0.25">
      <c r="A3824" s="2">
        <v>46558</v>
      </c>
      <c r="B3824" s="1">
        <f t="shared" si="301"/>
        <v>26</v>
      </c>
      <c r="C3824">
        <f t="shared" si="303"/>
        <v>6</v>
      </c>
      <c r="D3824" t="str">
        <f t="shared" si="304"/>
        <v>June</v>
      </c>
      <c r="E3824">
        <f t="shared" si="305"/>
        <v>2027</v>
      </c>
      <c r="F3824" t="str">
        <f>CONCATENATE(calendar[[#This Row],[Month]],"/",calendar[[#This Row],[Year]])</f>
        <v>6/2027</v>
      </c>
      <c r="G3824">
        <f>WEEKDAY(calendar[[#This Row],[Date]],1)</f>
        <v>1</v>
      </c>
      <c r="H3824" t="str">
        <f>TEXT(calendar[[#This Row],[WeekDay]],"dddd")</f>
        <v>Sunday</v>
      </c>
      <c r="I3824">
        <f>IF((INT(calendar[[#This Row],[Count]]/7)-calendar[[#This Row],[Count]]/7)&lt;0,I3823,I3823+1)</f>
        <v>547</v>
      </c>
      <c r="J3824">
        <f t="shared" si="302"/>
        <v>3822</v>
      </c>
      <c r="K3824">
        <f>IF(calendar[[#This Row],[Month]]&lt;4,1,IF(calendar[[#This Row],[Month]]&lt;7,2,IF(calendar[[#This Row],[Month]]&lt;10,3,4)))</f>
        <v>2</v>
      </c>
      <c r="L3824">
        <f>IFERROR(IF(VLOOKUP(calendar[[#This Row],[Date]],BH!A:A,1,)&lt;&gt;"",1,0),0)</f>
        <v>0</v>
      </c>
      <c r="M3824">
        <f>IFERROR(IF(VLOOKUP(calendar[[#This Row],[Date]],BH!C:C,1,)&lt;&gt;"",1,0),0)</f>
        <v>0</v>
      </c>
      <c r="N3824">
        <f>IFERROR(IF(VLOOKUP(calendar[[#This Row],[Date]],BH!E:E,1,)&lt;&gt;"",1,0),0)</f>
        <v>0</v>
      </c>
      <c r="O3824">
        <f>IFERROR(IF(VLOOKUP(calendar[[#This Row],[Date]],BH!G:G,1,)&lt;&gt;"",1,0),0)</f>
        <v>0</v>
      </c>
      <c r="P3824">
        <f>IF(OR(calendar[[#This Row],[UK_BH]]=1,calendar[[#This Row],[WeekDay]]=1, calendar[[#This Row],[WeekDay]]=7),P3823,P3823+1)</f>
        <v>2709</v>
      </c>
      <c r="Q3824">
        <f>IF(OR(calendar[[#This Row],[FR_BH]]=1,calendar[[#This Row],[WeekDay]]=1, calendar[[#This Row],[WeekDay]]=7),P3823,P3823+1)</f>
        <v>2709</v>
      </c>
      <c r="R3824">
        <f>IF(OR(calendar[[#This Row],[SP_BH]]=1,calendar[[#This Row],[WeekDay]]=1, calendar[[#This Row],[WeekDay]]=7),P3823,P3823+1)</f>
        <v>2709</v>
      </c>
      <c r="S3824">
        <f>IF(OR(calendar[[#This Row],[PT_BH]]=1,calendar[[#This Row],[WeekDay]]=1, calendar[[#This Row],[WeekDay]]=7),P3823,P3823+1)</f>
        <v>2709</v>
      </c>
    </row>
    <row r="3825" spans="1:19" x14ac:dyDescent="0.25">
      <c r="A3825" s="2">
        <v>46559</v>
      </c>
      <c r="B3825" s="1">
        <f t="shared" si="301"/>
        <v>26</v>
      </c>
      <c r="C3825">
        <f t="shared" si="303"/>
        <v>6</v>
      </c>
      <c r="D3825" t="str">
        <f t="shared" si="304"/>
        <v>June</v>
      </c>
      <c r="E3825">
        <f t="shared" si="305"/>
        <v>2027</v>
      </c>
      <c r="F3825" t="str">
        <f>CONCATENATE(calendar[[#This Row],[Month]],"/",calendar[[#This Row],[Year]])</f>
        <v>6/2027</v>
      </c>
      <c r="G3825">
        <f>WEEKDAY(calendar[[#This Row],[Date]],1)</f>
        <v>2</v>
      </c>
      <c r="H3825" t="str">
        <f>TEXT(calendar[[#This Row],[WeekDay]],"dddd")</f>
        <v>Monday</v>
      </c>
      <c r="I3825">
        <f>IF((INT(calendar[[#This Row],[Count]]/7)-calendar[[#This Row],[Count]]/7)&lt;0,I3824,I3824+1)</f>
        <v>547</v>
      </c>
      <c r="J3825">
        <f t="shared" si="302"/>
        <v>3823</v>
      </c>
      <c r="K3825">
        <f>IF(calendar[[#This Row],[Month]]&lt;4,1,IF(calendar[[#This Row],[Month]]&lt;7,2,IF(calendar[[#This Row],[Month]]&lt;10,3,4)))</f>
        <v>2</v>
      </c>
      <c r="L3825">
        <f>IFERROR(IF(VLOOKUP(calendar[[#This Row],[Date]],BH!A:A,1,)&lt;&gt;"",1,0),0)</f>
        <v>0</v>
      </c>
      <c r="M3825">
        <f>IFERROR(IF(VLOOKUP(calendar[[#This Row],[Date]],BH!C:C,1,)&lt;&gt;"",1,0),0)</f>
        <v>0</v>
      </c>
      <c r="N3825">
        <f>IFERROR(IF(VLOOKUP(calendar[[#This Row],[Date]],BH!E:E,1,)&lt;&gt;"",1,0),0)</f>
        <v>0</v>
      </c>
      <c r="O3825">
        <f>IFERROR(IF(VLOOKUP(calendar[[#This Row],[Date]],BH!G:G,1,)&lt;&gt;"",1,0),0)</f>
        <v>0</v>
      </c>
      <c r="P3825">
        <f>IF(OR(calendar[[#This Row],[UK_BH]]=1,calendar[[#This Row],[WeekDay]]=1, calendar[[#This Row],[WeekDay]]=7),P3824,P3824+1)</f>
        <v>2710</v>
      </c>
      <c r="Q3825">
        <f>IF(OR(calendar[[#This Row],[FR_BH]]=1,calendar[[#This Row],[WeekDay]]=1, calendar[[#This Row],[WeekDay]]=7),P3824,P3824+1)</f>
        <v>2710</v>
      </c>
      <c r="R3825">
        <f>IF(OR(calendar[[#This Row],[SP_BH]]=1,calendar[[#This Row],[WeekDay]]=1, calendar[[#This Row],[WeekDay]]=7),P3824,P3824+1)</f>
        <v>2710</v>
      </c>
      <c r="S3825">
        <f>IF(OR(calendar[[#This Row],[PT_BH]]=1,calendar[[#This Row],[WeekDay]]=1, calendar[[#This Row],[WeekDay]]=7),P3824,P3824+1)</f>
        <v>2710</v>
      </c>
    </row>
    <row r="3826" spans="1:19" x14ac:dyDescent="0.25">
      <c r="A3826" s="2">
        <v>46560</v>
      </c>
      <c r="B3826" s="1">
        <f t="shared" si="301"/>
        <v>26</v>
      </c>
      <c r="C3826">
        <f t="shared" si="303"/>
        <v>6</v>
      </c>
      <c r="D3826" t="str">
        <f t="shared" si="304"/>
        <v>June</v>
      </c>
      <c r="E3826">
        <f t="shared" si="305"/>
        <v>2027</v>
      </c>
      <c r="F3826" t="str">
        <f>CONCATENATE(calendar[[#This Row],[Month]],"/",calendar[[#This Row],[Year]])</f>
        <v>6/2027</v>
      </c>
      <c r="G3826">
        <f>WEEKDAY(calendar[[#This Row],[Date]],1)</f>
        <v>3</v>
      </c>
      <c r="H3826" t="str">
        <f>TEXT(calendar[[#This Row],[WeekDay]],"dddd")</f>
        <v>Tuesday</v>
      </c>
      <c r="I3826">
        <f>IF((INT(calendar[[#This Row],[Count]]/7)-calendar[[#This Row],[Count]]/7)&lt;0,I3825,I3825+1)</f>
        <v>547</v>
      </c>
      <c r="J3826">
        <f t="shared" si="302"/>
        <v>3824</v>
      </c>
      <c r="K3826">
        <f>IF(calendar[[#This Row],[Month]]&lt;4,1,IF(calendar[[#This Row],[Month]]&lt;7,2,IF(calendar[[#This Row],[Month]]&lt;10,3,4)))</f>
        <v>2</v>
      </c>
      <c r="L3826">
        <f>IFERROR(IF(VLOOKUP(calendar[[#This Row],[Date]],BH!A:A,1,)&lt;&gt;"",1,0),0)</f>
        <v>0</v>
      </c>
      <c r="M3826">
        <f>IFERROR(IF(VLOOKUP(calendar[[#This Row],[Date]],BH!C:C,1,)&lt;&gt;"",1,0),0)</f>
        <v>0</v>
      </c>
      <c r="N3826">
        <f>IFERROR(IF(VLOOKUP(calendar[[#This Row],[Date]],BH!E:E,1,)&lt;&gt;"",1,0),0)</f>
        <v>0</v>
      </c>
      <c r="O3826">
        <f>IFERROR(IF(VLOOKUP(calendar[[#This Row],[Date]],BH!G:G,1,)&lt;&gt;"",1,0),0)</f>
        <v>0</v>
      </c>
      <c r="P3826">
        <f>IF(OR(calendar[[#This Row],[UK_BH]]=1,calendar[[#This Row],[WeekDay]]=1, calendar[[#This Row],[WeekDay]]=7),P3825,P3825+1)</f>
        <v>2711</v>
      </c>
      <c r="Q3826">
        <f>IF(OR(calendar[[#This Row],[FR_BH]]=1,calendar[[#This Row],[WeekDay]]=1, calendar[[#This Row],[WeekDay]]=7),P3825,P3825+1)</f>
        <v>2711</v>
      </c>
      <c r="R3826">
        <f>IF(OR(calendar[[#This Row],[SP_BH]]=1,calendar[[#This Row],[WeekDay]]=1, calendar[[#This Row],[WeekDay]]=7),P3825,P3825+1)</f>
        <v>2711</v>
      </c>
      <c r="S3826">
        <f>IF(OR(calendar[[#This Row],[PT_BH]]=1,calendar[[#This Row],[WeekDay]]=1, calendar[[#This Row],[WeekDay]]=7),P3825,P3825+1)</f>
        <v>2711</v>
      </c>
    </row>
    <row r="3827" spans="1:19" x14ac:dyDescent="0.25">
      <c r="A3827" s="2">
        <v>46561</v>
      </c>
      <c r="B3827" s="1">
        <f t="shared" si="301"/>
        <v>26</v>
      </c>
      <c r="C3827">
        <f t="shared" si="303"/>
        <v>6</v>
      </c>
      <c r="D3827" t="str">
        <f t="shared" si="304"/>
        <v>June</v>
      </c>
      <c r="E3827">
        <f t="shared" si="305"/>
        <v>2027</v>
      </c>
      <c r="F3827" t="str">
        <f>CONCATENATE(calendar[[#This Row],[Month]],"/",calendar[[#This Row],[Year]])</f>
        <v>6/2027</v>
      </c>
      <c r="G3827">
        <f>WEEKDAY(calendar[[#This Row],[Date]],1)</f>
        <v>4</v>
      </c>
      <c r="H3827" t="str">
        <f>TEXT(calendar[[#This Row],[WeekDay]],"dddd")</f>
        <v>Wednesday</v>
      </c>
      <c r="I3827">
        <f>IF((INT(calendar[[#This Row],[Count]]/7)-calendar[[#This Row],[Count]]/7)&lt;0,I3826,I3826+1)</f>
        <v>547</v>
      </c>
      <c r="J3827">
        <f t="shared" si="302"/>
        <v>3825</v>
      </c>
      <c r="K3827">
        <f>IF(calendar[[#This Row],[Month]]&lt;4,1,IF(calendar[[#This Row],[Month]]&lt;7,2,IF(calendar[[#This Row],[Month]]&lt;10,3,4)))</f>
        <v>2</v>
      </c>
      <c r="L3827">
        <f>IFERROR(IF(VLOOKUP(calendar[[#This Row],[Date]],BH!A:A,1,)&lt;&gt;"",1,0),0)</f>
        <v>0</v>
      </c>
      <c r="M3827">
        <f>IFERROR(IF(VLOOKUP(calendar[[#This Row],[Date]],BH!C:C,1,)&lt;&gt;"",1,0),0)</f>
        <v>0</v>
      </c>
      <c r="N3827">
        <f>IFERROR(IF(VLOOKUP(calendar[[#This Row],[Date]],BH!E:E,1,)&lt;&gt;"",1,0),0)</f>
        <v>0</v>
      </c>
      <c r="O3827">
        <f>IFERROR(IF(VLOOKUP(calendar[[#This Row],[Date]],BH!G:G,1,)&lt;&gt;"",1,0),0)</f>
        <v>0</v>
      </c>
      <c r="P3827">
        <f>IF(OR(calendar[[#This Row],[UK_BH]]=1,calendar[[#This Row],[WeekDay]]=1, calendar[[#This Row],[WeekDay]]=7),P3826,P3826+1)</f>
        <v>2712</v>
      </c>
      <c r="Q3827">
        <f>IF(OR(calendar[[#This Row],[FR_BH]]=1,calendar[[#This Row],[WeekDay]]=1, calendar[[#This Row],[WeekDay]]=7),P3826,P3826+1)</f>
        <v>2712</v>
      </c>
      <c r="R3827">
        <f>IF(OR(calendar[[#This Row],[SP_BH]]=1,calendar[[#This Row],[WeekDay]]=1, calendar[[#This Row],[WeekDay]]=7),P3826,P3826+1)</f>
        <v>2712</v>
      </c>
      <c r="S3827">
        <f>IF(OR(calendar[[#This Row],[PT_BH]]=1,calendar[[#This Row],[WeekDay]]=1, calendar[[#This Row],[WeekDay]]=7),P3826,P3826+1)</f>
        <v>2712</v>
      </c>
    </row>
    <row r="3828" spans="1:19" x14ac:dyDescent="0.25">
      <c r="A3828" s="2">
        <v>46562</v>
      </c>
      <c r="B3828" s="1">
        <f t="shared" si="301"/>
        <v>26</v>
      </c>
      <c r="C3828">
        <f t="shared" si="303"/>
        <v>6</v>
      </c>
      <c r="D3828" t="str">
        <f t="shared" si="304"/>
        <v>June</v>
      </c>
      <c r="E3828">
        <f t="shared" si="305"/>
        <v>2027</v>
      </c>
      <c r="F3828" t="str">
        <f>CONCATENATE(calendar[[#This Row],[Month]],"/",calendar[[#This Row],[Year]])</f>
        <v>6/2027</v>
      </c>
      <c r="G3828">
        <f>WEEKDAY(calendar[[#This Row],[Date]],1)</f>
        <v>5</v>
      </c>
      <c r="H3828" t="str">
        <f>TEXT(calendar[[#This Row],[WeekDay]],"dddd")</f>
        <v>Thursday</v>
      </c>
      <c r="I3828">
        <f>IF((INT(calendar[[#This Row],[Count]]/7)-calendar[[#This Row],[Count]]/7)&lt;0,I3827,I3827+1)</f>
        <v>547</v>
      </c>
      <c r="J3828">
        <f t="shared" si="302"/>
        <v>3826</v>
      </c>
      <c r="K3828">
        <f>IF(calendar[[#This Row],[Month]]&lt;4,1,IF(calendar[[#This Row],[Month]]&lt;7,2,IF(calendar[[#This Row],[Month]]&lt;10,3,4)))</f>
        <v>2</v>
      </c>
      <c r="L3828">
        <f>IFERROR(IF(VLOOKUP(calendar[[#This Row],[Date]],BH!A:A,1,)&lt;&gt;"",1,0),0)</f>
        <v>0</v>
      </c>
      <c r="M3828">
        <f>IFERROR(IF(VLOOKUP(calendar[[#This Row],[Date]],BH!C:C,1,)&lt;&gt;"",1,0),0)</f>
        <v>0</v>
      </c>
      <c r="N3828">
        <f>IFERROR(IF(VLOOKUP(calendar[[#This Row],[Date]],BH!E:E,1,)&lt;&gt;"",1,0),0)</f>
        <v>1</v>
      </c>
      <c r="O3828">
        <f>IFERROR(IF(VLOOKUP(calendar[[#This Row],[Date]],BH!G:G,1,)&lt;&gt;"",1,0),0)</f>
        <v>0</v>
      </c>
      <c r="P3828">
        <f>IF(OR(calendar[[#This Row],[UK_BH]]=1,calendar[[#This Row],[WeekDay]]=1, calendar[[#This Row],[WeekDay]]=7),P3827,P3827+1)</f>
        <v>2713</v>
      </c>
      <c r="Q3828">
        <f>IF(OR(calendar[[#This Row],[FR_BH]]=1,calendar[[#This Row],[WeekDay]]=1, calendar[[#This Row],[WeekDay]]=7),P3827,P3827+1)</f>
        <v>2713</v>
      </c>
      <c r="R3828">
        <f>IF(OR(calendar[[#This Row],[SP_BH]]=1,calendar[[#This Row],[WeekDay]]=1, calendar[[#This Row],[WeekDay]]=7),P3827,P3827+1)</f>
        <v>2712</v>
      </c>
      <c r="S3828">
        <f>IF(OR(calendar[[#This Row],[PT_BH]]=1,calendar[[#This Row],[WeekDay]]=1, calendar[[#This Row],[WeekDay]]=7),P3827,P3827+1)</f>
        <v>2713</v>
      </c>
    </row>
    <row r="3829" spans="1:19" x14ac:dyDescent="0.25">
      <c r="A3829" s="2">
        <v>46563</v>
      </c>
      <c r="B3829" s="1">
        <f t="shared" si="301"/>
        <v>26</v>
      </c>
      <c r="C3829">
        <f t="shared" si="303"/>
        <v>6</v>
      </c>
      <c r="D3829" t="str">
        <f t="shared" si="304"/>
        <v>June</v>
      </c>
      <c r="E3829">
        <f t="shared" si="305"/>
        <v>2027</v>
      </c>
      <c r="F3829" t="str">
        <f>CONCATENATE(calendar[[#This Row],[Month]],"/",calendar[[#This Row],[Year]])</f>
        <v>6/2027</v>
      </c>
      <c r="G3829">
        <f>WEEKDAY(calendar[[#This Row],[Date]],1)</f>
        <v>6</v>
      </c>
      <c r="H3829" t="str">
        <f>TEXT(calendar[[#This Row],[WeekDay]],"dddd")</f>
        <v>Friday</v>
      </c>
      <c r="I3829">
        <f>IF((INT(calendar[[#This Row],[Count]]/7)-calendar[[#This Row],[Count]]/7)&lt;0,I3828,I3828+1)</f>
        <v>547</v>
      </c>
      <c r="J3829">
        <f t="shared" si="302"/>
        <v>3827</v>
      </c>
      <c r="K3829">
        <f>IF(calendar[[#This Row],[Month]]&lt;4,1,IF(calendar[[#This Row],[Month]]&lt;7,2,IF(calendar[[#This Row],[Month]]&lt;10,3,4)))</f>
        <v>2</v>
      </c>
      <c r="L3829">
        <f>IFERROR(IF(VLOOKUP(calendar[[#This Row],[Date]],BH!A:A,1,)&lt;&gt;"",1,0),0)</f>
        <v>0</v>
      </c>
      <c r="M3829">
        <f>IFERROR(IF(VLOOKUP(calendar[[#This Row],[Date]],BH!C:C,1,)&lt;&gt;"",1,0),0)</f>
        <v>0</v>
      </c>
      <c r="N3829">
        <f>IFERROR(IF(VLOOKUP(calendar[[#This Row],[Date]],BH!E:E,1,)&lt;&gt;"",1,0),0)</f>
        <v>0</v>
      </c>
      <c r="O3829">
        <f>IFERROR(IF(VLOOKUP(calendar[[#This Row],[Date]],BH!G:G,1,)&lt;&gt;"",1,0),0)</f>
        <v>0</v>
      </c>
      <c r="P3829">
        <f>IF(OR(calendar[[#This Row],[UK_BH]]=1,calendar[[#This Row],[WeekDay]]=1, calendar[[#This Row],[WeekDay]]=7),P3828,P3828+1)</f>
        <v>2714</v>
      </c>
      <c r="Q3829">
        <f>IF(OR(calendar[[#This Row],[FR_BH]]=1,calendar[[#This Row],[WeekDay]]=1, calendar[[#This Row],[WeekDay]]=7),P3828,P3828+1)</f>
        <v>2714</v>
      </c>
      <c r="R3829">
        <f>IF(OR(calendar[[#This Row],[SP_BH]]=1,calendar[[#This Row],[WeekDay]]=1, calendar[[#This Row],[WeekDay]]=7),P3828,P3828+1)</f>
        <v>2714</v>
      </c>
      <c r="S3829">
        <f>IF(OR(calendar[[#This Row],[PT_BH]]=1,calendar[[#This Row],[WeekDay]]=1, calendar[[#This Row],[WeekDay]]=7),P3828,P3828+1)</f>
        <v>2714</v>
      </c>
    </row>
    <row r="3830" spans="1:19" x14ac:dyDescent="0.25">
      <c r="A3830" s="2">
        <v>46564</v>
      </c>
      <c r="B3830" s="1">
        <f t="shared" si="301"/>
        <v>26</v>
      </c>
      <c r="C3830">
        <f t="shared" si="303"/>
        <v>6</v>
      </c>
      <c r="D3830" t="str">
        <f t="shared" si="304"/>
        <v>June</v>
      </c>
      <c r="E3830">
        <f t="shared" si="305"/>
        <v>2027</v>
      </c>
      <c r="F3830" t="str">
        <f>CONCATENATE(calendar[[#This Row],[Month]],"/",calendar[[#This Row],[Year]])</f>
        <v>6/2027</v>
      </c>
      <c r="G3830">
        <f>WEEKDAY(calendar[[#This Row],[Date]],1)</f>
        <v>7</v>
      </c>
      <c r="H3830" t="str">
        <f>TEXT(calendar[[#This Row],[WeekDay]],"dddd")</f>
        <v>Saturday</v>
      </c>
      <c r="I3830">
        <f>IF((INT(calendar[[#This Row],[Count]]/7)-calendar[[#This Row],[Count]]/7)&lt;0,I3829,I3829+1)</f>
        <v>547</v>
      </c>
      <c r="J3830">
        <f t="shared" si="302"/>
        <v>3828</v>
      </c>
      <c r="K3830">
        <f>IF(calendar[[#This Row],[Month]]&lt;4,1,IF(calendar[[#This Row],[Month]]&lt;7,2,IF(calendar[[#This Row],[Month]]&lt;10,3,4)))</f>
        <v>2</v>
      </c>
      <c r="L3830">
        <f>IFERROR(IF(VLOOKUP(calendar[[#This Row],[Date]],BH!A:A,1,)&lt;&gt;"",1,0),0)</f>
        <v>0</v>
      </c>
      <c r="M3830">
        <f>IFERROR(IF(VLOOKUP(calendar[[#This Row],[Date]],BH!C:C,1,)&lt;&gt;"",1,0),0)</f>
        <v>0</v>
      </c>
      <c r="N3830">
        <f>IFERROR(IF(VLOOKUP(calendar[[#This Row],[Date]],BH!E:E,1,)&lt;&gt;"",1,0),0)</f>
        <v>0</v>
      </c>
      <c r="O3830">
        <f>IFERROR(IF(VLOOKUP(calendar[[#This Row],[Date]],BH!G:G,1,)&lt;&gt;"",1,0),0)</f>
        <v>0</v>
      </c>
      <c r="P3830">
        <f>IF(OR(calendar[[#This Row],[UK_BH]]=1,calendar[[#This Row],[WeekDay]]=1, calendar[[#This Row],[WeekDay]]=7),P3829,P3829+1)</f>
        <v>2714</v>
      </c>
      <c r="Q3830">
        <f>IF(OR(calendar[[#This Row],[FR_BH]]=1,calendar[[#This Row],[WeekDay]]=1, calendar[[#This Row],[WeekDay]]=7),P3829,P3829+1)</f>
        <v>2714</v>
      </c>
      <c r="R3830">
        <f>IF(OR(calendar[[#This Row],[SP_BH]]=1,calendar[[#This Row],[WeekDay]]=1, calendar[[#This Row],[WeekDay]]=7),P3829,P3829+1)</f>
        <v>2714</v>
      </c>
      <c r="S3830">
        <f>IF(OR(calendar[[#This Row],[PT_BH]]=1,calendar[[#This Row],[WeekDay]]=1, calendar[[#This Row],[WeekDay]]=7),P3829,P3829+1)</f>
        <v>2714</v>
      </c>
    </row>
    <row r="3831" spans="1:19" x14ac:dyDescent="0.25">
      <c r="A3831" s="2">
        <v>46565</v>
      </c>
      <c r="B3831" s="1">
        <f t="shared" si="301"/>
        <v>27</v>
      </c>
      <c r="C3831">
        <f t="shared" si="303"/>
        <v>6</v>
      </c>
      <c r="D3831" t="str">
        <f t="shared" si="304"/>
        <v>June</v>
      </c>
      <c r="E3831">
        <f t="shared" si="305"/>
        <v>2027</v>
      </c>
      <c r="F3831" t="str">
        <f>CONCATENATE(calendar[[#This Row],[Month]],"/",calendar[[#This Row],[Year]])</f>
        <v>6/2027</v>
      </c>
      <c r="G3831">
        <f>WEEKDAY(calendar[[#This Row],[Date]],1)</f>
        <v>1</v>
      </c>
      <c r="H3831" t="str">
        <f>TEXT(calendar[[#This Row],[WeekDay]],"dddd")</f>
        <v>Sunday</v>
      </c>
      <c r="I3831">
        <f>IF((INT(calendar[[#This Row],[Count]]/7)-calendar[[#This Row],[Count]]/7)&lt;0,I3830,I3830+1)</f>
        <v>548</v>
      </c>
      <c r="J3831">
        <f t="shared" si="302"/>
        <v>3829</v>
      </c>
      <c r="K3831">
        <f>IF(calendar[[#This Row],[Month]]&lt;4,1,IF(calendar[[#This Row],[Month]]&lt;7,2,IF(calendar[[#This Row],[Month]]&lt;10,3,4)))</f>
        <v>2</v>
      </c>
      <c r="L3831">
        <f>IFERROR(IF(VLOOKUP(calendar[[#This Row],[Date]],BH!A:A,1,)&lt;&gt;"",1,0),0)</f>
        <v>0</v>
      </c>
      <c r="M3831">
        <f>IFERROR(IF(VLOOKUP(calendar[[#This Row],[Date]],BH!C:C,1,)&lt;&gt;"",1,0),0)</f>
        <v>0</v>
      </c>
      <c r="N3831">
        <f>IFERROR(IF(VLOOKUP(calendar[[#This Row],[Date]],BH!E:E,1,)&lt;&gt;"",1,0),0)</f>
        <v>0</v>
      </c>
      <c r="O3831">
        <f>IFERROR(IF(VLOOKUP(calendar[[#This Row],[Date]],BH!G:G,1,)&lt;&gt;"",1,0),0)</f>
        <v>0</v>
      </c>
      <c r="P3831">
        <f>IF(OR(calendar[[#This Row],[UK_BH]]=1,calendar[[#This Row],[WeekDay]]=1, calendar[[#This Row],[WeekDay]]=7),P3830,P3830+1)</f>
        <v>2714</v>
      </c>
      <c r="Q3831">
        <f>IF(OR(calendar[[#This Row],[FR_BH]]=1,calendar[[#This Row],[WeekDay]]=1, calendar[[#This Row],[WeekDay]]=7),P3830,P3830+1)</f>
        <v>2714</v>
      </c>
      <c r="R3831">
        <f>IF(OR(calendar[[#This Row],[SP_BH]]=1,calendar[[#This Row],[WeekDay]]=1, calendar[[#This Row],[WeekDay]]=7),P3830,P3830+1)</f>
        <v>2714</v>
      </c>
      <c r="S3831">
        <f>IF(OR(calendar[[#This Row],[PT_BH]]=1,calendar[[#This Row],[WeekDay]]=1, calendar[[#This Row],[WeekDay]]=7),P3830,P3830+1)</f>
        <v>2714</v>
      </c>
    </row>
    <row r="3832" spans="1:19" x14ac:dyDescent="0.25">
      <c r="A3832" s="2">
        <v>46566</v>
      </c>
      <c r="B3832" s="1">
        <f t="shared" si="301"/>
        <v>27</v>
      </c>
      <c r="C3832">
        <f t="shared" si="303"/>
        <v>6</v>
      </c>
      <c r="D3832" t="str">
        <f t="shared" si="304"/>
        <v>June</v>
      </c>
      <c r="E3832">
        <f t="shared" si="305"/>
        <v>2027</v>
      </c>
      <c r="F3832" t="str">
        <f>CONCATENATE(calendar[[#This Row],[Month]],"/",calendar[[#This Row],[Year]])</f>
        <v>6/2027</v>
      </c>
      <c r="G3832">
        <f>WEEKDAY(calendar[[#This Row],[Date]],1)</f>
        <v>2</v>
      </c>
      <c r="H3832" t="str">
        <f>TEXT(calendar[[#This Row],[WeekDay]],"dddd")</f>
        <v>Monday</v>
      </c>
      <c r="I3832">
        <f>IF((INT(calendar[[#This Row],[Count]]/7)-calendar[[#This Row],[Count]]/7)&lt;0,I3831,I3831+1)</f>
        <v>548</v>
      </c>
      <c r="J3832">
        <f t="shared" si="302"/>
        <v>3830</v>
      </c>
      <c r="K3832">
        <f>IF(calendar[[#This Row],[Month]]&lt;4,1,IF(calendar[[#This Row],[Month]]&lt;7,2,IF(calendar[[#This Row],[Month]]&lt;10,3,4)))</f>
        <v>2</v>
      </c>
      <c r="L3832">
        <f>IFERROR(IF(VLOOKUP(calendar[[#This Row],[Date]],BH!A:A,1,)&lt;&gt;"",1,0),0)</f>
        <v>0</v>
      </c>
      <c r="M3832">
        <f>IFERROR(IF(VLOOKUP(calendar[[#This Row],[Date]],BH!C:C,1,)&lt;&gt;"",1,0),0)</f>
        <v>0</v>
      </c>
      <c r="N3832">
        <f>IFERROR(IF(VLOOKUP(calendar[[#This Row],[Date]],BH!E:E,1,)&lt;&gt;"",1,0),0)</f>
        <v>0</v>
      </c>
      <c r="O3832">
        <f>IFERROR(IF(VLOOKUP(calendar[[#This Row],[Date]],BH!G:G,1,)&lt;&gt;"",1,0),0)</f>
        <v>0</v>
      </c>
      <c r="P3832">
        <f>IF(OR(calendar[[#This Row],[UK_BH]]=1,calendar[[#This Row],[WeekDay]]=1, calendar[[#This Row],[WeekDay]]=7),P3831,P3831+1)</f>
        <v>2715</v>
      </c>
      <c r="Q3832">
        <f>IF(OR(calendar[[#This Row],[FR_BH]]=1,calendar[[#This Row],[WeekDay]]=1, calendar[[#This Row],[WeekDay]]=7),P3831,P3831+1)</f>
        <v>2715</v>
      </c>
      <c r="R3832">
        <f>IF(OR(calendar[[#This Row],[SP_BH]]=1,calendar[[#This Row],[WeekDay]]=1, calendar[[#This Row],[WeekDay]]=7),P3831,P3831+1)</f>
        <v>2715</v>
      </c>
      <c r="S3832">
        <f>IF(OR(calendar[[#This Row],[PT_BH]]=1,calendar[[#This Row],[WeekDay]]=1, calendar[[#This Row],[WeekDay]]=7),P3831,P3831+1)</f>
        <v>2715</v>
      </c>
    </row>
    <row r="3833" spans="1:19" x14ac:dyDescent="0.25">
      <c r="A3833" s="2">
        <v>46567</v>
      </c>
      <c r="B3833" s="1">
        <f t="shared" si="301"/>
        <v>27</v>
      </c>
      <c r="C3833">
        <f t="shared" si="303"/>
        <v>6</v>
      </c>
      <c r="D3833" t="str">
        <f t="shared" si="304"/>
        <v>June</v>
      </c>
      <c r="E3833">
        <f t="shared" si="305"/>
        <v>2027</v>
      </c>
      <c r="F3833" t="str">
        <f>CONCATENATE(calendar[[#This Row],[Month]],"/",calendar[[#This Row],[Year]])</f>
        <v>6/2027</v>
      </c>
      <c r="G3833">
        <f>WEEKDAY(calendar[[#This Row],[Date]],1)</f>
        <v>3</v>
      </c>
      <c r="H3833" t="str">
        <f>TEXT(calendar[[#This Row],[WeekDay]],"dddd")</f>
        <v>Tuesday</v>
      </c>
      <c r="I3833">
        <f>IF((INT(calendar[[#This Row],[Count]]/7)-calendar[[#This Row],[Count]]/7)&lt;0,I3832,I3832+1)</f>
        <v>548</v>
      </c>
      <c r="J3833">
        <f t="shared" si="302"/>
        <v>3831</v>
      </c>
      <c r="K3833">
        <f>IF(calendar[[#This Row],[Month]]&lt;4,1,IF(calendar[[#This Row],[Month]]&lt;7,2,IF(calendar[[#This Row],[Month]]&lt;10,3,4)))</f>
        <v>2</v>
      </c>
      <c r="L3833">
        <f>IFERROR(IF(VLOOKUP(calendar[[#This Row],[Date]],BH!A:A,1,)&lt;&gt;"",1,0),0)</f>
        <v>0</v>
      </c>
      <c r="M3833">
        <f>IFERROR(IF(VLOOKUP(calendar[[#This Row],[Date]],BH!C:C,1,)&lt;&gt;"",1,0),0)</f>
        <v>0</v>
      </c>
      <c r="N3833">
        <f>IFERROR(IF(VLOOKUP(calendar[[#This Row],[Date]],BH!E:E,1,)&lt;&gt;"",1,0),0)</f>
        <v>0</v>
      </c>
      <c r="O3833">
        <f>IFERROR(IF(VLOOKUP(calendar[[#This Row],[Date]],BH!G:G,1,)&lt;&gt;"",1,0),0)</f>
        <v>0</v>
      </c>
      <c r="P3833">
        <f>IF(OR(calendar[[#This Row],[UK_BH]]=1,calendar[[#This Row],[WeekDay]]=1, calendar[[#This Row],[WeekDay]]=7),P3832,P3832+1)</f>
        <v>2716</v>
      </c>
      <c r="Q3833">
        <f>IF(OR(calendar[[#This Row],[FR_BH]]=1,calendar[[#This Row],[WeekDay]]=1, calendar[[#This Row],[WeekDay]]=7),P3832,P3832+1)</f>
        <v>2716</v>
      </c>
      <c r="R3833">
        <f>IF(OR(calendar[[#This Row],[SP_BH]]=1,calendar[[#This Row],[WeekDay]]=1, calendar[[#This Row],[WeekDay]]=7),P3832,P3832+1)</f>
        <v>2716</v>
      </c>
      <c r="S3833">
        <f>IF(OR(calendar[[#This Row],[PT_BH]]=1,calendar[[#This Row],[WeekDay]]=1, calendar[[#This Row],[WeekDay]]=7),P3832,P3832+1)</f>
        <v>2716</v>
      </c>
    </row>
    <row r="3834" spans="1:19" x14ac:dyDescent="0.25">
      <c r="A3834" s="2">
        <v>46568</v>
      </c>
      <c r="B3834" s="1">
        <f t="shared" si="301"/>
        <v>27</v>
      </c>
      <c r="C3834">
        <f t="shared" si="303"/>
        <v>6</v>
      </c>
      <c r="D3834" t="str">
        <f t="shared" si="304"/>
        <v>June</v>
      </c>
      <c r="E3834">
        <f t="shared" si="305"/>
        <v>2027</v>
      </c>
      <c r="F3834" t="str">
        <f>CONCATENATE(calendar[[#This Row],[Month]],"/",calendar[[#This Row],[Year]])</f>
        <v>6/2027</v>
      </c>
      <c r="G3834">
        <f>WEEKDAY(calendar[[#This Row],[Date]],1)</f>
        <v>4</v>
      </c>
      <c r="H3834" t="str">
        <f>TEXT(calendar[[#This Row],[WeekDay]],"dddd")</f>
        <v>Wednesday</v>
      </c>
      <c r="I3834">
        <f>IF((INT(calendar[[#This Row],[Count]]/7)-calendar[[#This Row],[Count]]/7)&lt;0,I3833,I3833+1)</f>
        <v>548</v>
      </c>
      <c r="J3834">
        <f t="shared" si="302"/>
        <v>3832</v>
      </c>
      <c r="K3834">
        <f>IF(calendar[[#This Row],[Month]]&lt;4,1,IF(calendar[[#This Row],[Month]]&lt;7,2,IF(calendar[[#This Row],[Month]]&lt;10,3,4)))</f>
        <v>2</v>
      </c>
      <c r="L3834">
        <f>IFERROR(IF(VLOOKUP(calendar[[#This Row],[Date]],BH!A:A,1,)&lt;&gt;"",1,0),0)</f>
        <v>0</v>
      </c>
      <c r="M3834">
        <f>IFERROR(IF(VLOOKUP(calendar[[#This Row],[Date]],BH!C:C,1,)&lt;&gt;"",1,0),0)</f>
        <v>0</v>
      </c>
      <c r="N3834">
        <f>IFERROR(IF(VLOOKUP(calendar[[#This Row],[Date]],BH!E:E,1,)&lt;&gt;"",1,0),0)</f>
        <v>0</v>
      </c>
      <c r="O3834">
        <f>IFERROR(IF(VLOOKUP(calendar[[#This Row],[Date]],BH!G:G,1,)&lt;&gt;"",1,0),0)</f>
        <v>0</v>
      </c>
      <c r="P3834">
        <f>IF(OR(calendar[[#This Row],[UK_BH]]=1,calendar[[#This Row],[WeekDay]]=1, calendar[[#This Row],[WeekDay]]=7),P3833,P3833+1)</f>
        <v>2717</v>
      </c>
      <c r="Q3834">
        <f>IF(OR(calendar[[#This Row],[FR_BH]]=1,calendar[[#This Row],[WeekDay]]=1, calendar[[#This Row],[WeekDay]]=7),P3833,P3833+1)</f>
        <v>2717</v>
      </c>
      <c r="R3834">
        <f>IF(OR(calendar[[#This Row],[SP_BH]]=1,calendar[[#This Row],[WeekDay]]=1, calendar[[#This Row],[WeekDay]]=7),P3833,P3833+1)</f>
        <v>2717</v>
      </c>
      <c r="S3834">
        <f>IF(OR(calendar[[#This Row],[PT_BH]]=1,calendar[[#This Row],[WeekDay]]=1, calendar[[#This Row],[WeekDay]]=7),P3833,P3833+1)</f>
        <v>2717</v>
      </c>
    </row>
    <row r="3835" spans="1:19" x14ac:dyDescent="0.25">
      <c r="A3835" s="2">
        <v>46569</v>
      </c>
      <c r="B3835" s="1">
        <f t="shared" si="301"/>
        <v>27</v>
      </c>
      <c r="C3835">
        <f t="shared" si="303"/>
        <v>7</v>
      </c>
      <c r="D3835" t="str">
        <f t="shared" si="304"/>
        <v>July</v>
      </c>
      <c r="E3835">
        <f t="shared" si="305"/>
        <v>2027</v>
      </c>
      <c r="F3835" t="str">
        <f>CONCATENATE(calendar[[#This Row],[Month]],"/",calendar[[#This Row],[Year]])</f>
        <v>7/2027</v>
      </c>
      <c r="G3835">
        <f>WEEKDAY(calendar[[#This Row],[Date]],1)</f>
        <v>5</v>
      </c>
      <c r="H3835" t="str">
        <f>TEXT(calendar[[#This Row],[WeekDay]],"dddd")</f>
        <v>Thursday</v>
      </c>
      <c r="I3835">
        <f>IF((INT(calendar[[#This Row],[Count]]/7)-calendar[[#This Row],[Count]]/7)&lt;0,I3834,I3834+1)</f>
        <v>548</v>
      </c>
      <c r="J3835">
        <f t="shared" si="302"/>
        <v>3833</v>
      </c>
      <c r="K3835">
        <f>IF(calendar[[#This Row],[Month]]&lt;4,1,IF(calendar[[#This Row],[Month]]&lt;7,2,IF(calendar[[#This Row],[Month]]&lt;10,3,4)))</f>
        <v>3</v>
      </c>
      <c r="L3835">
        <f>IFERROR(IF(VLOOKUP(calendar[[#This Row],[Date]],BH!A:A,1,)&lt;&gt;"",1,0),0)</f>
        <v>0</v>
      </c>
      <c r="M3835">
        <f>IFERROR(IF(VLOOKUP(calendar[[#This Row],[Date]],BH!C:C,1,)&lt;&gt;"",1,0),0)</f>
        <v>0</v>
      </c>
      <c r="N3835">
        <f>IFERROR(IF(VLOOKUP(calendar[[#This Row],[Date]],BH!E:E,1,)&lt;&gt;"",1,0),0)</f>
        <v>0</v>
      </c>
      <c r="O3835">
        <f>IFERROR(IF(VLOOKUP(calendar[[#This Row],[Date]],BH!G:G,1,)&lt;&gt;"",1,0),0)</f>
        <v>0</v>
      </c>
      <c r="P3835">
        <f>IF(OR(calendar[[#This Row],[UK_BH]]=1,calendar[[#This Row],[WeekDay]]=1, calendar[[#This Row],[WeekDay]]=7),P3834,P3834+1)</f>
        <v>2718</v>
      </c>
      <c r="Q3835">
        <f>IF(OR(calendar[[#This Row],[FR_BH]]=1,calendar[[#This Row],[WeekDay]]=1, calendar[[#This Row],[WeekDay]]=7),P3834,P3834+1)</f>
        <v>2718</v>
      </c>
      <c r="R3835">
        <f>IF(OR(calendar[[#This Row],[SP_BH]]=1,calendar[[#This Row],[WeekDay]]=1, calendar[[#This Row],[WeekDay]]=7),P3834,P3834+1)</f>
        <v>2718</v>
      </c>
      <c r="S3835">
        <f>IF(OR(calendar[[#This Row],[PT_BH]]=1,calendar[[#This Row],[WeekDay]]=1, calendar[[#This Row],[WeekDay]]=7),P3834,P3834+1)</f>
        <v>2718</v>
      </c>
    </row>
    <row r="3836" spans="1:19" x14ac:dyDescent="0.25">
      <c r="A3836" s="2">
        <v>46570</v>
      </c>
      <c r="B3836" s="1">
        <f t="shared" si="301"/>
        <v>27</v>
      </c>
      <c r="C3836">
        <f t="shared" si="303"/>
        <v>7</v>
      </c>
      <c r="D3836" t="str">
        <f t="shared" si="304"/>
        <v>July</v>
      </c>
      <c r="E3836">
        <f t="shared" si="305"/>
        <v>2027</v>
      </c>
      <c r="F3836" t="str">
        <f>CONCATENATE(calendar[[#This Row],[Month]],"/",calendar[[#This Row],[Year]])</f>
        <v>7/2027</v>
      </c>
      <c r="G3836">
        <f>WEEKDAY(calendar[[#This Row],[Date]],1)</f>
        <v>6</v>
      </c>
      <c r="H3836" t="str">
        <f>TEXT(calendar[[#This Row],[WeekDay]],"dddd")</f>
        <v>Friday</v>
      </c>
      <c r="I3836">
        <f>IF((INT(calendar[[#This Row],[Count]]/7)-calendar[[#This Row],[Count]]/7)&lt;0,I3835,I3835+1)</f>
        <v>548</v>
      </c>
      <c r="J3836">
        <f t="shared" si="302"/>
        <v>3834</v>
      </c>
      <c r="K3836">
        <f>IF(calendar[[#This Row],[Month]]&lt;4,1,IF(calendar[[#This Row],[Month]]&lt;7,2,IF(calendar[[#This Row],[Month]]&lt;10,3,4)))</f>
        <v>3</v>
      </c>
      <c r="L3836">
        <f>IFERROR(IF(VLOOKUP(calendar[[#This Row],[Date]],BH!A:A,1,)&lt;&gt;"",1,0),0)</f>
        <v>0</v>
      </c>
      <c r="M3836">
        <f>IFERROR(IF(VLOOKUP(calendar[[#This Row],[Date]],BH!C:C,1,)&lt;&gt;"",1,0),0)</f>
        <v>0</v>
      </c>
      <c r="N3836">
        <f>IFERROR(IF(VLOOKUP(calendar[[#This Row],[Date]],BH!E:E,1,)&lt;&gt;"",1,0),0)</f>
        <v>0</v>
      </c>
      <c r="O3836">
        <f>IFERROR(IF(VLOOKUP(calendar[[#This Row],[Date]],BH!G:G,1,)&lt;&gt;"",1,0),0)</f>
        <v>0</v>
      </c>
      <c r="P3836">
        <f>IF(OR(calendar[[#This Row],[UK_BH]]=1,calendar[[#This Row],[WeekDay]]=1, calendar[[#This Row],[WeekDay]]=7),P3835,P3835+1)</f>
        <v>2719</v>
      </c>
      <c r="Q3836">
        <f>IF(OR(calendar[[#This Row],[FR_BH]]=1,calendar[[#This Row],[WeekDay]]=1, calendar[[#This Row],[WeekDay]]=7),P3835,P3835+1)</f>
        <v>2719</v>
      </c>
      <c r="R3836">
        <f>IF(OR(calendar[[#This Row],[SP_BH]]=1,calendar[[#This Row],[WeekDay]]=1, calendar[[#This Row],[WeekDay]]=7),P3835,P3835+1)</f>
        <v>2719</v>
      </c>
      <c r="S3836">
        <f>IF(OR(calendar[[#This Row],[PT_BH]]=1,calendar[[#This Row],[WeekDay]]=1, calendar[[#This Row],[WeekDay]]=7),P3835,P3835+1)</f>
        <v>2719</v>
      </c>
    </row>
    <row r="3837" spans="1:19" x14ac:dyDescent="0.25">
      <c r="A3837" s="2">
        <v>46571</v>
      </c>
      <c r="B3837" s="1">
        <f t="shared" si="301"/>
        <v>27</v>
      </c>
      <c r="C3837">
        <f t="shared" si="303"/>
        <v>7</v>
      </c>
      <c r="D3837" t="str">
        <f t="shared" si="304"/>
        <v>July</v>
      </c>
      <c r="E3837">
        <f t="shared" si="305"/>
        <v>2027</v>
      </c>
      <c r="F3837" t="str">
        <f>CONCATENATE(calendar[[#This Row],[Month]],"/",calendar[[#This Row],[Year]])</f>
        <v>7/2027</v>
      </c>
      <c r="G3837">
        <f>WEEKDAY(calendar[[#This Row],[Date]],1)</f>
        <v>7</v>
      </c>
      <c r="H3837" t="str">
        <f>TEXT(calendar[[#This Row],[WeekDay]],"dddd")</f>
        <v>Saturday</v>
      </c>
      <c r="I3837">
        <f>IF((INT(calendar[[#This Row],[Count]]/7)-calendar[[#This Row],[Count]]/7)&lt;0,I3836,I3836+1)</f>
        <v>548</v>
      </c>
      <c r="J3837">
        <f t="shared" si="302"/>
        <v>3835</v>
      </c>
      <c r="K3837">
        <f>IF(calendar[[#This Row],[Month]]&lt;4,1,IF(calendar[[#This Row],[Month]]&lt;7,2,IF(calendar[[#This Row],[Month]]&lt;10,3,4)))</f>
        <v>3</v>
      </c>
      <c r="L3837">
        <f>IFERROR(IF(VLOOKUP(calendar[[#This Row],[Date]],BH!A:A,1,)&lt;&gt;"",1,0),0)</f>
        <v>0</v>
      </c>
      <c r="M3837">
        <f>IFERROR(IF(VLOOKUP(calendar[[#This Row],[Date]],BH!C:C,1,)&lt;&gt;"",1,0),0)</f>
        <v>0</v>
      </c>
      <c r="N3837">
        <f>IFERROR(IF(VLOOKUP(calendar[[#This Row],[Date]],BH!E:E,1,)&lt;&gt;"",1,0),0)</f>
        <v>0</v>
      </c>
      <c r="O3837">
        <f>IFERROR(IF(VLOOKUP(calendar[[#This Row],[Date]],BH!G:G,1,)&lt;&gt;"",1,0),0)</f>
        <v>0</v>
      </c>
      <c r="P3837">
        <f>IF(OR(calendar[[#This Row],[UK_BH]]=1,calendar[[#This Row],[WeekDay]]=1, calendar[[#This Row],[WeekDay]]=7),P3836,P3836+1)</f>
        <v>2719</v>
      </c>
      <c r="Q3837">
        <f>IF(OR(calendar[[#This Row],[FR_BH]]=1,calendar[[#This Row],[WeekDay]]=1, calendar[[#This Row],[WeekDay]]=7),P3836,P3836+1)</f>
        <v>2719</v>
      </c>
      <c r="R3837">
        <f>IF(OR(calendar[[#This Row],[SP_BH]]=1,calendar[[#This Row],[WeekDay]]=1, calendar[[#This Row],[WeekDay]]=7),P3836,P3836+1)</f>
        <v>2719</v>
      </c>
      <c r="S3837">
        <f>IF(OR(calendar[[#This Row],[PT_BH]]=1,calendar[[#This Row],[WeekDay]]=1, calendar[[#This Row],[WeekDay]]=7),P3836,P3836+1)</f>
        <v>2719</v>
      </c>
    </row>
    <row r="3838" spans="1:19" x14ac:dyDescent="0.25">
      <c r="A3838" s="2">
        <v>46572</v>
      </c>
      <c r="B3838" s="1">
        <f t="shared" si="301"/>
        <v>28</v>
      </c>
      <c r="C3838">
        <f t="shared" si="303"/>
        <v>7</v>
      </c>
      <c r="D3838" t="str">
        <f t="shared" si="304"/>
        <v>July</v>
      </c>
      <c r="E3838">
        <f t="shared" si="305"/>
        <v>2027</v>
      </c>
      <c r="F3838" t="str">
        <f>CONCATENATE(calendar[[#This Row],[Month]],"/",calendar[[#This Row],[Year]])</f>
        <v>7/2027</v>
      </c>
      <c r="G3838">
        <f>WEEKDAY(calendar[[#This Row],[Date]],1)</f>
        <v>1</v>
      </c>
      <c r="H3838" t="str">
        <f>TEXT(calendar[[#This Row],[WeekDay]],"dddd")</f>
        <v>Sunday</v>
      </c>
      <c r="I3838">
        <f>IF((INT(calendar[[#This Row],[Count]]/7)-calendar[[#This Row],[Count]]/7)&lt;0,I3837,I3837+1)</f>
        <v>549</v>
      </c>
      <c r="J3838">
        <f t="shared" si="302"/>
        <v>3836</v>
      </c>
      <c r="K3838">
        <f>IF(calendar[[#This Row],[Month]]&lt;4,1,IF(calendar[[#This Row],[Month]]&lt;7,2,IF(calendar[[#This Row],[Month]]&lt;10,3,4)))</f>
        <v>3</v>
      </c>
      <c r="L3838">
        <f>IFERROR(IF(VLOOKUP(calendar[[#This Row],[Date]],BH!A:A,1,)&lt;&gt;"",1,0),0)</f>
        <v>0</v>
      </c>
      <c r="M3838">
        <f>IFERROR(IF(VLOOKUP(calendar[[#This Row],[Date]],BH!C:C,1,)&lt;&gt;"",1,0),0)</f>
        <v>0</v>
      </c>
      <c r="N3838">
        <f>IFERROR(IF(VLOOKUP(calendar[[#This Row],[Date]],BH!E:E,1,)&lt;&gt;"",1,0),0)</f>
        <v>0</v>
      </c>
      <c r="O3838">
        <f>IFERROR(IF(VLOOKUP(calendar[[#This Row],[Date]],BH!G:G,1,)&lt;&gt;"",1,0),0)</f>
        <v>0</v>
      </c>
      <c r="P3838">
        <f>IF(OR(calendar[[#This Row],[UK_BH]]=1,calendar[[#This Row],[WeekDay]]=1, calendar[[#This Row],[WeekDay]]=7),P3837,P3837+1)</f>
        <v>2719</v>
      </c>
      <c r="Q3838">
        <f>IF(OR(calendar[[#This Row],[FR_BH]]=1,calendar[[#This Row],[WeekDay]]=1, calendar[[#This Row],[WeekDay]]=7),P3837,P3837+1)</f>
        <v>2719</v>
      </c>
      <c r="R3838">
        <f>IF(OR(calendar[[#This Row],[SP_BH]]=1,calendar[[#This Row],[WeekDay]]=1, calendar[[#This Row],[WeekDay]]=7),P3837,P3837+1)</f>
        <v>2719</v>
      </c>
      <c r="S3838">
        <f>IF(OR(calendar[[#This Row],[PT_BH]]=1,calendar[[#This Row],[WeekDay]]=1, calendar[[#This Row],[WeekDay]]=7),P3837,P3837+1)</f>
        <v>2719</v>
      </c>
    </row>
    <row r="3839" spans="1:19" x14ac:dyDescent="0.25">
      <c r="A3839" s="2">
        <v>46573</v>
      </c>
      <c r="B3839" s="1">
        <f t="shared" si="301"/>
        <v>28</v>
      </c>
      <c r="C3839">
        <f t="shared" si="303"/>
        <v>7</v>
      </c>
      <c r="D3839" t="str">
        <f t="shared" si="304"/>
        <v>July</v>
      </c>
      <c r="E3839">
        <f t="shared" si="305"/>
        <v>2027</v>
      </c>
      <c r="F3839" t="str">
        <f>CONCATENATE(calendar[[#This Row],[Month]],"/",calendar[[#This Row],[Year]])</f>
        <v>7/2027</v>
      </c>
      <c r="G3839">
        <f>WEEKDAY(calendar[[#This Row],[Date]],1)</f>
        <v>2</v>
      </c>
      <c r="H3839" t="str">
        <f>TEXT(calendar[[#This Row],[WeekDay]],"dddd")</f>
        <v>Monday</v>
      </c>
      <c r="I3839">
        <f>IF((INT(calendar[[#This Row],[Count]]/7)-calendar[[#This Row],[Count]]/7)&lt;0,I3838,I3838+1)</f>
        <v>549</v>
      </c>
      <c r="J3839">
        <f t="shared" si="302"/>
        <v>3837</v>
      </c>
      <c r="K3839">
        <f>IF(calendar[[#This Row],[Month]]&lt;4,1,IF(calendar[[#This Row],[Month]]&lt;7,2,IF(calendar[[#This Row],[Month]]&lt;10,3,4)))</f>
        <v>3</v>
      </c>
      <c r="L3839">
        <f>IFERROR(IF(VLOOKUP(calendar[[#This Row],[Date]],BH!A:A,1,)&lt;&gt;"",1,0),0)</f>
        <v>0</v>
      </c>
      <c r="M3839">
        <f>IFERROR(IF(VLOOKUP(calendar[[#This Row],[Date]],BH!C:C,1,)&lt;&gt;"",1,0),0)</f>
        <v>0</v>
      </c>
      <c r="N3839">
        <f>IFERROR(IF(VLOOKUP(calendar[[#This Row],[Date]],BH!E:E,1,)&lt;&gt;"",1,0),0)</f>
        <v>0</v>
      </c>
      <c r="O3839">
        <f>IFERROR(IF(VLOOKUP(calendar[[#This Row],[Date]],BH!G:G,1,)&lt;&gt;"",1,0),0)</f>
        <v>0</v>
      </c>
      <c r="P3839">
        <f>IF(OR(calendar[[#This Row],[UK_BH]]=1,calendar[[#This Row],[WeekDay]]=1, calendar[[#This Row],[WeekDay]]=7),P3838,P3838+1)</f>
        <v>2720</v>
      </c>
      <c r="Q3839">
        <f>IF(OR(calendar[[#This Row],[FR_BH]]=1,calendar[[#This Row],[WeekDay]]=1, calendar[[#This Row],[WeekDay]]=7),P3838,P3838+1)</f>
        <v>2720</v>
      </c>
      <c r="R3839">
        <f>IF(OR(calendar[[#This Row],[SP_BH]]=1,calendar[[#This Row],[WeekDay]]=1, calendar[[#This Row],[WeekDay]]=7),P3838,P3838+1)</f>
        <v>2720</v>
      </c>
      <c r="S3839">
        <f>IF(OR(calendar[[#This Row],[PT_BH]]=1,calendar[[#This Row],[WeekDay]]=1, calendar[[#This Row],[WeekDay]]=7),P3838,P3838+1)</f>
        <v>2720</v>
      </c>
    </row>
    <row r="3840" spans="1:19" x14ac:dyDescent="0.25">
      <c r="A3840" s="2">
        <v>46574</v>
      </c>
      <c r="B3840" s="1">
        <f t="shared" si="301"/>
        <v>28</v>
      </c>
      <c r="C3840">
        <f t="shared" si="303"/>
        <v>7</v>
      </c>
      <c r="D3840" t="str">
        <f t="shared" si="304"/>
        <v>July</v>
      </c>
      <c r="E3840">
        <f t="shared" si="305"/>
        <v>2027</v>
      </c>
      <c r="F3840" t="str">
        <f>CONCATENATE(calendar[[#This Row],[Month]],"/",calendar[[#This Row],[Year]])</f>
        <v>7/2027</v>
      </c>
      <c r="G3840">
        <f>WEEKDAY(calendar[[#This Row],[Date]],1)</f>
        <v>3</v>
      </c>
      <c r="H3840" t="str">
        <f>TEXT(calendar[[#This Row],[WeekDay]],"dddd")</f>
        <v>Tuesday</v>
      </c>
      <c r="I3840">
        <f>IF((INT(calendar[[#This Row],[Count]]/7)-calendar[[#This Row],[Count]]/7)&lt;0,I3839,I3839+1)</f>
        <v>549</v>
      </c>
      <c r="J3840">
        <f t="shared" si="302"/>
        <v>3838</v>
      </c>
      <c r="K3840">
        <f>IF(calendar[[#This Row],[Month]]&lt;4,1,IF(calendar[[#This Row],[Month]]&lt;7,2,IF(calendar[[#This Row],[Month]]&lt;10,3,4)))</f>
        <v>3</v>
      </c>
      <c r="L3840">
        <f>IFERROR(IF(VLOOKUP(calendar[[#This Row],[Date]],BH!A:A,1,)&lt;&gt;"",1,0),0)</f>
        <v>0</v>
      </c>
      <c r="M3840">
        <f>IFERROR(IF(VLOOKUP(calendar[[#This Row],[Date]],BH!C:C,1,)&lt;&gt;"",1,0),0)</f>
        <v>0</v>
      </c>
      <c r="N3840">
        <f>IFERROR(IF(VLOOKUP(calendar[[#This Row],[Date]],BH!E:E,1,)&lt;&gt;"",1,0),0)</f>
        <v>0</v>
      </c>
      <c r="O3840">
        <f>IFERROR(IF(VLOOKUP(calendar[[#This Row],[Date]],BH!G:G,1,)&lt;&gt;"",1,0),0)</f>
        <v>0</v>
      </c>
      <c r="P3840">
        <f>IF(OR(calendar[[#This Row],[UK_BH]]=1,calendar[[#This Row],[WeekDay]]=1, calendar[[#This Row],[WeekDay]]=7),P3839,P3839+1)</f>
        <v>2721</v>
      </c>
      <c r="Q3840">
        <f>IF(OR(calendar[[#This Row],[FR_BH]]=1,calendar[[#This Row],[WeekDay]]=1, calendar[[#This Row],[WeekDay]]=7),P3839,P3839+1)</f>
        <v>2721</v>
      </c>
      <c r="R3840">
        <f>IF(OR(calendar[[#This Row],[SP_BH]]=1,calendar[[#This Row],[WeekDay]]=1, calendar[[#This Row],[WeekDay]]=7),P3839,P3839+1)</f>
        <v>2721</v>
      </c>
      <c r="S3840">
        <f>IF(OR(calendar[[#This Row],[PT_BH]]=1,calendar[[#This Row],[WeekDay]]=1, calendar[[#This Row],[WeekDay]]=7),P3839,P3839+1)</f>
        <v>2721</v>
      </c>
    </row>
    <row r="3841" spans="1:19" x14ac:dyDescent="0.25">
      <c r="A3841" s="2">
        <v>46575</v>
      </c>
      <c r="B3841" s="1">
        <f t="shared" si="301"/>
        <v>28</v>
      </c>
      <c r="C3841">
        <f t="shared" si="303"/>
        <v>7</v>
      </c>
      <c r="D3841" t="str">
        <f t="shared" si="304"/>
        <v>July</v>
      </c>
      <c r="E3841">
        <f t="shared" si="305"/>
        <v>2027</v>
      </c>
      <c r="F3841" t="str">
        <f>CONCATENATE(calendar[[#This Row],[Month]],"/",calendar[[#This Row],[Year]])</f>
        <v>7/2027</v>
      </c>
      <c r="G3841">
        <f>WEEKDAY(calendar[[#This Row],[Date]],1)</f>
        <v>4</v>
      </c>
      <c r="H3841" t="str">
        <f>TEXT(calendar[[#This Row],[WeekDay]],"dddd")</f>
        <v>Wednesday</v>
      </c>
      <c r="I3841">
        <f>IF((INT(calendar[[#This Row],[Count]]/7)-calendar[[#This Row],[Count]]/7)&lt;0,I3840,I3840+1)</f>
        <v>549</v>
      </c>
      <c r="J3841">
        <f t="shared" si="302"/>
        <v>3839</v>
      </c>
      <c r="K3841">
        <f>IF(calendar[[#This Row],[Month]]&lt;4,1,IF(calendar[[#This Row],[Month]]&lt;7,2,IF(calendar[[#This Row],[Month]]&lt;10,3,4)))</f>
        <v>3</v>
      </c>
      <c r="L3841">
        <f>IFERROR(IF(VLOOKUP(calendar[[#This Row],[Date]],BH!A:A,1,)&lt;&gt;"",1,0),0)</f>
        <v>0</v>
      </c>
      <c r="M3841">
        <f>IFERROR(IF(VLOOKUP(calendar[[#This Row],[Date]],BH!C:C,1,)&lt;&gt;"",1,0),0)</f>
        <v>0</v>
      </c>
      <c r="N3841">
        <f>IFERROR(IF(VLOOKUP(calendar[[#This Row],[Date]],BH!E:E,1,)&lt;&gt;"",1,0),0)</f>
        <v>0</v>
      </c>
      <c r="O3841">
        <f>IFERROR(IF(VLOOKUP(calendar[[#This Row],[Date]],BH!G:G,1,)&lt;&gt;"",1,0),0)</f>
        <v>0</v>
      </c>
      <c r="P3841">
        <f>IF(OR(calendar[[#This Row],[UK_BH]]=1,calendar[[#This Row],[WeekDay]]=1, calendar[[#This Row],[WeekDay]]=7),P3840,P3840+1)</f>
        <v>2722</v>
      </c>
      <c r="Q3841">
        <f>IF(OR(calendar[[#This Row],[FR_BH]]=1,calendar[[#This Row],[WeekDay]]=1, calendar[[#This Row],[WeekDay]]=7),P3840,P3840+1)</f>
        <v>2722</v>
      </c>
      <c r="R3841">
        <f>IF(OR(calendar[[#This Row],[SP_BH]]=1,calendar[[#This Row],[WeekDay]]=1, calendar[[#This Row],[WeekDay]]=7),P3840,P3840+1)</f>
        <v>2722</v>
      </c>
      <c r="S3841">
        <f>IF(OR(calendar[[#This Row],[PT_BH]]=1,calendar[[#This Row],[WeekDay]]=1, calendar[[#This Row],[WeekDay]]=7),P3840,P3840+1)</f>
        <v>2722</v>
      </c>
    </row>
    <row r="3842" spans="1:19" x14ac:dyDescent="0.25">
      <c r="A3842" s="2">
        <v>46576</v>
      </c>
      <c r="B3842" s="1">
        <f t="shared" ref="B3842:B3905" si="306">WEEKNUM(A3842)</f>
        <v>28</v>
      </c>
      <c r="C3842">
        <f t="shared" si="303"/>
        <v>7</v>
      </c>
      <c r="D3842" t="str">
        <f t="shared" si="304"/>
        <v>July</v>
      </c>
      <c r="E3842">
        <f t="shared" si="305"/>
        <v>2027</v>
      </c>
      <c r="F3842" t="str">
        <f>CONCATENATE(calendar[[#This Row],[Month]],"/",calendar[[#This Row],[Year]])</f>
        <v>7/2027</v>
      </c>
      <c r="G3842">
        <f>WEEKDAY(calendar[[#This Row],[Date]],1)</f>
        <v>5</v>
      </c>
      <c r="H3842" t="str">
        <f>TEXT(calendar[[#This Row],[WeekDay]],"dddd")</f>
        <v>Thursday</v>
      </c>
      <c r="I3842">
        <f>IF((INT(calendar[[#This Row],[Count]]/7)-calendar[[#This Row],[Count]]/7)&lt;0,I3841,I3841+1)</f>
        <v>549</v>
      </c>
      <c r="J3842">
        <f t="shared" si="302"/>
        <v>3840</v>
      </c>
      <c r="K3842">
        <f>IF(calendar[[#This Row],[Month]]&lt;4,1,IF(calendar[[#This Row],[Month]]&lt;7,2,IF(calendar[[#This Row],[Month]]&lt;10,3,4)))</f>
        <v>3</v>
      </c>
      <c r="L3842">
        <f>IFERROR(IF(VLOOKUP(calendar[[#This Row],[Date]],BH!A:A,1,)&lt;&gt;"",1,0),0)</f>
        <v>0</v>
      </c>
      <c r="M3842">
        <f>IFERROR(IF(VLOOKUP(calendar[[#This Row],[Date]],BH!C:C,1,)&lt;&gt;"",1,0),0)</f>
        <v>0</v>
      </c>
      <c r="N3842">
        <f>IFERROR(IF(VLOOKUP(calendar[[#This Row],[Date]],BH!E:E,1,)&lt;&gt;"",1,0),0)</f>
        <v>0</v>
      </c>
      <c r="O3842">
        <f>IFERROR(IF(VLOOKUP(calendar[[#This Row],[Date]],BH!G:G,1,)&lt;&gt;"",1,0),0)</f>
        <v>0</v>
      </c>
      <c r="P3842">
        <f>IF(OR(calendar[[#This Row],[UK_BH]]=1,calendar[[#This Row],[WeekDay]]=1, calendar[[#This Row],[WeekDay]]=7),P3841,P3841+1)</f>
        <v>2723</v>
      </c>
      <c r="Q3842">
        <f>IF(OR(calendar[[#This Row],[FR_BH]]=1,calendar[[#This Row],[WeekDay]]=1, calendar[[#This Row],[WeekDay]]=7),P3841,P3841+1)</f>
        <v>2723</v>
      </c>
      <c r="R3842">
        <f>IF(OR(calendar[[#This Row],[SP_BH]]=1,calendar[[#This Row],[WeekDay]]=1, calendar[[#This Row],[WeekDay]]=7),P3841,P3841+1)</f>
        <v>2723</v>
      </c>
      <c r="S3842">
        <f>IF(OR(calendar[[#This Row],[PT_BH]]=1,calendar[[#This Row],[WeekDay]]=1, calendar[[#This Row],[WeekDay]]=7),P3841,P3841+1)</f>
        <v>2723</v>
      </c>
    </row>
    <row r="3843" spans="1:19" x14ac:dyDescent="0.25">
      <c r="A3843" s="2">
        <v>46577</v>
      </c>
      <c r="B3843" s="1">
        <f t="shared" si="306"/>
        <v>28</v>
      </c>
      <c r="C3843">
        <f t="shared" ref="C3843:C3906" si="307">MONTH(A3843)</f>
        <v>7</v>
      </c>
      <c r="D3843" t="str">
        <f t="shared" ref="D3843:D3906" si="308">TEXT(A3843,"mmmm")</f>
        <v>July</v>
      </c>
      <c r="E3843">
        <f t="shared" ref="E3843:E3906" si="309">YEAR(A3843)</f>
        <v>2027</v>
      </c>
      <c r="F3843" t="str">
        <f>CONCATENATE(calendar[[#This Row],[Month]],"/",calendar[[#This Row],[Year]])</f>
        <v>7/2027</v>
      </c>
      <c r="G3843">
        <f>WEEKDAY(calendar[[#This Row],[Date]],1)</f>
        <v>6</v>
      </c>
      <c r="H3843" t="str">
        <f>TEXT(calendar[[#This Row],[WeekDay]],"dddd")</f>
        <v>Friday</v>
      </c>
      <c r="I3843">
        <f>IF((INT(calendar[[#This Row],[Count]]/7)-calendar[[#This Row],[Count]]/7)&lt;0,I3842,I3842+1)</f>
        <v>549</v>
      </c>
      <c r="J3843">
        <f t="shared" ref="J3843:J3906" si="310">J3842+1</f>
        <v>3841</v>
      </c>
      <c r="K3843">
        <f>IF(calendar[[#This Row],[Month]]&lt;4,1,IF(calendar[[#This Row],[Month]]&lt;7,2,IF(calendar[[#This Row],[Month]]&lt;10,3,4)))</f>
        <v>3</v>
      </c>
      <c r="L3843">
        <f>IFERROR(IF(VLOOKUP(calendar[[#This Row],[Date]],BH!A:A,1,)&lt;&gt;"",1,0),0)</f>
        <v>0</v>
      </c>
      <c r="M3843">
        <f>IFERROR(IF(VLOOKUP(calendar[[#This Row],[Date]],BH!C:C,1,)&lt;&gt;"",1,0),0)</f>
        <v>0</v>
      </c>
      <c r="N3843">
        <f>IFERROR(IF(VLOOKUP(calendar[[#This Row],[Date]],BH!E:E,1,)&lt;&gt;"",1,0),0)</f>
        <v>0</v>
      </c>
      <c r="O3843">
        <f>IFERROR(IF(VLOOKUP(calendar[[#This Row],[Date]],BH!G:G,1,)&lt;&gt;"",1,0),0)</f>
        <v>0</v>
      </c>
      <c r="P3843">
        <f>IF(OR(calendar[[#This Row],[UK_BH]]=1,calendar[[#This Row],[WeekDay]]=1, calendar[[#This Row],[WeekDay]]=7),P3842,P3842+1)</f>
        <v>2724</v>
      </c>
      <c r="Q3843">
        <f>IF(OR(calendar[[#This Row],[FR_BH]]=1,calendar[[#This Row],[WeekDay]]=1, calendar[[#This Row],[WeekDay]]=7),P3842,P3842+1)</f>
        <v>2724</v>
      </c>
      <c r="R3843">
        <f>IF(OR(calendar[[#This Row],[SP_BH]]=1,calendar[[#This Row],[WeekDay]]=1, calendar[[#This Row],[WeekDay]]=7),P3842,P3842+1)</f>
        <v>2724</v>
      </c>
      <c r="S3843">
        <f>IF(OR(calendar[[#This Row],[PT_BH]]=1,calendar[[#This Row],[WeekDay]]=1, calendar[[#This Row],[WeekDay]]=7),P3842,P3842+1)</f>
        <v>2724</v>
      </c>
    </row>
    <row r="3844" spans="1:19" x14ac:dyDescent="0.25">
      <c r="A3844" s="2">
        <v>46578</v>
      </c>
      <c r="B3844" s="1">
        <f t="shared" si="306"/>
        <v>28</v>
      </c>
      <c r="C3844">
        <f t="shared" si="307"/>
        <v>7</v>
      </c>
      <c r="D3844" t="str">
        <f t="shared" si="308"/>
        <v>July</v>
      </c>
      <c r="E3844">
        <f t="shared" si="309"/>
        <v>2027</v>
      </c>
      <c r="F3844" t="str">
        <f>CONCATENATE(calendar[[#This Row],[Month]],"/",calendar[[#This Row],[Year]])</f>
        <v>7/2027</v>
      </c>
      <c r="G3844">
        <f>WEEKDAY(calendar[[#This Row],[Date]],1)</f>
        <v>7</v>
      </c>
      <c r="H3844" t="str">
        <f>TEXT(calendar[[#This Row],[WeekDay]],"dddd")</f>
        <v>Saturday</v>
      </c>
      <c r="I3844">
        <f>IF((INT(calendar[[#This Row],[Count]]/7)-calendar[[#This Row],[Count]]/7)&lt;0,I3843,I3843+1)</f>
        <v>549</v>
      </c>
      <c r="J3844">
        <f t="shared" si="310"/>
        <v>3842</v>
      </c>
      <c r="K3844">
        <f>IF(calendar[[#This Row],[Month]]&lt;4,1,IF(calendar[[#This Row],[Month]]&lt;7,2,IF(calendar[[#This Row],[Month]]&lt;10,3,4)))</f>
        <v>3</v>
      </c>
      <c r="L3844">
        <f>IFERROR(IF(VLOOKUP(calendar[[#This Row],[Date]],BH!A:A,1,)&lt;&gt;"",1,0),0)</f>
        <v>0</v>
      </c>
      <c r="M3844">
        <f>IFERROR(IF(VLOOKUP(calendar[[#This Row],[Date]],BH!C:C,1,)&lt;&gt;"",1,0),0)</f>
        <v>0</v>
      </c>
      <c r="N3844">
        <f>IFERROR(IF(VLOOKUP(calendar[[#This Row],[Date]],BH!E:E,1,)&lt;&gt;"",1,0),0)</f>
        <v>0</v>
      </c>
      <c r="O3844">
        <f>IFERROR(IF(VLOOKUP(calendar[[#This Row],[Date]],BH!G:G,1,)&lt;&gt;"",1,0),0)</f>
        <v>0</v>
      </c>
      <c r="P3844">
        <f>IF(OR(calendar[[#This Row],[UK_BH]]=1,calendar[[#This Row],[WeekDay]]=1, calendar[[#This Row],[WeekDay]]=7),P3843,P3843+1)</f>
        <v>2724</v>
      </c>
      <c r="Q3844">
        <f>IF(OR(calendar[[#This Row],[FR_BH]]=1,calendar[[#This Row],[WeekDay]]=1, calendar[[#This Row],[WeekDay]]=7),P3843,P3843+1)</f>
        <v>2724</v>
      </c>
      <c r="R3844">
        <f>IF(OR(calendar[[#This Row],[SP_BH]]=1,calendar[[#This Row],[WeekDay]]=1, calendar[[#This Row],[WeekDay]]=7),P3843,P3843+1)</f>
        <v>2724</v>
      </c>
      <c r="S3844">
        <f>IF(OR(calendar[[#This Row],[PT_BH]]=1,calendar[[#This Row],[WeekDay]]=1, calendar[[#This Row],[WeekDay]]=7),P3843,P3843+1)</f>
        <v>2724</v>
      </c>
    </row>
    <row r="3845" spans="1:19" x14ac:dyDescent="0.25">
      <c r="A3845" s="2">
        <v>46579</v>
      </c>
      <c r="B3845" s="1">
        <f t="shared" si="306"/>
        <v>29</v>
      </c>
      <c r="C3845">
        <f t="shared" si="307"/>
        <v>7</v>
      </c>
      <c r="D3845" t="str">
        <f t="shared" si="308"/>
        <v>July</v>
      </c>
      <c r="E3845">
        <f t="shared" si="309"/>
        <v>2027</v>
      </c>
      <c r="F3845" t="str">
        <f>CONCATENATE(calendar[[#This Row],[Month]],"/",calendar[[#This Row],[Year]])</f>
        <v>7/2027</v>
      </c>
      <c r="G3845">
        <f>WEEKDAY(calendar[[#This Row],[Date]],1)</f>
        <v>1</v>
      </c>
      <c r="H3845" t="str">
        <f>TEXT(calendar[[#This Row],[WeekDay]],"dddd")</f>
        <v>Sunday</v>
      </c>
      <c r="I3845">
        <f>IF((INT(calendar[[#This Row],[Count]]/7)-calendar[[#This Row],[Count]]/7)&lt;0,I3844,I3844+1)</f>
        <v>550</v>
      </c>
      <c r="J3845">
        <f t="shared" si="310"/>
        <v>3843</v>
      </c>
      <c r="K3845">
        <f>IF(calendar[[#This Row],[Month]]&lt;4,1,IF(calendar[[#This Row],[Month]]&lt;7,2,IF(calendar[[#This Row],[Month]]&lt;10,3,4)))</f>
        <v>3</v>
      </c>
      <c r="L3845">
        <f>IFERROR(IF(VLOOKUP(calendar[[#This Row],[Date]],BH!A:A,1,)&lt;&gt;"",1,0),0)</f>
        <v>0</v>
      </c>
      <c r="M3845">
        <f>IFERROR(IF(VLOOKUP(calendar[[#This Row],[Date]],BH!C:C,1,)&lt;&gt;"",1,0),0)</f>
        <v>0</v>
      </c>
      <c r="N3845">
        <f>IFERROR(IF(VLOOKUP(calendar[[#This Row],[Date]],BH!E:E,1,)&lt;&gt;"",1,0),0)</f>
        <v>0</v>
      </c>
      <c r="O3845">
        <f>IFERROR(IF(VLOOKUP(calendar[[#This Row],[Date]],BH!G:G,1,)&lt;&gt;"",1,0),0)</f>
        <v>0</v>
      </c>
      <c r="P3845">
        <f>IF(OR(calendar[[#This Row],[UK_BH]]=1,calendar[[#This Row],[WeekDay]]=1, calendar[[#This Row],[WeekDay]]=7),P3844,P3844+1)</f>
        <v>2724</v>
      </c>
      <c r="Q3845">
        <f>IF(OR(calendar[[#This Row],[FR_BH]]=1,calendar[[#This Row],[WeekDay]]=1, calendar[[#This Row],[WeekDay]]=7),P3844,P3844+1)</f>
        <v>2724</v>
      </c>
      <c r="R3845">
        <f>IF(OR(calendar[[#This Row],[SP_BH]]=1,calendar[[#This Row],[WeekDay]]=1, calendar[[#This Row],[WeekDay]]=7),P3844,P3844+1)</f>
        <v>2724</v>
      </c>
      <c r="S3845">
        <f>IF(OR(calendar[[#This Row],[PT_BH]]=1,calendar[[#This Row],[WeekDay]]=1, calendar[[#This Row],[WeekDay]]=7),P3844,P3844+1)</f>
        <v>2724</v>
      </c>
    </row>
    <row r="3846" spans="1:19" x14ac:dyDescent="0.25">
      <c r="A3846" s="2">
        <v>46580</v>
      </c>
      <c r="B3846" s="1">
        <f t="shared" si="306"/>
        <v>29</v>
      </c>
      <c r="C3846">
        <f t="shared" si="307"/>
        <v>7</v>
      </c>
      <c r="D3846" t="str">
        <f t="shared" si="308"/>
        <v>July</v>
      </c>
      <c r="E3846">
        <f t="shared" si="309"/>
        <v>2027</v>
      </c>
      <c r="F3846" t="str">
        <f>CONCATENATE(calendar[[#This Row],[Month]],"/",calendar[[#This Row],[Year]])</f>
        <v>7/2027</v>
      </c>
      <c r="G3846">
        <f>WEEKDAY(calendar[[#This Row],[Date]],1)</f>
        <v>2</v>
      </c>
      <c r="H3846" t="str">
        <f>TEXT(calendar[[#This Row],[WeekDay]],"dddd")</f>
        <v>Monday</v>
      </c>
      <c r="I3846">
        <f>IF((INT(calendar[[#This Row],[Count]]/7)-calendar[[#This Row],[Count]]/7)&lt;0,I3845,I3845+1)</f>
        <v>550</v>
      </c>
      <c r="J3846">
        <f t="shared" si="310"/>
        <v>3844</v>
      </c>
      <c r="K3846">
        <f>IF(calendar[[#This Row],[Month]]&lt;4,1,IF(calendar[[#This Row],[Month]]&lt;7,2,IF(calendar[[#This Row],[Month]]&lt;10,3,4)))</f>
        <v>3</v>
      </c>
      <c r="L3846">
        <f>IFERROR(IF(VLOOKUP(calendar[[#This Row],[Date]],BH!A:A,1,)&lt;&gt;"",1,0),0)</f>
        <v>0</v>
      </c>
      <c r="M3846">
        <f>IFERROR(IF(VLOOKUP(calendar[[#This Row],[Date]],BH!C:C,1,)&lt;&gt;"",1,0),0)</f>
        <v>0</v>
      </c>
      <c r="N3846">
        <f>IFERROR(IF(VLOOKUP(calendar[[#This Row],[Date]],BH!E:E,1,)&lt;&gt;"",1,0),0)</f>
        <v>0</v>
      </c>
      <c r="O3846">
        <f>IFERROR(IF(VLOOKUP(calendar[[#This Row],[Date]],BH!G:G,1,)&lt;&gt;"",1,0),0)</f>
        <v>0</v>
      </c>
      <c r="P3846">
        <f>IF(OR(calendar[[#This Row],[UK_BH]]=1,calendar[[#This Row],[WeekDay]]=1, calendar[[#This Row],[WeekDay]]=7),P3845,P3845+1)</f>
        <v>2725</v>
      </c>
      <c r="Q3846">
        <f>IF(OR(calendar[[#This Row],[FR_BH]]=1,calendar[[#This Row],[WeekDay]]=1, calendar[[#This Row],[WeekDay]]=7),P3845,P3845+1)</f>
        <v>2725</v>
      </c>
      <c r="R3846">
        <f>IF(OR(calendar[[#This Row],[SP_BH]]=1,calendar[[#This Row],[WeekDay]]=1, calendar[[#This Row],[WeekDay]]=7),P3845,P3845+1)</f>
        <v>2725</v>
      </c>
      <c r="S3846">
        <f>IF(OR(calendar[[#This Row],[PT_BH]]=1,calendar[[#This Row],[WeekDay]]=1, calendar[[#This Row],[WeekDay]]=7),P3845,P3845+1)</f>
        <v>2725</v>
      </c>
    </row>
    <row r="3847" spans="1:19" x14ac:dyDescent="0.25">
      <c r="A3847" s="2">
        <v>46581</v>
      </c>
      <c r="B3847" s="1">
        <f t="shared" si="306"/>
        <v>29</v>
      </c>
      <c r="C3847">
        <f t="shared" si="307"/>
        <v>7</v>
      </c>
      <c r="D3847" t="str">
        <f t="shared" si="308"/>
        <v>July</v>
      </c>
      <c r="E3847">
        <f t="shared" si="309"/>
        <v>2027</v>
      </c>
      <c r="F3847" t="str">
        <f>CONCATENATE(calendar[[#This Row],[Month]],"/",calendar[[#This Row],[Year]])</f>
        <v>7/2027</v>
      </c>
      <c r="G3847">
        <f>WEEKDAY(calendar[[#This Row],[Date]],1)</f>
        <v>3</v>
      </c>
      <c r="H3847" t="str">
        <f>TEXT(calendar[[#This Row],[WeekDay]],"dddd")</f>
        <v>Tuesday</v>
      </c>
      <c r="I3847">
        <f>IF((INT(calendar[[#This Row],[Count]]/7)-calendar[[#This Row],[Count]]/7)&lt;0,I3846,I3846+1)</f>
        <v>550</v>
      </c>
      <c r="J3847">
        <f t="shared" si="310"/>
        <v>3845</v>
      </c>
      <c r="K3847">
        <f>IF(calendar[[#This Row],[Month]]&lt;4,1,IF(calendar[[#This Row],[Month]]&lt;7,2,IF(calendar[[#This Row],[Month]]&lt;10,3,4)))</f>
        <v>3</v>
      </c>
      <c r="L3847">
        <f>IFERROR(IF(VLOOKUP(calendar[[#This Row],[Date]],BH!A:A,1,)&lt;&gt;"",1,0),0)</f>
        <v>0</v>
      </c>
      <c r="M3847">
        <f>IFERROR(IF(VLOOKUP(calendar[[#This Row],[Date]],BH!C:C,1,)&lt;&gt;"",1,0),0)</f>
        <v>0</v>
      </c>
      <c r="N3847">
        <f>IFERROR(IF(VLOOKUP(calendar[[#This Row],[Date]],BH!E:E,1,)&lt;&gt;"",1,0),0)</f>
        <v>0</v>
      </c>
      <c r="O3847">
        <f>IFERROR(IF(VLOOKUP(calendar[[#This Row],[Date]],BH!G:G,1,)&lt;&gt;"",1,0),0)</f>
        <v>0</v>
      </c>
      <c r="P3847">
        <f>IF(OR(calendar[[#This Row],[UK_BH]]=1,calendar[[#This Row],[WeekDay]]=1, calendar[[#This Row],[WeekDay]]=7),P3846,P3846+1)</f>
        <v>2726</v>
      </c>
      <c r="Q3847">
        <f>IF(OR(calendar[[#This Row],[FR_BH]]=1,calendar[[#This Row],[WeekDay]]=1, calendar[[#This Row],[WeekDay]]=7),P3846,P3846+1)</f>
        <v>2726</v>
      </c>
      <c r="R3847">
        <f>IF(OR(calendar[[#This Row],[SP_BH]]=1,calendar[[#This Row],[WeekDay]]=1, calendar[[#This Row],[WeekDay]]=7),P3846,P3846+1)</f>
        <v>2726</v>
      </c>
      <c r="S3847">
        <f>IF(OR(calendar[[#This Row],[PT_BH]]=1,calendar[[#This Row],[WeekDay]]=1, calendar[[#This Row],[WeekDay]]=7),P3846,P3846+1)</f>
        <v>2726</v>
      </c>
    </row>
    <row r="3848" spans="1:19" x14ac:dyDescent="0.25">
      <c r="A3848" s="2">
        <v>46582</v>
      </c>
      <c r="B3848" s="1">
        <f t="shared" si="306"/>
        <v>29</v>
      </c>
      <c r="C3848">
        <f t="shared" si="307"/>
        <v>7</v>
      </c>
      <c r="D3848" t="str">
        <f t="shared" si="308"/>
        <v>July</v>
      </c>
      <c r="E3848">
        <f t="shared" si="309"/>
        <v>2027</v>
      </c>
      <c r="F3848" t="str">
        <f>CONCATENATE(calendar[[#This Row],[Month]],"/",calendar[[#This Row],[Year]])</f>
        <v>7/2027</v>
      </c>
      <c r="G3848">
        <f>WEEKDAY(calendar[[#This Row],[Date]],1)</f>
        <v>4</v>
      </c>
      <c r="H3848" t="str">
        <f>TEXT(calendar[[#This Row],[WeekDay]],"dddd")</f>
        <v>Wednesday</v>
      </c>
      <c r="I3848">
        <f>IF((INT(calendar[[#This Row],[Count]]/7)-calendar[[#This Row],[Count]]/7)&lt;0,I3847,I3847+1)</f>
        <v>550</v>
      </c>
      <c r="J3848">
        <f t="shared" si="310"/>
        <v>3846</v>
      </c>
      <c r="K3848">
        <f>IF(calendar[[#This Row],[Month]]&lt;4,1,IF(calendar[[#This Row],[Month]]&lt;7,2,IF(calendar[[#This Row],[Month]]&lt;10,3,4)))</f>
        <v>3</v>
      </c>
      <c r="L3848">
        <f>IFERROR(IF(VLOOKUP(calendar[[#This Row],[Date]],BH!A:A,1,)&lt;&gt;"",1,0),0)</f>
        <v>0</v>
      </c>
      <c r="M3848">
        <f>IFERROR(IF(VLOOKUP(calendar[[#This Row],[Date]],BH!C:C,1,)&lt;&gt;"",1,0),0)</f>
        <v>1</v>
      </c>
      <c r="N3848">
        <f>IFERROR(IF(VLOOKUP(calendar[[#This Row],[Date]],BH!E:E,1,)&lt;&gt;"",1,0),0)</f>
        <v>0</v>
      </c>
      <c r="O3848">
        <f>IFERROR(IF(VLOOKUP(calendar[[#This Row],[Date]],BH!G:G,1,)&lt;&gt;"",1,0),0)</f>
        <v>0</v>
      </c>
      <c r="P3848">
        <f>IF(OR(calendar[[#This Row],[UK_BH]]=1,calendar[[#This Row],[WeekDay]]=1, calendar[[#This Row],[WeekDay]]=7),P3847,P3847+1)</f>
        <v>2727</v>
      </c>
      <c r="Q3848">
        <f>IF(OR(calendar[[#This Row],[FR_BH]]=1,calendar[[#This Row],[WeekDay]]=1, calendar[[#This Row],[WeekDay]]=7),P3847,P3847+1)</f>
        <v>2726</v>
      </c>
      <c r="R3848">
        <f>IF(OR(calendar[[#This Row],[SP_BH]]=1,calendar[[#This Row],[WeekDay]]=1, calendar[[#This Row],[WeekDay]]=7),P3847,P3847+1)</f>
        <v>2727</v>
      </c>
      <c r="S3848">
        <f>IF(OR(calendar[[#This Row],[PT_BH]]=1,calendar[[#This Row],[WeekDay]]=1, calendar[[#This Row],[WeekDay]]=7),P3847,P3847+1)</f>
        <v>2727</v>
      </c>
    </row>
    <row r="3849" spans="1:19" x14ac:dyDescent="0.25">
      <c r="A3849" s="2">
        <v>46583</v>
      </c>
      <c r="B3849" s="1">
        <f t="shared" si="306"/>
        <v>29</v>
      </c>
      <c r="C3849">
        <f t="shared" si="307"/>
        <v>7</v>
      </c>
      <c r="D3849" t="str">
        <f t="shared" si="308"/>
        <v>July</v>
      </c>
      <c r="E3849">
        <f t="shared" si="309"/>
        <v>2027</v>
      </c>
      <c r="F3849" t="str">
        <f>CONCATENATE(calendar[[#This Row],[Month]],"/",calendar[[#This Row],[Year]])</f>
        <v>7/2027</v>
      </c>
      <c r="G3849">
        <f>WEEKDAY(calendar[[#This Row],[Date]],1)</f>
        <v>5</v>
      </c>
      <c r="H3849" t="str">
        <f>TEXT(calendar[[#This Row],[WeekDay]],"dddd")</f>
        <v>Thursday</v>
      </c>
      <c r="I3849">
        <f>IF((INT(calendar[[#This Row],[Count]]/7)-calendar[[#This Row],[Count]]/7)&lt;0,I3848,I3848+1)</f>
        <v>550</v>
      </c>
      <c r="J3849">
        <f t="shared" si="310"/>
        <v>3847</v>
      </c>
      <c r="K3849">
        <f>IF(calendar[[#This Row],[Month]]&lt;4,1,IF(calendar[[#This Row],[Month]]&lt;7,2,IF(calendar[[#This Row],[Month]]&lt;10,3,4)))</f>
        <v>3</v>
      </c>
      <c r="L3849">
        <f>IFERROR(IF(VLOOKUP(calendar[[#This Row],[Date]],BH!A:A,1,)&lt;&gt;"",1,0),0)</f>
        <v>0</v>
      </c>
      <c r="M3849">
        <f>IFERROR(IF(VLOOKUP(calendar[[#This Row],[Date]],BH!C:C,1,)&lt;&gt;"",1,0),0)</f>
        <v>0</v>
      </c>
      <c r="N3849">
        <f>IFERROR(IF(VLOOKUP(calendar[[#This Row],[Date]],BH!E:E,1,)&lt;&gt;"",1,0),0)</f>
        <v>0</v>
      </c>
      <c r="O3849">
        <f>IFERROR(IF(VLOOKUP(calendar[[#This Row],[Date]],BH!G:G,1,)&lt;&gt;"",1,0),0)</f>
        <v>0</v>
      </c>
      <c r="P3849">
        <f>IF(OR(calendar[[#This Row],[UK_BH]]=1,calendar[[#This Row],[WeekDay]]=1, calendar[[#This Row],[WeekDay]]=7),P3848,P3848+1)</f>
        <v>2728</v>
      </c>
      <c r="Q3849">
        <f>IF(OR(calendar[[#This Row],[FR_BH]]=1,calendar[[#This Row],[WeekDay]]=1, calendar[[#This Row],[WeekDay]]=7),P3848,P3848+1)</f>
        <v>2728</v>
      </c>
      <c r="R3849">
        <f>IF(OR(calendar[[#This Row],[SP_BH]]=1,calendar[[#This Row],[WeekDay]]=1, calendar[[#This Row],[WeekDay]]=7),P3848,P3848+1)</f>
        <v>2728</v>
      </c>
      <c r="S3849">
        <f>IF(OR(calendar[[#This Row],[PT_BH]]=1,calendar[[#This Row],[WeekDay]]=1, calendar[[#This Row],[WeekDay]]=7),P3848,P3848+1)</f>
        <v>2728</v>
      </c>
    </row>
    <row r="3850" spans="1:19" x14ac:dyDescent="0.25">
      <c r="A3850" s="2">
        <v>46584</v>
      </c>
      <c r="B3850" s="1">
        <f t="shared" si="306"/>
        <v>29</v>
      </c>
      <c r="C3850">
        <f t="shared" si="307"/>
        <v>7</v>
      </c>
      <c r="D3850" t="str">
        <f t="shared" si="308"/>
        <v>July</v>
      </c>
      <c r="E3850">
        <f t="shared" si="309"/>
        <v>2027</v>
      </c>
      <c r="F3850" t="str">
        <f>CONCATENATE(calendar[[#This Row],[Month]],"/",calendar[[#This Row],[Year]])</f>
        <v>7/2027</v>
      </c>
      <c r="G3850">
        <f>WEEKDAY(calendar[[#This Row],[Date]],1)</f>
        <v>6</v>
      </c>
      <c r="H3850" t="str">
        <f>TEXT(calendar[[#This Row],[WeekDay]],"dddd")</f>
        <v>Friday</v>
      </c>
      <c r="I3850">
        <f>IF((INT(calendar[[#This Row],[Count]]/7)-calendar[[#This Row],[Count]]/7)&lt;0,I3849,I3849+1)</f>
        <v>550</v>
      </c>
      <c r="J3850">
        <f t="shared" si="310"/>
        <v>3848</v>
      </c>
      <c r="K3850">
        <f>IF(calendar[[#This Row],[Month]]&lt;4,1,IF(calendar[[#This Row],[Month]]&lt;7,2,IF(calendar[[#This Row],[Month]]&lt;10,3,4)))</f>
        <v>3</v>
      </c>
      <c r="L3850">
        <f>IFERROR(IF(VLOOKUP(calendar[[#This Row],[Date]],BH!A:A,1,)&lt;&gt;"",1,0),0)</f>
        <v>0</v>
      </c>
      <c r="M3850">
        <f>IFERROR(IF(VLOOKUP(calendar[[#This Row],[Date]],BH!C:C,1,)&lt;&gt;"",1,0),0)</f>
        <v>0</v>
      </c>
      <c r="N3850">
        <f>IFERROR(IF(VLOOKUP(calendar[[#This Row],[Date]],BH!E:E,1,)&lt;&gt;"",1,0),0)</f>
        <v>0</v>
      </c>
      <c r="O3850">
        <f>IFERROR(IF(VLOOKUP(calendar[[#This Row],[Date]],BH!G:G,1,)&lt;&gt;"",1,0),0)</f>
        <v>0</v>
      </c>
      <c r="P3850">
        <f>IF(OR(calendar[[#This Row],[UK_BH]]=1,calendar[[#This Row],[WeekDay]]=1, calendar[[#This Row],[WeekDay]]=7),P3849,P3849+1)</f>
        <v>2729</v>
      </c>
      <c r="Q3850">
        <f>IF(OR(calendar[[#This Row],[FR_BH]]=1,calendar[[#This Row],[WeekDay]]=1, calendar[[#This Row],[WeekDay]]=7),P3849,P3849+1)</f>
        <v>2729</v>
      </c>
      <c r="R3850">
        <f>IF(OR(calendar[[#This Row],[SP_BH]]=1,calendar[[#This Row],[WeekDay]]=1, calendar[[#This Row],[WeekDay]]=7),P3849,P3849+1)</f>
        <v>2729</v>
      </c>
      <c r="S3850">
        <f>IF(OR(calendar[[#This Row],[PT_BH]]=1,calendar[[#This Row],[WeekDay]]=1, calendar[[#This Row],[WeekDay]]=7),P3849,P3849+1)</f>
        <v>2729</v>
      </c>
    </row>
    <row r="3851" spans="1:19" x14ac:dyDescent="0.25">
      <c r="A3851" s="2">
        <v>46585</v>
      </c>
      <c r="B3851" s="1">
        <f t="shared" si="306"/>
        <v>29</v>
      </c>
      <c r="C3851">
        <f t="shared" si="307"/>
        <v>7</v>
      </c>
      <c r="D3851" t="str">
        <f t="shared" si="308"/>
        <v>July</v>
      </c>
      <c r="E3851">
        <f t="shared" si="309"/>
        <v>2027</v>
      </c>
      <c r="F3851" t="str">
        <f>CONCATENATE(calendar[[#This Row],[Month]],"/",calendar[[#This Row],[Year]])</f>
        <v>7/2027</v>
      </c>
      <c r="G3851">
        <f>WEEKDAY(calendar[[#This Row],[Date]],1)</f>
        <v>7</v>
      </c>
      <c r="H3851" t="str">
        <f>TEXT(calendar[[#This Row],[WeekDay]],"dddd")</f>
        <v>Saturday</v>
      </c>
      <c r="I3851">
        <f>IF((INT(calendar[[#This Row],[Count]]/7)-calendar[[#This Row],[Count]]/7)&lt;0,I3850,I3850+1)</f>
        <v>550</v>
      </c>
      <c r="J3851">
        <f t="shared" si="310"/>
        <v>3849</v>
      </c>
      <c r="K3851">
        <f>IF(calendar[[#This Row],[Month]]&lt;4,1,IF(calendar[[#This Row],[Month]]&lt;7,2,IF(calendar[[#This Row],[Month]]&lt;10,3,4)))</f>
        <v>3</v>
      </c>
      <c r="L3851">
        <f>IFERROR(IF(VLOOKUP(calendar[[#This Row],[Date]],BH!A:A,1,)&lt;&gt;"",1,0),0)</f>
        <v>0</v>
      </c>
      <c r="M3851">
        <f>IFERROR(IF(VLOOKUP(calendar[[#This Row],[Date]],BH!C:C,1,)&lt;&gt;"",1,0),0)</f>
        <v>0</v>
      </c>
      <c r="N3851">
        <f>IFERROR(IF(VLOOKUP(calendar[[#This Row],[Date]],BH!E:E,1,)&lt;&gt;"",1,0),0)</f>
        <v>0</v>
      </c>
      <c r="O3851">
        <f>IFERROR(IF(VLOOKUP(calendar[[#This Row],[Date]],BH!G:G,1,)&lt;&gt;"",1,0),0)</f>
        <v>0</v>
      </c>
      <c r="P3851">
        <f>IF(OR(calendar[[#This Row],[UK_BH]]=1,calendar[[#This Row],[WeekDay]]=1, calendar[[#This Row],[WeekDay]]=7),P3850,P3850+1)</f>
        <v>2729</v>
      </c>
      <c r="Q3851">
        <f>IF(OR(calendar[[#This Row],[FR_BH]]=1,calendar[[#This Row],[WeekDay]]=1, calendar[[#This Row],[WeekDay]]=7),P3850,P3850+1)</f>
        <v>2729</v>
      </c>
      <c r="R3851">
        <f>IF(OR(calendar[[#This Row],[SP_BH]]=1,calendar[[#This Row],[WeekDay]]=1, calendar[[#This Row],[WeekDay]]=7),P3850,P3850+1)</f>
        <v>2729</v>
      </c>
      <c r="S3851">
        <f>IF(OR(calendar[[#This Row],[PT_BH]]=1,calendar[[#This Row],[WeekDay]]=1, calendar[[#This Row],[WeekDay]]=7),P3850,P3850+1)</f>
        <v>2729</v>
      </c>
    </row>
    <row r="3852" spans="1:19" x14ac:dyDescent="0.25">
      <c r="A3852" s="2">
        <v>46586</v>
      </c>
      <c r="B3852" s="1">
        <f t="shared" si="306"/>
        <v>30</v>
      </c>
      <c r="C3852">
        <f t="shared" si="307"/>
        <v>7</v>
      </c>
      <c r="D3852" t="str">
        <f t="shared" si="308"/>
        <v>July</v>
      </c>
      <c r="E3852">
        <f t="shared" si="309"/>
        <v>2027</v>
      </c>
      <c r="F3852" t="str">
        <f>CONCATENATE(calendar[[#This Row],[Month]],"/",calendar[[#This Row],[Year]])</f>
        <v>7/2027</v>
      </c>
      <c r="G3852">
        <f>WEEKDAY(calendar[[#This Row],[Date]],1)</f>
        <v>1</v>
      </c>
      <c r="H3852" t="str">
        <f>TEXT(calendar[[#This Row],[WeekDay]],"dddd")</f>
        <v>Sunday</v>
      </c>
      <c r="I3852">
        <f>IF((INT(calendar[[#This Row],[Count]]/7)-calendar[[#This Row],[Count]]/7)&lt;0,I3851,I3851+1)</f>
        <v>551</v>
      </c>
      <c r="J3852">
        <f t="shared" si="310"/>
        <v>3850</v>
      </c>
      <c r="K3852">
        <f>IF(calendar[[#This Row],[Month]]&lt;4,1,IF(calendar[[#This Row],[Month]]&lt;7,2,IF(calendar[[#This Row],[Month]]&lt;10,3,4)))</f>
        <v>3</v>
      </c>
      <c r="L3852">
        <f>IFERROR(IF(VLOOKUP(calendar[[#This Row],[Date]],BH!A:A,1,)&lt;&gt;"",1,0),0)</f>
        <v>0</v>
      </c>
      <c r="M3852">
        <f>IFERROR(IF(VLOOKUP(calendar[[#This Row],[Date]],BH!C:C,1,)&lt;&gt;"",1,0),0)</f>
        <v>0</v>
      </c>
      <c r="N3852">
        <f>IFERROR(IF(VLOOKUP(calendar[[#This Row],[Date]],BH!E:E,1,)&lt;&gt;"",1,0),0)</f>
        <v>0</v>
      </c>
      <c r="O3852">
        <f>IFERROR(IF(VLOOKUP(calendar[[#This Row],[Date]],BH!G:G,1,)&lt;&gt;"",1,0),0)</f>
        <v>0</v>
      </c>
      <c r="P3852">
        <f>IF(OR(calendar[[#This Row],[UK_BH]]=1,calendar[[#This Row],[WeekDay]]=1, calendar[[#This Row],[WeekDay]]=7),P3851,P3851+1)</f>
        <v>2729</v>
      </c>
      <c r="Q3852">
        <f>IF(OR(calendar[[#This Row],[FR_BH]]=1,calendar[[#This Row],[WeekDay]]=1, calendar[[#This Row],[WeekDay]]=7),P3851,P3851+1)</f>
        <v>2729</v>
      </c>
      <c r="R3852">
        <f>IF(OR(calendar[[#This Row],[SP_BH]]=1,calendar[[#This Row],[WeekDay]]=1, calendar[[#This Row],[WeekDay]]=7),P3851,P3851+1)</f>
        <v>2729</v>
      </c>
      <c r="S3852">
        <f>IF(OR(calendar[[#This Row],[PT_BH]]=1,calendar[[#This Row],[WeekDay]]=1, calendar[[#This Row],[WeekDay]]=7),P3851,P3851+1)</f>
        <v>2729</v>
      </c>
    </row>
    <row r="3853" spans="1:19" x14ac:dyDescent="0.25">
      <c r="A3853" s="2">
        <v>46587</v>
      </c>
      <c r="B3853" s="1">
        <f t="shared" si="306"/>
        <v>30</v>
      </c>
      <c r="C3853">
        <f t="shared" si="307"/>
        <v>7</v>
      </c>
      <c r="D3853" t="str">
        <f t="shared" si="308"/>
        <v>July</v>
      </c>
      <c r="E3853">
        <f t="shared" si="309"/>
        <v>2027</v>
      </c>
      <c r="F3853" t="str">
        <f>CONCATENATE(calendar[[#This Row],[Month]],"/",calendar[[#This Row],[Year]])</f>
        <v>7/2027</v>
      </c>
      <c r="G3853">
        <f>WEEKDAY(calendar[[#This Row],[Date]],1)</f>
        <v>2</v>
      </c>
      <c r="H3853" t="str">
        <f>TEXT(calendar[[#This Row],[WeekDay]],"dddd")</f>
        <v>Monday</v>
      </c>
      <c r="I3853">
        <f>IF((INT(calendar[[#This Row],[Count]]/7)-calendar[[#This Row],[Count]]/7)&lt;0,I3852,I3852+1)</f>
        <v>551</v>
      </c>
      <c r="J3853">
        <f t="shared" si="310"/>
        <v>3851</v>
      </c>
      <c r="K3853">
        <f>IF(calendar[[#This Row],[Month]]&lt;4,1,IF(calendar[[#This Row],[Month]]&lt;7,2,IF(calendar[[#This Row],[Month]]&lt;10,3,4)))</f>
        <v>3</v>
      </c>
      <c r="L3853">
        <f>IFERROR(IF(VLOOKUP(calendar[[#This Row],[Date]],BH!A:A,1,)&lt;&gt;"",1,0),0)</f>
        <v>0</v>
      </c>
      <c r="M3853">
        <f>IFERROR(IF(VLOOKUP(calendar[[#This Row],[Date]],BH!C:C,1,)&lt;&gt;"",1,0),0)</f>
        <v>0</v>
      </c>
      <c r="N3853">
        <f>IFERROR(IF(VLOOKUP(calendar[[#This Row],[Date]],BH!E:E,1,)&lt;&gt;"",1,0),0)</f>
        <v>0</v>
      </c>
      <c r="O3853">
        <f>IFERROR(IF(VLOOKUP(calendar[[#This Row],[Date]],BH!G:G,1,)&lt;&gt;"",1,0),0)</f>
        <v>0</v>
      </c>
      <c r="P3853">
        <f>IF(OR(calendar[[#This Row],[UK_BH]]=1,calendar[[#This Row],[WeekDay]]=1, calendar[[#This Row],[WeekDay]]=7),P3852,P3852+1)</f>
        <v>2730</v>
      </c>
      <c r="Q3853">
        <f>IF(OR(calendar[[#This Row],[FR_BH]]=1,calendar[[#This Row],[WeekDay]]=1, calendar[[#This Row],[WeekDay]]=7),P3852,P3852+1)</f>
        <v>2730</v>
      </c>
      <c r="R3853">
        <f>IF(OR(calendar[[#This Row],[SP_BH]]=1,calendar[[#This Row],[WeekDay]]=1, calendar[[#This Row],[WeekDay]]=7),P3852,P3852+1)</f>
        <v>2730</v>
      </c>
      <c r="S3853">
        <f>IF(OR(calendar[[#This Row],[PT_BH]]=1,calendar[[#This Row],[WeekDay]]=1, calendar[[#This Row],[WeekDay]]=7),P3852,P3852+1)</f>
        <v>2730</v>
      </c>
    </row>
    <row r="3854" spans="1:19" x14ac:dyDescent="0.25">
      <c r="A3854" s="2">
        <v>46588</v>
      </c>
      <c r="B3854" s="1">
        <f t="shared" si="306"/>
        <v>30</v>
      </c>
      <c r="C3854">
        <f t="shared" si="307"/>
        <v>7</v>
      </c>
      <c r="D3854" t="str">
        <f t="shared" si="308"/>
        <v>July</v>
      </c>
      <c r="E3854">
        <f t="shared" si="309"/>
        <v>2027</v>
      </c>
      <c r="F3854" t="str">
        <f>CONCATENATE(calendar[[#This Row],[Month]],"/",calendar[[#This Row],[Year]])</f>
        <v>7/2027</v>
      </c>
      <c r="G3854">
        <f>WEEKDAY(calendar[[#This Row],[Date]],1)</f>
        <v>3</v>
      </c>
      <c r="H3854" t="str">
        <f>TEXT(calendar[[#This Row],[WeekDay]],"dddd")</f>
        <v>Tuesday</v>
      </c>
      <c r="I3854">
        <f>IF((INT(calendar[[#This Row],[Count]]/7)-calendar[[#This Row],[Count]]/7)&lt;0,I3853,I3853+1)</f>
        <v>551</v>
      </c>
      <c r="J3854">
        <f t="shared" si="310"/>
        <v>3852</v>
      </c>
      <c r="K3854">
        <f>IF(calendar[[#This Row],[Month]]&lt;4,1,IF(calendar[[#This Row],[Month]]&lt;7,2,IF(calendar[[#This Row],[Month]]&lt;10,3,4)))</f>
        <v>3</v>
      </c>
      <c r="L3854">
        <f>IFERROR(IF(VLOOKUP(calendar[[#This Row],[Date]],BH!A:A,1,)&lt;&gt;"",1,0),0)</f>
        <v>0</v>
      </c>
      <c r="M3854">
        <f>IFERROR(IF(VLOOKUP(calendar[[#This Row],[Date]],BH!C:C,1,)&lt;&gt;"",1,0),0)</f>
        <v>0</v>
      </c>
      <c r="N3854">
        <f>IFERROR(IF(VLOOKUP(calendar[[#This Row],[Date]],BH!E:E,1,)&lt;&gt;"",1,0),0)</f>
        <v>0</v>
      </c>
      <c r="O3854">
        <f>IFERROR(IF(VLOOKUP(calendar[[#This Row],[Date]],BH!G:G,1,)&lt;&gt;"",1,0),0)</f>
        <v>0</v>
      </c>
      <c r="P3854">
        <f>IF(OR(calendar[[#This Row],[UK_BH]]=1,calendar[[#This Row],[WeekDay]]=1, calendar[[#This Row],[WeekDay]]=7),P3853,P3853+1)</f>
        <v>2731</v>
      </c>
      <c r="Q3854">
        <f>IF(OR(calendar[[#This Row],[FR_BH]]=1,calendar[[#This Row],[WeekDay]]=1, calendar[[#This Row],[WeekDay]]=7),P3853,P3853+1)</f>
        <v>2731</v>
      </c>
      <c r="R3854">
        <f>IF(OR(calendar[[#This Row],[SP_BH]]=1,calendar[[#This Row],[WeekDay]]=1, calendar[[#This Row],[WeekDay]]=7),P3853,P3853+1)</f>
        <v>2731</v>
      </c>
      <c r="S3854">
        <f>IF(OR(calendar[[#This Row],[PT_BH]]=1,calendar[[#This Row],[WeekDay]]=1, calendar[[#This Row],[WeekDay]]=7),P3853,P3853+1)</f>
        <v>2731</v>
      </c>
    </row>
    <row r="3855" spans="1:19" x14ac:dyDescent="0.25">
      <c r="A3855" s="2">
        <v>46589</v>
      </c>
      <c r="B3855" s="1">
        <f t="shared" si="306"/>
        <v>30</v>
      </c>
      <c r="C3855">
        <f t="shared" si="307"/>
        <v>7</v>
      </c>
      <c r="D3855" t="str">
        <f t="shared" si="308"/>
        <v>July</v>
      </c>
      <c r="E3855">
        <f t="shared" si="309"/>
        <v>2027</v>
      </c>
      <c r="F3855" t="str">
        <f>CONCATENATE(calendar[[#This Row],[Month]],"/",calendar[[#This Row],[Year]])</f>
        <v>7/2027</v>
      </c>
      <c r="G3855">
        <f>WEEKDAY(calendar[[#This Row],[Date]],1)</f>
        <v>4</v>
      </c>
      <c r="H3855" t="str">
        <f>TEXT(calendar[[#This Row],[WeekDay]],"dddd")</f>
        <v>Wednesday</v>
      </c>
      <c r="I3855">
        <f>IF((INT(calendar[[#This Row],[Count]]/7)-calendar[[#This Row],[Count]]/7)&lt;0,I3854,I3854+1)</f>
        <v>551</v>
      </c>
      <c r="J3855">
        <f t="shared" si="310"/>
        <v>3853</v>
      </c>
      <c r="K3855">
        <f>IF(calendar[[#This Row],[Month]]&lt;4,1,IF(calendar[[#This Row],[Month]]&lt;7,2,IF(calendar[[#This Row],[Month]]&lt;10,3,4)))</f>
        <v>3</v>
      </c>
      <c r="L3855">
        <f>IFERROR(IF(VLOOKUP(calendar[[#This Row],[Date]],BH!A:A,1,)&lt;&gt;"",1,0),0)</f>
        <v>0</v>
      </c>
      <c r="M3855">
        <f>IFERROR(IF(VLOOKUP(calendar[[#This Row],[Date]],BH!C:C,1,)&lt;&gt;"",1,0),0)</f>
        <v>0</v>
      </c>
      <c r="N3855">
        <f>IFERROR(IF(VLOOKUP(calendar[[#This Row],[Date]],BH!E:E,1,)&lt;&gt;"",1,0),0)</f>
        <v>0</v>
      </c>
      <c r="O3855">
        <f>IFERROR(IF(VLOOKUP(calendar[[#This Row],[Date]],BH!G:G,1,)&lt;&gt;"",1,0),0)</f>
        <v>0</v>
      </c>
      <c r="P3855">
        <f>IF(OR(calendar[[#This Row],[UK_BH]]=1,calendar[[#This Row],[WeekDay]]=1, calendar[[#This Row],[WeekDay]]=7),P3854,P3854+1)</f>
        <v>2732</v>
      </c>
      <c r="Q3855">
        <f>IF(OR(calendar[[#This Row],[FR_BH]]=1,calendar[[#This Row],[WeekDay]]=1, calendar[[#This Row],[WeekDay]]=7),P3854,P3854+1)</f>
        <v>2732</v>
      </c>
      <c r="R3855">
        <f>IF(OR(calendar[[#This Row],[SP_BH]]=1,calendar[[#This Row],[WeekDay]]=1, calendar[[#This Row],[WeekDay]]=7),P3854,P3854+1)</f>
        <v>2732</v>
      </c>
      <c r="S3855">
        <f>IF(OR(calendar[[#This Row],[PT_BH]]=1,calendar[[#This Row],[WeekDay]]=1, calendar[[#This Row],[WeekDay]]=7),P3854,P3854+1)</f>
        <v>2732</v>
      </c>
    </row>
    <row r="3856" spans="1:19" x14ac:dyDescent="0.25">
      <c r="A3856" s="2">
        <v>46590</v>
      </c>
      <c r="B3856" s="1">
        <f t="shared" si="306"/>
        <v>30</v>
      </c>
      <c r="C3856">
        <f t="shared" si="307"/>
        <v>7</v>
      </c>
      <c r="D3856" t="str">
        <f t="shared" si="308"/>
        <v>July</v>
      </c>
      <c r="E3856">
        <f t="shared" si="309"/>
        <v>2027</v>
      </c>
      <c r="F3856" t="str">
        <f>CONCATENATE(calendar[[#This Row],[Month]],"/",calendar[[#This Row],[Year]])</f>
        <v>7/2027</v>
      </c>
      <c r="G3856">
        <f>WEEKDAY(calendar[[#This Row],[Date]],1)</f>
        <v>5</v>
      </c>
      <c r="H3856" t="str">
        <f>TEXT(calendar[[#This Row],[WeekDay]],"dddd")</f>
        <v>Thursday</v>
      </c>
      <c r="I3856">
        <f>IF((INT(calendar[[#This Row],[Count]]/7)-calendar[[#This Row],[Count]]/7)&lt;0,I3855,I3855+1)</f>
        <v>551</v>
      </c>
      <c r="J3856">
        <f t="shared" si="310"/>
        <v>3854</v>
      </c>
      <c r="K3856">
        <f>IF(calendar[[#This Row],[Month]]&lt;4,1,IF(calendar[[#This Row],[Month]]&lt;7,2,IF(calendar[[#This Row],[Month]]&lt;10,3,4)))</f>
        <v>3</v>
      </c>
      <c r="L3856">
        <f>IFERROR(IF(VLOOKUP(calendar[[#This Row],[Date]],BH!A:A,1,)&lt;&gt;"",1,0),0)</f>
        <v>0</v>
      </c>
      <c r="M3856">
        <f>IFERROR(IF(VLOOKUP(calendar[[#This Row],[Date]],BH!C:C,1,)&lt;&gt;"",1,0),0)</f>
        <v>0</v>
      </c>
      <c r="N3856">
        <f>IFERROR(IF(VLOOKUP(calendar[[#This Row],[Date]],BH!E:E,1,)&lt;&gt;"",1,0),0)</f>
        <v>0</v>
      </c>
      <c r="O3856">
        <f>IFERROR(IF(VLOOKUP(calendar[[#This Row],[Date]],BH!G:G,1,)&lt;&gt;"",1,0),0)</f>
        <v>0</v>
      </c>
      <c r="P3856">
        <f>IF(OR(calendar[[#This Row],[UK_BH]]=1,calendar[[#This Row],[WeekDay]]=1, calendar[[#This Row],[WeekDay]]=7),P3855,P3855+1)</f>
        <v>2733</v>
      </c>
      <c r="Q3856">
        <f>IF(OR(calendar[[#This Row],[FR_BH]]=1,calendar[[#This Row],[WeekDay]]=1, calendar[[#This Row],[WeekDay]]=7),P3855,P3855+1)</f>
        <v>2733</v>
      </c>
      <c r="R3856">
        <f>IF(OR(calendar[[#This Row],[SP_BH]]=1,calendar[[#This Row],[WeekDay]]=1, calendar[[#This Row],[WeekDay]]=7),P3855,P3855+1)</f>
        <v>2733</v>
      </c>
      <c r="S3856">
        <f>IF(OR(calendar[[#This Row],[PT_BH]]=1,calendar[[#This Row],[WeekDay]]=1, calendar[[#This Row],[WeekDay]]=7),P3855,P3855+1)</f>
        <v>2733</v>
      </c>
    </row>
    <row r="3857" spans="1:19" x14ac:dyDescent="0.25">
      <c r="A3857" s="2">
        <v>46591</v>
      </c>
      <c r="B3857" s="1">
        <f t="shared" si="306"/>
        <v>30</v>
      </c>
      <c r="C3857">
        <f t="shared" si="307"/>
        <v>7</v>
      </c>
      <c r="D3857" t="str">
        <f t="shared" si="308"/>
        <v>July</v>
      </c>
      <c r="E3857">
        <f t="shared" si="309"/>
        <v>2027</v>
      </c>
      <c r="F3857" t="str">
        <f>CONCATENATE(calendar[[#This Row],[Month]],"/",calendar[[#This Row],[Year]])</f>
        <v>7/2027</v>
      </c>
      <c r="G3857">
        <f>WEEKDAY(calendar[[#This Row],[Date]],1)</f>
        <v>6</v>
      </c>
      <c r="H3857" t="str">
        <f>TEXT(calendar[[#This Row],[WeekDay]],"dddd")</f>
        <v>Friday</v>
      </c>
      <c r="I3857">
        <f>IF((INT(calendar[[#This Row],[Count]]/7)-calendar[[#This Row],[Count]]/7)&lt;0,I3856,I3856+1)</f>
        <v>551</v>
      </c>
      <c r="J3857">
        <f t="shared" si="310"/>
        <v>3855</v>
      </c>
      <c r="K3857">
        <f>IF(calendar[[#This Row],[Month]]&lt;4,1,IF(calendar[[#This Row],[Month]]&lt;7,2,IF(calendar[[#This Row],[Month]]&lt;10,3,4)))</f>
        <v>3</v>
      </c>
      <c r="L3857">
        <f>IFERROR(IF(VLOOKUP(calendar[[#This Row],[Date]],BH!A:A,1,)&lt;&gt;"",1,0),0)</f>
        <v>0</v>
      </c>
      <c r="M3857">
        <f>IFERROR(IF(VLOOKUP(calendar[[#This Row],[Date]],BH!C:C,1,)&lt;&gt;"",1,0),0)</f>
        <v>0</v>
      </c>
      <c r="N3857">
        <f>IFERROR(IF(VLOOKUP(calendar[[#This Row],[Date]],BH!E:E,1,)&lt;&gt;"",1,0),0)</f>
        <v>0</v>
      </c>
      <c r="O3857">
        <f>IFERROR(IF(VLOOKUP(calendar[[#This Row],[Date]],BH!G:G,1,)&lt;&gt;"",1,0),0)</f>
        <v>0</v>
      </c>
      <c r="P3857">
        <f>IF(OR(calendar[[#This Row],[UK_BH]]=1,calendar[[#This Row],[WeekDay]]=1, calendar[[#This Row],[WeekDay]]=7),P3856,P3856+1)</f>
        <v>2734</v>
      </c>
      <c r="Q3857">
        <f>IF(OR(calendar[[#This Row],[FR_BH]]=1,calendar[[#This Row],[WeekDay]]=1, calendar[[#This Row],[WeekDay]]=7),P3856,P3856+1)</f>
        <v>2734</v>
      </c>
      <c r="R3857">
        <f>IF(OR(calendar[[#This Row],[SP_BH]]=1,calendar[[#This Row],[WeekDay]]=1, calendar[[#This Row],[WeekDay]]=7),P3856,P3856+1)</f>
        <v>2734</v>
      </c>
      <c r="S3857">
        <f>IF(OR(calendar[[#This Row],[PT_BH]]=1,calendar[[#This Row],[WeekDay]]=1, calendar[[#This Row],[WeekDay]]=7),P3856,P3856+1)</f>
        <v>2734</v>
      </c>
    </row>
    <row r="3858" spans="1:19" x14ac:dyDescent="0.25">
      <c r="A3858" s="2">
        <v>46592</v>
      </c>
      <c r="B3858" s="1">
        <f t="shared" si="306"/>
        <v>30</v>
      </c>
      <c r="C3858">
        <f t="shared" si="307"/>
        <v>7</v>
      </c>
      <c r="D3858" t="str">
        <f t="shared" si="308"/>
        <v>July</v>
      </c>
      <c r="E3858">
        <f t="shared" si="309"/>
        <v>2027</v>
      </c>
      <c r="F3858" t="str">
        <f>CONCATENATE(calendar[[#This Row],[Month]],"/",calendar[[#This Row],[Year]])</f>
        <v>7/2027</v>
      </c>
      <c r="G3858">
        <f>WEEKDAY(calendar[[#This Row],[Date]],1)</f>
        <v>7</v>
      </c>
      <c r="H3858" t="str">
        <f>TEXT(calendar[[#This Row],[WeekDay]],"dddd")</f>
        <v>Saturday</v>
      </c>
      <c r="I3858">
        <f>IF((INT(calendar[[#This Row],[Count]]/7)-calendar[[#This Row],[Count]]/7)&lt;0,I3857,I3857+1)</f>
        <v>551</v>
      </c>
      <c r="J3858">
        <f t="shared" si="310"/>
        <v>3856</v>
      </c>
      <c r="K3858">
        <f>IF(calendar[[#This Row],[Month]]&lt;4,1,IF(calendar[[#This Row],[Month]]&lt;7,2,IF(calendar[[#This Row],[Month]]&lt;10,3,4)))</f>
        <v>3</v>
      </c>
      <c r="L3858">
        <f>IFERROR(IF(VLOOKUP(calendar[[#This Row],[Date]],BH!A:A,1,)&lt;&gt;"",1,0),0)</f>
        <v>0</v>
      </c>
      <c r="M3858">
        <f>IFERROR(IF(VLOOKUP(calendar[[#This Row],[Date]],BH!C:C,1,)&lt;&gt;"",1,0),0)</f>
        <v>0</v>
      </c>
      <c r="N3858">
        <f>IFERROR(IF(VLOOKUP(calendar[[#This Row],[Date]],BH!E:E,1,)&lt;&gt;"",1,0),0)</f>
        <v>0</v>
      </c>
      <c r="O3858">
        <f>IFERROR(IF(VLOOKUP(calendar[[#This Row],[Date]],BH!G:G,1,)&lt;&gt;"",1,0),0)</f>
        <v>0</v>
      </c>
      <c r="P3858">
        <f>IF(OR(calendar[[#This Row],[UK_BH]]=1,calendar[[#This Row],[WeekDay]]=1, calendar[[#This Row],[WeekDay]]=7),P3857,P3857+1)</f>
        <v>2734</v>
      </c>
      <c r="Q3858">
        <f>IF(OR(calendar[[#This Row],[FR_BH]]=1,calendar[[#This Row],[WeekDay]]=1, calendar[[#This Row],[WeekDay]]=7),P3857,P3857+1)</f>
        <v>2734</v>
      </c>
      <c r="R3858">
        <f>IF(OR(calendar[[#This Row],[SP_BH]]=1,calendar[[#This Row],[WeekDay]]=1, calendar[[#This Row],[WeekDay]]=7),P3857,P3857+1)</f>
        <v>2734</v>
      </c>
      <c r="S3858">
        <f>IF(OR(calendar[[#This Row],[PT_BH]]=1,calendar[[#This Row],[WeekDay]]=1, calendar[[#This Row],[WeekDay]]=7),P3857,P3857+1)</f>
        <v>2734</v>
      </c>
    </row>
    <row r="3859" spans="1:19" x14ac:dyDescent="0.25">
      <c r="A3859" s="2">
        <v>46593</v>
      </c>
      <c r="B3859" s="1">
        <f t="shared" si="306"/>
        <v>31</v>
      </c>
      <c r="C3859">
        <f t="shared" si="307"/>
        <v>7</v>
      </c>
      <c r="D3859" t="str">
        <f t="shared" si="308"/>
        <v>July</v>
      </c>
      <c r="E3859">
        <f t="shared" si="309"/>
        <v>2027</v>
      </c>
      <c r="F3859" t="str">
        <f>CONCATENATE(calendar[[#This Row],[Month]],"/",calendar[[#This Row],[Year]])</f>
        <v>7/2027</v>
      </c>
      <c r="G3859">
        <f>WEEKDAY(calendar[[#This Row],[Date]],1)</f>
        <v>1</v>
      </c>
      <c r="H3859" t="str">
        <f>TEXT(calendar[[#This Row],[WeekDay]],"dddd")</f>
        <v>Sunday</v>
      </c>
      <c r="I3859">
        <f>IF((INT(calendar[[#This Row],[Count]]/7)-calendar[[#This Row],[Count]]/7)&lt;0,I3858,I3858+1)</f>
        <v>552</v>
      </c>
      <c r="J3859">
        <f t="shared" si="310"/>
        <v>3857</v>
      </c>
      <c r="K3859">
        <f>IF(calendar[[#This Row],[Month]]&lt;4,1,IF(calendar[[#This Row],[Month]]&lt;7,2,IF(calendar[[#This Row],[Month]]&lt;10,3,4)))</f>
        <v>3</v>
      </c>
      <c r="L3859">
        <f>IFERROR(IF(VLOOKUP(calendar[[#This Row],[Date]],BH!A:A,1,)&lt;&gt;"",1,0),0)</f>
        <v>0</v>
      </c>
      <c r="M3859">
        <f>IFERROR(IF(VLOOKUP(calendar[[#This Row],[Date]],BH!C:C,1,)&lt;&gt;"",1,0),0)</f>
        <v>0</v>
      </c>
      <c r="N3859">
        <f>IFERROR(IF(VLOOKUP(calendar[[#This Row],[Date]],BH!E:E,1,)&lt;&gt;"",1,0),0)</f>
        <v>0</v>
      </c>
      <c r="O3859">
        <f>IFERROR(IF(VLOOKUP(calendar[[#This Row],[Date]],BH!G:G,1,)&lt;&gt;"",1,0),0)</f>
        <v>0</v>
      </c>
      <c r="P3859">
        <f>IF(OR(calendar[[#This Row],[UK_BH]]=1,calendar[[#This Row],[WeekDay]]=1, calendar[[#This Row],[WeekDay]]=7),P3858,P3858+1)</f>
        <v>2734</v>
      </c>
      <c r="Q3859">
        <f>IF(OR(calendar[[#This Row],[FR_BH]]=1,calendar[[#This Row],[WeekDay]]=1, calendar[[#This Row],[WeekDay]]=7),P3858,P3858+1)</f>
        <v>2734</v>
      </c>
      <c r="R3859">
        <f>IF(OR(calendar[[#This Row],[SP_BH]]=1,calendar[[#This Row],[WeekDay]]=1, calendar[[#This Row],[WeekDay]]=7),P3858,P3858+1)</f>
        <v>2734</v>
      </c>
      <c r="S3859">
        <f>IF(OR(calendar[[#This Row],[PT_BH]]=1,calendar[[#This Row],[WeekDay]]=1, calendar[[#This Row],[WeekDay]]=7),P3858,P3858+1)</f>
        <v>2734</v>
      </c>
    </row>
    <row r="3860" spans="1:19" x14ac:dyDescent="0.25">
      <c r="A3860" s="2">
        <v>46594</v>
      </c>
      <c r="B3860" s="1">
        <f t="shared" si="306"/>
        <v>31</v>
      </c>
      <c r="C3860">
        <f t="shared" si="307"/>
        <v>7</v>
      </c>
      <c r="D3860" t="str">
        <f t="shared" si="308"/>
        <v>July</v>
      </c>
      <c r="E3860">
        <f t="shared" si="309"/>
        <v>2027</v>
      </c>
      <c r="F3860" t="str">
        <f>CONCATENATE(calendar[[#This Row],[Month]],"/",calendar[[#This Row],[Year]])</f>
        <v>7/2027</v>
      </c>
      <c r="G3860">
        <f>WEEKDAY(calendar[[#This Row],[Date]],1)</f>
        <v>2</v>
      </c>
      <c r="H3860" t="str">
        <f>TEXT(calendar[[#This Row],[WeekDay]],"dddd")</f>
        <v>Monday</v>
      </c>
      <c r="I3860">
        <f>IF((INT(calendar[[#This Row],[Count]]/7)-calendar[[#This Row],[Count]]/7)&lt;0,I3859,I3859+1)</f>
        <v>552</v>
      </c>
      <c r="J3860">
        <f t="shared" si="310"/>
        <v>3858</v>
      </c>
      <c r="K3860">
        <f>IF(calendar[[#This Row],[Month]]&lt;4,1,IF(calendar[[#This Row],[Month]]&lt;7,2,IF(calendar[[#This Row],[Month]]&lt;10,3,4)))</f>
        <v>3</v>
      </c>
      <c r="L3860">
        <f>IFERROR(IF(VLOOKUP(calendar[[#This Row],[Date]],BH!A:A,1,)&lt;&gt;"",1,0),0)</f>
        <v>0</v>
      </c>
      <c r="M3860">
        <f>IFERROR(IF(VLOOKUP(calendar[[#This Row],[Date]],BH!C:C,1,)&lt;&gt;"",1,0),0)</f>
        <v>0</v>
      </c>
      <c r="N3860">
        <f>IFERROR(IF(VLOOKUP(calendar[[#This Row],[Date]],BH!E:E,1,)&lt;&gt;"",1,0),0)</f>
        <v>0</v>
      </c>
      <c r="O3860">
        <f>IFERROR(IF(VLOOKUP(calendar[[#This Row],[Date]],BH!G:G,1,)&lt;&gt;"",1,0),0)</f>
        <v>0</v>
      </c>
      <c r="P3860">
        <f>IF(OR(calendar[[#This Row],[UK_BH]]=1,calendar[[#This Row],[WeekDay]]=1, calendar[[#This Row],[WeekDay]]=7),P3859,P3859+1)</f>
        <v>2735</v>
      </c>
      <c r="Q3860">
        <f>IF(OR(calendar[[#This Row],[FR_BH]]=1,calendar[[#This Row],[WeekDay]]=1, calendar[[#This Row],[WeekDay]]=7),P3859,P3859+1)</f>
        <v>2735</v>
      </c>
      <c r="R3860">
        <f>IF(OR(calendar[[#This Row],[SP_BH]]=1,calendar[[#This Row],[WeekDay]]=1, calendar[[#This Row],[WeekDay]]=7),P3859,P3859+1)</f>
        <v>2735</v>
      </c>
      <c r="S3860">
        <f>IF(OR(calendar[[#This Row],[PT_BH]]=1,calendar[[#This Row],[WeekDay]]=1, calendar[[#This Row],[WeekDay]]=7),P3859,P3859+1)</f>
        <v>2735</v>
      </c>
    </row>
    <row r="3861" spans="1:19" x14ac:dyDescent="0.25">
      <c r="A3861" s="2">
        <v>46595</v>
      </c>
      <c r="B3861" s="1">
        <f t="shared" si="306"/>
        <v>31</v>
      </c>
      <c r="C3861">
        <f t="shared" si="307"/>
        <v>7</v>
      </c>
      <c r="D3861" t="str">
        <f t="shared" si="308"/>
        <v>July</v>
      </c>
      <c r="E3861">
        <f t="shared" si="309"/>
        <v>2027</v>
      </c>
      <c r="F3861" t="str">
        <f>CONCATENATE(calendar[[#This Row],[Month]],"/",calendar[[#This Row],[Year]])</f>
        <v>7/2027</v>
      </c>
      <c r="G3861">
        <f>WEEKDAY(calendar[[#This Row],[Date]],1)</f>
        <v>3</v>
      </c>
      <c r="H3861" t="str">
        <f>TEXT(calendar[[#This Row],[WeekDay]],"dddd")</f>
        <v>Tuesday</v>
      </c>
      <c r="I3861">
        <f>IF((INT(calendar[[#This Row],[Count]]/7)-calendar[[#This Row],[Count]]/7)&lt;0,I3860,I3860+1)</f>
        <v>552</v>
      </c>
      <c r="J3861">
        <f t="shared" si="310"/>
        <v>3859</v>
      </c>
      <c r="K3861">
        <f>IF(calendar[[#This Row],[Month]]&lt;4,1,IF(calendar[[#This Row],[Month]]&lt;7,2,IF(calendar[[#This Row],[Month]]&lt;10,3,4)))</f>
        <v>3</v>
      </c>
      <c r="L3861">
        <f>IFERROR(IF(VLOOKUP(calendar[[#This Row],[Date]],BH!A:A,1,)&lt;&gt;"",1,0),0)</f>
        <v>0</v>
      </c>
      <c r="M3861">
        <f>IFERROR(IF(VLOOKUP(calendar[[#This Row],[Date]],BH!C:C,1,)&lt;&gt;"",1,0),0)</f>
        <v>0</v>
      </c>
      <c r="N3861">
        <f>IFERROR(IF(VLOOKUP(calendar[[#This Row],[Date]],BH!E:E,1,)&lt;&gt;"",1,0),0)</f>
        <v>0</v>
      </c>
      <c r="O3861">
        <f>IFERROR(IF(VLOOKUP(calendar[[#This Row],[Date]],BH!G:G,1,)&lt;&gt;"",1,0),0)</f>
        <v>0</v>
      </c>
      <c r="P3861">
        <f>IF(OR(calendar[[#This Row],[UK_BH]]=1,calendar[[#This Row],[WeekDay]]=1, calendar[[#This Row],[WeekDay]]=7),P3860,P3860+1)</f>
        <v>2736</v>
      </c>
      <c r="Q3861">
        <f>IF(OR(calendar[[#This Row],[FR_BH]]=1,calendar[[#This Row],[WeekDay]]=1, calendar[[#This Row],[WeekDay]]=7),P3860,P3860+1)</f>
        <v>2736</v>
      </c>
      <c r="R3861">
        <f>IF(OR(calendar[[#This Row],[SP_BH]]=1,calendar[[#This Row],[WeekDay]]=1, calendar[[#This Row],[WeekDay]]=7),P3860,P3860+1)</f>
        <v>2736</v>
      </c>
      <c r="S3861">
        <f>IF(OR(calendar[[#This Row],[PT_BH]]=1,calendar[[#This Row],[WeekDay]]=1, calendar[[#This Row],[WeekDay]]=7),P3860,P3860+1)</f>
        <v>2736</v>
      </c>
    </row>
    <row r="3862" spans="1:19" x14ac:dyDescent="0.25">
      <c r="A3862" s="2">
        <v>46596</v>
      </c>
      <c r="B3862" s="1">
        <f t="shared" si="306"/>
        <v>31</v>
      </c>
      <c r="C3862">
        <f t="shared" si="307"/>
        <v>7</v>
      </c>
      <c r="D3862" t="str">
        <f t="shared" si="308"/>
        <v>July</v>
      </c>
      <c r="E3862">
        <f t="shared" si="309"/>
        <v>2027</v>
      </c>
      <c r="F3862" t="str">
        <f>CONCATENATE(calendar[[#This Row],[Month]],"/",calendar[[#This Row],[Year]])</f>
        <v>7/2027</v>
      </c>
      <c r="G3862">
        <f>WEEKDAY(calendar[[#This Row],[Date]],1)</f>
        <v>4</v>
      </c>
      <c r="H3862" t="str">
        <f>TEXT(calendar[[#This Row],[WeekDay]],"dddd")</f>
        <v>Wednesday</v>
      </c>
      <c r="I3862">
        <f>IF((INT(calendar[[#This Row],[Count]]/7)-calendar[[#This Row],[Count]]/7)&lt;0,I3861,I3861+1)</f>
        <v>552</v>
      </c>
      <c r="J3862">
        <f t="shared" si="310"/>
        <v>3860</v>
      </c>
      <c r="K3862">
        <f>IF(calendar[[#This Row],[Month]]&lt;4,1,IF(calendar[[#This Row],[Month]]&lt;7,2,IF(calendar[[#This Row],[Month]]&lt;10,3,4)))</f>
        <v>3</v>
      </c>
      <c r="L3862">
        <f>IFERROR(IF(VLOOKUP(calendar[[#This Row],[Date]],BH!A:A,1,)&lt;&gt;"",1,0),0)</f>
        <v>0</v>
      </c>
      <c r="M3862">
        <f>IFERROR(IF(VLOOKUP(calendar[[#This Row],[Date]],BH!C:C,1,)&lt;&gt;"",1,0),0)</f>
        <v>0</v>
      </c>
      <c r="N3862">
        <f>IFERROR(IF(VLOOKUP(calendar[[#This Row],[Date]],BH!E:E,1,)&lt;&gt;"",1,0),0)</f>
        <v>0</v>
      </c>
      <c r="O3862">
        <f>IFERROR(IF(VLOOKUP(calendar[[#This Row],[Date]],BH!G:G,1,)&lt;&gt;"",1,0),0)</f>
        <v>0</v>
      </c>
      <c r="P3862">
        <f>IF(OR(calendar[[#This Row],[UK_BH]]=1,calendar[[#This Row],[WeekDay]]=1, calendar[[#This Row],[WeekDay]]=7),P3861,P3861+1)</f>
        <v>2737</v>
      </c>
      <c r="Q3862">
        <f>IF(OR(calendar[[#This Row],[FR_BH]]=1,calendar[[#This Row],[WeekDay]]=1, calendar[[#This Row],[WeekDay]]=7),P3861,P3861+1)</f>
        <v>2737</v>
      </c>
      <c r="R3862">
        <f>IF(OR(calendar[[#This Row],[SP_BH]]=1,calendar[[#This Row],[WeekDay]]=1, calendar[[#This Row],[WeekDay]]=7),P3861,P3861+1)</f>
        <v>2737</v>
      </c>
      <c r="S3862">
        <f>IF(OR(calendar[[#This Row],[PT_BH]]=1,calendar[[#This Row],[WeekDay]]=1, calendar[[#This Row],[WeekDay]]=7),P3861,P3861+1)</f>
        <v>2737</v>
      </c>
    </row>
    <row r="3863" spans="1:19" x14ac:dyDescent="0.25">
      <c r="A3863" s="2">
        <v>46597</v>
      </c>
      <c r="B3863" s="1">
        <f t="shared" si="306"/>
        <v>31</v>
      </c>
      <c r="C3863">
        <f t="shared" si="307"/>
        <v>7</v>
      </c>
      <c r="D3863" t="str">
        <f t="shared" si="308"/>
        <v>July</v>
      </c>
      <c r="E3863">
        <f t="shared" si="309"/>
        <v>2027</v>
      </c>
      <c r="F3863" t="str">
        <f>CONCATENATE(calendar[[#This Row],[Month]],"/",calendar[[#This Row],[Year]])</f>
        <v>7/2027</v>
      </c>
      <c r="G3863">
        <f>WEEKDAY(calendar[[#This Row],[Date]],1)</f>
        <v>5</v>
      </c>
      <c r="H3863" t="str">
        <f>TEXT(calendar[[#This Row],[WeekDay]],"dddd")</f>
        <v>Thursday</v>
      </c>
      <c r="I3863">
        <f>IF((INT(calendar[[#This Row],[Count]]/7)-calendar[[#This Row],[Count]]/7)&lt;0,I3862,I3862+1)</f>
        <v>552</v>
      </c>
      <c r="J3863">
        <f t="shared" si="310"/>
        <v>3861</v>
      </c>
      <c r="K3863">
        <f>IF(calendar[[#This Row],[Month]]&lt;4,1,IF(calendar[[#This Row],[Month]]&lt;7,2,IF(calendar[[#This Row],[Month]]&lt;10,3,4)))</f>
        <v>3</v>
      </c>
      <c r="L3863">
        <f>IFERROR(IF(VLOOKUP(calendar[[#This Row],[Date]],BH!A:A,1,)&lt;&gt;"",1,0),0)</f>
        <v>0</v>
      </c>
      <c r="M3863">
        <f>IFERROR(IF(VLOOKUP(calendar[[#This Row],[Date]],BH!C:C,1,)&lt;&gt;"",1,0),0)</f>
        <v>0</v>
      </c>
      <c r="N3863">
        <f>IFERROR(IF(VLOOKUP(calendar[[#This Row],[Date]],BH!E:E,1,)&lt;&gt;"",1,0),0)</f>
        <v>0</v>
      </c>
      <c r="O3863">
        <f>IFERROR(IF(VLOOKUP(calendar[[#This Row],[Date]],BH!G:G,1,)&lt;&gt;"",1,0),0)</f>
        <v>0</v>
      </c>
      <c r="P3863">
        <f>IF(OR(calendar[[#This Row],[UK_BH]]=1,calendar[[#This Row],[WeekDay]]=1, calendar[[#This Row],[WeekDay]]=7),P3862,P3862+1)</f>
        <v>2738</v>
      </c>
      <c r="Q3863">
        <f>IF(OR(calendar[[#This Row],[FR_BH]]=1,calendar[[#This Row],[WeekDay]]=1, calendar[[#This Row],[WeekDay]]=7),P3862,P3862+1)</f>
        <v>2738</v>
      </c>
      <c r="R3863">
        <f>IF(OR(calendar[[#This Row],[SP_BH]]=1,calendar[[#This Row],[WeekDay]]=1, calendar[[#This Row],[WeekDay]]=7),P3862,P3862+1)</f>
        <v>2738</v>
      </c>
      <c r="S3863">
        <f>IF(OR(calendar[[#This Row],[PT_BH]]=1,calendar[[#This Row],[WeekDay]]=1, calendar[[#This Row],[WeekDay]]=7),P3862,P3862+1)</f>
        <v>2738</v>
      </c>
    </row>
    <row r="3864" spans="1:19" x14ac:dyDescent="0.25">
      <c r="A3864" s="2">
        <v>46598</v>
      </c>
      <c r="B3864" s="1">
        <f t="shared" si="306"/>
        <v>31</v>
      </c>
      <c r="C3864">
        <f t="shared" si="307"/>
        <v>7</v>
      </c>
      <c r="D3864" t="str">
        <f t="shared" si="308"/>
        <v>July</v>
      </c>
      <c r="E3864">
        <f t="shared" si="309"/>
        <v>2027</v>
      </c>
      <c r="F3864" t="str">
        <f>CONCATENATE(calendar[[#This Row],[Month]],"/",calendar[[#This Row],[Year]])</f>
        <v>7/2027</v>
      </c>
      <c r="G3864">
        <f>WEEKDAY(calendar[[#This Row],[Date]],1)</f>
        <v>6</v>
      </c>
      <c r="H3864" t="str">
        <f>TEXT(calendar[[#This Row],[WeekDay]],"dddd")</f>
        <v>Friday</v>
      </c>
      <c r="I3864">
        <f>IF((INT(calendar[[#This Row],[Count]]/7)-calendar[[#This Row],[Count]]/7)&lt;0,I3863,I3863+1)</f>
        <v>552</v>
      </c>
      <c r="J3864">
        <f t="shared" si="310"/>
        <v>3862</v>
      </c>
      <c r="K3864">
        <f>IF(calendar[[#This Row],[Month]]&lt;4,1,IF(calendar[[#This Row],[Month]]&lt;7,2,IF(calendar[[#This Row],[Month]]&lt;10,3,4)))</f>
        <v>3</v>
      </c>
      <c r="L3864">
        <f>IFERROR(IF(VLOOKUP(calendar[[#This Row],[Date]],BH!A:A,1,)&lt;&gt;"",1,0),0)</f>
        <v>0</v>
      </c>
      <c r="M3864">
        <f>IFERROR(IF(VLOOKUP(calendar[[#This Row],[Date]],BH!C:C,1,)&lt;&gt;"",1,0),0)</f>
        <v>0</v>
      </c>
      <c r="N3864">
        <f>IFERROR(IF(VLOOKUP(calendar[[#This Row],[Date]],BH!E:E,1,)&lt;&gt;"",1,0),0)</f>
        <v>0</v>
      </c>
      <c r="O3864">
        <f>IFERROR(IF(VLOOKUP(calendar[[#This Row],[Date]],BH!G:G,1,)&lt;&gt;"",1,0),0)</f>
        <v>0</v>
      </c>
      <c r="P3864">
        <f>IF(OR(calendar[[#This Row],[UK_BH]]=1,calendar[[#This Row],[WeekDay]]=1, calendar[[#This Row],[WeekDay]]=7),P3863,P3863+1)</f>
        <v>2739</v>
      </c>
      <c r="Q3864">
        <f>IF(OR(calendar[[#This Row],[FR_BH]]=1,calendar[[#This Row],[WeekDay]]=1, calendar[[#This Row],[WeekDay]]=7),P3863,P3863+1)</f>
        <v>2739</v>
      </c>
      <c r="R3864">
        <f>IF(OR(calendar[[#This Row],[SP_BH]]=1,calendar[[#This Row],[WeekDay]]=1, calendar[[#This Row],[WeekDay]]=7),P3863,P3863+1)</f>
        <v>2739</v>
      </c>
      <c r="S3864">
        <f>IF(OR(calendar[[#This Row],[PT_BH]]=1,calendar[[#This Row],[WeekDay]]=1, calendar[[#This Row],[WeekDay]]=7),P3863,P3863+1)</f>
        <v>2739</v>
      </c>
    </row>
    <row r="3865" spans="1:19" x14ac:dyDescent="0.25">
      <c r="A3865" s="2">
        <v>46599</v>
      </c>
      <c r="B3865" s="1">
        <f t="shared" si="306"/>
        <v>31</v>
      </c>
      <c r="C3865">
        <f t="shared" si="307"/>
        <v>7</v>
      </c>
      <c r="D3865" t="str">
        <f t="shared" si="308"/>
        <v>July</v>
      </c>
      <c r="E3865">
        <f t="shared" si="309"/>
        <v>2027</v>
      </c>
      <c r="F3865" t="str">
        <f>CONCATENATE(calendar[[#This Row],[Month]],"/",calendar[[#This Row],[Year]])</f>
        <v>7/2027</v>
      </c>
      <c r="G3865">
        <f>WEEKDAY(calendar[[#This Row],[Date]],1)</f>
        <v>7</v>
      </c>
      <c r="H3865" t="str">
        <f>TEXT(calendar[[#This Row],[WeekDay]],"dddd")</f>
        <v>Saturday</v>
      </c>
      <c r="I3865">
        <f>IF((INT(calendar[[#This Row],[Count]]/7)-calendar[[#This Row],[Count]]/7)&lt;0,I3864,I3864+1)</f>
        <v>552</v>
      </c>
      <c r="J3865">
        <f t="shared" si="310"/>
        <v>3863</v>
      </c>
      <c r="K3865">
        <f>IF(calendar[[#This Row],[Month]]&lt;4,1,IF(calendar[[#This Row],[Month]]&lt;7,2,IF(calendar[[#This Row],[Month]]&lt;10,3,4)))</f>
        <v>3</v>
      </c>
      <c r="L3865">
        <f>IFERROR(IF(VLOOKUP(calendar[[#This Row],[Date]],BH!A:A,1,)&lt;&gt;"",1,0),0)</f>
        <v>0</v>
      </c>
      <c r="M3865">
        <f>IFERROR(IF(VLOOKUP(calendar[[#This Row],[Date]],BH!C:C,1,)&lt;&gt;"",1,0),0)</f>
        <v>0</v>
      </c>
      <c r="N3865">
        <f>IFERROR(IF(VLOOKUP(calendar[[#This Row],[Date]],BH!E:E,1,)&lt;&gt;"",1,0),0)</f>
        <v>0</v>
      </c>
      <c r="O3865">
        <f>IFERROR(IF(VLOOKUP(calendar[[#This Row],[Date]],BH!G:G,1,)&lt;&gt;"",1,0),0)</f>
        <v>0</v>
      </c>
      <c r="P3865">
        <f>IF(OR(calendar[[#This Row],[UK_BH]]=1,calendar[[#This Row],[WeekDay]]=1, calendar[[#This Row],[WeekDay]]=7),P3864,P3864+1)</f>
        <v>2739</v>
      </c>
      <c r="Q3865">
        <f>IF(OR(calendar[[#This Row],[FR_BH]]=1,calendar[[#This Row],[WeekDay]]=1, calendar[[#This Row],[WeekDay]]=7),P3864,P3864+1)</f>
        <v>2739</v>
      </c>
      <c r="R3865">
        <f>IF(OR(calendar[[#This Row],[SP_BH]]=1,calendar[[#This Row],[WeekDay]]=1, calendar[[#This Row],[WeekDay]]=7),P3864,P3864+1)</f>
        <v>2739</v>
      </c>
      <c r="S3865">
        <f>IF(OR(calendar[[#This Row],[PT_BH]]=1,calendar[[#This Row],[WeekDay]]=1, calendar[[#This Row],[WeekDay]]=7),P3864,P3864+1)</f>
        <v>2739</v>
      </c>
    </row>
    <row r="3866" spans="1:19" x14ac:dyDescent="0.25">
      <c r="A3866" s="2">
        <v>46600</v>
      </c>
      <c r="B3866" s="1">
        <f t="shared" si="306"/>
        <v>32</v>
      </c>
      <c r="C3866">
        <f t="shared" si="307"/>
        <v>8</v>
      </c>
      <c r="D3866" t="str">
        <f t="shared" si="308"/>
        <v>August</v>
      </c>
      <c r="E3866">
        <f t="shared" si="309"/>
        <v>2027</v>
      </c>
      <c r="F3866" t="str">
        <f>CONCATENATE(calendar[[#This Row],[Month]],"/",calendar[[#This Row],[Year]])</f>
        <v>8/2027</v>
      </c>
      <c r="G3866">
        <f>WEEKDAY(calendar[[#This Row],[Date]],1)</f>
        <v>1</v>
      </c>
      <c r="H3866" t="str">
        <f>TEXT(calendar[[#This Row],[WeekDay]],"dddd")</f>
        <v>Sunday</v>
      </c>
      <c r="I3866">
        <f>IF((INT(calendar[[#This Row],[Count]]/7)-calendar[[#This Row],[Count]]/7)&lt;0,I3865,I3865+1)</f>
        <v>553</v>
      </c>
      <c r="J3866">
        <f t="shared" si="310"/>
        <v>3864</v>
      </c>
      <c r="K3866">
        <f>IF(calendar[[#This Row],[Month]]&lt;4,1,IF(calendar[[#This Row],[Month]]&lt;7,2,IF(calendar[[#This Row],[Month]]&lt;10,3,4)))</f>
        <v>3</v>
      </c>
      <c r="L3866">
        <f>IFERROR(IF(VLOOKUP(calendar[[#This Row],[Date]],BH!A:A,1,)&lt;&gt;"",1,0),0)</f>
        <v>0</v>
      </c>
      <c r="M3866">
        <f>IFERROR(IF(VLOOKUP(calendar[[#This Row],[Date]],BH!C:C,1,)&lt;&gt;"",1,0),0)</f>
        <v>0</v>
      </c>
      <c r="N3866">
        <f>IFERROR(IF(VLOOKUP(calendar[[#This Row],[Date]],BH!E:E,1,)&lt;&gt;"",1,0),0)</f>
        <v>0</v>
      </c>
      <c r="O3866">
        <f>IFERROR(IF(VLOOKUP(calendar[[#This Row],[Date]],BH!G:G,1,)&lt;&gt;"",1,0),0)</f>
        <v>0</v>
      </c>
      <c r="P3866">
        <f>IF(OR(calendar[[#This Row],[UK_BH]]=1,calendar[[#This Row],[WeekDay]]=1, calendar[[#This Row],[WeekDay]]=7),P3865,P3865+1)</f>
        <v>2739</v>
      </c>
      <c r="Q3866">
        <f>IF(OR(calendar[[#This Row],[FR_BH]]=1,calendar[[#This Row],[WeekDay]]=1, calendar[[#This Row],[WeekDay]]=7),P3865,P3865+1)</f>
        <v>2739</v>
      </c>
      <c r="R3866">
        <f>IF(OR(calendar[[#This Row],[SP_BH]]=1,calendar[[#This Row],[WeekDay]]=1, calendar[[#This Row],[WeekDay]]=7),P3865,P3865+1)</f>
        <v>2739</v>
      </c>
      <c r="S3866">
        <f>IF(OR(calendar[[#This Row],[PT_BH]]=1,calendar[[#This Row],[WeekDay]]=1, calendar[[#This Row],[WeekDay]]=7),P3865,P3865+1)</f>
        <v>2739</v>
      </c>
    </row>
    <row r="3867" spans="1:19" x14ac:dyDescent="0.25">
      <c r="A3867" s="2">
        <v>46601</v>
      </c>
      <c r="B3867" s="1">
        <f t="shared" si="306"/>
        <v>32</v>
      </c>
      <c r="C3867">
        <f t="shared" si="307"/>
        <v>8</v>
      </c>
      <c r="D3867" t="str">
        <f t="shared" si="308"/>
        <v>August</v>
      </c>
      <c r="E3867">
        <f t="shared" si="309"/>
        <v>2027</v>
      </c>
      <c r="F3867" t="str">
        <f>CONCATENATE(calendar[[#This Row],[Month]],"/",calendar[[#This Row],[Year]])</f>
        <v>8/2027</v>
      </c>
      <c r="G3867">
        <f>WEEKDAY(calendar[[#This Row],[Date]],1)</f>
        <v>2</v>
      </c>
      <c r="H3867" t="str">
        <f>TEXT(calendar[[#This Row],[WeekDay]],"dddd")</f>
        <v>Monday</v>
      </c>
      <c r="I3867">
        <f>IF((INT(calendar[[#This Row],[Count]]/7)-calendar[[#This Row],[Count]]/7)&lt;0,I3866,I3866+1)</f>
        <v>553</v>
      </c>
      <c r="J3867">
        <f t="shared" si="310"/>
        <v>3865</v>
      </c>
      <c r="K3867">
        <f>IF(calendar[[#This Row],[Month]]&lt;4,1,IF(calendar[[#This Row],[Month]]&lt;7,2,IF(calendar[[#This Row],[Month]]&lt;10,3,4)))</f>
        <v>3</v>
      </c>
      <c r="L3867">
        <f>IFERROR(IF(VLOOKUP(calendar[[#This Row],[Date]],BH!A:A,1,)&lt;&gt;"",1,0),0)</f>
        <v>0</v>
      </c>
      <c r="M3867">
        <f>IFERROR(IF(VLOOKUP(calendar[[#This Row],[Date]],BH!C:C,1,)&lt;&gt;"",1,0),0)</f>
        <v>0</v>
      </c>
      <c r="N3867">
        <f>IFERROR(IF(VLOOKUP(calendar[[#This Row],[Date]],BH!E:E,1,)&lt;&gt;"",1,0),0)</f>
        <v>0</v>
      </c>
      <c r="O3867">
        <f>IFERROR(IF(VLOOKUP(calendar[[#This Row],[Date]],BH!G:G,1,)&lt;&gt;"",1,0),0)</f>
        <v>0</v>
      </c>
      <c r="P3867">
        <f>IF(OR(calendar[[#This Row],[UK_BH]]=1,calendar[[#This Row],[WeekDay]]=1, calendar[[#This Row],[WeekDay]]=7),P3866,P3866+1)</f>
        <v>2740</v>
      </c>
      <c r="Q3867">
        <f>IF(OR(calendar[[#This Row],[FR_BH]]=1,calendar[[#This Row],[WeekDay]]=1, calendar[[#This Row],[WeekDay]]=7),P3866,P3866+1)</f>
        <v>2740</v>
      </c>
      <c r="R3867">
        <f>IF(OR(calendar[[#This Row],[SP_BH]]=1,calendar[[#This Row],[WeekDay]]=1, calendar[[#This Row],[WeekDay]]=7),P3866,P3866+1)</f>
        <v>2740</v>
      </c>
      <c r="S3867">
        <f>IF(OR(calendar[[#This Row],[PT_BH]]=1,calendar[[#This Row],[WeekDay]]=1, calendar[[#This Row],[WeekDay]]=7),P3866,P3866+1)</f>
        <v>2740</v>
      </c>
    </row>
    <row r="3868" spans="1:19" x14ac:dyDescent="0.25">
      <c r="A3868" s="2">
        <v>46602</v>
      </c>
      <c r="B3868" s="1">
        <f t="shared" si="306"/>
        <v>32</v>
      </c>
      <c r="C3868">
        <f t="shared" si="307"/>
        <v>8</v>
      </c>
      <c r="D3868" t="str">
        <f t="shared" si="308"/>
        <v>August</v>
      </c>
      <c r="E3868">
        <f t="shared" si="309"/>
        <v>2027</v>
      </c>
      <c r="F3868" t="str">
        <f>CONCATENATE(calendar[[#This Row],[Month]],"/",calendar[[#This Row],[Year]])</f>
        <v>8/2027</v>
      </c>
      <c r="G3868">
        <f>WEEKDAY(calendar[[#This Row],[Date]],1)</f>
        <v>3</v>
      </c>
      <c r="H3868" t="str">
        <f>TEXT(calendar[[#This Row],[WeekDay]],"dddd")</f>
        <v>Tuesday</v>
      </c>
      <c r="I3868">
        <f>IF((INT(calendar[[#This Row],[Count]]/7)-calendar[[#This Row],[Count]]/7)&lt;0,I3867,I3867+1)</f>
        <v>553</v>
      </c>
      <c r="J3868">
        <f t="shared" si="310"/>
        <v>3866</v>
      </c>
      <c r="K3868">
        <f>IF(calendar[[#This Row],[Month]]&lt;4,1,IF(calendar[[#This Row],[Month]]&lt;7,2,IF(calendar[[#This Row],[Month]]&lt;10,3,4)))</f>
        <v>3</v>
      </c>
      <c r="L3868">
        <f>IFERROR(IF(VLOOKUP(calendar[[#This Row],[Date]],BH!A:A,1,)&lt;&gt;"",1,0),0)</f>
        <v>0</v>
      </c>
      <c r="M3868">
        <f>IFERROR(IF(VLOOKUP(calendar[[#This Row],[Date]],BH!C:C,1,)&lt;&gt;"",1,0),0)</f>
        <v>0</v>
      </c>
      <c r="N3868">
        <f>IFERROR(IF(VLOOKUP(calendar[[#This Row],[Date]],BH!E:E,1,)&lt;&gt;"",1,0),0)</f>
        <v>0</v>
      </c>
      <c r="O3868">
        <f>IFERROR(IF(VLOOKUP(calendar[[#This Row],[Date]],BH!G:G,1,)&lt;&gt;"",1,0),0)</f>
        <v>0</v>
      </c>
      <c r="P3868">
        <f>IF(OR(calendar[[#This Row],[UK_BH]]=1,calendar[[#This Row],[WeekDay]]=1, calendar[[#This Row],[WeekDay]]=7),P3867,P3867+1)</f>
        <v>2741</v>
      </c>
      <c r="Q3868">
        <f>IF(OR(calendar[[#This Row],[FR_BH]]=1,calendar[[#This Row],[WeekDay]]=1, calendar[[#This Row],[WeekDay]]=7),P3867,P3867+1)</f>
        <v>2741</v>
      </c>
      <c r="R3868">
        <f>IF(OR(calendar[[#This Row],[SP_BH]]=1,calendar[[#This Row],[WeekDay]]=1, calendar[[#This Row],[WeekDay]]=7),P3867,P3867+1)</f>
        <v>2741</v>
      </c>
      <c r="S3868">
        <f>IF(OR(calendar[[#This Row],[PT_BH]]=1,calendar[[#This Row],[WeekDay]]=1, calendar[[#This Row],[WeekDay]]=7),P3867,P3867+1)</f>
        <v>2741</v>
      </c>
    </row>
    <row r="3869" spans="1:19" x14ac:dyDescent="0.25">
      <c r="A3869" s="2">
        <v>46603</v>
      </c>
      <c r="B3869" s="1">
        <f t="shared" si="306"/>
        <v>32</v>
      </c>
      <c r="C3869">
        <f t="shared" si="307"/>
        <v>8</v>
      </c>
      <c r="D3869" t="str">
        <f t="shared" si="308"/>
        <v>August</v>
      </c>
      <c r="E3869">
        <f t="shared" si="309"/>
        <v>2027</v>
      </c>
      <c r="F3869" t="str">
        <f>CONCATENATE(calendar[[#This Row],[Month]],"/",calendar[[#This Row],[Year]])</f>
        <v>8/2027</v>
      </c>
      <c r="G3869">
        <f>WEEKDAY(calendar[[#This Row],[Date]],1)</f>
        <v>4</v>
      </c>
      <c r="H3869" t="str">
        <f>TEXT(calendar[[#This Row],[WeekDay]],"dddd")</f>
        <v>Wednesday</v>
      </c>
      <c r="I3869">
        <f>IF((INT(calendar[[#This Row],[Count]]/7)-calendar[[#This Row],[Count]]/7)&lt;0,I3868,I3868+1)</f>
        <v>553</v>
      </c>
      <c r="J3869">
        <f t="shared" si="310"/>
        <v>3867</v>
      </c>
      <c r="K3869">
        <f>IF(calendar[[#This Row],[Month]]&lt;4,1,IF(calendar[[#This Row],[Month]]&lt;7,2,IF(calendar[[#This Row],[Month]]&lt;10,3,4)))</f>
        <v>3</v>
      </c>
      <c r="L3869">
        <f>IFERROR(IF(VLOOKUP(calendar[[#This Row],[Date]],BH!A:A,1,)&lt;&gt;"",1,0),0)</f>
        <v>0</v>
      </c>
      <c r="M3869">
        <f>IFERROR(IF(VLOOKUP(calendar[[#This Row],[Date]],BH!C:C,1,)&lt;&gt;"",1,0),0)</f>
        <v>0</v>
      </c>
      <c r="N3869">
        <f>IFERROR(IF(VLOOKUP(calendar[[#This Row],[Date]],BH!E:E,1,)&lt;&gt;"",1,0),0)</f>
        <v>0</v>
      </c>
      <c r="O3869">
        <f>IFERROR(IF(VLOOKUP(calendar[[#This Row],[Date]],BH!G:G,1,)&lt;&gt;"",1,0),0)</f>
        <v>0</v>
      </c>
      <c r="P3869">
        <f>IF(OR(calendar[[#This Row],[UK_BH]]=1,calendar[[#This Row],[WeekDay]]=1, calendar[[#This Row],[WeekDay]]=7),P3868,P3868+1)</f>
        <v>2742</v>
      </c>
      <c r="Q3869">
        <f>IF(OR(calendar[[#This Row],[FR_BH]]=1,calendar[[#This Row],[WeekDay]]=1, calendar[[#This Row],[WeekDay]]=7),P3868,P3868+1)</f>
        <v>2742</v>
      </c>
      <c r="R3869">
        <f>IF(OR(calendar[[#This Row],[SP_BH]]=1,calendar[[#This Row],[WeekDay]]=1, calendar[[#This Row],[WeekDay]]=7),P3868,P3868+1)</f>
        <v>2742</v>
      </c>
      <c r="S3869">
        <f>IF(OR(calendar[[#This Row],[PT_BH]]=1,calendar[[#This Row],[WeekDay]]=1, calendar[[#This Row],[WeekDay]]=7),P3868,P3868+1)</f>
        <v>2742</v>
      </c>
    </row>
    <row r="3870" spans="1:19" x14ac:dyDescent="0.25">
      <c r="A3870" s="2">
        <v>46604</v>
      </c>
      <c r="B3870" s="1">
        <f t="shared" si="306"/>
        <v>32</v>
      </c>
      <c r="C3870">
        <f t="shared" si="307"/>
        <v>8</v>
      </c>
      <c r="D3870" t="str">
        <f t="shared" si="308"/>
        <v>August</v>
      </c>
      <c r="E3870">
        <f t="shared" si="309"/>
        <v>2027</v>
      </c>
      <c r="F3870" t="str">
        <f>CONCATENATE(calendar[[#This Row],[Month]],"/",calendar[[#This Row],[Year]])</f>
        <v>8/2027</v>
      </c>
      <c r="G3870">
        <f>WEEKDAY(calendar[[#This Row],[Date]],1)</f>
        <v>5</v>
      </c>
      <c r="H3870" t="str">
        <f>TEXT(calendar[[#This Row],[WeekDay]],"dddd")</f>
        <v>Thursday</v>
      </c>
      <c r="I3870">
        <f>IF((INT(calendar[[#This Row],[Count]]/7)-calendar[[#This Row],[Count]]/7)&lt;0,I3869,I3869+1)</f>
        <v>553</v>
      </c>
      <c r="J3870">
        <f t="shared" si="310"/>
        <v>3868</v>
      </c>
      <c r="K3870">
        <f>IF(calendar[[#This Row],[Month]]&lt;4,1,IF(calendar[[#This Row],[Month]]&lt;7,2,IF(calendar[[#This Row],[Month]]&lt;10,3,4)))</f>
        <v>3</v>
      </c>
      <c r="L3870">
        <f>IFERROR(IF(VLOOKUP(calendar[[#This Row],[Date]],BH!A:A,1,)&lt;&gt;"",1,0),0)</f>
        <v>0</v>
      </c>
      <c r="M3870">
        <f>IFERROR(IF(VLOOKUP(calendar[[#This Row],[Date]],BH!C:C,1,)&lt;&gt;"",1,0),0)</f>
        <v>0</v>
      </c>
      <c r="N3870">
        <f>IFERROR(IF(VLOOKUP(calendar[[#This Row],[Date]],BH!E:E,1,)&lt;&gt;"",1,0),0)</f>
        <v>0</v>
      </c>
      <c r="O3870">
        <f>IFERROR(IF(VLOOKUP(calendar[[#This Row],[Date]],BH!G:G,1,)&lt;&gt;"",1,0),0)</f>
        <v>0</v>
      </c>
      <c r="P3870">
        <f>IF(OR(calendar[[#This Row],[UK_BH]]=1,calendar[[#This Row],[WeekDay]]=1, calendar[[#This Row],[WeekDay]]=7),P3869,P3869+1)</f>
        <v>2743</v>
      </c>
      <c r="Q3870">
        <f>IF(OR(calendar[[#This Row],[FR_BH]]=1,calendar[[#This Row],[WeekDay]]=1, calendar[[#This Row],[WeekDay]]=7),P3869,P3869+1)</f>
        <v>2743</v>
      </c>
      <c r="R3870">
        <f>IF(OR(calendar[[#This Row],[SP_BH]]=1,calendar[[#This Row],[WeekDay]]=1, calendar[[#This Row],[WeekDay]]=7),P3869,P3869+1)</f>
        <v>2743</v>
      </c>
      <c r="S3870">
        <f>IF(OR(calendar[[#This Row],[PT_BH]]=1,calendar[[#This Row],[WeekDay]]=1, calendar[[#This Row],[WeekDay]]=7),P3869,P3869+1)</f>
        <v>2743</v>
      </c>
    </row>
    <row r="3871" spans="1:19" x14ac:dyDescent="0.25">
      <c r="A3871" s="2">
        <v>46605</v>
      </c>
      <c r="B3871" s="1">
        <f t="shared" si="306"/>
        <v>32</v>
      </c>
      <c r="C3871">
        <f t="shared" si="307"/>
        <v>8</v>
      </c>
      <c r="D3871" t="str">
        <f t="shared" si="308"/>
        <v>August</v>
      </c>
      <c r="E3871">
        <f t="shared" si="309"/>
        <v>2027</v>
      </c>
      <c r="F3871" t="str">
        <f>CONCATENATE(calendar[[#This Row],[Month]],"/",calendar[[#This Row],[Year]])</f>
        <v>8/2027</v>
      </c>
      <c r="G3871">
        <f>WEEKDAY(calendar[[#This Row],[Date]],1)</f>
        <v>6</v>
      </c>
      <c r="H3871" t="str">
        <f>TEXT(calendar[[#This Row],[WeekDay]],"dddd")</f>
        <v>Friday</v>
      </c>
      <c r="I3871">
        <f>IF((INT(calendar[[#This Row],[Count]]/7)-calendar[[#This Row],[Count]]/7)&lt;0,I3870,I3870+1)</f>
        <v>553</v>
      </c>
      <c r="J3871">
        <f t="shared" si="310"/>
        <v>3869</v>
      </c>
      <c r="K3871">
        <f>IF(calendar[[#This Row],[Month]]&lt;4,1,IF(calendar[[#This Row],[Month]]&lt;7,2,IF(calendar[[#This Row],[Month]]&lt;10,3,4)))</f>
        <v>3</v>
      </c>
      <c r="L3871">
        <f>IFERROR(IF(VLOOKUP(calendar[[#This Row],[Date]],BH!A:A,1,)&lt;&gt;"",1,0),0)</f>
        <v>0</v>
      </c>
      <c r="M3871">
        <f>IFERROR(IF(VLOOKUP(calendar[[#This Row],[Date]],BH!C:C,1,)&lt;&gt;"",1,0),0)</f>
        <v>0</v>
      </c>
      <c r="N3871">
        <f>IFERROR(IF(VLOOKUP(calendar[[#This Row],[Date]],BH!E:E,1,)&lt;&gt;"",1,0),0)</f>
        <v>0</v>
      </c>
      <c r="O3871">
        <f>IFERROR(IF(VLOOKUP(calendar[[#This Row],[Date]],BH!G:G,1,)&lt;&gt;"",1,0),0)</f>
        <v>0</v>
      </c>
      <c r="P3871">
        <f>IF(OR(calendar[[#This Row],[UK_BH]]=1,calendar[[#This Row],[WeekDay]]=1, calendar[[#This Row],[WeekDay]]=7),P3870,P3870+1)</f>
        <v>2744</v>
      </c>
      <c r="Q3871">
        <f>IF(OR(calendar[[#This Row],[FR_BH]]=1,calendar[[#This Row],[WeekDay]]=1, calendar[[#This Row],[WeekDay]]=7),P3870,P3870+1)</f>
        <v>2744</v>
      </c>
      <c r="R3871">
        <f>IF(OR(calendar[[#This Row],[SP_BH]]=1,calendar[[#This Row],[WeekDay]]=1, calendar[[#This Row],[WeekDay]]=7),P3870,P3870+1)</f>
        <v>2744</v>
      </c>
      <c r="S3871">
        <f>IF(OR(calendar[[#This Row],[PT_BH]]=1,calendar[[#This Row],[WeekDay]]=1, calendar[[#This Row],[WeekDay]]=7),P3870,P3870+1)</f>
        <v>2744</v>
      </c>
    </row>
    <row r="3872" spans="1:19" x14ac:dyDescent="0.25">
      <c r="A3872" s="2">
        <v>46606</v>
      </c>
      <c r="B3872" s="1">
        <f t="shared" si="306"/>
        <v>32</v>
      </c>
      <c r="C3872">
        <f t="shared" si="307"/>
        <v>8</v>
      </c>
      <c r="D3872" t="str">
        <f t="shared" si="308"/>
        <v>August</v>
      </c>
      <c r="E3872">
        <f t="shared" si="309"/>
        <v>2027</v>
      </c>
      <c r="F3872" t="str">
        <f>CONCATENATE(calendar[[#This Row],[Month]],"/",calendar[[#This Row],[Year]])</f>
        <v>8/2027</v>
      </c>
      <c r="G3872">
        <f>WEEKDAY(calendar[[#This Row],[Date]],1)</f>
        <v>7</v>
      </c>
      <c r="H3872" t="str">
        <f>TEXT(calendar[[#This Row],[WeekDay]],"dddd")</f>
        <v>Saturday</v>
      </c>
      <c r="I3872">
        <f>IF((INT(calendar[[#This Row],[Count]]/7)-calendar[[#This Row],[Count]]/7)&lt;0,I3871,I3871+1)</f>
        <v>553</v>
      </c>
      <c r="J3872">
        <f t="shared" si="310"/>
        <v>3870</v>
      </c>
      <c r="K3872">
        <f>IF(calendar[[#This Row],[Month]]&lt;4,1,IF(calendar[[#This Row],[Month]]&lt;7,2,IF(calendar[[#This Row],[Month]]&lt;10,3,4)))</f>
        <v>3</v>
      </c>
      <c r="L3872">
        <f>IFERROR(IF(VLOOKUP(calendar[[#This Row],[Date]],BH!A:A,1,)&lt;&gt;"",1,0),0)</f>
        <v>0</v>
      </c>
      <c r="M3872">
        <f>IFERROR(IF(VLOOKUP(calendar[[#This Row],[Date]],BH!C:C,1,)&lt;&gt;"",1,0),0)</f>
        <v>0</v>
      </c>
      <c r="N3872">
        <f>IFERROR(IF(VLOOKUP(calendar[[#This Row],[Date]],BH!E:E,1,)&lt;&gt;"",1,0),0)</f>
        <v>0</v>
      </c>
      <c r="O3872">
        <f>IFERROR(IF(VLOOKUP(calendar[[#This Row],[Date]],BH!G:G,1,)&lt;&gt;"",1,0),0)</f>
        <v>0</v>
      </c>
      <c r="P3872">
        <f>IF(OR(calendar[[#This Row],[UK_BH]]=1,calendar[[#This Row],[WeekDay]]=1, calendar[[#This Row],[WeekDay]]=7),P3871,P3871+1)</f>
        <v>2744</v>
      </c>
      <c r="Q3872">
        <f>IF(OR(calendar[[#This Row],[FR_BH]]=1,calendar[[#This Row],[WeekDay]]=1, calendar[[#This Row],[WeekDay]]=7),P3871,P3871+1)</f>
        <v>2744</v>
      </c>
      <c r="R3872">
        <f>IF(OR(calendar[[#This Row],[SP_BH]]=1,calendar[[#This Row],[WeekDay]]=1, calendar[[#This Row],[WeekDay]]=7),P3871,P3871+1)</f>
        <v>2744</v>
      </c>
      <c r="S3872">
        <f>IF(OR(calendar[[#This Row],[PT_BH]]=1,calendar[[#This Row],[WeekDay]]=1, calendar[[#This Row],[WeekDay]]=7),P3871,P3871+1)</f>
        <v>2744</v>
      </c>
    </row>
    <row r="3873" spans="1:19" x14ac:dyDescent="0.25">
      <c r="A3873" s="2">
        <v>46607</v>
      </c>
      <c r="B3873" s="1">
        <f t="shared" si="306"/>
        <v>33</v>
      </c>
      <c r="C3873">
        <f t="shared" si="307"/>
        <v>8</v>
      </c>
      <c r="D3873" t="str">
        <f t="shared" si="308"/>
        <v>August</v>
      </c>
      <c r="E3873">
        <f t="shared" si="309"/>
        <v>2027</v>
      </c>
      <c r="F3873" t="str">
        <f>CONCATENATE(calendar[[#This Row],[Month]],"/",calendar[[#This Row],[Year]])</f>
        <v>8/2027</v>
      </c>
      <c r="G3873">
        <f>WEEKDAY(calendar[[#This Row],[Date]],1)</f>
        <v>1</v>
      </c>
      <c r="H3873" t="str">
        <f>TEXT(calendar[[#This Row],[WeekDay]],"dddd")</f>
        <v>Sunday</v>
      </c>
      <c r="I3873">
        <f>IF((INT(calendar[[#This Row],[Count]]/7)-calendar[[#This Row],[Count]]/7)&lt;0,I3872,I3872+1)</f>
        <v>554</v>
      </c>
      <c r="J3873">
        <f t="shared" si="310"/>
        <v>3871</v>
      </c>
      <c r="K3873">
        <f>IF(calendar[[#This Row],[Month]]&lt;4,1,IF(calendar[[#This Row],[Month]]&lt;7,2,IF(calendar[[#This Row],[Month]]&lt;10,3,4)))</f>
        <v>3</v>
      </c>
      <c r="L3873">
        <f>IFERROR(IF(VLOOKUP(calendar[[#This Row],[Date]],BH!A:A,1,)&lt;&gt;"",1,0),0)</f>
        <v>0</v>
      </c>
      <c r="M3873">
        <f>IFERROR(IF(VLOOKUP(calendar[[#This Row],[Date]],BH!C:C,1,)&lt;&gt;"",1,0),0)</f>
        <v>0</v>
      </c>
      <c r="N3873">
        <f>IFERROR(IF(VLOOKUP(calendar[[#This Row],[Date]],BH!E:E,1,)&lt;&gt;"",1,0),0)</f>
        <v>0</v>
      </c>
      <c r="O3873">
        <f>IFERROR(IF(VLOOKUP(calendar[[#This Row],[Date]],BH!G:G,1,)&lt;&gt;"",1,0),0)</f>
        <v>0</v>
      </c>
      <c r="P3873">
        <f>IF(OR(calendar[[#This Row],[UK_BH]]=1,calendar[[#This Row],[WeekDay]]=1, calendar[[#This Row],[WeekDay]]=7),P3872,P3872+1)</f>
        <v>2744</v>
      </c>
      <c r="Q3873">
        <f>IF(OR(calendar[[#This Row],[FR_BH]]=1,calendar[[#This Row],[WeekDay]]=1, calendar[[#This Row],[WeekDay]]=7),P3872,P3872+1)</f>
        <v>2744</v>
      </c>
      <c r="R3873">
        <f>IF(OR(calendar[[#This Row],[SP_BH]]=1,calendar[[#This Row],[WeekDay]]=1, calendar[[#This Row],[WeekDay]]=7),P3872,P3872+1)</f>
        <v>2744</v>
      </c>
      <c r="S3873">
        <f>IF(OR(calendar[[#This Row],[PT_BH]]=1,calendar[[#This Row],[WeekDay]]=1, calendar[[#This Row],[WeekDay]]=7),P3872,P3872+1)</f>
        <v>2744</v>
      </c>
    </row>
    <row r="3874" spans="1:19" x14ac:dyDescent="0.25">
      <c r="A3874" s="2">
        <v>46608</v>
      </c>
      <c r="B3874" s="1">
        <f t="shared" si="306"/>
        <v>33</v>
      </c>
      <c r="C3874">
        <f t="shared" si="307"/>
        <v>8</v>
      </c>
      <c r="D3874" t="str">
        <f t="shared" si="308"/>
        <v>August</v>
      </c>
      <c r="E3874">
        <f t="shared" si="309"/>
        <v>2027</v>
      </c>
      <c r="F3874" t="str">
        <f>CONCATENATE(calendar[[#This Row],[Month]],"/",calendar[[#This Row],[Year]])</f>
        <v>8/2027</v>
      </c>
      <c r="G3874">
        <f>WEEKDAY(calendar[[#This Row],[Date]],1)</f>
        <v>2</v>
      </c>
      <c r="H3874" t="str">
        <f>TEXT(calendar[[#This Row],[WeekDay]],"dddd")</f>
        <v>Monday</v>
      </c>
      <c r="I3874">
        <f>IF((INT(calendar[[#This Row],[Count]]/7)-calendar[[#This Row],[Count]]/7)&lt;0,I3873,I3873+1)</f>
        <v>554</v>
      </c>
      <c r="J3874">
        <f t="shared" si="310"/>
        <v>3872</v>
      </c>
      <c r="K3874">
        <f>IF(calendar[[#This Row],[Month]]&lt;4,1,IF(calendar[[#This Row],[Month]]&lt;7,2,IF(calendar[[#This Row],[Month]]&lt;10,3,4)))</f>
        <v>3</v>
      </c>
      <c r="L3874">
        <f>IFERROR(IF(VLOOKUP(calendar[[#This Row],[Date]],BH!A:A,1,)&lt;&gt;"",1,0),0)</f>
        <v>0</v>
      </c>
      <c r="M3874">
        <f>IFERROR(IF(VLOOKUP(calendar[[#This Row],[Date]],BH!C:C,1,)&lt;&gt;"",1,0),0)</f>
        <v>0</v>
      </c>
      <c r="N3874">
        <f>IFERROR(IF(VLOOKUP(calendar[[#This Row],[Date]],BH!E:E,1,)&lt;&gt;"",1,0),0)</f>
        <v>0</v>
      </c>
      <c r="O3874">
        <f>IFERROR(IF(VLOOKUP(calendar[[#This Row],[Date]],BH!G:G,1,)&lt;&gt;"",1,0),0)</f>
        <v>0</v>
      </c>
      <c r="P3874">
        <f>IF(OR(calendar[[#This Row],[UK_BH]]=1,calendar[[#This Row],[WeekDay]]=1, calendar[[#This Row],[WeekDay]]=7),P3873,P3873+1)</f>
        <v>2745</v>
      </c>
      <c r="Q3874">
        <f>IF(OR(calendar[[#This Row],[FR_BH]]=1,calendar[[#This Row],[WeekDay]]=1, calendar[[#This Row],[WeekDay]]=7),P3873,P3873+1)</f>
        <v>2745</v>
      </c>
      <c r="R3874">
        <f>IF(OR(calendar[[#This Row],[SP_BH]]=1,calendar[[#This Row],[WeekDay]]=1, calendar[[#This Row],[WeekDay]]=7),P3873,P3873+1)</f>
        <v>2745</v>
      </c>
      <c r="S3874">
        <f>IF(OR(calendar[[#This Row],[PT_BH]]=1,calendar[[#This Row],[WeekDay]]=1, calendar[[#This Row],[WeekDay]]=7),P3873,P3873+1)</f>
        <v>2745</v>
      </c>
    </row>
    <row r="3875" spans="1:19" x14ac:dyDescent="0.25">
      <c r="A3875" s="2">
        <v>46609</v>
      </c>
      <c r="B3875" s="1">
        <f t="shared" si="306"/>
        <v>33</v>
      </c>
      <c r="C3875">
        <f t="shared" si="307"/>
        <v>8</v>
      </c>
      <c r="D3875" t="str">
        <f t="shared" si="308"/>
        <v>August</v>
      </c>
      <c r="E3875">
        <f t="shared" si="309"/>
        <v>2027</v>
      </c>
      <c r="F3875" t="str">
        <f>CONCATENATE(calendar[[#This Row],[Month]],"/",calendar[[#This Row],[Year]])</f>
        <v>8/2027</v>
      </c>
      <c r="G3875">
        <f>WEEKDAY(calendar[[#This Row],[Date]],1)</f>
        <v>3</v>
      </c>
      <c r="H3875" t="str">
        <f>TEXT(calendar[[#This Row],[WeekDay]],"dddd")</f>
        <v>Tuesday</v>
      </c>
      <c r="I3875">
        <f>IF((INT(calendar[[#This Row],[Count]]/7)-calendar[[#This Row],[Count]]/7)&lt;0,I3874,I3874+1)</f>
        <v>554</v>
      </c>
      <c r="J3875">
        <f t="shared" si="310"/>
        <v>3873</v>
      </c>
      <c r="K3875">
        <f>IF(calendar[[#This Row],[Month]]&lt;4,1,IF(calendar[[#This Row],[Month]]&lt;7,2,IF(calendar[[#This Row],[Month]]&lt;10,3,4)))</f>
        <v>3</v>
      </c>
      <c r="L3875">
        <f>IFERROR(IF(VLOOKUP(calendar[[#This Row],[Date]],BH!A:A,1,)&lt;&gt;"",1,0),0)</f>
        <v>0</v>
      </c>
      <c r="M3875">
        <f>IFERROR(IF(VLOOKUP(calendar[[#This Row],[Date]],BH!C:C,1,)&lt;&gt;"",1,0),0)</f>
        <v>0</v>
      </c>
      <c r="N3875">
        <f>IFERROR(IF(VLOOKUP(calendar[[#This Row],[Date]],BH!E:E,1,)&lt;&gt;"",1,0),0)</f>
        <v>0</v>
      </c>
      <c r="O3875">
        <f>IFERROR(IF(VLOOKUP(calendar[[#This Row],[Date]],BH!G:G,1,)&lt;&gt;"",1,0),0)</f>
        <v>0</v>
      </c>
      <c r="P3875">
        <f>IF(OR(calendar[[#This Row],[UK_BH]]=1,calendar[[#This Row],[WeekDay]]=1, calendar[[#This Row],[WeekDay]]=7),P3874,P3874+1)</f>
        <v>2746</v>
      </c>
      <c r="Q3875">
        <f>IF(OR(calendar[[#This Row],[FR_BH]]=1,calendar[[#This Row],[WeekDay]]=1, calendar[[#This Row],[WeekDay]]=7),P3874,P3874+1)</f>
        <v>2746</v>
      </c>
      <c r="R3875">
        <f>IF(OR(calendar[[#This Row],[SP_BH]]=1,calendar[[#This Row],[WeekDay]]=1, calendar[[#This Row],[WeekDay]]=7),P3874,P3874+1)</f>
        <v>2746</v>
      </c>
      <c r="S3875">
        <f>IF(OR(calendar[[#This Row],[PT_BH]]=1,calendar[[#This Row],[WeekDay]]=1, calendar[[#This Row],[WeekDay]]=7),P3874,P3874+1)</f>
        <v>2746</v>
      </c>
    </row>
    <row r="3876" spans="1:19" x14ac:dyDescent="0.25">
      <c r="A3876" s="2">
        <v>46610</v>
      </c>
      <c r="B3876" s="1">
        <f t="shared" si="306"/>
        <v>33</v>
      </c>
      <c r="C3876">
        <f t="shared" si="307"/>
        <v>8</v>
      </c>
      <c r="D3876" t="str">
        <f t="shared" si="308"/>
        <v>August</v>
      </c>
      <c r="E3876">
        <f t="shared" si="309"/>
        <v>2027</v>
      </c>
      <c r="F3876" t="str">
        <f>CONCATENATE(calendar[[#This Row],[Month]],"/",calendar[[#This Row],[Year]])</f>
        <v>8/2027</v>
      </c>
      <c r="G3876">
        <f>WEEKDAY(calendar[[#This Row],[Date]],1)</f>
        <v>4</v>
      </c>
      <c r="H3876" t="str">
        <f>TEXT(calendar[[#This Row],[WeekDay]],"dddd")</f>
        <v>Wednesday</v>
      </c>
      <c r="I3876">
        <f>IF((INT(calendar[[#This Row],[Count]]/7)-calendar[[#This Row],[Count]]/7)&lt;0,I3875,I3875+1)</f>
        <v>554</v>
      </c>
      <c r="J3876">
        <f t="shared" si="310"/>
        <v>3874</v>
      </c>
      <c r="K3876">
        <f>IF(calendar[[#This Row],[Month]]&lt;4,1,IF(calendar[[#This Row],[Month]]&lt;7,2,IF(calendar[[#This Row],[Month]]&lt;10,3,4)))</f>
        <v>3</v>
      </c>
      <c r="L3876">
        <f>IFERROR(IF(VLOOKUP(calendar[[#This Row],[Date]],BH!A:A,1,)&lt;&gt;"",1,0),0)</f>
        <v>0</v>
      </c>
      <c r="M3876">
        <f>IFERROR(IF(VLOOKUP(calendar[[#This Row],[Date]],BH!C:C,1,)&lt;&gt;"",1,0),0)</f>
        <v>0</v>
      </c>
      <c r="N3876">
        <f>IFERROR(IF(VLOOKUP(calendar[[#This Row],[Date]],BH!E:E,1,)&lt;&gt;"",1,0),0)</f>
        <v>0</v>
      </c>
      <c r="O3876">
        <f>IFERROR(IF(VLOOKUP(calendar[[#This Row],[Date]],BH!G:G,1,)&lt;&gt;"",1,0),0)</f>
        <v>0</v>
      </c>
      <c r="P3876">
        <f>IF(OR(calendar[[#This Row],[UK_BH]]=1,calendar[[#This Row],[WeekDay]]=1, calendar[[#This Row],[WeekDay]]=7),P3875,P3875+1)</f>
        <v>2747</v>
      </c>
      <c r="Q3876">
        <f>IF(OR(calendar[[#This Row],[FR_BH]]=1,calendar[[#This Row],[WeekDay]]=1, calendar[[#This Row],[WeekDay]]=7),P3875,P3875+1)</f>
        <v>2747</v>
      </c>
      <c r="R3876">
        <f>IF(OR(calendar[[#This Row],[SP_BH]]=1,calendar[[#This Row],[WeekDay]]=1, calendar[[#This Row],[WeekDay]]=7),P3875,P3875+1)</f>
        <v>2747</v>
      </c>
      <c r="S3876">
        <f>IF(OR(calendar[[#This Row],[PT_BH]]=1,calendar[[#This Row],[WeekDay]]=1, calendar[[#This Row],[WeekDay]]=7),P3875,P3875+1)</f>
        <v>2747</v>
      </c>
    </row>
    <row r="3877" spans="1:19" x14ac:dyDescent="0.25">
      <c r="A3877" s="2">
        <v>46611</v>
      </c>
      <c r="B3877" s="1">
        <f t="shared" si="306"/>
        <v>33</v>
      </c>
      <c r="C3877">
        <f t="shared" si="307"/>
        <v>8</v>
      </c>
      <c r="D3877" t="str">
        <f t="shared" si="308"/>
        <v>August</v>
      </c>
      <c r="E3877">
        <f t="shared" si="309"/>
        <v>2027</v>
      </c>
      <c r="F3877" t="str">
        <f>CONCATENATE(calendar[[#This Row],[Month]],"/",calendar[[#This Row],[Year]])</f>
        <v>8/2027</v>
      </c>
      <c r="G3877">
        <f>WEEKDAY(calendar[[#This Row],[Date]],1)</f>
        <v>5</v>
      </c>
      <c r="H3877" t="str">
        <f>TEXT(calendar[[#This Row],[WeekDay]],"dddd")</f>
        <v>Thursday</v>
      </c>
      <c r="I3877">
        <f>IF((INT(calendar[[#This Row],[Count]]/7)-calendar[[#This Row],[Count]]/7)&lt;0,I3876,I3876+1)</f>
        <v>554</v>
      </c>
      <c r="J3877">
        <f t="shared" si="310"/>
        <v>3875</v>
      </c>
      <c r="K3877">
        <f>IF(calendar[[#This Row],[Month]]&lt;4,1,IF(calendar[[#This Row],[Month]]&lt;7,2,IF(calendar[[#This Row],[Month]]&lt;10,3,4)))</f>
        <v>3</v>
      </c>
      <c r="L3877">
        <f>IFERROR(IF(VLOOKUP(calendar[[#This Row],[Date]],BH!A:A,1,)&lt;&gt;"",1,0),0)</f>
        <v>0</v>
      </c>
      <c r="M3877">
        <f>IFERROR(IF(VLOOKUP(calendar[[#This Row],[Date]],BH!C:C,1,)&lt;&gt;"",1,0),0)</f>
        <v>0</v>
      </c>
      <c r="N3877">
        <f>IFERROR(IF(VLOOKUP(calendar[[#This Row],[Date]],BH!E:E,1,)&lt;&gt;"",1,0),0)</f>
        <v>0</v>
      </c>
      <c r="O3877">
        <f>IFERROR(IF(VLOOKUP(calendar[[#This Row],[Date]],BH!G:G,1,)&lt;&gt;"",1,0),0)</f>
        <v>0</v>
      </c>
      <c r="P3877">
        <f>IF(OR(calendar[[#This Row],[UK_BH]]=1,calendar[[#This Row],[WeekDay]]=1, calendar[[#This Row],[WeekDay]]=7),P3876,P3876+1)</f>
        <v>2748</v>
      </c>
      <c r="Q3877">
        <f>IF(OR(calendar[[#This Row],[FR_BH]]=1,calendar[[#This Row],[WeekDay]]=1, calendar[[#This Row],[WeekDay]]=7),P3876,P3876+1)</f>
        <v>2748</v>
      </c>
      <c r="R3877">
        <f>IF(OR(calendar[[#This Row],[SP_BH]]=1,calendar[[#This Row],[WeekDay]]=1, calendar[[#This Row],[WeekDay]]=7),P3876,P3876+1)</f>
        <v>2748</v>
      </c>
      <c r="S3877">
        <f>IF(OR(calendar[[#This Row],[PT_BH]]=1,calendar[[#This Row],[WeekDay]]=1, calendar[[#This Row],[WeekDay]]=7),P3876,P3876+1)</f>
        <v>2748</v>
      </c>
    </row>
    <row r="3878" spans="1:19" x14ac:dyDescent="0.25">
      <c r="A3878" s="2">
        <v>46612</v>
      </c>
      <c r="B3878" s="1">
        <f t="shared" si="306"/>
        <v>33</v>
      </c>
      <c r="C3878">
        <f t="shared" si="307"/>
        <v>8</v>
      </c>
      <c r="D3878" t="str">
        <f t="shared" si="308"/>
        <v>August</v>
      </c>
      <c r="E3878">
        <f t="shared" si="309"/>
        <v>2027</v>
      </c>
      <c r="F3878" t="str">
        <f>CONCATENATE(calendar[[#This Row],[Month]],"/",calendar[[#This Row],[Year]])</f>
        <v>8/2027</v>
      </c>
      <c r="G3878">
        <f>WEEKDAY(calendar[[#This Row],[Date]],1)</f>
        <v>6</v>
      </c>
      <c r="H3878" t="str">
        <f>TEXT(calendar[[#This Row],[WeekDay]],"dddd")</f>
        <v>Friday</v>
      </c>
      <c r="I3878">
        <f>IF((INT(calendar[[#This Row],[Count]]/7)-calendar[[#This Row],[Count]]/7)&lt;0,I3877,I3877+1)</f>
        <v>554</v>
      </c>
      <c r="J3878">
        <f t="shared" si="310"/>
        <v>3876</v>
      </c>
      <c r="K3878">
        <f>IF(calendar[[#This Row],[Month]]&lt;4,1,IF(calendar[[#This Row],[Month]]&lt;7,2,IF(calendar[[#This Row],[Month]]&lt;10,3,4)))</f>
        <v>3</v>
      </c>
      <c r="L3878">
        <f>IFERROR(IF(VLOOKUP(calendar[[#This Row],[Date]],BH!A:A,1,)&lt;&gt;"",1,0),0)</f>
        <v>0</v>
      </c>
      <c r="M3878">
        <f>IFERROR(IF(VLOOKUP(calendar[[#This Row],[Date]],BH!C:C,1,)&lt;&gt;"",1,0),0)</f>
        <v>0</v>
      </c>
      <c r="N3878">
        <f>IFERROR(IF(VLOOKUP(calendar[[#This Row],[Date]],BH!E:E,1,)&lt;&gt;"",1,0),0)</f>
        <v>0</v>
      </c>
      <c r="O3878">
        <f>IFERROR(IF(VLOOKUP(calendar[[#This Row],[Date]],BH!G:G,1,)&lt;&gt;"",1,0),0)</f>
        <v>0</v>
      </c>
      <c r="P3878">
        <f>IF(OR(calendar[[#This Row],[UK_BH]]=1,calendar[[#This Row],[WeekDay]]=1, calendar[[#This Row],[WeekDay]]=7),P3877,P3877+1)</f>
        <v>2749</v>
      </c>
      <c r="Q3878">
        <f>IF(OR(calendar[[#This Row],[FR_BH]]=1,calendar[[#This Row],[WeekDay]]=1, calendar[[#This Row],[WeekDay]]=7),P3877,P3877+1)</f>
        <v>2749</v>
      </c>
      <c r="R3878">
        <f>IF(OR(calendar[[#This Row],[SP_BH]]=1,calendar[[#This Row],[WeekDay]]=1, calendar[[#This Row],[WeekDay]]=7),P3877,P3877+1)</f>
        <v>2749</v>
      </c>
      <c r="S3878">
        <f>IF(OR(calendar[[#This Row],[PT_BH]]=1,calendar[[#This Row],[WeekDay]]=1, calendar[[#This Row],[WeekDay]]=7),P3877,P3877+1)</f>
        <v>2749</v>
      </c>
    </row>
    <row r="3879" spans="1:19" x14ac:dyDescent="0.25">
      <c r="A3879" s="2">
        <v>46613</v>
      </c>
      <c r="B3879" s="1">
        <f t="shared" si="306"/>
        <v>33</v>
      </c>
      <c r="C3879">
        <f t="shared" si="307"/>
        <v>8</v>
      </c>
      <c r="D3879" t="str">
        <f t="shared" si="308"/>
        <v>August</v>
      </c>
      <c r="E3879">
        <f t="shared" si="309"/>
        <v>2027</v>
      </c>
      <c r="F3879" t="str">
        <f>CONCATENATE(calendar[[#This Row],[Month]],"/",calendar[[#This Row],[Year]])</f>
        <v>8/2027</v>
      </c>
      <c r="G3879">
        <f>WEEKDAY(calendar[[#This Row],[Date]],1)</f>
        <v>7</v>
      </c>
      <c r="H3879" t="str">
        <f>TEXT(calendar[[#This Row],[WeekDay]],"dddd")</f>
        <v>Saturday</v>
      </c>
      <c r="I3879">
        <f>IF((INT(calendar[[#This Row],[Count]]/7)-calendar[[#This Row],[Count]]/7)&lt;0,I3878,I3878+1)</f>
        <v>554</v>
      </c>
      <c r="J3879">
        <f t="shared" si="310"/>
        <v>3877</v>
      </c>
      <c r="K3879">
        <f>IF(calendar[[#This Row],[Month]]&lt;4,1,IF(calendar[[#This Row],[Month]]&lt;7,2,IF(calendar[[#This Row],[Month]]&lt;10,3,4)))</f>
        <v>3</v>
      </c>
      <c r="L3879">
        <f>IFERROR(IF(VLOOKUP(calendar[[#This Row],[Date]],BH!A:A,1,)&lt;&gt;"",1,0),0)</f>
        <v>0</v>
      </c>
      <c r="M3879">
        <f>IFERROR(IF(VLOOKUP(calendar[[#This Row],[Date]],BH!C:C,1,)&lt;&gt;"",1,0),0)</f>
        <v>0</v>
      </c>
      <c r="N3879">
        <f>IFERROR(IF(VLOOKUP(calendar[[#This Row],[Date]],BH!E:E,1,)&lt;&gt;"",1,0),0)</f>
        <v>0</v>
      </c>
      <c r="O3879">
        <f>IFERROR(IF(VLOOKUP(calendar[[#This Row],[Date]],BH!G:G,1,)&lt;&gt;"",1,0),0)</f>
        <v>0</v>
      </c>
      <c r="P3879">
        <f>IF(OR(calendar[[#This Row],[UK_BH]]=1,calendar[[#This Row],[WeekDay]]=1, calendar[[#This Row],[WeekDay]]=7),P3878,P3878+1)</f>
        <v>2749</v>
      </c>
      <c r="Q3879">
        <f>IF(OR(calendar[[#This Row],[FR_BH]]=1,calendar[[#This Row],[WeekDay]]=1, calendar[[#This Row],[WeekDay]]=7),P3878,P3878+1)</f>
        <v>2749</v>
      </c>
      <c r="R3879">
        <f>IF(OR(calendar[[#This Row],[SP_BH]]=1,calendar[[#This Row],[WeekDay]]=1, calendar[[#This Row],[WeekDay]]=7),P3878,P3878+1)</f>
        <v>2749</v>
      </c>
      <c r="S3879">
        <f>IF(OR(calendar[[#This Row],[PT_BH]]=1,calendar[[#This Row],[WeekDay]]=1, calendar[[#This Row],[WeekDay]]=7),P3878,P3878+1)</f>
        <v>2749</v>
      </c>
    </row>
    <row r="3880" spans="1:19" x14ac:dyDescent="0.25">
      <c r="A3880" s="2">
        <v>46614</v>
      </c>
      <c r="B3880" s="1">
        <f t="shared" si="306"/>
        <v>34</v>
      </c>
      <c r="C3880">
        <f t="shared" si="307"/>
        <v>8</v>
      </c>
      <c r="D3880" t="str">
        <f t="shared" si="308"/>
        <v>August</v>
      </c>
      <c r="E3880">
        <f t="shared" si="309"/>
        <v>2027</v>
      </c>
      <c r="F3880" t="str">
        <f>CONCATENATE(calendar[[#This Row],[Month]],"/",calendar[[#This Row],[Year]])</f>
        <v>8/2027</v>
      </c>
      <c r="G3880">
        <f>WEEKDAY(calendar[[#This Row],[Date]],1)</f>
        <v>1</v>
      </c>
      <c r="H3880" t="str">
        <f>TEXT(calendar[[#This Row],[WeekDay]],"dddd")</f>
        <v>Sunday</v>
      </c>
      <c r="I3880">
        <f>IF((INT(calendar[[#This Row],[Count]]/7)-calendar[[#This Row],[Count]]/7)&lt;0,I3879,I3879+1)</f>
        <v>555</v>
      </c>
      <c r="J3880">
        <f t="shared" si="310"/>
        <v>3878</v>
      </c>
      <c r="K3880">
        <f>IF(calendar[[#This Row],[Month]]&lt;4,1,IF(calendar[[#This Row],[Month]]&lt;7,2,IF(calendar[[#This Row],[Month]]&lt;10,3,4)))</f>
        <v>3</v>
      </c>
      <c r="L3880">
        <f>IFERROR(IF(VLOOKUP(calendar[[#This Row],[Date]],BH!A:A,1,)&lt;&gt;"",1,0),0)</f>
        <v>0</v>
      </c>
      <c r="M3880">
        <f>IFERROR(IF(VLOOKUP(calendar[[#This Row],[Date]],BH!C:C,1,)&lt;&gt;"",1,0),0)</f>
        <v>1</v>
      </c>
      <c r="N3880">
        <f>IFERROR(IF(VLOOKUP(calendar[[#This Row],[Date]],BH!E:E,1,)&lt;&gt;"",1,0),0)</f>
        <v>1</v>
      </c>
      <c r="O3880">
        <f>IFERROR(IF(VLOOKUP(calendar[[#This Row],[Date]],BH!G:G,1,)&lt;&gt;"",1,0),0)</f>
        <v>1</v>
      </c>
      <c r="P3880">
        <f>IF(OR(calendar[[#This Row],[UK_BH]]=1,calendar[[#This Row],[WeekDay]]=1, calendar[[#This Row],[WeekDay]]=7),P3879,P3879+1)</f>
        <v>2749</v>
      </c>
      <c r="Q3880">
        <f>IF(OR(calendar[[#This Row],[FR_BH]]=1,calendar[[#This Row],[WeekDay]]=1, calendar[[#This Row],[WeekDay]]=7),P3879,P3879+1)</f>
        <v>2749</v>
      </c>
      <c r="R3880">
        <f>IF(OR(calendar[[#This Row],[SP_BH]]=1,calendar[[#This Row],[WeekDay]]=1, calendar[[#This Row],[WeekDay]]=7),P3879,P3879+1)</f>
        <v>2749</v>
      </c>
      <c r="S3880">
        <f>IF(OR(calendar[[#This Row],[PT_BH]]=1,calendar[[#This Row],[WeekDay]]=1, calendar[[#This Row],[WeekDay]]=7),P3879,P3879+1)</f>
        <v>2749</v>
      </c>
    </row>
    <row r="3881" spans="1:19" x14ac:dyDescent="0.25">
      <c r="A3881" s="2">
        <v>46615</v>
      </c>
      <c r="B3881" s="1">
        <f t="shared" si="306"/>
        <v>34</v>
      </c>
      <c r="C3881">
        <f t="shared" si="307"/>
        <v>8</v>
      </c>
      <c r="D3881" t="str">
        <f t="shared" si="308"/>
        <v>August</v>
      </c>
      <c r="E3881">
        <f t="shared" si="309"/>
        <v>2027</v>
      </c>
      <c r="F3881" t="str">
        <f>CONCATENATE(calendar[[#This Row],[Month]],"/",calendar[[#This Row],[Year]])</f>
        <v>8/2027</v>
      </c>
      <c r="G3881">
        <f>WEEKDAY(calendar[[#This Row],[Date]],1)</f>
        <v>2</v>
      </c>
      <c r="H3881" t="str">
        <f>TEXT(calendar[[#This Row],[WeekDay]],"dddd")</f>
        <v>Monday</v>
      </c>
      <c r="I3881">
        <f>IF((INT(calendar[[#This Row],[Count]]/7)-calendar[[#This Row],[Count]]/7)&lt;0,I3880,I3880+1)</f>
        <v>555</v>
      </c>
      <c r="J3881">
        <f t="shared" si="310"/>
        <v>3879</v>
      </c>
      <c r="K3881">
        <f>IF(calendar[[#This Row],[Month]]&lt;4,1,IF(calendar[[#This Row],[Month]]&lt;7,2,IF(calendar[[#This Row],[Month]]&lt;10,3,4)))</f>
        <v>3</v>
      </c>
      <c r="L3881">
        <f>IFERROR(IF(VLOOKUP(calendar[[#This Row],[Date]],BH!A:A,1,)&lt;&gt;"",1,0),0)</f>
        <v>0</v>
      </c>
      <c r="M3881">
        <f>IFERROR(IF(VLOOKUP(calendar[[#This Row],[Date]],BH!C:C,1,)&lt;&gt;"",1,0),0)</f>
        <v>0</v>
      </c>
      <c r="N3881">
        <f>IFERROR(IF(VLOOKUP(calendar[[#This Row],[Date]],BH!E:E,1,)&lt;&gt;"",1,0),0)</f>
        <v>0</v>
      </c>
      <c r="O3881">
        <f>IFERROR(IF(VLOOKUP(calendar[[#This Row],[Date]],BH!G:G,1,)&lt;&gt;"",1,0),0)</f>
        <v>0</v>
      </c>
      <c r="P3881">
        <f>IF(OR(calendar[[#This Row],[UK_BH]]=1,calendar[[#This Row],[WeekDay]]=1, calendar[[#This Row],[WeekDay]]=7),P3880,P3880+1)</f>
        <v>2750</v>
      </c>
      <c r="Q3881">
        <f>IF(OR(calendar[[#This Row],[FR_BH]]=1,calendar[[#This Row],[WeekDay]]=1, calendar[[#This Row],[WeekDay]]=7),P3880,P3880+1)</f>
        <v>2750</v>
      </c>
      <c r="R3881">
        <f>IF(OR(calendar[[#This Row],[SP_BH]]=1,calendar[[#This Row],[WeekDay]]=1, calendar[[#This Row],[WeekDay]]=7),P3880,P3880+1)</f>
        <v>2750</v>
      </c>
      <c r="S3881">
        <f>IF(OR(calendar[[#This Row],[PT_BH]]=1,calendar[[#This Row],[WeekDay]]=1, calendar[[#This Row],[WeekDay]]=7),P3880,P3880+1)</f>
        <v>2750</v>
      </c>
    </row>
    <row r="3882" spans="1:19" x14ac:dyDescent="0.25">
      <c r="A3882" s="2">
        <v>46616</v>
      </c>
      <c r="B3882" s="1">
        <f t="shared" si="306"/>
        <v>34</v>
      </c>
      <c r="C3882">
        <f t="shared" si="307"/>
        <v>8</v>
      </c>
      <c r="D3882" t="str">
        <f t="shared" si="308"/>
        <v>August</v>
      </c>
      <c r="E3882">
        <f t="shared" si="309"/>
        <v>2027</v>
      </c>
      <c r="F3882" t="str">
        <f>CONCATENATE(calendar[[#This Row],[Month]],"/",calendar[[#This Row],[Year]])</f>
        <v>8/2027</v>
      </c>
      <c r="G3882">
        <f>WEEKDAY(calendar[[#This Row],[Date]],1)</f>
        <v>3</v>
      </c>
      <c r="H3882" t="str">
        <f>TEXT(calendar[[#This Row],[WeekDay]],"dddd")</f>
        <v>Tuesday</v>
      </c>
      <c r="I3882">
        <f>IF((INT(calendar[[#This Row],[Count]]/7)-calendar[[#This Row],[Count]]/7)&lt;0,I3881,I3881+1)</f>
        <v>555</v>
      </c>
      <c r="J3882">
        <f t="shared" si="310"/>
        <v>3880</v>
      </c>
      <c r="K3882">
        <f>IF(calendar[[#This Row],[Month]]&lt;4,1,IF(calendar[[#This Row],[Month]]&lt;7,2,IF(calendar[[#This Row],[Month]]&lt;10,3,4)))</f>
        <v>3</v>
      </c>
      <c r="L3882">
        <f>IFERROR(IF(VLOOKUP(calendar[[#This Row],[Date]],BH!A:A,1,)&lt;&gt;"",1,0),0)</f>
        <v>0</v>
      </c>
      <c r="M3882">
        <f>IFERROR(IF(VLOOKUP(calendar[[#This Row],[Date]],BH!C:C,1,)&lt;&gt;"",1,0),0)</f>
        <v>0</v>
      </c>
      <c r="N3882">
        <f>IFERROR(IF(VLOOKUP(calendar[[#This Row],[Date]],BH!E:E,1,)&lt;&gt;"",1,0),0)</f>
        <v>0</v>
      </c>
      <c r="O3882">
        <f>IFERROR(IF(VLOOKUP(calendar[[#This Row],[Date]],BH!G:G,1,)&lt;&gt;"",1,0),0)</f>
        <v>0</v>
      </c>
      <c r="P3882">
        <f>IF(OR(calendar[[#This Row],[UK_BH]]=1,calendar[[#This Row],[WeekDay]]=1, calendar[[#This Row],[WeekDay]]=7),P3881,P3881+1)</f>
        <v>2751</v>
      </c>
      <c r="Q3882">
        <f>IF(OR(calendar[[#This Row],[FR_BH]]=1,calendar[[#This Row],[WeekDay]]=1, calendar[[#This Row],[WeekDay]]=7),P3881,P3881+1)</f>
        <v>2751</v>
      </c>
      <c r="R3882">
        <f>IF(OR(calendar[[#This Row],[SP_BH]]=1,calendar[[#This Row],[WeekDay]]=1, calendar[[#This Row],[WeekDay]]=7),P3881,P3881+1)</f>
        <v>2751</v>
      </c>
      <c r="S3882">
        <f>IF(OR(calendar[[#This Row],[PT_BH]]=1,calendar[[#This Row],[WeekDay]]=1, calendar[[#This Row],[WeekDay]]=7),P3881,P3881+1)</f>
        <v>2751</v>
      </c>
    </row>
    <row r="3883" spans="1:19" x14ac:dyDescent="0.25">
      <c r="A3883" s="2">
        <v>46617</v>
      </c>
      <c r="B3883" s="1">
        <f t="shared" si="306"/>
        <v>34</v>
      </c>
      <c r="C3883">
        <f t="shared" si="307"/>
        <v>8</v>
      </c>
      <c r="D3883" t="str">
        <f t="shared" si="308"/>
        <v>August</v>
      </c>
      <c r="E3883">
        <f t="shared" si="309"/>
        <v>2027</v>
      </c>
      <c r="F3883" t="str">
        <f>CONCATENATE(calendar[[#This Row],[Month]],"/",calendar[[#This Row],[Year]])</f>
        <v>8/2027</v>
      </c>
      <c r="G3883">
        <f>WEEKDAY(calendar[[#This Row],[Date]],1)</f>
        <v>4</v>
      </c>
      <c r="H3883" t="str">
        <f>TEXT(calendar[[#This Row],[WeekDay]],"dddd")</f>
        <v>Wednesday</v>
      </c>
      <c r="I3883">
        <f>IF((INT(calendar[[#This Row],[Count]]/7)-calendar[[#This Row],[Count]]/7)&lt;0,I3882,I3882+1)</f>
        <v>555</v>
      </c>
      <c r="J3883">
        <f t="shared" si="310"/>
        <v>3881</v>
      </c>
      <c r="K3883">
        <f>IF(calendar[[#This Row],[Month]]&lt;4,1,IF(calendar[[#This Row],[Month]]&lt;7,2,IF(calendar[[#This Row],[Month]]&lt;10,3,4)))</f>
        <v>3</v>
      </c>
      <c r="L3883">
        <f>IFERROR(IF(VLOOKUP(calendar[[#This Row],[Date]],BH!A:A,1,)&lt;&gt;"",1,0),0)</f>
        <v>0</v>
      </c>
      <c r="M3883">
        <f>IFERROR(IF(VLOOKUP(calendar[[#This Row],[Date]],BH!C:C,1,)&lt;&gt;"",1,0),0)</f>
        <v>0</v>
      </c>
      <c r="N3883">
        <f>IFERROR(IF(VLOOKUP(calendar[[#This Row],[Date]],BH!E:E,1,)&lt;&gt;"",1,0),0)</f>
        <v>0</v>
      </c>
      <c r="O3883">
        <f>IFERROR(IF(VLOOKUP(calendar[[#This Row],[Date]],BH!G:G,1,)&lt;&gt;"",1,0),0)</f>
        <v>0</v>
      </c>
      <c r="P3883">
        <f>IF(OR(calendar[[#This Row],[UK_BH]]=1,calendar[[#This Row],[WeekDay]]=1, calendar[[#This Row],[WeekDay]]=7),P3882,P3882+1)</f>
        <v>2752</v>
      </c>
      <c r="Q3883">
        <f>IF(OR(calendar[[#This Row],[FR_BH]]=1,calendar[[#This Row],[WeekDay]]=1, calendar[[#This Row],[WeekDay]]=7),P3882,P3882+1)</f>
        <v>2752</v>
      </c>
      <c r="R3883">
        <f>IF(OR(calendar[[#This Row],[SP_BH]]=1,calendar[[#This Row],[WeekDay]]=1, calendar[[#This Row],[WeekDay]]=7),P3882,P3882+1)</f>
        <v>2752</v>
      </c>
      <c r="S3883">
        <f>IF(OR(calendar[[#This Row],[PT_BH]]=1,calendar[[#This Row],[WeekDay]]=1, calendar[[#This Row],[WeekDay]]=7),P3882,P3882+1)</f>
        <v>2752</v>
      </c>
    </row>
    <row r="3884" spans="1:19" x14ac:dyDescent="0.25">
      <c r="A3884" s="2">
        <v>46618</v>
      </c>
      <c r="B3884" s="1">
        <f t="shared" si="306"/>
        <v>34</v>
      </c>
      <c r="C3884">
        <f t="shared" si="307"/>
        <v>8</v>
      </c>
      <c r="D3884" t="str">
        <f t="shared" si="308"/>
        <v>August</v>
      </c>
      <c r="E3884">
        <f t="shared" si="309"/>
        <v>2027</v>
      </c>
      <c r="F3884" t="str">
        <f>CONCATENATE(calendar[[#This Row],[Month]],"/",calendar[[#This Row],[Year]])</f>
        <v>8/2027</v>
      </c>
      <c r="G3884">
        <f>WEEKDAY(calendar[[#This Row],[Date]],1)</f>
        <v>5</v>
      </c>
      <c r="H3884" t="str">
        <f>TEXT(calendar[[#This Row],[WeekDay]],"dddd")</f>
        <v>Thursday</v>
      </c>
      <c r="I3884">
        <f>IF((INT(calendar[[#This Row],[Count]]/7)-calendar[[#This Row],[Count]]/7)&lt;0,I3883,I3883+1)</f>
        <v>555</v>
      </c>
      <c r="J3884">
        <f t="shared" si="310"/>
        <v>3882</v>
      </c>
      <c r="K3884">
        <f>IF(calendar[[#This Row],[Month]]&lt;4,1,IF(calendar[[#This Row],[Month]]&lt;7,2,IF(calendar[[#This Row],[Month]]&lt;10,3,4)))</f>
        <v>3</v>
      </c>
      <c r="L3884">
        <f>IFERROR(IF(VLOOKUP(calendar[[#This Row],[Date]],BH!A:A,1,)&lt;&gt;"",1,0),0)</f>
        <v>0</v>
      </c>
      <c r="M3884">
        <f>IFERROR(IF(VLOOKUP(calendar[[#This Row],[Date]],BH!C:C,1,)&lt;&gt;"",1,0),0)</f>
        <v>0</v>
      </c>
      <c r="N3884">
        <f>IFERROR(IF(VLOOKUP(calendar[[#This Row],[Date]],BH!E:E,1,)&lt;&gt;"",1,0),0)</f>
        <v>0</v>
      </c>
      <c r="O3884">
        <f>IFERROR(IF(VLOOKUP(calendar[[#This Row],[Date]],BH!G:G,1,)&lt;&gt;"",1,0),0)</f>
        <v>0</v>
      </c>
      <c r="P3884">
        <f>IF(OR(calendar[[#This Row],[UK_BH]]=1,calendar[[#This Row],[WeekDay]]=1, calendar[[#This Row],[WeekDay]]=7),P3883,P3883+1)</f>
        <v>2753</v>
      </c>
      <c r="Q3884">
        <f>IF(OR(calendar[[#This Row],[FR_BH]]=1,calendar[[#This Row],[WeekDay]]=1, calendar[[#This Row],[WeekDay]]=7),P3883,P3883+1)</f>
        <v>2753</v>
      </c>
      <c r="R3884">
        <f>IF(OR(calendar[[#This Row],[SP_BH]]=1,calendar[[#This Row],[WeekDay]]=1, calendar[[#This Row],[WeekDay]]=7),P3883,P3883+1)</f>
        <v>2753</v>
      </c>
      <c r="S3884">
        <f>IF(OR(calendar[[#This Row],[PT_BH]]=1,calendar[[#This Row],[WeekDay]]=1, calendar[[#This Row],[WeekDay]]=7),P3883,P3883+1)</f>
        <v>2753</v>
      </c>
    </row>
    <row r="3885" spans="1:19" x14ac:dyDescent="0.25">
      <c r="A3885" s="2">
        <v>46619</v>
      </c>
      <c r="B3885" s="1">
        <f t="shared" si="306"/>
        <v>34</v>
      </c>
      <c r="C3885">
        <f t="shared" si="307"/>
        <v>8</v>
      </c>
      <c r="D3885" t="str">
        <f t="shared" si="308"/>
        <v>August</v>
      </c>
      <c r="E3885">
        <f t="shared" si="309"/>
        <v>2027</v>
      </c>
      <c r="F3885" t="str">
        <f>CONCATENATE(calendar[[#This Row],[Month]],"/",calendar[[#This Row],[Year]])</f>
        <v>8/2027</v>
      </c>
      <c r="G3885">
        <f>WEEKDAY(calendar[[#This Row],[Date]],1)</f>
        <v>6</v>
      </c>
      <c r="H3885" t="str">
        <f>TEXT(calendar[[#This Row],[WeekDay]],"dddd")</f>
        <v>Friday</v>
      </c>
      <c r="I3885">
        <f>IF((INT(calendar[[#This Row],[Count]]/7)-calendar[[#This Row],[Count]]/7)&lt;0,I3884,I3884+1)</f>
        <v>555</v>
      </c>
      <c r="J3885">
        <f t="shared" si="310"/>
        <v>3883</v>
      </c>
      <c r="K3885">
        <f>IF(calendar[[#This Row],[Month]]&lt;4,1,IF(calendar[[#This Row],[Month]]&lt;7,2,IF(calendar[[#This Row],[Month]]&lt;10,3,4)))</f>
        <v>3</v>
      </c>
      <c r="L3885">
        <f>IFERROR(IF(VLOOKUP(calendar[[#This Row],[Date]],BH!A:A,1,)&lt;&gt;"",1,0),0)</f>
        <v>0</v>
      </c>
      <c r="M3885">
        <f>IFERROR(IF(VLOOKUP(calendar[[#This Row],[Date]],BH!C:C,1,)&lt;&gt;"",1,0),0)</f>
        <v>0</v>
      </c>
      <c r="N3885">
        <f>IFERROR(IF(VLOOKUP(calendar[[#This Row],[Date]],BH!E:E,1,)&lt;&gt;"",1,0),0)</f>
        <v>0</v>
      </c>
      <c r="O3885">
        <f>IFERROR(IF(VLOOKUP(calendar[[#This Row],[Date]],BH!G:G,1,)&lt;&gt;"",1,0),0)</f>
        <v>0</v>
      </c>
      <c r="P3885">
        <f>IF(OR(calendar[[#This Row],[UK_BH]]=1,calendar[[#This Row],[WeekDay]]=1, calendar[[#This Row],[WeekDay]]=7),P3884,P3884+1)</f>
        <v>2754</v>
      </c>
      <c r="Q3885">
        <f>IF(OR(calendar[[#This Row],[FR_BH]]=1,calendar[[#This Row],[WeekDay]]=1, calendar[[#This Row],[WeekDay]]=7),P3884,P3884+1)</f>
        <v>2754</v>
      </c>
      <c r="R3885">
        <f>IF(OR(calendar[[#This Row],[SP_BH]]=1,calendar[[#This Row],[WeekDay]]=1, calendar[[#This Row],[WeekDay]]=7),P3884,P3884+1)</f>
        <v>2754</v>
      </c>
      <c r="S3885">
        <f>IF(OR(calendar[[#This Row],[PT_BH]]=1,calendar[[#This Row],[WeekDay]]=1, calendar[[#This Row],[WeekDay]]=7),P3884,P3884+1)</f>
        <v>2754</v>
      </c>
    </row>
    <row r="3886" spans="1:19" x14ac:dyDescent="0.25">
      <c r="A3886" s="2">
        <v>46620</v>
      </c>
      <c r="B3886" s="1">
        <f t="shared" si="306"/>
        <v>34</v>
      </c>
      <c r="C3886">
        <f t="shared" si="307"/>
        <v>8</v>
      </c>
      <c r="D3886" t="str">
        <f t="shared" si="308"/>
        <v>August</v>
      </c>
      <c r="E3886">
        <f t="shared" si="309"/>
        <v>2027</v>
      </c>
      <c r="F3886" t="str">
        <f>CONCATENATE(calendar[[#This Row],[Month]],"/",calendar[[#This Row],[Year]])</f>
        <v>8/2027</v>
      </c>
      <c r="G3886">
        <f>WEEKDAY(calendar[[#This Row],[Date]],1)</f>
        <v>7</v>
      </c>
      <c r="H3886" t="str">
        <f>TEXT(calendar[[#This Row],[WeekDay]],"dddd")</f>
        <v>Saturday</v>
      </c>
      <c r="I3886">
        <f>IF((INT(calendar[[#This Row],[Count]]/7)-calendar[[#This Row],[Count]]/7)&lt;0,I3885,I3885+1)</f>
        <v>555</v>
      </c>
      <c r="J3886">
        <f t="shared" si="310"/>
        <v>3884</v>
      </c>
      <c r="K3886">
        <f>IF(calendar[[#This Row],[Month]]&lt;4,1,IF(calendar[[#This Row],[Month]]&lt;7,2,IF(calendar[[#This Row],[Month]]&lt;10,3,4)))</f>
        <v>3</v>
      </c>
      <c r="L3886">
        <f>IFERROR(IF(VLOOKUP(calendar[[#This Row],[Date]],BH!A:A,1,)&lt;&gt;"",1,0),0)</f>
        <v>0</v>
      </c>
      <c r="M3886">
        <f>IFERROR(IF(VLOOKUP(calendar[[#This Row],[Date]],BH!C:C,1,)&lt;&gt;"",1,0),0)</f>
        <v>0</v>
      </c>
      <c r="N3886">
        <f>IFERROR(IF(VLOOKUP(calendar[[#This Row],[Date]],BH!E:E,1,)&lt;&gt;"",1,0),0)</f>
        <v>0</v>
      </c>
      <c r="O3886">
        <f>IFERROR(IF(VLOOKUP(calendar[[#This Row],[Date]],BH!G:G,1,)&lt;&gt;"",1,0),0)</f>
        <v>0</v>
      </c>
      <c r="P3886">
        <f>IF(OR(calendar[[#This Row],[UK_BH]]=1,calendar[[#This Row],[WeekDay]]=1, calendar[[#This Row],[WeekDay]]=7),P3885,P3885+1)</f>
        <v>2754</v>
      </c>
      <c r="Q3886">
        <f>IF(OR(calendar[[#This Row],[FR_BH]]=1,calendar[[#This Row],[WeekDay]]=1, calendar[[#This Row],[WeekDay]]=7),P3885,P3885+1)</f>
        <v>2754</v>
      </c>
      <c r="R3886">
        <f>IF(OR(calendar[[#This Row],[SP_BH]]=1,calendar[[#This Row],[WeekDay]]=1, calendar[[#This Row],[WeekDay]]=7),P3885,P3885+1)</f>
        <v>2754</v>
      </c>
      <c r="S3886">
        <f>IF(OR(calendar[[#This Row],[PT_BH]]=1,calendar[[#This Row],[WeekDay]]=1, calendar[[#This Row],[WeekDay]]=7),P3885,P3885+1)</f>
        <v>2754</v>
      </c>
    </row>
    <row r="3887" spans="1:19" x14ac:dyDescent="0.25">
      <c r="A3887" s="2">
        <v>46621</v>
      </c>
      <c r="B3887" s="1">
        <f t="shared" si="306"/>
        <v>35</v>
      </c>
      <c r="C3887">
        <f t="shared" si="307"/>
        <v>8</v>
      </c>
      <c r="D3887" t="str">
        <f t="shared" si="308"/>
        <v>August</v>
      </c>
      <c r="E3887">
        <f t="shared" si="309"/>
        <v>2027</v>
      </c>
      <c r="F3887" t="str">
        <f>CONCATENATE(calendar[[#This Row],[Month]],"/",calendar[[#This Row],[Year]])</f>
        <v>8/2027</v>
      </c>
      <c r="G3887">
        <f>WEEKDAY(calendar[[#This Row],[Date]],1)</f>
        <v>1</v>
      </c>
      <c r="H3887" t="str">
        <f>TEXT(calendar[[#This Row],[WeekDay]],"dddd")</f>
        <v>Sunday</v>
      </c>
      <c r="I3887">
        <f>IF((INT(calendar[[#This Row],[Count]]/7)-calendar[[#This Row],[Count]]/7)&lt;0,I3886,I3886+1)</f>
        <v>556</v>
      </c>
      <c r="J3887">
        <f t="shared" si="310"/>
        <v>3885</v>
      </c>
      <c r="K3887">
        <f>IF(calendar[[#This Row],[Month]]&lt;4,1,IF(calendar[[#This Row],[Month]]&lt;7,2,IF(calendar[[#This Row],[Month]]&lt;10,3,4)))</f>
        <v>3</v>
      </c>
      <c r="L3887">
        <f>IFERROR(IF(VLOOKUP(calendar[[#This Row],[Date]],BH!A:A,1,)&lt;&gt;"",1,0),0)</f>
        <v>0</v>
      </c>
      <c r="M3887">
        <f>IFERROR(IF(VLOOKUP(calendar[[#This Row],[Date]],BH!C:C,1,)&lt;&gt;"",1,0),0)</f>
        <v>0</v>
      </c>
      <c r="N3887">
        <f>IFERROR(IF(VLOOKUP(calendar[[#This Row],[Date]],BH!E:E,1,)&lt;&gt;"",1,0),0)</f>
        <v>0</v>
      </c>
      <c r="O3887">
        <f>IFERROR(IF(VLOOKUP(calendar[[#This Row],[Date]],BH!G:G,1,)&lt;&gt;"",1,0),0)</f>
        <v>0</v>
      </c>
      <c r="P3887">
        <f>IF(OR(calendar[[#This Row],[UK_BH]]=1,calendar[[#This Row],[WeekDay]]=1, calendar[[#This Row],[WeekDay]]=7),P3886,P3886+1)</f>
        <v>2754</v>
      </c>
      <c r="Q3887">
        <f>IF(OR(calendar[[#This Row],[FR_BH]]=1,calendar[[#This Row],[WeekDay]]=1, calendar[[#This Row],[WeekDay]]=7),P3886,P3886+1)</f>
        <v>2754</v>
      </c>
      <c r="R3887">
        <f>IF(OR(calendar[[#This Row],[SP_BH]]=1,calendar[[#This Row],[WeekDay]]=1, calendar[[#This Row],[WeekDay]]=7),P3886,P3886+1)</f>
        <v>2754</v>
      </c>
      <c r="S3887">
        <f>IF(OR(calendar[[#This Row],[PT_BH]]=1,calendar[[#This Row],[WeekDay]]=1, calendar[[#This Row],[WeekDay]]=7),P3886,P3886+1)</f>
        <v>2754</v>
      </c>
    </row>
    <row r="3888" spans="1:19" x14ac:dyDescent="0.25">
      <c r="A3888" s="2">
        <v>46622</v>
      </c>
      <c r="B3888" s="1">
        <f t="shared" si="306"/>
        <v>35</v>
      </c>
      <c r="C3888">
        <f t="shared" si="307"/>
        <v>8</v>
      </c>
      <c r="D3888" t="str">
        <f t="shared" si="308"/>
        <v>August</v>
      </c>
      <c r="E3888">
        <f t="shared" si="309"/>
        <v>2027</v>
      </c>
      <c r="F3888" t="str">
        <f>CONCATENATE(calendar[[#This Row],[Month]],"/",calendar[[#This Row],[Year]])</f>
        <v>8/2027</v>
      </c>
      <c r="G3888">
        <f>WEEKDAY(calendar[[#This Row],[Date]],1)</f>
        <v>2</v>
      </c>
      <c r="H3888" t="str">
        <f>TEXT(calendar[[#This Row],[WeekDay]],"dddd")</f>
        <v>Monday</v>
      </c>
      <c r="I3888">
        <f>IF((INT(calendar[[#This Row],[Count]]/7)-calendar[[#This Row],[Count]]/7)&lt;0,I3887,I3887+1)</f>
        <v>556</v>
      </c>
      <c r="J3888">
        <f t="shared" si="310"/>
        <v>3886</v>
      </c>
      <c r="K3888">
        <f>IF(calendar[[#This Row],[Month]]&lt;4,1,IF(calendar[[#This Row],[Month]]&lt;7,2,IF(calendar[[#This Row],[Month]]&lt;10,3,4)))</f>
        <v>3</v>
      </c>
      <c r="L3888">
        <f>IFERROR(IF(VLOOKUP(calendar[[#This Row],[Date]],BH!A:A,1,)&lt;&gt;"",1,0),0)</f>
        <v>0</v>
      </c>
      <c r="M3888">
        <f>IFERROR(IF(VLOOKUP(calendar[[#This Row],[Date]],BH!C:C,1,)&lt;&gt;"",1,0),0)</f>
        <v>0</v>
      </c>
      <c r="N3888">
        <f>IFERROR(IF(VLOOKUP(calendar[[#This Row],[Date]],BH!E:E,1,)&lt;&gt;"",1,0),0)</f>
        <v>0</v>
      </c>
      <c r="O3888">
        <f>IFERROR(IF(VLOOKUP(calendar[[#This Row],[Date]],BH!G:G,1,)&lt;&gt;"",1,0),0)</f>
        <v>0</v>
      </c>
      <c r="P3888">
        <f>IF(OR(calendar[[#This Row],[UK_BH]]=1,calendar[[#This Row],[WeekDay]]=1, calendar[[#This Row],[WeekDay]]=7),P3887,P3887+1)</f>
        <v>2755</v>
      </c>
      <c r="Q3888">
        <f>IF(OR(calendar[[#This Row],[FR_BH]]=1,calendar[[#This Row],[WeekDay]]=1, calendar[[#This Row],[WeekDay]]=7),P3887,P3887+1)</f>
        <v>2755</v>
      </c>
      <c r="R3888">
        <f>IF(OR(calendar[[#This Row],[SP_BH]]=1,calendar[[#This Row],[WeekDay]]=1, calendar[[#This Row],[WeekDay]]=7),P3887,P3887+1)</f>
        <v>2755</v>
      </c>
      <c r="S3888">
        <f>IF(OR(calendar[[#This Row],[PT_BH]]=1,calendar[[#This Row],[WeekDay]]=1, calendar[[#This Row],[WeekDay]]=7),P3887,P3887+1)</f>
        <v>2755</v>
      </c>
    </row>
    <row r="3889" spans="1:19" x14ac:dyDescent="0.25">
      <c r="A3889" s="2">
        <v>46623</v>
      </c>
      <c r="B3889" s="1">
        <f t="shared" si="306"/>
        <v>35</v>
      </c>
      <c r="C3889">
        <f t="shared" si="307"/>
        <v>8</v>
      </c>
      <c r="D3889" t="str">
        <f t="shared" si="308"/>
        <v>August</v>
      </c>
      <c r="E3889">
        <f t="shared" si="309"/>
        <v>2027</v>
      </c>
      <c r="F3889" t="str">
        <f>CONCATENATE(calendar[[#This Row],[Month]],"/",calendar[[#This Row],[Year]])</f>
        <v>8/2027</v>
      </c>
      <c r="G3889">
        <f>WEEKDAY(calendar[[#This Row],[Date]],1)</f>
        <v>3</v>
      </c>
      <c r="H3889" t="str">
        <f>TEXT(calendar[[#This Row],[WeekDay]],"dddd")</f>
        <v>Tuesday</v>
      </c>
      <c r="I3889">
        <f>IF((INT(calendar[[#This Row],[Count]]/7)-calendar[[#This Row],[Count]]/7)&lt;0,I3888,I3888+1)</f>
        <v>556</v>
      </c>
      <c r="J3889">
        <f t="shared" si="310"/>
        <v>3887</v>
      </c>
      <c r="K3889">
        <f>IF(calendar[[#This Row],[Month]]&lt;4,1,IF(calendar[[#This Row],[Month]]&lt;7,2,IF(calendar[[#This Row],[Month]]&lt;10,3,4)))</f>
        <v>3</v>
      </c>
      <c r="L3889">
        <f>IFERROR(IF(VLOOKUP(calendar[[#This Row],[Date]],BH!A:A,1,)&lt;&gt;"",1,0),0)</f>
        <v>0</v>
      </c>
      <c r="M3889">
        <f>IFERROR(IF(VLOOKUP(calendar[[#This Row],[Date]],BH!C:C,1,)&lt;&gt;"",1,0),0)</f>
        <v>0</v>
      </c>
      <c r="N3889">
        <f>IFERROR(IF(VLOOKUP(calendar[[#This Row],[Date]],BH!E:E,1,)&lt;&gt;"",1,0),0)</f>
        <v>0</v>
      </c>
      <c r="O3889">
        <f>IFERROR(IF(VLOOKUP(calendar[[#This Row],[Date]],BH!G:G,1,)&lt;&gt;"",1,0),0)</f>
        <v>0</v>
      </c>
      <c r="P3889">
        <f>IF(OR(calendar[[#This Row],[UK_BH]]=1,calendar[[#This Row],[WeekDay]]=1, calendar[[#This Row],[WeekDay]]=7),P3888,P3888+1)</f>
        <v>2756</v>
      </c>
      <c r="Q3889">
        <f>IF(OR(calendar[[#This Row],[FR_BH]]=1,calendar[[#This Row],[WeekDay]]=1, calendar[[#This Row],[WeekDay]]=7),P3888,P3888+1)</f>
        <v>2756</v>
      </c>
      <c r="R3889">
        <f>IF(OR(calendar[[#This Row],[SP_BH]]=1,calendar[[#This Row],[WeekDay]]=1, calendar[[#This Row],[WeekDay]]=7),P3888,P3888+1)</f>
        <v>2756</v>
      </c>
      <c r="S3889">
        <f>IF(OR(calendar[[#This Row],[PT_BH]]=1,calendar[[#This Row],[WeekDay]]=1, calendar[[#This Row],[WeekDay]]=7),P3888,P3888+1)</f>
        <v>2756</v>
      </c>
    </row>
    <row r="3890" spans="1:19" x14ac:dyDescent="0.25">
      <c r="A3890" s="2">
        <v>46624</v>
      </c>
      <c r="B3890" s="1">
        <f t="shared" si="306"/>
        <v>35</v>
      </c>
      <c r="C3890">
        <f t="shared" si="307"/>
        <v>8</v>
      </c>
      <c r="D3890" t="str">
        <f t="shared" si="308"/>
        <v>August</v>
      </c>
      <c r="E3890">
        <f t="shared" si="309"/>
        <v>2027</v>
      </c>
      <c r="F3890" t="str">
        <f>CONCATENATE(calendar[[#This Row],[Month]],"/",calendar[[#This Row],[Year]])</f>
        <v>8/2027</v>
      </c>
      <c r="G3890">
        <f>WEEKDAY(calendar[[#This Row],[Date]],1)</f>
        <v>4</v>
      </c>
      <c r="H3890" t="str">
        <f>TEXT(calendar[[#This Row],[WeekDay]],"dddd")</f>
        <v>Wednesday</v>
      </c>
      <c r="I3890">
        <f>IF((INT(calendar[[#This Row],[Count]]/7)-calendar[[#This Row],[Count]]/7)&lt;0,I3889,I3889+1)</f>
        <v>556</v>
      </c>
      <c r="J3890">
        <f t="shared" si="310"/>
        <v>3888</v>
      </c>
      <c r="K3890">
        <f>IF(calendar[[#This Row],[Month]]&lt;4,1,IF(calendar[[#This Row],[Month]]&lt;7,2,IF(calendar[[#This Row],[Month]]&lt;10,3,4)))</f>
        <v>3</v>
      </c>
      <c r="L3890">
        <f>IFERROR(IF(VLOOKUP(calendar[[#This Row],[Date]],BH!A:A,1,)&lt;&gt;"",1,0),0)</f>
        <v>0</v>
      </c>
      <c r="M3890">
        <f>IFERROR(IF(VLOOKUP(calendar[[#This Row],[Date]],BH!C:C,1,)&lt;&gt;"",1,0),0)</f>
        <v>0</v>
      </c>
      <c r="N3890">
        <f>IFERROR(IF(VLOOKUP(calendar[[#This Row],[Date]],BH!E:E,1,)&lt;&gt;"",1,0),0)</f>
        <v>0</v>
      </c>
      <c r="O3890">
        <f>IFERROR(IF(VLOOKUP(calendar[[#This Row],[Date]],BH!G:G,1,)&lt;&gt;"",1,0),0)</f>
        <v>0</v>
      </c>
      <c r="P3890">
        <f>IF(OR(calendar[[#This Row],[UK_BH]]=1,calendar[[#This Row],[WeekDay]]=1, calendar[[#This Row],[WeekDay]]=7),P3889,P3889+1)</f>
        <v>2757</v>
      </c>
      <c r="Q3890">
        <f>IF(OR(calendar[[#This Row],[FR_BH]]=1,calendar[[#This Row],[WeekDay]]=1, calendar[[#This Row],[WeekDay]]=7),P3889,P3889+1)</f>
        <v>2757</v>
      </c>
      <c r="R3890">
        <f>IF(OR(calendar[[#This Row],[SP_BH]]=1,calendar[[#This Row],[WeekDay]]=1, calendar[[#This Row],[WeekDay]]=7),P3889,P3889+1)</f>
        <v>2757</v>
      </c>
      <c r="S3890">
        <f>IF(OR(calendar[[#This Row],[PT_BH]]=1,calendar[[#This Row],[WeekDay]]=1, calendar[[#This Row],[WeekDay]]=7),P3889,P3889+1)</f>
        <v>2757</v>
      </c>
    </row>
    <row r="3891" spans="1:19" x14ac:dyDescent="0.25">
      <c r="A3891" s="2">
        <v>46625</v>
      </c>
      <c r="B3891" s="1">
        <f t="shared" si="306"/>
        <v>35</v>
      </c>
      <c r="C3891">
        <f t="shared" si="307"/>
        <v>8</v>
      </c>
      <c r="D3891" t="str">
        <f t="shared" si="308"/>
        <v>August</v>
      </c>
      <c r="E3891">
        <f t="shared" si="309"/>
        <v>2027</v>
      </c>
      <c r="F3891" t="str">
        <f>CONCATENATE(calendar[[#This Row],[Month]],"/",calendar[[#This Row],[Year]])</f>
        <v>8/2027</v>
      </c>
      <c r="G3891">
        <f>WEEKDAY(calendar[[#This Row],[Date]],1)</f>
        <v>5</v>
      </c>
      <c r="H3891" t="str">
        <f>TEXT(calendar[[#This Row],[WeekDay]],"dddd")</f>
        <v>Thursday</v>
      </c>
      <c r="I3891">
        <f>IF((INT(calendar[[#This Row],[Count]]/7)-calendar[[#This Row],[Count]]/7)&lt;0,I3890,I3890+1)</f>
        <v>556</v>
      </c>
      <c r="J3891">
        <f t="shared" si="310"/>
        <v>3889</v>
      </c>
      <c r="K3891">
        <f>IF(calendar[[#This Row],[Month]]&lt;4,1,IF(calendar[[#This Row],[Month]]&lt;7,2,IF(calendar[[#This Row],[Month]]&lt;10,3,4)))</f>
        <v>3</v>
      </c>
      <c r="L3891">
        <f>IFERROR(IF(VLOOKUP(calendar[[#This Row],[Date]],BH!A:A,1,)&lt;&gt;"",1,0),0)</f>
        <v>0</v>
      </c>
      <c r="M3891">
        <f>IFERROR(IF(VLOOKUP(calendar[[#This Row],[Date]],BH!C:C,1,)&lt;&gt;"",1,0),0)</f>
        <v>0</v>
      </c>
      <c r="N3891">
        <f>IFERROR(IF(VLOOKUP(calendar[[#This Row],[Date]],BH!E:E,1,)&lt;&gt;"",1,0),0)</f>
        <v>0</v>
      </c>
      <c r="O3891">
        <f>IFERROR(IF(VLOOKUP(calendar[[#This Row],[Date]],BH!G:G,1,)&lt;&gt;"",1,0),0)</f>
        <v>0</v>
      </c>
      <c r="P3891">
        <f>IF(OR(calendar[[#This Row],[UK_BH]]=1,calendar[[#This Row],[WeekDay]]=1, calendar[[#This Row],[WeekDay]]=7),P3890,P3890+1)</f>
        <v>2758</v>
      </c>
      <c r="Q3891">
        <f>IF(OR(calendar[[#This Row],[FR_BH]]=1,calendar[[#This Row],[WeekDay]]=1, calendar[[#This Row],[WeekDay]]=7),P3890,P3890+1)</f>
        <v>2758</v>
      </c>
      <c r="R3891">
        <f>IF(OR(calendar[[#This Row],[SP_BH]]=1,calendar[[#This Row],[WeekDay]]=1, calendar[[#This Row],[WeekDay]]=7),P3890,P3890+1)</f>
        <v>2758</v>
      </c>
      <c r="S3891">
        <f>IF(OR(calendar[[#This Row],[PT_BH]]=1,calendar[[#This Row],[WeekDay]]=1, calendar[[#This Row],[WeekDay]]=7),P3890,P3890+1)</f>
        <v>2758</v>
      </c>
    </row>
    <row r="3892" spans="1:19" x14ac:dyDescent="0.25">
      <c r="A3892" s="2">
        <v>46626</v>
      </c>
      <c r="B3892" s="1">
        <f t="shared" si="306"/>
        <v>35</v>
      </c>
      <c r="C3892">
        <f t="shared" si="307"/>
        <v>8</v>
      </c>
      <c r="D3892" t="str">
        <f t="shared" si="308"/>
        <v>August</v>
      </c>
      <c r="E3892">
        <f t="shared" si="309"/>
        <v>2027</v>
      </c>
      <c r="F3892" t="str">
        <f>CONCATENATE(calendar[[#This Row],[Month]],"/",calendar[[#This Row],[Year]])</f>
        <v>8/2027</v>
      </c>
      <c r="G3892">
        <f>WEEKDAY(calendar[[#This Row],[Date]],1)</f>
        <v>6</v>
      </c>
      <c r="H3892" t="str">
        <f>TEXT(calendar[[#This Row],[WeekDay]],"dddd")</f>
        <v>Friday</v>
      </c>
      <c r="I3892">
        <f>IF((INT(calendar[[#This Row],[Count]]/7)-calendar[[#This Row],[Count]]/7)&lt;0,I3891,I3891+1)</f>
        <v>556</v>
      </c>
      <c r="J3892">
        <f t="shared" si="310"/>
        <v>3890</v>
      </c>
      <c r="K3892">
        <f>IF(calendar[[#This Row],[Month]]&lt;4,1,IF(calendar[[#This Row],[Month]]&lt;7,2,IF(calendar[[#This Row],[Month]]&lt;10,3,4)))</f>
        <v>3</v>
      </c>
      <c r="L3892">
        <f>IFERROR(IF(VLOOKUP(calendar[[#This Row],[Date]],BH!A:A,1,)&lt;&gt;"",1,0),0)</f>
        <v>0</v>
      </c>
      <c r="M3892">
        <f>IFERROR(IF(VLOOKUP(calendar[[#This Row],[Date]],BH!C:C,1,)&lt;&gt;"",1,0),0)</f>
        <v>0</v>
      </c>
      <c r="N3892">
        <f>IFERROR(IF(VLOOKUP(calendar[[#This Row],[Date]],BH!E:E,1,)&lt;&gt;"",1,0),0)</f>
        <v>0</v>
      </c>
      <c r="O3892">
        <f>IFERROR(IF(VLOOKUP(calendar[[#This Row],[Date]],BH!G:G,1,)&lt;&gt;"",1,0),0)</f>
        <v>0</v>
      </c>
      <c r="P3892">
        <f>IF(OR(calendar[[#This Row],[UK_BH]]=1,calendar[[#This Row],[WeekDay]]=1, calendar[[#This Row],[WeekDay]]=7),P3891,P3891+1)</f>
        <v>2759</v>
      </c>
      <c r="Q3892">
        <f>IF(OR(calendar[[#This Row],[FR_BH]]=1,calendar[[#This Row],[WeekDay]]=1, calendar[[#This Row],[WeekDay]]=7),P3891,P3891+1)</f>
        <v>2759</v>
      </c>
      <c r="R3892">
        <f>IF(OR(calendar[[#This Row],[SP_BH]]=1,calendar[[#This Row],[WeekDay]]=1, calendar[[#This Row],[WeekDay]]=7),P3891,P3891+1)</f>
        <v>2759</v>
      </c>
      <c r="S3892">
        <f>IF(OR(calendar[[#This Row],[PT_BH]]=1,calendar[[#This Row],[WeekDay]]=1, calendar[[#This Row],[WeekDay]]=7),P3891,P3891+1)</f>
        <v>2759</v>
      </c>
    </row>
    <row r="3893" spans="1:19" x14ac:dyDescent="0.25">
      <c r="A3893" s="2">
        <v>46627</v>
      </c>
      <c r="B3893" s="1">
        <f t="shared" si="306"/>
        <v>35</v>
      </c>
      <c r="C3893">
        <f t="shared" si="307"/>
        <v>8</v>
      </c>
      <c r="D3893" t="str">
        <f t="shared" si="308"/>
        <v>August</v>
      </c>
      <c r="E3893">
        <f t="shared" si="309"/>
        <v>2027</v>
      </c>
      <c r="F3893" t="str">
        <f>CONCATENATE(calendar[[#This Row],[Month]],"/",calendar[[#This Row],[Year]])</f>
        <v>8/2027</v>
      </c>
      <c r="G3893">
        <f>WEEKDAY(calendar[[#This Row],[Date]],1)</f>
        <v>7</v>
      </c>
      <c r="H3893" t="str">
        <f>TEXT(calendar[[#This Row],[WeekDay]],"dddd")</f>
        <v>Saturday</v>
      </c>
      <c r="I3893">
        <f>IF((INT(calendar[[#This Row],[Count]]/7)-calendar[[#This Row],[Count]]/7)&lt;0,I3892,I3892+1)</f>
        <v>556</v>
      </c>
      <c r="J3893">
        <f t="shared" si="310"/>
        <v>3891</v>
      </c>
      <c r="K3893">
        <f>IF(calendar[[#This Row],[Month]]&lt;4,1,IF(calendar[[#This Row],[Month]]&lt;7,2,IF(calendar[[#This Row],[Month]]&lt;10,3,4)))</f>
        <v>3</v>
      </c>
      <c r="L3893">
        <f>IFERROR(IF(VLOOKUP(calendar[[#This Row],[Date]],BH!A:A,1,)&lt;&gt;"",1,0),0)</f>
        <v>0</v>
      </c>
      <c r="M3893">
        <f>IFERROR(IF(VLOOKUP(calendar[[#This Row],[Date]],BH!C:C,1,)&lt;&gt;"",1,0),0)</f>
        <v>0</v>
      </c>
      <c r="N3893">
        <f>IFERROR(IF(VLOOKUP(calendar[[#This Row],[Date]],BH!E:E,1,)&lt;&gt;"",1,0),0)</f>
        <v>0</v>
      </c>
      <c r="O3893">
        <f>IFERROR(IF(VLOOKUP(calendar[[#This Row],[Date]],BH!G:G,1,)&lt;&gt;"",1,0),0)</f>
        <v>0</v>
      </c>
      <c r="P3893">
        <f>IF(OR(calendar[[#This Row],[UK_BH]]=1,calendar[[#This Row],[WeekDay]]=1, calendar[[#This Row],[WeekDay]]=7),P3892,P3892+1)</f>
        <v>2759</v>
      </c>
      <c r="Q3893">
        <f>IF(OR(calendar[[#This Row],[FR_BH]]=1,calendar[[#This Row],[WeekDay]]=1, calendar[[#This Row],[WeekDay]]=7),P3892,P3892+1)</f>
        <v>2759</v>
      </c>
      <c r="R3893">
        <f>IF(OR(calendar[[#This Row],[SP_BH]]=1,calendar[[#This Row],[WeekDay]]=1, calendar[[#This Row],[WeekDay]]=7),P3892,P3892+1)</f>
        <v>2759</v>
      </c>
      <c r="S3893">
        <f>IF(OR(calendar[[#This Row],[PT_BH]]=1,calendar[[#This Row],[WeekDay]]=1, calendar[[#This Row],[WeekDay]]=7),P3892,P3892+1)</f>
        <v>2759</v>
      </c>
    </row>
    <row r="3894" spans="1:19" x14ac:dyDescent="0.25">
      <c r="A3894" s="2">
        <v>46628</v>
      </c>
      <c r="B3894" s="1">
        <f t="shared" si="306"/>
        <v>36</v>
      </c>
      <c r="C3894">
        <f t="shared" si="307"/>
        <v>8</v>
      </c>
      <c r="D3894" t="str">
        <f t="shared" si="308"/>
        <v>August</v>
      </c>
      <c r="E3894">
        <f t="shared" si="309"/>
        <v>2027</v>
      </c>
      <c r="F3894" t="str">
        <f>CONCATENATE(calendar[[#This Row],[Month]],"/",calendar[[#This Row],[Year]])</f>
        <v>8/2027</v>
      </c>
      <c r="G3894">
        <f>WEEKDAY(calendar[[#This Row],[Date]],1)</f>
        <v>1</v>
      </c>
      <c r="H3894" t="str">
        <f>TEXT(calendar[[#This Row],[WeekDay]],"dddd")</f>
        <v>Sunday</v>
      </c>
      <c r="I3894">
        <f>IF((INT(calendar[[#This Row],[Count]]/7)-calendar[[#This Row],[Count]]/7)&lt;0,I3893,I3893+1)</f>
        <v>557</v>
      </c>
      <c r="J3894">
        <f t="shared" si="310"/>
        <v>3892</v>
      </c>
      <c r="K3894">
        <f>IF(calendar[[#This Row],[Month]]&lt;4,1,IF(calendar[[#This Row],[Month]]&lt;7,2,IF(calendar[[#This Row],[Month]]&lt;10,3,4)))</f>
        <v>3</v>
      </c>
      <c r="L3894">
        <f>IFERROR(IF(VLOOKUP(calendar[[#This Row],[Date]],BH!A:A,1,)&lt;&gt;"",1,0),0)</f>
        <v>0</v>
      </c>
      <c r="M3894">
        <f>IFERROR(IF(VLOOKUP(calendar[[#This Row],[Date]],BH!C:C,1,)&lt;&gt;"",1,0),0)</f>
        <v>0</v>
      </c>
      <c r="N3894">
        <f>IFERROR(IF(VLOOKUP(calendar[[#This Row],[Date]],BH!E:E,1,)&lt;&gt;"",1,0),0)</f>
        <v>0</v>
      </c>
      <c r="O3894">
        <f>IFERROR(IF(VLOOKUP(calendar[[#This Row],[Date]],BH!G:G,1,)&lt;&gt;"",1,0),0)</f>
        <v>0</v>
      </c>
      <c r="P3894">
        <f>IF(OR(calendar[[#This Row],[UK_BH]]=1,calendar[[#This Row],[WeekDay]]=1, calendar[[#This Row],[WeekDay]]=7),P3893,P3893+1)</f>
        <v>2759</v>
      </c>
      <c r="Q3894">
        <f>IF(OR(calendar[[#This Row],[FR_BH]]=1,calendar[[#This Row],[WeekDay]]=1, calendar[[#This Row],[WeekDay]]=7),P3893,P3893+1)</f>
        <v>2759</v>
      </c>
      <c r="R3894">
        <f>IF(OR(calendar[[#This Row],[SP_BH]]=1,calendar[[#This Row],[WeekDay]]=1, calendar[[#This Row],[WeekDay]]=7),P3893,P3893+1)</f>
        <v>2759</v>
      </c>
      <c r="S3894">
        <f>IF(OR(calendar[[#This Row],[PT_BH]]=1,calendar[[#This Row],[WeekDay]]=1, calendar[[#This Row],[WeekDay]]=7),P3893,P3893+1)</f>
        <v>2759</v>
      </c>
    </row>
    <row r="3895" spans="1:19" x14ac:dyDescent="0.25">
      <c r="A3895" s="2">
        <v>46629</v>
      </c>
      <c r="B3895" s="1">
        <f t="shared" si="306"/>
        <v>36</v>
      </c>
      <c r="C3895">
        <f t="shared" si="307"/>
        <v>8</v>
      </c>
      <c r="D3895" t="str">
        <f t="shared" si="308"/>
        <v>August</v>
      </c>
      <c r="E3895">
        <f t="shared" si="309"/>
        <v>2027</v>
      </c>
      <c r="F3895" t="str">
        <f>CONCATENATE(calendar[[#This Row],[Month]],"/",calendar[[#This Row],[Year]])</f>
        <v>8/2027</v>
      </c>
      <c r="G3895">
        <f>WEEKDAY(calendar[[#This Row],[Date]],1)</f>
        <v>2</v>
      </c>
      <c r="H3895" t="str">
        <f>TEXT(calendar[[#This Row],[WeekDay]],"dddd")</f>
        <v>Monday</v>
      </c>
      <c r="I3895">
        <f>IF((INT(calendar[[#This Row],[Count]]/7)-calendar[[#This Row],[Count]]/7)&lt;0,I3894,I3894+1)</f>
        <v>557</v>
      </c>
      <c r="J3895">
        <f t="shared" si="310"/>
        <v>3893</v>
      </c>
      <c r="K3895">
        <f>IF(calendar[[#This Row],[Month]]&lt;4,1,IF(calendar[[#This Row],[Month]]&lt;7,2,IF(calendar[[#This Row],[Month]]&lt;10,3,4)))</f>
        <v>3</v>
      </c>
      <c r="L3895">
        <f>IFERROR(IF(VLOOKUP(calendar[[#This Row],[Date]],BH!A:A,1,)&lt;&gt;"",1,0),0)</f>
        <v>1</v>
      </c>
      <c r="M3895">
        <f>IFERROR(IF(VLOOKUP(calendar[[#This Row],[Date]],BH!C:C,1,)&lt;&gt;"",1,0),0)</f>
        <v>0</v>
      </c>
      <c r="N3895">
        <f>IFERROR(IF(VLOOKUP(calendar[[#This Row],[Date]],BH!E:E,1,)&lt;&gt;"",1,0),0)</f>
        <v>0</v>
      </c>
      <c r="O3895">
        <f>IFERROR(IF(VLOOKUP(calendar[[#This Row],[Date]],BH!G:G,1,)&lt;&gt;"",1,0),0)</f>
        <v>0</v>
      </c>
      <c r="P3895">
        <f>IF(OR(calendar[[#This Row],[UK_BH]]=1,calendar[[#This Row],[WeekDay]]=1, calendar[[#This Row],[WeekDay]]=7),P3894,P3894+1)</f>
        <v>2759</v>
      </c>
      <c r="Q3895">
        <f>IF(OR(calendar[[#This Row],[FR_BH]]=1,calendar[[#This Row],[WeekDay]]=1, calendar[[#This Row],[WeekDay]]=7),P3894,P3894+1)</f>
        <v>2760</v>
      </c>
      <c r="R3895">
        <f>IF(OR(calendar[[#This Row],[SP_BH]]=1,calendar[[#This Row],[WeekDay]]=1, calendar[[#This Row],[WeekDay]]=7),P3894,P3894+1)</f>
        <v>2760</v>
      </c>
      <c r="S3895">
        <f>IF(OR(calendar[[#This Row],[PT_BH]]=1,calendar[[#This Row],[WeekDay]]=1, calendar[[#This Row],[WeekDay]]=7),P3894,P3894+1)</f>
        <v>2760</v>
      </c>
    </row>
    <row r="3896" spans="1:19" x14ac:dyDescent="0.25">
      <c r="A3896" s="2">
        <v>46630</v>
      </c>
      <c r="B3896" s="1">
        <f t="shared" si="306"/>
        <v>36</v>
      </c>
      <c r="C3896">
        <f t="shared" si="307"/>
        <v>8</v>
      </c>
      <c r="D3896" t="str">
        <f t="shared" si="308"/>
        <v>August</v>
      </c>
      <c r="E3896">
        <f t="shared" si="309"/>
        <v>2027</v>
      </c>
      <c r="F3896" t="str">
        <f>CONCATENATE(calendar[[#This Row],[Month]],"/",calendar[[#This Row],[Year]])</f>
        <v>8/2027</v>
      </c>
      <c r="G3896">
        <f>WEEKDAY(calendar[[#This Row],[Date]],1)</f>
        <v>3</v>
      </c>
      <c r="H3896" t="str">
        <f>TEXT(calendar[[#This Row],[WeekDay]],"dddd")</f>
        <v>Tuesday</v>
      </c>
      <c r="I3896">
        <f>IF((INT(calendar[[#This Row],[Count]]/7)-calendar[[#This Row],[Count]]/7)&lt;0,I3895,I3895+1)</f>
        <v>557</v>
      </c>
      <c r="J3896">
        <f t="shared" si="310"/>
        <v>3894</v>
      </c>
      <c r="K3896">
        <f>IF(calendar[[#This Row],[Month]]&lt;4,1,IF(calendar[[#This Row],[Month]]&lt;7,2,IF(calendar[[#This Row],[Month]]&lt;10,3,4)))</f>
        <v>3</v>
      </c>
      <c r="L3896">
        <f>IFERROR(IF(VLOOKUP(calendar[[#This Row],[Date]],BH!A:A,1,)&lt;&gt;"",1,0),0)</f>
        <v>0</v>
      </c>
      <c r="M3896">
        <f>IFERROR(IF(VLOOKUP(calendar[[#This Row],[Date]],BH!C:C,1,)&lt;&gt;"",1,0),0)</f>
        <v>0</v>
      </c>
      <c r="N3896">
        <f>IFERROR(IF(VLOOKUP(calendar[[#This Row],[Date]],BH!E:E,1,)&lt;&gt;"",1,0),0)</f>
        <v>0</v>
      </c>
      <c r="O3896">
        <f>IFERROR(IF(VLOOKUP(calendar[[#This Row],[Date]],BH!G:G,1,)&lt;&gt;"",1,0),0)</f>
        <v>0</v>
      </c>
      <c r="P3896">
        <f>IF(OR(calendar[[#This Row],[UK_BH]]=1,calendar[[#This Row],[WeekDay]]=1, calendar[[#This Row],[WeekDay]]=7),P3895,P3895+1)</f>
        <v>2760</v>
      </c>
      <c r="Q3896">
        <f>IF(OR(calendar[[#This Row],[FR_BH]]=1,calendar[[#This Row],[WeekDay]]=1, calendar[[#This Row],[WeekDay]]=7),P3895,P3895+1)</f>
        <v>2760</v>
      </c>
      <c r="R3896">
        <f>IF(OR(calendar[[#This Row],[SP_BH]]=1,calendar[[#This Row],[WeekDay]]=1, calendar[[#This Row],[WeekDay]]=7),P3895,P3895+1)</f>
        <v>2760</v>
      </c>
      <c r="S3896">
        <f>IF(OR(calendar[[#This Row],[PT_BH]]=1,calendar[[#This Row],[WeekDay]]=1, calendar[[#This Row],[WeekDay]]=7),P3895,P3895+1)</f>
        <v>2760</v>
      </c>
    </row>
    <row r="3897" spans="1:19" x14ac:dyDescent="0.25">
      <c r="A3897" s="2">
        <v>46631</v>
      </c>
      <c r="B3897" s="1">
        <f t="shared" si="306"/>
        <v>36</v>
      </c>
      <c r="C3897">
        <f t="shared" si="307"/>
        <v>9</v>
      </c>
      <c r="D3897" t="str">
        <f t="shared" si="308"/>
        <v>September</v>
      </c>
      <c r="E3897">
        <f t="shared" si="309"/>
        <v>2027</v>
      </c>
      <c r="F3897" t="str">
        <f>CONCATENATE(calendar[[#This Row],[Month]],"/",calendar[[#This Row],[Year]])</f>
        <v>9/2027</v>
      </c>
      <c r="G3897">
        <f>WEEKDAY(calendar[[#This Row],[Date]],1)</f>
        <v>4</v>
      </c>
      <c r="H3897" t="str">
        <f>TEXT(calendar[[#This Row],[WeekDay]],"dddd")</f>
        <v>Wednesday</v>
      </c>
      <c r="I3897">
        <f>IF((INT(calendar[[#This Row],[Count]]/7)-calendar[[#This Row],[Count]]/7)&lt;0,I3896,I3896+1)</f>
        <v>557</v>
      </c>
      <c r="J3897">
        <f t="shared" si="310"/>
        <v>3895</v>
      </c>
      <c r="K3897">
        <f>IF(calendar[[#This Row],[Month]]&lt;4,1,IF(calendar[[#This Row],[Month]]&lt;7,2,IF(calendar[[#This Row],[Month]]&lt;10,3,4)))</f>
        <v>3</v>
      </c>
      <c r="L3897">
        <f>IFERROR(IF(VLOOKUP(calendar[[#This Row],[Date]],BH!A:A,1,)&lt;&gt;"",1,0),0)</f>
        <v>0</v>
      </c>
      <c r="M3897">
        <f>IFERROR(IF(VLOOKUP(calendar[[#This Row],[Date]],BH!C:C,1,)&lt;&gt;"",1,0),0)</f>
        <v>0</v>
      </c>
      <c r="N3897">
        <f>IFERROR(IF(VLOOKUP(calendar[[#This Row],[Date]],BH!E:E,1,)&lt;&gt;"",1,0),0)</f>
        <v>0</v>
      </c>
      <c r="O3897">
        <f>IFERROR(IF(VLOOKUP(calendar[[#This Row],[Date]],BH!G:G,1,)&lt;&gt;"",1,0),0)</f>
        <v>0</v>
      </c>
      <c r="P3897">
        <f>IF(OR(calendar[[#This Row],[UK_BH]]=1,calendar[[#This Row],[WeekDay]]=1, calendar[[#This Row],[WeekDay]]=7),P3896,P3896+1)</f>
        <v>2761</v>
      </c>
      <c r="Q3897">
        <f>IF(OR(calendar[[#This Row],[FR_BH]]=1,calendar[[#This Row],[WeekDay]]=1, calendar[[#This Row],[WeekDay]]=7),P3896,P3896+1)</f>
        <v>2761</v>
      </c>
      <c r="R3897">
        <f>IF(OR(calendar[[#This Row],[SP_BH]]=1,calendar[[#This Row],[WeekDay]]=1, calendar[[#This Row],[WeekDay]]=7),P3896,P3896+1)</f>
        <v>2761</v>
      </c>
      <c r="S3897">
        <f>IF(OR(calendar[[#This Row],[PT_BH]]=1,calendar[[#This Row],[WeekDay]]=1, calendar[[#This Row],[WeekDay]]=7),P3896,P3896+1)</f>
        <v>2761</v>
      </c>
    </row>
    <row r="3898" spans="1:19" x14ac:dyDescent="0.25">
      <c r="A3898" s="2">
        <v>46632</v>
      </c>
      <c r="B3898" s="1">
        <f t="shared" si="306"/>
        <v>36</v>
      </c>
      <c r="C3898">
        <f t="shared" si="307"/>
        <v>9</v>
      </c>
      <c r="D3898" t="str">
        <f t="shared" si="308"/>
        <v>September</v>
      </c>
      <c r="E3898">
        <f t="shared" si="309"/>
        <v>2027</v>
      </c>
      <c r="F3898" t="str">
        <f>CONCATENATE(calendar[[#This Row],[Month]],"/",calendar[[#This Row],[Year]])</f>
        <v>9/2027</v>
      </c>
      <c r="G3898">
        <f>WEEKDAY(calendar[[#This Row],[Date]],1)</f>
        <v>5</v>
      </c>
      <c r="H3898" t="str">
        <f>TEXT(calendar[[#This Row],[WeekDay]],"dddd")</f>
        <v>Thursday</v>
      </c>
      <c r="I3898">
        <f>IF((INT(calendar[[#This Row],[Count]]/7)-calendar[[#This Row],[Count]]/7)&lt;0,I3897,I3897+1)</f>
        <v>557</v>
      </c>
      <c r="J3898">
        <f t="shared" si="310"/>
        <v>3896</v>
      </c>
      <c r="K3898">
        <f>IF(calendar[[#This Row],[Month]]&lt;4,1,IF(calendar[[#This Row],[Month]]&lt;7,2,IF(calendar[[#This Row],[Month]]&lt;10,3,4)))</f>
        <v>3</v>
      </c>
      <c r="L3898">
        <f>IFERROR(IF(VLOOKUP(calendar[[#This Row],[Date]],BH!A:A,1,)&lt;&gt;"",1,0),0)</f>
        <v>0</v>
      </c>
      <c r="M3898">
        <f>IFERROR(IF(VLOOKUP(calendar[[#This Row],[Date]],BH!C:C,1,)&lt;&gt;"",1,0),0)</f>
        <v>0</v>
      </c>
      <c r="N3898">
        <f>IFERROR(IF(VLOOKUP(calendar[[#This Row],[Date]],BH!E:E,1,)&lt;&gt;"",1,0),0)</f>
        <v>0</v>
      </c>
      <c r="O3898">
        <f>IFERROR(IF(VLOOKUP(calendar[[#This Row],[Date]],BH!G:G,1,)&lt;&gt;"",1,0),0)</f>
        <v>0</v>
      </c>
      <c r="P3898">
        <f>IF(OR(calendar[[#This Row],[UK_BH]]=1,calendar[[#This Row],[WeekDay]]=1, calendar[[#This Row],[WeekDay]]=7),P3897,P3897+1)</f>
        <v>2762</v>
      </c>
      <c r="Q3898">
        <f>IF(OR(calendar[[#This Row],[FR_BH]]=1,calendar[[#This Row],[WeekDay]]=1, calendar[[#This Row],[WeekDay]]=7),P3897,P3897+1)</f>
        <v>2762</v>
      </c>
      <c r="R3898">
        <f>IF(OR(calendar[[#This Row],[SP_BH]]=1,calendar[[#This Row],[WeekDay]]=1, calendar[[#This Row],[WeekDay]]=7),P3897,P3897+1)</f>
        <v>2762</v>
      </c>
      <c r="S3898">
        <f>IF(OR(calendar[[#This Row],[PT_BH]]=1,calendar[[#This Row],[WeekDay]]=1, calendar[[#This Row],[WeekDay]]=7),P3897,P3897+1)</f>
        <v>2762</v>
      </c>
    </row>
    <row r="3899" spans="1:19" x14ac:dyDescent="0.25">
      <c r="A3899" s="2">
        <v>46633</v>
      </c>
      <c r="B3899" s="1">
        <f t="shared" si="306"/>
        <v>36</v>
      </c>
      <c r="C3899">
        <f t="shared" si="307"/>
        <v>9</v>
      </c>
      <c r="D3899" t="str">
        <f t="shared" si="308"/>
        <v>September</v>
      </c>
      <c r="E3899">
        <f t="shared" si="309"/>
        <v>2027</v>
      </c>
      <c r="F3899" t="str">
        <f>CONCATENATE(calendar[[#This Row],[Month]],"/",calendar[[#This Row],[Year]])</f>
        <v>9/2027</v>
      </c>
      <c r="G3899">
        <f>WEEKDAY(calendar[[#This Row],[Date]],1)</f>
        <v>6</v>
      </c>
      <c r="H3899" t="str">
        <f>TEXT(calendar[[#This Row],[WeekDay]],"dddd")</f>
        <v>Friday</v>
      </c>
      <c r="I3899">
        <f>IF((INT(calendar[[#This Row],[Count]]/7)-calendar[[#This Row],[Count]]/7)&lt;0,I3898,I3898+1)</f>
        <v>557</v>
      </c>
      <c r="J3899">
        <f t="shared" si="310"/>
        <v>3897</v>
      </c>
      <c r="K3899">
        <f>IF(calendar[[#This Row],[Month]]&lt;4,1,IF(calendar[[#This Row],[Month]]&lt;7,2,IF(calendar[[#This Row],[Month]]&lt;10,3,4)))</f>
        <v>3</v>
      </c>
      <c r="L3899">
        <f>IFERROR(IF(VLOOKUP(calendar[[#This Row],[Date]],BH!A:A,1,)&lt;&gt;"",1,0),0)</f>
        <v>0</v>
      </c>
      <c r="M3899">
        <f>IFERROR(IF(VLOOKUP(calendar[[#This Row],[Date]],BH!C:C,1,)&lt;&gt;"",1,0),0)</f>
        <v>0</v>
      </c>
      <c r="N3899">
        <f>IFERROR(IF(VLOOKUP(calendar[[#This Row],[Date]],BH!E:E,1,)&lt;&gt;"",1,0),0)</f>
        <v>0</v>
      </c>
      <c r="O3899">
        <f>IFERROR(IF(VLOOKUP(calendar[[#This Row],[Date]],BH!G:G,1,)&lt;&gt;"",1,0),0)</f>
        <v>0</v>
      </c>
      <c r="P3899">
        <f>IF(OR(calendar[[#This Row],[UK_BH]]=1,calendar[[#This Row],[WeekDay]]=1, calendar[[#This Row],[WeekDay]]=7),P3898,P3898+1)</f>
        <v>2763</v>
      </c>
      <c r="Q3899">
        <f>IF(OR(calendar[[#This Row],[FR_BH]]=1,calendar[[#This Row],[WeekDay]]=1, calendar[[#This Row],[WeekDay]]=7),P3898,P3898+1)</f>
        <v>2763</v>
      </c>
      <c r="R3899">
        <f>IF(OR(calendar[[#This Row],[SP_BH]]=1,calendar[[#This Row],[WeekDay]]=1, calendar[[#This Row],[WeekDay]]=7),P3898,P3898+1)</f>
        <v>2763</v>
      </c>
      <c r="S3899">
        <f>IF(OR(calendar[[#This Row],[PT_BH]]=1,calendar[[#This Row],[WeekDay]]=1, calendar[[#This Row],[WeekDay]]=7),P3898,P3898+1)</f>
        <v>2763</v>
      </c>
    </row>
    <row r="3900" spans="1:19" x14ac:dyDescent="0.25">
      <c r="A3900" s="2">
        <v>46634</v>
      </c>
      <c r="B3900" s="1">
        <f t="shared" si="306"/>
        <v>36</v>
      </c>
      <c r="C3900">
        <f t="shared" si="307"/>
        <v>9</v>
      </c>
      <c r="D3900" t="str">
        <f t="shared" si="308"/>
        <v>September</v>
      </c>
      <c r="E3900">
        <f t="shared" si="309"/>
        <v>2027</v>
      </c>
      <c r="F3900" t="str">
        <f>CONCATENATE(calendar[[#This Row],[Month]],"/",calendar[[#This Row],[Year]])</f>
        <v>9/2027</v>
      </c>
      <c r="G3900">
        <f>WEEKDAY(calendar[[#This Row],[Date]],1)</f>
        <v>7</v>
      </c>
      <c r="H3900" t="str">
        <f>TEXT(calendar[[#This Row],[WeekDay]],"dddd")</f>
        <v>Saturday</v>
      </c>
      <c r="I3900">
        <f>IF((INT(calendar[[#This Row],[Count]]/7)-calendar[[#This Row],[Count]]/7)&lt;0,I3899,I3899+1)</f>
        <v>557</v>
      </c>
      <c r="J3900">
        <f t="shared" si="310"/>
        <v>3898</v>
      </c>
      <c r="K3900">
        <f>IF(calendar[[#This Row],[Month]]&lt;4,1,IF(calendar[[#This Row],[Month]]&lt;7,2,IF(calendar[[#This Row],[Month]]&lt;10,3,4)))</f>
        <v>3</v>
      </c>
      <c r="L3900">
        <f>IFERROR(IF(VLOOKUP(calendar[[#This Row],[Date]],BH!A:A,1,)&lt;&gt;"",1,0),0)</f>
        <v>0</v>
      </c>
      <c r="M3900">
        <f>IFERROR(IF(VLOOKUP(calendar[[#This Row],[Date]],BH!C:C,1,)&lt;&gt;"",1,0),0)</f>
        <v>0</v>
      </c>
      <c r="N3900">
        <f>IFERROR(IF(VLOOKUP(calendar[[#This Row],[Date]],BH!E:E,1,)&lt;&gt;"",1,0),0)</f>
        <v>0</v>
      </c>
      <c r="O3900">
        <f>IFERROR(IF(VLOOKUP(calendar[[#This Row],[Date]],BH!G:G,1,)&lt;&gt;"",1,0),0)</f>
        <v>0</v>
      </c>
      <c r="P3900">
        <f>IF(OR(calendar[[#This Row],[UK_BH]]=1,calendar[[#This Row],[WeekDay]]=1, calendar[[#This Row],[WeekDay]]=7),P3899,P3899+1)</f>
        <v>2763</v>
      </c>
      <c r="Q3900">
        <f>IF(OR(calendar[[#This Row],[FR_BH]]=1,calendar[[#This Row],[WeekDay]]=1, calendar[[#This Row],[WeekDay]]=7),P3899,P3899+1)</f>
        <v>2763</v>
      </c>
      <c r="R3900">
        <f>IF(OR(calendar[[#This Row],[SP_BH]]=1,calendar[[#This Row],[WeekDay]]=1, calendar[[#This Row],[WeekDay]]=7),P3899,P3899+1)</f>
        <v>2763</v>
      </c>
      <c r="S3900">
        <f>IF(OR(calendar[[#This Row],[PT_BH]]=1,calendar[[#This Row],[WeekDay]]=1, calendar[[#This Row],[WeekDay]]=7),P3899,P3899+1)</f>
        <v>2763</v>
      </c>
    </row>
    <row r="3901" spans="1:19" x14ac:dyDescent="0.25">
      <c r="A3901" s="2">
        <v>46635</v>
      </c>
      <c r="B3901" s="1">
        <f t="shared" si="306"/>
        <v>37</v>
      </c>
      <c r="C3901">
        <f t="shared" si="307"/>
        <v>9</v>
      </c>
      <c r="D3901" t="str">
        <f t="shared" si="308"/>
        <v>September</v>
      </c>
      <c r="E3901">
        <f t="shared" si="309"/>
        <v>2027</v>
      </c>
      <c r="F3901" t="str">
        <f>CONCATENATE(calendar[[#This Row],[Month]],"/",calendar[[#This Row],[Year]])</f>
        <v>9/2027</v>
      </c>
      <c r="G3901">
        <f>WEEKDAY(calendar[[#This Row],[Date]],1)</f>
        <v>1</v>
      </c>
      <c r="H3901" t="str">
        <f>TEXT(calendar[[#This Row],[WeekDay]],"dddd")</f>
        <v>Sunday</v>
      </c>
      <c r="I3901">
        <f>IF((INT(calendar[[#This Row],[Count]]/7)-calendar[[#This Row],[Count]]/7)&lt;0,I3900,I3900+1)</f>
        <v>558</v>
      </c>
      <c r="J3901">
        <f t="shared" si="310"/>
        <v>3899</v>
      </c>
      <c r="K3901">
        <f>IF(calendar[[#This Row],[Month]]&lt;4,1,IF(calendar[[#This Row],[Month]]&lt;7,2,IF(calendar[[#This Row],[Month]]&lt;10,3,4)))</f>
        <v>3</v>
      </c>
      <c r="L3901">
        <f>IFERROR(IF(VLOOKUP(calendar[[#This Row],[Date]],BH!A:A,1,)&lt;&gt;"",1,0),0)</f>
        <v>0</v>
      </c>
      <c r="M3901">
        <f>IFERROR(IF(VLOOKUP(calendar[[#This Row],[Date]],BH!C:C,1,)&lt;&gt;"",1,0),0)</f>
        <v>0</v>
      </c>
      <c r="N3901">
        <f>IFERROR(IF(VLOOKUP(calendar[[#This Row],[Date]],BH!E:E,1,)&lt;&gt;"",1,0),0)</f>
        <v>0</v>
      </c>
      <c r="O3901">
        <f>IFERROR(IF(VLOOKUP(calendar[[#This Row],[Date]],BH!G:G,1,)&lt;&gt;"",1,0),0)</f>
        <v>0</v>
      </c>
      <c r="P3901">
        <f>IF(OR(calendar[[#This Row],[UK_BH]]=1,calendar[[#This Row],[WeekDay]]=1, calendar[[#This Row],[WeekDay]]=7),P3900,P3900+1)</f>
        <v>2763</v>
      </c>
      <c r="Q3901">
        <f>IF(OR(calendar[[#This Row],[FR_BH]]=1,calendar[[#This Row],[WeekDay]]=1, calendar[[#This Row],[WeekDay]]=7),P3900,P3900+1)</f>
        <v>2763</v>
      </c>
      <c r="R3901">
        <f>IF(OR(calendar[[#This Row],[SP_BH]]=1,calendar[[#This Row],[WeekDay]]=1, calendar[[#This Row],[WeekDay]]=7),P3900,P3900+1)</f>
        <v>2763</v>
      </c>
      <c r="S3901">
        <f>IF(OR(calendar[[#This Row],[PT_BH]]=1,calendar[[#This Row],[WeekDay]]=1, calendar[[#This Row],[WeekDay]]=7),P3900,P3900+1)</f>
        <v>2763</v>
      </c>
    </row>
    <row r="3902" spans="1:19" x14ac:dyDescent="0.25">
      <c r="A3902" s="2">
        <v>46636</v>
      </c>
      <c r="B3902" s="1">
        <f t="shared" si="306"/>
        <v>37</v>
      </c>
      <c r="C3902">
        <f t="shared" si="307"/>
        <v>9</v>
      </c>
      <c r="D3902" t="str">
        <f t="shared" si="308"/>
        <v>September</v>
      </c>
      <c r="E3902">
        <f t="shared" si="309"/>
        <v>2027</v>
      </c>
      <c r="F3902" t="str">
        <f>CONCATENATE(calendar[[#This Row],[Month]],"/",calendar[[#This Row],[Year]])</f>
        <v>9/2027</v>
      </c>
      <c r="G3902">
        <f>WEEKDAY(calendar[[#This Row],[Date]],1)</f>
        <v>2</v>
      </c>
      <c r="H3902" t="str">
        <f>TEXT(calendar[[#This Row],[WeekDay]],"dddd")</f>
        <v>Monday</v>
      </c>
      <c r="I3902">
        <f>IF((INT(calendar[[#This Row],[Count]]/7)-calendar[[#This Row],[Count]]/7)&lt;0,I3901,I3901+1)</f>
        <v>558</v>
      </c>
      <c r="J3902">
        <f t="shared" si="310"/>
        <v>3900</v>
      </c>
      <c r="K3902">
        <f>IF(calendar[[#This Row],[Month]]&lt;4,1,IF(calendar[[#This Row],[Month]]&lt;7,2,IF(calendar[[#This Row],[Month]]&lt;10,3,4)))</f>
        <v>3</v>
      </c>
      <c r="L3902">
        <f>IFERROR(IF(VLOOKUP(calendar[[#This Row],[Date]],BH!A:A,1,)&lt;&gt;"",1,0),0)</f>
        <v>0</v>
      </c>
      <c r="M3902">
        <f>IFERROR(IF(VLOOKUP(calendar[[#This Row],[Date]],BH!C:C,1,)&lt;&gt;"",1,0),0)</f>
        <v>0</v>
      </c>
      <c r="N3902">
        <f>IFERROR(IF(VLOOKUP(calendar[[#This Row],[Date]],BH!E:E,1,)&lt;&gt;"",1,0),0)</f>
        <v>0</v>
      </c>
      <c r="O3902">
        <f>IFERROR(IF(VLOOKUP(calendar[[#This Row],[Date]],BH!G:G,1,)&lt;&gt;"",1,0),0)</f>
        <v>0</v>
      </c>
      <c r="P3902">
        <f>IF(OR(calendar[[#This Row],[UK_BH]]=1,calendar[[#This Row],[WeekDay]]=1, calendar[[#This Row],[WeekDay]]=7),P3901,P3901+1)</f>
        <v>2764</v>
      </c>
      <c r="Q3902">
        <f>IF(OR(calendar[[#This Row],[FR_BH]]=1,calendar[[#This Row],[WeekDay]]=1, calendar[[#This Row],[WeekDay]]=7),P3901,P3901+1)</f>
        <v>2764</v>
      </c>
      <c r="R3902">
        <f>IF(OR(calendar[[#This Row],[SP_BH]]=1,calendar[[#This Row],[WeekDay]]=1, calendar[[#This Row],[WeekDay]]=7),P3901,P3901+1)</f>
        <v>2764</v>
      </c>
      <c r="S3902">
        <f>IF(OR(calendar[[#This Row],[PT_BH]]=1,calendar[[#This Row],[WeekDay]]=1, calendar[[#This Row],[WeekDay]]=7),P3901,P3901+1)</f>
        <v>2764</v>
      </c>
    </row>
    <row r="3903" spans="1:19" x14ac:dyDescent="0.25">
      <c r="A3903" s="2">
        <v>46637</v>
      </c>
      <c r="B3903" s="1">
        <f t="shared" si="306"/>
        <v>37</v>
      </c>
      <c r="C3903">
        <f t="shared" si="307"/>
        <v>9</v>
      </c>
      <c r="D3903" t="str">
        <f t="shared" si="308"/>
        <v>September</v>
      </c>
      <c r="E3903">
        <f t="shared" si="309"/>
        <v>2027</v>
      </c>
      <c r="F3903" t="str">
        <f>CONCATENATE(calendar[[#This Row],[Month]],"/",calendar[[#This Row],[Year]])</f>
        <v>9/2027</v>
      </c>
      <c r="G3903">
        <f>WEEKDAY(calendar[[#This Row],[Date]],1)</f>
        <v>3</v>
      </c>
      <c r="H3903" t="str">
        <f>TEXT(calendar[[#This Row],[WeekDay]],"dddd")</f>
        <v>Tuesday</v>
      </c>
      <c r="I3903">
        <f>IF((INT(calendar[[#This Row],[Count]]/7)-calendar[[#This Row],[Count]]/7)&lt;0,I3902,I3902+1)</f>
        <v>558</v>
      </c>
      <c r="J3903">
        <f t="shared" si="310"/>
        <v>3901</v>
      </c>
      <c r="K3903">
        <f>IF(calendar[[#This Row],[Month]]&lt;4,1,IF(calendar[[#This Row],[Month]]&lt;7,2,IF(calendar[[#This Row],[Month]]&lt;10,3,4)))</f>
        <v>3</v>
      </c>
      <c r="L3903">
        <f>IFERROR(IF(VLOOKUP(calendar[[#This Row],[Date]],BH!A:A,1,)&lt;&gt;"",1,0),0)</f>
        <v>0</v>
      </c>
      <c r="M3903">
        <f>IFERROR(IF(VLOOKUP(calendar[[#This Row],[Date]],BH!C:C,1,)&lt;&gt;"",1,0),0)</f>
        <v>0</v>
      </c>
      <c r="N3903">
        <f>IFERROR(IF(VLOOKUP(calendar[[#This Row],[Date]],BH!E:E,1,)&lt;&gt;"",1,0),0)</f>
        <v>0</v>
      </c>
      <c r="O3903">
        <f>IFERROR(IF(VLOOKUP(calendar[[#This Row],[Date]],BH!G:G,1,)&lt;&gt;"",1,0),0)</f>
        <v>0</v>
      </c>
      <c r="P3903">
        <f>IF(OR(calendar[[#This Row],[UK_BH]]=1,calendar[[#This Row],[WeekDay]]=1, calendar[[#This Row],[WeekDay]]=7),P3902,P3902+1)</f>
        <v>2765</v>
      </c>
      <c r="Q3903">
        <f>IF(OR(calendar[[#This Row],[FR_BH]]=1,calendar[[#This Row],[WeekDay]]=1, calendar[[#This Row],[WeekDay]]=7),P3902,P3902+1)</f>
        <v>2765</v>
      </c>
      <c r="R3903">
        <f>IF(OR(calendar[[#This Row],[SP_BH]]=1,calendar[[#This Row],[WeekDay]]=1, calendar[[#This Row],[WeekDay]]=7),P3902,P3902+1)</f>
        <v>2765</v>
      </c>
      <c r="S3903">
        <f>IF(OR(calendar[[#This Row],[PT_BH]]=1,calendar[[#This Row],[WeekDay]]=1, calendar[[#This Row],[WeekDay]]=7),P3902,P3902+1)</f>
        <v>2765</v>
      </c>
    </row>
    <row r="3904" spans="1:19" x14ac:dyDescent="0.25">
      <c r="A3904" s="2">
        <v>46638</v>
      </c>
      <c r="B3904" s="1">
        <f t="shared" si="306"/>
        <v>37</v>
      </c>
      <c r="C3904">
        <f t="shared" si="307"/>
        <v>9</v>
      </c>
      <c r="D3904" t="str">
        <f t="shared" si="308"/>
        <v>September</v>
      </c>
      <c r="E3904">
        <f t="shared" si="309"/>
        <v>2027</v>
      </c>
      <c r="F3904" t="str">
        <f>CONCATENATE(calendar[[#This Row],[Month]],"/",calendar[[#This Row],[Year]])</f>
        <v>9/2027</v>
      </c>
      <c r="G3904">
        <f>WEEKDAY(calendar[[#This Row],[Date]],1)</f>
        <v>4</v>
      </c>
      <c r="H3904" t="str">
        <f>TEXT(calendar[[#This Row],[WeekDay]],"dddd")</f>
        <v>Wednesday</v>
      </c>
      <c r="I3904">
        <f>IF((INT(calendar[[#This Row],[Count]]/7)-calendar[[#This Row],[Count]]/7)&lt;0,I3903,I3903+1)</f>
        <v>558</v>
      </c>
      <c r="J3904">
        <f t="shared" si="310"/>
        <v>3902</v>
      </c>
      <c r="K3904">
        <f>IF(calendar[[#This Row],[Month]]&lt;4,1,IF(calendar[[#This Row],[Month]]&lt;7,2,IF(calendar[[#This Row],[Month]]&lt;10,3,4)))</f>
        <v>3</v>
      </c>
      <c r="L3904">
        <f>IFERROR(IF(VLOOKUP(calendar[[#This Row],[Date]],BH!A:A,1,)&lt;&gt;"",1,0),0)</f>
        <v>0</v>
      </c>
      <c r="M3904">
        <f>IFERROR(IF(VLOOKUP(calendar[[#This Row],[Date]],BH!C:C,1,)&lt;&gt;"",1,0),0)</f>
        <v>0</v>
      </c>
      <c r="N3904">
        <f>IFERROR(IF(VLOOKUP(calendar[[#This Row],[Date]],BH!E:E,1,)&lt;&gt;"",1,0),0)</f>
        <v>0</v>
      </c>
      <c r="O3904">
        <f>IFERROR(IF(VLOOKUP(calendar[[#This Row],[Date]],BH!G:G,1,)&lt;&gt;"",1,0),0)</f>
        <v>0</v>
      </c>
      <c r="P3904">
        <f>IF(OR(calendar[[#This Row],[UK_BH]]=1,calendar[[#This Row],[WeekDay]]=1, calendar[[#This Row],[WeekDay]]=7),P3903,P3903+1)</f>
        <v>2766</v>
      </c>
      <c r="Q3904">
        <f>IF(OR(calendar[[#This Row],[FR_BH]]=1,calendar[[#This Row],[WeekDay]]=1, calendar[[#This Row],[WeekDay]]=7),P3903,P3903+1)</f>
        <v>2766</v>
      </c>
      <c r="R3904">
        <f>IF(OR(calendar[[#This Row],[SP_BH]]=1,calendar[[#This Row],[WeekDay]]=1, calendar[[#This Row],[WeekDay]]=7),P3903,P3903+1)</f>
        <v>2766</v>
      </c>
      <c r="S3904">
        <f>IF(OR(calendar[[#This Row],[PT_BH]]=1,calendar[[#This Row],[WeekDay]]=1, calendar[[#This Row],[WeekDay]]=7),P3903,P3903+1)</f>
        <v>2766</v>
      </c>
    </row>
    <row r="3905" spans="1:19" x14ac:dyDescent="0.25">
      <c r="A3905" s="2">
        <v>46639</v>
      </c>
      <c r="B3905" s="1">
        <f t="shared" si="306"/>
        <v>37</v>
      </c>
      <c r="C3905">
        <f t="shared" si="307"/>
        <v>9</v>
      </c>
      <c r="D3905" t="str">
        <f t="shared" si="308"/>
        <v>September</v>
      </c>
      <c r="E3905">
        <f t="shared" si="309"/>
        <v>2027</v>
      </c>
      <c r="F3905" t="str">
        <f>CONCATENATE(calendar[[#This Row],[Month]],"/",calendar[[#This Row],[Year]])</f>
        <v>9/2027</v>
      </c>
      <c r="G3905">
        <f>WEEKDAY(calendar[[#This Row],[Date]],1)</f>
        <v>5</v>
      </c>
      <c r="H3905" t="str">
        <f>TEXT(calendar[[#This Row],[WeekDay]],"dddd")</f>
        <v>Thursday</v>
      </c>
      <c r="I3905">
        <f>IF((INT(calendar[[#This Row],[Count]]/7)-calendar[[#This Row],[Count]]/7)&lt;0,I3904,I3904+1)</f>
        <v>558</v>
      </c>
      <c r="J3905">
        <f t="shared" si="310"/>
        <v>3903</v>
      </c>
      <c r="K3905">
        <f>IF(calendar[[#This Row],[Month]]&lt;4,1,IF(calendar[[#This Row],[Month]]&lt;7,2,IF(calendar[[#This Row],[Month]]&lt;10,3,4)))</f>
        <v>3</v>
      </c>
      <c r="L3905">
        <f>IFERROR(IF(VLOOKUP(calendar[[#This Row],[Date]],BH!A:A,1,)&lt;&gt;"",1,0),0)</f>
        <v>0</v>
      </c>
      <c r="M3905">
        <f>IFERROR(IF(VLOOKUP(calendar[[#This Row],[Date]],BH!C:C,1,)&lt;&gt;"",1,0),0)</f>
        <v>0</v>
      </c>
      <c r="N3905">
        <f>IFERROR(IF(VLOOKUP(calendar[[#This Row],[Date]],BH!E:E,1,)&lt;&gt;"",1,0),0)</f>
        <v>0</v>
      </c>
      <c r="O3905">
        <f>IFERROR(IF(VLOOKUP(calendar[[#This Row],[Date]],BH!G:G,1,)&lt;&gt;"",1,0),0)</f>
        <v>0</v>
      </c>
      <c r="P3905">
        <f>IF(OR(calendar[[#This Row],[UK_BH]]=1,calendar[[#This Row],[WeekDay]]=1, calendar[[#This Row],[WeekDay]]=7),P3904,P3904+1)</f>
        <v>2767</v>
      </c>
      <c r="Q3905">
        <f>IF(OR(calendar[[#This Row],[FR_BH]]=1,calendar[[#This Row],[WeekDay]]=1, calendar[[#This Row],[WeekDay]]=7),P3904,P3904+1)</f>
        <v>2767</v>
      </c>
      <c r="R3905">
        <f>IF(OR(calendar[[#This Row],[SP_BH]]=1,calendar[[#This Row],[WeekDay]]=1, calendar[[#This Row],[WeekDay]]=7),P3904,P3904+1)</f>
        <v>2767</v>
      </c>
      <c r="S3905">
        <f>IF(OR(calendar[[#This Row],[PT_BH]]=1,calendar[[#This Row],[WeekDay]]=1, calendar[[#This Row],[WeekDay]]=7),P3904,P3904+1)</f>
        <v>2767</v>
      </c>
    </row>
    <row r="3906" spans="1:19" x14ac:dyDescent="0.25">
      <c r="A3906" s="2">
        <v>46640</v>
      </c>
      <c r="B3906" s="1">
        <f t="shared" ref="B3906:B3969" si="311">WEEKNUM(A3906)</f>
        <v>37</v>
      </c>
      <c r="C3906">
        <f t="shared" si="307"/>
        <v>9</v>
      </c>
      <c r="D3906" t="str">
        <f t="shared" si="308"/>
        <v>September</v>
      </c>
      <c r="E3906">
        <f t="shared" si="309"/>
        <v>2027</v>
      </c>
      <c r="F3906" t="str">
        <f>CONCATENATE(calendar[[#This Row],[Month]],"/",calendar[[#This Row],[Year]])</f>
        <v>9/2027</v>
      </c>
      <c r="G3906">
        <f>WEEKDAY(calendar[[#This Row],[Date]],1)</f>
        <v>6</v>
      </c>
      <c r="H3906" t="str">
        <f>TEXT(calendar[[#This Row],[WeekDay]],"dddd")</f>
        <v>Friday</v>
      </c>
      <c r="I3906">
        <f>IF((INT(calendar[[#This Row],[Count]]/7)-calendar[[#This Row],[Count]]/7)&lt;0,I3905,I3905+1)</f>
        <v>558</v>
      </c>
      <c r="J3906">
        <f t="shared" si="310"/>
        <v>3904</v>
      </c>
      <c r="K3906">
        <f>IF(calendar[[#This Row],[Month]]&lt;4,1,IF(calendar[[#This Row],[Month]]&lt;7,2,IF(calendar[[#This Row],[Month]]&lt;10,3,4)))</f>
        <v>3</v>
      </c>
      <c r="L3906">
        <f>IFERROR(IF(VLOOKUP(calendar[[#This Row],[Date]],BH!A:A,1,)&lt;&gt;"",1,0),0)</f>
        <v>0</v>
      </c>
      <c r="M3906">
        <f>IFERROR(IF(VLOOKUP(calendar[[#This Row],[Date]],BH!C:C,1,)&lt;&gt;"",1,0),0)</f>
        <v>0</v>
      </c>
      <c r="N3906">
        <f>IFERROR(IF(VLOOKUP(calendar[[#This Row],[Date]],BH!E:E,1,)&lt;&gt;"",1,0),0)</f>
        <v>0</v>
      </c>
      <c r="O3906">
        <f>IFERROR(IF(VLOOKUP(calendar[[#This Row],[Date]],BH!G:G,1,)&lt;&gt;"",1,0),0)</f>
        <v>0</v>
      </c>
      <c r="P3906">
        <f>IF(OR(calendar[[#This Row],[UK_BH]]=1,calendar[[#This Row],[WeekDay]]=1, calendar[[#This Row],[WeekDay]]=7),P3905,P3905+1)</f>
        <v>2768</v>
      </c>
      <c r="Q3906">
        <f>IF(OR(calendar[[#This Row],[FR_BH]]=1,calendar[[#This Row],[WeekDay]]=1, calendar[[#This Row],[WeekDay]]=7),P3905,P3905+1)</f>
        <v>2768</v>
      </c>
      <c r="R3906">
        <f>IF(OR(calendar[[#This Row],[SP_BH]]=1,calendar[[#This Row],[WeekDay]]=1, calendar[[#This Row],[WeekDay]]=7),P3905,P3905+1)</f>
        <v>2768</v>
      </c>
      <c r="S3906">
        <f>IF(OR(calendar[[#This Row],[PT_BH]]=1,calendar[[#This Row],[WeekDay]]=1, calendar[[#This Row],[WeekDay]]=7),P3905,P3905+1)</f>
        <v>2768</v>
      </c>
    </row>
    <row r="3907" spans="1:19" x14ac:dyDescent="0.25">
      <c r="A3907" s="2">
        <v>46641</v>
      </c>
      <c r="B3907" s="1">
        <f t="shared" si="311"/>
        <v>37</v>
      </c>
      <c r="C3907">
        <f t="shared" ref="C3907:C3970" si="312">MONTH(A3907)</f>
        <v>9</v>
      </c>
      <c r="D3907" t="str">
        <f t="shared" ref="D3907:D3970" si="313">TEXT(A3907,"mmmm")</f>
        <v>September</v>
      </c>
      <c r="E3907">
        <f t="shared" ref="E3907:E3970" si="314">YEAR(A3907)</f>
        <v>2027</v>
      </c>
      <c r="F3907" t="str">
        <f>CONCATENATE(calendar[[#This Row],[Month]],"/",calendar[[#This Row],[Year]])</f>
        <v>9/2027</v>
      </c>
      <c r="G3907">
        <f>WEEKDAY(calendar[[#This Row],[Date]],1)</f>
        <v>7</v>
      </c>
      <c r="H3907" t="str">
        <f>TEXT(calendar[[#This Row],[WeekDay]],"dddd")</f>
        <v>Saturday</v>
      </c>
      <c r="I3907">
        <f>IF((INT(calendar[[#This Row],[Count]]/7)-calendar[[#This Row],[Count]]/7)&lt;0,I3906,I3906+1)</f>
        <v>558</v>
      </c>
      <c r="J3907">
        <f t="shared" ref="J3907:J3970" si="315">J3906+1</f>
        <v>3905</v>
      </c>
      <c r="K3907">
        <f>IF(calendar[[#This Row],[Month]]&lt;4,1,IF(calendar[[#This Row],[Month]]&lt;7,2,IF(calendar[[#This Row],[Month]]&lt;10,3,4)))</f>
        <v>3</v>
      </c>
      <c r="L3907">
        <f>IFERROR(IF(VLOOKUP(calendar[[#This Row],[Date]],BH!A:A,1,)&lt;&gt;"",1,0),0)</f>
        <v>0</v>
      </c>
      <c r="M3907">
        <f>IFERROR(IF(VLOOKUP(calendar[[#This Row],[Date]],BH!C:C,1,)&lt;&gt;"",1,0),0)</f>
        <v>0</v>
      </c>
      <c r="N3907">
        <f>IFERROR(IF(VLOOKUP(calendar[[#This Row],[Date]],BH!E:E,1,)&lt;&gt;"",1,0),0)</f>
        <v>0</v>
      </c>
      <c r="O3907">
        <f>IFERROR(IF(VLOOKUP(calendar[[#This Row],[Date]],BH!G:G,1,)&lt;&gt;"",1,0),0)</f>
        <v>0</v>
      </c>
      <c r="P3907">
        <f>IF(OR(calendar[[#This Row],[UK_BH]]=1,calendar[[#This Row],[WeekDay]]=1, calendar[[#This Row],[WeekDay]]=7),P3906,P3906+1)</f>
        <v>2768</v>
      </c>
      <c r="Q3907">
        <f>IF(OR(calendar[[#This Row],[FR_BH]]=1,calendar[[#This Row],[WeekDay]]=1, calendar[[#This Row],[WeekDay]]=7),P3906,P3906+1)</f>
        <v>2768</v>
      </c>
      <c r="R3907">
        <f>IF(OR(calendar[[#This Row],[SP_BH]]=1,calendar[[#This Row],[WeekDay]]=1, calendar[[#This Row],[WeekDay]]=7),P3906,P3906+1)</f>
        <v>2768</v>
      </c>
      <c r="S3907">
        <f>IF(OR(calendar[[#This Row],[PT_BH]]=1,calendar[[#This Row],[WeekDay]]=1, calendar[[#This Row],[WeekDay]]=7),P3906,P3906+1)</f>
        <v>2768</v>
      </c>
    </row>
    <row r="3908" spans="1:19" x14ac:dyDescent="0.25">
      <c r="A3908" s="2">
        <v>46642</v>
      </c>
      <c r="B3908" s="1">
        <f t="shared" si="311"/>
        <v>38</v>
      </c>
      <c r="C3908">
        <f t="shared" si="312"/>
        <v>9</v>
      </c>
      <c r="D3908" t="str">
        <f t="shared" si="313"/>
        <v>September</v>
      </c>
      <c r="E3908">
        <f t="shared" si="314"/>
        <v>2027</v>
      </c>
      <c r="F3908" t="str">
        <f>CONCATENATE(calendar[[#This Row],[Month]],"/",calendar[[#This Row],[Year]])</f>
        <v>9/2027</v>
      </c>
      <c r="G3908">
        <f>WEEKDAY(calendar[[#This Row],[Date]],1)</f>
        <v>1</v>
      </c>
      <c r="H3908" t="str">
        <f>TEXT(calendar[[#This Row],[WeekDay]],"dddd")</f>
        <v>Sunday</v>
      </c>
      <c r="I3908">
        <f>IF((INT(calendar[[#This Row],[Count]]/7)-calendar[[#This Row],[Count]]/7)&lt;0,I3907,I3907+1)</f>
        <v>559</v>
      </c>
      <c r="J3908">
        <f t="shared" si="315"/>
        <v>3906</v>
      </c>
      <c r="K3908">
        <f>IF(calendar[[#This Row],[Month]]&lt;4,1,IF(calendar[[#This Row],[Month]]&lt;7,2,IF(calendar[[#This Row],[Month]]&lt;10,3,4)))</f>
        <v>3</v>
      </c>
      <c r="L3908">
        <f>IFERROR(IF(VLOOKUP(calendar[[#This Row],[Date]],BH!A:A,1,)&lt;&gt;"",1,0),0)</f>
        <v>0</v>
      </c>
      <c r="M3908">
        <f>IFERROR(IF(VLOOKUP(calendar[[#This Row],[Date]],BH!C:C,1,)&lt;&gt;"",1,0),0)</f>
        <v>0</v>
      </c>
      <c r="N3908">
        <f>IFERROR(IF(VLOOKUP(calendar[[#This Row],[Date]],BH!E:E,1,)&lt;&gt;"",1,0),0)</f>
        <v>0</v>
      </c>
      <c r="O3908">
        <f>IFERROR(IF(VLOOKUP(calendar[[#This Row],[Date]],BH!G:G,1,)&lt;&gt;"",1,0),0)</f>
        <v>0</v>
      </c>
      <c r="P3908">
        <f>IF(OR(calendar[[#This Row],[UK_BH]]=1,calendar[[#This Row],[WeekDay]]=1, calendar[[#This Row],[WeekDay]]=7),P3907,P3907+1)</f>
        <v>2768</v>
      </c>
      <c r="Q3908">
        <f>IF(OR(calendar[[#This Row],[FR_BH]]=1,calendar[[#This Row],[WeekDay]]=1, calendar[[#This Row],[WeekDay]]=7),P3907,P3907+1)</f>
        <v>2768</v>
      </c>
      <c r="R3908">
        <f>IF(OR(calendar[[#This Row],[SP_BH]]=1,calendar[[#This Row],[WeekDay]]=1, calendar[[#This Row],[WeekDay]]=7),P3907,P3907+1)</f>
        <v>2768</v>
      </c>
      <c r="S3908">
        <f>IF(OR(calendar[[#This Row],[PT_BH]]=1,calendar[[#This Row],[WeekDay]]=1, calendar[[#This Row],[WeekDay]]=7),P3907,P3907+1)</f>
        <v>2768</v>
      </c>
    </row>
    <row r="3909" spans="1:19" x14ac:dyDescent="0.25">
      <c r="A3909" s="2">
        <v>46643</v>
      </c>
      <c r="B3909" s="1">
        <f t="shared" si="311"/>
        <v>38</v>
      </c>
      <c r="C3909">
        <f t="shared" si="312"/>
        <v>9</v>
      </c>
      <c r="D3909" t="str">
        <f t="shared" si="313"/>
        <v>September</v>
      </c>
      <c r="E3909">
        <f t="shared" si="314"/>
        <v>2027</v>
      </c>
      <c r="F3909" t="str">
        <f>CONCATENATE(calendar[[#This Row],[Month]],"/",calendar[[#This Row],[Year]])</f>
        <v>9/2027</v>
      </c>
      <c r="G3909">
        <f>WEEKDAY(calendar[[#This Row],[Date]],1)</f>
        <v>2</v>
      </c>
      <c r="H3909" t="str">
        <f>TEXT(calendar[[#This Row],[WeekDay]],"dddd")</f>
        <v>Monday</v>
      </c>
      <c r="I3909">
        <f>IF((INT(calendar[[#This Row],[Count]]/7)-calendar[[#This Row],[Count]]/7)&lt;0,I3908,I3908+1)</f>
        <v>559</v>
      </c>
      <c r="J3909">
        <f t="shared" si="315"/>
        <v>3907</v>
      </c>
      <c r="K3909">
        <f>IF(calendar[[#This Row],[Month]]&lt;4,1,IF(calendar[[#This Row],[Month]]&lt;7,2,IF(calendar[[#This Row],[Month]]&lt;10,3,4)))</f>
        <v>3</v>
      </c>
      <c r="L3909">
        <f>IFERROR(IF(VLOOKUP(calendar[[#This Row],[Date]],BH!A:A,1,)&lt;&gt;"",1,0),0)</f>
        <v>0</v>
      </c>
      <c r="M3909">
        <f>IFERROR(IF(VLOOKUP(calendar[[#This Row],[Date]],BH!C:C,1,)&lt;&gt;"",1,0),0)</f>
        <v>0</v>
      </c>
      <c r="N3909">
        <f>IFERROR(IF(VLOOKUP(calendar[[#This Row],[Date]],BH!E:E,1,)&lt;&gt;"",1,0),0)</f>
        <v>0</v>
      </c>
      <c r="O3909">
        <f>IFERROR(IF(VLOOKUP(calendar[[#This Row],[Date]],BH!G:G,1,)&lt;&gt;"",1,0),0)</f>
        <v>0</v>
      </c>
      <c r="P3909">
        <f>IF(OR(calendar[[#This Row],[UK_BH]]=1,calendar[[#This Row],[WeekDay]]=1, calendar[[#This Row],[WeekDay]]=7),P3908,P3908+1)</f>
        <v>2769</v>
      </c>
      <c r="Q3909">
        <f>IF(OR(calendar[[#This Row],[FR_BH]]=1,calendar[[#This Row],[WeekDay]]=1, calendar[[#This Row],[WeekDay]]=7),P3908,P3908+1)</f>
        <v>2769</v>
      </c>
      <c r="R3909">
        <f>IF(OR(calendar[[#This Row],[SP_BH]]=1,calendar[[#This Row],[WeekDay]]=1, calendar[[#This Row],[WeekDay]]=7),P3908,P3908+1)</f>
        <v>2769</v>
      </c>
      <c r="S3909">
        <f>IF(OR(calendar[[#This Row],[PT_BH]]=1,calendar[[#This Row],[WeekDay]]=1, calendar[[#This Row],[WeekDay]]=7),P3908,P3908+1)</f>
        <v>2769</v>
      </c>
    </row>
    <row r="3910" spans="1:19" x14ac:dyDescent="0.25">
      <c r="A3910" s="2">
        <v>46644</v>
      </c>
      <c r="B3910" s="1">
        <f t="shared" si="311"/>
        <v>38</v>
      </c>
      <c r="C3910">
        <f t="shared" si="312"/>
        <v>9</v>
      </c>
      <c r="D3910" t="str">
        <f t="shared" si="313"/>
        <v>September</v>
      </c>
      <c r="E3910">
        <f t="shared" si="314"/>
        <v>2027</v>
      </c>
      <c r="F3910" t="str">
        <f>CONCATENATE(calendar[[#This Row],[Month]],"/",calendar[[#This Row],[Year]])</f>
        <v>9/2027</v>
      </c>
      <c r="G3910">
        <f>WEEKDAY(calendar[[#This Row],[Date]],1)</f>
        <v>3</v>
      </c>
      <c r="H3910" t="str">
        <f>TEXT(calendar[[#This Row],[WeekDay]],"dddd")</f>
        <v>Tuesday</v>
      </c>
      <c r="I3910">
        <f>IF((INT(calendar[[#This Row],[Count]]/7)-calendar[[#This Row],[Count]]/7)&lt;0,I3909,I3909+1)</f>
        <v>559</v>
      </c>
      <c r="J3910">
        <f t="shared" si="315"/>
        <v>3908</v>
      </c>
      <c r="K3910">
        <f>IF(calendar[[#This Row],[Month]]&lt;4,1,IF(calendar[[#This Row],[Month]]&lt;7,2,IF(calendar[[#This Row],[Month]]&lt;10,3,4)))</f>
        <v>3</v>
      </c>
      <c r="L3910">
        <f>IFERROR(IF(VLOOKUP(calendar[[#This Row],[Date]],BH!A:A,1,)&lt;&gt;"",1,0),0)</f>
        <v>0</v>
      </c>
      <c r="M3910">
        <f>IFERROR(IF(VLOOKUP(calendar[[#This Row],[Date]],BH!C:C,1,)&lt;&gt;"",1,0),0)</f>
        <v>0</v>
      </c>
      <c r="N3910">
        <f>IFERROR(IF(VLOOKUP(calendar[[#This Row],[Date]],BH!E:E,1,)&lt;&gt;"",1,0),0)</f>
        <v>0</v>
      </c>
      <c r="O3910">
        <f>IFERROR(IF(VLOOKUP(calendar[[#This Row],[Date]],BH!G:G,1,)&lt;&gt;"",1,0),0)</f>
        <v>0</v>
      </c>
      <c r="P3910">
        <f>IF(OR(calendar[[#This Row],[UK_BH]]=1,calendar[[#This Row],[WeekDay]]=1, calendar[[#This Row],[WeekDay]]=7),P3909,P3909+1)</f>
        <v>2770</v>
      </c>
      <c r="Q3910">
        <f>IF(OR(calendar[[#This Row],[FR_BH]]=1,calendar[[#This Row],[WeekDay]]=1, calendar[[#This Row],[WeekDay]]=7),P3909,P3909+1)</f>
        <v>2770</v>
      </c>
      <c r="R3910">
        <f>IF(OR(calendar[[#This Row],[SP_BH]]=1,calendar[[#This Row],[WeekDay]]=1, calendar[[#This Row],[WeekDay]]=7),P3909,P3909+1)</f>
        <v>2770</v>
      </c>
      <c r="S3910">
        <f>IF(OR(calendar[[#This Row],[PT_BH]]=1,calendar[[#This Row],[WeekDay]]=1, calendar[[#This Row],[WeekDay]]=7),P3909,P3909+1)</f>
        <v>2770</v>
      </c>
    </row>
    <row r="3911" spans="1:19" x14ac:dyDescent="0.25">
      <c r="A3911" s="2">
        <v>46645</v>
      </c>
      <c r="B3911" s="1">
        <f t="shared" si="311"/>
        <v>38</v>
      </c>
      <c r="C3911">
        <f t="shared" si="312"/>
        <v>9</v>
      </c>
      <c r="D3911" t="str">
        <f t="shared" si="313"/>
        <v>September</v>
      </c>
      <c r="E3911">
        <f t="shared" si="314"/>
        <v>2027</v>
      </c>
      <c r="F3911" t="str">
        <f>CONCATENATE(calendar[[#This Row],[Month]],"/",calendar[[#This Row],[Year]])</f>
        <v>9/2027</v>
      </c>
      <c r="G3911">
        <f>WEEKDAY(calendar[[#This Row],[Date]],1)</f>
        <v>4</v>
      </c>
      <c r="H3911" t="str">
        <f>TEXT(calendar[[#This Row],[WeekDay]],"dddd")</f>
        <v>Wednesday</v>
      </c>
      <c r="I3911">
        <f>IF((INT(calendar[[#This Row],[Count]]/7)-calendar[[#This Row],[Count]]/7)&lt;0,I3910,I3910+1)</f>
        <v>559</v>
      </c>
      <c r="J3911">
        <f t="shared" si="315"/>
        <v>3909</v>
      </c>
      <c r="K3911">
        <f>IF(calendar[[#This Row],[Month]]&lt;4,1,IF(calendar[[#This Row],[Month]]&lt;7,2,IF(calendar[[#This Row],[Month]]&lt;10,3,4)))</f>
        <v>3</v>
      </c>
      <c r="L3911">
        <f>IFERROR(IF(VLOOKUP(calendar[[#This Row],[Date]],BH!A:A,1,)&lt;&gt;"",1,0),0)</f>
        <v>0</v>
      </c>
      <c r="M3911">
        <f>IFERROR(IF(VLOOKUP(calendar[[#This Row],[Date]],BH!C:C,1,)&lt;&gt;"",1,0),0)</f>
        <v>0</v>
      </c>
      <c r="N3911">
        <f>IFERROR(IF(VLOOKUP(calendar[[#This Row],[Date]],BH!E:E,1,)&lt;&gt;"",1,0),0)</f>
        <v>0</v>
      </c>
      <c r="O3911">
        <f>IFERROR(IF(VLOOKUP(calendar[[#This Row],[Date]],BH!G:G,1,)&lt;&gt;"",1,0),0)</f>
        <v>0</v>
      </c>
      <c r="P3911">
        <f>IF(OR(calendar[[#This Row],[UK_BH]]=1,calendar[[#This Row],[WeekDay]]=1, calendar[[#This Row],[WeekDay]]=7),P3910,P3910+1)</f>
        <v>2771</v>
      </c>
      <c r="Q3911">
        <f>IF(OR(calendar[[#This Row],[FR_BH]]=1,calendar[[#This Row],[WeekDay]]=1, calendar[[#This Row],[WeekDay]]=7),P3910,P3910+1)</f>
        <v>2771</v>
      </c>
      <c r="R3911">
        <f>IF(OR(calendar[[#This Row],[SP_BH]]=1,calendar[[#This Row],[WeekDay]]=1, calendar[[#This Row],[WeekDay]]=7),P3910,P3910+1)</f>
        <v>2771</v>
      </c>
      <c r="S3911">
        <f>IF(OR(calendar[[#This Row],[PT_BH]]=1,calendar[[#This Row],[WeekDay]]=1, calendar[[#This Row],[WeekDay]]=7),P3910,P3910+1)</f>
        <v>2771</v>
      </c>
    </row>
    <row r="3912" spans="1:19" x14ac:dyDescent="0.25">
      <c r="A3912" s="2">
        <v>46646</v>
      </c>
      <c r="B3912" s="1">
        <f t="shared" si="311"/>
        <v>38</v>
      </c>
      <c r="C3912">
        <f t="shared" si="312"/>
        <v>9</v>
      </c>
      <c r="D3912" t="str">
        <f t="shared" si="313"/>
        <v>September</v>
      </c>
      <c r="E3912">
        <f t="shared" si="314"/>
        <v>2027</v>
      </c>
      <c r="F3912" t="str">
        <f>CONCATENATE(calendar[[#This Row],[Month]],"/",calendar[[#This Row],[Year]])</f>
        <v>9/2027</v>
      </c>
      <c r="G3912">
        <f>WEEKDAY(calendar[[#This Row],[Date]],1)</f>
        <v>5</v>
      </c>
      <c r="H3912" t="str">
        <f>TEXT(calendar[[#This Row],[WeekDay]],"dddd")</f>
        <v>Thursday</v>
      </c>
      <c r="I3912">
        <f>IF((INT(calendar[[#This Row],[Count]]/7)-calendar[[#This Row],[Count]]/7)&lt;0,I3911,I3911+1)</f>
        <v>559</v>
      </c>
      <c r="J3912">
        <f t="shared" si="315"/>
        <v>3910</v>
      </c>
      <c r="K3912">
        <f>IF(calendar[[#This Row],[Month]]&lt;4,1,IF(calendar[[#This Row],[Month]]&lt;7,2,IF(calendar[[#This Row],[Month]]&lt;10,3,4)))</f>
        <v>3</v>
      </c>
      <c r="L3912">
        <f>IFERROR(IF(VLOOKUP(calendar[[#This Row],[Date]],BH!A:A,1,)&lt;&gt;"",1,0),0)</f>
        <v>0</v>
      </c>
      <c r="M3912">
        <f>IFERROR(IF(VLOOKUP(calendar[[#This Row],[Date]],BH!C:C,1,)&lt;&gt;"",1,0),0)</f>
        <v>0</v>
      </c>
      <c r="N3912">
        <f>IFERROR(IF(VLOOKUP(calendar[[#This Row],[Date]],BH!E:E,1,)&lt;&gt;"",1,0),0)</f>
        <v>0</v>
      </c>
      <c r="O3912">
        <f>IFERROR(IF(VLOOKUP(calendar[[#This Row],[Date]],BH!G:G,1,)&lt;&gt;"",1,0),0)</f>
        <v>0</v>
      </c>
      <c r="P3912">
        <f>IF(OR(calendar[[#This Row],[UK_BH]]=1,calendar[[#This Row],[WeekDay]]=1, calendar[[#This Row],[WeekDay]]=7),P3911,P3911+1)</f>
        <v>2772</v>
      </c>
      <c r="Q3912">
        <f>IF(OR(calendar[[#This Row],[FR_BH]]=1,calendar[[#This Row],[WeekDay]]=1, calendar[[#This Row],[WeekDay]]=7),P3911,P3911+1)</f>
        <v>2772</v>
      </c>
      <c r="R3912">
        <f>IF(OR(calendar[[#This Row],[SP_BH]]=1,calendar[[#This Row],[WeekDay]]=1, calendar[[#This Row],[WeekDay]]=7),P3911,P3911+1)</f>
        <v>2772</v>
      </c>
      <c r="S3912">
        <f>IF(OR(calendar[[#This Row],[PT_BH]]=1,calendar[[#This Row],[WeekDay]]=1, calendar[[#This Row],[WeekDay]]=7),P3911,P3911+1)</f>
        <v>2772</v>
      </c>
    </row>
    <row r="3913" spans="1:19" x14ac:dyDescent="0.25">
      <c r="A3913" s="2">
        <v>46647</v>
      </c>
      <c r="B3913" s="1">
        <f t="shared" si="311"/>
        <v>38</v>
      </c>
      <c r="C3913">
        <f t="shared" si="312"/>
        <v>9</v>
      </c>
      <c r="D3913" t="str">
        <f t="shared" si="313"/>
        <v>September</v>
      </c>
      <c r="E3913">
        <f t="shared" si="314"/>
        <v>2027</v>
      </c>
      <c r="F3913" t="str">
        <f>CONCATENATE(calendar[[#This Row],[Month]],"/",calendar[[#This Row],[Year]])</f>
        <v>9/2027</v>
      </c>
      <c r="G3913">
        <f>WEEKDAY(calendar[[#This Row],[Date]],1)</f>
        <v>6</v>
      </c>
      <c r="H3913" t="str">
        <f>TEXT(calendar[[#This Row],[WeekDay]],"dddd")</f>
        <v>Friday</v>
      </c>
      <c r="I3913">
        <f>IF((INT(calendar[[#This Row],[Count]]/7)-calendar[[#This Row],[Count]]/7)&lt;0,I3912,I3912+1)</f>
        <v>559</v>
      </c>
      <c r="J3913">
        <f t="shared" si="315"/>
        <v>3911</v>
      </c>
      <c r="K3913">
        <f>IF(calendar[[#This Row],[Month]]&lt;4,1,IF(calendar[[#This Row],[Month]]&lt;7,2,IF(calendar[[#This Row],[Month]]&lt;10,3,4)))</f>
        <v>3</v>
      </c>
      <c r="L3913">
        <f>IFERROR(IF(VLOOKUP(calendar[[#This Row],[Date]],BH!A:A,1,)&lt;&gt;"",1,0),0)</f>
        <v>0</v>
      </c>
      <c r="M3913">
        <f>IFERROR(IF(VLOOKUP(calendar[[#This Row],[Date]],BH!C:C,1,)&lt;&gt;"",1,0),0)</f>
        <v>0</v>
      </c>
      <c r="N3913">
        <f>IFERROR(IF(VLOOKUP(calendar[[#This Row],[Date]],BH!E:E,1,)&lt;&gt;"",1,0),0)</f>
        <v>0</v>
      </c>
      <c r="O3913">
        <f>IFERROR(IF(VLOOKUP(calendar[[#This Row],[Date]],BH!G:G,1,)&lt;&gt;"",1,0),0)</f>
        <v>0</v>
      </c>
      <c r="P3913">
        <f>IF(OR(calendar[[#This Row],[UK_BH]]=1,calendar[[#This Row],[WeekDay]]=1, calendar[[#This Row],[WeekDay]]=7),P3912,P3912+1)</f>
        <v>2773</v>
      </c>
      <c r="Q3913">
        <f>IF(OR(calendar[[#This Row],[FR_BH]]=1,calendar[[#This Row],[WeekDay]]=1, calendar[[#This Row],[WeekDay]]=7),P3912,P3912+1)</f>
        <v>2773</v>
      </c>
      <c r="R3913">
        <f>IF(OR(calendar[[#This Row],[SP_BH]]=1,calendar[[#This Row],[WeekDay]]=1, calendar[[#This Row],[WeekDay]]=7),P3912,P3912+1)</f>
        <v>2773</v>
      </c>
      <c r="S3913">
        <f>IF(OR(calendar[[#This Row],[PT_BH]]=1,calendar[[#This Row],[WeekDay]]=1, calendar[[#This Row],[WeekDay]]=7),P3912,P3912+1)</f>
        <v>2773</v>
      </c>
    </row>
    <row r="3914" spans="1:19" x14ac:dyDescent="0.25">
      <c r="A3914" s="2">
        <v>46648</v>
      </c>
      <c r="B3914" s="1">
        <f t="shared" si="311"/>
        <v>38</v>
      </c>
      <c r="C3914">
        <f t="shared" si="312"/>
        <v>9</v>
      </c>
      <c r="D3914" t="str">
        <f t="shared" si="313"/>
        <v>September</v>
      </c>
      <c r="E3914">
        <f t="shared" si="314"/>
        <v>2027</v>
      </c>
      <c r="F3914" t="str">
        <f>CONCATENATE(calendar[[#This Row],[Month]],"/",calendar[[#This Row],[Year]])</f>
        <v>9/2027</v>
      </c>
      <c r="G3914">
        <f>WEEKDAY(calendar[[#This Row],[Date]],1)</f>
        <v>7</v>
      </c>
      <c r="H3914" t="str">
        <f>TEXT(calendar[[#This Row],[WeekDay]],"dddd")</f>
        <v>Saturday</v>
      </c>
      <c r="I3914">
        <f>IF((INT(calendar[[#This Row],[Count]]/7)-calendar[[#This Row],[Count]]/7)&lt;0,I3913,I3913+1)</f>
        <v>559</v>
      </c>
      <c r="J3914">
        <f t="shared" si="315"/>
        <v>3912</v>
      </c>
      <c r="K3914">
        <f>IF(calendar[[#This Row],[Month]]&lt;4,1,IF(calendar[[#This Row],[Month]]&lt;7,2,IF(calendar[[#This Row],[Month]]&lt;10,3,4)))</f>
        <v>3</v>
      </c>
      <c r="L3914">
        <f>IFERROR(IF(VLOOKUP(calendar[[#This Row],[Date]],BH!A:A,1,)&lt;&gt;"",1,0),0)</f>
        <v>0</v>
      </c>
      <c r="M3914">
        <f>IFERROR(IF(VLOOKUP(calendar[[#This Row],[Date]],BH!C:C,1,)&lt;&gt;"",1,0),0)</f>
        <v>0</v>
      </c>
      <c r="N3914">
        <f>IFERROR(IF(VLOOKUP(calendar[[#This Row],[Date]],BH!E:E,1,)&lt;&gt;"",1,0),0)</f>
        <v>0</v>
      </c>
      <c r="O3914">
        <f>IFERROR(IF(VLOOKUP(calendar[[#This Row],[Date]],BH!G:G,1,)&lt;&gt;"",1,0),0)</f>
        <v>0</v>
      </c>
      <c r="P3914">
        <f>IF(OR(calendar[[#This Row],[UK_BH]]=1,calendar[[#This Row],[WeekDay]]=1, calendar[[#This Row],[WeekDay]]=7),P3913,P3913+1)</f>
        <v>2773</v>
      </c>
      <c r="Q3914">
        <f>IF(OR(calendar[[#This Row],[FR_BH]]=1,calendar[[#This Row],[WeekDay]]=1, calendar[[#This Row],[WeekDay]]=7),P3913,P3913+1)</f>
        <v>2773</v>
      </c>
      <c r="R3914">
        <f>IF(OR(calendar[[#This Row],[SP_BH]]=1,calendar[[#This Row],[WeekDay]]=1, calendar[[#This Row],[WeekDay]]=7),P3913,P3913+1)</f>
        <v>2773</v>
      </c>
      <c r="S3914">
        <f>IF(OR(calendar[[#This Row],[PT_BH]]=1,calendar[[#This Row],[WeekDay]]=1, calendar[[#This Row],[WeekDay]]=7),P3913,P3913+1)</f>
        <v>2773</v>
      </c>
    </row>
    <row r="3915" spans="1:19" x14ac:dyDescent="0.25">
      <c r="A3915" s="2">
        <v>46649</v>
      </c>
      <c r="B3915" s="1">
        <f t="shared" si="311"/>
        <v>39</v>
      </c>
      <c r="C3915">
        <f t="shared" si="312"/>
        <v>9</v>
      </c>
      <c r="D3915" t="str">
        <f t="shared" si="313"/>
        <v>September</v>
      </c>
      <c r="E3915">
        <f t="shared" si="314"/>
        <v>2027</v>
      </c>
      <c r="F3915" t="str">
        <f>CONCATENATE(calendar[[#This Row],[Month]],"/",calendar[[#This Row],[Year]])</f>
        <v>9/2027</v>
      </c>
      <c r="G3915">
        <f>WEEKDAY(calendar[[#This Row],[Date]],1)</f>
        <v>1</v>
      </c>
      <c r="H3915" t="str">
        <f>TEXT(calendar[[#This Row],[WeekDay]],"dddd")</f>
        <v>Sunday</v>
      </c>
      <c r="I3915">
        <f>IF((INT(calendar[[#This Row],[Count]]/7)-calendar[[#This Row],[Count]]/7)&lt;0,I3914,I3914+1)</f>
        <v>560</v>
      </c>
      <c r="J3915">
        <f t="shared" si="315"/>
        <v>3913</v>
      </c>
      <c r="K3915">
        <f>IF(calendar[[#This Row],[Month]]&lt;4,1,IF(calendar[[#This Row],[Month]]&lt;7,2,IF(calendar[[#This Row],[Month]]&lt;10,3,4)))</f>
        <v>3</v>
      </c>
      <c r="L3915">
        <f>IFERROR(IF(VLOOKUP(calendar[[#This Row],[Date]],BH!A:A,1,)&lt;&gt;"",1,0),0)</f>
        <v>0</v>
      </c>
      <c r="M3915">
        <f>IFERROR(IF(VLOOKUP(calendar[[#This Row],[Date]],BH!C:C,1,)&lt;&gt;"",1,0),0)</f>
        <v>0</v>
      </c>
      <c r="N3915">
        <f>IFERROR(IF(VLOOKUP(calendar[[#This Row],[Date]],BH!E:E,1,)&lt;&gt;"",1,0),0)</f>
        <v>0</v>
      </c>
      <c r="O3915">
        <f>IFERROR(IF(VLOOKUP(calendar[[#This Row],[Date]],BH!G:G,1,)&lt;&gt;"",1,0),0)</f>
        <v>0</v>
      </c>
      <c r="P3915">
        <f>IF(OR(calendar[[#This Row],[UK_BH]]=1,calendar[[#This Row],[WeekDay]]=1, calendar[[#This Row],[WeekDay]]=7),P3914,P3914+1)</f>
        <v>2773</v>
      </c>
      <c r="Q3915">
        <f>IF(OR(calendar[[#This Row],[FR_BH]]=1,calendar[[#This Row],[WeekDay]]=1, calendar[[#This Row],[WeekDay]]=7),P3914,P3914+1)</f>
        <v>2773</v>
      </c>
      <c r="R3915">
        <f>IF(OR(calendar[[#This Row],[SP_BH]]=1,calendar[[#This Row],[WeekDay]]=1, calendar[[#This Row],[WeekDay]]=7),P3914,P3914+1)</f>
        <v>2773</v>
      </c>
      <c r="S3915">
        <f>IF(OR(calendar[[#This Row],[PT_BH]]=1,calendar[[#This Row],[WeekDay]]=1, calendar[[#This Row],[WeekDay]]=7),P3914,P3914+1)</f>
        <v>2773</v>
      </c>
    </row>
    <row r="3916" spans="1:19" x14ac:dyDescent="0.25">
      <c r="A3916" s="2">
        <v>46650</v>
      </c>
      <c r="B3916" s="1">
        <f t="shared" si="311"/>
        <v>39</v>
      </c>
      <c r="C3916">
        <f t="shared" si="312"/>
        <v>9</v>
      </c>
      <c r="D3916" t="str">
        <f t="shared" si="313"/>
        <v>September</v>
      </c>
      <c r="E3916">
        <f t="shared" si="314"/>
        <v>2027</v>
      </c>
      <c r="F3916" t="str">
        <f>CONCATENATE(calendar[[#This Row],[Month]],"/",calendar[[#This Row],[Year]])</f>
        <v>9/2027</v>
      </c>
      <c r="G3916">
        <f>WEEKDAY(calendar[[#This Row],[Date]],1)</f>
        <v>2</v>
      </c>
      <c r="H3916" t="str">
        <f>TEXT(calendar[[#This Row],[WeekDay]],"dddd")</f>
        <v>Monday</v>
      </c>
      <c r="I3916">
        <f>IF((INT(calendar[[#This Row],[Count]]/7)-calendar[[#This Row],[Count]]/7)&lt;0,I3915,I3915+1)</f>
        <v>560</v>
      </c>
      <c r="J3916">
        <f t="shared" si="315"/>
        <v>3914</v>
      </c>
      <c r="K3916">
        <f>IF(calendar[[#This Row],[Month]]&lt;4,1,IF(calendar[[#This Row],[Month]]&lt;7,2,IF(calendar[[#This Row],[Month]]&lt;10,3,4)))</f>
        <v>3</v>
      </c>
      <c r="L3916">
        <f>IFERROR(IF(VLOOKUP(calendar[[#This Row],[Date]],BH!A:A,1,)&lt;&gt;"",1,0),0)</f>
        <v>0</v>
      </c>
      <c r="M3916">
        <f>IFERROR(IF(VLOOKUP(calendar[[#This Row],[Date]],BH!C:C,1,)&lt;&gt;"",1,0),0)</f>
        <v>0</v>
      </c>
      <c r="N3916">
        <f>IFERROR(IF(VLOOKUP(calendar[[#This Row],[Date]],BH!E:E,1,)&lt;&gt;"",1,0),0)</f>
        <v>0</v>
      </c>
      <c r="O3916">
        <f>IFERROR(IF(VLOOKUP(calendar[[#This Row],[Date]],BH!G:G,1,)&lt;&gt;"",1,0),0)</f>
        <v>0</v>
      </c>
      <c r="P3916">
        <f>IF(OR(calendar[[#This Row],[UK_BH]]=1,calendar[[#This Row],[WeekDay]]=1, calendar[[#This Row],[WeekDay]]=7),P3915,P3915+1)</f>
        <v>2774</v>
      </c>
      <c r="Q3916">
        <f>IF(OR(calendar[[#This Row],[FR_BH]]=1,calendar[[#This Row],[WeekDay]]=1, calendar[[#This Row],[WeekDay]]=7),P3915,P3915+1)</f>
        <v>2774</v>
      </c>
      <c r="R3916">
        <f>IF(OR(calendar[[#This Row],[SP_BH]]=1,calendar[[#This Row],[WeekDay]]=1, calendar[[#This Row],[WeekDay]]=7),P3915,P3915+1)</f>
        <v>2774</v>
      </c>
      <c r="S3916">
        <f>IF(OR(calendar[[#This Row],[PT_BH]]=1,calendar[[#This Row],[WeekDay]]=1, calendar[[#This Row],[WeekDay]]=7),P3915,P3915+1)</f>
        <v>2774</v>
      </c>
    </row>
    <row r="3917" spans="1:19" x14ac:dyDescent="0.25">
      <c r="A3917" s="2">
        <v>46651</v>
      </c>
      <c r="B3917" s="1">
        <f t="shared" si="311"/>
        <v>39</v>
      </c>
      <c r="C3917">
        <f t="shared" si="312"/>
        <v>9</v>
      </c>
      <c r="D3917" t="str">
        <f t="shared" si="313"/>
        <v>September</v>
      </c>
      <c r="E3917">
        <f t="shared" si="314"/>
        <v>2027</v>
      </c>
      <c r="F3917" t="str">
        <f>CONCATENATE(calendar[[#This Row],[Month]],"/",calendar[[#This Row],[Year]])</f>
        <v>9/2027</v>
      </c>
      <c r="G3917">
        <f>WEEKDAY(calendar[[#This Row],[Date]],1)</f>
        <v>3</v>
      </c>
      <c r="H3917" t="str">
        <f>TEXT(calendar[[#This Row],[WeekDay]],"dddd")</f>
        <v>Tuesday</v>
      </c>
      <c r="I3917">
        <f>IF((INT(calendar[[#This Row],[Count]]/7)-calendar[[#This Row],[Count]]/7)&lt;0,I3916,I3916+1)</f>
        <v>560</v>
      </c>
      <c r="J3917">
        <f t="shared" si="315"/>
        <v>3915</v>
      </c>
      <c r="K3917">
        <f>IF(calendar[[#This Row],[Month]]&lt;4,1,IF(calendar[[#This Row],[Month]]&lt;7,2,IF(calendar[[#This Row],[Month]]&lt;10,3,4)))</f>
        <v>3</v>
      </c>
      <c r="L3917">
        <f>IFERROR(IF(VLOOKUP(calendar[[#This Row],[Date]],BH!A:A,1,)&lt;&gt;"",1,0),0)</f>
        <v>0</v>
      </c>
      <c r="M3917">
        <f>IFERROR(IF(VLOOKUP(calendar[[#This Row],[Date]],BH!C:C,1,)&lt;&gt;"",1,0),0)</f>
        <v>0</v>
      </c>
      <c r="N3917">
        <f>IFERROR(IF(VLOOKUP(calendar[[#This Row],[Date]],BH!E:E,1,)&lt;&gt;"",1,0),0)</f>
        <v>0</v>
      </c>
      <c r="O3917">
        <f>IFERROR(IF(VLOOKUP(calendar[[#This Row],[Date]],BH!G:G,1,)&lt;&gt;"",1,0),0)</f>
        <v>0</v>
      </c>
      <c r="P3917">
        <f>IF(OR(calendar[[#This Row],[UK_BH]]=1,calendar[[#This Row],[WeekDay]]=1, calendar[[#This Row],[WeekDay]]=7),P3916,P3916+1)</f>
        <v>2775</v>
      </c>
      <c r="Q3917">
        <f>IF(OR(calendar[[#This Row],[FR_BH]]=1,calendar[[#This Row],[WeekDay]]=1, calendar[[#This Row],[WeekDay]]=7),P3916,P3916+1)</f>
        <v>2775</v>
      </c>
      <c r="R3917">
        <f>IF(OR(calendar[[#This Row],[SP_BH]]=1,calendar[[#This Row],[WeekDay]]=1, calendar[[#This Row],[WeekDay]]=7),P3916,P3916+1)</f>
        <v>2775</v>
      </c>
      <c r="S3917">
        <f>IF(OR(calendar[[#This Row],[PT_BH]]=1,calendar[[#This Row],[WeekDay]]=1, calendar[[#This Row],[WeekDay]]=7),P3916,P3916+1)</f>
        <v>2775</v>
      </c>
    </row>
    <row r="3918" spans="1:19" x14ac:dyDescent="0.25">
      <c r="A3918" s="2">
        <v>46652</v>
      </c>
      <c r="B3918" s="1">
        <f t="shared" si="311"/>
        <v>39</v>
      </c>
      <c r="C3918">
        <f t="shared" si="312"/>
        <v>9</v>
      </c>
      <c r="D3918" t="str">
        <f t="shared" si="313"/>
        <v>September</v>
      </c>
      <c r="E3918">
        <f t="shared" si="314"/>
        <v>2027</v>
      </c>
      <c r="F3918" t="str">
        <f>CONCATENATE(calendar[[#This Row],[Month]],"/",calendar[[#This Row],[Year]])</f>
        <v>9/2027</v>
      </c>
      <c r="G3918">
        <f>WEEKDAY(calendar[[#This Row],[Date]],1)</f>
        <v>4</v>
      </c>
      <c r="H3918" t="str">
        <f>TEXT(calendar[[#This Row],[WeekDay]],"dddd")</f>
        <v>Wednesday</v>
      </c>
      <c r="I3918">
        <f>IF((INT(calendar[[#This Row],[Count]]/7)-calendar[[#This Row],[Count]]/7)&lt;0,I3917,I3917+1)</f>
        <v>560</v>
      </c>
      <c r="J3918">
        <f t="shared" si="315"/>
        <v>3916</v>
      </c>
      <c r="K3918">
        <f>IF(calendar[[#This Row],[Month]]&lt;4,1,IF(calendar[[#This Row],[Month]]&lt;7,2,IF(calendar[[#This Row],[Month]]&lt;10,3,4)))</f>
        <v>3</v>
      </c>
      <c r="L3918">
        <f>IFERROR(IF(VLOOKUP(calendar[[#This Row],[Date]],BH!A:A,1,)&lt;&gt;"",1,0),0)</f>
        <v>0</v>
      </c>
      <c r="M3918">
        <f>IFERROR(IF(VLOOKUP(calendar[[#This Row],[Date]],BH!C:C,1,)&lt;&gt;"",1,0),0)</f>
        <v>0</v>
      </c>
      <c r="N3918">
        <f>IFERROR(IF(VLOOKUP(calendar[[#This Row],[Date]],BH!E:E,1,)&lt;&gt;"",1,0),0)</f>
        <v>0</v>
      </c>
      <c r="O3918">
        <f>IFERROR(IF(VLOOKUP(calendar[[#This Row],[Date]],BH!G:G,1,)&lt;&gt;"",1,0),0)</f>
        <v>0</v>
      </c>
      <c r="P3918">
        <f>IF(OR(calendar[[#This Row],[UK_BH]]=1,calendar[[#This Row],[WeekDay]]=1, calendar[[#This Row],[WeekDay]]=7),P3917,P3917+1)</f>
        <v>2776</v>
      </c>
      <c r="Q3918">
        <f>IF(OR(calendar[[#This Row],[FR_BH]]=1,calendar[[#This Row],[WeekDay]]=1, calendar[[#This Row],[WeekDay]]=7),P3917,P3917+1)</f>
        <v>2776</v>
      </c>
      <c r="R3918">
        <f>IF(OR(calendar[[#This Row],[SP_BH]]=1,calendar[[#This Row],[WeekDay]]=1, calendar[[#This Row],[WeekDay]]=7),P3917,P3917+1)</f>
        <v>2776</v>
      </c>
      <c r="S3918">
        <f>IF(OR(calendar[[#This Row],[PT_BH]]=1,calendar[[#This Row],[WeekDay]]=1, calendar[[#This Row],[WeekDay]]=7),P3917,P3917+1)</f>
        <v>2776</v>
      </c>
    </row>
    <row r="3919" spans="1:19" x14ac:dyDescent="0.25">
      <c r="A3919" s="2">
        <v>46653</v>
      </c>
      <c r="B3919" s="1">
        <f t="shared" si="311"/>
        <v>39</v>
      </c>
      <c r="C3919">
        <f t="shared" si="312"/>
        <v>9</v>
      </c>
      <c r="D3919" t="str">
        <f t="shared" si="313"/>
        <v>September</v>
      </c>
      <c r="E3919">
        <f t="shared" si="314"/>
        <v>2027</v>
      </c>
      <c r="F3919" t="str">
        <f>CONCATENATE(calendar[[#This Row],[Month]],"/",calendar[[#This Row],[Year]])</f>
        <v>9/2027</v>
      </c>
      <c r="G3919">
        <f>WEEKDAY(calendar[[#This Row],[Date]],1)</f>
        <v>5</v>
      </c>
      <c r="H3919" t="str">
        <f>TEXT(calendar[[#This Row],[WeekDay]],"dddd")</f>
        <v>Thursday</v>
      </c>
      <c r="I3919">
        <f>IF((INT(calendar[[#This Row],[Count]]/7)-calendar[[#This Row],[Count]]/7)&lt;0,I3918,I3918+1)</f>
        <v>560</v>
      </c>
      <c r="J3919">
        <f t="shared" si="315"/>
        <v>3917</v>
      </c>
      <c r="K3919">
        <f>IF(calendar[[#This Row],[Month]]&lt;4,1,IF(calendar[[#This Row],[Month]]&lt;7,2,IF(calendar[[#This Row],[Month]]&lt;10,3,4)))</f>
        <v>3</v>
      </c>
      <c r="L3919">
        <f>IFERROR(IF(VLOOKUP(calendar[[#This Row],[Date]],BH!A:A,1,)&lt;&gt;"",1,0),0)</f>
        <v>0</v>
      </c>
      <c r="M3919">
        <f>IFERROR(IF(VLOOKUP(calendar[[#This Row],[Date]],BH!C:C,1,)&lt;&gt;"",1,0),0)</f>
        <v>0</v>
      </c>
      <c r="N3919">
        <f>IFERROR(IF(VLOOKUP(calendar[[#This Row],[Date]],BH!E:E,1,)&lt;&gt;"",1,0),0)</f>
        <v>0</v>
      </c>
      <c r="O3919">
        <f>IFERROR(IF(VLOOKUP(calendar[[#This Row],[Date]],BH!G:G,1,)&lt;&gt;"",1,0),0)</f>
        <v>0</v>
      </c>
      <c r="P3919">
        <f>IF(OR(calendar[[#This Row],[UK_BH]]=1,calendar[[#This Row],[WeekDay]]=1, calendar[[#This Row],[WeekDay]]=7),P3918,P3918+1)</f>
        <v>2777</v>
      </c>
      <c r="Q3919">
        <f>IF(OR(calendar[[#This Row],[FR_BH]]=1,calendar[[#This Row],[WeekDay]]=1, calendar[[#This Row],[WeekDay]]=7),P3918,P3918+1)</f>
        <v>2777</v>
      </c>
      <c r="R3919">
        <f>IF(OR(calendar[[#This Row],[SP_BH]]=1,calendar[[#This Row],[WeekDay]]=1, calendar[[#This Row],[WeekDay]]=7),P3918,P3918+1)</f>
        <v>2777</v>
      </c>
      <c r="S3919">
        <f>IF(OR(calendar[[#This Row],[PT_BH]]=1,calendar[[#This Row],[WeekDay]]=1, calendar[[#This Row],[WeekDay]]=7),P3918,P3918+1)</f>
        <v>2777</v>
      </c>
    </row>
    <row r="3920" spans="1:19" x14ac:dyDescent="0.25">
      <c r="A3920" s="2">
        <v>46654</v>
      </c>
      <c r="B3920" s="1">
        <f t="shared" si="311"/>
        <v>39</v>
      </c>
      <c r="C3920">
        <f t="shared" si="312"/>
        <v>9</v>
      </c>
      <c r="D3920" t="str">
        <f t="shared" si="313"/>
        <v>September</v>
      </c>
      <c r="E3920">
        <f t="shared" si="314"/>
        <v>2027</v>
      </c>
      <c r="F3920" t="str">
        <f>CONCATENATE(calendar[[#This Row],[Month]],"/",calendar[[#This Row],[Year]])</f>
        <v>9/2027</v>
      </c>
      <c r="G3920">
        <f>WEEKDAY(calendar[[#This Row],[Date]],1)</f>
        <v>6</v>
      </c>
      <c r="H3920" t="str">
        <f>TEXT(calendar[[#This Row],[WeekDay]],"dddd")</f>
        <v>Friday</v>
      </c>
      <c r="I3920">
        <f>IF((INT(calendar[[#This Row],[Count]]/7)-calendar[[#This Row],[Count]]/7)&lt;0,I3919,I3919+1)</f>
        <v>560</v>
      </c>
      <c r="J3920">
        <f t="shared" si="315"/>
        <v>3918</v>
      </c>
      <c r="K3920">
        <f>IF(calendar[[#This Row],[Month]]&lt;4,1,IF(calendar[[#This Row],[Month]]&lt;7,2,IF(calendar[[#This Row],[Month]]&lt;10,3,4)))</f>
        <v>3</v>
      </c>
      <c r="L3920">
        <f>IFERROR(IF(VLOOKUP(calendar[[#This Row],[Date]],BH!A:A,1,)&lt;&gt;"",1,0),0)</f>
        <v>0</v>
      </c>
      <c r="M3920">
        <f>IFERROR(IF(VLOOKUP(calendar[[#This Row],[Date]],BH!C:C,1,)&lt;&gt;"",1,0),0)</f>
        <v>0</v>
      </c>
      <c r="N3920">
        <f>IFERROR(IF(VLOOKUP(calendar[[#This Row],[Date]],BH!E:E,1,)&lt;&gt;"",1,0),0)</f>
        <v>0</v>
      </c>
      <c r="O3920">
        <f>IFERROR(IF(VLOOKUP(calendar[[#This Row],[Date]],BH!G:G,1,)&lt;&gt;"",1,0),0)</f>
        <v>0</v>
      </c>
      <c r="P3920">
        <f>IF(OR(calendar[[#This Row],[UK_BH]]=1,calendar[[#This Row],[WeekDay]]=1, calendar[[#This Row],[WeekDay]]=7),P3919,P3919+1)</f>
        <v>2778</v>
      </c>
      <c r="Q3920">
        <f>IF(OR(calendar[[#This Row],[FR_BH]]=1,calendar[[#This Row],[WeekDay]]=1, calendar[[#This Row],[WeekDay]]=7),P3919,P3919+1)</f>
        <v>2778</v>
      </c>
      <c r="R3920">
        <f>IF(OR(calendar[[#This Row],[SP_BH]]=1,calendar[[#This Row],[WeekDay]]=1, calendar[[#This Row],[WeekDay]]=7),P3919,P3919+1)</f>
        <v>2778</v>
      </c>
      <c r="S3920">
        <f>IF(OR(calendar[[#This Row],[PT_BH]]=1,calendar[[#This Row],[WeekDay]]=1, calendar[[#This Row],[WeekDay]]=7),P3919,P3919+1)</f>
        <v>2778</v>
      </c>
    </row>
    <row r="3921" spans="1:19" x14ac:dyDescent="0.25">
      <c r="A3921" s="2">
        <v>46655</v>
      </c>
      <c r="B3921" s="1">
        <f t="shared" si="311"/>
        <v>39</v>
      </c>
      <c r="C3921">
        <f t="shared" si="312"/>
        <v>9</v>
      </c>
      <c r="D3921" t="str">
        <f t="shared" si="313"/>
        <v>September</v>
      </c>
      <c r="E3921">
        <f t="shared" si="314"/>
        <v>2027</v>
      </c>
      <c r="F3921" t="str">
        <f>CONCATENATE(calendar[[#This Row],[Month]],"/",calendar[[#This Row],[Year]])</f>
        <v>9/2027</v>
      </c>
      <c r="G3921">
        <f>WEEKDAY(calendar[[#This Row],[Date]],1)</f>
        <v>7</v>
      </c>
      <c r="H3921" t="str">
        <f>TEXT(calendar[[#This Row],[WeekDay]],"dddd")</f>
        <v>Saturday</v>
      </c>
      <c r="I3921">
        <f>IF((INT(calendar[[#This Row],[Count]]/7)-calendar[[#This Row],[Count]]/7)&lt;0,I3920,I3920+1)</f>
        <v>560</v>
      </c>
      <c r="J3921">
        <f t="shared" si="315"/>
        <v>3919</v>
      </c>
      <c r="K3921">
        <f>IF(calendar[[#This Row],[Month]]&lt;4,1,IF(calendar[[#This Row],[Month]]&lt;7,2,IF(calendar[[#This Row],[Month]]&lt;10,3,4)))</f>
        <v>3</v>
      </c>
      <c r="L3921">
        <f>IFERROR(IF(VLOOKUP(calendar[[#This Row],[Date]],BH!A:A,1,)&lt;&gt;"",1,0),0)</f>
        <v>0</v>
      </c>
      <c r="M3921">
        <f>IFERROR(IF(VLOOKUP(calendar[[#This Row],[Date]],BH!C:C,1,)&lt;&gt;"",1,0),0)</f>
        <v>0</v>
      </c>
      <c r="N3921">
        <f>IFERROR(IF(VLOOKUP(calendar[[#This Row],[Date]],BH!E:E,1,)&lt;&gt;"",1,0),0)</f>
        <v>0</v>
      </c>
      <c r="O3921">
        <f>IFERROR(IF(VLOOKUP(calendar[[#This Row],[Date]],BH!G:G,1,)&lt;&gt;"",1,0),0)</f>
        <v>0</v>
      </c>
      <c r="P3921">
        <f>IF(OR(calendar[[#This Row],[UK_BH]]=1,calendar[[#This Row],[WeekDay]]=1, calendar[[#This Row],[WeekDay]]=7),P3920,P3920+1)</f>
        <v>2778</v>
      </c>
      <c r="Q3921">
        <f>IF(OR(calendar[[#This Row],[FR_BH]]=1,calendar[[#This Row],[WeekDay]]=1, calendar[[#This Row],[WeekDay]]=7),P3920,P3920+1)</f>
        <v>2778</v>
      </c>
      <c r="R3921">
        <f>IF(OR(calendar[[#This Row],[SP_BH]]=1,calendar[[#This Row],[WeekDay]]=1, calendar[[#This Row],[WeekDay]]=7),P3920,P3920+1)</f>
        <v>2778</v>
      </c>
      <c r="S3921">
        <f>IF(OR(calendar[[#This Row],[PT_BH]]=1,calendar[[#This Row],[WeekDay]]=1, calendar[[#This Row],[WeekDay]]=7),P3920,P3920+1)</f>
        <v>2778</v>
      </c>
    </row>
    <row r="3922" spans="1:19" x14ac:dyDescent="0.25">
      <c r="A3922" s="2">
        <v>46656</v>
      </c>
      <c r="B3922" s="1">
        <f t="shared" si="311"/>
        <v>40</v>
      </c>
      <c r="C3922">
        <f t="shared" si="312"/>
        <v>9</v>
      </c>
      <c r="D3922" t="str">
        <f t="shared" si="313"/>
        <v>September</v>
      </c>
      <c r="E3922">
        <f t="shared" si="314"/>
        <v>2027</v>
      </c>
      <c r="F3922" t="str">
        <f>CONCATENATE(calendar[[#This Row],[Month]],"/",calendar[[#This Row],[Year]])</f>
        <v>9/2027</v>
      </c>
      <c r="G3922">
        <f>WEEKDAY(calendar[[#This Row],[Date]],1)</f>
        <v>1</v>
      </c>
      <c r="H3922" t="str">
        <f>TEXT(calendar[[#This Row],[WeekDay]],"dddd")</f>
        <v>Sunday</v>
      </c>
      <c r="I3922">
        <f>IF((INT(calendar[[#This Row],[Count]]/7)-calendar[[#This Row],[Count]]/7)&lt;0,I3921,I3921+1)</f>
        <v>561</v>
      </c>
      <c r="J3922">
        <f t="shared" si="315"/>
        <v>3920</v>
      </c>
      <c r="K3922">
        <f>IF(calendar[[#This Row],[Month]]&lt;4,1,IF(calendar[[#This Row],[Month]]&lt;7,2,IF(calendar[[#This Row],[Month]]&lt;10,3,4)))</f>
        <v>3</v>
      </c>
      <c r="L3922">
        <f>IFERROR(IF(VLOOKUP(calendar[[#This Row],[Date]],BH!A:A,1,)&lt;&gt;"",1,0),0)</f>
        <v>0</v>
      </c>
      <c r="M3922">
        <f>IFERROR(IF(VLOOKUP(calendar[[#This Row],[Date]],BH!C:C,1,)&lt;&gt;"",1,0),0)</f>
        <v>0</v>
      </c>
      <c r="N3922">
        <f>IFERROR(IF(VLOOKUP(calendar[[#This Row],[Date]],BH!E:E,1,)&lt;&gt;"",1,0),0)</f>
        <v>0</v>
      </c>
      <c r="O3922">
        <f>IFERROR(IF(VLOOKUP(calendar[[#This Row],[Date]],BH!G:G,1,)&lt;&gt;"",1,0),0)</f>
        <v>0</v>
      </c>
      <c r="P3922">
        <f>IF(OR(calendar[[#This Row],[UK_BH]]=1,calendar[[#This Row],[WeekDay]]=1, calendar[[#This Row],[WeekDay]]=7),P3921,P3921+1)</f>
        <v>2778</v>
      </c>
      <c r="Q3922">
        <f>IF(OR(calendar[[#This Row],[FR_BH]]=1,calendar[[#This Row],[WeekDay]]=1, calendar[[#This Row],[WeekDay]]=7),P3921,P3921+1)</f>
        <v>2778</v>
      </c>
      <c r="R3922">
        <f>IF(OR(calendar[[#This Row],[SP_BH]]=1,calendar[[#This Row],[WeekDay]]=1, calendar[[#This Row],[WeekDay]]=7),P3921,P3921+1)</f>
        <v>2778</v>
      </c>
      <c r="S3922">
        <f>IF(OR(calendar[[#This Row],[PT_BH]]=1,calendar[[#This Row],[WeekDay]]=1, calendar[[#This Row],[WeekDay]]=7),P3921,P3921+1)</f>
        <v>2778</v>
      </c>
    </row>
    <row r="3923" spans="1:19" x14ac:dyDescent="0.25">
      <c r="A3923" s="2">
        <v>46657</v>
      </c>
      <c r="B3923" s="1">
        <f t="shared" si="311"/>
        <v>40</v>
      </c>
      <c r="C3923">
        <f t="shared" si="312"/>
        <v>9</v>
      </c>
      <c r="D3923" t="str">
        <f t="shared" si="313"/>
        <v>September</v>
      </c>
      <c r="E3923">
        <f t="shared" si="314"/>
        <v>2027</v>
      </c>
      <c r="F3923" t="str">
        <f>CONCATENATE(calendar[[#This Row],[Month]],"/",calendar[[#This Row],[Year]])</f>
        <v>9/2027</v>
      </c>
      <c r="G3923">
        <f>WEEKDAY(calendar[[#This Row],[Date]],1)</f>
        <v>2</v>
      </c>
      <c r="H3923" t="str">
        <f>TEXT(calendar[[#This Row],[WeekDay]],"dddd")</f>
        <v>Monday</v>
      </c>
      <c r="I3923">
        <f>IF((INT(calendar[[#This Row],[Count]]/7)-calendar[[#This Row],[Count]]/7)&lt;0,I3922,I3922+1)</f>
        <v>561</v>
      </c>
      <c r="J3923">
        <f t="shared" si="315"/>
        <v>3921</v>
      </c>
      <c r="K3923">
        <f>IF(calendar[[#This Row],[Month]]&lt;4,1,IF(calendar[[#This Row],[Month]]&lt;7,2,IF(calendar[[#This Row],[Month]]&lt;10,3,4)))</f>
        <v>3</v>
      </c>
      <c r="L3923">
        <f>IFERROR(IF(VLOOKUP(calendar[[#This Row],[Date]],BH!A:A,1,)&lt;&gt;"",1,0),0)</f>
        <v>0</v>
      </c>
      <c r="M3923">
        <f>IFERROR(IF(VLOOKUP(calendar[[#This Row],[Date]],BH!C:C,1,)&lt;&gt;"",1,0),0)</f>
        <v>0</v>
      </c>
      <c r="N3923">
        <f>IFERROR(IF(VLOOKUP(calendar[[#This Row],[Date]],BH!E:E,1,)&lt;&gt;"",1,0),0)</f>
        <v>0</v>
      </c>
      <c r="O3923">
        <f>IFERROR(IF(VLOOKUP(calendar[[#This Row],[Date]],BH!G:G,1,)&lt;&gt;"",1,0),0)</f>
        <v>0</v>
      </c>
      <c r="P3923">
        <f>IF(OR(calendar[[#This Row],[UK_BH]]=1,calendar[[#This Row],[WeekDay]]=1, calendar[[#This Row],[WeekDay]]=7),P3922,P3922+1)</f>
        <v>2779</v>
      </c>
      <c r="Q3923">
        <f>IF(OR(calendar[[#This Row],[FR_BH]]=1,calendar[[#This Row],[WeekDay]]=1, calendar[[#This Row],[WeekDay]]=7),P3922,P3922+1)</f>
        <v>2779</v>
      </c>
      <c r="R3923">
        <f>IF(OR(calendar[[#This Row],[SP_BH]]=1,calendar[[#This Row],[WeekDay]]=1, calendar[[#This Row],[WeekDay]]=7),P3922,P3922+1)</f>
        <v>2779</v>
      </c>
      <c r="S3923">
        <f>IF(OR(calendar[[#This Row],[PT_BH]]=1,calendar[[#This Row],[WeekDay]]=1, calendar[[#This Row],[WeekDay]]=7),P3922,P3922+1)</f>
        <v>2779</v>
      </c>
    </row>
    <row r="3924" spans="1:19" x14ac:dyDescent="0.25">
      <c r="A3924" s="2">
        <v>46658</v>
      </c>
      <c r="B3924" s="1">
        <f t="shared" si="311"/>
        <v>40</v>
      </c>
      <c r="C3924">
        <f t="shared" si="312"/>
        <v>9</v>
      </c>
      <c r="D3924" t="str">
        <f t="shared" si="313"/>
        <v>September</v>
      </c>
      <c r="E3924">
        <f t="shared" si="314"/>
        <v>2027</v>
      </c>
      <c r="F3924" t="str">
        <f>CONCATENATE(calendar[[#This Row],[Month]],"/",calendar[[#This Row],[Year]])</f>
        <v>9/2027</v>
      </c>
      <c r="G3924">
        <f>WEEKDAY(calendar[[#This Row],[Date]],1)</f>
        <v>3</v>
      </c>
      <c r="H3924" t="str">
        <f>TEXT(calendar[[#This Row],[WeekDay]],"dddd")</f>
        <v>Tuesday</v>
      </c>
      <c r="I3924">
        <f>IF((INT(calendar[[#This Row],[Count]]/7)-calendar[[#This Row],[Count]]/7)&lt;0,I3923,I3923+1)</f>
        <v>561</v>
      </c>
      <c r="J3924">
        <f t="shared" si="315"/>
        <v>3922</v>
      </c>
      <c r="K3924">
        <f>IF(calendar[[#This Row],[Month]]&lt;4,1,IF(calendar[[#This Row],[Month]]&lt;7,2,IF(calendar[[#This Row],[Month]]&lt;10,3,4)))</f>
        <v>3</v>
      </c>
      <c r="L3924">
        <f>IFERROR(IF(VLOOKUP(calendar[[#This Row],[Date]],BH!A:A,1,)&lt;&gt;"",1,0),0)</f>
        <v>0</v>
      </c>
      <c r="M3924">
        <f>IFERROR(IF(VLOOKUP(calendar[[#This Row],[Date]],BH!C:C,1,)&lt;&gt;"",1,0),0)</f>
        <v>0</v>
      </c>
      <c r="N3924">
        <f>IFERROR(IF(VLOOKUP(calendar[[#This Row],[Date]],BH!E:E,1,)&lt;&gt;"",1,0),0)</f>
        <v>0</v>
      </c>
      <c r="O3924">
        <f>IFERROR(IF(VLOOKUP(calendar[[#This Row],[Date]],BH!G:G,1,)&lt;&gt;"",1,0),0)</f>
        <v>0</v>
      </c>
      <c r="P3924">
        <f>IF(OR(calendar[[#This Row],[UK_BH]]=1,calendar[[#This Row],[WeekDay]]=1, calendar[[#This Row],[WeekDay]]=7),P3923,P3923+1)</f>
        <v>2780</v>
      </c>
      <c r="Q3924">
        <f>IF(OR(calendar[[#This Row],[FR_BH]]=1,calendar[[#This Row],[WeekDay]]=1, calendar[[#This Row],[WeekDay]]=7),P3923,P3923+1)</f>
        <v>2780</v>
      </c>
      <c r="R3924">
        <f>IF(OR(calendar[[#This Row],[SP_BH]]=1,calendar[[#This Row],[WeekDay]]=1, calendar[[#This Row],[WeekDay]]=7),P3923,P3923+1)</f>
        <v>2780</v>
      </c>
      <c r="S3924">
        <f>IF(OR(calendar[[#This Row],[PT_BH]]=1,calendar[[#This Row],[WeekDay]]=1, calendar[[#This Row],[WeekDay]]=7),P3923,P3923+1)</f>
        <v>2780</v>
      </c>
    </row>
    <row r="3925" spans="1:19" x14ac:dyDescent="0.25">
      <c r="A3925" s="2">
        <v>46659</v>
      </c>
      <c r="B3925" s="1">
        <f t="shared" si="311"/>
        <v>40</v>
      </c>
      <c r="C3925">
        <f t="shared" si="312"/>
        <v>9</v>
      </c>
      <c r="D3925" t="str">
        <f t="shared" si="313"/>
        <v>September</v>
      </c>
      <c r="E3925">
        <f t="shared" si="314"/>
        <v>2027</v>
      </c>
      <c r="F3925" t="str">
        <f>CONCATENATE(calendar[[#This Row],[Month]],"/",calendar[[#This Row],[Year]])</f>
        <v>9/2027</v>
      </c>
      <c r="G3925">
        <f>WEEKDAY(calendar[[#This Row],[Date]],1)</f>
        <v>4</v>
      </c>
      <c r="H3925" t="str">
        <f>TEXT(calendar[[#This Row],[WeekDay]],"dddd")</f>
        <v>Wednesday</v>
      </c>
      <c r="I3925">
        <f>IF((INT(calendar[[#This Row],[Count]]/7)-calendar[[#This Row],[Count]]/7)&lt;0,I3924,I3924+1)</f>
        <v>561</v>
      </c>
      <c r="J3925">
        <f t="shared" si="315"/>
        <v>3923</v>
      </c>
      <c r="K3925">
        <f>IF(calendar[[#This Row],[Month]]&lt;4,1,IF(calendar[[#This Row],[Month]]&lt;7,2,IF(calendar[[#This Row],[Month]]&lt;10,3,4)))</f>
        <v>3</v>
      </c>
      <c r="L3925">
        <f>IFERROR(IF(VLOOKUP(calendar[[#This Row],[Date]],BH!A:A,1,)&lt;&gt;"",1,0),0)</f>
        <v>0</v>
      </c>
      <c r="M3925">
        <f>IFERROR(IF(VLOOKUP(calendar[[#This Row],[Date]],BH!C:C,1,)&lt;&gt;"",1,0),0)</f>
        <v>0</v>
      </c>
      <c r="N3925">
        <f>IFERROR(IF(VLOOKUP(calendar[[#This Row],[Date]],BH!E:E,1,)&lt;&gt;"",1,0),0)</f>
        <v>0</v>
      </c>
      <c r="O3925">
        <f>IFERROR(IF(VLOOKUP(calendar[[#This Row],[Date]],BH!G:G,1,)&lt;&gt;"",1,0),0)</f>
        <v>0</v>
      </c>
      <c r="P3925">
        <f>IF(OR(calendar[[#This Row],[UK_BH]]=1,calendar[[#This Row],[WeekDay]]=1, calendar[[#This Row],[WeekDay]]=7),P3924,P3924+1)</f>
        <v>2781</v>
      </c>
      <c r="Q3925">
        <f>IF(OR(calendar[[#This Row],[FR_BH]]=1,calendar[[#This Row],[WeekDay]]=1, calendar[[#This Row],[WeekDay]]=7),P3924,P3924+1)</f>
        <v>2781</v>
      </c>
      <c r="R3925">
        <f>IF(OR(calendar[[#This Row],[SP_BH]]=1,calendar[[#This Row],[WeekDay]]=1, calendar[[#This Row],[WeekDay]]=7),P3924,P3924+1)</f>
        <v>2781</v>
      </c>
      <c r="S3925">
        <f>IF(OR(calendar[[#This Row],[PT_BH]]=1,calendar[[#This Row],[WeekDay]]=1, calendar[[#This Row],[WeekDay]]=7),P3924,P3924+1)</f>
        <v>2781</v>
      </c>
    </row>
    <row r="3926" spans="1:19" x14ac:dyDescent="0.25">
      <c r="A3926" s="2">
        <v>46660</v>
      </c>
      <c r="B3926" s="1">
        <f t="shared" si="311"/>
        <v>40</v>
      </c>
      <c r="C3926">
        <f t="shared" si="312"/>
        <v>9</v>
      </c>
      <c r="D3926" t="str">
        <f t="shared" si="313"/>
        <v>September</v>
      </c>
      <c r="E3926">
        <f t="shared" si="314"/>
        <v>2027</v>
      </c>
      <c r="F3926" t="str">
        <f>CONCATENATE(calendar[[#This Row],[Month]],"/",calendar[[#This Row],[Year]])</f>
        <v>9/2027</v>
      </c>
      <c r="G3926">
        <f>WEEKDAY(calendar[[#This Row],[Date]],1)</f>
        <v>5</v>
      </c>
      <c r="H3926" t="str">
        <f>TEXT(calendar[[#This Row],[WeekDay]],"dddd")</f>
        <v>Thursday</v>
      </c>
      <c r="I3926">
        <f>IF((INT(calendar[[#This Row],[Count]]/7)-calendar[[#This Row],[Count]]/7)&lt;0,I3925,I3925+1)</f>
        <v>561</v>
      </c>
      <c r="J3926">
        <f t="shared" si="315"/>
        <v>3924</v>
      </c>
      <c r="K3926">
        <f>IF(calendar[[#This Row],[Month]]&lt;4,1,IF(calendar[[#This Row],[Month]]&lt;7,2,IF(calendar[[#This Row],[Month]]&lt;10,3,4)))</f>
        <v>3</v>
      </c>
      <c r="L3926">
        <f>IFERROR(IF(VLOOKUP(calendar[[#This Row],[Date]],BH!A:A,1,)&lt;&gt;"",1,0),0)</f>
        <v>0</v>
      </c>
      <c r="M3926">
        <f>IFERROR(IF(VLOOKUP(calendar[[#This Row],[Date]],BH!C:C,1,)&lt;&gt;"",1,0),0)</f>
        <v>0</v>
      </c>
      <c r="N3926">
        <f>IFERROR(IF(VLOOKUP(calendar[[#This Row],[Date]],BH!E:E,1,)&lt;&gt;"",1,0),0)</f>
        <v>0</v>
      </c>
      <c r="O3926">
        <f>IFERROR(IF(VLOOKUP(calendar[[#This Row],[Date]],BH!G:G,1,)&lt;&gt;"",1,0),0)</f>
        <v>0</v>
      </c>
      <c r="P3926">
        <f>IF(OR(calendar[[#This Row],[UK_BH]]=1,calendar[[#This Row],[WeekDay]]=1, calendar[[#This Row],[WeekDay]]=7),P3925,P3925+1)</f>
        <v>2782</v>
      </c>
      <c r="Q3926">
        <f>IF(OR(calendar[[#This Row],[FR_BH]]=1,calendar[[#This Row],[WeekDay]]=1, calendar[[#This Row],[WeekDay]]=7),P3925,P3925+1)</f>
        <v>2782</v>
      </c>
      <c r="R3926">
        <f>IF(OR(calendar[[#This Row],[SP_BH]]=1,calendar[[#This Row],[WeekDay]]=1, calendar[[#This Row],[WeekDay]]=7),P3925,P3925+1)</f>
        <v>2782</v>
      </c>
      <c r="S3926">
        <f>IF(OR(calendar[[#This Row],[PT_BH]]=1,calendar[[#This Row],[WeekDay]]=1, calendar[[#This Row],[WeekDay]]=7),P3925,P3925+1)</f>
        <v>2782</v>
      </c>
    </row>
    <row r="3927" spans="1:19" x14ac:dyDescent="0.25">
      <c r="A3927" s="2">
        <v>46661</v>
      </c>
      <c r="B3927" s="1">
        <f t="shared" si="311"/>
        <v>40</v>
      </c>
      <c r="C3927">
        <f t="shared" si="312"/>
        <v>10</v>
      </c>
      <c r="D3927" t="str">
        <f t="shared" si="313"/>
        <v>October</v>
      </c>
      <c r="E3927">
        <f t="shared" si="314"/>
        <v>2027</v>
      </c>
      <c r="F3927" t="str">
        <f>CONCATENATE(calendar[[#This Row],[Month]],"/",calendar[[#This Row],[Year]])</f>
        <v>10/2027</v>
      </c>
      <c r="G3927">
        <f>WEEKDAY(calendar[[#This Row],[Date]],1)</f>
        <v>6</v>
      </c>
      <c r="H3927" t="str">
        <f>TEXT(calendar[[#This Row],[WeekDay]],"dddd")</f>
        <v>Friday</v>
      </c>
      <c r="I3927">
        <f>IF((INT(calendar[[#This Row],[Count]]/7)-calendar[[#This Row],[Count]]/7)&lt;0,I3926,I3926+1)</f>
        <v>561</v>
      </c>
      <c r="J3927">
        <f t="shared" si="315"/>
        <v>3925</v>
      </c>
      <c r="K3927">
        <f>IF(calendar[[#This Row],[Month]]&lt;4,1,IF(calendar[[#This Row],[Month]]&lt;7,2,IF(calendar[[#This Row],[Month]]&lt;10,3,4)))</f>
        <v>4</v>
      </c>
      <c r="L3927">
        <f>IFERROR(IF(VLOOKUP(calendar[[#This Row],[Date]],BH!A:A,1,)&lt;&gt;"",1,0),0)</f>
        <v>0</v>
      </c>
      <c r="M3927">
        <f>IFERROR(IF(VLOOKUP(calendar[[#This Row],[Date]],BH!C:C,1,)&lt;&gt;"",1,0),0)</f>
        <v>0</v>
      </c>
      <c r="N3927">
        <f>IFERROR(IF(VLOOKUP(calendar[[#This Row],[Date]],BH!E:E,1,)&lt;&gt;"",1,0),0)</f>
        <v>0</v>
      </c>
      <c r="O3927">
        <f>IFERROR(IF(VLOOKUP(calendar[[#This Row],[Date]],BH!G:G,1,)&lt;&gt;"",1,0),0)</f>
        <v>0</v>
      </c>
      <c r="P3927">
        <f>IF(OR(calendar[[#This Row],[UK_BH]]=1,calendar[[#This Row],[WeekDay]]=1, calendar[[#This Row],[WeekDay]]=7),P3926,P3926+1)</f>
        <v>2783</v>
      </c>
      <c r="Q3927">
        <f>IF(OR(calendar[[#This Row],[FR_BH]]=1,calendar[[#This Row],[WeekDay]]=1, calendar[[#This Row],[WeekDay]]=7),P3926,P3926+1)</f>
        <v>2783</v>
      </c>
      <c r="R3927">
        <f>IF(OR(calendar[[#This Row],[SP_BH]]=1,calendar[[#This Row],[WeekDay]]=1, calendar[[#This Row],[WeekDay]]=7),P3926,P3926+1)</f>
        <v>2783</v>
      </c>
      <c r="S3927">
        <f>IF(OR(calendar[[#This Row],[PT_BH]]=1,calendar[[#This Row],[WeekDay]]=1, calendar[[#This Row],[WeekDay]]=7),P3926,P3926+1)</f>
        <v>2783</v>
      </c>
    </row>
    <row r="3928" spans="1:19" x14ac:dyDescent="0.25">
      <c r="A3928" s="2">
        <v>46662</v>
      </c>
      <c r="B3928" s="1">
        <f t="shared" si="311"/>
        <v>40</v>
      </c>
      <c r="C3928">
        <f t="shared" si="312"/>
        <v>10</v>
      </c>
      <c r="D3928" t="str">
        <f t="shared" si="313"/>
        <v>October</v>
      </c>
      <c r="E3928">
        <f t="shared" si="314"/>
        <v>2027</v>
      </c>
      <c r="F3928" t="str">
        <f>CONCATENATE(calendar[[#This Row],[Month]],"/",calendar[[#This Row],[Year]])</f>
        <v>10/2027</v>
      </c>
      <c r="G3928">
        <f>WEEKDAY(calendar[[#This Row],[Date]],1)</f>
        <v>7</v>
      </c>
      <c r="H3928" t="str">
        <f>TEXT(calendar[[#This Row],[WeekDay]],"dddd")</f>
        <v>Saturday</v>
      </c>
      <c r="I3928">
        <f>IF((INT(calendar[[#This Row],[Count]]/7)-calendar[[#This Row],[Count]]/7)&lt;0,I3927,I3927+1)</f>
        <v>561</v>
      </c>
      <c r="J3928">
        <f t="shared" si="315"/>
        <v>3926</v>
      </c>
      <c r="K3928">
        <f>IF(calendar[[#This Row],[Month]]&lt;4,1,IF(calendar[[#This Row],[Month]]&lt;7,2,IF(calendar[[#This Row],[Month]]&lt;10,3,4)))</f>
        <v>4</v>
      </c>
      <c r="L3928">
        <f>IFERROR(IF(VLOOKUP(calendar[[#This Row],[Date]],BH!A:A,1,)&lt;&gt;"",1,0),0)</f>
        <v>0</v>
      </c>
      <c r="M3928">
        <f>IFERROR(IF(VLOOKUP(calendar[[#This Row],[Date]],BH!C:C,1,)&lt;&gt;"",1,0),0)</f>
        <v>0</v>
      </c>
      <c r="N3928">
        <f>IFERROR(IF(VLOOKUP(calendar[[#This Row],[Date]],BH!E:E,1,)&lt;&gt;"",1,0),0)</f>
        <v>0</v>
      </c>
      <c r="O3928">
        <f>IFERROR(IF(VLOOKUP(calendar[[#This Row],[Date]],BH!G:G,1,)&lt;&gt;"",1,0),0)</f>
        <v>0</v>
      </c>
      <c r="P3928">
        <f>IF(OR(calendar[[#This Row],[UK_BH]]=1,calendar[[#This Row],[WeekDay]]=1, calendar[[#This Row],[WeekDay]]=7),P3927,P3927+1)</f>
        <v>2783</v>
      </c>
      <c r="Q3928">
        <f>IF(OR(calendar[[#This Row],[FR_BH]]=1,calendar[[#This Row],[WeekDay]]=1, calendar[[#This Row],[WeekDay]]=7),P3927,P3927+1)</f>
        <v>2783</v>
      </c>
      <c r="R3928">
        <f>IF(OR(calendar[[#This Row],[SP_BH]]=1,calendar[[#This Row],[WeekDay]]=1, calendar[[#This Row],[WeekDay]]=7),P3927,P3927+1)</f>
        <v>2783</v>
      </c>
      <c r="S3928">
        <f>IF(OR(calendar[[#This Row],[PT_BH]]=1,calendar[[#This Row],[WeekDay]]=1, calendar[[#This Row],[WeekDay]]=7),P3927,P3927+1)</f>
        <v>2783</v>
      </c>
    </row>
    <row r="3929" spans="1:19" x14ac:dyDescent="0.25">
      <c r="A3929" s="2">
        <v>46663</v>
      </c>
      <c r="B3929" s="1">
        <f t="shared" si="311"/>
        <v>41</v>
      </c>
      <c r="C3929">
        <f t="shared" si="312"/>
        <v>10</v>
      </c>
      <c r="D3929" t="str">
        <f t="shared" si="313"/>
        <v>October</v>
      </c>
      <c r="E3929">
        <f t="shared" si="314"/>
        <v>2027</v>
      </c>
      <c r="F3929" t="str">
        <f>CONCATENATE(calendar[[#This Row],[Month]],"/",calendar[[#This Row],[Year]])</f>
        <v>10/2027</v>
      </c>
      <c r="G3929">
        <f>WEEKDAY(calendar[[#This Row],[Date]],1)</f>
        <v>1</v>
      </c>
      <c r="H3929" t="str">
        <f>TEXT(calendar[[#This Row],[WeekDay]],"dddd")</f>
        <v>Sunday</v>
      </c>
      <c r="I3929">
        <f>IF((INT(calendar[[#This Row],[Count]]/7)-calendar[[#This Row],[Count]]/7)&lt;0,I3928,I3928+1)</f>
        <v>562</v>
      </c>
      <c r="J3929">
        <f t="shared" si="315"/>
        <v>3927</v>
      </c>
      <c r="K3929">
        <f>IF(calendar[[#This Row],[Month]]&lt;4,1,IF(calendar[[#This Row],[Month]]&lt;7,2,IF(calendar[[#This Row],[Month]]&lt;10,3,4)))</f>
        <v>4</v>
      </c>
      <c r="L3929">
        <f>IFERROR(IF(VLOOKUP(calendar[[#This Row],[Date]],BH!A:A,1,)&lt;&gt;"",1,0),0)</f>
        <v>0</v>
      </c>
      <c r="M3929">
        <f>IFERROR(IF(VLOOKUP(calendar[[#This Row],[Date]],BH!C:C,1,)&lt;&gt;"",1,0),0)</f>
        <v>0</v>
      </c>
      <c r="N3929">
        <f>IFERROR(IF(VLOOKUP(calendar[[#This Row],[Date]],BH!E:E,1,)&lt;&gt;"",1,0),0)</f>
        <v>0</v>
      </c>
      <c r="O3929">
        <f>IFERROR(IF(VLOOKUP(calendar[[#This Row],[Date]],BH!G:G,1,)&lt;&gt;"",1,0),0)</f>
        <v>0</v>
      </c>
      <c r="P3929">
        <f>IF(OR(calendar[[#This Row],[UK_BH]]=1,calendar[[#This Row],[WeekDay]]=1, calendar[[#This Row],[WeekDay]]=7),P3928,P3928+1)</f>
        <v>2783</v>
      </c>
      <c r="Q3929">
        <f>IF(OR(calendar[[#This Row],[FR_BH]]=1,calendar[[#This Row],[WeekDay]]=1, calendar[[#This Row],[WeekDay]]=7),P3928,P3928+1)</f>
        <v>2783</v>
      </c>
      <c r="R3929">
        <f>IF(OR(calendar[[#This Row],[SP_BH]]=1,calendar[[#This Row],[WeekDay]]=1, calendar[[#This Row],[WeekDay]]=7),P3928,P3928+1)</f>
        <v>2783</v>
      </c>
      <c r="S3929">
        <f>IF(OR(calendar[[#This Row],[PT_BH]]=1,calendar[[#This Row],[WeekDay]]=1, calendar[[#This Row],[WeekDay]]=7),P3928,P3928+1)</f>
        <v>2783</v>
      </c>
    </row>
    <row r="3930" spans="1:19" x14ac:dyDescent="0.25">
      <c r="A3930" s="2">
        <v>46664</v>
      </c>
      <c r="B3930" s="1">
        <f t="shared" si="311"/>
        <v>41</v>
      </c>
      <c r="C3930">
        <f t="shared" si="312"/>
        <v>10</v>
      </c>
      <c r="D3930" t="str">
        <f t="shared" si="313"/>
        <v>October</v>
      </c>
      <c r="E3930">
        <f t="shared" si="314"/>
        <v>2027</v>
      </c>
      <c r="F3930" t="str">
        <f>CONCATENATE(calendar[[#This Row],[Month]],"/",calendar[[#This Row],[Year]])</f>
        <v>10/2027</v>
      </c>
      <c r="G3930">
        <f>WEEKDAY(calendar[[#This Row],[Date]],1)</f>
        <v>2</v>
      </c>
      <c r="H3930" t="str">
        <f>TEXT(calendar[[#This Row],[WeekDay]],"dddd")</f>
        <v>Monday</v>
      </c>
      <c r="I3930">
        <f>IF((INT(calendar[[#This Row],[Count]]/7)-calendar[[#This Row],[Count]]/7)&lt;0,I3929,I3929+1)</f>
        <v>562</v>
      </c>
      <c r="J3930">
        <f t="shared" si="315"/>
        <v>3928</v>
      </c>
      <c r="K3930">
        <f>IF(calendar[[#This Row],[Month]]&lt;4,1,IF(calendar[[#This Row],[Month]]&lt;7,2,IF(calendar[[#This Row],[Month]]&lt;10,3,4)))</f>
        <v>4</v>
      </c>
      <c r="L3930">
        <f>IFERROR(IF(VLOOKUP(calendar[[#This Row],[Date]],BH!A:A,1,)&lt;&gt;"",1,0),0)</f>
        <v>0</v>
      </c>
      <c r="M3930">
        <f>IFERROR(IF(VLOOKUP(calendar[[#This Row],[Date]],BH!C:C,1,)&lt;&gt;"",1,0),0)</f>
        <v>0</v>
      </c>
      <c r="N3930">
        <f>IFERROR(IF(VLOOKUP(calendar[[#This Row],[Date]],BH!E:E,1,)&lt;&gt;"",1,0),0)</f>
        <v>0</v>
      </c>
      <c r="O3930">
        <f>IFERROR(IF(VLOOKUP(calendar[[#This Row],[Date]],BH!G:G,1,)&lt;&gt;"",1,0),0)</f>
        <v>0</v>
      </c>
      <c r="P3930">
        <f>IF(OR(calendar[[#This Row],[UK_BH]]=1,calendar[[#This Row],[WeekDay]]=1, calendar[[#This Row],[WeekDay]]=7),P3929,P3929+1)</f>
        <v>2784</v>
      </c>
      <c r="Q3930">
        <f>IF(OR(calendar[[#This Row],[FR_BH]]=1,calendar[[#This Row],[WeekDay]]=1, calendar[[#This Row],[WeekDay]]=7),P3929,P3929+1)</f>
        <v>2784</v>
      </c>
      <c r="R3930">
        <f>IF(OR(calendar[[#This Row],[SP_BH]]=1,calendar[[#This Row],[WeekDay]]=1, calendar[[#This Row],[WeekDay]]=7),P3929,P3929+1)</f>
        <v>2784</v>
      </c>
      <c r="S3930">
        <f>IF(OR(calendar[[#This Row],[PT_BH]]=1,calendar[[#This Row],[WeekDay]]=1, calendar[[#This Row],[WeekDay]]=7),P3929,P3929+1)</f>
        <v>2784</v>
      </c>
    </row>
    <row r="3931" spans="1:19" x14ac:dyDescent="0.25">
      <c r="A3931" s="2">
        <v>46665</v>
      </c>
      <c r="B3931" s="1">
        <f t="shared" si="311"/>
        <v>41</v>
      </c>
      <c r="C3931">
        <f t="shared" si="312"/>
        <v>10</v>
      </c>
      <c r="D3931" t="str">
        <f t="shared" si="313"/>
        <v>October</v>
      </c>
      <c r="E3931">
        <f t="shared" si="314"/>
        <v>2027</v>
      </c>
      <c r="F3931" t="str">
        <f>CONCATENATE(calendar[[#This Row],[Month]],"/",calendar[[#This Row],[Year]])</f>
        <v>10/2027</v>
      </c>
      <c r="G3931">
        <f>WEEKDAY(calendar[[#This Row],[Date]],1)</f>
        <v>3</v>
      </c>
      <c r="H3931" t="str">
        <f>TEXT(calendar[[#This Row],[WeekDay]],"dddd")</f>
        <v>Tuesday</v>
      </c>
      <c r="I3931">
        <f>IF((INT(calendar[[#This Row],[Count]]/7)-calendar[[#This Row],[Count]]/7)&lt;0,I3930,I3930+1)</f>
        <v>562</v>
      </c>
      <c r="J3931">
        <f t="shared" si="315"/>
        <v>3929</v>
      </c>
      <c r="K3931">
        <f>IF(calendar[[#This Row],[Month]]&lt;4,1,IF(calendar[[#This Row],[Month]]&lt;7,2,IF(calendar[[#This Row],[Month]]&lt;10,3,4)))</f>
        <v>4</v>
      </c>
      <c r="L3931">
        <f>IFERROR(IF(VLOOKUP(calendar[[#This Row],[Date]],BH!A:A,1,)&lt;&gt;"",1,0),0)</f>
        <v>0</v>
      </c>
      <c r="M3931">
        <f>IFERROR(IF(VLOOKUP(calendar[[#This Row],[Date]],BH!C:C,1,)&lt;&gt;"",1,0),0)</f>
        <v>0</v>
      </c>
      <c r="N3931">
        <f>IFERROR(IF(VLOOKUP(calendar[[#This Row],[Date]],BH!E:E,1,)&lt;&gt;"",1,0),0)</f>
        <v>0</v>
      </c>
      <c r="O3931">
        <f>IFERROR(IF(VLOOKUP(calendar[[#This Row],[Date]],BH!G:G,1,)&lt;&gt;"",1,0),0)</f>
        <v>1</v>
      </c>
      <c r="P3931">
        <f>IF(OR(calendar[[#This Row],[UK_BH]]=1,calendar[[#This Row],[WeekDay]]=1, calendar[[#This Row],[WeekDay]]=7),P3930,P3930+1)</f>
        <v>2785</v>
      </c>
      <c r="Q3931">
        <f>IF(OR(calendar[[#This Row],[FR_BH]]=1,calendar[[#This Row],[WeekDay]]=1, calendar[[#This Row],[WeekDay]]=7),P3930,P3930+1)</f>
        <v>2785</v>
      </c>
      <c r="R3931">
        <f>IF(OR(calendar[[#This Row],[SP_BH]]=1,calendar[[#This Row],[WeekDay]]=1, calendar[[#This Row],[WeekDay]]=7),P3930,P3930+1)</f>
        <v>2785</v>
      </c>
      <c r="S3931">
        <f>IF(OR(calendar[[#This Row],[PT_BH]]=1,calendar[[#This Row],[WeekDay]]=1, calendar[[#This Row],[WeekDay]]=7),P3930,P3930+1)</f>
        <v>2784</v>
      </c>
    </row>
    <row r="3932" spans="1:19" x14ac:dyDescent="0.25">
      <c r="A3932" s="2">
        <v>46666</v>
      </c>
      <c r="B3932" s="1">
        <f t="shared" si="311"/>
        <v>41</v>
      </c>
      <c r="C3932">
        <f t="shared" si="312"/>
        <v>10</v>
      </c>
      <c r="D3932" t="str">
        <f t="shared" si="313"/>
        <v>October</v>
      </c>
      <c r="E3932">
        <f t="shared" si="314"/>
        <v>2027</v>
      </c>
      <c r="F3932" t="str">
        <f>CONCATENATE(calendar[[#This Row],[Month]],"/",calendar[[#This Row],[Year]])</f>
        <v>10/2027</v>
      </c>
      <c r="G3932">
        <f>WEEKDAY(calendar[[#This Row],[Date]],1)</f>
        <v>4</v>
      </c>
      <c r="H3932" t="str">
        <f>TEXT(calendar[[#This Row],[WeekDay]],"dddd")</f>
        <v>Wednesday</v>
      </c>
      <c r="I3932">
        <f>IF((INT(calendar[[#This Row],[Count]]/7)-calendar[[#This Row],[Count]]/7)&lt;0,I3931,I3931+1)</f>
        <v>562</v>
      </c>
      <c r="J3932">
        <f t="shared" si="315"/>
        <v>3930</v>
      </c>
      <c r="K3932">
        <f>IF(calendar[[#This Row],[Month]]&lt;4,1,IF(calendar[[#This Row],[Month]]&lt;7,2,IF(calendar[[#This Row],[Month]]&lt;10,3,4)))</f>
        <v>4</v>
      </c>
      <c r="L3932">
        <f>IFERROR(IF(VLOOKUP(calendar[[#This Row],[Date]],BH!A:A,1,)&lt;&gt;"",1,0),0)</f>
        <v>0</v>
      </c>
      <c r="M3932">
        <f>IFERROR(IF(VLOOKUP(calendar[[#This Row],[Date]],BH!C:C,1,)&lt;&gt;"",1,0),0)</f>
        <v>0</v>
      </c>
      <c r="N3932">
        <f>IFERROR(IF(VLOOKUP(calendar[[#This Row],[Date]],BH!E:E,1,)&lt;&gt;"",1,0),0)</f>
        <v>0</v>
      </c>
      <c r="O3932">
        <f>IFERROR(IF(VLOOKUP(calendar[[#This Row],[Date]],BH!G:G,1,)&lt;&gt;"",1,0),0)</f>
        <v>0</v>
      </c>
      <c r="P3932">
        <f>IF(OR(calendar[[#This Row],[UK_BH]]=1,calendar[[#This Row],[WeekDay]]=1, calendar[[#This Row],[WeekDay]]=7),P3931,P3931+1)</f>
        <v>2786</v>
      </c>
      <c r="Q3932">
        <f>IF(OR(calendar[[#This Row],[FR_BH]]=1,calendar[[#This Row],[WeekDay]]=1, calendar[[#This Row],[WeekDay]]=7),P3931,P3931+1)</f>
        <v>2786</v>
      </c>
      <c r="R3932">
        <f>IF(OR(calendar[[#This Row],[SP_BH]]=1,calendar[[#This Row],[WeekDay]]=1, calendar[[#This Row],[WeekDay]]=7),P3931,P3931+1)</f>
        <v>2786</v>
      </c>
      <c r="S3932">
        <f>IF(OR(calendar[[#This Row],[PT_BH]]=1,calendar[[#This Row],[WeekDay]]=1, calendar[[#This Row],[WeekDay]]=7),P3931,P3931+1)</f>
        <v>2786</v>
      </c>
    </row>
    <row r="3933" spans="1:19" x14ac:dyDescent="0.25">
      <c r="A3933" s="2">
        <v>46667</v>
      </c>
      <c r="B3933" s="1">
        <f t="shared" si="311"/>
        <v>41</v>
      </c>
      <c r="C3933">
        <f t="shared" si="312"/>
        <v>10</v>
      </c>
      <c r="D3933" t="str">
        <f t="shared" si="313"/>
        <v>October</v>
      </c>
      <c r="E3933">
        <f t="shared" si="314"/>
        <v>2027</v>
      </c>
      <c r="F3933" t="str">
        <f>CONCATENATE(calendar[[#This Row],[Month]],"/",calendar[[#This Row],[Year]])</f>
        <v>10/2027</v>
      </c>
      <c r="G3933">
        <f>WEEKDAY(calendar[[#This Row],[Date]],1)</f>
        <v>5</v>
      </c>
      <c r="H3933" t="str">
        <f>TEXT(calendar[[#This Row],[WeekDay]],"dddd")</f>
        <v>Thursday</v>
      </c>
      <c r="I3933">
        <f>IF((INT(calendar[[#This Row],[Count]]/7)-calendar[[#This Row],[Count]]/7)&lt;0,I3932,I3932+1)</f>
        <v>562</v>
      </c>
      <c r="J3933">
        <f t="shared" si="315"/>
        <v>3931</v>
      </c>
      <c r="K3933">
        <f>IF(calendar[[#This Row],[Month]]&lt;4,1,IF(calendar[[#This Row],[Month]]&lt;7,2,IF(calendar[[#This Row],[Month]]&lt;10,3,4)))</f>
        <v>4</v>
      </c>
      <c r="L3933">
        <f>IFERROR(IF(VLOOKUP(calendar[[#This Row],[Date]],BH!A:A,1,)&lt;&gt;"",1,0),0)</f>
        <v>0</v>
      </c>
      <c r="M3933">
        <f>IFERROR(IF(VLOOKUP(calendar[[#This Row],[Date]],BH!C:C,1,)&lt;&gt;"",1,0),0)</f>
        <v>0</v>
      </c>
      <c r="N3933">
        <f>IFERROR(IF(VLOOKUP(calendar[[#This Row],[Date]],BH!E:E,1,)&lt;&gt;"",1,0),0)</f>
        <v>0</v>
      </c>
      <c r="O3933">
        <f>IFERROR(IF(VLOOKUP(calendar[[#This Row],[Date]],BH!G:G,1,)&lt;&gt;"",1,0),0)</f>
        <v>0</v>
      </c>
      <c r="P3933">
        <f>IF(OR(calendar[[#This Row],[UK_BH]]=1,calendar[[#This Row],[WeekDay]]=1, calendar[[#This Row],[WeekDay]]=7),P3932,P3932+1)</f>
        <v>2787</v>
      </c>
      <c r="Q3933">
        <f>IF(OR(calendar[[#This Row],[FR_BH]]=1,calendar[[#This Row],[WeekDay]]=1, calendar[[#This Row],[WeekDay]]=7),P3932,P3932+1)</f>
        <v>2787</v>
      </c>
      <c r="R3933">
        <f>IF(OR(calendar[[#This Row],[SP_BH]]=1,calendar[[#This Row],[WeekDay]]=1, calendar[[#This Row],[WeekDay]]=7),P3932,P3932+1)</f>
        <v>2787</v>
      </c>
      <c r="S3933">
        <f>IF(OR(calendar[[#This Row],[PT_BH]]=1,calendar[[#This Row],[WeekDay]]=1, calendar[[#This Row],[WeekDay]]=7),P3932,P3932+1)</f>
        <v>2787</v>
      </c>
    </row>
    <row r="3934" spans="1:19" x14ac:dyDescent="0.25">
      <c r="A3934" s="2">
        <v>46668</v>
      </c>
      <c r="B3934" s="1">
        <f t="shared" si="311"/>
        <v>41</v>
      </c>
      <c r="C3934">
        <f t="shared" si="312"/>
        <v>10</v>
      </c>
      <c r="D3934" t="str">
        <f t="shared" si="313"/>
        <v>October</v>
      </c>
      <c r="E3934">
        <f t="shared" si="314"/>
        <v>2027</v>
      </c>
      <c r="F3934" t="str">
        <f>CONCATENATE(calendar[[#This Row],[Month]],"/",calendar[[#This Row],[Year]])</f>
        <v>10/2027</v>
      </c>
      <c r="G3934">
        <f>WEEKDAY(calendar[[#This Row],[Date]],1)</f>
        <v>6</v>
      </c>
      <c r="H3934" t="str">
        <f>TEXT(calendar[[#This Row],[WeekDay]],"dddd")</f>
        <v>Friday</v>
      </c>
      <c r="I3934">
        <f>IF((INT(calendar[[#This Row],[Count]]/7)-calendar[[#This Row],[Count]]/7)&lt;0,I3933,I3933+1)</f>
        <v>562</v>
      </c>
      <c r="J3934">
        <f t="shared" si="315"/>
        <v>3932</v>
      </c>
      <c r="K3934">
        <f>IF(calendar[[#This Row],[Month]]&lt;4,1,IF(calendar[[#This Row],[Month]]&lt;7,2,IF(calendar[[#This Row],[Month]]&lt;10,3,4)))</f>
        <v>4</v>
      </c>
      <c r="L3934">
        <f>IFERROR(IF(VLOOKUP(calendar[[#This Row],[Date]],BH!A:A,1,)&lt;&gt;"",1,0),0)</f>
        <v>0</v>
      </c>
      <c r="M3934">
        <f>IFERROR(IF(VLOOKUP(calendar[[#This Row],[Date]],BH!C:C,1,)&lt;&gt;"",1,0),0)</f>
        <v>0</v>
      </c>
      <c r="N3934">
        <f>IFERROR(IF(VLOOKUP(calendar[[#This Row],[Date]],BH!E:E,1,)&lt;&gt;"",1,0),0)</f>
        <v>0</v>
      </c>
      <c r="O3934">
        <f>IFERROR(IF(VLOOKUP(calendar[[#This Row],[Date]],BH!G:G,1,)&lt;&gt;"",1,0),0)</f>
        <v>0</v>
      </c>
      <c r="P3934">
        <f>IF(OR(calendar[[#This Row],[UK_BH]]=1,calendar[[#This Row],[WeekDay]]=1, calendar[[#This Row],[WeekDay]]=7),P3933,P3933+1)</f>
        <v>2788</v>
      </c>
      <c r="Q3934">
        <f>IF(OR(calendar[[#This Row],[FR_BH]]=1,calendar[[#This Row],[WeekDay]]=1, calendar[[#This Row],[WeekDay]]=7),P3933,P3933+1)</f>
        <v>2788</v>
      </c>
      <c r="R3934">
        <f>IF(OR(calendar[[#This Row],[SP_BH]]=1,calendar[[#This Row],[WeekDay]]=1, calendar[[#This Row],[WeekDay]]=7),P3933,P3933+1)</f>
        <v>2788</v>
      </c>
      <c r="S3934">
        <f>IF(OR(calendar[[#This Row],[PT_BH]]=1,calendar[[#This Row],[WeekDay]]=1, calendar[[#This Row],[WeekDay]]=7),P3933,P3933+1)</f>
        <v>2788</v>
      </c>
    </row>
    <row r="3935" spans="1:19" x14ac:dyDescent="0.25">
      <c r="A3935" s="2">
        <v>46669</v>
      </c>
      <c r="B3935" s="1">
        <f t="shared" si="311"/>
        <v>41</v>
      </c>
      <c r="C3935">
        <f t="shared" si="312"/>
        <v>10</v>
      </c>
      <c r="D3935" t="str">
        <f t="shared" si="313"/>
        <v>October</v>
      </c>
      <c r="E3935">
        <f t="shared" si="314"/>
        <v>2027</v>
      </c>
      <c r="F3935" t="str">
        <f>CONCATENATE(calendar[[#This Row],[Month]],"/",calendar[[#This Row],[Year]])</f>
        <v>10/2027</v>
      </c>
      <c r="G3935">
        <f>WEEKDAY(calendar[[#This Row],[Date]],1)</f>
        <v>7</v>
      </c>
      <c r="H3935" t="str">
        <f>TEXT(calendar[[#This Row],[WeekDay]],"dddd")</f>
        <v>Saturday</v>
      </c>
      <c r="I3935">
        <f>IF((INT(calendar[[#This Row],[Count]]/7)-calendar[[#This Row],[Count]]/7)&lt;0,I3934,I3934+1)</f>
        <v>562</v>
      </c>
      <c r="J3935">
        <f t="shared" si="315"/>
        <v>3933</v>
      </c>
      <c r="K3935">
        <f>IF(calendar[[#This Row],[Month]]&lt;4,1,IF(calendar[[#This Row],[Month]]&lt;7,2,IF(calendar[[#This Row],[Month]]&lt;10,3,4)))</f>
        <v>4</v>
      </c>
      <c r="L3935">
        <f>IFERROR(IF(VLOOKUP(calendar[[#This Row],[Date]],BH!A:A,1,)&lt;&gt;"",1,0),0)</f>
        <v>0</v>
      </c>
      <c r="M3935">
        <f>IFERROR(IF(VLOOKUP(calendar[[#This Row],[Date]],BH!C:C,1,)&lt;&gt;"",1,0),0)</f>
        <v>0</v>
      </c>
      <c r="N3935">
        <f>IFERROR(IF(VLOOKUP(calendar[[#This Row],[Date]],BH!E:E,1,)&lt;&gt;"",1,0),0)</f>
        <v>1</v>
      </c>
      <c r="O3935">
        <f>IFERROR(IF(VLOOKUP(calendar[[#This Row],[Date]],BH!G:G,1,)&lt;&gt;"",1,0),0)</f>
        <v>0</v>
      </c>
      <c r="P3935">
        <f>IF(OR(calendar[[#This Row],[UK_BH]]=1,calendar[[#This Row],[WeekDay]]=1, calendar[[#This Row],[WeekDay]]=7),P3934,P3934+1)</f>
        <v>2788</v>
      </c>
      <c r="Q3935">
        <f>IF(OR(calendar[[#This Row],[FR_BH]]=1,calendar[[#This Row],[WeekDay]]=1, calendar[[#This Row],[WeekDay]]=7),P3934,P3934+1)</f>
        <v>2788</v>
      </c>
      <c r="R3935">
        <f>IF(OR(calendar[[#This Row],[SP_BH]]=1,calendar[[#This Row],[WeekDay]]=1, calendar[[#This Row],[WeekDay]]=7),P3934,P3934+1)</f>
        <v>2788</v>
      </c>
      <c r="S3935">
        <f>IF(OR(calendar[[#This Row],[PT_BH]]=1,calendar[[#This Row],[WeekDay]]=1, calendar[[#This Row],[WeekDay]]=7),P3934,P3934+1)</f>
        <v>2788</v>
      </c>
    </row>
    <row r="3936" spans="1:19" x14ac:dyDescent="0.25">
      <c r="A3936" s="2">
        <v>46670</v>
      </c>
      <c r="B3936" s="1">
        <f t="shared" si="311"/>
        <v>42</v>
      </c>
      <c r="C3936">
        <f t="shared" si="312"/>
        <v>10</v>
      </c>
      <c r="D3936" t="str">
        <f t="shared" si="313"/>
        <v>October</v>
      </c>
      <c r="E3936">
        <f t="shared" si="314"/>
        <v>2027</v>
      </c>
      <c r="F3936" t="str">
        <f>CONCATENATE(calendar[[#This Row],[Month]],"/",calendar[[#This Row],[Year]])</f>
        <v>10/2027</v>
      </c>
      <c r="G3936">
        <f>WEEKDAY(calendar[[#This Row],[Date]],1)</f>
        <v>1</v>
      </c>
      <c r="H3936" t="str">
        <f>TEXT(calendar[[#This Row],[WeekDay]],"dddd")</f>
        <v>Sunday</v>
      </c>
      <c r="I3936">
        <f>IF((INT(calendar[[#This Row],[Count]]/7)-calendar[[#This Row],[Count]]/7)&lt;0,I3935,I3935+1)</f>
        <v>563</v>
      </c>
      <c r="J3936">
        <f t="shared" si="315"/>
        <v>3934</v>
      </c>
      <c r="K3936">
        <f>IF(calendar[[#This Row],[Month]]&lt;4,1,IF(calendar[[#This Row],[Month]]&lt;7,2,IF(calendar[[#This Row],[Month]]&lt;10,3,4)))</f>
        <v>4</v>
      </c>
      <c r="L3936">
        <f>IFERROR(IF(VLOOKUP(calendar[[#This Row],[Date]],BH!A:A,1,)&lt;&gt;"",1,0),0)</f>
        <v>0</v>
      </c>
      <c r="M3936">
        <f>IFERROR(IF(VLOOKUP(calendar[[#This Row],[Date]],BH!C:C,1,)&lt;&gt;"",1,0),0)</f>
        <v>0</v>
      </c>
      <c r="N3936">
        <f>IFERROR(IF(VLOOKUP(calendar[[#This Row],[Date]],BH!E:E,1,)&lt;&gt;"",1,0),0)</f>
        <v>0</v>
      </c>
      <c r="O3936">
        <f>IFERROR(IF(VLOOKUP(calendar[[#This Row],[Date]],BH!G:G,1,)&lt;&gt;"",1,0),0)</f>
        <v>0</v>
      </c>
      <c r="P3936">
        <f>IF(OR(calendar[[#This Row],[UK_BH]]=1,calendar[[#This Row],[WeekDay]]=1, calendar[[#This Row],[WeekDay]]=7),P3935,P3935+1)</f>
        <v>2788</v>
      </c>
      <c r="Q3936">
        <f>IF(OR(calendar[[#This Row],[FR_BH]]=1,calendar[[#This Row],[WeekDay]]=1, calendar[[#This Row],[WeekDay]]=7),P3935,P3935+1)</f>
        <v>2788</v>
      </c>
      <c r="R3936">
        <f>IF(OR(calendar[[#This Row],[SP_BH]]=1,calendar[[#This Row],[WeekDay]]=1, calendar[[#This Row],[WeekDay]]=7),P3935,P3935+1)</f>
        <v>2788</v>
      </c>
      <c r="S3936">
        <f>IF(OR(calendar[[#This Row],[PT_BH]]=1,calendar[[#This Row],[WeekDay]]=1, calendar[[#This Row],[WeekDay]]=7),P3935,P3935+1)</f>
        <v>2788</v>
      </c>
    </row>
    <row r="3937" spans="1:19" x14ac:dyDescent="0.25">
      <c r="A3937" s="2">
        <v>46671</v>
      </c>
      <c r="B3937" s="1">
        <f t="shared" si="311"/>
        <v>42</v>
      </c>
      <c r="C3937">
        <f t="shared" si="312"/>
        <v>10</v>
      </c>
      <c r="D3937" t="str">
        <f t="shared" si="313"/>
        <v>October</v>
      </c>
      <c r="E3937">
        <f t="shared" si="314"/>
        <v>2027</v>
      </c>
      <c r="F3937" t="str">
        <f>CONCATENATE(calendar[[#This Row],[Month]],"/",calendar[[#This Row],[Year]])</f>
        <v>10/2027</v>
      </c>
      <c r="G3937">
        <f>WEEKDAY(calendar[[#This Row],[Date]],1)</f>
        <v>2</v>
      </c>
      <c r="H3937" t="str">
        <f>TEXT(calendar[[#This Row],[WeekDay]],"dddd")</f>
        <v>Monday</v>
      </c>
      <c r="I3937">
        <f>IF((INT(calendar[[#This Row],[Count]]/7)-calendar[[#This Row],[Count]]/7)&lt;0,I3936,I3936+1)</f>
        <v>563</v>
      </c>
      <c r="J3937">
        <f t="shared" si="315"/>
        <v>3935</v>
      </c>
      <c r="K3937">
        <f>IF(calendar[[#This Row],[Month]]&lt;4,1,IF(calendar[[#This Row],[Month]]&lt;7,2,IF(calendar[[#This Row],[Month]]&lt;10,3,4)))</f>
        <v>4</v>
      </c>
      <c r="L3937">
        <f>IFERROR(IF(VLOOKUP(calendar[[#This Row],[Date]],BH!A:A,1,)&lt;&gt;"",1,0),0)</f>
        <v>0</v>
      </c>
      <c r="M3937">
        <f>IFERROR(IF(VLOOKUP(calendar[[#This Row],[Date]],BH!C:C,1,)&lt;&gt;"",1,0),0)</f>
        <v>0</v>
      </c>
      <c r="N3937">
        <f>IFERROR(IF(VLOOKUP(calendar[[#This Row],[Date]],BH!E:E,1,)&lt;&gt;"",1,0),0)</f>
        <v>0</v>
      </c>
      <c r="O3937">
        <f>IFERROR(IF(VLOOKUP(calendar[[#This Row],[Date]],BH!G:G,1,)&lt;&gt;"",1,0),0)</f>
        <v>0</v>
      </c>
      <c r="P3937">
        <f>IF(OR(calendar[[#This Row],[UK_BH]]=1,calendar[[#This Row],[WeekDay]]=1, calendar[[#This Row],[WeekDay]]=7),P3936,P3936+1)</f>
        <v>2789</v>
      </c>
      <c r="Q3937">
        <f>IF(OR(calendar[[#This Row],[FR_BH]]=1,calendar[[#This Row],[WeekDay]]=1, calendar[[#This Row],[WeekDay]]=7),P3936,P3936+1)</f>
        <v>2789</v>
      </c>
      <c r="R3937">
        <f>IF(OR(calendar[[#This Row],[SP_BH]]=1,calendar[[#This Row],[WeekDay]]=1, calendar[[#This Row],[WeekDay]]=7),P3936,P3936+1)</f>
        <v>2789</v>
      </c>
      <c r="S3937">
        <f>IF(OR(calendar[[#This Row],[PT_BH]]=1,calendar[[#This Row],[WeekDay]]=1, calendar[[#This Row],[WeekDay]]=7),P3936,P3936+1)</f>
        <v>2789</v>
      </c>
    </row>
    <row r="3938" spans="1:19" x14ac:dyDescent="0.25">
      <c r="A3938" s="2">
        <v>46672</v>
      </c>
      <c r="B3938" s="1">
        <f t="shared" si="311"/>
        <v>42</v>
      </c>
      <c r="C3938">
        <f t="shared" si="312"/>
        <v>10</v>
      </c>
      <c r="D3938" t="str">
        <f t="shared" si="313"/>
        <v>October</v>
      </c>
      <c r="E3938">
        <f t="shared" si="314"/>
        <v>2027</v>
      </c>
      <c r="F3938" t="str">
        <f>CONCATENATE(calendar[[#This Row],[Month]],"/",calendar[[#This Row],[Year]])</f>
        <v>10/2027</v>
      </c>
      <c r="G3938">
        <f>WEEKDAY(calendar[[#This Row],[Date]],1)</f>
        <v>3</v>
      </c>
      <c r="H3938" t="str">
        <f>TEXT(calendar[[#This Row],[WeekDay]],"dddd")</f>
        <v>Tuesday</v>
      </c>
      <c r="I3938">
        <f>IF((INT(calendar[[#This Row],[Count]]/7)-calendar[[#This Row],[Count]]/7)&lt;0,I3937,I3937+1)</f>
        <v>563</v>
      </c>
      <c r="J3938">
        <f t="shared" si="315"/>
        <v>3936</v>
      </c>
      <c r="K3938">
        <f>IF(calendar[[#This Row],[Month]]&lt;4,1,IF(calendar[[#This Row],[Month]]&lt;7,2,IF(calendar[[#This Row],[Month]]&lt;10,3,4)))</f>
        <v>4</v>
      </c>
      <c r="L3938">
        <f>IFERROR(IF(VLOOKUP(calendar[[#This Row],[Date]],BH!A:A,1,)&lt;&gt;"",1,0),0)</f>
        <v>0</v>
      </c>
      <c r="M3938">
        <f>IFERROR(IF(VLOOKUP(calendar[[#This Row],[Date]],BH!C:C,1,)&lt;&gt;"",1,0),0)</f>
        <v>0</v>
      </c>
      <c r="N3938">
        <f>IFERROR(IF(VLOOKUP(calendar[[#This Row],[Date]],BH!E:E,1,)&lt;&gt;"",1,0),0)</f>
        <v>1</v>
      </c>
      <c r="O3938">
        <f>IFERROR(IF(VLOOKUP(calendar[[#This Row],[Date]],BH!G:G,1,)&lt;&gt;"",1,0),0)</f>
        <v>0</v>
      </c>
      <c r="P3938">
        <f>IF(OR(calendar[[#This Row],[UK_BH]]=1,calendar[[#This Row],[WeekDay]]=1, calendar[[#This Row],[WeekDay]]=7),P3937,P3937+1)</f>
        <v>2790</v>
      </c>
      <c r="Q3938">
        <f>IF(OR(calendar[[#This Row],[FR_BH]]=1,calendar[[#This Row],[WeekDay]]=1, calendar[[#This Row],[WeekDay]]=7),P3937,P3937+1)</f>
        <v>2790</v>
      </c>
      <c r="R3938">
        <f>IF(OR(calendar[[#This Row],[SP_BH]]=1,calendar[[#This Row],[WeekDay]]=1, calendar[[#This Row],[WeekDay]]=7),P3937,P3937+1)</f>
        <v>2789</v>
      </c>
      <c r="S3938">
        <f>IF(OR(calendar[[#This Row],[PT_BH]]=1,calendar[[#This Row],[WeekDay]]=1, calendar[[#This Row],[WeekDay]]=7),P3937,P3937+1)</f>
        <v>2790</v>
      </c>
    </row>
    <row r="3939" spans="1:19" x14ac:dyDescent="0.25">
      <c r="A3939" s="2">
        <v>46673</v>
      </c>
      <c r="B3939" s="1">
        <f t="shared" si="311"/>
        <v>42</v>
      </c>
      <c r="C3939">
        <f t="shared" si="312"/>
        <v>10</v>
      </c>
      <c r="D3939" t="str">
        <f t="shared" si="313"/>
        <v>October</v>
      </c>
      <c r="E3939">
        <f t="shared" si="314"/>
        <v>2027</v>
      </c>
      <c r="F3939" t="str">
        <f>CONCATENATE(calendar[[#This Row],[Month]],"/",calendar[[#This Row],[Year]])</f>
        <v>10/2027</v>
      </c>
      <c r="G3939">
        <f>WEEKDAY(calendar[[#This Row],[Date]],1)</f>
        <v>4</v>
      </c>
      <c r="H3939" t="str">
        <f>TEXT(calendar[[#This Row],[WeekDay]],"dddd")</f>
        <v>Wednesday</v>
      </c>
      <c r="I3939">
        <f>IF((INT(calendar[[#This Row],[Count]]/7)-calendar[[#This Row],[Count]]/7)&lt;0,I3938,I3938+1)</f>
        <v>563</v>
      </c>
      <c r="J3939">
        <f t="shared" si="315"/>
        <v>3937</v>
      </c>
      <c r="K3939">
        <f>IF(calendar[[#This Row],[Month]]&lt;4,1,IF(calendar[[#This Row],[Month]]&lt;7,2,IF(calendar[[#This Row],[Month]]&lt;10,3,4)))</f>
        <v>4</v>
      </c>
      <c r="L3939">
        <f>IFERROR(IF(VLOOKUP(calendar[[#This Row],[Date]],BH!A:A,1,)&lt;&gt;"",1,0),0)</f>
        <v>0</v>
      </c>
      <c r="M3939">
        <f>IFERROR(IF(VLOOKUP(calendar[[#This Row],[Date]],BH!C:C,1,)&lt;&gt;"",1,0),0)</f>
        <v>0</v>
      </c>
      <c r="N3939">
        <f>IFERROR(IF(VLOOKUP(calendar[[#This Row],[Date]],BH!E:E,1,)&lt;&gt;"",1,0),0)</f>
        <v>0</v>
      </c>
      <c r="O3939">
        <f>IFERROR(IF(VLOOKUP(calendar[[#This Row],[Date]],BH!G:G,1,)&lt;&gt;"",1,0),0)</f>
        <v>0</v>
      </c>
      <c r="P3939">
        <f>IF(OR(calendar[[#This Row],[UK_BH]]=1,calendar[[#This Row],[WeekDay]]=1, calendar[[#This Row],[WeekDay]]=7),P3938,P3938+1)</f>
        <v>2791</v>
      </c>
      <c r="Q3939">
        <f>IF(OR(calendar[[#This Row],[FR_BH]]=1,calendar[[#This Row],[WeekDay]]=1, calendar[[#This Row],[WeekDay]]=7),P3938,P3938+1)</f>
        <v>2791</v>
      </c>
      <c r="R3939">
        <f>IF(OR(calendar[[#This Row],[SP_BH]]=1,calendar[[#This Row],[WeekDay]]=1, calendar[[#This Row],[WeekDay]]=7),P3938,P3938+1)</f>
        <v>2791</v>
      </c>
      <c r="S3939">
        <f>IF(OR(calendar[[#This Row],[PT_BH]]=1,calendar[[#This Row],[WeekDay]]=1, calendar[[#This Row],[WeekDay]]=7),P3938,P3938+1)</f>
        <v>2791</v>
      </c>
    </row>
    <row r="3940" spans="1:19" x14ac:dyDescent="0.25">
      <c r="A3940" s="2">
        <v>46674</v>
      </c>
      <c r="B3940" s="1">
        <f t="shared" si="311"/>
        <v>42</v>
      </c>
      <c r="C3940">
        <f t="shared" si="312"/>
        <v>10</v>
      </c>
      <c r="D3940" t="str">
        <f t="shared" si="313"/>
        <v>October</v>
      </c>
      <c r="E3940">
        <f t="shared" si="314"/>
        <v>2027</v>
      </c>
      <c r="F3940" t="str">
        <f>CONCATENATE(calendar[[#This Row],[Month]],"/",calendar[[#This Row],[Year]])</f>
        <v>10/2027</v>
      </c>
      <c r="G3940">
        <f>WEEKDAY(calendar[[#This Row],[Date]],1)</f>
        <v>5</v>
      </c>
      <c r="H3940" t="str">
        <f>TEXT(calendar[[#This Row],[WeekDay]],"dddd")</f>
        <v>Thursday</v>
      </c>
      <c r="I3940">
        <f>IF((INT(calendar[[#This Row],[Count]]/7)-calendar[[#This Row],[Count]]/7)&lt;0,I3939,I3939+1)</f>
        <v>563</v>
      </c>
      <c r="J3940">
        <f t="shared" si="315"/>
        <v>3938</v>
      </c>
      <c r="K3940">
        <f>IF(calendar[[#This Row],[Month]]&lt;4,1,IF(calendar[[#This Row],[Month]]&lt;7,2,IF(calendar[[#This Row],[Month]]&lt;10,3,4)))</f>
        <v>4</v>
      </c>
      <c r="L3940">
        <f>IFERROR(IF(VLOOKUP(calendar[[#This Row],[Date]],BH!A:A,1,)&lt;&gt;"",1,0),0)</f>
        <v>0</v>
      </c>
      <c r="M3940">
        <f>IFERROR(IF(VLOOKUP(calendar[[#This Row],[Date]],BH!C:C,1,)&lt;&gt;"",1,0),0)</f>
        <v>0</v>
      </c>
      <c r="N3940">
        <f>IFERROR(IF(VLOOKUP(calendar[[#This Row],[Date]],BH!E:E,1,)&lt;&gt;"",1,0),0)</f>
        <v>0</v>
      </c>
      <c r="O3940">
        <f>IFERROR(IF(VLOOKUP(calendar[[#This Row],[Date]],BH!G:G,1,)&lt;&gt;"",1,0),0)</f>
        <v>0</v>
      </c>
      <c r="P3940">
        <f>IF(OR(calendar[[#This Row],[UK_BH]]=1,calendar[[#This Row],[WeekDay]]=1, calendar[[#This Row],[WeekDay]]=7),P3939,P3939+1)</f>
        <v>2792</v>
      </c>
      <c r="Q3940">
        <f>IF(OR(calendar[[#This Row],[FR_BH]]=1,calendar[[#This Row],[WeekDay]]=1, calendar[[#This Row],[WeekDay]]=7),P3939,P3939+1)</f>
        <v>2792</v>
      </c>
      <c r="R3940">
        <f>IF(OR(calendar[[#This Row],[SP_BH]]=1,calendar[[#This Row],[WeekDay]]=1, calendar[[#This Row],[WeekDay]]=7),P3939,P3939+1)</f>
        <v>2792</v>
      </c>
      <c r="S3940">
        <f>IF(OR(calendar[[#This Row],[PT_BH]]=1,calendar[[#This Row],[WeekDay]]=1, calendar[[#This Row],[WeekDay]]=7),P3939,P3939+1)</f>
        <v>2792</v>
      </c>
    </row>
    <row r="3941" spans="1:19" x14ac:dyDescent="0.25">
      <c r="A3941" s="2">
        <v>46675</v>
      </c>
      <c r="B3941" s="1">
        <f t="shared" si="311"/>
        <v>42</v>
      </c>
      <c r="C3941">
        <f t="shared" si="312"/>
        <v>10</v>
      </c>
      <c r="D3941" t="str">
        <f t="shared" si="313"/>
        <v>October</v>
      </c>
      <c r="E3941">
        <f t="shared" si="314"/>
        <v>2027</v>
      </c>
      <c r="F3941" t="str">
        <f>CONCATENATE(calendar[[#This Row],[Month]],"/",calendar[[#This Row],[Year]])</f>
        <v>10/2027</v>
      </c>
      <c r="G3941">
        <f>WEEKDAY(calendar[[#This Row],[Date]],1)</f>
        <v>6</v>
      </c>
      <c r="H3941" t="str">
        <f>TEXT(calendar[[#This Row],[WeekDay]],"dddd")</f>
        <v>Friday</v>
      </c>
      <c r="I3941">
        <f>IF((INT(calendar[[#This Row],[Count]]/7)-calendar[[#This Row],[Count]]/7)&lt;0,I3940,I3940+1)</f>
        <v>563</v>
      </c>
      <c r="J3941">
        <f t="shared" si="315"/>
        <v>3939</v>
      </c>
      <c r="K3941">
        <f>IF(calendar[[#This Row],[Month]]&lt;4,1,IF(calendar[[#This Row],[Month]]&lt;7,2,IF(calendar[[#This Row],[Month]]&lt;10,3,4)))</f>
        <v>4</v>
      </c>
      <c r="L3941">
        <f>IFERROR(IF(VLOOKUP(calendar[[#This Row],[Date]],BH!A:A,1,)&lt;&gt;"",1,0),0)</f>
        <v>0</v>
      </c>
      <c r="M3941">
        <f>IFERROR(IF(VLOOKUP(calendar[[#This Row],[Date]],BH!C:C,1,)&lt;&gt;"",1,0),0)</f>
        <v>0</v>
      </c>
      <c r="N3941">
        <f>IFERROR(IF(VLOOKUP(calendar[[#This Row],[Date]],BH!E:E,1,)&lt;&gt;"",1,0),0)</f>
        <v>0</v>
      </c>
      <c r="O3941">
        <f>IFERROR(IF(VLOOKUP(calendar[[#This Row],[Date]],BH!G:G,1,)&lt;&gt;"",1,0),0)</f>
        <v>0</v>
      </c>
      <c r="P3941">
        <f>IF(OR(calendar[[#This Row],[UK_BH]]=1,calendar[[#This Row],[WeekDay]]=1, calendar[[#This Row],[WeekDay]]=7),P3940,P3940+1)</f>
        <v>2793</v>
      </c>
      <c r="Q3941">
        <f>IF(OR(calendar[[#This Row],[FR_BH]]=1,calendar[[#This Row],[WeekDay]]=1, calendar[[#This Row],[WeekDay]]=7),P3940,P3940+1)</f>
        <v>2793</v>
      </c>
      <c r="R3941">
        <f>IF(OR(calendar[[#This Row],[SP_BH]]=1,calendar[[#This Row],[WeekDay]]=1, calendar[[#This Row],[WeekDay]]=7),P3940,P3940+1)</f>
        <v>2793</v>
      </c>
      <c r="S3941">
        <f>IF(OR(calendar[[#This Row],[PT_BH]]=1,calendar[[#This Row],[WeekDay]]=1, calendar[[#This Row],[WeekDay]]=7),P3940,P3940+1)</f>
        <v>2793</v>
      </c>
    </row>
    <row r="3942" spans="1:19" x14ac:dyDescent="0.25">
      <c r="A3942" s="2">
        <v>46676</v>
      </c>
      <c r="B3942" s="1">
        <f t="shared" si="311"/>
        <v>42</v>
      </c>
      <c r="C3942">
        <f t="shared" si="312"/>
        <v>10</v>
      </c>
      <c r="D3942" t="str">
        <f t="shared" si="313"/>
        <v>October</v>
      </c>
      <c r="E3942">
        <f t="shared" si="314"/>
        <v>2027</v>
      </c>
      <c r="F3942" t="str">
        <f>CONCATENATE(calendar[[#This Row],[Month]],"/",calendar[[#This Row],[Year]])</f>
        <v>10/2027</v>
      </c>
      <c r="G3942">
        <f>WEEKDAY(calendar[[#This Row],[Date]],1)</f>
        <v>7</v>
      </c>
      <c r="H3942" t="str">
        <f>TEXT(calendar[[#This Row],[WeekDay]],"dddd")</f>
        <v>Saturday</v>
      </c>
      <c r="I3942">
        <f>IF((INT(calendar[[#This Row],[Count]]/7)-calendar[[#This Row],[Count]]/7)&lt;0,I3941,I3941+1)</f>
        <v>563</v>
      </c>
      <c r="J3942">
        <f t="shared" si="315"/>
        <v>3940</v>
      </c>
      <c r="K3942">
        <f>IF(calendar[[#This Row],[Month]]&lt;4,1,IF(calendar[[#This Row],[Month]]&lt;7,2,IF(calendar[[#This Row],[Month]]&lt;10,3,4)))</f>
        <v>4</v>
      </c>
      <c r="L3942">
        <f>IFERROR(IF(VLOOKUP(calendar[[#This Row],[Date]],BH!A:A,1,)&lt;&gt;"",1,0),0)</f>
        <v>0</v>
      </c>
      <c r="M3942">
        <f>IFERROR(IF(VLOOKUP(calendar[[#This Row],[Date]],BH!C:C,1,)&lt;&gt;"",1,0),0)</f>
        <v>0</v>
      </c>
      <c r="N3942">
        <f>IFERROR(IF(VLOOKUP(calendar[[#This Row],[Date]],BH!E:E,1,)&lt;&gt;"",1,0),0)</f>
        <v>0</v>
      </c>
      <c r="O3942">
        <f>IFERROR(IF(VLOOKUP(calendar[[#This Row],[Date]],BH!G:G,1,)&lt;&gt;"",1,0),0)</f>
        <v>0</v>
      </c>
      <c r="P3942">
        <f>IF(OR(calendar[[#This Row],[UK_BH]]=1,calendar[[#This Row],[WeekDay]]=1, calendar[[#This Row],[WeekDay]]=7),P3941,P3941+1)</f>
        <v>2793</v>
      </c>
      <c r="Q3942">
        <f>IF(OR(calendar[[#This Row],[FR_BH]]=1,calendar[[#This Row],[WeekDay]]=1, calendar[[#This Row],[WeekDay]]=7),P3941,P3941+1)</f>
        <v>2793</v>
      </c>
      <c r="R3942">
        <f>IF(OR(calendar[[#This Row],[SP_BH]]=1,calendar[[#This Row],[WeekDay]]=1, calendar[[#This Row],[WeekDay]]=7),P3941,P3941+1)</f>
        <v>2793</v>
      </c>
      <c r="S3942">
        <f>IF(OR(calendar[[#This Row],[PT_BH]]=1,calendar[[#This Row],[WeekDay]]=1, calendar[[#This Row],[WeekDay]]=7),P3941,P3941+1)</f>
        <v>2793</v>
      </c>
    </row>
    <row r="3943" spans="1:19" x14ac:dyDescent="0.25">
      <c r="A3943" s="2">
        <v>46677</v>
      </c>
      <c r="B3943" s="1">
        <f t="shared" si="311"/>
        <v>43</v>
      </c>
      <c r="C3943">
        <f t="shared" si="312"/>
        <v>10</v>
      </c>
      <c r="D3943" t="str">
        <f t="shared" si="313"/>
        <v>October</v>
      </c>
      <c r="E3943">
        <f t="shared" si="314"/>
        <v>2027</v>
      </c>
      <c r="F3943" t="str">
        <f>CONCATENATE(calendar[[#This Row],[Month]],"/",calendar[[#This Row],[Year]])</f>
        <v>10/2027</v>
      </c>
      <c r="G3943">
        <f>WEEKDAY(calendar[[#This Row],[Date]],1)</f>
        <v>1</v>
      </c>
      <c r="H3943" t="str">
        <f>TEXT(calendar[[#This Row],[WeekDay]],"dddd")</f>
        <v>Sunday</v>
      </c>
      <c r="I3943">
        <f>IF((INT(calendar[[#This Row],[Count]]/7)-calendar[[#This Row],[Count]]/7)&lt;0,I3942,I3942+1)</f>
        <v>564</v>
      </c>
      <c r="J3943">
        <f t="shared" si="315"/>
        <v>3941</v>
      </c>
      <c r="K3943">
        <f>IF(calendar[[#This Row],[Month]]&lt;4,1,IF(calendar[[#This Row],[Month]]&lt;7,2,IF(calendar[[#This Row],[Month]]&lt;10,3,4)))</f>
        <v>4</v>
      </c>
      <c r="L3943">
        <f>IFERROR(IF(VLOOKUP(calendar[[#This Row],[Date]],BH!A:A,1,)&lt;&gt;"",1,0),0)</f>
        <v>0</v>
      </c>
      <c r="M3943">
        <f>IFERROR(IF(VLOOKUP(calendar[[#This Row],[Date]],BH!C:C,1,)&lt;&gt;"",1,0),0)</f>
        <v>0</v>
      </c>
      <c r="N3943">
        <f>IFERROR(IF(VLOOKUP(calendar[[#This Row],[Date]],BH!E:E,1,)&lt;&gt;"",1,0),0)</f>
        <v>0</v>
      </c>
      <c r="O3943">
        <f>IFERROR(IF(VLOOKUP(calendar[[#This Row],[Date]],BH!G:G,1,)&lt;&gt;"",1,0),0)</f>
        <v>0</v>
      </c>
      <c r="P3943">
        <f>IF(OR(calendar[[#This Row],[UK_BH]]=1,calendar[[#This Row],[WeekDay]]=1, calendar[[#This Row],[WeekDay]]=7),P3942,P3942+1)</f>
        <v>2793</v>
      </c>
      <c r="Q3943">
        <f>IF(OR(calendar[[#This Row],[FR_BH]]=1,calendar[[#This Row],[WeekDay]]=1, calendar[[#This Row],[WeekDay]]=7),P3942,P3942+1)</f>
        <v>2793</v>
      </c>
      <c r="R3943">
        <f>IF(OR(calendar[[#This Row],[SP_BH]]=1,calendar[[#This Row],[WeekDay]]=1, calendar[[#This Row],[WeekDay]]=7),P3942,P3942+1)</f>
        <v>2793</v>
      </c>
      <c r="S3943">
        <f>IF(OR(calendar[[#This Row],[PT_BH]]=1,calendar[[#This Row],[WeekDay]]=1, calendar[[#This Row],[WeekDay]]=7),P3942,P3942+1)</f>
        <v>2793</v>
      </c>
    </row>
    <row r="3944" spans="1:19" x14ac:dyDescent="0.25">
      <c r="A3944" s="2">
        <v>46678</v>
      </c>
      <c r="B3944" s="1">
        <f t="shared" si="311"/>
        <v>43</v>
      </c>
      <c r="C3944">
        <f t="shared" si="312"/>
        <v>10</v>
      </c>
      <c r="D3944" t="str">
        <f t="shared" si="313"/>
        <v>October</v>
      </c>
      <c r="E3944">
        <f t="shared" si="314"/>
        <v>2027</v>
      </c>
      <c r="F3944" t="str">
        <f>CONCATENATE(calendar[[#This Row],[Month]],"/",calendar[[#This Row],[Year]])</f>
        <v>10/2027</v>
      </c>
      <c r="G3944">
        <f>WEEKDAY(calendar[[#This Row],[Date]],1)</f>
        <v>2</v>
      </c>
      <c r="H3944" t="str">
        <f>TEXT(calendar[[#This Row],[WeekDay]],"dddd")</f>
        <v>Monday</v>
      </c>
      <c r="I3944">
        <f>IF((INT(calendar[[#This Row],[Count]]/7)-calendar[[#This Row],[Count]]/7)&lt;0,I3943,I3943+1)</f>
        <v>564</v>
      </c>
      <c r="J3944">
        <f t="shared" si="315"/>
        <v>3942</v>
      </c>
      <c r="K3944">
        <f>IF(calendar[[#This Row],[Month]]&lt;4,1,IF(calendar[[#This Row],[Month]]&lt;7,2,IF(calendar[[#This Row],[Month]]&lt;10,3,4)))</f>
        <v>4</v>
      </c>
      <c r="L3944">
        <f>IFERROR(IF(VLOOKUP(calendar[[#This Row],[Date]],BH!A:A,1,)&lt;&gt;"",1,0),0)</f>
        <v>0</v>
      </c>
      <c r="M3944">
        <f>IFERROR(IF(VLOOKUP(calendar[[#This Row],[Date]],BH!C:C,1,)&lt;&gt;"",1,0),0)</f>
        <v>0</v>
      </c>
      <c r="N3944">
        <f>IFERROR(IF(VLOOKUP(calendar[[#This Row],[Date]],BH!E:E,1,)&lt;&gt;"",1,0),0)</f>
        <v>0</v>
      </c>
      <c r="O3944">
        <f>IFERROR(IF(VLOOKUP(calendar[[#This Row],[Date]],BH!G:G,1,)&lt;&gt;"",1,0),0)</f>
        <v>0</v>
      </c>
      <c r="P3944">
        <f>IF(OR(calendar[[#This Row],[UK_BH]]=1,calendar[[#This Row],[WeekDay]]=1, calendar[[#This Row],[WeekDay]]=7),P3943,P3943+1)</f>
        <v>2794</v>
      </c>
      <c r="Q3944">
        <f>IF(OR(calendar[[#This Row],[FR_BH]]=1,calendar[[#This Row],[WeekDay]]=1, calendar[[#This Row],[WeekDay]]=7),P3943,P3943+1)</f>
        <v>2794</v>
      </c>
      <c r="R3944">
        <f>IF(OR(calendar[[#This Row],[SP_BH]]=1,calendar[[#This Row],[WeekDay]]=1, calendar[[#This Row],[WeekDay]]=7),P3943,P3943+1)</f>
        <v>2794</v>
      </c>
      <c r="S3944">
        <f>IF(OR(calendar[[#This Row],[PT_BH]]=1,calendar[[#This Row],[WeekDay]]=1, calendar[[#This Row],[WeekDay]]=7),P3943,P3943+1)</f>
        <v>2794</v>
      </c>
    </row>
    <row r="3945" spans="1:19" x14ac:dyDescent="0.25">
      <c r="A3945" s="2">
        <v>46679</v>
      </c>
      <c r="B3945" s="1">
        <f t="shared" si="311"/>
        <v>43</v>
      </c>
      <c r="C3945">
        <f t="shared" si="312"/>
        <v>10</v>
      </c>
      <c r="D3945" t="str">
        <f t="shared" si="313"/>
        <v>October</v>
      </c>
      <c r="E3945">
        <f t="shared" si="314"/>
        <v>2027</v>
      </c>
      <c r="F3945" t="str">
        <f>CONCATENATE(calendar[[#This Row],[Month]],"/",calendar[[#This Row],[Year]])</f>
        <v>10/2027</v>
      </c>
      <c r="G3945">
        <f>WEEKDAY(calendar[[#This Row],[Date]],1)</f>
        <v>3</v>
      </c>
      <c r="H3945" t="str">
        <f>TEXT(calendar[[#This Row],[WeekDay]],"dddd")</f>
        <v>Tuesday</v>
      </c>
      <c r="I3945">
        <f>IF((INT(calendar[[#This Row],[Count]]/7)-calendar[[#This Row],[Count]]/7)&lt;0,I3944,I3944+1)</f>
        <v>564</v>
      </c>
      <c r="J3945">
        <f t="shared" si="315"/>
        <v>3943</v>
      </c>
      <c r="K3945">
        <f>IF(calendar[[#This Row],[Month]]&lt;4,1,IF(calendar[[#This Row],[Month]]&lt;7,2,IF(calendar[[#This Row],[Month]]&lt;10,3,4)))</f>
        <v>4</v>
      </c>
      <c r="L3945">
        <f>IFERROR(IF(VLOOKUP(calendar[[#This Row],[Date]],BH!A:A,1,)&lt;&gt;"",1,0),0)</f>
        <v>0</v>
      </c>
      <c r="M3945">
        <f>IFERROR(IF(VLOOKUP(calendar[[#This Row],[Date]],BH!C:C,1,)&lt;&gt;"",1,0),0)</f>
        <v>0</v>
      </c>
      <c r="N3945">
        <f>IFERROR(IF(VLOOKUP(calendar[[#This Row],[Date]],BH!E:E,1,)&lt;&gt;"",1,0),0)</f>
        <v>0</v>
      </c>
      <c r="O3945">
        <f>IFERROR(IF(VLOOKUP(calendar[[#This Row],[Date]],BH!G:G,1,)&lt;&gt;"",1,0),0)</f>
        <v>0</v>
      </c>
      <c r="P3945">
        <f>IF(OR(calendar[[#This Row],[UK_BH]]=1,calendar[[#This Row],[WeekDay]]=1, calendar[[#This Row],[WeekDay]]=7),P3944,P3944+1)</f>
        <v>2795</v>
      </c>
      <c r="Q3945">
        <f>IF(OR(calendar[[#This Row],[FR_BH]]=1,calendar[[#This Row],[WeekDay]]=1, calendar[[#This Row],[WeekDay]]=7),P3944,P3944+1)</f>
        <v>2795</v>
      </c>
      <c r="R3945">
        <f>IF(OR(calendar[[#This Row],[SP_BH]]=1,calendar[[#This Row],[WeekDay]]=1, calendar[[#This Row],[WeekDay]]=7),P3944,P3944+1)</f>
        <v>2795</v>
      </c>
      <c r="S3945">
        <f>IF(OR(calendar[[#This Row],[PT_BH]]=1,calendar[[#This Row],[WeekDay]]=1, calendar[[#This Row],[WeekDay]]=7),P3944,P3944+1)</f>
        <v>2795</v>
      </c>
    </row>
    <row r="3946" spans="1:19" x14ac:dyDescent="0.25">
      <c r="A3946" s="2">
        <v>46680</v>
      </c>
      <c r="B3946" s="1">
        <f t="shared" si="311"/>
        <v>43</v>
      </c>
      <c r="C3946">
        <f t="shared" si="312"/>
        <v>10</v>
      </c>
      <c r="D3946" t="str">
        <f t="shared" si="313"/>
        <v>October</v>
      </c>
      <c r="E3946">
        <f t="shared" si="314"/>
        <v>2027</v>
      </c>
      <c r="F3946" t="str">
        <f>CONCATENATE(calendar[[#This Row],[Month]],"/",calendar[[#This Row],[Year]])</f>
        <v>10/2027</v>
      </c>
      <c r="G3946">
        <f>WEEKDAY(calendar[[#This Row],[Date]],1)</f>
        <v>4</v>
      </c>
      <c r="H3946" t="str">
        <f>TEXT(calendar[[#This Row],[WeekDay]],"dddd")</f>
        <v>Wednesday</v>
      </c>
      <c r="I3946">
        <f>IF((INT(calendar[[#This Row],[Count]]/7)-calendar[[#This Row],[Count]]/7)&lt;0,I3945,I3945+1)</f>
        <v>564</v>
      </c>
      <c r="J3946">
        <f t="shared" si="315"/>
        <v>3944</v>
      </c>
      <c r="K3946">
        <f>IF(calendar[[#This Row],[Month]]&lt;4,1,IF(calendar[[#This Row],[Month]]&lt;7,2,IF(calendar[[#This Row],[Month]]&lt;10,3,4)))</f>
        <v>4</v>
      </c>
      <c r="L3946">
        <f>IFERROR(IF(VLOOKUP(calendar[[#This Row],[Date]],BH!A:A,1,)&lt;&gt;"",1,0),0)</f>
        <v>0</v>
      </c>
      <c r="M3946">
        <f>IFERROR(IF(VLOOKUP(calendar[[#This Row],[Date]],BH!C:C,1,)&lt;&gt;"",1,0),0)</f>
        <v>0</v>
      </c>
      <c r="N3946">
        <f>IFERROR(IF(VLOOKUP(calendar[[#This Row],[Date]],BH!E:E,1,)&lt;&gt;"",1,0),0)</f>
        <v>0</v>
      </c>
      <c r="O3946">
        <f>IFERROR(IF(VLOOKUP(calendar[[#This Row],[Date]],BH!G:G,1,)&lt;&gt;"",1,0),0)</f>
        <v>0</v>
      </c>
      <c r="P3946">
        <f>IF(OR(calendar[[#This Row],[UK_BH]]=1,calendar[[#This Row],[WeekDay]]=1, calendar[[#This Row],[WeekDay]]=7),P3945,P3945+1)</f>
        <v>2796</v>
      </c>
      <c r="Q3946">
        <f>IF(OR(calendar[[#This Row],[FR_BH]]=1,calendar[[#This Row],[WeekDay]]=1, calendar[[#This Row],[WeekDay]]=7),P3945,P3945+1)</f>
        <v>2796</v>
      </c>
      <c r="R3946">
        <f>IF(OR(calendar[[#This Row],[SP_BH]]=1,calendar[[#This Row],[WeekDay]]=1, calendar[[#This Row],[WeekDay]]=7),P3945,P3945+1)</f>
        <v>2796</v>
      </c>
      <c r="S3946">
        <f>IF(OR(calendar[[#This Row],[PT_BH]]=1,calendar[[#This Row],[WeekDay]]=1, calendar[[#This Row],[WeekDay]]=7),P3945,P3945+1)</f>
        <v>2796</v>
      </c>
    </row>
    <row r="3947" spans="1:19" x14ac:dyDescent="0.25">
      <c r="A3947" s="2">
        <v>46681</v>
      </c>
      <c r="B3947" s="1">
        <f t="shared" si="311"/>
        <v>43</v>
      </c>
      <c r="C3947">
        <f t="shared" si="312"/>
        <v>10</v>
      </c>
      <c r="D3947" t="str">
        <f t="shared" si="313"/>
        <v>October</v>
      </c>
      <c r="E3947">
        <f t="shared" si="314"/>
        <v>2027</v>
      </c>
      <c r="F3947" t="str">
        <f>CONCATENATE(calendar[[#This Row],[Month]],"/",calendar[[#This Row],[Year]])</f>
        <v>10/2027</v>
      </c>
      <c r="G3947">
        <f>WEEKDAY(calendar[[#This Row],[Date]],1)</f>
        <v>5</v>
      </c>
      <c r="H3947" t="str">
        <f>TEXT(calendar[[#This Row],[WeekDay]],"dddd")</f>
        <v>Thursday</v>
      </c>
      <c r="I3947">
        <f>IF((INT(calendar[[#This Row],[Count]]/7)-calendar[[#This Row],[Count]]/7)&lt;0,I3946,I3946+1)</f>
        <v>564</v>
      </c>
      <c r="J3947">
        <f t="shared" si="315"/>
        <v>3945</v>
      </c>
      <c r="K3947">
        <f>IF(calendar[[#This Row],[Month]]&lt;4,1,IF(calendar[[#This Row],[Month]]&lt;7,2,IF(calendar[[#This Row],[Month]]&lt;10,3,4)))</f>
        <v>4</v>
      </c>
      <c r="L3947">
        <f>IFERROR(IF(VLOOKUP(calendar[[#This Row],[Date]],BH!A:A,1,)&lt;&gt;"",1,0),0)</f>
        <v>0</v>
      </c>
      <c r="M3947">
        <f>IFERROR(IF(VLOOKUP(calendar[[#This Row],[Date]],BH!C:C,1,)&lt;&gt;"",1,0),0)</f>
        <v>0</v>
      </c>
      <c r="N3947">
        <f>IFERROR(IF(VLOOKUP(calendar[[#This Row],[Date]],BH!E:E,1,)&lt;&gt;"",1,0),0)</f>
        <v>0</v>
      </c>
      <c r="O3947">
        <f>IFERROR(IF(VLOOKUP(calendar[[#This Row],[Date]],BH!G:G,1,)&lt;&gt;"",1,0),0)</f>
        <v>0</v>
      </c>
      <c r="P3947">
        <f>IF(OR(calendar[[#This Row],[UK_BH]]=1,calendar[[#This Row],[WeekDay]]=1, calendar[[#This Row],[WeekDay]]=7),P3946,P3946+1)</f>
        <v>2797</v>
      </c>
      <c r="Q3947">
        <f>IF(OR(calendar[[#This Row],[FR_BH]]=1,calendar[[#This Row],[WeekDay]]=1, calendar[[#This Row],[WeekDay]]=7),P3946,P3946+1)</f>
        <v>2797</v>
      </c>
      <c r="R3947">
        <f>IF(OR(calendar[[#This Row],[SP_BH]]=1,calendar[[#This Row],[WeekDay]]=1, calendar[[#This Row],[WeekDay]]=7),P3946,P3946+1)</f>
        <v>2797</v>
      </c>
      <c r="S3947">
        <f>IF(OR(calendar[[#This Row],[PT_BH]]=1,calendar[[#This Row],[WeekDay]]=1, calendar[[#This Row],[WeekDay]]=7),P3946,P3946+1)</f>
        <v>2797</v>
      </c>
    </row>
    <row r="3948" spans="1:19" x14ac:dyDescent="0.25">
      <c r="A3948" s="2">
        <v>46682</v>
      </c>
      <c r="B3948" s="1">
        <f t="shared" si="311"/>
        <v>43</v>
      </c>
      <c r="C3948">
        <f t="shared" si="312"/>
        <v>10</v>
      </c>
      <c r="D3948" t="str">
        <f t="shared" si="313"/>
        <v>October</v>
      </c>
      <c r="E3948">
        <f t="shared" si="314"/>
        <v>2027</v>
      </c>
      <c r="F3948" t="str">
        <f>CONCATENATE(calendar[[#This Row],[Month]],"/",calendar[[#This Row],[Year]])</f>
        <v>10/2027</v>
      </c>
      <c r="G3948">
        <f>WEEKDAY(calendar[[#This Row],[Date]],1)</f>
        <v>6</v>
      </c>
      <c r="H3948" t="str">
        <f>TEXT(calendar[[#This Row],[WeekDay]],"dddd")</f>
        <v>Friday</v>
      </c>
      <c r="I3948">
        <f>IF((INT(calendar[[#This Row],[Count]]/7)-calendar[[#This Row],[Count]]/7)&lt;0,I3947,I3947+1)</f>
        <v>564</v>
      </c>
      <c r="J3948">
        <f t="shared" si="315"/>
        <v>3946</v>
      </c>
      <c r="K3948">
        <f>IF(calendar[[#This Row],[Month]]&lt;4,1,IF(calendar[[#This Row],[Month]]&lt;7,2,IF(calendar[[#This Row],[Month]]&lt;10,3,4)))</f>
        <v>4</v>
      </c>
      <c r="L3948">
        <f>IFERROR(IF(VLOOKUP(calendar[[#This Row],[Date]],BH!A:A,1,)&lt;&gt;"",1,0),0)</f>
        <v>0</v>
      </c>
      <c r="M3948">
        <f>IFERROR(IF(VLOOKUP(calendar[[#This Row],[Date]],BH!C:C,1,)&lt;&gt;"",1,0),0)</f>
        <v>0</v>
      </c>
      <c r="N3948">
        <f>IFERROR(IF(VLOOKUP(calendar[[#This Row],[Date]],BH!E:E,1,)&lt;&gt;"",1,0),0)</f>
        <v>0</v>
      </c>
      <c r="O3948">
        <f>IFERROR(IF(VLOOKUP(calendar[[#This Row],[Date]],BH!G:G,1,)&lt;&gt;"",1,0),0)</f>
        <v>0</v>
      </c>
      <c r="P3948">
        <f>IF(OR(calendar[[#This Row],[UK_BH]]=1,calendar[[#This Row],[WeekDay]]=1, calendar[[#This Row],[WeekDay]]=7),P3947,P3947+1)</f>
        <v>2798</v>
      </c>
      <c r="Q3948">
        <f>IF(OR(calendar[[#This Row],[FR_BH]]=1,calendar[[#This Row],[WeekDay]]=1, calendar[[#This Row],[WeekDay]]=7),P3947,P3947+1)</f>
        <v>2798</v>
      </c>
      <c r="R3948">
        <f>IF(OR(calendar[[#This Row],[SP_BH]]=1,calendar[[#This Row],[WeekDay]]=1, calendar[[#This Row],[WeekDay]]=7),P3947,P3947+1)</f>
        <v>2798</v>
      </c>
      <c r="S3948">
        <f>IF(OR(calendar[[#This Row],[PT_BH]]=1,calendar[[#This Row],[WeekDay]]=1, calendar[[#This Row],[WeekDay]]=7),P3947,P3947+1)</f>
        <v>2798</v>
      </c>
    </row>
    <row r="3949" spans="1:19" x14ac:dyDescent="0.25">
      <c r="A3949" s="2">
        <v>46683</v>
      </c>
      <c r="B3949" s="1">
        <f t="shared" si="311"/>
        <v>43</v>
      </c>
      <c r="C3949">
        <f t="shared" si="312"/>
        <v>10</v>
      </c>
      <c r="D3949" t="str">
        <f t="shared" si="313"/>
        <v>October</v>
      </c>
      <c r="E3949">
        <f t="shared" si="314"/>
        <v>2027</v>
      </c>
      <c r="F3949" t="str">
        <f>CONCATENATE(calendar[[#This Row],[Month]],"/",calendar[[#This Row],[Year]])</f>
        <v>10/2027</v>
      </c>
      <c r="G3949">
        <f>WEEKDAY(calendar[[#This Row],[Date]],1)</f>
        <v>7</v>
      </c>
      <c r="H3949" t="str">
        <f>TEXT(calendar[[#This Row],[WeekDay]],"dddd")</f>
        <v>Saturday</v>
      </c>
      <c r="I3949">
        <f>IF((INT(calendar[[#This Row],[Count]]/7)-calendar[[#This Row],[Count]]/7)&lt;0,I3948,I3948+1)</f>
        <v>564</v>
      </c>
      <c r="J3949">
        <f t="shared" si="315"/>
        <v>3947</v>
      </c>
      <c r="K3949">
        <f>IF(calendar[[#This Row],[Month]]&lt;4,1,IF(calendar[[#This Row],[Month]]&lt;7,2,IF(calendar[[#This Row],[Month]]&lt;10,3,4)))</f>
        <v>4</v>
      </c>
      <c r="L3949">
        <f>IFERROR(IF(VLOOKUP(calendar[[#This Row],[Date]],BH!A:A,1,)&lt;&gt;"",1,0),0)</f>
        <v>0</v>
      </c>
      <c r="M3949">
        <f>IFERROR(IF(VLOOKUP(calendar[[#This Row],[Date]],BH!C:C,1,)&lt;&gt;"",1,0),0)</f>
        <v>0</v>
      </c>
      <c r="N3949">
        <f>IFERROR(IF(VLOOKUP(calendar[[#This Row],[Date]],BH!E:E,1,)&lt;&gt;"",1,0),0)</f>
        <v>0</v>
      </c>
      <c r="O3949">
        <f>IFERROR(IF(VLOOKUP(calendar[[#This Row],[Date]],BH!G:G,1,)&lt;&gt;"",1,0),0)</f>
        <v>0</v>
      </c>
      <c r="P3949">
        <f>IF(OR(calendar[[#This Row],[UK_BH]]=1,calendar[[#This Row],[WeekDay]]=1, calendar[[#This Row],[WeekDay]]=7),P3948,P3948+1)</f>
        <v>2798</v>
      </c>
      <c r="Q3949">
        <f>IF(OR(calendar[[#This Row],[FR_BH]]=1,calendar[[#This Row],[WeekDay]]=1, calendar[[#This Row],[WeekDay]]=7),P3948,P3948+1)</f>
        <v>2798</v>
      </c>
      <c r="R3949">
        <f>IF(OR(calendar[[#This Row],[SP_BH]]=1,calendar[[#This Row],[WeekDay]]=1, calendar[[#This Row],[WeekDay]]=7),P3948,P3948+1)</f>
        <v>2798</v>
      </c>
      <c r="S3949">
        <f>IF(OR(calendar[[#This Row],[PT_BH]]=1,calendar[[#This Row],[WeekDay]]=1, calendar[[#This Row],[WeekDay]]=7),P3948,P3948+1)</f>
        <v>2798</v>
      </c>
    </row>
    <row r="3950" spans="1:19" x14ac:dyDescent="0.25">
      <c r="A3950" s="2">
        <v>46684</v>
      </c>
      <c r="B3950" s="1">
        <f t="shared" si="311"/>
        <v>44</v>
      </c>
      <c r="C3950">
        <f t="shared" si="312"/>
        <v>10</v>
      </c>
      <c r="D3950" t="str">
        <f t="shared" si="313"/>
        <v>October</v>
      </c>
      <c r="E3950">
        <f t="shared" si="314"/>
        <v>2027</v>
      </c>
      <c r="F3950" t="str">
        <f>CONCATENATE(calendar[[#This Row],[Month]],"/",calendar[[#This Row],[Year]])</f>
        <v>10/2027</v>
      </c>
      <c r="G3950">
        <f>WEEKDAY(calendar[[#This Row],[Date]],1)</f>
        <v>1</v>
      </c>
      <c r="H3950" t="str">
        <f>TEXT(calendar[[#This Row],[WeekDay]],"dddd")</f>
        <v>Sunday</v>
      </c>
      <c r="I3950">
        <f>IF((INT(calendar[[#This Row],[Count]]/7)-calendar[[#This Row],[Count]]/7)&lt;0,I3949,I3949+1)</f>
        <v>565</v>
      </c>
      <c r="J3950">
        <f t="shared" si="315"/>
        <v>3948</v>
      </c>
      <c r="K3950">
        <f>IF(calendar[[#This Row],[Month]]&lt;4,1,IF(calendar[[#This Row],[Month]]&lt;7,2,IF(calendar[[#This Row],[Month]]&lt;10,3,4)))</f>
        <v>4</v>
      </c>
      <c r="L3950">
        <f>IFERROR(IF(VLOOKUP(calendar[[#This Row],[Date]],BH!A:A,1,)&lt;&gt;"",1,0),0)</f>
        <v>0</v>
      </c>
      <c r="M3950">
        <f>IFERROR(IF(VLOOKUP(calendar[[#This Row],[Date]],BH!C:C,1,)&lt;&gt;"",1,0),0)</f>
        <v>0</v>
      </c>
      <c r="N3950">
        <f>IFERROR(IF(VLOOKUP(calendar[[#This Row],[Date]],BH!E:E,1,)&lt;&gt;"",1,0),0)</f>
        <v>0</v>
      </c>
      <c r="O3950">
        <f>IFERROR(IF(VLOOKUP(calendar[[#This Row],[Date]],BH!G:G,1,)&lt;&gt;"",1,0),0)</f>
        <v>0</v>
      </c>
      <c r="P3950">
        <f>IF(OR(calendar[[#This Row],[UK_BH]]=1,calendar[[#This Row],[WeekDay]]=1, calendar[[#This Row],[WeekDay]]=7),P3949,P3949+1)</f>
        <v>2798</v>
      </c>
      <c r="Q3950">
        <f>IF(OR(calendar[[#This Row],[FR_BH]]=1,calendar[[#This Row],[WeekDay]]=1, calendar[[#This Row],[WeekDay]]=7),P3949,P3949+1)</f>
        <v>2798</v>
      </c>
      <c r="R3950">
        <f>IF(OR(calendar[[#This Row],[SP_BH]]=1,calendar[[#This Row],[WeekDay]]=1, calendar[[#This Row],[WeekDay]]=7),P3949,P3949+1)</f>
        <v>2798</v>
      </c>
      <c r="S3950">
        <f>IF(OR(calendar[[#This Row],[PT_BH]]=1,calendar[[#This Row],[WeekDay]]=1, calendar[[#This Row],[WeekDay]]=7),P3949,P3949+1)</f>
        <v>2798</v>
      </c>
    </row>
    <row r="3951" spans="1:19" x14ac:dyDescent="0.25">
      <c r="A3951" s="2">
        <v>46685</v>
      </c>
      <c r="B3951" s="1">
        <f t="shared" si="311"/>
        <v>44</v>
      </c>
      <c r="C3951">
        <f t="shared" si="312"/>
        <v>10</v>
      </c>
      <c r="D3951" t="str">
        <f t="shared" si="313"/>
        <v>October</v>
      </c>
      <c r="E3951">
        <f t="shared" si="314"/>
        <v>2027</v>
      </c>
      <c r="F3951" t="str">
        <f>CONCATENATE(calendar[[#This Row],[Month]],"/",calendar[[#This Row],[Year]])</f>
        <v>10/2027</v>
      </c>
      <c r="G3951">
        <f>WEEKDAY(calendar[[#This Row],[Date]],1)</f>
        <v>2</v>
      </c>
      <c r="H3951" t="str">
        <f>TEXT(calendar[[#This Row],[WeekDay]],"dddd")</f>
        <v>Monday</v>
      </c>
      <c r="I3951">
        <f>IF((INT(calendar[[#This Row],[Count]]/7)-calendar[[#This Row],[Count]]/7)&lt;0,I3950,I3950+1)</f>
        <v>565</v>
      </c>
      <c r="J3951">
        <f t="shared" si="315"/>
        <v>3949</v>
      </c>
      <c r="K3951">
        <f>IF(calendar[[#This Row],[Month]]&lt;4,1,IF(calendar[[#This Row],[Month]]&lt;7,2,IF(calendar[[#This Row],[Month]]&lt;10,3,4)))</f>
        <v>4</v>
      </c>
      <c r="L3951">
        <f>IFERROR(IF(VLOOKUP(calendar[[#This Row],[Date]],BH!A:A,1,)&lt;&gt;"",1,0),0)</f>
        <v>0</v>
      </c>
      <c r="M3951">
        <f>IFERROR(IF(VLOOKUP(calendar[[#This Row],[Date]],BH!C:C,1,)&lt;&gt;"",1,0),0)</f>
        <v>0</v>
      </c>
      <c r="N3951">
        <f>IFERROR(IF(VLOOKUP(calendar[[#This Row],[Date]],BH!E:E,1,)&lt;&gt;"",1,0),0)</f>
        <v>0</v>
      </c>
      <c r="O3951">
        <f>IFERROR(IF(VLOOKUP(calendar[[#This Row],[Date]],BH!G:G,1,)&lt;&gt;"",1,0),0)</f>
        <v>0</v>
      </c>
      <c r="P3951">
        <f>IF(OR(calendar[[#This Row],[UK_BH]]=1,calendar[[#This Row],[WeekDay]]=1, calendar[[#This Row],[WeekDay]]=7),P3950,P3950+1)</f>
        <v>2799</v>
      </c>
      <c r="Q3951">
        <f>IF(OR(calendar[[#This Row],[FR_BH]]=1,calendar[[#This Row],[WeekDay]]=1, calendar[[#This Row],[WeekDay]]=7),P3950,P3950+1)</f>
        <v>2799</v>
      </c>
      <c r="R3951">
        <f>IF(OR(calendar[[#This Row],[SP_BH]]=1,calendar[[#This Row],[WeekDay]]=1, calendar[[#This Row],[WeekDay]]=7),P3950,P3950+1)</f>
        <v>2799</v>
      </c>
      <c r="S3951">
        <f>IF(OR(calendar[[#This Row],[PT_BH]]=1,calendar[[#This Row],[WeekDay]]=1, calendar[[#This Row],[WeekDay]]=7),P3950,P3950+1)</f>
        <v>2799</v>
      </c>
    </row>
    <row r="3952" spans="1:19" x14ac:dyDescent="0.25">
      <c r="A3952" s="2">
        <v>46686</v>
      </c>
      <c r="B3952" s="1">
        <f t="shared" si="311"/>
        <v>44</v>
      </c>
      <c r="C3952">
        <f t="shared" si="312"/>
        <v>10</v>
      </c>
      <c r="D3952" t="str">
        <f t="shared" si="313"/>
        <v>October</v>
      </c>
      <c r="E3952">
        <f t="shared" si="314"/>
        <v>2027</v>
      </c>
      <c r="F3952" t="str">
        <f>CONCATENATE(calendar[[#This Row],[Month]],"/",calendar[[#This Row],[Year]])</f>
        <v>10/2027</v>
      </c>
      <c r="G3952">
        <f>WEEKDAY(calendar[[#This Row],[Date]],1)</f>
        <v>3</v>
      </c>
      <c r="H3952" t="str">
        <f>TEXT(calendar[[#This Row],[WeekDay]],"dddd")</f>
        <v>Tuesday</v>
      </c>
      <c r="I3952">
        <f>IF((INT(calendar[[#This Row],[Count]]/7)-calendar[[#This Row],[Count]]/7)&lt;0,I3951,I3951+1)</f>
        <v>565</v>
      </c>
      <c r="J3952">
        <f t="shared" si="315"/>
        <v>3950</v>
      </c>
      <c r="K3952">
        <f>IF(calendar[[#This Row],[Month]]&lt;4,1,IF(calendar[[#This Row],[Month]]&lt;7,2,IF(calendar[[#This Row],[Month]]&lt;10,3,4)))</f>
        <v>4</v>
      </c>
      <c r="L3952">
        <f>IFERROR(IF(VLOOKUP(calendar[[#This Row],[Date]],BH!A:A,1,)&lt;&gt;"",1,0),0)</f>
        <v>0</v>
      </c>
      <c r="M3952">
        <f>IFERROR(IF(VLOOKUP(calendar[[#This Row],[Date]],BH!C:C,1,)&lt;&gt;"",1,0),0)</f>
        <v>0</v>
      </c>
      <c r="N3952">
        <f>IFERROR(IF(VLOOKUP(calendar[[#This Row],[Date]],BH!E:E,1,)&lt;&gt;"",1,0),0)</f>
        <v>0</v>
      </c>
      <c r="O3952">
        <f>IFERROR(IF(VLOOKUP(calendar[[#This Row],[Date]],BH!G:G,1,)&lt;&gt;"",1,0),0)</f>
        <v>0</v>
      </c>
      <c r="P3952">
        <f>IF(OR(calendar[[#This Row],[UK_BH]]=1,calendar[[#This Row],[WeekDay]]=1, calendar[[#This Row],[WeekDay]]=7),P3951,P3951+1)</f>
        <v>2800</v>
      </c>
      <c r="Q3952">
        <f>IF(OR(calendar[[#This Row],[FR_BH]]=1,calendar[[#This Row],[WeekDay]]=1, calendar[[#This Row],[WeekDay]]=7),P3951,P3951+1)</f>
        <v>2800</v>
      </c>
      <c r="R3952">
        <f>IF(OR(calendar[[#This Row],[SP_BH]]=1,calendar[[#This Row],[WeekDay]]=1, calendar[[#This Row],[WeekDay]]=7),P3951,P3951+1)</f>
        <v>2800</v>
      </c>
      <c r="S3952">
        <f>IF(OR(calendar[[#This Row],[PT_BH]]=1,calendar[[#This Row],[WeekDay]]=1, calendar[[#This Row],[WeekDay]]=7),P3951,P3951+1)</f>
        <v>2800</v>
      </c>
    </row>
    <row r="3953" spans="1:19" x14ac:dyDescent="0.25">
      <c r="A3953" s="2">
        <v>46687</v>
      </c>
      <c r="B3953" s="1">
        <f t="shared" si="311"/>
        <v>44</v>
      </c>
      <c r="C3953">
        <f t="shared" si="312"/>
        <v>10</v>
      </c>
      <c r="D3953" t="str">
        <f t="shared" si="313"/>
        <v>October</v>
      </c>
      <c r="E3953">
        <f t="shared" si="314"/>
        <v>2027</v>
      </c>
      <c r="F3953" t="str">
        <f>CONCATENATE(calendar[[#This Row],[Month]],"/",calendar[[#This Row],[Year]])</f>
        <v>10/2027</v>
      </c>
      <c r="G3953">
        <f>WEEKDAY(calendar[[#This Row],[Date]],1)</f>
        <v>4</v>
      </c>
      <c r="H3953" t="str">
        <f>TEXT(calendar[[#This Row],[WeekDay]],"dddd")</f>
        <v>Wednesday</v>
      </c>
      <c r="I3953">
        <f>IF((INT(calendar[[#This Row],[Count]]/7)-calendar[[#This Row],[Count]]/7)&lt;0,I3952,I3952+1)</f>
        <v>565</v>
      </c>
      <c r="J3953">
        <f t="shared" si="315"/>
        <v>3951</v>
      </c>
      <c r="K3953">
        <f>IF(calendar[[#This Row],[Month]]&lt;4,1,IF(calendar[[#This Row],[Month]]&lt;7,2,IF(calendar[[#This Row],[Month]]&lt;10,3,4)))</f>
        <v>4</v>
      </c>
      <c r="L3953">
        <f>IFERROR(IF(VLOOKUP(calendar[[#This Row],[Date]],BH!A:A,1,)&lt;&gt;"",1,0),0)</f>
        <v>0</v>
      </c>
      <c r="M3953">
        <f>IFERROR(IF(VLOOKUP(calendar[[#This Row],[Date]],BH!C:C,1,)&lt;&gt;"",1,0),0)</f>
        <v>0</v>
      </c>
      <c r="N3953">
        <f>IFERROR(IF(VLOOKUP(calendar[[#This Row],[Date]],BH!E:E,1,)&lt;&gt;"",1,0),0)</f>
        <v>0</v>
      </c>
      <c r="O3953">
        <f>IFERROR(IF(VLOOKUP(calendar[[#This Row],[Date]],BH!G:G,1,)&lt;&gt;"",1,0),0)</f>
        <v>0</v>
      </c>
      <c r="P3953">
        <f>IF(OR(calendar[[#This Row],[UK_BH]]=1,calendar[[#This Row],[WeekDay]]=1, calendar[[#This Row],[WeekDay]]=7),P3952,P3952+1)</f>
        <v>2801</v>
      </c>
      <c r="Q3953">
        <f>IF(OR(calendar[[#This Row],[FR_BH]]=1,calendar[[#This Row],[WeekDay]]=1, calendar[[#This Row],[WeekDay]]=7),P3952,P3952+1)</f>
        <v>2801</v>
      </c>
      <c r="R3953">
        <f>IF(OR(calendar[[#This Row],[SP_BH]]=1,calendar[[#This Row],[WeekDay]]=1, calendar[[#This Row],[WeekDay]]=7),P3952,P3952+1)</f>
        <v>2801</v>
      </c>
      <c r="S3953">
        <f>IF(OR(calendar[[#This Row],[PT_BH]]=1,calendar[[#This Row],[WeekDay]]=1, calendar[[#This Row],[WeekDay]]=7),P3952,P3952+1)</f>
        <v>2801</v>
      </c>
    </row>
    <row r="3954" spans="1:19" x14ac:dyDescent="0.25">
      <c r="A3954" s="2">
        <v>46688</v>
      </c>
      <c r="B3954" s="1">
        <f t="shared" si="311"/>
        <v>44</v>
      </c>
      <c r="C3954">
        <f t="shared" si="312"/>
        <v>10</v>
      </c>
      <c r="D3954" t="str">
        <f t="shared" si="313"/>
        <v>October</v>
      </c>
      <c r="E3954">
        <f t="shared" si="314"/>
        <v>2027</v>
      </c>
      <c r="F3954" t="str">
        <f>CONCATENATE(calendar[[#This Row],[Month]],"/",calendar[[#This Row],[Year]])</f>
        <v>10/2027</v>
      </c>
      <c r="G3954">
        <f>WEEKDAY(calendar[[#This Row],[Date]],1)</f>
        <v>5</v>
      </c>
      <c r="H3954" t="str">
        <f>TEXT(calendar[[#This Row],[WeekDay]],"dddd")</f>
        <v>Thursday</v>
      </c>
      <c r="I3954">
        <f>IF((INT(calendar[[#This Row],[Count]]/7)-calendar[[#This Row],[Count]]/7)&lt;0,I3953,I3953+1)</f>
        <v>565</v>
      </c>
      <c r="J3954">
        <f t="shared" si="315"/>
        <v>3952</v>
      </c>
      <c r="K3954">
        <f>IF(calendar[[#This Row],[Month]]&lt;4,1,IF(calendar[[#This Row],[Month]]&lt;7,2,IF(calendar[[#This Row],[Month]]&lt;10,3,4)))</f>
        <v>4</v>
      </c>
      <c r="L3954">
        <f>IFERROR(IF(VLOOKUP(calendar[[#This Row],[Date]],BH!A:A,1,)&lt;&gt;"",1,0),0)</f>
        <v>0</v>
      </c>
      <c r="M3954">
        <f>IFERROR(IF(VLOOKUP(calendar[[#This Row],[Date]],BH!C:C,1,)&lt;&gt;"",1,0),0)</f>
        <v>0</v>
      </c>
      <c r="N3954">
        <f>IFERROR(IF(VLOOKUP(calendar[[#This Row],[Date]],BH!E:E,1,)&lt;&gt;"",1,0),0)</f>
        <v>0</v>
      </c>
      <c r="O3954">
        <f>IFERROR(IF(VLOOKUP(calendar[[#This Row],[Date]],BH!G:G,1,)&lt;&gt;"",1,0),0)</f>
        <v>0</v>
      </c>
      <c r="P3954">
        <f>IF(OR(calendar[[#This Row],[UK_BH]]=1,calendar[[#This Row],[WeekDay]]=1, calendar[[#This Row],[WeekDay]]=7),P3953,P3953+1)</f>
        <v>2802</v>
      </c>
      <c r="Q3954">
        <f>IF(OR(calendar[[#This Row],[FR_BH]]=1,calendar[[#This Row],[WeekDay]]=1, calendar[[#This Row],[WeekDay]]=7),P3953,P3953+1)</f>
        <v>2802</v>
      </c>
      <c r="R3954">
        <f>IF(OR(calendar[[#This Row],[SP_BH]]=1,calendar[[#This Row],[WeekDay]]=1, calendar[[#This Row],[WeekDay]]=7),P3953,P3953+1)</f>
        <v>2802</v>
      </c>
      <c r="S3954">
        <f>IF(OR(calendar[[#This Row],[PT_BH]]=1,calendar[[#This Row],[WeekDay]]=1, calendar[[#This Row],[WeekDay]]=7),P3953,P3953+1)</f>
        <v>2802</v>
      </c>
    </row>
    <row r="3955" spans="1:19" x14ac:dyDescent="0.25">
      <c r="A3955" s="2">
        <v>46689</v>
      </c>
      <c r="B3955" s="1">
        <f t="shared" si="311"/>
        <v>44</v>
      </c>
      <c r="C3955">
        <f t="shared" si="312"/>
        <v>10</v>
      </c>
      <c r="D3955" t="str">
        <f t="shared" si="313"/>
        <v>October</v>
      </c>
      <c r="E3955">
        <f t="shared" si="314"/>
        <v>2027</v>
      </c>
      <c r="F3955" t="str">
        <f>CONCATENATE(calendar[[#This Row],[Month]],"/",calendar[[#This Row],[Year]])</f>
        <v>10/2027</v>
      </c>
      <c r="G3955">
        <f>WEEKDAY(calendar[[#This Row],[Date]],1)</f>
        <v>6</v>
      </c>
      <c r="H3955" t="str">
        <f>TEXT(calendar[[#This Row],[WeekDay]],"dddd")</f>
        <v>Friday</v>
      </c>
      <c r="I3955">
        <f>IF((INT(calendar[[#This Row],[Count]]/7)-calendar[[#This Row],[Count]]/7)&lt;0,I3954,I3954+1)</f>
        <v>565</v>
      </c>
      <c r="J3955">
        <f t="shared" si="315"/>
        <v>3953</v>
      </c>
      <c r="K3955">
        <f>IF(calendar[[#This Row],[Month]]&lt;4,1,IF(calendar[[#This Row],[Month]]&lt;7,2,IF(calendar[[#This Row],[Month]]&lt;10,3,4)))</f>
        <v>4</v>
      </c>
      <c r="L3955">
        <f>IFERROR(IF(VLOOKUP(calendar[[#This Row],[Date]],BH!A:A,1,)&lt;&gt;"",1,0),0)</f>
        <v>0</v>
      </c>
      <c r="M3955">
        <f>IFERROR(IF(VLOOKUP(calendar[[#This Row],[Date]],BH!C:C,1,)&lt;&gt;"",1,0),0)</f>
        <v>0</v>
      </c>
      <c r="N3955">
        <f>IFERROR(IF(VLOOKUP(calendar[[#This Row],[Date]],BH!E:E,1,)&lt;&gt;"",1,0),0)</f>
        <v>0</v>
      </c>
      <c r="O3955">
        <f>IFERROR(IF(VLOOKUP(calendar[[#This Row],[Date]],BH!G:G,1,)&lt;&gt;"",1,0),0)</f>
        <v>0</v>
      </c>
      <c r="P3955">
        <f>IF(OR(calendar[[#This Row],[UK_BH]]=1,calendar[[#This Row],[WeekDay]]=1, calendar[[#This Row],[WeekDay]]=7),P3954,P3954+1)</f>
        <v>2803</v>
      </c>
      <c r="Q3955">
        <f>IF(OR(calendar[[#This Row],[FR_BH]]=1,calendar[[#This Row],[WeekDay]]=1, calendar[[#This Row],[WeekDay]]=7),P3954,P3954+1)</f>
        <v>2803</v>
      </c>
      <c r="R3955">
        <f>IF(OR(calendar[[#This Row],[SP_BH]]=1,calendar[[#This Row],[WeekDay]]=1, calendar[[#This Row],[WeekDay]]=7),P3954,P3954+1)</f>
        <v>2803</v>
      </c>
      <c r="S3955">
        <f>IF(OR(calendar[[#This Row],[PT_BH]]=1,calendar[[#This Row],[WeekDay]]=1, calendar[[#This Row],[WeekDay]]=7),P3954,P3954+1)</f>
        <v>2803</v>
      </c>
    </row>
    <row r="3956" spans="1:19" x14ac:dyDescent="0.25">
      <c r="A3956" s="2">
        <v>46690</v>
      </c>
      <c r="B3956" s="1">
        <f t="shared" si="311"/>
        <v>44</v>
      </c>
      <c r="C3956">
        <f t="shared" si="312"/>
        <v>10</v>
      </c>
      <c r="D3956" t="str">
        <f t="shared" si="313"/>
        <v>October</v>
      </c>
      <c r="E3956">
        <f t="shared" si="314"/>
        <v>2027</v>
      </c>
      <c r="F3956" t="str">
        <f>CONCATENATE(calendar[[#This Row],[Month]],"/",calendar[[#This Row],[Year]])</f>
        <v>10/2027</v>
      </c>
      <c r="G3956">
        <f>WEEKDAY(calendar[[#This Row],[Date]],1)</f>
        <v>7</v>
      </c>
      <c r="H3956" t="str">
        <f>TEXT(calendar[[#This Row],[WeekDay]],"dddd")</f>
        <v>Saturday</v>
      </c>
      <c r="I3956">
        <f>IF((INT(calendar[[#This Row],[Count]]/7)-calendar[[#This Row],[Count]]/7)&lt;0,I3955,I3955+1)</f>
        <v>565</v>
      </c>
      <c r="J3956">
        <f t="shared" si="315"/>
        <v>3954</v>
      </c>
      <c r="K3956">
        <f>IF(calendar[[#This Row],[Month]]&lt;4,1,IF(calendar[[#This Row],[Month]]&lt;7,2,IF(calendar[[#This Row],[Month]]&lt;10,3,4)))</f>
        <v>4</v>
      </c>
      <c r="L3956">
        <f>IFERROR(IF(VLOOKUP(calendar[[#This Row],[Date]],BH!A:A,1,)&lt;&gt;"",1,0),0)</f>
        <v>0</v>
      </c>
      <c r="M3956">
        <f>IFERROR(IF(VLOOKUP(calendar[[#This Row],[Date]],BH!C:C,1,)&lt;&gt;"",1,0),0)</f>
        <v>0</v>
      </c>
      <c r="N3956">
        <f>IFERROR(IF(VLOOKUP(calendar[[#This Row],[Date]],BH!E:E,1,)&lt;&gt;"",1,0),0)</f>
        <v>0</v>
      </c>
      <c r="O3956">
        <f>IFERROR(IF(VLOOKUP(calendar[[#This Row],[Date]],BH!G:G,1,)&lt;&gt;"",1,0),0)</f>
        <v>0</v>
      </c>
      <c r="P3956">
        <f>IF(OR(calendar[[#This Row],[UK_BH]]=1,calendar[[#This Row],[WeekDay]]=1, calendar[[#This Row],[WeekDay]]=7),P3955,P3955+1)</f>
        <v>2803</v>
      </c>
      <c r="Q3956">
        <f>IF(OR(calendar[[#This Row],[FR_BH]]=1,calendar[[#This Row],[WeekDay]]=1, calendar[[#This Row],[WeekDay]]=7),P3955,P3955+1)</f>
        <v>2803</v>
      </c>
      <c r="R3956">
        <f>IF(OR(calendar[[#This Row],[SP_BH]]=1,calendar[[#This Row],[WeekDay]]=1, calendar[[#This Row],[WeekDay]]=7),P3955,P3955+1)</f>
        <v>2803</v>
      </c>
      <c r="S3956">
        <f>IF(OR(calendar[[#This Row],[PT_BH]]=1,calendar[[#This Row],[WeekDay]]=1, calendar[[#This Row],[WeekDay]]=7),P3955,P3955+1)</f>
        <v>2803</v>
      </c>
    </row>
    <row r="3957" spans="1:19" x14ac:dyDescent="0.25">
      <c r="A3957" s="2">
        <v>46691</v>
      </c>
      <c r="B3957" s="1">
        <f t="shared" si="311"/>
        <v>45</v>
      </c>
      <c r="C3957">
        <f t="shared" si="312"/>
        <v>10</v>
      </c>
      <c r="D3957" t="str">
        <f t="shared" si="313"/>
        <v>October</v>
      </c>
      <c r="E3957">
        <f t="shared" si="314"/>
        <v>2027</v>
      </c>
      <c r="F3957" t="str">
        <f>CONCATENATE(calendar[[#This Row],[Month]],"/",calendar[[#This Row],[Year]])</f>
        <v>10/2027</v>
      </c>
      <c r="G3957">
        <f>WEEKDAY(calendar[[#This Row],[Date]],1)</f>
        <v>1</v>
      </c>
      <c r="H3957" t="str">
        <f>TEXT(calendar[[#This Row],[WeekDay]],"dddd")</f>
        <v>Sunday</v>
      </c>
      <c r="I3957">
        <f>IF((INT(calendar[[#This Row],[Count]]/7)-calendar[[#This Row],[Count]]/7)&lt;0,I3956,I3956+1)</f>
        <v>566</v>
      </c>
      <c r="J3957">
        <f t="shared" si="315"/>
        <v>3955</v>
      </c>
      <c r="K3957">
        <f>IF(calendar[[#This Row],[Month]]&lt;4,1,IF(calendar[[#This Row],[Month]]&lt;7,2,IF(calendar[[#This Row],[Month]]&lt;10,3,4)))</f>
        <v>4</v>
      </c>
      <c r="L3957">
        <f>IFERROR(IF(VLOOKUP(calendar[[#This Row],[Date]],BH!A:A,1,)&lt;&gt;"",1,0),0)</f>
        <v>0</v>
      </c>
      <c r="M3957">
        <f>IFERROR(IF(VLOOKUP(calendar[[#This Row],[Date]],BH!C:C,1,)&lt;&gt;"",1,0),0)</f>
        <v>0</v>
      </c>
      <c r="N3957">
        <f>IFERROR(IF(VLOOKUP(calendar[[#This Row],[Date]],BH!E:E,1,)&lt;&gt;"",1,0),0)</f>
        <v>0</v>
      </c>
      <c r="O3957">
        <f>IFERROR(IF(VLOOKUP(calendar[[#This Row],[Date]],BH!G:G,1,)&lt;&gt;"",1,0),0)</f>
        <v>0</v>
      </c>
      <c r="P3957">
        <f>IF(OR(calendar[[#This Row],[UK_BH]]=1,calendar[[#This Row],[WeekDay]]=1, calendar[[#This Row],[WeekDay]]=7),P3956,P3956+1)</f>
        <v>2803</v>
      </c>
      <c r="Q3957">
        <f>IF(OR(calendar[[#This Row],[FR_BH]]=1,calendar[[#This Row],[WeekDay]]=1, calendar[[#This Row],[WeekDay]]=7),P3956,P3956+1)</f>
        <v>2803</v>
      </c>
      <c r="R3957">
        <f>IF(OR(calendar[[#This Row],[SP_BH]]=1,calendar[[#This Row],[WeekDay]]=1, calendar[[#This Row],[WeekDay]]=7),P3956,P3956+1)</f>
        <v>2803</v>
      </c>
      <c r="S3957">
        <f>IF(OR(calendar[[#This Row],[PT_BH]]=1,calendar[[#This Row],[WeekDay]]=1, calendar[[#This Row],[WeekDay]]=7),P3956,P3956+1)</f>
        <v>2803</v>
      </c>
    </row>
    <row r="3958" spans="1:19" x14ac:dyDescent="0.25">
      <c r="A3958" s="2">
        <v>46692</v>
      </c>
      <c r="B3958" s="1">
        <f t="shared" si="311"/>
        <v>45</v>
      </c>
      <c r="C3958">
        <f t="shared" si="312"/>
        <v>11</v>
      </c>
      <c r="D3958" t="str">
        <f t="shared" si="313"/>
        <v>November</v>
      </c>
      <c r="E3958">
        <f t="shared" si="314"/>
        <v>2027</v>
      </c>
      <c r="F3958" t="str">
        <f>CONCATENATE(calendar[[#This Row],[Month]],"/",calendar[[#This Row],[Year]])</f>
        <v>11/2027</v>
      </c>
      <c r="G3958">
        <f>WEEKDAY(calendar[[#This Row],[Date]],1)</f>
        <v>2</v>
      </c>
      <c r="H3958" t="str">
        <f>TEXT(calendar[[#This Row],[WeekDay]],"dddd")</f>
        <v>Monday</v>
      </c>
      <c r="I3958">
        <f>IF((INT(calendar[[#This Row],[Count]]/7)-calendar[[#This Row],[Count]]/7)&lt;0,I3957,I3957+1)</f>
        <v>566</v>
      </c>
      <c r="J3958">
        <f t="shared" si="315"/>
        <v>3956</v>
      </c>
      <c r="K3958">
        <f>IF(calendar[[#This Row],[Month]]&lt;4,1,IF(calendar[[#This Row],[Month]]&lt;7,2,IF(calendar[[#This Row],[Month]]&lt;10,3,4)))</f>
        <v>4</v>
      </c>
      <c r="L3958">
        <f>IFERROR(IF(VLOOKUP(calendar[[#This Row],[Date]],BH!A:A,1,)&lt;&gt;"",1,0),0)</f>
        <v>0</v>
      </c>
      <c r="M3958">
        <f>IFERROR(IF(VLOOKUP(calendar[[#This Row],[Date]],BH!C:C,1,)&lt;&gt;"",1,0),0)</f>
        <v>1</v>
      </c>
      <c r="N3958">
        <f>IFERROR(IF(VLOOKUP(calendar[[#This Row],[Date]],BH!E:E,1,)&lt;&gt;"",1,0),0)</f>
        <v>1</v>
      </c>
      <c r="O3958">
        <f>IFERROR(IF(VLOOKUP(calendar[[#This Row],[Date]],BH!G:G,1,)&lt;&gt;"",1,0),0)</f>
        <v>1</v>
      </c>
      <c r="P3958">
        <f>IF(OR(calendar[[#This Row],[UK_BH]]=1,calendar[[#This Row],[WeekDay]]=1, calendar[[#This Row],[WeekDay]]=7),P3957,P3957+1)</f>
        <v>2804</v>
      </c>
      <c r="Q3958">
        <f>IF(OR(calendar[[#This Row],[FR_BH]]=1,calendar[[#This Row],[WeekDay]]=1, calendar[[#This Row],[WeekDay]]=7),P3957,P3957+1)</f>
        <v>2803</v>
      </c>
      <c r="R3958">
        <f>IF(OR(calendar[[#This Row],[SP_BH]]=1,calendar[[#This Row],[WeekDay]]=1, calendar[[#This Row],[WeekDay]]=7),P3957,P3957+1)</f>
        <v>2803</v>
      </c>
      <c r="S3958">
        <f>IF(OR(calendar[[#This Row],[PT_BH]]=1,calendar[[#This Row],[WeekDay]]=1, calendar[[#This Row],[WeekDay]]=7),P3957,P3957+1)</f>
        <v>2803</v>
      </c>
    </row>
    <row r="3959" spans="1:19" x14ac:dyDescent="0.25">
      <c r="A3959" s="2">
        <v>46693</v>
      </c>
      <c r="B3959" s="1">
        <f t="shared" si="311"/>
        <v>45</v>
      </c>
      <c r="C3959">
        <f t="shared" si="312"/>
        <v>11</v>
      </c>
      <c r="D3959" t="str">
        <f t="shared" si="313"/>
        <v>November</v>
      </c>
      <c r="E3959">
        <f t="shared" si="314"/>
        <v>2027</v>
      </c>
      <c r="F3959" t="str">
        <f>CONCATENATE(calendar[[#This Row],[Month]],"/",calendar[[#This Row],[Year]])</f>
        <v>11/2027</v>
      </c>
      <c r="G3959">
        <f>WEEKDAY(calendar[[#This Row],[Date]],1)</f>
        <v>3</v>
      </c>
      <c r="H3959" t="str">
        <f>TEXT(calendar[[#This Row],[WeekDay]],"dddd")</f>
        <v>Tuesday</v>
      </c>
      <c r="I3959">
        <f>IF((INT(calendar[[#This Row],[Count]]/7)-calendar[[#This Row],[Count]]/7)&lt;0,I3958,I3958+1)</f>
        <v>566</v>
      </c>
      <c r="J3959">
        <f t="shared" si="315"/>
        <v>3957</v>
      </c>
      <c r="K3959">
        <f>IF(calendar[[#This Row],[Month]]&lt;4,1,IF(calendar[[#This Row],[Month]]&lt;7,2,IF(calendar[[#This Row],[Month]]&lt;10,3,4)))</f>
        <v>4</v>
      </c>
      <c r="L3959">
        <f>IFERROR(IF(VLOOKUP(calendar[[#This Row],[Date]],BH!A:A,1,)&lt;&gt;"",1,0),0)</f>
        <v>0</v>
      </c>
      <c r="M3959">
        <f>IFERROR(IF(VLOOKUP(calendar[[#This Row],[Date]],BH!C:C,1,)&lt;&gt;"",1,0),0)</f>
        <v>0</v>
      </c>
      <c r="N3959">
        <f>IFERROR(IF(VLOOKUP(calendar[[#This Row],[Date]],BH!E:E,1,)&lt;&gt;"",1,0),0)</f>
        <v>1</v>
      </c>
      <c r="O3959">
        <f>IFERROR(IF(VLOOKUP(calendar[[#This Row],[Date]],BH!G:G,1,)&lt;&gt;"",1,0),0)</f>
        <v>0</v>
      </c>
      <c r="P3959">
        <f>IF(OR(calendar[[#This Row],[UK_BH]]=1,calendar[[#This Row],[WeekDay]]=1, calendar[[#This Row],[WeekDay]]=7),P3958,P3958+1)</f>
        <v>2805</v>
      </c>
      <c r="Q3959">
        <f>IF(OR(calendar[[#This Row],[FR_BH]]=1,calendar[[#This Row],[WeekDay]]=1, calendar[[#This Row],[WeekDay]]=7),P3958,P3958+1)</f>
        <v>2805</v>
      </c>
      <c r="R3959">
        <f>IF(OR(calendar[[#This Row],[SP_BH]]=1,calendar[[#This Row],[WeekDay]]=1, calendar[[#This Row],[WeekDay]]=7),P3958,P3958+1)</f>
        <v>2804</v>
      </c>
      <c r="S3959">
        <f>IF(OR(calendar[[#This Row],[PT_BH]]=1,calendar[[#This Row],[WeekDay]]=1, calendar[[#This Row],[WeekDay]]=7),P3958,P3958+1)</f>
        <v>2805</v>
      </c>
    </row>
    <row r="3960" spans="1:19" x14ac:dyDescent="0.25">
      <c r="A3960" s="2">
        <v>46694</v>
      </c>
      <c r="B3960" s="1">
        <f t="shared" si="311"/>
        <v>45</v>
      </c>
      <c r="C3960">
        <f t="shared" si="312"/>
        <v>11</v>
      </c>
      <c r="D3960" t="str">
        <f t="shared" si="313"/>
        <v>November</v>
      </c>
      <c r="E3960">
        <f t="shared" si="314"/>
        <v>2027</v>
      </c>
      <c r="F3960" t="str">
        <f>CONCATENATE(calendar[[#This Row],[Month]],"/",calendar[[#This Row],[Year]])</f>
        <v>11/2027</v>
      </c>
      <c r="G3960">
        <f>WEEKDAY(calendar[[#This Row],[Date]],1)</f>
        <v>4</v>
      </c>
      <c r="H3960" t="str">
        <f>TEXT(calendar[[#This Row],[WeekDay]],"dddd")</f>
        <v>Wednesday</v>
      </c>
      <c r="I3960">
        <f>IF((INT(calendar[[#This Row],[Count]]/7)-calendar[[#This Row],[Count]]/7)&lt;0,I3959,I3959+1)</f>
        <v>566</v>
      </c>
      <c r="J3960">
        <f t="shared" si="315"/>
        <v>3958</v>
      </c>
      <c r="K3960">
        <f>IF(calendar[[#This Row],[Month]]&lt;4,1,IF(calendar[[#This Row],[Month]]&lt;7,2,IF(calendar[[#This Row],[Month]]&lt;10,3,4)))</f>
        <v>4</v>
      </c>
      <c r="L3960">
        <f>IFERROR(IF(VLOOKUP(calendar[[#This Row],[Date]],BH!A:A,1,)&lt;&gt;"",1,0),0)</f>
        <v>0</v>
      </c>
      <c r="M3960">
        <f>IFERROR(IF(VLOOKUP(calendar[[#This Row],[Date]],BH!C:C,1,)&lt;&gt;"",1,0),0)</f>
        <v>0</v>
      </c>
      <c r="N3960">
        <f>IFERROR(IF(VLOOKUP(calendar[[#This Row],[Date]],BH!E:E,1,)&lt;&gt;"",1,0),0)</f>
        <v>0</v>
      </c>
      <c r="O3960">
        <f>IFERROR(IF(VLOOKUP(calendar[[#This Row],[Date]],BH!G:G,1,)&lt;&gt;"",1,0),0)</f>
        <v>0</v>
      </c>
      <c r="P3960">
        <f>IF(OR(calendar[[#This Row],[UK_BH]]=1,calendar[[#This Row],[WeekDay]]=1, calendar[[#This Row],[WeekDay]]=7),P3959,P3959+1)</f>
        <v>2806</v>
      </c>
      <c r="Q3960">
        <f>IF(OR(calendar[[#This Row],[FR_BH]]=1,calendar[[#This Row],[WeekDay]]=1, calendar[[#This Row],[WeekDay]]=7),P3959,P3959+1)</f>
        <v>2806</v>
      </c>
      <c r="R3960">
        <f>IF(OR(calendar[[#This Row],[SP_BH]]=1,calendar[[#This Row],[WeekDay]]=1, calendar[[#This Row],[WeekDay]]=7),P3959,P3959+1)</f>
        <v>2806</v>
      </c>
      <c r="S3960">
        <f>IF(OR(calendar[[#This Row],[PT_BH]]=1,calendar[[#This Row],[WeekDay]]=1, calendar[[#This Row],[WeekDay]]=7),P3959,P3959+1)</f>
        <v>2806</v>
      </c>
    </row>
    <row r="3961" spans="1:19" x14ac:dyDescent="0.25">
      <c r="A3961" s="2">
        <v>46695</v>
      </c>
      <c r="B3961" s="1">
        <f t="shared" si="311"/>
        <v>45</v>
      </c>
      <c r="C3961">
        <f t="shared" si="312"/>
        <v>11</v>
      </c>
      <c r="D3961" t="str">
        <f t="shared" si="313"/>
        <v>November</v>
      </c>
      <c r="E3961">
        <f t="shared" si="314"/>
        <v>2027</v>
      </c>
      <c r="F3961" t="str">
        <f>CONCATENATE(calendar[[#This Row],[Month]],"/",calendar[[#This Row],[Year]])</f>
        <v>11/2027</v>
      </c>
      <c r="G3961">
        <f>WEEKDAY(calendar[[#This Row],[Date]],1)</f>
        <v>5</v>
      </c>
      <c r="H3961" t="str">
        <f>TEXT(calendar[[#This Row],[WeekDay]],"dddd")</f>
        <v>Thursday</v>
      </c>
      <c r="I3961">
        <f>IF((INT(calendar[[#This Row],[Count]]/7)-calendar[[#This Row],[Count]]/7)&lt;0,I3960,I3960+1)</f>
        <v>566</v>
      </c>
      <c r="J3961">
        <f t="shared" si="315"/>
        <v>3959</v>
      </c>
      <c r="K3961">
        <f>IF(calendar[[#This Row],[Month]]&lt;4,1,IF(calendar[[#This Row],[Month]]&lt;7,2,IF(calendar[[#This Row],[Month]]&lt;10,3,4)))</f>
        <v>4</v>
      </c>
      <c r="L3961">
        <f>IFERROR(IF(VLOOKUP(calendar[[#This Row],[Date]],BH!A:A,1,)&lt;&gt;"",1,0),0)</f>
        <v>0</v>
      </c>
      <c r="M3961">
        <f>IFERROR(IF(VLOOKUP(calendar[[#This Row],[Date]],BH!C:C,1,)&lt;&gt;"",1,0),0)</f>
        <v>0</v>
      </c>
      <c r="N3961">
        <f>IFERROR(IF(VLOOKUP(calendar[[#This Row],[Date]],BH!E:E,1,)&lt;&gt;"",1,0),0)</f>
        <v>0</v>
      </c>
      <c r="O3961">
        <f>IFERROR(IF(VLOOKUP(calendar[[#This Row],[Date]],BH!G:G,1,)&lt;&gt;"",1,0),0)</f>
        <v>0</v>
      </c>
      <c r="P3961">
        <f>IF(OR(calendar[[#This Row],[UK_BH]]=1,calendar[[#This Row],[WeekDay]]=1, calendar[[#This Row],[WeekDay]]=7),P3960,P3960+1)</f>
        <v>2807</v>
      </c>
      <c r="Q3961">
        <f>IF(OR(calendar[[#This Row],[FR_BH]]=1,calendar[[#This Row],[WeekDay]]=1, calendar[[#This Row],[WeekDay]]=7),P3960,P3960+1)</f>
        <v>2807</v>
      </c>
      <c r="R3961">
        <f>IF(OR(calendar[[#This Row],[SP_BH]]=1,calendar[[#This Row],[WeekDay]]=1, calendar[[#This Row],[WeekDay]]=7),P3960,P3960+1)</f>
        <v>2807</v>
      </c>
      <c r="S3961">
        <f>IF(OR(calendar[[#This Row],[PT_BH]]=1,calendar[[#This Row],[WeekDay]]=1, calendar[[#This Row],[WeekDay]]=7),P3960,P3960+1)</f>
        <v>2807</v>
      </c>
    </row>
    <row r="3962" spans="1:19" x14ac:dyDescent="0.25">
      <c r="A3962" s="2">
        <v>46696</v>
      </c>
      <c r="B3962" s="1">
        <f t="shared" si="311"/>
        <v>45</v>
      </c>
      <c r="C3962">
        <f t="shared" si="312"/>
        <v>11</v>
      </c>
      <c r="D3962" t="str">
        <f t="shared" si="313"/>
        <v>November</v>
      </c>
      <c r="E3962">
        <f t="shared" si="314"/>
        <v>2027</v>
      </c>
      <c r="F3962" t="str">
        <f>CONCATENATE(calendar[[#This Row],[Month]],"/",calendar[[#This Row],[Year]])</f>
        <v>11/2027</v>
      </c>
      <c r="G3962">
        <f>WEEKDAY(calendar[[#This Row],[Date]],1)</f>
        <v>6</v>
      </c>
      <c r="H3962" t="str">
        <f>TEXT(calendar[[#This Row],[WeekDay]],"dddd")</f>
        <v>Friday</v>
      </c>
      <c r="I3962">
        <f>IF((INT(calendar[[#This Row],[Count]]/7)-calendar[[#This Row],[Count]]/7)&lt;0,I3961,I3961+1)</f>
        <v>566</v>
      </c>
      <c r="J3962">
        <f t="shared" si="315"/>
        <v>3960</v>
      </c>
      <c r="K3962">
        <f>IF(calendar[[#This Row],[Month]]&lt;4,1,IF(calendar[[#This Row],[Month]]&lt;7,2,IF(calendar[[#This Row],[Month]]&lt;10,3,4)))</f>
        <v>4</v>
      </c>
      <c r="L3962">
        <f>IFERROR(IF(VLOOKUP(calendar[[#This Row],[Date]],BH!A:A,1,)&lt;&gt;"",1,0),0)</f>
        <v>0</v>
      </c>
      <c r="M3962">
        <f>IFERROR(IF(VLOOKUP(calendar[[#This Row],[Date]],BH!C:C,1,)&lt;&gt;"",1,0),0)</f>
        <v>0</v>
      </c>
      <c r="N3962">
        <f>IFERROR(IF(VLOOKUP(calendar[[#This Row],[Date]],BH!E:E,1,)&lt;&gt;"",1,0),0)</f>
        <v>0</v>
      </c>
      <c r="O3962">
        <f>IFERROR(IF(VLOOKUP(calendar[[#This Row],[Date]],BH!G:G,1,)&lt;&gt;"",1,0),0)</f>
        <v>0</v>
      </c>
      <c r="P3962">
        <f>IF(OR(calendar[[#This Row],[UK_BH]]=1,calendar[[#This Row],[WeekDay]]=1, calendar[[#This Row],[WeekDay]]=7),P3961,P3961+1)</f>
        <v>2808</v>
      </c>
      <c r="Q3962">
        <f>IF(OR(calendar[[#This Row],[FR_BH]]=1,calendar[[#This Row],[WeekDay]]=1, calendar[[#This Row],[WeekDay]]=7),P3961,P3961+1)</f>
        <v>2808</v>
      </c>
      <c r="R3962">
        <f>IF(OR(calendar[[#This Row],[SP_BH]]=1,calendar[[#This Row],[WeekDay]]=1, calendar[[#This Row],[WeekDay]]=7),P3961,P3961+1)</f>
        <v>2808</v>
      </c>
      <c r="S3962">
        <f>IF(OR(calendar[[#This Row],[PT_BH]]=1,calendar[[#This Row],[WeekDay]]=1, calendar[[#This Row],[WeekDay]]=7),P3961,P3961+1)</f>
        <v>2808</v>
      </c>
    </row>
    <row r="3963" spans="1:19" x14ac:dyDescent="0.25">
      <c r="A3963" s="2">
        <v>46697</v>
      </c>
      <c r="B3963" s="1">
        <f t="shared" si="311"/>
        <v>45</v>
      </c>
      <c r="C3963">
        <f t="shared" si="312"/>
        <v>11</v>
      </c>
      <c r="D3963" t="str">
        <f t="shared" si="313"/>
        <v>November</v>
      </c>
      <c r="E3963">
        <f t="shared" si="314"/>
        <v>2027</v>
      </c>
      <c r="F3963" t="str">
        <f>CONCATENATE(calendar[[#This Row],[Month]],"/",calendar[[#This Row],[Year]])</f>
        <v>11/2027</v>
      </c>
      <c r="G3963">
        <f>WEEKDAY(calendar[[#This Row],[Date]],1)</f>
        <v>7</v>
      </c>
      <c r="H3963" t="str">
        <f>TEXT(calendar[[#This Row],[WeekDay]],"dddd")</f>
        <v>Saturday</v>
      </c>
      <c r="I3963">
        <f>IF((INT(calendar[[#This Row],[Count]]/7)-calendar[[#This Row],[Count]]/7)&lt;0,I3962,I3962+1)</f>
        <v>566</v>
      </c>
      <c r="J3963">
        <f t="shared" si="315"/>
        <v>3961</v>
      </c>
      <c r="K3963">
        <f>IF(calendar[[#This Row],[Month]]&lt;4,1,IF(calendar[[#This Row],[Month]]&lt;7,2,IF(calendar[[#This Row],[Month]]&lt;10,3,4)))</f>
        <v>4</v>
      </c>
      <c r="L3963">
        <f>IFERROR(IF(VLOOKUP(calendar[[#This Row],[Date]],BH!A:A,1,)&lt;&gt;"",1,0),0)</f>
        <v>0</v>
      </c>
      <c r="M3963">
        <f>IFERROR(IF(VLOOKUP(calendar[[#This Row],[Date]],BH!C:C,1,)&lt;&gt;"",1,0),0)</f>
        <v>0</v>
      </c>
      <c r="N3963">
        <f>IFERROR(IF(VLOOKUP(calendar[[#This Row],[Date]],BH!E:E,1,)&lt;&gt;"",1,0),0)</f>
        <v>0</v>
      </c>
      <c r="O3963">
        <f>IFERROR(IF(VLOOKUP(calendar[[#This Row],[Date]],BH!G:G,1,)&lt;&gt;"",1,0),0)</f>
        <v>0</v>
      </c>
      <c r="P3963">
        <f>IF(OR(calendar[[#This Row],[UK_BH]]=1,calendar[[#This Row],[WeekDay]]=1, calendar[[#This Row],[WeekDay]]=7),P3962,P3962+1)</f>
        <v>2808</v>
      </c>
      <c r="Q3963">
        <f>IF(OR(calendar[[#This Row],[FR_BH]]=1,calendar[[#This Row],[WeekDay]]=1, calendar[[#This Row],[WeekDay]]=7),P3962,P3962+1)</f>
        <v>2808</v>
      </c>
      <c r="R3963">
        <f>IF(OR(calendar[[#This Row],[SP_BH]]=1,calendar[[#This Row],[WeekDay]]=1, calendar[[#This Row],[WeekDay]]=7),P3962,P3962+1)</f>
        <v>2808</v>
      </c>
      <c r="S3963">
        <f>IF(OR(calendar[[#This Row],[PT_BH]]=1,calendar[[#This Row],[WeekDay]]=1, calendar[[#This Row],[WeekDay]]=7),P3962,P3962+1)</f>
        <v>2808</v>
      </c>
    </row>
    <row r="3964" spans="1:19" x14ac:dyDescent="0.25">
      <c r="A3964" s="2">
        <v>46698</v>
      </c>
      <c r="B3964" s="1">
        <f t="shared" si="311"/>
        <v>46</v>
      </c>
      <c r="C3964">
        <f t="shared" si="312"/>
        <v>11</v>
      </c>
      <c r="D3964" t="str">
        <f t="shared" si="313"/>
        <v>November</v>
      </c>
      <c r="E3964">
        <f t="shared" si="314"/>
        <v>2027</v>
      </c>
      <c r="F3964" t="str">
        <f>CONCATENATE(calendar[[#This Row],[Month]],"/",calendar[[#This Row],[Year]])</f>
        <v>11/2027</v>
      </c>
      <c r="G3964">
        <f>WEEKDAY(calendar[[#This Row],[Date]],1)</f>
        <v>1</v>
      </c>
      <c r="H3964" t="str">
        <f>TEXT(calendar[[#This Row],[WeekDay]],"dddd")</f>
        <v>Sunday</v>
      </c>
      <c r="I3964">
        <f>IF((INT(calendar[[#This Row],[Count]]/7)-calendar[[#This Row],[Count]]/7)&lt;0,I3963,I3963+1)</f>
        <v>567</v>
      </c>
      <c r="J3964">
        <f t="shared" si="315"/>
        <v>3962</v>
      </c>
      <c r="K3964">
        <f>IF(calendar[[#This Row],[Month]]&lt;4,1,IF(calendar[[#This Row],[Month]]&lt;7,2,IF(calendar[[#This Row],[Month]]&lt;10,3,4)))</f>
        <v>4</v>
      </c>
      <c r="L3964">
        <f>IFERROR(IF(VLOOKUP(calendar[[#This Row],[Date]],BH!A:A,1,)&lt;&gt;"",1,0),0)</f>
        <v>0</v>
      </c>
      <c r="M3964">
        <f>IFERROR(IF(VLOOKUP(calendar[[#This Row],[Date]],BH!C:C,1,)&lt;&gt;"",1,0),0)</f>
        <v>0</v>
      </c>
      <c r="N3964">
        <f>IFERROR(IF(VLOOKUP(calendar[[#This Row],[Date]],BH!E:E,1,)&lt;&gt;"",1,0),0)</f>
        <v>0</v>
      </c>
      <c r="O3964">
        <f>IFERROR(IF(VLOOKUP(calendar[[#This Row],[Date]],BH!G:G,1,)&lt;&gt;"",1,0),0)</f>
        <v>0</v>
      </c>
      <c r="P3964">
        <f>IF(OR(calendar[[#This Row],[UK_BH]]=1,calendar[[#This Row],[WeekDay]]=1, calendar[[#This Row],[WeekDay]]=7),P3963,P3963+1)</f>
        <v>2808</v>
      </c>
      <c r="Q3964">
        <f>IF(OR(calendar[[#This Row],[FR_BH]]=1,calendar[[#This Row],[WeekDay]]=1, calendar[[#This Row],[WeekDay]]=7),P3963,P3963+1)</f>
        <v>2808</v>
      </c>
      <c r="R3964">
        <f>IF(OR(calendar[[#This Row],[SP_BH]]=1,calendar[[#This Row],[WeekDay]]=1, calendar[[#This Row],[WeekDay]]=7),P3963,P3963+1)</f>
        <v>2808</v>
      </c>
      <c r="S3964">
        <f>IF(OR(calendar[[#This Row],[PT_BH]]=1,calendar[[#This Row],[WeekDay]]=1, calendar[[#This Row],[WeekDay]]=7),P3963,P3963+1)</f>
        <v>2808</v>
      </c>
    </row>
    <row r="3965" spans="1:19" x14ac:dyDescent="0.25">
      <c r="A3965" s="2">
        <v>46699</v>
      </c>
      <c r="B3965" s="1">
        <f t="shared" si="311"/>
        <v>46</v>
      </c>
      <c r="C3965">
        <f t="shared" si="312"/>
        <v>11</v>
      </c>
      <c r="D3965" t="str">
        <f t="shared" si="313"/>
        <v>November</v>
      </c>
      <c r="E3965">
        <f t="shared" si="314"/>
        <v>2027</v>
      </c>
      <c r="F3965" t="str">
        <f>CONCATENATE(calendar[[#This Row],[Month]],"/",calendar[[#This Row],[Year]])</f>
        <v>11/2027</v>
      </c>
      <c r="G3965">
        <f>WEEKDAY(calendar[[#This Row],[Date]],1)</f>
        <v>2</v>
      </c>
      <c r="H3965" t="str">
        <f>TEXT(calendar[[#This Row],[WeekDay]],"dddd")</f>
        <v>Monday</v>
      </c>
      <c r="I3965">
        <f>IF((INT(calendar[[#This Row],[Count]]/7)-calendar[[#This Row],[Count]]/7)&lt;0,I3964,I3964+1)</f>
        <v>567</v>
      </c>
      <c r="J3965">
        <f t="shared" si="315"/>
        <v>3963</v>
      </c>
      <c r="K3965">
        <f>IF(calendar[[#This Row],[Month]]&lt;4,1,IF(calendar[[#This Row],[Month]]&lt;7,2,IF(calendar[[#This Row],[Month]]&lt;10,3,4)))</f>
        <v>4</v>
      </c>
      <c r="L3965">
        <f>IFERROR(IF(VLOOKUP(calendar[[#This Row],[Date]],BH!A:A,1,)&lt;&gt;"",1,0),0)</f>
        <v>0</v>
      </c>
      <c r="M3965">
        <f>IFERROR(IF(VLOOKUP(calendar[[#This Row],[Date]],BH!C:C,1,)&lt;&gt;"",1,0),0)</f>
        <v>0</v>
      </c>
      <c r="N3965">
        <f>IFERROR(IF(VLOOKUP(calendar[[#This Row],[Date]],BH!E:E,1,)&lt;&gt;"",1,0),0)</f>
        <v>0</v>
      </c>
      <c r="O3965">
        <f>IFERROR(IF(VLOOKUP(calendar[[#This Row],[Date]],BH!G:G,1,)&lt;&gt;"",1,0),0)</f>
        <v>0</v>
      </c>
      <c r="P3965">
        <f>IF(OR(calendar[[#This Row],[UK_BH]]=1,calendar[[#This Row],[WeekDay]]=1, calendar[[#This Row],[WeekDay]]=7),P3964,P3964+1)</f>
        <v>2809</v>
      </c>
      <c r="Q3965">
        <f>IF(OR(calendar[[#This Row],[FR_BH]]=1,calendar[[#This Row],[WeekDay]]=1, calendar[[#This Row],[WeekDay]]=7),P3964,P3964+1)</f>
        <v>2809</v>
      </c>
      <c r="R3965">
        <f>IF(OR(calendar[[#This Row],[SP_BH]]=1,calendar[[#This Row],[WeekDay]]=1, calendar[[#This Row],[WeekDay]]=7),P3964,P3964+1)</f>
        <v>2809</v>
      </c>
      <c r="S3965">
        <f>IF(OR(calendar[[#This Row],[PT_BH]]=1,calendar[[#This Row],[WeekDay]]=1, calendar[[#This Row],[WeekDay]]=7),P3964,P3964+1)</f>
        <v>2809</v>
      </c>
    </row>
    <row r="3966" spans="1:19" x14ac:dyDescent="0.25">
      <c r="A3966" s="2">
        <v>46700</v>
      </c>
      <c r="B3966" s="1">
        <f t="shared" si="311"/>
        <v>46</v>
      </c>
      <c r="C3966">
        <f t="shared" si="312"/>
        <v>11</v>
      </c>
      <c r="D3966" t="str">
        <f t="shared" si="313"/>
        <v>November</v>
      </c>
      <c r="E3966">
        <f t="shared" si="314"/>
        <v>2027</v>
      </c>
      <c r="F3966" t="str">
        <f>CONCATENATE(calendar[[#This Row],[Month]],"/",calendar[[#This Row],[Year]])</f>
        <v>11/2027</v>
      </c>
      <c r="G3966">
        <f>WEEKDAY(calendar[[#This Row],[Date]],1)</f>
        <v>3</v>
      </c>
      <c r="H3966" t="str">
        <f>TEXT(calendar[[#This Row],[WeekDay]],"dddd")</f>
        <v>Tuesday</v>
      </c>
      <c r="I3966">
        <f>IF((INT(calendar[[#This Row],[Count]]/7)-calendar[[#This Row],[Count]]/7)&lt;0,I3965,I3965+1)</f>
        <v>567</v>
      </c>
      <c r="J3966">
        <f t="shared" si="315"/>
        <v>3964</v>
      </c>
      <c r="K3966">
        <f>IF(calendar[[#This Row],[Month]]&lt;4,1,IF(calendar[[#This Row],[Month]]&lt;7,2,IF(calendar[[#This Row],[Month]]&lt;10,3,4)))</f>
        <v>4</v>
      </c>
      <c r="L3966">
        <f>IFERROR(IF(VLOOKUP(calendar[[#This Row],[Date]],BH!A:A,1,)&lt;&gt;"",1,0),0)</f>
        <v>0</v>
      </c>
      <c r="M3966">
        <f>IFERROR(IF(VLOOKUP(calendar[[#This Row],[Date]],BH!C:C,1,)&lt;&gt;"",1,0),0)</f>
        <v>0</v>
      </c>
      <c r="N3966">
        <f>IFERROR(IF(VLOOKUP(calendar[[#This Row],[Date]],BH!E:E,1,)&lt;&gt;"",1,0),0)</f>
        <v>0</v>
      </c>
      <c r="O3966">
        <f>IFERROR(IF(VLOOKUP(calendar[[#This Row],[Date]],BH!G:G,1,)&lt;&gt;"",1,0),0)</f>
        <v>0</v>
      </c>
      <c r="P3966">
        <f>IF(OR(calendar[[#This Row],[UK_BH]]=1,calendar[[#This Row],[WeekDay]]=1, calendar[[#This Row],[WeekDay]]=7),P3965,P3965+1)</f>
        <v>2810</v>
      </c>
      <c r="Q3966">
        <f>IF(OR(calendar[[#This Row],[FR_BH]]=1,calendar[[#This Row],[WeekDay]]=1, calendar[[#This Row],[WeekDay]]=7),P3965,P3965+1)</f>
        <v>2810</v>
      </c>
      <c r="R3966">
        <f>IF(OR(calendar[[#This Row],[SP_BH]]=1,calendar[[#This Row],[WeekDay]]=1, calendar[[#This Row],[WeekDay]]=7),P3965,P3965+1)</f>
        <v>2810</v>
      </c>
      <c r="S3966">
        <f>IF(OR(calendar[[#This Row],[PT_BH]]=1,calendar[[#This Row],[WeekDay]]=1, calendar[[#This Row],[WeekDay]]=7),P3965,P3965+1)</f>
        <v>2810</v>
      </c>
    </row>
    <row r="3967" spans="1:19" x14ac:dyDescent="0.25">
      <c r="A3967" s="2">
        <v>46701</v>
      </c>
      <c r="B3967" s="1">
        <f t="shared" si="311"/>
        <v>46</v>
      </c>
      <c r="C3967">
        <f t="shared" si="312"/>
        <v>11</v>
      </c>
      <c r="D3967" t="str">
        <f t="shared" si="313"/>
        <v>November</v>
      </c>
      <c r="E3967">
        <f t="shared" si="314"/>
        <v>2027</v>
      </c>
      <c r="F3967" t="str">
        <f>CONCATENATE(calendar[[#This Row],[Month]],"/",calendar[[#This Row],[Year]])</f>
        <v>11/2027</v>
      </c>
      <c r="G3967">
        <f>WEEKDAY(calendar[[#This Row],[Date]],1)</f>
        <v>4</v>
      </c>
      <c r="H3967" t="str">
        <f>TEXT(calendar[[#This Row],[WeekDay]],"dddd")</f>
        <v>Wednesday</v>
      </c>
      <c r="I3967">
        <f>IF((INT(calendar[[#This Row],[Count]]/7)-calendar[[#This Row],[Count]]/7)&lt;0,I3966,I3966+1)</f>
        <v>567</v>
      </c>
      <c r="J3967">
        <f t="shared" si="315"/>
        <v>3965</v>
      </c>
      <c r="K3967">
        <f>IF(calendar[[#This Row],[Month]]&lt;4,1,IF(calendar[[#This Row],[Month]]&lt;7,2,IF(calendar[[#This Row],[Month]]&lt;10,3,4)))</f>
        <v>4</v>
      </c>
      <c r="L3967">
        <f>IFERROR(IF(VLOOKUP(calendar[[#This Row],[Date]],BH!A:A,1,)&lt;&gt;"",1,0),0)</f>
        <v>0</v>
      </c>
      <c r="M3967">
        <f>IFERROR(IF(VLOOKUP(calendar[[#This Row],[Date]],BH!C:C,1,)&lt;&gt;"",1,0),0)</f>
        <v>0</v>
      </c>
      <c r="N3967">
        <f>IFERROR(IF(VLOOKUP(calendar[[#This Row],[Date]],BH!E:E,1,)&lt;&gt;"",1,0),0)</f>
        <v>0</v>
      </c>
      <c r="O3967">
        <f>IFERROR(IF(VLOOKUP(calendar[[#This Row],[Date]],BH!G:G,1,)&lt;&gt;"",1,0),0)</f>
        <v>0</v>
      </c>
      <c r="P3967">
        <f>IF(OR(calendar[[#This Row],[UK_BH]]=1,calendar[[#This Row],[WeekDay]]=1, calendar[[#This Row],[WeekDay]]=7),P3966,P3966+1)</f>
        <v>2811</v>
      </c>
      <c r="Q3967">
        <f>IF(OR(calendar[[#This Row],[FR_BH]]=1,calendar[[#This Row],[WeekDay]]=1, calendar[[#This Row],[WeekDay]]=7),P3966,P3966+1)</f>
        <v>2811</v>
      </c>
      <c r="R3967">
        <f>IF(OR(calendar[[#This Row],[SP_BH]]=1,calendar[[#This Row],[WeekDay]]=1, calendar[[#This Row],[WeekDay]]=7),P3966,P3966+1)</f>
        <v>2811</v>
      </c>
      <c r="S3967">
        <f>IF(OR(calendar[[#This Row],[PT_BH]]=1,calendar[[#This Row],[WeekDay]]=1, calendar[[#This Row],[WeekDay]]=7),P3966,P3966+1)</f>
        <v>2811</v>
      </c>
    </row>
    <row r="3968" spans="1:19" x14ac:dyDescent="0.25">
      <c r="A3968" s="2">
        <v>46702</v>
      </c>
      <c r="B3968" s="1">
        <f t="shared" si="311"/>
        <v>46</v>
      </c>
      <c r="C3968">
        <f t="shared" si="312"/>
        <v>11</v>
      </c>
      <c r="D3968" t="str">
        <f t="shared" si="313"/>
        <v>November</v>
      </c>
      <c r="E3968">
        <f t="shared" si="314"/>
        <v>2027</v>
      </c>
      <c r="F3968" t="str">
        <f>CONCATENATE(calendar[[#This Row],[Month]],"/",calendar[[#This Row],[Year]])</f>
        <v>11/2027</v>
      </c>
      <c r="G3968">
        <f>WEEKDAY(calendar[[#This Row],[Date]],1)</f>
        <v>5</v>
      </c>
      <c r="H3968" t="str">
        <f>TEXT(calendar[[#This Row],[WeekDay]],"dddd")</f>
        <v>Thursday</v>
      </c>
      <c r="I3968">
        <f>IF((INT(calendar[[#This Row],[Count]]/7)-calendar[[#This Row],[Count]]/7)&lt;0,I3967,I3967+1)</f>
        <v>567</v>
      </c>
      <c r="J3968">
        <f t="shared" si="315"/>
        <v>3966</v>
      </c>
      <c r="K3968">
        <f>IF(calendar[[#This Row],[Month]]&lt;4,1,IF(calendar[[#This Row],[Month]]&lt;7,2,IF(calendar[[#This Row],[Month]]&lt;10,3,4)))</f>
        <v>4</v>
      </c>
      <c r="L3968">
        <f>IFERROR(IF(VLOOKUP(calendar[[#This Row],[Date]],BH!A:A,1,)&lt;&gt;"",1,0),0)</f>
        <v>0</v>
      </c>
      <c r="M3968">
        <f>IFERROR(IF(VLOOKUP(calendar[[#This Row],[Date]],BH!C:C,1,)&lt;&gt;"",1,0),0)</f>
        <v>1</v>
      </c>
      <c r="N3968">
        <f>IFERROR(IF(VLOOKUP(calendar[[#This Row],[Date]],BH!E:E,1,)&lt;&gt;"",1,0),0)</f>
        <v>0</v>
      </c>
      <c r="O3968">
        <f>IFERROR(IF(VLOOKUP(calendar[[#This Row],[Date]],BH!G:G,1,)&lt;&gt;"",1,0),0)</f>
        <v>0</v>
      </c>
      <c r="P3968">
        <f>IF(OR(calendar[[#This Row],[UK_BH]]=1,calendar[[#This Row],[WeekDay]]=1, calendar[[#This Row],[WeekDay]]=7),P3967,P3967+1)</f>
        <v>2812</v>
      </c>
      <c r="Q3968">
        <f>IF(OR(calendar[[#This Row],[FR_BH]]=1,calendar[[#This Row],[WeekDay]]=1, calendar[[#This Row],[WeekDay]]=7),P3967,P3967+1)</f>
        <v>2811</v>
      </c>
      <c r="R3968">
        <f>IF(OR(calendar[[#This Row],[SP_BH]]=1,calendar[[#This Row],[WeekDay]]=1, calendar[[#This Row],[WeekDay]]=7),P3967,P3967+1)</f>
        <v>2812</v>
      </c>
      <c r="S3968">
        <f>IF(OR(calendar[[#This Row],[PT_BH]]=1,calendar[[#This Row],[WeekDay]]=1, calendar[[#This Row],[WeekDay]]=7),P3967,P3967+1)</f>
        <v>2812</v>
      </c>
    </row>
    <row r="3969" spans="1:19" x14ac:dyDescent="0.25">
      <c r="A3969" s="2">
        <v>46703</v>
      </c>
      <c r="B3969" s="1">
        <f t="shared" si="311"/>
        <v>46</v>
      </c>
      <c r="C3969">
        <f t="shared" si="312"/>
        <v>11</v>
      </c>
      <c r="D3969" t="str">
        <f t="shared" si="313"/>
        <v>November</v>
      </c>
      <c r="E3969">
        <f t="shared" si="314"/>
        <v>2027</v>
      </c>
      <c r="F3969" t="str">
        <f>CONCATENATE(calendar[[#This Row],[Month]],"/",calendar[[#This Row],[Year]])</f>
        <v>11/2027</v>
      </c>
      <c r="G3969">
        <f>WEEKDAY(calendar[[#This Row],[Date]],1)</f>
        <v>6</v>
      </c>
      <c r="H3969" t="str">
        <f>TEXT(calendar[[#This Row],[WeekDay]],"dddd")</f>
        <v>Friday</v>
      </c>
      <c r="I3969">
        <f>IF((INT(calendar[[#This Row],[Count]]/7)-calendar[[#This Row],[Count]]/7)&lt;0,I3968,I3968+1)</f>
        <v>567</v>
      </c>
      <c r="J3969">
        <f t="shared" si="315"/>
        <v>3967</v>
      </c>
      <c r="K3969">
        <f>IF(calendar[[#This Row],[Month]]&lt;4,1,IF(calendar[[#This Row],[Month]]&lt;7,2,IF(calendar[[#This Row],[Month]]&lt;10,3,4)))</f>
        <v>4</v>
      </c>
      <c r="L3969">
        <f>IFERROR(IF(VLOOKUP(calendar[[#This Row],[Date]],BH!A:A,1,)&lt;&gt;"",1,0),0)</f>
        <v>0</v>
      </c>
      <c r="M3969">
        <f>IFERROR(IF(VLOOKUP(calendar[[#This Row],[Date]],BH!C:C,1,)&lt;&gt;"",1,0),0)</f>
        <v>0</v>
      </c>
      <c r="N3969">
        <f>IFERROR(IF(VLOOKUP(calendar[[#This Row],[Date]],BH!E:E,1,)&lt;&gt;"",1,0),0)</f>
        <v>0</v>
      </c>
      <c r="O3969">
        <f>IFERROR(IF(VLOOKUP(calendar[[#This Row],[Date]],BH!G:G,1,)&lt;&gt;"",1,0),0)</f>
        <v>0</v>
      </c>
      <c r="P3969">
        <f>IF(OR(calendar[[#This Row],[UK_BH]]=1,calendar[[#This Row],[WeekDay]]=1, calendar[[#This Row],[WeekDay]]=7),P3968,P3968+1)</f>
        <v>2813</v>
      </c>
      <c r="Q3969">
        <f>IF(OR(calendar[[#This Row],[FR_BH]]=1,calendar[[#This Row],[WeekDay]]=1, calendar[[#This Row],[WeekDay]]=7),P3968,P3968+1)</f>
        <v>2813</v>
      </c>
      <c r="R3969">
        <f>IF(OR(calendar[[#This Row],[SP_BH]]=1,calendar[[#This Row],[WeekDay]]=1, calendar[[#This Row],[WeekDay]]=7),P3968,P3968+1)</f>
        <v>2813</v>
      </c>
      <c r="S3969">
        <f>IF(OR(calendar[[#This Row],[PT_BH]]=1,calendar[[#This Row],[WeekDay]]=1, calendar[[#This Row],[WeekDay]]=7),P3968,P3968+1)</f>
        <v>2813</v>
      </c>
    </row>
    <row r="3970" spans="1:19" x14ac:dyDescent="0.25">
      <c r="A3970" s="2">
        <v>46704</v>
      </c>
      <c r="B3970" s="1">
        <f t="shared" ref="B3970:B4033" si="316">WEEKNUM(A3970)</f>
        <v>46</v>
      </c>
      <c r="C3970">
        <f t="shared" si="312"/>
        <v>11</v>
      </c>
      <c r="D3970" t="str">
        <f t="shared" si="313"/>
        <v>November</v>
      </c>
      <c r="E3970">
        <f t="shared" si="314"/>
        <v>2027</v>
      </c>
      <c r="F3970" t="str">
        <f>CONCATENATE(calendar[[#This Row],[Month]],"/",calendar[[#This Row],[Year]])</f>
        <v>11/2027</v>
      </c>
      <c r="G3970">
        <f>WEEKDAY(calendar[[#This Row],[Date]],1)</f>
        <v>7</v>
      </c>
      <c r="H3970" t="str">
        <f>TEXT(calendar[[#This Row],[WeekDay]],"dddd")</f>
        <v>Saturday</v>
      </c>
      <c r="I3970">
        <f>IF((INT(calendar[[#This Row],[Count]]/7)-calendar[[#This Row],[Count]]/7)&lt;0,I3969,I3969+1)</f>
        <v>567</v>
      </c>
      <c r="J3970">
        <f t="shared" si="315"/>
        <v>3968</v>
      </c>
      <c r="K3970">
        <f>IF(calendar[[#This Row],[Month]]&lt;4,1,IF(calendar[[#This Row],[Month]]&lt;7,2,IF(calendar[[#This Row],[Month]]&lt;10,3,4)))</f>
        <v>4</v>
      </c>
      <c r="L3970">
        <f>IFERROR(IF(VLOOKUP(calendar[[#This Row],[Date]],BH!A:A,1,)&lt;&gt;"",1,0),0)</f>
        <v>0</v>
      </c>
      <c r="M3970">
        <f>IFERROR(IF(VLOOKUP(calendar[[#This Row],[Date]],BH!C:C,1,)&lt;&gt;"",1,0),0)</f>
        <v>0</v>
      </c>
      <c r="N3970">
        <f>IFERROR(IF(VLOOKUP(calendar[[#This Row],[Date]],BH!E:E,1,)&lt;&gt;"",1,0),0)</f>
        <v>0</v>
      </c>
      <c r="O3970">
        <f>IFERROR(IF(VLOOKUP(calendar[[#This Row],[Date]],BH!G:G,1,)&lt;&gt;"",1,0),0)</f>
        <v>0</v>
      </c>
      <c r="P3970">
        <f>IF(OR(calendar[[#This Row],[UK_BH]]=1,calendar[[#This Row],[WeekDay]]=1, calendar[[#This Row],[WeekDay]]=7),P3969,P3969+1)</f>
        <v>2813</v>
      </c>
      <c r="Q3970">
        <f>IF(OR(calendar[[#This Row],[FR_BH]]=1,calendar[[#This Row],[WeekDay]]=1, calendar[[#This Row],[WeekDay]]=7),P3969,P3969+1)</f>
        <v>2813</v>
      </c>
      <c r="R3970">
        <f>IF(OR(calendar[[#This Row],[SP_BH]]=1,calendar[[#This Row],[WeekDay]]=1, calendar[[#This Row],[WeekDay]]=7),P3969,P3969+1)</f>
        <v>2813</v>
      </c>
      <c r="S3970">
        <f>IF(OR(calendar[[#This Row],[PT_BH]]=1,calendar[[#This Row],[WeekDay]]=1, calendar[[#This Row],[WeekDay]]=7),P3969,P3969+1)</f>
        <v>2813</v>
      </c>
    </row>
    <row r="3971" spans="1:19" x14ac:dyDescent="0.25">
      <c r="A3971" s="2">
        <v>46705</v>
      </c>
      <c r="B3971" s="1">
        <f t="shared" si="316"/>
        <v>47</v>
      </c>
      <c r="C3971">
        <f t="shared" ref="C3971:C4034" si="317">MONTH(A3971)</f>
        <v>11</v>
      </c>
      <c r="D3971" t="str">
        <f t="shared" ref="D3971:D4034" si="318">TEXT(A3971,"mmmm")</f>
        <v>November</v>
      </c>
      <c r="E3971">
        <f t="shared" ref="E3971:E4034" si="319">YEAR(A3971)</f>
        <v>2027</v>
      </c>
      <c r="F3971" t="str">
        <f>CONCATENATE(calendar[[#This Row],[Month]],"/",calendar[[#This Row],[Year]])</f>
        <v>11/2027</v>
      </c>
      <c r="G3971">
        <f>WEEKDAY(calendar[[#This Row],[Date]],1)</f>
        <v>1</v>
      </c>
      <c r="H3971" t="str">
        <f>TEXT(calendar[[#This Row],[WeekDay]],"dddd")</f>
        <v>Sunday</v>
      </c>
      <c r="I3971">
        <f>IF((INT(calendar[[#This Row],[Count]]/7)-calendar[[#This Row],[Count]]/7)&lt;0,I3970,I3970+1)</f>
        <v>568</v>
      </c>
      <c r="J3971">
        <f t="shared" ref="J3971:J4034" si="320">J3970+1</f>
        <v>3969</v>
      </c>
      <c r="K3971">
        <f>IF(calendar[[#This Row],[Month]]&lt;4,1,IF(calendar[[#This Row],[Month]]&lt;7,2,IF(calendar[[#This Row],[Month]]&lt;10,3,4)))</f>
        <v>4</v>
      </c>
      <c r="L3971">
        <f>IFERROR(IF(VLOOKUP(calendar[[#This Row],[Date]],BH!A:A,1,)&lt;&gt;"",1,0),0)</f>
        <v>0</v>
      </c>
      <c r="M3971">
        <f>IFERROR(IF(VLOOKUP(calendar[[#This Row],[Date]],BH!C:C,1,)&lt;&gt;"",1,0),0)</f>
        <v>0</v>
      </c>
      <c r="N3971">
        <f>IFERROR(IF(VLOOKUP(calendar[[#This Row],[Date]],BH!E:E,1,)&lt;&gt;"",1,0),0)</f>
        <v>0</v>
      </c>
      <c r="O3971">
        <f>IFERROR(IF(VLOOKUP(calendar[[#This Row],[Date]],BH!G:G,1,)&lt;&gt;"",1,0),0)</f>
        <v>0</v>
      </c>
      <c r="P3971">
        <f>IF(OR(calendar[[#This Row],[UK_BH]]=1,calendar[[#This Row],[WeekDay]]=1, calendar[[#This Row],[WeekDay]]=7),P3970,P3970+1)</f>
        <v>2813</v>
      </c>
      <c r="Q3971">
        <f>IF(OR(calendar[[#This Row],[FR_BH]]=1,calendar[[#This Row],[WeekDay]]=1, calendar[[#This Row],[WeekDay]]=7),P3970,P3970+1)</f>
        <v>2813</v>
      </c>
      <c r="R3971">
        <f>IF(OR(calendar[[#This Row],[SP_BH]]=1,calendar[[#This Row],[WeekDay]]=1, calendar[[#This Row],[WeekDay]]=7),P3970,P3970+1)</f>
        <v>2813</v>
      </c>
      <c r="S3971">
        <f>IF(OR(calendar[[#This Row],[PT_BH]]=1,calendar[[#This Row],[WeekDay]]=1, calendar[[#This Row],[WeekDay]]=7),P3970,P3970+1)</f>
        <v>2813</v>
      </c>
    </row>
    <row r="3972" spans="1:19" x14ac:dyDescent="0.25">
      <c r="A3972" s="2">
        <v>46706</v>
      </c>
      <c r="B3972" s="1">
        <f t="shared" si="316"/>
        <v>47</v>
      </c>
      <c r="C3972">
        <f t="shared" si="317"/>
        <v>11</v>
      </c>
      <c r="D3972" t="str">
        <f t="shared" si="318"/>
        <v>November</v>
      </c>
      <c r="E3972">
        <f t="shared" si="319"/>
        <v>2027</v>
      </c>
      <c r="F3972" t="str">
        <f>CONCATENATE(calendar[[#This Row],[Month]],"/",calendar[[#This Row],[Year]])</f>
        <v>11/2027</v>
      </c>
      <c r="G3972">
        <f>WEEKDAY(calendar[[#This Row],[Date]],1)</f>
        <v>2</v>
      </c>
      <c r="H3972" t="str">
        <f>TEXT(calendar[[#This Row],[WeekDay]],"dddd")</f>
        <v>Monday</v>
      </c>
      <c r="I3972">
        <f>IF((INT(calendar[[#This Row],[Count]]/7)-calendar[[#This Row],[Count]]/7)&lt;0,I3971,I3971+1)</f>
        <v>568</v>
      </c>
      <c r="J3972">
        <f t="shared" si="320"/>
        <v>3970</v>
      </c>
      <c r="K3972">
        <f>IF(calendar[[#This Row],[Month]]&lt;4,1,IF(calendar[[#This Row],[Month]]&lt;7,2,IF(calendar[[#This Row],[Month]]&lt;10,3,4)))</f>
        <v>4</v>
      </c>
      <c r="L3972">
        <f>IFERROR(IF(VLOOKUP(calendar[[#This Row],[Date]],BH!A:A,1,)&lt;&gt;"",1,0),0)</f>
        <v>0</v>
      </c>
      <c r="M3972">
        <f>IFERROR(IF(VLOOKUP(calendar[[#This Row],[Date]],BH!C:C,1,)&lt;&gt;"",1,0),0)</f>
        <v>0</v>
      </c>
      <c r="N3972">
        <f>IFERROR(IF(VLOOKUP(calendar[[#This Row],[Date]],BH!E:E,1,)&lt;&gt;"",1,0),0)</f>
        <v>0</v>
      </c>
      <c r="O3972">
        <f>IFERROR(IF(VLOOKUP(calendar[[#This Row],[Date]],BH!G:G,1,)&lt;&gt;"",1,0),0)</f>
        <v>0</v>
      </c>
      <c r="P3972">
        <f>IF(OR(calendar[[#This Row],[UK_BH]]=1,calendar[[#This Row],[WeekDay]]=1, calendar[[#This Row],[WeekDay]]=7),P3971,P3971+1)</f>
        <v>2814</v>
      </c>
      <c r="Q3972">
        <f>IF(OR(calendar[[#This Row],[FR_BH]]=1,calendar[[#This Row],[WeekDay]]=1, calendar[[#This Row],[WeekDay]]=7),P3971,P3971+1)</f>
        <v>2814</v>
      </c>
      <c r="R3972">
        <f>IF(OR(calendar[[#This Row],[SP_BH]]=1,calendar[[#This Row],[WeekDay]]=1, calendar[[#This Row],[WeekDay]]=7),P3971,P3971+1)</f>
        <v>2814</v>
      </c>
      <c r="S3972">
        <f>IF(OR(calendar[[#This Row],[PT_BH]]=1,calendar[[#This Row],[WeekDay]]=1, calendar[[#This Row],[WeekDay]]=7),P3971,P3971+1)</f>
        <v>2814</v>
      </c>
    </row>
    <row r="3973" spans="1:19" x14ac:dyDescent="0.25">
      <c r="A3973" s="2">
        <v>46707</v>
      </c>
      <c r="B3973" s="1">
        <f t="shared" si="316"/>
        <v>47</v>
      </c>
      <c r="C3973">
        <f t="shared" si="317"/>
        <v>11</v>
      </c>
      <c r="D3973" t="str">
        <f t="shared" si="318"/>
        <v>November</v>
      </c>
      <c r="E3973">
        <f t="shared" si="319"/>
        <v>2027</v>
      </c>
      <c r="F3973" t="str">
        <f>CONCATENATE(calendar[[#This Row],[Month]],"/",calendar[[#This Row],[Year]])</f>
        <v>11/2027</v>
      </c>
      <c r="G3973">
        <f>WEEKDAY(calendar[[#This Row],[Date]],1)</f>
        <v>3</v>
      </c>
      <c r="H3973" t="str">
        <f>TEXT(calendar[[#This Row],[WeekDay]],"dddd")</f>
        <v>Tuesday</v>
      </c>
      <c r="I3973">
        <f>IF((INT(calendar[[#This Row],[Count]]/7)-calendar[[#This Row],[Count]]/7)&lt;0,I3972,I3972+1)</f>
        <v>568</v>
      </c>
      <c r="J3973">
        <f t="shared" si="320"/>
        <v>3971</v>
      </c>
      <c r="K3973">
        <f>IF(calendar[[#This Row],[Month]]&lt;4,1,IF(calendar[[#This Row],[Month]]&lt;7,2,IF(calendar[[#This Row],[Month]]&lt;10,3,4)))</f>
        <v>4</v>
      </c>
      <c r="L3973">
        <f>IFERROR(IF(VLOOKUP(calendar[[#This Row],[Date]],BH!A:A,1,)&lt;&gt;"",1,0),0)</f>
        <v>0</v>
      </c>
      <c r="M3973">
        <f>IFERROR(IF(VLOOKUP(calendar[[#This Row],[Date]],BH!C:C,1,)&lt;&gt;"",1,0),0)</f>
        <v>0</v>
      </c>
      <c r="N3973">
        <f>IFERROR(IF(VLOOKUP(calendar[[#This Row],[Date]],BH!E:E,1,)&lt;&gt;"",1,0),0)</f>
        <v>0</v>
      </c>
      <c r="O3973">
        <f>IFERROR(IF(VLOOKUP(calendar[[#This Row],[Date]],BH!G:G,1,)&lt;&gt;"",1,0),0)</f>
        <v>0</v>
      </c>
      <c r="P3973">
        <f>IF(OR(calendar[[#This Row],[UK_BH]]=1,calendar[[#This Row],[WeekDay]]=1, calendar[[#This Row],[WeekDay]]=7),P3972,P3972+1)</f>
        <v>2815</v>
      </c>
      <c r="Q3973">
        <f>IF(OR(calendar[[#This Row],[FR_BH]]=1,calendar[[#This Row],[WeekDay]]=1, calendar[[#This Row],[WeekDay]]=7),P3972,P3972+1)</f>
        <v>2815</v>
      </c>
      <c r="R3973">
        <f>IF(OR(calendar[[#This Row],[SP_BH]]=1,calendar[[#This Row],[WeekDay]]=1, calendar[[#This Row],[WeekDay]]=7),P3972,P3972+1)</f>
        <v>2815</v>
      </c>
      <c r="S3973">
        <f>IF(OR(calendar[[#This Row],[PT_BH]]=1,calendar[[#This Row],[WeekDay]]=1, calendar[[#This Row],[WeekDay]]=7),P3972,P3972+1)</f>
        <v>2815</v>
      </c>
    </row>
    <row r="3974" spans="1:19" x14ac:dyDescent="0.25">
      <c r="A3974" s="2">
        <v>46708</v>
      </c>
      <c r="B3974" s="1">
        <f t="shared" si="316"/>
        <v>47</v>
      </c>
      <c r="C3974">
        <f t="shared" si="317"/>
        <v>11</v>
      </c>
      <c r="D3974" t="str">
        <f t="shared" si="318"/>
        <v>November</v>
      </c>
      <c r="E3974">
        <f t="shared" si="319"/>
        <v>2027</v>
      </c>
      <c r="F3974" t="str">
        <f>CONCATENATE(calendar[[#This Row],[Month]],"/",calendar[[#This Row],[Year]])</f>
        <v>11/2027</v>
      </c>
      <c r="G3974">
        <f>WEEKDAY(calendar[[#This Row],[Date]],1)</f>
        <v>4</v>
      </c>
      <c r="H3974" t="str">
        <f>TEXT(calendar[[#This Row],[WeekDay]],"dddd")</f>
        <v>Wednesday</v>
      </c>
      <c r="I3974">
        <f>IF((INT(calendar[[#This Row],[Count]]/7)-calendar[[#This Row],[Count]]/7)&lt;0,I3973,I3973+1)</f>
        <v>568</v>
      </c>
      <c r="J3974">
        <f t="shared" si="320"/>
        <v>3972</v>
      </c>
      <c r="K3974">
        <f>IF(calendar[[#This Row],[Month]]&lt;4,1,IF(calendar[[#This Row],[Month]]&lt;7,2,IF(calendar[[#This Row],[Month]]&lt;10,3,4)))</f>
        <v>4</v>
      </c>
      <c r="L3974">
        <f>IFERROR(IF(VLOOKUP(calendar[[#This Row],[Date]],BH!A:A,1,)&lt;&gt;"",1,0),0)</f>
        <v>0</v>
      </c>
      <c r="M3974">
        <f>IFERROR(IF(VLOOKUP(calendar[[#This Row],[Date]],BH!C:C,1,)&lt;&gt;"",1,0),0)</f>
        <v>0</v>
      </c>
      <c r="N3974">
        <f>IFERROR(IF(VLOOKUP(calendar[[#This Row],[Date]],BH!E:E,1,)&lt;&gt;"",1,0),0)</f>
        <v>0</v>
      </c>
      <c r="O3974">
        <f>IFERROR(IF(VLOOKUP(calendar[[#This Row],[Date]],BH!G:G,1,)&lt;&gt;"",1,0),0)</f>
        <v>0</v>
      </c>
      <c r="P3974">
        <f>IF(OR(calendar[[#This Row],[UK_BH]]=1,calendar[[#This Row],[WeekDay]]=1, calendar[[#This Row],[WeekDay]]=7),P3973,P3973+1)</f>
        <v>2816</v>
      </c>
      <c r="Q3974">
        <f>IF(OR(calendar[[#This Row],[FR_BH]]=1,calendar[[#This Row],[WeekDay]]=1, calendar[[#This Row],[WeekDay]]=7),P3973,P3973+1)</f>
        <v>2816</v>
      </c>
      <c r="R3974">
        <f>IF(OR(calendar[[#This Row],[SP_BH]]=1,calendar[[#This Row],[WeekDay]]=1, calendar[[#This Row],[WeekDay]]=7),P3973,P3973+1)</f>
        <v>2816</v>
      </c>
      <c r="S3974">
        <f>IF(OR(calendar[[#This Row],[PT_BH]]=1,calendar[[#This Row],[WeekDay]]=1, calendar[[#This Row],[WeekDay]]=7),P3973,P3973+1)</f>
        <v>2816</v>
      </c>
    </row>
    <row r="3975" spans="1:19" x14ac:dyDescent="0.25">
      <c r="A3975" s="2">
        <v>46709</v>
      </c>
      <c r="B3975" s="1">
        <f t="shared" si="316"/>
        <v>47</v>
      </c>
      <c r="C3975">
        <f t="shared" si="317"/>
        <v>11</v>
      </c>
      <c r="D3975" t="str">
        <f t="shared" si="318"/>
        <v>November</v>
      </c>
      <c r="E3975">
        <f t="shared" si="319"/>
        <v>2027</v>
      </c>
      <c r="F3975" t="str">
        <f>CONCATENATE(calendar[[#This Row],[Month]],"/",calendar[[#This Row],[Year]])</f>
        <v>11/2027</v>
      </c>
      <c r="G3975">
        <f>WEEKDAY(calendar[[#This Row],[Date]],1)</f>
        <v>5</v>
      </c>
      <c r="H3975" t="str">
        <f>TEXT(calendar[[#This Row],[WeekDay]],"dddd")</f>
        <v>Thursday</v>
      </c>
      <c r="I3975">
        <f>IF((INT(calendar[[#This Row],[Count]]/7)-calendar[[#This Row],[Count]]/7)&lt;0,I3974,I3974+1)</f>
        <v>568</v>
      </c>
      <c r="J3975">
        <f t="shared" si="320"/>
        <v>3973</v>
      </c>
      <c r="K3975">
        <f>IF(calendar[[#This Row],[Month]]&lt;4,1,IF(calendar[[#This Row],[Month]]&lt;7,2,IF(calendar[[#This Row],[Month]]&lt;10,3,4)))</f>
        <v>4</v>
      </c>
      <c r="L3975">
        <f>IFERROR(IF(VLOOKUP(calendar[[#This Row],[Date]],BH!A:A,1,)&lt;&gt;"",1,0),0)</f>
        <v>0</v>
      </c>
      <c r="M3975">
        <f>IFERROR(IF(VLOOKUP(calendar[[#This Row],[Date]],BH!C:C,1,)&lt;&gt;"",1,0),0)</f>
        <v>0</v>
      </c>
      <c r="N3975">
        <f>IFERROR(IF(VLOOKUP(calendar[[#This Row],[Date]],BH!E:E,1,)&lt;&gt;"",1,0),0)</f>
        <v>0</v>
      </c>
      <c r="O3975">
        <f>IFERROR(IF(VLOOKUP(calendar[[#This Row],[Date]],BH!G:G,1,)&lt;&gt;"",1,0),0)</f>
        <v>0</v>
      </c>
      <c r="P3975">
        <f>IF(OR(calendar[[#This Row],[UK_BH]]=1,calendar[[#This Row],[WeekDay]]=1, calendar[[#This Row],[WeekDay]]=7),P3974,P3974+1)</f>
        <v>2817</v>
      </c>
      <c r="Q3975">
        <f>IF(OR(calendar[[#This Row],[FR_BH]]=1,calendar[[#This Row],[WeekDay]]=1, calendar[[#This Row],[WeekDay]]=7),P3974,P3974+1)</f>
        <v>2817</v>
      </c>
      <c r="R3975">
        <f>IF(OR(calendar[[#This Row],[SP_BH]]=1,calendar[[#This Row],[WeekDay]]=1, calendar[[#This Row],[WeekDay]]=7),P3974,P3974+1)</f>
        <v>2817</v>
      </c>
      <c r="S3975">
        <f>IF(OR(calendar[[#This Row],[PT_BH]]=1,calendar[[#This Row],[WeekDay]]=1, calendar[[#This Row],[WeekDay]]=7),P3974,P3974+1)</f>
        <v>2817</v>
      </c>
    </row>
    <row r="3976" spans="1:19" x14ac:dyDescent="0.25">
      <c r="A3976" s="2">
        <v>46710</v>
      </c>
      <c r="B3976" s="1">
        <f t="shared" si="316"/>
        <v>47</v>
      </c>
      <c r="C3976">
        <f t="shared" si="317"/>
        <v>11</v>
      </c>
      <c r="D3976" t="str">
        <f t="shared" si="318"/>
        <v>November</v>
      </c>
      <c r="E3976">
        <f t="shared" si="319"/>
        <v>2027</v>
      </c>
      <c r="F3976" t="str">
        <f>CONCATENATE(calendar[[#This Row],[Month]],"/",calendar[[#This Row],[Year]])</f>
        <v>11/2027</v>
      </c>
      <c r="G3976">
        <f>WEEKDAY(calendar[[#This Row],[Date]],1)</f>
        <v>6</v>
      </c>
      <c r="H3976" t="str">
        <f>TEXT(calendar[[#This Row],[WeekDay]],"dddd")</f>
        <v>Friday</v>
      </c>
      <c r="I3976">
        <f>IF((INT(calendar[[#This Row],[Count]]/7)-calendar[[#This Row],[Count]]/7)&lt;0,I3975,I3975+1)</f>
        <v>568</v>
      </c>
      <c r="J3976">
        <f t="shared" si="320"/>
        <v>3974</v>
      </c>
      <c r="K3976">
        <f>IF(calendar[[#This Row],[Month]]&lt;4,1,IF(calendar[[#This Row],[Month]]&lt;7,2,IF(calendar[[#This Row],[Month]]&lt;10,3,4)))</f>
        <v>4</v>
      </c>
      <c r="L3976">
        <f>IFERROR(IF(VLOOKUP(calendar[[#This Row],[Date]],BH!A:A,1,)&lt;&gt;"",1,0),0)</f>
        <v>0</v>
      </c>
      <c r="M3976">
        <f>IFERROR(IF(VLOOKUP(calendar[[#This Row],[Date]],BH!C:C,1,)&lt;&gt;"",1,0),0)</f>
        <v>0</v>
      </c>
      <c r="N3976">
        <f>IFERROR(IF(VLOOKUP(calendar[[#This Row],[Date]],BH!E:E,1,)&lt;&gt;"",1,0),0)</f>
        <v>0</v>
      </c>
      <c r="O3976">
        <f>IFERROR(IF(VLOOKUP(calendar[[#This Row],[Date]],BH!G:G,1,)&lt;&gt;"",1,0),0)</f>
        <v>0</v>
      </c>
      <c r="P3976">
        <f>IF(OR(calendar[[#This Row],[UK_BH]]=1,calendar[[#This Row],[WeekDay]]=1, calendar[[#This Row],[WeekDay]]=7),P3975,P3975+1)</f>
        <v>2818</v>
      </c>
      <c r="Q3976">
        <f>IF(OR(calendar[[#This Row],[FR_BH]]=1,calendar[[#This Row],[WeekDay]]=1, calendar[[#This Row],[WeekDay]]=7),P3975,P3975+1)</f>
        <v>2818</v>
      </c>
      <c r="R3976">
        <f>IF(OR(calendar[[#This Row],[SP_BH]]=1,calendar[[#This Row],[WeekDay]]=1, calendar[[#This Row],[WeekDay]]=7),P3975,P3975+1)</f>
        <v>2818</v>
      </c>
      <c r="S3976">
        <f>IF(OR(calendar[[#This Row],[PT_BH]]=1,calendar[[#This Row],[WeekDay]]=1, calendar[[#This Row],[WeekDay]]=7),P3975,P3975+1)</f>
        <v>2818</v>
      </c>
    </row>
    <row r="3977" spans="1:19" x14ac:dyDescent="0.25">
      <c r="A3977" s="2">
        <v>46711</v>
      </c>
      <c r="B3977" s="1">
        <f t="shared" si="316"/>
        <v>47</v>
      </c>
      <c r="C3977">
        <f t="shared" si="317"/>
        <v>11</v>
      </c>
      <c r="D3977" t="str">
        <f t="shared" si="318"/>
        <v>November</v>
      </c>
      <c r="E3977">
        <f t="shared" si="319"/>
        <v>2027</v>
      </c>
      <c r="F3977" t="str">
        <f>CONCATENATE(calendar[[#This Row],[Month]],"/",calendar[[#This Row],[Year]])</f>
        <v>11/2027</v>
      </c>
      <c r="G3977">
        <f>WEEKDAY(calendar[[#This Row],[Date]],1)</f>
        <v>7</v>
      </c>
      <c r="H3977" t="str">
        <f>TEXT(calendar[[#This Row],[WeekDay]],"dddd")</f>
        <v>Saturday</v>
      </c>
      <c r="I3977">
        <f>IF((INT(calendar[[#This Row],[Count]]/7)-calendar[[#This Row],[Count]]/7)&lt;0,I3976,I3976+1)</f>
        <v>568</v>
      </c>
      <c r="J3977">
        <f t="shared" si="320"/>
        <v>3975</v>
      </c>
      <c r="K3977">
        <f>IF(calendar[[#This Row],[Month]]&lt;4,1,IF(calendar[[#This Row],[Month]]&lt;7,2,IF(calendar[[#This Row],[Month]]&lt;10,3,4)))</f>
        <v>4</v>
      </c>
      <c r="L3977">
        <f>IFERROR(IF(VLOOKUP(calendar[[#This Row],[Date]],BH!A:A,1,)&lt;&gt;"",1,0),0)</f>
        <v>0</v>
      </c>
      <c r="M3977">
        <f>IFERROR(IF(VLOOKUP(calendar[[#This Row],[Date]],BH!C:C,1,)&lt;&gt;"",1,0),0)</f>
        <v>0</v>
      </c>
      <c r="N3977">
        <f>IFERROR(IF(VLOOKUP(calendar[[#This Row],[Date]],BH!E:E,1,)&lt;&gt;"",1,0),0)</f>
        <v>0</v>
      </c>
      <c r="O3977">
        <f>IFERROR(IF(VLOOKUP(calendar[[#This Row],[Date]],BH!G:G,1,)&lt;&gt;"",1,0),0)</f>
        <v>0</v>
      </c>
      <c r="P3977">
        <f>IF(OR(calendar[[#This Row],[UK_BH]]=1,calendar[[#This Row],[WeekDay]]=1, calendar[[#This Row],[WeekDay]]=7),P3976,P3976+1)</f>
        <v>2818</v>
      </c>
      <c r="Q3977">
        <f>IF(OR(calendar[[#This Row],[FR_BH]]=1,calendar[[#This Row],[WeekDay]]=1, calendar[[#This Row],[WeekDay]]=7),P3976,P3976+1)</f>
        <v>2818</v>
      </c>
      <c r="R3977">
        <f>IF(OR(calendar[[#This Row],[SP_BH]]=1,calendar[[#This Row],[WeekDay]]=1, calendar[[#This Row],[WeekDay]]=7),P3976,P3976+1)</f>
        <v>2818</v>
      </c>
      <c r="S3977">
        <f>IF(OR(calendar[[#This Row],[PT_BH]]=1,calendar[[#This Row],[WeekDay]]=1, calendar[[#This Row],[WeekDay]]=7),P3976,P3976+1)</f>
        <v>2818</v>
      </c>
    </row>
    <row r="3978" spans="1:19" x14ac:dyDescent="0.25">
      <c r="A3978" s="2">
        <v>46712</v>
      </c>
      <c r="B3978" s="1">
        <f t="shared" si="316"/>
        <v>48</v>
      </c>
      <c r="C3978">
        <f t="shared" si="317"/>
        <v>11</v>
      </c>
      <c r="D3978" t="str">
        <f t="shared" si="318"/>
        <v>November</v>
      </c>
      <c r="E3978">
        <f t="shared" si="319"/>
        <v>2027</v>
      </c>
      <c r="F3978" t="str">
        <f>CONCATENATE(calendar[[#This Row],[Month]],"/",calendar[[#This Row],[Year]])</f>
        <v>11/2027</v>
      </c>
      <c r="G3978">
        <f>WEEKDAY(calendar[[#This Row],[Date]],1)</f>
        <v>1</v>
      </c>
      <c r="H3978" t="str">
        <f>TEXT(calendar[[#This Row],[WeekDay]],"dddd")</f>
        <v>Sunday</v>
      </c>
      <c r="I3978">
        <f>IF((INT(calendar[[#This Row],[Count]]/7)-calendar[[#This Row],[Count]]/7)&lt;0,I3977,I3977+1)</f>
        <v>569</v>
      </c>
      <c r="J3978">
        <f t="shared" si="320"/>
        <v>3976</v>
      </c>
      <c r="K3978">
        <f>IF(calendar[[#This Row],[Month]]&lt;4,1,IF(calendar[[#This Row],[Month]]&lt;7,2,IF(calendar[[#This Row],[Month]]&lt;10,3,4)))</f>
        <v>4</v>
      </c>
      <c r="L3978">
        <f>IFERROR(IF(VLOOKUP(calendar[[#This Row],[Date]],BH!A:A,1,)&lt;&gt;"",1,0),0)</f>
        <v>0</v>
      </c>
      <c r="M3978">
        <f>IFERROR(IF(VLOOKUP(calendar[[#This Row],[Date]],BH!C:C,1,)&lt;&gt;"",1,0),0)</f>
        <v>0</v>
      </c>
      <c r="N3978">
        <f>IFERROR(IF(VLOOKUP(calendar[[#This Row],[Date]],BH!E:E,1,)&lt;&gt;"",1,0),0)</f>
        <v>0</v>
      </c>
      <c r="O3978">
        <f>IFERROR(IF(VLOOKUP(calendar[[#This Row],[Date]],BH!G:G,1,)&lt;&gt;"",1,0),0)</f>
        <v>0</v>
      </c>
      <c r="P3978">
        <f>IF(OR(calendar[[#This Row],[UK_BH]]=1,calendar[[#This Row],[WeekDay]]=1, calendar[[#This Row],[WeekDay]]=7),P3977,P3977+1)</f>
        <v>2818</v>
      </c>
      <c r="Q3978">
        <f>IF(OR(calendar[[#This Row],[FR_BH]]=1,calendar[[#This Row],[WeekDay]]=1, calendar[[#This Row],[WeekDay]]=7),P3977,P3977+1)</f>
        <v>2818</v>
      </c>
      <c r="R3978">
        <f>IF(OR(calendar[[#This Row],[SP_BH]]=1,calendar[[#This Row],[WeekDay]]=1, calendar[[#This Row],[WeekDay]]=7),P3977,P3977+1)</f>
        <v>2818</v>
      </c>
      <c r="S3978">
        <f>IF(OR(calendar[[#This Row],[PT_BH]]=1,calendar[[#This Row],[WeekDay]]=1, calendar[[#This Row],[WeekDay]]=7),P3977,P3977+1)</f>
        <v>2818</v>
      </c>
    </row>
    <row r="3979" spans="1:19" x14ac:dyDescent="0.25">
      <c r="A3979" s="2">
        <v>46713</v>
      </c>
      <c r="B3979" s="1">
        <f t="shared" si="316"/>
        <v>48</v>
      </c>
      <c r="C3979">
        <f t="shared" si="317"/>
        <v>11</v>
      </c>
      <c r="D3979" t="str">
        <f t="shared" si="318"/>
        <v>November</v>
      </c>
      <c r="E3979">
        <f t="shared" si="319"/>
        <v>2027</v>
      </c>
      <c r="F3979" t="str">
        <f>CONCATENATE(calendar[[#This Row],[Month]],"/",calendar[[#This Row],[Year]])</f>
        <v>11/2027</v>
      </c>
      <c r="G3979">
        <f>WEEKDAY(calendar[[#This Row],[Date]],1)</f>
        <v>2</v>
      </c>
      <c r="H3979" t="str">
        <f>TEXT(calendar[[#This Row],[WeekDay]],"dddd")</f>
        <v>Monday</v>
      </c>
      <c r="I3979">
        <f>IF((INT(calendar[[#This Row],[Count]]/7)-calendar[[#This Row],[Count]]/7)&lt;0,I3978,I3978+1)</f>
        <v>569</v>
      </c>
      <c r="J3979">
        <f t="shared" si="320"/>
        <v>3977</v>
      </c>
      <c r="K3979">
        <f>IF(calendar[[#This Row],[Month]]&lt;4,1,IF(calendar[[#This Row],[Month]]&lt;7,2,IF(calendar[[#This Row],[Month]]&lt;10,3,4)))</f>
        <v>4</v>
      </c>
      <c r="L3979">
        <f>IFERROR(IF(VLOOKUP(calendar[[#This Row],[Date]],BH!A:A,1,)&lt;&gt;"",1,0),0)</f>
        <v>0</v>
      </c>
      <c r="M3979">
        <f>IFERROR(IF(VLOOKUP(calendar[[#This Row],[Date]],BH!C:C,1,)&lt;&gt;"",1,0),0)</f>
        <v>0</v>
      </c>
      <c r="N3979">
        <f>IFERROR(IF(VLOOKUP(calendar[[#This Row],[Date]],BH!E:E,1,)&lt;&gt;"",1,0),0)</f>
        <v>0</v>
      </c>
      <c r="O3979">
        <f>IFERROR(IF(VLOOKUP(calendar[[#This Row],[Date]],BH!G:G,1,)&lt;&gt;"",1,0),0)</f>
        <v>0</v>
      </c>
      <c r="P3979">
        <f>IF(OR(calendar[[#This Row],[UK_BH]]=1,calendar[[#This Row],[WeekDay]]=1, calendar[[#This Row],[WeekDay]]=7),P3978,P3978+1)</f>
        <v>2819</v>
      </c>
      <c r="Q3979">
        <f>IF(OR(calendar[[#This Row],[FR_BH]]=1,calendar[[#This Row],[WeekDay]]=1, calendar[[#This Row],[WeekDay]]=7),P3978,P3978+1)</f>
        <v>2819</v>
      </c>
      <c r="R3979">
        <f>IF(OR(calendar[[#This Row],[SP_BH]]=1,calendar[[#This Row],[WeekDay]]=1, calendar[[#This Row],[WeekDay]]=7),P3978,P3978+1)</f>
        <v>2819</v>
      </c>
      <c r="S3979">
        <f>IF(OR(calendar[[#This Row],[PT_BH]]=1,calendar[[#This Row],[WeekDay]]=1, calendar[[#This Row],[WeekDay]]=7),P3978,P3978+1)</f>
        <v>2819</v>
      </c>
    </row>
    <row r="3980" spans="1:19" x14ac:dyDescent="0.25">
      <c r="A3980" s="2">
        <v>46714</v>
      </c>
      <c r="B3980" s="1">
        <f t="shared" si="316"/>
        <v>48</v>
      </c>
      <c r="C3980">
        <f t="shared" si="317"/>
        <v>11</v>
      </c>
      <c r="D3980" t="str">
        <f t="shared" si="318"/>
        <v>November</v>
      </c>
      <c r="E3980">
        <f t="shared" si="319"/>
        <v>2027</v>
      </c>
      <c r="F3980" t="str">
        <f>CONCATENATE(calendar[[#This Row],[Month]],"/",calendar[[#This Row],[Year]])</f>
        <v>11/2027</v>
      </c>
      <c r="G3980">
        <f>WEEKDAY(calendar[[#This Row],[Date]],1)</f>
        <v>3</v>
      </c>
      <c r="H3980" t="str">
        <f>TEXT(calendar[[#This Row],[WeekDay]],"dddd")</f>
        <v>Tuesday</v>
      </c>
      <c r="I3980">
        <f>IF((INT(calendar[[#This Row],[Count]]/7)-calendar[[#This Row],[Count]]/7)&lt;0,I3979,I3979+1)</f>
        <v>569</v>
      </c>
      <c r="J3980">
        <f t="shared" si="320"/>
        <v>3978</v>
      </c>
      <c r="K3980">
        <f>IF(calendar[[#This Row],[Month]]&lt;4,1,IF(calendar[[#This Row],[Month]]&lt;7,2,IF(calendar[[#This Row],[Month]]&lt;10,3,4)))</f>
        <v>4</v>
      </c>
      <c r="L3980">
        <f>IFERROR(IF(VLOOKUP(calendar[[#This Row],[Date]],BH!A:A,1,)&lt;&gt;"",1,0),0)</f>
        <v>0</v>
      </c>
      <c r="M3980">
        <f>IFERROR(IF(VLOOKUP(calendar[[#This Row],[Date]],BH!C:C,1,)&lt;&gt;"",1,0),0)</f>
        <v>0</v>
      </c>
      <c r="N3980">
        <f>IFERROR(IF(VLOOKUP(calendar[[#This Row],[Date]],BH!E:E,1,)&lt;&gt;"",1,0),0)</f>
        <v>0</v>
      </c>
      <c r="O3980">
        <f>IFERROR(IF(VLOOKUP(calendar[[#This Row],[Date]],BH!G:G,1,)&lt;&gt;"",1,0),0)</f>
        <v>0</v>
      </c>
      <c r="P3980">
        <f>IF(OR(calendar[[#This Row],[UK_BH]]=1,calendar[[#This Row],[WeekDay]]=1, calendar[[#This Row],[WeekDay]]=7),P3979,P3979+1)</f>
        <v>2820</v>
      </c>
      <c r="Q3980">
        <f>IF(OR(calendar[[#This Row],[FR_BH]]=1,calendar[[#This Row],[WeekDay]]=1, calendar[[#This Row],[WeekDay]]=7),P3979,P3979+1)</f>
        <v>2820</v>
      </c>
      <c r="R3980">
        <f>IF(OR(calendar[[#This Row],[SP_BH]]=1,calendar[[#This Row],[WeekDay]]=1, calendar[[#This Row],[WeekDay]]=7),P3979,P3979+1)</f>
        <v>2820</v>
      </c>
      <c r="S3980">
        <f>IF(OR(calendar[[#This Row],[PT_BH]]=1,calendar[[#This Row],[WeekDay]]=1, calendar[[#This Row],[WeekDay]]=7),P3979,P3979+1)</f>
        <v>2820</v>
      </c>
    </row>
    <row r="3981" spans="1:19" x14ac:dyDescent="0.25">
      <c r="A3981" s="2">
        <v>46715</v>
      </c>
      <c r="B3981" s="1">
        <f t="shared" si="316"/>
        <v>48</v>
      </c>
      <c r="C3981">
        <f t="shared" si="317"/>
        <v>11</v>
      </c>
      <c r="D3981" t="str">
        <f t="shared" si="318"/>
        <v>November</v>
      </c>
      <c r="E3981">
        <f t="shared" si="319"/>
        <v>2027</v>
      </c>
      <c r="F3981" t="str">
        <f>CONCATENATE(calendar[[#This Row],[Month]],"/",calendar[[#This Row],[Year]])</f>
        <v>11/2027</v>
      </c>
      <c r="G3981">
        <f>WEEKDAY(calendar[[#This Row],[Date]],1)</f>
        <v>4</v>
      </c>
      <c r="H3981" t="str">
        <f>TEXT(calendar[[#This Row],[WeekDay]],"dddd")</f>
        <v>Wednesday</v>
      </c>
      <c r="I3981">
        <f>IF((INT(calendar[[#This Row],[Count]]/7)-calendar[[#This Row],[Count]]/7)&lt;0,I3980,I3980+1)</f>
        <v>569</v>
      </c>
      <c r="J3981">
        <f t="shared" si="320"/>
        <v>3979</v>
      </c>
      <c r="K3981">
        <f>IF(calendar[[#This Row],[Month]]&lt;4,1,IF(calendar[[#This Row],[Month]]&lt;7,2,IF(calendar[[#This Row],[Month]]&lt;10,3,4)))</f>
        <v>4</v>
      </c>
      <c r="L3981">
        <f>IFERROR(IF(VLOOKUP(calendar[[#This Row],[Date]],BH!A:A,1,)&lt;&gt;"",1,0),0)</f>
        <v>0</v>
      </c>
      <c r="M3981">
        <f>IFERROR(IF(VLOOKUP(calendar[[#This Row],[Date]],BH!C:C,1,)&lt;&gt;"",1,0),0)</f>
        <v>0</v>
      </c>
      <c r="N3981">
        <f>IFERROR(IF(VLOOKUP(calendar[[#This Row],[Date]],BH!E:E,1,)&lt;&gt;"",1,0),0)</f>
        <v>0</v>
      </c>
      <c r="O3981">
        <f>IFERROR(IF(VLOOKUP(calendar[[#This Row],[Date]],BH!G:G,1,)&lt;&gt;"",1,0),0)</f>
        <v>0</v>
      </c>
      <c r="P3981">
        <f>IF(OR(calendar[[#This Row],[UK_BH]]=1,calendar[[#This Row],[WeekDay]]=1, calendar[[#This Row],[WeekDay]]=7),P3980,P3980+1)</f>
        <v>2821</v>
      </c>
      <c r="Q3981">
        <f>IF(OR(calendar[[#This Row],[FR_BH]]=1,calendar[[#This Row],[WeekDay]]=1, calendar[[#This Row],[WeekDay]]=7),P3980,P3980+1)</f>
        <v>2821</v>
      </c>
      <c r="R3981">
        <f>IF(OR(calendar[[#This Row],[SP_BH]]=1,calendar[[#This Row],[WeekDay]]=1, calendar[[#This Row],[WeekDay]]=7),P3980,P3980+1)</f>
        <v>2821</v>
      </c>
      <c r="S3981">
        <f>IF(OR(calendar[[#This Row],[PT_BH]]=1,calendar[[#This Row],[WeekDay]]=1, calendar[[#This Row],[WeekDay]]=7),P3980,P3980+1)</f>
        <v>2821</v>
      </c>
    </row>
    <row r="3982" spans="1:19" x14ac:dyDescent="0.25">
      <c r="A3982" s="2">
        <v>46716</v>
      </c>
      <c r="B3982" s="1">
        <f t="shared" si="316"/>
        <v>48</v>
      </c>
      <c r="C3982">
        <f t="shared" si="317"/>
        <v>11</v>
      </c>
      <c r="D3982" t="str">
        <f t="shared" si="318"/>
        <v>November</v>
      </c>
      <c r="E3982">
        <f t="shared" si="319"/>
        <v>2027</v>
      </c>
      <c r="F3982" t="str">
        <f>CONCATENATE(calendar[[#This Row],[Month]],"/",calendar[[#This Row],[Year]])</f>
        <v>11/2027</v>
      </c>
      <c r="G3982">
        <f>WEEKDAY(calendar[[#This Row],[Date]],1)</f>
        <v>5</v>
      </c>
      <c r="H3982" t="str">
        <f>TEXT(calendar[[#This Row],[WeekDay]],"dddd")</f>
        <v>Thursday</v>
      </c>
      <c r="I3982">
        <f>IF((INT(calendar[[#This Row],[Count]]/7)-calendar[[#This Row],[Count]]/7)&lt;0,I3981,I3981+1)</f>
        <v>569</v>
      </c>
      <c r="J3982">
        <f t="shared" si="320"/>
        <v>3980</v>
      </c>
      <c r="K3982">
        <f>IF(calendar[[#This Row],[Month]]&lt;4,1,IF(calendar[[#This Row],[Month]]&lt;7,2,IF(calendar[[#This Row],[Month]]&lt;10,3,4)))</f>
        <v>4</v>
      </c>
      <c r="L3982">
        <f>IFERROR(IF(VLOOKUP(calendar[[#This Row],[Date]],BH!A:A,1,)&lt;&gt;"",1,0),0)</f>
        <v>0</v>
      </c>
      <c r="M3982">
        <f>IFERROR(IF(VLOOKUP(calendar[[#This Row],[Date]],BH!C:C,1,)&lt;&gt;"",1,0),0)</f>
        <v>0</v>
      </c>
      <c r="N3982">
        <f>IFERROR(IF(VLOOKUP(calendar[[#This Row],[Date]],BH!E:E,1,)&lt;&gt;"",1,0),0)</f>
        <v>0</v>
      </c>
      <c r="O3982">
        <f>IFERROR(IF(VLOOKUP(calendar[[#This Row],[Date]],BH!G:G,1,)&lt;&gt;"",1,0),0)</f>
        <v>0</v>
      </c>
      <c r="P3982">
        <f>IF(OR(calendar[[#This Row],[UK_BH]]=1,calendar[[#This Row],[WeekDay]]=1, calendar[[#This Row],[WeekDay]]=7),P3981,P3981+1)</f>
        <v>2822</v>
      </c>
      <c r="Q3982">
        <f>IF(OR(calendar[[#This Row],[FR_BH]]=1,calendar[[#This Row],[WeekDay]]=1, calendar[[#This Row],[WeekDay]]=7),P3981,P3981+1)</f>
        <v>2822</v>
      </c>
      <c r="R3982">
        <f>IF(OR(calendar[[#This Row],[SP_BH]]=1,calendar[[#This Row],[WeekDay]]=1, calendar[[#This Row],[WeekDay]]=7),P3981,P3981+1)</f>
        <v>2822</v>
      </c>
      <c r="S3982">
        <f>IF(OR(calendar[[#This Row],[PT_BH]]=1,calendar[[#This Row],[WeekDay]]=1, calendar[[#This Row],[WeekDay]]=7),P3981,P3981+1)</f>
        <v>2822</v>
      </c>
    </row>
    <row r="3983" spans="1:19" x14ac:dyDescent="0.25">
      <c r="A3983" s="2">
        <v>46717</v>
      </c>
      <c r="B3983" s="1">
        <f t="shared" si="316"/>
        <v>48</v>
      </c>
      <c r="C3983">
        <f t="shared" si="317"/>
        <v>11</v>
      </c>
      <c r="D3983" t="str">
        <f t="shared" si="318"/>
        <v>November</v>
      </c>
      <c r="E3983">
        <f t="shared" si="319"/>
        <v>2027</v>
      </c>
      <c r="F3983" t="str">
        <f>CONCATENATE(calendar[[#This Row],[Month]],"/",calendar[[#This Row],[Year]])</f>
        <v>11/2027</v>
      </c>
      <c r="G3983">
        <f>WEEKDAY(calendar[[#This Row],[Date]],1)</f>
        <v>6</v>
      </c>
      <c r="H3983" t="str">
        <f>TEXT(calendar[[#This Row],[WeekDay]],"dddd")</f>
        <v>Friday</v>
      </c>
      <c r="I3983">
        <f>IF((INT(calendar[[#This Row],[Count]]/7)-calendar[[#This Row],[Count]]/7)&lt;0,I3982,I3982+1)</f>
        <v>569</v>
      </c>
      <c r="J3983">
        <f t="shared" si="320"/>
        <v>3981</v>
      </c>
      <c r="K3983">
        <f>IF(calendar[[#This Row],[Month]]&lt;4,1,IF(calendar[[#This Row],[Month]]&lt;7,2,IF(calendar[[#This Row],[Month]]&lt;10,3,4)))</f>
        <v>4</v>
      </c>
      <c r="L3983">
        <f>IFERROR(IF(VLOOKUP(calendar[[#This Row],[Date]],BH!A:A,1,)&lt;&gt;"",1,0),0)</f>
        <v>0</v>
      </c>
      <c r="M3983">
        <f>IFERROR(IF(VLOOKUP(calendar[[#This Row],[Date]],BH!C:C,1,)&lt;&gt;"",1,0),0)</f>
        <v>0</v>
      </c>
      <c r="N3983">
        <f>IFERROR(IF(VLOOKUP(calendar[[#This Row],[Date]],BH!E:E,1,)&lt;&gt;"",1,0),0)</f>
        <v>0</v>
      </c>
      <c r="O3983">
        <f>IFERROR(IF(VLOOKUP(calendar[[#This Row],[Date]],BH!G:G,1,)&lt;&gt;"",1,0),0)</f>
        <v>0</v>
      </c>
      <c r="P3983">
        <f>IF(OR(calendar[[#This Row],[UK_BH]]=1,calendar[[#This Row],[WeekDay]]=1, calendar[[#This Row],[WeekDay]]=7),P3982,P3982+1)</f>
        <v>2823</v>
      </c>
      <c r="Q3983">
        <f>IF(OR(calendar[[#This Row],[FR_BH]]=1,calendar[[#This Row],[WeekDay]]=1, calendar[[#This Row],[WeekDay]]=7),P3982,P3982+1)</f>
        <v>2823</v>
      </c>
      <c r="R3983">
        <f>IF(OR(calendar[[#This Row],[SP_BH]]=1,calendar[[#This Row],[WeekDay]]=1, calendar[[#This Row],[WeekDay]]=7),P3982,P3982+1)</f>
        <v>2823</v>
      </c>
      <c r="S3983">
        <f>IF(OR(calendar[[#This Row],[PT_BH]]=1,calendar[[#This Row],[WeekDay]]=1, calendar[[#This Row],[WeekDay]]=7),P3982,P3982+1)</f>
        <v>2823</v>
      </c>
    </row>
    <row r="3984" spans="1:19" x14ac:dyDescent="0.25">
      <c r="A3984" s="2">
        <v>46718</v>
      </c>
      <c r="B3984" s="1">
        <f t="shared" si="316"/>
        <v>48</v>
      </c>
      <c r="C3984">
        <f t="shared" si="317"/>
        <v>11</v>
      </c>
      <c r="D3984" t="str">
        <f t="shared" si="318"/>
        <v>November</v>
      </c>
      <c r="E3984">
        <f t="shared" si="319"/>
        <v>2027</v>
      </c>
      <c r="F3984" t="str">
        <f>CONCATENATE(calendar[[#This Row],[Month]],"/",calendar[[#This Row],[Year]])</f>
        <v>11/2027</v>
      </c>
      <c r="G3984">
        <f>WEEKDAY(calendar[[#This Row],[Date]],1)</f>
        <v>7</v>
      </c>
      <c r="H3984" t="str">
        <f>TEXT(calendar[[#This Row],[WeekDay]],"dddd")</f>
        <v>Saturday</v>
      </c>
      <c r="I3984">
        <f>IF((INT(calendar[[#This Row],[Count]]/7)-calendar[[#This Row],[Count]]/7)&lt;0,I3983,I3983+1)</f>
        <v>569</v>
      </c>
      <c r="J3984">
        <f t="shared" si="320"/>
        <v>3982</v>
      </c>
      <c r="K3984">
        <f>IF(calendar[[#This Row],[Month]]&lt;4,1,IF(calendar[[#This Row],[Month]]&lt;7,2,IF(calendar[[#This Row],[Month]]&lt;10,3,4)))</f>
        <v>4</v>
      </c>
      <c r="L3984">
        <f>IFERROR(IF(VLOOKUP(calendar[[#This Row],[Date]],BH!A:A,1,)&lt;&gt;"",1,0),0)</f>
        <v>0</v>
      </c>
      <c r="M3984">
        <f>IFERROR(IF(VLOOKUP(calendar[[#This Row],[Date]],BH!C:C,1,)&lt;&gt;"",1,0),0)</f>
        <v>0</v>
      </c>
      <c r="N3984">
        <f>IFERROR(IF(VLOOKUP(calendar[[#This Row],[Date]],BH!E:E,1,)&lt;&gt;"",1,0),0)</f>
        <v>0</v>
      </c>
      <c r="O3984">
        <f>IFERROR(IF(VLOOKUP(calendar[[#This Row],[Date]],BH!G:G,1,)&lt;&gt;"",1,0),0)</f>
        <v>0</v>
      </c>
      <c r="P3984">
        <f>IF(OR(calendar[[#This Row],[UK_BH]]=1,calendar[[#This Row],[WeekDay]]=1, calendar[[#This Row],[WeekDay]]=7),P3983,P3983+1)</f>
        <v>2823</v>
      </c>
      <c r="Q3984">
        <f>IF(OR(calendar[[#This Row],[FR_BH]]=1,calendar[[#This Row],[WeekDay]]=1, calendar[[#This Row],[WeekDay]]=7),P3983,P3983+1)</f>
        <v>2823</v>
      </c>
      <c r="R3984">
        <f>IF(OR(calendar[[#This Row],[SP_BH]]=1,calendar[[#This Row],[WeekDay]]=1, calendar[[#This Row],[WeekDay]]=7),P3983,P3983+1)</f>
        <v>2823</v>
      </c>
      <c r="S3984">
        <f>IF(OR(calendar[[#This Row],[PT_BH]]=1,calendar[[#This Row],[WeekDay]]=1, calendar[[#This Row],[WeekDay]]=7),P3983,P3983+1)</f>
        <v>2823</v>
      </c>
    </row>
    <row r="3985" spans="1:19" x14ac:dyDescent="0.25">
      <c r="A3985" s="2">
        <v>46719</v>
      </c>
      <c r="B3985" s="1">
        <f t="shared" si="316"/>
        <v>49</v>
      </c>
      <c r="C3985">
        <f t="shared" si="317"/>
        <v>11</v>
      </c>
      <c r="D3985" t="str">
        <f t="shared" si="318"/>
        <v>November</v>
      </c>
      <c r="E3985">
        <f t="shared" si="319"/>
        <v>2027</v>
      </c>
      <c r="F3985" t="str">
        <f>CONCATENATE(calendar[[#This Row],[Month]],"/",calendar[[#This Row],[Year]])</f>
        <v>11/2027</v>
      </c>
      <c r="G3985">
        <f>WEEKDAY(calendar[[#This Row],[Date]],1)</f>
        <v>1</v>
      </c>
      <c r="H3985" t="str">
        <f>TEXT(calendar[[#This Row],[WeekDay]],"dddd")</f>
        <v>Sunday</v>
      </c>
      <c r="I3985">
        <f>IF((INT(calendar[[#This Row],[Count]]/7)-calendar[[#This Row],[Count]]/7)&lt;0,I3984,I3984+1)</f>
        <v>570</v>
      </c>
      <c r="J3985">
        <f t="shared" si="320"/>
        <v>3983</v>
      </c>
      <c r="K3985">
        <f>IF(calendar[[#This Row],[Month]]&lt;4,1,IF(calendar[[#This Row],[Month]]&lt;7,2,IF(calendar[[#This Row],[Month]]&lt;10,3,4)))</f>
        <v>4</v>
      </c>
      <c r="L3985">
        <f>IFERROR(IF(VLOOKUP(calendar[[#This Row],[Date]],BH!A:A,1,)&lt;&gt;"",1,0),0)</f>
        <v>0</v>
      </c>
      <c r="M3985">
        <f>IFERROR(IF(VLOOKUP(calendar[[#This Row],[Date]],BH!C:C,1,)&lt;&gt;"",1,0),0)</f>
        <v>0</v>
      </c>
      <c r="N3985">
        <f>IFERROR(IF(VLOOKUP(calendar[[#This Row],[Date]],BH!E:E,1,)&lt;&gt;"",1,0),0)</f>
        <v>0</v>
      </c>
      <c r="O3985">
        <f>IFERROR(IF(VLOOKUP(calendar[[#This Row],[Date]],BH!G:G,1,)&lt;&gt;"",1,0),0)</f>
        <v>0</v>
      </c>
      <c r="P3985">
        <f>IF(OR(calendar[[#This Row],[UK_BH]]=1,calendar[[#This Row],[WeekDay]]=1, calendar[[#This Row],[WeekDay]]=7),P3984,P3984+1)</f>
        <v>2823</v>
      </c>
      <c r="Q3985">
        <f>IF(OR(calendar[[#This Row],[FR_BH]]=1,calendar[[#This Row],[WeekDay]]=1, calendar[[#This Row],[WeekDay]]=7),P3984,P3984+1)</f>
        <v>2823</v>
      </c>
      <c r="R3985">
        <f>IF(OR(calendar[[#This Row],[SP_BH]]=1,calendar[[#This Row],[WeekDay]]=1, calendar[[#This Row],[WeekDay]]=7),P3984,P3984+1)</f>
        <v>2823</v>
      </c>
      <c r="S3985">
        <f>IF(OR(calendar[[#This Row],[PT_BH]]=1,calendar[[#This Row],[WeekDay]]=1, calendar[[#This Row],[WeekDay]]=7),P3984,P3984+1)</f>
        <v>2823</v>
      </c>
    </row>
    <row r="3986" spans="1:19" x14ac:dyDescent="0.25">
      <c r="A3986" s="2">
        <v>46720</v>
      </c>
      <c r="B3986" s="1">
        <f t="shared" si="316"/>
        <v>49</v>
      </c>
      <c r="C3986">
        <f t="shared" si="317"/>
        <v>11</v>
      </c>
      <c r="D3986" t="str">
        <f t="shared" si="318"/>
        <v>November</v>
      </c>
      <c r="E3986">
        <f t="shared" si="319"/>
        <v>2027</v>
      </c>
      <c r="F3986" t="str">
        <f>CONCATENATE(calendar[[#This Row],[Month]],"/",calendar[[#This Row],[Year]])</f>
        <v>11/2027</v>
      </c>
      <c r="G3986">
        <f>WEEKDAY(calendar[[#This Row],[Date]],1)</f>
        <v>2</v>
      </c>
      <c r="H3986" t="str">
        <f>TEXT(calendar[[#This Row],[WeekDay]],"dddd")</f>
        <v>Monday</v>
      </c>
      <c r="I3986">
        <f>IF((INT(calendar[[#This Row],[Count]]/7)-calendar[[#This Row],[Count]]/7)&lt;0,I3985,I3985+1)</f>
        <v>570</v>
      </c>
      <c r="J3986">
        <f t="shared" si="320"/>
        <v>3984</v>
      </c>
      <c r="K3986">
        <f>IF(calendar[[#This Row],[Month]]&lt;4,1,IF(calendar[[#This Row],[Month]]&lt;7,2,IF(calendar[[#This Row],[Month]]&lt;10,3,4)))</f>
        <v>4</v>
      </c>
      <c r="L3986">
        <f>IFERROR(IF(VLOOKUP(calendar[[#This Row],[Date]],BH!A:A,1,)&lt;&gt;"",1,0),0)</f>
        <v>0</v>
      </c>
      <c r="M3986">
        <f>IFERROR(IF(VLOOKUP(calendar[[#This Row],[Date]],BH!C:C,1,)&lt;&gt;"",1,0),0)</f>
        <v>0</v>
      </c>
      <c r="N3986">
        <f>IFERROR(IF(VLOOKUP(calendar[[#This Row],[Date]],BH!E:E,1,)&lt;&gt;"",1,0),0)</f>
        <v>0</v>
      </c>
      <c r="O3986">
        <f>IFERROR(IF(VLOOKUP(calendar[[#This Row],[Date]],BH!G:G,1,)&lt;&gt;"",1,0),0)</f>
        <v>0</v>
      </c>
      <c r="P3986">
        <f>IF(OR(calendar[[#This Row],[UK_BH]]=1,calendar[[#This Row],[WeekDay]]=1, calendar[[#This Row],[WeekDay]]=7),P3985,P3985+1)</f>
        <v>2824</v>
      </c>
      <c r="Q3986">
        <f>IF(OR(calendar[[#This Row],[FR_BH]]=1,calendar[[#This Row],[WeekDay]]=1, calendar[[#This Row],[WeekDay]]=7),P3985,P3985+1)</f>
        <v>2824</v>
      </c>
      <c r="R3986">
        <f>IF(OR(calendar[[#This Row],[SP_BH]]=1,calendar[[#This Row],[WeekDay]]=1, calendar[[#This Row],[WeekDay]]=7),P3985,P3985+1)</f>
        <v>2824</v>
      </c>
      <c r="S3986">
        <f>IF(OR(calendar[[#This Row],[PT_BH]]=1,calendar[[#This Row],[WeekDay]]=1, calendar[[#This Row],[WeekDay]]=7),P3985,P3985+1)</f>
        <v>2824</v>
      </c>
    </row>
    <row r="3987" spans="1:19" x14ac:dyDescent="0.25">
      <c r="A3987" s="2">
        <v>46721</v>
      </c>
      <c r="B3987" s="1">
        <f t="shared" si="316"/>
        <v>49</v>
      </c>
      <c r="C3987">
        <f t="shared" si="317"/>
        <v>11</v>
      </c>
      <c r="D3987" t="str">
        <f t="shared" si="318"/>
        <v>November</v>
      </c>
      <c r="E3987">
        <f t="shared" si="319"/>
        <v>2027</v>
      </c>
      <c r="F3987" t="str">
        <f>CONCATENATE(calendar[[#This Row],[Month]],"/",calendar[[#This Row],[Year]])</f>
        <v>11/2027</v>
      </c>
      <c r="G3987">
        <f>WEEKDAY(calendar[[#This Row],[Date]],1)</f>
        <v>3</v>
      </c>
      <c r="H3987" t="str">
        <f>TEXT(calendar[[#This Row],[WeekDay]],"dddd")</f>
        <v>Tuesday</v>
      </c>
      <c r="I3987">
        <f>IF((INT(calendar[[#This Row],[Count]]/7)-calendar[[#This Row],[Count]]/7)&lt;0,I3986,I3986+1)</f>
        <v>570</v>
      </c>
      <c r="J3987">
        <f t="shared" si="320"/>
        <v>3985</v>
      </c>
      <c r="K3987">
        <f>IF(calendar[[#This Row],[Month]]&lt;4,1,IF(calendar[[#This Row],[Month]]&lt;7,2,IF(calendar[[#This Row],[Month]]&lt;10,3,4)))</f>
        <v>4</v>
      </c>
      <c r="L3987">
        <f>IFERROR(IF(VLOOKUP(calendar[[#This Row],[Date]],BH!A:A,1,)&lt;&gt;"",1,0),0)</f>
        <v>0</v>
      </c>
      <c r="M3987">
        <f>IFERROR(IF(VLOOKUP(calendar[[#This Row],[Date]],BH!C:C,1,)&lt;&gt;"",1,0),0)</f>
        <v>0</v>
      </c>
      <c r="N3987">
        <f>IFERROR(IF(VLOOKUP(calendar[[#This Row],[Date]],BH!E:E,1,)&lt;&gt;"",1,0),0)</f>
        <v>0</v>
      </c>
      <c r="O3987">
        <f>IFERROR(IF(VLOOKUP(calendar[[#This Row],[Date]],BH!G:G,1,)&lt;&gt;"",1,0),0)</f>
        <v>0</v>
      </c>
      <c r="P3987">
        <f>IF(OR(calendar[[#This Row],[UK_BH]]=1,calendar[[#This Row],[WeekDay]]=1, calendar[[#This Row],[WeekDay]]=7),P3986,P3986+1)</f>
        <v>2825</v>
      </c>
      <c r="Q3987">
        <f>IF(OR(calendar[[#This Row],[FR_BH]]=1,calendar[[#This Row],[WeekDay]]=1, calendar[[#This Row],[WeekDay]]=7),P3986,P3986+1)</f>
        <v>2825</v>
      </c>
      <c r="R3987">
        <f>IF(OR(calendar[[#This Row],[SP_BH]]=1,calendar[[#This Row],[WeekDay]]=1, calendar[[#This Row],[WeekDay]]=7),P3986,P3986+1)</f>
        <v>2825</v>
      </c>
      <c r="S3987">
        <f>IF(OR(calendar[[#This Row],[PT_BH]]=1,calendar[[#This Row],[WeekDay]]=1, calendar[[#This Row],[WeekDay]]=7),P3986,P3986+1)</f>
        <v>2825</v>
      </c>
    </row>
    <row r="3988" spans="1:19" x14ac:dyDescent="0.25">
      <c r="A3988" s="2">
        <v>46722</v>
      </c>
      <c r="B3988" s="1">
        <f t="shared" si="316"/>
        <v>49</v>
      </c>
      <c r="C3988">
        <f t="shared" si="317"/>
        <v>12</v>
      </c>
      <c r="D3988" t="str">
        <f t="shared" si="318"/>
        <v>December</v>
      </c>
      <c r="E3988">
        <f t="shared" si="319"/>
        <v>2027</v>
      </c>
      <c r="F3988" t="str">
        <f>CONCATENATE(calendar[[#This Row],[Month]],"/",calendar[[#This Row],[Year]])</f>
        <v>12/2027</v>
      </c>
      <c r="G3988">
        <f>WEEKDAY(calendar[[#This Row],[Date]],1)</f>
        <v>4</v>
      </c>
      <c r="H3988" t="str">
        <f>TEXT(calendar[[#This Row],[WeekDay]],"dddd")</f>
        <v>Wednesday</v>
      </c>
      <c r="I3988">
        <f>IF((INT(calendar[[#This Row],[Count]]/7)-calendar[[#This Row],[Count]]/7)&lt;0,I3987,I3987+1)</f>
        <v>570</v>
      </c>
      <c r="J3988">
        <f t="shared" si="320"/>
        <v>3986</v>
      </c>
      <c r="K3988">
        <f>IF(calendar[[#This Row],[Month]]&lt;4,1,IF(calendar[[#This Row],[Month]]&lt;7,2,IF(calendar[[#This Row],[Month]]&lt;10,3,4)))</f>
        <v>4</v>
      </c>
      <c r="L3988">
        <f>IFERROR(IF(VLOOKUP(calendar[[#This Row],[Date]],BH!A:A,1,)&lt;&gt;"",1,0),0)</f>
        <v>0</v>
      </c>
      <c r="M3988">
        <f>IFERROR(IF(VLOOKUP(calendar[[#This Row],[Date]],BH!C:C,1,)&lt;&gt;"",1,0),0)</f>
        <v>0</v>
      </c>
      <c r="N3988">
        <f>IFERROR(IF(VLOOKUP(calendar[[#This Row],[Date]],BH!E:E,1,)&lt;&gt;"",1,0),0)</f>
        <v>0</v>
      </c>
      <c r="O3988">
        <f>IFERROR(IF(VLOOKUP(calendar[[#This Row],[Date]],BH!G:G,1,)&lt;&gt;"",1,0),0)</f>
        <v>1</v>
      </c>
      <c r="P3988">
        <f>IF(OR(calendar[[#This Row],[UK_BH]]=1,calendar[[#This Row],[WeekDay]]=1, calendar[[#This Row],[WeekDay]]=7),P3987,P3987+1)</f>
        <v>2826</v>
      </c>
      <c r="Q3988">
        <f>IF(OR(calendar[[#This Row],[FR_BH]]=1,calendar[[#This Row],[WeekDay]]=1, calendar[[#This Row],[WeekDay]]=7),P3987,P3987+1)</f>
        <v>2826</v>
      </c>
      <c r="R3988">
        <f>IF(OR(calendar[[#This Row],[SP_BH]]=1,calendar[[#This Row],[WeekDay]]=1, calendar[[#This Row],[WeekDay]]=7),P3987,P3987+1)</f>
        <v>2826</v>
      </c>
      <c r="S3988">
        <f>IF(OR(calendar[[#This Row],[PT_BH]]=1,calendar[[#This Row],[WeekDay]]=1, calendar[[#This Row],[WeekDay]]=7),P3987,P3987+1)</f>
        <v>2825</v>
      </c>
    </row>
    <row r="3989" spans="1:19" x14ac:dyDescent="0.25">
      <c r="A3989" s="2">
        <v>46723</v>
      </c>
      <c r="B3989" s="1">
        <f t="shared" si="316"/>
        <v>49</v>
      </c>
      <c r="C3989">
        <f t="shared" si="317"/>
        <v>12</v>
      </c>
      <c r="D3989" t="str">
        <f t="shared" si="318"/>
        <v>December</v>
      </c>
      <c r="E3989">
        <f t="shared" si="319"/>
        <v>2027</v>
      </c>
      <c r="F3989" t="str">
        <f>CONCATENATE(calendar[[#This Row],[Month]],"/",calendar[[#This Row],[Year]])</f>
        <v>12/2027</v>
      </c>
      <c r="G3989">
        <f>WEEKDAY(calendar[[#This Row],[Date]],1)</f>
        <v>5</v>
      </c>
      <c r="H3989" t="str">
        <f>TEXT(calendar[[#This Row],[WeekDay]],"dddd")</f>
        <v>Thursday</v>
      </c>
      <c r="I3989">
        <f>IF((INT(calendar[[#This Row],[Count]]/7)-calendar[[#This Row],[Count]]/7)&lt;0,I3988,I3988+1)</f>
        <v>570</v>
      </c>
      <c r="J3989">
        <f t="shared" si="320"/>
        <v>3987</v>
      </c>
      <c r="K3989">
        <f>IF(calendar[[#This Row],[Month]]&lt;4,1,IF(calendar[[#This Row],[Month]]&lt;7,2,IF(calendar[[#This Row],[Month]]&lt;10,3,4)))</f>
        <v>4</v>
      </c>
      <c r="L3989">
        <f>IFERROR(IF(VLOOKUP(calendar[[#This Row],[Date]],BH!A:A,1,)&lt;&gt;"",1,0),0)</f>
        <v>0</v>
      </c>
      <c r="M3989">
        <f>IFERROR(IF(VLOOKUP(calendar[[#This Row],[Date]],BH!C:C,1,)&lt;&gt;"",1,0),0)</f>
        <v>0</v>
      </c>
      <c r="N3989">
        <f>IFERROR(IF(VLOOKUP(calendar[[#This Row],[Date]],BH!E:E,1,)&lt;&gt;"",1,0),0)</f>
        <v>0</v>
      </c>
      <c r="O3989">
        <f>IFERROR(IF(VLOOKUP(calendar[[#This Row],[Date]],BH!G:G,1,)&lt;&gt;"",1,0),0)</f>
        <v>0</v>
      </c>
      <c r="P3989">
        <f>IF(OR(calendar[[#This Row],[UK_BH]]=1,calendar[[#This Row],[WeekDay]]=1, calendar[[#This Row],[WeekDay]]=7),P3988,P3988+1)</f>
        <v>2827</v>
      </c>
      <c r="Q3989">
        <f>IF(OR(calendar[[#This Row],[FR_BH]]=1,calendar[[#This Row],[WeekDay]]=1, calendar[[#This Row],[WeekDay]]=7),P3988,P3988+1)</f>
        <v>2827</v>
      </c>
      <c r="R3989">
        <f>IF(OR(calendar[[#This Row],[SP_BH]]=1,calendar[[#This Row],[WeekDay]]=1, calendar[[#This Row],[WeekDay]]=7),P3988,P3988+1)</f>
        <v>2827</v>
      </c>
      <c r="S3989">
        <f>IF(OR(calendar[[#This Row],[PT_BH]]=1,calendar[[#This Row],[WeekDay]]=1, calendar[[#This Row],[WeekDay]]=7),P3988,P3988+1)</f>
        <v>2827</v>
      </c>
    </row>
    <row r="3990" spans="1:19" x14ac:dyDescent="0.25">
      <c r="A3990" s="2">
        <v>46724</v>
      </c>
      <c r="B3990" s="1">
        <f t="shared" si="316"/>
        <v>49</v>
      </c>
      <c r="C3990">
        <f t="shared" si="317"/>
        <v>12</v>
      </c>
      <c r="D3990" t="str">
        <f t="shared" si="318"/>
        <v>December</v>
      </c>
      <c r="E3990">
        <f t="shared" si="319"/>
        <v>2027</v>
      </c>
      <c r="F3990" t="str">
        <f>CONCATENATE(calendar[[#This Row],[Month]],"/",calendar[[#This Row],[Year]])</f>
        <v>12/2027</v>
      </c>
      <c r="G3990">
        <f>WEEKDAY(calendar[[#This Row],[Date]],1)</f>
        <v>6</v>
      </c>
      <c r="H3990" t="str">
        <f>TEXT(calendar[[#This Row],[WeekDay]],"dddd")</f>
        <v>Friday</v>
      </c>
      <c r="I3990">
        <f>IF((INT(calendar[[#This Row],[Count]]/7)-calendar[[#This Row],[Count]]/7)&lt;0,I3989,I3989+1)</f>
        <v>570</v>
      </c>
      <c r="J3990">
        <f t="shared" si="320"/>
        <v>3988</v>
      </c>
      <c r="K3990">
        <f>IF(calendar[[#This Row],[Month]]&lt;4,1,IF(calendar[[#This Row],[Month]]&lt;7,2,IF(calendar[[#This Row],[Month]]&lt;10,3,4)))</f>
        <v>4</v>
      </c>
      <c r="L3990">
        <f>IFERROR(IF(VLOOKUP(calendar[[#This Row],[Date]],BH!A:A,1,)&lt;&gt;"",1,0),0)</f>
        <v>0</v>
      </c>
      <c r="M3990">
        <f>IFERROR(IF(VLOOKUP(calendar[[#This Row],[Date]],BH!C:C,1,)&lt;&gt;"",1,0),0)</f>
        <v>0</v>
      </c>
      <c r="N3990">
        <f>IFERROR(IF(VLOOKUP(calendar[[#This Row],[Date]],BH!E:E,1,)&lt;&gt;"",1,0),0)</f>
        <v>0</v>
      </c>
      <c r="O3990">
        <f>IFERROR(IF(VLOOKUP(calendar[[#This Row],[Date]],BH!G:G,1,)&lt;&gt;"",1,0),0)</f>
        <v>0</v>
      </c>
      <c r="P3990">
        <f>IF(OR(calendar[[#This Row],[UK_BH]]=1,calendar[[#This Row],[WeekDay]]=1, calendar[[#This Row],[WeekDay]]=7),P3989,P3989+1)</f>
        <v>2828</v>
      </c>
      <c r="Q3990">
        <f>IF(OR(calendar[[#This Row],[FR_BH]]=1,calendar[[#This Row],[WeekDay]]=1, calendar[[#This Row],[WeekDay]]=7),P3989,P3989+1)</f>
        <v>2828</v>
      </c>
      <c r="R3990">
        <f>IF(OR(calendar[[#This Row],[SP_BH]]=1,calendar[[#This Row],[WeekDay]]=1, calendar[[#This Row],[WeekDay]]=7),P3989,P3989+1)</f>
        <v>2828</v>
      </c>
      <c r="S3990">
        <f>IF(OR(calendar[[#This Row],[PT_BH]]=1,calendar[[#This Row],[WeekDay]]=1, calendar[[#This Row],[WeekDay]]=7),P3989,P3989+1)</f>
        <v>2828</v>
      </c>
    </row>
    <row r="3991" spans="1:19" x14ac:dyDescent="0.25">
      <c r="A3991" s="2">
        <v>46725</v>
      </c>
      <c r="B3991" s="1">
        <f t="shared" si="316"/>
        <v>49</v>
      </c>
      <c r="C3991">
        <f t="shared" si="317"/>
        <v>12</v>
      </c>
      <c r="D3991" t="str">
        <f t="shared" si="318"/>
        <v>December</v>
      </c>
      <c r="E3991">
        <f t="shared" si="319"/>
        <v>2027</v>
      </c>
      <c r="F3991" t="str">
        <f>CONCATENATE(calendar[[#This Row],[Month]],"/",calendar[[#This Row],[Year]])</f>
        <v>12/2027</v>
      </c>
      <c r="G3991">
        <f>WEEKDAY(calendar[[#This Row],[Date]],1)</f>
        <v>7</v>
      </c>
      <c r="H3991" t="str">
        <f>TEXT(calendar[[#This Row],[WeekDay]],"dddd")</f>
        <v>Saturday</v>
      </c>
      <c r="I3991">
        <f>IF((INT(calendar[[#This Row],[Count]]/7)-calendar[[#This Row],[Count]]/7)&lt;0,I3990,I3990+1)</f>
        <v>570</v>
      </c>
      <c r="J3991">
        <f t="shared" si="320"/>
        <v>3989</v>
      </c>
      <c r="K3991">
        <f>IF(calendar[[#This Row],[Month]]&lt;4,1,IF(calendar[[#This Row],[Month]]&lt;7,2,IF(calendar[[#This Row],[Month]]&lt;10,3,4)))</f>
        <v>4</v>
      </c>
      <c r="L3991">
        <f>IFERROR(IF(VLOOKUP(calendar[[#This Row],[Date]],BH!A:A,1,)&lt;&gt;"",1,0),0)</f>
        <v>0</v>
      </c>
      <c r="M3991">
        <f>IFERROR(IF(VLOOKUP(calendar[[#This Row],[Date]],BH!C:C,1,)&lt;&gt;"",1,0),0)</f>
        <v>0</v>
      </c>
      <c r="N3991">
        <f>IFERROR(IF(VLOOKUP(calendar[[#This Row],[Date]],BH!E:E,1,)&lt;&gt;"",1,0),0)</f>
        <v>0</v>
      </c>
      <c r="O3991">
        <f>IFERROR(IF(VLOOKUP(calendar[[#This Row],[Date]],BH!G:G,1,)&lt;&gt;"",1,0),0)</f>
        <v>0</v>
      </c>
      <c r="P3991">
        <f>IF(OR(calendar[[#This Row],[UK_BH]]=1,calendar[[#This Row],[WeekDay]]=1, calendar[[#This Row],[WeekDay]]=7),P3990,P3990+1)</f>
        <v>2828</v>
      </c>
      <c r="Q3991">
        <f>IF(OR(calendar[[#This Row],[FR_BH]]=1,calendar[[#This Row],[WeekDay]]=1, calendar[[#This Row],[WeekDay]]=7),P3990,P3990+1)</f>
        <v>2828</v>
      </c>
      <c r="R3991">
        <f>IF(OR(calendar[[#This Row],[SP_BH]]=1,calendar[[#This Row],[WeekDay]]=1, calendar[[#This Row],[WeekDay]]=7),P3990,P3990+1)</f>
        <v>2828</v>
      </c>
      <c r="S3991">
        <f>IF(OR(calendar[[#This Row],[PT_BH]]=1,calendar[[#This Row],[WeekDay]]=1, calendar[[#This Row],[WeekDay]]=7),P3990,P3990+1)</f>
        <v>2828</v>
      </c>
    </row>
    <row r="3992" spans="1:19" x14ac:dyDescent="0.25">
      <c r="A3992" s="2">
        <v>46726</v>
      </c>
      <c r="B3992" s="1">
        <f t="shared" si="316"/>
        <v>50</v>
      </c>
      <c r="C3992">
        <f t="shared" si="317"/>
        <v>12</v>
      </c>
      <c r="D3992" t="str">
        <f t="shared" si="318"/>
        <v>December</v>
      </c>
      <c r="E3992">
        <f t="shared" si="319"/>
        <v>2027</v>
      </c>
      <c r="F3992" t="str">
        <f>CONCATENATE(calendar[[#This Row],[Month]],"/",calendar[[#This Row],[Year]])</f>
        <v>12/2027</v>
      </c>
      <c r="G3992">
        <f>WEEKDAY(calendar[[#This Row],[Date]],1)</f>
        <v>1</v>
      </c>
      <c r="H3992" t="str">
        <f>TEXT(calendar[[#This Row],[WeekDay]],"dddd")</f>
        <v>Sunday</v>
      </c>
      <c r="I3992">
        <f>IF((INT(calendar[[#This Row],[Count]]/7)-calendar[[#This Row],[Count]]/7)&lt;0,I3991,I3991+1)</f>
        <v>571</v>
      </c>
      <c r="J3992">
        <f t="shared" si="320"/>
        <v>3990</v>
      </c>
      <c r="K3992">
        <f>IF(calendar[[#This Row],[Month]]&lt;4,1,IF(calendar[[#This Row],[Month]]&lt;7,2,IF(calendar[[#This Row],[Month]]&lt;10,3,4)))</f>
        <v>4</v>
      </c>
      <c r="L3992">
        <f>IFERROR(IF(VLOOKUP(calendar[[#This Row],[Date]],BH!A:A,1,)&lt;&gt;"",1,0),0)</f>
        <v>0</v>
      </c>
      <c r="M3992">
        <f>IFERROR(IF(VLOOKUP(calendar[[#This Row],[Date]],BH!C:C,1,)&lt;&gt;"",1,0),0)</f>
        <v>0</v>
      </c>
      <c r="N3992">
        <f>IFERROR(IF(VLOOKUP(calendar[[#This Row],[Date]],BH!E:E,1,)&lt;&gt;"",1,0),0)</f>
        <v>0</v>
      </c>
      <c r="O3992">
        <f>IFERROR(IF(VLOOKUP(calendar[[#This Row],[Date]],BH!G:G,1,)&lt;&gt;"",1,0),0)</f>
        <v>0</v>
      </c>
      <c r="P3992">
        <f>IF(OR(calendar[[#This Row],[UK_BH]]=1,calendar[[#This Row],[WeekDay]]=1, calendar[[#This Row],[WeekDay]]=7),P3991,P3991+1)</f>
        <v>2828</v>
      </c>
      <c r="Q3992">
        <f>IF(OR(calendar[[#This Row],[FR_BH]]=1,calendar[[#This Row],[WeekDay]]=1, calendar[[#This Row],[WeekDay]]=7),P3991,P3991+1)</f>
        <v>2828</v>
      </c>
      <c r="R3992">
        <f>IF(OR(calendar[[#This Row],[SP_BH]]=1,calendar[[#This Row],[WeekDay]]=1, calendar[[#This Row],[WeekDay]]=7),P3991,P3991+1)</f>
        <v>2828</v>
      </c>
      <c r="S3992">
        <f>IF(OR(calendar[[#This Row],[PT_BH]]=1,calendar[[#This Row],[WeekDay]]=1, calendar[[#This Row],[WeekDay]]=7),P3991,P3991+1)</f>
        <v>2828</v>
      </c>
    </row>
    <row r="3993" spans="1:19" x14ac:dyDescent="0.25">
      <c r="A3993" s="2">
        <v>46727</v>
      </c>
      <c r="B3993" s="1">
        <f t="shared" si="316"/>
        <v>50</v>
      </c>
      <c r="C3993">
        <f t="shared" si="317"/>
        <v>12</v>
      </c>
      <c r="D3993" t="str">
        <f t="shared" si="318"/>
        <v>December</v>
      </c>
      <c r="E3993">
        <f t="shared" si="319"/>
        <v>2027</v>
      </c>
      <c r="F3993" t="str">
        <f>CONCATENATE(calendar[[#This Row],[Month]],"/",calendar[[#This Row],[Year]])</f>
        <v>12/2027</v>
      </c>
      <c r="G3993">
        <f>WEEKDAY(calendar[[#This Row],[Date]],1)</f>
        <v>2</v>
      </c>
      <c r="H3993" t="str">
        <f>TEXT(calendar[[#This Row],[WeekDay]],"dddd")</f>
        <v>Monday</v>
      </c>
      <c r="I3993">
        <f>IF((INT(calendar[[#This Row],[Count]]/7)-calendar[[#This Row],[Count]]/7)&lt;0,I3992,I3992+1)</f>
        <v>571</v>
      </c>
      <c r="J3993">
        <f t="shared" si="320"/>
        <v>3991</v>
      </c>
      <c r="K3993">
        <f>IF(calendar[[#This Row],[Month]]&lt;4,1,IF(calendar[[#This Row],[Month]]&lt;7,2,IF(calendar[[#This Row],[Month]]&lt;10,3,4)))</f>
        <v>4</v>
      </c>
      <c r="L3993">
        <f>IFERROR(IF(VLOOKUP(calendar[[#This Row],[Date]],BH!A:A,1,)&lt;&gt;"",1,0),0)</f>
        <v>0</v>
      </c>
      <c r="M3993">
        <f>IFERROR(IF(VLOOKUP(calendar[[#This Row],[Date]],BH!C:C,1,)&lt;&gt;"",1,0),0)</f>
        <v>0</v>
      </c>
      <c r="N3993">
        <f>IFERROR(IF(VLOOKUP(calendar[[#This Row],[Date]],BH!E:E,1,)&lt;&gt;"",1,0),0)</f>
        <v>1</v>
      </c>
      <c r="O3993">
        <f>IFERROR(IF(VLOOKUP(calendar[[#This Row],[Date]],BH!G:G,1,)&lt;&gt;"",1,0),0)</f>
        <v>0</v>
      </c>
      <c r="P3993">
        <f>IF(OR(calendar[[#This Row],[UK_BH]]=1,calendar[[#This Row],[WeekDay]]=1, calendar[[#This Row],[WeekDay]]=7),P3992,P3992+1)</f>
        <v>2829</v>
      </c>
      <c r="Q3993">
        <f>IF(OR(calendar[[#This Row],[FR_BH]]=1,calendar[[#This Row],[WeekDay]]=1, calendar[[#This Row],[WeekDay]]=7),P3992,P3992+1)</f>
        <v>2829</v>
      </c>
      <c r="R3993">
        <f>IF(OR(calendar[[#This Row],[SP_BH]]=1,calendar[[#This Row],[WeekDay]]=1, calendar[[#This Row],[WeekDay]]=7),P3992,P3992+1)</f>
        <v>2828</v>
      </c>
      <c r="S3993">
        <f>IF(OR(calendar[[#This Row],[PT_BH]]=1,calendar[[#This Row],[WeekDay]]=1, calendar[[#This Row],[WeekDay]]=7),P3992,P3992+1)</f>
        <v>2829</v>
      </c>
    </row>
    <row r="3994" spans="1:19" x14ac:dyDescent="0.25">
      <c r="A3994" s="2">
        <v>46728</v>
      </c>
      <c r="B3994" s="1">
        <f t="shared" si="316"/>
        <v>50</v>
      </c>
      <c r="C3994">
        <f t="shared" si="317"/>
        <v>12</v>
      </c>
      <c r="D3994" t="str">
        <f t="shared" si="318"/>
        <v>December</v>
      </c>
      <c r="E3994">
        <f t="shared" si="319"/>
        <v>2027</v>
      </c>
      <c r="F3994" t="str">
        <f>CONCATENATE(calendar[[#This Row],[Month]],"/",calendar[[#This Row],[Year]])</f>
        <v>12/2027</v>
      </c>
      <c r="G3994">
        <f>WEEKDAY(calendar[[#This Row],[Date]],1)</f>
        <v>3</v>
      </c>
      <c r="H3994" t="str">
        <f>TEXT(calendar[[#This Row],[WeekDay]],"dddd")</f>
        <v>Tuesday</v>
      </c>
      <c r="I3994">
        <f>IF((INT(calendar[[#This Row],[Count]]/7)-calendar[[#This Row],[Count]]/7)&lt;0,I3993,I3993+1)</f>
        <v>571</v>
      </c>
      <c r="J3994">
        <f t="shared" si="320"/>
        <v>3992</v>
      </c>
      <c r="K3994">
        <f>IF(calendar[[#This Row],[Month]]&lt;4,1,IF(calendar[[#This Row],[Month]]&lt;7,2,IF(calendar[[#This Row],[Month]]&lt;10,3,4)))</f>
        <v>4</v>
      </c>
      <c r="L3994">
        <f>IFERROR(IF(VLOOKUP(calendar[[#This Row],[Date]],BH!A:A,1,)&lt;&gt;"",1,0),0)</f>
        <v>0</v>
      </c>
      <c r="M3994">
        <f>IFERROR(IF(VLOOKUP(calendar[[#This Row],[Date]],BH!C:C,1,)&lt;&gt;"",1,0),0)</f>
        <v>0</v>
      </c>
      <c r="N3994">
        <f>IFERROR(IF(VLOOKUP(calendar[[#This Row],[Date]],BH!E:E,1,)&lt;&gt;"",1,0),0)</f>
        <v>0</v>
      </c>
      <c r="O3994">
        <f>IFERROR(IF(VLOOKUP(calendar[[#This Row],[Date]],BH!G:G,1,)&lt;&gt;"",1,0),0)</f>
        <v>0</v>
      </c>
      <c r="P3994">
        <f>IF(OR(calendar[[#This Row],[UK_BH]]=1,calendar[[#This Row],[WeekDay]]=1, calendar[[#This Row],[WeekDay]]=7),P3993,P3993+1)</f>
        <v>2830</v>
      </c>
      <c r="Q3994">
        <f>IF(OR(calendar[[#This Row],[FR_BH]]=1,calendar[[#This Row],[WeekDay]]=1, calendar[[#This Row],[WeekDay]]=7),P3993,P3993+1)</f>
        <v>2830</v>
      </c>
      <c r="R3994">
        <f>IF(OR(calendar[[#This Row],[SP_BH]]=1,calendar[[#This Row],[WeekDay]]=1, calendar[[#This Row],[WeekDay]]=7),P3993,P3993+1)</f>
        <v>2830</v>
      </c>
      <c r="S3994">
        <f>IF(OR(calendar[[#This Row],[PT_BH]]=1,calendar[[#This Row],[WeekDay]]=1, calendar[[#This Row],[WeekDay]]=7),P3993,P3993+1)</f>
        <v>2830</v>
      </c>
    </row>
    <row r="3995" spans="1:19" x14ac:dyDescent="0.25">
      <c r="A3995" s="2">
        <v>46729</v>
      </c>
      <c r="B3995" s="1">
        <f t="shared" si="316"/>
        <v>50</v>
      </c>
      <c r="C3995">
        <f t="shared" si="317"/>
        <v>12</v>
      </c>
      <c r="D3995" t="str">
        <f t="shared" si="318"/>
        <v>December</v>
      </c>
      <c r="E3995">
        <f t="shared" si="319"/>
        <v>2027</v>
      </c>
      <c r="F3995" t="str">
        <f>CONCATENATE(calendar[[#This Row],[Month]],"/",calendar[[#This Row],[Year]])</f>
        <v>12/2027</v>
      </c>
      <c r="G3995">
        <f>WEEKDAY(calendar[[#This Row],[Date]],1)</f>
        <v>4</v>
      </c>
      <c r="H3995" t="str">
        <f>TEXT(calendar[[#This Row],[WeekDay]],"dddd")</f>
        <v>Wednesday</v>
      </c>
      <c r="I3995">
        <f>IF((INT(calendar[[#This Row],[Count]]/7)-calendar[[#This Row],[Count]]/7)&lt;0,I3994,I3994+1)</f>
        <v>571</v>
      </c>
      <c r="J3995">
        <f t="shared" si="320"/>
        <v>3993</v>
      </c>
      <c r="K3995">
        <f>IF(calendar[[#This Row],[Month]]&lt;4,1,IF(calendar[[#This Row],[Month]]&lt;7,2,IF(calendar[[#This Row],[Month]]&lt;10,3,4)))</f>
        <v>4</v>
      </c>
      <c r="L3995">
        <f>IFERROR(IF(VLOOKUP(calendar[[#This Row],[Date]],BH!A:A,1,)&lt;&gt;"",1,0),0)</f>
        <v>0</v>
      </c>
      <c r="M3995">
        <f>IFERROR(IF(VLOOKUP(calendar[[#This Row],[Date]],BH!C:C,1,)&lt;&gt;"",1,0),0)</f>
        <v>0</v>
      </c>
      <c r="N3995">
        <f>IFERROR(IF(VLOOKUP(calendar[[#This Row],[Date]],BH!E:E,1,)&lt;&gt;"",1,0),0)</f>
        <v>1</v>
      </c>
      <c r="O3995">
        <f>IFERROR(IF(VLOOKUP(calendar[[#This Row],[Date]],BH!G:G,1,)&lt;&gt;"",1,0),0)</f>
        <v>1</v>
      </c>
      <c r="P3995">
        <f>IF(OR(calendar[[#This Row],[UK_BH]]=1,calendar[[#This Row],[WeekDay]]=1, calendar[[#This Row],[WeekDay]]=7),P3994,P3994+1)</f>
        <v>2831</v>
      </c>
      <c r="Q3995">
        <f>IF(OR(calendar[[#This Row],[FR_BH]]=1,calendar[[#This Row],[WeekDay]]=1, calendar[[#This Row],[WeekDay]]=7),P3994,P3994+1)</f>
        <v>2831</v>
      </c>
      <c r="R3995">
        <f>IF(OR(calendar[[#This Row],[SP_BH]]=1,calendar[[#This Row],[WeekDay]]=1, calendar[[#This Row],[WeekDay]]=7),P3994,P3994+1)</f>
        <v>2830</v>
      </c>
      <c r="S3995">
        <f>IF(OR(calendar[[#This Row],[PT_BH]]=1,calendar[[#This Row],[WeekDay]]=1, calendar[[#This Row],[WeekDay]]=7),P3994,P3994+1)</f>
        <v>2830</v>
      </c>
    </row>
    <row r="3996" spans="1:19" x14ac:dyDescent="0.25">
      <c r="A3996" s="2">
        <v>46730</v>
      </c>
      <c r="B3996" s="1">
        <f t="shared" si="316"/>
        <v>50</v>
      </c>
      <c r="C3996">
        <f t="shared" si="317"/>
        <v>12</v>
      </c>
      <c r="D3996" t="str">
        <f t="shared" si="318"/>
        <v>December</v>
      </c>
      <c r="E3996">
        <f t="shared" si="319"/>
        <v>2027</v>
      </c>
      <c r="F3996" t="str">
        <f>CONCATENATE(calendar[[#This Row],[Month]],"/",calendar[[#This Row],[Year]])</f>
        <v>12/2027</v>
      </c>
      <c r="G3996">
        <f>WEEKDAY(calendar[[#This Row],[Date]],1)</f>
        <v>5</v>
      </c>
      <c r="H3996" t="str">
        <f>TEXT(calendar[[#This Row],[WeekDay]],"dddd")</f>
        <v>Thursday</v>
      </c>
      <c r="I3996">
        <f>IF((INT(calendar[[#This Row],[Count]]/7)-calendar[[#This Row],[Count]]/7)&lt;0,I3995,I3995+1)</f>
        <v>571</v>
      </c>
      <c r="J3996">
        <f t="shared" si="320"/>
        <v>3994</v>
      </c>
      <c r="K3996">
        <f>IF(calendar[[#This Row],[Month]]&lt;4,1,IF(calendar[[#This Row],[Month]]&lt;7,2,IF(calendar[[#This Row],[Month]]&lt;10,3,4)))</f>
        <v>4</v>
      </c>
      <c r="L3996">
        <f>IFERROR(IF(VLOOKUP(calendar[[#This Row],[Date]],BH!A:A,1,)&lt;&gt;"",1,0),0)</f>
        <v>0</v>
      </c>
      <c r="M3996">
        <f>IFERROR(IF(VLOOKUP(calendar[[#This Row],[Date]],BH!C:C,1,)&lt;&gt;"",1,0),0)</f>
        <v>0</v>
      </c>
      <c r="N3996">
        <f>IFERROR(IF(VLOOKUP(calendar[[#This Row],[Date]],BH!E:E,1,)&lt;&gt;"",1,0),0)</f>
        <v>0</v>
      </c>
      <c r="O3996">
        <f>IFERROR(IF(VLOOKUP(calendar[[#This Row],[Date]],BH!G:G,1,)&lt;&gt;"",1,0),0)</f>
        <v>0</v>
      </c>
      <c r="P3996">
        <f>IF(OR(calendar[[#This Row],[UK_BH]]=1,calendar[[#This Row],[WeekDay]]=1, calendar[[#This Row],[WeekDay]]=7),P3995,P3995+1)</f>
        <v>2832</v>
      </c>
      <c r="Q3996">
        <f>IF(OR(calendar[[#This Row],[FR_BH]]=1,calendar[[#This Row],[WeekDay]]=1, calendar[[#This Row],[WeekDay]]=7),P3995,P3995+1)</f>
        <v>2832</v>
      </c>
      <c r="R3996">
        <f>IF(OR(calendar[[#This Row],[SP_BH]]=1,calendar[[#This Row],[WeekDay]]=1, calendar[[#This Row],[WeekDay]]=7),P3995,P3995+1)</f>
        <v>2832</v>
      </c>
      <c r="S3996">
        <f>IF(OR(calendar[[#This Row],[PT_BH]]=1,calendar[[#This Row],[WeekDay]]=1, calendar[[#This Row],[WeekDay]]=7),P3995,P3995+1)</f>
        <v>2832</v>
      </c>
    </row>
    <row r="3997" spans="1:19" x14ac:dyDescent="0.25">
      <c r="A3997" s="2">
        <v>46731</v>
      </c>
      <c r="B3997" s="1">
        <f t="shared" si="316"/>
        <v>50</v>
      </c>
      <c r="C3997">
        <f t="shared" si="317"/>
        <v>12</v>
      </c>
      <c r="D3997" t="str">
        <f t="shared" si="318"/>
        <v>December</v>
      </c>
      <c r="E3997">
        <f t="shared" si="319"/>
        <v>2027</v>
      </c>
      <c r="F3997" t="str">
        <f>CONCATENATE(calendar[[#This Row],[Month]],"/",calendar[[#This Row],[Year]])</f>
        <v>12/2027</v>
      </c>
      <c r="G3997">
        <f>WEEKDAY(calendar[[#This Row],[Date]],1)</f>
        <v>6</v>
      </c>
      <c r="H3997" t="str">
        <f>TEXT(calendar[[#This Row],[WeekDay]],"dddd")</f>
        <v>Friday</v>
      </c>
      <c r="I3997">
        <f>IF((INT(calendar[[#This Row],[Count]]/7)-calendar[[#This Row],[Count]]/7)&lt;0,I3996,I3996+1)</f>
        <v>571</v>
      </c>
      <c r="J3997">
        <f t="shared" si="320"/>
        <v>3995</v>
      </c>
      <c r="K3997">
        <f>IF(calendar[[#This Row],[Month]]&lt;4,1,IF(calendar[[#This Row],[Month]]&lt;7,2,IF(calendar[[#This Row],[Month]]&lt;10,3,4)))</f>
        <v>4</v>
      </c>
      <c r="L3997">
        <f>IFERROR(IF(VLOOKUP(calendar[[#This Row],[Date]],BH!A:A,1,)&lt;&gt;"",1,0),0)</f>
        <v>0</v>
      </c>
      <c r="M3997">
        <f>IFERROR(IF(VLOOKUP(calendar[[#This Row],[Date]],BH!C:C,1,)&lt;&gt;"",1,0),0)</f>
        <v>0</v>
      </c>
      <c r="N3997">
        <f>IFERROR(IF(VLOOKUP(calendar[[#This Row],[Date]],BH!E:E,1,)&lt;&gt;"",1,0),0)</f>
        <v>0</v>
      </c>
      <c r="O3997">
        <f>IFERROR(IF(VLOOKUP(calendar[[#This Row],[Date]],BH!G:G,1,)&lt;&gt;"",1,0),0)</f>
        <v>0</v>
      </c>
      <c r="P3997">
        <f>IF(OR(calendar[[#This Row],[UK_BH]]=1,calendar[[#This Row],[WeekDay]]=1, calendar[[#This Row],[WeekDay]]=7),P3996,P3996+1)</f>
        <v>2833</v>
      </c>
      <c r="Q3997">
        <f>IF(OR(calendar[[#This Row],[FR_BH]]=1,calendar[[#This Row],[WeekDay]]=1, calendar[[#This Row],[WeekDay]]=7),P3996,P3996+1)</f>
        <v>2833</v>
      </c>
      <c r="R3997">
        <f>IF(OR(calendar[[#This Row],[SP_BH]]=1,calendar[[#This Row],[WeekDay]]=1, calendar[[#This Row],[WeekDay]]=7),P3996,P3996+1)</f>
        <v>2833</v>
      </c>
      <c r="S3997">
        <f>IF(OR(calendar[[#This Row],[PT_BH]]=1,calendar[[#This Row],[WeekDay]]=1, calendar[[#This Row],[WeekDay]]=7),P3996,P3996+1)</f>
        <v>2833</v>
      </c>
    </row>
    <row r="3998" spans="1:19" x14ac:dyDescent="0.25">
      <c r="A3998" s="2">
        <v>46732</v>
      </c>
      <c r="B3998" s="1">
        <f t="shared" si="316"/>
        <v>50</v>
      </c>
      <c r="C3998">
        <f t="shared" si="317"/>
        <v>12</v>
      </c>
      <c r="D3998" t="str">
        <f t="shared" si="318"/>
        <v>December</v>
      </c>
      <c r="E3998">
        <f t="shared" si="319"/>
        <v>2027</v>
      </c>
      <c r="F3998" t="str">
        <f>CONCATENATE(calendar[[#This Row],[Month]],"/",calendar[[#This Row],[Year]])</f>
        <v>12/2027</v>
      </c>
      <c r="G3998">
        <f>WEEKDAY(calendar[[#This Row],[Date]],1)</f>
        <v>7</v>
      </c>
      <c r="H3998" t="str">
        <f>TEXT(calendar[[#This Row],[WeekDay]],"dddd")</f>
        <v>Saturday</v>
      </c>
      <c r="I3998">
        <f>IF((INT(calendar[[#This Row],[Count]]/7)-calendar[[#This Row],[Count]]/7)&lt;0,I3997,I3997+1)</f>
        <v>571</v>
      </c>
      <c r="J3998">
        <f t="shared" si="320"/>
        <v>3996</v>
      </c>
      <c r="K3998">
        <f>IF(calendar[[#This Row],[Month]]&lt;4,1,IF(calendar[[#This Row],[Month]]&lt;7,2,IF(calendar[[#This Row],[Month]]&lt;10,3,4)))</f>
        <v>4</v>
      </c>
      <c r="L3998">
        <f>IFERROR(IF(VLOOKUP(calendar[[#This Row],[Date]],BH!A:A,1,)&lt;&gt;"",1,0),0)</f>
        <v>0</v>
      </c>
      <c r="M3998">
        <f>IFERROR(IF(VLOOKUP(calendar[[#This Row],[Date]],BH!C:C,1,)&lt;&gt;"",1,0),0)</f>
        <v>0</v>
      </c>
      <c r="N3998">
        <f>IFERROR(IF(VLOOKUP(calendar[[#This Row],[Date]],BH!E:E,1,)&lt;&gt;"",1,0),0)</f>
        <v>0</v>
      </c>
      <c r="O3998">
        <f>IFERROR(IF(VLOOKUP(calendar[[#This Row],[Date]],BH!G:G,1,)&lt;&gt;"",1,0),0)</f>
        <v>0</v>
      </c>
      <c r="P3998">
        <f>IF(OR(calendar[[#This Row],[UK_BH]]=1,calendar[[#This Row],[WeekDay]]=1, calendar[[#This Row],[WeekDay]]=7),P3997,P3997+1)</f>
        <v>2833</v>
      </c>
      <c r="Q3998">
        <f>IF(OR(calendar[[#This Row],[FR_BH]]=1,calendar[[#This Row],[WeekDay]]=1, calendar[[#This Row],[WeekDay]]=7),P3997,P3997+1)</f>
        <v>2833</v>
      </c>
      <c r="R3998">
        <f>IF(OR(calendar[[#This Row],[SP_BH]]=1,calendar[[#This Row],[WeekDay]]=1, calendar[[#This Row],[WeekDay]]=7),P3997,P3997+1)</f>
        <v>2833</v>
      </c>
      <c r="S3998">
        <f>IF(OR(calendar[[#This Row],[PT_BH]]=1,calendar[[#This Row],[WeekDay]]=1, calendar[[#This Row],[WeekDay]]=7),P3997,P3997+1)</f>
        <v>2833</v>
      </c>
    </row>
    <row r="3999" spans="1:19" x14ac:dyDescent="0.25">
      <c r="A3999" s="2">
        <v>46733</v>
      </c>
      <c r="B3999" s="1">
        <f t="shared" si="316"/>
        <v>51</v>
      </c>
      <c r="C3999">
        <f t="shared" si="317"/>
        <v>12</v>
      </c>
      <c r="D3999" t="str">
        <f t="shared" si="318"/>
        <v>December</v>
      </c>
      <c r="E3999">
        <f t="shared" si="319"/>
        <v>2027</v>
      </c>
      <c r="F3999" t="str">
        <f>CONCATENATE(calendar[[#This Row],[Month]],"/",calendar[[#This Row],[Year]])</f>
        <v>12/2027</v>
      </c>
      <c r="G3999">
        <f>WEEKDAY(calendar[[#This Row],[Date]],1)</f>
        <v>1</v>
      </c>
      <c r="H3999" t="str">
        <f>TEXT(calendar[[#This Row],[WeekDay]],"dddd")</f>
        <v>Sunday</v>
      </c>
      <c r="I3999">
        <f>IF((INT(calendar[[#This Row],[Count]]/7)-calendar[[#This Row],[Count]]/7)&lt;0,I3998,I3998+1)</f>
        <v>572</v>
      </c>
      <c r="J3999">
        <f t="shared" si="320"/>
        <v>3997</v>
      </c>
      <c r="K3999">
        <f>IF(calendar[[#This Row],[Month]]&lt;4,1,IF(calendar[[#This Row],[Month]]&lt;7,2,IF(calendar[[#This Row],[Month]]&lt;10,3,4)))</f>
        <v>4</v>
      </c>
      <c r="L3999">
        <f>IFERROR(IF(VLOOKUP(calendar[[#This Row],[Date]],BH!A:A,1,)&lt;&gt;"",1,0),0)</f>
        <v>0</v>
      </c>
      <c r="M3999">
        <f>IFERROR(IF(VLOOKUP(calendar[[#This Row],[Date]],BH!C:C,1,)&lt;&gt;"",1,0),0)</f>
        <v>0</v>
      </c>
      <c r="N3999">
        <f>IFERROR(IF(VLOOKUP(calendar[[#This Row],[Date]],BH!E:E,1,)&lt;&gt;"",1,0),0)</f>
        <v>0</v>
      </c>
      <c r="O3999">
        <f>IFERROR(IF(VLOOKUP(calendar[[#This Row],[Date]],BH!G:G,1,)&lt;&gt;"",1,0),0)</f>
        <v>0</v>
      </c>
      <c r="P3999">
        <f>IF(OR(calendar[[#This Row],[UK_BH]]=1,calendar[[#This Row],[WeekDay]]=1, calendar[[#This Row],[WeekDay]]=7),P3998,P3998+1)</f>
        <v>2833</v>
      </c>
      <c r="Q3999">
        <f>IF(OR(calendar[[#This Row],[FR_BH]]=1,calendar[[#This Row],[WeekDay]]=1, calendar[[#This Row],[WeekDay]]=7),P3998,P3998+1)</f>
        <v>2833</v>
      </c>
      <c r="R3999">
        <f>IF(OR(calendar[[#This Row],[SP_BH]]=1,calendar[[#This Row],[WeekDay]]=1, calendar[[#This Row],[WeekDay]]=7),P3998,P3998+1)</f>
        <v>2833</v>
      </c>
      <c r="S3999">
        <f>IF(OR(calendar[[#This Row],[PT_BH]]=1,calendar[[#This Row],[WeekDay]]=1, calendar[[#This Row],[WeekDay]]=7),P3998,P3998+1)</f>
        <v>2833</v>
      </c>
    </row>
    <row r="4000" spans="1:19" x14ac:dyDescent="0.25">
      <c r="A4000" s="2">
        <v>46734</v>
      </c>
      <c r="B4000" s="1">
        <f t="shared" si="316"/>
        <v>51</v>
      </c>
      <c r="C4000">
        <f t="shared" si="317"/>
        <v>12</v>
      </c>
      <c r="D4000" t="str">
        <f t="shared" si="318"/>
        <v>December</v>
      </c>
      <c r="E4000">
        <f t="shared" si="319"/>
        <v>2027</v>
      </c>
      <c r="F4000" t="str">
        <f>CONCATENATE(calendar[[#This Row],[Month]],"/",calendar[[#This Row],[Year]])</f>
        <v>12/2027</v>
      </c>
      <c r="G4000">
        <f>WEEKDAY(calendar[[#This Row],[Date]],1)</f>
        <v>2</v>
      </c>
      <c r="H4000" t="str">
        <f>TEXT(calendar[[#This Row],[WeekDay]],"dddd")</f>
        <v>Monday</v>
      </c>
      <c r="I4000">
        <f>IF((INT(calendar[[#This Row],[Count]]/7)-calendar[[#This Row],[Count]]/7)&lt;0,I3999,I3999+1)</f>
        <v>572</v>
      </c>
      <c r="J4000">
        <f t="shared" si="320"/>
        <v>3998</v>
      </c>
      <c r="K4000">
        <f>IF(calendar[[#This Row],[Month]]&lt;4,1,IF(calendar[[#This Row],[Month]]&lt;7,2,IF(calendar[[#This Row],[Month]]&lt;10,3,4)))</f>
        <v>4</v>
      </c>
      <c r="L4000">
        <f>IFERROR(IF(VLOOKUP(calendar[[#This Row],[Date]],BH!A:A,1,)&lt;&gt;"",1,0),0)</f>
        <v>0</v>
      </c>
      <c r="M4000">
        <f>IFERROR(IF(VLOOKUP(calendar[[#This Row],[Date]],BH!C:C,1,)&lt;&gt;"",1,0),0)</f>
        <v>0</v>
      </c>
      <c r="N4000">
        <f>IFERROR(IF(VLOOKUP(calendar[[#This Row],[Date]],BH!E:E,1,)&lt;&gt;"",1,0),0)</f>
        <v>0</v>
      </c>
      <c r="O4000">
        <f>IFERROR(IF(VLOOKUP(calendar[[#This Row],[Date]],BH!G:G,1,)&lt;&gt;"",1,0),0)</f>
        <v>0</v>
      </c>
      <c r="P4000">
        <f>IF(OR(calendar[[#This Row],[UK_BH]]=1,calendar[[#This Row],[WeekDay]]=1, calendar[[#This Row],[WeekDay]]=7),P3999,P3999+1)</f>
        <v>2834</v>
      </c>
      <c r="Q4000">
        <f>IF(OR(calendar[[#This Row],[FR_BH]]=1,calendar[[#This Row],[WeekDay]]=1, calendar[[#This Row],[WeekDay]]=7),P3999,P3999+1)</f>
        <v>2834</v>
      </c>
      <c r="R4000">
        <f>IF(OR(calendar[[#This Row],[SP_BH]]=1,calendar[[#This Row],[WeekDay]]=1, calendar[[#This Row],[WeekDay]]=7),P3999,P3999+1)</f>
        <v>2834</v>
      </c>
      <c r="S4000">
        <f>IF(OR(calendar[[#This Row],[PT_BH]]=1,calendar[[#This Row],[WeekDay]]=1, calendar[[#This Row],[WeekDay]]=7),P3999,P3999+1)</f>
        <v>2834</v>
      </c>
    </row>
    <row r="4001" spans="1:19" x14ac:dyDescent="0.25">
      <c r="A4001" s="2">
        <v>46735</v>
      </c>
      <c r="B4001" s="1">
        <f t="shared" si="316"/>
        <v>51</v>
      </c>
      <c r="C4001">
        <f t="shared" si="317"/>
        <v>12</v>
      </c>
      <c r="D4001" t="str">
        <f t="shared" si="318"/>
        <v>December</v>
      </c>
      <c r="E4001">
        <f t="shared" si="319"/>
        <v>2027</v>
      </c>
      <c r="F4001" t="str">
        <f>CONCATENATE(calendar[[#This Row],[Month]],"/",calendar[[#This Row],[Year]])</f>
        <v>12/2027</v>
      </c>
      <c r="G4001">
        <f>WEEKDAY(calendar[[#This Row],[Date]],1)</f>
        <v>3</v>
      </c>
      <c r="H4001" t="str">
        <f>TEXT(calendar[[#This Row],[WeekDay]],"dddd")</f>
        <v>Tuesday</v>
      </c>
      <c r="I4001">
        <f>IF((INT(calendar[[#This Row],[Count]]/7)-calendar[[#This Row],[Count]]/7)&lt;0,I4000,I4000+1)</f>
        <v>572</v>
      </c>
      <c r="J4001">
        <f t="shared" si="320"/>
        <v>3999</v>
      </c>
      <c r="K4001">
        <f>IF(calendar[[#This Row],[Month]]&lt;4,1,IF(calendar[[#This Row],[Month]]&lt;7,2,IF(calendar[[#This Row],[Month]]&lt;10,3,4)))</f>
        <v>4</v>
      </c>
      <c r="L4001">
        <f>IFERROR(IF(VLOOKUP(calendar[[#This Row],[Date]],BH!A:A,1,)&lt;&gt;"",1,0),0)</f>
        <v>0</v>
      </c>
      <c r="M4001">
        <f>IFERROR(IF(VLOOKUP(calendar[[#This Row],[Date]],BH!C:C,1,)&lt;&gt;"",1,0),0)</f>
        <v>0</v>
      </c>
      <c r="N4001">
        <f>IFERROR(IF(VLOOKUP(calendar[[#This Row],[Date]],BH!E:E,1,)&lt;&gt;"",1,0),0)</f>
        <v>0</v>
      </c>
      <c r="O4001">
        <f>IFERROR(IF(VLOOKUP(calendar[[#This Row],[Date]],BH!G:G,1,)&lt;&gt;"",1,0),0)</f>
        <v>0</v>
      </c>
      <c r="P4001">
        <f>IF(OR(calendar[[#This Row],[UK_BH]]=1,calendar[[#This Row],[WeekDay]]=1, calendar[[#This Row],[WeekDay]]=7),P4000,P4000+1)</f>
        <v>2835</v>
      </c>
      <c r="Q4001">
        <f>IF(OR(calendar[[#This Row],[FR_BH]]=1,calendar[[#This Row],[WeekDay]]=1, calendar[[#This Row],[WeekDay]]=7),P4000,P4000+1)</f>
        <v>2835</v>
      </c>
      <c r="R4001">
        <f>IF(OR(calendar[[#This Row],[SP_BH]]=1,calendar[[#This Row],[WeekDay]]=1, calendar[[#This Row],[WeekDay]]=7),P4000,P4000+1)</f>
        <v>2835</v>
      </c>
      <c r="S4001">
        <f>IF(OR(calendar[[#This Row],[PT_BH]]=1,calendar[[#This Row],[WeekDay]]=1, calendar[[#This Row],[WeekDay]]=7),P4000,P4000+1)</f>
        <v>2835</v>
      </c>
    </row>
    <row r="4002" spans="1:19" x14ac:dyDescent="0.25">
      <c r="A4002" s="2">
        <v>46736</v>
      </c>
      <c r="B4002" s="1">
        <f t="shared" si="316"/>
        <v>51</v>
      </c>
      <c r="C4002">
        <f t="shared" si="317"/>
        <v>12</v>
      </c>
      <c r="D4002" t="str">
        <f t="shared" si="318"/>
        <v>December</v>
      </c>
      <c r="E4002">
        <f t="shared" si="319"/>
        <v>2027</v>
      </c>
      <c r="F4002" t="str">
        <f>CONCATENATE(calendar[[#This Row],[Month]],"/",calendar[[#This Row],[Year]])</f>
        <v>12/2027</v>
      </c>
      <c r="G4002">
        <f>WEEKDAY(calendar[[#This Row],[Date]],1)</f>
        <v>4</v>
      </c>
      <c r="H4002" t="str">
        <f>TEXT(calendar[[#This Row],[WeekDay]],"dddd")</f>
        <v>Wednesday</v>
      </c>
      <c r="I4002">
        <f>IF((INT(calendar[[#This Row],[Count]]/7)-calendar[[#This Row],[Count]]/7)&lt;0,I4001,I4001+1)</f>
        <v>572</v>
      </c>
      <c r="J4002">
        <f t="shared" si="320"/>
        <v>4000</v>
      </c>
      <c r="K4002">
        <f>IF(calendar[[#This Row],[Month]]&lt;4,1,IF(calendar[[#This Row],[Month]]&lt;7,2,IF(calendar[[#This Row],[Month]]&lt;10,3,4)))</f>
        <v>4</v>
      </c>
      <c r="L4002">
        <f>IFERROR(IF(VLOOKUP(calendar[[#This Row],[Date]],BH!A:A,1,)&lt;&gt;"",1,0),0)</f>
        <v>0</v>
      </c>
      <c r="M4002">
        <f>IFERROR(IF(VLOOKUP(calendar[[#This Row],[Date]],BH!C:C,1,)&lt;&gt;"",1,0),0)</f>
        <v>0</v>
      </c>
      <c r="N4002">
        <f>IFERROR(IF(VLOOKUP(calendar[[#This Row],[Date]],BH!E:E,1,)&lt;&gt;"",1,0),0)</f>
        <v>0</v>
      </c>
      <c r="O4002">
        <f>IFERROR(IF(VLOOKUP(calendar[[#This Row],[Date]],BH!G:G,1,)&lt;&gt;"",1,0),0)</f>
        <v>0</v>
      </c>
      <c r="P4002">
        <f>IF(OR(calendar[[#This Row],[UK_BH]]=1,calendar[[#This Row],[WeekDay]]=1, calendar[[#This Row],[WeekDay]]=7),P4001,P4001+1)</f>
        <v>2836</v>
      </c>
      <c r="Q4002">
        <f>IF(OR(calendar[[#This Row],[FR_BH]]=1,calendar[[#This Row],[WeekDay]]=1, calendar[[#This Row],[WeekDay]]=7),P4001,P4001+1)</f>
        <v>2836</v>
      </c>
      <c r="R4002">
        <f>IF(OR(calendar[[#This Row],[SP_BH]]=1,calendar[[#This Row],[WeekDay]]=1, calendar[[#This Row],[WeekDay]]=7),P4001,P4001+1)</f>
        <v>2836</v>
      </c>
      <c r="S4002">
        <f>IF(OR(calendar[[#This Row],[PT_BH]]=1,calendar[[#This Row],[WeekDay]]=1, calendar[[#This Row],[WeekDay]]=7),P4001,P4001+1)</f>
        <v>2836</v>
      </c>
    </row>
    <row r="4003" spans="1:19" x14ac:dyDescent="0.25">
      <c r="A4003" s="2">
        <v>46737</v>
      </c>
      <c r="B4003" s="1">
        <f t="shared" si="316"/>
        <v>51</v>
      </c>
      <c r="C4003">
        <f t="shared" si="317"/>
        <v>12</v>
      </c>
      <c r="D4003" t="str">
        <f t="shared" si="318"/>
        <v>December</v>
      </c>
      <c r="E4003">
        <f t="shared" si="319"/>
        <v>2027</v>
      </c>
      <c r="F4003" t="str">
        <f>CONCATENATE(calendar[[#This Row],[Month]],"/",calendar[[#This Row],[Year]])</f>
        <v>12/2027</v>
      </c>
      <c r="G4003">
        <f>WEEKDAY(calendar[[#This Row],[Date]],1)</f>
        <v>5</v>
      </c>
      <c r="H4003" t="str">
        <f>TEXT(calendar[[#This Row],[WeekDay]],"dddd")</f>
        <v>Thursday</v>
      </c>
      <c r="I4003">
        <f>IF((INT(calendar[[#This Row],[Count]]/7)-calendar[[#This Row],[Count]]/7)&lt;0,I4002,I4002+1)</f>
        <v>572</v>
      </c>
      <c r="J4003">
        <f t="shared" si="320"/>
        <v>4001</v>
      </c>
      <c r="K4003">
        <f>IF(calendar[[#This Row],[Month]]&lt;4,1,IF(calendar[[#This Row],[Month]]&lt;7,2,IF(calendar[[#This Row],[Month]]&lt;10,3,4)))</f>
        <v>4</v>
      </c>
      <c r="L4003">
        <f>IFERROR(IF(VLOOKUP(calendar[[#This Row],[Date]],BH!A:A,1,)&lt;&gt;"",1,0),0)</f>
        <v>0</v>
      </c>
      <c r="M4003">
        <f>IFERROR(IF(VLOOKUP(calendar[[#This Row],[Date]],BH!C:C,1,)&lt;&gt;"",1,0),0)</f>
        <v>0</v>
      </c>
      <c r="N4003">
        <f>IFERROR(IF(VLOOKUP(calendar[[#This Row],[Date]],BH!E:E,1,)&lt;&gt;"",1,0),0)</f>
        <v>0</v>
      </c>
      <c r="O4003">
        <f>IFERROR(IF(VLOOKUP(calendar[[#This Row],[Date]],BH!G:G,1,)&lt;&gt;"",1,0),0)</f>
        <v>0</v>
      </c>
      <c r="P4003">
        <f>IF(OR(calendar[[#This Row],[UK_BH]]=1,calendar[[#This Row],[WeekDay]]=1, calendar[[#This Row],[WeekDay]]=7),P4002,P4002+1)</f>
        <v>2837</v>
      </c>
      <c r="Q4003">
        <f>IF(OR(calendar[[#This Row],[FR_BH]]=1,calendar[[#This Row],[WeekDay]]=1, calendar[[#This Row],[WeekDay]]=7),P4002,P4002+1)</f>
        <v>2837</v>
      </c>
      <c r="R4003">
        <f>IF(OR(calendar[[#This Row],[SP_BH]]=1,calendar[[#This Row],[WeekDay]]=1, calendar[[#This Row],[WeekDay]]=7),P4002,P4002+1)</f>
        <v>2837</v>
      </c>
      <c r="S4003">
        <f>IF(OR(calendar[[#This Row],[PT_BH]]=1,calendar[[#This Row],[WeekDay]]=1, calendar[[#This Row],[WeekDay]]=7),P4002,P4002+1)</f>
        <v>2837</v>
      </c>
    </row>
    <row r="4004" spans="1:19" x14ac:dyDescent="0.25">
      <c r="A4004" s="2">
        <v>46738</v>
      </c>
      <c r="B4004" s="1">
        <f t="shared" si="316"/>
        <v>51</v>
      </c>
      <c r="C4004">
        <f t="shared" si="317"/>
        <v>12</v>
      </c>
      <c r="D4004" t="str">
        <f t="shared" si="318"/>
        <v>December</v>
      </c>
      <c r="E4004">
        <f t="shared" si="319"/>
        <v>2027</v>
      </c>
      <c r="F4004" t="str">
        <f>CONCATENATE(calendar[[#This Row],[Month]],"/",calendar[[#This Row],[Year]])</f>
        <v>12/2027</v>
      </c>
      <c r="G4004">
        <f>WEEKDAY(calendar[[#This Row],[Date]],1)</f>
        <v>6</v>
      </c>
      <c r="H4004" t="str">
        <f>TEXT(calendar[[#This Row],[WeekDay]],"dddd")</f>
        <v>Friday</v>
      </c>
      <c r="I4004">
        <f>IF((INT(calendar[[#This Row],[Count]]/7)-calendar[[#This Row],[Count]]/7)&lt;0,I4003,I4003+1)</f>
        <v>572</v>
      </c>
      <c r="J4004">
        <f t="shared" si="320"/>
        <v>4002</v>
      </c>
      <c r="K4004">
        <f>IF(calendar[[#This Row],[Month]]&lt;4,1,IF(calendar[[#This Row],[Month]]&lt;7,2,IF(calendar[[#This Row],[Month]]&lt;10,3,4)))</f>
        <v>4</v>
      </c>
      <c r="L4004">
        <f>IFERROR(IF(VLOOKUP(calendar[[#This Row],[Date]],BH!A:A,1,)&lt;&gt;"",1,0),0)</f>
        <v>0</v>
      </c>
      <c r="M4004">
        <f>IFERROR(IF(VLOOKUP(calendar[[#This Row],[Date]],BH!C:C,1,)&lt;&gt;"",1,0),0)</f>
        <v>0</v>
      </c>
      <c r="N4004">
        <f>IFERROR(IF(VLOOKUP(calendar[[#This Row],[Date]],BH!E:E,1,)&lt;&gt;"",1,0),0)</f>
        <v>0</v>
      </c>
      <c r="O4004">
        <f>IFERROR(IF(VLOOKUP(calendar[[#This Row],[Date]],BH!G:G,1,)&lt;&gt;"",1,0),0)</f>
        <v>0</v>
      </c>
      <c r="P4004">
        <f>IF(OR(calendar[[#This Row],[UK_BH]]=1,calendar[[#This Row],[WeekDay]]=1, calendar[[#This Row],[WeekDay]]=7),P4003,P4003+1)</f>
        <v>2838</v>
      </c>
      <c r="Q4004">
        <f>IF(OR(calendar[[#This Row],[FR_BH]]=1,calendar[[#This Row],[WeekDay]]=1, calendar[[#This Row],[WeekDay]]=7),P4003,P4003+1)</f>
        <v>2838</v>
      </c>
      <c r="R4004">
        <f>IF(OR(calendar[[#This Row],[SP_BH]]=1,calendar[[#This Row],[WeekDay]]=1, calendar[[#This Row],[WeekDay]]=7),P4003,P4003+1)</f>
        <v>2838</v>
      </c>
      <c r="S4004">
        <f>IF(OR(calendar[[#This Row],[PT_BH]]=1,calendar[[#This Row],[WeekDay]]=1, calendar[[#This Row],[WeekDay]]=7),P4003,P4003+1)</f>
        <v>2838</v>
      </c>
    </row>
    <row r="4005" spans="1:19" x14ac:dyDescent="0.25">
      <c r="A4005" s="2">
        <v>46739</v>
      </c>
      <c r="B4005" s="1">
        <f t="shared" si="316"/>
        <v>51</v>
      </c>
      <c r="C4005">
        <f t="shared" si="317"/>
        <v>12</v>
      </c>
      <c r="D4005" t="str">
        <f t="shared" si="318"/>
        <v>December</v>
      </c>
      <c r="E4005">
        <f t="shared" si="319"/>
        <v>2027</v>
      </c>
      <c r="F4005" t="str">
        <f>CONCATENATE(calendar[[#This Row],[Month]],"/",calendar[[#This Row],[Year]])</f>
        <v>12/2027</v>
      </c>
      <c r="G4005">
        <f>WEEKDAY(calendar[[#This Row],[Date]],1)</f>
        <v>7</v>
      </c>
      <c r="H4005" t="str">
        <f>TEXT(calendar[[#This Row],[WeekDay]],"dddd")</f>
        <v>Saturday</v>
      </c>
      <c r="I4005">
        <f>IF((INT(calendar[[#This Row],[Count]]/7)-calendar[[#This Row],[Count]]/7)&lt;0,I4004,I4004+1)</f>
        <v>572</v>
      </c>
      <c r="J4005">
        <f t="shared" si="320"/>
        <v>4003</v>
      </c>
      <c r="K4005">
        <f>IF(calendar[[#This Row],[Month]]&lt;4,1,IF(calendar[[#This Row],[Month]]&lt;7,2,IF(calendar[[#This Row],[Month]]&lt;10,3,4)))</f>
        <v>4</v>
      </c>
      <c r="L4005">
        <f>IFERROR(IF(VLOOKUP(calendar[[#This Row],[Date]],BH!A:A,1,)&lt;&gt;"",1,0),0)</f>
        <v>0</v>
      </c>
      <c r="M4005">
        <f>IFERROR(IF(VLOOKUP(calendar[[#This Row],[Date]],BH!C:C,1,)&lt;&gt;"",1,0),0)</f>
        <v>0</v>
      </c>
      <c r="N4005">
        <f>IFERROR(IF(VLOOKUP(calendar[[#This Row],[Date]],BH!E:E,1,)&lt;&gt;"",1,0),0)</f>
        <v>0</v>
      </c>
      <c r="O4005">
        <f>IFERROR(IF(VLOOKUP(calendar[[#This Row],[Date]],BH!G:G,1,)&lt;&gt;"",1,0),0)</f>
        <v>0</v>
      </c>
      <c r="P4005">
        <f>IF(OR(calendar[[#This Row],[UK_BH]]=1,calendar[[#This Row],[WeekDay]]=1, calendar[[#This Row],[WeekDay]]=7),P4004,P4004+1)</f>
        <v>2838</v>
      </c>
      <c r="Q4005">
        <f>IF(OR(calendar[[#This Row],[FR_BH]]=1,calendar[[#This Row],[WeekDay]]=1, calendar[[#This Row],[WeekDay]]=7),P4004,P4004+1)</f>
        <v>2838</v>
      </c>
      <c r="R4005">
        <f>IF(OR(calendar[[#This Row],[SP_BH]]=1,calendar[[#This Row],[WeekDay]]=1, calendar[[#This Row],[WeekDay]]=7),P4004,P4004+1)</f>
        <v>2838</v>
      </c>
      <c r="S4005">
        <f>IF(OR(calendar[[#This Row],[PT_BH]]=1,calendar[[#This Row],[WeekDay]]=1, calendar[[#This Row],[WeekDay]]=7),P4004,P4004+1)</f>
        <v>2838</v>
      </c>
    </row>
    <row r="4006" spans="1:19" x14ac:dyDescent="0.25">
      <c r="A4006" s="2">
        <v>46740</v>
      </c>
      <c r="B4006" s="1">
        <f t="shared" si="316"/>
        <v>52</v>
      </c>
      <c r="C4006">
        <f t="shared" si="317"/>
        <v>12</v>
      </c>
      <c r="D4006" t="str">
        <f t="shared" si="318"/>
        <v>December</v>
      </c>
      <c r="E4006">
        <f t="shared" si="319"/>
        <v>2027</v>
      </c>
      <c r="F4006" t="str">
        <f>CONCATENATE(calendar[[#This Row],[Month]],"/",calendar[[#This Row],[Year]])</f>
        <v>12/2027</v>
      </c>
      <c r="G4006">
        <f>WEEKDAY(calendar[[#This Row],[Date]],1)</f>
        <v>1</v>
      </c>
      <c r="H4006" t="str">
        <f>TEXT(calendar[[#This Row],[WeekDay]],"dddd")</f>
        <v>Sunday</v>
      </c>
      <c r="I4006">
        <f>IF((INT(calendar[[#This Row],[Count]]/7)-calendar[[#This Row],[Count]]/7)&lt;0,I4005,I4005+1)</f>
        <v>573</v>
      </c>
      <c r="J4006">
        <f t="shared" si="320"/>
        <v>4004</v>
      </c>
      <c r="K4006">
        <f>IF(calendar[[#This Row],[Month]]&lt;4,1,IF(calendar[[#This Row],[Month]]&lt;7,2,IF(calendar[[#This Row],[Month]]&lt;10,3,4)))</f>
        <v>4</v>
      </c>
      <c r="L4006">
        <f>IFERROR(IF(VLOOKUP(calendar[[#This Row],[Date]],BH!A:A,1,)&lt;&gt;"",1,0),0)</f>
        <v>0</v>
      </c>
      <c r="M4006">
        <f>IFERROR(IF(VLOOKUP(calendar[[#This Row],[Date]],BH!C:C,1,)&lt;&gt;"",1,0),0)</f>
        <v>0</v>
      </c>
      <c r="N4006">
        <f>IFERROR(IF(VLOOKUP(calendar[[#This Row],[Date]],BH!E:E,1,)&lt;&gt;"",1,0),0)</f>
        <v>0</v>
      </c>
      <c r="O4006">
        <f>IFERROR(IF(VLOOKUP(calendar[[#This Row],[Date]],BH!G:G,1,)&lt;&gt;"",1,0),0)</f>
        <v>0</v>
      </c>
      <c r="P4006">
        <f>IF(OR(calendar[[#This Row],[UK_BH]]=1,calendar[[#This Row],[WeekDay]]=1, calendar[[#This Row],[WeekDay]]=7),P4005,P4005+1)</f>
        <v>2838</v>
      </c>
      <c r="Q4006">
        <f>IF(OR(calendar[[#This Row],[FR_BH]]=1,calendar[[#This Row],[WeekDay]]=1, calendar[[#This Row],[WeekDay]]=7),P4005,P4005+1)</f>
        <v>2838</v>
      </c>
      <c r="R4006">
        <f>IF(OR(calendar[[#This Row],[SP_BH]]=1,calendar[[#This Row],[WeekDay]]=1, calendar[[#This Row],[WeekDay]]=7),P4005,P4005+1)</f>
        <v>2838</v>
      </c>
      <c r="S4006">
        <f>IF(OR(calendar[[#This Row],[PT_BH]]=1,calendar[[#This Row],[WeekDay]]=1, calendar[[#This Row],[WeekDay]]=7),P4005,P4005+1)</f>
        <v>2838</v>
      </c>
    </row>
    <row r="4007" spans="1:19" x14ac:dyDescent="0.25">
      <c r="A4007" s="2">
        <v>46741</v>
      </c>
      <c r="B4007" s="1">
        <f t="shared" si="316"/>
        <v>52</v>
      </c>
      <c r="C4007">
        <f t="shared" si="317"/>
        <v>12</v>
      </c>
      <c r="D4007" t="str">
        <f t="shared" si="318"/>
        <v>December</v>
      </c>
      <c r="E4007">
        <f t="shared" si="319"/>
        <v>2027</v>
      </c>
      <c r="F4007" t="str">
        <f>CONCATENATE(calendar[[#This Row],[Month]],"/",calendar[[#This Row],[Year]])</f>
        <v>12/2027</v>
      </c>
      <c r="G4007">
        <f>WEEKDAY(calendar[[#This Row],[Date]],1)</f>
        <v>2</v>
      </c>
      <c r="H4007" t="str">
        <f>TEXT(calendar[[#This Row],[WeekDay]],"dddd")</f>
        <v>Monday</v>
      </c>
      <c r="I4007">
        <f>IF((INT(calendar[[#This Row],[Count]]/7)-calendar[[#This Row],[Count]]/7)&lt;0,I4006,I4006+1)</f>
        <v>573</v>
      </c>
      <c r="J4007">
        <f t="shared" si="320"/>
        <v>4005</v>
      </c>
      <c r="K4007">
        <f>IF(calendar[[#This Row],[Month]]&lt;4,1,IF(calendar[[#This Row],[Month]]&lt;7,2,IF(calendar[[#This Row],[Month]]&lt;10,3,4)))</f>
        <v>4</v>
      </c>
      <c r="L4007">
        <f>IFERROR(IF(VLOOKUP(calendar[[#This Row],[Date]],BH!A:A,1,)&lt;&gt;"",1,0),0)</f>
        <v>0</v>
      </c>
      <c r="M4007">
        <f>IFERROR(IF(VLOOKUP(calendar[[#This Row],[Date]],BH!C:C,1,)&lt;&gt;"",1,0),0)</f>
        <v>0</v>
      </c>
      <c r="N4007">
        <f>IFERROR(IF(VLOOKUP(calendar[[#This Row],[Date]],BH!E:E,1,)&lt;&gt;"",1,0),0)</f>
        <v>0</v>
      </c>
      <c r="O4007">
        <f>IFERROR(IF(VLOOKUP(calendar[[#This Row],[Date]],BH!G:G,1,)&lt;&gt;"",1,0),0)</f>
        <v>0</v>
      </c>
      <c r="P4007">
        <f>IF(OR(calendar[[#This Row],[UK_BH]]=1,calendar[[#This Row],[WeekDay]]=1, calendar[[#This Row],[WeekDay]]=7),P4006,P4006+1)</f>
        <v>2839</v>
      </c>
      <c r="Q4007">
        <f>IF(OR(calendar[[#This Row],[FR_BH]]=1,calendar[[#This Row],[WeekDay]]=1, calendar[[#This Row],[WeekDay]]=7),P4006,P4006+1)</f>
        <v>2839</v>
      </c>
      <c r="R4007">
        <f>IF(OR(calendar[[#This Row],[SP_BH]]=1,calendar[[#This Row],[WeekDay]]=1, calendar[[#This Row],[WeekDay]]=7),P4006,P4006+1)</f>
        <v>2839</v>
      </c>
      <c r="S4007">
        <f>IF(OR(calendar[[#This Row],[PT_BH]]=1,calendar[[#This Row],[WeekDay]]=1, calendar[[#This Row],[WeekDay]]=7),P4006,P4006+1)</f>
        <v>2839</v>
      </c>
    </row>
    <row r="4008" spans="1:19" x14ac:dyDescent="0.25">
      <c r="A4008" s="2">
        <v>46742</v>
      </c>
      <c r="B4008" s="1">
        <f t="shared" si="316"/>
        <v>52</v>
      </c>
      <c r="C4008">
        <f t="shared" si="317"/>
        <v>12</v>
      </c>
      <c r="D4008" t="str">
        <f t="shared" si="318"/>
        <v>December</v>
      </c>
      <c r="E4008">
        <f t="shared" si="319"/>
        <v>2027</v>
      </c>
      <c r="F4008" t="str">
        <f>CONCATENATE(calendar[[#This Row],[Month]],"/",calendar[[#This Row],[Year]])</f>
        <v>12/2027</v>
      </c>
      <c r="G4008">
        <f>WEEKDAY(calendar[[#This Row],[Date]],1)</f>
        <v>3</v>
      </c>
      <c r="H4008" t="str">
        <f>TEXT(calendar[[#This Row],[WeekDay]],"dddd")</f>
        <v>Tuesday</v>
      </c>
      <c r="I4008">
        <f>IF((INT(calendar[[#This Row],[Count]]/7)-calendar[[#This Row],[Count]]/7)&lt;0,I4007,I4007+1)</f>
        <v>573</v>
      </c>
      <c r="J4008">
        <f t="shared" si="320"/>
        <v>4006</v>
      </c>
      <c r="K4008">
        <f>IF(calendar[[#This Row],[Month]]&lt;4,1,IF(calendar[[#This Row],[Month]]&lt;7,2,IF(calendar[[#This Row],[Month]]&lt;10,3,4)))</f>
        <v>4</v>
      </c>
      <c r="L4008">
        <f>IFERROR(IF(VLOOKUP(calendar[[#This Row],[Date]],BH!A:A,1,)&lt;&gt;"",1,0),0)</f>
        <v>0</v>
      </c>
      <c r="M4008">
        <f>IFERROR(IF(VLOOKUP(calendar[[#This Row],[Date]],BH!C:C,1,)&lt;&gt;"",1,0),0)</f>
        <v>0</v>
      </c>
      <c r="N4008">
        <f>IFERROR(IF(VLOOKUP(calendar[[#This Row],[Date]],BH!E:E,1,)&lt;&gt;"",1,0),0)</f>
        <v>0</v>
      </c>
      <c r="O4008">
        <f>IFERROR(IF(VLOOKUP(calendar[[#This Row],[Date]],BH!G:G,1,)&lt;&gt;"",1,0),0)</f>
        <v>0</v>
      </c>
      <c r="P4008">
        <f>IF(OR(calendar[[#This Row],[UK_BH]]=1,calendar[[#This Row],[WeekDay]]=1, calendar[[#This Row],[WeekDay]]=7),P4007,P4007+1)</f>
        <v>2840</v>
      </c>
      <c r="Q4008">
        <f>IF(OR(calendar[[#This Row],[FR_BH]]=1,calendar[[#This Row],[WeekDay]]=1, calendar[[#This Row],[WeekDay]]=7),P4007,P4007+1)</f>
        <v>2840</v>
      </c>
      <c r="R4008">
        <f>IF(OR(calendar[[#This Row],[SP_BH]]=1,calendar[[#This Row],[WeekDay]]=1, calendar[[#This Row],[WeekDay]]=7),P4007,P4007+1)</f>
        <v>2840</v>
      </c>
      <c r="S4008">
        <f>IF(OR(calendar[[#This Row],[PT_BH]]=1,calendar[[#This Row],[WeekDay]]=1, calendar[[#This Row],[WeekDay]]=7),P4007,P4007+1)</f>
        <v>2840</v>
      </c>
    </row>
    <row r="4009" spans="1:19" x14ac:dyDescent="0.25">
      <c r="A4009" s="2">
        <v>46743</v>
      </c>
      <c r="B4009" s="1">
        <f t="shared" si="316"/>
        <v>52</v>
      </c>
      <c r="C4009">
        <f t="shared" si="317"/>
        <v>12</v>
      </c>
      <c r="D4009" t="str">
        <f t="shared" si="318"/>
        <v>December</v>
      </c>
      <c r="E4009">
        <f t="shared" si="319"/>
        <v>2027</v>
      </c>
      <c r="F4009" t="str">
        <f>CONCATENATE(calendar[[#This Row],[Month]],"/",calendar[[#This Row],[Year]])</f>
        <v>12/2027</v>
      </c>
      <c r="G4009">
        <f>WEEKDAY(calendar[[#This Row],[Date]],1)</f>
        <v>4</v>
      </c>
      <c r="H4009" t="str">
        <f>TEXT(calendar[[#This Row],[WeekDay]],"dddd")</f>
        <v>Wednesday</v>
      </c>
      <c r="I4009">
        <f>IF((INT(calendar[[#This Row],[Count]]/7)-calendar[[#This Row],[Count]]/7)&lt;0,I4008,I4008+1)</f>
        <v>573</v>
      </c>
      <c r="J4009">
        <f t="shared" si="320"/>
        <v>4007</v>
      </c>
      <c r="K4009">
        <f>IF(calendar[[#This Row],[Month]]&lt;4,1,IF(calendar[[#This Row],[Month]]&lt;7,2,IF(calendar[[#This Row],[Month]]&lt;10,3,4)))</f>
        <v>4</v>
      </c>
      <c r="L4009">
        <f>IFERROR(IF(VLOOKUP(calendar[[#This Row],[Date]],BH!A:A,1,)&lt;&gt;"",1,0),0)</f>
        <v>0</v>
      </c>
      <c r="M4009">
        <f>IFERROR(IF(VLOOKUP(calendar[[#This Row],[Date]],BH!C:C,1,)&lt;&gt;"",1,0),0)</f>
        <v>0</v>
      </c>
      <c r="N4009">
        <f>IFERROR(IF(VLOOKUP(calendar[[#This Row],[Date]],BH!E:E,1,)&lt;&gt;"",1,0),0)</f>
        <v>0</v>
      </c>
      <c r="O4009">
        <f>IFERROR(IF(VLOOKUP(calendar[[#This Row],[Date]],BH!G:G,1,)&lt;&gt;"",1,0),0)</f>
        <v>0</v>
      </c>
      <c r="P4009">
        <f>IF(OR(calendar[[#This Row],[UK_BH]]=1,calendar[[#This Row],[WeekDay]]=1, calendar[[#This Row],[WeekDay]]=7),P4008,P4008+1)</f>
        <v>2841</v>
      </c>
      <c r="Q4009">
        <f>IF(OR(calendar[[#This Row],[FR_BH]]=1,calendar[[#This Row],[WeekDay]]=1, calendar[[#This Row],[WeekDay]]=7),P4008,P4008+1)</f>
        <v>2841</v>
      </c>
      <c r="R4009">
        <f>IF(OR(calendar[[#This Row],[SP_BH]]=1,calendar[[#This Row],[WeekDay]]=1, calendar[[#This Row],[WeekDay]]=7),P4008,P4008+1)</f>
        <v>2841</v>
      </c>
      <c r="S4009">
        <f>IF(OR(calendar[[#This Row],[PT_BH]]=1,calendar[[#This Row],[WeekDay]]=1, calendar[[#This Row],[WeekDay]]=7),P4008,P4008+1)</f>
        <v>2841</v>
      </c>
    </row>
    <row r="4010" spans="1:19" x14ac:dyDescent="0.25">
      <c r="A4010" s="2">
        <v>46744</v>
      </c>
      <c r="B4010" s="1">
        <f t="shared" si="316"/>
        <v>52</v>
      </c>
      <c r="C4010">
        <f t="shared" si="317"/>
        <v>12</v>
      </c>
      <c r="D4010" t="str">
        <f t="shared" si="318"/>
        <v>December</v>
      </c>
      <c r="E4010">
        <f t="shared" si="319"/>
        <v>2027</v>
      </c>
      <c r="F4010" t="str">
        <f>CONCATENATE(calendar[[#This Row],[Month]],"/",calendar[[#This Row],[Year]])</f>
        <v>12/2027</v>
      </c>
      <c r="G4010">
        <f>WEEKDAY(calendar[[#This Row],[Date]],1)</f>
        <v>5</v>
      </c>
      <c r="H4010" t="str">
        <f>TEXT(calendar[[#This Row],[WeekDay]],"dddd")</f>
        <v>Thursday</v>
      </c>
      <c r="I4010">
        <f>IF((INT(calendar[[#This Row],[Count]]/7)-calendar[[#This Row],[Count]]/7)&lt;0,I4009,I4009+1)</f>
        <v>573</v>
      </c>
      <c r="J4010">
        <f t="shared" si="320"/>
        <v>4008</v>
      </c>
      <c r="K4010">
        <f>IF(calendar[[#This Row],[Month]]&lt;4,1,IF(calendar[[#This Row],[Month]]&lt;7,2,IF(calendar[[#This Row],[Month]]&lt;10,3,4)))</f>
        <v>4</v>
      </c>
      <c r="L4010">
        <f>IFERROR(IF(VLOOKUP(calendar[[#This Row],[Date]],BH!A:A,1,)&lt;&gt;"",1,0),0)</f>
        <v>0</v>
      </c>
      <c r="M4010">
        <f>IFERROR(IF(VLOOKUP(calendar[[#This Row],[Date]],BH!C:C,1,)&lt;&gt;"",1,0),0)</f>
        <v>0</v>
      </c>
      <c r="N4010">
        <f>IFERROR(IF(VLOOKUP(calendar[[#This Row],[Date]],BH!E:E,1,)&lt;&gt;"",1,0),0)</f>
        <v>0</v>
      </c>
      <c r="O4010">
        <f>IFERROR(IF(VLOOKUP(calendar[[#This Row],[Date]],BH!G:G,1,)&lt;&gt;"",1,0),0)</f>
        <v>0</v>
      </c>
      <c r="P4010">
        <f>IF(OR(calendar[[#This Row],[UK_BH]]=1,calendar[[#This Row],[WeekDay]]=1, calendar[[#This Row],[WeekDay]]=7),P4009,P4009+1)</f>
        <v>2842</v>
      </c>
      <c r="Q4010">
        <f>IF(OR(calendar[[#This Row],[FR_BH]]=1,calendar[[#This Row],[WeekDay]]=1, calendar[[#This Row],[WeekDay]]=7),P4009,P4009+1)</f>
        <v>2842</v>
      </c>
      <c r="R4010">
        <f>IF(OR(calendar[[#This Row],[SP_BH]]=1,calendar[[#This Row],[WeekDay]]=1, calendar[[#This Row],[WeekDay]]=7),P4009,P4009+1)</f>
        <v>2842</v>
      </c>
      <c r="S4010">
        <f>IF(OR(calendar[[#This Row],[PT_BH]]=1,calendar[[#This Row],[WeekDay]]=1, calendar[[#This Row],[WeekDay]]=7),P4009,P4009+1)</f>
        <v>2842</v>
      </c>
    </row>
    <row r="4011" spans="1:19" x14ac:dyDescent="0.25">
      <c r="A4011" s="2">
        <v>46745</v>
      </c>
      <c r="B4011" s="1">
        <f t="shared" si="316"/>
        <v>52</v>
      </c>
      <c r="C4011">
        <f t="shared" si="317"/>
        <v>12</v>
      </c>
      <c r="D4011" t="str">
        <f t="shared" si="318"/>
        <v>December</v>
      </c>
      <c r="E4011">
        <f t="shared" si="319"/>
        <v>2027</v>
      </c>
      <c r="F4011" t="str">
        <f>CONCATENATE(calendar[[#This Row],[Month]],"/",calendar[[#This Row],[Year]])</f>
        <v>12/2027</v>
      </c>
      <c r="G4011">
        <f>WEEKDAY(calendar[[#This Row],[Date]],1)</f>
        <v>6</v>
      </c>
      <c r="H4011" t="str">
        <f>TEXT(calendar[[#This Row],[WeekDay]],"dddd")</f>
        <v>Friday</v>
      </c>
      <c r="I4011">
        <f>IF((INT(calendar[[#This Row],[Count]]/7)-calendar[[#This Row],[Count]]/7)&lt;0,I4010,I4010+1)</f>
        <v>573</v>
      </c>
      <c r="J4011">
        <f t="shared" si="320"/>
        <v>4009</v>
      </c>
      <c r="K4011">
        <f>IF(calendar[[#This Row],[Month]]&lt;4,1,IF(calendar[[#This Row],[Month]]&lt;7,2,IF(calendar[[#This Row],[Month]]&lt;10,3,4)))</f>
        <v>4</v>
      </c>
      <c r="L4011">
        <f>IFERROR(IF(VLOOKUP(calendar[[#This Row],[Date]],BH!A:A,1,)&lt;&gt;"",1,0),0)</f>
        <v>0</v>
      </c>
      <c r="M4011">
        <f>IFERROR(IF(VLOOKUP(calendar[[#This Row],[Date]],BH!C:C,1,)&lt;&gt;"",1,0),0)</f>
        <v>0</v>
      </c>
      <c r="N4011">
        <f>IFERROR(IF(VLOOKUP(calendar[[#This Row],[Date]],BH!E:E,1,)&lt;&gt;"",1,0),0)</f>
        <v>0</v>
      </c>
      <c r="O4011">
        <f>IFERROR(IF(VLOOKUP(calendar[[#This Row],[Date]],BH!G:G,1,)&lt;&gt;"",1,0),0)</f>
        <v>0</v>
      </c>
      <c r="P4011">
        <f>IF(OR(calendar[[#This Row],[UK_BH]]=1,calendar[[#This Row],[WeekDay]]=1, calendar[[#This Row],[WeekDay]]=7),P4010,P4010+1)</f>
        <v>2843</v>
      </c>
      <c r="Q4011">
        <f>IF(OR(calendar[[#This Row],[FR_BH]]=1,calendar[[#This Row],[WeekDay]]=1, calendar[[#This Row],[WeekDay]]=7),P4010,P4010+1)</f>
        <v>2843</v>
      </c>
      <c r="R4011">
        <f>IF(OR(calendar[[#This Row],[SP_BH]]=1,calendar[[#This Row],[WeekDay]]=1, calendar[[#This Row],[WeekDay]]=7),P4010,P4010+1)</f>
        <v>2843</v>
      </c>
      <c r="S4011">
        <f>IF(OR(calendar[[#This Row],[PT_BH]]=1,calendar[[#This Row],[WeekDay]]=1, calendar[[#This Row],[WeekDay]]=7),P4010,P4010+1)</f>
        <v>2843</v>
      </c>
    </row>
    <row r="4012" spans="1:19" x14ac:dyDescent="0.25">
      <c r="A4012" s="2">
        <v>46746</v>
      </c>
      <c r="B4012" s="1">
        <f t="shared" si="316"/>
        <v>52</v>
      </c>
      <c r="C4012">
        <f t="shared" si="317"/>
        <v>12</v>
      </c>
      <c r="D4012" t="str">
        <f t="shared" si="318"/>
        <v>December</v>
      </c>
      <c r="E4012">
        <f t="shared" si="319"/>
        <v>2027</v>
      </c>
      <c r="F4012" t="str">
        <f>CONCATENATE(calendar[[#This Row],[Month]],"/",calendar[[#This Row],[Year]])</f>
        <v>12/2027</v>
      </c>
      <c r="G4012">
        <f>WEEKDAY(calendar[[#This Row],[Date]],1)</f>
        <v>7</v>
      </c>
      <c r="H4012" t="str">
        <f>TEXT(calendar[[#This Row],[WeekDay]],"dddd")</f>
        <v>Saturday</v>
      </c>
      <c r="I4012">
        <f>IF((INT(calendar[[#This Row],[Count]]/7)-calendar[[#This Row],[Count]]/7)&lt;0,I4011,I4011+1)</f>
        <v>573</v>
      </c>
      <c r="J4012">
        <f t="shared" si="320"/>
        <v>4010</v>
      </c>
      <c r="K4012">
        <f>IF(calendar[[#This Row],[Month]]&lt;4,1,IF(calendar[[#This Row],[Month]]&lt;7,2,IF(calendar[[#This Row],[Month]]&lt;10,3,4)))</f>
        <v>4</v>
      </c>
      <c r="L4012">
        <f>IFERROR(IF(VLOOKUP(calendar[[#This Row],[Date]],BH!A:A,1,)&lt;&gt;"",1,0),0)</f>
        <v>0</v>
      </c>
      <c r="M4012">
        <f>IFERROR(IF(VLOOKUP(calendar[[#This Row],[Date]],BH!C:C,1,)&lt;&gt;"",1,0),0)</f>
        <v>1</v>
      </c>
      <c r="N4012">
        <f>IFERROR(IF(VLOOKUP(calendar[[#This Row],[Date]],BH!E:E,1,)&lt;&gt;"",1,0),0)</f>
        <v>1</v>
      </c>
      <c r="O4012">
        <f>IFERROR(IF(VLOOKUP(calendar[[#This Row],[Date]],BH!G:G,1,)&lt;&gt;"",1,0),0)</f>
        <v>1</v>
      </c>
      <c r="P4012">
        <f>IF(OR(calendar[[#This Row],[UK_BH]]=1,calendar[[#This Row],[WeekDay]]=1, calendar[[#This Row],[WeekDay]]=7),P4011,P4011+1)</f>
        <v>2843</v>
      </c>
      <c r="Q4012">
        <f>IF(OR(calendar[[#This Row],[FR_BH]]=1,calendar[[#This Row],[WeekDay]]=1, calendar[[#This Row],[WeekDay]]=7),P4011,P4011+1)</f>
        <v>2843</v>
      </c>
      <c r="R4012">
        <f>IF(OR(calendar[[#This Row],[SP_BH]]=1,calendar[[#This Row],[WeekDay]]=1, calendar[[#This Row],[WeekDay]]=7),P4011,P4011+1)</f>
        <v>2843</v>
      </c>
      <c r="S4012">
        <f>IF(OR(calendar[[#This Row],[PT_BH]]=1,calendar[[#This Row],[WeekDay]]=1, calendar[[#This Row],[WeekDay]]=7),P4011,P4011+1)</f>
        <v>2843</v>
      </c>
    </row>
    <row r="4013" spans="1:19" x14ac:dyDescent="0.25">
      <c r="A4013" s="2">
        <v>46747</v>
      </c>
      <c r="B4013" s="1">
        <f t="shared" si="316"/>
        <v>53</v>
      </c>
      <c r="C4013">
        <f t="shared" si="317"/>
        <v>12</v>
      </c>
      <c r="D4013" t="str">
        <f t="shared" si="318"/>
        <v>December</v>
      </c>
      <c r="E4013">
        <f t="shared" si="319"/>
        <v>2027</v>
      </c>
      <c r="F4013" t="str">
        <f>CONCATENATE(calendar[[#This Row],[Month]],"/",calendar[[#This Row],[Year]])</f>
        <v>12/2027</v>
      </c>
      <c r="G4013">
        <f>WEEKDAY(calendar[[#This Row],[Date]],1)</f>
        <v>1</v>
      </c>
      <c r="H4013" t="str">
        <f>TEXT(calendar[[#This Row],[WeekDay]],"dddd")</f>
        <v>Sunday</v>
      </c>
      <c r="I4013">
        <f>IF((INT(calendar[[#This Row],[Count]]/7)-calendar[[#This Row],[Count]]/7)&lt;0,I4012,I4012+1)</f>
        <v>574</v>
      </c>
      <c r="J4013">
        <f t="shared" si="320"/>
        <v>4011</v>
      </c>
      <c r="K4013">
        <f>IF(calendar[[#This Row],[Month]]&lt;4,1,IF(calendar[[#This Row],[Month]]&lt;7,2,IF(calendar[[#This Row],[Month]]&lt;10,3,4)))</f>
        <v>4</v>
      </c>
      <c r="L4013">
        <f>IFERROR(IF(VLOOKUP(calendar[[#This Row],[Date]],BH!A:A,1,)&lt;&gt;"",1,0),0)</f>
        <v>0</v>
      </c>
      <c r="M4013">
        <f>IFERROR(IF(VLOOKUP(calendar[[#This Row],[Date]],BH!C:C,1,)&lt;&gt;"",1,0),0)</f>
        <v>1</v>
      </c>
      <c r="N4013">
        <f>IFERROR(IF(VLOOKUP(calendar[[#This Row],[Date]],BH!E:E,1,)&lt;&gt;"",1,0),0)</f>
        <v>1</v>
      </c>
      <c r="O4013">
        <f>IFERROR(IF(VLOOKUP(calendar[[#This Row],[Date]],BH!G:G,1,)&lt;&gt;"",1,0),0)</f>
        <v>0</v>
      </c>
      <c r="P4013">
        <f>IF(OR(calendar[[#This Row],[UK_BH]]=1,calendar[[#This Row],[WeekDay]]=1, calendar[[#This Row],[WeekDay]]=7),P4012,P4012+1)</f>
        <v>2843</v>
      </c>
      <c r="Q4013">
        <f>IF(OR(calendar[[#This Row],[FR_BH]]=1,calendar[[#This Row],[WeekDay]]=1, calendar[[#This Row],[WeekDay]]=7),P4012,P4012+1)</f>
        <v>2843</v>
      </c>
      <c r="R4013">
        <f>IF(OR(calendar[[#This Row],[SP_BH]]=1,calendar[[#This Row],[WeekDay]]=1, calendar[[#This Row],[WeekDay]]=7),P4012,P4012+1)</f>
        <v>2843</v>
      </c>
      <c r="S4013">
        <f>IF(OR(calendar[[#This Row],[PT_BH]]=1,calendar[[#This Row],[WeekDay]]=1, calendar[[#This Row],[WeekDay]]=7),P4012,P4012+1)</f>
        <v>2843</v>
      </c>
    </row>
    <row r="4014" spans="1:19" x14ac:dyDescent="0.25">
      <c r="A4014" s="2">
        <v>46748</v>
      </c>
      <c r="B4014" s="1">
        <f t="shared" si="316"/>
        <v>53</v>
      </c>
      <c r="C4014">
        <f t="shared" si="317"/>
        <v>12</v>
      </c>
      <c r="D4014" t="str">
        <f t="shared" si="318"/>
        <v>December</v>
      </c>
      <c r="E4014">
        <f t="shared" si="319"/>
        <v>2027</v>
      </c>
      <c r="F4014" t="str">
        <f>CONCATENATE(calendar[[#This Row],[Month]],"/",calendar[[#This Row],[Year]])</f>
        <v>12/2027</v>
      </c>
      <c r="G4014">
        <f>WEEKDAY(calendar[[#This Row],[Date]],1)</f>
        <v>2</v>
      </c>
      <c r="H4014" t="str">
        <f>TEXT(calendar[[#This Row],[WeekDay]],"dddd")</f>
        <v>Monday</v>
      </c>
      <c r="I4014">
        <f>IF((INT(calendar[[#This Row],[Count]]/7)-calendar[[#This Row],[Count]]/7)&lt;0,I4013,I4013+1)</f>
        <v>574</v>
      </c>
      <c r="J4014">
        <f t="shared" si="320"/>
        <v>4012</v>
      </c>
      <c r="K4014">
        <f>IF(calendar[[#This Row],[Month]]&lt;4,1,IF(calendar[[#This Row],[Month]]&lt;7,2,IF(calendar[[#This Row],[Month]]&lt;10,3,4)))</f>
        <v>4</v>
      </c>
      <c r="L4014">
        <f>IFERROR(IF(VLOOKUP(calendar[[#This Row],[Date]],BH!A:A,1,)&lt;&gt;"",1,0),0)</f>
        <v>1</v>
      </c>
      <c r="M4014">
        <f>IFERROR(IF(VLOOKUP(calendar[[#This Row],[Date]],BH!C:C,1,)&lt;&gt;"",1,0),0)</f>
        <v>0</v>
      </c>
      <c r="N4014">
        <f>IFERROR(IF(VLOOKUP(calendar[[#This Row],[Date]],BH!E:E,1,)&lt;&gt;"",1,0),0)</f>
        <v>0</v>
      </c>
      <c r="O4014">
        <f>IFERROR(IF(VLOOKUP(calendar[[#This Row],[Date]],BH!G:G,1,)&lt;&gt;"",1,0),0)</f>
        <v>0</v>
      </c>
      <c r="P4014">
        <f>IF(OR(calendar[[#This Row],[UK_BH]]=1,calendar[[#This Row],[WeekDay]]=1, calendar[[#This Row],[WeekDay]]=7),P4013,P4013+1)</f>
        <v>2843</v>
      </c>
      <c r="Q4014">
        <f>IF(OR(calendar[[#This Row],[FR_BH]]=1,calendar[[#This Row],[WeekDay]]=1, calendar[[#This Row],[WeekDay]]=7),P4013,P4013+1)</f>
        <v>2844</v>
      </c>
      <c r="R4014">
        <f>IF(OR(calendar[[#This Row],[SP_BH]]=1,calendar[[#This Row],[WeekDay]]=1, calendar[[#This Row],[WeekDay]]=7),P4013,P4013+1)</f>
        <v>2844</v>
      </c>
      <c r="S4014">
        <f>IF(OR(calendar[[#This Row],[PT_BH]]=1,calendar[[#This Row],[WeekDay]]=1, calendar[[#This Row],[WeekDay]]=7),P4013,P4013+1)</f>
        <v>2844</v>
      </c>
    </row>
    <row r="4015" spans="1:19" x14ac:dyDescent="0.25">
      <c r="A4015" s="2">
        <v>46749</v>
      </c>
      <c r="B4015" s="1">
        <f t="shared" si="316"/>
        <v>53</v>
      </c>
      <c r="C4015">
        <f t="shared" si="317"/>
        <v>12</v>
      </c>
      <c r="D4015" t="str">
        <f t="shared" si="318"/>
        <v>December</v>
      </c>
      <c r="E4015">
        <f t="shared" si="319"/>
        <v>2027</v>
      </c>
      <c r="F4015" t="str">
        <f>CONCATENATE(calendar[[#This Row],[Month]],"/",calendar[[#This Row],[Year]])</f>
        <v>12/2027</v>
      </c>
      <c r="G4015">
        <f>WEEKDAY(calendar[[#This Row],[Date]],1)</f>
        <v>3</v>
      </c>
      <c r="H4015" t="str">
        <f>TEXT(calendar[[#This Row],[WeekDay]],"dddd")</f>
        <v>Tuesday</v>
      </c>
      <c r="I4015">
        <f>IF((INT(calendar[[#This Row],[Count]]/7)-calendar[[#This Row],[Count]]/7)&lt;0,I4014,I4014+1)</f>
        <v>574</v>
      </c>
      <c r="J4015">
        <f t="shared" si="320"/>
        <v>4013</v>
      </c>
      <c r="K4015">
        <f>IF(calendar[[#This Row],[Month]]&lt;4,1,IF(calendar[[#This Row],[Month]]&lt;7,2,IF(calendar[[#This Row],[Month]]&lt;10,3,4)))</f>
        <v>4</v>
      </c>
      <c r="L4015">
        <f>IFERROR(IF(VLOOKUP(calendar[[#This Row],[Date]],BH!A:A,1,)&lt;&gt;"",1,0),0)</f>
        <v>1</v>
      </c>
      <c r="M4015">
        <f>IFERROR(IF(VLOOKUP(calendar[[#This Row],[Date]],BH!C:C,1,)&lt;&gt;"",1,0),0)</f>
        <v>0</v>
      </c>
      <c r="N4015">
        <f>IFERROR(IF(VLOOKUP(calendar[[#This Row],[Date]],BH!E:E,1,)&lt;&gt;"",1,0),0)</f>
        <v>0</v>
      </c>
      <c r="O4015">
        <f>IFERROR(IF(VLOOKUP(calendar[[#This Row],[Date]],BH!G:G,1,)&lt;&gt;"",1,0),0)</f>
        <v>0</v>
      </c>
      <c r="P4015">
        <f>IF(OR(calendar[[#This Row],[UK_BH]]=1,calendar[[#This Row],[WeekDay]]=1, calendar[[#This Row],[WeekDay]]=7),P4014,P4014+1)</f>
        <v>2843</v>
      </c>
      <c r="Q4015">
        <f>IF(OR(calendar[[#This Row],[FR_BH]]=1,calendar[[#This Row],[WeekDay]]=1, calendar[[#This Row],[WeekDay]]=7),P4014,P4014+1)</f>
        <v>2844</v>
      </c>
      <c r="R4015">
        <f>IF(OR(calendar[[#This Row],[SP_BH]]=1,calendar[[#This Row],[WeekDay]]=1, calendar[[#This Row],[WeekDay]]=7),P4014,P4014+1)</f>
        <v>2844</v>
      </c>
      <c r="S4015">
        <f>IF(OR(calendar[[#This Row],[PT_BH]]=1,calendar[[#This Row],[WeekDay]]=1, calendar[[#This Row],[WeekDay]]=7),P4014,P4014+1)</f>
        <v>2844</v>
      </c>
    </row>
    <row r="4016" spans="1:19" x14ac:dyDescent="0.25">
      <c r="A4016" s="2">
        <v>46750</v>
      </c>
      <c r="B4016" s="1">
        <f t="shared" si="316"/>
        <v>53</v>
      </c>
      <c r="C4016">
        <f t="shared" si="317"/>
        <v>12</v>
      </c>
      <c r="D4016" t="str">
        <f t="shared" si="318"/>
        <v>December</v>
      </c>
      <c r="E4016">
        <f t="shared" si="319"/>
        <v>2027</v>
      </c>
      <c r="F4016" t="str">
        <f>CONCATENATE(calendar[[#This Row],[Month]],"/",calendar[[#This Row],[Year]])</f>
        <v>12/2027</v>
      </c>
      <c r="G4016">
        <f>WEEKDAY(calendar[[#This Row],[Date]],1)</f>
        <v>4</v>
      </c>
      <c r="H4016" t="str">
        <f>TEXT(calendar[[#This Row],[WeekDay]],"dddd")</f>
        <v>Wednesday</v>
      </c>
      <c r="I4016">
        <f>IF((INT(calendar[[#This Row],[Count]]/7)-calendar[[#This Row],[Count]]/7)&lt;0,I4015,I4015+1)</f>
        <v>574</v>
      </c>
      <c r="J4016">
        <f t="shared" si="320"/>
        <v>4014</v>
      </c>
      <c r="K4016">
        <f>IF(calendar[[#This Row],[Month]]&lt;4,1,IF(calendar[[#This Row],[Month]]&lt;7,2,IF(calendar[[#This Row],[Month]]&lt;10,3,4)))</f>
        <v>4</v>
      </c>
      <c r="L4016">
        <f>IFERROR(IF(VLOOKUP(calendar[[#This Row],[Date]],BH!A:A,1,)&lt;&gt;"",1,0),0)</f>
        <v>0</v>
      </c>
      <c r="M4016">
        <f>IFERROR(IF(VLOOKUP(calendar[[#This Row],[Date]],BH!C:C,1,)&lt;&gt;"",1,0),0)</f>
        <v>0</v>
      </c>
      <c r="N4016">
        <f>IFERROR(IF(VLOOKUP(calendar[[#This Row],[Date]],BH!E:E,1,)&lt;&gt;"",1,0),0)</f>
        <v>0</v>
      </c>
      <c r="O4016">
        <f>IFERROR(IF(VLOOKUP(calendar[[#This Row],[Date]],BH!G:G,1,)&lt;&gt;"",1,0),0)</f>
        <v>0</v>
      </c>
      <c r="P4016">
        <f>IF(OR(calendar[[#This Row],[UK_BH]]=1,calendar[[#This Row],[WeekDay]]=1, calendar[[#This Row],[WeekDay]]=7),P4015,P4015+1)</f>
        <v>2844</v>
      </c>
      <c r="Q4016">
        <f>IF(OR(calendar[[#This Row],[FR_BH]]=1,calendar[[#This Row],[WeekDay]]=1, calendar[[#This Row],[WeekDay]]=7),P4015,P4015+1)</f>
        <v>2844</v>
      </c>
      <c r="R4016">
        <f>IF(OR(calendar[[#This Row],[SP_BH]]=1,calendar[[#This Row],[WeekDay]]=1, calendar[[#This Row],[WeekDay]]=7),P4015,P4015+1)</f>
        <v>2844</v>
      </c>
      <c r="S4016">
        <f>IF(OR(calendar[[#This Row],[PT_BH]]=1,calendar[[#This Row],[WeekDay]]=1, calendar[[#This Row],[WeekDay]]=7),P4015,P4015+1)</f>
        <v>2844</v>
      </c>
    </row>
    <row r="4017" spans="1:19" x14ac:dyDescent="0.25">
      <c r="A4017" s="2">
        <v>46751</v>
      </c>
      <c r="B4017" s="1">
        <f t="shared" si="316"/>
        <v>53</v>
      </c>
      <c r="C4017">
        <f t="shared" si="317"/>
        <v>12</v>
      </c>
      <c r="D4017" t="str">
        <f t="shared" si="318"/>
        <v>December</v>
      </c>
      <c r="E4017">
        <f t="shared" si="319"/>
        <v>2027</v>
      </c>
      <c r="F4017" t="str">
        <f>CONCATENATE(calendar[[#This Row],[Month]],"/",calendar[[#This Row],[Year]])</f>
        <v>12/2027</v>
      </c>
      <c r="G4017">
        <f>WEEKDAY(calendar[[#This Row],[Date]],1)</f>
        <v>5</v>
      </c>
      <c r="H4017" t="str">
        <f>TEXT(calendar[[#This Row],[WeekDay]],"dddd")</f>
        <v>Thursday</v>
      </c>
      <c r="I4017">
        <f>IF((INT(calendar[[#This Row],[Count]]/7)-calendar[[#This Row],[Count]]/7)&lt;0,I4016,I4016+1)</f>
        <v>574</v>
      </c>
      <c r="J4017">
        <f t="shared" si="320"/>
        <v>4015</v>
      </c>
      <c r="K4017">
        <f>IF(calendar[[#This Row],[Month]]&lt;4,1,IF(calendar[[#This Row],[Month]]&lt;7,2,IF(calendar[[#This Row],[Month]]&lt;10,3,4)))</f>
        <v>4</v>
      </c>
      <c r="L4017">
        <f>IFERROR(IF(VLOOKUP(calendar[[#This Row],[Date]],BH!A:A,1,)&lt;&gt;"",1,0),0)</f>
        <v>0</v>
      </c>
      <c r="M4017">
        <f>IFERROR(IF(VLOOKUP(calendar[[#This Row],[Date]],BH!C:C,1,)&lt;&gt;"",1,0),0)</f>
        <v>0</v>
      </c>
      <c r="N4017">
        <f>IFERROR(IF(VLOOKUP(calendar[[#This Row],[Date]],BH!E:E,1,)&lt;&gt;"",1,0),0)</f>
        <v>0</v>
      </c>
      <c r="O4017">
        <f>IFERROR(IF(VLOOKUP(calendar[[#This Row],[Date]],BH!G:G,1,)&lt;&gt;"",1,0),0)</f>
        <v>0</v>
      </c>
      <c r="P4017">
        <f>IF(OR(calendar[[#This Row],[UK_BH]]=1,calendar[[#This Row],[WeekDay]]=1, calendar[[#This Row],[WeekDay]]=7),P4016,P4016+1)</f>
        <v>2845</v>
      </c>
      <c r="Q4017">
        <f>IF(OR(calendar[[#This Row],[FR_BH]]=1,calendar[[#This Row],[WeekDay]]=1, calendar[[#This Row],[WeekDay]]=7),P4016,P4016+1)</f>
        <v>2845</v>
      </c>
      <c r="R4017">
        <f>IF(OR(calendar[[#This Row],[SP_BH]]=1,calendar[[#This Row],[WeekDay]]=1, calendar[[#This Row],[WeekDay]]=7),P4016,P4016+1)</f>
        <v>2845</v>
      </c>
      <c r="S4017">
        <f>IF(OR(calendar[[#This Row],[PT_BH]]=1,calendar[[#This Row],[WeekDay]]=1, calendar[[#This Row],[WeekDay]]=7),P4016,P4016+1)</f>
        <v>2845</v>
      </c>
    </row>
    <row r="4018" spans="1:19" x14ac:dyDescent="0.25">
      <c r="A4018" s="2">
        <v>46752</v>
      </c>
      <c r="B4018" s="1">
        <f t="shared" si="316"/>
        <v>53</v>
      </c>
      <c r="C4018">
        <f t="shared" si="317"/>
        <v>12</v>
      </c>
      <c r="D4018" t="str">
        <f t="shared" si="318"/>
        <v>December</v>
      </c>
      <c r="E4018">
        <f t="shared" si="319"/>
        <v>2027</v>
      </c>
      <c r="F4018" t="str">
        <f>CONCATENATE(calendar[[#This Row],[Month]],"/",calendar[[#This Row],[Year]])</f>
        <v>12/2027</v>
      </c>
      <c r="G4018">
        <f>WEEKDAY(calendar[[#This Row],[Date]],1)</f>
        <v>6</v>
      </c>
      <c r="H4018" t="str">
        <f>TEXT(calendar[[#This Row],[WeekDay]],"dddd")</f>
        <v>Friday</v>
      </c>
      <c r="I4018">
        <f>IF((INT(calendar[[#This Row],[Count]]/7)-calendar[[#This Row],[Count]]/7)&lt;0,I4017,I4017+1)</f>
        <v>574</v>
      </c>
      <c r="J4018">
        <f t="shared" si="320"/>
        <v>4016</v>
      </c>
      <c r="K4018">
        <f>IF(calendar[[#This Row],[Month]]&lt;4,1,IF(calendar[[#This Row],[Month]]&lt;7,2,IF(calendar[[#This Row],[Month]]&lt;10,3,4)))</f>
        <v>4</v>
      </c>
      <c r="L4018">
        <f>IFERROR(IF(VLOOKUP(calendar[[#This Row],[Date]],BH!A:A,1,)&lt;&gt;"",1,0),0)</f>
        <v>0</v>
      </c>
      <c r="M4018">
        <f>IFERROR(IF(VLOOKUP(calendar[[#This Row],[Date]],BH!C:C,1,)&lt;&gt;"",1,0),0)</f>
        <v>0</v>
      </c>
      <c r="N4018">
        <f>IFERROR(IF(VLOOKUP(calendar[[#This Row],[Date]],BH!E:E,1,)&lt;&gt;"",1,0),0)</f>
        <v>0</v>
      </c>
      <c r="O4018">
        <f>IFERROR(IF(VLOOKUP(calendar[[#This Row],[Date]],BH!G:G,1,)&lt;&gt;"",1,0),0)</f>
        <v>0</v>
      </c>
      <c r="P4018">
        <f>IF(OR(calendar[[#This Row],[UK_BH]]=1,calendar[[#This Row],[WeekDay]]=1, calendar[[#This Row],[WeekDay]]=7),P4017,P4017+1)</f>
        <v>2846</v>
      </c>
      <c r="Q4018">
        <f>IF(OR(calendar[[#This Row],[FR_BH]]=1,calendar[[#This Row],[WeekDay]]=1, calendar[[#This Row],[WeekDay]]=7),P4017,P4017+1)</f>
        <v>2846</v>
      </c>
      <c r="R4018">
        <f>IF(OR(calendar[[#This Row],[SP_BH]]=1,calendar[[#This Row],[WeekDay]]=1, calendar[[#This Row],[WeekDay]]=7),P4017,P4017+1)</f>
        <v>2846</v>
      </c>
      <c r="S4018">
        <f>IF(OR(calendar[[#This Row],[PT_BH]]=1,calendar[[#This Row],[WeekDay]]=1, calendar[[#This Row],[WeekDay]]=7),P4017,P4017+1)</f>
        <v>2846</v>
      </c>
    </row>
    <row r="4019" spans="1:19" x14ac:dyDescent="0.25">
      <c r="A4019" s="2">
        <v>46753</v>
      </c>
      <c r="B4019" s="1">
        <f t="shared" si="316"/>
        <v>1</v>
      </c>
      <c r="C4019">
        <f t="shared" si="317"/>
        <v>1</v>
      </c>
      <c r="D4019" t="str">
        <f t="shared" si="318"/>
        <v>January</v>
      </c>
      <c r="E4019">
        <f t="shared" si="319"/>
        <v>2028</v>
      </c>
      <c r="F4019" t="str">
        <f>CONCATENATE(calendar[[#This Row],[Month]],"/",calendar[[#This Row],[Year]])</f>
        <v>1/2028</v>
      </c>
      <c r="G4019">
        <f>WEEKDAY(calendar[[#This Row],[Date]],1)</f>
        <v>7</v>
      </c>
      <c r="H4019" t="str">
        <f>TEXT(calendar[[#This Row],[WeekDay]],"dddd")</f>
        <v>Saturday</v>
      </c>
      <c r="I4019">
        <f>IF((INT(calendar[[#This Row],[Count]]/7)-calendar[[#This Row],[Count]]/7)&lt;0,I4018,I4018+1)</f>
        <v>574</v>
      </c>
      <c r="J4019">
        <f t="shared" si="320"/>
        <v>4017</v>
      </c>
      <c r="K4019">
        <f>IF(calendar[[#This Row],[Month]]&lt;4,1,IF(calendar[[#This Row],[Month]]&lt;7,2,IF(calendar[[#This Row],[Month]]&lt;10,3,4)))</f>
        <v>1</v>
      </c>
      <c r="L4019">
        <f>IFERROR(IF(VLOOKUP(calendar[[#This Row],[Date]],BH!A:A,1,)&lt;&gt;"",1,0),0)</f>
        <v>0</v>
      </c>
      <c r="M4019">
        <f>IFERROR(IF(VLOOKUP(calendar[[#This Row],[Date]],BH!C:C,1,)&lt;&gt;"",1,0),0)</f>
        <v>0</v>
      </c>
      <c r="N4019">
        <f>IFERROR(IF(VLOOKUP(calendar[[#This Row],[Date]],BH!E:E,1,)&lt;&gt;"",1,0),0)</f>
        <v>0</v>
      </c>
      <c r="O4019">
        <f>IFERROR(IF(VLOOKUP(calendar[[#This Row],[Date]],BH!G:G,1,)&lt;&gt;"",1,0),0)</f>
        <v>0</v>
      </c>
      <c r="P4019">
        <f>IF(OR(calendar[[#This Row],[UK_BH]]=1,calendar[[#This Row],[WeekDay]]=1, calendar[[#This Row],[WeekDay]]=7),P4018,P4018+1)</f>
        <v>2846</v>
      </c>
      <c r="Q4019">
        <f>IF(OR(calendar[[#This Row],[FR_BH]]=1,calendar[[#This Row],[WeekDay]]=1, calendar[[#This Row],[WeekDay]]=7),P4018,P4018+1)</f>
        <v>2846</v>
      </c>
      <c r="R4019">
        <f>IF(OR(calendar[[#This Row],[SP_BH]]=1,calendar[[#This Row],[WeekDay]]=1, calendar[[#This Row],[WeekDay]]=7),P4018,P4018+1)</f>
        <v>2846</v>
      </c>
      <c r="S4019">
        <f>IF(OR(calendar[[#This Row],[PT_BH]]=1,calendar[[#This Row],[WeekDay]]=1, calendar[[#This Row],[WeekDay]]=7),P4018,P4018+1)</f>
        <v>2846</v>
      </c>
    </row>
    <row r="4020" spans="1:19" x14ac:dyDescent="0.25">
      <c r="A4020" s="2">
        <v>46754</v>
      </c>
      <c r="B4020" s="1">
        <f t="shared" si="316"/>
        <v>2</v>
      </c>
      <c r="C4020">
        <f t="shared" si="317"/>
        <v>1</v>
      </c>
      <c r="D4020" t="str">
        <f t="shared" si="318"/>
        <v>January</v>
      </c>
      <c r="E4020">
        <f t="shared" si="319"/>
        <v>2028</v>
      </c>
      <c r="F4020" t="str">
        <f>CONCATENATE(calendar[[#This Row],[Month]],"/",calendar[[#This Row],[Year]])</f>
        <v>1/2028</v>
      </c>
      <c r="G4020">
        <f>WEEKDAY(calendar[[#This Row],[Date]],1)</f>
        <v>1</v>
      </c>
      <c r="H4020" t="str">
        <f>TEXT(calendar[[#This Row],[WeekDay]],"dddd")</f>
        <v>Sunday</v>
      </c>
      <c r="I4020">
        <f>IF((INT(calendar[[#This Row],[Count]]/7)-calendar[[#This Row],[Count]]/7)&lt;0,I4019,I4019+1)</f>
        <v>575</v>
      </c>
      <c r="J4020">
        <f t="shared" si="320"/>
        <v>4018</v>
      </c>
      <c r="K4020">
        <f>IF(calendar[[#This Row],[Month]]&lt;4,1,IF(calendar[[#This Row],[Month]]&lt;7,2,IF(calendar[[#This Row],[Month]]&lt;10,3,4)))</f>
        <v>1</v>
      </c>
      <c r="L4020">
        <f>IFERROR(IF(VLOOKUP(calendar[[#This Row],[Date]],BH!A:A,1,)&lt;&gt;"",1,0),0)</f>
        <v>0</v>
      </c>
      <c r="M4020">
        <f>IFERROR(IF(VLOOKUP(calendar[[#This Row],[Date]],BH!C:C,1,)&lt;&gt;"",1,0),0)</f>
        <v>0</v>
      </c>
      <c r="N4020">
        <f>IFERROR(IF(VLOOKUP(calendar[[#This Row],[Date]],BH!E:E,1,)&lt;&gt;"",1,0),0)</f>
        <v>0</v>
      </c>
      <c r="O4020">
        <f>IFERROR(IF(VLOOKUP(calendar[[#This Row],[Date]],BH!G:G,1,)&lt;&gt;"",1,0),0)</f>
        <v>0</v>
      </c>
      <c r="P4020">
        <f>IF(OR(calendar[[#This Row],[UK_BH]]=1,calendar[[#This Row],[WeekDay]]=1, calendar[[#This Row],[WeekDay]]=7),P4019,P4019+1)</f>
        <v>2846</v>
      </c>
      <c r="Q4020">
        <f>IF(OR(calendar[[#This Row],[FR_BH]]=1,calendar[[#This Row],[WeekDay]]=1, calendar[[#This Row],[WeekDay]]=7),P4019,P4019+1)</f>
        <v>2846</v>
      </c>
      <c r="R4020">
        <f>IF(OR(calendar[[#This Row],[SP_BH]]=1,calendar[[#This Row],[WeekDay]]=1, calendar[[#This Row],[WeekDay]]=7),P4019,P4019+1)</f>
        <v>2846</v>
      </c>
      <c r="S4020">
        <f>IF(OR(calendar[[#This Row],[PT_BH]]=1,calendar[[#This Row],[WeekDay]]=1, calendar[[#This Row],[WeekDay]]=7),P4019,P4019+1)</f>
        <v>2846</v>
      </c>
    </row>
    <row r="4021" spans="1:19" x14ac:dyDescent="0.25">
      <c r="A4021" s="2">
        <v>46755</v>
      </c>
      <c r="B4021" s="1">
        <f t="shared" si="316"/>
        <v>2</v>
      </c>
      <c r="C4021">
        <f t="shared" si="317"/>
        <v>1</v>
      </c>
      <c r="D4021" t="str">
        <f t="shared" si="318"/>
        <v>January</v>
      </c>
      <c r="E4021">
        <f t="shared" si="319"/>
        <v>2028</v>
      </c>
      <c r="F4021" t="str">
        <f>CONCATENATE(calendar[[#This Row],[Month]],"/",calendar[[#This Row],[Year]])</f>
        <v>1/2028</v>
      </c>
      <c r="G4021">
        <f>WEEKDAY(calendar[[#This Row],[Date]],1)</f>
        <v>2</v>
      </c>
      <c r="H4021" t="str">
        <f>TEXT(calendar[[#This Row],[WeekDay]],"dddd")</f>
        <v>Monday</v>
      </c>
      <c r="I4021">
        <f>IF((INT(calendar[[#This Row],[Count]]/7)-calendar[[#This Row],[Count]]/7)&lt;0,I4020,I4020+1)</f>
        <v>575</v>
      </c>
      <c r="J4021">
        <f t="shared" si="320"/>
        <v>4019</v>
      </c>
      <c r="K4021">
        <f>IF(calendar[[#This Row],[Month]]&lt;4,1,IF(calendar[[#This Row],[Month]]&lt;7,2,IF(calendar[[#This Row],[Month]]&lt;10,3,4)))</f>
        <v>1</v>
      </c>
      <c r="L4021">
        <f>IFERROR(IF(VLOOKUP(calendar[[#This Row],[Date]],BH!A:A,1,)&lt;&gt;"",1,0),0)</f>
        <v>0</v>
      </c>
      <c r="M4021">
        <f>IFERROR(IF(VLOOKUP(calendar[[#This Row],[Date]],BH!C:C,1,)&lt;&gt;"",1,0),0)</f>
        <v>0</v>
      </c>
      <c r="N4021">
        <f>IFERROR(IF(VLOOKUP(calendar[[#This Row],[Date]],BH!E:E,1,)&lt;&gt;"",1,0),0)</f>
        <v>0</v>
      </c>
      <c r="O4021">
        <f>IFERROR(IF(VLOOKUP(calendar[[#This Row],[Date]],BH!G:G,1,)&lt;&gt;"",1,0),0)</f>
        <v>0</v>
      </c>
      <c r="P4021">
        <f>IF(OR(calendar[[#This Row],[UK_BH]]=1,calendar[[#This Row],[WeekDay]]=1, calendar[[#This Row],[WeekDay]]=7),P4020,P4020+1)</f>
        <v>2847</v>
      </c>
      <c r="Q4021">
        <f>IF(OR(calendar[[#This Row],[FR_BH]]=1,calendar[[#This Row],[WeekDay]]=1, calendar[[#This Row],[WeekDay]]=7),P4020,P4020+1)</f>
        <v>2847</v>
      </c>
      <c r="R4021">
        <f>IF(OR(calendar[[#This Row],[SP_BH]]=1,calendar[[#This Row],[WeekDay]]=1, calendar[[#This Row],[WeekDay]]=7),P4020,P4020+1)</f>
        <v>2847</v>
      </c>
      <c r="S4021">
        <f>IF(OR(calendar[[#This Row],[PT_BH]]=1,calendar[[#This Row],[WeekDay]]=1, calendar[[#This Row],[WeekDay]]=7),P4020,P4020+1)</f>
        <v>2847</v>
      </c>
    </row>
    <row r="4022" spans="1:19" x14ac:dyDescent="0.25">
      <c r="A4022" s="2">
        <v>46756</v>
      </c>
      <c r="B4022" s="1">
        <f t="shared" si="316"/>
        <v>2</v>
      </c>
      <c r="C4022">
        <f t="shared" si="317"/>
        <v>1</v>
      </c>
      <c r="D4022" t="str">
        <f t="shared" si="318"/>
        <v>January</v>
      </c>
      <c r="E4022">
        <f t="shared" si="319"/>
        <v>2028</v>
      </c>
      <c r="F4022" t="str">
        <f>CONCATENATE(calendar[[#This Row],[Month]],"/",calendar[[#This Row],[Year]])</f>
        <v>1/2028</v>
      </c>
      <c r="G4022">
        <f>WEEKDAY(calendar[[#This Row],[Date]],1)</f>
        <v>3</v>
      </c>
      <c r="H4022" t="str">
        <f>TEXT(calendar[[#This Row],[WeekDay]],"dddd")</f>
        <v>Tuesday</v>
      </c>
      <c r="I4022">
        <f>IF((INT(calendar[[#This Row],[Count]]/7)-calendar[[#This Row],[Count]]/7)&lt;0,I4021,I4021+1)</f>
        <v>575</v>
      </c>
      <c r="J4022">
        <f t="shared" si="320"/>
        <v>4020</v>
      </c>
      <c r="K4022">
        <f>IF(calendar[[#This Row],[Month]]&lt;4,1,IF(calendar[[#This Row],[Month]]&lt;7,2,IF(calendar[[#This Row],[Month]]&lt;10,3,4)))</f>
        <v>1</v>
      </c>
      <c r="L4022">
        <f>IFERROR(IF(VLOOKUP(calendar[[#This Row],[Date]],BH!A:A,1,)&lt;&gt;"",1,0),0)</f>
        <v>0</v>
      </c>
      <c r="M4022">
        <f>IFERROR(IF(VLOOKUP(calendar[[#This Row],[Date]],BH!C:C,1,)&lt;&gt;"",1,0),0)</f>
        <v>0</v>
      </c>
      <c r="N4022">
        <f>IFERROR(IF(VLOOKUP(calendar[[#This Row],[Date]],BH!E:E,1,)&lt;&gt;"",1,0),0)</f>
        <v>0</v>
      </c>
      <c r="O4022">
        <f>IFERROR(IF(VLOOKUP(calendar[[#This Row],[Date]],BH!G:G,1,)&lt;&gt;"",1,0),0)</f>
        <v>0</v>
      </c>
      <c r="P4022">
        <f>IF(OR(calendar[[#This Row],[UK_BH]]=1,calendar[[#This Row],[WeekDay]]=1, calendar[[#This Row],[WeekDay]]=7),P4021,P4021+1)</f>
        <v>2848</v>
      </c>
      <c r="Q4022">
        <f>IF(OR(calendar[[#This Row],[FR_BH]]=1,calendar[[#This Row],[WeekDay]]=1, calendar[[#This Row],[WeekDay]]=7),P4021,P4021+1)</f>
        <v>2848</v>
      </c>
      <c r="R4022">
        <f>IF(OR(calendar[[#This Row],[SP_BH]]=1,calendar[[#This Row],[WeekDay]]=1, calendar[[#This Row],[WeekDay]]=7),P4021,P4021+1)</f>
        <v>2848</v>
      </c>
      <c r="S4022">
        <f>IF(OR(calendar[[#This Row],[PT_BH]]=1,calendar[[#This Row],[WeekDay]]=1, calendar[[#This Row],[WeekDay]]=7),P4021,P4021+1)</f>
        <v>2848</v>
      </c>
    </row>
    <row r="4023" spans="1:19" x14ac:dyDescent="0.25">
      <c r="A4023" s="2">
        <v>46757</v>
      </c>
      <c r="B4023" s="1">
        <f t="shared" si="316"/>
        <v>2</v>
      </c>
      <c r="C4023">
        <f t="shared" si="317"/>
        <v>1</v>
      </c>
      <c r="D4023" t="str">
        <f t="shared" si="318"/>
        <v>January</v>
      </c>
      <c r="E4023">
        <f t="shared" si="319"/>
        <v>2028</v>
      </c>
      <c r="F4023" t="str">
        <f>CONCATENATE(calendar[[#This Row],[Month]],"/",calendar[[#This Row],[Year]])</f>
        <v>1/2028</v>
      </c>
      <c r="G4023">
        <f>WEEKDAY(calendar[[#This Row],[Date]],1)</f>
        <v>4</v>
      </c>
      <c r="H4023" t="str">
        <f>TEXT(calendar[[#This Row],[WeekDay]],"dddd")</f>
        <v>Wednesday</v>
      </c>
      <c r="I4023">
        <f>IF((INT(calendar[[#This Row],[Count]]/7)-calendar[[#This Row],[Count]]/7)&lt;0,I4022,I4022+1)</f>
        <v>575</v>
      </c>
      <c r="J4023">
        <f t="shared" si="320"/>
        <v>4021</v>
      </c>
      <c r="K4023">
        <f>IF(calendar[[#This Row],[Month]]&lt;4,1,IF(calendar[[#This Row],[Month]]&lt;7,2,IF(calendar[[#This Row],[Month]]&lt;10,3,4)))</f>
        <v>1</v>
      </c>
      <c r="L4023">
        <f>IFERROR(IF(VLOOKUP(calendar[[#This Row],[Date]],BH!A:A,1,)&lt;&gt;"",1,0),0)</f>
        <v>0</v>
      </c>
      <c r="M4023">
        <f>IFERROR(IF(VLOOKUP(calendar[[#This Row],[Date]],BH!C:C,1,)&lt;&gt;"",1,0),0)</f>
        <v>0</v>
      </c>
      <c r="N4023">
        <f>IFERROR(IF(VLOOKUP(calendar[[#This Row],[Date]],BH!E:E,1,)&lt;&gt;"",1,0),0)</f>
        <v>0</v>
      </c>
      <c r="O4023">
        <f>IFERROR(IF(VLOOKUP(calendar[[#This Row],[Date]],BH!G:G,1,)&lt;&gt;"",1,0),0)</f>
        <v>0</v>
      </c>
      <c r="P4023">
        <f>IF(OR(calendar[[#This Row],[UK_BH]]=1,calendar[[#This Row],[WeekDay]]=1, calendar[[#This Row],[WeekDay]]=7),P4022,P4022+1)</f>
        <v>2849</v>
      </c>
      <c r="Q4023">
        <f>IF(OR(calendar[[#This Row],[FR_BH]]=1,calendar[[#This Row],[WeekDay]]=1, calendar[[#This Row],[WeekDay]]=7),P4022,P4022+1)</f>
        <v>2849</v>
      </c>
      <c r="R4023">
        <f>IF(OR(calendar[[#This Row],[SP_BH]]=1,calendar[[#This Row],[WeekDay]]=1, calendar[[#This Row],[WeekDay]]=7),P4022,P4022+1)</f>
        <v>2849</v>
      </c>
      <c r="S4023">
        <f>IF(OR(calendar[[#This Row],[PT_BH]]=1,calendar[[#This Row],[WeekDay]]=1, calendar[[#This Row],[WeekDay]]=7),P4022,P4022+1)</f>
        <v>2849</v>
      </c>
    </row>
    <row r="4024" spans="1:19" x14ac:dyDescent="0.25">
      <c r="A4024" s="2">
        <v>46758</v>
      </c>
      <c r="B4024" s="1">
        <f t="shared" si="316"/>
        <v>2</v>
      </c>
      <c r="C4024">
        <f t="shared" si="317"/>
        <v>1</v>
      </c>
      <c r="D4024" t="str">
        <f t="shared" si="318"/>
        <v>January</v>
      </c>
      <c r="E4024">
        <f t="shared" si="319"/>
        <v>2028</v>
      </c>
      <c r="F4024" t="str">
        <f>CONCATENATE(calendar[[#This Row],[Month]],"/",calendar[[#This Row],[Year]])</f>
        <v>1/2028</v>
      </c>
      <c r="G4024">
        <f>WEEKDAY(calendar[[#This Row],[Date]],1)</f>
        <v>5</v>
      </c>
      <c r="H4024" t="str">
        <f>TEXT(calendar[[#This Row],[WeekDay]],"dddd")</f>
        <v>Thursday</v>
      </c>
      <c r="I4024">
        <f>IF((INT(calendar[[#This Row],[Count]]/7)-calendar[[#This Row],[Count]]/7)&lt;0,I4023,I4023+1)</f>
        <v>575</v>
      </c>
      <c r="J4024">
        <f t="shared" si="320"/>
        <v>4022</v>
      </c>
      <c r="K4024">
        <f>IF(calendar[[#This Row],[Month]]&lt;4,1,IF(calendar[[#This Row],[Month]]&lt;7,2,IF(calendar[[#This Row],[Month]]&lt;10,3,4)))</f>
        <v>1</v>
      </c>
      <c r="L4024">
        <f>IFERROR(IF(VLOOKUP(calendar[[#This Row],[Date]],BH!A:A,1,)&lt;&gt;"",1,0),0)</f>
        <v>0</v>
      </c>
      <c r="M4024">
        <f>IFERROR(IF(VLOOKUP(calendar[[#This Row],[Date]],BH!C:C,1,)&lt;&gt;"",1,0),0)</f>
        <v>0</v>
      </c>
      <c r="N4024">
        <f>IFERROR(IF(VLOOKUP(calendar[[#This Row],[Date]],BH!E:E,1,)&lt;&gt;"",1,0),0)</f>
        <v>0</v>
      </c>
      <c r="O4024">
        <f>IFERROR(IF(VLOOKUP(calendar[[#This Row],[Date]],BH!G:G,1,)&lt;&gt;"",1,0),0)</f>
        <v>0</v>
      </c>
      <c r="P4024">
        <f>IF(OR(calendar[[#This Row],[UK_BH]]=1,calendar[[#This Row],[WeekDay]]=1, calendar[[#This Row],[WeekDay]]=7),P4023,P4023+1)</f>
        <v>2850</v>
      </c>
      <c r="Q4024">
        <f>IF(OR(calendar[[#This Row],[FR_BH]]=1,calendar[[#This Row],[WeekDay]]=1, calendar[[#This Row],[WeekDay]]=7),P4023,P4023+1)</f>
        <v>2850</v>
      </c>
      <c r="R4024">
        <f>IF(OR(calendar[[#This Row],[SP_BH]]=1,calendar[[#This Row],[WeekDay]]=1, calendar[[#This Row],[WeekDay]]=7),P4023,P4023+1)</f>
        <v>2850</v>
      </c>
      <c r="S4024">
        <f>IF(OR(calendar[[#This Row],[PT_BH]]=1,calendar[[#This Row],[WeekDay]]=1, calendar[[#This Row],[WeekDay]]=7),P4023,P4023+1)</f>
        <v>2850</v>
      </c>
    </row>
    <row r="4025" spans="1:19" x14ac:dyDescent="0.25">
      <c r="A4025" s="2">
        <v>46759</v>
      </c>
      <c r="B4025" s="1">
        <f t="shared" si="316"/>
        <v>2</v>
      </c>
      <c r="C4025">
        <f t="shared" si="317"/>
        <v>1</v>
      </c>
      <c r="D4025" t="str">
        <f t="shared" si="318"/>
        <v>January</v>
      </c>
      <c r="E4025">
        <f t="shared" si="319"/>
        <v>2028</v>
      </c>
      <c r="F4025" t="str">
        <f>CONCATENATE(calendar[[#This Row],[Month]],"/",calendar[[#This Row],[Year]])</f>
        <v>1/2028</v>
      </c>
      <c r="G4025">
        <f>WEEKDAY(calendar[[#This Row],[Date]],1)</f>
        <v>6</v>
      </c>
      <c r="H4025" t="str">
        <f>TEXT(calendar[[#This Row],[WeekDay]],"dddd")</f>
        <v>Friday</v>
      </c>
      <c r="I4025">
        <f>IF((INT(calendar[[#This Row],[Count]]/7)-calendar[[#This Row],[Count]]/7)&lt;0,I4024,I4024+1)</f>
        <v>575</v>
      </c>
      <c r="J4025">
        <f t="shared" si="320"/>
        <v>4023</v>
      </c>
      <c r="K4025">
        <f>IF(calendar[[#This Row],[Month]]&lt;4,1,IF(calendar[[#This Row],[Month]]&lt;7,2,IF(calendar[[#This Row],[Month]]&lt;10,3,4)))</f>
        <v>1</v>
      </c>
      <c r="L4025">
        <f>IFERROR(IF(VLOOKUP(calendar[[#This Row],[Date]],BH!A:A,1,)&lt;&gt;"",1,0),0)</f>
        <v>0</v>
      </c>
      <c r="M4025">
        <f>IFERROR(IF(VLOOKUP(calendar[[#This Row],[Date]],BH!C:C,1,)&lt;&gt;"",1,0),0)</f>
        <v>0</v>
      </c>
      <c r="N4025">
        <f>IFERROR(IF(VLOOKUP(calendar[[#This Row],[Date]],BH!E:E,1,)&lt;&gt;"",1,0),0)</f>
        <v>0</v>
      </c>
      <c r="O4025">
        <f>IFERROR(IF(VLOOKUP(calendar[[#This Row],[Date]],BH!G:G,1,)&lt;&gt;"",1,0),0)</f>
        <v>0</v>
      </c>
      <c r="P4025">
        <f>IF(OR(calendar[[#This Row],[UK_BH]]=1,calendar[[#This Row],[WeekDay]]=1, calendar[[#This Row],[WeekDay]]=7),P4024,P4024+1)</f>
        <v>2851</v>
      </c>
      <c r="Q4025">
        <f>IF(OR(calendar[[#This Row],[FR_BH]]=1,calendar[[#This Row],[WeekDay]]=1, calendar[[#This Row],[WeekDay]]=7),P4024,P4024+1)</f>
        <v>2851</v>
      </c>
      <c r="R4025">
        <f>IF(OR(calendar[[#This Row],[SP_BH]]=1,calendar[[#This Row],[WeekDay]]=1, calendar[[#This Row],[WeekDay]]=7),P4024,P4024+1)</f>
        <v>2851</v>
      </c>
      <c r="S4025">
        <f>IF(OR(calendar[[#This Row],[PT_BH]]=1,calendar[[#This Row],[WeekDay]]=1, calendar[[#This Row],[WeekDay]]=7),P4024,P4024+1)</f>
        <v>2851</v>
      </c>
    </row>
    <row r="4026" spans="1:19" x14ac:dyDescent="0.25">
      <c r="A4026" s="2">
        <v>46760</v>
      </c>
      <c r="B4026" s="1">
        <f t="shared" si="316"/>
        <v>2</v>
      </c>
      <c r="C4026">
        <f t="shared" si="317"/>
        <v>1</v>
      </c>
      <c r="D4026" t="str">
        <f t="shared" si="318"/>
        <v>January</v>
      </c>
      <c r="E4026">
        <f t="shared" si="319"/>
        <v>2028</v>
      </c>
      <c r="F4026" t="str">
        <f>CONCATENATE(calendar[[#This Row],[Month]],"/",calendar[[#This Row],[Year]])</f>
        <v>1/2028</v>
      </c>
      <c r="G4026">
        <f>WEEKDAY(calendar[[#This Row],[Date]],1)</f>
        <v>7</v>
      </c>
      <c r="H4026" t="str">
        <f>TEXT(calendar[[#This Row],[WeekDay]],"dddd")</f>
        <v>Saturday</v>
      </c>
      <c r="I4026">
        <f>IF((INT(calendar[[#This Row],[Count]]/7)-calendar[[#This Row],[Count]]/7)&lt;0,I4025,I4025+1)</f>
        <v>575</v>
      </c>
      <c r="J4026">
        <f t="shared" si="320"/>
        <v>4024</v>
      </c>
      <c r="K4026">
        <f>IF(calendar[[#This Row],[Month]]&lt;4,1,IF(calendar[[#This Row],[Month]]&lt;7,2,IF(calendar[[#This Row],[Month]]&lt;10,3,4)))</f>
        <v>1</v>
      </c>
      <c r="L4026">
        <f>IFERROR(IF(VLOOKUP(calendar[[#This Row],[Date]],BH!A:A,1,)&lt;&gt;"",1,0),0)</f>
        <v>0</v>
      </c>
      <c r="M4026">
        <f>IFERROR(IF(VLOOKUP(calendar[[#This Row],[Date]],BH!C:C,1,)&lt;&gt;"",1,0),0)</f>
        <v>0</v>
      </c>
      <c r="N4026">
        <f>IFERROR(IF(VLOOKUP(calendar[[#This Row],[Date]],BH!E:E,1,)&lt;&gt;"",1,0),0)</f>
        <v>0</v>
      </c>
      <c r="O4026">
        <f>IFERROR(IF(VLOOKUP(calendar[[#This Row],[Date]],BH!G:G,1,)&lt;&gt;"",1,0),0)</f>
        <v>0</v>
      </c>
      <c r="P4026">
        <f>IF(OR(calendar[[#This Row],[UK_BH]]=1,calendar[[#This Row],[WeekDay]]=1, calendar[[#This Row],[WeekDay]]=7),P4025,P4025+1)</f>
        <v>2851</v>
      </c>
      <c r="Q4026">
        <f>IF(OR(calendar[[#This Row],[FR_BH]]=1,calendar[[#This Row],[WeekDay]]=1, calendar[[#This Row],[WeekDay]]=7),P4025,P4025+1)</f>
        <v>2851</v>
      </c>
      <c r="R4026">
        <f>IF(OR(calendar[[#This Row],[SP_BH]]=1,calendar[[#This Row],[WeekDay]]=1, calendar[[#This Row],[WeekDay]]=7),P4025,P4025+1)</f>
        <v>2851</v>
      </c>
      <c r="S4026">
        <f>IF(OR(calendar[[#This Row],[PT_BH]]=1,calendar[[#This Row],[WeekDay]]=1, calendar[[#This Row],[WeekDay]]=7),P4025,P4025+1)</f>
        <v>2851</v>
      </c>
    </row>
    <row r="4027" spans="1:19" x14ac:dyDescent="0.25">
      <c r="A4027" s="2">
        <v>46761</v>
      </c>
      <c r="B4027" s="1">
        <f t="shared" si="316"/>
        <v>3</v>
      </c>
      <c r="C4027">
        <f t="shared" si="317"/>
        <v>1</v>
      </c>
      <c r="D4027" t="str">
        <f t="shared" si="318"/>
        <v>January</v>
      </c>
      <c r="E4027">
        <f t="shared" si="319"/>
        <v>2028</v>
      </c>
      <c r="F4027" t="str">
        <f>CONCATENATE(calendar[[#This Row],[Month]],"/",calendar[[#This Row],[Year]])</f>
        <v>1/2028</v>
      </c>
      <c r="G4027">
        <f>WEEKDAY(calendar[[#This Row],[Date]],1)</f>
        <v>1</v>
      </c>
      <c r="H4027" t="str">
        <f>TEXT(calendar[[#This Row],[WeekDay]],"dddd")</f>
        <v>Sunday</v>
      </c>
      <c r="I4027">
        <f>IF((INT(calendar[[#This Row],[Count]]/7)-calendar[[#This Row],[Count]]/7)&lt;0,I4026,I4026+1)</f>
        <v>576</v>
      </c>
      <c r="J4027">
        <f t="shared" si="320"/>
        <v>4025</v>
      </c>
      <c r="K4027">
        <f>IF(calendar[[#This Row],[Month]]&lt;4,1,IF(calendar[[#This Row],[Month]]&lt;7,2,IF(calendar[[#This Row],[Month]]&lt;10,3,4)))</f>
        <v>1</v>
      </c>
      <c r="L4027">
        <f>IFERROR(IF(VLOOKUP(calendar[[#This Row],[Date]],BH!A:A,1,)&lt;&gt;"",1,0),0)</f>
        <v>0</v>
      </c>
      <c r="M4027">
        <f>IFERROR(IF(VLOOKUP(calendar[[#This Row],[Date]],BH!C:C,1,)&lt;&gt;"",1,0),0)</f>
        <v>0</v>
      </c>
      <c r="N4027">
        <f>IFERROR(IF(VLOOKUP(calendar[[#This Row],[Date]],BH!E:E,1,)&lt;&gt;"",1,0),0)</f>
        <v>0</v>
      </c>
      <c r="O4027">
        <f>IFERROR(IF(VLOOKUP(calendar[[#This Row],[Date]],BH!G:G,1,)&lt;&gt;"",1,0),0)</f>
        <v>0</v>
      </c>
      <c r="P4027">
        <f>IF(OR(calendar[[#This Row],[UK_BH]]=1,calendar[[#This Row],[WeekDay]]=1, calendar[[#This Row],[WeekDay]]=7),P4026,P4026+1)</f>
        <v>2851</v>
      </c>
      <c r="Q4027">
        <f>IF(OR(calendar[[#This Row],[FR_BH]]=1,calendar[[#This Row],[WeekDay]]=1, calendar[[#This Row],[WeekDay]]=7),P4026,P4026+1)</f>
        <v>2851</v>
      </c>
      <c r="R4027">
        <f>IF(OR(calendar[[#This Row],[SP_BH]]=1,calendar[[#This Row],[WeekDay]]=1, calendar[[#This Row],[WeekDay]]=7),P4026,P4026+1)</f>
        <v>2851</v>
      </c>
      <c r="S4027">
        <f>IF(OR(calendar[[#This Row],[PT_BH]]=1,calendar[[#This Row],[WeekDay]]=1, calendar[[#This Row],[WeekDay]]=7),P4026,P4026+1)</f>
        <v>2851</v>
      </c>
    </row>
    <row r="4028" spans="1:19" x14ac:dyDescent="0.25">
      <c r="A4028" s="2">
        <v>46762</v>
      </c>
      <c r="B4028" s="1">
        <f t="shared" si="316"/>
        <v>3</v>
      </c>
      <c r="C4028">
        <f t="shared" si="317"/>
        <v>1</v>
      </c>
      <c r="D4028" t="str">
        <f t="shared" si="318"/>
        <v>January</v>
      </c>
      <c r="E4028">
        <f t="shared" si="319"/>
        <v>2028</v>
      </c>
      <c r="F4028" t="str">
        <f>CONCATENATE(calendar[[#This Row],[Month]],"/",calendar[[#This Row],[Year]])</f>
        <v>1/2028</v>
      </c>
      <c r="G4028">
        <f>WEEKDAY(calendar[[#This Row],[Date]],1)</f>
        <v>2</v>
      </c>
      <c r="H4028" t="str">
        <f>TEXT(calendar[[#This Row],[WeekDay]],"dddd")</f>
        <v>Monday</v>
      </c>
      <c r="I4028">
        <f>IF((INT(calendar[[#This Row],[Count]]/7)-calendar[[#This Row],[Count]]/7)&lt;0,I4027,I4027+1)</f>
        <v>576</v>
      </c>
      <c r="J4028">
        <f t="shared" si="320"/>
        <v>4026</v>
      </c>
      <c r="K4028">
        <f>IF(calendar[[#This Row],[Month]]&lt;4,1,IF(calendar[[#This Row],[Month]]&lt;7,2,IF(calendar[[#This Row],[Month]]&lt;10,3,4)))</f>
        <v>1</v>
      </c>
      <c r="L4028">
        <f>IFERROR(IF(VLOOKUP(calendar[[#This Row],[Date]],BH!A:A,1,)&lt;&gt;"",1,0),0)</f>
        <v>0</v>
      </c>
      <c r="M4028">
        <f>IFERROR(IF(VLOOKUP(calendar[[#This Row],[Date]],BH!C:C,1,)&lt;&gt;"",1,0),0)</f>
        <v>0</v>
      </c>
      <c r="N4028">
        <f>IFERROR(IF(VLOOKUP(calendar[[#This Row],[Date]],BH!E:E,1,)&lt;&gt;"",1,0),0)</f>
        <v>0</v>
      </c>
      <c r="O4028">
        <f>IFERROR(IF(VLOOKUP(calendar[[#This Row],[Date]],BH!G:G,1,)&lt;&gt;"",1,0),0)</f>
        <v>0</v>
      </c>
      <c r="P4028">
        <f>IF(OR(calendar[[#This Row],[UK_BH]]=1,calendar[[#This Row],[WeekDay]]=1, calendar[[#This Row],[WeekDay]]=7),P4027,P4027+1)</f>
        <v>2852</v>
      </c>
      <c r="Q4028">
        <f>IF(OR(calendar[[#This Row],[FR_BH]]=1,calendar[[#This Row],[WeekDay]]=1, calendar[[#This Row],[WeekDay]]=7),P4027,P4027+1)</f>
        <v>2852</v>
      </c>
      <c r="R4028">
        <f>IF(OR(calendar[[#This Row],[SP_BH]]=1,calendar[[#This Row],[WeekDay]]=1, calendar[[#This Row],[WeekDay]]=7),P4027,P4027+1)</f>
        <v>2852</v>
      </c>
      <c r="S4028">
        <f>IF(OR(calendar[[#This Row],[PT_BH]]=1,calendar[[#This Row],[WeekDay]]=1, calendar[[#This Row],[WeekDay]]=7),P4027,P4027+1)</f>
        <v>2852</v>
      </c>
    </row>
    <row r="4029" spans="1:19" x14ac:dyDescent="0.25">
      <c r="A4029" s="2">
        <v>46763</v>
      </c>
      <c r="B4029" s="1">
        <f t="shared" si="316"/>
        <v>3</v>
      </c>
      <c r="C4029">
        <f t="shared" si="317"/>
        <v>1</v>
      </c>
      <c r="D4029" t="str">
        <f t="shared" si="318"/>
        <v>January</v>
      </c>
      <c r="E4029">
        <f t="shared" si="319"/>
        <v>2028</v>
      </c>
      <c r="F4029" t="str">
        <f>CONCATENATE(calendar[[#This Row],[Month]],"/",calendar[[#This Row],[Year]])</f>
        <v>1/2028</v>
      </c>
      <c r="G4029">
        <f>WEEKDAY(calendar[[#This Row],[Date]],1)</f>
        <v>3</v>
      </c>
      <c r="H4029" t="str">
        <f>TEXT(calendar[[#This Row],[WeekDay]],"dddd")</f>
        <v>Tuesday</v>
      </c>
      <c r="I4029">
        <f>IF((INT(calendar[[#This Row],[Count]]/7)-calendar[[#This Row],[Count]]/7)&lt;0,I4028,I4028+1)</f>
        <v>576</v>
      </c>
      <c r="J4029">
        <f t="shared" si="320"/>
        <v>4027</v>
      </c>
      <c r="K4029">
        <f>IF(calendar[[#This Row],[Month]]&lt;4,1,IF(calendar[[#This Row],[Month]]&lt;7,2,IF(calendar[[#This Row],[Month]]&lt;10,3,4)))</f>
        <v>1</v>
      </c>
      <c r="L4029">
        <f>IFERROR(IF(VLOOKUP(calendar[[#This Row],[Date]],BH!A:A,1,)&lt;&gt;"",1,0),0)</f>
        <v>0</v>
      </c>
      <c r="M4029">
        <f>IFERROR(IF(VLOOKUP(calendar[[#This Row],[Date]],BH!C:C,1,)&lt;&gt;"",1,0),0)</f>
        <v>0</v>
      </c>
      <c r="N4029">
        <f>IFERROR(IF(VLOOKUP(calendar[[#This Row],[Date]],BH!E:E,1,)&lt;&gt;"",1,0),0)</f>
        <v>0</v>
      </c>
      <c r="O4029">
        <f>IFERROR(IF(VLOOKUP(calendar[[#This Row],[Date]],BH!G:G,1,)&lt;&gt;"",1,0),0)</f>
        <v>0</v>
      </c>
      <c r="P4029">
        <f>IF(OR(calendar[[#This Row],[UK_BH]]=1,calendar[[#This Row],[WeekDay]]=1, calendar[[#This Row],[WeekDay]]=7),P4028,P4028+1)</f>
        <v>2853</v>
      </c>
      <c r="Q4029">
        <f>IF(OR(calendar[[#This Row],[FR_BH]]=1,calendar[[#This Row],[WeekDay]]=1, calendar[[#This Row],[WeekDay]]=7),P4028,P4028+1)</f>
        <v>2853</v>
      </c>
      <c r="R4029">
        <f>IF(OR(calendar[[#This Row],[SP_BH]]=1,calendar[[#This Row],[WeekDay]]=1, calendar[[#This Row],[WeekDay]]=7),P4028,P4028+1)</f>
        <v>2853</v>
      </c>
      <c r="S4029">
        <f>IF(OR(calendar[[#This Row],[PT_BH]]=1,calendar[[#This Row],[WeekDay]]=1, calendar[[#This Row],[WeekDay]]=7),P4028,P4028+1)</f>
        <v>2853</v>
      </c>
    </row>
    <row r="4030" spans="1:19" x14ac:dyDescent="0.25">
      <c r="A4030" s="2">
        <v>46764</v>
      </c>
      <c r="B4030" s="1">
        <f t="shared" si="316"/>
        <v>3</v>
      </c>
      <c r="C4030">
        <f t="shared" si="317"/>
        <v>1</v>
      </c>
      <c r="D4030" t="str">
        <f t="shared" si="318"/>
        <v>January</v>
      </c>
      <c r="E4030">
        <f t="shared" si="319"/>
        <v>2028</v>
      </c>
      <c r="F4030" t="str">
        <f>CONCATENATE(calendar[[#This Row],[Month]],"/",calendar[[#This Row],[Year]])</f>
        <v>1/2028</v>
      </c>
      <c r="G4030">
        <f>WEEKDAY(calendar[[#This Row],[Date]],1)</f>
        <v>4</v>
      </c>
      <c r="H4030" t="str">
        <f>TEXT(calendar[[#This Row],[WeekDay]],"dddd")</f>
        <v>Wednesday</v>
      </c>
      <c r="I4030">
        <f>IF((INT(calendar[[#This Row],[Count]]/7)-calendar[[#This Row],[Count]]/7)&lt;0,I4029,I4029+1)</f>
        <v>576</v>
      </c>
      <c r="J4030">
        <f t="shared" si="320"/>
        <v>4028</v>
      </c>
      <c r="K4030">
        <f>IF(calendar[[#This Row],[Month]]&lt;4,1,IF(calendar[[#This Row],[Month]]&lt;7,2,IF(calendar[[#This Row],[Month]]&lt;10,3,4)))</f>
        <v>1</v>
      </c>
      <c r="L4030">
        <f>IFERROR(IF(VLOOKUP(calendar[[#This Row],[Date]],BH!A:A,1,)&lt;&gt;"",1,0),0)</f>
        <v>0</v>
      </c>
      <c r="M4030">
        <f>IFERROR(IF(VLOOKUP(calendar[[#This Row],[Date]],BH!C:C,1,)&lt;&gt;"",1,0),0)</f>
        <v>0</v>
      </c>
      <c r="N4030">
        <f>IFERROR(IF(VLOOKUP(calendar[[#This Row],[Date]],BH!E:E,1,)&lt;&gt;"",1,0),0)</f>
        <v>0</v>
      </c>
      <c r="O4030">
        <f>IFERROR(IF(VLOOKUP(calendar[[#This Row],[Date]],BH!G:G,1,)&lt;&gt;"",1,0),0)</f>
        <v>0</v>
      </c>
      <c r="P4030">
        <f>IF(OR(calendar[[#This Row],[UK_BH]]=1,calendar[[#This Row],[WeekDay]]=1, calendar[[#This Row],[WeekDay]]=7),P4029,P4029+1)</f>
        <v>2854</v>
      </c>
      <c r="Q4030">
        <f>IF(OR(calendar[[#This Row],[FR_BH]]=1,calendar[[#This Row],[WeekDay]]=1, calendar[[#This Row],[WeekDay]]=7),P4029,P4029+1)</f>
        <v>2854</v>
      </c>
      <c r="R4030">
        <f>IF(OR(calendar[[#This Row],[SP_BH]]=1,calendar[[#This Row],[WeekDay]]=1, calendar[[#This Row],[WeekDay]]=7),P4029,P4029+1)</f>
        <v>2854</v>
      </c>
      <c r="S4030">
        <f>IF(OR(calendar[[#This Row],[PT_BH]]=1,calendar[[#This Row],[WeekDay]]=1, calendar[[#This Row],[WeekDay]]=7),P4029,P4029+1)</f>
        <v>2854</v>
      </c>
    </row>
    <row r="4031" spans="1:19" x14ac:dyDescent="0.25">
      <c r="A4031" s="2">
        <v>46765</v>
      </c>
      <c r="B4031" s="1">
        <f t="shared" si="316"/>
        <v>3</v>
      </c>
      <c r="C4031">
        <f t="shared" si="317"/>
        <v>1</v>
      </c>
      <c r="D4031" t="str">
        <f t="shared" si="318"/>
        <v>January</v>
      </c>
      <c r="E4031">
        <f t="shared" si="319"/>
        <v>2028</v>
      </c>
      <c r="F4031" t="str">
        <f>CONCATENATE(calendar[[#This Row],[Month]],"/",calendar[[#This Row],[Year]])</f>
        <v>1/2028</v>
      </c>
      <c r="G4031">
        <f>WEEKDAY(calendar[[#This Row],[Date]],1)</f>
        <v>5</v>
      </c>
      <c r="H4031" t="str">
        <f>TEXT(calendar[[#This Row],[WeekDay]],"dddd")</f>
        <v>Thursday</v>
      </c>
      <c r="I4031">
        <f>IF((INT(calendar[[#This Row],[Count]]/7)-calendar[[#This Row],[Count]]/7)&lt;0,I4030,I4030+1)</f>
        <v>576</v>
      </c>
      <c r="J4031">
        <f t="shared" si="320"/>
        <v>4029</v>
      </c>
      <c r="K4031">
        <f>IF(calendar[[#This Row],[Month]]&lt;4,1,IF(calendar[[#This Row],[Month]]&lt;7,2,IF(calendar[[#This Row],[Month]]&lt;10,3,4)))</f>
        <v>1</v>
      </c>
      <c r="L4031">
        <f>IFERROR(IF(VLOOKUP(calendar[[#This Row],[Date]],BH!A:A,1,)&lt;&gt;"",1,0),0)</f>
        <v>0</v>
      </c>
      <c r="M4031">
        <f>IFERROR(IF(VLOOKUP(calendar[[#This Row],[Date]],BH!C:C,1,)&lt;&gt;"",1,0),0)</f>
        <v>0</v>
      </c>
      <c r="N4031">
        <f>IFERROR(IF(VLOOKUP(calendar[[#This Row],[Date]],BH!E:E,1,)&lt;&gt;"",1,0),0)</f>
        <v>0</v>
      </c>
      <c r="O4031">
        <f>IFERROR(IF(VLOOKUP(calendar[[#This Row],[Date]],BH!G:G,1,)&lt;&gt;"",1,0),0)</f>
        <v>0</v>
      </c>
      <c r="P4031">
        <f>IF(OR(calendar[[#This Row],[UK_BH]]=1,calendar[[#This Row],[WeekDay]]=1, calendar[[#This Row],[WeekDay]]=7),P4030,P4030+1)</f>
        <v>2855</v>
      </c>
      <c r="Q4031">
        <f>IF(OR(calendar[[#This Row],[FR_BH]]=1,calendar[[#This Row],[WeekDay]]=1, calendar[[#This Row],[WeekDay]]=7),P4030,P4030+1)</f>
        <v>2855</v>
      </c>
      <c r="R4031">
        <f>IF(OR(calendar[[#This Row],[SP_BH]]=1,calendar[[#This Row],[WeekDay]]=1, calendar[[#This Row],[WeekDay]]=7),P4030,P4030+1)</f>
        <v>2855</v>
      </c>
      <c r="S4031">
        <f>IF(OR(calendar[[#This Row],[PT_BH]]=1,calendar[[#This Row],[WeekDay]]=1, calendar[[#This Row],[WeekDay]]=7),P4030,P4030+1)</f>
        <v>2855</v>
      </c>
    </row>
    <row r="4032" spans="1:19" x14ac:dyDescent="0.25">
      <c r="A4032" s="2">
        <v>46766</v>
      </c>
      <c r="B4032" s="1">
        <f t="shared" si="316"/>
        <v>3</v>
      </c>
      <c r="C4032">
        <f t="shared" si="317"/>
        <v>1</v>
      </c>
      <c r="D4032" t="str">
        <f t="shared" si="318"/>
        <v>January</v>
      </c>
      <c r="E4032">
        <f t="shared" si="319"/>
        <v>2028</v>
      </c>
      <c r="F4032" t="str">
        <f>CONCATENATE(calendar[[#This Row],[Month]],"/",calendar[[#This Row],[Year]])</f>
        <v>1/2028</v>
      </c>
      <c r="G4032">
        <f>WEEKDAY(calendar[[#This Row],[Date]],1)</f>
        <v>6</v>
      </c>
      <c r="H4032" t="str">
        <f>TEXT(calendar[[#This Row],[WeekDay]],"dddd")</f>
        <v>Friday</v>
      </c>
      <c r="I4032">
        <f>IF((INT(calendar[[#This Row],[Count]]/7)-calendar[[#This Row],[Count]]/7)&lt;0,I4031,I4031+1)</f>
        <v>576</v>
      </c>
      <c r="J4032">
        <f t="shared" si="320"/>
        <v>4030</v>
      </c>
      <c r="K4032">
        <f>IF(calendar[[#This Row],[Month]]&lt;4,1,IF(calendar[[#This Row],[Month]]&lt;7,2,IF(calendar[[#This Row],[Month]]&lt;10,3,4)))</f>
        <v>1</v>
      </c>
      <c r="L4032">
        <f>IFERROR(IF(VLOOKUP(calendar[[#This Row],[Date]],BH!A:A,1,)&lt;&gt;"",1,0),0)</f>
        <v>0</v>
      </c>
      <c r="M4032">
        <f>IFERROR(IF(VLOOKUP(calendar[[#This Row],[Date]],BH!C:C,1,)&lt;&gt;"",1,0),0)</f>
        <v>0</v>
      </c>
      <c r="N4032">
        <f>IFERROR(IF(VLOOKUP(calendar[[#This Row],[Date]],BH!E:E,1,)&lt;&gt;"",1,0),0)</f>
        <v>0</v>
      </c>
      <c r="O4032">
        <f>IFERROR(IF(VLOOKUP(calendar[[#This Row],[Date]],BH!G:G,1,)&lt;&gt;"",1,0),0)</f>
        <v>0</v>
      </c>
      <c r="P4032">
        <f>IF(OR(calendar[[#This Row],[UK_BH]]=1,calendar[[#This Row],[WeekDay]]=1, calendar[[#This Row],[WeekDay]]=7),P4031,P4031+1)</f>
        <v>2856</v>
      </c>
      <c r="Q4032">
        <f>IF(OR(calendar[[#This Row],[FR_BH]]=1,calendar[[#This Row],[WeekDay]]=1, calendar[[#This Row],[WeekDay]]=7),P4031,P4031+1)</f>
        <v>2856</v>
      </c>
      <c r="R4032">
        <f>IF(OR(calendar[[#This Row],[SP_BH]]=1,calendar[[#This Row],[WeekDay]]=1, calendar[[#This Row],[WeekDay]]=7),P4031,P4031+1)</f>
        <v>2856</v>
      </c>
      <c r="S4032">
        <f>IF(OR(calendar[[#This Row],[PT_BH]]=1,calendar[[#This Row],[WeekDay]]=1, calendar[[#This Row],[WeekDay]]=7),P4031,P4031+1)</f>
        <v>2856</v>
      </c>
    </row>
    <row r="4033" spans="1:19" x14ac:dyDescent="0.25">
      <c r="A4033" s="2">
        <v>46767</v>
      </c>
      <c r="B4033" s="1">
        <f t="shared" si="316"/>
        <v>3</v>
      </c>
      <c r="C4033">
        <f t="shared" si="317"/>
        <v>1</v>
      </c>
      <c r="D4033" t="str">
        <f t="shared" si="318"/>
        <v>January</v>
      </c>
      <c r="E4033">
        <f t="shared" si="319"/>
        <v>2028</v>
      </c>
      <c r="F4033" t="str">
        <f>CONCATENATE(calendar[[#This Row],[Month]],"/",calendar[[#This Row],[Year]])</f>
        <v>1/2028</v>
      </c>
      <c r="G4033">
        <f>WEEKDAY(calendar[[#This Row],[Date]],1)</f>
        <v>7</v>
      </c>
      <c r="H4033" t="str">
        <f>TEXT(calendar[[#This Row],[WeekDay]],"dddd")</f>
        <v>Saturday</v>
      </c>
      <c r="I4033">
        <f>IF((INT(calendar[[#This Row],[Count]]/7)-calendar[[#This Row],[Count]]/7)&lt;0,I4032,I4032+1)</f>
        <v>576</v>
      </c>
      <c r="J4033">
        <f t="shared" si="320"/>
        <v>4031</v>
      </c>
      <c r="K4033">
        <f>IF(calendar[[#This Row],[Month]]&lt;4,1,IF(calendar[[#This Row],[Month]]&lt;7,2,IF(calendar[[#This Row],[Month]]&lt;10,3,4)))</f>
        <v>1</v>
      </c>
      <c r="L4033">
        <f>IFERROR(IF(VLOOKUP(calendar[[#This Row],[Date]],BH!A:A,1,)&lt;&gt;"",1,0),0)</f>
        <v>0</v>
      </c>
      <c r="M4033">
        <f>IFERROR(IF(VLOOKUP(calendar[[#This Row],[Date]],BH!C:C,1,)&lt;&gt;"",1,0),0)</f>
        <v>0</v>
      </c>
      <c r="N4033">
        <f>IFERROR(IF(VLOOKUP(calendar[[#This Row],[Date]],BH!E:E,1,)&lt;&gt;"",1,0),0)</f>
        <v>0</v>
      </c>
      <c r="O4033">
        <f>IFERROR(IF(VLOOKUP(calendar[[#This Row],[Date]],BH!G:G,1,)&lt;&gt;"",1,0),0)</f>
        <v>0</v>
      </c>
      <c r="P4033">
        <f>IF(OR(calendar[[#This Row],[UK_BH]]=1,calendar[[#This Row],[WeekDay]]=1, calendar[[#This Row],[WeekDay]]=7),P4032,P4032+1)</f>
        <v>2856</v>
      </c>
      <c r="Q4033">
        <f>IF(OR(calendar[[#This Row],[FR_BH]]=1,calendar[[#This Row],[WeekDay]]=1, calendar[[#This Row],[WeekDay]]=7),P4032,P4032+1)</f>
        <v>2856</v>
      </c>
      <c r="R4033">
        <f>IF(OR(calendar[[#This Row],[SP_BH]]=1,calendar[[#This Row],[WeekDay]]=1, calendar[[#This Row],[WeekDay]]=7),P4032,P4032+1)</f>
        <v>2856</v>
      </c>
      <c r="S4033">
        <f>IF(OR(calendar[[#This Row],[PT_BH]]=1,calendar[[#This Row],[WeekDay]]=1, calendar[[#This Row],[WeekDay]]=7),P4032,P4032+1)</f>
        <v>2856</v>
      </c>
    </row>
    <row r="4034" spans="1:19" x14ac:dyDescent="0.25">
      <c r="A4034" s="2">
        <v>46768</v>
      </c>
      <c r="B4034" s="1">
        <f t="shared" ref="B4034:B4097" si="321">WEEKNUM(A4034)</f>
        <v>4</v>
      </c>
      <c r="C4034">
        <f t="shared" si="317"/>
        <v>1</v>
      </c>
      <c r="D4034" t="str">
        <f t="shared" si="318"/>
        <v>January</v>
      </c>
      <c r="E4034">
        <f t="shared" si="319"/>
        <v>2028</v>
      </c>
      <c r="F4034" t="str">
        <f>CONCATENATE(calendar[[#This Row],[Month]],"/",calendar[[#This Row],[Year]])</f>
        <v>1/2028</v>
      </c>
      <c r="G4034">
        <f>WEEKDAY(calendar[[#This Row],[Date]],1)</f>
        <v>1</v>
      </c>
      <c r="H4034" t="str">
        <f>TEXT(calendar[[#This Row],[WeekDay]],"dddd")</f>
        <v>Sunday</v>
      </c>
      <c r="I4034">
        <f>IF((INT(calendar[[#This Row],[Count]]/7)-calendar[[#This Row],[Count]]/7)&lt;0,I4033,I4033+1)</f>
        <v>577</v>
      </c>
      <c r="J4034">
        <f t="shared" si="320"/>
        <v>4032</v>
      </c>
      <c r="K4034">
        <f>IF(calendar[[#This Row],[Month]]&lt;4,1,IF(calendar[[#This Row],[Month]]&lt;7,2,IF(calendar[[#This Row],[Month]]&lt;10,3,4)))</f>
        <v>1</v>
      </c>
      <c r="L4034">
        <f>IFERROR(IF(VLOOKUP(calendar[[#This Row],[Date]],BH!A:A,1,)&lt;&gt;"",1,0),0)</f>
        <v>0</v>
      </c>
      <c r="M4034">
        <f>IFERROR(IF(VLOOKUP(calendar[[#This Row],[Date]],BH!C:C,1,)&lt;&gt;"",1,0),0)</f>
        <v>0</v>
      </c>
      <c r="N4034">
        <f>IFERROR(IF(VLOOKUP(calendar[[#This Row],[Date]],BH!E:E,1,)&lt;&gt;"",1,0),0)</f>
        <v>0</v>
      </c>
      <c r="O4034">
        <f>IFERROR(IF(VLOOKUP(calendar[[#This Row],[Date]],BH!G:G,1,)&lt;&gt;"",1,0),0)</f>
        <v>0</v>
      </c>
      <c r="P4034">
        <f>IF(OR(calendar[[#This Row],[UK_BH]]=1,calendar[[#This Row],[WeekDay]]=1, calendar[[#This Row],[WeekDay]]=7),P4033,P4033+1)</f>
        <v>2856</v>
      </c>
      <c r="Q4034">
        <f>IF(OR(calendar[[#This Row],[FR_BH]]=1,calendar[[#This Row],[WeekDay]]=1, calendar[[#This Row],[WeekDay]]=7),P4033,P4033+1)</f>
        <v>2856</v>
      </c>
      <c r="R4034">
        <f>IF(OR(calendar[[#This Row],[SP_BH]]=1,calendar[[#This Row],[WeekDay]]=1, calendar[[#This Row],[WeekDay]]=7),P4033,P4033+1)</f>
        <v>2856</v>
      </c>
      <c r="S4034">
        <f>IF(OR(calendar[[#This Row],[PT_BH]]=1,calendar[[#This Row],[WeekDay]]=1, calendar[[#This Row],[WeekDay]]=7),P4033,P4033+1)</f>
        <v>2856</v>
      </c>
    </row>
    <row r="4035" spans="1:19" x14ac:dyDescent="0.25">
      <c r="A4035" s="2">
        <v>46769</v>
      </c>
      <c r="B4035" s="1">
        <f t="shared" si="321"/>
        <v>4</v>
      </c>
      <c r="C4035">
        <f t="shared" ref="C4035:C4098" si="322">MONTH(A4035)</f>
        <v>1</v>
      </c>
      <c r="D4035" t="str">
        <f t="shared" ref="D4035:D4098" si="323">TEXT(A4035,"mmmm")</f>
        <v>January</v>
      </c>
      <c r="E4035">
        <f t="shared" ref="E4035:E4098" si="324">YEAR(A4035)</f>
        <v>2028</v>
      </c>
      <c r="F4035" t="str">
        <f>CONCATENATE(calendar[[#This Row],[Month]],"/",calendar[[#This Row],[Year]])</f>
        <v>1/2028</v>
      </c>
      <c r="G4035">
        <f>WEEKDAY(calendar[[#This Row],[Date]],1)</f>
        <v>2</v>
      </c>
      <c r="H4035" t="str">
        <f>TEXT(calendar[[#This Row],[WeekDay]],"dddd")</f>
        <v>Monday</v>
      </c>
      <c r="I4035">
        <f>IF((INT(calendar[[#This Row],[Count]]/7)-calendar[[#This Row],[Count]]/7)&lt;0,I4034,I4034+1)</f>
        <v>577</v>
      </c>
      <c r="J4035">
        <f t="shared" ref="J4035:J4098" si="325">J4034+1</f>
        <v>4033</v>
      </c>
      <c r="K4035">
        <f>IF(calendar[[#This Row],[Month]]&lt;4,1,IF(calendar[[#This Row],[Month]]&lt;7,2,IF(calendar[[#This Row],[Month]]&lt;10,3,4)))</f>
        <v>1</v>
      </c>
      <c r="L4035">
        <f>IFERROR(IF(VLOOKUP(calendar[[#This Row],[Date]],BH!A:A,1,)&lt;&gt;"",1,0),0)</f>
        <v>0</v>
      </c>
      <c r="M4035">
        <f>IFERROR(IF(VLOOKUP(calendar[[#This Row],[Date]],BH!C:C,1,)&lt;&gt;"",1,0),0)</f>
        <v>0</v>
      </c>
      <c r="N4035">
        <f>IFERROR(IF(VLOOKUP(calendar[[#This Row],[Date]],BH!E:E,1,)&lt;&gt;"",1,0),0)</f>
        <v>0</v>
      </c>
      <c r="O4035">
        <f>IFERROR(IF(VLOOKUP(calendar[[#This Row],[Date]],BH!G:G,1,)&lt;&gt;"",1,0),0)</f>
        <v>0</v>
      </c>
      <c r="P4035">
        <f>IF(OR(calendar[[#This Row],[UK_BH]]=1,calendar[[#This Row],[WeekDay]]=1, calendar[[#This Row],[WeekDay]]=7),P4034,P4034+1)</f>
        <v>2857</v>
      </c>
      <c r="Q4035">
        <f>IF(OR(calendar[[#This Row],[FR_BH]]=1,calendar[[#This Row],[WeekDay]]=1, calendar[[#This Row],[WeekDay]]=7),P4034,P4034+1)</f>
        <v>2857</v>
      </c>
      <c r="R4035">
        <f>IF(OR(calendar[[#This Row],[SP_BH]]=1,calendar[[#This Row],[WeekDay]]=1, calendar[[#This Row],[WeekDay]]=7),P4034,P4034+1)</f>
        <v>2857</v>
      </c>
      <c r="S4035">
        <f>IF(OR(calendar[[#This Row],[PT_BH]]=1,calendar[[#This Row],[WeekDay]]=1, calendar[[#This Row],[WeekDay]]=7),P4034,P4034+1)</f>
        <v>2857</v>
      </c>
    </row>
    <row r="4036" spans="1:19" x14ac:dyDescent="0.25">
      <c r="A4036" s="2">
        <v>46770</v>
      </c>
      <c r="B4036" s="1">
        <f t="shared" si="321"/>
        <v>4</v>
      </c>
      <c r="C4036">
        <f t="shared" si="322"/>
        <v>1</v>
      </c>
      <c r="D4036" t="str">
        <f t="shared" si="323"/>
        <v>January</v>
      </c>
      <c r="E4036">
        <f t="shared" si="324"/>
        <v>2028</v>
      </c>
      <c r="F4036" t="str">
        <f>CONCATENATE(calendar[[#This Row],[Month]],"/",calendar[[#This Row],[Year]])</f>
        <v>1/2028</v>
      </c>
      <c r="G4036">
        <f>WEEKDAY(calendar[[#This Row],[Date]],1)</f>
        <v>3</v>
      </c>
      <c r="H4036" t="str">
        <f>TEXT(calendar[[#This Row],[WeekDay]],"dddd")</f>
        <v>Tuesday</v>
      </c>
      <c r="I4036">
        <f>IF((INT(calendar[[#This Row],[Count]]/7)-calendar[[#This Row],[Count]]/7)&lt;0,I4035,I4035+1)</f>
        <v>577</v>
      </c>
      <c r="J4036">
        <f t="shared" si="325"/>
        <v>4034</v>
      </c>
      <c r="K4036">
        <f>IF(calendar[[#This Row],[Month]]&lt;4,1,IF(calendar[[#This Row],[Month]]&lt;7,2,IF(calendar[[#This Row],[Month]]&lt;10,3,4)))</f>
        <v>1</v>
      </c>
      <c r="L4036">
        <f>IFERROR(IF(VLOOKUP(calendar[[#This Row],[Date]],BH!A:A,1,)&lt;&gt;"",1,0),0)</f>
        <v>0</v>
      </c>
      <c r="M4036">
        <f>IFERROR(IF(VLOOKUP(calendar[[#This Row],[Date]],BH!C:C,1,)&lt;&gt;"",1,0),0)</f>
        <v>0</v>
      </c>
      <c r="N4036">
        <f>IFERROR(IF(VLOOKUP(calendar[[#This Row],[Date]],BH!E:E,1,)&lt;&gt;"",1,0),0)</f>
        <v>0</v>
      </c>
      <c r="O4036">
        <f>IFERROR(IF(VLOOKUP(calendar[[#This Row],[Date]],BH!G:G,1,)&lt;&gt;"",1,0),0)</f>
        <v>0</v>
      </c>
      <c r="P4036">
        <f>IF(OR(calendar[[#This Row],[UK_BH]]=1,calendar[[#This Row],[WeekDay]]=1, calendar[[#This Row],[WeekDay]]=7),P4035,P4035+1)</f>
        <v>2858</v>
      </c>
      <c r="Q4036">
        <f>IF(OR(calendar[[#This Row],[FR_BH]]=1,calendar[[#This Row],[WeekDay]]=1, calendar[[#This Row],[WeekDay]]=7),P4035,P4035+1)</f>
        <v>2858</v>
      </c>
      <c r="R4036">
        <f>IF(OR(calendar[[#This Row],[SP_BH]]=1,calendar[[#This Row],[WeekDay]]=1, calendar[[#This Row],[WeekDay]]=7),P4035,P4035+1)</f>
        <v>2858</v>
      </c>
      <c r="S4036">
        <f>IF(OR(calendar[[#This Row],[PT_BH]]=1,calendar[[#This Row],[WeekDay]]=1, calendar[[#This Row],[WeekDay]]=7),P4035,P4035+1)</f>
        <v>2858</v>
      </c>
    </row>
    <row r="4037" spans="1:19" x14ac:dyDescent="0.25">
      <c r="A4037" s="2">
        <v>46771</v>
      </c>
      <c r="B4037" s="1">
        <f t="shared" si="321"/>
        <v>4</v>
      </c>
      <c r="C4037">
        <f t="shared" si="322"/>
        <v>1</v>
      </c>
      <c r="D4037" t="str">
        <f t="shared" si="323"/>
        <v>January</v>
      </c>
      <c r="E4037">
        <f t="shared" si="324"/>
        <v>2028</v>
      </c>
      <c r="F4037" t="str">
        <f>CONCATENATE(calendar[[#This Row],[Month]],"/",calendar[[#This Row],[Year]])</f>
        <v>1/2028</v>
      </c>
      <c r="G4037">
        <f>WEEKDAY(calendar[[#This Row],[Date]],1)</f>
        <v>4</v>
      </c>
      <c r="H4037" t="str">
        <f>TEXT(calendar[[#This Row],[WeekDay]],"dddd")</f>
        <v>Wednesday</v>
      </c>
      <c r="I4037">
        <f>IF((INT(calendar[[#This Row],[Count]]/7)-calendar[[#This Row],[Count]]/7)&lt;0,I4036,I4036+1)</f>
        <v>577</v>
      </c>
      <c r="J4037">
        <f t="shared" si="325"/>
        <v>4035</v>
      </c>
      <c r="K4037">
        <f>IF(calendar[[#This Row],[Month]]&lt;4,1,IF(calendar[[#This Row],[Month]]&lt;7,2,IF(calendar[[#This Row],[Month]]&lt;10,3,4)))</f>
        <v>1</v>
      </c>
      <c r="L4037">
        <f>IFERROR(IF(VLOOKUP(calendar[[#This Row],[Date]],BH!A:A,1,)&lt;&gt;"",1,0),0)</f>
        <v>0</v>
      </c>
      <c r="M4037">
        <f>IFERROR(IF(VLOOKUP(calendar[[#This Row],[Date]],BH!C:C,1,)&lt;&gt;"",1,0),0)</f>
        <v>0</v>
      </c>
      <c r="N4037">
        <f>IFERROR(IF(VLOOKUP(calendar[[#This Row],[Date]],BH!E:E,1,)&lt;&gt;"",1,0),0)</f>
        <v>0</v>
      </c>
      <c r="O4037">
        <f>IFERROR(IF(VLOOKUP(calendar[[#This Row],[Date]],BH!G:G,1,)&lt;&gt;"",1,0),0)</f>
        <v>0</v>
      </c>
      <c r="P4037">
        <f>IF(OR(calendar[[#This Row],[UK_BH]]=1,calendar[[#This Row],[WeekDay]]=1, calendar[[#This Row],[WeekDay]]=7),P4036,P4036+1)</f>
        <v>2859</v>
      </c>
      <c r="Q4037">
        <f>IF(OR(calendar[[#This Row],[FR_BH]]=1,calendar[[#This Row],[WeekDay]]=1, calendar[[#This Row],[WeekDay]]=7),P4036,P4036+1)</f>
        <v>2859</v>
      </c>
      <c r="R4037">
        <f>IF(OR(calendar[[#This Row],[SP_BH]]=1,calendar[[#This Row],[WeekDay]]=1, calendar[[#This Row],[WeekDay]]=7),P4036,P4036+1)</f>
        <v>2859</v>
      </c>
      <c r="S4037">
        <f>IF(OR(calendar[[#This Row],[PT_BH]]=1,calendar[[#This Row],[WeekDay]]=1, calendar[[#This Row],[WeekDay]]=7),P4036,P4036+1)</f>
        <v>2859</v>
      </c>
    </row>
    <row r="4038" spans="1:19" x14ac:dyDescent="0.25">
      <c r="A4038" s="2">
        <v>46772</v>
      </c>
      <c r="B4038" s="1">
        <f t="shared" si="321"/>
        <v>4</v>
      </c>
      <c r="C4038">
        <f t="shared" si="322"/>
        <v>1</v>
      </c>
      <c r="D4038" t="str">
        <f t="shared" si="323"/>
        <v>January</v>
      </c>
      <c r="E4038">
        <f t="shared" si="324"/>
        <v>2028</v>
      </c>
      <c r="F4038" t="str">
        <f>CONCATENATE(calendar[[#This Row],[Month]],"/",calendar[[#This Row],[Year]])</f>
        <v>1/2028</v>
      </c>
      <c r="G4038">
        <f>WEEKDAY(calendar[[#This Row],[Date]],1)</f>
        <v>5</v>
      </c>
      <c r="H4038" t="str">
        <f>TEXT(calendar[[#This Row],[WeekDay]],"dddd")</f>
        <v>Thursday</v>
      </c>
      <c r="I4038">
        <f>IF((INT(calendar[[#This Row],[Count]]/7)-calendar[[#This Row],[Count]]/7)&lt;0,I4037,I4037+1)</f>
        <v>577</v>
      </c>
      <c r="J4038">
        <f t="shared" si="325"/>
        <v>4036</v>
      </c>
      <c r="K4038">
        <f>IF(calendar[[#This Row],[Month]]&lt;4,1,IF(calendar[[#This Row],[Month]]&lt;7,2,IF(calendar[[#This Row],[Month]]&lt;10,3,4)))</f>
        <v>1</v>
      </c>
      <c r="L4038">
        <f>IFERROR(IF(VLOOKUP(calendar[[#This Row],[Date]],BH!A:A,1,)&lt;&gt;"",1,0),0)</f>
        <v>0</v>
      </c>
      <c r="M4038">
        <f>IFERROR(IF(VLOOKUP(calendar[[#This Row],[Date]],BH!C:C,1,)&lt;&gt;"",1,0),0)</f>
        <v>0</v>
      </c>
      <c r="N4038">
        <f>IFERROR(IF(VLOOKUP(calendar[[#This Row],[Date]],BH!E:E,1,)&lt;&gt;"",1,0),0)</f>
        <v>0</v>
      </c>
      <c r="O4038">
        <f>IFERROR(IF(VLOOKUP(calendar[[#This Row],[Date]],BH!G:G,1,)&lt;&gt;"",1,0),0)</f>
        <v>0</v>
      </c>
      <c r="P4038">
        <f>IF(OR(calendar[[#This Row],[UK_BH]]=1,calendar[[#This Row],[WeekDay]]=1, calendar[[#This Row],[WeekDay]]=7),P4037,P4037+1)</f>
        <v>2860</v>
      </c>
      <c r="Q4038">
        <f>IF(OR(calendar[[#This Row],[FR_BH]]=1,calendar[[#This Row],[WeekDay]]=1, calendar[[#This Row],[WeekDay]]=7),P4037,P4037+1)</f>
        <v>2860</v>
      </c>
      <c r="R4038">
        <f>IF(OR(calendar[[#This Row],[SP_BH]]=1,calendar[[#This Row],[WeekDay]]=1, calendar[[#This Row],[WeekDay]]=7),P4037,P4037+1)</f>
        <v>2860</v>
      </c>
      <c r="S4038">
        <f>IF(OR(calendar[[#This Row],[PT_BH]]=1,calendar[[#This Row],[WeekDay]]=1, calendar[[#This Row],[WeekDay]]=7),P4037,P4037+1)</f>
        <v>2860</v>
      </c>
    </row>
    <row r="4039" spans="1:19" x14ac:dyDescent="0.25">
      <c r="A4039" s="2">
        <v>46773</v>
      </c>
      <c r="B4039" s="1">
        <f t="shared" si="321"/>
        <v>4</v>
      </c>
      <c r="C4039">
        <f t="shared" si="322"/>
        <v>1</v>
      </c>
      <c r="D4039" t="str">
        <f t="shared" si="323"/>
        <v>January</v>
      </c>
      <c r="E4039">
        <f t="shared" si="324"/>
        <v>2028</v>
      </c>
      <c r="F4039" t="str">
        <f>CONCATENATE(calendar[[#This Row],[Month]],"/",calendar[[#This Row],[Year]])</f>
        <v>1/2028</v>
      </c>
      <c r="G4039">
        <f>WEEKDAY(calendar[[#This Row],[Date]],1)</f>
        <v>6</v>
      </c>
      <c r="H4039" t="str">
        <f>TEXT(calendar[[#This Row],[WeekDay]],"dddd")</f>
        <v>Friday</v>
      </c>
      <c r="I4039">
        <f>IF((INT(calendar[[#This Row],[Count]]/7)-calendar[[#This Row],[Count]]/7)&lt;0,I4038,I4038+1)</f>
        <v>577</v>
      </c>
      <c r="J4039">
        <f t="shared" si="325"/>
        <v>4037</v>
      </c>
      <c r="K4039">
        <f>IF(calendar[[#This Row],[Month]]&lt;4,1,IF(calendar[[#This Row],[Month]]&lt;7,2,IF(calendar[[#This Row],[Month]]&lt;10,3,4)))</f>
        <v>1</v>
      </c>
      <c r="L4039">
        <f>IFERROR(IF(VLOOKUP(calendar[[#This Row],[Date]],BH!A:A,1,)&lt;&gt;"",1,0),0)</f>
        <v>0</v>
      </c>
      <c r="M4039">
        <f>IFERROR(IF(VLOOKUP(calendar[[#This Row],[Date]],BH!C:C,1,)&lt;&gt;"",1,0),0)</f>
        <v>0</v>
      </c>
      <c r="N4039">
        <f>IFERROR(IF(VLOOKUP(calendar[[#This Row],[Date]],BH!E:E,1,)&lt;&gt;"",1,0),0)</f>
        <v>0</v>
      </c>
      <c r="O4039">
        <f>IFERROR(IF(VLOOKUP(calendar[[#This Row],[Date]],BH!G:G,1,)&lt;&gt;"",1,0),0)</f>
        <v>0</v>
      </c>
      <c r="P4039">
        <f>IF(OR(calendar[[#This Row],[UK_BH]]=1,calendar[[#This Row],[WeekDay]]=1, calendar[[#This Row],[WeekDay]]=7),P4038,P4038+1)</f>
        <v>2861</v>
      </c>
      <c r="Q4039">
        <f>IF(OR(calendar[[#This Row],[FR_BH]]=1,calendar[[#This Row],[WeekDay]]=1, calendar[[#This Row],[WeekDay]]=7),P4038,P4038+1)</f>
        <v>2861</v>
      </c>
      <c r="R4039">
        <f>IF(OR(calendar[[#This Row],[SP_BH]]=1,calendar[[#This Row],[WeekDay]]=1, calendar[[#This Row],[WeekDay]]=7),P4038,P4038+1)</f>
        <v>2861</v>
      </c>
      <c r="S4039">
        <f>IF(OR(calendar[[#This Row],[PT_BH]]=1,calendar[[#This Row],[WeekDay]]=1, calendar[[#This Row],[WeekDay]]=7),P4038,P4038+1)</f>
        <v>2861</v>
      </c>
    </row>
    <row r="4040" spans="1:19" x14ac:dyDescent="0.25">
      <c r="A4040" s="2">
        <v>46774</v>
      </c>
      <c r="B4040" s="1">
        <f t="shared" si="321"/>
        <v>4</v>
      </c>
      <c r="C4040">
        <f t="shared" si="322"/>
        <v>1</v>
      </c>
      <c r="D4040" t="str">
        <f t="shared" si="323"/>
        <v>January</v>
      </c>
      <c r="E4040">
        <f t="shared" si="324"/>
        <v>2028</v>
      </c>
      <c r="F4040" t="str">
        <f>CONCATENATE(calendar[[#This Row],[Month]],"/",calendar[[#This Row],[Year]])</f>
        <v>1/2028</v>
      </c>
      <c r="G4040">
        <f>WEEKDAY(calendar[[#This Row],[Date]],1)</f>
        <v>7</v>
      </c>
      <c r="H4040" t="str">
        <f>TEXT(calendar[[#This Row],[WeekDay]],"dddd")</f>
        <v>Saturday</v>
      </c>
      <c r="I4040">
        <f>IF((INT(calendar[[#This Row],[Count]]/7)-calendar[[#This Row],[Count]]/7)&lt;0,I4039,I4039+1)</f>
        <v>577</v>
      </c>
      <c r="J4040">
        <f t="shared" si="325"/>
        <v>4038</v>
      </c>
      <c r="K4040">
        <f>IF(calendar[[#This Row],[Month]]&lt;4,1,IF(calendar[[#This Row],[Month]]&lt;7,2,IF(calendar[[#This Row],[Month]]&lt;10,3,4)))</f>
        <v>1</v>
      </c>
      <c r="L4040">
        <f>IFERROR(IF(VLOOKUP(calendar[[#This Row],[Date]],BH!A:A,1,)&lt;&gt;"",1,0),0)</f>
        <v>0</v>
      </c>
      <c r="M4040">
        <f>IFERROR(IF(VLOOKUP(calendar[[#This Row],[Date]],BH!C:C,1,)&lt;&gt;"",1,0),0)</f>
        <v>0</v>
      </c>
      <c r="N4040">
        <f>IFERROR(IF(VLOOKUP(calendar[[#This Row],[Date]],BH!E:E,1,)&lt;&gt;"",1,0),0)</f>
        <v>0</v>
      </c>
      <c r="O4040">
        <f>IFERROR(IF(VLOOKUP(calendar[[#This Row],[Date]],BH!G:G,1,)&lt;&gt;"",1,0),0)</f>
        <v>0</v>
      </c>
      <c r="P4040">
        <f>IF(OR(calendar[[#This Row],[UK_BH]]=1,calendar[[#This Row],[WeekDay]]=1, calendar[[#This Row],[WeekDay]]=7),P4039,P4039+1)</f>
        <v>2861</v>
      </c>
      <c r="Q4040">
        <f>IF(OR(calendar[[#This Row],[FR_BH]]=1,calendar[[#This Row],[WeekDay]]=1, calendar[[#This Row],[WeekDay]]=7),P4039,P4039+1)</f>
        <v>2861</v>
      </c>
      <c r="R4040">
        <f>IF(OR(calendar[[#This Row],[SP_BH]]=1,calendar[[#This Row],[WeekDay]]=1, calendar[[#This Row],[WeekDay]]=7),P4039,P4039+1)</f>
        <v>2861</v>
      </c>
      <c r="S4040">
        <f>IF(OR(calendar[[#This Row],[PT_BH]]=1,calendar[[#This Row],[WeekDay]]=1, calendar[[#This Row],[WeekDay]]=7),P4039,P4039+1)</f>
        <v>2861</v>
      </c>
    </row>
    <row r="4041" spans="1:19" x14ac:dyDescent="0.25">
      <c r="A4041" s="2">
        <v>46775</v>
      </c>
      <c r="B4041" s="1">
        <f t="shared" si="321"/>
        <v>5</v>
      </c>
      <c r="C4041">
        <f t="shared" si="322"/>
        <v>1</v>
      </c>
      <c r="D4041" t="str">
        <f t="shared" si="323"/>
        <v>January</v>
      </c>
      <c r="E4041">
        <f t="shared" si="324"/>
        <v>2028</v>
      </c>
      <c r="F4041" t="str">
        <f>CONCATENATE(calendar[[#This Row],[Month]],"/",calendar[[#This Row],[Year]])</f>
        <v>1/2028</v>
      </c>
      <c r="G4041">
        <f>WEEKDAY(calendar[[#This Row],[Date]],1)</f>
        <v>1</v>
      </c>
      <c r="H4041" t="str">
        <f>TEXT(calendar[[#This Row],[WeekDay]],"dddd")</f>
        <v>Sunday</v>
      </c>
      <c r="I4041">
        <f>IF((INT(calendar[[#This Row],[Count]]/7)-calendar[[#This Row],[Count]]/7)&lt;0,I4040,I4040+1)</f>
        <v>578</v>
      </c>
      <c r="J4041">
        <f t="shared" si="325"/>
        <v>4039</v>
      </c>
      <c r="K4041">
        <f>IF(calendar[[#This Row],[Month]]&lt;4,1,IF(calendar[[#This Row],[Month]]&lt;7,2,IF(calendar[[#This Row],[Month]]&lt;10,3,4)))</f>
        <v>1</v>
      </c>
      <c r="L4041">
        <f>IFERROR(IF(VLOOKUP(calendar[[#This Row],[Date]],BH!A:A,1,)&lt;&gt;"",1,0),0)</f>
        <v>0</v>
      </c>
      <c r="M4041">
        <f>IFERROR(IF(VLOOKUP(calendar[[#This Row],[Date]],BH!C:C,1,)&lt;&gt;"",1,0),0)</f>
        <v>0</v>
      </c>
      <c r="N4041">
        <f>IFERROR(IF(VLOOKUP(calendar[[#This Row],[Date]],BH!E:E,1,)&lt;&gt;"",1,0),0)</f>
        <v>0</v>
      </c>
      <c r="O4041">
        <f>IFERROR(IF(VLOOKUP(calendar[[#This Row],[Date]],BH!G:G,1,)&lt;&gt;"",1,0),0)</f>
        <v>0</v>
      </c>
      <c r="P4041">
        <f>IF(OR(calendar[[#This Row],[UK_BH]]=1,calendar[[#This Row],[WeekDay]]=1, calendar[[#This Row],[WeekDay]]=7),P4040,P4040+1)</f>
        <v>2861</v>
      </c>
      <c r="Q4041">
        <f>IF(OR(calendar[[#This Row],[FR_BH]]=1,calendar[[#This Row],[WeekDay]]=1, calendar[[#This Row],[WeekDay]]=7),P4040,P4040+1)</f>
        <v>2861</v>
      </c>
      <c r="R4041">
        <f>IF(OR(calendar[[#This Row],[SP_BH]]=1,calendar[[#This Row],[WeekDay]]=1, calendar[[#This Row],[WeekDay]]=7),P4040,P4040+1)</f>
        <v>2861</v>
      </c>
      <c r="S4041">
        <f>IF(OR(calendar[[#This Row],[PT_BH]]=1,calendar[[#This Row],[WeekDay]]=1, calendar[[#This Row],[WeekDay]]=7),P4040,P4040+1)</f>
        <v>2861</v>
      </c>
    </row>
    <row r="4042" spans="1:19" x14ac:dyDescent="0.25">
      <c r="A4042" s="2">
        <v>46776</v>
      </c>
      <c r="B4042" s="1">
        <f t="shared" si="321"/>
        <v>5</v>
      </c>
      <c r="C4042">
        <f t="shared" si="322"/>
        <v>1</v>
      </c>
      <c r="D4042" t="str">
        <f t="shared" si="323"/>
        <v>January</v>
      </c>
      <c r="E4042">
        <f t="shared" si="324"/>
        <v>2028</v>
      </c>
      <c r="F4042" t="str">
        <f>CONCATENATE(calendar[[#This Row],[Month]],"/",calendar[[#This Row],[Year]])</f>
        <v>1/2028</v>
      </c>
      <c r="G4042">
        <f>WEEKDAY(calendar[[#This Row],[Date]],1)</f>
        <v>2</v>
      </c>
      <c r="H4042" t="str">
        <f>TEXT(calendar[[#This Row],[WeekDay]],"dddd")</f>
        <v>Monday</v>
      </c>
      <c r="I4042">
        <f>IF((INT(calendar[[#This Row],[Count]]/7)-calendar[[#This Row],[Count]]/7)&lt;0,I4041,I4041+1)</f>
        <v>578</v>
      </c>
      <c r="J4042">
        <f t="shared" si="325"/>
        <v>4040</v>
      </c>
      <c r="K4042">
        <f>IF(calendar[[#This Row],[Month]]&lt;4,1,IF(calendar[[#This Row],[Month]]&lt;7,2,IF(calendar[[#This Row],[Month]]&lt;10,3,4)))</f>
        <v>1</v>
      </c>
      <c r="L4042">
        <f>IFERROR(IF(VLOOKUP(calendar[[#This Row],[Date]],BH!A:A,1,)&lt;&gt;"",1,0),0)</f>
        <v>0</v>
      </c>
      <c r="M4042">
        <f>IFERROR(IF(VLOOKUP(calendar[[#This Row],[Date]],BH!C:C,1,)&lt;&gt;"",1,0),0)</f>
        <v>0</v>
      </c>
      <c r="N4042">
        <f>IFERROR(IF(VLOOKUP(calendar[[#This Row],[Date]],BH!E:E,1,)&lt;&gt;"",1,0),0)</f>
        <v>0</v>
      </c>
      <c r="O4042">
        <f>IFERROR(IF(VLOOKUP(calendar[[#This Row],[Date]],BH!G:G,1,)&lt;&gt;"",1,0),0)</f>
        <v>0</v>
      </c>
      <c r="P4042">
        <f>IF(OR(calendar[[#This Row],[UK_BH]]=1,calendar[[#This Row],[WeekDay]]=1, calendar[[#This Row],[WeekDay]]=7),P4041,P4041+1)</f>
        <v>2862</v>
      </c>
      <c r="Q4042">
        <f>IF(OR(calendar[[#This Row],[FR_BH]]=1,calendar[[#This Row],[WeekDay]]=1, calendar[[#This Row],[WeekDay]]=7),P4041,P4041+1)</f>
        <v>2862</v>
      </c>
      <c r="R4042">
        <f>IF(OR(calendar[[#This Row],[SP_BH]]=1,calendar[[#This Row],[WeekDay]]=1, calendar[[#This Row],[WeekDay]]=7),P4041,P4041+1)</f>
        <v>2862</v>
      </c>
      <c r="S4042">
        <f>IF(OR(calendar[[#This Row],[PT_BH]]=1,calendar[[#This Row],[WeekDay]]=1, calendar[[#This Row],[WeekDay]]=7),P4041,P4041+1)</f>
        <v>2862</v>
      </c>
    </row>
    <row r="4043" spans="1:19" x14ac:dyDescent="0.25">
      <c r="A4043" s="2">
        <v>46777</v>
      </c>
      <c r="B4043" s="1">
        <f t="shared" si="321"/>
        <v>5</v>
      </c>
      <c r="C4043">
        <f t="shared" si="322"/>
        <v>1</v>
      </c>
      <c r="D4043" t="str">
        <f t="shared" si="323"/>
        <v>January</v>
      </c>
      <c r="E4043">
        <f t="shared" si="324"/>
        <v>2028</v>
      </c>
      <c r="F4043" t="str">
        <f>CONCATENATE(calendar[[#This Row],[Month]],"/",calendar[[#This Row],[Year]])</f>
        <v>1/2028</v>
      </c>
      <c r="G4043">
        <f>WEEKDAY(calendar[[#This Row],[Date]],1)</f>
        <v>3</v>
      </c>
      <c r="H4043" t="str">
        <f>TEXT(calendar[[#This Row],[WeekDay]],"dddd")</f>
        <v>Tuesday</v>
      </c>
      <c r="I4043">
        <f>IF((INT(calendar[[#This Row],[Count]]/7)-calendar[[#This Row],[Count]]/7)&lt;0,I4042,I4042+1)</f>
        <v>578</v>
      </c>
      <c r="J4043">
        <f t="shared" si="325"/>
        <v>4041</v>
      </c>
      <c r="K4043">
        <f>IF(calendar[[#This Row],[Month]]&lt;4,1,IF(calendar[[#This Row],[Month]]&lt;7,2,IF(calendar[[#This Row],[Month]]&lt;10,3,4)))</f>
        <v>1</v>
      </c>
      <c r="L4043">
        <f>IFERROR(IF(VLOOKUP(calendar[[#This Row],[Date]],BH!A:A,1,)&lt;&gt;"",1,0),0)</f>
        <v>0</v>
      </c>
      <c r="M4043">
        <f>IFERROR(IF(VLOOKUP(calendar[[#This Row],[Date]],BH!C:C,1,)&lt;&gt;"",1,0),0)</f>
        <v>0</v>
      </c>
      <c r="N4043">
        <f>IFERROR(IF(VLOOKUP(calendar[[#This Row],[Date]],BH!E:E,1,)&lt;&gt;"",1,0),0)</f>
        <v>0</v>
      </c>
      <c r="O4043">
        <f>IFERROR(IF(VLOOKUP(calendar[[#This Row],[Date]],BH!G:G,1,)&lt;&gt;"",1,0),0)</f>
        <v>0</v>
      </c>
      <c r="P4043">
        <f>IF(OR(calendar[[#This Row],[UK_BH]]=1,calendar[[#This Row],[WeekDay]]=1, calendar[[#This Row],[WeekDay]]=7),P4042,P4042+1)</f>
        <v>2863</v>
      </c>
      <c r="Q4043">
        <f>IF(OR(calendar[[#This Row],[FR_BH]]=1,calendar[[#This Row],[WeekDay]]=1, calendar[[#This Row],[WeekDay]]=7),P4042,P4042+1)</f>
        <v>2863</v>
      </c>
      <c r="R4043">
        <f>IF(OR(calendar[[#This Row],[SP_BH]]=1,calendar[[#This Row],[WeekDay]]=1, calendar[[#This Row],[WeekDay]]=7),P4042,P4042+1)</f>
        <v>2863</v>
      </c>
      <c r="S4043">
        <f>IF(OR(calendar[[#This Row],[PT_BH]]=1,calendar[[#This Row],[WeekDay]]=1, calendar[[#This Row],[WeekDay]]=7),P4042,P4042+1)</f>
        <v>2863</v>
      </c>
    </row>
    <row r="4044" spans="1:19" x14ac:dyDescent="0.25">
      <c r="A4044" s="2">
        <v>46778</v>
      </c>
      <c r="B4044" s="1">
        <f t="shared" si="321"/>
        <v>5</v>
      </c>
      <c r="C4044">
        <f t="shared" si="322"/>
        <v>1</v>
      </c>
      <c r="D4044" t="str">
        <f t="shared" si="323"/>
        <v>January</v>
      </c>
      <c r="E4044">
        <f t="shared" si="324"/>
        <v>2028</v>
      </c>
      <c r="F4044" t="str">
        <f>CONCATENATE(calendar[[#This Row],[Month]],"/",calendar[[#This Row],[Year]])</f>
        <v>1/2028</v>
      </c>
      <c r="G4044">
        <f>WEEKDAY(calendar[[#This Row],[Date]],1)</f>
        <v>4</v>
      </c>
      <c r="H4044" t="str">
        <f>TEXT(calendar[[#This Row],[WeekDay]],"dddd")</f>
        <v>Wednesday</v>
      </c>
      <c r="I4044">
        <f>IF((INT(calendar[[#This Row],[Count]]/7)-calendar[[#This Row],[Count]]/7)&lt;0,I4043,I4043+1)</f>
        <v>578</v>
      </c>
      <c r="J4044">
        <f t="shared" si="325"/>
        <v>4042</v>
      </c>
      <c r="K4044">
        <f>IF(calendar[[#This Row],[Month]]&lt;4,1,IF(calendar[[#This Row],[Month]]&lt;7,2,IF(calendar[[#This Row],[Month]]&lt;10,3,4)))</f>
        <v>1</v>
      </c>
      <c r="L4044">
        <f>IFERROR(IF(VLOOKUP(calendar[[#This Row],[Date]],BH!A:A,1,)&lt;&gt;"",1,0),0)</f>
        <v>0</v>
      </c>
      <c r="M4044">
        <f>IFERROR(IF(VLOOKUP(calendar[[#This Row],[Date]],BH!C:C,1,)&lt;&gt;"",1,0),0)</f>
        <v>0</v>
      </c>
      <c r="N4044">
        <f>IFERROR(IF(VLOOKUP(calendar[[#This Row],[Date]],BH!E:E,1,)&lt;&gt;"",1,0),0)</f>
        <v>0</v>
      </c>
      <c r="O4044">
        <f>IFERROR(IF(VLOOKUP(calendar[[#This Row],[Date]],BH!G:G,1,)&lt;&gt;"",1,0),0)</f>
        <v>0</v>
      </c>
      <c r="P4044">
        <f>IF(OR(calendar[[#This Row],[UK_BH]]=1,calendar[[#This Row],[WeekDay]]=1, calendar[[#This Row],[WeekDay]]=7),P4043,P4043+1)</f>
        <v>2864</v>
      </c>
      <c r="Q4044">
        <f>IF(OR(calendar[[#This Row],[FR_BH]]=1,calendar[[#This Row],[WeekDay]]=1, calendar[[#This Row],[WeekDay]]=7),P4043,P4043+1)</f>
        <v>2864</v>
      </c>
      <c r="R4044">
        <f>IF(OR(calendar[[#This Row],[SP_BH]]=1,calendar[[#This Row],[WeekDay]]=1, calendar[[#This Row],[WeekDay]]=7),P4043,P4043+1)</f>
        <v>2864</v>
      </c>
      <c r="S4044">
        <f>IF(OR(calendar[[#This Row],[PT_BH]]=1,calendar[[#This Row],[WeekDay]]=1, calendar[[#This Row],[WeekDay]]=7),P4043,P4043+1)</f>
        <v>2864</v>
      </c>
    </row>
    <row r="4045" spans="1:19" x14ac:dyDescent="0.25">
      <c r="A4045" s="2">
        <v>46779</v>
      </c>
      <c r="B4045" s="1">
        <f t="shared" si="321"/>
        <v>5</v>
      </c>
      <c r="C4045">
        <f t="shared" si="322"/>
        <v>1</v>
      </c>
      <c r="D4045" t="str">
        <f t="shared" si="323"/>
        <v>January</v>
      </c>
      <c r="E4045">
        <f t="shared" si="324"/>
        <v>2028</v>
      </c>
      <c r="F4045" t="str">
        <f>CONCATENATE(calendar[[#This Row],[Month]],"/",calendar[[#This Row],[Year]])</f>
        <v>1/2028</v>
      </c>
      <c r="G4045">
        <f>WEEKDAY(calendar[[#This Row],[Date]],1)</f>
        <v>5</v>
      </c>
      <c r="H4045" t="str">
        <f>TEXT(calendar[[#This Row],[WeekDay]],"dddd")</f>
        <v>Thursday</v>
      </c>
      <c r="I4045">
        <f>IF((INT(calendar[[#This Row],[Count]]/7)-calendar[[#This Row],[Count]]/7)&lt;0,I4044,I4044+1)</f>
        <v>578</v>
      </c>
      <c r="J4045">
        <f t="shared" si="325"/>
        <v>4043</v>
      </c>
      <c r="K4045">
        <f>IF(calendar[[#This Row],[Month]]&lt;4,1,IF(calendar[[#This Row],[Month]]&lt;7,2,IF(calendar[[#This Row],[Month]]&lt;10,3,4)))</f>
        <v>1</v>
      </c>
      <c r="L4045">
        <f>IFERROR(IF(VLOOKUP(calendar[[#This Row],[Date]],BH!A:A,1,)&lt;&gt;"",1,0),0)</f>
        <v>0</v>
      </c>
      <c r="M4045">
        <f>IFERROR(IF(VLOOKUP(calendar[[#This Row],[Date]],BH!C:C,1,)&lt;&gt;"",1,0),0)</f>
        <v>0</v>
      </c>
      <c r="N4045">
        <f>IFERROR(IF(VLOOKUP(calendar[[#This Row],[Date]],BH!E:E,1,)&lt;&gt;"",1,0),0)</f>
        <v>0</v>
      </c>
      <c r="O4045">
        <f>IFERROR(IF(VLOOKUP(calendar[[#This Row],[Date]],BH!G:G,1,)&lt;&gt;"",1,0),0)</f>
        <v>0</v>
      </c>
      <c r="P4045">
        <f>IF(OR(calendar[[#This Row],[UK_BH]]=1,calendar[[#This Row],[WeekDay]]=1, calendar[[#This Row],[WeekDay]]=7),P4044,P4044+1)</f>
        <v>2865</v>
      </c>
      <c r="Q4045">
        <f>IF(OR(calendar[[#This Row],[FR_BH]]=1,calendar[[#This Row],[WeekDay]]=1, calendar[[#This Row],[WeekDay]]=7),P4044,P4044+1)</f>
        <v>2865</v>
      </c>
      <c r="R4045">
        <f>IF(OR(calendar[[#This Row],[SP_BH]]=1,calendar[[#This Row],[WeekDay]]=1, calendar[[#This Row],[WeekDay]]=7),P4044,P4044+1)</f>
        <v>2865</v>
      </c>
      <c r="S4045">
        <f>IF(OR(calendar[[#This Row],[PT_BH]]=1,calendar[[#This Row],[WeekDay]]=1, calendar[[#This Row],[WeekDay]]=7),P4044,P4044+1)</f>
        <v>2865</v>
      </c>
    </row>
    <row r="4046" spans="1:19" x14ac:dyDescent="0.25">
      <c r="A4046" s="2">
        <v>46780</v>
      </c>
      <c r="B4046" s="1">
        <f t="shared" si="321"/>
        <v>5</v>
      </c>
      <c r="C4046">
        <f t="shared" si="322"/>
        <v>1</v>
      </c>
      <c r="D4046" t="str">
        <f t="shared" si="323"/>
        <v>January</v>
      </c>
      <c r="E4046">
        <f t="shared" si="324"/>
        <v>2028</v>
      </c>
      <c r="F4046" t="str">
        <f>CONCATENATE(calendar[[#This Row],[Month]],"/",calendar[[#This Row],[Year]])</f>
        <v>1/2028</v>
      </c>
      <c r="G4046">
        <f>WEEKDAY(calendar[[#This Row],[Date]],1)</f>
        <v>6</v>
      </c>
      <c r="H4046" t="str">
        <f>TEXT(calendar[[#This Row],[WeekDay]],"dddd")</f>
        <v>Friday</v>
      </c>
      <c r="I4046">
        <f>IF((INT(calendar[[#This Row],[Count]]/7)-calendar[[#This Row],[Count]]/7)&lt;0,I4045,I4045+1)</f>
        <v>578</v>
      </c>
      <c r="J4046">
        <f t="shared" si="325"/>
        <v>4044</v>
      </c>
      <c r="K4046">
        <f>IF(calendar[[#This Row],[Month]]&lt;4,1,IF(calendar[[#This Row],[Month]]&lt;7,2,IF(calendar[[#This Row],[Month]]&lt;10,3,4)))</f>
        <v>1</v>
      </c>
      <c r="L4046">
        <f>IFERROR(IF(VLOOKUP(calendar[[#This Row],[Date]],BH!A:A,1,)&lt;&gt;"",1,0),0)</f>
        <v>0</v>
      </c>
      <c r="M4046">
        <f>IFERROR(IF(VLOOKUP(calendar[[#This Row],[Date]],BH!C:C,1,)&lt;&gt;"",1,0),0)</f>
        <v>0</v>
      </c>
      <c r="N4046">
        <f>IFERROR(IF(VLOOKUP(calendar[[#This Row],[Date]],BH!E:E,1,)&lt;&gt;"",1,0),0)</f>
        <v>0</v>
      </c>
      <c r="O4046">
        <f>IFERROR(IF(VLOOKUP(calendar[[#This Row],[Date]],BH!G:G,1,)&lt;&gt;"",1,0),0)</f>
        <v>0</v>
      </c>
      <c r="P4046">
        <f>IF(OR(calendar[[#This Row],[UK_BH]]=1,calendar[[#This Row],[WeekDay]]=1, calendar[[#This Row],[WeekDay]]=7),P4045,P4045+1)</f>
        <v>2866</v>
      </c>
      <c r="Q4046">
        <f>IF(OR(calendar[[#This Row],[FR_BH]]=1,calendar[[#This Row],[WeekDay]]=1, calendar[[#This Row],[WeekDay]]=7),P4045,P4045+1)</f>
        <v>2866</v>
      </c>
      <c r="R4046">
        <f>IF(OR(calendar[[#This Row],[SP_BH]]=1,calendar[[#This Row],[WeekDay]]=1, calendar[[#This Row],[WeekDay]]=7),P4045,P4045+1)</f>
        <v>2866</v>
      </c>
      <c r="S4046">
        <f>IF(OR(calendar[[#This Row],[PT_BH]]=1,calendar[[#This Row],[WeekDay]]=1, calendar[[#This Row],[WeekDay]]=7),P4045,P4045+1)</f>
        <v>2866</v>
      </c>
    </row>
    <row r="4047" spans="1:19" x14ac:dyDescent="0.25">
      <c r="A4047" s="2">
        <v>46781</v>
      </c>
      <c r="B4047" s="1">
        <f t="shared" si="321"/>
        <v>5</v>
      </c>
      <c r="C4047">
        <f t="shared" si="322"/>
        <v>1</v>
      </c>
      <c r="D4047" t="str">
        <f t="shared" si="323"/>
        <v>January</v>
      </c>
      <c r="E4047">
        <f t="shared" si="324"/>
        <v>2028</v>
      </c>
      <c r="F4047" t="str">
        <f>CONCATENATE(calendar[[#This Row],[Month]],"/",calendar[[#This Row],[Year]])</f>
        <v>1/2028</v>
      </c>
      <c r="G4047">
        <f>WEEKDAY(calendar[[#This Row],[Date]],1)</f>
        <v>7</v>
      </c>
      <c r="H4047" t="str">
        <f>TEXT(calendar[[#This Row],[WeekDay]],"dddd")</f>
        <v>Saturday</v>
      </c>
      <c r="I4047">
        <f>IF((INT(calendar[[#This Row],[Count]]/7)-calendar[[#This Row],[Count]]/7)&lt;0,I4046,I4046+1)</f>
        <v>578</v>
      </c>
      <c r="J4047">
        <f t="shared" si="325"/>
        <v>4045</v>
      </c>
      <c r="K4047">
        <f>IF(calendar[[#This Row],[Month]]&lt;4,1,IF(calendar[[#This Row],[Month]]&lt;7,2,IF(calendar[[#This Row],[Month]]&lt;10,3,4)))</f>
        <v>1</v>
      </c>
      <c r="L4047">
        <f>IFERROR(IF(VLOOKUP(calendar[[#This Row],[Date]],BH!A:A,1,)&lt;&gt;"",1,0),0)</f>
        <v>0</v>
      </c>
      <c r="M4047">
        <f>IFERROR(IF(VLOOKUP(calendar[[#This Row],[Date]],BH!C:C,1,)&lt;&gt;"",1,0),0)</f>
        <v>0</v>
      </c>
      <c r="N4047">
        <f>IFERROR(IF(VLOOKUP(calendar[[#This Row],[Date]],BH!E:E,1,)&lt;&gt;"",1,0),0)</f>
        <v>0</v>
      </c>
      <c r="O4047">
        <f>IFERROR(IF(VLOOKUP(calendar[[#This Row],[Date]],BH!G:G,1,)&lt;&gt;"",1,0),0)</f>
        <v>0</v>
      </c>
      <c r="P4047">
        <f>IF(OR(calendar[[#This Row],[UK_BH]]=1,calendar[[#This Row],[WeekDay]]=1, calendar[[#This Row],[WeekDay]]=7),P4046,P4046+1)</f>
        <v>2866</v>
      </c>
      <c r="Q4047">
        <f>IF(OR(calendar[[#This Row],[FR_BH]]=1,calendar[[#This Row],[WeekDay]]=1, calendar[[#This Row],[WeekDay]]=7),P4046,P4046+1)</f>
        <v>2866</v>
      </c>
      <c r="R4047">
        <f>IF(OR(calendar[[#This Row],[SP_BH]]=1,calendar[[#This Row],[WeekDay]]=1, calendar[[#This Row],[WeekDay]]=7),P4046,P4046+1)</f>
        <v>2866</v>
      </c>
      <c r="S4047">
        <f>IF(OR(calendar[[#This Row],[PT_BH]]=1,calendar[[#This Row],[WeekDay]]=1, calendar[[#This Row],[WeekDay]]=7),P4046,P4046+1)</f>
        <v>2866</v>
      </c>
    </row>
    <row r="4048" spans="1:19" x14ac:dyDescent="0.25">
      <c r="A4048" s="2">
        <v>46782</v>
      </c>
      <c r="B4048" s="1">
        <f t="shared" si="321"/>
        <v>6</v>
      </c>
      <c r="C4048">
        <f t="shared" si="322"/>
        <v>1</v>
      </c>
      <c r="D4048" t="str">
        <f t="shared" si="323"/>
        <v>January</v>
      </c>
      <c r="E4048">
        <f t="shared" si="324"/>
        <v>2028</v>
      </c>
      <c r="F4048" t="str">
        <f>CONCATENATE(calendar[[#This Row],[Month]],"/",calendar[[#This Row],[Year]])</f>
        <v>1/2028</v>
      </c>
      <c r="G4048">
        <f>WEEKDAY(calendar[[#This Row],[Date]],1)</f>
        <v>1</v>
      </c>
      <c r="H4048" t="str">
        <f>TEXT(calendar[[#This Row],[WeekDay]],"dddd")</f>
        <v>Sunday</v>
      </c>
      <c r="I4048">
        <f>IF((INT(calendar[[#This Row],[Count]]/7)-calendar[[#This Row],[Count]]/7)&lt;0,I4047,I4047+1)</f>
        <v>579</v>
      </c>
      <c r="J4048">
        <f t="shared" si="325"/>
        <v>4046</v>
      </c>
      <c r="K4048">
        <f>IF(calendar[[#This Row],[Month]]&lt;4,1,IF(calendar[[#This Row],[Month]]&lt;7,2,IF(calendar[[#This Row],[Month]]&lt;10,3,4)))</f>
        <v>1</v>
      </c>
      <c r="L4048">
        <f>IFERROR(IF(VLOOKUP(calendar[[#This Row],[Date]],BH!A:A,1,)&lt;&gt;"",1,0),0)</f>
        <v>0</v>
      </c>
      <c r="M4048">
        <f>IFERROR(IF(VLOOKUP(calendar[[#This Row],[Date]],BH!C:C,1,)&lt;&gt;"",1,0),0)</f>
        <v>0</v>
      </c>
      <c r="N4048">
        <f>IFERROR(IF(VLOOKUP(calendar[[#This Row],[Date]],BH!E:E,1,)&lt;&gt;"",1,0),0)</f>
        <v>0</v>
      </c>
      <c r="O4048">
        <f>IFERROR(IF(VLOOKUP(calendar[[#This Row],[Date]],BH!G:G,1,)&lt;&gt;"",1,0),0)</f>
        <v>0</v>
      </c>
      <c r="P4048">
        <f>IF(OR(calendar[[#This Row],[UK_BH]]=1,calendar[[#This Row],[WeekDay]]=1, calendar[[#This Row],[WeekDay]]=7),P4047,P4047+1)</f>
        <v>2866</v>
      </c>
      <c r="Q4048">
        <f>IF(OR(calendar[[#This Row],[FR_BH]]=1,calendar[[#This Row],[WeekDay]]=1, calendar[[#This Row],[WeekDay]]=7),P4047,P4047+1)</f>
        <v>2866</v>
      </c>
      <c r="R4048">
        <f>IF(OR(calendar[[#This Row],[SP_BH]]=1,calendar[[#This Row],[WeekDay]]=1, calendar[[#This Row],[WeekDay]]=7),P4047,P4047+1)</f>
        <v>2866</v>
      </c>
      <c r="S4048">
        <f>IF(OR(calendar[[#This Row],[PT_BH]]=1,calendar[[#This Row],[WeekDay]]=1, calendar[[#This Row],[WeekDay]]=7),P4047,P4047+1)</f>
        <v>2866</v>
      </c>
    </row>
    <row r="4049" spans="1:19" x14ac:dyDescent="0.25">
      <c r="A4049" s="2">
        <v>46783</v>
      </c>
      <c r="B4049" s="1">
        <f t="shared" si="321"/>
        <v>6</v>
      </c>
      <c r="C4049">
        <f t="shared" si="322"/>
        <v>1</v>
      </c>
      <c r="D4049" t="str">
        <f t="shared" si="323"/>
        <v>January</v>
      </c>
      <c r="E4049">
        <f t="shared" si="324"/>
        <v>2028</v>
      </c>
      <c r="F4049" t="str">
        <f>CONCATENATE(calendar[[#This Row],[Month]],"/",calendar[[#This Row],[Year]])</f>
        <v>1/2028</v>
      </c>
      <c r="G4049">
        <f>WEEKDAY(calendar[[#This Row],[Date]],1)</f>
        <v>2</v>
      </c>
      <c r="H4049" t="str">
        <f>TEXT(calendar[[#This Row],[WeekDay]],"dddd")</f>
        <v>Monday</v>
      </c>
      <c r="I4049">
        <f>IF((INT(calendar[[#This Row],[Count]]/7)-calendar[[#This Row],[Count]]/7)&lt;0,I4048,I4048+1)</f>
        <v>579</v>
      </c>
      <c r="J4049">
        <f t="shared" si="325"/>
        <v>4047</v>
      </c>
      <c r="K4049">
        <f>IF(calendar[[#This Row],[Month]]&lt;4,1,IF(calendar[[#This Row],[Month]]&lt;7,2,IF(calendar[[#This Row],[Month]]&lt;10,3,4)))</f>
        <v>1</v>
      </c>
      <c r="L4049">
        <f>IFERROR(IF(VLOOKUP(calendar[[#This Row],[Date]],BH!A:A,1,)&lt;&gt;"",1,0),0)</f>
        <v>0</v>
      </c>
      <c r="M4049">
        <f>IFERROR(IF(VLOOKUP(calendar[[#This Row],[Date]],BH!C:C,1,)&lt;&gt;"",1,0),0)</f>
        <v>0</v>
      </c>
      <c r="N4049">
        <f>IFERROR(IF(VLOOKUP(calendar[[#This Row],[Date]],BH!E:E,1,)&lt;&gt;"",1,0),0)</f>
        <v>0</v>
      </c>
      <c r="O4049">
        <f>IFERROR(IF(VLOOKUP(calendar[[#This Row],[Date]],BH!G:G,1,)&lt;&gt;"",1,0),0)</f>
        <v>0</v>
      </c>
      <c r="P4049">
        <f>IF(OR(calendar[[#This Row],[UK_BH]]=1,calendar[[#This Row],[WeekDay]]=1, calendar[[#This Row],[WeekDay]]=7),P4048,P4048+1)</f>
        <v>2867</v>
      </c>
      <c r="Q4049">
        <f>IF(OR(calendar[[#This Row],[FR_BH]]=1,calendar[[#This Row],[WeekDay]]=1, calendar[[#This Row],[WeekDay]]=7),P4048,P4048+1)</f>
        <v>2867</v>
      </c>
      <c r="R4049">
        <f>IF(OR(calendar[[#This Row],[SP_BH]]=1,calendar[[#This Row],[WeekDay]]=1, calendar[[#This Row],[WeekDay]]=7),P4048,P4048+1)</f>
        <v>2867</v>
      </c>
      <c r="S4049">
        <f>IF(OR(calendar[[#This Row],[PT_BH]]=1,calendar[[#This Row],[WeekDay]]=1, calendar[[#This Row],[WeekDay]]=7),P4048,P4048+1)</f>
        <v>2867</v>
      </c>
    </row>
    <row r="4050" spans="1:19" x14ac:dyDescent="0.25">
      <c r="A4050" s="2">
        <v>46784</v>
      </c>
      <c r="B4050" s="1">
        <f t="shared" si="321"/>
        <v>6</v>
      </c>
      <c r="C4050">
        <f t="shared" si="322"/>
        <v>2</v>
      </c>
      <c r="D4050" t="str">
        <f t="shared" si="323"/>
        <v>February</v>
      </c>
      <c r="E4050">
        <f t="shared" si="324"/>
        <v>2028</v>
      </c>
      <c r="F4050" t="str">
        <f>CONCATENATE(calendar[[#This Row],[Month]],"/",calendar[[#This Row],[Year]])</f>
        <v>2/2028</v>
      </c>
      <c r="G4050">
        <f>WEEKDAY(calendar[[#This Row],[Date]],1)</f>
        <v>3</v>
      </c>
      <c r="H4050" t="str">
        <f>TEXT(calendar[[#This Row],[WeekDay]],"dddd")</f>
        <v>Tuesday</v>
      </c>
      <c r="I4050">
        <f>IF((INT(calendar[[#This Row],[Count]]/7)-calendar[[#This Row],[Count]]/7)&lt;0,I4049,I4049+1)</f>
        <v>579</v>
      </c>
      <c r="J4050">
        <f t="shared" si="325"/>
        <v>4048</v>
      </c>
      <c r="K4050">
        <f>IF(calendar[[#This Row],[Month]]&lt;4,1,IF(calendar[[#This Row],[Month]]&lt;7,2,IF(calendar[[#This Row],[Month]]&lt;10,3,4)))</f>
        <v>1</v>
      </c>
      <c r="L4050">
        <f>IFERROR(IF(VLOOKUP(calendar[[#This Row],[Date]],BH!A:A,1,)&lt;&gt;"",1,0),0)</f>
        <v>0</v>
      </c>
      <c r="M4050">
        <f>IFERROR(IF(VLOOKUP(calendar[[#This Row],[Date]],BH!C:C,1,)&lt;&gt;"",1,0),0)</f>
        <v>0</v>
      </c>
      <c r="N4050">
        <f>IFERROR(IF(VLOOKUP(calendar[[#This Row],[Date]],BH!E:E,1,)&lt;&gt;"",1,0),0)</f>
        <v>0</v>
      </c>
      <c r="O4050">
        <f>IFERROR(IF(VLOOKUP(calendar[[#This Row],[Date]],BH!G:G,1,)&lt;&gt;"",1,0),0)</f>
        <v>0</v>
      </c>
      <c r="P4050">
        <f>IF(OR(calendar[[#This Row],[UK_BH]]=1,calendar[[#This Row],[WeekDay]]=1, calendar[[#This Row],[WeekDay]]=7),P4049,P4049+1)</f>
        <v>2868</v>
      </c>
      <c r="Q4050">
        <f>IF(OR(calendar[[#This Row],[FR_BH]]=1,calendar[[#This Row],[WeekDay]]=1, calendar[[#This Row],[WeekDay]]=7),P4049,P4049+1)</f>
        <v>2868</v>
      </c>
      <c r="R4050">
        <f>IF(OR(calendar[[#This Row],[SP_BH]]=1,calendar[[#This Row],[WeekDay]]=1, calendar[[#This Row],[WeekDay]]=7),P4049,P4049+1)</f>
        <v>2868</v>
      </c>
      <c r="S4050">
        <f>IF(OR(calendar[[#This Row],[PT_BH]]=1,calendar[[#This Row],[WeekDay]]=1, calendar[[#This Row],[WeekDay]]=7),P4049,P4049+1)</f>
        <v>2868</v>
      </c>
    </row>
    <row r="4051" spans="1:19" x14ac:dyDescent="0.25">
      <c r="A4051" s="2">
        <v>46785</v>
      </c>
      <c r="B4051" s="1">
        <f t="shared" si="321"/>
        <v>6</v>
      </c>
      <c r="C4051">
        <f t="shared" si="322"/>
        <v>2</v>
      </c>
      <c r="D4051" t="str">
        <f t="shared" si="323"/>
        <v>February</v>
      </c>
      <c r="E4051">
        <f t="shared" si="324"/>
        <v>2028</v>
      </c>
      <c r="F4051" t="str">
        <f>CONCATENATE(calendar[[#This Row],[Month]],"/",calendar[[#This Row],[Year]])</f>
        <v>2/2028</v>
      </c>
      <c r="G4051">
        <f>WEEKDAY(calendar[[#This Row],[Date]],1)</f>
        <v>4</v>
      </c>
      <c r="H4051" t="str">
        <f>TEXT(calendar[[#This Row],[WeekDay]],"dddd")</f>
        <v>Wednesday</v>
      </c>
      <c r="I4051">
        <f>IF((INT(calendar[[#This Row],[Count]]/7)-calendar[[#This Row],[Count]]/7)&lt;0,I4050,I4050+1)</f>
        <v>579</v>
      </c>
      <c r="J4051">
        <f t="shared" si="325"/>
        <v>4049</v>
      </c>
      <c r="K4051">
        <f>IF(calendar[[#This Row],[Month]]&lt;4,1,IF(calendar[[#This Row],[Month]]&lt;7,2,IF(calendar[[#This Row],[Month]]&lt;10,3,4)))</f>
        <v>1</v>
      </c>
      <c r="L4051">
        <f>IFERROR(IF(VLOOKUP(calendar[[#This Row],[Date]],BH!A:A,1,)&lt;&gt;"",1,0),0)</f>
        <v>0</v>
      </c>
      <c r="M4051">
        <f>IFERROR(IF(VLOOKUP(calendar[[#This Row],[Date]],BH!C:C,1,)&lt;&gt;"",1,0),0)</f>
        <v>0</v>
      </c>
      <c r="N4051">
        <f>IFERROR(IF(VLOOKUP(calendar[[#This Row],[Date]],BH!E:E,1,)&lt;&gt;"",1,0),0)</f>
        <v>0</v>
      </c>
      <c r="O4051">
        <f>IFERROR(IF(VLOOKUP(calendar[[#This Row],[Date]],BH!G:G,1,)&lt;&gt;"",1,0),0)</f>
        <v>0</v>
      </c>
      <c r="P4051">
        <f>IF(OR(calendar[[#This Row],[UK_BH]]=1,calendar[[#This Row],[WeekDay]]=1, calendar[[#This Row],[WeekDay]]=7),P4050,P4050+1)</f>
        <v>2869</v>
      </c>
      <c r="Q4051">
        <f>IF(OR(calendar[[#This Row],[FR_BH]]=1,calendar[[#This Row],[WeekDay]]=1, calendar[[#This Row],[WeekDay]]=7),P4050,P4050+1)</f>
        <v>2869</v>
      </c>
      <c r="R4051">
        <f>IF(OR(calendar[[#This Row],[SP_BH]]=1,calendar[[#This Row],[WeekDay]]=1, calendar[[#This Row],[WeekDay]]=7),P4050,P4050+1)</f>
        <v>2869</v>
      </c>
      <c r="S4051">
        <f>IF(OR(calendar[[#This Row],[PT_BH]]=1,calendar[[#This Row],[WeekDay]]=1, calendar[[#This Row],[WeekDay]]=7),P4050,P4050+1)</f>
        <v>2869</v>
      </c>
    </row>
    <row r="4052" spans="1:19" x14ac:dyDescent="0.25">
      <c r="A4052" s="2">
        <v>46786</v>
      </c>
      <c r="B4052" s="1">
        <f t="shared" si="321"/>
        <v>6</v>
      </c>
      <c r="C4052">
        <f t="shared" si="322"/>
        <v>2</v>
      </c>
      <c r="D4052" t="str">
        <f t="shared" si="323"/>
        <v>February</v>
      </c>
      <c r="E4052">
        <f t="shared" si="324"/>
        <v>2028</v>
      </c>
      <c r="F4052" t="str">
        <f>CONCATENATE(calendar[[#This Row],[Month]],"/",calendar[[#This Row],[Year]])</f>
        <v>2/2028</v>
      </c>
      <c r="G4052">
        <f>WEEKDAY(calendar[[#This Row],[Date]],1)</f>
        <v>5</v>
      </c>
      <c r="H4052" t="str">
        <f>TEXT(calendar[[#This Row],[WeekDay]],"dddd")</f>
        <v>Thursday</v>
      </c>
      <c r="I4052">
        <f>IF((INT(calendar[[#This Row],[Count]]/7)-calendar[[#This Row],[Count]]/7)&lt;0,I4051,I4051+1)</f>
        <v>579</v>
      </c>
      <c r="J4052">
        <f t="shared" si="325"/>
        <v>4050</v>
      </c>
      <c r="K4052">
        <f>IF(calendar[[#This Row],[Month]]&lt;4,1,IF(calendar[[#This Row],[Month]]&lt;7,2,IF(calendar[[#This Row],[Month]]&lt;10,3,4)))</f>
        <v>1</v>
      </c>
      <c r="L4052">
        <f>IFERROR(IF(VLOOKUP(calendar[[#This Row],[Date]],BH!A:A,1,)&lt;&gt;"",1,0),0)</f>
        <v>0</v>
      </c>
      <c r="M4052">
        <f>IFERROR(IF(VLOOKUP(calendar[[#This Row],[Date]],BH!C:C,1,)&lt;&gt;"",1,0),0)</f>
        <v>0</v>
      </c>
      <c r="N4052">
        <f>IFERROR(IF(VLOOKUP(calendar[[#This Row],[Date]],BH!E:E,1,)&lt;&gt;"",1,0),0)</f>
        <v>0</v>
      </c>
      <c r="O4052">
        <f>IFERROR(IF(VLOOKUP(calendar[[#This Row],[Date]],BH!G:G,1,)&lt;&gt;"",1,0),0)</f>
        <v>0</v>
      </c>
      <c r="P4052">
        <f>IF(OR(calendar[[#This Row],[UK_BH]]=1,calendar[[#This Row],[WeekDay]]=1, calendar[[#This Row],[WeekDay]]=7),P4051,P4051+1)</f>
        <v>2870</v>
      </c>
      <c r="Q4052">
        <f>IF(OR(calendar[[#This Row],[FR_BH]]=1,calendar[[#This Row],[WeekDay]]=1, calendar[[#This Row],[WeekDay]]=7),P4051,P4051+1)</f>
        <v>2870</v>
      </c>
      <c r="R4052">
        <f>IF(OR(calendar[[#This Row],[SP_BH]]=1,calendar[[#This Row],[WeekDay]]=1, calendar[[#This Row],[WeekDay]]=7),P4051,P4051+1)</f>
        <v>2870</v>
      </c>
      <c r="S4052">
        <f>IF(OR(calendar[[#This Row],[PT_BH]]=1,calendar[[#This Row],[WeekDay]]=1, calendar[[#This Row],[WeekDay]]=7),P4051,P4051+1)</f>
        <v>2870</v>
      </c>
    </row>
    <row r="4053" spans="1:19" x14ac:dyDescent="0.25">
      <c r="A4053" s="2">
        <v>46787</v>
      </c>
      <c r="B4053" s="1">
        <f t="shared" si="321"/>
        <v>6</v>
      </c>
      <c r="C4053">
        <f t="shared" si="322"/>
        <v>2</v>
      </c>
      <c r="D4053" t="str">
        <f t="shared" si="323"/>
        <v>February</v>
      </c>
      <c r="E4053">
        <f t="shared" si="324"/>
        <v>2028</v>
      </c>
      <c r="F4053" t="str">
        <f>CONCATENATE(calendar[[#This Row],[Month]],"/",calendar[[#This Row],[Year]])</f>
        <v>2/2028</v>
      </c>
      <c r="G4053">
        <f>WEEKDAY(calendar[[#This Row],[Date]],1)</f>
        <v>6</v>
      </c>
      <c r="H4053" t="str">
        <f>TEXT(calendar[[#This Row],[WeekDay]],"dddd")</f>
        <v>Friday</v>
      </c>
      <c r="I4053">
        <f>IF((INT(calendar[[#This Row],[Count]]/7)-calendar[[#This Row],[Count]]/7)&lt;0,I4052,I4052+1)</f>
        <v>579</v>
      </c>
      <c r="J4053">
        <f t="shared" si="325"/>
        <v>4051</v>
      </c>
      <c r="K4053">
        <f>IF(calendar[[#This Row],[Month]]&lt;4,1,IF(calendar[[#This Row],[Month]]&lt;7,2,IF(calendar[[#This Row],[Month]]&lt;10,3,4)))</f>
        <v>1</v>
      </c>
      <c r="L4053">
        <f>IFERROR(IF(VLOOKUP(calendar[[#This Row],[Date]],BH!A:A,1,)&lt;&gt;"",1,0),0)</f>
        <v>0</v>
      </c>
      <c r="M4053">
        <f>IFERROR(IF(VLOOKUP(calendar[[#This Row],[Date]],BH!C:C,1,)&lt;&gt;"",1,0),0)</f>
        <v>0</v>
      </c>
      <c r="N4053">
        <f>IFERROR(IF(VLOOKUP(calendar[[#This Row],[Date]],BH!E:E,1,)&lt;&gt;"",1,0),0)</f>
        <v>0</v>
      </c>
      <c r="O4053">
        <f>IFERROR(IF(VLOOKUP(calendar[[#This Row],[Date]],BH!G:G,1,)&lt;&gt;"",1,0),0)</f>
        <v>0</v>
      </c>
      <c r="P4053">
        <f>IF(OR(calendar[[#This Row],[UK_BH]]=1,calendar[[#This Row],[WeekDay]]=1, calendar[[#This Row],[WeekDay]]=7),P4052,P4052+1)</f>
        <v>2871</v>
      </c>
      <c r="Q4053">
        <f>IF(OR(calendar[[#This Row],[FR_BH]]=1,calendar[[#This Row],[WeekDay]]=1, calendar[[#This Row],[WeekDay]]=7),P4052,P4052+1)</f>
        <v>2871</v>
      </c>
      <c r="R4053">
        <f>IF(OR(calendar[[#This Row],[SP_BH]]=1,calendar[[#This Row],[WeekDay]]=1, calendar[[#This Row],[WeekDay]]=7),P4052,P4052+1)</f>
        <v>2871</v>
      </c>
      <c r="S4053">
        <f>IF(OR(calendar[[#This Row],[PT_BH]]=1,calendar[[#This Row],[WeekDay]]=1, calendar[[#This Row],[WeekDay]]=7),P4052,P4052+1)</f>
        <v>2871</v>
      </c>
    </row>
    <row r="4054" spans="1:19" x14ac:dyDescent="0.25">
      <c r="A4054" s="2">
        <v>46788</v>
      </c>
      <c r="B4054" s="1">
        <f t="shared" si="321"/>
        <v>6</v>
      </c>
      <c r="C4054">
        <f t="shared" si="322"/>
        <v>2</v>
      </c>
      <c r="D4054" t="str">
        <f t="shared" si="323"/>
        <v>February</v>
      </c>
      <c r="E4054">
        <f t="shared" si="324"/>
        <v>2028</v>
      </c>
      <c r="F4054" t="str">
        <f>CONCATENATE(calendar[[#This Row],[Month]],"/",calendar[[#This Row],[Year]])</f>
        <v>2/2028</v>
      </c>
      <c r="G4054">
        <f>WEEKDAY(calendar[[#This Row],[Date]],1)</f>
        <v>7</v>
      </c>
      <c r="H4054" t="str">
        <f>TEXT(calendar[[#This Row],[WeekDay]],"dddd")</f>
        <v>Saturday</v>
      </c>
      <c r="I4054">
        <f>IF((INT(calendar[[#This Row],[Count]]/7)-calendar[[#This Row],[Count]]/7)&lt;0,I4053,I4053+1)</f>
        <v>579</v>
      </c>
      <c r="J4054">
        <f t="shared" si="325"/>
        <v>4052</v>
      </c>
      <c r="K4054">
        <f>IF(calendar[[#This Row],[Month]]&lt;4,1,IF(calendar[[#This Row],[Month]]&lt;7,2,IF(calendar[[#This Row],[Month]]&lt;10,3,4)))</f>
        <v>1</v>
      </c>
      <c r="L4054">
        <f>IFERROR(IF(VLOOKUP(calendar[[#This Row],[Date]],BH!A:A,1,)&lt;&gt;"",1,0),0)</f>
        <v>0</v>
      </c>
      <c r="M4054">
        <f>IFERROR(IF(VLOOKUP(calendar[[#This Row],[Date]],BH!C:C,1,)&lt;&gt;"",1,0),0)</f>
        <v>0</v>
      </c>
      <c r="N4054">
        <f>IFERROR(IF(VLOOKUP(calendar[[#This Row],[Date]],BH!E:E,1,)&lt;&gt;"",1,0),0)</f>
        <v>0</v>
      </c>
      <c r="O4054">
        <f>IFERROR(IF(VLOOKUP(calendar[[#This Row],[Date]],BH!G:G,1,)&lt;&gt;"",1,0),0)</f>
        <v>0</v>
      </c>
      <c r="P4054">
        <f>IF(OR(calendar[[#This Row],[UK_BH]]=1,calendar[[#This Row],[WeekDay]]=1, calendar[[#This Row],[WeekDay]]=7),P4053,P4053+1)</f>
        <v>2871</v>
      </c>
      <c r="Q4054">
        <f>IF(OR(calendar[[#This Row],[FR_BH]]=1,calendar[[#This Row],[WeekDay]]=1, calendar[[#This Row],[WeekDay]]=7),P4053,P4053+1)</f>
        <v>2871</v>
      </c>
      <c r="R4054">
        <f>IF(OR(calendar[[#This Row],[SP_BH]]=1,calendar[[#This Row],[WeekDay]]=1, calendar[[#This Row],[WeekDay]]=7),P4053,P4053+1)</f>
        <v>2871</v>
      </c>
      <c r="S4054">
        <f>IF(OR(calendar[[#This Row],[PT_BH]]=1,calendar[[#This Row],[WeekDay]]=1, calendar[[#This Row],[WeekDay]]=7),P4053,P4053+1)</f>
        <v>2871</v>
      </c>
    </row>
    <row r="4055" spans="1:19" x14ac:dyDescent="0.25">
      <c r="A4055" s="2">
        <v>46789</v>
      </c>
      <c r="B4055" s="1">
        <f t="shared" si="321"/>
        <v>7</v>
      </c>
      <c r="C4055">
        <f t="shared" si="322"/>
        <v>2</v>
      </c>
      <c r="D4055" t="str">
        <f t="shared" si="323"/>
        <v>February</v>
      </c>
      <c r="E4055">
        <f t="shared" si="324"/>
        <v>2028</v>
      </c>
      <c r="F4055" t="str">
        <f>CONCATENATE(calendar[[#This Row],[Month]],"/",calendar[[#This Row],[Year]])</f>
        <v>2/2028</v>
      </c>
      <c r="G4055">
        <f>WEEKDAY(calendar[[#This Row],[Date]],1)</f>
        <v>1</v>
      </c>
      <c r="H4055" t="str">
        <f>TEXT(calendar[[#This Row],[WeekDay]],"dddd")</f>
        <v>Sunday</v>
      </c>
      <c r="I4055">
        <f>IF((INT(calendar[[#This Row],[Count]]/7)-calendar[[#This Row],[Count]]/7)&lt;0,I4054,I4054+1)</f>
        <v>580</v>
      </c>
      <c r="J4055">
        <f t="shared" si="325"/>
        <v>4053</v>
      </c>
      <c r="K4055">
        <f>IF(calendar[[#This Row],[Month]]&lt;4,1,IF(calendar[[#This Row],[Month]]&lt;7,2,IF(calendar[[#This Row],[Month]]&lt;10,3,4)))</f>
        <v>1</v>
      </c>
      <c r="L4055">
        <f>IFERROR(IF(VLOOKUP(calendar[[#This Row],[Date]],BH!A:A,1,)&lt;&gt;"",1,0),0)</f>
        <v>0</v>
      </c>
      <c r="M4055">
        <f>IFERROR(IF(VLOOKUP(calendar[[#This Row],[Date]],BH!C:C,1,)&lt;&gt;"",1,0),0)</f>
        <v>0</v>
      </c>
      <c r="N4055">
        <f>IFERROR(IF(VLOOKUP(calendar[[#This Row],[Date]],BH!E:E,1,)&lt;&gt;"",1,0),0)</f>
        <v>0</v>
      </c>
      <c r="O4055">
        <f>IFERROR(IF(VLOOKUP(calendar[[#This Row],[Date]],BH!G:G,1,)&lt;&gt;"",1,0),0)</f>
        <v>0</v>
      </c>
      <c r="P4055">
        <f>IF(OR(calendar[[#This Row],[UK_BH]]=1,calendar[[#This Row],[WeekDay]]=1, calendar[[#This Row],[WeekDay]]=7),P4054,P4054+1)</f>
        <v>2871</v>
      </c>
      <c r="Q4055">
        <f>IF(OR(calendar[[#This Row],[FR_BH]]=1,calendar[[#This Row],[WeekDay]]=1, calendar[[#This Row],[WeekDay]]=7),P4054,P4054+1)</f>
        <v>2871</v>
      </c>
      <c r="R4055">
        <f>IF(OR(calendar[[#This Row],[SP_BH]]=1,calendar[[#This Row],[WeekDay]]=1, calendar[[#This Row],[WeekDay]]=7),P4054,P4054+1)</f>
        <v>2871</v>
      </c>
      <c r="S4055">
        <f>IF(OR(calendar[[#This Row],[PT_BH]]=1,calendar[[#This Row],[WeekDay]]=1, calendar[[#This Row],[WeekDay]]=7),P4054,P4054+1)</f>
        <v>2871</v>
      </c>
    </row>
    <row r="4056" spans="1:19" x14ac:dyDescent="0.25">
      <c r="A4056" s="2">
        <v>46790</v>
      </c>
      <c r="B4056" s="1">
        <f t="shared" si="321"/>
        <v>7</v>
      </c>
      <c r="C4056">
        <f t="shared" si="322"/>
        <v>2</v>
      </c>
      <c r="D4056" t="str">
        <f t="shared" si="323"/>
        <v>February</v>
      </c>
      <c r="E4056">
        <f t="shared" si="324"/>
        <v>2028</v>
      </c>
      <c r="F4056" t="str">
        <f>CONCATENATE(calendar[[#This Row],[Month]],"/",calendar[[#This Row],[Year]])</f>
        <v>2/2028</v>
      </c>
      <c r="G4056">
        <f>WEEKDAY(calendar[[#This Row],[Date]],1)</f>
        <v>2</v>
      </c>
      <c r="H4056" t="str">
        <f>TEXT(calendar[[#This Row],[WeekDay]],"dddd")</f>
        <v>Monday</v>
      </c>
      <c r="I4056">
        <f>IF((INT(calendar[[#This Row],[Count]]/7)-calendar[[#This Row],[Count]]/7)&lt;0,I4055,I4055+1)</f>
        <v>580</v>
      </c>
      <c r="J4056">
        <f t="shared" si="325"/>
        <v>4054</v>
      </c>
      <c r="K4056">
        <f>IF(calendar[[#This Row],[Month]]&lt;4,1,IF(calendar[[#This Row],[Month]]&lt;7,2,IF(calendar[[#This Row],[Month]]&lt;10,3,4)))</f>
        <v>1</v>
      </c>
      <c r="L4056">
        <f>IFERROR(IF(VLOOKUP(calendar[[#This Row],[Date]],BH!A:A,1,)&lt;&gt;"",1,0),0)</f>
        <v>0</v>
      </c>
      <c r="M4056">
        <f>IFERROR(IF(VLOOKUP(calendar[[#This Row],[Date]],BH!C:C,1,)&lt;&gt;"",1,0),0)</f>
        <v>0</v>
      </c>
      <c r="N4056">
        <f>IFERROR(IF(VLOOKUP(calendar[[#This Row],[Date]],BH!E:E,1,)&lt;&gt;"",1,0),0)</f>
        <v>0</v>
      </c>
      <c r="O4056">
        <f>IFERROR(IF(VLOOKUP(calendar[[#This Row],[Date]],BH!G:G,1,)&lt;&gt;"",1,0),0)</f>
        <v>0</v>
      </c>
      <c r="P4056">
        <f>IF(OR(calendar[[#This Row],[UK_BH]]=1,calendar[[#This Row],[WeekDay]]=1, calendar[[#This Row],[WeekDay]]=7),P4055,P4055+1)</f>
        <v>2872</v>
      </c>
      <c r="Q4056">
        <f>IF(OR(calendar[[#This Row],[FR_BH]]=1,calendar[[#This Row],[WeekDay]]=1, calendar[[#This Row],[WeekDay]]=7),P4055,P4055+1)</f>
        <v>2872</v>
      </c>
      <c r="R4056">
        <f>IF(OR(calendar[[#This Row],[SP_BH]]=1,calendar[[#This Row],[WeekDay]]=1, calendar[[#This Row],[WeekDay]]=7),P4055,P4055+1)</f>
        <v>2872</v>
      </c>
      <c r="S4056">
        <f>IF(OR(calendar[[#This Row],[PT_BH]]=1,calendar[[#This Row],[WeekDay]]=1, calendar[[#This Row],[WeekDay]]=7),P4055,P4055+1)</f>
        <v>2872</v>
      </c>
    </row>
    <row r="4057" spans="1:19" x14ac:dyDescent="0.25">
      <c r="A4057" s="2">
        <v>46791</v>
      </c>
      <c r="B4057" s="1">
        <f t="shared" si="321"/>
        <v>7</v>
      </c>
      <c r="C4057">
        <f t="shared" si="322"/>
        <v>2</v>
      </c>
      <c r="D4057" t="str">
        <f t="shared" si="323"/>
        <v>February</v>
      </c>
      <c r="E4057">
        <f t="shared" si="324"/>
        <v>2028</v>
      </c>
      <c r="F4057" t="str">
        <f>CONCATENATE(calendar[[#This Row],[Month]],"/",calendar[[#This Row],[Year]])</f>
        <v>2/2028</v>
      </c>
      <c r="G4057">
        <f>WEEKDAY(calendar[[#This Row],[Date]],1)</f>
        <v>3</v>
      </c>
      <c r="H4057" t="str">
        <f>TEXT(calendar[[#This Row],[WeekDay]],"dddd")</f>
        <v>Tuesday</v>
      </c>
      <c r="I4057">
        <f>IF((INT(calendar[[#This Row],[Count]]/7)-calendar[[#This Row],[Count]]/7)&lt;0,I4056,I4056+1)</f>
        <v>580</v>
      </c>
      <c r="J4057">
        <f t="shared" si="325"/>
        <v>4055</v>
      </c>
      <c r="K4057">
        <f>IF(calendar[[#This Row],[Month]]&lt;4,1,IF(calendar[[#This Row],[Month]]&lt;7,2,IF(calendar[[#This Row],[Month]]&lt;10,3,4)))</f>
        <v>1</v>
      </c>
      <c r="L4057">
        <f>IFERROR(IF(VLOOKUP(calendar[[#This Row],[Date]],BH!A:A,1,)&lt;&gt;"",1,0),0)</f>
        <v>0</v>
      </c>
      <c r="M4057">
        <f>IFERROR(IF(VLOOKUP(calendar[[#This Row],[Date]],BH!C:C,1,)&lt;&gt;"",1,0),0)</f>
        <v>0</v>
      </c>
      <c r="N4057">
        <f>IFERROR(IF(VLOOKUP(calendar[[#This Row],[Date]],BH!E:E,1,)&lt;&gt;"",1,0),0)</f>
        <v>0</v>
      </c>
      <c r="O4057">
        <f>IFERROR(IF(VLOOKUP(calendar[[#This Row],[Date]],BH!G:G,1,)&lt;&gt;"",1,0),0)</f>
        <v>0</v>
      </c>
      <c r="P4057">
        <f>IF(OR(calendar[[#This Row],[UK_BH]]=1,calendar[[#This Row],[WeekDay]]=1, calendar[[#This Row],[WeekDay]]=7),P4056,P4056+1)</f>
        <v>2873</v>
      </c>
      <c r="Q4057">
        <f>IF(OR(calendar[[#This Row],[FR_BH]]=1,calendar[[#This Row],[WeekDay]]=1, calendar[[#This Row],[WeekDay]]=7),P4056,P4056+1)</f>
        <v>2873</v>
      </c>
      <c r="R4057">
        <f>IF(OR(calendar[[#This Row],[SP_BH]]=1,calendar[[#This Row],[WeekDay]]=1, calendar[[#This Row],[WeekDay]]=7),P4056,P4056+1)</f>
        <v>2873</v>
      </c>
      <c r="S4057">
        <f>IF(OR(calendar[[#This Row],[PT_BH]]=1,calendar[[#This Row],[WeekDay]]=1, calendar[[#This Row],[WeekDay]]=7),P4056,P4056+1)</f>
        <v>2873</v>
      </c>
    </row>
    <row r="4058" spans="1:19" x14ac:dyDescent="0.25">
      <c r="A4058" s="2">
        <v>46792</v>
      </c>
      <c r="B4058" s="1">
        <f t="shared" si="321"/>
        <v>7</v>
      </c>
      <c r="C4058">
        <f t="shared" si="322"/>
        <v>2</v>
      </c>
      <c r="D4058" t="str">
        <f t="shared" si="323"/>
        <v>February</v>
      </c>
      <c r="E4058">
        <f t="shared" si="324"/>
        <v>2028</v>
      </c>
      <c r="F4058" t="str">
        <f>CONCATENATE(calendar[[#This Row],[Month]],"/",calendar[[#This Row],[Year]])</f>
        <v>2/2028</v>
      </c>
      <c r="G4058">
        <f>WEEKDAY(calendar[[#This Row],[Date]],1)</f>
        <v>4</v>
      </c>
      <c r="H4058" t="str">
        <f>TEXT(calendar[[#This Row],[WeekDay]],"dddd")</f>
        <v>Wednesday</v>
      </c>
      <c r="I4058">
        <f>IF((INT(calendar[[#This Row],[Count]]/7)-calendar[[#This Row],[Count]]/7)&lt;0,I4057,I4057+1)</f>
        <v>580</v>
      </c>
      <c r="J4058">
        <f t="shared" si="325"/>
        <v>4056</v>
      </c>
      <c r="K4058">
        <f>IF(calendar[[#This Row],[Month]]&lt;4,1,IF(calendar[[#This Row],[Month]]&lt;7,2,IF(calendar[[#This Row],[Month]]&lt;10,3,4)))</f>
        <v>1</v>
      </c>
      <c r="L4058">
        <f>IFERROR(IF(VLOOKUP(calendar[[#This Row],[Date]],BH!A:A,1,)&lt;&gt;"",1,0),0)</f>
        <v>0</v>
      </c>
      <c r="M4058">
        <f>IFERROR(IF(VLOOKUP(calendar[[#This Row],[Date]],BH!C:C,1,)&lt;&gt;"",1,0),0)</f>
        <v>0</v>
      </c>
      <c r="N4058">
        <f>IFERROR(IF(VLOOKUP(calendar[[#This Row],[Date]],BH!E:E,1,)&lt;&gt;"",1,0),0)</f>
        <v>0</v>
      </c>
      <c r="O4058">
        <f>IFERROR(IF(VLOOKUP(calendar[[#This Row],[Date]],BH!G:G,1,)&lt;&gt;"",1,0),0)</f>
        <v>0</v>
      </c>
      <c r="P4058">
        <f>IF(OR(calendar[[#This Row],[UK_BH]]=1,calendar[[#This Row],[WeekDay]]=1, calendar[[#This Row],[WeekDay]]=7),P4057,P4057+1)</f>
        <v>2874</v>
      </c>
      <c r="Q4058">
        <f>IF(OR(calendar[[#This Row],[FR_BH]]=1,calendar[[#This Row],[WeekDay]]=1, calendar[[#This Row],[WeekDay]]=7),P4057,P4057+1)</f>
        <v>2874</v>
      </c>
      <c r="R4058">
        <f>IF(OR(calendar[[#This Row],[SP_BH]]=1,calendar[[#This Row],[WeekDay]]=1, calendar[[#This Row],[WeekDay]]=7),P4057,P4057+1)</f>
        <v>2874</v>
      </c>
      <c r="S4058">
        <f>IF(OR(calendar[[#This Row],[PT_BH]]=1,calendar[[#This Row],[WeekDay]]=1, calendar[[#This Row],[WeekDay]]=7),P4057,P4057+1)</f>
        <v>2874</v>
      </c>
    </row>
    <row r="4059" spans="1:19" x14ac:dyDescent="0.25">
      <c r="A4059" s="2">
        <v>46793</v>
      </c>
      <c r="B4059" s="1">
        <f t="shared" si="321"/>
        <v>7</v>
      </c>
      <c r="C4059">
        <f t="shared" si="322"/>
        <v>2</v>
      </c>
      <c r="D4059" t="str">
        <f t="shared" si="323"/>
        <v>February</v>
      </c>
      <c r="E4059">
        <f t="shared" si="324"/>
        <v>2028</v>
      </c>
      <c r="F4059" t="str">
        <f>CONCATENATE(calendar[[#This Row],[Month]],"/",calendar[[#This Row],[Year]])</f>
        <v>2/2028</v>
      </c>
      <c r="G4059">
        <f>WEEKDAY(calendar[[#This Row],[Date]],1)</f>
        <v>5</v>
      </c>
      <c r="H4059" t="str">
        <f>TEXT(calendar[[#This Row],[WeekDay]],"dddd")</f>
        <v>Thursday</v>
      </c>
      <c r="I4059">
        <f>IF((INT(calendar[[#This Row],[Count]]/7)-calendar[[#This Row],[Count]]/7)&lt;0,I4058,I4058+1)</f>
        <v>580</v>
      </c>
      <c r="J4059">
        <f t="shared" si="325"/>
        <v>4057</v>
      </c>
      <c r="K4059">
        <f>IF(calendar[[#This Row],[Month]]&lt;4,1,IF(calendar[[#This Row],[Month]]&lt;7,2,IF(calendar[[#This Row],[Month]]&lt;10,3,4)))</f>
        <v>1</v>
      </c>
      <c r="L4059">
        <f>IFERROR(IF(VLOOKUP(calendar[[#This Row],[Date]],BH!A:A,1,)&lt;&gt;"",1,0),0)</f>
        <v>0</v>
      </c>
      <c r="M4059">
        <f>IFERROR(IF(VLOOKUP(calendar[[#This Row],[Date]],BH!C:C,1,)&lt;&gt;"",1,0),0)</f>
        <v>0</v>
      </c>
      <c r="N4059">
        <f>IFERROR(IF(VLOOKUP(calendar[[#This Row],[Date]],BH!E:E,1,)&lt;&gt;"",1,0),0)</f>
        <v>0</v>
      </c>
      <c r="O4059">
        <f>IFERROR(IF(VLOOKUP(calendar[[#This Row],[Date]],BH!G:G,1,)&lt;&gt;"",1,0),0)</f>
        <v>0</v>
      </c>
      <c r="P4059">
        <f>IF(OR(calendar[[#This Row],[UK_BH]]=1,calendar[[#This Row],[WeekDay]]=1, calendar[[#This Row],[WeekDay]]=7),P4058,P4058+1)</f>
        <v>2875</v>
      </c>
      <c r="Q4059">
        <f>IF(OR(calendar[[#This Row],[FR_BH]]=1,calendar[[#This Row],[WeekDay]]=1, calendar[[#This Row],[WeekDay]]=7),P4058,P4058+1)</f>
        <v>2875</v>
      </c>
      <c r="R4059">
        <f>IF(OR(calendar[[#This Row],[SP_BH]]=1,calendar[[#This Row],[WeekDay]]=1, calendar[[#This Row],[WeekDay]]=7),P4058,P4058+1)</f>
        <v>2875</v>
      </c>
      <c r="S4059">
        <f>IF(OR(calendar[[#This Row],[PT_BH]]=1,calendar[[#This Row],[WeekDay]]=1, calendar[[#This Row],[WeekDay]]=7),P4058,P4058+1)</f>
        <v>2875</v>
      </c>
    </row>
    <row r="4060" spans="1:19" x14ac:dyDescent="0.25">
      <c r="A4060" s="2">
        <v>46794</v>
      </c>
      <c r="B4060" s="1">
        <f t="shared" si="321"/>
        <v>7</v>
      </c>
      <c r="C4060">
        <f t="shared" si="322"/>
        <v>2</v>
      </c>
      <c r="D4060" t="str">
        <f t="shared" si="323"/>
        <v>February</v>
      </c>
      <c r="E4060">
        <f t="shared" si="324"/>
        <v>2028</v>
      </c>
      <c r="F4060" t="str">
        <f>CONCATENATE(calendar[[#This Row],[Month]],"/",calendar[[#This Row],[Year]])</f>
        <v>2/2028</v>
      </c>
      <c r="G4060">
        <f>WEEKDAY(calendar[[#This Row],[Date]],1)</f>
        <v>6</v>
      </c>
      <c r="H4060" t="str">
        <f>TEXT(calendar[[#This Row],[WeekDay]],"dddd")</f>
        <v>Friday</v>
      </c>
      <c r="I4060">
        <f>IF((INT(calendar[[#This Row],[Count]]/7)-calendar[[#This Row],[Count]]/7)&lt;0,I4059,I4059+1)</f>
        <v>580</v>
      </c>
      <c r="J4060">
        <f t="shared" si="325"/>
        <v>4058</v>
      </c>
      <c r="K4060">
        <f>IF(calendar[[#This Row],[Month]]&lt;4,1,IF(calendar[[#This Row],[Month]]&lt;7,2,IF(calendar[[#This Row],[Month]]&lt;10,3,4)))</f>
        <v>1</v>
      </c>
      <c r="L4060">
        <f>IFERROR(IF(VLOOKUP(calendar[[#This Row],[Date]],BH!A:A,1,)&lt;&gt;"",1,0),0)</f>
        <v>0</v>
      </c>
      <c r="M4060">
        <f>IFERROR(IF(VLOOKUP(calendar[[#This Row],[Date]],BH!C:C,1,)&lt;&gt;"",1,0),0)</f>
        <v>0</v>
      </c>
      <c r="N4060">
        <f>IFERROR(IF(VLOOKUP(calendar[[#This Row],[Date]],BH!E:E,1,)&lt;&gt;"",1,0),0)</f>
        <v>0</v>
      </c>
      <c r="O4060">
        <f>IFERROR(IF(VLOOKUP(calendar[[#This Row],[Date]],BH!G:G,1,)&lt;&gt;"",1,0),0)</f>
        <v>0</v>
      </c>
      <c r="P4060">
        <f>IF(OR(calendar[[#This Row],[UK_BH]]=1,calendar[[#This Row],[WeekDay]]=1, calendar[[#This Row],[WeekDay]]=7),P4059,P4059+1)</f>
        <v>2876</v>
      </c>
      <c r="Q4060">
        <f>IF(OR(calendar[[#This Row],[FR_BH]]=1,calendar[[#This Row],[WeekDay]]=1, calendar[[#This Row],[WeekDay]]=7),P4059,P4059+1)</f>
        <v>2876</v>
      </c>
      <c r="R4060">
        <f>IF(OR(calendar[[#This Row],[SP_BH]]=1,calendar[[#This Row],[WeekDay]]=1, calendar[[#This Row],[WeekDay]]=7),P4059,P4059+1)</f>
        <v>2876</v>
      </c>
      <c r="S4060">
        <f>IF(OR(calendar[[#This Row],[PT_BH]]=1,calendar[[#This Row],[WeekDay]]=1, calendar[[#This Row],[WeekDay]]=7),P4059,P4059+1)</f>
        <v>2876</v>
      </c>
    </row>
    <row r="4061" spans="1:19" x14ac:dyDescent="0.25">
      <c r="A4061" s="2">
        <v>46795</v>
      </c>
      <c r="B4061" s="1">
        <f t="shared" si="321"/>
        <v>7</v>
      </c>
      <c r="C4061">
        <f t="shared" si="322"/>
        <v>2</v>
      </c>
      <c r="D4061" t="str">
        <f t="shared" si="323"/>
        <v>February</v>
      </c>
      <c r="E4061">
        <f t="shared" si="324"/>
        <v>2028</v>
      </c>
      <c r="F4061" t="str">
        <f>CONCATENATE(calendar[[#This Row],[Month]],"/",calendar[[#This Row],[Year]])</f>
        <v>2/2028</v>
      </c>
      <c r="G4061">
        <f>WEEKDAY(calendar[[#This Row],[Date]],1)</f>
        <v>7</v>
      </c>
      <c r="H4061" t="str">
        <f>TEXT(calendar[[#This Row],[WeekDay]],"dddd")</f>
        <v>Saturday</v>
      </c>
      <c r="I4061">
        <f>IF((INT(calendar[[#This Row],[Count]]/7)-calendar[[#This Row],[Count]]/7)&lt;0,I4060,I4060+1)</f>
        <v>580</v>
      </c>
      <c r="J4061">
        <f t="shared" si="325"/>
        <v>4059</v>
      </c>
      <c r="K4061">
        <f>IF(calendar[[#This Row],[Month]]&lt;4,1,IF(calendar[[#This Row],[Month]]&lt;7,2,IF(calendar[[#This Row],[Month]]&lt;10,3,4)))</f>
        <v>1</v>
      </c>
      <c r="L4061">
        <f>IFERROR(IF(VLOOKUP(calendar[[#This Row],[Date]],BH!A:A,1,)&lt;&gt;"",1,0),0)</f>
        <v>0</v>
      </c>
      <c r="M4061">
        <f>IFERROR(IF(VLOOKUP(calendar[[#This Row],[Date]],BH!C:C,1,)&lt;&gt;"",1,0),0)</f>
        <v>0</v>
      </c>
      <c r="N4061">
        <f>IFERROR(IF(VLOOKUP(calendar[[#This Row],[Date]],BH!E:E,1,)&lt;&gt;"",1,0),0)</f>
        <v>0</v>
      </c>
      <c r="O4061">
        <f>IFERROR(IF(VLOOKUP(calendar[[#This Row],[Date]],BH!G:G,1,)&lt;&gt;"",1,0),0)</f>
        <v>0</v>
      </c>
      <c r="P4061">
        <f>IF(OR(calendar[[#This Row],[UK_BH]]=1,calendar[[#This Row],[WeekDay]]=1, calendar[[#This Row],[WeekDay]]=7),P4060,P4060+1)</f>
        <v>2876</v>
      </c>
      <c r="Q4061">
        <f>IF(OR(calendar[[#This Row],[FR_BH]]=1,calendar[[#This Row],[WeekDay]]=1, calendar[[#This Row],[WeekDay]]=7),P4060,P4060+1)</f>
        <v>2876</v>
      </c>
      <c r="R4061">
        <f>IF(OR(calendar[[#This Row],[SP_BH]]=1,calendar[[#This Row],[WeekDay]]=1, calendar[[#This Row],[WeekDay]]=7),P4060,P4060+1)</f>
        <v>2876</v>
      </c>
      <c r="S4061">
        <f>IF(OR(calendar[[#This Row],[PT_BH]]=1,calendar[[#This Row],[WeekDay]]=1, calendar[[#This Row],[WeekDay]]=7),P4060,P4060+1)</f>
        <v>2876</v>
      </c>
    </row>
    <row r="4062" spans="1:19" x14ac:dyDescent="0.25">
      <c r="A4062" s="2">
        <v>46796</v>
      </c>
      <c r="B4062" s="1">
        <f t="shared" si="321"/>
        <v>8</v>
      </c>
      <c r="C4062">
        <f t="shared" si="322"/>
        <v>2</v>
      </c>
      <c r="D4062" t="str">
        <f t="shared" si="323"/>
        <v>February</v>
      </c>
      <c r="E4062">
        <f t="shared" si="324"/>
        <v>2028</v>
      </c>
      <c r="F4062" t="str">
        <f>CONCATENATE(calendar[[#This Row],[Month]],"/",calendar[[#This Row],[Year]])</f>
        <v>2/2028</v>
      </c>
      <c r="G4062">
        <f>WEEKDAY(calendar[[#This Row],[Date]],1)</f>
        <v>1</v>
      </c>
      <c r="H4062" t="str">
        <f>TEXT(calendar[[#This Row],[WeekDay]],"dddd")</f>
        <v>Sunday</v>
      </c>
      <c r="I4062">
        <f>IF((INT(calendar[[#This Row],[Count]]/7)-calendar[[#This Row],[Count]]/7)&lt;0,I4061,I4061+1)</f>
        <v>581</v>
      </c>
      <c r="J4062">
        <f t="shared" si="325"/>
        <v>4060</v>
      </c>
      <c r="K4062">
        <f>IF(calendar[[#This Row],[Month]]&lt;4,1,IF(calendar[[#This Row],[Month]]&lt;7,2,IF(calendar[[#This Row],[Month]]&lt;10,3,4)))</f>
        <v>1</v>
      </c>
      <c r="L4062">
        <f>IFERROR(IF(VLOOKUP(calendar[[#This Row],[Date]],BH!A:A,1,)&lt;&gt;"",1,0),0)</f>
        <v>0</v>
      </c>
      <c r="M4062">
        <f>IFERROR(IF(VLOOKUP(calendar[[#This Row],[Date]],BH!C:C,1,)&lt;&gt;"",1,0),0)</f>
        <v>0</v>
      </c>
      <c r="N4062">
        <f>IFERROR(IF(VLOOKUP(calendar[[#This Row],[Date]],BH!E:E,1,)&lt;&gt;"",1,0),0)</f>
        <v>0</v>
      </c>
      <c r="O4062">
        <f>IFERROR(IF(VLOOKUP(calendar[[#This Row],[Date]],BH!G:G,1,)&lt;&gt;"",1,0),0)</f>
        <v>0</v>
      </c>
      <c r="P4062">
        <f>IF(OR(calendar[[#This Row],[UK_BH]]=1,calendar[[#This Row],[WeekDay]]=1, calendar[[#This Row],[WeekDay]]=7),P4061,P4061+1)</f>
        <v>2876</v>
      </c>
      <c r="Q4062">
        <f>IF(OR(calendar[[#This Row],[FR_BH]]=1,calendar[[#This Row],[WeekDay]]=1, calendar[[#This Row],[WeekDay]]=7),P4061,P4061+1)</f>
        <v>2876</v>
      </c>
      <c r="R4062">
        <f>IF(OR(calendar[[#This Row],[SP_BH]]=1,calendar[[#This Row],[WeekDay]]=1, calendar[[#This Row],[WeekDay]]=7),P4061,P4061+1)</f>
        <v>2876</v>
      </c>
      <c r="S4062">
        <f>IF(OR(calendar[[#This Row],[PT_BH]]=1,calendar[[#This Row],[WeekDay]]=1, calendar[[#This Row],[WeekDay]]=7),P4061,P4061+1)</f>
        <v>2876</v>
      </c>
    </row>
    <row r="4063" spans="1:19" x14ac:dyDescent="0.25">
      <c r="A4063" s="2">
        <v>46797</v>
      </c>
      <c r="B4063" s="1">
        <f t="shared" si="321"/>
        <v>8</v>
      </c>
      <c r="C4063">
        <f t="shared" si="322"/>
        <v>2</v>
      </c>
      <c r="D4063" t="str">
        <f t="shared" si="323"/>
        <v>February</v>
      </c>
      <c r="E4063">
        <f t="shared" si="324"/>
        <v>2028</v>
      </c>
      <c r="F4063" t="str">
        <f>CONCATENATE(calendar[[#This Row],[Month]],"/",calendar[[#This Row],[Year]])</f>
        <v>2/2028</v>
      </c>
      <c r="G4063">
        <f>WEEKDAY(calendar[[#This Row],[Date]],1)</f>
        <v>2</v>
      </c>
      <c r="H4063" t="str">
        <f>TEXT(calendar[[#This Row],[WeekDay]],"dddd")</f>
        <v>Monday</v>
      </c>
      <c r="I4063">
        <f>IF((INT(calendar[[#This Row],[Count]]/7)-calendar[[#This Row],[Count]]/7)&lt;0,I4062,I4062+1)</f>
        <v>581</v>
      </c>
      <c r="J4063">
        <f t="shared" si="325"/>
        <v>4061</v>
      </c>
      <c r="K4063">
        <f>IF(calendar[[#This Row],[Month]]&lt;4,1,IF(calendar[[#This Row],[Month]]&lt;7,2,IF(calendar[[#This Row],[Month]]&lt;10,3,4)))</f>
        <v>1</v>
      </c>
      <c r="L4063">
        <f>IFERROR(IF(VLOOKUP(calendar[[#This Row],[Date]],BH!A:A,1,)&lt;&gt;"",1,0),0)</f>
        <v>0</v>
      </c>
      <c r="M4063">
        <f>IFERROR(IF(VLOOKUP(calendar[[#This Row],[Date]],BH!C:C,1,)&lt;&gt;"",1,0),0)</f>
        <v>0</v>
      </c>
      <c r="N4063">
        <f>IFERROR(IF(VLOOKUP(calendar[[#This Row],[Date]],BH!E:E,1,)&lt;&gt;"",1,0),0)</f>
        <v>0</v>
      </c>
      <c r="O4063">
        <f>IFERROR(IF(VLOOKUP(calendar[[#This Row],[Date]],BH!G:G,1,)&lt;&gt;"",1,0),0)</f>
        <v>0</v>
      </c>
      <c r="P4063">
        <f>IF(OR(calendar[[#This Row],[UK_BH]]=1,calendar[[#This Row],[WeekDay]]=1, calendar[[#This Row],[WeekDay]]=7),P4062,P4062+1)</f>
        <v>2877</v>
      </c>
      <c r="Q4063">
        <f>IF(OR(calendar[[#This Row],[FR_BH]]=1,calendar[[#This Row],[WeekDay]]=1, calendar[[#This Row],[WeekDay]]=7),P4062,P4062+1)</f>
        <v>2877</v>
      </c>
      <c r="R4063">
        <f>IF(OR(calendar[[#This Row],[SP_BH]]=1,calendar[[#This Row],[WeekDay]]=1, calendar[[#This Row],[WeekDay]]=7),P4062,P4062+1)</f>
        <v>2877</v>
      </c>
      <c r="S4063">
        <f>IF(OR(calendar[[#This Row],[PT_BH]]=1,calendar[[#This Row],[WeekDay]]=1, calendar[[#This Row],[WeekDay]]=7),P4062,P4062+1)</f>
        <v>2877</v>
      </c>
    </row>
    <row r="4064" spans="1:19" x14ac:dyDescent="0.25">
      <c r="A4064" s="2">
        <v>46798</v>
      </c>
      <c r="B4064" s="1">
        <f t="shared" si="321"/>
        <v>8</v>
      </c>
      <c r="C4064">
        <f t="shared" si="322"/>
        <v>2</v>
      </c>
      <c r="D4064" t="str">
        <f t="shared" si="323"/>
        <v>February</v>
      </c>
      <c r="E4064">
        <f t="shared" si="324"/>
        <v>2028</v>
      </c>
      <c r="F4064" t="str">
        <f>CONCATENATE(calendar[[#This Row],[Month]],"/",calendar[[#This Row],[Year]])</f>
        <v>2/2028</v>
      </c>
      <c r="G4064">
        <f>WEEKDAY(calendar[[#This Row],[Date]],1)</f>
        <v>3</v>
      </c>
      <c r="H4064" t="str">
        <f>TEXT(calendar[[#This Row],[WeekDay]],"dddd")</f>
        <v>Tuesday</v>
      </c>
      <c r="I4064">
        <f>IF((INT(calendar[[#This Row],[Count]]/7)-calendar[[#This Row],[Count]]/7)&lt;0,I4063,I4063+1)</f>
        <v>581</v>
      </c>
      <c r="J4064">
        <f t="shared" si="325"/>
        <v>4062</v>
      </c>
      <c r="K4064">
        <f>IF(calendar[[#This Row],[Month]]&lt;4,1,IF(calendar[[#This Row],[Month]]&lt;7,2,IF(calendar[[#This Row],[Month]]&lt;10,3,4)))</f>
        <v>1</v>
      </c>
      <c r="L4064">
        <f>IFERROR(IF(VLOOKUP(calendar[[#This Row],[Date]],BH!A:A,1,)&lt;&gt;"",1,0),0)</f>
        <v>0</v>
      </c>
      <c r="M4064">
        <f>IFERROR(IF(VLOOKUP(calendar[[#This Row],[Date]],BH!C:C,1,)&lt;&gt;"",1,0),0)</f>
        <v>0</v>
      </c>
      <c r="N4064">
        <f>IFERROR(IF(VLOOKUP(calendar[[#This Row],[Date]],BH!E:E,1,)&lt;&gt;"",1,0),0)</f>
        <v>0</v>
      </c>
      <c r="O4064">
        <f>IFERROR(IF(VLOOKUP(calendar[[#This Row],[Date]],BH!G:G,1,)&lt;&gt;"",1,0),0)</f>
        <v>0</v>
      </c>
      <c r="P4064">
        <f>IF(OR(calendar[[#This Row],[UK_BH]]=1,calendar[[#This Row],[WeekDay]]=1, calendar[[#This Row],[WeekDay]]=7),P4063,P4063+1)</f>
        <v>2878</v>
      </c>
      <c r="Q4064">
        <f>IF(OR(calendar[[#This Row],[FR_BH]]=1,calendar[[#This Row],[WeekDay]]=1, calendar[[#This Row],[WeekDay]]=7),P4063,P4063+1)</f>
        <v>2878</v>
      </c>
      <c r="R4064">
        <f>IF(OR(calendar[[#This Row],[SP_BH]]=1,calendar[[#This Row],[WeekDay]]=1, calendar[[#This Row],[WeekDay]]=7),P4063,P4063+1)</f>
        <v>2878</v>
      </c>
      <c r="S4064">
        <f>IF(OR(calendar[[#This Row],[PT_BH]]=1,calendar[[#This Row],[WeekDay]]=1, calendar[[#This Row],[WeekDay]]=7),P4063,P4063+1)</f>
        <v>2878</v>
      </c>
    </row>
    <row r="4065" spans="1:19" x14ac:dyDescent="0.25">
      <c r="A4065" s="2">
        <v>46799</v>
      </c>
      <c r="B4065" s="1">
        <f t="shared" si="321"/>
        <v>8</v>
      </c>
      <c r="C4065">
        <f t="shared" si="322"/>
        <v>2</v>
      </c>
      <c r="D4065" t="str">
        <f t="shared" si="323"/>
        <v>February</v>
      </c>
      <c r="E4065">
        <f t="shared" si="324"/>
        <v>2028</v>
      </c>
      <c r="F4065" t="str">
        <f>CONCATENATE(calendar[[#This Row],[Month]],"/",calendar[[#This Row],[Year]])</f>
        <v>2/2028</v>
      </c>
      <c r="G4065">
        <f>WEEKDAY(calendar[[#This Row],[Date]],1)</f>
        <v>4</v>
      </c>
      <c r="H4065" t="str">
        <f>TEXT(calendar[[#This Row],[WeekDay]],"dddd")</f>
        <v>Wednesday</v>
      </c>
      <c r="I4065">
        <f>IF((INT(calendar[[#This Row],[Count]]/7)-calendar[[#This Row],[Count]]/7)&lt;0,I4064,I4064+1)</f>
        <v>581</v>
      </c>
      <c r="J4065">
        <f t="shared" si="325"/>
        <v>4063</v>
      </c>
      <c r="K4065">
        <f>IF(calendar[[#This Row],[Month]]&lt;4,1,IF(calendar[[#This Row],[Month]]&lt;7,2,IF(calendar[[#This Row],[Month]]&lt;10,3,4)))</f>
        <v>1</v>
      </c>
      <c r="L4065">
        <f>IFERROR(IF(VLOOKUP(calendar[[#This Row],[Date]],BH!A:A,1,)&lt;&gt;"",1,0),0)</f>
        <v>0</v>
      </c>
      <c r="M4065">
        <f>IFERROR(IF(VLOOKUP(calendar[[#This Row],[Date]],BH!C:C,1,)&lt;&gt;"",1,0),0)</f>
        <v>0</v>
      </c>
      <c r="N4065">
        <f>IFERROR(IF(VLOOKUP(calendar[[#This Row],[Date]],BH!E:E,1,)&lt;&gt;"",1,0),0)</f>
        <v>0</v>
      </c>
      <c r="O4065">
        <f>IFERROR(IF(VLOOKUP(calendar[[#This Row],[Date]],BH!G:G,1,)&lt;&gt;"",1,0),0)</f>
        <v>0</v>
      </c>
      <c r="P4065">
        <f>IF(OR(calendar[[#This Row],[UK_BH]]=1,calendar[[#This Row],[WeekDay]]=1, calendar[[#This Row],[WeekDay]]=7),P4064,P4064+1)</f>
        <v>2879</v>
      </c>
      <c r="Q4065">
        <f>IF(OR(calendar[[#This Row],[FR_BH]]=1,calendar[[#This Row],[WeekDay]]=1, calendar[[#This Row],[WeekDay]]=7),P4064,P4064+1)</f>
        <v>2879</v>
      </c>
      <c r="R4065">
        <f>IF(OR(calendar[[#This Row],[SP_BH]]=1,calendar[[#This Row],[WeekDay]]=1, calendar[[#This Row],[WeekDay]]=7),P4064,P4064+1)</f>
        <v>2879</v>
      </c>
      <c r="S4065">
        <f>IF(OR(calendar[[#This Row],[PT_BH]]=1,calendar[[#This Row],[WeekDay]]=1, calendar[[#This Row],[WeekDay]]=7),P4064,P4064+1)</f>
        <v>2879</v>
      </c>
    </row>
    <row r="4066" spans="1:19" x14ac:dyDescent="0.25">
      <c r="A4066" s="2">
        <v>46800</v>
      </c>
      <c r="B4066" s="1">
        <f t="shared" si="321"/>
        <v>8</v>
      </c>
      <c r="C4066">
        <f t="shared" si="322"/>
        <v>2</v>
      </c>
      <c r="D4066" t="str">
        <f t="shared" si="323"/>
        <v>February</v>
      </c>
      <c r="E4066">
        <f t="shared" si="324"/>
        <v>2028</v>
      </c>
      <c r="F4066" t="str">
        <f>CONCATENATE(calendar[[#This Row],[Month]],"/",calendar[[#This Row],[Year]])</f>
        <v>2/2028</v>
      </c>
      <c r="G4066">
        <f>WEEKDAY(calendar[[#This Row],[Date]],1)</f>
        <v>5</v>
      </c>
      <c r="H4066" t="str">
        <f>TEXT(calendar[[#This Row],[WeekDay]],"dddd")</f>
        <v>Thursday</v>
      </c>
      <c r="I4066">
        <f>IF((INT(calendar[[#This Row],[Count]]/7)-calendar[[#This Row],[Count]]/7)&lt;0,I4065,I4065+1)</f>
        <v>581</v>
      </c>
      <c r="J4066">
        <f t="shared" si="325"/>
        <v>4064</v>
      </c>
      <c r="K4066">
        <f>IF(calendar[[#This Row],[Month]]&lt;4,1,IF(calendar[[#This Row],[Month]]&lt;7,2,IF(calendar[[#This Row],[Month]]&lt;10,3,4)))</f>
        <v>1</v>
      </c>
      <c r="L4066">
        <f>IFERROR(IF(VLOOKUP(calendar[[#This Row],[Date]],BH!A:A,1,)&lt;&gt;"",1,0),0)</f>
        <v>0</v>
      </c>
      <c r="M4066">
        <f>IFERROR(IF(VLOOKUP(calendar[[#This Row],[Date]],BH!C:C,1,)&lt;&gt;"",1,0),0)</f>
        <v>0</v>
      </c>
      <c r="N4066">
        <f>IFERROR(IF(VLOOKUP(calendar[[#This Row],[Date]],BH!E:E,1,)&lt;&gt;"",1,0),0)</f>
        <v>0</v>
      </c>
      <c r="O4066">
        <f>IFERROR(IF(VLOOKUP(calendar[[#This Row],[Date]],BH!G:G,1,)&lt;&gt;"",1,0),0)</f>
        <v>0</v>
      </c>
      <c r="P4066">
        <f>IF(OR(calendar[[#This Row],[UK_BH]]=1,calendar[[#This Row],[WeekDay]]=1, calendar[[#This Row],[WeekDay]]=7),P4065,P4065+1)</f>
        <v>2880</v>
      </c>
      <c r="Q4066">
        <f>IF(OR(calendar[[#This Row],[FR_BH]]=1,calendar[[#This Row],[WeekDay]]=1, calendar[[#This Row],[WeekDay]]=7),P4065,P4065+1)</f>
        <v>2880</v>
      </c>
      <c r="R4066">
        <f>IF(OR(calendar[[#This Row],[SP_BH]]=1,calendar[[#This Row],[WeekDay]]=1, calendar[[#This Row],[WeekDay]]=7),P4065,P4065+1)</f>
        <v>2880</v>
      </c>
      <c r="S4066">
        <f>IF(OR(calendar[[#This Row],[PT_BH]]=1,calendar[[#This Row],[WeekDay]]=1, calendar[[#This Row],[WeekDay]]=7),P4065,P4065+1)</f>
        <v>2880</v>
      </c>
    </row>
    <row r="4067" spans="1:19" x14ac:dyDescent="0.25">
      <c r="A4067" s="2">
        <v>46801</v>
      </c>
      <c r="B4067" s="1">
        <f t="shared" si="321"/>
        <v>8</v>
      </c>
      <c r="C4067">
        <f t="shared" si="322"/>
        <v>2</v>
      </c>
      <c r="D4067" t="str">
        <f t="shared" si="323"/>
        <v>February</v>
      </c>
      <c r="E4067">
        <f t="shared" si="324"/>
        <v>2028</v>
      </c>
      <c r="F4067" t="str">
        <f>CONCATENATE(calendar[[#This Row],[Month]],"/",calendar[[#This Row],[Year]])</f>
        <v>2/2028</v>
      </c>
      <c r="G4067">
        <f>WEEKDAY(calendar[[#This Row],[Date]],1)</f>
        <v>6</v>
      </c>
      <c r="H4067" t="str">
        <f>TEXT(calendar[[#This Row],[WeekDay]],"dddd")</f>
        <v>Friday</v>
      </c>
      <c r="I4067">
        <f>IF((INT(calendar[[#This Row],[Count]]/7)-calendar[[#This Row],[Count]]/7)&lt;0,I4066,I4066+1)</f>
        <v>581</v>
      </c>
      <c r="J4067">
        <f t="shared" si="325"/>
        <v>4065</v>
      </c>
      <c r="K4067">
        <f>IF(calendar[[#This Row],[Month]]&lt;4,1,IF(calendar[[#This Row],[Month]]&lt;7,2,IF(calendar[[#This Row],[Month]]&lt;10,3,4)))</f>
        <v>1</v>
      </c>
      <c r="L4067">
        <f>IFERROR(IF(VLOOKUP(calendar[[#This Row],[Date]],BH!A:A,1,)&lt;&gt;"",1,0),0)</f>
        <v>0</v>
      </c>
      <c r="M4067">
        <f>IFERROR(IF(VLOOKUP(calendar[[#This Row],[Date]],BH!C:C,1,)&lt;&gt;"",1,0),0)</f>
        <v>0</v>
      </c>
      <c r="N4067">
        <f>IFERROR(IF(VLOOKUP(calendar[[#This Row],[Date]],BH!E:E,1,)&lt;&gt;"",1,0),0)</f>
        <v>0</v>
      </c>
      <c r="O4067">
        <f>IFERROR(IF(VLOOKUP(calendar[[#This Row],[Date]],BH!G:G,1,)&lt;&gt;"",1,0),0)</f>
        <v>0</v>
      </c>
      <c r="P4067">
        <f>IF(OR(calendar[[#This Row],[UK_BH]]=1,calendar[[#This Row],[WeekDay]]=1, calendar[[#This Row],[WeekDay]]=7),P4066,P4066+1)</f>
        <v>2881</v>
      </c>
      <c r="Q4067">
        <f>IF(OR(calendar[[#This Row],[FR_BH]]=1,calendar[[#This Row],[WeekDay]]=1, calendar[[#This Row],[WeekDay]]=7),P4066,P4066+1)</f>
        <v>2881</v>
      </c>
      <c r="R4067">
        <f>IF(OR(calendar[[#This Row],[SP_BH]]=1,calendar[[#This Row],[WeekDay]]=1, calendar[[#This Row],[WeekDay]]=7),P4066,P4066+1)</f>
        <v>2881</v>
      </c>
      <c r="S4067">
        <f>IF(OR(calendar[[#This Row],[PT_BH]]=1,calendar[[#This Row],[WeekDay]]=1, calendar[[#This Row],[WeekDay]]=7),P4066,P4066+1)</f>
        <v>2881</v>
      </c>
    </row>
    <row r="4068" spans="1:19" x14ac:dyDescent="0.25">
      <c r="A4068" s="2">
        <v>46802</v>
      </c>
      <c r="B4068" s="1">
        <f t="shared" si="321"/>
        <v>8</v>
      </c>
      <c r="C4068">
        <f t="shared" si="322"/>
        <v>2</v>
      </c>
      <c r="D4068" t="str">
        <f t="shared" si="323"/>
        <v>February</v>
      </c>
      <c r="E4068">
        <f t="shared" si="324"/>
        <v>2028</v>
      </c>
      <c r="F4068" t="str">
        <f>CONCATENATE(calendar[[#This Row],[Month]],"/",calendar[[#This Row],[Year]])</f>
        <v>2/2028</v>
      </c>
      <c r="G4068">
        <f>WEEKDAY(calendar[[#This Row],[Date]],1)</f>
        <v>7</v>
      </c>
      <c r="H4068" t="str">
        <f>TEXT(calendar[[#This Row],[WeekDay]],"dddd")</f>
        <v>Saturday</v>
      </c>
      <c r="I4068">
        <f>IF((INT(calendar[[#This Row],[Count]]/7)-calendar[[#This Row],[Count]]/7)&lt;0,I4067,I4067+1)</f>
        <v>581</v>
      </c>
      <c r="J4068">
        <f t="shared" si="325"/>
        <v>4066</v>
      </c>
      <c r="K4068">
        <f>IF(calendar[[#This Row],[Month]]&lt;4,1,IF(calendar[[#This Row],[Month]]&lt;7,2,IF(calendar[[#This Row],[Month]]&lt;10,3,4)))</f>
        <v>1</v>
      </c>
      <c r="L4068">
        <f>IFERROR(IF(VLOOKUP(calendar[[#This Row],[Date]],BH!A:A,1,)&lt;&gt;"",1,0),0)</f>
        <v>0</v>
      </c>
      <c r="M4068">
        <f>IFERROR(IF(VLOOKUP(calendar[[#This Row],[Date]],BH!C:C,1,)&lt;&gt;"",1,0),0)</f>
        <v>0</v>
      </c>
      <c r="N4068">
        <f>IFERROR(IF(VLOOKUP(calendar[[#This Row],[Date]],BH!E:E,1,)&lt;&gt;"",1,0),0)</f>
        <v>0</v>
      </c>
      <c r="O4068">
        <f>IFERROR(IF(VLOOKUP(calendar[[#This Row],[Date]],BH!G:G,1,)&lt;&gt;"",1,0),0)</f>
        <v>0</v>
      </c>
      <c r="P4068">
        <f>IF(OR(calendar[[#This Row],[UK_BH]]=1,calendar[[#This Row],[WeekDay]]=1, calendar[[#This Row],[WeekDay]]=7),P4067,P4067+1)</f>
        <v>2881</v>
      </c>
      <c r="Q4068">
        <f>IF(OR(calendar[[#This Row],[FR_BH]]=1,calendar[[#This Row],[WeekDay]]=1, calendar[[#This Row],[WeekDay]]=7),P4067,P4067+1)</f>
        <v>2881</v>
      </c>
      <c r="R4068">
        <f>IF(OR(calendar[[#This Row],[SP_BH]]=1,calendar[[#This Row],[WeekDay]]=1, calendar[[#This Row],[WeekDay]]=7),P4067,P4067+1)</f>
        <v>2881</v>
      </c>
      <c r="S4068">
        <f>IF(OR(calendar[[#This Row],[PT_BH]]=1,calendar[[#This Row],[WeekDay]]=1, calendar[[#This Row],[WeekDay]]=7),P4067,P4067+1)</f>
        <v>2881</v>
      </c>
    </row>
    <row r="4069" spans="1:19" x14ac:dyDescent="0.25">
      <c r="A4069" s="2">
        <v>46803</v>
      </c>
      <c r="B4069" s="1">
        <f t="shared" si="321"/>
        <v>9</v>
      </c>
      <c r="C4069">
        <f t="shared" si="322"/>
        <v>2</v>
      </c>
      <c r="D4069" t="str">
        <f t="shared" si="323"/>
        <v>February</v>
      </c>
      <c r="E4069">
        <f t="shared" si="324"/>
        <v>2028</v>
      </c>
      <c r="F4069" t="str">
        <f>CONCATENATE(calendar[[#This Row],[Month]],"/",calendar[[#This Row],[Year]])</f>
        <v>2/2028</v>
      </c>
      <c r="G4069">
        <f>WEEKDAY(calendar[[#This Row],[Date]],1)</f>
        <v>1</v>
      </c>
      <c r="H4069" t="str">
        <f>TEXT(calendar[[#This Row],[WeekDay]],"dddd")</f>
        <v>Sunday</v>
      </c>
      <c r="I4069">
        <f>IF((INT(calendar[[#This Row],[Count]]/7)-calendar[[#This Row],[Count]]/7)&lt;0,I4068,I4068+1)</f>
        <v>582</v>
      </c>
      <c r="J4069">
        <f t="shared" si="325"/>
        <v>4067</v>
      </c>
      <c r="K4069">
        <f>IF(calendar[[#This Row],[Month]]&lt;4,1,IF(calendar[[#This Row],[Month]]&lt;7,2,IF(calendar[[#This Row],[Month]]&lt;10,3,4)))</f>
        <v>1</v>
      </c>
      <c r="L4069">
        <f>IFERROR(IF(VLOOKUP(calendar[[#This Row],[Date]],BH!A:A,1,)&lt;&gt;"",1,0),0)</f>
        <v>0</v>
      </c>
      <c r="M4069">
        <f>IFERROR(IF(VLOOKUP(calendar[[#This Row],[Date]],BH!C:C,1,)&lt;&gt;"",1,0),0)</f>
        <v>0</v>
      </c>
      <c r="N4069">
        <f>IFERROR(IF(VLOOKUP(calendar[[#This Row],[Date]],BH!E:E,1,)&lt;&gt;"",1,0),0)</f>
        <v>0</v>
      </c>
      <c r="O4069">
        <f>IFERROR(IF(VLOOKUP(calendar[[#This Row],[Date]],BH!G:G,1,)&lt;&gt;"",1,0),0)</f>
        <v>0</v>
      </c>
      <c r="P4069">
        <f>IF(OR(calendar[[#This Row],[UK_BH]]=1,calendar[[#This Row],[WeekDay]]=1, calendar[[#This Row],[WeekDay]]=7),P4068,P4068+1)</f>
        <v>2881</v>
      </c>
      <c r="Q4069">
        <f>IF(OR(calendar[[#This Row],[FR_BH]]=1,calendar[[#This Row],[WeekDay]]=1, calendar[[#This Row],[WeekDay]]=7),P4068,P4068+1)</f>
        <v>2881</v>
      </c>
      <c r="R4069">
        <f>IF(OR(calendar[[#This Row],[SP_BH]]=1,calendar[[#This Row],[WeekDay]]=1, calendar[[#This Row],[WeekDay]]=7),P4068,P4068+1)</f>
        <v>2881</v>
      </c>
      <c r="S4069">
        <f>IF(OR(calendar[[#This Row],[PT_BH]]=1,calendar[[#This Row],[WeekDay]]=1, calendar[[#This Row],[WeekDay]]=7),P4068,P4068+1)</f>
        <v>2881</v>
      </c>
    </row>
    <row r="4070" spans="1:19" x14ac:dyDescent="0.25">
      <c r="A4070" s="2">
        <v>46804</v>
      </c>
      <c r="B4070" s="1">
        <f t="shared" si="321"/>
        <v>9</v>
      </c>
      <c r="C4070">
        <f t="shared" si="322"/>
        <v>2</v>
      </c>
      <c r="D4070" t="str">
        <f t="shared" si="323"/>
        <v>February</v>
      </c>
      <c r="E4070">
        <f t="shared" si="324"/>
        <v>2028</v>
      </c>
      <c r="F4070" t="str">
        <f>CONCATENATE(calendar[[#This Row],[Month]],"/",calendar[[#This Row],[Year]])</f>
        <v>2/2028</v>
      </c>
      <c r="G4070">
        <f>WEEKDAY(calendar[[#This Row],[Date]],1)</f>
        <v>2</v>
      </c>
      <c r="H4070" t="str">
        <f>TEXT(calendar[[#This Row],[WeekDay]],"dddd")</f>
        <v>Monday</v>
      </c>
      <c r="I4070">
        <f>IF((INT(calendar[[#This Row],[Count]]/7)-calendar[[#This Row],[Count]]/7)&lt;0,I4069,I4069+1)</f>
        <v>582</v>
      </c>
      <c r="J4070">
        <f t="shared" si="325"/>
        <v>4068</v>
      </c>
      <c r="K4070">
        <f>IF(calendar[[#This Row],[Month]]&lt;4,1,IF(calendar[[#This Row],[Month]]&lt;7,2,IF(calendar[[#This Row],[Month]]&lt;10,3,4)))</f>
        <v>1</v>
      </c>
      <c r="L4070">
        <f>IFERROR(IF(VLOOKUP(calendar[[#This Row],[Date]],BH!A:A,1,)&lt;&gt;"",1,0),0)</f>
        <v>0</v>
      </c>
      <c r="M4070">
        <f>IFERROR(IF(VLOOKUP(calendar[[#This Row],[Date]],BH!C:C,1,)&lt;&gt;"",1,0),0)</f>
        <v>0</v>
      </c>
      <c r="N4070">
        <f>IFERROR(IF(VLOOKUP(calendar[[#This Row],[Date]],BH!E:E,1,)&lt;&gt;"",1,0),0)</f>
        <v>0</v>
      </c>
      <c r="O4070">
        <f>IFERROR(IF(VLOOKUP(calendar[[#This Row],[Date]],BH!G:G,1,)&lt;&gt;"",1,0),0)</f>
        <v>0</v>
      </c>
      <c r="P4070">
        <f>IF(OR(calendar[[#This Row],[UK_BH]]=1,calendar[[#This Row],[WeekDay]]=1, calendar[[#This Row],[WeekDay]]=7),P4069,P4069+1)</f>
        <v>2882</v>
      </c>
      <c r="Q4070">
        <f>IF(OR(calendar[[#This Row],[FR_BH]]=1,calendar[[#This Row],[WeekDay]]=1, calendar[[#This Row],[WeekDay]]=7),P4069,P4069+1)</f>
        <v>2882</v>
      </c>
      <c r="R4070">
        <f>IF(OR(calendar[[#This Row],[SP_BH]]=1,calendar[[#This Row],[WeekDay]]=1, calendar[[#This Row],[WeekDay]]=7),P4069,P4069+1)</f>
        <v>2882</v>
      </c>
      <c r="S4070">
        <f>IF(OR(calendar[[#This Row],[PT_BH]]=1,calendar[[#This Row],[WeekDay]]=1, calendar[[#This Row],[WeekDay]]=7),P4069,P4069+1)</f>
        <v>2882</v>
      </c>
    </row>
    <row r="4071" spans="1:19" x14ac:dyDescent="0.25">
      <c r="A4071" s="2">
        <v>46805</v>
      </c>
      <c r="B4071" s="1">
        <f t="shared" si="321"/>
        <v>9</v>
      </c>
      <c r="C4071">
        <f t="shared" si="322"/>
        <v>2</v>
      </c>
      <c r="D4071" t="str">
        <f t="shared" si="323"/>
        <v>February</v>
      </c>
      <c r="E4071">
        <f t="shared" si="324"/>
        <v>2028</v>
      </c>
      <c r="F4071" t="str">
        <f>CONCATENATE(calendar[[#This Row],[Month]],"/",calendar[[#This Row],[Year]])</f>
        <v>2/2028</v>
      </c>
      <c r="G4071">
        <f>WEEKDAY(calendar[[#This Row],[Date]],1)</f>
        <v>3</v>
      </c>
      <c r="H4071" t="str">
        <f>TEXT(calendar[[#This Row],[WeekDay]],"dddd")</f>
        <v>Tuesday</v>
      </c>
      <c r="I4071">
        <f>IF((INT(calendar[[#This Row],[Count]]/7)-calendar[[#This Row],[Count]]/7)&lt;0,I4070,I4070+1)</f>
        <v>582</v>
      </c>
      <c r="J4071">
        <f t="shared" si="325"/>
        <v>4069</v>
      </c>
      <c r="K4071">
        <f>IF(calendar[[#This Row],[Month]]&lt;4,1,IF(calendar[[#This Row],[Month]]&lt;7,2,IF(calendar[[#This Row],[Month]]&lt;10,3,4)))</f>
        <v>1</v>
      </c>
      <c r="L4071">
        <f>IFERROR(IF(VLOOKUP(calendar[[#This Row],[Date]],BH!A:A,1,)&lt;&gt;"",1,0),0)</f>
        <v>0</v>
      </c>
      <c r="M4071">
        <f>IFERROR(IF(VLOOKUP(calendar[[#This Row],[Date]],BH!C:C,1,)&lt;&gt;"",1,0),0)</f>
        <v>0</v>
      </c>
      <c r="N4071">
        <f>IFERROR(IF(VLOOKUP(calendar[[#This Row],[Date]],BH!E:E,1,)&lt;&gt;"",1,0),0)</f>
        <v>0</v>
      </c>
      <c r="O4071">
        <f>IFERROR(IF(VLOOKUP(calendar[[#This Row],[Date]],BH!G:G,1,)&lt;&gt;"",1,0),0)</f>
        <v>0</v>
      </c>
      <c r="P4071">
        <f>IF(OR(calendar[[#This Row],[UK_BH]]=1,calendar[[#This Row],[WeekDay]]=1, calendar[[#This Row],[WeekDay]]=7),P4070,P4070+1)</f>
        <v>2883</v>
      </c>
      <c r="Q4071">
        <f>IF(OR(calendar[[#This Row],[FR_BH]]=1,calendar[[#This Row],[WeekDay]]=1, calendar[[#This Row],[WeekDay]]=7),P4070,P4070+1)</f>
        <v>2883</v>
      </c>
      <c r="R4071">
        <f>IF(OR(calendar[[#This Row],[SP_BH]]=1,calendar[[#This Row],[WeekDay]]=1, calendar[[#This Row],[WeekDay]]=7),P4070,P4070+1)</f>
        <v>2883</v>
      </c>
      <c r="S4071">
        <f>IF(OR(calendar[[#This Row],[PT_BH]]=1,calendar[[#This Row],[WeekDay]]=1, calendar[[#This Row],[WeekDay]]=7),P4070,P4070+1)</f>
        <v>2883</v>
      </c>
    </row>
    <row r="4072" spans="1:19" x14ac:dyDescent="0.25">
      <c r="A4072" s="2">
        <v>46806</v>
      </c>
      <c r="B4072" s="1">
        <f t="shared" si="321"/>
        <v>9</v>
      </c>
      <c r="C4072">
        <f t="shared" si="322"/>
        <v>2</v>
      </c>
      <c r="D4072" t="str">
        <f t="shared" si="323"/>
        <v>February</v>
      </c>
      <c r="E4072">
        <f t="shared" si="324"/>
        <v>2028</v>
      </c>
      <c r="F4072" t="str">
        <f>CONCATENATE(calendar[[#This Row],[Month]],"/",calendar[[#This Row],[Year]])</f>
        <v>2/2028</v>
      </c>
      <c r="G4072">
        <f>WEEKDAY(calendar[[#This Row],[Date]],1)</f>
        <v>4</v>
      </c>
      <c r="H4072" t="str">
        <f>TEXT(calendar[[#This Row],[WeekDay]],"dddd")</f>
        <v>Wednesday</v>
      </c>
      <c r="I4072">
        <f>IF((INT(calendar[[#This Row],[Count]]/7)-calendar[[#This Row],[Count]]/7)&lt;0,I4071,I4071+1)</f>
        <v>582</v>
      </c>
      <c r="J4072">
        <f t="shared" si="325"/>
        <v>4070</v>
      </c>
      <c r="K4072">
        <f>IF(calendar[[#This Row],[Month]]&lt;4,1,IF(calendar[[#This Row],[Month]]&lt;7,2,IF(calendar[[#This Row],[Month]]&lt;10,3,4)))</f>
        <v>1</v>
      </c>
      <c r="L4072">
        <f>IFERROR(IF(VLOOKUP(calendar[[#This Row],[Date]],BH!A:A,1,)&lt;&gt;"",1,0),0)</f>
        <v>0</v>
      </c>
      <c r="M4072">
        <f>IFERROR(IF(VLOOKUP(calendar[[#This Row],[Date]],BH!C:C,1,)&lt;&gt;"",1,0),0)</f>
        <v>0</v>
      </c>
      <c r="N4072">
        <f>IFERROR(IF(VLOOKUP(calendar[[#This Row],[Date]],BH!E:E,1,)&lt;&gt;"",1,0),0)</f>
        <v>0</v>
      </c>
      <c r="O4072">
        <f>IFERROR(IF(VLOOKUP(calendar[[#This Row],[Date]],BH!G:G,1,)&lt;&gt;"",1,0),0)</f>
        <v>0</v>
      </c>
      <c r="P4072">
        <f>IF(OR(calendar[[#This Row],[UK_BH]]=1,calendar[[#This Row],[WeekDay]]=1, calendar[[#This Row],[WeekDay]]=7),P4071,P4071+1)</f>
        <v>2884</v>
      </c>
      <c r="Q4072">
        <f>IF(OR(calendar[[#This Row],[FR_BH]]=1,calendar[[#This Row],[WeekDay]]=1, calendar[[#This Row],[WeekDay]]=7),P4071,P4071+1)</f>
        <v>2884</v>
      </c>
      <c r="R4072">
        <f>IF(OR(calendar[[#This Row],[SP_BH]]=1,calendar[[#This Row],[WeekDay]]=1, calendar[[#This Row],[WeekDay]]=7),P4071,P4071+1)</f>
        <v>2884</v>
      </c>
      <c r="S4072">
        <f>IF(OR(calendar[[#This Row],[PT_BH]]=1,calendar[[#This Row],[WeekDay]]=1, calendar[[#This Row],[WeekDay]]=7),P4071,P4071+1)</f>
        <v>2884</v>
      </c>
    </row>
    <row r="4073" spans="1:19" x14ac:dyDescent="0.25">
      <c r="A4073" s="2">
        <v>46807</v>
      </c>
      <c r="B4073" s="1">
        <f t="shared" si="321"/>
        <v>9</v>
      </c>
      <c r="C4073">
        <f t="shared" si="322"/>
        <v>2</v>
      </c>
      <c r="D4073" t="str">
        <f t="shared" si="323"/>
        <v>February</v>
      </c>
      <c r="E4073">
        <f t="shared" si="324"/>
        <v>2028</v>
      </c>
      <c r="F4073" t="str">
        <f>CONCATENATE(calendar[[#This Row],[Month]],"/",calendar[[#This Row],[Year]])</f>
        <v>2/2028</v>
      </c>
      <c r="G4073">
        <f>WEEKDAY(calendar[[#This Row],[Date]],1)</f>
        <v>5</v>
      </c>
      <c r="H4073" t="str">
        <f>TEXT(calendar[[#This Row],[WeekDay]],"dddd")</f>
        <v>Thursday</v>
      </c>
      <c r="I4073">
        <f>IF((INT(calendar[[#This Row],[Count]]/7)-calendar[[#This Row],[Count]]/7)&lt;0,I4072,I4072+1)</f>
        <v>582</v>
      </c>
      <c r="J4073">
        <f t="shared" si="325"/>
        <v>4071</v>
      </c>
      <c r="K4073">
        <f>IF(calendar[[#This Row],[Month]]&lt;4,1,IF(calendar[[#This Row],[Month]]&lt;7,2,IF(calendar[[#This Row],[Month]]&lt;10,3,4)))</f>
        <v>1</v>
      </c>
      <c r="L4073">
        <f>IFERROR(IF(VLOOKUP(calendar[[#This Row],[Date]],BH!A:A,1,)&lt;&gt;"",1,0),0)</f>
        <v>0</v>
      </c>
      <c r="M4073">
        <f>IFERROR(IF(VLOOKUP(calendar[[#This Row],[Date]],BH!C:C,1,)&lt;&gt;"",1,0),0)</f>
        <v>0</v>
      </c>
      <c r="N4073">
        <f>IFERROR(IF(VLOOKUP(calendar[[#This Row],[Date]],BH!E:E,1,)&lt;&gt;"",1,0),0)</f>
        <v>0</v>
      </c>
      <c r="O4073">
        <f>IFERROR(IF(VLOOKUP(calendar[[#This Row],[Date]],BH!G:G,1,)&lt;&gt;"",1,0),0)</f>
        <v>0</v>
      </c>
      <c r="P4073">
        <f>IF(OR(calendar[[#This Row],[UK_BH]]=1,calendar[[#This Row],[WeekDay]]=1, calendar[[#This Row],[WeekDay]]=7),P4072,P4072+1)</f>
        <v>2885</v>
      </c>
      <c r="Q4073">
        <f>IF(OR(calendar[[#This Row],[FR_BH]]=1,calendar[[#This Row],[WeekDay]]=1, calendar[[#This Row],[WeekDay]]=7),P4072,P4072+1)</f>
        <v>2885</v>
      </c>
      <c r="R4073">
        <f>IF(OR(calendar[[#This Row],[SP_BH]]=1,calendar[[#This Row],[WeekDay]]=1, calendar[[#This Row],[WeekDay]]=7),P4072,P4072+1)</f>
        <v>2885</v>
      </c>
      <c r="S4073">
        <f>IF(OR(calendar[[#This Row],[PT_BH]]=1,calendar[[#This Row],[WeekDay]]=1, calendar[[#This Row],[WeekDay]]=7),P4072,P4072+1)</f>
        <v>2885</v>
      </c>
    </row>
    <row r="4074" spans="1:19" x14ac:dyDescent="0.25">
      <c r="A4074" s="2">
        <v>46808</v>
      </c>
      <c r="B4074" s="1">
        <f t="shared" si="321"/>
        <v>9</v>
      </c>
      <c r="C4074">
        <f t="shared" si="322"/>
        <v>2</v>
      </c>
      <c r="D4074" t="str">
        <f t="shared" si="323"/>
        <v>February</v>
      </c>
      <c r="E4074">
        <f t="shared" si="324"/>
        <v>2028</v>
      </c>
      <c r="F4074" t="str">
        <f>CONCATENATE(calendar[[#This Row],[Month]],"/",calendar[[#This Row],[Year]])</f>
        <v>2/2028</v>
      </c>
      <c r="G4074">
        <f>WEEKDAY(calendar[[#This Row],[Date]],1)</f>
        <v>6</v>
      </c>
      <c r="H4074" t="str">
        <f>TEXT(calendar[[#This Row],[WeekDay]],"dddd")</f>
        <v>Friday</v>
      </c>
      <c r="I4074">
        <f>IF((INT(calendar[[#This Row],[Count]]/7)-calendar[[#This Row],[Count]]/7)&lt;0,I4073,I4073+1)</f>
        <v>582</v>
      </c>
      <c r="J4074">
        <f t="shared" si="325"/>
        <v>4072</v>
      </c>
      <c r="K4074">
        <f>IF(calendar[[#This Row],[Month]]&lt;4,1,IF(calendar[[#This Row],[Month]]&lt;7,2,IF(calendar[[#This Row],[Month]]&lt;10,3,4)))</f>
        <v>1</v>
      </c>
      <c r="L4074">
        <f>IFERROR(IF(VLOOKUP(calendar[[#This Row],[Date]],BH!A:A,1,)&lt;&gt;"",1,0),0)</f>
        <v>0</v>
      </c>
      <c r="M4074">
        <f>IFERROR(IF(VLOOKUP(calendar[[#This Row],[Date]],BH!C:C,1,)&lt;&gt;"",1,0),0)</f>
        <v>0</v>
      </c>
      <c r="N4074">
        <f>IFERROR(IF(VLOOKUP(calendar[[#This Row],[Date]],BH!E:E,1,)&lt;&gt;"",1,0),0)</f>
        <v>0</v>
      </c>
      <c r="O4074">
        <f>IFERROR(IF(VLOOKUP(calendar[[#This Row],[Date]],BH!G:G,1,)&lt;&gt;"",1,0),0)</f>
        <v>0</v>
      </c>
      <c r="P4074">
        <f>IF(OR(calendar[[#This Row],[UK_BH]]=1,calendar[[#This Row],[WeekDay]]=1, calendar[[#This Row],[WeekDay]]=7),P4073,P4073+1)</f>
        <v>2886</v>
      </c>
      <c r="Q4074">
        <f>IF(OR(calendar[[#This Row],[FR_BH]]=1,calendar[[#This Row],[WeekDay]]=1, calendar[[#This Row],[WeekDay]]=7),P4073,P4073+1)</f>
        <v>2886</v>
      </c>
      <c r="R4074">
        <f>IF(OR(calendar[[#This Row],[SP_BH]]=1,calendar[[#This Row],[WeekDay]]=1, calendar[[#This Row],[WeekDay]]=7),P4073,P4073+1)</f>
        <v>2886</v>
      </c>
      <c r="S4074">
        <f>IF(OR(calendar[[#This Row],[PT_BH]]=1,calendar[[#This Row],[WeekDay]]=1, calendar[[#This Row],[WeekDay]]=7),P4073,P4073+1)</f>
        <v>2886</v>
      </c>
    </row>
    <row r="4075" spans="1:19" x14ac:dyDescent="0.25">
      <c r="A4075" s="2">
        <v>46809</v>
      </c>
      <c r="B4075" s="1">
        <f t="shared" si="321"/>
        <v>9</v>
      </c>
      <c r="C4075">
        <f t="shared" si="322"/>
        <v>2</v>
      </c>
      <c r="D4075" t="str">
        <f t="shared" si="323"/>
        <v>February</v>
      </c>
      <c r="E4075">
        <f t="shared" si="324"/>
        <v>2028</v>
      </c>
      <c r="F4075" t="str">
        <f>CONCATENATE(calendar[[#This Row],[Month]],"/",calendar[[#This Row],[Year]])</f>
        <v>2/2028</v>
      </c>
      <c r="G4075">
        <f>WEEKDAY(calendar[[#This Row],[Date]],1)</f>
        <v>7</v>
      </c>
      <c r="H4075" t="str">
        <f>TEXT(calendar[[#This Row],[WeekDay]],"dddd")</f>
        <v>Saturday</v>
      </c>
      <c r="I4075">
        <f>IF((INT(calendar[[#This Row],[Count]]/7)-calendar[[#This Row],[Count]]/7)&lt;0,I4074,I4074+1)</f>
        <v>582</v>
      </c>
      <c r="J4075">
        <f t="shared" si="325"/>
        <v>4073</v>
      </c>
      <c r="K4075">
        <f>IF(calendar[[#This Row],[Month]]&lt;4,1,IF(calendar[[#This Row],[Month]]&lt;7,2,IF(calendar[[#This Row],[Month]]&lt;10,3,4)))</f>
        <v>1</v>
      </c>
      <c r="L4075">
        <f>IFERROR(IF(VLOOKUP(calendar[[#This Row],[Date]],BH!A:A,1,)&lt;&gt;"",1,0),0)</f>
        <v>0</v>
      </c>
      <c r="M4075">
        <f>IFERROR(IF(VLOOKUP(calendar[[#This Row],[Date]],BH!C:C,1,)&lt;&gt;"",1,0),0)</f>
        <v>0</v>
      </c>
      <c r="N4075">
        <f>IFERROR(IF(VLOOKUP(calendar[[#This Row],[Date]],BH!E:E,1,)&lt;&gt;"",1,0),0)</f>
        <v>0</v>
      </c>
      <c r="O4075">
        <f>IFERROR(IF(VLOOKUP(calendar[[#This Row],[Date]],BH!G:G,1,)&lt;&gt;"",1,0),0)</f>
        <v>0</v>
      </c>
      <c r="P4075">
        <f>IF(OR(calendar[[#This Row],[UK_BH]]=1,calendar[[#This Row],[WeekDay]]=1, calendar[[#This Row],[WeekDay]]=7),P4074,P4074+1)</f>
        <v>2886</v>
      </c>
      <c r="Q4075">
        <f>IF(OR(calendar[[#This Row],[FR_BH]]=1,calendar[[#This Row],[WeekDay]]=1, calendar[[#This Row],[WeekDay]]=7),P4074,P4074+1)</f>
        <v>2886</v>
      </c>
      <c r="R4075">
        <f>IF(OR(calendar[[#This Row],[SP_BH]]=1,calendar[[#This Row],[WeekDay]]=1, calendar[[#This Row],[WeekDay]]=7),P4074,P4074+1)</f>
        <v>2886</v>
      </c>
      <c r="S4075">
        <f>IF(OR(calendar[[#This Row],[PT_BH]]=1,calendar[[#This Row],[WeekDay]]=1, calendar[[#This Row],[WeekDay]]=7),P4074,P4074+1)</f>
        <v>2886</v>
      </c>
    </row>
    <row r="4076" spans="1:19" x14ac:dyDescent="0.25">
      <c r="A4076" s="2">
        <v>46810</v>
      </c>
      <c r="B4076" s="1">
        <f t="shared" si="321"/>
        <v>10</v>
      </c>
      <c r="C4076">
        <f t="shared" si="322"/>
        <v>2</v>
      </c>
      <c r="D4076" t="str">
        <f t="shared" si="323"/>
        <v>February</v>
      </c>
      <c r="E4076">
        <f t="shared" si="324"/>
        <v>2028</v>
      </c>
      <c r="F4076" t="str">
        <f>CONCATENATE(calendar[[#This Row],[Month]],"/",calendar[[#This Row],[Year]])</f>
        <v>2/2028</v>
      </c>
      <c r="G4076">
        <f>WEEKDAY(calendar[[#This Row],[Date]],1)</f>
        <v>1</v>
      </c>
      <c r="H4076" t="str">
        <f>TEXT(calendar[[#This Row],[WeekDay]],"dddd")</f>
        <v>Sunday</v>
      </c>
      <c r="I4076">
        <f>IF((INT(calendar[[#This Row],[Count]]/7)-calendar[[#This Row],[Count]]/7)&lt;0,I4075,I4075+1)</f>
        <v>583</v>
      </c>
      <c r="J4076">
        <f t="shared" si="325"/>
        <v>4074</v>
      </c>
      <c r="K4076">
        <f>IF(calendar[[#This Row],[Month]]&lt;4,1,IF(calendar[[#This Row],[Month]]&lt;7,2,IF(calendar[[#This Row],[Month]]&lt;10,3,4)))</f>
        <v>1</v>
      </c>
      <c r="L4076">
        <f>IFERROR(IF(VLOOKUP(calendar[[#This Row],[Date]],BH!A:A,1,)&lt;&gt;"",1,0),0)</f>
        <v>0</v>
      </c>
      <c r="M4076">
        <f>IFERROR(IF(VLOOKUP(calendar[[#This Row],[Date]],BH!C:C,1,)&lt;&gt;"",1,0),0)</f>
        <v>0</v>
      </c>
      <c r="N4076">
        <f>IFERROR(IF(VLOOKUP(calendar[[#This Row],[Date]],BH!E:E,1,)&lt;&gt;"",1,0),0)</f>
        <v>0</v>
      </c>
      <c r="O4076">
        <f>IFERROR(IF(VLOOKUP(calendar[[#This Row],[Date]],BH!G:G,1,)&lt;&gt;"",1,0),0)</f>
        <v>0</v>
      </c>
      <c r="P4076">
        <f>IF(OR(calendar[[#This Row],[UK_BH]]=1,calendar[[#This Row],[WeekDay]]=1, calendar[[#This Row],[WeekDay]]=7),P4075,P4075+1)</f>
        <v>2886</v>
      </c>
      <c r="Q4076">
        <f>IF(OR(calendar[[#This Row],[FR_BH]]=1,calendar[[#This Row],[WeekDay]]=1, calendar[[#This Row],[WeekDay]]=7),P4075,P4075+1)</f>
        <v>2886</v>
      </c>
      <c r="R4076">
        <f>IF(OR(calendar[[#This Row],[SP_BH]]=1,calendar[[#This Row],[WeekDay]]=1, calendar[[#This Row],[WeekDay]]=7),P4075,P4075+1)</f>
        <v>2886</v>
      </c>
      <c r="S4076">
        <f>IF(OR(calendar[[#This Row],[PT_BH]]=1,calendar[[#This Row],[WeekDay]]=1, calendar[[#This Row],[WeekDay]]=7),P4075,P4075+1)</f>
        <v>2886</v>
      </c>
    </row>
    <row r="4077" spans="1:19" x14ac:dyDescent="0.25">
      <c r="A4077" s="2">
        <v>46811</v>
      </c>
      <c r="B4077" s="1">
        <f t="shared" si="321"/>
        <v>10</v>
      </c>
      <c r="C4077">
        <f t="shared" si="322"/>
        <v>2</v>
      </c>
      <c r="D4077" t="str">
        <f t="shared" si="323"/>
        <v>February</v>
      </c>
      <c r="E4077">
        <f t="shared" si="324"/>
        <v>2028</v>
      </c>
      <c r="F4077" t="str">
        <f>CONCATENATE(calendar[[#This Row],[Month]],"/",calendar[[#This Row],[Year]])</f>
        <v>2/2028</v>
      </c>
      <c r="G4077">
        <f>WEEKDAY(calendar[[#This Row],[Date]],1)</f>
        <v>2</v>
      </c>
      <c r="H4077" t="str">
        <f>TEXT(calendar[[#This Row],[WeekDay]],"dddd")</f>
        <v>Monday</v>
      </c>
      <c r="I4077">
        <f>IF((INT(calendar[[#This Row],[Count]]/7)-calendar[[#This Row],[Count]]/7)&lt;0,I4076,I4076+1)</f>
        <v>583</v>
      </c>
      <c r="J4077">
        <f t="shared" si="325"/>
        <v>4075</v>
      </c>
      <c r="K4077">
        <f>IF(calendar[[#This Row],[Month]]&lt;4,1,IF(calendar[[#This Row],[Month]]&lt;7,2,IF(calendar[[#This Row],[Month]]&lt;10,3,4)))</f>
        <v>1</v>
      </c>
      <c r="L4077">
        <f>IFERROR(IF(VLOOKUP(calendar[[#This Row],[Date]],BH!A:A,1,)&lt;&gt;"",1,0),0)</f>
        <v>0</v>
      </c>
      <c r="M4077">
        <f>IFERROR(IF(VLOOKUP(calendar[[#This Row],[Date]],BH!C:C,1,)&lt;&gt;"",1,0),0)</f>
        <v>0</v>
      </c>
      <c r="N4077">
        <f>IFERROR(IF(VLOOKUP(calendar[[#This Row],[Date]],BH!E:E,1,)&lt;&gt;"",1,0),0)</f>
        <v>0</v>
      </c>
      <c r="O4077">
        <f>IFERROR(IF(VLOOKUP(calendar[[#This Row],[Date]],BH!G:G,1,)&lt;&gt;"",1,0),0)</f>
        <v>0</v>
      </c>
      <c r="P4077">
        <f>IF(OR(calendar[[#This Row],[UK_BH]]=1,calendar[[#This Row],[WeekDay]]=1, calendar[[#This Row],[WeekDay]]=7),P4076,P4076+1)</f>
        <v>2887</v>
      </c>
      <c r="Q4077">
        <f>IF(OR(calendar[[#This Row],[FR_BH]]=1,calendar[[#This Row],[WeekDay]]=1, calendar[[#This Row],[WeekDay]]=7),P4076,P4076+1)</f>
        <v>2887</v>
      </c>
      <c r="R4077">
        <f>IF(OR(calendar[[#This Row],[SP_BH]]=1,calendar[[#This Row],[WeekDay]]=1, calendar[[#This Row],[WeekDay]]=7),P4076,P4076+1)</f>
        <v>2887</v>
      </c>
      <c r="S4077">
        <f>IF(OR(calendar[[#This Row],[PT_BH]]=1,calendar[[#This Row],[WeekDay]]=1, calendar[[#This Row],[WeekDay]]=7),P4076,P4076+1)</f>
        <v>2887</v>
      </c>
    </row>
    <row r="4078" spans="1:19" x14ac:dyDescent="0.25">
      <c r="A4078" s="2">
        <v>46812</v>
      </c>
      <c r="B4078" s="1">
        <f t="shared" si="321"/>
        <v>10</v>
      </c>
      <c r="C4078">
        <f t="shared" si="322"/>
        <v>2</v>
      </c>
      <c r="D4078" t="str">
        <f t="shared" si="323"/>
        <v>February</v>
      </c>
      <c r="E4078">
        <f t="shared" si="324"/>
        <v>2028</v>
      </c>
      <c r="F4078" t="str">
        <f>CONCATENATE(calendar[[#This Row],[Month]],"/",calendar[[#This Row],[Year]])</f>
        <v>2/2028</v>
      </c>
      <c r="G4078">
        <f>WEEKDAY(calendar[[#This Row],[Date]],1)</f>
        <v>3</v>
      </c>
      <c r="H4078" t="str">
        <f>TEXT(calendar[[#This Row],[WeekDay]],"dddd")</f>
        <v>Tuesday</v>
      </c>
      <c r="I4078">
        <f>IF((INT(calendar[[#This Row],[Count]]/7)-calendar[[#This Row],[Count]]/7)&lt;0,I4077,I4077+1)</f>
        <v>583</v>
      </c>
      <c r="J4078">
        <f t="shared" si="325"/>
        <v>4076</v>
      </c>
      <c r="K4078">
        <f>IF(calendar[[#This Row],[Month]]&lt;4,1,IF(calendar[[#This Row],[Month]]&lt;7,2,IF(calendar[[#This Row],[Month]]&lt;10,3,4)))</f>
        <v>1</v>
      </c>
      <c r="L4078">
        <f>IFERROR(IF(VLOOKUP(calendar[[#This Row],[Date]],BH!A:A,1,)&lt;&gt;"",1,0),0)</f>
        <v>0</v>
      </c>
      <c r="M4078">
        <f>IFERROR(IF(VLOOKUP(calendar[[#This Row],[Date]],BH!C:C,1,)&lt;&gt;"",1,0),0)</f>
        <v>0</v>
      </c>
      <c r="N4078">
        <f>IFERROR(IF(VLOOKUP(calendar[[#This Row],[Date]],BH!E:E,1,)&lt;&gt;"",1,0),0)</f>
        <v>0</v>
      </c>
      <c r="O4078">
        <f>IFERROR(IF(VLOOKUP(calendar[[#This Row],[Date]],BH!G:G,1,)&lt;&gt;"",1,0),0)</f>
        <v>0</v>
      </c>
      <c r="P4078">
        <f>IF(OR(calendar[[#This Row],[UK_BH]]=1,calendar[[#This Row],[WeekDay]]=1, calendar[[#This Row],[WeekDay]]=7),P4077,P4077+1)</f>
        <v>2888</v>
      </c>
      <c r="Q4078">
        <f>IF(OR(calendar[[#This Row],[FR_BH]]=1,calendar[[#This Row],[WeekDay]]=1, calendar[[#This Row],[WeekDay]]=7),P4077,P4077+1)</f>
        <v>2888</v>
      </c>
      <c r="R4078">
        <f>IF(OR(calendar[[#This Row],[SP_BH]]=1,calendar[[#This Row],[WeekDay]]=1, calendar[[#This Row],[WeekDay]]=7),P4077,P4077+1)</f>
        <v>2888</v>
      </c>
      <c r="S4078">
        <f>IF(OR(calendar[[#This Row],[PT_BH]]=1,calendar[[#This Row],[WeekDay]]=1, calendar[[#This Row],[WeekDay]]=7),P4077,P4077+1)</f>
        <v>2888</v>
      </c>
    </row>
    <row r="4079" spans="1:19" x14ac:dyDescent="0.25">
      <c r="A4079" s="2">
        <v>46813</v>
      </c>
      <c r="B4079" s="1">
        <f t="shared" si="321"/>
        <v>10</v>
      </c>
      <c r="C4079">
        <f t="shared" si="322"/>
        <v>3</v>
      </c>
      <c r="D4079" t="str">
        <f t="shared" si="323"/>
        <v>March</v>
      </c>
      <c r="E4079">
        <f t="shared" si="324"/>
        <v>2028</v>
      </c>
      <c r="F4079" t="str">
        <f>CONCATENATE(calendar[[#This Row],[Month]],"/",calendar[[#This Row],[Year]])</f>
        <v>3/2028</v>
      </c>
      <c r="G4079">
        <f>WEEKDAY(calendar[[#This Row],[Date]],1)</f>
        <v>4</v>
      </c>
      <c r="H4079" t="str">
        <f>TEXT(calendar[[#This Row],[WeekDay]],"dddd")</f>
        <v>Wednesday</v>
      </c>
      <c r="I4079">
        <f>IF((INT(calendar[[#This Row],[Count]]/7)-calendar[[#This Row],[Count]]/7)&lt;0,I4078,I4078+1)</f>
        <v>583</v>
      </c>
      <c r="J4079">
        <f t="shared" si="325"/>
        <v>4077</v>
      </c>
      <c r="K4079">
        <f>IF(calendar[[#This Row],[Month]]&lt;4,1,IF(calendar[[#This Row],[Month]]&lt;7,2,IF(calendar[[#This Row],[Month]]&lt;10,3,4)))</f>
        <v>1</v>
      </c>
      <c r="L4079">
        <f>IFERROR(IF(VLOOKUP(calendar[[#This Row],[Date]],BH!A:A,1,)&lt;&gt;"",1,0),0)</f>
        <v>0</v>
      </c>
      <c r="M4079">
        <f>IFERROR(IF(VLOOKUP(calendar[[#This Row],[Date]],BH!C:C,1,)&lt;&gt;"",1,0),0)</f>
        <v>0</v>
      </c>
      <c r="N4079">
        <f>IFERROR(IF(VLOOKUP(calendar[[#This Row],[Date]],BH!E:E,1,)&lt;&gt;"",1,0),0)</f>
        <v>0</v>
      </c>
      <c r="O4079">
        <f>IFERROR(IF(VLOOKUP(calendar[[#This Row],[Date]],BH!G:G,1,)&lt;&gt;"",1,0),0)</f>
        <v>0</v>
      </c>
      <c r="P4079">
        <f>IF(OR(calendar[[#This Row],[UK_BH]]=1,calendar[[#This Row],[WeekDay]]=1, calendar[[#This Row],[WeekDay]]=7),P4078,P4078+1)</f>
        <v>2889</v>
      </c>
      <c r="Q4079">
        <f>IF(OR(calendar[[#This Row],[FR_BH]]=1,calendar[[#This Row],[WeekDay]]=1, calendar[[#This Row],[WeekDay]]=7),P4078,P4078+1)</f>
        <v>2889</v>
      </c>
      <c r="R4079">
        <f>IF(OR(calendar[[#This Row],[SP_BH]]=1,calendar[[#This Row],[WeekDay]]=1, calendar[[#This Row],[WeekDay]]=7),P4078,P4078+1)</f>
        <v>2889</v>
      </c>
      <c r="S4079">
        <f>IF(OR(calendar[[#This Row],[PT_BH]]=1,calendar[[#This Row],[WeekDay]]=1, calendar[[#This Row],[WeekDay]]=7),P4078,P4078+1)</f>
        <v>2889</v>
      </c>
    </row>
    <row r="4080" spans="1:19" x14ac:dyDescent="0.25">
      <c r="A4080" s="2">
        <v>46814</v>
      </c>
      <c r="B4080" s="1">
        <f t="shared" si="321"/>
        <v>10</v>
      </c>
      <c r="C4080">
        <f t="shared" si="322"/>
        <v>3</v>
      </c>
      <c r="D4080" t="str">
        <f t="shared" si="323"/>
        <v>March</v>
      </c>
      <c r="E4080">
        <f t="shared" si="324"/>
        <v>2028</v>
      </c>
      <c r="F4080" t="str">
        <f>CONCATENATE(calendar[[#This Row],[Month]],"/",calendar[[#This Row],[Year]])</f>
        <v>3/2028</v>
      </c>
      <c r="G4080">
        <f>WEEKDAY(calendar[[#This Row],[Date]],1)</f>
        <v>5</v>
      </c>
      <c r="H4080" t="str">
        <f>TEXT(calendar[[#This Row],[WeekDay]],"dddd")</f>
        <v>Thursday</v>
      </c>
      <c r="I4080">
        <f>IF((INT(calendar[[#This Row],[Count]]/7)-calendar[[#This Row],[Count]]/7)&lt;0,I4079,I4079+1)</f>
        <v>583</v>
      </c>
      <c r="J4080">
        <f t="shared" si="325"/>
        <v>4078</v>
      </c>
      <c r="K4080">
        <f>IF(calendar[[#This Row],[Month]]&lt;4,1,IF(calendar[[#This Row],[Month]]&lt;7,2,IF(calendar[[#This Row],[Month]]&lt;10,3,4)))</f>
        <v>1</v>
      </c>
      <c r="L4080">
        <f>IFERROR(IF(VLOOKUP(calendar[[#This Row],[Date]],BH!A:A,1,)&lt;&gt;"",1,0),0)</f>
        <v>0</v>
      </c>
      <c r="M4080">
        <f>IFERROR(IF(VLOOKUP(calendar[[#This Row],[Date]],BH!C:C,1,)&lt;&gt;"",1,0),0)</f>
        <v>0</v>
      </c>
      <c r="N4080">
        <f>IFERROR(IF(VLOOKUP(calendar[[#This Row],[Date]],BH!E:E,1,)&lt;&gt;"",1,0),0)</f>
        <v>0</v>
      </c>
      <c r="O4080">
        <f>IFERROR(IF(VLOOKUP(calendar[[#This Row],[Date]],BH!G:G,1,)&lt;&gt;"",1,0),0)</f>
        <v>0</v>
      </c>
      <c r="P4080">
        <f>IF(OR(calendar[[#This Row],[UK_BH]]=1,calendar[[#This Row],[WeekDay]]=1, calendar[[#This Row],[WeekDay]]=7),P4079,P4079+1)</f>
        <v>2890</v>
      </c>
      <c r="Q4080">
        <f>IF(OR(calendar[[#This Row],[FR_BH]]=1,calendar[[#This Row],[WeekDay]]=1, calendar[[#This Row],[WeekDay]]=7),P4079,P4079+1)</f>
        <v>2890</v>
      </c>
      <c r="R4080">
        <f>IF(OR(calendar[[#This Row],[SP_BH]]=1,calendar[[#This Row],[WeekDay]]=1, calendar[[#This Row],[WeekDay]]=7),P4079,P4079+1)</f>
        <v>2890</v>
      </c>
      <c r="S4080">
        <f>IF(OR(calendar[[#This Row],[PT_BH]]=1,calendar[[#This Row],[WeekDay]]=1, calendar[[#This Row],[WeekDay]]=7),P4079,P4079+1)</f>
        <v>2890</v>
      </c>
    </row>
    <row r="4081" spans="1:19" x14ac:dyDescent="0.25">
      <c r="A4081" s="2">
        <v>46815</v>
      </c>
      <c r="B4081" s="1">
        <f t="shared" si="321"/>
        <v>10</v>
      </c>
      <c r="C4081">
        <f t="shared" si="322"/>
        <v>3</v>
      </c>
      <c r="D4081" t="str">
        <f t="shared" si="323"/>
        <v>March</v>
      </c>
      <c r="E4081">
        <f t="shared" si="324"/>
        <v>2028</v>
      </c>
      <c r="F4081" t="str">
        <f>CONCATENATE(calendar[[#This Row],[Month]],"/",calendar[[#This Row],[Year]])</f>
        <v>3/2028</v>
      </c>
      <c r="G4081">
        <f>WEEKDAY(calendar[[#This Row],[Date]],1)</f>
        <v>6</v>
      </c>
      <c r="H4081" t="str">
        <f>TEXT(calendar[[#This Row],[WeekDay]],"dddd")</f>
        <v>Friday</v>
      </c>
      <c r="I4081">
        <f>IF((INT(calendar[[#This Row],[Count]]/7)-calendar[[#This Row],[Count]]/7)&lt;0,I4080,I4080+1)</f>
        <v>583</v>
      </c>
      <c r="J4081">
        <f t="shared" si="325"/>
        <v>4079</v>
      </c>
      <c r="K4081">
        <f>IF(calendar[[#This Row],[Month]]&lt;4,1,IF(calendar[[#This Row],[Month]]&lt;7,2,IF(calendar[[#This Row],[Month]]&lt;10,3,4)))</f>
        <v>1</v>
      </c>
      <c r="L4081">
        <f>IFERROR(IF(VLOOKUP(calendar[[#This Row],[Date]],BH!A:A,1,)&lt;&gt;"",1,0),0)</f>
        <v>0</v>
      </c>
      <c r="M4081">
        <f>IFERROR(IF(VLOOKUP(calendar[[#This Row],[Date]],BH!C:C,1,)&lt;&gt;"",1,0),0)</f>
        <v>0</v>
      </c>
      <c r="N4081">
        <f>IFERROR(IF(VLOOKUP(calendar[[#This Row],[Date]],BH!E:E,1,)&lt;&gt;"",1,0),0)</f>
        <v>0</v>
      </c>
      <c r="O4081">
        <f>IFERROR(IF(VLOOKUP(calendar[[#This Row],[Date]],BH!G:G,1,)&lt;&gt;"",1,0),0)</f>
        <v>0</v>
      </c>
      <c r="P4081">
        <f>IF(OR(calendar[[#This Row],[UK_BH]]=1,calendar[[#This Row],[WeekDay]]=1, calendar[[#This Row],[WeekDay]]=7),P4080,P4080+1)</f>
        <v>2891</v>
      </c>
      <c r="Q4081">
        <f>IF(OR(calendar[[#This Row],[FR_BH]]=1,calendar[[#This Row],[WeekDay]]=1, calendar[[#This Row],[WeekDay]]=7),P4080,P4080+1)</f>
        <v>2891</v>
      </c>
      <c r="R4081">
        <f>IF(OR(calendar[[#This Row],[SP_BH]]=1,calendar[[#This Row],[WeekDay]]=1, calendar[[#This Row],[WeekDay]]=7),P4080,P4080+1)</f>
        <v>2891</v>
      </c>
      <c r="S4081">
        <f>IF(OR(calendar[[#This Row],[PT_BH]]=1,calendar[[#This Row],[WeekDay]]=1, calendar[[#This Row],[WeekDay]]=7),P4080,P4080+1)</f>
        <v>2891</v>
      </c>
    </row>
    <row r="4082" spans="1:19" x14ac:dyDescent="0.25">
      <c r="A4082" s="2">
        <v>46816</v>
      </c>
      <c r="B4082" s="1">
        <f t="shared" si="321"/>
        <v>10</v>
      </c>
      <c r="C4082">
        <f t="shared" si="322"/>
        <v>3</v>
      </c>
      <c r="D4082" t="str">
        <f t="shared" si="323"/>
        <v>March</v>
      </c>
      <c r="E4082">
        <f t="shared" si="324"/>
        <v>2028</v>
      </c>
      <c r="F4082" t="str">
        <f>CONCATENATE(calendar[[#This Row],[Month]],"/",calendar[[#This Row],[Year]])</f>
        <v>3/2028</v>
      </c>
      <c r="G4082">
        <f>WEEKDAY(calendar[[#This Row],[Date]],1)</f>
        <v>7</v>
      </c>
      <c r="H4082" t="str">
        <f>TEXT(calendar[[#This Row],[WeekDay]],"dddd")</f>
        <v>Saturday</v>
      </c>
      <c r="I4082">
        <f>IF((INT(calendar[[#This Row],[Count]]/7)-calendar[[#This Row],[Count]]/7)&lt;0,I4081,I4081+1)</f>
        <v>583</v>
      </c>
      <c r="J4082">
        <f t="shared" si="325"/>
        <v>4080</v>
      </c>
      <c r="K4082">
        <f>IF(calendar[[#This Row],[Month]]&lt;4,1,IF(calendar[[#This Row],[Month]]&lt;7,2,IF(calendar[[#This Row],[Month]]&lt;10,3,4)))</f>
        <v>1</v>
      </c>
      <c r="L4082">
        <f>IFERROR(IF(VLOOKUP(calendar[[#This Row],[Date]],BH!A:A,1,)&lt;&gt;"",1,0),0)</f>
        <v>0</v>
      </c>
      <c r="M4082">
        <f>IFERROR(IF(VLOOKUP(calendar[[#This Row],[Date]],BH!C:C,1,)&lt;&gt;"",1,0),0)</f>
        <v>0</v>
      </c>
      <c r="N4082">
        <f>IFERROR(IF(VLOOKUP(calendar[[#This Row],[Date]],BH!E:E,1,)&lt;&gt;"",1,0),0)</f>
        <v>0</v>
      </c>
      <c r="O4082">
        <f>IFERROR(IF(VLOOKUP(calendar[[#This Row],[Date]],BH!G:G,1,)&lt;&gt;"",1,0),0)</f>
        <v>0</v>
      </c>
      <c r="P4082">
        <f>IF(OR(calendar[[#This Row],[UK_BH]]=1,calendar[[#This Row],[WeekDay]]=1, calendar[[#This Row],[WeekDay]]=7),P4081,P4081+1)</f>
        <v>2891</v>
      </c>
      <c r="Q4082">
        <f>IF(OR(calendar[[#This Row],[FR_BH]]=1,calendar[[#This Row],[WeekDay]]=1, calendar[[#This Row],[WeekDay]]=7),P4081,P4081+1)</f>
        <v>2891</v>
      </c>
      <c r="R4082">
        <f>IF(OR(calendar[[#This Row],[SP_BH]]=1,calendar[[#This Row],[WeekDay]]=1, calendar[[#This Row],[WeekDay]]=7),P4081,P4081+1)</f>
        <v>2891</v>
      </c>
      <c r="S4082">
        <f>IF(OR(calendar[[#This Row],[PT_BH]]=1,calendar[[#This Row],[WeekDay]]=1, calendar[[#This Row],[WeekDay]]=7),P4081,P4081+1)</f>
        <v>2891</v>
      </c>
    </row>
    <row r="4083" spans="1:19" x14ac:dyDescent="0.25">
      <c r="A4083" s="2">
        <v>46817</v>
      </c>
      <c r="B4083" s="1">
        <f t="shared" si="321"/>
        <v>11</v>
      </c>
      <c r="C4083">
        <f t="shared" si="322"/>
        <v>3</v>
      </c>
      <c r="D4083" t="str">
        <f t="shared" si="323"/>
        <v>March</v>
      </c>
      <c r="E4083">
        <f t="shared" si="324"/>
        <v>2028</v>
      </c>
      <c r="F4083" t="str">
        <f>CONCATENATE(calendar[[#This Row],[Month]],"/",calendar[[#This Row],[Year]])</f>
        <v>3/2028</v>
      </c>
      <c r="G4083">
        <f>WEEKDAY(calendar[[#This Row],[Date]],1)</f>
        <v>1</v>
      </c>
      <c r="H4083" t="str">
        <f>TEXT(calendar[[#This Row],[WeekDay]],"dddd")</f>
        <v>Sunday</v>
      </c>
      <c r="I4083">
        <f>IF((INT(calendar[[#This Row],[Count]]/7)-calendar[[#This Row],[Count]]/7)&lt;0,I4082,I4082+1)</f>
        <v>584</v>
      </c>
      <c r="J4083">
        <f t="shared" si="325"/>
        <v>4081</v>
      </c>
      <c r="K4083">
        <f>IF(calendar[[#This Row],[Month]]&lt;4,1,IF(calendar[[#This Row],[Month]]&lt;7,2,IF(calendar[[#This Row],[Month]]&lt;10,3,4)))</f>
        <v>1</v>
      </c>
      <c r="L4083">
        <f>IFERROR(IF(VLOOKUP(calendar[[#This Row],[Date]],BH!A:A,1,)&lt;&gt;"",1,0),0)</f>
        <v>0</v>
      </c>
      <c r="M4083">
        <f>IFERROR(IF(VLOOKUP(calendar[[#This Row],[Date]],BH!C:C,1,)&lt;&gt;"",1,0),0)</f>
        <v>0</v>
      </c>
      <c r="N4083">
        <f>IFERROR(IF(VLOOKUP(calendar[[#This Row],[Date]],BH!E:E,1,)&lt;&gt;"",1,0),0)</f>
        <v>0</v>
      </c>
      <c r="O4083">
        <f>IFERROR(IF(VLOOKUP(calendar[[#This Row],[Date]],BH!G:G,1,)&lt;&gt;"",1,0),0)</f>
        <v>0</v>
      </c>
      <c r="P4083">
        <f>IF(OR(calendar[[#This Row],[UK_BH]]=1,calendar[[#This Row],[WeekDay]]=1, calendar[[#This Row],[WeekDay]]=7),P4082,P4082+1)</f>
        <v>2891</v>
      </c>
      <c r="Q4083">
        <f>IF(OR(calendar[[#This Row],[FR_BH]]=1,calendar[[#This Row],[WeekDay]]=1, calendar[[#This Row],[WeekDay]]=7),P4082,P4082+1)</f>
        <v>2891</v>
      </c>
      <c r="R4083">
        <f>IF(OR(calendar[[#This Row],[SP_BH]]=1,calendar[[#This Row],[WeekDay]]=1, calendar[[#This Row],[WeekDay]]=7),P4082,P4082+1)</f>
        <v>2891</v>
      </c>
      <c r="S4083">
        <f>IF(OR(calendar[[#This Row],[PT_BH]]=1,calendar[[#This Row],[WeekDay]]=1, calendar[[#This Row],[WeekDay]]=7),P4082,P4082+1)</f>
        <v>2891</v>
      </c>
    </row>
    <row r="4084" spans="1:19" x14ac:dyDescent="0.25">
      <c r="A4084" s="2">
        <v>46818</v>
      </c>
      <c r="B4084" s="1">
        <f t="shared" si="321"/>
        <v>11</v>
      </c>
      <c r="C4084">
        <f t="shared" si="322"/>
        <v>3</v>
      </c>
      <c r="D4084" t="str">
        <f t="shared" si="323"/>
        <v>March</v>
      </c>
      <c r="E4084">
        <f t="shared" si="324"/>
        <v>2028</v>
      </c>
      <c r="F4084" t="str">
        <f>CONCATENATE(calendar[[#This Row],[Month]],"/",calendar[[#This Row],[Year]])</f>
        <v>3/2028</v>
      </c>
      <c r="G4084">
        <f>WEEKDAY(calendar[[#This Row],[Date]],1)</f>
        <v>2</v>
      </c>
      <c r="H4084" t="str">
        <f>TEXT(calendar[[#This Row],[WeekDay]],"dddd")</f>
        <v>Monday</v>
      </c>
      <c r="I4084">
        <f>IF((INT(calendar[[#This Row],[Count]]/7)-calendar[[#This Row],[Count]]/7)&lt;0,I4083,I4083+1)</f>
        <v>584</v>
      </c>
      <c r="J4084">
        <f t="shared" si="325"/>
        <v>4082</v>
      </c>
      <c r="K4084">
        <f>IF(calendar[[#This Row],[Month]]&lt;4,1,IF(calendar[[#This Row],[Month]]&lt;7,2,IF(calendar[[#This Row],[Month]]&lt;10,3,4)))</f>
        <v>1</v>
      </c>
      <c r="L4084">
        <f>IFERROR(IF(VLOOKUP(calendar[[#This Row],[Date]],BH!A:A,1,)&lt;&gt;"",1,0),0)</f>
        <v>0</v>
      </c>
      <c r="M4084">
        <f>IFERROR(IF(VLOOKUP(calendar[[#This Row],[Date]],BH!C:C,1,)&lt;&gt;"",1,0),0)</f>
        <v>0</v>
      </c>
      <c r="N4084">
        <f>IFERROR(IF(VLOOKUP(calendar[[#This Row],[Date]],BH!E:E,1,)&lt;&gt;"",1,0),0)</f>
        <v>0</v>
      </c>
      <c r="O4084">
        <f>IFERROR(IF(VLOOKUP(calendar[[#This Row],[Date]],BH!G:G,1,)&lt;&gt;"",1,0),0)</f>
        <v>0</v>
      </c>
      <c r="P4084">
        <f>IF(OR(calendar[[#This Row],[UK_BH]]=1,calendar[[#This Row],[WeekDay]]=1, calendar[[#This Row],[WeekDay]]=7),P4083,P4083+1)</f>
        <v>2892</v>
      </c>
      <c r="Q4084">
        <f>IF(OR(calendar[[#This Row],[FR_BH]]=1,calendar[[#This Row],[WeekDay]]=1, calendar[[#This Row],[WeekDay]]=7),P4083,P4083+1)</f>
        <v>2892</v>
      </c>
      <c r="R4084">
        <f>IF(OR(calendar[[#This Row],[SP_BH]]=1,calendar[[#This Row],[WeekDay]]=1, calendar[[#This Row],[WeekDay]]=7),P4083,P4083+1)</f>
        <v>2892</v>
      </c>
      <c r="S4084">
        <f>IF(OR(calendar[[#This Row],[PT_BH]]=1,calendar[[#This Row],[WeekDay]]=1, calendar[[#This Row],[WeekDay]]=7),P4083,P4083+1)</f>
        <v>2892</v>
      </c>
    </row>
    <row r="4085" spans="1:19" x14ac:dyDescent="0.25">
      <c r="A4085" s="2">
        <v>46819</v>
      </c>
      <c r="B4085" s="1">
        <f t="shared" si="321"/>
        <v>11</v>
      </c>
      <c r="C4085">
        <f t="shared" si="322"/>
        <v>3</v>
      </c>
      <c r="D4085" t="str">
        <f t="shared" si="323"/>
        <v>March</v>
      </c>
      <c r="E4085">
        <f t="shared" si="324"/>
        <v>2028</v>
      </c>
      <c r="F4085" t="str">
        <f>CONCATENATE(calendar[[#This Row],[Month]],"/",calendar[[#This Row],[Year]])</f>
        <v>3/2028</v>
      </c>
      <c r="G4085">
        <f>WEEKDAY(calendar[[#This Row],[Date]],1)</f>
        <v>3</v>
      </c>
      <c r="H4085" t="str">
        <f>TEXT(calendar[[#This Row],[WeekDay]],"dddd")</f>
        <v>Tuesday</v>
      </c>
      <c r="I4085">
        <f>IF((INT(calendar[[#This Row],[Count]]/7)-calendar[[#This Row],[Count]]/7)&lt;0,I4084,I4084+1)</f>
        <v>584</v>
      </c>
      <c r="J4085">
        <f t="shared" si="325"/>
        <v>4083</v>
      </c>
      <c r="K4085">
        <f>IF(calendar[[#This Row],[Month]]&lt;4,1,IF(calendar[[#This Row],[Month]]&lt;7,2,IF(calendar[[#This Row],[Month]]&lt;10,3,4)))</f>
        <v>1</v>
      </c>
      <c r="L4085">
        <f>IFERROR(IF(VLOOKUP(calendar[[#This Row],[Date]],BH!A:A,1,)&lt;&gt;"",1,0),0)</f>
        <v>0</v>
      </c>
      <c r="M4085">
        <f>IFERROR(IF(VLOOKUP(calendar[[#This Row],[Date]],BH!C:C,1,)&lt;&gt;"",1,0),0)</f>
        <v>0</v>
      </c>
      <c r="N4085">
        <f>IFERROR(IF(VLOOKUP(calendar[[#This Row],[Date]],BH!E:E,1,)&lt;&gt;"",1,0),0)</f>
        <v>0</v>
      </c>
      <c r="O4085">
        <f>IFERROR(IF(VLOOKUP(calendar[[#This Row],[Date]],BH!G:G,1,)&lt;&gt;"",1,0),0)</f>
        <v>0</v>
      </c>
      <c r="P4085">
        <f>IF(OR(calendar[[#This Row],[UK_BH]]=1,calendar[[#This Row],[WeekDay]]=1, calendar[[#This Row],[WeekDay]]=7),P4084,P4084+1)</f>
        <v>2893</v>
      </c>
      <c r="Q4085">
        <f>IF(OR(calendar[[#This Row],[FR_BH]]=1,calendar[[#This Row],[WeekDay]]=1, calendar[[#This Row],[WeekDay]]=7),P4084,P4084+1)</f>
        <v>2893</v>
      </c>
      <c r="R4085">
        <f>IF(OR(calendar[[#This Row],[SP_BH]]=1,calendar[[#This Row],[WeekDay]]=1, calendar[[#This Row],[WeekDay]]=7),P4084,P4084+1)</f>
        <v>2893</v>
      </c>
      <c r="S4085">
        <f>IF(OR(calendar[[#This Row],[PT_BH]]=1,calendar[[#This Row],[WeekDay]]=1, calendar[[#This Row],[WeekDay]]=7),P4084,P4084+1)</f>
        <v>2893</v>
      </c>
    </row>
    <row r="4086" spans="1:19" x14ac:dyDescent="0.25">
      <c r="A4086" s="2">
        <v>46820</v>
      </c>
      <c r="B4086" s="1">
        <f t="shared" si="321"/>
        <v>11</v>
      </c>
      <c r="C4086">
        <f t="shared" si="322"/>
        <v>3</v>
      </c>
      <c r="D4086" t="str">
        <f t="shared" si="323"/>
        <v>March</v>
      </c>
      <c r="E4086">
        <f t="shared" si="324"/>
        <v>2028</v>
      </c>
      <c r="F4086" t="str">
        <f>CONCATENATE(calendar[[#This Row],[Month]],"/",calendar[[#This Row],[Year]])</f>
        <v>3/2028</v>
      </c>
      <c r="G4086">
        <f>WEEKDAY(calendar[[#This Row],[Date]],1)</f>
        <v>4</v>
      </c>
      <c r="H4086" t="str">
        <f>TEXT(calendar[[#This Row],[WeekDay]],"dddd")</f>
        <v>Wednesday</v>
      </c>
      <c r="I4086">
        <f>IF((INT(calendar[[#This Row],[Count]]/7)-calendar[[#This Row],[Count]]/7)&lt;0,I4085,I4085+1)</f>
        <v>584</v>
      </c>
      <c r="J4086">
        <f t="shared" si="325"/>
        <v>4084</v>
      </c>
      <c r="K4086">
        <f>IF(calendar[[#This Row],[Month]]&lt;4,1,IF(calendar[[#This Row],[Month]]&lt;7,2,IF(calendar[[#This Row],[Month]]&lt;10,3,4)))</f>
        <v>1</v>
      </c>
      <c r="L4086">
        <f>IFERROR(IF(VLOOKUP(calendar[[#This Row],[Date]],BH!A:A,1,)&lt;&gt;"",1,0),0)</f>
        <v>0</v>
      </c>
      <c r="M4086">
        <f>IFERROR(IF(VLOOKUP(calendar[[#This Row],[Date]],BH!C:C,1,)&lt;&gt;"",1,0),0)</f>
        <v>0</v>
      </c>
      <c r="N4086">
        <f>IFERROR(IF(VLOOKUP(calendar[[#This Row],[Date]],BH!E:E,1,)&lt;&gt;"",1,0),0)</f>
        <v>0</v>
      </c>
      <c r="O4086">
        <f>IFERROR(IF(VLOOKUP(calendar[[#This Row],[Date]],BH!G:G,1,)&lt;&gt;"",1,0),0)</f>
        <v>0</v>
      </c>
      <c r="P4086">
        <f>IF(OR(calendar[[#This Row],[UK_BH]]=1,calendar[[#This Row],[WeekDay]]=1, calendar[[#This Row],[WeekDay]]=7),P4085,P4085+1)</f>
        <v>2894</v>
      </c>
      <c r="Q4086">
        <f>IF(OR(calendar[[#This Row],[FR_BH]]=1,calendar[[#This Row],[WeekDay]]=1, calendar[[#This Row],[WeekDay]]=7),P4085,P4085+1)</f>
        <v>2894</v>
      </c>
      <c r="R4086">
        <f>IF(OR(calendar[[#This Row],[SP_BH]]=1,calendar[[#This Row],[WeekDay]]=1, calendar[[#This Row],[WeekDay]]=7),P4085,P4085+1)</f>
        <v>2894</v>
      </c>
      <c r="S4086">
        <f>IF(OR(calendar[[#This Row],[PT_BH]]=1,calendar[[#This Row],[WeekDay]]=1, calendar[[#This Row],[WeekDay]]=7),P4085,P4085+1)</f>
        <v>2894</v>
      </c>
    </row>
    <row r="4087" spans="1:19" x14ac:dyDescent="0.25">
      <c r="A4087" s="2">
        <v>46821</v>
      </c>
      <c r="B4087" s="1">
        <f t="shared" si="321"/>
        <v>11</v>
      </c>
      <c r="C4087">
        <f t="shared" si="322"/>
        <v>3</v>
      </c>
      <c r="D4087" t="str">
        <f t="shared" si="323"/>
        <v>March</v>
      </c>
      <c r="E4087">
        <f t="shared" si="324"/>
        <v>2028</v>
      </c>
      <c r="F4087" t="str">
        <f>CONCATENATE(calendar[[#This Row],[Month]],"/",calendar[[#This Row],[Year]])</f>
        <v>3/2028</v>
      </c>
      <c r="G4087">
        <f>WEEKDAY(calendar[[#This Row],[Date]],1)</f>
        <v>5</v>
      </c>
      <c r="H4087" t="str">
        <f>TEXT(calendar[[#This Row],[WeekDay]],"dddd")</f>
        <v>Thursday</v>
      </c>
      <c r="I4087">
        <f>IF((INT(calendar[[#This Row],[Count]]/7)-calendar[[#This Row],[Count]]/7)&lt;0,I4086,I4086+1)</f>
        <v>584</v>
      </c>
      <c r="J4087">
        <f t="shared" si="325"/>
        <v>4085</v>
      </c>
      <c r="K4087">
        <f>IF(calendar[[#This Row],[Month]]&lt;4,1,IF(calendar[[#This Row],[Month]]&lt;7,2,IF(calendar[[#This Row],[Month]]&lt;10,3,4)))</f>
        <v>1</v>
      </c>
      <c r="L4087">
        <f>IFERROR(IF(VLOOKUP(calendar[[#This Row],[Date]],BH!A:A,1,)&lt;&gt;"",1,0),0)</f>
        <v>0</v>
      </c>
      <c r="M4087">
        <f>IFERROR(IF(VLOOKUP(calendar[[#This Row],[Date]],BH!C:C,1,)&lt;&gt;"",1,0),0)</f>
        <v>0</v>
      </c>
      <c r="N4087">
        <f>IFERROR(IF(VLOOKUP(calendar[[#This Row],[Date]],BH!E:E,1,)&lt;&gt;"",1,0),0)</f>
        <v>0</v>
      </c>
      <c r="O4087">
        <f>IFERROR(IF(VLOOKUP(calendar[[#This Row],[Date]],BH!G:G,1,)&lt;&gt;"",1,0),0)</f>
        <v>0</v>
      </c>
      <c r="P4087">
        <f>IF(OR(calendar[[#This Row],[UK_BH]]=1,calendar[[#This Row],[WeekDay]]=1, calendar[[#This Row],[WeekDay]]=7),P4086,P4086+1)</f>
        <v>2895</v>
      </c>
      <c r="Q4087">
        <f>IF(OR(calendar[[#This Row],[FR_BH]]=1,calendar[[#This Row],[WeekDay]]=1, calendar[[#This Row],[WeekDay]]=7),P4086,P4086+1)</f>
        <v>2895</v>
      </c>
      <c r="R4087">
        <f>IF(OR(calendar[[#This Row],[SP_BH]]=1,calendar[[#This Row],[WeekDay]]=1, calendar[[#This Row],[WeekDay]]=7),P4086,P4086+1)</f>
        <v>2895</v>
      </c>
      <c r="S4087">
        <f>IF(OR(calendar[[#This Row],[PT_BH]]=1,calendar[[#This Row],[WeekDay]]=1, calendar[[#This Row],[WeekDay]]=7),P4086,P4086+1)</f>
        <v>2895</v>
      </c>
    </row>
    <row r="4088" spans="1:19" x14ac:dyDescent="0.25">
      <c r="A4088" s="2">
        <v>46822</v>
      </c>
      <c r="B4088" s="1">
        <f t="shared" si="321"/>
        <v>11</v>
      </c>
      <c r="C4088">
        <f t="shared" si="322"/>
        <v>3</v>
      </c>
      <c r="D4088" t="str">
        <f t="shared" si="323"/>
        <v>March</v>
      </c>
      <c r="E4088">
        <f t="shared" si="324"/>
        <v>2028</v>
      </c>
      <c r="F4088" t="str">
        <f>CONCATENATE(calendar[[#This Row],[Month]],"/",calendar[[#This Row],[Year]])</f>
        <v>3/2028</v>
      </c>
      <c r="G4088">
        <f>WEEKDAY(calendar[[#This Row],[Date]],1)</f>
        <v>6</v>
      </c>
      <c r="H4088" t="str">
        <f>TEXT(calendar[[#This Row],[WeekDay]],"dddd")</f>
        <v>Friday</v>
      </c>
      <c r="I4088">
        <f>IF((INT(calendar[[#This Row],[Count]]/7)-calendar[[#This Row],[Count]]/7)&lt;0,I4087,I4087+1)</f>
        <v>584</v>
      </c>
      <c r="J4088">
        <f t="shared" si="325"/>
        <v>4086</v>
      </c>
      <c r="K4088">
        <f>IF(calendar[[#This Row],[Month]]&lt;4,1,IF(calendar[[#This Row],[Month]]&lt;7,2,IF(calendar[[#This Row],[Month]]&lt;10,3,4)))</f>
        <v>1</v>
      </c>
      <c r="L4088">
        <f>IFERROR(IF(VLOOKUP(calendar[[#This Row],[Date]],BH!A:A,1,)&lt;&gt;"",1,0),0)</f>
        <v>0</v>
      </c>
      <c r="M4088">
        <f>IFERROR(IF(VLOOKUP(calendar[[#This Row],[Date]],BH!C:C,1,)&lt;&gt;"",1,0),0)</f>
        <v>0</v>
      </c>
      <c r="N4088">
        <f>IFERROR(IF(VLOOKUP(calendar[[#This Row],[Date]],BH!E:E,1,)&lt;&gt;"",1,0),0)</f>
        <v>0</v>
      </c>
      <c r="O4088">
        <f>IFERROR(IF(VLOOKUP(calendar[[#This Row],[Date]],BH!G:G,1,)&lt;&gt;"",1,0),0)</f>
        <v>0</v>
      </c>
      <c r="P4088">
        <f>IF(OR(calendar[[#This Row],[UK_BH]]=1,calendar[[#This Row],[WeekDay]]=1, calendar[[#This Row],[WeekDay]]=7),P4087,P4087+1)</f>
        <v>2896</v>
      </c>
      <c r="Q4088">
        <f>IF(OR(calendar[[#This Row],[FR_BH]]=1,calendar[[#This Row],[WeekDay]]=1, calendar[[#This Row],[WeekDay]]=7),P4087,P4087+1)</f>
        <v>2896</v>
      </c>
      <c r="R4088">
        <f>IF(OR(calendar[[#This Row],[SP_BH]]=1,calendar[[#This Row],[WeekDay]]=1, calendar[[#This Row],[WeekDay]]=7),P4087,P4087+1)</f>
        <v>2896</v>
      </c>
      <c r="S4088">
        <f>IF(OR(calendar[[#This Row],[PT_BH]]=1,calendar[[#This Row],[WeekDay]]=1, calendar[[#This Row],[WeekDay]]=7),P4087,P4087+1)</f>
        <v>2896</v>
      </c>
    </row>
    <row r="4089" spans="1:19" x14ac:dyDescent="0.25">
      <c r="A4089" s="2">
        <v>46823</v>
      </c>
      <c r="B4089" s="1">
        <f t="shared" si="321"/>
        <v>11</v>
      </c>
      <c r="C4089">
        <f t="shared" si="322"/>
        <v>3</v>
      </c>
      <c r="D4089" t="str">
        <f t="shared" si="323"/>
        <v>March</v>
      </c>
      <c r="E4089">
        <f t="shared" si="324"/>
        <v>2028</v>
      </c>
      <c r="F4089" t="str">
        <f>CONCATENATE(calendar[[#This Row],[Month]],"/",calendar[[#This Row],[Year]])</f>
        <v>3/2028</v>
      </c>
      <c r="G4089">
        <f>WEEKDAY(calendar[[#This Row],[Date]],1)</f>
        <v>7</v>
      </c>
      <c r="H4089" t="str">
        <f>TEXT(calendar[[#This Row],[WeekDay]],"dddd")</f>
        <v>Saturday</v>
      </c>
      <c r="I4089">
        <f>IF((INT(calendar[[#This Row],[Count]]/7)-calendar[[#This Row],[Count]]/7)&lt;0,I4088,I4088+1)</f>
        <v>584</v>
      </c>
      <c r="J4089">
        <f t="shared" si="325"/>
        <v>4087</v>
      </c>
      <c r="K4089">
        <f>IF(calendar[[#This Row],[Month]]&lt;4,1,IF(calendar[[#This Row],[Month]]&lt;7,2,IF(calendar[[#This Row],[Month]]&lt;10,3,4)))</f>
        <v>1</v>
      </c>
      <c r="L4089">
        <f>IFERROR(IF(VLOOKUP(calendar[[#This Row],[Date]],BH!A:A,1,)&lt;&gt;"",1,0),0)</f>
        <v>0</v>
      </c>
      <c r="M4089">
        <f>IFERROR(IF(VLOOKUP(calendar[[#This Row],[Date]],BH!C:C,1,)&lt;&gt;"",1,0),0)</f>
        <v>0</v>
      </c>
      <c r="N4089">
        <f>IFERROR(IF(VLOOKUP(calendar[[#This Row],[Date]],BH!E:E,1,)&lt;&gt;"",1,0),0)</f>
        <v>0</v>
      </c>
      <c r="O4089">
        <f>IFERROR(IF(VLOOKUP(calendar[[#This Row],[Date]],BH!G:G,1,)&lt;&gt;"",1,0),0)</f>
        <v>0</v>
      </c>
      <c r="P4089">
        <f>IF(OR(calendar[[#This Row],[UK_BH]]=1,calendar[[#This Row],[WeekDay]]=1, calendar[[#This Row],[WeekDay]]=7),P4088,P4088+1)</f>
        <v>2896</v>
      </c>
      <c r="Q4089">
        <f>IF(OR(calendar[[#This Row],[FR_BH]]=1,calendar[[#This Row],[WeekDay]]=1, calendar[[#This Row],[WeekDay]]=7),P4088,P4088+1)</f>
        <v>2896</v>
      </c>
      <c r="R4089">
        <f>IF(OR(calendar[[#This Row],[SP_BH]]=1,calendar[[#This Row],[WeekDay]]=1, calendar[[#This Row],[WeekDay]]=7),P4088,P4088+1)</f>
        <v>2896</v>
      </c>
      <c r="S4089">
        <f>IF(OR(calendar[[#This Row],[PT_BH]]=1,calendar[[#This Row],[WeekDay]]=1, calendar[[#This Row],[WeekDay]]=7),P4088,P4088+1)</f>
        <v>2896</v>
      </c>
    </row>
    <row r="4090" spans="1:19" x14ac:dyDescent="0.25">
      <c r="A4090" s="2">
        <v>46824</v>
      </c>
      <c r="B4090" s="1">
        <f t="shared" si="321"/>
        <v>12</v>
      </c>
      <c r="C4090">
        <f t="shared" si="322"/>
        <v>3</v>
      </c>
      <c r="D4090" t="str">
        <f t="shared" si="323"/>
        <v>March</v>
      </c>
      <c r="E4090">
        <f t="shared" si="324"/>
        <v>2028</v>
      </c>
      <c r="F4090" t="str">
        <f>CONCATENATE(calendar[[#This Row],[Month]],"/",calendar[[#This Row],[Year]])</f>
        <v>3/2028</v>
      </c>
      <c r="G4090">
        <f>WEEKDAY(calendar[[#This Row],[Date]],1)</f>
        <v>1</v>
      </c>
      <c r="H4090" t="str">
        <f>TEXT(calendar[[#This Row],[WeekDay]],"dddd")</f>
        <v>Sunday</v>
      </c>
      <c r="I4090">
        <f>IF((INT(calendar[[#This Row],[Count]]/7)-calendar[[#This Row],[Count]]/7)&lt;0,I4089,I4089+1)</f>
        <v>585</v>
      </c>
      <c r="J4090">
        <f t="shared" si="325"/>
        <v>4088</v>
      </c>
      <c r="K4090">
        <f>IF(calendar[[#This Row],[Month]]&lt;4,1,IF(calendar[[#This Row],[Month]]&lt;7,2,IF(calendar[[#This Row],[Month]]&lt;10,3,4)))</f>
        <v>1</v>
      </c>
      <c r="L4090">
        <f>IFERROR(IF(VLOOKUP(calendar[[#This Row],[Date]],BH!A:A,1,)&lt;&gt;"",1,0),0)</f>
        <v>0</v>
      </c>
      <c r="M4090">
        <f>IFERROR(IF(VLOOKUP(calendar[[#This Row],[Date]],BH!C:C,1,)&lt;&gt;"",1,0),0)</f>
        <v>0</v>
      </c>
      <c r="N4090">
        <f>IFERROR(IF(VLOOKUP(calendar[[#This Row],[Date]],BH!E:E,1,)&lt;&gt;"",1,0),0)</f>
        <v>0</v>
      </c>
      <c r="O4090">
        <f>IFERROR(IF(VLOOKUP(calendar[[#This Row],[Date]],BH!G:G,1,)&lt;&gt;"",1,0),0)</f>
        <v>0</v>
      </c>
      <c r="P4090">
        <f>IF(OR(calendar[[#This Row],[UK_BH]]=1,calendar[[#This Row],[WeekDay]]=1, calendar[[#This Row],[WeekDay]]=7),P4089,P4089+1)</f>
        <v>2896</v>
      </c>
      <c r="Q4090">
        <f>IF(OR(calendar[[#This Row],[FR_BH]]=1,calendar[[#This Row],[WeekDay]]=1, calendar[[#This Row],[WeekDay]]=7),P4089,P4089+1)</f>
        <v>2896</v>
      </c>
      <c r="R4090">
        <f>IF(OR(calendar[[#This Row],[SP_BH]]=1,calendar[[#This Row],[WeekDay]]=1, calendar[[#This Row],[WeekDay]]=7),P4089,P4089+1)</f>
        <v>2896</v>
      </c>
      <c r="S4090">
        <f>IF(OR(calendar[[#This Row],[PT_BH]]=1,calendar[[#This Row],[WeekDay]]=1, calendar[[#This Row],[WeekDay]]=7),P4089,P4089+1)</f>
        <v>2896</v>
      </c>
    </row>
    <row r="4091" spans="1:19" x14ac:dyDescent="0.25">
      <c r="A4091" s="2">
        <v>46825</v>
      </c>
      <c r="B4091" s="1">
        <f t="shared" si="321"/>
        <v>12</v>
      </c>
      <c r="C4091">
        <f t="shared" si="322"/>
        <v>3</v>
      </c>
      <c r="D4091" t="str">
        <f t="shared" si="323"/>
        <v>March</v>
      </c>
      <c r="E4091">
        <f t="shared" si="324"/>
        <v>2028</v>
      </c>
      <c r="F4091" t="str">
        <f>CONCATENATE(calendar[[#This Row],[Month]],"/",calendar[[#This Row],[Year]])</f>
        <v>3/2028</v>
      </c>
      <c r="G4091">
        <f>WEEKDAY(calendar[[#This Row],[Date]],1)</f>
        <v>2</v>
      </c>
      <c r="H4091" t="str">
        <f>TEXT(calendar[[#This Row],[WeekDay]],"dddd")</f>
        <v>Monday</v>
      </c>
      <c r="I4091">
        <f>IF((INT(calendar[[#This Row],[Count]]/7)-calendar[[#This Row],[Count]]/7)&lt;0,I4090,I4090+1)</f>
        <v>585</v>
      </c>
      <c r="J4091">
        <f t="shared" si="325"/>
        <v>4089</v>
      </c>
      <c r="K4091">
        <f>IF(calendar[[#This Row],[Month]]&lt;4,1,IF(calendar[[#This Row],[Month]]&lt;7,2,IF(calendar[[#This Row],[Month]]&lt;10,3,4)))</f>
        <v>1</v>
      </c>
      <c r="L4091">
        <f>IFERROR(IF(VLOOKUP(calendar[[#This Row],[Date]],BH!A:A,1,)&lt;&gt;"",1,0),0)</f>
        <v>0</v>
      </c>
      <c r="M4091">
        <f>IFERROR(IF(VLOOKUP(calendar[[#This Row],[Date]],BH!C:C,1,)&lt;&gt;"",1,0),0)</f>
        <v>0</v>
      </c>
      <c r="N4091">
        <f>IFERROR(IF(VLOOKUP(calendar[[#This Row],[Date]],BH!E:E,1,)&lt;&gt;"",1,0),0)</f>
        <v>0</v>
      </c>
      <c r="O4091">
        <f>IFERROR(IF(VLOOKUP(calendar[[#This Row],[Date]],BH!G:G,1,)&lt;&gt;"",1,0),0)</f>
        <v>0</v>
      </c>
      <c r="P4091">
        <f>IF(OR(calendar[[#This Row],[UK_BH]]=1,calendar[[#This Row],[WeekDay]]=1, calendar[[#This Row],[WeekDay]]=7),P4090,P4090+1)</f>
        <v>2897</v>
      </c>
      <c r="Q4091">
        <f>IF(OR(calendar[[#This Row],[FR_BH]]=1,calendar[[#This Row],[WeekDay]]=1, calendar[[#This Row],[WeekDay]]=7),P4090,P4090+1)</f>
        <v>2897</v>
      </c>
      <c r="R4091">
        <f>IF(OR(calendar[[#This Row],[SP_BH]]=1,calendar[[#This Row],[WeekDay]]=1, calendar[[#This Row],[WeekDay]]=7),P4090,P4090+1)</f>
        <v>2897</v>
      </c>
      <c r="S4091">
        <f>IF(OR(calendar[[#This Row],[PT_BH]]=1,calendar[[#This Row],[WeekDay]]=1, calendar[[#This Row],[WeekDay]]=7),P4090,P4090+1)</f>
        <v>2897</v>
      </c>
    </row>
    <row r="4092" spans="1:19" x14ac:dyDescent="0.25">
      <c r="A4092" s="2">
        <v>46826</v>
      </c>
      <c r="B4092" s="1">
        <f t="shared" si="321"/>
        <v>12</v>
      </c>
      <c r="C4092">
        <f t="shared" si="322"/>
        <v>3</v>
      </c>
      <c r="D4092" t="str">
        <f t="shared" si="323"/>
        <v>March</v>
      </c>
      <c r="E4092">
        <f t="shared" si="324"/>
        <v>2028</v>
      </c>
      <c r="F4092" t="str">
        <f>CONCATENATE(calendar[[#This Row],[Month]],"/",calendar[[#This Row],[Year]])</f>
        <v>3/2028</v>
      </c>
      <c r="G4092">
        <f>WEEKDAY(calendar[[#This Row],[Date]],1)</f>
        <v>3</v>
      </c>
      <c r="H4092" t="str">
        <f>TEXT(calendar[[#This Row],[WeekDay]],"dddd")</f>
        <v>Tuesday</v>
      </c>
      <c r="I4092">
        <f>IF((INT(calendar[[#This Row],[Count]]/7)-calendar[[#This Row],[Count]]/7)&lt;0,I4091,I4091+1)</f>
        <v>585</v>
      </c>
      <c r="J4092">
        <f t="shared" si="325"/>
        <v>4090</v>
      </c>
      <c r="K4092">
        <f>IF(calendar[[#This Row],[Month]]&lt;4,1,IF(calendar[[#This Row],[Month]]&lt;7,2,IF(calendar[[#This Row],[Month]]&lt;10,3,4)))</f>
        <v>1</v>
      </c>
      <c r="L4092">
        <f>IFERROR(IF(VLOOKUP(calendar[[#This Row],[Date]],BH!A:A,1,)&lt;&gt;"",1,0),0)</f>
        <v>0</v>
      </c>
      <c r="M4092">
        <f>IFERROR(IF(VLOOKUP(calendar[[#This Row],[Date]],BH!C:C,1,)&lt;&gt;"",1,0),0)</f>
        <v>0</v>
      </c>
      <c r="N4092">
        <f>IFERROR(IF(VLOOKUP(calendar[[#This Row],[Date]],BH!E:E,1,)&lt;&gt;"",1,0),0)</f>
        <v>0</v>
      </c>
      <c r="O4092">
        <f>IFERROR(IF(VLOOKUP(calendar[[#This Row],[Date]],BH!G:G,1,)&lt;&gt;"",1,0),0)</f>
        <v>0</v>
      </c>
      <c r="P4092">
        <f>IF(OR(calendar[[#This Row],[UK_BH]]=1,calendar[[#This Row],[WeekDay]]=1, calendar[[#This Row],[WeekDay]]=7),P4091,P4091+1)</f>
        <v>2898</v>
      </c>
      <c r="Q4092">
        <f>IF(OR(calendar[[#This Row],[FR_BH]]=1,calendar[[#This Row],[WeekDay]]=1, calendar[[#This Row],[WeekDay]]=7),P4091,P4091+1)</f>
        <v>2898</v>
      </c>
      <c r="R4092">
        <f>IF(OR(calendar[[#This Row],[SP_BH]]=1,calendar[[#This Row],[WeekDay]]=1, calendar[[#This Row],[WeekDay]]=7),P4091,P4091+1)</f>
        <v>2898</v>
      </c>
      <c r="S4092">
        <f>IF(OR(calendar[[#This Row],[PT_BH]]=1,calendar[[#This Row],[WeekDay]]=1, calendar[[#This Row],[WeekDay]]=7),P4091,P4091+1)</f>
        <v>2898</v>
      </c>
    </row>
    <row r="4093" spans="1:19" x14ac:dyDescent="0.25">
      <c r="A4093" s="2">
        <v>46827</v>
      </c>
      <c r="B4093" s="1">
        <f t="shared" si="321"/>
        <v>12</v>
      </c>
      <c r="C4093">
        <f t="shared" si="322"/>
        <v>3</v>
      </c>
      <c r="D4093" t="str">
        <f t="shared" si="323"/>
        <v>March</v>
      </c>
      <c r="E4093">
        <f t="shared" si="324"/>
        <v>2028</v>
      </c>
      <c r="F4093" t="str">
        <f>CONCATENATE(calendar[[#This Row],[Month]],"/",calendar[[#This Row],[Year]])</f>
        <v>3/2028</v>
      </c>
      <c r="G4093">
        <f>WEEKDAY(calendar[[#This Row],[Date]],1)</f>
        <v>4</v>
      </c>
      <c r="H4093" t="str">
        <f>TEXT(calendar[[#This Row],[WeekDay]],"dddd")</f>
        <v>Wednesday</v>
      </c>
      <c r="I4093">
        <f>IF((INT(calendar[[#This Row],[Count]]/7)-calendar[[#This Row],[Count]]/7)&lt;0,I4092,I4092+1)</f>
        <v>585</v>
      </c>
      <c r="J4093">
        <f t="shared" si="325"/>
        <v>4091</v>
      </c>
      <c r="K4093">
        <f>IF(calendar[[#This Row],[Month]]&lt;4,1,IF(calendar[[#This Row],[Month]]&lt;7,2,IF(calendar[[#This Row],[Month]]&lt;10,3,4)))</f>
        <v>1</v>
      </c>
      <c r="L4093">
        <f>IFERROR(IF(VLOOKUP(calendar[[#This Row],[Date]],BH!A:A,1,)&lt;&gt;"",1,0),0)</f>
        <v>0</v>
      </c>
      <c r="M4093">
        <f>IFERROR(IF(VLOOKUP(calendar[[#This Row],[Date]],BH!C:C,1,)&lt;&gt;"",1,0),0)</f>
        <v>0</v>
      </c>
      <c r="N4093">
        <f>IFERROR(IF(VLOOKUP(calendar[[#This Row],[Date]],BH!E:E,1,)&lt;&gt;"",1,0),0)</f>
        <v>0</v>
      </c>
      <c r="O4093">
        <f>IFERROR(IF(VLOOKUP(calendar[[#This Row],[Date]],BH!G:G,1,)&lt;&gt;"",1,0),0)</f>
        <v>0</v>
      </c>
      <c r="P4093">
        <f>IF(OR(calendar[[#This Row],[UK_BH]]=1,calendar[[#This Row],[WeekDay]]=1, calendar[[#This Row],[WeekDay]]=7),P4092,P4092+1)</f>
        <v>2899</v>
      </c>
      <c r="Q4093">
        <f>IF(OR(calendar[[#This Row],[FR_BH]]=1,calendar[[#This Row],[WeekDay]]=1, calendar[[#This Row],[WeekDay]]=7),P4092,P4092+1)</f>
        <v>2899</v>
      </c>
      <c r="R4093">
        <f>IF(OR(calendar[[#This Row],[SP_BH]]=1,calendar[[#This Row],[WeekDay]]=1, calendar[[#This Row],[WeekDay]]=7),P4092,P4092+1)</f>
        <v>2899</v>
      </c>
      <c r="S4093">
        <f>IF(OR(calendar[[#This Row],[PT_BH]]=1,calendar[[#This Row],[WeekDay]]=1, calendar[[#This Row],[WeekDay]]=7),P4092,P4092+1)</f>
        <v>2899</v>
      </c>
    </row>
    <row r="4094" spans="1:19" x14ac:dyDescent="0.25">
      <c r="A4094" s="2">
        <v>46828</v>
      </c>
      <c r="B4094" s="1">
        <f t="shared" si="321"/>
        <v>12</v>
      </c>
      <c r="C4094">
        <f t="shared" si="322"/>
        <v>3</v>
      </c>
      <c r="D4094" t="str">
        <f t="shared" si="323"/>
        <v>March</v>
      </c>
      <c r="E4094">
        <f t="shared" si="324"/>
        <v>2028</v>
      </c>
      <c r="F4094" t="str">
        <f>CONCATENATE(calendar[[#This Row],[Month]],"/",calendar[[#This Row],[Year]])</f>
        <v>3/2028</v>
      </c>
      <c r="G4094">
        <f>WEEKDAY(calendar[[#This Row],[Date]],1)</f>
        <v>5</v>
      </c>
      <c r="H4094" t="str">
        <f>TEXT(calendar[[#This Row],[WeekDay]],"dddd")</f>
        <v>Thursday</v>
      </c>
      <c r="I4094">
        <f>IF((INT(calendar[[#This Row],[Count]]/7)-calendar[[#This Row],[Count]]/7)&lt;0,I4093,I4093+1)</f>
        <v>585</v>
      </c>
      <c r="J4094">
        <f t="shared" si="325"/>
        <v>4092</v>
      </c>
      <c r="K4094">
        <f>IF(calendar[[#This Row],[Month]]&lt;4,1,IF(calendar[[#This Row],[Month]]&lt;7,2,IF(calendar[[#This Row],[Month]]&lt;10,3,4)))</f>
        <v>1</v>
      </c>
      <c r="L4094">
        <f>IFERROR(IF(VLOOKUP(calendar[[#This Row],[Date]],BH!A:A,1,)&lt;&gt;"",1,0),0)</f>
        <v>0</v>
      </c>
      <c r="M4094">
        <f>IFERROR(IF(VLOOKUP(calendar[[#This Row],[Date]],BH!C:C,1,)&lt;&gt;"",1,0),0)</f>
        <v>0</v>
      </c>
      <c r="N4094">
        <f>IFERROR(IF(VLOOKUP(calendar[[#This Row],[Date]],BH!E:E,1,)&lt;&gt;"",1,0),0)</f>
        <v>0</v>
      </c>
      <c r="O4094">
        <f>IFERROR(IF(VLOOKUP(calendar[[#This Row],[Date]],BH!G:G,1,)&lt;&gt;"",1,0),0)</f>
        <v>0</v>
      </c>
      <c r="P4094">
        <f>IF(OR(calendar[[#This Row],[UK_BH]]=1,calendar[[#This Row],[WeekDay]]=1, calendar[[#This Row],[WeekDay]]=7),P4093,P4093+1)</f>
        <v>2900</v>
      </c>
      <c r="Q4094">
        <f>IF(OR(calendar[[#This Row],[FR_BH]]=1,calendar[[#This Row],[WeekDay]]=1, calendar[[#This Row],[WeekDay]]=7),P4093,P4093+1)</f>
        <v>2900</v>
      </c>
      <c r="R4094">
        <f>IF(OR(calendar[[#This Row],[SP_BH]]=1,calendar[[#This Row],[WeekDay]]=1, calendar[[#This Row],[WeekDay]]=7),P4093,P4093+1)</f>
        <v>2900</v>
      </c>
      <c r="S4094">
        <f>IF(OR(calendar[[#This Row],[PT_BH]]=1,calendar[[#This Row],[WeekDay]]=1, calendar[[#This Row],[WeekDay]]=7),P4093,P4093+1)</f>
        <v>2900</v>
      </c>
    </row>
    <row r="4095" spans="1:19" x14ac:dyDescent="0.25">
      <c r="A4095" s="2">
        <v>46829</v>
      </c>
      <c r="B4095" s="1">
        <f t="shared" si="321"/>
        <v>12</v>
      </c>
      <c r="C4095">
        <f t="shared" si="322"/>
        <v>3</v>
      </c>
      <c r="D4095" t="str">
        <f t="shared" si="323"/>
        <v>March</v>
      </c>
      <c r="E4095">
        <f t="shared" si="324"/>
        <v>2028</v>
      </c>
      <c r="F4095" t="str">
        <f>CONCATENATE(calendar[[#This Row],[Month]],"/",calendar[[#This Row],[Year]])</f>
        <v>3/2028</v>
      </c>
      <c r="G4095">
        <f>WEEKDAY(calendar[[#This Row],[Date]],1)</f>
        <v>6</v>
      </c>
      <c r="H4095" t="str">
        <f>TEXT(calendar[[#This Row],[WeekDay]],"dddd")</f>
        <v>Friday</v>
      </c>
      <c r="I4095">
        <f>IF((INT(calendar[[#This Row],[Count]]/7)-calendar[[#This Row],[Count]]/7)&lt;0,I4094,I4094+1)</f>
        <v>585</v>
      </c>
      <c r="J4095">
        <f t="shared" si="325"/>
        <v>4093</v>
      </c>
      <c r="K4095">
        <f>IF(calendar[[#This Row],[Month]]&lt;4,1,IF(calendar[[#This Row],[Month]]&lt;7,2,IF(calendar[[#This Row],[Month]]&lt;10,3,4)))</f>
        <v>1</v>
      </c>
      <c r="L4095">
        <f>IFERROR(IF(VLOOKUP(calendar[[#This Row],[Date]],BH!A:A,1,)&lt;&gt;"",1,0),0)</f>
        <v>0</v>
      </c>
      <c r="M4095">
        <f>IFERROR(IF(VLOOKUP(calendar[[#This Row],[Date]],BH!C:C,1,)&lt;&gt;"",1,0),0)</f>
        <v>0</v>
      </c>
      <c r="N4095">
        <f>IFERROR(IF(VLOOKUP(calendar[[#This Row],[Date]],BH!E:E,1,)&lt;&gt;"",1,0),0)</f>
        <v>0</v>
      </c>
      <c r="O4095">
        <f>IFERROR(IF(VLOOKUP(calendar[[#This Row],[Date]],BH!G:G,1,)&lt;&gt;"",1,0),0)</f>
        <v>0</v>
      </c>
      <c r="P4095">
        <f>IF(OR(calendar[[#This Row],[UK_BH]]=1,calendar[[#This Row],[WeekDay]]=1, calendar[[#This Row],[WeekDay]]=7),P4094,P4094+1)</f>
        <v>2901</v>
      </c>
      <c r="Q4095">
        <f>IF(OR(calendar[[#This Row],[FR_BH]]=1,calendar[[#This Row],[WeekDay]]=1, calendar[[#This Row],[WeekDay]]=7),P4094,P4094+1)</f>
        <v>2901</v>
      </c>
      <c r="R4095">
        <f>IF(OR(calendar[[#This Row],[SP_BH]]=1,calendar[[#This Row],[WeekDay]]=1, calendar[[#This Row],[WeekDay]]=7),P4094,P4094+1)</f>
        <v>2901</v>
      </c>
      <c r="S4095">
        <f>IF(OR(calendar[[#This Row],[PT_BH]]=1,calendar[[#This Row],[WeekDay]]=1, calendar[[#This Row],[WeekDay]]=7),P4094,P4094+1)</f>
        <v>2901</v>
      </c>
    </row>
    <row r="4096" spans="1:19" x14ac:dyDescent="0.25">
      <c r="A4096" s="2">
        <v>46830</v>
      </c>
      <c r="B4096" s="1">
        <f t="shared" si="321"/>
        <v>12</v>
      </c>
      <c r="C4096">
        <f t="shared" si="322"/>
        <v>3</v>
      </c>
      <c r="D4096" t="str">
        <f t="shared" si="323"/>
        <v>March</v>
      </c>
      <c r="E4096">
        <f t="shared" si="324"/>
        <v>2028</v>
      </c>
      <c r="F4096" t="str">
        <f>CONCATENATE(calendar[[#This Row],[Month]],"/",calendar[[#This Row],[Year]])</f>
        <v>3/2028</v>
      </c>
      <c r="G4096">
        <f>WEEKDAY(calendar[[#This Row],[Date]],1)</f>
        <v>7</v>
      </c>
      <c r="H4096" t="str">
        <f>TEXT(calendar[[#This Row],[WeekDay]],"dddd")</f>
        <v>Saturday</v>
      </c>
      <c r="I4096">
        <f>IF((INT(calendar[[#This Row],[Count]]/7)-calendar[[#This Row],[Count]]/7)&lt;0,I4095,I4095+1)</f>
        <v>585</v>
      </c>
      <c r="J4096">
        <f t="shared" si="325"/>
        <v>4094</v>
      </c>
      <c r="K4096">
        <f>IF(calendar[[#This Row],[Month]]&lt;4,1,IF(calendar[[#This Row],[Month]]&lt;7,2,IF(calendar[[#This Row],[Month]]&lt;10,3,4)))</f>
        <v>1</v>
      </c>
      <c r="L4096">
        <f>IFERROR(IF(VLOOKUP(calendar[[#This Row],[Date]],BH!A:A,1,)&lt;&gt;"",1,0),0)</f>
        <v>0</v>
      </c>
      <c r="M4096">
        <f>IFERROR(IF(VLOOKUP(calendar[[#This Row],[Date]],BH!C:C,1,)&lt;&gt;"",1,0),0)</f>
        <v>0</v>
      </c>
      <c r="N4096">
        <f>IFERROR(IF(VLOOKUP(calendar[[#This Row],[Date]],BH!E:E,1,)&lt;&gt;"",1,0),0)</f>
        <v>0</v>
      </c>
      <c r="O4096">
        <f>IFERROR(IF(VLOOKUP(calendar[[#This Row],[Date]],BH!G:G,1,)&lt;&gt;"",1,0),0)</f>
        <v>0</v>
      </c>
      <c r="P4096">
        <f>IF(OR(calendar[[#This Row],[UK_BH]]=1,calendar[[#This Row],[WeekDay]]=1, calendar[[#This Row],[WeekDay]]=7),P4095,P4095+1)</f>
        <v>2901</v>
      </c>
      <c r="Q4096">
        <f>IF(OR(calendar[[#This Row],[FR_BH]]=1,calendar[[#This Row],[WeekDay]]=1, calendar[[#This Row],[WeekDay]]=7),P4095,P4095+1)</f>
        <v>2901</v>
      </c>
      <c r="R4096">
        <f>IF(OR(calendar[[#This Row],[SP_BH]]=1,calendar[[#This Row],[WeekDay]]=1, calendar[[#This Row],[WeekDay]]=7),P4095,P4095+1)</f>
        <v>2901</v>
      </c>
      <c r="S4096">
        <f>IF(OR(calendar[[#This Row],[PT_BH]]=1,calendar[[#This Row],[WeekDay]]=1, calendar[[#This Row],[WeekDay]]=7),P4095,P4095+1)</f>
        <v>2901</v>
      </c>
    </row>
    <row r="4097" spans="1:19" x14ac:dyDescent="0.25">
      <c r="A4097" s="2">
        <v>46831</v>
      </c>
      <c r="B4097" s="1">
        <f t="shared" si="321"/>
        <v>13</v>
      </c>
      <c r="C4097">
        <f t="shared" si="322"/>
        <v>3</v>
      </c>
      <c r="D4097" t="str">
        <f t="shared" si="323"/>
        <v>March</v>
      </c>
      <c r="E4097">
        <f t="shared" si="324"/>
        <v>2028</v>
      </c>
      <c r="F4097" t="str">
        <f>CONCATENATE(calendar[[#This Row],[Month]],"/",calendar[[#This Row],[Year]])</f>
        <v>3/2028</v>
      </c>
      <c r="G4097">
        <f>WEEKDAY(calendar[[#This Row],[Date]],1)</f>
        <v>1</v>
      </c>
      <c r="H4097" t="str">
        <f>TEXT(calendar[[#This Row],[WeekDay]],"dddd")</f>
        <v>Sunday</v>
      </c>
      <c r="I4097">
        <f>IF((INT(calendar[[#This Row],[Count]]/7)-calendar[[#This Row],[Count]]/7)&lt;0,I4096,I4096+1)</f>
        <v>586</v>
      </c>
      <c r="J4097">
        <f t="shared" si="325"/>
        <v>4095</v>
      </c>
      <c r="K4097">
        <f>IF(calendar[[#This Row],[Month]]&lt;4,1,IF(calendar[[#This Row],[Month]]&lt;7,2,IF(calendar[[#This Row],[Month]]&lt;10,3,4)))</f>
        <v>1</v>
      </c>
      <c r="L4097">
        <f>IFERROR(IF(VLOOKUP(calendar[[#This Row],[Date]],BH!A:A,1,)&lt;&gt;"",1,0),0)</f>
        <v>0</v>
      </c>
      <c r="M4097">
        <f>IFERROR(IF(VLOOKUP(calendar[[#This Row],[Date]],BH!C:C,1,)&lt;&gt;"",1,0),0)</f>
        <v>0</v>
      </c>
      <c r="N4097">
        <f>IFERROR(IF(VLOOKUP(calendar[[#This Row],[Date]],BH!E:E,1,)&lt;&gt;"",1,0),0)</f>
        <v>0</v>
      </c>
      <c r="O4097">
        <f>IFERROR(IF(VLOOKUP(calendar[[#This Row],[Date]],BH!G:G,1,)&lt;&gt;"",1,0),0)</f>
        <v>0</v>
      </c>
      <c r="P4097">
        <f>IF(OR(calendar[[#This Row],[UK_BH]]=1,calendar[[#This Row],[WeekDay]]=1, calendar[[#This Row],[WeekDay]]=7),P4096,P4096+1)</f>
        <v>2901</v>
      </c>
      <c r="Q4097">
        <f>IF(OR(calendar[[#This Row],[FR_BH]]=1,calendar[[#This Row],[WeekDay]]=1, calendar[[#This Row],[WeekDay]]=7),P4096,P4096+1)</f>
        <v>2901</v>
      </c>
      <c r="R4097">
        <f>IF(OR(calendar[[#This Row],[SP_BH]]=1,calendar[[#This Row],[WeekDay]]=1, calendar[[#This Row],[WeekDay]]=7),P4096,P4096+1)</f>
        <v>2901</v>
      </c>
      <c r="S4097">
        <f>IF(OR(calendar[[#This Row],[PT_BH]]=1,calendar[[#This Row],[WeekDay]]=1, calendar[[#This Row],[WeekDay]]=7),P4096,P4096+1)</f>
        <v>2901</v>
      </c>
    </row>
    <row r="4098" spans="1:19" x14ac:dyDescent="0.25">
      <c r="A4098" s="2">
        <v>46832</v>
      </c>
      <c r="B4098" s="1">
        <f t="shared" ref="B4098:B4161" si="326">WEEKNUM(A4098)</f>
        <v>13</v>
      </c>
      <c r="C4098">
        <f t="shared" si="322"/>
        <v>3</v>
      </c>
      <c r="D4098" t="str">
        <f t="shared" si="323"/>
        <v>March</v>
      </c>
      <c r="E4098">
        <f t="shared" si="324"/>
        <v>2028</v>
      </c>
      <c r="F4098" t="str">
        <f>CONCATENATE(calendar[[#This Row],[Month]],"/",calendar[[#This Row],[Year]])</f>
        <v>3/2028</v>
      </c>
      <c r="G4098">
        <f>WEEKDAY(calendar[[#This Row],[Date]],1)</f>
        <v>2</v>
      </c>
      <c r="H4098" t="str">
        <f>TEXT(calendar[[#This Row],[WeekDay]],"dddd")</f>
        <v>Monday</v>
      </c>
      <c r="I4098">
        <f>IF((INT(calendar[[#This Row],[Count]]/7)-calendar[[#This Row],[Count]]/7)&lt;0,I4097,I4097+1)</f>
        <v>586</v>
      </c>
      <c r="J4098">
        <f t="shared" si="325"/>
        <v>4096</v>
      </c>
      <c r="K4098">
        <f>IF(calendar[[#This Row],[Month]]&lt;4,1,IF(calendar[[#This Row],[Month]]&lt;7,2,IF(calendar[[#This Row],[Month]]&lt;10,3,4)))</f>
        <v>1</v>
      </c>
      <c r="L4098">
        <f>IFERROR(IF(VLOOKUP(calendar[[#This Row],[Date]],BH!A:A,1,)&lt;&gt;"",1,0),0)</f>
        <v>0</v>
      </c>
      <c r="M4098">
        <f>IFERROR(IF(VLOOKUP(calendar[[#This Row],[Date]],BH!C:C,1,)&lt;&gt;"",1,0),0)</f>
        <v>0</v>
      </c>
      <c r="N4098">
        <f>IFERROR(IF(VLOOKUP(calendar[[#This Row],[Date]],BH!E:E,1,)&lt;&gt;"",1,0),0)</f>
        <v>0</v>
      </c>
      <c r="O4098">
        <f>IFERROR(IF(VLOOKUP(calendar[[#This Row],[Date]],BH!G:G,1,)&lt;&gt;"",1,0),0)</f>
        <v>0</v>
      </c>
      <c r="P4098">
        <f>IF(OR(calendar[[#This Row],[UK_BH]]=1,calendar[[#This Row],[WeekDay]]=1, calendar[[#This Row],[WeekDay]]=7),P4097,P4097+1)</f>
        <v>2902</v>
      </c>
      <c r="Q4098">
        <f>IF(OR(calendar[[#This Row],[FR_BH]]=1,calendar[[#This Row],[WeekDay]]=1, calendar[[#This Row],[WeekDay]]=7),P4097,P4097+1)</f>
        <v>2902</v>
      </c>
      <c r="R4098">
        <f>IF(OR(calendar[[#This Row],[SP_BH]]=1,calendar[[#This Row],[WeekDay]]=1, calendar[[#This Row],[WeekDay]]=7),P4097,P4097+1)</f>
        <v>2902</v>
      </c>
      <c r="S4098">
        <f>IF(OR(calendar[[#This Row],[PT_BH]]=1,calendar[[#This Row],[WeekDay]]=1, calendar[[#This Row],[WeekDay]]=7),P4097,P4097+1)</f>
        <v>2902</v>
      </c>
    </row>
    <row r="4099" spans="1:19" x14ac:dyDescent="0.25">
      <c r="A4099" s="2">
        <v>46833</v>
      </c>
      <c r="B4099" s="1">
        <f t="shared" si="326"/>
        <v>13</v>
      </c>
      <c r="C4099">
        <f t="shared" ref="C4099:C4162" si="327">MONTH(A4099)</f>
        <v>3</v>
      </c>
      <c r="D4099" t="str">
        <f t="shared" ref="D4099:D4162" si="328">TEXT(A4099,"mmmm")</f>
        <v>March</v>
      </c>
      <c r="E4099">
        <f t="shared" ref="E4099:E4162" si="329">YEAR(A4099)</f>
        <v>2028</v>
      </c>
      <c r="F4099" t="str">
        <f>CONCATENATE(calendar[[#This Row],[Month]],"/",calendar[[#This Row],[Year]])</f>
        <v>3/2028</v>
      </c>
      <c r="G4099">
        <f>WEEKDAY(calendar[[#This Row],[Date]],1)</f>
        <v>3</v>
      </c>
      <c r="H4099" t="str">
        <f>TEXT(calendar[[#This Row],[WeekDay]],"dddd")</f>
        <v>Tuesday</v>
      </c>
      <c r="I4099">
        <f>IF((INT(calendar[[#This Row],[Count]]/7)-calendar[[#This Row],[Count]]/7)&lt;0,I4098,I4098+1)</f>
        <v>586</v>
      </c>
      <c r="J4099">
        <f t="shared" ref="J4099:J4162" si="330">J4098+1</f>
        <v>4097</v>
      </c>
      <c r="K4099">
        <f>IF(calendar[[#This Row],[Month]]&lt;4,1,IF(calendar[[#This Row],[Month]]&lt;7,2,IF(calendar[[#This Row],[Month]]&lt;10,3,4)))</f>
        <v>1</v>
      </c>
      <c r="L4099">
        <f>IFERROR(IF(VLOOKUP(calendar[[#This Row],[Date]],BH!A:A,1,)&lt;&gt;"",1,0),0)</f>
        <v>0</v>
      </c>
      <c r="M4099">
        <f>IFERROR(IF(VLOOKUP(calendar[[#This Row],[Date]],BH!C:C,1,)&lt;&gt;"",1,0),0)</f>
        <v>0</v>
      </c>
      <c r="N4099">
        <f>IFERROR(IF(VLOOKUP(calendar[[#This Row],[Date]],BH!E:E,1,)&lt;&gt;"",1,0),0)</f>
        <v>0</v>
      </c>
      <c r="O4099">
        <f>IFERROR(IF(VLOOKUP(calendar[[#This Row],[Date]],BH!G:G,1,)&lt;&gt;"",1,0),0)</f>
        <v>0</v>
      </c>
      <c r="P4099">
        <f>IF(OR(calendar[[#This Row],[UK_BH]]=1,calendar[[#This Row],[WeekDay]]=1, calendar[[#This Row],[WeekDay]]=7),P4098,P4098+1)</f>
        <v>2903</v>
      </c>
      <c r="Q4099">
        <f>IF(OR(calendar[[#This Row],[FR_BH]]=1,calendar[[#This Row],[WeekDay]]=1, calendar[[#This Row],[WeekDay]]=7),P4098,P4098+1)</f>
        <v>2903</v>
      </c>
      <c r="R4099">
        <f>IF(OR(calendar[[#This Row],[SP_BH]]=1,calendar[[#This Row],[WeekDay]]=1, calendar[[#This Row],[WeekDay]]=7),P4098,P4098+1)</f>
        <v>2903</v>
      </c>
      <c r="S4099">
        <f>IF(OR(calendar[[#This Row],[PT_BH]]=1,calendar[[#This Row],[WeekDay]]=1, calendar[[#This Row],[WeekDay]]=7),P4098,P4098+1)</f>
        <v>2903</v>
      </c>
    </row>
    <row r="4100" spans="1:19" x14ac:dyDescent="0.25">
      <c r="A4100" s="2">
        <v>46834</v>
      </c>
      <c r="B4100" s="1">
        <f t="shared" si="326"/>
        <v>13</v>
      </c>
      <c r="C4100">
        <f t="shared" si="327"/>
        <v>3</v>
      </c>
      <c r="D4100" t="str">
        <f t="shared" si="328"/>
        <v>March</v>
      </c>
      <c r="E4100">
        <f t="shared" si="329"/>
        <v>2028</v>
      </c>
      <c r="F4100" t="str">
        <f>CONCATENATE(calendar[[#This Row],[Month]],"/",calendar[[#This Row],[Year]])</f>
        <v>3/2028</v>
      </c>
      <c r="G4100">
        <f>WEEKDAY(calendar[[#This Row],[Date]],1)</f>
        <v>4</v>
      </c>
      <c r="H4100" t="str">
        <f>TEXT(calendar[[#This Row],[WeekDay]],"dddd")</f>
        <v>Wednesday</v>
      </c>
      <c r="I4100">
        <f>IF((INT(calendar[[#This Row],[Count]]/7)-calendar[[#This Row],[Count]]/7)&lt;0,I4099,I4099+1)</f>
        <v>586</v>
      </c>
      <c r="J4100">
        <f t="shared" si="330"/>
        <v>4098</v>
      </c>
      <c r="K4100">
        <f>IF(calendar[[#This Row],[Month]]&lt;4,1,IF(calendar[[#This Row],[Month]]&lt;7,2,IF(calendar[[#This Row],[Month]]&lt;10,3,4)))</f>
        <v>1</v>
      </c>
      <c r="L4100">
        <f>IFERROR(IF(VLOOKUP(calendar[[#This Row],[Date]],BH!A:A,1,)&lt;&gt;"",1,0),0)</f>
        <v>0</v>
      </c>
      <c r="M4100">
        <f>IFERROR(IF(VLOOKUP(calendar[[#This Row],[Date]],BH!C:C,1,)&lt;&gt;"",1,0),0)</f>
        <v>0</v>
      </c>
      <c r="N4100">
        <f>IFERROR(IF(VLOOKUP(calendar[[#This Row],[Date]],BH!E:E,1,)&lt;&gt;"",1,0),0)</f>
        <v>0</v>
      </c>
      <c r="O4100">
        <f>IFERROR(IF(VLOOKUP(calendar[[#This Row],[Date]],BH!G:G,1,)&lt;&gt;"",1,0),0)</f>
        <v>0</v>
      </c>
      <c r="P4100">
        <f>IF(OR(calendar[[#This Row],[UK_BH]]=1,calendar[[#This Row],[WeekDay]]=1, calendar[[#This Row],[WeekDay]]=7),P4099,P4099+1)</f>
        <v>2904</v>
      </c>
      <c r="Q4100">
        <f>IF(OR(calendar[[#This Row],[FR_BH]]=1,calendar[[#This Row],[WeekDay]]=1, calendar[[#This Row],[WeekDay]]=7),P4099,P4099+1)</f>
        <v>2904</v>
      </c>
      <c r="R4100">
        <f>IF(OR(calendar[[#This Row],[SP_BH]]=1,calendar[[#This Row],[WeekDay]]=1, calendar[[#This Row],[WeekDay]]=7),P4099,P4099+1)</f>
        <v>2904</v>
      </c>
      <c r="S4100">
        <f>IF(OR(calendar[[#This Row],[PT_BH]]=1,calendar[[#This Row],[WeekDay]]=1, calendar[[#This Row],[WeekDay]]=7),P4099,P4099+1)</f>
        <v>2904</v>
      </c>
    </row>
    <row r="4101" spans="1:19" x14ac:dyDescent="0.25">
      <c r="A4101" s="2">
        <v>46835</v>
      </c>
      <c r="B4101" s="1">
        <f t="shared" si="326"/>
        <v>13</v>
      </c>
      <c r="C4101">
        <f t="shared" si="327"/>
        <v>3</v>
      </c>
      <c r="D4101" t="str">
        <f t="shared" si="328"/>
        <v>March</v>
      </c>
      <c r="E4101">
        <f t="shared" si="329"/>
        <v>2028</v>
      </c>
      <c r="F4101" t="str">
        <f>CONCATENATE(calendar[[#This Row],[Month]],"/",calendar[[#This Row],[Year]])</f>
        <v>3/2028</v>
      </c>
      <c r="G4101">
        <f>WEEKDAY(calendar[[#This Row],[Date]],1)</f>
        <v>5</v>
      </c>
      <c r="H4101" t="str">
        <f>TEXT(calendar[[#This Row],[WeekDay]],"dddd")</f>
        <v>Thursday</v>
      </c>
      <c r="I4101">
        <f>IF((INT(calendar[[#This Row],[Count]]/7)-calendar[[#This Row],[Count]]/7)&lt;0,I4100,I4100+1)</f>
        <v>586</v>
      </c>
      <c r="J4101">
        <f t="shared" si="330"/>
        <v>4099</v>
      </c>
      <c r="K4101">
        <f>IF(calendar[[#This Row],[Month]]&lt;4,1,IF(calendar[[#This Row],[Month]]&lt;7,2,IF(calendar[[#This Row],[Month]]&lt;10,3,4)))</f>
        <v>1</v>
      </c>
      <c r="L4101">
        <f>IFERROR(IF(VLOOKUP(calendar[[#This Row],[Date]],BH!A:A,1,)&lt;&gt;"",1,0),0)</f>
        <v>0</v>
      </c>
      <c r="M4101">
        <f>IFERROR(IF(VLOOKUP(calendar[[#This Row],[Date]],BH!C:C,1,)&lt;&gt;"",1,0),0)</f>
        <v>0</v>
      </c>
      <c r="N4101">
        <f>IFERROR(IF(VLOOKUP(calendar[[#This Row],[Date]],BH!E:E,1,)&lt;&gt;"",1,0),0)</f>
        <v>0</v>
      </c>
      <c r="O4101">
        <f>IFERROR(IF(VLOOKUP(calendar[[#This Row],[Date]],BH!G:G,1,)&lt;&gt;"",1,0),0)</f>
        <v>0</v>
      </c>
      <c r="P4101">
        <f>IF(OR(calendar[[#This Row],[UK_BH]]=1,calendar[[#This Row],[WeekDay]]=1, calendar[[#This Row],[WeekDay]]=7),P4100,P4100+1)</f>
        <v>2905</v>
      </c>
      <c r="Q4101">
        <f>IF(OR(calendar[[#This Row],[FR_BH]]=1,calendar[[#This Row],[WeekDay]]=1, calendar[[#This Row],[WeekDay]]=7),P4100,P4100+1)</f>
        <v>2905</v>
      </c>
      <c r="R4101">
        <f>IF(OR(calendar[[#This Row],[SP_BH]]=1,calendar[[#This Row],[WeekDay]]=1, calendar[[#This Row],[WeekDay]]=7),P4100,P4100+1)</f>
        <v>2905</v>
      </c>
      <c r="S4101">
        <f>IF(OR(calendar[[#This Row],[PT_BH]]=1,calendar[[#This Row],[WeekDay]]=1, calendar[[#This Row],[WeekDay]]=7),P4100,P4100+1)</f>
        <v>2905</v>
      </c>
    </row>
    <row r="4102" spans="1:19" x14ac:dyDescent="0.25">
      <c r="A4102" s="2">
        <v>46836</v>
      </c>
      <c r="B4102" s="1">
        <f t="shared" si="326"/>
        <v>13</v>
      </c>
      <c r="C4102">
        <f t="shared" si="327"/>
        <v>3</v>
      </c>
      <c r="D4102" t="str">
        <f t="shared" si="328"/>
        <v>March</v>
      </c>
      <c r="E4102">
        <f t="shared" si="329"/>
        <v>2028</v>
      </c>
      <c r="F4102" t="str">
        <f>CONCATENATE(calendar[[#This Row],[Month]],"/",calendar[[#This Row],[Year]])</f>
        <v>3/2028</v>
      </c>
      <c r="G4102">
        <f>WEEKDAY(calendar[[#This Row],[Date]],1)</f>
        <v>6</v>
      </c>
      <c r="H4102" t="str">
        <f>TEXT(calendar[[#This Row],[WeekDay]],"dddd")</f>
        <v>Friday</v>
      </c>
      <c r="I4102">
        <f>IF((INT(calendar[[#This Row],[Count]]/7)-calendar[[#This Row],[Count]]/7)&lt;0,I4101,I4101+1)</f>
        <v>586</v>
      </c>
      <c r="J4102">
        <f t="shared" si="330"/>
        <v>4100</v>
      </c>
      <c r="K4102">
        <f>IF(calendar[[#This Row],[Month]]&lt;4,1,IF(calendar[[#This Row],[Month]]&lt;7,2,IF(calendar[[#This Row],[Month]]&lt;10,3,4)))</f>
        <v>1</v>
      </c>
      <c r="L4102">
        <f>IFERROR(IF(VLOOKUP(calendar[[#This Row],[Date]],BH!A:A,1,)&lt;&gt;"",1,0),0)</f>
        <v>0</v>
      </c>
      <c r="M4102">
        <f>IFERROR(IF(VLOOKUP(calendar[[#This Row],[Date]],BH!C:C,1,)&lt;&gt;"",1,0),0)</f>
        <v>0</v>
      </c>
      <c r="N4102">
        <f>IFERROR(IF(VLOOKUP(calendar[[#This Row],[Date]],BH!E:E,1,)&lt;&gt;"",1,0),0)</f>
        <v>0</v>
      </c>
      <c r="O4102">
        <f>IFERROR(IF(VLOOKUP(calendar[[#This Row],[Date]],BH!G:G,1,)&lt;&gt;"",1,0),0)</f>
        <v>0</v>
      </c>
      <c r="P4102">
        <f>IF(OR(calendar[[#This Row],[UK_BH]]=1,calendar[[#This Row],[WeekDay]]=1, calendar[[#This Row],[WeekDay]]=7),P4101,P4101+1)</f>
        <v>2906</v>
      </c>
      <c r="Q4102">
        <f>IF(OR(calendar[[#This Row],[FR_BH]]=1,calendar[[#This Row],[WeekDay]]=1, calendar[[#This Row],[WeekDay]]=7),P4101,P4101+1)</f>
        <v>2906</v>
      </c>
      <c r="R4102">
        <f>IF(OR(calendar[[#This Row],[SP_BH]]=1,calendar[[#This Row],[WeekDay]]=1, calendar[[#This Row],[WeekDay]]=7),P4101,P4101+1)</f>
        <v>2906</v>
      </c>
      <c r="S4102">
        <f>IF(OR(calendar[[#This Row],[PT_BH]]=1,calendar[[#This Row],[WeekDay]]=1, calendar[[#This Row],[WeekDay]]=7),P4101,P4101+1)</f>
        <v>2906</v>
      </c>
    </row>
    <row r="4103" spans="1:19" x14ac:dyDescent="0.25">
      <c r="A4103" s="2">
        <v>46837</v>
      </c>
      <c r="B4103" s="1">
        <f t="shared" si="326"/>
        <v>13</v>
      </c>
      <c r="C4103">
        <f t="shared" si="327"/>
        <v>3</v>
      </c>
      <c r="D4103" t="str">
        <f t="shared" si="328"/>
        <v>March</v>
      </c>
      <c r="E4103">
        <f t="shared" si="329"/>
        <v>2028</v>
      </c>
      <c r="F4103" t="str">
        <f>CONCATENATE(calendar[[#This Row],[Month]],"/",calendar[[#This Row],[Year]])</f>
        <v>3/2028</v>
      </c>
      <c r="G4103">
        <f>WEEKDAY(calendar[[#This Row],[Date]],1)</f>
        <v>7</v>
      </c>
      <c r="H4103" t="str">
        <f>TEXT(calendar[[#This Row],[WeekDay]],"dddd")</f>
        <v>Saturday</v>
      </c>
      <c r="I4103">
        <f>IF((INT(calendar[[#This Row],[Count]]/7)-calendar[[#This Row],[Count]]/7)&lt;0,I4102,I4102+1)</f>
        <v>586</v>
      </c>
      <c r="J4103">
        <f t="shared" si="330"/>
        <v>4101</v>
      </c>
      <c r="K4103">
        <f>IF(calendar[[#This Row],[Month]]&lt;4,1,IF(calendar[[#This Row],[Month]]&lt;7,2,IF(calendar[[#This Row],[Month]]&lt;10,3,4)))</f>
        <v>1</v>
      </c>
      <c r="L4103">
        <f>IFERROR(IF(VLOOKUP(calendar[[#This Row],[Date]],BH!A:A,1,)&lt;&gt;"",1,0),0)</f>
        <v>0</v>
      </c>
      <c r="M4103">
        <f>IFERROR(IF(VLOOKUP(calendar[[#This Row],[Date]],BH!C:C,1,)&lt;&gt;"",1,0),0)</f>
        <v>0</v>
      </c>
      <c r="N4103">
        <f>IFERROR(IF(VLOOKUP(calendar[[#This Row],[Date]],BH!E:E,1,)&lt;&gt;"",1,0),0)</f>
        <v>0</v>
      </c>
      <c r="O4103">
        <f>IFERROR(IF(VLOOKUP(calendar[[#This Row],[Date]],BH!G:G,1,)&lt;&gt;"",1,0),0)</f>
        <v>0</v>
      </c>
      <c r="P4103">
        <f>IF(OR(calendar[[#This Row],[UK_BH]]=1,calendar[[#This Row],[WeekDay]]=1, calendar[[#This Row],[WeekDay]]=7),P4102,P4102+1)</f>
        <v>2906</v>
      </c>
      <c r="Q4103">
        <f>IF(OR(calendar[[#This Row],[FR_BH]]=1,calendar[[#This Row],[WeekDay]]=1, calendar[[#This Row],[WeekDay]]=7),P4102,P4102+1)</f>
        <v>2906</v>
      </c>
      <c r="R4103">
        <f>IF(OR(calendar[[#This Row],[SP_BH]]=1,calendar[[#This Row],[WeekDay]]=1, calendar[[#This Row],[WeekDay]]=7),P4102,P4102+1)</f>
        <v>2906</v>
      </c>
      <c r="S4103">
        <f>IF(OR(calendar[[#This Row],[PT_BH]]=1,calendar[[#This Row],[WeekDay]]=1, calendar[[#This Row],[WeekDay]]=7),P4102,P4102+1)</f>
        <v>2906</v>
      </c>
    </row>
    <row r="4104" spans="1:19" x14ac:dyDescent="0.25">
      <c r="A4104" s="2">
        <v>46838</v>
      </c>
      <c r="B4104" s="1">
        <f t="shared" si="326"/>
        <v>14</v>
      </c>
      <c r="C4104">
        <f t="shared" si="327"/>
        <v>3</v>
      </c>
      <c r="D4104" t="str">
        <f t="shared" si="328"/>
        <v>March</v>
      </c>
      <c r="E4104">
        <f t="shared" si="329"/>
        <v>2028</v>
      </c>
      <c r="F4104" t="str">
        <f>CONCATENATE(calendar[[#This Row],[Month]],"/",calendar[[#This Row],[Year]])</f>
        <v>3/2028</v>
      </c>
      <c r="G4104">
        <f>WEEKDAY(calendar[[#This Row],[Date]],1)</f>
        <v>1</v>
      </c>
      <c r="H4104" t="str">
        <f>TEXT(calendar[[#This Row],[WeekDay]],"dddd")</f>
        <v>Sunday</v>
      </c>
      <c r="I4104">
        <f>IF((INT(calendar[[#This Row],[Count]]/7)-calendar[[#This Row],[Count]]/7)&lt;0,I4103,I4103+1)</f>
        <v>587</v>
      </c>
      <c r="J4104">
        <f t="shared" si="330"/>
        <v>4102</v>
      </c>
      <c r="K4104">
        <f>IF(calendar[[#This Row],[Month]]&lt;4,1,IF(calendar[[#This Row],[Month]]&lt;7,2,IF(calendar[[#This Row],[Month]]&lt;10,3,4)))</f>
        <v>1</v>
      </c>
      <c r="L4104">
        <f>IFERROR(IF(VLOOKUP(calendar[[#This Row],[Date]],BH!A:A,1,)&lt;&gt;"",1,0),0)</f>
        <v>0</v>
      </c>
      <c r="M4104">
        <f>IFERROR(IF(VLOOKUP(calendar[[#This Row],[Date]],BH!C:C,1,)&lt;&gt;"",1,0),0)</f>
        <v>0</v>
      </c>
      <c r="N4104">
        <f>IFERROR(IF(VLOOKUP(calendar[[#This Row],[Date]],BH!E:E,1,)&lt;&gt;"",1,0),0)</f>
        <v>0</v>
      </c>
      <c r="O4104">
        <f>IFERROR(IF(VLOOKUP(calendar[[#This Row],[Date]],BH!G:G,1,)&lt;&gt;"",1,0),0)</f>
        <v>0</v>
      </c>
      <c r="P4104">
        <f>IF(OR(calendar[[#This Row],[UK_BH]]=1,calendar[[#This Row],[WeekDay]]=1, calendar[[#This Row],[WeekDay]]=7),P4103,P4103+1)</f>
        <v>2906</v>
      </c>
      <c r="Q4104">
        <f>IF(OR(calendar[[#This Row],[FR_BH]]=1,calendar[[#This Row],[WeekDay]]=1, calendar[[#This Row],[WeekDay]]=7),P4103,P4103+1)</f>
        <v>2906</v>
      </c>
      <c r="R4104">
        <f>IF(OR(calendar[[#This Row],[SP_BH]]=1,calendar[[#This Row],[WeekDay]]=1, calendar[[#This Row],[WeekDay]]=7),P4103,P4103+1)</f>
        <v>2906</v>
      </c>
      <c r="S4104">
        <f>IF(OR(calendar[[#This Row],[PT_BH]]=1,calendar[[#This Row],[WeekDay]]=1, calendar[[#This Row],[WeekDay]]=7),P4103,P4103+1)</f>
        <v>2906</v>
      </c>
    </row>
    <row r="4105" spans="1:19" x14ac:dyDescent="0.25">
      <c r="A4105" s="2">
        <v>46839</v>
      </c>
      <c r="B4105" s="1">
        <f t="shared" si="326"/>
        <v>14</v>
      </c>
      <c r="C4105">
        <f t="shared" si="327"/>
        <v>3</v>
      </c>
      <c r="D4105" t="str">
        <f t="shared" si="328"/>
        <v>March</v>
      </c>
      <c r="E4105">
        <f t="shared" si="329"/>
        <v>2028</v>
      </c>
      <c r="F4105" t="str">
        <f>CONCATENATE(calendar[[#This Row],[Month]],"/",calendar[[#This Row],[Year]])</f>
        <v>3/2028</v>
      </c>
      <c r="G4105">
        <f>WEEKDAY(calendar[[#This Row],[Date]],1)</f>
        <v>2</v>
      </c>
      <c r="H4105" t="str">
        <f>TEXT(calendar[[#This Row],[WeekDay]],"dddd")</f>
        <v>Monday</v>
      </c>
      <c r="I4105">
        <f>IF((INT(calendar[[#This Row],[Count]]/7)-calendar[[#This Row],[Count]]/7)&lt;0,I4104,I4104+1)</f>
        <v>587</v>
      </c>
      <c r="J4105">
        <f t="shared" si="330"/>
        <v>4103</v>
      </c>
      <c r="K4105">
        <f>IF(calendar[[#This Row],[Month]]&lt;4,1,IF(calendar[[#This Row],[Month]]&lt;7,2,IF(calendar[[#This Row],[Month]]&lt;10,3,4)))</f>
        <v>1</v>
      </c>
      <c r="L4105">
        <f>IFERROR(IF(VLOOKUP(calendar[[#This Row],[Date]],BH!A:A,1,)&lt;&gt;"",1,0),0)</f>
        <v>0</v>
      </c>
      <c r="M4105">
        <f>IFERROR(IF(VLOOKUP(calendar[[#This Row],[Date]],BH!C:C,1,)&lt;&gt;"",1,0),0)</f>
        <v>0</v>
      </c>
      <c r="N4105">
        <f>IFERROR(IF(VLOOKUP(calendar[[#This Row],[Date]],BH!E:E,1,)&lt;&gt;"",1,0),0)</f>
        <v>0</v>
      </c>
      <c r="O4105">
        <f>IFERROR(IF(VLOOKUP(calendar[[#This Row],[Date]],BH!G:G,1,)&lt;&gt;"",1,0),0)</f>
        <v>0</v>
      </c>
      <c r="P4105">
        <f>IF(OR(calendar[[#This Row],[UK_BH]]=1,calendar[[#This Row],[WeekDay]]=1, calendar[[#This Row],[WeekDay]]=7),P4104,P4104+1)</f>
        <v>2907</v>
      </c>
      <c r="Q4105">
        <f>IF(OR(calendar[[#This Row],[FR_BH]]=1,calendar[[#This Row],[WeekDay]]=1, calendar[[#This Row],[WeekDay]]=7),P4104,P4104+1)</f>
        <v>2907</v>
      </c>
      <c r="R4105">
        <f>IF(OR(calendar[[#This Row],[SP_BH]]=1,calendar[[#This Row],[WeekDay]]=1, calendar[[#This Row],[WeekDay]]=7),P4104,P4104+1)</f>
        <v>2907</v>
      </c>
      <c r="S4105">
        <f>IF(OR(calendar[[#This Row],[PT_BH]]=1,calendar[[#This Row],[WeekDay]]=1, calendar[[#This Row],[WeekDay]]=7),P4104,P4104+1)</f>
        <v>2907</v>
      </c>
    </row>
    <row r="4106" spans="1:19" x14ac:dyDescent="0.25">
      <c r="A4106" s="2">
        <v>46840</v>
      </c>
      <c r="B4106" s="1">
        <f t="shared" si="326"/>
        <v>14</v>
      </c>
      <c r="C4106">
        <f t="shared" si="327"/>
        <v>3</v>
      </c>
      <c r="D4106" t="str">
        <f t="shared" si="328"/>
        <v>March</v>
      </c>
      <c r="E4106">
        <f t="shared" si="329"/>
        <v>2028</v>
      </c>
      <c r="F4106" t="str">
        <f>CONCATENATE(calendar[[#This Row],[Month]],"/",calendar[[#This Row],[Year]])</f>
        <v>3/2028</v>
      </c>
      <c r="G4106">
        <f>WEEKDAY(calendar[[#This Row],[Date]],1)</f>
        <v>3</v>
      </c>
      <c r="H4106" t="str">
        <f>TEXT(calendar[[#This Row],[WeekDay]],"dddd")</f>
        <v>Tuesday</v>
      </c>
      <c r="I4106">
        <f>IF((INT(calendar[[#This Row],[Count]]/7)-calendar[[#This Row],[Count]]/7)&lt;0,I4105,I4105+1)</f>
        <v>587</v>
      </c>
      <c r="J4106">
        <f t="shared" si="330"/>
        <v>4104</v>
      </c>
      <c r="K4106">
        <f>IF(calendar[[#This Row],[Month]]&lt;4,1,IF(calendar[[#This Row],[Month]]&lt;7,2,IF(calendar[[#This Row],[Month]]&lt;10,3,4)))</f>
        <v>1</v>
      </c>
      <c r="L4106">
        <f>IFERROR(IF(VLOOKUP(calendar[[#This Row],[Date]],BH!A:A,1,)&lt;&gt;"",1,0),0)</f>
        <v>0</v>
      </c>
      <c r="M4106">
        <f>IFERROR(IF(VLOOKUP(calendar[[#This Row],[Date]],BH!C:C,1,)&lt;&gt;"",1,0),0)</f>
        <v>0</v>
      </c>
      <c r="N4106">
        <f>IFERROR(IF(VLOOKUP(calendar[[#This Row],[Date]],BH!E:E,1,)&lt;&gt;"",1,0),0)</f>
        <v>0</v>
      </c>
      <c r="O4106">
        <f>IFERROR(IF(VLOOKUP(calendar[[#This Row],[Date]],BH!G:G,1,)&lt;&gt;"",1,0),0)</f>
        <v>0</v>
      </c>
      <c r="P4106">
        <f>IF(OR(calendar[[#This Row],[UK_BH]]=1,calendar[[#This Row],[WeekDay]]=1, calendar[[#This Row],[WeekDay]]=7),P4105,P4105+1)</f>
        <v>2908</v>
      </c>
      <c r="Q4106">
        <f>IF(OR(calendar[[#This Row],[FR_BH]]=1,calendar[[#This Row],[WeekDay]]=1, calendar[[#This Row],[WeekDay]]=7),P4105,P4105+1)</f>
        <v>2908</v>
      </c>
      <c r="R4106">
        <f>IF(OR(calendar[[#This Row],[SP_BH]]=1,calendar[[#This Row],[WeekDay]]=1, calendar[[#This Row],[WeekDay]]=7),P4105,P4105+1)</f>
        <v>2908</v>
      </c>
      <c r="S4106">
        <f>IF(OR(calendar[[#This Row],[PT_BH]]=1,calendar[[#This Row],[WeekDay]]=1, calendar[[#This Row],[WeekDay]]=7),P4105,P4105+1)</f>
        <v>2908</v>
      </c>
    </row>
    <row r="4107" spans="1:19" x14ac:dyDescent="0.25">
      <c r="A4107" s="2">
        <v>46841</v>
      </c>
      <c r="B4107" s="1">
        <f t="shared" si="326"/>
        <v>14</v>
      </c>
      <c r="C4107">
        <f t="shared" si="327"/>
        <v>3</v>
      </c>
      <c r="D4107" t="str">
        <f t="shared" si="328"/>
        <v>March</v>
      </c>
      <c r="E4107">
        <f t="shared" si="329"/>
        <v>2028</v>
      </c>
      <c r="F4107" t="str">
        <f>CONCATENATE(calendar[[#This Row],[Month]],"/",calendar[[#This Row],[Year]])</f>
        <v>3/2028</v>
      </c>
      <c r="G4107">
        <f>WEEKDAY(calendar[[#This Row],[Date]],1)</f>
        <v>4</v>
      </c>
      <c r="H4107" t="str">
        <f>TEXT(calendar[[#This Row],[WeekDay]],"dddd")</f>
        <v>Wednesday</v>
      </c>
      <c r="I4107">
        <f>IF((INT(calendar[[#This Row],[Count]]/7)-calendar[[#This Row],[Count]]/7)&lt;0,I4106,I4106+1)</f>
        <v>587</v>
      </c>
      <c r="J4107">
        <f t="shared" si="330"/>
        <v>4105</v>
      </c>
      <c r="K4107">
        <f>IF(calendar[[#This Row],[Month]]&lt;4,1,IF(calendar[[#This Row],[Month]]&lt;7,2,IF(calendar[[#This Row],[Month]]&lt;10,3,4)))</f>
        <v>1</v>
      </c>
      <c r="L4107">
        <f>IFERROR(IF(VLOOKUP(calendar[[#This Row],[Date]],BH!A:A,1,)&lt;&gt;"",1,0),0)</f>
        <v>0</v>
      </c>
      <c r="M4107">
        <f>IFERROR(IF(VLOOKUP(calendar[[#This Row],[Date]],BH!C:C,1,)&lt;&gt;"",1,0),0)</f>
        <v>0</v>
      </c>
      <c r="N4107">
        <f>IFERROR(IF(VLOOKUP(calendar[[#This Row],[Date]],BH!E:E,1,)&lt;&gt;"",1,0),0)</f>
        <v>0</v>
      </c>
      <c r="O4107">
        <f>IFERROR(IF(VLOOKUP(calendar[[#This Row],[Date]],BH!G:G,1,)&lt;&gt;"",1,0),0)</f>
        <v>0</v>
      </c>
      <c r="P4107">
        <f>IF(OR(calendar[[#This Row],[UK_BH]]=1,calendar[[#This Row],[WeekDay]]=1, calendar[[#This Row],[WeekDay]]=7),P4106,P4106+1)</f>
        <v>2909</v>
      </c>
      <c r="Q4107">
        <f>IF(OR(calendar[[#This Row],[FR_BH]]=1,calendar[[#This Row],[WeekDay]]=1, calendar[[#This Row],[WeekDay]]=7),P4106,P4106+1)</f>
        <v>2909</v>
      </c>
      <c r="R4107">
        <f>IF(OR(calendar[[#This Row],[SP_BH]]=1,calendar[[#This Row],[WeekDay]]=1, calendar[[#This Row],[WeekDay]]=7),P4106,P4106+1)</f>
        <v>2909</v>
      </c>
      <c r="S4107">
        <f>IF(OR(calendar[[#This Row],[PT_BH]]=1,calendar[[#This Row],[WeekDay]]=1, calendar[[#This Row],[WeekDay]]=7),P4106,P4106+1)</f>
        <v>2909</v>
      </c>
    </row>
    <row r="4108" spans="1:19" x14ac:dyDescent="0.25">
      <c r="A4108" s="2">
        <v>46842</v>
      </c>
      <c r="B4108" s="1">
        <f t="shared" si="326"/>
        <v>14</v>
      </c>
      <c r="C4108">
        <f t="shared" si="327"/>
        <v>3</v>
      </c>
      <c r="D4108" t="str">
        <f t="shared" si="328"/>
        <v>March</v>
      </c>
      <c r="E4108">
        <f t="shared" si="329"/>
        <v>2028</v>
      </c>
      <c r="F4108" t="str">
        <f>CONCATENATE(calendar[[#This Row],[Month]],"/",calendar[[#This Row],[Year]])</f>
        <v>3/2028</v>
      </c>
      <c r="G4108">
        <f>WEEKDAY(calendar[[#This Row],[Date]],1)</f>
        <v>5</v>
      </c>
      <c r="H4108" t="str">
        <f>TEXT(calendar[[#This Row],[WeekDay]],"dddd")</f>
        <v>Thursday</v>
      </c>
      <c r="I4108">
        <f>IF((INT(calendar[[#This Row],[Count]]/7)-calendar[[#This Row],[Count]]/7)&lt;0,I4107,I4107+1)</f>
        <v>587</v>
      </c>
      <c r="J4108">
        <f t="shared" si="330"/>
        <v>4106</v>
      </c>
      <c r="K4108">
        <f>IF(calendar[[#This Row],[Month]]&lt;4,1,IF(calendar[[#This Row],[Month]]&lt;7,2,IF(calendar[[#This Row],[Month]]&lt;10,3,4)))</f>
        <v>1</v>
      </c>
      <c r="L4108">
        <f>IFERROR(IF(VLOOKUP(calendar[[#This Row],[Date]],BH!A:A,1,)&lt;&gt;"",1,0),0)</f>
        <v>0</v>
      </c>
      <c r="M4108">
        <f>IFERROR(IF(VLOOKUP(calendar[[#This Row],[Date]],BH!C:C,1,)&lt;&gt;"",1,0),0)</f>
        <v>0</v>
      </c>
      <c r="N4108">
        <f>IFERROR(IF(VLOOKUP(calendar[[#This Row],[Date]],BH!E:E,1,)&lt;&gt;"",1,0),0)</f>
        <v>0</v>
      </c>
      <c r="O4108">
        <f>IFERROR(IF(VLOOKUP(calendar[[#This Row],[Date]],BH!G:G,1,)&lt;&gt;"",1,0),0)</f>
        <v>0</v>
      </c>
      <c r="P4108">
        <f>IF(OR(calendar[[#This Row],[UK_BH]]=1,calendar[[#This Row],[WeekDay]]=1, calendar[[#This Row],[WeekDay]]=7),P4107,P4107+1)</f>
        <v>2910</v>
      </c>
      <c r="Q4108">
        <f>IF(OR(calendar[[#This Row],[FR_BH]]=1,calendar[[#This Row],[WeekDay]]=1, calendar[[#This Row],[WeekDay]]=7),P4107,P4107+1)</f>
        <v>2910</v>
      </c>
      <c r="R4108">
        <f>IF(OR(calendar[[#This Row],[SP_BH]]=1,calendar[[#This Row],[WeekDay]]=1, calendar[[#This Row],[WeekDay]]=7),P4107,P4107+1)</f>
        <v>2910</v>
      </c>
      <c r="S4108">
        <f>IF(OR(calendar[[#This Row],[PT_BH]]=1,calendar[[#This Row],[WeekDay]]=1, calendar[[#This Row],[WeekDay]]=7),P4107,P4107+1)</f>
        <v>2910</v>
      </c>
    </row>
    <row r="4109" spans="1:19" x14ac:dyDescent="0.25">
      <c r="A4109" s="2">
        <v>46843</v>
      </c>
      <c r="B4109" s="1">
        <f t="shared" si="326"/>
        <v>14</v>
      </c>
      <c r="C4109">
        <f t="shared" si="327"/>
        <v>3</v>
      </c>
      <c r="D4109" t="str">
        <f t="shared" si="328"/>
        <v>March</v>
      </c>
      <c r="E4109">
        <f t="shared" si="329"/>
        <v>2028</v>
      </c>
      <c r="F4109" t="str">
        <f>CONCATENATE(calendar[[#This Row],[Month]],"/",calendar[[#This Row],[Year]])</f>
        <v>3/2028</v>
      </c>
      <c r="G4109">
        <f>WEEKDAY(calendar[[#This Row],[Date]],1)</f>
        <v>6</v>
      </c>
      <c r="H4109" t="str">
        <f>TEXT(calendar[[#This Row],[WeekDay]],"dddd")</f>
        <v>Friday</v>
      </c>
      <c r="I4109">
        <f>IF((INT(calendar[[#This Row],[Count]]/7)-calendar[[#This Row],[Count]]/7)&lt;0,I4108,I4108+1)</f>
        <v>587</v>
      </c>
      <c r="J4109">
        <f t="shared" si="330"/>
        <v>4107</v>
      </c>
      <c r="K4109">
        <f>IF(calendar[[#This Row],[Month]]&lt;4,1,IF(calendar[[#This Row],[Month]]&lt;7,2,IF(calendar[[#This Row],[Month]]&lt;10,3,4)))</f>
        <v>1</v>
      </c>
      <c r="L4109">
        <f>IFERROR(IF(VLOOKUP(calendar[[#This Row],[Date]],BH!A:A,1,)&lt;&gt;"",1,0),0)</f>
        <v>0</v>
      </c>
      <c r="M4109">
        <f>IFERROR(IF(VLOOKUP(calendar[[#This Row],[Date]],BH!C:C,1,)&lt;&gt;"",1,0),0)</f>
        <v>0</v>
      </c>
      <c r="N4109">
        <f>IFERROR(IF(VLOOKUP(calendar[[#This Row],[Date]],BH!E:E,1,)&lt;&gt;"",1,0),0)</f>
        <v>0</v>
      </c>
      <c r="O4109">
        <f>IFERROR(IF(VLOOKUP(calendar[[#This Row],[Date]],BH!G:G,1,)&lt;&gt;"",1,0),0)</f>
        <v>0</v>
      </c>
      <c r="P4109">
        <f>IF(OR(calendar[[#This Row],[UK_BH]]=1,calendar[[#This Row],[WeekDay]]=1, calendar[[#This Row],[WeekDay]]=7),P4108,P4108+1)</f>
        <v>2911</v>
      </c>
      <c r="Q4109">
        <f>IF(OR(calendar[[#This Row],[FR_BH]]=1,calendar[[#This Row],[WeekDay]]=1, calendar[[#This Row],[WeekDay]]=7),P4108,P4108+1)</f>
        <v>2911</v>
      </c>
      <c r="R4109">
        <f>IF(OR(calendar[[#This Row],[SP_BH]]=1,calendar[[#This Row],[WeekDay]]=1, calendar[[#This Row],[WeekDay]]=7),P4108,P4108+1)</f>
        <v>2911</v>
      </c>
      <c r="S4109">
        <f>IF(OR(calendar[[#This Row],[PT_BH]]=1,calendar[[#This Row],[WeekDay]]=1, calendar[[#This Row],[WeekDay]]=7),P4108,P4108+1)</f>
        <v>2911</v>
      </c>
    </row>
    <row r="4110" spans="1:19" x14ac:dyDescent="0.25">
      <c r="A4110" s="2">
        <v>46844</v>
      </c>
      <c r="B4110" s="1">
        <f t="shared" si="326"/>
        <v>14</v>
      </c>
      <c r="C4110">
        <f t="shared" si="327"/>
        <v>4</v>
      </c>
      <c r="D4110" t="str">
        <f t="shared" si="328"/>
        <v>April</v>
      </c>
      <c r="E4110">
        <f t="shared" si="329"/>
        <v>2028</v>
      </c>
      <c r="F4110" t="str">
        <f>CONCATENATE(calendar[[#This Row],[Month]],"/",calendar[[#This Row],[Year]])</f>
        <v>4/2028</v>
      </c>
      <c r="G4110">
        <f>WEEKDAY(calendar[[#This Row],[Date]],1)</f>
        <v>7</v>
      </c>
      <c r="H4110" t="str">
        <f>TEXT(calendar[[#This Row],[WeekDay]],"dddd")</f>
        <v>Saturday</v>
      </c>
      <c r="I4110">
        <f>IF((INT(calendar[[#This Row],[Count]]/7)-calendar[[#This Row],[Count]]/7)&lt;0,I4109,I4109+1)</f>
        <v>587</v>
      </c>
      <c r="J4110">
        <f t="shared" si="330"/>
        <v>4108</v>
      </c>
      <c r="K4110">
        <f>IF(calendar[[#This Row],[Month]]&lt;4,1,IF(calendar[[#This Row],[Month]]&lt;7,2,IF(calendar[[#This Row],[Month]]&lt;10,3,4)))</f>
        <v>2</v>
      </c>
      <c r="L4110">
        <f>IFERROR(IF(VLOOKUP(calendar[[#This Row],[Date]],BH!A:A,1,)&lt;&gt;"",1,0),0)</f>
        <v>0</v>
      </c>
      <c r="M4110">
        <f>IFERROR(IF(VLOOKUP(calendar[[#This Row],[Date]],BH!C:C,1,)&lt;&gt;"",1,0),0)</f>
        <v>0</v>
      </c>
      <c r="N4110">
        <f>IFERROR(IF(VLOOKUP(calendar[[#This Row],[Date]],BH!E:E,1,)&lt;&gt;"",1,0),0)</f>
        <v>0</v>
      </c>
      <c r="O4110">
        <f>IFERROR(IF(VLOOKUP(calendar[[#This Row],[Date]],BH!G:G,1,)&lt;&gt;"",1,0),0)</f>
        <v>0</v>
      </c>
      <c r="P4110">
        <f>IF(OR(calendar[[#This Row],[UK_BH]]=1,calendar[[#This Row],[WeekDay]]=1, calendar[[#This Row],[WeekDay]]=7),P4109,P4109+1)</f>
        <v>2911</v>
      </c>
      <c r="Q4110">
        <f>IF(OR(calendar[[#This Row],[FR_BH]]=1,calendar[[#This Row],[WeekDay]]=1, calendar[[#This Row],[WeekDay]]=7),P4109,P4109+1)</f>
        <v>2911</v>
      </c>
      <c r="R4110">
        <f>IF(OR(calendar[[#This Row],[SP_BH]]=1,calendar[[#This Row],[WeekDay]]=1, calendar[[#This Row],[WeekDay]]=7),P4109,P4109+1)</f>
        <v>2911</v>
      </c>
      <c r="S4110">
        <f>IF(OR(calendar[[#This Row],[PT_BH]]=1,calendar[[#This Row],[WeekDay]]=1, calendar[[#This Row],[WeekDay]]=7),P4109,P4109+1)</f>
        <v>2911</v>
      </c>
    </row>
    <row r="4111" spans="1:19" x14ac:dyDescent="0.25">
      <c r="A4111" s="2">
        <v>46845</v>
      </c>
      <c r="B4111" s="1">
        <f t="shared" si="326"/>
        <v>15</v>
      </c>
      <c r="C4111">
        <f t="shared" si="327"/>
        <v>4</v>
      </c>
      <c r="D4111" t="str">
        <f t="shared" si="328"/>
        <v>April</v>
      </c>
      <c r="E4111">
        <f t="shared" si="329"/>
        <v>2028</v>
      </c>
      <c r="F4111" t="str">
        <f>CONCATENATE(calendar[[#This Row],[Month]],"/",calendar[[#This Row],[Year]])</f>
        <v>4/2028</v>
      </c>
      <c r="G4111">
        <f>WEEKDAY(calendar[[#This Row],[Date]],1)</f>
        <v>1</v>
      </c>
      <c r="H4111" t="str">
        <f>TEXT(calendar[[#This Row],[WeekDay]],"dddd")</f>
        <v>Sunday</v>
      </c>
      <c r="I4111">
        <f>IF((INT(calendar[[#This Row],[Count]]/7)-calendar[[#This Row],[Count]]/7)&lt;0,I4110,I4110+1)</f>
        <v>588</v>
      </c>
      <c r="J4111">
        <f t="shared" si="330"/>
        <v>4109</v>
      </c>
      <c r="K4111">
        <f>IF(calendar[[#This Row],[Month]]&lt;4,1,IF(calendar[[#This Row],[Month]]&lt;7,2,IF(calendar[[#This Row],[Month]]&lt;10,3,4)))</f>
        <v>2</v>
      </c>
      <c r="L4111">
        <f>IFERROR(IF(VLOOKUP(calendar[[#This Row],[Date]],BH!A:A,1,)&lt;&gt;"",1,0),0)</f>
        <v>0</v>
      </c>
      <c r="M4111">
        <f>IFERROR(IF(VLOOKUP(calendar[[#This Row],[Date]],BH!C:C,1,)&lt;&gt;"",1,0),0)</f>
        <v>0</v>
      </c>
      <c r="N4111">
        <f>IFERROR(IF(VLOOKUP(calendar[[#This Row],[Date]],BH!E:E,1,)&lt;&gt;"",1,0),0)</f>
        <v>0</v>
      </c>
      <c r="O4111">
        <f>IFERROR(IF(VLOOKUP(calendar[[#This Row],[Date]],BH!G:G,1,)&lt;&gt;"",1,0),0)</f>
        <v>0</v>
      </c>
      <c r="P4111">
        <f>IF(OR(calendar[[#This Row],[UK_BH]]=1,calendar[[#This Row],[WeekDay]]=1, calendar[[#This Row],[WeekDay]]=7),P4110,P4110+1)</f>
        <v>2911</v>
      </c>
      <c r="Q4111">
        <f>IF(OR(calendar[[#This Row],[FR_BH]]=1,calendar[[#This Row],[WeekDay]]=1, calendar[[#This Row],[WeekDay]]=7),P4110,P4110+1)</f>
        <v>2911</v>
      </c>
      <c r="R4111">
        <f>IF(OR(calendar[[#This Row],[SP_BH]]=1,calendar[[#This Row],[WeekDay]]=1, calendar[[#This Row],[WeekDay]]=7),P4110,P4110+1)</f>
        <v>2911</v>
      </c>
      <c r="S4111">
        <f>IF(OR(calendar[[#This Row],[PT_BH]]=1,calendar[[#This Row],[WeekDay]]=1, calendar[[#This Row],[WeekDay]]=7),P4110,P4110+1)</f>
        <v>2911</v>
      </c>
    </row>
    <row r="4112" spans="1:19" x14ac:dyDescent="0.25">
      <c r="A4112" s="2">
        <v>46846</v>
      </c>
      <c r="B4112" s="1">
        <f t="shared" si="326"/>
        <v>15</v>
      </c>
      <c r="C4112">
        <f t="shared" si="327"/>
        <v>4</v>
      </c>
      <c r="D4112" t="str">
        <f t="shared" si="328"/>
        <v>April</v>
      </c>
      <c r="E4112">
        <f t="shared" si="329"/>
        <v>2028</v>
      </c>
      <c r="F4112" t="str">
        <f>CONCATENATE(calendar[[#This Row],[Month]],"/",calendar[[#This Row],[Year]])</f>
        <v>4/2028</v>
      </c>
      <c r="G4112">
        <f>WEEKDAY(calendar[[#This Row],[Date]],1)</f>
        <v>2</v>
      </c>
      <c r="H4112" t="str">
        <f>TEXT(calendar[[#This Row],[WeekDay]],"dddd")</f>
        <v>Monday</v>
      </c>
      <c r="I4112">
        <f>IF((INT(calendar[[#This Row],[Count]]/7)-calendar[[#This Row],[Count]]/7)&lt;0,I4111,I4111+1)</f>
        <v>588</v>
      </c>
      <c r="J4112">
        <f t="shared" si="330"/>
        <v>4110</v>
      </c>
      <c r="K4112">
        <f>IF(calendar[[#This Row],[Month]]&lt;4,1,IF(calendar[[#This Row],[Month]]&lt;7,2,IF(calendar[[#This Row],[Month]]&lt;10,3,4)))</f>
        <v>2</v>
      </c>
      <c r="L4112">
        <f>IFERROR(IF(VLOOKUP(calendar[[#This Row],[Date]],BH!A:A,1,)&lt;&gt;"",1,0),0)</f>
        <v>0</v>
      </c>
      <c r="M4112">
        <f>IFERROR(IF(VLOOKUP(calendar[[#This Row],[Date]],BH!C:C,1,)&lt;&gt;"",1,0),0)</f>
        <v>0</v>
      </c>
      <c r="N4112">
        <f>IFERROR(IF(VLOOKUP(calendar[[#This Row],[Date]],BH!E:E,1,)&lt;&gt;"",1,0),0)</f>
        <v>0</v>
      </c>
      <c r="O4112">
        <f>IFERROR(IF(VLOOKUP(calendar[[#This Row],[Date]],BH!G:G,1,)&lt;&gt;"",1,0),0)</f>
        <v>0</v>
      </c>
      <c r="P4112">
        <f>IF(OR(calendar[[#This Row],[UK_BH]]=1,calendar[[#This Row],[WeekDay]]=1, calendar[[#This Row],[WeekDay]]=7),P4111,P4111+1)</f>
        <v>2912</v>
      </c>
      <c r="Q4112">
        <f>IF(OR(calendar[[#This Row],[FR_BH]]=1,calendar[[#This Row],[WeekDay]]=1, calendar[[#This Row],[WeekDay]]=7),P4111,P4111+1)</f>
        <v>2912</v>
      </c>
      <c r="R4112">
        <f>IF(OR(calendar[[#This Row],[SP_BH]]=1,calendar[[#This Row],[WeekDay]]=1, calendar[[#This Row],[WeekDay]]=7),P4111,P4111+1)</f>
        <v>2912</v>
      </c>
      <c r="S4112">
        <f>IF(OR(calendar[[#This Row],[PT_BH]]=1,calendar[[#This Row],[WeekDay]]=1, calendar[[#This Row],[WeekDay]]=7),P4111,P4111+1)</f>
        <v>2912</v>
      </c>
    </row>
    <row r="4113" spans="1:19" x14ac:dyDescent="0.25">
      <c r="A4113" s="2">
        <v>46847</v>
      </c>
      <c r="B4113" s="1">
        <f t="shared" si="326"/>
        <v>15</v>
      </c>
      <c r="C4113">
        <f t="shared" si="327"/>
        <v>4</v>
      </c>
      <c r="D4113" t="str">
        <f t="shared" si="328"/>
        <v>April</v>
      </c>
      <c r="E4113">
        <f t="shared" si="329"/>
        <v>2028</v>
      </c>
      <c r="F4113" t="str">
        <f>CONCATENATE(calendar[[#This Row],[Month]],"/",calendar[[#This Row],[Year]])</f>
        <v>4/2028</v>
      </c>
      <c r="G4113">
        <f>WEEKDAY(calendar[[#This Row],[Date]],1)</f>
        <v>3</v>
      </c>
      <c r="H4113" t="str">
        <f>TEXT(calendar[[#This Row],[WeekDay]],"dddd")</f>
        <v>Tuesday</v>
      </c>
      <c r="I4113">
        <f>IF((INT(calendar[[#This Row],[Count]]/7)-calendar[[#This Row],[Count]]/7)&lt;0,I4112,I4112+1)</f>
        <v>588</v>
      </c>
      <c r="J4113">
        <f t="shared" si="330"/>
        <v>4111</v>
      </c>
      <c r="K4113">
        <f>IF(calendar[[#This Row],[Month]]&lt;4,1,IF(calendar[[#This Row],[Month]]&lt;7,2,IF(calendar[[#This Row],[Month]]&lt;10,3,4)))</f>
        <v>2</v>
      </c>
      <c r="L4113">
        <f>IFERROR(IF(VLOOKUP(calendar[[#This Row],[Date]],BH!A:A,1,)&lt;&gt;"",1,0),0)</f>
        <v>0</v>
      </c>
      <c r="M4113">
        <f>IFERROR(IF(VLOOKUP(calendar[[#This Row],[Date]],BH!C:C,1,)&lt;&gt;"",1,0),0)</f>
        <v>0</v>
      </c>
      <c r="N4113">
        <f>IFERROR(IF(VLOOKUP(calendar[[#This Row],[Date]],BH!E:E,1,)&lt;&gt;"",1,0),0)</f>
        <v>0</v>
      </c>
      <c r="O4113">
        <f>IFERROR(IF(VLOOKUP(calendar[[#This Row],[Date]],BH!G:G,1,)&lt;&gt;"",1,0),0)</f>
        <v>0</v>
      </c>
      <c r="P4113">
        <f>IF(OR(calendar[[#This Row],[UK_BH]]=1,calendar[[#This Row],[WeekDay]]=1, calendar[[#This Row],[WeekDay]]=7),P4112,P4112+1)</f>
        <v>2913</v>
      </c>
      <c r="Q4113">
        <f>IF(OR(calendar[[#This Row],[FR_BH]]=1,calendar[[#This Row],[WeekDay]]=1, calendar[[#This Row],[WeekDay]]=7),P4112,P4112+1)</f>
        <v>2913</v>
      </c>
      <c r="R4113">
        <f>IF(OR(calendar[[#This Row],[SP_BH]]=1,calendar[[#This Row],[WeekDay]]=1, calendar[[#This Row],[WeekDay]]=7),P4112,P4112+1)</f>
        <v>2913</v>
      </c>
      <c r="S4113">
        <f>IF(OR(calendar[[#This Row],[PT_BH]]=1,calendar[[#This Row],[WeekDay]]=1, calendar[[#This Row],[WeekDay]]=7),P4112,P4112+1)</f>
        <v>2913</v>
      </c>
    </row>
    <row r="4114" spans="1:19" x14ac:dyDescent="0.25">
      <c r="A4114" s="2">
        <v>46848</v>
      </c>
      <c r="B4114" s="1">
        <f t="shared" si="326"/>
        <v>15</v>
      </c>
      <c r="C4114">
        <f t="shared" si="327"/>
        <v>4</v>
      </c>
      <c r="D4114" t="str">
        <f t="shared" si="328"/>
        <v>April</v>
      </c>
      <c r="E4114">
        <f t="shared" si="329"/>
        <v>2028</v>
      </c>
      <c r="F4114" t="str">
        <f>CONCATENATE(calendar[[#This Row],[Month]],"/",calendar[[#This Row],[Year]])</f>
        <v>4/2028</v>
      </c>
      <c r="G4114">
        <f>WEEKDAY(calendar[[#This Row],[Date]],1)</f>
        <v>4</v>
      </c>
      <c r="H4114" t="str">
        <f>TEXT(calendar[[#This Row],[WeekDay]],"dddd")</f>
        <v>Wednesday</v>
      </c>
      <c r="I4114">
        <f>IF((INT(calendar[[#This Row],[Count]]/7)-calendar[[#This Row],[Count]]/7)&lt;0,I4113,I4113+1)</f>
        <v>588</v>
      </c>
      <c r="J4114">
        <f t="shared" si="330"/>
        <v>4112</v>
      </c>
      <c r="K4114">
        <f>IF(calendar[[#This Row],[Month]]&lt;4,1,IF(calendar[[#This Row],[Month]]&lt;7,2,IF(calendar[[#This Row],[Month]]&lt;10,3,4)))</f>
        <v>2</v>
      </c>
      <c r="L4114">
        <f>IFERROR(IF(VLOOKUP(calendar[[#This Row],[Date]],BH!A:A,1,)&lt;&gt;"",1,0),0)</f>
        <v>0</v>
      </c>
      <c r="M4114">
        <f>IFERROR(IF(VLOOKUP(calendar[[#This Row],[Date]],BH!C:C,1,)&lt;&gt;"",1,0),0)</f>
        <v>0</v>
      </c>
      <c r="N4114">
        <f>IFERROR(IF(VLOOKUP(calendar[[#This Row],[Date]],BH!E:E,1,)&lt;&gt;"",1,0),0)</f>
        <v>0</v>
      </c>
      <c r="O4114">
        <f>IFERROR(IF(VLOOKUP(calendar[[#This Row],[Date]],BH!G:G,1,)&lt;&gt;"",1,0),0)</f>
        <v>0</v>
      </c>
      <c r="P4114">
        <f>IF(OR(calendar[[#This Row],[UK_BH]]=1,calendar[[#This Row],[WeekDay]]=1, calendar[[#This Row],[WeekDay]]=7),P4113,P4113+1)</f>
        <v>2914</v>
      </c>
      <c r="Q4114">
        <f>IF(OR(calendar[[#This Row],[FR_BH]]=1,calendar[[#This Row],[WeekDay]]=1, calendar[[#This Row],[WeekDay]]=7),P4113,P4113+1)</f>
        <v>2914</v>
      </c>
      <c r="R4114">
        <f>IF(OR(calendar[[#This Row],[SP_BH]]=1,calendar[[#This Row],[WeekDay]]=1, calendar[[#This Row],[WeekDay]]=7),P4113,P4113+1)</f>
        <v>2914</v>
      </c>
      <c r="S4114">
        <f>IF(OR(calendar[[#This Row],[PT_BH]]=1,calendar[[#This Row],[WeekDay]]=1, calendar[[#This Row],[WeekDay]]=7),P4113,P4113+1)</f>
        <v>2914</v>
      </c>
    </row>
    <row r="4115" spans="1:19" x14ac:dyDescent="0.25">
      <c r="A4115" s="2">
        <v>46849</v>
      </c>
      <c r="B4115" s="1">
        <f t="shared" si="326"/>
        <v>15</v>
      </c>
      <c r="C4115">
        <f t="shared" si="327"/>
        <v>4</v>
      </c>
      <c r="D4115" t="str">
        <f t="shared" si="328"/>
        <v>April</v>
      </c>
      <c r="E4115">
        <f t="shared" si="329"/>
        <v>2028</v>
      </c>
      <c r="F4115" t="str">
        <f>CONCATENATE(calendar[[#This Row],[Month]],"/",calendar[[#This Row],[Year]])</f>
        <v>4/2028</v>
      </c>
      <c r="G4115">
        <f>WEEKDAY(calendar[[#This Row],[Date]],1)</f>
        <v>5</v>
      </c>
      <c r="H4115" t="str">
        <f>TEXT(calendar[[#This Row],[WeekDay]],"dddd")</f>
        <v>Thursday</v>
      </c>
      <c r="I4115">
        <f>IF((INT(calendar[[#This Row],[Count]]/7)-calendar[[#This Row],[Count]]/7)&lt;0,I4114,I4114+1)</f>
        <v>588</v>
      </c>
      <c r="J4115">
        <f t="shared" si="330"/>
        <v>4113</v>
      </c>
      <c r="K4115">
        <f>IF(calendar[[#This Row],[Month]]&lt;4,1,IF(calendar[[#This Row],[Month]]&lt;7,2,IF(calendar[[#This Row],[Month]]&lt;10,3,4)))</f>
        <v>2</v>
      </c>
      <c r="L4115">
        <f>IFERROR(IF(VLOOKUP(calendar[[#This Row],[Date]],BH!A:A,1,)&lt;&gt;"",1,0),0)</f>
        <v>0</v>
      </c>
      <c r="M4115">
        <f>IFERROR(IF(VLOOKUP(calendar[[#This Row],[Date]],BH!C:C,1,)&lt;&gt;"",1,0),0)</f>
        <v>0</v>
      </c>
      <c r="N4115">
        <f>IFERROR(IF(VLOOKUP(calendar[[#This Row],[Date]],BH!E:E,1,)&lt;&gt;"",1,0),0)</f>
        <v>0</v>
      </c>
      <c r="O4115">
        <f>IFERROR(IF(VLOOKUP(calendar[[#This Row],[Date]],BH!G:G,1,)&lt;&gt;"",1,0),0)</f>
        <v>0</v>
      </c>
      <c r="P4115">
        <f>IF(OR(calendar[[#This Row],[UK_BH]]=1,calendar[[#This Row],[WeekDay]]=1, calendar[[#This Row],[WeekDay]]=7),P4114,P4114+1)</f>
        <v>2915</v>
      </c>
      <c r="Q4115">
        <f>IF(OR(calendar[[#This Row],[FR_BH]]=1,calendar[[#This Row],[WeekDay]]=1, calendar[[#This Row],[WeekDay]]=7),P4114,P4114+1)</f>
        <v>2915</v>
      </c>
      <c r="R4115">
        <f>IF(OR(calendar[[#This Row],[SP_BH]]=1,calendar[[#This Row],[WeekDay]]=1, calendar[[#This Row],[WeekDay]]=7),P4114,P4114+1)</f>
        <v>2915</v>
      </c>
      <c r="S4115">
        <f>IF(OR(calendar[[#This Row],[PT_BH]]=1,calendar[[#This Row],[WeekDay]]=1, calendar[[#This Row],[WeekDay]]=7),P4114,P4114+1)</f>
        <v>2915</v>
      </c>
    </row>
    <row r="4116" spans="1:19" x14ac:dyDescent="0.25">
      <c r="A4116" s="2">
        <v>46850</v>
      </c>
      <c r="B4116" s="1">
        <f t="shared" si="326"/>
        <v>15</v>
      </c>
      <c r="C4116">
        <f t="shared" si="327"/>
        <v>4</v>
      </c>
      <c r="D4116" t="str">
        <f t="shared" si="328"/>
        <v>April</v>
      </c>
      <c r="E4116">
        <f t="shared" si="329"/>
        <v>2028</v>
      </c>
      <c r="F4116" t="str">
        <f>CONCATENATE(calendar[[#This Row],[Month]],"/",calendar[[#This Row],[Year]])</f>
        <v>4/2028</v>
      </c>
      <c r="G4116">
        <f>WEEKDAY(calendar[[#This Row],[Date]],1)</f>
        <v>6</v>
      </c>
      <c r="H4116" t="str">
        <f>TEXT(calendar[[#This Row],[WeekDay]],"dddd")</f>
        <v>Friday</v>
      </c>
      <c r="I4116">
        <f>IF((INT(calendar[[#This Row],[Count]]/7)-calendar[[#This Row],[Count]]/7)&lt;0,I4115,I4115+1)</f>
        <v>588</v>
      </c>
      <c r="J4116">
        <f t="shared" si="330"/>
        <v>4114</v>
      </c>
      <c r="K4116">
        <f>IF(calendar[[#This Row],[Month]]&lt;4,1,IF(calendar[[#This Row],[Month]]&lt;7,2,IF(calendar[[#This Row],[Month]]&lt;10,3,4)))</f>
        <v>2</v>
      </c>
      <c r="L4116">
        <f>IFERROR(IF(VLOOKUP(calendar[[#This Row],[Date]],BH!A:A,1,)&lt;&gt;"",1,0),0)</f>
        <v>0</v>
      </c>
      <c r="M4116">
        <f>IFERROR(IF(VLOOKUP(calendar[[#This Row],[Date]],BH!C:C,1,)&lt;&gt;"",1,0),0)</f>
        <v>0</v>
      </c>
      <c r="N4116">
        <f>IFERROR(IF(VLOOKUP(calendar[[#This Row],[Date]],BH!E:E,1,)&lt;&gt;"",1,0),0)</f>
        <v>0</v>
      </c>
      <c r="O4116">
        <f>IFERROR(IF(VLOOKUP(calendar[[#This Row],[Date]],BH!G:G,1,)&lt;&gt;"",1,0),0)</f>
        <v>0</v>
      </c>
      <c r="P4116">
        <f>IF(OR(calendar[[#This Row],[UK_BH]]=1,calendar[[#This Row],[WeekDay]]=1, calendar[[#This Row],[WeekDay]]=7),P4115,P4115+1)</f>
        <v>2916</v>
      </c>
      <c r="Q4116">
        <f>IF(OR(calendar[[#This Row],[FR_BH]]=1,calendar[[#This Row],[WeekDay]]=1, calendar[[#This Row],[WeekDay]]=7),P4115,P4115+1)</f>
        <v>2916</v>
      </c>
      <c r="R4116">
        <f>IF(OR(calendar[[#This Row],[SP_BH]]=1,calendar[[#This Row],[WeekDay]]=1, calendar[[#This Row],[WeekDay]]=7),P4115,P4115+1)</f>
        <v>2916</v>
      </c>
      <c r="S4116">
        <f>IF(OR(calendar[[#This Row],[PT_BH]]=1,calendar[[#This Row],[WeekDay]]=1, calendar[[#This Row],[WeekDay]]=7),P4115,P4115+1)</f>
        <v>2916</v>
      </c>
    </row>
    <row r="4117" spans="1:19" x14ac:dyDescent="0.25">
      <c r="A4117" s="2">
        <v>46851</v>
      </c>
      <c r="B4117" s="1">
        <f t="shared" si="326"/>
        <v>15</v>
      </c>
      <c r="C4117">
        <f t="shared" si="327"/>
        <v>4</v>
      </c>
      <c r="D4117" t="str">
        <f t="shared" si="328"/>
        <v>April</v>
      </c>
      <c r="E4117">
        <f t="shared" si="329"/>
        <v>2028</v>
      </c>
      <c r="F4117" t="str">
        <f>CONCATENATE(calendar[[#This Row],[Month]],"/",calendar[[#This Row],[Year]])</f>
        <v>4/2028</v>
      </c>
      <c r="G4117">
        <f>WEEKDAY(calendar[[#This Row],[Date]],1)</f>
        <v>7</v>
      </c>
      <c r="H4117" t="str">
        <f>TEXT(calendar[[#This Row],[WeekDay]],"dddd")</f>
        <v>Saturday</v>
      </c>
      <c r="I4117">
        <f>IF((INT(calendar[[#This Row],[Count]]/7)-calendar[[#This Row],[Count]]/7)&lt;0,I4116,I4116+1)</f>
        <v>588</v>
      </c>
      <c r="J4117">
        <f t="shared" si="330"/>
        <v>4115</v>
      </c>
      <c r="K4117">
        <f>IF(calendar[[#This Row],[Month]]&lt;4,1,IF(calendar[[#This Row],[Month]]&lt;7,2,IF(calendar[[#This Row],[Month]]&lt;10,3,4)))</f>
        <v>2</v>
      </c>
      <c r="L4117">
        <f>IFERROR(IF(VLOOKUP(calendar[[#This Row],[Date]],BH!A:A,1,)&lt;&gt;"",1,0),0)</f>
        <v>0</v>
      </c>
      <c r="M4117">
        <f>IFERROR(IF(VLOOKUP(calendar[[#This Row],[Date]],BH!C:C,1,)&lt;&gt;"",1,0),0)</f>
        <v>0</v>
      </c>
      <c r="N4117">
        <f>IFERROR(IF(VLOOKUP(calendar[[#This Row],[Date]],BH!E:E,1,)&lt;&gt;"",1,0),0)</f>
        <v>0</v>
      </c>
      <c r="O4117">
        <f>IFERROR(IF(VLOOKUP(calendar[[#This Row],[Date]],BH!G:G,1,)&lt;&gt;"",1,0),0)</f>
        <v>0</v>
      </c>
      <c r="P4117">
        <f>IF(OR(calendar[[#This Row],[UK_BH]]=1,calendar[[#This Row],[WeekDay]]=1, calendar[[#This Row],[WeekDay]]=7),P4116,P4116+1)</f>
        <v>2916</v>
      </c>
      <c r="Q4117">
        <f>IF(OR(calendar[[#This Row],[FR_BH]]=1,calendar[[#This Row],[WeekDay]]=1, calendar[[#This Row],[WeekDay]]=7),P4116,P4116+1)</f>
        <v>2916</v>
      </c>
      <c r="R4117">
        <f>IF(OR(calendar[[#This Row],[SP_BH]]=1,calendar[[#This Row],[WeekDay]]=1, calendar[[#This Row],[WeekDay]]=7),P4116,P4116+1)</f>
        <v>2916</v>
      </c>
      <c r="S4117">
        <f>IF(OR(calendar[[#This Row],[PT_BH]]=1,calendar[[#This Row],[WeekDay]]=1, calendar[[#This Row],[WeekDay]]=7),P4116,P4116+1)</f>
        <v>2916</v>
      </c>
    </row>
    <row r="4118" spans="1:19" x14ac:dyDescent="0.25">
      <c r="A4118" s="2">
        <v>46852</v>
      </c>
      <c r="B4118" s="1">
        <f t="shared" si="326"/>
        <v>16</v>
      </c>
      <c r="C4118">
        <f t="shared" si="327"/>
        <v>4</v>
      </c>
      <c r="D4118" t="str">
        <f t="shared" si="328"/>
        <v>April</v>
      </c>
      <c r="E4118">
        <f t="shared" si="329"/>
        <v>2028</v>
      </c>
      <c r="F4118" t="str">
        <f>CONCATENATE(calendar[[#This Row],[Month]],"/",calendar[[#This Row],[Year]])</f>
        <v>4/2028</v>
      </c>
      <c r="G4118">
        <f>WEEKDAY(calendar[[#This Row],[Date]],1)</f>
        <v>1</v>
      </c>
      <c r="H4118" t="str">
        <f>TEXT(calendar[[#This Row],[WeekDay]],"dddd")</f>
        <v>Sunday</v>
      </c>
      <c r="I4118">
        <f>IF((INT(calendar[[#This Row],[Count]]/7)-calendar[[#This Row],[Count]]/7)&lt;0,I4117,I4117+1)</f>
        <v>589</v>
      </c>
      <c r="J4118">
        <f t="shared" si="330"/>
        <v>4116</v>
      </c>
      <c r="K4118">
        <f>IF(calendar[[#This Row],[Month]]&lt;4,1,IF(calendar[[#This Row],[Month]]&lt;7,2,IF(calendar[[#This Row],[Month]]&lt;10,3,4)))</f>
        <v>2</v>
      </c>
      <c r="L4118">
        <f>IFERROR(IF(VLOOKUP(calendar[[#This Row],[Date]],BH!A:A,1,)&lt;&gt;"",1,0),0)</f>
        <v>0</v>
      </c>
      <c r="M4118">
        <f>IFERROR(IF(VLOOKUP(calendar[[#This Row],[Date]],BH!C:C,1,)&lt;&gt;"",1,0),0)</f>
        <v>0</v>
      </c>
      <c r="N4118">
        <f>IFERROR(IF(VLOOKUP(calendar[[#This Row],[Date]],BH!E:E,1,)&lt;&gt;"",1,0),0)</f>
        <v>0</v>
      </c>
      <c r="O4118">
        <f>IFERROR(IF(VLOOKUP(calendar[[#This Row],[Date]],BH!G:G,1,)&lt;&gt;"",1,0),0)</f>
        <v>0</v>
      </c>
      <c r="P4118">
        <f>IF(OR(calendar[[#This Row],[UK_BH]]=1,calendar[[#This Row],[WeekDay]]=1, calendar[[#This Row],[WeekDay]]=7),P4117,P4117+1)</f>
        <v>2916</v>
      </c>
      <c r="Q4118">
        <f>IF(OR(calendar[[#This Row],[FR_BH]]=1,calendar[[#This Row],[WeekDay]]=1, calendar[[#This Row],[WeekDay]]=7),P4117,P4117+1)</f>
        <v>2916</v>
      </c>
      <c r="R4118">
        <f>IF(OR(calendar[[#This Row],[SP_BH]]=1,calendar[[#This Row],[WeekDay]]=1, calendar[[#This Row],[WeekDay]]=7),P4117,P4117+1)</f>
        <v>2916</v>
      </c>
      <c r="S4118">
        <f>IF(OR(calendar[[#This Row],[PT_BH]]=1,calendar[[#This Row],[WeekDay]]=1, calendar[[#This Row],[WeekDay]]=7),P4117,P4117+1)</f>
        <v>2916</v>
      </c>
    </row>
    <row r="4119" spans="1:19" x14ac:dyDescent="0.25">
      <c r="A4119" s="2">
        <v>46853</v>
      </c>
      <c r="B4119" s="1">
        <f t="shared" si="326"/>
        <v>16</v>
      </c>
      <c r="C4119">
        <f t="shared" si="327"/>
        <v>4</v>
      </c>
      <c r="D4119" t="str">
        <f t="shared" si="328"/>
        <v>April</v>
      </c>
      <c r="E4119">
        <f t="shared" si="329"/>
        <v>2028</v>
      </c>
      <c r="F4119" t="str">
        <f>CONCATENATE(calendar[[#This Row],[Month]],"/",calendar[[#This Row],[Year]])</f>
        <v>4/2028</v>
      </c>
      <c r="G4119">
        <f>WEEKDAY(calendar[[#This Row],[Date]],1)</f>
        <v>2</v>
      </c>
      <c r="H4119" t="str">
        <f>TEXT(calendar[[#This Row],[WeekDay]],"dddd")</f>
        <v>Monday</v>
      </c>
      <c r="I4119">
        <f>IF((INT(calendar[[#This Row],[Count]]/7)-calendar[[#This Row],[Count]]/7)&lt;0,I4118,I4118+1)</f>
        <v>589</v>
      </c>
      <c r="J4119">
        <f t="shared" si="330"/>
        <v>4117</v>
      </c>
      <c r="K4119">
        <f>IF(calendar[[#This Row],[Month]]&lt;4,1,IF(calendar[[#This Row],[Month]]&lt;7,2,IF(calendar[[#This Row],[Month]]&lt;10,3,4)))</f>
        <v>2</v>
      </c>
      <c r="L4119">
        <f>IFERROR(IF(VLOOKUP(calendar[[#This Row],[Date]],BH!A:A,1,)&lt;&gt;"",1,0),0)</f>
        <v>0</v>
      </c>
      <c r="M4119">
        <f>IFERROR(IF(VLOOKUP(calendar[[#This Row],[Date]],BH!C:C,1,)&lt;&gt;"",1,0),0)</f>
        <v>0</v>
      </c>
      <c r="N4119">
        <f>IFERROR(IF(VLOOKUP(calendar[[#This Row],[Date]],BH!E:E,1,)&lt;&gt;"",1,0),0)</f>
        <v>0</v>
      </c>
      <c r="O4119">
        <f>IFERROR(IF(VLOOKUP(calendar[[#This Row],[Date]],BH!G:G,1,)&lt;&gt;"",1,0),0)</f>
        <v>0</v>
      </c>
      <c r="P4119">
        <f>IF(OR(calendar[[#This Row],[UK_BH]]=1,calendar[[#This Row],[WeekDay]]=1, calendar[[#This Row],[WeekDay]]=7),P4118,P4118+1)</f>
        <v>2917</v>
      </c>
      <c r="Q4119">
        <f>IF(OR(calendar[[#This Row],[FR_BH]]=1,calendar[[#This Row],[WeekDay]]=1, calendar[[#This Row],[WeekDay]]=7),P4118,P4118+1)</f>
        <v>2917</v>
      </c>
      <c r="R4119">
        <f>IF(OR(calendar[[#This Row],[SP_BH]]=1,calendar[[#This Row],[WeekDay]]=1, calendar[[#This Row],[WeekDay]]=7),P4118,P4118+1)</f>
        <v>2917</v>
      </c>
      <c r="S4119">
        <f>IF(OR(calendar[[#This Row],[PT_BH]]=1,calendar[[#This Row],[WeekDay]]=1, calendar[[#This Row],[WeekDay]]=7),P4118,P4118+1)</f>
        <v>2917</v>
      </c>
    </row>
    <row r="4120" spans="1:19" x14ac:dyDescent="0.25">
      <c r="A4120" s="2">
        <v>46854</v>
      </c>
      <c r="B4120" s="1">
        <f t="shared" si="326"/>
        <v>16</v>
      </c>
      <c r="C4120">
        <f t="shared" si="327"/>
        <v>4</v>
      </c>
      <c r="D4120" t="str">
        <f t="shared" si="328"/>
        <v>April</v>
      </c>
      <c r="E4120">
        <f t="shared" si="329"/>
        <v>2028</v>
      </c>
      <c r="F4120" t="str">
        <f>CONCATENATE(calendar[[#This Row],[Month]],"/",calendar[[#This Row],[Year]])</f>
        <v>4/2028</v>
      </c>
      <c r="G4120">
        <f>WEEKDAY(calendar[[#This Row],[Date]],1)</f>
        <v>3</v>
      </c>
      <c r="H4120" t="str">
        <f>TEXT(calendar[[#This Row],[WeekDay]],"dddd")</f>
        <v>Tuesday</v>
      </c>
      <c r="I4120">
        <f>IF((INT(calendar[[#This Row],[Count]]/7)-calendar[[#This Row],[Count]]/7)&lt;0,I4119,I4119+1)</f>
        <v>589</v>
      </c>
      <c r="J4120">
        <f t="shared" si="330"/>
        <v>4118</v>
      </c>
      <c r="K4120">
        <f>IF(calendar[[#This Row],[Month]]&lt;4,1,IF(calendar[[#This Row],[Month]]&lt;7,2,IF(calendar[[#This Row],[Month]]&lt;10,3,4)))</f>
        <v>2</v>
      </c>
      <c r="L4120">
        <f>IFERROR(IF(VLOOKUP(calendar[[#This Row],[Date]],BH!A:A,1,)&lt;&gt;"",1,0),0)</f>
        <v>0</v>
      </c>
      <c r="M4120">
        <f>IFERROR(IF(VLOOKUP(calendar[[#This Row],[Date]],BH!C:C,1,)&lt;&gt;"",1,0),0)</f>
        <v>0</v>
      </c>
      <c r="N4120">
        <f>IFERROR(IF(VLOOKUP(calendar[[#This Row],[Date]],BH!E:E,1,)&lt;&gt;"",1,0),0)</f>
        <v>0</v>
      </c>
      <c r="O4120">
        <f>IFERROR(IF(VLOOKUP(calendar[[#This Row],[Date]],BH!G:G,1,)&lt;&gt;"",1,0),0)</f>
        <v>0</v>
      </c>
      <c r="P4120">
        <f>IF(OR(calendar[[#This Row],[UK_BH]]=1,calendar[[#This Row],[WeekDay]]=1, calendar[[#This Row],[WeekDay]]=7),P4119,P4119+1)</f>
        <v>2918</v>
      </c>
      <c r="Q4120">
        <f>IF(OR(calendar[[#This Row],[FR_BH]]=1,calendar[[#This Row],[WeekDay]]=1, calendar[[#This Row],[WeekDay]]=7),P4119,P4119+1)</f>
        <v>2918</v>
      </c>
      <c r="R4120">
        <f>IF(OR(calendar[[#This Row],[SP_BH]]=1,calendar[[#This Row],[WeekDay]]=1, calendar[[#This Row],[WeekDay]]=7),P4119,P4119+1)</f>
        <v>2918</v>
      </c>
      <c r="S4120">
        <f>IF(OR(calendar[[#This Row],[PT_BH]]=1,calendar[[#This Row],[WeekDay]]=1, calendar[[#This Row],[WeekDay]]=7),P4119,P4119+1)</f>
        <v>2918</v>
      </c>
    </row>
    <row r="4121" spans="1:19" x14ac:dyDescent="0.25">
      <c r="A4121" s="2">
        <v>46855</v>
      </c>
      <c r="B4121" s="1">
        <f t="shared" si="326"/>
        <v>16</v>
      </c>
      <c r="C4121">
        <f t="shared" si="327"/>
        <v>4</v>
      </c>
      <c r="D4121" t="str">
        <f t="shared" si="328"/>
        <v>April</v>
      </c>
      <c r="E4121">
        <f t="shared" si="329"/>
        <v>2028</v>
      </c>
      <c r="F4121" t="str">
        <f>CONCATENATE(calendar[[#This Row],[Month]],"/",calendar[[#This Row],[Year]])</f>
        <v>4/2028</v>
      </c>
      <c r="G4121">
        <f>WEEKDAY(calendar[[#This Row],[Date]],1)</f>
        <v>4</v>
      </c>
      <c r="H4121" t="str">
        <f>TEXT(calendar[[#This Row],[WeekDay]],"dddd")</f>
        <v>Wednesday</v>
      </c>
      <c r="I4121">
        <f>IF((INT(calendar[[#This Row],[Count]]/7)-calendar[[#This Row],[Count]]/7)&lt;0,I4120,I4120+1)</f>
        <v>589</v>
      </c>
      <c r="J4121">
        <f t="shared" si="330"/>
        <v>4119</v>
      </c>
      <c r="K4121">
        <f>IF(calendar[[#This Row],[Month]]&lt;4,1,IF(calendar[[#This Row],[Month]]&lt;7,2,IF(calendar[[#This Row],[Month]]&lt;10,3,4)))</f>
        <v>2</v>
      </c>
      <c r="L4121">
        <f>IFERROR(IF(VLOOKUP(calendar[[#This Row],[Date]],BH!A:A,1,)&lt;&gt;"",1,0),0)</f>
        <v>0</v>
      </c>
      <c r="M4121">
        <f>IFERROR(IF(VLOOKUP(calendar[[#This Row],[Date]],BH!C:C,1,)&lt;&gt;"",1,0),0)</f>
        <v>0</v>
      </c>
      <c r="N4121">
        <f>IFERROR(IF(VLOOKUP(calendar[[#This Row],[Date]],BH!E:E,1,)&lt;&gt;"",1,0),0)</f>
        <v>0</v>
      </c>
      <c r="O4121">
        <f>IFERROR(IF(VLOOKUP(calendar[[#This Row],[Date]],BH!G:G,1,)&lt;&gt;"",1,0),0)</f>
        <v>0</v>
      </c>
      <c r="P4121">
        <f>IF(OR(calendar[[#This Row],[UK_BH]]=1,calendar[[#This Row],[WeekDay]]=1, calendar[[#This Row],[WeekDay]]=7),P4120,P4120+1)</f>
        <v>2919</v>
      </c>
      <c r="Q4121">
        <f>IF(OR(calendar[[#This Row],[FR_BH]]=1,calendar[[#This Row],[WeekDay]]=1, calendar[[#This Row],[WeekDay]]=7),P4120,P4120+1)</f>
        <v>2919</v>
      </c>
      <c r="R4121">
        <f>IF(OR(calendar[[#This Row],[SP_BH]]=1,calendar[[#This Row],[WeekDay]]=1, calendar[[#This Row],[WeekDay]]=7),P4120,P4120+1)</f>
        <v>2919</v>
      </c>
      <c r="S4121">
        <f>IF(OR(calendar[[#This Row],[PT_BH]]=1,calendar[[#This Row],[WeekDay]]=1, calendar[[#This Row],[WeekDay]]=7),P4120,P4120+1)</f>
        <v>2919</v>
      </c>
    </row>
    <row r="4122" spans="1:19" x14ac:dyDescent="0.25">
      <c r="A4122" s="2">
        <v>46856</v>
      </c>
      <c r="B4122" s="1">
        <f t="shared" si="326"/>
        <v>16</v>
      </c>
      <c r="C4122">
        <f t="shared" si="327"/>
        <v>4</v>
      </c>
      <c r="D4122" t="str">
        <f t="shared" si="328"/>
        <v>April</v>
      </c>
      <c r="E4122">
        <f t="shared" si="329"/>
        <v>2028</v>
      </c>
      <c r="F4122" t="str">
        <f>CONCATENATE(calendar[[#This Row],[Month]],"/",calendar[[#This Row],[Year]])</f>
        <v>4/2028</v>
      </c>
      <c r="G4122">
        <f>WEEKDAY(calendar[[#This Row],[Date]],1)</f>
        <v>5</v>
      </c>
      <c r="H4122" t="str">
        <f>TEXT(calendar[[#This Row],[WeekDay]],"dddd")</f>
        <v>Thursday</v>
      </c>
      <c r="I4122">
        <f>IF((INT(calendar[[#This Row],[Count]]/7)-calendar[[#This Row],[Count]]/7)&lt;0,I4121,I4121+1)</f>
        <v>589</v>
      </c>
      <c r="J4122">
        <f t="shared" si="330"/>
        <v>4120</v>
      </c>
      <c r="K4122">
        <f>IF(calendar[[#This Row],[Month]]&lt;4,1,IF(calendar[[#This Row],[Month]]&lt;7,2,IF(calendar[[#This Row],[Month]]&lt;10,3,4)))</f>
        <v>2</v>
      </c>
      <c r="L4122">
        <f>IFERROR(IF(VLOOKUP(calendar[[#This Row],[Date]],BH!A:A,1,)&lt;&gt;"",1,0),0)</f>
        <v>0</v>
      </c>
      <c r="M4122">
        <f>IFERROR(IF(VLOOKUP(calendar[[#This Row],[Date]],BH!C:C,1,)&lt;&gt;"",1,0),0)</f>
        <v>0</v>
      </c>
      <c r="N4122">
        <f>IFERROR(IF(VLOOKUP(calendar[[#This Row],[Date]],BH!E:E,1,)&lt;&gt;"",1,0),0)</f>
        <v>0</v>
      </c>
      <c r="O4122">
        <f>IFERROR(IF(VLOOKUP(calendar[[#This Row],[Date]],BH!G:G,1,)&lt;&gt;"",1,0),0)</f>
        <v>0</v>
      </c>
      <c r="P4122">
        <f>IF(OR(calendar[[#This Row],[UK_BH]]=1,calendar[[#This Row],[WeekDay]]=1, calendar[[#This Row],[WeekDay]]=7),P4121,P4121+1)</f>
        <v>2920</v>
      </c>
      <c r="Q4122">
        <f>IF(OR(calendar[[#This Row],[FR_BH]]=1,calendar[[#This Row],[WeekDay]]=1, calendar[[#This Row],[WeekDay]]=7),P4121,P4121+1)</f>
        <v>2920</v>
      </c>
      <c r="R4122">
        <f>IF(OR(calendar[[#This Row],[SP_BH]]=1,calendar[[#This Row],[WeekDay]]=1, calendar[[#This Row],[WeekDay]]=7),P4121,P4121+1)</f>
        <v>2920</v>
      </c>
      <c r="S4122">
        <f>IF(OR(calendar[[#This Row],[PT_BH]]=1,calendar[[#This Row],[WeekDay]]=1, calendar[[#This Row],[WeekDay]]=7),P4121,P4121+1)</f>
        <v>2920</v>
      </c>
    </row>
    <row r="4123" spans="1:19" x14ac:dyDescent="0.25">
      <c r="A4123" s="2">
        <v>46857</v>
      </c>
      <c r="B4123" s="1">
        <f t="shared" si="326"/>
        <v>16</v>
      </c>
      <c r="C4123">
        <f t="shared" si="327"/>
        <v>4</v>
      </c>
      <c r="D4123" t="str">
        <f t="shared" si="328"/>
        <v>April</v>
      </c>
      <c r="E4123">
        <f t="shared" si="329"/>
        <v>2028</v>
      </c>
      <c r="F4123" t="str">
        <f>CONCATENATE(calendar[[#This Row],[Month]],"/",calendar[[#This Row],[Year]])</f>
        <v>4/2028</v>
      </c>
      <c r="G4123">
        <f>WEEKDAY(calendar[[#This Row],[Date]],1)</f>
        <v>6</v>
      </c>
      <c r="H4123" t="str">
        <f>TEXT(calendar[[#This Row],[WeekDay]],"dddd")</f>
        <v>Friday</v>
      </c>
      <c r="I4123">
        <f>IF((INT(calendar[[#This Row],[Count]]/7)-calendar[[#This Row],[Count]]/7)&lt;0,I4122,I4122+1)</f>
        <v>589</v>
      </c>
      <c r="J4123">
        <f t="shared" si="330"/>
        <v>4121</v>
      </c>
      <c r="K4123">
        <f>IF(calendar[[#This Row],[Month]]&lt;4,1,IF(calendar[[#This Row],[Month]]&lt;7,2,IF(calendar[[#This Row],[Month]]&lt;10,3,4)))</f>
        <v>2</v>
      </c>
      <c r="L4123">
        <f>IFERROR(IF(VLOOKUP(calendar[[#This Row],[Date]],BH!A:A,1,)&lt;&gt;"",1,0),0)</f>
        <v>0</v>
      </c>
      <c r="M4123">
        <f>IFERROR(IF(VLOOKUP(calendar[[#This Row],[Date]],BH!C:C,1,)&lt;&gt;"",1,0),0)</f>
        <v>0</v>
      </c>
      <c r="N4123">
        <f>IFERROR(IF(VLOOKUP(calendar[[#This Row],[Date]],BH!E:E,1,)&lt;&gt;"",1,0),0)</f>
        <v>0</v>
      </c>
      <c r="O4123">
        <f>IFERROR(IF(VLOOKUP(calendar[[#This Row],[Date]],BH!G:G,1,)&lt;&gt;"",1,0),0)</f>
        <v>0</v>
      </c>
      <c r="P4123">
        <f>IF(OR(calendar[[#This Row],[UK_BH]]=1,calendar[[#This Row],[WeekDay]]=1, calendar[[#This Row],[WeekDay]]=7),P4122,P4122+1)</f>
        <v>2921</v>
      </c>
      <c r="Q4123">
        <f>IF(OR(calendar[[#This Row],[FR_BH]]=1,calendar[[#This Row],[WeekDay]]=1, calendar[[#This Row],[WeekDay]]=7),P4122,P4122+1)</f>
        <v>2921</v>
      </c>
      <c r="R4123">
        <f>IF(OR(calendar[[#This Row],[SP_BH]]=1,calendar[[#This Row],[WeekDay]]=1, calendar[[#This Row],[WeekDay]]=7),P4122,P4122+1)</f>
        <v>2921</v>
      </c>
      <c r="S4123">
        <f>IF(OR(calendar[[#This Row],[PT_BH]]=1,calendar[[#This Row],[WeekDay]]=1, calendar[[#This Row],[WeekDay]]=7),P4122,P4122+1)</f>
        <v>2921</v>
      </c>
    </row>
    <row r="4124" spans="1:19" x14ac:dyDescent="0.25">
      <c r="A4124" s="2">
        <v>46858</v>
      </c>
      <c r="B4124" s="1">
        <f t="shared" si="326"/>
        <v>16</v>
      </c>
      <c r="C4124">
        <f t="shared" si="327"/>
        <v>4</v>
      </c>
      <c r="D4124" t="str">
        <f t="shared" si="328"/>
        <v>April</v>
      </c>
      <c r="E4124">
        <f t="shared" si="329"/>
        <v>2028</v>
      </c>
      <c r="F4124" t="str">
        <f>CONCATENATE(calendar[[#This Row],[Month]],"/",calendar[[#This Row],[Year]])</f>
        <v>4/2028</v>
      </c>
      <c r="G4124">
        <f>WEEKDAY(calendar[[#This Row],[Date]],1)</f>
        <v>7</v>
      </c>
      <c r="H4124" t="str">
        <f>TEXT(calendar[[#This Row],[WeekDay]],"dddd")</f>
        <v>Saturday</v>
      </c>
      <c r="I4124">
        <f>IF((INT(calendar[[#This Row],[Count]]/7)-calendar[[#This Row],[Count]]/7)&lt;0,I4123,I4123+1)</f>
        <v>589</v>
      </c>
      <c r="J4124">
        <f t="shared" si="330"/>
        <v>4122</v>
      </c>
      <c r="K4124">
        <f>IF(calendar[[#This Row],[Month]]&lt;4,1,IF(calendar[[#This Row],[Month]]&lt;7,2,IF(calendar[[#This Row],[Month]]&lt;10,3,4)))</f>
        <v>2</v>
      </c>
      <c r="L4124">
        <f>IFERROR(IF(VLOOKUP(calendar[[#This Row],[Date]],BH!A:A,1,)&lt;&gt;"",1,0),0)</f>
        <v>0</v>
      </c>
      <c r="M4124">
        <f>IFERROR(IF(VLOOKUP(calendar[[#This Row],[Date]],BH!C:C,1,)&lt;&gt;"",1,0),0)</f>
        <v>0</v>
      </c>
      <c r="N4124">
        <f>IFERROR(IF(VLOOKUP(calendar[[#This Row],[Date]],BH!E:E,1,)&lt;&gt;"",1,0),0)</f>
        <v>0</v>
      </c>
      <c r="O4124">
        <f>IFERROR(IF(VLOOKUP(calendar[[#This Row],[Date]],BH!G:G,1,)&lt;&gt;"",1,0),0)</f>
        <v>0</v>
      </c>
      <c r="P4124">
        <f>IF(OR(calendar[[#This Row],[UK_BH]]=1,calendar[[#This Row],[WeekDay]]=1, calendar[[#This Row],[WeekDay]]=7),P4123,P4123+1)</f>
        <v>2921</v>
      </c>
      <c r="Q4124">
        <f>IF(OR(calendar[[#This Row],[FR_BH]]=1,calendar[[#This Row],[WeekDay]]=1, calendar[[#This Row],[WeekDay]]=7),P4123,P4123+1)</f>
        <v>2921</v>
      </c>
      <c r="R4124">
        <f>IF(OR(calendar[[#This Row],[SP_BH]]=1,calendar[[#This Row],[WeekDay]]=1, calendar[[#This Row],[WeekDay]]=7),P4123,P4123+1)</f>
        <v>2921</v>
      </c>
      <c r="S4124">
        <f>IF(OR(calendar[[#This Row],[PT_BH]]=1,calendar[[#This Row],[WeekDay]]=1, calendar[[#This Row],[WeekDay]]=7),P4123,P4123+1)</f>
        <v>2921</v>
      </c>
    </row>
    <row r="4125" spans="1:19" x14ac:dyDescent="0.25">
      <c r="A4125" s="2">
        <v>46859</v>
      </c>
      <c r="B4125" s="1">
        <f t="shared" si="326"/>
        <v>17</v>
      </c>
      <c r="C4125">
        <f t="shared" si="327"/>
        <v>4</v>
      </c>
      <c r="D4125" t="str">
        <f t="shared" si="328"/>
        <v>April</v>
      </c>
      <c r="E4125">
        <f t="shared" si="329"/>
        <v>2028</v>
      </c>
      <c r="F4125" t="str">
        <f>CONCATENATE(calendar[[#This Row],[Month]],"/",calendar[[#This Row],[Year]])</f>
        <v>4/2028</v>
      </c>
      <c r="G4125">
        <f>WEEKDAY(calendar[[#This Row],[Date]],1)</f>
        <v>1</v>
      </c>
      <c r="H4125" t="str">
        <f>TEXT(calendar[[#This Row],[WeekDay]],"dddd")</f>
        <v>Sunday</v>
      </c>
      <c r="I4125">
        <f>IF((INT(calendar[[#This Row],[Count]]/7)-calendar[[#This Row],[Count]]/7)&lt;0,I4124,I4124+1)</f>
        <v>590</v>
      </c>
      <c r="J4125">
        <f t="shared" si="330"/>
        <v>4123</v>
      </c>
      <c r="K4125">
        <f>IF(calendar[[#This Row],[Month]]&lt;4,1,IF(calendar[[#This Row],[Month]]&lt;7,2,IF(calendar[[#This Row],[Month]]&lt;10,3,4)))</f>
        <v>2</v>
      </c>
      <c r="L4125">
        <f>IFERROR(IF(VLOOKUP(calendar[[#This Row],[Date]],BH!A:A,1,)&lt;&gt;"",1,0),0)</f>
        <v>0</v>
      </c>
      <c r="M4125">
        <f>IFERROR(IF(VLOOKUP(calendar[[#This Row],[Date]],BH!C:C,1,)&lt;&gt;"",1,0),0)</f>
        <v>0</v>
      </c>
      <c r="N4125">
        <f>IFERROR(IF(VLOOKUP(calendar[[#This Row],[Date]],BH!E:E,1,)&lt;&gt;"",1,0),0)</f>
        <v>0</v>
      </c>
      <c r="O4125">
        <f>IFERROR(IF(VLOOKUP(calendar[[#This Row],[Date]],BH!G:G,1,)&lt;&gt;"",1,0),0)</f>
        <v>0</v>
      </c>
      <c r="P4125">
        <f>IF(OR(calendar[[#This Row],[UK_BH]]=1,calendar[[#This Row],[WeekDay]]=1, calendar[[#This Row],[WeekDay]]=7),P4124,P4124+1)</f>
        <v>2921</v>
      </c>
      <c r="Q4125">
        <f>IF(OR(calendar[[#This Row],[FR_BH]]=1,calendar[[#This Row],[WeekDay]]=1, calendar[[#This Row],[WeekDay]]=7),P4124,P4124+1)</f>
        <v>2921</v>
      </c>
      <c r="R4125">
        <f>IF(OR(calendar[[#This Row],[SP_BH]]=1,calendar[[#This Row],[WeekDay]]=1, calendar[[#This Row],[WeekDay]]=7),P4124,P4124+1)</f>
        <v>2921</v>
      </c>
      <c r="S4125">
        <f>IF(OR(calendar[[#This Row],[PT_BH]]=1,calendar[[#This Row],[WeekDay]]=1, calendar[[#This Row],[WeekDay]]=7),P4124,P4124+1)</f>
        <v>2921</v>
      </c>
    </row>
    <row r="4126" spans="1:19" x14ac:dyDescent="0.25">
      <c r="A4126" s="2">
        <v>46860</v>
      </c>
      <c r="B4126" s="1">
        <f t="shared" si="326"/>
        <v>17</v>
      </c>
      <c r="C4126">
        <f t="shared" si="327"/>
        <v>4</v>
      </c>
      <c r="D4126" t="str">
        <f t="shared" si="328"/>
        <v>April</v>
      </c>
      <c r="E4126">
        <f t="shared" si="329"/>
        <v>2028</v>
      </c>
      <c r="F4126" t="str">
        <f>CONCATENATE(calendar[[#This Row],[Month]],"/",calendar[[#This Row],[Year]])</f>
        <v>4/2028</v>
      </c>
      <c r="G4126">
        <f>WEEKDAY(calendar[[#This Row],[Date]],1)</f>
        <v>2</v>
      </c>
      <c r="H4126" t="str">
        <f>TEXT(calendar[[#This Row],[WeekDay]],"dddd")</f>
        <v>Monday</v>
      </c>
      <c r="I4126">
        <f>IF((INT(calendar[[#This Row],[Count]]/7)-calendar[[#This Row],[Count]]/7)&lt;0,I4125,I4125+1)</f>
        <v>590</v>
      </c>
      <c r="J4126">
        <f t="shared" si="330"/>
        <v>4124</v>
      </c>
      <c r="K4126">
        <f>IF(calendar[[#This Row],[Month]]&lt;4,1,IF(calendar[[#This Row],[Month]]&lt;7,2,IF(calendar[[#This Row],[Month]]&lt;10,3,4)))</f>
        <v>2</v>
      </c>
      <c r="L4126">
        <f>IFERROR(IF(VLOOKUP(calendar[[#This Row],[Date]],BH!A:A,1,)&lt;&gt;"",1,0),0)</f>
        <v>0</v>
      </c>
      <c r="M4126">
        <f>IFERROR(IF(VLOOKUP(calendar[[#This Row],[Date]],BH!C:C,1,)&lt;&gt;"",1,0),0)</f>
        <v>0</v>
      </c>
      <c r="N4126">
        <f>IFERROR(IF(VLOOKUP(calendar[[#This Row],[Date]],BH!E:E,1,)&lt;&gt;"",1,0),0)</f>
        <v>0</v>
      </c>
      <c r="O4126">
        <f>IFERROR(IF(VLOOKUP(calendar[[#This Row],[Date]],BH!G:G,1,)&lt;&gt;"",1,0),0)</f>
        <v>0</v>
      </c>
      <c r="P4126">
        <f>IF(OR(calendar[[#This Row],[UK_BH]]=1,calendar[[#This Row],[WeekDay]]=1, calendar[[#This Row],[WeekDay]]=7),P4125,P4125+1)</f>
        <v>2922</v>
      </c>
      <c r="Q4126">
        <f>IF(OR(calendar[[#This Row],[FR_BH]]=1,calendar[[#This Row],[WeekDay]]=1, calendar[[#This Row],[WeekDay]]=7),P4125,P4125+1)</f>
        <v>2922</v>
      </c>
      <c r="R4126">
        <f>IF(OR(calendar[[#This Row],[SP_BH]]=1,calendar[[#This Row],[WeekDay]]=1, calendar[[#This Row],[WeekDay]]=7),P4125,P4125+1)</f>
        <v>2922</v>
      </c>
      <c r="S4126">
        <f>IF(OR(calendar[[#This Row],[PT_BH]]=1,calendar[[#This Row],[WeekDay]]=1, calendar[[#This Row],[WeekDay]]=7),P4125,P4125+1)</f>
        <v>2922</v>
      </c>
    </row>
    <row r="4127" spans="1:19" x14ac:dyDescent="0.25">
      <c r="A4127" s="2">
        <v>46861</v>
      </c>
      <c r="B4127" s="1">
        <f t="shared" si="326"/>
        <v>17</v>
      </c>
      <c r="C4127">
        <f t="shared" si="327"/>
        <v>4</v>
      </c>
      <c r="D4127" t="str">
        <f t="shared" si="328"/>
        <v>April</v>
      </c>
      <c r="E4127">
        <f t="shared" si="329"/>
        <v>2028</v>
      </c>
      <c r="F4127" t="str">
        <f>CONCATENATE(calendar[[#This Row],[Month]],"/",calendar[[#This Row],[Year]])</f>
        <v>4/2028</v>
      </c>
      <c r="G4127">
        <f>WEEKDAY(calendar[[#This Row],[Date]],1)</f>
        <v>3</v>
      </c>
      <c r="H4127" t="str">
        <f>TEXT(calendar[[#This Row],[WeekDay]],"dddd")</f>
        <v>Tuesday</v>
      </c>
      <c r="I4127">
        <f>IF((INT(calendar[[#This Row],[Count]]/7)-calendar[[#This Row],[Count]]/7)&lt;0,I4126,I4126+1)</f>
        <v>590</v>
      </c>
      <c r="J4127">
        <f t="shared" si="330"/>
        <v>4125</v>
      </c>
      <c r="K4127">
        <f>IF(calendar[[#This Row],[Month]]&lt;4,1,IF(calendar[[#This Row],[Month]]&lt;7,2,IF(calendar[[#This Row],[Month]]&lt;10,3,4)))</f>
        <v>2</v>
      </c>
      <c r="L4127">
        <f>IFERROR(IF(VLOOKUP(calendar[[#This Row],[Date]],BH!A:A,1,)&lt;&gt;"",1,0),0)</f>
        <v>0</v>
      </c>
      <c r="M4127">
        <f>IFERROR(IF(VLOOKUP(calendar[[#This Row],[Date]],BH!C:C,1,)&lt;&gt;"",1,0),0)</f>
        <v>0</v>
      </c>
      <c r="N4127">
        <f>IFERROR(IF(VLOOKUP(calendar[[#This Row],[Date]],BH!E:E,1,)&lt;&gt;"",1,0),0)</f>
        <v>0</v>
      </c>
      <c r="O4127">
        <f>IFERROR(IF(VLOOKUP(calendar[[#This Row],[Date]],BH!G:G,1,)&lt;&gt;"",1,0),0)</f>
        <v>0</v>
      </c>
      <c r="P4127">
        <f>IF(OR(calendar[[#This Row],[UK_BH]]=1,calendar[[#This Row],[WeekDay]]=1, calendar[[#This Row],[WeekDay]]=7),P4126,P4126+1)</f>
        <v>2923</v>
      </c>
      <c r="Q4127">
        <f>IF(OR(calendar[[#This Row],[FR_BH]]=1,calendar[[#This Row],[WeekDay]]=1, calendar[[#This Row],[WeekDay]]=7),P4126,P4126+1)</f>
        <v>2923</v>
      </c>
      <c r="R4127">
        <f>IF(OR(calendar[[#This Row],[SP_BH]]=1,calendar[[#This Row],[WeekDay]]=1, calendar[[#This Row],[WeekDay]]=7),P4126,P4126+1)</f>
        <v>2923</v>
      </c>
      <c r="S4127">
        <f>IF(OR(calendar[[#This Row],[PT_BH]]=1,calendar[[#This Row],[WeekDay]]=1, calendar[[#This Row],[WeekDay]]=7),P4126,P4126+1)</f>
        <v>2923</v>
      </c>
    </row>
    <row r="4128" spans="1:19" x14ac:dyDescent="0.25">
      <c r="A4128" s="2">
        <v>46862</v>
      </c>
      <c r="B4128" s="1">
        <f t="shared" si="326"/>
        <v>17</v>
      </c>
      <c r="C4128">
        <f t="shared" si="327"/>
        <v>4</v>
      </c>
      <c r="D4128" t="str">
        <f t="shared" si="328"/>
        <v>April</v>
      </c>
      <c r="E4128">
        <f t="shared" si="329"/>
        <v>2028</v>
      </c>
      <c r="F4128" t="str">
        <f>CONCATENATE(calendar[[#This Row],[Month]],"/",calendar[[#This Row],[Year]])</f>
        <v>4/2028</v>
      </c>
      <c r="G4128">
        <f>WEEKDAY(calendar[[#This Row],[Date]],1)</f>
        <v>4</v>
      </c>
      <c r="H4128" t="str">
        <f>TEXT(calendar[[#This Row],[WeekDay]],"dddd")</f>
        <v>Wednesday</v>
      </c>
      <c r="I4128">
        <f>IF((INT(calendar[[#This Row],[Count]]/7)-calendar[[#This Row],[Count]]/7)&lt;0,I4127,I4127+1)</f>
        <v>590</v>
      </c>
      <c r="J4128">
        <f t="shared" si="330"/>
        <v>4126</v>
      </c>
      <c r="K4128">
        <f>IF(calendar[[#This Row],[Month]]&lt;4,1,IF(calendar[[#This Row],[Month]]&lt;7,2,IF(calendar[[#This Row],[Month]]&lt;10,3,4)))</f>
        <v>2</v>
      </c>
      <c r="L4128">
        <f>IFERROR(IF(VLOOKUP(calendar[[#This Row],[Date]],BH!A:A,1,)&lt;&gt;"",1,0),0)</f>
        <v>0</v>
      </c>
      <c r="M4128">
        <f>IFERROR(IF(VLOOKUP(calendar[[#This Row],[Date]],BH!C:C,1,)&lt;&gt;"",1,0),0)</f>
        <v>0</v>
      </c>
      <c r="N4128">
        <f>IFERROR(IF(VLOOKUP(calendar[[#This Row],[Date]],BH!E:E,1,)&lt;&gt;"",1,0),0)</f>
        <v>0</v>
      </c>
      <c r="O4128">
        <f>IFERROR(IF(VLOOKUP(calendar[[#This Row],[Date]],BH!G:G,1,)&lt;&gt;"",1,0),0)</f>
        <v>0</v>
      </c>
      <c r="P4128">
        <f>IF(OR(calendar[[#This Row],[UK_BH]]=1,calendar[[#This Row],[WeekDay]]=1, calendar[[#This Row],[WeekDay]]=7),P4127,P4127+1)</f>
        <v>2924</v>
      </c>
      <c r="Q4128">
        <f>IF(OR(calendar[[#This Row],[FR_BH]]=1,calendar[[#This Row],[WeekDay]]=1, calendar[[#This Row],[WeekDay]]=7),P4127,P4127+1)</f>
        <v>2924</v>
      </c>
      <c r="R4128">
        <f>IF(OR(calendar[[#This Row],[SP_BH]]=1,calendar[[#This Row],[WeekDay]]=1, calendar[[#This Row],[WeekDay]]=7),P4127,P4127+1)</f>
        <v>2924</v>
      </c>
      <c r="S4128">
        <f>IF(OR(calendar[[#This Row],[PT_BH]]=1,calendar[[#This Row],[WeekDay]]=1, calendar[[#This Row],[WeekDay]]=7),P4127,P4127+1)</f>
        <v>2924</v>
      </c>
    </row>
    <row r="4129" spans="1:19" x14ac:dyDescent="0.25">
      <c r="A4129" s="2">
        <v>46863</v>
      </c>
      <c r="B4129" s="1">
        <f t="shared" si="326"/>
        <v>17</v>
      </c>
      <c r="C4129">
        <f t="shared" si="327"/>
        <v>4</v>
      </c>
      <c r="D4129" t="str">
        <f t="shared" si="328"/>
        <v>April</v>
      </c>
      <c r="E4129">
        <f t="shared" si="329"/>
        <v>2028</v>
      </c>
      <c r="F4129" t="str">
        <f>CONCATENATE(calendar[[#This Row],[Month]],"/",calendar[[#This Row],[Year]])</f>
        <v>4/2028</v>
      </c>
      <c r="G4129">
        <f>WEEKDAY(calendar[[#This Row],[Date]],1)</f>
        <v>5</v>
      </c>
      <c r="H4129" t="str">
        <f>TEXT(calendar[[#This Row],[WeekDay]],"dddd")</f>
        <v>Thursday</v>
      </c>
      <c r="I4129">
        <f>IF((INT(calendar[[#This Row],[Count]]/7)-calendar[[#This Row],[Count]]/7)&lt;0,I4128,I4128+1)</f>
        <v>590</v>
      </c>
      <c r="J4129">
        <f t="shared" si="330"/>
        <v>4127</v>
      </c>
      <c r="K4129">
        <f>IF(calendar[[#This Row],[Month]]&lt;4,1,IF(calendar[[#This Row],[Month]]&lt;7,2,IF(calendar[[#This Row],[Month]]&lt;10,3,4)))</f>
        <v>2</v>
      </c>
      <c r="L4129">
        <f>IFERROR(IF(VLOOKUP(calendar[[#This Row],[Date]],BH!A:A,1,)&lt;&gt;"",1,0),0)</f>
        <v>0</v>
      </c>
      <c r="M4129">
        <f>IFERROR(IF(VLOOKUP(calendar[[#This Row],[Date]],BH!C:C,1,)&lt;&gt;"",1,0),0)</f>
        <v>0</v>
      </c>
      <c r="N4129">
        <f>IFERROR(IF(VLOOKUP(calendar[[#This Row],[Date]],BH!E:E,1,)&lt;&gt;"",1,0),0)</f>
        <v>0</v>
      </c>
      <c r="O4129">
        <f>IFERROR(IF(VLOOKUP(calendar[[#This Row],[Date]],BH!G:G,1,)&lt;&gt;"",1,0),0)</f>
        <v>0</v>
      </c>
      <c r="P4129">
        <f>IF(OR(calendar[[#This Row],[UK_BH]]=1,calendar[[#This Row],[WeekDay]]=1, calendar[[#This Row],[WeekDay]]=7),P4128,P4128+1)</f>
        <v>2925</v>
      </c>
      <c r="Q4129">
        <f>IF(OR(calendar[[#This Row],[FR_BH]]=1,calendar[[#This Row],[WeekDay]]=1, calendar[[#This Row],[WeekDay]]=7),P4128,P4128+1)</f>
        <v>2925</v>
      </c>
      <c r="R4129">
        <f>IF(OR(calendar[[#This Row],[SP_BH]]=1,calendar[[#This Row],[WeekDay]]=1, calendar[[#This Row],[WeekDay]]=7),P4128,P4128+1)</f>
        <v>2925</v>
      </c>
      <c r="S4129">
        <f>IF(OR(calendar[[#This Row],[PT_BH]]=1,calendar[[#This Row],[WeekDay]]=1, calendar[[#This Row],[WeekDay]]=7),P4128,P4128+1)</f>
        <v>2925</v>
      </c>
    </row>
    <row r="4130" spans="1:19" x14ac:dyDescent="0.25">
      <c r="A4130" s="2">
        <v>46864</v>
      </c>
      <c r="B4130" s="1">
        <f t="shared" si="326"/>
        <v>17</v>
      </c>
      <c r="C4130">
        <f t="shared" si="327"/>
        <v>4</v>
      </c>
      <c r="D4130" t="str">
        <f t="shared" si="328"/>
        <v>April</v>
      </c>
      <c r="E4130">
        <f t="shared" si="329"/>
        <v>2028</v>
      </c>
      <c r="F4130" t="str">
        <f>CONCATENATE(calendar[[#This Row],[Month]],"/",calendar[[#This Row],[Year]])</f>
        <v>4/2028</v>
      </c>
      <c r="G4130">
        <f>WEEKDAY(calendar[[#This Row],[Date]],1)</f>
        <v>6</v>
      </c>
      <c r="H4130" t="str">
        <f>TEXT(calendar[[#This Row],[WeekDay]],"dddd")</f>
        <v>Friday</v>
      </c>
      <c r="I4130">
        <f>IF((INT(calendar[[#This Row],[Count]]/7)-calendar[[#This Row],[Count]]/7)&lt;0,I4129,I4129+1)</f>
        <v>590</v>
      </c>
      <c r="J4130">
        <f t="shared" si="330"/>
        <v>4128</v>
      </c>
      <c r="K4130">
        <f>IF(calendar[[#This Row],[Month]]&lt;4,1,IF(calendar[[#This Row],[Month]]&lt;7,2,IF(calendar[[#This Row],[Month]]&lt;10,3,4)))</f>
        <v>2</v>
      </c>
      <c r="L4130">
        <f>IFERROR(IF(VLOOKUP(calendar[[#This Row],[Date]],BH!A:A,1,)&lt;&gt;"",1,0),0)</f>
        <v>0</v>
      </c>
      <c r="M4130">
        <f>IFERROR(IF(VLOOKUP(calendar[[#This Row],[Date]],BH!C:C,1,)&lt;&gt;"",1,0),0)</f>
        <v>0</v>
      </c>
      <c r="N4130">
        <f>IFERROR(IF(VLOOKUP(calendar[[#This Row],[Date]],BH!E:E,1,)&lt;&gt;"",1,0),0)</f>
        <v>0</v>
      </c>
      <c r="O4130">
        <f>IFERROR(IF(VLOOKUP(calendar[[#This Row],[Date]],BH!G:G,1,)&lt;&gt;"",1,0),0)</f>
        <v>0</v>
      </c>
      <c r="P4130">
        <f>IF(OR(calendar[[#This Row],[UK_BH]]=1,calendar[[#This Row],[WeekDay]]=1, calendar[[#This Row],[WeekDay]]=7),P4129,P4129+1)</f>
        <v>2926</v>
      </c>
      <c r="Q4130">
        <f>IF(OR(calendar[[#This Row],[FR_BH]]=1,calendar[[#This Row],[WeekDay]]=1, calendar[[#This Row],[WeekDay]]=7),P4129,P4129+1)</f>
        <v>2926</v>
      </c>
      <c r="R4130">
        <f>IF(OR(calendar[[#This Row],[SP_BH]]=1,calendar[[#This Row],[WeekDay]]=1, calendar[[#This Row],[WeekDay]]=7),P4129,P4129+1)</f>
        <v>2926</v>
      </c>
      <c r="S4130">
        <f>IF(OR(calendar[[#This Row],[PT_BH]]=1,calendar[[#This Row],[WeekDay]]=1, calendar[[#This Row],[WeekDay]]=7),P4129,P4129+1)</f>
        <v>2926</v>
      </c>
    </row>
    <row r="4131" spans="1:19" x14ac:dyDescent="0.25">
      <c r="A4131" s="2">
        <v>46865</v>
      </c>
      <c r="B4131" s="1">
        <f t="shared" si="326"/>
        <v>17</v>
      </c>
      <c r="C4131">
        <f t="shared" si="327"/>
        <v>4</v>
      </c>
      <c r="D4131" t="str">
        <f t="shared" si="328"/>
        <v>April</v>
      </c>
      <c r="E4131">
        <f t="shared" si="329"/>
        <v>2028</v>
      </c>
      <c r="F4131" t="str">
        <f>CONCATENATE(calendar[[#This Row],[Month]],"/",calendar[[#This Row],[Year]])</f>
        <v>4/2028</v>
      </c>
      <c r="G4131">
        <f>WEEKDAY(calendar[[#This Row],[Date]],1)</f>
        <v>7</v>
      </c>
      <c r="H4131" t="str">
        <f>TEXT(calendar[[#This Row],[WeekDay]],"dddd")</f>
        <v>Saturday</v>
      </c>
      <c r="I4131">
        <f>IF((INT(calendar[[#This Row],[Count]]/7)-calendar[[#This Row],[Count]]/7)&lt;0,I4130,I4130+1)</f>
        <v>590</v>
      </c>
      <c r="J4131">
        <f t="shared" si="330"/>
        <v>4129</v>
      </c>
      <c r="K4131">
        <f>IF(calendar[[#This Row],[Month]]&lt;4,1,IF(calendar[[#This Row],[Month]]&lt;7,2,IF(calendar[[#This Row],[Month]]&lt;10,3,4)))</f>
        <v>2</v>
      </c>
      <c r="L4131">
        <f>IFERROR(IF(VLOOKUP(calendar[[#This Row],[Date]],BH!A:A,1,)&lt;&gt;"",1,0),0)</f>
        <v>0</v>
      </c>
      <c r="M4131">
        <f>IFERROR(IF(VLOOKUP(calendar[[#This Row],[Date]],BH!C:C,1,)&lt;&gt;"",1,0),0)</f>
        <v>0</v>
      </c>
      <c r="N4131">
        <f>IFERROR(IF(VLOOKUP(calendar[[#This Row],[Date]],BH!E:E,1,)&lt;&gt;"",1,0),0)</f>
        <v>0</v>
      </c>
      <c r="O4131">
        <f>IFERROR(IF(VLOOKUP(calendar[[#This Row],[Date]],BH!G:G,1,)&lt;&gt;"",1,0),0)</f>
        <v>0</v>
      </c>
      <c r="P4131">
        <f>IF(OR(calendar[[#This Row],[UK_BH]]=1,calendar[[#This Row],[WeekDay]]=1, calendar[[#This Row],[WeekDay]]=7),P4130,P4130+1)</f>
        <v>2926</v>
      </c>
      <c r="Q4131">
        <f>IF(OR(calendar[[#This Row],[FR_BH]]=1,calendar[[#This Row],[WeekDay]]=1, calendar[[#This Row],[WeekDay]]=7),P4130,P4130+1)</f>
        <v>2926</v>
      </c>
      <c r="R4131">
        <f>IF(OR(calendar[[#This Row],[SP_BH]]=1,calendar[[#This Row],[WeekDay]]=1, calendar[[#This Row],[WeekDay]]=7),P4130,P4130+1)</f>
        <v>2926</v>
      </c>
      <c r="S4131">
        <f>IF(OR(calendar[[#This Row],[PT_BH]]=1,calendar[[#This Row],[WeekDay]]=1, calendar[[#This Row],[WeekDay]]=7),P4130,P4130+1)</f>
        <v>2926</v>
      </c>
    </row>
    <row r="4132" spans="1:19" x14ac:dyDescent="0.25">
      <c r="A4132" s="2">
        <v>46866</v>
      </c>
      <c r="B4132" s="1">
        <f t="shared" si="326"/>
        <v>18</v>
      </c>
      <c r="C4132">
        <f t="shared" si="327"/>
        <v>4</v>
      </c>
      <c r="D4132" t="str">
        <f t="shared" si="328"/>
        <v>April</v>
      </c>
      <c r="E4132">
        <f t="shared" si="329"/>
        <v>2028</v>
      </c>
      <c r="F4132" t="str">
        <f>CONCATENATE(calendar[[#This Row],[Month]],"/",calendar[[#This Row],[Year]])</f>
        <v>4/2028</v>
      </c>
      <c r="G4132">
        <f>WEEKDAY(calendar[[#This Row],[Date]],1)</f>
        <v>1</v>
      </c>
      <c r="H4132" t="str">
        <f>TEXT(calendar[[#This Row],[WeekDay]],"dddd")</f>
        <v>Sunday</v>
      </c>
      <c r="I4132">
        <f>IF((INT(calendar[[#This Row],[Count]]/7)-calendar[[#This Row],[Count]]/7)&lt;0,I4131,I4131+1)</f>
        <v>591</v>
      </c>
      <c r="J4132">
        <f t="shared" si="330"/>
        <v>4130</v>
      </c>
      <c r="K4132">
        <f>IF(calendar[[#This Row],[Month]]&lt;4,1,IF(calendar[[#This Row],[Month]]&lt;7,2,IF(calendar[[#This Row],[Month]]&lt;10,3,4)))</f>
        <v>2</v>
      </c>
      <c r="L4132">
        <f>IFERROR(IF(VLOOKUP(calendar[[#This Row],[Date]],BH!A:A,1,)&lt;&gt;"",1,0),0)</f>
        <v>0</v>
      </c>
      <c r="M4132">
        <f>IFERROR(IF(VLOOKUP(calendar[[#This Row],[Date]],BH!C:C,1,)&lt;&gt;"",1,0),0)</f>
        <v>0</v>
      </c>
      <c r="N4132">
        <f>IFERROR(IF(VLOOKUP(calendar[[#This Row],[Date]],BH!E:E,1,)&lt;&gt;"",1,0),0)</f>
        <v>0</v>
      </c>
      <c r="O4132">
        <f>IFERROR(IF(VLOOKUP(calendar[[#This Row],[Date]],BH!G:G,1,)&lt;&gt;"",1,0),0)</f>
        <v>0</v>
      </c>
      <c r="P4132">
        <f>IF(OR(calendar[[#This Row],[UK_BH]]=1,calendar[[#This Row],[WeekDay]]=1, calendar[[#This Row],[WeekDay]]=7),P4131,P4131+1)</f>
        <v>2926</v>
      </c>
      <c r="Q4132">
        <f>IF(OR(calendar[[#This Row],[FR_BH]]=1,calendar[[#This Row],[WeekDay]]=1, calendar[[#This Row],[WeekDay]]=7),P4131,P4131+1)</f>
        <v>2926</v>
      </c>
      <c r="R4132">
        <f>IF(OR(calendar[[#This Row],[SP_BH]]=1,calendar[[#This Row],[WeekDay]]=1, calendar[[#This Row],[WeekDay]]=7),P4131,P4131+1)</f>
        <v>2926</v>
      </c>
      <c r="S4132">
        <f>IF(OR(calendar[[#This Row],[PT_BH]]=1,calendar[[#This Row],[WeekDay]]=1, calendar[[#This Row],[WeekDay]]=7),P4131,P4131+1)</f>
        <v>2926</v>
      </c>
    </row>
    <row r="4133" spans="1:19" x14ac:dyDescent="0.25">
      <c r="A4133" s="2">
        <v>46867</v>
      </c>
      <c r="B4133" s="1">
        <f t="shared" si="326"/>
        <v>18</v>
      </c>
      <c r="C4133">
        <f t="shared" si="327"/>
        <v>4</v>
      </c>
      <c r="D4133" t="str">
        <f t="shared" si="328"/>
        <v>April</v>
      </c>
      <c r="E4133">
        <f t="shared" si="329"/>
        <v>2028</v>
      </c>
      <c r="F4133" t="str">
        <f>CONCATENATE(calendar[[#This Row],[Month]],"/",calendar[[#This Row],[Year]])</f>
        <v>4/2028</v>
      </c>
      <c r="G4133">
        <f>WEEKDAY(calendar[[#This Row],[Date]],1)</f>
        <v>2</v>
      </c>
      <c r="H4133" t="str">
        <f>TEXT(calendar[[#This Row],[WeekDay]],"dddd")</f>
        <v>Monday</v>
      </c>
      <c r="I4133">
        <f>IF((INT(calendar[[#This Row],[Count]]/7)-calendar[[#This Row],[Count]]/7)&lt;0,I4132,I4132+1)</f>
        <v>591</v>
      </c>
      <c r="J4133">
        <f t="shared" si="330"/>
        <v>4131</v>
      </c>
      <c r="K4133">
        <f>IF(calendar[[#This Row],[Month]]&lt;4,1,IF(calendar[[#This Row],[Month]]&lt;7,2,IF(calendar[[#This Row],[Month]]&lt;10,3,4)))</f>
        <v>2</v>
      </c>
      <c r="L4133">
        <f>IFERROR(IF(VLOOKUP(calendar[[#This Row],[Date]],BH!A:A,1,)&lt;&gt;"",1,0),0)</f>
        <v>0</v>
      </c>
      <c r="M4133">
        <f>IFERROR(IF(VLOOKUP(calendar[[#This Row],[Date]],BH!C:C,1,)&lt;&gt;"",1,0),0)</f>
        <v>0</v>
      </c>
      <c r="N4133">
        <f>IFERROR(IF(VLOOKUP(calendar[[#This Row],[Date]],BH!E:E,1,)&lt;&gt;"",1,0),0)</f>
        <v>0</v>
      </c>
      <c r="O4133">
        <f>IFERROR(IF(VLOOKUP(calendar[[#This Row],[Date]],BH!G:G,1,)&lt;&gt;"",1,0),0)</f>
        <v>0</v>
      </c>
      <c r="P4133">
        <f>IF(OR(calendar[[#This Row],[UK_BH]]=1,calendar[[#This Row],[WeekDay]]=1, calendar[[#This Row],[WeekDay]]=7),P4132,P4132+1)</f>
        <v>2927</v>
      </c>
      <c r="Q4133">
        <f>IF(OR(calendar[[#This Row],[FR_BH]]=1,calendar[[#This Row],[WeekDay]]=1, calendar[[#This Row],[WeekDay]]=7),P4132,P4132+1)</f>
        <v>2927</v>
      </c>
      <c r="R4133">
        <f>IF(OR(calendar[[#This Row],[SP_BH]]=1,calendar[[#This Row],[WeekDay]]=1, calendar[[#This Row],[WeekDay]]=7),P4132,P4132+1)</f>
        <v>2927</v>
      </c>
      <c r="S4133">
        <f>IF(OR(calendar[[#This Row],[PT_BH]]=1,calendar[[#This Row],[WeekDay]]=1, calendar[[#This Row],[WeekDay]]=7),P4132,P4132+1)</f>
        <v>2927</v>
      </c>
    </row>
    <row r="4134" spans="1:19" x14ac:dyDescent="0.25">
      <c r="A4134" s="2">
        <v>46868</v>
      </c>
      <c r="B4134" s="1">
        <f t="shared" si="326"/>
        <v>18</v>
      </c>
      <c r="C4134">
        <f t="shared" si="327"/>
        <v>4</v>
      </c>
      <c r="D4134" t="str">
        <f t="shared" si="328"/>
        <v>April</v>
      </c>
      <c r="E4134">
        <f t="shared" si="329"/>
        <v>2028</v>
      </c>
      <c r="F4134" t="str">
        <f>CONCATENATE(calendar[[#This Row],[Month]],"/",calendar[[#This Row],[Year]])</f>
        <v>4/2028</v>
      </c>
      <c r="G4134">
        <f>WEEKDAY(calendar[[#This Row],[Date]],1)</f>
        <v>3</v>
      </c>
      <c r="H4134" t="str">
        <f>TEXT(calendar[[#This Row],[WeekDay]],"dddd")</f>
        <v>Tuesday</v>
      </c>
      <c r="I4134">
        <f>IF((INT(calendar[[#This Row],[Count]]/7)-calendar[[#This Row],[Count]]/7)&lt;0,I4133,I4133+1)</f>
        <v>591</v>
      </c>
      <c r="J4134">
        <f t="shared" si="330"/>
        <v>4132</v>
      </c>
      <c r="K4134">
        <f>IF(calendar[[#This Row],[Month]]&lt;4,1,IF(calendar[[#This Row],[Month]]&lt;7,2,IF(calendar[[#This Row],[Month]]&lt;10,3,4)))</f>
        <v>2</v>
      </c>
      <c r="L4134">
        <f>IFERROR(IF(VLOOKUP(calendar[[#This Row],[Date]],BH!A:A,1,)&lt;&gt;"",1,0),0)</f>
        <v>0</v>
      </c>
      <c r="M4134">
        <f>IFERROR(IF(VLOOKUP(calendar[[#This Row],[Date]],BH!C:C,1,)&lt;&gt;"",1,0),0)</f>
        <v>0</v>
      </c>
      <c r="N4134">
        <f>IFERROR(IF(VLOOKUP(calendar[[#This Row],[Date]],BH!E:E,1,)&lt;&gt;"",1,0),0)</f>
        <v>0</v>
      </c>
      <c r="O4134">
        <f>IFERROR(IF(VLOOKUP(calendar[[#This Row],[Date]],BH!G:G,1,)&lt;&gt;"",1,0),0)</f>
        <v>0</v>
      </c>
      <c r="P4134">
        <f>IF(OR(calendar[[#This Row],[UK_BH]]=1,calendar[[#This Row],[WeekDay]]=1, calendar[[#This Row],[WeekDay]]=7),P4133,P4133+1)</f>
        <v>2928</v>
      </c>
      <c r="Q4134">
        <f>IF(OR(calendar[[#This Row],[FR_BH]]=1,calendar[[#This Row],[WeekDay]]=1, calendar[[#This Row],[WeekDay]]=7),P4133,P4133+1)</f>
        <v>2928</v>
      </c>
      <c r="R4134">
        <f>IF(OR(calendar[[#This Row],[SP_BH]]=1,calendar[[#This Row],[WeekDay]]=1, calendar[[#This Row],[WeekDay]]=7),P4133,P4133+1)</f>
        <v>2928</v>
      </c>
      <c r="S4134">
        <f>IF(OR(calendar[[#This Row],[PT_BH]]=1,calendar[[#This Row],[WeekDay]]=1, calendar[[#This Row],[WeekDay]]=7),P4133,P4133+1)</f>
        <v>2928</v>
      </c>
    </row>
    <row r="4135" spans="1:19" x14ac:dyDescent="0.25">
      <c r="A4135" s="2">
        <v>46869</v>
      </c>
      <c r="B4135" s="1">
        <f t="shared" si="326"/>
        <v>18</v>
      </c>
      <c r="C4135">
        <f t="shared" si="327"/>
        <v>4</v>
      </c>
      <c r="D4135" t="str">
        <f t="shared" si="328"/>
        <v>April</v>
      </c>
      <c r="E4135">
        <f t="shared" si="329"/>
        <v>2028</v>
      </c>
      <c r="F4135" t="str">
        <f>CONCATENATE(calendar[[#This Row],[Month]],"/",calendar[[#This Row],[Year]])</f>
        <v>4/2028</v>
      </c>
      <c r="G4135">
        <f>WEEKDAY(calendar[[#This Row],[Date]],1)</f>
        <v>4</v>
      </c>
      <c r="H4135" t="str">
        <f>TEXT(calendar[[#This Row],[WeekDay]],"dddd")</f>
        <v>Wednesday</v>
      </c>
      <c r="I4135">
        <f>IF((INT(calendar[[#This Row],[Count]]/7)-calendar[[#This Row],[Count]]/7)&lt;0,I4134,I4134+1)</f>
        <v>591</v>
      </c>
      <c r="J4135">
        <f t="shared" si="330"/>
        <v>4133</v>
      </c>
      <c r="K4135">
        <f>IF(calendar[[#This Row],[Month]]&lt;4,1,IF(calendar[[#This Row],[Month]]&lt;7,2,IF(calendar[[#This Row],[Month]]&lt;10,3,4)))</f>
        <v>2</v>
      </c>
      <c r="L4135">
        <f>IFERROR(IF(VLOOKUP(calendar[[#This Row],[Date]],BH!A:A,1,)&lt;&gt;"",1,0),0)</f>
        <v>0</v>
      </c>
      <c r="M4135">
        <f>IFERROR(IF(VLOOKUP(calendar[[#This Row],[Date]],BH!C:C,1,)&lt;&gt;"",1,0),0)</f>
        <v>0</v>
      </c>
      <c r="N4135">
        <f>IFERROR(IF(VLOOKUP(calendar[[#This Row],[Date]],BH!E:E,1,)&lt;&gt;"",1,0),0)</f>
        <v>0</v>
      </c>
      <c r="O4135">
        <f>IFERROR(IF(VLOOKUP(calendar[[#This Row],[Date]],BH!G:G,1,)&lt;&gt;"",1,0),0)</f>
        <v>0</v>
      </c>
      <c r="P4135">
        <f>IF(OR(calendar[[#This Row],[UK_BH]]=1,calendar[[#This Row],[WeekDay]]=1, calendar[[#This Row],[WeekDay]]=7),P4134,P4134+1)</f>
        <v>2929</v>
      </c>
      <c r="Q4135">
        <f>IF(OR(calendar[[#This Row],[FR_BH]]=1,calendar[[#This Row],[WeekDay]]=1, calendar[[#This Row],[WeekDay]]=7),P4134,P4134+1)</f>
        <v>2929</v>
      </c>
      <c r="R4135">
        <f>IF(OR(calendar[[#This Row],[SP_BH]]=1,calendar[[#This Row],[WeekDay]]=1, calendar[[#This Row],[WeekDay]]=7),P4134,P4134+1)</f>
        <v>2929</v>
      </c>
      <c r="S4135">
        <f>IF(OR(calendar[[#This Row],[PT_BH]]=1,calendar[[#This Row],[WeekDay]]=1, calendar[[#This Row],[WeekDay]]=7),P4134,P4134+1)</f>
        <v>2929</v>
      </c>
    </row>
    <row r="4136" spans="1:19" x14ac:dyDescent="0.25">
      <c r="A4136" s="2">
        <v>46870</v>
      </c>
      <c r="B4136" s="1">
        <f t="shared" si="326"/>
        <v>18</v>
      </c>
      <c r="C4136">
        <f t="shared" si="327"/>
        <v>4</v>
      </c>
      <c r="D4136" t="str">
        <f t="shared" si="328"/>
        <v>April</v>
      </c>
      <c r="E4136">
        <f t="shared" si="329"/>
        <v>2028</v>
      </c>
      <c r="F4136" t="str">
        <f>CONCATENATE(calendar[[#This Row],[Month]],"/",calendar[[#This Row],[Year]])</f>
        <v>4/2028</v>
      </c>
      <c r="G4136">
        <f>WEEKDAY(calendar[[#This Row],[Date]],1)</f>
        <v>5</v>
      </c>
      <c r="H4136" t="str">
        <f>TEXT(calendar[[#This Row],[WeekDay]],"dddd")</f>
        <v>Thursday</v>
      </c>
      <c r="I4136">
        <f>IF((INT(calendar[[#This Row],[Count]]/7)-calendar[[#This Row],[Count]]/7)&lt;0,I4135,I4135+1)</f>
        <v>591</v>
      </c>
      <c r="J4136">
        <f t="shared" si="330"/>
        <v>4134</v>
      </c>
      <c r="K4136">
        <f>IF(calendar[[#This Row],[Month]]&lt;4,1,IF(calendar[[#This Row],[Month]]&lt;7,2,IF(calendar[[#This Row],[Month]]&lt;10,3,4)))</f>
        <v>2</v>
      </c>
      <c r="L4136">
        <f>IFERROR(IF(VLOOKUP(calendar[[#This Row],[Date]],BH!A:A,1,)&lt;&gt;"",1,0),0)</f>
        <v>0</v>
      </c>
      <c r="M4136">
        <f>IFERROR(IF(VLOOKUP(calendar[[#This Row],[Date]],BH!C:C,1,)&lt;&gt;"",1,0),0)</f>
        <v>0</v>
      </c>
      <c r="N4136">
        <f>IFERROR(IF(VLOOKUP(calendar[[#This Row],[Date]],BH!E:E,1,)&lt;&gt;"",1,0),0)</f>
        <v>0</v>
      </c>
      <c r="O4136">
        <f>IFERROR(IF(VLOOKUP(calendar[[#This Row],[Date]],BH!G:G,1,)&lt;&gt;"",1,0),0)</f>
        <v>0</v>
      </c>
      <c r="P4136">
        <f>IF(OR(calendar[[#This Row],[UK_BH]]=1,calendar[[#This Row],[WeekDay]]=1, calendar[[#This Row],[WeekDay]]=7),P4135,P4135+1)</f>
        <v>2930</v>
      </c>
      <c r="Q4136">
        <f>IF(OR(calendar[[#This Row],[FR_BH]]=1,calendar[[#This Row],[WeekDay]]=1, calendar[[#This Row],[WeekDay]]=7),P4135,P4135+1)</f>
        <v>2930</v>
      </c>
      <c r="R4136">
        <f>IF(OR(calendar[[#This Row],[SP_BH]]=1,calendar[[#This Row],[WeekDay]]=1, calendar[[#This Row],[WeekDay]]=7),P4135,P4135+1)</f>
        <v>2930</v>
      </c>
      <c r="S4136">
        <f>IF(OR(calendar[[#This Row],[PT_BH]]=1,calendar[[#This Row],[WeekDay]]=1, calendar[[#This Row],[WeekDay]]=7),P4135,P4135+1)</f>
        <v>2930</v>
      </c>
    </row>
    <row r="4137" spans="1:19" x14ac:dyDescent="0.25">
      <c r="A4137" s="2">
        <v>46871</v>
      </c>
      <c r="B4137" s="1">
        <f t="shared" si="326"/>
        <v>18</v>
      </c>
      <c r="C4137">
        <f t="shared" si="327"/>
        <v>4</v>
      </c>
      <c r="D4137" t="str">
        <f t="shared" si="328"/>
        <v>April</v>
      </c>
      <c r="E4137">
        <f t="shared" si="329"/>
        <v>2028</v>
      </c>
      <c r="F4137" t="str">
        <f>CONCATENATE(calendar[[#This Row],[Month]],"/",calendar[[#This Row],[Year]])</f>
        <v>4/2028</v>
      </c>
      <c r="G4137">
        <f>WEEKDAY(calendar[[#This Row],[Date]],1)</f>
        <v>6</v>
      </c>
      <c r="H4137" t="str">
        <f>TEXT(calendar[[#This Row],[WeekDay]],"dddd")</f>
        <v>Friday</v>
      </c>
      <c r="I4137">
        <f>IF((INT(calendar[[#This Row],[Count]]/7)-calendar[[#This Row],[Count]]/7)&lt;0,I4136,I4136+1)</f>
        <v>591</v>
      </c>
      <c r="J4137">
        <f t="shared" si="330"/>
        <v>4135</v>
      </c>
      <c r="K4137">
        <f>IF(calendar[[#This Row],[Month]]&lt;4,1,IF(calendar[[#This Row],[Month]]&lt;7,2,IF(calendar[[#This Row],[Month]]&lt;10,3,4)))</f>
        <v>2</v>
      </c>
      <c r="L4137">
        <f>IFERROR(IF(VLOOKUP(calendar[[#This Row],[Date]],BH!A:A,1,)&lt;&gt;"",1,0),0)</f>
        <v>0</v>
      </c>
      <c r="M4137">
        <f>IFERROR(IF(VLOOKUP(calendar[[#This Row],[Date]],BH!C:C,1,)&lt;&gt;"",1,0),0)</f>
        <v>0</v>
      </c>
      <c r="N4137">
        <f>IFERROR(IF(VLOOKUP(calendar[[#This Row],[Date]],BH!E:E,1,)&lt;&gt;"",1,0),0)</f>
        <v>0</v>
      </c>
      <c r="O4137">
        <f>IFERROR(IF(VLOOKUP(calendar[[#This Row],[Date]],BH!G:G,1,)&lt;&gt;"",1,0),0)</f>
        <v>0</v>
      </c>
      <c r="P4137">
        <f>IF(OR(calendar[[#This Row],[UK_BH]]=1,calendar[[#This Row],[WeekDay]]=1, calendar[[#This Row],[WeekDay]]=7),P4136,P4136+1)</f>
        <v>2931</v>
      </c>
      <c r="Q4137">
        <f>IF(OR(calendar[[#This Row],[FR_BH]]=1,calendar[[#This Row],[WeekDay]]=1, calendar[[#This Row],[WeekDay]]=7),P4136,P4136+1)</f>
        <v>2931</v>
      </c>
      <c r="R4137">
        <f>IF(OR(calendar[[#This Row],[SP_BH]]=1,calendar[[#This Row],[WeekDay]]=1, calendar[[#This Row],[WeekDay]]=7),P4136,P4136+1)</f>
        <v>2931</v>
      </c>
      <c r="S4137">
        <f>IF(OR(calendar[[#This Row],[PT_BH]]=1,calendar[[#This Row],[WeekDay]]=1, calendar[[#This Row],[WeekDay]]=7),P4136,P4136+1)</f>
        <v>2931</v>
      </c>
    </row>
    <row r="4138" spans="1:19" x14ac:dyDescent="0.25">
      <c r="A4138" s="2">
        <v>46872</v>
      </c>
      <c r="B4138" s="1">
        <f t="shared" si="326"/>
        <v>18</v>
      </c>
      <c r="C4138">
        <f t="shared" si="327"/>
        <v>4</v>
      </c>
      <c r="D4138" t="str">
        <f t="shared" si="328"/>
        <v>April</v>
      </c>
      <c r="E4138">
        <f t="shared" si="329"/>
        <v>2028</v>
      </c>
      <c r="F4138" t="str">
        <f>CONCATENATE(calendar[[#This Row],[Month]],"/",calendar[[#This Row],[Year]])</f>
        <v>4/2028</v>
      </c>
      <c r="G4138">
        <f>WEEKDAY(calendar[[#This Row],[Date]],1)</f>
        <v>7</v>
      </c>
      <c r="H4138" t="str">
        <f>TEXT(calendar[[#This Row],[WeekDay]],"dddd")</f>
        <v>Saturday</v>
      </c>
      <c r="I4138">
        <f>IF((INT(calendar[[#This Row],[Count]]/7)-calendar[[#This Row],[Count]]/7)&lt;0,I4137,I4137+1)</f>
        <v>591</v>
      </c>
      <c r="J4138">
        <f t="shared" si="330"/>
        <v>4136</v>
      </c>
      <c r="K4138">
        <f>IF(calendar[[#This Row],[Month]]&lt;4,1,IF(calendar[[#This Row],[Month]]&lt;7,2,IF(calendar[[#This Row],[Month]]&lt;10,3,4)))</f>
        <v>2</v>
      </c>
      <c r="L4138">
        <f>IFERROR(IF(VLOOKUP(calendar[[#This Row],[Date]],BH!A:A,1,)&lt;&gt;"",1,0),0)</f>
        <v>0</v>
      </c>
      <c r="M4138">
        <f>IFERROR(IF(VLOOKUP(calendar[[#This Row],[Date]],BH!C:C,1,)&lt;&gt;"",1,0),0)</f>
        <v>0</v>
      </c>
      <c r="N4138">
        <f>IFERROR(IF(VLOOKUP(calendar[[#This Row],[Date]],BH!E:E,1,)&lt;&gt;"",1,0),0)</f>
        <v>0</v>
      </c>
      <c r="O4138">
        <f>IFERROR(IF(VLOOKUP(calendar[[#This Row],[Date]],BH!G:G,1,)&lt;&gt;"",1,0),0)</f>
        <v>0</v>
      </c>
      <c r="P4138">
        <f>IF(OR(calendar[[#This Row],[UK_BH]]=1,calendar[[#This Row],[WeekDay]]=1, calendar[[#This Row],[WeekDay]]=7),P4137,P4137+1)</f>
        <v>2931</v>
      </c>
      <c r="Q4138">
        <f>IF(OR(calendar[[#This Row],[FR_BH]]=1,calendar[[#This Row],[WeekDay]]=1, calendar[[#This Row],[WeekDay]]=7),P4137,P4137+1)</f>
        <v>2931</v>
      </c>
      <c r="R4138">
        <f>IF(OR(calendar[[#This Row],[SP_BH]]=1,calendar[[#This Row],[WeekDay]]=1, calendar[[#This Row],[WeekDay]]=7),P4137,P4137+1)</f>
        <v>2931</v>
      </c>
      <c r="S4138">
        <f>IF(OR(calendar[[#This Row],[PT_BH]]=1,calendar[[#This Row],[WeekDay]]=1, calendar[[#This Row],[WeekDay]]=7),P4137,P4137+1)</f>
        <v>2931</v>
      </c>
    </row>
    <row r="4139" spans="1:19" x14ac:dyDescent="0.25">
      <c r="A4139" s="2">
        <v>46873</v>
      </c>
      <c r="B4139" s="1">
        <f t="shared" si="326"/>
        <v>19</v>
      </c>
      <c r="C4139">
        <f t="shared" si="327"/>
        <v>4</v>
      </c>
      <c r="D4139" t="str">
        <f t="shared" si="328"/>
        <v>April</v>
      </c>
      <c r="E4139">
        <f t="shared" si="329"/>
        <v>2028</v>
      </c>
      <c r="F4139" t="str">
        <f>CONCATENATE(calendar[[#This Row],[Month]],"/",calendar[[#This Row],[Year]])</f>
        <v>4/2028</v>
      </c>
      <c r="G4139">
        <f>WEEKDAY(calendar[[#This Row],[Date]],1)</f>
        <v>1</v>
      </c>
      <c r="H4139" t="str">
        <f>TEXT(calendar[[#This Row],[WeekDay]],"dddd")</f>
        <v>Sunday</v>
      </c>
      <c r="I4139">
        <f>IF((INT(calendar[[#This Row],[Count]]/7)-calendar[[#This Row],[Count]]/7)&lt;0,I4138,I4138+1)</f>
        <v>592</v>
      </c>
      <c r="J4139">
        <f t="shared" si="330"/>
        <v>4137</v>
      </c>
      <c r="K4139">
        <f>IF(calendar[[#This Row],[Month]]&lt;4,1,IF(calendar[[#This Row],[Month]]&lt;7,2,IF(calendar[[#This Row],[Month]]&lt;10,3,4)))</f>
        <v>2</v>
      </c>
      <c r="L4139">
        <f>IFERROR(IF(VLOOKUP(calendar[[#This Row],[Date]],BH!A:A,1,)&lt;&gt;"",1,0),0)</f>
        <v>0</v>
      </c>
      <c r="M4139">
        <f>IFERROR(IF(VLOOKUP(calendar[[#This Row],[Date]],BH!C:C,1,)&lt;&gt;"",1,0),0)</f>
        <v>0</v>
      </c>
      <c r="N4139">
        <f>IFERROR(IF(VLOOKUP(calendar[[#This Row],[Date]],BH!E:E,1,)&lt;&gt;"",1,0),0)</f>
        <v>0</v>
      </c>
      <c r="O4139">
        <f>IFERROR(IF(VLOOKUP(calendar[[#This Row],[Date]],BH!G:G,1,)&lt;&gt;"",1,0),0)</f>
        <v>0</v>
      </c>
      <c r="P4139">
        <f>IF(OR(calendar[[#This Row],[UK_BH]]=1,calendar[[#This Row],[WeekDay]]=1, calendar[[#This Row],[WeekDay]]=7),P4138,P4138+1)</f>
        <v>2931</v>
      </c>
      <c r="Q4139">
        <f>IF(OR(calendar[[#This Row],[FR_BH]]=1,calendar[[#This Row],[WeekDay]]=1, calendar[[#This Row],[WeekDay]]=7),P4138,P4138+1)</f>
        <v>2931</v>
      </c>
      <c r="R4139">
        <f>IF(OR(calendar[[#This Row],[SP_BH]]=1,calendar[[#This Row],[WeekDay]]=1, calendar[[#This Row],[WeekDay]]=7),P4138,P4138+1)</f>
        <v>2931</v>
      </c>
      <c r="S4139">
        <f>IF(OR(calendar[[#This Row],[PT_BH]]=1,calendar[[#This Row],[WeekDay]]=1, calendar[[#This Row],[WeekDay]]=7),P4138,P4138+1)</f>
        <v>2931</v>
      </c>
    </row>
    <row r="4140" spans="1:19" x14ac:dyDescent="0.25">
      <c r="A4140" s="2">
        <v>46874</v>
      </c>
      <c r="B4140" s="1">
        <f t="shared" si="326"/>
        <v>19</v>
      </c>
      <c r="C4140">
        <f t="shared" si="327"/>
        <v>5</v>
      </c>
      <c r="D4140" t="str">
        <f t="shared" si="328"/>
        <v>May</v>
      </c>
      <c r="E4140">
        <f t="shared" si="329"/>
        <v>2028</v>
      </c>
      <c r="F4140" t="str">
        <f>CONCATENATE(calendar[[#This Row],[Month]],"/",calendar[[#This Row],[Year]])</f>
        <v>5/2028</v>
      </c>
      <c r="G4140">
        <f>WEEKDAY(calendar[[#This Row],[Date]],1)</f>
        <v>2</v>
      </c>
      <c r="H4140" t="str">
        <f>TEXT(calendar[[#This Row],[WeekDay]],"dddd")</f>
        <v>Monday</v>
      </c>
      <c r="I4140">
        <f>IF((INT(calendar[[#This Row],[Count]]/7)-calendar[[#This Row],[Count]]/7)&lt;0,I4139,I4139+1)</f>
        <v>592</v>
      </c>
      <c r="J4140">
        <f t="shared" si="330"/>
        <v>4138</v>
      </c>
      <c r="K4140">
        <f>IF(calendar[[#This Row],[Month]]&lt;4,1,IF(calendar[[#This Row],[Month]]&lt;7,2,IF(calendar[[#This Row],[Month]]&lt;10,3,4)))</f>
        <v>2</v>
      </c>
      <c r="L4140">
        <f>IFERROR(IF(VLOOKUP(calendar[[#This Row],[Date]],BH!A:A,1,)&lt;&gt;"",1,0),0)</f>
        <v>0</v>
      </c>
      <c r="M4140">
        <f>IFERROR(IF(VLOOKUP(calendar[[#This Row],[Date]],BH!C:C,1,)&lt;&gt;"",1,0),0)</f>
        <v>0</v>
      </c>
      <c r="N4140">
        <f>IFERROR(IF(VLOOKUP(calendar[[#This Row],[Date]],BH!E:E,1,)&lt;&gt;"",1,0),0)</f>
        <v>0</v>
      </c>
      <c r="O4140">
        <f>IFERROR(IF(VLOOKUP(calendar[[#This Row],[Date]],BH!G:G,1,)&lt;&gt;"",1,0),0)</f>
        <v>0</v>
      </c>
      <c r="P4140">
        <f>IF(OR(calendar[[#This Row],[UK_BH]]=1,calendar[[#This Row],[WeekDay]]=1, calendar[[#This Row],[WeekDay]]=7),P4139,P4139+1)</f>
        <v>2932</v>
      </c>
      <c r="Q4140">
        <f>IF(OR(calendar[[#This Row],[FR_BH]]=1,calendar[[#This Row],[WeekDay]]=1, calendar[[#This Row],[WeekDay]]=7),P4139,P4139+1)</f>
        <v>2932</v>
      </c>
      <c r="R4140">
        <f>IF(OR(calendar[[#This Row],[SP_BH]]=1,calendar[[#This Row],[WeekDay]]=1, calendar[[#This Row],[WeekDay]]=7),P4139,P4139+1)</f>
        <v>2932</v>
      </c>
      <c r="S4140">
        <f>IF(OR(calendar[[#This Row],[PT_BH]]=1,calendar[[#This Row],[WeekDay]]=1, calendar[[#This Row],[WeekDay]]=7),P4139,P4139+1)</f>
        <v>2932</v>
      </c>
    </row>
    <row r="4141" spans="1:19" x14ac:dyDescent="0.25">
      <c r="A4141" s="2">
        <v>46875</v>
      </c>
      <c r="B4141" s="1">
        <f t="shared" si="326"/>
        <v>19</v>
      </c>
      <c r="C4141">
        <f t="shared" si="327"/>
        <v>5</v>
      </c>
      <c r="D4141" t="str">
        <f t="shared" si="328"/>
        <v>May</v>
      </c>
      <c r="E4141">
        <f t="shared" si="329"/>
        <v>2028</v>
      </c>
      <c r="F4141" t="str">
        <f>CONCATENATE(calendar[[#This Row],[Month]],"/",calendar[[#This Row],[Year]])</f>
        <v>5/2028</v>
      </c>
      <c r="G4141">
        <f>WEEKDAY(calendar[[#This Row],[Date]],1)</f>
        <v>3</v>
      </c>
      <c r="H4141" t="str">
        <f>TEXT(calendar[[#This Row],[WeekDay]],"dddd")</f>
        <v>Tuesday</v>
      </c>
      <c r="I4141">
        <f>IF((INT(calendar[[#This Row],[Count]]/7)-calendar[[#This Row],[Count]]/7)&lt;0,I4140,I4140+1)</f>
        <v>592</v>
      </c>
      <c r="J4141">
        <f t="shared" si="330"/>
        <v>4139</v>
      </c>
      <c r="K4141">
        <f>IF(calendar[[#This Row],[Month]]&lt;4,1,IF(calendar[[#This Row],[Month]]&lt;7,2,IF(calendar[[#This Row],[Month]]&lt;10,3,4)))</f>
        <v>2</v>
      </c>
      <c r="L4141">
        <f>IFERROR(IF(VLOOKUP(calendar[[#This Row],[Date]],BH!A:A,1,)&lt;&gt;"",1,0),0)</f>
        <v>0</v>
      </c>
      <c r="M4141">
        <f>IFERROR(IF(VLOOKUP(calendar[[#This Row],[Date]],BH!C:C,1,)&lt;&gt;"",1,0),0)</f>
        <v>0</v>
      </c>
      <c r="N4141">
        <f>IFERROR(IF(VLOOKUP(calendar[[#This Row],[Date]],BH!E:E,1,)&lt;&gt;"",1,0),0)</f>
        <v>0</v>
      </c>
      <c r="O4141">
        <f>IFERROR(IF(VLOOKUP(calendar[[#This Row],[Date]],BH!G:G,1,)&lt;&gt;"",1,0),0)</f>
        <v>0</v>
      </c>
      <c r="P4141">
        <f>IF(OR(calendar[[#This Row],[UK_BH]]=1,calendar[[#This Row],[WeekDay]]=1, calendar[[#This Row],[WeekDay]]=7),P4140,P4140+1)</f>
        <v>2933</v>
      </c>
      <c r="Q4141">
        <f>IF(OR(calendar[[#This Row],[FR_BH]]=1,calendar[[#This Row],[WeekDay]]=1, calendar[[#This Row],[WeekDay]]=7),P4140,P4140+1)</f>
        <v>2933</v>
      </c>
      <c r="R4141">
        <f>IF(OR(calendar[[#This Row],[SP_BH]]=1,calendar[[#This Row],[WeekDay]]=1, calendar[[#This Row],[WeekDay]]=7),P4140,P4140+1)</f>
        <v>2933</v>
      </c>
      <c r="S4141">
        <f>IF(OR(calendar[[#This Row],[PT_BH]]=1,calendar[[#This Row],[WeekDay]]=1, calendar[[#This Row],[WeekDay]]=7),P4140,P4140+1)</f>
        <v>2933</v>
      </c>
    </row>
    <row r="4142" spans="1:19" x14ac:dyDescent="0.25">
      <c r="A4142" s="2">
        <v>46876</v>
      </c>
      <c r="B4142" s="1">
        <f t="shared" si="326"/>
        <v>19</v>
      </c>
      <c r="C4142">
        <f t="shared" si="327"/>
        <v>5</v>
      </c>
      <c r="D4142" t="str">
        <f t="shared" si="328"/>
        <v>May</v>
      </c>
      <c r="E4142">
        <f t="shared" si="329"/>
        <v>2028</v>
      </c>
      <c r="F4142" t="str">
        <f>CONCATENATE(calendar[[#This Row],[Month]],"/",calendar[[#This Row],[Year]])</f>
        <v>5/2028</v>
      </c>
      <c r="G4142">
        <f>WEEKDAY(calendar[[#This Row],[Date]],1)</f>
        <v>4</v>
      </c>
      <c r="H4142" t="str">
        <f>TEXT(calendar[[#This Row],[WeekDay]],"dddd")</f>
        <v>Wednesday</v>
      </c>
      <c r="I4142">
        <f>IF((INT(calendar[[#This Row],[Count]]/7)-calendar[[#This Row],[Count]]/7)&lt;0,I4141,I4141+1)</f>
        <v>592</v>
      </c>
      <c r="J4142">
        <f t="shared" si="330"/>
        <v>4140</v>
      </c>
      <c r="K4142">
        <f>IF(calendar[[#This Row],[Month]]&lt;4,1,IF(calendar[[#This Row],[Month]]&lt;7,2,IF(calendar[[#This Row],[Month]]&lt;10,3,4)))</f>
        <v>2</v>
      </c>
      <c r="L4142">
        <f>IFERROR(IF(VLOOKUP(calendar[[#This Row],[Date]],BH!A:A,1,)&lt;&gt;"",1,0),0)</f>
        <v>0</v>
      </c>
      <c r="M4142">
        <f>IFERROR(IF(VLOOKUP(calendar[[#This Row],[Date]],BH!C:C,1,)&lt;&gt;"",1,0),0)</f>
        <v>0</v>
      </c>
      <c r="N4142">
        <f>IFERROR(IF(VLOOKUP(calendar[[#This Row],[Date]],BH!E:E,1,)&lt;&gt;"",1,0),0)</f>
        <v>0</v>
      </c>
      <c r="O4142">
        <f>IFERROR(IF(VLOOKUP(calendar[[#This Row],[Date]],BH!G:G,1,)&lt;&gt;"",1,0),0)</f>
        <v>0</v>
      </c>
      <c r="P4142">
        <f>IF(OR(calendar[[#This Row],[UK_BH]]=1,calendar[[#This Row],[WeekDay]]=1, calendar[[#This Row],[WeekDay]]=7),P4141,P4141+1)</f>
        <v>2934</v>
      </c>
      <c r="Q4142">
        <f>IF(OR(calendar[[#This Row],[FR_BH]]=1,calendar[[#This Row],[WeekDay]]=1, calendar[[#This Row],[WeekDay]]=7),P4141,P4141+1)</f>
        <v>2934</v>
      </c>
      <c r="R4142">
        <f>IF(OR(calendar[[#This Row],[SP_BH]]=1,calendar[[#This Row],[WeekDay]]=1, calendar[[#This Row],[WeekDay]]=7),P4141,P4141+1)</f>
        <v>2934</v>
      </c>
      <c r="S4142">
        <f>IF(OR(calendar[[#This Row],[PT_BH]]=1,calendar[[#This Row],[WeekDay]]=1, calendar[[#This Row],[WeekDay]]=7),P4141,P4141+1)</f>
        <v>2934</v>
      </c>
    </row>
    <row r="4143" spans="1:19" x14ac:dyDescent="0.25">
      <c r="A4143" s="2">
        <v>46877</v>
      </c>
      <c r="B4143" s="1">
        <f t="shared" si="326"/>
        <v>19</v>
      </c>
      <c r="C4143">
        <f t="shared" si="327"/>
        <v>5</v>
      </c>
      <c r="D4143" t="str">
        <f t="shared" si="328"/>
        <v>May</v>
      </c>
      <c r="E4143">
        <f t="shared" si="329"/>
        <v>2028</v>
      </c>
      <c r="F4143" t="str">
        <f>CONCATENATE(calendar[[#This Row],[Month]],"/",calendar[[#This Row],[Year]])</f>
        <v>5/2028</v>
      </c>
      <c r="G4143">
        <f>WEEKDAY(calendar[[#This Row],[Date]],1)</f>
        <v>5</v>
      </c>
      <c r="H4143" t="str">
        <f>TEXT(calendar[[#This Row],[WeekDay]],"dddd")</f>
        <v>Thursday</v>
      </c>
      <c r="I4143">
        <f>IF((INT(calendar[[#This Row],[Count]]/7)-calendar[[#This Row],[Count]]/7)&lt;0,I4142,I4142+1)</f>
        <v>592</v>
      </c>
      <c r="J4143">
        <f t="shared" si="330"/>
        <v>4141</v>
      </c>
      <c r="K4143">
        <f>IF(calendar[[#This Row],[Month]]&lt;4,1,IF(calendar[[#This Row],[Month]]&lt;7,2,IF(calendar[[#This Row],[Month]]&lt;10,3,4)))</f>
        <v>2</v>
      </c>
      <c r="L4143">
        <f>IFERROR(IF(VLOOKUP(calendar[[#This Row],[Date]],BH!A:A,1,)&lt;&gt;"",1,0),0)</f>
        <v>0</v>
      </c>
      <c r="M4143">
        <f>IFERROR(IF(VLOOKUP(calendar[[#This Row],[Date]],BH!C:C,1,)&lt;&gt;"",1,0),0)</f>
        <v>0</v>
      </c>
      <c r="N4143">
        <f>IFERROR(IF(VLOOKUP(calendar[[#This Row],[Date]],BH!E:E,1,)&lt;&gt;"",1,0),0)</f>
        <v>0</v>
      </c>
      <c r="O4143">
        <f>IFERROR(IF(VLOOKUP(calendar[[#This Row],[Date]],BH!G:G,1,)&lt;&gt;"",1,0),0)</f>
        <v>0</v>
      </c>
      <c r="P4143">
        <f>IF(OR(calendar[[#This Row],[UK_BH]]=1,calendar[[#This Row],[WeekDay]]=1, calendar[[#This Row],[WeekDay]]=7),P4142,P4142+1)</f>
        <v>2935</v>
      </c>
      <c r="Q4143">
        <f>IF(OR(calendar[[#This Row],[FR_BH]]=1,calendar[[#This Row],[WeekDay]]=1, calendar[[#This Row],[WeekDay]]=7),P4142,P4142+1)</f>
        <v>2935</v>
      </c>
      <c r="R4143">
        <f>IF(OR(calendar[[#This Row],[SP_BH]]=1,calendar[[#This Row],[WeekDay]]=1, calendar[[#This Row],[WeekDay]]=7),P4142,P4142+1)</f>
        <v>2935</v>
      </c>
      <c r="S4143">
        <f>IF(OR(calendar[[#This Row],[PT_BH]]=1,calendar[[#This Row],[WeekDay]]=1, calendar[[#This Row],[WeekDay]]=7),P4142,P4142+1)</f>
        <v>2935</v>
      </c>
    </row>
    <row r="4144" spans="1:19" x14ac:dyDescent="0.25">
      <c r="A4144" s="2">
        <v>46878</v>
      </c>
      <c r="B4144" s="1">
        <f t="shared" si="326"/>
        <v>19</v>
      </c>
      <c r="C4144">
        <f t="shared" si="327"/>
        <v>5</v>
      </c>
      <c r="D4144" t="str">
        <f t="shared" si="328"/>
        <v>May</v>
      </c>
      <c r="E4144">
        <f t="shared" si="329"/>
        <v>2028</v>
      </c>
      <c r="F4144" t="str">
        <f>CONCATENATE(calendar[[#This Row],[Month]],"/",calendar[[#This Row],[Year]])</f>
        <v>5/2028</v>
      </c>
      <c r="G4144">
        <f>WEEKDAY(calendar[[#This Row],[Date]],1)</f>
        <v>6</v>
      </c>
      <c r="H4144" t="str">
        <f>TEXT(calendar[[#This Row],[WeekDay]],"dddd")</f>
        <v>Friday</v>
      </c>
      <c r="I4144">
        <f>IF((INT(calendar[[#This Row],[Count]]/7)-calendar[[#This Row],[Count]]/7)&lt;0,I4143,I4143+1)</f>
        <v>592</v>
      </c>
      <c r="J4144">
        <f t="shared" si="330"/>
        <v>4142</v>
      </c>
      <c r="K4144">
        <f>IF(calendar[[#This Row],[Month]]&lt;4,1,IF(calendar[[#This Row],[Month]]&lt;7,2,IF(calendar[[#This Row],[Month]]&lt;10,3,4)))</f>
        <v>2</v>
      </c>
      <c r="L4144">
        <f>IFERROR(IF(VLOOKUP(calendar[[#This Row],[Date]],BH!A:A,1,)&lt;&gt;"",1,0),0)</f>
        <v>0</v>
      </c>
      <c r="M4144">
        <f>IFERROR(IF(VLOOKUP(calendar[[#This Row],[Date]],BH!C:C,1,)&lt;&gt;"",1,0),0)</f>
        <v>0</v>
      </c>
      <c r="N4144">
        <f>IFERROR(IF(VLOOKUP(calendar[[#This Row],[Date]],BH!E:E,1,)&lt;&gt;"",1,0),0)</f>
        <v>0</v>
      </c>
      <c r="O4144">
        <f>IFERROR(IF(VLOOKUP(calendar[[#This Row],[Date]],BH!G:G,1,)&lt;&gt;"",1,0),0)</f>
        <v>0</v>
      </c>
      <c r="P4144">
        <f>IF(OR(calendar[[#This Row],[UK_BH]]=1,calendar[[#This Row],[WeekDay]]=1, calendar[[#This Row],[WeekDay]]=7),P4143,P4143+1)</f>
        <v>2936</v>
      </c>
      <c r="Q4144">
        <f>IF(OR(calendar[[#This Row],[FR_BH]]=1,calendar[[#This Row],[WeekDay]]=1, calendar[[#This Row],[WeekDay]]=7),P4143,P4143+1)</f>
        <v>2936</v>
      </c>
      <c r="R4144">
        <f>IF(OR(calendar[[#This Row],[SP_BH]]=1,calendar[[#This Row],[WeekDay]]=1, calendar[[#This Row],[WeekDay]]=7),P4143,P4143+1)</f>
        <v>2936</v>
      </c>
      <c r="S4144">
        <f>IF(OR(calendar[[#This Row],[PT_BH]]=1,calendar[[#This Row],[WeekDay]]=1, calendar[[#This Row],[WeekDay]]=7),P4143,P4143+1)</f>
        <v>2936</v>
      </c>
    </row>
    <row r="4145" spans="1:19" x14ac:dyDescent="0.25">
      <c r="A4145" s="2">
        <v>46879</v>
      </c>
      <c r="B4145" s="1">
        <f t="shared" si="326"/>
        <v>19</v>
      </c>
      <c r="C4145">
        <f t="shared" si="327"/>
        <v>5</v>
      </c>
      <c r="D4145" t="str">
        <f t="shared" si="328"/>
        <v>May</v>
      </c>
      <c r="E4145">
        <f t="shared" si="329"/>
        <v>2028</v>
      </c>
      <c r="F4145" t="str">
        <f>CONCATENATE(calendar[[#This Row],[Month]],"/",calendar[[#This Row],[Year]])</f>
        <v>5/2028</v>
      </c>
      <c r="G4145">
        <f>WEEKDAY(calendar[[#This Row],[Date]],1)</f>
        <v>7</v>
      </c>
      <c r="H4145" t="str">
        <f>TEXT(calendar[[#This Row],[WeekDay]],"dddd")</f>
        <v>Saturday</v>
      </c>
      <c r="I4145">
        <f>IF((INT(calendar[[#This Row],[Count]]/7)-calendar[[#This Row],[Count]]/7)&lt;0,I4144,I4144+1)</f>
        <v>592</v>
      </c>
      <c r="J4145">
        <f t="shared" si="330"/>
        <v>4143</v>
      </c>
      <c r="K4145">
        <f>IF(calendar[[#This Row],[Month]]&lt;4,1,IF(calendar[[#This Row],[Month]]&lt;7,2,IF(calendar[[#This Row],[Month]]&lt;10,3,4)))</f>
        <v>2</v>
      </c>
      <c r="L4145">
        <f>IFERROR(IF(VLOOKUP(calendar[[#This Row],[Date]],BH!A:A,1,)&lt;&gt;"",1,0),0)</f>
        <v>0</v>
      </c>
      <c r="M4145">
        <f>IFERROR(IF(VLOOKUP(calendar[[#This Row],[Date]],BH!C:C,1,)&lt;&gt;"",1,0),0)</f>
        <v>0</v>
      </c>
      <c r="N4145">
        <f>IFERROR(IF(VLOOKUP(calendar[[#This Row],[Date]],BH!E:E,1,)&lt;&gt;"",1,0),0)</f>
        <v>0</v>
      </c>
      <c r="O4145">
        <f>IFERROR(IF(VLOOKUP(calendar[[#This Row],[Date]],BH!G:G,1,)&lt;&gt;"",1,0),0)</f>
        <v>0</v>
      </c>
      <c r="P4145">
        <f>IF(OR(calendar[[#This Row],[UK_BH]]=1,calendar[[#This Row],[WeekDay]]=1, calendar[[#This Row],[WeekDay]]=7),P4144,P4144+1)</f>
        <v>2936</v>
      </c>
      <c r="Q4145">
        <f>IF(OR(calendar[[#This Row],[FR_BH]]=1,calendar[[#This Row],[WeekDay]]=1, calendar[[#This Row],[WeekDay]]=7),P4144,P4144+1)</f>
        <v>2936</v>
      </c>
      <c r="R4145">
        <f>IF(OR(calendar[[#This Row],[SP_BH]]=1,calendar[[#This Row],[WeekDay]]=1, calendar[[#This Row],[WeekDay]]=7),P4144,P4144+1)</f>
        <v>2936</v>
      </c>
      <c r="S4145">
        <f>IF(OR(calendar[[#This Row],[PT_BH]]=1,calendar[[#This Row],[WeekDay]]=1, calendar[[#This Row],[WeekDay]]=7),P4144,P4144+1)</f>
        <v>2936</v>
      </c>
    </row>
    <row r="4146" spans="1:19" x14ac:dyDescent="0.25">
      <c r="A4146" s="2">
        <v>46880</v>
      </c>
      <c r="B4146" s="1">
        <f t="shared" si="326"/>
        <v>20</v>
      </c>
      <c r="C4146">
        <f t="shared" si="327"/>
        <v>5</v>
      </c>
      <c r="D4146" t="str">
        <f t="shared" si="328"/>
        <v>May</v>
      </c>
      <c r="E4146">
        <f t="shared" si="329"/>
        <v>2028</v>
      </c>
      <c r="F4146" t="str">
        <f>CONCATENATE(calendar[[#This Row],[Month]],"/",calendar[[#This Row],[Year]])</f>
        <v>5/2028</v>
      </c>
      <c r="G4146">
        <f>WEEKDAY(calendar[[#This Row],[Date]],1)</f>
        <v>1</v>
      </c>
      <c r="H4146" t="str">
        <f>TEXT(calendar[[#This Row],[WeekDay]],"dddd")</f>
        <v>Sunday</v>
      </c>
      <c r="I4146">
        <f>IF((INT(calendar[[#This Row],[Count]]/7)-calendar[[#This Row],[Count]]/7)&lt;0,I4145,I4145+1)</f>
        <v>593</v>
      </c>
      <c r="J4146">
        <f t="shared" si="330"/>
        <v>4144</v>
      </c>
      <c r="K4146">
        <f>IF(calendar[[#This Row],[Month]]&lt;4,1,IF(calendar[[#This Row],[Month]]&lt;7,2,IF(calendar[[#This Row],[Month]]&lt;10,3,4)))</f>
        <v>2</v>
      </c>
      <c r="L4146">
        <f>IFERROR(IF(VLOOKUP(calendar[[#This Row],[Date]],BH!A:A,1,)&lt;&gt;"",1,0),0)</f>
        <v>0</v>
      </c>
      <c r="M4146">
        <f>IFERROR(IF(VLOOKUP(calendar[[#This Row],[Date]],BH!C:C,1,)&lt;&gt;"",1,0),0)</f>
        <v>0</v>
      </c>
      <c r="N4146">
        <f>IFERROR(IF(VLOOKUP(calendar[[#This Row],[Date]],BH!E:E,1,)&lt;&gt;"",1,0),0)</f>
        <v>0</v>
      </c>
      <c r="O4146">
        <f>IFERROR(IF(VLOOKUP(calendar[[#This Row],[Date]],BH!G:G,1,)&lt;&gt;"",1,0),0)</f>
        <v>0</v>
      </c>
      <c r="P4146">
        <f>IF(OR(calendar[[#This Row],[UK_BH]]=1,calendar[[#This Row],[WeekDay]]=1, calendar[[#This Row],[WeekDay]]=7),P4145,P4145+1)</f>
        <v>2936</v>
      </c>
      <c r="Q4146">
        <f>IF(OR(calendar[[#This Row],[FR_BH]]=1,calendar[[#This Row],[WeekDay]]=1, calendar[[#This Row],[WeekDay]]=7),P4145,P4145+1)</f>
        <v>2936</v>
      </c>
      <c r="R4146">
        <f>IF(OR(calendar[[#This Row],[SP_BH]]=1,calendar[[#This Row],[WeekDay]]=1, calendar[[#This Row],[WeekDay]]=7),P4145,P4145+1)</f>
        <v>2936</v>
      </c>
      <c r="S4146">
        <f>IF(OR(calendar[[#This Row],[PT_BH]]=1,calendar[[#This Row],[WeekDay]]=1, calendar[[#This Row],[WeekDay]]=7),P4145,P4145+1)</f>
        <v>2936</v>
      </c>
    </row>
    <row r="4147" spans="1:19" x14ac:dyDescent="0.25">
      <c r="A4147" s="2">
        <v>46881</v>
      </c>
      <c r="B4147" s="1">
        <f t="shared" si="326"/>
        <v>20</v>
      </c>
      <c r="C4147">
        <f t="shared" si="327"/>
        <v>5</v>
      </c>
      <c r="D4147" t="str">
        <f t="shared" si="328"/>
        <v>May</v>
      </c>
      <c r="E4147">
        <f t="shared" si="329"/>
        <v>2028</v>
      </c>
      <c r="F4147" t="str">
        <f>CONCATENATE(calendar[[#This Row],[Month]],"/",calendar[[#This Row],[Year]])</f>
        <v>5/2028</v>
      </c>
      <c r="G4147">
        <f>WEEKDAY(calendar[[#This Row],[Date]],1)</f>
        <v>2</v>
      </c>
      <c r="H4147" t="str">
        <f>TEXT(calendar[[#This Row],[WeekDay]],"dddd")</f>
        <v>Monday</v>
      </c>
      <c r="I4147">
        <f>IF((INT(calendar[[#This Row],[Count]]/7)-calendar[[#This Row],[Count]]/7)&lt;0,I4146,I4146+1)</f>
        <v>593</v>
      </c>
      <c r="J4147">
        <f t="shared" si="330"/>
        <v>4145</v>
      </c>
      <c r="K4147">
        <f>IF(calendar[[#This Row],[Month]]&lt;4,1,IF(calendar[[#This Row],[Month]]&lt;7,2,IF(calendar[[#This Row],[Month]]&lt;10,3,4)))</f>
        <v>2</v>
      </c>
      <c r="L4147">
        <f>IFERROR(IF(VLOOKUP(calendar[[#This Row],[Date]],BH!A:A,1,)&lt;&gt;"",1,0),0)</f>
        <v>0</v>
      </c>
      <c r="M4147">
        <f>IFERROR(IF(VLOOKUP(calendar[[#This Row],[Date]],BH!C:C,1,)&lt;&gt;"",1,0),0)</f>
        <v>0</v>
      </c>
      <c r="N4147">
        <f>IFERROR(IF(VLOOKUP(calendar[[#This Row],[Date]],BH!E:E,1,)&lt;&gt;"",1,0),0)</f>
        <v>0</v>
      </c>
      <c r="O4147">
        <f>IFERROR(IF(VLOOKUP(calendar[[#This Row],[Date]],BH!G:G,1,)&lt;&gt;"",1,0),0)</f>
        <v>0</v>
      </c>
      <c r="P4147">
        <f>IF(OR(calendar[[#This Row],[UK_BH]]=1,calendar[[#This Row],[WeekDay]]=1, calendar[[#This Row],[WeekDay]]=7),P4146,P4146+1)</f>
        <v>2937</v>
      </c>
      <c r="Q4147">
        <f>IF(OR(calendar[[#This Row],[FR_BH]]=1,calendar[[#This Row],[WeekDay]]=1, calendar[[#This Row],[WeekDay]]=7),P4146,P4146+1)</f>
        <v>2937</v>
      </c>
      <c r="R4147">
        <f>IF(OR(calendar[[#This Row],[SP_BH]]=1,calendar[[#This Row],[WeekDay]]=1, calendar[[#This Row],[WeekDay]]=7),P4146,P4146+1)</f>
        <v>2937</v>
      </c>
      <c r="S4147">
        <f>IF(OR(calendar[[#This Row],[PT_BH]]=1,calendar[[#This Row],[WeekDay]]=1, calendar[[#This Row],[WeekDay]]=7),P4146,P4146+1)</f>
        <v>2937</v>
      </c>
    </row>
    <row r="4148" spans="1:19" x14ac:dyDescent="0.25">
      <c r="A4148" s="2">
        <v>46882</v>
      </c>
      <c r="B4148" s="1">
        <f t="shared" si="326"/>
        <v>20</v>
      </c>
      <c r="C4148">
        <f t="shared" si="327"/>
        <v>5</v>
      </c>
      <c r="D4148" t="str">
        <f t="shared" si="328"/>
        <v>May</v>
      </c>
      <c r="E4148">
        <f t="shared" si="329"/>
        <v>2028</v>
      </c>
      <c r="F4148" t="str">
        <f>CONCATENATE(calendar[[#This Row],[Month]],"/",calendar[[#This Row],[Year]])</f>
        <v>5/2028</v>
      </c>
      <c r="G4148">
        <f>WEEKDAY(calendar[[#This Row],[Date]],1)</f>
        <v>3</v>
      </c>
      <c r="H4148" t="str">
        <f>TEXT(calendar[[#This Row],[WeekDay]],"dddd")</f>
        <v>Tuesday</v>
      </c>
      <c r="I4148">
        <f>IF((INT(calendar[[#This Row],[Count]]/7)-calendar[[#This Row],[Count]]/7)&lt;0,I4147,I4147+1)</f>
        <v>593</v>
      </c>
      <c r="J4148">
        <f t="shared" si="330"/>
        <v>4146</v>
      </c>
      <c r="K4148">
        <f>IF(calendar[[#This Row],[Month]]&lt;4,1,IF(calendar[[#This Row],[Month]]&lt;7,2,IF(calendar[[#This Row],[Month]]&lt;10,3,4)))</f>
        <v>2</v>
      </c>
      <c r="L4148">
        <f>IFERROR(IF(VLOOKUP(calendar[[#This Row],[Date]],BH!A:A,1,)&lt;&gt;"",1,0),0)</f>
        <v>0</v>
      </c>
      <c r="M4148">
        <f>IFERROR(IF(VLOOKUP(calendar[[#This Row],[Date]],BH!C:C,1,)&lt;&gt;"",1,0),0)</f>
        <v>0</v>
      </c>
      <c r="N4148">
        <f>IFERROR(IF(VLOOKUP(calendar[[#This Row],[Date]],BH!E:E,1,)&lt;&gt;"",1,0),0)</f>
        <v>0</v>
      </c>
      <c r="O4148">
        <f>IFERROR(IF(VLOOKUP(calendar[[#This Row],[Date]],BH!G:G,1,)&lt;&gt;"",1,0),0)</f>
        <v>0</v>
      </c>
      <c r="P4148">
        <f>IF(OR(calendar[[#This Row],[UK_BH]]=1,calendar[[#This Row],[WeekDay]]=1, calendar[[#This Row],[WeekDay]]=7),P4147,P4147+1)</f>
        <v>2938</v>
      </c>
      <c r="Q4148">
        <f>IF(OR(calendar[[#This Row],[FR_BH]]=1,calendar[[#This Row],[WeekDay]]=1, calendar[[#This Row],[WeekDay]]=7),P4147,P4147+1)</f>
        <v>2938</v>
      </c>
      <c r="R4148">
        <f>IF(OR(calendar[[#This Row],[SP_BH]]=1,calendar[[#This Row],[WeekDay]]=1, calendar[[#This Row],[WeekDay]]=7),P4147,P4147+1)</f>
        <v>2938</v>
      </c>
      <c r="S4148">
        <f>IF(OR(calendar[[#This Row],[PT_BH]]=1,calendar[[#This Row],[WeekDay]]=1, calendar[[#This Row],[WeekDay]]=7),P4147,P4147+1)</f>
        <v>2938</v>
      </c>
    </row>
    <row r="4149" spans="1:19" x14ac:dyDescent="0.25">
      <c r="A4149" s="2">
        <v>46883</v>
      </c>
      <c r="B4149" s="1">
        <f t="shared" si="326"/>
        <v>20</v>
      </c>
      <c r="C4149">
        <f t="shared" si="327"/>
        <v>5</v>
      </c>
      <c r="D4149" t="str">
        <f t="shared" si="328"/>
        <v>May</v>
      </c>
      <c r="E4149">
        <f t="shared" si="329"/>
        <v>2028</v>
      </c>
      <c r="F4149" t="str">
        <f>CONCATENATE(calendar[[#This Row],[Month]],"/",calendar[[#This Row],[Year]])</f>
        <v>5/2028</v>
      </c>
      <c r="G4149">
        <f>WEEKDAY(calendar[[#This Row],[Date]],1)</f>
        <v>4</v>
      </c>
      <c r="H4149" t="str">
        <f>TEXT(calendar[[#This Row],[WeekDay]],"dddd")</f>
        <v>Wednesday</v>
      </c>
      <c r="I4149">
        <f>IF((INT(calendar[[#This Row],[Count]]/7)-calendar[[#This Row],[Count]]/7)&lt;0,I4148,I4148+1)</f>
        <v>593</v>
      </c>
      <c r="J4149">
        <f t="shared" si="330"/>
        <v>4147</v>
      </c>
      <c r="K4149">
        <f>IF(calendar[[#This Row],[Month]]&lt;4,1,IF(calendar[[#This Row],[Month]]&lt;7,2,IF(calendar[[#This Row],[Month]]&lt;10,3,4)))</f>
        <v>2</v>
      </c>
      <c r="L4149">
        <f>IFERROR(IF(VLOOKUP(calendar[[#This Row],[Date]],BH!A:A,1,)&lt;&gt;"",1,0),0)</f>
        <v>0</v>
      </c>
      <c r="M4149">
        <f>IFERROR(IF(VLOOKUP(calendar[[#This Row],[Date]],BH!C:C,1,)&lt;&gt;"",1,0),0)</f>
        <v>0</v>
      </c>
      <c r="N4149">
        <f>IFERROR(IF(VLOOKUP(calendar[[#This Row],[Date]],BH!E:E,1,)&lt;&gt;"",1,0),0)</f>
        <v>0</v>
      </c>
      <c r="O4149">
        <f>IFERROR(IF(VLOOKUP(calendar[[#This Row],[Date]],BH!G:G,1,)&lt;&gt;"",1,0),0)</f>
        <v>0</v>
      </c>
      <c r="P4149">
        <f>IF(OR(calendar[[#This Row],[UK_BH]]=1,calendar[[#This Row],[WeekDay]]=1, calendar[[#This Row],[WeekDay]]=7),P4148,P4148+1)</f>
        <v>2939</v>
      </c>
      <c r="Q4149">
        <f>IF(OR(calendar[[#This Row],[FR_BH]]=1,calendar[[#This Row],[WeekDay]]=1, calendar[[#This Row],[WeekDay]]=7),P4148,P4148+1)</f>
        <v>2939</v>
      </c>
      <c r="R4149">
        <f>IF(OR(calendar[[#This Row],[SP_BH]]=1,calendar[[#This Row],[WeekDay]]=1, calendar[[#This Row],[WeekDay]]=7),P4148,P4148+1)</f>
        <v>2939</v>
      </c>
      <c r="S4149">
        <f>IF(OR(calendar[[#This Row],[PT_BH]]=1,calendar[[#This Row],[WeekDay]]=1, calendar[[#This Row],[WeekDay]]=7),P4148,P4148+1)</f>
        <v>2939</v>
      </c>
    </row>
    <row r="4150" spans="1:19" x14ac:dyDescent="0.25">
      <c r="A4150" s="2">
        <v>46884</v>
      </c>
      <c r="B4150" s="1">
        <f t="shared" si="326"/>
        <v>20</v>
      </c>
      <c r="C4150">
        <f t="shared" si="327"/>
        <v>5</v>
      </c>
      <c r="D4150" t="str">
        <f t="shared" si="328"/>
        <v>May</v>
      </c>
      <c r="E4150">
        <f t="shared" si="329"/>
        <v>2028</v>
      </c>
      <c r="F4150" t="str">
        <f>CONCATENATE(calendar[[#This Row],[Month]],"/",calendar[[#This Row],[Year]])</f>
        <v>5/2028</v>
      </c>
      <c r="G4150">
        <f>WEEKDAY(calendar[[#This Row],[Date]],1)</f>
        <v>5</v>
      </c>
      <c r="H4150" t="str">
        <f>TEXT(calendar[[#This Row],[WeekDay]],"dddd")</f>
        <v>Thursday</v>
      </c>
      <c r="I4150">
        <f>IF((INT(calendar[[#This Row],[Count]]/7)-calendar[[#This Row],[Count]]/7)&lt;0,I4149,I4149+1)</f>
        <v>593</v>
      </c>
      <c r="J4150">
        <f t="shared" si="330"/>
        <v>4148</v>
      </c>
      <c r="K4150">
        <f>IF(calendar[[#This Row],[Month]]&lt;4,1,IF(calendar[[#This Row],[Month]]&lt;7,2,IF(calendar[[#This Row],[Month]]&lt;10,3,4)))</f>
        <v>2</v>
      </c>
      <c r="L4150">
        <f>IFERROR(IF(VLOOKUP(calendar[[#This Row],[Date]],BH!A:A,1,)&lt;&gt;"",1,0),0)</f>
        <v>0</v>
      </c>
      <c r="M4150">
        <f>IFERROR(IF(VLOOKUP(calendar[[#This Row],[Date]],BH!C:C,1,)&lt;&gt;"",1,0),0)</f>
        <v>0</v>
      </c>
      <c r="N4150">
        <f>IFERROR(IF(VLOOKUP(calendar[[#This Row],[Date]],BH!E:E,1,)&lt;&gt;"",1,0),0)</f>
        <v>0</v>
      </c>
      <c r="O4150">
        <f>IFERROR(IF(VLOOKUP(calendar[[#This Row],[Date]],BH!G:G,1,)&lt;&gt;"",1,0),0)</f>
        <v>0</v>
      </c>
      <c r="P4150">
        <f>IF(OR(calendar[[#This Row],[UK_BH]]=1,calendar[[#This Row],[WeekDay]]=1, calendar[[#This Row],[WeekDay]]=7),P4149,P4149+1)</f>
        <v>2940</v>
      </c>
      <c r="Q4150">
        <f>IF(OR(calendar[[#This Row],[FR_BH]]=1,calendar[[#This Row],[WeekDay]]=1, calendar[[#This Row],[WeekDay]]=7),P4149,P4149+1)</f>
        <v>2940</v>
      </c>
      <c r="R4150">
        <f>IF(OR(calendar[[#This Row],[SP_BH]]=1,calendar[[#This Row],[WeekDay]]=1, calendar[[#This Row],[WeekDay]]=7),P4149,P4149+1)</f>
        <v>2940</v>
      </c>
      <c r="S4150">
        <f>IF(OR(calendar[[#This Row],[PT_BH]]=1,calendar[[#This Row],[WeekDay]]=1, calendar[[#This Row],[WeekDay]]=7),P4149,P4149+1)</f>
        <v>2940</v>
      </c>
    </row>
    <row r="4151" spans="1:19" x14ac:dyDescent="0.25">
      <c r="A4151" s="2">
        <v>46885</v>
      </c>
      <c r="B4151" s="1">
        <f t="shared" si="326"/>
        <v>20</v>
      </c>
      <c r="C4151">
        <f t="shared" si="327"/>
        <v>5</v>
      </c>
      <c r="D4151" t="str">
        <f t="shared" si="328"/>
        <v>May</v>
      </c>
      <c r="E4151">
        <f t="shared" si="329"/>
        <v>2028</v>
      </c>
      <c r="F4151" t="str">
        <f>CONCATENATE(calendar[[#This Row],[Month]],"/",calendar[[#This Row],[Year]])</f>
        <v>5/2028</v>
      </c>
      <c r="G4151">
        <f>WEEKDAY(calendar[[#This Row],[Date]],1)</f>
        <v>6</v>
      </c>
      <c r="H4151" t="str">
        <f>TEXT(calendar[[#This Row],[WeekDay]],"dddd")</f>
        <v>Friday</v>
      </c>
      <c r="I4151">
        <f>IF((INT(calendar[[#This Row],[Count]]/7)-calendar[[#This Row],[Count]]/7)&lt;0,I4150,I4150+1)</f>
        <v>593</v>
      </c>
      <c r="J4151">
        <f t="shared" si="330"/>
        <v>4149</v>
      </c>
      <c r="K4151">
        <f>IF(calendar[[#This Row],[Month]]&lt;4,1,IF(calendar[[#This Row],[Month]]&lt;7,2,IF(calendar[[#This Row],[Month]]&lt;10,3,4)))</f>
        <v>2</v>
      </c>
      <c r="L4151">
        <f>IFERROR(IF(VLOOKUP(calendar[[#This Row],[Date]],BH!A:A,1,)&lt;&gt;"",1,0),0)</f>
        <v>0</v>
      </c>
      <c r="M4151">
        <f>IFERROR(IF(VLOOKUP(calendar[[#This Row],[Date]],BH!C:C,1,)&lt;&gt;"",1,0),0)</f>
        <v>0</v>
      </c>
      <c r="N4151">
        <f>IFERROR(IF(VLOOKUP(calendar[[#This Row],[Date]],BH!E:E,1,)&lt;&gt;"",1,0),0)</f>
        <v>0</v>
      </c>
      <c r="O4151">
        <f>IFERROR(IF(VLOOKUP(calendar[[#This Row],[Date]],BH!G:G,1,)&lt;&gt;"",1,0),0)</f>
        <v>0</v>
      </c>
      <c r="P4151">
        <f>IF(OR(calendar[[#This Row],[UK_BH]]=1,calendar[[#This Row],[WeekDay]]=1, calendar[[#This Row],[WeekDay]]=7),P4150,P4150+1)</f>
        <v>2941</v>
      </c>
      <c r="Q4151">
        <f>IF(OR(calendar[[#This Row],[FR_BH]]=1,calendar[[#This Row],[WeekDay]]=1, calendar[[#This Row],[WeekDay]]=7),P4150,P4150+1)</f>
        <v>2941</v>
      </c>
      <c r="R4151">
        <f>IF(OR(calendar[[#This Row],[SP_BH]]=1,calendar[[#This Row],[WeekDay]]=1, calendar[[#This Row],[WeekDay]]=7),P4150,P4150+1)</f>
        <v>2941</v>
      </c>
      <c r="S4151">
        <f>IF(OR(calendar[[#This Row],[PT_BH]]=1,calendar[[#This Row],[WeekDay]]=1, calendar[[#This Row],[WeekDay]]=7),P4150,P4150+1)</f>
        <v>2941</v>
      </c>
    </row>
    <row r="4152" spans="1:19" x14ac:dyDescent="0.25">
      <c r="A4152" s="2">
        <v>46886</v>
      </c>
      <c r="B4152" s="1">
        <f t="shared" si="326"/>
        <v>20</v>
      </c>
      <c r="C4152">
        <f t="shared" si="327"/>
        <v>5</v>
      </c>
      <c r="D4152" t="str">
        <f t="shared" si="328"/>
        <v>May</v>
      </c>
      <c r="E4152">
        <f t="shared" si="329"/>
        <v>2028</v>
      </c>
      <c r="F4152" t="str">
        <f>CONCATENATE(calendar[[#This Row],[Month]],"/",calendar[[#This Row],[Year]])</f>
        <v>5/2028</v>
      </c>
      <c r="G4152">
        <f>WEEKDAY(calendar[[#This Row],[Date]],1)</f>
        <v>7</v>
      </c>
      <c r="H4152" t="str">
        <f>TEXT(calendar[[#This Row],[WeekDay]],"dddd")</f>
        <v>Saturday</v>
      </c>
      <c r="I4152">
        <f>IF((INT(calendar[[#This Row],[Count]]/7)-calendar[[#This Row],[Count]]/7)&lt;0,I4151,I4151+1)</f>
        <v>593</v>
      </c>
      <c r="J4152">
        <f t="shared" si="330"/>
        <v>4150</v>
      </c>
      <c r="K4152">
        <f>IF(calendar[[#This Row],[Month]]&lt;4,1,IF(calendar[[#This Row],[Month]]&lt;7,2,IF(calendar[[#This Row],[Month]]&lt;10,3,4)))</f>
        <v>2</v>
      </c>
      <c r="L4152">
        <f>IFERROR(IF(VLOOKUP(calendar[[#This Row],[Date]],BH!A:A,1,)&lt;&gt;"",1,0),0)</f>
        <v>0</v>
      </c>
      <c r="M4152">
        <f>IFERROR(IF(VLOOKUP(calendar[[#This Row],[Date]],BH!C:C,1,)&lt;&gt;"",1,0),0)</f>
        <v>0</v>
      </c>
      <c r="N4152">
        <f>IFERROR(IF(VLOOKUP(calendar[[#This Row],[Date]],BH!E:E,1,)&lt;&gt;"",1,0),0)</f>
        <v>0</v>
      </c>
      <c r="O4152">
        <f>IFERROR(IF(VLOOKUP(calendar[[#This Row],[Date]],BH!G:G,1,)&lt;&gt;"",1,0),0)</f>
        <v>0</v>
      </c>
      <c r="P4152">
        <f>IF(OR(calendar[[#This Row],[UK_BH]]=1,calendar[[#This Row],[WeekDay]]=1, calendar[[#This Row],[WeekDay]]=7),P4151,P4151+1)</f>
        <v>2941</v>
      </c>
      <c r="Q4152">
        <f>IF(OR(calendar[[#This Row],[FR_BH]]=1,calendar[[#This Row],[WeekDay]]=1, calendar[[#This Row],[WeekDay]]=7),P4151,P4151+1)</f>
        <v>2941</v>
      </c>
      <c r="R4152">
        <f>IF(OR(calendar[[#This Row],[SP_BH]]=1,calendar[[#This Row],[WeekDay]]=1, calendar[[#This Row],[WeekDay]]=7),P4151,P4151+1)</f>
        <v>2941</v>
      </c>
      <c r="S4152">
        <f>IF(OR(calendar[[#This Row],[PT_BH]]=1,calendar[[#This Row],[WeekDay]]=1, calendar[[#This Row],[WeekDay]]=7),P4151,P4151+1)</f>
        <v>2941</v>
      </c>
    </row>
    <row r="4153" spans="1:19" x14ac:dyDescent="0.25">
      <c r="A4153" s="2">
        <v>46887</v>
      </c>
      <c r="B4153" s="1">
        <f t="shared" si="326"/>
        <v>21</v>
      </c>
      <c r="C4153">
        <f t="shared" si="327"/>
        <v>5</v>
      </c>
      <c r="D4153" t="str">
        <f t="shared" si="328"/>
        <v>May</v>
      </c>
      <c r="E4153">
        <f t="shared" si="329"/>
        <v>2028</v>
      </c>
      <c r="F4153" t="str">
        <f>CONCATENATE(calendar[[#This Row],[Month]],"/",calendar[[#This Row],[Year]])</f>
        <v>5/2028</v>
      </c>
      <c r="G4153">
        <f>WEEKDAY(calendar[[#This Row],[Date]],1)</f>
        <v>1</v>
      </c>
      <c r="H4153" t="str">
        <f>TEXT(calendar[[#This Row],[WeekDay]],"dddd")</f>
        <v>Sunday</v>
      </c>
      <c r="I4153">
        <f>IF((INT(calendar[[#This Row],[Count]]/7)-calendar[[#This Row],[Count]]/7)&lt;0,I4152,I4152+1)</f>
        <v>594</v>
      </c>
      <c r="J4153">
        <f t="shared" si="330"/>
        <v>4151</v>
      </c>
      <c r="K4153">
        <f>IF(calendar[[#This Row],[Month]]&lt;4,1,IF(calendar[[#This Row],[Month]]&lt;7,2,IF(calendar[[#This Row],[Month]]&lt;10,3,4)))</f>
        <v>2</v>
      </c>
      <c r="L4153">
        <f>IFERROR(IF(VLOOKUP(calendar[[#This Row],[Date]],BH!A:A,1,)&lt;&gt;"",1,0),0)</f>
        <v>0</v>
      </c>
      <c r="M4153">
        <f>IFERROR(IF(VLOOKUP(calendar[[#This Row],[Date]],BH!C:C,1,)&lt;&gt;"",1,0),0)</f>
        <v>0</v>
      </c>
      <c r="N4153">
        <f>IFERROR(IF(VLOOKUP(calendar[[#This Row],[Date]],BH!E:E,1,)&lt;&gt;"",1,0),0)</f>
        <v>0</v>
      </c>
      <c r="O4153">
        <f>IFERROR(IF(VLOOKUP(calendar[[#This Row],[Date]],BH!G:G,1,)&lt;&gt;"",1,0),0)</f>
        <v>0</v>
      </c>
      <c r="P4153">
        <f>IF(OR(calendar[[#This Row],[UK_BH]]=1,calendar[[#This Row],[WeekDay]]=1, calendar[[#This Row],[WeekDay]]=7),P4152,P4152+1)</f>
        <v>2941</v>
      </c>
      <c r="Q4153">
        <f>IF(OR(calendar[[#This Row],[FR_BH]]=1,calendar[[#This Row],[WeekDay]]=1, calendar[[#This Row],[WeekDay]]=7),P4152,P4152+1)</f>
        <v>2941</v>
      </c>
      <c r="R4153">
        <f>IF(OR(calendar[[#This Row],[SP_BH]]=1,calendar[[#This Row],[WeekDay]]=1, calendar[[#This Row],[WeekDay]]=7),P4152,P4152+1)</f>
        <v>2941</v>
      </c>
      <c r="S4153">
        <f>IF(OR(calendar[[#This Row],[PT_BH]]=1,calendar[[#This Row],[WeekDay]]=1, calendar[[#This Row],[WeekDay]]=7),P4152,P4152+1)</f>
        <v>2941</v>
      </c>
    </row>
    <row r="4154" spans="1:19" x14ac:dyDescent="0.25">
      <c r="A4154" s="2">
        <v>46888</v>
      </c>
      <c r="B4154" s="1">
        <f t="shared" si="326"/>
        <v>21</v>
      </c>
      <c r="C4154">
        <f t="shared" si="327"/>
        <v>5</v>
      </c>
      <c r="D4154" t="str">
        <f t="shared" si="328"/>
        <v>May</v>
      </c>
      <c r="E4154">
        <f t="shared" si="329"/>
        <v>2028</v>
      </c>
      <c r="F4154" t="str">
        <f>CONCATENATE(calendar[[#This Row],[Month]],"/",calendar[[#This Row],[Year]])</f>
        <v>5/2028</v>
      </c>
      <c r="G4154">
        <f>WEEKDAY(calendar[[#This Row],[Date]],1)</f>
        <v>2</v>
      </c>
      <c r="H4154" t="str">
        <f>TEXT(calendar[[#This Row],[WeekDay]],"dddd")</f>
        <v>Monday</v>
      </c>
      <c r="I4154">
        <f>IF((INT(calendar[[#This Row],[Count]]/7)-calendar[[#This Row],[Count]]/7)&lt;0,I4153,I4153+1)</f>
        <v>594</v>
      </c>
      <c r="J4154">
        <f t="shared" si="330"/>
        <v>4152</v>
      </c>
      <c r="K4154">
        <f>IF(calendar[[#This Row],[Month]]&lt;4,1,IF(calendar[[#This Row],[Month]]&lt;7,2,IF(calendar[[#This Row],[Month]]&lt;10,3,4)))</f>
        <v>2</v>
      </c>
      <c r="L4154">
        <f>IFERROR(IF(VLOOKUP(calendar[[#This Row],[Date]],BH!A:A,1,)&lt;&gt;"",1,0),0)</f>
        <v>0</v>
      </c>
      <c r="M4154">
        <f>IFERROR(IF(VLOOKUP(calendar[[#This Row],[Date]],BH!C:C,1,)&lt;&gt;"",1,0),0)</f>
        <v>0</v>
      </c>
      <c r="N4154">
        <f>IFERROR(IF(VLOOKUP(calendar[[#This Row],[Date]],BH!E:E,1,)&lt;&gt;"",1,0),0)</f>
        <v>0</v>
      </c>
      <c r="O4154">
        <f>IFERROR(IF(VLOOKUP(calendar[[#This Row],[Date]],BH!G:G,1,)&lt;&gt;"",1,0),0)</f>
        <v>0</v>
      </c>
      <c r="P4154">
        <f>IF(OR(calendar[[#This Row],[UK_BH]]=1,calendar[[#This Row],[WeekDay]]=1, calendar[[#This Row],[WeekDay]]=7),P4153,P4153+1)</f>
        <v>2942</v>
      </c>
      <c r="Q4154">
        <f>IF(OR(calendar[[#This Row],[FR_BH]]=1,calendar[[#This Row],[WeekDay]]=1, calendar[[#This Row],[WeekDay]]=7),P4153,P4153+1)</f>
        <v>2942</v>
      </c>
      <c r="R4154">
        <f>IF(OR(calendar[[#This Row],[SP_BH]]=1,calendar[[#This Row],[WeekDay]]=1, calendar[[#This Row],[WeekDay]]=7),P4153,P4153+1)</f>
        <v>2942</v>
      </c>
      <c r="S4154">
        <f>IF(OR(calendar[[#This Row],[PT_BH]]=1,calendar[[#This Row],[WeekDay]]=1, calendar[[#This Row],[WeekDay]]=7),P4153,P4153+1)</f>
        <v>2942</v>
      </c>
    </row>
    <row r="4155" spans="1:19" x14ac:dyDescent="0.25">
      <c r="A4155" s="2">
        <v>46889</v>
      </c>
      <c r="B4155" s="1">
        <f t="shared" si="326"/>
        <v>21</v>
      </c>
      <c r="C4155">
        <f t="shared" si="327"/>
        <v>5</v>
      </c>
      <c r="D4155" t="str">
        <f t="shared" si="328"/>
        <v>May</v>
      </c>
      <c r="E4155">
        <f t="shared" si="329"/>
        <v>2028</v>
      </c>
      <c r="F4155" t="str">
        <f>CONCATENATE(calendar[[#This Row],[Month]],"/",calendar[[#This Row],[Year]])</f>
        <v>5/2028</v>
      </c>
      <c r="G4155">
        <f>WEEKDAY(calendar[[#This Row],[Date]],1)</f>
        <v>3</v>
      </c>
      <c r="H4155" t="str">
        <f>TEXT(calendar[[#This Row],[WeekDay]],"dddd")</f>
        <v>Tuesday</v>
      </c>
      <c r="I4155">
        <f>IF((INT(calendar[[#This Row],[Count]]/7)-calendar[[#This Row],[Count]]/7)&lt;0,I4154,I4154+1)</f>
        <v>594</v>
      </c>
      <c r="J4155">
        <f t="shared" si="330"/>
        <v>4153</v>
      </c>
      <c r="K4155">
        <f>IF(calendar[[#This Row],[Month]]&lt;4,1,IF(calendar[[#This Row],[Month]]&lt;7,2,IF(calendar[[#This Row],[Month]]&lt;10,3,4)))</f>
        <v>2</v>
      </c>
      <c r="L4155">
        <f>IFERROR(IF(VLOOKUP(calendar[[#This Row],[Date]],BH!A:A,1,)&lt;&gt;"",1,0),0)</f>
        <v>0</v>
      </c>
      <c r="M4155">
        <f>IFERROR(IF(VLOOKUP(calendar[[#This Row],[Date]],BH!C:C,1,)&lt;&gt;"",1,0),0)</f>
        <v>0</v>
      </c>
      <c r="N4155">
        <f>IFERROR(IF(VLOOKUP(calendar[[#This Row],[Date]],BH!E:E,1,)&lt;&gt;"",1,0),0)</f>
        <v>0</v>
      </c>
      <c r="O4155">
        <f>IFERROR(IF(VLOOKUP(calendar[[#This Row],[Date]],BH!G:G,1,)&lt;&gt;"",1,0),0)</f>
        <v>0</v>
      </c>
      <c r="P4155">
        <f>IF(OR(calendar[[#This Row],[UK_BH]]=1,calendar[[#This Row],[WeekDay]]=1, calendar[[#This Row],[WeekDay]]=7),P4154,P4154+1)</f>
        <v>2943</v>
      </c>
      <c r="Q4155">
        <f>IF(OR(calendar[[#This Row],[FR_BH]]=1,calendar[[#This Row],[WeekDay]]=1, calendar[[#This Row],[WeekDay]]=7),P4154,P4154+1)</f>
        <v>2943</v>
      </c>
      <c r="R4155">
        <f>IF(OR(calendar[[#This Row],[SP_BH]]=1,calendar[[#This Row],[WeekDay]]=1, calendar[[#This Row],[WeekDay]]=7),P4154,P4154+1)</f>
        <v>2943</v>
      </c>
      <c r="S4155">
        <f>IF(OR(calendar[[#This Row],[PT_BH]]=1,calendar[[#This Row],[WeekDay]]=1, calendar[[#This Row],[WeekDay]]=7),P4154,P4154+1)</f>
        <v>2943</v>
      </c>
    </row>
    <row r="4156" spans="1:19" x14ac:dyDescent="0.25">
      <c r="A4156" s="2">
        <v>46890</v>
      </c>
      <c r="B4156" s="1">
        <f t="shared" si="326"/>
        <v>21</v>
      </c>
      <c r="C4156">
        <f t="shared" si="327"/>
        <v>5</v>
      </c>
      <c r="D4156" t="str">
        <f t="shared" si="328"/>
        <v>May</v>
      </c>
      <c r="E4156">
        <f t="shared" si="329"/>
        <v>2028</v>
      </c>
      <c r="F4156" t="str">
        <f>CONCATENATE(calendar[[#This Row],[Month]],"/",calendar[[#This Row],[Year]])</f>
        <v>5/2028</v>
      </c>
      <c r="G4156">
        <f>WEEKDAY(calendar[[#This Row],[Date]],1)</f>
        <v>4</v>
      </c>
      <c r="H4156" t="str">
        <f>TEXT(calendar[[#This Row],[WeekDay]],"dddd")</f>
        <v>Wednesday</v>
      </c>
      <c r="I4156">
        <f>IF((INT(calendar[[#This Row],[Count]]/7)-calendar[[#This Row],[Count]]/7)&lt;0,I4155,I4155+1)</f>
        <v>594</v>
      </c>
      <c r="J4156">
        <f t="shared" si="330"/>
        <v>4154</v>
      </c>
      <c r="K4156">
        <f>IF(calendar[[#This Row],[Month]]&lt;4,1,IF(calendar[[#This Row],[Month]]&lt;7,2,IF(calendar[[#This Row],[Month]]&lt;10,3,4)))</f>
        <v>2</v>
      </c>
      <c r="L4156">
        <f>IFERROR(IF(VLOOKUP(calendar[[#This Row],[Date]],BH!A:A,1,)&lt;&gt;"",1,0),0)</f>
        <v>0</v>
      </c>
      <c r="M4156">
        <f>IFERROR(IF(VLOOKUP(calendar[[#This Row],[Date]],BH!C:C,1,)&lt;&gt;"",1,0),0)</f>
        <v>0</v>
      </c>
      <c r="N4156">
        <f>IFERROR(IF(VLOOKUP(calendar[[#This Row],[Date]],BH!E:E,1,)&lt;&gt;"",1,0),0)</f>
        <v>0</v>
      </c>
      <c r="O4156">
        <f>IFERROR(IF(VLOOKUP(calendar[[#This Row],[Date]],BH!G:G,1,)&lt;&gt;"",1,0),0)</f>
        <v>0</v>
      </c>
      <c r="P4156">
        <f>IF(OR(calendar[[#This Row],[UK_BH]]=1,calendar[[#This Row],[WeekDay]]=1, calendar[[#This Row],[WeekDay]]=7),P4155,P4155+1)</f>
        <v>2944</v>
      </c>
      <c r="Q4156">
        <f>IF(OR(calendar[[#This Row],[FR_BH]]=1,calendar[[#This Row],[WeekDay]]=1, calendar[[#This Row],[WeekDay]]=7),P4155,P4155+1)</f>
        <v>2944</v>
      </c>
      <c r="R4156">
        <f>IF(OR(calendar[[#This Row],[SP_BH]]=1,calendar[[#This Row],[WeekDay]]=1, calendar[[#This Row],[WeekDay]]=7),P4155,P4155+1)</f>
        <v>2944</v>
      </c>
      <c r="S4156">
        <f>IF(OR(calendar[[#This Row],[PT_BH]]=1,calendar[[#This Row],[WeekDay]]=1, calendar[[#This Row],[WeekDay]]=7),P4155,P4155+1)</f>
        <v>2944</v>
      </c>
    </row>
    <row r="4157" spans="1:19" x14ac:dyDescent="0.25">
      <c r="A4157" s="2">
        <v>46891</v>
      </c>
      <c r="B4157" s="1">
        <f t="shared" si="326"/>
        <v>21</v>
      </c>
      <c r="C4157">
        <f t="shared" si="327"/>
        <v>5</v>
      </c>
      <c r="D4157" t="str">
        <f t="shared" si="328"/>
        <v>May</v>
      </c>
      <c r="E4157">
        <f t="shared" si="329"/>
        <v>2028</v>
      </c>
      <c r="F4157" t="str">
        <f>CONCATENATE(calendar[[#This Row],[Month]],"/",calendar[[#This Row],[Year]])</f>
        <v>5/2028</v>
      </c>
      <c r="G4157">
        <f>WEEKDAY(calendar[[#This Row],[Date]],1)</f>
        <v>5</v>
      </c>
      <c r="H4157" t="str">
        <f>TEXT(calendar[[#This Row],[WeekDay]],"dddd")</f>
        <v>Thursday</v>
      </c>
      <c r="I4157">
        <f>IF((INT(calendar[[#This Row],[Count]]/7)-calendar[[#This Row],[Count]]/7)&lt;0,I4156,I4156+1)</f>
        <v>594</v>
      </c>
      <c r="J4157">
        <f t="shared" si="330"/>
        <v>4155</v>
      </c>
      <c r="K4157">
        <f>IF(calendar[[#This Row],[Month]]&lt;4,1,IF(calendar[[#This Row],[Month]]&lt;7,2,IF(calendar[[#This Row],[Month]]&lt;10,3,4)))</f>
        <v>2</v>
      </c>
      <c r="L4157">
        <f>IFERROR(IF(VLOOKUP(calendar[[#This Row],[Date]],BH!A:A,1,)&lt;&gt;"",1,0),0)</f>
        <v>0</v>
      </c>
      <c r="M4157">
        <f>IFERROR(IF(VLOOKUP(calendar[[#This Row],[Date]],BH!C:C,1,)&lt;&gt;"",1,0),0)</f>
        <v>0</v>
      </c>
      <c r="N4157">
        <f>IFERROR(IF(VLOOKUP(calendar[[#This Row],[Date]],BH!E:E,1,)&lt;&gt;"",1,0),0)</f>
        <v>0</v>
      </c>
      <c r="O4157">
        <f>IFERROR(IF(VLOOKUP(calendar[[#This Row],[Date]],BH!G:G,1,)&lt;&gt;"",1,0),0)</f>
        <v>0</v>
      </c>
      <c r="P4157">
        <f>IF(OR(calendar[[#This Row],[UK_BH]]=1,calendar[[#This Row],[WeekDay]]=1, calendar[[#This Row],[WeekDay]]=7),P4156,P4156+1)</f>
        <v>2945</v>
      </c>
      <c r="Q4157">
        <f>IF(OR(calendar[[#This Row],[FR_BH]]=1,calendar[[#This Row],[WeekDay]]=1, calendar[[#This Row],[WeekDay]]=7),P4156,P4156+1)</f>
        <v>2945</v>
      </c>
      <c r="R4157">
        <f>IF(OR(calendar[[#This Row],[SP_BH]]=1,calendar[[#This Row],[WeekDay]]=1, calendar[[#This Row],[WeekDay]]=7),P4156,P4156+1)</f>
        <v>2945</v>
      </c>
      <c r="S4157">
        <f>IF(OR(calendar[[#This Row],[PT_BH]]=1,calendar[[#This Row],[WeekDay]]=1, calendar[[#This Row],[WeekDay]]=7),P4156,P4156+1)</f>
        <v>2945</v>
      </c>
    </row>
    <row r="4158" spans="1:19" x14ac:dyDescent="0.25">
      <c r="A4158" s="2">
        <v>46892</v>
      </c>
      <c r="B4158" s="1">
        <f t="shared" si="326"/>
        <v>21</v>
      </c>
      <c r="C4158">
        <f t="shared" si="327"/>
        <v>5</v>
      </c>
      <c r="D4158" t="str">
        <f t="shared" si="328"/>
        <v>May</v>
      </c>
      <c r="E4158">
        <f t="shared" si="329"/>
        <v>2028</v>
      </c>
      <c r="F4158" t="str">
        <f>CONCATENATE(calendar[[#This Row],[Month]],"/",calendar[[#This Row],[Year]])</f>
        <v>5/2028</v>
      </c>
      <c r="G4158">
        <f>WEEKDAY(calendar[[#This Row],[Date]],1)</f>
        <v>6</v>
      </c>
      <c r="H4158" t="str">
        <f>TEXT(calendar[[#This Row],[WeekDay]],"dddd")</f>
        <v>Friday</v>
      </c>
      <c r="I4158">
        <f>IF((INT(calendar[[#This Row],[Count]]/7)-calendar[[#This Row],[Count]]/7)&lt;0,I4157,I4157+1)</f>
        <v>594</v>
      </c>
      <c r="J4158">
        <f t="shared" si="330"/>
        <v>4156</v>
      </c>
      <c r="K4158">
        <f>IF(calendar[[#This Row],[Month]]&lt;4,1,IF(calendar[[#This Row],[Month]]&lt;7,2,IF(calendar[[#This Row],[Month]]&lt;10,3,4)))</f>
        <v>2</v>
      </c>
      <c r="L4158">
        <f>IFERROR(IF(VLOOKUP(calendar[[#This Row],[Date]],BH!A:A,1,)&lt;&gt;"",1,0),0)</f>
        <v>0</v>
      </c>
      <c r="M4158">
        <f>IFERROR(IF(VLOOKUP(calendar[[#This Row],[Date]],BH!C:C,1,)&lt;&gt;"",1,0),0)</f>
        <v>0</v>
      </c>
      <c r="N4158">
        <f>IFERROR(IF(VLOOKUP(calendar[[#This Row],[Date]],BH!E:E,1,)&lt;&gt;"",1,0),0)</f>
        <v>0</v>
      </c>
      <c r="O4158">
        <f>IFERROR(IF(VLOOKUP(calendar[[#This Row],[Date]],BH!G:G,1,)&lt;&gt;"",1,0),0)</f>
        <v>0</v>
      </c>
      <c r="P4158">
        <f>IF(OR(calendar[[#This Row],[UK_BH]]=1,calendar[[#This Row],[WeekDay]]=1, calendar[[#This Row],[WeekDay]]=7),P4157,P4157+1)</f>
        <v>2946</v>
      </c>
      <c r="Q4158">
        <f>IF(OR(calendar[[#This Row],[FR_BH]]=1,calendar[[#This Row],[WeekDay]]=1, calendar[[#This Row],[WeekDay]]=7),P4157,P4157+1)</f>
        <v>2946</v>
      </c>
      <c r="R4158">
        <f>IF(OR(calendar[[#This Row],[SP_BH]]=1,calendar[[#This Row],[WeekDay]]=1, calendar[[#This Row],[WeekDay]]=7),P4157,P4157+1)</f>
        <v>2946</v>
      </c>
      <c r="S4158">
        <f>IF(OR(calendar[[#This Row],[PT_BH]]=1,calendar[[#This Row],[WeekDay]]=1, calendar[[#This Row],[WeekDay]]=7),P4157,P4157+1)</f>
        <v>2946</v>
      </c>
    </row>
    <row r="4159" spans="1:19" x14ac:dyDescent="0.25">
      <c r="A4159" s="2">
        <v>46893</v>
      </c>
      <c r="B4159" s="1">
        <f t="shared" si="326"/>
        <v>21</v>
      </c>
      <c r="C4159">
        <f t="shared" si="327"/>
        <v>5</v>
      </c>
      <c r="D4159" t="str">
        <f t="shared" si="328"/>
        <v>May</v>
      </c>
      <c r="E4159">
        <f t="shared" si="329"/>
        <v>2028</v>
      </c>
      <c r="F4159" t="str">
        <f>CONCATENATE(calendar[[#This Row],[Month]],"/",calendar[[#This Row],[Year]])</f>
        <v>5/2028</v>
      </c>
      <c r="G4159">
        <f>WEEKDAY(calendar[[#This Row],[Date]],1)</f>
        <v>7</v>
      </c>
      <c r="H4159" t="str">
        <f>TEXT(calendar[[#This Row],[WeekDay]],"dddd")</f>
        <v>Saturday</v>
      </c>
      <c r="I4159">
        <f>IF((INT(calendar[[#This Row],[Count]]/7)-calendar[[#This Row],[Count]]/7)&lt;0,I4158,I4158+1)</f>
        <v>594</v>
      </c>
      <c r="J4159">
        <f t="shared" si="330"/>
        <v>4157</v>
      </c>
      <c r="K4159">
        <f>IF(calendar[[#This Row],[Month]]&lt;4,1,IF(calendar[[#This Row],[Month]]&lt;7,2,IF(calendar[[#This Row],[Month]]&lt;10,3,4)))</f>
        <v>2</v>
      </c>
      <c r="L4159">
        <f>IFERROR(IF(VLOOKUP(calendar[[#This Row],[Date]],BH!A:A,1,)&lt;&gt;"",1,0),0)</f>
        <v>0</v>
      </c>
      <c r="M4159">
        <f>IFERROR(IF(VLOOKUP(calendar[[#This Row],[Date]],BH!C:C,1,)&lt;&gt;"",1,0),0)</f>
        <v>0</v>
      </c>
      <c r="N4159">
        <f>IFERROR(IF(VLOOKUP(calendar[[#This Row],[Date]],BH!E:E,1,)&lt;&gt;"",1,0),0)</f>
        <v>0</v>
      </c>
      <c r="O4159">
        <f>IFERROR(IF(VLOOKUP(calendar[[#This Row],[Date]],BH!G:G,1,)&lt;&gt;"",1,0),0)</f>
        <v>0</v>
      </c>
      <c r="P4159">
        <f>IF(OR(calendar[[#This Row],[UK_BH]]=1,calendar[[#This Row],[WeekDay]]=1, calendar[[#This Row],[WeekDay]]=7),P4158,P4158+1)</f>
        <v>2946</v>
      </c>
      <c r="Q4159">
        <f>IF(OR(calendar[[#This Row],[FR_BH]]=1,calendar[[#This Row],[WeekDay]]=1, calendar[[#This Row],[WeekDay]]=7),P4158,P4158+1)</f>
        <v>2946</v>
      </c>
      <c r="R4159">
        <f>IF(OR(calendar[[#This Row],[SP_BH]]=1,calendar[[#This Row],[WeekDay]]=1, calendar[[#This Row],[WeekDay]]=7),P4158,P4158+1)</f>
        <v>2946</v>
      </c>
      <c r="S4159">
        <f>IF(OR(calendar[[#This Row],[PT_BH]]=1,calendar[[#This Row],[WeekDay]]=1, calendar[[#This Row],[WeekDay]]=7),P4158,P4158+1)</f>
        <v>2946</v>
      </c>
    </row>
    <row r="4160" spans="1:19" x14ac:dyDescent="0.25">
      <c r="A4160" s="2">
        <v>46894</v>
      </c>
      <c r="B4160" s="1">
        <f t="shared" si="326"/>
        <v>22</v>
      </c>
      <c r="C4160">
        <f t="shared" si="327"/>
        <v>5</v>
      </c>
      <c r="D4160" t="str">
        <f t="shared" si="328"/>
        <v>May</v>
      </c>
      <c r="E4160">
        <f t="shared" si="329"/>
        <v>2028</v>
      </c>
      <c r="F4160" t="str">
        <f>CONCATENATE(calendar[[#This Row],[Month]],"/",calendar[[#This Row],[Year]])</f>
        <v>5/2028</v>
      </c>
      <c r="G4160">
        <f>WEEKDAY(calendar[[#This Row],[Date]],1)</f>
        <v>1</v>
      </c>
      <c r="H4160" t="str">
        <f>TEXT(calendar[[#This Row],[WeekDay]],"dddd")</f>
        <v>Sunday</v>
      </c>
      <c r="I4160">
        <f>IF((INT(calendar[[#This Row],[Count]]/7)-calendar[[#This Row],[Count]]/7)&lt;0,I4159,I4159+1)</f>
        <v>595</v>
      </c>
      <c r="J4160">
        <f t="shared" si="330"/>
        <v>4158</v>
      </c>
      <c r="K4160">
        <f>IF(calendar[[#This Row],[Month]]&lt;4,1,IF(calendar[[#This Row],[Month]]&lt;7,2,IF(calendar[[#This Row],[Month]]&lt;10,3,4)))</f>
        <v>2</v>
      </c>
      <c r="L4160">
        <f>IFERROR(IF(VLOOKUP(calendar[[#This Row],[Date]],BH!A:A,1,)&lt;&gt;"",1,0),0)</f>
        <v>0</v>
      </c>
      <c r="M4160">
        <f>IFERROR(IF(VLOOKUP(calendar[[#This Row],[Date]],BH!C:C,1,)&lt;&gt;"",1,0),0)</f>
        <v>0</v>
      </c>
      <c r="N4160">
        <f>IFERROR(IF(VLOOKUP(calendar[[#This Row],[Date]],BH!E:E,1,)&lt;&gt;"",1,0),0)</f>
        <v>0</v>
      </c>
      <c r="O4160">
        <f>IFERROR(IF(VLOOKUP(calendar[[#This Row],[Date]],BH!G:G,1,)&lt;&gt;"",1,0),0)</f>
        <v>0</v>
      </c>
      <c r="P4160">
        <f>IF(OR(calendar[[#This Row],[UK_BH]]=1,calendar[[#This Row],[WeekDay]]=1, calendar[[#This Row],[WeekDay]]=7),P4159,P4159+1)</f>
        <v>2946</v>
      </c>
      <c r="Q4160">
        <f>IF(OR(calendar[[#This Row],[FR_BH]]=1,calendar[[#This Row],[WeekDay]]=1, calendar[[#This Row],[WeekDay]]=7),P4159,P4159+1)</f>
        <v>2946</v>
      </c>
      <c r="R4160">
        <f>IF(OR(calendar[[#This Row],[SP_BH]]=1,calendar[[#This Row],[WeekDay]]=1, calendar[[#This Row],[WeekDay]]=7),P4159,P4159+1)</f>
        <v>2946</v>
      </c>
      <c r="S4160">
        <f>IF(OR(calendar[[#This Row],[PT_BH]]=1,calendar[[#This Row],[WeekDay]]=1, calendar[[#This Row],[WeekDay]]=7),P4159,P4159+1)</f>
        <v>2946</v>
      </c>
    </row>
    <row r="4161" spans="1:19" x14ac:dyDescent="0.25">
      <c r="A4161" s="2">
        <v>46895</v>
      </c>
      <c r="B4161" s="1">
        <f t="shared" si="326"/>
        <v>22</v>
      </c>
      <c r="C4161">
        <f t="shared" si="327"/>
        <v>5</v>
      </c>
      <c r="D4161" t="str">
        <f t="shared" si="328"/>
        <v>May</v>
      </c>
      <c r="E4161">
        <f t="shared" si="329"/>
        <v>2028</v>
      </c>
      <c r="F4161" t="str">
        <f>CONCATENATE(calendar[[#This Row],[Month]],"/",calendar[[#This Row],[Year]])</f>
        <v>5/2028</v>
      </c>
      <c r="G4161">
        <f>WEEKDAY(calendar[[#This Row],[Date]],1)</f>
        <v>2</v>
      </c>
      <c r="H4161" t="str">
        <f>TEXT(calendar[[#This Row],[WeekDay]],"dddd")</f>
        <v>Monday</v>
      </c>
      <c r="I4161">
        <f>IF((INT(calendar[[#This Row],[Count]]/7)-calendar[[#This Row],[Count]]/7)&lt;0,I4160,I4160+1)</f>
        <v>595</v>
      </c>
      <c r="J4161">
        <f t="shared" si="330"/>
        <v>4159</v>
      </c>
      <c r="K4161">
        <f>IF(calendar[[#This Row],[Month]]&lt;4,1,IF(calendar[[#This Row],[Month]]&lt;7,2,IF(calendar[[#This Row],[Month]]&lt;10,3,4)))</f>
        <v>2</v>
      </c>
      <c r="L4161">
        <f>IFERROR(IF(VLOOKUP(calendar[[#This Row],[Date]],BH!A:A,1,)&lt;&gt;"",1,0),0)</f>
        <v>0</v>
      </c>
      <c r="M4161">
        <f>IFERROR(IF(VLOOKUP(calendar[[#This Row],[Date]],BH!C:C,1,)&lt;&gt;"",1,0),0)</f>
        <v>0</v>
      </c>
      <c r="N4161">
        <f>IFERROR(IF(VLOOKUP(calendar[[#This Row],[Date]],BH!E:E,1,)&lt;&gt;"",1,0),0)</f>
        <v>0</v>
      </c>
      <c r="O4161">
        <f>IFERROR(IF(VLOOKUP(calendar[[#This Row],[Date]],BH!G:G,1,)&lt;&gt;"",1,0),0)</f>
        <v>0</v>
      </c>
      <c r="P4161">
        <f>IF(OR(calendar[[#This Row],[UK_BH]]=1,calendar[[#This Row],[WeekDay]]=1, calendar[[#This Row],[WeekDay]]=7),P4160,P4160+1)</f>
        <v>2947</v>
      </c>
      <c r="Q4161">
        <f>IF(OR(calendar[[#This Row],[FR_BH]]=1,calendar[[#This Row],[WeekDay]]=1, calendar[[#This Row],[WeekDay]]=7),P4160,P4160+1)</f>
        <v>2947</v>
      </c>
      <c r="R4161">
        <f>IF(OR(calendar[[#This Row],[SP_BH]]=1,calendar[[#This Row],[WeekDay]]=1, calendar[[#This Row],[WeekDay]]=7),P4160,P4160+1)</f>
        <v>2947</v>
      </c>
      <c r="S4161">
        <f>IF(OR(calendar[[#This Row],[PT_BH]]=1,calendar[[#This Row],[WeekDay]]=1, calendar[[#This Row],[WeekDay]]=7),P4160,P4160+1)</f>
        <v>2947</v>
      </c>
    </row>
    <row r="4162" spans="1:19" x14ac:dyDescent="0.25">
      <c r="A4162" s="2">
        <v>46896</v>
      </c>
      <c r="B4162" s="1">
        <f t="shared" ref="B4162:B4225" si="331">WEEKNUM(A4162)</f>
        <v>22</v>
      </c>
      <c r="C4162">
        <f t="shared" si="327"/>
        <v>5</v>
      </c>
      <c r="D4162" t="str">
        <f t="shared" si="328"/>
        <v>May</v>
      </c>
      <c r="E4162">
        <f t="shared" si="329"/>
        <v>2028</v>
      </c>
      <c r="F4162" t="str">
        <f>CONCATENATE(calendar[[#This Row],[Month]],"/",calendar[[#This Row],[Year]])</f>
        <v>5/2028</v>
      </c>
      <c r="G4162">
        <f>WEEKDAY(calendar[[#This Row],[Date]],1)</f>
        <v>3</v>
      </c>
      <c r="H4162" t="str">
        <f>TEXT(calendar[[#This Row],[WeekDay]],"dddd")</f>
        <v>Tuesday</v>
      </c>
      <c r="I4162">
        <f>IF((INT(calendar[[#This Row],[Count]]/7)-calendar[[#This Row],[Count]]/7)&lt;0,I4161,I4161+1)</f>
        <v>595</v>
      </c>
      <c r="J4162">
        <f t="shared" si="330"/>
        <v>4160</v>
      </c>
      <c r="K4162">
        <f>IF(calendar[[#This Row],[Month]]&lt;4,1,IF(calendar[[#This Row],[Month]]&lt;7,2,IF(calendar[[#This Row],[Month]]&lt;10,3,4)))</f>
        <v>2</v>
      </c>
      <c r="L4162">
        <f>IFERROR(IF(VLOOKUP(calendar[[#This Row],[Date]],BH!A:A,1,)&lt;&gt;"",1,0),0)</f>
        <v>0</v>
      </c>
      <c r="M4162">
        <f>IFERROR(IF(VLOOKUP(calendar[[#This Row],[Date]],BH!C:C,1,)&lt;&gt;"",1,0),0)</f>
        <v>0</v>
      </c>
      <c r="N4162">
        <f>IFERROR(IF(VLOOKUP(calendar[[#This Row],[Date]],BH!E:E,1,)&lt;&gt;"",1,0),0)</f>
        <v>0</v>
      </c>
      <c r="O4162">
        <f>IFERROR(IF(VLOOKUP(calendar[[#This Row],[Date]],BH!G:G,1,)&lt;&gt;"",1,0),0)</f>
        <v>0</v>
      </c>
      <c r="P4162">
        <f>IF(OR(calendar[[#This Row],[UK_BH]]=1,calendar[[#This Row],[WeekDay]]=1, calendar[[#This Row],[WeekDay]]=7),P4161,P4161+1)</f>
        <v>2948</v>
      </c>
      <c r="Q4162">
        <f>IF(OR(calendar[[#This Row],[FR_BH]]=1,calendar[[#This Row],[WeekDay]]=1, calendar[[#This Row],[WeekDay]]=7),P4161,P4161+1)</f>
        <v>2948</v>
      </c>
      <c r="R4162">
        <f>IF(OR(calendar[[#This Row],[SP_BH]]=1,calendar[[#This Row],[WeekDay]]=1, calendar[[#This Row],[WeekDay]]=7),P4161,P4161+1)</f>
        <v>2948</v>
      </c>
      <c r="S4162">
        <f>IF(OR(calendar[[#This Row],[PT_BH]]=1,calendar[[#This Row],[WeekDay]]=1, calendar[[#This Row],[WeekDay]]=7),P4161,P4161+1)</f>
        <v>2948</v>
      </c>
    </row>
    <row r="4163" spans="1:19" x14ac:dyDescent="0.25">
      <c r="A4163" s="2">
        <v>46897</v>
      </c>
      <c r="B4163" s="1">
        <f t="shared" si="331"/>
        <v>22</v>
      </c>
      <c r="C4163">
        <f t="shared" ref="C4163:C4226" si="332">MONTH(A4163)</f>
        <v>5</v>
      </c>
      <c r="D4163" t="str">
        <f t="shared" ref="D4163:D4226" si="333">TEXT(A4163,"mmmm")</f>
        <v>May</v>
      </c>
      <c r="E4163">
        <f t="shared" ref="E4163:E4226" si="334">YEAR(A4163)</f>
        <v>2028</v>
      </c>
      <c r="F4163" t="str">
        <f>CONCATENATE(calendar[[#This Row],[Month]],"/",calendar[[#This Row],[Year]])</f>
        <v>5/2028</v>
      </c>
      <c r="G4163">
        <f>WEEKDAY(calendar[[#This Row],[Date]],1)</f>
        <v>4</v>
      </c>
      <c r="H4163" t="str">
        <f>TEXT(calendar[[#This Row],[WeekDay]],"dddd")</f>
        <v>Wednesday</v>
      </c>
      <c r="I4163">
        <f>IF((INT(calendar[[#This Row],[Count]]/7)-calendar[[#This Row],[Count]]/7)&lt;0,I4162,I4162+1)</f>
        <v>595</v>
      </c>
      <c r="J4163">
        <f t="shared" ref="J4163:J4226" si="335">J4162+1</f>
        <v>4161</v>
      </c>
      <c r="K4163">
        <f>IF(calendar[[#This Row],[Month]]&lt;4,1,IF(calendar[[#This Row],[Month]]&lt;7,2,IF(calendar[[#This Row],[Month]]&lt;10,3,4)))</f>
        <v>2</v>
      </c>
      <c r="L4163">
        <f>IFERROR(IF(VLOOKUP(calendar[[#This Row],[Date]],BH!A:A,1,)&lt;&gt;"",1,0),0)</f>
        <v>0</v>
      </c>
      <c r="M4163">
        <f>IFERROR(IF(VLOOKUP(calendar[[#This Row],[Date]],BH!C:C,1,)&lt;&gt;"",1,0),0)</f>
        <v>0</v>
      </c>
      <c r="N4163">
        <f>IFERROR(IF(VLOOKUP(calendar[[#This Row],[Date]],BH!E:E,1,)&lt;&gt;"",1,0),0)</f>
        <v>0</v>
      </c>
      <c r="O4163">
        <f>IFERROR(IF(VLOOKUP(calendar[[#This Row],[Date]],BH!G:G,1,)&lt;&gt;"",1,0),0)</f>
        <v>0</v>
      </c>
      <c r="P4163">
        <f>IF(OR(calendar[[#This Row],[UK_BH]]=1,calendar[[#This Row],[WeekDay]]=1, calendar[[#This Row],[WeekDay]]=7),P4162,P4162+1)</f>
        <v>2949</v>
      </c>
      <c r="Q4163">
        <f>IF(OR(calendar[[#This Row],[FR_BH]]=1,calendar[[#This Row],[WeekDay]]=1, calendar[[#This Row],[WeekDay]]=7),P4162,P4162+1)</f>
        <v>2949</v>
      </c>
      <c r="R4163">
        <f>IF(OR(calendar[[#This Row],[SP_BH]]=1,calendar[[#This Row],[WeekDay]]=1, calendar[[#This Row],[WeekDay]]=7),P4162,P4162+1)</f>
        <v>2949</v>
      </c>
      <c r="S4163">
        <f>IF(OR(calendar[[#This Row],[PT_BH]]=1,calendar[[#This Row],[WeekDay]]=1, calendar[[#This Row],[WeekDay]]=7),P4162,P4162+1)</f>
        <v>2949</v>
      </c>
    </row>
    <row r="4164" spans="1:19" x14ac:dyDescent="0.25">
      <c r="A4164" s="2">
        <v>46898</v>
      </c>
      <c r="B4164" s="1">
        <f t="shared" si="331"/>
        <v>22</v>
      </c>
      <c r="C4164">
        <f t="shared" si="332"/>
        <v>5</v>
      </c>
      <c r="D4164" t="str">
        <f t="shared" si="333"/>
        <v>May</v>
      </c>
      <c r="E4164">
        <f t="shared" si="334"/>
        <v>2028</v>
      </c>
      <c r="F4164" t="str">
        <f>CONCATENATE(calendar[[#This Row],[Month]],"/",calendar[[#This Row],[Year]])</f>
        <v>5/2028</v>
      </c>
      <c r="G4164">
        <f>WEEKDAY(calendar[[#This Row],[Date]],1)</f>
        <v>5</v>
      </c>
      <c r="H4164" t="str">
        <f>TEXT(calendar[[#This Row],[WeekDay]],"dddd")</f>
        <v>Thursday</v>
      </c>
      <c r="I4164">
        <f>IF((INT(calendar[[#This Row],[Count]]/7)-calendar[[#This Row],[Count]]/7)&lt;0,I4163,I4163+1)</f>
        <v>595</v>
      </c>
      <c r="J4164">
        <f t="shared" si="335"/>
        <v>4162</v>
      </c>
      <c r="K4164">
        <f>IF(calendar[[#This Row],[Month]]&lt;4,1,IF(calendar[[#This Row],[Month]]&lt;7,2,IF(calendar[[#This Row],[Month]]&lt;10,3,4)))</f>
        <v>2</v>
      </c>
      <c r="L4164">
        <f>IFERROR(IF(VLOOKUP(calendar[[#This Row],[Date]],BH!A:A,1,)&lt;&gt;"",1,0),0)</f>
        <v>0</v>
      </c>
      <c r="M4164">
        <f>IFERROR(IF(VLOOKUP(calendar[[#This Row],[Date]],BH!C:C,1,)&lt;&gt;"",1,0),0)</f>
        <v>0</v>
      </c>
      <c r="N4164">
        <f>IFERROR(IF(VLOOKUP(calendar[[#This Row],[Date]],BH!E:E,1,)&lt;&gt;"",1,0),0)</f>
        <v>0</v>
      </c>
      <c r="O4164">
        <f>IFERROR(IF(VLOOKUP(calendar[[#This Row],[Date]],BH!G:G,1,)&lt;&gt;"",1,0),0)</f>
        <v>0</v>
      </c>
      <c r="P4164">
        <f>IF(OR(calendar[[#This Row],[UK_BH]]=1,calendar[[#This Row],[WeekDay]]=1, calendar[[#This Row],[WeekDay]]=7),P4163,P4163+1)</f>
        <v>2950</v>
      </c>
      <c r="Q4164">
        <f>IF(OR(calendar[[#This Row],[FR_BH]]=1,calendar[[#This Row],[WeekDay]]=1, calendar[[#This Row],[WeekDay]]=7),P4163,P4163+1)</f>
        <v>2950</v>
      </c>
      <c r="R4164">
        <f>IF(OR(calendar[[#This Row],[SP_BH]]=1,calendar[[#This Row],[WeekDay]]=1, calendar[[#This Row],[WeekDay]]=7),P4163,P4163+1)</f>
        <v>2950</v>
      </c>
      <c r="S4164">
        <f>IF(OR(calendar[[#This Row],[PT_BH]]=1,calendar[[#This Row],[WeekDay]]=1, calendar[[#This Row],[WeekDay]]=7),P4163,P4163+1)</f>
        <v>2950</v>
      </c>
    </row>
    <row r="4165" spans="1:19" x14ac:dyDescent="0.25">
      <c r="A4165" s="2">
        <v>46899</v>
      </c>
      <c r="B4165" s="1">
        <f t="shared" si="331"/>
        <v>22</v>
      </c>
      <c r="C4165">
        <f t="shared" si="332"/>
        <v>5</v>
      </c>
      <c r="D4165" t="str">
        <f t="shared" si="333"/>
        <v>May</v>
      </c>
      <c r="E4165">
        <f t="shared" si="334"/>
        <v>2028</v>
      </c>
      <c r="F4165" t="str">
        <f>CONCATENATE(calendar[[#This Row],[Month]],"/",calendar[[#This Row],[Year]])</f>
        <v>5/2028</v>
      </c>
      <c r="G4165">
        <f>WEEKDAY(calendar[[#This Row],[Date]],1)</f>
        <v>6</v>
      </c>
      <c r="H4165" t="str">
        <f>TEXT(calendar[[#This Row],[WeekDay]],"dddd")</f>
        <v>Friday</v>
      </c>
      <c r="I4165">
        <f>IF((INT(calendar[[#This Row],[Count]]/7)-calendar[[#This Row],[Count]]/7)&lt;0,I4164,I4164+1)</f>
        <v>595</v>
      </c>
      <c r="J4165">
        <f t="shared" si="335"/>
        <v>4163</v>
      </c>
      <c r="K4165">
        <f>IF(calendar[[#This Row],[Month]]&lt;4,1,IF(calendar[[#This Row],[Month]]&lt;7,2,IF(calendar[[#This Row],[Month]]&lt;10,3,4)))</f>
        <v>2</v>
      </c>
      <c r="L4165">
        <f>IFERROR(IF(VLOOKUP(calendar[[#This Row],[Date]],BH!A:A,1,)&lt;&gt;"",1,0),0)</f>
        <v>0</v>
      </c>
      <c r="M4165">
        <f>IFERROR(IF(VLOOKUP(calendar[[#This Row],[Date]],BH!C:C,1,)&lt;&gt;"",1,0),0)</f>
        <v>0</v>
      </c>
      <c r="N4165">
        <f>IFERROR(IF(VLOOKUP(calendar[[#This Row],[Date]],BH!E:E,1,)&lt;&gt;"",1,0),0)</f>
        <v>0</v>
      </c>
      <c r="O4165">
        <f>IFERROR(IF(VLOOKUP(calendar[[#This Row],[Date]],BH!G:G,1,)&lt;&gt;"",1,0),0)</f>
        <v>0</v>
      </c>
      <c r="P4165">
        <f>IF(OR(calendar[[#This Row],[UK_BH]]=1,calendar[[#This Row],[WeekDay]]=1, calendar[[#This Row],[WeekDay]]=7),P4164,P4164+1)</f>
        <v>2951</v>
      </c>
      <c r="Q4165">
        <f>IF(OR(calendar[[#This Row],[FR_BH]]=1,calendar[[#This Row],[WeekDay]]=1, calendar[[#This Row],[WeekDay]]=7),P4164,P4164+1)</f>
        <v>2951</v>
      </c>
      <c r="R4165">
        <f>IF(OR(calendar[[#This Row],[SP_BH]]=1,calendar[[#This Row],[WeekDay]]=1, calendar[[#This Row],[WeekDay]]=7),P4164,P4164+1)</f>
        <v>2951</v>
      </c>
      <c r="S4165">
        <f>IF(OR(calendar[[#This Row],[PT_BH]]=1,calendar[[#This Row],[WeekDay]]=1, calendar[[#This Row],[WeekDay]]=7),P4164,P4164+1)</f>
        <v>2951</v>
      </c>
    </row>
    <row r="4166" spans="1:19" x14ac:dyDescent="0.25">
      <c r="A4166" s="2">
        <v>46900</v>
      </c>
      <c r="B4166" s="1">
        <f t="shared" si="331"/>
        <v>22</v>
      </c>
      <c r="C4166">
        <f t="shared" si="332"/>
        <v>5</v>
      </c>
      <c r="D4166" t="str">
        <f t="shared" si="333"/>
        <v>May</v>
      </c>
      <c r="E4166">
        <f t="shared" si="334"/>
        <v>2028</v>
      </c>
      <c r="F4166" t="str">
        <f>CONCATENATE(calendar[[#This Row],[Month]],"/",calendar[[#This Row],[Year]])</f>
        <v>5/2028</v>
      </c>
      <c r="G4166">
        <f>WEEKDAY(calendar[[#This Row],[Date]],1)</f>
        <v>7</v>
      </c>
      <c r="H4166" t="str">
        <f>TEXT(calendar[[#This Row],[WeekDay]],"dddd")</f>
        <v>Saturday</v>
      </c>
      <c r="I4166">
        <f>IF((INT(calendar[[#This Row],[Count]]/7)-calendar[[#This Row],[Count]]/7)&lt;0,I4165,I4165+1)</f>
        <v>595</v>
      </c>
      <c r="J4166">
        <f t="shared" si="335"/>
        <v>4164</v>
      </c>
      <c r="K4166">
        <f>IF(calendar[[#This Row],[Month]]&lt;4,1,IF(calendar[[#This Row],[Month]]&lt;7,2,IF(calendar[[#This Row],[Month]]&lt;10,3,4)))</f>
        <v>2</v>
      </c>
      <c r="L4166">
        <f>IFERROR(IF(VLOOKUP(calendar[[#This Row],[Date]],BH!A:A,1,)&lt;&gt;"",1,0),0)</f>
        <v>0</v>
      </c>
      <c r="M4166">
        <f>IFERROR(IF(VLOOKUP(calendar[[#This Row],[Date]],BH!C:C,1,)&lt;&gt;"",1,0),0)</f>
        <v>0</v>
      </c>
      <c r="N4166">
        <f>IFERROR(IF(VLOOKUP(calendar[[#This Row],[Date]],BH!E:E,1,)&lt;&gt;"",1,0),0)</f>
        <v>0</v>
      </c>
      <c r="O4166">
        <f>IFERROR(IF(VLOOKUP(calendar[[#This Row],[Date]],BH!G:G,1,)&lt;&gt;"",1,0),0)</f>
        <v>0</v>
      </c>
      <c r="P4166">
        <f>IF(OR(calendar[[#This Row],[UK_BH]]=1,calendar[[#This Row],[WeekDay]]=1, calendar[[#This Row],[WeekDay]]=7),P4165,P4165+1)</f>
        <v>2951</v>
      </c>
      <c r="Q4166">
        <f>IF(OR(calendar[[#This Row],[FR_BH]]=1,calendar[[#This Row],[WeekDay]]=1, calendar[[#This Row],[WeekDay]]=7),P4165,P4165+1)</f>
        <v>2951</v>
      </c>
      <c r="R4166">
        <f>IF(OR(calendar[[#This Row],[SP_BH]]=1,calendar[[#This Row],[WeekDay]]=1, calendar[[#This Row],[WeekDay]]=7),P4165,P4165+1)</f>
        <v>2951</v>
      </c>
      <c r="S4166">
        <f>IF(OR(calendar[[#This Row],[PT_BH]]=1,calendar[[#This Row],[WeekDay]]=1, calendar[[#This Row],[WeekDay]]=7),P4165,P4165+1)</f>
        <v>2951</v>
      </c>
    </row>
    <row r="4167" spans="1:19" x14ac:dyDescent="0.25">
      <c r="A4167" s="2">
        <v>46901</v>
      </c>
      <c r="B4167" s="1">
        <f t="shared" si="331"/>
        <v>23</v>
      </c>
      <c r="C4167">
        <f t="shared" si="332"/>
        <v>5</v>
      </c>
      <c r="D4167" t="str">
        <f t="shared" si="333"/>
        <v>May</v>
      </c>
      <c r="E4167">
        <f t="shared" si="334"/>
        <v>2028</v>
      </c>
      <c r="F4167" t="str">
        <f>CONCATENATE(calendar[[#This Row],[Month]],"/",calendar[[#This Row],[Year]])</f>
        <v>5/2028</v>
      </c>
      <c r="G4167">
        <f>WEEKDAY(calendar[[#This Row],[Date]],1)</f>
        <v>1</v>
      </c>
      <c r="H4167" t="str">
        <f>TEXT(calendar[[#This Row],[WeekDay]],"dddd")</f>
        <v>Sunday</v>
      </c>
      <c r="I4167">
        <f>IF((INT(calendar[[#This Row],[Count]]/7)-calendar[[#This Row],[Count]]/7)&lt;0,I4166,I4166+1)</f>
        <v>596</v>
      </c>
      <c r="J4167">
        <f t="shared" si="335"/>
        <v>4165</v>
      </c>
      <c r="K4167">
        <f>IF(calendar[[#This Row],[Month]]&lt;4,1,IF(calendar[[#This Row],[Month]]&lt;7,2,IF(calendar[[#This Row],[Month]]&lt;10,3,4)))</f>
        <v>2</v>
      </c>
      <c r="L4167">
        <f>IFERROR(IF(VLOOKUP(calendar[[#This Row],[Date]],BH!A:A,1,)&lt;&gt;"",1,0),0)</f>
        <v>0</v>
      </c>
      <c r="M4167">
        <f>IFERROR(IF(VLOOKUP(calendar[[#This Row],[Date]],BH!C:C,1,)&lt;&gt;"",1,0),0)</f>
        <v>0</v>
      </c>
      <c r="N4167">
        <f>IFERROR(IF(VLOOKUP(calendar[[#This Row],[Date]],BH!E:E,1,)&lt;&gt;"",1,0),0)</f>
        <v>0</v>
      </c>
      <c r="O4167">
        <f>IFERROR(IF(VLOOKUP(calendar[[#This Row],[Date]],BH!G:G,1,)&lt;&gt;"",1,0),0)</f>
        <v>0</v>
      </c>
      <c r="P4167">
        <f>IF(OR(calendar[[#This Row],[UK_BH]]=1,calendar[[#This Row],[WeekDay]]=1, calendar[[#This Row],[WeekDay]]=7),P4166,P4166+1)</f>
        <v>2951</v>
      </c>
      <c r="Q4167">
        <f>IF(OR(calendar[[#This Row],[FR_BH]]=1,calendar[[#This Row],[WeekDay]]=1, calendar[[#This Row],[WeekDay]]=7),P4166,P4166+1)</f>
        <v>2951</v>
      </c>
      <c r="R4167">
        <f>IF(OR(calendar[[#This Row],[SP_BH]]=1,calendar[[#This Row],[WeekDay]]=1, calendar[[#This Row],[WeekDay]]=7),P4166,P4166+1)</f>
        <v>2951</v>
      </c>
      <c r="S4167">
        <f>IF(OR(calendar[[#This Row],[PT_BH]]=1,calendar[[#This Row],[WeekDay]]=1, calendar[[#This Row],[WeekDay]]=7),P4166,P4166+1)</f>
        <v>2951</v>
      </c>
    </row>
    <row r="4168" spans="1:19" x14ac:dyDescent="0.25">
      <c r="A4168" s="2">
        <v>46902</v>
      </c>
      <c r="B4168" s="1">
        <f t="shared" si="331"/>
        <v>23</v>
      </c>
      <c r="C4168">
        <f t="shared" si="332"/>
        <v>5</v>
      </c>
      <c r="D4168" t="str">
        <f t="shared" si="333"/>
        <v>May</v>
      </c>
      <c r="E4168">
        <f t="shared" si="334"/>
        <v>2028</v>
      </c>
      <c r="F4168" t="str">
        <f>CONCATENATE(calendar[[#This Row],[Month]],"/",calendar[[#This Row],[Year]])</f>
        <v>5/2028</v>
      </c>
      <c r="G4168">
        <f>WEEKDAY(calendar[[#This Row],[Date]],1)</f>
        <v>2</v>
      </c>
      <c r="H4168" t="str">
        <f>TEXT(calendar[[#This Row],[WeekDay]],"dddd")</f>
        <v>Monday</v>
      </c>
      <c r="I4168">
        <f>IF((INT(calendar[[#This Row],[Count]]/7)-calendar[[#This Row],[Count]]/7)&lt;0,I4167,I4167+1)</f>
        <v>596</v>
      </c>
      <c r="J4168">
        <f t="shared" si="335"/>
        <v>4166</v>
      </c>
      <c r="K4168">
        <f>IF(calendar[[#This Row],[Month]]&lt;4,1,IF(calendar[[#This Row],[Month]]&lt;7,2,IF(calendar[[#This Row],[Month]]&lt;10,3,4)))</f>
        <v>2</v>
      </c>
      <c r="L4168">
        <f>IFERROR(IF(VLOOKUP(calendar[[#This Row],[Date]],BH!A:A,1,)&lt;&gt;"",1,0),0)</f>
        <v>0</v>
      </c>
      <c r="M4168">
        <f>IFERROR(IF(VLOOKUP(calendar[[#This Row],[Date]],BH!C:C,1,)&lt;&gt;"",1,0),0)</f>
        <v>0</v>
      </c>
      <c r="N4168">
        <f>IFERROR(IF(VLOOKUP(calendar[[#This Row],[Date]],BH!E:E,1,)&lt;&gt;"",1,0),0)</f>
        <v>0</v>
      </c>
      <c r="O4168">
        <f>IFERROR(IF(VLOOKUP(calendar[[#This Row],[Date]],BH!G:G,1,)&lt;&gt;"",1,0),0)</f>
        <v>0</v>
      </c>
      <c r="P4168">
        <f>IF(OR(calendar[[#This Row],[UK_BH]]=1,calendar[[#This Row],[WeekDay]]=1, calendar[[#This Row],[WeekDay]]=7),P4167,P4167+1)</f>
        <v>2952</v>
      </c>
      <c r="Q4168">
        <f>IF(OR(calendar[[#This Row],[FR_BH]]=1,calendar[[#This Row],[WeekDay]]=1, calendar[[#This Row],[WeekDay]]=7),P4167,P4167+1)</f>
        <v>2952</v>
      </c>
      <c r="R4168">
        <f>IF(OR(calendar[[#This Row],[SP_BH]]=1,calendar[[#This Row],[WeekDay]]=1, calendar[[#This Row],[WeekDay]]=7),P4167,P4167+1)</f>
        <v>2952</v>
      </c>
      <c r="S4168">
        <f>IF(OR(calendar[[#This Row],[PT_BH]]=1,calendar[[#This Row],[WeekDay]]=1, calendar[[#This Row],[WeekDay]]=7),P4167,P4167+1)</f>
        <v>2952</v>
      </c>
    </row>
    <row r="4169" spans="1:19" x14ac:dyDescent="0.25">
      <c r="A4169" s="2">
        <v>46903</v>
      </c>
      <c r="B4169" s="1">
        <f t="shared" si="331"/>
        <v>23</v>
      </c>
      <c r="C4169">
        <f t="shared" si="332"/>
        <v>5</v>
      </c>
      <c r="D4169" t="str">
        <f t="shared" si="333"/>
        <v>May</v>
      </c>
      <c r="E4169">
        <f t="shared" si="334"/>
        <v>2028</v>
      </c>
      <c r="F4169" t="str">
        <f>CONCATENATE(calendar[[#This Row],[Month]],"/",calendar[[#This Row],[Year]])</f>
        <v>5/2028</v>
      </c>
      <c r="G4169">
        <f>WEEKDAY(calendar[[#This Row],[Date]],1)</f>
        <v>3</v>
      </c>
      <c r="H4169" t="str">
        <f>TEXT(calendar[[#This Row],[WeekDay]],"dddd")</f>
        <v>Tuesday</v>
      </c>
      <c r="I4169">
        <f>IF((INT(calendar[[#This Row],[Count]]/7)-calendar[[#This Row],[Count]]/7)&lt;0,I4168,I4168+1)</f>
        <v>596</v>
      </c>
      <c r="J4169">
        <f t="shared" si="335"/>
        <v>4167</v>
      </c>
      <c r="K4169">
        <f>IF(calendar[[#This Row],[Month]]&lt;4,1,IF(calendar[[#This Row],[Month]]&lt;7,2,IF(calendar[[#This Row],[Month]]&lt;10,3,4)))</f>
        <v>2</v>
      </c>
      <c r="L4169">
        <f>IFERROR(IF(VLOOKUP(calendar[[#This Row],[Date]],BH!A:A,1,)&lt;&gt;"",1,0),0)</f>
        <v>0</v>
      </c>
      <c r="M4169">
        <f>IFERROR(IF(VLOOKUP(calendar[[#This Row],[Date]],BH!C:C,1,)&lt;&gt;"",1,0),0)</f>
        <v>0</v>
      </c>
      <c r="N4169">
        <f>IFERROR(IF(VLOOKUP(calendar[[#This Row],[Date]],BH!E:E,1,)&lt;&gt;"",1,0),0)</f>
        <v>0</v>
      </c>
      <c r="O4169">
        <f>IFERROR(IF(VLOOKUP(calendar[[#This Row],[Date]],BH!G:G,1,)&lt;&gt;"",1,0),0)</f>
        <v>0</v>
      </c>
      <c r="P4169">
        <f>IF(OR(calendar[[#This Row],[UK_BH]]=1,calendar[[#This Row],[WeekDay]]=1, calendar[[#This Row],[WeekDay]]=7),P4168,P4168+1)</f>
        <v>2953</v>
      </c>
      <c r="Q4169">
        <f>IF(OR(calendar[[#This Row],[FR_BH]]=1,calendar[[#This Row],[WeekDay]]=1, calendar[[#This Row],[WeekDay]]=7),P4168,P4168+1)</f>
        <v>2953</v>
      </c>
      <c r="R4169">
        <f>IF(OR(calendar[[#This Row],[SP_BH]]=1,calendar[[#This Row],[WeekDay]]=1, calendar[[#This Row],[WeekDay]]=7),P4168,P4168+1)</f>
        <v>2953</v>
      </c>
      <c r="S4169">
        <f>IF(OR(calendar[[#This Row],[PT_BH]]=1,calendar[[#This Row],[WeekDay]]=1, calendar[[#This Row],[WeekDay]]=7),P4168,P4168+1)</f>
        <v>2953</v>
      </c>
    </row>
    <row r="4170" spans="1:19" x14ac:dyDescent="0.25">
      <c r="A4170" s="2">
        <v>46904</v>
      </c>
      <c r="B4170" s="1">
        <f t="shared" si="331"/>
        <v>23</v>
      </c>
      <c r="C4170">
        <f t="shared" si="332"/>
        <v>5</v>
      </c>
      <c r="D4170" t="str">
        <f t="shared" si="333"/>
        <v>May</v>
      </c>
      <c r="E4170">
        <f t="shared" si="334"/>
        <v>2028</v>
      </c>
      <c r="F4170" t="str">
        <f>CONCATENATE(calendar[[#This Row],[Month]],"/",calendar[[#This Row],[Year]])</f>
        <v>5/2028</v>
      </c>
      <c r="G4170">
        <f>WEEKDAY(calendar[[#This Row],[Date]],1)</f>
        <v>4</v>
      </c>
      <c r="H4170" t="str">
        <f>TEXT(calendar[[#This Row],[WeekDay]],"dddd")</f>
        <v>Wednesday</v>
      </c>
      <c r="I4170">
        <f>IF((INT(calendar[[#This Row],[Count]]/7)-calendar[[#This Row],[Count]]/7)&lt;0,I4169,I4169+1)</f>
        <v>596</v>
      </c>
      <c r="J4170">
        <f t="shared" si="335"/>
        <v>4168</v>
      </c>
      <c r="K4170">
        <f>IF(calendar[[#This Row],[Month]]&lt;4,1,IF(calendar[[#This Row],[Month]]&lt;7,2,IF(calendar[[#This Row],[Month]]&lt;10,3,4)))</f>
        <v>2</v>
      </c>
      <c r="L4170">
        <f>IFERROR(IF(VLOOKUP(calendar[[#This Row],[Date]],BH!A:A,1,)&lt;&gt;"",1,0),0)</f>
        <v>0</v>
      </c>
      <c r="M4170">
        <f>IFERROR(IF(VLOOKUP(calendar[[#This Row],[Date]],BH!C:C,1,)&lt;&gt;"",1,0),0)</f>
        <v>0</v>
      </c>
      <c r="N4170">
        <f>IFERROR(IF(VLOOKUP(calendar[[#This Row],[Date]],BH!E:E,1,)&lt;&gt;"",1,0),0)</f>
        <v>0</v>
      </c>
      <c r="O4170">
        <f>IFERROR(IF(VLOOKUP(calendar[[#This Row],[Date]],BH!G:G,1,)&lt;&gt;"",1,0),0)</f>
        <v>0</v>
      </c>
      <c r="P4170">
        <f>IF(OR(calendar[[#This Row],[UK_BH]]=1,calendar[[#This Row],[WeekDay]]=1, calendar[[#This Row],[WeekDay]]=7),P4169,P4169+1)</f>
        <v>2954</v>
      </c>
      <c r="Q4170">
        <f>IF(OR(calendar[[#This Row],[FR_BH]]=1,calendar[[#This Row],[WeekDay]]=1, calendar[[#This Row],[WeekDay]]=7),P4169,P4169+1)</f>
        <v>2954</v>
      </c>
      <c r="R4170">
        <f>IF(OR(calendar[[#This Row],[SP_BH]]=1,calendar[[#This Row],[WeekDay]]=1, calendar[[#This Row],[WeekDay]]=7),P4169,P4169+1)</f>
        <v>2954</v>
      </c>
      <c r="S4170">
        <f>IF(OR(calendar[[#This Row],[PT_BH]]=1,calendar[[#This Row],[WeekDay]]=1, calendar[[#This Row],[WeekDay]]=7),P4169,P4169+1)</f>
        <v>2954</v>
      </c>
    </row>
    <row r="4171" spans="1:19" x14ac:dyDescent="0.25">
      <c r="A4171" s="2">
        <v>46905</v>
      </c>
      <c r="B4171" s="1">
        <f t="shared" si="331"/>
        <v>23</v>
      </c>
      <c r="C4171">
        <f t="shared" si="332"/>
        <v>6</v>
      </c>
      <c r="D4171" t="str">
        <f t="shared" si="333"/>
        <v>June</v>
      </c>
      <c r="E4171">
        <f t="shared" si="334"/>
        <v>2028</v>
      </c>
      <c r="F4171" t="str">
        <f>CONCATENATE(calendar[[#This Row],[Month]],"/",calendar[[#This Row],[Year]])</f>
        <v>6/2028</v>
      </c>
      <c r="G4171">
        <f>WEEKDAY(calendar[[#This Row],[Date]],1)</f>
        <v>5</v>
      </c>
      <c r="H4171" t="str">
        <f>TEXT(calendar[[#This Row],[WeekDay]],"dddd")</f>
        <v>Thursday</v>
      </c>
      <c r="I4171">
        <f>IF((INT(calendar[[#This Row],[Count]]/7)-calendar[[#This Row],[Count]]/7)&lt;0,I4170,I4170+1)</f>
        <v>596</v>
      </c>
      <c r="J4171">
        <f t="shared" si="335"/>
        <v>4169</v>
      </c>
      <c r="K4171">
        <f>IF(calendar[[#This Row],[Month]]&lt;4,1,IF(calendar[[#This Row],[Month]]&lt;7,2,IF(calendar[[#This Row],[Month]]&lt;10,3,4)))</f>
        <v>2</v>
      </c>
      <c r="L4171">
        <f>IFERROR(IF(VLOOKUP(calendar[[#This Row],[Date]],BH!A:A,1,)&lt;&gt;"",1,0),0)</f>
        <v>0</v>
      </c>
      <c r="M4171">
        <f>IFERROR(IF(VLOOKUP(calendar[[#This Row],[Date]],BH!C:C,1,)&lt;&gt;"",1,0),0)</f>
        <v>0</v>
      </c>
      <c r="N4171">
        <f>IFERROR(IF(VLOOKUP(calendar[[#This Row],[Date]],BH!E:E,1,)&lt;&gt;"",1,0),0)</f>
        <v>0</v>
      </c>
      <c r="O4171">
        <f>IFERROR(IF(VLOOKUP(calendar[[#This Row],[Date]],BH!G:G,1,)&lt;&gt;"",1,0),0)</f>
        <v>0</v>
      </c>
      <c r="P4171">
        <f>IF(OR(calendar[[#This Row],[UK_BH]]=1,calendar[[#This Row],[WeekDay]]=1, calendar[[#This Row],[WeekDay]]=7),P4170,P4170+1)</f>
        <v>2955</v>
      </c>
      <c r="Q4171">
        <f>IF(OR(calendar[[#This Row],[FR_BH]]=1,calendar[[#This Row],[WeekDay]]=1, calendar[[#This Row],[WeekDay]]=7),P4170,P4170+1)</f>
        <v>2955</v>
      </c>
      <c r="R4171">
        <f>IF(OR(calendar[[#This Row],[SP_BH]]=1,calendar[[#This Row],[WeekDay]]=1, calendar[[#This Row],[WeekDay]]=7),P4170,P4170+1)</f>
        <v>2955</v>
      </c>
      <c r="S4171">
        <f>IF(OR(calendar[[#This Row],[PT_BH]]=1,calendar[[#This Row],[WeekDay]]=1, calendar[[#This Row],[WeekDay]]=7),P4170,P4170+1)</f>
        <v>2955</v>
      </c>
    </row>
    <row r="4172" spans="1:19" x14ac:dyDescent="0.25">
      <c r="A4172" s="2">
        <v>46906</v>
      </c>
      <c r="B4172" s="1">
        <f t="shared" si="331"/>
        <v>23</v>
      </c>
      <c r="C4172">
        <f t="shared" si="332"/>
        <v>6</v>
      </c>
      <c r="D4172" t="str">
        <f t="shared" si="333"/>
        <v>June</v>
      </c>
      <c r="E4172">
        <f t="shared" si="334"/>
        <v>2028</v>
      </c>
      <c r="F4172" t="str">
        <f>CONCATENATE(calendar[[#This Row],[Month]],"/",calendar[[#This Row],[Year]])</f>
        <v>6/2028</v>
      </c>
      <c r="G4172">
        <f>WEEKDAY(calendar[[#This Row],[Date]],1)</f>
        <v>6</v>
      </c>
      <c r="H4172" t="str">
        <f>TEXT(calendar[[#This Row],[WeekDay]],"dddd")</f>
        <v>Friday</v>
      </c>
      <c r="I4172">
        <f>IF((INT(calendar[[#This Row],[Count]]/7)-calendar[[#This Row],[Count]]/7)&lt;0,I4171,I4171+1)</f>
        <v>596</v>
      </c>
      <c r="J4172">
        <f t="shared" si="335"/>
        <v>4170</v>
      </c>
      <c r="K4172">
        <f>IF(calendar[[#This Row],[Month]]&lt;4,1,IF(calendar[[#This Row],[Month]]&lt;7,2,IF(calendar[[#This Row],[Month]]&lt;10,3,4)))</f>
        <v>2</v>
      </c>
      <c r="L4172">
        <f>IFERROR(IF(VLOOKUP(calendar[[#This Row],[Date]],BH!A:A,1,)&lt;&gt;"",1,0),0)</f>
        <v>0</v>
      </c>
      <c r="M4172">
        <f>IFERROR(IF(VLOOKUP(calendar[[#This Row],[Date]],BH!C:C,1,)&lt;&gt;"",1,0),0)</f>
        <v>0</v>
      </c>
      <c r="N4172">
        <f>IFERROR(IF(VLOOKUP(calendar[[#This Row],[Date]],BH!E:E,1,)&lt;&gt;"",1,0),0)</f>
        <v>0</v>
      </c>
      <c r="O4172">
        <f>IFERROR(IF(VLOOKUP(calendar[[#This Row],[Date]],BH!G:G,1,)&lt;&gt;"",1,0),0)</f>
        <v>0</v>
      </c>
      <c r="P4172">
        <f>IF(OR(calendar[[#This Row],[UK_BH]]=1,calendar[[#This Row],[WeekDay]]=1, calendar[[#This Row],[WeekDay]]=7),P4171,P4171+1)</f>
        <v>2956</v>
      </c>
      <c r="Q4172">
        <f>IF(OR(calendar[[#This Row],[FR_BH]]=1,calendar[[#This Row],[WeekDay]]=1, calendar[[#This Row],[WeekDay]]=7),P4171,P4171+1)</f>
        <v>2956</v>
      </c>
      <c r="R4172">
        <f>IF(OR(calendar[[#This Row],[SP_BH]]=1,calendar[[#This Row],[WeekDay]]=1, calendar[[#This Row],[WeekDay]]=7),P4171,P4171+1)</f>
        <v>2956</v>
      </c>
      <c r="S4172">
        <f>IF(OR(calendar[[#This Row],[PT_BH]]=1,calendar[[#This Row],[WeekDay]]=1, calendar[[#This Row],[WeekDay]]=7),P4171,P4171+1)</f>
        <v>2956</v>
      </c>
    </row>
    <row r="4173" spans="1:19" x14ac:dyDescent="0.25">
      <c r="A4173" s="2">
        <v>46907</v>
      </c>
      <c r="B4173" s="1">
        <f t="shared" si="331"/>
        <v>23</v>
      </c>
      <c r="C4173">
        <f t="shared" si="332"/>
        <v>6</v>
      </c>
      <c r="D4173" t="str">
        <f t="shared" si="333"/>
        <v>June</v>
      </c>
      <c r="E4173">
        <f t="shared" si="334"/>
        <v>2028</v>
      </c>
      <c r="F4173" t="str">
        <f>CONCATENATE(calendar[[#This Row],[Month]],"/",calendar[[#This Row],[Year]])</f>
        <v>6/2028</v>
      </c>
      <c r="G4173">
        <f>WEEKDAY(calendar[[#This Row],[Date]],1)</f>
        <v>7</v>
      </c>
      <c r="H4173" t="str">
        <f>TEXT(calendar[[#This Row],[WeekDay]],"dddd")</f>
        <v>Saturday</v>
      </c>
      <c r="I4173">
        <f>IF((INT(calendar[[#This Row],[Count]]/7)-calendar[[#This Row],[Count]]/7)&lt;0,I4172,I4172+1)</f>
        <v>596</v>
      </c>
      <c r="J4173">
        <f t="shared" si="335"/>
        <v>4171</v>
      </c>
      <c r="K4173">
        <f>IF(calendar[[#This Row],[Month]]&lt;4,1,IF(calendar[[#This Row],[Month]]&lt;7,2,IF(calendar[[#This Row],[Month]]&lt;10,3,4)))</f>
        <v>2</v>
      </c>
      <c r="L4173">
        <f>IFERROR(IF(VLOOKUP(calendar[[#This Row],[Date]],BH!A:A,1,)&lt;&gt;"",1,0),0)</f>
        <v>0</v>
      </c>
      <c r="M4173">
        <f>IFERROR(IF(VLOOKUP(calendar[[#This Row],[Date]],BH!C:C,1,)&lt;&gt;"",1,0),0)</f>
        <v>0</v>
      </c>
      <c r="N4173">
        <f>IFERROR(IF(VLOOKUP(calendar[[#This Row],[Date]],BH!E:E,1,)&lt;&gt;"",1,0),0)</f>
        <v>0</v>
      </c>
      <c r="O4173">
        <f>IFERROR(IF(VLOOKUP(calendar[[#This Row],[Date]],BH!G:G,1,)&lt;&gt;"",1,0),0)</f>
        <v>0</v>
      </c>
      <c r="P4173">
        <f>IF(OR(calendar[[#This Row],[UK_BH]]=1,calendar[[#This Row],[WeekDay]]=1, calendar[[#This Row],[WeekDay]]=7),P4172,P4172+1)</f>
        <v>2956</v>
      </c>
      <c r="Q4173">
        <f>IF(OR(calendar[[#This Row],[FR_BH]]=1,calendar[[#This Row],[WeekDay]]=1, calendar[[#This Row],[WeekDay]]=7),P4172,P4172+1)</f>
        <v>2956</v>
      </c>
      <c r="R4173">
        <f>IF(OR(calendar[[#This Row],[SP_BH]]=1,calendar[[#This Row],[WeekDay]]=1, calendar[[#This Row],[WeekDay]]=7),P4172,P4172+1)</f>
        <v>2956</v>
      </c>
      <c r="S4173">
        <f>IF(OR(calendar[[#This Row],[PT_BH]]=1,calendar[[#This Row],[WeekDay]]=1, calendar[[#This Row],[WeekDay]]=7),P4172,P4172+1)</f>
        <v>2956</v>
      </c>
    </row>
    <row r="4174" spans="1:19" x14ac:dyDescent="0.25">
      <c r="A4174" s="2">
        <v>46908</v>
      </c>
      <c r="B4174" s="1">
        <f t="shared" si="331"/>
        <v>24</v>
      </c>
      <c r="C4174">
        <f t="shared" si="332"/>
        <v>6</v>
      </c>
      <c r="D4174" t="str">
        <f t="shared" si="333"/>
        <v>June</v>
      </c>
      <c r="E4174">
        <f t="shared" si="334"/>
        <v>2028</v>
      </c>
      <c r="F4174" t="str">
        <f>CONCATENATE(calendar[[#This Row],[Month]],"/",calendar[[#This Row],[Year]])</f>
        <v>6/2028</v>
      </c>
      <c r="G4174">
        <f>WEEKDAY(calendar[[#This Row],[Date]],1)</f>
        <v>1</v>
      </c>
      <c r="H4174" t="str">
        <f>TEXT(calendar[[#This Row],[WeekDay]],"dddd")</f>
        <v>Sunday</v>
      </c>
      <c r="I4174">
        <f>IF((INT(calendar[[#This Row],[Count]]/7)-calendar[[#This Row],[Count]]/7)&lt;0,I4173,I4173+1)</f>
        <v>597</v>
      </c>
      <c r="J4174">
        <f t="shared" si="335"/>
        <v>4172</v>
      </c>
      <c r="K4174">
        <f>IF(calendar[[#This Row],[Month]]&lt;4,1,IF(calendar[[#This Row],[Month]]&lt;7,2,IF(calendar[[#This Row],[Month]]&lt;10,3,4)))</f>
        <v>2</v>
      </c>
      <c r="L4174">
        <f>IFERROR(IF(VLOOKUP(calendar[[#This Row],[Date]],BH!A:A,1,)&lt;&gt;"",1,0),0)</f>
        <v>0</v>
      </c>
      <c r="M4174">
        <f>IFERROR(IF(VLOOKUP(calendar[[#This Row],[Date]],BH!C:C,1,)&lt;&gt;"",1,0),0)</f>
        <v>0</v>
      </c>
      <c r="N4174">
        <f>IFERROR(IF(VLOOKUP(calendar[[#This Row],[Date]],BH!E:E,1,)&lt;&gt;"",1,0),0)</f>
        <v>0</v>
      </c>
      <c r="O4174">
        <f>IFERROR(IF(VLOOKUP(calendar[[#This Row],[Date]],BH!G:G,1,)&lt;&gt;"",1,0),0)</f>
        <v>0</v>
      </c>
      <c r="P4174">
        <f>IF(OR(calendar[[#This Row],[UK_BH]]=1,calendar[[#This Row],[WeekDay]]=1, calendar[[#This Row],[WeekDay]]=7),P4173,P4173+1)</f>
        <v>2956</v>
      </c>
      <c r="Q4174">
        <f>IF(OR(calendar[[#This Row],[FR_BH]]=1,calendar[[#This Row],[WeekDay]]=1, calendar[[#This Row],[WeekDay]]=7),P4173,P4173+1)</f>
        <v>2956</v>
      </c>
      <c r="R4174">
        <f>IF(OR(calendar[[#This Row],[SP_BH]]=1,calendar[[#This Row],[WeekDay]]=1, calendar[[#This Row],[WeekDay]]=7),P4173,P4173+1)</f>
        <v>2956</v>
      </c>
      <c r="S4174">
        <f>IF(OR(calendar[[#This Row],[PT_BH]]=1,calendar[[#This Row],[WeekDay]]=1, calendar[[#This Row],[WeekDay]]=7),P4173,P4173+1)</f>
        <v>2956</v>
      </c>
    </row>
    <row r="4175" spans="1:19" x14ac:dyDescent="0.25">
      <c r="A4175" s="2">
        <v>46909</v>
      </c>
      <c r="B4175" s="1">
        <f t="shared" si="331"/>
        <v>24</v>
      </c>
      <c r="C4175">
        <f t="shared" si="332"/>
        <v>6</v>
      </c>
      <c r="D4175" t="str">
        <f t="shared" si="333"/>
        <v>June</v>
      </c>
      <c r="E4175">
        <f t="shared" si="334"/>
        <v>2028</v>
      </c>
      <c r="F4175" t="str">
        <f>CONCATENATE(calendar[[#This Row],[Month]],"/",calendar[[#This Row],[Year]])</f>
        <v>6/2028</v>
      </c>
      <c r="G4175">
        <f>WEEKDAY(calendar[[#This Row],[Date]],1)</f>
        <v>2</v>
      </c>
      <c r="H4175" t="str">
        <f>TEXT(calendar[[#This Row],[WeekDay]],"dddd")</f>
        <v>Monday</v>
      </c>
      <c r="I4175">
        <f>IF((INT(calendar[[#This Row],[Count]]/7)-calendar[[#This Row],[Count]]/7)&lt;0,I4174,I4174+1)</f>
        <v>597</v>
      </c>
      <c r="J4175">
        <f t="shared" si="335"/>
        <v>4173</v>
      </c>
      <c r="K4175">
        <f>IF(calendar[[#This Row],[Month]]&lt;4,1,IF(calendar[[#This Row],[Month]]&lt;7,2,IF(calendar[[#This Row],[Month]]&lt;10,3,4)))</f>
        <v>2</v>
      </c>
      <c r="L4175">
        <f>IFERROR(IF(VLOOKUP(calendar[[#This Row],[Date]],BH!A:A,1,)&lt;&gt;"",1,0),0)</f>
        <v>0</v>
      </c>
      <c r="M4175">
        <f>IFERROR(IF(VLOOKUP(calendar[[#This Row],[Date]],BH!C:C,1,)&lt;&gt;"",1,0),0)</f>
        <v>0</v>
      </c>
      <c r="N4175">
        <f>IFERROR(IF(VLOOKUP(calendar[[#This Row],[Date]],BH!E:E,1,)&lt;&gt;"",1,0),0)</f>
        <v>0</v>
      </c>
      <c r="O4175">
        <f>IFERROR(IF(VLOOKUP(calendar[[#This Row],[Date]],BH!G:G,1,)&lt;&gt;"",1,0),0)</f>
        <v>0</v>
      </c>
      <c r="P4175">
        <f>IF(OR(calendar[[#This Row],[UK_BH]]=1,calendar[[#This Row],[WeekDay]]=1, calendar[[#This Row],[WeekDay]]=7),P4174,P4174+1)</f>
        <v>2957</v>
      </c>
      <c r="Q4175">
        <f>IF(OR(calendar[[#This Row],[FR_BH]]=1,calendar[[#This Row],[WeekDay]]=1, calendar[[#This Row],[WeekDay]]=7),P4174,P4174+1)</f>
        <v>2957</v>
      </c>
      <c r="R4175">
        <f>IF(OR(calendar[[#This Row],[SP_BH]]=1,calendar[[#This Row],[WeekDay]]=1, calendar[[#This Row],[WeekDay]]=7),P4174,P4174+1)</f>
        <v>2957</v>
      </c>
      <c r="S4175">
        <f>IF(OR(calendar[[#This Row],[PT_BH]]=1,calendar[[#This Row],[WeekDay]]=1, calendar[[#This Row],[WeekDay]]=7),P4174,P4174+1)</f>
        <v>2957</v>
      </c>
    </row>
    <row r="4176" spans="1:19" x14ac:dyDescent="0.25">
      <c r="A4176" s="2">
        <v>46910</v>
      </c>
      <c r="B4176" s="1">
        <f t="shared" si="331"/>
        <v>24</v>
      </c>
      <c r="C4176">
        <f t="shared" si="332"/>
        <v>6</v>
      </c>
      <c r="D4176" t="str">
        <f t="shared" si="333"/>
        <v>June</v>
      </c>
      <c r="E4176">
        <f t="shared" si="334"/>
        <v>2028</v>
      </c>
      <c r="F4176" t="str">
        <f>CONCATENATE(calendar[[#This Row],[Month]],"/",calendar[[#This Row],[Year]])</f>
        <v>6/2028</v>
      </c>
      <c r="G4176">
        <f>WEEKDAY(calendar[[#This Row],[Date]],1)</f>
        <v>3</v>
      </c>
      <c r="H4176" t="str">
        <f>TEXT(calendar[[#This Row],[WeekDay]],"dddd")</f>
        <v>Tuesday</v>
      </c>
      <c r="I4176">
        <f>IF((INT(calendar[[#This Row],[Count]]/7)-calendar[[#This Row],[Count]]/7)&lt;0,I4175,I4175+1)</f>
        <v>597</v>
      </c>
      <c r="J4176">
        <f t="shared" si="335"/>
        <v>4174</v>
      </c>
      <c r="K4176">
        <f>IF(calendar[[#This Row],[Month]]&lt;4,1,IF(calendar[[#This Row],[Month]]&lt;7,2,IF(calendar[[#This Row],[Month]]&lt;10,3,4)))</f>
        <v>2</v>
      </c>
      <c r="L4176">
        <f>IFERROR(IF(VLOOKUP(calendar[[#This Row],[Date]],BH!A:A,1,)&lt;&gt;"",1,0),0)</f>
        <v>0</v>
      </c>
      <c r="M4176">
        <f>IFERROR(IF(VLOOKUP(calendar[[#This Row],[Date]],BH!C:C,1,)&lt;&gt;"",1,0),0)</f>
        <v>0</v>
      </c>
      <c r="N4176">
        <f>IFERROR(IF(VLOOKUP(calendar[[#This Row],[Date]],BH!E:E,1,)&lt;&gt;"",1,0),0)</f>
        <v>0</v>
      </c>
      <c r="O4176">
        <f>IFERROR(IF(VLOOKUP(calendar[[#This Row],[Date]],BH!G:G,1,)&lt;&gt;"",1,0),0)</f>
        <v>0</v>
      </c>
      <c r="P4176">
        <f>IF(OR(calendar[[#This Row],[UK_BH]]=1,calendar[[#This Row],[WeekDay]]=1, calendar[[#This Row],[WeekDay]]=7),P4175,P4175+1)</f>
        <v>2958</v>
      </c>
      <c r="Q4176">
        <f>IF(OR(calendar[[#This Row],[FR_BH]]=1,calendar[[#This Row],[WeekDay]]=1, calendar[[#This Row],[WeekDay]]=7),P4175,P4175+1)</f>
        <v>2958</v>
      </c>
      <c r="R4176">
        <f>IF(OR(calendar[[#This Row],[SP_BH]]=1,calendar[[#This Row],[WeekDay]]=1, calendar[[#This Row],[WeekDay]]=7),P4175,P4175+1)</f>
        <v>2958</v>
      </c>
      <c r="S4176">
        <f>IF(OR(calendar[[#This Row],[PT_BH]]=1,calendar[[#This Row],[WeekDay]]=1, calendar[[#This Row],[WeekDay]]=7),P4175,P4175+1)</f>
        <v>2958</v>
      </c>
    </row>
    <row r="4177" spans="1:19" x14ac:dyDescent="0.25">
      <c r="A4177" s="2">
        <v>46911</v>
      </c>
      <c r="B4177" s="1">
        <f t="shared" si="331"/>
        <v>24</v>
      </c>
      <c r="C4177">
        <f t="shared" si="332"/>
        <v>6</v>
      </c>
      <c r="D4177" t="str">
        <f t="shared" si="333"/>
        <v>June</v>
      </c>
      <c r="E4177">
        <f t="shared" si="334"/>
        <v>2028</v>
      </c>
      <c r="F4177" t="str">
        <f>CONCATENATE(calendar[[#This Row],[Month]],"/",calendar[[#This Row],[Year]])</f>
        <v>6/2028</v>
      </c>
      <c r="G4177">
        <f>WEEKDAY(calendar[[#This Row],[Date]],1)</f>
        <v>4</v>
      </c>
      <c r="H4177" t="str">
        <f>TEXT(calendar[[#This Row],[WeekDay]],"dddd")</f>
        <v>Wednesday</v>
      </c>
      <c r="I4177">
        <f>IF((INT(calendar[[#This Row],[Count]]/7)-calendar[[#This Row],[Count]]/7)&lt;0,I4176,I4176+1)</f>
        <v>597</v>
      </c>
      <c r="J4177">
        <f t="shared" si="335"/>
        <v>4175</v>
      </c>
      <c r="K4177">
        <f>IF(calendar[[#This Row],[Month]]&lt;4,1,IF(calendar[[#This Row],[Month]]&lt;7,2,IF(calendar[[#This Row],[Month]]&lt;10,3,4)))</f>
        <v>2</v>
      </c>
      <c r="L4177">
        <f>IFERROR(IF(VLOOKUP(calendar[[#This Row],[Date]],BH!A:A,1,)&lt;&gt;"",1,0),0)</f>
        <v>0</v>
      </c>
      <c r="M4177">
        <f>IFERROR(IF(VLOOKUP(calendar[[#This Row],[Date]],BH!C:C,1,)&lt;&gt;"",1,0),0)</f>
        <v>0</v>
      </c>
      <c r="N4177">
        <f>IFERROR(IF(VLOOKUP(calendar[[#This Row],[Date]],BH!E:E,1,)&lt;&gt;"",1,0),0)</f>
        <v>0</v>
      </c>
      <c r="O4177">
        <f>IFERROR(IF(VLOOKUP(calendar[[#This Row],[Date]],BH!G:G,1,)&lt;&gt;"",1,0),0)</f>
        <v>0</v>
      </c>
      <c r="P4177">
        <f>IF(OR(calendar[[#This Row],[UK_BH]]=1,calendar[[#This Row],[WeekDay]]=1, calendar[[#This Row],[WeekDay]]=7),P4176,P4176+1)</f>
        <v>2959</v>
      </c>
      <c r="Q4177">
        <f>IF(OR(calendar[[#This Row],[FR_BH]]=1,calendar[[#This Row],[WeekDay]]=1, calendar[[#This Row],[WeekDay]]=7),P4176,P4176+1)</f>
        <v>2959</v>
      </c>
      <c r="R4177">
        <f>IF(OR(calendar[[#This Row],[SP_BH]]=1,calendar[[#This Row],[WeekDay]]=1, calendar[[#This Row],[WeekDay]]=7),P4176,P4176+1)</f>
        <v>2959</v>
      </c>
      <c r="S4177">
        <f>IF(OR(calendar[[#This Row],[PT_BH]]=1,calendar[[#This Row],[WeekDay]]=1, calendar[[#This Row],[WeekDay]]=7),P4176,P4176+1)</f>
        <v>2959</v>
      </c>
    </row>
    <row r="4178" spans="1:19" x14ac:dyDescent="0.25">
      <c r="A4178" s="2">
        <v>46912</v>
      </c>
      <c r="B4178" s="1">
        <f t="shared" si="331"/>
        <v>24</v>
      </c>
      <c r="C4178">
        <f t="shared" si="332"/>
        <v>6</v>
      </c>
      <c r="D4178" t="str">
        <f t="shared" si="333"/>
        <v>June</v>
      </c>
      <c r="E4178">
        <f t="shared" si="334"/>
        <v>2028</v>
      </c>
      <c r="F4178" t="str">
        <f>CONCATENATE(calendar[[#This Row],[Month]],"/",calendar[[#This Row],[Year]])</f>
        <v>6/2028</v>
      </c>
      <c r="G4178">
        <f>WEEKDAY(calendar[[#This Row],[Date]],1)</f>
        <v>5</v>
      </c>
      <c r="H4178" t="str">
        <f>TEXT(calendar[[#This Row],[WeekDay]],"dddd")</f>
        <v>Thursday</v>
      </c>
      <c r="I4178">
        <f>IF((INT(calendar[[#This Row],[Count]]/7)-calendar[[#This Row],[Count]]/7)&lt;0,I4177,I4177+1)</f>
        <v>597</v>
      </c>
      <c r="J4178">
        <f t="shared" si="335"/>
        <v>4176</v>
      </c>
      <c r="K4178">
        <f>IF(calendar[[#This Row],[Month]]&lt;4,1,IF(calendar[[#This Row],[Month]]&lt;7,2,IF(calendar[[#This Row],[Month]]&lt;10,3,4)))</f>
        <v>2</v>
      </c>
      <c r="L4178">
        <f>IFERROR(IF(VLOOKUP(calendar[[#This Row],[Date]],BH!A:A,1,)&lt;&gt;"",1,0),0)</f>
        <v>0</v>
      </c>
      <c r="M4178">
        <f>IFERROR(IF(VLOOKUP(calendar[[#This Row],[Date]],BH!C:C,1,)&lt;&gt;"",1,0),0)</f>
        <v>0</v>
      </c>
      <c r="N4178">
        <f>IFERROR(IF(VLOOKUP(calendar[[#This Row],[Date]],BH!E:E,1,)&lt;&gt;"",1,0),0)</f>
        <v>0</v>
      </c>
      <c r="O4178">
        <f>IFERROR(IF(VLOOKUP(calendar[[#This Row],[Date]],BH!G:G,1,)&lt;&gt;"",1,0),0)</f>
        <v>0</v>
      </c>
      <c r="P4178">
        <f>IF(OR(calendar[[#This Row],[UK_BH]]=1,calendar[[#This Row],[WeekDay]]=1, calendar[[#This Row],[WeekDay]]=7),P4177,P4177+1)</f>
        <v>2960</v>
      </c>
      <c r="Q4178">
        <f>IF(OR(calendar[[#This Row],[FR_BH]]=1,calendar[[#This Row],[WeekDay]]=1, calendar[[#This Row],[WeekDay]]=7),P4177,P4177+1)</f>
        <v>2960</v>
      </c>
      <c r="R4178">
        <f>IF(OR(calendar[[#This Row],[SP_BH]]=1,calendar[[#This Row],[WeekDay]]=1, calendar[[#This Row],[WeekDay]]=7),P4177,P4177+1)</f>
        <v>2960</v>
      </c>
      <c r="S4178">
        <f>IF(OR(calendar[[#This Row],[PT_BH]]=1,calendar[[#This Row],[WeekDay]]=1, calendar[[#This Row],[WeekDay]]=7),P4177,P4177+1)</f>
        <v>2960</v>
      </c>
    </row>
    <row r="4179" spans="1:19" x14ac:dyDescent="0.25">
      <c r="A4179" s="2">
        <v>46913</v>
      </c>
      <c r="B4179" s="1">
        <f t="shared" si="331"/>
        <v>24</v>
      </c>
      <c r="C4179">
        <f t="shared" si="332"/>
        <v>6</v>
      </c>
      <c r="D4179" t="str">
        <f t="shared" si="333"/>
        <v>June</v>
      </c>
      <c r="E4179">
        <f t="shared" si="334"/>
        <v>2028</v>
      </c>
      <c r="F4179" t="str">
        <f>CONCATENATE(calendar[[#This Row],[Month]],"/",calendar[[#This Row],[Year]])</f>
        <v>6/2028</v>
      </c>
      <c r="G4179">
        <f>WEEKDAY(calendar[[#This Row],[Date]],1)</f>
        <v>6</v>
      </c>
      <c r="H4179" t="str">
        <f>TEXT(calendar[[#This Row],[WeekDay]],"dddd")</f>
        <v>Friday</v>
      </c>
      <c r="I4179">
        <f>IF((INT(calendar[[#This Row],[Count]]/7)-calendar[[#This Row],[Count]]/7)&lt;0,I4178,I4178+1)</f>
        <v>597</v>
      </c>
      <c r="J4179">
        <f t="shared" si="335"/>
        <v>4177</v>
      </c>
      <c r="K4179">
        <f>IF(calendar[[#This Row],[Month]]&lt;4,1,IF(calendar[[#This Row],[Month]]&lt;7,2,IF(calendar[[#This Row],[Month]]&lt;10,3,4)))</f>
        <v>2</v>
      </c>
      <c r="L4179">
        <f>IFERROR(IF(VLOOKUP(calendar[[#This Row],[Date]],BH!A:A,1,)&lt;&gt;"",1,0),0)</f>
        <v>0</v>
      </c>
      <c r="M4179">
        <f>IFERROR(IF(VLOOKUP(calendar[[#This Row],[Date]],BH!C:C,1,)&lt;&gt;"",1,0),0)</f>
        <v>0</v>
      </c>
      <c r="N4179">
        <f>IFERROR(IF(VLOOKUP(calendar[[#This Row],[Date]],BH!E:E,1,)&lt;&gt;"",1,0),0)</f>
        <v>0</v>
      </c>
      <c r="O4179">
        <f>IFERROR(IF(VLOOKUP(calendar[[#This Row],[Date]],BH!G:G,1,)&lt;&gt;"",1,0),0)</f>
        <v>0</v>
      </c>
      <c r="P4179">
        <f>IF(OR(calendar[[#This Row],[UK_BH]]=1,calendar[[#This Row],[WeekDay]]=1, calendar[[#This Row],[WeekDay]]=7),P4178,P4178+1)</f>
        <v>2961</v>
      </c>
      <c r="Q4179">
        <f>IF(OR(calendar[[#This Row],[FR_BH]]=1,calendar[[#This Row],[WeekDay]]=1, calendar[[#This Row],[WeekDay]]=7),P4178,P4178+1)</f>
        <v>2961</v>
      </c>
      <c r="R4179">
        <f>IF(OR(calendar[[#This Row],[SP_BH]]=1,calendar[[#This Row],[WeekDay]]=1, calendar[[#This Row],[WeekDay]]=7),P4178,P4178+1)</f>
        <v>2961</v>
      </c>
      <c r="S4179">
        <f>IF(OR(calendar[[#This Row],[PT_BH]]=1,calendar[[#This Row],[WeekDay]]=1, calendar[[#This Row],[WeekDay]]=7),P4178,P4178+1)</f>
        <v>2961</v>
      </c>
    </row>
    <row r="4180" spans="1:19" x14ac:dyDescent="0.25">
      <c r="A4180" s="2">
        <v>46914</v>
      </c>
      <c r="B4180" s="1">
        <f t="shared" si="331"/>
        <v>24</v>
      </c>
      <c r="C4180">
        <f t="shared" si="332"/>
        <v>6</v>
      </c>
      <c r="D4180" t="str">
        <f t="shared" si="333"/>
        <v>June</v>
      </c>
      <c r="E4180">
        <f t="shared" si="334"/>
        <v>2028</v>
      </c>
      <c r="F4180" t="str">
        <f>CONCATENATE(calendar[[#This Row],[Month]],"/",calendar[[#This Row],[Year]])</f>
        <v>6/2028</v>
      </c>
      <c r="G4180">
        <f>WEEKDAY(calendar[[#This Row],[Date]],1)</f>
        <v>7</v>
      </c>
      <c r="H4180" t="str">
        <f>TEXT(calendar[[#This Row],[WeekDay]],"dddd")</f>
        <v>Saturday</v>
      </c>
      <c r="I4180">
        <f>IF((INT(calendar[[#This Row],[Count]]/7)-calendar[[#This Row],[Count]]/7)&lt;0,I4179,I4179+1)</f>
        <v>597</v>
      </c>
      <c r="J4180">
        <f t="shared" si="335"/>
        <v>4178</v>
      </c>
      <c r="K4180">
        <f>IF(calendar[[#This Row],[Month]]&lt;4,1,IF(calendar[[#This Row],[Month]]&lt;7,2,IF(calendar[[#This Row],[Month]]&lt;10,3,4)))</f>
        <v>2</v>
      </c>
      <c r="L4180">
        <f>IFERROR(IF(VLOOKUP(calendar[[#This Row],[Date]],BH!A:A,1,)&lt;&gt;"",1,0),0)</f>
        <v>0</v>
      </c>
      <c r="M4180">
        <f>IFERROR(IF(VLOOKUP(calendar[[#This Row],[Date]],BH!C:C,1,)&lt;&gt;"",1,0),0)</f>
        <v>0</v>
      </c>
      <c r="N4180">
        <f>IFERROR(IF(VLOOKUP(calendar[[#This Row],[Date]],BH!E:E,1,)&lt;&gt;"",1,0),0)</f>
        <v>0</v>
      </c>
      <c r="O4180">
        <f>IFERROR(IF(VLOOKUP(calendar[[#This Row],[Date]],BH!G:G,1,)&lt;&gt;"",1,0),0)</f>
        <v>0</v>
      </c>
      <c r="P4180">
        <f>IF(OR(calendar[[#This Row],[UK_BH]]=1,calendar[[#This Row],[WeekDay]]=1, calendar[[#This Row],[WeekDay]]=7),P4179,P4179+1)</f>
        <v>2961</v>
      </c>
      <c r="Q4180">
        <f>IF(OR(calendar[[#This Row],[FR_BH]]=1,calendar[[#This Row],[WeekDay]]=1, calendar[[#This Row],[WeekDay]]=7),P4179,P4179+1)</f>
        <v>2961</v>
      </c>
      <c r="R4180">
        <f>IF(OR(calendar[[#This Row],[SP_BH]]=1,calendar[[#This Row],[WeekDay]]=1, calendar[[#This Row],[WeekDay]]=7),P4179,P4179+1)</f>
        <v>2961</v>
      </c>
      <c r="S4180">
        <f>IF(OR(calendar[[#This Row],[PT_BH]]=1,calendar[[#This Row],[WeekDay]]=1, calendar[[#This Row],[WeekDay]]=7),P4179,P4179+1)</f>
        <v>2961</v>
      </c>
    </row>
    <row r="4181" spans="1:19" x14ac:dyDescent="0.25">
      <c r="A4181" s="2">
        <v>46915</v>
      </c>
      <c r="B4181" s="1">
        <f t="shared" si="331"/>
        <v>25</v>
      </c>
      <c r="C4181">
        <f t="shared" si="332"/>
        <v>6</v>
      </c>
      <c r="D4181" t="str">
        <f t="shared" si="333"/>
        <v>June</v>
      </c>
      <c r="E4181">
        <f t="shared" si="334"/>
        <v>2028</v>
      </c>
      <c r="F4181" t="str">
        <f>CONCATENATE(calendar[[#This Row],[Month]],"/",calendar[[#This Row],[Year]])</f>
        <v>6/2028</v>
      </c>
      <c r="G4181">
        <f>WEEKDAY(calendar[[#This Row],[Date]],1)</f>
        <v>1</v>
      </c>
      <c r="H4181" t="str">
        <f>TEXT(calendar[[#This Row],[WeekDay]],"dddd")</f>
        <v>Sunday</v>
      </c>
      <c r="I4181">
        <f>IF((INT(calendar[[#This Row],[Count]]/7)-calendar[[#This Row],[Count]]/7)&lt;0,I4180,I4180+1)</f>
        <v>598</v>
      </c>
      <c r="J4181">
        <f t="shared" si="335"/>
        <v>4179</v>
      </c>
      <c r="K4181">
        <f>IF(calendar[[#This Row],[Month]]&lt;4,1,IF(calendar[[#This Row],[Month]]&lt;7,2,IF(calendar[[#This Row],[Month]]&lt;10,3,4)))</f>
        <v>2</v>
      </c>
      <c r="L4181">
        <f>IFERROR(IF(VLOOKUP(calendar[[#This Row],[Date]],BH!A:A,1,)&lt;&gt;"",1,0),0)</f>
        <v>0</v>
      </c>
      <c r="M4181">
        <f>IFERROR(IF(VLOOKUP(calendar[[#This Row],[Date]],BH!C:C,1,)&lt;&gt;"",1,0),0)</f>
        <v>0</v>
      </c>
      <c r="N4181">
        <f>IFERROR(IF(VLOOKUP(calendar[[#This Row],[Date]],BH!E:E,1,)&lt;&gt;"",1,0),0)</f>
        <v>0</v>
      </c>
      <c r="O4181">
        <f>IFERROR(IF(VLOOKUP(calendar[[#This Row],[Date]],BH!G:G,1,)&lt;&gt;"",1,0),0)</f>
        <v>0</v>
      </c>
      <c r="P4181">
        <f>IF(OR(calendar[[#This Row],[UK_BH]]=1,calendar[[#This Row],[WeekDay]]=1, calendar[[#This Row],[WeekDay]]=7),P4180,P4180+1)</f>
        <v>2961</v>
      </c>
      <c r="Q4181">
        <f>IF(OR(calendar[[#This Row],[FR_BH]]=1,calendar[[#This Row],[WeekDay]]=1, calendar[[#This Row],[WeekDay]]=7),P4180,P4180+1)</f>
        <v>2961</v>
      </c>
      <c r="R4181">
        <f>IF(OR(calendar[[#This Row],[SP_BH]]=1,calendar[[#This Row],[WeekDay]]=1, calendar[[#This Row],[WeekDay]]=7),P4180,P4180+1)</f>
        <v>2961</v>
      </c>
      <c r="S4181">
        <f>IF(OR(calendar[[#This Row],[PT_BH]]=1,calendar[[#This Row],[WeekDay]]=1, calendar[[#This Row],[WeekDay]]=7),P4180,P4180+1)</f>
        <v>2961</v>
      </c>
    </row>
    <row r="4182" spans="1:19" x14ac:dyDescent="0.25">
      <c r="A4182" s="2">
        <v>46916</v>
      </c>
      <c r="B4182" s="1">
        <f t="shared" si="331"/>
        <v>25</v>
      </c>
      <c r="C4182">
        <f t="shared" si="332"/>
        <v>6</v>
      </c>
      <c r="D4182" t="str">
        <f t="shared" si="333"/>
        <v>June</v>
      </c>
      <c r="E4182">
        <f t="shared" si="334"/>
        <v>2028</v>
      </c>
      <c r="F4182" t="str">
        <f>CONCATENATE(calendar[[#This Row],[Month]],"/",calendar[[#This Row],[Year]])</f>
        <v>6/2028</v>
      </c>
      <c r="G4182">
        <f>WEEKDAY(calendar[[#This Row],[Date]],1)</f>
        <v>2</v>
      </c>
      <c r="H4182" t="str">
        <f>TEXT(calendar[[#This Row],[WeekDay]],"dddd")</f>
        <v>Monday</v>
      </c>
      <c r="I4182">
        <f>IF((INT(calendar[[#This Row],[Count]]/7)-calendar[[#This Row],[Count]]/7)&lt;0,I4181,I4181+1)</f>
        <v>598</v>
      </c>
      <c r="J4182">
        <f t="shared" si="335"/>
        <v>4180</v>
      </c>
      <c r="K4182">
        <f>IF(calendar[[#This Row],[Month]]&lt;4,1,IF(calendar[[#This Row],[Month]]&lt;7,2,IF(calendar[[#This Row],[Month]]&lt;10,3,4)))</f>
        <v>2</v>
      </c>
      <c r="L4182">
        <f>IFERROR(IF(VLOOKUP(calendar[[#This Row],[Date]],BH!A:A,1,)&lt;&gt;"",1,0),0)</f>
        <v>0</v>
      </c>
      <c r="M4182">
        <f>IFERROR(IF(VLOOKUP(calendar[[#This Row],[Date]],BH!C:C,1,)&lt;&gt;"",1,0),0)</f>
        <v>0</v>
      </c>
      <c r="N4182">
        <f>IFERROR(IF(VLOOKUP(calendar[[#This Row],[Date]],BH!E:E,1,)&lt;&gt;"",1,0),0)</f>
        <v>0</v>
      </c>
      <c r="O4182">
        <f>IFERROR(IF(VLOOKUP(calendar[[#This Row],[Date]],BH!G:G,1,)&lt;&gt;"",1,0),0)</f>
        <v>0</v>
      </c>
      <c r="P4182">
        <f>IF(OR(calendar[[#This Row],[UK_BH]]=1,calendar[[#This Row],[WeekDay]]=1, calendar[[#This Row],[WeekDay]]=7),P4181,P4181+1)</f>
        <v>2962</v>
      </c>
      <c r="Q4182">
        <f>IF(OR(calendar[[#This Row],[FR_BH]]=1,calendar[[#This Row],[WeekDay]]=1, calendar[[#This Row],[WeekDay]]=7),P4181,P4181+1)</f>
        <v>2962</v>
      </c>
      <c r="R4182">
        <f>IF(OR(calendar[[#This Row],[SP_BH]]=1,calendar[[#This Row],[WeekDay]]=1, calendar[[#This Row],[WeekDay]]=7),P4181,P4181+1)</f>
        <v>2962</v>
      </c>
      <c r="S4182">
        <f>IF(OR(calendar[[#This Row],[PT_BH]]=1,calendar[[#This Row],[WeekDay]]=1, calendar[[#This Row],[WeekDay]]=7),P4181,P4181+1)</f>
        <v>2962</v>
      </c>
    </row>
    <row r="4183" spans="1:19" x14ac:dyDescent="0.25">
      <c r="A4183" s="2">
        <v>46917</v>
      </c>
      <c r="B4183" s="1">
        <f t="shared" si="331"/>
        <v>25</v>
      </c>
      <c r="C4183">
        <f t="shared" si="332"/>
        <v>6</v>
      </c>
      <c r="D4183" t="str">
        <f t="shared" si="333"/>
        <v>June</v>
      </c>
      <c r="E4183">
        <f t="shared" si="334"/>
        <v>2028</v>
      </c>
      <c r="F4183" t="str">
        <f>CONCATENATE(calendar[[#This Row],[Month]],"/",calendar[[#This Row],[Year]])</f>
        <v>6/2028</v>
      </c>
      <c r="G4183">
        <f>WEEKDAY(calendar[[#This Row],[Date]],1)</f>
        <v>3</v>
      </c>
      <c r="H4183" t="str">
        <f>TEXT(calendar[[#This Row],[WeekDay]],"dddd")</f>
        <v>Tuesday</v>
      </c>
      <c r="I4183">
        <f>IF((INT(calendar[[#This Row],[Count]]/7)-calendar[[#This Row],[Count]]/7)&lt;0,I4182,I4182+1)</f>
        <v>598</v>
      </c>
      <c r="J4183">
        <f t="shared" si="335"/>
        <v>4181</v>
      </c>
      <c r="K4183">
        <f>IF(calendar[[#This Row],[Month]]&lt;4,1,IF(calendar[[#This Row],[Month]]&lt;7,2,IF(calendar[[#This Row],[Month]]&lt;10,3,4)))</f>
        <v>2</v>
      </c>
      <c r="L4183">
        <f>IFERROR(IF(VLOOKUP(calendar[[#This Row],[Date]],BH!A:A,1,)&lt;&gt;"",1,0),0)</f>
        <v>0</v>
      </c>
      <c r="M4183">
        <f>IFERROR(IF(VLOOKUP(calendar[[#This Row],[Date]],BH!C:C,1,)&lt;&gt;"",1,0),0)</f>
        <v>0</v>
      </c>
      <c r="N4183">
        <f>IFERROR(IF(VLOOKUP(calendar[[#This Row],[Date]],BH!E:E,1,)&lt;&gt;"",1,0),0)</f>
        <v>0</v>
      </c>
      <c r="O4183">
        <f>IFERROR(IF(VLOOKUP(calendar[[#This Row],[Date]],BH!G:G,1,)&lt;&gt;"",1,0),0)</f>
        <v>0</v>
      </c>
      <c r="P4183">
        <f>IF(OR(calendar[[#This Row],[UK_BH]]=1,calendar[[#This Row],[WeekDay]]=1, calendar[[#This Row],[WeekDay]]=7),P4182,P4182+1)</f>
        <v>2963</v>
      </c>
      <c r="Q4183">
        <f>IF(OR(calendar[[#This Row],[FR_BH]]=1,calendar[[#This Row],[WeekDay]]=1, calendar[[#This Row],[WeekDay]]=7),P4182,P4182+1)</f>
        <v>2963</v>
      </c>
      <c r="R4183">
        <f>IF(OR(calendar[[#This Row],[SP_BH]]=1,calendar[[#This Row],[WeekDay]]=1, calendar[[#This Row],[WeekDay]]=7),P4182,P4182+1)</f>
        <v>2963</v>
      </c>
      <c r="S4183">
        <f>IF(OR(calendar[[#This Row],[PT_BH]]=1,calendar[[#This Row],[WeekDay]]=1, calendar[[#This Row],[WeekDay]]=7),P4182,P4182+1)</f>
        <v>2963</v>
      </c>
    </row>
    <row r="4184" spans="1:19" x14ac:dyDescent="0.25">
      <c r="A4184" s="2">
        <v>46918</v>
      </c>
      <c r="B4184" s="1">
        <f t="shared" si="331"/>
        <v>25</v>
      </c>
      <c r="C4184">
        <f t="shared" si="332"/>
        <v>6</v>
      </c>
      <c r="D4184" t="str">
        <f t="shared" si="333"/>
        <v>June</v>
      </c>
      <c r="E4184">
        <f t="shared" si="334"/>
        <v>2028</v>
      </c>
      <c r="F4184" t="str">
        <f>CONCATENATE(calendar[[#This Row],[Month]],"/",calendar[[#This Row],[Year]])</f>
        <v>6/2028</v>
      </c>
      <c r="G4184">
        <f>WEEKDAY(calendar[[#This Row],[Date]],1)</f>
        <v>4</v>
      </c>
      <c r="H4184" t="str">
        <f>TEXT(calendar[[#This Row],[WeekDay]],"dddd")</f>
        <v>Wednesday</v>
      </c>
      <c r="I4184">
        <f>IF((INT(calendar[[#This Row],[Count]]/7)-calendar[[#This Row],[Count]]/7)&lt;0,I4183,I4183+1)</f>
        <v>598</v>
      </c>
      <c r="J4184">
        <f t="shared" si="335"/>
        <v>4182</v>
      </c>
      <c r="K4184">
        <f>IF(calendar[[#This Row],[Month]]&lt;4,1,IF(calendar[[#This Row],[Month]]&lt;7,2,IF(calendar[[#This Row],[Month]]&lt;10,3,4)))</f>
        <v>2</v>
      </c>
      <c r="L4184">
        <f>IFERROR(IF(VLOOKUP(calendar[[#This Row],[Date]],BH!A:A,1,)&lt;&gt;"",1,0),0)</f>
        <v>0</v>
      </c>
      <c r="M4184">
        <f>IFERROR(IF(VLOOKUP(calendar[[#This Row],[Date]],BH!C:C,1,)&lt;&gt;"",1,0),0)</f>
        <v>0</v>
      </c>
      <c r="N4184">
        <f>IFERROR(IF(VLOOKUP(calendar[[#This Row],[Date]],BH!E:E,1,)&lt;&gt;"",1,0),0)</f>
        <v>0</v>
      </c>
      <c r="O4184">
        <f>IFERROR(IF(VLOOKUP(calendar[[#This Row],[Date]],BH!G:G,1,)&lt;&gt;"",1,0),0)</f>
        <v>0</v>
      </c>
      <c r="P4184">
        <f>IF(OR(calendar[[#This Row],[UK_BH]]=1,calendar[[#This Row],[WeekDay]]=1, calendar[[#This Row],[WeekDay]]=7),P4183,P4183+1)</f>
        <v>2964</v>
      </c>
      <c r="Q4184">
        <f>IF(OR(calendar[[#This Row],[FR_BH]]=1,calendar[[#This Row],[WeekDay]]=1, calendar[[#This Row],[WeekDay]]=7),P4183,P4183+1)</f>
        <v>2964</v>
      </c>
      <c r="R4184">
        <f>IF(OR(calendar[[#This Row],[SP_BH]]=1,calendar[[#This Row],[WeekDay]]=1, calendar[[#This Row],[WeekDay]]=7),P4183,P4183+1)</f>
        <v>2964</v>
      </c>
      <c r="S4184">
        <f>IF(OR(calendar[[#This Row],[PT_BH]]=1,calendar[[#This Row],[WeekDay]]=1, calendar[[#This Row],[WeekDay]]=7),P4183,P4183+1)</f>
        <v>2964</v>
      </c>
    </row>
    <row r="4185" spans="1:19" x14ac:dyDescent="0.25">
      <c r="A4185" s="2">
        <v>46919</v>
      </c>
      <c r="B4185" s="1">
        <f t="shared" si="331"/>
        <v>25</v>
      </c>
      <c r="C4185">
        <f t="shared" si="332"/>
        <v>6</v>
      </c>
      <c r="D4185" t="str">
        <f t="shared" si="333"/>
        <v>June</v>
      </c>
      <c r="E4185">
        <f t="shared" si="334"/>
        <v>2028</v>
      </c>
      <c r="F4185" t="str">
        <f>CONCATENATE(calendar[[#This Row],[Month]],"/",calendar[[#This Row],[Year]])</f>
        <v>6/2028</v>
      </c>
      <c r="G4185">
        <f>WEEKDAY(calendar[[#This Row],[Date]],1)</f>
        <v>5</v>
      </c>
      <c r="H4185" t="str">
        <f>TEXT(calendar[[#This Row],[WeekDay]],"dddd")</f>
        <v>Thursday</v>
      </c>
      <c r="I4185">
        <f>IF((INT(calendar[[#This Row],[Count]]/7)-calendar[[#This Row],[Count]]/7)&lt;0,I4184,I4184+1)</f>
        <v>598</v>
      </c>
      <c r="J4185">
        <f t="shared" si="335"/>
        <v>4183</v>
      </c>
      <c r="K4185">
        <f>IF(calendar[[#This Row],[Month]]&lt;4,1,IF(calendar[[#This Row],[Month]]&lt;7,2,IF(calendar[[#This Row],[Month]]&lt;10,3,4)))</f>
        <v>2</v>
      </c>
      <c r="L4185">
        <f>IFERROR(IF(VLOOKUP(calendar[[#This Row],[Date]],BH!A:A,1,)&lt;&gt;"",1,0),0)</f>
        <v>0</v>
      </c>
      <c r="M4185">
        <f>IFERROR(IF(VLOOKUP(calendar[[#This Row],[Date]],BH!C:C,1,)&lt;&gt;"",1,0),0)</f>
        <v>0</v>
      </c>
      <c r="N4185">
        <f>IFERROR(IF(VLOOKUP(calendar[[#This Row],[Date]],BH!E:E,1,)&lt;&gt;"",1,0),0)</f>
        <v>0</v>
      </c>
      <c r="O4185">
        <f>IFERROR(IF(VLOOKUP(calendar[[#This Row],[Date]],BH!G:G,1,)&lt;&gt;"",1,0),0)</f>
        <v>0</v>
      </c>
      <c r="P4185">
        <f>IF(OR(calendar[[#This Row],[UK_BH]]=1,calendar[[#This Row],[WeekDay]]=1, calendar[[#This Row],[WeekDay]]=7),P4184,P4184+1)</f>
        <v>2965</v>
      </c>
      <c r="Q4185">
        <f>IF(OR(calendar[[#This Row],[FR_BH]]=1,calendar[[#This Row],[WeekDay]]=1, calendar[[#This Row],[WeekDay]]=7),P4184,P4184+1)</f>
        <v>2965</v>
      </c>
      <c r="R4185">
        <f>IF(OR(calendar[[#This Row],[SP_BH]]=1,calendar[[#This Row],[WeekDay]]=1, calendar[[#This Row],[WeekDay]]=7),P4184,P4184+1)</f>
        <v>2965</v>
      </c>
      <c r="S4185">
        <f>IF(OR(calendar[[#This Row],[PT_BH]]=1,calendar[[#This Row],[WeekDay]]=1, calendar[[#This Row],[WeekDay]]=7),P4184,P4184+1)</f>
        <v>2965</v>
      </c>
    </row>
    <row r="4186" spans="1:19" x14ac:dyDescent="0.25">
      <c r="A4186" s="2">
        <v>46920</v>
      </c>
      <c r="B4186" s="1">
        <f t="shared" si="331"/>
        <v>25</v>
      </c>
      <c r="C4186">
        <f t="shared" si="332"/>
        <v>6</v>
      </c>
      <c r="D4186" t="str">
        <f t="shared" si="333"/>
        <v>June</v>
      </c>
      <c r="E4186">
        <f t="shared" si="334"/>
        <v>2028</v>
      </c>
      <c r="F4186" t="str">
        <f>CONCATENATE(calendar[[#This Row],[Month]],"/",calendar[[#This Row],[Year]])</f>
        <v>6/2028</v>
      </c>
      <c r="G4186">
        <f>WEEKDAY(calendar[[#This Row],[Date]],1)</f>
        <v>6</v>
      </c>
      <c r="H4186" t="str">
        <f>TEXT(calendar[[#This Row],[WeekDay]],"dddd")</f>
        <v>Friday</v>
      </c>
      <c r="I4186">
        <f>IF((INT(calendar[[#This Row],[Count]]/7)-calendar[[#This Row],[Count]]/7)&lt;0,I4185,I4185+1)</f>
        <v>598</v>
      </c>
      <c r="J4186">
        <f t="shared" si="335"/>
        <v>4184</v>
      </c>
      <c r="K4186">
        <f>IF(calendar[[#This Row],[Month]]&lt;4,1,IF(calendar[[#This Row],[Month]]&lt;7,2,IF(calendar[[#This Row],[Month]]&lt;10,3,4)))</f>
        <v>2</v>
      </c>
      <c r="L4186">
        <f>IFERROR(IF(VLOOKUP(calendar[[#This Row],[Date]],BH!A:A,1,)&lt;&gt;"",1,0),0)</f>
        <v>0</v>
      </c>
      <c r="M4186">
        <f>IFERROR(IF(VLOOKUP(calendar[[#This Row],[Date]],BH!C:C,1,)&lt;&gt;"",1,0),0)</f>
        <v>0</v>
      </c>
      <c r="N4186">
        <f>IFERROR(IF(VLOOKUP(calendar[[#This Row],[Date]],BH!E:E,1,)&lt;&gt;"",1,0),0)</f>
        <v>0</v>
      </c>
      <c r="O4186">
        <f>IFERROR(IF(VLOOKUP(calendar[[#This Row],[Date]],BH!G:G,1,)&lt;&gt;"",1,0),0)</f>
        <v>0</v>
      </c>
      <c r="P4186">
        <f>IF(OR(calendar[[#This Row],[UK_BH]]=1,calendar[[#This Row],[WeekDay]]=1, calendar[[#This Row],[WeekDay]]=7),P4185,P4185+1)</f>
        <v>2966</v>
      </c>
      <c r="Q4186">
        <f>IF(OR(calendar[[#This Row],[FR_BH]]=1,calendar[[#This Row],[WeekDay]]=1, calendar[[#This Row],[WeekDay]]=7),P4185,P4185+1)</f>
        <v>2966</v>
      </c>
      <c r="R4186">
        <f>IF(OR(calendar[[#This Row],[SP_BH]]=1,calendar[[#This Row],[WeekDay]]=1, calendar[[#This Row],[WeekDay]]=7),P4185,P4185+1)</f>
        <v>2966</v>
      </c>
      <c r="S4186">
        <f>IF(OR(calendar[[#This Row],[PT_BH]]=1,calendar[[#This Row],[WeekDay]]=1, calendar[[#This Row],[WeekDay]]=7),P4185,P4185+1)</f>
        <v>2966</v>
      </c>
    </row>
    <row r="4187" spans="1:19" x14ac:dyDescent="0.25">
      <c r="A4187" s="2">
        <v>46921</v>
      </c>
      <c r="B4187" s="1">
        <f t="shared" si="331"/>
        <v>25</v>
      </c>
      <c r="C4187">
        <f t="shared" si="332"/>
        <v>6</v>
      </c>
      <c r="D4187" t="str">
        <f t="shared" si="333"/>
        <v>June</v>
      </c>
      <c r="E4187">
        <f t="shared" si="334"/>
        <v>2028</v>
      </c>
      <c r="F4187" t="str">
        <f>CONCATENATE(calendar[[#This Row],[Month]],"/",calendar[[#This Row],[Year]])</f>
        <v>6/2028</v>
      </c>
      <c r="G4187">
        <f>WEEKDAY(calendar[[#This Row],[Date]],1)</f>
        <v>7</v>
      </c>
      <c r="H4187" t="str">
        <f>TEXT(calendar[[#This Row],[WeekDay]],"dddd")</f>
        <v>Saturday</v>
      </c>
      <c r="I4187">
        <f>IF((INT(calendar[[#This Row],[Count]]/7)-calendar[[#This Row],[Count]]/7)&lt;0,I4186,I4186+1)</f>
        <v>598</v>
      </c>
      <c r="J4187">
        <f t="shared" si="335"/>
        <v>4185</v>
      </c>
      <c r="K4187">
        <f>IF(calendar[[#This Row],[Month]]&lt;4,1,IF(calendar[[#This Row],[Month]]&lt;7,2,IF(calendar[[#This Row],[Month]]&lt;10,3,4)))</f>
        <v>2</v>
      </c>
      <c r="L4187">
        <f>IFERROR(IF(VLOOKUP(calendar[[#This Row],[Date]],BH!A:A,1,)&lt;&gt;"",1,0),0)</f>
        <v>0</v>
      </c>
      <c r="M4187">
        <f>IFERROR(IF(VLOOKUP(calendar[[#This Row],[Date]],BH!C:C,1,)&lt;&gt;"",1,0),0)</f>
        <v>0</v>
      </c>
      <c r="N4187">
        <f>IFERROR(IF(VLOOKUP(calendar[[#This Row],[Date]],BH!E:E,1,)&lt;&gt;"",1,0),0)</f>
        <v>0</v>
      </c>
      <c r="O4187">
        <f>IFERROR(IF(VLOOKUP(calendar[[#This Row],[Date]],BH!G:G,1,)&lt;&gt;"",1,0),0)</f>
        <v>0</v>
      </c>
      <c r="P4187">
        <f>IF(OR(calendar[[#This Row],[UK_BH]]=1,calendar[[#This Row],[WeekDay]]=1, calendar[[#This Row],[WeekDay]]=7),P4186,P4186+1)</f>
        <v>2966</v>
      </c>
      <c r="Q4187">
        <f>IF(OR(calendar[[#This Row],[FR_BH]]=1,calendar[[#This Row],[WeekDay]]=1, calendar[[#This Row],[WeekDay]]=7),P4186,P4186+1)</f>
        <v>2966</v>
      </c>
      <c r="R4187">
        <f>IF(OR(calendar[[#This Row],[SP_BH]]=1,calendar[[#This Row],[WeekDay]]=1, calendar[[#This Row],[WeekDay]]=7),P4186,P4186+1)</f>
        <v>2966</v>
      </c>
      <c r="S4187">
        <f>IF(OR(calendar[[#This Row],[PT_BH]]=1,calendar[[#This Row],[WeekDay]]=1, calendar[[#This Row],[WeekDay]]=7),P4186,P4186+1)</f>
        <v>2966</v>
      </c>
    </row>
    <row r="4188" spans="1:19" x14ac:dyDescent="0.25">
      <c r="A4188" s="2">
        <v>46922</v>
      </c>
      <c r="B4188" s="1">
        <f t="shared" si="331"/>
        <v>26</v>
      </c>
      <c r="C4188">
        <f t="shared" si="332"/>
        <v>6</v>
      </c>
      <c r="D4188" t="str">
        <f t="shared" si="333"/>
        <v>June</v>
      </c>
      <c r="E4188">
        <f t="shared" si="334"/>
        <v>2028</v>
      </c>
      <c r="F4188" t="str">
        <f>CONCATENATE(calendar[[#This Row],[Month]],"/",calendar[[#This Row],[Year]])</f>
        <v>6/2028</v>
      </c>
      <c r="G4188">
        <f>WEEKDAY(calendar[[#This Row],[Date]],1)</f>
        <v>1</v>
      </c>
      <c r="H4188" t="str">
        <f>TEXT(calendar[[#This Row],[WeekDay]],"dddd")</f>
        <v>Sunday</v>
      </c>
      <c r="I4188">
        <f>IF((INT(calendar[[#This Row],[Count]]/7)-calendar[[#This Row],[Count]]/7)&lt;0,I4187,I4187+1)</f>
        <v>599</v>
      </c>
      <c r="J4188">
        <f t="shared" si="335"/>
        <v>4186</v>
      </c>
      <c r="K4188">
        <f>IF(calendar[[#This Row],[Month]]&lt;4,1,IF(calendar[[#This Row],[Month]]&lt;7,2,IF(calendar[[#This Row],[Month]]&lt;10,3,4)))</f>
        <v>2</v>
      </c>
      <c r="L4188">
        <f>IFERROR(IF(VLOOKUP(calendar[[#This Row],[Date]],BH!A:A,1,)&lt;&gt;"",1,0),0)</f>
        <v>0</v>
      </c>
      <c r="M4188">
        <f>IFERROR(IF(VLOOKUP(calendar[[#This Row],[Date]],BH!C:C,1,)&lt;&gt;"",1,0),0)</f>
        <v>0</v>
      </c>
      <c r="N4188">
        <f>IFERROR(IF(VLOOKUP(calendar[[#This Row],[Date]],BH!E:E,1,)&lt;&gt;"",1,0),0)</f>
        <v>0</v>
      </c>
      <c r="O4188">
        <f>IFERROR(IF(VLOOKUP(calendar[[#This Row],[Date]],BH!G:G,1,)&lt;&gt;"",1,0),0)</f>
        <v>0</v>
      </c>
      <c r="P4188">
        <f>IF(OR(calendar[[#This Row],[UK_BH]]=1,calendar[[#This Row],[WeekDay]]=1, calendar[[#This Row],[WeekDay]]=7),P4187,P4187+1)</f>
        <v>2966</v>
      </c>
      <c r="Q4188">
        <f>IF(OR(calendar[[#This Row],[FR_BH]]=1,calendar[[#This Row],[WeekDay]]=1, calendar[[#This Row],[WeekDay]]=7),P4187,P4187+1)</f>
        <v>2966</v>
      </c>
      <c r="R4188">
        <f>IF(OR(calendar[[#This Row],[SP_BH]]=1,calendar[[#This Row],[WeekDay]]=1, calendar[[#This Row],[WeekDay]]=7),P4187,P4187+1)</f>
        <v>2966</v>
      </c>
      <c r="S4188">
        <f>IF(OR(calendar[[#This Row],[PT_BH]]=1,calendar[[#This Row],[WeekDay]]=1, calendar[[#This Row],[WeekDay]]=7),P4187,P4187+1)</f>
        <v>2966</v>
      </c>
    </row>
    <row r="4189" spans="1:19" x14ac:dyDescent="0.25">
      <c r="A4189" s="2">
        <v>46923</v>
      </c>
      <c r="B4189" s="1">
        <f t="shared" si="331"/>
        <v>26</v>
      </c>
      <c r="C4189">
        <f t="shared" si="332"/>
        <v>6</v>
      </c>
      <c r="D4189" t="str">
        <f t="shared" si="333"/>
        <v>June</v>
      </c>
      <c r="E4189">
        <f t="shared" si="334"/>
        <v>2028</v>
      </c>
      <c r="F4189" t="str">
        <f>CONCATENATE(calendar[[#This Row],[Month]],"/",calendar[[#This Row],[Year]])</f>
        <v>6/2028</v>
      </c>
      <c r="G4189">
        <f>WEEKDAY(calendar[[#This Row],[Date]],1)</f>
        <v>2</v>
      </c>
      <c r="H4189" t="str">
        <f>TEXT(calendar[[#This Row],[WeekDay]],"dddd")</f>
        <v>Monday</v>
      </c>
      <c r="I4189">
        <f>IF((INT(calendar[[#This Row],[Count]]/7)-calendar[[#This Row],[Count]]/7)&lt;0,I4188,I4188+1)</f>
        <v>599</v>
      </c>
      <c r="J4189">
        <f t="shared" si="335"/>
        <v>4187</v>
      </c>
      <c r="K4189">
        <f>IF(calendar[[#This Row],[Month]]&lt;4,1,IF(calendar[[#This Row],[Month]]&lt;7,2,IF(calendar[[#This Row],[Month]]&lt;10,3,4)))</f>
        <v>2</v>
      </c>
      <c r="L4189">
        <f>IFERROR(IF(VLOOKUP(calendar[[#This Row],[Date]],BH!A:A,1,)&lt;&gt;"",1,0),0)</f>
        <v>0</v>
      </c>
      <c r="M4189">
        <f>IFERROR(IF(VLOOKUP(calendar[[#This Row],[Date]],BH!C:C,1,)&lt;&gt;"",1,0),0)</f>
        <v>0</v>
      </c>
      <c r="N4189">
        <f>IFERROR(IF(VLOOKUP(calendar[[#This Row],[Date]],BH!E:E,1,)&lt;&gt;"",1,0),0)</f>
        <v>0</v>
      </c>
      <c r="O4189">
        <f>IFERROR(IF(VLOOKUP(calendar[[#This Row],[Date]],BH!G:G,1,)&lt;&gt;"",1,0),0)</f>
        <v>0</v>
      </c>
      <c r="P4189">
        <f>IF(OR(calendar[[#This Row],[UK_BH]]=1,calendar[[#This Row],[WeekDay]]=1, calendar[[#This Row],[WeekDay]]=7),P4188,P4188+1)</f>
        <v>2967</v>
      </c>
      <c r="Q4189">
        <f>IF(OR(calendar[[#This Row],[FR_BH]]=1,calendar[[#This Row],[WeekDay]]=1, calendar[[#This Row],[WeekDay]]=7),P4188,P4188+1)</f>
        <v>2967</v>
      </c>
      <c r="R4189">
        <f>IF(OR(calendar[[#This Row],[SP_BH]]=1,calendar[[#This Row],[WeekDay]]=1, calendar[[#This Row],[WeekDay]]=7),P4188,P4188+1)</f>
        <v>2967</v>
      </c>
      <c r="S4189">
        <f>IF(OR(calendar[[#This Row],[PT_BH]]=1,calendar[[#This Row],[WeekDay]]=1, calendar[[#This Row],[WeekDay]]=7),P4188,P4188+1)</f>
        <v>2967</v>
      </c>
    </row>
    <row r="4190" spans="1:19" x14ac:dyDescent="0.25">
      <c r="A4190" s="2">
        <v>46924</v>
      </c>
      <c r="B4190" s="1">
        <f t="shared" si="331"/>
        <v>26</v>
      </c>
      <c r="C4190">
        <f t="shared" si="332"/>
        <v>6</v>
      </c>
      <c r="D4190" t="str">
        <f t="shared" si="333"/>
        <v>June</v>
      </c>
      <c r="E4190">
        <f t="shared" si="334"/>
        <v>2028</v>
      </c>
      <c r="F4190" t="str">
        <f>CONCATENATE(calendar[[#This Row],[Month]],"/",calendar[[#This Row],[Year]])</f>
        <v>6/2028</v>
      </c>
      <c r="G4190">
        <f>WEEKDAY(calendar[[#This Row],[Date]],1)</f>
        <v>3</v>
      </c>
      <c r="H4190" t="str">
        <f>TEXT(calendar[[#This Row],[WeekDay]],"dddd")</f>
        <v>Tuesday</v>
      </c>
      <c r="I4190">
        <f>IF((INT(calendar[[#This Row],[Count]]/7)-calendar[[#This Row],[Count]]/7)&lt;0,I4189,I4189+1)</f>
        <v>599</v>
      </c>
      <c r="J4190">
        <f t="shared" si="335"/>
        <v>4188</v>
      </c>
      <c r="K4190">
        <f>IF(calendar[[#This Row],[Month]]&lt;4,1,IF(calendar[[#This Row],[Month]]&lt;7,2,IF(calendar[[#This Row],[Month]]&lt;10,3,4)))</f>
        <v>2</v>
      </c>
      <c r="L4190">
        <f>IFERROR(IF(VLOOKUP(calendar[[#This Row],[Date]],BH!A:A,1,)&lt;&gt;"",1,0),0)</f>
        <v>0</v>
      </c>
      <c r="M4190">
        <f>IFERROR(IF(VLOOKUP(calendar[[#This Row],[Date]],BH!C:C,1,)&lt;&gt;"",1,0),0)</f>
        <v>0</v>
      </c>
      <c r="N4190">
        <f>IFERROR(IF(VLOOKUP(calendar[[#This Row],[Date]],BH!E:E,1,)&lt;&gt;"",1,0),0)</f>
        <v>0</v>
      </c>
      <c r="O4190">
        <f>IFERROR(IF(VLOOKUP(calendar[[#This Row],[Date]],BH!G:G,1,)&lt;&gt;"",1,0),0)</f>
        <v>0</v>
      </c>
      <c r="P4190">
        <f>IF(OR(calendar[[#This Row],[UK_BH]]=1,calendar[[#This Row],[WeekDay]]=1, calendar[[#This Row],[WeekDay]]=7),P4189,P4189+1)</f>
        <v>2968</v>
      </c>
      <c r="Q4190">
        <f>IF(OR(calendar[[#This Row],[FR_BH]]=1,calendar[[#This Row],[WeekDay]]=1, calendar[[#This Row],[WeekDay]]=7),P4189,P4189+1)</f>
        <v>2968</v>
      </c>
      <c r="R4190">
        <f>IF(OR(calendar[[#This Row],[SP_BH]]=1,calendar[[#This Row],[WeekDay]]=1, calendar[[#This Row],[WeekDay]]=7),P4189,P4189+1)</f>
        <v>2968</v>
      </c>
      <c r="S4190">
        <f>IF(OR(calendar[[#This Row],[PT_BH]]=1,calendar[[#This Row],[WeekDay]]=1, calendar[[#This Row],[WeekDay]]=7),P4189,P4189+1)</f>
        <v>2968</v>
      </c>
    </row>
    <row r="4191" spans="1:19" x14ac:dyDescent="0.25">
      <c r="A4191" s="2">
        <v>46925</v>
      </c>
      <c r="B4191" s="1">
        <f t="shared" si="331"/>
        <v>26</v>
      </c>
      <c r="C4191">
        <f t="shared" si="332"/>
        <v>6</v>
      </c>
      <c r="D4191" t="str">
        <f t="shared" si="333"/>
        <v>June</v>
      </c>
      <c r="E4191">
        <f t="shared" si="334"/>
        <v>2028</v>
      </c>
      <c r="F4191" t="str">
        <f>CONCATENATE(calendar[[#This Row],[Month]],"/",calendar[[#This Row],[Year]])</f>
        <v>6/2028</v>
      </c>
      <c r="G4191">
        <f>WEEKDAY(calendar[[#This Row],[Date]],1)</f>
        <v>4</v>
      </c>
      <c r="H4191" t="str">
        <f>TEXT(calendar[[#This Row],[WeekDay]],"dddd")</f>
        <v>Wednesday</v>
      </c>
      <c r="I4191">
        <f>IF((INT(calendar[[#This Row],[Count]]/7)-calendar[[#This Row],[Count]]/7)&lt;0,I4190,I4190+1)</f>
        <v>599</v>
      </c>
      <c r="J4191">
        <f t="shared" si="335"/>
        <v>4189</v>
      </c>
      <c r="K4191">
        <f>IF(calendar[[#This Row],[Month]]&lt;4,1,IF(calendar[[#This Row],[Month]]&lt;7,2,IF(calendar[[#This Row],[Month]]&lt;10,3,4)))</f>
        <v>2</v>
      </c>
      <c r="L4191">
        <f>IFERROR(IF(VLOOKUP(calendar[[#This Row],[Date]],BH!A:A,1,)&lt;&gt;"",1,0),0)</f>
        <v>0</v>
      </c>
      <c r="M4191">
        <f>IFERROR(IF(VLOOKUP(calendar[[#This Row],[Date]],BH!C:C,1,)&lt;&gt;"",1,0),0)</f>
        <v>0</v>
      </c>
      <c r="N4191">
        <f>IFERROR(IF(VLOOKUP(calendar[[#This Row],[Date]],BH!E:E,1,)&lt;&gt;"",1,0),0)</f>
        <v>0</v>
      </c>
      <c r="O4191">
        <f>IFERROR(IF(VLOOKUP(calendar[[#This Row],[Date]],BH!G:G,1,)&lt;&gt;"",1,0),0)</f>
        <v>0</v>
      </c>
      <c r="P4191">
        <f>IF(OR(calendar[[#This Row],[UK_BH]]=1,calendar[[#This Row],[WeekDay]]=1, calendar[[#This Row],[WeekDay]]=7),P4190,P4190+1)</f>
        <v>2969</v>
      </c>
      <c r="Q4191">
        <f>IF(OR(calendar[[#This Row],[FR_BH]]=1,calendar[[#This Row],[WeekDay]]=1, calendar[[#This Row],[WeekDay]]=7),P4190,P4190+1)</f>
        <v>2969</v>
      </c>
      <c r="R4191">
        <f>IF(OR(calendar[[#This Row],[SP_BH]]=1,calendar[[#This Row],[WeekDay]]=1, calendar[[#This Row],[WeekDay]]=7),P4190,P4190+1)</f>
        <v>2969</v>
      </c>
      <c r="S4191">
        <f>IF(OR(calendar[[#This Row],[PT_BH]]=1,calendar[[#This Row],[WeekDay]]=1, calendar[[#This Row],[WeekDay]]=7),P4190,P4190+1)</f>
        <v>2969</v>
      </c>
    </row>
    <row r="4192" spans="1:19" x14ac:dyDescent="0.25">
      <c r="A4192" s="2">
        <v>46926</v>
      </c>
      <c r="B4192" s="1">
        <f t="shared" si="331"/>
        <v>26</v>
      </c>
      <c r="C4192">
        <f t="shared" si="332"/>
        <v>6</v>
      </c>
      <c r="D4192" t="str">
        <f t="shared" si="333"/>
        <v>June</v>
      </c>
      <c r="E4192">
        <f t="shared" si="334"/>
        <v>2028</v>
      </c>
      <c r="F4192" t="str">
        <f>CONCATENATE(calendar[[#This Row],[Month]],"/",calendar[[#This Row],[Year]])</f>
        <v>6/2028</v>
      </c>
      <c r="G4192">
        <f>WEEKDAY(calendar[[#This Row],[Date]],1)</f>
        <v>5</v>
      </c>
      <c r="H4192" t="str">
        <f>TEXT(calendar[[#This Row],[WeekDay]],"dddd")</f>
        <v>Thursday</v>
      </c>
      <c r="I4192">
        <f>IF((INT(calendar[[#This Row],[Count]]/7)-calendar[[#This Row],[Count]]/7)&lt;0,I4191,I4191+1)</f>
        <v>599</v>
      </c>
      <c r="J4192">
        <f t="shared" si="335"/>
        <v>4190</v>
      </c>
      <c r="K4192">
        <f>IF(calendar[[#This Row],[Month]]&lt;4,1,IF(calendar[[#This Row],[Month]]&lt;7,2,IF(calendar[[#This Row],[Month]]&lt;10,3,4)))</f>
        <v>2</v>
      </c>
      <c r="L4192">
        <f>IFERROR(IF(VLOOKUP(calendar[[#This Row],[Date]],BH!A:A,1,)&lt;&gt;"",1,0),0)</f>
        <v>0</v>
      </c>
      <c r="M4192">
        <f>IFERROR(IF(VLOOKUP(calendar[[#This Row],[Date]],BH!C:C,1,)&lt;&gt;"",1,0),0)</f>
        <v>0</v>
      </c>
      <c r="N4192">
        <f>IFERROR(IF(VLOOKUP(calendar[[#This Row],[Date]],BH!E:E,1,)&lt;&gt;"",1,0),0)</f>
        <v>0</v>
      </c>
      <c r="O4192">
        <f>IFERROR(IF(VLOOKUP(calendar[[#This Row],[Date]],BH!G:G,1,)&lt;&gt;"",1,0),0)</f>
        <v>0</v>
      </c>
      <c r="P4192">
        <f>IF(OR(calendar[[#This Row],[UK_BH]]=1,calendar[[#This Row],[WeekDay]]=1, calendar[[#This Row],[WeekDay]]=7),P4191,P4191+1)</f>
        <v>2970</v>
      </c>
      <c r="Q4192">
        <f>IF(OR(calendar[[#This Row],[FR_BH]]=1,calendar[[#This Row],[WeekDay]]=1, calendar[[#This Row],[WeekDay]]=7),P4191,P4191+1)</f>
        <v>2970</v>
      </c>
      <c r="R4192">
        <f>IF(OR(calendar[[#This Row],[SP_BH]]=1,calendar[[#This Row],[WeekDay]]=1, calendar[[#This Row],[WeekDay]]=7),P4191,P4191+1)</f>
        <v>2970</v>
      </c>
      <c r="S4192">
        <f>IF(OR(calendar[[#This Row],[PT_BH]]=1,calendar[[#This Row],[WeekDay]]=1, calendar[[#This Row],[WeekDay]]=7),P4191,P4191+1)</f>
        <v>2970</v>
      </c>
    </row>
    <row r="4193" spans="1:19" x14ac:dyDescent="0.25">
      <c r="A4193" s="2">
        <v>46927</v>
      </c>
      <c r="B4193" s="1">
        <f t="shared" si="331"/>
        <v>26</v>
      </c>
      <c r="C4193">
        <f t="shared" si="332"/>
        <v>6</v>
      </c>
      <c r="D4193" t="str">
        <f t="shared" si="333"/>
        <v>June</v>
      </c>
      <c r="E4193">
        <f t="shared" si="334"/>
        <v>2028</v>
      </c>
      <c r="F4193" t="str">
        <f>CONCATENATE(calendar[[#This Row],[Month]],"/",calendar[[#This Row],[Year]])</f>
        <v>6/2028</v>
      </c>
      <c r="G4193">
        <f>WEEKDAY(calendar[[#This Row],[Date]],1)</f>
        <v>6</v>
      </c>
      <c r="H4193" t="str">
        <f>TEXT(calendar[[#This Row],[WeekDay]],"dddd")</f>
        <v>Friday</v>
      </c>
      <c r="I4193">
        <f>IF((INT(calendar[[#This Row],[Count]]/7)-calendar[[#This Row],[Count]]/7)&lt;0,I4192,I4192+1)</f>
        <v>599</v>
      </c>
      <c r="J4193">
        <f t="shared" si="335"/>
        <v>4191</v>
      </c>
      <c r="K4193">
        <f>IF(calendar[[#This Row],[Month]]&lt;4,1,IF(calendar[[#This Row],[Month]]&lt;7,2,IF(calendar[[#This Row],[Month]]&lt;10,3,4)))</f>
        <v>2</v>
      </c>
      <c r="L4193">
        <f>IFERROR(IF(VLOOKUP(calendar[[#This Row],[Date]],BH!A:A,1,)&lt;&gt;"",1,0),0)</f>
        <v>0</v>
      </c>
      <c r="M4193">
        <f>IFERROR(IF(VLOOKUP(calendar[[#This Row],[Date]],BH!C:C,1,)&lt;&gt;"",1,0),0)</f>
        <v>0</v>
      </c>
      <c r="N4193">
        <f>IFERROR(IF(VLOOKUP(calendar[[#This Row],[Date]],BH!E:E,1,)&lt;&gt;"",1,0),0)</f>
        <v>0</v>
      </c>
      <c r="O4193">
        <f>IFERROR(IF(VLOOKUP(calendar[[#This Row],[Date]],BH!G:G,1,)&lt;&gt;"",1,0),0)</f>
        <v>0</v>
      </c>
      <c r="P4193">
        <f>IF(OR(calendar[[#This Row],[UK_BH]]=1,calendar[[#This Row],[WeekDay]]=1, calendar[[#This Row],[WeekDay]]=7),P4192,P4192+1)</f>
        <v>2971</v>
      </c>
      <c r="Q4193">
        <f>IF(OR(calendar[[#This Row],[FR_BH]]=1,calendar[[#This Row],[WeekDay]]=1, calendar[[#This Row],[WeekDay]]=7),P4192,P4192+1)</f>
        <v>2971</v>
      </c>
      <c r="R4193">
        <f>IF(OR(calendar[[#This Row],[SP_BH]]=1,calendar[[#This Row],[WeekDay]]=1, calendar[[#This Row],[WeekDay]]=7),P4192,P4192+1)</f>
        <v>2971</v>
      </c>
      <c r="S4193">
        <f>IF(OR(calendar[[#This Row],[PT_BH]]=1,calendar[[#This Row],[WeekDay]]=1, calendar[[#This Row],[WeekDay]]=7),P4192,P4192+1)</f>
        <v>2971</v>
      </c>
    </row>
    <row r="4194" spans="1:19" x14ac:dyDescent="0.25">
      <c r="A4194" s="2">
        <v>46928</v>
      </c>
      <c r="B4194" s="1">
        <f t="shared" si="331"/>
        <v>26</v>
      </c>
      <c r="C4194">
        <f t="shared" si="332"/>
        <v>6</v>
      </c>
      <c r="D4194" t="str">
        <f t="shared" si="333"/>
        <v>June</v>
      </c>
      <c r="E4194">
        <f t="shared" si="334"/>
        <v>2028</v>
      </c>
      <c r="F4194" t="str">
        <f>CONCATENATE(calendar[[#This Row],[Month]],"/",calendar[[#This Row],[Year]])</f>
        <v>6/2028</v>
      </c>
      <c r="G4194">
        <f>WEEKDAY(calendar[[#This Row],[Date]],1)</f>
        <v>7</v>
      </c>
      <c r="H4194" t="str">
        <f>TEXT(calendar[[#This Row],[WeekDay]],"dddd")</f>
        <v>Saturday</v>
      </c>
      <c r="I4194">
        <f>IF((INT(calendar[[#This Row],[Count]]/7)-calendar[[#This Row],[Count]]/7)&lt;0,I4193,I4193+1)</f>
        <v>599</v>
      </c>
      <c r="J4194">
        <f t="shared" si="335"/>
        <v>4192</v>
      </c>
      <c r="K4194">
        <f>IF(calendar[[#This Row],[Month]]&lt;4,1,IF(calendar[[#This Row],[Month]]&lt;7,2,IF(calendar[[#This Row],[Month]]&lt;10,3,4)))</f>
        <v>2</v>
      </c>
      <c r="L4194">
        <f>IFERROR(IF(VLOOKUP(calendar[[#This Row],[Date]],BH!A:A,1,)&lt;&gt;"",1,0),0)</f>
        <v>0</v>
      </c>
      <c r="M4194">
        <f>IFERROR(IF(VLOOKUP(calendar[[#This Row],[Date]],BH!C:C,1,)&lt;&gt;"",1,0),0)</f>
        <v>0</v>
      </c>
      <c r="N4194">
        <f>IFERROR(IF(VLOOKUP(calendar[[#This Row],[Date]],BH!E:E,1,)&lt;&gt;"",1,0),0)</f>
        <v>0</v>
      </c>
      <c r="O4194">
        <f>IFERROR(IF(VLOOKUP(calendar[[#This Row],[Date]],BH!G:G,1,)&lt;&gt;"",1,0),0)</f>
        <v>0</v>
      </c>
      <c r="P4194">
        <f>IF(OR(calendar[[#This Row],[UK_BH]]=1,calendar[[#This Row],[WeekDay]]=1, calendar[[#This Row],[WeekDay]]=7),P4193,P4193+1)</f>
        <v>2971</v>
      </c>
      <c r="Q4194">
        <f>IF(OR(calendar[[#This Row],[FR_BH]]=1,calendar[[#This Row],[WeekDay]]=1, calendar[[#This Row],[WeekDay]]=7),P4193,P4193+1)</f>
        <v>2971</v>
      </c>
      <c r="R4194">
        <f>IF(OR(calendar[[#This Row],[SP_BH]]=1,calendar[[#This Row],[WeekDay]]=1, calendar[[#This Row],[WeekDay]]=7),P4193,P4193+1)</f>
        <v>2971</v>
      </c>
      <c r="S4194">
        <f>IF(OR(calendar[[#This Row],[PT_BH]]=1,calendar[[#This Row],[WeekDay]]=1, calendar[[#This Row],[WeekDay]]=7),P4193,P4193+1)</f>
        <v>2971</v>
      </c>
    </row>
    <row r="4195" spans="1:19" x14ac:dyDescent="0.25">
      <c r="A4195" s="2">
        <v>46929</v>
      </c>
      <c r="B4195" s="1">
        <f t="shared" si="331"/>
        <v>27</v>
      </c>
      <c r="C4195">
        <f t="shared" si="332"/>
        <v>6</v>
      </c>
      <c r="D4195" t="str">
        <f t="shared" si="333"/>
        <v>June</v>
      </c>
      <c r="E4195">
        <f t="shared" si="334"/>
        <v>2028</v>
      </c>
      <c r="F4195" t="str">
        <f>CONCATENATE(calendar[[#This Row],[Month]],"/",calendar[[#This Row],[Year]])</f>
        <v>6/2028</v>
      </c>
      <c r="G4195">
        <f>WEEKDAY(calendar[[#This Row],[Date]],1)</f>
        <v>1</v>
      </c>
      <c r="H4195" t="str">
        <f>TEXT(calendar[[#This Row],[WeekDay]],"dddd")</f>
        <v>Sunday</v>
      </c>
      <c r="I4195">
        <f>IF((INT(calendar[[#This Row],[Count]]/7)-calendar[[#This Row],[Count]]/7)&lt;0,I4194,I4194+1)</f>
        <v>600</v>
      </c>
      <c r="J4195">
        <f t="shared" si="335"/>
        <v>4193</v>
      </c>
      <c r="K4195">
        <f>IF(calendar[[#This Row],[Month]]&lt;4,1,IF(calendar[[#This Row],[Month]]&lt;7,2,IF(calendar[[#This Row],[Month]]&lt;10,3,4)))</f>
        <v>2</v>
      </c>
      <c r="L4195">
        <f>IFERROR(IF(VLOOKUP(calendar[[#This Row],[Date]],BH!A:A,1,)&lt;&gt;"",1,0),0)</f>
        <v>0</v>
      </c>
      <c r="M4195">
        <f>IFERROR(IF(VLOOKUP(calendar[[#This Row],[Date]],BH!C:C,1,)&lt;&gt;"",1,0),0)</f>
        <v>0</v>
      </c>
      <c r="N4195">
        <f>IFERROR(IF(VLOOKUP(calendar[[#This Row],[Date]],BH!E:E,1,)&lt;&gt;"",1,0),0)</f>
        <v>0</v>
      </c>
      <c r="O4195">
        <f>IFERROR(IF(VLOOKUP(calendar[[#This Row],[Date]],BH!G:G,1,)&lt;&gt;"",1,0),0)</f>
        <v>0</v>
      </c>
      <c r="P4195">
        <f>IF(OR(calendar[[#This Row],[UK_BH]]=1,calendar[[#This Row],[WeekDay]]=1, calendar[[#This Row],[WeekDay]]=7),P4194,P4194+1)</f>
        <v>2971</v>
      </c>
      <c r="Q4195">
        <f>IF(OR(calendar[[#This Row],[FR_BH]]=1,calendar[[#This Row],[WeekDay]]=1, calendar[[#This Row],[WeekDay]]=7),P4194,P4194+1)</f>
        <v>2971</v>
      </c>
      <c r="R4195">
        <f>IF(OR(calendar[[#This Row],[SP_BH]]=1,calendar[[#This Row],[WeekDay]]=1, calendar[[#This Row],[WeekDay]]=7),P4194,P4194+1)</f>
        <v>2971</v>
      </c>
      <c r="S4195">
        <f>IF(OR(calendar[[#This Row],[PT_BH]]=1,calendar[[#This Row],[WeekDay]]=1, calendar[[#This Row],[WeekDay]]=7),P4194,P4194+1)</f>
        <v>2971</v>
      </c>
    </row>
    <row r="4196" spans="1:19" x14ac:dyDescent="0.25">
      <c r="A4196" s="2">
        <v>46930</v>
      </c>
      <c r="B4196" s="1">
        <f t="shared" si="331"/>
        <v>27</v>
      </c>
      <c r="C4196">
        <f t="shared" si="332"/>
        <v>6</v>
      </c>
      <c r="D4196" t="str">
        <f t="shared" si="333"/>
        <v>June</v>
      </c>
      <c r="E4196">
        <f t="shared" si="334"/>
        <v>2028</v>
      </c>
      <c r="F4196" t="str">
        <f>CONCATENATE(calendar[[#This Row],[Month]],"/",calendar[[#This Row],[Year]])</f>
        <v>6/2028</v>
      </c>
      <c r="G4196">
        <f>WEEKDAY(calendar[[#This Row],[Date]],1)</f>
        <v>2</v>
      </c>
      <c r="H4196" t="str">
        <f>TEXT(calendar[[#This Row],[WeekDay]],"dddd")</f>
        <v>Monday</v>
      </c>
      <c r="I4196">
        <f>IF((INT(calendar[[#This Row],[Count]]/7)-calendar[[#This Row],[Count]]/7)&lt;0,I4195,I4195+1)</f>
        <v>600</v>
      </c>
      <c r="J4196">
        <f t="shared" si="335"/>
        <v>4194</v>
      </c>
      <c r="K4196">
        <f>IF(calendar[[#This Row],[Month]]&lt;4,1,IF(calendar[[#This Row],[Month]]&lt;7,2,IF(calendar[[#This Row],[Month]]&lt;10,3,4)))</f>
        <v>2</v>
      </c>
      <c r="L4196">
        <f>IFERROR(IF(VLOOKUP(calendar[[#This Row],[Date]],BH!A:A,1,)&lt;&gt;"",1,0),0)</f>
        <v>0</v>
      </c>
      <c r="M4196">
        <f>IFERROR(IF(VLOOKUP(calendar[[#This Row],[Date]],BH!C:C,1,)&lt;&gt;"",1,0),0)</f>
        <v>0</v>
      </c>
      <c r="N4196">
        <f>IFERROR(IF(VLOOKUP(calendar[[#This Row],[Date]],BH!E:E,1,)&lt;&gt;"",1,0),0)</f>
        <v>0</v>
      </c>
      <c r="O4196">
        <f>IFERROR(IF(VLOOKUP(calendar[[#This Row],[Date]],BH!G:G,1,)&lt;&gt;"",1,0),0)</f>
        <v>0</v>
      </c>
      <c r="P4196">
        <f>IF(OR(calendar[[#This Row],[UK_BH]]=1,calendar[[#This Row],[WeekDay]]=1, calendar[[#This Row],[WeekDay]]=7),P4195,P4195+1)</f>
        <v>2972</v>
      </c>
      <c r="Q4196">
        <f>IF(OR(calendar[[#This Row],[FR_BH]]=1,calendar[[#This Row],[WeekDay]]=1, calendar[[#This Row],[WeekDay]]=7),P4195,P4195+1)</f>
        <v>2972</v>
      </c>
      <c r="R4196">
        <f>IF(OR(calendar[[#This Row],[SP_BH]]=1,calendar[[#This Row],[WeekDay]]=1, calendar[[#This Row],[WeekDay]]=7),P4195,P4195+1)</f>
        <v>2972</v>
      </c>
      <c r="S4196">
        <f>IF(OR(calendar[[#This Row],[PT_BH]]=1,calendar[[#This Row],[WeekDay]]=1, calendar[[#This Row],[WeekDay]]=7),P4195,P4195+1)</f>
        <v>2972</v>
      </c>
    </row>
    <row r="4197" spans="1:19" x14ac:dyDescent="0.25">
      <c r="A4197" s="2">
        <v>46931</v>
      </c>
      <c r="B4197" s="1">
        <f t="shared" si="331"/>
        <v>27</v>
      </c>
      <c r="C4197">
        <f t="shared" si="332"/>
        <v>6</v>
      </c>
      <c r="D4197" t="str">
        <f t="shared" si="333"/>
        <v>June</v>
      </c>
      <c r="E4197">
        <f t="shared" si="334"/>
        <v>2028</v>
      </c>
      <c r="F4197" t="str">
        <f>CONCATENATE(calendar[[#This Row],[Month]],"/",calendar[[#This Row],[Year]])</f>
        <v>6/2028</v>
      </c>
      <c r="G4197">
        <f>WEEKDAY(calendar[[#This Row],[Date]],1)</f>
        <v>3</v>
      </c>
      <c r="H4197" t="str">
        <f>TEXT(calendar[[#This Row],[WeekDay]],"dddd")</f>
        <v>Tuesday</v>
      </c>
      <c r="I4197">
        <f>IF((INT(calendar[[#This Row],[Count]]/7)-calendar[[#This Row],[Count]]/7)&lt;0,I4196,I4196+1)</f>
        <v>600</v>
      </c>
      <c r="J4197">
        <f t="shared" si="335"/>
        <v>4195</v>
      </c>
      <c r="K4197">
        <f>IF(calendar[[#This Row],[Month]]&lt;4,1,IF(calendar[[#This Row],[Month]]&lt;7,2,IF(calendar[[#This Row],[Month]]&lt;10,3,4)))</f>
        <v>2</v>
      </c>
      <c r="L4197">
        <f>IFERROR(IF(VLOOKUP(calendar[[#This Row],[Date]],BH!A:A,1,)&lt;&gt;"",1,0),0)</f>
        <v>0</v>
      </c>
      <c r="M4197">
        <f>IFERROR(IF(VLOOKUP(calendar[[#This Row],[Date]],BH!C:C,1,)&lt;&gt;"",1,0),0)</f>
        <v>0</v>
      </c>
      <c r="N4197">
        <f>IFERROR(IF(VLOOKUP(calendar[[#This Row],[Date]],BH!E:E,1,)&lt;&gt;"",1,0),0)</f>
        <v>0</v>
      </c>
      <c r="O4197">
        <f>IFERROR(IF(VLOOKUP(calendar[[#This Row],[Date]],BH!G:G,1,)&lt;&gt;"",1,0),0)</f>
        <v>0</v>
      </c>
      <c r="P4197">
        <f>IF(OR(calendar[[#This Row],[UK_BH]]=1,calendar[[#This Row],[WeekDay]]=1, calendar[[#This Row],[WeekDay]]=7),P4196,P4196+1)</f>
        <v>2973</v>
      </c>
      <c r="Q4197">
        <f>IF(OR(calendar[[#This Row],[FR_BH]]=1,calendar[[#This Row],[WeekDay]]=1, calendar[[#This Row],[WeekDay]]=7),P4196,P4196+1)</f>
        <v>2973</v>
      </c>
      <c r="R4197">
        <f>IF(OR(calendar[[#This Row],[SP_BH]]=1,calendar[[#This Row],[WeekDay]]=1, calendar[[#This Row],[WeekDay]]=7),P4196,P4196+1)</f>
        <v>2973</v>
      </c>
      <c r="S4197">
        <f>IF(OR(calendar[[#This Row],[PT_BH]]=1,calendar[[#This Row],[WeekDay]]=1, calendar[[#This Row],[WeekDay]]=7),P4196,P4196+1)</f>
        <v>2973</v>
      </c>
    </row>
    <row r="4198" spans="1:19" x14ac:dyDescent="0.25">
      <c r="A4198" s="2">
        <v>46932</v>
      </c>
      <c r="B4198" s="1">
        <f t="shared" si="331"/>
        <v>27</v>
      </c>
      <c r="C4198">
        <f t="shared" si="332"/>
        <v>6</v>
      </c>
      <c r="D4198" t="str">
        <f t="shared" si="333"/>
        <v>June</v>
      </c>
      <c r="E4198">
        <f t="shared" si="334"/>
        <v>2028</v>
      </c>
      <c r="F4198" t="str">
        <f>CONCATENATE(calendar[[#This Row],[Month]],"/",calendar[[#This Row],[Year]])</f>
        <v>6/2028</v>
      </c>
      <c r="G4198">
        <f>WEEKDAY(calendar[[#This Row],[Date]],1)</f>
        <v>4</v>
      </c>
      <c r="H4198" t="str">
        <f>TEXT(calendar[[#This Row],[WeekDay]],"dddd")</f>
        <v>Wednesday</v>
      </c>
      <c r="I4198">
        <f>IF((INT(calendar[[#This Row],[Count]]/7)-calendar[[#This Row],[Count]]/7)&lt;0,I4197,I4197+1)</f>
        <v>600</v>
      </c>
      <c r="J4198">
        <f t="shared" si="335"/>
        <v>4196</v>
      </c>
      <c r="K4198">
        <f>IF(calendar[[#This Row],[Month]]&lt;4,1,IF(calendar[[#This Row],[Month]]&lt;7,2,IF(calendar[[#This Row],[Month]]&lt;10,3,4)))</f>
        <v>2</v>
      </c>
      <c r="L4198">
        <f>IFERROR(IF(VLOOKUP(calendar[[#This Row],[Date]],BH!A:A,1,)&lt;&gt;"",1,0),0)</f>
        <v>0</v>
      </c>
      <c r="M4198">
        <f>IFERROR(IF(VLOOKUP(calendar[[#This Row],[Date]],BH!C:C,1,)&lt;&gt;"",1,0),0)</f>
        <v>0</v>
      </c>
      <c r="N4198">
        <f>IFERROR(IF(VLOOKUP(calendar[[#This Row],[Date]],BH!E:E,1,)&lt;&gt;"",1,0),0)</f>
        <v>0</v>
      </c>
      <c r="O4198">
        <f>IFERROR(IF(VLOOKUP(calendar[[#This Row],[Date]],BH!G:G,1,)&lt;&gt;"",1,0),0)</f>
        <v>0</v>
      </c>
      <c r="P4198">
        <f>IF(OR(calendar[[#This Row],[UK_BH]]=1,calendar[[#This Row],[WeekDay]]=1, calendar[[#This Row],[WeekDay]]=7),P4197,P4197+1)</f>
        <v>2974</v>
      </c>
      <c r="Q4198">
        <f>IF(OR(calendar[[#This Row],[FR_BH]]=1,calendar[[#This Row],[WeekDay]]=1, calendar[[#This Row],[WeekDay]]=7),P4197,P4197+1)</f>
        <v>2974</v>
      </c>
      <c r="R4198">
        <f>IF(OR(calendar[[#This Row],[SP_BH]]=1,calendar[[#This Row],[WeekDay]]=1, calendar[[#This Row],[WeekDay]]=7),P4197,P4197+1)</f>
        <v>2974</v>
      </c>
      <c r="S4198">
        <f>IF(OR(calendar[[#This Row],[PT_BH]]=1,calendar[[#This Row],[WeekDay]]=1, calendar[[#This Row],[WeekDay]]=7),P4197,P4197+1)</f>
        <v>2974</v>
      </c>
    </row>
    <row r="4199" spans="1:19" x14ac:dyDescent="0.25">
      <c r="A4199" s="2">
        <v>46933</v>
      </c>
      <c r="B4199" s="1">
        <f t="shared" si="331"/>
        <v>27</v>
      </c>
      <c r="C4199">
        <f t="shared" si="332"/>
        <v>6</v>
      </c>
      <c r="D4199" t="str">
        <f t="shared" si="333"/>
        <v>June</v>
      </c>
      <c r="E4199">
        <f t="shared" si="334"/>
        <v>2028</v>
      </c>
      <c r="F4199" t="str">
        <f>CONCATENATE(calendar[[#This Row],[Month]],"/",calendar[[#This Row],[Year]])</f>
        <v>6/2028</v>
      </c>
      <c r="G4199">
        <f>WEEKDAY(calendar[[#This Row],[Date]],1)</f>
        <v>5</v>
      </c>
      <c r="H4199" t="str">
        <f>TEXT(calendar[[#This Row],[WeekDay]],"dddd")</f>
        <v>Thursday</v>
      </c>
      <c r="I4199">
        <f>IF((INT(calendar[[#This Row],[Count]]/7)-calendar[[#This Row],[Count]]/7)&lt;0,I4198,I4198+1)</f>
        <v>600</v>
      </c>
      <c r="J4199">
        <f t="shared" si="335"/>
        <v>4197</v>
      </c>
      <c r="K4199">
        <f>IF(calendar[[#This Row],[Month]]&lt;4,1,IF(calendar[[#This Row],[Month]]&lt;7,2,IF(calendar[[#This Row],[Month]]&lt;10,3,4)))</f>
        <v>2</v>
      </c>
      <c r="L4199">
        <f>IFERROR(IF(VLOOKUP(calendar[[#This Row],[Date]],BH!A:A,1,)&lt;&gt;"",1,0),0)</f>
        <v>0</v>
      </c>
      <c r="M4199">
        <f>IFERROR(IF(VLOOKUP(calendar[[#This Row],[Date]],BH!C:C,1,)&lt;&gt;"",1,0),0)</f>
        <v>0</v>
      </c>
      <c r="N4199">
        <f>IFERROR(IF(VLOOKUP(calendar[[#This Row],[Date]],BH!E:E,1,)&lt;&gt;"",1,0),0)</f>
        <v>0</v>
      </c>
      <c r="O4199">
        <f>IFERROR(IF(VLOOKUP(calendar[[#This Row],[Date]],BH!G:G,1,)&lt;&gt;"",1,0),0)</f>
        <v>0</v>
      </c>
      <c r="P4199">
        <f>IF(OR(calendar[[#This Row],[UK_BH]]=1,calendar[[#This Row],[WeekDay]]=1, calendar[[#This Row],[WeekDay]]=7),P4198,P4198+1)</f>
        <v>2975</v>
      </c>
      <c r="Q4199">
        <f>IF(OR(calendar[[#This Row],[FR_BH]]=1,calendar[[#This Row],[WeekDay]]=1, calendar[[#This Row],[WeekDay]]=7),P4198,P4198+1)</f>
        <v>2975</v>
      </c>
      <c r="R4199">
        <f>IF(OR(calendar[[#This Row],[SP_BH]]=1,calendar[[#This Row],[WeekDay]]=1, calendar[[#This Row],[WeekDay]]=7),P4198,P4198+1)</f>
        <v>2975</v>
      </c>
      <c r="S4199">
        <f>IF(OR(calendar[[#This Row],[PT_BH]]=1,calendar[[#This Row],[WeekDay]]=1, calendar[[#This Row],[WeekDay]]=7),P4198,P4198+1)</f>
        <v>2975</v>
      </c>
    </row>
    <row r="4200" spans="1:19" x14ac:dyDescent="0.25">
      <c r="A4200" s="2">
        <v>46934</v>
      </c>
      <c r="B4200" s="1">
        <f t="shared" si="331"/>
        <v>27</v>
      </c>
      <c r="C4200">
        <f t="shared" si="332"/>
        <v>6</v>
      </c>
      <c r="D4200" t="str">
        <f t="shared" si="333"/>
        <v>June</v>
      </c>
      <c r="E4200">
        <f t="shared" si="334"/>
        <v>2028</v>
      </c>
      <c r="F4200" t="str">
        <f>CONCATENATE(calendar[[#This Row],[Month]],"/",calendar[[#This Row],[Year]])</f>
        <v>6/2028</v>
      </c>
      <c r="G4200">
        <f>WEEKDAY(calendar[[#This Row],[Date]],1)</f>
        <v>6</v>
      </c>
      <c r="H4200" t="str">
        <f>TEXT(calendar[[#This Row],[WeekDay]],"dddd")</f>
        <v>Friday</v>
      </c>
      <c r="I4200">
        <f>IF((INT(calendar[[#This Row],[Count]]/7)-calendar[[#This Row],[Count]]/7)&lt;0,I4199,I4199+1)</f>
        <v>600</v>
      </c>
      <c r="J4200">
        <f t="shared" si="335"/>
        <v>4198</v>
      </c>
      <c r="K4200">
        <f>IF(calendar[[#This Row],[Month]]&lt;4,1,IF(calendar[[#This Row],[Month]]&lt;7,2,IF(calendar[[#This Row],[Month]]&lt;10,3,4)))</f>
        <v>2</v>
      </c>
      <c r="L4200">
        <f>IFERROR(IF(VLOOKUP(calendar[[#This Row],[Date]],BH!A:A,1,)&lt;&gt;"",1,0),0)</f>
        <v>0</v>
      </c>
      <c r="M4200">
        <f>IFERROR(IF(VLOOKUP(calendar[[#This Row],[Date]],BH!C:C,1,)&lt;&gt;"",1,0),0)</f>
        <v>0</v>
      </c>
      <c r="N4200">
        <f>IFERROR(IF(VLOOKUP(calendar[[#This Row],[Date]],BH!E:E,1,)&lt;&gt;"",1,0),0)</f>
        <v>0</v>
      </c>
      <c r="O4200">
        <f>IFERROR(IF(VLOOKUP(calendar[[#This Row],[Date]],BH!G:G,1,)&lt;&gt;"",1,0),0)</f>
        <v>0</v>
      </c>
      <c r="P4200">
        <f>IF(OR(calendar[[#This Row],[UK_BH]]=1,calendar[[#This Row],[WeekDay]]=1, calendar[[#This Row],[WeekDay]]=7),P4199,P4199+1)</f>
        <v>2976</v>
      </c>
      <c r="Q4200">
        <f>IF(OR(calendar[[#This Row],[FR_BH]]=1,calendar[[#This Row],[WeekDay]]=1, calendar[[#This Row],[WeekDay]]=7),P4199,P4199+1)</f>
        <v>2976</v>
      </c>
      <c r="R4200">
        <f>IF(OR(calendar[[#This Row],[SP_BH]]=1,calendar[[#This Row],[WeekDay]]=1, calendar[[#This Row],[WeekDay]]=7),P4199,P4199+1)</f>
        <v>2976</v>
      </c>
      <c r="S4200">
        <f>IF(OR(calendar[[#This Row],[PT_BH]]=1,calendar[[#This Row],[WeekDay]]=1, calendar[[#This Row],[WeekDay]]=7),P4199,P4199+1)</f>
        <v>2976</v>
      </c>
    </row>
    <row r="4201" spans="1:19" x14ac:dyDescent="0.25">
      <c r="A4201" s="2">
        <v>46935</v>
      </c>
      <c r="B4201" s="1">
        <f t="shared" si="331"/>
        <v>27</v>
      </c>
      <c r="C4201">
        <f t="shared" si="332"/>
        <v>7</v>
      </c>
      <c r="D4201" t="str">
        <f t="shared" si="333"/>
        <v>July</v>
      </c>
      <c r="E4201">
        <f t="shared" si="334"/>
        <v>2028</v>
      </c>
      <c r="F4201" t="str">
        <f>CONCATENATE(calendar[[#This Row],[Month]],"/",calendar[[#This Row],[Year]])</f>
        <v>7/2028</v>
      </c>
      <c r="G4201">
        <f>WEEKDAY(calendar[[#This Row],[Date]],1)</f>
        <v>7</v>
      </c>
      <c r="H4201" t="str">
        <f>TEXT(calendar[[#This Row],[WeekDay]],"dddd")</f>
        <v>Saturday</v>
      </c>
      <c r="I4201">
        <f>IF((INT(calendar[[#This Row],[Count]]/7)-calendar[[#This Row],[Count]]/7)&lt;0,I4200,I4200+1)</f>
        <v>600</v>
      </c>
      <c r="J4201">
        <f t="shared" si="335"/>
        <v>4199</v>
      </c>
      <c r="K4201">
        <f>IF(calendar[[#This Row],[Month]]&lt;4,1,IF(calendar[[#This Row],[Month]]&lt;7,2,IF(calendar[[#This Row],[Month]]&lt;10,3,4)))</f>
        <v>3</v>
      </c>
      <c r="L4201">
        <f>IFERROR(IF(VLOOKUP(calendar[[#This Row],[Date]],BH!A:A,1,)&lt;&gt;"",1,0),0)</f>
        <v>0</v>
      </c>
      <c r="M4201">
        <f>IFERROR(IF(VLOOKUP(calendar[[#This Row],[Date]],BH!C:C,1,)&lt;&gt;"",1,0),0)</f>
        <v>0</v>
      </c>
      <c r="N4201">
        <f>IFERROR(IF(VLOOKUP(calendar[[#This Row],[Date]],BH!E:E,1,)&lt;&gt;"",1,0),0)</f>
        <v>0</v>
      </c>
      <c r="O4201">
        <f>IFERROR(IF(VLOOKUP(calendar[[#This Row],[Date]],BH!G:G,1,)&lt;&gt;"",1,0),0)</f>
        <v>0</v>
      </c>
      <c r="P4201">
        <f>IF(OR(calendar[[#This Row],[UK_BH]]=1,calendar[[#This Row],[WeekDay]]=1, calendar[[#This Row],[WeekDay]]=7),P4200,P4200+1)</f>
        <v>2976</v>
      </c>
      <c r="Q4201">
        <f>IF(OR(calendar[[#This Row],[FR_BH]]=1,calendar[[#This Row],[WeekDay]]=1, calendar[[#This Row],[WeekDay]]=7),P4200,P4200+1)</f>
        <v>2976</v>
      </c>
      <c r="R4201">
        <f>IF(OR(calendar[[#This Row],[SP_BH]]=1,calendar[[#This Row],[WeekDay]]=1, calendar[[#This Row],[WeekDay]]=7),P4200,P4200+1)</f>
        <v>2976</v>
      </c>
      <c r="S4201">
        <f>IF(OR(calendar[[#This Row],[PT_BH]]=1,calendar[[#This Row],[WeekDay]]=1, calendar[[#This Row],[WeekDay]]=7),P4200,P4200+1)</f>
        <v>2976</v>
      </c>
    </row>
    <row r="4202" spans="1:19" x14ac:dyDescent="0.25">
      <c r="A4202" s="2">
        <v>46936</v>
      </c>
      <c r="B4202" s="1">
        <f t="shared" si="331"/>
        <v>28</v>
      </c>
      <c r="C4202">
        <f t="shared" si="332"/>
        <v>7</v>
      </c>
      <c r="D4202" t="str">
        <f t="shared" si="333"/>
        <v>July</v>
      </c>
      <c r="E4202">
        <f t="shared" si="334"/>
        <v>2028</v>
      </c>
      <c r="F4202" t="str">
        <f>CONCATENATE(calendar[[#This Row],[Month]],"/",calendar[[#This Row],[Year]])</f>
        <v>7/2028</v>
      </c>
      <c r="G4202">
        <f>WEEKDAY(calendar[[#This Row],[Date]],1)</f>
        <v>1</v>
      </c>
      <c r="H4202" t="str">
        <f>TEXT(calendar[[#This Row],[WeekDay]],"dddd")</f>
        <v>Sunday</v>
      </c>
      <c r="I4202">
        <f>IF((INT(calendar[[#This Row],[Count]]/7)-calendar[[#This Row],[Count]]/7)&lt;0,I4201,I4201+1)</f>
        <v>601</v>
      </c>
      <c r="J4202">
        <f t="shared" si="335"/>
        <v>4200</v>
      </c>
      <c r="K4202">
        <f>IF(calendar[[#This Row],[Month]]&lt;4,1,IF(calendar[[#This Row],[Month]]&lt;7,2,IF(calendar[[#This Row],[Month]]&lt;10,3,4)))</f>
        <v>3</v>
      </c>
      <c r="L4202">
        <f>IFERROR(IF(VLOOKUP(calendar[[#This Row],[Date]],BH!A:A,1,)&lt;&gt;"",1,0),0)</f>
        <v>0</v>
      </c>
      <c r="M4202">
        <f>IFERROR(IF(VLOOKUP(calendar[[#This Row],[Date]],BH!C:C,1,)&lt;&gt;"",1,0),0)</f>
        <v>0</v>
      </c>
      <c r="N4202">
        <f>IFERROR(IF(VLOOKUP(calendar[[#This Row],[Date]],BH!E:E,1,)&lt;&gt;"",1,0),0)</f>
        <v>0</v>
      </c>
      <c r="O4202">
        <f>IFERROR(IF(VLOOKUP(calendar[[#This Row],[Date]],BH!G:G,1,)&lt;&gt;"",1,0),0)</f>
        <v>0</v>
      </c>
      <c r="P4202">
        <f>IF(OR(calendar[[#This Row],[UK_BH]]=1,calendar[[#This Row],[WeekDay]]=1, calendar[[#This Row],[WeekDay]]=7),P4201,P4201+1)</f>
        <v>2976</v>
      </c>
      <c r="Q4202">
        <f>IF(OR(calendar[[#This Row],[FR_BH]]=1,calendar[[#This Row],[WeekDay]]=1, calendar[[#This Row],[WeekDay]]=7),P4201,P4201+1)</f>
        <v>2976</v>
      </c>
      <c r="R4202">
        <f>IF(OR(calendar[[#This Row],[SP_BH]]=1,calendar[[#This Row],[WeekDay]]=1, calendar[[#This Row],[WeekDay]]=7),P4201,P4201+1)</f>
        <v>2976</v>
      </c>
      <c r="S4202">
        <f>IF(OR(calendar[[#This Row],[PT_BH]]=1,calendar[[#This Row],[WeekDay]]=1, calendar[[#This Row],[WeekDay]]=7),P4201,P4201+1)</f>
        <v>2976</v>
      </c>
    </row>
    <row r="4203" spans="1:19" x14ac:dyDescent="0.25">
      <c r="A4203" s="2">
        <v>46937</v>
      </c>
      <c r="B4203" s="1">
        <f t="shared" si="331"/>
        <v>28</v>
      </c>
      <c r="C4203">
        <f t="shared" si="332"/>
        <v>7</v>
      </c>
      <c r="D4203" t="str">
        <f t="shared" si="333"/>
        <v>July</v>
      </c>
      <c r="E4203">
        <f t="shared" si="334"/>
        <v>2028</v>
      </c>
      <c r="F4203" t="str">
        <f>CONCATENATE(calendar[[#This Row],[Month]],"/",calendar[[#This Row],[Year]])</f>
        <v>7/2028</v>
      </c>
      <c r="G4203">
        <f>WEEKDAY(calendar[[#This Row],[Date]],1)</f>
        <v>2</v>
      </c>
      <c r="H4203" t="str">
        <f>TEXT(calendar[[#This Row],[WeekDay]],"dddd")</f>
        <v>Monday</v>
      </c>
      <c r="I4203">
        <f>IF((INT(calendar[[#This Row],[Count]]/7)-calendar[[#This Row],[Count]]/7)&lt;0,I4202,I4202+1)</f>
        <v>601</v>
      </c>
      <c r="J4203">
        <f t="shared" si="335"/>
        <v>4201</v>
      </c>
      <c r="K4203">
        <f>IF(calendar[[#This Row],[Month]]&lt;4,1,IF(calendar[[#This Row],[Month]]&lt;7,2,IF(calendar[[#This Row],[Month]]&lt;10,3,4)))</f>
        <v>3</v>
      </c>
      <c r="L4203">
        <f>IFERROR(IF(VLOOKUP(calendar[[#This Row],[Date]],BH!A:A,1,)&lt;&gt;"",1,0),0)</f>
        <v>0</v>
      </c>
      <c r="M4203">
        <f>IFERROR(IF(VLOOKUP(calendar[[#This Row],[Date]],BH!C:C,1,)&lt;&gt;"",1,0),0)</f>
        <v>0</v>
      </c>
      <c r="N4203">
        <f>IFERROR(IF(VLOOKUP(calendar[[#This Row],[Date]],BH!E:E,1,)&lt;&gt;"",1,0),0)</f>
        <v>0</v>
      </c>
      <c r="O4203">
        <f>IFERROR(IF(VLOOKUP(calendar[[#This Row],[Date]],BH!G:G,1,)&lt;&gt;"",1,0),0)</f>
        <v>0</v>
      </c>
      <c r="P4203">
        <f>IF(OR(calendar[[#This Row],[UK_BH]]=1,calendar[[#This Row],[WeekDay]]=1, calendar[[#This Row],[WeekDay]]=7),P4202,P4202+1)</f>
        <v>2977</v>
      </c>
      <c r="Q4203">
        <f>IF(OR(calendar[[#This Row],[FR_BH]]=1,calendar[[#This Row],[WeekDay]]=1, calendar[[#This Row],[WeekDay]]=7),P4202,P4202+1)</f>
        <v>2977</v>
      </c>
      <c r="R4203">
        <f>IF(OR(calendar[[#This Row],[SP_BH]]=1,calendar[[#This Row],[WeekDay]]=1, calendar[[#This Row],[WeekDay]]=7),P4202,P4202+1)</f>
        <v>2977</v>
      </c>
      <c r="S4203">
        <f>IF(OR(calendar[[#This Row],[PT_BH]]=1,calendar[[#This Row],[WeekDay]]=1, calendar[[#This Row],[WeekDay]]=7),P4202,P4202+1)</f>
        <v>2977</v>
      </c>
    </row>
    <row r="4204" spans="1:19" x14ac:dyDescent="0.25">
      <c r="A4204" s="2">
        <v>46938</v>
      </c>
      <c r="B4204" s="1">
        <f t="shared" si="331"/>
        <v>28</v>
      </c>
      <c r="C4204">
        <f t="shared" si="332"/>
        <v>7</v>
      </c>
      <c r="D4204" t="str">
        <f t="shared" si="333"/>
        <v>July</v>
      </c>
      <c r="E4204">
        <f t="shared" si="334"/>
        <v>2028</v>
      </c>
      <c r="F4204" t="str">
        <f>CONCATENATE(calendar[[#This Row],[Month]],"/",calendar[[#This Row],[Year]])</f>
        <v>7/2028</v>
      </c>
      <c r="G4204">
        <f>WEEKDAY(calendar[[#This Row],[Date]],1)</f>
        <v>3</v>
      </c>
      <c r="H4204" t="str">
        <f>TEXT(calendar[[#This Row],[WeekDay]],"dddd")</f>
        <v>Tuesday</v>
      </c>
      <c r="I4204">
        <f>IF((INT(calendar[[#This Row],[Count]]/7)-calendar[[#This Row],[Count]]/7)&lt;0,I4203,I4203+1)</f>
        <v>601</v>
      </c>
      <c r="J4204">
        <f t="shared" si="335"/>
        <v>4202</v>
      </c>
      <c r="K4204">
        <f>IF(calendar[[#This Row],[Month]]&lt;4,1,IF(calendar[[#This Row],[Month]]&lt;7,2,IF(calendar[[#This Row],[Month]]&lt;10,3,4)))</f>
        <v>3</v>
      </c>
      <c r="L4204">
        <f>IFERROR(IF(VLOOKUP(calendar[[#This Row],[Date]],BH!A:A,1,)&lt;&gt;"",1,0),0)</f>
        <v>0</v>
      </c>
      <c r="M4204">
        <f>IFERROR(IF(VLOOKUP(calendar[[#This Row],[Date]],BH!C:C,1,)&lt;&gt;"",1,0),0)</f>
        <v>0</v>
      </c>
      <c r="N4204">
        <f>IFERROR(IF(VLOOKUP(calendar[[#This Row],[Date]],BH!E:E,1,)&lt;&gt;"",1,0),0)</f>
        <v>0</v>
      </c>
      <c r="O4204">
        <f>IFERROR(IF(VLOOKUP(calendar[[#This Row],[Date]],BH!G:G,1,)&lt;&gt;"",1,0),0)</f>
        <v>0</v>
      </c>
      <c r="P4204">
        <f>IF(OR(calendar[[#This Row],[UK_BH]]=1,calendar[[#This Row],[WeekDay]]=1, calendar[[#This Row],[WeekDay]]=7),P4203,P4203+1)</f>
        <v>2978</v>
      </c>
      <c r="Q4204">
        <f>IF(OR(calendar[[#This Row],[FR_BH]]=1,calendar[[#This Row],[WeekDay]]=1, calendar[[#This Row],[WeekDay]]=7),P4203,P4203+1)</f>
        <v>2978</v>
      </c>
      <c r="R4204">
        <f>IF(OR(calendar[[#This Row],[SP_BH]]=1,calendar[[#This Row],[WeekDay]]=1, calendar[[#This Row],[WeekDay]]=7),P4203,P4203+1)</f>
        <v>2978</v>
      </c>
      <c r="S4204">
        <f>IF(OR(calendar[[#This Row],[PT_BH]]=1,calendar[[#This Row],[WeekDay]]=1, calendar[[#This Row],[WeekDay]]=7),P4203,P4203+1)</f>
        <v>2978</v>
      </c>
    </row>
    <row r="4205" spans="1:19" x14ac:dyDescent="0.25">
      <c r="A4205" s="2">
        <v>46939</v>
      </c>
      <c r="B4205" s="1">
        <f t="shared" si="331"/>
        <v>28</v>
      </c>
      <c r="C4205">
        <f t="shared" si="332"/>
        <v>7</v>
      </c>
      <c r="D4205" t="str">
        <f t="shared" si="333"/>
        <v>July</v>
      </c>
      <c r="E4205">
        <f t="shared" si="334"/>
        <v>2028</v>
      </c>
      <c r="F4205" t="str">
        <f>CONCATENATE(calendar[[#This Row],[Month]],"/",calendar[[#This Row],[Year]])</f>
        <v>7/2028</v>
      </c>
      <c r="G4205">
        <f>WEEKDAY(calendar[[#This Row],[Date]],1)</f>
        <v>4</v>
      </c>
      <c r="H4205" t="str">
        <f>TEXT(calendar[[#This Row],[WeekDay]],"dddd")</f>
        <v>Wednesday</v>
      </c>
      <c r="I4205">
        <f>IF((INT(calendar[[#This Row],[Count]]/7)-calendar[[#This Row],[Count]]/7)&lt;0,I4204,I4204+1)</f>
        <v>601</v>
      </c>
      <c r="J4205">
        <f t="shared" si="335"/>
        <v>4203</v>
      </c>
      <c r="K4205">
        <f>IF(calendar[[#This Row],[Month]]&lt;4,1,IF(calendar[[#This Row],[Month]]&lt;7,2,IF(calendar[[#This Row],[Month]]&lt;10,3,4)))</f>
        <v>3</v>
      </c>
      <c r="L4205">
        <f>IFERROR(IF(VLOOKUP(calendar[[#This Row],[Date]],BH!A:A,1,)&lt;&gt;"",1,0),0)</f>
        <v>0</v>
      </c>
      <c r="M4205">
        <f>IFERROR(IF(VLOOKUP(calendar[[#This Row],[Date]],BH!C:C,1,)&lt;&gt;"",1,0),0)</f>
        <v>0</v>
      </c>
      <c r="N4205">
        <f>IFERROR(IF(VLOOKUP(calendar[[#This Row],[Date]],BH!E:E,1,)&lt;&gt;"",1,0),0)</f>
        <v>0</v>
      </c>
      <c r="O4205">
        <f>IFERROR(IF(VLOOKUP(calendar[[#This Row],[Date]],BH!G:G,1,)&lt;&gt;"",1,0),0)</f>
        <v>0</v>
      </c>
      <c r="P4205">
        <f>IF(OR(calendar[[#This Row],[UK_BH]]=1,calendar[[#This Row],[WeekDay]]=1, calendar[[#This Row],[WeekDay]]=7),P4204,P4204+1)</f>
        <v>2979</v>
      </c>
      <c r="Q4205">
        <f>IF(OR(calendar[[#This Row],[FR_BH]]=1,calendar[[#This Row],[WeekDay]]=1, calendar[[#This Row],[WeekDay]]=7),P4204,P4204+1)</f>
        <v>2979</v>
      </c>
      <c r="R4205">
        <f>IF(OR(calendar[[#This Row],[SP_BH]]=1,calendar[[#This Row],[WeekDay]]=1, calendar[[#This Row],[WeekDay]]=7),P4204,P4204+1)</f>
        <v>2979</v>
      </c>
      <c r="S4205">
        <f>IF(OR(calendar[[#This Row],[PT_BH]]=1,calendar[[#This Row],[WeekDay]]=1, calendar[[#This Row],[WeekDay]]=7),P4204,P4204+1)</f>
        <v>2979</v>
      </c>
    </row>
    <row r="4206" spans="1:19" x14ac:dyDescent="0.25">
      <c r="A4206" s="2">
        <v>46940</v>
      </c>
      <c r="B4206" s="1">
        <f t="shared" si="331"/>
        <v>28</v>
      </c>
      <c r="C4206">
        <f t="shared" si="332"/>
        <v>7</v>
      </c>
      <c r="D4206" t="str">
        <f t="shared" si="333"/>
        <v>July</v>
      </c>
      <c r="E4206">
        <f t="shared" si="334"/>
        <v>2028</v>
      </c>
      <c r="F4206" t="str">
        <f>CONCATENATE(calendar[[#This Row],[Month]],"/",calendar[[#This Row],[Year]])</f>
        <v>7/2028</v>
      </c>
      <c r="G4206">
        <f>WEEKDAY(calendar[[#This Row],[Date]],1)</f>
        <v>5</v>
      </c>
      <c r="H4206" t="str">
        <f>TEXT(calendar[[#This Row],[WeekDay]],"dddd")</f>
        <v>Thursday</v>
      </c>
      <c r="I4206">
        <f>IF((INT(calendar[[#This Row],[Count]]/7)-calendar[[#This Row],[Count]]/7)&lt;0,I4205,I4205+1)</f>
        <v>601</v>
      </c>
      <c r="J4206">
        <f t="shared" si="335"/>
        <v>4204</v>
      </c>
      <c r="K4206">
        <f>IF(calendar[[#This Row],[Month]]&lt;4,1,IF(calendar[[#This Row],[Month]]&lt;7,2,IF(calendar[[#This Row],[Month]]&lt;10,3,4)))</f>
        <v>3</v>
      </c>
      <c r="L4206">
        <f>IFERROR(IF(VLOOKUP(calendar[[#This Row],[Date]],BH!A:A,1,)&lt;&gt;"",1,0),0)</f>
        <v>0</v>
      </c>
      <c r="M4206">
        <f>IFERROR(IF(VLOOKUP(calendar[[#This Row],[Date]],BH!C:C,1,)&lt;&gt;"",1,0),0)</f>
        <v>0</v>
      </c>
      <c r="N4206">
        <f>IFERROR(IF(VLOOKUP(calendar[[#This Row],[Date]],BH!E:E,1,)&lt;&gt;"",1,0),0)</f>
        <v>0</v>
      </c>
      <c r="O4206">
        <f>IFERROR(IF(VLOOKUP(calendar[[#This Row],[Date]],BH!G:G,1,)&lt;&gt;"",1,0),0)</f>
        <v>0</v>
      </c>
      <c r="P4206">
        <f>IF(OR(calendar[[#This Row],[UK_BH]]=1,calendar[[#This Row],[WeekDay]]=1, calendar[[#This Row],[WeekDay]]=7),P4205,P4205+1)</f>
        <v>2980</v>
      </c>
      <c r="Q4206">
        <f>IF(OR(calendar[[#This Row],[FR_BH]]=1,calendar[[#This Row],[WeekDay]]=1, calendar[[#This Row],[WeekDay]]=7),P4205,P4205+1)</f>
        <v>2980</v>
      </c>
      <c r="R4206">
        <f>IF(OR(calendar[[#This Row],[SP_BH]]=1,calendar[[#This Row],[WeekDay]]=1, calendar[[#This Row],[WeekDay]]=7),P4205,P4205+1)</f>
        <v>2980</v>
      </c>
      <c r="S4206">
        <f>IF(OR(calendar[[#This Row],[PT_BH]]=1,calendar[[#This Row],[WeekDay]]=1, calendar[[#This Row],[WeekDay]]=7),P4205,P4205+1)</f>
        <v>2980</v>
      </c>
    </row>
    <row r="4207" spans="1:19" x14ac:dyDescent="0.25">
      <c r="A4207" s="2">
        <v>46941</v>
      </c>
      <c r="B4207" s="1">
        <f t="shared" si="331"/>
        <v>28</v>
      </c>
      <c r="C4207">
        <f t="shared" si="332"/>
        <v>7</v>
      </c>
      <c r="D4207" t="str">
        <f t="shared" si="333"/>
        <v>July</v>
      </c>
      <c r="E4207">
        <f t="shared" si="334"/>
        <v>2028</v>
      </c>
      <c r="F4207" t="str">
        <f>CONCATENATE(calendar[[#This Row],[Month]],"/",calendar[[#This Row],[Year]])</f>
        <v>7/2028</v>
      </c>
      <c r="G4207">
        <f>WEEKDAY(calendar[[#This Row],[Date]],1)</f>
        <v>6</v>
      </c>
      <c r="H4207" t="str">
        <f>TEXT(calendar[[#This Row],[WeekDay]],"dddd")</f>
        <v>Friday</v>
      </c>
      <c r="I4207">
        <f>IF((INT(calendar[[#This Row],[Count]]/7)-calendar[[#This Row],[Count]]/7)&lt;0,I4206,I4206+1)</f>
        <v>601</v>
      </c>
      <c r="J4207">
        <f t="shared" si="335"/>
        <v>4205</v>
      </c>
      <c r="K4207">
        <f>IF(calendar[[#This Row],[Month]]&lt;4,1,IF(calendar[[#This Row],[Month]]&lt;7,2,IF(calendar[[#This Row],[Month]]&lt;10,3,4)))</f>
        <v>3</v>
      </c>
      <c r="L4207">
        <f>IFERROR(IF(VLOOKUP(calendar[[#This Row],[Date]],BH!A:A,1,)&lt;&gt;"",1,0),0)</f>
        <v>0</v>
      </c>
      <c r="M4207">
        <f>IFERROR(IF(VLOOKUP(calendar[[#This Row],[Date]],BH!C:C,1,)&lt;&gt;"",1,0),0)</f>
        <v>0</v>
      </c>
      <c r="N4207">
        <f>IFERROR(IF(VLOOKUP(calendar[[#This Row],[Date]],BH!E:E,1,)&lt;&gt;"",1,0),0)</f>
        <v>0</v>
      </c>
      <c r="O4207">
        <f>IFERROR(IF(VLOOKUP(calendar[[#This Row],[Date]],BH!G:G,1,)&lt;&gt;"",1,0),0)</f>
        <v>0</v>
      </c>
      <c r="P4207">
        <f>IF(OR(calendar[[#This Row],[UK_BH]]=1,calendar[[#This Row],[WeekDay]]=1, calendar[[#This Row],[WeekDay]]=7),P4206,P4206+1)</f>
        <v>2981</v>
      </c>
      <c r="Q4207">
        <f>IF(OR(calendar[[#This Row],[FR_BH]]=1,calendar[[#This Row],[WeekDay]]=1, calendar[[#This Row],[WeekDay]]=7),P4206,P4206+1)</f>
        <v>2981</v>
      </c>
      <c r="R4207">
        <f>IF(OR(calendar[[#This Row],[SP_BH]]=1,calendar[[#This Row],[WeekDay]]=1, calendar[[#This Row],[WeekDay]]=7),P4206,P4206+1)</f>
        <v>2981</v>
      </c>
      <c r="S4207">
        <f>IF(OR(calendar[[#This Row],[PT_BH]]=1,calendar[[#This Row],[WeekDay]]=1, calendar[[#This Row],[WeekDay]]=7),P4206,P4206+1)</f>
        <v>2981</v>
      </c>
    </row>
    <row r="4208" spans="1:19" x14ac:dyDescent="0.25">
      <c r="A4208" s="2">
        <v>46942</v>
      </c>
      <c r="B4208" s="1">
        <f t="shared" si="331"/>
        <v>28</v>
      </c>
      <c r="C4208">
        <f t="shared" si="332"/>
        <v>7</v>
      </c>
      <c r="D4208" t="str">
        <f t="shared" si="333"/>
        <v>July</v>
      </c>
      <c r="E4208">
        <f t="shared" si="334"/>
        <v>2028</v>
      </c>
      <c r="F4208" t="str">
        <f>CONCATENATE(calendar[[#This Row],[Month]],"/",calendar[[#This Row],[Year]])</f>
        <v>7/2028</v>
      </c>
      <c r="G4208">
        <f>WEEKDAY(calendar[[#This Row],[Date]],1)</f>
        <v>7</v>
      </c>
      <c r="H4208" t="str">
        <f>TEXT(calendar[[#This Row],[WeekDay]],"dddd")</f>
        <v>Saturday</v>
      </c>
      <c r="I4208">
        <f>IF((INT(calendar[[#This Row],[Count]]/7)-calendar[[#This Row],[Count]]/7)&lt;0,I4207,I4207+1)</f>
        <v>601</v>
      </c>
      <c r="J4208">
        <f t="shared" si="335"/>
        <v>4206</v>
      </c>
      <c r="K4208">
        <f>IF(calendar[[#This Row],[Month]]&lt;4,1,IF(calendar[[#This Row],[Month]]&lt;7,2,IF(calendar[[#This Row],[Month]]&lt;10,3,4)))</f>
        <v>3</v>
      </c>
      <c r="L4208">
        <f>IFERROR(IF(VLOOKUP(calendar[[#This Row],[Date]],BH!A:A,1,)&lt;&gt;"",1,0),0)</f>
        <v>0</v>
      </c>
      <c r="M4208">
        <f>IFERROR(IF(VLOOKUP(calendar[[#This Row],[Date]],BH!C:C,1,)&lt;&gt;"",1,0),0)</f>
        <v>0</v>
      </c>
      <c r="N4208">
        <f>IFERROR(IF(VLOOKUP(calendar[[#This Row],[Date]],BH!E:E,1,)&lt;&gt;"",1,0),0)</f>
        <v>0</v>
      </c>
      <c r="O4208">
        <f>IFERROR(IF(VLOOKUP(calendar[[#This Row],[Date]],BH!G:G,1,)&lt;&gt;"",1,0),0)</f>
        <v>0</v>
      </c>
      <c r="P4208">
        <f>IF(OR(calendar[[#This Row],[UK_BH]]=1,calendar[[#This Row],[WeekDay]]=1, calendar[[#This Row],[WeekDay]]=7),P4207,P4207+1)</f>
        <v>2981</v>
      </c>
      <c r="Q4208">
        <f>IF(OR(calendar[[#This Row],[FR_BH]]=1,calendar[[#This Row],[WeekDay]]=1, calendar[[#This Row],[WeekDay]]=7),P4207,P4207+1)</f>
        <v>2981</v>
      </c>
      <c r="R4208">
        <f>IF(OR(calendar[[#This Row],[SP_BH]]=1,calendar[[#This Row],[WeekDay]]=1, calendar[[#This Row],[WeekDay]]=7),P4207,P4207+1)</f>
        <v>2981</v>
      </c>
      <c r="S4208">
        <f>IF(OR(calendar[[#This Row],[PT_BH]]=1,calendar[[#This Row],[WeekDay]]=1, calendar[[#This Row],[WeekDay]]=7),P4207,P4207+1)</f>
        <v>2981</v>
      </c>
    </row>
    <row r="4209" spans="1:19" x14ac:dyDescent="0.25">
      <c r="A4209" s="2">
        <v>46943</v>
      </c>
      <c r="B4209" s="1">
        <f t="shared" si="331"/>
        <v>29</v>
      </c>
      <c r="C4209">
        <f t="shared" si="332"/>
        <v>7</v>
      </c>
      <c r="D4209" t="str">
        <f t="shared" si="333"/>
        <v>July</v>
      </c>
      <c r="E4209">
        <f t="shared" si="334"/>
        <v>2028</v>
      </c>
      <c r="F4209" t="str">
        <f>CONCATENATE(calendar[[#This Row],[Month]],"/",calendar[[#This Row],[Year]])</f>
        <v>7/2028</v>
      </c>
      <c r="G4209">
        <f>WEEKDAY(calendar[[#This Row],[Date]],1)</f>
        <v>1</v>
      </c>
      <c r="H4209" t="str">
        <f>TEXT(calendar[[#This Row],[WeekDay]],"dddd")</f>
        <v>Sunday</v>
      </c>
      <c r="I4209">
        <f>IF((INT(calendar[[#This Row],[Count]]/7)-calendar[[#This Row],[Count]]/7)&lt;0,I4208,I4208+1)</f>
        <v>602</v>
      </c>
      <c r="J4209">
        <f t="shared" si="335"/>
        <v>4207</v>
      </c>
      <c r="K4209">
        <f>IF(calendar[[#This Row],[Month]]&lt;4,1,IF(calendar[[#This Row],[Month]]&lt;7,2,IF(calendar[[#This Row],[Month]]&lt;10,3,4)))</f>
        <v>3</v>
      </c>
      <c r="L4209">
        <f>IFERROR(IF(VLOOKUP(calendar[[#This Row],[Date]],BH!A:A,1,)&lt;&gt;"",1,0),0)</f>
        <v>0</v>
      </c>
      <c r="M4209">
        <f>IFERROR(IF(VLOOKUP(calendar[[#This Row],[Date]],BH!C:C,1,)&lt;&gt;"",1,0),0)</f>
        <v>0</v>
      </c>
      <c r="N4209">
        <f>IFERROR(IF(VLOOKUP(calendar[[#This Row],[Date]],BH!E:E,1,)&lt;&gt;"",1,0),0)</f>
        <v>0</v>
      </c>
      <c r="O4209">
        <f>IFERROR(IF(VLOOKUP(calendar[[#This Row],[Date]],BH!G:G,1,)&lt;&gt;"",1,0),0)</f>
        <v>0</v>
      </c>
      <c r="P4209">
        <f>IF(OR(calendar[[#This Row],[UK_BH]]=1,calendar[[#This Row],[WeekDay]]=1, calendar[[#This Row],[WeekDay]]=7),P4208,P4208+1)</f>
        <v>2981</v>
      </c>
      <c r="Q4209">
        <f>IF(OR(calendar[[#This Row],[FR_BH]]=1,calendar[[#This Row],[WeekDay]]=1, calendar[[#This Row],[WeekDay]]=7),P4208,P4208+1)</f>
        <v>2981</v>
      </c>
      <c r="R4209">
        <f>IF(OR(calendar[[#This Row],[SP_BH]]=1,calendar[[#This Row],[WeekDay]]=1, calendar[[#This Row],[WeekDay]]=7),P4208,P4208+1)</f>
        <v>2981</v>
      </c>
      <c r="S4209">
        <f>IF(OR(calendar[[#This Row],[PT_BH]]=1,calendar[[#This Row],[WeekDay]]=1, calendar[[#This Row],[WeekDay]]=7),P4208,P4208+1)</f>
        <v>2981</v>
      </c>
    </row>
    <row r="4210" spans="1:19" x14ac:dyDescent="0.25">
      <c r="A4210" s="2">
        <v>46944</v>
      </c>
      <c r="B4210" s="1">
        <f t="shared" si="331"/>
        <v>29</v>
      </c>
      <c r="C4210">
        <f t="shared" si="332"/>
        <v>7</v>
      </c>
      <c r="D4210" t="str">
        <f t="shared" si="333"/>
        <v>July</v>
      </c>
      <c r="E4210">
        <f t="shared" si="334"/>
        <v>2028</v>
      </c>
      <c r="F4210" t="str">
        <f>CONCATENATE(calendar[[#This Row],[Month]],"/",calendar[[#This Row],[Year]])</f>
        <v>7/2028</v>
      </c>
      <c r="G4210">
        <f>WEEKDAY(calendar[[#This Row],[Date]],1)</f>
        <v>2</v>
      </c>
      <c r="H4210" t="str">
        <f>TEXT(calendar[[#This Row],[WeekDay]],"dddd")</f>
        <v>Monday</v>
      </c>
      <c r="I4210">
        <f>IF((INT(calendar[[#This Row],[Count]]/7)-calendar[[#This Row],[Count]]/7)&lt;0,I4209,I4209+1)</f>
        <v>602</v>
      </c>
      <c r="J4210">
        <f t="shared" si="335"/>
        <v>4208</v>
      </c>
      <c r="K4210">
        <f>IF(calendar[[#This Row],[Month]]&lt;4,1,IF(calendar[[#This Row],[Month]]&lt;7,2,IF(calendar[[#This Row],[Month]]&lt;10,3,4)))</f>
        <v>3</v>
      </c>
      <c r="L4210">
        <f>IFERROR(IF(VLOOKUP(calendar[[#This Row],[Date]],BH!A:A,1,)&lt;&gt;"",1,0),0)</f>
        <v>0</v>
      </c>
      <c r="M4210">
        <f>IFERROR(IF(VLOOKUP(calendar[[#This Row],[Date]],BH!C:C,1,)&lt;&gt;"",1,0),0)</f>
        <v>0</v>
      </c>
      <c r="N4210">
        <f>IFERROR(IF(VLOOKUP(calendar[[#This Row],[Date]],BH!E:E,1,)&lt;&gt;"",1,0),0)</f>
        <v>0</v>
      </c>
      <c r="O4210">
        <f>IFERROR(IF(VLOOKUP(calendar[[#This Row],[Date]],BH!G:G,1,)&lt;&gt;"",1,0),0)</f>
        <v>0</v>
      </c>
      <c r="P4210">
        <f>IF(OR(calendar[[#This Row],[UK_BH]]=1,calendar[[#This Row],[WeekDay]]=1, calendar[[#This Row],[WeekDay]]=7),P4209,P4209+1)</f>
        <v>2982</v>
      </c>
      <c r="Q4210">
        <f>IF(OR(calendar[[#This Row],[FR_BH]]=1,calendar[[#This Row],[WeekDay]]=1, calendar[[#This Row],[WeekDay]]=7),P4209,P4209+1)</f>
        <v>2982</v>
      </c>
      <c r="R4210">
        <f>IF(OR(calendar[[#This Row],[SP_BH]]=1,calendar[[#This Row],[WeekDay]]=1, calendar[[#This Row],[WeekDay]]=7),P4209,P4209+1)</f>
        <v>2982</v>
      </c>
      <c r="S4210">
        <f>IF(OR(calendar[[#This Row],[PT_BH]]=1,calendar[[#This Row],[WeekDay]]=1, calendar[[#This Row],[WeekDay]]=7),P4209,P4209+1)</f>
        <v>2982</v>
      </c>
    </row>
    <row r="4211" spans="1:19" x14ac:dyDescent="0.25">
      <c r="A4211" s="2">
        <v>46945</v>
      </c>
      <c r="B4211" s="1">
        <f t="shared" si="331"/>
        <v>29</v>
      </c>
      <c r="C4211">
        <f t="shared" si="332"/>
        <v>7</v>
      </c>
      <c r="D4211" t="str">
        <f t="shared" si="333"/>
        <v>July</v>
      </c>
      <c r="E4211">
        <f t="shared" si="334"/>
        <v>2028</v>
      </c>
      <c r="F4211" t="str">
        <f>CONCATENATE(calendar[[#This Row],[Month]],"/",calendar[[#This Row],[Year]])</f>
        <v>7/2028</v>
      </c>
      <c r="G4211">
        <f>WEEKDAY(calendar[[#This Row],[Date]],1)</f>
        <v>3</v>
      </c>
      <c r="H4211" t="str">
        <f>TEXT(calendar[[#This Row],[WeekDay]],"dddd")</f>
        <v>Tuesday</v>
      </c>
      <c r="I4211">
        <f>IF((INT(calendar[[#This Row],[Count]]/7)-calendar[[#This Row],[Count]]/7)&lt;0,I4210,I4210+1)</f>
        <v>602</v>
      </c>
      <c r="J4211">
        <f t="shared" si="335"/>
        <v>4209</v>
      </c>
      <c r="K4211">
        <f>IF(calendar[[#This Row],[Month]]&lt;4,1,IF(calendar[[#This Row],[Month]]&lt;7,2,IF(calendar[[#This Row],[Month]]&lt;10,3,4)))</f>
        <v>3</v>
      </c>
      <c r="L4211">
        <f>IFERROR(IF(VLOOKUP(calendar[[#This Row],[Date]],BH!A:A,1,)&lt;&gt;"",1,0),0)</f>
        <v>0</v>
      </c>
      <c r="M4211">
        <f>IFERROR(IF(VLOOKUP(calendar[[#This Row],[Date]],BH!C:C,1,)&lt;&gt;"",1,0),0)</f>
        <v>0</v>
      </c>
      <c r="N4211">
        <f>IFERROR(IF(VLOOKUP(calendar[[#This Row],[Date]],BH!E:E,1,)&lt;&gt;"",1,0),0)</f>
        <v>0</v>
      </c>
      <c r="O4211">
        <f>IFERROR(IF(VLOOKUP(calendar[[#This Row],[Date]],BH!G:G,1,)&lt;&gt;"",1,0),0)</f>
        <v>0</v>
      </c>
      <c r="P4211">
        <f>IF(OR(calendar[[#This Row],[UK_BH]]=1,calendar[[#This Row],[WeekDay]]=1, calendar[[#This Row],[WeekDay]]=7),P4210,P4210+1)</f>
        <v>2983</v>
      </c>
      <c r="Q4211">
        <f>IF(OR(calendar[[#This Row],[FR_BH]]=1,calendar[[#This Row],[WeekDay]]=1, calendar[[#This Row],[WeekDay]]=7),P4210,P4210+1)</f>
        <v>2983</v>
      </c>
      <c r="R4211">
        <f>IF(OR(calendar[[#This Row],[SP_BH]]=1,calendar[[#This Row],[WeekDay]]=1, calendar[[#This Row],[WeekDay]]=7),P4210,P4210+1)</f>
        <v>2983</v>
      </c>
      <c r="S4211">
        <f>IF(OR(calendar[[#This Row],[PT_BH]]=1,calendar[[#This Row],[WeekDay]]=1, calendar[[#This Row],[WeekDay]]=7),P4210,P4210+1)</f>
        <v>2983</v>
      </c>
    </row>
    <row r="4212" spans="1:19" x14ac:dyDescent="0.25">
      <c r="A4212" s="2">
        <v>46946</v>
      </c>
      <c r="B4212" s="1">
        <f t="shared" si="331"/>
        <v>29</v>
      </c>
      <c r="C4212">
        <f t="shared" si="332"/>
        <v>7</v>
      </c>
      <c r="D4212" t="str">
        <f t="shared" si="333"/>
        <v>July</v>
      </c>
      <c r="E4212">
        <f t="shared" si="334"/>
        <v>2028</v>
      </c>
      <c r="F4212" t="str">
        <f>CONCATENATE(calendar[[#This Row],[Month]],"/",calendar[[#This Row],[Year]])</f>
        <v>7/2028</v>
      </c>
      <c r="G4212">
        <f>WEEKDAY(calendar[[#This Row],[Date]],1)</f>
        <v>4</v>
      </c>
      <c r="H4212" t="str">
        <f>TEXT(calendar[[#This Row],[WeekDay]],"dddd")</f>
        <v>Wednesday</v>
      </c>
      <c r="I4212">
        <f>IF((INT(calendar[[#This Row],[Count]]/7)-calendar[[#This Row],[Count]]/7)&lt;0,I4211,I4211+1)</f>
        <v>602</v>
      </c>
      <c r="J4212">
        <f t="shared" si="335"/>
        <v>4210</v>
      </c>
      <c r="K4212">
        <f>IF(calendar[[#This Row],[Month]]&lt;4,1,IF(calendar[[#This Row],[Month]]&lt;7,2,IF(calendar[[#This Row],[Month]]&lt;10,3,4)))</f>
        <v>3</v>
      </c>
      <c r="L4212">
        <f>IFERROR(IF(VLOOKUP(calendar[[#This Row],[Date]],BH!A:A,1,)&lt;&gt;"",1,0),0)</f>
        <v>0</v>
      </c>
      <c r="M4212">
        <f>IFERROR(IF(VLOOKUP(calendar[[#This Row],[Date]],BH!C:C,1,)&lt;&gt;"",1,0),0)</f>
        <v>0</v>
      </c>
      <c r="N4212">
        <f>IFERROR(IF(VLOOKUP(calendar[[#This Row],[Date]],BH!E:E,1,)&lt;&gt;"",1,0),0)</f>
        <v>0</v>
      </c>
      <c r="O4212">
        <f>IFERROR(IF(VLOOKUP(calendar[[#This Row],[Date]],BH!G:G,1,)&lt;&gt;"",1,0),0)</f>
        <v>0</v>
      </c>
      <c r="P4212">
        <f>IF(OR(calendar[[#This Row],[UK_BH]]=1,calendar[[#This Row],[WeekDay]]=1, calendar[[#This Row],[WeekDay]]=7),P4211,P4211+1)</f>
        <v>2984</v>
      </c>
      <c r="Q4212">
        <f>IF(OR(calendar[[#This Row],[FR_BH]]=1,calendar[[#This Row],[WeekDay]]=1, calendar[[#This Row],[WeekDay]]=7),P4211,P4211+1)</f>
        <v>2984</v>
      </c>
      <c r="R4212">
        <f>IF(OR(calendar[[#This Row],[SP_BH]]=1,calendar[[#This Row],[WeekDay]]=1, calendar[[#This Row],[WeekDay]]=7),P4211,P4211+1)</f>
        <v>2984</v>
      </c>
      <c r="S4212">
        <f>IF(OR(calendar[[#This Row],[PT_BH]]=1,calendar[[#This Row],[WeekDay]]=1, calendar[[#This Row],[WeekDay]]=7),P4211,P4211+1)</f>
        <v>2984</v>
      </c>
    </row>
    <row r="4213" spans="1:19" x14ac:dyDescent="0.25">
      <c r="A4213" s="2">
        <v>46947</v>
      </c>
      <c r="B4213" s="1">
        <f t="shared" si="331"/>
        <v>29</v>
      </c>
      <c r="C4213">
        <f t="shared" si="332"/>
        <v>7</v>
      </c>
      <c r="D4213" t="str">
        <f t="shared" si="333"/>
        <v>July</v>
      </c>
      <c r="E4213">
        <f t="shared" si="334"/>
        <v>2028</v>
      </c>
      <c r="F4213" t="str">
        <f>CONCATENATE(calendar[[#This Row],[Month]],"/",calendar[[#This Row],[Year]])</f>
        <v>7/2028</v>
      </c>
      <c r="G4213">
        <f>WEEKDAY(calendar[[#This Row],[Date]],1)</f>
        <v>5</v>
      </c>
      <c r="H4213" t="str">
        <f>TEXT(calendar[[#This Row],[WeekDay]],"dddd")</f>
        <v>Thursday</v>
      </c>
      <c r="I4213">
        <f>IF((INT(calendar[[#This Row],[Count]]/7)-calendar[[#This Row],[Count]]/7)&lt;0,I4212,I4212+1)</f>
        <v>602</v>
      </c>
      <c r="J4213">
        <f t="shared" si="335"/>
        <v>4211</v>
      </c>
      <c r="K4213">
        <f>IF(calendar[[#This Row],[Month]]&lt;4,1,IF(calendar[[#This Row],[Month]]&lt;7,2,IF(calendar[[#This Row],[Month]]&lt;10,3,4)))</f>
        <v>3</v>
      </c>
      <c r="L4213">
        <f>IFERROR(IF(VLOOKUP(calendar[[#This Row],[Date]],BH!A:A,1,)&lt;&gt;"",1,0),0)</f>
        <v>0</v>
      </c>
      <c r="M4213">
        <f>IFERROR(IF(VLOOKUP(calendar[[#This Row],[Date]],BH!C:C,1,)&lt;&gt;"",1,0),0)</f>
        <v>0</v>
      </c>
      <c r="N4213">
        <f>IFERROR(IF(VLOOKUP(calendar[[#This Row],[Date]],BH!E:E,1,)&lt;&gt;"",1,0),0)</f>
        <v>0</v>
      </c>
      <c r="O4213">
        <f>IFERROR(IF(VLOOKUP(calendar[[#This Row],[Date]],BH!G:G,1,)&lt;&gt;"",1,0),0)</f>
        <v>0</v>
      </c>
      <c r="P4213">
        <f>IF(OR(calendar[[#This Row],[UK_BH]]=1,calendar[[#This Row],[WeekDay]]=1, calendar[[#This Row],[WeekDay]]=7),P4212,P4212+1)</f>
        <v>2985</v>
      </c>
      <c r="Q4213">
        <f>IF(OR(calendar[[#This Row],[FR_BH]]=1,calendar[[#This Row],[WeekDay]]=1, calendar[[#This Row],[WeekDay]]=7),P4212,P4212+1)</f>
        <v>2985</v>
      </c>
      <c r="R4213">
        <f>IF(OR(calendar[[#This Row],[SP_BH]]=1,calendar[[#This Row],[WeekDay]]=1, calendar[[#This Row],[WeekDay]]=7),P4212,P4212+1)</f>
        <v>2985</v>
      </c>
      <c r="S4213">
        <f>IF(OR(calendar[[#This Row],[PT_BH]]=1,calendar[[#This Row],[WeekDay]]=1, calendar[[#This Row],[WeekDay]]=7),P4212,P4212+1)</f>
        <v>2985</v>
      </c>
    </row>
    <row r="4214" spans="1:19" x14ac:dyDescent="0.25">
      <c r="A4214" s="2">
        <v>46948</v>
      </c>
      <c r="B4214" s="1">
        <f t="shared" si="331"/>
        <v>29</v>
      </c>
      <c r="C4214">
        <f t="shared" si="332"/>
        <v>7</v>
      </c>
      <c r="D4214" t="str">
        <f t="shared" si="333"/>
        <v>July</v>
      </c>
      <c r="E4214">
        <f t="shared" si="334"/>
        <v>2028</v>
      </c>
      <c r="F4214" t="str">
        <f>CONCATENATE(calendar[[#This Row],[Month]],"/",calendar[[#This Row],[Year]])</f>
        <v>7/2028</v>
      </c>
      <c r="G4214">
        <f>WEEKDAY(calendar[[#This Row],[Date]],1)</f>
        <v>6</v>
      </c>
      <c r="H4214" t="str">
        <f>TEXT(calendar[[#This Row],[WeekDay]],"dddd")</f>
        <v>Friday</v>
      </c>
      <c r="I4214">
        <f>IF((INT(calendar[[#This Row],[Count]]/7)-calendar[[#This Row],[Count]]/7)&lt;0,I4213,I4213+1)</f>
        <v>602</v>
      </c>
      <c r="J4214">
        <f t="shared" si="335"/>
        <v>4212</v>
      </c>
      <c r="K4214">
        <f>IF(calendar[[#This Row],[Month]]&lt;4,1,IF(calendar[[#This Row],[Month]]&lt;7,2,IF(calendar[[#This Row],[Month]]&lt;10,3,4)))</f>
        <v>3</v>
      </c>
      <c r="L4214">
        <f>IFERROR(IF(VLOOKUP(calendar[[#This Row],[Date]],BH!A:A,1,)&lt;&gt;"",1,0),0)</f>
        <v>0</v>
      </c>
      <c r="M4214">
        <f>IFERROR(IF(VLOOKUP(calendar[[#This Row],[Date]],BH!C:C,1,)&lt;&gt;"",1,0),0)</f>
        <v>0</v>
      </c>
      <c r="N4214">
        <f>IFERROR(IF(VLOOKUP(calendar[[#This Row],[Date]],BH!E:E,1,)&lt;&gt;"",1,0),0)</f>
        <v>0</v>
      </c>
      <c r="O4214">
        <f>IFERROR(IF(VLOOKUP(calendar[[#This Row],[Date]],BH!G:G,1,)&lt;&gt;"",1,0),0)</f>
        <v>0</v>
      </c>
      <c r="P4214">
        <f>IF(OR(calendar[[#This Row],[UK_BH]]=1,calendar[[#This Row],[WeekDay]]=1, calendar[[#This Row],[WeekDay]]=7),P4213,P4213+1)</f>
        <v>2986</v>
      </c>
      <c r="Q4214">
        <f>IF(OR(calendar[[#This Row],[FR_BH]]=1,calendar[[#This Row],[WeekDay]]=1, calendar[[#This Row],[WeekDay]]=7),P4213,P4213+1)</f>
        <v>2986</v>
      </c>
      <c r="R4214">
        <f>IF(OR(calendar[[#This Row],[SP_BH]]=1,calendar[[#This Row],[WeekDay]]=1, calendar[[#This Row],[WeekDay]]=7),P4213,P4213+1)</f>
        <v>2986</v>
      </c>
      <c r="S4214">
        <f>IF(OR(calendar[[#This Row],[PT_BH]]=1,calendar[[#This Row],[WeekDay]]=1, calendar[[#This Row],[WeekDay]]=7),P4213,P4213+1)</f>
        <v>2986</v>
      </c>
    </row>
    <row r="4215" spans="1:19" x14ac:dyDescent="0.25">
      <c r="A4215" s="2">
        <v>46949</v>
      </c>
      <c r="B4215" s="1">
        <f t="shared" si="331"/>
        <v>29</v>
      </c>
      <c r="C4215">
        <f t="shared" si="332"/>
        <v>7</v>
      </c>
      <c r="D4215" t="str">
        <f t="shared" si="333"/>
        <v>July</v>
      </c>
      <c r="E4215">
        <f t="shared" si="334"/>
        <v>2028</v>
      </c>
      <c r="F4215" t="str">
        <f>CONCATENATE(calendar[[#This Row],[Month]],"/",calendar[[#This Row],[Year]])</f>
        <v>7/2028</v>
      </c>
      <c r="G4215">
        <f>WEEKDAY(calendar[[#This Row],[Date]],1)</f>
        <v>7</v>
      </c>
      <c r="H4215" t="str">
        <f>TEXT(calendar[[#This Row],[WeekDay]],"dddd")</f>
        <v>Saturday</v>
      </c>
      <c r="I4215">
        <f>IF((INT(calendar[[#This Row],[Count]]/7)-calendar[[#This Row],[Count]]/7)&lt;0,I4214,I4214+1)</f>
        <v>602</v>
      </c>
      <c r="J4215">
        <f t="shared" si="335"/>
        <v>4213</v>
      </c>
      <c r="K4215">
        <f>IF(calendar[[#This Row],[Month]]&lt;4,1,IF(calendar[[#This Row],[Month]]&lt;7,2,IF(calendar[[#This Row],[Month]]&lt;10,3,4)))</f>
        <v>3</v>
      </c>
      <c r="L4215">
        <f>IFERROR(IF(VLOOKUP(calendar[[#This Row],[Date]],BH!A:A,1,)&lt;&gt;"",1,0),0)</f>
        <v>0</v>
      </c>
      <c r="M4215">
        <f>IFERROR(IF(VLOOKUP(calendar[[#This Row],[Date]],BH!C:C,1,)&lt;&gt;"",1,0),0)</f>
        <v>0</v>
      </c>
      <c r="N4215">
        <f>IFERROR(IF(VLOOKUP(calendar[[#This Row],[Date]],BH!E:E,1,)&lt;&gt;"",1,0),0)</f>
        <v>0</v>
      </c>
      <c r="O4215">
        <f>IFERROR(IF(VLOOKUP(calendar[[#This Row],[Date]],BH!G:G,1,)&lt;&gt;"",1,0),0)</f>
        <v>0</v>
      </c>
      <c r="P4215">
        <f>IF(OR(calendar[[#This Row],[UK_BH]]=1,calendar[[#This Row],[WeekDay]]=1, calendar[[#This Row],[WeekDay]]=7),P4214,P4214+1)</f>
        <v>2986</v>
      </c>
      <c r="Q4215">
        <f>IF(OR(calendar[[#This Row],[FR_BH]]=1,calendar[[#This Row],[WeekDay]]=1, calendar[[#This Row],[WeekDay]]=7),P4214,P4214+1)</f>
        <v>2986</v>
      </c>
      <c r="R4215">
        <f>IF(OR(calendar[[#This Row],[SP_BH]]=1,calendar[[#This Row],[WeekDay]]=1, calendar[[#This Row],[WeekDay]]=7),P4214,P4214+1)</f>
        <v>2986</v>
      </c>
      <c r="S4215">
        <f>IF(OR(calendar[[#This Row],[PT_BH]]=1,calendar[[#This Row],[WeekDay]]=1, calendar[[#This Row],[WeekDay]]=7),P4214,P4214+1)</f>
        <v>2986</v>
      </c>
    </row>
    <row r="4216" spans="1:19" x14ac:dyDescent="0.25">
      <c r="A4216" s="2">
        <v>46950</v>
      </c>
      <c r="B4216" s="1">
        <f t="shared" si="331"/>
        <v>30</v>
      </c>
      <c r="C4216">
        <f t="shared" si="332"/>
        <v>7</v>
      </c>
      <c r="D4216" t="str">
        <f t="shared" si="333"/>
        <v>July</v>
      </c>
      <c r="E4216">
        <f t="shared" si="334"/>
        <v>2028</v>
      </c>
      <c r="F4216" t="str">
        <f>CONCATENATE(calendar[[#This Row],[Month]],"/",calendar[[#This Row],[Year]])</f>
        <v>7/2028</v>
      </c>
      <c r="G4216">
        <f>WEEKDAY(calendar[[#This Row],[Date]],1)</f>
        <v>1</v>
      </c>
      <c r="H4216" t="str">
        <f>TEXT(calendar[[#This Row],[WeekDay]],"dddd")</f>
        <v>Sunday</v>
      </c>
      <c r="I4216">
        <f>IF((INT(calendar[[#This Row],[Count]]/7)-calendar[[#This Row],[Count]]/7)&lt;0,I4215,I4215+1)</f>
        <v>603</v>
      </c>
      <c r="J4216">
        <f t="shared" si="335"/>
        <v>4214</v>
      </c>
      <c r="K4216">
        <f>IF(calendar[[#This Row],[Month]]&lt;4,1,IF(calendar[[#This Row],[Month]]&lt;7,2,IF(calendar[[#This Row],[Month]]&lt;10,3,4)))</f>
        <v>3</v>
      </c>
      <c r="L4216">
        <f>IFERROR(IF(VLOOKUP(calendar[[#This Row],[Date]],BH!A:A,1,)&lt;&gt;"",1,0),0)</f>
        <v>0</v>
      </c>
      <c r="M4216">
        <f>IFERROR(IF(VLOOKUP(calendar[[#This Row],[Date]],BH!C:C,1,)&lt;&gt;"",1,0),0)</f>
        <v>0</v>
      </c>
      <c r="N4216">
        <f>IFERROR(IF(VLOOKUP(calendar[[#This Row],[Date]],BH!E:E,1,)&lt;&gt;"",1,0),0)</f>
        <v>0</v>
      </c>
      <c r="O4216">
        <f>IFERROR(IF(VLOOKUP(calendar[[#This Row],[Date]],BH!G:G,1,)&lt;&gt;"",1,0),0)</f>
        <v>0</v>
      </c>
      <c r="P4216">
        <f>IF(OR(calendar[[#This Row],[UK_BH]]=1,calendar[[#This Row],[WeekDay]]=1, calendar[[#This Row],[WeekDay]]=7),P4215,P4215+1)</f>
        <v>2986</v>
      </c>
      <c r="Q4216">
        <f>IF(OR(calendar[[#This Row],[FR_BH]]=1,calendar[[#This Row],[WeekDay]]=1, calendar[[#This Row],[WeekDay]]=7),P4215,P4215+1)</f>
        <v>2986</v>
      </c>
      <c r="R4216">
        <f>IF(OR(calendar[[#This Row],[SP_BH]]=1,calendar[[#This Row],[WeekDay]]=1, calendar[[#This Row],[WeekDay]]=7),P4215,P4215+1)</f>
        <v>2986</v>
      </c>
      <c r="S4216">
        <f>IF(OR(calendar[[#This Row],[PT_BH]]=1,calendar[[#This Row],[WeekDay]]=1, calendar[[#This Row],[WeekDay]]=7),P4215,P4215+1)</f>
        <v>2986</v>
      </c>
    </row>
    <row r="4217" spans="1:19" x14ac:dyDescent="0.25">
      <c r="A4217" s="2">
        <v>46951</v>
      </c>
      <c r="B4217" s="1">
        <f t="shared" si="331"/>
        <v>30</v>
      </c>
      <c r="C4217">
        <f t="shared" si="332"/>
        <v>7</v>
      </c>
      <c r="D4217" t="str">
        <f t="shared" si="333"/>
        <v>July</v>
      </c>
      <c r="E4217">
        <f t="shared" si="334"/>
        <v>2028</v>
      </c>
      <c r="F4217" t="str">
        <f>CONCATENATE(calendar[[#This Row],[Month]],"/",calendar[[#This Row],[Year]])</f>
        <v>7/2028</v>
      </c>
      <c r="G4217">
        <f>WEEKDAY(calendar[[#This Row],[Date]],1)</f>
        <v>2</v>
      </c>
      <c r="H4217" t="str">
        <f>TEXT(calendar[[#This Row],[WeekDay]],"dddd")</f>
        <v>Monday</v>
      </c>
      <c r="I4217">
        <f>IF((INT(calendar[[#This Row],[Count]]/7)-calendar[[#This Row],[Count]]/7)&lt;0,I4216,I4216+1)</f>
        <v>603</v>
      </c>
      <c r="J4217">
        <f t="shared" si="335"/>
        <v>4215</v>
      </c>
      <c r="K4217">
        <f>IF(calendar[[#This Row],[Month]]&lt;4,1,IF(calendar[[#This Row],[Month]]&lt;7,2,IF(calendar[[#This Row],[Month]]&lt;10,3,4)))</f>
        <v>3</v>
      </c>
      <c r="L4217">
        <f>IFERROR(IF(VLOOKUP(calendar[[#This Row],[Date]],BH!A:A,1,)&lt;&gt;"",1,0),0)</f>
        <v>0</v>
      </c>
      <c r="M4217">
        <f>IFERROR(IF(VLOOKUP(calendar[[#This Row],[Date]],BH!C:C,1,)&lt;&gt;"",1,0),0)</f>
        <v>0</v>
      </c>
      <c r="N4217">
        <f>IFERROR(IF(VLOOKUP(calendar[[#This Row],[Date]],BH!E:E,1,)&lt;&gt;"",1,0),0)</f>
        <v>0</v>
      </c>
      <c r="O4217">
        <f>IFERROR(IF(VLOOKUP(calendar[[#This Row],[Date]],BH!G:G,1,)&lt;&gt;"",1,0),0)</f>
        <v>0</v>
      </c>
      <c r="P4217">
        <f>IF(OR(calendar[[#This Row],[UK_BH]]=1,calendar[[#This Row],[WeekDay]]=1, calendar[[#This Row],[WeekDay]]=7),P4216,P4216+1)</f>
        <v>2987</v>
      </c>
      <c r="Q4217">
        <f>IF(OR(calendar[[#This Row],[FR_BH]]=1,calendar[[#This Row],[WeekDay]]=1, calendar[[#This Row],[WeekDay]]=7),P4216,P4216+1)</f>
        <v>2987</v>
      </c>
      <c r="R4217">
        <f>IF(OR(calendar[[#This Row],[SP_BH]]=1,calendar[[#This Row],[WeekDay]]=1, calendar[[#This Row],[WeekDay]]=7),P4216,P4216+1)</f>
        <v>2987</v>
      </c>
      <c r="S4217">
        <f>IF(OR(calendar[[#This Row],[PT_BH]]=1,calendar[[#This Row],[WeekDay]]=1, calendar[[#This Row],[WeekDay]]=7),P4216,P4216+1)</f>
        <v>2987</v>
      </c>
    </row>
    <row r="4218" spans="1:19" x14ac:dyDescent="0.25">
      <c r="A4218" s="2">
        <v>46952</v>
      </c>
      <c r="B4218" s="1">
        <f t="shared" si="331"/>
        <v>30</v>
      </c>
      <c r="C4218">
        <f t="shared" si="332"/>
        <v>7</v>
      </c>
      <c r="D4218" t="str">
        <f t="shared" si="333"/>
        <v>July</v>
      </c>
      <c r="E4218">
        <f t="shared" si="334"/>
        <v>2028</v>
      </c>
      <c r="F4218" t="str">
        <f>CONCATENATE(calendar[[#This Row],[Month]],"/",calendar[[#This Row],[Year]])</f>
        <v>7/2028</v>
      </c>
      <c r="G4218">
        <f>WEEKDAY(calendar[[#This Row],[Date]],1)</f>
        <v>3</v>
      </c>
      <c r="H4218" t="str">
        <f>TEXT(calendar[[#This Row],[WeekDay]],"dddd")</f>
        <v>Tuesday</v>
      </c>
      <c r="I4218">
        <f>IF((INT(calendar[[#This Row],[Count]]/7)-calendar[[#This Row],[Count]]/7)&lt;0,I4217,I4217+1)</f>
        <v>603</v>
      </c>
      <c r="J4218">
        <f t="shared" si="335"/>
        <v>4216</v>
      </c>
      <c r="K4218">
        <f>IF(calendar[[#This Row],[Month]]&lt;4,1,IF(calendar[[#This Row],[Month]]&lt;7,2,IF(calendar[[#This Row],[Month]]&lt;10,3,4)))</f>
        <v>3</v>
      </c>
      <c r="L4218">
        <f>IFERROR(IF(VLOOKUP(calendar[[#This Row],[Date]],BH!A:A,1,)&lt;&gt;"",1,0),0)</f>
        <v>0</v>
      </c>
      <c r="M4218">
        <f>IFERROR(IF(VLOOKUP(calendar[[#This Row],[Date]],BH!C:C,1,)&lt;&gt;"",1,0),0)</f>
        <v>0</v>
      </c>
      <c r="N4218">
        <f>IFERROR(IF(VLOOKUP(calendar[[#This Row],[Date]],BH!E:E,1,)&lt;&gt;"",1,0),0)</f>
        <v>0</v>
      </c>
      <c r="O4218">
        <f>IFERROR(IF(VLOOKUP(calendar[[#This Row],[Date]],BH!G:G,1,)&lt;&gt;"",1,0),0)</f>
        <v>0</v>
      </c>
      <c r="P4218">
        <f>IF(OR(calendar[[#This Row],[UK_BH]]=1,calendar[[#This Row],[WeekDay]]=1, calendar[[#This Row],[WeekDay]]=7),P4217,P4217+1)</f>
        <v>2988</v>
      </c>
      <c r="Q4218">
        <f>IF(OR(calendar[[#This Row],[FR_BH]]=1,calendar[[#This Row],[WeekDay]]=1, calendar[[#This Row],[WeekDay]]=7),P4217,P4217+1)</f>
        <v>2988</v>
      </c>
      <c r="R4218">
        <f>IF(OR(calendar[[#This Row],[SP_BH]]=1,calendar[[#This Row],[WeekDay]]=1, calendar[[#This Row],[WeekDay]]=7),P4217,P4217+1)</f>
        <v>2988</v>
      </c>
      <c r="S4218">
        <f>IF(OR(calendar[[#This Row],[PT_BH]]=1,calendar[[#This Row],[WeekDay]]=1, calendar[[#This Row],[WeekDay]]=7),P4217,P4217+1)</f>
        <v>2988</v>
      </c>
    </row>
    <row r="4219" spans="1:19" x14ac:dyDescent="0.25">
      <c r="A4219" s="2">
        <v>46953</v>
      </c>
      <c r="B4219" s="1">
        <f t="shared" si="331"/>
        <v>30</v>
      </c>
      <c r="C4219">
        <f t="shared" si="332"/>
        <v>7</v>
      </c>
      <c r="D4219" t="str">
        <f t="shared" si="333"/>
        <v>July</v>
      </c>
      <c r="E4219">
        <f t="shared" si="334"/>
        <v>2028</v>
      </c>
      <c r="F4219" t="str">
        <f>CONCATENATE(calendar[[#This Row],[Month]],"/",calendar[[#This Row],[Year]])</f>
        <v>7/2028</v>
      </c>
      <c r="G4219">
        <f>WEEKDAY(calendar[[#This Row],[Date]],1)</f>
        <v>4</v>
      </c>
      <c r="H4219" t="str">
        <f>TEXT(calendar[[#This Row],[WeekDay]],"dddd")</f>
        <v>Wednesday</v>
      </c>
      <c r="I4219">
        <f>IF((INT(calendar[[#This Row],[Count]]/7)-calendar[[#This Row],[Count]]/7)&lt;0,I4218,I4218+1)</f>
        <v>603</v>
      </c>
      <c r="J4219">
        <f t="shared" si="335"/>
        <v>4217</v>
      </c>
      <c r="K4219">
        <f>IF(calendar[[#This Row],[Month]]&lt;4,1,IF(calendar[[#This Row],[Month]]&lt;7,2,IF(calendar[[#This Row],[Month]]&lt;10,3,4)))</f>
        <v>3</v>
      </c>
      <c r="L4219">
        <f>IFERROR(IF(VLOOKUP(calendar[[#This Row],[Date]],BH!A:A,1,)&lt;&gt;"",1,0),0)</f>
        <v>0</v>
      </c>
      <c r="M4219">
        <f>IFERROR(IF(VLOOKUP(calendar[[#This Row],[Date]],BH!C:C,1,)&lt;&gt;"",1,0),0)</f>
        <v>0</v>
      </c>
      <c r="N4219">
        <f>IFERROR(IF(VLOOKUP(calendar[[#This Row],[Date]],BH!E:E,1,)&lt;&gt;"",1,0),0)</f>
        <v>0</v>
      </c>
      <c r="O4219">
        <f>IFERROR(IF(VLOOKUP(calendar[[#This Row],[Date]],BH!G:G,1,)&lt;&gt;"",1,0),0)</f>
        <v>0</v>
      </c>
      <c r="P4219">
        <f>IF(OR(calendar[[#This Row],[UK_BH]]=1,calendar[[#This Row],[WeekDay]]=1, calendar[[#This Row],[WeekDay]]=7),P4218,P4218+1)</f>
        <v>2989</v>
      </c>
      <c r="Q4219">
        <f>IF(OR(calendar[[#This Row],[FR_BH]]=1,calendar[[#This Row],[WeekDay]]=1, calendar[[#This Row],[WeekDay]]=7),P4218,P4218+1)</f>
        <v>2989</v>
      </c>
      <c r="R4219">
        <f>IF(OR(calendar[[#This Row],[SP_BH]]=1,calendar[[#This Row],[WeekDay]]=1, calendar[[#This Row],[WeekDay]]=7),P4218,P4218+1)</f>
        <v>2989</v>
      </c>
      <c r="S4219">
        <f>IF(OR(calendar[[#This Row],[PT_BH]]=1,calendar[[#This Row],[WeekDay]]=1, calendar[[#This Row],[WeekDay]]=7),P4218,P4218+1)</f>
        <v>2989</v>
      </c>
    </row>
    <row r="4220" spans="1:19" x14ac:dyDescent="0.25">
      <c r="A4220" s="2">
        <v>46954</v>
      </c>
      <c r="B4220" s="1">
        <f t="shared" si="331"/>
        <v>30</v>
      </c>
      <c r="C4220">
        <f t="shared" si="332"/>
        <v>7</v>
      </c>
      <c r="D4220" t="str">
        <f t="shared" si="333"/>
        <v>July</v>
      </c>
      <c r="E4220">
        <f t="shared" si="334"/>
        <v>2028</v>
      </c>
      <c r="F4220" t="str">
        <f>CONCATENATE(calendar[[#This Row],[Month]],"/",calendar[[#This Row],[Year]])</f>
        <v>7/2028</v>
      </c>
      <c r="G4220">
        <f>WEEKDAY(calendar[[#This Row],[Date]],1)</f>
        <v>5</v>
      </c>
      <c r="H4220" t="str">
        <f>TEXT(calendar[[#This Row],[WeekDay]],"dddd")</f>
        <v>Thursday</v>
      </c>
      <c r="I4220">
        <f>IF((INT(calendar[[#This Row],[Count]]/7)-calendar[[#This Row],[Count]]/7)&lt;0,I4219,I4219+1)</f>
        <v>603</v>
      </c>
      <c r="J4220">
        <f t="shared" si="335"/>
        <v>4218</v>
      </c>
      <c r="K4220">
        <f>IF(calendar[[#This Row],[Month]]&lt;4,1,IF(calendar[[#This Row],[Month]]&lt;7,2,IF(calendar[[#This Row],[Month]]&lt;10,3,4)))</f>
        <v>3</v>
      </c>
      <c r="L4220">
        <f>IFERROR(IF(VLOOKUP(calendar[[#This Row],[Date]],BH!A:A,1,)&lt;&gt;"",1,0),0)</f>
        <v>0</v>
      </c>
      <c r="M4220">
        <f>IFERROR(IF(VLOOKUP(calendar[[#This Row],[Date]],BH!C:C,1,)&lt;&gt;"",1,0),0)</f>
        <v>0</v>
      </c>
      <c r="N4220">
        <f>IFERROR(IF(VLOOKUP(calendar[[#This Row],[Date]],BH!E:E,1,)&lt;&gt;"",1,0),0)</f>
        <v>0</v>
      </c>
      <c r="O4220">
        <f>IFERROR(IF(VLOOKUP(calendar[[#This Row],[Date]],BH!G:G,1,)&lt;&gt;"",1,0),0)</f>
        <v>0</v>
      </c>
      <c r="P4220">
        <f>IF(OR(calendar[[#This Row],[UK_BH]]=1,calendar[[#This Row],[WeekDay]]=1, calendar[[#This Row],[WeekDay]]=7),P4219,P4219+1)</f>
        <v>2990</v>
      </c>
      <c r="Q4220">
        <f>IF(OR(calendar[[#This Row],[FR_BH]]=1,calendar[[#This Row],[WeekDay]]=1, calendar[[#This Row],[WeekDay]]=7),P4219,P4219+1)</f>
        <v>2990</v>
      </c>
      <c r="R4220">
        <f>IF(OR(calendar[[#This Row],[SP_BH]]=1,calendar[[#This Row],[WeekDay]]=1, calendar[[#This Row],[WeekDay]]=7),P4219,P4219+1)</f>
        <v>2990</v>
      </c>
      <c r="S4220">
        <f>IF(OR(calendar[[#This Row],[PT_BH]]=1,calendar[[#This Row],[WeekDay]]=1, calendar[[#This Row],[WeekDay]]=7),P4219,P4219+1)</f>
        <v>2990</v>
      </c>
    </row>
    <row r="4221" spans="1:19" x14ac:dyDescent="0.25">
      <c r="A4221" s="2">
        <v>46955</v>
      </c>
      <c r="B4221" s="1">
        <f t="shared" si="331"/>
        <v>30</v>
      </c>
      <c r="C4221">
        <f t="shared" si="332"/>
        <v>7</v>
      </c>
      <c r="D4221" t="str">
        <f t="shared" si="333"/>
        <v>July</v>
      </c>
      <c r="E4221">
        <f t="shared" si="334"/>
        <v>2028</v>
      </c>
      <c r="F4221" t="str">
        <f>CONCATENATE(calendar[[#This Row],[Month]],"/",calendar[[#This Row],[Year]])</f>
        <v>7/2028</v>
      </c>
      <c r="G4221">
        <f>WEEKDAY(calendar[[#This Row],[Date]],1)</f>
        <v>6</v>
      </c>
      <c r="H4221" t="str">
        <f>TEXT(calendar[[#This Row],[WeekDay]],"dddd")</f>
        <v>Friday</v>
      </c>
      <c r="I4221">
        <f>IF((INT(calendar[[#This Row],[Count]]/7)-calendar[[#This Row],[Count]]/7)&lt;0,I4220,I4220+1)</f>
        <v>603</v>
      </c>
      <c r="J4221">
        <f t="shared" si="335"/>
        <v>4219</v>
      </c>
      <c r="K4221">
        <f>IF(calendar[[#This Row],[Month]]&lt;4,1,IF(calendar[[#This Row],[Month]]&lt;7,2,IF(calendar[[#This Row],[Month]]&lt;10,3,4)))</f>
        <v>3</v>
      </c>
      <c r="L4221">
        <f>IFERROR(IF(VLOOKUP(calendar[[#This Row],[Date]],BH!A:A,1,)&lt;&gt;"",1,0),0)</f>
        <v>0</v>
      </c>
      <c r="M4221">
        <f>IFERROR(IF(VLOOKUP(calendar[[#This Row],[Date]],BH!C:C,1,)&lt;&gt;"",1,0),0)</f>
        <v>0</v>
      </c>
      <c r="N4221">
        <f>IFERROR(IF(VLOOKUP(calendar[[#This Row],[Date]],BH!E:E,1,)&lt;&gt;"",1,0),0)</f>
        <v>0</v>
      </c>
      <c r="O4221">
        <f>IFERROR(IF(VLOOKUP(calendar[[#This Row],[Date]],BH!G:G,1,)&lt;&gt;"",1,0),0)</f>
        <v>0</v>
      </c>
      <c r="P4221">
        <f>IF(OR(calendar[[#This Row],[UK_BH]]=1,calendar[[#This Row],[WeekDay]]=1, calendar[[#This Row],[WeekDay]]=7),P4220,P4220+1)</f>
        <v>2991</v>
      </c>
      <c r="Q4221">
        <f>IF(OR(calendar[[#This Row],[FR_BH]]=1,calendar[[#This Row],[WeekDay]]=1, calendar[[#This Row],[WeekDay]]=7),P4220,P4220+1)</f>
        <v>2991</v>
      </c>
      <c r="R4221">
        <f>IF(OR(calendar[[#This Row],[SP_BH]]=1,calendar[[#This Row],[WeekDay]]=1, calendar[[#This Row],[WeekDay]]=7),P4220,P4220+1)</f>
        <v>2991</v>
      </c>
      <c r="S4221">
        <f>IF(OR(calendar[[#This Row],[PT_BH]]=1,calendar[[#This Row],[WeekDay]]=1, calendar[[#This Row],[WeekDay]]=7),P4220,P4220+1)</f>
        <v>2991</v>
      </c>
    </row>
    <row r="4222" spans="1:19" x14ac:dyDescent="0.25">
      <c r="A4222" s="2">
        <v>46956</v>
      </c>
      <c r="B4222" s="1">
        <f t="shared" si="331"/>
        <v>30</v>
      </c>
      <c r="C4222">
        <f t="shared" si="332"/>
        <v>7</v>
      </c>
      <c r="D4222" t="str">
        <f t="shared" si="333"/>
        <v>July</v>
      </c>
      <c r="E4222">
        <f t="shared" si="334"/>
        <v>2028</v>
      </c>
      <c r="F4222" t="str">
        <f>CONCATENATE(calendar[[#This Row],[Month]],"/",calendar[[#This Row],[Year]])</f>
        <v>7/2028</v>
      </c>
      <c r="G4222">
        <f>WEEKDAY(calendar[[#This Row],[Date]],1)</f>
        <v>7</v>
      </c>
      <c r="H4222" t="str">
        <f>TEXT(calendar[[#This Row],[WeekDay]],"dddd")</f>
        <v>Saturday</v>
      </c>
      <c r="I4222">
        <f>IF((INT(calendar[[#This Row],[Count]]/7)-calendar[[#This Row],[Count]]/7)&lt;0,I4221,I4221+1)</f>
        <v>603</v>
      </c>
      <c r="J4222">
        <f t="shared" si="335"/>
        <v>4220</v>
      </c>
      <c r="K4222">
        <f>IF(calendar[[#This Row],[Month]]&lt;4,1,IF(calendar[[#This Row],[Month]]&lt;7,2,IF(calendar[[#This Row],[Month]]&lt;10,3,4)))</f>
        <v>3</v>
      </c>
      <c r="L4222">
        <f>IFERROR(IF(VLOOKUP(calendar[[#This Row],[Date]],BH!A:A,1,)&lt;&gt;"",1,0),0)</f>
        <v>0</v>
      </c>
      <c r="M4222">
        <f>IFERROR(IF(VLOOKUP(calendar[[#This Row],[Date]],BH!C:C,1,)&lt;&gt;"",1,0),0)</f>
        <v>0</v>
      </c>
      <c r="N4222">
        <f>IFERROR(IF(VLOOKUP(calendar[[#This Row],[Date]],BH!E:E,1,)&lt;&gt;"",1,0),0)</f>
        <v>0</v>
      </c>
      <c r="O4222">
        <f>IFERROR(IF(VLOOKUP(calendar[[#This Row],[Date]],BH!G:G,1,)&lt;&gt;"",1,0),0)</f>
        <v>0</v>
      </c>
      <c r="P4222">
        <f>IF(OR(calendar[[#This Row],[UK_BH]]=1,calendar[[#This Row],[WeekDay]]=1, calendar[[#This Row],[WeekDay]]=7),P4221,P4221+1)</f>
        <v>2991</v>
      </c>
      <c r="Q4222">
        <f>IF(OR(calendar[[#This Row],[FR_BH]]=1,calendar[[#This Row],[WeekDay]]=1, calendar[[#This Row],[WeekDay]]=7),P4221,P4221+1)</f>
        <v>2991</v>
      </c>
      <c r="R4222">
        <f>IF(OR(calendar[[#This Row],[SP_BH]]=1,calendar[[#This Row],[WeekDay]]=1, calendar[[#This Row],[WeekDay]]=7),P4221,P4221+1)</f>
        <v>2991</v>
      </c>
      <c r="S4222">
        <f>IF(OR(calendar[[#This Row],[PT_BH]]=1,calendar[[#This Row],[WeekDay]]=1, calendar[[#This Row],[WeekDay]]=7),P4221,P4221+1)</f>
        <v>2991</v>
      </c>
    </row>
    <row r="4223" spans="1:19" x14ac:dyDescent="0.25">
      <c r="A4223" s="2">
        <v>46957</v>
      </c>
      <c r="B4223" s="1">
        <f t="shared" si="331"/>
        <v>31</v>
      </c>
      <c r="C4223">
        <f t="shared" si="332"/>
        <v>7</v>
      </c>
      <c r="D4223" t="str">
        <f t="shared" si="333"/>
        <v>July</v>
      </c>
      <c r="E4223">
        <f t="shared" si="334"/>
        <v>2028</v>
      </c>
      <c r="F4223" t="str">
        <f>CONCATENATE(calendar[[#This Row],[Month]],"/",calendar[[#This Row],[Year]])</f>
        <v>7/2028</v>
      </c>
      <c r="G4223">
        <f>WEEKDAY(calendar[[#This Row],[Date]],1)</f>
        <v>1</v>
      </c>
      <c r="H4223" t="str">
        <f>TEXT(calendar[[#This Row],[WeekDay]],"dddd")</f>
        <v>Sunday</v>
      </c>
      <c r="I4223">
        <f>IF((INT(calendar[[#This Row],[Count]]/7)-calendar[[#This Row],[Count]]/7)&lt;0,I4222,I4222+1)</f>
        <v>604</v>
      </c>
      <c r="J4223">
        <f t="shared" si="335"/>
        <v>4221</v>
      </c>
      <c r="K4223">
        <f>IF(calendar[[#This Row],[Month]]&lt;4,1,IF(calendar[[#This Row],[Month]]&lt;7,2,IF(calendar[[#This Row],[Month]]&lt;10,3,4)))</f>
        <v>3</v>
      </c>
      <c r="L4223">
        <f>IFERROR(IF(VLOOKUP(calendar[[#This Row],[Date]],BH!A:A,1,)&lt;&gt;"",1,0),0)</f>
        <v>0</v>
      </c>
      <c r="M4223">
        <f>IFERROR(IF(VLOOKUP(calendar[[#This Row],[Date]],BH!C:C,1,)&lt;&gt;"",1,0),0)</f>
        <v>0</v>
      </c>
      <c r="N4223">
        <f>IFERROR(IF(VLOOKUP(calendar[[#This Row],[Date]],BH!E:E,1,)&lt;&gt;"",1,0),0)</f>
        <v>0</v>
      </c>
      <c r="O4223">
        <f>IFERROR(IF(VLOOKUP(calendar[[#This Row],[Date]],BH!G:G,1,)&lt;&gt;"",1,0),0)</f>
        <v>0</v>
      </c>
      <c r="P4223">
        <f>IF(OR(calendar[[#This Row],[UK_BH]]=1,calendar[[#This Row],[WeekDay]]=1, calendar[[#This Row],[WeekDay]]=7),P4222,P4222+1)</f>
        <v>2991</v>
      </c>
      <c r="Q4223">
        <f>IF(OR(calendar[[#This Row],[FR_BH]]=1,calendar[[#This Row],[WeekDay]]=1, calendar[[#This Row],[WeekDay]]=7),P4222,P4222+1)</f>
        <v>2991</v>
      </c>
      <c r="R4223">
        <f>IF(OR(calendar[[#This Row],[SP_BH]]=1,calendar[[#This Row],[WeekDay]]=1, calendar[[#This Row],[WeekDay]]=7),P4222,P4222+1)</f>
        <v>2991</v>
      </c>
      <c r="S4223">
        <f>IF(OR(calendar[[#This Row],[PT_BH]]=1,calendar[[#This Row],[WeekDay]]=1, calendar[[#This Row],[WeekDay]]=7),P4222,P4222+1)</f>
        <v>2991</v>
      </c>
    </row>
    <row r="4224" spans="1:19" x14ac:dyDescent="0.25">
      <c r="A4224" s="2">
        <v>46958</v>
      </c>
      <c r="B4224" s="1">
        <f t="shared" si="331"/>
        <v>31</v>
      </c>
      <c r="C4224">
        <f t="shared" si="332"/>
        <v>7</v>
      </c>
      <c r="D4224" t="str">
        <f t="shared" si="333"/>
        <v>July</v>
      </c>
      <c r="E4224">
        <f t="shared" si="334"/>
        <v>2028</v>
      </c>
      <c r="F4224" t="str">
        <f>CONCATENATE(calendar[[#This Row],[Month]],"/",calendar[[#This Row],[Year]])</f>
        <v>7/2028</v>
      </c>
      <c r="G4224">
        <f>WEEKDAY(calendar[[#This Row],[Date]],1)</f>
        <v>2</v>
      </c>
      <c r="H4224" t="str">
        <f>TEXT(calendar[[#This Row],[WeekDay]],"dddd")</f>
        <v>Monday</v>
      </c>
      <c r="I4224">
        <f>IF((INT(calendar[[#This Row],[Count]]/7)-calendar[[#This Row],[Count]]/7)&lt;0,I4223,I4223+1)</f>
        <v>604</v>
      </c>
      <c r="J4224">
        <f t="shared" si="335"/>
        <v>4222</v>
      </c>
      <c r="K4224">
        <f>IF(calendar[[#This Row],[Month]]&lt;4,1,IF(calendar[[#This Row],[Month]]&lt;7,2,IF(calendar[[#This Row],[Month]]&lt;10,3,4)))</f>
        <v>3</v>
      </c>
      <c r="L4224">
        <f>IFERROR(IF(VLOOKUP(calendar[[#This Row],[Date]],BH!A:A,1,)&lt;&gt;"",1,0),0)</f>
        <v>0</v>
      </c>
      <c r="M4224">
        <f>IFERROR(IF(VLOOKUP(calendar[[#This Row],[Date]],BH!C:C,1,)&lt;&gt;"",1,0),0)</f>
        <v>0</v>
      </c>
      <c r="N4224">
        <f>IFERROR(IF(VLOOKUP(calendar[[#This Row],[Date]],BH!E:E,1,)&lt;&gt;"",1,0),0)</f>
        <v>0</v>
      </c>
      <c r="O4224">
        <f>IFERROR(IF(VLOOKUP(calendar[[#This Row],[Date]],BH!G:G,1,)&lt;&gt;"",1,0),0)</f>
        <v>0</v>
      </c>
      <c r="P4224">
        <f>IF(OR(calendar[[#This Row],[UK_BH]]=1,calendar[[#This Row],[WeekDay]]=1, calendar[[#This Row],[WeekDay]]=7),P4223,P4223+1)</f>
        <v>2992</v>
      </c>
      <c r="Q4224">
        <f>IF(OR(calendar[[#This Row],[FR_BH]]=1,calendar[[#This Row],[WeekDay]]=1, calendar[[#This Row],[WeekDay]]=7),P4223,P4223+1)</f>
        <v>2992</v>
      </c>
      <c r="R4224">
        <f>IF(OR(calendar[[#This Row],[SP_BH]]=1,calendar[[#This Row],[WeekDay]]=1, calendar[[#This Row],[WeekDay]]=7),P4223,P4223+1)</f>
        <v>2992</v>
      </c>
      <c r="S4224">
        <f>IF(OR(calendar[[#This Row],[PT_BH]]=1,calendar[[#This Row],[WeekDay]]=1, calendar[[#This Row],[WeekDay]]=7),P4223,P4223+1)</f>
        <v>2992</v>
      </c>
    </row>
    <row r="4225" spans="1:19" x14ac:dyDescent="0.25">
      <c r="A4225" s="2">
        <v>46959</v>
      </c>
      <c r="B4225" s="1">
        <f t="shared" si="331"/>
        <v>31</v>
      </c>
      <c r="C4225">
        <f t="shared" si="332"/>
        <v>7</v>
      </c>
      <c r="D4225" t="str">
        <f t="shared" si="333"/>
        <v>July</v>
      </c>
      <c r="E4225">
        <f t="shared" si="334"/>
        <v>2028</v>
      </c>
      <c r="F4225" t="str">
        <f>CONCATENATE(calendar[[#This Row],[Month]],"/",calendar[[#This Row],[Year]])</f>
        <v>7/2028</v>
      </c>
      <c r="G4225">
        <f>WEEKDAY(calendar[[#This Row],[Date]],1)</f>
        <v>3</v>
      </c>
      <c r="H4225" t="str">
        <f>TEXT(calendar[[#This Row],[WeekDay]],"dddd")</f>
        <v>Tuesday</v>
      </c>
      <c r="I4225">
        <f>IF((INT(calendar[[#This Row],[Count]]/7)-calendar[[#This Row],[Count]]/7)&lt;0,I4224,I4224+1)</f>
        <v>604</v>
      </c>
      <c r="J4225">
        <f t="shared" si="335"/>
        <v>4223</v>
      </c>
      <c r="K4225">
        <f>IF(calendar[[#This Row],[Month]]&lt;4,1,IF(calendar[[#This Row],[Month]]&lt;7,2,IF(calendar[[#This Row],[Month]]&lt;10,3,4)))</f>
        <v>3</v>
      </c>
      <c r="L4225">
        <f>IFERROR(IF(VLOOKUP(calendar[[#This Row],[Date]],BH!A:A,1,)&lt;&gt;"",1,0),0)</f>
        <v>0</v>
      </c>
      <c r="M4225">
        <f>IFERROR(IF(VLOOKUP(calendar[[#This Row],[Date]],BH!C:C,1,)&lt;&gt;"",1,0),0)</f>
        <v>0</v>
      </c>
      <c r="N4225">
        <f>IFERROR(IF(VLOOKUP(calendar[[#This Row],[Date]],BH!E:E,1,)&lt;&gt;"",1,0),0)</f>
        <v>0</v>
      </c>
      <c r="O4225">
        <f>IFERROR(IF(VLOOKUP(calendar[[#This Row],[Date]],BH!G:G,1,)&lt;&gt;"",1,0),0)</f>
        <v>0</v>
      </c>
      <c r="P4225">
        <f>IF(OR(calendar[[#This Row],[UK_BH]]=1,calendar[[#This Row],[WeekDay]]=1, calendar[[#This Row],[WeekDay]]=7),P4224,P4224+1)</f>
        <v>2993</v>
      </c>
      <c r="Q4225">
        <f>IF(OR(calendar[[#This Row],[FR_BH]]=1,calendar[[#This Row],[WeekDay]]=1, calendar[[#This Row],[WeekDay]]=7),P4224,P4224+1)</f>
        <v>2993</v>
      </c>
      <c r="R4225">
        <f>IF(OR(calendar[[#This Row],[SP_BH]]=1,calendar[[#This Row],[WeekDay]]=1, calendar[[#This Row],[WeekDay]]=7),P4224,P4224+1)</f>
        <v>2993</v>
      </c>
      <c r="S4225">
        <f>IF(OR(calendar[[#This Row],[PT_BH]]=1,calendar[[#This Row],[WeekDay]]=1, calendar[[#This Row],[WeekDay]]=7),P4224,P4224+1)</f>
        <v>2993</v>
      </c>
    </row>
    <row r="4226" spans="1:19" x14ac:dyDescent="0.25">
      <c r="A4226" s="2">
        <v>46960</v>
      </c>
      <c r="B4226" s="1">
        <f t="shared" ref="B4226:B4289" si="336">WEEKNUM(A4226)</f>
        <v>31</v>
      </c>
      <c r="C4226">
        <f t="shared" si="332"/>
        <v>7</v>
      </c>
      <c r="D4226" t="str">
        <f t="shared" si="333"/>
        <v>July</v>
      </c>
      <c r="E4226">
        <f t="shared" si="334"/>
        <v>2028</v>
      </c>
      <c r="F4226" t="str">
        <f>CONCATENATE(calendar[[#This Row],[Month]],"/",calendar[[#This Row],[Year]])</f>
        <v>7/2028</v>
      </c>
      <c r="G4226">
        <f>WEEKDAY(calendar[[#This Row],[Date]],1)</f>
        <v>4</v>
      </c>
      <c r="H4226" t="str">
        <f>TEXT(calendar[[#This Row],[WeekDay]],"dddd")</f>
        <v>Wednesday</v>
      </c>
      <c r="I4226">
        <f>IF((INT(calendar[[#This Row],[Count]]/7)-calendar[[#This Row],[Count]]/7)&lt;0,I4225,I4225+1)</f>
        <v>604</v>
      </c>
      <c r="J4226">
        <f t="shared" si="335"/>
        <v>4224</v>
      </c>
      <c r="K4226">
        <f>IF(calendar[[#This Row],[Month]]&lt;4,1,IF(calendar[[#This Row],[Month]]&lt;7,2,IF(calendar[[#This Row],[Month]]&lt;10,3,4)))</f>
        <v>3</v>
      </c>
      <c r="L4226">
        <f>IFERROR(IF(VLOOKUP(calendar[[#This Row],[Date]],BH!A:A,1,)&lt;&gt;"",1,0),0)</f>
        <v>0</v>
      </c>
      <c r="M4226">
        <f>IFERROR(IF(VLOOKUP(calendar[[#This Row],[Date]],BH!C:C,1,)&lt;&gt;"",1,0),0)</f>
        <v>0</v>
      </c>
      <c r="N4226">
        <f>IFERROR(IF(VLOOKUP(calendar[[#This Row],[Date]],BH!E:E,1,)&lt;&gt;"",1,0),0)</f>
        <v>0</v>
      </c>
      <c r="O4226">
        <f>IFERROR(IF(VLOOKUP(calendar[[#This Row],[Date]],BH!G:G,1,)&lt;&gt;"",1,0),0)</f>
        <v>0</v>
      </c>
      <c r="P4226">
        <f>IF(OR(calendar[[#This Row],[UK_BH]]=1,calendar[[#This Row],[WeekDay]]=1, calendar[[#This Row],[WeekDay]]=7),P4225,P4225+1)</f>
        <v>2994</v>
      </c>
      <c r="Q4226">
        <f>IF(OR(calendar[[#This Row],[FR_BH]]=1,calendar[[#This Row],[WeekDay]]=1, calendar[[#This Row],[WeekDay]]=7),P4225,P4225+1)</f>
        <v>2994</v>
      </c>
      <c r="R4226">
        <f>IF(OR(calendar[[#This Row],[SP_BH]]=1,calendar[[#This Row],[WeekDay]]=1, calendar[[#This Row],[WeekDay]]=7),P4225,P4225+1)</f>
        <v>2994</v>
      </c>
      <c r="S4226">
        <f>IF(OR(calendar[[#This Row],[PT_BH]]=1,calendar[[#This Row],[WeekDay]]=1, calendar[[#This Row],[WeekDay]]=7),P4225,P4225+1)</f>
        <v>2994</v>
      </c>
    </row>
    <row r="4227" spans="1:19" x14ac:dyDescent="0.25">
      <c r="A4227" s="2">
        <v>46961</v>
      </c>
      <c r="B4227" s="1">
        <f t="shared" si="336"/>
        <v>31</v>
      </c>
      <c r="C4227">
        <f t="shared" ref="C4227:C4290" si="337">MONTH(A4227)</f>
        <v>7</v>
      </c>
      <c r="D4227" t="str">
        <f t="shared" ref="D4227:D4290" si="338">TEXT(A4227,"mmmm")</f>
        <v>July</v>
      </c>
      <c r="E4227">
        <f t="shared" ref="E4227:E4290" si="339">YEAR(A4227)</f>
        <v>2028</v>
      </c>
      <c r="F4227" t="str">
        <f>CONCATENATE(calendar[[#This Row],[Month]],"/",calendar[[#This Row],[Year]])</f>
        <v>7/2028</v>
      </c>
      <c r="G4227">
        <f>WEEKDAY(calendar[[#This Row],[Date]],1)</f>
        <v>5</v>
      </c>
      <c r="H4227" t="str">
        <f>TEXT(calendar[[#This Row],[WeekDay]],"dddd")</f>
        <v>Thursday</v>
      </c>
      <c r="I4227">
        <f>IF((INT(calendar[[#This Row],[Count]]/7)-calendar[[#This Row],[Count]]/7)&lt;0,I4226,I4226+1)</f>
        <v>604</v>
      </c>
      <c r="J4227">
        <f t="shared" ref="J4227:J4290" si="340">J4226+1</f>
        <v>4225</v>
      </c>
      <c r="K4227">
        <f>IF(calendar[[#This Row],[Month]]&lt;4,1,IF(calendar[[#This Row],[Month]]&lt;7,2,IF(calendar[[#This Row],[Month]]&lt;10,3,4)))</f>
        <v>3</v>
      </c>
      <c r="L4227">
        <f>IFERROR(IF(VLOOKUP(calendar[[#This Row],[Date]],BH!A:A,1,)&lt;&gt;"",1,0),0)</f>
        <v>0</v>
      </c>
      <c r="M4227">
        <f>IFERROR(IF(VLOOKUP(calendar[[#This Row],[Date]],BH!C:C,1,)&lt;&gt;"",1,0),0)</f>
        <v>0</v>
      </c>
      <c r="N4227">
        <f>IFERROR(IF(VLOOKUP(calendar[[#This Row],[Date]],BH!E:E,1,)&lt;&gt;"",1,0),0)</f>
        <v>0</v>
      </c>
      <c r="O4227">
        <f>IFERROR(IF(VLOOKUP(calendar[[#This Row],[Date]],BH!G:G,1,)&lt;&gt;"",1,0),0)</f>
        <v>0</v>
      </c>
      <c r="P4227">
        <f>IF(OR(calendar[[#This Row],[UK_BH]]=1,calendar[[#This Row],[WeekDay]]=1, calendar[[#This Row],[WeekDay]]=7),P4226,P4226+1)</f>
        <v>2995</v>
      </c>
      <c r="Q4227">
        <f>IF(OR(calendar[[#This Row],[FR_BH]]=1,calendar[[#This Row],[WeekDay]]=1, calendar[[#This Row],[WeekDay]]=7),P4226,P4226+1)</f>
        <v>2995</v>
      </c>
      <c r="R4227">
        <f>IF(OR(calendar[[#This Row],[SP_BH]]=1,calendar[[#This Row],[WeekDay]]=1, calendar[[#This Row],[WeekDay]]=7),P4226,P4226+1)</f>
        <v>2995</v>
      </c>
      <c r="S4227">
        <f>IF(OR(calendar[[#This Row],[PT_BH]]=1,calendar[[#This Row],[WeekDay]]=1, calendar[[#This Row],[WeekDay]]=7),P4226,P4226+1)</f>
        <v>2995</v>
      </c>
    </row>
    <row r="4228" spans="1:19" x14ac:dyDescent="0.25">
      <c r="A4228" s="2">
        <v>46962</v>
      </c>
      <c r="B4228" s="1">
        <f t="shared" si="336"/>
        <v>31</v>
      </c>
      <c r="C4228">
        <f t="shared" si="337"/>
        <v>7</v>
      </c>
      <c r="D4228" t="str">
        <f t="shared" si="338"/>
        <v>July</v>
      </c>
      <c r="E4228">
        <f t="shared" si="339"/>
        <v>2028</v>
      </c>
      <c r="F4228" t="str">
        <f>CONCATENATE(calendar[[#This Row],[Month]],"/",calendar[[#This Row],[Year]])</f>
        <v>7/2028</v>
      </c>
      <c r="G4228">
        <f>WEEKDAY(calendar[[#This Row],[Date]],1)</f>
        <v>6</v>
      </c>
      <c r="H4228" t="str">
        <f>TEXT(calendar[[#This Row],[WeekDay]],"dddd")</f>
        <v>Friday</v>
      </c>
      <c r="I4228">
        <f>IF((INT(calendar[[#This Row],[Count]]/7)-calendar[[#This Row],[Count]]/7)&lt;0,I4227,I4227+1)</f>
        <v>604</v>
      </c>
      <c r="J4228">
        <f t="shared" si="340"/>
        <v>4226</v>
      </c>
      <c r="K4228">
        <f>IF(calendar[[#This Row],[Month]]&lt;4,1,IF(calendar[[#This Row],[Month]]&lt;7,2,IF(calendar[[#This Row],[Month]]&lt;10,3,4)))</f>
        <v>3</v>
      </c>
      <c r="L4228">
        <f>IFERROR(IF(VLOOKUP(calendar[[#This Row],[Date]],BH!A:A,1,)&lt;&gt;"",1,0),0)</f>
        <v>0</v>
      </c>
      <c r="M4228">
        <f>IFERROR(IF(VLOOKUP(calendar[[#This Row],[Date]],BH!C:C,1,)&lt;&gt;"",1,0),0)</f>
        <v>0</v>
      </c>
      <c r="N4228">
        <f>IFERROR(IF(VLOOKUP(calendar[[#This Row],[Date]],BH!E:E,1,)&lt;&gt;"",1,0),0)</f>
        <v>0</v>
      </c>
      <c r="O4228">
        <f>IFERROR(IF(VLOOKUP(calendar[[#This Row],[Date]],BH!G:G,1,)&lt;&gt;"",1,0),0)</f>
        <v>0</v>
      </c>
      <c r="P4228">
        <f>IF(OR(calendar[[#This Row],[UK_BH]]=1,calendar[[#This Row],[WeekDay]]=1, calendar[[#This Row],[WeekDay]]=7),P4227,P4227+1)</f>
        <v>2996</v>
      </c>
      <c r="Q4228">
        <f>IF(OR(calendar[[#This Row],[FR_BH]]=1,calendar[[#This Row],[WeekDay]]=1, calendar[[#This Row],[WeekDay]]=7),P4227,P4227+1)</f>
        <v>2996</v>
      </c>
      <c r="R4228">
        <f>IF(OR(calendar[[#This Row],[SP_BH]]=1,calendar[[#This Row],[WeekDay]]=1, calendar[[#This Row],[WeekDay]]=7),P4227,P4227+1)</f>
        <v>2996</v>
      </c>
      <c r="S4228">
        <f>IF(OR(calendar[[#This Row],[PT_BH]]=1,calendar[[#This Row],[WeekDay]]=1, calendar[[#This Row],[WeekDay]]=7),P4227,P4227+1)</f>
        <v>2996</v>
      </c>
    </row>
    <row r="4229" spans="1:19" x14ac:dyDescent="0.25">
      <c r="A4229" s="2">
        <v>46963</v>
      </c>
      <c r="B4229" s="1">
        <f t="shared" si="336"/>
        <v>31</v>
      </c>
      <c r="C4229">
        <f t="shared" si="337"/>
        <v>7</v>
      </c>
      <c r="D4229" t="str">
        <f t="shared" si="338"/>
        <v>July</v>
      </c>
      <c r="E4229">
        <f t="shared" si="339"/>
        <v>2028</v>
      </c>
      <c r="F4229" t="str">
        <f>CONCATENATE(calendar[[#This Row],[Month]],"/",calendar[[#This Row],[Year]])</f>
        <v>7/2028</v>
      </c>
      <c r="G4229">
        <f>WEEKDAY(calendar[[#This Row],[Date]],1)</f>
        <v>7</v>
      </c>
      <c r="H4229" t="str">
        <f>TEXT(calendar[[#This Row],[WeekDay]],"dddd")</f>
        <v>Saturday</v>
      </c>
      <c r="I4229">
        <f>IF((INT(calendar[[#This Row],[Count]]/7)-calendar[[#This Row],[Count]]/7)&lt;0,I4228,I4228+1)</f>
        <v>604</v>
      </c>
      <c r="J4229">
        <f t="shared" si="340"/>
        <v>4227</v>
      </c>
      <c r="K4229">
        <f>IF(calendar[[#This Row],[Month]]&lt;4,1,IF(calendar[[#This Row],[Month]]&lt;7,2,IF(calendar[[#This Row],[Month]]&lt;10,3,4)))</f>
        <v>3</v>
      </c>
      <c r="L4229">
        <f>IFERROR(IF(VLOOKUP(calendar[[#This Row],[Date]],BH!A:A,1,)&lt;&gt;"",1,0),0)</f>
        <v>0</v>
      </c>
      <c r="M4229">
        <f>IFERROR(IF(VLOOKUP(calendar[[#This Row],[Date]],BH!C:C,1,)&lt;&gt;"",1,0),0)</f>
        <v>0</v>
      </c>
      <c r="N4229">
        <f>IFERROR(IF(VLOOKUP(calendar[[#This Row],[Date]],BH!E:E,1,)&lt;&gt;"",1,0),0)</f>
        <v>0</v>
      </c>
      <c r="O4229">
        <f>IFERROR(IF(VLOOKUP(calendar[[#This Row],[Date]],BH!G:G,1,)&lt;&gt;"",1,0),0)</f>
        <v>0</v>
      </c>
      <c r="P4229">
        <f>IF(OR(calendar[[#This Row],[UK_BH]]=1,calendar[[#This Row],[WeekDay]]=1, calendar[[#This Row],[WeekDay]]=7),P4228,P4228+1)</f>
        <v>2996</v>
      </c>
      <c r="Q4229">
        <f>IF(OR(calendar[[#This Row],[FR_BH]]=1,calendar[[#This Row],[WeekDay]]=1, calendar[[#This Row],[WeekDay]]=7),P4228,P4228+1)</f>
        <v>2996</v>
      </c>
      <c r="R4229">
        <f>IF(OR(calendar[[#This Row],[SP_BH]]=1,calendar[[#This Row],[WeekDay]]=1, calendar[[#This Row],[WeekDay]]=7),P4228,P4228+1)</f>
        <v>2996</v>
      </c>
      <c r="S4229">
        <f>IF(OR(calendar[[#This Row],[PT_BH]]=1,calendar[[#This Row],[WeekDay]]=1, calendar[[#This Row],[WeekDay]]=7),P4228,P4228+1)</f>
        <v>2996</v>
      </c>
    </row>
    <row r="4230" spans="1:19" x14ac:dyDescent="0.25">
      <c r="A4230" s="2">
        <v>46964</v>
      </c>
      <c r="B4230" s="1">
        <f t="shared" si="336"/>
        <v>32</v>
      </c>
      <c r="C4230">
        <f t="shared" si="337"/>
        <v>7</v>
      </c>
      <c r="D4230" t="str">
        <f t="shared" si="338"/>
        <v>July</v>
      </c>
      <c r="E4230">
        <f t="shared" si="339"/>
        <v>2028</v>
      </c>
      <c r="F4230" t="str">
        <f>CONCATENATE(calendar[[#This Row],[Month]],"/",calendar[[#This Row],[Year]])</f>
        <v>7/2028</v>
      </c>
      <c r="G4230">
        <f>WEEKDAY(calendar[[#This Row],[Date]],1)</f>
        <v>1</v>
      </c>
      <c r="H4230" t="str">
        <f>TEXT(calendar[[#This Row],[WeekDay]],"dddd")</f>
        <v>Sunday</v>
      </c>
      <c r="I4230">
        <f>IF((INT(calendar[[#This Row],[Count]]/7)-calendar[[#This Row],[Count]]/7)&lt;0,I4229,I4229+1)</f>
        <v>605</v>
      </c>
      <c r="J4230">
        <f t="shared" si="340"/>
        <v>4228</v>
      </c>
      <c r="K4230">
        <f>IF(calendar[[#This Row],[Month]]&lt;4,1,IF(calendar[[#This Row],[Month]]&lt;7,2,IF(calendar[[#This Row],[Month]]&lt;10,3,4)))</f>
        <v>3</v>
      </c>
      <c r="L4230">
        <f>IFERROR(IF(VLOOKUP(calendar[[#This Row],[Date]],BH!A:A,1,)&lt;&gt;"",1,0),0)</f>
        <v>0</v>
      </c>
      <c r="M4230">
        <f>IFERROR(IF(VLOOKUP(calendar[[#This Row],[Date]],BH!C:C,1,)&lt;&gt;"",1,0),0)</f>
        <v>0</v>
      </c>
      <c r="N4230">
        <f>IFERROR(IF(VLOOKUP(calendar[[#This Row],[Date]],BH!E:E,1,)&lt;&gt;"",1,0),0)</f>
        <v>0</v>
      </c>
      <c r="O4230">
        <f>IFERROR(IF(VLOOKUP(calendar[[#This Row],[Date]],BH!G:G,1,)&lt;&gt;"",1,0),0)</f>
        <v>0</v>
      </c>
      <c r="P4230">
        <f>IF(OR(calendar[[#This Row],[UK_BH]]=1,calendar[[#This Row],[WeekDay]]=1, calendar[[#This Row],[WeekDay]]=7),P4229,P4229+1)</f>
        <v>2996</v>
      </c>
      <c r="Q4230">
        <f>IF(OR(calendar[[#This Row],[FR_BH]]=1,calendar[[#This Row],[WeekDay]]=1, calendar[[#This Row],[WeekDay]]=7),P4229,P4229+1)</f>
        <v>2996</v>
      </c>
      <c r="R4230">
        <f>IF(OR(calendar[[#This Row],[SP_BH]]=1,calendar[[#This Row],[WeekDay]]=1, calendar[[#This Row],[WeekDay]]=7),P4229,P4229+1)</f>
        <v>2996</v>
      </c>
      <c r="S4230">
        <f>IF(OR(calendar[[#This Row],[PT_BH]]=1,calendar[[#This Row],[WeekDay]]=1, calendar[[#This Row],[WeekDay]]=7),P4229,P4229+1)</f>
        <v>2996</v>
      </c>
    </row>
    <row r="4231" spans="1:19" x14ac:dyDescent="0.25">
      <c r="A4231" s="2">
        <v>46965</v>
      </c>
      <c r="B4231" s="1">
        <f t="shared" si="336"/>
        <v>32</v>
      </c>
      <c r="C4231">
        <f t="shared" si="337"/>
        <v>7</v>
      </c>
      <c r="D4231" t="str">
        <f t="shared" si="338"/>
        <v>July</v>
      </c>
      <c r="E4231">
        <f t="shared" si="339"/>
        <v>2028</v>
      </c>
      <c r="F4231" t="str">
        <f>CONCATENATE(calendar[[#This Row],[Month]],"/",calendar[[#This Row],[Year]])</f>
        <v>7/2028</v>
      </c>
      <c r="G4231">
        <f>WEEKDAY(calendar[[#This Row],[Date]],1)</f>
        <v>2</v>
      </c>
      <c r="H4231" t="str">
        <f>TEXT(calendar[[#This Row],[WeekDay]],"dddd")</f>
        <v>Monday</v>
      </c>
      <c r="I4231">
        <f>IF((INT(calendar[[#This Row],[Count]]/7)-calendar[[#This Row],[Count]]/7)&lt;0,I4230,I4230+1)</f>
        <v>605</v>
      </c>
      <c r="J4231">
        <f t="shared" si="340"/>
        <v>4229</v>
      </c>
      <c r="K4231">
        <f>IF(calendar[[#This Row],[Month]]&lt;4,1,IF(calendar[[#This Row],[Month]]&lt;7,2,IF(calendar[[#This Row],[Month]]&lt;10,3,4)))</f>
        <v>3</v>
      </c>
      <c r="L4231">
        <f>IFERROR(IF(VLOOKUP(calendar[[#This Row],[Date]],BH!A:A,1,)&lt;&gt;"",1,0),0)</f>
        <v>0</v>
      </c>
      <c r="M4231">
        <f>IFERROR(IF(VLOOKUP(calendar[[#This Row],[Date]],BH!C:C,1,)&lt;&gt;"",1,0),0)</f>
        <v>0</v>
      </c>
      <c r="N4231">
        <f>IFERROR(IF(VLOOKUP(calendar[[#This Row],[Date]],BH!E:E,1,)&lt;&gt;"",1,0),0)</f>
        <v>0</v>
      </c>
      <c r="O4231">
        <f>IFERROR(IF(VLOOKUP(calendar[[#This Row],[Date]],BH!G:G,1,)&lt;&gt;"",1,0),0)</f>
        <v>0</v>
      </c>
      <c r="P4231">
        <f>IF(OR(calendar[[#This Row],[UK_BH]]=1,calendar[[#This Row],[WeekDay]]=1, calendar[[#This Row],[WeekDay]]=7),P4230,P4230+1)</f>
        <v>2997</v>
      </c>
      <c r="Q4231">
        <f>IF(OR(calendar[[#This Row],[FR_BH]]=1,calendar[[#This Row],[WeekDay]]=1, calendar[[#This Row],[WeekDay]]=7),P4230,P4230+1)</f>
        <v>2997</v>
      </c>
      <c r="R4231">
        <f>IF(OR(calendar[[#This Row],[SP_BH]]=1,calendar[[#This Row],[WeekDay]]=1, calendar[[#This Row],[WeekDay]]=7),P4230,P4230+1)</f>
        <v>2997</v>
      </c>
      <c r="S4231">
        <f>IF(OR(calendar[[#This Row],[PT_BH]]=1,calendar[[#This Row],[WeekDay]]=1, calendar[[#This Row],[WeekDay]]=7),P4230,P4230+1)</f>
        <v>2997</v>
      </c>
    </row>
    <row r="4232" spans="1:19" x14ac:dyDescent="0.25">
      <c r="A4232" s="2">
        <v>46966</v>
      </c>
      <c r="B4232" s="1">
        <f t="shared" si="336"/>
        <v>32</v>
      </c>
      <c r="C4232">
        <f t="shared" si="337"/>
        <v>8</v>
      </c>
      <c r="D4232" t="str">
        <f t="shared" si="338"/>
        <v>August</v>
      </c>
      <c r="E4232">
        <f t="shared" si="339"/>
        <v>2028</v>
      </c>
      <c r="F4232" t="str">
        <f>CONCATENATE(calendar[[#This Row],[Month]],"/",calendar[[#This Row],[Year]])</f>
        <v>8/2028</v>
      </c>
      <c r="G4232">
        <f>WEEKDAY(calendar[[#This Row],[Date]],1)</f>
        <v>3</v>
      </c>
      <c r="H4232" t="str">
        <f>TEXT(calendar[[#This Row],[WeekDay]],"dddd")</f>
        <v>Tuesday</v>
      </c>
      <c r="I4232">
        <f>IF((INT(calendar[[#This Row],[Count]]/7)-calendar[[#This Row],[Count]]/7)&lt;0,I4231,I4231+1)</f>
        <v>605</v>
      </c>
      <c r="J4232">
        <f t="shared" si="340"/>
        <v>4230</v>
      </c>
      <c r="K4232">
        <f>IF(calendar[[#This Row],[Month]]&lt;4,1,IF(calendar[[#This Row],[Month]]&lt;7,2,IF(calendar[[#This Row],[Month]]&lt;10,3,4)))</f>
        <v>3</v>
      </c>
      <c r="L4232">
        <f>IFERROR(IF(VLOOKUP(calendar[[#This Row],[Date]],BH!A:A,1,)&lt;&gt;"",1,0),0)</f>
        <v>0</v>
      </c>
      <c r="M4232">
        <f>IFERROR(IF(VLOOKUP(calendar[[#This Row],[Date]],BH!C:C,1,)&lt;&gt;"",1,0),0)</f>
        <v>0</v>
      </c>
      <c r="N4232">
        <f>IFERROR(IF(VLOOKUP(calendar[[#This Row],[Date]],BH!E:E,1,)&lt;&gt;"",1,0),0)</f>
        <v>0</v>
      </c>
      <c r="O4232">
        <f>IFERROR(IF(VLOOKUP(calendar[[#This Row],[Date]],BH!G:G,1,)&lt;&gt;"",1,0),0)</f>
        <v>0</v>
      </c>
      <c r="P4232">
        <f>IF(OR(calendar[[#This Row],[UK_BH]]=1,calendar[[#This Row],[WeekDay]]=1, calendar[[#This Row],[WeekDay]]=7),P4231,P4231+1)</f>
        <v>2998</v>
      </c>
      <c r="Q4232">
        <f>IF(OR(calendar[[#This Row],[FR_BH]]=1,calendar[[#This Row],[WeekDay]]=1, calendar[[#This Row],[WeekDay]]=7),P4231,P4231+1)</f>
        <v>2998</v>
      </c>
      <c r="R4232">
        <f>IF(OR(calendar[[#This Row],[SP_BH]]=1,calendar[[#This Row],[WeekDay]]=1, calendar[[#This Row],[WeekDay]]=7),P4231,P4231+1)</f>
        <v>2998</v>
      </c>
      <c r="S4232">
        <f>IF(OR(calendar[[#This Row],[PT_BH]]=1,calendar[[#This Row],[WeekDay]]=1, calendar[[#This Row],[WeekDay]]=7),P4231,P4231+1)</f>
        <v>2998</v>
      </c>
    </row>
    <row r="4233" spans="1:19" x14ac:dyDescent="0.25">
      <c r="A4233" s="2">
        <v>46967</v>
      </c>
      <c r="B4233" s="1">
        <f t="shared" si="336"/>
        <v>32</v>
      </c>
      <c r="C4233">
        <f t="shared" si="337"/>
        <v>8</v>
      </c>
      <c r="D4233" t="str">
        <f t="shared" si="338"/>
        <v>August</v>
      </c>
      <c r="E4233">
        <f t="shared" si="339"/>
        <v>2028</v>
      </c>
      <c r="F4233" t="str">
        <f>CONCATENATE(calendar[[#This Row],[Month]],"/",calendar[[#This Row],[Year]])</f>
        <v>8/2028</v>
      </c>
      <c r="G4233">
        <f>WEEKDAY(calendar[[#This Row],[Date]],1)</f>
        <v>4</v>
      </c>
      <c r="H4233" t="str">
        <f>TEXT(calendar[[#This Row],[WeekDay]],"dddd")</f>
        <v>Wednesday</v>
      </c>
      <c r="I4233">
        <f>IF((INT(calendar[[#This Row],[Count]]/7)-calendar[[#This Row],[Count]]/7)&lt;0,I4232,I4232+1)</f>
        <v>605</v>
      </c>
      <c r="J4233">
        <f t="shared" si="340"/>
        <v>4231</v>
      </c>
      <c r="K4233">
        <f>IF(calendar[[#This Row],[Month]]&lt;4,1,IF(calendar[[#This Row],[Month]]&lt;7,2,IF(calendar[[#This Row],[Month]]&lt;10,3,4)))</f>
        <v>3</v>
      </c>
      <c r="L4233">
        <f>IFERROR(IF(VLOOKUP(calendar[[#This Row],[Date]],BH!A:A,1,)&lt;&gt;"",1,0),0)</f>
        <v>0</v>
      </c>
      <c r="M4233">
        <f>IFERROR(IF(VLOOKUP(calendar[[#This Row],[Date]],BH!C:C,1,)&lt;&gt;"",1,0),0)</f>
        <v>0</v>
      </c>
      <c r="N4233">
        <f>IFERROR(IF(VLOOKUP(calendar[[#This Row],[Date]],BH!E:E,1,)&lt;&gt;"",1,0),0)</f>
        <v>0</v>
      </c>
      <c r="O4233">
        <f>IFERROR(IF(VLOOKUP(calendar[[#This Row],[Date]],BH!G:G,1,)&lt;&gt;"",1,0),0)</f>
        <v>0</v>
      </c>
      <c r="P4233">
        <f>IF(OR(calendar[[#This Row],[UK_BH]]=1,calendar[[#This Row],[WeekDay]]=1, calendar[[#This Row],[WeekDay]]=7),P4232,P4232+1)</f>
        <v>2999</v>
      </c>
      <c r="Q4233">
        <f>IF(OR(calendar[[#This Row],[FR_BH]]=1,calendar[[#This Row],[WeekDay]]=1, calendar[[#This Row],[WeekDay]]=7),P4232,P4232+1)</f>
        <v>2999</v>
      </c>
      <c r="R4233">
        <f>IF(OR(calendar[[#This Row],[SP_BH]]=1,calendar[[#This Row],[WeekDay]]=1, calendar[[#This Row],[WeekDay]]=7),P4232,P4232+1)</f>
        <v>2999</v>
      </c>
      <c r="S4233">
        <f>IF(OR(calendar[[#This Row],[PT_BH]]=1,calendar[[#This Row],[WeekDay]]=1, calendar[[#This Row],[WeekDay]]=7),P4232,P4232+1)</f>
        <v>2999</v>
      </c>
    </row>
    <row r="4234" spans="1:19" x14ac:dyDescent="0.25">
      <c r="A4234" s="2">
        <v>46968</v>
      </c>
      <c r="B4234" s="1">
        <f t="shared" si="336"/>
        <v>32</v>
      </c>
      <c r="C4234">
        <f t="shared" si="337"/>
        <v>8</v>
      </c>
      <c r="D4234" t="str">
        <f t="shared" si="338"/>
        <v>August</v>
      </c>
      <c r="E4234">
        <f t="shared" si="339"/>
        <v>2028</v>
      </c>
      <c r="F4234" t="str">
        <f>CONCATENATE(calendar[[#This Row],[Month]],"/",calendar[[#This Row],[Year]])</f>
        <v>8/2028</v>
      </c>
      <c r="G4234">
        <f>WEEKDAY(calendar[[#This Row],[Date]],1)</f>
        <v>5</v>
      </c>
      <c r="H4234" t="str">
        <f>TEXT(calendar[[#This Row],[WeekDay]],"dddd")</f>
        <v>Thursday</v>
      </c>
      <c r="I4234">
        <f>IF((INT(calendar[[#This Row],[Count]]/7)-calendar[[#This Row],[Count]]/7)&lt;0,I4233,I4233+1)</f>
        <v>605</v>
      </c>
      <c r="J4234">
        <f t="shared" si="340"/>
        <v>4232</v>
      </c>
      <c r="K4234">
        <f>IF(calendar[[#This Row],[Month]]&lt;4,1,IF(calendar[[#This Row],[Month]]&lt;7,2,IF(calendar[[#This Row],[Month]]&lt;10,3,4)))</f>
        <v>3</v>
      </c>
      <c r="L4234">
        <f>IFERROR(IF(VLOOKUP(calendar[[#This Row],[Date]],BH!A:A,1,)&lt;&gt;"",1,0),0)</f>
        <v>0</v>
      </c>
      <c r="M4234">
        <f>IFERROR(IF(VLOOKUP(calendar[[#This Row],[Date]],BH!C:C,1,)&lt;&gt;"",1,0),0)</f>
        <v>0</v>
      </c>
      <c r="N4234">
        <f>IFERROR(IF(VLOOKUP(calendar[[#This Row],[Date]],BH!E:E,1,)&lt;&gt;"",1,0),0)</f>
        <v>0</v>
      </c>
      <c r="O4234">
        <f>IFERROR(IF(VLOOKUP(calendar[[#This Row],[Date]],BH!G:G,1,)&lt;&gt;"",1,0),0)</f>
        <v>0</v>
      </c>
      <c r="P4234">
        <f>IF(OR(calendar[[#This Row],[UK_BH]]=1,calendar[[#This Row],[WeekDay]]=1, calendar[[#This Row],[WeekDay]]=7),P4233,P4233+1)</f>
        <v>3000</v>
      </c>
      <c r="Q4234">
        <f>IF(OR(calendar[[#This Row],[FR_BH]]=1,calendar[[#This Row],[WeekDay]]=1, calendar[[#This Row],[WeekDay]]=7),P4233,P4233+1)</f>
        <v>3000</v>
      </c>
      <c r="R4234">
        <f>IF(OR(calendar[[#This Row],[SP_BH]]=1,calendar[[#This Row],[WeekDay]]=1, calendar[[#This Row],[WeekDay]]=7),P4233,P4233+1)</f>
        <v>3000</v>
      </c>
      <c r="S4234">
        <f>IF(OR(calendar[[#This Row],[PT_BH]]=1,calendar[[#This Row],[WeekDay]]=1, calendar[[#This Row],[WeekDay]]=7),P4233,P4233+1)</f>
        <v>3000</v>
      </c>
    </row>
    <row r="4235" spans="1:19" x14ac:dyDescent="0.25">
      <c r="A4235" s="2">
        <v>46969</v>
      </c>
      <c r="B4235" s="1">
        <f t="shared" si="336"/>
        <v>32</v>
      </c>
      <c r="C4235">
        <f t="shared" si="337"/>
        <v>8</v>
      </c>
      <c r="D4235" t="str">
        <f t="shared" si="338"/>
        <v>August</v>
      </c>
      <c r="E4235">
        <f t="shared" si="339"/>
        <v>2028</v>
      </c>
      <c r="F4235" t="str">
        <f>CONCATENATE(calendar[[#This Row],[Month]],"/",calendar[[#This Row],[Year]])</f>
        <v>8/2028</v>
      </c>
      <c r="G4235">
        <f>WEEKDAY(calendar[[#This Row],[Date]],1)</f>
        <v>6</v>
      </c>
      <c r="H4235" t="str">
        <f>TEXT(calendar[[#This Row],[WeekDay]],"dddd")</f>
        <v>Friday</v>
      </c>
      <c r="I4235">
        <f>IF((INT(calendar[[#This Row],[Count]]/7)-calendar[[#This Row],[Count]]/7)&lt;0,I4234,I4234+1)</f>
        <v>605</v>
      </c>
      <c r="J4235">
        <f t="shared" si="340"/>
        <v>4233</v>
      </c>
      <c r="K4235">
        <f>IF(calendar[[#This Row],[Month]]&lt;4,1,IF(calendar[[#This Row],[Month]]&lt;7,2,IF(calendar[[#This Row],[Month]]&lt;10,3,4)))</f>
        <v>3</v>
      </c>
      <c r="L4235">
        <f>IFERROR(IF(VLOOKUP(calendar[[#This Row],[Date]],BH!A:A,1,)&lt;&gt;"",1,0),0)</f>
        <v>0</v>
      </c>
      <c r="M4235">
        <f>IFERROR(IF(VLOOKUP(calendar[[#This Row],[Date]],BH!C:C,1,)&lt;&gt;"",1,0),0)</f>
        <v>0</v>
      </c>
      <c r="N4235">
        <f>IFERROR(IF(VLOOKUP(calendar[[#This Row],[Date]],BH!E:E,1,)&lt;&gt;"",1,0),0)</f>
        <v>0</v>
      </c>
      <c r="O4235">
        <f>IFERROR(IF(VLOOKUP(calendar[[#This Row],[Date]],BH!G:G,1,)&lt;&gt;"",1,0),0)</f>
        <v>0</v>
      </c>
      <c r="P4235">
        <f>IF(OR(calendar[[#This Row],[UK_BH]]=1,calendar[[#This Row],[WeekDay]]=1, calendar[[#This Row],[WeekDay]]=7),P4234,P4234+1)</f>
        <v>3001</v>
      </c>
      <c r="Q4235">
        <f>IF(OR(calendar[[#This Row],[FR_BH]]=1,calendar[[#This Row],[WeekDay]]=1, calendar[[#This Row],[WeekDay]]=7),P4234,P4234+1)</f>
        <v>3001</v>
      </c>
      <c r="R4235">
        <f>IF(OR(calendar[[#This Row],[SP_BH]]=1,calendar[[#This Row],[WeekDay]]=1, calendar[[#This Row],[WeekDay]]=7),P4234,P4234+1)</f>
        <v>3001</v>
      </c>
      <c r="S4235">
        <f>IF(OR(calendar[[#This Row],[PT_BH]]=1,calendar[[#This Row],[WeekDay]]=1, calendar[[#This Row],[WeekDay]]=7),P4234,P4234+1)</f>
        <v>3001</v>
      </c>
    </row>
    <row r="4236" spans="1:19" x14ac:dyDescent="0.25">
      <c r="A4236" s="2">
        <v>46970</v>
      </c>
      <c r="B4236" s="1">
        <f t="shared" si="336"/>
        <v>32</v>
      </c>
      <c r="C4236">
        <f t="shared" si="337"/>
        <v>8</v>
      </c>
      <c r="D4236" t="str">
        <f t="shared" si="338"/>
        <v>August</v>
      </c>
      <c r="E4236">
        <f t="shared" si="339"/>
        <v>2028</v>
      </c>
      <c r="F4236" t="str">
        <f>CONCATENATE(calendar[[#This Row],[Month]],"/",calendar[[#This Row],[Year]])</f>
        <v>8/2028</v>
      </c>
      <c r="G4236">
        <f>WEEKDAY(calendar[[#This Row],[Date]],1)</f>
        <v>7</v>
      </c>
      <c r="H4236" t="str">
        <f>TEXT(calendar[[#This Row],[WeekDay]],"dddd")</f>
        <v>Saturday</v>
      </c>
      <c r="I4236">
        <f>IF((INT(calendar[[#This Row],[Count]]/7)-calendar[[#This Row],[Count]]/7)&lt;0,I4235,I4235+1)</f>
        <v>605</v>
      </c>
      <c r="J4236">
        <f t="shared" si="340"/>
        <v>4234</v>
      </c>
      <c r="K4236">
        <f>IF(calendar[[#This Row],[Month]]&lt;4,1,IF(calendar[[#This Row],[Month]]&lt;7,2,IF(calendar[[#This Row],[Month]]&lt;10,3,4)))</f>
        <v>3</v>
      </c>
      <c r="L4236">
        <f>IFERROR(IF(VLOOKUP(calendar[[#This Row],[Date]],BH!A:A,1,)&lt;&gt;"",1,0),0)</f>
        <v>0</v>
      </c>
      <c r="M4236">
        <f>IFERROR(IF(VLOOKUP(calendar[[#This Row],[Date]],BH!C:C,1,)&lt;&gt;"",1,0),0)</f>
        <v>0</v>
      </c>
      <c r="N4236">
        <f>IFERROR(IF(VLOOKUP(calendar[[#This Row],[Date]],BH!E:E,1,)&lt;&gt;"",1,0),0)</f>
        <v>0</v>
      </c>
      <c r="O4236">
        <f>IFERROR(IF(VLOOKUP(calendar[[#This Row],[Date]],BH!G:G,1,)&lt;&gt;"",1,0),0)</f>
        <v>0</v>
      </c>
      <c r="P4236">
        <f>IF(OR(calendar[[#This Row],[UK_BH]]=1,calendar[[#This Row],[WeekDay]]=1, calendar[[#This Row],[WeekDay]]=7),P4235,P4235+1)</f>
        <v>3001</v>
      </c>
      <c r="Q4236">
        <f>IF(OR(calendar[[#This Row],[FR_BH]]=1,calendar[[#This Row],[WeekDay]]=1, calendar[[#This Row],[WeekDay]]=7),P4235,P4235+1)</f>
        <v>3001</v>
      </c>
      <c r="R4236">
        <f>IF(OR(calendar[[#This Row],[SP_BH]]=1,calendar[[#This Row],[WeekDay]]=1, calendar[[#This Row],[WeekDay]]=7),P4235,P4235+1)</f>
        <v>3001</v>
      </c>
      <c r="S4236">
        <f>IF(OR(calendar[[#This Row],[PT_BH]]=1,calendar[[#This Row],[WeekDay]]=1, calendar[[#This Row],[WeekDay]]=7),P4235,P4235+1)</f>
        <v>3001</v>
      </c>
    </row>
    <row r="4237" spans="1:19" x14ac:dyDescent="0.25">
      <c r="A4237" s="2">
        <v>46971</v>
      </c>
      <c r="B4237" s="1">
        <f t="shared" si="336"/>
        <v>33</v>
      </c>
      <c r="C4237">
        <f t="shared" si="337"/>
        <v>8</v>
      </c>
      <c r="D4237" t="str">
        <f t="shared" si="338"/>
        <v>August</v>
      </c>
      <c r="E4237">
        <f t="shared" si="339"/>
        <v>2028</v>
      </c>
      <c r="F4237" t="str">
        <f>CONCATENATE(calendar[[#This Row],[Month]],"/",calendar[[#This Row],[Year]])</f>
        <v>8/2028</v>
      </c>
      <c r="G4237">
        <f>WEEKDAY(calendar[[#This Row],[Date]],1)</f>
        <v>1</v>
      </c>
      <c r="H4237" t="str">
        <f>TEXT(calendar[[#This Row],[WeekDay]],"dddd")</f>
        <v>Sunday</v>
      </c>
      <c r="I4237">
        <f>IF((INT(calendar[[#This Row],[Count]]/7)-calendar[[#This Row],[Count]]/7)&lt;0,I4236,I4236+1)</f>
        <v>606</v>
      </c>
      <c r="J4237">
        <f t="shared" si="340"/>
        <v>4235</v>
      </c>
      <c r="K4237">
        <f>IF(calendar[[#This Row],[Month]]&lt;4,1,IF(calendar[[#This Row],[Month]]&lt;7,2,IF(calendar[[#This Row],[Month]]&lt;10,3,4)))</f>
        <v>3</v>
      </c>
      <c r="L4237">
        <f>IFERROR(IF(VLOOKUP(calendar[[#This Row],[Date]],BH!A:A,1,)&lt;&gt;"",1,0),0)</f>
        <v>0</v>
      </c>
      <c r="M4237">
        <f>IFERROR(IF(VLOOKUP(calendar[[#This Row],[Date]],BH!C:C,1,)&lt;&gt;"",1,0),0)</f>
        <v>0</v>
      </c>
      <c r="N4237">
        <f>IFERROR(IF(VLOOKUP(calendar[[#This Row],[Date]],BH!E:E,1,)&lt;&gt;"",1,0),0)</f>
        <v>0</v>
      </c>
      <c r="O4237">
        <f>IFERROR(IF(VLOOKUP(calendar[[#This Row],[Date]],BH!G:G,1,)&lt;&gt;"",1,0),0)</f>
        <v>0</v>
      </c>
      <c r="P4237">
        <f>IF(OR(calendar[[#This Row],[UK_BH]]=1,calendar[[#This Row],[WeekDay]]=1, calendar[[#This Row],[WeekDay]]=7),P4236,P4236+1)</f>
        <v>3001</v>
      </c>
      <c r="Q4237">
        <f>IF(OR(calendar[[#This Row],[FR_BH]]=1,calendar[[#This Row],[WeekDay]]=1, calendar[[#This Row],[WeekDay]]=7),P4236,P4236+1)</f>
        <v>3001</v>
      </c>
      <c r="R4237">
        <f>IF(OR(calendar[[#This Row],[SP_BH]]=1,calendar[[#This Row],[WeekDay]]=1, calendar[[#This Row],[WeekDay]]=7),P4236,P4236+1)</f>
        <v>3001</v>
      </c>
      <c r="S4237">
        <f>IF(OR(calendar[[#This Row],[PT_BH]]=1,calendar[[#This Row],[WeekDay]]=1, calendar[[#This Row],[WeekDay]]=7),P4236,P4236+1)</f>
        <v>3001</v>
      </c>
    </row>
    <row r="4238" spans="1:19" x14ac:dyDescent="0.25">
      <c r="A4238" s="2">
        <v>46972</v>
      </c>
      <c r="B4238" s="1">
        <f t="shared" si="336"/>
        <v>33</v>
      </c>
      <c r="C4238">
        <f t="shared" si="337"/>
        <v>8</v>
      </c>
      <c r="D4238" t="str">
        <f t="shared" si="338"/>
        <v>August</v>
      </c>
      <c r="E4238">
        <f t="shared" si="339"/>
        <v>2028</v>
      </c>
      <c r="F4238" t="str">
        <f>CONCATENATE(calendar[[#This Row],[Month]],"/",calendar[[#This Row],[Year]])</f>
        <v>8/2028</v>
      </c>
      <c r="G4238">
        <f>WEEKDAY(calendar[[#This Row],[Date]],1)</f>
        <v>2</v>
      </c>
      <c r="H4238" t="str">
        <f>TEXT(calendar[[#This Row],[WeekDay]],"dddd")</f>
        <v>Monday</v>
      </c>
      <c r="I4238">
        <f>IF((INT(calendar[[#This Row],[Count]]/7)-calendar[[#This Row],[Count]]/7)&lt;0,I4237,I4237+1)</f>
        <v>606</v>
      </c>
      <c r="J4238">
        <f t="shared" si="340"/>
        <v>4236</v>
      </c>
      <c r="K4238">
        <f>IF(calendar[[#This Row],[Month]]&lt;4,1,IF(calendar[[#This Row],[Month]]&lt;7,2,IF(calendar[[#This Row],[Month]]&lt;10,3,4)))</f>
        <v>3</v>
      </c>
      <c r="L4238">
        <f>IFERROR(IF(VLOOKUP(calendar[[#This Row],[Date]],BH!A:A,1,)&lt;&gt;"",1,0),0)</f>
        <v>0</v>
      </c>
      <c r="M4238">
        <f>IFERROR(IF(VLOOKUP(calendar[[#This Row],[Date]],BH!C:C,1,)&lt;&gt;"",1,0),0)</f>
        <v>0</v>
      </c>
      <c r="N4238">
        <f>IFERROR(IF(VLOOKUP(calendar[[#This Row],[Date]],BH!E:E,1,)&lt;&gt;"",1,0),0)</f>
        <v>0</v>
      </c>
      <c r="O4238">
        <f>IFERROR(IF(VLOOKUP(calendar[[#This Row],[Date]],BH!G:G,1,)&lt;&gt;"",1,0),0)</f>
        <v>0</v>
      </c>
      <c r="P4238">
        <f>IF(OR(calendar[[#This Row],[UK_BH]]=1,calendar[[#This Row],[WeekDay]]=1, calendar[[#This Row],[WeekDay]]=7),P4237,P4237+1)</f>
        <v>3002</v>
      </c>
      <c r="Q4238">
        <f>IF(OR(calendar[[#This Row],[FR_BH]]=1,calendar[[#This Row],[WeekDay]]=1, calendar[[#This Row],[WeekDay]]=7),P4237,P4237+1)</f>
        <v>3002</v>
      </c>
      <c r="R4238">
        <f>IF(OR(calendar[[#This Row],[SP_BH]]=1,calendar[[#This Row],[WeekDay]]=1, calendar[[#This Row],[WeekDay]]=7),P4237,P4237+1)</f>
        <v>3002</v>
      </c>
      <c r="S4238">
        <f>IF(OR(calendar[[#This Row],[PT_BH]]=1,calendar[[#This Row],[WeekDay]]=1, calendar[[#This Row],[WeekDay]]=7),P4237,P4237+1)</f>
        <v>3002</v>
      </c>
    </row>
    <row r="4239" spans="1:19" x14ac:dyDescent="0.25">
      <c r="A4239" s="2">
        <v>46973</v>
      </c>
      <c r="B4239" s="1">
        <f t="shared" si="336"/>
        <v>33</v>
      </c>
      <c r="C4239">
        <f t="shared" si="337"/>
        <v>8</v>
      </c>
      <c r="D4239" t="str">
        <f t="shared" si="338"/>
        <v>August</v>
      </c>
      <c r="E4239">
        <f t="shared" si="339"/>
        <v>2028</v>
      </c>
      <c r="F4239" t="str">
        <f>CONCATENATE(calendar[[#This Row],[Month]],"/",calendar[[#This Row],[Year]])</f>
        <v>8/2028</v>
      </c>
      <c r="G4239">
        <f>WEEKDAY(calendar[[#This Row],[Date]],1)</f>
        <v>3</v>
      </c>
      <c r="H4239" t="str">
        <f>TEXT(calendar[[#This Row],[WeekDay]],"dddd")</f>
        <v>Tuesday</v>
      </c>
      <c r="I4239">
        <f>IF((INT(calendar[[#This Row],[Count]]/7)-calendar[[#This Row],[Count]]/7)&lt;0,I4238,I4238+1)</f>
        <v>606</v>
      </c>
      <c r="J4239">
        <f t="shared" si="340"/>
        <v>4237</v>
      </c>
      <c r="K4239">
        <f>IF(calendar[[#This Row],[Month]]&lt;4,1,IF(calendar[[#This Row],[Month]]&lt;7,2,IF(calendar[[#This Row],[Month]]&lt;10,3,4)))</f>
        <v>3</v>
      </c>
      <c r="L4239">
        <f>IFERROR(IF(VLOOKUP(calendar[[#This Row],[Date]],BH!A:A,1,)&lt;&gt;"",1,0),0)</f>
        <v>0</v>
      </c>
      <c r="M4239">
        <f>IFERROR(IF(VLOOKUP(calendar[[#This Row],[Date]],BH!C:C,1,)&lt;&gt;"",1,0),0)</f>
        <v>0</v>
      </c>
      <c r="N4239">
        <f>IFERROR(IF(VLOOKUP(calendar[[#This Row],[Date]],BH!E:E,1,)&lt;&gt;"",1,0),0)</f>
        <v>0</v>
      </c>
      <c r="O4239">
        <f>IFERROR(IF(VLOOKUP(calendar[[#This Row],[Date]],BH!G:G,1,)&lt;&gt;"",1,0),0)</f>
        <v>0</v>
      </c>
      <c r="P4239">
        <f>IF(OR(calendar[[#This Row],[UK_BH]]=1,calendar[[#This Row],[WeekDay]]=1, calendar[[#This Row],[WeekDay]]=7),P4238,P4238+1)</f>
        <v>3003</v>
      </c>
      <c r="Q4239">
        <f>IF(OR(calendar[[#This Row],[FR_BH]]=1,calendar[[#This Row],[WeekDay]]=1, calendar[[#This Row],[WeekDay]]=7),P4238,P4238+1)</f>
        <v>3003</v>
      </c>
      <c r="R4239">
        <f>IF(OR(calendar[[#This Row],[SP_BH]]=1,calendar[[#This Row],[WeekDay]]=1, calendar[[#This Row],[WeekDay]]=7),P4238,P4238+1)</f>
        <v>3003</v>
      </c>
      <c r="S4239">
        <f>IF(OR(calendar[[#This Row],[PT_BH]]=1,calendar[[#This Row],[WeekDay]]=1, calendar[[#This Row],[WeekDay]]=7),P4238,P4238+1)</f>
        <v>3003</v>
      </c>
    </row>
    <row r="4240" spans="1:19" x14ac:dyDescent="0.25">
      <c r="A4240" s="2">
        <v>46974</v>
      </c>
      <c r="B4240" s="1">
        <f t="shared" si="336"/>
        <v>33</v>
      </c>
      <c r="C4240">
        <f t="shared" si="337"/>
        <v>8</v>
      </c>
      <c r="D4240" t="str">
        <f t="shared" si="338"/>
        <v>August</v>
      </c>
      <c r="E4240">
        <f t="shared" si="339"/>
        <v>2028</v>
      </c>
      <c r="F4240" t="str">
        <f>CONCATENATE(calendar[[#This Row],[Month]],"/",calendar[[#This Row],[Year]])</f>
        <v>8/2028</v>
      </c>
      <c r="G4240">
        <f>WEEKDAY(calendar[[#This Row],[Date]],1)</f>
        <v>4</v>
      </c>
      <c r="H4240" t="str">
        <f>TEXT(calendar[[#This Row],[WeekDay]],"dddd")</f>
        <v>Wednesday</v>
      </c>
      <c r="I4240">
        <f>IF((INT(calendar[[#This Row],[Count]]/7)-calendar[[#This Row],[Count]]/7)&lt;0,I4239,I4239+1)</f>
        <v>606</v>
      </c>
      <c r="J4240">
        <f t="shared" si="340"/>
        <v>4238</v>
      </c>
      <c r="K4240">
        <f>IF(calendar[[#This Row],[Month]]&lt;4,1,IF(calendar[[#This Row],[Month]]&lt;7,2,IF(calendar[[#This Row],[Month]]&lt;10,3,4)))</f>
        <v>3</v>
      </c>
      <c r="L4240">
        <f>IFERROR(IF(VLOOKUP(calendar[[#This Row],[Date]],BH!A:A,1,)&lt;&gt;"",1,0),0)</f>
        <v>0</v>
      </c>
      <c r="M4240">
        <f>IFERROR(IF(VLOOKUP(calendar[[#This Row],[Date]],BH!C:C,1,)&lt;&gt;"",1,0),0)</f>
        <v>0</v>
      </c>
      <c r="N4240">
        <f>IFERROR(IF(VLOOKUP(calendar[[#This Row],[Date]],BH!E:E,1,)&lt;&gt;"",1,0),0)</f>
        <v>0</v>
      </c>
      <c r="O4240">
        <f>IFERROR(IF(VLOOKUP(calendar[[#This Row],[Date]],BH!G:G,1,)&lt;&gt;"",1,0),0)</f>
        <v>0</v>
      </c>
      <c r="P4240">
        <f>IF(OR(calendar[[#This Row],[UK_BH]]=1,calendar[[#This Row],[WeekDay]]=1, calendar[[#This Row],[WeekDay]]=7),P4239,P4239+1)</f>
        <v>3004</v>
      </c>
      <c r="Q4240">
        <f>IF(OR(calendar[[#This Row],[FR_BH]]=1,calendar[[#This Row],[WeekDay]]=1, calendar[[#This Row],[WeekDay]]=7),P4239,P4239+1)</f>
        <v>3004</v>
      </c>
      <c r="R4240">
        <f>IF(OR(calendar[[#This Row],[SP_BH]]=1,calendar[[#This Row],[WeekDay]]=1, calendar[[#This Row],[WeekDay]]=7),P4239,P4239+1)</f>
        <v>3004</v>
      </c>
      <c r="S4240">
        <f>IF(OR(calendar[[#This Row],[PT_BH]]=1,calendar[[#This Row],[WeekDay]]=1, calendar[[#This Row],[WeekDay]]=7),P4239,P4239+1)</f>
        <v>3004</v>
      </c>
    </row>
    <row r="4241" spans="1:19" x14ac:dyDescent="0.25">
      <c r="A4241" s="2">
        <v>46975</v>
      </c>
      <c r="B4241" s="1">
        <f t="shared" si="336"/>
        <v>33</v>
      </c>
      <c r="C4241">
        <f t="shared" si="337"/>
        <v>8</v>
      </c>
      <c r="D4241" t="str">
        <f t="shared" si="338"/>
        <v>August</v>
      </c>
      <c r="E4241">
        <f t="shared" si="339"/>
        <v>2028</v>
      </c>
      <c r="F4241" t="str">
        <f>CONCATENATE(calendar[[#This Row],[Month]],"/",calendar[[#This Row],[Year]])</f>
        <v>8/2028</v>
      </c>
      <c r="G4241">
        <f>WEEKDAY(calendar[[#This Row],[Date]],1)</f>
        <v>5</v>
      </c>
      <c r="H4241" t="str">
        <f>TEXT(calendar[[#This Row],[WeekDay]],"dddd")</f>
        <v>Thursday</v>
      </c>
      <c r="I4241">
        <f>IF((INT(calendar[[#This Row],[Count]]/7)-calendar[[#This Row],[Count]]/7)&lt;0,I4240,I4240+1)</f>
        <v>606</v>
      </c>
      <c r="J4241">
        <f t="shared" si="340"/>
        <v>4239</v>
      </c>
      <c r="K4241">
        <f>IF(calendar[[#This Row],[Month]]&lt;4,1,IF(calendar[[#This Row],[Month]]&lt;7,2,IF(calendar[[#This Row],[Month]]&lt;10,3,4)))</f>
        <v>3</v>
      </c>
      <c r="L4241">
        <f>IFERROR(IF(VLOOKUP(calendar[[#This Row],[Date]],BH!A:A,1,)&lt;&gt;"",1,0),0)</f>
        <v>0</v>
      </c>
      <c r="M4241">
        <f>IFERROR(IF(VLOOKUP(calendar[[#This Row],[Date]],BH!C:C,1,)&lt;&gt;"",1,0),0)</f>
        <v>0</v>
      </c>
      <c r="N4241">
        <f>IFERROR(IF(VLOOKUP(calendar[[#This Row],[Date]],BH!E:E,1,)&lt;&gt;"",1,0),0)</f>
        <v>0</v>
      </c>
      <c r="O4241">
        <f>IFERROR(IF(VLOOKUP(calendar[[#This Row],[Date]],BH!G:G,1,)&lt;&gt;"",1,0),0)</f>
        <v>0</v>
      </c>
      <c r="P4241">
        <f>IF(OR(calendar[[#This Row],[UK_BH]]=1,calendar[[#This Row],[WeekDay]]=1, calendar[[#This Row],[WeekDay]]=7),P4240,P4240+1)</f>
        <v>3005</v>
      </c>
      <c r="Q4241">
        <f>IF(OR(calendar[[#This Row],[FR_BH]]=1,calendar[[#This Row],[WeekDay]]=1, calendar[[#This Row],[WeekDay]]=7),P4240,P4240+1)</f>
        <v>3005</v>
      </c>
      <c r="R4241">
        <f>IF(OR(calendar[[#This Row],[SP_BH]]=1,calendar[[#This Row],[WeekDay]]=1, calendar[[#This Row],[WeekDay]]=7),P4240,P4240+1)</f>
        <v>3005</v>
      </c>
      <c r="S4241">
        <f>IF(OR(calendar[[#This Row],[PT_BH]]=1,calendar[[#This Row],[WeekDay]]=1, calendar[[#This Row],[WeekDay]]=7),P4240,P4240+1)</f>
        <v>3005</v>
      </c>
    </row>
    <row r="4242" spans="1:19" x14ac:dyDescent="0.25">
      <c r="A4242" s="2">
        <v>46976</v>
      </c>
      <c r="B4242" s="1">
        <f t="shared" si="336"/>
        <v>33</v>
      </c>
      <c r="C4242">
        <f t="shared" si="337"/>
        <v>8</v>
      </c>
      <c r="D4242" t="str">
        <f t="shared" si="338"/>
        <v>August</v>
      </c>
      <c r="E4242">
        <f t="shared" si="339"/>
        <v>2028</v>
      </c>
      <c r="F4242" t="str">
        <f>CONCATENATE(calendar[[#This Row],[Month]],"/",calendar[[#This Row],[Year]])</f>
        <v>8/2028</v>
      </c>
      <c r="G4242">
        <f>WEEKDAY(calendar[[#This Row],[Date]],1)</f>
        <v>6</v>
      </c>
      <c r="H4242" t="str">
        <f>TEXT(calendar[[#This Row],[WeekDay]],"dddd")</f>
        <v>Friday</v>
      </c>
      <c r="I4242">
        <f>IF((INT(calendar[[#This Row],[Count]]/7)-calendar[[#This Row],[Count]]/7)&lt;0,I4241,I4241+1)</f>
        <v>606</v>
      </c>
      <c r="J4242">
        <f t="shared" si="340"/>
        <v>4240</v>
      </c>
      <c r="K4242">
        <f>IF(calendar[[#This Row],[Month]]&lt;4,1,IF(calendar[[#This Row],[Month]]&lt;7,2,IF(calendar[[#This Row],[Month]]&lt;10,3,4)))</f>
        <v>3</v>
      </c>
      <c r="L4242">
        <f>IFERROR(IF(VLOOKUP(calendar[[#This Row],[Date]],BH!A:A,1,)&lt;&gt;"",1,0),0)</f>
        <v>0</v>
      </c>
      <c r="M4242">
        <f>IFERROR(IF(VLOOKUP(calendar[[#This Row],[Date]],BH!C:C,1,)&lt;&gt;"",1,0),0)</f>
        <v>0</v>
      </c>
      <c r="N4242">
        <f>IFERROR(IF(VLOOKUP(calendar[[#This Row],[Date]],BH!E:E,1,)&lt;&gt;"",1,0),0)</f>
        <v>0</v>
      </c>
      <c r="O4242">
        <f>IFERROR(IF(VLOOKUP(calendar[[#This Row],[Date]],BH!G:G,1,)&lt;&gt;"",1,0),0)</f>
        <v>0</v>
      </c>
      <c r="P4242">
        <f>IF(OR(calendar[[#This Row],[UK_BH]]=1,calendar[[#This Row],[WeekDay]]=1, calendar[[#This Row],[WeekDay]]=7),P4241,P4241+1)</f>
        <v>3006</v>
      </c>
      <c r="Q4242">
        <f>IF(OR(calendar[[#This Row],[FR_BH]]=1,calendar[[#This Row],[WeekDay]]=1, calendar[[#This Row],[WeekDay]]=7),P4241,P4241+1)</f>
        <v>3006</v>
      </c>
      <c r="R4242">
        <f>IF(OR(calendar[[#This Row],[SP_BH]]=1,calendar[[#This Row],[WeekDay]]=1, calendar[[#This Row],[WeekDay]]=7),P4241,P4241+1)</f>
        <v>3006</v>
      </c>
      <c r="S4242">
        <f>IF(OR(calendar[[#This Row],[PT_BH]]=1,calendar[[#This Row],[WeekDay]]=1, calendar[[#This Row],[WeekDay]]=7),P4241,P4241+1)</f>
        <v>3006</v>
      </c>
    </row>
    <row r="4243" spans="1:19" x14ac:dyDescent="0.25">
      <c r="A4243" s="2">
        <v>46977</v>
      </c>
      <c r="B4243" s="1">
        <f t="shared" si="336"/>
        <v>33</v>
      </c>
      <c r="C4243">
        <f t="shared" si="337"/>
        <v>8</v>
      </c>
      <c r="D4243" t="str">
        <f t="shared" si="338"/>
        <v>August</v>
      </c>
      <c r="E4243">
        <f t="shared" si="339"/>
        <v>2028</v>
      </c>
      <c r="F4243" t="str">
        <f>CONCATENATE(calendar[[#This Row],[Month]],"/",calendar[[#This Row],[Year]])</f>
        <v>8/2028</v>
      </c>
      <c r="G4243">
        <f>WEEKDAY(calendar[[#This Row],[Date]],1)</f>
        <v>7</v>
      </c>
      <c r="H4243" t="str">
        <f>TEXT(calendar[[#This Row],[WeekDay]],"dddd")</f>
        <v>Saturday</v>
      </c>
      <c r="I4243">
        <f>IF((INT(calendar[[#This Row],[Count]]/7)-calendar[[#This Row],[Count]]/7)&lt;0,I4242,I4242+1)</f>
        <v>606</v>
      </c>
      <c r="J4243">
        <f t="shared" si="340"/>
        <v>4241</v>
      </c>
      <c r="K4243">
        <f>IF(calendar[[#This Row],[Month]]&lt;4,1,IF(calendar[[#This Row],[Month]]&lt;7,2,IF(calendar[[#This Row],[Month]]&lt;10,3,4)))</f>
        <v>3</v>
      </c>
      <c r="L4243">
        <f>IFERROR(IF(VLOOKUP(calendar[[#This Row],[Date]],BH!A:A,1,)&lt;&gt;"",1,0),0)</f>
        <v>0</v>
      </c>
      <c r="M4243">
        <f>IFERROR(IF(VLOOKUP(calendar[[#This Row],[Date]],BH!C:C,1,)&lt;&gt;"",1,0),0)</f>
        <v>0</v>
      </c>
      <c r="N4243">
        <f>IFERROR(IF(VLOOKUP(calendar[[#This Row],[Date]],BH!E:E,1,)&lt;&gt;"",1,0),0)</f>
        <v>0</v>
      </c>
      <c r="O4243">
        <f>IFERROR(IF(VLOOKUP(calendar[[#This Row],[Date]],BH!G:G,1,)&lt;&gt;"",1,0),0)</f>
        <v>0</v>
      </c>
      <c r="P4243">
        <f>IF(OR(calendar[[#This Row],[UK_BH]]=1,calendar[[#This Row],[WeekDay]]=1, calendar[[#This Row],[WeekDay]]=7),P4242,P4242+1)</f>
        <v>3006</v>
      </c>
      <c r="Q4243">
        <f>IF(OR(calendar[[#This Row],[FR_BH]]=1,calendar[[#This Row],[WeekDay]]=1, calendar[[#This Row],[WeekDay]]=7),P4242,P4242+1)</f>
        <v>3006</v>
      </c>
      <c r="R4243">
        <f>IF(OR(calendar[[#This Row],[SP_BH]]=1,calendar[[#This Row],[WeekDay]]=1, calendar[[#This Row],[WeekDay]]=7),P4242,P4242+1)</f>
        <v>3006</v>
      </c>
      <c r="S4243">
        <f>IF(OR(calendar[[#This Row],[PT_BH]]=1,calendar[[#This Row],[WeekDay]]=1, calendar[[#This Row],[WeekDay]]=7),P4242,P4242+1)</f>
        <v>3006</v>
      </c>
    </row>
    <row r="4244" spans="1:19" x14ac:dyDescent="0.25">
      <c r="A4244" s="2">
        <v>46978</v>
      </c>
      <c r="B4244" s="1">
        <f t="shared" si="336"/>
        <v>34</v>
      </c>
      <c r="C4244">
        <f t="shared" si="337"/>
        <v>8</v>
      </c>
      <c r="D4244" t="str">
        <f t="shared" si="338"/>
        <v>August</v>
      </c>
      <c r="E4244">
        <f t="shared" si="339"/>
        <v>2028</v>
      </c>
      <c r="F4244" t="str">
        <f>CONCATENATE(calendar[[#This Row],[Month]],"/",calendar[[#This Row],[Year]])</f>
        <v>8/2028</v>
      </c>
      <c r="G4244">
        <f>WEEKDAY(calendar[[#This Row],[Date]],1)</f>
        <v>1</v>
      </c>
      <c r="H4244" t="str">
        <f>TEXT(calendar[[#This Row],[WeekDay]],"dddd")</f>
        <v>Sunday</v>
      </c>
      <c r="I4244">
        <f>IF((INT(calendar[[#This Row],[Count]]/7)-calendar[[#This Row],[Count]]/7)&lt;0,I4243,I4243+1)</f>
        <v>607</v>
      </c>
      <c r="J4244">
        <f t="shared" si="340"/>
        <v>4242</v>
      </c>
      <c r="K4244">
        <f>IF(calendar[[#This Row],[Month]]&lt;4,1,IF(calendar[[#This Row],[Month]]&lt;7,2,IF(calendar[[#This Row],[Month]]&lt;10,3,4)))</f>
        <v>3</v>
      </c>
      <c r="L4244">
        <f>IFERROR(IF(VLOOKUP(calendar[[#This Row],[Date]],BH!A:A,1,)&lt;&gt;"",1,0),0)</f>
        <v>0</v>
      </c>
      <c r="M4244">
        <f>IFERROR(IF(VLOOKUP(calendar[[#This Row],[Date]],BH!C:C,1,)&lt;&gt;"",1,0),0)</f>
        <v>0</v>
      </c>
      <c r="N4244">
        <f>IFERROR(IF(VLOOKUP(calendar[[#This Row],[Date]],BH!E:E,1,)&lt;&gt;"",1,0),0)</f>
        <v>0</v>
      </c>
      <c r="O4244">
        <f>IFERROR(IF(VLOOKUP(calendar[[#This Row],[Date]],BH!G:G,1,)&lt;&gt;"",1,0),0)</f>
        <v>0</v>
      </c>
      <c r="P4244">
        <f>IF(OR(calendar[[#This Row],[UK_BH]]=1,calendar[[#This Row],[WeekDay]]=1, calendar[[#This Row],[WeekDay]]=7),P4243,P4243+1)</f>
        <v>3006</v>
      </c>
      <c r="Q4244">
        <f>IF(OR(calendar[[#This Row],[FR_BH]]=1,calendar[[#This Row],[WeekDay]]=1, calendar[[#This Row],[WeekDay]]=7),P4243,P4243+1)</f>
        <v>3006</v>
      </c>
      <c r="R4244">
        <f>IF(OR(calendar[[#This Row],[SP_BH]]=1,calendar[[#This Row],[WeekDay]]=1, calendar[[#This Row],[WeekDay]]=7),P4243,P4243+1)</f>
        <v>3006</v>
      </c>
      <c r="S4244">
        <f>IF(OR(calendar[[#This Row],[PT_BH]]=1,calendar[[#This Row],[WeekDay]]=1, calendar[[#This Row],[WeekDay]]=7),P4243,P4243+1)</f>
        <v>3006</v>
      </c>
    </row>
    <row r="4245" spans="1:19" x14ac:dyDescent="0.25">
      <c r="A4245" s="2">
        <v>46979</v>
      </c>
      <c r="B4245" s="1">
        <f t="shared" si="336"/>
        <v>34</v>
      </c>
      <c r="C4245">
        <f t="shared" si="337"/>
        <v>8</v>
      </c>
      <c r="D4245" t="str">
        <f t="shared" si="338"/>
        <v>August</v>
      </c>
      <c r="E4245">
        <f t="shared" si="339"/>
        <v>2028</v>
      </c>
      <c r="F4245" t="str">
        <f>CONCATENATE(calendar[[#This Row],[Month]],"/",calendar[[#This Row],[Year]])</f>
        <v>8/2028</v>
      </c>
      <c r="G4245">
        <f>WEEKDAY(calendar[[#This Row],[Date]],1)</f>
        <v>2</v>
      </c>
      <c r="H4245" t="str">
        <f>TEXT(calendar[[#This Row],[WeekDay]],"dddd")</f>
        <v>Monday</v>
      </c>
      <c r="I4245">
        <f>IF((INT(calendar[[#This Row],[Count]]/7)-calendar[[#This Row],[Count]]/7)&lt;0,I4244,I4244+1)</f>
        <v>607</v>
      </c>
      <c r="J4245">
        <f t="shared" si="340"/>
        <v>4243</v>
      </c>
      <c r="K4245">
        <f>IF(calendar[[#This Row],[Month]]&lt;4,1,IF(calendar[[#This Row],[Month]]&lt;7,2,IF(calendar[[#This Row],[Month]]&lt;10,3,4)))</f>
        <v>3</v>
      </c>
      <c r="L4245">
        <f>IFERROR(IF(VLOOKUP(calendar[[#This Row],[Date]],BH!A:A,1,)&lt;&gt;"",1,0),0)</f>
        <v>0</v>
      </c>
      <c r="M4245">
        <f>IFERROR(IF(VLOOKUP(calendar[[#This Row],[Date]],BH!C:C,1,)&lt;&gt;"",1,0),0)</f>
        <v>0</v>
      </c>
      <c r="N4245">
        <f>IFERROR(IF(VLOOKUP(calendar[[#This Row],[Date]],BH!E:E,1,)&lt;&gt;"",1,0),0)</f>
        <v>0</v>
      </c>
      <c r="O4245">
        <f>IFERROR(IF(VLOOKUP(calendar[[#This Row],[Date]],BH!G:G,1,)&lt;&gt;"",1,0),0)</f>
        <v>0</v>
      </c>
      <c r="P4245">
        <f>IF(OR(calendar[[#This Row],[UK_BH]]=1,calendar[[#This Row],[WeekDay]]=1, calendar[[#This Row],[WeekDay]]=7),P4244,P4244+1)</f>
        <v>3007</v>
      </c>
      <c r="Q4245">
        <f>IF(OR(calendar[[#This Row],[FR_BH]]=1,calendar[[#This Row],[WeekDay]]=1, calendar[[#This Row],[WeekDay]]=7),P4244,P4244+1)</f>
        <v>3007</v>
      </c>
      <c r="R4245">
        <f>IF(OR(calendar[[#This Row],[SP_BH]]=1,calendar[[#This Row],[WeekDay]]=1, calendar[[#This Row],[WeekDay]]=7),P4244,P4244+1)</f>
        <v>3007</v>
      </c>
      <c r="S4245">
        <f>IF(OR(calendar[[#This Row],[PT_BH]]=1,calendar[[#This Row],[WeekDay]]=1, calendar[[#This Row],[WeekDay]]=7),P4244,P4244+1)</f>
        <v>3007</v>
      </c>
    </row>
    <row r="4246" spans="1:19" x14ac:dyDescent="0.25">
      <c r="A4246" s="2">
        <v>46980</v>
      </c>
      <c r="B4246" s="1">
        <f t="shared" si="336"/>
        <v>34</v>
      </c>
      <c r="C4246">
        <f t="shared" si="337"/>
        <v>8</v>
      </c>
      <c r="D4246" t="str">
        <f t="shared" si="338"/>
        <v>August</v>
      </c>
      <c r="E4246">
        <f t="shared" si="339"/>
        <v>2028</v>
      </c>
      <c r="F4246" t="str">
        <f>CONCATENATE(calendar[[#This Row],[Month]],"/",calendar[[#This Row],[Year]])</f>
        <v>8/2028</v>
      </c>
      <c r="G4246">
        <f>WEEKDAY(calendar[[#This Row],[Date]],1)</f>
        <v>3</v>
      </c>
      <c r="H4246" t="str">
        <f>TEXT(calendar[[#This Row],[WeekDay]],"dddd")</f>
        <v>Tuesday</v>
      </c>
      <c r="I4246">
        <f>IF((INT(calendar[[#This Row],[Count]]/7)-calendar[[#This Row],[Count]]/7)&lt;0,I4245,I4245+1)</f>
        <v>607</v>
      </c>
      <c r="J4246">
        <f t="shared" si="340"/>
        <v>4244</v>
      </c>
      <c r="K4246">
        <f>IF(calendar[[#This Row],[Month]]&lt;4,1,IF(calendar[[#This Row],[Month]]&lt;7,2,IF(calendar[[#This Row],[Month]]&lt;10,3,4)))</f>
        <v>3</v>
      </c>
      <c r="L4246">
        <f>IFERROR(IF(VLOOKUP(calendar[[#This Row],[Date]],BH!A:A,1,)&lt;&gt;"",1,0),0)</f>
        <v>0</v>
      </c>
      <c r="M4246">
        <f>IFERROR(IF(VLOOKUP(calendar[[#This Row],[Date]],BH!C:C,1,)&lt;&gt;"",1,0),0)</f>
        <v>0</v>
      </c>
      <c r="N4246">
        <f>IFERROR(IF(VLOOKUP(calendar[[#This Row],[Date]],BH!E:E,1,)&lt;&gt;"",1,0),0)</f>
        <v>0</v>
      </c>
      <c r="O4246">
        <f>IFERROR(IF(VLOOKUP(calendar[[#This Row],[Date]],BH!G:G,1,)&lt;&gt;"",1,0),0)</f>
        <v>0</v>
      </c>
      <c r="P4246">
        <f>IF(OR(calendar[[#This Row],[UK_BH]]=1,calendar[[#This Row],[WeekDay]]=1, calendar[[#This Row],[WeekDay]]=7),P4245,P4245+1)</f>
        <v>3008</v>
      </c>
      <c r="Q4246">
        <f>IF(OR(calendar[[#This Row],[FR_BH]]=1,calendar[[#This Row],[WeekDay]]=1, calendar[[#This Row],[WeekDay]]=7),P4245,P4245+1)</f>
        <v>3008</v>
      </c>
      <c r="R4246">
        <f>IF(OR(calendar[[#This Row],[SP_BH]]=1,calendar[[#This Row],[WeekDay]]=1, calendar[[#This Row],[WeekDay]]=7),P4245,P4245+1)</f>
        <v>3008</v>
      </c>
      <c r="S4246">
        <f>IF(OR(calendar[[#This Row],[PT_BH]]=1,calendar[[#This Row],[WeekDay]]=1, calendar[[#This Row],[WeekDay]]=7),P4245,P4245+1)</f>
        <v>3008</v>
      </c>
    </row>
    <row r="4247" spans="1:19" x14ac:dyDescent="0.25">
      <c r="A4247" s="2">
        <v>46981</v>
      </c>
      <c r="B4247" s="1">
        <f t="shared" si="336"/>
        <v>34</v>
      </c>
      <c r="C4247">
        <f t="shared" si="337"/>
        <v>8</v>
      </c>
      <c r="D4247" t="str">
        <f t="shared" si="338"/>
        <v>August</v>
      </c>
      <c r="E4247">
        <f t="shared" si="339"/>
        <v>2028</v>
      </c>
      <c r="F4247" t="str">
        <f>CONCATENATE(calendar[[#This Row],[Month]],"/",calendar[[#This Row],[Year]])</f>
        <v>8/2028</v>
      </c>
      <c r="G4247">
        <f>WEEKDAY(calendar[[#This Row],[Date]],1)</f>
        <v>4</v>
      </c>
      <c r="H4247" t="str">
        <f>TEXT(calendar[[#This Row],[WeekDay]],"dddd")</f>
        <v>Wednesday</v>
      </c>
      <c r="I4247">
        <f>IF((INT(calendar[[#This Row],[Count]]/7)-calendar[[#This Row],[Count]]/7)&lt;0,I4246,I4246+1)</f>
        <v>607</v>
      </c>
      <c r="J4247">
        <f t="shared" si="340"/>
        <v>4245</v>
      </c>
      <c r="K4247">
        <f>IF(calendar[[#This Row],[Month]]&lt;4,1,IF(calendar[[#This Row],[Month]]&lt;7,2,IF(calendar[[#This Row],[Month]]&lt;10,3,4)))</f>
        <v>3</v>
      </c>
      <c r="L4247">
        <f>IFERROR(IF(VLOOKUP(calendar[[#This Row],[Date]],BH!A:A,1,)&lt;&gt;"",1,0),0)</f>
        <v>0</v>
      </c>
      <c r="M4247">
        <f>IFERROR(IF(VLOOKUP(calendar[[#This Row],[Date]],BH!C:C,1,)&lt;&gt;"",1,0),0)</f>
        <v>0</v>
      </c>
      <c r="N4247">
        <f>IFERROR(IF(VLOOKUP(calendar[[#This Row],[Date]],BH!E:E,1,)&lt;&gt;"",1,0),0)</f>
        <v>0</v>
      </c>
      <c r="O4247">
        <f>IFERROR(IF(VLOOKUP(calendar[[#This Row],[Date]],BH!G:G,1,)&lt;&gt;"",1,0),0)</f>
        <v>0</v>
      </c>
      <c r="P4247">
        <f>IF(OR(calendar[[#This Row],[UK_BH]]=1,calendar[[#This Row],[WeekDay]]=1, calendar[[#This Row],[WeekDay]]=7),P4246,P4246+1)</f>
        <v>3009</v>
      </c>
      <c r="Q4247">
        <f>IF(OR(calendar[[#This Row],[FR_BH]]=1,calendar[[#This Row],[WeekDay]]=1, calendar[[#This Row],[WeekDay]]=7),P4246,P4246+1)</f>
        <v>3009</v>
      </c>
      <c r="R4247">
        <f>IF(OR(calendar[[#This Row],[SP_BH]]=1,calendar[[#This Row],[WeekDay]]=1, calendar[[#This Row],[WeekDay]]=7),P4246,P4246+1)</f>
        <v>3009</v>
      </c>
      <c r="S4247">
        <f>IF(OR(calendar[[#This Row],[PT_BH]]=1,calendar[[#This Row],[WeekDay]]=1, calendar[[#This Row],[WeekDay]]=7),P4246,P4246+1)</f>
        <v>3009</v>
      </c>
    </row>
    <row r="4248" spans="1:19" x14ac:dyDescent="0.25">
      <c r="A4248" s="2">
        <v>46982</v>
      </c>
      <c r="B4248" s="1">
        <f t="shared" si="336"/>
        <v>34</v>
      </c>
      <c r="C4248">
        <f t="shared" si="337"/>
        <v>8</v>
      </c>
      <c r="D4248" t="str">
        <f t="shared" si="338"/>
        <v>August</v>
      </c>
      <c r="E4248">
        <f t="shared" si="339"/>
        <v>2028</v>
      </c>
      <c r="F4248" t="str">
        <f>CONCATENATE(calendar[[#This Row],[Month]],"/",calendar[[#This Row],[Year]])</f>
        <v>8/2028</v>
      </c>
      <c r="G4248">
        <f>WEEKDAY(calendar[[#This Row],[Date]],1)</f>
        <v>5</v>
      </c>
      <c r="H4248" t="str">
        <f>TEXT(calendar[[#This Row],[WeekDay]],"dddd")</f>
        <v>Thursday</v>
      </c>
      <c r="I4248">
        <f>IF((INT(calendar[[#This Row],[Count]]/7)-calendar[[#This Row],[Count]]/7)&lt;0,I4247,I4247+1)</f>
        <v>607</v>
      </c>
      <c r="J4248">
        <f t="shared" si="340"/>
        <v>4246</v>
      </c>
      <c r="K4248">
        <f>IF(calendar[[#This Row],[Month]]&lt;4,1,IF(calendar[[#This Row],[Month]]&lt;7,2,IF(calendar[[#This Row],[Month]]&lt;10,3,4)))</f>
        <v>3</v>
      </c>
      <c r="L4248">
        <f>IFERROR(IF(VLOOKUP(calendar[[#This Row],[Date]],BH!A:A,1,)&lt;&gt;"",1,0),0)</f>
        <v>0</v>
      </c>
      <c r="M4248">
        <f>IFERROR(IF(VLOOKUP(calendar[[#This Row],[Date]],BH!C:C,1,)&lt;&gt;"",1,0),0)</f>
        <v>0</v>
      </c>
      <c r="N4248">
        <f>IFERROR(IF(VLOOKUP(calendar[[#This Row],[Date]],BH!E:E,1,)&lt;&gt;"",1,0),0)</f>
        <v>0</v>
      </c>
      <c r="O4248">
        <f>IFERROR(IF(VLOOKUP(calendar[[#This Row],[Date]],BH!G:G,1,)&lt;&gt;"",1,0),0)</f>
        <v>0</v>
      </c>
      <c r="P4248">
        <f>IF(OR(calendar[[#This Row],[UK_BH]]=1,calendar[[#This Row],[WeekDay]]=1, calendar[[#This Row],[WeekDay]]=7),P4247,P4247+1)</f>
        <v>3010</v>
      </c>
      <c r="Q4248">
        <f>IF(OR(calendar[[#This Row],[FR_BH]]=1,calendar[[#This Row],[WeekDay]]=1, calendar[[#This Row],[WeekDay]]=7),P4247,P4247+1)</f>
        <v>3010</v>
      </c>
      <c r="R4248">
        <f>IF(OR(calendar[[#This Row],[SP_BH]]=1,calendar[[#This Row],[WeekDay]]=1, calendar[[#This Row],[WeekDay]]=7),P4247,P4247+1)</f>
        <v>3010</v>
      </c>
      <c r="S4248">
        <f>IF(OR(calendar[[#This Row],[PT_BH]]=1,calendar[[#This Row],[WeekDay]]=1, calendar[[#This Row],[WeekDay]]=7),P4247,P4247+1)</f>
        <v>3010</v>
      </c>
    </row>
    <row r="4249" spans="1:19" x14ac:dyDescent="0.25">
      <c r="A4249" s="2">
        <v>46983</v>
      </c>
      <c r="B4249" s="1">
        <f t="shared" si="336"/>
        <v>34</v>
      </c>
      <c r="C4249">
        <f t="shared" si="337"/>
        <v>8</v>
      </c>
      <c r="D4249" t="str">
        <f t="shared" si="338"/>
        <v>August</v>
      </c>
      <c r="E4249">
        <f t="shared" si="339"/>
        <v>2028</v>
      </c>
      <c r="F4249" t="str">
        <f>CONCATENATE(calendar[[#This Row],[Month]],"/",calendar[[#This Row],[Year]])</f>
        <v>8/2028</v>
      </c>
      <c r="G4249">
        <f>WEEKDAY(calendar[[#This Row],[Date]],1)</f>
        <v>6</v>
      </c>
      <c r="H4249" t="str">
        <f>TEXT(calendar[[#This Row],[WeekDay]],"dddd")</f>
        <v>Friday</v>
      </c>
      <c r="I4249">
        <f>IF((INT(calendar[[#This Row],[Count]]/7)-calendar[[#This Row],[Count]]/7)&lt;0,I4248,I4248+1)</f>
        <v>607</v>
      </c>
      <c r="J4249">
        <f t="shared" si="340"/>
        <v>4247</v>
      </c>
      <c r="K4249">
        <f>IF(calendar[[#This Row],[Month]]&lt;4,1,IF(calendar[[#This Row],[Month]]&lt;7,2,IF(calendar[[#This Row],[Month]]&lt;10,3,4)))</f>
        <v>3</v>
      </c>
      <c r="L4249">
        <f>IFERROR(IF(VLOOKUP(calendar[[#This Row],[Date]],BH!A:A,1,)&lt;&gt;"",1,0),0)</f>
        <v>0</v>
      </c>
      <c r="M4249">
        <f>IFERROR(IF(VLOOKUP(calendar[[#This Row],[Date]],BH!C:C,1,)&lt;&gt;"",1,0),0)</f>
        <v>0</v>
      </c>
      <c r="N4249">
        <f>IFERROR(IF(VLOOKUP(calendar[[#This Row],[Date]],BH!E:E,1,)&lt;&gt;"",1,0),0)</f>
        <v>0</v>
      </c>
      <c r="O4249">
        <f>IFERROR(IF(VLOOKUP(calendar[[#This Row],[Date]],BH!G:G,1,)&lt;&gt;"",1,0),0)</f>
        <v>0</v>
      </c>
      <c r="P4249">
        <f>IF(OR(calendar[[#This Row],[UK_BH]]=1,calendar[[#This Row],[WeekDay]]=1, calendar[[#This Row],[WeekDay]]=7),P4248,P4248+1)</f>
        <v>3011</v>
      </c>
      <c r="Q4249">
        <f>IF(OR(calendar[[#This Row],[FR_BH]]=1,calendar[[#This Row],[WeekDay]]=1, calendar[[#This Row],[WeekDay]]=7),P4248,P4248+1)</f>
        <v>3011</v>
      </c>
      <c r="R4249">
        <f>IF(OR(calendar[[#This Row],[SP_BH]]=1,calendar[[#This Row],[WeekDay]]=1, calendar[[#This Row],[WeekDay]]=7),P4248,P4248+1)</f>
        <v>3011</v>
      </c>
      <c r="S4249">
        <f>IF(OR(calendar[[#This Row],[PT_BH]]=1,calendar[[#This Row],[WeekDay]]=1, calendar[[#This Row],[WeekDay]]=7),P4248,P4248+1)</f>
        <v>3011</v>
      </c>
    </row>
    <row r="4250" spans="1:19" x14ac:dyDescent="0.25">
      <c r="A4250" s="2">
        <v>46984</v>
      </c>
      <c r="B4250" s="1">
        <f t="shared" si="336"/>
        <v>34</v>
      </c>
      <c r="C4250">
        <f t="shared" si="337"/>
        <v>8</v>
      </c>
      <c r="D4250" t="str">
        <f t="shared" si="338"/>
        <v>August</v>
      </c>
      <c r="E4250">
        <f t="shared" si="339"/>
        <v>2028</v>
      </c>
      <c r="F4250" t="str">
        <f>CONCATENATE(calendar[[#This Row],[Month]],"/",calendar[[#This Row],[Year]])</f>
        <v>8/2028</v>
      </c>
      <c r="G4250">
        <f>WEEKDAY(calendar[[#This Row],[Date]],1)</f>
        <v>7</v>
      </c>
      <c r="H4250" t="str">
        <f>TEXT(calendar[[#This Row],[WeekDay]],"dddd")</f>
        <v>Saturday</v>
      </c>
      <c r="I4250">
        <f>IF((INT(calendar[[#This Row],[Count]]/7)-calendar[[#This Row],[Count]]/7)&lt;0,I4249,I4249+1)</f>
        <v>607</v>
      </c>
      <c r="J4250">
        <f t="shared" si="340"/>
        <v>4248</v>
      </c>
      <c r="K4250">
        <f>IF(calendar[[#This Row],[Month]]&lt;4,1,IF(calendar[[#This Row],[Month]]&lt;7,2,IF(calendar[[#This Row],[Month]]&lt;10,3,4)))</f>
        <v>3</v>
      </c>
      <c r="L4250">
        <f>IFERROR(IF(VLOOKUP(calendar[[#This Row],[Date]],BH!A:A,1,)&lt;&gt;"",1,0),0)</f>
        <v>0</v>
      </c>
      <c r="M4250">
        <f>IFERROR(IF(VLOOKUP(calendar[[#This Row],[Date]],BH!C:C,1,)&lt;&gt;"",1,0),0)</f>
        <v>0</v>
      </c>
      <c r="N4250">
        <f>IFERROR(IF(VLOOKUP(calendar[[#This Row],[Date]],BH!E:E,1,)&lt;&gt;"",1,0),0)</f>
        <v>0</v>
      </c>
      <c r="O4250">
        <f>IFERROR(IF(VLOOKUP(calendar[[#This Row],[Date]],BH!G:G,1,)&lt;&gt;"",1,0),0)</f>
        <v>0</v>
      </c>
      <c r="P4250">
        <f>IF(OR(calendar[[#This Row],[UK_BH]]=1,calendar[[#This Row],[WeekDay]]=1, calendar[[#This Row],[WeekDay]]=7),P4249,P4249+1)</f>
        <v>3011</v>
      </c>
      <c r="Q4250">
        <f>IF(OR(calendar[[#This Row],[FR_BH]]=1,calendar[[#This Row],[WeekDay]]=1, calendar[[#This Row],[WeekDay]]=7),P4249,P4249+1)</f>
        <v>3011</v>
      </c>
      <c r="R4250">
        <f>IF(OR(calendar[[#This Row],[SP_BH]]=1,calendar[[#This Row],[WeekDay]]=1, calendar[[#This Row],[WeekDay]]=7),P4249,P4249+1)</f>
        <v>3011</v>
      </c>
      <c r="S4250">
        <f>IF(OR(calendar[[#This Row],[PT_BH]]=1,calendar[[#This Row],[WeekDay]]=1, calendar[[#This Row],[WeekDay]]=7),P4249,P4249+1)</f>
        <v>3011</v>
      </c>
    </row>
    <row r="4251" spans="1:19" x14ac:dyDescent="0.25">
      <c r="A4251" s="2">
        <v>46985</v>
      </c>
      <c r="B4251" s="1">
        <f t="shared" si="336"/>
        <v>35</v>
      </c>
      <c r="C4251">
        <f t="shared" si="337"/>
        <v>8</v>
      </c>
      <c r="D4251" t="str">
        <f t="shared" si="338"/>
        <v>August</v>
      </c>
      <c r="E4251">
        <f t="shared" si="339"/>
        <v>2028</v>
      </c>
      <c r="F4251" t="str">
        <f>CONCATENATE(calendar[[#This Row],[Month]],"/",calendar[[#This Row],[Year]])</f>
        <v>8/2028</v>
      </c>
      <c r="G4251">
        <f>WEEKDAY(calendar[[#This Row],[Date]],1)</f>
        <v>1</v>
      </c>
      <c r="H4251" t="str">
        <f>TEXT(calendar[[#This Row],[WeekDay]],"dddd")</f>
        <v>Sunday</v>
      </c>
      <c r="I4251">
        <f>IF((INT(calendar[[#This Row],[Count]]/7)-calendar[[#This Row],[Count]]/7)&lt;0,I4250,I4250+1)</f>
        <v>608</v>
      </c>
      <c r="J4251">
        <f t="shared" si="340"/>
        <v>4249</v>
      </c>
      <c r="K4251">
        <f>IF(calendar[[#This Row],[Month]]&lt;4,1,IF(calendar[[#This Row],[Month]]&lt;7,2,IF(calendar[[#This Row],[Month]]&lt;10,3,4)))</f>
        <v>3</v>
      </c>
      <c r="L4251">
        <f>IFERROR(IF(VLOOKUP(calendar[[#This Row],[Date]],BH!A:A,1,)&lt;&gt;"",1,0),0)</f>
        <v>0</v>
      </c>
      <c r="M4251">
        <f>IFERROR(IF(VLOOKUP(calendar[[#This Row],[Date]],BH!C:C,1,)&lt;&gt;"",1,0),0)</f>
        <v>0</v>
      </c>
      <c r="N4251">
        <f>IFERROR(IF(VLOOKUP(calendar[[#This Row],[Date]],BH!E:E,1,)&lt;&gt;"",1,0),0)</f>
        <v>0</v>
      </c>
      <c r="O4251">
        <f>IFERROR(IF(VLOOKUP(calendar[[#This Row],[Date]],BH!G:G,1,)&lt;&gt;"",1,0),0)</f>
        <v>0</v>
      </c>
      <c r="P4251">
        <f>IF(OR(calendar[[#This Row],[UK_BH]]=1,calendar[[#This Row],[WeekDay]]=1, calendar[[#This Row],[WeekDay]]=7),P4250,P4250+1)</f>
        <v>3011</v>
      </c>
      <c r="Q4251">
        <f>IF(OR(calendar[[#This Row],[FR_BH]]=1,calendar[[#This Row],[WeekDay]]=1, calendar[[#This Row],[WeekDay]]=7),P4250,P4250+1)</f>
        <v>3011</v>
      </c>
      <c r="R4251">
        <f>IF(OR(calendar[[#This Row],[SP_BH]]=1,calendar[[#This Row],[WeekDay]]=1, calendar[[#This Row],[WeekDay]]=7),P4250,P4250+1)</f>
        <v>3011</v>
      </c>
      <c r="S4251">
        <f>IF(OR(calendar[[#This Row],[PT_BH]]=1,calendar[[#This Row],[WeekDay]]=1, calendar[[#This Row],[WeekDay]]=7),P4250,P4250+1)</f>
        <v>3011</v>
      </c>
    </row>
    <row r="4252" spans="1:19" x14ac:dyDescent="0.25">
      <c r="A4252" s="2">
        <v>46986</v>
      </c>
      <c r="B4252" s="1">
        <f t="shared" si="336"/>
        <v>35</v>
      </c>
      <c r="C4252">
        <f t="shared" si="337"/>
        <v>8</v>
      </c>
      <c r="D4252" t="str">
        <f t="shared" si="338"/>
        <v>August</v>
      </c>
      <c r="E4252">
        <f t="shared" si="339"/>
        <v>2028</v>
      </c>
      <c r="F4252" t="str">
        <f>CONCATENATE(calendar[[#This Row],[Month]],"/",calendar[[#This Row],[Year]])</f>
        <v>8/2028</v>
      </c>
      <c r="G4252">
        <f>WEEKDAY(calendar[[#This Row],[Date]],1)</f>
        <v>2</v>
      </c>
      <c r="H4252" t="str">
        <f>TEXT(calendar[[#This Row],[WeekDay]],"dddd")</f>
        <v>Monday</v>
      </c>
      <c r="I4252">
        <f>IF((INT(calendar[[#This Row],[Count]]/7)-calendar[[#This Row],[Count]]/7)&lt;0,I4251,I4251+1)</f>
        <v>608</v>
      </c>
      <c r="J4252">
        <f t="shared" si="340"/>
        <v>4250</v>
      </c>
      <c r="K4252">
        <f>IF(calendar[[#This Row],[Month]]&lt;4,1,IF(calendar[[#This Row],[Month]]&lt;7,2,IF(calendar[[#This Row],[Month]]&lt;10,3,4)))</f>
        <v>3</v>
      </c>
      <c r="L4252">
        <f>IFERROR(IF(VLOOKUP(calendar[[#This Row],[Date]],BH!A:A,1,)&lt;&gt;"",1,0),0)</f>
        <v>0</v>
      </c>
      <c r="M4252">
        <f>IFERROR(IF(VLOOKUP(calendar[[#This Row],[Date]],BH!C:C,1,)&lt;&gt;"",1,0),0)</f>
        <v>0</v>
      </c>
      <c r="N4252">
        <f>IFERROR(IF(VLOOKUP(calendar[[#This Row],[Date]],BH!E:E,1,)&lt;&gt;"",1,0),0)</f>
        <v>0</v>
      </c>
      <c r="O4252">
        <f>IFERROR(IF(VLOOKUP(calendar[[#This Row],[Date]],BH!G:G,1,)&lt;&gt;"",1,0),0)</f>
        <v>0</v>
      </c>
      <c r="P4252">
        <f>IF(OR(calendar[[#This Row],[UK_BH]]=1,calendar[[#This Row],[WeekDay]]=1, calendar[[#This Row],[WeekDay]]=7),P4251,P4251+1)</f>
        <v>3012</v>
      </c>
      <c r="Q4252">
        <f>IF(OR(calendar[[#This Row],[FR_BH]]=1,calendar[[#This Row],[WeekDay]]=1, calendar[[#This Row],[WeekDay]]=7),P4251,P4251+1)</f>
        <v>3012</v>
      </c>
      <c r="R4252">
        <f>IF(OR(calendar[[#This Row],[SP_BH]]=1,calendar[[#This Row],[WeekDay]]=1, calendar[[#This Row],[WeekDay]]=7),P4251,P4251+1)</f>
        <v>3012</v>
      </c>
      <c r="S4252">
        <f>IF(OR(calendar[[#This Row],[PT_BH]]=1,calendar[[#This Row],[WeekDay]]=1, calendar[[#This Row],[WeekDay]]=7),P4251,P4251+1)</f>
        <v>3012</v>
      </c>
    </row>
    <row r="4253" spans="1:19" x14ac:dyDescent="0.25">
      <c r="A4253" s="2">
        <v>46987</v>
      </c>
      <c r="B4253" s="1">
        <f t="shared" si="336"/>
        <v>35</v>
      </c>
      <c r="C4253">
        <f t="shared" si="337"/>
        <v>8</v>
      </c>
      <c r="D4253" t="str">
        <f t="shared" si="338"/>
        <v>August</v>
      </c>
      <c r="E4253">
        <f t="shared" si="339"/>
        <v>2028</v>
      </c>
      <c r="F4253" t="str">
        <f>CONCATENATE(calendar[[#This Row],[Month]],"/",calendar[[#This Row],[Year]])</f>
        <v>8/2028</v>
      </c>
      <c r="G4253">
        <f>WEEKDAY(calendar[[#This Row],[Date]],1)</f>
        <v>3</v>
      </c>
      <c r="H4253" t="str">
        <f>TEXT(calendar[[#This Row],[WeekDay]],"dddd")</f>
        <v>Tuesday</v>
      </c>
      <c r="I4253">
        <f>IF((INT(calendar[[#This Row],[Count]]/7)-calendar[[#This Row],[Count]]/7)&lt;0,I4252,I4252+1)</f>
        <v>608</v>
      </c>
      <c r="J4253">
        <f t="shared" si="340"/>
        <v>4251</v>
      </c>
      <c r="K4253">
        <f>IF(calendar[[#This Row],[Month]]&lt;4,1,IF(calendar[[#This Row],[Month]]&lt;7,2,IF(calendar[[#This Row],[Month]]&lt;10,3,4)))</f>
        <v>3</v>
      </c>
      <c r="L4253">
        <f>IFERROR(IF(VLOOKUP(calendar[[#This Row],[Date]],BH!A:A,1,)&lt;&gt;"",1,0),0)</f>
        <v>0</v>
      </c>
      <c r="M4253">
        <f>IFERROR(IF(VLOOKUP(calendar[[#This Row],[Date]],BH!C:C,1,)&lt;&gt;"",1,0),0)</f>
        <v>0</v>
      </c>
      <c r="N4253">
        <f>IFERROR(IF(VLOOKUP(calendar[[#This Row],[Date]],BH!E:E,1,)&lt;&gt;"",1,0),0)</f>
        <v>0</v>
      </c>
      <c r="O4253">
        <f>IFERROR(IF(VLOOKUP(calendar[[#This Row],[Date]],BH!G:G,1,)&lt;&gt;"",1,0),0)</f>
        <v>0</v>
      </c>
      <c r="P4253">
        <f>IF(OR(calendar[[#This Row],[UK_BH]]=1,calendar[[#This Row],[WeekDay]]=1, calendar[[#This Row],[WeekDay]]=7),P4252,P4252+1)</f>
        <v>3013</v>
      </c>
      <c r="Q4253">
        <f>IF(OR(calendar[[#This Row],[FR_BH]]=1,calendar[[#This Row],[WeekDay]]=1, calendar[[#This Row],[WeekDay]]=7),P4252,P4252+1)</f>
        <v>3013</v>
      </c>
      <c r="R4253">
        <f>IF(OR(calendar[[#This Row],[SP_BH]]=1,calendar[[#This Row],[WeekDay]]=1, calendar[[#This Row],[WeekDay]]=7),P4252,P4252+1)</f>
        <v>3013</v>
      </c>
      <c r="S4253">
        <f>IF(OR(calendar[[#This Row],[PT_BH]]=1,calendar[[#This Row],[WeekDay]]=1, calendar[[#This Row],[WeekDay]]=7),P4252,P4252+1)</f>
        <v>3013</v>
      </c>
    </row>
    <row r="4254" spans="1:19" x14ac:dyDescent="0.25">
      <c r="A4254" s="2">
        <v>46988</v>
      </c>
      <c r="B4254" s="1">
        <f t="shared" si="336"/>
        <v>35</v>
      </c>
      <c r="C4254">
        <f t="shared" si="337"/>
        <v>8</v>
      </c>
      <c r="D4254" t="str">
        <f t="shared" si="338"/>
        <v>August</v>
      </c>
      <c r="E4254">
        <f t="shared" si="339"/>
        <v>2028</v>
      </c>
      <c r="F4254" t="str">
        <f>CONCATENATE(calendar[[#This Row],[Month]],"/",calendar[[#This Row],[Year]])</f>
        <v>8/2028</v>
      </c>
      <c r="G4254">
        <f>WEEKDAY(calendar[[#This Row],[Date]],1)</f>
        <v>4</v>
      </c>
      <c r="H4254" t="str">
        <f>TEXT(calendar[[#This Row],[WeekDay]],"dddd")</f>
        <v>Wednesday</v>
      </c>
      <c r="I4254">
        <f>IF((INT(calendar[[#This Row],[Count]]/7)-calendar[[#This Row],[Count]]/7)&lt;0,I4253,I4253+1)</f>
        <v>608</v>
      </c>
      <c r="J4254">
        <f t="shared" si="340"/>
        <v>4252</v>
      </c>
      <c r="K4254">
        <f>IF(calendar[[#This Row],[Month]]&lt;4,1,IF(calendar[[#This Row],[Month]]&lt;7,2,IF(calendar[[#This Row],[Month]]&lt;10,3,4)))</f>
        <v>3</v>
      </c>
      <c r="L4254">
        <f>IFERROR(IF(VLOOKUP(calendar[[#This Row],[Date]],BH!A:A,1,)&lt;&gt;"",1,0),0)</f>
        <v>0</v>
      </c>
      <c r="M4254">
        <f>IFERROR(IF(VLOOKUP(calendar[[#This Row],[Date]],BH!C:C,1,)&lt;&gt;"",1,0),0)</f>
        <v>0</v>
      </c>
      <c r="N4254">
        <f>IFERROR(IF(VLOOKUP(calendar[[#This Row],[Date]],BH!E:E,1,)&lt;&gt;"",1,0),0)</f>
        <v>0</v>
      </c>
      <c r="O4254">
        <f>IFERROR(IF(VLOOKUP(calendar[[#This Row],[Date]],BH!G:G,1,)&lt;&gt;"",1,0),0)</f>
        <v>0</v>
      </c>
      <c r="P4254">
        <f>IF(OR(calendar[[#This Row],[UK_BH]]=1,calendar[[#This Row],[WeekDay]]=1, calendar[[#This Row],[WeekDay]]=7),P4253,P4253+1)</f>
        <v>3014</v>
      </c>
      <c r="Q4254">
        <f>IF(OR(calendar[[#This Row],[FR_BH]]=1,calendar[[#This Row],[WeekDay]]=1, calendar[[#This Row],[WeekDay]]=7),P4253,P4253+1)</f>
        <v>3014</v>
      </c>
      <c r="R4254">
        <f>IF(OR(calendar[[#This Row],[SP_BH]]=1,calendar[[#This Row],[WeekDay]]=1, calendar[[#This Row],[WeekDay]]=7),P4253,P4253+1)</f>
        <v>3014</v>
      </c>
      <c r="S4254">
        <f>IF(OR(calendar[[#This Row],[PT_BH]]=1,calendar[[#This Row],[WeekDay]]=1, calendar[[#This Row],[WeekDay]]=7),P4253,P4253+1)</f>
        <v>3014</v>
      </c>
    </row>
    <row r="4255" spans="1:19" x14ac:dyDescent="0.25">
      <c r="A4255" s="2">
        <v>46989</v>
      </c>
      <c r="B4255" s="1">
        <f t="shared" si="336"/>
        <v>35</v>
      </c>
      <c r="C4255">
        <f t="shared" si="337"/>
        <v>8</v>
      </c>
      <c r="D4255" t="str">
        <f t="shared" si="338"/>
        <v>August</v>
      </c>
      <c r="E4255">
        <f t="shared" si="339"/>
        <v>2028</v>
      </c>
      <c r="F4255" t="str">
        <f>CONCATENATE(calendar[[#This Row],[Month]],"/",calendar[[#This Row],[Year]])</f>
        <v>8/2028</v>
      </c>
      <c r="G4255">
        <f>WEEKDAY(calendar[[#This Row],[Date]],1)</f>
        <v>5</v>
      </c>
      <c r="H4255" t="str">
        <f>TEXT(calendar[[#This Row],[WeekDay]],"dddd")</f>
        <v>Thursday</v>
      </c>
      <c r="I4255">
        <f>IF((INT(calendar[[#This Row],[Count]]/7)-calendar[[#This Row],[Count]]/7)&lt;0,I4254,I4254+1)</f>
        <v>608</v>
      </c>
      <c r="J4255">
        <f t="shared" si="340"/>
        <v>4253</v>
      </c>
      <c r="K4255">
        <f>IF(calendar[[#This Row],[Month]]&lt;4,1,IF(calendar[[#This Row],[Month]]&lt;7,2,IF(calendar[[#This Row],[Month]]&lt;10,3,4)))</f>
        <v>3</v>
      </c>
      <c r="L4255">
        <f>IFERROR(IF(VLOOKUP(calendar[[#This Row],[Date]],BH!A:A,1,)&lt;&gt;"",1,0),0)</f>
        <v>0</v>
      </c>
      <c r="M4255">
        <f>IFERROR(IF(VLOOKUP(calendar[[#This Row],[Date]],BH!C:C,1,)&lt;&gt;"",1,0),0)</f>
        <v>0</v>
      </c>
      <c r="N4255">
        <f>IFERROR(IF(VLOOKUP(calendar[[#This Row],[Date]],BH!E:E,1,)&lt;&gt;"",1,0),0)</f>
        <v>0</v>
      </c>
      <c r="O4255">
        <f>IFERROR(IF(VLOOKUP(calendar[[#This Row],[Date]],BH!G:G,1,)&lt;&gt;"",1,0),0)</f>
        <v>0</v>
      </c>
      <c r="P4255">
        <f>IF(OR(calendar[[#This Row],[UK_BH]]=1,calendar[[#This Row],[WeekDay]]=1, calendar[[#This Row],[WeekDay]]=7),P4254,P4254+1)</f>
        <v>3015</v>
      </c>
      <c r="Q4255">
        <f>IF(OR(calendar[[#This Row],[FR_BH]]=1,calendar[[#This Row],[WeekDay]]=1, calendar[[#This Row],[WeekDay]]=7),P4254,P4254+1)</f>
        <v>3015</v>
      </c>
      <c r="R4255">
        <f>IF(OR(calendar[[#This Row],[SP_BH]]=1,calendar[[#This Row],[WeekDay]]=1, calendar[[#This Row],[WeekDay]]=7),P4254,P4254+1)</f>
        <v>3015</v>
      </c>
      <c r="S4255">
        <f>IF(OR(calendar[[#This Row],[PT_BH]]=1,calendar[[#This Row],[WeekDay]]=1, calendar[[#This Row],[WeekDay]]=7),P4254,P4254+1)</f>
        <v>3015</v>
      </c>
    </row>
    <row r="4256" spans="1:19" x14ac:dyDescent="0.25">
      <c r="A4256" s="2">
        <v>46990</v>
      </c>
      <c r="B4256" s="1">
        <f t="shared" si="336"/>
        <v>35</v>
      </c>
      <c r="C4256">
        <f t="shared" si="337"/>
        <v>8</v>
      </c>
      <c r="D4256" t="str">
        <f t="shared" si="338"/>
        <v>August</v>
      </c>
      <c r="E4256">
        <f t="shared" si="339"/>
        <v>2028</v>
      </c>
      <c r="F4256" t="str">
        <f>CONCATENATE(calendar[[#This Row],[Month]],"/",calendar[[#This Row],[Year]])</f>
        <v>8/2028</v>
      </c>
      <c r="G4256">
        <f>WEEKDAY(calendar[[#This Row],[Date]],1)</f>
        <v>6</v>
      </c>
      <c r="H4256" t="str">
        <f>TEXT(calendar[[#This Row],[WeekDay]],"dddd")</f>
        <v>Friday</v>
      </c>
      <c r="I4256">
        <f>IF((INT(calendar[[#This Row],[Count]]/7)-calendar[[#This Row],[Count]]/7)&lt;0,I4255,I4255+1)</f>
        <v>608</v>
      </c>
      <c r="J4256">
        <f t="shared" si="340"/>
        <v>4254</v>
      </c>
      <c r="K4256">
        <f>IF(calendar[[#This Row],[Month]]&lt;4,1,IF(calendar[[#This Row],[Month]]&lt;7,2,IF(calendar[[#This Row],[Month]]&lt;10,3,4)))</f>
        <v>3</v>
      </c>
      <c r="L4256">
        <f>IFERROR(IF(VLOOKUP(calendar[[#This Row],[Date]],BH!A:A,1,)&lt;&gt;"",1,0),0)</f>
        <v>0</v>
      </c>
      <c r="M4256">
        <f>IFERROR(IF(VLOOKUP(calendar[[#This Row],[Date]],BH!C:C,1,)&lt;&gt;"",1,0),0)</f>
        <v>0</v>
      </c>
      <c r="N4256">
        <f>IFERROR(IF(VLOOKUP(calendar[[#This Row],[Date]],BH!E:E,1,)&lt;&gt;"",1,0),0)</f>
        <v>0</v>
      </c>
      <c r="O4256">
        <f>IFERROR(IF(VLOOKUP(calendar[[#This Row],[Date]],BH!G:G,1,)&lt;&gt;"",1,0),0)</f>
        <v>0</v>
      </c>
      <c r="P4256">
        <f>IF(OR(calendar[[#This Row],[UK_BH]]=1,calendar[[#This Row],[WeekDay]]=1, calendar[[#This Row],[WeekDay]]=7),P4255,P4255+1)</f>
        <v>3016</v>
      </c>
      <c r="Q4256">
        <f>IF(OR(calendar[[#This Row],[FR_BH]]=1,calendar[[#This Row],[WeekDay]]=1, calendar[[#This Row],[WeekDay]]=7),P4255,P4255+1)</f>
        <v>3016</v>
      </c>
      <c r="R4256">
        <f>IF(OR(calendar[[#This Row],[SP_BH]]=1,calendar[[#This Row],[WeekDay]]=1, calendar[[#This Row],[WeekDay]]=7),P4255,P4255+1)</f>
        <v>3016</v>
      </c>
      <c r="S4256">
        <f>IF(OR(calendar[[#This Row],[PT_BH]]=1,calendar[[#This Row],[WeekDay]]=1, calendar[[#This Row],[WeekDay]]=7),P4255,P4255+1)</f>
        <v>3016</v>
      </c>
    </row>
    <row r="4257" spans="1:19" x14ac:dyDescent="0.25">
      <c r="A4257" s="2">
        <v>46991</v>
      </c>
      <c r="B4257" s="1">
        <f t="shared" si="336"/>
        <v>35</v>
      </c>
      <c r="C4257">
        <f t="shared" si="337"/>
        <v>8</v>
      </c>
      <c r="D4257" t="str">
        <f t="shared" si="338"/>
        <v>August</v>
      </c>
      <c r="E4257">
        <f t="shared" si="339"/>
        <v>2028</v>
      </c>
      <c r="F4257" t="str">
        <f>CONCATENATE(calendar[[#This Row],[Month]],"/",calendar[[#This Row],[Year]])</f>
        <v>8/2028</v>
      </c>
      <c r="G4257">
        <f>WEEKDAY(calendar[[#This Row],[Date]],1)</f>
        <v>7</v>
      </c>
      <c r="H4257" t="str">
        <f>TEXT(calendar[[#This Row],[WeekDay]],"dddd")</f>
        <v>Saturday</v>
      </c>
      <c r="I4257">
        <f>IF((INT(calendar[[#This Row],[Count]]/7)-calendar[[#This Row],[Count]]/7)&lt;0,I4256,I4256+1)</f>
        <v>608</v>
      </c>
      <c r="J4257">
        <f t="shared" si="340"/>
        <v>4255</v>
      </c>
      <c r="K4257">
        <f>IF(calendar[[#This Row],[Month]]&lt;4,1,IF(calendar[[#This Row],[Month]]&lt;7,2,IF(calendar[[#This Row],[Month]]&lt;10,3,4)))</f>
        <v>3</v>
      </c>
      <c r="L4257">
        <f>IFERROR(IF(VLOOKUP(calendar[[#This Row],[Date]],BH!A:A,1,)&lt;&gt;"",1,0),0)</f>
        <v>0</v>
      </c>
      <c r="M4257">
        <f>IFERROR(IF(VLOOKUP(calendar[[#This Row],[Date]],BH!C:C,1,)&lt;&gt;"",1,0),0)</f>
        <v>0</v>
      </c>
      <c r="N4257">
        <f>IFERROR(IF(VLOOKUP(calendar[[#This Row],[Date]],BH!E:E,1,)&lt;&gt;"",1,0),0)</f>
        <v>0</v>
      </c>
      <c r="O4257">
        <f>IFERROR(IF(VLOOKUP(calendar[[#This Row],[Date]],BH!G:G,1,)&lt;&gt;"",1,0),0)</f>
        <v>0</v>
      </c>
      <c r="P4257">
        <f>IF(OR(calendar[[#This Row],[UK_BH]]=1,calendar[[#This Row],[WeekDay]]=1, calendar[[#This Row],[WeekDay]]=7),P4256,P4256+1)</f>
        <v>3016</v>
      </c>
      <c r="Q4257">
        <f>IF(OR(calendar[[#This Row],[FR_BH]]=1,calendar[[#This Row],[WeekDay]]=1, calendar[[#This Row],[WeekDay]]=7),P4256,P4256+1)</f>
        <v>3016</v>
      </c>
      <c r="R4257">
        <f>IF(OR(calendar[[#This Row],[SP_BH]]=1,calendar[[#This Row],[WeekDay]]=1, calendar[[#This Row],[WeekDay]]=7),P4256,P4256+1)</f>
        <v>3016</v>
      </c>
      <c r="S4257">
        <f>IF(OR(calendar[[#This Row],[PT_BH]]=1,calendar[[#This Row],[WeekDay]]=1, calendar[[#This Row],[WeekDay]]=7),P4256,P4256+1)</f>
        <v>3016</v>
      </c>
    </row>
    <row r="4258" spans="1:19" x14ac:dyDescent="0.25">
      <c r="A4258" s="2">
        <v>46992</v>
      </c>
      <c r="B4258" s="1">
        <f t="shared" si="336"/>
        <v>36</v>
      </c>
      <c r="C4258">
        <f t="shared" si="337"/>
        <v>8</v>
      </c>
      <c r="D4258" t="str">
        <f t="shared" si="338"/>
        <v>August</v>
      </c>
      <c r="E4258">
        <f t="shared" si="339"/>
        <v>2028</v>
      </c>
      <c r="F4258" t="str">
        <f>CONCATENATE(calendar[[#This Row],[Month]],"/",calendar[[#This Row],[Year]])</f>
        <v>8/2028</v>
      </c>
      <c r="G4258">
        <f>WEEKDAY(calendar[[#This Row],[Date]],1)</f>
        <v>1</v>
      </c>
      <c r="H4258" t="str">
        <f>TEXT(calendar[[#This Row],[WeekDay]],"dddd")</f>
        <v>Sunday</v>
      </c>
      <c r="I4258">
        <f>IF((INT(calendar[[#This Row],[Count]]/7)-calendar[[#This Row],[Count]]/7)&lt;0,I4257,I4257+1)</f>
        <v>609</v>
      </c>
      <c r="J4258">
        <f t="shared" si="340"/>
        <v>4256</v>
      </c>
      <c r="K4258">
        <f>IF(calendar[[#This Row],[Month]]&lt;4,1,IF(calendar[[#This Row],[Month]]&lt;7,2,IF(calendar[[#This Row],[Month]]&lt;10,3,4)))</f>
        <v>3</v>
      </c>
      <c r="L4258">
        <f>IFERROR(IF(VLOOKUP(calendar[[#This Row],[Date]],BH!A:A,1,)&lt;&gt;"",1,0),0)</f>
        <v>0</v>
      </c>
      <c r="M4258">
        <f>IFERROR(IF(VLOOKUP(calendar[[#This Row],[Date]],BH!C:C,1,)&lt;&gt;"",1,0),0)</f>
        <v>0</v>
      </c>
      <c r="N4258">
        <f>IFERROR(IF(VLOOKUP(calendar[[#This Row],[Date]],BH!E:E,1,)&lt;&gt;"",1,0),0)</f>
        <v>0</v>
      </c>
      <c r="O4258">
        <f>IFERROR(IF(VLOOKUP(calendar[[#This Row],[Date]],BH!G:G,1,)&lt;&gt;"",1,0),0)</f>
        <v>0</v>
      </c>
      <c r="P4258">
        <f>IF(OR(calendar[[#This Row],[UK_BH]]=1,calendar[[#This Row],[WeekDay]]=1, calendar[[#This Row],[WeekDay]]=7),P4257,P4257+1)</f>
        <v>3016</v>
      </c>
      <c r="Q4258">
        <f>IF(OR(calendar[[#This Row],[FR_BH]]=1,calendar[[#This Row],[WeekDay]]=1, calendar[[#This Row],[WeekDay]]=7),P4257,P4257+1)</f>
        <v>3016</v>
      </c>
      <c r="R4258">
        <f>IF(OR(calendar[[#This Row],[SP_BH]]=1,calendar[[#This Row],[WeekDay]]=1, calendar[[#This Row],[WeekDay]]=7),P4257,P4257+1)</f>
        <v>3016</v>
      </c>
      <c r="S4258">
        <f>IF(OR(calendar[[#This Row],[PT_BH]]=1,calendar[[#This Row],[WeekDay]]=1, calendar[[#This Row],[WeekDay]]=7),P4257,P4257+1)</f>
        <v>3016</v>
      </c>
    </row>
    <row r="4259" spans="1:19" x14ac:dyDescent="0.25">
      <c r="A4259" s="2">
        <v>46993</v>
      </c>
      <c r="B4259" s="1">
        <f t="shared" si="336"/>
        <v>36</v>
      </c>
      <c r="C4259">
        <f t="shared" si="337"/>
        <v>8</v>
      </c>
      <c r="D4259" t="str">
        <f t="shared" si="338"/>
        <v>August</v>
      </c>
      <c r="E4259">
        <f t="shared" si="339"/>
        <v>2028</v>
      </c>
      <c r="F4259" t="str">
        <f>CONCATENATE(calendar[[#This Row],[Month]],"/",calendar[[#This Row],[Year]])</f>
        <v>8/2028</v>
      </c>
      <c r="G4259">
        <f>WEEKDAY(calendar[[#This Row],[Date]],1)</f>
        <v>2</v>
      </c>
      <c r="H4259" t="str">
        <f>TEXT(calendar[[#This Row],[WeekDay]],"dddd")</f>
        <v>Monday</v>
      </c>
      <c r="I4259">
        <f>IF((INT(calendar[[#This Row],[Count]]/7)-calendar[[#This Row],[Count]]/7)&lt;0,I4258,I4258+1)</f>
        <v>609</v>
      </c>
      <c r="J4259">
        <f t="shared" si="340"/>
        <v>4257</v>
      </c>
      <c r="K4259">
        <f>IF(calendar[[#This Row],[Month]]&lt;4,1,IF(calendar[[#This Row],[Month]]&lt;7,2,IF(calendar[[#This Row],[Month]]&lt;10,3,4)))</f>
        <v>3</v>
      </c>
      <c r="L4259">
        <f>IFERROR(IF(VLOOKUP(calendar[[#This Row],[Date]],BH!A:A,1,)&lt;&gt;"",1,0),0)</f>
        <v>0</v>
      </c>
      <c r="M4259">
        <f>IFERROR(IF(VLOOKUP(calendar[[#This Row],[Date]],BH!C:C,1,)&lt;&gt;"",1,0),0)</f>
        <v>0</v>
      </c>
      <c r="N4259">
        <f>IFERROR(IF(VLOOKUP(calendar[[#This Row],[Date]],BH!E:E,1,)&lt;&gt;"",1,0),0)</f>
        <v>0</v>
      </c>
      <c r="O4259">
        <f>IFERROR(IF(VLOOKUP(calendar[[#This Row],[Date]],BH!G:G,1,)&lt;&gt;"",1,0),0)</f>
        <v>0</v>
      </c>
      <c r="P4259">
        <f>IF(OR(calendar[[#This Row],[UK_BH]]=1,calendar[[#This Row],[WeekDay]]=1, calendar[[#This Row],[WeekDay]]=7),P4258,P4258+1)</f>
        <v>3017</v>
      </c>
      <c r="Q4259">
        <f>IF(OR(calendar[[#This Row],[FR_BH]]=1,calendar[[#This Row],[WeekDay]]=1, calendar[[#This Row],[WeekDay]]=7),P4258,P4258+1)</f>
        <v>3017</v>
      </c>
      <c r="R4259">
        <f>IF(OR(calendar[[#This Row],[SP_BH]]=1,calendar[[#This Row],[WeekDay]]=1, calendar[[#This Row],[WeekDay]]=7),P4258,P4258+1)</f>
        <v>3017</v>
      </c>
      <c r="S4259">
        <f>IF(OR(calendar[[#This Row],[PT_BH]]=1,calendar[[#This Row],[WeekDay]]=1, calendar[[#This Row],[WeekDay]]=7),P4258,P4258+1)</f>
        <v>3017</v>
      </c>
    </row>
    <row r="4260" spans="1:19" x14ac:dyDescent="0.25">
      <c r="A4260" s="2">
        <v>46994</v>
      </c>
      <c r="B4260" s="1">
        <f t="shared" si="336"/>
        <v>36</v>
      </c>
      <c r="C4260">
        <f t="shared" si="337"/>
        <v>8</v>
      </c>
      <c r="D4260" t="str">
        <f t="shared" si="338"/>
        <v>August</v>
      </c>
      <c r="E4260">
        <f t="shared" si="339"/>
        <v>2028</v>
      </c>
      <c r="F4260" t="str">
        <f>CONCATENATE(calendar[[#This Row],[Month]],"/",calendar[[#This Row],[Year]])</f>
        <v>8/2028</v>
      </c>
      <c r="G4260">
        <f>WEEKDAY(calendar[[#This Row],[Date]],1)</f>
        <v>3</v>
      </c>
      <c r="H4260" t="str">
        <f>TEXT(calendar[[#This Row],[WeekDay]],"dddd")</f>
        <v>Tuesday</v>
      </c>
      <c r="I4260">
        <f>IF((INT(calendar[[#This Row],[Count]]/7)-calendar[[#This Row],[Count]]/7)&lt;0,I4259,I4259+1)</f>
        <v>609</v>
      </c>
      <c r="J4260">
        <f t="shared" si="340"/>
        <v>4258</v>
      </c>
      <c r="K4260">
        <f>IF(calendar[[#This Row],[Month]]&lt;4,1,IF(calendar[[#This Row],[Month]]&lt;7,2,IF(calendar[[#This Row],[Month]]&lt;10,3,4)))</f>
        <v>3</v>
      </c>
      <c r="L4260">
        <f>IFERROR(IF(VLOOKUP(calendar[[#This Row],[Date]],BH!A:A,1,)&lt;&gt;"",1,0),0)</f>
        <v>0</v>
      </c>
      <c r="M4260">
        <f>IFERROR(IF(VLOOKUP(calendar[[#This Row],[Date]],BH!C:C,1,)&lt;&gt;"",1,0),0)</f>
        <v>0</v>
      </c>
      <c r="N4260">
        <f>IFERROR(IF(VLOOKUP(calendar[[#This Row],[Date]],BH!E:E,1,)&lt;&gt;"",1,0),0)</f>
        <v>0</v>
      </c>
      <c r="O4260">
        <f>IFERROR(IF(VLOOKUP(calendar[[#This Row],[Date]],BH!G:G,1,)&lt;&gt;"",1,0),0)</f>
        <v>0</v>
      </c>
      <c r="P4260">
        <f>IF(OR(calendar[[#This Row],[UK_BH]]=1,calendar[[#This Row],[WeekDay]]=1, calendar[[#This Row],[WeekDay]]=7),P4259,P4259+1)</f>
        <v>3018</v>
      </c>
      <c r="Q4260">
        <f>IF(OR(calendar[[#This Row],[FR_BH]]=1,calendar[[#This Row],[WeekDay]]=1, calendar[[#This Row],[WeekDay]]=7),P4259,P4259+1)</f>
        <v>3018</v>
      </c>
      <c r="R4260">
        <f>IF(OR(calendar[[#This Row],[SP_BH]]=1,calendar[[#This Row],[WeekDay]]=1, calendar[[#This Row],[WeekDay]]=7),P4259,P4259+1)</f>
        <v>3018</v>
      </c>
      <c r="S4260">
        <f>IF(OR(calendar[[#This Row],[PT_BH]]=1,calendar[[#This Row],[WeekDay]]=1, calendar[[#This Row],[WeekDay]]=7),P4259,P4259+1)</f>
        <v>3018</v>
      </c>
    </row>
    <row r="4261" spans="1:19" x14ac:dyDescent="0.25">
      <c r="A4261" s="2">
        <v>46995</v>
      </c>
      <c r="B4261" s="1">
        <f t="shared" si="336"/>
        <v>36</v>
      </c>
      <c r="C4261">
        <f t="shared" si="337"/>
        <v>8</v>
      </c>
      <c r="D4261" t="str">
        <f t="shared" si="338"/>
        <v>August</v>
      </c>
      <c r="E4261">
        <f t="shared" si="339"/>
        <v>2028</v>
      </c>
      <c r="F4261" t="str">
        <f>CONCATENATE(calendar[[#This Row],[Month]],"/",calendar[[#This Row],[Year]])</f>
        <v>8/2028</v>
      </c>
      <c r="G4261">
        <f>WEEKDAY(calendar[[#This Row],[Date]],1)</f>
        <v>4</v>
      </c>
      <c r="H4261" t="str">
        <f>TEXT(calendar[[#This Row],[WeekDay]],"dddd")</f>
        <v>Wednesday</v>
      </c>
      <c r="I4261">
        <f>IF((INT(calendar[[#This Row],[Count]]/7)-calendar[[#This Row],[Count]]/7)&lt;0,I4260,I4260+1)</f>
        <v>609</v>
      </c>
      <c r="J4261">
        <f t="shared" si="340"/>
        <v>4259</v>
      </c>
      <c r="K4261">
        <f>IF(calendar[[#This Row],[Month]]&lt;4,1,IF(calendar[[#This Row],[Month]]&lt;7,2,IF(calendar[[#This Row],[Month]]&lt;10,3,4)))</f>
        <v>3</v>
      </c>
      <c r="L4261">
        <f>IFERROR(IF(VLOOKUP(calendar[[#This Row],[Date]],BH!A:A,1,)&lt;&gt;"",1,0),0)</f>
        <v>0</v>
      </c>
      <c r="M4261">
        <f>IFERROR(IF(VLOOKUP(calendar[[#This Row],[Date]],BH!C:C,1,)&lt;&gt;"",1,0),0)</f>
        <v>0</v>
      </c>
      <c r="N4261">
        <f>IFERROR(IF(VLOOKUP(calendar[[#This Row],[Date]],BH!E:E,1,)&lt;&gt;"",1,0),0)</f>
        <v>0</v>
      </c>
      <c r="O4261">
        <f>IFERROR(IF(VLOOKUP(calendar[[#This Row],[Date]],BH!G:G,1,)&lt;&gt;"",1,0),0)</f>
        <v>0</v>
      </c>
      <c r="P4261">
        <f>IF(OR(calendar[[#This Row],[UK_BH]]=1,calendar[[#This Row],[WeekDay]]=1, calendar[[#This Row],[WeekDay]]=7),P4260,P4260+1)</f>
        <v>3019</v>
      </c>
      <c r="Q4261">
        <f>IF(OR(calendar[[#This Row],[FR_BH]]=1,calendar[[#This Row],[WeekDay]]=1, calendar[[#This Row],[WeekDay]]=7),P4260,P4260+1)</f>
        <v>3019</v>
      </c>
      <c r="R4261">
        <f>IF(OR(calendar[[#This Row],[SP_BH]]=1,calendar[[#This Row],[WeekDay]]=1, calendar[[#This Row],[WeekDay]]=7),P4260,P4260+1)</f>
        <v>3019</v>
      </c>
      <c r="S4261">
        <f>IF(OR(calendar[[#This Row],[PT_BH]]=1,calendar[[#This Row],[WeekDay]]=1, calendar[[#This Row],[WeekDay]]=7),P4260,P4260+1)</f>
        <v>3019</v>
      </c>
    </row>
    <row r="4262" spans="1:19" x14ac:dyDescent="0.25">
      <c r="A4262" s="2">
        <v>46996</v>
      </c>
      <c r="B4262" s="1">
        <f t="shared" si="336"/>
        <v>36</v>
      </c>
      <c r="C4262">
        <f t="shared" si="337"/>
        <v>8</v>
      </c>
      <c r="D4262" t="str">
        <f t="shared" si="338"/>
        <v>August</v>
      </c>
      <c r="E4262">
        <f t="shared" si="339"/>
        <v>2028</v>
      </c>
      <c r="F4262" t="str">
        <f>CONCATENATE(calendar[[#This Row],[Month]],"/",calendar[[#This Row],[Year]])</f>
        <v>8/2028</v>
      </c>
      <c r="G4262">
        <f>WEEKDAY(calendar[[#This Row],[Date]],1)</f>
        <v>5</v>
      </c>
      <c r="H4262" t="str">
        <f>TEXT(calendar[[#This Row],[WeekDay]],"dddd")</f>
        <v>Thursday</v>
      </c>
      <c r="I4262">
        <f>IF((INT(calendar[[#This Row],[Count]]/7)-calendar[[#This Row],[Count]]/7)&lt;0,I4261,I4261+1)</f>
        <v>609</v>
      </c>
      <c r="J4262">
        <f t="shared" si="340"/>
        <v>4260</v>
      </c>
      <c r="K4262">
        <f>IF(calendar[[#This Row],[Month]]&lt;4,1,IF(calendar[[#This Row],[Month]]&lt;7,2,IF(calendar[[#This Row],[Month]]&lt;10,3,4)))</f>
        <v>3</v>
      </c>
      <c r="L4262">
        <f>IFERROR(IF(VLOOKUP(calendar[[#This Row],[Date]],BH!A:A,1,)&lt;&gt;"",1,0),0)</f>
        <v>0</v>
      </c>
      <c r="M4262">
        <f>IFERROR(IF(VLOOKUP(calendar[[#This Row],[Date]],BH!C:C,1,)&lt;&gt;"",1,0),0)</f>
        <v>0</v>
      </c>
      <c r="N4262">
        <f>IFERROR(IF(VLOOKUP(calendar[[#This Row],[Date]],BH!E:E,1,)&lt;&gt;"",1,0),0)</f>
        <v>0</v>
      </c>
      <c r="O4262">
        <f>IFERROR(IF(VLOOKUP(calendar[[#This Row],[Date]],BH!G:G,1,)&lt;&gt;"",1,0),0)</f>
        <v>0</v>
      </c>
      <c r="P4262">
        <f>IF(OR(calendar[[#This Row],[UK_BH]]=1,calendar[[#This Row],[WeekDay]]=1, calendar[[#This Row],[WeekDay]]=7),P4261,P4261+1)</f>
        <v>3020</v>
      </c>
      <c r="Q4262">
        <f>IF(OR(calendar[[#This Row],[FR_BH]]=1,calendar[[#This Row],[WeekDay]]=1, calendar[[#This Row],[WeekDay]]=7),P4261,P4261+1)</f>
        <v>3020</v>
      </c>
      <c r="R4262">
        <f>IF(OR(calendar[[#This Row],[SP_BH]]=1,calendar[[#This Row],[WeekDay]]=1, calendar[[#This Row],[WeekDay]]=7),P4261,P4261+1)</f>
        <v>3020</v>
      </c>
      <c r="S4262">
        <f>IF(OR(calendar[[#This Row],[PT_BH]]=1,calendar[[#This Row],[WeekDay]]=1, calendar[[#This Row],[WeekDay]]=7),P4261,P4261+1)</f>
        <v>3020</v>
      </c>
    </row>
    <row r="4263" spans="1:19" x14ac:dyDescent="0.25">
      <c r="A4263" s="2">
        <v>46997</v>
      </c>
      <c r="B4263" s="1">
        <f t="shared" si="336"/>
        <v>36</v>
      </c>
      <c r="C4263">
        <f t="shared" si="337"/>
        <v>9</v>
      </c>
      <c r="D4263" t="str">
        <f t="shared" si="338"/>
        <v>September</v>
      </c>
      <c r="E4263">
        <f t="shared" si="339"/>
        <v>2028</v>
      </c>
      <c r="F4263" t="str">
        <f>CONCATENATE(calendar[[#This Row],[Month]],"/",calendar[[#This Row],[Year]])</f>
        <v>9/2028</v>
      </c>
      <c r="G4263">
        <f>WEEKDAY(calendar[[#This Row],[Date]],1)</f>
        <v>6</v>
      </c>
      <c r="H4263" t="str">
        <f>TEXT(calendar[[#This Row],[WeekDay]],"dddd")</f>
        <v>Friday</v>
      </c>
      <c r="I4263">
        <f>IF((INT(calendar[[#This Row],[Count]]/7)-calendar[[#This Row],[Count]]/7)&lt;0,I4262,I4262+1)</f>
        <v>609</v>
      </c>
      <c r="J4263">
        <f t="shared" si="340"/>
        <v>4261</v>
      </c>
      <c r="K4263">
        <f>IF(calendar[[#This Row],[Month]]&lt;4,1,IF(calendar[[#This Row],[Month]]&lt;7,2,IF(calendar[[#This Row],[Month]]&lt;10,3,4)))</f>
        <v>3</v>
      </c>
      <c r="L4263">
        <f>IFERROR(IF(VLOOKUP(calendar[[#This Row],[Date]],BH!A:A,1,)&lt;&gt;"",1,0),0)</f>
        <v>0</v>
      </c>
      <c r="M4263">
        <f>IFERROR(IF(VLOOKUP(calendar[[#This Row],[Date]],BH!C:C,1,)&lt;&gt;"",1,0),0)</f>
        <v>0</v>
      </c>
      <c r="N4263">
        <f>IFERROR(IF(VLOOKUP(calendar[[#This Row],[Date]],BH!E:E,1,)&lt;&gt;"",1,0),0)</f>
        <v>0</v>
      </c>
      <c r="O4263">
        <f>IFERROR(IF(VLOOKUP(calendar[[#This Row],[Date]],BH!G:G,1,)&lt;&gt;"",1,0),0)</f>
        <v>0</v>
      </c>
      <c r="P4263">
        <f>IF(OR(calendar[[#This Row],[UK_BH]]=1,calendar[[#This Row],[WeekDay]]=1, calendar[[#This Row],[WeekDay]]=7),P4262,P4262+1)</f>
        <v>3021</v>
      </c>
      <c r="Q4263">
        <f>IF(OR(calendar[[#This Row],[FR_BH]]=1,calendar[[#This Row],[WeekDay]]=1, calendar[[#This Row],[WeekDay]]=7),P4262,P4262+1)</f>
        <v>3021</v>
      </c>
      <c r="R4263">
        <f>IF(OR(calendar[[#This Row],[SP_BH]]=1,calendar[[#This Row],[WeekDay]]=1, calendar[[#This Row],[WeekDay]]=7),P4262,P4262+1)</f>
        <v>3021</v>
      </c>
      <c r="S4263">
        <f>IF(OR(calendar[[#This Row],[PT_BH]]=1,calendar[[#This Row],[WeekDay]]=1, calendar[[#This Row],[WeekDay]]=7),P4262,P4262+1)</f>
        <v>3021</v>
      </c>
    </row>
    <row r="4264" spans="1:19" x14ac:dyDescent="0.25">
      <c r="A4264" s="2">
        <v>46998</v>
      </c>
      <c r="B4264" s="1">
        <f t="shared" si="336"/>
        <v>36</v>
      </c>
      <c r="C4264">
        <f t="shared" si="337"/>
        <v>9</v>
      </c>
      <c r="D4264" t="str">
        <f t="shared" si="338"/>
        <v>September</v>
      </c>
      <c r="E4264">
        <f t="shared" si="339"/>
        <v>2028</v>
      </c>
      <c r="F4264" t="str">
        <f>CONCATENATE(calendar[[#This Row],[Month]],"/",calendar[[#This Row],[Year]])</f>
        <v>9/2028</v>
      </c>
      <c r="G4264">
        <f>WEEKDAY(calendar[[#This Row],[Date]],1)</f>
        <v>7</v>
      </c>
      <c r="H4264" t="str">
        <f>TEXT(calendar[[#This Row],[WeekDay]],"dddd")</f>
        <v>Saturday</v>
      </c>
      <c r="I4264">
        <f>IF((INT(calendar[[#This Row],[Count]]/7)-calendar[[#This Row],[Count]]/7)&lt;0,I4263,I4263+1)</f>
        <v>609</v>
      </c>
      <c r="J4264">
        <f t="shared" si="340"/>
        <v>4262</v>
      </c>
      <c r="K4264">
        <f>IF(calendar[[#This Row],[Month]]&lt;4,1,IF(calendar[[#This Row],[Month]]&lt;7,2,IF(calendar[[#This Row],[Month]]&lt;10,3,4)))</f>
        <v>3</v>
      </c>
      <c r="L4264">
        <f>IFERROR(IF(VLOOKUP(calendar[[#This Row],[Date]],BH!A:A,1,)&lt;&gt;"",1,0),0)</f>
        <v>0</v>
      </c>
      <c r="M4264">
        <f>IFERROR(IF(VLOOKUP(calendar[[#This Row],[Date]],BH!C:C,1,)&lt;&gt;"",1,0),0)</f>
        <v>0</v>
      </c>
      <c r="N4264">
        <f>IFERROR(IF(VLOOKUP(calendar[[#This Row],[Date]],BH!E:E,1,)&lt;&gt;"",1,0),0)</f>
        <v>0</v>
      </c>
      <c r="O4264">
        <f>IFERROR(IF(VLOOKUP(calendar[[#This Row],[Date]],BH!G:G,1,)&lt;&gt;"",1,0),0)</f>
        <v>0</v>
      </c>
      <c r="P4264">
        <f>IF(OR(calendar[[#This Row],[UK_BH]]=1,calendar[[#This Row],[WeekDay]]=1, calendar[[#This Row],[WeekDay]]=7),P4263,P4263+1)</f>
        <v>3021</v>
      </c>
      <c r="Q4264">
        <f>IF(OR(calendar[[#This Row],[FR_BH]]=1,calendar[[#This Row],[WeekDay]]=1, calendar[[#This Row],[WeekDay]]=7),P4263,P4263+1)</f>
        <v>3021</v>
      </c>
      <c r="R4264">
        <f>IF(OR(calendar[[#This Row],[SP_BH]]=1,calendar[[#This Row],[WeekDay]]=1, calendar[[#This Row],[WeekDay]]=7),P4263,P4263+1)</f>
        <v>3021</v>
      </c>
      <c r="S4264">
        <f>IF(OR(calendar[[#This Row],[PT_BH]]=1,calendar[[#This Row],[WeekDay]]=1, calendar[[#This Row],[WeekDay]]=7),P4263,P4263+1)</f>
        <v>3021</v>
      </c>
    </row>
    <row r="4265" spans="1:19" x14ac:dyDescent="0.25">
      <c r="A4265" s="2">
        <v>46999</v>
      </c>
      <c r="B4265" s="1">
        <f t="shared" si="336"/>
        <v>37</v>
      </c>
      <c r="C4265">
        <f t="shared" si="337"/>
        <v>9</v>
      </c>
      <c r="D4265" t="str">
        <f t="shared" si="338"/>
        <v>September</v>
      </c>
      <c r="E4265">
        <f t="shared" si="339"/>
        <v>2028</v>
      </c>
      <c r="F4265" t="str">
        <f>CONCATENATE(calendar[[#This Row],[Month]],"/",calendar[[#This Row],[Year]])</f>
        <v>9/2028</v>
      </c>
      <c r="G4265">
        <f>WEEKDAY(calendar[[#This Row],[Date]],1)</f>
        <v>1</v>
      </c>
      <c r="H4265" t="str">
        <f>TEXT(calendar[[#This Row],[WeekDay]],"dddd")</f>
        <v>Sunday</v>
      </c>
      <c r="I4265">
        <f>IF((INT(calendar[[#This Row],[Count]]/7)-calendar[[#This Row],[Count]]/7)&lt;0,I4264,I4264+1)</f>
        <v>610</v>
      </c>
      <c r="J4265">
        <f t="shared" si="340"/>
        <v>4263</v>
      </c>
      <c r="K4265">
        <f>IF(calendar[[#This Row],[Month]]&lt;4,1,IF(calendar[[#This Row],[Month]]&lt;7,2,IF(calendar[[#This Row],[Month]]&lt;10,3,4)))</f>
        <v>3</v>
      </c>
      <c r="L4265">
        <f>IFERROR(IF(VLOOKUP(calendar[[#This Row],[Date]],BH!A:A,1,)&lt;&gt;"",1,0),0)</f>
        <v>0</v>
      </c>
      <c r="M4265">
        <f>IFERROR(IF(VLOOKUP(calendar[[#This Row],[Date]],BH!C:C,1,)&lt;&gt;"",1,0),0)</f>
        <v>0</v>
      </c>
      <c r="N4265">
        <f>IFERROR(IF(VLOOKUP(calendar[[#This Row],[Date]],BH!E:E,1,)&lt;&gt;"",1,0),0)</f>
        <v>0</v>
      </c>
      <c r="O4265">
        <f>IFERROR(IF(VLOOKUP(calendar[[#This Row],[Date]],BH!G:G,1,)&lt;&gt;"",1,0),0)</f>
        <v>0</v>
      </c>
      <c r="P4265">
        <f>IF(OR(calendar[[#This Row],[UK_BH]]=1,calendar[[#This Row],[WeekDay]]=1, calendar[[#This Row],[WeekDay]]=7),P4264,P4264+1)</f>
        <v>3021</v>
      </c>
      <c r="Q4265">
        <f>IF(OR(calendar[[#This Row],[FR_BH]]=1,calendar[[#This Row],[WeekDay]]=1, calendar[[#This Row],[WeekDay]]=7),P4264,P4264+1)</f>
        <v>3021</v>
      </c>
      <c r="R4265">
        <f>IF(OR(calendar[[#This Row],[SP_BH]]=1,calendar[[#This Row],[WeekDay]]=1, calendar[[#This Row],[WeekDay]]=7),P4264,P4264+1)</f>
        <v>3021</v>
      </c>
      <c r="S4265">
        <f>IF(OR(calendar[[#This Row],[PT_BH]]=1,calendar[[#This Row],[WeekDay]]=1, calendar[[#This Row],[WeekDay]]=7),P4264,P4264+1)</f>
        <v>3021</v>
      </c>
    </row>
    <row r="4266" spans="1:19" x14ac:dyDescent="0.25">
      <c r="A4266" s="2">
        <v>47000</v>
      </c>
      <c r="B4266" s="1">
        <f t="shared" si="336"/>
        <v>37</v>
      </c>
      <c r="C4266">
        <f t="shared" si="337"/>
        <v>9</v>
      </c>
      <c r="D4266" t="str">
        <f t="shared" si="338"/>
        <v>September</v>
      </c>
      <c r="E4266">
        <f t="shared" si="339"/>
        <v>2028</v>
      </c>
      <c r="F4266" t="str">
        <f>CONCATENATE(calendar[[#This Row],[Month]],"/",calendar[[#This Row],[Year]])</f>
        <v>9/2028</v>
      </c>
      <c r="G4266">
        <f>WEEKDAY(calendar[[#This Row],[Date]],1)</f>
        <v>2</v>
      </c>
      <c r="H4266" t="str">
        <f>TEXT(calendar[[#This Row],[WeekDay]],"dddd")</f>
        <v>Monday</v>
      </c>
      <c r="I4266">
        <f>IF((INT(calendar[[#This Row],[Count]]/7)-calendar[[#This Row],[Count]]/7)&lt;0,I4265,I4265+1)</f>
        <v>610</v>
      </c>
      <c r="J4266">
        <f t="shared" si="340"/>
        <v>4264</v>
      </c>
      <c r="K4266">
        <f>IF(calendar[[#This Row],[Month]]&lt;4,1,IF(calendar[[#This Row],[Month]]&lt;7,2,IF(calendar[[#This Row],[Month]]&lt;10,3,4)))</f>
        <v>3</v>
      </c>
      <c r="L4266">
        <f>IFERROR(IF(VLOOKUP(calendar[[#This Row],[Date]],BH!A:A,1,)&lt;&gt;"",1,0),0)</f>
        <v>0</v>
      </c>
      <c r="M4266">
        <f>IFERROR(IF(VLOOKUP(calendar[[#This Row],[Date]],BH!C:C,1,)&lt;&gt;"",1,0),0)</f>
        <v>0</v>
      </c>
      <c r="N4266">
        <f>IFERROR(IF(VLOOKUP(calendar[[#This Row],[Date]],BH!E:E,1,)&lt;&gt;"",1,0),0)</f>
        <v>0</v>
      </c>
      <c r="O4266">
        <f>IFERROR(IF(VLOOKUP(calendar[[#This Row],[Date]],BH!G:G,1,)&lt;&gt;"",1,0),0)</f>
        <v>0</v>
      </c>
      <c r="P4266">
        <f>IF(OR(calendar[[#This Row],[UK_BH]]=1,calendar[[#This Row],[WeekDay]]=1, calendar[[#This Row],[WeekDay]]=7),P4265,P4265+1)</f>
        <v>3022</v>
      </c>
      <c r="Q4266">
        <f>IF(OR(calendar[[#This Row],[FR_BH]]=1,calendar[[#This Row],[WeekDay]]=1, calendar[[#This Row],[WeekDay]]=7),P4265,P4265+1)</f>
        <v>3022</v>
      </c>
      <c r="R4266">
        <f>IF(OR(calendar[[#This Row],[SP_BH]]=1,calendar[[#This Row],[WeekDay]]=1, calendar[[#This Row],[WeekDay]]=7),P4265,P4265+1)</f>
        <v>3022</v>
      </c>
      <c r="S4266">
        <f>IF(OR(calendar[[#This Row],[PT_BH]]=1,calendar[[#This Row],[WeekDay]]=1, calendar[[#This Row],[WeekDay]]=7),P4265,P4265+1)</f>
        <v>3022</v>
      </c>
    </row>
    <row r="4267" spans="1:19" x14ac:dyDescent="0.25">
      <c r="A4267" s="2">
        <v>47001</v>
      </c>
      <c r="B4267" s="1">
        <f t="shared" si="336"/>
        <v>37</v>
      </c>
      <c r="C4267">
        <f t="shared" si="337"/>
        <v>9</v>
      </c>
      <c r="D4267" t="str">
        <f t="shared" si="338"/>
        <v>September</v>
      </c>
      <c r="E4267">
        <f t="shared" si="339"/>
        <v>2028</v>
      </c>
      <c r="F4267" t="str">
        <f>CONCATENATE(calendar[[#This Row],[Month]],"/",calendar[[#This Row],[Year]])</f>
        <v>9/2028</v>
      </c>
      <c r="G4267">
        <f>WEEKDAY(calendar[[#This Row],[Date]],1)</f>
        <v>3</v>
      </c>
      <c r="H4267" t="str">
        <f>TEXT(calendar[[#This Row],[WeekDay]],"dddd")</f>
        <v>Tuesday</v>
      </c>
      <c r="I4267">
        <f>IF((INT(calendar[[#This Row],[Count]]/7)-calendar[[#This Row],[Count]]/7)&lt;0,I4266,I4266+1)</f>
        <v>610</v>
      </c>
      <c r="J4267">
        <f t="shared" si="340"/>
        <v>4265</v>
      </c>
      <c r="K4267">
        <f>IF(calendar[[#This Row],[Month]]&lt;4,1,IF(calendar[[#This Row],[Month]]&lt;7,2,IF(calendar[[#This Row],[Month]]&lt;10,3,4)))</f>
        <v>3</v>
      </c>
      <c r="L4267">
        <f>IFERROR(IF(VLOOKUP(calendar[[#This Row],[Date]],BH!A:A,1,)&lt;&gt;"",1,0),0)</f>
        <v>0</v>
      </c>
      <c r="M4267">
        <f>IFERROR(IF(VLOOKUP(calendar[[#This Row],[Date]],BH!C:C,1,)&lt;&gt;"",1,0),0)</f>
        <v>0</v>
      </c>
      <c r="N4267">
        <f>IFERROR(IF(VLOOKUP(calendar[[#This Row],[Date]],BH!E:E,1,)&lt;&gt;"",1,0),0)</f>
        <v>0</v>
      </c>
      <c r="O4267">
        <f>IFERROR(IF(VLOOKUP(calendar[[#This Row],[Date]],BH!G:G,1,)&lt;&gt;"",1,0),0)</f>
        <v>0</v>
      </c>
      <c r="P4267">
        <f>IF(OR(calendar[[#This Row],[UK_BH]]=1,calendar[[#This Row],[WeekDay]]=1, calendar[[#This Row],[WeekDay]]=7),P4266,P4266+1)</f>
        <v>3023</v>
      </c>
      <c r="Q4267">
        <f>IF(OR(calendar[[#This Row],[FR_BH]]=1,calendar[[#This Row],[WeekDay]]=1, calendar[[#This Row],[WeekDay]]=7),P4266,P4266+1)</f>
        <v>3023</v>
      </c>
      <c r="R4267">
        <f>IF(OR(calendar[[#This Row],[SP_BH]]=1,calendar[[#This Row],[WeekDay]]=1, calendar[[#This Row],[WeekDay]]=7),P4266,P4266+1)</f>
        <v>3023</v>
      </c>
      <c r="S4267">
        <f>IF(OR(calendar[[#This Row],[PT_BH]]=1,calendar[[#This Row],[WeekDay]]=1, calendar[[#This Row],[WeekDay]]=7),P4266,P4266+1)</f>
        <v>3023</v>
      </c>
    </row>
    <row r="4268" spans="1:19" x14ac:dyDescent="0.25">
      <c r="A4268" s="2">
        <v>47002</v>
      </c>
      <c r="B4268" s="1">
        <f t="shared" si="336"/>
        <v>37</v>
      </c>
      <c r="C4268">
        <f t="shared" si="337"/>
        <v>9</v>
      </c>
      <c r="D4268" t="str">
        <f t="shared" si="338"/>
        <v>September</v>
      </c>
      <c r="E4268">
        <f t="shared" si="339"/>
        <v>2028</v>
      </c>
      <c r="F4268" t="str">
        <f>CONCATENATE(calendar[[#This Row],[Month]],"/",calendar[[#This Row],[Year]])</f>
        <v>9/2028</v>
      </c>
      <c r="G4268">
        <f>WEEKDAY(calendar[[#This Row],[Date]],1)</f>
        <v>4</v>
      </c>
      <c r="H4268" t="str">
        <f>TEXT(calendar[[#This Row],[WeekDay]],"dddd")</f>
        <v>Wednesday</v>
      </c>
      <c r="I4268">
        <f>IF((INT(calendar[[#This Row],[Count]]/7)-calendar[[#This Row],[Count]]/7)&lt;0,I4267,I4267+1)</f>
        <v>610</v>
      </c>
      <c r="J4268">
        <f t="shared" si="340"/>
        <v>4266</v>
      </c>
      <c r="K4268">
        <f>IF(calendar[[#This Row],[Month]]&lt;4,1,IF(calendar[[#This Row],[Month]]&lt;7,2,IF(calendar[[#This Row],[Month]]&lt;10,3,4)))</f>
        <v>3</v>
      </c>
      <c r="L4268">
        <f>IFERROR(IF(VLOOKUP(calendar[[#This Row],[Date]],BH!A:A,1,)&lt;&gt;"",1,0),0)</f>
        <v>0</v>
      </c>
      <c r="M4268">
        <f>IFERROR(IF(VLOOKUP(calendar[[#This Row],[Date]],BH!C:C,1,)&lt;&gt;"",1,0),0)</f>
        <v>0</v>
      </c>
      <c r="N4268">
        <f>IFERROR(IF(VLOOKUP(calendar[[#This Row],[Date]],BH!E:E,1,)&lt;&gt;"",1,0),0)</f>
        <v>0</v>
      </c>
      <c r="O4268">
        <f>IFERROR(IF(VLOOKUP(calendar[[#This Row],[Date]],BH!G:G,1,)&lt;&gt;"",1,0),0)</f>
        <v>0</v>
      </c>
      <c r="P4268">
        <f>IF(OR(calendar[[#This Row],[UK_BH]]=1,calendar[[#This Row],[WeekDay]]=1, calendar[[#This Row],[WeekDay]]=7),P4267,P4267+1)</f>
        <v>3024</v>
      </c>
      <c r="Q4268">
        <f>IF(OR(calendar[[#This Row],[FR_BH]]=1,calendar[[#This Row],[WeekDay]]=1, calendar[[#This Row],[WeekDay]]=7),P4267,P4267+1)</f>
        <v>3024</v>
      </c>
      <c r="R4268">
        <f>IF(OR(calendar[[#This Row],[SP_BH]]=1,calendar[[#This Row],[WeekDay]]=1, calendar[[#This Row],[WeekDay]]=7),P4267,P4267+1)</f>
        <v>3024</v>
      </c>
      <c r="S4268">
        <f>IF(OR(calendar[[#This Row],[PT_BH]]=1,calendar[[#This Row],[WeekDay]]=1, calendar[[#This Row],[WeekDay]]=7),P4267,P4267+1)</f>
        <v>3024</v>
      </c>
    </row>
    <row r="4269" spans="1:19" x14ac:dyDescent="0.25">
      <c r="A4269" s="2">
        <v>47003</v>
      </c>
      <c r="B4269" s="1">
        <f t="shared" si="336"/>
        <v>37</v>
      </c>
      <c r="C4269">
        <f t="shared" si="337"/>
        <v>9</v>
      </c>
      <c r="D4269" t="str">
        <f t="shared" si="338"/>
        <v>September</v>
      </c>
      <c r="E4269">
        <f t="shared" si="339"/>
        <v>2028</v>
      </c>
      <c r="F4269" t="str">
        <f>CONCATENATE(calendar[[#This Row],[Month]],"/",calendar[[#This Row],[Year]])</f>
        <v>9/2028</v>
      </c>
      <c r="G4269">
        <f>WEEKDAY(calendar[[#This Row],[Date]],1)</f>
        <v>5</v>
      </c>
      <c r="H4269" t="str">
        <f>TEXT(calendar[[#This Row],[WeekDay]],"dddd")</f>
        <v>Thursday</v>
      </c>
      <c r="I4269">
        <f>IF((INT(calendar[[#This Row],[Count]]/7)-calendar[[#This Row],[Count]]/7)&lt;0,I4268,I4268+1)</f>
        <v>610</v>
      </c>
      <c r="J4269">
        <f t="shared" si="340"/>
        <v>4267</v>
      </c>
      <c r="K4269">
        <f>IF(calendar[[#This Row],[Month]]&lt;4,1,IF(calendar[[#This Row],[Month]]&lt;7,2,IF(calendar[[#This Row],[Month]]&lt;10,3,4)))</f>
        <v>3</v>
      </c>
      <c r="L4269">
        <f>IFERROR(IF(VLOOKUP(calendar[[#This Row],[Date]],BH!A:A,1,)&lt;&gt;"",1,0),0)</f>
        <v>0</v>
      </c>
      <c r="M4269">
        <f>IFERROR(IF(VLOOKUP(calendar[[#This Row],[Date]],BH!C:C,1,)&lt;&gt;"",1,0),0)</f>
        <v>0</v>
      </c>
      <c r="N4269">
        <f>IFERROR(IF(VLOOKUP(calendar[[#This Row],[Date]],BH!E:E,1,)&lt;&gt;"",1,0),0)</f>
        <v>0</v>
      </c>
      <c r="O4269">
        <f>IFERROR(IF(VLOOKUP(calendar[[#This Row],[Date]],BH!G:G,1,)&lt;&gt;"",1,0),0)</f>
        <v>0</v>
      </c>
      <c r="P4269">
        <f>IF(OR(calendar[[#This Row],[UK_BH]]=1,calendar[[#This Row],[WeekDay]]=1, calendar[[#This Row],[WeekDay]]=7),P4268,P4268+1)</f>
        <v>3025</v>
      </c>
      <c r="Q4269">
        <f>IF(OR(calendar[[#This Row],[FR_BH]]=1,calendar[[#This Row],[WeekDay]]=1, calendar[[#This Row],[WeekDay]]=7),P4268,P4268+1)</f>
        <v>3025</v>
      </c>
      <c r="R4269">
        <f>IF(OR(calendar[[#This Row],[SP_BH]]=1,calendar[[#This Row],[WeekDay]]=1, calendar[[#This Row],[WeekDay]]=7),P4268,P4268+1)</f>
        <v>3025</v>
      </c>
      <c r="S4269">
        <f>IF(OR(calendar[[#This Row],[PT_BH]]=1,calendar[[#This Row],[WeekDay]]=1, calendar[[#This Row],[WeekDay]]=7),P4268,P4268+1)</f>
        <v>3025</v>
      </c>
    </row>
    <row r="4270" spans="1:19" x14ac:dyDescent="0.25">
      <c r="A4270" s="2">
        <v>47004</v>
      </c>
      <c r="B4270" s="1">
        <f t="shared" si="336"/>
        <v>37</v>
      </c>
      <c r="C4270">
        <f t="shared" si="337"/>
        <v>9</v>
      </c>
      <c r="D4270" t="str">
        <f t="shared" si="338"/>
        <v>September</v>
      </c>
      <c r="E4270">
        <f t="shared" si="339"/>
        <v>2028</v>
      </c>
      <c r="F4270" t="str">
        <f>CONCATENATE(calendar[[#This Row],[Month]],"/",calendar[[#This Row],[Year]])</f>
        <v>9/2028</v>
      </c>
      <c r="G4270">
        <f>WEEKDAY(calendar[[#This Row],[Date]],1)</f>
        <v>6</v>
      </c>
      <c r="H4270" t="str">
        <f>TEXT(calendar[[#This Row],[WeekDay]],"dddd")</f>
        <v>Friday</v>
      </c>
      <c r="I4270">
        <f>IF((INT(calendar[[#This Row],[Count]]/7)-calendar[[#This Row],[Count]]/7)&lt;0,I4269,I4269+1)</f>
        <v>610</v>
      </c>
      <c r="J4270">
        <f t="shared" si="340"/>
        <v>4268</v>
      </c>
      <c r="K4270">
        <f>IF(calendar[[#This Row],[Month]]&lt;4,1,IF(calendar[[#This Row],[Month]]&lt;7,2,IF(calendar[[#This Row],[Month]]&lt;10,3,4)))</f>
        <v>3</v>
      </c>
      <c r="L4270">
        <f>IFERROR(IF(VLOOKUP(calendar[[#This Row],[Date]],BH!A:A,1,)&lt;&gt;"",1,0),0)</f>
        <v>0</v>
      </c>
      <c r="M4270">
        <f>IFERROR(IF(VLOOKUP(calendar[[#This Row],[Date]],BH!C:C,1,)&lt;&gt;"",1,0),0)</f>
        <v>0</v>
      </c>
      <c r="N4270">
        <f>IFERROR(IF(VLOOKUP(calendar[[#This Row],[Date]],BH!E:E,1,)&lt;&gt;"",1,0),0)</f>
        <v>0</v>
      </c>
      <c r="O4270">
        <f>IFERROR(IF(VLOOKUP(calendar[[#This Row],[Date]],BH!G:G,1,)&lt;&gt;"",1,0),0)</f>
        <v>0</v>
      </c>
      <c r="P4270">
        <f>IF(OR(calendar[[#This Row],[UK_BH]]=1,calendar[[#This Row],[WeekDay]]=1, calendar[[#This Row],[WeekDay]]=7),P4269,P4269+1)</f>
        <v>3026</v>
      </c>
      <c r="Q4270">
        <f>IF(OR(calendar[[#This Row],[FR_BH]]=1,calendar[[#This Row],[WeekDay]]=1, calendar[[#This Row],[WeekDay]]=7),P4269,P4269+1)</f>
        <v>3026</v>
      </c>
      <c r="R4270">
        <f>IF(OR(calendar[[#This Row],[SP_BH]]=1,calendar[[#This Row],[WeekDay]]=1, calendar[[#This Row],[WeekDay]]=7),P4269,P4269+1)</f>
        <v>3026</v>
      </c>
      <c r="S4270">
        <f>IF(OR(calendar[[#This Row],[PT_BH]]=1,calendar[[#This Row],[WeekDay]]=1, calendar[[#This Row],[WeekDay]]=7),P4269,P4269+1)</f>
        <v>3026</v>
      </c>
    </row>
    <row r="4271" spans="1:19" x14ac:dyDescent="0.25">
      <c r="A4271" s="2">
        <v>47005</v>
      </c>
      <c r="B4271" s="1">
        <f t="shared" si="336"/>
        <v>37</v>
      </c>
      <c r="C4271">
        <f t="shared" si="337"/>
        <v>9</v>
      </c>
      <c r="D4271" t="str">
        <f t="shared" si="338"/>
        <v>September</v>
      </c>
      <c r="E4271">
        <f t="shared" si="339"/>
        <v>2028</v>
      </c>
      <c r="F4271" t="str">
        <f>CONCATENATE(calendar[[#This Row],[Month]],"/",calendar[[#This Row],[Year]])</f>
        <v>9/2028</v>
      </c>
      <c r="G4271">
        <f>WEEKDAY(calendar[[#This Row],[Date]],1)</f>
        <v>7</v>
      </c>
      <c r="H4271" t="str">
        <f>TEXT(calendar[[#This Row],[WeekDay]],"dddd")</f>
        <v>Saturday</v>
      </c>
      <c r="I4271">
        <f>IF((INT(calendar[[#This Row],[Count]]/7)-calendar[[#This Row],[Count]]/7)&lt;0,I4270,I4270+1)</f>
        <v>610</v>
      </c>
      <c r="J4271">
        <f t="shared" si="340"/>
        <v>4269</v>
      </c>
      <c r="K4271">
        <f>IF(calendar[[#This Row],[Month]]&lt;4,1,IF(calendar[[#This Row],[Month]]&lt;7,2,IF(calendar[[#This Row],[Month]]&lt;10,3,4)))</f>
        <v>3</v>
      </c>
      <c r="L4271">
        <f>IFERROR(IF(VLOOKUP(calendar[[#This Row],[Date]],BH!A:A,1,)&lt;&gt;"",1,0),0)</f>
        <v>0</v>
      </c>
      <c r="M4271">
        <f>IFERROR(IF(VLOOKUP(calendar[[#This Row],[Date]],BH!C:C,1,)&lt;&gt;"",1,0),0)</f>
        <v>0</v>
      </c>
      <c r="N4271">
        <f>IFERROR(IF(VLOOKUP(calendar[[#This Row],[Date]],BH!E:E,1,)&lt;&gt;"",1,0),0)</f>
        <v>0</v>
      </c>
      <c r="O4271">
        <f>IFERROR(IF(VLOOKUP(calendar[[#This Row],[Date]],BH!G:G,1,)&lt;&gt;"",1,0),0)</f>
        <v>0</v>
      </c>
      <c r="P4271">
        <f>IF(OR(calendar[[#This Row],[UK_BH]]=1,calendar[[#This Row],[WeekDay]]=1, calendar[[#This Row],[WeekDay]]=7),P4270,P4270+1)</f>
        <v>3026</v>
      </c>
      <c r="Q4271">
        <f>IF(OR(calendar[[#This Row],[FR_BH]]=1,calendar[[#This Row],[WeekDay]]=1, calendar[[#This Row],[WeekDay]]=7),P4270,P4270+1)</f>
        <v>3026</v>
      </c>
      <c r="R4271">
        <f>IF(OR(calendar[[#This Row],[SP_BH]]=1,calendar[[#This Row],[WeekDay]]=1, calendar[[#This Row],[WeekDay]]=7),P4270,P4270+1)</f>
        <v>3026</v>
      </c>
      <c r="S4271">
        <f>IF(OR(calendar[[#This Row],[PT_BH]]=1,calendar[[#This Row],[WeekDay]]=1, calendar[[#This Row],[WeekDay]]=7),P4270,P4270+1)</f>
        <v>3026</v>
      </c>
    </row>
    <row r="4272" spans="1:19" x14ac:dyDescent="0.25">
      <c r="A4272" s="2">
        <v>47006</v>
      </c>
      <c r="B4272" s="1">
        <f t="shared" si="336"/>
        <v>38</v>
      </c>
      <c r="C4272">
        <f t="shared" si="337"/>
        <v>9</v>
      </c>
      <c r="D4272" t="str">
        <f t="shared" si="338"/>
        <v>September</v>
      </c>
      <c r="E4272">
        <f t="shared" si="339"/>
        <v>2028</v>
      </c>
      <c r="F4272" t="str">
        <f>CONCATENATE(calendar[[#This Row],[Month]],"/",calendar[[#This Row],[Year]])</f>
        <v>9/2028</v>
      </c>
      <c r="G4272">
        <f>WEEKDAY(calendar[[#This Row],[Date]],1)</f>
        <v>1</v>
      </c>
      <c r="H4272" t="str">
        <f>TEXT(calendar[[#This Row],[WeekDay]],"dddd")</f>
        <v>Sunday</v>
      </c>
      <c r="I4272">
        <f>IF((INT(calendar[[#This Row],[Count]]/7)-calendar[[#This Row],[Count]]/7)&lt;0,I4271,I4271+1)</f>
        <v>611</v>
      </c>
      <c r="J4272">
        <f t="shared" si="340"/>
        <v>4270</v>
      </c>
      <c r="K4272">
        <f>IF(calendar[[#This Row],[Month]]&lt;4,1,IF(calendar[[#This Row],[Month]]&lt;7,2,IF(calendar[[#This Row],[Month]]&lt;10,3,4)))</f>
        <v>3</v>
      </c>
      <c r="L4272">
        <f>IFERROR(IF(VLOOKUP(calendar[[#This Row],[Date]],BH!A:A,1,)&lt;&gt;"",1,0),0)</f>
        <v>0</v>
      </c>
      <c r="M4272">
        <f>IFERROR(IF(VLOOKUP(calendar[[#This Row],[Date]],BH!C:C,1,)&lt;&gt;"",1,0),0)</f>
        <v>0</v>
      </c>
      <c r="N4272">
        <f>IFERROR(IF(VLOOKUP(calendar[[#This Row],[Date]],BH!E:E,1,)&lt;&gt;"",1,0),0)</f>
        <v>0</v>
      </c>
      <c r="O4272">
        <f>IFERROR(IF(VLOOKUP(calendar[[#This Row],[Date]],BH!G:G,1,)&lt;&gt;"",1,0),0)</f>
        <v>0</v>
      </c>
      <c r="P4272">
        <f>IF(OR(calendar[[#This Row],[UK_BH]]=1,calendar[[#This Row],[WeekDay]]=1, calendar[[#This Row],[WeekDay]]=7),P4271,P4271+1)</f>
        <v>3026</v>
      </c>
      <c r="Q4272">
        <f>IF(OR(calendar[[#This Row],[FR_BH]]=1,calendar[[#This Row],[WeekDay]]=1, calendar[[#This Row],[WeekDay]]=7),P4271,P4271+1)</f>
        <v>3026</v>
      </c>
      <c r="R4272">
        <f>IF(OR(calendar[[#This Row],[SP_BH]]=1,calendar[[#This Row],[WeekDay]]=1, calendar[[#This Row],[WeekDay]]=7),P4271,P4271+1)</f>
        <v>3026</v>
      </c>
      <c r="S4272">
        <f>IF(OR(calendar[[#This Row],[PT_BH]]=1,calendar[[#This Row],[WeekDay]]=1, calendar[[#This Row],[WeekDay]]=7),P4271,P4271+1)</f>
        <v>3026</v>
      </c>
    </row>
    <row r="4273" spans="1:19" x14ac:dyDescent="0.25">
      <c r="A4273" s="2">
        <v>47007</v>
      </c>
      <c r="B4273" s="1">
        <f t="shared" si="336"/>
        <v>38</v>
      </c>
      <c r="C4273">
        <f t="shared" si="337"/>
        <v>9</v>
      </c>
      <c r="D4273" t="str">
        <f t="shared" si="338"/>
        <v>September</v>
      </c>
      <c r="E4273">
        <f t="shared" si="339"/>
        <v>2028</v>
      </c>
      <c r="F4273" t="str">
        <f>CONCATENATE(calendar[[#This Row],[Month]],"/",calendar[[#This Row],[Year]])</f>
        <v>9/2028</v>
      </c>
      <c r="G4273">
        <f>WEEKDAY(calendar[[#This Row],[Date]],1)</f>
        <v>2</v>
      </c>
      <c r="H4273" t="str">
        <f>TEXT(calendar[[#This Row],[WeekDay]],"dddd")</f>
        <v>Monday</v>
      </c>
      <c r="I4273">
        <f>IF((INT(calendar[[#This Row],[Count]]/7)-calendar[[#This Row],[Count]]/7)&lt;0,I4272,I4272+1)</f>
        <v>611</v>
      </c>
      <c r="J4273">
        <f t="shared" si="340"/>
        <v>4271</v>
      </c>
      <c r="K4273">
        <f>IF(calendar[[#This Row],[Month]]&lt;4,1,IF(calendar[[#This Row],[Month]]&lt;7,2,IF(calendar[[#This Row],[Month]]&lt;10,3,4)))</f>
        <v>3</v>
      </c>
      <c r="L4273">
        <f>IFERROR(IF(VLOOKUP(calendar[[#This Row],[Date]],BH!A:A,1,)&lt;&gt;"",1,0),0)</f>
        <v>0</v>
      </c>
      <c r="M4273">
        <f>IFERROR(IF(VLOOKUP(calendar[[#This Row],[Date]],BH!C:C,1,)&lt;&gt;"",1,0),0)</f>
        <v>0</v>
      </c>
      <c r="N4273">
        <f>IFERROR(IF(VLOOKUP(calendar[[#This Row],[Date]],BH!E:E,1,)&lt;&gt;"",1,0),0)</f>
        <v>0</v>
      </c>
      <c r="O4273">
        <f>IFERROR(IF(VLOOKUP(calendar[[#This Row],[Date]],BH!G:G,1,)&lt;&gt;"",1,0),0)</f>
        <v>0</v>
      </c>
      <c r="P4273">
        <f>IF(OR(calendar[[#This Row],[UK_BH]]=1,calendar[[#This Row],[WeekDay]]=1, calendar[[#This Row],[WeekDay]]=7),P4272,P4272+1)</f>
        <v>3027</v>
      </c>
      <c r="Q4273">
        <f>IF(OR(calendar[[#This Row],[FR_BH]]=1,calendar[[#This Row],[WeekDay]]=1, calendar[[#This Row],[WeekDay]]=7),P4272,P4272+1)</f>
        <v>3027</v>
      </c>
      <c r="R4273">
        <f>IF(OR(calendar[[#This Row],[SP_BH]]=1,calendar[[#This Row],[WeekDay]]=1, calendar[[#This Row],[WeekDay]]=7),P4272,P4272+1)</f>
        <v>3027</v>
      </c>
      <c r="S4273">
        <f>IF(OR(calendar[[#This Row],[PT_BH]]=1,calendar[[#This Row],[WeekDay]]=1, calendar[[#This Row],[WeekDay]]=7),P4272,P4272+1)</f>
        <v>3027</v>
      </c>
    </row>
    <row r="4274" spans="1:19" x14ac:dyDescent="0.25">
      <c r="A4274" s="2">
        <v>47008</v>
      </c>
      <c r="B4274" s="1">
        <f t="shared" si="336"/>
        <v>38</v>
      </c>
      <c r="C4274">
        <f t="shared" si="337"/>
        <v>9</v>
      </c>
      <c r="D4274" t="str">
        <f t="shared" si="338"/>
        <v>September</v>
      </c>
      <c r="E4274">
        <f t="shared" si="339"/>
        <v>2028</v>
      </c>
      <c r="F4274" t="str">
        <f>CONCATENATE(calendar[[#This Row],[Month]],"/",calendar[[#This Row],[Year]])</f>
        <v>9/2028</v>
      </c>
      <c r="G4274">
        <f>WEEKDAY(calendar[[#This Row],[Date]],1)</f>
        <v>3</v>
      </c>
      <c r="H4274" t="str">
        <f>TEXT(calendar[[#This Row],[WeekDay]],"dddd")</f>
        <v>Tuesday</v>
      </c>
      <c r="I4274">
        <f>IF((INT(calendar[[#This Row],[Count]]/7)-calendar[[#This Row],[Count]]/7)&lt;0,I4273,I4273+1)</f>
        <v>611</v>
      </c>
      <c r="J4274">
        <f t="shared" si="340"/>
        <v>4272</v>
      </c>
      <c r="K4274">
        <f>IF(calendar[[#This Row],[Month]]&lt;4,1,IF(calendar[[#This Row],[Month]]&lt;7,2,IF(calendar[[#This Row],[Month]]&lt;10,3,4)))</f>
        <v>3</v>
      </c>
      <c r="L4274">
        <f>IFERROR(IF(VLOOKUP(calendar[[#This Row],[Date]],BH!A:A,1,)&lt;&gt;"",1,0),0)</f>
        <v>0</v>
      </c>
      <c r="M4274">
        <f>IFERROR(IF(VLOOKUP(calendar[[#This Row],[Date]],BH!C:C,1,)&lt;&gt;"",1,0),0)</f>
        <v>0</v>
      </c>
      <c r="N4274">
        <f>IFERROR(IF(VLOOKUP(calendar[[#This Row],[Date]],BH!E:E,1,)&lt;&gt;"",1,0),0)</f>
        <v>0</v>
      </c>
      <c r="O4274">
        <f>IFERROR(IF(VLOOKUP(calendar[[#This Row],[Date]],BH!G:G,1,)&lt;&gt;"",1,0),0)</f>
        <v>0</v>
      </c>
      <c r="P4274">
        <f>IF(OR(calendar[[#This Row],[UK_BH]]=1,calendar[[#This Row],[WeekDay]]=1, calendar[[#This Row],[WeekDay]]=7),P4273,P4273+1)</f>
        <v>3028</v>
      </c>
      <c r="Q4274">
        <f>IF(OR(calendar[[#This Row],[FR_BH]]=1,calendar[[#This Row],[WeekDay]]=1, calendar[[#This Row],[WeekDay]]=7),P4273,P4273+1)</f>
        <v>3028</v>
      </c>
      <c r="R4274">
        <f>IF(OR(calendar[[#This Row],[SP_BH]]=1,calendar[[#This Row],[WeekDay]]=1, calendar[[#This Row],[WeekDay]]=7),P4273,P4273+1)</f>
        <v>3028</v>
      </c>
      <c r="S4274">
        <f>IF(OR(calendar[[#This Row],[PT_BH]]=1,calendar[[#This Row],[WeekDay]]=1, calendar[[#This Row],[WeekDay]]=7),P4273,P4273+1)</f>
        <v>3028</v>
      </c>
    </row>
    <row r="4275" spans="1:19" x14ac:dyDescent="0.25">
      <c r="A4275" s="2">
        <v>47009</v>
      </c>
      <c r="B4275" s="1">
        <f t="shared" si="336"/>
        <v>38</v>
      </c>
      <c r="C4275">
        <f t="shared" si="337"/>
        <v>9</v>
      </c>
      <c r="D4275" t="str">
        <f t="shared" si="338"/>
        <v>September</v>
      </c>
      <c r="E4275">
        <f t="shared" si="339"/>
        <v>2028</v>
      </c>
      <c r="F4275" t="str">
        <f>CONCATENATE(calendar[[#This Row],[Month]],"/",calendar[[#This Row],[Year]])</f>
        <v>9/2028</v>
      </c>
      <c r="G4275">
        <f>WEEKDAY(calendar[[#This Row],[Date]],1)</f>
        <v>4</v>
      </c>
      <c r="H4275" t="str">
        <f>TEXT(calendar[[#This Row],[WeekDay]],"dddd")</f>
        <v>Wednesday</v>
      </c>
      <c r="I4275">
        <f>IF((INT(calendar[[#This Row],[Count]]/7)-calendar[[#This Row],[Count]]/7)&lt;0,I4274,I4274+1)</f>
        <v>611</v>
      </c>
      <c r="J4275">
        <f t="shared" si="340"/>
        <v>4273</v>
      </c>
      <c r="K4275">
        <f>IF(calendar[[#This Row],[Month]]&lt;4,1,IF(calendar[[#This Row],[Month]]&lt;7,2,IF(calendar[[#This Row],[Month]]&lt;10,3,4)))</f>
        <v>3</v>
      </c>
      <c r="L4275">
        <f>IFERROR(IF(VLOOKUP(calendar[[#This Row],[Date]],BH!A:A,1,)&lt;&gt;"",1,0),0)</f>
        <v>0</v>
      </c>
      <c r="M4275">
        <f>IFERROR(IF(VLOOKUP(calendar[[#This Row],[Date]],BH!C:C,1,)&lt;&gt;"",1,0),0)</f>
        <v>0</v>
      </c>
      <c r="N4275">
        <f>IFERROR(IF(VLOOKUP(calendar[[#This Row],[Date]],BH!E:E,1,)&lt;&gt;"",1,0),0)</f>
        <v>0</v>
      </c>
      <c r="O4275">
        <f>IFERROR(IF(VLOOKUP(calendar[[#This Row],[Date]],BH!G:G,1,)&lt;&gt;"",1,0),0)</f>
        <v>0</v>
      </c>
      <c r="P4275">
        <f>IF(OR(calendar[[#This Row],[UK_BH]]=1,calendar[[#This Row],[WeekDay]]=1, calendar[[#This Row],[WeekDay]]=7),P4274,P4274+1)</f>
        <v>3029</v>
      </c>
      <c r="Q4275">
        <f>IF(OR(calendar[[#This Row],[FR_BH]]=1,calendar[[#This Row],[WeekDay]]=1, calendar[[#This Row],[WeekDay]]=7),P4274,P4274+1)</f>
        <v>3029</v>
      </c>
      <c r="R4275">
        <f>IF(OR(calendar[[#This Row],[SP_BH]]=1,calendar[[#This Row],[WeekDay]]=1, calendar[[#This Row],[WeekDay]]=7),P4274,P4274+1)</f>
        <v>3029</v>
      </c>
      <c r="S4275">
        <f>IF(OR(calendar[[#This Row],[PT_BH]]=1,calendar[[#This Row],[WeekDay]]=1, calendar[[#This Row],[WeekDay]]=7),P4274,P4274+1)</f>
        <v>3029</v>
      </c>
    </row>
    <row r="4276" spans="1:19" x14ac:dyDescent="0.25">
      <c r="A4276" s="2">
        <v>47010</v>
      </c>
      <c r="B4276" s="1">
        <f t="shared" si="336"/>
        <v>38</v>
      </c>
      <c r="C4276">
        <f t="shared" si="337"/>
        <v>9</v>
      </c>
      <c r="D4276" t="str">
        <f t="shared" si="338"/>
        <v>September</v>
      </c>
      <c r="E4276">
        <f t="shared" si="339"/>
        <v>2028</v>
      </c>
      <c r="F4276" t="str">
        <f>CONCATENATE(calendar[[#This Row],[Month]],"/",calendar[[#This Row],[Year]])</f>
        <v>9/2028</v>
      </c>
      <c r="G4276">
        <f>WEEKDAY(calendar[[#This Row],[Date]],1)</f>
        <v>5</v>
      </c>
      <c r="H4276" t="str">
        <f>TEXT(calendar[[#This Row],[WeekDay]],"dddd")</f>
        <v>Thursday</v>
      </c>
      <c r="I4276">
        <f>IF((INT(calendar[[#This Row],[Count]]/7)-calendar[[#This Row],[Count]]/7)&lt;0,I4275,I4275+1)</f>
        <v>611</v>
      </c>
      <c r="J4276">
        <f t="shared" si="340"/>
        <v>4274</v>
      </c>
      <c r="K4276">
        <f>IF(calendar[[#This Row],[Month]]&lt;4,1,IF(calendar[[#This Row],[Month]]&lt;7,2,IF(calendar[[#This Row],[Month]]&lt;10,3,4)))</f>
        <v>3</v>
      </c>
      <c r="L4276">
        <f>IFERROR(IF(VLOOKUP(calendar[[#This Row],[Date]],BH!A:A,1,)&lt;&gt;"",1,0),0)</f>
        <v>0</v>
      </c>
      <c r="M4276">
        <f>IFERROR(IF(VLOOKUP(calendar[[#This Row],[Date]],BH!C:C,1,)&lt;&gt;"",1,0),0)</f>
        <v>0</v>
      </c>
      <c r="N4276">
        <f>IFERROR(IF(VLOOKUP(calendar[[#This Row],[Date]],BH!E:E,1,)&lt;&gt;"",1,0),0)</f>
        <v>0</v>
      </c>
      <c r="O4276">
        <f>IFERROR(IF(VLOOKUP(calendar[[#This Row],[Date]],BH!G:G,1,)&lt;&gt;"",1,0),0)</f>
        <v>0</v>
      </c>
      <c r="P4276">
        <f>IF(OR(calendar[[#This Row],[UK_BH]]=1,calendar[[#This Row],[WeekDay]]=1, calendar[[#This Row],[WeekDay]]=7),P4275,P4275+1)</f>
        <v>3030</v>
      </c>
      <c r="Q4276">
        <f>IF(OR(calendar[[#This Row],[FR_BH]]=1,calendar[[#This Row],[WeekDay]]=1, calendar[[#This Row],[WeekDay]]=7),P4275,P4275+1)</f>
        <v>3030</v>
      </c>
      <c r="R4276">
        <f>IF(OR(calendar[[#This Row],[SP_BH]]=1,calendar[[#This Row],[WeekDay]]=1, calendar[[#This Row],[WeekDay]]=7),P4275,P4275+1)</f>
        <v>3030</v>
      </c>
      <c r="S4276">
        <f>IF(OR(calendar[[#This Row],[PT_BH]]=1,calendar[[#This Row],[WeekDay]]=1, calendar[[#This Row],[WeekDay]]=7),P4275,P4275+1)</f>
        <v>3030</v>
      </c>
    </row>
    <row r="4277" spans="1:19" x14ac:dyDescent="0.25">
      <c r="A4277" s="2">
        <v>47011</v>
      </c>
      <c r="B4277" s="1">
        <f t="shared" si="336"/>
        <v>38</v>
      </c>
      <c r="C4277">
        <f t="shared" si="337"/>
        <v>9</v>
      </c>
      <c r="D4277" t="str">
        <f t="shared" si="338"/>
        <v>September</v>
      </c>
      <c r="E4277">
        <f t="shared" si="339"/>
        <v>2028</v>
      </c>
      <c r="F4277" t="str">
        <f>CONCATENATE(calendar[[#This Row],[Month]],"/",calendar[[#This Row],[Year]])</f>
        <v>9/2028</v>
      </c>
      <c r="G4277">
        <f>WEEKDAY(calendar[[#This Row],[Date]],1)</f>
        <v>6</v>
      </c>
      <c r="H4277" t="str">
        <f>TEXT(calendar[[#This Row],[WeekDay]],"dddd")</f>
        <v>Friday</v>
      </c>
      <c r="I4277">
        <f>IF((INT(calendar[[#This Row],[Count]]/7)-calendar[[#This Row],[Count]]/7)&lt;0,I4276,I4276+1)</f>
        <v>611</v>
      </c>
      <c r="J4277">
        <f t="shared" si="340"/>
        <v>4275</v>
      </c>
      <c r="K4277">
        <f>IF(calendar[[#This Row],[Month]]&lt;4,1,IF(calendar[[#This Row],[Month]]&lt;7,2,IF(calendar[[#This Row],[Month]]&lt;10,3,4)))</f>
        <v>3</v>
      </c>
      <c r="L4277">
        <f>IFERROR(IF(VLOOKUP(calendar[[#This Row],[Date]],BH!A:A,1,)&lt;&gt;"",1,0),0)</f>
        <v>0</v>
      </c>
      <c r="M4277">
        <f>IFERROR(IF(VLOOKUP(calendar[[#This Row],[Date]],BH!C:C,1,)&lt;&gt;"",1,0),0)</f>
        <v>0</v>
      </c>
      <c r="N4277">
        <f>IFERROR(IF(VLOOKUP(calendar[[#This Row],[Date]],BH!E:E,1,)&lt;&gt;"",1,0),0)</f>
        <v>0</v>
      </c>
      <c r="O4277">
        <f>IFERROR(IF(VLOOKUP(calendar[[#This Row],[Date]],BH!G:G,1,)&lt;&gt;"",1,0),0)</f>
        <v>0</v>
      </c>
      <c r="P4277">
        <f>IF(OR(calendar[[#This Row],[UK_BH]]=1,calendar[[#This Row],[WeekDay]]=1, calendar[[#This Row],[WeekDay]]=7),P4276,P4276+1)</f>
        <v>3031</v>
      </c>
      <c r="Q4277">
        <f>IF(OR(calendar[[#This Row],[FR_BH]]=1,calendar[[#This Row],[WeekDay]]=1, calendar[[#This Row],[WeekDay]]=7),P4276,P4276+1)</f>
        <v>3031</v>
      </c>
      <c r="R4277">
        <f>IF(OR(calendar[[#This Row],[SP_BH]]=1,calendar[[#This Row],[WeekDay]]=1, calendar[[#This Row],[WeekDay]]=7),P4276,P4276+1)</f>
        <v>3031</v>
      </c>
      <c r="S4277">
        <f>IF(OR(calendar[[#This Row],[PT_BH]]=1,calendar[[#This Row],[WeekDay]]=1, calendar[[#This Row],[WeekDay]]=7),P4276,P4276+1)</f>
        <v>3031</v>
      </c>
    </row>
    <row r="4278" spans="1:19" x14ac:dyDescent="0.25">
      <c r="A4278" s="2">
        <v>47012</v>
      </c>
      <c r="B4278" s="1">
        <f t="shared" si="336"/>
        <v>38</v>
      </c>
      <c r="C4278">
        <f t="shared" si="337"/>
        <v>9</v>
      </c>
      <c r="D4278" t="str">
        <f t="shared" si="338"/>
        <v>September</v>
      </c>
      <c r="E4278">
        <f t="shared" si="339"/>
        <v>2028</v>
      </c>
      <c r="F4278" t="str">
        <f>CONCATENATE(calendar[[#This Row],[Month]],"/",calendar[[#This Row],[Year]])</f>
        <v>9/2028</v>
      </c>
      <c r="G4278">
        <f>WEEKDAY(calendar[[#This Row],[Date]],1)</f>
        <v>7</v>
      </c>
      <c r="H4278" t="str">
        <f>TEXT(calendar[[#This Row],[WeekDay]],"dddd")</f>
        <v>Saturday</v>
      </c>
      <c r="I4278">
        <f>IF((INT(calendar[[#This Row],[Count]]/7)-calendar[[#This Row],[Count]]/7)&lt;0,I4277,I4277+1)</f>
        <v>611</v>
      </c>
      <c r="J4278">
        <f t="shared" si="340"/>
        <v>4276</v>
      </c>
      <c r="K4278">
        <f>IF(calendar[[#This Row],[Month]]&lt;4,1,IF(calendar[[#This Row],[Month]]&lt;7,2,IF(calendar[[#This Row],[Month]]&lt;10,3,4)))</f>
        <v>3</v>
      </c>
      <c r="L4278">
        <f>IFERROR(IF(VLOOKUP(calendar[[#This Row],[Date]],BH!A:A,1,)&lt;&gt;"",1,0),0)</f>
        <v>0</v>
      </c>
      <c r="M4278">
        <f>IFERROR(IF(VLOOKUP(calendar[[#This Row],[Date]],BH!C:C,1,)&lt;&gt;"",1,0),0)</f>
        <v>0</v>
      </c>
      <c r="N4278">
        <f>IFERROR(IF(VLOOKUP(calendar[[#This Row],[Date]],BH!E:E,1,)&lt;&gt;"",1,0),0)</f>
        <v>0</v>
      </c>
      <c r="O4278">
        <f>IFERROR(IF(VLOOKUP(calendar[[#This Row],[Date]],BH!G:G,1,)&lt;&gt;"",1,0),0)</f>
        <v>0</v>
      </c>
      <c r="P4278">
        <f>IF(OR(calendar[[#This Row],[UK_BH]]=1,calendar[[#This Row],[WeekDay]]=1, calendar[[#This Row],[WeekDay]]=7),P4277,P4277+1)</f>
        <v>3031</v>
      </c>
      <c r="Q4278">
        <f>IF(OR(calendar[[#This Row],[FR_BH]]=1,calendar[[#This Row],[WeekDay]]=1, calendar[[#This Row],[WeekDay]]=7),P4277,P4277+1)</f>
        <v>3031</v>
      </c>
      <c r="R4278">
        <f>IF(OR(calendar[[#This Row],[SP_BH]]=1,calendar[[#This Row],[WeekDay]]=1, calendar[[#This Row],[WeekDay]]=7),P4277,P4277+1)</f>
        <v>3031</v>
      </c>
      <c r="S4278">
        <f>IF(OR(calendar[[#This Row],[PT_BH]]=1,calendar[[#This Row],[WeekDay]]=1, calendar[[#This Row],[WeekDay]]=7),P4277,P4277+1)</f>
        <v>3031</v>
      </c>
    </row>
    <row r="4279" spans="1:19" x14ac:dyDescent="0.25">
      <c r="A4279" s="2">
        <v>47013</v>
      </c>
      <c r="B4279" s="1">
        <f t="shared" si="336"/>
        <v>39</v>
      </c>
      <c r="C4279">
        <f t="shared" si="337"/>
        <v>9</v>
      </c>
      <c r="D4279" t="str">
        <f t="shared" si="338"/>
        <v>September</v>
      </c>
      <c r="E4279">
        <f t="shared" si="339"/>
        <v>2028</v>
      </c>
      <c r="F4279" t="str">
        <f>CONCATENATE(calendar[[#This Row],[Month]],"/",calendar[[#This Row],[Year]])</f>
        <v>9/2028</v>
      </c>
      <c r="G4279">
        <f>WEEKDAY(calendar[[#This Row],[Date]],1)</f>
        <v>1</v>
      </c>
      <c r="H4279" t="str">
        <f>TEXT(calendar[[#This Row],[WeekDay]],"dddd")</f>
        <v>Sunday</v>
      </c>
      <c r="I4279">
        <f>IF((INT(calendar[[#This Row],[Count]]/7)-calendar[[#This Row],[Count]]/7)&lt;0,I4278,I4278+1)</f>
        <v>612</v>
      </c>
      <c r="J4279">
        <f t="shared" si="340"/>
        <v>4277</v>
      </c>
      <c r="K4279">
        <f>IF(calendar[[#This Row],[Month]]&lt;4,1,IF(calendar[[#This Row],[Month]]&lt;7,2,IF(calendar[[#This Row],[Month]]&lt;10,3,4)))</f>
        <v>3</v>
      </c>
      <c r="L4279">
        <f>IFERROR(IF(VLOOKUP(calendar[[#This Row],[Date]],BH!A:A,1,)&lt;&gt;"",1,0),0)</f>
        <v>0</v>
      </c>
      <c r="M4279">
        <f>IFERROR(IF(VLOOKUP(calendar[[#This Row],[Date]],BH!C:C,1,)&lt;&gt;"",1,0),0)</f>
        <v>0</v>
      </c>
      <c r="N4279">
        <f>IFERROR(IF(VLOOKUP(calendar[[#This Row],[Date]],BH!E:E,1,)&lt;&gt;"",1,0),0)</f>
        <v>0</v>
      </c>
      <c r="O4279">
        <f>IFERROR(IF(VLOOKUP(calendar[[#This Row],[Date]],BH!G:G,1,)&lt;&gt;"",1,0),0)</f>
        <v>0</v>
      </c>
      <c r="P4279">
        <f>IF(OR(calendar[[#This Row],[UK_BH]]=1,calendar[[#This Row],[WeekDay]]=1, calendar[[#This Row],[WeekDay]]=7),P4278,P4278+1)</f>
        <v>3031</v>
      </c>
      <c r="Q4279">
        <f>IF(OR(calendar[[#This Row],[FR_BH]]=1,calendar[[#This Row],[WeekDay]]=1, calendar[[#This Row],[WeekDay]]=7),P4278,P4278+1)</f>
        <v>3031</v>
      </c>
      <c r="R4279">
        <f>IF(OR(calendar[[#This Row],[SP_BH]]=1,calendar[[#This Row],[WeekDay]]=1, calendar[[#This Row],[WeekDay]]=7),P4278,P4278+1)</f>
        <v>3031</v>
      </c>
      <c r="S4279">
        <f>IF(OR(calendar[[#This Row],[PT_BH]]=1,calendar[[#This Row],[WeekDay]]=1, calendar[[#This Row],[WeekDay]]=7),P4278,P4278+1)</f>
        <v>3031</v>
      </c>
    </row>
    <row r="4280" spans="1:19" x14ac:dyDescent="0.25">
      <c r="A4280" s="2">
        <v>47014</v>
      </c>
      <c r="B4280" s="1">
        <f t="shared" si="336"/>
        <v>39</v>
      </c>
      <c r="C4280">
        <f t="shared" si="337"/>
        <v>9</v>
      </c>
      <c r="D4280" t="str">
        <f t="shared" si="338"/>
        <v>September</v>
      </c>
      <c r="E4280">
        <f t="shared" si="339"/>
        <v>2028</v>
      </c>
      <c r="F4280" t="str">
        <f>CONCATENATE(calendar[[#This Row],[Month]],"/",calendar[[#This Row],[Year]])</f>
        <v>9/2028</v>
      </c>
      <c r="G4280">
        <f>WEEKDAY(calendar[[#This Row],[Date]],1)</f>
        <v>2</v>
      </c>
      <c r="H4280" t="str">
        <f>TEXT(calendar[[#This Row],[WeekDay]],"dddd")</f>
        <v>Monday</v>
      </c>
      <c r="I4280">
        <f>IF((INT(calendar[[#This Row],[Count]]/7)-calendar[[#This Row],[Count]]/7)&lt;0,I4279,I4279+1)</f>
        <v>612</v>
      </c>
      <c r="J4280">
        <f t="shared" si="340"/>
        <v>4278</v>
      </c>
      <c r="K4280">
        <f>IF(calendar[[#This Row],[Month]]&lt;4,1,IF(calendar[[#This Row],[Month]]&lt;7,2,IF(calendar[[#This Row],[Month]]&lt;10,3,4)))</f>
        <v>3</v>
      </c>
      <c r="L4280">
        <f>IFERROR(IF(VLOOKUP(calendar[[#This Row],[Date]],BH!A:A,1,)&lt;&gt;"",1,0),0)</f>
        <v>0</v>
      </c>
      <c r="M4280">
        <f>IFERROR(IF(VLOOKUP(calendar[[#This Row],[Date]],BH!C:C,1,)&lt;&gt;"",1,0),0)</f>
        <v>0</v>
      </c>
      <c r="N4280">
        <f>IFERROR(IF(VLOOKUP(calendar[[#This Row],[Date]],BH!E:E,1,)&lt;&gt;"",1,0),0)</f>
        <v>0</v>
      </c>
      <c r="O4280">
        <f>IFERROR(IF(VLOOKUP(calendar[[#This Row],[Date]],BH!G:G,1,)&lt;&gt;"",1,0),0)</f>
        <v>0</v>
      </c>
      <c r="P4280">
        <f>IF(OR(calendar[[#This Row],[UK_BH]]=1,calendar[[#This Row],[WeekDay]]=1, calendar[[#This Row],[WeekDay]]=7),P4279,P4279+1)</f>
        <v>3032</v>
      </c>
      <c r="Q4280">
        <f>IF(OR(calendar[[#This Row],[FR_BH]]=1,calendar[[#This Row],[WeekDay]]=1, calendar[[#This Row],[WeekDay]]=7),P4279,P4279+1)</f>
        <v>3032</v>
      </c>
      <c r="R4280">
        <f>IF(OR(calendar[[#This Row],[SP_BH]]=1,calendar[[#This Row],[WeekDay]]=1, calendar[[#This Row],[WeekDay]]=7),P4279,P4279+1)</f>
        <v>3032</v>
      </c>
      <c r="S4280">
        <f>IF(OR(calendar[[#This Row],[PT_BH]]=1,calendar[[#This Row],[WeekDay]]=1, calendar[[#This Row],[WeekDay]]=7),P4279,P4279+1)</f>
        <v>3032</v>
      </c>
    </row>
    <row r="4281" spans="1:19" x14ac:dyDescent="0.25">
      <c r="A4281" s="2">
        <v>47015</v>
      </c>
      <c r="B4281" s="1">
        <f t="shared" si="336"/>
        <v>39</v>
      </c>
      <c r="C4281">
        <f t="shared" si="337"/>
        <v>9</v>
      </c>
      <c r="D4281" t="str">
        <f t="shared" si="338"/>
        <v>September</v>
      </c>
      <c r="E4281">
        <f t="shared" si="339"/>
        <v>2028</v>
      </c>
      <c r="F4281" t="str">
        <f>CONCATENATE(calendar[[#This Row],[Month]],"/",calendar[[#This Row],[Year]])</f>
        <v>9/2028</v>
      </c>
      <c r="G4281">
        <f>WEEKDAY(calendar[[#This Row],[Date]],1)</f>
        <v>3</v>
      </c>
      <c r="H4281" t="str">
        <f>TEXT(calendar[[#This Row],[WeekDay]],"dddd")</f>
        <v>Tuesday</v>
      </c>
      <c r="I4281">
        <f>IF((INT(calendar[[#This Row],[Count]]/7)-calendar[[#This Row],[Count]]/7)&lt;0,I4280,I4280+1)</f>
        <v>612</v>
      </c>
      <c r="J4281">
        <f t="shared" si="340"/>
        <v>4279</v>
      </c>
      <c r="K4281">
        <f>IF(calendar[[#This Row],[Month]]&lt;4,1,IF(calendar[[#This Row],[Month]]&lt;7,2,IF(calendar[[#This Row],[Month]]&lt;10,3,4)))</f>
        <v>3</v>
      </c>
      <c r="L4281">
        <f>IFERROR(IF(VLOOKUP(calendar[[#This Row],[Date]],BH!A:A,1,)&lt;&gt;"",1,0),0)</f>
        <v>0</v>
      </c>
      <c r="M4281">
        <f>IFERROR(IF(VLOOKUP(calendar[[#This Row],[Date]],BH!C:C,1,)&lt;&gt;"",1,0),0)</f>
        <v>0</v>
      </c>
      <c r="N4281">
        <f>IFERROR(IF(VLOOKUP(calendar[[#This Row],[Date]],BH!E:E,1,)&lt;&gt;"",1,0),0)</f>
        <v>0</v>
      </c>
      <c r="O4281">
        <f>IFERROR(IF(VLOOKUP(calendar[[#This Row],[Date]],BH!G:G,1,)&lt;&gt;"",1,0),0)</f>
        <v>0</v>
      </c>
      <c r="P4281">
        <f>IF(OR(calendar[[#This Row],[UK_BH]]=1,calendar[[#This Row],[WeekDay]]=1, calendar[[#This Row],[WeekDay]]=7),P4280,P4280+1)</f>
        <v>3033</v>
      </c>
      <c r="Q4281">
        <f>IF(OR(calendar[[#This Row],[FR_BH]]=1,calendar[[#This Row],[WeekDay]]=1, calendar[[#This Row],[WeekDay]]=7),P4280,P4280+1)</f>
        <v>3033</v>
      </c>
      <c r="R4281">
        <f>IF(OR(calendar[[#This Row],[SP_BH]]=1,calendar[[#This Row],[WeekDay]]=1, calendar[[#This Row],[WeekDay]]=7),P4280,P4280+1)</f>
        <v>3033</v>
      </c>
      <c r="S4281">
        <f>IF(OR(calendar[[#This Row],[PT_BH]]=1,calendar[[#This Row],[WeekDay]]=1, calendar[[#This Row],[WeekDay]]=7),P4280,P4280+1)</f>
        <v>3033</v>
      </c>
    </row>
    <row r="4282" spans="1:19" x14ac:dyDescent="0.25">
      <c r="A4282" s="2">
        <v>47016</v>
      </c>
      <c r="B4282" s="1">
        <f t="shared" si="336"/>
        <v>39</v>
      </c>
      <c r="C4282">
        <f t="shared" si="337"/>
        <v>9</v>
      </c>
      <c r="D4282" t="str">
        <f t="shared" si="338"/>
        <v>September</v>
      </c>
      <c r="E4282">
        <f t="shared" si="339"/>
        <v>2028</v>
      </c>
      <c r="F4282" t="str">
        <f>CONCATENATE(calendar[[#This Row],[Month]],"/",calendar[[#This Row],[Year]])</f>
        <v>9/2028</v>
      </c>
      <c r="G4282">
        <f>WEEKDAY(calendar[[#This Row],[Date]],1)</f>
        <v>4</v>
      </c>
      <c r="H4282" t="str">
        <f>TEXT(calendar[[#This Row],[WeekDay]],"dddd")</f>
        <v>Wednesday</v>
      </c>
      <c r="I4282">
        <f>IF((INT(calendar[[#This Row],[Count]]/7)-calendar[[#This Row],[Count]]/7)&lt;0,I4281,I4281+1)</f>
        <v>612</v>
      </c>
      <c r="J4282">
        <f t="shared" si="340"/>
        <v>4280</v>
      </c>
      <c r="K4282">
        <f>IF(calendar[[#This Row],[Month]]&lt;4,1,IF(calendar[[#This Row],[Month]]&lt;7,2,IF(calendar[[#This Row],[Month]]&lt;10,3,4)))</f>
        <v>3</v>
      </c>
      <c r="L4282">
        <f>IFERROR(IF(VLOOKUP(calendar[[#This Row],[Date]],BH!A:A,1,)&lt;&gt;"",1,0),0)</f>
        <v>0</v>
      </c>
      <c r="M4282">
        <f>IFERROR(IF(VLOOKUP(calendar[[#This Row],[Date]],BH!C:C,1,)&lt;&gt;"",1,0),0)</f>
        <v>0</v>
      </c>
      <c r="N4282">
        <f>IFERROR(IF(VLOOKUP(calendar[[#This Row],[Date]],BH!E:E,1,)&lt;&gt;"",1,0),0)</f>
        <v>0</v>
      </c>
      <c r="O4282">
        <f>IFERROR(IF(VLOOKUP(calendar[[#This Row],[Date]],BH!G:G,1,)&lt;&gt;"",1,0),0)</f>
        <v>0</v>
      </c>
      <c r="P4282">
        <f>IF(OR(calendar[[#This Row],[UK_BH]]=1,calendar[[#This Row],[WeekDay]]=1, calendar[[#This Row],[WeekDay]]=7),P4281,P4281+1)</f>
        <v>3034</v>
      </c>
      <c r="Q4282">
        <f>IF(OR(calendar[[#This Row],[FR_BH]]=1,calendar[[#This Row],[WeekDay]]=1, calendar[[#This Row],[WeekDay]]=7),P4281,P4281+1)</f>
        <v>3034</v>
      </c>
      <c r="R4282">
        <f>IF(OR(calendar[[#This Row],[SP_BH]]=1,calendar[[#This Row],[WeekDay]]=1, calendar[[#This Row],[WeekDay]]=7),P4281,P4281+1)</f>
        <v>3034</v>
      </c>
      <c r="S4282">
        <f>IF(OR(calendar[[#This Row],[PT_BH]]=1,calendar[[#This Row],[WeekDay]]=1, calendar[[#This Row],[WeekDay]]=7),P4281,P4281+1)</f>
        <v>3034</v>
      </c>
    </row>
    <row r="4283" spans="1:19" x14ac:dyDescent="0.25">
      <c r="A4283" s="2">
        <v>47017</v>
      </c>
      <c r="B4283" s="1">
        <f t="shared" si="336"/>
        <v>39</v>
      </c>
      <c r="C4283">
        <f t="shared" si="337"/>
        <v>9</v>
      </c>
      <c r="D4283" t="str">
        <f t="shared" si="338"/>
        <v>September</v>
      </c>
      <c r="E4283">
        <f t="shared" si="339"/>
        <v>2028</v>
      </c>
      <c r="F4283" t="str">
        <f>CONCATENATE(calendar[[#This Row],[Month]],"/",calendar[[#This Row],[Year]])</f>
        <v>9/2028</v>
      </c>
      <c r="G4283">
        <f>WEEKDAY(calendar[[#This Row],[Date]],1)</f>
        <v>5</v>
      </c>
      <c r="H4283" t="str">
        <f>TEXT(calendar[[#This Row],[WeekDay]],"dddd")</f>
        <v>Thursday</v>
      </c>
      <c r="I4283">
        <f>IF((INT(calendar[[#This Row],[Count]]/7)-calendar[[#This Row],[Count]]/7)&lt;0,I4282,I4282+1)</f>
        <v>612</v>
      </c>
      <c r="J4283">
        <f t="shared" si="340"/>
        <v>4281</v>
      </c>
      <c r="K4283">
        <f>IF(calendar[[#This Row],[Month]]&lt;4,1,IF(calendar[[#This Row],[Month]]&lt;7,2,IF(calendar[[#This Row],[Month]]&lt;10,3,4)))</f>
        <v>3</v>
      </c>
      <c r="L4283">
        <f>IFERROR(IF(VLOOKUP(calendar[[#This Row],[Date]],BH!A:A,1,)&lt;&gt;"",1,0),0)</f>
        <v>0</v>
      </c>
      <c r="M4283">
        <f>IFERROR(IF(VLOOKUP(calendar[[#This Row],[Date]],BH!C:C,1,)&lt;&gt;"",1,0),0)</f>
        <v>0</v>
      </c>
      <c r="N4283">
        <f>IFERROR(IF(VLOOKUP(calendar[[#This Row],[Date]],BH!E:E,1,)&lt;&gt;"",1,0),0)</f>
        <v>0</v>
      </c>
      <c r="O4283">
        <f>IFERROR(IF(VLOOKUP(calendar[[#This Row],[Date]],BH!G:G,1,)&lt;&gt;"",1,0),0)</f>
        <v>0</v>
      </c>
      <c r="P4283">
        <f>IF(OR(calendar[[#This Row],[UK_BH]]=1,calendar[[#This Row],[WeekDay]]=1, calendar[[#This Row],[WeekDay]]=7),P4282,P4282+1)</f>
        <v>3035</v>
      </c>
      <c r="Q4283">
        <f>IF(OR(calendar[[#This Row],[FR_BH]]=1,calendar[[#This Row],[WeekDay]]=1, calendar[[#This Row],[WeekDay]]=7),P4282,P4282+1)</f>
        <v>3035</v>
      </c>
      <c r="R4283">
        <f>IF(OR(calendar[[#This Row],[SP_BH]]=1,calendar[[#This Row],[WeekDay]]=1, calendar[[#This Row],[WeekDay]]=7),P4282,P4282+1)</f>
        <v>3035</v>
      </c>
      <c r="S4283">
        <f>IF(OR(calendar[[#This Row],[PT_BH]]=1,calendar[[#This Row],[WeekDay]]=1, calendar[[#This Row],[WeekDay]]=7),P4282,P4282+1)</f>
        <v>3035</v>
      </c>
    </row>
    <row r="4284" spans="1:19" x14ac:dyDescent="0.25">
      <c r="A4284" s="2">
        <v>47018</v>
      </c>
      <c r="B4284" s="1">
        <f t="shared" si="336"/>
        <v>39</v>
      </c>
      <c r="C4284">
        <f t="shared" si="337"/>
        <v>9</v>
      </c>
      <c r="D4284" t="str">
        <f t="shared" si="338"/>
        <v>September</v>
      </c>
      <c r="E4284">
        <f t="shared" si="339"/>
        <v>2028</v>
      </c>
      <c r="F4284" t="str">
        <f>CONCATENATE(calendar[[#This Row],[Month]],"/",calendar[[#This Row],[Year]])</f>
        <v>9/2028</v>
      </c>
      <c r="G4284">
        <f>WEEKDAY(calendar[[#This Row],[Date]],1)</f>
        <v>6</v>
      </c>
      <c r="H4284" t="str">
        <f>TEXT(calendar[[#This Row],[WeekDay]],"dddd")</f>
        <v>Friday</v>
      </c>
      <c r="I4284">
        <f>IF((INT(calendar[[#This Row],[Count]]/7)-calendar[[#This Row],[Count]]/7)&lt;0,I4283,I4283+1)</f>
        <v>612</v>
      </c>
      <c r="J4284">
        <f t="shared" si="340"/>
        <v>4282</v>
      </c>
      <c r="K4284">
        <f>IF(calendar[[#This Row],[Month]]&lt;4,1,IF(calendar[[#This Row],[Month]]&lt;7,2,IF(calendar[[#This Row],[Month]]&lt;10,3,4)))</f>
        <v>3</v>
      </c>
      <c r="L4284">
        <f>IFERROR(IF(VLOOKUP(calendar[[#This Row],[Date]],BH!A:A,1,)&lt;&gt;"",1,0),0)</f>
        <v>0</v>
      </c>
      <c r="M4284">
        <f>IFERROR(IF(VLOOKUP(calendar[[#This Row],[Date]],BH!C:C,1,)&lt;&gt;"",1,0),0)</f>
        <v>0</v>
      </c>
      <c r="N4284">
        <f>IFERROR(IF(VLOOKUP(calendar[[#This Row],[Date]],BH!E:E,1,)&lt;&gt;"",1,0),0)</f>
        <v>0</v>
      </c>
      <c r="O4284">
        <f>IFERROR(IF(VLOOKUP(calendar[[#This Row],[Date]],BH!G:G,1,)&lt;&gt;"",1,0),0)</f>
        <v>0</v>
      </c>
      <c r="P4284">
        <f>IF(OR(calendar[[#This Row],[UK_BH]]=1,calendar[[#This Row],[WeekDay]]=1, calendar[[#This Row],[WeekDay]]=7),P4283,P4283+1)</f>
        <v>3036</v>
      </c>
      <c r="Q4284">
        <f>IF(OR(calendar[[#This Row],[FR_BH]]=1,calendar[[#This Row],[WeekDay]]=1, calendar[[#This Row],[WeekDay]]=7),P4283,P4283+1)</f>
        <v>3036</v>
      </c>
      <c r="R4284">
        <f>IF(OR(calendar[[#This Row],[SP_BH]]=1,calendar[[#This Row],[WeekDay]]=1, calendar[[#This Row],[WeekDay]]=7),P4283,P4283+1)</f>
        <v>3036</v>
      </c>
      <c r="S4284">
        <f>IF(OR(calendar[[#This Row],[PT_BH]]=1,calendar[[#This Row],[WeekDay]]=1, calendar[[#This Row],[WeekDay]]=7),P4283,P4283+1)</f>
        <v>3036</v>
      </c>
    </row>
    <row r="4285" spans="1:19" x14ac:dyDescent="0.25">
      <c r="A4285" s="2">
        <v>47019</v>
      </c>
      <c r="B4285" s="1">
        <f t="shared" si="336"/>
        <v>39</v>
      </c>
      <c r="C4285">
        <f t="shared" si="337"/>
        <v>9</v>
      </c>
      <c r="D4285" t="str">
        <f t="shared" si="338"/>
        <v>September</v>
      </c>
      <c r="E4285">
        <f t="shared" si="339"/>
        <v>2028</v>
      </c>
      <c r="F4285" t="str">
        <f>CONCATENATE(calendar[[#This Row],[Month]],"/",calendar[[#This Row],[Year]])</f>
        <v>9/2028</v>
      </c>
      <c r="G4285">
        <f>WEEKDAY(calendar[[#This Row],[Date]],1)</f>
        <v>7</v>
      </c>
      <c r="H4285" t="str">
        <f>TEXT(calendar[[#This Row],[WeekDay]],"dddd")</f>
        <v>Saturday</v>
      </c>
      <c r="I4285">
        <f>IF((INT(calendar[[#This Row],[Count]]/7)-calendar[[#This Row],[Count]]/7)&lt;0,I4284,I4284+1)</f>
        <v>612</v>
      </c>
      <c r="J4285">
        <f t="shared" si="340"/>
        <v>4283</v>
      </c>
      <c r="K4285">
        <f>IF(calendar[[#This Row],[Month]]&lt;4,1,IF(calendar[[#This Row],[Month]]&lt;7,2,IF(calendar[[#This Row],[Month]]&lt;10,3,4)))</f>
        <v>3</v>
      </c>
      <c r="L4285">
        <f>IFERROR(IF(VLOOKUP(calendar[[#This Row],[Date]],BH!A:A,1,)&lt;&gt;"",1,0),0)</f>
        <v>0</v>
      </c>
      <c r="M4285">
        <f>IFERROR(IF(VLOOKUP(calendar[[#This Row],[Date]],BH!C:C,1,)&lt;&gt;"",1,0),0)</f>
        <v>0</v>
      </c>
      <c r="N4285">
        <f>IFERROR(IF(VLOOKUP(calendar[[#This Row],[Date]],BH!E:E,1,)&lt;&gt;"",1,0),0)</f>
        <v>0</v>
      </c>
      <c r="O4285">
        <f>IFERROR(IF(VLOOKUP(calendar[[#This Row],[Date]],BH!G:G,1,)&lt;&gt;"",1,0),0)</f>
        <v>0</v>
      </c>
      <c r="P4285">
        <f>IF(OR(calendar[[#This Row],[UK_BH]]=1,calendar[[#This Row],[WeekDay]]=1, calendar[[#This Row],[WeekDay]]=7),P4284,P4284+1)</f>
        <v>3036</v>
      </c>
      <c r="Q4285">
        <f>IF(OR(calendar[[#This Row],[FR_BH]]=1,calendar[[#This Row],[WeekDay]]=1, calendar[[#This Row],[WeekDay]]=7),P4284,P4284+1)</f>
        <v>3036</v>
      </c>
      <c r="R4285">
        <f>IF(OR(calendar[[#This Row],[SP_BH]]=1,calendar[[#This Row],[WeekDay]]=1, calendar[[#This Row],[WeekDay]]=7),P4284,P4284+1)</f>
        <v>3036</v>
      </c>
      <c r="S4285">
        <f>IF(OR(calendar[[#This Row],[PT_BH]]=1,calendar[[#This Row],[WeekDay]]=1, calendar[[#This Row],[WeekDay]]=7),P4284,P4284+1)</f>
        <v>3036</v>
      </c>
    </row>
    <row r="4286" spans="1:19" x14ac:dyDescent="0.25">
      <c r="A4286" s="2">
        <v>47020</v>
      </c>
      <c r="B4286" s="1">
        <f t="shared" si="336"/>
        <v>40</v>
      </c>
      <c r="C4286">
        <f t="shared" si="337"/>
        <v>9</v>
      </c>
      <c r="D4286" t="str">
        <f t="shared" si="338"/>
        <v>September</v>
      </c>
      <c r="E4286">
        <f t="shared" si="339"/>
        <v>2028</v>
      </c>
      <c r="F4286" t="str">
        <f>CONCATENATE(calendar[[#This Row],[Month]],"/",calendar[[#This Row],[Year]])</f>
        <v>9/2028</v>
      </c>
      <c r="G4286">
        <f>WEEKDAY(calendar[[#This Row],[Date]],1)</f>
        <v>1</v>
      </c>
      <c r="H4286" t="str">
        <f>TEXT(calendar[[#This Row],[WeekDay]],"dddd")</f>
        <v>Sunday</v>
      </c>
      <c r="I4286">
        <f>IF((INT(calendar[[#This Row],[Count]]/7)-calendar[[#This Row],[Count]]/7)&lt;0,I4285,I4285+1)</f>
        <v>613</v>
      </c>
      <c r="J4286">
        <f t="shared" si="340"/>
        <v>4284</v>
      </c>
      <c r="K4286">
        <f>IF(calendar[[#This Row],[Month]]&lt;4,1,IF(calendar[[#This Row],[Month]]&lt;7,2,IF(calendar[[#This Row],[Month]]&lt;10,3,4)))</f>
        <v>3</v>
      </c>
      <c r="L4286">
        <f>IFERROR(IF(VLOOKUP(calendar[[#This Row],[Date]],BH!A:A,1,)&lt;&gt;"",1,0),0)</f>
        <v>0</v>
      </c>
      <c r="M4286">
        <f>IFERROR(IF(VLOOKUP(calendar[[#This Row],[Date]],BH!C:C,1,)&lt;&gt;"",1,0),0)</f>
        <v>0</v>
      </c>
      <c r="N4286">
        <f>IFERROR(IF(VLOOKUP(calendar[[#This Row],[Date]],BH!E:E,1,)&lt;&gt;"",1,0),0)</f>
        <v>0</v>
      </c>
      <c r="O4286">
        <f>IFERROR(IF(VLOOKUP(calendar[[#This Row],[Date]],BH!G:G,1,)&lt;&gt;"",1,0),0)</f>
        <v>0</v>
      </c>
      <c r="P4286">
        <f>IF(OR(calendar[[#This Row],[UK_BH]]=1,calendar[[#This Row],[WeekDay]]=1, calendar[[#This Row],[WeekDay]]=7),P4285,P4285+1)</f>
        <v>3036</v>
      </c>
      <c r="Q4286">
        <f>IF(OR(calendar[[#This Row],[FR_BH]]=1,calendar[[#This Row],[WeekDay]]=1, calendar[[#This Row],[WeekDay]]=7),P4285,P4285+1)</f>
        <v>3036</v>
      </c>
      <c r="R4286">
        <f>IF(OR(calendar[[#This Row],[SP_BH]]=1,calendar[[#This Row],[WeekDay]]=1, calendar[[#This Row],[WeekDay]]=7),P4285,P4285+1)</f>
        <v>3036</v>
      </c>
      <c r="S4286">
        <f>IF(OR(calendar[[#This Row],[PT_BH]]=1,calendar[[#This Row],[WeekDay]]=1, calendar[[#This Row],[WeekDay]]=7),P4285,P4285+1)</f>
        <v>3036</v>
      </c>
    </row>
    <row r="4287" spans="1:19" x14ac:dyDescent="0.25">
      <c r="A4287" s="2">
        <v>47021</v>
      </c>
      <c r="B4287" s="1">
        <f t="shared" si="336"/>
        <v>40</v>
      </c>
      <c r="C4287">
        <f t="shared" si="337"/>
        <v>9</v>
      </c>
      <c r="D4287" t="str">
        <f t="shared" si="338"/>
        <v>September</v>
      </c>
      <c r="E4287">
        <f t="shared" si="339"/>
        <v>2028</v>
      </c>
      <c r="F4287" t="str">
        <f>CONCATENATE(calendar[[#This Row],[Month]],"/",calendar[[#This Row],[Year]])</f>
        <v>9/2028</v>
      </c>
      <c r="G4287">
        <f>WEEKDAY(calendar[[#This Row],[Date]],1)</f>
        <v>2</v>
      </c>
      <c r="H4287" t="str">
        <f>TEXT(calendar[[#This Row],[WeekDay]],"dddd")</f>
        <v>Monday</v>
      </c>
      <c r="I4287">
        <f>IF((INT(calendar[[#This Row],[Count]]/7)-calendar[[#This Row],[Count]]/7)&lt;0,I4286,I4286+1)</f>
        <v>613</v>
      </c>
      <c r="J4287">
        <f t="shared" si="340"/>
        <v>4285</v>
      </c>
      <c r="K4287">
        <f>IF(calendar[[#This Row],[Month]]&lt;4,1,IF(calendar[[#This Row],[Month]]&lt;7,2,IF(calendar[[#This Row],[Month]]&lt;10,3,4)))</f>
        <v>3</v>
      </c>
      <c r="L4287">
        <f>IFERROR(IF(VLOOKUP(calendar[[#This Row],[Date]],BH!A:A,1,)&lt;&gt;"",1,0),0)</f>
        <v>0</v>
      </c>
      <c r="M4287">
        <f>IFERROR(IF(VLOOKUP(calendar[[#This Row],[Date]],BH!C:C,1,)&lt;&gt;"",1,0),0)</f>
        <v>0</v>
      </c>
      <c r="N4287">
        <f>IFERROR(IF(VLOOKUP(calendar[[#This Row],[Date]],BH!E:E,1,)&lt;&gt;"",1,0),0)</f>
        <v>0</v>
      </c>
      <c r="O4287">
        <f>IFERROR(IF(VLOOKUP(calendar[[#This Row],[Date]],BH!G:G,1,)&lt;&gt;"",1,0),0)</f>
        <v>0</v>
      </c>
      <c r="P4287">
        <f>IF(OR(calendar[[#This Row],[UK_BH]]=1,calendar[[#This Row],[WeekDay]]=1, calendar[[#This Row],[WeekDay]]=7),P4286,P4286+1)</f>
        <v>3037</v>
      </c>
      <c r="Q4287">
        <f>IF(OR(calendar[[#This Row],[FR_BH]]=1,calendar[[#This Row],[WeekDay]]=1, calendar[[#This Row],[WeekDay]]=7),P4286,P4286+1)</f>
        <v>3037</v>
      </c>
      <c r="R4287">
        <f>IF(OR(calendar[[#This Row],[SP_BH]]=1,calendar[[#This Row],[WeekDay]]=1, calendar[[#This Row],[WeekDay]]=7),P4286,P4286+1)</f>
        <v>3037</v>
      </c>
      <c r="S4287">
        <f>IF(OR(calendar[[#This Row],[PT_BH]]=1,calendar[[#This Row],[WeekDay]]=1, calendar[[#This Row],[WeekDay]]=7),P4286,P4286+1)</f>
        <v>3037</v>
      </c>
    </row>
    <row r="4288" spans="1:19" x14ac:dyDescent="0.25">
      <c r="A4288" s="2">
        <v>47022</v>
      </c>
      <c r="B4288" s="1">
        <f t="shared" si="336"/>
        <v>40</v>
      </c>
      <c r="C4288">
        <f t="shared" si="337"/>
        <v>9</v>
      </c>
      <c r="D4288" t="str">
        <f t="shared" si="338"/>
        <v>September</v>
      </c>
      <c r="E4288">
        <f t="shared" si="339"/>
        <v>2028</v>
      </c>
      <c r="F4288" t="str">
        <f>CONCATENATE(calendar[[#This Row],[Month]],"/",calendar[[#This Row],[Year]])</f>
        <v>9/2028</v>
      </c>
      <c r="G4288">
        <f>WEEKDAY(calendar[[#This Row],[Date]],1)</f>
        <v>3</v>
      </c>
      <c r="H4288" t="str">
        <f>TEXT(calendar[[#This Row],[WeekDay]],"dddd")</f>
        <v>Tuesday</v>
      </c>
      <c r="I4288">
        <f>IF((INT(calendar[[#This Row],[Count]]/7)-calendar[[#This Row],[Count]]/7)&lt;0,I4287,I4287+1)</f>
        <v>613</v>
      </c>
      <c r="J4288">
        <f t="shared" si="340"/>
        <v>4286</v>
      </c>
      <c r="K4288">
        <f>IF(calendar[[#This Row],[Month]]&lt;4,1,IF(calendar[[#This Row],[Month]]&lt;7,2,IF(calendar[[#This Row],[Month]]&lt;10,3,4)))</f>
        <v>3</v>
      </c>
      <c r="L4288">
        <f>IFERROR(IF(VLOOKUP(calendar[[#This Row],[Date]],BH!A:A,1,)&lt;&gt;"",1,0),0)</f>
        <v>0</v>
      </c>
      <c r="M4288">
        <f>IFERROR(IF(VLOOKUP(calendar[[#This Row],[Date]],BH!C:C,1,)&lt;&gt;"",1,0),0)</f>
        <v>0</v>
      </c>
      <c r="N4288">
        <f>IFERROR(IF(VLOOKUP(calendar[[#This Row],[Date]],BH!E:E,1,)&lt;&gt;"",1,0),0)</f>
        <v>0</v>
      </c>
      <c r="O4288">
        <f>IFERROR(IF(VLOOKUP(calendar[[#This Row],[Date]],BH!G:G,1,)&lt;&gt;"",1,0),0)</f>
        <v>0</v>
      </c>
      <c r="P4288">
        <f>IF(OR(calendar[[#This Row],[UK_BH]]=1,calendar[[#This Row],[WeekDay]]=1, calendar[[#This Row],[WeekDay]]=7),P4287,P4287+1)</f>
        <v>3038</v>
      </c>
      <c r="Q4288">
        <f>IF(OR(calendar[[#This Row],[FR_BH]]=1,calendar[[#This Row],[WeekDay]]=1, calendar[[#This Row],[WeekDay]]=7),P4287,P4287+1)</f>
        <v>3038</v>
      </c>
      <c r="R4288">
        <f>IF(OR(calendar[[#This Row],[SP_BH]]=1,calendar[[#This Row],[WeekDay]]=1, calendar[[#This Row],[WeekDay]]=7),P4287,P4287+1)</f>
        <v>3038</v>
      </c>
      <c r="S4288">
        <f>IF(OR(calendar[[#This Row],[PT_BH]]=1,calendar[[#This Row],[WeekDay]]=1, calendar[[#This Row],[WeekDay]]=7),P4287,P4287+1)</f>
        <v>3038</v>
      </c>
    </row>
    <row r="4289" spans="1:19" x14ac:dyDescent="0.25">
      <c r="A4289" s="2">
        <v>47023</v>
      </c>
      <c r="B4289" s="1">
        <f t="shared" si="336"/>
        <v>40</v>
      </c>
      <c r="C4289">
        <f t="shared" si="337"/>
        <v>9</v>
      </c>
      <c r="D4289" t="str">
        <f t="shared" si="338"/>
        <v>September</v>
      </c>
      <c r="E4289">
        <f t="shared" si="339"/>
        <v>2028</v>
      </c>
      <c r="F4289" t="str">
        <f>CONCATENATE(calendar[[#This Row],[Month]],"/",calendar[[#This Row],[Year]])</f>
        <v>9/2028</v>
      </c>
      <c r="G4289">
        <f>WEEKDAY(calendar[[#This Row],[Date]],1)</f>
        <v>4</v>
      </c>
      <c r="H4289" t="str">
        <f>TEXT(calendar[[#This Row],[WeekDay]],"dddd")</f>
        <v>Wednesday</v>
      </c>
      <c r="I4289">
        <f>IF((INT(calendar[[#This Row],[Count]]/7)-calendar[[#This Row],[Count]]/7)&lt;0,I4288,I4288+1)</f>
        <v>613</v>
      </c>
      <c r="J4289">
        <f t="shared" si="340"/>
        <v>4287</v>
      </c>
      <c r="K4289">
        <f>IF(calendar[[#This Row],[Month]]&lt;4,1,IF(calendar[[#This Row],[Month]]&lt;7,2,IF(calendar[[#This Row],[Month]]&lt;10,3,4)))</f>
        <v>3</v>
      </c>
      <c r="L4289">
        <f>IFERROR(IF(VLOOKUP(calendar[[#This Row],[Date]],BH!A:A,1,)&lt;&gt;"",1,0),0)</f>
        <v>0</v>
      </c>
      <c r="M4289">
        <f>IFERROR(IF(VLOOKUP(calendar[[#This Row],[Date]],BH!C:C,1,)&lt;&gt;"",1,0),0)</f>
        <v>0</v>
      </c>
      <c r="N4289">
        <f>IFERROR(IF(VLOOKUP(calendar[[#This Row],[Date]],BH!E:E,1,)&lt;&gt;"",1,0),0)</f>
        <v>0</v>
      </c>
      <c r="O4289">
        <f>IFERROR(IF(VLOOKUP(calendar[[#This Row],[Date]],BH!G:G,1,)&lt;&gt;"",1,0),0)</f>
        <v>0</v>
      </c>
      <c r="P4289">
        <f>IF(OR(calendar[[#This Row],[UK_BH]]=1,calendar[[#This Row],[WeekDay]]=1, calendar[[#This Row],[WeekDay]]=7),P4288,P4288+1)</f>
        <v>3039</v>
      </c>
      <c r="Q4289">
        <f>IF(OR(calendar[[#This Row],[FR_BH]]=1,calendar[[#This Row],[WeekDay]]=1, calendar[[#This Row],[WeekDay]]=7),P4288,P4288+1)</f>
        <v>3039</v>
      </c>
      <c r="R4289">
        <f>IF(OR(calendar[[#This Row],[SP_BH]]=1,calendar[[#This Row],[WeekDay]]=1, calendar[[#This Row],[WeekDay]]=7),P4288,P4288+1)</f>
        <v>3039</v>
      </c>
      <c r="S4289">
        <f>IF(OR(calendar[[#This Row],[PT_BH]]=1,calendar[[#This Row],[WeekDay]]=1, calendar[[#This Row],[WeekDay]]=7),P4288,P4288+1)</f>
        <v>3039</v>
      </c>
    </row>
    <row r="4290" spans="1:19" x14ac:dyDescent="0.25">
      <c r="A4290" s="2">
        <v>47024</v>
      </c>
      <c r="B4290" s="1">
        <f t="shared" ref="B4290:B4353" si="341">WEEKNUM(A4290)</f>
        <v>40</v>
      </c>
      <c r="C4290">
        <f t="shared" si="337"/>
        <v>9</v>
      </c>
      <c r="D4290" t="str">
        <f t="shared" si="338"/>
        <v>September</v>
      </c>
      <c r="E4290">
        <f t="shared" si="339"/>
        <v>2028</v>
      </c>
      <c r="F4290" t="str">
        <f>CONCATENATE(calendar[[#This Row],[Month]],"/",calendar[[#This Row],[Year]])</f>
        <v>9/2028</v>
      </c>
      <c r="G4290">
        <f>WEEKDAY(calendar[[#This Row],[Date]],1)</f>
        <v>5</v>
      </c>
      <c r="H4290" t="str">
        <f>TEXT(calendar[[#This Row],[WeekDay]],"dddd")</f>
        <v>Thursday</v>
      </c>
      <c r="I4290">
        <f>IF((INT(calendar[[#This Row],[Count]]/7)-calendar[[#This Row],[Count]]/7)&lt;0,I4289,I4289+1)</f>
        <v>613</v>
      </c>
      <c r="J4290">
        <f t="shared" si="340"/>
        <v>4288</v>
      </c>
      <c r="K4290">
        <f>IF(calendar[[#This Row],[Month]]&lt;4,1,IF(calendar[[#This Row],[Month]]&lt;7,2,IF(calendar[[#This Row],[Month]]&lt;10,3,4)))</f>
        <v>3</v>
      </c>
      <c r="L4290">
        <f>IFERROR(IF(VLOOKUP(calendar[[#This Row],[Date]],BH!A:A,1,)&lt;&gt;"",1,0),0)</f>
        <v>0</v>
      </c>
      <c r="M4290">
        <f>IFERROR(IF(VLOOKUP(calendar[[#This Row],[Date]],BH!C:C,1,)&lt;&gt;"",1,0),0)</f>
        <v>0</v>
      </c>
      <c r="N4290">
        <f>IFERROR(IF(VLOOKUP(calendar[[#This Row],[Date]],BH!E:E,1,)&lt;&gt;"",1,0),0)</f>
        <v>0</v>
      </c>
      <c r="O4290">
        <f>IFERROR(IF(VLOOKUP(calendar[[#This Row],[Date]],BH!G:G,1,)&lt;&gt;"",1,0),0)</f>
        <v>0</v>
      </c>
      <c r="P4290">
        <f>IF(OR(calendar[[#This Row],[UK_BH]]=1,calendar[[#This Row],[WeekDay]]=1, calendar[[#This Row],[WeekDay]]=7),P4289,P4289+1)</f>
        <v>3040</v>
      </c>
      <c r="Q4290">
        <f>IF(OR(calendar[[#This Row],[FR_BH]]=1,calendar[[#This Row],[WeekDay]]=1, calendar[[#This Row],[WeekDay]]=7),P4289,P4289+1)</f>
        <v>3040</v>
      </c>
      <c r="R4290">
        <f>IF(OR(calendar[[#This Row],[SP_BH]]=1,calendar[[#This Row],[WeekDay]]=1, calendar[[#This Row],[WeekDay]]=7),P4289,P4289+1)</f>
        <v>3040</v>
      </c>
      <c r="S4290">
        <f>IF(OR(calendar[[#This Row],[PT_BH]]=1,calendar[[#This Row],[WeekDay]]=1, calendar[[#This Row],[WeekDay]]=7),P4289,P4289+1)</f>
        <v>3040</v>
      </c>
    </row>
    <row r="4291" spans="1:19" x14ac:dyDescent="0.25">
      <c r="A4291" s="2">
        <v>47025</v>
      </c>
      <c r="B4291" s="1">
        <f t="shared" si="341"/>
        <v>40</v>
      </c>
      <c r="C4291">
        <f t="shared" ref="C4291:C4354" si="342">MONTH(A4291)</f>
        <v>9</v>
      </c>
      <c r="D4291" t="str">
        <f t="shared" ref="D4291:D4354" si="343">TEXT(A4291,"mmmm")</f>
        <v>September</v>
      </c>
      <c r="E4291">
        <f t="shared" ref="E4291:E4354" si="344">YEAR(A4291)</f>
        <v>2028</v>
      </c>
      <c r="F4291" t="str">
        <f>CONCATENATE(calendar[[#This Row],[Month]],"/",calendar[[#This Row],[Year]])</f>
        <v>9/2028</v>
      </c>
      <c r="G4291">
        <f>WEEKDAY(calendar[[#This Row],[Date]],1)</f>
        <v>6</v>
      </c>
      <c r="H4291" t="str">
        <f>TEXT(calendar[[#This Row],[WeekDay]],"dddd")</f>
        <v>Friday</v>
      </c>
      <c r="I4291">
        <f>IF((INT(calendar[[#This Row],[Count]]/7)-calendar[[#This Row],[Count]]/7)&lt;0,I4290,I4290+1)</f>
        <v>613</v>
      </c>
      <c r="J4291">
        <f t="shared" ref="J4291:J4354" si="345">J4290+1</f>
        <v>4289</v>
      </c>
      <c r="K4291">
        <f>IF(calendar[[#This Row],[Month]]&lt;4,1,IF(calendar[[#This Row],[Month]]&lt;7,2,IF(calendar[[#This Row],[Month]]&lt;10,3,4)))</f>
        <v>3</v>
      </c>
      <c r="L4291">
        <f>IFERROR(IF(VLOOKUP(calendar[[#This Row],[Date]],BH!A:A,1,)&lt;&gt;"",1,0),0)</f>
        <v>0</v>
      </c>
      <c r="M4291">
        <f>IFERROR(IF(VLOOKUP(calendar[[#This Row],[Date]],BH!C:C,1,)&lt;&gt;"",1,0),0)</f>
        <v>0</v>
      </c>
      <c r="N4291">
        <f>IFERROR(IF(VLOOKUP(calendar[[#This Row],[Date]],BH!E:E,1,)&lt;&gt;"",1,0),0)</f>
        <v>0</v>
      </c>
      <c r="O4291">
        <f>IFERROR(IF(VLOOKUP(calendar[[#This Row],[Date]],BH!G:G,1,)&lt;&gt;"",1,0),0)</f>
        <v>0</v>
      </c>
      <c r="P4291">
        <f>IF(OR(calendar[[#This Row],[UK_BH]]=1,calendar[[#This Row],[WeekDay]]=1, calendar[[#This Row],[WeekDay]]=7),P4290,P4290+1)</f>
        <v>3041</v>
      </c>
      <c r="Q4291">
        <f>IF(OR(calendar[[#This Row],[FR_BH]]=1,calendar[[#This Row],[WeekDay]]=1, calendar[[#This Row],[WeekDay]]=7),P4290,P4290+1)</f>
        <v>3041</v>
      </c>
      <c r="R4291">
        <f>IF(OR(calendar[[#This Row],[SP_BH]]=1,calendar[[#This Row],[WeekDay]]=1, calendar[[#This Row],[WeekDay]]=7),P4290,P4290+1)</f>
        <v>3041</v>
      </c>
      <c r="S4291">
        <f>IF(OR(calendar[[#This Row],[PT_BH]]=1,calendar[[#This Row],[WeekDay]]=1, calendar[[#This Row],[WeekDay]]=7),P4290,P4290+1)</f>
        <v>3041</v>
      </c>
    </row>
    <row r="4292" spans="1:19" x14ac:dyDescent="0.25">
      <c r="A4292" s="2">
        <v>47026</v>
      </c>
      <c r="B4292" s="1">
        <f t="shared" si="341"/>
        <v>40</v>
      </c>
      <c r="C4292">
        <f t="shared" si="342"/>
        <v>9</v>
      </c>
      <c r="D4292" t="str">
        <f t="shared" si="343"/>
        <v>September</v>
      </c>
      <c r="E4292">
        <f t="shared" si="344"/>
        <v>2028</v>
      </c>
      <c r="F4292" t="str">
        <f>CONCATENATE(calendar[[#This Row],[Month]],"/",calendar[[#This Row],[Year]])</f>
        <v>9/2028</v>
      </c>
      <c r="G4292">
        <f>WEEKDAY(calendar[[#This Row],[Date]],1)</f>
        <v>7</v>
      </c>
      <c r="H4292" t="str">
        <f>TEXT(calendar[[#This Row],[WeekDay]],"dddd")</f>
        <v>Saturday</v>
      </c>
      <c r="I4292">
        <f>IF((INT(calendar[[#This Row],[Count]]/7)-calendar[[#This Row],[Count]]/7)&lt;0,I4291,I4291+1)</f>
        <v>613</v>
      </c>
      <c r="J4292">
        <f t="shared" si="345"/>
        <v>4290</v>
      </c>
      <c r="K4292">
        <f>IF(calendar[[#This Row],[Month]]&lt;4,1,IF(calendar[[#This Row],[Month]]&lt;7,2,IF(calendar[[#This Row],[Month]]&lt;10,3,4)))</f>
        <v>3</v>
      </c>
      <c r="L4292">
        <f>IFERROR(IF(VLOOKUP(calendar[[#This Row],[Date]],BH!A:A,1,)&lt;&gt;"",1,0),0)</f>
        <v>0</v>
      </c>
      <c r="M4292">
        <f>IFERROR(IF(VLOOKUP(calendar[[#This Row],[Date]],BH!C:C,1,)&lt;&gt;"",1,0),0)</f>
        <v>0</v>
      </c>
      <c r="N4292">
        <f>IFERROR(IF(VLOOKUP(calendar[[#This Row],[Date]],BH!E:E,1,)&lt;&gt;"",1,0),0)</f>
        <v>0</v>
      </c>
      <c r="O4292">
        <f>IFERROR(IF(VLOOKUP(calendar[[#This Row],[Date]],BH!G:G,1,)&lt;&gt;"",1,0),0)</f>
        <v>0</v>
      </c>
      <c r="P4292">
        <f>IF(OR(calendar[[#This Row],[UK_BH]]=1,calendar[[#This Row],[WeekDay]]=1, calendar[[#This Row],[WeekDay]]=7),P4291,P4291+1)</f>
        <v>3041</v>
      </c>
      <c r="Q4292">
        <f>IF(OR(calendar[[#This Row],[FR_BH]]=1,calendar[[#This Row],[WeekDay]]=1, calendar[[#This Row],[WeekDay]]=7),P4291,P4291+1)</f>
        <v>3041</v>
      </c>
      <c r="R4292">
        <f>IF(OR(calendar[[#This Row],[SP_BH]]=1,calendar[[#This Row],[WeekDay]]=1, calendar[[#This Row],[WeekDay]]=7),P4291,P4291+1)</f>
        <v>3041</v>
      </c>
      <c r="S4292">
        <f>IF(OR(calendar[[#This Row],[PT_BH]]=1,calendar[[#This Row],[WeekDay]]=1, calendar[[#This Row],[WeekDay]]=7),P4291,P4291+1)</f>
        <v>3041</v>
      </c>
    </row>
    <row r="4293" spans="1:19" x14ac:dyDescent="0.25">
      <c r="A4293" s="2">
        <v>47027</v>
      </c>
      <c r="B4293" s="1">
        <f t="shared" si="341"/>
        <v>41</v>
      </c>
      <c r="C4293">
        <f t="shared" si="342"/>
        <v>10</v>
      </c>
      <c r="D4293" t="str">
        <f t="shared" si="343"/>
        <v>October</v>
      </c>
      <c r="E4293">
        <f t="shared" si="344"/>
        <v>2028</v>
      </c>
      <c r="F4293" t="str">
        <f>CONCATENATE(calendar[[#This Row],[Month]],"/",calendar[[#This Row],[Year]])</f>
        <v>10/2028</v>
      </c>
      <c r="G4293">
        <f>WEEKDAY(calendar[[#This Row],[Date]],1)</f>
        <v>1</v>
      </c>
      <c r="H4293" t="str">
        <f>TEXT(calendar[[#This Row],[WeekDay]],"dddd")</f>
        <v>Sunday</v>
      </c>
      <c r="I4293">
        <f>IF((INT(calendar[[#This Row],[Count]]/7)-calendar[[#This Row],[Count]]/7)&lt;0,I4292,I4292+1)</f>
        <v>614</v>
      </c>
      <c r="J4293">
        <f t="shared" si="345"/>
        <v>4291</v>
      </c>
      <c r="K4293">
        <f>IF(calendar[[#This Row],[Month]]&lt;4,1,IF(calendar[[#This Row],[Month]]&lt;7,2,IF(calendar[[#This Row],[Month]]&lt;10,3,4)))</f>
        <v>4</v>
      </c>
      <c r="L4293">
        <f>IFERROR(IF(VLOOKUP(calendar[[#This Row],[Date]],BH!A:A,1,)&lt;&gt;"",1,0),0)</f>
        <v>0</v>
      </c>
      <c r="M4293">
        <f>IFERROR(IF(VLOOKUP(calendar[[#This Row],[Date]],BH!C:C,1,)&lt;&gt;"",1,0),0)</f>
        <v>0</v>
      </c>
      <c r="N4293">
        <f>IFERROR(IF(VLOOKUP(calendar[[#This Row],[Date]],BH!E:E,1,)&lt;&gt;"",1,0),0)</f>
        <v>0</v>
      </c>
      <c r="O4293">
        <f>IFERROR(IF(VLOOKUP(calendar[[#This Row],[Date]],BH!G:G,1,)&lt;&gt;"",1,0),0)</f>
        <v>0</v>
      </c>
      <c r="P4293">
        <f>IF(OR(calendar[[#This Row],[UK_BH]]=1,calendar[[#This Row],[WeekDay]]=1, calendar[[#This Row],[WeekDay]]=7),P4292,P4292+1)</f>
        <v>3041</v>
      </c>
      <c r="Q4293">
        <f>IF(OR(calendar[[#This Row],[FR_BH]]=1,calendar[[#This Row],[WeekDay]]=1, calendar[[#This Row],[WeekDay]]=7),P4292,P4292+1)</f>
        <v>3041</v>
      </c>
      <c r="R4293">
        <f>IF(OR(calendar[[#This Row],[SP_BH]]=1,calendar[[#This Row],[WeekDay]]=1, calendar[[#This Row],[WeekDay]]=7),P4292,P4292+1)</f>
        <v>3041</v>
      </c>
      <c r="S4293">
        <f>IF(OR(calendar[[#This Row],[PT_BH]]=1,calendar[[#This Row],[WeekDay]]=1, calendar[[#This Row],[WeekDay]]=7),P4292,P4292+1)</f>
        <v>3041</v>
      </c>
    </row>
    <row r="4294" spans="1:19" x14ac:dyDescent="0.25">
      <c r="A4294" s="2">
        <v>47028</v>
      </c>
      <c r="B4294" s="1">
        <f t="shared" si="341"/>
        <v>41</v>
      </c>
      <c r="C4294">
        <f t="shared" si="342"/>
        <v>10</v>
      </c>
      <c r="D4294" t="str">
        <f t="shared" si="343"/>
        <v>October</v>
      </c>
      <c r="E4294">
        <f t="shared" si="344"/>
        <v>2028</v>
      </c>
      <c r="F4294" t="str">
        <f>CONCATENATE(calendar[[#This Row],[Month]],"/",calendar[[#This Row],[Year]])</f>
        <v>10/2028</v>
      </c>
      <c r="G4294">
        <f>WEEKDAY(calendar[[#This Row],[Date]],1)</f>
        <v>2</v>
      </c>
      <c r="H4294" t="str">
        <f>TEXT(calendar[[#This Row],[WeekDay]],"dddd")</f>
        <v>Monday</v>
      </c>
      <c r="I4294">
        <f>IF((INT(calendar[[#This Row],[Count]]/7)-calendar[[#This Row],[Count]]/7)&lt;0,I4293,I4293+1)</f>
        <v>614</v>
      </c>
      <c r="J4294">
        <f t="shared" si="345"/>
        <v>4292</v>
      </c>
      <c r="K4294">
        <f>IF(calendar[[#This Row],[Month]]&lt;4,1,IF(calendar[[#This Row],[Month]]&lt;7,2,IF(calendar[[#This Row],[Month]]&lt;10,3,4)))</f>
        <v>4</v>
      </c>
      <c r="L4294">
        <f>IFERROR(IF(VLOOKUP(calendar[[#This Row],[Date]],BH!A:A,1,)&lt;&gt;"",1,0),0)</f>
        <v>0</v>
      </c>
      <c r="M4294">
        <f>IFERROR(IF(VLOOKUP(calendar[[#This Row],[Date]],BH!C:C,1,)&lt;&gt;"",1,0),0)</f>
        <v>0</v>
      </c>
      <c r="N4294">
        <f>IFERROR(IF(VLOOKUP(calendar[[#This Row],[Date]],BH!E:E,1,)&lt;&gt;"",1,0),0)</f>
        <v>0</v>
      </c>
      <c r="O4294">
        <f>IFERROR(IF(VLOOKUP(calendar[[#This Row],[Date]],BH!G:G,1,)&lt;&gt;"",1,0),0)</f>
        <v>0</v>
      </c>
      <c r="P4294">
        <f>IF(OR(calendar[[#This Row],[UK_BH]]=1,calendar[[#This Row],[WeekDay]]=1, calendar[[#This Row],[WeekDay]]=7),P4293,P4293+1)</f>
        <v>3042</v>
      </c>
      <c r="Q4294">
        <f>IF(OR(calendar[[#This Row],[FR_BH]]=1,calendar[[#This Row],[WeekDay]]=1, calendar[[#This Row],[WeekDay]]=7),P4293,P4293+1)</f>
        <v>3042</v>
      </c>
      <c r="R4294">
        <f>IF(OR(calendar[[#This Row],[SP_BH]]=1,calendar[[#This Row],[WeekDay]]=1, calendar[[#This Row],[WeekDay]]=7),P4293,P4293+1)</f>
        <v>3042</v>
      </c>
      <c r="S4294">
        <f>IF(OR(calendar[[#This Row],[PT_BH]]=1,calendar[[#This Row],[WeekDay]]=1, calendar[[#This Row],[WeekDay]]=7),P4293,P4293+1)</f>
        <v>3042</v>
      </c>
    </row>
    <row r="4295" spans="1:19" x14ac:dyDescent="0.25">
      <c r="A4295" s="2">
        <v>47029</v>
      </c>
      <c r="B4295" s="1">
        <f t="shared" si="341"/>
        <v>41</v>
      </c>
      <c r="C4295">
        <f t="shared" si="342"/>
        <v>10</v>
      </c>
      <c r="D4295" t="str">
        <f t="shared" si="343"/>
        <v>October</v>
      </c>
      <c r="E4295">
        <f t="shared" si="344"/>
        <v>2028</v>
      </c>
      <c r="F4295" t="str">
        <f>CONCATENATE(calendar[[#This Row],[Month]],"/",calendar[[#This Row],[Year]])</f>
        <v>10/2028</v>
      </c>
      <c r="G4295">
        <f>WEEKDAY(calendar[[#This Row],[Date]],1)</f>
        <v>3</v>
      </c>
      <c r="H4295" t="str">
        <f>TEXT(calendar[[#This Row],[WeekDay]],"dddd")</f>
        <v>Tuesday</v>
      </c>
      <c r="I4295">
        <f>IF((INT(calendar[[#This Row],[Count]]/7)-calendar[[#This Row],[Count]]/7)&lt;0,I4294,I4294+1)</f>
        <v>614</v>
      </c>
      <c r="J4295">
        <f t="shared" si="345"/>
        <v>4293</v>
      </c>
      <c r="K4295">
        <f>IF(calendar[[#This Row],[Month]]&lt;4,1,IF(calendar[[#This Row],[Month]]&lt;7,2,IF(calendar[[#This Row],[Month]]&lt;10,3,4)))</f>
        <v>4</v>
      </c>
      <c r="L4295">
        <f>IFERROR(IF(VLOOKUP(calendar[[#This Row],[Date]],BH!A:A,1,)&lt;&gt;"",1,0),0)</f>
        <v>0</v>
      </c>
      <c r="M4295">
        <f>IFERROR(IF(VLOOKUP(calendar[[#This Row],[Date]],BH!C:C,1,)&lt;&gt;"",1,0),0)</f>
        <v>0</v>
      </c>
      <c r="N4295">
        <f>IFERROR(IF(VLOOKUP(calendar[[#This Row],[Date]],BH!E:E,1,)&lt;&gt;"",1,0),0)</f>
        <v>0</v>
      </c>
      <c r="O4295">
        <f>IFERROR(IF(VLOOKUP(calendar[[#This Row],[Date]],BH!G:G,1,)&lt;&gt;"",1,0),0)</f>
        <v>0</v>
      </c>
      <c r="P4295">
        <f>IF(OR(calendar[[#This Row],[UK_BH]]=1,calendar[[#This Row],[WeekDay]]=1, calendar[[#This Row],[WeekDay]]=7),P4294,P4294+1)</f>
        <v>3043</v>
      </c>
      <c r="Q4295">
        <f>IF(OR(calendar[[#This Row],[FR_BH]]=1,calendar[[#This Row],[WeekDay]]=1, calendar[[#This Row],[WeekDay]]=7),P4294,P4294+1)</f>
        <v>3043</v>
      </c>
      <c r="R4295">
        <f>IF(OR(calendar[[#This Row],[SP_BH]]=1,calendar[[#This Row],[WeekDay]]=1, calendar[[#This Row],[WeekDay]]=7),P4294,P4294+1)</f>
        <v>3043</v>
      </c>
      <c r="S4295">
        <f>IF(OR(calendar[[#This Row],[PT_BH]]=1,calendar[[#This Row],[WeekDay]]=1, calendar[[#This Row],[WeekDay]]=7),P4294,P4294+1)</f>
        <v>3043</v>
      </c>
    </row>
    <row r="4296" spans="1:19" x14ac:dyDescent="0.25">
      <c r="A4296" s="2">
        <v>47030</v>
      </c>
      <c r="B4296" s="1">
        <f t="shared" si="341"/>
        <v>41</v>
      </c>
      <c r="C4296">
        <f t="shared" si="342"/>
        <v>10</v>
      </c>
      <c r="D4296" t="str">
        <f t="shared" si="343"/>
        <v>October</v>
      </c>
      <c r="E4296">
        <f t="shared" si="344"/>
        <v>2028</v>
      </c>
      <c r="F4296" t="str">
        <f>CONCATENATE(calendar[[#This Row],[Month]],"/",calendar[[#This Row],[Year]])</f>
        <v>10/2028</v>
      </c>
      <c r="G4296">
        <f>WEEKDAY(calendar[[#This Row],[Date]],1)</f>
        <v>4</v>
      </c>
      <c r="H4296" t="str">
        <f>TEXT(calendar[[#This Row],[WeekDay]],"dddd")</f>
        <v>Wednesday</v>
      </c>
      <c r="I4296">
        <f>IF((INT(calendar[[#This Row],[Count]]/7)-calendar[[#This Row],[Count]]/7)&lt;0,I4295,I4295+1)</f>
        <v>614</v>
      </c>
      <c r="J4296">
        <f t="shared" si="345"/>
        <v>4294</v>
      </c>
      <c r="K4296">
        <f>IF(calendar[[#This Row],[Month]]&lt;4,1,IF(calendar[[#This Row],[Month]]&lt;7,2,IF(calendar[[#This Row],[Month]]&lt;10,3,4)))</f>
        <v>4</v>
      </c>
      <c r="L4296">
        <f>IFERROR(IF(VLOOKUP(calendar[[#This Row],[Date]],BH!A:A,1,)&lt;&gt;"",1,0),0)</f>
        <v>0</v>
      </c>
      <c r="M4296">
        <f>IFERROR(IF(VLOOKUP(calendar[[#This Row],[Date]],BH!C:C,1,)&lt;&gt;"",1,0),0)</f>
        <v>0</v>
      </c>
      <c r="N4296">
        <f>IFERROR(IF(VLOOKUP(calendar[[#This Row],[Date]],BH!E:E,1,)&lt;&gt;"",1,0),0)</f>
        <v>0</v>
      </c>
      <c r="O4296">
        <f>IFERROR(IF(VLOOKUP(calendar[[#This Row],[Date]],BH!G:G,1,)&lt;&gt;"",1,0),0)</f>
        <v>0</v>
      </c>
      <c r="P4296">
        <f>IF(OR(calendar[[#This Row],[UK_BH]]=1,calendar[[#This Row],[WeekDay]]=1, calendar[[#This Row],[WeekDay]]=7),P4295,P4295+1)</f>
        <v>3044</v>
      </c>
      <c r="Q4296">
        <f>IF(OR(calendar[[#This Row],[FR_BH]]=1,calendar[[#This Row],[WeekDay]]=1, calendar[[#This Row],[WeekDay]]=7),P4295,P4295+1)</f>
        <v>3044</v>
      </c>
      <c r="R4296">
        <f>IF(OR(calendar[[#This Row],[SP_BH]]=1,calendar[[#This Row],[WeekDay]]=1, calendar[[#This Row],[WeekDay]]=7),P4295,P4295+1)</f>
        <v>3044</v>
      </c>
      <c r="S4296">
        <f>IF(OR(calendar[[#This Row],[PT_BH]]=1,calendar[[#This Row],[WeekDay]]=1, calendar[[#This Row],[WeekDay]]=7),P4295,P4295+1)</f>
        <v>3044</v>
      </c>
    </row>
    <row r="4297" spans="1:19" x14ac:dyDescent="0.25">
      <c r="A4297" s="2">
        <v>47031</v>
      </c>
      <c r="B4297" s="1">
        <f t="shared" si="341"/>
        <v>41</v>
      </c>
      <c r="C4297">
        <f t="shared" si="342"/>
        <v>10</v>
      </c>
      <c r="D4297" t="str">
        <f t="shared" si="343"/>
        <v>October</v>
      </c>
      <c r="E4297">
        <f t="shared" si="344"/>
        <v>2028</v>
      </c>
      <c r="F4297" t="str">
        <f>CONCATENATE(calendar[[#This Row],[Month]],"/",calendar[[#This Row],[Year]])</f>
        <v>10/2028</v>
      </c>
      <c r="G4297">
        <f>WEEKDAY(calendar[[#This Row],[Date]],1)</f>
        <v>5</v>
      </c>
      <c r="H4297" t="str">
        <f>TEXT(calendar[[#This Row],[WeekDay]],"dddd")</f>
        <v>Thursday</v>
      </c>
      <c r="I4297">
        <f>IF((INT(calendar[[#This Row],[Count]]/7)-calendar[[#This Row],[Count]]/7)&lt;0,I4296,I4296+1)</f>
        <v>614</v>
      </c>
      <c r="J4297">
        <f t="shared" si="345"/>
        <v>4295</v>
      </c>
      <c r="K4297">
        <f>IF(calendar[[#This Row],[Month]]&lt;4,1,IF(calendar[[#This Row],[Month]]&lt;7,2,IF(calendar[[#This Row],[Month]]&lt;10,3,4)))</f>
        <v>4</v>
      </c>
      <c r="L4297">
        <f>IFERROR(IF(VLOOKUP(calendar[[#This Row],[Date]],BH!A:A,1,)&lt;&gt;"",1,0),0)</f>
        <v>0</v>
      </c>
      <c r="M4297">
        <f>IFERROR(IF(VLOOKUP(calendar[[#This Row],[Date]],BH!C:C,1,)&lt;&gt;"",1,0),0)</f>
        <v>0</v>
      </c>
      <c r="N4297">
        <f>IFERROR(IF(VLOOKUP(calendar[[#This Row],[Date]],BH!E:E,1,)&lt;&gt;"",1,0),0)</f>
        <v>0</v>
      </c>
      <c r="O4297">
        <f>IFERROR(IF(VLOOKUP(calendar[[#This Row],[Date]],BH!G:G,1,)&lt;&gt;"",1,0),0)</f>
        <v>0</v>
      </c>
      <c r="P4297">
        <f>IF(OR(calendar[[#This Row],[UK_BH]]=1,calendar[[#This Row],[WeekDay]]=1, calendar[[#This Row],[WeekDay]]=7),P4296,P4296+1)</f>
        <v>3045</v>
      </c>
      <c r="Q4297">
        <f>IF(OR(calendar[[#This Row],[FR_BH]]=1,calendar[[#This Row],[WeekDay]]=1, calendar[[#This Row],[WeekDay]]=7),P4296,P4296+1)</f>
        <v>3045</v>
      </c>
      <c r="R4297">
        <f>IF(OR(calendar[[#This Row],[SP_BH]]=1,calendar[[#This Row],[WeekDay]]=1, calendar[[#This Row],[WeekDay]]=7),P4296,P4296+1)</f>
        <v>3045</v>
      </c>
      <c r="S4297">
        <f>IF(OR(calendar[[#This Row],[PT_BH]]=1,calendar[[#This Row],[WeekDay]]=1, calendar[[#This Row],[WeekDay]]=7),P4296,P4296+1)</f>
        <v>3045</v>
      </c>
    </row>
    <row r="4298" spans="1:19" x14ac:dyDescent="0.25">
      <c r="A4298" s="2">
        <v>47032</v>
      </c>
      <c r="B4298" s="1">
        <f t="shared" si="341"/>
        <v>41</v>
      </c>
      <c r="C4298">
        <f t="shared" si="342"/>
        <v>10</v>
      </c>
      <c r="D4298" t="str">
        <f t="shared" si="343"/>
        <v>October</v>
      </c>
      <c r="E4298">
        <f t="shared" si="344"/>
        <v>2028</v>
      </c>
      <c r="F4298" t="str">
        <f>CONCATENATE(calendar[[#This Row],[Month]],"/",calendar[[#This Row],[Year]])</f>
        <v>10/2028</v>
      </c>
      <c r="G4298">
        <f>WEEKDAY(calendar[[#This Row],[Date]],1)</f>
        <v>6</v>
      </c>
      <c r="H4298" t="str">
        <f>TEXT(calendar[[#This Row],[WeekDay]],"dddd")</f>
        <v>Friday</v>
      </c>
      <c r="I4298">
        <f>IF((INT(calendar[[#This Row],[Count]]/7)-calendar[[#This Row],[Count]]/7)&lt;0,I4297,I4297+1)</f>
        <v>614</v>
      </c>
      <c r="J4298">
        <f t="shared" si="345"/>
        <v>4296</v>
      </c>
      <c r="K4298">
        <f>IF(calendar[[#This Row],[Month]]&lt;4,1,IF(calendar[[#This Row],[Month]]&lt;7,2,IF(calendar[[#This Row],[Month]]&lt;10,3,4)))</f>
        <v>4</v>
      </c>
      <c r="L4298">
        <f>IFERROR(IF(VLOOKUP(calendar[[#This Row],[Date]],BH!A:A,1,)&lt;&gt;"",1,0),0)</f>
        <v>0</v>
      </c>
      <c r="M4298">
        <f>IFERROR(IF(VLOOKUP(calendar[[#This Row],[Date]],BH!C:C,1,)&lt;&gt;"",1,0),0)</f>
        <v>0</v>
      </c>
      <c r="N4298">
        <f>IFERROR(IF(VLOOKUP(calendar[[#This Row],[Date]],BH!E:E,1,)&lt;&gt;"",1,0),0)</f>
        <v>0</v>
      </c>
      <c r="O4298">
        <f>IFERROR(IF(VLOOKUP(calendar[[#This Row],[Date]],BH!G:G,1,)&lt;&gt;"",1,0),0)</f>
        <v>0</v>
      </c>
      <c r="P4298">
        <f>IF(OR(calendar[[#This Row],[UK_BH]]=1,calendar[[#This Row],[WeekDay]]=1, calendar[[#This Row],[WeekDay]]=7),P4297,P4297+1)</f>
        <v>3046</v>
      </c>
      <c r="Q4298">
        <f>IF(OR(calendar[[#This Row],[FR_BH]]=1,calendar[[#This Row],[WeekDay]]=1, calendar[[#This Row],[WeekDay]]=7),P4297,P4297+1)</f>
        <v>3046</v>
      </c>
      <c r="R4298">
        <f>IF(OR(calendar[[#This Row],[SP_BH]]=1,calendar[[#This Row],[WeekDay]]=1, calendar[[#This Row],[WeekDay]]=7),P4297,P4297+1)</f>
        <v>3046</v>
      </c>
      <c r="S4298">
        <f>IF(OR(calendar[[#This Row],[PT_BH]]=1,calendar[[#This Row],[WeekDay]]=1, calendar[[#This Row],[WeekDay]]=7),P4297,P4297+1)</f>
        <v>3046</v>
      </c>
    </row>
    <row r="4299" spans="1:19" x14ac:dyDescent="0.25">
      <c r="A4299" s="2">
        <v>47033</v>
      </c>
      <c r="B4299" s="1">
        <f t="shared" si="341"/>
        <v>41</v>
      </c>
      <c r="C4299">
        <f t="shared" si="342"/>
        <v>10</v>
      </c>
      <c r="D4299" t="str">
        <f t="shared" si="343"/>
        <v>October</v>
      </c>
      <c r="E4299">
        <f t="shared" si="344"/>
        <v>2028</v>
      </c>
      <c r="F4299" t="str">
        <f>CONCATENATE(calendar[[#This Row],[Month]],"/",calendar[[#This Row],[Year]])</f>
        <v>10/2028</v>
      </c>
      <c r="G4299">
        <f>WEEKDAY(calendar[[#This Row],[Date]],1)</f>
        <v>7</v>
      </c>
      <c r="H4299" t="str">
        <f>TEXT(calendar[[#This Row],[WeekDay]],"dddd")</f>
        <v>Saturday</v>
      </c>
      <c r="I4299">
        <f>IF((INT(calendar[[#This Row],[Count]]/7)-calendar[[#This Row],[Count]]/7)&lt;0,I4298,I4298+1)</f>
        <v>614</v>
      </c>
      <c r="J4299">
        <f t="shared" si="345"/>
        <v>4297</v>
      </c>
      <c r="K4299">
        <f>IF(calendar[[#This Row],[Month]]&lt;4,1,IF(calendar[[#This Row],[Month]]&lt;7,2,IF(calendar[[#This Row],[Month]]&lt;10,3,4)))</f>
        <v>4</v>
      </c>
      <c r="L4299">
        <f>IFERROR(IF(VLOOKUP(calendar[[#This Row],[Date]],BH!A:A,1,)&lt;&gt;"",1,0),0)</f>
        <v>0</v>
      </c>
      <c r="M4299">
        <f>IFERROR(IF(VLOOKUP(calendar[[#This Row],[Date]],BH!C:C,1,)&lt;&gt;"",1,0),0)</f>
        <v>0</v>
      </c>
      <c r="N4299">
        <f>IFERROR(IF(VLOOKUP(calendar[[#This Row],[Date]],BH!E:E,1,)&lt;&gt;"",1,0),0)</f>
        <v>0</v>
      </c>
      <c r="O4299">
        <f>IFERROR(IF(VLOOKUP(calendar[[#This Row],[Date]],BH!G:G,1,)&lt;&gt;"",1,0),0)</f>
        <v>0</v>
      </c>
      <c r="P4299">
        <f>IF(OR(calendar[[#This Row],[UK_BH]]=1,calendar[[#This Row],[WeekDay]]=1, calendar[[#This Row],[WeekDay]]=7),P4298,P4298+1)</f>
        <v>3046</v>
      </c>
      <c r="Q4299">
        <f>IF(OR(calendar[[#This Row],[FR_BH]]=1,calendar[[#This Row],[WeekDay]]=1, calendar[[#This Row],[WeekDay]]=7),P4298,P4298+1)</f>
        <v>3046</v>
      </c>
      <c r="R4299">
        <f>IF(OR(calendar[[#This Row],[SP_BH]]=1,calendar[[#This Row],[WeekDay]]=1, calendar[[#This Row],[WeekDay]]=7),P4298,P4298+1)</f>
        <v>3046</v>
      </c>
      <c r="S4299">
        <f>IF(OR(calendar[[#This Row],[PT_BH]]=1,calendar[[#This Row],[WeekDay]]=1, calendar[[#This Row],[WeekDay]]=7),P4298,P4298+1)</f>
        <v>3046</v>
      </c>
    </row>
    <row r="4300" spans="1:19" x14ac:dyDescent="0.25">
      <c r="A4300" s="2">
        <v>47034</v>
      </c>
      <c r="B4300" s="1">
        <f t="shared" si="341"/>
        <v>42</v>
      </c>
      <c r="C4300">
        <f t="shared" si="342"/>
        <v>10</v>
      </c>
      <c r="D4300" t="str">
        <f t="shared" si="343"/>
        <v>October</v>
      </c>
      <c r="E4300">
        <f t="shared" si="344"/>
        <v>2028</v>
      </c>
      <c r="F4300" t="str">
        <f>CONCATENATE(calendar[[#This Row],[Month]],"/",calendar[[#This Row],[Year]])</f>
        <v>10/2028</v>
      </c>
      <c r="G4300">
        <f>WEEKDAY(calendar[[#This Row],[Date]],1)</f>
        <v>1</v>
      </c>
      <c r="H4300" t="str">
        <f>TEXT(calendar[[#This Row],[WeekDay]],"dddd")</f>
        <v>Sunday</v>
      </c>
      <c r="I4300">
        <f>IF((INT(calendar[[#This Row],[Count]]/7)-calendar[[#This Row],[Count]]/7)&lt;0,I4299,I4299+1)</f>
        <v>615</v>
      </c>
      <c r="J4300">
        <f t="shared" si="345"/>
        <v>4298</v>
      </c>
      <c r="K4300">
        <f>IF(calendar[[#This Row],[Month]]&lt;4,1,IF(calendar[[#This Row],[Month]]&lt;7,2,IF(calendar[[#This Row],[Month]]&lt;10,3,4)))</f>
        <v>4</v>
      </c>
      <c r="L4300">
        <f>IFERROR(IF(VLOOKUP(calendar[[#This Row],[Date]],BH!A:A,1,)&lt;&gt;"",1,0),0)</f>
        <v>0</v>
      </c>
      <c r="M4300">
        <f>IFERROR(IF(VLOOKUP(calendar[[#This Row],[Date]],BH!C:C,1,)&lt;&gt;"",1,0),0)</f>
        <v>0</v>
      </c>
      <c r="N4300">
        <f>IFERROR(IF(VLOOKUP(calendar[[#This Row],[Date]],BH!E:E,1,)&lt;&gt;"",1,0),0)</f>
        <v>0</v>
      </c>
      <c r="O4300">
        <f>IFERROR(IF(VLOOKUP(calendar[[#This Row],[Date]],BH!G:G,1,)&lt;&gt;"",1,0),0)</f>
        <v>0</v>
      </c>
      <c r="P4300">
        <f>IF(OR(calendar[[#This Row],[UK_BH]]=1,calendar[[#This Row],[WeekDay]]=1, calendar[[#This Row],[WeekDay]]=7),P4299,P4299+1)</f>
        <v>3046</v>
      </c>
      <c r="Q4300">
        <f>IF(OR(calendar[[#This Row],[FR_BH]]=1,calendar[[#This Row],[WeekDay]]=1, calendar[[#This Row],[WeekDay]]=7),P4299,P4299+1)</f>
        <v>3046</v>
      </c>
      <c r="R4300">
        <f>IF(OR(calendar[[#This Row],[SP_BH]]=1,calendar[[#This Row],[WeekDay]]=1, calendar[[#This Row],[WeekDay]]=7),P4299,P4299+1)</f>
        <v>3046</v>
      </c>
      <c r="S4300">
        <f>IF(OR(calendar[[#This Row],[PT_BH]]=1,calendar[[#This Row],[WeekDay]]=1, calendar[[#This Row],[WeekDay]]=7),P4299,P4299+1)</f>
        <v>3046</v>
      </c>
    </row>
    <row r="4301" spans="1:19" x14ac:dyDescent="0.25">
      <c r="A4301" s="2">
        <v>47035</v>
      </c>
      <c r="B4301" s="1">
        <f t="shared" si="341"/>
        <v>42</v>
      </c>
      <c r="C4301">
        <f t="shared" si="342"/>
        <v>10</v>
      </c>
      <c r="D4301" t="str">
        <f t="shared" si="343"/>
        <v>October</v>
      </c>
      <c r="E4301">
        <f t="shared" si="344"/>
        <v>2028</v>
      </c>
      <c r="F4301" t="str">
        <f>CONCATENATE(calendar[[#This Row],[Month]],"/",calendar[[#This Row],[Year]])</f>
        <v>10/2028</v>
      </c>
      <c r="G4301">
        <f>WEEKDAY(calendar[[#This Row],[Date]],1)</f>
        <v>2</v>
      </c>
      <c r="H4301" t="str">
        <f>TEXT(calendar[[#This Row],[WeekDay]],"dddd")</f>
        <v>Monday</v>
      </c>
      <c r="I4301">
        <f>IF((INT(calendar[[#This Row],[Count]]/7)-calendar[[#This Row],[Count]]/7)&lt;0,I4300,I4300+1)</f>
        <v>615</v>
      </c>
      <c r="J4301">
        <f t="shared" si="345"/>
        <v>4299</v>
      </c>
      <c r="K4301">
        <f>IF(calendar[[#This Row],[Month]]&lt;4,1,IF(calendar[[#This Row],[Month]]&lt;7,2,IF(calendar[[#This Row],[Month]]&lt;10,3,4)))</f>
        <v>4</v>
      </c>
      <c r="L4301">
        <f>IFERROR(IF(VLOOKUP(calendar[[#This Row],[Date]],BH!A:A,1,)&lt;&gt;"",1,0),0)</f>
        <v>0</v>
      </c>
      <c r="M4301">
        <f>IFERROR(IF(VLOOKUP(calendar[[#This Row],[Date]],BH!C:C,1,)&lt;&gt;"",1,0),0)</f>
        <v>0</v>
      </c>
      <c r="N4301">
        <f>IFERROR(IF(VLOOKUP(calendar[[#This Row],[Date]],BH!E:E,1,)&lt;&gt;"",1,0),0)</f>
        <v>0</v>
      </c>
      <c r="O4301">
        <f>IFERROR(IF(VLOOKUP(calendar[[#This Row],[Date]],BH!G:G,1,)&lt;&gt;"",1,0),0)</f>
        <v>0</v>
      </c>
      <c r="P4301">
        <f>IF(OR(calendar[[#This Row],[UK_BH]]=1,calendar[[#This Row],[WeekDay]]=1, calendar[[#This Row],[WeekDay]]=7),P4300,P4300+1)</f>
        <v>3047</v>
      </c>
      <c r="Q4301">
        <f>IF(OR(calendar[[#This Row],[FR_BH]]=1,calendar[[#This Row],[WeekDay]]=1, calendar[[#This Row],[WeekDay]]=7),P4300,P4300+1)</f>
        <v>3047</v>
      </c>
      <c r="R4301">
        <f>IF(OR(calendar[[#This Row],[SP_BH]]=1,calendar[[#This Row],[WeekDay]]=1, calendar[[#This Row],[WeekDay]]=7),P4300,P4300+1)</f>
        <v>3047</v>
      </c>
      <c r="S4301">
        <f>IF(OR(calendar[[#This Row],[PT_BH]]=1,calendar[[#This Row],[WeekDay]]=1, calendar[[#This Row],[WeekDay]]=7),P4300,P4300+1)</f>
        <v>3047</v>
      </c>
    </row>
    <row r="4302" spans="1:19" x14ac:dyDescent="0.25">
      <c r="A4302" s="2">
        <v>47036</v>
      </c>
      <c r="B4302" s="1">
        <f t="shared" si="341"/>
        <v>42</v>
      </c>
      <c r="C4302">
        <f t="shared" si="342"/>
        <v>10</v>
      </c>
      <c r="D4302" t="str">
        <f t="shared" si="343"/>
        <v>October</v>
      </c>
      <c r="E4302">
        <f t="shared" si="344"/>
        <v>2028</v>
      </c>
      <c r="F4302" t="str">
        <f>CONCATENATE(calendar[[#This Row],[Month]],"/",calendar[[#This Row],[Year]])</f>
        <v>10/2028</v>
      </c>
      <c r="G4302">
        <f>WEEKDAY(calendar[[#This Row],[Date]],1)</f>
        <v>3</v>
      </c>
      <c r="H4302" t="str">
        <f>TEXT(calendar[[#This Row],[WeekDay]],"dddd")</f>
        <v>Tuesday</v>
      </c>
      <c r="I4302">
        <f>IF((INT(calendar[[#This Row],[Count]]/7)-calendar[[#This Row],[Count]]/7)&lt;0,I4301,I4301+1)</f>
        <v>615</v>
      </c>
      <c r="J4302">
        <f t="shared" si="345"/>
        <v>4300</v>
      </c>
      <c r="K4302">
        <f>IF(calendar[[#This Row],[Month]]&lt;4,1,IF(calendar[[#This Row],[Month]]&lt;7,2,IF(calendar[[#This Row],[Month]]&lt;10,3,4)))</f>
        <v>4</v>
      </c>
      <c r="L4302">
        <f>IFERROR(IF(VLOOKUP(calendar[[#This Row],[Date]],BH!A:A,1,)&lt;&gt;"",1,0),0)</f>
        <v>0</v>
      </c>
      <c r="M4302">
        <f>IFERROR(IF(VLOOKUP(calendar[[#This Row],[Date]],BH!C:C,1,)&lt;&gt;"",1,0),0)</f>
        <v>0</v>
      </c>
      <c r="N4302">
        <f>IFERROR(IF(VLOOKUP(calendar[[#This Row],[Date]],BH!E:E,1,)&lt;&gt;"",1,0),0)</f>
        <v>0</v>
      </c>
      <c r="O4302">
        <f>IFERROR(IF(VLOOKUP(calendar[[#This Row],[Date]],BH!G:G,1,)&lt;&gt;"",1,0),0)</f>
        <v>0</v>
      </c>
      <c r="P4302">
        <f>IF(OR(calendar[[#This Row],[UK_BH]]=1,calendar[[#This Row],[WeekDay]]=1, calendar[[#This Row],[WeekDay]]=7),P4301,P4301+1)</f>
        <v>3048</v>
      </c>
      <c r="Q4302">
        <f>IF(OR(calendar[[#This Row],[FR_BH]]=1,calendar[[#This Row],[WeekDay]]=1, calendar[[#This Row],[WeekDay]]=7),P4301,P4301+1)</f>
        <v>3048</v>
      </c>
      <c r="R4302">
        <f>IF(OR(calendar[[#This Row],[SP_BH]]=1,calendar[[#This Row],[WeekDay]]=1, calendar[[#This Row],[WeekDay]]=7),P4301,P4301+1)</f>
        <v>3048</v>
      </c>
      <c r="S4302">
        <f>IF(OR(calendar[[#This Row],[PT_BH]]=1,calendar[[#This Row],[WeekDay]]=1, calendar[[#This Row],[WeekDay]]=7),P4301,P4301+1)</f>
        <v>3048</v>
      </c>
    </row>
    <row r="4303" spans="1:19" x14ac:dyDescent="0.25">
      <c r="A4303" s="2">
        <v>47037</v>
      </c>
      <c r="B4303" s="1">
        <f t="shared" si="341"/>
        <v>42</v>
      </c>
      <c r="C4303">
        <f t="shared" si="342"/>
        <v>10</v>
      </c>
      <c r="D4303" t="str">
        <f t="shared" si="343"/>
        <v>October</v>
      </c>
      <c r="E4303">
        <f t="shared" si="344"/>
        <v>2028</v>
      </c>
      <c r="F4303" t="str">
        <f>CONCATENATE(calendar[[#This Row],[Month]],"/",calendar[[#This Row],[Year]])</f>
        <v>10/2028</v>
      </c>
      <c r="G4303">
        <f>WEEKDAY(calendar[[#This Row],[Date]],1)</f>
        <v>4</v>
      </c>
      <c r="H4303" t="str">
        <f>TEXT(calendar[[#This Row],[WeekDay]],"dddd")</f>
        <v>Wednesday</v>
      </c>
      <c r="I4303">
        <f>IF((INT(calendar[[#This Row],[Count]]/7)-calendar[[#This Row],[Count]]/7)&lt;0,I4302,I4302+1)</f>
        <v>615</v>
      </c>
      <c r="J4303">
        <f t="shared" si="345"/>
        <v>4301</v>
      </c>
      <c r="K4303">
        <f>IF(calendar[[#This Row],[Month]]&lt;4,1,IF(calendar[[#This Row],[Month]]&lt;7,2,IF(calendar[[#This Row],[Month]]&lt;10,3,4)))</f>
        <v>4</v>
      </c>
      <c r="L4303">
        <f>IFERROR(IF(VLOOKUP(calendar[[#This Row],[Date]],BH!A:A,1,)&lt;&gt;"",1,0),0)</f>
        <v>0</v>
      </c>
      <c r="M4303">
        <f>IFERROR(IF(VLOOKUP(calendar[[#This Row],[Date]],BH!C:C,1,)&lt;&gt;"",1,0),0)</f>
        <v>0</v>
      </c>
      <c r="N4303">
        <f>IFERROR(IF(VLOOKUP(calendar[[#This Row],[Date]],BH!E:E,1,)&lt;&gt;"",1,0),0)</f>
        <v>0</v>
      </c>
      <c r="O4303">
        <f>IFERROR(IF(VLOOKUP(calendar[[#This Row],[Date]],BH!G:G,1,)&lt;&gt;"",1,0),0)</f>
        <v>0</v>
      </c>
      <c r="P4303">
        <f>IF(OR(calendar[[#This Row],[UK_BH]]=1,calendar[[#This Row],[WeekDay]]=1, calendar[[#This Row],[WeekDay]]=7),P4302,P4302+1)</f>
        <v>3049</v>
      </c>
      <c r="Q4303">
        <f>IF(OR(calendar[[#This Row],[FR_BH]]=1,calendar[[#This Row],[WeekDay]]=1, calendar[[#This Row],[WeekDay]]=7),P4302,P4302+1)</f>
        <v>3049</v>
      </c>
      <c r="R4303">
        <f>IF(OR(calendar[[#This Row],[SP_BH]]=1,calendar[[#This Row],[WeekDay]]=1, calendar[[#This Row],[WeekDay]]=7),P4302,P4302+1)</f>
        <v>3049</v>
      </c>
      <c r="S4303">
        <f>IF(OR(calendar[[#This Row],[PT_BH]]=1,calendar[[#This Row],[WeekDay]]=1, calendar[[#This Row],[WeekDay]]=7),P4302,P4302+1)</f>
        <v>3049</v>
      </c>
    </row>
    <row r="4304" spans="1:19" x14ac:dyDescent="0.25">
      <c r="A4304" s="2">
        <v>47038</v>
      </c>
      <c r="B4304" s="1">
        <f t="shared" si="341"/>
        <v>42</v>
      </c>
      <c r="C4304">
        <f t="shared" si="342"/>
        <v>10</v>
      </c>
      <c r="D4304" t="str">
        <f t="shared" si="343"/>
        <v>October</v>
      </c>
      <c r="E4304">
        <f t="shared" si="344"/>
        <v>2028</v>
      </c>
      <c r="F4304" t="str">
        <f>CONCATENATE(calendar[[#This Row],[Month]],"/",calendar[[#This Row],[Year]])</f>
        <v>10/2028</v>
      </c>
      <c r="G4304">
        <f>WEEKDAY(calendar[[#This Row],[Date]],1)</f>
        <v>5</v>
      </c>
      <c r="H4304" t="str">
        <f>TEXT(calendar[[#This Row],[WeekDay]],"dddd")</f>
        <v>Thursday</v>
      </c>
      <c r="I4304">
        <f>IF((INT(calendar[[#This Row],[Count]]/7)-calendar[[#This Row],[Count]]/7)&lt;0,I4303,I4303+1)</f>
        <v>615</v>
      </c>
      <c r="J4304">
        <f t="shared" si="345"/>
        <v>4302</v>
      </c>
      <c r="K4304">
        <f>IF(calendar[[#This Row],[Month]]&lt;4,1,IF(calendar[[#This Row],[Month]]&lt;7,2,IF(calendar[[#This Row],[Month]]&lt;10,3,4)))</f>
        <v>4</v>
      </c>
      <c r="L4304">
        <f>IFERROR(IF(VLOOKUP(calendar[[#This Row],[Date]],BH!A:A,1,)&lt;&gt;"",1,0),0)</f>
        <v>0</v>
      </c>
      <c r="M4304">
        <f>IFERROR(IF(VLOOKUP(calendar[[#This Row],[Date]],BH!C:C,1,)&lt;&gt;"",1,0),0)</f>
        <v>0</v>
      </c>
      <c r="N4304">
        <f>IFERROR(IF(VLOOKUP(calendar[[#This Row],[Date]],BH!E:E,1,)&lt;&gt;"",1,0),0)</f>
        <v>0</v>
      </c>
      <c r="O4304">
        <f>IFERROR(IF(VLOOKUP(calendar[[#This Row],[Date]],BH!G:G,1,)&lt;&gt;"",1,0),0)</f>
        <v>0</v>
      </c>
      <c r="P4304">
        <f>IF(OR(calendar[[#This Row],[UK_BH]]=1,calendar[[#This Row],[WeekDay]]=1, calendar[[#This Row],[WeekDay]]=7),P4303,P4303+1)</f>
        <v>3050</v>
      </c>
      <c r="Q4304">
        <f>IF(OR(calendar[[#This Row],[FR_BH]]=1,calendar[[#This Row],[WeekDay]]=1, calendar[[#This Row],[WeekDay]]=7),P4303,P4303+1)</f>
        <v>3050</v>
      </c>
      <c r="R4304">
        <f>IF(OR(calendar[[#This Row],[SP_BH]]=1,calendar[[#This Row],[WeekDay]]=1, calendar[[#This Row],[WeekDay]]=7),P4303,P4303+1)</f>
        <v>3050</v>
      </c>
      <c r="S4304">
        <f>IF(OR(calendar[[#This Row],[PT_BH]]=1,calendar[[#This Row],[WeekDay]]=1, calendar[[#This Row],[WeekDay]]=7),P4303,P4303+1)</f>
        <v>3050</v>
      </c>
    </row>
    <row r="4305" spans="1:19" x14ac:dyDescent="0.25">
      <c r="A4305" s="2">
        <v>47039</v>
      </c>
      <c r="B4305" s="1">
        <f t="shared" si="341"/>
        <v>42</v>
      </c>
      <c r="C4305">
        <f t="shared" si="342"/>
        <v>10</v>
      </c>
      <c r="D4305" t="str">
        <f t="shared" si="343"/>
        <v>October</v>
      </c>
      <c r="E4305">
        <f t="shared" si="344"/>
        <v>2028</v>
      </c>
      <c r="F4305" t="str">
        <f>CONCATENATE(calendar[[#This Row],[Month]],"/",calendar[[#This Row],[Year]])</f>
        <v>10/2028</v>
      </c>
      <c r="G4305">
        <f>WEEKDAY(calendar[[#This Row],[Date]],1)</f>
        <v>6</v>
      </c>
      <c r="H4305" t="str">
        <f>TEXT(calendar[[#This Row],[WeekDay]],"dddd")</f>
        <v>Friday</v>
      </c>
      <c r="I4305">
        <f>IF((INT(calendar[[#This Row],[Count]]/7)-calendar[[#This Row],[Count]]/7)&lt;0,I4304,I4304+1)</f>
        <v>615</v>
      </c>
      <c r="J4305">
        <f t="shared" si="345"/>
        <v>4303</v>
      </c>
      <c r="K4305">
        <f>IF(calendar[[#This Row],[Month]]&lt;4,1,IF(calendar[[#This Row],[Month]]&lt;7,2,IF(calendar[[#This Row],[Month]]&lt;10,3,4)))</f>
        <v>4</v>
      </c>
      <c r="L4305">
        <f>IFERROR(IF(VLOOKUP(calendar[[#This Row],[Date]],BH!A:A,1,)&lt;&gt;"",1,0),0)</f>
        <v>0</v>
      </c>
      <c r="M4305">
        <f>IFERROR(IF(VLOOKUP(calendar[[#This Row],[Date]],BH!C:C,1,)&lt;&gt;"",1,0),0)</f>
        <v>0</v>
      </c>
      <c r="N4305">
        <f>IFERROR(IF(VLOOKUP(calendar[[#This Row],[Date]],BH!E:E,1,)&lt;&gt;"",1,0),0)</f>
        <v>0</v>
      </c>
      <c r="O4305">
        <f>IFERROR(IF(VLOOKUP(calendar[[#This Row],[Date]],BH!G:G,1,)&lt;&gt;"",1,0),0)</f>
        <v>0</v>
      </c>
      <c r="P4305">
        <f>IF(OR(calendar[[#This Row],[UK_BH]]=1,calendar[[#This Row],[WeekDay]]=1, calendar[[#This Row],[WeekDay]]=7),P4304,P4304+1)</f>
        <v>3051</v>
      </c>
      <c r="Q4305">
        <f>IF(OR(calendar[[#This Row],[FR_BH]]=1,calendar[[#This Row],[WeekDay]]=1, calendar[[#This Row],[WeekDay]]=7),P4304,P4304+1)</f>
        <v>3051</v>
      </c>
      <c r="R4305">
        <f>IF(OR(calendar[[#This Row],[SP_BH]]=1,calendar[[#This Row],[WeekDay]]=1, calendar[[#This Row],[WeekDay]]=7),P4304,P4304+1)</f>
        <v>3051</v>
      </c>
      <c r="S4305">
        <f>IF(OR(calendar[[#This Row],[PT_BH]]=1,calendar[[#This Row],[WeekDay]]=1, calendar[[#This Row],[WeekDay]]=7),P4304,P4304+1)</f>
        <v>3051</v>
      </c>
    </row>
    <row r="4306" spans="1:19" x14ac:dyDescent="0.25">
      <c r="A4306" s="2">
        <v>47040</v>
      </c>
      <c r="B4306" s="1">
        <f t="shared" si="341"/>
        <v>42</v>
      </c>
      <c r="C4306">
        <f t="shared" si="342"/>
        <v>10</v>
      </c>
      <c r="D4306" t="str">
        <f t="shared" si="343"/>
        <v>October</v>
      </c>
      <c r="E4306">
        <f t="shared" si="344"/>
        <v>2028</v>
      </c>
      <c r="F4306" t="str">
        <f>CONCATENATE(calendar[[#This Row],[Month]],"/",calendar[[#This Row],[Year]])</f>
        <v>10/2028</v>
      </c>
      <c r="G4306">
        <f>WEEKDAY(calendar[[#This Row],[Date]],1)</f>
        <v>7</v>
      </c>
      <c r="H4306" t="str">
        <f>TEXT(calendar[[#This Row],[WeekDay]],"dddd")</f>
        <v>Saturday</v>
      </c>
      <c r="I4306">
        <f>IF((INT(calendar[[#This Row],[Count]]/7)-calendar[[#This Row],[Count]]/7)&lt;0,I4305,I4305+1)</f>
        <v>615</v>
      </c>
      <c r="J4306">
        <f t="shared" si="345"/>
        <v>4304</v>
      </c>
      <c r="K4306">
        <f>IF(calendar[[#This Row],[Month]]&lt;4,1,IF(calendar[[#This Row],[Month]]&lt;7,2,IF(calendar[[#This Row],[Month]]&lt;10,3,4)))</f>
        <v>4</v>
      </c>
      <c r="L4306">
        <f>IFERROR(IF(VLOOKUP(calendar[[#This Row],[Date]],BH!A:A,1,)&lt;&gt;"",1,0),0)</f>
        <v>0</v>
      </c>
      <c r="M4306">
        <f>IFERROR(IF(VLOOKUP(calendar[[#This Row],[Date]],BH!C:C,1,)&lt;&gt;"",1,0),0)</f>
        <v>0</v>
      </c>
      <c r="N4306">
        <f>IFERROR(IF(VLOOKUP(calendar[[#This Row],[Date]],BH!E:E,1,)&lt;&gt;"",1,0),0)</f>
        <v>0</v>
      </c>
      <c r="O4306">
        <f>IFERROR(IF(VLOOKUP(calendar[[#This Row],[Date]],BH!G:G,1,)&lt;&gt;"",1,0),0)</f>
        <v>0</v>
      </c>
      <c r="P4306">
        <f>IF(OR(calendar[[#This Row],[UK_BH]]=1,calendar[[#This Row],[WeekDay]]=1, calendar[[#This Row],[WeekDay]]=7),P4305,P4305+1)</f>
        <v>3051</v>
      </c>
      <c r="Q4306">
        <f>IF(OR(calendar[[#This Row],[FR_BH]]=1,calendar[[#This Row],[WeekDay]]=1, calendar[[#This Row],[WeekDay]]=7),P4305,P4305+1)</f>
        <v>3051</v>
      </c>
      <c r="R4306">
        <f>IF(OR(calendar[[#This Row],[SP_BH]]=1,calendar[[#This Row],[WeekDay]]=1, calendar[[#This Row],[WeekDay]]=7),P4305,P4305+1)</f>
        <v>3051</v>
      </c>
      <c r="S4306">
        <f>IF(OR(calendar[[#This Row],[PT_BH]]=1,calendar[[#This Row],[WeekDay]]=1, calendar[[#This Row],[WeekDay]]=7),P4305,P4305+1)</f>
        <v>3051</v>
      </c>
    </row>
    <row r="4307" spans="1:19" x14ac:dyDescent="0.25">
      <c r="A4307" s="2">
        <v>47041</v>
      </c>
      <c r="B4307" s="1">
        <f t="shared" si="341"/>
        <v>43</v>
      </c>
      <c r="C4307">
        <f t="shared" si="342"/>
        <v>10</v>
      </c>
      <c r="D4307" t="str">
        <f t="shared" si="343"/>
        <v>October</v>
      </c>
      <c r="E4307">
        <f t="shared" si="344"/>
        <v>2028</v>
      </c>
      <c r="F4307" t="str">
        <f>CONCATENATE(calendar[[#This Row],[Month]],"/",calendar[[#This Row],[Year]])</f>
        <v>10/2028</v>
      </c>
      <c r="G4307">
        <f>WEEKDAY(calendar[[#This Row],[Date]],1)</f>
        <v>1</v>
      </c>
      <c r="H4307" t="str">
        <f>TEXT(calendar[[#This Row],[WeekDay]],"dddd")</f>
        <v>Sunday</v>
      </c>
      <c r="I4307">
        <f>IF((INT(calendar[[#This Row],[Count]]/7)-calendar[[#This Row],[Count]]/7)&lt;0,I4306,I4306+1)</f>
        <v>616</v>
      </c>
      <c r="J4307">
        <f t="shared" si="345"/>
        <v>4305</v>
      </c>
      <c r="K4307">
        <f>IF(calendar[[#This Row],[Month]]&lt;4,1,IF(calendar[[#This Row],[Month]]&lt;7,2,IF(calendar[[#This Row],[Month]]&lt;10,3,4)))</f>
        <v>4</v>
      </c>
      <c r="L4307">
        <f>IFERROR(IF(VLOOKUP(calendar[[#This Row],[Date]],BH!A:A,1,)&lt;&gt;"",1,0),0)</f>
        <v>0</v>
      </c>
      <c r="M4307">
        <f>IFERROR(IF(VLOOKUP(calendar[[#This Row],[Date]],BH!C:C,1,)&lt;&gt;"",1,0),0)</f>
        <v>0</v>
      </c>
      <c r="N4307">
        <f>IFERROR(IF(VLOOKUP(calendar[[#This Row],[Date]],BH!E:E,1,)&lt;&gt;"",1,0),0)</f>
        <v>0</v>
      </c>
      <c r="O4307">
        <f>IFERROR(IF(VLOOKUP(calendar[[#This Row],[Date]],BH!G:G,1,)&lt;&gt;"",1,0),0)</f>
        <v>0</v>
      </c>
      <c r="P4307">
        <f>IF(OR(calendar[[#This Row],[UK_BH]]=1,calendar[[#This Row],[WeekDay]]=1, calendar[[#This Row],[WeekDay]]=7),P4306,P4306+1)</f>
        <v>3051</v>
      </c>
      <c r="Q4307">
        <f>IF(OR(calendar[[#This Row],[FR_BH]]=1,calendar[[#This Row],[WeekDay]]=1, calendar[[#This Row],[WeekDay]]=7),P4306,P4306+1)</f>
        <v>3051</v>
      </c>
      <c r="R4307">
        <f>IF(OR(calendar[[#This Row],[SP_BH]]=1,calendar[[#This Row],[WeekDay]]=1, calendar[[#This Row],[WeekDay]]=7),P4306,P4306+1)</f>
        <v>3051</v>
      </c>
      <c r="S4307">
        <f>IF(OR(calendar[[#This Row],[PT_BH]]=1,calendar[[#This Row],[WeekDay]]=1, calendar[[#This Row],[WeekDay]]=7),P4306,P4306+1)</f>
        <v>3051</v>
      </c>
    </row>
    <row r="4308" spans="1:19" x14ac:dyDescent="0.25">
      <c r="A4308" s="2">
        <v>47042</v>
      </c>
      <c r="B4308" s="1">
        <f t="shared" si="341"/>
        <v>43</v>
      </c>
      <c r="C4308">
        <f t="shared" si="342"/>
        <v>10</v>
      </c>
      <c r="D4308" t="str">
        <f t="shared" si="343"/>
        <v>October</v>
      </c>
      <c r="E4308">
        <f t="shared" si="344"/>
        <v>2028</v>
      </c>
      <c r="F4308" t="str">
        <f>CONCATENATE(calendar[[#This Row],[Month]],"/",calendar[[#This Row],[Year]])</f>
        <v>10/2028</v>
      </c>
      <c r="G4308">
        <f>WEEKDAY(calendar[[#This Row],[Date]],1)</f>
        <v>2</v>
      </c>
      <c r="H4308" t="str">
        <f>TEXT(calendar[[#This Row],[WeekDay]],"dddd")</f>
        <v>Monday</v>
      </c>
      <c r="I4308">
        <f>IF((INT(calendar[[#This Row],[Count]]/7)-calendar[[#This Row],[Count]]/7)&lt;0,I4307,I4307+1)</f>
        <v>616</v>
      </c>
      <c r="J4308">
        <f t="shared" si="345"/>
        <v>4306</v>
      </c>
      <c r="K4308">
        <f>IF(calendar[[#This Row],[Month]]&lt;4,1,IF(calendar[[#This Row],[Month]]&lt;7,2,IF(calendar[[#This Row],[Month]]&lt;10,3,4)))</f>
        <v>4</v>
      </c>
      <c r="L4308">
        <f>IFERROR(IF(VLOOKUP(calendar[[#This Row],[Date]],BH!A:A,1,)&lt;&gt;"",1,0),0)</f>
        <v>0</v>
      </c>
      <c r="M4308">
        <f>IFERROR(IF(VLOOKUP(calendar[[#This Row],[Date]],BH!C:C,1,)&lt;&gt;"",1,0),0)</f>
        <v>0</v>
      </c>
      <c r="N4308">
        <f>IFERROR(IF(VLOOKUP(calendar[[#This Row],[Date]],BH!E:E,1,)&lt;&gt;"",1,0),0)</f>
        <v>0</v>
      </c>
      <c r="O4308">
        <f>IFERROR(IF(VLOOKUP(calendar[[#This Row],[Date]],BH!G:G,1,)&lt;&gt;"",1,0),0)</f>
        <v>0</v>
      </c>
      <c r="P4308">
        <f>IF(OR(calendar[[#This Row],[UK_BH]]=1,calendar[[#This Row],[WeekDay]]=1, calendar[[#This Row],[WeekDay]]=7),P4307,P4307+1)</f>
        <v>3052</v>
      </c>
      <c r="Q4308">
        <f>IF(OR(calendar[[#This Row],[FR_BH]]=1,calendar[[#This Row],[WeekDay]]=1, calendar[[#This Row],[WeekDay]]=7),P4307,P4307+1)</f>
        <v>3052</v>
      </c>
      <c r="R4308">
        <f>IF(OR(calendar[[#This Row],[SP_BH]]=1,calendar[[#This Row],[WeekDay]]=1, calendar[[#This Row],[WeekDay]]=7),P4307,P4307+1)</f>
        <v>3052</v>
      </c>
      <c r="S4308">
        <f>IF(OR(calendar[[#This Row],[PT_BH]]=1,calendar[[#This Row],[WeekDay]]=1, calendar[[#This Row],[WeekDay]]=7),P4307,P4307+1)</f>
        <v>3052</v>
      </c>
    </row>
    <row r="4309" spans="1:19" x14ac:dyDescent="0.25">
      <c r="A4309" s="2">
        <v>47043</v>
      </c>
      <c r="B4309" s="1">
        <f t="shared" si="341"/>
        <v>43</v>
      </c>
      <c r="C4309">
        <f t="shared" si="342"/>
        <v>10</v>
      </c>
      <c r="D4309" t="str">
        <f t="shared" si="343"/>
        <v>October</v>
      </c>
      <c r="E4309">
        <f t="shared" si="344"/>
        <v>2028</v>
      </c>
      <c r="F4309" t="str">
        <f>CONCATENATE(calendar[[#This Row],[Month]],"/",calendar[[#This Row],[Year]])</f>
        <v>10/2028</v>
      </c>
      <c r="G4309">
        <f>WEEKDAY(calendar[[#This Row],[Date]],1)</f>
        <v>3</v>
      </c>
      <c r="H4309" t="str">
        <f>TEXT(calendar[[#This Row],[WeekDay]],"dddd")</f>
        <v>Tuesday</v>
      </c>
      <c r="I4309">
        <f>IF((INT(calendar[[#This Row],[Count]]/7)-calendar[[#This Row],[Count]]/7)&lt;0,I4308,I4308+1)</f>
        <v>616</v>
      </c>
      <c r="J4309">
        <f t="shared" si="345"/>
        <v>4307</v>
      </c>
      <c r="K4309">
        <f>IF(calendar[[#This Row],[Month]]&lt;4,1,IF(calendar[[#This Row],[Month]]&lt;7,2,IF(calendar[[#This Row],[Month]]&lt;10,3,4)))</f>
        <v>4</v>
      </c>
      <c r="L4309">
        <f>IFERROR(IF(VLOOKUP(calendar[[#This Row],[Date]],BH!A:A,1,)&lt;&gt;"",1,0),0)</f>
        <v>0</v>
      </c>
      <c r="M4309">
        <f>IFERROR(IF(VLOOKUP(calendar[[#This Row],[Date]],BH!C:C,1,)&lt;&gt;"",1,0),0)</f>
        <v>0</v>
      </c>
      <c r="N4309">
        <f>IFERROR(IF(VLOOKUP(calendar[[#This Row],[Date]],BH!E:E,1,)&lt;&gt;"",1,0),0)</f>
        <v>0</v>
      </c>
      <c r="O4309">
        <f>IFERROR(IF(VLOOKUP(calendar[[#This Row],[Date]],BH!G:G,1,)&lt;&gt;"",1,0),0)</f>
        <v>0</v>
      </c>
      <c r="P4309">
        <f>IF(OR(calendar[[#This Row],[UK_BH]]=1,calendar[[#This Row],[WeekDay]]=1, calendar[[#This Row],[WeekDay]]=7),P4308,P4308+1)</f>
        <v>3053</v>
      </c>
      <c r="Q4309">
        <f>IF(OR(calendar[[#This Row],[FR_BH]]=1,calendar[[#This Row],[WeekDay]]=1, calendar[[#This Row],[WeekDay]]=7),P4308,P4308+1)</f>
        <v>3053</v>
      </c>
      <c r="R4309">
        <f>IF(OR(calendar[[#This Row],[SP_BH]]=1,calendar[[#This Row],[WeekDay]]=1, calendar[[#This Row],[WeekDay]]=7),P4308,P4308+1)</f>
        <v>3053</v>
      </c>
      <c r="S4309">
        <f>IF(OR(calendar[[#This Row],[PT_BH]]=1,calendar[[#This Row],[WeekDay]]=1, calendar[[#This Row],[WeekDay]]=7),P4308,P4308+1)</f>
        <v>3053</v>
      </c>
    </row>
    <row r="4310" spans="1:19" x14ac:dyDescent="0.25">
      <c r="A4310" s="2">
        <v>47044</v>
      </c>
      <c r="B4310" s="1">
        <f t="shared" si="341"/>
        <v>43</v>
      </c>
      <c r="C4310">
        <f t="shared" si="342"/>
        <v>10</v>
      </c>
      <c r="D4310" t="str">
        <f t="shared" si="343"/>
        <v>October</v>
      </c>
      <c r="E4310">
        <f t="shared" si="344"/>
        <v>2028</v>
      </c>
      <c r="F4310" t="str">
        <f>CONCATENATE(calendar[[#This Row],[Month]],"/",calendar[[#This Row],[Year]])</f>
        <v>10/2028</v>
      </c>
      <c r="G4310">
        <f>WEEKDAY(calendar[[#This Row],[Date]],1)</f>
        <v>4</v>
      </c>
      <c r="H4310" t="str">
        <f>TEXT(calendar[[#This Row],[WeekDay]],"dddd")</f>
        <v>Wednesday</v>
      </c>
      <c r="I4310">
        <f>IF((INT(calendar[[#This Row],[Count]]/7)-calendar[[#This Row],[Count]]/7)&lt;0,I4309,I4309+1)</f>
        <v>616</v>
      </c>
      <c r="J4310">
        <f t="shared" si="345"/>
        <v>4308</v>
      </c>
      <c r="K4310">
        <f>IF(calendar[[#This Row],[Month]]&lt;4,1,IF(calendar[[#This Row],[Month]]&lt;7,2,IF(calendar[[#This Row],[Month]]&lt;10,3,4)))</f>
        <v>4</v>
      </c>
      <c r="L4310">
        <f>IFERROR(IF(VLOOKUP(calendar[[#This Row],[Date]],BH!A:A,1,)&lt;&gt;"",1,0),0)</f>
        <v>0</v>
      </c>
      <c r="M4310">
        <f>IFERROR(IF(VLOOKUP(calendar[[#This Row],[Date]],BH!C:C,1,)&lt;&gt;"",1,0),0)</f>
        <v>0</v>
      </c>
      <c r="N4310">
        <f>IFERROR(IF(VLOOKUP(calendar[[#This Row],[Date]],BH!E:E,1,)&lt;&gt;"",1,0),0)</f>
        <v>0</v>
      </c>
      <c r="O4310">
        <f>IFERROR(IF(VLOOKUP(calendar[[#This Row],[Date]],BH!G:G,1,)&lt;&gt;"",1,0),0)</f>
        <v>0</v>
      </c>
      <c r="P4310">
        <f>IF(OR(calendar[[#This Row],[UK_BH]]=1,calendar[[#This Row],[WeekDay]]=1, calendar[[#This Row],[WeekDay]]=7),P4309,P4309+1)</f>
        <v>3054</v>
      </c>
      <c r="Q4310">
        <f>IF(OR(calendar[[#This Row],[FR_BH]]=1,calendar[[#This Row],[WeekDay]]=1, calendar[[#This Row],[WeekDay]]=7),P4309,P4309+1)</f>
        <v>3054</v>
      </c>
      <c r="R4310">
        <f>IF(OR(calendar[[#This Row],[SP_BH]]=1,calendar[[#This Row],[WeekDay]]=1, calendar[[#This Row],[WeekDay]]=7),P4309,P4309+1)</f>
        <v>3054</v>
      </c>
      <c r="S4310">
        <f>IF(OR(calendar[[#This Row],[PT_BH]]=1,calendar[[#This Row],[WeekDay]]=1, calendar[[#This Row],[WeekDay]]=7),P4309,P4309+1)</f>
        <v>3054</v>
      </c>
    </row>
    <row r="4311" spans="1:19" x14ac:dyDescent="0.25">
      <c r="A4311" s="2">
        <v>47045</v>
      </c>
      <c r="B4311" s="1">
        <f t="shared" si="341"/>
        <v>43</v>
      </c>
      <c r="C4311">
        <f t="shared" si="342"/>
        <v>10</v>
      </c>
      <c r="D4311" t="str">
        <f t="shared" si="343"/>
        <v>October</v>
      </c>
      <c r="E4311">
        <f t="shared" si="344"/>
        <v>2028</v>
      </c>
      <c r="F4311" t="str">
        <f>CONCATENATE(calendar[[#This Row],[Month]],"/",calendar[[#This Row],[Year]])</f>
        <v>10/2028</v>
      </c>
      <c r="G4311">
        <f>WEEKDAY(calendar[[#This Row],[Date]],1)</f>
        <v>5</v>
      </c>
      <c r="H4311" t="str">
        <f>TEXT(calendar[[#This Row],[WeekDay]],"dddd")</f>
        <v>Thursday</v>
      </c>
      <c r="I4311">
        <f>IF((INT(calendar[[#This Row],[Count]]/7)-calendar[[#This Row],[Count]]/7)&lt;0,I4310,I4310+1)</f>
        <v>616</v>
      </c>
      <c r="J4311">
        <f t="shared" si="345"/>
        <v>4309</v>
      </c>
      <c r="K4311">
        <f>IF(calendar[[#This Row],[Month]]&lt;4,1,IF(calendar[[#This Row],[Month]]&lt;7,2,IF(calendar[[#This Row],[Month]]&lt;10,3,4)))</f>
        <v>4</v>
      </c>
      <c r="L4311">
        <f>IFERROR(IF(VLOOKUP(calendar[[#This Row],[Date]],BH!A:A,1,)&lt;&gt;"",1,0),0)</f>
        <v>0</v>
      </c>
      <c r="M4311">
        <f>IFERROR(IF(VLOOKUP(calendar[[#This Row],[Date]],BH!C:C,1,)&lt;&gt;"",1,0),0)</f>
        <v>0</v>
      </c>
      <c r="N4311">
        <f>IFERROR(IF(VLOOKUP(calendar[[#This Row],[Date]],BH!E:E,1,)&lt;&gt;"",1,0),0)</f>
        <v>0</v>
      </c>
      <c r="O4311">
        <f>IFERROR(IF(VLOOKUP(calendar[[#This Row],[Date]],BH!G:G,1,)&lt;&gt;"",1,0),0)</f>
        <v>0</v>
      </c>
      <c r="P4311">
        <f>IF(OR(calendar[[#This Row],[UK_BH]]=1,calendar[[#This Row],[WeekDay]]=1, calendar[[#This Row],[WeekDay]]=7),P4310,P4310+1)</f>
        <v>3055</v>
      </c>
      <c r="Q4311">
        <f>IF(OR(calendar[[#This Row],[FR_BH]]=1,calendar[[#This Row],[WeekDay]]=1, calendar[[#This Row],[WeekDay]]=7),P4310,P4310+1)</f>
        <v>3055</v>
      </c>
      <c r="R4311">
        <f>IF(OR(calendar[[#This Row],[SP_BH]]=1,calendar[[#This Row],[WeekDay]]=1, calendar[[#This Row],[WeekDay]]=7),P4310,P4310+1)</f>
        <v>3055</v>
      </c>
      <c r="S4311">
        <f>IF(OR(calendar[[#This Row],[PT_BH]]=1,calendar[[#This Row],[WeekDay]]=1, calendar[[#This Row],[WeekDay]]=7),P4310,P4310+1)</f>
        <v>3055</v>
      </c>
    </row>
    <row r="4312" spans="1:19" x14ac:dyDescent="0.25">
      <c r="A4312" s="2">
        <v>47046</v>
      </c>
      <c r="B4312" s="1">
        <f t="shared" si="341"/>
        <v>43</v>
      </c>
      <c r="C4312">
        <f t="shared" si="342"/>
        <v>10</v>
      </c>
      <c r="D4312" t="str">
        <f t="shared" si="343"/>
        <v>October</v>
      </c>
      <c r="E4312">
        <f t="shared" si="344"/>
        <v>2028</v>
      </c>
      <c r="F4312" t="str">
        <f>CONCATENATE(calendar[[#This Row],[Month]],"/",calendar[[#This Row],[Year]])</f>
        <v>10/2028</v>
      </c>
      <c r="G4312">
        <f>WEEKDAY(calendar[[#This Row],[Date]],1)</f>
        <v>6</v>
      </c>
      <c r="H4312" t="str">
        <f>TEXT(calendar[[#This Row],[WeekDay]],"dddd")</f>
        <v>Friday</v>
      </c>
      <c r="I4312">
        <f>IF((INT(calendar[[#This Row],[Count]]/7)-calendar[[#This Row],[Count]]/7)&lt;0,I4311,I4311+1)</f>
        <v>616</v>
      </c>
      <c r="J4312">
        <f t="shared" si="345"/>
        <v>4310</v>
      </c>
      <c r="K4312">
        <f>IF(calendar[[#This Row],[Month]]&lt;4,1,IF(calendar[[#This Row],[Month]]&lt;7,2,IF(calendar[[#This Row],[Month]]&lt;10,3,4)))</f>
        <v>4</v>
      </c>
      <c r="L4312">
        <f>IFERROR(IF(VLOOKUP(calendar[[#This Row],[Date]],BH!A:A,1,)&lt;&gt;"",1,0),0)</f>
        <v>0</v>
      </c>
      <c r="M4312">
        <f>IFERROR(IF(VLOOKUP(calendar[[#This Row],[Date]],BH!C:C,1,)&lt;&gt;"",1,0),0)</f>
        <v>0</v>
      </c>
      <c r="N4312">
        <f>IFERROR(IF(VLOOKUP(calendar[[#This Row],[Date]],BH!E:E,1,)&lt;&gt;"",1,0),0)</f>
        <v>0</v>
      </c>
      <c r="O4312">
        <f>IFERROR(IF(VLOOKUP(calendar[[#This Row],[Date]],BH!G:G,1,)&lt;&gt;"",1,0),0)</f>
        <v>0</v>
      </c>
      <c r="P4312">
        <f>IF(OR(calendar[[#This Row],[UK_BH]]=1,calendar[[#This Row],[WeekDay]]=1, calendar[[#This Row],[WeekDay]]=7),P4311,P4311+1)</f>
        <v>3056</v>
      </c>
      <c r="Q4312">
        <f>IF(OR(calendar[[#This Row],[FR_BH]]=1,calendar[[#This Row],[WeekDay]]=1, calendar[[#This Row],[WeekDay]]=7),P4311,P4311+1)</f>
        <v>3056</v>
      </c>
      <c r="R4312">
        <f>IF(OR(calendar[[#This Row],[SP_BH]]=1,calendar[[#This Row],[WeekDay]]=1, calendar[[#This Row],[WeekDay]]=7),P4311,P4311+1)</f>
        <v>3056</v>
      </c>
      <c r="S4312">
        <f>IF(OR(calendar[[#This Row],[PT_BH]]=1,calendar[[#This Row],[WeekDay]]=1, calendar[[#This Row],[WeekDay]]=7),P4311,P4311+1)</f>
        <v>3056</v>
      </c>
    </row>
    <row r="4313" spans="1:19" x14ac:dyDescent="0.25">
      <c r="A4313" s="2">
        <v>47047</v>
      </c>
      <c r="B4313" s="1">
        <f t="shared" si="341"/>
        <v>43</v>
      </c>
      <c r="C4313">
        <f t="shared" si="342"/>
        <v>10</v>
      </c>
      <c r="D4313" t="str">
        <f t="shared" si="343"/>
        <v>October</v>
      </c>
      <c r="E4313">
        <f t="shared" si="344"/>
        <v>2028</v>
      </c>
      <c r="F4313" t="str">
        <f>CONCATENATE(calendar[[#This Row],[Month]],"/",calendar[[#This Row],[Year]])</f>
        <v>10/2028</v>
      </c>
      <c r="G4313">
        <f>WEEKDAY(calendar[[#This Row],[Date]],1)</f>
        <v>7</v>
      </c>
      <c r="H4313" t="str">
        <f>TEXT(calendar[[#This Row],[WeekDay]],"dddd")</f>
        <v>Saturday</v>
      </c>
      <c r="I4313">
        <f>IF((INT(calendar[[#This Row],[Count]]/7)-calendar[[#This Row],[Count]]/7)&lt;0,I4312,I4312+1)</f>
        <v>616</v>
      </c>
      <c r="J4313">
        <f t="shared" si="345"/>
        <v>4311</v>
      </c>
      <c r="K4313">
        <f>IF(calendar[[#This Row],[Month]]&lt;4,1,IF(calendar[[#This Row],[Month]]&lt;7,2,IF(calendar[[#This Row],[Month]]&lt;10,3,4)))</f>
        <v>4</v>
      </c>
      <c r="L4313">
        <f>IFERROR(IF(VLOOKUP(calendar[[#This Row],[Date]],BH!A:A,1,)&lt;&gt;"",1,0),0)</f>
        <v>0</v>
      </c>
      <c r="M4313">
        <f>IFERROR(IF(VLOOKUP(calendar[[#This Row],[Date]],BH!C:C,1,)&lt;&gt;"",1,0),0)</f>
        <v>0</v>
      </c>
      <c r="N4313">
        <f>IFERROR(IF(VLOOKUP(calendar[[#This Row],[Date]],BH!E:E,1,)&lt;&gt;"",1,0),0)</f>
        <v>0</v>
      </c>
      <c r="O4313">
        <f>IFERROR(IF(VLOOKUP(calendar[[#This Row],[Date]],BH!G:G,1,)&lt;&gt;"",1,0),0)</f>
        <v>0</v>
      </c>
      <c r="P4313">
        <f>IF(OR(calendar[[#This Row],[UK_BH]]=1,calendar[[#This Row],[WeekDay]]=1, calendar[[#This Row],[WeekDay]]=7),P4312,P4312+1)</f>
        <v>3056</v>
      </c>
      <c r="Q4313">
        <f>IF(OR(calendar[[#This Row],[FR_BH]]=1,calendar[[#This Row],[WeekDay]]=1, calendar[[#This Row],[WeekDay]]=7),P4312,P4312+1)</f>
        <v>3056</v>
      </c>
      <c r="R4313">
        <f>IF(OR(calendar[[#This Row],[SP_BH]]=1,calendar[[#This Row],[WeekDay]]=1, calendar[[#This Row],[WeekDay]]=7),P4312,P4312+1)</f>
        <v>3056</v>
      </c>
      <c r="S4313">
        <f>IF(OR(calendar[[#This Row],[PT_BH]]=1,calendar[[#This Row],[WeekDay]]=1, calendar[[#This Row],[WeekDay]]=7),P4312,P4312+1)</f>
        <v>3056</v>
      </c>
    </row>
    <row r="4314" spans="1:19" x14ac:dyDescent="0.25">
      <c r="A4314" s="2">
        <v>47048</v>
      </c>
      <c r="B4314" s="1">
        <f t="shared" si="341"/>
        <v>44</v>
      </c>
      <c r="C4314">
        <f t="shared" si="342"/>
        <v>10</v>
      </c>
      <c r="D4314" t="str">
        <f t="shared" si="343"/>
        <v>October</v>
      </c>
      <c r="E4314">
        <f t="shared" si="344"/>
        <v>2028</v>
      </c>
      <c r="F4314" t="str">
        <f>CONCATENATE(calendar[[#This Row],[Month]],"/",calendar[[#This Row],[Year]])</f>
        <v>10/2028</v>
      </c>
      <c r="G4314">
        <f>WEEKDAY(calendar[[#This Row],[Date]],1)</f>
        <v>1</v>
      </c>
      <c r="H4314" t="str">
        <f>TEXT(calendar[[#This Row],[WeekDay]],"dddd")</f>
        <v>Sunday</v>
      </c>
      <c r="I4314">
        <f>IF((INT(calendar[[#This Row],[Count]]/7)-calendar[[#This Row],[Count]]/7)&lt;0,I4313,I4313+1)</f>
        <v>617</v>
      </c>
      <c r="J4314">
        <f t="shared" si="345"/>
        <v>4312</v>
      </c>
      <c r="K4314">
        <f>IF(calendar[[#This Row],[Month]]&lt;4,1,IF(calendar[[#This Row],[Month]]&lt;7,2,IF(calendar[[#This Row],[Month]]&lt;10,3,4)))</f>
        <v>4</v>
      </c>
      <c r="L4314">
        <f>IFERROR(IF(VLOOKUP(calendar[[#This Row],[Date]],BH!A:A,1,)&lt;&gt;"",1,0),0)</f>
        <v>0</v>
      </c>
      <c r="M4314">
        <f>IFERROR(IF(VLOOKUP(calendar[[#This Row],[Date]],BH!C:C,1,)&lt;&gt;"",1,0),0)</f>
        <v>0</v>
      </c>
      <c r="N4314">
        <f>IFERROR(IF(VLOOKUP(calendar[[#This Row],[Date]],BH!E:E,1,)&lt;&gt;"",1,0),0)</f>
        <v>0</v>
      </c>
      <c r="O4314">
        <f>IFERROR(IF(VLOOKUP(calendar[[#This Row],[Date]],BH!G:G,1,)&lt;&gt;"",1,0),0)</f>
        <v>0</v>
      </c>
      <c r="P4314">
        <f>IF(OR(calendar[[#This Row],[UK_BH]]=1,calendar[[#This Row],[WeekDay]]=1, calendar[[#This Row],[WeekDay]]=7),P4313,P4313+1)</f>
        <v>3056</v>
      </c>
      <c r="Q4314">
        <f>IF(OR(calendar[[#This Row],[FR_BH]]=1,calendar[[#This Row],[WeekDay]]=1, calendar[[#This Row],[WeekDay]]=7),P4313,P4313+1)</f>
        <v>3056</v>
      </c>
      <c r="R4314">
        <f>IF(OR(calendar[[#This Row],[SP_BH]]=1,calendar[[#This Row],[WeekDay]]=1, calendar[[#This Row],[WeekDay]]=7),P4313,P4313+1)</f>
        <v>3056</v>
      </c>
      <c r="S4314">
        <f>IF(OR(calendar[[#This Row],[PT_BH]]=1,calendar[[#This Row],[WeekDay]]=1, calendar[[#This Row],[WeekDay]]=7),P4313,P4313+1)</f>
        <v>3056</v>
      </c>
    </row>
    <row r="4315" spans="1:19" x14ac:dyDescent="0.25">
      <c r="A4315" s="2">
        <v>47049</v>
      </c>
      <c r="B4315" s="1">
        <f t="shared" si="341"/>
        <v>44</v>
      </c>
      <c r="C4315">
        <f t="shared" si="342"/>
        <v>10</v>
      </c>
      <c r="D4315" t="str">
        <f t="shared" si="343"/>
        <v>October</v>
      </c>
      <c r="E4315">
        <f t="shared" si="344"/>
        <v>2028</v>
      </c>
      <c r="F4315" t="str">
        <f>CONCATENATE(calendar[[#This Row],[Month]],"/",calendar[[#This Row],[Year]])</f>
        <v>10/2028</v>
      </c>
      <c r="G4315">
        <f>WEEKDAY(calendar[[#This Row],[Date]],1)</f>
        <v>2</v>
      </c>
      <c r="H4315" t="str">
        <f>TEXT(calendar[[#This Row],[WeekDay]],"dddd")</f>
        <v>Monday</v>
      </c>
      <c r="I4315">
        <f>IF((INT(calendar[[#This Row],[Count]]/7)-calendar[[#This Row],[Count]]/7)&lt;0,I4314,I4314+1)</f>
        <v>617</v>
      </c>
      <c r="J4315">
        <f t="shared" si="345"/>
        <v>4313</v>
      </c>
      <c r="K4315">
        <f>IF(calendar[[#This Row],[Month]]&lt;4,1,IF(calendar[[#This Row],[Month]]&lt;7,2,IF(calendar[[#This Row],[Month]]&lt;10,3,4)))</f>
        <v>4</v>
      </c>
      <c r="L4315">
        <f>IFERROR(IF(VLOOKUP(calendar[[#This Row],[Date]],BH!A:A,1,)&lt;&gt;"",1,0),0)</f>
        <v>0</v>
      </c>
      <c r="M4315">
        <f>IFERROR(IF(VLOOKUP(calendar[[#This Row],[Date]],BH!C:C,1,)&lt;&gt;"",1,0),0)</f>
        <v>0</v>
      </c>
      <c r="N4315">
        <f>IFERROR(IF(VLOOKUP(calendar[[#This Row],[Date]],BH!E:E,1,)&lt;&gt;"",1,0),0)</f>
        <v>0</v>
      </c>
      <c r="O4315">
        <f>IFERROR(IF(VLOOKUP(calendar[[#This Row],[Date]],BH!G:G,1,)&lt;&gt;"",1,0),0)</f>
        <v>0</v>
      </c>
      <c r="P4315">
        <f>IF(OR(calendar[[#This Row],[UK_BH]]=1,calendar[[#This Row],[WeekDay]]=1, calendar[[#This Row],[WeekDay]]=7),P4314,P4314+1)</f>
        <v>3057</v>
      </c>
      <c r="Q4315">
        <f>IF(OR(calendar[[#This Row],[FR_BH]]=1,calendar[[#This Row],[WeekDay]]=1, calendar[[#This Row],[WeekDay]]=7),P4314,P4314+1)</f>
        <v>3057</v>
      </c>
      <c r="R4315">
        <f>IF(OR(calendar[[#This Row],[SP_BH]]=1,calendar[[#This Row],[WeekDay]]=1, calendar[[#This Row],[WeekDay]]=7),P4314,P4314+1)</f>
        <v>3057</v>
      </c>
      <c r="S4315">
        <f>IF(OR(calendar[[#This Row],[PT_BH]]=1,calendar[[#This Row],[WeekDay]]=1, calendar[[#This Row],[WeekDay]]=7),P4314,P4314+1)</f>
        <v>3057</v>
      </c>
    </row>
    <row r="4316" spans="1:19" x14ac:dyDescent="0.25">
      <c r="A4316" s="2">
        <v>47050</v>
      </c>
      <c r="B4316" s="1">
        <f t="shared" si="341"/>
        <v>44</v>
      </c>
      <c r="C4316">
        <f t="shared" si="342"/>
        <v>10</v>
      </c>
      <c r="D4316" t="str">
        <f t="shared" si="343"/>
        <v>October</v>
      </c>
      <c r="E4316">
        <f t="shared" si="344"/>
        <v>2028</v>
      </c>
      <c r="F4316" t="str">
        <f>CONCATENATE(calendar[[#This Row],[Month]],"/",calendar[[#This Row],[Year]])</f>
        <v>10/2028</v>
      </c>
      <c r="G4316">
        <f>WEEKDAY(calendar[[#This Row],[Date]],1)</f>
        <v>3</v>
      </c>
      <c r="H4316" t="str">
        <f>TEXT(calendar[[#This Row],[WeekDay]],"dddd")</f>
        <v>Tuesday</v>
      </c>
      <c r="I4316">
        <f>IF((INT(calendar[[#This Row],[Count]]/7)-calendar[[#This Row],[Count]]/7)&lt;0,I4315,I4315+1)</f>
        <v>617</v>
      </c>
      <c r="J4316">
        <f t="shared" si="345"/>
        <v>4314</v>
      </c>
      <c r="K4316">
        <f>IF(calendar[[#This Row],[Month]]&lt;4,1,IF(calendar[[#This Row],[Month]]&lt;7,2,IF(calendar[[#This Row],[Month]]&lt;10,3,4)))</f>
        <v>4</v>
      </c>
      <c r="L4316">
        <f>IFERROR(IF(VLOOKUP(calendar[[#This Row],[Date]],BH!A:A,1,)&lt;&gt;"",1,0),0)</f>
        <v>0</v>
      </c>
      <c r="M4316">
        <f>IFERROR(IF(VLOOKUP(calendar[[#This Row],[Date]],BH!C:C,1,)&lt;&gt;"",1,0),0)</f>
        <v>0</v>
      </c>
      <c r="N4316">
        <f>IFERROR(IF(VLOOKUP(calendar[[#This Row],[Date]],BH!E:E,1,)&lt;&gt;"",1,0),0)</f>
        <v>0</v>
      </c>
      <c r="O4316">
        <f>IFERROR(IF(VLOOKUP(calendar[[#This Row],[Date]],BH!G:G,1,)&lt;&gt;"",1,0),0)</f>
        <v>0</v>
      </c>
      <c r="P4316">
        <f>IF(OR(calendar[[#This Row],[UK_BH]]=1,calendar[[#This Row],[WeekDay]]=1, calendar[[#This Row],[WeekDay]]=7),P4315,P4315+1)</f>
        <v>3058</v>
      </c>
      <c r="Q4316">
        <f>IF(OR(calendar[[#This Row],[FR_BH]]=1,calendar[[#This Row],[WeekDay]]=1, calendar[[#This Row],[WeekDay]]=7),P4315,P4315+1)</f>
        <v>3058</v>
      </c>
      <c r="R4316">
        <f>IF(OR(calendar[[#This Row],[SP_BH]]=1,calendar[[#This Row],[WeekDay]]=1, calendar[[#This Row],[WeekDay]]=7),P4315,P4315+1)</f>
        <v>3058</v>
      </c>
      <c r="S4316">
        <f>IF(OR(calendar[[#This Row],[PT_BH]]=1,calendar[[#This Row],[WeekDay]]=1, calendar[[#This Row],[WeekDay]]=7),P4315,P4315+1)</f>
        <v>3058</v>
      </c>
    </row>
    <row r="4317" spans="1:19" x14ac:dyDescent="0.25">
      <c r="A4317" s="2">
        <v>47051</v>
      </c>
      <c r="B4317" s="1">
        <f t="shared" si="341"/>
        <v>44</v>
      </c>
      <c r="C4317">
        <f t="shared" si="342"/>
        <v>10</v>
      </c>
      <c r="D4317" t="str">
        <f t="shared" si="343"/>
        <v>October</v>
      </c>
      <c r="E4317">
        <f t="shared" si="344"/>
        <v>2028</v>
      </c>
      <c r="F4317" t="str">
        <f>CONCATENATE(calendar[[#This Row],[Month]],"/",calendar[[#This Row],[Year]])</f>
        <v>10/2028</v>
      </c>
      <c r="G4317">
        <f>WEEKDAY(calendar[[#This Row],[Date]],1)</f>
        <v>4</v>
      </c>
      <c r="H4317" t="str">
        <f>TEXT(calendar[[#This Row],[WeekDay]],"dddd")</f>
        <v>Wednesday</v>
      </c>
      <c r="I4317">
        <f>IF((INT(calendar[[#This Row],[Count]]/7)-calendar[[#This Row],[Count]]/7)&lt;0,I4316,I4316+1)</f>
        <v>617</v>
      </c>
      <c r="J4317">
        <f t="shared" si="345"/>
        <v>4315</v>
      </c>
      <c r="K4317">
        <f>IF(calendar[[#This Row],[Month]]&lt;4,1,IF(calendar[[#This Row],[Month]]&lt;7,2,IF(calendar[[#This Row],[Month]]&lt;10,3,4)))</f>
        <v>4</v>
      </c>
      <c r="L4317">
        <f>IFERROR(IF(VLOOKUP(calendar[[#This Row],[Date]],BH!A:A,1,)&lt;&gt;"",1,0),0)</f>
        <v>0</v>
      </c>
      <c r="M4317">
        <f>IFERROR(IF(VLOOKUP(calendar[[#This Row],[Date]],BH!C:C,1,)&lt;&gt;"",1,0),0)</f>
        <v>0</v>
      </c>
      <c r="N4317">
        <f>IFERROR(IF(VLOOKUP(calendar[[#This Row],[Date]],BH!E:E,1,)&lt;&gt;"",1,0),0)</f>
        <v>0</v>
      </c>
      <c r="O4317">
        <f>IFERROR(IF(VLOOKUP(calendar[[#This Row],[Date]],BH!G:G,1,)&lt;&gt;"",1,0),0)</f>
        <v>0</v>
      </c>
      <c r="P4317">
        <f>IF(OR(calendar[[#This Row],[UK_BH]]=1,calendar[[#This Row],[WeekDay]]=1, calendar[[#This Row],[WeekDay]]=7),P4316,P4316+1)</f>
        <v>3059</v>
      </c>
      <c r="Q4317">
        <f>IF(OR(calendar[[#This Row],[FR_BH]]=1,calendar[[#This Row],[WeekDay]]=1, calendar[[#This Row],[WeekDay]]=7),P4316,P4316+1)</f>
        <v>3059</v>
      </c>
      <c r="R4317">
        <f>IF(OR(calendar[[#This Row],[SP_BH]]=1,calendar[[#This Row],[WeekDay]]=1, calendar[[#This Row],[WeekDay]]=7),P4316,P4316+1)</f>
        <v>3059</v>
      </c>
      <c r="S4317">
        <f>IF(OR(calendar[[#This Row],[PT_BH]]=1,calendar[[#This Row],[WeekDay]]=1, calendar[[#This Row],[WeekDay]]=7),P4316,P4316+1)</f>
        <v>3059</v>
      </c>
    </row>
    <row r="4318" spans="1:19" x14ac:dyDescent="0.25">
      <c r="A4318" s="2">
        <v>47052</v>
      </c>
      <c r="B4318" s="1">
        <f t="shared" si="341"/>
        <v>44</v>
      </c>
      <c r="C4318">
        <f t="shared" si="342"/>
        <v>10</v>
      </c>
      <c r="D4318" t="str">
        <f t="shared" si="343"/>
        <v>October</v>
      </c>
      <c r="E4318">
        <f t="shared" si="344"/>
        <v>2028</v>
      </c>
      <c r="F4318" t="str">
        <f>CONCATENATE(calendar[[#This Row],[Month]],"/",calendar[[#This Row],[Year]])</f>
        <v>10/2028</v>
      </c>
      <c r="G4318">
        <f>WEEKDAY(calendar[[#This Row],[Date]],1)</f>
        <v>5</v>
      </c>
      <c r="H4318" t="str">
        <f>TEXT(calendar[[#This Row],[WeekDay]],"dddd")</f>
        <v>Thursday</v>
      </c>
      <c r="I4318">
        <f>IF((INT(calendar[[#This Row],[Count]]/7)-calendar[[#This Row],[Count]]/7)&lt;0,I4317,I4317+1)</f>
        <v>617</v>
      </c>
      <c r="J4318">
        <f t="shared" si="345"/>
        <v>4316</v>
      </c>
      <c r="K4318">
        <f>IF(calendar[[#This Row],[Month]]&lt;4,1,IF(calendar[[#This Row],[Month]]&lt;7,2,IF(calendar[[#This Row],[Month]]&lt;10,3,4)))</f>
        <v>4</v>
      </c>
      <c r="L4318">
        <f>IFERROR(IF(VLOOKUP(calendar[[#This Row],[Date]],BH!A:A,1,)&lt;&gt;"",1,0),0)</f>
        <v>0</v>
      </c>
      <c r="M4318">
        <f>IFERROR(IF(VLOOKUP(calendar[[#This Row],[Date]],BH!C:C,1,)&lt;&gt;"",1,0),0)</f>
        <v>0</v>
      </c>
      <c r="N4318">
        <f>IFERROR(IF(VLOOKUP(calendar[[#This Row],[Date]],BH!E:E,1,)&lt;&gt;"",1,0),0)</f>
        <v>0</v>
      </c>
      <c r="O4318">
        <f>IFERROR(IF(VLOOKUP(calendar[[#This Row],[Date]],BH!G:G,1,)&lt;&gt;"",1,0),0)</f>
        <v>0</v>
      </c>
      <c r="P4318">
        <f>IF(OR(calendar[[#This Row],[UK_BH]]=1,calendar[[#This Row],[WeekDay]]=1, calendar[[#This Row],[WeekDay]]=7),P4317,P4317+1)</f>
        <v>3060</v>
      </c>
      <c r="Q4318">
        <f>IF(OR(calendar[[#This Row],[FR_BH]]=1,calendar[[#This Row],[WeekDay]]=1, calendar[[#This Row],[WeekDay]]=7),P4317,P4317+1)</f>
        <v>3060</v>
      </c>
      <c r="R4318">
        <f>IF(OR(calendar[[#This Row],[SP_BH]]=1,calendar[[#This Row],[WeekDay]]=1, calendar[[#This Row],[WeekDay]]=7),P4317,P4317+1)</f>
        <v>3060</v>
      </c>
      <c r="S4318">
        <f>IF(OR(calendar[[#This Row],[PT_BH]]=1,calendar[[#This Row],[WeekDay]]=1, calendar[[#This Row],[WeekDay]]=7),P4317,P4317+1)</f>
        <v>3060</v>
      </c>
    </row>
    <row r="4319" spans="1:19" x14ac:dyDescent="0.25">
      <c r="A4319" s="2">
        <v>47053</v>
      </c>
      <c r="B4319" s="1">
        <f t="shared" si="341"/>
        <v>44</v>
      </c>
      <c r="C4319">
        <f t="shared" si="342"/>
        <v>10</v>
      </c>
      <c r="D4319" t="str">
        <f t="shared" si="343"/>
        <v>October</v>
      </c>
      <c r="E4319">
        <f t="shared" si="344"/>
        <v>2028</v>
      </c>
      <c r="F4319" t="str">
        <f>CONCATENATE(calendar[[#This Row],[Month]],"/",calendar[[#This Row],[Year]])</f>
        <v>10/2028</v>
      </c>
      <c r="G4319">
        <f>WEEKDAY(calendar[[#This Row],[Date]],1)</f>
        <v>6</v>
      </c>
      <c r="H4319" t="str">
        <f>TEXT(calendar[[#This Row],[WeekDay]],"dddd")</f>
        <v>Friday</v>
      </c>
      <c r="I4319">
        <f>IF((INT(calendar[[#This Row],[Count]]/7)-calendar[[#This Row],[Count]]/7)&lt;0,I4318,I4318+1)</f>
        <v>617</v>
      </c>
      <c r="J4319">
        <f t="shared" si="345"/>
        <v>4317</v>
      </c>
      <c r="K4319">
        <f>IF(calendar[[#This Row],[Month]]&lt;4,1,IF(calendar[[#This Row],[Month]]&lt;7,2,IF(calendar[[#This Row],[Month]]&lt;10,3,4)))</f>
        <v>4</v>
      </c>
      <c r="L4319">
        <f>IFERROR(IF(VLOOKUP(calendar[[#This Row],[Date]],BH!A:A,1,)&lt;&gt;"",1,0),0)</f>
        <v>0</v>
      </c>
      <c r="M4319">
        <f>IFERROR(IF(VLOOKUP(calendar[[#This Row],[Date]],BH!C:C,1,)&lt;&gt;"",1,0),0)</f>
        <v>0</v>
      </c>
      <c r="N4319">
        <f>IFERROR(IF(VLOOKUP(calendar[[#This Row],[Date]],BH!E:E,1,)&lt;&gt;"",1,0),0)</f>
        <v>0</v>
      </c>
      <c r="O4319">
        <f>IFERROR(IF(VLOOKUP(calendar[[#This Row],[Date]],BH!G:G,1,)&lt;&gt;"",1,0),0)</f>
        <v>0</v>
      </c>
      <c r="P4319">
        <f>IF(OR(calendar[[#This Row],[UK_BH]]=1,calendar[[#This Row],[WeekDay]]=1, calendar[[#This Row],[WeekDay]]=7),P4318,P4318+1)</f>
        <v>3061</v>
      </c>
      <c r="Q4319">
        <f>IF(OR(calendar[[#This Row],[FR_BH]]=1,calendar[[#This Row],[WeekDay]]=1, calendar[[#This Row],[WeekDay]]=7),P4318,P4318+1)</f>
        <v>3061</v>
      </c>
      <c r="R4319">
        <f>IF(OR(calendar[[#This Row],[SP_BH]]=1,calendar[[#This Row],[WeekDay]]=1, calendar[[#This Row],[WeekDay]]=7),P4318,P4318+1)</f>
        <v>3061</v>
      </c>
      <c r="S4319">
        <f>IF(OR(calendar[[#This Row],[PT_BH]]=1,calendar[[#This Row],[WeekDay]]=1, calendar[[#This Row],[WeekDay]]=7),P4318,P4318+1)</f>
        <v>3061</v>
      </c>
    </row>
    <row r="4320" spans="1:19" x14ac:dyDescent="0.25">
      <c r="A4320" s="2">
        <v>47054</v>
      </c>
      <c r="B4320" s="1">
        <f t="shared" si="341"/>
        <v>44</v>
      </c>
      <c r="C4320">
        <f t="shared" si="342"/>
        <v>10</v>
      </c>
      <c r="D4320" t="str">
        <f t="shared" si="343"/>
        <v>October</v>
      </c>
      <c r="E4320">
        <f t="shared" si="344"/>
        <v>2028</v>
      </c>
      <c r="F4320" t="str">
        <f>CONCATENATE(calendar[[#This Row],[Month]],"/",calendar[[#This Row],[Year]])</f>
        <v>10/2028</v>
      </c>
      <c r="G4320">
        <f>WEEKDAY(calendar[[#This Row],[Date]],1)</f>
        <v>7</v>
      </c>
      <c r="H4320" t="str">
        <f>TEXT(calendar[[#This Row],[WeekDay]],"dddd")</f>
        <v>Saturday</v>
      </c>
      <c r="I4320">
        <f>IF((INT(calendar[[#This Row],[Count]]/7)-calendar[[#This Row],[Count]]/7)&lt;0,I4319,I4319+1)</f>
        <v>617</v>
      </c>
      <c r="J4320">
        <f t="shared" si="345"/>
        <v>4318</v>
      </c>
      <c r="K4320">
        <f>IF(calendar[[#This Row],[Month]]&lt;4,1,IF(calendar[[#This Row],[Month]]&lt;7,2,IF(calendar[[#This Row],[Month]]&lt;10,3,4)))</f>
        <v>4</v>
      </c>
      <c r="L4320">
        <f>IFERROR(IF(VLOOKUP(calendar[[#This Row],[Date]],BH!A:A,1,)&lt;&gt;"",1,0),0)</f>
        <v>0</v>
      </c>
      <c r="M4320">
        <f>IFERROR(IF(VLOOKUP(calendar[[#This Row],[Date]],BH!C:C,1,)&lt;&gt;"",1,0),0)</f>
        <v>0</v>
      </c>
      <c r="N4320">
        <f>IFERROR(IF(VLOOKUP(calendar[[#This Row],[Date]],BH!E:E,1,)&lt;&gt;"",1,0),0)</f>
        <v>0</v>
      </c>
      <c r="O4320">
        <f>IFERROR(IF(VLOOKUP(calendar[[#This Row],[Date]],BH!G:G,1,)&lt;&gt;"",1,0),0)</f>
        <v>0</v>
      </c>
      <c r="P4320">
        <f>IF(OR(calendar[[#This Row],[UK_BH]]=1,calendar[[#This Row],[WeekDay]]=1, calendar[[#This Row],[WeekDay]]=7),P4319,P4319+1)</f>
        <v>3061</v>
      </c>
      <c r="Q4320">
        <f>IF(OR(calendar[[#This Row],[FR_BH]]=1,calendar[[#This Row],[WeekDay]]=1, calendar[[#This Row],[WeekDay]]=7),P4319,P4319+1)</f>
        <v>3061</v>
      </c>
      <c r="R4320">
        <f>IF(OR(calendar[[#This Row],[SP_BH]]=1,calendar[[#This Row],[WeekDay]]=1, calendar[[#This Row],[WeekDay]]=7),P4319,P4319+1)</f>
        <v>3061</v>
      </c>
      <c r="S4320">
        <f>IF(OR(calendar[[#This Row],[PT_BH]]=1,calendar[[#This Row],[WeekDay]]=1, calendar[[#This Row],[WeekDay]]=7),P4319,P4319+1)</f>
        <v>3061</v>
      </c>
    </row>
    <row r="4321" spans="1:19" x14ac:dyDescent="0.25">
      <c r="A4321" s="2">
        <v>47055</v>
      </c>
      <c r="B4321" s="1">
        <f t="shared" si="341"/>
        <v>45</v>
      </c>
      <c r="C4321">
        <f t="shared" si="342"/>
        <v>10</v>
      </c>
      <c r="D4321" t="str">
        <f t="shared" si="343"/>
        <v>October</v>
      </c>
      <c r="E4321">
        <f t="shared" si="344"/>
        <v>2028</v>
      </c>
      <c r="F4321" t="str">
        <f>CONCATENATE(calendar[[#This Row],[Month]],"/",calendar[[#This Row],[Year]])</f>
        <v>10/2028</v>
      </c>
      <c r="G4321">
        <f>WEEKDAY(calendar[[#This Row],[Date]],1)</f>
        <v>1</v>
      </c>
      <c r="H4321" t="str">
        <f>TEXT(calendar[[#This Row],[WeekDay]],"dddd")</f>
        <v>Sunday</v>
      </c>
      <c r="I4321">
        <f>IF((INT(calendar[[#This Row],[Count]]/7)-calendar[[#This Row],[Count]]/7)&lt;0,I4320,I4320+1)</f>
        <v>618</v>
      </c>
      <c r="J4321">
        <f t="shared" si="345"/>
        <v>4319</v>
      </c>
      <c r="K4321">
        <f>IF(calendar[[#This Row],[Month]]&lt;4,1,IF(calendar[[#This Row],[Month]]&lt;7,2,IF(calendar[[#This Row],[Month]]&lt;10,3,4)))</f>
        <v>4</v>
      </c>
      <c r="L4321">
        <f>IFERROR(IF(VLOOKUP(calendar[[#This Row],[Date]],BH!A:A,1,)&lt;&gt;"",1,0),0)</f>
        <v>0</v>
      </c>
      <c r="M4321">
        <f>IFERROR(IF(VLOOKUP(calendar[[#This Row],[Date]],BH!C:C,1,)&lt;&gt;"",1,0),0)</f>
        <v>0</v>
      </c>
      <c r="N4321">
        <f>IFERROR(IF(VLOOKUP(calendar[[#This Row],[Date]],BH!E:E,1,)&lt;&gt;"",1,0),0)</f>
        <v>0</v>
      </c>
      <c r="O4321">
        <f>IFERROR(IF(VLOOKUP(calendar[[#This Row],[Date]],BH!G:G,1,)&lt;&gt;"",1,0),0)</f>
        <v>0</v>
      </c>
      <c r="P4321">
        <f>IF(OR(calendar[[#This Row],[UK_BH]]=1,calendar[[#This Row],[WeekDay]]=1, calendar[[#This Row],[WeekDay]]=7),P4320,P4320+1)</f>
        <v>3061</v>
      </c>
      <c r="Q4321">
        <f>IF(OR(calendar[[#This Row],[FR_BH]]=1,calendar[[#This Row],[WeekDay]]=1, calendar[[#This Row],[WeekDay]]=7),P4320,P4320+1)</f>
        <v>3061</v>
      </c>
      <c r="R4321">
        <f>IF(OR(calendar[[#This Row],[SP_BH]]=1,calendar[[#This Row],[WeekDay]]=1, calendar[[#This Row],[WeekDay]]=7),P4320,P4320+1)</f>
        <v>3061</v>
      </c>
      <c r="S4321">
        <f>IF(OR(calendar[[#This Row],[PT_BH]]=1,calendar[[#This Row],[WeekDay]]=1, calendar[[#This Row],[WeekDay]]=7),P4320,P4320+1)</f>
        <v>3061</v>
      </c>
    </row>
    <row r="4322" spans="1:19" x14ac:dyDescent="0.25">
      <c r="A4322" s="2">
        <v>47056</v>
      </c>
      <c r="B4322" s="1">
        <f t="shared" si="341"/>
        <v>45</v>
      </c>
      <c r="C4322">
        <f t="shared" si="342"/>
        <v>10</v>
      </c>
      <c r="D4322" t="str">
        <f t="shared" si="343"/>
        <v>October</v>
      </c>
      <c r="E4322">
        <f t="shared" si="344"/>
        <v>2028</v>
      </c>
      <c r="F4322" t="str">
        <f>CONCATENATE(calendar[[#This Row],[Month]],"/",calendar[[#This Row],[Year]])</f>
        <v>10/2028</v>
      </c>
      <c r="G4322">
        <f>WEEKDAY(calendar[[#This Row],[Date]],1)</f>
        <v>2</v>
      </c>
      <c r="H4322" t="str">
        <f>TEXT(calendar[[#This Row],[WeekDay]],"dddd")</f>
        <v>Monday</v>
      </c>
      <c r="I4322">
        <f>IF((INT(calendar[[#This Row],[Count]]/7)-calendar[[#This Row],[Count]]/7)&lt;0,I4321,I4321+1)</f>
        <v>618</v>
      </c>
      <c r="J4322">
        <f t="shared" si="345"/>
        <v>4320</v>
      </c>
      <c r="K4322">
        <f>IF(calendar[[#This Row],[Month]]&lt;4,1,IF(calendar[[#This Row],[Month]]&lt;7,2,IF(calendar[[#This Row],[Month]]&lt;10,3,4)))</f>
        <v>4</v>
      </c>
      <c r="L4322">
        <f>IFERROR(IF(VLOOKUP(calendar[[#This Row],[Date]],BH!A:A,1,)&lt;&gt;"",1,0),0)</f>
        <v>0</v>
      </c>
      <c r="M4322">
        <f>IFERROR(IF(VLOOKUP(calendar[[#This Row],[Date]],BH!C:C,1,)&lt;&gt;"",1,0),0)</f>
        <v>0</v>
      </c>
      <c r="N4322">
        <f>IFERROR(IF(VLOOKUP(calendar[[#This Row],[Date]],BH!E:E,1,)&lt;&gt;"",1,0),0)</f>
        <v>0</v>
      </c>
      <c r="O4322">
        <f>IFERROR(IF(VLOOKUP(calendar[[#This Row],[Date]],BH!G:G,1,)&lt;&gt;"",1,0),0)</f>
        <v>0</v>
      </c>
      <c r="P4322">
        <f>IF(OR(calendar[[#This Row],[UK_BH]]=1,calendar[[#This Row],[WeekDay]]=1, calendar[[#This Row],[WeekDay]]=7),P4321,P4321+1)</f>
        <v>3062</v>
      </c>
      <c r="Q4322">
        <f>IF(OR(calendar[[#This Row],[FR_BH]]=1,calendar[[#This Row],[WeekDay]]=1, calendar[[#This Row],[WeekDay]]=7),P4321,P4321+1)</f>
        <v>3062</v>
      </c>
      <c r="R4322">
        <f>IF(OR(calendar[[#This Row],[SP_BH]]=1,calendar[[#This Row],[WeekDay]]=1, calendar[[#This Row],[WeekDay]]=7),P4321,P4321+1)</f>
        <v>3062</v>
      </c>
      <c r="S4322">
        <f>IF(OR(calendar[[#This Row],[PT_BH]]=1,calendar[[#This Row],[WeekDay]]=1, calendar[[#This Row],[WeekDay]]=7),P4321,P4321+1)</f>
        <v>3062</v>
      </c>
    </row>
    <row r="4323" spans="1:19" x14ac:dyDescent="0.25">
      <c r="A4323" s="2">
        <v>47057</v>
      </c>
      <c r="B4323" s="1">
        <f t="shared" si="341"/>
        <v>45</v>
      </c>
      <c r="C4323">
        <f t="shared" si="342"/>
        <v>10</v>
      </c>
      <c r="D4323" t="str">
        <f t="shared" si="343"/>
        <v>October</v>
      </c>
      <c r="E4323">
        <f t="shared" si="344"/>
        <v>2028</v>
      </c>
      <c r="F4323" t="str">
        <f>CONCATENATE(calendar[[#This Row],[Month]],"/",calendar[[#This Row],[Year]])</f>
        <v>10/2028</v>
      </c>
      <c r="G4323">
        <f>WEEKDAY(calendar[[#This Row],[Date]],1)</f>
        <v>3</v>
      </c>
      <c r="H4323" t="str">
        <f>TEXT(calendar[[#This Row],[WeekDay]],"dddd")</f>
        <v>Tuesday</v>
      </c>
      <c r="I4323">
        <f>IF((INT(calendar[[#This Row],[Count]]/7)-calendar[[#This Row],[Count]]/7)&lt;0,I4322,I4322+1)</f>
        <v>618</v>
      </c>
      <c r="J4323">
        <f t="shared" si="345"/>
        <v>4321</v>
      </c>
      <c r="K4323">
        <f>IF(calendar[[#This Row],[Month]]&lt;4,1,IF(calendar[[#This Row],[Month]]&lt;7,2,IF(calendar[[#This Row],[Month]]&lt;10,3,4)))</f>
        <v>4</v>
      </c>
      <c r="L4323">
        <f>IFERROR(IF(VLOOKUP(calendar[[#This Row],[Date]],BH!A:A,1,)&lt;&gt;"",1,0),0)</f>
        <v>0</v>
      </c>
      <c r="M4323">
        <f>IFERROR(IF(VLOOKUP(calendar[[#This Row],[Date]],BH!C:C,1,)&lt;&gt;"",1,0),0)</f>
        <v>0</v>
      </c>
      <c r="N4323">
        <f>IFERROR(IF(VLOOKUP(calendar[[#This Row],[Date]],BH!E:E,1,)&lt;&gt;"",1,0),0)</f>
        <v>0</v>
      </c>
      <c r="O4323">
        <f>IFERROR(IF(VLOOKUP(calendar[[#This Row],[Date]],BH!G:G,1,)&lt;&gt;"",1,0),0)</f>
        <v>0</v>
      </c>
      <c r="P4323">
        <f>IF(OR(calendar[[#This Row],[UK_BH]]=1,calendar[[#This Row],[WeekDay]]=1, calendar[[#This Row],[WeekDay]]=7),P4322,P4322+1)</f>
        <v>3063</v>
      </c>
      <c r="Q4323">
        <f>IF(OR(calendar[[#This Row],[FR_BH]]=1,calendar[[#This Row],[WeekDay]]=1, calendar[[#This Row],[WeekDay]]=7),P4322,P4322+1)</f>
        <v>3063</v>
      </c>
      <c r="R4323">
        <f>IF(OR(calendar[[#This Row],[SP_BH]]=1,calendar[[#This Row],[WeekDay]]=1, calendar[[#This Row],[WeekDay]]=7),P4322,P4322+1)</f>
        <v>3063</v>
      </c>
      <c r="S4323">
        <f>IF(OR(calendar[[#This Row],[PT_BH]]=1,calendar[[#This Row],[WeekDay]]=1, calendar[[#This Row],[WeekDay]]=7),P4322,P4322+1)</f>
        <v>3063</v>
      </c>
    </row>
    <row r="4324" spans="1:19" x14ac:dyDescent="0.25">
      <c r="A4324" s="2">
        <v>47058</v>
      </c>
      <c r="B4324" s="1">
        <f t="shared" si="341"/>
        <v>45</v>
      </c>
      <c r="C4324">
        <f t="shared" si="342"/>
        <v>11</v>
      </c>
      <c r="D4324" t="str">
        <f t="shared" si="343"/>
        <v>November</v>
      </c>
      <c r="E4324">
        <f t="shared" si="344"/>
        <v>2028</v>
      </c>
      <c r="F4324" t="str">
        <f>CONCATENATE(calendar[[#This Row],[Month]],"/",calendar[[#This Row],[Year]])</f>
        <v>11/2028</v>
      </c>
      <c r="G4324">
        <f>WEEKDAY(calendar[[#This Row],[Date]],1)</f>
        <v>4</v>
      </c>
      <c r="H4324" t="str">
        <f>TEXT(calendar[[#This Row],[WeekDay]],"dddd")</f>
        <v>Wednesday</v>
      </c>
      <c r="I4324">
        <f>IF((INT(calendar[[#This Row],[Count]]/7)-calendar[[#This Row],[Count]]/7)&lt;0,I4323,I4323+1)</f>
        <v>618</v>
      </c>
      <c r="J4324">
        <f t="shared" si="345"/>
        <v>4322</v>
      </c>
      <c r="K4324">
        <f>IF(calendar[[#This Row],[Month]]&lt;4,1,IF(calendar[[#This Row],[Month]]&lt;7,2,IF(calendar[[#This Row],[Month]]&lt;10,3,4)))</f>
        <v>4</v>
      </c>
      <c r="L4324">
        <f>IFERROR(IF(VLOOKUP(calendar[[#This Row],[Date]],BH!A:A,1,)&lt;&gt;"",1,0),0)</f>
        <v>0</v>
      </c>
      <c r="M4324">
        <f>IFERROR(IF(VLOOKUP(calendar[[#This Row],[Date]],BH!C:C,1,)&lt;&gt;"",1,0),0)</f>
        <v>0</v>
      </c>
      <c r="N4324">
        <f>IFERROR(IF(VLOOKUP(calendar[[#This Row],[Date]],BH!E:E,1,)&lt;&gt;"",1,0),0)</f>
        <v>0</v>
      </c>
      <c r="O4324">
        <f>IFERROR(IF(VLOOKUP(calendar[[#This Row],[Date]],BH!G:G,1,)&lt;&gt;"",1,0),0)</f>
        <v>0</v>
      </c>
      <c r="P4324">
        <f>IF(OR(calendar[[#This Row],[UK_BH]]=1,calendar[[#This Row],[WeekDay]]=1, calendar[[#This Row],[WeekDay]]=7),P4323,P4323+1)</f>
        <v>3064</v>
      </c>
      <c r="Q4324">
        <f>IF(OR(calendar[[#This Row],[FR_BH]]=1,calendar[[#This Row],[WeekDay]]=1, calendar[[#This Row],[WeekDay]]=7),P4323,P4323+1)</f>
        <v>3064</v>
      </c>
      <c r="R4324">
        <f>IF(OR(calendar[[#This Row],[SP_BH]]=1,calendar[[#This Row],[WeekDay]]=1, calendar[[#This Row],[WeekDay]]=7),P4323,P4323+1)</f>
        <v>3064</v>
      </c>
      <c r="S4324">
        <f>IF(OR(calendar[[#This Row],[PT_BH]]=1,calendar[[#This Row],[WeekDay]]=1, calendar[[#This Row],[WeekDay]]=7),P4323,P4323+1)</f>
        <v>3064</v>
      </c>
    </row>
    <row r="4325" spans="1:19" x14ac:dyDescent="0.25">
      <c r="A4325" s="2">
        <v>47059</v>
      </c>
      <c r="B4325" s="1">
        <f t="shared" si="341"/>
        <v>45</v>
      </c>
      <c r="C4325">
        <f t="shared" si="342"/>
        <v>11</v>
      </c>
      <c r="D4325" t="str">
        <f t="shared" si="343"/>
        <v>November</v>
      </c>
      <c r="E4325">
        <f t="shared" si="344"/>
        <v>2028</v>
      </c>
      <c r="F4325" t="str">
        <f>CONCATENATE(calendar[[#This Row],[Month]],"/",calendar[[#This Row],[Year]])</f>
        <v>11/2028</v>
      </c>
      <c r="G4325">
        <f>WEEKDAY(calendar[[#This Row],[Date]],1)</f>
        <v>5</v>
      </c>
      <c r="H4325" t="str">
        <f>TEXT(calendar[[#This Row],[WeekDay]],"dddd")</f>
        <v>Thursday</v>
      </c>
      <c r="I4325">
        <f>IF((INT(calendar[[#This Row],[Count]]/7)-calendar[[#This Row],[Count]]/7)&lt;0,I4324,I4324+1)</f>
        <v>618</v>
      </c>
      <c r="J4325">
        <f t="shared" si="345"/>
        <v>4323</v>
      </c>
      <c r="K4325">
        <f>IF(calendar[[#This Row],[Month]]&lt;4,1,IF(calendar[[#This Row],[Month]]&lt;7,2,IF(calendar[[#This Row],[Month]]&lt;10,3,4)))</f>
        <v>4</v>
      </c>
      <c r="L4325">
        <f>IFERROR(IF(VLOOKUP(calendar[[#This Row],[Date]],BH!A:A,1,)&lt;&gt;"",1,0),0)</f>
        <v>0</v>
      </c>
      <c r="M4325">
        <f>IFERROR(IF(VLOOKUP(calendar[[#This Row],[Date]],BH!C:C,1,)&lt;&gt;"",1,0),0)</f>
        <v>0</v>
      </c>
      <c r="N4325">
        <f>IFERROR(IF(VLOOKUP(calendar[[#This Row],[Date]],BH!E:E,1,)&lt;&gt;"",1,0),0)</f>
        <v>0</v>
      </c>
      <c r="O4325">
        <f>IFERROR(IF(VLOOKUP(calendar[[#This Row],[Date]],BH!G:G,1,)&lt;&gt;"",1,0),0)</f>
        <v>0</v>
      </c>
      <c r="P4325">
        <f>IF(OR(calendar[[#This Row],[UK_BH]]=1,calendar[[#This Row],[WeekDay]]=1, calendar[[#This Row],[WeekDay]]=7),P4324,P4324+1)</f>
        <v>3065</v>
      </c>
      <c r="Q4325">
        <f>IF(OR(calendar[[#This Row],[FR_BH]]=1,calendar[[#This Row],[WeekDay]]=1, calendar[[#This Row],[WeekDay]]=7),P4324,P4324+1)</f>
        <v>3065</v>
      </c>
      <c r="R4325">
        <f>IF(OR(calendar[[#This Row],[SP_BH]]=1,calendar[[#This Row],[WeekDay]]=1, calendar[[#This Row],[WeekDay]]=7),P4324,P4324+1)</f>
        <v>3065</v>
      </c>
      <c r="S4325">
        <f>IF(OR(calendar[[#This Row],[PT_BH]]=1,calendar[[#This Row],[WeekDay]]=1, calendar[[#This Row],[WeekDay]]=7),P4324,P4324+1)</f>
        <v>3065</v>
      </c>
    </row>
    <row r="4326" spans="1:19" x14ac:dyDescent="0.25">
      <c r="A4326" s="2">
        <v>47060</v>
      </c>
      <c r="B4326" s="1">
        <f t="shared" si="341"/>
        <v>45</v>
      </c>
      <c r="C4326">
        <f t="shared" si="342"/>
        <v>11</v>
      </c>
      <c r="D4326" t="str">
        <f t="shared" si="343"/>
        <v>November</v>
      </c>
      <c r="E4326">
        <f t="shared" si="344"/>
        <v>2028</v>
      </c>
      <c r="F4326" t="str">
        <f>CONCATENATE(calendar[[#This Row],[Month]],"/",calendar[[#This Row],[Year]])</f>
        <v>11/2028</v>
      </c>
      <c r="G4326">
        <f>WEEKDAY(calendar[[#This Row],[Date]],1)</f>
        <v>6</v>
      </c>
      <c r="H4326" t="str">
        <f>TEXT(calendar[[#This Row],[WeekDay]],"dddd")</f>
        <v>Friday</v>
      </c>
      <c r="I4326">
        <f>IF((INT(calendar[[#This Row],[Count]]/7)-calendar[[#This Row],[Count]]/7)&lt;0,I4325,I4325+1)</f>
        <v>618</v>
      </c>
      <c r="J4326">
        <f t="shared" si="345"/>
        <v>4324</v>
      </c>
      <c r="K4326">
        <f>IF(calendar[[#This Row],[Month]]&lt;4,1,IF(calendar[[#This Row],[Month]]&lt;7,2,IF(calendar[[#This Row],[Month]]&lt;10,3,4)))</f>
        <v>4</v>
      </c>
      <c r="L4326">
        <f>IFERROR(IF(VLOOKUP(calendar[[#This Row],[Date]],BH!A:A,1,)&lt;&gt;"",1,0),0)</f>
        <v>0</v>
      </c>
      <c r="M4326">
        <f>IFERROR(IF(VLOOKUP(calendar[[#This Row],[Date]],BH!C:C,1,)&lt;&gt;"",1,0),0)</f>
        <v>0</v>
      </c>
      <c r="N4326">
        <f>IFERROR(IF(VLOOKUP(calendar[[#This Row],[Date]],BH!E:E,1,)&lt;&gt;"",1,0),0)</f>
        <v>0</v>
      </c>
      <c r="O4326">
        <f>IFERROR(IF(VLOOKUP(calendar[[#This Row],[Date]],BH!G:G,1,)&lt;&gt;"",1,0),0)</f>
        <v>0</v>
      </c>
      <c r="P4326">
        <f>IF(OR(calendar[[#This Row],[UK_BH]]=1,calendar[[#This Row],[WeekDay]]=1, calendar[[#This Row],[WeekDay]]=7),P4325,P4325+1)</f>
        <v>3066</v>
      </c>
      <c r="Q4326">
        <f>IF(OR(calendar[[#This Row],[FR_BH]]=1,calendar[[#This Row],[WeekDay]]=1, calendar[[#This Row],[WeekDay]]=7),P4325,P4325+1)</f>
        <v>3066</v>
      </c>
      <c r="R4326">
        <f>IF(OR(calendar[[#This Row],[SP_BH]]=1,calendar[[#This Row],[WeekDay]]=1, calendar[[#This Row],[WeekDay]]=7),P4325,P4325+1)</f>
        <v>3066</v>
      </c>
      <c r="S4326">
        <f>IF(OR(calendar[[#This Row],[PT_BH]]=1,calendar[[#This Row],[WeekDay]]=1, calendar[[#This Row],[WeekDay]]=7),P4325,P4325+1)</f>
        <v>3066</v>
      </c>
    </row>
    <row r="4327" spans="1:19" x14ac:dyDescent="0.25">
      <c r="A4327" s="2">
        <v>47061</v>
      </c>
      <c r="B4327" s="1">
        <f t="shared" si="341"/>
        <v>45</v>
      </c>
      <c r="C4327">
        <f t="shared" si="342"/>
        <v>11</v>
      </c>
      <c r="D4327" t="str">
        <f t="shared" si="343"/>
        <v>November</v>
      </c>
      <c r="E4327">
        <f t="shared" si="344"/>
        <v>2028</v>
      </c>
      <c r="F4327" t="str">
        <f>CONCATENATE(calendar[[#This Row],[Month]],"/",calendar[[#This Row],[Year]])</f>
        <v>11/2028</v>
      </c>
      <c r="G4327">
        <f>WEEKDAY(calendar[[#This Row],[Date]],1)</f>
        <v>7</v>
      </c>
      <c r="H4327" t="str">
        <f>TEXT(calendar[[#This Row],[WeekDay]],"dddd")</f>
        <v>Saturday</v>
      </c>
      <c r="I4327">
        <f>IF((INT(calendar[[#This Row],[Count]]/7)-calendar[[#This Row],[Count]]/7)&lt;0,I4326,I4326+1)</f>
        <v>618</v>
      </c>
      <c r="J4327">
        <f t="shared" si="345"/>
        <v>4325</v>
      </c>
      <c r="K4327">
        <f>IF(calendar[[#This Row],[Month]]&lt;4,1,IF(calendar[[#This Row],[Month]]&lt;7,2,IF(calendar[[#This Row],[Month]]&lt;10,3,4)))</f>
        <v>4</v>
      </c>
      <c r="L4327">
        <f>IFERROR(IF(VLOOKUP(calendar[[#This Row],[Date]],BH!A:A,1,)&lt;&gt;"",1,0),0)</f>
        <v>0</v>
      </c>
      <c r="M4327">
        <f>IFERROR(IF(VLOOKUP(calendar[[#This Row],[Date]],BH!C:C,1,)&lt;&gt;"",1,0),0)</f>
        <v>0</v>
      </c>
      <c r="N4327">
        <f>IFERROR(IF(VLOOKUP(calendar[[#This Row],[Date]],BH!E:E,1,)&lt;&gt;"",1,0),0)</f>
        <v>0</v>
      </c>
      <c r="O4327">
        <f>IFERROR(IF(VLOOKUP(calendar[[#This Row],[Date]],BH!G:G,1,)&lt;&gt;"",1,0),0)</f>
        <v>0</v>
      </c>
      <c r="P4327">
        <f>IF(OR(calendar[[#This Row],[UK_BH]]=1,calendar[[#This Row],[WeekDay]]=1, calendar[[#This Row],[WeekDay]]=7),P4326,P4326+1)</f>
        <v>3066</v>
      </c>
      <c r="Q4327">
        <f>IF(OR(calendar[[#This Row],[FR_BH]]=1,calendar[[#This Row],[WeekDay]]=1, calendar[[#This Row],[WeekDay]]=7),P4326,P4326+1)</f>
        <v>3066</v>
      </c>
      <c r="R4327">
        <f>IF(OR(calendar[[#This Row],[SP_BH]]=1,calendar[[#This Row],[WeekDay]]=1, calendar[[#This Row],[WeekDay]]=7),P4326,P4326+1)</f>
        <v>3066</v>
      </c>
      <c r="S4327">
        <f>IF(OR(calendar[[#This Row],[PT_BH]]=1,calendar[[#This Row],[WeekDay]]=1, calendar[[#This Row],[WeekDay]]=7),P4326,P4326+1)</f>
        <v>3066</v>
      </c>
    </row>
    <row r="4328" spans="1:19" x14ac:dyDescent="0.25">
      <c r="A4328" s="2">
        <v>47062</v>
      </c>
      <c r="B4328" s="1">
        <f t="shared" si="341"/>
        <v>46</v>
      </c>
      <c r="C4328">
        <f t="shared" si="342"/>
        <v>11</v>
      </c>
      <c r="D4328" t="str">
        <f t="shared" si="343"/>
        <v>November</v>
      </c>
      <c r="E4328">
        <f t="shared" si="344"/>
        <v>2028</v>
      </c>
      <c r="F4328" t="str">
        <f>CONCATENATE(calendar[[#This Row],[Month]],"/",calendar[[#This Row],[Year]])</f>
        <v>11/2028</v>
      </c>
      <c r="G4328">
        <f>WEEKDAY(calendar[[#This Row],[Date]],1)</f>
        <v>1</v>
      </c>
      <c r="H4328" t="str">
        <f>TEXT(calendar[[#This Row],[WeekDay]],"dddd")</f>
        <v>Sunday</v>
      </c>
      <c r="I4328">
        <f>IF((INT(calendar[[#This Row],[Count]]/7)-calendar[[#This Row],[Count]]/7)&lt;0,I4327,I4327+1)</f>
        <v>619</v>
      </c>
      <c r="J4328">
        <f t="shared" si="345"/>
        <v>4326</v>
      </c>
      <c r="K4328">
        <f>IF(calendar[[#This Row],[Month]]&lt;4,1,IF(calendar[[#This Row],[Month]]&lt;7,2,IF(calendar[[#This Row],[Month]]&lt;10,3,4)))</f>
        <v>4</v>
      </c>
      <c r="L4328">
        <f>IFERROR(IF(VLOOKUP(calendar[[#This Row],[Date]],BH!A:A,1,)&lt;&gt;"",1,0),0)</f>
        <v>0</v>
      </c>
      <c r="M4328">
        <f>IFERROR(IF(VLOOKUP(calendar[[#This Row],[Date]],BH!C:C,1,)&lt;&gt;"",1,0),0)</f>
        <v>0</v>
      </c>
      <c r="N4328">
        <f>IFERROR(IF(VLOOKUP(calendar[[#This Row],[Date]],BH!E:E,1,)&lt;&gt;"",1,0),0)</f>
        <v>0</v>
      </c>
      <c r="O4328">
        <f>IFERROR(IF(VLOOKUP(calendar[[#This Row],[Date]],BH!G:G,1,)&lt;&gt;"",1,0),0)</f>
        <v>0</v>
      </c>
      <c r="P4328">
        <f>IF(OR(calendar[[#This Row],[UK_BH]]=1,calendar[[#This Row],[WeekDay]]=1, calendar[[#This Row],[WeekDay]]=7),P4327,P4327+1)</f>
        <v>3066</v>
      </c>
      <c r="Q4328">
        <f>IF(OR(calendar[[#This Row],[FR_BH]]=1,calendar[[#This Row],[WeekDay]]=1, calendar[[#This Row],[WeekDay]]=7),P4327,P4327+1)</f>
        <v>3066</v>
      </c>
      <c r="R4328">
        <f>IF(OR(calendar[[#This Row],[SP_BH]]=1,calendar[[#This Row],[WeekDay]]=1, calendar[[#This Row],[WeekDay]]=7),P4327,P4327+1)</f>
        <v>3066</v>
      </c>
      <c r="S4328">
        <f>IF(OR(calendar[[#This Row],[PT_BH]]=1,calendar[[#This Row],[WeekDay]]=1, calendar[[#This Row],[WeekDay]]=7),P4327,P4327+1)</f>
        <v>3066</v>
      </c>
    </row>
    <row r="4329" spans="1:19" x14ac:dyDescent="0.25">
      <c r="A4329" s="2">
        <v>47063</v>
      </c>
      <c r="B4329" s="1">
        <f t="shared" si="341"/>
        <v>46</v>
      </c>
      <c r="C4329">
        <f t="shared" si="342"/>
        <v>11</v>
      </c>
      <c r="D4329" t="str">
        <f t="shared" si="343"/>
        <v>November</v>
      </c>
      <c r="E4329">
        <f t="shared" si="344"/>
        <v>2028</v>
      </c>
      <c r="F4329" t="str">
        <f>CONCATENATE(calendar[[#This Row],[Month]],"/",calendar[[#This Row],[Year]])</f>
        <v>11/2028</v>
      </c>
      <c r="G4329">
        <f>WEEKDAY(calendar[[#This Row],[Date]],1)</f>
        <v>2</v>
      </c>
      <c r="H4329" t="str">
        <f>TEXT(calendar[[#This Row],[WeekDay]],"dddd")</f>
        <v>Monday</v>
      </c>
      <c r="I4329">
        <f>IF((INT(calendar[[#This Row],[Count]]/7)-calendar[[#This Row],[Count]]/7)&lt;0,I4328,I4328+1)</f>
        <v>619</v>
      </c>
      <c r="J4329">
        <f t="shared" si="345"/>
        <v>4327</v>
      </c>
      <c r="K4329">
        <f>IF(calendar[[#This Row],[Month]]&lt;4,1,IF(calendar[[#This Row],[Month]]&lt;7,2,IF(calendar[[#This Row],[Month]]&lt;10,3,4)))</f>
        <v>4</v>
      </c>
      <c r="L4329">
        <f>IFERROR(IF(VLOOKUP(calendar[[#This Row],[Date]],BH!A:A,1,)&lt;&gt;"",1,0),0)</f>
        <v>0</v>
      </c>
      <c r="M4329">
        <f>IFERROR(IF(VLOOKUP(calendar[[#This Row],[Date]],BH!C:C,1,)&lt;&gt;"",1,0),0)</f>
        <v>0</v>
      </c>
      <c r="N4329">
        <f>IFERROR(IF(VLOOKUP(calendar[[#This Row],[Date]],BH!E:E,1,)&lt;&gt;"",1,0),0)</f>
        <v>0</v>
      </c>
      <c r="O4329">
        <f>IFERROR(IF(VLOOKUP(calendar[[#This Row],[Date]],BH!G:G,1,)&lt;&gt;"",1,0),0)</f>
        <v>0</v>
      </c>
      <c r="P4329">
        <f>IF(OR(calendar[[#This Row],[UK_BH]]=1,calendar[[#This Row],[WeekDay]]=1, calendar[[#This Row],[WeekDay]]=7),P4328,P4328+1)</f>
        <v>3067</v>
      </c>
      <c r="Q4329">
        <f>IF(OR(calendar[[#This Row],[FR_BH]]=1,calendar[[#This Row],[WeekDay]]=1, calendar[[#This Row],[WeekDay]]=7),P4328,P4328+1)</f>
        <v>3067</v>
      </c>
      <c r="R4329">
        <f>IF(OR(calendar[[#This Row],[SP_BH]]=1,calendar[[#This Row],[WeekDay]]=1, calendar[[#This Row],[WeekDay]]=7),P4328,P4328+1)</f>
        <v>3067</v>
      </c>
      <c r="S4329">
        <f>IF(OR(calendar[[#This Row],[PT_BH]]=1,calendar[[#This Row],[WeekDay]]=1, calendar[[#This Row],[WeekDay]]=7),P4328,P4328+1)</f>
        <v>3067</v>
      </c>
    </row>
    <row r="4330" spans="1:19" x14ac:dyDescent="0.25">
      <c r="A4330" s="2">
        <v>47064</v>
      </c>
      <c r="B4330" s="1">
        <f t="shared" si="341"/>
        <v>46</v>
      </c>
      <c r="C4330">
        <f t="shared" si="342"/>
        <v>11</v>
      </c>
      <c r="D4330" t="str">
        <f t="shared" si="343"/>
        <v>November</v>
      </c>
      <c r="E4330">
        <f t="shared" si="344"/>
        <v>2028</v>
      </c>
      <c r="F4330" t="str">
        <f>CONCATENATE(calendar[[#This Row],[Month]],"/",calendar[[#This Row],[Year]])</f>
        <v>11/2028</v>
      </c>
      <c r="G4330">
        <f>WEEKDAY(calendar[[#This Row],[Date]],1)</f>
        <v>3</v>
      </c>
      <c r="H4330" t="str">
        <f>TEXT(calendar[[#This Row],[WeekDay]],"dddd")</f>
        <v>Tuesday</v>
      </c>
      <c r="I4330">
        <f>IF((INT(calendar[[#This Row],[Count]]/7)-calendar[[#This Row],[Count]]/7)&lt;0,I4329,I4329+1)</f>
        <v>619</v>
      </c>
      <c r="J4330">
        <f t="shared" si="345"/>
        <v>4328</v>
      </c>
      <c r="K4330">
        <f>IF(calendar[[#This Row],[Month]]&lt;4,1,IF(calendar[[#This Row],[Month]]&lt;7,2,IF(calendar[[#This Row],[Month]]&lt;10,3,4)))</f>
        <v>4</v>
      </c>
      <c r="L4330">
        <f>IFERROR(IF(VLOOKUP(calendar[[#This Row],[Date]],BH!A:A,1,)&lt;&gt;"",1,0),0)</f>
        <v>0</v>
      </c>
      <c r="M4330">
        <f>IFERROR(IF(VLOOKUP(calendar[[#This Row],[Date]],BH!C:C,1,)&lt;&gt;"",1,0),0)</f>
        <v>0</v>
      </c>
      <c r="N4330">
        <f>IFERROR(IF(VLOOKUP(calendar[[#This Row],[Date]],BH!E:E,1,)&lt;&gt;"",1,0),0)</f>
        <v>0</v>
      </c>
      <c r="O4330">
        <f>IFERROR(IF(VLOOKUP(calendar[[#This Row],[Date]],BH!G:G,1,)&lt;&gt;"",1,0),0)</f>
        <v>0</v>
      </c>
      <c r="P4330">
        <f>IF(OR(calendar[[#This Row],[UK_BH]]=1,calendar[[#This Row],[WeekDay]]=1, calendar[[#This Row],[WeekDay]]=7),P4329,P4329+1)</f>
        <v>3068</v>
      </c>
      <c r="Q4330">
        <f>IF(OR(calendar[[#This Row],[FR_BH]]=1,calendar[[#This Row],[WeekDay]]=1, calendar[[#This Row],[WeekDay]]=7),P4329,P4329+1)</f>
        <v>3068</v>
      </c>
      <c r="R4330">
        <f>IF(OR(calendar[[#This Row],[SP_BH]]=1,calendar[[#This Row],[WeekDay]]=1, calendar[[#This Row],[WeekDay]]=7),P4329,P4329+1)</f>
        <v>3068</v>
      </c>
      <c r="S4330">
        <f>IF(OR(calendar[[#This Row],[PT_BH]]=1,calendar[[#This Row],[WeekDay]]=1, calendar[[#This Row],[WeekDay]]=7),P4329,P4329+1)</f>
        <v>3068</v>
      </c>
    </row>
    <row r="4331" spans="1:19" x14ac:dyDescent="0.25">
      <c r="A4331" s="2">
        <v>47065</v>
      </c>
      <c r="B4331" s="1">
        <f t="shared" si="341"/>
        <v>46</v>
      </c>
      <c r="C4331">
        <f t="shared" si="342"/>
        <v>11</v>
      </c>
      <c r="D4331" t="str">
        <f t="shared" si="343"/>
        <v>November</v>
      </c>
      <c r="E4331">
        <f t="shared" si="344"/>
        <v>2028</v>
      </c>
      <c r="F4331" t="str">
        <f>CONCATENATE(calendar[[#This Row],[Month]],"/",calendar[[#This Row],[Year]])</f>
        <v>11/2028</v>
      </c>
      <c r="G4331">
        <f>WEEKDAY(calendar[[#This Row],[Date]],1)</f>
        <v>4</v>
      </c>
      <c r="H4331" t="str">
        <f>TEXT(calendar[[#This Row],[WeekDay]],"dddd")</f>
        <v>Wednesday</v>
      </c>
      <c r="I4331">
        <f>IF((INT(calendar[[#This Row],[Count]]/7)-calendar[[#This Row],[Count]]/7)&lt;0,I4330,I4330+1)</f>
        <v>619</v>
      </c>
      <c r="J4331">
        <f t="shared" si="345"/>
        <v>4329</v>
      </c>
      <c r="K4331">
        <f>IF(calendar[[#This Row],[Month]]&lt;4,1,IF(calendar[[#This Row],[Month]]&lt;7,2,IF(calendar[[#This Row],[Month]]&lt;10,3,4)))</f>
        <v>4</v>
      </c>
      <c r="L4331">
        <f>IFERROR(IF(VLOOKUP(calendar[[#This Row],[Date]],BH!A:A,1,)&lt;&gt;"",1,0),0)</f>
        <v>0</v>
      </c>
      <c r="M4331">
        <f>IFERROR(IF(VLOOKUP(calendar[[#This Row],[Date]],BH!C:C,1,)&lt;&gt;"",1,0),0)</f>
        <v>0</v>
      </c>
      <c r="N4331">
        <f>IFERROR(IF(VLOOKUP(calendar[[#This Row],[Date]],BH!E:E,1,)&lt;&gt;"",1,0),0)</f>
        <v>0</v>
      </c>
      <c r="O4331">
        <f>IFERROR(IF(VLOOKUP(calendar[[#This Row],[Date]],BH!G:G,1,)&lt;&gt;"",1,0),0)</f>
        <v>0</v>
      </c>
      <c r="P4331">
        <f>IF(OR(calendar[[#This Row],[UK_BH]]=1,calendar[[#This Row],[WeekDay]]=1, calendar[[#This Row],[WeekDay]]=7),P4330,P4330+1)</f>
        <v>3069</v>
      </c>
      <c r="Q4331">
        <f>IF(OR(calendar[[#This Row],[FR_BH]]=1,calendar[[#This Row],[WeekDay]]=1, calendar[[#This Row],[WeekDay]]=7),P4330,P4330+1)</f>
        <v>3069</v>
      </c>
      <c r="R4331">
        <f>IF(OR(calendar[[#This Row],[SP_BH]]=1,calendar[[#This Row],[WeekDay]]=1, calendar[[#This Row],[WeekDay]]=7),P4330,P4330+1)</f>
        <v>3069</v>
      </c>
      <c r="S4331">
        <f>IF(OR(calendar[[#This Row],[PT_BH]]=1,calendar[[#This Row],[WeekDay]]=1, calendar[[#This Row],[WeekDay]]=7),P4330,P4330+1)</f>
        <v>3069</v>
      </c>
    </row>
    <row r="4332" spans="1:19" x14ac:dyDescent="0.25">
      <c r="A4332" s="2">
        <v>47066</v>
      </c>
      <c r="B4332" s="1">
        <f t="shared" si="341"/>
        <v>46</v>
      </c>
      <c r="C4332">
        <f t="shared" si="342"/>
        <v>11</v>
      </c>
      <c r="D4332" t="str">
        <f t="shared" si="343"/>
        <v>November</v>
      </c>
      <c r="E4332">
        <f t="shared" si="344"/>
        <v>2028</v>
      </c>
      <c r="F4332" t="str">
        <f>CONCATENATE(calendar[[#This Row],[Month]],"/",calendar[[#This Row],[Year]])</f>
        <v>11/2028</v>
      </c>
      <c r="G4332">
        <f>WEEKDAY(calendar[[#This Row],[Date]],1)</f>
        <v>5</v>
      </c>
      <c r="H4332" t="str">
        <f>TEXT(calendar[[#This Row],[WeekDay]],"dddd")</f>
        <v>Thursday</v>
      </c>
      <c r="I4332">
        <f>IF((INT(calendar[[#This Row],[Count]]/7)-calendar[[#This Row],[Count]]/7)&lt;0,I4331,I4331+1)</f>
        <v>619</v>
      </c>
      <c r="J4332">
        <f t="shared" si="345"/>
        <v>4330</v>
      </c>
      <c r="K4332">
        <f>IF(calendar[[#This Row],[Month]]&lt;4,1,IF(calendar[[#This Row],[Month]]&lt;7,2,IF(calendar[[#This Row],[Month]]&lt;10,3,4)))</f>
        <v>4</v>
      </c>
      <c r="L4332">
        <f>IFERROR(IF(VLOOKUP(calendar[[#This Row],[Date]],BH!A:A,1,)&lt;&gt;"",1,0),0)</f>
        <v>0</v>
      </c>
      <c r="M4332">
        <f>IFERROR(IF(VLOOKUP(calendar[[#This Row],[Date]],BH!C:C,1,)&lt;&gt;"",1,0),0)</f>
        <v>0</v>
      </c>
      <c r="N4332">
        <f>IFERROR(IF(VLOOKUP(calendar[[#This Row],[Date]],BH!E:E,1,)&lt;&gt;"",1,0),0)</f>
        <v>0</v>
      </c>
      <c r="O4332">
        <f>IFERROR(IF(VLOOKUP(calendar[[#This Row],[Date]],BH!G:G,1,)&lt;&gt;"",1,0),0)</f>
        <v>0</v>
      </c>
      <c r="P4332">
        <f>IF(OR(calendar[[#This Row],[UK_BH]]=1,calendar[[#This Row],[WeekDay]]=1, calendar[[#This Row],[WeekDay]]=7),P4331,P4331+1)</f>
        <v>3070</v>
      </c>
      <c r="Q4332">
        <f>IF(OR(calendar[[#This Row],[FR_BH]]=1,calendar[[#This Row],[WeekDay]]=1, calendar[[#This Row],[WeekDay]]=7),P4331,P4331+1)</f>
        <v>3070</v>
      </c>
      <c r="R4332">
        <f>IF(OR(calendar[[#This Row],[SP_BH]]=1,calendar[[#This Row],[WeekDay]]=1, calendar[[#This Row],[WeekDay]]=7),P4331,P4331+1)</f>
        <v>3070</v>
      </c>
      <c r="S4332">
        <f>IF(OR(calendar[[#This Row],[PT_BH]]=1,calendar[[#This Row],[WeekDay]]=1, calendar[[#This Row],[WeekDay]]=7),P4331,P4331+1)</f>
        <v>3070</v>
      </c>
    </row>
    <row r="4333" spans="1:19" x14ac:dyDescent="0.25">
      <c r="A4333" s="2">
        <v>47067</v>
      </c>
      <c r="B4333" s="1">
        <f t="shared" si="341"/>
        <v>46</v>
      </c>
      <c r="C4333">
        <f t="shared" si="342"/>
        <v>11</v>
      </c>
      <c r="D4333" t="str">
        <f t="shared" si="343"/>
        <v>November</v>
      </c>
      <c r="E4333">
        <f t="shared" si="344"/>
        <v>2028</v>
      </c>
      <c r="F4333" t="str">
        <f>CONCATENATE(calendar[[#This Row],[Month]],"/",calendar[[#This Row],[Year]])</f>
        <v>11/2028</v>
      </c>
      <c r="G4333">
        <f>WEEKDAY(calendar[[#This Row],[Date]],1)</f>
        <v>6</v>
      </c>
      <c r="H4333" t="str">
        <f>TEXT(calendar[[#This Row],[WeekDay]],"dddd")</f>
        <v>Friday</v>
      </c>
      <c r="I4333">
        <f>IF((INT(calendar[[#This Row],[Count]]/7)-calendar[[#This Row],[Count]]/7)&lt;0,I4332,I4332+1)</f>
        <v>619</v>
      </c>
      <c r="J4333">
        <f t="shared" si="345"/>
        <v>4331</v>
      </c>
      <c r="K4333">
        <f>IF(calendar[[#This Row],[Month]]&lt;4,1,IF(calendar[[#This Row],[Month]]&lt;7,2,IF(calendar[[#This Row],[Month]]&lt;10,3,4)))</f>
        <v>4</v>
      </c>
      <c r="L4333">
        <f>IFERROR(IF(VLOOKUP(calendar[[#This Row],[Date]],BH!A:A,1,)&lt;&gt;"",1,0),0)</f>
        <v>0</v>
      </c>
      <c r="M4333">
        <f>IFERROR(IF(VLOOKUP(calendar[[#This Row],[Date]],BH!C:C,1,)&lt;&gt;"",1,0),0)</f>
        <v>0</v>
      </c>
      <c r="N4333">
        <f>IFERROR(IF(VLOOKUP(calendar[[#This Row],[Date]],BH!E:E,1,)&lt;&gt;"",1,0),0)</f>
        <v>0</v>
      </c>
      <c r="O4333">
        <f>IFERROR(IF(VLOOKUP(calendar[[#This Row],[Date]],BH!G:G,1,)&lt;&gt;"",1,0),0)</f>
        <v>0</v>
      </c>
      <c r="P4333">
        <f>IF(OR(calendar[[#This Row],[UK_BH]]=1,calendar[[#This Row],[WeekDay]]=1, calendar[[#This Row],[WeekDay]]=7),P4332,P4332+1)</f>
        <v>3071</v>
      </c>
      <c r="Q4333">
        <f>IF(OR(calendar[[#This Row],[FR_BH]]=1,calendar[[#This Row],[WeekDay]]=1, calendar[[#This Row],[WeekDay]]=7),P4332,P4332+1)</f>
        <v>3071</v>
      </c>
      <c r="R4333">
        <f>IF(OR(calendar[[#This Row],[SP_BH]]=1,calendar[[#This Row],[WeekDay]]=1, calendar[[#This Row],[WeekDay]]=7),P4332,P4332+1)</f>
        <v>3071</v>
      </c>
      <c r="S4333">
        <f>IF(OR(calendar[[#This Row],[PT_BH]]=1,calendar[[#This Row],[WeekDay]]=1, calendar[[#This Row],[WeekDay]]=7),P4332,P4332+1)</f>
        <v>3071</v>
      </c>
    </row>
    <row r="4334" spans="1:19" x14ac:dyDescent="0.25">
      <c r="A4334" s="2">
        <v>47068</v>
      </c>
      <c r="B4334" s="1">
        <f t="shared" si="341"/>
        <v>46</v>
      </c>
      <c r="C4334">
        <f t="shared" si="342"/>
        <v>11</v>
      </c>
      <c r="D4334" t="str">
        <f t="shared" si="343"/>
        <v>November</v>
      </c>
      <c r="E4334">
        <f t="shared" si="344"/>
        <v>2028</v>
      </c>
      <c r="F4334" t="str">
        <f>CONCATENATE(calendar[[#This Row],[Month]],"/",calendar[[#This Row],[Year]])</f>
        <v>11/2028</v>
      </c>
      <c r="G4334">
        <f>WEEKDAY(calendar[[#This Row],[Date]],1)</f>
        <v>7</v>
      </c>
      <c r="H4334" t="str">
        <f>TEXT(calendar[[#This Row],[WeekDay]],"dddd")</f>
        <v>Saturday</v>
      </c>
      <c r="I4334">
        <f>IF((INT(calendar[[#This Row],[Count]]/7)-calendar[[#This Row],[Count]]/7)&lt;0,I4333,I4333+1)</f>
        <v>619</v>
      </c>
      <c r="J4334">
        <f t="shared" si="345"/>
        <v>4332</v>
      </c>
      <c r="K4334">
        <f>IF(calendar[[#This Row],[Month]]&lt;4,1,IF(calendar[[#This Row],[Month]]&lt;7,2,IF(calendar[[#This Row],[Month]]&lt;10,3,4)))</f>
        <v>4</v>
      </c>
      <c r="L4334">
        <f>IFERROR(IF(VLOOKUP(calendar[[#This Row],[Date]],BH!A:A,1,)&lt;&gt;"",1,0),0)</f>
        <v>0</v>
      </c>
      <c r="M4334">
        <f>IFERROR(IF(VLOOKUP(calendar[[#This Row],[Date]],BH!C:C,1,)&lt;&gt;"",1,0),0)</f>
        <v>0</v>
      </c>
      <c r="N4334">
        <f>IFERROR(IF(VLOOKUP(calendar[[#This Row],[Date]],BH!E:E,1,)&lt;&gt;"",1,0),0)</f>
        <v>0</v>
      </c>
      <c r="O4334">
        <f>IFERROR(IF(VLOOKUP(calendar[[#This Row],[Date]],BH!G:G,1,)&lt;&gt;"",1,0),0)</f>
        <v>0</v>
      </c>
      <c r="P4334">
        <f>IF(OR(calendar[[#This Row],[UK_BH]]=1,calendar[[#This Row],[WeekDay]]=1, calendar[[#This Row],[WeekDay]]=7),P4333,P4333+1)</f>
        <v>3071</v>
      </c>
      <c r="Q4334">
        <f>IF(OR(calendar[[#This Row],[FR_BH]]=1,calendar[[#This Row],[WeekDay]]=1, calendar[[#This Row],[WeekDay]]=7),P4333,P4333+1)</f>
        <v>3071</v>
      </c>
      <c r="R4334">
        <f>IF(OR(calendar[[#This Row],[SP_BH]]=1,calendar[[#This Row],[WeekDay]]=1, calendar[[#This Row],[WeekDay]]=7),P4333,P4333+1)</f>
        <v>3071</v>
      </c>
      <c r="S4334">
        <f>IF(OR(calendar[[#This Row],[PT_BH]]=1,calendar[[#This Row],[WeekDay]]=1, calendar[[#This Row],[WeekDay]]=7),P4333,P4333+1)</f>
        <v>3071</v>
      </c>
    </row>
    <row r="4335" spans="1:19" x14ac:dyDescent="0.25">
      <c r="A4335" s="2">
        <v>47069</v>
      </c>
      <c r="B4335" s="1">
        <f t="shared" si="341"/>
        <v>47</v>
      </c>
      <c r="C4335">
        <f t="shared" si="342"/>
        <v>11</v>
      </c>
      <c r="D4335" t="str">
        <f t="shared" si="343"/>
        <v>November</v>
      </c>
      <c r="E4335">
        <f t="shared" si="344"/>
        <v>2028</v>
      </c>
      <c r="F4335" t="str">
        <f>CONCATENATE(calendar[[#This Row],[Month]],"/",calendar[[#This Row],[Year]])</f>
        <v>11/2028</v>
      </c>
      <c r="G4335">
        <f>WEEKDAY(calendar[[#This Row],[Date]],1)</f>
        <v>1</v>
      </c>
      <c r="H4335" t="str">
        <f>TEXT(calendar[[#This Row],[WeekDay]],"dddd")</f>
        <v>Sunday</v>
      </c>
      <c r="I4335">
        <f>IF((INT(calendar[[#This Row],[Count]]/7)-calendar[[#This Row],[Count]]/7)&lt;0,I4334,I4334+1)</f>
        <v>620</v>
      </c>
      <c r="J4335">
        <f t="shared" si="345"/>
        <v>4333</v>
      </c>
      <c r="K4335">
        <f>IF(calendar[[#This Row],[Month]]&lt;4,1,IF(calendar[[#This Row],[Month]]&lt;7,2,IF(calendar[[#This Row],[Month]]&lt;10,3,4)))</f>
        <v>4</v>
      </c>
      <c r="L4335">
        <f>IFERROR(IF(VLOOKUP(calendar[[#This Row],[Date]],BH!A:A,1,)&lt;&gt;"",1,0),0)</f>
        <v>0</v>
      </c>
      <c r="M4335">
        <f>IFERROR(IF(VLOOKUP(calendar[[#This Row],[Date]],BH!C:C,1,)&lt;&gt;"",1,0),0)</f>
        <v>0</v>
      </c>
      <c r="N4335">
        <f>IFERROR(IF(VLOOKUP(calendar[[#This Row],[Date]],BH!E:E,1,)&lt;&gt;"",1,0),0)</f>
        <v>0</v>
      </c>
      <c r="O4335">
        <f>IFERROR(IF(VLOOKUP(calendar[[#This Row],[Date]],BH!G:G,1,)&lt;&gt;"",1,0),0)</f>
        <v>0</v>
      </c>
      <c r="P4335">
        <f>IF(OR(calendar[[#This Row],[UK_BH]]=1,calendar[[#This Row],[WeekDay]]=1, calendar[[#This Row],[WeekDay]]=7),P4334,P4334+1)</f>
        <v>3071</v>
      </c>
      <c r="Q4335">
        <f>IF(OR(calendar[[#This Row],[FR_BH]]=1,calendar[[#This Row],[WeekDay]]=1, calendar[[#This Row],[WeekDay]]=7),P4334,P4334+1)</f>
        <v>3071</v>
      </c>
      <c r="R4335">
        <f>IF(OR(calendar[[#This Row],[SP_BH]]=1,calendar[[#This Row],[WeekDay]]=1, calendar[[#This Row],[WeekDay]]=7),P4334,P4334+1)</f>
        <v>3071</v>
      </c>
      <c r="S4335">
        <f>IF(OR(calendar[[#This Row],[PT_BH]]=1,calendar[[#This Row],[WeekDay]]=1, calendar[[#This Row],[WeekDay]]=7),P4334,P4334+1)</f>
        <v>3071</v>
      </c>
    </row>
    <row r="4336" spans="1:19" x14ac:dyDescent="0.25">
      <c r="A4336" s="2">
        <v>47070</v>
      </c>
      <c r="B4336" s="1">
        <f t="shared" si="341"/>
        <v>47</v>
      </c>
      <c r="C4336">
        <f t="shared" si="342"/>
        <v>11</v>
      </c>
      <c r="D4336" t="str">
        <f t="shared" si="343"/>
        <v>November</v>
      </c>
      <c r="E4336">
        <f t="shared" si="344"/>
        <v>2028</v>
      </c>
      <c r="F4336" t="str">
        <f>CONCATENATE(calendar[[#This Row],[Month]],"/",calendar[[#This Row],[Year]])</f>
        <v>11/2028</v>
      </c>
      <c r="G4336">
        <f>WEEKDAY(calendar[[#This Row],[Date]],1)</f>
        <v>2</v>
      </c>
      <c r="H4336" t="str">
        <f>TEXT(calendar[[#This Row],[WeekDay]],"dddd")</f>
        <v>Monday</v>
      </c>
      <c r="I4336">
        <f>IF((INT(calendar[[#This Row],[Count]]/7)-calendar[[#This Row],[Count]]/7)&lt;0,I4335,I4335+1)</f>
        <v>620</v>
      </c>
      <c r="J4336">
        <f t="shared" si="345"/>
        <v>4334</v>
      </c>
      <c r="K4336">
        <f>IF(calendar[[#This Row],[Month]]&lt;4,1,IF(calendar[[#This Row],[Month]]&lt;7,2,IF(calendar[[#This Row],[Month]]&lt;10,3,4)))</f>
        <v>4</v>
      </c>
      <c r="L4336">
        <f>IFERROR(IF(VLOOKUP(calendar[[#This Row],[Date]],BH!A:A,1,)&lt;&gt;"",1,0),0)</f>
        <v>0</v>
      </c>
      <c r="M4336">
        <f>IFERROR(IF(VLOOKUP(calendar[[#This Row],[Date]],BH!C:C,1,)&lt;&gt;"",1,0),0)</f>
        <v>0</v>
      </c>
      <c r="N4336">
        <f>IFERROR(IF(VLOOKUP(calendar[[#This Row],[Date]],BH!E:E,1,)&lt;&gt;"",1,0),0)</f>
        <v>0</v>
      </c>
      <c r="O4336">
        <f>IFERROR(IF(VLOOKUP(calendar[[#This Row],[Date]],BH!G:G,1,)&lt;&gt;"",1,0),0)</f>
        <v>0</v>
      </c>
      <c r="P4336">
        <f>IF(OR(calendar[[#This Row],[UK_BH]]=1,calendar[[#This Row],[WeekDay]]=1, calendar[[#This Row],[WeekDay]]=7),P4335,P4335+1)</f>
        <v>3072</v>
      </c>
      <c r="Q4336">
        <f>IF(OR(calendar[[#This Row],[FR_BH]]=1,calendar[[#This Row],[WeekDay]]=1, calendar[[#This Row],[WeekDay]]=7),P4335,P4335+1)</f>
        <v>3072</v>
      </c>
      <c r="R4336">
        <f>IF(OR(calendar[[#This Row],[SP_BH]]=1,calendar[[#This Row],[WeekDay]]=1, calendar[[#This Row],[WeekDay]]=7),P4335,P4335+1)</f>
        <v>3072</v>
      </c>
      <c r="S4336">
        <f>IF(OR(calendar[[#This Row],[PT_BH]]=1,calendar[[#This Row],[WeekDay]]=1, calendar[[#This Row],[WeekDay]]=7),P4335,P4335+1)</f>
        <v>3072</v>
      </c>
    </row>
    <row r="4337" spans="1:19" x14ac:dyDescent="0.25">
      <c r="A4337" s="2">
        <v>47071</v>
      </c>
      <c r="B4337" s="1">
        <f t="shared" si="341"/>
        <v>47</v>
      </c>
      <c r="C4337">
        <f t="shared" si="342"/>
        <v>11</v>
      </c>
      <c r="D4337" t="str">
        <f t="shared" si="343"/>
        <v>November</v>
      </c>
      <c r="E4337">
        <f t="shared" si="344"/>
        <v>2028</v>
      </c>
      <c r="F4337" t="str">
        <f>CONCATENATE(calendar[[#This Row],[Month]],"/",calendar[[#This Row],[Year]])</f>
        <v>11/2028</v>
      </c>
      <c r="G4337">
        <f>WEEKDAY(calendar[[#This Row],[Date]],1)</f>
        <v>3</v>
      </c>
      <c r="H4337" t="str">
        <f>TEXT(calendar[[#This Row],[WeekDay]],"dddd")</f>
        <v>Tuesday</v>
      </c>
      <c r="I4337">
        <f>IF((INT(calendar[[#This Row],[Count]]/7)-calendar[[#This Row],[Count]]/7)&lt;0,I4336,I4336+1)</f>
        <v>620</v>
      </c>
      <c r="J4337">
        <f t="shared" si="345"/>
        <v>4335</v>
      </c>
      <c r="K4337">
        <f>IF(calendar[[#This Row],[Month]]&lt;4,1,IF(calendar[[#This Row],[Month]]&lt;7,2,IF(calendar[[#This Row],[Month]]&lt;10,3,4)))</f>
        <v>4</v>
      </c>
      <c r="L4337">
        <f>IFERROR(IF(VLOOKUP(calendar[[#This Row],[Date]],BH!A:A,1,)&lt;&gt;"",1,0),0)</f>
        <v>0</v>
      </c>
      <c r="M4337">
        <f>IFERROR(IF(VLOOKUP(calendar[[#This Row],[Date]],BH!C:C,1,)&lt;&gt;"",1,0),0)</f>
        <v>0</v>
      </c>
      <c r="N4337">
        <f>IFERROR(IF(VLOOKUP(calendar[[#This Row],[Date]],BH!E:E,1,)&lt;&gt;"",1,0),0)</f>
        <v>0</v>
      </c>
      <c r="O4337">
        <f>IFERROR(IF(VLOOKUP(calendar[[#This Row],[Date]],BH!G:G,1,)&lt;&gt;"",1,0),0)</f>
        <v>0</v>
      </c>
      <c r="P4337">
        <f>IF(OR(calendar[[#This Row],[UK_BH]]=1,calendar[[#This Row],[WeekDay]]=1, calendar[[#This Row],[WeekDay]]=7),P4336,P4336+1)</f>
        <v>3073</v>
      </c>
      <c r="Q4337">
        <f>IF(OR(calendar[[#This Row],[FR_BH]]=1,calendar[[#This Row],[WeekDay]]=1, calendar[[#This Row],[WeekDay]]=7),P4336,P4336+1)</f>
        <v>3073</v>
      </c>
      <c r="R4337">
        <f>IF(OR(calendar[[#This Row],[SP_BH]]=1,calendar[[#This Row],[WeekDay]]=1, calendar[[#This Row],[WeekDay]]=7),P4336,P4336+1)</f>
        <v>3073</v>
      </c>
      <c r="S4337">
        <f>IF(OR(calendar[[#This Row],[PT_BH]]=1,calendar[[#This Row],[WeekDay]]=1, calendar[[#This Row],[WeekDay]]=7),P4336,P4336+1)</f>
        <v>3073</v>
      </c>
    </row>
    <row r="4338" spans="1:19" x14ac:dyDescent="0.25">
      <c r="A4338" s="2">
        <v>47072</v>
      </c>
      <c r="B4338" s="1">
        <f t="shared" si="341"/>
        <v>47</v>
      </c>
      <c r="C4338">
        <f t="shared" si="342"/>
        <v>11</v>
      </c>
      <c r="D4338" t="str">
        <f t="shared" si="343"/>
        <v>November</v>
      </c>
      <c r="E4338">
        <f t="shared" si="344"/>
        <v>2028</v>
      </c>
      <c r="F4338" t="str">
        <f>CONCATENATE(calendar[[#This Row],[Month]],"/",calendar[[#This Row],[Year]])</f>
        <v>11/2028</v>
      </c>
      <c r="G4338">
        <f>WEEKDAY(calendar[[#This Row],[Date]],1)</f>
        <v>4</v>
      </c>
      <c r="H4338" t="str">
        <f>TEXT(calendar[[#This Row],[WeekDay]],"dddd")</f>
        <v>Wednesday</v>
      </c>
      <c r="I4338">
        <f>IF((INT(calendar[[#This Row],[Count]]/7)-calendar[[#This Row],[Count]]/7)&lt;0,I4337,I4337+1)</f>
        <v>620</v>
      </c>
      <c r="J4338">
        <f t="shared" si="345"/>
        <v>4336</v>
      </c>
      <c r="K4338">
        <f>IF(calendar[[#This Row],[Month]]&lt;4,1,IF(calendar[[#This Row],[Month]]&lt;7,2,IF(calendar[[#This Row],[Month]]&lt;10,3,4)))</f>
        <v>4</v>
      </c>
      <c r="L4338">
        <f>IFERROR(IF(VLOOKUP(calendar[[#This Row],[Date]],BH!A:A,1,)&lt;&gt;"",1,0),0)</f>
        <v>0</v>
      </c>
      <c r="M4338">
        <f>IFERROR(IF(VLOOKUP(calendar[[#This Row],[Date]],BH!C:C,1,)&lt;&gt;"",1,0),0)</f>
        <v>0</v>
      </c>
      <c r="N4338">
        <f>IFERROR(IF(VLOOKUP(calendar[[#This Row],[Date]],BH!E:E,1,)&lt;&gt;"",1,0),0)</f>
        <v>0</v>
      </c>
      <c r="O4338">
        <f>IFERROR(IF(VLOOKUP(calendar[[#This Row],[Date]],BH!G:G,1,)&lt;&gt;"",1,0),0)</f>
        <v>0</v>
      </c>
      <c r="P4338">
        <f>IF(OR(calendar[[#This Row],[UK_BH]]=1,calendar[[#This Row],[WeekDay]]=1, calendar[[#This Row],[WeekDay]]=7),P4337,P4337+1)</f>
        <v>3074</v>
      </c>
      <c r="Q4338">
        <f>IF(OR(calendar[[#This Row],[FR_BH]]=1,calendar[[#This Row],[WeekDay]]=1, calendar[[#This Row],[WeekDay]]=7),P4337,P4337+1)</f>
        <v>3074</v>
      </c>
      <c r="R4338">
        <f>IF(OR(calendar[[#This Row],[SP_BH]]=1,calendar[[#This Row],[WeekDay]]=1, calendar[[#This Row],[WeekDay]]=7),P4337,P4337+1)</f>
        <v>3074</v>
      </c>
      <c r="S4338">
        <f>IF(OR(calendar[[#This Row],[PT_BH]]=1,calendar[[#This Row],[WeekDay]]=1, calendar[[#This Row],[WeekDay]]=7),P4337,P4337+1)</f>
        <v>3074</v>
      </c>
    </row>
    <row r="4339" spans="1:19" x14ac:dyDescent="0.25">
      <c r="A4339" s="2">
        <v>47073</v>
      </c>
      <c r="B4339" s="1">
        <f t="shared" si="341"/>
        <v>47</v>
      </c>
      <c r="C4339">
        <f t="shared" si="342"/>
        <v>11</v>
      </c>
      <c r="D4339" t="str">
        <f t="shared" si="343"/>
        <v>November</v>
      </c>
      <c r="E4339">
        <f t="shared" si="344"/>
        <v>2028</v>
      </c>
      <c r="F4339" t="str">
        <f>CONCATENATE(calendar[[#This Row],[Month]],"/",calendar[[#This Row],[Year]])</f>
        <v>11/2028</v>
      </c>
      <c r="G4339">
        <f>WEEKDAY(calendar[[#This Row],[Date]],1)</f>
        <v>5</v>
      </c>
      <c r="H4339" t="str">
        <f>TEXT(calendar[[#This Row],[WeekDay]],"dddd")</f>
        <v>Thursday</v>
      </c>
      <c r="I4339">
        <f>IF((INT(calendar[[#This Row],[Count]]/7)-calendar[[#This Row],[Count]]/7)&lt;0,I4338,I4338+1)</f>
        <v>620</v>
      </c>
      <c r="J4339">
        <f t="shared" si="345"/>
        <v>4337</v>
      </c>
      <c r="K4339">
        <f>IF(calendar[[#This Row],[Month]]&lt;4,1,IF(calendar[[#This Row],[Month]]&lt;7,2,IF(calendar[[#This Row],[Month]]&lt;10,3,4)))</f>
        <v>4</v>
      </c>
      <c r="L4339">
        <f>IFERROR(IF(VLOOKUP(calendar[[#This Row],[Date]],BH!A:A,1,)&lt;&gt;"",1,0),0)</f>
        <v>0</v>
      </c>
      <c r="M4339">
        <f>IFERROR(IF(VLOOKUP(calendar[[#This Row],[Date]],BH!C:C,1,)&lt;&gt;"",1,0),0)</f>
        <v>0</v>
      </c>
      <c r="N4339">
        <f>IFERROR(IF(VLOOKUP(calendar[[#This Row],[Date]],BH!E:E,1,)&lt;&gt;"",1,0),0)</f>
        <v>0</v>
      </c>
      <c r="O4339">
        <f>IFERROR(IF(VLOOKUP(calendar[[#This Row],[Date]],BH!G:G,1,)&lt;&gt;"",1,0),0)</f>
        <v>0</v>
      </c>
      <c r="P4339">
        <f>IF(OR(calendar[[#This Row],[UK_BH]]=1,calendar[[#This Row],[WeekDay]]=1, calendar[[#This Row],[WeekDay]]=7),P4338,P4338+1)</f>
        <v>3075</v>
      </c>
      <c r="Q4339">
        <f>IF(OR(calendar[[#This Row],[FR_BH]]=1,calendar[[#This Row],[WeekDay]]=1, calendar[[#This Row],[WeekDay]]=7),P4338,P4338+1)</f>
        <v>3075</v>
      </c>
      <c r="R4339">
        <f>IF(OR(calendar[[#This Row],[SP_BH]]=1,calendar[[#This Row],[WeekDay]]=1, calendar[[#This Row],[WeekDay]]=7),P4338,P4338+1)</f>
        <v>3075</v>
      </c>
      <c r="S4339">
        <f>IF(OR(calendar[[#This Row],[PT_BH]]=1,calendar[[#This Row],[WeekDay]]=1, calendar[[#This Row],[WeekDay]]=7),P4338,P4338+1)</f>
        <v>3075</v>
      </c>
    </row>
    <row r="4340" spans="1:19" x14ac:dyDescent="0.25">
      <c r="A4340" s="2">
        <v>47074</v>
      </c>
      <c r="B4340" s="1">
        <f t="shared" si="341"/>
        <v>47</v>
      </c>
      <c r="C4340">
        <f t="shared" si="342"/>
        <v>11</v>
      </c>
      <c r="D4340" t="str">
        <f t="shared" si="343"/>
        <v>November</v>
      </c>
      <c r="E4340">
        <f t="shared" si="344"/>
        <v>2028</v>
      </c>
      <c r="F4340" t="str">
        <f>CONCATENATE(calendar[[#This Row],[Month]],"/",calendar[[#This Row],[Year]])</f>
        <v>11/2028</v>
      </c>
      <c r="G4340">
        <f>WEEKDAY(calendar[[#This Row],[Date]],1)</f>
        <v>6</v>
      </c>
      <c r="H4340" t="str">
        <f>TEXT(calendar[[#This Row],[WeekDay]],"dddd")</f>
        <v>Friday</v>
      </c>
      <c r="I4340">
        <f>IF((INT(calendar[[#This Row],[Count]]/7)-calendar[[#This Row],[Count]]/7)&lt;0,I4339,I4339+1)</f>
        <v>620</v>
      </c>
      <c r="J4340">
        <f t="shared" si="345"/>
        <v>4338</v>
      </c>
      <c r="K4340">
        <f>IF(calendar[[#This Row],[Month]]&lt;4,1,IF(calendar[[#This Row],[Month]]&lt;7,2,IF(calendar[[#This Row],[Month]]&lt;10,3,4)))</f>
        <v>4</v>
      </c>
      <c r="L4340">
        <f>IFERROR(IF(VLOOKUP(calendar[[#This Row],[Date]],BH!A:A,1,)&lt;&gt;"",1,0),0)</f>
        <v>0</v>
      </c>
      <c r="M4340">
        <f>IFERROR(IF(VLOOKUP(calendar[[#This Row],[Date]],BH!C:C,1,)&lt;&gt;"",1,0),0)</f>
        <v>0</v>
      </c>
      <c r="N4340">
        <f>IFERROR(IF(VLOOKUP(calendar[[#This Row],[Date]],BH!E:E,1,)&lt;&gt;"",1,0),0)</f>
        <v>0</v>
      </c>
      <c r="O4340">
        <f>IFERROR(IF(VLOOKUP(calendar[[#This Row],[Date]],BH!G:G,1,)&lt;&gt;"",1,0),0)</f>
        <v>0</v>
      </c>
      <c r="P4340">
        <f>IF(OR(calendar[[#This Row],[UK_BH]]=1,calendar[[#This Row],[WeekDay]]=1, calendar[[#This Row],[WeekDay]]=7),P4339,P4339+1)</f>
        <v>3076</v>
      </c>
      <c r="Q4340">
        <f>IF(OR(calendar[[#This Row],[FR_BH]]=1,calendar[[#This Row],[WeekDay]]=1, calendar[[#This Row],[WeekDay]]=7),P4339,P4339+1)</f>
        <v>3076</v>
      </c>
      <c r="R4340">
        <f>IF(OR(calendar[[#This Row],[SP_BH]]=1,calendar[[#This Row],[WeekDay]]=1, calendar[[#This Row],[WeekDay]]=7),P4339,P4339+1)</f>
        <v>3076</v>
      </c>
      <c r="S4340">
        <f>IF(OR(calendar[[#This Row],[PT_BH]]=1,calendar[[#This Row],[WeekDay]]=1, calendar[[#This Row],[WeekDay]]=7),P4339,P4339+1)</f>
        <v>3076</v>
      </c>
    </row>
    <row r="4341" spans="1:19" x14ac:dyDescent="0.25">
      <c r="A4341" s="2">
        <v>47075</v>
      </c>
      <c r="B4341" s="1">
        <f t="shared" si="341"/>
        <v>47</v>
      </c>
      <c r="C4341">
        <f t="shared" si="342"/>
        <v>11</v>
      </c>
      <c r="D4341" t="str">
        <f t="shared" si="343"/>
        <v>November</v>
      </c>
      <c r="E4341">
        <f t="shared" si="344"/>
        <v>2028</v>
      </c>
      <c r="F4341" t="str">
        <f>CONCATENATE(calendar[[#This Row],[Month]],"/",calendar[[#This Row],[Year]])</f>
        <v>11/2028</v>
      </c>
      <c r="G4341">
        <f>WEEKDAY(calendar[[#This Row],[Date]],1)</f>
        <v>7</v>
      </c>
      <c r="H4341" t="str">
        <f>TEXT(calendar[[#This Row],[WeekDay]],"dddd")</f>
        <v>Saturday</v>
      </c>
      <c r="I4341">
        <f>IF((INT(calendar[[#This Row],[Count]]/7)-calendar[[#This Row],[Count]]/7)&lt;0,I4340,I4340+1)</f>
        <v>620</v>
      </c>
      <c r="J4341">
        <f t="shared" si="345"/>
        <v>4339</v>
      </c>
      <c r="K4341">
        <f>IF(calendar[[#This Row],[Month]]&lt;4,1,IF(calendar[[#This Row],[Month]]&lt;7,2,IF(calendar[[#This Row],[Month]]&lt;10,3,4)))</f>
        <v>4</v>
      </c>
      <c r="L4341">
        <f>IFERROR(IF(VLOOKUP(calendar[[#This Row],[Date]],BH!A:A,1,)&lt;&gt;"",1,0),0)</f>
        <v>0</v>
      </c>
      <c r="M4341">
        <f>IFERROR(IF(VLOOKUP(calendar[[#This Row],[Date]],BH!C:C,1,)&lt;&gt;"",1,0),0)</f>
        <v>0</v>
      </c>
      <c r="N4341">
        <f>IFERROR(IF(VLOOKUP(calendar[[#This Row],[Date]],BH!E:E,1,)&lt;&gt;"",1,0),0)</f>
        <v>0</v>
      </c>
      <c r="O4341">
        <f>IFERROR(IF(VLOOKUP(calendar[[#This Row],[Date]],BH!G:G,1,)&lt;&gt;"",1,0),0)</f>
        <v>0</v>
      </c>
      <c r="P4341">
        <f>IF(OR(calendar[[#This Row],[UK_BH]]=1,calendar[[#This Row],[WeekDay]]=1, calendar[[#This Row],[WeekDay]]=7),P4340,P4340+1)</f>
        <v>3076</v>
      </c>
      <c r="Q4341">
        <f>IF(OR(calendar[[#This Row],[FR_BH]]=1,calendar[[#This Row],[WeekDay]]=1, calendar[[#This Row],[WeekDay]]=7),P4340,P4340+1)</f>
        <v>3076</v>
      </c>
      <c r="R4341">
        <f>IF(OR(calendar[[#This Row],[SP_BH]]=1,calendar[[#This Row],[WeekDay]]=1, calendar[[#This Row],[WeekDay]]=7),P4340,P4340+1)</f>
        <v>3076</v>
      </c>
      <c r="S4341">
        <f>IF(OR(calendar[[#This Row],[PT_BH]]=1,calendar[[#This Row],[WeekDay]]=1, calendar[[#This Row],[WeekDay]]=7),P4340,P4340+1)</f>
        <v>3076</v>
      </c>
    </row>
    <row r="4342" spans="1:19" x14ac:dyDescent="0.25">
      <c r="A4342" s="2">
        <v>47076</v>
      </c>
      <c r="B4342" s="1">
        <f t="shared" si="341"/>
        <v>48</v>
      </c>
      <c r="C4342">
        <f t="shared" si="342"/>
        <v>11</v>
      </c>
      <c r="D4342" t="str">
        <f t="shared" si="343"/>
        <v>November</v>
      </c>
      <c r="E4342">
        <f t="shared" si="344"/>
        <v>2028</v>
      </c>
      <c r="F4342" t="str">
        <f>CONCATENATE(calendar[[#This Row],[Month]],"/",calendar[[#This Row],[Year]])</f>
        <v>11/2028</v>
      </c>
      <c r="G4342">
        <f>WEEKDAY(calendar[[#This Row],[Date]],1)</f>
        <v>1</v>
      </c>
      <c r="H4342" t="str">
        <f>TEXT(calendar[[#This Row],[WeekDay]],"dddd")</f>
        <v>Sunday</v>
      </c>
      <c r="I4342">
        <f>IF((INT(calendar[[#This Row],[Count]]/7)-calendar[[#This Row],[Count]]/7)&lt;0,I4341,I4341+1)</f>
        <v>621</v>
      </c>
      <c r="J4342">
        <f t="shared" si="345"/>
        <v>4340</v>
      </c>
      <c r="K4342">
        <f>IF(calendar[[#This Row],[Month]]&lt;4,1,IF(calendar[[#This Row],[Month]]&lt;7,2,IF(calendar[[#This Row],[Month]]&lt;10,3,4)))</f>
        <v>4</v>
      </c>
      <c r="L4342">
        <f>IFERROR(IF(VLOOKUP(calendar[[#This Row],[Date]],BH!A:A,1,)&lt;&gt;"",1,0),0)</f>
        <v>0</v>
      </c>
      <c r="M4342">
        <f>IFERROR(IF(VLOOKUP(calendar[[#This Row],[Date]],BH!C:C,1,)&lt;&gt;"",1,0),0)</f>
        <v>0</v>
      </c>
      <c r="N4342">
        <f>IFERROR(IF(VLOOKUP(calendar[[#This Row],[Date]],BH!E:E,1,)&lt;&gt;"",1,0),0)</f>
        <v>0</v>
      </c>
      <c r="O4342">
        <f>IFERROR(IF(VLOOKUP(calendar[[#This Row],[Date]],BH!G:G,1,)&lt;&gt;"",1,0),0)</f>
        <v>0</v>
      </c>
      <c r="P4342">
        <f>IF(OR(calendar[[#This Row],[UK_BH]]=1,calendar[[#This Row],[WeekDay]]=1, calendar[[#This Row],[WeekDay]]=7),P4341,P4341+1)</f>
        <v>3076</v>
      </c>
      <c r="Q4342">
        <f>IF(OR(calendar[[#This Row],[FR_BH]]=1,calendar[[#This Row],[WeekDay]]=1, calendar[[#This Row],[WeekDay]]=7),P4341,P4341+1)</f>
        <v>3076</v>
      </c>
      <c r="R4342">
        <f>IF(OR(calendar[[#This Row],[SP_BH]]=1,calendar[[#This Row],[WeekDay]]=1, calendar[[#This Row],[WeekDay]]=7),P4341,P4341+1)</f>
        <v>3076</v>
      </c>
      <c r="S4342">
        <f>IF(OR(calendar[[#This Row],[PT_BH]]=1,calendar[[#This Row],[WeekDay]]=1, calendar[[#This Row],[WeekDay]]=7),P4341,P4341+1)</f>
        <v>3076</v>
      </c>
    </row>
    <row r="4343" spans="1:19" x14ac:dyDescent="0.25">
      <c r="A4343" s="2">
        <v>47077</v>
      </c>
      <c r="B4343" s="1">
        <f t="shared" si="341"/>
        <v>48</v>
      </c>
      <c r="C4343">
        <f t="shared" si="342"/>
        <v>11</v>
      </c>
      <c r="D4343" t="str">
        <f t="shared" si="343"/>
        <v>November</v>
      </c>
      <c r="E4343">
        <f t="shared" si="344"/>
        <v>2028</v>
      </c>
      <c r="F4343" t="str">
        <f>CONCATENATE(calendar[[#This Row],[Month]],"/",calendar[[#This Row],[Year]])</f>
        <v>11/2028</v>
      </c>
      <c r="G4343">
        <f>WEEKDAY(calendar[[#This Row],[Date]],1)</f>
        <v>2</v>
      </c>
      <c r="H4343" t="str">
        <f>TEXT(calendar[[#This Row],[WeekDay]],"dddd")</f>
        <v>Monday</v>
      </c>
      <c r="I4343">
        <f>IF((INT(calendar[[#This Row],[Count]]/7)-calendar[[#This Row],[Count]]/7)&lt;0,I4342,I4342+1)</f>
        <v>621</v>
      </c>
      <c r="J4343">
        <f t="shared" si="345"/>
        <v>4341</v>
      </c>
      <c r="K4343">
        <f>IF(calendar[[#This Row],[Month]]&lt;4,1,IF(calendar[[#This Row],[Month]]&lt;7,2,IF(calendar[[#This Row],[Month]]&lt;10,3,4)))</f>
        <v>4</v>
      </c>
      <c r="L4343">
        <f>IFERROR(IF(VLOOKUP(calendar[[#This Row],[Date]],BH!A:A,1,)&lt;&gt;"",1,0),0)</f>
        <v>0</v>
      </c>
      <c r="M4343">
        <f>IFERROR(IF(VLOOKUP(calendar[[#This Row],[Date]],BH!C:C,1,)&lt;&gt;"",1,0),0)</f>
        <v>0</v>
      </c>
      <c r="N4343">
        <f>IFERROR(IF(VLOOKUP(calendar[[#This Row],[Date]],BH!E:E,1,)&lt;&gt;"",1,0),0)</f>
        <v>0</v>
      </c>
      <c r="O4343">
        <f>IFERROR(IF(VLOOKUP(calendar[[#This Row],[Date]],BH!G:G,1,)&lt;&gt;"",1,0),0)</f>
        <v>0</v>
      </c>
      <c r="P4343">
        <f>IF(OR(calendar[[#This Row],[UK_BH]]=1,calendar[[#This Row],[WeekDay]]=1, calendar[[#This Row],[WeekDay]]=7),P4342,P4342+1)</f>
        <v>3077</v>
      </c>
      <c r="Q4343">
        <f>IF(OR(calendar[[#This Row],[FR_BH]]=1,calendar[[#This Row],[WeekDay]]=1, calendar[[#This Row],[WeekDay]]=7),P4342,P4342+1)</f>
        <v>3077</v>
      </c>
      <c r="R4343">
        <f>IF(OR(calendar[[#This Row],[SP_BH]]=1,calendar[[#This Row],[WeekDay]]=1, calendar[[#This Row],[WeekDay]]=7),P4342,P4342+1)</f>
        <v>3077</v>
      </c>
      <c r="S4343">
        <f>IF(OR(calendar[[#This Row],[PT_BH]]=1,calendar[[#This Row],[WeekDay]]=1, calendar[[#This Row],[WeekDay]]=7),P4342,P4342+1)</f>
        <v>3077</v>
      </c>
    </row>
    <row r="4344" spans="1:19" x14ac:dyDescent="0.25">
      <c r="A4344" s="2">
        <v>47078</v>
      </c>
      <c r="B4344" s="1">
        <f t="shared" si="341"/>
        <v>48</v>
      </c>
      <c r="C4344">
        <f t="shared" si="342"/>
        <v>11</v>
      </c>
      <c r="D4344" t="str">
        <f t="shared" si="343"/>
        <v>November</v>
      </c>
      <c r="E4344">
        <f t="shared" si="344"/>
        <v>2028</v>
      </c>
      <c r="F4344" t="str">
        <f>CONCATENATE(calendar[[#This Row],[Month]],"/",calendar[[#This Row],[Year]])</f>
        <v>11/2028</v>
      </c>
      <c r="G4344">
        <f>WEEKDAY(calendar[[#This Row],[Date]],1)</f>
        <v>3</v>
      </c>
      <c r="H4344" t="str">
        <f>TEXT(calendar[[#This Row],[WeekDay]],"dddd")</f>
        <v>Tuesday</v>
      </c>
      <c r="I4344">
        <f>IF((INT(calendar[[#This Row],[Count]]/7)-calendar[[#This Row],[Count]]/7)&lt;0,I4343,I4343+1)</f>
        <v>621</v>
      </c>
      <c r="J4344">
        <f t="shared" si="345"/>
        <v>4342</v>
      </c>
      <c r="K4344">
        <f>IF(calendar[[#This Row],[Month]]&lt;4,1,IF(calendar[[#This Row],[Month]]&lt;7,2,IF(calendar[[#This Row],[Month]]&lt;10,3,4)))</f>
        <v>4</v>
      </c>
      <c r="L4344">
        <f>IFERROR(IF(VLOOKUP(calendar[[#This Row],[Date]],BH!A:A,1,)&lt;&gt;"",1,0),0)</f>
        <v>0</v>
      </c>
      <c r="M4344">
        <f>IFERROR(IF(VLOOKUP(calendar[[#This Row],[Date]],BH!C:C,1,)&lt;&gt;"",1,0),0)</f>
        <v>0</v>
      </c>
      <c r="N4344">
        <f>IFERROR(IF(VLOOKUP(calendar[[#This Row],[Date]],BH!E:E,1,)&lt;&gt;"",1,0),0)</f>
        <v>0</v>
      </c>
      <c r="O4344">
        <f>IFERROR(IF(VLOOKUP(calendar[[#This Row],[Date]],BH!G:G,1,)&lt;&gt;"",1,0),0)</f>
        <v>0</v>
      </c>
      <c r="P4344">
        <f>IF(OR(calendar[[#This Row],[UK_BH]]=1,calendar[[#This Row],[WeekDay]]=1, calendar[[#This Row],[WeekDay]]=7),P4343,P4343+1)</f>
        <v>3078</v>
      </c>
      <c r="Q4344">
        <f>IF(OR(calendar[[#This Row],[FR_BH]]=1,calendar[[#This Row],[WeekDay]]=1, calendar[[#This Row],[WeekDay]]=7),P4343,P4343+1)</f>
        <v>3078</v>
      </c>
      <c r="R4344">
        <f>IF(OR(calendar[[#This Row],[SP_BH]]=1,calendar[[#This Row],[WeekDay]]=1, calendar[[#This Row],[WeekDay]]=7),P4343,P4343+1)</f>
        <v>3078</v>
      </c>
      <c r="S4344">
        <f>IF(OR(calendar[[#This Row],[PT_BH]]=1,calendar[[#This Row],[WeekDay]]=1, calendar[[#This Row],[WeekDay]]=7),P4343,P4343+1)</f>
        <v>3078</v>
      </c>
    </row>
    <row r="4345" spans="1:19" x14ac:dyDescent="0.25">
      <c r="A4345" s="2">
        <v>47079</v>
      </c>
      <c r="B4345" s="1">
        <f t="shared" si="341"/>
        <v>48</v>
      </c>
      <c r="C4345">
        <f t="shared" si="342"/>
        <v>11</v>
      </c>
      <c r="D4345" t="str">
        <f t="shared" si="343"/>
        <v>November</v>
      </c>
      <c r="E4345">
        <f t="shared" si="344"/>
        <v>2028</v>
      </c>
      <c r="F4345" t="str">
        <f>CONCATENATE(calendar[[#This Row],[Month]],"/",calendar[[#This Row],[Year]])</f>
        <v>11/2028</v>
      </c>
      <c r="G4345">
        <f>WEEKDAY(calendar[[#This Row],[Date]],1)</f>
        <v>4</v>
      </c>
      <c r="H4345" t="str">
        <f>TEXT(calendar[[#This Row],[WeekDay]],"dddd")</f>
        <v>Wednesday</v>
      </c>
      <c r="I4345">
        <f>IF((INT(calendar[[#This Row],[Count]]/7)-calendar[[#This Row],[Count]]/7)&lt;0,I4344,I4344+1)</f>
        <v>621</v>
      </c>
      <c r="J4345">
        <f t="shared" si="345"/>
        <v>4343</v>
      </c>
      <c r="K4345">
        <f>IF(calendar[[#This Row],[Month]]&lt;4,1,IF(calendar[[#This Row],[Month]]&lt;7,2,IF(calendar[[#This Row],[Month]]&lt;10,3,4)))</f>
        <v>4</v>
      </c>
      <c r="L4345">
        <f>IFERROR(IF(VLOOKUP(calendar[[#This Row],[Date]],BH!A:A,1,)&lt;&gt;"",1,0),0)</f>
        <v>0</v>
      </c>
      <c r="M4345">
        <f>IFERROR(IF(VLOOKUP(calendar[[#This Row],[Date]],BH!C:C,1,)&lt;&gt;"",1,0),0)</f>
        <v>0</v>
      </c>
      <c r="N4345">
        <f>IFERROR(IF(VLOOKUP(calendar[[#This Row],[Date]],BH!E:E,1,)&lt;&gt;"",1,0),0)</f>
        <v>0</v>
      </c>
      <c r="O4345">
        <f>IFERROR(IF(VLOOKUP(calendar[[#This Row],[Date]],BH!G:G,1,)&lt;&gt;"",1,0),0)</f>
        <v>0</v>
      </c>
      <c r="P4345">
        <f>IF(OR(calendar[[#This Row],[UK_BH]]=1,calendar[[#This Row],[WeekDay]]=1, calendar[[#This Row],[WeekDay]]=7),P4344,P4344+1)</f>
        <v>3079</v>
      </c>
      <c r="Q4345">
        <f>IF(OR(calendar[[#This Row],[FR_BH]]=1,calendar[[#This Row],[WeekDay]]=1, calendar[[#This Row],[WeekDay]]=7),P4344,P4344+1)</f>
        <v>3079</v>
      </c>
      <c r="R4345">
        <f>IF(OR(calendar[[#This Row],[SP_BH]]=1,calendar[[#This Row],[WeekDay]]=1, calendar[[#This Row],[WeekDay]]=7),P4344,P4344+1)</f>
        <v>3079</v>
      </c>
      <c r="S4345">
        <f>IF(OR(calendar[[#This Row],[PT_BH]]=1,calendar[[#This Row],[WeekDay]]=1, calendar[[#This Row],[WeekDay]]=7),P4344,P4344+1)</f>
        <v>3079</v>
      </c>
    </row>
    <row r="4346" spans="1:19" x14ac:dyDescent="0.25">
      <c r="A4346" s="2">
        <v>47080</v>
      </c>
      <c r="B4346" s="1">
        <f t="shared" si="341"/>
        <v>48</v>
      </c>
      <c r="C4346">
        <f t="shared" si="342"/>
        <v>11</v>
      </c>
      <c r="D4346" t="str">
        <f t="shared" si="343"/>
        <v>November</v>
      </c>
      <c r="E4346">
        <f t="shared" si="344"/>
        <v>2028</v>
      </c>
      <c r="F4346" t="str">
        <f>CONCATENATE(calendar[[#This Row],[Month]],"/",calendar[[#This Row],[Year]])</f>
        <v>11/2028</v>
      </c>
      <c r="G4346">
        <f>WEEKDAY(calendar[[#This Row],[Date]],1)</f>
        <v>5</v>
      </c>
      <c r="H4346" t="str">
        <f>TEXT(calendar[[#This Row],[WeekDay]],"dddd")</f>
        <v>Thursday</v>
      </c>
      <c r="I4346">
        <f>IF((INT(calendar[[#This Row],[Count]]/7)-calendar[[#This Row],[Count]]/7)&lt;0,I4345,I4345+1)</f>
        <v>621</v>
      </c>
      <c r="J4346">
        <f t="shared" si="345"/>
        <v>4344</v>
      </c>
      <c r="K4346">
        <f>IF(calendar[[#This Row],[Month]]&lt;4,1,IF(calendar[[#This Row],[Month]]&lt;7,2,IF(calendar[[#This Row],[Month]]&lt;10,3,4)))</f>
        <v>4</v>
      </c>
      <c r="L4346">
        <f>IFERROR(IF(VLOOKUP(calendar[[#This Row],[Date]],BH!A:A,1,)&lt;&gt;"",1,0),0)</f>
        <v>0</v>
      </c>
      <c r="M4346">
        <f>IFERROR(IF(VLOOKUP(calendar[[#This Row],[Date]],BH!C:C,1,)&lt;&gt;"",1,0),0)</f>
        <v>0</v>
      </c>
      <c r="N4346">
        <f>IFERROR(IF(VLOOKUP(calendar[[#This Row],[Date]],BH!E:E,1,)&lt;&gt;"",1,0),0)</f>
        <v>0</v>
      </c>
      <c r="O4346">
        <f>IFERROR(IF(VLOOKUP(calendar[[#This Row],[Date]],BH!G:G,1,)&lt;&gt;"",1,0),0)</f>
        <v>0</v>
      </c>
      <c r="P4346">
        <f>IF(OR(calendar[[#This Row],[UK_BH]]=1,calendar[[#This Row],[WeekDay]]=1, calendar[[#This Row],[WeekDay]]=7),P4345,P4345+1)</f>
        <v>3080</v>
      </c>
      <c r="Q4346">
        <f>IF(OR(calendar[[#This Row],[FR_BH]]=1,calendar[[#This Row],[WeekDay]]=1, calendar[[#This Row],[WeekDay]]=7),P4345,P4345+1)</f>
        <v>3080</v>
      </c>
      <c r="R4346">
        <f>IF(OR(calendar[[#This Row],[SP_BH]]=1,calendar[[#This Row],[WeekDay]]=1, calendar[[#This Row],[WeekDay]]=7),P4345,P4345+1)</f>
        <v>3080</v>
      </c>
      <c r="S4346">
        <f>IF(OR(calendar[[#This Row],[PT_BH]]=1,calendar[[#This Row],[WeekDay]]=1, calendar[[#This Row],[WeekDay]]=7),P4345,P4345+1)</f>
        <v>3080</v>
      </c>
    </row>
    <row r="4347" spans="1:19" x14ac:dyDescent="0.25">
      <c r="A4347" s="2">
        <v>47081</v>
      </c>
      <c r="B4347" s="1">
        <f t="shared" si="341"/>
        <v>48</v>
      </c>
      <c r="C4347">
        <f t="shared" si="342"/>
        <v>11</v>
      </c>
      <c r="D4347" t="str">
        <f t="shared" si="343"/>
        <v>November</v>
      </c>
      <c r="E4347">
        <f t="shared" si="344"/>
        <v>2028</v>
      </c>
      <c r="F4347" t="str">
        <f>CONCATENATE(calendar[[#This Row],[Month]],"/",calendar[[#This Row],[Year]])</f>
        <v>11/2028</v>
      </c>
      <c r="G4347">
        <f>WEEKDAY(calendar[[#This Row],[Date]],1)</f>
        <v>6</v>
      </c>
      <c r="H4347" t="str">
        <f>TEXT(calendar[[#This Row],[WeekDay]],"dddd")</f>
        <v>Friday</v>
      </c>
      <c r="I4347">
        <f>IF((INT(calendar[[#This Row],[Count]]/7)-calendar[[#This Row],[Count]]/7)&lt;0,I4346,I4346+1)</f>
        <v>621</v>
      </c>
      <c r="J4347">
        <f t="shared" si="345"/>
        <v>4345</v>
      </c>
      <c r="K4347">
        <f>IF(calendar[[#This Row],[Month]]&lt;4,1,IF(calendar[[#This Row],[Month]]&lt;7,2,IF(calendar[[#This Row],[Month]]&lt;10,3,4)))</f>
        <v>4</v>
      </c>
      <c r="L4347">
        <f>IFERROR(IF(VLOOKUP(calendar[[#This Row],[Date]],BH!A:A,1,)&lt;&gt;"",1,0),0)</f>
        <v>0</v>
      </c>
      <c r="M4347">
        <f>IFERROR(IF(VLOOKUP(calendar[[#This Row],[Date]],BH!C:C,1,)&lt;&gt;"",1,0),0)</f>
        <v>0</v>
      </c>
      <c r="N4347">
        <f>IFERROR(IF(VLOOKUP(calendar[[#This Row],[Date]],BH!E:E,1,)&lt;&gt;"",1,0),0)</f>
        <v>0</v>
      </c>
      <c r="O4347">
        <f>IFERROR(IF(VLOOKUP(calendar[[#This Row],[Date]],BH!G:G,1,)&lt;&gt;"",1,0),0)</f>
        <v>0</v>
      </c>
      <c r="P4347">
        <f>IF(OR(calendar[[#This Row],[UK_BH]]=1,calendar[[#This Row],[WeekDay]]=1, calendar[[#This Row],[WeekDay]]=7),P4346,P4346+1)</f>
        <v>3081</v>
      </c>
      <c r="Q4347">
        <f>IF(OR(calendar[[#This Row],[FR_BH]]=1,calendar[[#This Row],[WeekDay]]=1, calendar[[#This Row],[WeekDay]]=7),P4346,P4346+1)</f>
        <v>3081</v>
      </c>
      <c r="R4347">
        <f>IF(OR(calendar[[#This Row],[SP_BH]]=1,calendar[[#This Row],[WeekDay]]=1, calendar[[#This Row],[WeekDay]]=7),P4346,P4346+1)</f>
        <v>3081</v>
      </c>
      <c r="S4347">
        <f>IF(OR(calendar[[#This Row],[PT_BH]]=1,calendar[[#This Row],[WeekDay]]=1, calendar[[#This Row],[WeekDay]]=7),P4346,P4346+1)</f>
        <v>3081</v>
      </c>
    </row>
    <row r="4348" spans="1:19" x14ac:dyDescent="0.25">
      <c r="A4348" s="2">
        <v>47082</v>
      </c>
      <c r="B4348" s="1">
        <f t="shared" si="341"/>
        <v>48</v>
      </c>
      <c r="C4348">
        <f t="shared" si="342"/>
        <v>11</v>
      </c>
      <c r="D4348" t="str">
        <f t="shared" si="343"/>
        <v>November</v>
      </c>
      <c r="E4348">
        <f t="shared" si="344"/>
        <v>2028</v>
      </c>
      <c r="F4348" t="str">
        <f>CONCATENATE(calendar[[#This Row],[Month]],"/",calendar[[#This Row],[Year]])</f>
        <v>11/2028</v>
      </c>
      <c r="G4348">
        <f>WEEKDAY(calendar[[#This Row],[Date]],1)</f>
        <v>7</v>
      </c>
      <c r="H4348" t="str">
        <f>TEXT(calendar[[#This Row],[WeekDay]],"dddd")</f>
        <v>Saturday</v>
      </c>
      <c r="I4348">
        <f>IF((INT(calendar[[#This Row],[Count]]/7)-calendar[[#This Row],[Count]]/7)&lt;0,I4347,I4347+1)</f>
        <v>621</v>
      </c>
      <c r="J4348">
        <f t="shared" si="345"/>
        <v>4346</v>
      </c>
      <c r="K4348">
        <f>IF(calendar[[#This Row],[Month]]&lt;4,1,IF(calendar[[#This Row],[Month]]&lt;7,2,IF(calendar[[#This Row],[Month]]&lt;10,3,4)))</f>
        <v>4</v>
      </c>
      <c r="L4348">
        <f>IFERROR(IF(VLOOKUP(calendar[[#This Row],[Date]],BH!A:A,1,)&lt;&gt;"",1,0),0)</f>
        <v>0</v>
      </c>
      <c r="M4348">
        <f>IFERROR(IF(VLOOKUP(calendar[[#This Row],[Date]],BH!C:C,1,)&lt;&gt;"",1,0),0)</f>
        <v>0</v>
      </c>
      <c r="N4348">
        <f>IFERROR(IF(VLOOKUP(calendar[[#This Row],[Date]],BH!E:E,1,)&lt;&gt;"",1,0),0)</f>
        <v>0</v>
      </c>
      <c r="O4348">
        <f>IFERROR(IF(VLOOKUP(calendar[[#This Row],[Date]],BH!G:G,1,)&lt;&gt;"",1,0),0)</f>
        <v>0</v>
      </c>
      <c r="P4348">
        <f>IF(OR(calendar[[#This Row],[UK_BH]]=1,calendar[[#This Row],[WeekDay]]=1, calendar[[#This Row],[WeekDay]]=7),P4347,P4347+1)</f>
        <v>3081</v>
      </c>
      <c r="Q4348">
        <f>IF(OR(calendar[[#This Row],[FR_BH]]=1,calendar[[#This Row],[WeekDay]]=1, calendar[[#This Row],[WeekDay]]=7),P4347,P4347+1)</f>
        <v>3081</v>
      </c>
      <c r="R4348">
        <f>IF(OR(calendar[[#This Row],[SP_BH]]=1,calendar[[#This Row],[WeekDay]]=1, calendar[[#This Row],[WeekDay]]=7),P4347,P4347+1)</f>
        <v>3081</v>
      </c>
      <c r="S4348">
        <f>IF(OR(calendar[[#This Row],[PT_BH]]=1,calendar[[#This Row],[WeekDay]]=1, calendar[[#This Row],[WeekDay]]=7),P4347,P4347+1)</f>
        <v>3081</v>
      </c>
    </row>
    <row r="4349" spans="1:19" x14ac:dyDescent="0.25">
      <c r="A4349" s="2">
        <v>47083</v>
      </c>
      <c r="B4349" s="1">
        <f t="shared" si="341"/>
        <v>49</v>
      </c>
      <c r="C4349">
        <f t="shared" si="342"/>
        <v>11</v>
      </c>
      <c r="D4349" t="str">
        <f t="shared" si="343"/>
        <v>November</v>
      </c>
      <c r="E4349">
        <f t="shared" si="344"/>
        <v>2028</v>
      </c>
      <c r="F4349" t="str">
        <f>CONCATENATE(calendar[[#This Row],[Month]],"/",calendar[[#This Row],[Year]])</f>
        <v>11/2028</v>
      </c>
      <c r="G4349">
        <f>WEEKDAY(calendar[[#This Row],[Date]],1)</f>
        <v>1</v>
      </c>
      <c r="H4349" t="str">
        <f>TEXT(calendar[[#This Row],[WeekDay]],"dddd")</f>
        <v>Sunday</v>
      </c>
      <c r="I4349">
        <f>IF((INT(calendar[[#This Row],[Count]]/7)-calendar[[#This Row],[Count]]/7)&lt;0,I4348,I4348+1)</f>
        <v>622</v>
      </c>
      <c r="J4349">
        <f t="shared" si="345"/>
        <v>4347</v>
      </c>
      <c r="K4349">
        <f>IF(calendar[[#This Row],[Month]]&lt;4,1,IF(calendar[[#This Row],[Month]]&lt;7,2,IF(calendar[[#This Row],[Month]]&lt;10,3,4)))</f>
        <v>4</v>
      </c>
      <c r="L4349">
        <f>IFERROR(IF(VLOOKUP(calendar[[#This Row],[Date]],BH!A:A,1,)&lt;&gt;"",1,0),0)</f>
        <v>0</v>
      </c>
      <c r="M4349">
        <f>IFERROR(IF(VLOOKUP(calendar[[#This Row],[Date]],BH!C:C,1,)&lt;&gt;"",1,0),0)</f>
        <v>0</v>
      </c>
      <c r="N4349">
        <f>IFERROR(IF(VLOOKUP(calendar[[#This Row],[Date]],BH!E:E,1,)&lt;&gt;"",1,0),0)</f>
        <v>0</v>
      </c>
      <c r="O4349">
        <f>IFERROR(IF(VLOOKUP(calendar[[#This Row],[Date]],BH!G:G,1,)&lt;&gt;"",1,0),0)</f>
        <v>0</v>
      </c>
      <c r="P4349">
        <f>IF(OR(calendar[[#This Row],[UK_BH]]=1,calendar[[#This Row],[WeekDay]]=1, calendar[[#This Row],[WeekDay]]=7),P4348,P4348+1)</f>
        <v>3081</v>
      </c>
      <c r="Q4349">
        <f>IF(OR(calendar[[#This Row],[FR_BH]]=1,calendar[[#This Row],[WeekDay]]=1, calendar[[#This Row],[WeekDay]]=7),P4348,P4348+1)</f>
        <v>3081</v>
      </c>
      <c r="R4349">
        <f>IF(OR(calendar[[#This Row],[SP_BH]]=1,calendar[[#This Row],[WeekDay]]=1, calendar[[#This Row],[WeekDay]]=7),P4348,P4348+1)</f>
        <v>3081</v>
      </c>
      <c r="S4349">
        <f>IF(OR(calendar[[#This Row],[PT_BH]]=1,calendar[[#This Row],[WeekDay]]=1, calendar[[#This Row],[WeekDay]]=7),P4348,P4348+1)</f>
        <v>3081</v>
      </c>
    </row>
    <row r="4350" spans="1:19" x14ac:dyDescent="0.25">
      <c r="A4350" s="2">
        <v>47084</v>
      </c>
      <c r="B4350" s="1">
        <f t="shared" si="341"/>
        <v>49</v>
      </c>
      <c r="C4350">
        <f t="shared" si="342"/>
        <v>11</v>
      </c>
      <c r="D4350" t="str">
        <f t="shared" si="343"/>
        <v>November</v>
      </c>
      <c r="E4350">
        <f t="shared" si="344"/>
        <v>2028</v>
      </c>
      <c r="F4350" t="str">
        <f>CONCATENATE(calendar[[#This Row],[Month]],"/",calendar[[#This Row],[Year]])</f>
        <v>11/2028</v>
      </c>
      <c r="G4350">
        <f>WEEKDAY(calendar[[#This Row],[Date]],1)</f>
        <v>2</v>
      </c>
      <c r="H4350" t="str">
        <f>TEXT(calendar[[#This Row],[WeekDay]],"dddd")</f>
        <v>Monday</v>
      </c>
      <c r="I4350">
        <f>IF((INT(calendar[[#This Row],[Count]]/7)-calendar[[#This Row],[Count]]/7)&lt;0,I4349,I4349+1)</f>
        <v>622</v>
      </c>
      <c r="J4350">
        <f t="shared" si="345"/>
        <v>4348</v>
      </c>
      <c r="K4350">
        <f>IF(calendar[[#This Row],[Month]]&lt;4,1,IF(calendar[[#This Row],[Month]]&lt;7,2,IF(calendar[[#This Row],[Month]]&lt;10,3,4)))</f>
        <v>4</v>
      </c>
      <c r="L4350">
        <f>IFERROR(IF(VLOOKUP(calendar[[#This Row],[Date]],BH!A:A,1,)&lt;&gt;"",1,0),0)</f>
        <v>0</v>
      </c>
      <c r="M4350">
        <f>IFERROR(IF(VLOOKUP(calendar[[#This Row],[Date]],BH!C:C,1,)&lt;&gt;"",1,0),0)</f>
        <v>0</v>
      </c>
      <c r="N4350">
        <f>IFERROR(IF(VLOOKUP(calendar[[#This Row],[Date]],BH!E:E,1,)&lt;&gt;"",1,0),0)</f>
        <v>0</v>
      </c>
      <c r="O4350">
        <f>IFERROR(IF(VLOOKUP(calendar[[#This Row],[Date]],BH!G:G,1,)&lt;&gt;"",1,0),0)</f>
        <v>0</v>
      </c>
      <c r="P4350">
        <f>IF(OR(calendar[[#This Row],[UK_BH]]=1,calendar[[#This Row],[WeekDay]]=1, calendar[[#This Row],[WeekDay]]=7),P4349,P4349+1)</f>
        <v>3082</v>
      </c>
      <c r="Q4350">
        <f>IF(OR(calendar[[#This Row],[FR_BH]]=1,calendar[[#This Row],[WeekDay]]=1, calendar[[#This Row],[WeekDay]]=7),P4349,P4349+1)</f>
        <v>3082</v>
      </c>
      <c r="R4350">
        <f>IF(OR(calendar[[#This Row],[SP_BH]]=1,calendar[[#This Row],[WeekDay]]=1, calendar[[#This Row],[WeekDay]]=7),P4349,P4349+1)</f>
        <v>3082</v>
      </c>
      <c r="S4350">
        <f>IF(OR(calendar[[#This Row],[PT_BH]]=1,calendar[[#This Row],[WeekDay]]=1, calendar[[#This Row],[WeekDay]]=7),P4349,P4349+1)</f>
        <v>3082</v>
      </c>
    </row>
    <row r="4351" spans="1:19" x14ac:dyDescent="0.25">
      <c r="A4351" s="2">
        <v>47085</v>
      </c>
      <c r="B4351" s="1">
        <f t="shared" si="341"/>
        <v>49</v>
      </c>
      <c r="C4351">
        <f t="shared" si="342"/>
        <v>11</v>
      </c>
      <c r="D4351" t="str">
        <f t="shared" si="343"/>
        <v>November</v>
      </c>
      <c r="E4351">
        <f t="shared" si="344"/>
        <v>2028</v>
      </c>
      <c r="F4351" t="str">
        <f>CONCATENATE(calendar[[#This Row],[Month]],"/",calendar[[#This Row],[Year]])</f>
        <v>11/2028</v>
      </c>
      <c r="G4351">
        <f>WEEKDAY(calendar[[#This Row],[Date]],1)</f>
        <v>3</v>
      </c>
      <c r="H4351" t="str">
        <f>TEXT(calendar[[#This Row],[WeekDay]],"dddd")</f>
        <v>Tuesday</v>
      </c>
      <c r="I4351">
        <f>IF((INT(calendar[[#This Row],[Count]]/7)-calendar[[#This Row],[Count]]/7)&lt;0,I4350,I4350+1)</f>
        <v>622</v>
      </c>
      <c r="J4351">
        <f t="shared" si="345"/>
        <v>4349</v>
      </c>
      <c r="K4351">
        <f>IF(calendar[[#This Row],[Month]]&lt;4,1,IF(calendar[[#This Row],[Month]]&lt;7,2,IF(calendar[[#This Row],[Month]]&lt;10,3,4)))</f>
        <v>4</v>
      </c>
      <c r="L4351">
        <f>IFERROR(IF(VLOOKUP(calendar[[#This Row],[Date]],BH!A:A,1,)&lt;&gt;"",1,0),0)</f>
        <v>0</v>
      </c>
      <c r="M4351">
        <f>IFERROR(IF(VLOOKUP(calendar[[#This Row],[Date]],BH!C:C,1,)&lt;&gt;"",1,0),0)</f>
        <v>0</v>
      </c>
      <c r="N4351">
        <f>IFERROR(IF(VLOOKUP(calendar[[#This Row],[Date]],BH!E:E,1,)&lt;&gt;"",1,0),0)</f>
        <v>0</v>
      </c>
      <c r="O4351">
        <f>IFERROR(IF(VLOOKUP(calendar[[#This Row],[Date]],BH!G:G,1,)&lt;&gt;"",1,0),0)</f>
        <v>0</v>
      </c>
      <c r="P4351">
        <f>IF(OR(calendar[[#This Row],[UK_BH]]=1,calendar[[#This Row],[WeekDay]]=1, calendar[[#This Row],[WeekDay]]=7),P4350,P4350+1)</f>
        <v>3083</v>
      </c>
      <c r="Q4351">
        <f>IF(OR(calendar[[#This Row],[FR_BH]]=1,calendar[[#This Row],[WeekDay]]=1, calendar[[#This Row],[WeekDay]]=7),P4350,P4350+1)</f>
        <v>3083</v>
      </c>
      <c r="R4351">
        <f>IF(OR(calendar[[#This Row],[SP_BH]]=1,calendar[[#This Row],[WeekDay]]=1, calendar[[#This Row],[WeekDay]]=7),P4350,P4350+1)</f>
        <v>3083</v>
      </c>
      <c r="S4351">
        <f>IF(OR(calendar[[#This Row],[PT_BH]]=1,calendar[[#This Row],[WeekDay]]=1, calendar[[#This Row],[WeekDay]]=7),P4350,P4350+1)</f>
        <v>3083</v>
      </c>
    </row>
    <row r="4352" spans="1:19" x14ac:dyDescent="0.25">
      <c r="A4352" s="2">
        <v>47086</v>
      </c>
      <c r="B4352" s="1">
        <f t="shared" si="341"/>
        <v>49</v>
      </c>
      <c r="C4352">
        <f t="shared" si="342"/>
        <v>11</v>
      </c>
      <c r="D4352" t="str">
        <f t="shared" si="343"/>
        <v>November</v>
      </c>
      <c r="E4352">
        <f t="shared" si="344"/>
        <v>2028</v>
      </c>
      <c r="F4352" t="str">
        <f>CONCATENATE(calendar[[#This Row],[Month]],"/",calendar[[#This Row],[Year]])</f>
        <v>11/2028</v>
      </c>
      <c r="G4352">
        <f>WEEKDAY(calendar[[#This Row],[Date]],1)</f>
        <v>4</v>
      </c>
      <c r="H4352" t="str">
        <f>TEXT(calendar[[#This Row],[WeekDay]],"dddd")</f>
        <v>Wednesday</v>
      </c>
      <c r="I4352">
        <f>IF((INT(calendar[[#This Row],[Count]]/7)-calendar[[#This Row],[Count]]/7)&lt;0,I4351,I4351+1)</f>
        <v>622</v>
      </c>
      <c r="J4352">
        <f t="shared" si="345"/>
        <v>4350</v>
      </c>
      <c r="K4352">
        <f>IF(calendar[[#This Row],[Month]]&lt;4,1,IF(calendar[[#This Row],[Month]]&lt;7,2,IF(calendar[[#This Row],[Month]]&lt;10,3,4)))</f>
        <v>4</v>
      </c>
      <c r="L4352">
        <f>IFERROR(IF(VLOOKUP(calendar[[#This Row],[Date]],BH!A:A,1,)&lt;&gt;"",1,0),0)</f>
        <v>0</v>
      </c>
      <c r="M4352">
        <f>IFERROR(IF(VLOOKUP(calendar[[#This Row],[Date]],BH!C:C,1,)&lt;&gt;"",1,0),0)</f>
        <v>0</v>
      </c>
      <c r="N4352">
        <f>IFERROR(IF(VLOOKUP(calendar[[#This Row],[Date]],BH!E:E,1,)&lt;&gt;"",1,0),0)</f>
        <v>0</v>
      </c>
      <c r="O4352">
        <f>IFERROR(IF(VLOOKUP(calendar[[#This Row],[Date]],BH!G:G,1,)&lt;&gt;"",1,0),0)</f>
        <v>0</v>
      </c>
      <c r="P4352">
        <f>IF(OR(calendar[[#This Row],[UK_BH]]=1,calendar[[#This Row],[WeekDay]]=1, calendar[[#This Row],[WeekDay]]=7),P4351,P4351+1)</f>
        <v>3084</v>
      </c>
      <c r="Q4352">
        <f>IF(OR(calendar[[#This Row],[FR_BH]]=1,calendar[[#This Row],[WeekDay]]=1, calendar[[#This Row],[WeekDay]]=7),P4351,P4351+1)</f>
        <v>3084</v>
      </c>
      <c r="R4352">
        <f>IF(OR(calendar[[#This Row],[SP_BH]]=1,calendar[[#This Row],[WeekDay]]=1, calendar[[#This Row],[WeekDay]]=7),P4351,P4351+1)</f>
        <v>3084</v>
      </c>
      <c r="S4352">
        <f>IF(OR(calendar[[#This Row],[PT_BH]]=1,calendar[[#This Row],[WeekDay]]=1, calendar[[#This Row],[WeekDay]]=7),P4351,P4351+1)</f>
        <v>3084</v>
      </c>
    </row>
    <row r="4353" spans="1:19" x14ac:dyDescent="0.25">
      <c r="A4353" s="2">
        <v>47087</v>
      </c>
      <c r="B4353" s="1">
        <f t="shared" si="341"/>
        <v>49</v>
      </c>
      <c r="C4353">
        <f t="shared" si="342"/>
        <v>11</v>
      </c>
      <c r="D4353" t="str">
        <f t="shared" si="343"/>
        <v>November</v>
      </c>
      <c r="E4353">
        <f t="shared" si="344"/>
        <v>2028</v>
      </c>
      <c r="F4353" t="str">
        <f>CONCATENATE(calendar[[#This Row],[Month]],"/",calendar[[#This Row],[Year]])</f>
        <v>11/2028</v>
      </c>
      <c r="G4353">
        <f>WEEKDAY(calendar[[#This Row],[Date]],1)</f>
        <v>5</v>
      </c>
      <c r="H4353" t="str">
        <f>TEXT(calendar[[#This Row],[WeekDay]],"dddd")</f>
        <v>Thursday</v>
      </c>
      <c r="I4353">
        <f>IF((INT(calendar[[#This Row],[Count]]/7)-calendar[[#This Row],[Count]]/7)&lt;0,I4352,I4352+1)</f>
        <v>622</v>
      </c>
      <c r="J4353">
        <f t="shared" si="345"/>
        <v>4351</v>
      </c>
      <c r="K4353">
        <f>IF(calendar[[#This Row],[Month]]&lt;4,1,IF(calendar[[#This Row],[Month]]&lt;7,2,IF(calendar[[#This Row],[Month]]&lt;10,3,4)))</f>
        <v>4</v>
      </c>
      <c r="L4353">
        <f>IFERROR(IF(VLOOKUP(calendar[[#This Row],[Date]],BH!A:A,1,)&lt;&gt;"",1,0),0)</f>
        <v>0</v>
      </c>
      <c r="M4353">
        <f>IFERROR(IF(VLOOKUP(calendar[[#This Row],[Date]],BH!C:C,1,)&lt;&gt;"",1,0),0)</f>
        <v>0</v>
      </c>
      <c r="N4353">
        <f>IFERROR(IF(VLOOKUP(calendar[[#This Row],[Date]],BH!E:E,1,)&lt;&gt;"",1,0),0)</f>
        <v>0</v>
      </c>
      <c r="O4353">
        <f>IFERROR(IF(VLOOKUP(calendar[[#This Row],[Date]],BH!G:G,1,)&lt;&gt;"",1,0),0)</f>
        <v>0</v>
      </c>
      <c r="P4353">
        <f>IF(OR(calendar[[#This Row],[UK_BH]]=1,calendar[[#This Row],[WeekDay]]=1, calendar[[#This Row],[WeekDay]]=7),P4352,P4352+1)</f>
        <v>3085</v>
      </c>
      <c r="Q4353">
        <f>IF(OR(calendar[[#This Row],[FR_BH]]=1,calendar[[#This Row],[WeekDay]]=1, calendar[[#This Row],[WeekDay]]=7),P4352,P4352+1)</f>
        <v>3085</v>
      </c>
      <c r="R4353">
        <f>IF(OR(calendar[[#This Row],[SP_BH]]=1,calendar[[#This Row],[WeekDay]]=1, calendar[[#This Row],[WeekDay]]=7),P4352,P4352+1)</f>
        <v>3085</v>
      </c>
      <c r="S4353">
        <f>IF(OR(calendar[[#This Row],[PT_BH]]=1,calendar[[#This Row],[WeekDay]]=1, calendar[[#This Row],[WeekDay]]=7),P4352,P4352+1)</f>
        <v>3085</v>
      </c>
    </row>
    <row r="4354" spans="1:19" x14ac:dyDescent="0.25">
      <c r="A4354" s="2">
        <v>47088</v>
      </c>
      <c r="B4354" s="1">
        <f t="shared" ref="B4354:B4384" si="346">WEEKNUM(A4354)</f>
        <v>49</v>
      </c>
      <c r="C4354">
        <f t="shared" si="342"/>
        <v>12</v>
      </c>
      <c r="D4354" t="str">
        <f t="shared" si="343"/>
        <v>December</v>
      </c>
      <c r="E4354">
        <f t="shared" si="344"/>
        <v>2028</v>
      </c>
      <c r="F4354" t="str">
        <f>CONCATENATE(calendar[[#This Row],[Month]],"/",calendar[[#This Row],[Year]])</f>
        <v>12/2028</v>
      </c>
      <c r="G4354">
        <f>WEEKDAY(calendar[[#This Row],[Date]],1)</f>
        <v>6</v>
      </c>
      <c r="H4354" t="str">
        <f>TEXT(calendar[[#This Row],[WeekDay]],"dddd")</f>
        <v>Friday</v>
      </c>
      <c r="I4354">
        <f>IF((INT(calendar[[#This Row],[Count]]/7)-calendar[[#This Row],[Count]]/7)&lt;0,I4353,I4353+1)</f>
        <v>622</v>
      </c>
      <c r="J4354">
        <f t="shared" si="345"/>
        <v>4352</v>
      </c>
      <c r="K4354">
        <f>IF(calendar[[#This Row],[Month]]&lt;4,1,IF(calendar[[#This Row],[Month]]&lt;7,2,IF(calendar[[#This Row],[Month]]&lt;10,3,4)))</f>
        <v>4</v>
      </c>
      <c r="L4354">
        <f>IFERROR(IF(VLOOKUP(calendar[[#This Row],[Date]],BH!A:A,1,)&lt;&gt;"",1,0),0)</f>
        <v>0</v>
      </c>
      <c r="M4354">
        <f>IFERROR(IF(VLOOKUP(calendar[[#This Row],[Date]],BH!C:C,1,)&lt;&gt;"",1,0),0)</f>
        <v>0</v>
      </c>
      <c r="N4354">
        <f>IFERROR(IF(VLOOKUP(calendar[[#This Row],[Date]],BH!E:E,1,)&lt;&gt;"",1,0),0)</f>
        <v>0</v>
      </c>
      <c r="O4354">
        <f>IFERROR(IF(VLOOKUP(calendar[[#This Row],[Date]],BH!G:G,1,)&lt;&gt;"",1,0),0)</f>
        <v>0</v>
      </c>
      <c r="P4354">
        <f>IF(OR(calendar[[#This Row],[UK_BH]]=1,calendar[[#This Row],[WeekDay]]=1, calendar[[#This Row],[WeekDay]]=7),P4353,P4353+1)</f>
        <v>3086</v>
      </c>
      <c r="Q4354">
        <f>IF(OR(calendar[[#This Row],[FR_BH]]=1,calendar[[#This Row],[WeekDay]]=1, calendar[[#This Row],[WeekDay]]=7),P4353,P4353+1)</f>
        <v>3086</v>
      </c>
      <c r="R4354">
        <f>IF(OR(calendar[[#This Row],[SP_BH]]=1,calendar[[#This Row],[WeekDay]]=1, calendar[[#This Row],[WeekDay]]=7),P4353,P4353+1)</f>
        <v>3086</v>
      </c>
      <c r="S4354">
        <f>IF(OR(calendar[[#This Row],[PT_BH]]=1,calendar[[#This Row],[WeekDay]]=1, calendar[[#This Row],[WeekDay]]=7),P4353,P4353+1)</f>
        <v>3086</v>
      </c>
    </row>
    <row r="4355" spans="1:19" x14ac:dyDescent="0.25">
      <c r="A4355" s="2">
        <v>47089</v>
      </c>
      <c r="B4355" s="1">
        <f t="shared" si="346"/>
        <v>49</v>
      </c>
      <c r="C4355">
        <f t="shared" ref="C4355:C4384" si="347">MONTH(A4355)</f>
        <v>12</v>
      </c>
      <c r="D4355" t="str">
        <f t="shared" ref="D4355:D4384" si="348">TEXT(A4355,"mmmm")</f>
        <v>December</v>
      </c>
      <c r="E4355">
        <f t="shared" ref="E4355:E4384" si="349">YEAR(A4355)</f>
        <v>2028</v>
      </c>
      <c r="F4355" t="str">
        <f>CONCATENATE(calendar[[#This Row],[Month]],"/",calendar[[#This Row],[Year]])</f>
        <v>12/2028</v>
      </c>
      <c r="G4355">
        <f>WEEKDAY(calendar[[#This Row],[Date]],1)</f>
        <v>7</v>
      </c>
      <c r="H4355" t="str">
        <f>TEXT(calendar[[#This Row],[WeekDay]],"dddd")</f>
        <v>Saturday</v>
      </c>
      <c r="I4355">
        <f>IF((INT(calendar[[#This Row],[Count]]/7)-calendar[[#This Row],[Count]]/7)&lt;0,I4354,I4354+1)</f>
        <v>622</v>
      </c>
      <c r="J4355">
        <f t="shared" ref="J4355:J4383" si="350">J4354+1</f>
        <v>4353</v>
      </c>
      <c r="K4355">
        <f>IF(calendar[[#This Row],[Month]]&lt;4,1,IF(calendar[[#This Row],[Month]]&lt;7,2,IF(calendar[[#This Row],[Month]]&lt;10,3,4)))</f>
        <v>4</v>
      </c>
      <c r="L4355">
        <f>IFERROR(IF(VLOOKUP(calendar[[#This Row],[Date]],BH!A:A,1,)&lt;&gt;"",1,0),0)</f>
        <v>0</v>
      </c>
      <c r="M4355">
        <f>IFERROR(IF(VLOOKUP(calendar[[#This Row],[Date]],BH!C:C,1,)&lt;&gt;"",1,0),0)</f>
        <v>0</v>
      </c>
      <c r="N4355">
        <f>IFERROR(IF(VLOOKUP(calendar[[#This Row],[Date]],BH!E:E,1,)&lt;&gt;"",1,0),0)</f>
        <v>0</v>
      </c>
      <c r="O4355">
        <f>IFERROR(IF(VLOOKUP(calendar[[#This Row],[Date]],BH!G:G,1,)&lt;&gt;"",1,0),0)</f>
        <v>0</v>
      </c>
      <c r="P4355">
        <f>IF(OR(calendar[[#This Row],[UK_BH]]=1,calendar[[#This Row],[WeekDay]]=1, calendar[[#This Row],[WeekDay]]=7),P4354,P4354+1)</f>
        <v>3086</v>
      </c>
      <c r="Q4355">
        <f>IF(OR(calendar[[#This Row],[FR_BH]]=1,calendar[[#This Row],[WeekDay]]=1, calendar[[#This Row],[WeekDay]]=7),P4354,P4354+1)</f>
        <v>3086</v>
      </c>
      <c r="R4355">
        <f>IF(OR(calendar[[#This Row],[SP_BH]]=1,calendar[[#This Row],[WeekDay]]=1, calendar[[#This Row],[WeekDay]]=7),P4354,P4354+1)</f>
        <v>3086</v>
      </c>
      <c r="S4355">
        <f>IF(OR(calendar[[#This Row],[PT_BH]]=1,calendar[[#This Row],[WeekDay]]=1, calendar[[#This Row],[WeekDay]]=7),P4354,P4354+1)</f>
        <v>3086</v>
      </c>
    </row>
    <row r="4356" spans="1:19" x14ac:dyDescent="0.25">
      <c r="A4356" s="2">
        <v>47090</v>
      </c>
      <c r="B4356" s="1">
        <f t="shared" si="346"/>
        <v>50</v>
      </c>
      <c r="C4356">
        <f t="shared" si="347"/>
        <v>12</v>
      </c>
      <c r="D4356" t="str">
        <f t="shared" si="348"/>
        <v>December</v>
      </c>
      <c r="E4356">
        <f t="shared" si="349"/>
        <v>2028</v>
      </c>
      <c r="F4356" t="str">
        <f>CONCATENATE(calendar[[#This Row],[Month]],"/",calendar[[#This Row],[Year]])</f>
        <v>12/2028</v>
      </c>
      <c r="G4356">
        <f>WEEKDAY(calendar[[#This Row],[Date]],1)</f>
        <v>1</v>
      </c>
      <c r="H4356" t="str">
        <f>TEXT(calendar[[#This Row],[WeekDay]],"dddd")</f>
        <v>Sunday</v>
      </c>
      <c r="I4356">
        <f>IF((INT(calendar[[#This Row],[Count]]/7)-calendar[[#This Row],[Count]]/7)&lt;0,I4355,I4355+1)</f>
        <v>623</v>
      </c>
      <c r="J4356">
        <f t="shared" si="350"/>
        <v>4354</v>
      </c>
      <c r="K4356">
        <f>IF(calendar[[#This Row],[Month]]&lt;4,1,IF(calendar[[#This Row],[Month]]&lt;7,2,IF(calendar[[#This Row],[Month]]&lt;10,3,4)))</f>
        <v>4</v>
      </c>
      <c r="L4356">
        <f>IFERROR(IF(VLOOKUP(calendar[[#This Row],[Date]],BH!A:A,1,)&lt;&gt;"",1,0),0)</f>
        <v>0</v>
      </c>
      <c r="M4356">
        <f>IFERROR(IF(VLOOKUP(calendar[[#This Row],[Date]],BH!C:C,1,)&lt;&gt;"",1,0),0)</f>
        <v>0</v>
      </c>
      <c r="N4356">
        <f>IFERROR(IF(VLOOKUP(calendar[[#This Row],[Date]],BH!E:E,1,)&lt;&gt;"",1,0),0)</f>
        <v>0</v>
      </c>
      <c r="O4356">
        <f>IFERROR(IF(VLOOKUP(calendar[[#This Row],[Date]],BH!G:G,1,)&lt;&gt;"",1,0),0)</f>
        <v>0</v>
      </c>
      <c r="P4356">
        <f>IF(OR(calendar[[#This Row],[UK_BH]]=1,calendar[[#This Row],[WeekDay]]=1, calendar[[#This Row],[WeekDay]]=7),P4355,P4355+1)</f>
        <v>3086</v>
      </c>
      <c r="Q4356">
        <f>IF(OR(calendar[[#This Row],[FR_BH]]=1,calendar[[#This Row],[WeekDay]]=1, calendar[[#This Row],[WeekDay]]=7),P4355,P4355+1)</f>
        <v>3086</v>
      </c>
      <c r="R4356">
        <f>IF(OR(calendar[[#This Row],[SP_BH]]=1,calendar[[#This Row],[WeekDay]]=1, calendar[[#This Row],[WeekDay]]=7),P4355,P4355+1)</f>
        <v>3086</v>
      </c>
      <c r="S4356">
        <f>IF(OR(calendar[[#This Row],[PT_BH]]=1,calendar[[#This Row],[WeekDay]]=1, calendar[[#This Row],[WeekDay]]=7),P4355,P4355+1)</f>
        <v>3086</v>
      </c>
    </row>
    <row r="4357" spans="1:19" x14ac:dyDescent="0.25">
      <c r="A4357" s="2">
        <v>47091</v>
      </c>
      <c r="B4357" s="1">
        <f t="shared" si="346"/>
        <v>50</v>
      </c>
      <c r="C4357">
        <f t="shared" si="347"/>
        <v>12</v>
      </c>
      <c r="D4357" t="str">
        <f t="shared" si="348"/>
        <v>December</v>
      </c>
      <c r="E4357">
        <f t="shared" si="349"/>
        <v>2028</v>
      </c>
      <c r="F4357" t="str">
        <f>CONCATENATE(calendar[[#This Row],[Month]],"/",calendar[[#This Row],[Year]])</f>
        <v>12/2028</v>
      </c>
      <c r="G4357">
        <f>WEEKDAY(calendar[[#This Row],[Date]],1)</f>
        <v>2</v>
      </c>
      <c r="H4357" t="str">
        <f>TEXT(calendar[[#This Row],[WeekDay]],"dddd")</f>
        <v>Monday</v>
      </c>
      <c r="I4357">
        <f>IF((INT(calendar[[#This Row],[Count]]/7)-calendar[[#This Row],[Count]]/7)&lt;0,I4356,I4356+1)</f>
        <v>623</v>
      </c>
      <c r="J4357">
        <f t="shared" si="350"/>
        <v>4355</v>
      </c>
      <c r="K4357">
        <f>IF(calendar[[#This Row],[Month]]&lt;4,1,IF(calendar[[#This Row],[Month]]&lt;7,2,IF(calendar[[#This Row],[Month]]&lt;10,3,4)))</f>
        <v>4</v>
      </c>
      <c r="L4357">
        <f>IFERROR(IF(VLOOKUP(calendar[[#This Row],[Date]],BH!A:A,1,)&lt;&gt;"",1,0),0)</f>
        <v>0</v>
      </c>
      <c r="M4357">
        <f>IFERROR(IF(VLOOKUP(calendar[[#This Row],[Date]],BH!C:C,1,)&lt;&gt;"",1,0),0)</f>
        <v>0</v>
      </c>
      <c r="N4357">
        <f>IFERROR(IF(VLOOKUP(calendar[[#This Row],[Date]],BH!E:E,1,)&lt;&gt;"",1,0),0)</f>
        <v>0</v>
      </c>
      <c r="O4357">
        <f>IFERROR(IF(VLOOKUP(calendar[[#This Row],[Date]],BH!G:G,1,)&lt;&gt;"",1,0),0)</f>
        <v>0</v>
      </c>
      <c r="P4357">
        <f>IF(OR(calendar[[#This Row],[UK_BH]]=1,calendar[[#This Row],[WeekDay]]=1, calendar[[#This Row],[WeekDay]]=7),P4356,P4356+1)</f>
        <v>3087</v>
      </c>
      <c r="Q4357">
        <f>IF(OR(calendar[[#This Row],[FR_BH]]=1,calendar[[#This Row],[WeekDay]]=1, calendar[[#This Row],[WeekDay]]=7),P4356,P4356+1)</f>
        <v>3087</v>
      </c>
      <c r="R4357">
        <f>IF(OR(calendar[[#This Row],[SP_BH]]=1,calendar[[#This Row],[WeekDay]]=1, calendar[[#This Row],[WeekDay]]=7),P4356,P4356+1)</f>
        <v>3087</v>
      </c>
      <c r="S4357">
        <f>IF(OR(calendar[[#This Row],[PT_BH]]=1,calendar[[#This Row],[WeekDay]]=1, calendar[[#This Row],[WeekDay]]=7),P4356,P4356+1)</f>
        <v>3087</v>
      </c>
    </row>
    <row r="4358" spans="1:19" x14ac:dyDescent="0.25">
      <c r="A4358" s="2">
        <v>47092</v>
      </c>
      <c r="B4358" s="1">
        <f t="shared" si="346"/>
        <v>50</v>
      </c>
      <c r="C4358">
        <f t="shared" si="347"/>
        <v>12</v>
      </c>
      <c r="D4358" t="str">
        <f t="shared" si="348"/>
        <v>December</v>
      </c>
      <c r="E4358">
        <f t="shared" si="349"/>
        <v>2028</v>
      </c>
      <c r="F4358" t="str">
        <f>CONCATENATE(calendar[[#This Row],[Month]],"/",calendar[[#This Row],[Year]])</f>
        <v>12/2028</v>
      </c>
      <c r="G4358">
        <f>WEEKDAY(calendar[[#This Row],[Date]],1)</f>
        <v>3</v>
      </c>
      <c r="H4358" t="str">
        <f>TEXT(calendar[[#This Row],[WeekDay]],"dddd")</f>
        <v>Tuesday</v>
      </c>
      <c r="I4358">
        <f>IF((INT(calendar[[#This Row],[Count]]/7)-calendar[[#This Row],[Count]]/7)&lt;0,I4357,I4357+1)</f>
        <v>623</v>
      </c>
      <c r="J4358">
        <f t="shared" si="350"/>
        <v>4356</v>
      </c>
      <c r="K4358">
        <f>IF(calendar[[#This Row],[Month]]&lt;4,1,IF(calendar[[#This Row],[Month]]&lt;7,2,IF(calendar[[#This Row],[Month]]&lt;10,3,4)))</f>
        <v>4</v>
      </c>
      <c r="L4358">
        <f>IFERROR(IF(VLOOKUP(calendar[[#This Row],[Date]],BH!A:A,1,)&lt;&gt;"",1,0),0)</f>
        <v>0</v>
      </c>
      <c r="M4358">
        <f>IFERROR(IF(VLOOKUP(calendar[[#This Row],[Date]],BH!C:C,1,)&lt;&gt;"",1,0),0)</f>
        <v>0</v>
      </c>
      <c r="N4358">
        <f>IFERROR(IF(VLOOKUP(calendar[[#This Row],[Date]],BH!E:E,1,)&lt;&gt;"",1,0),0)</f>
        <v>0</v>
      </c>
      <c r="O4358">
        <f>IFERROR(IF(VLOOKUP(calendar[[#This Row],[Date]],BH!G:G,1,)&lt;&gt;"",1,0),0)</f>
        <v>0</v>
      </c>
      <c r="P4358">
        <f>IF(OR(calendar[[#This Row],[UK_BH]]=1,calendar[[#This Row],[WeekDay]]=1, calendar[[#This Row],[WeekDay]]=7),P4357,P4357+1)</f>
        <v>3088</v>
      </c>
      <c r="Q4358">
        <f>IF(OR(calendar[[#This Row],[FR_BH]]=1,calendar[[#This Row],[WeekDay]]=1, calendar[[#This Row],[WeekDay]]=7),P4357,P4357+1)</f>
        <v>3088</v>
      </c>
      <c r="R4358">
        <f>IF(OR(calendar[[#This Row],[SP_BH]]=1,calendar[[#This Row],[WeekDay]]=1, calendar[[#This Row],[WeekDay]]=7),P4357,P4357+1)</f>
        <v>3088</v>
      </c>
      <c r="S4358">
        <f>IF(OR(calendar[[#This Row],[PT_BH]]=1,calendar[[#This Row],[WeekDay]]=1, calendar[[#This Row],[WeekDay]]=7),P4357,P4357+1)</f>
        <v>3088</v>
      </c>
    </row>
    <row r="4359" spans="1:19" x14ac:dyDescent="0.25">
      <c r="A4359" s="2">
        <v>47093</v>
      </c>
      <c r="B4359" s="1">
        <f t="shared" si="346"/>
        <v>50</v>
      </c>
      <c r="C4359">
        <f t="shared" si="347"/>
        <v>12</v>
      </c>
      <c r="D4359" t="str">
        <f t="shared" si="348"/>
        <v>December</v>
      </c>
      <c r="E4359">
        <f t="shared" si="349"/>
        <v>2028</v>
      </c>
      <c r="F4359" t="str">
        <f>CONCATENATE(calendar[[#This Row],[Month]],"/",calendar[[#This Row],[Year]])</f>
        <v>12/2028</v>
      </c>
      <c r="G4359">
        <f>WEEKDAY(calendar[[#This Row],[Date]],1)</f>
        <v>4</v>
      </c>
      <c r="H4359" t="str">
        <f>TEXT(calendar[[#This Row],[WeekDay]],"dddd")</f>
        <v>Wednesday</v>
      </c>
      <c r="I4359">
        <f>IF((INT(calendar[[#This Row],[Count]]/7)-calendar[[#This Row],[Count]]/7)&lt;0,I4358,I4358+1)</f>
        <v>623</v>
      </c>
      <c r="J4359">
        <f t="shared" si="350"/>
        <v>4357</v>
      </c>
      <c r="K4359">
        <f>IF(calendar[[#This Row],[Month]]&lt;4,1,IF(calendar[[#This Row],[Month]]&lt;7,2,IF(calendar[[#This Row],[Month]]&lt;10,3,4)))</f>
        <v>4</v>
      </c>
      <c r="L4359">
        <f>IFERROR(IF(VLOOKUP(calendar[[#This Row],[Date]],BH!A:A,1,)&lt;&gt;"",1,0),0)</f>
        <v>0</v>
      </c>
      <c r="M4359">
        <f>IFERROR(IF(VLOOKUP(calendar[[#This Row],[Date]],BH!C:C,1,)&lt;&gt;"",1,0),0)</f>
        <v>0</v>
      </c>
      <c r="N4359">
        <f>IFERROR(IF(VLOOKUP(calendar[[#This Row],[Date]],BH!E:E,1,)&lt;&gt;"",1,0),0)</f>
        <v>0</v>
      </c>
      <c r="O4359">
        <f>IFERROR(IF(VLOOKUP(calendar[[#This Row],[Date]],BH!G:G,1,)&lt;&gt;"",1,0),0)</f>
        <v>0</v>
      </c>
      <c r="P4359">
        <f>IF(OR(calendar[[#This Row],[UK_BH]]=1,calendar[[#This Row],[WeekDay]]=1, calendar[[#This Row],[WeekDay]]=7),P4358,P4358+1)</f>
        <v>3089</v>
      </c>
      <c r="Q4359">
        <f>IF(OR(calendar[[#This Row],[FR_BH]]=1,calendar[[#This Row],[WeekDay]]=1, calendar[[#This Row],[WeekDay]]=7),P4358,P4358+1)</f>
        <v>3089</v>
      </c>
      <c r="R4359">
        <f>IF(OR(calendar[[#This Row],[SP_BH]]=1,calendar[[#This Row],[WeekDay]]=1, calendar[[#This Row],[WeekDay]]=7),P4358,P4358+1)</f>
        <v>3089</v>
      </c>
      <c r="S4359">
        <f>IF(OR(calendar[[#This Row],[PT_BH]]=1,calendar[[#This Row],[WeekDay]]=1, calendar[[#This Row],[WeekDay]]=7),P4358,P4358+1)</f>
        <v>3089</v>
      </c>
    </row>
    <row r="4360" spans="1:19" x14ac:dyDescent="0.25">
      <c r="A4360" s="2">
        <v>47094</v>
      </c>
      <c r="B4360" s="1">
        <f t="shared" si="346"/>
        <v>50</v>
      </c>
      <c r="C4360">
        <f t="shared" si="347"/>
        <v>12</v>
      </c>
      <c r="D4360" t="str">
        <f t="shared" si="348"/>
        <v>December</v>
      </c>
      <c r="E4360">
        <f t="shared" si="349"/>
        <v>2028</v>
      </c>
      <c r="F4360" t="str">
        <f>CONCATENATE(calendar[[#This Row],[Month]],"/",calendar[[#This Row],[Year]])</f>
        <v>12/2028</v>
      </c>
      <c r="G4360">
        <f>WEEKDAY(calendar[[#This Row],[Date]],1)</f>
        <v>5</v>
      </c>
      <c r="H4360" t="str">
        <f>TEXT(calendar[[#This Row],[WeekDay]],"dddd")</f>
        <v>Thursday</v>
      </c>
      <c r="I4360">
        <f>IF((INT(calendar[[#This Row],[Count]]/7)-calendar[[#This Row],[Count]]/7)&lt;0,I4359,I4359+1)</f>
        <v>623</v>
      </c>
      <c r="J4360">
        <f t="shared" si="350"/>
        <v>4358</v>
      </c>
      <c r="K4360">
        <f>IF(calendar[[#This Row],[Month]]&lt;4,1,IF(calendar[[#This Row],[Month]]&lt;7,2,IF(calendar[[#This Row],[Month]]&lt;10,3,4)))</f>
        <v>4</v>
      </c>
      <c r="L4360">
        <f>IFERROR(IF(VLOOKUP(calendar[[#This Row],[Date]],BH!A:A,1,)&lt;&gt;"",1,0),0)</f>
        <v>0</v>
      </c>
      <c r="M4360">
        <f>IFERROR(IF(VLOOKUP(calendar[[#This Row],[Date]],BH!C:C,1,)&lt;&gt;"",1,0),0)</f>
        <v>0</v>
      </c>
      <c r="N4360">
        <f>IFERROR(IF(VLOOKUP(calendar[[#This Row],[Date]],BH!E:E,1,)&lt;&gt;"",1,0),0)</f>
        <v>0</v>
      </c>
      <c r="O4360">
        <f>IFERROR(IF(VLOOKUP(calendar[[#This Row],[Date]],BH!G:G,1,)&lt;&gt;"",1,0),0)</f>
        <v>0</v>
      </c>
      <c r="P4360">
        <f>IF(OR(calendar[[#This Row],[UK_BH]]=1,calendar[[#This Row],[WeekDay]]=1, calendar[[#This Row],[WeekDay]]=7),P4359,P4359+1)</f>
        <v>3090</v>
      </c>
      <c r="Q4360">
        <f>IF(OR(calendar[[#This Row],[FR_BH]]=1,calendar[[#This Row],[WeekDay]]=1, calendar[[#This Row],[WeekDay]]=7),P4359,P4359+1)</f>
        <v>3090</v>
      </c>
      <c r="R4360">
        <f>IF(OR(calendar[[#This Row],[SP_BH]]=1,calendar[[#This Row],[WeekDay]]=1, calendar[[#This Row],[WeekDay]]=7),P4359,P4359+1)</f>
        <v>3090</v>
      </c>
      <c r="S4360">
        <f>IF(OR(calendar[[#This Row],[PT_BH]]=1,calendar[[#This Row],[WeekDay]]=1, calendar[[#This Row],[WeekDay]]=7),P4359,P4359+1)</f>
        <v>3090</v>
      </c>
    </row>
    <row r="4361" spans="1:19" x14ac:dyDescent="0.25">
      <c r="A4361" s="2">
        <v>47095</v>
      </c>
      <c r="B4361" s="1">
        <f t="shared" si="346"/>
        <v>50</v>
      </c>
      <c r="C4361">
        <f t="shared" si="347"/>
        <v>12</v>
      </c>
      <c r="D4361" t="str">
        <f t="shared" si="348"/>
        <v>December</v>
      </c>
      <c r="E4361">
        <f t="shared" si="349"/>
        <v>2028</v>
      </c>
      <c r="F4361" t="str">
        <f>CONCATENATE(calendar[[#This Row],[Month]],"/",calendar[[#This Row],[Year]])</f>
        <v>12/2028</v>
      </c>
      <c r="G4361">
        <f>WEEKDAY(calendar[[#This Row],[Date]],1)</f>
        <v>6</v>
      </c>
      <c r="H4361" t="str">
        <f>TEXT(calendar[[#This Row],[WeekDay]],"dddd")</f>
        <v>Friday</v>
      </c>
      <c r="I4361">
        <f>IF((INT(calendar[[#This Row],[Count]]/7)-calendar[[#This Row],[Count]]/7)&lt;0,I4360,I4360+1)</f>
        <v>623</v>
      </c>
      <c r="J4361">
        <f t="shared" si="350"/>
        <v>4359</v>
      </c>
      <c r="K4361">
        <f>IF(calendar[[#This Row],[Month]]&lt;4,1,IF(calendar[[#This Row],[Month]]&lt;7,2,IF(calendar[[#This Row],[Month]]&lt;10,3,4)))</f>
        <v>4</v>
      </c>
      <c r="L4361">
        <f>IFERROR(IF(VLOOKUP(calendar[[#This Row],[Date]],BH!A:A,1,)&lt;&gt;"",1,0),0)</f>
        <v>0</v>
      </c>
      <c r="M4361">
        <f>IFERROR(IF(VLOOKUP(calendar[[#This Row],[Date]],BH!C:C,1,)&lt;&gt;"",1,0),0)</f>
        <v>0</v>
      </c>
      <c r="N4361">
        <f>IFERROR(IF(VLOOKUP(calendar[[#This Row],[Date]],BH!E:E,1,)&lt;&gt;"",1,0),0)</f>
        <v>0</v>
      </c>
      <c r="O4361">
        <f>IFERROR(IF(VLOOKUP(calendar[[#This Row],[Date]],BH!G:G,1,)&lt;&gt;"",1,0),0)</f>
        <v>0</v>
      </c>
      <c r="P4361">
        <f>IF(OR(calendar[[#This Row],[UK_BH]]=1,calendar[[#This Row],[WeekDay]]=1, calendar[[#This Row],[WeekDay]]=7),P4360,P4360+1)</f>
        <v>3091</v>
      </c>
      <c r="Q4361">
        <f>IF(OR(calendar[[#This Row],[FR_BH]]=1,calendar[[#This Row],[WeekDay]]=1, calendar[[#This Row],[WeekDay]]=7),P4360,P4360+1)</f>
        <v>3091</v>
      </c>
      <c r="R4361">
        <f>IF(OR(calendar[[#This Row],[SP_BH]]=1,calendar[[#This Row],[WeekDay]]=1, calendar[[#This Row],[WeekDay]]=7),P4360,P4360+1)</f>
        <v>3091</v>
      </c>
      <c r="S4361">
        <f>IF(OR(calendar[[#This Row],[PT_BH]]=1,calendar[[#This Row],[WeekDay]]=1, calendar[[#This Row],[WeekDay]]=7),P4360,P4360+1)</f>
        <v>3091</v>
      </c>
    </row>
    <row r="4362" spans="1:19" x14ac:dyDescent="0.25">
      <c r="A4362" s="2">
        <v>47096</v>
      </c>
      <c r="B4362" s="1">
        <f t="shared" si="346"/>
        <v>50</v>
      </c>
      <c r="C4362">
        <f t="shared" si="347"/>
        <v>12</v>
      </c>
      <c r="D4362" t="str">
        <f t="shared" si="348"/>
        <v>December</v>
      </c>
      <c r="E4362">
        <f t="shared" si="349"/>
        <v>2028</v>
      </c>
      <c r="F4362" t="str">
        <f>CONCATENATE(calendar[[#This Row],[Month]],"/",calendar[[#This Row],[Year]])</f>
        <v>12/2028</v>
      </c>
      <c r="G4362">
        <f>WEEKDAY(calendar[[#This Row],[Date]],1)</f>
        <v>7</v>
      </c>
      <c r="H4362" t="str">
        <f>TEXT(calendar[[#This Row],[WeekDay]],"dddd")</f>
        <v>Saturday</v>
      </c>
      <c r="I4362">
        <f>IF((INT(calendar[[#This Row],[Count]]/7)-calendar[[#This Row],[Count]]/7)&lt;0,I4361,I4361+1)</f>
        <v>623</v>
      </c>
      <c r="J4362">
        <f t="shared" si="350"/>
        <v>4360</v>
      </c>
      <c r="K4362">
        <f>IF(calendar[[#This Row],[Month]]&lt;4,1,IF(calendar[[#This Row],[Month]]&lt;7,2,IF(calendar[[#This Row],[Month]]&lt;10,3,4)))</f>
        <v>4</v>
      </c>
      <c r="L4362">
        <f>IFERROR(IF(VLOOKUP(calendar[[#This Row],[Date]],BH!A:A,1,)&lt;&gt;"",1,0),0)</f>
        <v>0</v>
      </c>
      <c r="M4362">
        <f>IFERROR(IF(VLOOKUP(calendar[[#This Row],[Date]],BH!C:C,1,)&lt;&gt;"",1,0),0)</f>
        <v>0</v>
      </c>
      <c r="N4362">
        <f>IFERROR(IF(VLOOKUP(calendar[[#This Row],[Date]],BH!E:E,1,)&lt;&gt;"",1,0),0)</f>
        <v>0</v>
      </c>
      <c r="O4362">
        <f>IFERROR(IF(VLOOKUP(calendar[[#This Row],[Date]],BH!G:G,1,)&lt;&gt;"",1,0),0)</f>
        <v>0</v>
      </c>
      <c r="P4362">
        <f>IF(OR(calendar[[#This Row],[UK_BH]]=1,calendar[[#This Row],[WeekDay]]=1, calendar[[#This Row],[WeekDay]]=7),P4361,P4361+1)</f>
        <v>3091</v>
      </c>
      <c r="Q4362">
        <f>IF(OR(calendar[[#This Row],[FR_BH]]=1,calendar[[#This Row],[WeekDay]]=1, calendar[[#This Row],[WeekDay]]=7),P4361,P4361+1)</f>
        <v>3091</v>
      </c>
      <c r="R4362">
        <f>IF(OR(calendar[[#This Row],[SP_BH]]=1,calendar[[#This Row],[WeekDay]]=1, calendar[[#This Row],[WeekDay]]=7),P4361,P4361+1)</f>
        <v>3091</v>
      </c>
      <c r="S4362">
        <f>IF(OR(calendar[[#This Row],[PT_BH]]=1,calendar[[#This Row],[WeekDay]]=1, calendar[[#This Row],[WeekDay]]=7),P4361,P4361+1)</f>
        <v>3091</v>
      </c>
    </row>
    <row r="4363" spans="1:19" x14ac:dyDescent="0.25">
      <c r="A4363" s="2">
        <v>47097</v>
      </c>
      <c r="B4363" s="1">
        <f t="shared" si="346"/>
        <v>51</v>
      </c>
      <c r="C4363">
        <f t="shared" si="347"/>
        <v>12</v>
      </c>
      <c r="D4363" t="str">
        <f t="shared" si="348"/>
        <v>December</v>
      </c>
      <c r="E4363">
        <f t="shared" si="349"/>
        <v>2028</v>
      </c>
      <c r="F4363" t="str">
        <f>CONCATENATE(calendar[[#This Row],[Month]],"/",calendar[[#This Row],[Year]])</f>
        <v>12/2028</v>
      </c>
      <c r="G4363">
        <f>WEEKDAY(calendar[[#This Row],[Date]],1)</f>
        <v>1</v>
      </c>
      <c r="H4363" t="str">
        <f>TEXT(calendar[[#This Row],[WeekDay]],"dddd")</f>
        <v>Sunday</v>
      </c>
      <c r="I4363">
        <f>IF((INT(calendar[[#This Row],[Count]]/7)-calendar[[#This Row],[Count]]/7)&lt;0,I4362,I4362+1)</f>
        <v>624</v>
      </c>
      <c r="J4363">
        <f t="shared" si="350"/>
        <v>4361</v>
      </c>
      <c r="K4363">
        <f>IF(calendar[[#This Row],[Month]]&lt;4,1,IF(calendar[[#This Row],[Month]]&lt;7,2,IF(calendar[[#This Row],[Month]]&lt;10,3,4)))</f>
        <v>4</v>
      </c>
      <c r="L4363">
        <f>IFERROR(IF(VLOOKUP(calendar[[#This Row],[Date]],BH!A:A,1,)&lt;&gt;"",1,0),0)</f>
        <v>0</v>
      </c>
      <c r="M4363">
        <f>IFERROR(IF(VLOOKUP(calendar[[#This Row],[Date]],BH!C:C,1,)&lt;&gt;"",1,0),0)</f>
        <v>0</v>
      </c>
      <c r="N4363">
        <f>IFERROR(IF(VLOOKUP(calendar[[#This Row],[Date]],BH!E:E,1,)&lt;&gt;"",1,0),0)</f>
        <v>0</v>
      </c>
      <c r="O4363">
        <f>IFERROR(IF(VLOOKUP(calendar[[#This Row],[Date]],BH!G:G,1,)&lt;&gt;"",1,0),0)</f>
        <v>0</v>
      </c>
      <c r="P4363">
        <f>IF(OR(calendar[[#This Row],[UK_BH]]=1,calendar[[#This Row],[WeekDay]]=1, calendar[[#This Row],[WeekDay]]=7),P4362,P4362+1)</f>
        <v>3091</v>
      </c>
      <c r="Q4363">
        <f>IF(OR(calendar[[#This Row],[FR_BH]]=1,calendar[[#This Row],[WeekDay]]=1, calendar[[#This Row],[WeekDay]]=7),P4362,P4362+1)</f>
        <v>3091</v>
      </c>
      <c r="R4363">
        <f>IF(OR(calendar[[#This Row],[SP_BH]]=1,calendar[[#This Row],[WeekDay]]=1, calendar[[#This Row],[WeekDay]]=7),P4362,P4362+1)</f>
        <v>3091</v>
      </c>
      <c r="S4363">
        <f>IF(OR(calendar[[#This Row],[PT_BH]]=1,calendar[[#This Row],[WeekDay]]=1, calendar[[#This Row],[WeekDay]]=7),P4362,P4362+1)</f>
        <v>3091</v>
      </c>
    </row>
    <row r="4364" spans="1:19" x14ac:dyDescent="0.25">
      <c r="A4364" s="2">
        <v>47098</v>
      </c>
      <c r="B4364" s="1">
        <f t="shared" si="346"/>
        <v>51</v>
      </c>
      <c r="C4364">
        <f t="shared" si="347"/>
        <v>12</v>
      </c>
      <c r="D4364" t="str">
        <f t="shared" si="348"/>
        <v>December</v>
      </c>
      <c r="E4364">
        <f t="shared" si="349"/>
        <v>2028</v>
      </c>
      <c r="F4364" t="str">
        <f>CONCATENATE(calendar[[#This Row],[Month]],"/",calendar[[#This Row],[Year]])</f>
        <v>12/2028</v>
      </c>
      <c r="G4364">
        <f>WEEKDAY(calendar[[#This Row],[Date]],1)</f>
        <v>2</v>
      </c>
      <c r="H4364" t="str">
        <f>TEXT(calendar[[#This Row],[WeekDay]],"dddd")</f>
        <v>Monday</v>
      </c>
      <c r="I4364">
        <f>IF((INT(calendar[[#This Row],[Count]]/7)-calendar[[#This Row],[Count]]/7)&lt;0,I4363,I4363+1)</f>
        <v>624</v>
      </c>
      <c r="J4364">
        <f t="shared" si="350"/>
        <v>4362</v>
      </c>
      <c r="K4364">
        <f>IF(calendar[[#This Row],[Month]]&lt;4,1,IF(calendar[[#This Row],[Month]]&lt;7,2,IF(calendar[[#This Row],[Month]]&lt;10,3,4)))</f>
        <v>4</v>
      </c>
      <c r="L4364">
        <f>IFERROR(IF(VLOOKUP(calendar[[#This Row],[Date]],BH!A:A,1,)&lt;&gt;"",1,0),0)</f>
        <v>0</v>
      </c>
      <c r="M4364">
        <f>IFERROR(IF(VLOOKUP(calendar[[#This Row],[Date]],BH!C:C,1,)&lt;&gt;"",1,0),0)</f>
        <v>0</v>
      </c>
      <c r="N4364">
        <f>IFERROR(IF(VLOOKUP(calendar[[#This Row],[Date]],BH!E:E,1,)&lt;&gt;"",1,0),0)</f>
        <v>0</v>
      </c>
      <c r="O4364">
        <f>IFERROR(IF(VLOOKUP(calendar[[#This Row],[Date]],BH!G:G,1,)&lt;&gt;"",1,0),0)</f>
        <v>0</v>
      </c>
      <c r="P4364">
        <f>IF(OR(calendar[[#This Row],[UK_BH]]=1,calendar[[#This Row],[WeekDay]]=1, calendar[[#This Row],[WeekDay]]=7),P4363,P4363+1)</f>
        <v>3092</v>
      </c>
      <c r="Q4364">
        <f>IF(OR(calendar[[#This Row],[FR_BH]]=1,calendar[[#This Row],[WeekDay]]=1, calendar[[#This Row],[WeekDay]]=7),P4363,P4363+1)</f>
        <v>3092</v>
      </c>
      <c r="R4364">
        <f>IF(OR(calendar[[#This Row],[SP_BH]]=1,calendar[[#This Row],[WeekDay]]=1, calendar[[#This Row],[WeekDay]]=7),P4363,P4363+1)</f>
        <v>3092</v>
      </c>
      <c r="S4364">
        <f>IF(OR(calendar[[#This Row],[PT_BH]]=1,calendar[[#This Row],[WeekDay]]=1, calendar[[#This Row],[WeekDay]]=7),P4363,P4363+1)</f>
        <v>3092</v>
      </c>
    </row>
    <row r="4365" spans="1:19" x14ac:dyDescent="0.25">
      <c r="A4365" s="2">
        <v>47099</v>
      </c>
      <c r="B4365" s="1">
        <f t="shared" si="346"/>
        <v>51</v>
      </c>
      <c r="C4365">
        <f t="shared" si="347"/>
        <v>12</v>
      </c>
      <c r="D4365" t="str">
        <f t="shared" si="348"/>
        <v>December</v>
      </c>
      <c r="E4365">
        <f t="shared" si="349"/>
        <v>2028</v>
      </c>
      <c r="F4365" t="str">
        <f>CONCATENATE(calendar[[#This Row],[Month]],"/",calendar[[#This Row],[Year]])</f>
        <v>12/2028</v>
      </c>
      <c r="G4365">
        <f>WEEKDAY(calendar[[#This Row],[Date]],1)</f>
        <v>3</v>
      </c>
      <c r="H4365" t="str">
        <f>TEXT(calendar[[#This Row],[WeekDay]],"dddd")</f>
        <v>Tuesday</v>
      </c>
      <c r="I4365">
        <f>IF((INT(calendar[[#This Row],[Count]]/7)-calendar[[#This Row],[Count]]/7)&lt;0,I4364,I4364+1)</f>
        <v>624</v>
      </c>
      <c r="J4365">
        <f t="shared" si="350"/>
        <v>4363</v>
      </c>
      <c r="K4365">
        <f>IF(calendar[[#This Row],[Month]]&lt;4,1,IF(calendar[[#This Row],[Month]]&lt;7,2,IF(calendar[[#This Row],[Month]]&lt;10,3,4)))</f>
        <v>4</v>
      </c>
      <c r="L4365">
        <f>IFERROR(IF(VLOOKUP(calendar[[#This Row],[Date]],BH!A:A,1,)&lt;&gt;"",1,0),0)</f>
        <v>0</v>
      </c>
      <c r="M4365">
        <f>IFERROR(IF(VLOOKUP(calendar[[#This Row],[Date]],BH!C:C,1,)&lt;&gt;"",1,0),0)</f>
        <v>0</v>
      </c>
      <c r="N4365">
        <f>IFERROR(IF(VLOOKUP(calendar[[#This Row],[Date]],BH!E:E,1,)&lt;&gt;"",1,0),0)</f>
        <v>0</v>
      </c>
      <c r="O4365">
        <f>IFERROR(IF(VLOOKUP(calendar[[#This Row],[Date]],BH!G:G,1,)&lt;&gt;"",1,0),0)</f>
        <v>0</v>
      </c>
      <c r="P4365">
        <f>IF(OR(calendar[[#This Row],[UK_BH]]=1,calendar[[#This Row],[WeekDay]]=1, calendar[[#This Row],[WeekDay]]=7),P4364,P4364+1)</f>
        <v>3093</v>
      </c>
      <c r="Q4365">
        <f>IF(OR(calendar[[#This Row],[FR_BH]]=1,calendar[[#This Row],[WeekDay]]=1, calendar[[#This Row],[WeekDay]]=7),P4364,P4364+1)</f>
        <v>3093</v>
      </c>
      <c r="R4365">
        <f>IF(OR(calendar[[#This Row],[SP_BH]]=1,calendar[[#This Row],[WeekDay]]=1, calendar[[#This Row],[WeekDay]]=7),P4364,P4364+1)</f>
        <v>3093</v>
      </c>
      <c r="S4365">
        <f>IF(OR(calendar[[#This Row],[PT_BH]]=1,calendar[[#This Row],[WeekDay]]=1, calendar[[#This Row],[WeekDay]]=7),P4364,P4364+1)</f>
        <v>3093</v>
      </c>
    </row>
    <row r="4366" spans="1:19" x14ac:dyDescent="0.25">
      <c r="A4366" s="2">
        <v>47100</v>
      </c>
      <c r="B4366" s="1">
        <f t="shared" si="346"/>
        <v>51</v>
      </c>
      <c r="C4366">
        <f t="shared" si="347"/>
        <v>12</v>
      </c>
      <c r="D4366" t="str">
        <f t="shared" si="348"/>
        <v>December</v>
      </c>
      <c r="E4366">
        <f t="shared" si="349"/>
        <v>2028</v>
      </c>
      <c r="F4366" t="str">
        <f>CONCATENATE(calendar[[#This Row],[Month]],"/",calendar[[#This Row],[Year]])</f>
        <v>12/2028</v>
      </c>
      <c r="G4366">
        <f>WEEKDAY(calendar[[#This Row],[Date]],1)</f>
        <v>4</v>
      </c>
      <c r="H4366" t="str">
        <f>TEXT(calendar[[#This Row],[WeekDay]],"dddd")</f>
        <v>Wednesday</v>
      </c>
      <c r="I4366">
        <f>IF((INT(calendar[[#This Row],[Count]]/7)-calendar[[#This Row],[Count]]/7)&lt;0,I4365,I4365+1)</f>
        <v>624</v>
      </c>
      <c r="J4366">
        <f t="shared" si="350"/>
        <v>4364</v>
      </c>
      <c r="K4366">
        <f>IF(calendar[[#This Row],[Month]]&lt;4,1,IF(calendar[[#This Row],[Month]]&lt;7,2,IF(calendar[[#This Row],[Month]]&lt;10,3,4)))</f>
        <v>4</v>
      </c>
      <c r="L4366">
        <f>IFERROR(IF(VLOOKUP(calendar[[#This Row],[Date]],BH!A:A,1,)&lt;&gt;"",1,0),0)</f>
        <v>0</v>
      </c>
      <c r="M4366">
        <f>IFERROR(IF(VLOOKUP(calendar[[#This Row],[Date]],BH!C:C,1,)&lt;&gt;"",1,0),0)</f>
        <v>0</v>
      </c>
      <c r="N4366">
        <f>IFERROR(IF(VLOOKUP(calendar[[#This Row],[Date]],BH!E:E,1,)&lt;&gt;"",1,0),0)</f>
        <v>0</v>
      </c>
      <c r="O4366">
        <f>IFERROR(IF(VLOOKUP(calendar[[#This Row],[Date]],BH!G:G,1,)&lt;&gt;"",1,0),0)</f>
        <v>0</v>
      </c>
      <c r="P4366">
        <f>IF(OR(calendar[[#This Row],[UK_BH]]=1,calendar[[#This Row],[WeekDay]]=1, calendar[[#This Row],[WeekDay]]=7),P4365,P4365+1)</f>
        <v>3094</v>
      </c>
      <c r="Q4366">
        <f>IF(OR(calendar[[#This Row],[FR_BH]]=1,calendar[[#This Row],[WeekDay]]=1, calendar[[#This Row],[WeekDay]]=7),P4365,P4365+1)</f>
        <v>3094</v>
      </c>
      <c r="R4366">
        <f>IF(OR(calendar[[#This Row],[SP_BH]]=1,calendar[[#This Row],[WeekDay]]=1, calendar[[#This Row],[WeekDay]]=7),P4365,P4365+1)</f>
        <v>3094</v>
      </c>
      <c r="S4366">
        <f>IF(OR(calendar[[#This Row],[PT_BH]]=1,calendar[[#This Row],[WeekDay]]=1, calendar[[#This Row],[WeekDay]]=7),P4365,P4365+1)</f>
        <v>3094</v>
      </c>
    </row>
    <row r="4367" spans="1:19" x14ac:dyDescent="0.25">
      <c r="A4367" s="2">
        <v>47101</v>
      </c>
      <c r="B4367" s="1">
        <f t="shared" si="346"/>
        <v>51</v>
      </c>
      <c r="C4367">
        <f t="shared" si="347"/>
        <v>12</v>
      </c>
      <c r="D4367" t="str">
        <f t="shared" si="348"/>
        <v>December</v>
      </c>
      <c r="E4367">
        <f t="shared" si="349"/>
        <v>2028</v>
      </c>
      <c r="F4367" t="str">
        <f>CONCATENATE(calendar[[#This Row],[Month]],"/",calendar[[#This Row],[Year]])</f>
        <v>12/2028</v>
      </c>
      <c r="G4367">
        <f>WEEKDAY(calendar[[#This Row],[Date]],1)</f>
        <v>5</v>
      </c>
      <c r="H4367" t="str">
        <f>TEXT(calendar[[#This Row],[WeekDay]],"dddd")</f>
        <v>Thursday</v>
      </c>
      <c r="I4367">
        <f>IF((INT(calendar[[#This Row],[Count]]/7)-calendar[[#This Row],[Count]]/7)&lt;0,I4366,I4366+1)</f>
        <v>624</v>
      </c>
      <c r="J4367">
        <f t="shared" si="350"/>
        <v>4365</v>
      </c>
      <c r="K4367">
        <f>IF(calendar[[#This Row],[Month]]&lt;4,1,IF(calendar[[#This Row],[Month]]&lt;7,2,IF(calendar[[#This Row],[Month]]&lt;10,3,4)))</f>
        <v>4</v>
      </c>
      <c r="L4367">
        <f>IFERROR(IF(VLOOKUP(calendar[[#This Row],[Date]],BH!A:A,1,)&lt;&gt;"",1,0),0)</f>
        <v>0</v>
      </c>
      <c r="M4367">
        <f>IFERROR(IF(VLOOKUP(calendar[[#This Row],[Date]],BH!C:C,1,)&lt;&gt;"",1,0),0)</f>
        <v>0</v>
      </c>
      <c r="N4367">
        <f>IFERROR(IF(VLOOKUP(calendar[[#This Row],[Date]],BH!E:E,1,)&lt;&gt;"",1,0),0)</f>
        <v>0</v>
      </c>
      <c r="O4367">
        <f>IFERROR(IF(VLOOKUP(calendar[[#This Row],[Date]],BH!G:G,1,)&lt;&gt;"",1,0),0)</f>
        <v>0</v>
      </c>
      <c r="P4367">
        <f>IF(OR(calendar[[#This Row],[UK_BH]]=1,calendar[[#This Row],[WeekDay]]=1, calendar[[#This Row],[WeekDay]]=7),P4366,P4366+1)</f>
        <v>3095</v>
      </c>
      <c r="Q4367">
        <f>IF(OR(calendar[[#This Row],[FR_BH]]=1,calendar[[#This Row],[WeekDay]]=1, calendar[[#This Row],[WeekDay]]=7),P4366,P4366+1)</f>
        <v>3095</v>
      </c>
      <c r="R4367">
        <f>IF(OR(calendar[[#This Row],[SP_BH]]=1,calendar[[#This Row],[WeekDay]]=1, calendar[[#This Row],[WeekDay]]=7),P4366,P4366+1)</f>
        <v>3095</v>
      </c>
      <c r="S4367">
        <f>IF(OR(calendar[[#This Row],[PT_BH]]=1,calendar[[#This Row],[WeekDay]]=1, calendar[[#This Row],[WeekDay]]=7),P4366,P4366+1)</f>
        <v>3095</v>
      </c>
    </row>
    <row r="4368" spans="1:19" x14ac:dyDescent="0.25">
      <c r="A4368" s="2">
        <v>47102</v>
      </c>
      <c r="B4368" s="1">
        <f t="shared" si="346"/>
        <v>51</v>
      </c>
      <c r="C4368">
        <f t="shared" si="347"/>
        <v>12</v>
      </c>
      <c r="D4368" t="str">
        <f t="shared" si="348"/>
        <v>December</v>
      </c>
      <c r="E4368">
        <f t="shared" si="349"/>
        <v>2028</v>
      </c>
      <c r="F4368" t="str">
        <f>CONCATENATE(calendar[[#This Row],[Month]],"/",calendar[[#This Row],[Year]])</f>
        <v>12/2028</v>
      </c>
      <c r="G4368">
        <f>WEEKDAY(calendar[[#This Row],[Date]],1)</f>
        <v>6</v>
      </c>
      <c r="H4368" t="str">
        <f>TEXT(calendar[[#This Row],[WeekDay]],"dddd")</f>
        <v>Friday</v>
      </c>
      <c r="I4368">
        <f>IF((INT(calendar[[#This Row],[Count]]/7)-calendar[[#This Row],[Count]]/7)&lt;0,I4367,I4367+1)</f>
        <v>624</v>
      </c>
      <c r="J4368">
        <f t="shared" si="350"/>
        <v>4366</v>
      </c>
      <c r="K4368">
        <f>IF(calendar[[#This Row],[Month]]&lt;4,1,IF(calendar[[#This Row],[Month]]&lt;7,2,IF(calendar[[#This Row],[Month]]&lt;10,3,4)))</f>
        <v>4</v>
      </c>
      <c r="L4368">
        <f>IFERROR(IF(VLOOKUP(calendar[[#This Row],[Date]],BH!A:A,1,)&lt;&gt;"",1,0),0)</f>
        <v>0</v>
      </c>
      <c r="M4368">
        <f>IFERROR(IF(VLOOKUP(calendar[[#This Row],[Date]],BH!C:C,1,)&lt;&gt;"",1,0),0)</f>
        <v>0</v>
      </c>
      <c r="N4368">
        <f>IFERROR(IF(VLOOKUP(calendar[[#This Row],[Date]],BH!E:E,1,)&lt;&gt;"",1,0),0)</f>
        <v>0</v>
      </c>
      <c r="O4368">
        <f>IFERROR(IF(VLOOKUP(calendar[[#This Row],[Date]],BH!G:G,1,)&lt;&gt;"",1,0),0)</f>
        <v>0</v>
      </c>
      <c r="P4368">
        <f>IF(OR(calendar[[#This Row],[UK_BH]]=1,calendar[[#This Row],[WeekDay]]=1, calendar[[#This Row],[WeekDay]]=7),P4367,P4367+1)</f>
        <v>3096</v>
      </c>
      <c r="Q4368">
        <f>IF(OR(calendar[[#This Row],[FR_BH]]=1,calendar[[#This Row],[WeekDay]]=1, calendar[[#This Row],[WeekDay]]=7),P4367,P4367+1)</f>
        <v>3096</v>
      </c>
      <c r="R4368">
        <f>IF(OR(calendar[[#This Row],[SP_BH]]=1,calendar[[#This Row],[WeekDay]]=1, calendar[[#This Row],[WeekDay]]=7),P4367,P4367+1)</f>
        <v>3096</v>
      </c>
      <c r="S4368">
        <f>IF(OR(calendar[[#This Row],[PT_BH]]=1,calendar[[#This Row],[WeekDay]]=1, calendar[[#This Row],[WeekDay]]=7),P4367,P4367+1)</f>
        <v>3096</v>
      </c>
    </row>
    <row r="4369" spans="1:19" x14ac:dyDescent="0.25">
      <c r="A4369" s="2">
        <v>47103</v>
      </c>
      <c r="B4369" s="1">
        <f t="shared" si="346"/>
        <v>51</v>
      </c>
      <c r="C4369">
        <f t="shared" si="347"/>
        <v>12</v>
      </c>
      <c r="D4369" t="str">
        <f t="shared" si="348"/>
        <v>December</v>
      </c>
      <c r="E4369">
        <f t="shared" si="349"/>
        <v>2028</v>
      </c>
      <c r="F4369" t="str">
        <f>CONCATENATE(calendar[[#This Row],[Month]],"/",calendar[[#This Row],[Year]])</f>
        <v>12/2028</v>
      </c>
      <c r="G4369">
        <f>WEEKDAY(calendar[[#This Row],[Date]],1)</f>
        <v>7</v>
      </c>
      <c r="H4369" t="str">
        <f>TEXT(calendar[[#This Row],[WeekDay]],"dddd")</f>
        <v>Saturday</v>
      </c>
      <c r="I4369">
        <f>IF((INT(calendar[[#This Row],[Count]]/7)-calendar[[#This Row],[Count]]/7)&lt;0,I4368,I4368+1)</f>
        <v>624</v>
      </c>
      <c r="J4369">
        <f t="shared" si="350"/>
        <v>4367</v>
      </c>
      <c r="K4369">
        <f>IF(calendar[[#This Row],[Month]]&lt;4,1,IF(calendar[[#This Row],[Month]]&lt;7,2,IF(calendar[[#This Row],[Month]]&lt;10,3,4)))</f>
        <v>4</v>
      </c>
      <c r="L4369">
        <f>IFERROR(IF(VLOOKUP(calendar[[#This Row],[Date]],BH!A:A,1,)&lt;&gt;"",1,0),0)</f>
        <v>0</v>
      </c>
      <c r="M4369">
        <f>IFERROR(IF(VLOOKUP(calendar[[#This Row],[Date]],BH!C:C,1,)&lt;&gt;"",1,0),0)</f>
        <v>0</v>
      </c>
      <c r="N4369">
        <f>IFERROR(IF(VLOOKUP(calendar[[#This Row],[Date]],BH!E:E,1,)&lt;&gt;"",1,0),0)</f>
        <v>0</v>
      </c>
      <c r="O4369">
        <f>IFERROR(IF(VLOOKUP(calendar[[#This Row],[Date]],BH!G:G,1,)&lt;&gt;"",1,0),0)</f>
        <v>0</v>
      </c>
      <c r="P4369">
        <f>IF(OR(calendar[[#This Row],[UK_BH]]=1,calendar[[#This Row],[WeekDay]]=1, calendar[[#This Row],[WeekDay]]=7),P4368,P4368+1)</f>
        <v>3096</v>
      </c>
      <c r="Q4369">
        <f>IF(OR(calendar[[#This Row],[FR_BH]]=1,calendar[[#This Row],[WeekDay]]=1, calendar[[#This Row],[WeekDay]]=7),P4368,P4368+1)</f>
        <v>3096</v>
      </c>
      <c r="R4369">
        <f>IF(OR(calendar[[#This Row],[SP_BH]]=1,calendar[[#This Row],[WeekDay]]=1, calendar[[#This Row],[WeekDay]]=7),P4368,P4368+1)</f>
        <v>3096</v>
      </c>
      <c r="S4369">
        <f>IF(OR(calendar[[#This Row],[PT_BH]]=1,calendar[[#This Row],[WeekDay]]=1, calendar[[#This Row],[WeekDay]]=7),P4368,P4368+1)</f>
        <v>3096</v>
      </c>
    </row>
    <row r="4370" spans="1:19" x14ac:dyDescent="0.25">
      <c r="A4370" s="2">
        <v>47104</v>
      </c>
      <c r="B4370" s="1">
        <f t="shared" si="346"/>
        <v>52</v>
      </c>
      <c r="C4370">
        <f t="shared" si="347"/>
        <v>12</v>
      </c>
      <c r="D4370" t="str">
        <f t="shared" si="348"/>
        <v>December</v>
      </c>
      <c r="E4370">
        <f t="shared" si="349"/>
        <v>2028</v>
      </c>
      <c r="F4370" t="str">
        <f>CONCATENATE(calendar[[#This Row],[Month]],"/",calendar[[#This Row],[Year]])</f>
        <v>12/2028</v>
      </c>
      <c r="G4370">
        <f>WEEKDAY(calendar[[#This Row],[Date]],1)</f>
        <v>1</v>
      </c>
      <c r="H4370" t="str">
        <f>TEXT(calendar[[#This Row],[WeekDay]],"dddd")</f>
        <v>Sunday</v>
      </c>
      <c r="I4370">
        <f>IF((INT(calendar[[#This Row],[Count]]/7)-calendar[[#This Row],[Count]]/7)&lt;0,I4369,I4369+1)</f>
        <v>625</v>
      </c>
      <c r="J4370">
        <f t="shared" si="350"/>
        <v>4368</v>
      </c>
      <c r="K4370">
        <f>IF(calendar[[#This Row],[Month]]&lt;4,1,IF(calendar[[#This Row],[Month]]&lt;7,2,IF(calendar[[#This Row],[Month]]&lt;10,3,4)))</f>
        <v>4</v>
      </c>
      <c r="L4370">
        <f>IFERROR(IF(VLOOKUP(calendar[[#This Row],[Date]],BH!A:A,1,)&lt;&gt;"",1,0),0)</f>
        <v>0</v>
      </c>
      <c r="M4370">
        <f>IFERROR(IF(VLOOKUP(calendar[[#This Row],[Date]],BH!C:C,1,)&lt;&gt;"",1,0),0)</f>
        <v>0</v>
      </c>
      <c r="N4370">
        <f>IFERROR(IF(VLOOKUP(calendar[[#This Row],[Date]],BH!E:E,1,)&lt;&gt;"",1,0),0)</f>
        <v>0</v>
      </c>
      <c r="O4370">
        <f>IFERROR(IF(VLOOKUP(calendar[[#This Row],[Date]],BH!G:G,1,)&lt;&gt;"",1,0),0)</f>
        <v>0</v>
      </c>
      <c r="P4370">
        <f>IF(OR(calendar[[#This Row],[UK_BH]]=1,calendar[[#This Row],[WeekDay]]=1, calendar[[#This Row],[WeekDay]]=7),P4369,P4369+1)</f>
        <v>3096</v>
      </c>
      <c r="Q4370">
        <f>IF(OR(calendar[[#This Row],[FR_BH]]=1,calendar[[#This Row],[WeekDay]]=1, calendar[[#This Row],[WeekDay]]=7),P4369,P4369+1)</f>
        <v>3096</v>
      </c>
      <c r="R4370">
        <f>IF(OR(calendar[[#This Row],[SP_BH]]=1,calendar[[#This Row],[WeekDay]]=1, calendar[[#This Row],[WeekDay]]=7),P4369,P4369+1)</f>
        <v>3096</v>
      </c>
      <c r="S4370">
        <f>IF(OR(calendar[[#This Row],[PT_BH]]=1,calendar[[#This Row],[WeekDay]]=1, calendar[[#This Row],[WeekDay]]=7),P4369,P4369+1)</f>
        <v>3096</v>
      </c>
    </row>
    <row r="4371" spans="1:19" x14ac:dyDescent="0.25">
      <c r="A4371" s="2">
        <v>47105</v>
      </c>
      <c r="B4371" s="1">
        <f t="shared" si="346"/>
        <v>52</v>
      </c>
      <c r="C4371">
        <f t="shared" si="347"/>
        <v>12</v>
      </c>
      <c r="D4371" t="str">
        <f t="shared" si="348"/>
        <v>December</v>
      </c>
      <c r="E4371">
        <f t="shared" si="349"/>
        <v>2028</v>
      </c>
      <c r="F4371" t="str">
        <f>CONCATENATE(calendar[[#This Row],[Month]],"/",calendar[[#This Row],[Year]])</f>
        <v>12/2028</v>
      </c>
      <c r="G4371">
        <f>WEEKDAY(calendar[[#This Row],[Date]],1)</f>
        <v>2</v>
      </c>
      <c r="H4371" t="str">
        <f>TEXT(calendar[[#This Row],[WeekDay]],"dddd")</f>
        <v>Monday</v>
      </c>
      <c r="I4371">
        <f>IF((INT(calendar[[#This Row],[Count]]/7)-calendar[[#This Row],[Count]]/7)&lt;0,I4370,I4370+1)</f>
        <v>625</v>
      </c>
      <c r="J4371">
        <f t="shared" si="350"/>
        <v>4369</v>
      </c>
      <c r="K4371">
        <f>IF(calendar[[#This Row],[Month]]&lt;4,1,IF(calendar[[#This Row],[Month]]&lt;7,2,IF(calendar[[#This Row],[Month]]&lt;10,3,4)))</f>
        <v>4</v>
      </c>
      <c r="L4371">
        <f>IFERROR(IF(VLOOKUP(calendar[[#This Row],[Date]],BH!A:A,1,)&lt;&gt;"",1,0),0)</f>
        <v>0</v>
      </c>
      <c r="M4371">
        <f>IFERROR(IF(VLOOKUP(calendar[[#This Row],[Date]],BH!C:C,1,)&lt;&gt;"",1,0),0)</f>
        <v>0</v>
      </c>
      <c r="N4371">
        <f>IFERROR(IF(VLOOKUP(calendar[[#This Row],[Date]],BH!E:E,1,)&lt;&gt;"",1,0),0)</f>
        <v>0</v>
      </c>
      <c r="O4371">
        <f>IFERROR(IF(VLOOKUP(calendar[[#This Row],[Date]],BH!G:G,1,)&lt;&gt;"",1,0),0)</f>
        <v>0</v>
      </c>
      <c r="P4371">
        <f>IF(OR(calendar[[#This Row],[UK_BH]]=1,calendar[[#This Row],[WeekDay]]=1, calendar[[#This Row],[WeekDay]]=7),P4370,P4370+1)</f>
        <v>3097</v>
      </c>
      <c r="Q4371">
        <f>IF(OR(calendar[[#This Row],[FR_BH]]=1,calendar[[#This Row],[WeekDay]]=1, calendar[[#This Row],[WeekDay]]=7),P4370,P4370+1)</f>
        <v>3097</v>
      </c>
      <c r="R4371">
        <f>IF(OR(calendar[[#This Row],[SP_BH]]=1,calendar[[#This Row],[WeekDay]]=1, calendar[[#This Row],[WeekDay]]=7),P4370,P4370+1)</f>
        <v>3097</v>
      </c>
      <c r="S4371">
        <f>IF(OR(calendar[[#This Row],[PT_BH]]=1,calendar[[#This Row],[WeekDay]]=1, calendar[[#This Row],[WeekDay]]=7),P4370,P4370+1)</f>
        <v>3097</v>
      </c>
    </row>
    <row r="4372" spans="1:19" x14ac:dyDescent="0.25">
      <c r="A4372" s="2">
        <v>47106</v>
      </c>
      <c r="B4372" s="1">
        <f t="shared" si="346"/>
        <v>52</v>
      </c>
      <c r="C4372">
        <f t="shared" si="347"/>
        <v>12</v>
      </c>
      <c r="D4372" t="str">
        <f t="shared" si="348"/>
        <v>December</v>
      </c>
      <c r="E4372">
        <f t="shared" si="349"/>
        <v>2028</v>
      </c>
      <c r="F4372" t="str">
        <f>CONCATENATE(calendar[[#This Row],[Month]],"/",calendar[[#This Row],[Year]])</f>
        <v>12/2028</v>
      </c>
      <c r="G4372">
        <f>WEEKDAY(calendar[[#This Row],[Date]],1)</f>
        <v>3</v>
      </c>
      <c r="H4372" t="str">
        <f>TEXT(calendar[[#This Row],[WeekDay]],"dddd")</f>
        <v>Tuesday</v>
      </c>
      <c r="I4372">
        <f>IF((INT(calendar[[#This Row],[Count]]/7)-calendar[[#This Row],[Count]]/7)&lt;0,I4371,I4371+1)</f>
        <v>625</v>
      </c>
      <c r="J4372">
        <f t="shared" si="350"/>
        <v>4370</v>
      </c>
      <c r="K4372">
        <f>IF(calendar[[#This Row],[Month]]&lt;4,1,IF(calendar[[#This Row],[Month]]&lt;7,2,IF(calendar[[#This Row],[Month]]&lt;10,3,4)))</f>
        <v>4</v>
      </c>
      <c r="L4372">
        <f>IFERROR(IF(VLOOKUP(calendar[[#This Row],[Date]],BH!A:A,1,)&lt;&gt;"",1,0),0)</f>
        <v>0</v>
      </c>
      <c r="M4372">
        <f>IFERROR(IF(VLOOKUP(calendar[[#This Row],[Date]],BH!C:C,1,)&lt;&gt;"",1,0),0)</f>
        <v>0</v>
      </c>
      <c r="N4372">
        <f>IFERROR(IF(VLOOKUP(calendar[[#This Row],[Date]],BH!E:E,1,)&lt;&gt;"",1,0),0)</f>
        <v>0</v>
      </c>
      <c r="O4372">
        <f>IFERROR(IF(VLOOKUP(calendar[[#This Row],[Date]],BH!G:G,1,)&lt;&gt;"",1,0),0)</f>
        <v>0</v>
      </c>
      <c r="P4372">
        <f>IF(OR(calendar[[#This Row],[UK_BH]]=1,calendar[[#This Row],[WeekDay]]=1, calendar[[#This Row],[WeekDay]]=7),P4371,P4371+1)</f>
        <v>3098</v>
      </c>
      <c r="Q4372">
        <f>IF(OR(calendar[[#This Row],[FR_BH]]=1,calendar[[#This Row],[WeekDay]]=1, calendar[[#This Row],[WeekDay]]=7),P4371,P4371+1)</f>
        <v>3098</v>
      </c>
      <c r="R4372">
        <f>IF(OR(calendar[[#This Row],[SP_BH]]=1,calendar[[#This Row],[WeekDay]]=1, calendar[[#This Row],[WeekDay]]=7),P4371,P4371+1)</f>
        <v>3098</v>
      </c>
      <c r="S4372">
        <f>IF(OR(calendar[[#This Row],[PT_BH]]=1,calendar[[#This Row],[WeekDay]]=1, calendar[[#This Row],[WeekDay]]=7),P4371,P4371+1)</f>
        <v>3098</v>
      </c>
    </row>
    <row r="4373" spans="1:19" x14ac:dyDescent="0.25">
      <c r="A4373" s="2">
        <v>47107</v>
      </c>
      <c r="B4373" s="1">
        <f t="shared" si="346"/>
        <v>52</v>
      </c>
      <c r="C4373">
        <f t="shared" si="347"/>
        <v>12</v>
      </c>
      <c r="D4373" t="str">
        <f t="shared" si="348"/>
        <v>December</v>
      </c>
      <c r="E4373">
        <f t="shared" si="349"/>
        <v>2028</v>
      </c>
      <c r="F4373" t="str">
        <f>CONCATENATE(calendar[[#This Row],[Month]],"/",calendar[[#This Row],[Year]])</f>
        <v>12/2028</v>
      </c>
      <c r="G4373">
        <f>WEEKDAY(calendar[[#This Row],[Date]],1)</f>
        <v>4</v>
      </c>
      <c r="H4373" t="str">
        <f>TEXT(calendar[[#This Row],[WeekDay]],"dddd")</f>
        <v>Wednesday</v>
      </c>
      <c r="I4373">
        <f>IF((INT(calendar[[#This Row],[Count]]/7)-calendar[[#This Row],[Count]]/7)&lt;0,I4372,I4372+1)</f>
        <v>625</v>
      </c>
      <c r="J4373">
        <f t="shared" si="350"/>
        <v>4371</v>
      </c>
      <c r="K4373">
        <f>IF(calendar[[#This Row],[Month]]&lt;4,1,IF(calendar[[#This Row],[Month]]&lt;7,2,IF(calendar[[#This Row],[Month]]&lt;10,3,4)))</f>
        <v>4</v>
      </c>
      <c r="L4373">
        <f>IFERROR(IF(VLOOKUP(calendar[[#This Row],[Date]],BH!A:A,1,)&lt;&gt;"",1,0),0)</f>
        <v>0</v>
      </c>
      <c r="M4373">
        <f>IFERROR(IF(VLOOKUP(calendar[[#This Row],[Date]],BH!C:C,1,)&lt;&gt;"",1,0),0)</f>
        <v>0</v>
      </c>
      <c r="N4373">
        <f>IFERROR(IF(VLOOKUP(calendar[[#This Row],[Date]],BH!E:E,1,)&lt;&gt;"",1,0),0)</f>
        <v>0</v>
      </c>
      <c r="O4373">
        <f>IFERROR(IF(VLOOKUP(calendar[[#This Row],[Date]],BH!G:G,1,)&lt;&gt;"",1,0),0)</f>
        <v>0</v>
      </c>
      <c r="P4373">
        <f>IF(OR(calendar[[#This Row],[UK_BH]]=1,calendar[[#This Row],[WeekDay]]=1, calendar[[#This Row],[WeekDay]]=7),P4372,P4372+1)</f>
        <v>3099</v>
      </c>
      <c r="Q4373">
        <f>IF(OR(calendar[[#This Row],[FR_BH]]=1,calendar[[#This Row],[WeekDay]]=1, calendar[[#This Row],[WeekDay]]=7),P4372,P4372+1)</f>
        <v>3099</v>
      </c>
      <c r="R4373">
        <f>IF(OR(calendar[[#This Row],[SP_BH]]=1,calendar[[#This Row],[WeekDay]]=1, calendar[[#This Row],[WeekDay]]=7),P4372,P4372+1)</f>
        <v>3099</v>
      </c>
      <c r="S4373">
        <f>IF(OR(calendar[[#This Row],[PT_BH]]=1,calendar[[#This Row],[WeekDay]]=1, calendar[[#This Row],[WeekDay]]=7),P4372,P4372+1)</f>
        <v>3099</v>
      </c>
    </row>
    <row r="4374" spans="1:19" x14ac:dyDescent="0.25">
      <c r="A4374" s="2">
        <v>47108</v>
      </c>
      <c r="B4374" s="1">
        <f t="shared" si="346"/>
        <v>52</v>
      </c>
      <c r="C4374">
        <f t="shared" si="347"/>
        <v>12</v>
      </c>
      <c r="D4374" t="str">
        <f t="shared" si="348"/>
        <v>December</v>
      </c>
      <c r="E4374">
        <f t="shared" si="349"/>
        <v>2028</v>
      </c>
      <c r="F4374" t="str">
        <f>CONCATENATE(calendar[[#This Row],[Month]],"/",calendar[[#This Row],[Year]])</f>
        <v>12/2028</v>
      </c>
      <c r="G4374">
        <f>WEEKDAY(calendar[[#This Row],[Date]],1)</f>
        <v>5</v>
      </c>
      <c r="H4374" t="str">
        <f>TEXT(calendar[[#This Row],[WeekDay]],"dddd")</f>
        <v>Thursday</v>
      </c>
      <c r="I4374">
        <f>IF((INT(calendar[[#This Row],[Count]]/7)-calendar[[#This Row],[Count]]/7)&lt;0,I4373,I4373+1)</f>
        <v>625</v>
      </c>
      <c r="J4374">
        <f t="shared" si="350"/>
        <v>4372</v>
      </c>
      <c r="K4374">
        <f>IF(calendar[[#This Row],[Month]]&lt;4,1,IF(calendar[[#This Row],[Month]]&lt;7,2,IF(calendar[[#This Row],[Month]]&lt;10,3,4)))</f>
        <v>4</v>
      </c>
      <c r="L4374">
        <f>IFERROR(IF(VLOOKUP(calendar[[#This Row],[Date]],BH!A:A,1,)&lt;&gt;"",1,0),0)</f>
        <v>0</v>
      </c>
      <c r="M4374">
        <f>IFERROR(IF(VLOOKUP(calendar[[#This Row],[Date]],BH!C:C,1,)&lt;&gt;"",1,0),0)</f>
        <v>0</v>
      </c>
      <c r="N4374">
        <f>IFERROR(IF(VLOOKUP(calendar[[#This Row],[Date]],BH!E:E,1,)&lt;&gt;"",1,0),0)</f>
        <v>0</v>
      </c>
      <c r="O4374">
        <f>IFERROR(IF(VLOOKUP(calendar[[#This Row],[Date]],BH!G:G,1,)&lt;&gt;"",1,0),0)</f>
        <v>0</v>
      </c>
      <c r="P4374">
        <f>IF(OR(calendar[[#This Row],[UK_BH]]=1,calendar[[#This Row],[WeekDay]]=1, calendar[[#This Row],[WeekDay]]=7),P4373,P4373+1)</f>
        <v>3100</v>
      </c>
      <c r="Q4374">
        <f>IF(OR(calendar[[#This Row],[FR_BH]]=1,calendar[[#This Row],[WeekDay]]=1, calendar[[#This Row],[WeekDay]]=7),P4373,P4373+1)</f>
        <v>3100</v>
      </c>
      <c r="R4374">
        <f>IF(OR(calendar[[#This Row],[SP_BH]]=1,calendar[[#This Row],[WeekDay]]=1, calendar[[#This Row],[WeekDay]]=7),P4373,P4373+1)</f>
        <v>3100</v>
      </c>
      <c r="S4374">
        <f>IF(OR(calendar[[#This Row],[PT_BH]]=1,calendar[[#This Row],[WeekDay]]=1, calendar[[#This Row],[WeekDay]]=7),P4373,P4373+1)</f>
        <v>3100</v>
      </c>
    </row>
    <row r="4375" spans="1:19" x14ac:dyDescent="0.25">
      <c r="A4375" s="2">
        <v>47109</v>
      </c>
      <c r="B4375" s="1">
        <f t="shared" si="346"/>
        <v>52</v>
      </c>
      <c r="C4375">
        <f t="shared" si="347"/>
        <v>12</v>
      </c>
      <c r="D4375" t="str">
        <f t="shared" si="348"/>
        <v>December</v>
      </c>
      <c r="E4375">
        <f t="shared" si="349"/>
        <v>2028</v>
      </c>
      <c r="F4375" t="str">
        <f>CONCATENATE(calendar[[#This Row],[Month]],"/",calendar[[#This Row],[Year]])</f>
        <v>12/2028</v>
      </c>
      <c r="G4375">
        <f>WEEKDAY(calendar[[#This Row],[Date]],1)</f>
        <v>6</v>
      </c>
      <c r="H4375" t="str">
        <f>TEXT(calendar[[#This Row],[WeekDay]],"dddd")</f>
        <v>Friday</v>
      </c>
      <c r="I4375">
        <f>IF((INT(calendar[[#This Row],[Count]]/7)-calendar[[#This Row],[Count]]/7)&lt;0,I4374,I4374+1)</f>
        <v>625</v>
      </c>
      <c r="J4375">
        <f t="shared" si="350"/>
        <v>4373</v>
      </c>
      <c r="K4375">
        <f>IF(calendar[[#This Row],[Month]]&lt;4,1,IF(calendar[[#This Row],[Month]]&lt;7,2,IF(calendar[[#This Row],[Month]]&lt;10,3,4)))</f>
        <v>4</v>
      </c>
      <c r="L4375">
        <f>IFERROR(IF(VLOOKUP(calendar[[#This Row],[Date]],BH!A:A,1,)&lt;&gt;"",1,0),0)</f>
        <v>0</v>
      </c>
      <c r="M4375">
        <f>IFERROR(IF(VLOOKUP(calendar[[#This Row],[Date]],BH!C:C,1,)&lt;&gt;"",1,0),0)</f>
        <v>0</v>
      </c>
      <c r="N4375">
        <f>IFERROR(IF(VLOOKUP(calendar[[#This Row],[Date]],BH!E:E,1,)&lt;&gt;"",1,0),0)</f>
        <v>0</v>
      </c>
      <c r="O4375">
        <f>IFERROR(IF(VLOOKUP(calendar[[#This Row],[Date]],BH!G:G,1,)&lt;&gt;"",1,0),0)</f>
        <v>0</v>
      </c>
      <c r="P4375">
        <f>IF(OR(calendar[[#This Row],[UK_BH]]=1,calendar[[#This Row],[WeekDay]]=1, calendar[[#This Row],[WeekDay]]=7),P4374,P4374+1)</f>
        <v>3101</v>
      </c>
      <c r="Q4375">
        <f>IF(OR(calendar[[#This Row],[FR_BH]]=1,calendar[[#This Row],[WeekDay]]=1, calendar[[#This Row],[WeekDay]]=7),P4374,P4374+1)</f>
        <v>3101</v>
      </c>
      <c r="R4375">
        <f>IF(OR(calendar[[#This Row],[SP_BH]]=1,calendar[[#This Row],[WeekDay]]=1, calendar[[#This Row],[WeekDay]]=7),P4374,P4374+1)</f>
        <v>3101</v>
      </c>
      <c r="S4375">
        <f>IF(OR(calendar[[#This Row],[PT_BH]]=1,calendar[[#This Row],[WeekDay]]=1, calendar[[#This Row],[WeekDay]]=7),P4374,P4374+1)</f>
        <v>3101</v>
      </c>
    </row>
    <row r="4376" spans="1:19" x14ac:dyDescent="0.25">
      <c r="A4376" s="2">
        <v>47110</v>
      </c>
      <c r="B4376" s="1">
        <f t="shared" si="346"/>
        <v>52</v>
      </c>
      <c r="C4376">
        <f t="shared" si="347"/>
        <v>12</v>
      </c>
      <c r="D4376" t="str">
        <f t="shared" si="348"/>
        <v>December</v>
      </c>
      <c r="E4376">
        <f t="shared" si="349"/>
        <v>2028</v>
      </c>
      <c r="F4376" t="str">
        <f>CONCATENATE(calendar[[#This Row],[Month]],"/",calendar[[#This Row],[Year]])</f>
        <v>12/2028</v>
      </c>
      <c r="G4376">
        <f>WEEKDAY(calendar[[#This Row],[Date]],1)</f>
        <v>7</v>
      </c>
      <c r="H4376" t="str">
        <f>TEXT(calendar[[#This Row],[WeekDay]],"dddd")</f>
        <v>Saturday</v>
      </c>
      <c r="I4376">
        <f>IF((INT(calendar[[#This Row],[Count]]/7)-calendar[[#This Row],[Count]]/7)&lt;0,I4375,I4375+1)</f>
        <v>625</v>
      </c>
      <c r="J4376">
        <f t="shared" si="350"/>
        <v>4374</v>
      </c>
      <c r="K4376">
        <f>IF(calendar[[#This Row],[Month]]&lt;4,1,IF(calendar[[#This Row],[Month]]&lt;7,2,IF(calendar[[#This Row],[Month]]&lt;10,3,4)))</f>
        <v>4</v>
      </c>
      <c r="L4376">
        <f>IFERROR(IF(VLOOKUP(calendar[[#This Row],[Date]],BH!A:A,1,)&lt;&gt;"",1,0),0)</f>
        <v>0</v>
      </c>
      <c r="M4376">
        <f>IFERROR(IF(VLOOKUP(calendar[[#This Row],[Date]],BH!C:C,1,)&lt;&gt;"",1,0),0)</f>
        <v>0</v>
      </c>
      <c r="N4376">
        <f>IFERROR(IF(VLOOKUP(calendar[[#This Row],[Date]],BH!E:E,1,)&lt;&gt;"",1,0),0)</f>
        <v>0</v>
      </c>
      <c r="O4376">
        <f>IFERROR(IF(VLOOKUP(calendar[[#This Row],[Date]],BH!G:G,1,)&lt;&gt;"",1,0),0)</f>
        <v>0</v>
      </c>
      <c r="P4376">
        <f>IF(OR(calendar[[#This Row],[UK_BH]]=1,calendar[[#This Row],[WeekDay]]=1, calendar[[#This Row],[WeekDay]]=7),P4375,P4375+1)</f>
        <v>3101</v>
      </c>
      <c r="Q4376">
        <f>IF(OR(calendar[[#This Row],[FR_BH]]=1,calendar[[#This Row],[WeekDay]]=1, calendar[[#This Row],[WeekDay]]=7),P4375,P4375+1)</f>
        <v>3101</v>
      </c>
      <c r="R4376">
        <f>IF(OR(calendar[[#This Row],[SP_BH]]=1,calendar[[#This Row],[WeekDay]]=1, calendar[[#This Row],[WeekDay]]=7),P4375,P4375+1)</f>
        <v>3101</v>
      </c>
      <c r="S4376">
        <f>IF(OR(calendar[[#This Row],[PT_BH]]=1,calendar[[#This Row],[WeekDay]]=1, calendar[[#This Row],[WeekDay]]=7),P4375,P4375+1)</f>
        <v>3101</v>
      </c>
    </row>
    <row r="4377" spans="1:19" x14ac:dyDescent="0.25">
      <c r="A4377" s="2">
        <v>47111</v>
      </c>
      <c r="B4377" s="1">
        <f t="shared" si="346"/>
        <v>53</v>
      </c>
      <c r="C4377">
        <f t="shared" si="347"/>
        <v>12</v>
      </c>
      <c r="D4377" t="str">
        <f t="shared" si="348"/>
        <v>December</v>
      </c>
      <c r="E4377">
        <f t="shared" si="349"/>
        <v>2028</v>
      </c>
      <c r="F4377" t="str">
        <f>CONCATENATE(calendar[[#This Row],[Month]],"/",calendar[[#This Row],[Year]])</f>
        <v>12/2028</v>
      </c>
      <c r="G4377">
        <f>WEEKDAY(calendar[[#This Row],[Date]],1)</f>
        <v>1</v>
      </c>
      <c r="H4377" t="str">
        <f>TEXT(calendar[[#This Row],[WeekDay]],"dddd")</f>
        <v>Sunday</v>
      </c>
      <c r="I4377">
        <f>IF((INT(calendar[[#This Row],[Count]]/7)-calendar[[#This Row],[Count]]/7)&lt;0,I4376,I4376+1)</f>
        <v>626</v>
      </c>
      <c r="J4377">
        <f t="shared" si="350"/>
        <v>4375</v>
      </c>
      <c r="K4377">
        <f>IF(calendar[[#This Row],[Month]]&lt;4,1,IF(calendar[[#This Row],[Month]]&lt;7,2,IF(calendar[[#This Row],[Month]]&lt;10,3,4)))</f>
        <v>4</v>
      </c>
      <c r="L4377">
        <f>IFERROR(IF(VLOOKUP(calendar[[#This Row],[Date]],BH!A:A,1,)&lt;&gt;"",1,0),0)</f>
        <v>0</v>
      </c>
      <c r="M4377">
        <f>IFERROR(IF(VLOOKUP(calendar[[#This Row],[Date]],BH!C:C,1,)&lt;&gt;"",1,0),0)</f>
        <v>0</v>
      </c>
      <c r="N4377">
        <f>IFERROR(IF(VLOOKUP(calendar[[#This Row],[Date]],BH!E:E,1,)&lt;&gt;"",1,0),0)</f>
        <v>0</v>
      </c>
      <c r="O4377">
        <f>IFERROR(IF(VLOOKUP(calendar[[#This Row],[Date]],BH!G:G,1,)&lt;&gt;"",1,0),0)</f>
        <v>0</v>
      </c>
      <c r="P4377">
        <f>IF(OR(calendar[[#This Row],[UK_BH]]=1,calendar[[#This Row],[WeekDay]]=1, calendar[[#This Row],[WeekDay]]=7),P4376,P4376+1)</f>
        <v>3101</v>
      </c>
      <c r="Q4377">
        <f>IF(OR(calendar[[#This Row],[FR_BH]]=1,calendar[[#This Row],[WeekDay]]=1, calendar[[#This Row],[WeekDay]]=7),P4376,P4376+1)</f>
        <v>3101</v>
      </c>
      <c r="R4377">
        <f>IF(OR(calendar[[#This Row],[SP_BH]]=1,calendar[[#This Row],[WeekDay]]=1, calendar[[#This Row],[WeekDay]]=7),P4376,P4376+1)</f>
        <v>3101</v>
      </c>
      <c r="S4377">
        <f>IF(OR(calendar[[#This Row],[PT_BH]]=1,calendar[[#This Row],[WeekDay]]=1, calendar[[#This Row],[WeekDay]]=7),P4376,P4376+1)</f>
        <v>3101</v>
      </c>
    </row>
    <row r="4378" spans="1:19" x14ac:dyDescent="0.25">
      <c r="A4378" s="2">
        <v>47112</v>
      </c>
      <c r="B4378" s="1">
        <f t="shared" si="346"/>
        <v>53</v>
      </c>
      <c r="C4378">
        <f t="shared" si="347"/>
        <v>12</v>
      </c>
      <c r="D4378" t="str">
        <f t="shared" si="348"/>
        <v>December</v>
      </c>
      <c r="E4378">
        <f t="shared" si="349"/>
        <v>2028</v>
      </c>
      <c r="F4378" t="str">
        <f>CONCATENATE(calendar[[#This Row],[Month]],"/",calendar[[#This Row],[Year]])</f>
        <v>12/2028</v>
      </c>
      <c r="G4378">
        <f>WEEKDAY(calendar[[#This Row],[Date]],1)</f>
        <v>2</v>
      </c>
      <c r="H4378" t="str">
        <f>TEXT(calendar[[#This Row],[WeekDay]],"dddd")</f>
        <v>Monday</v>
      </c>
      <c r="I4378">
        <f>IF((INT(calendar[[#This Row],[Count]]/7)-calendar[[#This Row],[Count]]/7)&lt;0,I4377,I4377+1)</f>
        <v>626</v>
      </c>
      <c r="J4378">
        <f t="shared" si="350"/>
        <v>4376</v>
      </c>
      <c r="K4378">
        <f>IF(calendar[[#This Row],[Month]]&lt;4,1,IF(calendar[[#This Row],[Month]]&lt;7,2,IF(calendar[[#This Row],[Month]]&lt;10,3,4)))</f>
        <v>4</v>
      </c>
      <c r="L4378">
        <f>IFERROR(IF(VLOOKUP(calendar[[#This Row],[Date]],BH!A:A,1,)&lt;&gt;"",1,0),0)</f>
        <v>0</v>
      </c>
      <c r="M4378">
        <f>IFERROR(IF(VLOOKUP(calendar[[#This Row],[Date]],BH!C:C,1,)&lt;&gt;"",1,0),0)</f>
        <v>0</v>
      </c>
      <c r="N4378">
        <f>IFERROR(IF(VLOOKUP(calendar[[#This Row],[Date]],BH!E:E,1,)&lt;&gt;"",1,0),0)</f>
        <v>0</v>
      </c>
      <c r="O4378">
        <f>IFERROR(IF(VLOOKUP(calendar[[#This Row],[Date]],BH!G:G,1,)&lt;&gt;"",1,0),0)</f>
        <v>0</v>
      </c>
      <c r="P4378">
        <f>IF(OR(calendar[[#This Row],[UK_BH]]=1,calendar[[#This Row],[WeekDay]]=1, calendar[[#This Row],[WeekDay]]=7),P4377,P4377+1)</f>
        <v>3102</v>
      </c>
      <c r="Q4378">
        <f>IF(OR(calendar[[#This Row],[FR_BH]]=1,calendar[[#This Row],[WeekDay]]=1, calendar[[#This Row],[WeekDay]]=7),P4377,P4377+1)</f>
        <v>3102</v>
      </c>
      <c r="R4378">
        <f>IF(OR(calendar[[#This Row],[SP_BH]]=1,calendar[[#This Row],[WeekDay]]=1, calendar[[#This Row],[WeekDay]]=7),P4377,P4377+1)</f>
        <v>3102</v>
      </c>
      <c r="S4378">
        <f>IF(OR(calendar[[#This Row],[PT_BH]]=1,calendar[[#This Row],[WeekDay]]=1, calendar[[#This Row],[WeekDay]]=7),P4377,P4377+1)</f>
        <v>3102</v>
      </c>
    </row>
    <row r="4379" spans="1:19" x14ac:dyDescent="0.25">
      <c r="A4379" s="2">
        <v>47113</v>
      </c>
      <c r="B4379" s="1">
        <f t="shared" si="346"/>
        <v>53</v>
      </c>
      <c r="C4379">
        <f t="shared" si="347"/>
        <v>12</v>
      </c>
      <c r="D4379" t="str">
        <f t="shared" si="348"/>
        <v>December</v>
      </c>
      <c r="E4379">
        <f t="shared" si="349"/>
        <v>2028</v>
      </c>
      <c r="F4379" t="str">
        <f>CONCATENATE(calendar[[#This Row],[Month]],"/",calendar[[#This Row],[Year]])</f>
        <v>12/2028</v>
      </c>
      <c r="G4379">
        <f>WEEKDAY(calendar[[#This Row],[Date]],1)</f>
        <v>3</v>
      </c>
      <c r="H4379" t="str">
        <f>TEXT(calendar[[#This Row],[WeekDay]],"dddd")</f>
        <v>Tuesday</v>
      </c>
      <c r="I4379">
        <f>IF((INT(calendar[[#This Row],[Count]]/7)-calendar[[#This Row],[Count]]/7)&lt;0,I4378,I4378+1)</f>
        <v>626</v>
      </c>
      <c r="J4379">
        <f t="shared" si="350"/>
        <v>4377</v>
      </c>
      <c r="K4379">
        <f>IF(calendar[[#This Row],[Month]]&lt;4,1,IF(calendar[[#This Row],[Month]]&lt;7,2,IF(calendar[[#This Row],[Month]]&lt;10,3,4)))</f>
        <v>4</v>
      </c>
      <c r="L4379">
        <f>IFERROR(IF(VLOOKUP(calendar[[#This Row],[Date]],BH!A:A,1,)&lt;&gt;"",1,0),0)</f>
        <v>0</v>
      </c>
      <c r="M4379">
        <f>IFERROR(IF(VLOOKUP(calendar[[#This Row],[Date]],BH!C:C,1,)&lt;&gt;"",1,0),0)</f>
        <v>0</v>
      </c>
      <c r="N4379">
        <f>IFERROR(IF(VLOOKUP(calendar[[#This Row],[Date]],BH!E:E,1,)&lt;&gt;"",1,0),0)</f>
        <v>0</v>
      </c>
      <c r="O4379">
        <f>IFERROR(IF(VLOOKUP(calendar[[#This Row],[Date]],BH!G:G,1,)&lt;&gt;"",1,0),0)</f>
        <v>0</v>
      </c>
      <c r="P4379">
        <f>IF(OR(calendar[[#This Row],[UK_BH]]=1,calendar[[#This Row],[WeekDay]]=1, calendar[[#This Row],[WeekDay]]=7),P4378,P4378+1)</f>
        <v>3103</v>
      </c>
      <c r="Q4379">
        <f>IF(OR(calendar[[#This Row],[FR_BH]]=1,calendar[[#This Row],[WeekDay]]=1, calendar[[#This Row],[WeekDay]]=7),P4378,P4378+1)</f>
        <v>3103</v>
      </c>
      <c r="R4379">
        <f>IF(OR(calendar[[#This Row],[SP_BH]]=1,calendar[[#This Row],[WeekDay]]=1, calendar[[#This Row],[WeekDay]]=7),P4378,P4378+1)</f>
        <v>3103</v>
      </c>
      <c r="S4379">
        <f>IF(OR(calendar[[#This Row],[PT_BH]]=1,calendar[[#This Row],[WeekDay]]=1, calendar[[#This Row],[WeekDay]]=7),P4378,P4378+1)</f>
        <v>3103</v>
      </c>
    </row>
    <row r="4380" spans="1:19" x14ac:dyDescent="0.25">
      <c r="A4380" s="2">
        <v>47114</v>
      </c>
      <c r="B4380" s="1">
        <f t="shared" si="346"/>
        <v>53</v>
      </c>
      <c r="C4380">
        <f t="shared" si="347"/>
        <v>12</v>
      </c>
      <c r="D4380" t="str">
        <f t="shared" si="348"/>
        <v>December</v>
      </c>
      <c r="E4380">
        <f t="shared" si="349"/>
        <v>2028</v>
      </c>
      <c r="F4380" t="str">
        <f>CONCATENATE(calendar[[#This Row],[Month]],"/",calendar[[#This Row],[Year]])</f>
        <v>12/2028</v>
      </c>
      <c r="G4380">
        <f>WEEKDAY(calendar[[#This Row],[Date]],1)</f>
        <v>4</v>
      </c>
      <c r="H4380" t="str">
        <f>TEXT(calendar[[#This Row],[WeekDay]],"dddd")</f>
        <v>Wednesday</v>
      </c>
      <c r="I4380">
        <f>IF((INT(calendar[[#This Row],[Count]]/7)-calendar[[#This Row],[Count]]/7)&lt;0,I4379,I4379+1)</f>
        <v>626</v>
      </c>
      <c r="J4380">
        <f t="shared" si="350"/>
        <v>4378</v>
      </c>
      <c r="K4380">
        <f>IF(calendar[[#This Row],[Month]]&lt;4,1,IF(calendar[[#This Row],[Month]]&lt;7,2,IF(calendar[[#This Row],[Month]]&lt;10,3,4)))</f>
        <v>4</v>
      </c>
      <c r="L4380">
        <f>IFERROR(IF(VLOOKUP(calendar[[#This Row],[Date]],BH!A:A,1,)&lt;&gt;"",1,0),0)</f>
        <v>0</v>
      </c>
      <c r="M4380">
        <f>IFERROR(IF(VLOOKUP(calendar[[#This Row],[Date]],BH!C:C,1,)&lt;&gt;"",1,0),0)</f>
        <v>0</v>
      </c>
      <c r="N4380">
        <f>IFERROR(IF(VLOOKUP(calendar[[#This Row],[Date]],BH!E:E,1,)&lt;&gt;"",1,0),0)</f>
        <v>0</v>
      </c>
      <c r="O4380">
        <f>IFERROR(IF(VLOOKUP(calendar[[#This Row],[Date]],BH!G:G,1,)&lt;&gt;"",1,0),0)</f>
        <v>0</v>
      </c>
      <c r="P4380">
        <f>IF(OR(calendar[[#This Row],[UK_BH]]=1,calendar[[#This Row],[WeekDay]]=1, calendar[[#This Row],[WeekDay]]=7),P4379,P4379+1)</f>
        <v>3104</v>
      </c>
      <c r="Q4380">
        <f>IF(OR(calendar[[#This Row],[FR_BH]]=1,calendar[[#This Row],[WeekDay]]=1, calendar[[#This Row],[WeekDay]]=7),P4379,P4379+1)</f>
        <v>3104</v>
      </c>
      <c r="R4380">
        <f>IF(OR(calendar[[#This Row],[SP_BH]]=1,calendar[[#This Row],[WeekDay]]=1, calendar[[#This Row],[WeekDay]]=7),P4379,P4379+1)</f>
        <v>3104</v>
      </c>
      <c r="S4380">
        <f>IF(OR(calendar[[#This Row],[PT_BH]]=1,calendar[[#This Row],[WeekDay]]=1, calendar[[#This Row],[WeekDay]]=7),P4379,P4379+1)</f>
        <v>3104</v>
      </c>
    </row>
    <row r="4381" spans="1:19" x14ac:dyDescent="0.25">
      <c r="A4381" s="2">
        <v>47115</v>
      </c>
      <c r="B4381" s="1">
        <f t="shared" si="346"/>
        <v>53</v>
      </c>
      <c r="C4381">
        <f t="shared" si="347"/>
        <v>12</v>
      </c>
      <c r="D4381" t="str">
        <f t="shared" si="348"/>
        <v>December</v>
      </c>
      <c r="E4381">
        <f t="shared" si="349"/>
        <v>2028</v>
      </c>
      <c r="F4381" t="str">
        <f>CONCATENATE(calendar[[#This Row],[Month]],"/",calendar[[#This Row],[Year]])</f>
        <v>12/2028</v>
      </c>
      <c r="G4381">
        <f>WEEKDAY(calendar[[#This Row],[Date]],1)</f>
        <v>5</v>
      </c>
      <c r="H4381" t="str">
        <f>TEXT(calendar[[#This Row],[WeekDay]],"dddd")</f>
        <v>Thursday</v>
      </c>
      <c r="I4381">
        <f>IF((INT(calendar[[#This Row],[Count]]/7)-calendar[[#This Row],[Count]]/7)&lt;0,I4380,I4380+1)</f>
        <v>626</v>
      </c>
      <c r="J4381">
        <f t="shared" si="350"/>
        <v>4379</v>
      </c>
      <c r="K4381">
        <f>IF(calendar[[#This Row],[Month]]&lt;4,1,IF(calendar[[#This Row],[Month]]&lt;7,2,IF(calendar[[#This Row],[Month]]&lt;10,3,4)))</f>
        <v>4</v>
      </c>
      <c r="L4381">
        <f>IFERROR(IF(VLOOKUP(calendar[[#This Row],[Date]],BH!A:A,1,)&lt;&gt;"",1,0),0)</f>
        <v>0</v>
      </c>
      <c r="M4381">
        <f>IFERROR(IF(VLOOKUP(calendar[[#This Row],[Date]],BH!C:C,1,)&lt;&gt;"",1,0),0)</f>
        <v>0</v>
      </c>
      <c r="N4381">
        <f>IFERROR(IF(VLOOKUP(calendar[[#This Row],[Date]],BH!E:E,1,)&lt;&gt;"",1,0),0)</f>
        <v>0</v>
      </c>
      <c r="O4381">
        <f>IFERROR(IF(VLOOKUP(calendar[[#This Row],[Date]],BH!G:G,1,)&lt;&gt;"",1,0),0)</f>
        <v>0</v>
      </c>
      <c r="P4381">
        <f>IF(OR(calendar[[#This Row],[UK_BH]]=1,calendar[[#This Row],[WeekDay]]=1, calendar[[#This Row],[WeekDay]]=7),P4380,P4380+1)</f>
        <v>3105</v>
      </c>
      <c r="Q4381">
        <f>IF(OR(calendar[[#This Row],[FR_BH]]=1,calendar[[#This Row],[WeekDay]]=1, calendar[[#This Row],[WeekDay]]=7),P4380,P4380+1)</f>
        <v>3105</v>
      </c>
      <c r="R4381">
        <f>IF(OR(calendar[[#This Row],[SP_BH]]=1,calendar[[#This Row],[WeekDay]]=1, calendar[[#This Row],[WeekDay]]=7),P4380,P4380+1)</f>
        <v>3105</v>
      </c>
      <c r="S4381">
        <f>IF(OR(calendar[[#This Row],[PT_BH]]=1,calendar[[#This Row],[WeekDay]]=1, calendar[[#This Row],[WeekDay]]=7),P4380,P4380+1)</f>
        <v>3105</v>
      </c>
    </row>
    <row r="4382" spans="1:19" x14ac:dyDescent="0.25">
      <c r="A4382" s="2">
        <v>47116</v>
      </c>
      <c r="B4382" s="1">
        <f t="shared" si="346"/>
        <v>53</v>
      </c>
      <c r="C4382">
        <f t="shared" si="347"/>
        <v>12</v>
      </c>
      <c r="D4382" t="str">
        <f t="shared" si="348"/>
        <v>December</v>
      </c>
      <c r="E4382">
        <f t="shared" si="349"/>
        <v>2028</v>
      </c>
      <c r="F4382" t="str">
        <f>CONCATENATE(calendar[[#This Row],[Month]],"/",calendar[[#This Row],[Year]])</f>
        <v>12/2028</v>
      </c>
      <c r="G4382">
        <f>WEEKDAY(calendar[[#This Row],[Date]],1)</f>
        <v>6</v>
      </c>
      <c r="H4382" t="str">
        <f>TEXT(calendar[[#This Row],[WeekDay]],"dddd")</f>
        <v>Friday</v>
      </c>
      <c r="I4382">
        <f>IF((INT(calendar[[#This Row],[Count]]/7)-calendar[[#This Row],[Count]]/7)&lt;0,I4381,I4381+1)</f>
        <v>626</v>
      </c>
      <c r="J4382">
        <f t="shared" si="350"/>
        <v>4380</v>
      </c>
      <c r="K4382">
        <f>IF(calendar[[#This Row],[Month]]&lt;4,1,IF(calendar[[#This Row],[Month]]&lt;7,2,IF(calendar[[#This Row],[Month]]&lt;10,3,4)))</f>
        <v>4</v>
      </c>
      <c r="L4382">
        <f>IFERROR(IF(VLOOKUP(calendar[[#This Row],[Date]],BH!A:A,1,)&lt;&gt;"",1,0),0)</f>
        <v>0</v>
      </c>
      <c r="M4382">
        <f>IFERROR(IF(VLOOKUP(calendar[[#This Row],[Date]],BH!C:C,1,)&lt;&gt;"",1,0),0)</f>
        <v>0</v>
      </c>
      <c r="N4382">
        <f>IFERROR(IF(VLOOKUP(calendar[[#This Row],[Date]],BH!E:E,1,)&lt;&gt;"",1,0),0)</f>
        <v>0</v>
      </c>
      <c r="O4382">
        <f>IFERROR(IF(VLOOKUP(calendar[[#This Row],[Date]],BH!G:G,1,)&lt;&gt;"",1,0),0)</f>
        <v>0</v>
      </c>
      <c r="P4382">
        <f>IF(OR(calendar[[#This Row],[UK_BH]]=1,calendar[[#This Row],[WeekDay]]=1, calendar[[#This Row],[WeekDay]]=7),P4381,P4381+1)</f>
        <v>3106</v>
      </c>
      <c r="Q4382">
        <f>IF(OR(calendar[[#This Row],[FR_BH]]=1,calendar[[#This Row],[WeekDay]]=1, calendar[[#This Row],[WeekDay]]=7),P4381,P4381+1)</f>
        <v>3106</v>
      </c>
      <c r="R4382">
        <f>IF(OR(calendar[[#This Row],[SP_BH]]=1,calendar[[#This Row],[WeekDay]]=1, calendar[[#This Row],[WeekDay]]=7),P4381,P4381+1)</f>
        <v>3106</v>
      </c>
      <c r="S4382">
        <f>IF(OR(calendar[[#This Row],[PT_BH]]=1,calendar[[#This Row],[WeekDay]]=1, calendar[[#This Row],[WeekDay]]=7),P4381,P4381+1)</f>
        <v>3106</v>
      </c>
    </row>
    <row r="4383" spans="1:19" x14ac:dyDescent="0.25">
      <c r="A4383" s="2">
        <v>47117</v>
      </c>
      <c r="B4383" s="1">
        <f t="shared" si="346"/>
        <v>53</v>
      </c>
      <c r="C4383">
        <f t="shared" si="347"/>
        <v>12</v>
      </c>
      <c r="D4383" t="str">
        <f t="shared" si="348"/>
        <v>December</v>
      </c>
      <c r="E4383">
        <f t="shared" si="349"/>
        <v>2028</v>
      </c>
      <c r="F4383" t="str">
        <f>CONCATENATE(calendar[[#This Row],[Month]],"/",calendar[[#This Row],[Year]])</f>
        <v>12/2028</v>
      </c>
      <c r="G4383">
        <f>WEEKDAY(calendar[[#This Row],[Date]],1)</f>
        <v>7</v>
      </c>
      <c r="H4383" t="str">
        <f>TEXT(calendar[[#This Row],[WeekDay]],"dddd")</f>
        <v>Saturday</v>
      </c>
      <c r="I4383">
        <f>IF((INT(calendar[[#This Row],[Count]]/7)-calendar[[#This Row],[Count]]/7)&lt;0,I4382,I4382+1)</f>
        <v>626</v>
      </c>
      <c r="J4383">
        <f t="shared" si="350"/>
        <v>4381</v>
      </c>
      <c r="K4383">
        <f>IF(calendar[[#This Row],[Month]]&lt;4,1,IF(calendar[[#This Row],[Month]]&lt;7,2,IF(calendar[[#This Row],[Month]]&lt;10,3,4)))</f>
        <v>4</v>
      </c>
      <c r="L4383">
        <f>IFERROR(IF(VLOOKUP(calendar[[#This Row],[Date]],BH!A:A,1,)&lt;&gt;"",1,0),0)</f>
        <v>0</v>
      </c>
      <c r="M4383">
        <f>IFERROR(IF(VLOOKUP(calendar[[#This Row],[Date]],BH!C:C,1,)&lt;&gt;"",1,0),0)</f>
        <v>0</v>
      </c>
      <c r="N4383">
        <f>IFERROR(IF(VLOOKUP(calendar[[#This Row],[Date]],BH!E:E,1,)&lt;&gt;"",1,0),0)</f>
        <v>0</v>
      </c>
      <c r="O4383">
        <f>IFERROR(IF(VLOOKUP(calendar[[#This Row],[Date]],BH!G:G,1,)&lt;&gt;"",1,0),0)</f>
        <v>0</v>
      </c>
      <c r="P4383">
        <f>IF(OR(calendar[[#This Row],[UK_BH]]=1,calendar[[#This Row],[WeekDay]]=1, calendar[[#This Row],[WeekDay]]=7),P4382,P4382+1)</f>
        <v>3106</v>
      </c>
      <c r="Q4383">
        <f>IF(OR(calendar[[#This Row],[FR_BH]]=1,calendar[[#This Row],[WeekDay]]=1, calendar[[#This Row],[WeekDay]]=7),P4382,P4382+1)</f>
        <v>3106</v>
      </c>
      <c r="R4383">
        <f>IF(OR(calendar[[#This Row],[SP_BH]]=1,calendar[[#This Row],[WeekDay]]=1, calendar[[#This Row],[WeekDay]]=7),P4382,P4382+1)</f>
        <v>3106</v>
      </c>
      <c r="S4383">
        <f>IF(OR(calendar[[#This Row],[PT_BH]]=1,calendar[[#This Row],[WeekDay]]=1, calendar[[#This Row],[WeekDay]]=7),P4382,P4382+1)</f>
        <v>3106</v>
      </c>
    </row>
    <row r="4384" spans="1:19" x14ac:dyDescent="0.25">
      <c r="A4384" s="2">
        <v>47118</v>
      </c>
      <c r="B4384" s="1">
        <f t="shared" si="346"/>
        <v>54</v>
      </c>
      <c r="C4384">
        <f t="shared" si="347"/>
        <v>12</v>
      </c>
      <c r="D4384" t="str">
        <f t="shared" si="348"/>
        <v>December</v>
      </c>
      <c r="E4384">
        <f t="shared" si="349"/>
        <v>2028</v>
      </c>
      <c r="F4384" t="str">
        <f>CONCATENATE(calendar[[#This Row],[Month]],"/",calendar[[#This Row],[Year]])</f>
        <v>12/2028</v>
      </c>
      <c r="G4384">
        <f>WEEKDAY(calendar[[#This Row],[Date]],1)</f>
        <v>1</v>
      </c>
      <c r="H4384" t="str">
        <f>TEXT(calendar[[#This Row],[WeekDay]],"dddd")</f>
        <v>Sunday</v>
      </c>
      <c r="I4384">
        <f>IF((INT(calendar[[#This Row],[Count]]/7)-calendar[[#This Row],[Count]]/7)&lt;0,I4383,I4383+1)</f>
        <v>627</v>
      </c>
      <c r="J4384">
        <f>J4383+1</f>
        <v>4382</v>
      </c>
      <c r="K4384">
        <f>IF(calendar[[#This Row],[Month]]&lt;4,1,IF(calendar[[#This Row],[Month]]&lt;7,2,IF(calendar[[#This Row],[Month]]&lt;10,3,4)))</f>
        <v>4</v>
      </c>
      <c r="L4384">
        <f>IFERROR(IF(VLOOKUP(calendar[[#This Row],[Date]],BH!A:A,1,)&lt;&gt;"",1,0),0)</f>
        <v>0</v>
      </c>
      <c r="M4384">
        <f>IFERROR(IF(VLOOKUP(calendar[[#This Row],[Date]],BH!C:C,1,)&lt;&gt;"",1,0),0)</f>
        <v>0</v>
      </c>
      <c r="N4384">
        <f>IFERROR(IF(VLOOKUP(calendar[[#This Row],[Date]],BH!E:E,1,)&lt;&gt;"",1,0),0)</f>
        <v>0</v>
      </c>
      <c r="O4384">
        <f>IFERROR(IF(VLOOKUP(calendar[[#This Row],[Date]],BH!G:G,1,)&lt;&gt;"",1,0),0)</f>
        <v>0</v>
      </c>
      <c r="P4384">
        <f>IF(OR(calendar[[#This Row],[UK_BH]]=1,calendar[[#This Row],[WeekDay]]=1, calendar[[#This Row],[WeekDay]]=7),P4383,P4383+1)</f>
        <v>3106</v>
      </c>
      <c r="Q4384">
        <f>IF(OR(calendar[[#This Row],[FR_BH]]=1,calendar[[#This Row],[WeekDay]]=1, calendar[[#This Row],[WeekDay]]=7),P4383,P4383+1)</f>
        <v>3106</v>
      </c>
      <c r="R4384">
        <f>IF(OR(calendar[[#This Row],[SP_BH]]=1,calendar[[#This Row],[WeekDay]]=1, calendar[[#This Row],[WeekDay]]=7),P4383,P4383+1)</f>
        <v>3106</v>
      </c>
      <c r="S4384">
        <f>IF(OR(calendar[[#This Row],[PT_BH]]=1,calendar[[#This Row],[WeekDay]]=1, calendar[[#This Row],[WeekDay]]=7),P4383,P4383+1)</f>
        <v>3106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4200-DE18-4EEE-9824-5C4BAD90AAB8}">
  <dimension ref="A1:G77"/>
  <sheetViews>
    <sheetView workbookViewId="0"/>
  </sheetViews>
  <sheetFormatPr defaultRowHeight="15" x14ac:dyDescent="0.25"/>
  <cols>
    <col min="1" max="1" width="11" customWidth="1"/>
    <col min="2" max="2" width="2.7109375" customWidth="1"/>
    <col min="3" max="3" width="11" customWidth="1"/>
    <col min="4" max="4" width="2.7109375" customWidth="1"/>
    <col min="5" max="5" width="11" customWidth="1"/>
    <col min="6" max="6" width="2.7109375" customWidth="1"/>
    <col min="7" max="7" width="11" customWidth="1"/>
  </cols>
  <sheetData>
    <row r="1" spans="1:7" x14ac:dyDescent="0.25">
      <c r="A1" s="5" t="s">
        <v>12</v>
      </c>
      <c r="C1" s="5" t="s">
        <v>13</v>
      </c>
      <c r="E1" s="5" t="s">
        <v>14</v>
      </c>
      <c r="G1" s="5" t="s">
        <v>15</v>
      </c>
    </row>
    <row r="2" spans="1:7" x14ac:dyDescent="0.25">
      <c r="A2" s="4">
        <v>45658</v>
      </c>
      <c r="C2" s="4">
        <v>45658</v>
      </c>
      <c r="E2" s="4">
        <v>45658</v>
      </c>
      <c r="G2" s="4">
        <v>45658</v>
      </c>
    </row>
    <row r="3" spans="1:7" x14ac:dyDescent="0.25">
      <c r="A3" s="4">
        <v>45765</v>
      </c>
      <c r="C3" s="4">
        <v>45765</v>
      </c>
      <c r="E3" s="4">
        <v>45663</v>
      </c>
      <c r="G3" s="4">
        <v>45765</v>
      </c>
    </row>
    <row r="4" spans="1:7" x14ac:dyDescent="0.25">
      <c r="A4" s="4">
        <v>45768</v>
      </c>
      <c r="C4" s="4">
        <v>45768</v>
      </c>
      <c r="E4" s="4">
        <v>45717</v>
      </c>
      <c r="G4" s="4">
        <v>45767</v>
      </c>
    </row>
    <row r="5" spans="1:7" x14ac:dyDescent="0.25">
      <c r="A5" s="4">
        <v>45782</v>
      </c>
      <c r="C5" s="4">
        <v>45778</v>
      </c>
      <c r="E5" s="4">
        <v>45735</v>
      </c>
      <c r="G5" s="4">
        <v>45772</v>
      </c>
    </row>
    <row r="6" spans="1:7" x14ac:dyDescent="0.25">
      <c r="A6" s="4">
        <v>45803</v>
      </c>
      <c r="C6" s="4">
        <v>45785</v>
      </c>
      <c r="E6" s="4">
        <v>45760</v>
      </c>
      <c r="G6" s="4">
        <v>45778</v>
      </c>
    </row>
    <row r="7" spans="1:7" x14ac:dyDescent="0.25">
      <c r="A7" s="4">
        <v>45894</v>
      </c>
      <c r="C7" s="4">
        <v>45806</v>
      </c>
      <c r="E7" s="4">
        <v>45764</v>
      </c>
      <c r="G7" s="4">
        <v>45818</v>
      </c>
    </row>
    <row r="8" spans="1:7" x14ac:dyDescent="0.25">
      <c r="A8" s="4">
        <v>46016</v>
      </c>
      <c r="C8" s="4">
        <v>45816</v>
      </c>
      <c r="E8" s="4">
        <v>45765</v>
      </c>
      <c r="G8" s="4">
        <v>45827</v>
      </c>
    </row>
    <row r="9" spans="1:7" x14ac:dyDescent="0.25">
      <c r="A9" s="4">
        <v>46017</v>
      </c>
      <c r="C9" s="4">
        <v>45817</v>
      </c>
      <c r="E9" s="4">
        <v>45767</v>
      </c>
      <c r="G9" s="4">
        <v>45884</v>
      </c>
    </row>
    <row r="10" spans="1:7" x14ac:dyDescent="0.25">
      <c r="A10" s="4">
        <v>46023</v>
      </c>
      <c r="C10" s="4">
        <v>45852</v>
      </c>
      <c r="E10" s="4">
        <v>45775</v>
      </c>
      <c r="G10" s="4">
        <v>45935</v>
      </c>
    </row>
    <row r="11" spans="1:7" x14ac:dyDescent="0.25">
      <c r="A11" s="4">
        <v>46115</v>
      </c>
      <c r="C11" s="4">
        <v>45884</v>
      </c>
      <c r="E11" s="4">
        <v>45778</v>
      </c>
      <c r="G11" s="4">
        <v>45962</v>
      </c>
    </row>
    <row r="12" spans="1:7" x14ac:dyDescent="0.25">
      <c r="A12" s="4">
        <v>46118</v>
      </c>
      <c r="C12" s="4">
        <v>45962</v>
      </c>
      <c r="E12" s="4">
        <v>45779</v>
      </c>
      <c r="G12" s="4">
        <v>45992</v>
      </c>
    </row>
    <row r="13" spans="1:7" x14ac:dyDescent="0.25">
      <c r="A13" s="4">
        <v>46146</v>
      </c>
      <c r="C13" s="4">
        <v>45972</v>
      </c>
      <c r="E13" s="4">
        <v>45781</v>
      </c>
      <c r="G13" s="4">
        <v>45999</v>
      </c>
    </row>
    <row r="14" spans="1:7" x14ac:dyDescent="0.25">
      <c r="A14" s="4">
        <v>46167</v>
      </c>
      <c r="C14" s="4">
        <v>46016</v>
      </c>
      <c r="E14" s="4">
        <v>45792</v>
      </c>
      <c r="G14" s="4">
        <v>46016</v>
      </c>
    </row>
    <row r="15" spans="1:7" x14ac:dyDescent="0.25">
      <c r="A15" s="4">
        <v>46265</v>
      </c>
      <c r="C15" s="4">
        <v>46017</v>
      </c>
      <c r="E15" s="4">
        <v>45807</v>
      </c>
      <c r="G15" s="4">
        <v>46023</v>
      </c>
    </row>
    <row r="16" spans="1:7" x14ac:dyDescent="0.25">
      <c r="A16" s="4">
        <v>46381</v>
      </c>
      <c r="C16" s="4">
        <v>46023</v>
      </c>
      <c r="E16" s="4">
        <v>45832</v>
      </c>
      <c r="G16" s="4">
        <v>46115</v>
      </c>
    </row>
    <row r="17" spans="1:7" x14ac:dyDescent="0.25">
      <c r="A17" s="4">
        <v>46384</v>
      </c>
      <c r="C17" s="4">
        <v>46115</v>
      </c>
      <c r="E17" s="4">
        <v>45884</v>
      </c>
      <c r="G17" s="4">
        <v>46117</v>
      </c>
    </row>
    <row r="18" spans="1:7" x14ac:dyDescent="0.25">
      <c r="A18" s="4">
        <v>46388</v>
      </c>
      <c r="C18" s="4">
        <v>46118</v>
      </c>
      <c r="E18" s="4">
        <v>45939</v>
      </c>
      <c r="G18" s="4">
        <v>46137</v>
      </c>
    </row>
    <row r="19" spans="1:7" x14ac:dyDescent="0.25">
      <c r="A19" s="4">
        <v>46472</v>
      </c>
      <c r="C19" s="4">
        <v>46143</v>
      </c>
      <c r="E19" s="4">
        <v>45942</v>
      </c>
      <c r="G19" s="4">
        <v>46143</v>
      </c>
    </row>
    <row r="20" spans="1:7" x14ac:dyDescent="0.25">
      <c r="A20" s="4">
        <v>46475</v>
      </c>
      <c r="C20" s="4">
        <v>46150</v>
      </c>
      <c r="E20" s="4">
        <v>45962</v>
      </c>
      <c r="G20" s="4">
        <v>46177</v>
      </c>
    </row>
    <row r="21" spans="1:7" x14ac:dyDescent="0.25">
      <c r="A21" s="4">
        <v>46510</v>
      </c>
      <c r="C21" s="4">
        <v>46156</v>
      </c>
      <c r="E21" s="4">
        <v>45963</v>
      </c>
      <c r="G21" s="4">
        <v>46183</v>
      </c>
    </row>
    <row r="22" spans="1:7" x14ac:dyDescent="0.25">
      <c r="A22" s="4">
        <v>46538</v>
      </c>
      <c r="C22" s="4">
        <v>46166</v>
      </c>
      <c r="E22" s="4">
        <v>45997</v>
      </c>
      <c r="G22" s="4">
        <v>46249</v>
      </c>
    </row>
    <row r="23" spans="1:7" x14ac:dyDescent="0.25">
      <c r="A23" s="4">
        <v>46629</v>
      </c>
      <c r="C23" s="4">
        <v>46167</v>
      </c>
      <c r="E23" s="4">
        <v>45999</v>
      </c>
      <c r="G23" s="4">
        <v>46300</v>
      </c>
    </row>
    <row r="24" spans="1:7" x14ac:dyDescent="0.25">
      <c r="A24" s="4">
        <v>46748</v>
      </c>
      <c r="C24" s="4">
        <v>46217</v>
      </c>
      <c r="E24" s="4">
        <v>46016</v>
      </c>
      <c r="G24" s="4">
        <v>46327</v>
      </c>
    </row>
    <row r="25" spans="1:7" x14ac:dyDescent="0.25">
      <c r="A25" s="4">
        <v>46749</v>
      </c>
      <c r="C25" s="4">
        <v>46249</v>
      </c>
      <c r="E25" s="4">
        <v>46017</v>
      </c>
      <c r="G25" s="4">
        <v>46357</v>
      </c>
    </row>
    <row r="26" spans="1:7" x14ac:dyDescent="0.25">
      <c r="C26" s="4">
        <v>46327</v>
      </c>
      <c r="E26" s="4">
        <v>46023</v>
      </c>
      <c r="G26" s="4">
        <v>46364</v>
      </c>
    </row>
    <row r="27" spans="1:7" x14ac:dyDescent="0.25">
      <c r="C27" s="4">
        <v>46337</v>
      </c>
      <c r="E27" s="4">
        <v>46028</v>
      </c>
      <c r="G27" s="4">
        <v>46381</v>
      </c>
    </row>
    <row r="28" spans="1:7" x14ac:dyDescent="0.25">
      <c r="C28" s="4">
        <v>46381</v>
      </c>
      <c r="E28" s="4">
        <v>46082</v>
      </c>
      <c r="G28" s="4">
        <v>46388</v>
      </c>
    </row>
    <row r="29" spans="1:7" x14ac:dyDescent="0.25">
      <c r="C29" s="4">
        <v>46382</v>
      </c>
      <c r="E29" s="4">
        <v>46100</v>
      </c>
      <c r="G29" s="4">
        <v>46472</v>
      </c>
    </row>
    <row r="30" spans="1:7" x14ac:dyDescent="0.25">
      <c r="C30" s="4">
        <v>46388</v>
      </c>
      <c r="E30" s="4">
        <v>46110</v>
      </c>
      <c r="G30" s="4">
        <v>46474</v>
      </c>
    </row>
    <row r="31" spans="1:7" x14ac:dyDescent="0.25">
      <c r="C31" s="4">
        <v>46472</v>
      </c>
      <c r="E31" s="4">
        <v>46114</v>
      </c>
      <c r="G31" s="4">
        <v>46502</v>
      </c>
    </row>
    <row r="32" spans="1:7" x14ac:dyDescent="0.25">
      <c r="C32" s="4">
        <v>46475</v>
      </c>
      <c r="E32" s="4">
        <v>46115</v>
      </c>
      <c r="G32" s="4">
        <v>46508</v>
      </c>
    </row>
    <row r="33" spans="3:7" x14ac:dyDescent="0.25">
      <c r="C33" s="4">
        <v>46539</v>
      </c>
      <c r="E33" s="4">
        <v>46117</v>
      </c>
      <c r="G33" s="4">
        <v>46534</v>
      </c>
    </row>
    <row r="34" spans="3:7" x14ac:dyDescent="0.25">
      <c r="C34" s="4">
        <v>46513</v>
      </c>
      <c r="E34" s="4">
        <v>46118</v>
      </c>
      <c r="G34" s="4">
        <v>46548</v>
      </c>
    </row>
    <row r="35" spans="3:7" x14ac:dyDescent="0.25">
      <c r="C35" s="4">
        <v>46515</v>
      </c>
      <c r="E35" s="4">
        <v>46140</v>
      </c>
      <c r="G35" s="4">
        <v>46614</v>
      </c>
    </row>
    <row r="36" spans="3:7" x14ac:dyDescent="0.25">
      <c r="C36" s="4">
        <v>46523</v>
      </c>
      <c r="E36" s="4">
        <v>46143</v>
      </c>
      <c r="G36" s="4">
        <v>46665</v>
      </c>
    </row>
    <row r="37" spans="3:7" x14ac:dyDescent="0.25">
      <c r="C37" s="4">
        <v>46524</v>
      </c>
      <c r="E37" s="4">
        <v>46144</v>
      </c>
      <c r="G37" s="4">
        <v>46692</v>
      </c>
    </row>
    <row r="38" spans="3:7" x14ac:dyDescent="0.25">
      <c r="C38" s="4">
        <v>46582</v>
      </c>
      <c r="E38" s="4">
        <v>46145</v>
      </c>
      <c r="G38" s="4">
        <v>46722</v>
      </c>
    </row>
    <row r="39" spans="3:7" x14ac:dyDescent="0.25">
      <c r="C39" s="4">
        <v>46614</v>
      </c>
      <c r="E39" s="4">
        <v>46157</v>
      </c>
      <c r="G39" s="4">
        <v>46729</v>
      </c>
    </row>
    <row r="40" spans="3:7" x14ac:dyDescent="0.25">
      <c r="C40" s="4">
        <v>46692</v>
      </c>
      <c r="E40" s="4">
        <v>46166</v>
      </c>
      <c r="G40" s="4">
        <v>46746</v>
      </c>
    </row>
    <row r="41" spans="3:7" x14ac:dyDescent="0.25">
      <c r="C41" s="4">
        <v>46702</v>
      </c>
      <c r="E41" s="4">
        <v>46172</v>
      </c>
      <c r="G41" s="4"/>
    </row>
    <row r="42" spans="3:7" x14ac:dyDescent="0.25">
      <c r="C42" s="4">
        <v>46746</v>
      </c>
      <c r="E42" s="4">
        <v>46197</v>
      </c>
      <c r="G42" s="4"/>
    </row>
    <row r="43" spans="3:7" x14ac:dyDescent="0.25">
      <c r="C43" s="4">
        <v>46747</v>
      </c>
      <c r="E43" s="4">
        <v>46249</v>
      </c>
      <c r="G43" s="4"/>
    </row>
    <row r="44" spans="3:7" x14ac:dyDescent="0.25">
      <c r="E44" s="4">
        <v>46304</v>
      </c>
    </row>
    <row r="45" spans="3:7" x14ac:dyDescent="0.25">
      <c r="E45" s="4">
        <v>46307</v>
      </c>
    </row>
    <row r="46" spans="3:7" x14ac:dyDescent="0.25">
      <c r="E46" s="4">
        <v>46327</v>
      </c>
    </row>
    <row r="47" spans="3:7" x14ac:dyDescent="0.25">
      <c r="E47" s="4">
        <v>46328</v>
      </c>
    </row>
    <row r="48" spans="3:7" x14ac:dyDescent="0.25">
      <c r="E48" s="4">
        <v>46362</v>
      </c>
    </row>
    <row r="49" spans="5:5" x14ac:dyDescent="0.25">
      <c r="E49" s="4">
        <v>46364</v>
      </c>
    </row>
    <row r="50" spans="5:5" x14ac:dyDescent="0.25">
      <c r="E50" s="4">
        <v>46381</v>
      </c>
    </row>
    <row r="51" spans="5:5" x14ac:dyDescent="0.25">
      <c r="E51" s="4">
        <v>46382</v>
      </c>
    </row>
    <row r="52" spans="5:5" x14ac:dyDescent="0.25">
      <c r="E52" s="4">
        <v>46388</v>
      </c>
    </row>
    <row r="53" spans="5:5" x14ac:dyDescent="0.25">
      <c r="E53" s="4">
        <v>46393</v>
      </c>
    </row>
    <row r="54" spans="5:5" x14ac:dyDescent="0.25">
      <c r="E54" s="4">
        <v>46447</v>
      </c>
    </row>
    <row r="55" spans="5:5" x14ac:dyDescent="0.25">
      <c r="E55" s="4">
        <v>46465</v>
      </c>
    </row>
    <row r="56" spans="5:5" x14ac:dyDescent="0.25">
      <c r="E56" s="4">
        <v>46467</v>
      </c>
    </row>
    <row r="57" spans="5:5" x14ac:dyDescent="0.25">
      <c r="E57" s="4">
        <v>46471</v>
      </c>
    </row>
    <row r="58" spans="5:5" x14ac:dyDescent="0.25">
      <c r="E58" s="4">
        <v>46472</v>
      </c>
    </row>
    <row r="59" spans="5:5" x14ac:dyDescent="0.25">
      <c r="E59" s="4">
        <v>46474</v>
      </c>
    </row>
    <row r="60" spans="5:5" x14ac:dyDescent="0.25">
      <c r="E60" s="4">
        <v>46475</v>
      </c>
    </row>
    <row r="61" spans="5:5" x14ac:dyDescent="0.25">
      <c r="E61" s="4">
        <v>46505</v>
      </c>
    </row>
    <row r="62" spans="5:5" x14ac:dyDescent="0.25">
      <c r="E62" s="4">
        <v>46508</v>
      </c>
    </row>
    <row r="63" spans="5:5" x14ac:dyDescent="0.25">
      <c r="E63" s="4">
        <v>46509</v>
      </c>
    </row>
    <row r="64" spans="5:5" x14ac:dyDescent="0.25">
      <c r="E64" s="4">
        <v>46509</v>
      </c>
    </row>
    <row r="65" spans="5:5" x14ac:dyDescent="0.25">
      <c r="E65" s="4">
        <v>46522</v>
      </c>
    </row>
    <row r="66" spans="5:5" x14ac:dyDescent="0.25">
      <c r="E66" s="4">
        <v>46523</v>
      </c>
    </row>
    <row r="67" spans="5:5" x14ac:dyDescent="0.25">
      <c r="E67" s="4">
        <v>46537</v>
      </c>
    </row>
    <row r="68" spans="5:5" x14ac:dyDescent="0.25">
      <c r="E68" s="4">
        <v>46562</v>
      </c>
    </row>
    <row r="69" spans="5:5" x14ac:dyDescent="0.25">
      <c r="E69" s="4">
        <v>46614</v>
      </c>
    </row>
    <row r="70" spans="5:5" x14ac:dyDescent="0.25">
      <c r="E70" s="4">
        <v>46669</v>
      </c>
    </row>
    <row r="71" spans="5:5" x14ac:dyDescent="0.25">
      <c r="E71" s="4">
        <v>46672</v>
      </c>
    </row>
    <row r="72" spans="5:5" x14ac:dyDescent="0.25">
      <c r="E72" s="4">
        <v>46692</v>
      </c>
    </row>
    <row r="73" spans="5:5" x14ac:dyDescent="0.25">
      <c r="E73" s="4">
        <v>46693</v>
      </c>
    </row>
    <row r="74" spans="5:5" x14ac:dyDescent="0.25">
      <c r="E74" s="4">
        <v>46727</v>
      </c>
    </row>
    <row r="75" spans="5:5" x14ac:dyDescent="0.25">
      <c r="E75" s="4">
        <v>46729</v>
      </c>
    </row>
    <row r="76" spans="5:5" x14ac:dyDescent="0.25">
      <c r="E76" s="4">
        <v>46746</v>
      </c>
    </row>
    <row r="77" spans="5:5" x14ac:dyDescent="0.25">
      <c r="E77" s="4">
        <v>46747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b8d8e6-5759-4ed7-8a8f-0bdd38a4a4dc">
      <Terms xmlns="http://schemas.microsoft.com/office/infopath/2007/PartnerControls"/>
    </lcf76f155ced4ddcb4097134ff3c332f>
    <TaxCatchAll xmlns="8579c9b1-3958-4a98-b783-6b9fc7eee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D695DF95CE7B42823FA2EB5AC32B86" ma:contentTypeVersion="11" ma:contentTypeDescription="Create a new document." ma:contentTypeScope="" ma:versionID="33f1bf383b44c71e85f9bf54e5e32420">
  <xsd:schema xmlns:xsd="http://www.w3.org/2001/XMLSchema" xmlns:xs="http://www.w3.org/2001/XMLSchema" xmlns:p="http://schemas.microsoft.com/office/2006/metadata/properties" xmlns:ns2="3bb8d8e6-5759-4ed7-8a8f-0bdd38a4a4dc" xmlns:ns3="8579c9b1-3958-4a98-b783-6b9fc7eee06d" targetNamespace="http://schemas.microsoft.com/office/2006/metadata/properties" ma:root="true" ma:fieldsID="42bfa280e1617d0bf87c7445a2e5665d" ns2:_="" ns3:_="">
    <xsd:import namespace="3bb8d8e6-5759-4ed7-8a8f-0bdd38a4a4dc"/>
    <xsd:import namespace="8579c9b1-3958-4a98-b783-6b9fc7eee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d8e6-5759-4ed7-8a8f-0bdd38a4a4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023a88-296f-4384-84ce-b27dcd9c70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9c9b1-3958-4a98-b783-6b9fc7eee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d2436-642c-4504-84c7-cbd2af23d042}" ma:internalName="TaxCatchAll" ma:showField="CatchAllData" ma:web="8579c9b1-3958-4a98-b783-6b9fc7eee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B583AA-63D3-4305-AB47-95B9BBE4C036}">
  <ds:schemaRefs>
    <ds:schemaRef ds:uri="http://schemas.microsoft.com/office/2006/metadata/properties"/>
    <ds:schemaRef ds:uri="http://schemas.microsoft.com/office/infopath/2007/PartnerControls"/>
    <ds:schemaRef ds:uri="3bb8d8e6-5759-4ed7-8a8f-0bdd38a4a4dc"/>
    <ds:schemaRef ds:uri="8579c9b1-3958-4a98-b783-6b9fc7eee06d"/>
  </ds:schemaRefs>
</ds:datastoreItem>
</file>

<file path=customXml/itemProps2.xml><?xml version="1.0" encoding="utf-8"?>
<ds:datastoreItem xmlns:ds="http://schemas.openxmlformats.org/officeDocument/2006/customXml" ds:itemID="{A82F3446-39C6-4CEC-BE58-49DE0DD07C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A38D08-7522-4051-8BF2-0F671EF73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b8d8e6-5759-4ed7-8a8f-0bdd38a4a4dc"/>
    <ds:schemaRef ds:uri="8579c9b1-3958-4a98-b783-6b9fc7eee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de Sousa Figueiredo</dc:creator>
  <cp:lastModifiedBy>Andrey de Sousa Figueiredo</cp:lastModifiedBy>
  <dcterms:created xsi:type="dcterms:W3CDTF">2015-06-05T18:19:34Z</dcterms:created>
  <dcterms:modified xsi:type="dcterms:W3CDTF">2025-08-12T10:14:13Z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0x010100D3D695DF95CE7B42823FA2EB5AC32B86</vt:lpwstr>
  </property>
  <property fmtid="{D5CDD505-2E9C-101B-9397-08002B2CF9AE}" pid="3" name="MediaServiceImageTags">
    <vt:lpwstr/>
  </property>
</Properties>
</file>